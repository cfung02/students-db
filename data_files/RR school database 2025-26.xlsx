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2" sheetId="1" r:id="rId4"/>
    <sheet state="hidden" name="Pivot Table 2" sheetId="2" r:id="rId5"/>
    <sheet state="visible" name="2025" sheetId="3" r:id="rId6"/>
    <sheet state="visible" name="Daily Student Counts" sheetId="4" r:id="rId7"/>
    <sheet state="hidden" name="Daily Count by Group" sheetId="5" r:id="rId8"/>
    <sheet state="hidden" name="bus priority" sheetId="6" r:id="rId9"/>
    <sheet state="hidden" name="DD RR SS Trips" sheetId="7" r:id="rId10"/>
    <sheet state="visible" name="DO NOT CHANGEFormula" sheetId="8" r:id="rId11"/>
    <sheet state="visible" name="Withdrawals" sheetId="9" r:id="rId12"/>
  </sheets>
  <definedNames>
    <definedName hidden="1" localSheetId="2" name="_xlnm._FilterDatabase">'2025'!$A$4:$AQ$342</definedName>
  </definedNames>
  <calcPr/>
  <extLst>
    <ext uri="GoogleSheetsCustomDataVersion2">
      <go:sheetsCustomData xmlns:go="http://customooxmlschemas.google.com/" r:id="rId13" roundtripDataChecksum="3E9yerT0PLPMzaQx8XBcrVWidf/MnbvehvPzEAgOXt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5">
      <text>
        <t xml:space="preserve">======
ID#AAABrDgGTl4
PATRICK FUNG    (2025-09-12 00:48:02)
@brightmindsjjashim@gmail.com 
JJ, I temporarily entered 09/01 (in blue) for all students, please review and feel free to update the correct date. 
Thank you.
_Assigned to brightmindsjjashim@gmail.com_</t>
      </text>
    </comment>
    <comment authorId="0" ref="H16">
      <text>
        <t xml:space="preserve">======
ID#AAABkSbM3t8
Anonymous    (2025-05-28 16:58:26)
Please fix this.</t>
      </text>
    </comment>
  </commentList>
  <extLst>
    <ext uri="GoogleSheetsCustomDataVersion2">
      <go:sheetsCustomData xmlns:go="http://customooxmlschemas.google.com/" r:id="rId1" roundtripDataSignature="AMtx7mh26n3HzUgZbC1/ne9yZ25/uJR/CA=="/>
    </ext>
  </extLst>
</comments>
</file>

<file path=xl/sharedStrings.xml><?xml version="1.0" encoding="utf-8"?>
<sst xmlns="http://schemas.openxmlformats.org/spreadsheetml/2006/main" count="1961" uniqueCount="862">
  <si>
    <t>Full Name</t>
  </si>
  <si>
    <t>New Grouping</t>
  </si>
  <si>
    <t>Session</t>
  </si>
  <si>
    <t>Weeks</t>
  </si>
  <si>
    <t>Phone Number</t>
  </si>
  <si>
    <t>Ainechi, Ariana</t>
  </si>
  <si>
    <t>K1G</t>
  </si>
  <si>
    <t>2MD</t>
  </si>
  <si>
    <t>6wks</t>
  </si>
  <si>
    <t>(516)528-9739</t>
  </si>
  <si>
    <t>Albert, Justin</t>
  </si>
  <si>
    <t>Exp B</t>
  </si>
  <si>
    <t>3FD</t>
  </si>
  <si>
    <t>4wks</t>
  </si>
  <si>
    <t>516-551-7820</t>
  </si>
  <si>
    <t>Anderson, Victoria</t>
  </si>
  <si>
    <t>4/5G</t>
  </si>
  <si>
    <t>8wks</t>
  </si>
  <si>
    <t>(516)286-5998</t>
  </si>
  <si>
    <t>Andreani, Adison</t>
  </si>
  <si>
    <t>TeensG</t>
  </si>
  <si>
    <t>5FD</t>
  </si>
  <si>
    <t>7wks</t>
  </si>
  <si>
    <t>(516)458-5197</t>
  </si>
  <si>
    <t>Andreani, Ryan</t>
  </si>
  <si>
    <t>TeensB</t>
  </si>
  <si>
    <t>Assortato, Chelsea</t>
  </si>
  <si>
    <t>3G</t>
  </si>
  <si>
    <t>(516)779-0256</t>
  </si>
  <si>
    <t>Azan, Skylar</t>
  </si>
  <si>
    <t>Exp G</t>
  </si>
  <si>
    <t>(516)320-1664</t>
  </si>
  <si>
    <t>Baer, Ava</t>
  </si>
  <si>
    <t>a3's</t>
  </si>
  <si>
    <t>(516)497-6970</t>
  </si>
  <si>
    <t>Bailey, Dylan</t>
  </si>
  <si>
    <t>4/5B</t>
  </si>
  <si>
    <t>(646)824-8413</t>
  </si>
  <si>
    <t>Bailey, Peyton</t>
  </si>
  <si>
    <t xml:space="preserve">Balalaos, Jason </t>
  </si>
  <si>
    <t>2/3B</t>
  </si>
  <si>
    <t>2FD</t>
  </si>
  <si>
    <t>(516)784-6152</t>
  </si>
  <si>
    <t>Baltar, Mateo</t>
  </si>
  <si>
    <t>(646)468-2191</t>
  </si>
  <si>
    <t>Baltar, Sofia</t>
  </si>
  <si>
    <t>Barnard-Schmitt, Christian</t>
  </si>
  <si>
    <t>(516)509-6813</t>
  </si>
  <si>
    <t>Battuello, Alyssa</t>
  </si>
  <si>
    <t>5wks</t>
  </si>
  <si>
    <t>(516)404-6303</t>
  </si>
  <si>
    <t>Battuello, Sophia</t>
  </si>
  <si>
    <t>Bauerle, Elijah</t>
  </si>
  <si>
    <t>(347)642-1686</t>
  </si>
  <si>
    <t>Beck, Logan</t>
  </si>
  <si>
    <t>(516)287-9000</t>
  </si>
  <si>
    <t>Beck, Tristan</t>
  </si>
  <si>
    <t>Beck, Vivian</t>
  </si>
  <si>
    <t>2G</t>
  </si>
  <si>
    <t>Belferder, Benjamin</t>
  </si>
  <si>
    <t>4FD</t>
  </si>
  <si>
    <t>(516)503-1437</t>
  </si>
  <si>
    <t>Belferder, Riley</t>
  </si>
  <si>
    <t>Benenati, Cooper</t>
  </si>
  <si>
    <t>a4's</t>
  </si>
  <si>
    <t>(516)302-5128</t>
  </si>
  <si>
    <t>Benenati, Mia</t>
  </si>
  <si>
    <t>Bissoondial, Tristan</t>
  </si>
  <si>
    <t>((516)410-7665</t>
  </si>
  <si>
    <t>Braithwaite, Lily</t>
  </si>
  <si>
    <t>(516)443-0512</t>
  </si>
  <si>
    <t>Brent, Abigail</t>
  </si>
  <si>
    <t xml:space="preserve">8wks </t>
  </si>
  <si>
    <t>(917)434-6755</t>
  </si>
  <si>
    <t>Brent, Owen</t>
  </si>
  <si>
    <t>Briganti, Nathaniel</t>
  </si>
  <si>
    <t>(917)449-3173</t>
  </si>
  <si>
    <t>Briganti, Sebastian</t>
  </si>
  <si>
    <t>Bronshteyn, Mackenzie</t>
  </si>
  <si>
    <t>5TOT</t>
  </si>
  <si>
    <t>(917)370-5028</t>
  </si>
  <si>
    <t>Brown, Carly</t>
  </si>
  <si>
    <t>(917)705-4775</t>
  </si>
  <si>
    <t>Brown, Justin</t>
  </si>
  <si>
    <t>Brunjes, Ava</t>
  </si>
  <si>
    <t>(631)987-7925</t>
  </si>
  <si>
    <t xml:space="preserve">Burmann, Sienna </t>
  </si>
  <si>
    <t>(516)236-2525</t>
  </si>
  <si>
    <t>Campione, Colette</t>
  </si>
  <si>
    <t>(516)282-6597</t>
  </si>
  <si>
    <t>Carbone, Natalie</t>
  </si>
  <si>
    <t>(631)834-6286</t>
  </si>
  <si>
    <t>Caruso, Emily</t>
  </si>
  <si>
    <t>(516)343-9748</t>
  </si>
  <si>
    <t>Caruso, Lia</t>
  </si>
  <si>
    <t>Cassano, Victor</t>
  </si>
  <si>
    <t>(516)903-9680</t>
  </si>
  <si>
    <t>Cassano, Chase</t>
  </si>
  <si>
    <t>Cetto, Gareth</t>
  </si>
  <si>
    <t>3HT</t>
  </si>
  <si>
    <t>(516)225-6288</t>
  </si>
  <si>
    <t>Cetto, Isabella</t>
  </si>
  <si>
    <t>Cetto, Tristan</t>
  </si>
  <si>
    <t>Chase, Jake</t>
  </si>
  <si>
    <t>(516)662-9258</t>
  </si>
  <si>
    <t>Chase, Steven</t>
  </si>
  <si>
    <t>Chaves, Ava</t>
  </si>
  <si>
    <t>(516)642-6182</t>
  </si>
  <si>
    <t>Chaves, Emma</t>
  </si>
  <si>
    <t>Cheung, Aidan</t>
  </si>
  <si>
    <t>(646)528-6521</t>
  </si>
  <si>
    <t>Cheung, Caleb</t>
  </si>
  <si>
    <t>Chiari, Mckenzie</t>
  </si>
  <si>
    <t>(516)965-4546</t>
  </si>
  <si>
    <t>Christensen, Hannah</t>
  </si>
  <si>
    <t>(516)776-1516</t>
  </si>
  <si>
    <t>Cinelli, Brayden</t>
  </si>
  <si>
    <t>Cinelli, Carter</t>
  </si>
  <si>
    <t>Cinelli, Kennedy</t>
  </si>
  <si>
    <t xml:space="preserve">Cohen , Alexandra </t>
  </si>
  <si>
    <t>(516)369-0762</t>
  </si>
  <si>
    <t xml:space="preserve">Cohen , Braden </t>
  </si>
  <si>
    <t>(516)972-4246</t>
  </si>
  <si>
    <t xml:space="preserve">Cohen , Matthew </t>
  </si>
  <si>
    <t>Cullum, Joshua</t>
  </si>
  <si>
    <t>KB</t>
  </si>
  <si>
    <t>3MD</t>
  </si>
  <si>
    <t>(516)316-5627</t>
  </si>
  <si>
    <t>Dall'aste, Jason</t>
  </si>
  <si>
    <t>(516)241-0700</t>
  </si>
  <si>
    <t>Dall'aste, Logan</t>
  </si>
  <si>
    <t>D'Andrea, Frankie</t>
  </si>
  <si>
    <t>(516)729-6740</t>
  </si>
  <si>
    <t>Daube, Makayla</t>
  </si>
  <si>
    <t>CIT</t>
  </si>
  <si>
    <t>(516)263-5796</t>
  </si>
  <si>
    <t>D'Auria, Anthony</t>
  </si>
  <si>
    <t>(646)964-7306</t>
  </si>
  <si>
    <t>DelGreco, Dominic</t>
  </si>
  <si>
    <t>(516)287-0817</t>
  </si>
  <si>
    <t>Dishman, Hannah</t>
  </si>
  <si>
    <t>(646)704-6444</t>
  </si>
  <si>
    <t>Dobladillo, Megan</t>
  </si>
  <si>
    <t>(516)503-1860</t>
  </si>
  <si>
    <t>Donato, Parker</t>
  </si>
  <si>
    <t xml:space="preserve">5FD </t>
  </si>
  <si>
    <t>(516)384-5807</t>
  </si>
  <si>
    <t>Donato, Rexton</t>
  </si>
  <si>
    <t>Donkers, Allyson</t>
  </si>
  <si>
    <t>(516)448-6670</t>
  </si>
  <si>
    <t>Donkers, Ben</t>
  </si>
  <si>
    <t>Duflos-Frichot, Nola</t>
  </si>
  <si>
    <t>(516)292-7903</t>
  </si>
  <si>
    <t>Eddings, Aubrey</t>
  </si>
  <si>
    <t>(516)528-4653</t>
  </si>
  <si>
    <t>Eddings, Nathan</t>
  </si>
  <si>
    <t xml:space="preserve">Falabella, Kylie </t>
  </si>
  <si>
    <t>(516)641-3969</t>
  </si>
  <si>
    <t>Falls, Sarah</t>
  </si>
  <si>
    <t>(516)784-1070</t>
  </si>
  <si>
    <t>Farber, Harrison</t>
  </si>
  <si>
    <t>1B</t>
  </si>
  <si>
    <t>(516)238-8068</t>
  </si>
  <si>
    <t>Ferguson, Westley</t>
  </si>
  <si>
    <t xml:space="preserve">6wks </t>
  </si>
  <si>
    <t>(516)884-0746</t>
  </si>
  <si>
    <t>Ferreira, Luka</t>
  </si>
  <si>
    <t>(516)216-2107</t>
  </si>
  <si>
    <t>Fielding, Eliza</t>
  </si>
  <si>
    <t>(516)468-0057</t>
  </si>
  <si>
    <t>Flanders, Harley</t>
  </si>
  <si>
    <t>(917)733-9789</t>
  </si>
  <si>
    <t>Flanders, Rocco</t>
  </si>
  <si>
    <t>Frisina, Daniella</t>
  </si>
  <si>
    <t>(201)919-4883</t>
  </si>
  <si>
    <t>Frisina, Lorenzo</t>
  </si>
  <si>
    <t>Fung, Victoria</t>
  </si>
  <si>
    <t>(347)514-3245</t>
  </si>
  <si>
    <t>Gambino, Alex</t>
  </si>
  <si>
    <t>(622)375-9580</t>
  </si>
  <si>
    <t>Gambino, Lucas</t>
  </si>
  <si>
    <t>Gammone, Samuel</t>
  </si>
  <si>
    <t>(516) 702-7777</t>
  </si>
  <si>
    <t>Gering, Danielle</t>
  </si>
  <si>
    <t>Gherlone, Ariella</t>
  </si>
  <si>
    <t>(516)351-0781</t>
  </si>
  <si>
    <t>Gherlone, Giavana</t>
  </si>
  <si>
    <t>Giamundo, Mia</t>
  </si>
  <si>
    <t>3wks</t>
  </si>
  <si>
    <t>(516) 662-9475</t>
  </si>
  <si>
    <t>Gilbert, Mackenzie</t>
  </si>
  <si>
    <t>(631)433-9110</t>
  </si>
  <si>
    <t>Gilbert, Madison</t>
  </si>
  <si>
    <t>Giovanniello, Mia</t>
  </si>
  <si>
    <t>(516)317-8310</t>
  </si>
  <si>
    <t>Giovanniello, James</t>
  </si>
  <si>
    <t>Gonzalez, Lucas</t>
  </si>
  <si>
    <t>(516)884-4231</t>
  </si>
  <si>
    <t>Gould, Kylie</t>
  </si>
  <si>
    <t>(516)524-0632</t>
  </si>
  <si>
    <t>Graff, Penelope</t>
  </si>
  <si>
    <t>(917)566-3864</t>
  </si>
  <si>
    <t>Granai, Jack</t>
  </si>
  <si>
    <t>(516)361-8582</t>
  </si>
  <si>
    <t>Granai, Shea</t>
  </si>
  <si>
    <t>Granshaw, Brock</t>
  </si>
  <si>
    <t>(917)545-2524</t>
  </si>
  <si>
    <t>Greenwood, Alexa</t>
  </si>
  <si>
    <t>(516)850-0819</t>
  </si>
  <si>
    <t>Greenwood, Faith</t>
  </si>
  <si>
    <t>Greven, Benjamin</t>
  </si>
  <si>
    <t>(516)322-5709</t>
  </si>
  <si>
    <t>Greven, Grayson</t>
  </si>
  <si>
    <t>Gutierrez, Gabriel</t>
  </si>
  <si>
    <t>(631)433-4021</t>
  </si>
  <si>
    <t>Gutierrez, Madeleine</t>
  </si>
  <si>
    <t>Haas, Nathan</t>
  </si>
  <si>
    <t>(516)633-0580</t>
  </si>
  <si>
    <t>Haroutiounian, Vivian</t>
  </si>
  <si>
    <t>(516)493-0049</t>
  </si>
  <si>
    <t>Haughie, Jake</t>
  </si>
  <si>
    <t>(516)870-2092</t>
  </si>
  <si>
    <t>Haughie, Luke</t>
  </si>
  <si>
    <t>Helmick, Sophie</t>
  </si>
  <si>
    <t>(516)860-8751</t>
  </si>
  <si>
    <t>Helmick, William</t>
  </si>
  <si>
    <t>Herr, Ethan</t>
  </si>
  <si>
    <t>(516)263-0269</t>
  </si>
  <si>
    <t>Herr, Miles</t>
  </si>
  <si>
    <t>Hirsch, Elliot</t>
  </si>
  <si>
    <t>6wks?</t>
  </si>
  <si>
    <t>(516)225-1825</t>
  </si>
  <si>
    <t>Hirsch, Zoe</t>
  </si>
  <si>
    <t>Huang, Mason</t>
  </si>
  <si>
    <t>(718)541-1763</t>
  </si>
  <si>
    <t>Huang, Olivia</t>
  </si>
  <si>
    <t>5MD</t>
  </si>
  <si>
    <t>Imparato, Anthony</t>
  </si>
  <si>
    <t>(516)697-6967</t>
  </si>
  <si>
    <t>Imparato, Dominic</t>
  </si>
  <si>
    <t>Ing, Markus</t>
  </si>
  <si>
    <t>(516)902-2868</t>
  </si>
  <si>
    <t>Ing, Aidan</t>
  </si>
  <si>
    <t>Johnson, Steven</t>
  </si>
  <si>
    <t>(631)655-1735</t>
  </si>
  <si>
    <t xml:space="preserve">Kaminsky, Aiden </t>
  </si>
  <si>
    <t>(516)528-0993</t>
  </si>
  <si>
    <t>Kaminksy, Daniel</t>
  </si>
  <si>
    <t>Kandybowicz, Brayden</t>
  </si>
  <si>
    <t>(516)987-0807</t>
  </si>
  <si>
    <t>Kandybowicz, Logan</t>
  </si>
  <si>
    <t>Karim, Ibraheem</t>
  </si>
  <si>
    <t>(516)697-0775</t>
  </si>
  <si>
    <t>Karim, Inaaya</t>
  </si>
  <si>
    <t>Kayantas, Evangeline</t>
  </si>
  <si>
    <t>(631) 880-9134</t>
  </si>
  <si>
    <t>Kayantas, Pia</t>
  </si>
  <si>
    <t>Kaye, London</t>
  </si>
  <si>
    <t>(516)287-0393</t>
  </si>
  <si>
    <t>Korsky, Rylee</t>
  </si>
  <si>
    <t xml:space="preserve">4wks </t>
  </si>
  <si>
    <t>(516)567-5940</t>
  </si>
  <si>
    <t>Kruczko, Dimitri</t>
  </si>
  <si>
    <t>6 wks</t>
  </si>
  <si>
    <t>(917)607-3220</t>
  </si>
  <si>
    <t>Labrador, Olivia</t>
  </si>
  <si>
    <t>(516)852-2805</t>
  </si>
  <si>
    <t>Latona, Antonio</t>
  </si>
  <si>
    <t>(516)852-1698</t>
  </si>
  <si>
    <t>Latona, Giulio</t>
  </si>
  <si>
    <t>Lauer, Leah</t>
  </si>
  <si>
    <t>(516)770-2887</t>
  </si>
  <si>
    <t>Lazrus, Sophia</t>
  </si>
  <si>
    <t>(585) 957-5275</t>
  </si>
  <si>
    <t>Leiboff, Daisy</t>
  </si>
  <si>
    <t>3TOT</t>
  </si>
  <si>
    <t>(646)825-1973</t>
  </si>
  <si>
    <t>Leiboff, Oliver</t>
  </si>
  <si>
    <t>Lent, Juliette</t>
  </si>
  <si>
    <t>516-398-1312</t>
  </si>
  <si>
    <t>Lent, Olivia</t>
  </si>
  <si>
    <t>Lent, Vincent</t>
  </si>
  <si>
    <t xml:space="preserve">8 wks </t>
  </si>
  <si>
    <t>Licausi, Alexander</t>
  </si>
  <si>
    <t>(516)314-2034</t>
  </si>
  <si>
    <t>Licausi, Dylan</t>
  </si>
  <si>
    <t>Lim show Chen, Paxton</t>
  </si>
  <si>
    <t>(917)567-1896</t>
  </si>
  <si>
    <t>LoGiudice, Hannah</t>
  </si>
  <si>
    <t>(646)541-0380</t>
  </si>
  <si>
    <t>LoGiuduce, Connor</t>
  </si>
  <si>
    <t>Loisell, DJ</t>
  </si>
  <si>
    <t>(631)806-9878</t>
  </si>
  <si>
    <t>Lynch, Dylan</t>
  </si>
  <si>
    <t>(917)575-2528</t>
  </si>
  <si>
    <t>Lynch, James</t>
  </si>
  <si>
    <t>MacDonald, Chris</t>
  </si>
  <si>
    <t>(516)375-6561</t>
  </si>
  <si>
    <t>MacDonald, Emma</t>
  </si>
  <si>
    <t>Malik, Jodh</t>
  </si>
  <si>
    <t>(845)476-6630</t>
  </si>
  <si>
    <t>Malley, Aiden</t>
  </si>
  <si>
    <t>(631)769-4458</t>
  </si>
  <si>
    <t>Malley, Ava</t>
  </si>
  <si>
    <t>Mando, Mason</t>
  </si>
  <si>
    <t>(516)633-3339</t>
  </si>
  <si>
    <t>Mangra, Khalid</t>
  </si>
  <si>
    <t>(917)387-6923</t>
  </si>
  <si>
    <t>Matulich, Ronan</t>
  </si>
  <si>
    <t>(516)582-3324</t>
  </si>
  <si>
    <t>McGee, Juliet</t>
  </si>
  <si>
    <t>(516)603-0264</t>
  </si>
  <si>
    <t>McKenna, Teagan</t>
  </si>
  <si>
    <t>(516)376-8832</t>
  </si>
  <si>
    <t>McKenna, Declan</t>
  </si>
  <si>
    <t>McNamee, Samantha</t>
  </si>
  <si>
    <t>(718)637-7773</t>
  </si>
  <si>
    <t>Meinck, Ava</t>
  </si>
  <si>
    <t>EXP G</t>
  </si>
  <si>
    <t>(516) 988-8104</t>
  </si>
  <si>
    <t>Meinck, Jack</t>
  </si>
  <si>
    <t>Mignone, Emma</t>
  </si>
  <si>
    <t>(516)698-6644</t>
  </si>
  <si>
    <t>Mignone, Olivia</t>
  </si>
  <si>
    <t>Minevich, Jacob</t>
  </si>
  <si>
    <t>(917)583-3377</t>
  </si>
  <si>
    <t>Mitchell, Alonzo</t>
  </si>
  <si>
    <t>(516)996-4351</t>
  </si>
  <si>
    <t>Monaco, Braelynn</t>
  </si>
  <si>
    <t>(516)458-7487</t>
  </si>
  <si>
    <t>Monaco, Greyson</t>
  </si>
  <si>
    <t>Morshed, Sarah</t>
  </si>
  <si>
    <t>(646)625-9922</t>
  </si>
  <si>
    <t>Murray, Mickey</t>
  </si>
  <si>
    <t>(631)258-9724</t>
  </si>
  <si>
    <t>Murray, Neil</t>
  </si>
  <si>
    <t>Murray, Richie</t>
  </si>
  <si>
    <t>646-623-3239</t>
  </si>
  <si>
    <t>Narozny, Olivia</t>
  </si>
  <si>
    <t>(917)273-5745</t>
  </si>
  <si>
    <t>Narozny, Sarah</t>
  </si>
  <si>
    <t>Natalello, Talia</t>
  </si>
  <si>
    <t>(516)318-0256</t>
  </si>
  <si>
    <t>Nordon, Mackenzie</t>
  </si>
  <si>
    <t>(516)606-8935</t>
  </si>
  <si>
    <t>Nurnberger,Blakely</t>
  </si>
  <si>
    <t>Nurnberger,Brooke</t>
  </si>
  <si>
    <t xml:space="preserve">O'Brien, Layla </t>
  </si>
  <si>
    <t>Oh, Madelyn</t>
  </si>
  <si>
    <t>(646)335-5073</t>
  </si>
  <si>
    <t>Oh, Kayla</t>
  </si>
  <si>
    <t>Orlando, Maya</t>
  </si>
  <si>
    <t>(718)249-7309</t>
  </si>
  <si>
    <t>Oropeza, Ymmanuel</t>
  </si>
  <si>
    <t>(917)414-6267</t>
  </si>
  <si>
    <t>Otero, Aubrey</t>
  </si>
  <si>
    <t>(516)507-7310</t>
  </si>
  <si>
    <t>Persaud, Adesh</t>
  </si>
  <si>
    <t>(718)775-7099</t>
  </si>
  <si>
    <t>Persaud, Anaya</t>
  </si>
  <si>
    <t>Piechocki, Holden</t>
  </si>
  <si>
    <t>(917)945-1519</t>
  </si>
  <si>
    <t>Pillado, Justin</t>
  </si>
  <si>
    <t>(917)574-0097</t>
  </si>
  <si>
    <t>Pillado, Sienna</t>
  </si>
  <si>
    <t>Poliseno, Juliet</t>
  </si>
  <si>
    <t>Porisi, Max</t>
  </si>
  <si>
    <t xml:space="preserve">2wks </t>
  </si>
  <si>
    <t>Pottorf, Finn</t>
  </si>
  <si>
    <t>(516)380-9646</t>
  </si>
  <si>
    <t xml:space="preserve">Pursino, Lorenzo </t>
  </si>
  <si>
    <t>Pursino, Salvatore</t>
  </si>
  <si>
    <t>Qiu, Hudson</t>
  </si>
  <si>
    <t>646-915-2420</t>
  </si>
  <si>
    <t>Qiu, Parker</t>
  </si>
  <si>
    <t>Ranegan, Isabella</t>
  </si>
  <si>
    <t>(516)262-9795</t>
  </si>
  <si>
    <t>Raskin, Amelia</t>
  </si>
  <si>
    <t>(631)327-3371</t>
  </si>
  <si>
    <t xml:space="preserve">Smith, Reagan </t>
  </si>
  <si>
    <t xml:space="preserve">6 wks </t>
  </si>
  <si>
    <t>516-459-0057</t>
  </si>
  <si>
    <t>Rodriguez, Cristina</t>
  </si>
  <si>
    <t>(646)763-2562</t>
  </si>
  <si>
    <t>Rodriguez, Lucia</t>
  </si>
  <si>
    <t>Rodriguez, Reed</t>
  </si>
  <si>
    <t>(516)375-8843</t>
  </si>
  <si>
    <t xml:space="preserve">Rosen, Aaron </t>
  </si>
  <si>
    <t>(917)834-8022</t>
  </si>
  <si>
    <t>Rufle, Harley</t>
  </si>
  <si>
    <t>(516)850-6996</t>
  </si>
  <si>
    <t>Rufle, James</t>
  </si>
  <si>
    <t>Rufle, Kenneth</t>
  </si>
  <si>
    <t>Scali, Joseph</t>
  </si>
  <si>
    <t>2HT</t>
  </si>
  <si>
    <t>(516)314-6529</t>
  </si>
  <si>
    <t>Schnitzer, Cole</t>
  </si>
  <si>
    <t>(516)698-2654</t>
  </si>
  <si>
    <t>Schwarz, Brayden</t>
  </si>
  <si>
    <t>(516)662-5279</t>
  </si>
  <si>
    <t>Schwarz, Mason</t>
  </si>
  <si>
    <t>Seder, Dean</t>
  </si>
  <si>
    <t>(516)250-4396</t>
  </si>
  <si>
    <t>Sepulveda, Lia</t>
  </si>
  <si>
    <t>(718)702-8510</t>
  </si>
  <si>
    <t>Sepulveda, Lilly</t>
  </si>
  <si>
    <t>Shatz, Abby</t>
  </si>
  <si>
    <t>(516)607-9004</t>
  </si>
  <si>
    <t>Shatz, Erica</t>
  </si>
  <si>
    <t>Siddiqui, Adiyan</t>
  </si>
  <si>
    <t>(646)577-4431</t>
  </si>
  <si>
    <t>Siddiqui, Diyana</t>
  </si>
  <si>
    <t>Silcox, Sarah</t>
  </si>
  <si>
    <t>(516) 850-1212</t>
  </si>
  <si>
    <t>Silpe, Elijah</t>
  </si>
  <si>
    <t>(516)204-5008</t>
  </si>
  <si>
    <t>Silpe, Nathan</t>
  </si>
  <si>
    <t>Silva, Amelia</t>
  </si>
  <si>
    <t>(516)808-4426</t>
  </si>
  <si>
    <t>Silva, Jessica</t>
  </si>
  <si>
    <t>Silva, Jordana</t>
  </si>
  <si>
    <t>(516)652-3846</t>
  </si>
  <si>
    <t>Sluka, Liam</t>
  </si>
  <si>
    <t>(516)502-5920</t>
  </si>
  <si>
    <t>Sluka, Noah</t>
  </si>
  <si>
    <t xml:space="preserve">Smith, Hadley </t>
  </si>
  <si>
    <t>Sodano, Luca</t>
  </si>
  <si>
    <t>(516)978-9254</t>
  </si>
  <si>
    <t>Sodano, Maxwell</t>
  </si>
  <si>
    <t>Soto, Loukas</t>
  </si>
  <si>
    <t>(516)852-0848</t>
  </si>
  <si>
    <t>Spiegel, Alana</t>
  </si>
  <si>
    <t>(917)903-1411</t>
  </si>
  <si>
    <t>Spina, Madeline</t>
  </si>
  <si>
    <t>(516)467-9519</t>
  </si>
  <si>
    <t>Sterner, Jacob</t>
  </si>
  <si>
    <t>(516)770-5604</t>
  </si>
  <si>
    <t>Sterner, Madison</t>
  </si>
  <si>
    <t>Teague, Theodore</t>
  </si>
  <si>
    <t>5HT</t>
  </si>
  <si>
    <t>(516)286-6235</t>
  </si>
  <si>
    <t>Terry, Vivienne</t>
  </si>
  <si>
    <t>(516)305-1010</t>
  </si>
  <si>
    <t>Troisi, Max</t>
  </si>
  <si>
    <t>EXP B</t>
  </si>
  <si>
    <t>2wks</t>
  </si>
  <si>
    <t>(516) 523-1273</t>
  </si>
  <si>
    <t>Tuzzolo, Thomas</t>
  </si>
  <si>
    <t>(516)456-9138</t>
  </si>
  <si>
    <t>Tuzzolo, Trey</t>
  </si>
  <si>
    <t>Ucinski, Giulia</t>
  </si>
  <si>
    <t>(516)551-2077</t>
  </si>
  <si>
    <t xml:space="preserve">Usman, Alaiha </t>
  </si>
  <si>
    <t>(347)993-3434</t>
  </si>
  <si>
    <t>Vacchio, Luca</t>
  </si>
  <si>
    <t>(646)207-4053</t>
  </si>
  <si>
    <t>Valadez, Mason</t>
  </si>
  <si>
    <t>(917)209-2438</t>
  </si>
  <si>
    <t>Vassallo, Cooper</t>
  </si>
  <si>
    <t>(315)727-6475</t>
  </si>
  <si>
    <t xml:space="preserve">Venditti, Frank </t>
  </si>
  <si>
    <t>(516)849-3161</t>
  </si>
  <si>
    <t xml:space="preserve">Venditti, Sophia </t>
  </si>
  <si>
    <t>Villari, Kaleb</t>
  </si>
  <si>
    <t>(516)603-7533</t>
  </si>
  <si>
    <t>Vitti, Nicolette</t>
  </si>
  <si>
    <t>(516)236-9249</t>
  </si>
  <si>
    <t>Volin, Adrianna</t>
  </si>
  <si>
    <t>(347)612-9301</t>
  </si>
  <si>
    <t>Wierzbicki, Hudson</t>
  </si>
  <si>
    <t>(516)509-9102</t>
  </si>
  <si>
    <t>Winkler, Penelope</t>
  </si>
  <si>
    <t>(917)6907446</t>
  </si>
  <si>
    <t>Wolfanger, James</t>
  </si>
  <si>
    <t>(516)851-7179</t>
  </si>
  <si>
    <t>Wolfanger, Skylar</t>
  </si>
  <si>
    <t>Wu, Axel</t>
  </si>
  <si>
    <t>(917)470-7655</t>
  </si>
  <si>
    <t>Yarrobino, Carson</t>
  </si>
  <si>
    <t>(516)313-1775</t>
  </si>
  <si>
    <t>Yarrobino, Gianna</t>
  </si>
  <si>
    <t>Yelenovic, Nathan</t>
  </si>
  <si>
    <t>516-993-6911</t>
  </si>
  <si>
    <t>Zalvidar, Hannah</t>
  </si>
  <si>
    <t>(718)288-4576</t>
  </si>
  <si>
    <t>Zalvidar, Madelyn</t>
  </si>
  <si>
    <t>Zhou, Robert</t>
  </si>
  <si>
    <t>(347)654-1849</t>
  </si>
  <si>
    <t>Ziemak, Zoe</t>
  </si>
  <si>
    <t>(516)286-4395</t>
  </si>
  <si>
    <t>Group</t>
  </si>
  <si>
    <t># Students</t>
  </si>
  <si>
    <t>Pk3</t>
  </si>
  <si>
    <t>PK3.1</t>
  </si>
  <si>
    <t>Pk4</t>
  </si>
  <si>
    <t>Tod</t>
  </si>
  <si>
    <t>Grand Total</t>
  </si>
  <si>
    <t>Current Total</t>
  </si>
  <si>
    <t>Anything columns in Yellow should be filled out</t>
  </si>
  <si>
    <t>Anything in Green are Formulas, just copy and paste. DO NOT TYPE IN ANYTHING ELSE. PLEASE ASK DEVON IF ANY QUESTIONS.</t>
  </si>
  <si>
    <t>Color Legend</t>
  </si>
  <si>
    <t>BW Finished</t>
  </si>
  <si>
    <t>QB Finished</t>
  </si>
  <si>
    <t>Preferences</t>
  </si>
  <si>
    <t>Enrolled Date</t>
  </si>
  <si>
    <t>First Name</t>
  </si>
  <si>
    <t>Last Name</t>
  </si>
  <si>
    <t>Birthday</t>
  </si>
  <si>
    <t>Shirt Size</t>
  </si>
  <si>
    <t>Age</t>
  </si>
  <si>
    <t># of Days</t>
  </si>
  <si>
    <t xml:space="preserve">Start Date </t>
  </si>
  <si>
    <t>End Date</t>
  </si>
  <si>
    <t xml:space="preserve">In </t>
  </si>
  <si>
    <t>Out</t>
  </si>
  <si>
    <t>M</t>
  </si>
  <si>
    <t>T</t>
  </si>
  <si>
    <t>W</t>
  </si>
  <si>
    <t>TH</t>
  </si>
  <si>
    <t>F</t>
  </si>
  <si>
    <t>Days</t>
  </si>
  <si>
    <t>Paper work?</t>
  </si>
  <si>
    <t>Referral?</t>
  </si>
  <si>
    <t>Diaper?</t>
  </si>
  <si>
    <t>Services</t>
  </si>
  <si>
    <t>Monetary Notes</t>
  </si>
  <si>
    <t>Schedule Notes?</t>
  </si>
  <si>
    <t>Emails</t>
  </si>
  <si>
    <t xml:space="preserve">Phone </t>
  </si>
  <si>
    <t>Health Notes</t>
  </si>
  <si>
    <t>Medications</t>
  </si>
  <si>
    <t>Allergy</t>
  </si>
  <si>
    <t>Street</t>
  </si>
  <si>
    <t>Town</t>
  </si>
  <si>
    <t>State</t>
  </si>
  <si>
    <t>Zip</t>
  </si>
  <si>
    <t>Full Address</t>
  </si>
  <si>
    <t>Transportation?</t>
  </si>
  <si>
    <t>RT #</t>
  </si>
  <si>
    <t>Route Order</t>
  </si>
  <si>
    <t>Temp RT</t>
  </si>
  <si>
    <t>month</t>
  </si>
  <si>
    <t>year</t>
  </si>
  <si>
    <t>Veronica</t>
  </si>
  <si>
    <t>Gonzalez</t>
  </si>
  <si>
    <t>12 mon</t>
  </si>
  <si>
    <t>mikichimento@gmail.com</t>
  </si>
  <si>
    <t>516.603.3473</t>
  </si>
  <si>
    <t>Kyle</t>
  </si>
  <si>
    <t>Ho</t>
  </si>
  <si>
    <t>PK3</t>
  </si>
  <si>
    <t xml:space="preserve">10 mon </t>
  </si>
  <si>
    <t>changed from 5 day to 3 4/12. Changed from 3 day to 2 6/23
dad was alumni</t>
  </si>
  <si>
    <t>jonandjudy.ho@gmail.com,</t>
  </si>
  <si>
    <t>347.260.7835</t>
  </si>
  <si>
    <t>Isaac</t>
  </si>
  <si>
    <t>Zhao</t>
  </si>
  <si>
    <t>10 mon</t>
  </si>
  <si>
    <t xml:space="preserve">cash payment </t>
  </si>
  <si>
    <t>lydiawu418@gmail.com</t>
  </si>
  <si>
    <t>646.515.0866, 646-552-3151</t>
  </si>
  <si>
    <t>None</t>
  </si>
  <si>
    <t xml:space="preserve">18 fish ave. </t>
  </si>
  <si>
    <t xml:space="preserve">Albertson </t>
  </si>
  <si>
    <t>NY</t>
  </si>
  <si>
    <t>ayan</t>
  </si>
  <si>
    <t>shah</t>
  </si>
  <si>
    <t xml:space="preserve">10mon </t>
  </si>
  <si>
    <t>sibling of current student</t>
  </si>
  <si>
    <t>516.669.2969</t>
  </si>
  <si>
    <t>finnula</t>
  </si>
  <si>
    <t>o connell</t>
  </si>
  <si>
    <t xml:space="preserve">would like to be in the room with higherend of the agre group </t>
  </si>
  <si>
    <t>kmsmith548@gmail.com, soconnell354@gmail.com</t>
  </si>
  <si>
    <t>516.242.9738 , 845-538-5275</t>
  </si>
  <si>
    <t xml:space="preserve">29 Croyden rd. </t>
  </si>
  <si>
    <t>Mineola</t>
  </si>
  <si>
    <t>sequoia</t>
  </si>
  <si>
    <t>leung</t>
  </si>
  <si>
    <t>1hr extension</t>
  </si>
  <si>
    <t>anga0501@gmail.com, patrickl.mail@gmail.com</t>
  </si>
  <si>
    <t>630.202.5156</t>
  </si>
  <si>
    <t>Dylan</t>
  </si>
  <si>
    <t>Salazar</t>
  </si>
  <si>
    <t>FR</t>
  </si>
  <si>
    <t>didonnellan@yahoo.com,</t>
  </si>
  <si>
    <t>917.225.0914</t>
  </si>
  <si>
    <t>Alex</t>
  </si>
  <si>
    <t>w</t>
  </si>
  <si>
    <t>Wesley</t>
  </si>
  <si>
    <t>Lung</t>
  </si>
  <si>
    <t>TOD</t>
  </si>
  <si>
    <t>ceciliatow@gmail.com, jonathan.lung@gmail.com</t>
  </si>
  <si>
    <t>917.836.2889</t>
  </si>
  <si>
    <t>NO ALLERGIES</t>
  </si>
  <si>
    <t>Nancy</t>
  </si>
  <si>
    <t>Cesta</t>
  </si>
  <si>
    <t>646.773.5399</t>
  </si>
  <si>
    <t>Rebecca</t>
  </si>
  <si>
    <t>Abraham</t>
  </si>
  <si>
    <t>PK4</t>
  </si>
  <si>
    <t>paid</t>
  </si>
  <si>
    <t>rabraham.ny@gmail.com, nishaverghese@gmail.com</t>
  </si>
  <si>
    <t>516-673-8579, 718-404-4366</t>
  </si>
  <si>
    <t>Peanut Allergy</t>
  </si>
  <si>
    <t>Peanut</t>
  </si>
  <si>
    <t xml:space="preserve">50 Browers Ln. </t>
  </si>
  <si>
    <t>Greyson</t>
  </si>
  <si>
    <t>Kerney</t>
  </si>
  <si>
    <t>10m</t>
  </si>
  <si>
    <t xml:space="preserve">Earky intervention/special education </t>
  </si>
  <si>
    <t xml:space="preserve">prefer Ms Lisa due to familiarity </t>
  </si>
  <si>
    <t>stacy.kerney@icloud.com, tkerney16@gmail.com</t>
  </si>
  <si>
    <t>516-317-8022 , 516-996-6564</t>
  </si>
  <si>
    <t>Amelia</t>
  </si>
  <si>
    <t>Kim</t>
  </si>
  <si>
    <t>Grace</t>
  </si>
  <si>
    <t>Devadas</t>
  </si>
  <si>
    <t>Raquel Kim</t>
  </si>
  <si>
    <t>sunny.cho06@gmail.com, Jdevadas2005@yahoo.com</t>
  </si>
  <si>
    <t>917-683-4189 , 718-581-8219</t>
  </si>
  <si>
    <t xml:space="preserve">Egg allergy </t>
  </si>
  <si>
    <t xml:space="preserve">40 Knolls Dr. </t>
  </si>
  <si>
    <t xml:space="preserve">New hyde Park </t>
  </si>
  <si>
    <t>Lyanna</t>
  </si>
  <si>
    <t>Huallparimachi</t>
  </si>
  <si>
    <t>Infant</t>
  </si>
  <si>
    <t xml:space="preserve">put deposi down </t>
  </si>
  <si>
    <t>Raulhc_@hotmail.com</t>
  </si>
  <si>
    <t>516 669 4238</t>
  </si>
  <si>
    <t>Ariana</t>
  </si>
  <si>
    <t xml:space="preserve">Kushinsky N. </t>
  </si>
  <si>
    <t>Evie</t>
  </si>
  <si>
    <t xml:space="preserve">pending </t>
  </si>
  <si>
    <t>deposit paid</t>
  </si>
  <si>
    <t>kcanales2@northwell.edu, shaunkush525@gmail.com</t>
  </si>
  <si>
    <t>516-474-0048, 516-745-6521</t>
  </si>
  <si>
    <t>190 mieola blvd</t>
  </si>
  <si>
    <t>Jack</t>
  </si>
  <si>
    <t>Torres</t>
  </si>
  <si>
    <t>M,T 8:30 | 7:15</t>
  </si>
  <si>
    <t>M,T 4:30 | 3:15</t>
  </si>
  <si>
    <t>put deposit down</t>
  </si>
  <si>
    <t>just for october, tuesday and thursdays 7:15-3:15</t>
  </si>
  <si>
    <t>jtorres1527@gmail.com</t>
  </si>
  <si>
    <t>787-378-6060 , 917-325-8170</t>
  </si>
  <si>
    <t>Vonbuttgerett</t>
  </si>
  <si>
    <t xml:space="preserve">deposit paid </t>
  </si>
  <si>
    <t>mary5885@optonline.net</t>
  </si>
  <si>
    <t>Leo</t>
  </si>
  <si>
    <t>Lajer</t>
  </si>
  <si>
    <t>not going ahead with RR</t>
  </si>
  <si>
    <t>simkoi96@gmail.com</t>
  </si>
  <si>
    <t>alex</t>
  </si>
  <si>
    <t>blanco</t>
  </si>
  <si>
    <t xml:space="preserve">infant </t>
  </si>
  <si>
    <t xml:space="preserve">put deposit </t>
  </si>
  <si>
    <t>decided to go with another program</t>
  </si>
  <si>
    <t>lizruiz68@gmail.com</t>
  </si>
  <si>
    <t>Diya</t>
  </si>
  <si>
    <t>Bhattacharya</t>
  </si>
  <si>
    <t>Done</t>
  </si>
  <si>
    <t xml:space="preserve">christopher </t>
  </si>
  <si>
    <t xml:space="preserve">cusumano </t>
  </si>
  <si>
    <t>m</t>
  </si>
  <si>
    <t>t</t>
  </si>
  <si>
    <t>th</t>
  </si>
  <si>
    <t>f</t>
  </si>
  <si>
    <t>718 502-4777</t>
  </si>
  <si>
    <t>sarah</t>
  </si>
  <si>
    <t>uddin</t>
  </si>
  <si>
    <t>infant</t>
  </si>
  <si>
    <t>T (9-1)</t>
  </si>
  <si>
    <t xml:space="preserve">TH (9-1) </t>
  </si>
  <si>
    <t>put down deposit</t>
  </si>
  <si>
    <t>Wants 1 8 hr and 2 4hrs so total of 2 8hrs a week</t>
  </si>
  <si>
    <t>tasniah@gmail.com</t>
  </si>
  <si>
    <t>vedant</t>
  </si>
  <si>
    <t>singh</t>
  </si>
  <si>
    <t>jonaki.singh23@gmail.com</t>
  </si>
  <si>
    <t>remy</t>
  </si>
  <si>
    <t>le-gall</t>
  </si>
  <si>
    <t>xaglegall@gmail.com</t>
  </si>
  <si>
    <t xml:space="preserve">tyler </t>
  </si>
  <si>
    <t>wong</t>
  </si>
  <si>
    <t>toddler</t>
  </si>
  <si>
    <t>fall 2026</t>
  </si>
  <si>
    <t>Logan</t>
  </si>
  <si>
    <t>Tuomey</t>
  </si>
  <si>
    <t>pk3.1</t>
  </si>
  <si>
    <t>Mason</t>
  </si>
  <si>
    <t>Sudek</t>
  </si>
  <si>
    <t xml:space="preserve">put down deposit </t>
  </si>
  <si>
    <t>Allison</t>
  </si>
  <si>
    <t>Sookdeo</t>
  </si>
  <si>
    <t>7 (M,W) 9 (TTHF)</t>
  </si>
  <si>
    <t>3:30 (MW) 12 (TTHF)</t>
  </si>
  <si>
    <t>Charli</t>
  </si>
  <si>
    <t>Saunders</t>
  </si>
  <si>
    <t>k.merlo77@yahoo.com</t>
  </si>
  <si>
    <t>Theodore</t>
  </si>
  <si>
    <t>Satalino</t>
  </si>
  <si>
    <t>smcapito@gmail.com</t>
  </si>
  <si>
    <t xml:space="preserve">Luca </t>
  </si>
  <si>
    <t>Daniel</t>
  </si>
  <si>
    <t>Roland</t>
  </si>
  <si>
    <t>i need papework</t>
  </si>
  <si>
    <t>Paid deposit</t>
  </si>
  <si>
    <t>chelsey.martino11@yahoo.com, danieljroland@hotmail.com</t>
  </si>
  <si>
    <t>evelyn</t>
  </si>
  <si>
    <t xml:space="preserve">pollakusky </t>
  </si>
  <si>
    <t>enrollment contract?</t>
  </si>
  <si>
    <t>christine.m.cusumano@gmail.com</t>
  </si>
  <si>
    <t>Francis</t>
  </si>
  <si>
    <t>Peluso</t>
  </si>
  <si>
    <t>dpkrpc@gmail.com</t>
  </si>
  <si>
    <t>5082830552 , 3475253582</t>
  </si>
  <si>
    <t xml:space="preserve">Diana </t>
  </si>
  <si>
    <t xml:space="preserve">Murca </t>
  </si>
  <si>
    <t xml:space="preserve">evelyn </t>
  </si>
  <si>
    <t xml:space="preserve">Lydon </t>
  </si>
  <si>
    <t xml:space="preserve">fish allergy </t>
  </si>
  <si>
    <t>cameron</t>
  </si>
  <si>
    <t>levi</t>
  </si>
  <si>
    <t>celinerentas@gmail.com</t>
  </si>
  <si>
    <t>Lana</t>
  </si>
  <si>
    <t>Leung</t>
  </si>
  <si>
    <t>Avery</t>
  </si>
  <si>
    <t>Lee</t>
  </si>
  <si>
    <t xml:space="preserve">12mon </t>
  </si>
  <si>
    <t>February enrollment</t>
  </si>
  <si>
    <r>
      <rPr>
        <color rgb="FF1155CC"/>
        <u/>
      </rPr>
      <t>wu.jessica630@gmail.com</t>
    </r>
    <r>
      <rPr/>
      <t xml:space="preserve"> 3472132092</t>
    </r>
  </si>
  <si>
    <t xml:space="preserve">Jordyn </t>
  </si>
  <si>
    <t>Landell</t>
  </si>
  <si>
    <t xml:space="preserve">landell </t>
  </si>
  <si>
    <t>tod</t>
  </si>
  <si>
    <t>10mon</t>
  </si>
  <si>
    <t>landell.melissa@gmail.com</t>
  </si>
  <si>
    <t>Freya</t>
  </si>
  <si>
    <t xml:space="preserve">Jin </t>
  </si>
  <si>
    <t>lingy1028@gmail.com</t>
  </si>
  <si>
    <t>AMAL</t>
  </si>
  <si>
    <t>Haq</t>
  </si>
  <si>
    <t>8 hour</t>
  </si>
  <si>
    <t xml:space="preserve"> IN April. </t>
  </si>
  <si>
    <t>muniba.ahmed@gmail.com</t>
  </si>
  <si>
    <t>mia</t>
  </si>
  <si>
    <t>hamilton</t>
  </si>
  <si>
    <t xml:space="preserve">12 mon </t>
  </si>
  <si>
    <t>tinamariex33@gmail.com</t>
  </si>
  <si>
    <t xml:space="preserve">Gabriel </t>
  </si>
  <si>
    <t xml:space="preserve">George </t>
  </si>
  <si>
    <t xml:space="preserve">10 month </t>
  </si>
  <si>
    <t xml:space="preserve">alessa </t>
  </si>
  <si>
    <t>ferazzoli</t>
  </si>
  <si>
    <t xml:space="preserve">i need paperwork </t>
  </si>
  <si>
    <t>paid last month and reg fee</t>
  </si>
  <si>
    <t>sms09779@gmail.com</t>
  </si>
  <si>
    <t xml:space="preserve">george </t>
  </si>
  <si>
    <t xml:space="preserve">campbell </t>
  </si>
  <si>
    <t xml:space="preserve">Aiden </t>
  </si>
  <si>
    <t>Brady</t>
  </si>
  <si>
    <t>F (7-3)</t>
  </si>
  <si>
    <t>Chadi</t>
  </si>
  <si>
    <t>Benkyran</t>
  </si>
  <si>
    <t xml:space="preserve">pk3 </t>
  </si>
  <si>
    <t xml:space="preserve">PUT DEPOSIT </t>
  </si>
  <si>
    <t xml:space="preserve">eily </t>
  </si>
  <si>
    <t>behan</t>
  </si>
  <si>
    <t>deidreryan2016@gmail.com</t>
  </si>
  <si>
    <t>isadora</t>
  </si>
  <si>
    <t>ignacia.antfernandez@gmail.com</t>
  </si>
  <si>
    <t>Mon</t>
  </si>
  <si>
    <t>Tue</t>
  </si>
  <si>
    <t>Weds</t>
  </si>
  <si>
    <t>Thur</t>
  </si>
  <si>
    <t>Fri</t>
  </si>
  <si>
    <t>Daily Count by Group</t>
  </si>
  <si>
    <t>GROUP</t>
  </si>
  <si>
    <t># 
Students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</si>
  <si>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</si>
  <si>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</si>
  <si>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</si>
  <si>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</si>
  <si>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</si>
  <si>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</si>
  <si>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</si>
  <si>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</si>
  <si>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COUNTUNIQUE of Full Name</t>
  </si>
  <si>
    <t>SUM of 6/30</t>
  </si>
  <si>
    <t>SUM of 7/1</t>
  </si>
  <si>
    <t>SUM of 7/2</t>
  </si>
  <si>
    <t>SUM of 7/3</t>
  </si>
  <si>
    <t>SUM of 7/4</t>
  </si>
  <si>
    <t>SUM of 7/7</t>
  </si>
  <si>
    <t>SUM of 7/8</t>
  </si>
  <si>
    <t>SUM of 7/9</t>
  </si>
  <si>
    <t>SUM of 7/10</t>
  </si>
  <si>
    <t>SUM of 7/11</t>
  </si>
  <si>
    <t>SUM of 7/14</t>
  </si>
  <si>
    <t>SUM of 7/15</t>
  </si>
  <si>
    <t>SUM of 7/16</t>
  </si>
  <si>
    <t>SUM of 7/17</t>
  </si>
  <si>
    <t>SUM of 7/18</t>
  </si>
  <si>
    <t>SUM of 7/21</t>
  </si>
  <si>
    <t>SUM of 7/22</t>
  </si>
  <si>
    <t>SUM of 7/23</t>
  </si>
  <si>
    <t>SUM of 7/24</t>
  </si>
  <si>
    <t>SUM of 7/25</t>
  </si>
  <si>
    <t>SUM of 7/28</t>
  </si>
  <si>
    <t>SUM of 7/29</t>
  </si>
  <si>
    <t>SUM of 7/30</t>
  </si>
  <si>
    <t>SUM of 7/31</t>
  </si>
  <si>
    <t>SUM of 8/1</t>
  </si>
  <si>
    <t>SUM of 8/4</t>
  </si>
  <si>
    <t>SUM of 8/5</t>
  </si>
  <si>
    <t>SUM of 8/6</t>
  </si>
  <si>
    <t>SUM of 8/7</t>
  </si>
  <si>
    <t>SUM of 8/8</t>
  </si>
  <si>
    <t>SUM of 8/11</t>
  </si>
  <si>
    <t>SUM of 8/12</t>
  </si>
  <si>
    <t>SUM of 8/13</t>
  </si>
  <si>
    <t>SUM of 8/14</t>
  </si>
  <si>
    <t>SUM of 8/15</t>
  </si>
  <si>
    <t>SUM of 8/18</t>
  </si>
  <si>
    <t>SUM of 8/19</t>
  </si>
  <si>
    <t>SUM of 8/20</t>
  </si>
  <si>
    <t>SUM of 8/21</t>
  </si>
  <si>
    <t>SUM of 8/22</t>
  </si>
  <si>
    <t>1G</t>
  </si>
  <si>
    <t>2B</t>
  </si>
  <si>
    <t>3B</t>
  </si>
  <si>
    <t>4B</t>
  </si>
  <si>
    <t>4G</t>
  </si>
  <si>
    <t>5G</t>
  </si>
  <si>
    <t>KG</t>
  </si>
  <si>
    <t>PreK</t>
  </si>
  <si>
    <t>TODD</t>
  </si>
  <si>
    <t>TRAV B</t>
  </si>
  <si>
    <t>TRAV G</t>
  </si>
  <si>
    <t xml:space="preserve">Dillly Dally </t>
  </si>
  <si>
    <t xml:space="preserve">Romper Room </t>
  </si>
  <si>
    <t>Trips</t>
  </si>
  <si>
    <t xml:space="preserve"> </t>
  </si>
  <si>
    <t>July</t>
  </si>
  <si>
    <t>Monday</t>
  </si>
  <si>
    <t>Tuesday</t>
  </si>
  <si>
    <t>Wednesday</t>
  </si>
  <si>
    <t>Thursday</t>
  </si>
  <si>
    <t xml:space="preserve">Friday </t>
  </si>
  <si>
    <t>August</t>
  </si>
  <si>
    <t>Student ID</t>
  </si>
  <si>
    <t xml:space="preserve">  </t>
  </si>
  <si>
    <t>Withdrawal Date</t>
  </si>
  <si>
    <t>Removed By</t>
  </si>
  <si>
    <t>Owen</t>
  </si>
  <si>
    <t>Milack</t>
  </si>
  <si>
    <t>5W5FD</t>
  </si>
  <si>
    <t>CN</t>
  </si>
  <si>
    <t>Landon</t>
  </si>
  <si>
    <t>Sporer</t>
  </si>
  <si>
    <t>7W5FD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</si>
</sst>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&quot;/&quot;d"/>
    <numFmt numFmtId="165" formatCode="0.0"/>
    <numFmt numFmtId="166" formatCode="m/d/yy"/>
    <numFmt numFmtId="167" formatCode="m/d"/>
    <numFmt numFmtId="168" formatCode="mm/dd/yyyy"/>
    <numFmt numFmtId="169" formatCode="mmmm yyyy"/>
    <numFmt numFmtId="170" formatCode="h:mm am/pm"/>
    <numFmt numFmtId="171" formatCode="m/d/yyyy"/>
  </numFmts>
  <fonts count="52">
    <font>
      <sz val="11.0"/>
      <color theme="1"/>
      <name val="Calibri"/>
      <scheme val="minor"/>
    </font>
    <font>
      <color theme="1"/>
      <name val="Calibri"/>
    </font>
    <font>
      <b/>
      <sz val="16.0"/>
      <color rgb="FFFFFFFF"/>
      <name val="Calibri"/>
    </font>
    <font>
      <sz val="16.0"/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FF0000"/>
      <name val="Calibri"/>
    </font>
    <font>
      <b/>
      <u/>
      <sz val="11.0"/>
      <color theme="1"/>
      <name val="Calibri"/>
    </font>
    <font>
      <b/>
      <color rgb="FFFFFFFF"/>
      <name val="Calibri"/>
    </font>
    <font>
      <sz val="11.0"/>
      <color rgb="FF0000FF"/>
      <name val="Calibri"/>
    </font>
    <font>
      <sz val="12.0"/>
      <color rgb="FFFF0000"/>
      <name val="Avenir"/>
    </font>
    <font>
      <b/>
      <u/>
      <sz val="11.0"/>
      <color rgb="FFFF0000"/>
      <name val="Calibri"/>
    </font>
    <font>
      <color rgb="FFFF0000"/>
      <name val="Calibri"/>
    </font>
    <font>
      <color rgb="FFFF0000"/>
      <name val="Calibri"/>
      <scheme val="minor"/>
    </font>
    <font>
      <b/>
      <sz val="11.0"/>
      <color rgb="FFFF0000"/>
      <name val="Calibri"/>
    </font>
    <font>
      <u/>
      <sz val="11.0"/>
      <color rgb="FFFF0000"/>
      <name val="Calibri"/>
    </font>
    <font>
      <sz val="11.0"/>
      <color rgb="FF0563C1"/>
      <name val="Calibri"/>
    </font>
    <font>
      <color theme="1"/>
      <name val="Calibri"/>
      <scheme val="minor"/>
    </font>
    <font>
      <sz val="11.0"/>
      <color rgb="FF2C363A"/>
      <name val="Roboto"/>
    </font>
    <font>
      <sz val="12.0"/>
      <color rgb="FF283842"/>
      <name val="Inter"/>
    </font>
    <font>
      <sz val="11.0"/>
      <color theme="10"/>
      <name val="Calibri"/>
    </font>
    <font>
      <sz val="12.0"/>
      <color rgb="FF262626"/>
      <name val="Arial"/>
    </font>
    <font>
      <sz val="12.0"/>
      <color rgb="FF262626"/>
      <name val="&quot;Avenir Next&quot;"/>
    </font>
    <font>
      <i/>
      <sz val="11.0"/>
      <color theme="1"/>
      <name val="Calibri"/>
    </font>
    <font>
      <i/>
      <sz val="11.0"/>
      <color rgb="FF000000"/>
      <name val="Calibri"/>
    </font>
    <font>
      <sz val="12.0"/>
      <color rgb="FF656565"/>
      <name val="&quot;Avenir Next&quot;"/>
    </font>
    <font>
      <u/>
      <color rgb="FF0000FF"/>
    </font>
    <font>
      <u/>
      <sz val="11.0"/>
      <color rgb="FF0563C1"/>
      <name val="Calibri"/>
    </font>
    <font>
      <color rgb="FF2C363A"/>
      <name val="Monospace"/>
    </font>
    <font>
      <sz val="18.0"/>
      <color theme="1"/>
      <name val="Calibri"/>
      <scheme val="minor"/>
    </font>
    <font>
      <sz val="15.0"/>
      <color theme="1"/>
      <name val="Calibri"/>
      <scheme val="minor"/>
    </font>
    <font>
      <b/>
      <sz val="16.0"/>
      <color theme="1"/>
      <name val="Calibri"/>
    </font>
    <font>
      <b/>
      <sz val="16.0"/>
      <color rgb="FFFFFFFF"/>
      <name val="Arial"/>
    </font>
    <font>
      <b/>
      <sz val="37.0"/>
      <color rgb="FFFFFFFF"/>
      <name val="Arial"/>
    </font>
    <font/>
    <font>
      <b/>
      <sz val="20.0"/>
      <color rgb="FFFFFFFF"/>
      <name val="Calibri"/>
    </font>
    <font>
      <sz val="12.0"/>
      <color rgb="FFCC0000"/>
      <name val="Calibri"/>
    </font>
    <font>
      <sz val="12.0"/>
      <color theme="1"/>
      <name val="Calibri"/>
    </font>
    <font>
      <sz val="12.0"/>
      <color rgb="FF9900FF"/>
      <name val="Calibri"/>
    </font>
    <font>
      <b/>
      <sz val="22.0"/>
      <color theme="1"/>
      <name val="Calibri"/>
    </font>
    <font>
      <sz val="18.0"/>
      <color rgb="FFCC0000"/>
      <name val="Calibri"/>
    </font>
    <font>
      <sz val="14.0"/>
      <color theme="1"/>
      <name val="Calibri"/>
    </font>
    <font>
      <sz val="18.0"/>
      <color rgb="FFFF0000"/>
      <name val="Calibri"/>
    </font>
    <font>
      <sz val="22.0"/>
      <color rgb="FFCC0000"/>
      <name val="Calibri"/>
    </font>
    <font>
      <sz val="16.0"/>
      <color rgb="FF0000FF"/>
      <name val="Calibri"/>
    </font>
    <font>
      <sz val="23.0"/>
      <color rgb="FFFF0000"/>
      <name val="Calibri"/>
    </font>
    <font>
      <b/>
      <sz val="18.0"/>
      <color theme="1"/>
      <name val="Calibri"/>
    </font>
    <font>
      <sz val="18.0"/>
      <color theme="1"/>
      <name val="Calibri"/>
    </font>
    <font>
      <sz val="14.0"/>
      <color theme="1"/>
      <name val="Tahoma"/>
    </font>
  </fonts>
  <fills count="22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4F6F8"/>
        <bgColor rgb="FFF4F6F8"/>
      </patternFill>
    </fill>
    <fill>
      <patternFill patternType="solid">
        <fgColor rgb="FF000000"/>
        <bgColor rgb="FF000000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CC99FF"/>
        <bgColor rgb="FFCC99FF"/>
      </patternFill>
    </fill>
    <fill>
      <patternFill patternType="solid">
        <fgColor rgb="FFFFC000"/>
        <bgColor rgb="FFFFC000"/>
      </patternFill>
    </fill>
    <fill>
      <patternFill patternType="solid">
        <fgColor rgb="FF666666"/>
        <bgColor rgb="FF666666"/>
      </patternFill>
    </fill>
    <fill>
      <patternFill patternType="solid">
        <fgColor rgb="FF7E99B2"/>
        <bgColor rgb="FF7E99B2"/>
      </patternFill>
    </fill>
    <fill>
      <patternFill patternType="solid">
        <fgColor rgb="FFF4B083"/>
        <bgColor rgb="FFF4B083"/>
      </patternFill>
    </fill>
    <fill>
      <patternFill patternType="solid">
        <fgColor rgb="FFDEE5EB"/>
        <bgColor rgb="FFDEE5EB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3C78D8"/>
        <bgColor rgb="FF3C78D8"/>
      </patternFill>
    </fill>
    <fill>
      <patternFill patternType="solid">
        <fgColor rgb="FF93C47D"/>
        <bgColor rgb="FF93C47D"/>
      </patternFill>
    </fill>
  </fills>
  <borders count="28">
    <border/>
    <border>
      <left style="thick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CECEE"/>
      </left>
      <right style="thin">
        <color rgb="FFD5D5D5"/>
      </right>
      <top style="thin">
        <color rgb="FFECECEE"/>
      </top>
      <bottom style="thin">
        <color rgb="FFECECEE"/>
      </bottom>
    </border>
    <border>
      <right style="thin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right style="medium">
        <color rgb="FF000000"/>
      </right>
    </border>
    <border>
      <left style="medium">
        <color rgb="FF000000"/>
      </left>
    </border>
    <border>
      <right style="thick">
        <color rgb="FF000000"/>
      </right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/>
    </xf>
    <xf borderId="1" fillId="2" fontId="2" numFmtId="0" xfId="0" applyAlignment="1" applyBorder="1" applyFont="1">
      <alignment horizontal="center"/>
    </xf>
    <xf borderId="0" fillId="0" fontId="3" numFmtId="164" xfId="0" applyFont="1" applyNumberFormat="1"/>
    <xf borderId="0" fillId="0" fontId="3" numFmtId="0" xfId="0" applyFont="1"/>
    <xf borderId="2" fillId="0" fontId="4" numFmtId="0" xfId="0" applyAlignment="1" applyBorder="1" applyFont="1">
      <alignment shrinkToFit="0" wrapText="1"/>
    </xf>
    <xf borderId="2" fillId="3" fontId="5" numFmtId="0" xfId="0" applyAlignment="1" applyBorder="1" applyFill="1" applyFont="1">
      <alignment shrinkToFit="0" wrapText="1"/>
    </xf>
    <xf borderId="2" fillId="4" fontId="6" numFmtId="0" xfId="0" applyAlignment="1" applyBorder="1" applyFill="1" applyFont="1">
      <alignment shrinkToFit="0" wrapText="1"/>
    </xf>
    <xf borderId="2" fillId="5" fontId="7" numFmtId="0" xfId="0" applyAlignment="1" applyBorder="1" applyFill="1" applyFont="1">
      <alignment shrinkToFit="0" wrapText="1"/>
    </xf>
    <xf borderId="2" fillId="4" fontId="7" numFmtId="165" xfId="0" applyAlignment="1" applyBorder="1" applyFont="1" applyNumberFormat="1">
      <alignment shrinkToFit="0" wrapText="1"/>
    </xf>
    <xf borderId="2" fillId="0" fontId="7" numFmtId="0" xfId="0" applyAlignment="1" applyBorder="1" applyFont="1">
      <alignment shrinkToFit="0" wrapText="1"/>
    </xf>
    <xf borderId="2" fillId="5" fontId="5" numFmtId="0" xfId="0" applyAlignment="1" applyBorder="1" applyFont="1">
      <alignment shrinkToFit="0" wrapText="1"/>
    </xf>
    <xf borderId="2" fillId="6" fontId="7" numFmtId="14" xfId="0" applyAlignment="1" applyBorder="1" applyFill="1" applyFont="1" applyNumberFormat="1">
      <alignment shrinkToFit="0" wrapText="1"/>
    </xf>
    <xf borderId="2" fillId="4" fontId="8" numFmtId="0" xfId="0" applyAlignment="1" applyBorder="1" applyFont="1">
      <alignment shrinkToFit="0" wrapText="1"/>
    </xf>
    <xf borderId="2" fillId="6" fontId="9" numFmtId="0" xfId="0" applyAlignment="1" applyBorder="1" applyFont="1">
      <alignment shrinkToFit="0" wrapText="1"/>
    </xf>
    <xf borderId="2" fillId="0" fontId="8" numFmtId="0" xfId="0" applyAlignment="1" applyBorder="1" applyFont="1">
      <alignment shrinkToFit="0" wrapText="1"/>
    </xf>
    <xf borderId="2" fillId="7" fontId="7" numFmtId="0" xfId="0" applyAlignment="1" applyBorder="1" applyFill="1" applyFont="1">
      <alignment shrinkToFit="0" wrapText="1"/>
    </xf>
    <xf borderId="2" fillId="0" fontId="7" numFmtId="0" xfId="0" applyBorder="1" applyFont="1"/>
    <xf borderId="2" fillId="0" fontId="10" numFmtId="0" xfId="0" applyBorder="1" applyFont="1"/>
    <xf borderId="2" fillId="8" fontId="7" numFmtId="0" xfId="0" applyAlignment="1" applyBorder="1" applyFill="1" applyFont="1">
      <alignment horizontal="right" vertical="bottom"/>
    </xf>
    <xf borderId="2" fillId="0" fontId="1" numFmtId="0" xfId="0" applyBorder="1" applyFont="1"/>
    <xf borderId="2" fillId="4" fontId="5" numFmtId="0" xfId="0" applyBorder="1" applyFont="1"/>
    <xf borderId="2" fillId="4" fontId="7" numFmtId="0" xfId="0" applyAlignment="1" applyBorder="1" applyFont="1">
      <alignment horizontal="right" vertical="bottom"/>
    </xf>
    <xf borderId="2" fillId="9" fontId="11" numFmtId="0" xfId="0" applyBorder="1" applyFill="1" applyFont="1"/>
    <xf borderId="2" fillId="10" fontId="7" numFmtId="0" xfId="0" applyAlignment="1" applyBorder="1" applyFill="1" applyFont="1">
      <alignment shrinkToFit="0" wrapText="1"/>
    </xf>
    <xf borderId="2" fillId="11" fontId="7" numFmtId="0" xfId="0" applyAlignment="1" applyBorder="1" applyFill="1" applyFont="1">
      <alignment shrinkToFit="0" wrapText="1"/>
    </xf>
    <xf borderId="2" fillId="0" fontId="7" numFmtId="0" xfId="0" applyAlignment="1" applyBorder="1" applyFont="1">
      <alignment readingOrder="0" shrinkToFit="0" wrapText="1"/>
    </xf>
    <xf borderId="2" fillId="12" fontId="7" numFmtId="0" xfId="0" applyAlignment="1" applyBorder="1" applyFill="1" applyFont="1">
      <alignment shrinkToFit="0" wrapText="1"/>
    </xf>
    <xf borderId="2" fillId="0" fontId="5" numFmtId="0" xfId="0" applyBorder="1" applyFont="1"/>
    <xf borderId="2" fillId="3" fontId="5" numFmtId="0" xfId="0" applyAlignment="1" applyBorder="1" applyFont="1">
      <alignment horizontal="center" shrinkToFit="0" vertical="top" wrapText="1"/>
    </xf>
    <xf borderId="2" fillId="4" fontId="6" numFmtId="0" xfId="0" applyAlignment="1" applyBorder="1" applyFont="1">
      <alignment horizontal="center" shrinkToFit="0" vertical="top" wrapText="1"/>
    </xf>
    <xf borderId="2" fillId="3" fontId="5" numFmtId="14" xfId="0" applyAlignment="1" applyBorder="1" applyFont="1" applyNumberFormat="1">
      <alignment horizontal="center" shrinkToFit="0" vertical="top" wrapText="1"/>
    </xf>
    <xf borderId="2" fillId="4" fontId="5" numFmtId="165" xfId="0" applyAlignment="1" applyBorder="1" applyFont="1" applyNumberFormat="1">
      <alignment horizontal="center" shrinkToFit="0" vertical="top" wrapText="1"/>
    </xf>
    <xf borderId="2" fillId="13" fontId="5" numFmtId="0" xfId="0" applyAlignment="1" applyBorder="1" applyFill="1" applyFont="1">
      <alignment horizontal="center" shrinkToFit="0" vertical="top" wrapText="1"/>
    </xf>
    <xf borderId="2" fillId="14" fontId="5" numFmtId="0" xfId="0" applyAlignment="1" applyBorder="1" applyFill="1" applyFont="1">
      <alignment horizontal="center" shrinkToFit="0" vertical="top" wrapText="1"/>
    </xf>
    <xf borderId="2" fillId="14" fontId="6" numFmtId="0" xfId="0" applyAlignment="1" applyBorder="1" applyFont="1">
      <alignment horizontal="center" shrinkToFit="0" vertical="top" wrapText="1"/>
    </xf>
    <xf borderId="2" fillId="7" fontId="5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2" fillId="0" fontId="5" numFmtId="0" xfId="0" applyAlignment="1" applyBorder="1" applyFont="1">
      <alignment horizontal="center" shrinkToFit="0" vertical="top" wrapText="1"/>
    </xf>
    <xf borderId="2" fillId="6" fontId="8" numFmtId="14" xfId="0" applyAlignment="1" applyBorder="1" applyFont="1" applyNumberFormat="1">
      <alignment shrinkToFit="0" wrapText="1"/>
    </xf>
    <xf borderId="2" fillId="6" fontId="8" numFmtId="0" xfId="0" applyAlignment="1" applyBorder="1" applyFont="1">
      <alignment shrinkToFit="0" wrapText="1"/>
    </xf>
    <xf borderId="2" fillId="11" fontId="8" numFmtId="0" xfId="0" applyAlignment="1" applyBorder="1" applyFont="1">
      <alignment shrinkToFit="0" wrapText="1"/>
    </xf>
    <xf borderId="2" fillId="4" fontId="8" numFmtId="165" xfId="0" applyAlignment="1" applyBorder="1" applyFont="1" applyNumberFormat="1">
      <alignment shrinkToFit="0" wrapText="1"/>
    </xf>
    <xf borderId="2" fillId="6" fontId="8" numFmtId="0" xfId="0" applyAlignment="1" applyBorder="1" applyFont="1">
      <alignment readingOrder="0" shrinkToFit="0" wrapText="1"/>
    </xf>
    <xf borderId="2" fillId="6" fontId="12" numFmtId="14" xfId="0" applyAlignment="1" applyBorder="1" applyFont="1" applyNumberFormat="1">
      <alignment readingOrder="0" shrinkToFit="0" wrapText="1"/>
    </xf>
    <xf borderId="2" fillId="6" fontId="8" numFmtId="20" xfId="0" applyAlignment="1" applyBorder="1" applyFont="1" applyNumberFormat="1">
      <alignment shrinkToFit="0" wrapText="1"/>
    </xf>
    <xf borderId="2" fillId="0" fontId="9" numFmtId="0" xfId="0" applyAlignment="1" applyBorder="1" applyFont="1">
      <alignment shrinkToFit="0" wrapText="1"/>
    </xf>
    <xf borderId="0" fillId="6" fontId="9" numFmtId="0" xfId="0" applyAlignment="1" applyFont="1">
      <alignment shrinkToFit="0" wrapText="1"/>
    </xf>
    <xf borderId="2" fillId="4" fontId="9" numFmtId="0" xfId="0" applyAlignment="1" applyBorder="1" applyFont="1">
      <alignment shrinkToFit="0" wrapText="1"/>
    </xf>
    <xf borderId="2" fillId="7" fontId="9" numFmtId="0" xfId="0" applyAlignment="1" applyBorder="1" applyFont="1">
      <alignment shrinkToFit="0" wrapText="1"/>
    </xf>
    <xf borderId="2" fillId="6" fontId="9" numFmtId="0" xfId="0" applyAlignment="1" applyBorder="1" applyFont="1">
      <alignment readingOrder="0" shrinkToFit="0" wrapText="1"/>
    </xf>
    <xf borderId="2" fillId="5" fontId="13" numFmtId="0" xfId="0" applyAlignment="1" applyBorder="1" applyFont="1">
      <alignment shrinkToFit="0" wrapText="0"/>
    </xf>
    <xf borderId="2" fillId="3" fontId="9" numFmtId="0" xfId="0" applyAlignment="1" applyBorder="1" applyFont="1">
      <alignment shrinkToFit="0" wrapText="1"/>
    </xf>
    <xf borderId="2" fillId="0" fontId="14" numFmtId="0" xfId="0" applyBorder="1" applyFont="1"/>
    <xf borderId="2" fillId="15" fontId="9" numFmtId="0" xfId="0" applyAlignment="1" applyBorder="1" applyFill="1" applyFont="1">
      <alignment vertical="bottom"/>
    </xf>
    <xf borderId="2" fillId="15" fontId="9" numFmtId="3" xfId="0" applyAlignment="1" applyBorder="1" applyFont="1" applyNumberFormat="1">
      <alignment horizontal="right" vertical="bottom"/>
    </xf>
    <xf borderId="2" fillId="8" fontId="9" numFmtId="0" xfId="0" applyAlignment="1" applyBorder="1" applyFont="1">
      <alignment vertical="bottom"/>
    </xf>
    <xf borderId="2" fillId="5" fontId="9" numFmtId="0" xfId="0" applyAlignment="1" applyBorder="1" applyFont="1">
      <alignment horizontal="right" vertical="bottom"/>
    </xf>
    <xf borderId="2" fillId="5" fontId="9" numFmtId="0" xfId="0" applyAlignment="1" applyBorder="1" applyFont="1">
      <alignment vertical="bottom"/>
    </xf>
    <xf borderId="2" fillId="0" fontId="15" numFmtId="0" xfId="0" applyBorder="1" applyFont="1"/>
    <xf borderId="2" fillId="6" fontId="8" numFmtId="14" xfId="0" applyAlignment="1" applyBorder="1" applyFont="1" applyNumberFormat="1">
      <alignment readingOrder="0" shrinkToFit="0" wrapText="1"/>
    </xf>
    <xf borderId="0" fillId="0" fontId="16" numFmtId="0" xfId="0" applyFont="1"/>
    <xf borderId="2" fillId="12" fontId="8" numFmtId="0" xfId="0" applyAlignment="1" applyBorder="1" applyFont="1">
      <alignment shrinkToFit="0" wrapText="1"/>
    </xf>
    <xf borderId="2" fillId="6" fontId="8" numFmtId="166" xfId="0" applyAlignment="1" applyBorder="1" applyFont="1" applyNumberFormat="1">
      <alignment shrinkToFit="0" wrapText="1"/>
    </xf>
    <xf borderId="2" fillId="6" fontId="8" numFmtId="20" xfId="0" applyAlignment="1" applyBorder="1" applyFont="1" applyNumberFormat="1">
      <alignment readingOrder="0" shrinkToFit="0" wrapText="1"/>
    </xf>
    <xf borderId="2" fillId="16" fontId="9" numFmtId="0" xfId="0" applyAlignment="1" applyBorder="1" applyFill="1" applyFont="1">
      <alignment shrinkToFit="0" wrapText="1"/>
    </xf>
    <xf borderId="2" fillId="0" fontId="9" numFmtId="0" xfId="0" applyBorder="1" applyFont="1"/>
    <xf borderId="2" fillId="17" fontId="17" numFmtId="0" xfId="0" applyAlignment="1" applyBorder="1" applyFill="1" applyFont="1">
      <alignment horizontal="right" vertical="bottom"/>
    </xf>
    <xf borderId="2" fillId="6" fontId="8" numFmtId="167" xfId="0" applyAlignment="1" applyBorder="1" applyFont="1" applyNumberFormat="1">
      <alignment shrinkToFit="0" wrapText="1"/>
    </xf>
    <xf borderId="2" fillId="6" fontId="18" numFmtId="0" xfId="0" applyAlignment="1" applyBorder="1" applyFont="1">
      <alignment shrinkToFit="0" wrapText="1"/>
    </xf>
    <xf borderId="0" fillId="0" fontId="9" numFmtId="0" xfId="0" applyAlignment="1" applyFont="1">
      <alignment shrinkToFit="0" wrapText="1"/>
    </xf>
    <xf borderId="2" fillId="6" fontId="7" numFmtId="0" xfId="0" applyAlignment="1" applyBorder="1" applyFont="1">
      <alignment shrinkToFit="0" wrapText="1"/>
    </xf>
    <xf borderId="2" fillId="6" fontId="7" numFmtId="0" xfId="0" applyAlignment="1" applyBorder="1" applyFont="1">
      <alignment readingOrder="0" shrinkToFit="0" wrapText="1"/>
    </xf>
    <xf borderId="2" fillId="6" fontId="19" numFmtId="0" xfId="0" applyAlignment="1" applyBorder="1" applyFont="1">
      <alignment readingOrder="0" shrinkToFit="0" wrapText="1"/>
    </xf>
    <xf borderId="0" fillId="0" fontId="20" numFmtId="0" xfId="0" applyAlignment="1" applyFont="1">
      <alignment readingOrder="0"/>
    </xf>
    <xf borderId="2" fillId="0" fontId="8" numFmtId="14" xfId="0" applyAlignment="1" applyBorder="1" applyFont="1" applyNumberFormat="1">
      <alignment shrinkToFit="0" wrapText="1"/>
    </xf>
    <xf borderId="2" fillId="5" fontId="8" numFmtId="168" xfId="0" applyAlignment="1" applyBorder="1" applyFont="1" applyNumberFormat="1">
      <alignment shrinkToFit="0" wrapText="1"/>
    </xf>
    <xf borderId="2" fillId="5" fontId="8" numFmtId="0" xfId="0" applyAlignment="1" applyBorder="1" applyFont="1">
      <alignment shrinkToFit="0" wrapText="1"/>
    </xf>
    <xf borderId="2" fillId="0" fontId="8" numFmtId="0" xfId="0" applyAlignment="1" applyBorder="1" applyFont="1">
      <alignment readingOrder="0" shrinkToFit="0" wrapText="1"/>
    </xf>
    <xf borderId="2" fillId="0" fontId="8" numFmtId="20" xfId="0" applyAlignment="1" applyBorder="1" applyFont="1" applyNumberForma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2" fillId="5" fontId="21" numFmtId="0" xfId="0" applyAlignment="1" applyBorder="1" applyFont="1">
      <alignment horizontal="left" readingOrder="0"/>
    </xf>
    <xf borderId="2" fillId="6" fontId="7" numFmtId="14" xfId="0" applyAlignment="1" applyBorder="1" applyFont="1" applyNumberFormat="1">
      <alignment readingOrder="0" shrinkToFit="0" wrapText="1"/>
    </xf>
    <xf borderId="2" fillId="6" fontId="7" numFmtId="20" xfId="0" applyAlignment="1" applyBorder="1" applyFont="1" applyNumberFormat="1">
      <alignment readingOrder="0" shrinkToFit="0" wrapText="1"/>
    </xf>
    <xf borderId="2" fillId="5" fontId="22" numFmtId="0" xfId="0" applyAlignment="1" applyBorder="1" applyFont="1">
      <alignment readingOrder="0"/>
    </xf>
    <xf borderId="2" fillId="4" fontId="8" numFmtId="0" xfId="0" applyAlignment="1" applyBorder="1" applyFont="1">
      <alignment readingOrder="0" shrinkToFit="0" wrapText="1"/>
    </xf>
    <xf borderId="2" fillId="3" fontId="7" numFmtId="0" xfId="0" applyAlignment="1" applyBorder="1" applyFont="1">
      <alignment shrinkToFit="0" wrapText="1"/>
    </xf>
    <xf borderId="2" fillId="5" fontId="7" numFmtId="0" xfId="0" applyAlignment="1" applyBorder="1" applyFont="1">
      <alignment shrinkToFit="0" vertical="bottom" wrapText="1"/>
    </xf>
    <xf borderId="2" fillId="4" fontId="7" numFmtId="0" xfId="0" applyAlignment="1" applyBorder="1" applyFont="1">
      <alignment shrinkToFit="0" vertical="bottom" wrapText="1"/>
    </xf>
    <xf borderId="2" fillId="5" fontId="7" numFmtId="14" xfId="0" applyAlignment="1" applyBorder="1" applyFont="1" applyNumberFormat="1">
      <alignment vertical="bottom"/>
    </xf>
    <xf borderId="2" fillId="5" fontId="7" numFmtId="0" xfId="0" applyAlignment="1" applyBorder="1" applyFont="1">
      <alignment vertical="bottom"/>
    </xf>
    <xf borderId="2" fillId="4" fontId="7" numFmtId="165" xfId="0" applyAlignment="1" applyBorder="1" applyFont="1" applyNumberFormat="1">
      <alignment horizontal="right" shrinkToFit="0" vertical="bottom" wrapText="1"/>
    </xf>
    <xf borderId="2" fillId="5" fontId="7" numFmtId="0" xfId="0" applyAlignment="1" applyBorder="1" applyFont="1">
      <alignment horizontal="right" shrinkToFit="0" vertical="bottom" wrapText="1"/>
    </xf>
    <xf borderId="2" fillId="6" fontId="19" numFmtId="0" xfId="0" applyAlignment="1" applyBorder="1" applyFont="1">
      <alignment shrinkToFit="0" wrapText="1"/>
    </xf>
    <xf borderId="2" fillId="6" fontId="23" numFmtId="0" xfId="0" applyAlignment="1" applyBorder="1" applyFont="1">
      <alignment shrinkToFit="0" wrapText="1"/>
    </xf>
    <xf borderId="0" fillId="5" fontId="24" numFmtId="0" xfId="0" applyAlignment="1" applyFont="1">
      <alignment readingOrder="0" shrinkToFit="0" wrapText="0"/>
    </xf>
    <xf borderId="2" fillId="5" fontId="25" numFmtId="0" xfId="0" applyBorder="1" applyFont="1"/>
    <xf borderId="2" fillId="6" fontId="7" numFmtId="169" xfId="0" applyAlignment="1" applyBorder="1" applyFont="1" applyNumberFormat="1">
      <alignment readingOrder="0" shrinkToFit="0" wrapText="1"/>
    </xf>
    <xf borderId="2" fillId="6" fontId="7" numFmtId="170" xfId="0" applyAlignment="1" applyBorder="1" applyFont="1" applyNumberFormat="1">
      <alignment readingOrder="0" shrinkToFit="0" wrapText="1"/>
    </xf>
    <xf borderId="0" fillId="5" fontId="22" numFmtId="0" xfId="0" applyAlignment="1" applyFont="1">
      <alignment readingOrder="0"/>
    </xf>
    <xf borderId="2" fillId="4" fontId="7" numFmtId="165" xfId="0" applyAlignment="1" applyBorder="1" applyFont="1" applyNumberFormat="1">
      <alignment readingOrder="0" shrinkToFit="0" wrapText="1"/>
    </xf>
    <xf borderId="2" fillId="6" fontId="26" numFmtId="0" xfId="0" applyAlignment="1" applyBorder="1" applyFont="1">
      <alignment readingOrder="0" shrinkToFit="0" wrapText="1"/>
    </xf>
    <xf borderId="2" fillId="4" fontId="7" numFmtId="0" xfId="0" applyAlignment="1" applyBorder="1" applyFont="1">
      <alignment readingOrder="0" shrinkToFit="0" wrapText="1"/>
    </xf>
    <xf borderId="2" fillId="18" fontId="19" numFmtId="0" xfId="0" applyAlignment="1" applyBorder="1" applyFill="1" applyFont="1">
      <alignment shrinkToFit="0" wrapText="1"/>
    </xf>
    <xf borderId="2" fillId="12" fontId="8" numFmtId="0" xfId="0" applyAlignment="1" applyBorder="1" applyFont="1">
      <alignment readingOrder="0" shrinkToFit="0" wrapText="1"/>
    </xf>
    <xf borderId="2" fillId="19" fontId="7" numFmtId="0" xfId="0" applyAlignment="1" applyBorder="1" applyFill="1" applyFont="1">
      <alignment shrinkToFit="0" wrapText="1"/>
    </xf>
    <xf borderId="2" fillId="6" fontId="27" numFmtId="0" xfId="0" applyAlignment="1" applyBorder="1" applyFont="1">
      <alignment readingOrder="0" shrinkToFit="0" wrapText="1"/>
    </xf>
    <xf borderId="2" fillId="4" fontId="8" numFmtId="165" xfId="0" applyAlignment="1" applyBorder="1" applyFont="1" applyNumberFormat="1">
      <alignment readingOrder="0" shrinkToFit="0" wrapText="1"/>
    </xf>
    <xf borderId="2" fillId="6" fontId="8" numFmtId="171" xfId="0" applyAlignment="1" applyBorder="1" applyFont="1" applyNumberFormat="1">
      <alignment readingOrder="0" shrinkToFit="0" wrapText="1"/>
    </xf>
    <xf borderId="2" fillId="5" fontId="24" numFmtId="0" xfId="0" applyAlignment="1" applyBorder="1" applyFont="1">
      <alignment readingOrder="0" shrinkToFit="0" wrapText="0"/>
    </xf>
    <xf borderId="2" fillId="6" fontId="7" numFmtId="20" xfId="0" applyAlignment="1" applyBorder="1" applyFont="1" applyNumberFormat="1">
      <alignment shrinkToFit="0" wrapText="1"/>
    </xf>
    <xf borderId="3" fillId="0" fontId="7" numFmtId="0" xfId="0" applyAlignment="1" applyBorder="1" applyFont="1">
      <alignment shrinkToFit="0" wrapText="1"/>
    </xf>
    <xf borderId="3" fillId="6" fontId="7" numFmtId="0" xfId="0" applyAlignment="1" applyBorder="1" applyFont="1">
      <alignment shrinkToFit="0" wrapText="1"/>
    </xf>
    <xf borderId="2" fillId="11" fontId="8" numFmtId="0" xfId="0" applyAlignment="1" applyBorder="1" applyFont="1">
      <alignment readingOrder="0" shrinkToFit="0" wrapText="1"/>
    </xf>
    <xf borderId="2" fillId="5" fontId="28" numFmtId="0" xfId="0" applyBorder="1" applyFont="1"/>
    <xf borderId="0" fillId="0" fontId="7" numFmtId="0" xfId="0" applyAlignment="1" applyFont="1">
      <alignment shrinkToFit="0" wrapText="1"/>
    </xf>
    <xf borderId="2" fillId="0" fontId="29" numFmtId="0" xfId="0" applyAlignment="1" applyBorder="1" applyFont="1">
      <alignment readingOrder="0"/>
    </xf>
    <xf borderId="0" fillId="12" fontId="7" numFmtId="0" xfId="0" applyAlignment="1" applyFont="1">
      <alignment shrinkToFit="0" wrapText="1"/>
    </xf>
    <xf borderId="2" fillId="6" fontId="12" numFmtId="0" xfId="0" applyAlignment="1" applyBorder="1" applyFont="1">
      <alignment readingOrder="0" shrinkToFit="0" wrapText="1"/>
    </xf>
    <xf borderId="2" fillId="6" fontId="30" numFmtId="0" xfId="0" applyAlignment="1" applyBorder="1" applyFont="1">
      <alignment readingOrder="0" shrinkToFit="0" wrapText="1"/>
    </xf>
    <xf borderId="2" fillId="5" fontId="31" numFmtId="0" xfId="0" applyAlignment="1" applyBorder="1" applyFont="1">
      <alignment horizontal="left" readingOrder="0"/>
    </xf>
    <xf borderId="2" fillId="6" fontId="8" numFmtId="170" xfId="0" applyAlignment="1" applyBorder="1" applyFont="1" applyNumberFormat="1">
      <alignment readingOrder="0" shrinkToFit="0" wrapText="1"/>
    </xf>
    <xf borderId="0" fillId="5" fontId="21" numFmtId="0" xfId="0" applyAlignment="1" applyFont="1">
      <alignment horizontal="left" readingOrder="0"/>
    </xf>
    <xf borderId="0" fillId="11" fontId="8" numFmtId="0" xfId="0" applyAlignment="1" applyFont="1">
      <alignment readingOrder="0" shrinkToFit="0" wrapText="1"/>
    </xf>
    <xf borderId="2" fillId="6" fontId="23" numFmtId="16" xfId="0" applyAlignment="1" applyBorder="1" applyFont="1" applyNumberFormat="1">
      <alignment shrinkToFit="0" wrapText="1"/>
    </xf>
    <xf borderId="2" fillId="0" fontId="7" numFmtId="171" xfId="0" applyAlignment="1" applyBorder="1" applyFont="1" applyNumberFormat="1">
      <alignment shrinkToFit="0" wrapText="1"/>
    </xf>
    <xf borderId="2" fillId="5" fontId="7" numFmtId="171" xfId="0" applyAlignment="1" applyBorder="1" applyFont="1" applyNumberFormat="1">
      <alignment shrinkToFit="0" wrapText="1"/>
    </xf>
    <xf borderId="2" fillId="0" fontId="7" numFmtId="14" xfId="0" applyAlignment="1" applyBorder="1" applyFont="1" applyNumberFormat="1">
      <alignment shrinkToFit="0" wrapText="1"/>
    </xf>
    <xf borderId="2" fillId="0" fontId="20" numFmtId="0" xfId="0" applyBorder="1" applyFont="1"/>
    <xf borderId="0" fillId="0" fontId="32" numFmtId="0" xfId="0" applyAlignment="1" applyFont="1">
      <alignment horizontal="center"/>
    </xf>
    <xf borderId="0" fillId="0" fontId="32" numFmtId="0" xfId="0" applyFont="1"/>
    <xf borderId="0" fillId="0" fontId="33" numFmtId="0" xfId="0" applyFont="1"/>
    <xf borderId="0" fillId="0" fontId="20" numFmtId="0" xfId="0" applyFont="1"/>
    <xf borderId="0" fillId="0" fontId="34" numFmtId="0" xfId="0" applyAlignment="1" applyFont="1">
      <alignment vertical="center"/>
    </xf>
    <xf borderId="0" fillId="2" fontId="35" numFmtId="0" xfId="0" applyAlignment="1" applyFont="1">
      <alignment horizontal="center" vertical="center"/>
    </xf>
    <xf borderId="4" fillId="2" fontId="36" numFmtId="0" xfId="0" applyAlignment="1" applyBorder="1" applyFont="1">
      <alignment horizontal="center" vertical="center"/>
    </xf>
    <xf borderId="0" fillId="2" fontId="36" numFmtId="0" xfId="0" applyAlignment="1" applyFont="1">
      <alignment horizontal="center" vertical="center"/>
    </xf>
    <xf borderId="0" fillId="20" fontId="2" numFmtId="0" xfId="0" applyAlignment="1" applyFill="1" applyFont="1">
      <alignment horizontal="center"/>
    </xf>
    <xf borderId="5" fillId="2" fontId="2" numFmtId="0" xfId="0" applyAlignment="1" applyBorder="1" applyFont="1">
      <alignment horizontal="center" vertical="center"/>
    </xf>
    <xf borderId="6" fillId="0" fontId="37" numFmtId="0" xfId="0" applyBorder="1" applyFont="1"/>
    <xf borderId="7" fillId="0" fontId="37" numFmtId="0" xfId="0" applyBorder="1" applyFont="1"/>
    <xf borderId="8" fillId="2" fontId="2" numFmtId="0" xfId="0" applyAlignment="1" applyBorder="1" applyFont="1">
      <alignment horizontal="center" vertical="center"/>
    </xf>
    <xf borderId="9" fillId="0" fontId="37" numFmtId="0" xfId="0" applyBorder="1" applyFont="1"/>
    <xf borderId="4" fillId="2" fontId="38" numFmtId="0" xfId="0" applyBorder="1" applyFont="1"/>
    <xf borderId="0" fillId="2" fontId="38" numFmtId="0" xfId="0" applyFont="1"/>
    <xf borderId="10" fillId="2" fontId="2" numFmtId="0" xfId="0" applyAlignment="1" applyBorder="1" applyFont="1">
      <alignment horizontal="center"/>
    </xf>
    <xf borderId="11" fillId="2" fontId="2" numFmtId="0" xfId="0" applyAlignment="1" applyBorder="1" applyFont="1">
      <alignment horizontal="center"/>
    </xf>
    <xf borderId="12" fillId="2" fontId="2" numFmtId="0" xfId="0" applyAlignment="1" applyBorder="1" applyFont="1">
      <alignment horizontal="center"/>
    </xf>
    <xf borderId="13" fillId="2" fontId="2" numFmtId="0" xfId="0" applyAlignment="1" applyBorder="1" applyFont="1">
      <alignment horizontal="center"/>
    </xf>
    <xf borderId="0" fillId="0" fontId="34" numFmtId="164" xfId="0" applyAlignment="1" applyFont="1" applyNumberFormat="1">
      <alignment vertical="center"/>
    </xf>
    <xf borderId="0" fillId="0" fontId="39" numFmtId="0" xfId="0" applyFont="1"/>
    <xf borderId="14" fillId="0" fontId="40" numFmtId="0" xfId="0" applyBorder="1" applyFont="1"/>
    <xf borderId="0" fillId="0" fontId="40" numFmtId="0" xfId="0" applyFont="1"/>
    <xf borderId="15" fillId="0" fontId="40" numFmtId="0" xfId="0" applyBorder="1" applyFont="1"/>
    <xf borderId="16" fillId="0" fontId="40" numFmtId="0" xfId="0" applyBorder="1" applyFont="1"/>
    <xf borderId="17" fillId="0" fontId="40" numFmtId="0" xfId="0" applyBorder="1" applyFont="1"/>
    <xf borderId="4" fillId="0" fontId="41" numFmtId="0" xfId="0" applyBorder="1" applyFont="1"/>
    <xf borderId="0" fillId="0" fontId="41" numFmtId="0" xfId="0" applyFont="1"/>
    <xf borderId="18" fillId="0" fontId="42" numFmtId="0" xfId="0" applyAlignment="1" applyBorder="1" applyFont="1">
      <alignment horizontal="center" vertical="center"/>
    </xf>
    <xf borderId="6" fillId="0" fontId="43" numFmtId="0" xfId="0" applyAlignment="1" applyBorder="1" applyFont="1">
      <alignment horizontal="center" vertical="center"/>
    </xf>
    <xf borderId="5" fillId="0" fontId="44" numFmtId="0" xfId="0" applyAlignment="1" applyBorder="1" applyFont="1">
      <alignment horizontal="center" vertical="center"/>
    </xf>
    <xf borderId="6" fillId="0" fontId="44" numFmtId="0" xfId="0" applyAlignment="1" applyBorder="1" applyFont="1">
      <alignment horizontal="center" vertical="center"/>
    </xf>
    <xf borderId="7" fillId="0" fontId="44" numFmtId="0" xfId="0" applyAlignment="1" applyBorder="1" applyFont="1">
      <alignment horizontal="center" vertical="center"/>
    </xf>
    <xf borderId="8" fillId="0" fontId="44" numFmtId="0" xfId="0" applyAlignment="1" applyBorder="1" applyFont="1">
      <alignment horizontal="center" vertical="center"/>
    </xf>
    <xf borderId="9" fillId="0" fontId="44" numFmtId="0" xfId="0" applyAlignment="1" applyBorder="1" applyFont="1">
      <alignment horizontal="center" vertical="center"/>
    </xf>
    <xf borderId="4" fillId="0" fontId="45" numFmtId="0" xfId="0" applyAlignment="1" applyBorder="1" applyFont="1">
      <alignment horizontal="center" vertical="center"/>
    </xf>
    <xf borderId="0" fillId="0" fontId="45" numFmtId="0" xfId="0" applyAlignment="1" applyFont="1">
      <alignment horizontal="center" vertical="center"/>
    </xf>
    <xf borderId="19" fillId="0" fontId="42" numFmtId="0" xfId="0" applyAlignment="1" applyBorder="1" applyFont="1">
      <alignment horizontal="center" vertical="center"/>
    </xf>
    <xf borderId="0" fillId="0" fontId="43" numFmtId="0" xfId="0" applyAlignment="1" applyFont="1">
      <alignment horizontal="center" vertical="center"/>
    </xf>
    <xf borderId="14" fillId="0" fontId="44" numFmtId="0" xfId="0" applyAlignment="1" applyBorder="1" applyFont="1">
      <alignment horizontal="center" vertical="center"/>
    </xf>
    <xf borderId="0" fillId="0" fontId="44" numFmtId="0" xfId="0" applyAlignment="1" applyFont="1">
      <alignment horizontal="center" vertical="center"/>
    </xf>
    <xf borderId="15" fillId="0" fontId="44" numFmtId="0" xfId="0" applyAlignment="1" applyBorder="1" applyFont="1">
      <alignment horizontal="center" vertical="center"/>
    </xf>
    <xf borderId="16" fillId="0" fontId="44" numFmtId="0" xfId="0" applyAlignment="1" applyBorder="1" applyFont="1">
      <alignment horizontal="center" vertical="center"/>
    </xf>
    <xf borderId="17" fillId="0" fontId="44" numFmtId="0" xfId="0" applyAlignment="1" applyBorder="1" applyFont="1">
      <alignment horizontal="center" vertical="center"/>
    </xf>
    <xf borderId="20" fillId="0" fontId="42" numFmtId="0" xfId="0" applyAlignment="1" applyBorder="1" applyFont="1">
      <alignment vertical="center"/>
    </xf>
    <xf borderId="21" fillId="0" fontId="46" numFmtId="0" xfId="0" applyAlignment="1" applyBorder="1" applyFont="1">
      <alignment horizontal="center" vertical="center"/>
    </xf>
    <xf borderId="22" fillId="0" fontId="47" numFmtId="0" xfId="0" applyAlignment="1" applyBorder="1" applyFont="1">
      <alignment horizontal="center" vertical="center"/>
    </xf>
    <xf borderId="21" fillId="0" fontId="47" numFmtId="0" xfId="0" applyAlignment="1" applyBorder="1" applyFont="1">
      <alignment horizontal="center" vertical="center"/>
    </xf>
    <xf borderId="23" fillId="0" fontId="47" numFmtId="0" xfId="0" applyAlignment="1" applyBorder="1" applyFont="1">
      <alignment horizontal="center" vertical="center"/>
    </xf>
    <xf borderId="24" fillId="0" fontId="47" numFmtId="0" xfId="0" applyAlignment="1" applyBorder="1" applyFont="1">
      <alignment horizontal="center" vertical="center"/>
    </xf>
    <xf borderId="25" fillId="0" fontId="47" numFmtId="0" xfId="0" applyAlignment="1" applyBorder="1" applyFont="1">
      <alignment horizontal="center" vertical="center"/>
    </xf>
    <xf borderId="4" fillId="0" fontId="48" numFmtId="0" xfId="0" applyAlignment="1" applyBorder="1" applyFont="1">
      <alignment horizontal="center" vertical="center"/>
    </xf>
    <xf borderId="0" fillId="0" fontId="48" numFmtId="0" xfId="0" applyAlignment="1" applyFont="1">
      <alignment horizontal="center" vertical="center"/>
    </xf>
    <xf borderId="0" fillId="0" fontId="49" numFmtId="0" xfId="0" applyAlignment="1" applyFont="1">
      <alignment vertical="center"/>
    </xf>
    <xf borderId="0" fillId="0" fontId="50" numFmtId="0" xfId="0" applyFont="1"/>
    <xf borderId="4" fillId="0" fontId="50" numFmtId="0" xfId="0" applyBorder="1" applyFont="1"/>
    <xf borderId="4" fillId="0" fontId="1" numFmtId="0" xfId="0" applyBorder="1" applyFont="1"/>
    <xf borderId="0" fillId="0" fontId="51" numFmtId="0" xfId="0" applyAlignment="1" applyFont="1">
      <alignment horizontal="center" shrinkToFit="0" vertical="top" wrapText="1"/>
    </xf>
    <xf borderId="2" fillId="0" fontId="51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0" fillId="0" fontId="7" numFmtId="0" xfId="0" applyAlignment="1" applyFont="1">
      <alignment horizontal="center" vertical="top"/>
    </xf>
    <xf borderId="26" fillId="0" fontId="51" numFmtId="0" xfId="0" applyAlignment="1" applyBorder="1" applyFont="1">
      <alignment horizontal="left" shrinkToFit="0" vertical="top" wrapText="1"/>
    </xf>
    <xf borderId="2" fillId="0" fontId="51" numFmtId="0" xfId="0" applyAlignment="1" applyBorder="1" applyFont="1">
      <alignment horizontal="left" shrinkToFit="0" vertical="top" wrapText="1"/>
    </xf>
    <xf borderId="0" fillId="0" fontId="51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vertical="top"/>
    </xf>
    <xf borderId="0" fillId="21" fontId="6" numFmtId="164" xfId="0" applyAlignment="1" applyFill="1" applyFont="1" applyNumberFormat="1">
      <alignment shrinkToFit="0" wrapText="1"/>
    </xf>
    <xf borderId="0" fillId="21" fontId="6" numFmtId="164" xfId="0" applyAlignment="1" applyFont="1" applyNumberFormat="1">
      <alignment readingOrder="0" shrinkToFit="0" wrapText="1"/>
    </xf>
    <xf borderId="0" fillId="21" fontId="1" numFmtId="164" xfId="0" applyFont="1" applyNumberFormat="1"/>
    <xf borderId="27" fillId="3" fontId="5" numFmtId="0" xfId="0" applyBorder="1" applyFont="1"/>
    <xf borderId="0" fillId="0" fontId="7" numFmtId="14" xfId="0" applyFont="1" applyNumberFormat="1"/>
    <xf borderId="0" fillId="0" fontId="7" numFmtId="0" xfId="0" applyFont="1"/>
    <xf borderId="0" fillId="0" fontId="7" numFmtId="20" xfId="0" applyFont="1" applyNumberFormat="1"/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tableStyles count="1">
    <tableStyle count="2" pivot="0" name="Daily Count by Group-style"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5:DX18" displayName="Table_1" name="Table_1" id="1">
  <tableColumns count="1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</tableColumns>
  <tableStyleInfo name="Daily Count by Grou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wu.jessica630@gmail.com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4" width="8.71"/>
    <col customWidth="1" min="5" max="5" width="22.14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4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ht="14.25" customHeight="1">
      <c r="A4" s="1" t="s">
        <v>15</v>
      </c>
      <c r="B4" s="1" t="s">
        <v>16</v>
      </c>
      <c r="C4" s="1" t="s">
        <v>12</v>
      </c>
      <c r="D4" s="1" t="s">
        <v>17</v>
      </c>
      <c r="E4" s="1" t="s">
        <v>18</v>
      </c>
    </row>
    <row r="5" ht="14.25" customHeight="1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 ht="14.25" customHeight="1">
      <c r="A6" s="1" t="s">
        <v>24</v>
      </c>
      <c r="B6" s="1" t="s">
        <v>25</v>
      </c>
      <c r="C6" s="1" t="s">
        <v>21</v>
      </c>
      <c r="D6" s="1" t="s">
        <v>22</v>
      </c>
      <c r="E6" s="1" t="s">
        <v>23</v>
      </c>
    </row>
    <row r="7" ht="14.25" customHeight="1">
      <c r="A7" s="1" t="s">
        <v>26</v>
      </c>
      <c r="B7" s="1" t="s">
        <v>27</v>
      </c>
      <c r="C7" s="1" t="s">
        <v>12</v>
      </c>
      <c r="D7" s="1" t="s">
        <v>22</v>
      </c>
      <c r="E7" s="1" t="s">
        <v>28</v>
      </c>
    </row>
    <row r="8" ht="14.25" customHeight="1">
      <c r="A8" s="1" t="s">
        <v>29</v>
      </c>
      <c r="B8" s="1" t="s">
        <v>30</v>
      </c>
      <c r="C8" s="1" t="s">
        <v>21</v>
      </c>
      <c r="D8" s="1" t="s">
        <v>22</v>
      </c>
      <c r="E8" s="1" t="s">
        <v>31</v>
      </c>
    </row>
    <row r="9" ht="14.25" customHeight="1">
      <c r="A9" s="1" t="s">
        <v>32</v>
      </c>
      <c r="B9" s="1" t="s">
        <v>33</v>
      </c>
      <c r="C9" s="1" t="s">
        <v>21</v>
      </c>
      <c r="D9" s="1" t="s">
        <v>17</v>
      </c>
      <c r="E9" s="1" t="s">
        <v>34</v>
      </c>
    </row>
    <row r="10" ht="14.25" customHeight="1">
      <c r="A10" s="1" t="s">
        <v>35</v>
      </c>
      <c r="B10" s="1" t="s">
        <v>36</v>
      </c>
      <c r="C10" s="1" t="s">
        <v>21</v>
      </c>
      <c r="D10" s="1" t="s">
        <v>8</v>
      </c>
      <c r="E10" s="1" t="s">
        <v>37</v>
      </c>
    </row>
    <row r="11" ht="14.25" customHeight="1">
      <c r="A11" s="1" t="s">
        <v>38</v>
      </c>
      <c r="B11" s="1" t="s">
        <v>6</v>
      </c>
      <c r="C11" s="1" t="s">
        <v>21</v>
      </c>
      <c r="D11" s="1" t="s">
        <v>8</v>
      </c>
      <c r="E11" s="1" t="s">
        <v>37</v>
      </c>
    </row>
    <row r="12" ht="14.25" customHeight="1">
      <c r="A12" s="1" t="s">
        <v>39</v>
      </c>
      <c r="B12" s="1" t="s">
        <v>40</v>
      </c>
      <c r="C12" s="1" t="s">
        <v>41</v>
      </c>
      <c r="D12" s="1" t="s">
        <v>17</v>
      </c>
      <c r="E12" s="1" t="s">
        <v>42</v>
      </c>
    </row>
    <row r="13" ht="14.25" customHeight="1">
      <c r="A13" s="1" t="s">
        <v>43</v>
      </c>
      <c r="B13" s="1" t="s">
        <v>11</v>
      </c>
      <c r="C13" s="1" t="s">
        <v>21</v>
      </c>
      <c r="D13" s="1" t="s">
        <v>13</v>
      </c>
      <c r="E13" s="1" t="s">
        <v>44</v>
      </c>
    </row>
    <row r="14" ht="14.25" customHeight="1">
      <c r="A14" s="1" t="s">
        <v>45</v>
      </c>
      <c r="B14" s="1" t="s">
        <v>30</v>
      </c>
      <c r="C14" s="1" t="s">
        <v>21</v>
      </c>
      <c r="D14" s="1" t="s">
        <v>13</v>
      </c>
      <c r="E14" s="1" t="s">
        <v>44</v>
      </c>
    </row>
    <row r="15" ht="14.25" customHeight="1">
      <c r="A15" s="1" t="s">
        <v>46</v>
      </c>
      <c r="B15" s="1" t="s">
        <v>40</v>
      </c>
      <c r="C15" s="1" t="s">
        <v>41</v>
      </c>
      <c r="D15" s="1" t="s">
        <v>13</v>
      </c>
      <c r="E15" s="1" t="s">
        <v>47</v>
      </c>
    </row>
    <row r="16" ht="14.25" customHeight="1">
      <c r="A16" s="1" t="s">
        <v>48</v>
      </c>
      <c r="B16" s="1" t="s">
        <v>27</v>
      </c>
      <c r="C16" s="1" t="s">
        <v>21</v>
      </c>
      <c r="D16" s="1" t="s">
        <v>49</v>
      </c>
      <c r="E16" s="1" t="s">
        <v>50</v>
      </c>
    </row>
    <row r="17" ht="14.25" customHeight="1">
      <c r="A17" s="1" t="s">
        <v>51</v>
      </c>
      <c r="B17" s="1" t="s">
        <v>6</v>
      </c>
      <c r="C17" s="1" t="s">
        <v>21</v>
      </c>
      <c r="D17" s="1" t="s">
        <v>49</v>
      </c>
      <c r="E17" s="1" t="s">
        <v>50</v>
      </c>
    </row>
    <row r="18" ht="14.25" customHeight="1">
      <c r="A18" s="1" t="s">
        <v>52</v>
      </c>
      <c r="B18" s="1" t="s">
        <v>33</v>
      </c>
      <c r="C18" s="1" t="s">
        <v>12</v>
      </c>
      <c r="D18" s="1" t="s">
        <v>17</v>
      </c>
      <c r="E18" s="1" t="s">
        <v>53</v>
      </c>
    </row>
    <row r="19" ht="14.25" customHeight="1">
      <c r="A19" s="1" t="s">
        <v>54</v>
      </c>
      <c r="B19" s="1" t="s">
        <v>6</v>
      </c>
      <c r="C19" s="1" t="s">
        <v>12</v>
      </c>
      <c r="D19" s="1" t="s">
        <v>17</v>
      </c>
      <c r="E19" s="1" t="s">
        <v>55</v>
      </c>
    </row>
    <row r="20" ht="14.25" customHeight="1">
      <c r="A20" s="1" t="s">
        <v>56</v>
      </c>
      <c r="B20" s="1" t="s">
        <v>36</v>
      </c>
      <c r="C20" s="1" t="s">
        <v>21</v>
      </c>
      <c r="D20" s="1" t="s">
        <v>17</v>
      </c>
      <c r="E20" s="1" t="s">
        <v>55</v>
      </c>
    </row>
    <row r="21" ht="14.25" customHeight="1">
      <c r="A21" s="1" t="s">
        <v>57</v>
      </c>
      <c r="B21" s="1" t="s">
        <v>58</v>
      </c>
      <c r="C21" s="1" t="s">
        <v>12</v>
      </c>
      <c r="D21" s="1" t="s">
        <v>17</v>
      </c>
      <c r="E21" s="1" t="s">
        <v>55</v>
      </c>
    </row>
    <row r="22" ht="14.25" customHeight="1">
      <c r="A22" s="1" t="s">
        <v>59</v>
      </c>
      <c r="B22" s="1" t="s">
        <v>40</v>
      </c>
      <c r="C22" s="1" t="s">
        <v>60</v>
      </c>
      <c r="D22" s="1" t="s">
        <v>17</v>
      </c>
      <c r="E22" s="1" t="s">
        <v>61</v>
      </c>
    </row>
    <row r="23" ht="14.25" customHeight="1">
      <c r="A23" s="1" t="s">
        <v>62</v>
      </c>
      <c r="B23" s="1" t="s">
        <v>6</v>
      </c>
      <c r="C23" s="1" t="s">
        <v>60</v>
      </c>
      <c r="D23" s="1" t="s">
        <v>17</v>
      </c>
      <c r="E23" s="1" t="s">
        <v>61</v>
      </c>
    </row>
    <row r="24" ht="14.25" customHeight="1">
      <c r="A24" s="1" t="s">
        <v>63</v>
      </c>
      <c r="B24" s="1" t="s">
        <v>64</v>
      </c>
      <c r="C24" s="1" t="s">
        <v>21</v>
      </c>
      <c r="D24" s="1" t="s">
        <v>8</v>
      </c>
      <c r="E24" s="1" t="s">
        <v>65</v>
      </c>
    </row>
    <row r="25" ht="14.25" customHeight="1">
      <c r="A25" s="1" t="s">
        <v>66</v>
      </c>
      <c r="B25" s="1" t="s">
        <v>58</v>
      </c>
      <c r="C25" s="1" t="s">
        <v>21</v>
      </c>
      <c r="D25" s="1" t="s">
        <v>8</v>
      </c>
      <c r="E25" s="1" t="s">
        <v>65</v>
      </c>
    </row>
    <row r="26" ht="14.25" customHeight="1">
      <c r="A26" s="1" t="s">
        <v>67</v>
      </c>
      <c r="B26" s="1" t="s">
        <v>25</v>
      </c>
      <c r="C26" s="1" t="s">
        <v>21</v>
      </c>
      <c r="D26" s="1" t="s">
        <v>13</v>
      </c>
      <c r="E26" s="1" t="s">
        <v>68</v>
      </c>
    </row>
    <row r="27" ht="14.25" customHeight="1">
      <c r="A27" s="1" t="s">
        <v>69</v>
      </c>
      <c r="B27" s="1" t="s">
        <v>30</v>
      </c>
      <c r="C27" s="1" t="s">
        <v>21</v>
      </c>
      <c r="D27" s="1" t="s">
        <v>17</v>
      </c>
      <c r="E27" s="1" t="s">
        <v>70</v>
      </c>
    </row>
    <row r="28" ht="14.25" customHeight="1">
      <c r="A28" s="1" t="s">
        <v>71</v>
      </c>
      <c r="B28" s="1" t="s">
        <v>58</v>
      </c>
      <c r="C28" s="1" t="s">
        <v>21</v>
      </c>
      <c r="D28" s="1" t="s">
        <v>72</v>
      </c>
      <c r="E28" s="1" t="s">
        <v>73</v>
      </c>
    </row>
    <row r="29" ht="14.25" customHeight="1">
      <c r="A29" s="1" t="s">
        <v>74</v>
      </c>
      <c r="B29" s="1" t="s">
        <v>36</v>
      </c>
      <c r="C29" s="1" t="s">
        <v>21</v>
      </c>
      <c r="D29" s="1" t="s">
        <v>72</v>
      </c>
      <c r="E29" s="1" t="s">
        <v>73</v>
      </c>
    </row>
    <row r="30" ht="14.25" customHeight="1">
      <c r="A30" s="1" t="s">
        <v>75</v>
      </c>
      <c r="B30" s="1" t="s">
        <v>40</v>
      </c>
      <c r="C30" s="1" t="s">
        <v>21</v>
      </c>
      <c r="D30" s="1" t="s">
        <v>17</v>
      </c>
      <c r="E30" s="1" t="s">
        <v>76</v>
      </c>
    </row>
    <row r="31" ht="14.25" customHeight="1">
      <c r="A31" s="1" t="s">
        <v>77</v>
      </c>
      <c r="B31" s="1" t="s">
        <v>36</v>
      </c>
      <c r="C31" s="1" t="s">
        <v>21</v>
      </c>
      <c r="D31" s="1" t="s">
        <v>17</v>
      </c>
      <c r="E31" s="1" t="s">
        <v>76</v>
      </c>
    </row>
    <row r="32" ht="14.25" customHeight="1">
      <c r="A32" s="1" t="s">
        <v>78</v>
      </c>
      <c r="B32" s="1" t="s">
        <v>64</v>
      </c>
      <c r="C32" s="1" t="s">
        <v>79</v>
      </c>
      <c r="D32" s="1" t="s">
        <v>17</v>
      </c>
      <c r="E32" s="1" t="s">
        <v>80</v>
      </c>
    </row>
    <row r="33" ht="14.25" customHeight="1">
      <c r="A33" s="1" t="s">
        <v>81</v>
      </c>
      <c r="B33" s="1" t="s">
        <v>58</v>
      </c>
      <c r="C33" s="1" t="s">
        <v>21</v>
      </c>
      <c r="D33" s="1" t="s">
        <v>17</v>
      </c>
      <c r="E33" s="1" t="s">
        <v>82</v>
      </c>
    </row>
    <row r="34" ht="14.25" customHeight="1">
      <c r="A34" s="1" t="s">
        <v>83</v>
      </c>
      <c r="B34" s="1" t="s">
        <v>36</v>
      </c>
      <c r="C34" s="1" t="s">
        <v>21</v>
      </c>
      <c r="D34" s="1" t="s">
        <v>17</v>
      </c>
      <c r="E34" s="1" t="s">
        <v>82</v>
      </c>
    </row>
    <row r="35" ht="14.25" customHeight="1">
      <c r="A35" s="1" t="s">
        <v>84</v>
      </c>
      <c r="B35" s="1" t="s">
        <v>58</v>
      </c>
      <c r="C35" s="1" t="s">
        <v>21</v>
      </c>
      <c r="D35" s="1" t="s">
        <v>17</v>
      </c>
      <c r="E35" s="1" t="s">
        <v>85</v>
      </c>
    </row>
    <row r="36" ht="14.25" customHeight="1">
      <c r="A36" s="1" t="s">
        <v>86</v>
      </c>
      <c r="B36" s="1" t="s">
        <v>27</v>
      </c>
      <c r="C36" s="1" t="s">
        <v>21</v>
      </c>
      <c r="D36" s="1" t="s">
        <v>13</v>
      </c>
      <c r="E36" s="1" t="s">
        <v>87</v>
      </c>
    </row>
    <row r="37" ht="14.25" customHeight="1">
      <c r="A37" s="1" t="s">
        <v>88</v>
      </c>
      <c r="B37" s="1" t="s">
        <v>30</v>
      </c>
      <c r="C37" s="1" t="s">
        <v>21</v>
      </c>
      <c r="D37" s="1" t="s">
        <v>17</v>
      </c>
      <c r="E37" s="1" t="s">
        <v>89</v>
      </c>
    </row>
    <row r="38" ht="14.25" customHeight="1">
      <c r="A38" s="1" t="s">
        <v>90</v>
      </c>
      <c r="B38" s="1" t="s">
        <v>58</v>
      </c>
      <c r="C38" s="1" t="s">
        <v>41</v>
      </c>
      <c r="D38" s="1" t="s">
        <v>17</v>
      </c>
      <c r="E38" s="1" t="s">
        <v>91</v>
      </c>
    </row>
    <row r="39" ht="14.25" customHeight="1">
      <c r="A39" s="1" t="s">
        <v>92</v>
      </c>
      <c r="B39" s="1" t="s">
        <v>6</v>
      </c>
      <c r="C39" s="1" t="s">
        <v>12</v>
      </c>
      <c r="D39" s="1" t="s">
        <v>8</v>
      </c>
      <c r="E39" s="1" t="s">
        <v>93</v>
      </c>
    </row>
    <row r="40" ht="14.25" customHeight="1">
      <c r="A40" s="1" t="s">
        <v>94</v>
      </c>
      <c r="B40" s="1" t="s">
        <v>27</v>
      </c>
      <c r="C40" s="1" t="s">
        <v>12</v>
      </c>
      <c r="D40" s="1" t="s">
        <v>8</v>
      </c>
      <c r="E40" s="1" t="s">
        <v>93</v>
      </c>
    </row>
    <row r="41" ht="14.25" customHeight="1">
      <c r="A41" s="1" t="s">
        <v>95</v>
      </c>
      <c r="B41" s="1" t="s">
        <v>25</v>
      </c>
      <c r="C41" s="1" t="s">
        <v>21</v>
      </c>
      <c r="D41" s="1" t="s">
        <v>17</v>
      </c>
      <c r="E41" s="1" t="s">
        <v>96</v>
      </c>
    </row>
    <row r="42" ht="14.25" customHeight="1">
      <c r="A42" s="1" t="s">
        <v>97</v>
      </c>
      <c r="B42" s="1" t="s">
        <v>11</v>
      </c>
      <c r="C42" s="1" t="s">
        <v>21</v>
      </c>
      <c r="D42" s="1" t="s">
        <v>17</v>
      </c>
      <c r="E42" s="1" t="s">
        <v>96</v>
      </c>
    </row>
    <row r="43" ht="14.25" customHeight="1">
      <c r="A43" s="1" t="s">
        <v>98</v>
      </c>
      <c r="B43" s="1" t="s">
        <v>33</v>
      </c>
      <c r="C43" s="1" t="s">
        <v>99</v>
      </c>
      <c r="D43" s="1" t="s">
        <v>13</v>
      </c>
      <c r="E43" s="1" t="s">
        <v>100</v>
      </c>
    </row>
    <row r="44" ht="14.25" customHeight="1">
      <c r="A44" s="1" t="s">
        <v>101</v>
      </c>
      <c r="B44" s="1" t="s">
        <v>58</v>
      </c>
      <c r="C44" s="1" t="s">
        <v>21</v>
      </c>
      <c r="D44" s="1" t="s">
        <v>13</v>
      </c>
      <c r="E44" s="1" t="s">
        <v>100</v>
      </c>
    </row>
    <row r="45" ht="14.25" customHeight="1">
      <c r="A45" s="1" t="s">
        <v>102</v>
      </c>
      <c r="B45" s="1" t="s">
        <v>11</v>
      </c>
      <c r="C45" s="1" t="s">
        <v>21</v>
      </c>
      <c r="D45" s="1" t="s">
        <v>13</v>
      </c>
      <c r="E45" s="1" t="s">
        <v>100</v>
      </c>
    </row>
    <row r="46" ht="14.25" customHeight="1">
      <c r="A46" s="1" t="s">
        <v>103</v>
      </c>
      <c r="B46" s="1" t="s">
        <v>40</v>
      </c>
      <c r="C46" s="1" t="s">
        <v>12</v>
      </c>
      <c r="D46" s="1" t="s">
        <v>8</v>
      </c>
      <c r="E46" s="1" t="s">
        <v>104</v>
      </c>
    </row>
    <row r="47" ht="14.25" customHeight="1">
      <c r="A47" s="1" t="s">
        <v>105</v>
      </c>
      <c r="B47" s="1" t="s">
        <v>36</v>
      </c>
      <c r="C47" s="1" t="s">
        <v>12</v>
      </c>
      <c r="D47" s="1" t="s">
        <v>8</v>
      </c>
      <c r="E47" s="1" t="s">
        <v>104</v>
      </c>
    </row>
    <row r="48" ht="14.25" customHeight="1">
      <c r="A48" s="1" t="s">
        <v>106</v>
      </c>
      <c r="B48" s="1" t="s">
        <v>30</v>
      </c>
      <c r="C48" s="1" t="s">
        <v>21</v>
      </c>
      <c r="E48" s="1" t="s">
        <v>107</v>
      </c>
    </row>
    <row r="49" ht="14.25" customHeight="1">
      <c r="A49" s="1" t="s">
        <v>108</v>
      </c>
      <c r="B49" s="1" t="s">
        <v>30</v>
      </c>
      <c r="C49" s="1" t="s">
        <v>21</v>
      </c>
      <c r="E49" s="1" t="s">
        <v>107</v>
      </c>
    </row>
    <row r="50" ht="14.25" customHeight="1">
      <c r="A50" s="1" t="s">
        <v>109</v>
      </c>
      <c r="B50" s="1" t="s">
        <v>25</v>
      </c>
      <c r="C50" s="1" t="s">
        <v>21</v>
      </c>
      <c r="D50" s="1" t="s">
        <v>17</v>
      </c>
      <c r="E50" s="1" t="s">
        <v>110</v>
      </c>
    </row>
    <row r="51" ht="14.25" customHeight="1">
      <c r="A51" s="1" t="s">
        <v>111</v>
      </c>
      <c r="B51" s="1" t="s">
        <v>40</v>
      </c>
      <c r="C51" s="1" t="s">
        <v>21</v>
      </c>
      <c r="D51" s="1" t="s">
        <v>17</v>
      </c>
      <c r="E51" s="1" t="s">
        <v>110</v>
      </c>
    </row>
    <row r="52" ht="14.25" customHeight="1">
      <c r="A52" s="1" t="s">
        <v>112</v>
      </c>
      <c r="B52" s="1" t="s">
        <v>6</v>
      </c>
      <c r="C52" s="1" t="s">
        <v>41</v>
      </c>
      <c r="D52" s="1" t="s">
        <v>8</v>
      </c>
      <c r="E52" s="1" t="s">
        <v>113</v>
      </c>
    </row>
    <row r="53" ht="14.25" customHeight="1">
      <c r="A53" s="1" t="s">
        <v>114</v>
      </c>
      <c r="B53" s="1" t="s">
        <v>64</v>
      </c>
      <c r="C53" s="1" t="s">
        <v>7</v>
      </c>
      <c r="D53" s="1" t="s">
        <v>8</v>
      </c>
      <c r="E53" s="1" t="s">
        <v>115</v>
      </c>
    </row>
    <row r="54" ht="14.25" customHeight="1">
      <c r="A54" s="1" t="s">
        <v>116</v>
      </c>
      <c r="B54" s="1" t="s">
        <v>25</v>
      </c>
      <c r="C54" s="1" t="s">
        <v>21</v>
      </c>
      <c r="D54" s="1" t="s">
        <v>22</v>
      </c>
    </row>
    <row r="55" ht="14.25" customHeight="1">
      <c r="A55" s="1" t="s">
        <v>117</v>
      </c>
      <c r="B55" s="1" t="s">
        <v>25</v>
      </c>
      <c r="C55" s="1" t="s">
        <v>21</v>
      </c>
      <c r="D55" s="1" t="s">
        <v>22</v>
      </c>
    </row>
    <row r="56" ht="14.25" customHeight="1">
      <c r="A56" s="1" t="s">
        <v>118</v>
      </c>
      <c r="B56" s="1" t="s">
        <v>58</v>
      </c>
      <c r="C56" s="1" t="s">
        <v>60</v>
      </c>
      <c r="D56" s="1" t="s">
        <v>22</v>
      </c>
    </row>
    <row r="57" ht="14.25" customHeight="1">
      <c r="A57" s="1" t="s">
        <v>119</v>
      </c>
      <c r="B57" s="1" t="s">
        <v>27</v>
      </c>
      <c r="C57" s="1" t="s">
        <v>21</v>
      </c>
      <c r="D57" s="1" t="s">
        <v>72</v>
      </c>
      <c r="E57" s="1" t="s">
        <v>120</v>
      </c>
    </row>
    <row r="58" ht="14.25" customHeight="1">
      <c r="A58" s="1" t="s">
        <v>121</v>
      </c>
      <c r="B58" s="1" t="s">
        <v>11</v>
      </c>
      <c r="C58" s="1" t="s">
        <v>60</v>
      </c>
      <c r="D58" s="1" t="s">
        <v>8</v>
      </c>
      <c r="E58" s="1" t="s">
        <v>122</v>
      </c>
    </row>
    <row r="59" ht="14.25" customHeight="1">
      <c r="A59" s="1" t="s">
        <v>123</v>
      </c>
      <c r="B59" s="1" t="s">
        <v>11</v>
      </c>
      <c r="C59" s="1" t="s">
        <v>21</v>
      </c>
      <c r="D59" s="1" t="s">
        <v>17</v>
      </c>
      <c r="E59" s="1" t="s">
        <v>120</v>
      </c>
    </row>
    <row r="60" ht="14.25" customHeight="1">
      <c r="A60" s="1" t="s">
        <v>124</v>
      </c>
      <c r="B60" s="1" t="s">
        <v>125</v>
      </c>
      <c r="C60" s="1" t="s">
        <v>126</v>
      </c>
      <c r="D60" s="1" t="s">
        <v>17</v>
      </c>
      <c r="E60" s="1" t="s">
        <v>127</v>
      </c>
    </row>
    <row r="61" ht="14.25" customHeight="1">
      <c r="A61" s="1" t="s">
        <v>128</v>
      </c>
      <c r="B61" s="1" t="s">
        <v>25</v>
      </c>
      <c r="C61" s="1" t="s">
        <v>21</v>
      </c>
      <c r="D61" s="1" t="s">
        <v>17</v>
      </c>
      <c r="E61" s="1" t="s">
        <v>129</v>
      </c>
    </row>
    <row r="62" ht="14.25" customHeight="1">
      <c r="A62" s="1" t="s">
        <v>130</v>
      </c>
      <c r="B62" s="1" t="s">
        <v>11</v>
      </c>
      <c r="C62" s="1" t="s">
        <v>21</v>
      </c>
      <c r="D62" s="1" t="s">
        <v>17</v>
      </c>
      <c r="E62" s="1" t="s">
        <v>129</v>
      </c>
    </row>
    <row r="63" ht="14.25" customHeight="1">
      <c r="A63" s="1" t="s">
        <v>131</v>
      </c>
      <c r="B63" s="1" t="s">
        <v>64</v>
      </c>
      <c r="C63" s="1" t="s">
        <v>12</v>
      </c>
      <c r="D63" s="1" t="s">
        <v>17</v>
      </c>
      <c r="E63" s="1" t="s">
        <v>132</v>
      </c>
    </row>
    <row r="64" ht="14.25" customHeight="1">
      <c r="A64" s="1" t="s">
        <v>133</v>
      </c>
      <c r="B64" s="1" t="s">
        <v>134</v>
      </c>
      <c r="C64" s="1" t="s">
        <v>21</v>
      </c>
      <c r="D64" s="1" t="s">
        <v>17</v>
      </c>
      <c r="E64" s="1" t="s">
        <v>135</v>
      </c>
    </row>
    <row r="65" ht="14.25" customHeight="1">
      <c r="A65" s="1" t="s">
        <v>136</v>
      </c>
      <c r="B65" s="1" t="s">
        <v>25</v>
      </c>
      <c r="C65" s="1" t="s">
        <v>21</v>
      </c>
      <c r="D65" s="1" t="s">
        <v>8</v>
      </c>
      <c r="E65" s="1" t="s">
        <v>137</v>
      </c>
    </row>
    <row r="66" ht="14.25" customHeight="1">
      <c r="A66" s="1" t="s">
        <v>138</v>
      </c>
      <c r="B66" s="1" t="s">
        <v>33</v>
      </c>
      <c r="C66" s="1" t="s">
        <v>126</v>
      </c>
      <c r="D66" s="1" t="s">
        <v>17</v>
      </c>
      <c r="E66" s="1" t="s">
        <v>139</v>
      </c>
    </row>
    <row r="67" ht="14.25" customHeight="1">
      <c r="A67" s="1" t="s">
        <v>140</v>
      </c>
      <c r="B67" s="1" t="s">
        <v>64</v>
      </c>
      <c r="C67" s="1" t="s">
        <v>21</v>
      </c>
      <c r="D67" s="1" t="s">
        <v>17</v>
      </c>
      <c r="E67" s="1" t="s">
        <v>141</v>
      </c>
    </row>
    <row r="68" ht="14.25" customHeight="1">
      <c r="A68" s="1" t="s">
        <v>142</v>
      </c>
      <c r="B68" s="1" t="s">
        <v>58</v>
      </c>
      <c r="C68" s="1" t="s">
        <v>21</v>
      </c>
      <c r="D68" s="1" t="s">
        <v>17</v>
      </c>
      <c r="E68" s="1" t="s">
        <v>143</v>
      </c>
    </row>
    <row r="69" ht="14.25" customHeight="1">
      <c r="A69" s="1" t="s">
        <v>144</v>
      </c>
      <c r="B69" s="1" t="s">
        <v>33</v>
      </c>
      <c r="C69" s="1" t="s">
        <v>145</v>
      </c>
      <c r="D69" s="1" t="s">
        <v>17</v>
      </c>
      <c r="E69" s="1" t="s">
        <v>146</v>
      </c>
    </row>
    <row r="70" ht="14.25" customHeight="1">
      <c r="A70" s="1" t="s">
        <v>147</v>
      </c>
      <c r="B70" s="1" t="s">
        <v>125</v>
      </c>
      <c r="C70" s="1" t="s">
        <v>145</v>
      </c>
      <c r="D70" s="1" t="s">
        <v>17</v>
      </c>
      <c r="E70" s="1" t="s">
        <v>146</v>
      </c>
    </row>
    <row r="71" ht="14.25" customHeight="1">
      <c r="A71" s="1" t="s">
        <v>148</v>
      </c>
      <c r="B71" s="1" t="s">
        <v>6</v>
      </c>
      <c r="C71" s="1" t="s">
        <v>12</v>
      </c>
      <c r="D71" s="1" t="s">
        <v>8</v>
      </c>
      <c r="E71" s="1" t="s">
        <v>149</v>
      </c>
    </row>
    <row r="72" ht="14.25" customHeight="1">
      <c r="A72" s="1" t="s">
        <v>150</v>
      </c>
      <c r="B72" s="1" t="s">
        <v>125</v>
      </c>
      <c r="C72" s="1" t="s">
        <v>12</v>
      </c>
      <c r="D72" s="1" t="s">
        <v>8</v>
      </c>
      <c r="E72" s="1" t="s">
        <v>149</v>
      </c>
    </row>
    <row r="73" ht="14.25" customHeight="1">
      <c r="A73" s="1" t="s">
        <v>151</v>
      </c>
      <c r="B73" s="1" t="s">
        <v>20</v>
      </c>
      <c r="C73" s="1" t="s">
        <v>21</v>
      </c>
      <c r="D73" s="1" t="s">
        <v>8</v>
      </c>
      <c r="E73" s="1" t="s">
        <v>152</v>
      </c>
    </row>
    <row r="74" ht="14.25" customHeight="1">
      <c r="A74" s="1" t="s">
        <v>153</v>
      </c>
      <c r="B74" s="1" t="s">
        <v>58</v>
      </c>
      <c r="C74" s="1" t="s">
        <v>41</v>
      </c>
      <c r="D74" s="1" t="s">
        <v>13</v>
      </c>
      <c r="E74" s="1" t="s">
        <v>154</v>
      </c>
    </row>
    <row r="75" ht="14.25" customHeight="1">
      <c r="A75" s="1" t="s">
        <v>155</v>
      </c>
      <c r="B75" s="1" t="s">
        <v>64</v>
      </c>
      <c r="C75" s="1" t="s">
        <v>41</v>
      </c>
      <c r="D75" s="1" t="s">
        <v>13</v>
      </c>
      <c r="E75" s="1" t="s">
        <v>154</v>
      </c>
    </row>
    <row r="76" ht="14.25" customHeight="1">
      <c r="A76" s="1" t="s">
        <v>156</v>
      </c>
      <c r="B76" s="1" t="s">
        <v>6</v>
      </c>
      <c r="C76" s="1" t="s">
        <v>12</v>
      </c>
      <c r="D76" s="1" t="s">
        <v>17</v>
      </c>
      <c r="E76" s="1" t="s">
        <v>157</v>
      </c>
    </row>
    <row r="77" ht="14.25" customHeight="1">
      <c r="A77" s="1" t="s">
        <v>158</v>
      </c>
      <c r="B77" s="1" t="s">
        <v>30</v>
      </c>
      <c r="C77" s="1" t="s">
        <v>21</v>
      </c>
      <c r="E77" s="1" t="s">
        <v>159</v>
      </c>
    </row>
    <row r="78" ht="14.25" customHeight="1">
      <c r="A78" s="1" t="s">
        <v>160</v>
      </c>
      <c r="B78" s="1" t="s">
        <v>161</v>
      </c>
      <c r="C78" s="1" t="s">
        <v>12</v>
      </c>
      <c r="D78" s="1" t="s">
        <v>8</v>
      </c>
      <c r="E78" s="1" t="s">
        <v>162</v>
      </c>
    </row>
    <row r="79" ht="14.25" customHeight="1">
      <c r="A79" s="1" t="s">
        <v>163</v>
      </c>
      <c r="B79" s="1" t="s">
        <v>64</v>
      </c>
      <c r="C79" s="1" t="s">
        <v>126</v>
      </c>
      <c r="D79" s="1" t="s">
        <v>164</v>
      </c>
      <c r="E79" s="1" t="s">
        <v>165</v>
      </c>
    </row>
    <row r="80" ht="14.25" customHeight="1">
      <c r="A80" s="1" t="s">
        <v>166</v>
      </c>
      <c r="B80" s="1" t="s">
        <v>33</v>
      </c>
      <c r="C80" s="1" t="s">
        <v>7</v>
      </c>
      <c r="D80" s="1" t="s">
        <v>13</v>
      </c>
      <c r="E80" s="1" t="s">
        <v>167</v>
      </c>
    </row>
    <row r="81" ht="14.25" customHeight="1">
      <c r="A81" s="1" t="s">
        <v>168</v>
      </c>
      <c r="B81" s="1" t="s">
        <v>27</v>
      </c>
      <c r="C81" s="1" t="s">
        <v>12</v>
      </c>
      <c r="D81" s="1" t="s">
        <v>22</v>
      </c>
      <c r="E81" s="1" t="s">
        <v>169</v>
      </c>
    </row>
    <row r="82" ht="14.25" customHeight="1">
      <c r="A82" s="1" t="s">
        <v>170</v>
      </c>
      <c r="B82" s="1" t="s">
        <v>64</v>
      </c>
      <c r="C82" s="1" t="s">
        <v>126</v>
      </c>
      <c r="D82" s="1" t="s">
        <v>8</v>
      </c>
      <c r="E82" s="1" t="s">
        <v>171</v>
      </c>
    </row>
    <row r="83" ht="14.25" customHeight="1">
      <c r="A83" s="1" t="s">
        <v>172</v>
      </c>
      <c r="B83" s="1" t="s">
        <v>161</v>
      </c>
      <c r="C83" s="1" t="s">
        <v>126</v>
      </c>
      <c r="D83" s="1" t="s">
        <v>8</v>
      </c>
      <c r="E83" s="1" t="s">
        <v>171</v>
      </c>
    </row>
    <row r="84" ht="14.25" customHeight="1">
      <c r="A84" s="1" t="s">
        <v>173</v>
      </c>
      <c r="B84" s="1" t="s">
        <v>16</v>
      </c>
      <c r="C84" s="1" t="s">
        <v>12</v>
      </c>
      <c r="D84" s="1" t="s">
        <v>8</v>
      </c>
      <c r="E84" s="1" t="s">
        <v>174</v>
      </c>
    </row>
    <row r="85" ht="14.25" customHeight="1">
      <c r="A85" s="1" t="s">
        <v>175</v>
      </c>
      <c r="B85" s="1" t="s">
        <v>125</v>
      </c>
      <c r="C85" s="1" t="s">
        <v>12</v>
      </c>
      <c r="D85" s="1" t="s">
        <v>8</v>
      </c>
      <c r="E85" s="1" t="s">
        <v>174</v>
      </c>
    </row>
    <row r="86" ht="14.25" customHeight="1">
      <c r="A86" s="1" t="s">
        <v>176</v>
      </c>
      <c r="B86" s="1" t="s">
        <v>58</v>
      </c>
      <c r="C86" s="1" t="s">
        <v>21</v>
      </c>
      <c r="D86" s="1" t="s">
        <v>17</v>
      </c>
      <c r="E86" s="1" t="s">
        <v>177</v>
      </c>
    </row>
    <row r="87" ht="14.25" customHeight="1">
      <c r="A87" s="1" t="s">
        <v>178</v>
      </c>
      <c r="B87" s="1" t="s">
        <v>125</v>
      </c>
      <c r="C87" s="1" t="s">
        <v>21</v>
      </c>
      <c r="D87" s="1" t="s">
        <v>8</v>
      </c>
      <c r="E87" s="1" t="s">
        <v>179</v>
      </c>
    </row>
    <row r="88" ht="14.25" customHeight="1">
      <c r="A88" s="1" t="s">
        <v>180</v>
      </c>
      <c r="B88" s="1" t="s">
        <v>161</v>
      </c>
      <c r="C88" s="1" t="s">
        <v>21</v>
      </c>
      <c r="D88" s="1" t="s">
        <v>8</v>
      </c>
      <c r="E88" s="1" t="s">
        <v>179</v>
      </c>
    </row>
    <row r="89" ht="14.25" customHeight="1">
      <c r="A89" s="1" t="s">
        <v>181</v>
      </c>
      <c r="B89" s="1" t="s">
        <v>40</v>
      </c>
      <c r="C89" s="1" t="s">
        <v>41</v>
      </c>
      <c r="D89" s="1" t="s">
        <v>8</v>
      </c>
      <c r="E89" s="1" t="s">
        <v>182</v>
      </c>
    </row>
    <row r="90" ht="14.25" customHeight="1">
      <c r="A90" s="1" t="s">
        <v>183</v>
      </c>
      <c r="B90" s="1" t="s">
        <v>134</v>
      </c>
    </row>
    <row r="91" ht="14.25" customHeight="1">
      <c r="A91" s="1" t="s">
        <v>184</v>
      </c>
      <c r="B91" s="1" t="s">
        <v>27</v>
      </c>
      <c r="C91" s="1" t="s">
        <v>21</v>
      </c>
      <c r="E91" s="1" t="s">
        <v>185</v>
      </c>
    </row>
    <row r="92" ht="14.25" customHeight="1">
      <c r="A92" s="1" t="s">
        <v>186</v>
      </c>
      <c r="B92" s="1" t="s">
        <v>30</v>
      </c>
      <c r="C92" s="1" t="s">
        <v>21</v>
      </c>
      <c r="D92" s="1" t="s">
        <v>13</v>
      </c>
      <c r="E92" s="1" t="s">
        <v>185</v>
      </c>
    </row>
    <row r="93" ht="14.25" customHeight="1">
      <c r="A93" s="1" t="s">
        <v>187</v>
      </c>
      <c r="B93" s="1" t="s">
        <v>20</v>
      </c>
      <c r="C93" s="1" t="s">
        <v>21</v>
      </c>
      <c r="D93" s="1" t="s">
        <v>188</v>
      </c>
      <c r="E93" s="1" t="s">
        <v>189</v>
      </c>
    </row>
    <row r="94" ht="14.25" customHeight="1">
      <c r="A94" s="1" t="s">
        <v>190</v>
      </c>
      <c r="B94" s="1" t="s">
        <v>58</v>
      </c>
      <c r="C94" s="1" t="s">
        <v>21</v>
      </c>
      <c r="D94" s="1" t="s">
        <v>8</v>
      </c>
      <c r="E94" s="1" t="s">
        <v>191</v>
      </c>
    </row>
    <row r="95" ht="14.25" customHeight="1">
      <c r="A95" s="1" t="s">
        <v>192</v>
      </c>
      <c r="B95" s="1" t="s">
        <v>20</v>
      </c>
      <c r="C95" s="1" t="s">
        <v>21</v>
      </c>
      <c r="D95" s="1" t="s">
        <v>13</v>
      </c>
      <c r="E95" s="1" t="s">
        <v>191</v>
      </c>
    </row>
    <row r="96" ht="14.25" customHeight="1">
      <c r="A96" s="1" t="s">
        <v>193</v>
      </c>
      <c r="B96" s="1" t="s">
        <v>6</v>
      </c>
      <c r="C96" s="1" t="s">
        <v>60</v>
      </c>
      <c r="D96" s="1" t="s">
        <v>17</v>
      </c>
      <c r="E96" s="1" t="s">
        <v>194</v>
      </c>
    </row>
    <row r="97" ht="14.25" customHeight="1">
      <c r="A97" s="1" t="s">
        <v>195</v>
      </c>
      <c r="B97" s="1" t="s">
        <v>11</v>
      </c>
      <c r="C97" s="1" t="s">
        <v>60</v>
      </c>
      <c r="D97" s="1" t="s">
        <v>17</v>
      </c>
      <c r="E97" s="1" t="s">
        <v>194</v>
      </c>
    </row>
    <row r="98" ht="14.25" customHeight="1">
      <c r="A98" s="1" t="s">
        <v>196</v>
      </c>
      <c r="B98" s="1" t="s">
        <v>125</v>
      </c>
      <c r="C98" s="1" t="s">
        <v>7</v>
      </c>
      <c r="D98" s="1" t="s">
        <v>17</v>
      </c>
      <c r="E98" s="1" t="s">
        <v>197</v>
      </c>
    </row>
    <row r="99" ht="14.25" customHeight="1">
      <c r="A99" s="1" t="s">
        <v>198</v>
      </c>
      <c r="B99" s="1" t="s">
        <v>27</v>
      </c>
      <c r="C99" s="1" t="s">
        <v>21</v>
      </c>
      <c r="D99" s="1" t="s">
        <v>8</v>
      </c>
      <c r="E99" s="1" t="s">
        <v>199</v>
      </c>
    </row>
    <row r="100" ht="14.25" customHeight="1">
      <c r="A100" s="1" t="s">
        <v>200</v>
      </c>
      <c r="B100" s="1" t="s">
        <v>30</v>
      </c>
      <c r="C100" s="1" t="s">
        <v>21</v>
      </c>
      <c r="D100" s="1" t="s">
        <v>17</v>
      </c>
      <c r="E100" s="1" t="s">
        <v>201</v>
      </c>
    </row>
    <row r="101" ht="14.25" customHeight="1">
      <c r="A101" s="1" t="s">
        <v>202</v>
      </c>
      <c r="B101" s="1" t="s">
        <v>36</v>
      </c>
      <c r="C101" s="1" t="s">
        <v>21</v>
      </c>
      <c r="D101" s="1" t="s">
        <v>17</v>
      </c>
      <c r="E101" s="1" t="s">
        <v>203</v>
      </c>
    </row>
    <row r="102" ht="14.25" customHeight="1">
      <c r="A102" s="1" t="s">
        <v>204</v>
      </c>
      <c r="B102" s="1" t="s">
        <v>30</v>
      </c>
      <c r="C102" s="1" t="s">
        <v>21</v>
      </c>
      <c r="D102" s="1" t="s">
        <v>17</v>
      </c>
      <c r="E102" s="1" t="s">
        <v>203</v>
      </c>
    </row>
    <row r="103" ht="14.25" customHeight="1">
      <c r="A103" s="1" t="s">
        <v>205</v>
      </c>
      <c r="B103" s="1" t="s">
        <v>40</v>
      </c>
      <c r="C103" s="1" t="s">
        <v>12</v>
      </c>
      <c r="E103" s="1" t="s">
        <v>206</v>
      </c>
    </row>
    <row r="104" ht="14.25" customHeight="1">
      <c r="A104" s="1" t="s">
        <v>207</v>
      </c>
      <c r="B104" s="1" t="s">
        <v>16</v>
      </c>
      <c r="C104" s="1" t="s">
        <v>21</v>
      </c>
      <c r="D104" s="1" t="s">
        <v>17</v>
      </c>
      <c r="E104" s="1" t="s">
        <v>208</v>
      </c>
    </row>
    <row r="105" ht="14.25" customHeight="1">
      <c r="A105" s="1" t="s">
        <v>209</v>
      </c>
      <c r="B105" s="1" t="s">
        <v>20</v>
      </c>
      <c r="C105" s="1" t="s">
        <v>21</v>
      </c>
      <c r="D105" s="1" t="s">
        <v>17</v>
      </c>
      <c r="E105" s="1" t="s">
        <v>208</v>
      </c>
    </row>
    <row r="106" ht="14.25" customHeight="1">
      <c r="A106" s="1" t="s">
        <v>210</v>
      </c>
      <c r="B106" s="1" t="s">
        <v>161</v>
      </c>
      <c r="C106" s="1" t="s">
        <v>12</v>
      </c>
      <c r="D106" s="1" t="s">
        <v>8</v>
      </c>
      <c r="E106" s="1" t="s">
        <v>211</v>
      </c>
    </row>
    <row r="107" ht="14.25" customHeight="1">
      <c r="A107" s="1" t="s">
        <v>212</v>
      </c>
      <c r="B107" s="1" t="s">
        <v>40</v>
      </c>
      <c r="C107" s="1" t="s">
        <v>12</v>
      </c>
      <c r="D107" s="1" t="s">
        <v>8</v>
      </c>
      <c r="E107" s="1" t="s">
        <v>211</v>
      </c>
    </row>
    <row r="108" ht="14.25" customHeight="1">
      <c r="A108" s="1" t="s">
        <v>213</v>
      </c>
      <c r="B108" s="1" t="s">
        <v>161</v>
      </c>
      <c r="C108" s="1" t="s">
        <v>41</v>
      </c>
      <c r="D108" s="1" t="s">
        <v>13</v>
      </c>
      <c r="E108" s="1" t="s">
        <v>214</v>
      </c>
    </row>
    <row r="109" ht="14.25" customHeight="1">
      <c r="A109" s="1" t="s">
        <v>215</v>
      </c>
      <c r="B109" s="1" t="s">
        <v>27</v>
      </c>
      <c r="C109" s="1" t="s">
        <v>41</v>
      </c>
      <c r="D109" s="1" t="s">
        <v>13</v>
      </c>
      <c r="E109" s="1" t="s">
        <v>214</v>
      </c>
    </row>
    <row r="110" ht="14.25" customHeight="1">
      <c r="A110" s="1" t="s">
        <v>216</v>
      </c>
      <c r="B110" s="1" t="s">
        <v>161</v>
      </c>
      <c r="C110" s="1" t="s">
        <v>21</v>
      </c>
      <c r="D110" s="1" t="s">
        <v>17</v>
      </c>
      <c r="E110" s="1" t="s">
        <v>217</v>
      </c>
    </row>
    <row r="111" ht="14.25" customHeight="1">
      <c r="A111" s="1" t="s">
        <v>218</v>
      </c>
      <c r="B111" s="1" t="s">
        <v>64</v>
      </c>
      <c r="C111" s="1" t="s">
        <v>12</v>
      </c>
      <c r="D111" s="1" t="s">
        <v>17</v>
      </c>
      <c r="E111" s="1" t="s">
        <v>219</v>
      </c>
    </row>
    <row r="112" ht="14.25" customHeight="1">
      <c r="A112" s="1" t="s">
        <v>220</v>
      </c>
      <c r="B112" s="1" t="s">
        <v>40</v>
      </c>
      <c r="C112" s="1" t="s">
        <v>21</v>
      </c>
      <c r="D112" s="1" t="s">
        <v>8</v>
      </c>
      <c r="E112" s="1" t="s">
        <v>221</v>
      </c>
    </row>
    <row r="113" ht="14.25" customHeight="1">
      <c r="A113" s="1" t="s">
        <v>222</v>
      </c>
      <c r="B113" s="1" t="s">
        <v>40</v>
      </c>
      <c r="C113" s="1" t="s">
        <v>21</v>
      </c>
      <c r="D113" s="1" t="s">
        <v>8</v>
      </c>
      <c r="E113" s="1" t="s">
        <v>221</v>
      </c>
    </row>
    <row r="114" ht="14.25" customHeight="1">
      <c r="A114" s="1" t="s">
        <v>223</v>
      </c>
      <c r="B114" s="1" t="s">
        <v>6</v>
      </c>
      <c r="C114" s="1" t="s">
        <v>12</v>
      </c>
      <c r="E114" s="1" t="s">
        <v>224</v>
      </c>
    </row>
    <row r="115" ht="14.25" customHeight="1">
      <c r="A115" s="1" t="s">
        <v>225</v>
      </c>
      <c r="B115" s="1" t="s">
        <v>36</v>
      </c>
      <c r="C115" s="1" t="s">
        <v>12</v>
      </c>
      <c r="E115" s="1" t="s">
        <v>224</v>
      </c>
    </row>
    <row r="116" ht="14.25" customHeight="1">
      <c r="A116" s="1" t="s">
        <v>226</v>
      </c>
      <c r="B116" s="1" t="s">
        <v>125</v>
      </c>
      <c r="C116" s="1" t="s">
        <v>12</v>
      </c>
      <c r="D116" s="1" t="s">
        <v>8</v>
      </c>
      <c r="E116" s="1" t="s">
        <v>227</v>
      </c>
    </row>
    <row r="117" ht="14.25" customHeight="1">
      <c r="A117" s="1" t="s">
        <v>228</v>
      </c>
      <c r="B117" s="1" t="s">
        <v>33</v>
      </c>
      <c r="C117" s="1" t="s">
        <v>12</v>
      </c>
      <c r="D117" s="1" t="s">
        <v>8</v>
      </c>
      <c r="E117" s="1" t="s">
        <v>227</v>
      </c>
    </row>
    <row r="118" ht="14.25" customHeight="1">
      <c r="A118" s="1" t="s">
        <v>229</v>
      </c>
      <c r="B118" s="1" t="s">
        <v>36</v>
      </c>
      <c r="C118" s="1" t="s">
        <v>21</v>
      </c>
      <c r="D118" s="1" t="s">
        <v>230</v>
      </c>
      <c r="E118" s="1" t="s">
        <v>231</v>
      </c>
    </row>
    <row r="119" ht="14.25" customHeight="1">
      <c r="A119" s="1" t="s">
        <v>232</v>
      </c>
      <c r="B119" s="1" t="s">
        <v>30</v>
      </c>
      <c r="C119" s="1" t="s">
        <v>21</v>
      </c>
      <c r="D119" s="1" t="s">
        <v>230</v>
      </c>
      <c r="E119" s="1" t="s">
        <v>231</v>
      </c>
    </row>
    <row r="120" ht="14.25" customHeight="1">
      <c r="A120" s="1" t="s">
        <v>233</v>
      </c>
      <c r="B120" s="1" t="s">
        <v>161</v>
      </c>
      <c r="C120" s="1" t="s">
        <v>21</v>
      </c>
      <c r="D120" s="1" t="s">
        <v>13</v>
      </c>
      <c r="E120" s="1" t="s">
        <v>234</v>
      </c>
    </row>
    <row r="121" ht="14.25" customHeight="1">
      <c r="A121" s="1" t="s">
        <v>235</v>
      </c>
      <c r="B121" s="1" t="s">
        <v>64</v>
      </c>
      <c r="C121" s="1" t="s">
        <v>236</v>
      </c>
      <c r="D121" s="1" t="s">
        <v>188</v>
      </c>
      <c r="E121" s="1" t="s">
        <v>234</v>
      </c>
    </row>
    <row r="122" ht="14.25" customHeight="1">
      <c r="A122" s="1" t="s">
        <v>237</v>
      </c>
      <c r="B122" s="1" t="s">
        <v>161</v>
      </c>
      <c r="C122" s="1" t="s">
        <v>21</v>
      </c>
      <c r="D122" s="1" t="s">
        <v>17</v>
      </c>
      <c r="E122" s="1" t="s">
        <v>238</v>
      </c>
    </row>
    <row r="123" ht="14.25" customHeight="1">
      <c r="A123" s="1" t="s">
        <v>239</v>
      </c>
      <c r="B123" s="1" t="s">
        <v>64</v>
      </c>
      <c r="C123" s="1" t="s">
        <v>21</v>
      </c>
      <c r="D123" s="1" t="s">
        <v>17</v>
      </c>
      <c r="E123" s="1" t="s">
        <v>238</v>
      </c>
    </row>
    <row r="124" ht="14.25" customHeight="1">
      <c r="A124" s="1" t="s">
        <v>240</v>
      </c>
      <c r="B124" s="1" t="s">
        <v>40</v>
      </c>
      <c r="C124" s="1" t="s">
        <v>60</v>
      </c>
      <c r="D124" s="1" t="s">
        <v>8</v>
      </c>
      <c r="E124" s="1" t="s">
        <v>241</v>
      </c>
    </row>
    <row r="125" ht="14.25" customHeight="1">
      <c r="A125" s="1" t="s">
        <v>242</v>
      </c>
      <c r="B125" s="1" t="s">
        <v>11</v>
      </c>
      <c r="C125" s="1" t="s">
        <v>60</v>
      </c>
      <c r="D125" s="1" t="s">
        <v>8</v>
      </c>
      <c r="E125" s="1" t="s">
        <v>241</v>
      </c>
    </row>
    <row r="126" ht="14.25" customHeight="1">
      <c r="A126" s="1" t="s">
        <v>243</v>
      </c>
      <c r="B126" s="1" t="s">
        <v>40</v>
      </c>
      <c r="C126" s="1" t="s">
        <v>21</v>
      </c>
      <c r="D126" s="1" t="s">
        <v>49</v>
      </c>
      <c r="E126" s="1" t="s">
        <v>244</v>
      </c>
    </row>
    <row r="127" ht="14.25" customHeight="1">
      <c r="A127" s="1" t="s">
        <v>245</v>
      </c>
      <c r="B127" s="1" t="s">
        <v>125</v>
      </c>
      <c r="C127" s="1" t="s">
        <v>21</v>
      </c>
      <c r="D127" s="1" t="s">
        <v>17</v>
      </c>
      <c r="E127" s="1" t="s">
        <v>246</v>
      </c>
    </row>
    <row r="128" ht="14.25" customHeight="1">
      <c r="A128" s="1" t="s">
        <v>247</v>
      </c>
      <c r="B128" s="1" t="s">
        <v>33</v>
      </c>
      <c r="C128" s="1" t="s">
        <v>236</v>
      </c>
      <c r="D128" s="1" t="s">
        <v>72</v>
      </c>
      <c r="E128" s="1" t="s">
        <v>246</v>
      </c>
    </row>
    <row r="129" ht="14.25" customHeight="1">
      <c r="A129" s="1" t="s">
        <v>248</v>
      </c>
      <c r="B129" s="1" t="s">
        <v>40</v>
      </c>
      <c r="C129" s="1" t="s">
        <v>21</v>
      </c>
      <c r="D129" s="1" t="s">
        <v>8</v>
      </c>
      <c r="E129" s="1" t="s">
        <v>249</v>
      </c>
    </row>
    <row r="130" ht="14.25" customHeight="1">
      <c r="A130" s="1" t="s">
        <v>250</v>
      </c>
      <c r="B130" s="1" t="s">
        <v>125</v>
      </c>
      <c r="C130" s="1" t="s">
        <v>21</v>
      </c>
      <c r="D130" s="1" t="s">
        <v>8</v>
      </c>
      <c r="E130" s="1" t="s">
        <v>249</v>
      </c>
    </row>
    <row r="131" ht="14.25" customHeight="1">
      <c r="A131" s="1" t="s">
        <v>251</v>
      </c>
      <c r="B131" s="1" t="s">
        <v>64</v>
      </c>
      <c r="C131" s="1" t="s">
        <v>41</v>
      </c>
      <c r="D131" s="1" t="s">
        <v>22</v>
      </c>
      <c r="E131" s="1" t="s">
        <v>252</v>
      </c>
    </row>
    <row r="132" ht="14.25" customHeight="1">
      <c r="A132" s="1" t="s">
        <v>253</v>
      </c>
      <c r="B132" s="1" t="s">
        <v>58</v>
      </c>
      <c r="C132" s="1" t="s">
        <v>41</v>
      </c>
      <c r="D132" s="1" t="s">
        <v>22</v>
      </c>
      <c r="E132" s="1" t="s">
        <v>252</v>
      </c>
    </row>
    <row r="133" ht="14.25" customHeight="1">
      <c r="A133" s="1" t="s">
        <v>254</v>
      </c>
      <c r="B133" s="1" t="s">
        <v>6</v>
      </c>
      <c r="C133" s="1" t="s">
        <v>7</v>
      </c>
      <c r="D133" s="1" t="s">
        <v>8</v>
      </c>
      <c r="E133" s="1" t="s">
        <v>255</v>
      </c>
    </row>
    <row r="134" ht="14.25" customHeight="1">
      <c r="A134" s="1" t="s">
        <v>256</v>
      </c>
      <c r="B134" s="1" t="s">
        <v>64</v>
      </c>
      <c r="C134" s="1" t="s">
        <v>7</v>
      </c>
      <c r="D134" s="1" t="s">
        <v>8</v>
      </c>
      <c r="E134" s="1" t="s">
        <v>255</v>
      </c>
    </row>
    <row r="135" ht="14.25" customHeight="1">
      <c r="A135" s="1" t="s">
        <v>257</v>
      </c>
      <c r="B135" s="1" t="s">
        <v>16</v>
      </c>
      <c r="C135" s="1" t="s">
        <v>12</v>
      </c>
      <c r="D135" s="1" t="s">
        <v>8</v>
      </c>
      <c r="E135" s="1" t="s">
        <v>258</v>
      </c>
    </row>
    <row r="136" ht="14.25" customHeight="1">
      <c r="A136" s="1" t="s">
        <v>259</v>
      </c>
      <c r="B136" s="1" t="s">
        <v>20</v>
      </c>
      <c r="C136" s="1" t="s">
        <v>21</v>
      </c>
      <c r="D136" s="1" t="s">
        <v>260</v>
      </c>
      <c r="E136" s="1" t="s">
        <v>261</v>
      </c>
    </row>
    <row r="137" ht="14.25" customHeight="1">
      <c r="A137" s="1" t="s">
        <v>262</v>
      </c>
      <c r="B137" s="1" t="s">
        <v>40</v>
      </c>
      <c r="C137" s="1" t="s">
        <v>145</v>
      </c>
      <c r="D137" s="1" t="s">
        <v>263</v>
      </c>
      <c r="E137" s="1" t="s">
        <v>264</v>
      </c>
    </row>
    <row r="138" ht="14.25" customHeight="1">
      <c r="A138" s="1" t="s">
        <v>265</v>
      </c>
      <c r="B138" s="1" t="s">
        <v>27</v>
      </c>
      <c r="C138" s="1" t="s">
        <v>21</v>
      </c>
      <c r="D138" s="1" t="s">
        <v>8</v>
      </c>
      <c r="E138" s="1" t="s">
        <v>266</v>
      </c>
    </row>
    <row r="139" ht="14.25" customHeight="1">
      <c r="A139" s="1" t="s">
        <v>267</v>
      </c>
      <c r="B139" s="1" t="s">
        <v>64</v>
      </c>
      <c r="C139" s="1" t="s">
        <v>60</v>
      </c>
      <c r="D139" s="1" t="s">
        <v>8</v>
      </c>
      <c r="E139" s="1" t="s">
        <v>268</v>
      </c>
    </row>
    <row r="140" ht="14.25" customHeight="1">
      <c r="A140" s="1" t="s">
        <v>269</v>
      </c>
      <c r="B140" s="1" t="s">
        <v>40</v>
      </c>
      <c r="C140" s="1" t="s">
        <v>60</v>
      </c>
      <c r="D140" s="1" t="s">
        <v>8</v>
      </c>
      <c r="E140" s="1" t="s">
        <v>268</v>
      </c>
    </row>
    <row r="141" ht="14.25" customHeight="1">
      <c r="A141" s="1" t="s">
        <v>270</v>
      </c>
      <c r="B141" s="1" t="s">
        <v>30</v>
      </c>
      <c r="C141" s="1" t="s">
        <v>21</v>
      </c>
      <c r="D141" s="1" t="s">
        <v>17</v>
      </c>
      <c r="E141" s="1" t="s">
        <v>271</v>
      </c>
    </row>
    <row r="142" ht="14.25" customHeight="1">
      <c r="A142" s="1" t="s">
        <v>272</v>
      </c>
      <c r="B142" s="1" t="s">
        <v>64</v>
      </c>
      <c r="C142" s="1" t="s">
        <v>126</v>
      </c>
      <c r="D142" s="1" t="s">
        <v>8</v>
      </c>
      <c r="E142" s="1" t="s">
        <v>273</v>
      </c>
    </row>
    <row r="143" ht="14.25" customHeight="1">
      <c r="A143" s="1" t="s">
        <v>274</v>
      </c>
      <c r="B143" s="1" t="s">
        <v>33</v>
      </c>
      <c r="C143" s="1" t="s">
        <v>275</v>
      </c>
      <c r="D143" s="1" t="s">
        <v>8</v>
      </c>
      <c r="E143" s="1" t="s">
        <v>276</v>
      </c>
    </row>
    <row r="144" ht="14.25" customHeight="1">
      <c r="A144" s="1" t="s">
        <v>277</v>
      </c>
      <c r="B144" s="1" t="s">
        <v>125</v>
      </c>
      <c r="C144" s="1" t="s">
        <v>126</v>
      </c>
      <c r="D144" s="1" t="s">
        <v>8</v>
      </c>
      <c r="E144" s="1" t="s">
        <v>276</v>
      </c>
    </row>
    <row r="145" ht="14.25" customHeight="1">
      <c r="A145" s="1" t="s">
        <v>278</v>
      </c>
      <c r="B145" s="1" t="s">
        <v>30</v>
      </c>
      <c r="C145" s="1" t="s">
        <v>21</v>
      </c>
      <c r="D145" s="1" t="s">
        <v>17</v>
      </c>
      <c r="E145" s="1" t="s">
        <v>279</v>
      </c>
    </row>
    <row r="146" ht="14.25" customHeight="1">
      <c r="A146" s="1" t="s">
        <v>280</v>
      </c>
      <c r="B146" s="1" t="s">
        <v>30</v>
      </c>
      <c r="C146" s="1" t="s">
        <v>21</v>
      </c>
      <c r="D146" s="1" t="s">
        <v>17</v>
      </c>
      <c r="E146" s="1" t="s">
        <v>279</v>
      </c>
    </row>
    <row r="147" ht="14.25" customHeight="1">
      <c r="A147" s="1" t="s">
        <v>281</v>
      </c>
      <c r="B147" s="1" t="s">
        <v>11</v>
      </c>
      <c r="C147" s="1" t="s">
        <v>21</v>
      </c>
      <c r="D147" s="1" t="s">
        <v>282</v>
      </c>
      <c r="E147" s="1" t="s">
        <v>279</v>
      </c>
    </row>
    <row r="148" ht="14.25" customHeight="1">
      <c r="A148" s="1" t="s">
        <v>283</v>
      </c>
      <c r="B148" s="1" t="s">
        <v>161</v>
      </c>
      <c r="C148" s="1" t="s">
        <v>12</v>
      </c>
      <c r="D148" s="1" t="s">
        <v>8</v>
      </c>
      <c r="E148" s="1" t="s">
        <v>284</v>
      </c>
    </row>
    <row r="149" ht="14.25" customHeight="1">
      <c r="A149" s="1" t="s">
        <v>285</v>
      </c>
      <c r="B149" s="1" t="s">
        <v>36</v>
      </c>
      <c r="C149" s="1" t="s">
        <v>12</v>
      </c>
      <c r="D149" s="1" t="s">
        <v>8</v>
      </c>
      <c r="E149" s="1" t="s">
        <v>284</v>
      </c>
    </row>
    <row r="150" ht="14.25" customHeight="1">
      <c r="A150" s="1" t="s">
        <v>286</v>
      </c>
      <c r="B150" s="1" t="s">
        <v>125</v>
      </c>
      <c r="C150" s="1" t="s">
        <v>236</v>
      </c>
      <c r="D150" s="1" t="s">
        <v>17</v>
      </c>
      <c r="E150" s="1" t="s">
        <v>287</v>
      </c>
    </row>
    <row r="151" ht="14.25" customHeight="1">
      <c r="A151" s="1" t="s">
        <v>288</v>
      </c>
      <c r="B151" s="1" t="s">
        <v>27</v>
      </c>
      <c r="C151" s="1" t="s">
        <v>12</v>
      </c>
      <c r="D151" s="1" t="s">
        <v>8</v>
      </c>
      <c r="E151" s="1" t="s">
        <v>289</v>
      </c>
    </row>
    <row r="152" ht="14.25" customHeight="1">
      <c r="A152" s="1" t="s">
        <v>290</v>
      </c>
      <c r="B152" s="1" t="s">
        <v>125</v>
      </c>
      <c r="C152" s="1" t="s">
        <v>12</v>
      </c>
      <c r="D152" s="1" t="s">
        <v>8</v>
      </c>
      <c r="E152" s="1" t="s">
        <v>289</v>
      </c>
    </row>
    <row r="153" ht="14.25" customHeight="1">
      <c r="A153" s="1" t="s">
        <v>291</v>
      </c>
      <c r="B153" s="1" t="s">
        <v>25</v>
      </c>
      <c r="C153" s="1" t="s">
        <v>21</v>
      </c>
      <c r="D153" s="1" t="s">
        <v>17</v>
      </c>
      <c r="E153" s="1" t="s">
        <v>292</v>
      </c>
    </row>
    <row r="154" ht="14.25" customHeight="1">
      <c r="A154" s="1" t="s">
        <v>293</v>
      </c>
      <c r="B154" s="1" t="s">
        <v>36</v>
      </c>
      <c r="C154" s="1" t="s">
        <v>12</v>
      </c>
      <c r="E154" s="1" t="s">
        <v>294</v>
      </c>
    </row>
    <row r="155" ht="14.25" customHeight="1">
      <c r="A155" s="1" t="s">
        <v>295</v>
      </c>
      <c r="B155" s="1" t="s">
        <v>40</v>
      </c>
      <c r="C155" s="1" t="s">
        <v>12</v>
      </c>
      <c r="E155" s="1" t="s">
        <v>294</v>
      </c>
    </row>
    <row r="156" ht="14.25" customHeight="1">
      <c r="A156" s="1" t="s">
        <v>296</v>
      </c>
      <c r="B156" s="1" t="s">
        <v>25</v>
      </c>
      <c r="C156" s="1" t="s">
        <v>21</v>
      </c>
      <c r="D156" s="1" t="s">
        <v>17</v>
      </c>
      <c r="E156" s="1" t="s">
        <v>297</v>
      </c>
    </row>
    <row r="157" ht="14.25" customHeight="1">
      <c r="A157" s="1" t="s">
        <v>298</v>
      </c>
      <c r="B157" s="1" t="s">
        <v>30</v>
      </c>
      <c r="C157" s="1" t="s">
        <v>21</v>
      </c>
      <c r="D157" s="1" t="s">
        <v>17</v>
      </c>
      <c r="E157" s="1" t="s">
        <v>297</v>
      </c>
    </row>
    <row r="158" ht="14.25" customHeight="1">
      <c r="A158" s="1" t="s">
        <v>299</v>
      </c>
      <c r="B158" s="1" t="s">
        <v>161</v>
      </c>
      <c r="C158" s="1" t="s">
        <v>21</v>
      </c>
      <c r="D158" s="1" t="s">
        <v>13</v>
      </c>
      <c r="E158" s="1" t="s">
        <v>300</v>
      </c>
    </row>
    <row r="159" ht="14.25" customHeight="1">
      <c r="A159" s="1" t="s">
        <v>301</v>
      </c>
      <c r="B159" s="1" t="s">
        <v>11</v>
      </c>
      <c r="C159" s="1" t="s">
        <v>21</v>
      </c>
      <c r="D159" s="1" t="s">
        <v>49</v>
      </c>
      <c r="E159" s="1" t="s">
        <v>302</v>
      </c>
    </row>
    <row r="160" ht="14.25" customHeight="1">
      <c r="A160" s="1" t="s">
        <v>303</v>
      </c>
      <c r="B160" s="1" t="s">
        <v>30</v>
      </c>
      <c r="C160" s="1" t="s">
        <v>21</v>
      </c>
      <c r="D160" s="1" t="s">
        <v>8</v>
      </c>
      <c r="E160" s="1" t="s">
        <v>302</v>
      </c>
    </row>
    <row r="161" ht="14.25" customHeight="1">
      <c r="A161" s="1" t="s">
        <v>304</v>
      </c>
      <c r="B161" s="1" t="s">
        <v>161</v>
      </c>
      <c r="C161" s="1" t="s">
        <v>12</v>
      </c>
      <c r="D161" s="1" t="s">
        <v>8</v>
      </c>
      <c r="E161" s="1" t="s">
        <v>305</v>
      </c>
    </row>
    <row r="162" ht="14.25" customHeight="1">
      <c r="A162" s="1" t="s">
        <v>306</v>
      </c>
      <c r="B162" s="1" t="s">
        <v>64</v>
      </c>
      <c r="C162" s="1" t="s">
        <v>12</v>
      </c>
      <c r="D162" s="1" t="s">
        <v>17</v>
      </c>
      <c r="E162" s="1" t="s">
        <v>307</v>
      </c>
    </row>
    <row r="163" ht="14.25" customHeight="1">
      <c r="A163" s="1" t="s">
        <v>308</v>
      </c>
      <c r="B163" s="1" t="s">
        <v>161</v>
      </c>
      <c r="C163" s="1" t="s">
        <v>41</v>
      </c>
      <c r="D163" s="1" t="s">
        <v>13</v>
      </c>
      <c r="E163" s="1" t="s">
        <v>309</v>
      </c>
    </row>
    <row r="164" ht="14.25" customHeight="1">
      <c r="A164" s="1" t="s">
        <v>310</v>
      </c>
      <c r="B164" s="1" t="s">
        <v>64</v>
      </c>
      <c r="C164" s="1" t="s">
        <v>126</v>
      </c>
      <c r="D164" s="1" t="s">
        <v>8</v>
      </c>
      <c r="E164" s="1" t="s">
        <v>311</v>
      </c>
    </row>
    <row r="165" ht="14.25" customHeight="1">
      <c r="A165" s="1" t="s">
        <v>312</v>
      </c>
      <c r="B165" s="1" t="s">
        <v>11</v>
      </c>
      <c r="C165" s="1" t="s">
        <v>21</v>
      </c>
      <c r="D165" s="1" t="s">
        <v>13</v>
      </c>
      <c r="E165" s="1" t="s">
        <v>313</v>
      </c>
    </row>
    <row r="166" ht="14.25" customHeight="1">
      <c r="A166" s="1" t="s">
        <v>314</v>
      </c>
      <c r="B166" s="1" t="s">
        <v>40</v>
      </c>
      <c r="C166" s="1" t="s">
        <v>21</v>
      </c>
      <c r="D166" s="1" t="s">
        <v>13</v>
      </c>
      <c r="E166" s="1" t="s">
        <v>313</v>
      </c>
    </row>
    <row r="167" ht="14.25" customHeight="1">
      <c r="A167" s="1" t="s">
        <v>315</v>
      </c>
      <c r="B167" s="1" t="s">
        <v>6</v>
      </c>
      <c r="C167" s="1" t="s">
        <v>41</v>
      </c>
      <c r="D167" s="1" t="s">
        <v>8</v>
      </c>
      <c r="E167" s="1" t="s">
        <v>316</v>
      </c>
    </row>
    <row r="168" ht="14.25" customHeight="1">
      <c r="A168" s="1" t="s">
        <v>317</v>
      </c>
      <c r="B168" s="1" t="s">
        <v>318</v>
      </c>
      <c r="C168" s="1" t="s">
        <v>21</v>
      </c>
      <c r="D168" s="1" t="s">
        <v>188</v>
      </c>
      <c r="E168" s="1" t="s">
        <v>319</v>
      </c>
    </row>
    <row r="169" ht="14.25" customHeight="1">
      <c r="A169" s="1" t="s">
        <v>320</v>
      </c>
      <c r="B169" s="1" t="s">
        <v>40</v>
      </c>
      <c r="C169" s="1" t="s">
        <v>21</v>
      </c>
      <c r="D169" s="1" t="s">
        <v>188</v>
      </c>
      <c r="E169" s="1" t="s">
        <v>319</v>
      </c>
    </row>
    <row r="170" ht="14.25" customHeight="1">
      <c r="A170" s="1" t="s">
        <v>321</v>
      </c>
      <c r="B170" s="1" t="s">
        <v>58</v>
      </c>
      <c r="C170" s="1" t="s">
        <v>21</v>
      </c>
      <c r="D170" s="1" t="s">
        <v>17</v>
      </c>
      <c r="E170" s="1" t="s">
        <v>322</v>
      </c>
    </row>
    <row r="171" ht="14.25" customHeight="1">
      <c r="A171" s="1" t="s">
        <v>323</v>
      </c>
      <c r="B171" s="1" t="s">
        <v>27</v>
      </c>
      <c r="C171" s="1" t="s">
        <v>21</v>
      </c>
      <c r="D171" s="1" t="s">
        <v>17</v>
      </c>
      <c r="E171" s="1" t="s">
        <v>322</v>
      </c>
    </row>
    <row r="172" ht="14.25" customHeight="1">
      <c r="A172" s="1" t="s">
        <v>324</v>
      </c>
      <c r="B172" s="1" t="s">
        <v>161</v>
      </c>
      <c r="C172" s="1" t="s">
        <v>21</v>
      </c>
      <c r="D172" s="1" t="s">
        <v>22</v>
      </c>
      <c r="E172" s="1" t="s">
        <v>325</v>
      </c>
    </row>
    <row r="173" ht="14.25" customHeight="1">
      <c r="A173" s="1" t="s">
        <v>326</v>
      </c>
      <c r="B173" s="1" t="s">
        <v>25</v>
      </c>
      <c r="C173" s="1" t="s">
        <v>21</v>
      </c>
      <c r="D173" s="1" t="s">
        <v>49</v>
      </c>
      <c r="E173" s="1" t="s">
        <v>327</v>
      </c>
    </row>
    <row r="174" ht="14.25" customHeight="1">
      <c r="A174" s="1" t="s">
        <v>328</v>
      </c>
      <c r="B174" s="1" t="s">
        <v>6</v>
      </c>
      <c r="C174" s="1" t="s">
        <v>21</v>
      </c>
      <c r="D174" s="1" t="s">
        <v>17</v>
      </c>
      <c r="E174" s="1" t="s">
        <v>329</v>
      </c>
    </row>
    <row r="175" ht="14.25" customHeight="1">
      <c r="A175" s="1" t="s">
        <v>330</v>
      </c>
      <c r="B175" s="1" t="s">
        <v>6</v>
      </c>
      <c r="C175" s="1" t="s">
        <v>21</v>
      </c>
      <c r="D175" s="1" t="s">
        <v>17</v>
      </c>
      <c r="E175" s="1" t="s">
        <v>329</v>
      </c>
    </row>
    <row r="176" ht="14.25" customHeight="1">
      <c r="A176" s="1" t="s">
        <v>331</v>
      </c>
      <c r="B176" s="1" t="s">
        <v>6</v>
      </c>
      <c r="C176" s="1" t="s">
        <v>12</v>
      </c>
      <c r="D176" s="1" t="s">
        <v>8</v>
      </c>
      <c r="E176" s="1" t="s">
        <v>332</v>
      </c>
    </row>
    <row r="177" ht="14.25" customHeight="1">
      <c r="A177" s="1" t="s">
        <v>333</v>
      </c>
      <c r="B177" s="1" t="s">
        <v>125</v>
      </c>
      <c r="C177" s="1" t="s">
        <v>21</v>
      </c>
      <c r="D177" s="1" t="s">
        <v>8</v>
      </c>
      <c r="E177" s="1" t="s">
        <v>334</v>
      </c>
    </row>
    <row r="178" ht="14.25" customHeight="1">
      <c r="A178" s="1" t="s">
        <v>335</v>
      </c>
      <c r="B178" s="1" t="s">
        <v>125</v>
      </c>
      <c r="C178" s="1" t="s">
        <v>21</v>
      </c>
      <c r="D178" s="1" t="s">
        <v>8</v>
      </c>
      <c r="E178" s="1" t="s">
        <v>334</v>
      </c>
    </row>
    <row r="179" ht="14.25" customHeight="1">
      <c r="A179" s="1" t="s">
        <v>336</v>
      </c>
      <c r="B179" s="1" t="s">
        <v>161</v>
      </c>
      <c r="C179" s="1" t="s">
        <v>21</v>
      </c>
      <c r="D179" s="1" t="s">
        <v>17</v>
      </c>
      <c r="E179" s="1" t="s">
        <v>337</v>
      </c>
    </row>
    <row r="180" ht="14.25" customHeight="1">
      <c r="A180" s="1" t="s">
        <v>338</v>
      </c>
      <c r="B180" s="1" t="s">
        <v>6</v>
      </c>
      <c r="C180" s="1" t="s">
        <v>21</v>
      </c>
      <c r="D180" s="1" t="s">
        <v>17</v>
      </c>
      <c r="E180" s="1" t="s">
        <v>339</v>
      </c>
    </row>
    <row r="181" ht="14.25" customHeight="1">
      <c r="A181" s="1" t="s">
        <v>340</v>
      </c>
      <c r="B181" s="1" t="s">
        <v>16</v>
      </c>
      <c r="C181" s="1" t="s">
        <v>21</v>
      </c>
      <c r="D181" s="1" t="s">
        <v>17</v>
      </c>
      <c r="E181" s="1" t="s">
        <v>339</v>
      </c>
    </row>
    <row r="182" ht="14.25" customHeight="1">
      <c r="A182" s="1" t="s">
        <v>341</v>
      </c>
      <c r="B182" s="1" t="s">
        <v>64</v>
      </c>
      <c r="C182" s="1" t="s">
        <v>126</v>
      </c>
      <c r="D182" s="1" t="s">
        <v>8</v>
      </c>
      <c r="E182" s="1" t="s">
        <v>342</v>
      </c>
    </row>
    <row r="183" ht="14.25" customHeight="1">
      <c r="A183" s="1" t="s">
        <v>343</v>
      </c>
      <c r="B183" s="1" t="s">
        <v>58</v>
      </c>
      <c r="C183" s="1" t="s">
        <v>21</v>
      </c>
      <c r="D183" s="1" t="s">
        <v>17</v>
      </c>
      <c r="E183" s="1" t="s">
        <v>344</v>
      </c>
    </row>
    <row r="184" ht="14.25" customHeight="1">
      <c r="A184" s="1" t="s">
        <v>345</v>
      </c>
      <c r="B184" s="1" t="s">
        <v>33</v>
      </c>
      <c r="C184" s="1" t="s">
        <v>99</v>
      </c>
      <c r="D184" s="1" t="s">
        <v>13</v>
      </c>
    </row>
    <row r="185" ht="14.25" customHeight="1">
      <c r="A185" s="1" t="s">
        <v>346</v>
      </c>
      <c r="B185" s="1" t="s">
        <v>33</v>
      </c>
      <c r="C185" s="1" t="s">
        <v>99</v>
      </c>
      <c r="D185" s="1" t="s">
        <v>13</v>
      </c>
    </row>
    <row r="186" ht="14.25" customHeight="1">
      <c r="A186" s="1" t="s">
        <v>347</v>
      </c>
      <c r="B186" s="1" t="s">
        <v>64</v>
      </c>
      <c r="C186" s="1" t="s">
        <v>12</v>
      </c>
      <c r="D186" s="1" t="s">
        <v>8</v>
      </c>
      <c r="E186" s="1" t="s">
        <v>258</v>
      </c>
    </row>
    <row r="187" ht="14.25" customHeight="1">
      <c r="A187" s="1" t="s">
        <v>348</v>
      </c>
      <c r="B187" s="1" t="s">
        <v>30</v>
      </c>
      <c r="C187" s="1" t="s">
        <v>21</v>
      </c>
      <c r="D187" s="1" t="s">
        <v>188</v>
      </c>
      <c r="E187" s="1" t="s">
        <v>349</v>
      </c>
    </row>
    <row r="188" ht="14.25" customHeight="1">
      <c r="A188" s="1" t="s">
        <v>350</v>
      </c>
      <c r="B188" s="1" t="s">
        <v>16</v>
      </c>
      <c r="C188" s="1" t="s">
        <v>21</v>
      </c>
      <c r="D188" s="1" t="s">
        <v>8</v>
      </c>
      <c r="E188" s="1" t="s">
        <v>349</v>
      </c>
    </row>
    <row r="189" ht="14.25" customHeight="1">
      <c r="A189" s="1" t="s">
        <v>351</v>
      </c>
      <c r="B189" s="1" t="s">
        <v>6</v>
      </c>
      <c r="C189" s="1" t="s">
        <v>12</v>
      </c>
      <c r="D189" s="1" t="s">
        <v>8</v>
      </c>
      <c r="E189" s="1" t="s">
        <v>352</v>
      </c>
    </row>
    <row r="190" ht="14.25" customHeight="1">
      <c r="A190" s="1" t="s">
        <v>353</v>
      </c>
      <c r="B190" s="1" t="s">
        <v>40</v>
      </c>
      <c r="C190" s="1" t="s">
        <v>12</v>
      </c>
      <c r="E190" s="1" t="s">
        <v>354</v>
      </c>
    </row>
    <row r="191" ht="14.25" customHeight="1">
      <c r="A191" s="1" t="s">
        <v>355</v>
      </c>
      <c r="B191" s="1" t="s">
        <v>58</v>
      </c>
      <c r="C191" s="1" t="s">
        <v>21</v>
      </c>
      <c r="D191" s="1" t="s">
        <v>17</v>
      </c>
      <c r="E191" s="1" t="s">
        <v>356</v>
      </c>
    </row>
    <row r="192" ht="14.25" customHeight="1">
      <c r="A192" s="1" t="s">
        <v>357</v>
      </c>
      <c r="B192" s="1" t="s">
        <v>33</v>
      </c>
      <c r="C192" s="1" t="s">
        <v>99</v>
      </c>
      <c r="D192" s="1" t="s">
        <v>13</v>
      </c>
      <c r="E192" s="1" t="s">
        <v>358</v>
      </c>
    </row>
    <row r="193" ht="14.25" customHeight="1">
      <c r="A193" s="1" t="s">
        <v>359</v>
      </c>
      <c r="B193" s="1" t="s">
        <v>6</v>
      </c>
      <c r="C193" s="1" t="s">
        <v>99</v>
      </c>
      <c r="D193" s="1" t="s">
        <v>13</v>
      </c>
      <c r="E193" s="1" t="s">
        <v>358</v>
      </c>
    </row>
    <row r="194" ht="14.25" customHeight="1">
      <c r="A194" s="1" t="s">
        <v>360</v>
      </c>
      <c r="B194" s="1" t="s">
        <v>40</v>
      </c>
      <c r="C194" s="1" t="s">
        <v>21</v>
      </c>
      <c r="D194" s="1" t="s">
        <v>17</v>
      </c>
      <c r="E194" s="1" t="s">
        <v>361</v>
      </c>
    </row>
    <row r="195" ht="14.25" customHeight="1">
      <c r="A195" s="1" t="s">
        <v>362</v>
      </c>
      <c r="B195" s="1" t="s">
        <v>36</v>
      </c>
      <c r="C195" s="1" t="s">
        <v>21</v>
      </c>
      <c r="E195" s="1" t="s">
        <v>363</v>
      </c>
    </row>
    <row r="196" ht="14.25" customHeight="1">
      <c r="A196" s="1" t="s">
        <v>364</v>
      </c>
      <c r="B196" s="1" t="s">
        <v>27</v>
      </c>
      <c r="C196" s="1" t="s">
        <v>21</v>
      </c>
      <c r="E196" s="1" t="s">
        <v>363</v>
      </c>
    </row>
    <row r="197" ht="14.25" customHeight="1">
      <c r="A197" s="1" t="s">
        <v>365</v>
      </c>
      <c r="B197" s="1" t="s">
        <v>33</v>
      </c>
      <c r="C197" s="1" t="s">
        <v>126</v>
      </c>
      <c r="D197" s="1" t="s">
        <v>188</v>
      </c>
    </row>
    <row r="198" ht="14.25" customHeight="1">
      <c r="A198" s="1" t="s">
        <v>366</v>
      </c>
      <c r="B198" s="1" t="s">
        <v>11</v>
      </c>
      <c r="C198" s="1" t="s">
        <v>21</v>
      </c>
      <c r="D198" s="1" t="s">
        <v>367</v>
      </c>
    </row>
    <row r="199" ht="14.25" customHeight="1">
      <c r="A199" s="1" t="s">
        <v>368</v>
      </c>
      <c r="B199" s="1" t="s">
        <v>36</v>
      </c>
      <c r="C199" s="1" t="s">
        <v>12</v>
      </c>
      <c r="D199" s="1" t="s">
        <v>22</v>
      </c>
      <c r="E199" s="1" t="s">
        <v>369</v>
      </c>
    </row>
    <row r="200" ht="14.25" customHeight="1">
      <c r="A200" s="1" t="s">
        <v>370</v>
      </c>
      <c r="B200" s="1" t="s">
        <v>125</v>
      </c>
      <c r="C200" s="1" t="s">
        <v>41</v>
      </c>
      <c r="D200" s="1" t="s">
        <v>164</v>
      </c>
    </row>
    <row r="201" ht="14.25" customHeight="1">
      <c r="A201" s="1" t="s">
        <v>371</v>
      </c>
      <c r="B201" s="1" t="s">
        <v>40</v>
      </c>
      <c r="C201" s="1" t="s">
        <v>41</v>
      </c>
      <c r="D201" s="1" t="s">
        <v>164</v>
      </c>
    </row>
    <row r="202" ht="14.25" customHeight="1">
      <c r="A202" s="1" t="s">
        <v>372</v>
      </c>
      <c r="B202" s="1" t="s">
        <v>40</v>
      </c>
      <c r="C202" s="1" t="s">
        <v>21</v>
      </c>
      <c r="D202" s="1" t="s">
        <v>17</v>
      </c>
      <c r="E202" s="1" t="s">
        <v>373</v>
      </c>
    </row>
    <row r="203" ht="14.25" customHeight="1">
      <c r="A203" s="1" t="s">
        <v>374</v>
      </c>
      <c r="B203" s="1" t="s">
        <v>6</v>
      </c>
      <c r="C203" s="1" t="s">
        <v>21</v>
      </c>
      <c r="D203" s="1" t="s">
        <v>17</v>
      </c>
      <c r="E203" s="1" t="s">
        <v>373</v>
      </c>
    </row>
    <row r="204" ht="14.25" customHeight="1">
      <c r="A204" s="1" t="s">
        <v>375</v>
      </c>
      <c r="B204" s="1" t="s">
        <v>64</v>
      </c>
      <c r="C204" s="1" t="s">
        <v>145</v>
      </c>
      <c r="D204" s="1" t="s">
        <v>17</v>
      </c>
      <c r="E204" s="1" t="s">
        <v>376</v>
      </c>
    </row>
    <row r="205" ht="14.25" customHeight="1">
      <c r="A205" s="1" t="s">
        <v>377</v>
      </c>
      <c r="B205" s="1" t="s">
        <v>6</v>
      </c>
      <c r="C205" s="1" t="s">
        <v>12</v>
      </c>
      <c r="D205" s="1" t="s">
        <v>17</v>
      </c>
      <c r="E205" s="1" t="s">
        <v>378</v>
      </c>
    </row>
    <row r="206" ht="14.25" customHeight="1">
      <c r="A206" s="1" t="s">
        <v>379</v>
      </c>
      <c r="B206" s="1" t="s">
        <v>6</v>
      </c>
      <c r="C206" s="1" t="s">
        <v>21</v>
      </c>
      <c r="D206" s="1" t="s">
        <v>380</v>
      </c>
      <c r="E206" s="1" t="s">
        <v>381</v>
      </c>
    </row>
    <row r="207" ht="14.25" customHeight="1">
      <c r="A207" s="1" t="s">
        <v>382</v>
      </c>
      <c r="B207" s="1" t="s">
        <v>6</v>
      </c>
      <c r="C207" s="1" t="s">
        <v>21</v>
      </c>
      <c r="D207" s="1" t="s">
        <v>13</v>
      </c>
      <c r="E207" s="1" t="s">
        <v>383</v>
      </c>
    </row>
    <row r="208" ht="14.25" customHeight="1">
      <c r="A208" s="1" t="s">
        <v>384</v>
      </c>
      <c r="B208" s="1" t="s">
        <v>27</v>
      </c>
      <c r="C208" s="1" t="s">
        <v>21</v>
      </c>
      <c r="D208" s="1" t="s">
        <v>13</v>
      </c>
      <c r="E208" s="1" t="s">
        <v>383</v>
      </c>
    </row>
    <row r="209" ht="14.25" customHeight="1">
      <c r="A209" s="1" t="s">
        <v>385</v>
      </c>
      <c r="B209" s="1" t="s">
        <v>161</v>
      </c>
      <c r="C209" s="1" t="s">
        <v>21</v>
      </c>
      <c r="D209" s="1" t="s">
        <v>17</v>
      </c>
      <c r="E209" s="1" t="s">
        <v>386</v>
      </c>
    </row>
    <row r="210" ht="14.25" customHeight="1">
      <c r="A210" s="1" t="s">
        <v>387</v>
      </c>
      <c r="B210" s="1" t="s">
        <v>125</v>
      </c>
      <c r="C210" s="1" t="s">
        <v>21</v>
      </c>
      <c r="D210" s="1" t="s">
        <v>17</v>
      </c>
      <c r="E210" s="1" t="s">
        <v>388</v>
      </c>
    </row>
    <row r="211" ht="14.25" customHeight="1">
      <c r="A211" s="1" t="s">
        <v>389</v>
      </c>
      <c r="B211" s="1" t="s">
        <v>16</v>
      </c>
      <c r="C211" s="1" t="s">
        <v>21</v>
      </c>
      <c r="D211" s="1" t="s">
        <v>17</v>
      </c>
      <c r="E211" s="1" t="s">
        <v>390</v>
      </c>
    </row>
    <row r="212" ht="14.25" customHeight="1">
      <c r="A212" s="1" t="s">
        <v>391</v>
      </c>
      <c r="B212" s="1" t="s">
        <v>40</v>
      </c>
      <c r="C212" s="1" t="s">
        <v>21</v>
      </c>
      <c r="D212" s="1" t="s">
        <v>17</v>
      </c>
      <c r="E212" s="1" t="s">
        <v>390</v>
      </c>
    </row>
    <row r="213" ht="14.25" customHeight="1">
      <c r="A213" s="1" t="s">
        <v>392</v>
      </c>
      <c r="B213" s="1" t="s">
        <v>40</v>
      </c>
      <c r="C213" s="1" t="s">
        <v>21</v>
      </c>
      <c r="D213" s="1" t="s">
        <v>17</v>
      </c>
      <c r="E213" s="1" t="s">
        <v>390</v>
      </c>
    </row>
    <row r="214" ht="14.25" customHeight="1">
      <c r="A214" s="1" t="s">
        <v>393</v>
      </c>
      <c r="B214" s="1" t="s">
        <v>33</v>
      </c>
      <c r="C214" s="1" t="s">
        <v>394</v>
      </c>
      <c r="D214" s="1" t="s">
        <v>8</v>
      </c>
      <c r="E214" s="1" t="s">
        <v>395</v>
      </c>
    </row>
    <row r="215" ht="14.25" customHeight="1">
      <c r="A215" s="1" t="s">
        <v>396</v>
      </c>
      <c r="B215" s="1" t="s">
        <v>125</v>
      </c>
      <c r="C215" s="1" t="s">
        <v>21</v>
      </c>
      <c r="D215" s="1" t="s">
        <v>17</v>
      </c>
      <c r="E215" s="1" t="s">
        <v>397</v>
      </c>
    </row>
    <row r="216" ht="14.25" customHeight="1">
      <c r="A216" s="1" t="s">
        <v>398</v>
      </c>
      <c r="B216" s="1" t="s">
        <v>36</v>
      </c>
      <c r="C216" s="1" t="s">
        <v>21</v>
      </c>
      <c r="D216" s="1" t="s">
        <v>17</v>
      </c>
      <c r="E216" s="1" t="s">
        <v>399</v>
      </c>
    </row>
    <row r="217" ht="14.25" customHeight="1">
      <c r="A217" s="1" t="s">
        <v>400</v>
      </c>
      <c r="B217" s="1" t="s">
        <v>125</v>
      </c>
      <c r="C217" s="1" t="s">
        <v>21</v>
      </c>
      <c r="D217" s="1" t="s">
        <v>17</v>
      </c>
      <c r="E217" s="1" t="s">
        <v>399</v>
      </c>
    </row>
    <row r="218" ht="14.25" customHeight="1">
      <c r="A218" s="1" t="s">
        <v>401</v>
      </c>
      <c r="B218" s="1" t="s">
        <v>161</v>
      </c>
      <c r="C218" s="1" t="s">
        <v>21</v>
      </c>
      <c r="D218" s="1" t="s">
        <v>17</v>
      </c>
      <c r="E218" s="1" t="s">
        <v>402</v>
      </c>
    </row>
    <row r="219" ht="14.25" customHeight="1">
      <c r="A219" s="1" t="s">
        <v>403</v>
      </c>
      <c r="B219" s="1" t="s">
        <v>6</v>
      </c>
      <c r="C219" s="1" t="s">
        <v>21</v>
      </c>
      <c r="D219" s="1" t="s">
        <v>17</v>
      </c>
      <c r="E219" s="1" t="s">
        <v>404</v>
      </c>
    </row>
    <row r="220" ht="14.25" customHeight="1">
      <c r="A220" s="1" t="s">
        <v>405</v>
      </c>
      <c r="B220" s="1" t="s">
        <v>58</v>
      </c>
      <c r="C220" s="1" t="s">
        <v>21</v>
      </c>
      <c r="D220" s="1" t="s">
        <v>17</v>
      </c>
      <c r="E220" s="1" t="s">
        <v>404</v>
      </c>
    </row>
    <row r="221" ht="14.25" customHeight="1">
      <c r="A221" s="1" t="s">
        <v>406</v>
      </c>
      <c r="B221" s="1" t="s">
        <v>58</v>
      </c>
      <c r="C221" s="1" t="s">
        <v>21</v>
      </c>
      <c r="D221" s="1" t="s">
        <v>8</v>
      </c>
      <c r="E221" s="1" t="s">
        <v>407</v>
      </c>
    </row>
    <row r="222" ht="14.25" customHeight="1">
      <c r="A222" s="1" t="s">
        <v>408</v>
      </c>
      <c r="B222" s="1" t="s">
        <v>20</v>
      </c>
      <c r="C222" s="1" t="s">
        <v>21</v>
      </c>
      <c r="D222" s="1" t="s">
        <v>8</v>
      </c>
      <c r="E222" s="1" t="s">
        <v>407</v>
      </c>
    </row>
    <row r="223" ht="14.25" customHeight="1">
      <c r="A223" s="1" t="s">
        <v>409</v>
      </c>
      <c r="B223" s="1" t="s">
        <v>33</v>
      </c>
      <c r="C223" s="1" t="s">
        <v>236</v>
      </c>
      <c r="D223" s="1" t="s">
        <v>17</v>
      </c>
      <c r="E223" s="1" t="s">
        <v>410</v>
      </c>
    </row>
    <row r="224" ht="14.25" customHeight="1">
      <c r="A224" s="1" t="s">
        <v>411</v>
      </c>
      <c r="B224" s="1" t="s">
        <v>6</v>
      </c>
      <c r="C224" s="1" t="s">
        <v>21</v>
      </c>
      <c r="D224" s="1" t="s">
        <v>17</v>
      </c>
      <c r="E224" s="1" t="s">
        <v>410</v>
      </c>
    </row>
    <row r="225" ht="14.25" customHeight="1">
      <c r="A225" s="1" t="s">
        <v>412</v>
      </c>
      <c r="B225" s="1" t="s">
        <v>134</v>
      </c>
      <c r="C225" s="1" t="s">
        <v>21</v>
      </c>
      <c r="D225" s="1" t="s">
        <v>17</v>
      </c>
      <c r="E225" s="1" t="s">
        <v>413</v>
      </c>
    </row>
    <row r="226" ht="14.25" customHeight="1">
      <c r="A226" s="1" t="s">
        <v>414</v>
      </c>
      <c r="B226" s="1" t="s">
        <v>64</v>
      </c>
      <c r="C226" s="1" t="s">
        <v>126</v>
      </c>
      <c r="D226" s="1" t="s">
        <v>8</v>
      </c>
      <c r="E226" s="1" t="s">
        <v>415</v>
      </c>
    </row>
    <row r="227" ht="14.25" customHeight="1">
      <c r="A227" s="1" t="s">
        <v>416</v>
      </c>
      <c r="B227" s="1" t="s">
        <v>33</v>
      </c>
      <c r="C227" s="1" t="s">
        <v>126</v>
      </c>
      <c r="D227" s="1" t="s">
        <v>8</v>
      </c>
      <c r="E227" s="1" t="s">
        <v>415</v>
      </c>
    </row>
    <row r="228" ht="14.25" customHeight="1">
      <c r="A228" s="1" t="s">
        <v>417</v>
      </c>
      <c r="B228" s="1" t="s">
        <v>58</v>
      </c>
      <c r="C228" s="1" t="s">
        <v>21</v>
      </c>
      <c r="D228" s="1" t="s">
        <v>8</v>
      </c>
      <c r="E228" s="1" t="s">
        <v>418</v>
      </c>
    </row>
    <row r="229" ht="14.25" customHeight="1">
      <c r="A229" s="1" t="s">
        <v>419</v>
      </c>
      <c r="B229" s="1" t="s">
        <v>33</v>
      </c>
      <c r="C229" s="1" t="s">
        <v>21</v>
      </c>
      <c r="D229" s="1" t="s">
        <v>8</v>
      </c>
      <c r="E229" s="1" t="s">
        <v>418</v>
      </c>
    </row>
    <row r="230" ht="14.25" customHeight="1">
      <c r="A230" s="1" t="s">
        <v>420</v>
      </c>
      <c r="B230" s="1" t="s">
        <v>58</v>
      </c>
      <c r="C230" s="1" t="s">
        <v>21</v>
      </c>
      <c r="D230" s="1" t="s">
        <v>17</v>
      </c>
      <c r="E230" s="1" t="s">
        <v>421</v>
      </c>
    </row>
    <row r="231" ht="14.25" customHeight="1">
      <c r="A231" s="1" t="s">
        <v>422</v>
      </c>
      <c r="B231" s="1" t="s">
        <v>40</v>
      </c>
      <c r="C231" s="1" t="s">
        <v>21</v>
      </c>
      <c r="D231" s="1" t="s">
        <v>8</v>
      </c>
      <c r="E231" s="1" t="s">
        <v>423</v>
      </c>
    </row>
    <row r="232" ht="14.25" customHeight="1">
      <c r="A232" s="1" t="s">
        <v>424</v>
      </c>
      <c r="B232" s="1" t="s">
        <v>125</v>
      </c>
      <c r="C232" s="1" t="s">
        <v>21</v>
      </c>
      <c r="D232" s="1" t="s">
        <v>8</v>
      </c>
      <c r="E232" s="1" t="s">
        <v>423</v>
      </c>
    </row>
    <row r="233" ht="14.25" customHeight="1">
      <c r="A233" s="1" t="s">
        <v>425</v>
      </c>
      <c r="B233" s="1" t="s">
        <v>16</v>
      </c>
      <c r="C233" s="1" t="s">
        <v>21</v>
      </c>
      <c r="D233" s="1" t="s">
        <v>8</v>
      </c>
      <c r="E233" s="1" t="s">
        <v>381</v>
      </c>
    </row>
    <row r="234" ht="14.25" customHeight="1">
      <c r="A234" s="1" t="s">
        <v>426</v>
      </c>
      <c r="B234" s="1" t="s">
        <v>161</v>
      </c>
      <c r="C234" s="1" t="s">
        <v>21</v>
      </c>
      <c r="D234" s="1" t="s">
        <v>17</v>
      </c>
      <c r="E234" s="1" t="s">
        <v>427</v>
      </c>
    </row>
    <row r="235" ht="14.25" customHeight="1">
      <c r="A235" s="1" t="s">
        <v>428</v>
      </c>
      <c r="B235" s="1" t="s">
        <v>36</v>
      </c>
      <c r="C235" s="1" t="s">
        <v>21</v>
      </c>
      <c r="D235" s="1" t="s">
        <v>17</v>
      </c>
      <c r="E235" s="1" t="s">
        <v>427</v>
      </c>
    </row>
    <row r="236" ht="14.25" customHeight="1">
      <c r="A236" s="1" t="s">
        <v>429</v>
      </c>
      <c r="B236" s="1" t="s">
        <v>25</v>
      </c>
      <c r="C236" s="1" t="s">
        <v>21</v>
      </c>
      <c r="D236" s="1" t="s">
        <v>17</v>
      </c>
      <c r="E236" s="1" t="s">
        <v>430</v>
      </c>
    </row>
    <row r="237" ht="14.25" customHeight="1">
      <c r="A237" s="1" t="s">
        <v>431</v>
      </c>
      <c r="B237" s="1" t="s">
        <v>30</v>
      </c>
      <c r="C237" s="1" t="s">
        <v>21</v>
      </c>
      <c r="D237" s="1" t="s">
        <v>17</v>
      </c>
      <c r="E237" s="1" t="s">
        <v>432</v>
      </c>
    </row>
    <row r="238" ht="14.25" customHeight="1">
      <c r="A238" s="1" t="s">
        <v>433</v>
      </c>
      <c r="B238" s="1" t="s">
        <v>64</v>
      </c>
      <c r="C238" s="1" t="s">
        <v>126</v>
      </c>
      <c r="D238" s="1" t="s">
        <v>8</v>
      </c>
      <c r="E238" s="1" t="s">
        <v>434</v>
      </c>
    </row>
    <row r="239" ht="14.25" customHeight="1">
      <c r="A239" s="1" t="s">
        <v>435</v>
      </c>
      <c r="B239" s="1" t="s">
        <v>161</v>
      </c>
      <c r="C239" s="1" t="s">
        <v>12</v>
      </c>
      <c r="D239" s="1" t="s">
        <v>8</v>
      </c>
      <c r="E239" s="1" t="s">
        <v>436</v>
      </c>
    </row>
    <row r="240" ht="14.25" customHeight="1">
      <c r="A240" s="1" t="s">
        <v>437</v>
      </c>
      <c r="B240" s="1" t="s">
        <v>27</v>
      </c>
      <c r="C240" s="1" t="s">
        <v>21</v>
      </c>
      <c r="D240" s="1" t="s">
        <v>8</v>
      </c>
      <c r="E240" s="1" t="s">
        <v>436</v>
      </c>
    </row>
    <row r="241" ht="14.25" customHeight="1">
      <c r="A241" s="1" t="s">
        <v>438</v>
      </c>
      <c r="B241" s="1" t="s">
        <v>125</v>
      </c>
      <c r="C241" s="1" t="s">
        <v>439</v>
      </c>
      <c r="D241" s="1" t="s">
        <v>8</v>
      </c>
      <c r="E241" s="1" t="s">
        <v>440</v>
      </c>
    </row>
    <row r="242" ht="14.25" customHeight="1">
      <c r="A242" s="1" t="s">
        <v>441</v>
      </c>
      <c r="B242" s="1" t="s">
        <v>27</v>
      </c>
      <c r="C242" s="1" t="s">
        <v>21</v>
      </c>
      <c r="D242" s="1" t="s">
        <v>17</v>
      </c>
      <c r="E242" s="1" t="s">
        <v>442</v>
      </c>
    </row>
    <row r="243" ht="14.25" customHeight="1">
      <c r="A243" s="1" t="s">
        <v>443</v>
      </c>
      <c r="B243" s="1" t="s">
        <v>444</v>
      </c>
      <c r="C243" s="1" t="s">
        <v>21</v>
      </c>
      <c r="D243" s="1" t="s">
        <v>445</v>
      </c>
      <c r="E243" s="1" t="s">
        <v>446</v>
      </c>
    </row>
    <row r="244" ht="14.25" customHeight="1">
      <c r="A244" s="1" t="s">
        <v>447</v>
      </c>
      <c r="B244" s="1" t="s">
        <v>11</v>
      </c>
      <c r="C244" s="1" t="s">
        <v>21</v>
      </c>
      <c r="D244" s="1" t="s">
        <v>13</v>
      </c>
      <c r="E244" s="1" t="s">
        <v>448</v>
      </c>
    </row>
    <row r="245" ht="14.25" customHeight="1">
      <c r="A245" s="1" t="s">
        <v>449</v>
      </c>
      <c r="B245" s="1" t="s">
        <v>40</v>
      </c>
      <c r="C245" s="1" t="s">
        <v>21</v>
      </c>
      <c r="D245" s="1" t="s">
        <v>8</v>
      </c>
      <c r="E245" s="1" t="s">
        <v>448</v>
      </c>
    </row>
    <row r="246" ht="14.25" customHeight="1">
      <c r="A246" s="1" t="s">
        <v>450</v>
      </c>
      <c r="B246" s="1" t="s">
        <v>20</v>
      </c>
      <c r="C246" s="1" t="s">
        <v>21</v>
      </c>
      <c r="D246" s="1" t="s">
        <v>13</v>
      </c>
      <c r="E246" s="1" t="s">
        <v>451</v>
      </c>
    </row>
    <row r="247" ht="14.25" customHeight="1">
      <c r="A247" s="1" t="s">
        <v>452</v>
      </c>
      <c r="B247" s="1" t="s">
        <v>6</v>
      </c>
      <c r="C247" s="1" t="s">
        <v>236</v>
      </c>
      <c r="D247" s="1" t="s">
        <v>164</v>
      </c>
      <c r="E247" s="1" t="s">
        <v>453</v>
      </c>
    </row>
    <row r="248" ht="14.25" customHeight="1">
      <c r="A248" s="1" t="s">
        <v>454</v>
      </c>
      <c r="B248" s="1" t="s">
        <v>161</v>
      </c>
      <c r="C248" s="1" t="s">
        <v>21</v>
      </c>
      <c r="D248" s="1" t="s">
        <v>8</v>
      </c>
      <c r="E248" s="1" t="s">
        <v>455</v>
      </c>
    </row>
    <row r="249" ht="14.25" customHeight="1">
      <c r="A249" s="1" t="s">
        <v>456</v>
      </c>
      <c r="B249" s="1" t="s">
        <v>125</v>
      </c>
      <c r="D249" s="1" t="s">
        <v>17</v>
      </c>
      <c r="E249" s="1" t="s">
        <v>457</v>
      </c>
    </row>
    <row r="250" ht="14.25" customHeight="1">
      <c r="A250" s="1" t="s">
        <v>458</v>
      </c>
      <c r="B250" s="1" t="s">
        <v>58</v>
      </c>
      <c r="C250" s="1" t="s">
        <v>21</v>
      </c>
      <c r="D250" s="1" t="s">
        <v>8</v>
      </c>
      <c r="E250" s="1" t="s">
        <v>459</v>
      </c>
    </row>
    <row r="251" ht="14.25" customHeight="1">
      <c r="A251" s="1" t="s">
        <v>460</v>
      </c>
      <c r="B251" s="1" t="s">
        <v>36</v>
      </c>
      <c r="C251" s="1" t="s">
        <v>21</v>
      </c>
      <c r="D251" s="1" t="s">
        <v>8</v>
      </c>
      <c r="E251" s="1" t="s">
        <v>461</v>
      </c>
    </row>
    <row r="252" ht="14.25" customHeight="1">
      <c r="A252" s="1" t="s">
        <v>462</v>
      </c>
      <c r="B252" s="1" t="s">
        <v>20</v>
      </c>
      <c r="C252" s="1" t="s">
        <v>21</v>
      </c>
      <c r="D252" s="1" t="s">
        <v>8</v>
      </c>
      <c r="E252" s="1" t="s">
        <v>461</v>
      </c>
    </row>
    <row r="253" ht="14.25" customHeight="1">
      <c r="A253" s="1" t="s">
        <v>463</v>
      </c>
      <c r="B253" s="1" t="s">
        <v>40</v>
      </c>
      <c r="C253" s="1" t="s">
        <v>12</v>
      </c>
      <c r="D253" s="1" t="s">
        <v>8</v>
      </c>
      <c r="E253" s="1" t="s">
        <v>464</v>
      </c>
    </row>
    <row r="254" ht="14.25" customHeight="1">
      <c r="A254" s="1" t="s">
        <v>465</v>
      </c>
      <c r="B254" s="1" t="s">
        <v>16</v>
      </c>
      <c r="C254" s="1" t="s">
        <v>21</v>
      </c>
      <c r="D254" s="1" t="s">
        <v>188</v>
      </c>
      <c r="E254" s="1" t="s">
        <v>466</v>
      </c>
    </row>
    <row r="255" ht="14.25" customHeight="1">
      <c r="A255" s="1" t="s">
        <v>467</v>
      </c>
      <c r="B255" s="1" t="s">
        <v>30</v>
      </c>
      <c r="C255" s="1" t="s">
        <v>21</v>
      </c>
      <c r="D255" s="1" t="s">
        <v>17</v>
      </c>
      <c r="E255" s="1" t="s">
        <v>468</v>
      </c>
    </row>
    <row r="256" ht="14.25" customHeight="1">
      <c r="A256" s="1" t="s">
        <v>469</v>
      </c>
      <c r="B256" s="1" t="s">
        <v>64</v>
      </c>
      <c r="C256" s="1" t="s">
        <v>126</v>
      </c>
      <c r="D256" s="1" t="s">
        <v>8</v>
      </c>
      <c r="E256" s="1" t="s">
        <v>470</v>
      </c>
    </row>
    <row r="257" ht="14.25" customHeight="1">
      <c r="A257" s="1" t="s">
        <v>471</v>
      </c>
      <c r="B257" s="1" t="s">
        <v>33</v>
      </c>
      <c r="C257" s="1" t="s">
        <v>12</v>
      </c>
      <c r="D257" s="1" t="s">
        <v>17</v>
      </c>
      <c r="E257" s="1" t="s">
        <v>472</v>
      </c>
    </row>
    <row r="258" ht="14.25" customHeight="1">
      <c r="A258" s="1" t="s">
        <v>473</v>
      </c>
      <c r="B258" s="1" t="s">
        <v>36</v>
      </c>
      <c r="C258" s="1" t="s">
        <v>21</v>
      </c>
      <c r="E258" s="1" t="s">
        <v>474</v>
      </c>
    </row>
    <row r="259" ht="14.25" customHeight="1">
      <c r="A259" s="1" t="s">
        <v>475</v>
      </c>
      <c r="B259" s="1" t="s">
        <v>16</v>
      </c>
      <c r="C259" s="1" t="s">
        <v>21</v>
      </c>
      <c r="E259" s="1" t="s">
        <v>474</v>
      </c>
    </row>
    <row r="260" ht="14.25" customHeight="1">
      <c r="A260" s="1" t="s">
        <v>476</v>
      </c>
      <c r="B260" s="1" t="s">
        <v>161</v>
      </c>
      <c r="C260" s="1" t="s">
        <v>12</v>
      </c>
      <c r="D260" s="1" t="s">
        <v>17</v>
      </c>
      <c r="E260" s="1" t="s">
        <v>477</v>
      </c>
    </row>
    <row r="261" ht="14.25" customHeight="1">
      <c r="A261" s="1" t="s">
        <v>478</v>
      </c>
      <c r="B261" s="1" t="s">
        <v>36</v>
      </c>
      <c r="C261" s="1" t="s">
        <v>21</v>
      </c>
      <c r="D261" s="1" t="s">
        <v>17</v>
      </c>
      <c r="E261" s="1" t="s">
        <v>479</v>
      </c>
    </row>
    <row r="262" ht="14.25" customHeight="1">
      <c r="A262" s="1" t="s">
        <v>480</v>
      </c>
      <c r="B262" s="1" t="s">
        <v>20</v>
      </c>
      <c r="C262" s="1" t="s">
        <v>21</v>
      </c>
      <c r="D262" s="1" t="s">
        <v>17</v>
      </c>
      <c r="E262" s="1" t="s">
        <v>479</v>
      </c>
    </row>
    <row r="263" ht="14.25" customHeight="1">
      <c r="A263" s="1" t="s">
        <v>481</v>
      </c>
      <c r="B263" s="1" t="s">
        <v>125</v>
      </c>
      <c r="C263" s="1" t="s">
        <v>12</v>
      </c>
      <c r="D263" s="1" t="s">
        <v>17</v>
      </c>
      <c r="E263" s="1" t="s">
        <v>482</v>
      </c>
    </row>
    <row r="264" ht="14.25" customHeight="1">
      <c r="A264" s="1" t="s">
        <v>483</v>
      </c>
      <c r="B264" s="1" t="s">
        <v>30</v>
      </c>
      <c r="C264" s="1" t="s">
        <v>21</v>
      </c>
      <c r="D264" s="1" t="s">
        <v>17</v>
      </c>
      <c r="E264" s="1" t="s">
        <v>484</v>
      </c>
    </row>
    <row r="265" ht="14.25" customHeight="1">
      <c r="A265" s="1" t="s">
        <v>485</v>
      </c>
      <c r="B265" s="1" t="s">
        <v>27</v>
      </c>
      <c r="C265" s="1" t="s">
        <v>21</v>
      </c>
      <c r="D265" s="1" t="s">
        <v>17</v>
      </c>
      <c r="E265" s="1" t="s">
        <v>484</v>
      </c>
    </row>
    <row r="266" ht="14.25" customHeight="1">
      <c r="A266" s="1" t="s">
        <v>486</v>
      </c>
      <c r="B266" s="1" t="s">
        <v>125</v>
      </c>
      <c r="C266" s="1" t="s">
        <v>21</v>
      </c>
      <c r="D266" s="1" t="s">
        <v>8</v>
      </c>
      <c r="E266" s="1" t="s">
        <v>487</v>
      </c>
    </row>
    <row r="267" ht="14.25" customHeight="1">
      <c r="A267" s="1" t="s">
        <v>488</v>
      </c>
      <c r="B267" s="1" t="s">
        <v>27</v>
      </c>
      <c r="C267" s="1" t="s">
        <v>21</v>
      </c>
      <c r="D267" s="1" t="s">
        <v>17</v>
      </c>
      <c r="E267" s="1" t="s">
        <v>489</v>
      </c>
    </row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4.86"/>
    <col customWidth="1" min="3" max="4" width="7.29"/>
  </cols>
  <sheetData>
    <row r="1" ht="39.75" customHeight="1">
      <c r="A1" s="2"/>
      <c r="B1" s="2"/>
      <c r="C1" s="2"/>
      <c r="D1" s="2"/>
    </row>
    <row r="2">
      <c r="A2" s="3" t="str">
        <f t="shared" ref="A2:B2" si="1">SUBSTITUTE(A3, "COUNTA of ", "")</f>
        <v>Group</v>
      </c>
      <c r="B2" s="3" t="str">
        <f t="shared" si="1"/>
        <v># Students</v>
      </c>
      <c r="C2" s="3" t="str">
        <f t="shared" ref="C2:D2" si="2">SUBSTITUTE(C3, "SUM of ", "")</f>
        <v/>
      </c>
      <c r="D2" s="3" t="str">
        <f t="shared" si="2"/>
        <v/>
      </c>
    </row>
    <row r="3" ht="1.5" customHeight="1">
      <c r="A3" s="4" t="s">
        <v>490</v>
      </c>
      <c r="B3" s="1" t="s">
        <v>491</v>
      </c>
    </row>
    <row r="4" ht="29.25" customHeight="1">
      <c r="A4" s="5" t="s">
        <v>492</v>
      </c>
      <c r="B4" s="5">
        <v>9.0</v>
      </c>
      <c r="C4" s="5"/>
      <c r="D4" s="5"/>
    </row>
    <row r="5" ht="29.25" customHeight="1">
      <c r="A5" s="5" t="s">
        <v>493</v>
      </c>
      <c r="B5" s="5">
        <v>14.0</v>
      </c>
      <c r="C5" s="5"/>
      <c r="D5" s="5"/>
    </row>
    <row r="6" ht="29.25" customHeight="1">
      <c r="A6" s="5" t="s">
        <v>494</v>
      </c>
      <c r="B6" s="5">
        <v>8.0</v>
      </c>
      <c r="C6" s="5"/>
      <c r="D6" s="5"/>
    </row>
    <row r="7" ht="29.25" customHeight="1">
      <c r="A7" s="5" t="s">
        <v>495</v>
      </c>
      <c r="B7" s="5">
        <v>13.0</v>
      </c>
      <c r="C7" s="5"/>
      <c r="D7" s="5"/>
    </row>
    <row r="8" ht="29.25" customHeight="1">
      <c r="A8" s="5" t="s">
        <v>496</v>
      </c>
      <c r="B8" s="5">
        <v>44.0</v>
      </c>
      <c r="C8" s="5"/>
      <c r="D8" s="5"/>
    </row>
    <row r="9">
      <c r="A9" s="5"/>
      <c r="B9" s="5"/>
      <c r="C9" s="5"/>
      <c r="D9" s="5"/>
    </row>
    <row r="10">
      <c r="A10" s="5"/>
      <c r="B10" s="5"/>
      <c r="C10" s="5"/>
      <c r="D10" s="5"/>
    </row>
    <row r="11">
      <c r="A11" s="5"/>
      <c r="B11" s="5"/>
      <c r="C11" s="5"/>
      <c r="D11" s="5"/>
    </row>
    <row r="12">
      <c r="A12" s="5"/>
      <c r="B12" s="5"/>
      <c r="C12" s="5"/>
      <c r="D12" s="5"/>
    </row>
    <row r="13">
      <c r="A13" s="5"/>
      <c r="B13" s="5"/>
      <c r="C13" s="5"/>
      <c r="D13" s="5"/>
    </row>
    <row r="14">
      <c r="A14" s="5"/>
      <c r="B14" s="5"/>
      <c r="C14" s="5"/>
      <c r="D14" s="5"/>
    </row>
    <row r="15">
      <c r="A15" s="5"/>
      <c r="B15" s="5"/>
      <c r="C15" s="5"/>
      <c r="D15" s="5"/>
    </row>
    <row r="16">
      <c r="A16" s="5"/>
      <c r="B16" s="5"/>
      <c r="C16" s="5"/>
      <c r="D16" s="5"/>
    </row>
    <row r="17">
      <c r="A17" s="5"/>
      <c r="B17" s="5"/>
      <c r="C17" s="5"/>
      <c r="D17" s="5"/>
    </row>
    <row r="18">
      <c r="A18" s="5"/>
      <c r="B18" s="5"/>
      <c r="C18" s="5"/>
      <c r="D18" s="5"/>
    </row>
    <row r="19">
      <c r="A19" s="5"/>
      <c r="B19" s="5"/>
      <c r="C19" s="5"/>
      <c r="D19" s="5"/>
    </row>
    <row r="20">
      <c r="A20" s="5"/>
      <c r="B20" s="5"/>
      <c r="C20" s="5"/>
      <c r="D20" s="5"/>
    </row>
    <row r="21">
      <c r="A21" s="5"/>
      <c r="B21" s="5"/>
      <c r="C21" s="5"/>
      <c r="D21" s="5"/>
    </row>
    <row r="22">
      <c r="A22" s="5"/>
      <c r="B22" s="5"/>
      <c r="C22" s="5"/>
      <c r="D22" s="5"/>
    </row>
    <row r="23">
      <c r="A23" s="5"/>
      <c r="B23" s="5"/>
      <c r="C23" s="5"/>
      <c r="D23" s="5"/>
    </row>
    <row r="24">
      <c r="A24" s="5"/>
      <c r="B24" s="5"/>
      <c r="C24" s="5"/>
      <c r="D24" s="5"/>
    </row>
    <row r="25">
      <c r="A25" s="5"/>
      <c r="B25" s="5"/>
      <c r="C25" s="5"/>
      <c r="D25" s="5"/>
    </row>
    <row r="26">
      <c r="A26" s="5"/>
      <c r="B26" s="5"/>
      <c r="C26" s="5"/>
      <c r="D26" s="5"/>
    </row>
    <row r="27">
      <c r="A27" s="5"/>
      <c r="B27" s="5"/>
      <c r="C27" s="5"/>
      <c r="D27" s="5"/>
    </row>
    <row r="28">
      <c r="A28" s="5"/>
      <c r="B28" s="5"/>
      <c r="C28" s="5"/>
      <c r="D28" s="5"/>
    </row>
    <row r="29">
      <c r="A29" s="5"/>
      <c r="B29" s="5"/>
      <c r="C29" s="5"/>
      <c r="D29" s="5"/>
    </row>
    <row r="30">
      <c r="A30" s="5"/>
      <c r="B30" s="5"/>
      <c r="C30" s="5"/>
      <c r="D30" s="5"/>
    </row>
    <row r="31">
      <c r="A31" s="5"/>
      <c r="B31" s="5"/>
      <c r="C31" s="5"/>
      <c r="D31" s="5"/>
    </row>
    <row r="32">
      <c r="A32" s="5"/>
      <c r="B32" s="5"/>
      <c r="C32" s="5"/>
      <c r="D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  <row r="1001">
      <c r="A1001" s="5"/>
    </row>
    <row r="1002">
      <c r="A1002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12.43"/>
    <col customWidth="1" min="2" max="2" width="11.71"/>
    <col customWidth="1" min="3" max="3" width="13.14"/>
    <col customWidth="1" min="4" max="4" width="21.71"/>
    <col customWidth="1" min="5" max="5" width="11.43"/>
    <col customWidth="1" min="6" max="6" width="8.14"/>
    <col customWidth="1" min="7" max="7" width="7.29"/>
    <col customWidth="1" min="8" max="8" width="9.43"/>
    <col customWidth="1" min="9" max="9" width="10.43"/>
    <col customWidth="1" min="10" max="10" width="10.29"/>
    <col customWidth="1" min="11" max="11" width="8.14"/>
    <col customWidth="1" min="12" max="13" width="10.14"/>
    <col customWidth="1" min="14" max="14" width="8.57"/>
    <col customWidth="1" min="15" max="15" width="10.43"/>
    <col customWidth="1" min="16" max="16" width="5.86"/>
    <col customWidth="1" min="17" max="17" width="5.0"/>
    <col customWidth="1" min="18" max="18" width="5.86"/>
    <col customWidth="1" min="19" max="19" width="5.14"/>
    <col customWidth="1" min="20" max="20" width="5.0"/>
    <col customWidth="1" min="21" max="21" width="8.86"/>
    <col customWidth="1" min="22" max="22" width="10.0"/>
    <col customWidth="1" min="23" max="23" width="11.86"/>
    <col customWidth="1" min="24" max="24" width="11.14"/>
    <col customWidth="1" min="25" max="25" width="18.43"/>
    <col customWidth="1" min="26" max="26" width="13.14"/>
    <col customWidth="1" min="27" max="27" width="18.43"/>
    <col customWidth="1" min="28" max="28" width="49.29"/>
    <col customWidth="1" min="29" max="29" width="15.86"/>
    <col customWidth="1" min="30" max="30" width="15.29"/>
    <col customWidth="1" min="31" max="31" width="14.71"/>
    <col customWidth="1" min="32" max="32" width="10.0"/>
    <col customWidth="1" min="33" max="33" width="19.86"/>
    <col customWidth="1" min="34" max="34" width="14.14"/>
    <col customWidth="1" min="35" max="35" width="8.43"/>
    <col customWidth="1" min="36" max="36" width="6.57"/>
    <col customWidth="1" min="37" max="37" width="37.86"/>
    <col customWidth="1" min="38" max="38" width="16.71"/>
    <col customWidth="1" min="39" max="39" width="6.86"/>
    <col customWidth="1" min="40" max="40" width="12.86"/>
    <col customWidth="1" min="42" max="43" width="15.86"/>
    <col customWidth="1" min="44" max="44" width="15.14"/>
    <col customWidth="1" min="45" max="45" width="16.43"/>
    <col customWidth="1" min="46" max="46" width="17.29"/>
    <col customWidth="1" min="47" max="47" width="9.0"/>
    <col customWidth="1" min="48" max="48" width="3.29"/>
    <col customWidth="1" min="49" max="49" width="10.86"/>
    <col customWidth="1" min="50" max="50" width="2.14"/>
    <col customWidth="1" min="51" max="51" width="5.43"/>
    <col customWidth="1" min="52" max="52" width="2.14"/>
    <col customWidth="1" min="53" max="56" width="3.29"/>
    <col customWidth="1" min="57" max="57" width="2.14"/>
    <col customWidth="1" min="58" max="59" width="11.71"/>
  </cols>
  <sheetData>
    <row r="1">
      <c r="A1" s="6" t="s">
        <v>497</v>
      </c>
      <c r="B1" s="6">
        <f>COUNTA(B5:B342)</f>
        <v>52</v>
      </c>
      <c r="C1" s="7" t="s">
        <v>498</v>
      </c>
      <c r="D1" s="8" t="s">
        <v>499</v>
      </c>
      <c r="E1" s="9"/>
      <c r="F1" s="9"/>
      <c r="G1" s="10"/>
      <c r="H1" s="9"/>
      <c r="I1" s="9"/>
      <c r="J1" s="11"/>
      <c r="K1" s="12"/>
      <c r="L1" s="13"/>
      <c r="M1" s="13"/>
      <c r="N1" s="11"/>
      <c r="O1" s="11"/>
      <c r="P1" s="11"/>
      <c r="Q1" s="11"/>
      <c r="R1" s="11"/>
      <c r="S1" s="11"/>
      <c r="T1" s="11"/>
      <c r="U1" s="14"/>
      <c r="V1" s="11"/>
      <c r="W1" s="11"/>
      <c r="X1" s="11"/>
      <c r="Y1" s="11"/>
      <c r="Z1" s="11"/>
      <c r="AA1" s="11"/>
      <c r="AB1" s="15"/>
      <c r="AC1" s="11"/>
      <c r="AD1" s="11"/>
      <c r="AE1" s="11"/>
      <c r="AF1" s="11"/>
      <c r="AG1" s="11"/>
      <c r="AH1" s="11"/>
      <c r="AI1" s="11"/>
      <c r="AJ1" s="11"/>
      <c r="AK1" s="14"/>
      <c r="AL1" s="16"/>
      <c r="AM1" s="11"/>
      <c r="AN1" s="11"/>
      <c r="AO1" s="11"/>
      <c r="AP1" s="17"/>
      <c r="AQ1" s="17"/>
      <c r="AR1" s="18"/>
      <c r="AS1" s="19"/>
      <c r="AT1" s="20"/>
      <c r="AU1" s="21"/>
      <c r="AV1" s="21"/>
      <c r="AW1" s="21"/>
      <c r="AX1" s="21"/>
      <c r="AY1" s="20"/>
      <c r="AZ1" s="21"/>
      <c r="BA1" s="21"/>
      <c r="BB1" s="21"/>
      <c r="BC1" s="21"/>
      <c r="BD1" s="21"/>
      <c r="BE1" s="21"/>
      <c r="BF1" s="11"/>
      <c r="BG1" s="11"/>
    </row>
    <row r="2">
      <c r="D2" s="14"/>
      <c r="E2" s="9"/>
      <c r="F2" s="9"/>
      <c r="G2" s="10"/>
      <c r="H2" s="9"/>
      <c r="I2" s="9"/>
      <c r="J2" s="11"/>
      <c r="K2" s="9"/>
      <c r="L2" s="13"/>
      <c r="M2" s="13"/>
      <c r="N2" s="11"/>
      <c r="O2" s="11"/>
      <c r="P2" s="11"/>
      <c r="Q2" s="11"/>
      <c r="R2" s="11"/>
      <c r="S2" s="11"/>
      <c r="T2" s="11"/>
      <c r="U2" s="14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4"/>
      <c r="AL2" s="16"/>
      <c r="AM2" s="11"/>
      <c r="AN2" s="11"/>
      <c r="AO2" s="11"/>
      <c r="AP2" s="17"/>
      <c r="AQ2" s="17"/>
      <c r="AR2" s="18"/>
      <c r="AS2" s="22"/>
      <c r="AT2" s="23"/>
      <c r="AU2" s="23"/>
      <c r="AV2" s="23"/>
      <c r="AW2" s="23"/>
      <c r="AX2" s="23"/>
      <c r="AY2" s="23"/>
      <c r="AZ2" s="23">
        <v>9.0</v>
      </c>
      <c r="BA2" s="23">
        <v>32.0</v>
      </c>
      <c r="BB2" s="23">
        <v>16.0</v>
      </c>
      <c r="BC2" s="23">
        <v>25.0</v>
      </c>
      <c r="BD2" s="23">
        <v>26.0</v>
      </c>
      <c r="BE2" s="23">
        <v>2.0</v>
      </c>
      <c r="BF2" s="11"/>
      <c r="BG2" s="11"/>
    </row>
    <row r="3">
      <c r="A3" s="24" t="s">
        <v>500</v>
      </c>
      <c r="B3" s="25" t="s">
        <v>501</v>
      </c>
      <c r="C3" s="26" t="s">
        <v>502</v>
      </c>
      <c r="D3" s="14"/>
      <c r="E3" s="27"/>
      <c r="F3" s="9"/>
      <c r="G3" s="10"/>
      <c r="H3" s="11"/>
      <c r="I3" s="11"/>
      <c r="J3" s="11"/>
      <c r="K3" s="11"/>
      <c r="L3" s="13"/>
      <c r="M3" s="13"/>
      <c r="N3" s="11"/>
      <c r="O3" s="11"/>
      <c r="P3" s="11"/>
      <c r="Q3" s="11"/>
      <c r="R3" s="11"/>
      <c r="S3" s="11"/>
      <c r="T3" s="11"/>
      <c r="U3" s="14"/>
      <c r="V3" s="11"/>
      <c r="W3" s="11"/>
      <c r="X3" s="11"/>
      <c r="Y3" s="11"/>
      <c r="Z3" s="28"/>
      <c r="AA3" s="28" t="s">
        <v>503</v>
      </c>
      <c r="AB3" s="11"/>
      <c r="AC3" s="11"/>
      <c r="AD3" s="11"/>
      <c r="AE3" s="11"/>
      <c r="AF3" s="11"/>
      <c r="AG3" s="11"/>
      <c r="AH3" s="11"/>
      <c r="AI3" s="11"/>
      <c r="AJ3" s="11"/>
      <c r="AK3" s="14"/>
      <c r="AL3" s="16"/>
      <c r="AM3" s="11"/>
      <c r="AN3" s="11"/>
      <c r="AO3" s="11"/>
      <c r="AP3" s="17"/>
      <c r="AQ3" s="17"/>
      <c r="AR3" s="18"/>
      <c r="AS3" s="29"/>
      <c r="AT3" s="18"/>
      <c r="AU3" s="21"/>
      <c r="AV3" s="18"/>
      <c r="AW3" s="21"/>
      <c r="AX3" s="18"/>
      <c r="AY3" s="21"/>
      <c r="AZ3" s="18">
        <v>2.0</v>
      </c>
      <c r="BA3" s="21">
        <v>3.0</v>
      </c>
      <c r="BB3" s="18">
        <v>4.0</v>
      </c>
      <c r="BC3" s="21">
        <v>5.0</v>
      </c>
      <c r="BD3" s="18">
        <v>6.0</v>
      </c>
      <c r="BE3" s="21">
        <v>7.0</v>
      </c>
      <c r="BF3" s="11"/>
      <c r="BG3" s="11"/>
    </row>
    <row r="4">
      <c r="A4" s="30" t="s">
        <v>504</v>
      </c>
      <c r="B4" s="30" t="s">
        <v>505</v>
      </c>
      <c r="C4" s="30" t="s">
        <v>506</v>
      </c>
      <c r="D4" s="31" t="s">
        <v>0</v>
      </c>
      <c r="E4" s="32" t="s">
        <v>507</v>
      </c>
      <c r="F4" s="32" t="s">
        <v>508</v>
      </c>
      <c r="G4" s="33" t="s">
        <v>509</v>
      </c>
      <c r="H4" s="30" t="s">
        <v>490</v>
      </c>
      <c r="I4" s="34" t="s">
        <v>2</v>
      </c>
      <c r="J4" s="34" t="s">
        <v>3</v>
      </c>
      <c r="K4" s="34" t="s">
        <v>510</v>
      </c>
      <c r="L4" s="34" t="s">
        <v>511</v>
      </c>
      <c r="M4" s="34" t="s">
        <v>512</v>
      </c>
      <c r="N4" s="34" t="s">
        <v>513</v>
      </c>
      <c r="O4" s="34" t="s">
        <v>514</v>
      </c>
      <c r="P4" s="34" t="s">
        <v>515</v>
      </c>
      <c r="Q4" s="34" t="s">
        <v>516</v>
      </c>
      <c r="R4" s="34" t="s">
        <v>517</v>
      </c>
      <c r="S4" s="34" t="s">
        <v>518</v>
      </c>
      <c r="T4" s="34" t="s">
        <v>519</v>
      </c>
      <c r="U4" s="31" t="s">
        <v>520</v>
      </c>
      <c r="V4" s="30" t="s">
        <v>521</v>
      </c>
      <c r="W4" s="30" t="s">
        <v>522</v>
      </c>
      <c r="X4" s="30" t="s">
        <v>523</v>
      </c>
      <c r="Y4" s="30" t="s">
        <v>524</v>
      </c>
      <c r="Z4" s="30" t="s">
        <v>525</v>
      </c>
      <c r="AA4" s="30" t="s">
        <v>526</v>
      </c>
      <c r="AB4" s="30" t="s">
        <v>527</v>
      </c>
      <c r="AC4" s="30" t="s">
        <v>528</v>
      </c>
      <c r="AD4" s="30" t="s">
        <v>529</v>
      </c>
      <c r="AE4" s="30" t="s">
        <v>530</v>
      </c>
      <c r="AF4" s="30" t="s">
        <v>531</v>
      </c>
      <c r="AG4" s="35" t="s">
        <v>532</v>
      </c>
      <c r="AH4" s="35" t="s">
        <v>533</v>
      </c>
      <c r="AI4" s="35" t="s">
        <v>534</v>
      </c>
      <c r="AJ4" s="35" t="s">
        <v>535</v>
      </c>
      <c r="AK4" s="36" t="s">
        <v>536</v>
      </c>
      <c r="AL4" s="35" t="s">
        <v>537</v>
      </c>
      <c r="AM4" s="35" t="s">
        <v>538</v>
      </c>
      <c r="AN4" s="35" t="s">
        <v>539</v>
      </c>
      <c r="AO4" s="35" t="s">
        <v>540</v>
      </c>
      <c r="AP4" s="37" t="s">
        <v>541</v>
      </c>
      <c r="AQ4" s="37" t="s">
        <v>542</v>
      </c>
      <c r="AR4" s="38"/>
      <c r="AS4" s="38"/>
      <c r="AT4" s="38"/>
      <c r="AU4" s="39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</row>
    <row r="5">
      <c r="A5" s="41">
        <v>45678.0</v>
      </c>
      <c r="B5" s="42" t="s">
        <v>543</v>
      </c>
      <c r="C5" s="43" t="s">
        <v>544</v>
      </c>
      <c r="D5" s="14" t="str">
        <f t="shared" ref="D5:D54" si="1">CONCAT(Concat(C5, ", "), B5)</f>
        <v>Gonzalez, Veronica</v>
      </c>
      <c r="E5" s="41">
        <v>44640.0</v>
      </c>
      <c r="F5" s="42"/>
      <c r="G5" s="44">
        <f t="shared" ref="G5:G22" si="2">(TODAY()-E5)/365</f>
        <v>3.863013699</v>
      </c>
      <c r="H5" s="45" t="s">
        <v>493</v>
      </c>
      <c r="I5" s="45" t="s">
        <v>545</v>
      </c>
      <c r="J5" s="42"/>
      <c r="K5" s="42">
        <v>5.0</v>
      </c>
      <c r="L5" s="46">
        <v>45901.0</v>
      </c>
      <c r="M5" s="41"/>
      <c r="N5" s="47">
        <v>0.375</v>
      </c>
      <c r="O5" s="47">
        <v>0.14583333333333334</v>
      </c>
      <c r="P5" s="42" t="s">
        <v>515</v>
      </c>
      <c r="Q5" s="42" t="s">
        <v>516</v>
      </c>
      <c r="R5" s="42" t="s">
        <v>517</v>
      </c>
      <c r="S5" s="42" t="s">
        <v>518</v>
      </c>
      <c r="T5" s="42" t="s">
        <v>519</v>
      </c>
      <c r="U5" s="14" t="str">
        <f t="shared" ref="U5:U54" si="3">P5&amp;Q5&amp;R5&amp;S5&amp;T5</f>
        <v>MTWTHF</v>
      </c>
      <c r="V5" s="15"/>
      <c r="W5" s="15"/>
      <c r="X5" s="15"/>
      <c r="Y5" s="15"/>
      <c r="Z5" s="15"/>
      <c r="AA5" s="15"/>
      <c r="AB5" s="15" t="s">
        <v>546</v>
      </c>
      <c r="AC5" s="48" t="s">
        <v>547</v>
      </c>
      <c r="AD5" s="15"/>
      <c r="AE5" s="15"/>
      <c r="AF5" s="15"/>
      <c r="AG5" s="49"/>
      <c r="AH5" s="15"/>
      <c r="AI5" s="15"/>
      <c r="AJ5" s="15"/>
      <c r="AK5" s="50" t="str">
        <f t="shared" ref="AK5:AK7" si="4">AG5&amp;","&amp;AH5&amp;","&amp;AI5&amp;","&amp;AJ5</f>
        <v>,,,</v>
      </c>
      <c r="AL5" s="15"/>
      <c r="AM5" s="15"/>
      <c r="AN5" s="15"/>
      <c r="AO5" s="15"/>
      <c r="AP5" s="51">
        <f t="shared" ref="AP5:AP57" si="5">MONTH(A5)</f>
        <v>1</v>
      </c>
      <c r="AQ5" s="51">
        <f t="shared" ref="AQ5:AQ57" si="6">YEAR(A5)</f>
        <v>2025</v>
      </c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</row>
    <row r="6">
      <c r="A6" s="41">
        <v>45684.0</v>
      </c>
      <c r="B6" s="42" t="s">
        <v>548</v>
      </c>
      <c r="C6" s="43" t="s">
        <v>549</v>
      </c>
      <c r="D6" s="14" t="str">
        <f t="shared" si="1"/>
        <v>Ho, Kyle</v>
      </c>
      <c r="E6" s="41">
        <v>45004.0</v>
      </c>
      <c r="F6" s="42"/>
      <c r="G6" s="44">
        <f t="shared" si="2"/>
        <v>2.865753425</v>
      </c>
      <c r="H6" s="45" t="s">
        <v>550</v>
      </c>
      <c r="I6" s="45" t="s">
        <v>551</v>
      </c>
      <c r="J6" s="42">
        <v>8.0</v>
      </c>
      <c r="K6" s="42">
        <v>3.0</v>
      </c>
      <c r="L6" s="46">
        <v>45901.0</v>
      </c>
      <c r="M6" s="41"/>
      <c r="N6" s="47">
        <v>0.375</v>
      </c>
      <c r="O6" s="47">
        <v>0.14583333333333334</v>
      </c>
      <c r="P6" s="42"/>
      <c r="Q6" s="42"/>
      <c r="R6" s="42" t="s">
        <v>517</v>
      </c>
      <c r="S6" s="42" t="s">
        <v>518</v>
      </c>
      <c r="T6" s="42"/>
      <c r="U6" s="14" t="str">
        <f t="shared" si="3"/>
        <v>WTH</v>
      </c>
      <c r="V6" s="15"/>
      <c r="W6" s="15"/>
      <c r="X6" s="15"/>
      <c r="Y6" s="15"/>
      <c r="Z6" s="15"/>
      <c r="AA6" s="15" t="s">
        <v>552</v>
      </c>
      <c r="AB6" s="15" t="s">
        <v>553</v>
      </c>
      <c r="AC6" s="48" t="s">
        <v>554</v>
      </c>
      <c r="AD6" s="15"/>
      <c r="AE6" s="15"/>
      <c r="AF6" s="15"/>
      <c r="AG6" s="15"/>
      <c r="AH6" s="15"/>
      <c r="AI6" s="15"/>
      <c r="AJ6" s="15"/>
      <c r="AK6" s="50" t="str">
        <f t="shared" si="4"/>
        <v>,,,</v>
      </c>
      <c r="AL6" s="15"/>
      <c r="AM6" s="15"/>
      <c r="AN6" s="15"/>
      <c r="AO6" s="15"/>
      <c r="AP6" s="51">
        <f t="shared" si="5"/>
        <v>1</v>
      </c>
      <c r="AQ6" s="51">
        <f t="shared" si="6"/>
        <v>2025</v>
      </c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</row>
    <row r="7">
      <c r="A7" s="41">
        <v>45693.0</v>
      </c>
      <c r="B7" s="42" t="s">
        <v>555</v>
      </c>
      <c r="C7" s="43" t="s">
        <v>556</v>
      </c>
      <c r="D7" s="14" t="str">
        <f t="shared" si="1"/>
        <v>Zhao, Isaac</v>
      </c>
      <c r="E7" s="41">
        <v>44767.0</v>
      </c>
      <c r="F7" s="42"/>
      <c r="G7" s="44">
        <f t="shared" si="2"/>
        <v>3.515068493</v>
      </c>
      <c r="H7" s="45" t="s">
        <v>493</v>
      </c>
      <c r="I7" s="45" t="s">
        <v>557</v>
      </c>
      <c r="J7" s="42"/>
      <c r="K7" s="42">
        <v>5.0</v>
      </c>
      <c r="L7" s="46">
        <v>45901.0</v>
      </c>
      <c r="M7" s="41"/>
      <c r="N7" s="47">
        <v>0.375</v>
      </c>
      <c r="O7" s="45">
        <v>5.0</v>
      </c>
      <c r="P7" s="42" t="s">
        <v>515</v>
      </c>
      <c r="Q7" s="42" t="s">
        <v>516</v>
      </c>
      <c r="R7" s="42" t="s">
        <v>517</v>
      </c>
      <c r="S7" s="42" t="s">
        <v>518</v>
      </c>
      <c r="T7" s="42" t="s">
        <v>519</v>
      </c>
      <c r="U7" s="14" t="str">
        <f t="shared" si="3"/>
        <v>MTWTHF</v>
      </c>
      <c r="V7" s="15"/>
      <c r="W7" s="15"/>
      <c r="X7" s="15"/>
      <c r="Y7" s="15"/>
      <c r="Z7" s="52" t="s">
        <v>558</v>
      </c>
      <c r="AA7" s="15"/>
      <c r="AB7" s="53" t="s">
        <v>559</v>
      </c>
      <c r="AC7" s="48" t="s">
        <v>560</v>
      </c>
      <c r="AD7" s="15"/>
      <c r="AE7" s="15"/>
      <c r="AF7" s="15" t="s">
        <v>561</v>
      </c>
      <c r="AG7" s="15" t="s">
        <v>562</v>
      </c>
      <c r="AH7" s="15" t="s">
        <v>563</v>
      </c>
      <c r="AI7" s="15" t="s">
        <v>564</v>
      </c>
      <c r="AJ7" s="15">
        <v>11507.0</v>
      </c>
      <c r="AK7" s="50" t="str">
        <f t="shared" si="4"/>
        <v>18 fish ave. ,Albertson ,NY,11507</v>
      </c>
      <c r="AL7" s="15"/>
      <c r="AM7" s="54"/>
      <c r="AN7" s="15"/>
      <c r="AO7" s="54"/>
      <c r="AP7" s="51">
        <f t="shared" si="5"/>
        <v>2</v>
      </c>
      <c r="AQ7" s="51">
        <f t="shared" si="6"/>
        <v>2025</v>
      </c>
      <c r="AR7" s="48"/>
      <c r="AS7" s="55"/>
      <c r="AT7" s="56"/>
      <c r="AU7" s="57"/>
      <c r="AV7" s="57"/>
      <c r="AW7" s="57"/>
      <c r="AX7" s="57"/>
      <c r="AY7" s="57"/>
      <c r="AZ7" s="57">
        <v>2.0</v>
      </c>
      <c r="BA7" s="57">
        <v>3.0</v>
      </c>
      <c r="BB7" s="57">
        <v>4.0</v>
      </c>
      <c r="BC7" s="57">
        <v>5.0</v>
      </c>
      <c r="BD7" s="57">
        <v>6.0</v>
      </c>
      <c r="BE7" s="57">
        <v>7.0</v>
      </c>
      <c r="BF7" s="48"/>
      <c r="BG7" s="48"/>
    </row>
    <row r="8">
      <c r="A8" s="41">
        <v>45718.0</v>
      </c>
      <c r="B8" s="42" t="s">
        <v>565</v>
      </c>
      <c r="C8" s="42" t="s">
        <v>566</v>
      </c>
      <c r="D8" s="14" t="str">
        <f t="shared" si="1"/>
        <v>shah, ayan</v>
      </c>
      <c r="E8" s="41">
        <v>45058.0</v>
      </c>
      <c r="F8" s="42"/>
      <c r="G8" s="44">
        <f t="shared" si="2"/>
        <v>2.717808219</v>
      </c>
      <c r="H8" s="45" t="s">
        <v>550</v>
      </c>
      <c r="I8" s="45" t="s">
        <v>567</v>
      </c>
      <c r="J8" s="42"/>
      <c r="K8" s="42">
        <v>5.0</v>
      </c>
      <c r="L8" s="46">
        <v>45901.0</v>
      </c>
      <c r="M8" s="41"/>
      <c r="N8" s="47">
        <v>0.375</v>
      </c>
      <c r="O8" s="42">
        <v>12.0</v>
      </c>
      <c r="P8" s="42" t="s">
        <v>515</v>
      </c>
      <c r="Q8" s="42" t="s">
        <v>516</v>
      </c>
      <c r="R8" s="42" t="s">
        <v>517</v>
      </c>
      <c r="S8" s="42" t="s">
        <v>518</v>
      </c>
      <c r="T8" s="42" t="s">
        <v>519</v>
      </c>
      <c r="U8" s="14" t="str">
        <f t="shared" si="3"/>
        <v>MTWTHF</v>
      </c>
      <c r="V8" s="15"/>
      <c r="W8" s="15"/>
      <c r="X8" s="15"/>
      <c r="Y8" s="15"/>
      <c r="Z8" s="15"/>
      <c r="AA8" s="15" t="s">
        <v>568</v>
      </c>
      <c r="AB8" s="15" t="s">
        <v>569</v>
      </c>
      <c r="AC8" s="48"/>
      <c r="AD8" s="15"/>
      <c r="AE8" s="15"/>
      <c r="AF8" s="15"/>
      <c r="AG8" s="15"/>
      <c r="AH8" s="15"/>
      <c r="AI8" s="15"/>
      <c r="AJ8" s="15"/>
      <c r="AK8" s="50"/>
      <c r="AL8" s="15"/>
      <c r="AM8" s="54"/>
      <c r="AN8" s="54"/>
      <c r="AO8" s="54"/>
      <c r="AP8" s="51">
        <f t="shared" si="5"/>
        <v>3</v>
      </c>
      <c r="AQ8" s="51">
        <f t="shared" si="6"/>
        <v>2025</v>
      </c>
      <c r="AR8" s="48"/>
      <c r="AS8" s="58"/>
      <c r="AT8" s="59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48"/>
      <c r="BG8" s="48"/>
    </row>
    <row r="9">
      <c r="A9" s="41">
        <v>45721.0</v>
      </c>
      <c r="B9" s="42" t="s">
        <v>570</v>
      </c>
      <c r="C9" s="43" t="s">
        <v>571</v>
      </c>
      <c r="D9" s="14" t="str">
        <f t="shared" si="1"/>
        <v>o connell, finnula</v>
      </c>
      <c r="E9" s="41">
        <v>45138.0</v>
      </c>
      <c r="F9" s="42"/>
      <c r="G9" s="44">
        <f t="shared" si="2"/>
        <v>2.498630137</v>
      </c>
      <c r="H9" s="45" t="s">
        <v>550</v>
      </c>
      <c r="I9" s="45" t="s">
        <v>557</v>
      </c>
      <c r="J9" s="42">
        <v>4.0</v>
      </c>
      <c r="K9" s="45">
        <v>5.0</v>
      </c>
      <c r="L9" s="46">
        <v>45901.0</v>
      </c>
      <c r="M9" s="41"/>
      <c r="N9" s="47">
        <v>0.375</v>
      </c>
      <c r="O9" s="42">
        <v>12.0</v>
      </c>
      <c r="P9" s="45" t="s">
        <v>515</v>
      </c>
      <c r="Q9" s="42" t="s">
        <v>516</v>
      </c>
      <c r="R9" s="45" t="s">
        <v>517</v>
      </c>
      <c r="S9" s="42" t="s">
        <v>518</v>
      </c>
      <c r="T9" s="45" t="s">
        <v>519</v>
      </c>
      <c r="U9" s="14" t="str">
        <f t="shared" si="3"/>
        <v>MTWTHF</v>
      </c>
      <c r="V9" s="15"/>
      <c r="W9" s="15"/>
      <c r="X9" s="15"/>
      <c r="Y9" s="15"/>
      <c r="Z9" s="15"/>
      <c r="AA9" s="15" t="s">
        <v>572</v>
      </c>
      <c r="AB9" s="15" t="s">
        <v>573</v>
      </c>
      <c r="AC9" s="48" t="s">
        <v>574</v>
      </c>
      <c r="AD9" s="15"/>
      <c r="AE9" s="15"/>
      <c r="AF9" s="15" t="s">
        <v>561</v>
      </c>
      <c r="AG9" s="15" t="s">
        <v>575</v>
      </c>
      <c r="AH9" s="15" t="s">
        <v>576</v>
      </c>
      <c r="AI9" s="15" t="s">
        <v>564</v>
      </c>
      <c r="AJ9" s="15">
        <v>11501.0</v>
      </c>
      <c r="AK9" s="50"/>
      <c r="AL9" s="15"/>
      <c r="AM9" s="15"/>
      <c r="AN9" s="15"/>
      <c r="AO9" s="15"/>
      <c r="AP9" s="51">
        <f t="shared" si="5"/>
        <v>3</v>
      </c>
      <c r="AQ9" s="51">
        <f t="shared" si="6"/>
        <v>2025</v>
      </c>
      <c r="AR9" s="55"/>
      <c r="AS9" s="58"/>
      <c r="AT9" s="59"/>
      <c r="AU9" s="59"/>
      <c r="AV9" s="59"/>
      <c r="AW9" s="59"/>
      <c r="AX9" s="59"/>
      <c r="AY9" s="60"/>
      <c r="AZ9" s="60"/>
      <c r="BA9" s="60"/>
      <c r="BB9" s="60"/>
      <c r="BC9" s="60"/>
      <c r="BD9" s="60"/>
      <c r="BE9" s="60"/>
      <c r="BF9" s="61"/>
      <c r="BG9" s="61"/>
    </row>
    <row r="10">
      <c r="A10" s="41">
        <v>45743.0</v>
      </c>
      <c r="B10" s="42" t="s">
        <v>577</v>
      </c>
      <c r="C10" s="43" t="s">
        <v>578</v>
      </c>
      <c r="D10" s="14" t="str">
        <f t="shared" si="1"/>
        <v>leung, sequoia</v>
      </c>
      <c r="E10" s="41">
        <v>45023.0</v>
      </c>
      <c r="F10" s="42"/>
      <c r="G10" s="44">
        <f t="shared" si="2"/>
        <v>2.81369863</v>
      </c>
      <c r="H10" s="45" t="s">
        <v>550</v>
      </c>
      <c r="I10" s="45" t="s">
        <v>545</v>
      </c>
      <c r="J10" s="42"/>
      <c r="K10" s="42">
        <v>5.0</v>
      </c>
      <c r="L10" s="41">
        <v>45838.0</v>
      </c>
      <c r="M10" s="62">
        <v>46265.0</v>
      </c>
      <c r="N10" s="47">
        <v>0.3541666666666667</v>
      </c>
      <c r="O10" s="47">
        <v>0.22916666666666666</v>
      </c>
      <c r="P10" s="42" t="s">
        <v>515</v>
      </c>
      <c r="Q10" s="42" t="s">
        <v>516</v>
      </c>
      <c r="R10" s="42" t="s">
        <v>517</v>
      </c>
      <c r="S10" s="42" t="s">
        <v>518</v>
      </c>
      <c r="T10" s="42" t="s">
        <v>519</v>
      </c>
      <c r="U10" s="14" t="str">
        <f t="shared" si="3"/>
        <v>MTWTHF</v>
      </c>
      <c r="V10" s="15"/>
      <c r="W10" s="15"/>
      <c r="X10" s="15"/>
      <c r="Y10" s="15"/>
      <c r="Z10" s="15"/>
      <c r="AA10" s="15" t="s">
        <v>579</v>
      </c>
      <c r="AB10" s="15" t="s">
        <v>580</v>
      </c>
      <c r="AC10" s="48" t="s">
        <v>581</v>
      </c>
      <c r="AD10" s="15"/>
      <c r="AE10" s="15"/>
      <c r="AF10" s="15"/>
      <c r="AG10" s="15"/>
      <c r="AH10" s="15"/>
      <c r="AI10" s="15"/>
      <c r="AJ10" s="15"/>
      <c r="AK10" s="50"/>
      <c r="AL10" s="15"/>
      <c r="AM10" s="15"/>
      <c r="AN10" s="15"/>
      <c r="AO10" s="15"/>
      <c r="AP10" s="51">
        <f t="shared" si="5"/>
        <v>3</v>
      </c>
      <c r="AQ10" s="51">
        <f t="shared" si="6"/>
        <v>2025</v>
      </c>
      <c r="AR10" s="61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1"/>
      <c r="BG10" s="61"/>
    </row>
    <row r="11">
      <c r="A11" s="41">
        <v>45782.0</v>
      </c>
      <c r="B11" s="42" t="s">
        <v>582</v>
      </c>
      <c r="C11" s="64" t="s">
        <v>583</v>
      </c>
      <c r="D11" s="14" t="str">
        <f t="shared" si="1"/>
        <v>Salazar, Dylan</v>
      </c>
      <c r="E11" s="65">
        <v>44565.0</v>
      </c>
      <c r="F11" s="42"/>
      <c r="G11" s="44">
        <f t="shared" si="2"/>
        <v>4.068493151</v>
      </c>
      <c r="H11" s="45" t="s">
        <v>493</v>
      </c>
      <c r="I11" s="45" t="s">
        <v>557</v>
      </c>
      <c r="J11" s="42"/>
      <c r="K11" s="45">
        <v>5.0</v>
      </c>
      <c r="L11" s="46">
        <v>45901.0</v>
      </c>
      <c r="M11" s="41"/>
      <c r="N11" s="47">
        <v>0.375</v>
      </c>
      <c r="O11" s="66">
        <v>0.5208333333333334</v>
      </c>
      <c r="P11" s="45" t="s">
        <v>515</v>
      </c>
      <c r="Q11" s="42" t="s">
        <v>516</v>
      </c>
      <c r="R11" s="45" t="s">
        <v>517</v>
      </c>
      <c r="S11" s="45" t="s">
        <v>518</v>
      </c>
      <c r="T11" s="42" t="s">
        <v>584</v>
      </c>
      <c r="U11" s="14" t="str">
        <f t="shared" si="3"/>
        <v>MTWTHFR</v>
      </c>
      <c r="V11" s="15"/>
      <c r="W11" s="15"/>
      <c r="X11" s="15"/>
      <c r="Y11" s="15"/>
      <c r="Z11" s="15"/>
      <c r="AA11" s="15"/>
      <c r="AB11" s="15" t="s">
        <v>585</v>
      </c>
      <c r="AC11" s="67" t="s">
        <v>586</v>
      </c>
      <c r="AD11" s="15"/>
      <c r="AE11" s="15"/>
      <c r="AF11" s="15"/>
      <c r="AG11" s="15"/>
      <c r="AH11" s="15"/>
      <c r="AI11" s="15"/>
      <c r="AJ11" s="15"/>
      <c r="AK11" s="50"/>
      <c r="AL11" s="15"/>
      <c r="AM11" s="15"/>
      <c r="AN11" s="15"/>
      <c r="AO11" s="15"/>
      <c r="AP11" s="51">
        <f t="shared" si="5"/>
        <v>5</v>
      </c>
      <c r="AQ11" s="51">
        <f t="shared" si="6"/>
        <v>2025</v>
      </c>
      <c r="AR11" s="68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9"/>
      <c r="BG11" s="61"/>
    </row>
    <row r="12">
      <c r="A12" s="41">
        <v>45782.0</v>
      </c>
      <c r="B12" s="42" t="s">
        <v>587</v>
      </c>
      <c r="C12" s="64" t="s">
        <v>583</v>
      </c>
      <c r="D12" s="14" t="str">
        <f t="shared" si="1"/>
        <v>Salazar, Alex</v>
      </c>
      <c r="E12" s="65">
        <v>44565.0</v>
      </c>
      <c r="F12" s="42"/>
      <c r="G12" s="44">
        <f t="shared" si="2"/>
        <v>4.068493151</v>
      </c>
      <c r="H12" s="45" t="s">
        <v>493</v>
      </c>
      <c r="I12" s="45" t="s">
        <v>557</v>
      </c>
      <c r="J12" s="42"/>
      <c r="K12" s="45">
        <v>5.0</v>
      </c>
      <c r="L12" s="46">
        <v>45901.0</v>
      </c>
      <c r="M12" s="41"/>
      <c r="N12" s="47">
        <v>0.375</v>
      </c>
      <c r="O12" s="66">
        <v>0.5208333333333334</v>
      </c>
      <c r="P12" s="45" t="s">
        <v>515</v>
      </c>
      <c r="Q12" s="42" t="s">
        <v>516</v>
      </c>
      <c r="R12" s="45" t="s">
        <v>588</v>
      </c>
      <c r="S12" s="45" t="s">
        <v>518</v>
      </c>
      <c r="T12" s="42" t="s">
        <v>584</v>
      </c>
      <c r="U12" s="14" t="str">
        <f t="shared" si="3"/>
        <v>MTwTHFR</v>
      </c>
      <c r="V12" s="15"/>
      <c r="W12" s="15"/>
      <c r="X12" s="15"/>
      <c r="Y12" s="15"/>
      <c r="Z12" s="15"/>
      <c r="AA12" s="15"/>
      <c r="AB12" s="15" t="s">
        <v>585</v>
      </c>
      <c r="AC12" s="67" t="s">
        <v>586</v>
      </c>
      <c r="AD12" s="15"/>
      <c r="AE12" s="15"/>
      <c r="AF12" s="15"/>
      <c r="AG12" s="15"/>
      <c r="AH12" s="15"/>
      <c r="AI12" s="15"/>
      <c r="AJ12" s="15"/>
      <c r="AK12" s="50"/>
      <c r="AL12" s="15"/>
      <c r="AM12" s="15"/>
      <c r="AN12" s="15"/>
      <c r="AO12" s="15"/>
      <c r="AP12" s="51">
        <f t="shared" si="5"/>
        <v>5</v>
      </c>
      <c r="AQ12" s="51">
        <f t="shared" si="6"/>
        <v>2025</v>
      </c>
      <c r="AR12" s="48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48"/>
      <c r="BE12" s="48"/>
      <c r="BF12" s="48"/>
      <c r="BG12" s="48"/>
    </row>
    <row r="13">
      <c r="A13" s="41">
        <v>45782.0</v>
      </c>
      <c r="B13" s="42" t="s">
        <v>589</v>
      </c>
      <c r="C13" s="43" t="s">
        <v>590</v>
      </c>
      <c r="D13" s="14" t="str">
        <f t="shared" si="1"/>
        <v>Lung, Wesley</v>
      </c>
      <c r="E13" s="41">
        <v>45216.0</v>
      </c>
      <c r="F13" s="42"/>
      <c r="G13" s="44">
        <f t="shared" si="2"/>
        <v>2.284931507</v>
      </c>
      <c r="H13" s="45" t="s">
        <v>591</v>
      </c>
      <c r="I13" s="42" t="s">
        <v>545</v>
      </c>
      <c r="J13" s="42"/>
      <c r="K13" s="42">
        <v>5.0</v>
      </c>
      <c r="L13" s="41">
        <v>45838.0</v>
      </c>
      <c r="M13" s="41">
        <v>46202.0</v>
      </c>
      <c r="N13" s="47">
        <v>0.375</v>
      </c>
      <c r="O13" s="42">
        <v>5.0</v>
      </c>
      <c r="P13" s="42" t="s">
        <v>515</v>
      </c>
      <c r="Q13" s="42" t="s">
        <v>516</v>
      </c>
      <c r="R13" s="42" t="s">
        <v>517</v>
      </c>
      <c r="S13" s="42" t="s">
        <v>518</v>
      </c>
      <c r="T13" s="42" t="s">
        <v>519</v>
      </c>
      <c r="U13" s="14" t="str">
        <f t="shared" si="3"/>
        <v>MTWTHF</v>
      </c>
      <c r="V13" s="15"/>
      <c r="W13" s="15"/>
      <c r="X13" s="15"/>
      <c r="Y13" s="15"/>
      <c r="Z13" s="15"/>
      <c r="AA13" s="15"/>
      <c r="AB13" s="15" t="s">
        <v>592</v>
      </c>
      <c r="AC13" s="48" t="s">
        <v>593</v>
      </c>
      <c r="AD13" s="15" t="s">
        <v>594</v>
      </c>
      <c r="AE13" s="15"/>
      <c r="AF13" s="15"/>
      <c r="AG13" s="15"/>
      <c r="AH13" s="15"/>
      <c r="AI13" s="15"/>
      <c r="AJ13" s="15"/>
      <c r="AK13" s="50"/>
      <c r="AL13" s="15"/>
      <c r="AM13" s="54"/>
      <c r="AN13" s="54"/>
      <c r="AO13" s="54"/>
      <c r="AP13" s="51">
        <f t="shared" si="5"/>
        <v>5</v>
      </c>
      <c r="AQ13" s="51">
        <f t="shared" si="6"/>
        <v>2025</v>
      </c>
      <c r="AR13" s="48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48"/>
      <c r="BE13" s="48"/>
      <c r="BF13" s="48"/>
      <c r="BG13" s="48"/>
    </row>
    <row r="14">
      <c r="A14" s="70">
        <v>45783.0</v>
      </c>
      <c r="B14" s="42" t="s">
        <v>595</v>
      </c>
      <c r="C14" s="43" t="s">
        <v>596</v>
      </c>
      <c r="D14" s="14" t="str">
        <f t="shared" si="1"/>
        <v>Cesta, Nancy</v>
      </c>
      <c r="E14" s="41">
        <v>44607.0</v>
      </c>
      <c r="F14" s="42"/>
      <c r="G14" s="44">
        <f t="shared" si="2"/>
        <v>3.953424658</v>
      </c>
      <c r="H14" s="45" t="s">
        <v>493</v>
      </c>
      <c r="I14" s="45" t="s">
        <v>557</v>
      </c>
      <c r="J14" s="42"/>
      <c r="K14" s="42">
        <v>5.0</v>
      </c>
      <c r="L14" s="46">
        <v>45901.0</v>
      </c>
      <c r="M14" s="41"/>
      <c r="N14" s="45">
        <v>9.0</v>
      </c>
      <c r="O14" s="45">
        <v>5.0</v>
      </c>
      <c r="P14" s="42" t="s">
        <v>515</v>
      </c>
      <c r="Q14" s="42" t="s">
        <v>516</v>
      </c>
      <c r="R14" s="42" t="s">
        <v>517</v>
      </c>
      <c r="S14" s="42" t="s">
        <v>518</v>
      </c>
      <c r="T14" s="42" t="s">
        <v>519</v>
      </c>
      <c r="U14" s="14" t="str">
        <f t="shared" si="3"/>
        <v>MTWTHF</v>
      </c>
      <c r="V14" s="15"/>
      <c r="W14" s="15"/>
      <c r="X14" s="15"/>
      <c r="Y14" s="15"/>
      <c r="Z14" s="15"/>
      <c r="AA14" s="15"/>
      <c r="AB14" s="71"/>
      <c r="AC14" s="48" t="s">
        <v>597</v>
      </c>
      <c r="AD14" s="15"/>
      <c r="AE14" s="15"/>
      <c r="AF14" s="15"/>
      <c r="AG14" s="15"/>
      <c r="AH14" s="15"/>
      <c r="AI14" s="15"/>
      <c r="AJ14" s="15"/>
      <c r="AK14" s="50"/>
      <c r="AL14" s="15"/>
      <c r="AM14" s="15"/>
      <c r="AN14" s="15"/>
      <c r="AO14" s="15"/>
      <c r="AP14" s="51">
        <f t="shared" si="5"/>
        <v>5</v>
      </c>
      <c r="AQ14" s="51">
        <f t="shared" si="6"/>
        <v>2025</v>
      </c>
      <c r="AR14" s="61"/>
      <c r="AS14" s="61"/>
      <c r="AT14" s="61"/>
      <c r="AU14" s="68"/>
      <c r="AV14" s="68"/>
      <c r="AW14" s="68"/>
      <c r="AX14" s="61"/>
      <c r="AY14" s="61"/>
      <c r="AZ14" s="61"/>
      <c r="BA14" s="61"/>
      <c r="BB14" s="61"/>
      <c r="BC14" s="61"/>
      <c r="BD14" s="61"/>
      <c r="BE14" s="61"/>
      <c r="BF14" s="61"/>
      <c r="BG14" s="61"/>
    </row>
    <row r="15">
      <c r="A15" s="41">
        <v>45783.0</v>
      </c>
      <c r="B15" s="42" t="s">
        <v>598</v>
      </c>
      <c r="C15" s="43" t="s">
        <v>599</v>
      </c>
      <c r="D15" s="14" t="str">
        <f t="shared" si="1"/>
        <v>Abraham, Rebecca</v>
      </c>
      <c r="E15" s="41">
        <v>44559.0</v>
      </c>
      <c r="F15" s="42"/>
      <c r="G15" s="44">
        <f t="shared" si="2"/>
        <v>4.084931507</v>
      </c>
      <c r="H15" s="45" t="s">
        <v>600</v>
      </c>
      <c r="I15" s="45" t="s">
        <v>557</v>
      </c>
      <c r="J15" s="42"/>
      <c r="K15" s="42">
        <v>3.0</v>
      </c>
      <c r="L15" s="46">
        <v>45901.0</v>
      </c>
      <c r="M15" s="41"/>
      <c r="N15" s="47">
        <v>0.375</v>
      </c>
      <c r="O15" s="47">
        <v>0.14583333333333334</v>
      </c>
      <c r="P15" s="42" t="s">
        <v>515</v>
      </c>
      <c r="Q15" s="42" t="s">
        <v>516</v>
      </c>
      <c r="R15" s="42"/>
      <c r="S15" s="42" t="s">
        <v>518</v>
      </c>
      <c r="T15" s="42"/>
      <c r="U15" s="14" t="str">
        <f t="shared" si="3"/>
        <v>MTTH</v>
      </c>
      <c r="V15" s="15"/>
      <c r="W15" s="15"/>
      <c r="X15" s="15"/>
      <c r="Y15" s="15"/>
      <c r="Z15" s="52" t="s">
        <v>601</v>
      </c>
      <c r="AA15" s="15"/>
      <c r="AB15" s="15" t="s">
        <v>602</v>
      </c>
      <c r="AC15" s="72" t="s">
        <v>603</v>
      </c>
      <c r="AD15" s="15" t="s">
        <v>604</v>
      </c>
      <c r="AE15" s="15"/>
      <c r="AF15" s="15" t="s">
        <v>605</v>
      </c>
      <c r="AG15" s="15" t="s">
        <v>606</v>
      </c>
      <c r="AH15" s="15"/>
      <c r="AI15" s="15" t="s">
        <v>564</v>
      </c>
      <c r="AJ15" s="15"/>
      <c r="AK15" s="50"/>
      <c r="AL15" s="15"/>
      <c r="AM15" s="15"/>
      <c r="AN15" s="15"/>
      <c r="AO15" s="15"/>
      <c r="AP15" s="51">
        <f t="shared" si="5"/>
        <v>5</v>
      </c>
      <c r="AQ15" s="51">
        <f t="shared" si="6"/>
        <v>2025</v>
      </c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</row>
    <row r="16">
      <c r="A16" s="41">
        <v>45804.0</v>
      </c>
      <c r="B16" s="42" t="s">
        <v>607</v>
      </c>
      <c r="C16" s="43" t="s">
        <v>608</v>
      </c>
      <c r="D16" s="14" t="str">
        <f t="shared" si="1"/>
        <v>Kerney, Greyson</v>
      </c>
      <c r="E16" s="41">
        <v>44909.0</v>
      </c>
      <c r="F16" s="41"/>
      <c r="G16" s="44">
        <f t="shared" si="2"/>
        <v>3.126027397</v>
      </c>
      <c r="H16" s="45" t="s">
        <v>493</v>
      </c>
      <c r="I16" s="45" t="s">
        <v>609</v>
      </c>
      <c r="J16" s="42"/>
      <c r="K16" s="42">
        <v>5.0</v>
      </c>
      <c r="L16" s="46">
        <v>45901.0</v>
      </c>
      <c r="M16" s="41"/>
      <c r="N16" s="47">
        <v>0.375</v>
      </c>
      <c r="O16" s="42">
        <v>12.0</v>
      </c>
      <c r="P16" s="42" t="s">
        <v>515</v>
      </c>
      <c r="Q16" s="42" t="s">
        <v>516</v>
      </c>
      <c r="R16" s="42" t="s">
        <v>517</v>
      </c>
      <c r="S16" s="42" t="s">
        <v>518</v>
      </c>
      <c r="T16" s="42" t="s">
        <v>519</v>
      </c>
      <c r="U16" s="14" t="str">
        <f t="shared" si="3"/>
        <v>MTWTHF</v>
      </c>
      <c r="V16" s="15"/>
      <c r="W16" s="15"/>
      <c r="X16" s="15"/>
      <c r="Y16" s="15" t="s">
        <v>610</v>
      </c>
      <c r="Z16" s="15"/>
      <c r="AA16" s="15" t="s">
        <v>611</v>
      </c>
      <c r="AB16" s="49" t="s">
        <v>612</v>
      </c>
      <c r="AC16" s="48" t="s">
        <v>613</v>
      </c>
      <c r="AD16" s="15"/>
      <c r="AE16" s="15"/>
      <c r="AF16" s="15"/>
      <c r="AG16" s="15"/>
      <c r="AH16" s="15"/>
      <c r="AI16" s="15"/>
      <c r="AJ16" s="15"/>
      <c r="AK16" s="50"/>
      <c r="AL16" s="15"/>
      <c r="AM16" s="54"/>
      <c r="AN16" s="54"/>
      <c r="AO16" s="54"/>
      <c r="AP16" s="51">
        <f t="shared" si="5"/>
        <v>5</v>
      </c>
      <c r="AQ16" s="51">
        <f t="shared" si="6"/>
        <v>2025</v>
      </c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</row>
    <row r="17">
      <c r="A17" s="41">
        <v>45805.0</v>
      </c>
      <c r="B17" s="42" t="s">
        <v>614</v>
      </c>
      <c r="C17" s="43" t="s">
        <v>615</v>
      </c>
      <c r="D17" s="14" t="str">
        <f t="shared" si="1"/>
        <v>Kim, Amelia</v>
      </c>
      <c r="E17" s="41">
        <v>45191.0</v>
      </c>
      <c r="F17" s="42"/>
      <c r="G17" s="44">
        <f t="shared" si="2"/>
        <v>2.353424658</v>
      </c>
      <c r="H17" s="45" t="s">
        <v>591</v>
      </c>
      <c r="I17" s="45" t="s">
        <v>557</v>
      </c>
      <c r="J17" s="42"/>
      <c r="K17" s="45">
        <v>3.0</v>
      </c>
      <c r="L17" s="46">
        <v>45901.0</v>
      </c>
      <c r="M17" s="41"/>
      <c r="N17" s="45">
        <v>9.0</v>
      </c>
      <c r="O17" s="66">
        <v>0.5208333333333334</v>
      </c>
      <c r="P17" s="45" t="s">
        <v>515</v>
      </c>
      <c r="Q17" s="42"/>
      <c r="R17" s="45" t="s">
        <v>517</v>
      </c>
      <c r="S17" s="42"/>
      <c r="T17" s="45" t="s">
        <v>519</v>
      </c>
      <c r="U17" s="14" t="str">
        <f t="shared" si="3"/>
        <v>MWF</v>
      </c>
      <c r="V17" s="15"/>
      <c r="W17" s="15"/>
      <c r="X17" s="15"/>
      <c r="Y17" s="15"/>
      <c r="Z17" s="15"/>
      <c r="AA17" s="15"/>
      <c r="AB17" s="15"/>
      <c r="AC17" s="72"/>
      <c r="AD17" s="15"/>
      <c r="AE17" s="15"/>
      <c r="AF17" s="15"/>
      <c r="AG17" s="15"/>
      <c r="AH17" s="15"/>
      <c r="AI17" s="15"/>
      <c r="AJ17" s="15"/>
      <c r="AK17" s="50"/>
      <c r="AL17" s="15"/>
      <c r="AM17" s="15"/>
      <c r="AN17" s="15"/>
      <c r="AO17" s="15"/>
      <c r="AP17" s="51">
        <f t="shared" si="5"/>
        <v>5</v>
      </c>
      <c r="AQ17" s="51">
        <f t="shared" si="6"/>
        <v>2025</v>
      </c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</row>
    <row r="18">
      <c r="A18" s="41">
        <v>45813.0</v>
      </c>
      <c r="B18" s="42" t="s">
        <v>616</v>
      </c>
      <c r="C18" s="43" t="s">
        <v>617</v>
      </c>
      <c r="D18" s="14" t="str">
        <f t="shared" si="1"/>
        <v>Devadas, Grace</v>
      </c>
      <c r="E18" s="41">
        <v>45187.0</v>
      </c>
      <c r="F18" s="42"/>
      <c r="G18" s="44">
        <f t="shared" si="2"/>
        <v>2.364383562</v>
      </c>
      <c r="H18" s="45" t="s">
        <v>591</v>
      </c>
      <c r="I18" s="45" t="s">
        <v>551</v>
      </c>
      <c r="J18" s="42"/>
      <c r="K18" s="45">
        <v>3.0</v>
      </c>
      <c r="L18" s="46">
        <v>45901.0</v>
      </c>
      <c r="M18" s="41"/>
      <c r="N18" s="47">
        <v>0.375</v>
      </c>
      <c r="O18" s="42">
        <v>12.0</v>
      </c>
      <c r="P18" s="42"/>
      <c r="Q18" s="42"/>
      <c r="R18" s="42" t="s">
        <v>517</v>
      </c>
      <c r="S18" s="42" t="s">
        <v>518</v>
      </c>
      <c r="T18" s="42" t="s">
        <v>519</v>
      </c>
      <c r="U18" s="14" t="str">
        <f t="shared" si="3"/>
        <v>WTHF</v>
      </c>
      <c r="V18" s="15"/>
      <c r="W18" s="15" t="s">
        <v>618</v>
      </c>
      <c r="X18" s="15"/>
      <c r="Y18" s="15"/>
      <c r="Z18" s="15"/>
      <c r="AA18" s="15"/>
      <c r="AB18" s="15" t="s">
        <v>619</v>
      </c>
      <c r="AC18" s="48" t="s">
        <v>620</v>
      </c>
      <c r="AD18" s="15"/>
      <c r="AE18" s="15"/>
      <c r="AF18" s="15" t="s">
        <v>621</v>
      </c>
      <c r="AG18" s="15" t="s">
        <v>622</v>
      </c>
      <c r="AH18" s="15" t="s">
        <v>623</v>
      </c>
      <c r="AI18" s="15" t="s">
        <v>564</v>
      </c>
      <c r="AJ18" s="15">
        <v>11040.0</v>
      </c>
      <c r="AK18" s="50"/>
      <c r="AL18" s="15"/>
      <c r="AM18" s="54"/>
      <c r="AN18" s="54"/>
      <c r="AO18" s="54"/>
      <c r="AP18" s="51">
        <f t="shared" si="5"/>
        <v>6</v>
      </c>
      <c r="AQ18" s="51">
        <f t="shared" si="6"/>
        <v>2025</v>
      </c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</row>
    <row r="19">
      <c r="A19" s="62">
        <v>45818.0</v>
      </c>
      <c r="B19" s="45" t="s">
        <v>624</v>
      </c>
      <c r="C19" s="45" t="s">
        <v>625</v>
      </c>
      <c r="D19" s="14" t="str">
        <f t="shared" si="1"/>
        <v>Huallparimachi, Lyanna</v>
      </c>
      <c r="E19" s="41"/>
      <c r="F19" s="42"/>
      <c r="G19" s="44">
        <f t="shared" si="2"/>
        <v>126.1643836</v>
      </c>
      <c r="H19" s="45" t="s">
        <v>626</v>
      </c>
      <c r="I19" s="42"/>
      <c r="J19" s="42"/>
      <c r="K19" s="42"/>
      <c r="L19" s="41"/>
      <c r="M19" s="41"/>
      <c r="N19" s="42"/>
      <c r="O19" s="42"/>
      <c r="P19" s="42"/>
      <c r="Q19" s="42"/>
      <c r="R19" s="42"/>
      <c r="S19" s="42"/>
      <c r="T19" s="42"/>
      <c r="U19" s="14" t="str">
        <f t="shared" si="3"/>
        <v/>
      </c>
      <c r="V19" s="73"/>
      <c r="W19" s="73"/>
      <c r="X19" s="73"/>
      <c r="Y19" s="73"/>
      <c r="Z19" s="74" t="s">
        <v>627</v>
      </c>
      <c r="AA19" s="73"/>
      <c r="AB19" s="75" t="s">
        <v>628</v>
      </c>
      <c r="AC19" s="76" t="s">
        <v>629</v>
      </c>
      <c r="AD19" s="73"/>
      <c r="AE19" s="73"/>
      <c r="AF19" s="73"/>
      <c r="AG19" s="73"/>
      <c r="AH19" s="73"/>
      <c r="AI19" s="73"/>
      <c r="AJ19" s="73"/>
      <c r="AK19" s="14"/>
      <c r="AL19" s="73"/>
      <c r="AM19" s="73"/>
      <c r="AN19" s="73"/>
      <c r="AO19" s="73"/>
      <c r="AP19" s="17">
        <f t="shared" si="5"/>
        <v>6</v>
      </c>
      <c r="AQ19" s="17">
        <f t="shared" si="6"/>
        <v>2025</v>
      </c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</row>
    <row r="20">
      <c r="A20" s="77">
        <v>45829.0</v>
      </c>
      <c r="B20" s="16" t="s">
        <v>630</v>
      </c>
      <c r="C20" s="16" t="s">
        <v>631</v>
      </c>
      <c r="D20" s="14" t="str">
        <f t="shared" si="1"/>
        <v>Kushinsky N. , Ariana</v>
      </c>
      <c r="E20" s="78">
        <v>44767.0</v>
      </c>
      <c r="F20" s="79"/>
      <c r="G20" s="44">
        <f t="shared" si="2"/>
        <v>3.515068493</v>
      </c>
      <c r="H20" s="45" t="s">
        <v>493</v>
      </c>
      <c r="I20" s="80" t="s">
        <v>557</v>
      </c>
      <c r="J20" s="16"/>
      <c r="K20" s="16">
        <v>2.0</v>
      </c>
      <c r="L20" s="46">
        <v>45901.0</v>
      </c>
      <c r="M20" s="41"/>
      <c r="N20" s="80">
        <v>9.0</v>
      </c>
      <c r="O20" s="81">
        <v>0.5</v>
      </c>
      <c r="P20" s="16" t="s">
        <v>515</v>
      </c>
      <c r="Q20" s="16" t="s">
        <v>516</v>
      </c>
      <c r="R20" s="16"/>
      <c r="S20" s="16"/>
      <c r="T20" s="16"/>
      <c r="U20" s="14" t="str">
        <f t="shared" si="3"/>
        <v>MT</v>
      </c>
      <c r="V20" s="48"/>
      <c r="W20" s="48" t="s">
        <v>632</v>
      </c>
      <c r="X20" s="48"/>
      <c r="Y20" s="48" t="s">
        <v>633</v>
      </c>
      <c r="Z20" s="48"/>
      <c r="AA20" s="82" t="s">
        <v>634</v>
      </c>
      <c r="AB20" s="48" t="s">
        <v>635</v>
      </c>
      <c r="AC20" s="72" t="s">
        <v>636</v>
      </c>
      <c r="AD20" s="48"/>
      <c r="AE20" s="48"/>
      <c r="AF20" s="48" t="s">
        <v>561</v>
      </c>
      <c r="AG20" s="48" t="s">
        <v>637</v>
      </c>
      <c r="AH20" s="48" t="s">
        <v>576</v>
      </c>
      <c r="AI20" s="48" t="s">
        <v>564</v>
      </c>
      <c r="AJ20" s="48"/>
      <c r="AK20" s="50"/>
      <c r="AL20" s="48"/>
      <c r="AM20" s="48"/>
      <c r="AN20" s="48"/>
      <c r="AO20" s="48"/>
      <c r="AP20" s="51">
        <f t="shared" si="5"/>
        <v>6</v>
      </c>
      <c r="AQ20" s="51">
        <f t="shared" si="6"/>
        <v>2025</v>
      </c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</row>
    <row r="21">
      <c r="A21" s="62">
        <v>45849.0</v>
      </c>
      <c r="B21" s="45" t="s">
        <v>638</v>
      </c>
      <c r="C21" s="45" t="s">
        <v>639</v>
      </c>
      <c r="D21" s="14" t="str">
        <f t="shared" si="1"/>
        <v>Torres, Jack</v>
      </c>
      <c r="E21" s="62">
        <v>45592.0</v>
      </c>
      <c r="F21" s="42"/>
      <c r="G21" s="44">
        <f t="shared" si="2"/>
        <v>1.254794521</v>
      </c>
      <c r="H21" s="45" t="s">
        <v>626</v>
      </c>
      <c r="I21" s="45" t="s">
        <v>609</v>
      </c>
      <c r="J21" s="42"/>
      <c r="K21" s="45">
        <v>5.0</v>
      </c>
      <c r="L21" s="62">
        <v>45944.0</v>
      </c>
      <c r="M21" s="41"/>
      <c r="N21" s="45" t="s">
        <v>640</v>
      </c>
      <c r="O21" s="45" t="s">
        <v>641</v>
      </c>
      <c r="P21" s="45" t="s">
        <v>515</v>
      </c>
      <c r="Q21" s="45" t="s">
        <v>516</v>
      </c>
      <c r="R21" s="45" t="s">
        <v>517</v>
      </c>
      <c r="S21" s="45" t="s">
        <v>518</v>
      </c>
      <c r="T21" s="45" t="s">
        <v>519</v>
      </c>
      <c r="U21" s="14" t="str">
        <f t="shared" si="3"/>
        <v>MTWTHF</v>
      </c>
      <c r="V21" s="73"/>
      <c r="W21" s="73"/>
      <c r="X21" s="73"/>
      <c r="Y21" s="73"/>
      <c r="Z21" s="74" t="s">
        <v>642</v>
      </c>
      <c r="AA21" s="74" t="s">
        <v>643</v>
      </c>
      <c r="AB21" s="75" t="s">
        <v>644</v>
      </c>
      <c r="AC21" s="83" t="s">
        <v>645</v>
      </c>
      <c r="AD21" s="73"/>
      <c r="AE21" s="73"/>
      <c r="AF21" s="73"/>
      <c r="AG21" s="73"/>
      <c r="AH21" s="73"/>
      <c r="AI21" s="73"/>
      <c r="AJ21" s="73"/>
      <c r="AK21" s="14"/>
      <c r="AL21" s="73"/>
      <c r="AM21" s="73"/>
      <c r="AN21" s="73"/>
      <c r="AO21" s="73"/>
      <c r="AP21" s="17">
        <f t="shared" si="5"/>
        <v>7</v>
      </c>
      <c r="AQ21" s="17">
        <f t="shared" si="6"/>
        <v>2025</v>
      </c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</row>
    <row r="22">
      <c r="A22" s="84">
        <v>45905.0</v>
      </c>
      <c r="B22" s="74" t="s">
        <v>614</v>
      </c>
      <c r="C22" s="74" t="s">
        <v>646</v>
      </c>
      <c r="D22" s="14" t="str">
        <f t="shared" si="1"/>
        <v>Vonbuttgerett, Amelia</v>
      </c>
      <c r="E22" s="84">
        <v>45624.0</v>
      </c>
      <c r="F22" s="73"/>
      <c r="G22" s="10">
        <f t="shared" si="2"/>
        <v>1.167123288</v>
      </c>
      <c r="H22" s="45" t="s">
        <v>626</v>
      </c>
      <c r="I22" s="74" t="s">
        <v>557</v>
      </c>
      <c r="J22" s="74"/>
      <c r="K22" s="74">
        <v>3.0</v>
      </c>
      <c r="L22" s="84">
        <v>45944.0</v>
      </c>
      <c r="M22" s="13"/>
      <c r="N22" s="74">
        <v>9.0</v>
      </c>
      <c r="O22" s="85">
        <v>0.14583333333333334</v>
      </c>
      <c r="P22" s="74" t="s">
        <v>515</v>
      </c>
      <c r="Q22" s="73"/>
      <c r="R22" s="74" t="s">
        <v>517</v>
      </c>
      <c r="S22" s="74" t="s">
        <v>518</v>
      </c>
      <c r="T22" s="73"/>
      <c r="U22" s="14" t="str">
        <f t="shared" si="3"/>
        <v>MWTH</v>
      </c>
      <c r="V22" s="73"/>
      <c r="W22" s="73"/>
      <c r="X22" s="73"/>
      <c r="Y22" s="73"/>
      <c r="Z22" s="74" t="s">
        <v>647</v>
      </c>
      <c r="AA22" s="74"/>
      <c r="AB22" s="75" t="s">
        <v>648</v>
      </c>
      <c r="AC22" s="86">
        <v>5.162443969E9</v>
      </c>
      <c r="AD22" s="73"/>
      <c r="AE22" s="73"/>
      <c r="AF22" s="73"/>
      <c r="AG22" s="73"/>
      <c r="AH22" s="73"/>
      <c r="AI22" s="73"/>
      <c r="AJ22" s="73"/>
      <c r="AK22" s="14"/>
      <c r="AL22" s="73"/>
      <c r="AM22" s="73"/>
      <c r="AN22" s="73"/>
      <c r="AO22" s="73"/>
      <c r="AP22" s="17">
        <f t="shared" si="5"/>
        <v>9</v>
      </c>
      <c r="AQ22" s="17">
        <f t="shared" si="6"/>
        <v>2025</v>
      </c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48"/>
    </row>
    <row r="23">
      <c r="A23" s="84">
        <v>45905.0</v>
      </c>
      <c r="B23" s="74" t="s">
        <v>649</v>
      </c>
      <c r="C23" s="74" t="s">
        <v>650</v>
      </c>
      <c r="D23" s="14" t="str">
        <f t="shared" si="1"/>
        <v>Lajer, Leo</v>
      </c>
      <c r="E23" s="13"/>
      <c r="F23" s="73"/>
      <c r="G23" s="10"/>
      <c r="H23" s="45" t="s">
        <v>626</v>
      </c>
      <c r="I23" s="74"/>
      <c r="J23" s="73"/>
      <c r="K23" s="74"/>
      <c r="L23" s="13"/>
      <c r="M23" s="13"/>
      <c r="N23" s="74"/>
      <c r="O23" s="74"/>
      <c r="P23" s="73"/>
      <c r="Q23" s="74"/>
      <c r="R23" s="74"/>
      <c r="S23" s="74"/>
      <c r="T23" s="73"/>
      <c r="U23" s="14" t="str">
        <f t="shared" si="3"/>
        <v/>
      </c>
      <c r="V23" s="73"/>
      <c r="W23" s="73"/>
      <c r="X23" s="73"/>
      <c r="Y23" s="73"/>
      <c r="Z23" s="74" t="s">
        <v>634</v>
      </c>
      <c r="AA23" s="74" t="s">
        <v>651</v>
      </c>
      <c r="AB23" s="87" t="s">
        <v>652</v>
      </c>
      <c r="AC23" s="11"/>
      <c r="AD23" s="73"/>
      <c r="AE23" s="73"/>
      <c r="AF23" s="73"/>
      <c r="AG23" s="73"/>
      <c r="AH23" s="73"/>
      <c r="AI23" s="73"/>
      <c r="AJ23" s="73"/>
      <c r="AK23" s="14"/>
      <c r="AL23" s="73"/>
      <c r="AM23" s="88"/>
      <c r="AN23" s="88"/>
      <c r="AO23" s="88"/>
      <c r="AP23" s="17">
        <f t="shared" si="5"/>
        <v>9</v>
      </c>
      <c r="AQ23" s="17">
        <f t="shared" si="6"/>
        <v>2025</v>
      </c>
      <c r="AR23" s="61"/>
      <c r="AS23" s="61"/>
      <c r="AT23" s="61"/>
      <c r="AU23" s="61"/>
      <c r="AV23" s="61"/>
      <c r="AW23" s="61"/>
      <c r="AX23" s="61"/>
      <c r="AY23" s="61"/>
      <c r="AZ23" s="67"/>
      <c r="BA23" s="67"/>
      <c r="BB23" s="67"/>
      <c r="BC23" s="67"/>
      <c r="BD23" s="67"/>
      <c r="BE23" s="67"/>
      <c r="BF23" s="67"/>
      <c r="BG23" s="67"/>
    </row>
    <row r="24">
      <c r="A24" s="84">
        <v>45905.0</v>
      </c>
      <c r="B24" s="74" t="s">
        <v>653</v>
      </c>
      <c r="C24" s="74" t="s">
        <v>654</v>
      </c>
      <c r="D24" s="14" t="str">
        <f t="shared" si="1"/>
        <v>blanco, alex</v>
      </c>
      <c r="E24" s="13"/>
      <c r="F24" s="73"/>
      <c r="G24" s="10">
        <f>(TODAY()-E24)/365</f>
        <v>126.1643836</v>
      </c>
      <c r="H24" s="74" t="s">
        <v>655</v>
      </c>
      <c r="I24" s="73"/>
      <c r="J24" s="73"/>
      <c r="K24" s="73"/>
      <c r="L24" s="13"/>
      <c r="M24" s="13"/>
      <c r="N24" s="89"/>
      <c r="O24" s="89"/>
      <c r="P24" s="73"/>
      <c r="Q24" s="73"/>
      <c r="R24" s="73"/>
      <c r="S24" s="73"/>
      <c r="T24" s="73"/>
      <c r="U24" s="14" t="str">
        <f t="shared" si="3"/>
        <v/>
      </c>
      <c r="V24" s="73"/>
      <c r="W24" s="73"/>
      <c r="X24" s="73"/>
      <c r="Y24" s="73"/>
      <c r="Z24" s="74" t="s">
        <v>656</v>
      </c>
      <c r="AA24" s="74" t="s">
        <v>657</v>
      </c>
      <c r="AB24" s="75" t="s">
        <v>658</v>
      </c>
      <c r="AC24" s="11"/>
      <c r="AD24" s="73"/>
      <c r="AE24" s="73"/>
      <c r="AF24" s="73"/>
      <c r="AG24" s="73"/>
      <c r="AH24" s="73"/>
      <c r="AI24" s="73"/>
      <c r="AJ24" s="73"/>
      <c r="AK24" s="14"/>
      <c r="AL24" s="73"/>
      <c r="AM24" s="73"/>
      <c r="AN24" s="73"/>
      <c r="AO24" s="73"/>
      <c r="AP24" s="17">
        <f t="shared" si="5"/>
        <v>9</v>
      </c>
      <c r="AQ24" s="17">
        <f t="shared" si="6"/>
        <v>2025</v>
      </c>
      <c r="AR24" s="61"/>
      <c r="AS24" s="61"/>
      <c r="AT24" s="61"/>
      <c r="AU24" s="61"/>
      <c r="AV24" s="61"/>
      <c r="AW24" s="61"/>
      <c r="AX24" s="61"/>
      <c r="AY24" s="61"/>
      <c r="AZ24" s="48"/>
      <c r="BA24" s="48"/>
      <c r="BB24" s="48"/>
      <c r="BC24" s="48"/>
      <c r="BD24" s="48"/>
      <c r="BE24" s="48"/>
      <c r="BF24" s="48"/>
      <c r="BG24" s="48"/>
    </row>
    <row r="25">
      <c r="A25" s="84">
        <v>45908.0</v>
      </c>
      <c r="B25" s="89" t="s">
        <v>659</v>
      </c>
      <c r="C25" s="89" t="s">
        <v>660</v>
      </c>
      <c r="D25" s="90" t="str">
        <f t="shared" si="1"/>
        <v>Bhattacharya, Diya</v>
      </c>
      <c r="E25" s="91"/>
      <c r="F25" s="92"/>
      <c r="G25" s="93">
        <f>(TODAY()-E25)/365</f>
        <v>126.1643836</v>
      </c>
      <c r="H25" s="45" t="s">
        <v>550</v>
      </c>
      <c r="I25" s="89" t="s">
        <v>557</v>
      </c>
      <c r="J25" s="92"/>
      <c r="K25" s="94">
        <v>2.0</v>
      </c>
      <c r="L25" s="46">
        <v>45901.0</v>
      </c>
      <c r="M25" s="13"/>
      <c r="N25" s="74">
        <v>9.0</v>
      </c>
      <c r="O25" s="74">
        <v>12.0</v>
      </c>
      <c r="P25" s="74" t="s">
        <v>515</v>
      </c>
      <c r="Q25" s="73"/>
      <c r="R25" s="74" t="s">
        <v>517</v>
      </c>
      <c r="S25" s="73"/>
      <c r="T25" s="73"/>
      <c r="U25" s="14" t="str">
        <f t="shared" si="3"/>
        <v>MW</v>
      </c>
      <c r="V25" s="74" t="s">
        <v>661</v>
      </c>
      <c r="W25" s="73"/>
      <c r="X25" s="73"/>
      <c r="Y25" s="73"/>
      <c r="Z25" s="73"/>
      <c r="AA25" s="73"/>
      <c r="AB25" s="95"/>
      <c r="AC25" s="11"/>
      <c r="AD25" s="73"/>
      <c r="AE25" s="73"/>
      <c r="AF25" s="73"/>
      <c r="AG25" s="73"/>
      <c r="AH25" s="73"/>
      <c r="AI25" s="73"/>
      <c r="AJ25" s="73"/>
      <c r="AK25" s="14"/>
      <c r="AL25" s="73"/>
      <c r="AM25" s="73"/>
      <c r="AN25" s="88"/>
      <c r="AO25" s="73"/>
      <c r="AP25" s="17">
        <f t="shared" si="5"/>
        <v>9</v>
      </c>
      <c r="AQ25" s="17">
        <f t="shared" si="6"/>
        <v>2025</v>
      </c>
      <c r="AR25" s="61"/>
      <c r="AS25" s="61"/>
      <c r="AT25" s="61"/>
      <c r="AU25" s="61"/>
      <c r="AV25" s="61"/>
      <c r="AW25" s="61"/>
      <c r="AX25" s="61"/>
      <c r="AY25" s="61"/>
      <c r="AZ25" s="48"/>
      <c r="BA25" s="48"/>
      <c r="BB25" s="48"/>
      <c r="BC25" s="48"/>
      <c r="BD25" s="48"/>
      <c r="BE25" s="48"/>
      <c r="BF25" s="48"/>
      <c r="BG25" s="48"/>
    </row>
    <row r="26">
      <c r="A26" s="84">
        <v>45918.0</v>
      </c>
      <c r="B26" s="74" t="s">
        <v>662</v>
      </c>
      <c r="C26" s="74" t="s">
        <v>663</v>
      </c>
      <c r="D26" s="14" t="str">
        <f t="shared" si="1"/>
        <v>cusumano , christopher </v>
      </c>
      <c r="E26" s="84">
        <v>45613.0</v>
      </c>
      <c r="F26" s="73"/>
      <c r="G26" s="10">
        <f t="shared" ref="G26:G28" si="7">(TODAY()-E26)/365</f>
        <v>1.197260274</v>
      </c>
      <c r="H26" s="74" t="s">
        <v>655</v>
      </c>
      <c r="I26" s="74" t="s">
        <v>551</v>
      </c>
      <c r="J26" s="73"/>
      <c r="K26" s="74">
        <v>5.0</v>
      </c>
      <c r="L26" s="13"/>
      <c r="M26" s="13"/>
      <c r="N26" s="74">
        <v>9.0</v>
      </c>
      <c r="O26" s="74">
        <v>12.0</v>
      </c>
      <c r="P26" s="74" t="s">
        <v>664</v>
      </c>
      <c r="Q26" s="74" t="s">
        <v>665</v>
      </c>
      <c r="R26" s="74" t="s">
        <v>588</v>
      </c>
      <c r="S26" s="74" t="s">
        <v>666</v>
      </c>
      <c r="T26" s="74" t="s">
        <v>667</v>
      </c>
      <c r="U26" s="14" t="str">
        <f t="shared" si="3"/>
        <v>mtwthf</v>
      </c>
      <c r="V26" s="73"/>
      <c r="W26" s="73"/>
      <c r="X26" s="73"/>
      <c r="Y26" s="73"/>
      <c r="Z26" s="73"/>
      <c r="AA26" s="73"/>
      <c r="AB26" s="96"/>
      <c r="AC26" s="97" t="s">
        <v>668</v>
      </c>
      <c r="AD26" s="98"/>
      <c r="AE26" s="73"/>
      <c r="AF26" s="73"/>
      <c r="AG26" s="73"/>
      <c r="AH26" s="73"/>
      <c r="AI26" s="73"/>
      <c r="AJ26" s="73"/>
      <c r="AK26" s="14"/>
      <c r="AL26" s="73"/>
      <c r="AM26" s="73"/>
      <c r="AN26" s="73"/>
      <c r="AO26" s="73"/>
      <c r="AP26" s="17">
        <f t="shared" si="5"/>
        <v>9</v>
      </c>
      <c r="AQ26" s="17">
        <f t="shared" si="6"/>
        <v>2025</v>
      </c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</row>
    <row r="27">
      <c r="A27" s="84">
        <v>45919.0</v>
      </c>
      <c r="B27" s="74" t="s">
        <v>669</v>
      </c>
      <c r="C27" s="74" t="s">
        <v>670</v>
      </c>
      <c r="D27" s="14" t="str">
        <f t="shared" si="1"/>
        <v>uddin, sarah</v>
      </c>
      <c r="E27" s="84">
        <v>45890.0</v>
      </c>
      <c r="F27" s="73"/>
      <c r="G27" s="10">
        <f t="shared" si="7"/>
        <v>0.4383561644</v>
      </c>
      <c r="H27" s="74" t="s">
        <v>671</v>
      </c>
      <c r="I27" s="73"/>
      <c r="J27" s="74"/>
      <c r="K27" s="74">
        <v>3.0</v>
      </c>
      <c r="L27" s="99">
        <v>46143.0</v>
      </c>
      <c r="M27" s="13"/>
      <c r="N27" s="74">
        <v>9.0</v>
      </c>
      <c r="O27" s="100">
        <v>0.7083333333333334</v>
      </c>
      <c r="P27" s="74" t="s">
        <v>515</v>
      </c>
      <c r="Q27" s="74" t="s">
        <v>672</v>
      </c>
      <c r="R27" s="73"/>
      <c r="S27" s="74" t="s">
        <v>673</v>
      </c>
      <c r="T27" s="73"/>
      <c r="U27" s="14" t="str">
        <f t="shared" si="3"/>
        <v>MT (9-1)TH (9-1) </v>
      </c>
      <c r="V27" s="73"/>
      <c r="W27" s="73"/>
      <c r="X27" s="73"/>
      <c r="Y27" s="73"/>
      <c r="Z27" s="74" t="s">
        <v>674</v>
      </c>
      <c r="AA27" s="74" t="s">
        <v>675</v>
      </c>
      <c r="AB27" s="74" t="s">
        <v>676</v>
      </c>
      <c r="AC27" s="86">
        <v>7.187305733E9</v>
      </c>
      <c r="AD27" s="73"/>
      <c r="AE27" s="73"/>
      <c r="AF27" s="73"/>
      <c r="AG27" s="73"/>
      <c r="AH27" s="73"/>
      <c r="AI27" s="73"/>
      <c r="AJ27" s="73"/>
      <c r="AK27" s="14"/>
      <c r="AL27" s="73"/>
      <c r="AM27" s="73"/>
      <c r="AN27" s="73"/>
      <c r="AO27" s="11"/>
      <c r="AP27" s="17">
        <f t="shared" si="5"/>
        <v>9</v>
      </c>
      <c r="AQ27" s="17">
        <f t="shared" si="6"/>
        <v>2025</v>
      </c>
      <c r="AR27" s="61"/>
      <c r="AS27" s="61"/>
      <c r="AT27" s="61"/>
      <c r="AU27" s="61"/>
      <c r="AV27" s="61"/>
      <c r="AW27" s="61"/>
      <c r="AX27" s="61"/>
      <c r="AY27" s="61"/>
      <c r="AZ27" s="48"/>
      <c r="BA27" s="48"/>
      <c r="BB27" s="48"/>
      <c r="BC27" s="48"/>
      <c r="BD27" s="48"/>
      <c r="BE27" s="48"/>
      <c r="BF27" s="48"/>
      <c r="BG27" s="48"/>
    </row>
    <row r="28">
      <c r="A28" s="84">
        <v>45919.0</v>
      </c>
      <c r="B28" s="74" t="s">
        <v>677</v>
      </c>
      <c r="C28" s="74" t="s">
        <v>678</v>
      </c>
      <c r="D28" s="14" t="str">
        <f t="shared" si="1"/>
        <v>singh, vedant</v>
      </c>
      <c r="E28" s="84">
        <v>45634.0</v>
      </c>
      <c r="F28" s="73"/>
      <c r="G28" s="10">
        <f t="shared" si="7"/>
        <v>1.139726027</v>
      </c>
      <c r="H28" s="74" t="s">
        <v>671</v>
      </c>
      <c r="I28" s="74" t="s">
        <v>545</v>
      </c>
      <c r="J28" s="73"/>
      <c r="K28" s="74">
        <v>5.0</v>
      </c>
      <c r="L28" s="84">
        <v>45944.0</v>
      </c>
      <c r="M28" s="13"/>
      <c r="N28" s="85">
        <v>0.3958333333333333</v>
      </c>
      <c r="O28" s="85">
        <v>0.22916666666666666</v>
      </c>
      <c r="P28" s="73"/>
      <c r="Q28" s="73"/>
      <c r="R28" s="73"/>
      <c r="S28" s="73"/>
      <c r="T28" s="73"/>
      <c r="U28" s="14" t="str">
        <f t="shared" si="3"/>
        <v/>
      </c>
      <c r="V28" s="73"/>
      <c r="W28" s="73"/>
      <c r="X28" s="73"/>
      <c r="Y28" s="73"/>
      <c r="Z28" s="74" t="s">
        <v>647</v>
      </c>
      <c r="AA28" s="74"/>
      <c r="AB28" s="74" t="s">
        <v>679</v>
      </c>
      <c r="AC28" s="101">
        <v>7.184149222E9</v>
      </c>
      <c r="AD28" s="73"/>
      <c r="AE28" s="73"/>
      <c r="AF28" s="73"/>
      <c r="AG28" s="73"/>
      <c r="AH28" s="73"/>
      <c r="AI28" s="73"/>
      <c r="AJ28" s="73"/>
      <c r="AK28" s="14"/>
      <c r="AL28" s="73"/>
      <c r="AM28" s="73"/>
      <c r="AN28" s="73"/>
      <c r="AO28" s="73"/>
      <c r="AP28" s="17">
        <f t="shared" si="5"/>
        <v>9</v>
      </c>
      <c r="AQ28" s="17">
        <f t="shared" si="6"/>
        <v>2025</v>
      </c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</row>
    <row r="29">
      <c r="A29" s="84">
        <v>45924.0</v>
      </c>
      <c r="B29" s="74" t="s">
        <v>680</v>
      </c>
      <c r="C29" s="74" t="s">
        <v>681</v>
      </c>
      <c r="D29" s="14" t="str">
        <f t="shared" si="1"/>
        <v>le-gall, remy</v>
      </c>
      <c r="E29" s="13"/>
      <c r="F29" s="73"/>
      <c r="G29" s="102">
        <v>1.4</v>
      </c>
      <c r="H29" s="74" t="s">
        <v>671</v>
      </c>
      <c r="I29" s="74" t="s">
        <v>545</v>
      </c>
      <c r="J29" s="73"/>
      <c r="K29" s="74">
        <v>3.0</v>
      </c>
      <c r="L29" s="84">
        <v>45944.0</v>
      </c>
      <c r="M29" s="13"/>
      <c r="N29" s="74">
        <v>9.0</v>
      </c>
      <c r="O29" s="74">
        <v>12.0</v>
      </c>
      <c r="P29" s="74" t="s">
        <v>515</v>
      </c>
      <c r="Q29" s="74" t="s">
        <v>516</v>
      </c>
      <c r="R29" s="74" t="s">
        <v>517</v>
      </c>
      <c r="S29" s="73"/>
      <c r="T29" s="73"/>
      <c r="U29" s="14" t="str">
        <f t="shared" si="3"/>
        <v>MTW</v>
      </c>
      <c r="V29" s="73"/>
      <c r="W29" s="73"/>
      <c r="X29" s="73"/>
      <c r="Y29" s="73"/>
      <c r="Z29" s="74" t="s">
        <v>634</v>
      </c>
      <c r="AA29" s="74"/>
      <c r="AB29" s="74" t="s">
        <v>682</v>
      </c>
      <c r="AC29" s="86">
        <v>5.187790753E9</v>
      </c>
      <c r="AD29" s="73"/>
      <c r="AE29" s="73"/>
      <c r="AF29" s="73"/>
      <c r="AG29" s="73"/>
      <c r="AH29" s="73"/>
      <c r="AI29" s="73"/>
      <c r="AJ29" s="73"/>
      <c r="AK29" s="14"/>
      <c r="AL29" s="73"/>
      <c r="AM29" s="73"/>
      <c r="AN29" s="73"/>
      <c r="AO29" s="73"/>
      <c r="AP29" s="17">
        <f t="shared" si="5"/>
        <v>9</v>
      </c>
      <c r="AQ29" s="17">
        <f t="shared" si="6"/>
        <v>2025</v>
      </c>
      <c r="AR29" s="21"/>
      <c r="AS29" s="21"/>
      <c r="AT29" s="21"/>
      <c r="AU29" s="21"/>
      <c r="AV29" s="21"/>
      <c r="AW29" s="21"/>
      <c r="AX29" s="21"/>
      <c r="AY29" s="21"/>
      <c r="AZ29" s="11"/>
      <c r="BA29" s="11"/>
      <c r="BB29" s="11"/>
      <c r="BC29" s="11"/>
      <c r="BD29" s="11"/>
      <c r="BE29" s="11"/>
      <c r="BF29" s="11"/>
      <c r="BG29" s="11"/>
    </row>
    <row r="30">
      <c r="A30" s="13"/>
      <c r="B30" s="74" t="s">
        <v>683</v>
      </c>
      <c r="C30" s="103" t="s">
        <v>684</v>
      </c>
      <c r="D30" s="14" t="str">
        <f t="shared" si="1"/>
        <v>wong, tyler </v>
      </c>
      <c r="E30" s="13"/>
      <c r="F30" s="73"/>
      <c r="G30" s="10">
        <f t="shared" ref="G30:G33" si="8">(TODAY()-E30)/365</f>
        <v>126.1643836</v>
      </c>
      <c r="H30" s="74" t="s">
        <v>685</v>
      </c>
      <c r="I30" s="73"/>
      <c r="J30" s="73"/>
      <c r="K30" s="73"/>
      <c r="L30" s="13"/>
      <c r="M30" s="13"/>
      <c r="N30" s="73"/>
      <c r="O30" s="73"/>
      <c r="P30" s="73"/>
      <c r="Q30" s="73"/>
      <c r="R30" s="73"/>
      <c r="S30" s="73"/>
      <c r="T30" s="73"/>
      <c r="U30" s="14" t="str">
        <f t="shared" si="3"/>
        <v/>
      </c>
      <c r="V30" s="73"/>
      <c r="W30" s="73"/>
      <c r="X30" s="73"/>
      <c r="Y30" s="73"/>
      <c r="Z30" s="74" t="s">
        <v>656</v>
      </c>
      <c r="AA30" s="74" t="s">
        <v>686</v>
      </c>
      <c r="AB30" s="95"/>
      <c r="AC30" s="11"/>
      <c r="AD30" s="73"/>
      <c r="AE30" s="73"/>
      <c r="AF30" s="73"/>
      <c r="AG30" s="73"/>
      <c r="AH30" s="73"/>
      <c r="AI30" s="73"/>
      <c r="AJ30" s="73"/>
      <c r="AK30" s="14"/>
      <c r="AL30" s="73"/>
      <c r="AM30" s="73"/>
      <c r="AN30" s="73"/>
      <c r="AO30" s="73"/>
      <c r="AP30" s="17">
        <f t="shared" si="5"/>
        <v>12</v>
      </c>
      <c r="AQ30" s="17">
        <f t="shared" si="6"/>
        <v>1899</v>
      </c>
      <c r="AR30" s="21"/>
      <c r="AS30" s="21"/>
      <c r="AT30" s="21"/>
      <c r="AU30" s="21"/>
      <c r="AV30" s="21"/>
      <c r="AW30" s="21"/>
      <c r="AX30" s="21"/>
      <c r="AY30" s="21"/>
      <c r="AZ30" s="11"/>
      <c r="BA30" s="11"/>
      <c r="BB30" s="11"/>
      <c r="BC30" s="11"/>
      <c r="BD30" s="11"/>
      <c r="BE30" s="11"/>
      <c r="BF30" s="11"/>
      <c r="BG30" s="11"/>
    </row>
    <row r="31">
      <c r="A31" s="13"/>
      <c r="B31" s="74" t="s">
        <v>687</v>
      </c>
      <c r="C31" s="74" t="s">
        <v>688</v>
      </c>
      <c r="D31" s="14" t="str">
        <f t="shared" si="1"/>
        <v>Tuomey, Logan</v>
      </c>
      <c r="E31" s="84">
        <v>44963.0</v>
      </c>
      <c r="F31" s="73"/>
      <c r="G31" s="10">
        <f t="shared" si="8"/>
        <v>2.978082192</v>
      </c>
      <c r="H31" s="74" t="s">
        <v>689</v>
      </c>
      <c r="I31" s="74" t="s">
        <v>557</v>
      </c>
      <c r="J31" s="73"/>
      <c r="K31" s="74">
        <v>2.0</v>
      </c>
      <c r="L31" s="84">
        <v>45931.0</v>
      </c>
      <c r="M31" s="13"/>
      <c r="N31" s="74">
        <v>9.0</v>
      </c>
      <c r="O31" s="74">
        <v>12.0</v>
      </c>
      <c r="P31" s="74" t="s">
        <v>515</v>
      </c>
      <c r="Q31" s="73"/>
      <c r="R31" s="74" t="s">
        <v>517</v>
      </c>
      <c r="S31" s="73"/>
      <c r="T31" s="73"/>
      <c r="U31" s="14" t="str">
        <f t="shared" si="3"/>
        <v>MW</v>
      </c>
      <c r="V31" s="73"/>
      <c r="W31" s="73"/>
      <c r="X31" s="73"/>
      <c r="Y31" s="73"/>
      <c r="Z31" s="73"/>
      <c r="AA31" s="73"/>
      <c r="AB31" s="96"/>
      <c r="AC31" s="11"/>
      <c r="AD31" s="73"/>
      <c r="AE31" s="73"/>
      <c r="AF31" s="73"/>
      <c r="AG31" s="73"/>
      <c r="AH31" s="73"/>
      <c r="AI31" s="73"/>
      <c r="AJ31" s="73"/>
      <c r="AK31" s="14"/>
      <c r="AL31" s="73"/>
      <c r="AM31" s="73"/>
      <c r="AN31" s="73"/>
      <c r="AO31" s="73"/>
      <c r="AP31" s="17">
        <f t="shared" si="5"/>
        <v>12</v>
      </c>
      <c r="AQ31" s="17">
        <f t="shared" si="6"/>
        <v>1899</v>
      </c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</row>
    <row r="32">
      <c r="A32" s="41"/>
      <c r="B32" s="45" t="s">
        <v>690</v>
      </c>
      <c r="C32" s="45" t="s">
        <v>691</v>
      </c>
      <c r="D32" s="14" t="str">
        <f t="shared" si="1"/>
        <v>Sudek, Mason</v>
      </c>
      <c r="E32" s="41"/>
      <c r="F32" s="42"/>
      <c r="G32" s="44">
        <f t="shared" si="8"/>
        <v>126.1643836</v>
      </c>
      <c r="H32" s="42"/>
      <c r="I32" s="42"/>
      <c r="J32" s="42"/>
      <c r="K32" s="42"/>
      <c r="L32" s="41"/>
      <c r="M32" s="41"/>
      <c r="N32" s="42"/>
      <c r="O32" s="42"/>
      <c r="P32" s="42"/>
      <c r="Q32" s="42"/>
      <c r="R32" s="42"/>
      <c r="S32" s="42"/>
      <c r="T32" s="42"/>
      <c r="U32" s="14" t="str">
        <f t="shared" si="3"/>
        <v/>
      </c>
      <c r="V32" s="73"/>
      <c r="W32" s="73"/>
      <c r="X32" s="73"/>
      <c r="Y32" s="73"/>
      <c r="Z32" s="104" t="s">
        <v>692</v>
      </c>
      <c r="AA32" s="73"/>
      <c r="AB32" s="105"/>
      <c r="AC32" s="83"/>
      <c r="AD32" s="73"/>
      <c r="AE32" s="73"/>
      <c r="AF32" s="73"/>
      <c r="AG32" s="73"/>
      <c r="AH32" s="73"/>
      <c r="AI32" s="73"/>
      <c r="AJ32" s="73"/>
      <c r="AK32" s="14"/>
      <c r="AL32" s="73"/>
      <c r="AM32" s="73"/>
      <c r="AN32" s="73"/>
      <c r="AO32" s="88"/>
      <c r="AP32" s="17">
        <f t="shared" si="5"/>
        <v>12</v>
      </c>
      <c r="AQ32" s="17">
        <f t="shared" si="6"/>
        <v>1899</v>
      </c>
      <c r="AR32" s="21"/>
      <c r="AS32" s="21"/>
      <c r="AT32" s="21"/>
      <c r="AU32" s="21"/>
      <c r="AV32" s="21"/>
      <c r="AW32" s="21"/>
      <c r="AX32" s="21"/>
      <c r="AY32" s="21"/>
      <c r="AZ32" s="11"/>
      <c r="BA32" s="11"/>
      <c r="BB32" s="11"/>
      <c r="BC32" s="11"/>
      <c r="BD32" s="11"/>
      <c r="BE32" s="11"/>
      <c r="BF32" s="11"/>
      <c r="BG32" s="11"/>
    </row>
    <row r="33">
      <c r="A33" s="13"/>
      <c r="B33" s="74" t="s">
        <v>693</v>
      </c>
      <c r="C33" s="106" t="s">
        <v>694</v>
      </c>
      <c r="D33" s="14" t="str">
        <f t="shared" si="1"/>
        <v>Sookdeo, Allison</v>
      </c>
      <c r="E33" s="13"/>
      <c r="F33" s="73"/>
      <c r="G33" s="10">
        <f t="shared" si="8"/>
        <v>126.1643836</v>
      </c>
      <c r="H33" s="45" t="s">
        <v>591</v>
      </c>
      <c r="I33" s="74" t="s">
        <v>557</v>
      </c>
      <c r="J33" s="73"/>
      <c r="K33" s="74">
        <v>5.0</v>
      </c>
      <c r="L33" s="46">
        <v>45901.0</v>
      </c>
      <c r="M33" s="13"/>
      <c r="N33" s="74" t="s">
        <v>695</v>
      </c>
      <c r="O33" s="74" t="s">
        <v>696</v>
      </c>
      <c r="P33" s="74" t="s">
        <v>515</v>
      </c>
      <c r="Q33" s="74" t="s">
        <v>516</v>
      </c>
      <c r="R33" s="74" t="s">
        <v>517</v>
      </c>
      <c r="S33" s="74" t="s">
        <v>518</v>
      </c>
      <c r="T33" s="74" t="s">
        <v>519</v>
      </c>
      <c r="U33" s="14" t="str">
        <f t="shared" si="3"/>
        <v>MTWTHF</v>
      </c>
      <c r="V33" s="73"/>
      <c r="W33" s="73"/>
      <c r="X33" s="73"/>
      <c r="Y33" s="73"/>
      <c r="Z33" s="73"/>
      <c r="AA33" s="73"/>
      <c r="AB33" s="95"/>
      <c r="AC33" s="107"/>
      <c r="AD33" s="73"/>
      <c r="AE33" s="73"/>
      <c r="AF33" s="73"/>
      <c r="AG33" s="73"/>
      <c r="AH33" s="73"/>
      <c r="AI33" s="73"/>
      <c r="AJ33" s="73"/>
      <c r="AK33" s="14"/>
      <c r="AL33" s="73"/>
      <c r="AM33" s="73"/>
      <c r="AN33" s="73"/>
      <c r="AO33" s="73"/>
      <c r="AP33" s="17">
        <f t="shared" si="5"/>
        <v>12</v>
      </c>
      <c r="AQ33" s="17">
        <f t="shared" si="6"/>
        <v>1899</v>
      </c>
      <c r="AR33" s="21"/>
      <c r="AS33" s="21"/>
      <c r="AT33" s="21"/>
      <c r="AU33" s="21"/>
      <c r="AV33" s="21"/>
      <c r="AW33" s="21"/>
      <c r="AX33" s="21"/>
      <c r="AY33" s="21"/>
      <c r="AZ33" s="11"/>
      <c r="BA33" s="11"/>
      <c r="BB33" s="11"/>
      <c r="BC33" s="11"/>
      <c r="BD33" s="11"/>
      <c r="BE33" s="11"/>
      <c r="BF33" s="11"/>
      <c r="BG33" s="11"/>
    </row>
    <row r="34">
      <c r="A34" s="41"/>
      <c r="B34" s="45" t="s">
        <v>697</v>
      </c>
      <c r="C34" s="108" t="s">
        <v>698</v>
      </c>
      <c r="D34" s="14" t="str">
        <f t="shared" si="1"/>
        <v>Saunders, Charli</v>
      </c>
      <c r="E34" s="41"/>
      <c r="F34" s="42"/>
      <c r="G34" s="109">
        <v>2.0</v>
      </c>
      <c r="H34" s="45" t="s">
        <v>591</v>
      </c>
      <c r="I34" s="45" t="s">
        <v>557</v>
      </c>
      <c r="J34" s="42"/>
      <c r="K34" s="45">
        <v>2.0</v>
      </c>
      <c r="L34" s="46">
        <v>45901.0</v>
      </c>
      <c r="M34" s="41"/>
      <c r="N34" s="45">
        <v>9.0</v>
      </c>
      <c r="O34" s="45">
        <v>12.0</v>
      </c>
      <c r="P34" s="42"/>
      <c r="Q34" s="45" t="s">
        <v>516</v>
      </c>
      <c r="R34" s="45" t="s">
        <v>517</v>
      </c>
      <c r="S34" s="42"/>
      <c r="T34" s="42"/>
      <c r="U34" s="14" t="str">
        <f t="shared" si="3"/>
        <v>TW</v>
      </c>
      <c r="V34" s="74" t="s">
        <v>674</v>
      </c>
      <c r="W34" s="73"/>
      <c r="X34" s="73"/>
      <c r="Y34" s="73"/>
      <c r="Z34" s="74" t="s">
        <v>674</v>
      </c>
      <c r="AA34" s="73"/>
      <c r="AB34" s="75" t="s">
        <v>699</v>
      </c>
      <c r="AC34" s="11"/>
      <c r="AD34" s="73"/>
      <c r="AE34" s="73"/>
      <c r="AF34" s="73"/>
      <c r="AG34" s="73"/>
      <c r="AH34" s="73"/>
      <c r="AI34" s="73"/>
      <c r="AJ34" s="73"/>
      <c r="AK34" s="14"/>
      <c r="AL34" s="73"/>
      <c r="AM34" s="73"/>
      <c r="AN34" s="73"/>
      <c r="AO34" s="73"/>
      <c r="AP34" s="17">
        <f t="shared" si="5"/>
        <v>12</v>
      </c>
      <c r="AQ34" s="17">
        <f t="shared" si="6"/>
        <v>1899</v>
      </c>
      <c r="AR34" s="21"/>
      <c r="AS34" s="21"/>
      <c r="AT34" s="21"/>
      <c r="AU34" s="21"/>
      <c r="AV34" s="21"/>
      <c r="AW34" s="21"/>
      <c r="AX34" s="21"/>
      <c r="AY34" s="21"/>
      <c r="AZ34" s="28"/>
      <c r="BA34" s="28"/>
      <c r="BB34" s="28"/>
      <c r="BC34" s="28"/>
      <c r="BD34" s="28"/>
      <c r="BE34" s="28"/>
      <c r="BF34" s="28"/>
      <c r="BG34" s="28"/>
    </row>
    <row r="35">
      <c r="A35" s="41"/>
      <c r="B35" s="45" t="s">
        <v>700</v>
      </c>
      <c r="C35" s="45" t="s">
        <v>701</v>
      </c>
      <c r="D35" s="14" t="str">
        <f t="shared" si="1"/>
        <v>Satalino, Theodore</v>
      </c>
      <c r="E35" s="62">
        <v>44912.0</v>
      </c>
      <c r="F35" s="42"/>
      <c r="G35" s="44">
        <f t="shared" ref="G35:G54" si="9">(TODAY()-E35)/365</f>
        <v>3.117808219</v>
      </c>
      <c r="H35" s="45" t="s">
        <v>493</v>
      </c>
      <c r="I35" s="45" t="s">
        <v>557</v>
      </c>
      <c r="J35" s="42"/>
      <c r="K35" s="45">
        <v>2.0</v>
      </c>
      <c r="L35" s="110">
        <v>45944.0</v>
      </c>
      <c r="M35" s="41"/>
      <c r="N35" s="66">
        <v>0.3125</v>
      </c>
      <c r="O35" s="66">
        <v>0.14583333333333334</v>
      </c>
      <c r="P35" s="45" t="s">
        <v>515</v>
      </c>
      <c r="Q35" s="42"/>
      <c r="R35" s="45" t="s">
        <v>517</v>
      </c>
      <c r="S35" s="42"/>
      <c r="T35" s="42"/>
      <c r="U35" s="14" t="str">
        <f t="shared" si="3"/>
        <v>MW</v>
      </c>
      <c r="V35" s="73"/>
      <c r="W35" s="73"/>
      <c r="X35" s="73"/>
      <c r="Y35" s="73"/>
      <c r="Z35" s="74" t="s">
        <v>692</v>
      </c>
      <c r="AA35" s="73"/>
      <c r="AB35" s="75" t="s">
        <v>702</v>
      </c>
      <c r="AC35" s="11"/>
      <c r="AD35" s="73"/>
      <c r="AE35" s="73"/>
      <c r="AF35" s="73"/>
      <c r="AG35" s="73"/>
      <c r="AH35" s="73"/>
      <c r="AI35" s="73"/>
      <c r="AJ35" s="73"/>
      <c r="AK35" s="14"/>
      <c r="AL35" s="73"/>
      <c r="AM35" s="73"/>
      <c r="AN35" s="73"/>
      <c r="AO35" s="73"/>
      <c r="AP35" s="17">
        <f t="shared" si="5"/>
        <v>12</v>
      </c>
      <c r="AQ35" s="17">
        <f t="shared" si="6"/>
        <v>1899</v>
      </c>
      <c r="AR35" s="21"/>
      <c r="AS35" s="21"/>
      <c r="AT35" s="21"/>
      <c r="AU35" s="21"/>
      <c r="AV35" s="21"/>
      <c r="AW35" s="21"/>
      <c r="AX35" s="21"/>
      <c r="AY35" s="21"/>
      <c r="AZ35" s="11"/>
      <c r="BA35" s="11"/>
      <c r="BB35" s="11"/>
      <c r="BC35" s="11"/>
      <c r="BD35" s="11"/>
      <c r="BE35" s="11"/>
      <c r="BF35" s="11"/>
      <c r="BG35" s="11"/>
    </row>
    <row r="36">
      <c r="A36" s="41"/>
      <c r="B36" s="45" t="s">
        <v>703</v>
      </c>
      <c r="C36" s="45" t="s">
        <v>701</v>
      </c>
      <c r="D36" s="14" t="str">
        <f t="shared" si="1"/>
        <v>Satalino, Luca </v>
      </c>
      <c r="E36" s="110">
        <v>45487.0</v>
      </c>
      <c r="F36" s="42"/>
      <c r="G36" s="44">
        <f t="shared" si="9"/>
        <v>1.542465753</v>
      </c>
      <c r="H36" s="45" t="s">
        <v>626</v>
      </c>
      <c r="I36" s="45" t="s">
        <v>557</v>
      </c>
      <c r="J36" s="42"/>
      <c r="K36" s="45">
        <v>2.0</v>
      </c>
      <c r="L36" s="62">
        <v>45944.0</v>
      </c>
      <c r="M36" s="41"/>
      <c r="N36" s="66">
        <v>0.2916666666666667</v>
      </c>
      <c r="O36" s="66">
        <v>0.125</v>
      </c>
      <c r="P36" s="45" t="s">
        <v>515</v>
      </c>
      <c r="Q36" s="42"/>
      <c r="R36" s="45" t="s">
        <v>517</v>
      </c>
      <c r="S36" s="42"/>
      <c r="T36" s="42"/>
      <c r="U36" s="14" t="str">
        <f t="shared" si="3"/>
        <v>MW</v>
      </c>
      <c r="V36" s="73"/>
      <c r="W36" s="73"/>
      <c r="X36" s="73"/>
      <c r="Y36" s="73"/>
      <c r="Z36" s="74" t="s">
        <v>692</v>
      </c>
      <c r="AA36" s="73"/>
      <c r="AB36" s="95"/>
      <c r="AC36" s="111">
        <v>5.162876647E9</v>
      </c>
      <c r="AD36" s="98"/>
      <c r="AE36" s="73"/>
      <c r="AF36" s="73"/>
      <c r="AG36" s="73"/>
      <c r="AH36" s="73"/>
      <c r="AI36" s="73"/>
      <c r="AJ36" s="73"/>
      <c r="AK36" s="14"/>
      <c r="AL36" s="73"/>
      <c r="AM36" s="73"/>
      <c r="AN36" s="73"/>
      <c r="AO36" s="73"/>
      <c r="AP36" s="17">
        <f t="shared" si="5"/>
        <v>12</v>
      </c>
      <c r="AQ36" s="17">
        <f t="shared" si="6"/>
        <v>1899</v>
      </c>
      <c r="AR36" s="21"/>
      <c r="AS36" s="21"/>
      <c r="AT36" s="21"/>
      <c r="AU36" s="21"/>
      <c r="AV36" s="21"/>
      <c r="AW36" s="21"/>
      <c r="AX36" s="21"/>
      <c r="AY36" s="21"/>
      <c r="AZ36" s="11"/>
      <c r="BA36" s="11"/>
      <c r="BB36" s="11"/>
      <c r="BC36" s="11"/>
      <c r="BD36" s="11"/>
      <c r="BE36" s="11"/>
      <c r="BF36" s="11"/>
      <c r="BG36" s="11"/>
    </row>
    <row r="37">
      <c r="A37" s="41"/>
      <c r="B37" s="45" t="s">
        <v>704</v>
      </c>
      <c r="C37" s="64" t="s">
        <v>705</v>
      </c>
      <c r="D37" s="14" t="str">
        <f t="shared" si="1"/>
        <v>Roland, Daniel</v>
      </c>
      <c r="E37" s="62">
        <v>45310.0</v>
      </c>
      <c r="F37" s="42"/>
      <c r="G37" s="44">
        <f t="shared" si="9"/>
        <v>2.02739726</v>
      </c>
      <c r="H37" s="45" t="s">
        <v>591</v>
      </c>
      <c r="I37" s="45" t="s">
        <v>551</v>
      </c>
      <c r="J37" s="42"/>
      <c r="K37" s="45">
        <v>5.0</v>
      </c>
      <c r="L37" s="46">
        <v>45901.0</v>
      </c>
      <c r="M37" s="41"/>
      <c r="N37" s="45">
        <v>9.0</v>
      </c>
      <c r="O37" s="45">
        <v>5.0</v>
      </c>
      <c r="P37" s="45" t="s">
        <v>515</v>
      </c>
      <c r="Q37" s="45" t="s">
        <v>516</v>
      </c>
      <c r="R37" s="45" t="s">
        <v>517</v>
      </c>
      <c r="S37" s="45" t="s">
        <v>518</v>
      </c>
      <c r="T37" s="45" t="s">
        <v>519</v>
      </c>
      <c r="U37" s="14" t="str">
        <f t="shared" si="3"/>
        <v>MTWTHF</v>
      </c>
      <c r="V37" s="74" t="s">
        <v>706</v>
      </c>
      <c r="W37" s="73"/>
      <c r="X37" s="73"/>
      <c r="Y37" s="73"/>
      <c r="Z37" s="74" t="s">
        <v>707</v>
      </c>
      <c r="AA37" s="73"/>
      <c r="AB37" s="15" t="s">
        <v>708</v>
      </c>
      <c r="AC37" s="11"/>
      <c r="AD37" s="73"/>
      <c r="AE37" s="73"/>
      <c r="AF37" s="73"/>
      <c r="AG37" s="73"/>
      <c r="AH37" s="73"/>
      <c r="AI37" s="73"/>
      <c r="AJ37" s="73"/>
      <c r="AK37" s="14"/>
      <c r="AL37" s="73"/>
      <c r="AM37" s="73"/>
      <c r="AN37" s="73"/>
      <c r="AO37" s="73"/>
      <c r="AP37" s="17">
        <f t="shared" si="5"/>
        <v>12</v>
      </c>
      <c r="AQ37" s="17">
        <f t="shared" si="6"/>
        <v>1899</v>
      </c>
      <c r="AR37" s="21"/>
      <c r="AS37" s="21"/>
      <c r="AT37" s="21"/>
      <c r="AU37" s="21"/>
      <c r="AV37" s="21"/>
      <c r="AW37" s="21"/>
      <c r="AX37" s="21"/>
      <c r="AY37" s="21"/>
      <c r="AZ37" s="11"/>
      <c r="BA37" s="11"/>
      <c r="BB37" s="11"/>
      <c r="BC37" s="11"/>
      <c r="BD37" s="11"/>
      <c r="BE37" s="11"/>
      <c r="BF37" s="11"/>
      <c r="BG37" s="11"/>
    </row>
    <row r="38">
      <c r="A38" s="41"/>
      <c r="B38" s="45" t="s">
        <v>709</v>
      </c>
      <c r="C38" s="45" t="s">
        <v>710</v>
      </c>
      <c r="D38" s="14" t="str">
        <f t="shared" si="1"/>
        <v>pollakusky , evelyn</v>
      </c>
      <c r="E38" s="62">
        <v>44945.0</v>
      </c>
      <c r="F38" s="42"/>
      <c r="G38" s="44">
        <f t="shared" si="9"/>
        <v>3.02739726</v>
      </c>
      <c r="H38" s="45" t="s">
        <v>550</v>
      </c>
      <c r="I38" s="45" t="s">
        <v>557</v>
      </c>
      <c r="J38" s="42"/>
      <c r="K38" s="45">
        <v>3.0</v>
      </c>
      <c r="L38" s="46">
        <v>45901.0</v>
      </c>
      <c r="M38" s="41"/>
      <c r="N38" s="45">
        <v>9.0</v>
      </c>
      <c r="O38" s="45">
        <v>12.0</v>
      </c>
      <c r="P38" s="45" t="s">
        <v>515</v>
      </c>
      <c r="Q38" s="45" t="s">
        <v>516</v>
      </c>
      <c r="R38" s="42"/>
      <c r="S38" s="45" t="s">
        <v>518</v>
      </c>
      <c r="T38" s="42"/>
      <c r="U38" s="14" t="str">
        <f t="shared" si="3"/>
        <v>MTTH</v>
      </c>
      <c r="V38" s="74" t="s">
        <v>711</v>
      </c>
      <c r="W38" s="112"/>
      <c r="X38" s="112"/>
      <c r="Y38" s="112"/>
      <c r="Z38" s="112"/>
      <c r="AA38" s="112"/>
      <c r="AB38" s="75" t="s">
        <v>712</v>
      </c>
      <c r="AC38" s="113"/>
      <c r="AD38" s="114"/>
      <c r="AE38" s="73"/>
      <c r="AF38" s="73"/>
      <c r="AG38" s="73"/>
      <c r="AH38" s="73"/>
      <c r="AI38" s="73"/>
      <c r="AJ38" s="73"/>
      <c r="AK38" s="14"/>
      <c r="AL38" s="73"/>
      <c r="AM38" s="88"/>
      <c r="AN38" s="88"/>
      <c r="AO38" s="88"/>
      <c r="AP38" s="17">
        <f t="shared" si="5"/>
        <v>12</v>
      </c>
      <c r="AQ38" s="17">
        <f t="shared" si="6"/>
        <v>1899</v>
      </c>
      <c r="AR38" s="21"/>
      <c r="AS38" s="21"/>
      <c r="AT38" s="21"/>
      <c r="AU38" s="21"/>
      <c r="AV38" s="21"/>
      <c r="AW38" s="21"/>
      <c r="AX38" s="21"/>
      <c r="AY38" s="21"/>
      <c r="AZ38" s="11"/>
      <c r="BA38" s="11"/>
      <c r="BB38" s="11"/>
      <c r="BC38" s="11"/>
      <c r="BD38" s="11"/>
      <c r="BE38" s="11"/>
      <c r="BF38" s="11"/>
      <c r="BG38" s="11"/>
    </row>
    <row r="39">
      <c r="A39" s="41"/>
      <c r="B39" s="45" t="s">
        <v>713</v>
      </c>
      <c r="C39" s="45" t="s">
        <v>714</v>
      </c>
      <c r="D39" s="14" t="str">
        <f t="shared" si="1"/>
        <v>Peluso, Francis</v>
      </c>
      <c r="E39" s="62">
        <v>45114.0</v>
      </c>
      <c r="F39" s="42"/>
      <c r="G39" s="44">
        <f t="shared" si="9"/>
        <v>2.564383562</v>
      </c>
      <c r="H39" s="45" t="s">
        <v>591</v>
      </c>
      <c r="I39" s="45" t="s">
        <v>545</v>
      </c>
      <c r="J39" s="42"/>
      <c r="K39" s="45">
        <v>3.0</v>
      </c>
      <c r="L39" s="46">
        <v>45901.0</v>
      </c>
      <c r="M39" s="41"/>
      <c r="N39" s="66">
        <v>0.3541666666666667</v>
      </c>
      <c r="O39" s="45">
        <v>5.0</v>
      </c>
      <c r="P39" s="45" t="s">
        <v>515</v>
      </c>
      <c r="Q39" s="45" t="s">
        <v>516</v>
      </c>
      <c r="R39" s="45" t="s">
        <v>517</v>
      </c>
      <c r="S39" s="42"/>
      <c r="T39" s="42"/>
      <c r="U39" s="14" t="str">
        <f t="shared" si="3"/>
        <v>MTW</v>
      </c>
      <c r="V39" s="73"/>
      <c r="W39" s="73"/>
      <c r="X39" s="73"/>
      <c r="Y39" s="73"/>
      <c r="Z39" s="74" t="s">
        <v>642</v>
      </c>
      <c r="AA39" s="73"/>
      <c r="AB39" s="75" t="s">
        <v>715</v>
      </c>
      <c r="AC39" s="27" t="s">
        <v>716</v>
      </c>
      <c r="AD39" s="73"/>
      <c r="AE39" s="73"/>
      <c r="AF39" s="73"/>
      <c r="AG39" s="73"/>
      <c r="AH39" s="73"/>
      <c r="AI39" s="73"/>
      <c r="AJ39" s="73"/>
      <c r="AK39" s="14"/>
      <c r="AL39" s="73"/>
      <c r="AM39" s="73"/>
      <c r="AN39" s="73"/>
      <c r="AO39" s="88"/>
      <c r="AP39" s="17">
        <f t="shared" si="5"/>
        <v>12</v>
      </c>
      <c r="AQ39" s="17">
        <f t="shared" si="6"/>
        <v>1899</v>
      </c>
      <c r="AR39" s="21"/>
      <c r="AS39" s="21"/>
      <c r="AT39" s="21"/>
      <c r="AU39" s="21"/>
      <c r="AV39" s="21"/>
      <c r="AW39" s="21"/>
      <c r="AX39" s="21"/>
      <c r="AY39" s="21"/>
      <c r="AZ39" s="11"/>
      <c r="BA39" s="11"/>
      <c r="BB39" s="11"/>
      <c r="BC39" s="11"/>
      <c r="BD39" s="11"/>
      <c r="BE39" s="11"/>
      <c r="BF39" s="11"/>
      <c r="BG39" s="11"/>
    </row>
    <row r="40">
      <c r="A40" s="41"/>
      <c r="B40" s="45" t="s">
        <v>717</v>
      </c>
      <c r="C40" s="45" t="s">
        <v>718</v>
      </c>
      <c r="D40" s="14" t="str">
        <f t="shared" si="1"/>
        <v>Murca , Diana </v>
      </c>
      <c r="E40" s="41"/>
      <c r="F40" s="41"/>
      <c r="G40" s="44">
        <f t="shared" si="9"/>
        <v>126.1643836</v>
      </c>
      <c r="H40" s="45" t="s">
        <v>600</v>
      </c>
      <c r="I40" s="45" t="s">
        <v>557</v>
      </c>
      <c r="J40" s="42"/>
      <c r="K40" s="45">
        <v>3.0</v>
      </c>
      <c r="L40" s="46">
        <v>45901.0</v>
      </c>
      <c r="M40" s="41"/>
      <c r="N40" s="45">
        <v>9.0</v>
      </c>
      <c r="O40" s="66">
        <v>0.14583333333333334</v>
      </c>
      <c r="P40" s="45" t="s">
        <v>515</v>
      </c>
      <c r="Q40" s="42"/>
      <c r="R40" s="45" t="s">
        <v>517</v>
      </c>
      <c r="S40" s="42"/>
      <c r="T40" s="45" t="s">
        <v>519</v>
      </c>
      <c r="U40" s="14" t="str">
        <f t="shared" si="3"/>
        <v>MWF</v>
      </c>
      <c r="V40" s="73"/>
      <c r="W40" s="73"/>
      <c r="X40" s="73"/>
      <c r="Y40" s="73"/>
      <c r="Z40" s="73"/>
      <c r="AA40" s="73"/>
      <c r="AB40" s="96"/>
      <c r="AC40" s="11"/>
      <c r="AD40" s="73"/>
      <c r="AE40" s="73"/>
      <c r="AF40" s="73"/>
      <c r="AG40" s="73"/>
      <c r="AH40" s="73"/>
      <c r="AI40" s="73"/>
      <c r="AJ40" s="73"/>
      <c r="AK40" s="14"/>
      <c r="AL40" s="73"/>
      <c r="AM40" s="88"/>
      <c r="AN40" s="88"/>
      <c r="AO40" s="88"/>
      <c r="AP40" s="17">
        <f t="shared" si="5"/>
        <v>12</v>
      </c>
      <c r="AQ40" s="17">
        <f t="shared" si="6"/>
        <v>1899</v>
      </c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</row>
    <row r="41">
      <c r="A41" s="41"/>
      <c r="B41" s="45" t="s">
        <v>719</v>
      </c>
      <c r="C41" s="115" t="s">
        <v>720</v>
      </c>
      <c r="D41" s="14" t="str">
        <f t="shared" si="1"/>
        <v>Lydon , evelyn </v>
      </c>
      <c r="E41" s="62">
        <v>44550.0</v>
      </c>
      <c r="F41" s="42"/>
      <c r="G41" s="44">
        <f t="shared" si="9"/>
        <v>4.109589041</v>
      </c>
      <c r="H41" s="45" t="s">
        <v>600</v>
      </c>
      <c r="I41" s="45" t="s">
        <v>557</v>
      </c>
      <c r="J41" s="42"/>
      <c r="K41" s="45">
        <v>3.0</v>
      </c>
      <c r="L41" s="46">
        <v>45901.0</v>
      </c>
      <c r="M41" s="41"/>
      <c r="N41" s="45">
        <v>9.0</v>
      </c>
      <c r="O41" s="45">
        <v>12.0</v>
      </c>
      <c r="P41" s="45" t="s">
        <v>515</v>
      </c>
      <c r="Q41" s="45" t="s">
        <v>516</v>
      </c>
      <c r="R41" s="42"/>
      <c r="S41" s="45" t="s">
        <v>518</v>
      </c>
      <c r="T41" s="42"/>
      <c r="U41" s="14" t="str">
        <f t="shared" si="3"/>
        <v>MTTH</v>
      </c>
      <c r="V41" s="73"/>
      <c r="W41" s="73"/>
      <c r="X41" s="73"/>
      <c r="Y41" s="73"/>
      <c r="Z41" s="73"/>
      <c r="AA41" s="73"/>
      <c r="AB41" s="95"/>
      <c r="AC41" s="11"/>
      <c r="AD41" s="74" t="s">
        <v>721</v>
      </c>
      <c r="AE41" s="73"/>
      <c r="AF41" s="73"/>
      <c r="AG41" s="73"/>
      <c r="AH41" s="73"/>
      <c r="AI41" s="73"/>
      <c r="AJ41" s="73"/>
      <c r="AK41" s="14"/>
      <c r="AL41" s="73"/>
      <c r="AM41" s="73"/>
      <c r="AN41" s="73"/>
      <c r="AO41" s="73"/>
      <c r="AP41" s="17">
        <f t="shared" si="5"/>
        <v>12</v>
      </c>
      <c r="AQ41" s="17">
        <f t="shared" si="6"/>
        <v>1899</v>
      </c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</row>
    <row r="42">
      <c r="A42" s="41"/>
      <c r="B42" s="45" t="s">
        <v>722</v>
      </c>
      <c r="C42" s="45" t="s">
        <v>723</v>
      </c>
      <c r="D42" s="14" t="str">
        <f t="shared" si="1"/>
        <v>levi, cameron</v>
      </c>
      <c r="E42" s="41"/>
      <c r="F42" s="42"/>
      <c r="G42" s="10">
        <f t="shared" si="9"/>
        <v>126.1643836</v>
      </c>
      <c r="H42" s="42"/>
      <c r="I42" s="42"/>
      <c r="J42" s="42"/>
      <c r="K42" s="42"/>
      <c r="L42" s="13"/>
      <c r="M42" s="13"/>
      <c r="N42" s="73"/>
      <c r="O42" s="73"/>
      <c r="P42" s="73"/>
      <c r="Q42" s="73"/>
      <c r="R42" s="73"/>
      <c r="S42" s="73"/>
      <c r="T42" s="73"/>
      <c r="U42" s="14" t="str">
        <f t="shared" si="3"/>
        <v/>
      </c>
      <c r="V42" s="73"/>
      <c r="W42" s="73"/>
      <c r="X42" s="73"/>
      <c r="Y42" s="73"/>
      <c r="Z42" s="73"/>
      <c r="AA42" s="73"/>
      <c r="AB42" s="75" t="s">
        <v>724</v>
      </c>
      <c r="AC42" s="116"/>
      <c r="AD42" s="73"/>
      <c r="AE42" s="73"/>
      <c r="AF42" s="73"/>
      <c r="AG42" s="73"/>
      <c r="AH42" s="73"/>
      <c r="AI42" s="73"/>
      <c r="AJ42" s="73"/>
      <c r="AK42" s="14"/>
      <c r="AL42" s="73"/>
      <c r="AM42" s="88"/>
      <c r="AN42" s="88"/>
      <c r="AO42" s="88"/>
      <c r="AP42" s="17">
        <f t="shared" si="5"/>
        <v>12</v>
      </c>
      <c r="AQ42" s="17">
        <f t="shared" si="6"/>
        <v>1899</v>
      </c>
      <c r="AR42" s="21"/>
      <c r="AS42" s="21"/>
      <c r="AT42" s="21"/>
      <c r="AU42" s="21"/>
      <c r="AV42" s="21"/>
      <c r="AW42" s="21"/>
      <c r="AX42" s="21"/>
      <c r="AY42" s="21"/>
      <c r="AZ42" s="11"/>
      <c r="BA42" s="11"/>
      <c r="BB42" s="11"/>
      <c r="BC42" s="11"/>
      <c r="BD42" s="11"/>
      <c r="BE42" s="11"/>
      <c r="BF42" s="11"/>
      <c r="BG42" s="11"/>
    </row>
    <row r="43">
      <c r="A43" s="41"/>
      <c r="B43" s="45" t="s">
        <v>725</v>
      </c>
      <c r="C43" s="115" t="s">
        <v>726</v>
      </c>
      <c r="D43" s="14" t="str">
        <f t="shared" si="1"/>
        <v>Leung, Lana</v>
      </c>
      <c r="E43" s="62">
        <v>45132.0</v>
      </c>
      <c r="F43" s="42"/>
      <c r="G43" s="44">
        <f t="shared" si="9"/>
        <v>2.515068493</v>
      </c>
      <c r="H43" s="45" t="s">
        <v>591</v>
      </c>
      <c r="I43" s="45" t="s">
        <v>557</v>
      </c>
      <c r="J43" s="42"/>
      <c r="K43" s="45">
        <v>2.0</v>
      </c>
      <c r="L43" s="46">
        <v>45901.0</v>
      </c>
      <c r="M43" s="41"/>
      <c r="N43" s="66">
        <v>0.375</v>
      </c>
      <c r="O43" s="66">
        <v>0.5</v>
      </c>
      <c r="P43" s="45" t="s">
        <v>515</v>
      </c>
      <c r="Q43" s="42"/>
      <c r="R43" s="45" t="s">
        <v>517</v>
      </c>
      <c r="S43" s="42"/>
      <c r="T43" s="42"/>
      <c r="U43" s="14" t="str">
        <f t="shared" si="3"/>
        <v>MW</v>
      </c>
      <c r="V43" s="73"/>
      <c r="W43" s="73"/>
      <c r="X43" s="73"/>
      <c r="Y43" s="73"/>
      <c r="Z43" s="74" t="s">
        <v>642</v>
      </c>
      <c r="AA43" s="73"/>
      <c r="AB43" s="95"/>
      <c r="AC43" s="117"/>
      <c r="AD43" s="73"/>
      <c r="AE43" s="73"/>
      <c r="AF43" s="73"/>
      <c r="AG43" s="73"/>
      <c r="AH43" s="73"/>
      <c r="AI43" s="73"/>
      <c r="AJ43" s="73"/>
      <c r="AK43" s="14"/>
      <c r="AL43" s="73"/>
      <c r="AM43" s="73"/>
      <c r="AN43" s="73"/>
      <c r="AO43" s="73"/>
      <c r="AP43" s="17">
        <f t="shared" si="5"/>
        <v>12</v>
      </c>
      <c r="AQ43" s="17">
        <f t="shared" si="6"/>
        <v>1899</v>
      </c>
      <c r="AR43" s="21"/>
      <c r="AS43" s="21"/>
      <c r="AT43" s="21"/>
      <c r="AU43" s="21"/>
      <c r="AV43" s="21"/>
      <c r="AW43" s="21"/>
      <c r="AX43" s="21"/>
      <c r="AY43" s="21"/>
      <c r="AZ43" s="11"/>
      <c r="BA43" s="11"/>
      <c r="BB43" s="11"/>
      <c r="BC43" s="11"/>
      <c r="BD43" s="11"/>
      <c r="BE43" s="11"/>
      <c r="BF43" s="11"/>
      <c r="BG43" s="11"/>
    </row>
    <row r="44">
      <c r="A44" s="41"/>
      <c r="B44" s="45" t="s">
        <v>727</v>
      </c>
      <c r="C44" s="45" t="s">
        <v>728</v>
      </c>
      <c r="D44" s="14" t="str">
        <f t="shared" si="1"/>
        <v>Lee, Avery</v>
      </c>
      <c r="E44" s="110">
        <v>45511.0</v>
      </c>
      <c r="F44" s="42"/>
      <c r="G44" s="44">
        <f t="shared" si="9"/>
        <v>1.476712329</v>
      </c>
      <c r="H44" s="45" t="s">
        <v>591</v>
      </c>
      <c r="I44" s="45" t="s">
        <v>729</v>
      </c>
      <c r="J44" s="42"/>
      <c r="K44" s="45">
        <v>5.0</v>
      </c>
      <c r="L44" s="62">
        <v>46054.0</v>
      </c>
      <c r="M44" s="62">
        <v>46265.0</v>
      </c>
      <c r="N44" s="45">
        <v>9.0</v>
      </c>
      <c r="O44" s="45">
        <v>5.0</v>
      </c>
      <c r="P44" s="42"/>
      <c r="Q44" s="42"/>
      <c r="R44" s="42"/>
      <c r="S44" s="42"/>
      <c r="T44" s="42"/>
      <c r="U44" s="14" t="str">
        <f t="shared" si="3"/>
        <v/>
      </c>
      <c r="V44" s="73"/>
      <c r="W44" s="73"/>
      <c r="X44" s="73"/>
      <c r="Y44" s="73"/>
      <c r="Z44" s="74" t="s">
        <v>647</v>
      </c>
      <c r="AA44" s="74" t="s">
        <v>730</v>
      </c>
      <c r="AB44" s="118" t="s">
        <v>731</v>
      </c>
      <c r="AC44" s="119"/>
      <c r="AD44" s="73"/>
      <c r="AE44" s="73"/>
      <c r="AF44" s="73"/>
      <c r="AG44" s="73"/>
      <c r="AH44" s="73"/>
      <c r="AI44" s="73"/>
      <c r="AJ44" s="73"/>
      <c r="AK44" s="14"/>
      <c r="AL44" s="73"/>
      <c r="AM44" s="73"/>
      <c r="AN44" s="73"/>
      <c r="AO44" s="73"/>
      <c r="AP44" s="17">
        <f t="shared" si="5"/>
        <v>12</v>
      </c>
      <c r="AQ44" s="17">
        <f t="shared" si="6"/>
        <v>1899</v>
      </c>
      <c r="AR44" s="21"/>
      <c r="AS44" s="21"/>
      <c r="AT44" s="21"/>
      <c r="AU44" s="21"/>
      <c r="AV44" s="21"/>
      <c r="AW44" s="21"/>
      <c r="AX44" s="21"/>
      <c r="AY44" s="21"/>
      <c r="AZ44" s="11"/>
      <c r="BA44" s="11"/>
      <c r="BB44" s="11"/>
      <c r="BC44" s="11"/>
      <c r="BD44" s="11"/>
      <c r="BE44" s="11"/>
      <c r="BF44" s="11"/>
      <c r="BG44" s="11"/>
    </row>
    <row r="45">
      <c r="A45" s="13"/>
      <c r="B45" s="74" t="s">
        <v>732</v>
      </c>
      <c r="C45" s="74" t="s">
        <v>733</v>
      </c>
      <c r="D45" s="14" t="str">
        <f t="shared" si="1"/>
        <v>Landell, Jordyn </v>
      </c>
      <c r="E45" s="13"/>
      <c r="F45" s="73"/>
      <c r="G45" s="10">
        <f t="shared" si="9"/>
        <v>126.1643836</v>
      </c>
      <c r="H45" s="45" t="s">
        <v>591</v>
      </c>
      <c r="I45" s="73"/>
      <c r="J45" s="73"/>
      <c r="K45" s="74">
        <v>5.0</v>
      </c>
      <c r="L45" s="46">
        <v>45901.0</v>
      </c>
      <c r="M45" s="13"/>
      <c r="N45" s="74">
        <v>9.0</v>
      </c>
      <c r="O45" s="85">
        <v>0.14583333333333334</v>
      </c>
      <c r="P45" s="74" t="s">
        <v>515</v>
      </c>
      <c r="Q45" s="74" t="s">
        <v>516</v>
      </c>
      <c r="R45" s="74" t="s">
        <v>517</v>
      </c>
      <c r="S45" s="74" t="s">
        <v>518</v>
      </c>
      <c r="T45" s="74" t="s">
        <v>519</v>
      </c>
      <c r="U45" s="14" t="str">
        <f t="shared" si="3"/>
        <v>MTWTHF</v>
      </c>
      <c r="V45" s="73"/>
      <c r="W45" s="73"/>
      <c r="X45" s="73"/>
      <c r="Y45" s="73"/>
      <c r="Z45" s="73"/>
      <c r="AA45" s="73"/>
      <c r="AB45" s="95"/>
      <c r="AC45" s="11"/>
      <c r="AD45" s="73"/>
      <c r="AE45" s="73"/>
      <c r="AF45" s="73"/>
      <c r="AG45" s="73"/>
      <c r="AH45" s="73"/>
      <c r="AI45" s="73"/>
      <c r="AJ45" s="73"/>
      <c r="AK45" s="14"/>
      <c r="AL45" s="73"/>
      <c r="AM45" s="73"/>
      <c r="AN45" s="73"/>
      <c r="AO45" s="73"/>
      <c r="AP45" s="17">
        <f t="shared" si="5"/>
        <v>12</v>
      </c>
      <c r="AQ45" s="17">
        <f t="shared" si="6"/>
        <v>1899</v>
      </c>
      <c r="AR45" s="21"/>
      <c r="AS45" s="21"/>
      <c r="AT45" s="21"/>
      <c r="AU45" s="21"/>
      <c r="AV45" s="21"/>
      <c r="AW45" s="21"/>
      <c r="AX45" s="21"/>
      <c r="AY45" s="21"/>
      <c r="AZ45" s="11"/>
      <c r="BA45" s="11"/>
      <c r="BB45" s="11"/>
      <c r="BC45" s="11"/>
      <c r="BD45" s="11"/>
      <c r="BE45" s="11"/>
      <c r="BF45" s="11"/>
      <c r="BG45" s="11"/>
    </row>
    <row r="46">
      <c r="A46" s="41"/>
      <c r="B46" s="45" t="s">
        <v>732</v>
      </c>
      <c r="C46" s="45" t="s">
        <v>734</v>
      </c>
      <c r="D46" s="14" t="str">
        <f t="shared" si="1"/>
        <v>landell , Jordyn </v>
      </c>
      <c r="E46" s="41"/>
      <c r="F46" s="42"/>
      <c r="G46" s="10">
        <f t="shared" si="9"/>
        <v>126.1643836</v>
      </c>
      <c r="H46" s="45" t="s">
        <v>735</v>
      </c>
      <c r="I46" s="45" t="s">
        <v>736</v>
      </c>
      <c r="J46" s="42"/>
      <c r="K46" s="45">
        <v>5.0</v>
      </c>
      <c r="L46" s="84">
        <v>45931.0</v>
      </c>
      <c r="M46" s="13"/>
      <c r="N46" s="74">
        <v>9.0</v>
      </c>
      <c r="O46" s="85">
        <v>0.14583333333333334</v>
      </c>
      <c r="P46" s="74" t="s">
        <v>515</v>
      </c>
      <c r="Q46" s="74" t="s">
        <v>516</v>
      </c>
      <c r="R46" s="74" t="s">
        <v>517</v>
      </c>
      <c r="S46" s="74" t="s">
        <v>518</v>
      </c>
      <c r="T46" s="74" t="s">
        <v>519</v>
      </c>
      <c r="U46" s="14" t="str">
        <f t="shared" si="3"/>
        <v>MTWTHF</v>
      </c>
      <c r="V46" s="73"/>
      <c r="W46" s="73"/>
      <c r="X46" s="73"/>
      <c r="Y46" s="73"/>
      <c r="Z46" s="74" t="s">
        <v>634</v>
      </c>
      <c r="AA46" s="74" t="s">
        <v>737</v>
      </c>
      <c r="AB46" s="95"/>
      <c r="AC46" s="11"/>
      <c r="AD46" s="73"/>
      <c r="AE46" s="73"/>
      <c r="AF46" s="73"/>
      <c r="AG46" s="73"/>
      <c r="AH46" s="73"/>
      <c r="AI46" s="73"/>
      <c r="AJ46" s="73"/>
      <c r="AK46" s="14"/>
      <c r="AL46" s="73"/>
      <c r="AM46" s="73"/>
      <c r="AN46" s="73"/>
      <c r="AO46" s="73"/>
      <c r="AP46" s="17">
        <f t="shared" si="5"/>
        <v>12</v>
      </c>
      <c r="AQ46" s="17">
        <f t="shared" si="6"/>
        <v>1899</v>
      </c>
      <c r="AR46" s="21"/>
      <c r="AS46" s="21"/>
      <c r="AT46" s="21"/>
      <c r="AU46" s="21"/>
      <c r="AV46" s="21"/>
      <c r="AW46" s="21"/>
      <c r="AX46" s="21"/>
      <c r="AY46" s="21"/>
      <c r="AZ46" s="11"/>
      <c r="BA46" s="11"/>
      <c r="BB46" s="11"/>
      <c r="BC46" s="11"/>
      <c r="BD46" s="11"/>
      <c r="BE46" s="11"/>
      <c r="BF46" s="11"/>
      <c r="BG46" s="11"/>
    </row>
    <row r="47">
      <c r="A47" s="41"/>
      <c r="B47" s="45" t="s">
        <v>738</v>
      </c>
      <c r="C47" s="45" t="s">
        <v>739</v>
      </c>
      <c r="D47" s="14" t="str">
        <f t="shared" si="1"/>
        <v>Jin , Freya</v>
      </c>
      <c r="E47" s="62">
        <v>45658.0</v>
      </c>
      <c r="F47" s="42"/>
      <c r="G47" s="44">
        <f t="shared" si="9"/>
        <v>1.073972603</v>
      </c>
      <c r="H47" s="45" t="s">
        <v>626</v>
      </c>
      <c r="I47" s="45" t="s">
        <v>557</v>
      </c>
      <c r="J47" s="42"/>
      <c r="K47" s="42"/>
      <c r="L47" s="62">
        <v>45962.0</v>
      </c>
      <c r="M47" s="41"/>
      <c r="N47" s="66">
        <v>0.3958333333333333</v>
      </c>
      <c r="O47" s="66">
        <v>0.22916666666666666</v>
      </c>
      <c r="P47" s="45" t="s">
        <v>515</v>
      </c>
      <c r="Q47" s="45" t="s">
        <v>516</v>
      </c>
      <c r="R47" s="45" t="s">
        <v>517</v>
      </c>
      <c r="S47" s="45" t="s">
        <v>518</v>
      </c>
      <c r="T47" s="45" t="s">
        <v>519</v>
      </c>
      <c r="U47" s="14" t="str">
        <f t="shared" si="3"/>
        <v>MTWTHF</v>
      </c>
      <c r="V47" s="73"/>
      <c r="W47" s="73"/>
      <c r="X47" s="73"/>
      <c r="Y47" s="73"/>
      <c r="Z47" s="74" t="s">
        <v>692</v>
      </c>
      <c r="AA47" s="73"/>
      <c r="AB47" s="75" t="s">
        <v>740</v>
      </c>
      <c r="AC47" s="27">
        <v>6.125164737E9</v>
      </c>
      <c r="AD47" s="73"/>
      <c r="AE47" s="73"/>
      <c r="AF47" s="73"/>
      <c r="AG47" s="73"/>
      <c r="AH47" s="73"/>
      <c r="AI47" s="73"/>
      <c r="AJ47" s="73"/>
      <c r="AK47" s="14"/>
      <c r="AL47" s="73"/>
      <c r="AM47" s="73"/>
      <c r="AN47" s="73"/>
      <c r="AO47" s="73"/>
      <c r="AP47" s="17">
        <f t="shared" si="5"/>
        <v>12</v>
      </c>
      <c r="AQ47" s="17">
        <f t="shared" si="6"/>
        <v>1899</v>
      </c>
      <c r="AR47" s="21"/>
      <c r="AS47" s="21"/>
      <c r="AT47" s="21"/>
      <c r="AU47" s="21"/>
      <c r="AV47" s="21"/>
      <c r="AW47" s="21"/>
      <c r="AX47" s="21"/>
      <c r="AY47" s="21"/>
      <c r="AZ47" s="11"/>
      <c r="BA47" s="11"/>
      <c r="BB47" s="11"/>
      <c r="BC47" s="11"/>
      <c r="BD47" s="11"/>
      <c r="BE47" s="11"/>
      <c r="BF47" s="11"/>
      <c r="BG47" s="11"/>
    </row>
    <row r="48">
      <c r="A48" s="41"/>
      <c r="B48" s="45" t="s">
        <v>741</v>
      </c>
      <c r="C48" s="45" t="s">
        <v>742</v>
      </c>
      <c r="D48" s="14" t="str">
        <f t="shared" si="1"/>
        <v>Haq, AMAL</v>
      </c>
      <c r="E48" s="62">
        <v>45907.0</v>
      </c>
      <c r="F48" s="41"/>
      <c r="G48" s="44">
        <f t="shared" si="9"/>
        <v>0.3917808219</v>
      </c>
      <c r="H48" s="45" t="s">
        <v>626</v>
      </c>
      <c r="I48" s="45" t="s">
        <v>545</v>
      </c>
      <c r="J48" s="42"/>
      <c r="K48" s="42"/>
      <c r="L48" s="120" t="s">
        <v>686</v>
      </c>
      <c r="M48" s="41"/>
      <c r="N48" s="45" t="s">
        <v>743</v>
      </c>
      <c r="O48" s="42"/>
      <c r="P48" s="42"/>
      <c r="Q48" s="42"/>
      <c r="R48" s="42"/>
      <c r="S48" s="42"/>
      <c r="T48" s="42"/>
      <c r="U48" s="14" t="str">
        <f t="shared" si="3"/>
        <v/>
      </c>
      <c r="V48" s="73"/>
      <c r="W48" s="73"/>
      <c r="X48" s="73"/>
      <c r="Y48" s="73"/>
      <c r="Z48" s="74" t="s">
        <v>642</v>
      </c>
      <c r="AA48" s="74" t="s">
        <v>744</v>
      </c>
      <c r="AB48" s="121" t="s">
        <v>745</v>
      </c>
      <c r="AC48" s="122">
        <v>9.147870951E9</v>
      </c>
      <c r="AD48" s="73"/>
      <c r="AE48" s="73"/>
      <c r="AF48" s="73"/>
      <c r="AG48" s="73"/>
      <c r="AH48" s="73"/>
      <c r="AI48" s="73"/>
      <c r="AJ48" s="73"/>
      <c r="AK48" s="14"/>
      <c r="AL48" s="73"/>
      <c r="AM48" s="73"/>
      <c r="AN48" s="73"/>
      <c r="AO48" s="73"/>
      <c r="AP48" s="17">
        <f t="shared" si="5"/>
        <v>12</v>
      </c>
      <c r="AQ48" s="17">
        <f t="shared" si="6"/>
        <v>1899</v>
      </c>
      <c r="AR48" s="21"/>
      <c r="AS48" s="21"/>
      <c r="AT48" s="21"/>
      <c r="AU48" s="21"/>
      <c r="AV48" s="21"/>
      <c r="AW48" s="21"/>
      <c r="AX48" s="21"/>
      <c r="AY48" s="21"/>
      <c r="AZ48" s="11"/>
      <c r="BA48" s="11"/>
      <c r="BB48" s="11"/>
      <c r="BC48" s="11"/>
      <c r="BD48" s="11"/>
      <c r="BE48" s="11"/>
      <c r="BF48" s="11"/>
      <c r="BG48" s="11"/>
    </row>
    <row r="49">
      <c r="A49" s="41"/>
      <c r="B49" s="45" t="s">
        <v>746</v>
      </c>
      <c r="C49" s="45" t="s">
        <v>747</v>
      </c>
      <c r="D49" s="14" t="str">
        <f t="shared" si="1"/>
        <v>hamilton, mia</v>
      </c>
      <c r="E49" s="62">
        <v>45411.0</v>
      </c>
      <c r="F49" s="42"/>
      <c r="G49" s="44">
        <f t="shared" si="9"/>
        <v>1.750684932</v>
      </c>
      <c r="H49" s="45" t="s">
        <v>591</v>
      </c>
      <c r="I49" s="45" t="s">
        <v>748</v>
      </c>
      <c r="J49" s="42"/>
      <c r="K49" s="45">
        <v>3.0</v>
      </c>
      <c r="L49" s="46">
        <v>45901.0</v>
      </c>
      <c r="M49" s="41"/>
      <c r="N49" s="45">
        <v>9.0</v>
      </c>
      <c r="O49" s="66">
        <v>0.22916666666666666</v>
      </c>
      <c r="P49" s="45" t="s">
        <v>515</v>
      </c>
      <c r="Q49" s="45" t="s">
        <v>516</v>
      </c>
      <c r="R49" s="45"/>
      <c r="S49" s="42"/>
      <c r="T49" s="45" t="s">
        <v>519</v>
      </c>
      <c r="U49" s="14" t="str">
        <f t="shared" si="3"/>
        <v>MTF</v>
      </c>
      <c r="V49" s="73"/>
      <c r="W49" s="73"/>
      <c r="X49" s="73"/>
      <c r="Y49" s="73"/>
      <c r="Z49" s="74" t="s">
        <v>642</v>
      </c>
      <c r="AA49" s="73"/>
      <c r="AB49" s="75" t="s">
        <v>749</v>
      </c>
      <c r="AC49" s="11"/>
      <c r="AD49" s="73"/>
      <c r="AE49" s="73"/>
      <c r="AF49" s="73"/>
      <c r="AG49" s="73"/>
      <c r="AH49" s="73"/>
      <c r="AI49" s="73"/>
      <c r="AJ49" s="73"/>
      <c r="AK49" s="14"/>
      <c r="AL49" s="73"/>
      <c r="AM49" s="88"/>
      <c r="AN49" s="88"/>
      <c r="AO49" s="88"/>
      <c r="AP49" s="17">
        <f t="shared" si="5"/>
        <v>12</v>
      </c>
      <c r="AQ49" s="17">
        <f t="shared" si="6"/>
        <v>1899</v>
      </c>
      <c r="AR49" s="21"/>
      <c r="AS49" s="21"/>
      <c r="AT49" s="21"/>
      <c r="AU49" s="21"/>
      <c r="AV49" s="21"/>
      <c r="AW49" s="21"/>
      <c r="AX49" s="21"/>
      <c r="AY49" s="21"/>
      <c r="AZ49" s="11"/>
      <c r="BA49" s="11"/>
      <c r="BB49" s="11"/>
      <c r="BC49" s="11"/>
      <c r="BD49" s="11"/>
      <c r="BE49" s="11"/>
      <c r="BF49" s="11"/>
      <c r="BG49" s="11"/>
    </row>
    <row r="50">
      <c r="A50" s="41"/>
      <c r="B50" s="45" t="s">
        <v>750</v>
      </c>
      <c r="C50" s="45" t="s">
        <v>751</v>
      </c>
      <c r="D50" s="14" t="str">
        <f t="shared" si="1"/>
        <v>George , Gabriel </v>
      </c>
      <c r="E50" s="62">
        <v>44844.0</v>
      </c>
      <c r="F50" s="42"/>
      <c r="G50" s="44">
        <f t="shared" si="9"/>
        <v>3.304109589</v>
      </c>
      <c r="H50" s="45" t="s">
        <v>493</v>
      </c>
      <c r="I50" s="45" t="s">
        <v>752</v>
      </c>
      <c r="J50" s="42"/>
      <c r="K50" s="45">
        <v>5.0</v>
      </c>
      <c r="L50" s="46">
        <v>45901.0</v>
      </c>
      <c r="M50" s="41"/>
      <c r="N50" s="66">
        <v>0.3680555555555556</v>
      </c>
      <c r="O50" s="123">
        <v>0.625</v>
      </c>
      <c r="P50" s="45" t="s">
        <v>515</v>
      </c>
      <c r="Q50" s="45" t="s">
        <v>516</v>
      </c>
      <c r="R50" s="45" t="s">
        <v>517</v>
      </c>
      <c r="S50" s="45" t="s">
        <v>518</v>
      </c>
      <c r="T50" s="45" t="s">
        <v>519</v>
      </c>
      <c r="U50" s="14" t="str">
        <f t="shared" si="3"/>
        <v>MTWTHF</v>
      </c>
      <c r="V50" s="73"/>
      <c r="W50" s="73"/>
      <c r="X50" s="73"/>
      <c r="Y50" s="73"/>
      <c r="Z50" s="73"/>
      <c r="AA50" s="73"/>
      <c r="AB50" s="95"/>
      <c r="AC50" s="11"/>
      <c r="AD50" s="73"/>
      <c r="AE50" s="73"/>
      <c r="AF50" s="73"/>
      <c r="AG50" s="73"/>
      <c r="AH50" s="73"/>
      <c r="AI50" s="73"/>
      <c r="AJ50" s="73"/>
      <c r="AK50" s="14"/>
      <c r="AL50" s="73"/>
      <c r="AM50" s="73"/>
      <c r="AN50" s="73"/>
      <c r="AO50" s="73"/>
      <c r="AP50" s="17">
        <f t="shared" si="5"/>
        <v>12</v>
      </c>
      <c r="AQ50" s="17">
        <f t="shared" si="6"/>
        <v>1899</v>
      </c>
      <c r="AR50" s="21"/>
      <c r="AS50" s="21"/>
      <c r="AT50" s="21"/>
      <c r="AU50" s="21"/>
      <c r="AV50" s="21"/>
      <c r="AW50" s="21"/>
      <c r="AX50" s="21"/>
      <c r="AY50" s="21"/>
      <c r="AZ50" s="11"/>
      <c r="BA50" s="11"/>
      <c r="BB50" s="11"/>
      <c r="BC50" s="11"/>
      <c r="BD50" s="11"/>
      <c r="BE50" s="11"/>
      <c r="BF50" s="11"/>
      <c r="BG50" s="11"/>
    </row>
    <row r="51">
      <c r="A51" s="41"/>
      <c r="B51" s="45" t="s">
        <v>753</v>
      </c>
      <c r="C51" s="115" t="s">
        <v>754</v>
      </c>
      <c r="D51" s="14" t="str">
        <f t="shared" si="1"/>
        <v>ferazzoli, alessa </v>
      </c>
      <c r="E51" s="62">
        <v>45196.0</v>
      </c>
      <c r="F51" s="42"/>
      <c r="G51" s="44">
        <f t="shared" si="9"/>
        <v>2.339726027</v>
      </c>
      <c r="H51" s="45" t="s">
        <v>591</v>
      </c>
      <c r="I51" s="45" t="s">
        <v>736</v>
      </c>
      <c r="J51" s="45"/>
      <c r="K51" s="45">
        <v>3.0</v>
      </c>
      <c r="L51" s="46">
        <v>45901.0</v>
      </c>
      <c r="M51" s="41"/>
      <c r="N51" s="45">
        <v>9.0</v>
      </c>
      <c r="O51" s="45">
        <v>12.0</v>
      </c>
      <c r="P51" s="45" t="s">
        <v>515</v>
      </c>
      <c r="Q51" s="42"/>
      <c r="R51" s="45" t="s">
        <v>517</v>
      </c>
      <c r="S51" s="42"/>
      <c r="T51" s="45" t="s">
        <v>519</v>
      </c>
      <c r="U51" s="14" t="str">
        <f t="shared" si="3"/>
        <v>MWF</v>
      </c>
      <c r="V51" s="74" t="s">
        <v>755</v>
      </c>
      <c r="W51" s="73"/>
      <c r="X51" s="73"/>
      <c r="Y51" s="73"/>
      <c r="Z51" s="74" t="s">
        <v>756</v>
      </c>
      <c r="AA51" s="73"/>
      <c r="AB51" s="75" t="s">
        <v>757</v>
      </c>
      <c r="AC51" s="113"/>
      <c r="AD51" s="114"/>
      <c r="AE51" s="73"/>
      <c r="AF51" s="73"/>
      <c r="AG51" s="73"/>
      <c r="AH51" s="73"/>
      <c r="AI51" s="73"/>
      <c r="AJ51" s="73"/>
      <c r="AK51" s="14"/>
      <c r="AL51" s="73"/>
      <c r="AM51" s="73"/>
      <c r="AN51" s="73"/>
      <c r="AO51" s="73"/>
      <c r="AP51" s="17">
        <f t="shared" si="5"/>
        <v>12</v>
      </c>
      <c r="AQ51" s="17">
        <f t="shared" si="6"/>
        <v>1899</v>
      </c>
      <c r="AR51" s="21"/>
      <c r="AS51" s="21"/>
      <c r="AT51" s="21"/>
      <c r="AU51" s="21"/>
      <c r="AV51" s="21"/>
      <c r="AW51" s="21"/>
      <c r="AX51" s="21"/>
      <c r="AY51" s="21"/>
      <c r="AZ51" s="11"/>
      <c r="BA51" s="11"/>
      <c r="BB51" s="11"/>
      <c r="BC51" s="11"/>
      <c r="BD51" s="11"/>
      <c r="BE51" s="11"/>
      <c r="BF51" s="11"/>
      <c r="BG51" s="11"/>
    </row>
    <row r="52">
      <c r="A52" s="41"/>
      <c r="B52" s="45" t="s">
        <v>758</v>
      </c>
      <c r="C52" s="115" t="s">
        <v>759</v>
      </c>
      <c r="D52" s="14" t="str">
        <f t="shared" si="1"/>
        <v>campbell , george </v>
      </c>
      <c r="E52" s="62">
        <v>44998.0</v>
      </c>
      <c r="F52" s="42"/>
      <c r="G52" s="44">
        <f t="shared" si="9"/>
        <v>2.882191781</v>
      </c>
      <c r="H52" s="45" t="s">
        <v>550</v>
      </c>
      <c r="I52" s="45" t="s">
        <v>557</v>
      </c>
      <c r="J52" s="42"/>
      <c r="K52" s="45">
        <v>5.0</v>
      </c>
      <c r="L52" s="46">
        <v>45901.0</v>
      </c>
      <c r="M52" s="41"/>
      <c r="N52" s="45">
        <v>9.0</v>
      </c>
      <c r="O52" s="66">
        <v>0.14583333333333334</v>
      </c>
      <c r="P52" s="45" t="s">
        <v>515</v>
      </c>
      <c r="Q52" s="45" t="s">
        <v>516</v>
      </c>
      <c r="R52" s="45" t="s">
        <v>517</v>
      </c>
      <c r="S52" s="45" t="s">
        <v>518</v>
      </c>
      <c r="T52" s="45" t="s">
        <v>519</v>
      </c>
      <c r="U52" s="14" t="str">
        <f t="shared" si="3"/>
        <v>MTWTHF</v>
      </c>
      <c r="V52" s="73"/>
      <c r="W52" s="73"/>
      <c r="X52" s="73"/>
      <c r="Y52" s="73"/>
      <c r="Z52" s="73"/>
      <c r="AA52" s="73"/>
      <c r="AB52" s="95"/>
      <c r="AC52" s="11"/>
      <c r="AD52" s="73"/>
      <c r="AE52" s="73"/>
      <c r="AF52" s="73"/>
      <c r="AG52" s="73"/>
      <c r="AH52" s="73"/>
      <c r="AI52" s="73"/>
      <c r="AJ52" s="73"/>
      <c r="AK52" s="14"/>
      <c r="AL52" s="73"/>
      <c r="AM52" s="73"/>
      <c r="AN52" s="73"/>
      <c r="AO52" s="73"/>
      <c r="AP52" s="17">
        <f t="shared" si="5"/>
        <v>12</v>
      </c>
      <c r="AQ52" s="17">
        <f t="shared" si="6"/>
        <v>1899</v>
      </c>
      <c r="AR52" s="21"/>
      <c r="AS52" s="21"/>
      <c r="AT52" s="21"/>
      <c r="AU52" s="21"/>
      <c r="AV52" s="21"/>
      <c r="AW52" s="21"/>
      <c r="AX52" s="21"/>
      <c r="AY52" s="21"/>
      <c r="AZ52" s="11"/>
      <c r="BA52" s="11"/>
      <c r="BB52" s="11"/>
      <c r="BC52" s="11"/>
      <c r="BD52" s="11"/>
      <c r="BE52" s="11"/>
      <c r="BF52" s="11"/>
      <c r="BG52" s="11"/>
    </row>
    <row r="53">
      <c r="A53" s="41"/>
      <c r="B53" s="45" t="s">
        <v>760</v>
      </c>
      <c r="C53" s="115" t="s">
        <v>761</v>
      </c>
      <c r="D53" s="14" t="str">
        <f t="shared" si="1"/>
        <v>Brady, Aiden </v>
      </c>
      <c r="E53" s="62">
        <v>44934.0</v>
      </c>
      <c r="F53" s="42"/>
      <c r="G53" s="44">
        <f t="shared" si="9"/>
        <v>3.057534247</v>
      </c>
      <c r="H53" s="45" t="s">
        <v>550</v>
      </c>
      <c r="I53" s="45" t="s">
        <v>545</v>
      </c>
      <c r="J53" s="45"/>
      <c r="K53" s="45">
        <v>4.0</v>
      </c>
      <c r="L53" s="62">
        <v>45897.0</v>
      </c>
      <c r="M53" s="41"/>
      <c r="N53" s="45">
        <v>8.0</v>
      </c>
      <c r="O53" s="66">
        <v>0.14583333333333334</v>
      </c>
      <c r="P53" s="42"/>
      <c r="Q53" s="45" t="s">
        <v>516</v>
      </c>
      <c r="R53" s="45" t="s">
        <v>517</v>
      </c>
      <c r="S53" s="45" t="s">
        <v>518</v>
      </c>
      <c r="T53" s="45" t="s">
        <v>762</v>
      </c>
      <c r="U53" s="14" t="str">
        <f t="shared" si="3"/>
        <v>TWTHF (7-3)</v>
      </c>
      <c r="V53" s="73"/>
      <c r="W53" s="73"/>
      <c r="X53" s="73"/>
      <c r="Y53" s="73"/>
      <c r="Z53" s="73"/>
      <c r="AA53" s="73"/>
      <c r="AB53" s="95"/>
      <c r="AC53" s="11"/>
      <c r="AD53" s="73"/>
      <c r="AE53" s="73"/>
      <c r="AF53" s="73"/>
      <c r="AG53" s="73"/>
      <c r="AH53" s="73"/>
      <c r="AI53" s="73"/>
      <c r="AJ53" s="73"/>
      <c r="AK53" s="14"/>
      <c r="AL53" s="73"/>
      <c r="AM53" s="73"/>
      <c r="AN53" s="73"/>
      <c r="AO53" s="73"/>
      <c r="AP53" s="17">
        <f t="shared" si="5"/>
        <v>12</v>
      </c>
      <c r="AQ53" s="17">
        <f t="shared" si="6"/>
        <v>1899</v>
      </c>
      <c r="AR53" s="21"/>
      <c r="AS53" s="21"/>
      <c r="AT53" s="21"/>
      <c r="AU53" s="21"/>
      <c r="AV53" s="21"/>
      <c r="AW53" s="21"/>
      <c r="AX53" s="21"/>
      <c r="AY53" s="21"/>
      <c r="AZ53" s="11"/>
      <c r="BA53" s="11"/>
      <c r="BB53" s="11"/>
      <c r="BC53" s="11"/>
      <c r="BD53" s="11"/>
      <c r="BE53" s="11"/>
      <c r="BF53" s="11"/>
      <c r="BG53" s="11"/>
    </row>
    <row r="54">
      <c r="A54" s="13"/>
      <c r="B54" s="74" t="s">
        <v>763</v>
      </c>
      <c r="C54" s="83" t="s">
        <v>764</v>
      </c>
      <c r="D54" s="14" t="str">
        <f t="shared" si="1"/>
        <v>Benkyran, Chadi</v>
      </c>
      <c r="E54" s="13"/>
      <c r="F54" s="73"/>
      <c r="G54" s="10">
        <f t="shared" si="9"/>
        <v>126.1643836</v>
      </c>
      <c r="H54" s="74" t="s">
        <v>765</v>
      </c>
      <c r="I54" s="73"/>
      <c r="J54" s="73"/>
      <c r="K54" s="74">
        <v>2.0</v>
      </c>
      <c r="L54" s="13"/>
      <c r="M54" s="13"/>
      <c r="N54" s="74">
        <v>9.0</v>
      </c>
      <c r="O54" s="85">
        <v>0.14583333333333334</v>
      </c>
      <c r="P54" s="73"/>
      <c r="Q54" s="74" t="s">
        <v>516</v>
      </c>
      <c r="R54" s="73"/>
      <c r="S54" s="74" t="s">
        <v>518</v>
      </c>
      <c r="T54" s="73"/>
      <c r="U54" s="14" t="str">
        <f t="shared" si="3"/>
        <v>TTH</v>
      </c>
      <c r="V54" s="73"/>
      <c r="W54" s="73"/>
      <c r="X54" s="73"/>
      <c r="Y54" s="73"/>
      <c r="Z54" s="74" t="s">
        <v>766</v>
      </c>
      <c r="AA54" s="73"/>
      <c r="AB54" s="95"/>
      <c r="AC54" s="11"/>
      <c r="AD54" s="73"/>
      <c r="AE54" s="73"/>
      <c r="AF54" s="73"/>
      <c r="AG54" s="73"/>
      <c r="AH54" s="73"/>
      <c r="AI54" s="73"/>
      <c r="AJ54" s="73"/>
      <c r="AK54" s="14"/>
      <c r="AL54" s="73"/>
      <c r="AM54" s="73"/>
      <c r="AN54" s="73"/>
      <c r="AO54" s="73"/>
      <c r="AP54" s="17">
        <f t="shared" si="5"/>
        <v>12</v>
      </c>
      <c r="AQ54" s="17">
        <f t="shared" si="6"/>
        <v>1899</v>
      </c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</row>
    <row r="55">
      <c r="A55" s="13"/>
      <c r="B55" s="74"/>
      <c r="C55" s="124"/>
      <c r="D55" s="14"/>
      <c r="E55" s="13"/>
      <c r="F55" s="73"/>
      <c r="G55" s="10"/>
      <c r="H55" s="74"/>
      <c r="I55" s="73"/>
      <c r="J55" s="73"/>
      <c r="K55" s="74"/>
      <c r="L55" s="13"/>
      <c r="M55" s="13"/>
      <c r="N55" s="74"/>
      <c r="O55" s="74"/>
      <c r="P55" s="74"/>
      <c r="Q55" s="74"/>
      <c r="R55" s="74"/>
      <c r="S55" s="74"/>
      <c r="T55" s="74"/>
      <c r="U55" s="14"/>
      <c r="V55" s="73"/>
      <c r="W55" s="73"/>
      <c r="X55" s="73"/>
      <c r="Y55" s="73"/>
      <c r="Z55" s="73"/>
      <c r="AA55" s="73"/>
      <c r="AB55" s="95"/>
      <c r="AC55" s="11"/>
      <c r="AD55" s="73"/>
      <c r="AE55" s="73"/>
      <c r="AF55" s="73"/>
      <c r="AG55" s="73"/>
      <c r="AH55" s="73"/>
      <c r="AI55" s="73"/>
      <c r="AJ55" s="73"/>
      <c r="AK55" s="14"/>
      <c r="AL55" s="73"/>
      <c r="AM55" s="73"/>
      <c r="AN55" s="73"/>
      <c r="AO55" s="11"/>
      <c r="AP55" s="17">
        <f t="shared" si="5"/>
        <v>12</v>
      </c>
      <c r="AQ55" s="17">
        <f t="shared" si="6"/>
        <v>1899</v>
      </c>
      <c r="AR55" s="107"/>
      <c r="AS55" s="107"/>
      <c r="AT55" s="107"/>
      <c r="AU55" s="107"/>
      <c r="AV55" s="107"/>
      <c r="AW55" s="107"/>
      <c r="AX55" s="107"/>
      <c r="AY55" s="107"/>
      <c r="AZ55" s="107"/>
      <c r="BA55" s="107"/>
      <c r="BB55" s="107"/>
      <c r="BC55" s="107"/>
      <c r="BD55" s="107"/>
      <c r="BE55" s="107"/>
      <c r="BF55" s="107"/>
      <c r="BG55" s="107"/>
    </row>
    <row r="56">
      <c r="A56" s="41"/>
      <c r="B56" s="45" t="s">
        <v>767</v>
      </c>
      <c r="C56" s="125" t="s">
        <v>768</v>
      </c>
      <c r="D56" s="14" t="str">
        <f t="shared" ref="D56:D334" si="10">CONCAT(Concat(C56, ", "), B56)</f>
        <v>behan, eily </v>
      </c>
      <c r="E56" s="62">
        <v>45115.0</v>
      </c>
      <c r="F56" s="41"/>
      <c r="G56" s="44">
        <f t="shared" ref="G56:G342" si="11">(TODAY()-E56)/365</f>
        <v>2.561643836</v>
      </c>
      <c r="H56" s="45" t="s">
        <v>550</v>
      </c>
      <c r="I56" s="45" t="s">
        <v>557</v>
      </c>
      <c r="J56" s="42"/>
      <c r="K56" s="45">
        <v>2.0</v>
      </c>
      <c r="L56" s="46">
        <v>45901.0</v>
      </c>
      <c r="M56" s="41"/>
      <c r="N56" s="45">
        <v>9.0</v>
      </c>
      <c r="O56" s="66">
        <v>0.14583333333333334</v>
      </c>
      <c r="P56" s="45"/>
      <c r="Q56" s="45" t="s">
        <v>516</v>
      </c>
      <c r="R56" s="45" t="s">
        <v>517</v>
      </c>
      <c r="S56" s="42"/>
      <c r="T56" s="42"/>
      <c r="U56" s="14" t="str">
        <f t="shared" ref="U56:U342" si="12">P56&amp;Q56&amp;R56&amp;S56&amp;T56</f>
        <v>TW</v>
      </c>
      <c r="V56" s="73"/>
      <c r="W56" s="73"/>
      <c r="X56" s="73"/>
      <c r="Y56" s="73"/>
      <c r="Z56" s="74" t="s">
        <v>601</v>
      </c>
      <c r="AA56" s="74" t="s">
        <v>769</v>
      </c>
      <c r="AB56" s="95"/>
      <c r="AC56" s="11"/>
      <c r="AD56" s="73"/>
      <c r="AE56" s="73"/>
      <c r="AF56" s="73"/>
      <c r="AG56" s="73"/>
      <c r="AH56" s="73"/>
      <c r="AI56" s="73"/>
      <c r="AJ56" s="73"/>
      <c r="AK56" s="14"/>
      <c r="AL56" s="73"/>
      <c r="AM56" s="73"/>
      <c r="AN56" s="73"/>
      <c r="AO56" s="73"/>
      <c r="AP56" s="17">
        <f t="shared" si="5"/>
        <v>12</v>
      </c>
      <c r="AQ56" s="17">
        <f t="shared" si="6"/>
        <v>1899</v>
      </c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</row>
    <row r="57">
      <c r="A57" s="13"/>
      <c r="B57" s="74" t="s">
        <v>770</v>
      </c>
      <c r="C57" s="73"/>
      <c r="D57" s="14" t="str">
        <f t="shared" si="10"/>
        <v>, isadora</v>
      </c>
      <c r="E57" s="13"/>
      <c r="F57" s="73"/>
      <c r="G57" s="10">
        <f t="shared" si="11"/>
        <v>126.1643836</v>
      </c>
      <c r="H57" s="74" t="s">
        <v>671</v>
      </c>
      <c r="I57" s="73"/>
      <c r="J57" s="73"/>
      <c r="K57" s="73"/>
      <c r="L57" s="13"/>
      <c r="M57" s="13"/>
      <c r="N57" s="73"/>
      <c r="O57" s="73"/>
      <c r="P57" s="73"/>
      <c r="Q57" s="42"/>
      <c r="R57" s="73"/>
      <c r="S57" s="42"/>
      <c r="T57" s="73"/>
      <c r="U57" s="14" t="str">
        <f t="shared" si="12"/>
        <v/>
      </c>
      <c r="V57" s="73"/>
      <c r="W57" s="73"/>
      <c r="X57" s="73"/>
      <c r="Y57" s="73"/>
      <c r="Z57" s="73"/>
      <c r="AA57" s="74"/>
      <c r="AB57" s="74" t="s">
        <v>771</v>
      </c>
      <c r="AC57" s="11"/>
      <c r="AD57" s="73"/>
      <c r="AE57" s="15"/>
      <c r="AF57" s="15"/>
      <c r="AG57" s="73"/>
      <c r="AH57" s="73"/>
      <c r="AI57" s="73"/>
      <c r="AJ57" s="73"/>
      <c r="AK57" s="14"/>
      <c r="AL57" s="73"/>
      <c r="AM57" s="73"/>
      <c r="AN57" s="88"/>
      <c r="AO57" s="73"/>
      <c r="AP57" s="17">
        <f t="shared" si="5"/>
        <v>12</v>
      </c>
      <c r="AQ57" s="17">
        <f t="shared" si="6"/>
        <v>1899</v>
      </c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</row>
    <row r="58">
      <c r="A58" s="11"/>
      <c r="B58" s="11"/>
      <c r="C58" s="11"/>
      <c r="D58" s="14" t="str">
        <f t="shared" si="10"/>
        <v>, </v>
      </c>
      <c r="E58" s="9"/>
      <c r="F58" s="9"/>
      <c r="G58" s="10">
        <f t="shared" si="11"/>
        <v>126.1643836</v>
      </c>
      <c r="H58" s="11"/>
      <c r="I58" s="11"/>
      <c r="J58" s="11"/>
      <c r="K58" s="11"/>
      <c r="L58" s="13"/>
      <c r="M58" s="13"/>
      <c r="N58" s="11"/>
      <c r="O58" s="11"/>
      <c r="P58" s="11"/>
      <c r="Q58" s="11"/>
      <c r="R58" s="11"/>
      <c r="S58" s="11"/>
      <c r="T58" s="11"/>
      <c r="U58" s="14" t="str">
        <f t="shared" si="12"/>
        <v/>
      </c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4"/>
      <c r="AL58" s="16"/>
      <c r="AM58" s="11"/>
      <c r="AN58" s="11"/>
      <c r="AO58" s="11"/>
      <c r="AP58" s="17" t="str">
        <f>MONTH(#REF!)</f>
        <v>#REF!</v>
      </c>
      <c r="AQ58" s="17" t="str">
        <f>YEAR(#REF!)</f>
        <v>#REF!</v>
      </c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</row>
    <row r="59">
      <c r="A59" s="13"/>
      <c r="B59" s="73"/>
      <c r="C59" s="73"/>
      <c r="D59" s="14" t="str">
        <f t="shared" si="10"/>
        <v>, </v>
      </c>
      <c r="E59" s="13"/>
      <c r="F59" s="73"/>
      <c r="G59" s="10">
        <f t="shared" si="11"/>
        <v>126.1643836</v>
      </c>
      <c r="H59" s="73"/>
      <c r="I59" s="73"/>
      <c r="J59" s="73"/>
      <c r="K59" s="73"/>
      <c r="L59" s="13"/>
      <c r="M59" s="13"/>
      <c r="N59" s="73"/>
      <c r="O59" s="73"/>
      <c r="P59" s="73"/>
      <c r="Q59" s="73"/>
      <c r="R59" s="73"/>
      <c r="S59" s="73"/>
      <c r="T59" s="73"/>
      <c r="U59" s="14" t="str">
        <f t="shared" si="12"/>
        <v/>
      </c>
      <c r="V59" s="73"/>
      <c r="W59" s="73"/>
      <c r="X59" s="73"/>
      <c r="Y59" s="73"/>
      <c r="Z59" s="73"/>
      <c r="AA59" s="73"/>
      <c r="AB59" s="126"/>
      <c r="AC59" s="11"/>
      <c r="AD59" s="73"/>
      <c r="AE59" s="73"/>
      <c r="AF59" s="73"/>
      <c r="AG59" s="73"/>
      <c r="AH59" s="73"/>
      <c r="AI59" s="73"/>
      <c r="AJ59" s="73"/>
      <c r="AK59" s="14"/>
      <c r="AL59" s="73"/>
      <c r="AM59" s="73"/>
      <c r="AN59" s="88"/>
      <c r="AO59" s="73"/>
      <c r="AP59" s="17">
        <f t="shared" ref="AP59:AP342" si="13">MONTH(A59)</f>
        <v>12</v>
      </c>
      <c r="AQ59" s="17">
        <f t="shared" ref="AQ59:AQ342" si="14">YEAR(A59)</f>
        <v>1899</v>
      </c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</row>
    <row r="60">
      <c r="A60" s="13"/>
      <c r="B60" s="73"/>
      <c r="C60" s="73"/>
      <c r="D60" s="14" t="str">
        <f t="shared" si="10"/>
        <v>, </v>
      </c>
      <c r="E60" s="13"/>
      <c r="F60" s="73"/>
      <c r="G60" s="10">
        <f t="shared" si="11"/>
        <v>126.1643836</v>
      </c>
      <c r="H60" s="73"/>
      <c r="I60" s="73"/>
      <c r="J60" s="73"/>
      <c r="K60" s="73"/>
      <c r="L60" s="13"/>
      <c r="M60" s="13"/>
      <c r="N60" s="73"/>
      <c r="O60" s="73"/>
      <c r="P60" s="73"/>
      <c r="Q60" s="73"/>
      <c r="R60" s="73"/>
      <c r="S60" s="73"/>
      <c r="T60" s="73"/>
      <c r="U60" s="14" t="str">
        <f t="shared" si="12"/>
        <v/>
      </c>
      <c r="V60" s="73"/>
      <c r="W60" s="73"/>
      <c r="X60" s="73"/>
      <c r="Y60" s="73"/>
      <c r="Z60" s="73"/>
      <c r="AA60" s="73"/>
      <c r="AB60" s="96"/>
      <c r="AC60" s="11"/>
      <c r="AD60" s="73"/>
      <c r="AE60" s="73"/>
      <c r="AF60" s="73"/>
      <c r="AG60" s="73"/>
      <c r="AH60" s="73"/>
      <c r="AI60" s="73"/>
      <c r="AJ60" s="73"/>
      <c r="AK60" s="14"/>
      <c r="AL60" s="73"/>
      <c r="AM60" s="73"/>
      <c r="AN60" s="73"/>
      <c r="AO60" s="73"/>
      <c r="AP60" s="17">
        <f t="shared" si="13"/>
        <v>12</v>
      </c>
      <c r="AQ60" s="17">
        <f t="shared" si="14"/>
        <v>1899</v>
      </c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</row>
    <row r="61">
      <c r="A61" s="13"/>
      <c r="B61" s="73"/>
      <c r="C61" s="73"/>
      <c r="D61" s="14" t="str">
        <f t="shared" si="10"/>
        <v>, </v>
      </c>
      <c r="E61" s="13"/>
      <c r="F61" s="73"/>
      <c r="G61" s="10">
        <f t="shared" si="11"/>
        <v>126.1643836</v>
      </c>
      <c r="H61" s="73"/>
      <c r="I61" s="73"/>
      <c r="J61" s="73"/>
      <c r="K61" s="73"/>
      <c r="L61" s="13"/>
      <c r="M61" s="13"/>
      <c r="N61" s="73"/>
      <c r="O61" s="73"/>
      <c r="P61" s="73"/>
      <c r="Q61" s="73"/>
      <c r="R61" s="73"/>
      <c r="S61" s="73"/>
      <c r="T61" s="73"/>
      <c r="U61" s="14" t="str">
        <f t="shared" si="12"/>
        <v/>
      </c>
      <c r="V61" s="73"/>
      <c r="W61" s="73"/>
      <c r="X61" s="73"/>
      <c r="Y61" s="73"/>
      <c r="Z61" s="73"/>
      <c r="AA61" s="73"/>
      <c r="AB61" s="96"/>
      <c r="AC61" s="11"/>
      <c r="AD61" s="73"/>
      <c r="AE61" s="73"/>
      <c r="AF61" s="73"/>
      <c r="AG61" s="73"/>
      <c r="AH61" s="73"/>
      <c r="AI61" s="73"/>
      <c r="AJ61" s="73"/>
      <c r="AK61" s="14"/>
      <c r="AL61" s="73"/>
      <c r="AM61" s="73"/>
      <c r="AN61" s="73"/>
      <c r="AO61" s="73"/>
      <c r="AP61" s="17">
        <f t="shared" si="13"/>
        <v>12</v>
      </c>
      <c r="AQ61" s="17">
        <f t="shared" si="14"/>
        <v>1899</v>
      </c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</row>
    <row r="62">
      <c r="A62" s="13"/>
      <c r="B62" s="73"/>
      <c r="C62" s="73"/>
      <c r="D62" s="14" t="str">
        <f t="shared" si="10"/>
        <v>, </v>
      </c>
      <c r="E62" s="13"/>
      <c r="F62" s="73"/>
      <c r="G62" s="10">
        <f t="shared" si="11"/>
        <v>126.1643836</v>
      </c>
      <c r="H62" s="73"/>
      <c r="I62" s="73"/>
      <c r="J62" s="73"/>
      <c r="K62" s="73"/>
      <c r="L62" s="13"/>
      <c r="M62" s="13"/>
      <c r="N62" s="73"/>
      <c r="O62" s="73"/>
      <c r="P62" s="73"/>
      <c r="Q62" s="73"/>
      <c r="R62" s="73"/>
      <c r="S62" s="73"/>
      <c r="T62" s="73"/>
      <c r="U62" s="14" t="str">
        <f t="shared" si="12"/>
        <v/>
      </c>
      <c r="V62" s="73"/>
      <c r="W62" s="73"/>
      <c r="X62" s="73"/>
      <c r="Y62" s="73"/>
      <c r="Z62" s="73"/>
      <c r="AA62" s="73"/>
      <c r="AB62" s="95"/>
      <c r="AC62" s="11"/>
      <c r="AD62" s="73"/>
      <c r="AE62" s="73"/>
      <c r="AF62" s="73"/>
      <c r="AG62" s="73"/>
      <c r="AH62" s="73"/>
      <c r="AI62" s="73"/>
      <c r="AJ62" s="73"/>
      <c r="AK62" s="14"/>
      <c r="AL62" s="73"/>
      <c r="AM62" s="73"/>
      <c r="AN62" s="73"/>
      <c r="AO62" s="73"/>
      <c r="AP62" s="17">
        <f t="shared" si="13"/>
        <v>12</v>
      </c>
      <c r="AQ62" s="17">
        <f t="shared" si="14"/>
        <v>1899</v>
      </c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</row>
    <row r="63">
      <c r="A63" s="127"/>
      <c r="B63" s="11"/>
      <c r="C63" s="11"/>
      <c r="D63" s="14" t="str">
        <f t="shared" si="10"/>
        <v>, </v>
      </c>
      <c r="E63" s="128"/>
      <c r="F63" s="9"/>
      <c r="G63" s="10">
        <f t="shared" si="11"/>
        <v>126.1643836</v>
      </c>
      <c r="H63" s="11"/>
      <c r="I63" s="11"/>
      <c r="J63" s="11"/>
      <c r="K63" s="11"/>
      <c r="L63" s="13"/>
      <c r="M63" s="13"/>
      <c r="N63" s="11"/>
      <c r="O63" s="11"/>
      <c r="P63" s="11"/>
      <c r="Q63" s="11"/>
      <c r="R63" s="11"/>
      <c r="S63" s="11"/>
      <c r="T63" s="11"/>
      <c r="U63" s="14" t="str">
        <f t="shared" si="12"/>
        <v/>
      </c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4"/>
      <c r="AL63" s="16"/>
      <c r="AM63" s="11"/>
      <c r="AN63" s="11"/>
      <c r="AO63" s="11"/>
      <c r="AP63" s="17">
        <f t="shared" si="13"/>
        <v>12</v>
      </c>
      <c r="AQ63" s="17">
        <f t="shared" si="14"/>
        <v>1899</v>
      </c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</row>
    <row r="64">
      <c r="A64" s="127"/>
      <c r="B64" s="11"/>
      <c r="C64" s="11"/>
      <c r="D64" s="14" t="str">
        <f t="shared" si="10"/>
        <v>, </v>
      </c>
      <c r="E64" s="128"/>
      <c r="F64" s="9"/>
      <c r="G64" s="10">
        <f t="shared" si="11"/>
        <v>126.1643836</v>
      </c>
      <c r="H64" s="11"/>
      <c r="I64" s="11"/>
      <c r="J64" s="11"/>
      <c r="K64" s="11"/>
      <c r="L64" s="13"/>
      <c r="M64" s="13"/>
      <c r="N64" s="11"/>
      <c r="O64" s="11"/>
      <c r="P64" s="11"/>
      <c r="Q64" s="11"/>
      <c r="R64" s="11"/>
      <c r="S64" s="11"/>
      <c r="T64" s="11"/>
      <c r="U64" s="14" t="str">
        <f t="shared" si="12"/>
        <v/>
      </c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4"/>
      <c r="AL64" s="16"/>
      <c r="AM64" s="11"/>
      <c r="AN64" s="11"/>
      <c r="AO64" s="11"/>
      <c r="AP64" s="17">
        <f t="shared" si="13"/>
        <v>12</v>
      </c>
      <c r="AQ64" s="17">
        <f t="shared" si="14"/>
        <v>1899</v>
      </c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</row>
    <row r="65">
      <c r="A65" s="127"/>
      <c r="B65" s="11"/>
      <c r="C65" s="11"/>
      <c r="D65" s="14" t="str">
        <f t="shared" si="10"/>
        <v>, </v>
      </c>
      <c r="E65" s="128"/>
      <c r="F65" s="9"/>
      <c r="G65" s="10">
        <f t="shared" si="11"/>
        <v>126.1643836</v>
      </c>
      <c r="H65" s="11"/>
      <c r="I65" s="11"/>
      <c r="J65" s="11"/>
      <c r="K65" s="11"/>
      <c r="L65" s="13"/>
      <c r="M65" s="13"/>
      <c r="N65" s="11"/>
      <c r="O65" s="11"/>
      <c r="P65" s="11"/>
      <c r="Q65" s="11"/>
      <c r="R65" s="11"/>
      <c r="S65" s="11"/>
      <c r="T65" s="11"/>
      <c r="U65" s="14" t="str">
        <f t="shared" si="12"/>
        <v/>
      </c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4"/>
      <c r="AL65" s="16"/>
      <c r="AM65" s="11"/>
      <c r="AN65" s="11"/>
      <c r="AO65" s="11"/>
      <c r="AP65" s="17">
        <f t="shared" si="13"/>
        <v>12</v>
      </c>
      <c r="AQ65" s="17">
        <f t="shared" si="14"/>
        <v>1899</v>
      </c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</row>
    <row r="66">
      <c r="A66" s="127"/>
      <c r="B66" s="11"/>
      <c r="C66" s="11"/>
      <c r="D66" s="14" t="str">
        <f t="shared" si="10"/>
        <v>, </v>
      </c>
      <c r="E66" s="128"/>
      <c r="F66" s="9"/>
      <c r="G66" s="10">
        <f t="shared" si="11"/>
        <v>126.1643836</v>
      </c>
      <c r="H66" s="11"/>
      <c r="I66" s="11"/>
      <c r="J66" s="11"/>
      <c r="K66" s="11"/>
      <c r="L66" s="13"/>
      <c r="M66" s="13"/>
      <c r="N66" s="11"/>
      <c r="O66" s="11"/>
      <c r="P66" s="11"/>
      <c r="Q66" s="11"/>
      <c r="R66" s="11"/>
      <c r="S66" s="11"/>
      <c r="T66" s="11"/>
      <c r="U66" s="14" t="str">
        <f t="shared" si="12"/>
        <v/>
      </c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4"/>
      <c r="AL66" s="16"/>
      <c r="AM66" s="11"/>
      <c r="AN66" s="11"/>
      <c r="AO66" s="11"/>
      <c r="AP66" s="17">
        <f t="shared" si="13"/>
        <v>12</v>
      </c>
      <c r="AQ66" s="17">
        <f t="shared" si="14"/>
        <v>1899</v>
      </c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</row>
    <row r="67">
      <c r="A67" s="127"/>
      <c r="B67" s="11"/>
      <c r="C67" s="11"/>
      <c r="D67" s="14" t="str">
        <f t="shared" si="10"/>
        <v>, </v>
      </c>
      <c r="E67" s="128"/>
      <c r="F67" s="9"/>
      <c r="G67" s="10">
        <f t="shared" si="11"/>
        <v>126.1643836</v>
      </c>
      <c r="H67" s="11"/>
      <c r="I67" s="11"/>
      <c r="J67" s="11"/>
      <c r="K67" s="11"/>
      <c r="L67" s="13"/>
      <c r="M67" s="13"/>
      <c r="N67" s="11"/>
      <c r="O67" s="11"/>
      <c r="P67" s="11"/>
      <c r="Q67" s="11"/>
      <c r="R67" s="11"/>
      <c r="S67" s="11"/>
      <c r="T67" s="11"/>
      <c r="U67" s="14" t="str">
        <f t="shared" si="12"/>
        <v/>
      </c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4"/>
      <c r="AL67" s="16"/>
      <c r="AM67" s="11"/>
      <c r="AN67" s="11"/>
      <c r="AO67" s="11"/>
      <c r="AP67" s="17">
        <f t="shared" si="13"/>
        <v>12</v>
      </c>
      <c r="AQ67" s="17">
        <f t="shared" si="14"/>
        <v>1899</v>
      </c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</row>
    <row r="68">
      <c r="A68" s="127"/>
      <c r="B68" s="11"/>
      <c r="C68" s="11"/>
      <c r="D68" s="14" t="str">
        <f t="shared" si="10"/>
        <v>, </v>
      </c>
      <c r="E68" s="128"/>
      <c r="F68" s="9"/>
      <c r="G68" s="10">
        <f t="shared" si="11"/>
        <v>126.1643836</v>
      </c>
      <c r="H68" s="11"/>
      <c r="I68" s="11"/>
      <c r="J68" s="11"/>
      <c r="K68" s="11"/>
      <c r="L68" s="13"/>
      <c r="M68" s="13"/>
      <c r="N68" s="11"/>
      <c r="O68" s="11"/>
      <c r="P68" s="11"/>
      <c r="Q68" s="11"/>
      <c r="R68" s="11"/>
      <c r="S68" s="11"/>
      <c r="T68" s="11"/>
      <c r="U68" s="14" t="str">
        <f t="shared" si="12"/>
        <v/>
      </c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4"/>
      <c r="AL68" s="16"/>
      <c r="AM68" s="11"/>
      <c r="AN68" s="11"/>
      <c r="AO68" s="11"/>
      <c r="AP68" s="17">
        <f t="shared" si="13"/>
        <v>12</v>
      </c>
      <c r="AQ68" s="17">
        <f t="shared" si="14"/>
        <v>1899</v>
      </c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</row>
    <row r="69">
      <c r="A69" s="127"/>
      <c r="B69" s="11"/>
      <c r="C69" s="11"/>
      <c r="D69" s="14" t="str">
        <f t="shared" si="10"/>
        <v>, </v>
      </c>
      <c r="E69" s="128"/>
      <c r="F69" s="9"/>
      <c r="G69" s="10">
        <f t="shared" si="11"/>
        <v>126.1643836</v>
      </c>
      <c r="H69" s="11"/>
      <c r="I69" s="11"/>
      <c r="J69" s="11"/>
      <c r="K69" s="11"/>
      <c r="L69" s="13"/>
      <c r="M69" s="13"/>
      <c r="N69" s="11"/>
      <c r="O69" s="11"/>
      <c r="P69" s="11"/>
      <c r="Q69" s="11"/>
      <c r="R69" s="11"/>
      <c r="S69" s="11"/>
      <c r="T69" s="11"/>
      <c r="U69" s="14" t="str">
        <f t="shared" si="12"/>
        <v/>
      </c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4"/>
      <c r="AL69" s="16"/>
      <c r="AM69" s="11"/>
      <c r="AN69" s="11"/>
      <c r="AO69" s="11"/>
      <c r="AP69" s="17">
        <f t="shared" si="13"/>
        <v>12</v>
      </c>
      <c r="AQ69" s="17">
        <f t="shared" si="14"/>
        <v>1899</v>
      </c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</row>
    <row r="70">
      <c r="A70" s="127"/>
      <c r="B70" s="11"/>
      <c r="C70" s="11"/>
      <c r="D70" s="14" t="str">
        <f t="shared" si="10"/>
        <v>, </v>
      </c>
      <c r="E70" s="128"/>
      <c r="F70" s="9"/>
      <c r="G70" s="10">
        <f t="shared" si="11"/>
        <v>126.1643836</v>
      </c>
      <c r="H70" s="11"/>
      <c r="I70" s="11"/>
      <c r="J70" s="11"/>
      <c r="K70" s="11"/>
      <c r="L70" s="13"/>
      <c r="M70" s="13"/>
      <c r="N70" s="11"/>
      <c r="O70" s="11"/>
      <c r="P70" s="11"/>
      <c r="Q70" s="11"/>
      <c r="R70" s="11"/>
      <c r="S70" s="11"/>
      <c r="T70" s="11"/>
      <c r="U70" s="14" t="str">
        <f t="shared" si="12"/>
        <v/>
      </c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4"/>
      <c r="AL70" s="16"/>
      <c r="AM70" s="11"/>
      <c r="AN70" s="11"/>
      <c r="AO70" s="11"/>
      <c r="AP70" s="17">
        <f t="shared" si="13"/>
        <v>12</v>
      </c>
      <c r="AQ70" s="17">
        <f t="shared" si="14"/>
        <v>1899</v>
      </c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</row>
    <row r="71">
      <c r="A71" s="127"/>
      <c r="B71" s="11"/>
      <c r="C71" s="11"/>
      <c r="D71" s="14" t="str">
        <f t="shared" si="10"/>
        <v>, </v>
      </c>
      <c r="E71" s="128"/>
      <c r="F71" s="9"/>
      <c r="G71" s="10">
        <f t="shared" si="11"/>
        <v>126.1643836</v>
      </c>
      <c r="H71" s="11"/>
      <c r="I71" s="11"/>
      <c r="J71" s="11"/>
      <c r="K71" s="11"/>
      <c r="L71" s="13"/>
      <c r="M71" s="13"/>
      <c r="N71" s="11"/>
      <c r="O71" s="11"/>
      <c r="P71" s="11"/>
      <c r="Q71" s="11"/>
      <c r="R71" s="11"/>
      <c r="S71" s="11"/>
      <c r="T71" s="11"/>
      <c r="U71" s="14" t="str">
        <f t="shared" si="12"/>
        <v/>
      </c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4"/>
      <c r="AL71" s="16"/>
      <c r="AM71" s="11"/>
      <c r="AN71" s="11"/>
      <c r="AO71" s="11"/>
      <c r="AP71" s="17">
        <f t="shared" si="13"/>
        <v>12</v>
      </c>
      <c r="AQ71" s="17">
        <f t="shared" si="14"/>
        <v>1899</v>
      </c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</row>
    <row r="72">
      <c r="A72" s="127"/>
      <c r="B72" s="11"/>
      <c r="C72" s="11"/>
      <c r="D72" s="14" t="str">
        <f t="shared" si="10"/>
        <v>, </v>
      </c>
      <c r="E72" s="128"/>
      <c r="F72" s="9"/>
      <c r="G72" s="10">
        <f t="shared" si="11"/>
        <v>126.1643836</v>
      </c>
      <c r="H72" s="11"/>
      <c r="I72" s="11"/>
      <c r="J72" s="11"/>
      <c r="K72" s="11"/>
      <c r="L72" s="13"/>
      <c r="M72" s="13"/>
      <c r="N72" s="11"/>
      <c r="O72" s="11"/>
      <c r="P72" s="11"/>
      <c r="Q72" s="11"/>
      <c r="R72" s="11"/>
      <c r="S72" s="11"/>
      <c r="T72" s="11"/>
      <c r="U72" s="14" t="str">
        <f t="shared" si="12"/>
        <v/>
      </c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4"/>
      <c r="AL72" s="16"/>
      <c r="AM72" s="11"/>
      <c r="AN72" s="11"/>
      <c r="AO72" s="11"/>
      <c r="AP72" s="17">
        <f t="shared" si="13"/>
        <v>12</v>
      </c>
      <c r="AQ72" s="17">
        <f t="shared" si="14"/>
        <v>1899</v>
      </c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>
      <c r="A73" s="127"/>
      <c r="B73" s="11"/>
      <c r="C73" s="11"/>
      <c r="D73" s="14" t="str">
        <f t="shared" si="10"/>
        <v>, </v>
      </c>
      <c r="E73" s="128"/>
      <c r="F73" s="9"/>
      <c r="G73" s="10">
        <f t="shared" si="11"/>
        <v>126.1643836</v>
      </c>
      <c r="H73" s="11"/>
      <c r="I73" s="11"/>
      <c r="J73" s="11"/>
      <c r="K73" s="11"/>
      <c r="L73" s="13"/>
      <c r="M73" s="13"/>
      <c r="N73" s="11"/>
      <c r="O73" s="11"/>
      <c r="P73" s="11"/>
      <c r="Q73" s="11"/>
      <c r="R73" s="11"/>
      <c r="S73" s="11"/>
      <c r="T73" s="11"/>
      <c r="U73" s="14" t="str">
        <f t="shared" si="12"/>
        <v/>
      </c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4"/>
      <c r="AL73" s="16"/>
      <c r="AM73" s="11"/>
      <c r="AN73" s="11"/>
      <c r="AO73" s="11"/>
      <c r="AP73" s="17">
        <f t="shared" si="13"/>
        <v>12</v>
      </c>
      <c r="AQ73" s="17">
        <f t="shared" si="14"/>
        <v>1899</v>
      </c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>
      <c r="A74" s="127"/>
      <c r="B74" s="11"/>
      <c r="C74" s="11"/>
      <c r="D74" s="14" t="str">
        <f t="shared" si="10"/>
        <v>, </v>
      </c>
      <c r="E74" s="128"/>
      <c r="F74" s="9"/>
      <c r="G74" s="10">
        <f t="shared" si="11"/>
        <v>126.1643836</v>
      </c>
      <c r="H74" s="11"/>
      <c r="I74" s="11"/>
      <c r="J74" s="11"/>
      <c r="K74" s="11"/>
      <c r="L74" s="13"/>
      <c r="M74" s="13"/>
      <c r="N74" s="11"/>
      <c r="O74" s="11"/>
      <c r="P74" s="11"/>
      <c r="Q74" s="11"/>
      <c r="R74" s="11"/>
      <c r="S74" s="11"/>
      <c r="T74" s="11"/>
      <c r="U74" s="14" t="str">
        <f t="shared" si="12"/>
        <v/>
      </c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4"/>
      <c r="AL74" s="16"/>
      <c r="AM74" s="11"/>
      <c r="AN74" s="11"/>
      <c r="AO74" s="11"/>
      <c r="AP74" s="17">
        <f t="shared" si="13"/>
        <v>12</v>
      </c>
      <c r="AQ74" s="17">
        <f t="shared" si="14"/>
        <v>1899</v>
      </c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>
      <c r="A75" s="127"/>
      <c r="B75" s="11"/>
      <c r="C75" s="11"/>
      <c r="D75" s="14" t="str">
        <f t="shared" si="10"/>
        <v>, </v>
      </c>
      <c r="E75" s="128"/>
      <c r="F75" s="9"/>
      <c r="G75" s="10">
        <f t="shared" si="11"/>
        <v>126.1643836</v>
      </c>
      <c r="H75" s="11"/>
      <c r="I75" s="11"/>
      <c r="J75" s="11"/>
      <c r="K75" s="11"/>
      <c r="L75" s="13"/>
      <c r="M75" s="13"/>
      <c r="N75" s="11"/>
      <c r="O75" s="11"/>
      <c r="P75" s="11"/>
      <c r="Q75" s="11"/>
      <c r="R75" s="11"/>
      <c r="S75" s="11"/>
      <c r="T75" s="11"/>
      <c r="U75" s="14" t="str">
        <f t="shared" si="12"/>
        <v/>
      </c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4"/>
      <c r="AL75" s="16"/>
      <c r="AM75" s="11"/>
      <c r="AN75" s="11"/>
      <c r="AO75" s="11"/>
      <c r="AP75" s="17">
        <f t="shared" si="13"/>
        <v>12</v>
      </c>
      <c r="AQ75" s="17">
        <f t="shared" si="14"/>
        <v>1899</v>
      </c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>
      <c r="A76" s="127"/>
      <c r="B76" s="11"/>
      <c r="C76" s="11"/>
      <c r="D76" s="14" t="str">
        <f t="shared" si="10"/>
        <v>, </v>
      </c>
      <c r="E76" s="128"/>
      <c r="F76" s="9"/>
      <c r="G76" s="10">
        <f t="shared" si="11"/>
        <v>126.1643836</v>
      </c>
      <c r="H76" s="11"/>
      <c r="I76" s="11"/>
      <c r="J76" s="11"/>
      <c r="K76" s="11"/>
      <c r="L76" s="13"/>
      <c r="M76" s="13"/>
      <c r="N76" s="11"/>
      <c r="O76" s="11"/>
      <c r="P76" s="11"/>
      <c r="Q76" s="11"/>
      <c r="R76" s="11"/>
      <c r="S76" s="11"/>
      <c r="T76" s="11"/>
      <c r="U76" s="14" t="str">
        <f t="shared" si="12"/>
        <v/>
      </c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4"/>
      <c r="AL76" s="16"/>
      <c r="AM76" s="11"/>
      <c r="AN76" s="11"/>
      <c r="AO76" s="11"/>
      <c r="AP76" s="17">
        <f t="shared" si="13"/>
        <v>12</v>
      </c>
      <c r="AQ76" s="17">
        <f t="shared" si="14"/>
        <v>1899</v>
      </c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>
      <c r="A77" s="127"/>
      <c r="B77" s="11"/>
      <c r="C77" s="11"/>
      <c r="D77" s="14" t="str">
        <f t="shared" si="10"/>
        <v>, </v>
      </c>
      <c r="E77" s="128"/>
      <c r="F77" s="9"/>
      <c r="G77" s="10">
        <f t="shared" si="11"/>
        <v>126.1643836</v>
      </c>
      <c r="H77" s="11"/>
      <c r="I77" s="11"/>
      <c r="J77" s="11"/>
      <c r="K77" s="11"/>
      <c r="L77" s="13"/>
      <c r="M77" s="13"/>
      <c r="N77" s="11"/>
      <c r="O77" s="11"/>
      <c r="P77" s="11"/>
      <c r="Q77" s="11"/>
      <c r="R77" s="11"/>
      <c r="S77" s="11"/>
      <c r="T77" s="11"/>
      <c r="U77" s="14" t="str">
        <f t="shared" si="12"/>
        <v/>
      </c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4"/>
      <c r="AL77" s="16"/>
      <c r="AM77" s="11"/>
      <c r="AN77" s="11"/>
      <c r="AO77" s="11"/>
      <c r="AP77" s="17">
        <f t="shared" si="13"/>
        <v>12</v>
      </c>
      <c r="AQ77" s="17">
        <f t="shared" si="14"/>
        <v>1899</v>
      </c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>
      <c r="A78" s="127"/>
      <c r="B78" s="11"/>
      <c r="C78" s="11"/>
      <c r="D78" s="14" t="str">
        <f t="shared" si="10"/>
        <v>, </v>
      </c>
      <c r="E78" s="128"/>
      <c r="F78" s="9"/>
      <c r="G78" s="10">
        <f t="shared" si="11"/>
        <v>126.1643836</v>
      </c>
      <c r="H78" s="11"/>
      <c r="I78" s="11"/>
      <c r="J78" s="11"/>
      <c r="K78" s="11"/>
      <c r="L78" s="13"/>
      <c r="M78" s="13"/>
      <c r="N78" s="11"/>
      <c r="O78" s="11"/>
      <c r="P78" s="11"/>
      <c r="Q78" s="11"/>
      <c r="R78" s="11"/>
      <c r="S78" s="11"/>
      <c r="T78" s="11"/>
      <c r="U78" s="14" t="str">
        <f t="shared" si="12"/>
        <v/>
      </c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4"/>
      <c r="AL78" s="16"/>
      <c r="AM78" s="11"/>
      <c r="AN78" s="11"/>
      <c r="AO78" s="11"/>
      <c r="AP78" s="17">
        <f t="shared" si="13"/>
        <v>12</v>
      </c>
      <c r="AQ78" s="17">
        <f t="shared" si="14"/>
        <v>1899</v>
      </c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>
      <c r="A79" s="127"/>
      <c r="B79" s="11"/>
      <c r="C79" s="11"/>
      <c r="D79" s="14" t="str">
        <f t="shared" si="10"/>
        <v>, </v>
      </c>
      <c r="E79" s="128"/>
      <c r="F79" s="9"/>
      <c r="G79" s="10">
        <f t="shared" si="11"/>
        <v>126.1643836</v>
      </c>
      <c r="H79" s="11"/>
      <c r="I79" s="11"/>
      <c r="J79" s="11"/>
      <c r="K79" s="11"/>
      <c r="L79" s="13"/>
      <c r="M79" s="13"/>
      <c r="N79" s="11"/>
      <c r="O79" s="11"/>
      <c r="P79" s="11"/>
      <c r="Q79" s="11"/>
      <c r="R79" s="11"/>
      <c r="S79" s="11"/>
      <c r="T79" s="11"/>
      <c r="U79" s="14" t="str">
        <f t="shared" si="12"/>
        <v/>
      </c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4"/>
      <c r="AL79" s="16"/>
      <c r="AM79" s="11"/>
      <c r="AN79" s="11"/>
      <c r="AO79" s="11"/>
      <c r="AP79" s="17">
        <f t="shared" si="13"/>
        <v>12</v>
      </c>
      <c r="AQ79" s="17">
        <f t="shared" si="14"/>
        <v>1899</v>
      </c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>
      <c r="A80" s="127"/>
      <c r="B80" s="11"/>
      <c r="C80" s="11"/>
      <c r="D80" s="14" t="str">
        <f t="shared" si="10"/>
        <v>, </v>
      </c>
      <c r="E80" s="128"/>
      <c r="F80" s="9"/>
      <c r="G80" s="10">
        <f t="shared" si="11"/>
        <v>126.1643836</v>
      </c>
      <c r="H80" s="11"/>
      <c r="I80" s="11"/>
      <c r="J80" s="11"/>
      <c r="K80" s="11"/>
      <c r="L80" s="13"/>
      <c r="M80" s="13"/>
      <c r="N80" s="11"/>
      <c r="O80" s="11"/>
      <c r="P80" s="11"/>
      <c r="Q80" s="11"/>
      <c r="R80" s="11"/>
      <c r="S80" s="11"/>
      <c r="T80" s="11"/>
      <c r="U80" s="14" t="str">
        <f t="shared" si="12"/>
        <v/>
      </c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4"/>
      <c r="AL80" s="16"/>
      <c r="AM80" s="11"/>
      <c r="AN80" s="11"/>
      <c r="AO80" s="11"/>
      <c r="AP80" s="17">
        <f t="shared" si="13"/>
        <v>12</v>
      </c>
      <c r="AQ80" s="17">
        <f t="shared" si="14"/>
        <v>1899</v>
      </c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>
      <c r="A81" s="127"/>
      <c r="B81" s="11"/>
      <c r="C81" s="11"/>
      <c r="D81" s="14" t="str">
        <f t="shared" si="10"/>
        <v>, </v>
      </c>
      <c r="E81" s="128"/>
      <c r="F81" s="9"/>
      <c r="G81" s="10">
        <f t="shared" si="11"/>
        <v>126.1643836</v>
      </c>
      <c r="H81" s="11"/>
      <c r="I81" s="11"/>
      <c r="J81" s="11"/>
      <c r="K81" s="11"/>
      <c r="L81" s="13"/>
      <c r="M81" s="13"/>
      <c r="N81" s="11"/>
      <c r="O81" s="11"/>
      <c r="P81" s="11"/>
      <c r="Q81" s="11"/>
      <c r="R81" s="11"/>
      <c r="S81" s="11"/>
      <c r="T81" s="11"/>
      <c r="U81" s="14" t="str">
        <f t="shared" si="12"/>
        <v/>
      </c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4"/>
      <c r="AL81" s="16"/>
      <c r="AM81" s="11"/>
      <c r="AN81" s="11"/>
      <c r="AO81" s="11"/>
      <c r="AP81" s="17">
        <f t="shared" si="13"/>
        <v>12</v>
      </c>
      <c r="AQ81" s="17">
        <f t="shared" si="14"/>
        <v>1899</v>
      </c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>
      <c r="A82" s="127"/>
      <c r="B82" s="11"/>
      <c r="C82" s="11"/>
      <c r="D82" s="14" t="str">
        <f t="shared" si="10"/>
        <v>, </v>
      </c>
      <c r="E82" s="128"/>
      <c r="F82" s="9"/>
      <c r="G82" s="10">
        <f t="shared" si="11"/>
        <v>126.1643836</v>
      </c>
      <c r="H82" s="11"/>
      <c r="I82" s="11"/>
      <c r="J82" s="11"/>
      <c r="K82" s="11"/>
      <c r="L82" s="13"/>
      <c r="M82" s="13"/>
      <c r="N82" s="11"/>
      <c r="O82" s="11"/>
      <c r="P82" s="11"/>
      <c r="Q82" s="11"/>
      <c r="R82" s="11"/>
      <c r="S82" s="11"/>
      <c r="T82" s="11"/>
      <c r="U82" s="14" t="str">
        <f t="shared" si="12"/>
        <v/>
      </c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4"/>
      <c r="AL82" s="16"/>
      <c r="AM82" s="11"/>
      <c r="AN82" s="11"/>
      <c r="AO82" s="11"/>
      <c r="AP82" s="17">
        <f t="shared" si="13"/>
        <v>12</v>
      </c>
      <c r="AQ82" s="17">
        <f t="shared" si="14"/>
        <v>1899</v>
      </c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>
      <c r="A83" s="129"/>
      <c r="B83" s="11"/>
      <c r="C83" s="11"/>
      <c r="D83" s="14" t="str">
        <f t="shared" si="10"/>
        <v>, </v>
      </c>
      <c r="E83" s="128"/>
      <c r="F83" s="9"/>
      <c r="G83" s="10">
        <f t="shared" si="11"/>
        <v>126.1643836</v>
      </c>
      <c r="H83" s="11"/>
      <c r="I83" s="11"/>
      <c r="J83" s="11"/>
      <c r="K83" s="11"/>
      <c r="L83" s="13"/>
      <c r="M83" s="13"/>
      <c r="N83" s="11"/>
      <c r="O83" s="11"/>
      <c r="P83" s="11"/>
      <c r="Q83" s="11"/>
      <c r="R83" s="11"/>
      <c r="S83" s="11"/>
      <c r="T83" s="11"/>
      <c r="U83" s="14" t="str">
        <f t="shared" si="12"/>
        <v/>
      </c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4"/>
      <c r="AL83" s="16"/>
      <c r="AM83" s="11"/>
      <c r="AN83" s="11"/>
      <c r="AO83" s="11"/>
      <c r="AP83" s="17">
        <f t="shared" si="13"/>
        <v>12</v>
      </c>
      <c r="AQ83" s="17">
        <f t="shared" si="14"/>
        <v>1899</v>
      </c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>
      <c r="A84" s="129"/>
      <c r="B84" s="11"/>
      <c r="C84" s="11"/>
      <c r="D84" s="14" t="str">
        <f t="shared" si="10"/>
        <v>, </v>
      </c>
      <c r="E84" s="128"/>
      <c r="F84" s="9"/>
      <c r="G84" s="10">
        <f t="shared" si="11"/>
        <v>126.1643836</v>
      </c>
      <c r="H84" s="11"/>
      <c r="I84" s="11"/>
      <c r="J84" s="11"/>
      <c r="K84" s="11"/>
      <c r="L84" s="13"/>
      <c r="M84" s="13"/>
      <c r="N84" s="11"/>
      <c r="O84" s="11"/>
      <c r="P84" s="11"/>
      <c r="Q84" s="11"/>
      <c r="R84" s="11"/>
      <c r="S84" s="11"/>
      <c r="T84" s="11"/>
      <c r="U84" s="14" t="str">
        <f t="shared" si="12"/>
        <v/>
      </c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4"/>
      <c r="AL84" s="16"/>
      <c r="AM84" s="11"/>
      <c r="AN84" s="11"/>
      <c r="AO84" s="11"/>
      <c r="AP84" s="17">
        <f t="shared" si="13"/>
        <v>12</v>
      </c>
      <c r="AQ84" s="17">
        <f t="shared" si="14"/>
        <v>1899</v>
      </c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>
      <c r="A85" s="11"/>
      <c r="B85" s="11"/>
      <c r="C85" s="11"/>
      <c r="D85" s="14" t="str">
        <f t="shared" si="10"/>
        <v>, </v>
      </c>
      <c r="E85" s="9"/>
      <c r="F85" s="9"/>
      <c r="G85" s="10">
        <f t="shared" si="11"/>
        <v>126.1643836</v>
      </c>
      <c r="H85" s="11"/>
      <c r="I85" s="11"/>
      <c r="J85" s="11"/>
      <c r="K85" s="11"/>
      <c r="L85" s="13"/>
      <c r="M85" s="13"/>
      <c r="N85" s="11"/>
      <c r="O85" s="11"/>
      <c r="P85" s="11"/>
      <c r="Q85" s="11"/>
      <c r="R85" s="11"/>
      <c r="S85" s="11"/>
      <c r="T85" s="11"/>
      <c r="U85" s="14" t="str">
        <f t="shared" si="12"/>
        <v/>
      </c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4"/>
      <c r="AL85" s="16"/>
      <c r="AM85" s="11"/>
      <c r="AN85" s="11"/>
      <c r="AO85" s="11"/>
      <c r="AP85" s="17">
        <f t="shared" si="13"/>
        <v>12</v>
      </c>
      <c r="AQ85" s="17">
        <f t="shared" si="14"/>
        <v>1899</v>
      </c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>
      <c r="A86" s="11"/>
      <c r="B86" s="11"/>
      <c r="C86" s="11"/>
      <c r="D86" s="14" t="str">
        <f t="shared" si="10"/>
        <v>, </v>
      </c>
      <c r="E86" s="9"/>
      <c r="F86" s="9"/>
      <c r="G86" s="10">
        <f t="shared" si="11"/>
        <v>126.1643836</v>
      </c>
      <c r="H86" s="11"/>
      <c r="I86" s="11"/>
      <c r="J86" s="11"/>
      <c r="K86" s="11"/>
      <c r="L86" s="13"/>
      <c r="M86" s="13"/>
      <c r="N86" s="11"/>
      <c r="O86" s="11"/>
      <c r="P86" s="11"/>
      <c r="Q86" s="11"/>
      <c r="R86" s="11"/>
      <c r="S86" s="11"/>
      <c r="T86" s="11"/>
      <c r="U86" s="14" t="str">
        <f t="shared" si="12"/>
        <v/>
      </c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4"/>
      <c r="AL86" s="16"/>
      <c r="AM86" s="11"/>
      <c r="AN86" s="11"/>
      <c r="AO86" s="11"/>
      <c r="AP86" s="17">
        <f t="shared" si="13"/>
        <v>12</v>
      </c>
      <c r="AQ86" s="17">
        <f t="shared" si="14"/>
        <v>1899</v>
      </c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>
      <c r="A87" s="11"/>
      <c r="B87" s="11"/>
      <c r="C87" s="11"/>
      <c r="D87" s="14" t="str">
        <f t="shared" si="10"/>
        <v>, </v>
      </c>
      <c r="E87" s="9"/>
      <c r="F87" s="9"/>
      <c r="G87" s="10">
        <f t="shared" si="11"/>
        <v>126.1643836</v>
      </c>
      <c r="H87" s="11"/>
      <c r="I87" s="11"/>
      <c r="J87" s="11"/>
      <c r="K87" s="11"/>
      <c r="L87" s="13"/>
      <c r="M87" s="13"/>
      <c r="N87" s="11"/>
      <c r="O87" s="11"/>
      <c r="P87" s="11"/>
      <c r="Q87" s="11"/>
      <c r="R87" s="11"/>
      <c r="S87" s="11"/>
      <c r="T87" s="11"/>
      <c r="U87" s="14" t="str">
        <f t="shared" si="12"/>
        <v/>
      </c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4"/>
      <c r="AL87" s="16"/>
      <c r="AM87" s="11"/>
      <c r="AN87" s="11"/>
      <c r="AO87" s="11"/>
      <c r="AP87" s="17">
        <f t="shared" si="13"/>
        <v>12</v>
      </c>
      <c r="AQ87" s="17">
        <f t="shared" si="14"/>
        <v>1899</v>
      </c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>
      <c r="A88" s="11"/>
      <c r="B88" s="11"/>
      <c r="C88" s="11"/>
      <c r="D88" s="14" t="str">
        <f t="shared" si="10"/>
        <v>, </v>
      </c>
      <c r="E88" s="9"/>
      <c r="F88" s="9"/>
      <c r="G88" s="10">
        <f t="shared" si="11"/>
        <v>126.1643836</v>
      </c>
      <c r="H88" s="11"/>
      <c r="I88" s="11"/>
      <c r="J88" s="11"/>
      <c r="K88" s="11"/>
      <c r="L88" s="13"/>
      <c r="M88" s="13"/>
      <c r="N88" s="11"/>
      <c r="O88" s="11"/>
      <c r="P88" s="11"/>
      <c r="Q88" s="11"/>
      <c r="R88" s="11"/>
      <c r="S88" s="11"/>
      <c r="T88" s="11"/>
      <c r="U88" s="14" t="str">
        <f t="shared" si="12"/>
        <v/>
      </c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4"/>
      <c r="AL88" s="16"/>
      <c r="AM88" s="11"/>
      <c r="AN88" s="11"/>
      <c r="AO88" s="11"/>
      <c r="AP88" s="17">
        <f t="shared" si="13"/>
        <v>12</v>
      </c>
      <c r="AQ88" s="17">
        <f t="shared" si="14"/>
        <v>1899</v>
      </c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>
      <c r="A89" s="11"/>
      <c r="B89" s="11"/>
      <c r="C89" s="11"/>
      <c r="D89" s="14" t="str">
        <f t="shared" si="10"/>
        <v>, </v>
      </c>
      <c r="E89" s="9"/>
      <c r="F89" s="9"/>
      <c r="G89" s="10">
        <f t="shared" si="11"/>
        <v>126.1643836</v>
      </c>
      <c r="H89" s="11"/>
      <c r="I89" s="11"/>
      <c r="J89" s="11"/>
      <c r="K89" s="11"/>
      <c r="L89" s="13"/>
      <c r="M89" s="13"/>
      <c r="N89" s="11"/>
      <c r="O89" s="11"/>
      <c r="P89" s="11"/>
      <c r="Q89" s="11"/>
      <c r="R89" s="11"/>
      <c r="S89" s="11"/>
      <c r="T89" s="11"/>
      <c r="U89" s="14" t="str">
        <f t="shared" si="12"/>
        <v/>
      </c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4"/>
      <c r="AL89" s="16"/>
      <c r="AM89" s="11"/>
      <c r="AN89" s="11"/>
      <c r="AO89" s="11"/>
      <c r="AP89" s="17">
        <f t="shared" si="13"/>
        <v>12</v>
      </c>
      <c r="AQ89" s="17">
        <f t="shared" si="14"/>
        <v>1899</v>
      </c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>
      <c r="A90" s="11"/>
      <c r="B90" s="11"/>
      <c r="C90" s="11"/>
      <c r="D90" s="14" t="str">
        <f t="shared" si="10"/>
        <v>, </v>
      </c>
      <c r="E90" s="9"/>
      <c r="F90" s="9"/>
      <c r="G90" s="10">
        <f t="shared" si="11"/>
        <v>126.1643836</v>
      </c>
      <c r="H90" s="11"/>
      <c r="I90" s="11"/>
      <c r="J90" s="11"/>
      <c r="K90" s="11"/>
      <c r="L90" s="13"/>
      <c r="M90" s="13"/>
      <c r="N90" s="11"/>
      <c r="O90" s="11"/>
      <c r="P90" s="11"/>
      <c r="Q90" s="11"/>
      <c r="R90" s="11"/>
      <c r="S90" s="11"/>
      <c r="T90" s="11"/>
      <c r="U90" s="14" t="str">
        <f t="shared" si="12"/>
        <v/>
      </c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4"/>
      <c r="AL90" s="16"/>
      <c r="AM90" s="11"/>
      <c r="AN90" s="11"/>
      <c r="AO90" s="11"/>
      <c r="AP90" s="17">
        <f t="shared" si="13"/>
        <v>12</v>
      </c>
      <c r="AQ90" s="17">
        <f t="shared" si="14"/>
        <v>1899</v>
      </c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>
      <c r="A91" s="11"/>
      <c r="B91" s="11"/>
      <c r="C91" s="11"/>
      <c r="D91" s="14" t="str">
        <f t="shared" si="10"/>
        <v>, </v>
      </c>
      <c r="E91" s="9"/>
      <c r="F91" s="9"/>
      <c r="G91" s="10">
        <f t="shared" si="11"/>
        <v>126.1643836</v>
      </c>
      <c r="H91" s="11"/>
      <c r="I91" s="11"/>
      <c r="J91" s="11"/>
      <c r="K91" s="11"/>
      <c r="L91" s="13"/>
      <c r="M91" s="13"/>
      <c r="N91" s="11"/>
      <c r="O91" s="11"/>
      <c r="P91" s="11"/>
      <c r="Q91" s="11"/>
      <c r="R91" s="11"/>
      <c r="S91" s="11"/>
      <c r="T91" s="11"/>
      <c r="U91" s="14" t="str">
        <f t="shared" si="12"/>
        <v/>
      </c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4"/>
      <c r="AL91" s="16"/>
      <c r="AM91" s="11"/>
      <c r="AN91" s="11"/>
      <c r="AO91" s="11"/>
      <c r="AP91" s="17">
        <f t="shared" si="13"/>
        <v>12</v>
      </c>
      <c r="AQ91" s="17">
        <f t="shared" si="14"/>
        <v>1899</v>
      </c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>
      <c r="A92" s="11"/>
      <c r="B92" s="11"/>
      <c r="C92" s="11"/>
      <c r="D92" s="14" t="str">
        <f t="shared" si="10"/>
        <v>, </v>
      </c>
      <c r="E92" s="9"/>
      <c r="F92" s="9"/>
      <c r="G92" s="10">
        <f t="shared" si="11"/>
        <v>126.1643836</v>
      </c>
      <c r="H92" s="11"/>
      <c r="I92" s="11"/>
      <c r="J92" s="11"/>
      <c r="K92" s="11"/>
      <c r="L92" s="13"/>
      <c r="M92" s="13"/>
      <c r="N92" s="11"/>
      <c r="O92" s="11"/>
      <c r="P92" s="11"/>
      <c r="Q92" s="11"/>
      <c r="R92" s="11"/>
      <c r="S92" s="11"/>
      <c r="T92" s="11"/>
      <c r="U92" s="14" t="str">
        <f t="shared" si="12"/>
        <v/>
      </c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4"/>
      <c r="AL92" s="16"/>
      <c r="AM92" s="11"/>
      <c r="AN92" s="11"/>
      <c r="AO92" s="11"/>
      <c r="AP92" s="17">
        <f t="shared" si="13"/>
        <v>12</v>
      </c>
      <c r="AQ92" s="17">
        <f t="shared" si="14"/>
        <v>1899</v>
      </c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>
      <c r="A93" s="11"/>
      <c r="B93" s="11"/>
      <c r="C93" s="11"/>
      <c r="D93" s="14" t="str">
        <f t="shared" si="10"/>
        <v>, </v>
      </c>
      <c r="E93" s="9"/>
      <c r="F93" s="9"/>
      <c r="G93" s="10">
        <f t="shared" si="11"/>
        <v>126.1643836</v>
      </c>
      <c r="H93" s="11"/>
      <c r="I93" s="11"/>
      <c r="J93" s="11"/>
      <c r="K93" s="11"/>
      <c r="L93" s="13"/>
      <c r="M93" s="13"/>
      <c r="N93" s="11"/>
      <c r="O93" s="11"/>
      <c r="P93" s="11"/>
      <c r="Q93" s="11"/>
      <c r="R93" s="11"/>
      <c r="S93" s="11"/>
      <c r="T93" s="11"/>
      <c r="U93" s="14" t="str">
        <f t="shared" si="12"/>
        <v/>
      </c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4"/>
      <c r="AL93" s="16"/>
      <c r="AM93" s="11"/>
      <c r="AN93" s="11"/>
      <c r="AO93" s="11"/>
      <c r="AP93" s="17">
        <f t="shared" si="13"/>
        <v>12</v>
      </c>
      <c r="AQ93" s="17">
        <f t="shared" si="14"/>
        <v>1899</v>
      </c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>
      <c r="A94" s="11"/>
      <c r="B94" s="11"/>
      <c r="C94" s="11"/>
      <c r="D94" s="14" t="str">
        <f t="shared" si="10"/>
        <v>, </v>
      </c>
      <c r="E94" s="9"/>
      <c r="F94" s="9"/>
      <c r="G94" s="10">
        <f t="shared" si="11"/>
        <v>126.1643836</v>
      </c>
      <c r="H94" s="11"/>
      <c r="I94" s="11"/>
      <c r="J94" s="11"/>
      <c r="K94" s="11"/>
      <c r="L94" s="13"/>
      <c r="M94" s="13"/>
      <c r="N94" s="11"/>
      <c r="O94" s="11"/>
      <c r="P94" s="11"/>
      <c r="Q94" s="11"/>
      <c r="R94" s="11"/>
      <c r="S94" s="11"/>
      <c r="T94" s="11"/>
      <c r="U94" s="14" t="str">
        <f t="shared" si="12"/>
        <v/>
      </c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4"/>
      <c r="AL94" s="16"/>
      <c r="AM94" s="11"/>
      <c r="AN94" s="11"/>
      <c r="AO94" s="11"/>
      <c r="AP94" s="17">
        <f t="shared" si="13"/>
        <v>12</v>
      </c>
      <c r="AQ94" s="17">
        <f t="shared" si="14"/>
        <v>1899</v>
      </c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>
      <c r="A95" s="11"/>
      <c r="B95" s="11"/>
      <c r="C95" s="11"/>
      <c r="D95" s="14" t="str">
        <f t="shared" si="10"/>
        <v>, </v>
      </c>
      <c r="E95" s="9"/>
      <c r="F95" s="9"/>
      <c r="G95" s="10">
        <f t="shared" si="11"/>
        <v>126.1643836</v>
      </c>
      <c r="H95" s="11"/>
      <c r="I95" s="11"/>
      <c r="J95" s="11"/>
      <c r="K95" s="11"/>
      <c r="L95" s="13"/>
      <c r="M95" s="13"/>
      <c r="N95" s="11"/>
      <c r="O95" s="11"/>
      <c r="P95" s="11"/>
      <c r="Q95" s="11"/>
      <c r="R95" s="11"/>
      <c r="S95" s="11"/>
      <c r="T95" s="11"/>
      <c r="U95" s="14" t="str">
        <f t="shared" si="12"/>
        <v/>
      </c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4"/>
      <c r="AL95" s="16"/>
      <c r="AM95" s="11"/>
      <c r="AN95" s="11"/>
      <c r="AO95" s="11"/>
      <c r="AP95" s="17">
        <f t="shared" si="13"/>
        <v>12</v>
      </c>
      <c r="AQ95" s="17">
        <f t="shared" si="14"/>
        <v>1899</v>
      </c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>
      <c r="A96" s="11"/>
      <c r="B96" s="11"/>
      <c r="C96" s="11"/>
      <c r="D96" s="14" t="str">
        <f t="shared" si="10"/>
        <v>, </v>
      </c>
      <c r="E96" s="9"/>
      <c r="F96" s="9"/>
      <c r="G96" s="10">
        <f t="shared" si="11"/>
        <v>126.1643836</v>
      </c>
      <c r="H96" s="11"/>
      <c r="I96" s="11"/>
      <c r="J96" s="11"/>
      <c r="K96" s="11"/>
      <c r="L96" s="13"/>
      <c r="M96" s="13"/>
      <c r="N96" s="11"/>
      <c r="O96" s="11"/>
      <c r="P96" s="11"/>
      <c r="Q96" s="11"/>
      <c r="R96" s="11"/>
      <c r="S96" s="11"/>
      <c r="T96" s="11"/>
      <c r="U96" s="14" t="str">
        <f t="shared" si="12"/>
        <v/>
      </c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4"/>
      <c r="AL96" s="16"/>
      <c r="AM96" s="11"/>
      <c r="AN96" s="11"/>
      <c r="AO96" s="11"/>
      <c r="AP96" s="17">
        <f t="shared" si="13"/>
        <v>12</v>
      </c>
      <c r="AQ96" s="17">
        <f t="shared" si="14"/>
        <v>1899</v>
      </c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>
      <c r="A97" s="11"/>
      <c r="B97" s="11"/>
      <c r="C97" s="11"/>
      <c r="D97" s="14" t="str">
        <f t="shared" si="10"/>
        <v>, </v>
      </c>
      <c r="E97" s="9"/>
      <c r="F97" s="9"/>
      <c r="G97" s="10">
        <f t="shared" si="11"/>
        <v>126.1643836</v>
      </c>
      <c r="H97" s="11"/>
      <c r="I97" s="11"/>
      <c r="J97" s="11"/>
      <c r="K97" s="11"/>
      <c r="L97" s="13"/>
      <c r="M97" s="13"/>
      <c r="N97" s="11"/>
      <c r="O97" s="11"/>
      <c r="P97" s="11"/>
      <c r="Q97" s="11"/>
      <c r="R97" s="11"/>
      <c r="S97" s="11"/>
      <c r="T97" s="11"/>
      <c r="U97" s="14" t="str">
        <f t="shared" si="12"/>
        <v/>
      </c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4"/>
      <c r="AL97" s="16"/>
      <c r="AM97" s="11"/>
      <c r="AN97" s="11"/>
      <c r="AO97" s="11"/>
      <c r="AP97" s="17">
        <f t="shared" si="13"/>
        <v>12</v>
      </c>
      <c r="AQ97" s="17">
        <f t="shared" si="14"/>
        <v>1899</v>
      </c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>
      <c r="A98" s="11"/>
      <c r="B98" s="11"/>
      <c r="C98" s="11"/>
      <c r="D98" s="14" t="str">
        <f t="shared" si="10"/>
        <v>, </v>
      </c>
      <c r="E98" s="9"/>
      <c r="F98" s="9"/>
      <c r="G98" s="10">
        <f t="shared" si="11"/>
        <v>126.1643836</v>
      </c>
      <c r="H98" s="11"/>
      <c r="I98" s="11"/>
      <c r="J98" s="11"/>
      <c r="K98" s="11"/>
      <c r="L98" s="13"/>
      <c r="M98" s="13"/>
      <c r="N98" s="11"/>
      <c r="O98" s="11"/>
      <c r="P98" s="11"/>
      <c r="Q98" s="11"/>
      <c r="R98" s="11"/>
      <c r="S98" s="11"/>
      <c r="T98" s="11"/>
      <c r="U98" s="14" t="str">
        <f t="shared" si="12"/>
        <v/>
      </c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4"/>
      <c r="AL98" s="16"/>
      <c r="AM98" s="11"/>
      <c r="AN98" s="11"/>
      <c r="AO98" s="11"/>
      <c r="AP98" s="17">
        <f t="shared" si="13"/>
        <v>12</v>
      </c>
      <c r="AQ98" s="17">
        <f t="shared" si="14"/>
        <v>1899</v>
      </c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>
      <c r="A99" s="11"/>
      <c r="B99" s="11"/>
      <c r="C99" s="11"/>
      <c r="D99" s="14" t="str">
        <f t="shared" si="10"/>
        <v>, </v>
      </c>
      <c r="E99" s="9"/>
      <c r="F99" s="9"/>
      <c r="G99" s="10">
        <f t="shared" si="11"/>
        <v>126.1643836</v>
      </c>
      <c r="H99" s="11"/>
      <c r="I99" s="11"/>
      <c r="J99" s="11"/>
      <c r="K99" s="11"/>
      <c r="L99" s="13"/>
      <c r="M99" s="13"/>
      <c r="N99" s="11"/>
      <c r="O99" s="11"/>
      <c r="P99" s="11"/>
      <c r="Q99" s="11"/>
      <c r="R99" s="11"/>
      <c r="S99" s="11"/>
      <c r="T99" s="11"/>
      <c r="U99" s="14" t="str">
        <f t="shared" si="12"/>
        <v/>
      </c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4"/>
      <c r="AL99" s="16"/>
      <c r="AM99" s="11"/>
      <c r="AN99" s="11"/>
      <c r="AO99" s="11"/>
      <c r="AP99" s="17">
        <f t="shared" si="13"/>
        <v>12</v>
      </c>
      <c r="AQ99" s="17">
        <f t="shared" si="14"/>
        <v>1899</v>
      </c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>
      <c r="A100" s="11"/>
      <c r="B100" s="11"/>
      <c r="C100" s="11"/>
      <c r="D100" s="14" t="str">
        <f t="shared" si="10"/>
        <v>, </v>
      </c>
      <c r="E100" s="9"/>
      <c r="F100" s="9"/>
      <c r="G100" s="10">
        <f t="shared" si="11"/>
        <v>126.1643836</v>
      </c>
      <c r="H100" s="11"/>
      <c r="I100" s="11"/>
      <c r="J100" s="11"/>
      <c r="K100" s="11"/>
      <c r="L100" s="13"/>
      <c r="M100" s="13"/>
      <c r="N100" s="11"/>
      <c r="O100" s="11"/>
      <c r="P100" s="11"/>
      <c r="Q100" s="11"/>
      <c r="R100" s="11"/>
      <c r="S100" s="11"/>
      <c r="T100" s="11"/>
      <c r="U100" s="14" t="str">
        <f t="shared" si="12"/>
        <v/>
      </c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4"/>
      <c r="AL100" s="16"/>
      <c r="AM100" s="11"/>
      <c r="AN100" s="11"/>
      <c r="AO100" s="11"/>
      <c r="AP100" s="17">
        <f t="shared" si="13"/>
        <v>12</v>
      </c>
      <c r="AQ100" s="17">
        <f t="shared" si="14"/>
        <v>1899</v>
      </c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>
      <c r="A101" s="11"/>
      <c r="B101" s="11"/>
      <c r="C101" s="11"/>
      <c r="D101" s="14" t="str">
        <f t="shared" si="10"/>
        <v>, </v>
      </c>
      <c r="E101" s="9"/>
      <c r="F101" s="9"/>
      <c r="G101" s="10">
        <f t="shared" si="11"/>
        <v>126.1643836</v>
      </c>
      <c r="H101" s="11"/>
      <c r="I101" s="11"/>
      <c r="J101" s="11"/>
      <c r="K101" s="11"/>
      <c r="L101" s="13"/>
      <c r="M101" s="13"/>
      <c r="N101" s="11"/>
      <c r="O101" s="11"/>
      <c r="P101" s="11"/>
      <c r="Q101" s="11"/>
      <c r="R101" s="11"/>
      <c r="S101" s="11"/>
      <c r="T101" s="11"/>
      <c r="U101" s="14" t="str">
        <f t="shared" si="12"/>
        <v/>
      </c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4"/>
      <c r="AL101" s="16"/>
      <c r="AM101" s="11"/>
      <c r="AN101" s="11"/>
      <c r="AO101" s="11"/>
      <c r="AP101" s="17">
        <f t="shared" si="13"/>
        <v>12</v>
      </c>
      <c r="AQ101" s="17">
        <f t="shared" si="14"/>
        <v>1899</v>
      </c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>
      <c r="A102" s="11"/>
      <c r="B102" s="11"/>
      <c r="C102" s="11"/>
      <c r="D102" s="14" t="str">
        <f t="shared" si="10"/>
        <v>, </v>
      </c>
      <c r="E102" s="9"/>
      <c r="F102" s="9"/>
      <c r="G102" s="10">
        <f t="shared" si="11"/>
        <v>126.1643836</v>
      </c>
      <c r="H102" s="11"/>
      <c r="I102" s="11"/>
      <c r="J102" s="11"/>
      <c r="K102" s="11"/>
      <c r="L102" s="13"/>
      <c r="M102" s="13"/>
      <c r="N102" s="11"/>
      <c r="O102" s="11"/>
      <c r="P102" s="11"/>
      <c r="Q102" s="11"/>
      <c r="R102" s="11"/>
      <c r="S102" s="11"/>
      <c r="T102" s="11"/>
      <c r="U102" s="14" t="str">
        <f t="shared" si="12"/>
        <v/>
      </c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4"/>
      <c r="AL102" s="16"/>
      <c r="AM102" s="11"/>
      <c r="AN102" s="11"/>
      <c r="AO102" s="11"/>
      <c r="AP102" s="17">
        <f t="shared" si="13"/>
        <v>12</v>
      </c>
      <c r="AQ102" s="17">
        <f t="shared" si="14"/>
        <v>1899</v>
      </c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>
      <c r="A103" s="11"/>
      <c r="B103" s="11"/>
      <c r="C103" s="11"/>
      <c r="D103" s="14" t="str">
        <f t="shared" si="10"/>
        <v>, </v>
      </c>
      <c r="E103" s="9"/>
      <c r="F103" s="9"/>
      <c r="G103" s="10">
        <f t="shared" si="11"/>
        <v>126.1643836</v>
      </c>
      <c r="H103" s="11"/>
      <c r="I103" s="11"/>
      <c r="J103" s="11"/>
      <c r="K103" s="11"/>
      <c r="L103" s="13"/>
      <c r="M103" s="13"/>
      <c r="N103" s="11"/>
      <c r="O103" s="11"/>
      <c r="P103" s="11"/>
      <c r="Q103" s="11"/>
      <c r="R103" s="11"/>
      <c r="S103" s="11"/>
      <c r="T103" s="11"/>
      <c r="U103" s="14" t="str">
        <f t="shared" si="12"/>
        <v/>
      </c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4"/>
      <c r="AL103" s="16"/>
      <c r="AM103" s="11"/>
      <c r="AN103" s="11"/>
      <c r="AO103" s="11"/>
      <c r="AP103" s="17">
        <f t="shared" si="13"/>
        <v>12</v>
      </c>
      <c r="AQ103" s="17">
        <f t="shared" si="14"/>
        <v>1899</v>
      </c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>
      <c r="A104" s="11"/>
      <c r="B104" s="11"/>
      <c r="C104" s="11"/>
      <c r="D104" s="14" t="str">
        <f t="shared" si="10"/>
        <v>, </v>
      </c>
      <c r="E104" s="9"/>
      <c r="F104" s="9"/>
      <c r="G104" s="10">
        <f t="shared" si="11"/>
        <v>126.1643836</v>
      </c>
      <c r="H104" s="11"/>
      <c r="I104" s="11"/>
      <c r="J104" s="11"/>
      <c r="K104" s="11"/>
      <c r="L104" s="13"/>
      <c r="M104" s="13"/>
      <c r="N104" s="11"/>
      <c r="O104" s="11"/>
      <c r="P104" s="11"/>
      <c r="Q104" s="11"/>
      <c r="R104" s="11"/>
      <c r="S104" s="11"/>
      <c r="T104" s="11"/>
      <c r="U104" s="14" t="str">
        <f t="shared" si="12"/>
        <v/>
      </c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4"/>
      <c r="AL104" s="16"/>
      <c r="AM104" s="11"/>
      <c r="AN104" s="11"/>
      <c r="AO104" s="11"/>
      <c r="AP104" s="17">
        <f t="shared" si="13"/>
        <v>12</v>
      </c>
      <c r="AQ104" s="17">
        <f t="shared" si="14"/>
        <v>1899</v>
      </c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>
      <c r="A105" s="11"/>
      <c r="B105" s="11"/>
      <c r="C105" s="11"/>
      <c r="D105" s="14" t="str">
        <f t="shared" si="10"/>
        <v>, </v>
      </c>
      <c r="E105" s="9"/>
      <c r="F105" s="9"/>
      <c r="G105" s="10">
        <f t="shared" si="11"/>
        <v>126.1643836</v>
      </c>
      <c r="H105" s="11"/>
      <c r="I105" s="11"/>
      <c r="J105" s="11"/>
      <c r="K105" s="11"/>
      <c r="L105" s="13"/>
      <c r="M105" s="13"/>
      <c r="N105" s="11"/>
      <c r="O105" s="11"/>
      <c r="P105" s="11"/>
      <c r="Q105" s="11"/>
      <c r="R105" s="11"/>
      <c r="S105" s="11"/>
      <c r="T105" s="11"/>
      <c r="U105" s="14" t="str">
        <f t="shared" si="12"/>
        <v/>
      </c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4"/>
      <c r="AL105" s="16"/>
      <c r="AM105" s="11"/>
      <c r="AN105" s="11"/>
      <c r="AO105" s="11"/>
      <c r="AP105" s="17">
        <f t="shared" si="13"/>
        <v>12</v>
      </c>
      <c r="AQ105" s="17">
        <f t="shared" si="14"/>
        <v>1899</v>
      </c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>
      <c r="A106" s="11"/>
      <c r="B106" s="11"/>
      <c r="C106" s="11"/>
      <c r="D106" s="14" t="str">
        <f t="shared" si="10"/>
        <v>, </v>
      </c>
      <c r="E106" s="9"/>
      <c r="F106" s="9"/>
      <c r="G106" s="10">
        <f t="shared" si="11"/>
        <v>126.1643836</v>
      </c>
      <c r="H106" s="11"/>
      <c r="I106" s="11"/>
      <c r="J106" s="11"/>
      <c r="K106" s="11"/>
      <c r="L106" s="13"/>
      <c r="M106" s="13"/>
      <c r="N106" s="11"/>
      <c r="O106" s="11"/>
      <c r="P106" s="11"/>
      <c r="Q106" s="11"/>
      <c r="R106" s="11"/>
      <c r="S106" s="11"/>
      <c r="T106" s="11"/>
      <c r="U106" s="14" t="str">
        <f t="shared" si="12"/>
        <v/>
      </c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4"/>
      <c r="AL106" s="16"/>
      <c r="AM106" s="11"/>
      <c r="AN106" s="11"/>
      <c r="AO106" s="11"/>
      <c r="AP106" s="17">
        <f t="shared" si="13"/>
        <v>12</v>
      </c>
      <c r="AQ106" s="17">
        <f t="shared" si="14"/>
        <v>1899</v>
      </c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>
      <c r="A107" s="11"/>
      <c r="B107" s="11"/>
      <c r="C107" s="11"/>
      <c r="D107" s="14" t="str">
        <f t="shared" si="10"/>
        <v>, </v>
      </c>
      <c r="E107" s="9"/>
      <c r="F107" s="9"/>
      <c r="G107" s="10">
        <f t="shared" si="11"/>
        <v>126.1643836</v>
      </c>
      <c r="H107" s="11"/>
      <c r="I107" s="11"/>
      <c r="J107" s="11"/>
      <c r="K107" s="11"/>
      <c r="L107" s="13"/>
      <c r="M107" s="13"/>
      <c r="N107" s="11"/>
      <c r="O107" s="11"/>
      <c r="P107" s="11"/>
      <c r="Q107" s="11"/>
      <c r="R107" s="11"/>
      <c r="S107" s="11"/>
      <c r="T107" s="11"/>
      <c r="U107" s="14" t="str">
        <f t="shared" si="12"/>
        <v/>
      </c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4"/>
      <c r="AL107" s="16"/>
      <c r="AM107" s="11"/>
      <c r="AN107" s="11"/>
      <c r="AO107" s="11"/>
      <c r="AP107" s="17">
        <f t="shared" si="13"/>
        <v>12</v>
      </c>
      <c r="AQ107" s="17">
        <f t="shared" si="14"/>
        <v>1899</v>
      </c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>
      <c r="A108" s="11"/>
      <c r="B108" s="11"/>
      <c r="C108" s="11"/>
      <c r="D108" s="14" t="str">
        <f t="shared" si="10"/>
        <v>, </v>
      </c>
      <c r="E108" s="9"/>
      <c r="F108" s="9"/>
      <c r="G108" s="10">
        <f t="shared" si="11"/>
        <v>126.1643836</v>
      </c>
      <c r="H108" s="11"/>
      <c r="I108" s="11"/>
      <c r="J108" s="11"/>
      <c r="K108" s="11"/>
      <c r="L108" s="13"/>
      <c r="M108" s="13"/>
      <c r="N108" s="11"/>
      <c r="O108" s="11"/>
      <c r="P108" s="11"/>
      <c r="Q108" s="11"/>
      <c r="R108" s="11"/>
      <c r="S108" s="11"/>
      <c r="T108" s="11"/>
      <c r="U108" s="14" t="str">
        <f t="shared" si="12"/>
        <v/>
      </c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4"/>
      <c r="AL108" s="16"/>
      <c r="AM108" s="11"/>
      <c r="AN108" s="11"/>
      <c r="AO108" s="11"/>
      <c r="AP108" s="17">
        <f t="shared" si="13"/>
        <v>12</v>
      </c>
      <c r="AQ108" s="17">
        <f t="shared" si="14"/>
        <v>1899</v>
      </c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>
      <c r="A109" s="11"/>
      <c r="B109" s="11"/>
      <c r="C109" s="11"/>
      <c r="D109" s="14" t="str">
        <f t="shared" si="10"/>
        <v>, </v>
      </c>
      <c r="E109" s="9"/>
      <c r="F109" s="9"/>
      <c r="G109" s="10">
        <f t="shared" si="11"/>
        <v>126.1643836</v>
      </c>
      <c r="H109" s="11"/>
      <c r="I109" s="11"/>
      <c r="J109" s="11"/>
      <c r="K109" s="11"/>
      <c r="L109" s="13"/>
      <c r="M109" s="13"/>
      <c r="N109" s="11"/>
      <c r="O109" s="11"/>
      <c r="P109" s="11"/>
      <c r="Q109" s="11"/>
      <c r="R109" s="11"/>
      <c r="S109" s="11"/>
      <c r="T109" s="11"/>
      <c r="U109" s="14" t="str">
        <f t="shared" si="12"/>
        <v/>
      </c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4"/>
      <c r="AL109" s="16"/>
      <c r="AM109" s="11"/>
      <c r="AN109" s="11"/>
      <c r="AO109" s="11"/>
      <c r="AP109" s="17">
        <f t="shared" si="13"/>
        <v>12</v>
      </c>
      <c r="AQ109" s="17">
        <f t="shared" si="14"/>
        <v>1899</v>
      </c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>
      <c r="A110" s="11"/>
      <c r="B110" s="11"/>
      <c r="C110" s="11"/>
      <c r="D110" s="14" t="str">
        <f t="shared" si="10"/>
        <v>, </v>
      </c>
      <c r="E110" s="9"/>
      <c r="F110" s="9"/>
      <c r="G110" s="10">
        <f t="shared" si="11"/>
        <v>126.1643836</v>
      </c>
      <c r="H110" s="11"/>
      <c r="I110" s="11"/>
      <c r="J110" s="11"/>
      <c r="K110" s="11"/>
      <c r="L110" s="13"/>
      <c r="M110" s="13"/>
      <c r="N110" s="11"/>
      <c r="O110" s="11"/>
      <c r="P110" s="11"/>
      <c r="Q110" s="11"/>
      <c r="R110" s="11"/>
      <c r="S110" s="11"/>
      <c r="T110" s="11"/>
      <c r="U110" s="14" t="str">
        <f t="shared" si="12"/>
        <v/>
      </c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4"/>
      <c r="AL110" s="16"/>
      <c r="AM110" s="11"/>
      <c r="AN110" s="11"/>
      <c r="AO110" s="11"/>
      <c r="AP110" s="17">
        <f t="shared" si="13"/>
        <v>12</v>
      </c>
      <c r="AQ110" s="17">
        <f t="shared" si="14"/>
        <v>1899</v>
      </c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</row>
    <row r="111">
      <c r="A111" s="11"/>
      <c r="B111" s="11"/>
      <c r="C111" s="11"/>
      <c r="D111" s="14" t="str">
        <f t="shared" si="10"/>
        <v>, </v>
      </c>
      <c r="E111" s="9"/>
      <c r="F111" s="9"/>
      <c r="G111" s="10">
        <f t="shared" si="11"/>
        <v>126.1643836</v>
      </c>
      <c r="H111" s="11"/>
      <c r="I111" s="11"/>
      <c r="J111" s="11"/>
      <c r="K111" s="11"/>
      <c r="L111" s="13"/>
      <c r="M111" s="13"/>
      <c r="N111" s="11"/>
      <c r="O111" s="11"/>
      <c r="P111" s="11"/>
      <c r="Q111" s="11"/>
      <c r="R111" s="11"/>
      <c r="S111" s="11"/>
      <c r="T111" s="11"/>
      <c r="U111" s="14" t="str">
        <f t="shared" si="12"/>
        <v/>
      </c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4"/>
      <c r="AL111" s="16"/>
      <c r="AM111" s="11"/>
      <c r="AN111" s="11"/>
      <c r="AO111" s="11"/>
      <c r="AP111" s="17">
        <f t="shared" si="13"/>
        <v>12</v>
      </c>
      <c r="AQ111" s="17">
        <f t="shared" si="14"/>
        <v>1899</v>
      </c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</row>
    <row r="112">
      <c r="A112" s="11"/>
      <c r="B112" s="11"/>
      <c r="C112" s="11"/>
      <c r="D112" s="14" t="str">
        <f t="shared" si="10"/>
        <v>, </v>
      </c>
      <c r="E112" s="9"/>
      <c r="F112" s="9"/>
      <c r="G112" s="10">
        <f t="shared" si="11"/>
        <v>126.1643836</v>
      </c>
      <c r="H112" s="11"/>
      <c r="I112" s="11"/>
      <c r="J112" s="11"/>
      <c r="K112" s="11"/>
      <c r="L112" s="13"/>
      <c r="M112" s="13"/>
      <c r="N112" s="11"/>
      <c r="O112" s="11"/>
      <c r="P112" s="11"/>
      <c r="Q112" s="11"/>
      <c r="R112" s="11"/>
      <c r="S112" s="11"/>
      <c r="T112" s="11"/>
      <c r="U112" s="14" t="str">
        <f t="shared" si="12"/>
        <v/>
      </c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4"/>
      <c r="AL112" s="16"/>
      <c r="AM112" s="11"/>
      <c r="AN112" s="11"/>
      <c r="AO112" s="11"/>
      <c r="AP112" s="17">
        <f t="shared" si="13"/>
        <v>12</v>
      </c>
      <c r="AQ112" s="17">
        <f t="shared" si="14"/>
        <v>1899</v>
      </c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</row>
    <row r="113">
      <c r="A113" s="11"/>
      <c r="B113" s="11"/>
      <c r="C113" s="11"/>
      <c r="D113" s="14" t="str">
        <f t="shared" si="10"/>
        <v>, </v>
      </c>
      <c r="E113" s="9"/>
      <c r="F113" s="9"/>
      <c r="G113" s="10">
        <f t="shared" si="11"/>
        <v>126.1643836</v>
      </c>
      <c r="H113" s="11"/>
      <c r="I113" s="11"/>
      <c r="J113" s="11"/>
      <c r="K113" s="11"/>
      <c r="L113" s="13"/>
      <c r="M113" s="13"/>
      <c r="N113" s="11"/>
      <c r="O113" s="11"/>
      <c r="P113" s="11"/>
      <c r="Q113" s="11"/>
      <c r="R113" s="11"/>
      <c r="S113" s="11"/>
      <c r="T113" s="11"/>
      <c r="U113" s="14" t="str">
        <f t="shared" si="12"/>
        <v/>
      </c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4"/>
      <c r="AL113" s="16"/>
      <c r="AM113" s="11"/>
      <c r="AN113" s="11"/>
      <c r="AO113" s="11"/>
      <c r="AP113" s="17">
        <f t="shared" si="13"/>
        <v>12</v>
      </c>
      <c r="AQ113" s="17">
        <f t="shared" si="14"/>
        <v>1899</v>
      </c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</row>
    <row r="114">
      <c r="A114" s="11"/>
      <c r="B114" s="11"/>
      <c r="C114" s="11"/>
      <c r="D114" s="14" t="str">
        <f t="shared" si="10"/>
        <v>, </v>
      </c>
      <c r="E114" s="9"/>
      <c r="F114" s="9"/>
      <c r="G114" s="10">
        <f t="shared" si="11"/>
        <v>126.1643836</v>
      </c>
      <c r="H114" s="11"/>
      <c r="I114" s="11"/>
      <c r="J114" s="11"/>
      <c r="K114" s="11"/>
      <c r="L114" s="13"/>
      <c r="M114" s="13"/>
      <c r="N114" s="11"/>
      <c r="O114" s="11"/>
      <c r="P114" s="11"/>
      <c r="Q114" s="11"/>
      <c r="R114" s="11"/>
      <c r="S114" s="11"/>
      <c r="T114" s="11"/>
      <c r="U114" s="14" t="str">
        <f t="shared" si="12"/>
        <v/>
      </c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4"/>
      <c r="AL114" s="16"/>
      <c r="AM114" s="11"/>
      <c r="AN114" s="11"/>
      <c r="AO114" s="11"/>
      <c r="AP114" s="17">
        <f t="shared" si="13"/>
        <v>12</v>
      </c>
      <c r="AQ114" s="17">
        <f t="shared" si="14"/>
        <v>1899</v>
      </c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</row>
    <row r="115">
      <c r="A115" s="11"/>
      <c r="B115" s="11"/>
      <c r="C115" s="11"/>
      <c r="D115" s="14" t="str">
        <f t="shared" si="10"/>
        <v>, </v>
      </c>
      <c r="E115" s="9"/>
      <c r="F115" s="9"/>
      <c r="G115" s="10">
        <f t="shared" si="11"/>
        <v>126.1643836</v>
      </c>
      <c r="H115" s="11"/>
      <c r="I115" s="11"/>
      <c r="J115" s="11"/>
      <c r="K115" s="11"/>
      <c r="L115" s="13"/>
      <c r="M115" s="13"/>
      <c r="N115" s="11"/>
      <c r="O115" s="11"/>
      <c r="P115" s="11"/>
      <c r="Q115" s="11"/>
      <c r="R115" s="11"/>
      <c r="S115" s="11"/>
      <c r="T115" s="11"/>
      <c r="U115" s="14" t="str">
        <f t="shared" si="12"/>
        <v/>
      </c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4"/>
      <c r="AL115" s="16"/>
      <c r="AM115" s="11"/>
      <c r="AN115" s="11"/>
      <c r="AO115" s="11"/>
      <c r="AP115" s="17">
        <f t="shared" si="13"/>
        <v>12</v>
      </c>
      <c r="AQ115" s="17">
        <f t="shared" si="14"/>
        <v>1899</v>
      </c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</row>
    <row r="116">
      <c r="A116" s="11"/>
      <c r="B116" s="11"/>
      <c r="C116" s="11"/>
      <c r="D116" s="14" t="str">
        <f t="shared" si="10"/>
        <v>, </v>
      </c>
      <c r="E116" s="9"/>
      <c r="F116" s="9"/>
      <c r="G116" s="10">
        <f t="shared" si="11"/>
        <v>126.1643836</v>
      </c>
      <c r="H116" s="11"/>
      <c r="I116" s="11"/>
      <c r="J116" s="11"/>
      <c r="K116" s="11"/>
      <c r="L116" s="13"/>
      <c r="M116" s="13"/>
      <c r="N116" s="11"/>
      <c r="O116" s="11"/>
      <c r="P116" s="11"/>
      <c r="Q116" s="11"/>
      <c r="R116" s="11"/>
      <c r="S116" s="11"/>
      <c r="T116" s="11"/>
      <c r="U116" s="14" t="str">
        <f t="shared" si="12"/>
        <v/>
      </c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4"/>
      <c r="AL116" s="16"/>
      <c r="AM116" s="11"/>
      <c r="AN116" s="11"/>
      <c r="AO116" s="11"/>
      <c r="AP116" s="17">
        <f t="shared" si="13"/>
        <v>12</v>
      </c>
      <c r="AQ116" s="17">
        <f t="shared" si="14"/>
        <v>1899</v>
      </c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</row>
    <row r="117">
      <c r="A117" s="11"/>
      <c r="B117" s="11"/>
      <c r="C117" s="11"/>
      <c r="D117" s="14" t="str">
        <f t="shared" si="10"/>
        <v>, </v>
      </c>
      <c r="E117" s="9"/>
      <c r="F117" s="9"/>
      <c r="G117" s="10">
        <f t="shared" si="11"/>
        <v>126.1643836</v>
      </c>
      <c r="H117" s="11"/>
      <c r="I117" s="11"/>
      <c r="J117" s="11"/>
      <c r="K117" s="11"/>
      <c r="L117" s="13"/>
      <c r="M117" s="13"/>
      <c r="N117" s="11"/>
      <c r="O117" s="11"/>
      <c r="P117" s="11"/>
      <c r="Q117" s="11"/>
      <c r="R117" s="11"/>
      <c r="S117" s="11"/>
      <c r="T117" s="11"/>
      <c r="U117" s="14" t="str">
        <f t="shared" si="12"/>
        <v/>
      </c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4"/>
      <c r="AL117" s="16"/>
      <c r="AM117" s="11"/>
      <c r="AN117" s="11"/>
      <c r="AO117" s="11"/>
      <c r="AP117" s="17">
        <f t="shared" si="13"/>
        <v>12</v>
      </c>
      <c r="AQ117" s="17">
        <f t="shared" si="14"/>
        <v>1899</v>
      </c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</row>
    <row r="118">
      <c r="A118" s="11"/>
      <c r="B118" s="11"/>
      <c r="C118" s="11"/>
      <c r="D118" s="14" t="str">
        <f t="shared" si="10"/>
        <v>, </v>
      </c>
      <c r="E118" s="9"/>
      <c r="F118" s="9"/>
      <c r="G118" s="10">
        <f t="shared" si="11"/>
        <v>126.1643836</v>
      </c>
      <c r="H118" s="11"/>
      <c r="I118" s="11"/>
      <c r="J118" s="11"/>
      <c r="K118" s="11"/>
      <c r="L118" s="13"/>
      <c r="M118" s="13"/>
      <c r="N118" s="11"/>
      <c r="O118" s="11"/>
      <c r="P118" s="11"/>
      <c r="Q118" s="11"/>
      <c r="R118" s="11"/>
      <c r="S118" s="11"/>
      <c r="T118" s="11"/>
      <c r="U118" s="14" t="str">
        <f t="shared" si="12"/>
        <v/>
      </c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4"/>
      <c r="AL118" s="16"/>
      <c r="AM118" s="11"/>
      <c r="AN118" s="11"/>
      <c r="AO118" s="11"/>
      <c r="AP118" s="17">
        <f t="shared" si="13"/>
        <v>12</v>
      </c>
      <c r="AQ118" s="17">
        <f t="shared" si="14"/>
        <v>1899</v>
      </c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</row>
    <row r="119">
      <c r="A119" s="11"/>
      <c r="B119" s="11"/>
      <c r="C119" s="11"/>
      <c r="D119" s="14" t="str">
        <f t="shared" si="10"/>
        <v>, </v>
      </c>
      <c r="E119" s="9"/>
      <c r="F119" s="9"/>
      <c r="G119" s="10">
        <f t="shared" si="11"/>
        <v>126.1643836</v>
      </c>
      <c r="H119" s="11"/>
      <c r="I119" s="11"/>
      <c r="J119" s="11"/>
      <c r="K119" s="11"/>
      <c r="L119" s="13"/>
      <c r="M119" s="13"/>
      <c r="N119" s="11"/>
      <c r="O119" s="11"/>
      <c r="P119" s="11"/>
      <c r="Q119" s="11"/>
      <c r="R119" s="11"/>
      <c r="S119" s="11"/>
      <c r="T119" s="11"/>
      <c r="U119" s="14" t="str">
        <f t="shared" si="12"/>
        <v/>
      </c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4"/>
      <c r="AL119" s="16"/>
      <c r="AM119" s="11"/>
      <c r="AN119" s="11"/>
      <c r="AO119" s="11"/>
      <c r="AP119" s="17">
        <f t="shared" si="13"/>
        <v>12</v>
      </c>
      <c r="AQ119" s="17">
        <f t="shared" si="14"/>
        <v>1899</v>
      </c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</row>
    <row r="120">
      <c r="A120" s="11"/>
      <c r="B120" s="11"/>
      <c r="C120" s="11"/>
      <c r="D120" s="14" t="str">
        <f t="shared" si="10"/>
        <v>, </v>
      </c>
      <c r="E120" s="9"/>
      <c r="F120" s="9"/>
      <c r="G120" s="10">
        <f t="shared" si="11"/>
        <v>126.1643836</v>
      </c>
      <c r="H120" s="11"/>
      <c r="I120" s="11"/>
      <c r="J120" s="11"/>
      <c r="K120" s="11"/>
      <c r="L120" s="13"/>
      <c r="M120" s="13"/>
      <c r="N120" s="11"/>
      <c r="O120" s="11"/>
      <c r="P120" s="11"/>
      <c r="Q120" s="11"/>
      <c r="R120" s="11"/>
      <c r="S120" s="11"/>
      <c r="T120" s="11"/>
      <c r="U120" s="14" t="str">
        <f t="shared" si="12"/>
        <v/>
      </c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4"/>
      <c r="AL120" s="16"/>
      <c r="AM120" s="11"/>
      <c r="AN120" s="11"/>
      <c r="AO120" s="11"/>
      <c r="AP120" s="17">
        <f t="shared" si="13"/>
        <v>12</v>
      </c>
      <c r="AQ120" s="17">
        <f t="shared" si="14"/>
        <v>1899</v>
      </c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</row>
    <row r="121">
      <c r="A121" s="11"/>
      <c r="B121" s="11"/>
      <c r="C121" s="11"/>
      <c r="D121" s="14" t="str">
        <f t="shared" si="10"/>
        <v>, </v>
      </c>
      <c r="E121" s="9"/>
      <c r="F121" s="9"/>
      <c r="G121" s="10">
        <f t="shared" si="11"/>
        <v>126.1643836</v>
      </c>
      <c r="H121" s="11"/>
      <c r="I121" s="11"/>
      <c r="J121" s="11"/>
      <c r="K121" s="11"/>
      <c r="L121" s="13"/>
      <c r="M121" s="13"/>
      <c r="N121" s="11"/>
      <c r="O121" s="11"/>
      <c r="P121" s="11"/>
      <c r="Q121" s="11"/>
      <c r="R121" s="11"/>
      <c r="S121" s="11"/>
      <c r="T121" s="11"/>
      <c r="U121" s="14" t="str">
        <f t="shared" si="12"/>
        <v/>
      </c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4"/>
      <c r="AL121" s="16"/>
      <c r="AM121" s="11"/>
      <c r="AN121" s="11"/>
      <c r="AO121" s="11"/>
      <c r="AP121" s="17">
        <f t="shared" si="13"/>
        <v>12</v>
      </c>
      <c r="AQ121" s="17">
        <f t="shared" si="14"/>
        <v>1899</v>
      </c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</row>
    <row r="122">
      <c r="A122" s="11"/>
      <c r="B122" s="11"/>
      <c r="C122" s="11"/>
      <c r="D122" s="14" t="str">
        <f t="shared" si="10"/>
        <v>, </v>
      </c>
      <c r="E122" s="9"/>
      <c r="F122" s="9"/>
      <c r="G122" s="10">
        <f t="shared" si="11"/>
        <v>126.1643836</v>
      </c>
      <c r="H122" s="11"/>
      <c r="I122" s="11"/>
      <c r="J122" s="11"/>
      <c r="K122" s="11"/>
      <c r="L122" s="13"/>
      <c r="M122" s="13"/>
      <c r="N122" s="11"/>
      <c r="O122" s="11"/>
      <c r="P122" s="11"/>
      <c r="Q122" s="11"/>
      <c r="R122" s="11"/>
      <c r="S122" s="11"/>
      <c r="T122" s="11"/>
      <c r="U122" s="14" t="str">
        <f t="shared" si="12"/>
        <v/>
      </c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4"/>
      <c r="AL122" s="16"/>
      <c r="AM122" s="11"/>
      <c r="AN122" s="11"/>
      <c r="AO122" s="11"/>
      <c r="AP122" s="17">
        <f t="shared" si="13"/>
        <v>12</v>
      </c>
      <c r="AQ122" s="17">
        <f t="shared" si="14"/>
        <v>1899</v>
      </c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</row>
    <row r="123">
      <c r="A123" s="11"/>
      <c r="B123" s="11"/>
      <c r="C123" s="11"/>
      <c r="D123" s="14" t="str">
        <f t="shared" si="10"/>
        <v>, </v>
      </c>
      <c r="E123" s="9"/>
      <c r="F123" s="9"/>
      <c r="G123" s="10">
        <f t="shared" si="11"/>
        <v>126.1643836</v>
      </c>
      <c r="H123" s="11"/>
      <c r="I123" s="11"/>
      <c r="J123" s="11"/>
      <c r="K123" s="11"/>
      <c r="L123" s="13"/>
      <c r="M123" s="13"/>
      <c r="N123" s="11"/>
      <c r="O123" s="11"/>
      <c r="P123" s="11"/>
      <c r="Q123" s="11"/>
      <c r="R123" s="11"/>
      <c r="S123" s="11"/>
      <c r="T123" s="11"/>
      <c r="U123" s="14" t="str">
        <f t="shared" si="12"/>
        <v/>
      </c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4"/>
      <c r="AL123" s="16"/>
      <c r="AM123" s="11"/>
      <c r="AN123" s="11"/>
      <c r="AO123" s="11"/>
      <c r="AP123" s="17">
        <f t="shared" si="13"/>
        <v>12</v>
      </c>
      <c r="AQ123" s="17">
        <f t="shared" si="14"/>
        <v>1899</v>
      </c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</row>
    <row r="124">
      <c r="A124" s="11"/>
      <c r="B124" s="11"/>
      <c r="C124" s="11"/>
      <c r="D124" s="14" t="str">
        <f t="shared" si="10"/>
        <v>, </v>
      </c>
      <c r="E124" s="9"/>
      <c r="F124" s="9"/>
      <c r="G124" s="10">
        <f t="shared" si="11"/>
        <v>126.1643836</v>
      </c>
      <c r="H124" s="11"/>
      <c r="I124" s="11"/>
      <c r="J124" s="11"/>
      <c r="K124" s="11"/>
      <c r="L124" s="13"/>
      <c r="M124" s="13"/>
      <c r="N124" s="11"/>
      <c r="O124" s="11"/>
      <c r="P124" s="11"/>
      <c r="Q124" s="11"/>
      <c r="R124" s="11"/>
      <c r="S124" s="11"/>
      <c r="T124" s="11"/>
      <c r="U124" s="14" t="str">
        <f t="shared" si="12"/>
        <v/>
      </c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4"/>
      <c r="AL124" s="16"/>
      <c r="AM124" s="11"/>
      <c r="AN124" s="11"/>
      <c r="AO124" s="11"/>
      <c r="AP124" s="17">
        <f t="shared" si="13"/>
        <v>12</v>
      </c>
      <c r="AQ124" s="17">
        <f t="shared" si="14"/>
        <v>1899</v>
      </c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</row>
    <row r="125">
      <c r="A125" s="11"/>
      <c r="B125" s="11"/>
      <c r="C125" s="11"/>
      <c r="D125" s="14" t="str">
        <f t="shared" si="10"/>
        <v>, </v>
      </c>
      <c r="E125" s="9"/>
      <c r="F125" s="9"/>
      <c r="G125" s="10">
        <f t="shared" si="11"/>
        <v>126.1643836</v>
      </c>
      <c r="H125" s="11"/>
      <c r="I125" s="11"/>
      <c r="J125" s="11"/>
      <c r="K125" s="11"/>
      <c r="L125" s="13"/>
      <c r="M125" s="13"/>
      <c r="N125" s="11"/>
      <c r="O125" s="11"/>
      <c r="P125" s="11"/>
      <c r="Q125" s="11"/>
      <c r="R125" s="11"/>
      <c r="S125" s="11"/>
      <c r="T125" s="11"/>
      <c r="U125" s="14" t="str">
        <f t="shared" si="12"/>
        <v/>
      </c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4"/>
      <c r="AL125" s="16"/>
      <c r="AM125" s="11"/>
      <c r="AN125" s="11"/>
      <c r="AO125" s="11"/>
      <c r="AP125" s="17">
        <f t="shared" si="13"/>
        <v>12</v>
      </c>
      <c r="AQ125" s="17">
        <f t="shared" si="14"/>
        <v>1899</v>
      </c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</row>
    <row r="126">
      <c r="A126" s="11"/>
      <c r="B126" s="11"/>
      <c r="C126" s="11"/>
      <c r="D126" s="14" t="str">
        <f t="shared" si="10"/>
        <v>, </v>
      </c>
      <c r="E126" s="9"/>
      <c r="F126" s="9"/>
      <c r="G126" s="10">
        <f t="shared" si="11"/>
        <v>126.1643836</v>
      </c>
      <c r="H126" s="11"/>
      <c r="I126" s="11"/>
      <c r="J126" s="11"/>
      <c r="K126" s="11"/>
      <c r="L126" s="13"/>
      <c r="M126" s="13"/>
      <c r="N126" s="11"/>
      <c r="O126" s="11"/>
      <c r="P126" s="11"/>
      <c r="Q126" s="11"/>
      <c r="R126" s="11"/>
      <c r="S126" s="11"/>
      <c r="T126" s="11"/>
      <c r="U126" s="14" t="str">
        <f t="shared" si="12"/>
        <v/>
      </c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4"/>
      <c r="AL126" s="16"/>
      <c r="AM126" s="11"/>
      <c r="AN126" s="11"/>
      <c r="AO126" s="11"/>
      <c r="AP126" s="17">
        <f t="shared" si="13"/>
        <v>12</v>
      </c>
      <c r="AQ126" s="17">
        <f t="shared" si="14"/>
        <v>1899</v>
      </c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</row>
    <row r="127">
      <c r="A127" s="11"/>
      <c r="B127" s="11"/>
      <c r="C127" s="11"/>
      <c r="D127" s="14" t="str">
        <f t="shared" si="10"/>
        <v>, </v>
      </c>
      <c r="E127" s="9"/>
      <c r="F127" s="9"/>
      <c r="G127" s="10">
        <f t="shared" si="11"/>
        <v>126.1643836</v>
      </c>
      <c r="H127" s="11"/>
      <c r="I127" s="11"/>
      <c r="J127" s="11"/>
      <c r="K127" s="11"/>
      <c r="L127" s="13"/>
      <c r="M127" s="13"/>
      <c r="N127" s="11"/>
      <c r="O127" s="11"/>
      <c r="P127" s="11"/>
      <c r="Q127" s="11"/>
      <c r="R127" s="11"/>
      <c r="S127" s="11"/>
      <c r="T127" s="11"/>
      <c r="U127" s="14" t="str">
        <f t="shared" si="12"/>
        <v/>
      </c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4"/>
      <c r="AL127" s="16"/>
      <c r="AM127" s="11"/>
      <c r="AN127" s="11"/>
      <c r="AO127" s="11"/>
      <c r="AP127" s="17">
        <f t="shared" si="13"/>
        <v>12</v>
      </c>
      <c r="AQ127" s="17">
        <f t="shared" si="14"/>
        <v>1899</v>
      </c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</row>
    <row r="128">
      <c r="A128" s="11"/>
      <c r="B128" s="11"/>
      <c r="C128" s="11"/>
      <c r="D128" s="14" t="str">
        <f t="shared" si="10"/>
        <v>, </v>
      </c>
      <c r="E128" s="9"/>
      <c r="F128" s="9"/>
      <c r="G128" s="10">
        <f t="shared" si="11"/>
        <v>126.1643836</v>
      </c>
      <c r="H128" s="11"/>
      <c r="I128" s="11"/>
      <c r="J128" s="11"/>
      <c r="K128" s="11"/>
      <c r="L128" s="13"/>
      <c r="M128" s="13"/>
      <c r="N128" s="11"/>
      <c r="O128" s="11"/>
      <c r="P128" s="11"/>
      <c r="Q128" s="11"/>
      <c r="R128" s="11"/>
      <c r="S128" s="11"/>
      <c r="T128" s="11"/>
      <c r="U128" s="14" t="str">
        <f t="shared" si="12"/>
        <v/>
      </c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4"/>
      <c r="AL128" s="16"/>
      <c r="AM128" s="11"/>
      <c r="AN128" s="11"/>
      <c r="AO128" s="11"/>
      <c r="AP128" s="17">
        <f t="shared" si="13"/>
        <v>12</v>
      </c>
      <c r="AQ128" s="17">
        <f t="shared" si="14"/>
        <v>1899</v>
      </c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</row>
    <row r="129">
      <c r="A129" s="11"/>
      <c r="B129" s="11"/>
      <c r="C129" s="11"/>
      <c r="D129" s="14" t="str">
        <f t="shared" si="10"/>
        <v>, </v>
      </c>
      <c r="E129" s="9"/>
      <c r="F129" s="9"/>
      <c r="G129" s="10">
        <f t="shared" si="11"/>
        <v>126.1643836</v>
      </c>
      <c r="H129" s="11"/>
      <c r="I129" s="11"/>
      <c r="J129" s="11"/>
      <c r="K129" s="11"/>
      <c r="L129" s="13"/>
      <c r="M129" s="13"/>
      <c r="N129" s="11"/>
      <c r="O129" s="11"/>
      <c r="P129" s="11"/>
      <c r="Q129" s="11"/>
      <c r="R129" s="11"/>
      <c r="S129" s="11"/>
      <c r="T129" s="11"/>
      <c r="U129" s="14" t="str">
        <f t="shared" si="12"/>
        <v/>
      </c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4"/>
      <c r="AL129" s="16"/>
      <c r="AM129" s="11"/>
      <c r="AN129" s="11"/>
      <c r="AO129" s="11"/>
      <c r="AP129" s="17">
        <f t="shared" si="13"/>
        <v>12</v>
      </c>
      <c r="AQ129" s="17">
        <f t="shared" si="14"/>
        <v>1899</v>
      </c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</row>
    <row r="130">
      <c r="A130" s="11"/>
      <c r="B130" s="11"/>
      <c r="C130" s="11"/>
      <c r="D130" s="14" t="str">
        <f t="shared" si="10"/>
        <v>, </v>
      </c>
      <c r="E130" s="9"/>
      <c r="F130" s="9"/>
      <c r="G130" s="10">
        <f t="shared" si="11"/>
        <v>126.1643836</v>
      </c>
      <c r="H130" s="11"/>
      <c r="I130" s="11"/>
      <c r="J130" s="11"/>
      <c r="K130" s="11"/>
      <c r="L130" s="13"/>
      <c r="M130" s="13"/>
      <c r="N130" s="11"/>
      <c r="O130" s="11"/>
      <c r="P130" s="11"/>
      <c r="Q130" s="11"/>
      <c r="R130" s="11"/>
      <c r="S130" s="11"/>
      <c r="T130" s="11"/>
      <c r="U130" s="14" t="str">
        <f t="shared" si="12"/>
        <v/>
      </c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4"/>
      <c r="AL130" s="16"/>
      <c r="AM130" s="11"/>
      <c r="AN130" s="11"/>
      <c r="AO130" s="11"/>
      <c r="AP130" s="17">
        <f t="shared" si="13"/>
        <v>12</v>
      </c>
      <c r="AQ130" s="17">
        <f t="shared" si="14"/>
        <v>1899</v>
      </c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</row>
    <row r="131">
      <c r="A131" s="11"/>
      <c r="B131" s="11"/>
      <c r="C131" s="11"/>
      <c r="D131" s="14" t="str">
        <f t="shared" si="10"/>
        <v>, </v>
      </c>
      <c r="E131" s="9"/>
      <c r="F131" s="9"/>
      <c r="G131" s="10">
        <f t="shared" si="11"/>
        <v>126.1643836</v>
      </c>
      <c r="H131" s="11"/>
      <c r="I131" s="11"/>
      <c r="J131" s="11"/>
      <c r="K131" s="11"/>
      <c r="L131" s="13"/>
      <c r="M131" s="13"/>
      <c r="N131" s="11"/>
      <c r="O131" s="11"/>
      <c r="P131" s="11"/>
      <c r="Q131" s="11"/>
      <c r="R131" s="11"/>
      <c r="S131" s="11"/>
      <c r="T131" s="11"/>
      <c r="U131" s="14" t="str">
        <f t="shared" si="12"/>
        <v/>
      </c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4"/>
      <c r="AL131" s="16"/>
      <c r="AM131" s="11"/>
      <c r="AN131" s="11"/>
      <c r="AO131" s="11"/>
      <c r="AP131" s="17">
        <f t="shared" si="13"/>
        <v>12</v>
      </c>
      <c r="AQ131" s="17">
        <f t="shared" si="14"/>
        <v>1899</v>
      </c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</row>
    <row r="132">
      <c r="A132" s="11"/>
      <c r="B132" s="11"/>
      <c r="C132" s="11"/>
      <c r="D132" s="14" t="str">
        <f t="shared" si="10"/>
        <v>, </v>
      </c>
      <c r="E132" s="9"/>
      <c r="F132" s="9"/>
      <c r="G132" s="10">
        <f t="shared" si="11"/>
        <v>126.1643836</v>
      </c>
      <c r="H132" s="11"/>
      <c r="I132" s="11"/>
      <c r="J132" s="11"/>
      <c r="K132" s="11"/>
      <c r="L132" s="13"/>
      <c r="M132" s="13"/>
      <c r="N132" s="11"/>
      <c r="O132" s="11"/>
      <c r="P132" s="11"/>
      <c r="Q132" s="11"/>
      <c r="R132" s="11"/>
      <c r="S132" s="11"/>
      <c r="T132" s="11"/>
      <c r="U132" s="14" t="str">
        <f t="shared" si="12"/>
        <v/>
      </c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4"/>
      <c r="AL132" s="16"/>
      <c r="AM132" s="11"/>
      <c r="AN132" s="11"/>
      <c r="AO132" s="11"/>
      <c r="AP132" s="17">
        <f t="shared" si="13"/>
        <v>12</v>
      </c>
      <c r="AQ132" s="17">
        <f t="shared" si="14"/>
        <v>1899</v>
      </c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</row>
    <row r="133">
      <c r="A133" s="11"/>
      <c r="B133" s="11"/>
      <c r="C133" s="11"/>
      <c r="D133" s="14" t="str">
        <f t="shared" si="10"/>
        <v>, </v>
      </c>
      <c r="E133" s="9"/>
      <c r="F133" s="9"/>
      <c r="G133" s="10">
        <f t="shared" si="11"/>
        <v>126.1643836</v>
      </c>
      <c r="H133" s="11"/>
      <c r="I133" s="11"/>
      <c r="J133" s="11"/>
      <c r="K133" s="11"/>
      <c r="L133" s="13"/>
      <c r="M133" s="13"/>
      <c r="N133" s="11"/>
      <c r="O133" s="11"/>
      <c r="P133" s="11"/>
      <c r="Q133" s="11"/>
      <c r="R133" s="11"/>
      <c r="S133" s="11"/>
      <c r="T133" s="11"/>
      <c r="U133" s="14" t="str">
        <f t="shared" si="12"/>
        <v/>
      </c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4"/>
      <c r="AL133" s="16"/>
      <c r="AM133" s="11"/>
      <c r="AN133" s="11"/>
      <c r="AO133" s="11"/>
      <c r="AP133" s="17">
        <f t="shared" si="13"/>
        <v>12</v>
      </c>
      <c r="AQ133" s="17">
        <f t="shared" si="14"/>
        <v>1899</v>
      </c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</row>
    <row r="134">
      <c r="A134" s="11"/>
      <c r="B134" s="11"/>
      <c r="C134" s="11"/>
      <c r="D134" s="14" t="str">
        <f t="shared" si="10"/>
        <v>, </v>
      </c>
      <c r="E134" s="9"/>
      <c r="F134" s="9"/>
      <c r="G134" s="10">
        <f t="shared" si="11"/>
        <v>126.1643836</v>
      </c>
      <c r="H134" s="11"/>
      <c r="I134" s="11"/>
      <c r="J134" s="11"/>
      <c r="K134" s="11"/>
      <c r="L134" s="13"/>
      <c r="M134" s="13"/>
      <c r="N134" s="11"/>
      <c r="O134" s="11"/>
      <c r="P134" s="11"/>
      <c r="Q134" s="11"/>
      <c r="R134" s="11"/>
      <c r="S134" s="11"/>
      <c r="T134" s="11"/>
      <c r="U134" s="14" t="str">
        <f t="shared" si="12"/>
        <v/>
      </c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4"/>
      <c r="AL134" s="16"/>
      <c r="AM134" s="11"/>
      <c r="AN134" s="11"/>
      <c r="AO134" s="11"/>
      <c r="AP134" s="17">
        <f t="shared" si="13"/>
        <v>12</v>
      </c>
      <c r="AQ134" s="17">
        <f t="shared" si="14"/>
        <v>1899</v>
      </c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</row>
    <row r="135">
      <c r="A135" s="11"/>
      <c r="B135" s="11"/>
      <c r="C135" s="11"/>
      <c r="D135" s="14" t="str">
        <f t="shared" si="10"/>
        <v>, </v>
      </c>
      <c r="E135" s="9"/>
      <c r="F135" s="9"/>
      <c r="G135" s="10">
        <f t="shared" si="11"/>
        <v>126.1643836</v>
      </c>
      <c r="H135" s="11"/>
      <c r="I135" s="11"/>
      <c r="J135" s="11"/>
      <c r="K135" s="11"/>
      <c r="L135" s="13"/>
      <c r="M135" s="13"/>
      <c r="N135" s="11"/>
      <c r="O135" s="11"/>
      <c r="P135" s="11"/>
      <c r="Q135" s="11"/>
      <c r="R135" s="11"/>
      <c r="S135" s="11"/>
      <c r="T135" s="11"/>
      <c r="U135" s="14" t="str">
        <f t="shared" si="12"/>
        <v/>
      </c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4"/>
      <c r="AL135" s="16"/>
      <c r="AM135" s="11"/>
      <c r="AN135" s="11"/>
      <c r="AO135" s="11"/>
      <c r="AP135" s="17">
        <f t="shared" si="13"/>
        <v>12</v>
      </c>
      <c r="AQ135" s="17">
        <f t="shared" si="14"/>
        <v>1899</v>
      </c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</row>
    <row r="136">
      <c r="A136" s="11"/>
      <c r="B136" s="11"/>
      <c r="C136" s="11"/>
      <c r="D136" s="14" t="str">
        <f t="shared" si="10"/>
        <v>, </v>
      </c>
      <c r="E136" s="9"/>
      <c r="F136" s="9"/>
      <c r="G136" s="10">
        <f t="shared" si="11"/>
        <v>126.1643836</v>
      </c>
      <c r="H136" s="11"/>
      <c r="I136" s="11"/>
      <c r="J136" s="11"/>
      <c r="K136" s="11"/>
      <c r="L136" s="13"/>
      <c r="M136" s="13"/>
      <c r="N136" s="11"/>
      <c r="O136" s="11"/>
      <c r="P136" s="11"/>
      <c r="Q136" s="11"/>
      <c r="R136" s="11"/>
      <c r="S136" s="11"/>
      <c r="T136" s="11"/>
      <c r="U136" s="14" t="str">
        <f t="shared" si="12"/>
        <v/>
      </c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4"/>
      <c r="AL136" s="16"/>
      <c r="AM136" s="11"/>
      <c r="AN136" s="11"/>
      <c r="AO136" s="11"/>
      <c r="AP136" s="17">
        <f t="shared" si="13"/>
        <v>12</v>
      </c>
      <c r="AQ136" s="17">
        <f t="shared" si="14"/>
        <v>1899</v>
      </c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</row>
    <row r="137">
      <c r="A137" s="11"/>
      <c r="B137" s="11"/>
      <c r="C137" s="11"/>
      <c r="D137" s="14" t="str">
        <f t="shared" si="10"/>
        <v>, </v>
      </c>
      <c r="E137" s="9"/>
      <c r="F137" s="9"/>
      <c r="G137" s="10">
        <f t="shared" si="11"/>
        <v>126.1643836</v>
      </c>
      <c r="H137" s="11"/>
      <c r="I137" s="11"/>
      <c r="J137" s="11"/>
      <c r="K137" s="11"/>
      <c r="L137" s="13"/>
      <c r="M137" s="13"/>
      <c r="N137" s="11"/>
      <c r="O137" s="11"/>
      <c r="P137" s="11"/>
      <c r="Q137" s="11"/>
      <c r="R137" s="11"/>
      <c r="S137" s="11"/>
      <c r="T137" s="11"/>
      <c r="U137" s="14" t="str">
        <f t="shared" si="12"/>
        <v/>
      </c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4"/>
      <c r="AL137" s="16"/>
      <c r="AM137" s="11"/>
      <c r="AN137" s="11"/>
      <c r="AO137" s="11"/>
      <c r="AP137" s="17">
        <f t="shared" si="13"/>
        <v>12</v>
      </c>
      <c r="AQ137" s="17">
        <f t="shared" si="14"/>
        <v>1899</v>
      </c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</row>
    <row r="138">
      <c r="A138" s="11"/>
      <c r="B138" s="11"/>
      <c r="C138" s="11"/>
      <c r="D138" s="14" t="str">
        <f t="shared" si="10"/>
        <v>, </v>
      </c>
      <c r="E138" s="9"/>
      <c r="F138" s="9"/>
      <c r="G138" s="10">
        <f t="shared" si="11"/>
        <v>126.1643836</v>
      </c>
      <c r="H138" s="11"/>
      <c r="I138" s="11"/>
      <c r="J138" s="11"/>
      <c r="K138" s="11"/>
      <c r="L138" s="13"/>
      <c r="M138" s="13"/>
      <c r="N138" s="11"/>
      <c r="O138" s="11"/>
      <c r="P138" s="11"/>
      <c r="Q138" s="11"/>
      <c r="R138" s="11"/>
      <c r="S138" s="11"/>
      <c r="T138" s="11"/>
      <c r="U138" s="14" t="str">
        <f t="shared" si="12"/>
        <v/>
      </c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4"/>
      <c r="AL138" s="16"/>
      <c r="AM138" s="11"/>
      <c r="AN138" s="11"/>
      <c r="AO138" s="11"/>
      <c r="AP138" s="17">
        <f t="shared" si="13"/>
        <v>12</v>
      </c>
      <c r="AQ138" s="17">
        <f t="shared" si="14"/>
        <v>1899</v>
      </c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</row>
    <row r="139">
      <c r="A139" s="11"/>
      <c r="B139" s="11"/>
      <c r="C139" s="11"/>
      <c r="D139" s="14" t="str">
        <f t="shared" si="10"/>
        <v>, </v>
      </c>
      <c r="E139" s="9"/>
      <c r="F139" s="9"/>
      <c r="G139" s="10">
        <f t="shared" si="11"/>
        <v>126.1643836</v>
      </c>
      <c r="H139" s="11"/>
      <c r="I139" s="11"/>
      <c r="J139" s="11"/>
      <c r="K139" s="11"/>
      <c r="L139" s="13"/>
      <c r="M139" s="13"/>
      <c r="N139" s="11"/>
      <c r="O139" s="11"/>
      <c r="P139" s="11"/>
      <c r="Q139" s="11"/>
      <c r="R139" s="11"/>
      <c r="S139" s="11"/>
      <c r="T139" s="11"/>
      <c r="U139" s="14" t="str">
        <f t="shared" si="12"/>
        <v/>
      </c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4"/>
      <c r="AL139" s="16"/>
      <c r="AM139" s="11"/>
      <c r="AN139" s="11"/>
      <c r="AO139" s="11"/>
      <c r="AP139" s="17">
        <f t="shared" si="13"/>
        <v>12</v>
      </c>
      <c r="AQ139" s="17">
        <f t="shared" si="14"/>
        <v>1899</v>
      </c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</row>
    <row r="140">
      <c r="A140" s="11"/>
      <c r="B140" s="11"/>
      <c r="C140" s="11"/>
      <c r="D140" s="14" t="str">
        <f t="shared" si="10"/>
        <v>, </v>
      </c>
      <c r="E140" s="9"/>
      <c r="F140" s="9"/>
      <c r="G140" s="10">
        <f t="shared" si="11"/>
        <v>126.1643836</v>
      </c>
      <c r="H140" s="11"/>
      <c r="I140" s="11"/>
      <c r="J140" s="11"/>
      <c r="K140" s="11"/>
      <c r="L140" s="13"/>
      <c r="M140" s="13"/>
      <c r="N140" s="11"/>
      <c r="O140" s="11"/>
      <c r="P140" s="11"/>
      <c r="Q140" s="11"/>
      <c r="R140" s="11"/>
      <c r="S140" s="11"/>
      <c r="T140" s="11"/>
      <c r="U140" s="14" t="str">
        <f t="shared" si="12"/>
        <v/>
      </c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4"/>
      <c r="AL140" s="16"/>
      <c r="AM140" s="11"/>
      <c r="AN140" s="11"/>
      <c r="AO140" s="11"/>
      <c r="AP140" s="17">
        <f t="shared" si="13"/>
        <v>12</v>
      </c>
      <c r="AQ140" s="17">
        <f t="shared" si="14"/>
        <v>1899</v>
      </c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</row>
    <row r="141">
      <c r="A141" s="11"/>
      <c r="B141" s="11"/>
      <c r="C141" s="11"/>
      <c r="D141" s="14" t="str">
        <f t="shared" si="10"/>
        <v>, </v>
      </c>
      <c r="E141" s="9"/>
      <c r="F141" s="9"/>
      <c r="G141" s="10">
        <f t="shared" si="11"/>
        <v>126.1643836</v>
      </c>
      <c r="H141" s="11"/>
      <c r="I141" s="11"/>
      <c r="J141" s="11"/>
      <c r="K141" s="11"/>
      <c r="L141" s="13"/>
      <c r="M141" s="13"/>
      <c r="N141" s="11"/>
      <c r="O141" s="11"/>
      <c r="P141" s="11"/>
      <c r="Q141" s="11"/>
      <c r="R141" s="11"/>
      <c r="S141" s="11"/>
      <c r="T141" s="11"/>
      <c r="U141" s="14" t="str">
        <f t="shared" si="12"/>
        <v/>
      </c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4"/>
      <c r="AL141" s="16"/>
      <c r="AM141" s="11"/>
      <c r="AN141" s="11"/>
      <c r="AO141" s="11"/>
      <c r="AP141" s="17">
        <f t="shared" si="13"/>
        <v>12</v>
      </c>
      <c r="AQ141" s="17">
        <f t="shared" si="14"/>
        <v>1899</v>
      </c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</row>
    <row r="142">
      <c r="A142" s="11"/>
      <c r="B142" s="11"/>
      <c r="C142" s="11"/>
      <c r="D142" s="14" t="str">
        <f t="shared" si="10"/>
        <v>, </v>
      </c>
      <c r="E142" s="9"/>
      <c r="F142" s="9"/>
      <c r="G142" s="10">
        <f t="shared" si="11"/>
        <v>126.1643836</v>
      </c>
      <c r="H142" s="11"/>
      <c r="I142" s="11"/>
      <c r="J142" s="11"/>
      <c r="K142" s="11"/>
      <c r="L142" s="13"/>
      <c r="M142" s="13"/>
      <c r="N142" s="11"/>
      <c r="O142" s="11"/>
      <c r="P142" s="11"/>
      <c r="Q142" s="11"/>
      <c r="R142" s="11"/>
      <c r="S142" s="11"/>
      <c r="T142" s="11"/>
      <c r="U142" s="14" t="str">
        <f t="shared" si="12"/>
        <v/>
      </c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4"/>
      <c r="AL142" s="16"/>
      <c r="AM142" s="11"/>
      <c r="AN142" s="11"/>
      <c r="AO142" s="11"/>
      <c r="AP142" s="17">
        <f t="shared" si="13"/>
        <v>12</v>
      </c>
      <c r="AQ142" s="17">
        <f t="shared" si="14"/>
        <v>1899</v>
      </c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</row>
    <row r="143">
      <c r="A143" s="11"/>
      <c r="B143" s="11"/>
      <c r="C143" s="11"/>
      <c r="D143" s="14" t="str">
        <f t="shared" si="10"/>
        <v>, </v>
      </c>
      <c r="E143" s="9"/>
      <c r="F143" s="9"/>
      <c r="G143" s="10">
        <f t="shared" si="11"/>
        <v>126.1643836</v>
      </c>
      <c r="H143" s="11"/>
      <c r="I143" s="11"/>
      <c r="J143" s="11"/>
      <c r="K143" s="11"/>
      <c r="L143" s="13"/>
      <c r="M143" s="13"/>
      <c r="N143" s="11"/>
      <c r="O143" s="11"/>
      <c r="P143" s="11"/>
      <c r="Q143" s="11"/>
      <c r="R143" s="11"/>
      <c r="S143" s="11"/>
      <c r="T143" s="11"/>
      <c r="U143" s="14" t="str">
        <f t="shared" si="12"/>
        <v/>
      </c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4"/>
      <c r="AL143" s="16"/>
      <c r="AM143" s="11"/>
      <c r="AN143" s="11"/>
      <c r="AO143" s="11"/>
      <c r="AP143" s="17">
        <f t="shared" si="13"/>
        <v>12</v>
      </c>
      <c r="AQ143" s="17">
        <f t="shared" si="14"/>
        <v>1899</v>
      </c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</row>
    <row r="144">
      <c r="A144" s="11"/>
      <c r="B144" s="11"/>
      <c r="C144" s="11"/>
      <c r="D144" s="14" t="str">
        <f t="shared" si="10"/>
        <v>, </v>
      </c>
      <c r="E144" s="9"/>
      <c r="F144" s="9"/>
      <c r="G144" s="10">
        <f t="shared" si="11"/>
        <v>126.1643836</v>
      </c>
      <c r="H144" s="11"/>
      <c r="I144" s="11"/>
      <c r="J144" s="11"/>
      <c r="K144" s="11"/>
      <c r="L144" s="13"/>
      <c r="M144" s="13"/>
      <c r="N144" s="11"/>
      <c r="O144" s="11"/>
      <c r="P144" s="11"/>
      <c r="Q144" s="11"/>
      <c r="R144" s="11"/>
      <c r="S144" s="11"/>
      <c r="T144" s="11"/>
      <c r="U144" s="14" t="str">
        <f t="shared" si="12"/>
        <v/>
      </c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4"/>
      <c r="AL144" s="16"/>
      <c r="AM144" s="11"/>
      <c r="AN144" s="11"/>
      <c r="AO144" s="11"/>
      <c r="AP144" s="17">
        <f t="shared" si="13"/>
        <v>12</v>
      </c>
      <c r="AQ144" s="17">
        <f t="shared" si="14"/>
        <v>1899</v>
      </c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</row>
    <row r="145">
      <c r="A145" s="11"/>
      <c r="B145" s="11"/>
      <c r="C145" s="11"/>
      <c r="D145" s="14" t="str">
        <f t="shared" si="10"/>
        <v>, </v>
      </c>
      <c r="E145" s="9"/>
      <c r="F145" s="9"/>
      <c r="G145" s="10">
        <f t="shared" si="11"/>
        <v>126.1643836</v>
      </c>
      <c r="H145" s="11"/>
      <c r="I145" s="11"/>
      <c r="J145" s="11"/>
      <c r="K145" s="11"/>
      <c r="L145" s="13"/>
      <c r="M145" s="13"/>
      <c r="N145" s="11"/>
      <c r="O145" s="11"/>
      <c r="P145" s="11"/>
      <c r="Q145" s="11"/>
      <c r="R145" s="11"/>
      <c r="S145" s="11"/>
      <c r="T145" s="11"/>
      <c r="U145" s="14" t="str">
        <f t="shared" si="12"/>
        <v/>
      </c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4"/>
      <c r="AL145" s="16"/>
      <c r="AM145" s="11"/>
      <c r="AN145" s="11"/>
      <c r="AO145" s="11"/>
      <c r="AP145" s="17">
        <f t="shared" si="13"/>
        <v>12</v>
      </c>
      <c r="AQ145" s="17">
        <f t="shared" si="14"/>
        <v>1899</v>
      </c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</row>
    <row r="146">
      <c r="A146" s="11"/>
      <c r="B146" s="11"/>
      <c r="C146" s="11"/>
      <c r="D146" s="14" t="str">
        <f t="shared" si="10"/>
        <v>, </v>
      </c>
      <c r="E146" s="9"/>
      <c r="F146" s="9"/>
      <c r="G146" s="10">
        <f t="shared" si="11"/>
        <v>126.1643836</v>
      </c>
      <c r="H146" s="11"/>
      <c r="I146" s="11"/>
      <c r="J146" s="11"/>
      <c r="K146" s="11"/>
      <c r="L146" s="13"/>
      <c r="M146" s="13"/>
      <c r="N146" s="11"/>
      <c r="O146" s="11"/>
      <c r="P146" s="11"/>
      <c r="Q146" s="11"/>
      <c r="R146" s="11"/>
      <c r="S146" s="11"/>
      <c r="T146" s="11"/>
      <c r="U146" s="14" t="str">
        <f t="shared" si="12"/>
        <v/>
      </c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4"/>
      <c r="AL146" s="16"/>
      <c r="AM146" s="11"/>
      <c r="AN146" s="11"/>
      <c r="AO146" s="11"/>
      <c r="AP146" s="17">
        <f t="shared" si="13"/>
        <v>12</v>
      </c>
      <c r="AQ146" s="17">
        <f t="shared" si="14"/>
        <v>1899</v>
      </c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</row>
    <row r="147">
      <c r="A147" s="11"/>
      <c r="B147" s="11"/>
      <c r="C147" s="11"/>
      <c r="D147" s="14" t="str">
        <f t="shared" si="10"/>
        <v>, </v>
      </c>
      <c r="E147" s="9"/>
      <c r="F147" s="9"/>
      <c r="G147" s="10">
        <f t="shared" si="11"/>
        <v>126.1643836</v>
      </c>
      <c r="H147" s="11"/>
      <c r="I147" s="11"/>
      <c r="J147" s="11"/>
      <c r="K147" s="11"/>
      <c r="L147" s="13"/>
      <c r="M147" s="13"/>
      <c r="N147" s="11"/>
      <c r="O147" s="11"/>
      <c r="P147" s="11"/>
      <c r="Q147" s="11"/>
      <c r="R147" s="11"/>
      <c r="S147" s="11"/>
      <c r="T147" s="11"/>
      <c r="U147" s="14" t="str">
        <f t="shared" si="12"/>
        <v/>
      </c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4"/>
      <c r="AL147" s="16"/>
      <c r="AM147" s="11"/>
      <c r="AN147" s="11"/>
      <c r="AO147" s="11"/>
      <c r="AP147" s="17">
        <f t="shared" si="13"/>
        <v>12</v>
      </c>
      <c r="AQ147" s="17">
        <f t="shared" si="14"/>
        <v>1899</v>
      </c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</row>
    <row r="148">
      <c r="A148" s="11"/>
      <c r="B148" s="11"/>
      <c r="C148" s="11"/>
      <c r="D148" s="14" t="str">
        <f t="shared" si="10"/>
        <v>, </v>
      </c>
      <c r="E148" s="9"/>
      <c r="F148" s="9"/>
      <c r="G148" s="10">
        <f t="shared" si="11"/>
        <v>126.1643836</v>
      </c>
      <c r="H148" s="11"/>
      <c r="I148" s="11"/>
      <c r="J148" s="11"/>
      <c r="K148" s="11"/>
      <c r="L148" s="13"/>
      <c r="M148" s="13"/>
      <c r="N148" s="11"/>
      <c r="O148" s="11"/>
      <c r="P148" s="11"/>
      <c r="Q148" s="11"/>
      <c r="R148" s="11"/>
      <c r="S148" s="11"/>
      <c r="T148" s="11"/>
      <c r="U148" s="14" t="str">
        <f t="shared" si="12"/>
        <v/>
      </c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4"/>
      <c r="AL148" s="16"/>
      <c r="AM148" s="11"/>
      <c r="AN148" s="11"/>
      <c r="AO148" s="11"/>
      <c r="AP148" s="17">
        <f t="shared" si="13"/>
        <v>12</v>
      </c>
      <c r="AQ148" s="17">
        <f t="shared" si="14"/>
        <v>1899</v>
      </c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</row>
    <row r="149">
      <c r="A149" s="11"/>
      <c r="B149" s="11"/>
      <c r="C149" s="11"/>
      <c r="D149" s="14" t="str">
        <f t="shared" si="10"/>
        <v>, </v>
      </c>
      <c r="E149" s="9"/>
      <c r="F149" s="9"/>
      <c r="G149" s="10">
        <f t="shared" si="11"/>
        <v>126.1643836</v>
      </c>
      <c r="H149" s="11"/>
      <c r="I149" s="11"/>
      <c r="J149" s="11"/>
      <c r="K149" s="11"/>
      <c r="L149" s="13"/>
      <c r="M149" s="13"/>
      <c r="N149" s="11"/>
      <c r="O149" s="11"/>
      <c r="P149" s="11"/>
      <c r="Q149" s="11"/>
      <c r="R149" s="11"/>
      <c r="S149" s="11"/>
      <c r="T149" s="11"/>
      <c r="U149" s="14" t="str">
        <f t="shared" si="12"/>
        <v/>
      </c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4"/>
      <c r="AL149" s="16"/>
      <c r="AM149" s="11"/>
      <c r="AN149" s="11"/>
      <c r="AO149" s="11"/>
      <c r="AP149" s="17">
        <f t="shared" si="13"/>
        <v>12</v>
      </c>
      <c r="AQ149" s="17">
        <f t="shared" si="14"/>
        <v>1899</v>
      </c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</row>
    <row r="150">
      <c r="A150" s="11"/>
      <c r="B150" s="11"/>
      <c r="C150" s="11"/>
      <c r="D150" s="14" t="str">
        <f t="shared" si="10"/>
        <v>, </v>
      </c>
      <c r="E150" s="9"/>
      <c r="F150" s="9"/>
      <c r="G150" s="10">
        <f t="shared" si="11"/>
        <v>126.1643836</v>
      </c>
      <c r="H150" s="11"/>
      <c r="I150" s="11"/>
      <c r="J150" s="11"/>
      <c r="K150" s="11"/>
      <c r="L150" s="13"/>
      <c r="M150" s="13"/>
      <c r="N150" s="11"/>
      <c r="O150" s="11"/>
      <c r="P150" s="11"/>
      <c r="Q150" s="11"/>
      <c r="R150" s="11"/>
      <c r="S150" s="11"/>
      <c r="T150" s="11"/>
      <c r="U150" s="14" t="str">
        <f t="shared" si="12"/>
        <v/>
      </c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4"/>
      <c r="AL150" s="16"/>
      <c r="AM150" s="11"/>
      <c r="AN150" s="11"/>
      <c r="AO150" s="11"/>
      <c r="AP150" s="17">
        <f t="shared" si="13"/>
        <v>12</v>
      </c>
      <c r="AQ150" s="17">
        <f t="shared" si="14"/>
        <v>1899</v>
      </c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</row>
    <row r="151">
      <c r="A151" s="11"/>
      <c r="B151" s="11"/>
      <c r="C151" s="11"/>
      <c r="D151" s="14" t="str">
        <f t="shared" si="10"/>
        <v>, </v>
      </c>
      <c r="E151" s="9"/>
      <c r="F151" s="9"/>
      <c r="G151" s="10">
        <f t="shared" si="11"/>
        <v>126.1643836</v>
      </c>
      <c r="H151" s="11"/>
      <c r="I151" s="11"/>
      <c r="J151" s="11"/>
      <c r="K151" s="11"/>
      <c r="L151" s="13"/>
      <c r="M151" s="13"/>
      <c r="N151" s="11"/>
      <c r="O151" s="11"/>
      <c r="P151" s="11"/>
      <c r="Q151" s="11"/>
      <c r="R151" s="11"/>
      <c r="S151" s="11"/>
      <c r="T151" s="11"/>
      <c r="U151" s="14" t="str">
        <f t="shared" si="12"/>
        <v/>
      </c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4"/>
      <c r="AL151" s="16"/>
      <c r="AM151" s="11"/>
      <c r="AN151" s="11"/>
      <c r="AO151" s="11"/>
      <c r="AP151" s="17">
        <f t="shared" si="13"/>
        <v>12</v>
      </c>
      <c r="AQ151" s="17">
        <f t="shared" si="14"/>
        <v>1899</v>
      </c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</row>
    <row r="152">
      <c r="A152" s="11"/>
      <c r="B152" s="11"/>
      <c r="C152" s="11"/>
      <c r="D152" s="14" t="str">
        <f t="shared" si="10"/>
        <v>, </v>
      </c>
      <c r="E152" s="9"/>
      <c r="F152" s="9"/>
      <c r="G152" s="10">
        <f t="shared" si="11"/>
        <v>126.1643836</v>
      </c>
      <c r="H152" s="11"/>
      <c r="I152" s="11"/>
      <c r="J152" s="11"/>
      <c r="K152" s="11"/>
      <c r="L152" s="13"/>
      <c r="M152" s="13"/>
      <c r="N152" s="11"/>
      <c r="O152" s="11"/>
      <c r="P152" s="11"/>
      <c r="Q152" s="11"/>
      <c r="R152" s="11"/>
      <c r="S152" s="11"/>
      <c r="T152" s="11"/>
      <c r="U152" s="14" t="str">
        <f t="shared" si="12"/>
        <v/>
      </c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4"/>
      <c r="AL152" s="16"/>
      <c r="AM152" s="11"/>
      <c r="AN152" s="11"/>
      <c r="AO152" s="11"/>
      <c r="AP152" s="17">
        <f t="shared" si="13"/>
        <v>12</v>
      </c>
      <c r="AQ152" s="17">
        <f t="shared" si="14"/>
        <v>1899</v>
      </c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</row>
    <row r="153">
      <c r="A153" s="11"/>
      <c r="B153" s="11"/>
      <c r="C153" s="11"/>
      <c r="D153" s="14" t="str">
        <f t="shared" si="10"/>
        <v>, </v>
      </c>
      <c r="E153" s="9"/>
      <c r="F153" s="9"/>
      <c r="G153" s="10">
        <f t="shared" si="11"/>
        <v>126.1643836</v>
      </c>
      <c r="H153" s="11"/>
      <c r="I153" s="11"/>
      <c r="J153" s="11"/>
      <c r="K153" s="11"/>
      <c r="L153" s="13"/>
      <c r="M153" s="13"/>
      <c r="N153" s="11"/>
      <c r="O153" s="11"/>
      <c r="P153" s="11"/>
      <c r="Q153" s="11"/>
      <c r="R153" s="11"/>
      <c r="S153" s="11"/>
      <c r="T153" s="11"/>
      <c r="U153" s="14" t="str">
        <f t="shared" si="12"/>
        <v/>
      </c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4"/>
      <c r="AL153" s="16"/>
      <c r="AM153" s="11"/>
      <c r="AN153" s="11"/>
      <c r="AO153" s="11"/>
      <c r="AP153" s="17">
        <f t="shared" si="13"/>
        <v>12</v>
      </c>
      <c r="AQ153" s="17">
        <f t="shared" si="14"/>
        <v>1899</v>
      </c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</row>
    <row r="154">
      <c r="A154" s="11"/>
      <c r="B154" s="11"/>
      <c r="C154" s="11"/>
      <c r="D154" s="14" t="str">
        <f t="shared" si="10"/>
        <v>, </v>
      </c>
      <c r="E154" s="9"/>
      <c r="F154" s="9"/>
      <c r="G154" s="10">
        <f t="shared" si="11"/>
        <v>126.1643836</v>
      </c>
      <c r="H154" s="11"/>
      <c r="I154" s="11"/>
      <c r="J154" s="11"/>
      <c r="K154" s="11"/>
      <c r="L154" s="13"/>
      <c r="M154" s="13"/>
      <c r="N154" s="11"/>
      <c r="O154" s="11"/>
      <c r="P154" s="11"/>
      <c r="Q154" s="11"/>
      <c r="R154" s="11"/>
      <c r="S154" s="11"/>
      <c r="T154" s="11"/>
      <c r="U154" s="14" t="str">
        <f t="shared" si="12"/>
        <v/>
      </c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4"/>
      <c r="AL154" s="16"/>
      <c r="AM154" s="11"/>
      <c r="AN154" s="11"/>
      <c r="AO154" s="11"/>
      <c r="AP154" s="17">
        <f t="shared" si="13"/>
        <v>12</v>
      </c>
      <c r="AQ154" s="17">
        <f t="shared" si="14"/>
        <v>1899</v>
      </c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</row>
    <row r="155">
      <c r="A155" s="11"/>
      <c r="B155" s="11"/>
      <c r="C155" s="11"/>
      <c r="D155" s="14" t="str">
        <f t="shared" si="10"/>
        <v>, </v>
      </c>
      <c r="E155" s="9"/>
      <c r="F155" s="9"/>
      <c r="G155" s="10">
        <f t="shared" si="11"/>
        <v>126.1643836</v>
      </c>
      <c r="H155" s="11"/>
      <c r="I155" s="11"/>
      <c r="J155" s="11"/>
      <c r="K155" s="11"/>
      <c r="L155" s="13"/>
      <c r="M155" s="13"/>
      <c r="N155" s="11"/>
      <c r="O155" s="11"/>
      <c r="P155" s="11"/>
      <c r="Q155" s="11"/>
      <c r="R155" s="11"/>
      <c r="S155" s="11"/>
      <c r="T155" s="11"/>
      <c r="U155" s="14" t="str">
        <f t="shared" si="12"/>
        <v/>
      </c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4"/>
      <c r="AL155" s="16"/>
      <c r="AM155" s="11"/>
      <c r="AN155" s="11"/>
      <c r="AO155" s="11"/>
      <c r="AP155" s="17">
        <f t="shared" si="13"/>
        <v>12</v>
      </c>
      <c r="AQ155" s="17">
        <f t="shared" si="14"/>
        <v>1899</v>
      </c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</row>
    <row r="156">
      <c r="A156" s="11"/>
      <c r="B156" s="11"/>
      <c r="C156" s="11"/>
      <c r="D156" s="14" t="str">
        <f t="shared" si="10"/>
        <v>, </v>
      </c>
      <c r="E156" s="9"/>
      <c r="F156" s="9"/>
      <c r="G156" s="10">
        <f t="shared" si="11"/>
        <v>126.1643836</v>
      </c>
      <c r="H156" s="11"/>
      <c r="I156" s="11"/>
      <c r="J156" s="11"/>
      <c r="K156" s="11"/>
      <c r="L156" s="13"/>
      <c r="M156" s="13"/>
      <c r="N156" s="11"/>
      <c r="O156" s="11"/>
      <c r="P156" s="11"/>
      <c r="Q156" s="11"/>
      <c r="R156" s="11"/>
      <c r="S156" s="11"/>
      <c r="T156" s="11"/>
      <c r="U156" s="14" t="str">
        <f t="shared" si="12"/>
        <v/>
      </c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4"/>
      <c r="AL156" s="16"/>
      <c r="AM156" s="11"/>
      <c r="AN156" s="11"/>
      <c r="AO156" s="11"/>
      <c r="AP156" s="17">
        <f t="shared" si="13"/>
        <v>12</v>
      </c>
      <c r="AQ156" s="17">
        <f t="shared" si="14"/>
        <v>1899</v>
      </c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</row>
    <row r="157">
      <c r="A157" s="11"/>
      <c r="B157" s="11"/>
      <c r="C157" s="11"/>
      <c r="D157" s="14" t="str">
        <f t="shared" si="10"/>
        <v>, </v>
      </c>
      <c r="E157" s="9"/>
      <c r="F157" s="9"/>
      <c r="G157" s="10">
        <f t="shared" si="11"/>
        <v>126.1643836</v>
      </c>
      <c r="H157" s="11"/>
      <c r="I157" s="11"/>
      <c r="J157" s="11"/>
      <c r="K157" s="11"/>
      <c r="L157" s="13"/>
      <c r="M157" s="13"/>
      <c r="N157" s="11"/>
      <c r="O157" s="11"/>
      <c r="P157" s="11"/>
      <c r="Q157" s="11"/>
      <c r="R157" s="11"/>
      <c r="S157" s="11"/>
      <c r="T157" s="11"/>
      <c r="U157" s="14" t="str">
        <f t="shared" si="12"/>
        <v/>
      </c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4"/>
      <c r="AL157" s="16"/>
      <c r="AM157" s="11"/>
      <c r="AN157" s="11"/>
      <c r="AO157" s="11"/>
      <c r="AP157" s="17">
        <f t="shared" si="13"/>
        <v>12</v>
      </c>
      <c r="AQ157" s="17">
        <f t="shared" si="14"/>
        <v>1899</v>
      </c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</row>
    <row r="158">
      <c r="A158" s="11"/>
      <c r="B158" s="11"/>
      <c r="C158" s="11"/>
      <c r="D158" s="14" t="str">
        <f t="shared" si="10"/>
        <v>, </v>
      </c>
      <c r="E158" s="9"/>
      <c r="F158" s="9"/>
      <c r="G158" s="10">
        <f t="shared" si="11"/>
        <v>126.1643836</v>
      </c>
      <c r="H158" s="11"/>
      <c r="I158" s="11"/>
      <c r="J158" s="11"/>
      <c r="K158" s="11"/>
      <c r="L158" s="13"/>
      <c r="M158" s="13"/>
      <c r="N158" s="11"/>
      <c r="O158" s="11"/>
      <c r="P158" s="11"/>
      <c r="Q158" s="11"/>
      <c r="R158" s="11"/>
      <c r="S158" s="11"/>
      <c r="T158" s="11"/>
      <c r="U158" s="14" t="str">
        <f t="shared" si="12"/>
        <v/>
      </c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4"/>
      <c r="AL158" s="16"/>
      <c r="AM158" s="11"/>
      <c r="AN158" s="11"/>
      <c r="AO158" s="11"/>
      <c r="AP158" s="17">
        <f t="shared" si="13"/>
        <v>12</v>
      </c>
      <c r="AQ158" s="17">
        <f t="shared" si="14"/>
        <v>1899</v>
      </c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</row>
    <row r="159">
      <c r="A159" s="11"/>
      <c r="B159" s="11"/>
      <c r="C159" s="11"/>
      <c r="D159" s="14" t="str">
        <f t="shared" si="10"/>
        <v>, </v>
      </c>
      <c r="E159" s="9"/>
      <c r="F159" s="9"/>
      <c r="G159" s="10">
        <f t="shared" si="11"/>
        <v>126.1643836</v>
      </c>
      <c r="H159" s="11"/>
      <c r="I159" s="11"/>
      <c r="J159" s="11"/>
      <c r="K159" s="11"/>
      <c r="L159" s="13"/>
      <c r="M159" s="13"/>
      <c r="N159" s="11"/>
      <c r="O159" s="11"/>
      <c r="P159" s="11"/>
      <c r="Q159" s="11"/>
      <c r="R159" s="11"/>
      <c r="S159" s="11"/>
      <c r="T159" s="11"/>
      <c r="U159" s="14" t="str">
        <f t="shared" si="12"/>
        <v/>
      </c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4"/>
      <c r="AL159" s="16"/>
      <c r="AM159" s="11"/>
      <c r="AN159" s="11"/>
      <c r="AO159" s="11"/>
      <c r="AP159" s="17">
        <f t="shared" si="13"/>
        <v>12</v>
      </c>
      <c r="AQ159" s="17">
        <f t="shared" si="14"/>
        <v>1899</v>
      </c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</row>
    <row r="160">
      <c r="A160" s="11"/>
      <c r="B160" s="11"/>
      <c r="C160" s="11"/>
      <c r="D160" s="14" t="str">
        <f t="shared" si="10"/>
        <v>, </v>
      </c>
      <c r="E160" s="9"/>
      <c r="F160" s="9"/>
      <c r="G160" s="10">
        <f t="shared" si="11"/>
        <v>126.1643836</v>
      </c>
      <c r="H160" s="11"/>
      <c r="I160" s="11"/>
      <c r="J160" s="11"/>
      <c r="K160" s="11"/>
      <c r="L160" s="13"/>
      <c r="M160" s="13"/>
      <c r="N160" s="11"/>
      <c r="O160" s="11"/>
      <c r="P160" s="11"/>
      <c r="Q160" s="11"/>
      <c r="R160" s="11"/>
      <c r="S160" s="11"/>
      <c r="T160" s="11"/>
      <c r="U160" s="14" t="str">
        <f t="shared" si="12"/>
        <v/>
      </c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4"/>
      <c r="AL160" s="16"/>
      <c r="AM160" s="11"/>
      <c r="AN160" s="11"/>
      <c r="AO160" s="11"/>
      <c r="AP160" s="17">
        <f t="shared" si="13"/>
        <v>12</v>
      </c>
      <c r="AQ160" s="17">
        <f t="shared" si="14"/>
        <v>1899</v>
      </c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</row>
    <row r="161">
      <c r="A161" s="11"/>
      <c r="B161" s="11"/>
      <c r="C161" s="11"/>
      <c r="D161" s="14" t="str">
        <f t="shared" si="10"/>
        <v>, </v>
      </c>
      <c r="E161" s="9"/>
      <c r="F161" s="9"/>
      <c r="G161" s="10">
        <f t="shared" si="11"/>
        <v>126.1643836</v>
      </c>
      <c r="H161" s="11"/>
      <c r="I161" s="11"/>
      <c r="J161" s="11"/>
      <c r="K161" s="11"/>
      <c r="L161" s="13"/>
      <c r="M161" s="13"/>
      <c r="N161" s="11"/>
      <c r="O161" s="11"/>
      <c r="P161" s="11"/>
      <c r="Q161" s="11"/>
      <c r="R161" s="11"/>
      <c r="S161" s="11"/>
      <c r="T161" s="11"/>
      <c r="U161" s="14" t="str">
        <f t="shared" si="12"/>
        <v/>
      </c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4"/>
      <c r="AL161" s="16"/>
      <c r="AM161" s="11"/>
      <c r="AN161" s="11"/>
      <c r="AO161" s="11"/>
      <c r="AP161" s="17">
        <f t="shared" si="13"/>
        <v>12</v>
      </c>
      <c r="AQ161" s="17">
        <f t="shared" si="14"/>
        <v>1899</v>
      </c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</row>
    <row r="162">
      <c r="A162" s="11"/>
      <c r="B162" s="11"/>
      <c r="C162" s="11"/>
      <c r="D162" s="14" t="str">
        <f t="shared" si="10"/>
        <v>, </v>
      </c>
      <c r="E162" s="9"/>
      <c r="F162" s="9"/>
      <c r="G162" s="10">
        <f t="shared" si="11"/>
        <v>126.1643836</v>
      </c>
      <c r="H162" s="11"/>
      <c r="I162" s="11"/>
      <c r="J162" s="11"/>
      <c r="K162" s="11"/>
      <c r="L162" s="13"/>
      <c r="M162" s="13"/>
      <c r="N162" s="11"/>
      <c r="O162" s="11"/>
      <c r="P162" s="11"/>
      <c r="Q162" s="11"/>
      <c r="R162" s="11"/>
      <c r="S162" s="11"/>
      <c r="T162" s="11"/>
      <c r="U162" s="14" t="str">
        <f t="shared" si="12"/>
        <v/>
      </c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4"/>
      <c r="AL162" s="16"/>
      <c r="AM162" s="11"/>
      <c r="AN162" s="11"/>
      <c r="AO162" s="11"/>
      <c r="AP162" s="17">
        <f t="shared" si="13"/>
        <v>12</v>
      </c>
      <c r="AQ162" s="17">
        <f t="shared" si="14"/>
        <v>1899</v>
      </c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</row>
    <row r="163">
      <c r="A163" s="11"/>
      <c r="B163" s="11"/>
      <c r="C163" s="11"/>
      <c r="D163" s="14" t="str">
        <f t="shared" si="10"/>
        <v>, </v>
      </c>
      <c r="E163" s="9"/>
      <c r="F163" s="9"/>
      <c r="G163" s="10">
        <f t="shared" si="11"/>
        <v>126.1643836</v>
      </c>
      <c r="H163" s="11"/>
      <c r="I163" s="11"/>
      <c r="J163" s="11"/>
      <c r="K163" s="11"/>
      <c r="L163" s="13"/>
      <c r="M163" s="13"/>
      <c r="N163" s="11"/>
      <c r="O163" s="11"/>
      <c r="P163" s="11"/>
      <c r="Q163" s="11"/>
      <c r="R163" s="11"/>
      <c r="S163" s="11"/>
      <c r="T163" s="11"/>
      <c r="U163" s="14" t="str">
        <f t="shared" si="12"/>
        <v/>
      </c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4"/>
      <c r="AL163" s="16"/>
      <c r="AM163" s="11"/>
      <c r="AN163" s="11"/>
      <c r="AO163" s="11"/>
      <c r="AP163" s="17">
        <f t="shared" si="13"/>
        <v>12</v>
      </c>
      <c r="AQ163" s="17">
        <f t="shared" si="14"/>
        <v>1899</v>
      </c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</row>
    <row r="164">
      <c r="A164" s="11"/>
      <c r="B164" s="11"/>
      <c r="C164" s="11"/>
      <c r="D164" s="14" t="str">
        <f t="shared" si="10"/>
        <v>, </v>
      </c>
      <c r="E164" s="9"/>
      <c r="F164" s="9"/>
      <c r="G164" s="10">
        <f t="shared" si="11"/>
        <v>126.1643836</v>
      </c>
      <c r="H164" s="11"/>
      <c r="I164" s="11"/>
      <c r="J164" s="11"/>
      <c r="K164" s="11"/>
      <c r="L164" s="13"/>
      <c r="M164" s="13"/>
      <c r="N164" s="11"/>
      <c r="O164" s="11"/>
      <c r="P164" s="11"/>
      <c r="Q164" s="11"/>
      <c r="R164" s="11"/>
      <c r="S164" s="11"/>
      <c r="T164" s="11"/>
      <c r="U164" s="14" t="str">
        <f t="shared" si="12"/>
        <v/>
      </c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4"/>
      <c r="AL164" s="16"/>
      <c r="AM164" s="11"/>
      <c r="AN164" s="11"/>
      <c r="AO164" s="11"/>
      <c r="AP164" s="17">
        <f t="shared" si="13"/>
        <v>12</v>
      </c>
      <c r="AQ164" s="17">
        <f t="shared" si="14"/>
        <v>1899</v>
      </c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</row>
    <row r="165">
      <c r="A165" s="11"/>
      <c r="B165" s="11"/>
      <c r="C165" s="11"/>
      <c r="D165" s="14" t="str">
        <f t="shared" si="10"/>
        <v>, </v>
      </c>
      <c r="E165" s="9"/>
      <c r="F165" s="9"/>
      <c r="G165" s="10">
        <f t="shared" si="11"/>
        <v>126.1643836</v>
      </c>
      <c r="H165" s="11"/>
      <c r="I165" s="11"/>
      <c r="J165" s="11"/>
      <c r="K165" s="11"/>
      <c r="L165" s="13"/>
      <c r="M165" s="13"/>
      <c r="N165" s="11"/>
      <c r="O165" s="11"/>
      <c r="P165" s="11"/>
      <c r="Q165" s="11"/>
      <c r="R165" s="11"/>
      <c r="S165" s="11"/>
      <c r="T165" s="11"/>
      <c r="U165" s="14" t="str">
        <f t="shared" si="12"/>
        <v/>
      </c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4"/>
      <c r="AL165" s="16"/>
      <c r="AM165" s="11"/>
      <c r="AN165" s="11"/>
      <c r="AO165" s="11"/>
      <c r="AP165" s="17">
        <f t="shared" si="13"/>
        <v>12</v>
      </c>
      <c r="AQ165" s="17">
        <f t="shared" si="14"/>
        <v>1899</v>
      </c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</row>
    <row r="166">
      <c r="A166" s="11"/>
      <c r="B166" s="11"/>
      <c r="C166" s="11"/>
      <c r="D166" s="14" t="str">
        <f t="shared" si="10"/>
        <v>, </v>
      </c>
      <c r="E166" s="9"/>
      <c r="F166" s="9"/>
      <c r="G166" s="10">
        <f t="shared" si="11"/>
        <v>126.1643836</v>
      </c>
      <c r="H166" s="11"/>
      <c r="I166" s="11"/>
      <c r="J166" s="11"/>
      <c r="K166" s="11"/>
      <c r="L166" s="13"/>
      <c r="M166" s="13"/>
      <c r="N166" s="11"/>
      <c r="O166" s="11"/>
      <c r="P166" s="11"/>
      <c r="Q166" s="11"/>
      <c r="R166" s="11"/>
      <c r="S166" s="11"/>
      <c r="T166" s="11"/>
      <c r="U166" s="14" t="str">
        <f t="shared" si="12"/>
        <v/>
      </c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4"/>
      <c r="AL166" s="16"/>
      <c r="AM166" s="11"/>
      <c r="AN166" s="11"/>
      <c r="AO166" s="11"/>
      <c r="AP166" s="17">
        <f t="shared" si="13"/>
        <v>12</v>
      </c>
      <c r="AQ166" s="17">
        <f t="shared" si="14"/>
        <v>1899</v>
      </c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</row>
    <row r="167">
      <c r="A167" s="11"/>
      <c r="B167" s="11"/>
      <c r="C167" s="11"/>
      <c r="D167" s="14" t="str">
        <f t="shared" si="10"/>
        <v>, </v>
      </c>
      <c r="E167" s="9"/>
      <c r="F167" s="9"/>
      <c r="G167" s="10">
        <f t="shared" si="11"/>
        <v>126.1643836</v>
      </c>
      <c r="H167" s="11"/>
      <c r="I167" s="11"/>
      <c r="J167" s="11"/>
      <c r="K167" s="11"/>
      <c r="L167" s="13"/>
      <c r="M167" s="13"/>
      <c r="N167" s="11"/>
      <c r="O167" s="11"/>
      <c r="P167" s="11"/>
      <c r="Q167" s="11"/>
      <c r="R167" s="11"/>
      <c r="S167" s="11"/>
      <c r="T167" s="11"/>
      <c r="U167" s="14" t="str">
        <f t="shared" si="12"/>
        <v/>
      </c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4"/>
      <c r="AL167" s="16"/>
      <c r="AM167" s="11"/>
      <c r="AN167" s="11"/>
      <c r="AO167" s="11"/>
      <c r="AP167" s="17">
        <f t="shared" si="13"/>
        <v>12</v>
      </c>
      <c r="AQ167" s="17">
        <f t="shared" si="14"/>
        <v>1899</v>
      </c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</row>
    <row r="168">
      <c r="A168" s="11"/>
      <c r="B168" s="11"/>
      <c r="C168" s="11"/>
      <c r="D168" s="14" t="str">
        <f t="shared" si="10"/>
        <v>, </v>
      </c>
      <c r="E168" s="9"/>
      <c r="F168" s="9"/>
      <c r="G168" s="10">
        <f t="shared" si="11"/>
        <v>126.1643836</v>
      </c>
      <c r="H168" s="11"/>
      <c r="I168" s="11"/>
      <c r="J168" s="11"/>
      <c r="K168" s="11"/>
      <c r="L168" s="13"/>
      <c r="M168" s="13"/>
      <c r="N168" s="11"/>
      <c r="O168" s="11"/>
      <c r="P168" s="11"/>
      <c r="Q168" s="11"/>
      <c r="R168" s="11"/>
      <c r="S168" s="11"/>
      <c r="T168" s="11"/>
      <c r="U168" s="14" t="str">
        <f t="shared" si="12"/>
        <v/>
      </c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4"/>
      <c r="AL168" s="16"/>
      <c r="AM168" s="11"/>
      <c r="AN168" s="11"/>
      <c r="AO168" s="11"/>
      <c r="AP168" s="17">
        <f t="shared" si="13"/>
        <v>12</v>
      </c>
      <c r="AQ168" s="17">
        <f t="shared" si="14"/>
        <v>1899</v>
      </c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</row>
    <row r="169">
      <c r="A169" s="11"/>
      <c r="B169" s="11"/>
      <c r="C169" s="11"/>
      <c r="D169" s="14" t="str">
        <f t="shared" si="10"/>
        <v>, </v>
      </c>
      <c r="E169" s="9"/>
      <c r="F169" s="9"/>
      <c r="G169" s="10">
        <f t="shared" si="11"/>
        <v>126.1643836</v>
      </c>
      <c r="H169" s="11"/>
      <c r="I169" s="11"/>
      <c r="J169" s="11"/>
      <c r="K169" s="11"/>
      <c r="L169" s="13"/>
      <c r="M169" s="13"/>
      <c r="N169" s="11"/>
      <c r="O169" s="11"/>
      <c r="P169" s="11"/>
      <c r="Q169" s="11"/>
      <c r="R169" s="11"/>
      <c r="S169" s="11"/>
      <c r="T169" s="11"/>
      <c r="U169" s="14" t="str">
        <f t="shared" si="12"/>
        <v/>
      </c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4"/>
      <c r="AL169" s="16"/>
      <c r="AM169" s="11"/>
      <c r="AN169" s="11"/>
      <c r="AO169" s="11"/>
      <c r="AP169" s="17">
        <f t="shared" si="13"/>
        <v>12</v>
      </c>
      <c r="AQ169" s="17">
        <f t="shared" si="14"/>
        <v>1899</v>
      </c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</row>
    <row r="170">
      <c r="A170" s="11"/>
      <c r="B170" s="11"/>
      <c r="C170" s="11"/>
      <c r="D170" s="14" t="str">
        <f t="shared" si="10"/>
        <v>, </v>
      </c>
      <c r="E170" s="9"/>
      <c r="F170" s="9"/>
      <c r="G170" s="10">
        <f t="shared" si="11"/>
        <v>126.1643836</v>
      </c>
      <c r="H170" s="11"/>
      <c r="I170" s="11"/>
      <c r="J170" s="11"/>
      <c r="K170" s="11"/>
      <c r="L170" s="13"/>
      <c r="M170" s="13"/>
      <c r="N170" s="11"/>
      <c r="O170" s="11"/>
      <c r="P170" s="11"/>
      <c r="Q170" s="11"/>
      <c r="R170" s="11"/>
      <c r="S170" s="11"/>
      <c r="T170" s="11"/>
      <c r="U170" s="14" t="str">
        <f t="shared" si="12"/>
        <v/>
      </c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4"/>
      <c r="AL170" s="16"/>
      <c r="AM170" s="11"/>
      <c r="AN170" s="11"/>
      <c r="AO170" s="11"/>
      <c r="AP170" s="17">
        <f t="shared" si="13"/>
        <v>12</v>
      </c>
      <c r="AQ170" s="17">
        <f t="shared" si="14"/>
        <v>1899</v>
      </c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</row>
    <row r="171">
      <c r="A171" s="11"/>
      <c r="B171" s="11"/>
      <c r="C171" s="11"/>
      <c r="D171" s="14" t="str">
        <f t="shared" si="10"/>
        <v>, </v>
      </c>
      <c r="E171" s="9"/>
      <c r="F171" s="9"/>
      <c r="G171" s="10">
        <f t="shared" si="11"/>
        <v>126.1643836</v>
      </c>
      <c r="H171" s="11"/>
      <c r="I171" s="11"/>
      <c r="J171" s="11"/>
      <c r="K171" s="11"/>
      <c r="L171" s="13"/>
      <c r="M171" s="13"/>
      <c r="N171" s="11"/>
      <c r="O171" s="11"/>
      <c r="P171" s="11"/>
      <c r="Q171" s="11"/>
      <c r="R171" s="11"/>
      <c r="S171" s="11"/>
      <c r="T171" s="11"/>
      <c r="U171" s="14" t="str">
        <f t="shared" si="12"/>
        <v/>
      </c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4"/>
      <c r="AL171" s="16"/>
      <c r="AM171" s="11"/>
      <c r="AN171" s="11"/>
      <c r="AO171" s="11"/>
      <c r="AP171" s="17">
        <f t="shared" si="13"/>
        <v>12</v>
      </c>
      <c r="AQ171" s="17">
        <f t="shared" si="14"/>
        <v>1899</v>
      </c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</row>
    <row r="172">
      <c r="A172" s="11"/>
      <c r="B172" s="11"/>
      <c r="C172" s="11"/>
      <c r="D172" s="14" t="str">
        <f t="shared" si="10"/>
        <v>, </v>
      </c>
      <c r="E172" s="9"/>
      <c r="F172" s="9"/>
      <c r="G172" s="10">
        <f t="shared" si="11"/>
        <v>126.1643836</v>
      </c>
      <c r="H172" s="11"/>
      <c r="I172" s="11"/>
      <c r="J172" s="11"/>
      <c r="K172" s="11"/>
      <c r="L172" s="13"/>
      <c r="M172" s="13"/>
      <c r="N172" s="11"/>
      <c r="O172" s="11"/>
      <c r="P172" s="11"/>
      <c r="Q172" s="11"/>
      <c r="R172" s="11"/>
      <c r="S172" s="11"/>
      <c r="T172" s="11"/>
      <c r="U172" s="14" t="str">
        <f t="shared" si="12"/>
        <v/>
      </c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4"/>
      <c r="AL172" s="16"/>
      <c r="AM172" s="11"/>
      <c r="AN172" s="11"/>
      <c r="AO172" s="11"/>
      <c r="AP172" s="17">
        <f t="shared" si="13"/>
        <v>12</v>
      </c>
      <c r="AQ172" s="17">
        <f t="shared" si="14"/>
        <v>1899</v>
      </c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</row>
    <row r="173">
      <c r="A173" s="11"/>
      <c r="B173" s="11"/>
      <c r="C173" s="11"/>
      <c r="D173" s="14" t="str">
        <f t="shared" si="10"/>
        <v>, </v>
      </c>
      <c r="E173" s="9"/>
      <c r="F173" s="9"/>
      <c r="G173" s="10">
        <f t="shared" si="11"/>
        <v>126.1643836</v>
      </c>
      <c r="H173" s="11"/>
      <c r="I173" s="11"/>
      <c r="J173" s="11"/>
      <c r="K173" s="11"/>
      <c r="L173" s="13"/>
      <c r="M173" s="13"/>
      <c r="N173" s="11"/>
      <c r="O173" s="11"/>
      <c r="P173" s="11"/>
      <c r="Q173" s="11"/>
      <c r="R173" s="11"/>
      <c r="S173" s="11"/>
      <c r="T173" s="11"/>
      <c r="U173" s="14" t="str">
        <f t="shared" si="12"/>
        <v/>
      </c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4"/>
      <c r="AL173" s="16"/>
      <c r="AM173" s="11"/>
      <c r="AN173" s="11"/>
      <c r="AO173" s="11"/>
      <c r="AP173" s="17">
        <f t="shared" si="13"/>
        <v>12</v>
      </c>
      <c r="AQ173" s="17">
        <f t="shared" si="14"/>
        <v>1899</v>
      </c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</row>
    <row r="174">
      <c r="A174" s="11"/>
      <c r="B174" s="11"/>
      <c r="C174" s="11"/>
      <c r="D174" s="14" t="str">
        <f t="shared" si="10"/>
        <v>, </v>
      </c>
      <c r="E174" s="9"/>
      <c r="F174" s="9"/>
      <c r="G174" s="10">
        <f t="shared" si="11"/>
        <v>126.1643836</v>
      </c>
      <c r="H174" s="11"/>
      <c r="I174" s="11"/>
      <c r="J174" s="11"/>
      <c r="K174" s="11"/>
      <c r="L174" s="13"/>
      <c r="M174" s="13"/>
      <c r="N174" s="11"/>
      <c r="O174" s="11"/>
      <c r="P174" s="11"/>
      <c r="Q174" s="11"/>
      <c r="R174" s="11"/>
      <c r="S174" s="11"/>
      <c r="T174" s="11"/>
      <c r="U174" s="14" t="str">
        <f t="shared" si="12"/>
        <v/>
      </c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4"/>
      <c r="AL174" s="16"/>
      <c r="AM174" s="11"/>
      <c r="AN174" s="11"/>
      <c r="AO174" s="11"/>
      <c r="AP174" s="17">
        <f t="shared" si="13"/>
        <v>12</v>
      </c>
      <c r="AQ174" s="17">
        <f t="shared" si="14"/>
        <v>1899</v>
      </c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</row>
    <row r="175">
      <c r="A175" s="11"/>
      <c r="B175" s="11"/>
      <c r="C175" s="11"/>
      <c r="D175" s="14" t="str">
        <f t="shared" si="10"/>
        <v>, </v>
      </c>
      <c r="E175" s="9"/>
      <c r="F175" s="9"/>
      <c r="G175" s="10">
        <f t="shared" si="11"/>
        <v>126.1643836</v>
      </c>
      <c r="H175" s="11"/>
      <c r="I175" s="11"/>
      <c r="J175" s="11"/>
      <c r="K175" s="11"/>
      <c r="L175" s="13"/>
      <c r="M175" s="13"/>
      <c r="N175" s="11"/>
      <c r="O175" s="11"/>
      <c r="P175" s="11"/>
      <c r="Q175" s="11"/>
      <c r="R175" s="11"/>
      <c r="S175" s="11"/>
      <c r="T175" s="11"/>
      <c r="U175" s="14" t="str">
        <f t="shared" si="12"/>
        <v/>
      </c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4"/>
      <c r="AL175" s="16"/>
      <c r="AM175" s="11"/>
      <c r="AN175" s="11"/>
      <c r="AO175" s="11"/>
      <c r="AP175" s="17">
        <f t="shared" si="13"/>
        <v>12</v>
      </c>
      <c r="AQ175" s="17">
        <f t="shared" si="14"/>
        <v>1899</v>
      </c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</row>
    <row r="176">
      <c r="A176" s="11"/>
      <c r="B176" s="11"/>
      <c r="C176" s="11"/>
      <c r="D176" s="14" t="str">
        <f t="shared" si="10"/>
        <v>, </v>
      </c>
      <c r="E176" s="9"/>
      <c r="F176" s="9"/>
      <c r="G176" s="10">
        <f t="shared" si="11"/>
        <v>126.1643836</v>
      </c>
      <c r="H176" s="11"/>
      <c r="I176" s="11"/>
      <c r="J176" s="11"/>
      <c r="K176" s="11"/>
      <c r="L176" s="13"/>
      <c r="M176" s="13"/>
      <c r="N176" s="11"/>
      <c r="O176" s="11"/>
      <c r="P176" s="11"/>
      <c r="Q176" s="11"/>
      <c r="R176" s="11"/>
      <c r="S176" s="11"/>
      <c r="T176" s="11"/>
      <c r="U176" s="14" t="str">
        <f t="shared" si="12"/>
        <v/>
      </c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4"/>
      <c r="AL176" s="16"/>
      <c r="AM176" s="11"/>
      <c r="AN176" s="11"/>
      <c r="AO176" s="11"/>
      <c r="AP176" s="17">
        <f t="shared" si="13"/>
        <v>12</v>
      </c>
      <c r="AQ176" s="17">
        <f t="shared" si="14"/>
        <v>1899</v>
      </c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</row>
    <row r="177">
      <c r="A177" s="11"/>
      <c r="B177" s="11"/>
      <c r="C177" s="11"/>
      <c r="D177" s="14" t="str">
        <f t="shared" si="10"/>
        <v>, </v>
      </c>
      <c r="E177" s="9"/>
      <c r="F177" s="9"/>
      <c r="G177" s="10">
        <f t="shared" si="11"/>
        <v>126.1643836</v>
      </c>
      <c r="H177" s="11"/>
      <c r="I177" s="11"/>
      <c r="J177" s="11"/>
      <c r="K177" s="11"/>
      <c r="L177" s="13"/>
      <c r="M177" s="13"/>
      <c r="N177" s="11"/>
      <c r="O177" s="11"/>
      <c r="P177" s="11"/>
      <c r="Q177" s="11"/>
      <c r="R177" s="11"/>
      <c r="S177" s="11"/>
      <c r="T177" s="11"/>
      <c r="U177" s="14" t="str">
        <f t="shared" si="12"/>
        <v/>
      </c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4"/>
      <c r="AL177" s="16"/>
      <c r="AM177" s="11"/>
      <c r="AN177" s="11"/>
      <c r="AO177" s="11"/>
      <c r="AP177" s="17">
        <f t="shared" si="13"/>
        <v>12</v>
      </c>
      <c r="AQ177" s="17">
        <f t="shared" si="14"/>
        <v>1899</v>
      </c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</row>
    <row r="178">
      <c r="A178" s="11"/>
      <c r="B178" s="11"/>
      <c r="C178" s="11"/>
      <c r="D178" s="14" t="str">
        <f t="shared" si="10"/>
        <v>, </v>
      </c>
      <c r="E178" s="9"/>
      <c r="F178" s="9"/>
      <c r="G178" s="10">
        <f t="shared" si="11"/>
        <v>126.1643836</v>
      </c>
      <c r="H178" s="11"/>
      <c r="I178" s="11"/>
      <c r="J178" s="11"/>
      <c r="K178" s="11"/>
      <c r="L178" s="13"/>
      <c r="M178" s="13"/>
      <c r="N178" s="11"/>
      <c r="O178" s="11"/>
      <c r="P178" s="11"/>
      <c r="Q178" s="11"/>
      <c r="R178" s="11"/>
      <c r="S178" s="11"/>
      <c r="T178" s="11"/>
      <c r="U178" s="14" t="str">
        <f t="shared" si="12"/>
        <v/>
      </c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4"/>
      <c r="AL178" s="16"/>
      <c r="AM178" s="11"/>
      <c r="AN178" s="11"/>
      <c r="AO178" s="11"/>
      <c r="AP178" s="17">
        <f t="shared" si="13"/>
        <v>12</v>
      </c>
      <c r="AQ178" s="17">
        <f t="shared" si="14"/>
        <v>1899</v>
      </c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</row>
    <row r="179">
      <c r="A179" s="11"/>
      <c r="B179" s="11"/>
      <c r="C179" s="11"/>
      <c r="D179" s="14" t="str">
        <f t="shared" si="10"/>
        <v>, </v>
      </c>
      <c r="E179" s="9"/>
      <c r="F179" s="9"/>
      <c r="G179" s="10">
        <f t="shared" si="11"/>
        <v>126.1643836</v>
      </c>
      <c r="H179" s="11"/>
      <c r="I179" s="11"/>
      <c r="J179" s="11"/>
      <c r="K179" s="11"/>
      <c r="L179" s="13"/>
      <c r="M179" s="13"/>
      <c r="N179" s="11"/>
      <c r="O179" s="11"/>
      <c r="P179" s="11"/>
      <c r="Q179" s="11"/>
      <c r="R179" s="11"/>
      <c r="S179" s="11"/>
      <c r="T179" s="11"/>
      <c r="U179" s="14" t="str">
        <f t="shared" si="12"/>
        <v/>
      </c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4"/>
      <c r="AL179" s="16"/>
      <c r="AM179" s="11"/>
      <c r="AN179" s="11"/>
      <c r="AO179" s="11"/>
      <c r="AP179" s="17">
        <f t="shared" si="13"/>
        <v>12</v>
      </c>
      <c r="AQ179" s="17">
        <f t="shared" si="14"/>
        <v>1899</v>
      </c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</row>
    <row r="180">
      <c r="A180" s="11"/>
      <c r="B180" s="11"/>
      <c r="C180" s="11"/>
      <c r="D180" s="14" t="str">
        <f t="shared" si="10"/>
        <v>, </v>
      </c>
      <c r="E180" s="9"/>
      <c r="F180" s="9"/>
      <c r="G180" s="10">
        <f t="shared" si="11"/>
        <v>126.1643836</v>
      </c>
      <c r="H180" s="11"/>
      <c r="I180" s="11"/>
      <c r="J180" s="11"/>
      <c r="K180" s="11"/>
      <c r="L180" s="13"/>
      <c r="M180" s="13"/>
      <c r="N180" s="11"/>
      <c r="O180" s="11"/>
      <c r="P180" s="11"/>
      <c r="Q180" s="11"/>
      <c r="R180" s="11"/>
      <c r="S180" s="11"/>
      <c r="T180" s="11"/>
      <c r="U180" s="14" t="str">
        <f t="shared" si="12"/>
        <v/>
      </c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4"/>
      <c r="AL180" s="16"/>
      <c r="AM180" s="11"/>
      <c r="AN180" s="11"/>
      <c r="AO180" s="11"/>
      <c r="AP180" s="17">
        <f t="shared" si="13"/>
        <v>12</v>
      </c>
      <c r="AQ180" s="17">
        <f t="shared" si="14"/>
        <v>1899</v>
      </c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</row>
    <row r="181">
      <c r="A181" s="11"/>
      <c r="B181" s="11"/>
      <c r="C181" s="11"/>
      <c r="D181" s="14" t="str">
        <f t="shared" si="10"/>
        <v>, </v>
      </c>
      <c r="E181" s="9"/>
      <c r="F181" s="9"/>
      <c r="G181" s="10">
        <f t="shared" si="11"/>
        <v>126.1643836</v>
      </c>
      <c r="H181" s="11"/>
      <c r="I181" s="11"/>
      <c r="J181" s="11"/>
      <c r="K181" s="11"/>
      <c r="L181" s="13"/>
      <c r="M181" s="13"/>
      <c r="N181" s="11"/>
      <c r="O181" s="11"/>
      <c r="P181" s="11"/>
      <c r="Q181" s="11"/>
      <c r="R181" s="11"/>
      <c r="S181" s="11"/>
      <c r="T181" s="11"/>
      <c r="U181" s="14" t="str">
        <f t="shared" si="12"/>
        <v/>
      </c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4"/>
      <c r="AL181" s="16"/>
      <c r="AM181" s="11"/>
      <c r="AN181" s="11"/>
      <c r="AO181" s="11"/>
      <c r="AP181" s="17">
        <f t="shared" si="13"/>
        <v>12</v>
      </c>
      <c r="AQ181" s="17">
        <f t="shared" si="14"/>
        <v>1899</v>
      </c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</row>
    <row r="182">
      <c r="A182" s="11"/>
      <c r="B182" s="11"/>
      <c r="C182" s="11"/>
      <c r="D182" s="14" t="str">
        <f t="shared" si="10"/>
        <v>, </v>
      </c>
      <c r="E182" s="9"/>
      <c r="F182" s="9"/>
      <c r="G182" s="10">
        <f t="shared" si="11"/>
        <v>126.1643836</v>
      </c>
      <c r="H182" s="11"/>
      <c r="I182" s="11"/>
      <c r="J182" s="11"/>
      <c r="K182" s="11"/>
      <c r="L182" s="13"/>
      <c r="M182" s="13"/>
      <c r="N182" s="11"/>
      <c r="O182" s="11"/>
      <c r="P182" s="11"/>
      <c r="Q182" s="11"/>
      <c r="R182" s="11"/>
      <c r="S182" s="11"/>
      <c r="T182" s="11"/>
      <c r="U182" s="14" t="str">
        <f t="shared" si="12"/>
        <v/>
      </c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4"/>
      <c r="AL182" s="16"/>
      <c r="AM182" s="11"/>
      <c r="AN182" s="11"/>
      <c r="AO182" s="11"/>
      <c r="AP182" s="17">
        <f t="shared" si="13"/>
        <v>12</v>
      </c>
      <c r="AQ182" s="17">
        <f t="shared" si="14"/>
        <v>1899</v>
      </c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</row>
    <row r="183">
      <c r="A183" s="11"/>
      <c r="B183" s="11"/>
      <c r="C183" s="11"/>
      <c r="D183" s="14" t="str">
        <f t="shared" si="10"/>
        <v>, </v>
      </c>
      <c r="E183" s="9"/>
      <c r="F183" s="9"/>
      <c r="G183" s="10">
        <f t="shared" si="11"/>
        <v>126.1643836</v>
      </c>
      <c r="H183" s="11"/>
      <c r="I183" s="11"/>
      <c r="J183" s="11"/>
      <c r="K183" s="11"/>
      <c r="L183" s="13"/>
      <c r="M183" s="13"/>
      <c r="N183" s="11"/>
      <c r="O183" s="11"/>
      <c r="P183" s="11"/>
      <c r="Q183" s="11"/>
      <c r="R183" s="11"/>
      <c r="S183" s="11"/>
      <c r="T183" s="11"/>
      <c r="U183" s="14" t="str">
        <f t="shared" si="12"/>
        <v/>
      </c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4"/>
      <c r="AL183" s="16"/>
      <c r="AM183" s="11"/>
      <c r="AN183" s="11"/>
      <c r="AO183" s="11"/>
      <c r="AP183" s="17">
        <f t="shared" si="13"/>
        <v>12</v>
      </c>
      <c r="AQ183" s="17">
        <f t="shared" si="14"/>
        <v>1899</v>
      </c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</row>
    <row r="184">
      <c r="A184" s="11"/>
      <c r="B184" s="11"/>
      <c r="C184" s="11"/>
      <c r="D184" s="14" t="str">
        <f t="shared" si="10"/>
        <v>, </v>
      </c>
      <c r="E184" s="9"/>
      <c r="F184" s="9"/>
      <c r="G184" s="10">
        <f t="shared" si="11"/>
        <v>126.1643836</v>
      </c>
      <c r="H184" s="11"/>
      <c r="I184" s="11"/>
      <c r="J184" s="11"/>
      <c r="K184" s="11"/>
      <c r="L184" s="13"/>
      <c r="M184" s="13"/>
      <c r="N184" s="11"/>
      <c r="O184" s="11"/>
      <c r="P184" s="11"/>
      <c r="Q184" s="11"/>
      <c r="R184" s="11"/>
      <c r="S184" s="11"/>
      <c r="T184" s="11"/>
      <c r="U184" s="14" t="str">
        <f t="shared" si="12"/>
        <v/>
      </c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4"/>
      <c r="AL184" s="16"/>
      <c r="AM184" s="11"/>
      <c r="AN184" s="11"/>
      <c r="AO184" s="11"/>
      <c r="AP184" s="17">
        <f t="shared" si="13"/>
        <v>12</v>
      </c>
      <c r="AQ184" s="17">
        <f t="shared" si="14"/>
        <v>1899</v>
      </c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</row>
    <row r="185">
      <c r="A185" s="11"/>
      <c r="B185" s="11"/>
      <c r="C185" s="11"/>
      <c r="D185" s="14" t="str">
        <f t="shared" si="10"/>
        <v>, </v>
      </c>
      <c r="E185" s="9"/>
      <c r="F185" s="9"/>
      <c r="G185" s="10">
        <f t="shared" si="11"/>
        <v>126.1643836</v>
      </c>
      <c r="H185" s="11"/>
      <c r="I185" s="11"/>
      <c r="J185" s="11"/>
      <c r="K185" s="11"/>
      <c r="L185" s="13"/>
      <c r="M185" s="13"/>
      <c r="N185" s="11"/>
      <c r="O185" s="11"/>
      <c r="P185" s="11"/>
      <c r="Q185" s="11"/>
      <c r="R185" s="11"/>
      <c r="S185" s="11"/>
      <c r="T185" s="11"/>
      <c r="U185" s="14" t="str">
        <f t="shared" si="12"/>
        <v/>
      </c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4"/>
      <c r="AL185" s="16"/>
      <c r="AM185" s="11"/>
      <c r="AN185" s="11"/>
      <c r="AO185" s="11"/>
      <c r="AP185" s="17">
        <f t="shared" si="13"/>
        <v>12</v>
      </c>
      <c r="AQ185" s="17">
        <f t="shared" si="14"/>
        <v>1899</v>
      </c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</row>
    <row r="186">
      <c r="A186" s="11"/>
      <c r="B186" s="11"/>
      <c r="C186" s="11"/>
      <c r="D186" s="14" t="str">
        <f t="shared" si="10"/>
        <v>, </v>
      </c>
      <c r="E186" s="9"/>
      <c r="F186" s="9"/>
      <c r="G186" s="10">
        <f t="shared" si="11"/>
        <v>126.1643836</v>
      </c>
      <c r="H186" s="11"/>
      <c r="I186" s="11"/>
      <c r="J186" s="11"/>
      <c r="K186" s="11"/>
      <c r="L186" s="13"/>
      <c r="M186" s="13"/>
      <c r="N186" s="11"/>
      <c r="O186" s="11"/>
      <c r="P186" s="11"/>
      <c r="Q186" s="11"/>
      <c r="R186" s="11"/>
      <c r="S186" s="11"/>
      <c r="T186" s="11"/>
      <c r="U186" s="14" t="str">
        <f t="shared" si="12"/>
        <v/>
      </c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4"/>
      <c r="AL186" s="16"/>
      <c r="AM186" s="11"/>
      <c r="AN186" s="11"/>
      <c r="AO186" s="11"/>
      <c r="AP186" s="17">
        <f t="shared" si="13"/>
        <v>12</v>
      </c>
      <c r="AQ186" s="17">
        <f t="shared" si="14"/>
        <v>1899</v>
      </c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</row>
    <row r="187">
      <c r="A187" s="11"/>
      <c r="B187" s="11"/>
      <c r="C187" s="11"/>
      <c r="D187" s="14" t="str">
        <f t="shared" si="10"/>
        <v>, </v>
      </c>
      <c r="E187" s="9"/>
      <c r="F187" s="9"/>
      <c r="G187" s="10">
        <f t="shared" si="11"/>
        <v>126.1643836</v>
      </c>
      <c r="H187" s="11"/>
      <c r="I187" s="11"/>
      <c r="J187" s="11"/>
      <c r="K187" s="11"/>
      <c r="L187" s="13"/>
      <c r="M187" s="13"/>
      <c r="N187" s="11"/>
      <c r="O187" s="11"/>
      <c r="P187" s="11"/>
      <c r="Q187" s="11"/>
      <c r="R187" s="11"/>
      <c r="S187" s="11"/>
      <c r="T187" s="11"/>
      <c r="U187" s="14" t="str">
        <f t="shared" si="12"/>
        <v/>
      </c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4"/>
      <c r="AL187" s="16"/>
      <c r="AM187" s="11"/>
      <c r="AN187" s="11"/>
      <c r="AO187" s="11"/>
      <c r="AP187" s="17">
        <f t="shared" si="13"/>
        <v>12</v>
      </c>
      <c r="AQ187" s="17">
        <f t="shared" si="14"/>
        <v>1899</v>
      </c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</row>
    <row r="188">
      <c r="A188" s="11"/>
      <c r="B188" s="11"/>
      <c r="C188" s="11"/>
      <c r="D188" s="14" t="str">
        <f t="shared" si="10"/>
        <v>, </v>
      </c>
      <c r="E188" s="9"/>
      <c r="F188" s="9"/>
      <c r="G188" s="10">
        <f t="shared" si="11"/>
        <v>126.1643836</v>
      </c>
      <c r="H188" s="11"/>
      <c r="I188" s="11"/>
      <c r="J188" s="11"/>
      <c r="K188" s="11"/>
      <c r="L188" s="13"/>
      <c r="M188" s="13"/>
      <c r="N188" s="11"/>
      <c r="O188" s="11"/>
      <c r="P188" s="11"/>
      <c r="Q188" s="11"/>
      <c r="R188" s="11"/>
      <c r="S188" s="11"/>
      <c r="T188" s="11"/>
      <c r="U188" s="14" t="str">
        <f t="shared" si="12"/>
        <v/>
      </c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4"/>
      <c r="AL188" s="16"/>
      <c r="AM188" s="11"/>
      <c r="AN188" s="11"/>
      <c r="AO188" s="11"/>
      <c r="AP188" s="17">
        <f t="shared" si="13"/>
        <v>12</v>
      </c>
      <c r="AQ188" s="17">
        <f t="shared" si="14"/>
        <v>1899</v>
      </c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</row>
    <row r="189">
      <c r="A189" s="11"/>
      <c r="B189" s="11"/>
      <c r="C189" s="11"/>
      <c r="D189" s="14" t="str">
        <f t="shared" si="10"/>
        <v>, </v>
      </c>
      <c r="E189" s="9"/>
      <c r="F189" s="9"/>
      <c r="G189" s="10">
        <f t="shared" si="11"/>
        <v>126.1643836</v>
      </c>
      <c r="H189" s="11"/>
      <c r="I189" s="11"/>
      <c r="J189" s="11"/>
      <c r="K189" s="11"/>
      <c r="L189" s="13"/>
      <c r="M189" s="13"/>
      <c r="N189" s="11"/>
      <c r="O189" s="11"/>
      <c r="P189" s="11"/>
      <c r="Q189" s="11"/>
      <c r="R189" s="11"/>
      <c r="S189" s="11"/>
      <c r="T189" s="11"/>
      <c r="U189" s="14" t="str">
        <f t="shared" si="12"/>
        <v/>
      </c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4"/>
      <c r="AL189" s="16"/>
      <c r="AM189" s="11"/>
      <c r="AN189" s="11"/>
      <c r="AO189" s="11"/>
      <c r="AP189" s="17">
        <f t="shared" si="13"/>
        <v>12</v>
      </c>
      <c r="AQ189" s="17">
        <f t="shared" si="14"/>
        <v>1899</v>
      </c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</row>
    <row r="190">
      <c r="A190" s="11"/>
      <c r="B190" s="11"/>
      <c r="C190" s="11"/>
      <c r="D190" s="14" t="str">
        <f t="shared" si="10"/>
        <v>, </v>
      </c>
      <c r="E190" s="9"/>
      <c r="F190" s="9"/>
      <c r="G190" s="10">
        <f t="shared" si="11"/>
        <v>126.1643836</v>
      </c>
      <c r="H190" s="11"/>
      <c r="I190" s="11"/>
      <c r="J190" s="11"/>
      <c r="K190" s="11"/>
      <c r="L190" s="13"/>
      <c r="M190" s="13"/>
      <c r="N190" s="11"/>
      <c r="O190" s="11"/>
      <c r="P190" s="11"/>
      <c r="Q190" s="11"/>
      <c r="R190" s="11"/>
      <c r="S190" s="11"/>
      <c r="T190" s="11"/>
      <c r="U190" s="14" t="str">
        <f t="shared" si="12"/>
        <v/>
      </c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4"/>
      <c r="AL190" s="16"/>
      <c r="AM190" s="11"/>
      <c r="AN190" s="11"/>
      <c r="AO190" s="11"/>
      <c r="AP190" s="17">
        <f t="shared" si="13"/>
        <v>12</v>
      </c>
      <c r="AQ190" s="17">
        <f t="shared" si="14"/>
        <v>1899</v>
      </c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</row>
    <row r="191">
      <c r="A191" s="11"/>
      <c r="B191" s="11"/>
      <c r="C191" s="11"/>
      <c r="D191" s="14" t="str">
        <f t="shared" si="10"/>
        <v>, </v>
      </c>
      <c r="E191" s="9"/>
      <c r="F191" s="9"/>
      <c r="G191" s="10">
        <f t="shared" si="11"/>
        <v>126.1643836</v>
      </c>
      <c r="H191" s="11"/>
      <c r="I191" s="11"/>
      <c r="J191" s="11"/>
      <c r="K191" s="11"/>
      <c r="L191" s="13"/>
      <c r="M191" s="13"/>
      <c r="N191" s="11"/>
      <c r="O191" s="11"/>
      <c r="P191" s="11"/>
      <c r="Q191" s="11"/>
      <c r="R191" s="11"/>
      <c r="S191" s="11"/>
      <c r="T191" s="11"/>
      <c r="U191" s="14" t="str">
        <f t="shared" si="12"/>
        <v/>
      </c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4"/>
      <c r="AL191" s="16"/>
      <c r="AM191" s="11"/>
      <c r="AN191" s="11"/>
      <c r="AO191" s="11"/>
      <c r="AP191" s="17">
        <f t="shared" si="13"/>
        <v>12</v>
      </c>
      <c r="AQ191" s="17">
        <f t="shared" si="14"/>
        <v>1899</v>
      </c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</row>
    <row r="192">
      <c r="A192" s="11"/>
      <c r="B192" s="11"/>
      <c r="C192" s="11"/>
      <c r="D192" s="14" t="str">
        <f t="shared" si="10"/>
        <v>, </v>
      </c>
      <c r="E192" s="9"/>
      <c r="F192" s="9"/>
      <c r="G192" s="10">
        <f t="shared" si="11"/>
        <v>126.1643836</v>
      </c>
      <c r="H192" s="11"/>
      <c r="I192" s="11"/>
      <c r="J192" s="11"/>
      <c r="K192" s="11"/>
      <c r="L192" s="13"/>
      <c r="M192" s="13"/>
      <c r="N192" s="11"/>
      <c r="O192" s="11"/>
      <c r="P192" s="11"/>
      <c r="Q192" s="11"/>
      <c r="R192" s="11"/>
      <c r="S192" s="11"/>
      <c r="T192" s="11"/>
      <c r="U192" s="14" t="str">
        <f t="shared" si="12"/>
        <v/>
      </c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4"/>
      <c r="AL192" s="16"/>
      <c r="AM192" s="11"/>
      <c r="AN192" s="11"/>
      <c r="AO192" s="11"/>
      <c r="AP192" s="17">
        <f t="shared" si="13"/>
        <v>12</v>
      </c>
      <c r="AQ192" s="17">
        <f t="shared" si="14"/>
        <v>1899</v>
      </c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</row>
    <row r="193">
      <c r="A193" s="11"/>
      <c r="B193" s="11"/>
      <c r="C193" s="11"/>
      <c r="D193" s="14" t="str">
        <f t="shared" si="10"/>
        <v>, </v>
      </c>
      <c r="E193" s="9"/>
      <c r="F193" s="9"/>
      <c r="G193" s="10">
        <f t="shared" si="11"/>
        <v>126.1643836</v>
      </c>
      <c r="H193" s="11"/>
      <c r="I193" s="11"/>
      <c r="J193" s="11"/>
      <c r="K193" s="11"/>
      <c r="L193" s="13"/>
      <c r="M193" s="13"/>
      <c r="N193" s="11"/>
      <c r="O193" s="11"/>
      <c r="P193" s="11"/>
      <c r="Q193" s="11"/>
      <c r="R193" s="11"/>
      <c r="S193" s="11"/>
      <c r="T193" s="11"/>
      <c r="U193" s="14" t="str">
        <f t="shared" si="12"/>
        <v/>
      </c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4"/>
      <c r="AL193" s="16"/>
      <c r="AM193" s="11"/>
      <c r="AN193" s="11"/>
      <c r="AO193" s="11"/>
      <c r="AP193" s="17">
        <f t="shared" si="13"/>
        <v>12</v>
      </c>
      <c r="AQ193" s="17">
        <f t="shared" si="14"/>
        <v>1899</v>
      </c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</row>
    <row r="194">
      <c r="A194" s="11"/>
      <c r="B194" s="11"/>
      <c r="C194" s="11"/>
      <c r="D194" s="14" t="str">
        <f t="shared" si="10"/>
        <v>, </v>
      </c>
      <c r="E194" s="9"/>
      <c r="F194" s="9"/>
      <c r="G194" s="10">
        <f t="shared" si="11"/>
        <v>126.1643836</v>
      </c>
      <c r="H194" s="11"/>
      <c r="I194" s="11"/>
      <c r="J194" s="11"/>
      <c r="K194" s="11"/>
      <c r="L194" s="13"/>
      <c r="M194" s="13"/>
      <c r="N194" s="11"/>
      <c r="O194" s="11"/>
      <c r="P194" s="11"/>
      <c r="Q194" s="11"/>
      <c r="R194" s="11"/>
      <c r="S194" s="11"/>
      <c r="T194" s="11"/>
      <c r="U194" s="14" t="str">
        <f t="shared" si="12"/>
        <v/>
      </c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4"/>
      <c r="AL194" s="16"/>
      <c r="AM194" s="11"/>
      <c r="AN194" s="11"/>
      <c r="AO194" s="11"/>
      <c r="AP194" s="17">
        <f t="shared" si="13"/>
        <v>12</v>
      </c>
      <c r="AQ194" s="17">
        <f t="shared" si="14"/>
        <v>1899</v>
      </c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</row>
    <row r="195">
      <c r="A195" s="11"/>
      <c r="B195" s="11"/>
      <c r="C195" s="11"/>
      <c r="D195" s="14" t="str">
        <f t="shared" si="10"/>
        <v>, </v>
      </c>
      <c r="E195" s="9"/>
      <c r="F195" s="9"/>
      <c r="G195" s="10">
        <f t="shared" si="11"/>
        <v>126.1643836</v>
      </c>
      <c r="H195" s="11"/>
      <c r="I195" s="11"/>
      <c r="J195" s="11"/>
      <c r="K195" s="11"/>
      <c r="L195" s="13"/>
      <c r="M195" s="13"/>
      <c r="N195" s="11"/>
      <c r="O195" s="11"/>
      <c r="P195" s="11"/>
      <c r="Q195" s="11"/>
      <c r="R195" s="11"/>
      <c r="S195" s="11"/>
      <c r="T195" s="11"/>
      <c r="U195" s="14" t="str">
        <f t="shared" si="12"/>
        <v/>
      </c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4"/>
      <c r="AL195" s="16"/>
      <c r="AM195" s="11"/>
      <c r="AN195" s="11"/>
      <c r="AO195" s="11"/>
      <c r="AP195" s="17">
        <f t="shared" si="13"/>
        <v>12</v>
      </c>
      <c r="AQ195" s="17">
        <f t="shared" si="14"/>
        <v>1899</v>
      </c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</row>
    <row r="196">
      <c r="A196" s="11"/>
      <c r="B196" s="11"/>
      <c r="C196" s="11"/>
      <c r="D196" s="14" t="str">
        <f t="shared" si="10"/>
        <v>, </v>
      </c>
      <c r="E196" s="9"/>
      <c r="F196" s="9"/>
      <c r="G196" s="10">
        <f t="shared" si="11"/>
        <v>126.1643836</v>
      </c>
      <c r="H196" s="11"/>
      <c r="I196" s="11"/>
      <c r="J196" s="11"/>
      <c r="K196" s="11"/>
      <c r="L196" s="13"/>
      <c r="M196" s="13"/>
      <c r="N196" s="11"/>
      <c r="O196" s="11"/>
      <c r="P196" s="11"/>
      <c r="Q196" s="11"/>
      <c r="R196" s="11"/>
      <c r="S196" s="11"/>
      <c r="T196" s="11"/>
      <c r="U196" s="14" t="str">
        <f t="shared" si="12"/>
        <v/>
      </c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4"/>
      <c r="AL196" s="16"/>
      <c r="AM196" s="11"/>
      <c r="AN196" s="11"/>
      <c r="AO196" s="11"/>
      <c r="AP196" s="17">
        <f t="shared" si="13"/>
        <v>12</v>
      </c>
      <c r="AQ196" s="17">
        <f t="shared" si="14"/>
        <v>1899</v>
      </c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</row>
    <row r="197">
      <c r="A197" s="11"/>
      <c r="B197" s="11"/>
      <c r="C197" s="11"/>
      <c r="D197" s="14" t="str">
        <f t="shared" si="10"/>
        <v>, </v>
      </c>
      <c r="E197" s="9"/>
      <c r="F197" s="9"/>
      <c r="G197" s="10">
        <f t="shared" si="11"/>
        <v>126.1643836</v>
      </c>
      <c r="H197" s="11"/>
      <c r="I197" s="11"/>
      <c r="J197" s="11"/>
      <c r="K197" s="11"/>
      <c r="L197" s="13"/>
      <c r="M197" s="13"/>
      <c r="N197" s="11"/>
      <c r="O197" s="11"/>
      <c r="P197" s="11"/>
      <c r="Q197" s="11"/>
      <c r="R197" s="11"/>
      <c r="S197" s="11"/>
      <c r="T197" s="11"/>
      <c r="U197" s="14" t="str">
        <f t="shared" si="12"/>
        <v/>
      </c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4"/>
      <c r="AL197" s="16"/>
      <c r="AM197" s="11"/>
      <c r="AN197" s="11"/>
      <c r="AO197" s="11"/>
      <c r="AP197" s="17">
        <f t="shared" si="13"/>
        <v>12</v>
      </c>
      <c r="AQ197" s="17">
        <f t="shared" si="14"/>
        <v>1899</v>
      </c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</row>
    <row r="198">
      <c r="A198" s="11"/>
      <c r="B198" s="11"/>
      <c r="C198" s="11"/>
      <c r="D198" s="14" t="str">
        <f t="shared" si="10"/>
        <v>, </v>
      </c>
      <c r="E198" s="9"/>
      <c r="F198" s="9"/>
      <c r="G198" s="10">
        <f t="shared" si="11"/>
        <v>126.1643836</v>
      </c>
      <c r="H198" s="11"/>
      <c r="I198" s="11"/>
      <c r="J198" s="11"/>
      <c r="K198" s="11"/>
      <c r="L198" s="13"/>
      <c r="M198" s="13"/>
      <c r="N198" s="11"/>
      <c r="O198" s="11"/>
      <c r="P198" s="11"/>
      <c r="Q198" s="11"/>
      <c r="R198" s="11"/>
      <c r="S198" s="11"/>
      <c r="T198" s="11"/>
      <c r="U198" s="14" t="str">
        <f t="shared" si="12"/>
        <v/>
      </c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4"/>
      <c r="AL198" s="16"/>
      <c r="AM198" s="11"/>
      <c r="AN198" s="11"/>
      <c r="AO198" s="11"/>
      <c r="AP198" s="17">
        <f t="shared" si="13"/>
        <v>12</v>
      </c>
      <c r="AQ198" s="17">
        <f t="shared" si="14"/>
        <v>1899</v>
      </c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</row>
    <row r="199">
      <c r="A199" s="11"/>
      <c r="B199" s="11"/>
      <c r="C199" s="11"/>
      <c r="D199" s="14" t="str">
        <f t="shared" si="10"/>
        <v>, </v>
      </c>
      <c r="E199" s="9"/>
      <c r="F199" s="9"/>
      <c r="G199" s="10">
        <f t="shared" si="11"/>
        <v>126.1643836</v>
      </c>
      <c r="H199" s="11"/>
      <c r="I199" s="11"/>
      <c r="J199" s="11"/>
      <c r="K199" s="11"/>
      <c r="L199" s="13"/>
      <c r="M199" s="13"/>
      <c r="N199" s="11"/>
      <c r="O199" s="11"/>
      <c r="P199" s="11"/>
      <c r="Q199" s="11"/>
      <c r="R199" s="11"/>
      <c r="S199" s="11"/>
      <c r="T199" s="11"/>
      <c r="U199" s="14" t="str">
        <f t="shared" si="12"/>
        <v/>
      </c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4"/>
      <c r="AL199" s="16"/>
      <c r="AM199" s="11"/>
      <c r="AN199" s="11"/>
      <c r="AO199" s="11"/>
      <c r="AP199" s="17">
        <f t="shared" si="13"/>
        <v>12</v>
      </c>
      <c r="AQ199" s="17">
        <f t="shared" si="14"/>
        <v>1899</v>
      </c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</row>
    <row r="200">
      <c r="A200" s="11"/>
      <c r="B200" s="11"/>
      <c r="C200" s="11"/>
      <c r="D200" s="14" t="str">
        <f t="shared" si="10"/>
        <v>, </v>
      </c>
      <c r="E200" s="9"/>
      <c r="F200" s="9"/>
      <c r="G200" s="10">
        <f t="shared" si="11"/>
        <v>126.1643836</v>
      </c>
      <c r="H200" s="11"/>
      <c r="I200" s="11"/>
      <c r="J200" s="11"/>
      <c r="K200" s="11"/>
      <c r="L200" s="13"/>
      <c r="M200" s="13"/>
      <c r="N200" s="11"/>
      <c r="O200" s="11"/>
      <c r="P200" s="11"/>
      <c r="Q200" s="11"/>
      <c r="R200" s="11"/>
      <c r="S200" s="11"/>
      <c r="T200" s="11"/>
      <c r="U200" s="14" t="str">
        <f t="shared" si="12"/>
        <v/>
      </c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4"/>
      <c r="AL200" s="16"/>
      <c r="AM200" s="11"/>
      <c r="AN200" s="11"/>
      <c r="AO200" s="11"/>
      <c r="AP200" s="17">
        <f t="shared" si="13"/>
        <v>12</v>
      </c>
      <c r="AQ200" s="17">
        <f t="shared" si="14"/>
        <v>1899</v>
      </c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</row>
    <row r="201">
      <c r="A201" s="11"/>
      <c r="B201" s="11"/>
      <c r="C201" s="11"/>
      <c r="D201" s="14" t="str">
        <f t="shared" si="10"/>
        <v>, </v>
      </c>
      <c r="E201" s="9"/>
      <c r="F201" s="9"/>
      <c r="G201" s="10">
        <f t="shared" si="11"/>
        <v>126.1643836</v>
      </c>
      <c r="H201" s="11"/>
      <c r="I201" s="11"/>
      <c r="J201" s="11"/>
      <c r="K201" s="11"/>
      <c r="L201" s="13"/>
      <c r="M201" s="13"/>
      <c r="N201" s="11"/>
      <c r="O201" s="11"/>
      <c r="P201" s="11"/>
      <c r="Q201" s="11"/>
      <c r="R201" s="11"/>
      <c r="S201" s="11"/>
      <c r="T201" s="11"/>
      <c r="U201" s="14" t="str">
        <f t="shared" si="12"/>
        <v/>
      </c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4"/>
      <c r="AL201" s="16"/>
      <c r="AM201" s="11"/>
      <c r="AN201" s="11"/>
      <c r="AO201" s="11"/>
      <c r="AP201" s="17">
        <f t="shared" si="13"/>
        <v>12</v>
      </c>
      <c r="AQ201" s="17">
        <f t="shared" si="14"/>
        <v>1899</v>
      </c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</row>
    <row r="202">
      <c r="A202" s="11"/>
      <c r="B202" s="11"/>
      <c r="C202" s="11"/>
      <c r="D202" s="14" t="str">
        <f t="shared" si="10"/>
        <v>, </v>
      </c>
      <c r="E202" s="9"/>
      <c r="F202" s="9"/>
      <c r="G202" s="10">
        <f t="shared" si="11"/>
        <v>126.1643836</v>
      </c>
      <c r="H202" s="11"/>
      <c r="I202" s="11"/>
      <c r="J202" s="11"/>
      <c r="K202" s="11"/>
      <c r="L202" s="13"/>
      <c r="M202" s="13"/>
      <c r="N202" s="11"/>
      <c r="O202" s="11"/>
      <c r="P202" s="11"/>
      <c r="Q202" s="11"/>
      <c r="R202" s="11"/>
      <c r="S202" s="11"/>
      <c r="T202" s="11"/>
      <c r="U202" s="14" t="str">
        <f t="shared" si="12"/>
        <v/>
      </c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4"/>
      <c r="AL202" s="16"/>
      <c r="AM202" s="11"/>
      <c r="AN202" s="11"/>
      <c r="AO202" s="11"/>
      <c r="AP202" s="17">
        <f t="shared" si="13"/>
        <v>12</v>
      </c>
      <c r="AQ202" s="17">
        <f t="shared" si="14"/>
        <v>1899</v>
      </c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</row>
    <row r="203">
      <c r="A203" s="11"/>
      <c r="B203" s="11"/>
      <c r="C203" s="11"/>
      <c r="D203" s="14" t="str">
        <f t="shared" si="10"/>
        <v>, </v>
      </c>
      <c r="E203" s="9"/>
      <c r="F203" s="9"/>
      <c r="G203" s="10">
        <f t="shared" si="11"/>
        <v>126.1643836</v>
      </c>
      <c r="H203" s="11"/>
      <c r="I203" s="11"/>
      <c r="J203" s="11"/>
      <c r="K203" s="11"/>
      <c r="L203" s="13"/>
      <c r="M203" s="13"/>
      <c r="N203" s="11"/>
      <c r="O203" s="11"/>
      <c r="P203" s="11"/>
      <c r="Q203" s="11"/>
      <c r="R203" s="11"/>
      <c r="S203" s="11"/>
      <c r="T203" s="11"/>
      <c r="U203" s="14" t="str">
        <f t="shared" si="12"/>
        <v/>
      </c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4"/>
      <c r="AL203" s="16"/>
      <c r="AM203" s="11"/>
      <c r="AN203" s="11"/>
      <c r="AO203" s="11"/>
      <c r="AP203" s="17">
        <f t="shared" si="13"/>
        <v>12</v>
      </c>
      <c r="AQ203" s="17">
        <f t="shared" si="14"/>
        <v>1899</v>
      </c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</row>
    <row r="204">
      <c r="A204" s="11"/>
      <c r="B204" s="11"/>
      <c r="C204" s="11"/>
      <c r="D204" s="14" t="str">
        <f t="shared" si="10"/>
        <v>, </v>
      </c>
      <c r="E204" s="9"/>
      <c r="F204" s="9"/>
      <c r="G204" s="10">
        <f t="shared" si="11"/>
        <v>126.1643836</v>
      </c>
      <c r="H204" s="11"/>
      <c r="I204" s="11"/>
      <c r="J204" s="11"/>
      <c r="K204" s="11"/>
      <c r="L204" s="13"/>
      <c r="M204" s="13"/>
      <c r="N204" s="11"/>
      <c r="O204" s="11"/>
      <c r="P204" s="11"/>
      <c r="Q204" s="11"/>
      <c r="R204" s="11"/>
      <c r="S204" s="11"/>
      <c r="T204" s="11"/>
      <c r="U204" s="14" t="str">
        <f t="shared" si="12"/>
        <v/>
      </c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4"/>
      <c r="AL204" s="16"/>
      <c r="AM204" s="11"/>
      <c r="AN204" s="11"/>
      <c r="AO204" s="11"/>
      <c r="AP204" s="17">
        <f t="shared" si="13"/>
        <v>12</v>
      </c>
      <c r="AQ204" s="17">
        <f t="shared" si="14"/>
        <v>1899</v>
      </c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</row>
    <row r="205">
      <c r="A205" s="11"/>
      <c r="B205" s="11"/>
      <c r="C205" s="11"/>
      <c r="D205" s="14" t="str">
        <f t="shared" si="10"/>
        <v>, </v>
      </c>
      <c r="E205" s="9"/>
      <c r="F205" s="9"/>
      <c r="G205" s="10">
        <f t="shared" si="11"/>
        <v>126.1643836</v>
      </c>
      <c r="H205" s="11"/>
      <c r="I205" s="11"/>
      <c r="J205" s="11"/>
      <c r="K205" s="11"/>
      <c r="L205" s="13"/>
      <c r="M205" s="13"/>
      <c r="N205" s="11"/>
      <c r="O205" s="11"/>
      <c r="P205" s="11"/>
      <c r="Q205" s="11"/>
      <c r="R205" s="11"/>
      <c r="S205" s="11"/>
      <c r="T205" s="11"/>
      <c r="U205" s="14" t="str">
        <f t="shared" si="12"/>
        <v/>
      </c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4"/>
      <c r="AL205" s="16"/>
      <c r="AM205" s="11"/>
      <c r="AN205" s="11"/>
      <c r="AO205" s="11"/>
      <c r="AP205" s="17">
        <f t="shared" si="13"/>
        <v>12</v>
      </c>
      <c r="AQ205" s="17">
        <f t="shared" si="14"/>
        <v>1899</v>
      </c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</row>
    <row r="206">
      <c r="A206" s="11"/>
      <c r="B206" s="11"/>
      <c r="C206" s="11"/>
      <c r="D206" s="14" t="str">
        <f t="shared" si="10"/>
        <v>, </v>
      </c>
      <c r="E206" s="9"/>
      <c r="F206" s="9"/>
      <c r="G206" s="10">
        <f t="shared" si="11"/>
        <v>126.1643836</v>
      </c>
      <c r="H206" s="11"/>
      <c r="I206" s="11"/>
      <c r="J206" s="11"/>
      <c r="K206" s="11"/>
      <c r="L206" s="13"/>
      <c r="M206" s="13"/>
      <c r="N206" s="11"/>
      <c r="O206" s="11"/>
      <c r="P206" s="11"/>
      <c r="Q206" s="11"/>
      <c r="R206" s="11"/>
      <c r="S206" s="11"/>
      <c r="T206" s="11"/>
      <c r="U206" s="14" t="str">
        <f t="shared" si="12"/>
        <v/>
      </c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4"/>
      <c r="AL206" s="16"/>
      <c r="AM206" s="11"/>
      <c r="AN206" s="11"/>
      <c r="AO206" s="11"/>
      <c r="AP206" s="17">
        <f t="shared" si="13"/>
        <v>12</v>
      </c>
      <c r="AQ206" s="17">
        <f t="shared" si="14"/>
        <v>1899</v>
      </c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</row>
    <row r="207">
      <c r="A207" s="11"/>
      <c r="B207" s="11"/>
      <c r="C207" s="11"/>
      <c r="D207" s="14" t="str">
        <f t="shared" si="10"/>
        <v>, </v>
      </c>
      <c r="E207" s="9"/>
      <c r="F207" s="9"/>
      <c r="G207" s="10">
        <f t="shared" si="11"/>
        <v>126.1643836</v>
      </c>
      <c r="H207" s="11"/>
      <c r="I207" s="11"/>
      <c r="J207" s="11"/>
      <c r="K207" s="11"/>
      <c r="L207" s="13"/>
      <c r="M207" s="13"/>
      <c r="N207" s="11"/>
      <c r="O207" s="11"/>
      <c r="P207" s="11"/>
      <c r="Q207" s="11"/>
      <c r="R207" s="11"/>
      <c r="S207" s="11"/>
      <c r="T207" s="11"/>
      <c r="U207" s="14" t="str">
        <f t="shared" si="12"/>
        <v/>
      </c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4"/>
      <c r="AL207" s="16"/>
      <c r="AM207" s="11"/>
      <c r="AN207" s="11"/>
      <c r="AO207" s="11"/>
      <c r="AP207" s="17">
        <f t="shared" si="13"/>
        <v>12</v>
      </c>
      <c r="AQ207" s="17">
        <f t="shared" si="14"/>
        <v>1899</v>
      </c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</row>
    <row r="208">
      <c r="A208" s="11"/>
      <c r="B208" s="11"/>
      <c r="C208" s="11"/>
      <c r="D208" s="14" t="str">
        <f t="shared" si="10"/>
        <v>, </v>
      </c>
      <c r="E208" s="9"/>
      <c r="F208" s="9"/>
      <c r="G208" s="10">
        <f t="shared" si="11"/>
        <v>126.1643836</v>
      </c>
      <c r="H208" s="11"/>
      <c r="I208" s="11"/>
      <c r="J208" s="11"/>
      <c r="K208" s="11"/>
      <c r="L208" s="13"/>
      <c r="M208" s="13"/>
      <c r="N208" s="11"/>
      <c r="O208" s="11"/>
      <c r="P208" s="11"/>
      <c r="Q208" s="11"/>
      <c r="R208" s="11"/>
      <c r="S208" s="11"/>
      <c r="T208" s="11"/>
      <c r="U208" s="14" t="str">
        <f t="shared" si="12"/>
        <v/>
      </c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4"/>
      <c r="AL208" s="16"/>
      <c r="AM208" s="11"/>
      <c r="AN208" s="11"/>
      <c r="AO208" s="11"/>
      <c r="AP208" s="17">
        <f t="shared" si="13"/>
        <v>12</v>
      </c>
      <c r="AQ208" s="17">
        <f t="shared" si="14"/>
        <v>1899</v>
      </c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</row>
    <row r="209">
      <c r="A209" s="11"/>
      <c r="B209" s="11"/>
      <c r="C209" s="11"/>
      <c r="D209" s="14" t="str">
        <f t="shared" si="10"/>
        <v>, </v>
      </c>
      <c r="E209" s="9"/>
      <c r="F209" s="9"/>
      <c r="G209" s="10">
        <f t="shared" si="11"/>
        <v>126.1643836</v>
      </c>
      <c r="H209" s="11"/>
      <c r="I209" s="11"/>
      <c r="J209" s="11"/>
      <c r="K209" s="11"/>
      <c r="L209" s="13"/>
      <c r="M209" s="13"/>
      <c r="N209" s="11"/>
      <c r="O209" s="11"/>
      <c r="P209" s="11"/>
      <c r="Q209" s="11"/>
      <c r="R209" s="11"/>
      <c r="S209" s="11"/>
      <c r="T209" s="11"/>
      <c r="U209" s="14" t="str">
        <f t="shared" si="12"/>
        <v/>
      </c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4"/>
      <c r="AL209" s="16"/>
      <c r="AM209" s="11"/>
      <c r="AN209" s="11"/>
      <c r="AO209" s="11"/>
      <c r="AP209" s="17">
        <f t="shared" si="13"/>
        <v>12</v>
      </c>
      <c r="AQ209" s="17">
        <f t="shared" si="14"/>
        <v>1899</v>
      </c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</row>
    <row r="210">
      <c r="A210" s="11"/>
      <c r="B210" s="11"/>
      <c r="C210" s="11"/>
      <c r="D210" s="14" t="str">
        <f t="shared" si="10"/>
        <v>, </v>
      </c>
      <c r="E210" s="9"/>
      <c r="F210" s="9"/>
      <c r="G210" s="10">
        <f t="shared" si="11"/>
        <v>126.1643836</v>
      </c>
      <c r="H210" s="11"/>
      <c r="I210" s="11"/>
      <c r="J210" s="11"/>
      <c r="K210" s="11"/>
      <c r="L210" s="13"/>
      <c r="M210" s="13"/>
      <c r="N210" s="11"/>
      <c r="O210" s="11"/>
      <c r="P210" s="11"/>
      <c r="Q210" s="11"/>
      <c r="R210" s="11"/>
      <c r="S210" s="11"/>
      <c r="T210" s="11"/>
      <c r="U210" s="14" t="str">
        <f t="shared" si="12"/>
        <v/>
      </c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4"/>
      <c r="AL210" s="16"/>
      <c r="AM210" s="11"/>
      <c r="AN210" s="11"/>
      <c r="AO210" s="11"/>
      <c r="AP210" s="17">
        <f t="shared" si="13"/>
        <v>12</v>
      </c>
      <c r="AQ210" s="17">
        <f t="shared" si="14"/>
        <v>1899</v>
      </c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</row>
    <row r="211">
      <c r="A211" s="11"/>
      <c r="B211" s="11"/>
      <c r="C211" s="11"/>
      <c r="D211" s="14" t="str">
        <f t="shared" si="10"/>
        <v>, </v>
      </c>
      <c r="E211" s="9"/>
      <c r="F211" s="9"/>
      <c r="G211" s="10">
        <f t="shared" si="11"/>
        <v>126.1643836</v>
      </c>
      <c r="H211" s="11"/>
      <c r="I211" s="11"/>
      <c r="J211" s="11"/>
      <c r="K211" s="11"/>
      <c r="L211" s="13"/>
      <c r="M211" s="13"/>
      <c r="N211" s="11"/>
      <c r="O211" s="11"/>
      <c r="P211" s="11"/>
      <c r="Q211" s="11"/>
      <c r="R211" s="11"/>
      <c r="S211" s="11"/>
      <c r="T211" s="11"/>
      <c r="U211" s="14" t="str">
        <f t="shared" si="12"/>
        <v/>
      </c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4"/>
      <c r="AL211" s="16"/>
      <c r="AM211" s="11"/>
      <c r="AN211" s="11"/>
      <c r="AO211" s="11"/>
      <c r="AP211" s="17">
        <f t="shared" si="13"/>
        <v>12</v>
      </c>
      <c r="AQ211" s="17">
        <f t="shared" si="14"/>
        <v>1899</v>
      </c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</row>
    <row r="212">
      <c r="A212" s="11"/>
      <c r="B212" s="11"/>
      <c r="C212" s="11"/>
      <c r="D212" s="14" t="str">
        <f t="shared" si="10"/>
        <v>, </v>
      </c>
      <c r="E212" s="9"/>
      <c r="F212" s="9"/>
      <c r="G212" s="10">
        <f t="shared" si="11"/>
        <v>126.1643836</v>
      </c>
      <c r="H212" s="11"/>
      <c r="I212" s="11"/>
      <c r="J212" s="11"/>
      <c r="K212" s="11"/>
      <c r="L212" s="13"/>
      <c r="M212" s="13"/>
      <c r="N212" s="11"/>
      <c r="O212" s="11"/>
      <c r="P212" s="11"/>
      <c r="Q212" s="11"/>
      <c r="R212" s="11"/>
      <c r="S212" s="11"/>
      <c r="T212" s="11"/>
      <c r="U212" s="14" t="str">
        <f t="shared" si="12"/>
        <v/>
      </c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4"/>
      <c r="AL212" s="16"/>
      <c r="AM212" s="11"/>
      <c r="AN212" s="11"/>
      <c r="AO212" s="11"/>
      <c r="AP212" s="17">
        <f t="shared" si="13"/>
        <v>12</v>
      </c>
      <c r="AQ212" s="17">
        <f t="shared" si="14"/>
        <v>1899</v>
      </c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</row>
    <row r="213">
      <c r="A213" s="11"/>
      <c r="B213" s="11"/>
      <c r="C213" s="11"/>
      <c r="D213" s="14" t="str">
        <f t="shared" si="10"/>
        <v>, </v>
      </c>
      <c r="E213" s="9"/>
      <c r="F213" s="9"/>
      <c r="G213" s="10">
        <f t="shared" si="11"/>
        <v>126.1643836</v>
      </c>
      <c r="H213" s="11"/>
      <c r="I213" s="11"/>
      <c r="J213" s="11"/>
      <c r="K213" s="11"/>
      <c r="L213" s="13"/>
      <c r="M213" s="13"/>
      <c r="N213" s="11"/>
      <c r="O213" s="11"/>
      <c r="P213" s="11"/>
      <c r="Q213" s="11"/>
      <c r="R213" s="11"/>
      <c r="S213" s="11"/>
      <c r="T213" s="11"/>
      <c r="U213" s="14" t="str">
        <f t="shared" si="12"/>
        <v/>
      </c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4"/>
      <c r="AL213" s="16"/>
      <c r="AM213" s="11"/>
      <c r="AN213" s="11"/>
      <c r="AO213" s="11"/>
      <c r="AP213" s="17">
        <f t="shared" si="13"/>
        <v>12</v>
      </c>
      <c r="AQ213" s="17">
        <f t="shared" si="14"/>
        <v>1899</v>
      </c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</row>
    <row r="214">
      <c r="A214" s="11"/>
      <c r="B214" s="11"/>
      <c r="C214" s="11"/>
      <c r="D214" s="14" t="str">
        <f t="shared" si="10"/>
        <v>, </v>
      </c>
      <c r="E214" s="9"/>
      <c r="F214" s="9"/>
      <c r="G214" s="10">
        <f t="shared" si="11"/>
        <v>126.1643836</v>
      </c>
      <c r="H214" s="11"/>
      <c r="I214" s="11"/>
      <c r="J214" s="11"/>
      <c r="K214" s="11"/>
      <c r="L214" s="13"/>
      <c r="M214" s="13"/>
      <c r="N214" s="11"/>
      <c r="O214" s="11"/>
      <c r="P214" s="11"/>
      <c r="Q214" s="11"/>
      <c r="R214" s="11"/>
      <c r="S214" s="11"/>
      <c r="T214" s="11"/>
      <c r="U214" s="14" t="str">
        <f t="shared" si="12"/>
        <v/>
      </c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4"/>
      <c r="AL214" s="16"/>
      <c r="AM214" s="11"/>
      <c r="AN214" s="11"/>
      <c r="AO214" s="11"/>
      <c r="AP214" s="17">
        <f t="shared" si="13"/>
        <v>12</v>
      </c>
      <c r="AQ214" s="17">
        <f t="shared" si="14"/>
        <v>1899</v>
      </c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</row>
    <row r="215">
      <c r="A215" s="11"/>
      <c r="B215" s="11"/>
      <c r="C215" s="11"/>
      <c r="D215" s="14" t="str">
        <f t="shared" si="10"/>
        <v>, </v>
      </c>
      <c r="E215" s="9"/>
      <c r="F215" s="9"/>
      <c r="G215" s="10">
        <f t="shared" si="11"/>
        <v>126.1643836</v>
      </c>
      <c r="H215" s="11"/>
      <c r="I215" s="11"/>
      <c r="J215" s="11"/>
      <c r="K215" s="11"/>
      <c r="L215" s="13"/>
      <c r="M215" s="13"/>
      <c r="N215" s="11"/>
      <c r="O215" s="11"/>
      <c r="P215" s="11"/>
      <c r="Q215" s="11"/>
      <c r="R215" s="11"/>
      <c r="S215" s="11"/>
      <c r="T215" s="11"/>
      <c r="U215" s="14" t="str">
        <f t="shared" si="12"/>
        <v/>
      </c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4"/>
      <c r="AL215" s="16"/>
      <c r="AM215" s="11"/>
      <c r="AN215" s="11"/>
      <c r="AO215" s="11"/>
      <c r="AP215" s="17">
        <f t="shared" si="13"/>
        <v>12</v>
      </c>
      <c r="AQ215" s="17">
        <f t="shared" si="14"/>
        <v>1899</v>
      </c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</row>
    <row r="216">
      <c r="A216" s="11"/>
      <c r="B216" s="11"/>
      <c r="C216" s="11"/>
      <c r="D216" s="14" t="str">
        <f t="shared" si="10"/>
        <v>, </v>
      </c>
      <c r="E216" s="9"/>
      <c r="F216" s="9"/>
      <c r="G216" s="10">
        <f t="shared" si="11"/>
        <v>126.1643836</v>
      </c>
      <c r="H216" s="11"/>
      <c r="I216" s="11"/>
      <c r="J216" s="11"/>
      <c r="K216" s="11"/>
      <c r="L216" s="13"/>
      <c r="M216" s="13"/>
      <c r="N216" s="11"/>
      <c r="O216" s="11"/>
      <c r="P216" s="11"/>
      <c r="Q216" s="11"/>
      <c r="R216" s="11"/>
      <c r="S216" s="11"/>
      <c r="T216" s="11"/>
      <c r="U216" s="14" t="str">
        <f t="shared" si="12"/>
        <v/>
      </c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4"/>
      <c r="AL216" s="16"/>
      <c r="AM216" s="11"/>
      <c r="AN216" s="11"/>
      <c r="AO216" s="11"/>
      <c r="AP216" s="17">
        <f t="shared" si="13"/>
        <v>12</v>
      </c>
      <c r="AQ216" s="17">
        <f t="shared" si="14"/>
        <v>1899</v>
      </c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</row>
    <row r="217">
      <c r="A217" s="11"/>
      <c r="B217" s="11"/>
      <c r="C217" s="11"/>
      <c r="D217" s="14" t="str">
        <f t="shared" si="10"/>
        <v>, </v>
      </c>
      <c r="E217" s="9"/>
      <c r="F217" s="9"/>
      <c r="G217" s="10">
        <f t="shared" si="11"/>
        <v>126.1643836</v>
      </c>
      <c r="H217" s="11"/>
      <c r="I217" s="11"/>
      <c r="J217" s="11"/>
      <c r="K217" s="11"/>
      <c r="L217" s="13"/>
      <c r="M217" s="13"/>
      <c r="N217" s="11"/>
      <c r="O217" s="11"/>
      <c r="P217" s="11"/>
      <c r="Q217" s="11"/>
      <c r="R217" s="11"/>
      <c r="S217" s="11"/>
      <c r="T217" s="11"/>
      <c r="U217" s="14" t="str">
        <f t="shared" si="12"/>
        <v/>
      </c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4"/>
      <c r="AL217" s="16"/>
      <c r="AM217" s="11"/>
      <c r="AN217" s="11"/>
      <c r="AO217" s="11"/>
      <c r="AP217" s="17">
        <f t="shared" si="13"/>
        <v>12</v>
      </c>
      <c r="AQ217" s="17">
        <f t="shared" si="14"/>
        <v>1899</v>
      </c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</row>
    <row r="218">
      <c r="A218" s="11"/>
      <c r="B218" s="11"/>
      <c r="C218" s="11"/>
      <c r="D218" s="14" t="str">
        <f t="shared" si="10"/>
        <v>, </v>
      </c>
      <c r="E218" s="9"/>
      <c r="F218" s="9"/>
      <c r="G218" s="10">
        <f t="shared" si="11"/>
        <v>126.1643836</v>
      </c>
      <c r="H218" s="11"/>
      <c r="I218" s="11"/>
      <c r="J218" s="11"/>
      <c r="K218" s="11"/>
      <c r="L218" s="13"/>
      <c r="M218" s="13"/>
      <c r="N218" s="11"/>
      <c r="O218" s="11"/>
      <c r="P218" s="11"/>
      <c r="Q218" s="11"/>
      <c r="R218" s="11"/>
      <c r="S218" s="11"/>
      <c r="T218" s="11"/>
      <c r="U218" s="14" t="str">
        <f t="shared" si="12"/>
        <v/>
      </c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4"/>
      <c r="AL218" s="16"/>
      <c r="AM218" s="11"/>
      <c r="AN218" s="11"/>
      <c r="AO218" s="11"/>
      <c r="AP218" s="17">
        <f t="shared" si="13"/>
        <v>12</v>
      </c>
      <c r="AQ218" s="17">
        <f t="shared" si="14"/>
        <v>1899</v>
      </c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</row>
    <row r="219">
      <c r="A219" s="11"/>
      <c r="B219" s="11"/>
      <c r="C219" s="11"/>
      <c r="D219" s="14" t="str">
        <f t="shared" si="10"/>
        <v>, </v>
      </c>
      <c r="E219" s="9"/>
      <c r="F219" s="9"/>
      <c r="G219" s="10">
        <f t="shared" si="11"/>
        <v>126.1643836</v>
      </c>
      <c r="H219" s="11"/>
      <c r="I219" s="11"/>
      <c r="J219" s="11"/>
      <c r="K219" s="11"/>
      <c r="L219" s="13"/>
      <c r="M219" s="13"/>
      <c r="N219" s="11"/>
      <c r="O219" s="11"/>
      <c r="P219" s="11"/>
      <c r="Q219" s="11"/>
      <c r="R219" s="11"/>
      <c r="S219" s="11"/>
      <c r="T219" s="11"/>
      <c r="U219" s="14" t="str">
        <f t="shared" si="12"/>
        <v/>
      </c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4"/>
      <c r="AL219" s="16"/>
      <c r="AM219" s="11"/>
      <c r="AN219" s="11"/>
      <c r="AO219" s="11"/>
      <c r="AP219" s="17">
        <f t="shared" si="13"/>
        <v>12</v>
      </c>
      <c r="AQ219" s="17">
        <f t="shared" si="14"/>
        <v>1899</v>
      </c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</row>
    <row r="220">
      <c r="A220" s="11"/>
      <c r="B220" s="11"/>
      <c r="C220" s="11"/>
      <c r="D220" s="14" t="str">
        <f t="shared" si="10"/>
        <v>, </v>
      </c>
      <c r="E220" s="9"/>
      <c r="F220" s="9"/>
      <c r="G220" s="10">
        <f t="shared" si="11"/>
        <v>126.1643836</v>
      </c>
      <c r="H220" s="11"/>
      <c r="I220" s="11"/>
      <c r="J220" s="11"/>
      <c r="K220" s="11"/>
      <c r="L220" s="13"/>
      <c r="M220" s="13"/>
      <c r="N220" s="11"/>
      <c r="O220" s="11"/>
      <c r="P220" s="11"/>
      <c r="Q220" s="11"/>
      <c r="R220" s="11"/>
      <c r="S220" s="11"/>
      <c r="T220" s="11"/>
      <c r="U220" s="14" t="str">
        <f t="shared" si="12"/>
        <v/>
      </c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4"/>
      <c r="AL220" s="16"/>
      <c r="AM220" s="11"/>
      <c r="AN220" s="11"/>
      <c r="AO220" s="11"/>
      <c r="AP220" s="17">
        <f t="shared" si="13"/>
        <v>12</v>
      </c>
      <c r="AQ220" s="17">
        <f t="shared" si="14"/>
        <v>1899</v>
      </c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</row>
    <row r="221">
      <c r="A221" s="11"/>
      <c r="B221" s="11"/>
      <c r="C221" s="11"/>
      <c r="D221" s="14" t="str">
        <f t="shared" si="10"/>
        <v>, </v>
      </c>
      <c r="E221" s="9"/>
      <c r="F221" s="9"/>
      <c r="G221" s="10">
        <f t="shared" si="11"/>
        <v>126.1643836</v>
      </c>
      <c r="H221" s="11"/>
      <c r="I221" s="11"/>
      <c r="J221" s="11"/>
      <c r="K221" s="11"/>
      <c r="L221" s="13"/>
      <c r="M221" s="13"/>
      <c r="N221" s="11"/>
      <c r="O221" s="11"/>
      <c r="P221" s="11"/>
      <c r="Q221" s="11"/>
      <c r="R221" s="11"/>
      <c r="S221" s="11"/>
      <c r="T221" s="11"/>
      <c r="U221" s="14" t="str">
        <f t="shared" si="12"/>
        <v/>
      </c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4"/>
      <c r="AL221" s="16"/>
      <c r="AM221" s="11"/>
      <c r="AN221" s="11"/>
      <c r="AO221" s="11"/>
      <c r="AP221" s="17">
        <f t="shared" si="13"/>
        <v>12</v>
      </c>
      <c r="AQ221" s="17">
        <f t="shared" si="14"/>
        <v>1899</v>
      </c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</row>
    <row r="222">
      <c r="A222" s="11"/>
      <c r="B222" s="11"/>
      <c r="C222" s="11"/>
      <c r="D222" s="14" t="str">
        <f t="shared" si="10"/>
        <v>, </v>
      </c>
      <c r="E222" s="9"/>
      <c r="F222" s="9"/>
      <c r="G222" s="10">
        <f t="shared" si="11"/>
        <v>126.1643836</v>
      </c>
      <c r="H222" s="11"/>
      <c r="I222" s="11"/>
      <c r="J222" s="11"/>
      <c r="K222" s="11"/>
      <c r="L222" s="13"/>
      <c r="M222" s="13"/>
      <c r="N222" s="11"/>
      <c r="O222" s="11"/>
      <c r="P222" s="11"/>
      <c r="Q222" s="11"/>
      <c r="R222" s="11"/>
      <c r="S222" s="11"/>
      <c r="T222" s="11"/>
      <c r="U222" s="14" t="str">
        <f t="shared" si="12"/>
        <v/>
      </c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4"/>
      <c r="AL222" s="16"/>
      <c r="AM222" s="11"/>
      <c r="AN222" s="11"/>
      <c r="AO222" s="11"/>
      <c r="AP222" s="17">
        <f t="shared" si="13"/>
        <v>12</v>
      </c>
      <c r="AQ222" s="17">
        <f t="shared" si="14"/>
        <v>1899</v>
      </c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</row>
    <row r="223">
      <c r="A223" s="11"/>
      <c r="B223" s="11"/>
      <c r="C223" s="11"/>
      <c r="D223" s="14" t="str">
        <f t="shared" si="10"/>
        <v>, </v>
      </c>
      <c r="E223" s="9"/>
      <c r="F223" s="9"/>
      <c r="G223" s="10">
        <f t="shared" si="11"/>
        <v>126.1643836</v>
      </c>
      <c r="H223" s="11"/>
      <c r="I223" s="11"/>
      <c r="J223" s="11"/>
      <c r="K223" s="11"/>
      <c r="L223" s="13"/>
      <c r="M223" s="13"/>
      <c r="N223" s="11"/>
      <c r="O223" s="11"/>
      <c r="P223" s="11"/>
      <c r="Q223" s="11"/>
      <c r="R223" s="11"/>
      <c r="S223" s="11"/>
      <c r="T223" s="11"/>
      <c r="U223" s="14" t="str">
        <f t="shared" si="12"/>
        <v/>
      </c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4"/>
      <c r="AL223" s="16"/>
      <c r="AM223" s="11"/>
      <c r="AN223" s="11"/>
      <c r="AO223" s="11"/>
      <c r="AP223" s="17">
        <f t="shared" si="13"/>
        <v>12</v>
      </c>
      <c r="AQ223" s="17">
        <f t="shared" si="14"/>
        <v>1899</v>
      </c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</row>
    <row r="224">
      <c r="A224" s="11"/>
      <c r="B224" s="11"/>
      <c r="C224" s="11"/>
      <c r="D224" s="14" t="str">
        <f t="shared" si="10"/>
        <v>, </v>
      </c>
      <c r="E224" s="9"/>
      <c r="F224" s="9"/>
      <c r="G224" s="10">
        <f t="shared" si="11"/>
        <v>126.1643836</v>
      </c>
      <c r="H224" s="11"/>
      <c r="I224" s="11"/>
      <c r="J224" s="11"/>
      <c r="K224" s="11"/>
      <c r="L224" s="13"/>
      <c r="M224" s="13"/>
      <c r="N224" s="11"/>
      <c r="O224" s="11"/>
      <c r="P224" s="11"/>
      <c r="Q224" s="11"/>
      <c r="R224" s="11"/>
      <c r="S224" s="11"/>
      <c r="T224" s="11"/>
      <c r="U224" s="14" t="str">
        <f t="shared" si="12"/>
        <v/>
      </c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4"/>
      <c r="AL224" s="16"/>
      <c r="AM224" s="11"/>
      <c r="AN224" s="11"/>
      <c r="AO224" s="11"/>
      <c r="AP224" s="17">
        <f t="shared" si="13"/>
        <v>12</v>
      </c>
      <c r="AQ224" s="17">
        <f t="shared" si="14"/>
        <v>1899</v>
      </c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</row>
    <row r="225">
      <c r="A225" s="11"/>
      <c r="B225" s="11"/>
      <c r="C225" s="11"/>
      <c r="D225" s="14" t="str">
        <f t="shared" si="10"/>
        <v>, </v>
      </c>
      <c r="E225" s="9"/>
      <c r="F225" s="9"/>
      <c r="G225" s="10">
        <f t="shared" si="11"/>
        <v>126.1643836</v>
      </c>
      <c r="H225" s="11"/>
      <c r="I225" s="11"/>
      <c r="J225" s="11"/>
      <c r="K225" s="11"/>
      <c r="L225" s="13"/>
      <c r="M225" s="13"/>
      <c r="N225" s="11"/>
      <c r="O225" s="11"/>
      <c r="P225" s="11"/>
      <c r="Q225" s="11"/>
      <c r="R225" s="11"/>
      <c r="S225" s="11"/>
      <c r="T225" s="11"/>
      <c r="U225" s="14" t="str">
        <f t="shared" si="12"/>
        <v/>
      </c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4"/>
      <c r="AL225" s="16"/>
      <c r="AM225" s="11"/>
      <c r="AN225" s="11"/>
      <c r="AO225" s="11"/>
      <c r="AP225" s="17">
        <f t="shared" si="13"/>
        <v>12</v>
      </c>
      <c r="AQ225" s="17">
        <f t="shared" si="14"/>
        <v>1899</v>
      </c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</row>
    <row r="226">
      <c r="A226" s="11"/>
      <c r="B226" s="11"/>
      <c r="C226" s="11"/>
      <c r="D226" s="14" t="str">
        <f t="shared" si="10"/>
        <v>, </v>
      </c>
      <c r="E226" s="9"/>
      <c r="F226" s="9"/>
      <c r="G226" s="10">
        <f t="shared" si="11"/>
        <v>126.1643836</v>
      </c>
      <c r="H226" s="11"/>
      <c r="I226" s="11"/>
      <c r="J226" s="11"/>
      <c r="K226" s="11"/>
      <c r="L226" s="13"/>
      <c r="M226" s="13"/>
      <c r="N226" s="11"/>
      <c r="O226" s="11"/>
      <c r="P226" s="11"/>
      <c r="Q226" s="11"/>
      <c r="R226" s="11"/>
      <c r="S226" s="11"/>
      <c r="T226" s="11"/>
      <c r="U226" s="14" t="str">
        <f t="shared" si="12"/>
        <v/>
      </c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4"/>
      <c r="AL226" s="16"/>
      <c r="AM226" s="11"/>
      <c r="AN226" s="11"/>
      <c r="AO226" s="11"/>
      <c r="AP226" s="17">
        <f t="shared" si="13"/>
        <v>12</v>
      </c>
      <c r="AQ226" s="17">
        <f t="shared" si="14"/>
        <v>1899</v>
      </c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</row>
    <row r="227">
      <c r="A227" s="11"/>
      <c r="B227" s="11"/>
      <c r="C227" s="11"/>
      <c r="D227" s="14" t="str">
        <f t="shared" si="10"/>
        <v>, </v>
      </c>
      <c r="E227" s="9"/>
      <c r="F227" s="9"/>
      <c r="G227" s="10">
        <f t="shared" si="11"/>
        <v>126.1643836</v>
      </c>
      <c r="H227" s="11"/>
      <c r="I227" s="11"/>
      <c r="J227" s="11"/>
      <c r="K227" s="11"/>
      <c r="L227" s="13"/>
      <c r="M227" s="13"/>
      <c r="N227" s="11"/>
      <c r="O227" s="11"/>
      <c r="P227" s="11"/>
      <c r="Q227" s="11"/>
      <c r="R227" s="11"/>
      <c r="S227" s="11"/>
      <c r="T227" s="11"/>
      <c r="U227" s="14" t="str">
        <f t="shared" si="12"/>
        <v/>
      </c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4"/>
      <c r="AL227" s="16"/>
      <c r="AM227" s="11"/>
      <c r="AN227" s="11"/>
      <c r="AO227" s="11"/>
      <c r="AP227" s="17">
        <f t="shared" si="13"/>
        <v>12</v>
      </c>
      <c r="AQ227" s="17">
        <f t="shared" si="14"/>
        <v>1899</v>
      </c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</row>
    <row r="228">
      <c r="A228" s="11"/>
      <c r="B228" s="11"/>
      <c r="C228" s="11"/>
      <c r="D228" s="14" t="str">
        <f t="shared" si="10"/>
        <v>, </v>
      </c>
      <c r="E228" s="9"/>
      <c r="F228" s="9"/>
      <c r="G228" s="10">
        <f t="shared" si="11"/>
        <v>126.1643836</v>
      </c>
      <c r="H228" s="11"/>
      <c r="I228" s="11"/>
      <c r="J228" s="11"/>
      <c r="K228" s="11"/>
      <c r="L228" s="13"/>
      <c r="M228" s="13"/>
      <c r="N228" s="11"/>
      <c r="O228" s="11"/>
      <c r="P228" s="11"/>
      <c r="Q228" s="11"/>
      <c r="R228" s="11"/>
      <c r="S228" s="11"/>
      <c r="T228" s="11"/>
      <c r="U228" s="14" t="str">
        <f t="shared" si="12"/>
        <v/>
      </c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4"/>
      <c r="AL228" s="16"/>
      <c r="AM228" s="11"/>
      <c r="AN228" s="11"/>
      <c r="AO228" s="11"/>
      <c r="AP228" s="17">
        <f t="shared" si="13"/>
        <v>12</v>
      </c>
      <c r="AQ228" s="17">
        <f t="shared" si="14"/>
        <v>1899</v>
      </c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</row>
    <row r="229">
      <c r="A229" s="11"/>
      <c r="B229" s="11"/>
      <c r="C229" s="11"/>
      <c r="D229" s="14" t="str">
        <f t="shared" si="10"/>
        <v>, </v>
      </c>
      <c r="E229" s="9"/>
      <c r="F229" s="9"/>
      <c r="G229" s="10">
        <f t="shared" si="11"/>
        <v>126.1643836</v>
      </c>
      <c r="H229" s="11"/>
      <c r="I229" s="11"/>
      <c r="J229" s="11"/>
      <c r="K229" s="11"/>
      <c r="L229" s="13"/>
      <c r="M229" s="13"/>
      <c r="N229" s="11"/>
      <c r="O229" s="11"/>
      <c r="P229" s="11"/>
      <c r="Q229" s="11"/>
      <c r="R229" s="11"/>
      <c r="S229" s="11"/>
      <c r="T229" s="11"/>
      <c r="U229" s="14" t="str">
        <f t="shared" si="12"/>
        <v/>
      </c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4"/>
      <c r="AL229" s="16"/>
      <c r="AM229" s="11"/>
      <c r="AN229" s="11"/>
      <c r="AO229" s="11"/>
      <c r="AP229" s="17">
        <f t="shared" si="13"/>
        <v>12</v>
      </c>
      <c r="AQ229" s="17">
        <f t="shared" si="14"/>
        <v>1899</v>
      </c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</row>
    <row r="230">
      <c r="A230" s="11"/>
      <c r="B230" s="11"/>
      <c r="C230" s="11"/>
      <c r="D230" s="14" t="str">
        <f t="shared" si="10"/>
        <v>, </v>
      </c>
      <c r="E230" s="9"/>
      <c r="F230" s="9"/>
      <c r="G230" s="10">
        <f t="shared" si="11"/>
        <v>126.1643836</v>
      </c>
      <c r="H230" s="11"/>
      <c r="I230" s="11"/>
      <c r="J230" s="11"/>
      <c r="K230" s="11"/>
      <c r="L230" s="13"/>
      <c r="M230" s="13"/>
      <c r="N230" s="11"/>
      <c r="O230" s="11"/>
      <c r="P230" s="11"/>
      <c r="Q230" s="11"/>
      <c r="R230" s="11"/>
      <c r="S230" s="11"/>
      <c r="T230" s="11"/>
      <c r="U230" s="14" t="str">
        <f t="shared" si="12"/>
        <v/>
      </c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4"/>
      <c r="AL230" s="16"/>
      <c r="AM230" s="11"/>
      <c r="AN230" s="11"/>
      <c r="AO230" s="11"/>
      <c r="AP230" s="17">
        <f t="shared" si="13"/>
        <v>12</v>
      </c>
      <c r="AQ230" s="17">
        <f t="shared" si="14"/>
        <v>1899</v>
      </c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</row>
    <row r="231">
      <c r="A231" s="11"/>
      <c r="B231" s="11"/>
      <c r="C231" s="11"/>
      <c r="D231" s="14" t="str">
        <f t="shared" si="10"/>
        <v>, </v>
      </c>
      <c r="E231" s="9"/>
      <c r="F231" s="9"/>
      <c r="G231" s="10">
        <f t="shared" si="11"/>
        <v>126.1643836</v>
      </c>
      <c r="H231" s="11"/>
      <c r="I231" s="11"/>
      <c r="J231" s="11"/>
      <c r="K231" s="11"/>
      <c r="L231" s="13"/>
      <c r="M231" s="13"/>
      <c r="N231" s="11"/>
      <c r="O231" s="11"/>
      <c r="P231" s="11"/>
      <c r="Q231" s="11"/>
      <c r="R231" s="11"/>
      <c r="S231" s="11"/>
      <c r="T231" s="11"/>
      <c r="U231" s="14" t="str">
        <f t="shared" si="12"/>
        <v/>
      </c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4"/>
      <c r="AL231" s="16"/>
      <c r="AM231" s="11"/>
      <c r="AN231" s="11"/>
      <c r="AO231" s="11"/>
      <c r="AP231" s="17">
        <f t="shared" si="13"/>
        <v>12</v>
      </c>
      <c r="AQ231" s="17">
        <f t="shared" si="14"/>
        <v>1899</v>
      </c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</row>
    <row r="232">
      <c r="A232" s="11"/>
      <c r="B232" s="11"/>
      <c r="C232" s="11"/>
      <c r="D232" s="14" t="str">
        <f t="shared" si="10"/>
        <v>, </v>
      </c>
      <c r="E232" s="9"/>
      <c r="F232" s="9"/>
      <c r="G232" s="10">
        <f t="shared" si="11"/>
        <v>126.1643836</v>
      </c>
      <c r="H232" s="11"/>
      <c r="I232" s="11"/>
      <c r="J232" s="11"/>
      <c r="K232" s="11"/>
      <c r="L232" s="13"/>
      <c r="M232" s="13"/>
      <c r="N232" s="11"/>
      <c r="O232" s="11"/>
      <c r="P232" s="11"/>
      <c r="Q232" s="11"/>
      <c r="R232" s="11"/>
      <c r="S232" s="11"/>
      <c r="T232" s="11"/>
      <c r="U232" s="14" t="str">
        <f t="shared" si="12"/>
        <v/>
      </c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4"/>
      <c r="AL232" s="16"/>
      <c r="AM232" s="11"/>
      <c r="AN232" s="11"/>
      <c r="AO232" s="11"/>
      <c r="AP232" s="17">
        <f t="shared" si="13"/>
        <v>12</v>
      </c>
      <c r="AQ232" s="17">
        <f t="shared" si="14"/>
        <v>1899</v>
      </c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</row>
    <row r="233">
      <c r="A233" s="11"/>
      <c r="B233" s="11"/>
      <c r="C233" s="11"/>
      <c r="D233" s="14" t="str">
        <f t="shared" si="10"/>
        <v>, </v>
      </c>
      <c r="E233" s="9"/>
      <c r="F233" s="9"/>
      <c r="G233" s="10">
        <f t="shared" si="11"/>
        <v>126.1643836</v>
      </c>
      <c r="H233" s="11"/>
      <c r="I233" s="11"/>
      <c r="J233" s="11"/>
      <c r="K233" s="11"/>
      <c r="L233" s="13"/>
      <c r="M233" s="13"/>
      <c r="N233" s="11"/>
      <c r="O233" s="11"/>
      <c r="P233" s="11"/>
      <c r="Q233" s="11"/>
      <c r="R233" s="11"/>
      <c r="S233" s="11"/>
      <c r="T233" s="11"/>
      <c r="U233" s="14" t="str">
        <f t="shared" si="12"/>
        <v/>
      </c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4"/>
      <c r="AL233" s="16"/>
      <c r="AM233" s="11"/>
      <c r="AN233" s="11"/>
      <c r="AO233" s="11"/>
      <c r="AP233" s="17">
        <f t="shared" si="13"/>
        <v>12</v>
      </c>
      <c r="AQ233" s="17">
        <f t="shared" si="14"/>
        <v>1899</v>
      </c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</row>
    <row r="234">
      <c r="A234" s="11"/>
      <c r="B234" s="11"/>
      <c r="C234" s="11"/>
      <c r="D234" s="14" t="str">
        <f t="shared" si="10"/>
        <v>, </v>
      </c>
      <c r="E234" s="9"/>
      <c r="F234" s="9"/>
      <c r="G234" s="10">
        <f t="shared" si="11"/>
        <v>126.1643836</v>
      </c>
      <c r="H234" s="11"/>
      <c r="I234" s="11"/>
      <c r="J234" s="11"/>
      <c r="K234" s="11"/>
      <c r="L234" s="13"/>
      <c r="M234" s="13"/>
      <c r="N234" s="11"/>
      <c r="O234" s="11"/>
      <c r="P234" s="11"/>
      <c r="Q234" s="11"/>
      <c r="R234" s="11"/>
      <c r="S234" s="11"/>
      <c r="T234" s="11"/>
      <c r="U234" s="14" t="str">
        <f t="shared" si="12"/>
        <v/>
      </c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4"/>
      <c r="AL234" s="16"/>
      <c r="AM234" s="11"/>
      <c r="AN234" s="11"/>
      <c r="AO234" s="11"/>
      <c r="AP234" s="17">
        <f t="shared" si="13"/>
        <v>12</v>
      </c>
      <c r="AQ234" s="17">
        <f t="shared" si="14"/>
        <v>1899</v>
      </c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</row>
    <row r="235">
      <c r="A235" s="11"/>
      <c r="B235" s="11"/>
      <c r="C235" s="11"/>
      <c r="D235" s="14" t="str">
        <f t="shared" si="10"/>
        <v>, </v>
      </c>
      <c r="E235" s="9"/>
      <c r="F235" s="9"/>
      <c r="G235" s="10">
        <f t="shared" si="11"/>
        <v>126.1643836</v>
      </c>
      <c r="H235" s="11"/>
      <c r="I235" s="11"/>
      <c r="J235" s="11"/>
      <c r="K235" s="11"/>
      <c r="L235" s="13"/>
      <c r="M235" s="13"/>
      <c r="N235" s="11"/>
      <c r="O235" s="11"/>
      <c r="P235" s="11"/>
      <c r="Q235" s="11"/>
      <c r="R235" s="11"/>
      <c r="S235" s="11"/>
      <c r="T235" s="11"/>
      <c r="U235" s="14" t="str">
        <f t="shared" si="12"/>
        <v/>
      </c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4"/>
      <c r="AL235" s="16"/>
      <c r="AM235" s="11"/>
      <c r="AN235" s="11"/>
      <c r="AO235" s="11"/>
      <c r="AP235" s="17">
        <f t="shared" si="13"/>
        <v>12</v>
      </c>
      <c r="AQ235" s="17">
        <f t="shared" si="14"/>
        <v>1899</v>
      </c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</row>
    <row r="236">
      <c r="A236" s="11"/>
      <c r="B236" s="11"/>
      <c r="C236" s="11"/>
      <c r="D236" s="14" t="str">
        <f t="shared" si="10"/>
        <v>, </v>
      </c>
      <c r="E236" s="9"/>
      <c r="F236" s="9"/>
      <c r="G236" s="10">
        <f t="shared" si="11"/>
        <v>126.1643836</v>
      </c>
      <c r="H236" s="11"/>
      <c r="I236" s="11"/>
      <c r="J236" s="11"/>
      <c r="K236" s="11"/>
      <c r="L236" s="13"/>
      <c r="M236" s="13"/>
      <c r="N236" s="11"/>
      <c r="O236" s="11"/>
      <c r="P236" s="11"/>
      <c r="Q236" s="11"/>
      <c r="R236" s="11"/>
      <c r="S236" s="11"/>
      <c r="T236" s="11"/>
      <c r="U236" s="14" t="str">
        <f t="shared" si="12"/>
        <v/>
      </c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4"/>
      <c r="AL236" s="16"/>
      <c r="AM236" s="11"/>
      <c r="AN236" s="11"/>
      <c r="AO236" s="11"/>
      <c r="AP236" s="17">
        <f t="shared" si="13"/>
        <v>12</v>
      </c>
      <c r="AQ236" s="17">
        <f t="shared" si="14"/>
        <v>1899</v>
      </c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</row>
    <row r="237">
      <c r="A237" s="11"/>
      <c r="B237" s="11"/>
      <c r="C237" s="11"/>
      <c r="D237" s="14" t="str">
        <f t="shared" si="10"/>
        <v>, </v>
      </c>
      <c r="E237" s="9"/>
      <c r="F237" s="9"/>
      <c r="G237" s="10">
        <f t="shared" si="11"/>
        <v>126.1643836</v>
      </c>
      <c r="H237" s="11"/>
      <c r="I237" s="11"/>
      <c r="J237" s="11"/>
      <c r="K237" s="11"/>
      <c r="L237" s="13"/>
      <c r="M237" s="13"/>
      <c r="N237" s="11"/>
      <c r="O237" s="11"/>
      <c r="P237" s="11"/>
      <c r="Q237" s="11"/>
      <c r="R237" s="11"/>
      <c r="S237" s="11"/>
      <c r="T237" s="11"/>
      <c r="U237" s="14" t="str">
        <f t="shared" si="12"/>
        <v/>
      </c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4"/>
      <c r="AL237" s="16"/>
      <c r="AM237" s="11"/>
      <c r="AN237" s="11"/>
      <c r="AO237" s="11"/>
      <c r="AP237" s="17">
        <f t="shared" si="13"/>
        <v>12</v>
      </c>
      <c r="AQ237" s="17">
        <f t="shared" si="14"/>
        <v>1899</v>
      </c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</row>
    <row r="238">
      <c r="A238" s="11"/>
      <c r="B238" s="11"/>
      <c r="C238" s="11"/>
      <c r="D238" s="14" t="str">
        <f t="shared" si="10"/>
        <v>, </v>
      </c>
      <c r="E238" s="9"/>
      <c r="F238" s="9"/>
      <c r="G238" s="10">
        <f t="shared" si="11"/>
        <v>126.1643836</v>
      </c>
      <c r="H238" s="11"/>
      <c r="I238" s="11"/>
      <c r="J238" s="11"/>
      <c r="K238" s="11"/>
      <c r="L238" s="13"/>
      <c r="M238" s="13"/>
      <c r="N238" s="11"/>
      <c r="O238" s="11"/>
      <c r="P238" s="11"/>
      <c r="Q238" s="11"/>
      <c r="R238" s="11"/>
      <c r="S238" s="11"/>
      <c r="T238" s="11"/>
      <c r="U238" s="14" t="str">
        <f t="shared" si="12"/>
        <v/>
      </c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4"/>
      <c r="AL238" s="16"/>
      <c r="AM238" s="11"/>
      <c r="AN238" s="11"/>
      <c r="AO238" s="11"/>
      <c r="AP238" s="17">
        <f t="shared" si="13"/>
        <v>12</v>
      </c>
      <c r="AQ238" s="17">
        <f t="shared" si="14"/>
        <v>1899</v>
      </c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</row>
    <row r="239">
      <c r="A239" s="11"/>
      <c r="B239" s="11"/>
      <c r="C239" s="11"/>
      <c r="D239" s="14" t="str">
        <f t="shared" si="10"/>
        <v>, </v>
      </c>
      <c r="E239" s="9"/>
      <c r="F239" s="9"/>
      <c r="G239" s="10">
        <f t="shared" si="11"/>
        <v>126.1643836</v>
      </c>
      <c r="H239" s="11"/>
      <c r="I239" s="11"/>
      <c r="J239" s="11"/>
      <c r="K239" s="11"/>
      <c r="L239" s="13"/>
      <c r="M239" s="13"/>
      <c r="N239" s="11"/>
      <c r="O239" s="11"/>
      <c r="P239" s="11"/>
      <c r="Q239" s="11"/>
      <c r="R239" s="11"/>
      <c r="S239" s="11"/>
      <c r="T239" s="11"/>
      <c r="U239" s="14" t="str">
        <f t="shared" si="12"/>
        <v/>
      </c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4"/>
      <c r="AL239" s="16"/>
      <c r="AM239" s="11"/>
      <c r="AN239" s="11"/>
      <c r="AO239" s="11"/>
      <c r="AP239" s="17">
        <f t="shared" si="13"/>
        <v>12</v>
      </c>
      <c r="AQ239" s="17">
        <f t="shared" si="14"/>
        <v>1899</v>
      </c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</row>
    <row r="240">
      <c r="A240" s="11"/>
      <c r="B240" s="11"/>
      <c r="C240" s="11"/>
      <c r="D240" s="14" t="str">
        <f t="shared" si="10"/>
        <v>, </v>
      </c>
      <c r="E240" s="9"/>
      <c r="F240" s="9"/>
      <c r="G240" s="10">
        <f t="shared" si="11"/>
        <v>126.1643836</v>
      </c>
      <c r="H240" s="11"/>
      <c r="I240" s="11"/>
      <c r="J240" s="11"/>
      <c r="K240" s="11"/>
      <c r="L240" s="13"/>
      <c r="M240" s="13"/>
      <c r="N240" s="11"/>
      <c r="O240" s="11"/>
      <c r="P240" s="11"/>
      <c r="Q240" s="11"/>
      <c r="R240" s="11"/>
      <c r="S240" s="11"/>
      <c r="T240" s="11"/>
      <c r="U240" s="14" t="str">
        <f t="shared" si="12"/>
        <v/>
      </c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4"/>
      <c r="AL240" s="16"/>
      <c r="AM240" s="11"/>
      <c r="AN240" s="11"/>
      <c r="AO240" s="11"/>
      <c r="AP240" s="17">
        <f t="shared" si="13"/>
        <v>12</v>
      </c>
      <c r="AQ240" s="17">
        <f t="shared" si="14"/>
        <v>1899</v>
      </c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</row>
    <row r="241">
      <c r="A241" s="11"/>
      <c r="B241" s="11"/>
      <c r="C241" s="11"/>
      <c r="D241" s="14" t="str">
        <f t="shared" si="10"/>
        <v>, </v>
      </c>
      <c r="E241" s="9"/>
      <c r="F241" s="9"/>
      <c r="G241" s="10">
        <f t="shared" si="11"/>
        <v>126.1643836</v>
      </c>
      <c r="H241" s="11"/>
      <c r="I241" s="11"/>
      <c r="J241" s="11"/>
      <c r="K241" s="11"/>
      <c r="L241" s="13"/>
      <c r="M241" s="13"/>
      <c r="N241" s="11"/>
      <c r="O241" s="11"/>
      <c r="P241" s="11"/>
      <c r="Q241" s="11"/>
      <c r="R241" s="11"/>
      <c r="S241" s="11"/>
      <c r="T241" s="11"/>
      <c r="U241" s="14" t="str">
        <f t="shared" si="12"/>
        <v/>
      </c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4"/>
      <c r="AL241" s="16"/>
      <c r="AM241" s="11"/>
      <c r="AN241" s="11"/>
      <c r="AO241" s="11"/>
      <c r="AP241" s="17">
        <f t="shared" si="13"/>
        <v>12</v>
      </c>
      <c r="AQ241" s="17">
        <f t="shared" si="14"/>
        <v>1899</v>
      </c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</row>
    <row r="242">
      <c r="A242" s="11"/>
      <c r="B242" s="11"/>
      <c r="C242" s="11"/>
      <c r="D242" s="14" t="str">
        <f t="shared" si="10"/>
        <v>, </v>
      </c>
      <c r="E242" s="9"/>
      <c r="F242" s="9"/>
      <c r="G242" s="10">
        <f t="shared" si="11"/>
        <v>126.1643836</v>
      </c>
      <c r="H242" s="11"/>
      <c r="I242" s="11"/>
      <c r="J242" s="11"/>
      <c r="K242" s="11"/>
      <c r="L242" s="13"/>
      <c r="M242" s="13"/>
      <c r="N242" s="11"/>
      <c r="O242" s="11"/>
      <c r="P242" s="11"/>
      <c r="Q242" s="11"/>
      <c r="R242" s="11"/>
      <c r="S242" s="11"/>
      <c r="T242" s="11"/>
      <c r="U242" s="14" t="str">
        <f t="shared" si="12"/>
        <v/>
      </c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4"/>
      <c r="AL242" s="16"/>
      <c r="AM242" s="11"/>
      <c r="AN242" s="11"/>
      <c r="AO242" s="11"/>
      <c r="AP242" s="17">
        <f t="shared" si="13"/>
        <v>12</v>
      </c>
      <c r="AQ242" s="17">
        <f t="shared" si="14"/>
        <v>1899</v>
      </c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</row>
    <row r="243">
      <c r="A243" s="11"/>
      <c r="B243" s="11"/>
      <c r="C243" s="11"/>
      <c r="D243" s="14" t="str">
        <f t="shared" si="10"/>
        <v>, </v>
      </c>
      <c r="E243" s="9"/>
      <c r="F243" s="9"/>
      <c r="G243" s="10">
        <f t="shared" si="11"/>
        <v>126.1643836</v>
      </c>
      <c r="H243" s="11"/>
      <c r="I243" s="11"/>
      <c r="J243" s="11"/>
      <c r="K243" s="11"/>
      <c r="L243" s="13"/>
      <c r="M243" s="13"/>
      <c r="N243" s="11"/>
      <c r="O243" s="11"/>
      <c r="P243" s="11"/>
      <c r="Q243" s="11"/>
      <c r="R243" s="11"/>
      <c r="S243" s="11"/>
      <c r="T243" s="11"/>
      <c r="U243" s="14" t="str">
        <f t="shared" si="12"/>
        <v/>
      </c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4"/>
      <c r="AL243" s="16"/>
      <c r="AM243" s="11"/>
      <c r="AN243" s="11"/>
      <c r="AO243" s="11"/>
      <c r="AP243" s="17">
        <f t="shared" si="13"/>
        <v>12</v>
      </c>
      <c r="AQ243" s="17">
        <f t="shared" si="14"/>
        <v>1899</v>
      </c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</row>
    <row r="244">
      <c r="A244" s="11"/>
      <c r="B244" s="11"/>
      <c r="C244" s="11"/>
      <c r="D244" s="14" t="str">
        <f t="shared" si="10"/>
        <v>, </v>
      </c>
      <c r="E244" s="9"/>
      <c r="F244" s="9"/>
      <c r="G244" s="10">
        <f t="shared" si="11"/>
        <v>126.1643836</v>
      </c>
      <c r="H244" s="11"/>
      <c r="I244" s="11"/>
      <c r="J244" s="11"/>
      <c r="K244" s="11"/>
      <c r="L244" s="13"/>
      <c r="M244" s="13"/>
      <c r="N244" s="11"/>
      <c r="O244" s="11"/>
      <c r="P244" s="11"/>
      <c r="Q244" s="11"/>
      <c r="R244" s="11"/>
      <c r="S244" s="11"/>
      <c r="T244" s="11"/>
      <c r="U244" s="14" t="str">
        <f t="shared" si="12"/>
        <v/>
      </c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4"/>
      <c r="AL244" s="16"/>
      <c r="AM244" s="11"/>
      <c r="AN244" s="11"/>
      <c r="AO244" s="11"/>
      <c r="AP244" s="17">
        <f t="shared" si="13"/>
        <v>12</v>
      </c>
      <c r="AQ244" s="17">
        <f t="shared" si="14"/>
        <v>1899</v>
      </c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</row>
    <row r="245">
      <c r="A245" s="11"/>
      <c r="B245" s="11"/>
      <c r="C245" s="11"/>
      <c r="D245" s="14" t="str">
        <f t="shared" si="10"/>
        <v>, </v>
      </c>
      <c r="E245" s="9"/>
      <c r="F245" s="9"/>
      <c r="G245" s="10">
        <f t="shared" si="11"/>
        <v>126.1643836</v>
      </c>
      <c r="H245" s="11"/>
      <c r="I245" s="11"/>
      <c r="J245" s="11"/>
      <c r="K245" s="11"/>
      <c r="L245" s="13"/>
      <c r="M245" s="13"/>
      <c r="N245" s="11"/>
      <c r="O245" s="11"/>
      <c r="P245" s="11"/>
      <c r="Q245" s="11"/>
      <c r="R245" s="11"/>
      <c r="S245" s="11"/>
      <c r="T245" s="11"/>
      <c r="U245" s="14" t="str">
        <f t="shared" si="12"/>
        <v/>
      </c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4"/>
      <c r="AL245" s="16"/>
      <c r="AM245" s="11"/>
      <c r="AN245" s="11"/>
      <c r="AO245" s="11"/>
      <c r="AP245" s="17">
        <f t="shared" si="13"/>
        <v>12</v>
      </c>
      <c r="AQ245" s="17">
        <f t="shared" si="14"/>
        <v>1899</v>
      </c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</row>
    <row r="246">
      <c r="A246" s="11"/>
      <c r="B246" s="11"/>
      <c r="C246" s="11"/>
      <c r="D246" s="14" t="str">
        <f t="shared" si="10"/>
        <v>, </v>
      </c>
      <c r="E246" s="9"/>
      <c r="F246" s="9"/>
      <c r="G246" s="10">
        <f t="shared" si="11"/>
        <v>126.1643836</v>
      </c>
      <c r="H246" s="11"/>
      <c r="I246" s="11"/>
      <c r="J246" s="11"/>
      <c r="K246" s="11"/>
      <c r="L246" s="13"/>
      <c r="M246" s="13"/>
      <c r="N246" s="11"/>
      <c r="O246" s="11"/>
      <c r="P246" s="11"/>
      <c r="Q246" s="11"/>
      <c r="R246" s="11"/>
      <c r="S246" s="11"/>
      <c r="T246" s="11"/>
      <c r="U246" s="14" t="str">
        <f t="shared" si="12"/>
        <v/>
      </c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4"/>
      <c r="AL246" s="16"/>
      <c r="AM246" s="11"/>
      <c r="AN246" s="11"/>
      <c r="AO246" s="11"/>
      <c r="AP246" s="17">
        <f t="shared" si="13"/>
        <v>12</v>
      </c>
      <c r="AQ246" s="17">
        <f t="shared" si="14"/>
        <v>1899</v>
      </c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</row>
    <row r="247">
      <c r="A247" s="11"/>
      <c r="B247" s="11"/>
      <c r="C247" s="11"/>
      <c r="D247" s="14" t="str">
        <f t="shared" si="10"/>
        <v>, </v>
      </c>
      <c r="E247" s="9"/>
      <c r="F247" s="9"/>
      <c r="G247" s="10">
        <f t="shared" si="11"/>
        <v>126.1643836</v>
      </c>
      <c r="H247" s="11"/>
      <c r="I247" s="11"/>
      <c r="J247" s="11"/>
      <c r="K247" s="11"/>
      <c r="L247" s="13"/>
      <c r="M247" s="13"/>
      <c r="N247" s="11"/>
      <c r="O247" s="11"/>
      <c r="P247" s="11"/>
      <c r="Q247" s="11"/>
      <c r="R247" s="11"/>
      <c r="S247" s="11"/>
      <c r="T247" s="11"/>
      <c r="U247" s="14" t="str">
        <f t="shared" si="12"/>
        <v/>
      </c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4"/>
      <c r="AL247" s="16"/>
      <c r="AM247" s="11"/>
      <c r="AN247" s="11"/>
      <c r="AO247" s="11"/>
      <c r="AP247" s="17">
        <f t="shared" si="13"/>
        <v>12</v>
      </c>
      <c r="AQ247" s="17">
        <f t="shared" si="14"/>
        <v>1899</v>
      </c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</row>
    <row r="248">
      <c r="A248" s="11"/>
      <c r="B248" s="11"/>
      <c r="C248" s="11"/>
      <c r="D248" s="14" t="str">
        <f t="shared" si="10"/>
        <v>, </v>
      </c>
      <c r="E248" s="9"/>
      <c r="F248" s="9"/>
      <c r="G248" s="10">
        <f t="shared" si="11"/>
        <v>126.1643836</v>
      </c>
      <c r="H248" s="11"/>
      <c r="I248" s="11"/>
      <c r="J248" s="11"/>
      <c r="K248" s="11"/>
      <c r="L248" s="13"/>
      <c r="M248" s="13"/>
      <c r="N248" s="11"/>
      <c r="O248" s="11"/>
      <c r="P248" s="11"/>
      <c r="Q248" s="11"/>
      <c r="R248" s="11"/>
      <c r="S248" s="11"/>
      <c r="T248" s="11"/>
      <c r="U248" s="14" t="str">
        <f t="shared" si="12"/>
        <v/>
      </c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4"/>
      <c r="AL248" s="16"/>
      <c r="AM248" s="11"/>
      <c r="AN248" s="11"/>
      <c r="AO248" s="11"/>
      <c r="AP248" s="17">
        <f t="shared" si="13"/>
        <v>12</v>
      </c>
      <c r="AQ248" s="17">
        <f t="shared" si="14"/>
        <v>1899</v>
      </c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</row>
    <row r="249">
      <c r="A249" s="11"/>
      <c r="B249" s="11"/>
      <c r="C249" s="11"/>
      <c r="D249" s="14" t="str">
        <f t="shared" si="10"/>
        <v>, </v>
      </c>
      <c r="E249" s="9"/>
      <c r="F249" s="9"/>
      <c r="G249" s="10">
        <f t="shared" si="11"/>
        <v>126.1643836</v>
      </c>
      <c r="H249" s="11"/>
      <c r="I249" s="11"/>
      <c r="J249" s="11"/>
      <c r="K249" s="11"/>
      <c r="L249" s="13"/>
      <c r="M249" s="13"/>
      <c r="N249" s="11"/>
      <c r="O249" s="11"/>
      <c r="P249" s="11"/>
      <c r="Q249" s="11"/>
      <c r="R249" s="11"/>
      <c r="S249" s="11"/>
      <c r="T249" s="11"/>
      <c r="U249" s="14" t="str">
        <f t="shared" si="12"/>
        <v/>
      </c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4"/>
      <c r="AL249" s="16"/>
      <c r="AM249" s="11"/>
      <c r="AN249" s="11"/>
      <c r="AO249" s="11"/>
      <c r="AP249" s="17">
        <f t="shared" si="13"/>
        <v>12</v>
      </c>
      <c r="AQ249" s="17">
        <f t="shared" si="14"/>
        <v>1899</v>
      </c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</row>
    <row r="250">
      <c r="A250" s="11"/>
      <c r="B250" s="11"/>
      <c r="C250" s="11"/>
      <c r="D250" s="14" t="str">
        <f t="shared" si="10"/>
        <v>, </v>
      </c>
      <c r="E250" s="9"/>
      <c r="F250" s="9"/>
      <c r="G250" s="10">
        <f t="shared" si="11"/>
        <v>126.1643836</v>
      </c>
      <c r="H250" s="11"/>
      <c r="I250" s="11"/>
      <c r="J250" s="11"/>
      <c r="K250" s="11"/>
      <c r="L250" s="13"/>
      <c r="M250" s="13"/>
      <c r="N250" s="11"/>
      <c r="O250" s="11"/>
      <c r="P250" s="11"/>
      <c r="Q250" s="11"/>
      <c r="R250" s="11"/>
      <c r="S250" s="11"/>
      <c r="T250" s="11"/>
      <c r="U250" s="14" t="str">
        <f t="shared" si="12"/>
        <v/>
      </c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4"/>
      <c r="AL250" s="16"/>
      <c r="AM250" s="11"/>
      <c r="AN250" s="11"/>
      <c r="AO250" s="11"/>
      <c r="AP250" s="17">
        <f t="shared" si="13"/>
        <v>12</v>
      </c>
      <c r="AQ250" s="17">
        <f t="shared" si="14"/>
        <v>1899</v>
      </c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</row>
    <row r="251">
      <c r="A251" s="11"/>
      <c r="B251" s="11"/>
      <c r="C251" s="11"/>
      <c r="D251" s="14" t="str">
        <f t="shared" si="10"/>
        <v>, </v>
      </c>
      <c r="E251" s="9"/>
      <c r="F251" s="9"/>
      <c r="G251" s="10">
        <f t="shared" si="11"/>
        <v>126.1643836</v>
      </c>
      <c r="H251" s="11"/>
      <c r="I251" s="11"/>
      <c r="J251" s="11"/>
      <c r="K251" s="11"/>
      <c r="L251" s="13"/>
      <c r="M251" s="13"/>
      <c r="N251" s="11"/>
      <c r="O251" s="11"/>
      <c r="P251" s="11"/>
      <c r="Q251" s="11"/>
      <c r="R251" s="11"/>
      <c r="S251" s="11"/>
      <c r="T251" s="11"/>
      <c r="U251" s="14" t="str">
        <f t="shared" si="12"/>
        <v/>
      </c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4"/>
      <c r="AL251" s="16"/>
      <c r="AM251" s="11"/>
      <c r="AN251" s="11"/>
      <c r="AO251" s="11"/>
      <c r="AP251" s="17">
        <f t="shared" si="13"/>
        <v>12</v>
      </c>
      <c r="AQ251" s="17">
        <f t="shared" si="14"/>
        <v>1899</v>
      </c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</row>
    <row r="252">
      <c r="A252" s="11"/>
      <c r="B252" s="11"/>
      <c r="C252" s="11"/>
      <c r="D252" s="14" t="str">
        <f t="shared" si="10"/>
        <v>, </v>
      </c>
      <c r="E252" s="9"/>
      <c r="F252" s="9"/>
      <c r="G252" s="10">
        <f t="shared" si="11"/>
        <v>126.1643836</v>
      </c>
      <c r="H252" s="11"/>
      <c r="I252" s="11"/>
      <c r="J252" s="11"/>
      <c r="K252" s="11"/>
      <c r="L252" s="13"/>
      <c r="M252" s="13"/>
      <c r="N252" s="11"/>
      <c r="O252" s="11"/>
      <c r="P252" s="11"/>
      <c r="Q252" s="11"/>
      <c r="R252" s="11"/>
      <c r="S252" s="11"/>
      <c r="T252" s="11"/>
      <c r="U252" s="14" t="str">
        <f t="shared" si="12"/>
        <v/>
      </c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4"/>
      <c r="AL252" s="16"/>
      <c r="AM252" s="11"/>
      <c r="AN252" s="11"/>
      <c r="AO252" s="11"/>
      <c r="AP252" s="17">
        <f t="shared" si="13"/>
        <v>12</v>
      </c>
      <c r="AQ252" s="17">
        <f t="shared" si="14"/>
        <v>1899</v>
      </c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</row>
    <row r="253">
      <c r="A253" s="11"/>
      <c r="B253" s="11"/>
      <c r="C253" s="11"/>
      <c r="D253" s="14" t="str">
        <f t="shared" si="10"/>
        <v>, </v>
      </c>
      <c r="E253" s="9"/>
      <c r="F253" s="9"/>
      <c r="G253" s="10">
        <f t="shared" si="11"/>
        <v>126.1643836</v>
      </c>
      <c r="H253" s="11"/>
      <c r="I253" s="11"/>
      <c r="J253" s="11"/>
      <c r="K253" s="11"/>
      <c r="L253" s="13"/>
      <c r="M253" s="13"/>
      <c r="N253" s="11"/>
      <c r="O253" s="11"/>
      <c r="P253" s="11"/>
      <c r="Q253" s="11"/>
      <c r="R253" s="11"/>
      <c r="S253" s="11"/>
      <c r="T253" s="11"/>
      <c r="U253" s="14" t="str">
        <f t="shared" si="12"/>
        <v/>
      </c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4"/>
      <c r="AL253" s="16"/>
      <c r="AM253" s="11"/>
      <c r="AN253" s="11"/>
      <c r="AO253" s="11"/>
      <c r="AP253" s="17">
        <f t="shared" si="13"/>
        <v>12</v>
      </c>
      <c r="AQ253" s="17">
        <f t="shared" si="14"/>
        <v>1899</v>
      </c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</row>
    <row r="254">
      <c r="A254" s="11"/>
      <c r="B254" s="11"/>
      <c r="C254" s="11"/>
      <c r="D254" s="14" t="str">
        <f t="shared" si="10"/>
        <v>, </v>
      </c>
      <c r="E254" s="9"/>
      <c r="F254" s="9"/>
      <c r="G254" s="10">
        <f t="shared" si="11"/>
        <v>126.1643836</v>
      </c>
      <c r="H254" s="11"/>
      <c r="I254" s="11"/>
      <c r="J254" s="11"/>
      <c r="K254" s="11"/>
      <c r="L254" s="13"/>
      <c r="M254" s="13"/>
      <c r="N254" s="11"/>
      <c r="O254" s="11"/>
      <c r="P254" s="11"/>
      <c r="Q254" s="11"/>
      <c r="R254" s="11"/>
      <c r="S254" s="11"/>
      <c r="T254" s="11"/>
      <c r="U254" s="14" t="str">
        <f t="shared" si="12"/>
        <v/>
      </c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4"/>
      <c r="AL254" s="16"/>
      <c r="AM254" s="11"/>
      <c r="AN254" s="11"/>
      <c r="AO254" s="11"/>
      <c r="AP254" s="17">
        <f t="shared" si="13"/>
        <v>12</v>
      </c>
      <c r="AQ254" s="17">
        <f t="shared" si="14"/>
        <v>1899</v>
      </c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</row>
    <row r="255">
      <c r="A255" s="11"/>
      <c r="B255" s="11"/>
      <c r="C255" s="11"/>
      <c r="D255" s="14" t="str">
        <f t="shared" si="10"/>
        <v>, </v>
      </c>
      <c r="E255" s="9"/>
      <c r="F255" s="9"/>
      <c r="G255" s="10">
        <f t="shared" si="11"/>
        <v>126.1643836</v>
      </c>
      <c r="H255" s="11"/>
      <c r="I255" s="11"/>
      <c r="J255" s="11"/>
      <c r="K255" s="11"/>
      <c r="L255" s="13"/>
      <c r="M255" s="13"/>
      <c r="N255" s="11"/>
      <c r="O255" s="11"/>
      <c r="P255" s="11"/>
      <c r="Q255" s="11"/>
      <c r="R255" s="11"/>
      <c r="S255" s="11"/>
      <c r="T255" s="11"/>
      <c r="U255" s="14" t="str">
        <f t="shared" si="12"/>
        <v/>
      </c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4"/>
      <c r="AL255" s="16"/>
      <c r="AM255" s="11"/>
      <c r="AN255" s="11"/>
      <c r="AO255" s="11"/>
      <c r="AP255" s="17">
        <f t="shared" si="13"/>
        <v>12</v>
      </c>
      <c r="AQ255" s="17">
        <f t="shared" si="14"/>
        <v>1899</v>
      </c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</row>
    <row r="256">
      <c r="A256" s="11"/>
      <c r="B256" s="11"/>
      <c r="C256" s="11"/>
      <c r="D256" s="14" t="str">
        <f t="shared" si="10"/>
        <v>, </v>
      </c>
      <c r="E256" s="9"/>
      <c r="F256" s="9"/>
      <c r="G256" s="10">
        <f t="shared" si="11"/>
        <v>126.1643836</v>
      </c>
      <c r="H256" s="11"/>
      <c r="I256" s="11"/>
      <c r="J256" s="11"/>
      <c r="K256" s="11"/>
      <c r="L256" s="13"/>
      <c r="M256" s="13"/>
      <c r="N256" s="11"/>
      <c r="O256" s="11"/>
      <c r="P256" s="11"/>
      <c r="Q256" s="11"/>
      <c r="R256" s="11"/>
      <c r="S256" s="11"/>
      <c r="T256" s="11"/>
      <c r="U256" s="14" t="str">
        <f t="shared" si="12"/>
        <v/>
      </c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4"/>
      <c r="AL256" s="16"/>
      <c r="AM256" s="11"/>
      <c r="AN256" s="11"/>
      <c r="AO256" s="11"/>
      <c r="AP256" s="17">
        <f t="shared" si="13"/>
        <v>12</v>
      </c>
      <c r="AQ256" s="17">
        <f t="shared" si="14"/>
        <v>1899</v>
      </c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</row>
    <row r="257">
      <c r="A257" s="11"/>
      <c r="B257" s="11"/>
      <c r="C257" s="11"/>
      <c r="D257" s="14" t="str">
        <f t="shared" si="10"/>
        <v>, </v>
      </c>
      <c r="E257" s="9"/>
      <c r="F257" s="9"/>
      <c r="G257" s="10">
        <f t="shared" si="11"/>
        <v>126.1643836</v>
      </c>
      <c r="H257" s="11"/>
      <c r="I257" s="11"/>
      <c r="J257" s="11"/>
      <c r="K257" s="11"/>
      <c r="L257" s="13"/>
      <c r="M257" s="13"/>
      <c r="N257" s="11"/>
      <c r="O257" s="11"/>
      <c r="P257" s="11"/>
      <c r="Q257" s="11"/>
      <c r="R257" s="11"/>
      <c r="S257" s="11"/>
      <c r="T257" s="11"/>
      <c r="U257" s="14" t="str">
        <f t="shared" si="12"/>
        <v/>
      </c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4"/>
      <c r="AL257" s="16"/>
      <c r="AM257" s="11"/>
      <c r="AN257" s="11"/>
      <c r="AO257" s="11"/>
      <c r="AP257" s="17">
        <f t="shared" si="13"/>
        <v>12</v>
      </c>
      <c r="AQ257" s="17">
        <f t="shared" si="14"/>
        <v>1899</v>
      </c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</row>
    <row r="258">
      <c r="A258" s="11"/>
      <c r="B258" s="11"/>
      <c r="C258" s="11"/>
      <c r="D258" s="14" t="str">
        <f t="shared" si="10"/>
        <v>, </v>
      </c>
      <c r="E258" s="9"/>
      <c r="F258" s="9"/>
      <c r="G258" s="10">
        <f t="shared" si="11"/>
        <v>126.1643836</v>
      </c>
      <c r="H258" s="11"/>
      <c r="I258" s="11"/>
      <c r="J258" s="11"/>
      <c r="K258" s="11"/>
      <c r="L258" s="13"/>
      <c r="M258" s="13"/>
      <c r="N258" s="11"/>
      <c r="O258" s="11"/>
      <c r="P258" s="11"/>
      <c r="Q258" s="11"/>
      <c r="R258" s="11"/>
      <c r="S258" s="11"/>
      <c r="T258" s="11"/>
      <c r="U258" s="14" t="str">
        <f t="shared" si="12"/>
        <v/>
      </c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4"/>
      <c r="AL258" s="16"/>
      <c r="AM258" s="11"/>
      <c r="AN258" s="11"/>
      <c r="AO258" s="11"/>
      <c r="AP258" s="17">
        <f t="shared" si="13"/>
        <v>12</v>
      </c>
      <c r="AQ258" s="17">
        <f t="shared" si="14"/>
        <v>1899</v>
      </c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</row>
    <row r="259">
      <c r="A259" s="11"/>
      <c r="B259" s="11"/>
      <c r="C259" s="11"/>
      <c r="D259" s="14" t="str">
        <f t="shared" si="10"/>
        <v>, </v>
      </c>
      <c r="E259" s="9"/>
      <c r="F259" s="9"/>
      <c r="G259" s="10">
        <f t="shared" si="11"/>
        <v>126.1643836</v>
      </c>
      <c r="H259" s="11"/>
      <c r="I259" s="11"/>
      <c r="J259" s="11"/>
      <c r="K259" s="11"/>
      <c r="L259" s="13"/>
      <c r="M259" s="13"/>
      <c r="N259" s="11"/>
      <c r="O259" s="11"/>
      <c r="P259" s="11"/>
      <c r="Q259" s="11"/>
      <c r="R259" s="11"/>
      <c r="S259" s="11"/>
      <c r="T259" s="11"/>
      <c r="U259" s="14" t="str">
        <f t="shared" si="12"/>
        <v/>
      </c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4"/>
      <c r="AL259" s="16"/>
      <c r="AM259" s="11"/>
      <c r="AN259" s="11"/>
      <c r="AO259" s="11"/>
      <c r="AP259" s="17">
        <f t="shared" si="13"/>
        <v>12</v>
      </c>
      <c r="AQ259" s="17">
        <f t="shared" si="14"/>
        <v>1899</v>
      </c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</row>
    <row r="260">
      <c r="A260" s="11"/>
      <c r="B260" s="11"/>
      <c r="C260" s="11"/>
      <c r="D260" s="14" t="str">
        <f t="shared" si="10"/>
        <v>, </v>
      </c>
      <c r="E260" s="9"/>
      <c r="F260" s="9"/>
      <c r="G260" s="10">
        <f t="shared" si="11"/>
        <v>126.1643836</v>
      </c>
      <c r="H260" s="11"/>
      <c r="I260" s="11"/>
      <c r="J260" s="11"/>
      <c r="K260" s="11"/>
      <c r="L260" s="13"/>
      <c r="M260" s="13"/>
      <c r="N260" s="11"/>
      <c r="O260" s="11"/>
      <c r="P260" s="11"/>
      <c r="Q260" s="11"/>
      <c r="R260" s="11"/>
      <c r="S260" s="11"/>
      <c r="T260" s="11"/>
      <c r="U260" s="14" t="str">
        <f t="shared" si="12"/>
        <v/>
      </c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4"/>
      <c r="AL260" s="16"/>
      <c r="AM260" s="11"/>
      <c r="AN260" s="11"/>
      <c r="AO260" s="11"/>
      <c r="AP260" s="17">
        <f t="shared" si="13"/>
        <v>12</v>
      </c>
      <c r="AQ260" s="17">
        <f t="shared" si="14"/>
        <v>1899</v>
      </c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</row>
    <row r="261">
      <c r="A261" s="11"/>
      <c r="B261" s="11"/>
      <c r="C261" s="11"/>
      <c r="D261" s="14" t="str">
        <f t="shared" si="10"/>
        <v>, </v>
      </c>
      <c r="E261" s="9"/>
      <c r="F261" s="9"/>
      <c r="G261" s="10">
        <f t="shared" si="11"/>
        <v>126.1643836</v>
      </c>
      <c r="H261" s="11"/>
      <c r="I261" s="11"/>
      <c r="J261" s="11"/>
      <c r="K261" s="11"/>
      <c r="L261" s="13"/>
      <c r="M261" s="13"/>
      <c r="N261" s="11"/>
      <c r="O261" s="11"/>
      <c r="P261" s="11"/>
      <c r="Q261" s="11"/>
      <c r="R261" s="11"/>
      <c r="S261" s="11"/>
      <c r="T261" s="11"/>
      <c r="U261" s="14" t="str">
        <f t="shared" si="12"/>
        <v/>
      </c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4"/>
      <c r="AL261" s="16"/>
      <c r="AM261" s="11"/>
      <c r="AN261" s="11"/>
      <c r="AO261" s="11"/>
      <c r="AP261" s="17">
        <f t="shared" si="13"/>
        <v>12</v>
      </c>
      <c r="AQ261" s="17">
        <f t="shared" si="14"/>
        <v>1899</v>
      </c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</row>
    <row r="262">
      <c r="A262" s="11"/>
      <c r="B262" s="11"/>
      <c r="C262" s="11"/>
      <c r="D262" s="14" t="str">
        <f t="shared" si="10"/>
        <v>, </v>
      </c>
      <c r="E262" s="9"/>
      <c r="F262" s="9"/>
      <c r="G262" s="10">
        <f t="shared" si="11"/>
        <v>126.1643836</v>
      </c>
      <c r="H262" s="11"/>
      <c r="I262" s="11"/>
      <c r="J262" s="11"/>
      <c r="K262" s="11"/>
      <c r="L262" s="13"/>
      <c r="M262" s="13"/>
      <c r="N262" s="11"/>
      <c r="O262" s="11"/>
      <c r="P262" s="11"/>
      <c r="Q262" s="11"/>
      <c r="R262" s="11"/>
      <c r="S262" s="11"/>
      <c r="T262" s="11"/>
      <c r="U262" s="14" t="str">
        <f t="shared" si="12"/>
        <v/>
      </c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4"/>
      <c r="AL262" s="16"/>
      <c r="AM262" s="11"/>
      <c r="AN262" s="11"/>
      <c r="AO262" s="11"/>
      <c r="AP262" s="17">
        <f t="shared" si="13"/>
        <v>12</v>
      </c>
      <c r="AQ262" s="17">
        <f t="shared" si="14"/>
        <v>1899</v>
      </c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</row>
    <row r="263">
      <c r="A263" s="11"/>
      <c r="B263" s="11"/>
      <c r="C263" s="11"/>
      <c r="D263" s="14" t="str">
        <f t="shared" si="10"/>
        <v>, </v>
      </c>
      <c r="E263" s="9"/>
      <c r="F263" s="9"/>
      <c r="G263" s="10">
        <f t="shared" si="11"/>
        <v>126.1643836</v>
      </c>
      <c r="H263" s="11"/>
      <c r="I263" s="11"/>
      <c r="J263" s="11"/>
      <c r="K263" s="11"/>
      <c r="L263" s="13"/>
      <c r="M263" s="13"/>
      <c r="N263" s="11"/>
      <c r="O263" s="11"/>
      <c r="P263" s="11"/>
      <c r="Q263" s="11"/>
      <c r="R263" s="11"/>
      <c r="S263" s="11"/>
      <c r="T263" s="11"/>
      <c r="U263" s="14" t="str">
        <f t="shared" si="12"/>
        <v/>
      </c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4"/>
      <c r="AL263" s="16"/>
      <c r="AM263" s="11"/>
      <c r="AN263" s="11"/>
      <c r="AO263" s="11"/>
      <c r="AP263" s="17">
        <f t="shared" si="13"/>
        <v>12</v>
      </c>
      <c r="AQ263" s="17">
        <f t="shared" si="14"/>
        <v>1899</v>
      </c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</row>
    <row r="264">
      <c r="A264" s="11"/>
      <c r="B264" s="11"/>
      <c r="C264" s="11"/>
      <c r="D264" s="14" t="str">
        <f t="shared" si="10"/>
        <v>, </v>
      </c>
      <c r="E264" s="9"/>
      <c r="F264" s="9"/>
      <c r="G264" s="10">
        <f t="shared" si="11"/>
        <v>126.1643836</v>
      </c>
      <c r="H264" s="11"/>
      <c r="I264" s="11"/>
      <c r="J264" s="11"/>
      <c r="K264" s="11"/>
      <c r="L264" s="13"/>
      <c r="M264" s="13"/>
      <c r="N264" s="11"/>
      <c r="O264" s="11"/>
      <c r="P264" s="11"/>
      <c r="Q264" s="11"/>
      <c r="R264" s="11"/>
      <c r="S264" s="11"/>
      <c r="T264" s="11"/>
      <c r="U264" s="14" t="str">
        <f t="shared" si="12"/>
        <v/>
      </c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4"/>
      <c r="AL264" s="16"/>
      <c r="AM264" s="11"/>
      <c r="AN264" s="11"/>
      <c r="AO264" s="11"/>
      <c r="AP264" s="17">
        <f t="shared" si="13"/>
        <v>12</v>
      </c>
      <c r="AQ264" s="17">
        <f t="shared" si="14"/>
        <v>1899</v>
      </c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</row>
    <row r="265">
      <c r="A265" s="11"/>
      <c r="B265" s="11"/>
      <c r="C265" s="11"/>
      <c r="D265" s="14" t="str">
        <f t="shared" si="10"/>
        <v>, </v>
      </c>
      <c r="E265" s="9"/>
      <c r="F265" s="9"/>
      <c r="G265" s="10">
        <f t="shared" si="11"/>
        <v>126.1643836</v>
      </c>
      <c r="H265" s="11"/>
      <c r="I265" s="11"/>
      <c r="J265" s="11"/>
      <c r="K265" s="11"/>
      <c r="L265" s="13"/>
      <c r="M265" s="13"/>
      <c r="N265" s="11"/>
      <c r="O265" s="11"/>
      <c r="P265" s="11"/>
      <c r="Q265" s="11"/>
      <c r="R265" s="11"/>
      <c r="S265" s="11"/>
      <c r="T265" s="11"/>
      <c r="U265" s="14" t="str">
        <f t="shared" si="12"/>
        <v/>
      </c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4"/>
      <c r="AL265" s="16"/>
      <c r="AM265" s="11"/>
      <c r="AN265" s="11"/>
      <c r="AO265" s="11"/>
      <c r="AP265" s="17">
        <f t="shared" si="13"/>
        <v>12</v>
      </c>
      <c r="AQ265" s="17">
        <f t="shared" si="14"/>
        <v>1899</v>
      </c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</row>
    <row r="266">
      <c r="A266" s="11"/>
      <c r="B266" s="11"/>
      <c r="C266" s="11"/>
      <c r="D266" s="14" t="str">
        <f t="shared" si="10"/>
        <v>, </v>
      </c>
      <c r="E266" s="9"/>
      <c r="F266" s="9"/>
      <c r="G266" s="10">
        <f t="shared" si="11"/>
        <v>126.1643836</v>
      </c>
      <c r="H266" s="11"/>
      <c r="I266" s="11"/>
      <c r="J266" s="11"/>
      <c r="K266" s="11"/>
      <c r="L266" s="13"/>
      <c r="M266" s="13"/>
      <c r="N266" s="11"/>
      <c r="O266" s="11"/>
      <c r="P266" s="11"/>
      <c r="Q266" s="11"/>
      <c r="R266" s="11"/>
      <c r="S266" s="11"/>
      <c r="T266" s="11"/>
      <c r="U266" s="14" t="str">
        <f t="shared" si="12"/>
        <v/>
      </c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4"/>
      <c r="AL266" s="16"/>
      <c r="AM266" s="11"/>
      <c r="AN266" s="11"/>
      <c r="AO266" s="11"/>
      <c r="AP266" s="17">
        <f t="shared" si="13"/>
        <v>12</v>
      </c>
      <c r="AQ266" s="17">
        <f t="shared" si="14"/>
        <v>1899</v>
      </c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</row>
    <row r="267">
      <c r="A267" s="11"/>
      <c r="B267" s="11"/>
      <c r="C267" s="11"/>
      <c r="D267" s="14" t="str">
        <f t="shared" si="10"/>
        <v>, </v>
      </c>
      <c r="E267" s="9"/>
      <c r="F267" s="9"/>
      <c r="G267" s="10">
        <f t="shared" si="11"/>
        <v>126.1643836</v>
      </c>
      <c r="H267" s="11"/>
      <c r="I267" s="11"/>
      <c r="J267" s="11"/>
      <c r="K267" s="11"/>
      <c r="L267" s="13"/>
      <c r="M267" s="13"/>
      <c r="N267" s="11"/>
      <c r="O267" s="11"/>
      <c r="P267" s="11"/>
      <c r="Q267" s="11"/>
      <c r="R267" s="11"/>
      <c r="S267" s="11"/>
      <c r="T267" s="11"/>
      <c r="U267" s="14" t="str">
        <f t="shared" si="12"/>
        <v/>
      </c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4"/>
      <c r="AL267" s="16"/>
      <c r="AM267" s="11"/>
      <c r="AN267" s="11"/>
      <c r="AO267" s="11"/>
      <c r="AP267" s="17">
        <f t="shared" si="13"/>
        <v>12</v>
      </c>
      <c r="AQ267" s="17">
        <f t="shared" si="14"/>
        <v>1899</v>
      </c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</row>
    <row r="268">
      <c r="A268" s="11"/>
      <c r="B268" s="11"/>
      <c r="C268" s="11"/>
      <c r="D268" s="14" t="str">
        <f t="shared" si="10"/>
        <v>, </v>
      </c>
      <c r="E268" s="9"/>
      <c r="F268" s="9"/>
      <c r="G268" s="10">
        <f t="shared" si="11"/>
        <v>126.1643836</v>
      </c>
      <c r="H268" s="11"/>
      <c r="I268" s="11"/>
      <c r="J268" s="11"/>
      <c r="K268" s="11"/>
      <c r="L268" s="13"/>
      <c r="M268" s="13"/>
      <c r="N268" s="11"/>
      <c r="O268" s="11"/>
      <c r="P268" s="11"/>
      <c r="Q268" s="11"/>
      <c r="R268" s="11"/>
      <c r="S268" s="11"/>
      <c r="T268" s="11"/>
      <c r="U268" s="14" t="str">
        <f t="shared" si="12"/>
        <v/>
      </c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4"/>
      <c r="AL268" s="16"/>
      <c r="AM268" s="11"/>
      <c r="AN268" s="11"/>
      <c r="AO268" s="11"/>
      <c r="AP268" s="17">
        <f t="shared" si="13"/>
        <v>12</v>
      </c>
      <c r="AQ268" s="17">
        <f t="shared" si="14"/>
        <v>1899</v>
      </c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</row>
    <row r="269">
      <c r="A269" s="11"/>
      <c r="B269" s="11"/>
      <c r="C269" s="11"/>
      <c r="D269" s="14" t="str">
        <f t="shared" si="10"/>
        <v>, </v>
      </c>
      <c r="E269" s="9"/>
      <c r="F269" s="9"/>
      <c r="G269" s="10">
        <f t="shared" si="11"/>
        <v>126.1643836</v>
      </c>
      <c r="H269" s="11"/>
      <c r="I269" s="11"/>
      <c r="J269" s="11"/>
      <c r="K269" s="11"/>
      <c r="L269" s="13"/>
      <c r="M269" s="13"/>
      <c r="N269" s="11"/>
      <c r="O269" s="11"/>
      <c r="P269" s="11"/>
      <c r="Q269" s="11"/>
      <c r="R269" s="11"/>
      <c r="S269" s="11"/>
      <c r="T269" s="11"/>
      <c r="U269" s="14" t="str">
        <f t="shared" si="12"/>
        <v/>
      </c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4"/>
      <c r="AL269" s="16"/>
      <c r="AM269" s="11"/>
      <c r="AN269" s="11"/>
      <c r="AO269" s="11"/>
      <c r="AP269" s="17">
        <f t="shared" si="13"/>
        <v>12</v>
      </c>
      <c r="AQ269" s="17">
        <f t="shared" si="14"/>
        <v>1899</v>
      </c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</row>
    <row r="270">
      <c r="A270" s="11"/>
      <c r="B270" s="11"/>
      <c r="C270" s="11"/>
      <c r="D270" s="14" t="str">
        <f t="shared" si="10"/>
        <v>, </v>
      </c>
      <c r="E270" s="9"/>
      <c r="F270" s="9"/>
      <c r="G270" s="10">
        <f t="shared" si="11"/>
        <v>126.1643836</v>
      </c>
      <c r="H270" s="11"/>
      <c r="I270" s="11"/>
      <c r="J270" s="11"/>
      <c r="K270" s="11"/>
      <c r="L270" s="13"/>
      <c r="M270" s="13"/>
      <c r="N270" s="11"/>
      <c r="O270" s="11"/>
      <c r="P270" s="11"/>
      <c r="Q270" s="11"/>
      <c r="R270" s="11"/>
      <c r="S270" s="11"/>
      <c r="T270" s="11"/>
      <c r="U270" s="14" t="str">
        <f t="shared" si="12"/>
        <v/>
      </c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4"/>
      <c r="AL270" s="16"/>
      <c r="AM270" s="11"/>
      <c r="AN270" s="11"/>
      <c r="AO270" s="11"/>
      <c r="AP270" s="17">
        <f t="shared" si="13"/>
        <v>12</v>
      </c>
      <c r="AQ270" s="17">
        <f t="shared" si="14"/>
        <v>1899</v>
      </c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</row>
    <row r="271">
      <c r="A271" s="11"/>
      <c r="B271" s="11"/>
      <c r="C271" s="11"/>
      <c r="D271" s="14" t="str">
        <f t="shared" si="10"/>
        <v>, </v>
      </c>
      <c r="E271" s="9"/>
      <c r="F271" s="9"/>
      <c r="G271" s="10">
        <f t="shared" si="11"/>
        <v>126.1643836</v>
      </c>
      <c r="H271" s="11"/>
      <c r="I271" s="11"/>
      <c r="J271" s="11"/>
      <c r="K271" s="11"/>
      <c r="L271" s="13"/>
      <c r="M271" s="13"/>
      <c r="N271" s="11"/>
      <c r="O271" s="11"/>
      <c r="P271" s="11"/>
      <c r="Q271" s="11"/>
      <c r="R271" s="11"/>
      <c r="S271" s="11"/>
      <c r="T271" s="11"/>
      <c r="U271" s="14" t="str">
        <f t="shared" si="12"/>
        <v/>
      </c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4"/>
      <c r="AL271" s="16"/>
      <c r="AM271" s="11"/>
      <c r="AN271" s="11"/>
      <c r="AO271" s="11"/>
      <c r="AP271" s="17">
        <f t="shared" si="13"/>
        <v>12</v>
      </c>
      <c r="AQ271" s="17">
        <f t="shared" si="14"/>
        <v>1899</v>
      </c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</row>
    <row r="272">
      <c r="A272" s="11"/>
      <c r="B272" s="11"/>
      <c r="C272" s="11"/>
      <c r="D272" s="14" t="str">
        <f t="shared" si="10"/>
        <v>, </v>
      </c>
      <c r="E272" s="9"/>
      <c r="F272" s="9"/>
      <c r="G272" s="10">
        <f t="shared" si="11"/>
        <v>126.1643836</v>
      </c>
      <c r="H272" s="11"/>
      <c r="I272" s="11"/>
      <c r="J272" s="11"/>
      <c r="K272" s="11"/>
      <c r="L272" s="13"/>
      <c r="M272" s="13"/>
      <c r="N272" s="11"/>
      <c r="O272" s="11"/>
      <c r="P272" s="11"/>
      <c r="Q272" s="11"/>
      <c r="R272" s="11"/>
      <c r="S272" s="11"/>
      <c r="T272" s="11"/>
      <c r="U272" s="14" t="str">
        <f t="shared" si="12"/>
        <v/>
      </c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4"/>
      <c r="AL272" s="16"/>
      <c r="AM272" s="11"/>
      <c r="AN272" s="11"/>
      <c r="AO272" s="11"/>
      <c r="AP272" s="17">
        <f t="shared" si="13"/>
        <v>12</v>
      </c>
      <c r="AQ272" s="17">
        <f t="shared" si="14"/>
        <v>1899</v>
      </c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</row>
    <row r="273">
      <c r="A273" s="11"/>
      <c r="B273" s="11"/>
      <c r="C273" s="11"/>
      <c r="D273" s="14" t="str">
        <f t="shared" si="10"/>
        <v>, </v>
      </c>
      <c r="E273" s="9"/>
      <c r="F273" s="9"/>
      <c r="G273" s="10">
        <f t="shared" si="11"/>
        <v>126.1643836</v>
      </c>
      <c r="H273" s="11"/>
      <c r="I273" s="11"/>
      <c r="J273" s="11"/>
      <c r="K273" s="11"/>
      <c r="L273" s="13"/>
      <c r="M273" s="13"/>
      <c r="N273" s="11"/>
      <c r="O273" s="11"/>
      <c r="P273" s="11"/>
      <c r="Q273" s="11"/>
      <c r="R273" s="11"/>
      <c r="S273" s="11"/>
      <c r="T273" s="11"/>
      <c r="U273" s="14" t="str">
        <f t="shared" si="12"/>
        <v/>
      </c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4"/>
      <c r="AL273" s="16"/>
      <c r="AM273" s="11"/>
      <c r="AN273" s="11"/>
      <c r="AO273" s="11"/>
      <c r="AP273" s="17">
        <f t="shared" si="13"/>
        <v>12</v>
      </c>
      <c r="AQ273" s="17">
        <f t="shared" si="14"/>
        <v>1899</v>
      </c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</row>
    <row r="274">
      <c r="A274" s="11"/>
      <c r="B274" s="11"/>
      <c r="C274" s="11"/>
      <c r="D274" s="14" t="str">
        <f t="shared" si="10"/>
        <v>, </v>
      </c>
      <c r="E274" s="9"/>
      <c r="F274" s="9"/>
      <c r="G274" s="10">
        <f t="shared" si="11"/>
        <v>126.1643836</v>
      </c>
      <c r="H274" s="11"/>
      <c r="I274" s="11"/>
      <c r="J274" s="11"/>
      <c r="K274" s="11"/>
      <c r="L274" s="13"/>
      <c r="M274" s="13"/>
      <c r="N274" s="11"/>
      <c r="O274" s="11"/>
      <c r="P274" s="11"/>
      <c r="Q274" s="11"/>
      <c r="R274" s="11"/>
      <c r="S274" s="11"/>
      <c r="T274" s="11"/>
      <c r="U274" s="14" t="str">
        <f t="shared" si="12"/>
        <v/>
      </c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4"/>
      <c r="AL274" s="16"/>
      <c r="AM274" s="11"/>
      <c r="AN274" s="11"/>
      <c r="AO274" s="11"/>
      <c r="AP274" s="17">
        <f t="shared" si="13"/>
        <v>12</v>
      </c>
      <c r="AQ274" s="17">
        <f t="shared" si="14"/>
        <v>1899</v>
      </c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</row>
    <row r="275">
      <c r="A275" s="11"/>
      <c r="B275" s="11"/>
      <c r="C275" s="11"/>
      <c r="D275" s="14" t="str">
        <f t="shared" si="10"/>
        <v>, </v>
      </c>
      <c r="E275" s="9"/>
      <c r="F275" s="9"/>
      <c r="G275" s="10">
        <f t="shared" si="11"/>
        <v>126.1643836</v>
      </c>
      <c r="H275" s="11"/>
      <c r="I275" s="11"/>
      <c r="J275" s="11"/>
      <c r="K275" s="11"/>
      <c r="L275" s="13"/>
      <c r="M275" s="13"/>
      <c r="N275" s="11"/>
      <c r="O275" s="11"/>
      <c r="P275" s="11"/>
      <c r="Q275" s="11"/>
      <c r="R275" s="11"/>
      <c r="S275" s="11"/>
      <c r="T275" s="11"/>
      <c r="U275" s="14" t="str">
        <f t="shared" si="12"/>
        <v/>
      </c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4"/>
      <c r="AL275" s="16"/>
      <c r="AM275" s="11"/>
      <c r="AN275" s="11"/>
      <c r="AO275" s="11"/>
      <c r="AP275" s="17">
        <f t="shared" si="13"/>
        <v>12</v>
      </c>
      <c r="AQ275" s="17">
        <f t="shared" si="14"/>
        <v>1899</v>
      </c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</row>
    <row r="276">
      <c r="A276" s="11"/>
      <c r="B276" s="11"/>
      <c r="C276" s="11"/>
      <c r="D276" s="14" t="str">
        <f t="shared" si="10"/>
        <v>, </v>
      </c>
      <c r="E276" s="9"/>
      <c r="F276" s="9"/>
      <c r="G276" s="10">
        <f t="shared" si="11"/>
        <v>126.1643836</v>
      </c>
      <c r="H276" s="11"/>
      <c r="I276" s="11"/>
      <c r="J276" s="11"/>
      <c r="K276" s="11"/>
      <c r="L276" s="13"/>
      <c r="M276" s="13"/>
      <c r="N276" s="11"/>
      <c r="O276" s="11"/>
      <c r="P276" s="11"/>
      <c r="Q276" s="11"/>
      <c r="R276" s="11"/>
      <c r="S276" s="11"/>
      <c r="T276" s="11"/>
      <c r="U276" s="14" t="str">
        <f t="shared" si="12"/>
        <v/>
      </c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4"/>
      <c r="AL276" s="16"/>
      <c r="AM276" s="11"/>
      <c r="AN276" s="11"/>
      <c r="AO276" s="11"/>
      <c r="AP276" s="17">
        <f t="shared" si="13"/>
        <v>12</v>
      </c>
      <c r="AQ276" s="17">
        <f t="shared" si="14"/>
        <v>1899</v>
      </c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</row>
    <row r="277">
      <c r="A277" s="11"/>
      <c r="B277" s="11"/>
      <c r="C277" s="11"/>
      <c r="D277" s="14" t="str">
        <f t="shared" si="10"/>
        <v>, </v>
      </c>
      <c r="E277" s="9"/>
      <c r="F277" s="9"/>
      <c r="G277" s="10">
        <f t="shared" si="11"/>
        <v>126.1643836</v>
      </c>
      <c r="H277" s="11"/>
      <c r="I277" s="11"/>
      <c r="J277" s="11"/>
      <c r="K277" s="11"/>
      <c r="L277" s="13"/>
      <c r="M277" s="13"/>
      <c r="N277" s="11"/>
      <c r="O277" s="11"/>
      <c r="P277" s="11"/>
      <c r="Q277" s="11"/>
      <c r="R277" s="11"/>
      <c r="S277" s="11"/>
      <c r="T277" s="11"/>
      <c r="U277" s="14" t="str">
        <f t="shared" si="12"/>
        <v/>
      </c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4"/>
      <c r="AL277" s="16"/>
      <c r="AM277" s="11"/>
      <c r="AN277" s="11"/>
      <c r="AO277" s="11"/>
      <c r="AP277" s="17">
        <f t="shared" si="13"/>
        <v>12</v>
      </c>
      <c r="AQ277" s="17">
        <f t="shared" si="14"/>
        <v>1899</v>
      </c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</row>
    <row r="278">
      <c r="A278" s="11"/>
      <c r="B278" s="11"/>
      <c r="C278" s="11"/>
      <c r="D278" s="14" t="str">
        <f t="shared" si="10"/>
        <v>, </v>
      </c>
      <c r="E278" s="9"/>
      <c r="F278" s="9"/>
      <c r="G278" s="10">
        <f t="shared" si="11"/>
        <v>126.1643836</v>
      </c>
      <c r="H278" s="11"/>
      <c r="I278" s="11"/>
      <c r="J278" s="11"/>
      <c r="K278" s="11"/>
      <c r="L278" s="13"/>
      <c r="M278" s="13"/>
      <c r="N278" s="11"/>
      <c r="O278" s="11"/>
      <c r="P278" s="11"/>
      <c r="Q278" s="11"/>
      <c r="R278" s="11"/>
      <c r="S278" s="11"/>
      <c r="T278" s="11"/>
      <c r="U278" s="14" t="str">
        <f t="shared" si="12"/>
        <v/>
      </c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4"/>
      <c r="AL278" s="16"/>
      <c r="AM278" s="11"/>
      <c r="AN278" s="11"/>
      <c r="AO278" s="11"/>
      <c r="AP278" s="17">
        <f t="shared" si="13"/>
        <v>12</v>
      </c>
      <c r="AQ278" s="17">
        <f t="shared" si="14"/>
        <v>1899</v>
      </c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</row>
    <row r="279">
      <c r="A279" s="11"/>
      <c r="B279" s="11"/>
      <c r="C279" s="11"/>
      <c r="D279" s="14" t="str">
        <f t="shared" si="10"/>
        <v>, </v>
      </c>
      <c r="E279" s="9"/>
      <c r="F279" s="9"/>
      <c r="G279" s="10">
        <f t="shared" si="11"/>
        <v>126.1643836</v>
      </c>
      <c r="H279" s="11"/>
      <c r="I279" s="11"/>
      <c r="J279" s="11"/>
      <c r="K279" s="11"/>
      <c r="L279" s="13"/>
      <c r="M279" s="13"/>
      <c r="N279" s="11"/>
      <c r="O279" s="11"/>
      <c r="P279" s="11"/>
      <c r="Q279" s="11"/>
      <c r="R279" s="11"/>
      <c r="S279" s="11"/>
      <c r="T279" s="11"/>
      <c r="U279" s="14" t="str">
        <f t="shared" si="12"/>
        <v/>
      </c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4"/>
      <c r="AL279" s="16"/>
      <c r="AM279" s="11"/>
      <c r="AN279" s="11"/>
      <c r="AO279" s="11"/>
      <c r="AP279" s="17">
        <f t="shared" si="13"/>
        <v>12</v>
      </c>
      <c r="AQ279" s="17">
        <f t="shared" si="14"/>
        <v>1899</v>
      </c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</row>
    <row r="280">
      <c r="A280" s="11"/>
      <c r="B280" s="11"/>
      <c r="C280" s="11"/>
      <c r="D280" s="14" t="str">
        <f t="shared" si="10"/>
        <v>, </v>
      </c>
      <c r="E280" s="9"/>
      <c r="F280" s="9"/>
      <c r="G280" s="10">
        <f t="shared" si="11"/>
        <v>126.1643836</v>
      </c>
      <c r="H280" s="11"/>
      <c r="I280" s="11"/>
      <c r="J280" s="11"/>
      <c r="K280" s="11"/>
      <c r="L280" s="13"/>
      <c r="M280" s="13"/>
      <c r="N280" s="11"/>
      <c r="O280" s="11"/>
      <c r="P280" s="11"/>
      <c r="Q280" s="11"/>
      <c r="R280" s="11"/>
      <c r="S280" s="11"/>
      <c r="T280" s="11"/>
      <c r="U280" s="14" t="str">
        <f t="shared" si="12"/>
        <v/>
      </c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4"/>
      <c r="AL280" s="16"/>
      <c r="AM280" s="11"/>
      <c r="AN280" s="11"/>
      <c r="AO280" s="11"/>
      <c r="AP280" s="17">
        <f t="shared" si="13"/>
        <v>12</v>
      </c>
      <c r="AQ280" s="17">
        <f t="shared" si="14"/>
        <v>1899</v>
      </c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</row>
    <row r="281">
      <c r="A281" s="11"/>
      <c r="B281" s="11"/>
      <c r="C281" s="11"/>
      <c r="D281" s="14" t="str">
        <f t="shared" si="10"/>
        <v>, </v>
      </c>
      <c r="E281" s="9"/>
      <c r="F281" s="9"/>
      <c r="G281" s="10">
        <f t="shared" si="11"/>
        <v>126.1643836</v>
      </c>
      <c r="H281" s="11"/>
      <c r="I281" s="11"/>
      <c r="J281" s="11"/>
      <c r="K281" s="11"/>
      <c r="L281" s="13"/>
      <c r="M281" s="13"/>
      <c r="N281" s="11"/>
      <c r="O281" s="11"/>
      <c r="P281" s="11"/>
      <c r="Q281" s="11"/>
      <c r="R281" s="11"/>
      <c r="S281" s="11"/>
      <c r="T281" s="11"/>
      <c r="U281" s="14" t="str">
        <f t="shared" si="12"/>
        <v/>
      </c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4"/>
      <c r="AL281" s="16"/>
      <c r="AM281" s="11"/>
      <c r="AN281" s="11"/>
      <c r="AO281" s="11"/>
      <c r="AP281" s="17">
        <f t="shared" si="13"/>
        <v>12</v>
      </c>
      <c r="AQ281" s="17">
        <f t="shared" si="14"/>
        <v>1899</v>
      </c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</row>
    <row r="282">
      <c r="A282" s="11"/>
      <c r="B282" s="11"/>
      <c r="C282" s="11"/>
      <c r="D282" s="14" t="str">
        <f t="shared" si="10"/>
        <v>, </v>
      </c>
      <c r="E282" s="9"/>
      <c r="F282" s="9"/>
      <c r="G282" s="10">
        <f t="shared" si="11"/>
        <v>126.1643836</v>
      </c>
      <c r="H282" s="11"/>
      <c r="I282" s="11"/>
      <c r="J282" s="11"/>
      <c r="K282" s="11"/>
      <c r="L282" s="13"/>
      <c r="M282" s="13"/>
      <c r="N282" s="11"/>
      <c r="O282" s="11"/>
      <c r="P282" s="11"/>
      <c r="Q282" s="11"/>
      <c r="R282" s="11"/>
      <c r="S282" s="11"/>
      <c r="T282" s="11"/>
      <c r="U282" s="14" t="str">
        <f t="shared" si="12"/>
        <v/>
      </c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4"/>
      <c r="AL282" s="16"/>
      <c r="AM282" s="11"/>
      <c r="AN282" s="11"/>
      <c r="AO282" s="11"/>
      <c r="AP282" s="17">
        <f t="shared" si="13"/>
        <v>12</v>
      </c>
      <c r="AQ282" s="17">
        <f t="shared" si="14"/>
        <v>1899</v>
      </c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</row>
    <row r="283">
      <c r="A283" s="11"/>
      <c r="B283" s="11"/>
      <c r="C283" s="11"/>
      <c r="D283" s="14" t="str">
        <f t="shared" si="10"/>
        <v>, </v>
      </c>
      <c r="E283" s="9"/>
      <c r="F283" s="9"/>
      <c r="G283" s="10">
        <f t="shared" si="11"/>
        <v>126.1643836</v>
      </c>
      <c r="H283" s="11"/>
      <c r="I283" s="11"/>
      <c r="J283" s="11"/>
      <c r="K283" s="11"/>
      <c r="L283" s="13"/>
      <c r="M283" s="13"/>
      <c r="N283" s="11"/>
      <c r="O283" s="11"/>
      <c r="P283" s="11"/>
      <c r="Q283" s="11"/>
      <c r="R283" s="11"/>
      <c r="S283" s="11"/>
      <c r="T283" s="11"/>
      <c r="U283" s="14" t="str">
        <f t="shared" si="12"/>
        <v/>
      </c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4"/>
      <c r="AL283" s="16"/>
      <c r="AM283" s="11"/>
      <c r="AN283" s="11"/>
      <c r="AO283" s="11"/>
      <c r="AP283" s="17">
        <f t="shared" si="13"/>
        <v>12</v>
      </c>
      <c r="AQ283" s="17">
        <f t="shared" si="14"/>
        <v>1899</v>
      </c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</row>
    <row r="284">
      <c r="A284" s="11"/>
      <c r="B284" s="11"/>
      <c r="C284" s="11"/>
      <c r="D284" s="14" t="str">
        <f t="shared" si="10"/>
        <v>, </v>
      </c>
      <c r="E284" s="9"/>
      <c r="F284" s="9"/>
      <c r="G284" s="10">
        <f t="shared" si="11"/>
        <v>126.1643836</v>
      </c>
      <c r="H284" s="11"/>
      <c r="I284" s="11"/>
      <c r="J284" s="11"/>
      <c r="K284" s="11"/>
      <c r="L284" s="13"/>
      <c r="M284" s="13"/>
      <c r="N284" s="11"/>
      <c r="O284" s="11"/>
      <c r="P284" s="11"/>
      <c r="Q284" s="11"/>
      <c r="R284" s="11"/>
      <c r="S284" s="11"/>
      <c r="T284" s="11"/>
      <c r="U284" s="14" t="str">
        <f t="shared" si="12"/>
        <v/>
      </c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4"/>
      <c r="AL284" s="16"/>
      <c r="AM284" s="11"/>
      <c r="AN284" s="11"/>
      <c r="AO284" s="11"/>
      <c r="AP284" s="17">
        <f t="shared" si="13"/>
        <v>12</v>
      </c>
      <c r="AQ284" s="17">
        <f t="shared" si="14"/>
        <v>1899</v>
      </c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</row>
    <row r="285">
      <c r="A285" s="11"/>
      <c r="B285" s="11"/>
      <c r="C285" s="11"/>
      <c r="D285" s="14" t="str">
        <f t="shared" si="10"/>
        <v>, </v>
      </c>
      <c r="E285" s="9"/>
      <c r="F285" s="9"/>
      <c r="G285" s="10">
        <f t="shared" si="11"/>
        <v>126.1643836</v>
      </c>
      <c r="H285" s="11"/>
      <c r="I285" s="11"/>
      <c r="J285" s="11"/>
      <c r="K285" s="11"/>
      <c r="L285" s="13"/>
      <c r="M285" s="13"/>
      <c r="N285" s="11"/>
      <c r="O285" s="11"/>
      <c r="P285" s="11"/>
      <c r="Q285" s="11"/>
      <c r="R285" s="11"/>
      <c r="S285" s="11"/>
      <c r="T285" s="11"/>
      <c r="U285" s="14" t="str">
        <f t="shared" si="12"/>
        <v/>
      </c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4"/>
      <c r="AL285" s="16"/>
      <c r="AM285" s="11"/>
      <c r="AN285" s="11"/>
      <c r="AO285" s="11"/>
      <c r="AP285" s="17">
        <f t="shared" si="13"/>
        <v>12</v>
      </c>
      <c r="AQ285" s="17">
        <f t="shared" si="14"/>
        <v>1899</v>
      </c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</row>
    <row r="286">
      <c r="A286" s="11"/>
      <c r="B286" s="11"/>
      <c r="C286" s="11"/>
      <c r="D286" s="14" t="str">
        <f t="shared" si="10"/>
        <v>, </v>
      </c>
      <c r="E286" s="9"/>
      <c r="F286" s="9"/>
      <c r="G286" s="10">
        <f t="shared" si="11"/>
        <v>126.1643836</v>
      </c>
      <c r="H286" s="11"/>
      <c r="I286" s="11"/>
      <c r="J286" s="11"/>
      <c r="K286" s="11"/>
      <c r="L286" s="13"/>
      <c r="M286" s="13"/>
      <c r="N286" s="11"/>
      <c r="O286" s="11"/>
      <c r="P286" s="11"/>
      <c r="Q286" s="11"/>
      <c r="R286" s="11"/>
      <c r="S286" s="11"/>
      <c r="T286" s="11"/>
      <c r="U286" s="14" t="str">
        <f t="shared" si="12"/>
        <v/>
      </c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4"/>
      <c r="AL286" s="16"/>
      <c r="AM286" s="11"/>
      <c r="AN286" s="11"/>
      <c r="AO286" s="11"/>
      <c r="AP286" s="17">
        <f t="shared" si="13"/>
        <v>12</v>
      </c>
      <c r="AQ286" s="17">
        <f t="shared" si="14"/>
        <v>1899</v>
      </c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</row>
    <row r="287">
      <c r="A287" s="11"/>
      <c r="B287" s="11"/>
      <c r="C287" s="11"/>
      <c r="D287" s="14" t="str">
        <f t="shared" si="10"/>
        <v>, </v>
      </c>
      <c r="E287" s="9"/>
      <c r="F287" s="9"/>
      <c r="G287" s="10">
        <f t="shared" si="11"/>
        <v>126.1643836</v>
      </c>
      <c r="H287" s="11"/>
      <c r="I287" s="11"/>
      <c r="J287" s="11"/>
      <c r="K287" s="11"/>
      <c r="L287" s="13"/>
      <c r="M287" s="13"/>
      <c r="N287" s="11"/>
      <c r="O287" s="11"/>
      <c r="P287" s="11"/>
      <c r="Q287" s="11"/>
      <c r="R287" s="11"/>
      <c r="S287" s="11"/>
      <c r="T287" s="11"/>
      <c r="U287" s="14" t="str">
        <f t="shared" si="12"/>
        <v/>
      </c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4"/>
      <c r="AL287" s="16"/>
      <c r="AM287" s="11"/>
      <c r="AN287" s="11"/>
      <c r="AO287" s="11"/>
      <c r="AP287" s="17">
        <f t="shared" si="13"/>
        <v>12</v>
      </c>
      <c r="AQ287" s="17">
        <f t="shared" si="14"/>
        <v>1899</v>
      </c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</row>
    <row r="288">
      <c r="A288" s="11"/>
      <c r="B288" s="11"/>
      <c r="C288" s="11"/>
      <c r="D288" s="14" t="str">
        <f t="shared" si="10"/>
        <v>, </v>
      </c>
      <c r="E288" s="9"/>
      <c r="F288" s="9"/>
      <c r="G288" s="10">
        <f t="shared" si="11"/>
        <v>126.1643836</v>
      </c>
      <c r="H288" s="11"/>
      <c r="I288" s="11"/>
      <c r="J288" s="11"/>
      <c r="K288" s="11"/>
      <c r="L288" s="13"/>
      <c r="M288" s="13"/>
      <c r="N288" s="11"/>
      <c r="O288" s="11"/>
      <c r="P288" s="11"/>
      <c r="Q288" s="11"/>
      <c r="R288" s="11"/>
      <c r="S288" s="11"/>
      <c r="T288" s="11"/>
      <c r="U288" s="14" t="str">
        <f t="shared" si="12"/>
        <v/>
      </c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4"/>
      <c r="AL288" s="16"/>
      <c r="AM288" s="11"/>
      <c r="AN288" s="11"/>
      <c r="AO288" s="11"/>
      <c r="AP288" s="17">
        <f t="shared" si="13"/>
        <v>12</v>
      </c>
      <c r="AQ288" s="17">
        <f t="shared" si="14"/>
        <v>1899</v>
      </c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</row>
    <row r="289">
      <c r="A289" s="11"/>
      <c r="B289" s="11"/>
      <c r="C289" s="11"/>
      <c r="D289" s="14" t="str">
        <f t="shared" si="10"/>
        <v>, </v>
      </c>
      <c r="E289" s="9"/>
      <c r="F289" s="9"/>
      <c r="G289" s="10">
        <f t="shared" si="11"/>
        <v>126.1643836</v>
      </c>
      <c r="H289" s="11"/>
      <c r="I289" s="11"/>
      <c r="J289" s="11"/>
      <c r="K289" s="11"/>
      <c r="L289" s="13"/>
      <c r="M289" s="13"/>
      <c r="N289" s="11"/>
      <c r="O289" s="11"/>
      <c r="P289" s="11"/>
      <c r="Q289" s="11"/>
      <c r="R289" s="11"/>
      <c r="S289" s="11"/>
      <c r="T289" s="11"/>
      <c r="U289" s="14" t="str">
        <f t="shared" si="12"/>
        <v/>
      </c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4"/>
      <c r="AL289" s="16"/>
      <c r="AM289" s="11"/>
      <c r="AN289" s="11"/>
      <c r="AO289" s="11"/>
      <c r="AP289" s="17">
        <f t="shared" si="13"/>
        <v>12</v>
      </c>
      <c r="AQ289" s="17">
        <f t="shared" si="14"/>
        <v>1899</v>
      </c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</row>
    <row r="290">
      <c r="A290" s="11"/>
      <c r="B290" s="11"/>
      <c r="C290" s="11"/>
      <c r="D290" s="14" t="str">
        <f t="shared" si="10"/>
        <v>, </v>
      </c>
      <c r="E290" s="9"/>
      <c r="F290" s="9"/>
      <c r="G290" s="10">
        <f t="shared" si="11"/>
        <v>126.1643836</v>
      </c>
      <c r="H290" s="11"/>
      <c r="I290" s="11"/>
      <c r="J290" s="11"/>
      <c r="K290" s="11"/>
      <c r="L290" s="13"/>
      <c r="M290" s="13"/>
      <c r="N290" s="11"/>
      <c r="O290" s="11"/>
      <c r="P290" s="11"/>
      <c r="Q290" s="11"/>
      <c r="R290" s="11"/>
      <c r="S290" s="11"/>
      <c r="T290" s="11"/>
      <c r="U290" s="14" t="str">
        <f t="shared" si="12"/>
        <v/>
      </c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4"/>
      <c r="AL290" s="16"/>
      <c r="AM290" s="11"/>
      <c r="AN290" s="11"/>
      <c r="AO290" s="11"/>
      <c r="AP290" s="17">
        <f t="shared" si="13"/>
        <v>12</v>
      </c>
      <c r="AQ290" s="17">
        <f t="shared" si="14"/>
        <v>1899</v>
      </c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</row>
    <row r="291">
      <c r="A291" s="11"/>
      <c r="B291" s="11"/>
      <c r="C291" s="11"/>
      <c r="D291" s="14" t="str">
        <f t="shared" si="10"/>
        <v>, </v>
      </c>
      <c r="E291" s="9"/>
      <c r="F291" s="9"/>
      <c r="G291" s="10">
        <f t="shared" si="11"/>
        <v>126.1643836</v>
      </c>
      <c r="H291" s="11"/>
      <c r="I291" s="11"/>
      <c r="J291" s="11"/>
      <c r="K291" s="11"/>
      <c r="L291" s="13"/>
      <c r="M291" s="13"/>
      <c r="N291" s="11"/>
      <c r="O291" s="11"/>
      <c r="P291" s="11"/>
      <c r="Q291" s="11"/>
      <c r="R291" s="11"/>
      <c r="S291" s="11"/>
      <c r="T291" s="11"/>
      <c r="U291" s="14" t="str">
        <f t="shared" si="12"/>
        <v/>
      </c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4"/>
      <c r="AL291" s="16"/>
      <c r="AM291" s="11"/>
      <c r="AN291" s="11"/>
      <c r="AO291" s="11"/>
      <c r="AP291" s="17">
        <f t="shared" si="13"/>
        <v>12</v>
      </c>
      <c r="AQ291" s="17">
        <f t="shared" si="14"/>
        <v>1899</v>
      </c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</row>
    <row r="292">
      <c r="A292" s="11"/>
      <c r="B292" s="11"/>
      <c r="C292" s="11"/>
      <c r="D292" s="14" t="str">
        <f t="shared" si="10"/>
        <v>, </v>
      </c>
      <c r="E292" s="9"/>
      <c r="F292" s="9"/>
      <c r="G292" s="10">
        <f t="shared" si="11"/>
        <v>126.1643836</v>
      </c>
      <c r="H292" s="11"/>
      <c r="I292" s="11"/>
      <c r="J292" s="11"/>
      <c r="K292" s="11"/>
      <c r="L292" s="13"/>
      <c r="M292" s="13"/>
      <c r="N292" s="11"/>
      <c r="O292" s="11"/>
      <c r="P292" s="11"/>
      <c r="Q292" s="11"/>
      <c r="R292" s="11"/>
      <c r="S292" s="11"/>
      <c r="T292" s="11"/>
      <c r="U292" s="14" t="str">
        <f t="shared" si="12"/>
        <v/>
      </c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4"/>
      <c r="AL292" s="16"/>
      <c r="AM292" s="11"/>
      <c r="AN292" s="11"/>
      <c r="AO292" s="11"/>
      <c r="AP292" s="17">
        <f t="shared" si="13"/>
        <v>12</v>
      </c>
      <c r="AQ292" s="17">
        <f t="shared" si="14"/>
        <v>1899</v>
      </c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</row>
    <row r="293">
      <c r="A293" s="11"/>
      <c r="B293" s="11"/>
      <c r="C293" s="11"/>
      <c r="D293" s="14" t="str">
        <f t="shared" si="10"/>
        <v>, </v>
      </c>
      <c r="E293" s="9"/>
      <c r="F293" s="9"/>
      <c r="G293" s="10">
        <f t="shared" si="11"/>
        <v>126.1643836</v>
      </c>
      <c r="H293" s="11"/>
      <c r="I293" s="11"/>
      <c r="J293" s="11"/>
      <c r="K293" s="11"/>
      <c r="L293" s="13"/>
      <c r="M293" s="13"/>
      <c r="N293" s="11"/>
      <c r="O293" s="11"/>
      <c r="P293" s="11"/>
      <c r="Q293" s="11"/>
      <c r="R293" s="11"/>
      <c r="S293" s="11"/>
      <c r="T293" s="11"/>
      <c r="U293" s="14" t="str">
        <f t="shared" si="12"/>
        <v/>
      </c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4"/>
      <c r="AL293" s="16"/>
      <c r="AM293" s="11"/>
      <c r="AN293" s="11"/>
      <c r="AO293" s="11"/>
      <c r="AP293" s="17">
        <f t="shared" si="13"/>
        <v>12</v>
      </c>
      <c r="AQ293" s="17">
        <f t="shared" si="14"/>
        <v>1899</v>
      </c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</row>
    <row r="294">
      <c r="A294" s="11"/>
      <c r="B294" s="11"/>
      <c r="C294" s="11"/>
      <c r="D294" s="14" t="str">
        <f t="shared" si="10"/>
        <v>, </v>
      </c>
      <c r="E294" s="9"/>
      <c r="F294" s="9"/>
      <c r="G294" s="10">
        <f t="shared" si="11"/>
        <v>126.1643836</v>
      </c>
      <c r="H294" s="11"/>
      <c r="I294" s="11"/>
      <c r="J294" s="11"/>
      <c r="K294" s="11"/>
      <c r="L294" s="13"/>
      <c r="M294" s="13"/>
      <c r="N294" s="11"/>
      <c r="O294" s="11"/>
      <c r="P294" s="11"/>
      <c r="Q294" s="11"/>
      <c r="R294" s="11"/>
      <c r="S294" s="11"/>
      <c r="T294" s="11"/>
      <c r="U294" s="14" t="str">
        <f t="shared" si="12"/>
        <v/>
      </c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4"/>
      <c r="AL294" s="16"/>
      <c r="AM294" s="11"/>
      <c r="AN294" s="11"/>
      <c r="AO294" s="11"/>
      <c r="AP294" s="17">
        <f t="shared" si="13"/>
        <v>12</v>
      </c>
      <c r="AQ294" s="17">
        <f t="shared" si="14"/>
        <v>1899</v>
      </c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</row>
    <row r="295">
      <c r="A295" s="11"/>
      <c r="B295" s="11"/>
      <c r="C295" s="11"/>
      <c r="D295" s="14" t="str">
        <f t="shared" si="10"/>
        <v>, </v>
      </c>
      <c r="E295" s="9"/>
      <c r="F295" s="9"/>
      <c r="G295" s="10">
        <f t="shared" si="11"/>
        <v>126.1643836</v>
      </c>
      <c r="H295" s="11"/>
      <c r="I295" s="11"/>
      <c r="J295" s="11"/>
      <c r="K295" s="11"/>
      <c r="L295" s="13"/>
      <c r="M295" s="13"/>
      <c r="N295" s="11"/>
      <c r="O295" s="11"/>
      <c r="P295" s="11"/>
      <c r="Q295" s="11"/>
      <c r="R295" s="11"/>
      <c r="S295" s="11"/>
      <c r="T295" s="11"/>
      <c r="U295" s="14" t="str">
        <f t="shared" si="12"/>
        <v/>
      </c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4"/>
      <c r="AL295" s="16"/>
      <c r="AM295" s="11"/>
      <c r="AN295" s="11"/>
      <c r="AO295" s="11"/>
      <c r="AP295" s="17">
        <f t="shared" si="13"/>
        <v>12</v>
      </c>
      <c r="AQ295" s="17">
        <f t="shared" si="14"/>
        <v>1899</v>
      </c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</row>
    <row r="296">
      <c r="A296" s="11"/>
      <c r="B296" s="11"/>
      <c r="C296" s="11"/>
      <c r="D296" s="14" t="str">
        <f t="shared" si="10"/>
        <v>, </v>
      </c>
      <c r="E296" s="9"/>
      <c r="F296" s="9"/>
      <c r="G296" s="10">
        <f t="shared" si="11"/>
        <v>126.1643836</v>
      </c>
      <c r="H296" s="11"/>
      <c r="I296" s="11"/>
      <c r="J296" s="11"/>
      <c r="K296" s="11"/>
      <c r="L296" s="13"/>
      <c r="M296" s="13"/>
      <c r="N296" s="11"/>
      <c r="O296" s="11"/>
      <c r="P296" s="11"/>
      <c r="Q296" s="11"/>
      <c r="R296" s="11"/>
      <c r="S296" s="11"/>
      <c r="T296" s="11"/>
      <c r="U296" s="14" t="str">
        <f t="shared" si="12"/>
        <v/>
      </c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4"/>
      <c r="AL296" s="16"/>
      <c r="AM296" s="11"/>
      <c r="AN296" s="11"/>
      <c r="AO296" s="11"/>
      <c r="AP296" s="17">
        <f t="shared" si="13"/>
        <v>12</v>
      </c>
      <c r="AQ296" s="17">
        <f t="shared" si="14"/>
        <v>1899</v>
      </c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</row>
    <row r="297">
      <c r="A297" s="11"/>
      <c r="B297" s="11"/>
      <c r="C297" s="11"/>
      <c r="D297" s="14" t="str">
        <f t="shared" si="10"/>
        <v>, </v>
      </c>
      <c r="E297" s="9"/>
      <c r="F297" s="9"/>
      <c r="G297" s="10">
        <f t="shared" si="11"/>
        <v>126.1643836</v>
      </c>
      <c r="H297" s="11"/>
      <c r="I297" s="11"/>
      <c r="J297" s="11"/>
      <c r="K297" s="11"/>
      <c r="L297" s="13"/>
      <c r="M297" s="13"/>
      <c r="N297" s="11"/>
      <c r="O297" s="11"/>
      <c r="P297" s="11"/>
      <c r="Q297" s="11"/>
      <c r="R297" s="11"/>
      <c r="S297" s="11"/>
      <c r="T297" s="11"/>
      <c r="U297" s="14" t="str">
        <f t="shared" si="12"/>
        <v/>
      </c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4"/>
      <c r="AL297" s="16"/>
      <c r="AM297" s="11"/>
      <c r="AN297" s="11"/>
      <c r="AO297" s="11"/>
      <c r="AP297" s="17">
        <f t="shared" si="13"/>
        <v>12</v>
      </c>
      <c r="AQ297" s="17">
        <f t="shared" si="14"/>
        <v>1899</v>
      </c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</row>
    <row r="298">
      <c r="A298" s="11"/>
      <c r="B298" s="11"/>
      <c r="C298" s="11"/>
      <c r="D298" s="14" t="str">
        <f t="shared" si="10"/>
        <v>, </v>
      </c>
      <c r="E298" s="9"/>
      <c r="F298" s="9"/>
      <c r="G298" s="10">
        <f t="shared" si="11"/>
        <v>126.1643836</v>
      </c>
      <c r="H298" s="11"/>
      <c r="I298" s="11"/>
      <c r="J298" s="11"/>
      <c r="K298" s="11"/>
      <c r="L298" s="13"/>
      <c r="M298" s="13"/>
      <c r="N298" s="11"/>
      <c r="O298" s="11"/>
      <c r="P298" s="11"/>
      <c r="Q298" s="11"/>
      <c r="R298" s="11"/>
      <c r="S298" s="11"/>
      <c r="T298" s="11"/>
      <c r="U298" s="14" t="str">
        <f t="shared" si="12"/>
        <v/>
      </c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4"/>
      <c r="AL298" s="16"/>
      <c r="AM298" s="11"/>
      <c r="AN298" s="11"/>
      <c r="AO298" s="11"/>
      <c r="AP298" s="17">
        <f t="shared" si="13"/>
        <v>12</v>
      </c>
      <c r="AQ298" s="17">
        <f t="shared" si="14"/>
        <v>1899</v>
      </c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</row>
    <row r="299">
      <c r="A299" s="11"/>
      <c r="B299" s="11"/>
      <c r="C299" s="11"/>
      <c r="D299" s="14" t="str">
        <f t="shared" si="10"/>
        <v>, </v>
      </c>
      <c r="E299" s="9"/>
      <c r="F299" s="9"/>
      <c r="G299" s="10">
        <f t="shared" si="11"/>
        <v>126.1643836</v>
      </c>
      <c r="H299" s="11"/>
      <c r="I299" s="11"/>
      <c r="J299" s="11"/>
      <c r="K299" s="11"/>
      <c r="L299" s="13"/>
      <c r="M299" s="13"/>
      <c r="N299" s="11"/>
      <c r="O299" s="11"/>
      <c r="P299" s="11"/>
      <c r="Q299" s="11"/>
      <c r="R299" s="11"/>
      <c r="S299" s="11"/>
      <c r="T299" s="11"/>
      <c r="U299" s="14" t="str">
        <f t="shared" si="12"/>
        <v/>
      </c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4"/>
      <c r="AL299" s="16"/>
      <c r="AM299" s="11"/>
      <c r="AN299" s="11"/>
      <c r="AO299" s="11"/>
      <c r="AP299" s="17">
        <f t="shared" si="13"/>
        <v>12</v>
      </c>
      <c r="AQ299" s="17">
        <f t="shared" si="14"/>
        <v>1899</v>
      </c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</row>
    <row r="300">
      <c r="A300" s="11"/>
      <c r="B300" s="11"/>
      <c r="C300" s="11"/>
      <c r="D300" s="14" t="str">
        <f t="shared" si="10"/>
        <v>, </v>
      </c>
      <c r="E300" s="9"/>
      <c r="F300" s="9"/>
      <c r="G300" s="10">
        <f t="shared" si="11"/>
        <v>126.1643836</v>
      </c>
      <c r="H300" s="11"/>
      <c r="I300" s="11"/>
      <c r="J300" s="11"/>
      <c r="K300" s="11"/>
      <c r="L300" s="13"/>
      <c r="M300" s="13"/>
      <c r="N300" s="11"/>
      <c r="O300" s="11"/>
      <c r="P300" s="11"/>
      <c r="Q300" s="11"/>
      <c r="R300" s="11"/>
      <c r="S300" s="11"/>
      <c r="T300" s="11"/>
      <c r="U300" s="14" t="str">
        <f t="shared" si="12"/>
        <v/>
      </c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4"/>
      <c r="AL300" s="16"/>
      <c r="AM300" s="11"/>
      <c r="AN300" s="11"/>
      <c r="AO300" s="11"/>
      <c r="AP300" s="17">
        <f t="shared" si="13"/>
        <v>12</v>
      </c>
      <c r="AQ300" s="17">
        <f t="shared" si="14"/>
        <v>1899</v>
      </c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</row>
    <row r="301">
      <c r="A301" s="11"/>
      <c r="B301" s="11"/>
      <c r="C301" s="11"/>
      <c r="D301" s="14" t="str">
        <f t="shared" si="10"/>
        <v>, </v>
      </c>
      <c r="E301" s="9"/>
      <c r="F301" s="9"/>
      <c r="G301" s="10">
        <f t="shared" si="11"/>
        <v>126.1643836</v>
      </c>
      <c r="H301" s="11"/>
      <c r="I301" s="11"/>
      <c r="J301" s="11"/>
      <c r="K301" s="11"/>
      <c r="L301" s="13"/>
      <c r="M301" s="13"/>
      <c r="N301" s="11"/>
      <c r="O301" s="11"/>
      <c r="P301" s="11"/>
      <c r="Q301" s="11"/>
      <c r="R301" s="11"/>
      <c r="S301" s="11"/>
      <c r="T301" s="11"/>
      <c r="U301" s="14" t="str">
        <f t="shared" si="12"/>
        <v/>
      </c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4"/>
      <c r="AL301" s="16"/>
      <c r="AM301" s="11"/>
      <c r="AN301" s="11"/>
      <c r="AO301" s="11"/>
      <c r="AP301" s="17">
        <f t="shared" si="13"/>
        <v>12</v>
      </c>
      <c r="AQ301" s="17">
        <f t="shared" si="14"/>
        <v>1899</v>
      </c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</row>
    <row r="302">
      <c r="A302" s="11"/>
      <c r="B302" s="11"/>
      <c r="C302" s="11"/>
      <c r="D302" s="14" t="str">
        <f t="shared" si="10"/>
        <v>, </v>
      </c>
      <c r="E302" s="9"/>
      <c r="F302" s="9"/>
      <c r="G302" s="10">
        <f t="shared" si="11"/>
        <v>126.1643836</v>
      </c>
      <c r="H302" s="11"/>
      <c r="I302" s="11"/>
      <c r="J302" s="11"/>
      <c r="K302" s="11"/>
      <c r="L302" s="13"/>
      <c r="M302" s="13"/>
      <c r="N302" s="11"/>
      <c r="O302" s="11"/>
      <c r="P302" s="11"/>
      <c r="Q302" s="11"/>
      <c r="R302" s="11"/>
      <c r="S302" s="11"/>
      <c r="T302" s="11"/>
      <c r="U302" s="14" t="str">
        <f t="shared" si="12"/>
        <v/>
      </c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4"/>
      <c r="AL302" s="16"/>
      <c r="AM302" s="11"/>
      <c r="AN302" s="11"/>
      <c r="AO302" s="11"/>
      <c r="AP302" s="17">
        <f t="shared" si="13"/>
        <v>12</v>
      </c>
      <c r="AQ302" s="17">
        <f t="shared" si="14"/>
        <v>1899</v>
      </c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</row>
    <row r="303">
      <c r="A303" s="11"/>
      <c r="B303" s="11"/>
      <c r="C303" s="11"/>
      <c r="D303" s="14" t="str">
        <f t="shared" si="10"/>
        <v>, </v>
      </c>
      <c r="E303" s="9"/>
      <c r="F303" s="9"/>
      <c r="G303" s="10">
        <f t="shared" si="11"/>
        <v>126.1643836</v>
      </c>
      <c r="H303" s="11"/>
      <c r="I303" s="11"/>
      <c r="J303" s="11"/>
      <c r="K303" s="11"/>
      <c r="L303" s="13"/>
      <c r="M303" s="13"/>
      <c r="N303" s="11"/>
      <c r="O303" s="11"/>
      <c r="P303" s="11"/>
      <c r="Q303" s="11"/>
      <c r="R303" s="11"/>
      <c r="S303" s="11"/>
      <c r="T303" s="11"/>
      <c r="U303" s="14" t="str">
        <f t="shared" si="12"/>
        <v/>
      </c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4"/>
      <c r="AL303" s="16"/>
      <c r="AM303" s="11"/>
      <c r="AN303" s="11"/>
      <c r="AO303" s="11"/>
      <c r="AP303" s="17">
        <f t="shared" si="13"/>
        <v>12</v>
      </c>
      <c r="AQ303" s="17">
        <f t="shared" si="14"/>
        <v>1899</v>
      </c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</row>
    <row r="304">
      <c r="A304" s="11"/>
      <c r="B304" s="11"/>
      <c r="C304" s="11"/>
      <c r="D304" s="14" t="str">
        <f t="shared" si="10"/>
        <v>, </v>
      </c>
      <c r="E304" s="9"/>
      <c r="F304" s="9"/>
      <c r="G304" s="10">
        <f t="shared" si="11"/>
        <v>126.1643836</v>
      </c>
      <c r="H304" s="11"/>
      <c r="I304" s="11"/>
      <c r="J304" s="11"/>
      <c r="K304" s="11"/>
      <c r="L304" s="13"/>
      <c r="M304" s="13"/>
      <c r="N304" s="11"/>
      <c r="O304" s="11"/>
      <c r="P304" s="11"/>
      <c r="Q304" s="11"/>
      <c r="R304" s="11"/>
      <c r="S304" s="11"/>
      <c r="T304" s="11"/>
      <c r="U304" s="14" t="str">
        <f t="shared" si="12"/>
        <v/>
      </c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4"/>
      <c r="AL304" s="16"/>
      <c r="AM304" s="11"/>
      <c r="AN304" s="11"/>
      <c r="AO304" s="11"/>
      <c r="AP304" s="17">
        <f t="shared" si="13"/>
        <v>12</v>
      </c>
      <c r="AQ304" s="17">
        <f t="shared" si="14"/>
        <v>1899</v>
      </c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</row>
    <row r="305">
      <c r="A305" s="11"/>
      <c r="B305" s="11"/>
      <c r="C305" s="11"/>
      <c r="D305" s="14" t="str">
        <f t="shared" si="10"/>
        <v>, </v>
      </c>
      <c r="E305" s="9"/>
      <c r="F305" s="9"/>
      <c r="G305" s="10">
        <f t="shared" si="11"/>
        <v>126.1643836</v>
      </c>
      <c r="H305" s="11"/>
      <c r="I305" s="11"/>
      <c r="J305" s="11"/>
      <c r="K305" s="11"/>
      <c r="L305" s="13"/>
      <c r="M305" s="13"/>
      <c r="N305" s="11"/>
      <c r="O305" s="11"/>
      <c r="P305" s="11"/>
      <c r="Q305" s="11"/>
      <c r="R305" s="11"/>
      <c r="S305" s="11"/>
      <c r="T305" s="11"/>
      <c r="U305" s="14" t="str">
        <f t="shared" si="12"/>
        <v/>
      </c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4"/>
      <c r="AL305" s="16"/>
      <c r="AM305" s="11"/>
      <c r="AN305" s="11"/>
      <c r="AO305" s="11"/>
      <c r="AP305" s="17">
        <f t="shared" si="13"/>
        <v>12</v>
      </c>
      <c r="AQ305" s="17">
        <f t="shared" si="14"/>
        <v>1899</v>
      </c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</row>
    <row r="306">
      <c r="A306" s="11"/>
      <c r="B306" s="11"/>
      <c r="C306" s="11"/>
      <c r="D306" s="14" t="str">
        <f t="shared" si="10"/>
        <v>, </v>
      </c>
      <c r="E306" s="9"/>
      <c r="F306" s="9"/>
      <c r="G306" s="10">
        <f t="shared" si="11"/>
        <v>126.1643836</v>
      </c>
      <c r="H306" s="11"/>
      <c r="I306" s="11"/>
      <c r="J306" s="11"/>
      <c r="K306" s="11"/>
      <c r="L306" s="13"/>
      <c r="M306" s="13"/>
      <c r="N306" s="11"/>
      <c r="O306" s="11"/>
      <c r="P306" s="11"/>
      <c r="Q306" s="11"/>
      <c r="R306" s="11"/>
      <c r="S306" s="11"/>
      <c r="T306" s="11"/>
      <c r="U306" s="14" t="str">
        <f t="shared" si="12"/>
        <v/>
      </c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4"/>
      <c r="AL306" s="16"/>
      <c r="AM306" s="11"/>
      <c r="AN306" s="11"/>
      <c r="AO306" s="11"/>
      <c r="AP306" s="17">
        <f t="shared" si="13"/>
        <v>12</v>
      </c>
      <c r="AQ306" s="17">
        <f t="shared" si="14"/>
        <v>1899</v>
      </c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</row>
    <row r="307">
      <c r="A307" s="11"/>
      <c r="B307" s="11"/>
      <c r="C307" s="11"/>
      <c r="D307" s="14" t="str">
        <f t="shared" si="10"/>
        <v>, </v>
      </c>
      <c r="E307" s="9"/>
      <c r="F307" s="9"/>
      <c r="G307" s="10">
        <f t="shared" si="11"/>
        <v>126.1643836</v>
      </c>
      <c r="H307" s="11"/>
      <c r="I307" s="11"/>
      <c r="J307" s="11"/>
      <c r="K307" s="11"/>
      <c r="L307" s="13"/>
      <c r="M307" s="13"/>
      <c r="N307" s="11"/>
      <c r="O307" s="11"/>
      <c r="P307" s="11"/>
      <c r="Q307" s="11"/>
      <c r="R307" s="11"/>
      <c r="S307" s="11"/>
      <c r="T307" s="11"/>
      <c r="U307" s="14" t="str">
        <f t="shared" si="12"/>
        <v/>
      </c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4"/>
      <c r="AL307" s="16"/>
      <c r="AM307" s="11"/>
      <c r="AN307" s="11"/>
      <c r="AO307" s="11"/>
      <c r="AP307" s="17">
        <f t="shared" si="13"/>
        <v>12</v>
      </c>
      <c r="AQ307" s="17">
        <f t="shared" si="14"/>
        <v>1899</v>
      </c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</row>
    <row r="308">
      <c r="A308" s="11"/>
      <c r="B308" s="11"/>
      <c r="C308" s="11"/>
      <c r="D308" s="14" t="str">
        <f t="shared" si="10"/>
        <v>, </v>
      </c>
      <c r="E308" s="9"/>
      <c r="F308" s="9"/>
      <c r="G308" s="10">
        <f t="shared" si="11"/>
        <v>126.1643836</v>
      </c>
      <c r="H308" s="11"/>
      <c r="I308" s="11"/>
      <c r="J308" s="11"/>
      <c r="K308" s="11"/>
      <c r="L308" s="13"/>
      <c r="M308" s="13"/>
      <c r="N308" s="11"/>
      <c r="O308" s="11"/>
      <c r="P308" s="11"/>
      <c r="Q308" s="11"/>
      <c r="R308" s="11"/>
      <c r="S308" s="11"/>
      <c r="T308" s="11"/>
      <c r="U308" s="14" t="str">
        <f t="shared" si="12"/>
        <v/>
      </c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4"/>
      <c r="AL308" s="16"/>
      <c r="AM308" s="11"/>
      <c r="AN308" s="11"/>
      <c r="AO308" s="11"/>
      <c r="AP308" s="17">
        <f t="shared" si="13"/>
        <v>12</v>
      </c>
      <c r="AQ308" s="17">
        <f t="shared" si="14"/>
        <v>1899</v>
      </c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</row>
    <row r="309">
      <c r="A309" s="11"/>
      <c r="B309" s="11"/>
      <c r="C309" s="11"/>
      <c r="D309" s="14" t="str">
        <f t="shared" si="10"/>
        <v>, </v>
      </c>
      <c r="E309" s="9"/>
      <c r="F309" s="9"/>
      <c r="G309" s="10">
        <f t="shared" si="11"/>
        <v>126.1643836</v>
      </c>
      <c r="H309" s="11"/>
      <c r="I309" s="11"/>
      <c r="J309" s="11"/>
      <c r="K309" s="11"/>
      <c r="L309" s="13"/>
      <c r="M309" s="13"/>
      <c r="N309" s="11"/>
      <c r="O309" s="11"/>
      <c r="P309" s="11"/>
      <c r="Q309" s="11"/>
      <c r="R309" s="11"/>
      <c r="S309" s="11"/>
      <c r="T309" s="11"/>
      <c r="U309" s="14" t="str">
        <f t="shared" si="12"/>
        <v/>
      </c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4"/>
      <c r="AL309" s="16"/>
      <c r="AM309" s="11"/>
      <c r="AN309" s="11"/>
      <c r="AO309" s="11"/>
      <c r="AP309" s="17">
        <f t="shared" si="13"/>
        <v>12</v>
      </c>
      <c r="AQ309" s="17">
        <f t="shared" si="14"/>
        <v>1899</v>
      </c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</row>
    <row r="310">
      <c r="A310" s="11"/>
      <c r="B310" s="11"/>
      <c r="C310" s="11"/>
      <c r="D310" s="14" t="str">
        <f t="shared" si="10"/>
        <v>, </v>
      </c>
      <c r="E310" s="9"/>
      <c r="F310" s="9"/>
      <c r="G310" s="10">
        <f t="shared" si="11"/>
        <v>126.1643836</v>
      </c>
      <c r="H310" s="11"/>
      <c r="I310" s="11"/>
      <c r="J310" s="11"/>
      <c r="K310" s="11"/>
      <c r="L310" s="13"/>
      <c r="M310" s="13"/>
      <c r="N310" s="11"/>
      <c r="O310" s="11"/>
      <c r="P310" s="11"/>
      <c r="Q310" s="11"/>
      <c r="R310" s="11"/>
      <c r="S310" s="11"/>
      <c r="T310" s="11"/>
      <c r="U310" s="14" t="str">
        <f t="shared" si="12"/>
        <v/>
      </c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4"/>
      <c r="AL310" s="16"/>
      <c r="AM310" s="11"/>
      <c r="AN310" s="11"/>
      <c r="AO310" s="11"/>
      <c r="AP310" s="17">
        <f t="shared" si="13"/>
        <v>12</v>
      </c>
      <c r="AQ310" s="17">
        <f t="shared" si="14"/>
        <v>1899</v>
      </c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</row>
    <row r="311">
      <c r="A311" s="11"/>
      <c r="B311" s="11"/>
      <c r="C311" s="11"/>
      <c r="D311" s="14" t="str">
        <f t="shared" si="10"/>
        <v>, </v>
      </c>
      <c r="E311" s="9"/>
      <c r="F311" s="9"/>
      <c r="G311" s="10">
        <f t="shared" si="11"/>
        <v>126.1643836</v>
      </c>
      <c r="H311" s="11"/>
      <c r="I311" s="11"/>
      <c r="J311" s="11"/>
      <c r="K311" s="11"/>
      <c r="L311" s="13"/>
      <c r="M311" s="13"/>
      <c r="N311" s="11"/>
      <c r="O311" s="11"/>
      <c r="P311" s="11"/>
      <c r="Q311" s="11"/>
      <c r="R311" s="11"/>
      <c r="S311" s="11"/>
      <c r="T311" s="11"/>
      <c r="U311" s="14" t="str">
        <f t="shared" si="12"/>
        <v/>
      </c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4"/>
      <c r="AL311" s="16"/>
      <c r="AM311" s="11"/>
      <c r="AN311" s="11"/>
      <c r="AO311" s="11"/>
      <c r="AP311" s="17">
        <f t="shared" si="13"/>
        <v>12</v>
      </c>
      <c r="AQ311" s="17">
        <f t="shared" si="14"/>
        <v>1899</v>
      </c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</row>
    <row r="312">
      <c r="A312" s="11"/>
      <c r="B312" s="11"/>
      <c r="C312" s="11"/>
      <c r="D312" s="14" t="str">
        <f t="shared" si="10"/>
        <v>, </v>
      </c>
      <c r="E312" s="9"/>
      <c r="F312" s="9"/>
      <c r="G312" s="10">
        <f t="shared" si="11"/>
        <v>126.1643836</v>
      </c>
      <c r="H312" s="11"/>
      <c r="I312" s="11"/>
      <c r="J312" s="11"/>
      <c r="K312" s="11"/>
      <c r="L312" s="13"/>
      <c r="M312" s="13"/>
      <c r="N312" s="11"/>
      <c r="O312" s="11"/>
      <c r="P312" s="11"/>
      <c r="Q312" s="11"/>
      <c r="R312" s="11"/>
      <c r="S312" s="11"/>
      <c r="T312" s="11"/>
      <c r="U312" s="14" t="str">
        <f t="shared" si="12"/>
        <v/>
      </c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4"/>
      <c r="AL312" s="16"/>
      <c r="AM312" s="11"/>
      <c r="AN312" s="11"/>
      <c r="AO312" s="11"/>
      <c r="AP312" s="17">
        <f t="shared" si="13"/>
        <v>12</v>
      </c>
      <c r="AQ312" s="17">
        <f t="shared" si="14"/>
        <v>1899</v>
      </c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</row>
    <row r="313">
      <c r="A313" s="11"/>
      <c r="B313" s="11"/>
      <c r="C313" s="11"/>
      <c r="D313" s="14" t="str">
        <f t="shared" si="10"/>
        <v>, </v>
      </c>
      <c r="E313" s="9"/>
      <c r="F313" s="9"/>
      <c r="G313" s="10">
        <f t="shared" si="11"/>
        <v>126.1643836</v>
      </c>
      <c r="H313" s="11"/>
      <c r="I313" s="11"/>
      <c r="J313" s="11"/>
      <c r="K313" s="11"/>
      <c r="L313" s="13"/>
      <c r="M313" s="13"/>
      <c r="N313" s="11"/>
      <c r="O313" s="11"/>
      <c r="P313" s="11"/>
      <c r="Q313" s="11"/>
      <c r="R313" s="11"/>
      <c r="S313" s="11"/>
      <c r="T313" s="11"/>
      <c r="U313" s="14" t="str">
        <f t="shared" si="12"/>
        <v/>
      </c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4"/>
      <c r="AL313" s="16"/>
      <c r="AM313" s="11"/>
      <c r="AN313" s="11"/>
      <c r="AO313" s="11"/>
      <c r="AP313" s="17">
        <f t="shared" si="13"/>
        <v>12</v>
      </c>
      <c r="AQ313" s="17">
        <f t="shared" si="14"/>
        <v>1899</v>
      </c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</row>
    <row r="314">
      <c r="A314" s="11"/>
      <c r="B314" s="11"/>
      <c r="C314" s="11"/>
      <c r="D314" s="14" t="str">
        <f t="shared" si="10"/>
        <v>, </v>
      </c>
      <c r="E314" s="9"/>
      <c r="F314" s="9"/>
      <c r="G314" s="10">
        <f t="shared" si="11"/>
        <v>126.1643836</v>
      </c>
      <c r="H314" s="11"/>
      <c r="I314" s="11"/>
      <c r="J314" s="11"/>
      <c r="K314" s="11"/>
      <c r="L314" s="13"/>
      <c r="M314" s="13"/>
      <c r="N314" s="11"/>
      <c r="O314" s="11"/>
      <c r="P314" s="11"/>
      <c r="Q314" s="11"/>
      <c r="R314" s="11"/>
      <c r="S314" s="11"/>
      <c r="T314" s="11"/>
      <c r="U314" s="14" t="str">
        <f t="shared" si="12"/>
        <v/>
      </c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4"/>
      <c r="AL314" s="16"/>
      <c r="AM314" s="11"/>
      <c r="AN314" s="11"/>
      <c r="AO314" s="11"/>
      <c r="AP314" s="17">
        <f t="shared" si="13"/>
        <v>12</v>
      </c>
      <c r="AQ314" s="17">
        <f t="shared" si="14"/>
        <v>1899</v>
      </c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</row>
    <row r="315">
      <c r="A315" s="11"/>
      <c r="B315" s="11"/>
      <c r="C315" s="11"/>
      <c r="D315" s="14" t="str">
        <f t="shared" si="10"/>
        <v>, </v>
      </c>
      <c r="E315" s="9"/>
      <c r="F315" s="9"/>
      <c r="G315" s="10">
        <f t="shared" si="11"/>
        <v>126.1643836</v>
      </c>
      <c r="H315" s="11"/>
      <c r="I315" s="11"/>
      <c r="J315" s="11"/>
      <c r="K315" s="11"/>
      <c r="L315" s="13"/>
      <c r="M315" s="13"/>
      <c r="N315" s="11"/>
      <c r="O315" s="11"/>
      <c r="P315" s="11"/>
      <c r="Q315" s="11"/>
      <c r="R315" s="11"/>
      <c r="S315" s="11"/>
      <c r="T315" s="11"/>
      <c r="U315" s="14" t="str">
        <f t="shared" si="12"/>
        <v/>
      </c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4"/>
      <c r="AL315" s="16"/>
      <c r="AM315" s="11"/>
      <c r="AN315" s="11"/>
      <c r="AO315" s="11"/>
      <c r="AP315" s="17">
        <f t="shared" si="13"/>
        <v>12</v>
      </c>
      <c r="AQ315" s="17">
        <f t="shared" si="14"/>
        <v>1899</v>
      </c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</row>
    <row r="316">
      <c r="A316" s="11"/>
      <c r="B316" s="11"/>
      <c r="C316" s="11"/>
      <c r="D316" s="14" t="str">
        <f t="shared" si="10"/>
        <v>, </v>
      </c>
      <c r="E316" s="9"/>
      <c r="F316" s="9"/>
      <c r="G316" s="10">
        <f t="shared" si="11"/>
        <v>126.1643836</v>
      </c>
      <c r="H316" s="11"/>
      <c r="I316" s="11"/>
      <c r="J316" s="11"/>
      <c r="K316" s="11"/>
      <c r="L316" s="13"/>
      <c r="M316" s="13"/>
      <c r="N316" s="11"/>
      <c r="O316" s="11"/>
      <c r="P316" s="11"/>
      <c r="Q316" s="11"/>
      <c r="R316" s="11"/>
      <c r="S316" s="11"/>
      <c r="T316" s="11"/>
      <c r="U316" s="14" t="str">
        <f t="shared" si="12"/>
        <v/>
      </c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4"/>
      <c r="AL316" s="16"/>
      <c r="AM316" s="11"/>
      <c r="AN316" s="11"/>
      <c r="AO316" s="11"/>
      <c r="AP316" s="17">
        <f t="shared" si="13"/>
        <v>12</v>
      </c>
      <c r="AQ316" s="17">
        <f t="shared" si="14"/>
        <v>1899</v>
      </c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</row>
    <row r="317">
      <c r="A317" s="11"/>
      <c r="B317" s="11"/>
      <c r="C317" s="11"/>
      <c r="D317" s="14" t="str">
        <f t="shared" si="10"/>
        <v>, </v>
      </c>
      <c r="E317" s="9"/>
      <c r="F317" s="9"/>
      <c r="G317" s="10">
        <f t="shared" si="11"/>
        <v>126.1643836</v>
      </c>
      <c r="H317" s="11"/>
      <c r="I317" s="11"/>
      <c r="J317" s="11"/>
      <c r="K317" s="11"/>
      <c r="L317" s="13"/>
      <c r="M317" s="13"/>
      <c r="N317" s="11"/>
      <c r="O317" s="11"/>
      <c r="P317" s="11"/>
      <c r="Q317" s="11"/>
      <c r="R317" s="11"/>
      <c r="S317" s="11"/>
      <c r="T317" s="11"/>
      <c r="U317" s="14" t="str">
        <f t="shared" si="12"/>
        <v/>
      </c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4"/>
      <c r="AL317" s="16"/>
      <c r="AM317" s="11"/>
      <c r="AN317" s="11"/>
      <c r="AO317" s="11"/>
      <c r="AP317" s="17">
        <f t="shared" si="13"/>
        <v>12</v>
      </c>
      <c r="AQ317" s="17">
        <f t="shared" si="14"/>
        <v>1899</v>
      </c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</row>
    <row r="318">
      <c r="A318" s="11"/>
      <c r="B318" s="11"/>
      <c r="C318" s="11"/>
      <c r="D318" s="14" t="str">
        <f t="shared" si="10"/>
        <v>, </v>
      </c>
      <c r="E318" s="9"/>
      <c r="F318" s="9"/>
      <c r="G318" s="10">
        <f t="shared" si="11"/>
        <v>126.1643836</v>
      </c>
      <c r="H318" s="11"/>
      <c r="I318" s="11"/>
      <c r="J318" s="11"/>
      <c r="K318" s="11"/>
      <c r="L318" s="13"/>
      <c r="M318" s="13"/>
      <c r="N318" s="11"/>
      <c r="O318" s="11"/>
      <c r="P318" s="11"/>
      <c r="Q318" s="11"/>
      <c r="R318" s="11"/>
      <c r="S318" s="11"/>
      <c r="T318" s="11"/>
      <c r="U318" s="14" t="str">
        <f t="shared" si="12"/>
        <v/>
      </c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4"/>
      <c r="AL318" s="16"/>
      <c r="AM318" s="11"/>
      <c r="AN318" s="11"/>
      <c r="AO318" s="11"/>
      <c r="AP318" s="17">
        <f t="shared" si="13"/>
        <v>12</v>
      </c>
      <c r="AQ318" s="17">
        <f t="shared" si="14"/>
        <v>1899</v>
      </c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</row>
    <row r="319">
      <c r="A319" s="11"/>
      <c r="B319" s="11"/>
      <c r="C319" s="11"/>
      <c r="D319" s="14" t="str">
        <f t="shared" si="10"/>
        <v>, </v>
      </c>
      <c r="E319" s="9"/>
      <c r="F319" s="9"/>
      <c r="G319" s="10">
        <f t="shared" si="11"/>
        <v>126.1643836</v>
      </c>
      <c r="H319" s="11"/>
      <c r="I319" s="11"/>
      <c r="J319" s="11"/>
      <c r="K319" s="11"/>
      <c r="L319" s="13"/>
      <c r="M319" s="13"/>
      <c r="N319" s="11"/>
      <c r="O319" s="11"/>
      <c r="P319" s="11"/>
      <c r="Q319" s="11"/>
      <c r="R319" s="11"/>
      <c r="S319" s="11"/>
      <c r="T319" s="11"/>
      <c r="U319" s="14" t="str">
        <f t="shared" si="12"/>
        <v/>
      </c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4"/>
      <c r="AL319" s="16"/>
      <c r="AM319" s="11"/>
      <c r="AN319" s="11"/>
      <c r="AO319" s="11"/>
      <c r="AP319" s="17">
        <f t="shared" si="13"/>
        <v>12</v>
      </c>
      <c r="AQ319" s="17">
        <f t="shared" si="14"/>
        <v>1899</v>
      </c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</row>
    <row r="320">
      <c r="A320" s="11"/>
      <c r="B320" s="11"/>
      <c r="C320" s="11"/>
      <c r="D320" s="14" t="str">
        <f t="shared" si="10"/>
        <v>, </v>
      </c>
      <c r="E320" s="9"/>
      <c r="F320" s="9"/>
      <c r="G320" s="10">
        <f t="shared" si="11"/>
        <v>126.1643836</v>
      </c>
      <c r="H320" s="11"/>
      <c r="I320" s="11"/>
      <c r="J320" s="11"/>
      <c r="K320" s="11"/>
      <c r="L320" s="13"/>
      <c r="M320" s="13"/>
      <c r="N320" s="11"/>
      <c r="O320" s="11"/>
      <c r="P320" s="11"/>
      <c r="Q320" s="11"/>
      <c r="R320" s="11"/>
      <c r="S320" s="11"/>
      <c r="T320" s="11"/>
      <c r="U320" s="14" t="str">
        <f t="shared" si="12"/>
        <v/>
      </c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4"/>
      <c r="AL320" s="16"/>
      <c r="AM320" s="11"/>
      <c r="AN320" s="11"/>
      <c r="AO320" s="11"/>
      <c r="AP320" s="17">
        <f t="shared" si="13"/>
        <v>12</v>
      </c>
      <c r="AQ320" s="17">
        <f t="shared" si="14"/>
        <v>1899</v>
      </c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</row>
    <row r="321">
      <c r="A321" s="11"/>
      <c r="B321" s="11"/>
      <c r="C321" s="11"/>
      <c r="D321" s="14" t="str">
        <f t="shared" si="10"/>
        <v>, </v>
      </c>
      <c r="E321" s="9"/>
      <c r="F321" s="9"/>
      <c r="G321" s="10">
        <f t="shared" si="11"/>
        <v>126.1643836</v>
      </c>
      <c r="H321" s="11"/>
      <c r="I321" s="11"/>
      <c r="J321" s="11"/>
      <c r="K321" s="11"/>
      <c r="L321" s="13"/>
      <c r="M321" s="13"/>
      <c r="N321" s="11"/>
      <c r="O321" s="11"/>
      <c r="P321" s="11"/>
      <c r="Q321" s="11"/>
      <c r="R321" s="11"/>
      <c r="S321" s="11"/>
      <c r="T321" s="11"/>
      <c r="U321" s="14" t="str">
        <f t="shared" si="12"/>
        <v/>
      </c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4"/>
      <c r="AL321" s="16"/>
      <c r="AM321" s="11"/>
      <c r="AN321" s="11"/>
      <c r="AO321" s="11"/>
      <c r="AP321" s="17">
        <f t="shared" si="13"/>
        <v>12</v>
      </c>
      <c r="AQ321" s="17">
        <f t="shared" si="14"/>
        <v>1899</v>
      </c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</row>
    <row r="322">
      <c r="A322" s="11"/>
      <c r="B322" s="11"/>
      <c r="C322" s="11"/>
      <c r="D322" s="14" t="str">
        <f t="shared" si="10"/>
        <v>, </v>
      </c>
      <c r="E322" s="9"/>
      <c r="F322" s="9"/>
      <c r="G322" s="10">
        <f t="shared" si="11"/>
        <v>126.1643836</v>
      </c>
      <c r="H322" s="11"/>
      <c r="I322" s="11"/>
      <c r="J322" s="11"/>
      <c r="K322" s="11"/>
      <c r="L322" s="13"/>
      <c r="M322" s="13"/>
      <c r="N322" s="11"/>
      <c r="O322" s="11"/>
      <c r="P322" s="11"/>
      <c r="Q322" s="11"/>
      <c r="R322" s="11"/>
      <c r="S322" s="11"/>
      <c r="T322" s="11"/>
      <c r="U322" s="14" t="str">
        <f t="shared" si="12"/>
        <v/>
      </c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4"/>
      <c r="AL322" s="16"/>
      <c r="AM322" s="11"/>
      <c r="AN322" s="11"/>
      <c r="AO322" s="11"/>
      <c r="AP322" s="17">
        <f t="shared" si="13"/>
        <v>12</v>
      </c>
      <c r="AQ322" s="17">
        <f t="shared" si="14"/>
        <v>1899</v>
      </c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</row>
    <row r="323">
      <c r="A323" s="11"/>
      <c r="B323" s="11"/>
      <c r="C323" s="11"/>
      <c r="D323" s="14" t="str">
        <f t="shared" si="10"/>
        <v>, </v>
      </c>
      <c r="E323" s="9"/>
      <c r="F323" s="9"/>
      <c r="G323" s="10">
        <f t="shared" si="11"/>
        <v>126.1643836</v>
      </c>
      <c r="H323" s="11"/>
      <c r="I323" s="11"/>
      <c r="J323" s="11"/>
      <c r="K323" s="11"/>
      <c r="L323" s="13"/>
      <c r="M323" s="13"/>
      <c r="N323" s="11"/>
      <c r="O323" s="11"/>
      <c r="P323" s="11"/>
      <c r="Q323" s="11"/>
      <c r="R323" s="11"/>
      <c r="S323" s="11"/>
      <c r="T323" s="11"/>
      <c r="U323" s="14" t="str">
        <f t="shared" si="12"/>
        <v/>
      </c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4"/>
      <c r="AL323" s="16"/>
      <c r="AM323" s="11"/>
      <c r="AN323" s="11"/>
      <c r="AO323" s="11"/>
      <c r="AP323" s="17">
        <f t="shared" si="13"/>
        <v>12</v>
      </c>
      <c r="AQ323" s="17">
        <f t="shared" si="14"/>
        <v>1899</v>
      </c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</row>
    <row r="324">
      <c r="A324" s="11"/>
      <c r="B324" s="11"/>
      <c r="C324" s="11"/>
      <c r="D324" s="14" t="str">
        <f t="shared" si="10"/>
        <v>, </v>
      </c>
      <c r="E324" s="9"/>
      <c r="F324" s="9"/>
      <c r="G324" s="10">
        <f t="shared" si="11"/>
        <v>126.1643836</v>
      </c>
      <c r="H324" s="11"/>
      <c r="I324" s="11"/>
      <c r="J324" s="11"/>
      <c r="K324" s="11"/>
      <c r="L324" s="13"/>
      <c r="M324" s="13"/>
      <c r="N324" s="11"/>
      <c r="O324" s="11"/>
      <c r="P324" s="11"/>
      <c r="Q324" s="11"/>
      <c r="R324" s="11"/>
      <c r="S324" s="11"/>
      <c r="T324" s="11"/>
      <c r="U324" s="14" t="str">
        <f t="shared" si="12"/>
        <v/>
      </c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4"/>
      <c r="AL324" s="16"/>
      <c r="AM324" s="11"/>
      <c r="AN324" s="11"/>
      <c r="AO324" s="11"/>
      <c r="AP324" s="17">
        <f t="shared" si="13"/>
        <v>12</v>
      </c>
      <c r="AQ324" s="17">
        <f t="shared" si="14"/>
        <v>1899</v>
      </c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</row>
    <row r="325">
      <c r="A325" s="11"/>
      <c r="B325" s="11"/>
      <c r="C325" s="11"/>
      <c r="D325" s="14" t="str">
        <f t="shared" si="10"/>
        <v>, </v>
      </c>
      <c r="E325" s="9"/>
      <c r="F325" s="9"/>
      <c r="G325" s="10">
        <f t="shared" si="11"/>
        <v>126.1643836</v>
      </c>
      <c r="H325" s="11"/>
      <c r="I325" s="11"/>
      <c r="J325" s="11"/>
      <c r="K325" s="11"/>
      <c r="L325" s="13"/>
      <c r="M325" s="13"/>
      <c r="N325" s="11"/>
      <c r="O325" s="11"/>
      <c r="P325" s="11"/>
      <c r="Q325" s="11"/>
      <c r="R325" s="11"/>
      <c r="S325" s="11"/>
      <c r="T325" s="11"/>
      <c r="U325" s="14" t="str">
        <f t="shared" si="12"/>
        <v/>
      </c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4"/>
      <c r="AL325" s="16"/>
      <c r="AM325" s="11"/>
      <c r="AN325" s="11"/>
      <c r="AO325" s="11"/>
      <c r="AP325" s="17">
        <f t="shared" si="13"/>
        <v>12</v>
      </c>
      <c r="AQ325" s="17">
        <f t="shared" si="14"/>
        <v>1899</v>
      </c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</row>
    <row r="326">
      <c r="A326" s="11"/>
      <c r="B326" s="11"/>
      <c r="C326" s="11"/>
      <c r="D326" s="14" t="str">
        <f t="shared" si="10"/>
        <v>, </v>
      </c>
      <c r="E326" s="9"/>
      <c r="F326" s="9"/>
      <c r="G326" s="10">
        <f t="shared" si="11"/>
        <v>126.1643836</v>
      </c>
      <c r="H326" s="11"/>
      <c r="I326" s="11"/>
      <c r="J326" s="11"/>
      <c r="K326" s="11"/>
      <c r="L326" s="13"/>
      <c r="M326" s="13"/>
      <c r="N326" s="11"/>
      <c r="O326" s="11"/>
      <c r="P326" s="11"/>
      <c r="Q326" s="11"/>
      <c r="R326" s="11"/>
      <c r="S326" s="11"/>
      <c r="T326" s="11"/>
      <c r="U326" s="14" t="str">
        <f t="shared" si="12"/>
        <v/>
      </c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4"/>
      <c r="AL326" s="16"/>
      <c r="AM326" s="11"/>
      <c r="AN326" s="11"/>
      <c r="AO326" s="11"/>
      <c r="AP326" s="17">
        <f t="shared" si="13"/>
        <v>12</v>
      </c>
      <c r="AQ326" s="17">
        <f t="shared" si="14"/>
        <v>1899</v>
      </c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</row>
    <row r="327">
      <c r="A327" s="11"/>
      <c r="B327" s="11"/>
      <c r="C327" s="11"/>
      <c r="D327" s="14" t="str">
        <f t="shared" si="10"/>
        <v>, </v>
      </c>
      <c r="E327" s="9"/>
      <c r="F327" s="9"/>
      <c r="G327" s="10">
        <f t="shared" si="11"/>
        <v>126.1643836</v>
      </c>
      <c r="H327" s="11"/>
      <c r="I327" s="11"/>
      <c r="J327" s="11"/>
      <c r="K327" s="11"/>
      <c r="L327" s="13"/>
      <c r="M327" s="13"/>
      <c r="N327" s="11"/>
      <c r="O327" s="11"/>
      <c r="P327" s="11"/>
      <c r="Q327" s="11"/>
      <c r="R327" s="11"/>
      <c r="S327" s="11"/>
      <c r="T327" s="11"/>
      <c r="U327" s="14" t="str">
        <f t="shared" si="12"/>
        <v/>
      </c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4"/>
      <c r="AL327" s="16"/>
      <c r="AM327" s="11"/>
      <c r="AN327" s="11"/>
      <c r="AO327" s="11"/>
      <c r="AP327" s="17">
        <f t="shared" si="13"/>
        <v>12</v>
      </c>
      <c r="AQ327" s="17">
        <f t="shared" si="14"/>
        <v>1899</v>
      </c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</row>
    <row r="328">
      <c r="A328" s="11"/>
      <c r="B328" s="11"/>
      <c r="C328" s="11"/>
      <c r="D328" s="14" t="str">
        <f t="shared" si="10"/>
        <v>, </v>
      </c>
      <c r="E328" s="9"/>
      <c r="F328" s="9"/>
      <c r="G328" s="10">
        <f t="shared" si="11"/>
        <v>126.1643836</v>
      </c>
      <c r="H328" s="11"/>
      <c r="I328" s="11"/>
      <c r="J328" s="11"/>
      <c r="K328" s="11"/>
      <c r="L328" s="13"/>
      <c r="M328" s="13"/>
      <c r="N328" s="11"/>
      <c r="O328" s="11"/>
      <c r="P328" s="11"/>
      <c r="Q328" s="11"/>
      <c r="R328" s="11"/>
      <c r="S328" s="11"/>
      <c r="T328" s="11"/>
      <c r="U328" s="14" t="str">
        <f t="shared" si="12"/>
        <v/>
      </c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4"/>
      <c r="AL328" s="16"/>
      <c r="AM328" s="11"/>
      <c r="AN328" s="11"/>
      <c r="AO328" s="11"/>
      <c r="AP328" s="17">
        <f t="shared" si="13"/>
        <v>12</v>
      </c>
      <c r="AQ328" s="17">
        <f t="shared" si="14"/>
        <v>1899</v>
      </c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</row>
    <row r="329">
      <c r="A329" s="11"/>
      <c r="B329" s="11"/>
      <c r="C329" s="11"/>
      <c r="D329" s="14" t="str">
        <f t="shared" si="10"/>
        <v>, </v>
      </c>
      <c r="E329" s="9"/>
      <c r="F329" s="9"/>
      <c r="G329" s="10">
        <f t="shared" si="11"/>
        <v>126.1643836</v>
      </c>
      <c r="H329" s="11"/>
      <c r="I329" s="11"/>
      <c r="J329" s="11"/>
      <c r="K329" s="11"/>
      <c r="L329" s="13"/>
      <c r="M329" s="13"/>
      <c r="N329" s="11"/>
      <c r="O329" s="11"/>
      <c r="P329" s="11"/>
      <c r="Q329" s="11"/>
      <c r="R329" s="11"/>
      <c r="S329" s="11"/>
      <c r="T329" s="11"/>
      <c r="U329" s="14" t="str">
        <f t="shared" si="12"/>
        <v/>
      </c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4"/>
      <c r="AL329" s="16"/>
      <c r="AM329" s="11"/>
      <c r="AN329" s="11"/>
      <c r="AO329" s="11"/>
      <c r="AP329" s="17">
        <f t="shared" si="13"/>
        <v>12</v>
      </c>
      <c r="AQ329" s="17">
        <f t="shared" si="14"/>
        <v>1899</v>
      </c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</row>
    <row r="330">
      <c r="A330" s="11"/>
      <c r="B330" s="11"/>
      <c r="C330" s="11"/>
      <c r="D330" s="14" t="str">
        <f t="shared" si="10"/>
        <v>, </v>
      </c>
      <c r="E330" s="9"/>
      <c r="F330" s="9"/>
      <c r="G330" s="10">
        <f t="shared" si="11"/>
        <v>126.1643836</v>
      </c>
      <c r="H330" s="11"/>
      <c r="I330" s="11"/>
      <c r="J330" s="11"/>
      <c r="K330" s="11"/>
      <c r="L330" s="13"/>
      <c r="M330" s="13"/>
      <c r="N330" s="11"/>
      <c r="O330" s="11"/>
      <c r="P330" s="11"/>
      <c r="Q330" s="11"/>
      <c r="R330" s="11"/>
      <c r="S330" s="11"/>
      <c r="T330" s="11"/>
      <c r="U330" s="14" t="str">
        <f t="shared" si="12"/>
        <v/>
      </c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4"/>
      <c r="AL330" s="16"/>
      <c r="AM330" s="11"/>
      <c r="AN330" s="11"/>
      <c r="AO330" s="11"/>
      <c r="AP330" s="17">
        <f t="shared" si="13"/>
        <v>12</v>
      </c>
      <c r="AQ330" s="17">
        <f t="shared" si="14"/>
        <v>1899</v>
      </c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</row>
    <row r="331">
      <c r="A331" s="11"/>
      <c r="B331" s="11"/>
      <c r="C331" s="11"/>
      <c r="D331" s="14" t="str">
        <f t="shared" si="10"/>
        <v>, </v>
      </c>
      <c r="E331" s="9"/>
      <c r="F331" s="9"/>
      <c r="G331" s="10">
        <f t="shared" si="11"/>
        <v>126.1643836</v>
      </c>
      <c r="H331" s="11"/>
      <c r="I331" s="11"/>
      <c r="J331" s="11"/>
      <c r="K331" s="11"/>
      <c r="L331" s="13"/>
      <c r="M331" s="13"/>
      <c r="N331" s="11"/>
      <c r="O331" s="11"/>
      <c r="P331" s="11"/>
      <c r="Q331" s="11"/>
      <c r="R331" s="11"/>
      <c r="S331" s="11"/>
      <c r="T331" s="11"/>
      <c r="U331" s="14" t="str">
        <f t="shared" si="12"/>
        <v/>
      </c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4"/>
      <c r="AL331" s="16"/>
      <c r="AM331" s="11"/>
      <c r="AN331" s="11"/>
      <c r="AO331" s="11"/>
      <c r="AP331" s="17">
        <f t="shared" si="13"/>
        <v>12</v>
      </c>
      <c r="AQ331" s="17">
        <f t="shared" si="14"/>
        <v>1899</v>
      </c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</row>
    <row r="332">
      <c r="A332" s="11"/>
      <c r="B332" s="11"/>
      <c r="C332" s="11"/>
      <c r="D332" s="14" t="str">
        <f t="shared" si="10"/>
        <v>, </v>
      </c>
      <c r="E332" s="9"/>
      <c r="F332" s="9"/>
      <c r="G332" s="10">
        <f t="shared" si="11"/>
        <v>126.1643836</v>
      </c>
      <c r="H332" s="11"/>
      <c r="I332" s="11"/>
      <c r="J332" s="11"/>
      <c r="K332" s="11"/>
      <c r="L332" s="13"/>
      <c r="M332" s="13"/>
      <c r="N332" s="11"/>
      <c r="O332" s="11"/>
      <c r="P332" s="11"/>
      <c r="Q332" s="11"/>
      <c r="R332" s="11"/>
      <c r="S332" s="11"/>
      <c r="T332" s="11"/>
      <c r="U332" s="14" t="str">
        <f t="shared" si="12"/>
        <v/>
      </c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4"/>
      <c r="AL332" s="16"/>
      <c r="AM332" s="11"/>
      <c r="AN332" s="11"/>
      <c r="AO332" s="11"/>
      <c r="AP332" s="17">
        <f t="shared" si="13"/>
        <v>12</v>
      </c>
      <c r="AQ332" s="17">
        <f t="shared" si="14"/>
        <v>1899</v>
      </c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</row>
    <row r="333">
      <c r="A333" s="11"/>
      <c r="B333" s="11"/>
      <c r="C333" s="11"/>
      <c r="D333" s="14" t="str">
        <f t="shared" si="10"/>
        <v>, </v>
      </c>
      <c r="E333" s="9"/>
      <c r="F333" s="9"/>
      <c r="G333" s="10">
        <f t="shared" si="11"/>
        <v>126.1643836</v>
      </c>
      <c r="H333" s="11"/>
      <c r="I333" s="11"/>
      <c r="J333" s="11"/>
      <c r="K333" s="11"/>
      <c r="L333" s="13"/>
      <c r="M333" s="13"/>
      <c r="N333" s="11"/>
      <c r="O333" s="11"/>
      <c r="P333" s="11"/>
      <c r="Q333" s="11"/>
      <c r="R333" s="11"/>
      <c r="S333" s="11"/>
      <c r="T333" s="11"/>
      <c r="U333" s="14" t="str">
        <f t="shared" si="12"/>
        <v/>
      </c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4"/>
      <c r="AL333" s="16"/>
      <c r="AM333" s="11"/>
      <c r="AN333" s="11"/>
      <c r="AO333" s="11"/>
      <c r="AP333" s="17">
        <f t="shared" si="13"/>
        <v>12</v>
      </c>
      <c r="AQ333" s="17">
        <f t="shared" si="14"/>
        <v>1899</v>
      </c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</row>
    <row r="334">
      <c r="A334" s="11"/>
      <c r="B334" s="117"/>
      <c r="C334" s="11"/>
      <c r="D334" s="14" t="str">
        <f t="shared" si="10"/>
        <v>, </v>
      </c>
      <c r="E334" s="9"/>
      <c r="F334" s="9"/>
      <c r="G334" s="10">
        <f t="shared" si="11"/>
        <v>126.1643836</v>
      </c>
      <c r="H334" s="11"/>
      <c r="I334" s="11"/>
      <c r="J334" s="11"/>
      <c r="K334" s="11"/>
      <c r="L334" s="13"/>
      <c r="M334" s="13"/>
      <c r="N334" s="11"/>
      <c r="O334" s="11"/>
      <c r="P334" s="11"/>
      <c r="Q334" s="11"/>
      <c r="R334" s="11"/>
      <c r="S334" s="11"/>
      <c r="T334" s="11"/>
      <c r="U334" s="14" t="str">
        <f t="shared" si="12"/>
        <v/>
      </c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4"/>
      <c r="AL334" s="16"/>
      <c r="AM334" s="11"/>
      <c r="AN334" s="11"/>
      <c r="AO334" s="11"/>
      <c r="AP334" s="17">
        <f t="shared" si="13"/>
        <v>12</v>
      </c>
      <c r="AQ334" s="17">
        <f t="shared" si="14"/>
        <v>1899</v>
      </c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</row>
    <row r="335">
      <c r="A335" s="11"/>
      <c r="B335" s="130"/>
      <c r="C335" s="11"/>
      <c r="D335" s="14" t="str">
        <f>CONCAT(Concat(C335, ", "), A334)</f>
        <v>, </v>
      </c>
      <c r="E335" s="9"/>
      <c r="F335" s="9"/>
      <c r="G335" s="10">
        <f t="shared" si="11"/>
        <v>126.1643836</v>
      </c>
      <c r="H335" s="11"/>
      <c r="I335" s="11"/>
      <c r="J335" s="11"/>
      <c r="K335" s="11"/>
      <c r="L335" s="13"/>
      <c r="M335" s="13"/>
      <c r="N335" s="11"/>
      <c r="O335" s="11"/>
      <c r="P335" s="11"/>
      <c r="Q335" s="11"/>
      <c r="R335" s="11"/>
      <c r="S335" s="11"/>
      <c r="T335" s="11"/>
      <c r="U335" s="14" t="str">
        <f t="shared" si="12"/>
        <v/>
      </c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4"/>
      <c r="AL335" s="16"/>
      <c r="AM335" s="11"/>
      <c r="AN335" s="11"/>
      <c r="AO335" s="11"/>
      <c r="AP335" s="17">
        <f t="shared" si="13"/>
        <v>12</v>
      </c>
      <c r="AQ335" s="17">
        <f t="shared" si="14"/>
        <v>1899</v>
      </c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</row>
    <row r="336">
      <c r="A336" s="11"/>
      <c r="B336" s="11"/>
      <c r="C336" s="11"/>
      <c r="D336" s="14" t="str">
        <f t="shared" ref="D336:D342" si="15">CONCAT(Concat(C336, ", "), B336)</f>
        <v>, </v>
      </c>
      <c r="E336" s="9"/>
      <c r="F336" s="9"/>
      <c r="G336" s="10">
        <f t="shared" si="11"/>
        <v>126.1643836</v>
      </c>
      <c r="H336" s="11"/>
      <c r="I336" s="11"/>
      <c r="J336" s="11"/>
      <c r="K336" s="11"/>
      <c r="L336" s="13"/>
      <c r="M336" s="13"/>
      <c r="N336" s="11"/>
      <c r="O336" s="11"/>
      <c r="P336" s="11"/>
      <c r="Q336" s="11"/>
      <c r="R336" s="11"/>
      <c r="S336" s="11"/>
      <c r="T336" s="11"/>
      <c r="U336" s="14" t="str">
        <f t="shared" si="12"/>
        <v/>
      </c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4"/>
      <c r="AL336" s="16"/>
      <c r="AM336" s="11"/>
      <c r="AN336" s="11"/>
      <c r="AO336" s="11"/>
      <c r="AP336" s="17">
        <f t="shared" si="13"/>
        <v>12</v>
      </c>
      <c r="AQ336" s="17">
        <f t="shared" si="14"/>
        <v>1899</v>
      </c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</row>
    <row r="337">
      <c r="A337" s="11"/>
      <c r="B337" s="11"/>
      <c r="C337" s="11"/>
      <c r="D337" s="14" t="str">
        <f t="shared" si="15"/>
        <v>, </v>
      </c>
      <c r="E337" s="9"/>
      <c r="F337" s="9"/>
      <c r="G337" s="10">
        <f t="shared" si="11"/>
        <v>126.1643836</v>
      </c>
      <c r="H337" s="11"/>
      <c r="I337" s="11"/>
      <c r="J337" s="11"/>
      <c r="K337" s="11"/>
      <c r="L337" s="13"/>
      <c r="M337" s="13"/>
      <c r="N337" s="11"/>
      <c r="O337" s="11"/>
      <c r="P337" s="11"/>
      <c r="Q337" s="11"/>
      <c r="R337" s="11"/>
      <c r="S337" s="11"/>
      <c r="T337" s="11"/>
      <c r="U337" s="14" t="str">
        <f t="shared" si="12"/>
        <v/>
      </c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4"/>
      <c r="AL337" s="16"/>
      <c r="AM337" s="11"/>
      <c r="AN337" s="11"/>
      <c r="AO337" s="11"/>
      <c r="AP337" s="17">
        <f t="shared" si="13"/>
        <v>12</v>
      </c>
      <c r="AQ337" s="17">
        <f t="shared" si="14"/>
        <v>1899</v>
      </c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</row>
    <row r="338">
      <c r="A338" s="11"/>
      <c r="B338" s="11"/>
      <c r="C338" s="11"/>
      <c r="D338" s="14" t="str">
        <f t="shared" si="15"/>
        <v>, </v>
      </c>
      <c r="E338" s="9"/>
      <c r="F338" s="9"/>
      <c r="G338" s="10">
        <f t="shared" si="11"/>
        <v>126.1643836</v>
      </c>
      <c r="H338" s="11"/>
      <c r="I338" s="11"/>
      <c r="J338" s="11"/>
      <c r="K338" s="11"/>
      <c r="L338" s="13"/>
      <c r="M338" s="13"/>
      <c r="N338" s="11"/>
      <c r="O338" s="11"/>
      <c r="P338" s="11"/>
      <c r="Q338" s="11"/>
      <c r="R338" s="11"/>
      <c r="S338" s="11"/>
      <c r="T338" s="11"/>
      <c r="U338" s="14" t="str">
        <f t="shared" si="12"/>
        <v/>
      </c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4"/>
      <c r="AL338" s="16"/>
      <c r="AM338" s="11"/>
      <c r="AN338" s="11"/>
      <c r="AO338" s="11"/>
      <c r="AP338" s="17">
        <f t="shared" si="13"/>
        <v>12</v>
      </c>
      <c r="AQ338" s="17">
        <f t="shared" si="14"/>
        <v>1899</v>
      </c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</row>
    <row r="339">
      <c r="A339" s="11"/>
      <c r="B339" s="11"/>
      <c r="C339" s="11"/>
      <c r="D339" s="14" t="str">
        <f t="shared" si="15"/>
        <v>, </v>
      </c>
      <c r="E339" s="9"/>
      <c r="F339" s="9"/>
      <c r="G339" s="10">
        <f t="shared" si="11"/>
        <v>126.1643836</v>
      </c>
      <c r="H339" s="11"/>
      <c r="I339" s="11"/>
      <c r="J339" s="11"/>
      <c r="K339" s="11"/>
      <c r="L339" s="13"/>
      <c r="M339" s="13"/>
      <c r="N339" s="11"/>
      <c r="O339" s="11"/>
      <c r="P339" s="11"/>
      <c r="Q339" s="11"/>
      <c r="R339" s="11"/>
      <c r="S339" s="11"/>
      <c r="T339" s="11"/>
      <c r="U339" s="14" t="str">
        <f t="shared" si="12"/>
        <v/>
      </c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4"/>
      <c r="AL339" s="16"/>
      <c r="AM339" s="11"/>
      <c r="AN339" s="11"/>
      <c r="AO339" s="11"/>
      <c r="AP339" s="17">
        <f t="shared" si="13"/>
        <v>12</v>
      </c>
      <c r="AQ339" s="17">
        <f t="shared" si="14"/>
        <v>1899</v>
      </c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</row>
    <row r="340">
      <c r="A340" s="11"/>
      <c r="B340" s="11"/>
      <c r="C340" s="11"/>
      <c r="D340" s="14" t="str">
        <f t="shared" si="15"/>
        <v>, </v>
      </c>
      <c r="E340" s="9"/>
      <c r="F340" s="9"/>
      <c r="G340" s="10">
        <f t="shared" si="11"/>
        <v>126.1643836</v>
      </c>
      <c r="H340" s="11"/>
      <c r="I340" s="11"/>
      <c r="J340" s="11"/>
      <c r="K340" s="11"/>
      <c r="L340" s="13"/>
      <c r="M340" s="13"/>
      <c r="N340" s="11"/>
      <c r="O340" s="11"/>
      <c r="P340" s="11"/>
      <c r="Q340" s="11"/>
      <c r="R340" s="11"/>
      <c r="S340" s="11"/>
      <c r="T340" s="11"/>
      <c r="U340" s="14" t="str">
        <f t="shared" si="12"/>
        <v/>
      </c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4"/>
      <c r="AL340" s="16"/>
      <c r="AM340" s="11"/>
      <c r="AN340" s="11"/>
      <c r="AO340" s="11"/>
      <c r="AP340" s="17">
        <f t="shared" si="13"/>
        <v>12</v>
      </c>
      <c r="AQ340" s="17">
        <f t="shared" si="14"/>
        <v>1899</v>
      </c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</row>
    <row r="341">
      <c r="A341" s="11"/>
      <c r="B341" s="11"/>
      <c r="C341" s="11"/>
      <c r="D341" s="14" t="str">
        <f t="shared" si="15"/>
        <v>, </v>
      </c>
      <c r="E341" s="9"/>
      <c r="F341" s="9"/>
      <c r="G341" s="10">
        <f t="shared" si="11"/>
        <v>126.1643836</v>
      </c>
      <c r="H341" s="11"/>
      <c r="I341" s="11"/>
      <c r="J341" s="11"/>
      <c r="K341" s="11"/>
      <c r="L341" s="13"/>
      <c r="M341" s="13"/>
      <c r="N341" s="11"/>
      <c r="O341" s="11"/>
      <c r="P341" s="11"/>
      <c r="Q341" s="11"/>
      <c r="R341" s="11"/>
      <c r="S341" s="11"/>
      <c r="T341" s="11"/>
      <c r="U341" s="14" t="str">
        <f t="shared" si="12"/>
        <v/>
      </c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4"/>
      <c r="AL341" s="16"/>
      <c r="AM341" s="11"/>
      <c r="AN341" s="11"/>
      <c r="AO341" s="11"/>
      <c r="AP341" s="17">
        <f t="shared" si="13"/>
        <v>12</v>
      </c>
      <c r="AQ341" s="17">
        <f t="shared" si="14"/>
        <v>1899</v>
      </c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</row>
    <row r="342">
      <c r="A342" s="11"/>
      <c r="B342" s="11"/>
      <c r="C342" s="11"/>
      <c r="D342" s="14" t="str">
        <f t="shared" si="15"/>
        <v>, </v>
      </c>
      <c r="E342" s="9"/>
      <c r="F342" s="9"/>
      <c r="G342" s="10">
        <f t="shared" si="11"/>
        <v>126.1643836</v>
      </c>
      <c r="H342" s="11"/>
      <c r="I342" s="11"/>
      <c r="J342" s="11"/>
      <c r="K342" s="11"/>
      <c r="L342" s="13"/>
      <c r="M342" s="13"/>
      <c r="N342" s="11"/>
      <c r="O342" s="11"/>
      <c r="P342" s="11"/>
      <c r="Q342" s="11"/>
      <c r="R342" s="11"/>
      <c r="S342" s="11"/>
      <c r="T342" s="11"/>
      <c r="U342" s="14" t="str">
        <f t="shared" si="12"/>
        <v/>
      </c>
      <c r="V342" s="11"/>
      <c r="W342" s="11"/>
      <c r="X342" s="11"/>
      <c r="Y342" s="11"/>
      <c r="Z342" s="11"/>
      <c r="AA342" s="11"/>
      <c r="AB342" s="117"/>
      <c r="AC342" s="11"/>
      <c r="AD342" s="11"/>
      <c r="AE342" s="11"/>
      <c r="AF342" s="11"/>
      <c r="AG342" s="11"/>
      <c r="AH342" s="11"/>
      <c r="AI342" s="11"/>
      <c r="AJ342" s="11"/>
      <c r="AK342" s="14"/>
      <c r="AL342" s="16"/>
      <c r="AM342" s="11"/>
      <c r="AN342" s="11"/>
      <c r="AO342" s="11"/>
      <c r="AP342" s="17">
        <f t="shared" si="13"/>
        <v>12</v>
      </c>
      <c r="AQ342" s="17">
        <f t="shared" si="14"/>
        <v>1899</v>
      </c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</row>
  </sheetData>
  <autoFilter ref="$A$4:$AQ$342">
    <sortState ref="A4:AQ342">
      <sortCondition ref="A4:A342"/>
      <sortCondition descending="1" ref="D4:D342"/>
      <sortCondition descending="1" ref="AQ4:AQ342"/>
      <sortCondition descending="1" ref="U4:U342"/>
      <sortCondition descending="1" ref="H4:H342"/>
      <sortCondition descending="1" ref="G4:G342"/>
      <sortCondition descending="1" ref="B4:B342"/>
      <sortCondition ref="C4:C342"/>
      <sortCondition ref="AP4:AP342"/>
      <sortCondition descending="1" ref="E4:E342"/>
      <sortCondition descending="1" ref="L4:L342"/>
      <sortCondition ref="N4:N342"/>
      <sortCondition ref="O4:O342"/>
      <sortCondition ref="I4:I342"/>
    </sortState>
  </autoFilter>
  <conditionalFormatting sqref="AK56 AK58:AK65 AK67:AK164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342">
    <cfRule type="expression" dxfId="0" priority="2">
      <formula>COUNTIF(D:D, D1)&gt;1</formula>
    </cfRule>
  </conditionalFormatting>
  <hyperlinks>
    <hyperlink r:id="rId2" ref="AB44"/>
  </hyperlinks>
  <printOptions gridLines="1"/>
  <pageMargins bottom="0.75" footer="0.0" header="0.0" left="0.7" right="0.7" top="0.75"/>
  <pageSetup fitToHeight="0" orientation="landscape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71"/>
    <col customWidth="1" min="3" max="7" width="22.43"/>
  </cols>
  <sheetData>
    <row r="3">
      <c r="B3" s="131" t="s">
        <v>490</v>
      </c>
      <c r="C3" s="131" t="s">
        <v>772</v>
      </c>
      <c r="D3" s="131" t="s">
        <v>773</v>
      </c>
      <c r="E3" s="131" t="s">
        <v>774</v>
      </c>
      <c r="F3" s="131" t="s">
        <v>775</v>
      </c>
      <c r="G3" s="131" t="s">
        <v>776</v>
      </c>
    </row>
    <row r="4" ht="29.25" customHeight="1">
      <c r="B4" s="132" t="s">
        <v>626</v>
      </c>
      <c r="C4" s="133">
        <v>5.0</v>
      </c>
      <c r="D4" s="133">
        <v>3.0</v>
      </c>
      <c r="E4" s="133">
        <v>5.0</v>
      </c>
      <c r="F4" s="133">
        <v>3.0</v>
      </c>
      <c r="G4" s="133">
        <v>2.0</v>
      </c>
    </row>
    <row r="5" ht="29.25" customHeight="1">
      <c r="B5" s="132" t="s">
        <v>550</v>
      </c>
      <c r="C5" s="133">
        <v>5.0</v>
      </c>
      <c r="D5" s="133">
        <v>4.0</v>
      </c>
      <c r="E5" s="133">
        <v>5.0</v>
      </c>
      <c r="F5" s="133">
        <v>5.0</v>
      </c>
      <c r="G5" s="133">
        <v>3.0</v>
      </c>
    </row>
    <row r="6" ht="29.25" customHeight="1">
      <c r="B6" s="132" t="s">
        <v>493</v>
      </c>
      <c r="C6" s="133">
        <v>9.0</v>
      </c>
      <c r="D6" s="133">
        <v>7.0</v>
      </c>
      <c r="E6" s="133">
        <v>8.0</v>
      </c>
      <c r="F6" s="133">
        <v>6.0</v>
      </c>
      <c r="G6" s="133">
        <v>6.0</v>
      </c>
    </row>
    <row r="7" ht="29.25" customHeight="1">
      <c r="B7" s="132" t="s">
        <v>600</v>
      </c>
      <c r="C7" s="133">
        <v>3.0</v>
      </c>
      <c r="D7" s="133">
        <v>2.0</v>
      </c>
      <c r="E7" s="133">
        <v>1.0</v>
      </c>
      <c r="F7" s="133">
        <v>2.0</v>
      </c>
      <c r="G7" s="133">
        <v>1.0</v>
      </c>
    </row>
    <row r="8" ht="29.25" customHeight="1">
      <c r="B8" s="132" t="s">
        <v>591</v>
      </c>
      <c r="C8" s="132">
        <v>8.0</v>
      </c>
      <c r="D8" s="132">
        <v>7.0</v>
      </c>
      <c r="E8" s="132">
        <v>10.0</v>
      </c>
      <c r="F8" s="132">
        <v>6.0</v>
      </c>
      <c r="G8" s="132">
        <v>7.0</v>
      </c>
    </row>
    <row r="9">
      <c r="B9" s="134" t="s">
        <v>496</v>
      </c>
      <c r="C9" s="134">
        <v>30.0</v>
      </c>
      <c r="D9" s="134">
        <v>23.0</v>
      </c>
      <c r="E9" s="134">
        <v>29.0</v>
      </c>
      <c r="F9" s="134">
        <v>22.0</v>
      </c>
      <c r="G9" s="134">
        <v>19.0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E5E5E"/>
    <outlinePr summaryBelow="0" summaryRight="0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4.0"/>
    <col customWidth="1" min="2" max="2" width="13.71"/>
    <col customWidth="1" min="3" max="42" width="9.86"/>
    <col customWidth="1" min="43" max="128" width="23.14"/>
  </cols>
  <sheetData>
    <row r="1" ht="27.75" customHeight="1">
      <c r="A1" s="135"/>
      <c r="B1" s="135"/>
      <c r="C1" s="136" t="s">
        <v>777</v>
      </c>
      <c r="AQ1" s="137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138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138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  <c r="CF1" s="138"/>
      <c r="CG1" s="138"/>
      <c r="CH1" s="138"/>
      <c r="CI1" s="138"/>
      <c r="CJ1" s="138"/>
      <c r="CK1" s="138"/>
      <c r="CL1" s="138"/>
      <c r="CM1" s="138"/>
      <c r="CN1" s="138"/>
      <c r="CO1" s="138"/>
      <c r="CP1" s="138"/>
      <c r="CQ1" s="138"/>
      <c r="CR1" s="138"/>
      <c r="CS1" s="138"/>
      <c r="CT1" s="138"/>
      <c r="CU1" s="138"/>
      <c r="CV1" s="138"/>
      <c r="CW1" s="138"/>
      <c r="CX1" s="138"/>
      <c r="CY1" s="138"/>
      <c r="CZ1" s="138"/>
      <c r="DA1" s="138"/>
      <c r="DB1" s="138"/>
      <c r="DC1" s="138"/>
      <c r="DD1" s="138"/>
      <c r="DE1" s="138"/>
      <c r="DF1" s="138"/>
      <c r="DG1" s="138"/>
      <c r="DH1" s="138"/>
      <c r="DI1" s="138"/>
      <c r="DJ1" s="138"/>
      <c r="DK1" s="138"/>
      <c r="DL1" s="138"/>
      <c r="DM1" s="138"/>
      <c r="DN1" s="138"/>
      <c r="DO1" s="138"/>
      <c r="DP1" s="138"/>
      <c r="DQ1" s="138"/>
      <c r="DR1" s="138"/>
      <c r="DS1" s="138"/>
      <c r="DT1" s="138"/>
      <c r="DU1" s="138"/>
      <c r="DV1" s="138"/>
      <c r="DW1" s="138"/>
      <c r="DX1" s="138"/>
    </row>
    <row r="2" ht="31.5" customHeight="1">
      <c r="A2" s="139" t="s">
        <v>778</v>
      </c>
      <c r="B2" s="139" t="s">
        <v>779</v>
      </c>
      <c r="C2" s="140" t="s">
        <v>780</v>
      </c>
      <c r="D2" s="141"/>
      <c r="E2" s="141"/>
      <c r="F2" s="141"/>
      <c r="G2" s="142"/>
      <c r="H2" s="143" t="s">
        <v>781</v>
      </c>
      <c r="I2" s="141"/>
      <c r="J2" s="141"/>
      <c r="K2" s="141"/>
      <c r="L2" s="142"/>
      <c r="M2" s="143" t="s">
        <v>782</v>
      </c>
      <c r="N2" s="141"/>
      <c r="O2" s="141"/>
      <c r="P2" s="141"/>
      <c r="Q2" s="142"/>
      <c r="R2" s="143" t="s">
        <v>783</v>
      </c>
      <c r="S2" s="141"/>
      <c r="T2" s="141"/>
      <c r="U2" s="141"/>
      <c r="V2" s="142"/>
      <c r="W2" s="143" t="s">
        <v>784</v>
      </c>
      <c r="X2" s="141"/>
      <c r="Y2" s="141"/>
      <c r="Z2" s="141"/>
      <c r="AA2" s="142"/>
      <c r="AB2" s="143" t="s">
        <v>785</v>
      </c>
      <c r="AC2" s="141"/>
      <c r="AD2" s="141"/>
      <c r="AE2" s="141"/>
      <c r="AF2" s="142"/>
      <c r="AG2" s="143" t="s">
        <v>786</v>
      </c>
      <c r="AH2" s="141"/>
      <c r="AI2" s="141"/>
      <c r="AJ2" s="141"/>
      <c r="AK2" s="142"/>
      <c r="AL2" s="143" t="s">
        <v>787</v>
      </c>
      <c r="AM2" s="141"/>
      <c r="AN2" s="141"/>
      <c r="AO2" s="141"/>
      <c r="AP2" s="144"/>
      <c r="AQ2" s="145"/>
      <c r="AR2" s="146"/>
      <c r="AS2" s="146"/>
      <c r="AT2" s="146"/>
      <c r="AU2" s="146"/>
      <c r="AV2" s="146"/>
      <c r="AW2" s="146"/>
      <c r="AX2" s="146"/>
      <c r="AY2" s="146"/>
      <c r="AZ2" s="146"/>
      <c r="BA2" s="146"/>
      <c r="BB2" s="146"/>
      <c r="BC2" s="146"/>
      <c r="BD2" s="146"/>
      <c r="BE2" s="146"/>
      <c r="BF2" s="146"/>
      <c r="BG2" s="146"/>
      <c r="BH2" s="146"/>
      <c r="BI2" s="146"/>
      <c r="BJ2" s="146"/>
      <c r="BK2" s="146"/>
      <c r="BL2" s="146"/>
      <c r="BM2" s="146"/>
      <c r="BN2" s="146"/>
      <c r="BO2" s="146"/>
      <c r="BP2" s="146"/>
      <c r="BQ2" s="146"/>
      <c r="BR2" s="146"/>
      <c r="BS2" s="146"/>
      <c r="BT2" s="146"/>
      <c r="BU2" s="146"/>
      <c r="BV2" s="146"/>
      <c r="BW2" s="146"/>
      <c r="BX2" s="146"/>
      <c r="BY2" s="146"/>
      <c r="BZ2" s="146"/>
      <c r="CA2" s="146"/>
      <c r="CB2" s="146"/>
      <c r="CC2" s="146"/>
      <c r="CD2" s="146"/>
      <c r="CE2" s="146"/>
      <c r="CF2" s="146"/>
      <c r="CG2" s="146"/>
      <c r="CH2" s="146"/>
      <c r="CI2" s="146"/>
      <c r="CJ2" s="146"/>
      <c r="CK2" s="146"/>
      <c r="CL2" s="146"/>
      <c r="CM2" s="146"/>
      <c r="CN2" s="146"/>
      <c r="CO2" s="146"/>
      <c r="CP2" s="146"/>
      <c r="CQ2" s="146"/>
      <c r="CR2" s="146"/>
      <c r="CS2" s="146"/>
      <c r="CT2" s="146"/>
      <c r="CU2" s="146"/>
      <c r="CV2" s="146"/>
      <c r="CW2" s="146"/>
      <c r="CX2" s="146"/>
      <c r="CY2" s="146"/>
      <c r="CZ2" s="146"/>
      <c r="DA2" s="146"/>
      <c r="DB2" s="146"/>
      <c r="DC2" s="146"/>
      <c r="DD2" s="146"/>
      <c r="DE2" s="146"/>
      <c r="DF2" s="146"/>
      <c r="DG2" s="146"/>
      <c r="DH2" s="146"/>
      <c r="DI2" s="146"/>
      <c r="DJ2" s="146"/>
      <c r="DK2" s="146"/>
      <c r="DL2" s="146"/>
      <c r="DM2" s="146"/>
      <c r="DN2" s="146"/>
      <c r="DO2" s="146"/>
      <c r="DP2" s="146"/>
      <c r="DQ2" s="146"/>
      <c r="DR2" s="146"/>
      <c r="DS2" s="146"/>
      <c r="DT2" s="146"/>
      <c r="DU2" s="146"/>
      <c r="DV2" s="146"/>
      <c r="DW2" s="146"/>
      <c r="DX2" s="146"/>
    </row>
    <row r="3" ht="30.75" customHeight="1">
      <c r="C3" s="3" t="str">
        <f t="shared" ref="C3:AP3" si="1">SUBSTITUTE(C4, "SUM of ", "")</f>
        <v>6/30</v>
      </c>
      <c r="D3" s="147" t="str">
        <f t="shared" si="1"/>
        <v>7/1</v>
      </c>
      <c r="E3" s="147" t="str">
        <f t="shared" si="1"/>
        <v>7/2</v>
      </c>
      <c r="F3" s="147" t="str">
        <f t="shared" si="1"/>
        <v>7/3</v>
      </c>
      <c r="G3" s="148" t="str">
        <f t="shared" si="1"/>
        <v>7/4</v>
      </c>
      <c r="H3" s="149" t="str">
        <f t="shared" si="1"/>
        <v>7/7</v>
      </c>
      <c r="I3" s="147" t="str">
        <f t="shared" si="1"/>
        <v>7/8</v>
      </c>
      <c r="J3" s="147" t="str">
        <f t="shared" si="1"/>
        <v>7/9</v>
      </c>
      <c r="K3" s="147" t="str">
        <f t="shared" si="1"/>
        <v>7/10</v>
      </c>
      <c r="L3" s="148" t="str">
        <f t="shared" si="1"/>
        <v>7/11</v>
      </c>
      <c r="M3" s="149" t="str">
        <f t="shared" si="1"/>
        <v>7/14</v>
      </c>
      <c r="N3" s="147" t="str">
        <f t="shared" si="1"/>
        <v>7/15</v>
      </c>
      <c r="O3" s="147" t="str">
        <f t="shared" si="1"/>
        <v>7/16</v>
      </c>
      <c r="P3" s="147" t="str">
        <f t="shared" si="1"/>
        <v>7/17</v>
      </c>
      <c r="Q3" s="148" t="str">
        <f t="shared" si="1"/>
        <v>7/18</v>
      </c>
      <c r="R3" s="149" t="str">
        <f t="shared" si="1"/>
        <v>7/21</v>
      </c>
      <c r="S3" s="147" t="str">
        <f t="shared" si="1"/>
        <v>7/22</v>
      </c>
      <c r="T3" s="147" t="str">
        <f t="shared" si="1"/>
        <v>7/23</v>
      </c>
      <c r="U3" s="147" t="str">
        <f t="shared" si="1"/>
        <v>7/24</v>
      </c>
      <c r="V3" s="148" t="str">
        <f t="shared" si="1"/>
        <v>7/25</v>
      </c>
      <c r="W3" s="149" t="str">
        <f t="shared" si="1"/>
        <v>7/28</v>
      </c>
      <c r="X3" s="147" t="str">
        <f t="shared" si="1"/>
        <v>7/29</v>
      </c>
      <c r="Y3" s="147" t="str">
        <f t="shared" si="1"/>
        <v>7/30</v>
      </c>
      <c r="Z3" s="147" t="str">
        <f t="shared" si="1"/>
        <v>7/31</v>
      </c>
      <c r="AA3" s="148" t="str">
        <f t="shared" si="1"/>
        <v>8/1</v>
      </c>
      <c r="AB3" s="149" t="str">
        <f t="shared" si="1"/>
        <v>8/4</v>
      </c>
      <c r="AC3" s="147" t="str">
        <f t="shared" si="1"/>
        <v>8/5</v>
      </c>
      <c r="AD3" s="147" t="str">
        <f t="shared" si="1"/>
        <v>8/6</v>
      </c>
      <c r="AE3" s="147" t="str">
        <f t="shared" si="1"/>
        <v>8/7</v>
      </c>
      <c r="AF3" s="148" t="str">
        <f t="shared" si="1"/>
        <v>8/8</v>
      </c>
      <c r="AG3" s="149" t="str">
        <f t="shared" si="1"/>
        <v>8/11</v>
      </c>
      <c r="AH3" s="147" t="str">
        <f t="shared" si="1"/>
        <v>8/12</v>
      </c>
      <c r="AI3" s="147" t="str">
        <f t="shared" si="1"/>
        <v>8/13</v>
      </c>
      <c r="AJ3" s="147" t="str">
        <f t="shared" si="1"/>
        <v>8/14</v>
      </c>
      <c r="AK3" s="148" t="str">
        <f t="shared" si="1"/>
        <v>8/15</v>
      </c>
      <c r="AL3" s="149" t="str">
        <f t="shared" si="1"/>
        <v>8/18</v>
      </c>
      <c r="AM3" s="147" t="str">
        <f t="shared" si="1"/>
        <v>8/19</v>
      </c>
      <c r="AN3" s="147" t="str">
        <f t="shared" si="1"/>
        <v>8/20</v>
      </c>
      <c r="AO3" s="147" t="str">
        <f t="shared" si="1"/>
        <v>8/21</v>
      </c>
      <c r="AP3" s="150" t="str">
        <f t="shared" si="1"/>
        <v>8/22</v>
      </c>
      <c r="AQ3" s="145"/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6"/>
      <c r="BF3" s="146"/>
      <c r="BG3" s="146"/>
      <c r="BH3" s="146"/>
      <c r="BI3" s="146"/>
      <c r="BJ3" s="146"/>
      <c r="BK3" s="146"/>
      <c r="BL3" s="146"/>
      <c r="BM3" s="146"/>
      <c r="BN3" s="146"/>
      <c r="BO3" s="146"/>
      <c r="BP3" s="146"/>
      <c r="BQ3" s="146"/>
      <c r="BR3" s="146"/>
      <c r="BS3" s="146"/>
      <c r="BT3" s="146"/>
      <c r="BU3" s="146"/>
      <c r="BV3" s="146"/>
      <c r="BW3" s="146"/>
      <c r="BX3" s="146"/>
      <c r="BY3" s="146"/>
      <c r="BZ3" s="146"/>
      <c r="CA3" s="146"/>
      <c r="CB3" s="146"/>
      <c r="CC3" s="146"/>
      <c r="CD3" s="146"/>
      <c r="CE3" s="146"/>
      <c r="CF3" s="146"/>
      <c r="CG3" s="146"/>
      <c r="CH3" s="146"/>
      <c r="CI3" s="146"/>
      <c r="CJ3" s="146"/>
      <c r="CK3" s="146"/>
      <c r="CL3" s="146"/>
      <c r="CM3" s="146"/>
      <c r="CN3" s="146"/>
      <c r="CO3" s="146"/>
      <c r="CP3" s="146"/>
      <c r="CQ3" s="146"/>
      <c r="CR3" s="146"/>
      <c r="CS3" s="146"/>
      <c r="CT3" s="146"/>
      <c r="CU3" s="146"/>
      <c r="CV3" s="146"/>
      <c r="CW3" s="146"/>
      <c r="CX3" s="146"/>
      <c r="CY3" s="146"/>
      <c r="CZ3" s="146"/>
      <c r="DA3" s="146"/>
      <c r="DB3" s="146"/>
      <c r="DC3" s="146"/>
      <c r="DD3" s="146"/>
      <c r="DE3" s="146"/>
      <c r="DF3" s="146"/>
      <c r="DG3" s="146"/>
      <c r="DH3" s="146"/>
      <c r="DI3" s="146"/>
      <c r="DJ3" s="146"/>
      <c r="DK3" s="146"/>
      <c r="DL3" s="146"/>
      <c r="DM3" s="146"/>
      <c r="DN3" s="146"/>
      <c r="DO3" s="146"/>
      <c r="DP3" s="146"/>
      <c r="DQ3" s="146"/>
      <c r="DR3" s="146"/>
      <c r="DS3" s="146"/>
      <c r="DT3" s="146"/>
      <c r="DU3" s="146"/>
      <c r="DV3" s="146"/>
      <c r="DW3" s="146"/>
      <c r="DX3" s="146"/>
    </row>
    <row r="4">
      <c r="A4" s="151" t="s">
        <v>490</v>
      </c>
      <c r="B4" s="152" t="s">
        <v>788</v>
      </c>
      <c r="C4" s="153" t="s">
        <v>789</v>
      </c>
      <c r="D4" s="154" t="s">
        <v>790</v>
      </c>
      <c r="E4" s="154" t="s">
        <v>791</v>
      </c>
      <c r="F4" s="154" t="s">
        <v>792</v>
      </c>
      <c r="G4" s="155" t="s">
        <v>793</v>
      </c>
      <c r="H4" s="156" t="s">
        <v>794</v>
      </c>
      <c r="I4" s="154" t="s">
        <v>795</v>
      </c>
      <c r="J4" s="154" t="s">
        <v>796</v>
      </c>
      <c r="K4" s="154" t="s">
        <v>797</v>
      </c>
      <c r="L4" s="155" t="s">
        <v>798</v>
      </c>
      <c r="M4" s="156" t="s">
        <v>799</v>
      </c>
      <c r="N4" s="154" t="s">
        <v>800</v>
      </c>
      <c r="O4" s="154" t="s">
        <v>801</v>
      </c>
      <c r="P4" s="154" t="s">
        <v>802</v>
      </c>
      <c r="Q4" s="155" t="s">
        <v>803</v>
      </c>
      <c r="R4" s="156" t="s">
        <v>804</v>
      </c>
      <c r="S4" s="154" t="s">
        <v>805</v>
      </c>
      <c r="T4" s="154" t="s">
        <v>806</v>
      </c>
      <c r="U4" s="154" t="s">
        <v>807</v>
      </c>
      <c r="V4" s="155" t="s">
        <v>808</v>
      </c>
      <c r="W4" s="156" t="s">
        <v>809</v>
      </c>
      <c r="X4" s="154" t="s">
        <v>810</v>
      </c>
      <c r="Y4" s="154" t="s">
        <v>811</v>
      </c>
      <c r="Z4" s="154" t="s">
        <v>812</v>
      </c>
      <c r="AA4" s="155" t="s">
        <v>813</v>
      </c>
      <c r="AB4" s="156" t="s">
        <v>814</v>
      </c>
      <c r="AC4" s="154" t="s">
        <v>815</v>
      </c>
      <c r="AD4" s="154" t="s">
        <v>816</v>
      </c>
      <c r="AE4" s="154" t="s">
        <v>817</v>
      </c>
      <c r="AF4" s="155" t="s">
        <v>818</v>
      </c>
      <c r="AG4" s="156" t="s">
        <v>819</v>
      </c>
      <c r="AH4" s="154" t="s">
        <v>820</v>
      </c>
      <c r="AI4" s="154" t="s">
        <v>821</v>
      </c>
      <c r="AJ4" s="154" t="s">
        <v>822</v>
      </c>
      <c r="AK4" s="155" t="s">
        <v>823</v>
      </c>
      <c r="AL4" s="156" t="s">
        <v>824</v>
      </c>
      <c r="AM4" s="154" t="s">
        <v>825</v>
      </c>
      <c r="AN4" s="154" t="s">
        <v>826</v>
      </c>
      <c r="AO4" s="154" t="s">
        <v>827</v>
      </c>
      <c r="AP4" s="157" t="s">
        <v>828</v>
      </c>
      <c r="AQ4" s="158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59"/>
      <c r="BO4" s="159"/>
      <c r="BP4" s="159"/>
      <c r="BQ4" s="159"/>
      <c r="BR4" s="159"/>
      <c r="BS4" s="159"/>
      <c r="BT4" s="159"/>
      <c r="BU4" s="159"/>
      <c r="BV4" s="159"/>
      <c r="BW4" s="159"/>
      <c r="BX4" s="159"/>
      <c r="BY4" s="159"/>
      <c r="BZ4" s="159"/>
      <c r="CA4" s="159"/>
      <c r="CB4" s="159"/>
      <c r="CC4" s="159"/>
      <c r="CD4" s="159"/>
      <c r="CE4" s="159"/>
      <c r="CF4" s="159"/>
      <c r="CG4" s="159"/>
      <c r="CH4" s="159"/>
      <c r="CI4" s="159"/>
      <c r="CJ4" s="159"/>
      <c r="CK4" s="159"/>
      <c r="CL4" s="159"/>
      <c r="CM4" s="159"/>
      <c r="CN4" s="159"/>
      <c r="CO4" s="159"/>
      <c r="CP4" s="159"/>
      <c r="CQ4" s="159"/>
      <c r="CR4" s="159"/>
      <c r="CS4" s="159"/>
      <c r="CT4" s="159"/>
      <c r="CU4" s="159"/>
      <c r="CV4" s="159"/>
      <c r="CW4" s="159"/>
      <c r="CX4" s="159"/>
      <c r="CY4" s="159"/>
      <c r="CZ4" s="159"/>
      <c r="DA4" s="159"/>
      <c r="DB4" s="159"/>
      <c r="DC4" s="159"/>
      <c r="DD4" s="159"/>
      <c r="DE4" s="159"/>
      <c r="DF4" s="159"/>
      <c r="DG4" s="159"/>
      <c r="DH4" s="159"/>
      <c r="DI4" s="159"/>
      <c r="DJ4" s="159"/>
      <c r="DK4" s="159"/>
      <c r="DL4" s="159"/>
      <c r="DM4" s="159"/>
      <c r="DN4" s="159"/>
      <c r="DO4" s="159"/>
      <c r="DP4" s="159"/>
      <c r="DQ4" s="159"/>
      <c r="DR4" s="159"/>
      <c r="DS4" s="159"/>
      <c r="DT4" s="159"/>
      <c r="DU4" s="159"/>
      <c r="DV4" s="159"/>
      <c r="DW4" s="159"/>
      <c r="DX4" s="159"/>
    </row>
    <row r="5" ht="41.25" customHeight="1">
      <c r="A5" s="160" t="s">
        <v>161</v>
      </c>
      <c r="B5" s="161">
        <v>4.0</v>
      </c>
      <c r="C5" s="162">
        <v>1.0</v>
      </c>
      <c r="D5" s="163">
        <v>0.0</v>
      </c>
      <c r="E5" s="163">
        <v>1.0</v>
      </c>
      <c r="F5" s="163">
        <v>0.0</v>
      </c>
      <c r="G5" s="164">
        <v>0.0</v>
      </c>
      <c r="H5" s="165">
        <v>3.0</v>
      </c>
      <c r="I5" s="163">
        <v>2.0</v>
      </c>
      <c r="J5" s="163">
        <v>3.0</v>
      </c>
      <c r="K5" s="163">
        <v>2.0</v>
      </c>
      <c r="L5" s="164">
        <v>3.0</v>
      </c>
      <c r="M5" s="165">
        <v>3.0</v>
      </c>
      <c r="N5" s="163">
        <v>2.0</v>
      </c>
      <c r="O5" s="163">
        <v>3.0</v>
      </c>
      <c r="P5" s="163">
        <v>2.0</v>
      </c>
      <c r="Q5" s="164">
        <v>3.0</v>
      </c>
      <c r="R5" s="165">
        <v>3.0</v>
      </c>
      <c r="S5" s="163">
        <v>2.0</v>
      </c>
      <c r="T5" s="163">
        <v>3.0</v>
      </c>
      <c r="U5" s="163">
        <v>2.0</v>
      </c>
      <c r="V5" s="164">
        <v>3.0</v>
      </c>
      <c r="W5" s="165">
        <v>3.0</v>
      </c>
      <c r="X5" s="163">
        <v>2.0</v>
      </c>
      <c r="Y5" s="163">
        <v>3.0</v>
      </c>
      <c r="Z5" s="163">
        <v>2.0</v>
      </c>
      <c r="AA5" s="164">
        <v>3.0</v>
      </c>
      <c r="AB5" s="165">
        <v>3.0</v>
      </c>
      <c r="AC5" s="163">
        <v>2.0</v>
      </c>
      <c r="AD5" s="163">
        <v>3.0</v>
      </c>
      <c r="AE5" s="163">
        <v>2.0</v>
      </c>
      <c r="AF5" s="164">
        <v>3.0</v>
      </c>
      <c r="AG5" s="165">
        <v>3.0</v>
      </c>
      <c r="AH5" s="163">
        <v>2.0</v>
      </c>
      <c r="AI5" s="163">
        <v>3.0</v>
      </c>
      <c r="AJ5" s="163">
        <v>2.0</v>
      </c>
      <c r="AK5" s="164">
        <v>3.0</v>
      </c>
      <c r="AL5" s="165">
        <v>2.0</v>
      </c>
      <c r="AM5" s="163">
        <v>1.0</v>
      </c>
      <c r="AN5" s="163">
        <v>2.0</v>
      </c>
      <c r="AO5" s="163">
        <v>1.0</v>
      </c>
      <c r="AP5" s="166">
        <v>2.0</v>
      </c>
      <c r="AQ5" s="167"/>
      <c r="AR5" s="168"/>
      <c r="AS5" s="168"/>
      <c r="AT5" s="168"/>
      <c r="AU5" s="168"/>
      <c r="AV5" s="168"/>
      <c r="AW5" s="168"/>
      <c r="AX5" s="168"/>
      <c r="AY5" s="168"/>
      <c r="AZ5" s="168"/>
      <c r="BA5" s="168"/>
      <c r="BB5" s="168"/>
      <c r="BC5" s="168"/>
      <c r="BD5" s="168"/>
      <c r="BE5" s="168"/>
      <c r="BF5" s="168"/>
      <c r="BG5" s="168"/>
      <c r="BH5" s="168"/>
      <c r="BI5" s="168"/>
      <c r="BJ5" s="168"/>
      <c r="BK5" s="168"/>
      <c r="BL5" s="168"/>
      <c r="BM5" s="168"/>
      <c r="BN5" s="168"/>
      <c r="BO5" s="168"/>
      <c r="BP5" s="168"/>
      <c r="BQ5" s="168"/>
      <c r="BR5" s="168"/>
      <c r="BS5" s="168"/>
      <c r="BT5" s="168"/>
      <c r="BU5" s="168"/>
      <c r="BV5" s="168"/>
      <c r="BW5" s="168"/>
      <c r="BX5" s="168"/>
      <c r="BY5" s="168"/>
      <c r="BZ5" s="168"/>
      <c r="CA5" s="168"/>
      <c r="CB5" s="168"/>
      <c r="CC5" s="168"/>
      <c r="CD5" s="168"/>
      <c r="CE5" s="168"/>
      <c r="CF5" s="168"/>
      <c r="CG5" s="168"/>
      <c r="CH5" s="168"/>
      <c r="CI5" s="168"/>
      <c r="CJ5" s="168"/>
      <c r="CK5" s="168"/>
      <c r="CL5" s="168"/>
      <c r="CM5" s="168"/>
      <c r="CN5" s="168"/>
      <c r="CO5" s="168"/>
      <c r="CP5" s="168"/>
      <c r="CQ5" s="168"/>
      <c r="CR5" s="168"/>
      <c r="CS5" s="168"/>
      <c r="CT5" s="168"/>
      <c r="CU5" s="168"/>
      <c r="CV5" s="168"/>
      <c r="CW5" s="168"/>
      <c r="CX5" s="168"/>
      <c r="CY5" s="168"/>
      <c r="CZ5" s="168"/>
      <c r="DA5" s="168"/>
      <c r="DB5" s="168"/>
      <c r="DC5" s="168"/>
      <c r="DD5" s="168"/>
      <c r="DE5" s="168"/>
      <c r="DF5" s="168"/>
      <c r="DG5" s="168"/>
      <c r="DH5" s="168"/>
      <c r="DI5" s="168"/>
      <c r="DJ5" s="168"/>
      <c r="DK5" s="168"/>
      <c r="DL5" s="168"/>
      <c r="DM5" s="168"/>
      <c r="DN5" s="168"/>
      <c r="DO5" s="168"/>
      <c r="DP5" s="168"/>
      <c r="DQ5" s="168"/>
      <c r="DR5" s="168"/>
      <c r="DS5" s="168"/>
      <c r="DT5" s="168"/>
      <c r="DU5" s="168"/>
      <c r="DV5" s="168"/>
      <c r="DW5" s="168"/>
      <c r="DX5" s="168"/>
    </row>
    <row r="6" ht="41.25" customHeight="1">
      <c r="A6" s="169" t="s">
        <v>829</v>
      </c>
      <c r="B6" s="170">
        <v>9.0</v>
      </c>
      <c r="C6" s="171">
        <v>2.0</v>
      </c>
      <c r="D6" s="172">
        <v>3.0</v>
      </c>
      <c r="E6" s="172">
        <v>3.0</v>
      </c>
      <c r="F6" s="172">
        <v>2.0</v>
      </c>
      <c r="G6" s="173">
        <v>0.0</v>
      </c>
      <c r="H6" s="174">
        <v>2.0</v>
      </c>
      <c r="I6" s="172">
        <v>8.0</v>
      </c>
      <c r="J6" s="172">
        <v>7.0</v>
      </c>
      <c r="K6" s="172">
        <v>7.0</v>
      </c>
      <c r="L6" s="173">
        <v>1.0</v>
      </c>
      <c r="M6" s="174">
        <v>2.0</v>
      </c>
      <c r="N6" s="172">
        <v>8.0</v>
      </c>
      <c r="O6" s="172">
        <v>7.0</v>
      </c>
      <c r="P6" s="172">
        <v>7.0</v>
      </c>
      <c r="Q6" s="173">
        <v>1.0</v>
      </c>
      <c r="R6" s="174">
        <v>3.0</v>
      </c>
      <c r="S6" s="172">
        <v>9.0</v>
      </c>
      <c r="T6" s="172">
        <v>8.0</v>
      </c>
      <c r="U6" s="172">
        <v>8.0</v>
      </c>
      <c r="V6" s="173">
        <v>2.0</v>
      </c>
      <c r="W6" s="174">
        <v>3.0</v>
      </c>
      <c r="X6" s="172">
        <v>9.0</v>
      </c>
      <c r="Y6" s="172">
        <v>8.0</v>
      </c>
      <c r="Z6" s="172">
        <v>8.0</v>
      </c>
      <c r="AA6" s="173">
        <v>2.0</v>
      </c>
      <c r="AB6" s="174">
        <v>3.0</v>
      </c>
      <c r="AC6" s="172">
        <v>8.0</v>
      </c>
      <c r="AD6" s="172">
        <v>7.0</v>
      </c>
      <c r="AE6" s="172">
        <v>7.0</v>
      </c>
      <c r="AF6" s="173">
        <v>2.0</v>
      </c>
      <c r="AG6" s="174">
        <v>2.0</v>
      </c>
      <c r="AH6" s="172">
        <v>7.0</v>
      </c>
      <c r="AI6" s="172">
        <v>6.0</v>
      </c>
      <c r="AJ6" s="172">
        <v>7.0</v>
      </c>
      <c r="AK6" s="173">
        <v>2.0</v>
      </c>
      <c r="AL6" s="174">
        <v>2.0</v>
      </c>
      <c r="AM6" s="172">
        <v>5.0</v>
      </c>
      <c r="AN6" s="172">
        <v>5.0</v>
      </c>
      <c r="AO6" s="172">
        <v>5.0</v>
      </c>
      <c r="AP6" s="175">
        <v>2.0</v>
      </c>
      <c r="AQ6" s="167"/>
      <c r="AR6" s="168"/>
      <c r="AS6" s="168"/>
      <c r="AT6" s="168"/>
      <c r="AU6" s="168"/>
      <c r="AV6" s="168"/>
      <c r="AW6" s="168"/>
      <c r="AX6" s="168"/>
      <c r="AY6" s="168"/>
      <c r="AZ6" s="168"/>
      <c r="BA6" s="168"/>
      <c r="BB6" s="168"/>
      <c r="BC6" s="168"/>
      <c r="BD6" s="168"/>
      <c r="BE6" s="168"/>
      <c r="BF6" s="168"/>
      <c r="BG6" s="168"/>
      <c r="BH6" s="168"/>
      <c r="BI6" s="168"/>
      <c r="BJ6" s="168"/>
      <c r="BK6" s="168"/>
      <c r="BL6" s="168"/>
      <c r="BM6" s="168"/>
      <c r="BN6" s="168"/>
      <c r="BO6" s="168"/>
      <c r="BP6" s="168"/>
      <c r="BQ6" s="168"/>
      <c r="BR6" s="168"/>
      <c r="BS6" s="168"/>
      <c r="BT6" s="168"/>
      <c r="BU6" s="168"/>
      <c r="BV6" s="168"/>
      <c r="BW6" s="168"/>
      <c r="BX6" s="168"/>
      <c r="BY6" s="168"/>
      <c r="BZ6" s="168"/>
      <c r="CA6" s="168"/>
      <c r="CB6" s="168"/>
      <c r="CC6" s="168"/>
      <c r="CD6" s="168"/>
      <c r="CE6" s="168"/>
      <c r="CF6" s="168"/>
      <c r="CG6" s="168"/>
      <c r="CH6" s="168"/>
      <c r="CI6" s="168"/>
      <c r="CJ6" s="168"/>
      <c r="CK6" s="168"/>
      <c r="CL6" s="168"/>
      <c r="CM6" s="168"/>
      <c r="CN6" s="168"/>
      <c r="CO6" s="168"/>
      <c r="CP6" s="168"/>
      <c r="CQ6" s="168"/>
      <c r="CR6" s="168"/>
      <c r="CS6" s="168"/>
      <c r="CT6" s="168"/>
      <c r="CU6" s="168"/>
      <c r="CV6" s="168"/>
      <c r="CW6" s="168"/>
      <c r="CX6" s="168"/>
      <c r="CY6" s="168"/>
      <c r="CZ6" s="168"/>
      <c r="DA6" s="168"/>
      <c r="DB6" s="168"/>
      <c r="DC6" s="168"/>
      <c r="DD6" s="168"/>
      <c r="DE6" s="168"/>
      <c r="DF6" s="168"/>
      <c r="DG6" s="168"/>
      <c r="DH6" s="168"/>
      <c r="DI6" s="168"/>
      <c r="DJ6" s="168"/>
      <c r="DK6" s="168"/>
      <c r="DL6" s="168"/>
      <c r="DM6" s="168"/>
      <c r="DN6" s="168"/>
      <c r="DO6" s="168"/>
      <c r="DP6" s="168"/>
      <c r="DQ6" s="168"/>
      <c r="DR6" s="168"/>
      <c r="DS6" s="168"/>
      <c r="DT6" s="168"/>
      <c r="DU6" s="168"/>
      <c r="DV6" s="168"/>
      <c r="DW6" s="168"/>
      <c r="DX6" s="168"/>
    </row>
    <row r="7" ht="41.25" customHeight="1">
      <c r="A7" s="169" t="s">
        <v>830</v>
      </c>
      <c r="B7" s="170">
        <v>8.0</v>
      </c>
      <c r="C7" s="171">
        <v>4.0</v>
      </c>
      <c r="D7" s="172">
        <v>5.0</v>
      </c>
      <c r="E7" s="172">
        <v>5.0</v>
      </c>
      <c r="F7" s="172">
        <v>5.0</v>
      </c>
      <c r="G7" s="173">
        <v>0.0</v>
      </c>
      <c r="H7" s="174">
        <v>6.0</v>
      </c>
      <c r="I7" s="172">
        <v>6.0</v>
      </c>
      <c r="J7" s="172">
        <v>6.0</v>
      </c>
      <c r="K7" s="172">
        <v>6.0</v>
      </c>
      <c r="L7" s="173">
        <v>5.0</v>
      </c>
      <c r="M7" s="174">
        <v>6.0</v>
      </c>
      <c r="N7" s="172">
        <v>6.0</v>
      </c>
      <c r="O7" s="172">
        <v>6.0</v>
      </c>
      <c r="P7" s="172">
        <v>6.0</v>
      </c>
      <c r="Q7" s="173">
        <v>5.0</v>
      </c>
      <c r="R7" s="174">
        <v>6.0</v>
      </c>
      <c r="S7" s="172">
        <v>6.0</v>
      </c>
      <c r="T7" s="172">
        <v>6.0</v>
      </c>
      <c r="U7" s="172">
        <v>6.0</v>
      </c>
      <c r="V7" s="173">
        <v>5.0</v>
      </c>
      <c r="W7" s="174">
        <v>6.0</v>
      </c>
      <c r="X7" s="172">
        <v>7.0</v>
      </c>
      <c r="Y7" s="172">
        <v>7.0</v>
      </c>
      <c r="Z7" s="172">
        <v>7.0</v>
      </c>
      <c r="AA7" s="173">
        <v>5.0</v>
      </c>
      <c r="AB7" s="174">
        <v>6.0</v>
      </c>
      <c r="AC7" s="172">
        <v>7.0</v>
      </c>
      <c r="AD7" s="172">
        <v>7.0</v>
      </c>
      <c r="AE7" s="172">
        <v>7.0</v>
      </c>
      <c r="AF7" s="173">
        <v>5.0</v>
      </c>
      <c r="AG7" s="174">
        <v>5.0</v>
      </c>
      <c r="AH7" s="172">
        <v>6.0</v>
      </c>
      <c r="AI7" s="172">
        <v>6.0</v>
      </c>
      <c r="AJ7" s="172">
        <v>6.0</v>
      </c>
      <c r="AK7" s="173">
        <v>4.0</v>
      </c>
      <c r="AL7" s="174">
        <v>4.0</v>
      </c>
      <c r="AM7" s="172">
        <v>5.0</v>
      </c>
      <c r="AN7" s="172">
        <v>5.0</v>
      </c>
      <c r="AO7" s="172">
        <v>5.0</v>
      </c>
      <c r="AP7" s="175">
        <v>3.0</v>
      </c>
      <c r="AQ7" s="167"/>
      <c r="AR7" s="168"/>
      <c r="AS7" s="168"/>
      <c r="AT7" s="168"/>
      <c r="AU7" s="168"/>
      <c r="AV7" s="168"/>
      <c r="AW7" s="168"/>
      <c r="AX7" s="168"/>
      <c r="AY7" s="168"/>
      <c r="AZ7" s="168"/>
      <c r="BA7" s="168"/>
      <c r="BB7" s="168"/>
      <c r="BC7" s="168"/>
      <c r="BD7" s="168"/>
      <c r="BE7" s="168"/>
      <c r="BF7" s="168"/>
      <c r="BG7" s="168"/>
      <c r="BH7" s="168"/>
      <c r="BI7" s="168"/>
      <c r="BJ7" s="168"/>
      <c r="BK7" s="168"/>
      <c r="BL7" s="168"/>
      <c r="BM7" s="168"/>
      <c r="BN7" s="168"/>
      <c r="BO7" s="168"/>
      <c r="BP7" s="168"/>
      <c r="BQ7" s="168"/>
      <c r="BR7" s="168"/>
      <c r="BS7" s="168"/>
      <c r="BT7" s="168"/>
      <c r="BU7" s="168"/>
      <c r="BV7" s="168"/>
      <c r="BW7" s="168"/>
      <c r="BX7" s="168"/>
      <c r="BY7" s="168"/>
      <c r="BZ7" s="168"/>
      <c r="CA7" s="168"/>
      <c r="CB7" s="168"/>
      <c r="CC7" s="168"/>
      <c r="CD7" s="168"/>
      <c r="CE7" s="168"/>
      <c r="CF7" s="168"/>
      <c r="CG7" s="168"/>
      <c r="CH7" s="168"/>
      <c r="CI7" s="168"/>
      <c r="CJ7" s="168"/>
      <c r="CK7" s="168"/>
      <c r="CL7" s="168"/>
      <c r="CM7" s="168"/>
      <c r="CN7" s="168"/>
      <c r="CO7" s="168"/>
      <c r="CP7" s="168"/>
      <c r="CQ7" s="168"/>
      <c r="CR7" s="168"/>
      <c r="CS7" s="168"/>
      <c r="CT7" s="168"/>
      <c r="CU7" s="168"/>
      <c r="CV7" s="168"/>
      <c r="CW7" s="168"/>
      <c r="CX7" s="168"/>
      <c r="CY7" s="168"/>
      <c r="CZ7" s="168"/>
      <c r="DA7" s="168"/>
      <c r="DB7" s="168"/>
      <c r="DC7" s="168"/>
      <c r="DD7" s="168"/>
      <c r="DE7" s="168"/>
      <c r="DF7" s="168"/>
      <c r="DG7" s="168"/>
      <c r="DH7" s="168"/>
      <c r="DI7" s="168"/>
      <c r="DJ7" s="168"/>
      <c r="DK7" s="168"/>
      <c r="DL7" s="168"/>
      <c r="DM7" s="168"/>
      <c r="DN7" s="168"/>
      <c r="DO7" s="168"/>
      <c r="DP7" s="168"/>
      <c r="DQ7" s="168"/>
      <c r="DR7" s="168"/>
      <c r="DS7" s="168"/>
      <c r="DT7" s="168"/>
      <c r="DU7" s="168"/>
      <c r="DV7" s="168"/>
      <c r="DW7" s="168"/>
      <c r="DX7" s="168"/>
    </row>
    <row r="8" ht="41.25" customHeight="1">
      <c r="A8" s="169" t="s">
        <v>58</v>
      </c>
      <c r="B8" s="170">
        <v>8.0</v>
      </c>
      <c r="C8" s="171">
        <v>4.0</v>
      </c>
      <c r="D8" s="172">
        <v>2.0</v>
      </c>
      <c r="E8" s="172">
        <v>4.0</v>
      </c>
      <c r="F8" s="172">
        <v>2.0</v>
      </c>
      <c r="G8" s="173">
        <v>0.0</v>
      </c>
      <c r="H8" s="174">
        <v>7.0</v>
      </c>
      <c r="I8" s="172">
        <v>3.0</v>
      </c>
      <c r="J8" s="172">
        <v>7.0</v>
      </c>
      <c r="K8" s="172">
        <v>3.0</v>
      </c>
      <c r="L8" s="173">
        <v>7.0</v>
      </c>
      <c r="M8" s="174">
        <v>8.0</v>
      </c>
      <c r="N8" s="172">
        <v>4.0</v>
      </c>
      <c r="O8" s="172">
        <v>8.0</v>
      </c>
      <c r="P8" s="172">
        <v>4.0</v>
      </c>
      <c r="Q8" s="173">
        <v>8.0</v>
      </c>
      <c r="R8" s="174">
        <v>8.0</v>
      </c>
      <c r="S8" s="172">
        <v>4.0</v>
      </c>
      <c r="T8" s="172">
        <v>8.0</v>
      </c>
      <c r="U8" s="172">
        <v>4.0</v>
      </c>
      <c r="V8" s="173">
        <v>8.0</v>
      </c>
      <c r="W8" s="174">
        <v>8.0</v>
      </c>
      <c r="X8" s="172">
        <v>4.0</v>
      </c>
      <c r="Y8" s="172">
        <v>8.0</v>
      </c>
      <c r="Z8" s="172">
        <v>4.0</v>
      </c>
      <c r="AA8" s="173">
        <v>8.0</v>
      </c>
      <c r="AB8" s="174">
        <v>6.0</v>
      </c>
      <c r="AC8" s="172">
        <v>4.0</v>
      </c>
      <c r="AD8" s="172">
        <v>6.0</v>
      </c>
      <c r="AE8" s="172">
        <v>4.0</v>
      </c>
      <c r="AF8" s="173">
        <v>6.0</v>
      </c>
      <c r="AG8" s="174">
        <v>6.0</v>
      </c>
      <c r="AH8" s="172">
        <v>4.0</v>
      </c>
      <c r="AI8" s="172">
        <v>6.0</v>
      </c>
      <c r="AJ8" s="172">
        <v>4.0</v>
      </c>
      <c r="AK8" s="173">
        <v>6.0</v>
      </c>
      <c r="AL8" s="174">
        <v>5.0</v>
      </c>
      <c r="AM8" s="172">
        <v>3.0</v>
      </c>
      <c r="AN8" s="172">
        <v>5.0</v>
      </c>
      <c r="AO8" s="172">
        <v>3.0</v>
      </c>
      <c r="AP8" s="175">
        <v>5.0</v>
      </c>
      <c r="AQ8" s="167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68"/>
      <c r="BH8" s="168"/>
      <c r="BI8" s="168"/>
      <c r="BJ8" s="168"/>
      <c r="BK8" s="168"/>
      <c r="BL8" s="168"/>
      <c r="BM8" s="168"/>
      <c r="BN8" s="168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  <c r="CZ8" s="168"/>
      <c r="DA8" s="168"/>
      <c r="DB8" s="168"/>
      <c r="DC8" s="168"/>
      <c r="DD8" s="168"/>
      <c r="DE8" s="168"/>
      <c r="DF8" s="168"/>
      <c r="DG8" s="168"/>
      <c r="DH8" s="168"/>
      <c r="DI8" s="168"/>
      <c r="DJ8" s="168"/>
      <c r="DK8" s="168"/>
      <c r="DL8" s="168"/>
      <c r="DM8" s="168"/>
      <c r="DN8" s="168"/>
      <c r="DO8" s="168"/>
      <c r="DP8" s="168"/>
      <c r="DQ8" s="168"/>
      <c r="DR8" s="168"/>
      <c r="DS8" s="168"/>
      <c r="DT8" s="168"/>
      <c r="DU8" s="168"/>
      <c r="DV8" s="168"/>
      <c r="DW8" s="168"/>
      <c r="DX8" s="168"/>
    </row>
    <row r="9" ht="41.25" customHeight="1">
      <c r="A9" s="169" t="s">
        <v>831</v>
      </c>
      <c r="B9" s="170">
        <v>6.0</v>
      </c>
      <c r="C9" s="171">
        <v>1.0</v>
      </c>
      <c r="D9" s="172">
        <v>1.0</v>
      </c>
      <c r="E9" s="172">
        <v>1.0</v>
      </c>
      <c r="F9" s="172">
        <v>1.0</v>
      </c>
      <c r="G9" s="173">
        <v>0.0</v>
      </c>
      <c r="H9" s="174">
        <v>2.0</v>
      </c>
      <c r="I9" s="172">
        <v>2.0</v>
      </c>
      <c r="J9" s="172">
        <v>2.0</v>
      </c>
      <c r="K9" s="172">
        <v>2.0</v>
      </c>
      <c r="L9" s="173">
        <v>2.0</v>
      </c>
      <c r="M9" s="174">
        <v>3.0</v>
      </c>
      <c r="N9" s="172">
        <v>2.0</v>
      </c>
      <c r="O9" s="172">
        <v>3.0</v>
      </c>
      <c r="P9" s="172">
        <v>2.0</v>
      </c>
      <c r="Q9" s="173">
        <v>3.0</v>
      </c>
      <c r="R9" s="174">
        <v>3.0</v>
      </c>
      <c r="S9" s="172">
        <v>2.0</v>
      </c>
      <c r="T9" s="172">
        <v>3.0</v>
      </c>
      <c r="U9" s="172">
        <v>2.0</v>
      </c>
      <c r="V9" s="173">
        <v>3.0</v>
      </c>
      <c r="W9" s="174">
        <v>3.0</v>
      </c>
      <c r="X9" s="172">
        <v>2.0</v>
      </c>
      <c r="Y9" s="172">
        <v>3.0</v>
      </c>
      <c r="Z9" s="172">
        <v>2.0</v>
      </c>
      <c r="AA9" s="173">
        <v>3.0</v>
      </c>
      <c r="AB9" s="174">
        <v>3.0</v>
      </c>
      <c r="AC9" s="172">
        <v>2.0</v>
      </c>
      <c r="AD9" s="172">
        <v>3.0</v>
      </c>
      <c r="AE9" s="172">
        <v>2.0</v>
      </c>
      <c r="AF9" s="173">
        <v>3.0</v>
      </c>
      <c r="AG9" s="174">
        <v>3.0</v>
      </c>
      <c r="AH9" s="172">
        <v>2.0</v>
      </c>
      <c r="AI9" s="172">
        <v>3.0</v>
      </c>
      <c r="AJ9" s="172">
        <v>2.0</v>
      </c>
      <c r="AK9" s="173">
        <v>3.0</v>
      </c>
      <c r="AL9" s="174">
        <v>3.0</v>
      </c>
      <c r="AM9" s="172">
        <v>2.0</v>
      </c>
      <c r="AN9" s="172">
        <v>3.0</v>
      </c>
      <c r="AO9" s="172">
        <v>2.0</v>
      </c>
      <c r="AP9" s="175">
        <v>3.0</v>
      </c>
      <c r="AQ9" s="167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/>
      <c r="BL9" s="168"/>
      <c r="BM9" s="168"/>
      <c r="BN9" s="168"/>
      <c r="BO9" s="168"/>
      <c r="BP9" s="168"/>
      <c r="BQ9" s="168"/>
      <c r="BR9" s="168"/>
      <c r="BS9" s="168"/>
      <c r="BT9" s="168"/>
      <c r="BU9" s="168"/>
      <c r="BV9" s="168"/>
      <c r="BW9" s="168"/>
      <c r="BX9" s="168"/>
      <c r="BY9" s="168"/>
      <c r="BZ9" s="168"/>
      <c r="CA9" s="168"/>
      <c r="CB9" s="168"/>
      <c r="CC9" s="168"/>
      <c r="CD9" s="168"/>
      <c r="CE9" s="168"/>
      <c r="CF9" s="168"/>
      <c r="CG9" s="168"/>
      <c r="CH9" s="168"/>
      <c r="CI9" s="168"/>
      <c r="CJ9" s="168"/>
      <c r="CK9" s="168"/>
      <c r="CL9" s="168"/>
      <c r="CM9" s="168"/>
      <c r="CN9" s="168"/>
      <c r="CO9" s="168"/>
      <c r="CP9" s="168"/>
      <c r="CQ9" s="168"/>
      <c r="CR9" s="168"/>
      <c r="CS9" s="168"/>
      <c r="CT9" s="168"/>
      <c r="CU9" s="168"/>
      <c r="CV9" s="168"/>
      <c r="CW9" s="168"/>
      <c r="CX9" s="168"/>
      <c r="CY9" s="168"/>
      <c r="CZ9" s="168"/>
      <c r="DA9" s="168"/>
      <c r="DB9" s="168"/>
      <c r="DC9" s="168"/>
      <c r="DD9" s="168"/>
      <c r="DE9" s="168"/>
      <c r="DF9" s="168"/>
      <c r="DG9" s="168"/>
      <c r="DH9" s="168"/>
      <c r="DI9" s="168"/>
      <c r="DJ9" s="168"/>
      <c r="DK9" s="168"/>
      <c r="DL9" s="168"/>
      <c r="DM9" s="168"/>
      <c r="DN9" s="168"/>
      <c r="DO9" s="168"/>
      <c r="DP9" s="168"/>
      <c r="DQ9" s="168"/>
      <c r="DR9" s="168"/>
      <c r="DS9" s="168"/>
      <c r="DT9" s="168"/>
      <c r="DU9" s="168"/>
      <c r="DV9" s="168"/>
      <c r="DW9" s="168"/>
      <c r="DX9" s="168"/>
    </row>
    <row r="10" ht="41.25" customHeight="1">
      <c r="A10" s="169" t="s">
        <v>27</v>
      </c>
      <c r="B10" s="170">
        <v>6.0</v>
      </c>
      <c r="C10" s="171">
        <v>4.0</v>
      </c>
      <c r="D10" s="172">
        <v>3.0</v>
      </c>
      <c r="E10" s="172">
        <v>4.0</v>
      </c>
      <c r="F10" s="172">
        <v>3.0</v>
      </c>
      <c r="G10" s="173">
        <v>0.0</v>
      </c>
      <c r="H10" s="174">
        <v>4.0</v>
      </c>
      <c r="I10" s="172">
        <v>4.0</v>
      </c>
      <c r="J10" s="172">
        <v>5.0</v>
      </c>
      <c r="K10" s="172">
        <v>4.0</v>
      </c>
      <c r="L10" s="173">
        <v>4.0</v>
      </c>
      <c r="M10" s="174">
        <v>4.0</v>
      </c>
      <c r="N10" s="172">
        <v>4.0</v>
      </c>
      <c r="O10" s="172">
        <v>5.0</v>
      </c>
      <c r="P10" s="172">
        <v>4.0</v>
      </c>
      <c r="Q10" s="173">
        <v>4.0</v>
      </c>
      <c r="R10" s="174">
        <v>5.0</v>
      </c>
      <c r="S10" s="172">
        <v>5.0</v>
      </c>
      <c r="T10" s="172">
        <v>6.0</v>
      </c>
      <c r="U10" s="172">
        <v>5.0</v>
      </c>
      <c r="V10" s="173">
        <v>5.0</v>
      </c>
      <c r="W10" s="174">
        <v>5.0</v>
      </c>
      <c r="X10" s="172">
        <v>5.0</v>
      </c>
      <c r="Y10" s="172">
        <v>6.0</v>
      </c>
      <c r="Z10" s="172">
        <v>5.0</v>
      </c>
      <c r="AA10" s="173">
        <v>5.0</v>
      </c>
      <c r="AB10" s="174">
        <v>5.0</v>
      </c>
      <c r="AC10" s="172">
        <v>5.0</v>
      </c>
      <c r="AD10" s="172">
        <v>6.0</v>
      </c>
      <c r="AE10" s="172">
        <v>5.0</v>
      </c>
      <c r="AF10" s="173">
        <v>5.0</v>
      </c>
      <c r="AG10" s="174">
        <v>5.0</v>
      </c>
      <c r="AH10" s="172">
        <v>5.0</v>
      </c>
      <c r="AI10" s="172">
        <v>6.0</v>
      </c>
      <c r="AJ10" s="172">
        <v>5.0</v>
      </c>
      <c r="AK10" s="173">
        <v>5.0</v>
      </c>
      <c r="AL10" s="174">
        <v>5.0</v>
      </c>
      <c r="AM10" s="172">
        <v>5.0</v>
      </c>
      <c r="AN10" s="172">
        <v>6.0</v>
      </c>
      <c r="AO10" s="172">
        <v>5.0</v>
      </c>
      <c r="AP10" s="175">
        <v>5.0</v>
      </c>
      <c r="AQ10" s="167"/>
      <c r="AR10" s="168"/>
      <c r="AS10" s="168"/>
      <c r="AT10" s="168"/>
      <c r="AU10" s="168"/>
      <c r="AV10" s="168"/>
      <c r="AW10" s="168"/>
      <c r="AX10" s="168"/>
      <c r="AY10" s="168"/>
      <c r="AZ10" s="168"/>
      <c r="BA10" s="168"/>
      <c r="BB10" s="168"/>
      <c r="BC10" s="168"/>
      <c r="BD10" s="168"/>
      <c r="BE10" s="168"/>
      <c r="BF10" s="168"/>
      <c r="BG10" s="168"/>
      <c r="BH10" s="168"/>
      <c r="BI10" s="168"/>
      <c r="BJ10" s="168"/>
      <c r="BK10" s="168"/>
      <c r="BL10" s="168"/>
      <c r="BM10" s="168"/>
      <c r="BN10" s="168"/>
      <c r="BO10" s="168"/>
      <c r="BP10" s="168"/>
      <c r="BQ10" s="168"/>
      <c r="BR10" s="168"/>
      <c r="BS10" s="168"/>
      <c r="BT10" s="168"/>
      <c r="BU10" s="168"/>
      <c r="BV10" s="168"/>
      <c r="BW10" s="168"/>
      <c r="BX10" s="168"/>
      <c r="BY10" s="168"/>
      <c r="BZ10" s="168"/>
      <c r="CA10" s="168"/>
      <c r="CB10" s="168"/>
      <c r="CC10" s="168"/>
      <c r="CD10" s="168"/>
      <c r="CE10" s="168"/>
      <c r="CF10" s="168"/>
      <c r="CG10" s="168"/>
      <c r="CH10" s="168"/>
      <c r="CI10" s="168"/>
      <c r="CJ10" s="168"/>
      <c r="CK10" s="168"/>
      <c r="CL10" s="168"/>
      <c r="CM10" s="168"/>
      <c r="CN10" s="168"/>
      <c r="CO10" s="168"/>
      <c r="CP10" s="168"/>
      <c r="CQ10" s="168"/>
      <c r="CR10" s="168"/>
      <c r="CS10" s="168"/>
      <c r="CT10" s="168"/>
      <c r="CU10" s="168"/>
      <c r="CV10" s="168"/>
      <c r="CW10" s="168"/>
      <c r="CX10" s="168"/>
      <c r="CY10" s="168"/>
      <c r="CZ10" s="168"/>
      <c r="DA10" s="168"/>
      <c r="DB10" s="168"/>
      <c r="DC10" s="168"/>
      <c r="DD10" s="168"/>
      <c r="DE10" s="168"/>
      <c r="DF10" s="168"/>
      <c r="DG10" s="168"/>
      <c r="DH10" s="168"/>
      <c r="DI10" s="168"/>
      <c r="DJ10" s="168"/>
      <c r="DK10" s="168"/>
      <c r="DL10" s="168"/>
      <c r="DM10" s="168"/>
      <c r="DN10" s="168"/>
      <c r="DO10" s="168"/>
      <c r="DP10" s="168"/>
      <c r="DQ10" s="168"/>
      <c r="DR10" s="168"/>
      <c r="DS10" s="168"/>
      <c r="DT10" s="168"/>
      <c r="DU10" s="168"/>
      <c r="DV10" s="168"/>
      <c r="DW10" s="168"/>
      <c r="DX10" s="168"/>
    </row>
    <row r="11" ht="41.25" customHeight="1">
      <c r="A11" s="169" t="s">
        <v>832</v>
      </c>
      <c r="B11" s="170">
        <v>6.0</v>
      </c>
      <c r="C11" s="171">
        <v>5.0</v>
      </c>
      <c r="D11" s="172">
        <v>5.0</v>
      </c>
      <c r="E11" s="172">
        <v>5.0</v>
      </c>
      <c r="F11" s="172">
        <v>5.0</v>
      </c>
      <c r="G11" s="173">
        <v>0.0</v>
      </c>
      <c r="H11" s="174">
        <v>5.0</v>
      </c>
      <c r="I11" s="172">
        <v>5.0</v>
      </c>
      <c r="J11" s="172">
        <v>5.0</v>
      </c>
      <c r="K11" s="172">
        <v>5.0</v>
      </c>
      <c r="L11" s="173">
        <v>4.0</v>
      </c>
      <c r="M11" s="174">
        <v>5.0</v>
      </c>
      <c r="N11" s="172">
        <v>5.0</v>
      </c>
      <c r="O11" s="172">
        <v>5.0</v>
      </c>
      <c r="P11" s="172">
        <v>5.0</v>
      </c>
      <c r="Q11" s="173">
        <v>4.0</v>
      </c>
      <c r="R11" s="174">
        <v>5.0</v>
      </c>
      <c r="S11" s="172">
        <v>5.0</v>
      </c>
      <c r="T11" s="172">
        <v>5.0</v>
      </c>
      <c r="U11" s="172">
        <v>5.0</v>
      </c>
      <c r="V11" s="173">
        <v>4.0</v>
      </c>
      <c r="W11" s="174">
        <v>5.0</v>
      </c>
      <c r="X11" s="172">
        <v>5.0</v>
      </c>
      <c r="Y11" s="172">
        <v>5.0</v>
      </c>
      <c r="Z11" s="172">
        <v>5.0</v>
      </c>
      <c r="AA11" s="173">
        <v>4.0</v>
      </c>
      <c r="AB11" s="174">
        <v>4.0</v>
      </c>
      <c r="AC11" s="172">
        <v>4.0</v>
      </c>
      <c r="AD11" s="172">
        <v>4.0</v>
      </c>
      <c r="AE11" s="172">
        <v>4.0</v>
      </c>
      <c r="AF11" s="173">
        <v>3.0</v>
      </c>
      <c r="AG11" s="174">
        <v>4.0</v>
      </c>
      <c r="AH11" s="172">
        <v>4.0</v>
      </c>
      <c r="AI11" s="172">
        <v>4.0</v>
      </c>
      <c r="AJ11" s="172">
        <v>4.0</v>
      </c>
      <c r="AK11" s="173">
        <v>3.0</v>
      </c>
      <c r="AL11" s="174">
        <v>4.0</v>
      </c>
      <c r="AM11" s="172">
        <v>4.0</v>
      </c>
      <c r="AN11" s="172">
        <v>4.0</v>
      </c>
      <c r="AO11" s="172">
        <v>4.0</v>
      </c>
      <c r="AP11" s="175">
        <v>3.0</v>
      </c>
      <c r="AQ11" s="167"/>
      <c r="AR11" s="168"/>
      <c r="AS11" s="168"/>
      <c r="AT11" s="168"/>
      <c r="AU11" s="168"/>
      <c r="AV11" s="168"/>
      <c r="AW11" s="168"/>
      <c r="AX11" s="168"/>
      <c r="AY11" s="168"/>
      <c r="AZ11" s="168"/>
      <c r="BA11" s="168"/>
      <c r="BB11" s="168"/>
      <c r="BC11" s="168"/>
      <c r="BD11" s="168"/>
      <c r="BE11" s="168"/>
      <c r="BF11" s="168"/>
      <c r="BG11" s="168"/>
      <c r="BH11" s="168"/>
      <c r="BI11" s="168"/>
      <c r="BJ11" s="168"/>
      <c r="BK11" s="168"/>
      <c r="BL11" s="168"/>
      <c r="BM11" s="168"/>
      <c r="BN11" s="168"/>
      <c r="BO11" s="168"/>
      <c r="BP11" s="168"/>
      <c r="BQ11" s="168"/>
      <c r="BR11" s="168"/>
      <c r="BS11" s="168"/>
      <c r="BT11" s="168"/>
      <c r="BU11" s="168"/>
      <c r="BV11" s="168"/>
      <c r="BW11" s="168"/>
      <c r="BX11" s="168"/>
      <c r="BY11" s="168"/>
      <c r="BZ11" s="168"/>
      <c r="CA11" s="168"/>
      <c r="CB11" s="168"/>
      <c r="CC11" s="168"/>
      <c r="CD11" s="168"/>
      <c r="CE11" s="168"/>
      <c r="CF11" s="168"/>
      <c r="CG11" s="168"/>
      <c r="CH11" s="168"/>
      <c r="CI11" s="168"/>
      <c r="CJ11" s="168"/>
      <c r="CK11" s="168"/>
      <c r="CL11" s="168"/>
      <c r="CM11" s="168"/>
      <c r="CN11" s="168"/>
      <c r="CO11" s="168"/>
      <c r="CP11" s="168"/>
      <c r="CQ11" s="168"/>
      <c r="CR11" s="168"/>
      <c r="CS11" s="168"/>
      <c r="CT11" s="168"/>
      <c r="CU11" s="168"/>
      <c r="CV11" s="168"/>
      <c r="CW11" s="168"/>
      <c r="CX11" s="168"/>
      <c r="CY11" s="168"/>
      <c r="CZ11" s="168"/>
      <c r="DA11" s="168"/>
      <c r="DB11" s="168"/>
      <c r="DC11" s="168"/>
      <c r="DD11" s="168"/>
      <c r="DE11" s="168"/>
      <c r="DF11" s="168"/>
      <c r="DG11" s="168"/>
      <c r="DH11" s="168"/>
      <c r="DI11" s="168"/>
      <c r="DJ11" s="168"/>
      <c r="DK11" s="168"/>
      <c r="DL11" s="168"/>
      <c r="DM11" s="168"/>
      <c r="DN11" s="168"/>
      <c r="DO11" s="168"/>
      <c r="DP11" s="168"/>
      <c r="DQ11" s="168"/>
      <c r="DR11" s="168"/>
      <c r="DS11" s="168"/>
      <c r="DT11" s="168"/>
      <c r="DU11" s="168"/>
      <c r="DV11" s="168"/>
      <c r="DW11" s="168"/>
      <c r="DX11" s="168"/>
    </row>
    <row r="12" ht="41.25" customHeight="1">
      <c r="A12" s="169" t="s">
        <v>833</v>
      </c>
      <c r="B12" s="170">
        <v>5.0</v>
      </c>
      <c r="C12" s="171">
        <v>1.0</v>
      </c>
      <c r="D12" s="172">
        <v>1.0</v>
      </c>
      <c r="E12" s="172">
        <v>2.0</v>
      </c>
      <c r="F12" s="172">
        <v>2.0</v>
      </c>
      <c r="G12" s="173">
        <v>0.0</v>
      </c>
      <c r="H12" s="174">
        <v>2.0</v>
      </c>
      <c r="I12" s="172">
        <v>2.0</v>
      </c>
      <c r="J12" s="172">
        <v>2.0</v>
      </c>
      <c r="K12" s="172">
        <v>2.0</v>
      </c>
      <c r="L12" s="173">
        <v>2.0</v>
      </c>
      <c r="M12" s="174">
        <v>2.0</v>
      </c>
      <c r="N12" s="172">
        <v>2.0</v>
      </c>
      <c r="O12" s="172">
        <v>2.0</v>
      </c>
      <c r="P12" s="172">
        <v>2.0</v>
      </c>
      <c r="Q12" s="173">
        <v>2.0</v>
      </c>
      <c r="R12" s="174">
        <v>2.0</v>
      </c>
      <c r="S12" s="172">
        <v>2.0</v>
      </c>
      <c r="T12" s="172">
        <v>2.0</v>
      </c>
      <c r="U12" s="172">
        <v>2.0</v>
      </c>
      <c r="V12" s="173">
        <v>2.0</v>
      </c>
      <c r="W12" s="174">
        <v>2.0</v>
      </c>
      <c r="X12" s="172">
        <v>2.0</v>
      </c>
      <c r="Y12" s="172">
        <v>2.0</v>
      </c>
      <c r="Z12" s="172">
        <v>2.0</v>
      </c>
      <c r="AA12" s="173">
        <v>2.0</v>
      </c>
      <c r="AB12" s="174">
        <v>2.0</v>
      </c>
      <c r="AC12" s="172">
        <v>2.0</v>
      </c>
      <c r="AD12" s="172">
        <v>2.0</v>
      </c>
      <c r="AE12" s="172">
        <v>2.0</v>
      </c>
      <c r="AF12" s="173">
        <v>2.0</v>
      </c>
      <c r="AG12" s="174">
        <v>2.0</v>
      </c>
      <c r="AH12" s="172">
        <v>2.0</v>
      </c>
      <c r="AI12" s="172">
        <v>2.0</v>
      </c>
      <c r="AJ12" s="172">
        <v>2.0</v>
      </c>
      <c r="AK12" s="173">
        <v>2.0</v>
      </c>
      <c r="AL12" s="174">
        <v>1.0</v>
      </c>
      <c r="AM12" s="172">
        <v>1.0</v>
      </c>
      <c r="AN12" s="172">
        <v>1.0</v>
      </c>
      <c r="AO12" s="172">
        <v>1.0</v>
      </c>
      <c r="AP12" s="175">
        <v>1.0</v>
      </c>
      <c r="AQ12" s="167"/>
      <c r="AR12" s="168"/>
      <c r="AS12" s="168"/>
      <c r="AT12" s="168"/>
      <c r="AU12" s="168"/>
      <c r="AV12" s="168"/>
      <c r="AW12" s="168"/>
      <c r="AX12" s="168"/>
      <c r="AY12" s="168"/>
      <c r="AZ12" s="168"/>
      <c r="BA12" s="168"/>
      <c r="BB12" s="168"/>
      <c r="BC12" s="168"/>
      <c r="BD12" s="168"/>
      <c r="BE12" s="168"/>
      <c r="BF12" s="168"/>
      <c r="BG12" s="168"/>
      <c r="BH12" s="168"/>
      <c r="BI12" s="168"/>
      <c r="BJ12" s="168"/>
      <c r="BK12" s="168"/>
      <c r="BL12" s="168"/>
      <c r="BM12" s="168"/>
      <c r="BN12" s="168"/>
      <c r="BO12" s="168"/>
      <c r="BP12" s="168"/>
      <c r="BQ12" s="168"/>
      <c r="BR12" s="168"/>
      <c r="BS12" s="168"/>
      <c r="BT12" s="168"/>
      <c r="BU12" s="168"/>
      <c r="BV12" s="168"/>
      <c r="BW12" s="168"/>
      <c r="BX12" s="168"/>
      <c r="BY12" s="168"/>
      <c r="BZ12" s="168"/>
      <c r="CA12" s="168"/>
      <c r="CB12" s="168"/>
      <c r="CC12" s="168"/>
      <c r="CD12" s="168"/>
      <c r="CE12" s="168"/>
      <c r="CF12" s="168"/>
      <c r="CG12" s="168"/>
      <c r="CH12" s="168"/>
      <c r="CI12" s="168"/>
      <c r="CJ12" s="168"/>
      <c r="CK12" s="168"/>
      <c r="CL12" s="168"/>
      <c r="CM12" s="168"/>
      <c r="CN12" s="168"/>
      <c r="CO12" s="168"/>
      <c r="CP12" s="168"/>
      <c r="CQ12" s="168"/>
      <c r="CR12" s="168"/>
      <c r="CS12" s="168"/>
      <c r="CT12" s="168"/>
      <c r="CU12" s="168"/>
      <c r="CV12" s="168"/>
      <c r="CW12" s="168"/>
      <c r="CX12" s="168"/>
      <c r="CY12" s="168"/>
      <c r="CZ12" s="168"/>
      <c r="DA12" s="168"/>
      <c r="DB12" s="168"/>
      <c r="DC12" s="168"/>
      <c r="DD12" s="168"/>
      <c r="DE12" s="168"/>
      <c r="DF12" s="168"/>
      <c r="DG12" s="168"/>
      <c r="DH12" s="168"/>
      <c r="DI12" s="168"/>
      <c r="DJ12" s="168"/>
      <c r="DK12" s="168"/>
      <c r="DL12" s="168"/>
      <c r="DM12" s="168"/>
      <c r="DN12" s="168"/>
      <c r="DO12" s="168"/>
      <c r="DP12" s="168"/>
      <c r="DQ12" s="168"/>
      <c r="DR12" s="168"/>
      <c r="DS12" s="168"/>
      <c r="DT12" s="168"/>
      <c r="DU12" s="168"/>
      <c r="DV12" s="168"/>
      <c r="DW12" s="168"/>
      <c r="DX12" s="168"/>
    </row>
    <row r="13" ht="41.25" customHeight="1">
      <c r="A13" s="169" t="s">
        <v>834</v>
      </c>
      <c r="B13" s="170">
        <v>1.0</v>
      </c>
      <c r="C13" s="171">
        <v>0.0</v>
      </c>
      <c r="D13" s="172">
        <v>0.0</v>
      </c>
      <c r="E13" s="172">
        <v>0.0</v>
      </c>
      <c r="F13" s="172">
        <v>0.0</v>
      </c>
      <c r="G13" s="173">
        <v>0.0</v>
      </c>
      <c r="H13" s="174">
        <v>0.0</v>
      </c>
      <c r="I13" s="172">
        <v>0.0</v>
      </c>
      <c r="J13" s="172">
        <v>0.0</v>
      </c>
      <c r="K13" s="172">
        <v>0.0</v>
      </c>
      <c r="L13" s="173">
        <v>0.0</v>
      </c>
      <c r="M13" s="174">
        <v>1.0</v>
      </c>
      <c r="N13" s="172">
        <v>0.0</v>
      </c>
      <c r="O13" s="172">
        <v>1.0</v>
      </c>
      <c r="P13" s="172">
        <v>0.0</v>
      </c>
      <c r="Q13" s="173">
        <v>1.0</v>
      </c>
      <c r="R13" s="174">
        <v>1.0</v>
      </c>
      <c r="S13" s="172">
        <v>0.0</v>
      </c>
      <c r="T13" s="172">
        <v>1.0</v>
      </c>
      <c r="U13" s="172">
        <v>0.0</v>
      </c>
      <c r="V13" s="173">
        <v>1.0</v>
      </c>
      <c r="W13" s="174">
        <v>1.0</v>
      </c>
      <c r="X13" s="172">
        <v>0.0</v>
      </c>
      <c r="Y13" s="172">
        <v>1.0</v>
      </c>
      <c r="Z13" s="172">
        <v>0.0</v>
      </c>
      <c r="AA13" s="173">
        <v>1.0</v>
      </c>
      <c r="AB13" s="174">
        <v>1.0</v>
      </c>
      <c r="AC13" s="172">
        <v>0.0</v>
      </c>
      <c r="AD13" s="172">
        <v>1.0</v>
      </c>
      <c r="AE13" s="172">
        <v>0.0</v>
      </c>
      <c r="AF13" s="173">
        <v>1.0</v>
      </c>
      <c r="AG13" s="174">
        <v>1.0</v>
      </c>
      <c r="AH13" s="172">
        <v>0.0</v>
      </c>
      <c r="AI13" s="172">
        <v>1.0</v>
      </c>
      <c r="AJ13" s="172">
        <v>0.0</v>
      </c>
      <c r="AK13" s="173">
        <v>1.0</v>
      </c>
      <c r="AL13" s="174">
        <v>1.0</v>
      </c>
      <c r="AM13" s="172">
        <v>0.0</v>
      </c>
      <c r="AN13" s="172">
        <v>1.0</v>
      </c>
      <c r="AO13" s="172">
        <v>0.0</v>
      </c>
      <c r="AP13" s="175">
        <v>1.0</v>
      </c>
      <c r="AQ13" s="167"/>
      <c r="AR13" s="168"/>
      <c r="AS13" s="168"/>
      <c r="AT13" s="168"/>
      <c r="AU13" s="168"/>
      <c r="AV13" s="168"/>
      <c r="AW13" s="168"/>
      <c r="AX13" s="168"/>
      <c r="AY13" s="168"/>
      <c r="AZ13" s="168"/>
      <c r="BA13" s="168"/>
      <c r="BB13" s="168"/>
      <c r="BC13" s="168"/>
      <c r="BD13" s="168"/>
      <c r="BE13" s="168"/>
      <c r="BF13" s="168"/>
      <c r="BG13" s="168"/>
      <c r="BH13" s="168"/>
      <c r="BI13" s="168"/>
      <c r="BJ13" s="168"/>
      <c r="BK13" s="168"/>
      <c r="BL13" s="168"/>
      <c r="BM13" s="168"/>
      <c r="BN13" s="168"/>
      <c r="BO13" s="168"/>
      <c r="BP13" s="168"/>
      <c r="BQ13" s="168"/>
      <c r="BR13" s="168"/>
      <c r="BS13" s="168"/>
      <c r="BT13" s="168"/>
      <c r="BU13" s="168"/>
      <c r="BV13" s="168"/>
      <c r="BW13" s="168"/>
      <c r="BX13" s="168"/>
      <c r="BY13" s="168"/>
      <c r="BZ13" s="168"/>
      <c r="CA13" s="168"/>
      <c r="CB13" s="168"/>
      <c r="CC13" s="168"/>
      <c r="CD13" s="168"/>
      <c r="CE13" s="168"/>
      <c r="CF13" s="168"/>
      <c r="CG13" s="168"/>
      <c r="CH13" s="168"/>
      <c r="CI13" s="168"/>
      <c r="CJ13" s="168"/>
      <c r="CK13" s="168"/>
      <c r="CL13" s="168"/>
      <c r="CM13" s="168"/>
      <c r="CN13" s="168"/>
      <c r="CO13" s="168"/>
      <c r="CP13" s="168"/>
      <c r="CQ13" s="168"/>
      <c r="CR13" s="168"/>
      <c r="CS13" s="168"/>
      <c r="CT13" s="168"/>
      <c r="CU13" s="168"/>
      <c r="CV13" s="168"/>
      <c r="CW13" s="168"/>
      <c r="CX13" s="168"/>
      <c r="CY13" s="168"/>
      <c r="CZ13" s="168"/>
      <c r="DA13" s="168"/>
      <c r="DB13" s="168"/>
      <c r="DC13" s="168"/>
      <c r="DD13" s="168"/>
      <c r="DE13" s="168"/>
      <c r="DF13" s="168"/>
      <c r="DG13" s="168"/>
      <c r="DH13" s="168"/>
      <c r="DI13" s="168"/>
      <c r="DJ13" s="168"/>
      <c r="DK13" s="168"/>
      <c r="DL13" s="168"/>
      <c r="DM13" s="168"/>
      <c r="DN13" s="168"/>
      <c r="DO13" s="168"/>
      <c r="DP13" s="168"/>
      <c r="DQ13" s="168"/>
      <c r="DR13" s="168"/>
      <c r="DS13" s="168"/>
      <c r="DT13" s="168"/>
      <c r="DU13" s="168"/>
      <c r="DV13" s="168"/>
      <c r="DW13" s="168"/>
      <c r="DX13" s="168"/>
    </row>
    <row r="14" ht="41.25" customHeight="1">
      <c r="A14" s="169" t="s">
        <v>134</v>
      </c>
      <c r="B14" s="170">
        <v>2.0</v>
      </c>
      <c r="C14" s="171">
        <v>2.0</v>
      </c>
      <c r="D14" s="172">
        <v>2.0</v>
      </c>
      <c r="E14" s="172">
        <v>2.0</v>
      </c>
      <c r="F14" s="172">
        <v>2.0</v>
      </c>
      <c r="G14" s="173">
        <v>0.0</v>
      </c>
      <c r="H14" s="174">
        <v>2.0</v>
      </c>
      <c r="I14" s="172">
        <v>2.0</v>
      </c>
      <c r="J14" s="172">
        <v>2.0</v>
      </c>
      <c r="K14" s="172">
        <v>2.0</v>
      </c>
      <c r="L14" s="173">
        <v>2.0</v>
      </c>
      <c r="M14" s="174">
        <v>2.0</v>
      </c>
      <c r="N14" s="172">
        <v>2.0</v>
      </c>
      <c r="O14" s="172">
        <v>2.0</v>
      </c>
      <c r="P14" s="172">
        <v>2.0</v>
      </c>
      <c r="Q14" s="173">
        <v>2.0</v>
      </c>
      <c r="R14" s="174">
        <v>2.0</v>
      </c>
      <c r="S14" s="172">
        <v>2.0</v>
      </c>
      <c r="T14" s="172">
        <v>2.0</v>
      </c>
      <c r="U14" s="172">
        <v>2.0</v>
      </c>
      <c r="V14" s="173">
        <v>2.0</v>
      </c>
      <c r="W14" s="174">
        <v>2.0</v>
      </c>
      <c r="X14" s="172">
        <v>2.0</v>
      </c>
      <c r="Y14" s="172">
        <v>2.0</v>
      </c>
      <c r="Z14" s="172">
        <v>2.0</v>
      </c>
      <c r="AA14" s="173">
        <v>2.0</v>
      </c>
      <c r="AB14" s="174">
        <v>2.0</v>
      </c>
      <c r="AC14" s="172">
        <v>2.0</v>
      </c>
      <c r="AD14" s="172">
        <v>2.0</v>
      </c>
      <c r="AE14" s="172">
        <v>2.0</v>
      </c>
      <c r="AF14" s="173">
        <v>2.0</v>
      </c>
      <c r="AG14" s="174">
        <v>2.0</v>
      </c>
      <c r="AH14" s="172">
        <v>2.0</v>
      </c>
      <c r="AI14" s="172">
        <v>2.0</v>
      </c>
      <c r="AJ14" s="172">
        <v>2.0</v>
      </c>
      <c r="AK14" s="173">
        <v>2.0</v>
      </c>
      <c r="AL14" s="174">
        <v>2.0</v>
      </c>
      <c r="AM14" s="172">
        <v>2.0</v>
      </c>
      <c r="AN14" s="172">
        <v>2.0</v>
      </c>
      <c r="AO14" s="172">
        <v>2.0</v>
      </c>
      <c r="AP14" s="175">
        <v>2.0</v>
      </c>
      <c r="AQ14" s="167"/>
      <c r="AR14" s="168"/>
      <c r="AS14" s="168"/>
      <c r="AT14" s="168"/>
      <c r="AU14" s="168"/>
      <c r="AV14" s="168"/>
      <c r="AW14" s="168"/>
      <c r="AX14" s="168"/>
      <c r="AY14" s="168"/>
      <c r="AZ14" s="168"/>
      <c r="BA14" s="168"/>
      <c r="BB14" s="168"/>
      <c r="BC14" s="168"/>
      <c r="BD14" s="168"/>
      <c r="BE14" s="168"/>
      <c r="BF14" s="168"/>
      <c r="BG14" s="168"/>
      <c r="BH14" s="168"/>
      <c r="BI14" s="168"/>
      <c r="BJ14" s="168"/>
      <c r="BK14" s="168"/>
      <c r="BL14" s="168"/>
      <c r="BM14" s="168"/>
      <c r="BN14" s="168"/>
      <c r="BO14" s="168"/>
      <c r="BP14" s="168"/>
      <c r="BQ14" s="168"/>
      <c r="BR14" s="168"/>
      <c r="BS14" s="168"/>
      <c r="BT14" s="168"/>
      <c r="BU14" s="168"/>
      <c r="BV14" s="168"/>
      <c r="BW14" s="168"/>
      <c r="BX14" s="168"/>
      <c r="BY14" s="168"/>
      <c r="BZ14" s="168"/>
      <c r="CA14" s="168"/>
      <c r="CB14" s="168"/>
      <c r="CC14" s="168"/>
      <c r="CD14" s="168"/>
      <c r="CE14" s="168"/>
      <c r="CF14" s="168"/>
      <c r="CG14" s="168"/>
      <c r="CH14" s="168"/>
      <c r="CI14" s="168"/>
      <c r="CJ14" s="168"/>
      <c r="CK14" s="168"/>
      <c r="CL14" s="168"/>
      <c r="CM14" s="168"/>
      <c r="CN14" s="168"/>
      <c r="CO14" s="168"/>
      <c r="CP14" s="168"/>
      <c r="CQ14" s="168"/>
      <c r="CR14" s="168"/>
      <c r="CS14" s="168"/>
      <c r="CT14" s="168"/>
      <c r="CU14" s="168"/>
      <c r="CV14" s="168"/>
      <c r="CW14" s="168"/>
      <c r="CX14" s="168"/>
      <c r="CY14" s="168"/>
      <c r="CZ14" s="168"/>
      <c r="DA14" s="168"/>
      <c r="DB14" s="168"/>
      <c r="DC14" s="168"/>
      <c r="DD14" s="168"/>
      <c r="DE14" s="168"/>
      <c r="DF14" s="168"/>
      <c r="DG14" s="168"/>
      <c r="DH14" s="168"/>
      <c r="DI14" s="168"/>
      <c r="DJ14" s="168"/>
      <c r="DK14" s="168"/>
      <c r="DL14" s="168"/>
      <c r="DM14" s="168"/>
      <c r="DN14" s="168"/>
      <c r="DO14" s="168"/>
      <c r="DP14" s="168"/>
      <c r="DQ14" s="168"/>
      <c r="DR14" s="168"/>
      <c r="DS14" s="168"/>
      <c r="DT14" s="168"/>
      <c r="DU14" s="168"/>
      <c r="DV14" s="168"/>
      <c r="DW14" s="168"/>
      <c r="DX14" s="168"/>
    </row>
    <row r="15" ht="41.25" customHeight="1">
      <c r="A15" s="169" t="s">
        <v>125</v>
      </c>
      <c r="B15" s="170">
        <v>6.0</v>
      </c>
      <c r="C15" s="171">
        <v>4.0</v>
      </c>
      <c r="D15" s="172">
        <v>5.0</v>
      </c>
      <c r="E15" s="172">
        <v>4.0</v>
      </c>
      <c r="F15" s="172">
        <v>5.0</v>
      </c>
      <c r="G15" s="173">
        <v>0.0</v>
      </c>
      <c r="H15" s="174">
        <v>5.0</v>
      </c>
      <c r="I15" s="172">
        <v>6.0</v>
      </c>
      <c r="J15" s="172">
        <v>5.0</v>
      </c>
      <c r="K15" s="172">
        <v>6.0</v>
      </c>
      <c r="L15" s="173">
        <v>5.0</v>
      </c>
      <c r="M15" s="174">
        <v>5.0</v>
      </c>
      <c r="N15" s="172">
        <v>6.0</v>
      </c>
      <c r="O15" s="172">
        <v>5.0</v>
      </c>
      <c r="P15" s="172">
        <v>6.0</v>
      </c>
      <c r="Q15" s="173">
        <v>5.0</v>
      </c>
      <c r="R15" s="174">
        <v>5.0</v>
      </c>
      <c r="S15" s="172">
        <v>6.0</v>
      </c>
      <c r="T15" s="172">
        <v>5.0</v>
      </c>
      <c r="U15" s="172">
        <v>6.0</v>
      </c>
      <c r="V15" s="173">
        <v>5.0</v>
      </c>
      <c r="W15" s="174">
        <v>5.0</v>
      </c>
      <c r="X15" s="172">
        <v>6.0</v>
      </c>
      <c r="Y15" s="172">
        <v>5.0</v>
      </c>
      <c r="Z15" s="172">
        <v>6.0</v>
      </c>
      <c r="AA15" s="173">
        <v>5.0</v>
      </c>
      <c r="AB15" s="174">
        <v>5.0</v>
      </c>
      <c r="AC15" s="172">
        <v>6.0</v>
      </c>
      <c r="AD15" s="172">
        <v>5.0</v>
      </c>
      <c r="AE15" s="172">
        <v>6.0</v>
      </c>
      <c r="AF15" s="173">
        <v>5.0</v>
      </c>
      <c r="AG15" s="174">
        <v>5.0</v>
      </c>
      <c r="AH15" s="172">
        <v>6.0</v>
      </c>
      <c r="AI15" s="172">
        <v>5.0</v>
      </c>
      <c r="AJ15" s="172">
        <v>6.0</v>
      </c>
      <c r="AK15" s="173">
        <v>5.0</v>
      </c>
      <c r="AL15" s="174">
        <v>4.0</v>
      </c>
      <c r="AM15" s="172">
        <v>5.0</v>
      </c>
      <c r="AN15" s="172">
        <v>4.0</v>
      </c>
      <c r="AO15" s="172">
        <v>5.0</v>
      </c>
      <c r="AP15" s="175">
        <v>4.0</v>
      </c>
      <c r="AQ15" s="167"/>
      <c r="AR15" s="168"/>
      <c r="AS15" s="168"/>
      <c r="AT15" s="168"/>
      <c r="AU15" s="168"/>
      <c r="AV15" s="168"/>
      <c r="AW15" s="168"/>
      <c r="AX15" s="168"/>
      <c r="AY15" s="168"/>
      <c r="AZ15" s="168"/>
      <c r="BA15" s="168"/>
      <c r="BB15" s="168"/>
      <c r="BC15" s="168"/>
      <c r="BD15" s="168"/>
      <c r="BE15" s="168"/>
      <c r="BF15" s="168"/>
      <c r="BG15" s="168"/>
      <c r="BH15" s="168"/>
      <c r="BI15" s="168"/>
      <c r="BJ15" s="168"/>
      <c r="BK15" s="168"/>
      <c r="BL15" s="168"/>
      <c r="BM15" s="168"/>
      <c r="BN15" s="168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  <c r="CI15" s="168"/>
      <c r="CJ15" s="168"/>
      <c r="CK15" s="168"/>
      <c r="CL15" s="168"/>
      <c r="CM15" s="168"/>
      <c r="CN15" s="168"/>
      <c r="CO15" s="168"/>
      <c r="CP15" s="168"/>
      <c r="CQ15" s="168"/>
      <c r="CR15" s="168"/>
      <c r="CS15" s="168"/>
      <c r="CT15" s="168"/>
      <c r="CU15" s="168"/>
      <c r="CV15" s="168"/>
      <c r="CW15" s="168"/>
      <c r="CX15" s="168"/>
      <c r="CY15" s="168"/>
      <c r="CZ15" s="168"/>
      <c r="DA15" s="168"/>
      <c r="DB15" s="168"/>
      <c r="DC15" s="168"/>
      <c r="DD15" s="168"/>
      <c r="DE15" s="168"/>
      <c r="DF15" s="168"/>
      <c r="DG15" s="168"/>
      <c r="DH15" s="168"/>
      <c r="DI15" s="168"/>
      <c r="DJ15" s="168"/>
      <c r="DK15" s="168"/>
      <c r="DL15" s="168"/>
      <c r="DM15" s="168"/>
      <c r="DN15" s="168"/>
      <c r="DO15" s="168"/>
      <c r="DP15" s="168"/>
      <c r="DQ15" s="168"/>
      <c r="DR15" s="168"/>
      <c r="DS15" s="168"/>
      <c r="DT15" s="168"/>
      <c r="DU15" s="168"/>
      <c r="DV15" s="168"/>
      <c r="DW15" s="168"/>
      <c r="DX15" s="168"/>
    </row>
    <row r="16" ht="41.25" customHeight="1">
      <c r="A16" s="169" t="s">
        <v>835</v>
      </c>
      <c r="B16" s="170">
        <v>8.0</v>
      </c>
      <c r="C16" s="171">
        <v>3.0</v>
      </c>
      <c r="D16" s="172">
        <v>3.0</v>
      </c>
      <c r="E16" s="172">
        <v>3.0</v>
      </c>
      <c r="F16" s="172">
        <v>3.0</v>
      </c>
      <c r="G16" s="173">
        <v>0.0</v>
      </c>
      <c r="H16" s="174">
        <v>4.0</v>
      </c>
      <c r="I16" s="172">
        <v>3.0</v>
      </c>
      <c r="J16" s="172">
        <v>4.0</v>
      </c>
      <c r="K16" s="172">
        <v>3.0</v>
      </c>
      <c r="L16" s="173">
        <v>4.0</v>
      </c>
      <c r="M16" s="174">
        <v>4.0</v>
      </c>
      <c r="N16" s="172">
        <v>4.0</v>
      </c>
      <c r="O16" s="172">
        <v>5.0</v>
      </c>
      <c r="P16" s="172">
        <v>4.0</v>
      </c>
      <c r="Q16" s="173">
        <v>4.0</v>
      </c>
      <c r="R16" s="174">
        <v>4.0</v>
      </c>
      <c r="S16" s="172">
        <v>4.0</v>
      </c>
      <c r="T16" s="172">
        <v>5.0</v>
      </c>
      <c r="U16" s="172">
        <v>4.0</v>
      </c>
      <c r="V16" s="173">
        <v>4.0</v>
      </c>
      <c r="W16" s="174">
        <v>4.0</v>
      </c>
      <c r="X16" s="172">
        <v>4.0</v>
      </c>
      <c r="Y16" s="172">
        <v>5.0</v>
      </c>
      <c r="Z16" s="172">
        <v>4.0</v>
      </c>
      <c r="AA16" s="173">
        <v>3.0</v>
      </c>
      <c r="AB16" s="174">
        <v>3.0</v>
      </c>
      <c r="AC16" s="172">
        <v>4.0</v>
      </c>
      <c r="AD16" s="172">
        <v>4.0</v>
      </c>
      <c r="AE16" s="172">
        <v>4.0</v>
      </c>
      <c r="AF16" s="173">
        <v>3.0</v>
      </c>
      <c r="AG16" s="174">
        <v>3.0</v>
      </c>
      <c r="AH16" s="172">
        <v>4.0</v>
      </c>
      <c r="AI16" s="172">
        <v>4.0</v>
      </c>
      <c r="AJ16" s="172">
        <v>4.0</v>
      </c>
      <c r="AK16" s="173">
        <v>3.0</v>
      </c>
      <c r="AL16" s="174">
        <v>3.0</v>
      </c>
      <c r="AM16" s="172">
        <v>4.0</v>
      </c>
      <c r="AN16" s="172">
        <v>4.0</v>
      </c>
      <c r="AO16" s="172">
        <v>4.0</v>
      </c>
      <c r="AP16" s="175">
        <v>3.0</v>
      </c>
      <c r="AQ16" s="167"/>
      <c r="AR16" s="168"/>
      <c r="AS16" s="168"/>
      <c r="AT16" s="168"/>
      <c r="AU16" s="168"/>
      <c r="AV16" s="168"/>
      <c r="AW16" s="168"/>
      <c r="AX16" s="168"/>
      <c r="AY16" s="168"/>
      <c r="AZ16" s="168"/>
      <c r="BA16" s="168"/>
      <c r="BB16" s="168"/>
      <c r="BC16" s="168"/>
      <c r="BD16" s="168"/>
      <c r="BE16" s="168"/>
      <c r="BF16" s="168"/>
      <c r="BG16" s="168"/>
      <c r="BH16" s="168"/>
      <c r="BI16" s="168"/>
      <c r="BJ16" s="168"/>
      <c r="BK16" s="168"/>
      <c r="BL16" s="168"/>
      <c r="BM16" s="168"/>
      <c r="BN16" s="168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68"/>
      <c r="CF16" s="168"/>
      <c r="CG16" s="168"/>
      <c r="CH16" s="168"/>
      <c r="CI16" s="168"/>
      <c r="CJ16" s="168"/>
      <c r="CK16" s="168"/>
      <c r="CL16" s="168"/>
      <c r="CM16" s="168"/>
      <c r="CN16" s="168"/>
      <c r="CO16" s="168"/>
      <c r="CP16" s="168"/>
      <c r="CQ16" s="168"/>
      <c r="CR16" s="168"/>
      <c r="CS16" s="168"/>
      <c r="CT16" s="168"/>
      <c r="CU16" s="168"/>
      <c r="CV16" s="168"/>
      <c r="CW16" s="168"/>
      <c r="CX16" s="168"/>
      <c r="CY16" s="168"/>
      <c r="CZ16" s="168"/>
      <c r="DA16" s="168"/>
      <c r="DB16" s="168"/>
      <c r="DC16" s="168"/>
      <c r="DD16" s="168"/>
      <c r="DE16" s="168"/>
      <c r="DF16" s="168"/>
      <c r="DG16" s="168"/>
      <c r="DH16" s="168"/>
      <c r="DI16" s="168"/>
      <c r="DJ16" s="168"/>
      <c r="DK16" s="168"/>
      <c r="DL16" s="168"/>
      <c r="DM16" s="168"/>
      <c r="DN16" s="168"/>
      <c r="DO16" s="168"/>
      <c r="DP16" s="168"/>
      <c r="DQ16" s="168"/>
      <c r="DR16" s="168"/>
      <c r="DS16" s="168"/>
      <c r="DT16" s="168"/>
      <c r="DU16" s="168"/>
      <c r="DV16" s="168"/>
      <c r="DW16" s="168"/>
      <c r="DX16" s="168"/>
    </row>
    <row r="17" ht="41.25" customHeight="1">
      <c r="A17" s="169" t="s">
        <v>836</v>
      </c>
      <c r="B17" s="170">
        <v>8.0</v>
      </c>
      <c r="C17" s="171">
        <v>5.0</v>
      </c>
      <c r="D17" s="172">
        <v>7.0</v>
      </c>
      <c r="E17" s="172">
        <v>7.0</v>
      </c>
      <c r="F17" s="172">
        <v>6.0</v>
      </c>
      <c r="G17" s="173">
        <v>0.0</v>
      </c>
      <c r="H17" s="174">
        <v>5.0</v>
      </c>
      <c r="I17" s="172">
        <v>7.0</v>
      </c>
      <c r="J17" s="172">
        <v>7.0</v>
      </c>
      <c r="K17" s="172">
        <v>6.0</v>
      </c>
      <c r="L17" s="173">
        <v>4.0</v>
      </c>
      <c r="M17" s="174">
        <v>5.0</v>
      </c>
      <c r="N17" s="172">
        <v>7.0</v>
      </c>
      <c r="O17" s="172">
        <v>7.0</v>
      </c>
      <c r="P17" s="172">
        <v>6.0</v>
      </c>
      <c r="Q17" s="173">
        <v>4.0</v>
      </c>
      <c r="R17" s="174">
        <v>5.0</v>
      </c>
      <c r="S17" s="172">
        <v>7.0</v>
      </c>
      <c r="T17" s="172">
        <v>7.0</v>
      </c>
      <c r="U17" s="172">
        <v>6.0</v>
      </c>
      <c r="V17" s="173">
        <v>4.0</v>
      </c>
      <c r="W17" s="174">
        <v>5.0</v>
      </c>
      <c r="X17" s="172">
        <v>7.0</v>
      </c>
      <c r="Y17" s="172">
        <v>7.0</v>
      </c>
      <c r="Z17" s="172">
        <v>6.0</v>
      </c>
      <c r="AA17" s="173">
        <v>4.0</v>
      </c>
      <c r="AB17" s="174">
        <v>5.0</v>
      </c>
      <c r="AC17" s="172">
        <v>6.0</v>
      </c>
      <c r="AD17" s="172">
        <v>6.0</v>
      </c>
      <c r="AE17" s="172">
        <v>5.0</v>
      </c>
      <c r="AF17" s="173">
        <v>4.0</v>
      </c>
      <c r="AG17" s="174">
        <v>2.0</v>
      </c>
      <c r="AH17" s="172">
        <v>3.0</v>
      </c>
      <c r="AI17" s="172">
        <v>3.0</v>
      </c>
      <c r="AJ17" s="172">
        <v>3.0</v>
      </c>
      <c r="AK17" s="173">
        <v>2.0</v>
      </c>
      <c r="AL17" s="174">
        <v>2.0</v>
      </c>
      <c r="AM17" s="172">
        <v>3.0</v>
      </c>
      <c r="AN17" s="172">
        <v>3.0</v>
      </c>
      <c r="AO17" s="172">
        <v>3.0</v>
      </c>
      <c r="AP17" s="175">
        <v>2.0</v>
      </c>
      <c r="AQ17" s="167"/>
      <c r="AR17" s="168"/>
      <c r="AS17" s="168"/>
      <c r="AT17" s="168"/>
      <c r="AU17" s="168"/>
      <c r="AV17" s="168"/>
      <c r="AW17" s="168"/>
      <c r="AX17" s="168"/>
      <c r="AY17" s="168"/>
      <c r="AZ17" s="168"/>
      <c r="BA17" s="168"/>
      <c r="BB17" s="168"/>
      <c r="BC17" s="168"/>
      <c r="BD17" s="168"/>
      <c r="BE17" s="168"/>
      <c r="BF17" s="168"/>
      <c r="BG17" s="168"/>
      <c r="BH17" s="168"/>
      <c r="BI17" s="168"/>
      <c r="BJ17" s="168"/>
      <c r="BK17" s="168"/>
      <c r="BL17" s="168"/>
      <c r="BM17" s="168"/>
      <c r="BN17" s="168"/>
      <c r="BO17" s="168"/>
      <c r="BP17" s="168"/>
      <c r="BQ17" s="168"/>
      <c r="BR17" s="168"/>
      <c r="BS17" s="168"/>
      <c r="BT17" s="168"/>
      <c r="BU17" s="168"/>
      <c r="BV17" s="168"/>
      <c r="BW17" s="168"/>
      <c r="BX17" s="168"/>
      <c r="BY17" s="168"/>
      <c r="BZ17" s="168"/>
      <c r="CA17" s="168"/>
      <c r="CB17" s="168"/>
      <c r="CC17" s="168"/>
      <c r="CD17" s="168"/>
      <c r="CE17" s="168"/>
      <c r="CF17" s="168"/>
      <c r="CG17" s="168"/>
      <c r="CH17" s="168"/>
      <c r="CI17" s="168"/>
      <c r="CJ17" s="168"/>
      <c r="CK17" s="168"/>
      <c r="CL17" s="168"/>
      <c r="CM17" s="168"/>
      <c r="CN17" s="168"/>
      <c r="CO17" s="168"/>
      <c r="CP17" s="168"/>
      <c r="CQ17" s="168"/>
      <c r="CR17" s="168"/>
      <c r="CS17" s="168"/>
      <c r="CT17" s="168"/>
      <c r="CU17" s="168"/>
      <c r="CV17" s="168"/>
      <c r="CW17" s="168"/>
      <c r="CX17" s="168"/>
      <c r="CY17" s="168"/>
      <c r="CZ17" s="168"/>
      <c r="DA17" s="168"/>
      <c r="DB17" s="168"/>
      <c r="DC17" s="168"/>
      <c r="DD17" s="168"/>
      <c r="DE17" s="168"/>
      <c r="DF17" s="168"/>
      <c r="DG17" s="168"/>
      <c r="DH17" s="168"/>
      <c r="DI17" s="168"/>
      <c r="DJ17" s="168"/>
      <c r="DK17" s="168"/>
      <c r="DL17" s="168"/>
      <c r="DM17" s="168"/>
      <c r="DN17" s="168"/>
      <c r="DO17" s="168"/>
      <c r="DP17" s="168"/>
      <c r="DQ17" s="168"/>
      <c r="DR17" s="168"/>
      <c r="DS17" s="168"/>
      <c r="DT17" s="168"/>
      <c r="DU17" s="168"/>
      <c r="DV17" s="168"/>
      <c r="DW17" s="168"/>
      <c r="DX17" s="168"/>
    </row>
    <row r="18" ht="41.25" customHeight="1">
      <c r="A18" s="169" t="s">
        <v>837</v>
      </c>
      <c r="B18" s="170">
        <v>2.0</v>
      </c>
      <c r="C18" s="171">
        <v>0.0</v>
      </c>
      <c r="D18" s="172">
        <v>1.0</v>
      </c>
      <c r="E18" s="172">
        <v>0.0</v>
      </c>
      <c r="F18" s="172">
        <v>1.0</v>
      </c>
      <c r="G18" s="173">
        <v>0.0</v>
      </c>
      <c r="H18" s="174">
        <v>0.0</v>
      </c>
      <c r="I18" s="172">
        <v>1.0</v>
      </c>
      <c r="J18" s="172">
        <v>0.0</v>
      </c>
      <c r="K18" s="172">
        <v>1.0</v>
      </c>
      <c r="L18" s="173">
        <v>0.0</v>
      </c>
      <c r="M18" s="174">
        <v>0.0</v>
      </c>
      <c r="N18" s="172">
        <v>1.0</v>
      </c>
      <c r="O18" s="172">
        <v>0.0</v>
      </c>
      <c r="P18" s="172">
        <v>1.0</v>
      </c>
      <c r="Q18" s="173">
        <v>0.0</v>
      </c>
      <c r="R18" s="174">
        <v>0.0</v>
      </c>
      <c r="S18" s="172">
        <v>1.0</v>
      </c>
      <c r="T18" s="172">
        <v>0.0</v>
      </c>
      <c r="U18" s="172">
        <v>1.0</v>
      </c>
      <c r="V18" s="173">
        <v>0.0</v>
      </c>
      <c r="W18" s="174">
        <v>0.0</v>
      </c>
      <c r="X18" s="172">
        <v>1.0</v>
      </c>
      <c r="Y18" s="172">
        <v>0.0</v>
      </c>
      <c r="Z18" s="172">
        <v>1.0</v>
      </c>
      <c r="AA18" s="173">
        <v>0.0</v>
      </c>
      <c r="AB18" s="174">
        <v>0.0</v>
      </c>
      <c r="AC18" s="172">
        <v>1.0</v>
      </c>
      <c r="AD18" s="172">
        <v>0.0</v>
      </c>
      <c r="AE18" s="172">
        <v>1.0</v>
      </c>
      <c r="AF18" s="173">
        <v>0.0</v>
      </c>
      <c r="AG18" s="174">
        <v>0.0</v>
      </c>
      <c r="AH18" s="172">
        <v>1.0</v>
      </c>
      <c r="AI18" s="172">
        <v>0.0</v>
      </c>
      <c r="AJ18" s="172">
        <v>1.0</v>
      </c>
      <c r="AK18" s="173">
        <v>0.0</v>
      </c>
      <c r="AL18" s="174">
        <v>0.0</v>
      </c>
      <c r="AM18" s="172">
        <v>1.0</v>
      </c>
      <c r="AN18" s="172">
        <v>0.0</v>
      </c>
      <c r="AO18" s="172">
        <v>1.0</v>
      </c>
      <c r="AP18" s="175">
        <v>0.0</v>
      </c>
      <c r="AQ18" s="167"/>
      <c r="AR18" s="168"/>
      <c r="AS18" s="168"/>
      <c r="AT18" s="168"/>
      <c r="AU18" s="168"/>
      <c r="AV18" s="168"/>
      <c r="AW18" s="168"/>
      <c r="AX18" s="168"/>
      <c r="AY18" s="168"/>
      <c r="AZ18" s="168"/>
      <c r="BA18" s="168"/>
      <c r="BB18" s="168"/>
      <c r="BC18" s="168"/>
      <c r="BD18" s="168"/>
      <c r="BE18" s="168"/>
      <c r="BF18" s="168"/>
      <c r="BG18" s="168"/>
      <c r="BH18" s="168"/>
      <c r="BI18" s="168"/>
      <c r="BJ18" s="168"/>
      <c r="BK18" s="168"/>
      <c r="BL18" s="168"/>
      <c r="BM18" s="168"/>
      <c r="BN18" s="168"/>
      <c r="BO18" s="168"/>
      <c r="BP18" s="168"/>
      <c r="BQ18" s="168"/>
      <c r="BR18" s="168"/>
      <c r="BS18" s="168"/>
      <c r="BT18" s="168"/>
      <c r="BU18" s="168"/>
      <c r="BV18" s="168"/>
      <c r="BW18" s="168"/>
      <c r="BX18" s="168"/>
      <c r="BY18" s="168"/>
      <c r="BZ18" s="168"/>
      <c r="CA18" s="168"/>
      <c r="CB18" s="168"/>
      <c r="CC18" s="168"/>
      <c r="CD18" s="168"/>
      <c r="CE18" s="168"/>
      <c r="CF18" s="168"/>
      <c r="CG18" s="168"/>
      <c r="CH18" s="168"/>
      <c r="CI18" s="168"/>
      <c r="CJ18" s="168"/>
      <c r="CK18" s="168"/>
      <c r="CL18" s="168"/>
      <c r="CM18" s="168"/>
      <c r="CN18" s="168"/>
      <c r="CO18" s="168"/>
      <c r="CP18" s="168"/>
      <c r="CQ18" s="168"/>
      <c r="CR18" s="168"/>
      <c r="CS18" s="168"/>
      <c r="CT18" s="168"/>
      <c r="CU18" s="168"/>
      <c r="CV18" s="168"/>
      <c r="CW18" s="168"/>
      <c r="CX18" s="168"/>
      <c r="CY18" s="168"/>
      <c r="CZ18" s="168"/>
      <c r="DA18" s="168"/>
      <c r="DB18" s="168"/>
      <c r="DC18" s="168"/>
      <c r="DD18" s="168"/>
      <c r="DE18" s="168"/>
      <c r="DF18" s="168"/>
      <c r="DG18" s="168"/>
      <c r="DH18" s="168"/>
      <c r="DI18" s="168"/>
      <c r="DJ18" s="168"/>
      <c r="DK18" s="168"/>
      <c r="DL18" s="168"/>
      <c r="DM18" s="168"/>
      <c r="DN18" s="168"/>
      <c r="DO18" s="168"/>
      <c r="DP18" s="168"/>
      <c r="DQ18" s="168"/>
      <c r="DR18" s="168"/>
      <c r="DS18" s="168"/>
      <c r="DT18" s="168"/>
      <c r="DU18" s="168"/>
      <c r="DV18" s="168"/>
      <c r="DW18" s="168"/>
      <c r="DX18" s="168"/>
    </row>
    <row r="19" ht="45.75" customHeight="1">
      <c r="A19" s="176" t="s">
        <v>838</v>
      </c>
      <c r="B19" s="177">
        <v>13.0</v>
      </c>
      <c r="C19" s="178">
        <v>7.0</v>
      </c>
      <c r="D19" s="179">
        <v>7.0</v>
      </c>
      <c r="E19" s="179">
        <v>7.0</v>
      </c>
      <c r="F19" s="179">
        <v>7.0</v>
      </c>
      <c r="G19" s="180">
        <v>0.0</v>
      </c>
      <c r="H19" s="181">
        <v>10.0</v>
      </c>
      <c r="I19" s="179">
        <v>10.0</v>
      </c>
      <c r="J19" s="179">
        <v>10.0</v>
      </c>
      <c r="K19" s="179">
        <v>10.0</v>
      </c>
      <c r="L19" s="180">
        <v>10.0</v>
      </c>
      <c r="M19" s="181">
        <v>11.0</v>
      </c>
      <c r="N19" s="179">
        <v>11.0</v>
      </c>
      <c r="O19" s="179">
        <v>11.0</v>
      </c>
      <c r="P19" s="179">
        <v>11.0</v>
      </c>
      <c r="Q19" s="180">
        <v>11.0</v>
      </c>
      <c r="R19" s="181">
        <v>11.0</v>
      </c>
      <c r="S19" s="179">
        <v>11.0</v>
      </c>
      <c r="T19" s="179">
        <v>11.0</v>
      </c>
      <c r="U19" s="179">
        <v>11.0</v>
      </c>
      <c r="V19" s="180">
        <v>11.0</v>
      </c>
      <c r="W19" s="181">
        <v>11.0</v>
      </c>
      <c r="X19" s="179">
        <v>11.0</v>
      </c>
      <c r="Y19" s="179">
        <v>11.0</v>
      </c>
      <c r="Z19" s="179">
        <v>11.0</v>
      </c>
      <c r="AA19" s="180">
        <v>11.0</v>
      </c>
      <c r="AB19" s="181">
        <v>11.0</v>
      </c>
      <c r="AC19" s="179">
        <v>11.0</v>
      </c>
      <c r="AD19" s="179">
        <v>11.0</v>
      </c>
      <c r="AE19" s="179">
        <v>11.0</v>
      </c>
      <c r="AF19" s="180">
        <v>11.0</v>
      </c>
      <c r="AG19" s="181">
        <v>11.0</v>
      </c>
      <c r="AH19" s="179">
        <v>11.0</v>
      </c>
      <c r="AI19" s="179">
        <v>11.0</v>
      </c>
      <c r="AJ19" s="179">
        <v>11.0</v>
      </c>
      <c r="AK19" s="180">
        <v>10.0</v>
      </c>
      <c r="AL19" s="181">
        <v>9.0</v>
      </c>
      <c r="AM19" s="179">
        <v>9.0</v>
      </c>
      <c r="AN19" s="179">
        <v>9.0</v>
      </c>
      <c r="AO19" s="179">
        <v>9.0</v>
      </c>
      <c r="AP19" s="182">
        <v>9.0</v>
      </c>
      <c r="AQ19" s="183"/>
      <c r="AR19" s="184"/>
      <c r="AS19" s="184"/>
      <c r="AT19" s="184"/>
      <c r="AU19" s="184"/>
      <c r="AV19" s="184"/>
      <c r="AW19" s="184"/>
      <c r="AX19" s="184"/>
      <c r="AY19" s="184"/>
      <c r="AZ19" s="184"/>
      <c r="BA19" s="184"/>
      <c r="BB19" s="184"/>
      <c r="BC19" s="184"/>
      <c r="BD19" s="184"/>
      <c r="BE19" s="184"/>
      <c r="BF19" s="184"/>
      <c r="BG19" s="184"/>
      <c r="BH19" s="184"/>
      <c r="BI19" s="184"/>
      <c r="BJ19" s="184"/>
      <c r="BK19" s="184"/>
      <c r="BL19" s="184"/>
      <c r="BM19" s="184"/>
      <c r="BN19" s="184"/>
      <c r="BO19" s="184"/>
      <c r="BP19" s="184"/>
      <c r="BQ19" s="184"/>
      <c r="BR19" s="184"/>
      <c r="BS19" s="184"/>
      <c r="BT19" s="184"/>
      <c r="BU19" s="184"/>
      <c r="BV19" s="184"/>
      <c r="BW19" s="184"/>
      <c r="BX19" s="184"/>
      <c r="BY19" s="184"/>
      <c r="BZ19" s="184"/>
      <c r="CA19" s="184"/>
      <c r="CB19" s="184"/>
      <c r="CC19" s="184"/>
      <c r="CD19" s="184"/>
      <c r="CE19" s="184"/>
      <c r="CF19" s="184"/>
      <c r="CG19" s="184"/>
      <c r="CH19" s="184"/>
      <c r="CI19" s="184"/>
      <c r="CJ19" s="184"/>
      <c r="CK19" s="184"/>
      <c r="CL19" s="184"/>
      <c r="CM19" s="184"/>
      <c r="CN19" s="184"/>
      <c r="CO19" s="184"/>
      <c r="CP19" s="184"/>
      <c r="CQ19" s="184"/>
      <c r="CR19" s="184"/>
      <c r="CS19" s="184"/>
      <c r="CT19" s="184"/>
      <c r="CU19" s="184"/>
      <c r="CV19" s="184"/>
      <c r="CW19" s="184"/>
      <c r="CX19" s="184"/>
      <c r="CY19" s="184"/>
      <c r="CZ19" s="184"/>
      <c r="DA19" s="184"/>
      <c r="DB19" s="184"/>
      <c r="DC19" s="184"/>
      <c r="DD19" s="184"/>
      <c r="DE19" s="184"/>
      <c r="DF19" s="184"/>
      <c r="DG19" s="184"/>
      <c r="DH19" s="184"/>
      <c r="DI19" s="184"/>
      <c r="DJ19" s="184"/>
      <c r="DK19" s="184"/>
      <c r="DL19" s="184"/>
      <c r="DM19" s="184"/>
      <c r="DN19" s="184"/>
      <c r="DO19" s="184"/>
      <c r="DP19" s="184"/>
      <c r="DQ19" s="184"/>
      <c r="DR19" s="184"/>
      <c r="DS19" s="184"/>
      <c r="DT19" s="184"/>
      <c r="DU19" s="184"/>
      <c r="DV19" s="184"/>
      <c r="DW19" s="184"/>
      <c r="DX19" s="184"/>
    </row>
    <row r="20" ht="39.75" customHeight="1">
      <c r="A20" s="185" t="s">
        <v>839</v>
      </c>
      <c r="B20" s="186">
        <v>18.0</v>
      </c>
      <c r="C20" s="186">
        <v>9.0</v>
      </c>
      <c r="D20" s="186">
        <v>10.0</v>
      </c>
      <c r="E20" s="186">
        <v>10.0</v>
      </c>
      <c r="F20" s="186">
        <v>10.0</v>
      </c>
      <c r="G20" s="186">
        <v>0.0</v>
      </c>
      <c r="H20" s="186">
        <v>13.0</v>
      </c>
      <c r="I20" s="186">
        <v>13.0</v>
      </c>
      <c r="J20" s="186">
        <v>13.0</v>
      </c>
      <c r="K20" s="186">
        <v>13.0</v>
      </c>
      <c r="L20" s="186">
        <v>13.0</v>
      </c>
      <c r="M20" s="186">
        <v>14.0</v>
      </c>
      <c r="N20" s="186">
        <v>14.0</v>
      </c>
      <c r="O20" s="186">
        <v>14.0</v>
      </c>
      <c r="P20" s="186">
        <v>14.0</v>
      </c>
      <c r="Q20" s="186">
        <v>14.0</v>
      </c>
      <c r="R20" s="186">
        <v>14.0</v>
      </c>
      <c r="S20" s="186">
        <v>14.0</v>
      </c>
      <c r="T20" s="186">
        <v>14.0</v>
      </c>
      <c r="U20" s="186">
        <v>14.0</v>
      </c>
      <c r="V20" s="186">
        <v>14.0</v>
      </c>
      <c r="W20" s="186">
        <v>14.0</v>
      </c>
      <c r="X20" s="186">
        <v>14.0</v>
      </c>
      <c r="Y20" s="186">
        <v>14.0</v>
      </c>
      <c r="Z20" s="186">
        <v>14.0</v>
      </c>
      <c r="AA20" s="186">
        <v>14.0</v>
      </c>
      <c r="AB20" s="186">
        <v>13.0</v>
      </c>
      <c r="AC20" s="186">
        <v>13.0</v>
      </c>
      <c r="AD20" s="186">
        <v>13.0</v>
      </c>
      <c r="AE20" s="186">
        <v>13.0</v>
      </c>
      <c r="AF20" s="186">
        <v>13.0</v>
      </c>
      <c r="AG20" s="186">
        <v>13.0</v>
      </c>
      <c r="AH20" s="186">
        <v>13.0</v>
      </c>
      <c r="AI20" s="186">
        <v>13.0</v>
      </c>
      <c r="AJ20" s="186">
        <v>13.0</v>
      </c>
      <c r="AK20" s="186">
        <v>13.0</v>
      </c>
      <c r="AL20" s="186">
        <v>11.0</v>
      </c>
      <c r="AM20" s="186">
        <v>11.0</v>
      </c>
      <c r="AN20" s="186">
        <v>11.0</v>
      </c>
      <c r="AO20" s="186">
        <v>11.0</v>
      </c>
      <c r="AP20" s="186">
        <v>11.0</v>
      </c>
      <c r="AQ20" s="187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6"/>
      <c r="BM20" s="186"/>
      <c r="BN20" s="186"/>
      <c r="BO20" s="186"/>
      <c r="BP20" s="186"/>
      <c r="BQ20" s="186"/>
      <c r="BR20" s="186"/>
      <c r="BS20" s="186"/>
      <c r="BT20" s="186"/>
      <c r="BU20" s="186"/>
      <c r="BV20" s="186"/>
      <c r="BW20" s="186"/>
      <c r="BX20" s="186"/>
      <c r="BY20" s="186"/>
      <c r="BZ20" s="186"/>
      <c r="CA20" s="186"/>
      <c r="CB20" s="186"/>
      <c r="CC20" s="186"/>
      <c r="CD20" s="186"/>
      <c r="CE20" s="186"/>
      <c r="CF20" s="186"/>
      <c r="CG20" s="186"/>
      <c r="CH20" s="186"/>
      <c r="CI20" s="186"/>
      <c r="CJ20" s="186"/>
      <c r="CK20" s="186"/>
      <c r="CL20" s="186"/>
      <c r="CM20" s="186"/>
      <c r="CN20" s="186"/>
      <c r="CO20" s="186"/>
      <c r="CP20" s="186"/>
      <c r="CQ20" s="186"/>
      <c r="CR20" s="186"/>
      <c r="CS20" s="186"/>
      <c r="CT20" s="186"/>
      <c r="CU20" s="186"/>
      <c r="CV20" s="186"/>
      <c r="CW20" s="186"/>
      <c r="CX20" s="186"/>
      <c r="CY20" s="186"/>
      <c r="CZ20" s="186"/>
      <c r="DA20" s="186"/>
      <c r="DB20" s="186"/>
      <c r="DC20" s="186"/>
      <c r="DD20" s="186"/>
      <c r="DE20" s="186"/>
      <c r="DF20" s="186"/>
      <c r="DG20" s="186"/>
      <c r="DH20" s="186"/>
      <c r="DI20" s="186"/>
      <c r="DJ20" s="186"/>
      <c r="DK20" s="186"/>
      <c r="DL20" s="186"/>
      <c r="DM20" s="186"/>
      <c r="DN20" s="186"/>
      <c r="DO20" s="186"/>
      <c r="DP20" s="186"/>
      <c r="DQ20" s="186"/>
      <c r="DR20" s="186"/>
      <c r="DS20" s="186"/>
      <c r="DT20" s="186"/>
      <c r="DU20" s="186"/>
      <c r="DV20" s="186"/>
      <c r="DW20" s="186"/>
      <c r="DX20" s="186"/>
    </row>
    <row r="21">
      <c r="A21" s="135" t="s">
        <v>496</v>
      </c>
      <c r="B21" s="1">
        <v>110.0</v>
      </c>
      <c r="C21" s="1">
        <v>52.0</v>
      </c>
      <c r="D21" s="1">
        <v>55.0</v>
      </c>
      <c r="E21" s="1">
        <v>58.0</v>
      </c>
      <c r="F21" s="1">
        <v>54.0</v>
      </c>
      <c r="G21" s="1">
        <v>0.0</v>
      </c>
      <c r="H21" s="1">
        <v>70.0</v>
      </c>
      <c r="I21" s="1">
        <v>74.0</v>
      </c>
      <c r="J21" s="1">
        <v>78.0</v>
      </c>
      <c r="K21" s="1">
        <v>72.0</v>
      </c>
      <c r="L21" s="1">
        <v>66.0</v>
      </c>
      <c r="M21" s="1">
        <v>75.0</v>
      </c>
      <c r="N21" s="1">
        <v>78.0</v>
      </c>
      <c r="O21" s="1">
        <v>84.0</v>
      </c>
      <c r="P21" s="1">
        <v>76.0</v>
      </c>
      <c r="Q21" s="1">
        <v>71.0</v>
      </c>
      <c r="R21" s="1">
        <v>77.0</v>
      </c>
      <c r="S21" s="1">
        <v>80.0</v>
      </c>
      <c r="T21" s="1">
        <v>86.0</v>
      </c>
      <c r="U21" s="1">
        <v>78.0</v>
      </c>
      <c r="V21" s="1">
        <v>73.0</v>
      </c>
      <c r="W21" s="1">
        <v>77.0</v>
      </c>
      <c r="X21" s="1">
        <v>81.0</v>
      </c>
      <c r="Y21" s="1">
        <v>87.0</v>
      </c>
      <c r="Z21" s="1">
        <v>79.0</v>
      </c>
      <c r="AA21" s="1">
        <v>72.0</v>
      </c>
      <c r="AB21" s="1">
        <v>72.0</v>
      </c>
      <c r="AC21" s="1">
        <v>77.0</v>
      </c>
      <c r="AD21" s="1">
        <v>80.0</v>
      </c>
      <c r="AE21" s="1">
        <v>75.0</v>
      </c>
      <c r="AF21" s="1">
        <v>68.0</v>
      </c>
      <c r="AG21" s="1">
        <v>67.0</v>
      </c>
      <c r="AH21" s="1">
        <v>72.0</v>
      </c>
      <c r="AI21" s="1">
        <v>75.0</v>
      </c>
      <c r="AJ21" s="1">
        <v>72.0</v>
      </c>
      <c r="AK21" s="1">
        <v>64.0</v>
      </c>
      <c r="AL21" s="1">
        <v>58.0</v>
      </c>
      <c r="AM21" s="1">
        <v>61.0</v>
      </c>
      <c r="AN21" s="1">
        <v>65.0</v>
      </c>
      <c r="AO21" s="1">
        <v>61.0</v>
      </c>
      <c r="AP21" s="1">
        <v>56.0</v>
      </c>
      <c r="AQ21" s="188"/>
    </row>
    <row r="22">
      <c r="A22" s="135"/>
      <c r="AQ22" s="188"/>
    </row>
    <row r="23">
      <c r="A23" s="135"/>
      <c r="AQ23" s="188"/>
    </row>
    <row r="24">
      <c r="A24" s="135"/>
      <c r="AQ24" s="188"/>
    </row>
    <row r="25">
      <c r="A25" s="135"/>
      <c r="AQ25" s="188"/>
    </row>
    <row r="26">
      <c r="A26" s="135"/>
      <c r="AQ26" s="188"/>
    </row>
    <row r="27">
      <c r="A27" s="135"/>
      <c r="AQ27" s="188"/>
    </row>
    <row r="28">
      <c r="A28" s="135"/>
      <c r="AQ28" s="188"/>
    </row>
    <row r="29">
      <c r="A29" s="135"/>
      <c r="AQ29" s="188"/>
    </row>
    <row r="30">
      <c r="A30" s="135"/>
      <c r="AQ30" s="188"/>
    </row>
    <row r="31">
      <c r="A31" s="135"/>
      <c r="AQ31" s="188"/>
    </row>
    <row r="32">
      <c r="A32" s="135"/>
      <c r="AQ32" s="188"/>
    </row>
    <row r="33">
      <c r="A33" s="135"/>
      <c r="AQ33" s="188"/>
    </row>
    <row r="34">
      <c r="A34" s="135"/>
      <c r="AQ34" s="188"/>
    </row>
    <row r="35">
      <c r="A35" s="135"/>
      <c r="AQ35" s="188"/>
    </row>
    <row r="36">
      <c r="A36" s="135"/>
      <c r="AQ36" s="188"/>
    </row>
    <row r="37">
      <c r="A37" s="135"/>
      <c r="AQ37" s="188"/>
    </row>
    <row r="38">
      <c r="A38" s="135"/>
      <c r="AQ38" s="188"/>
    </row>
    <row r="39">
      <c r="A39" s="135"/>
      <c r="AQ39" s="188"/>
    </row>
    <row r="40">
      <c r="A40" s="135"/>
      <c r="AQ40" s="188"/>
    </row>
    <row r="41">
      <c r="A41" s="135"/>
      <c r="AQ41" s="188"/>
    </row>
    <row r="42">
      <c r="A42" s="135"/>
      <c r="AQ42" s="188"/>
    </row>
    <row r="43">
      <c r="A43" s="135"/>
      <c r="AQ43" s="188"/>
    </row>
    <row r="44">
      <c r="A44" s="135"/>
      <c r="AQ44" s="188"/>
    </row>
    <row r="45">
      <c r="A45" s="135"/>
      <c r="AQ45" s="188"/>
    </row>
    <row r="46">
      <c r="A46" s="135"/>
      <c r="AQ46" s="188"/>
    </row>
    <row r="47">
      <c r="A47" s="135"/>
      <c r="AQ47" s="188"/>
    </row>
    <row r="48">
      <c r="A48" s="135"/>
      <c r="AQ48" s="188"/>
    </row>
    <row r="49">
      <c r="A49" s="135"/>
      <c r="AQ49" s="188"/>
    </row>
    <row r="50">
      <c r="A50" s="135"/>
      <c r="AQ50" s="188"/>
    </row>
    <row r="51">
      <c r="A51" s="135"/>
      <c r="AQ51" s="188"/>
    </row>
    <row r="52">
      <c r="A52" s="135"/>
      <c r="AQ52" s="188"/>
    </row>
    <row r="53">
      <c r="A53" s="135"/>
      <c r="AQ53" s="188"/>
    </row>
    <row r="54">
      <c r="A54" s="135"/>
      <c r="AQ54" s="188"/>
    </row>
    <row r="55">
      <c r="A55" s="135"/>
      <c r="AQ55" s="188"/>
    </row>
    <row r="56">
      <c r="A56" s="135"/>
      <c r="AQ56" s="188"/>
    </row>
    <row r="57">
      <c r="A57" s="135"/>
      <c r="AQ57" s="188"/>
    </row>
    <row r="58">
      <c r="A58" s="135"/>
      <c r="AQ58" s="188"/>
    </row>
    <row r="59">
      <c r="A59" s="135"/>
      <c r="AQ59" s="188"/>
    </row>
    <row r="60">
      <c r="A60" s="135"/>
      <c r="AQ60" s="188"/>
    </row>
    <row r="61">
      <c r="A61" s="135"/>
      <c r="AQ61" s="188"/>
    </row>
    <row r="62">
      <c r="A62" s="135"/>
      <c r="AQ62" s="188"/>
    </row>
    <row r="63">
      <c r="A63" s="135"/>
      <c r="AQ63" s="188"/>
    </row>
    <row r="64">
      <c r="A64" s="135"/>
      <c r="AQ64" s="188"/>
    </row>
    <row r="65">
      <c r="A65" s="135"/>
      <c r="AQ65" s="188"/>
    </row>
    <row r="66">
      <c r="A66" s="135"/>
      <c r="AQ66" s="188"/>
    </row>
    <row r="67">
      <c r="A67" s="135"/>
      <c r="AQ67" s="188"/>
    </row>
    <row r="68">
      <c r="A68" s="135"/>
      <c r="AQ68" s="188"/>
    </row>
    <row r="69">
      <c r="A69" s="135"/>
      <c r="AQ69" s="188"/>
    </row>
    <row r="70">
      <c r="A70" s="135"/>
      <c r="AQ70" s="188"/>
    </row>
    <row r="71">
      <c r="A71" s="135"/>
      <c r="AQ71" s="188"/>
    </row>
    <row r="72">
      <c r="A72" s="135"/>
      <c r="AQ72" s="188"/>
    </row>
    <row r="73">
      <c r="A73" s="135"/>
      <c r="AQ73" s="188"/>
    </row>
    <row r="74">
      <c r="A74" s="135"/>
      <c r="AQ74" s="188"/>
    </row>
    <row r="75">
      <c r="A75" s="135"/>
      <c r="AQ75" s="188"/>
    </row>
    <row r="76">
      <c r="A76" s="135"/>
      <c r="AQ76" s="188"/>
    </row>
    <row r="77">
      <c r="A77" s="135"/>
      <c r="AQ77" s="188"/>
    </row>
    <row r="78">
      <c r="A78" s="135"/>
      <c r="AQ78" s="188"/>
    </row>
    <row r="79">
      <c r="A79" s="135"/>
      <c r="AQ79" s="188"/>
    </row>
    <row r="80">
      <c r="A80" s="135"/>
      <c r="AQ80" s="188"/>
    </row>
    <row r="81">
      <c r="A81" s="135"/>
      <c r="AQ81" s="188"/>
    </row>
    <row r="82">
      <c r="A82" s="135"/>
      <c r="AQ82" s="188"/>
    </row>
    <row r="83">
      <c r="A83" s="135"/>
      <c r="AQ83" s="188"/>
    </row>
    <row r="84">
      <c r="A84" s="135"/>
      <c r="AQ84" s="188"/>
    </row>
    <row r="85">
      <c r="A85" s="135"/>
      <c r="AQ85" s="188"/>
    </row>
    <row r="86">
      <c r="A86" s="135"/>
      <c r="AQ86" s="188"/>
    </row>
    <row r="87">
      <c r="A87" s="135"/>
      <c r="AQ87" s="188"/>
    </row>
    <row r="88">
      <c r="A88" s="135"/>
      <c r="AQ88" s="188"/>
    </row>
    <row r="89">
      <c r="A89" s="135"/>
      <c r="AQ89" s="188"/>
    </row>
    <row r="90">
      <c r="A90" s="135"/>
      <c r="AQ90" s="188"/>
    </row>
    <row r="91">
      <c r="A91" s="135"/>
      <c r="AQ91" s="188"/>
    </row>
    <row r="92">
      <c r="A92" s="135"/>
      <c r="AQ92" s="188"/>
    </row>
    <row r="93">
      <c r="A93" s="135"/>
      <c r="AQ93" s="188"/>
    </row>
    <row r="94">
      <c r="A94" s="135"/>
      <c r="AQ94" s="188"/>
    </row>
    <row r="95">
      <c r="A95" s="135"/>
      <c r="AQ95" s="188"/>
    </row>
    <row r="96">
      <c r="A96" s="135"/>
      <c r="AQ96" s="188"/>
    </row>
    <row r="97">
      <c r="A97" s="135"/>
      <c r="AQ97" s="188"/>
    </row>
    <row r="98">
      <c r="A98" s="135"/>
      <c r="AQ98" s="188"/>
    </row>
    <row r="99">
      <c r="A99" s="135"/>
      <c r="AQ99" s="188"/>
    </row>
    <row r="100">
      <c r="A100" s="135"/>
      <c r="AQ100" s="188"/>
    </row>
    <row r="101">
      <c r="A101" s="135"/>
      <c r="AQ101" s="188"/>
    </row>
    <row r="102">
      <c r="A102" s="135"/>
      <c r="AQ102" s="188"/>
    </row>
    <row r="103">
      <c r="A103" s="135"/>
      <c r="AQ103" s="188"/>
    </row>
    <row r="104">
      <c r="A104" s="135"/>
      <c r="AQ104" s="188"/>
    </row>
    <row r="105">
      <c r="A105" s="135"/>
      <c r="AQ105" s="188"/>
    </row>
    <row r="106">
      <c r="A106" s="135"/>
      <c r="AQ106" s="188"/>
    </row>
    <row r="107">
      <c r="A107" s="135"/>
      <c r="AQ107" s="188"/>
    </row>
    <row r="108">
      <c r="A108" s="135"/>
      <c r="AQ108" s="188"/>
    </row>
    <row r="109">
      <c r="A109" s="135"/>
      <c r="AQ109" s="188"/>
    </row>
    <row r="110">
      <c r="A110" s="135"/>
      <c r="AQ110" s="188"/>
    </row>
    <row r="111">
      <c r="A111" s="135"/>
      <c r="AQ111" s="188"/>
    </row>
    <row r="112">
      <c r="A112" s="135"/>
      <c r="AQ112" s="188"/>
    </row>
    <row r="113">
      <c r="A113" s="135"/>
      <c r="AQ113" s="188"/>
    </row>
    <row r="114">
      <c r="A114" s="135"/>
      <c r="AQ114" s="188"/>
    </row>
    <row r="115">
      <c r="A115" s="135"/>
      <c r="AQ115" s="188"/>
    </row>
    <row r="116">
      <c r="A116" s="135"/>
      <c r="AQ116" s="188"/>
    </row>
    <row r="117">
      <c r="A117" s="135"/>
      <c r="AQ117" s="188"/>
    </row>
    <row r="118">
      <c r="A118" s="135"/>
      <c r="AQ118" s="188"/>
    </row>
    <row r="119">
      <c r="A119" s="135"/>
      <c r="AQ119" s="188"/>
    </row>
    <row r="120">
      <c r="A120" s="135"/>
      <c r="AQ120" s="188"/>
    </row>
    <row r="121">
      <c r="A121" s="135"/>
      <c r="AQ121" s="188"/>
    </row>
    <row r="122">
      <c r="A122" s="135"/>
      <c r="AQ122" s="188"/>
    </row>
    <row r="123">
      <c r="A123" s="135"/>
      <c r="AQ123" s="188"/>
    </row>
    <row r="124">
      <c r="A124" s="135"/>
      <c r="AQ124" s="188"/>
    </row>
    <row r="125">
      <c r="A125" s="135"/>
      <c r="AQ125" s="188"/>
    </row>
    <row r="126">
      <c r="A126" s="135"/>
      <c r="AQ126" s="188"/>
    </row>
    <row r="127">
      <c r="A127" s="135"/>
      <c r="AQ127" s="188"/>
    </row>
    <row r="128">
      <c r="A128" s="135"/>
      <c r="AQ128" s="188"/>
    </row>
    <row r="129">
      <c r="A129" s="135"/>
      <c r="AQ129" s="188"/>
    </row>
    <row r="130">
      <c r="A130" s="135"/>
      <c r="AQ130" s="188"/>
    </row>
    <row r="131">
      <c r="A131" s="135"/>
      <c r="AQ131" s="188"/>
    </row>
    <row r="132">
      <c r="A132" s="135"/>
      <c r="AQ132" s="188"/>
    </row>
    <row r="133">
      <c r="A133" s="135"/>
      <c r="AQ133" s="188"/>
    </row>
    <row r="134">
      <c r="A134" s="135"/>
      <c r="AQ134" s="188"/>
    </row>
    <row r="135">
      <c r="A135" s="135"/>
      <c r="AQ135" s="188"/>
    </row>
    <row r="136">
      <c r="A136" s="135"/>
      <c r="AQ136" s="188"/>
    </row>
    <row r="137">
      <c r="A137" s="135"/>
      <c r="AQ137" s="188"/>
    </row>
    <row r="138">
      <c r="A138" s="135"/>
      <c r="AQ138" s="188"/>
    </row>
    <row r="139">
      <c r="A139" s="135"/>
      <c r="AQ139" s="188"/>
    </row>
    <row r="140">
      <c r="A140" s="135"/>
      <c r="AQ140" s="188"/>
    </row>
    <row r="141">
      <c r="A141" s="135"/>
      <c r="AQ141" s="188"/>
    </row>
    <row r="142">
      <c r="A142" s="135"/>
      <c r="AQ142" s="188"/>
    </row>
    <row r="143">
      <c r="A143" s="135"/>
      <c r="AQ143" s="188"/>
    </row>
    <row r="144">
      <c r="A144" s="135"/>
      <c r="AQ144" s="188"/>
    </row>
    <row r="145">
      <c r="A145" s="135"/>
      <c r="AQ145" s="188"/>
    </row>
    <row r="146">
      <c r="A146" s="135"/>
      <c r="AQ146" s="188"/>
    </row>
    <row r="147">
      <c r="A147" s="135"/>
      <c r="AQ147" s="188"/>
    </row>
    <row r="148">
      <c r="A148" s="135"/>
      <c r="AQ148" s="188"/>
    </row>
    <row r="149">
      <c r="A149" s="135"/>
      <c r="AQ149" s="188"/>
    </row>
    <row r="150">
      <c r="A150" s="135"/>
      <c r="AQ150" s="188"/>
    </row>
    <row r="151">
      <c r="A151" s="135"/>
      <c r="AQ151" s="188"/>
    </row>
    <row r="152">
      <c r="A152" s="135"/>
      <c r="AQ152" s="188"/>
    </row>
    <row r="153">
      <c r="A153" s="135"/>
      <c r="AQ153" s="188"/>
    </row>
    <row r="154">
      <c r="A154" s="135"/>
      <c r="AQ154" s="188"/>
    </row>
    <row r="155">
      <c r="A155" s="135"/>
      <c r="AQ155" s="188"/>
    </row>
    <row r="156">
      <c r="A156" s="135"/>
      <c r="AQ156" s="188"/>
    </row>
    <row r="157">
      <c r="A157" s="135"/>
      <c r="AQ157" s="188"/>
    </row>
    <row r="158">
      <c r="A158" s="135"/>
      <c r="AQ158" s="188"/>
    </row>
    <row r="159">
      <c r="A159" s="135"/>
      <c r="AQ159" s="188"/>
    </row>
    <row r="160">
      <c r="A160" s="135"/>
      <c r="AQ160" s="188"/>
    </row>
    <row r="161">
      <c r="A161" s="135"/>
      <c r="AQ161" s="188"/>
    </row>
    <row r="162">
      <c r="A162" s="135"/>
      <c r="AQ162" s="188"/>
    </row>
    <row r="163">
      <c r="A163" s="135"/>
      <c r="AQ163" s="188"/>
    </row>
    <row r="164">
      <c r="A164" s="135"/>
      <c r="AQ164" s="188"/>
    </row>
    <row r="165">
      <c r="A165" s="135"/>
      <c r="AQ165" s="188"/>
    </row>
    <row r="166">
      <c r="A166" s="135"/>
      <c r="AQ166" s="188"/>
    </row>
    <row r="167">
      <c r="A167" s="135"/>
      <c r="AQ167" s="188"/>
    </row>
    <row r="168">
      <c r="A168" s="135"/>
      <c r="AQ168" s="188"/>
    </row>
    <row r="169">
      <c r="A169" s="135"/>
      <c r="AQ169" s="188"/>
    </row>
    <row r="170">
      <c r="A170" s="135"/>
      <c r="AQ170" s="188"/>
    </row>
    <row r="171">
      <c r="A171" s="135"/>
      <c r="AQ171" s="188"/>
    </row>
    <row r="172">
      <c r="A172" s="135"/>
      <c r="AQ172" s="188"/>
    </row>
    <row r="173">
      <c r="A173" s="135"/>
      <c r="AQ173" s="188"/>
    </row>
    <row r="174">
      <c r="A174" s="135"/>
      <c r="AQ174" s="188"/>
    </row>
    <row r="175">
      <c r="A175" s="135"/>
      <c r="AQ175" s="188"/>
    </row>
    <row r="176">
      <c r="A176" s="135"/>
      <c r="AQ176" s="188"/>
    </row>
    <row r="177">
      <c r="A177" s="135"/>
      <c r="AQ177" s="188"/>
    </row>
    <row r="178">
      <c r="A178" s="135"/>
      <c r="AQ178" s="188"/>
    </row>
    <row r="179">
      <c r="A179" s="135"/>
      <c r="AQ179" s="188"/>
    </row>
    <row r="180">
      <c r="A180" s="135"/>
      <c r="AQ180" s="188"/>
    </row>
    <row r="181">
      <c r="A181" s="135"/>
      <c r="AQ181" s="188"/>
    </row>
    <row r="182">
      <c r="A182" s="135"/>
      <c r="AQ182" s="188"/>
    </row>
    <row r="183">
      <c r="A183" s="135"/>
      <c r="AQ183" s="188"/>
    </row>
    <row r="184">
      <c r="A184" s="135"/>
      <c r="AQ184" s="188"/>
    </row>
    <row r="185">
      <c r="A185" s="135"/>
      <c r="AQ185" s="188"/>
    </row>
    <row r="186">
      <c r="A186" s="135"/>
      <c r="AQ186" s="188"/>
    </row>
    <row r="187">
      <c r="A187" s="135"/>
      <c r="AQ187" s="188"/>
    </row>
    <row r="188">
      <c r="A188" s="135"/>
      <c r="AQ188" s="188"/>
    </row>
    <row r="189">
      <c r="A189" s="135"/>
      <c r="AQ189" s="188"/>
    </row>
    <row r="190">
      <c r="A190" s="135"/>
      <c r="AQ190" s="188"/>
    </row>
    <row r="191">
      <c r="A191" s="135"/>
      <c r="AQ191" s="188"/>
    </row>
    <row r="192">
      <c r="A192" s="135"/>
      <c r="AQ192" s="188"/>
    </row>
    <row r="193">
      <c r="A193" s="135"/>
      <c r="AQ193" s="188"/>
    </row>
    <row r="194">
      <c r="A194" s="135"/>
      <c r="AQ194" s="188"/>
    </row>
    <row r="195">
      <c r="A195" s="135"/>
      <c r="AQ195" s="188"/>
    </row>
    <row r="196">
      <c r="A196" s="135"/>
      <c r="AQ196" s="188"/>
    </row>
    <row r="197">
      <c r="A197" s="135"/>
      <c r="AQ197" s="188"/>
    </row>
    <row r="198">
      <c r="A198" s="135"/>
      <c r="AQ198" s="188"/>
    </row>
    <row r="199">
      <c r="A199" s="135"/>
      <c r="AQ199" s="188"/>
    </row>
    <row r="200">
      <c r="A200" s="135"/>
      <c r="AQ200" s="188"/>
    </row>
    <row r="201">
      <c r="A201" s="135"/>
      <c r="AQ201" s="188"/>
    </row>
    <row r="202">
      <c r="A202" s="135"/>
      <c r="AQ202" s="188"/>
    </row>
    <row r="203">
      <c r="A203" s="135"/>
      <c r="AQ203" s="188"/>
    </row>
    <row r="204">
      <c r="A204" s="135"/>
      <c r="AQ204" s="188"/>
    </row>
    <row r="205">
      <c r="A205" s="135"/>
      <c r="AQ205" s="188"/>
    </row>
    <row r="206">
      <c r="A206" s="135"/>
      <c r="AQ206" s="188"/>
    </row>
    <row r="207">
      <c r="A207" s="135"/>
      <c r="AQ207" s="188"/>
    </row>
    <row r="208">
      <c r="A208" s="135"/>
      <c r="AQ208" s="188"/>
    </row>
    <row r="209">
      <c r="A209" s="135"/>
      <c r="AQ209" s="188"/>
    </row>
    <row r="210">
      <c r="A210" s="135"/>
      <c r="AQ210" s="188"/>
    </row>
    <row r="211">
      <c r="A211" s="135"/>
      <c r="AQ211" s="188"/>
    </row>
    <row r="212">
      <c r="A212" s="135"/>
      <c r="AQ212" s="188"/>
    </row>
    <row r="213">
      <c r="A213" s="135"/>
      <c r="AQ213" s="188"/>
    </row>
    <row r="214">
      <c r="A214" s="135"/>
      <c r="AQ214" s="188"/>
    </row>
    <row r="215">
      <c r="A215" s="135"/>
      <c r="AQ215" s="188"/>
    </row>
    <row r="216">
      <c r="A216" s="135"/>
      <c r="AQ216" s="188"/>
    </row>
    <row r="217">
      <c r="A217" s="135"/>
      <c r="AQ217" s="188"/>
    </row>
    <row r="218">
      <c r="A218" s="135"/>
      <c r="AQ218" s="188"/>
    </row>
    <row r="219">
      <c r="A219" s="135"/>
      <c r="AQ219" s="188"/>
    </row>
    <row r="220">
      <c r="A220" s="135"/>
      <c r="AQ220" s="188"/>
    </row>
    <row r="221">
      <c r="A221" s="135"/>
      <c r="AQ221" s="188"/>
    </row>
    <row r="222">
      <c r="A222" s="135"/>
      <c r="AQ222" s="188"/>
    </row>
    <row r="223">
      <c r="A223" s="135"/>
      <c r="AQ223" s="188"/>
    </row>
    <row r="224">
      <c r="A224" s="135"/>
      <c r="AQ224" s="188"/>
    </row>
    <row r="225">
      <c r="A225" s="135"/>
      <c r="AQ225" s="188"/>
    </row>
    <row r="226">
      <c r="A226" s="135"/>
      <c r="AQ226" s="188"/>
    </row>
    <row r="227">
      <c r="A227" s="135"/>
      <c r="AQ227" s="188"/>
    </row>
    <row r="228">
      <c r="A228" s="135"/>
      <c r="AQ228" s="188"/>
    </row>
    <row r="229">
      <c r="A229" s="135"/>
      <c r="AQ229" s="188"/>
    </row>
    <row r="230">
      <c r="A230" s="135"/>
      <c r="AQ230" s="188"/>
    </row>
    <row r="231">
      <c r="A231" s="135"/>
      <c r="AQ231" s="188"/>
    </row>
    <row r="232">
      <c r="A232" s="135"/>
      <c r="AQ232" s="188"/>
    </row>
    <row r="233">
      <c r="A233" s="135"/>
      <c r="AQ233" s="188"/>
    </row>
    <row r="234">
      <c r="A234" s="135"/>
      <c r="AQ234" s="188"/>
    </row>
    <row r="235">
      <c r="A235" s="135"/>
      <c r="AQ235" s="188"/>
    </row>
    <row r="236">
      <c r="A236" s="135"/>
      <c r="AQ236" s="188"/>
    </row>
    <row r="237">
      <c r="A237" s="135"/>
      <c r="AQ237" s="188"/>
    </row>
    <row r="238">
      <c r="A238" s="135"/>
      <c r="AQ238" s="188"/>
    </row>
    <row r="239">
      <c r="A239" s="135"/>
      <c r="AQ239" s="188"/>
    </row>
    <row r="240">
      <c r="A240" s="135"/>
      <c r="AQ240" s="188"/>
    </row>
    <row r="241">
      <c r="A241" s="135"/>
      <c r="AQ241" s="188"/>
    </row>
    <row r="242">
      <c r="A242" s="135"/>
      <c r="AQ242" s="188"/>
    </row>
    <row r="243">
      <c r="A243" s="135"/>
      <c r="AQ243" s="188"/>
    </row>
    <row r="244">
      <c r="A244" s="135"/>
      <c r="AQ244" s="188"/>
    </row>
    <row r="245">
      <c r="A245" s="135"/>
      <c r="AQ245" s="188"/>
    </row>
    <row r="246">
      <c r="A246" s="135"/>
      <c r="AQ246" s="188"/>
    </row>
    <row r="247">
      <c r="A247" s="135"/>
      <c r="AQ247" s="188"/>
    </row>
    <row r="248">
      <c r="A248" s="135"/>
      <c r="AQ248" s="188"/>
    </row>
    <row r="249">
      <c r="A249" s="135"/>
      <c r="AQ249" s="188"/>
    </row>
    <row r="250">
      <c r="A250" s="135"/>
      <c r="AQ250" s="188"/>
    </row>
    <row r="251">
      <c r="A251" s="135"/>
      <c r="AQ251" s="188"/>
    </row>
    <row r="252">
      <c r="A252" s="135"/>
      <c r="AQ252" s="188"/>
    </row>
    <row r="253">
      <c r="A253" s="135"/>
      <c r="AQ253" s="188"/>
    </row>
    <row r="254">
      <c r="A254" s="135"/>
      <c r="AQ254" s="188"/>
    </row>
    <row r="255">
      <c r="A255" s="135"/>
      <c r="AQ255" s="188"/>
    </row>
    <row r="256">
      <c r="A256" s="135"/>
      <c r="AQ256" s="188"/>
    </row>
    <row r="257">
      <c r="A257" s="135"/>
      <c r="AQ257" s="188"/>
    </row>
    <row r="258">
      <c r="A258" s="135"/>
      <c r="AQ258" s="188"/>
    </row>
    <row r="259">
      <c r="A259" s="135"/>
      <c r="AQ259" s="188"/>
    </row>
    <row r="260">
      <c r="A260" s="135"/>
      <c r="AQ260" s="188"/>
    </row>
    <row r="261">
      <c r="A261" s="135"/>
      <c r="AQ261" s="188"/>
    </row>
    <row r="262">
      <c r="A262" s="135"/>
      <c r="AQ262" s="188"/>
    </row>
    <row r="263">
      <c r="A263" s="135"/>
      <c r="AQ263" s="188"/>
    </row>
    <row r="264">
      <c r="A264" s="135"/>
      <c r="AQ264" s="188"/>
    </row>
    <row r="265">
      <c r="A265" s="135"/>
      <c r="AQ265" s="188"/>
    </row>
    <row r="266">
      <c r="A266" s="135"/>
      <c r="AQ266" s="188"/>
    </row>
    <row r="267">
      <c r="A267" s="135"/>
      <c r="AQ267" s="188"/>
    </row>
    <row r="268">
      <c r="A268" s="135"/>
      <c r="AQ268" s="188"/>
    </row>
    <row r="269">
      <c r="A269" s="135"/>
      <c r="AQ269" s="188"/>
    </row>
    <row r="270">
      <c r="A270" s="135"/>
      <c r="AQ270" s="188"/>
    </row>
    <row r="271">
      <c r="A271" s="135"/>
      <c r="AQ271" s="188"/>
    </row>
    <row r="272">
      <c r="A272" s="135"/>
      <c r="AQ272" s="188"/>
    </row>
    <row r="273">
      <c r="A273" s="135"/>
      <c r="AQ273" s="188"/>
    </row>
    <row r="274">
      <c r="A274" s="135"/>
      <c r="AQ274" s="188"/>
    </row>
    <row r="275">
      <c r="A275" s="135"/>
      <c r="AQ275" s="188"/>
    </row>
    <row r="276">
      <c r="A276" s="135"/>
      <c r="AQ276" s="188"/>
    </row>
    <row r="277">
      <c r="A277" s="135"/>
      <c r="AQ277" s="188"/>
    </row>
    <row r="278">
      <c r="A278" s="135"/>
      <c r="AQ278" s="188"/>
    </row>
    <row r="279">
      <c r="A279" s="135"/>
      <c r="AQ279" s="188"/>
    </row>
    <row r="280">
      <c r="A280" s="135"/>
      <c r="AQ280" s="188"/>
    </row>
    <row r="281">
      <c r="A281" s="135"/>
      <c r="AQ281" s="188"/>
    </row>
    <row r="282">
      <c r="A282" s="135"/>
      <c r="AQ282" s="188"/>
    </row>
    <row r="283">
      <c r="A283" s="135"/>
      <c r="AQ283" s="188"/>
    </row>
    <row r="284">
      <c r="A284" s="135"/>
      <c r="AQ284" s="188"/>
    </row>
    <row r="285">
      <c r="A285" s="135"/>
      <c r="AQ285" s="188"/>
    </row>
    <row r="286">
      <c r="A286" s="135"/>
      <c r="AQ286" s="188"/>
    </row>
    <row r="287">
      <c r="A287" s="135"/>
      <c r="AQ287" s="188"/>
    </row>
    <row r="288">
      <c r="A288" s="135"/>
      <c r="AQ288" s="188"/>
    </row>
    <row r="289">
      <c r="A289" s="135"/>
      <c r="AQ289" s="188"/>
    </row>
    <row r="290">
      <c r="A290" s="135"/>
      <c r="AQ290" s="188"/>
    </row>
    <row r="291">
      <c r="A291" s="135"/>
      <c r="AQ291" s="188"/>
    </row>
    <row r="292">
      <c r="A292" s="135"/>
      <c r="AQ292" s="188"/>
    </row>
    <row r="293">
      <c r="A293" s="135"/>
      <c r="AQ293" s="188"/>
    </row>
    <row r="294">
      <c r="A294" s="135"/>
      <c r="AQ294" s="188"/>
    </row>
    <row r="295">
      <c r="A295" s="135"/>
      <c r="AQ295" s="188"/>
    </row>
    <row r="296">
      <c r="A296" s="135"/>
      <c r="AQ296" s="188"/>
    </row>
    <row r="297">
      <c r="A297" s="135"/>
      <c r="AQ297" s="188"/>
    </row>
    <row r="298">
      <c r="A298" s="135"/>
      <c r="AQ298" s="188"/>
    </row>
    <row r="299">
      <c r="A299" s="135"/>
      <c r="AQ299" s="188"/>
    </row>
    <row r="300">
      <c r="A300" s="135"/>
      <c r="AQ300" s="188"/>
    </row>
    <row r="301">
      <c r="A301" s="135"/>
      <c r="AQ301" s="188"/>
    </row>
    <row r="302">
      <c r="A302" s="135"/>
      <c r="AQ302" s="188"/>
    </row>
    <row r="303">
      <c r="A303" s="135"/>
      <c r="AQ303" s="188"/>
    </row>
    <row r="304">
      <c r="A304" s="135"/>
      <c r="AQ304" s="188"/>
    </row>
    <row r="305">
      <c r="A305" s="135"/>
      <c r="AQ305" s="188"/>
    </row>
    <row r="306">
      <c r="A306" s="135"/>
      <c r="AQ306" s="188"/>
    </row>
    <row r="307">
      <c r="A307" s="135"/>
      <c r="AQ307" s="188"/>
    </row>
    <row r="308">
      <c r="A308" s="135"/>
      <c r="AQ308" s="188"/>
    </row>
    <row r="309">
      <c r="A309" s="135"/>
      <c r="AQ309" s="188"/>
    </row>
    <row r="310">
      <c r="A310" s="135"/>
      <c r="AQ310" s="188"/>
    </row>
    <row r="311">
      <c r="A311" s="135"/>
      <c r="AQ311" s="188"/>
    </row>
    <row r="312">
      <c r="A312" s="135"/>
      <c r="AQ312" s="188"/>
    </row>
    <row r="313">
      <c r="A313" s="135"/>
      <c r="AQ313" s="188"/>
    </row>
    <row r="314">
      <c r="A314" s="135"/>
      <c r="AQ314" s="188"/>
    </row>
    <row r="315">
      <c r="A315" s="135"/>
      <c r="AQ315" s="188"/>
    </row>
    <row r="316">
      <c r="A316" s="135"/>
      <c r="AQ316" s="188"/>
    </row>
    <row r="317">
      <c r="A317" s="135"/>
      <c r="AQ317" s="188"/>
    </row>
    <row r="318">
      <c r="A318" s="135"/>
      <c r="AQ318" s="188"/>
    </row>
    <row r="319">
      <c r="A319" s="135"/>
      <c r="AQ319" s="188"/>
    </row>
    <row r="320">
      <c r="A320" s="135"/>
      <c r="AQ320" s="188"/>
    </row>
    <row r="321">
      <c r="A321" s="135"/>
      <c r="AQ321" s="188"/>
    </row>
    <row r="322">
      <c r="A322" s="135"/>
      <c r="AQ322" s="188"/>
    </row>
    <row r="323">
      <c r="A323" s="135"/>
      <c r="AQ323" s="188"/>
    </row>
    <row r="324">
      <c r="A324" s="135"/>
      <c r="AQ324" s="188"/>
    </row>
    <row r="325">
      <c r="A325" s="135"/>
      <c r="AQ325" s="188"/>
    </row>
    <row r="326">
      <c r="A326" s="135"/>
      <c r="AQ326" s="188"/>
    </row>
    <row r="327">
      <c r="A327" s="135"/>
      <c r="AQ327" s="188"/>
    </row>
    <row r="328">
      <c r="A328" s="135"/>
      <c r="AQ328" s="188"/>
    </row>
    <row r="329">
      <c r="A329" s="135"/>
      <c r="AQ329" s="188"/>
    </row>
    <row r="330">
      <c r="A330" s="135"/>
      <c r="AQ330" s="188"/>
    </row>
    <row r="331">
      <c r="A331" s="135"/>
      <c r="AQ331" s="188"/>
    </row>
    <row r="332">
      <c r="A332" s="135"/>
      <c r="AQ332" s="188"/>
    </row>
    <row r="333">
      <c r="A333" s="135"/>
      <c r="AQ333" s="188"/>
    </row>
    <row r="334">
      <c r="A334" s="135"/>
      <c r="AQ334" s="188"/>
    </row>
    <row r="335">
      <c r="A335" s="135"/>
      <c r="AQ335" s="188"/>
    </row>
    <row r="336">
      <c r="A336" s="135"/>
      <c r="AQ336" s="188"/>
    </row>
    <row r="337">
      <c r="A337" s="135"/>
      <c r="AQ337" s="188"/>
    </row>
    <row r="338">
      <c r="A338" s="135"/>
      <c r="AQ338" s="188"/>
    </row>
    <row r="339">
      <c r="A339" s="135"/>
      <c r="AQ339" s="188"/>
    </row>
    <row r="340">
      <c r="A340" s="135"/>
      <c r="AQ340" s="188"/>
    </row>
    <row r="341">
      <c r="A341" s="135"/>
      <c r="AQ341" s="188"/>
    </row>
    <row r="342">
      <c r="A342" s="135"/>
      <c r="AQ342" s="188"/>
    </row>
    <row r="343">
      <c r="A343" s="135"/>
      <c r="AQ343" s="188"/>
    </row>
    <row r="344">
      <c r="A344" s="135"/>
      <c r="AQ344" s="188"/>
    </row>
    <row r="345">
      <c r="A345" s="135"/>
      <c r="AQ345" s="188"/>
    </row>
    <row r="346">
      <c r="A346" s="135"/>
      <c r="AQ346" s="188"/>
    </row>
    <row r="347">
      <c r="A347" s="135"/>
      <c r="AQ347" s="188"/>
    </row>
    <row r="348">
      <c r="A348" s="135"/>
      <c r="AQ348" s="188"/>
    </row>
    <row r="349">
      <c r="A349" s="135"/>
      <c r="AQ349" s="188"/>
    </row>
    <row r="350">
      <c r="A350" s="135"/>
      <c r="AQ350" s="188"/>
    </row>
    <row r="351">
      <c r="A351" s="135"/>
      <c r="AQ351" s="188"/>
    </row>
    <row r="352">
      <c r="A352" s="135"/>
      <c r="AQ352" s="188"/>
    </row>
    <row r="353">
      <c r="A353" s="135"/>
      <c r="AQ353" s="188"/>
    </row>
    <row r="354">
      <c r="A354" s="135"/>
      <c r="AQ354" s="188"/>
    </row>
    <row r="355">
      <c r="A355" s="135"/>
      <c r="AQ355" s="188"/>
    </row>
    <row r="356">
      <c r="A356" s="135"/>
      <c r="AQ356" s="188"/>
    </row>
    <row r="357">
      <c r="A357" s="135"/>
      <c r="AQ357" s="188"/>
    </row>
    <row r="358">
      <c r="A358" s="135"/>
      <c r="AQ358" s="188"/>
    </row>
    <row r="359">
      <c r="A359" s="135"/>
      <c r="AQ359" s="188"/>
    </row>
    <row r="360">
      <c r="A360" s="135"/>
      <c r="AQ360" s="188"/>
    </row>
    <row r="361">
      <c r="A361" s="135"/>
      <c r="AQ361" s="188"/>
    </row>
    <row r="362">
      <c r="A362" s="135"/>
      <c r="AQ362" s="188"/>
    </row>
    <row r="363">
      <c r="A363" s="135"/>
      <c r="AQ363" s="188"/>
    </row>
    <row r="364">
      <c r="A364" s="135"/>
      <c r="AQ364" s="188"/>
    </row>
    <row r="365">
      <c r="A365" s="135"/>
      <c r="AQ365" s="188"/>
    </row>
    <row r="366">
      <c r="A366" s="135"/>
      <c r="AQ366" s="188"/>
    </row>
    <row r="367">
      <c r="A367" s="135"/>
      <c r="AQ367" s="188"/>
    </row>
    <row r="368">
      <c r="A368" s="135"/>
      <c r="AQ368" s="188"/>
    </row>
    <row r="369">
      <c r="A369" s="135"/>
      <c r="AQ369" s="188"/>
    </row>
    <row r="370">
      <c r="A370" s="135"/>
      <c r="AQ370" s="188"/>
    </row>
    <row r="371">
      <c r="A371" s="135"/>
      <c r="AQ371" s="188"/>
    </row>
    <row r="372">
      <c r="A372" s="135"/>
      <c r="AQ372" s="188"/>
    </row>
    <row r="373">
      <c r="A373" s="135"/>
      <c r="AQ373" s="188"/>
    </row>
    <row r="374">
      <c r="A374" s="135"/>
      <c r="AQ374" s="188"/>
    </row>
    <row r="375">
      <c r="A375" s="135"/>
      <c r="AQ375" s="188"/>
    </row>
    <row r="376">
      <c r="A376" s="135"/>
      <c r="AQ376" s="188"/>
    </row>
    <row r="377">
      <c r="A377" s="135"/>
      <c r="AQ377" s="188"/>
    </row>
    <row r="378">
      <c r="A378" s="135"/>
      <c r="AQ378" s="188"/>
    </row>
    <row r="379">
      <c r="A379" s="135"/>
      <c r="AQ379" s="188"/>
    </row>
    <row r="380">
      <c r="A380" s="135"/>
      <c r="AQ380" s="188"/>
    </row>
    <row r="381">
      <c r="A381" s="135"/>
      <c r="AQ381" s="188"/>
    </row>
    <row r="382">
      <c r="A382" s="135"/>
      <c r="AQ382" s="188"/>
    </row>
    <row r="383">
      <c r="A383" s="135"/>
      <c r="AQ383" s="188"/>
    </row>
    <row r="384">
      <c r="A384" s="135"/>
      <c r="AQ384" s="188"/>
    </row>
    <row r="385">
      <c r="A385" s="135"/>
      <c r="AQ385" s="188"/>
    </row>
    <row r="386">
      <c r="A386" s="135"/>
      <c r="AQ386" s="188"/>
    </row>
    <row r="387">
      <c r="A387" s="135"/>
      <c r="AQ387" s="188"/>
    </row>
    <row r="388">
      <c r="A388" s="135"/>
      <c r="AQ388" s="188"/>
    </row>
    <row r="389">
      <c r="A389" s="135"/>
      <c r="AQ389" s="188"/>
    </row>
    <row r="390">
      <c r="A390" s="135"/>
      <c r="AQ390" s="188"/>
    </row>
    <row r="391">
      <c r="A391" s="135"/>
      <c r="AQ391" s="188"/>
    </row>
    <row r="392">
      <c r="A392" s="135"/>
      <c r="AQ392" s="188"/>
    </row>
    <row r="393">
      <c r="A393" s="135"/>
      <c r="AQ393" s="188"/>
    </row>
    <row r="394">
      <c r="A394" s="135"/>
      <c r="AQ394" s="188"/>
    </row>
    <row r="395">
      <c r="A395" s="135"/>
      <c r="AQ395" s="188"/>
    </row>
    <row r="396">
      <c r="A396" s="135"/>
      <c r="AQ396" s="188"/>
    </row>
    <row r="397">
      <c r="A397" s="135"/>
      <c r="AQ397" s="188"/>
    </row>
    <row r="398">
      <c r="A398" s="135"/>
      <c r="AQ398" s="188"/>
    </row>
    <row r="399">
      <c r="A399" s="135"/>
      <c r="AQ399" s="188"/>
    </row>
    <row r="400">
      <c r="A400" s="135"/>
      <c r="AQ400" s="188"/>
    </row>
    <row r="401">
      <c r="A401" s="135"/>
      <c r="AQ401" s="188"/>
    </row>
    <row r="402">
      <c r="A402" s="135"/>
      <c r="AQ402" s="188"/>
    </row>
    <row r="403">
      <c r="A403" s="135"/>
      <c r="AQ403" s="188"/>
    </row>
    <row r="404">
      <c r="A404" s="135"/>
      <c r="AQ404" s="188"/>
    </row>
    <row r="405">
      <c r="A405" s="135"/>
      <c r="AQ405" s="188"/>
    </row>
    <row r="406">
      <c r="A406" s="135"/>
      <c r="AQ406" s="188"/>
    </row>
    <row r="407">
      <c r="A407" s="135"/>
      <c r="AQ407" s="188"/>
    </row>
    <row r="408">
      <c r="A408" s="135"/>
      <c r="AQ408" s="188"/>
    </row>
    <row r="409">
      <c r="A409" s="135"/>
      <c r="AQ409" s="188"/>
    </row>
    <row r="410">
      <c r="A410" s="135"/>
      <c r="AQ410" s="188"/>
    </row>
    <row r="411">
      <c r="A411" s="135"/>
      <c r="AQ411" s="188"/>
    </row>
    <row r="412">
      <c r="A412" s="135"/>
      <c r="AQ412" s="188"/>
    </row>
    <row r="413">
      <c r="A413" s="135"/>
      <c r="AQ413" s="188"/>
    </row>
    <row r="414">
      <c r="A414" s="135"/>
      <c r="AQ414" s="188"/>
    </row>
    <row r="415">
      <c r="A415" s="135"/>
      <c r="AQ415" s="188"/>
    </row>
    <row r="416">
      <c r="A416" s="135"/>
      <c r="AQ416" s="188"/>
    </row>
    <row r="417">
      <c r="A417" s="135"/>
      <c r="AQ417" s="188"/>
    </row>
    <row r="418">
      <c r="A418" s="135"/>
      <c r="AQ418" s="188"/>
    </row>
    <row r="419">
      <c r="A419" s="135"/>
      <c r="AQ419" s="188"/>
    </row>
    <row r="420">
      <c r="A420" s="135"/>
      <c r="AQ420" s="188"/>
    </row>
    <row r="421">
      <c r="A421" s="135"/>
      <c r="AQ421" s="188"/>
    </row>
    <row r="422">
      <c r="A422" s="135"/>
      <c r="AQ422" s="188"/>
    </row>
    <row r="423">
      <c r="A423" s="135"/>
      <c r="AQ423" s="188"/>
    </row>
    <row r="424">
      <c r="A424" s="135"/>
      <c r="AQ424" s="188"/>
    </row>
    <row r="425">
      <c r="A425" s="135"/>
      <c r="AQ425" s="188"/>
    </row>
    <row r="426">
      <c r="A426" s="135"/>
      <c r="AQ426" s="188"/>
    </row>
    <row r="427">
      <c r="A427" s="135"/>
      <c r="AQ427" s="188"/>
    </row>
    <row r="428">
      <c r="A428" s="135"/>
      <c r="AQ428" s="188"/>
    </row>
    <row r="429">
      <c r="A429" s="135"/>
      <c r="AQ429" s="188"/>
    </row>
    <row r="430">
      <c r="A430" s="135"/>
      <c r="AQ430" s="188"/>
    </row>
    <row r="431">
      <c r="A431" s="135"/>
      <c r="AQ431" s="188"/>
    </row>
    <row r="432">
      <c r="A432" s="135"/>
      <c r="AQ432" s="188"/>
    </row>
    <row r="433">
      <c r="A433" s="135"/>
      <c r="AQ433" s="188"/>
    </row>
    <row r="434">
      <c r="A434" s="135"/>
      <c r="AQ434" s="188"/>
    </row>
    <row r="435">
      <c r="A435" s="135"/>
      <c r="AQ435" s="188"/>
    </row>
    <row r="436">
      <c r="A436" s="135"/>
      <c r="AQ436" s="188"/>
    </row>
    <row r="437">
      <c r="A437" s="135"/>
      <c r="AQ437" s="188"/>
    </row>
    <row r="438">
      <c r="A438" s="135"/>
      <c r="AQ438" s="188"/>
    </row>
    <row r="439">
      <c r="A439" s="135"/>
      <c r="AQ439" s="188"/>
    </row>
    <row r="440">
      <c r="A440" s="135"/>
      <c r="AQ440" s="188"/>
    </row>
    <row r="441">
      <c r="A441" s="135"/>
      <c r="AQ441" s="188"/>
    </row>
    <row r="442">
      <c r="A442" s="135"/>
      <c r="AQ442" s="188"/>
    </row>
    <row r="443">
      <c r="A443" s="135"/>
      <c r="AQ443" s="188"/>
    </row>
    <row r="444">
      <c r="A444" s="135"/>
      <c r="AQ444" s="188"/>
    </row>
    <row r="445">
      <c r="A445" s="135"/>
      <c r="AQ445" s="188"/>
    </row>
    <row r="446">
      <c r="A446" s="135"/>
      <c r="AQ446" s="188"/>
    </row>
    <row r="447">
      <c r="A447" s="135"/>
      <c r="AQ447" s="188"/>
    </row>
    <row r="448">
      <c r="A448" s="135"/>
      <c r="AQ448" s="188"/>
    </row>
    <row r="449">
      <c r="A449" s="135"/>
      <c r="AQ449" s="188"/>
    </row>
    <row r="450">
      <c r="A450" s="135"/>
      <c r="AQ450" s="188"/>
    </row>
    <row r="451">
      <c r="A451" s="135"/>
      <c r="AQ451" s="188"/>
    </row>
    <row r="452">
      <c r="A452" s="135"/>
      <c r="AQ452" s="188"/>
    </row>
    <row r="453">
      <c r="A453" s="135"/>
      <c r="AQ453" s="188"/>
    </row>
    <row r="454">
      <c r="A454" s="135"/>
      <c r="AQ454" s="188"/>
    </row>
    <row r="455">
      <c r="A455" s="135"/>
      <c r="AQ455" s="188"/>
    </row>
    <row r="456">
      <c r="A456" s="135"/>
      <c r="AQ456" s="188"/>
    </row>
    <row r="457">
      <c r="A457" s="135"/>
      <c r="AQ457" s="188"/>
    </row>
    <row r="458">
      <c r="A458" s="135"/>
      <c r="AQ458" s="188"/>
    </row>
    <row r="459">
      <c r="A459" s="135"/>
      <c r="AQ459" s="188"/>
    </row>
    <row r="460">
      <c r="A460" s="135"/>
      <c r="AQ460" s="188"/>
    </row>
    <row r="461">
      <c r="A461" s="135"/>
      <c r="AQ461" s="188"/>
    </row>
    <row r="462">
      <c r="A462" s="135"/>
      <c r="AQ462" s="188"/>
    </row>
    <row r="463">
      <c r="A463" s="135"/>
      <c r="AQ463" s="188"/>
    </row>
    <row r="464">
      <c r="A464" s="135"/>
      <c r="AQ464" s="188"/>
    </row>
    <row r="465">
      <c r="A465" s="135"/>
      <c r="AQ465" s="188"/>
    </row>
    <row r="466">
      <c r="A466" s="135"/>
      <c r="AQ466" s="188"/>
    </row>
    <row r="467">
      <c r="A467" s="135"/>
      <c r="AQ467" s="188"/>
    </row>
    <row r="468">
      <c r="A468" s="135"/>
      <c r="AQ468" s="188"/>
    </row>
    <row r="469">
      <c r="A469" s="135"/>
      <c r="AQ469" s="188"/>
    </row>
    <row r="470">
      <c r="A470" s="135"/>
      <c r="AQ470" s="188"/>
    </row>
    <row r="471">
      <c r="A471" s="135"/>
      <c r="AQ471" s="188"/>
    </row>
    <row r="472">
      <c r="A472" s="135"/>
      <c r="AQ472" s="188"/>
    </row>
    <row r="473">
      <c r="A473" s="135"/>
      <c r="AQ473" s="188"/>
    </row>
    <row r="474">
      <c r="A474" s="135"/>
      <c r="AQ474" s="188"/>
    </row>
    <row r="475">
      <c r="A475" s="135"/>
      <c r="AQ475" s="188"/>
    </row>
    <row r="476">
      <c r="A476" s="135"/>
      <c r="AQ476" s="188"/>
    </row>
    <row r="477">
      <c r="A477" s="135"/>
      <c r="AQ477" s="188"/>
    </row>
    <row r="478">
      <c r="A478" s="135"/>
      <c r="AQ478" s="188"/>
    </row>
    <row r="479">
      <c r="A479" s="135"/>
      <c r="AQ479" s="188"/>
    </row>
    <row r="480">
      <c r="A480" s="135"/>
      <c r="AQ480" s="188"/>
    </row>
    <row r="481">
      <c r="A481" s="135"/>
      <c r="AQ481" s="188"/>
    </row>
    <row r="482">
      <c r="A482" s="135"/>
      <c r="AQ482" s="188"/>
    </row>
    <row r="483">
      <c r="A483" s="135"/>
      <c r="AQ483" s="188"/>
    </row>
    <row r="484">
      <c r="A484" s="135"/>
      <c r="AQ484" s="188"/>
    </row>
    <row r="485">
      <c r="A485" s="135"/>
      <c r="AQ485" s="188"/>
    </row>
    <row r="486">
      <c r="A486" s="135"/>
      <c r="AQ486" s="188"/>
    </row>
    <row r="487">
      <c r="A487" s="135"/>
      <c r="AQ487" s="188"/>
    </row>
    <row r="488">
      <c r="A488" s="135"/>
      <c r="AQ488" s="188"/>
    </row>
    <row r="489">
      <c r="A489" s="135"/>
      <c r="AQ489" s="188"/>
    </row>
    <row r="490">
      <c r="A490" s="135"/>
      <c r="AQ490" s="188"/>
    </row>
    <row r="491">
      <c r="A491" s="135"/>
      <c r="AQ491" s="188"/>
    </row>
    <row r="492">
      <c r="A492" s="135"/>
      <c r="AQ492" s="188"/>
    </row>
    <row r="493">
      <c r="A493" s="135"/>
      <c r="AQ493" s="188"/>
    </row>
    <row r="494">
      <c r="A494" s="135"/>
      <c r="AQ494" s="188"/>
    </row>
    <row r="495">
      <c r="A495" s="135"/>
      <c r="AQ495" s="188"/>
    </row>
    <row r="496">
      <c r="A496" s="135"/>
      <c r="AQ496" s="188"/>
    </row>
    <row r="497">
      <c r="A497" s="135"/>
      <c r="AQ497" s="188"/>
    </row>
    <row r="498">
      <c r="A498" s="135"/>
      <c r="AQ498" s="188"/>
    </row>
    <row r="499">
      <c r="A499" s="135"/>
      <c r="AQ499" s="188"/>
    </row>
    <row r="500">
      <c r="A500" s="135"/>
      <c r="AQ500" s="188"/>
    </row>
    <row r="501">
      <c r="A501" s="135"/>
      <c r="AQ501" s="188"/>
    </row>
    <row r="502">
      <c r="A502" s="135"/>
      <c r="AQ502" s="188"/>
    </row>
    <row r="503">
      <c r="A503" s="135"/>
      <c r="AQ503" s="188"/>
    </row>
    <row r="504">
      <c r="A504" s="135"/>
      <c r="AQ504" s="188"/>
    </row>
    <row r="505">
      <c r="A505" s="135"/>
      <c r="AQ505" s="188"/>
    </row>
    <row r="506">
      <c r="A506" s="135"/>
      <c r="AQ506" s="188"/>
    </row>
    <row r="507">
      <c r="A507" s="135"/>
      <c r="AQ507" s="188"/>
    </row>
    <row r="508">
      <c r="A508" s="135"/>
      <c r="AQ508" s="188"/>
    </row>
    <row r="509">
      <c r="A509" s="135"/>
      <c r="AQ509" s="188"/>
    </row>
    <row r="510">
      <c r="A510" s="135"/>
      <c r="AQ510" s="188"/>
    </row>
    <row r="511">
      <c r="A511" s="135"/>
      <c r="AQ511" s="188"/>
    </row>
    <row r="512">
      <c r="A512" s="135"/>
      <c r="AQ512" s="188"/>
    </row>
    <row r="513">
      <c r="A513" s="135"/>
      <c r="AQ513" s="188"/>
    </row>
    <row r="514">
      <c r="A514" s="135"/>
      <c r="AQ514" s="188"/>
    </row>
    <row r="515">
      <c r="A515" s="135"/>
      <c r="AQ515" s="188"/>
    </row>
    <row r="516">
      <c r="A516" s="135"/>
      <c r="AQ516" s="188"/>
    </row>
    <row r="517">
      <c r="A517" s="135"/>
      <c r="AQ517" s="188"/>
    </row>
    <row r="518">
      <c r="A518" s="135"/>
      <c r="AQ518" s="188"/>
    </row>
    <row r="519">
      <c r="A519" s="135"/>
      <c r="AQ519" s="188"/>
    </row>
    <row r="520">
      <c r="A520" s="135"/>
      <c r="AQ520" s="188"/>
    </row>
    <row r="521">
      <c r="A521" s="135"/>
      <c r="AQ521" s="188"/>
    </row>
    <row r="522">
      <c r="A522" s="135"/>
      <c r="AQ522" s="188"/>
    </row>
    <row r="523">
      <c r="A523" s="135"/>
      <c r="AQ523" s="188"/>
    </row>
    <row r="524">
      <c r="A524" s="135"/>
      <c r="AQ524" s="188"/>
    </row>
    <row r="525">
      <c r="A525" s="135"/>
      <c r="AQ525" s="188"/>
    </row>
    <row r="526">
      <c r="A526" s="135"/>
      <c r="AQ526" s="188"/>
    </row>
    <row r="527">
      <c r="A527" s="135"/>
      <c r="AQ527" s="188"/>
    </row>
    <row r="528">
      <c r="A528" s="135"/>
      <c r="AQ528" s="188"/>
    </row>
    <row r="529">
      <c r="A529" s="135"/>
      <c r="AQ529" s="188"/>
    </row>
    <row r="530">
      <c r="A530" s="135"/>
      <c r="AQ530" s="188"/>
    </row>
    <row r="531">
      <c r="A531" s="135"/>
      <c r="AQ531" s="188"/>
    </row>
    <row r="532">
      <c r="A532" s="135"/>
      <c r="AQ532" s="188"/>
    </row>
    <row r="533">
      <c r="A533" s="135"/>
      <c r="AQ533" s="188"/>
    </row>
    <row r="534">
      <c r="A534" s="135"/>
      <c r="AQ534" s="188"/>
    </row>
    <row r="535">
      <c r="A535" s="135"/>
      <c r="AQ535" s="188"/>
    </row>
    <row r="536">
      <c r="A536" s="135"/>
      <c r="AQ536" s="188"/>
    </row>
    <row r="537">
      <c r="A537" s="135"/>
      <c r="AQ537" s="188"/>
    </row>
    <row r="538">
      <c r="A538" s="135"/>
      <c r="AQ538" s="188"/>
    </row>
    <row r="539">
      <c r="A539" s="135"/>
      <c r="AQ539" s="188"/>
    </row>
    <row r="540">
      <c r="A540" s="135"/>
      <c r="AQ540" s="188"/>
    </row>
    <row r="541">
      <c r="A541" s="135"/>
      <c r="AQ541" s="188"/>
    </row>
    <row r="542">
      <c r="A542" s="135"/>
      <c r="AQ542" s="188"/>
    </row>
    <row r="543">
      <c r="A543" s="135"/>
      <c r="AQ543" s="188"/>
    </row>
    <row r="544">
      <c r="A544" s="135"/>
      <c r="AQ544" s="188"/>
    </row>
    <row r="545">
      <c r="A545" s="135"/>
      <c r="AQ545" s="188"/>
    </row>
    <row r="546">
      <c r="A546" s="135"/>
      <c r="AQ546" s="188"/>
    </row>
    <row r="547">
      <c r="A547" s="135"/>
      <c r="AQ547" s="188"/>
    </row>
    <row r="548">
      <c r="A548" s="135"/>
      <c r="AQ548" s="188"/>
    </row>
    <row r="549">
      <c r="A549" s="135"/>
      <c r="AQ549" s="188"/>
    </row>
    <row r="550">
      <c r="A550" s="135"/>
      <c r="AQ550" s="188"/>
    </row>
    <row r="551">
      <c r="A551" s="135"/>
      <c r="AQ551" s="188"/>
    </row>
    <row r="552">
      <c r="A552" s="135"/>
      <c r="AQ552" s="188"/>
    </row>
    <row r="553">
      <c r="A553" s="135"/>
      <c r="AQ553" s="188"/>
    </row>
    <row r="554">
      <c r="A554" s="135"/>
      <c r="AQ554" s="188"/>
    </row>
    <row r="555">
      <c r="A555" s="135"/>
      <c r="AQ555" s="188"/>
    </row>
    <row r="556">
      <c r="A556" s="135"/>
      <c r="AQ556" s="188"/>
    </row>
    <row r="557">
      <c r="A557" s="135"/>
      <c r="AQ557" s="188"/>
    </row>
    <row r="558">
      <c r="A558" s="135"/>
      <c r="AQ558" s="188"/>
    </row>
    <row r="559">
      <c r="A559" s="135"/>
      <c r="AQ559" s="188"/>
    </row>
    <row r="560">
      <c r="A560" s="135"/>
      <c r="AQ560" s="188"/>
    </row>
    <row r="561">
      <c r="A561" s="135"/>
      <c r="AQ561" s="188"/>
    </row>
    <row r="562">
      <c r="A562" s="135"/>
      <c r="AQ562" s="188"/>
    </row>
    <row r="563">
      <c r="A563" s="135"/>
      <c r="AQ563" s="188"/>
    </row>
    <row r="564">
      <c r="A564" s="135"/>
      <c r="AQ564" s="188"/>
    </row>
    <row r="565">
      <c r="A565" s="135"/>
      <c r="AQ565" s="188"/>
    </row>
    <row r="566">
      <c r="A566" s="135"/>
      <c r="AQ566" s="188"/>
    </row>
    <row r="567">
      <c r="A567" s="135"/>
      <c r="AQ567" s="188"/>
    </row>
    <row r="568">
      <c r="A568" s="135"/>
      <c r="AQ568" s="188"/>
    </row>
    <row r="569">
      <c r="A569" s="135"/>
      <c r="AQ569" s="188"/>
    </row>
    <row r="570">
      <c r="A570" s="135"/>
      <c r="AQ570" s="188"/>
    </row>
    <row r="571">
      <c r="A571" s="135"/>
      <c r="AQ571" s="188"/>
    </row>
    <row r="572">
      <c r="A572" s="135"/>
      <c r="AQ572" s="188"/>
    </row>
    <row r="573">
      <c r="A573" s="135"/>
      <c r="AQ573" s="188"/>
    </row>
    <row r="574">
      <c r="A574" s="135"/>
      <c r="AQ574" s="188"/>
    </row>
    <row r="575">
      <c r="A575" s="135"/>
      <c r="AQ575" s="188"/>
    </row>
    <row r="576">
      <c r="A576" s="135"/>
      <c r="AQ576" s="188"/>
    </row>
    <row r="577">
      <c r="A577" s="135"/>
      <c r="AQ577" s="188"/>
    </row>
    <row r="578">
      <c r="A578" s="135"/>
      <c r="AQ578" s="188"/>
    </row>
    <row r="579">
      <c r="A579" s="135"/>
      <c r="AQ579" s="188"/>
    </row>
    <row r="580">
      <c r="A580" s="135"/>
      <c r="AQ580" s="188"/>
    </row>
    <row r="581">
      <c r="A581" s="135"/>
      <c r="AQ581" s="188"/>
    </row>
    <row r="582">
      <c r="A582" s="135"/>
      <c r="AQ582" s="188"/>
    </row>
    <row r="583">
      <c r="A583" s="135"/>
      <c r="AQ583" s="188"/>
    </row>
    <row r="584">
      <c r="A584" s="135"/>
      <c r="AQ584" s="188"/>
    </row>
    <row r="585">
      <c r="A585" s="135"/>
      <c r="AQ585" s="188"/>
    </row>
    <row r="586">
      <c r="A586" s="135"/>
      <c r="AQ586" s="188"/>
    </row>
    <row r="587">
      <c r="A587" s="135"/>
      <c r="AQ587" s="188"/>
    </row>
    <row r="588">
      <c r="A588" s="135"/>
      <c r="AQ588" s="188"/>
    </row>
    <row r="589">
      <c r="A589" s="135"/>
      <c r="AQ589" s="188"/>
    </row>
    <row r="590">
      <c r="A590" s="135"/>
      <c r="AQ590" s="188"/>
    </row>
    <row r="591">
      <c r="A591" s="135"/>
      <c r="AQ591" s="188"/>
    </row>
    <row r="592">
      <c r="A592" s="135"/>
      <c r="AQ592" s="188"/>
    </row>
    <row r="593">
      <c r="A593" s="135"/>
      <c r="AQ593" s="188"/>
    </row>
    <row r="594">
      <c r="A594" s="135"/>
      <c r="AQ594" s="188"/>
    </row>
    <row r="595">
      <c r="A595" s="135"/>
      <c r="AQ595" s="188"/>
    </row>
    <row r="596">
      <c r="A596" s="135"/>
      <c r="AQ596" s="188"/>
    </row>
    <row r="597">
      <c r="A597" s="135"/>
      <c r="AQ597" s="188"/>
    </row>
    <row r="598">
      <c r="A598" s="135"/>
      <c r="AQ598" s="188"/>
    </row>
    <row r="599">
      <c r="A599" s="135"/>
      <c r="AQ599" s="188"/>
    </row>
    <row r="600">
      <c r="A600" s="135"/>
      <c r="AQ600" s="188"/>
    </row>
    <row r="601">
      <c r="A601" s="135"/>
      <c r="AQ601" s="188"/>
    </row>
    <row r="602">
      <c r="A602" s="135"/>
      <c r="AQ602" s="188"/>
    </row>
    <row r="603">
      <c r="A603" s="135"/>
      <c r="AQ603" s="188"/>
    </row>
    <row r="604">
      <c r="A604" s="135"/>
      <c r="AQ604" s="188"/>
    </row>
    <row r="605">
      <c r="A605" s="135"/>
      <c r="AQ605" s="188"/>
    </row>
    <row r="606">
      <c r="A606" s="135"/>
      <c r="AQ606" s="188"/>
    </row>
    <row r="607">
      <c r="A607" s="135"/>
      <c r="AQ607" s="188"/>
    </row>
    <row r="608">
      <c r="A608" s="135"/>
      <c r="AQ608" s="188"/>
    </row>
    <row r="609">
      <c r="A609" s="135"/>
      <c r="AQ609" s="188"/>
    </row>
    <row r="610">
      <c r="A610" s="135"/>
      <c r="AQ610" s="188"/>
    </row>
    <row r="611">
      <c r="A611" s="135"/>
      <c r="AQ611" s="188"/>
    </row>
    <row r="612">
      <c r="A612" s="135"/>
      <c r="AQ612" s="188"/>
    </row>
    <row r="613">
      <c r="A613" s="135"/>
      <c r="AQ613" s="188"/>
    </row>
    <row r="614">
      <c r="A614" s="135"/>
      <c r="AQ614" s="188"/>
    </row>
    <row r="615">
      <c r="A615" s="135"/>
      <c r="AQ615" s="188"/>
    </row>
    <row r="616">
      <c r="A616" s="135"/>
      <c r="AQ616" s="188"/>
    </row>
    <row r="617">
      <c r="A617" s="135"/>
      <c r="AQ617" s="188"/>
    </row>
    <row r="618">
      <c r="A618" s="135"/>
      <c r="AQ618" s="188"/>
    </row>
    <row r="619">
      <c r="A619" s="135"/>
      <c r="AQ619" s="188"/>
    </row>
    <row r="620">
      <c r="A620" s="135"/>
      <c r="AQ620" s="188"/>
    </row>
    <row r="621">
      <c r="A621" s="135"/>
      <c r="AQ621" s="188"/>
    </row>
    <row r="622">
      <c r="A622" s="135"/>
      <c r="AQ622" s="188"/>
    </row>
    <row r="623">
      <c r="A623" s="135"/>
      <c r="AQ623" s="188"/>
    </row>
    <row r="624">
      <c r="A624" s="135"/>
      <c r="AQ624" s="188"/>
    </row>
    <row r="625">
      <c r="A625" s="135"/>
      <c r="AQ625" s="188"/>
    </row>
    <row r="626">
      <c r="A626" s="135"/>
      <c r="AQ626" s="188"/>
    </row>
    <row r="627">
      <c r="A627" s="135"/>
      <c r="AQ627" s="188"/>
    </row>
    <row r="628">
      <c r="A628" s="135"/>
      <c r="AQ628" s="188"/>
    </row>
    <row r="629">
      <c r="A629" s="135"/>
      <c r="AQ629" s="188"/>
    </row>
    <row r="630">
      <c r="A630" s="135"/>
      <c r="AQ630" s="188"/>
    </row>
    <row r="631">
      <c r="A631" s="135"/>
      <c r="AQ631" s="188"/>
    </row>
    <row r="632">
      <c r="A632" s="135"/>
      <c r="AQ632" s="188"/>
    </row>
    <row r="633">
      <c r="A633" s="135"/>
      <c r="AQ633" s="188"/>
    </row>
    <row r="634">
      <c r="A634" s="135"/>
      <c r="AQ634" s="188"/>
    </row>
    <row r="635">
      <c r="A635" s="135"/>
      <c r="AQ635" s="188"/>
    </row>
    <row r="636">
      <c r="A636" s="135"/>
      <c r="AQ636" s="188"/>
    </row>
    <row r="637">
      <c r="A637" s="135"/>
      <c r="AQ637" s="188"/>
    </row>
    <row r="638">
      <c r="A638" s="135"/>
      <c r="AQ638" s="188"/>
    </row>
    <row r="639">
      <c r="A639" s="135"/>
      <c r="AQ639" s="188"/>
    </row>
    <row r="640">
      <c r="A640" s="135"/>
      <c r="AQ640" s="188"/>
    </row>
    <row r="641">
      <c r="A641" s="135"/>
      <c r="AQ641" s="188"/>
    </row>
    <row r="642">
      <c r="A642" s="135"/>
      <c r="AQ642" s="188"/>
    </row>
    <row r="643">
      <c r="A643" s="135"/>
      <c r="AQ643" s="188"/>
    </row>
    <row r="644">
      <c r="A644" s="135"/>
      <c r="AQ644" s="188"/>
    </row>
    <row r="645">
      <c r="A645" s="135"/>
      <c r="AQ645" s="188"/>
    </row>
    <row r="646">
      <c r="A646" s="135"/>
      <c r="AQ646" s="188"/>
    </row>
    <row r="647">
      <c r="A647" s="135"/>
      <c r="AQ647" s="188"/>
    </row>
    <row r="648">
      <c r="A648" s="135"/>
      <c r="AQ648" s="188"/>
    </row>
    <row r="649">
      <c r="A649" s="135"/>
      <c r="AQ649" s="188"/>
    </row>
    <row r="650">
      <c r="A650" s="135"/>
      <c r="AQ650" s="188"/>
    </row>
    <row r="651">
      <c r="A651" s="135"/>
      <c r="AQ651" s="188"/>
    </row>
    <row r="652">
      <c r="A652" s="135"/>
      <c r="AQ652" s="188"/>
    </row>
    <row r="653">
      <c r="A653" s="135"/>
      <c r="AQ653" s="188"/>
    </row>
    <row r="654">
      <c r="A654" s="135"/>
      <c r="AQ654" s="188"/>
    </row>
    <row r="655">
      <c r="A655" s="135"/>
      <c r="AQ655" s="188"/>
    </row>
    <row r="656">
      <c r="A656" s="135"/>
      <c r="AQ656" s="188"/>
    </row>
    <row r="657">
      <c r="A657" s="135"/>
      <c r="AQ657" s="188"/>
    </row>
    <row r="658">
      <c r="A658" s="135"/>
      <c r="AQ658" s="188"/>
    </row>
    <row r="659">
      <c r="A659" s="135"/>
      <c r="AQ659" s="188"/>
    </row>
    <row r="660">
      <c r="A660" s="135"/>
      <c r="AQ660" s="188"/>
    </row>
    <row r="661">
      <c r="A661" s="135"/>
      <c r="AQ661" s="188"/>
    </row>
    <row r="662">
      <c r="A662" s="135"/>
      <c r="AQ662" s="188"/>
    </row>
    <row r="663">
      <c r="A663" s="135"/>
      <c r="AQ663" s="188"/>
    </row>
    <row r="664">
      <c r="A664" s="135"/>
      <c r="AQ664" s="188"/>
    </row>
    <row r="665">
      <c r="A665" s="135"/>
      <c r="AQ665" s="188"/>
    </row>
    <row r="666">
      <c r="A666" s="135"/>
      <c r="AQ666" s="188"/>
    </row>
    <row r="667">
      <c r="A667" s="135"/>
      <c r="AQ667" s="188"/>
    </row>
    <row r="668">
      <c r="A668" s="135"/>
      <c r="AQ668" s="188"/>
    </row>
    <row r="669">
      <c r="A669" s="135"/>
      <c r="AQ669" s="188"/>
    </row>
    <row r="670">
      <c r="A670" s="135"/>
      <c r="AQ670" s="188"/>
    </row>
    <row r="671">
      <c r="A671" s="135"/>
      <c r="AQ671" s="188"/>
    </row>
    <row r="672">
      <c r="A672" s="135"/>
      <c r="AQ672" s="188"/>
    </row>
    <row r="673">
      <c r="A673" s="135"/>
      <c r="AQ673" s="188"/>
    </row>
    <row r="674">
      <c r="A674" s="135"/>
      <c r="AQ674" s="188"/>
    </row>
    <row r="675">
      <c r="A675" s="135"/>
      <c r="AQ675" s="188"/>
    </row>
    <row r="676">
      <c r="A676" s="135"/>
      <c r="AQ676" s="188"/>
    </row>
    <row r="677">
      <c r="A677" s="135"/>
      <c r="AQ677" s="188"/>
    </row>
    <row r="678">
      <c r="A678" s="135"/>
      <c r="AQ678" s="188"/>
    </row>
    <row r="679">
      <c r="A679" s="135"/>
      <c r="AQ679" s="188"/>
    </row>
    <row r="680">
      <c r="A680" s="135"/>
      <c r="AQ680" s="188"/>
    </row>
    <row r="681">
      <c r="A681" s="135"/>
      <c r="AQ681" s="188"/>
    </row>
    <row r="682">
      <c r="A682" s="135"/>
      <c r="AQ682" s="188"/>
    </row>
    <row r="683">
      <c r="A683" s="135"/>
      <c r="AQ683" s="188"/>
    </row>
    <row r="684">
      <c r="A684" s="135"/>
      <c r="AQ684" s="188"/>
    </row>
    <row r="685">
      <c r="A685" s="135"/>
      <c r="AQ685" s="188"/>
    </row>
    <row r="686">
      <c r="A686" s="135"/>
      <c r="AQ686" s="188"/>
    </row>
    <row r="687">
      <c r="A687" s="135"/>
      <c r="AQ687" s="188"/>
    </row>
    <row r="688">
      <c r="A688" s="135"/>
      <c r="AQ688" s="188"/>
    </row>
    <row r="689">
      <c r="A689" s="135"/>
      <c r="AQ689" s="188"/>
    </row>
    <row r="690">
      <c r="A690" s="135"/>
      <c r="AQ690" s="188"/>
    </row>
    <row r="691">
      <c r="A691" s="135"/>
      <c r="AQ691" s="188"/>
    </row>
    <row r="692">
      <c r="A692" s="135"/>
      <c r="AQ692" s="188"/>
    </row>
    <row r="693">
      <c r="A693" s="135"/>
      <c r="AQ693" s="188"/>
    </row>
    <row r="694">
      <c r="A694" s="135"/>
      <c r="AQ694" s="188"/>
    </row>
    <row r="695">
      <c r="A695" s="135"/>
      <c r="AQ695" s="188"/>
    </row>
    <row r="696">
      <c r="A696" s="135"/>
      <c r="AQ696" s="188"/>
    </row>
    <row r="697">
      <c r="A697" s="135"/>
      <c r="AQ697" s="188"/>
    </row>
    <row r="698">
      <c r="A698" s="135"/>
      <c r="AQ698" s="188"/>
    </row>
    <row r="699">
      <c r="A699" s="135"/>
      <c r="AQ699" s="188"/>
    </row>
    <row r="700">
      <c r="A700" s="135"/>
      <c r="AQ700" s="188"/>
    </row>
    <row r="701">
      <c r="A701" s="135"/>
      <c r="AQ701" s="188"/>
    </row>
    <row r="702">
      <c r="A702" s="135"/>
      <c r="AQ702" s="188"/>
    </row>
    <row r="703">
      <c r="A703" s="135"/>
      <c r="AQ703" s="188"/>
    </row>
    <row r="704">
      <c r="A704" s="135"/>
      <c r="AQ704" s="188"/>
    </row>
    <row r="705">
      <c r="A705" s="135"/>
      <c r="AQ705" s="188"/>
    </row>
    <row r="706">
      <c r="A706" s="135"/>
      <c r="AQ706" s="188"/>
    </row>
    <row r="707">
      <c r="A707" s="135"/>
      <c r="AQ707" s="188"/>
    </row>
    <row r="708">
      <c r="A708" s="135"/>
      <c r="AQ708" s="188"/>
    </row>
    <row r="709">
      <c r="A709" s="135"/>
      <c r="AQ709" s="188"/>
    </row>
    <row r="710">
      <c r="A710" s="135"/>
      <c r="AQ710" s="188"/>
    </row>
    <row r="711">
      <c r="A711" s="135"/>
      <c r="AQ711" s="188"/>
    </row>
    <row r="712">
      <c r="A712" s="135"/>
      <c r="AQ712" s="188"/>
    </row>
    <row r="713">
      <c r="A713" s="135"/>
      <c r="AQ713" s="188"/>
    </row>
    <row r="714">
      <c r="A714" s="135"/>
      <c r="AQ714" s="188"/>
    </row>
    <row r="715">
      <c r="A715" s="135"/>
      <c r="AQ715" s="188"/>
    </row>
    <row r="716">
      <c r="A716" s="135"/>
      <c r="AQ716" s="188"/>
    </row>
    <row r="717">
      <c r="A717" s="135"/>
      <c r="AQ717" s="188"/>
    </row>
    <row r="718">
      <c r="A718" s="135"/>
      <c r="AQ718" s="188"/>
    </row>
    <row r="719">
      <c r="A719" s="135"/>
      <c r="AQ719" s="188"/>
    </row>
    <row r="720">
      <c r="A720" s="135"/>
      <c r="AQ720" s="188"/>
    </row>
    <row r="721">
      <c r="A721" s="135"/>
      <c r="AQ721" s="188"/>
    </row>
    <row r="722">
      <c r="A722" s="135"/>
      <c r="AQ722" s="188"/>
    </row>
    <row r="723">
      <c r="A723" s="135"/>
      <c r="AQ723" s="188"/>
    </row>
    <row r="724">
      <c r="A724" s="135"/>
      <c r="AQ724" s="188"/>
    </row>
    <row r="725">
      <c r="A725" s="135"/>
      <c r="AQ725" s="188"/>
    </row>
    <row r="726">
      <c r="A726" s="135"/>
      <c r="AQ726" s="188"/>
    </row>
    <row r="727">
      <c r="A727" s="135"/>
      <c r="AQ727" s="188"/>
    </row>
    <row r="728">
      <c r="A728" s="135"/>
      <c r="AQ728" s="188"/>
    </row>
    <row r="729">
      <c r="A729" s="135"/>
      <c r="AQ729" s="188"/>
    </row>
    <row r="730">
      <c r="A730" s="135"/>
      <c r="AQ730" s="188"/>
    </row>
    <row r="731">
      <c r="A731" s="135"/>
      <c r="AQ731" s="188"/>
    </row>
    <row r="732">
      <c r="A732" s="135"/>
      <c r="AQ732" s="188"/>
    </row>
    <row r="733">
      <c r="A733" s="135"/>
      <c r="AQ733" s="188"/>
    </row>
    <row r="734">
      <c r="A734" s="135"/>
      <c r="AQ734" s="188"/>
    </row>
    <row r="735">
      <c r="A735" s="135"/>
      <c r="AQ735" s="188"/>
    </row>
    <row r="736">
      <c r="A736" s="135"/>
      <c r="AQ736" s="188"/>
    </row>
    <row r="737">
      <c r="A737" s="135"/>
      <c r="AQ737" s="188"/>
    </row>
    <row r="738">
      <c r="A738" s="135"/>
      <c r="AQ738" s="188"/>
    </row>
    <row r="739">
      <c r="A739" s="135"/>
      <c r="AQ739" s="188"/>
    </row>
    <row r="740">
      <c r="A740" s="135"/>
      <c r="AQ740" s="188"/>
    </row>
    <row r="741">
      <c r="A741" s="135"/>
      <c r="AQ741" s="188"/>
    </row>
    <row r="742">
      <c r="A742" s="135"/>
      <c r="AQ742" s="188"/>
    </row>
    <row r="743">
      <c r="A743" s="135"/>
      <c r="AQ743" s="188"/>
    </row>
    <row r="744">
      <c r="A744" s="135"/>
      <c r="AQ744" s="188"/>
    </row>
    <row r="745">
      <c r="A745" s="135"/>
      <c r="AQ745" s="188"/>
    </row>
    <row r="746">
      <c r="A746" s="135"/>
      <c r="AQ746" s="188"/>
    </row>
    <row r="747">
      <c r="A747" s="135"/>
      <c r="AQ747" s="188"/>
    </row>
    <row r="748">
      <c r="A748" s="135"/>
      <c r="AQ748" s="188"/>
    </row>
    <row r="749">
      <c r="A749" s="135"/>
      <c r="AQ749" s="188"/>
    </row>
    <row r="750">
      <c r="A750" s="135"/>
      <c r="AQ750" s="188"/>
    </row>
    <row r="751">
      <c r="A751" s="135"/>
      <c r="AQ751" s="188"/>
    </row>
    <row r="752">
      <c r="A752" s="135"/>
      <c r="AQ752" s="188"/>
    </row>
    <row r="753">
      <c r="A753" s="135"/>
      <c r="AQ753" s="188"/>
    </row>
    <row r="754">
      <c r="A754" s="135"/>
      <c r="AQ754" s="188"/>
    </row>
    <row r="755">
      <c r="A755" s="135"/>
      <c r="AQ755" s="188"/>
    </row>
    <row r="756">
      <c r="A756" s="135"/>
      <c r="AQ756" s="188"/>
    </row>
    <row r="757">
      <c r="A757" s="135"/>
      <c r="AQ757" s="188"/>
    </row>
    <row r="758">
      <c r="A758" s="135"/>
      <c r="AQ758" s="188"/>
    </row>
    <row r="759">
      <c r="A759" s="135"/>
      <c r="AQ759" s="188"/>
    </row>
    <row r="760">
      <c r="A760" s="135"/>
      <c r="AQ760" s="188"/>
    </row>
    <row r="761">
      <c r="A761" s="135"/>
      <c r="AQ761" s="188"/>
    </row>
    <row r="762">
      <c r="A762" s="135"/>
      <c r="AQ762" s="188"/>
    </row>
    <row r="763">
      <c r="A763" s="135"/>
      <c r="AQ763" s="188"/>
    </row>
    <row r="764">
      <c r="A764" s="135"/>
      <c r="AQ764" s="188"/>
    </row>
    <row r="765">
      <c r="A765" s="135"/>
      <c r="AQ765" s="188"/>
    </row>
    <row r="766">
      <c r="A766" s="135"/>
      <c r="AQ766" s="188"/>
    </row>
    <row r="767">
      <c r="A767" s="135"/>
      <c r="AQ767" s="188"/>
    </row>
    <row r="768">
      <c r="A768" s="135"/>
      <c r="AQ768" s="188"/>
    </row>
    <row r="769">
      <c r="A769" s="135"/>
      <c r="AQ769" s="188"/>
    </row>
    <row r="770">
      <c r="A770" s="135"/>
      <c r="AQ770" s="188"/>
    </row>
    <row r="771">
      <c r="A771" s="135"/>
      <c r="AQ771" s="188"/>
    </row>
    <row r="772">
      <c r="A772" s="135"/>
      <c r="AQ772" s="188"/>
    </row>
    <row r="773">
      <c r="A773" s="135"/>
      <c r="AQ773" s="188"/>
    </row>
    <row r="774">
      <c r="A774" s="135"/>
      <c r="AQ774" s="188"/>
    </row>
    <row r="775">
      <c r="A775" s="135"/>
      <c r="AQ775" s="188"/>
    </row>
    <row r="776">
      <c r="A776" s="135"/>
      <c r="AQ776" s="188"/>
    </row>
    <row r="777">
      <c r="A777" s="135"/>
      <c r="AQ777" s="188"/>
    </row>
    <row r="778">
      <c r="A778" s="135"/>
      <c r="AQ778" s="188"/>
    </row>
    <row r="779">
      <c r="A779" s="135"/>
      <c r="AQ779" s="188"/>
    </row>
    <row r="780">
      <c r="A780" s="135"/>
      <c r="AQ780" s="188"/>
    </row>
    <row r="781">
      <c r="A781" s="135"/>
      <c r="AQ781" s="188"/>
    </row>
    <row r="782">
      <c r="A782" s="135"/>
      <c r="AQ782" s="188"/>
    </row>
    <row r="783">
      <c r="A783" s="135"/>
      <c r="AQ783" s="188"/>
    </row>
    <row r="784">
      <c r="A784" s="135"/>
      <c r="AQ784" s="188"/>
    </row>
    <row r="785">
      <c r="A785" s="135"/>
      <c r="AQ785" s="188"/>
    </row>
    <row r="786">
      <c r="A786" s="135"/>
      <c r="AQ786" s="188"/>
    </row>
    <row r="787">
      <c r="A787" s="135"/>
      <c r="AQ787" s="188"/>
    </row>
    <row r="788">
      <c r="A788" s="135"/>
      <c r="AQ788" s="188"/>
    </row>
    <row r="789">
      <c r="A789" s="135"/>
      <c r="AQ789" s="188"/>
    </row>
    <row r="790">
      <c r="A790" s="135"/>
      <c r="AQ790" s="188"/>
    </row>
    <row r="791">
      <c r="A791" s="135"/>
      <c r="AQ791" s="188"/>
    </row>
    <row r="792">
      <c r="A792" s="135"/>
      <c r="AQ792" s="188"/>
    </row>
    <row r="793">
      <c r="A793" s="135"/>
      <c r="AQ793" s="188"/>
    </row>
    <row r="794">
      <c r="A794" s="135"/>
      <c r="AQ794" s="188"/>
    </row>
    <row r="795">
      <c r="A795" s="135"/>
      <c r="AQ795" s="188"/>
    </row>
    <row r="796">
      <c r="A796" s="135"/>
      <c r="AQ796" s="188"/>
    </row>
    <row r="797">
      <c r="A797" s="135"/>
      <c r="AQ797" s="188"/>
    </row>
    <row r="798">
      <c r="A798" s="135"/>
      <c r="AQ798" s="188"/>
    </row>
    <row r="799">
      <c r="A799" s="135"/>
      <c r="AQ799" s="188"/>
    </row>
    <row r="800">
      <c r="A800" s="135"/>
      <c r="AQ800" s="188"/>
    </row>
    <row r="801">
      <c r="A801" s="135"/>
      <c r="AQ801" s="188"/>
    </row>
    <row r="802">
      <c r="A802" s="135"/>
      <c r="AQ802" s="188"/>
    </row>
    <row r="803">
      <c r="A803" s="135"/>
      <c r="AQ803" s="188"/>
    </row>
    <row r="804">
      <c r="A804" s="135"/>
      <c r="AQ804" s="188"/>
    </row>
    <row r="805">
      <c r="A805" s="135"/>
      <c r="AQ805" s="188"/>
    </row>
    <row r="806">
      <c r="A806" s="135"/>
      <c r="AQ806" s="188"/>
    </row>
    <row r="807">
      <c r="A807" s="135"/>
      <c r="AQ807" s="188"/>
    </row>
    <row r="808">
      <c r="A808" s="135"/>
      <c r="AQ808" s="188"/>
    </row>
    <row r="809">
      <c r="A809" s="135"/>
      <c r="AQ809" s="188"/>
    </row>
    <row r="810">
      <c r="A810" s="135"/>
      <c r="AQ810" s="188"/>
    </row>
    <row r="811">
      <c r="A811" s="135"/>
      <c r="AQ811" s="188"/>
    </row>
    <row r="812">
      <c r="A812" s="135"/>
      <c r="AQ812" s="188"/>
    </row>
    <row r="813">
      <c r="A813" s="135"/>
      <c r="AQ813" s="188"/>
    </row>
    <row r="814">
      <c r="A814" s="135"/>
      <c r="AQ814" s="188"/>
    </row>
    <row r="815">
      <c r="A815" s="135"/>
      <c r="AQ815" s="188"/>
    </row>
    <row r="816">
      <c r="A816" s="135"/>
      <c r="AQ816" s="188"/>
    </row>
    <row r="817">
      <c r="A817" s="135"/>
      <c r="AQ817" s="188"/>
    </row>
    <row r="818">
      <c r="A818" s="135"/>
      <c r="AQ818" s="188"/>
    </row>
    <row r="819">
      <c r="A819" s="135"/>
      <c r="AQ819" s="188"/>
    </row>
    <row r="820">
      <c r="A820" s="135"/>
      <c r="AQ820" s="188"/>
    </row>
    <row r="821">
      <c r="A821" s="135"/>
      <c r="AQ821" s="188"/>
    </row>
    <row r="822">
      <c r="A822" s="135"/>
      <c r="AQ822" s="188"/>
    </row>
    <row r="823">
      <c r="A823" s="135"/>
      <c r="AQ823" s="188"/>
    </row>
    <row r="824">
      <c r="A824" s="135"/>
      <c r="AQ824" s="188"/>
    </row>
    <row r="825">
      <c r="A825" s="135"/>
      <c r="AQ825" s="188"/>
    </row>
    <row r="826">
      <c r="A826" s="135"/>
      <c r="AQ826" s="188"/>
    </row>
    <row r="827">
      <c r="A827" s="135"/>
      <c r="AQ827" s="188"/>
    </row>
    <row r="828">
      <c r="A828" s="135"/>
      <c r="AQ828" s="188"/>
    </row>
    <row r="829">
      <c r="A829" s="135"/>
      <c r="AQ829" s="188"/>
    </row>
    <row r="830">
      <c r="A830" s="135"/>
      <c r="AQ830" s="188"/>
    </row>
    <row r="831">
      <c r="A831" s="135"/>
      <c r="AQ831" s="188"/>
    </row>
    <row r="832">
      <c r="A832" s="135"/>
      <c r="AQ832" s="188"/>
    </row>
    <row r="833">
      <c r="A833" s="135"/>
      <c r="AQ833" s="188"/>
    </row>
    <row r="834">
      <c r="A834" s="135"/>
      <c r="AQ834" s="188"/>
    </row>
    <row r="835">
      <c r="A835" s="135"/>
      <c r="AQ835" s="188"/>
    </row>
    <row r="836">
      <c r="A836" s="135"/>
      <c r="AQ836" s="188"/>
    </row>
    <row r="837">
      <c r="A837" s="135"/>
      <c r="AQ837" s="188"/>
    </row>
    <row r="838">
      <c r="A838" s="135"/>
      <c r="AQ838" s="188"/>
    </row>
    <row r="839">
      <c r="A839" s="135"/>
      <c r="AQ839" s="188"/>
    </row>
    <row r="840">
      <c r="A840" s="135"/>
      <c r="AQ840" s="188"/>
    </row>
    <row r="841">
      <c r="A841" s="135"/>
      <c r="AQ841" s="188"/>
    </row>
    <row r="842">
      <c r="A842" s="135"/>
      <c r="AQ842" s="188"/>
    </row>
    <row r="843">
      <c r="A843" s="135"/>
      <c r="AQ843" s="188"/>
    </row>
    <row r="844">
      <c r="A844" s="135"/>
      <c r="AQ844" s="188"/>
    </row>
    <row r="845">
      <c r="A845" s="135"/>
      <c r="AQ845" s="188"/>
    </row>
    <row r="846">
      <c r="A846" s="135"/>
      <c r="AQ846" s="188"/>
    </row>
    <row r="847">
      <c r="A847" s="135"/>
      <c r="AQ847" s="188"/>
    </row>
    <row r="848">
      <c r="A848" s="135"/>
      <c r="AQ848" s="188"/>
    </row>
    <row r="849">
      <c r="A849" s="135"/>
      <c r="AQ849" s="188"/>
    </row>
    <row r="850">
      <c r="A850" s="135"/>
      <c r="AQ850" s="188"/>
    </row>
    <row r="851">
      <c r="A851" s="135"/>
      <c r="AQ851" s="188"/>
    </row>
    <row r="852">
      <c r="A852" s="135"/>
      <c r="AQ852" s="188"/>
    </row>
    <row r="853">
      <c r="A853" s="135"/>
      <c r="AQ853" s="188"/>
    </row>
    <row r="854">
      <c r="A854" s="135"/>
      <c r="AQ854" s="188"/>
    </row>
    <row r="855">
      <c r="A855" s="135"/>
      <c r="AQ855" s="188"/>
    </row>
    <row r="856">
      <c r="A856" s="135"/>
      <c r="AQ856" s="188"/>
    </row>
    <row r="857">
      <c r="A857" s="135"/>
      <c r="AQ857" s="188"/>
    </row>
    <row r="858">
      <c r="A858" s="135"/>
      <c r="AQ858" s="188"/>
    </row>
    <row r="859">
      <c r="A859" s="135"/>
      <c r="AQ859" s="188"/>
    </row>
    <row r="860">
      <c r="A860" s="135"/>
      <c r="AQ860" s="188"/>
    </row>
    <row r="861">
      <c r="A861" s="135"/>
      <c r="AQ861" s="188"/>
    </row>
    <row r="862">
      <c r="A862" s="135"/>
      <c r="AQ862" s="188"/>
    </row>
    <row r="863">
      <c r="A863" s="135"/>
      <c r="AQ863" s="188"/>
    </row>
    <row r="864">
      <c r="A864" s="135"/>
      <c r="AQ864" s="188"/>
    </row>
    <row r="865">
      <c r="A865" s="135"/>
      <c r="AQ865" s="188"/>
    </row>
    <row r="866">
      <c r="A866" s="135"/>
      <c r="AQ866" s="188"/>
    </row>
    <row r="867">
      <c r="A867" s="135"/>
      <c r="AQ867" s="188"/>
    </row>
    <row r="868">
      <c r="A868" s="135"/>
      <c r="AQ868" s="188"/>
    </row>
    <row r="869">
      <c r="A869" s="135"/>
      <c r="AQ869" s="188"/>
    </row>
    <row r="870">
      <c r="A870" s="135"/>
      <c r="AQ870" s="188"/>
    </row>
    <row r="871">
      <c r="A871" s="135"/>
      <c r="AQ871" s="188"/>
    </row>
    <row r="872">
      <c r="A872" s="135"/>
      <c r="AQ872" s="188"/>
    </row>
    <row r="873">
      <c r="A873" s="135"/>
      <c r="AQ873" s="188"/>
    </row>
    <row r="874">
      <c r="A874" s="135"/>
      <c r="AQ874" s="188"/>
    </row>
    <row r="875">
      <c r="A875" s="135"/>
      <c r="AQ875" s="188"/>
    </row>
    <row r="876">
      <c r="A876" s="135"/>
      <c r="AQ876" s="188"/>
    </row>
    <row r="877">
      <c r="A877" s="135"/>
      <c r="AQ877" s="188"/>
    </row>
    <row r="878">
      <c r="A878" s="135"/>
      <c r="AQ878" s="188"/>
    </row>
    <row r="879">
      <c r="A879" s="135"/>
      <c r="AQ879" s="188"/>
    </row>
    <row r="880">
      <c r="A880" s="135"/>
      <c r="AQ880" s="188"/>
    </row>
    <row r="881">
      <c r="A881" s="135"/>
      <c r="AQ881" s="188"/>
    </row>
    <row r="882">
      <c r="A882" s="135"/>
      <c r="AQ882" s="188"/>
    </row>
    <row r="883">
      <c r="A883" s="135"/>
      <c r="AQ883" s="188"/>
    </row>
    <row r="884">
      <c r="A884" s="135"/>
      <c r="AQ884" s="188"/>
    </row>
    <row r="885">
      <c r="A885" s="135"/>
      <c r="AQ885" s="188"/>
    </row>
    <row r="886">
      <c r="A886" s="135"/>
      <c r="AQ886" s="188"/>
    </row>
    <row r="887">
      <c r="A887" s="135"/>
      <c r="AQ887" s="188"/>
    </row>
    <row r="888">
      <c r="A888" s="135"/>
      <c r="AQ888" s="188"/>
    </row>
    <row r="889">
      <c r="A889" s="135"/>
      <c r="AQ889" s="188"/>
    </row>
    <row r="890">
      <c r="A890" s="135"/>
      <c r="AQ890" s="188"/>
    </row>
    <row r="891">
      <c r="A891" s="135"/>
      <c r="AQ891" s="188"/>
    </row>
    <row r="892">
      <c r="A892" s="135"/>
      <c r="AQ892" s="188"/>
    </row>
    <row r="893">
      <c r="A893" s="135"/>
      <c r="AQ893" s="188"/>
    </row>
    <row r="894">
      <c r="A894" s="135"/>
      <c r="AQ894" s="188"/>
    </row>
    <row r="895">
      <c r="A895" s="135"/>
      <c r="AQ895" s="188"/>
    </row>
    <row r="896">
      <c r="A896" s="135"/>
      <c r="AQ896" s="188"/>
    </row>
    <row r="897">
      <c r="A897" s="135"/>
      <c r="AQ897" s="188"/>
    </row>
    <row r="898">
      <c r="A898" s="135"/>
      <c r="AQ898" s="188"/>
    </row>
    <row r="899">
      <c r="A899" s="135"/>
      <c r="AQ899" s="188"/>
    </row>
    <row r="900">
      <c r="A900" s="135"/>
      <c r="AQ900" s="188"/>
    </row>
    <row r="901">
      <c r="A901" s="135"/>
      <c r="AQ901" s="188"/>
    </row>
    <row r="902">
      <c r="A902" s="135"/>
      <c r="AQ902" s="188"/>
    </row>
    <row r="903">
      <c r="A903" s="135"/>
      <c r="AQ903" s="188"/>
    </row>
    <row r="904">
      <c r="A904" s="135"/>
      <c r="AQ904" s="188"/>
    </row>
    <row r="905">
      <c r="A905" s="135"/>
      <c r="AQ905" s="188"/>
    </row>
    <row r="906">
      <c r="A906" s="135"/>
      <c r="AQ906" s="188"/>
    </row>
    <row r="907">
      <c r="A907" s="135"/>
      <c r="AQ907" s="188"/>
    </row>
    <row r="908">
      <c r="A908" s="135"/>
      <c r="AQ908" s="188"/>
    </row>
    <row r="909">
      <c r="A909" s="135"/>
      <c r="AQ909" s="188"/>
    </row>
    <row r="910">
      <c r="A910" s="135"/>
      <c r="AQ910" s="188"/>
    </row>
    <row r="911">
      <c r="A911" s="135"/>
      <c r="AQ911" s="188"/>
    </row>
    <row r="912">
      <c r="A912" s="135"/>
      <c r="AQ912" s="188"/>
    </row>
    <row r="913">
      <c r="A913" s="135"/>
      <c r="AQ913" s="188"/>
    </row>
    <row r="914">
      <c r="A914" s="135"/>
      <c r="AQ914" s="188"/>
    </row>
    <row r="915">
      <c r="A915" s="135"/>
      <c r="AQ915" s="188"/>
    </row>
    <row r="916">
      <c r="A916" s="135"/>
      <c r="AQ916" s="188"/>
    </row>
    <row r="917">
      <c r="A917" s="135"/>
      <c r="AQ917" s="188"/>
    </row>
    <row r="918">
      <c r="A918" s="135"/>
      <c r="AQ918" s="188"/>
    </row>
    <row r="919">
      <c r="A919" s="135"/>
      <c r="AQ919" s="188"/>
    </row>
    <row r="920">
      <c r="A920" s="135"/>
      <c r="AQ920" s="188"/>
    </row>
    <row r="921">
      <c r="A921" s="135"/>
      <c r="AQ921" s="188"/>
    </row>
    <row r="922">
      <c r="A922" s="135"/>
      <c r="AQ922" s="188"/>
    </row>
    <row r="923">
      <c r="A923" s="135"/>
      <c r="AQ923" s="188"/>
    </row>
    <row r="924">
      <c r="A924" s="135"/>
      <c r="AQ924" s="188"/>
    </row>
    <row r="925">
      <c r="A925" s="135"/>
      <c r="AQ925" s="188"/>
    </row>
    <row r="926">
      <c r="A926" s="135"/>
      <c r="AQ926" s="188"/>
    </row>
    <row r="927">
      <c r="A927" s="135"/>
      <c r="AQ927" s="188"/>
    </row>
    <row r="928">
      <c r="A928" s="135"/>
      <c r="AQ928" s="188"/>
    </row>
    <row r="929">
      <c r="A929" s="135"/>
      <c r="AQ929" s="188"/>
    </row>
    <row r="930">
      <c r="A930" s="135"/>
      <c r="AQ930" s="188"/>
    </row>
    <row r="931">
      <c r="A931" s="135"/>
      <c r="AQ931" s="188"/>
    </row>
    <row r="932">
      <c r="A932" s="135"/>
      <c r="AQ932" s="188"/>
    </row>
    <row r="933">
      <c r="A933" s="135"/>
      <c r="AQ933" s="188"/>
    </row>
    <row r="934">
      <c r="A934" s="135"/>
      <c r="AQ934" s="188"/>
    </row>
    <row r="935">
      <c r="A935" s="135"/>
      <c r="AQ935" s="188"/>
    </row>
    <row r="936">
      <c r="A936" s="135"/>
      <c r="AQ936" s="188"/>
    </row>
    <row r="937">
      <c r="A937" s="135"/>
      <c r="AQ937" s="188"/>
    </row>
    <row r="938">
      <c r="A938" s="135"/>
      <c r="AQ938" s="188"/>
    </row>
    <row r="939">
      <c r="A939" s="135"/>
      <c r="AQ939" s="188"/>
    </row>
    <row r="940">
      <c r="A940" s="135"/>
      <c r="AQ940" s="188"/>
    </row>
    <row r="941">
      <c r="A941" s="135"/>
      <c r="AQ941" s="188"/>
    </row>
    <row r="942">
      <c r="A942" s="135"/>
      <c r="AQ942" s="188"/>
    </row>
    <row r="943">
      <c r="A943" s="135"/>
      <c r="AQ943" s="188"/>
    </row>
    <row r="944">
      <c r="A944" s="135"/>
      <c r="AQ944" s="188"/>
    </row>
    <row r="945">
      <c r="A945" s="135"/>
      <c r="AQ945" s="188"/>
    </row>
    <row r="946">
      <c r="A946" s="135"/>
      <c r="AQ946" s="188"/>
    </row>
    <row r="947">
      <c r="A947" s="135"/>
      <c r="AQ947" s="188"/>
    </row>
    <row r="948">
      <c r="A948" s="135"/>
      <c r="AQ948" s="188"/>
    </row>
    <row r="949">
      <c r="A949" s="135"/>
      <c r="AQ949" s="188"/>
    </row>
    <row r="950">
      <c r="A950" s="135"/>
      <c r="AQ950" s="188"/>
    </row>
    <row r="951">
      <c r="A951" s="135"/>
      <c r="AQ951" s="188"/>
    </row>
    <row r="952">
      <c r="A952" s="135"/>
      <c r="AQ952" s="188"/>
    </row>
    <row r="953">
      <c r="A953" s="135"/>
      <c r="AQ953" s="188"/>
    </row>
    <row r="954">
      <c r="A954" s="135"/>
      <c r="AQ954" s="188"/>
    </row>
    <row r="955">
      <c r="A955" s="135"/>
      <c r="AQ955" s="188"/>
    </row>
    <row r="956">
      <c r="A956" s="135"/>
      <c r="AQ956" s="188"/>
    </row>
    <row r="957">
      <c r="A957" s="135"/>
      <c r="AQ957" s="188"/>
    </row>
    <row r="958">
      <c r="A958" s="135"/>
      <c r="AQ958" s="188"/>
    </row>
    <row r="959">
      <c r="A959" s="135"/>
      <c r="AQ959" s="188"/>
    </row>
    <row r="960">
      <c r="A960" s="135"/>
      <c r="AQ960" s="188"/>
    </row>
    <row r="961">
      <c r="A961" s="135"/>
      <c r="AQ961" s="188"/>
    </row>
    <row r="962">
      <c r="A962" s="135"/>
      <c r="AQ962" s="188"/>
    </row>
    <row r="963">
      <c r="A963" s="135"/>
      <c r="AQ963" s="188"/>
    </row>
    <row r="964">
      <c r="A964" s="135"/>
      <c r="AQ964" s="188"/>
    </row>
    <row r="965">
      <c r="A965" s="135"/>
      <c r="AQ965" s="188"/>
    </row>
    <row r="966">
      <c r="A966" s="135"/>
      <c r="AQ966" s="188"/>
    </row>
    <row r="967">
      <c r="A967" s="135"/>
      <c r="AQ967" s="188"/>
    </row>
    <row r="968">
      <c r="A968" s="135"/>
      <c r="AQ968" s="188"/>
    </row>
    <row r="969">
      <c r="A969" s="135"/>
      <c r="AQ969" s="188"/>
    </row>
    <row r="970">
      <c r="A970" s="135"/>
      <c r="AQ970" s="188"/>
    </row>
    <row r="971">
      <c r="A971" s="135"/>
      <c r="AQ971" s="188"/>
    </row>
    <row r="972">
      <c r="A972" s="135"/>
      <c r="AQ972" s="188"/>
    </row>
    <row r="973">
      <c r="A973" s="135"/>
      <c r="AQ973" s="188"/>
    </row>
    <row r="974">
      <c r="A974" s="135"/>
      <c r="AQ974" s="188"/>
    </row>
    <row r="975">
      <c r="A975" s="135"/>
      <c r="AQ975" s="188"/>
    </row>
    <row r="976">
      <c r="A976" s="135"/>
      <c r="AQ976" s="188"/>
    </row>
    <row r="977">
      <c r="A977" s="135"/>
      <c r="AQ977" s="188"/>
    </row>
    <row r="978">
      <c r="A978" s="135"/>
      <c r="AQ978" s="188"/>
    </row>
    <row r="979">
      <c r="A979" s="135"/>
      <c r="AQ979" s="188"/>
    </row>
    <row r="980">
      <c r="A980" s="135"/>
      <c r="AQ980" s="188"/>
    </row>
    <row r="981">
      <c r="A981" s="135"/>
      <c r="AQ981" s="188"/>
    </row>
    <row r="982">
      <c r="A982" s="135"/>
      <c r="AQ982" s="188"/>
    </row>
    <row r="983">
      <c r="A983" s="135"/>
      <c r="AQ983" s="188"/>
    </row>
    <row r="984">
      <c r="A984" s="135"/>
      <c r="AQ984" s="188"/>
    </row>
    <row r="985">
      <c r="A985" s="135"/>
      <c r="AQ985" s="188"/>
    </row>
    <row r="986">
      <c r="A986" s="135"/>
      <c r="AQ986" s="188"/>
    </row>
    <row r="987">
      <c r="A987" s="135"/>
      <c r="AQ987" s="188"/>
    </row>
    <row r="988">
      <c r="A988" s="135"/>
      <c r="AQ988" s="188"/>
    </row>
    <row r="989">
      <c r="A989" s="135"/>
      <c r="AQ989" s="188"/>
    </row>
    <row r="990">
      <c r="A990" s="135"/>
      <c r="AQ990" s="188"/>
    </row>
    <row r="991">
      <c r="A991" s="135"/>
      <c r="AQ991" s="188"/>
    </row>
    <row r="992">
      <c r="A992" s="135"/>
      <c r="AQ992" s="188"/>
    </row>
    <row r="993">
      <c r="A993" s="135"/>
      <c r="AQ993" s="188"/>
    </row>
    <row r="994">
      <c r="A994" s="135"/>
      <c r="AQ994" s="188"/>
    </row>
    <row r="995">
      <c r="A995" s="135"/>
      <c r="AQ995" s="188"/>
    </row>
    <row r="996">
      <c r="A996" s="135"/>
      <c r="AQ996" s="188"/>
    </row>
    <row r="997">
      <c r="A997" s="135"/>
      <c r="AQ997" s="188"/>
    </row>
    <row r="998">
      <c r="A998" s="135"/>
      <c r="AQ998" s="188"/>
    </row>
    <row r="999">
      <c r="A999" s="135"/>
      <c r="AQ999" s="188"/>
    </row>
    <row r="1000">
      <c r="A1000" s="135"/>
      <c r="AQ1000" s="188"/>
    </row>
    <row r="1001">
      <c r="A1001" s="135"/>
      <c r="AQ1001" s="188"/>
    </row>
    <row r="1002">
      <c r="A1002" s="135"/>
      <c r="AQ1002" s="188"/>
    </row>
    <row r="1003">
      <c r="A1003" s="135"/>
      <c r="AQ1003" s="188"/>
    </row>
  </sheetData>
  <mergeCells count="11">
    <mergeCell ref="W2:AA2"/>
    <mergeCell ref="AB2:AF2"/>
    <mergeCell ref="AG2:AK2"/>
    <mergeCell ref="AL2:AP2"/>
    <mergeCell ref="C1:AP1"/>
    <mergeCell ref="A2:A3"/>
    <mergeCell ref="B2:B3"/>
    <mergeCell ref="C2:G2"/>
    <mergeCell ref="H2:L2"/>
    <mergeCell ref="M2:Q2"/>
    <mergeCell ref="R2:V2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1.86"/>
    <col customWidth="1" min="3" max="4" width="12.57"/>
    <col customWidth="1" min="5" max="5" width="23.14"/>
    <col customWidth="1" min="6" max="6" width="15.86"/>
    <col customWidth="1" min="7" max="26" width="9.14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E5E5E"/>
    <pageSetUpPr/>
  </sheetPr>
  <sheetViews>
    <sheetView workbookViewId="0"/>
  </sheetViews>
  <sheetFormatPr customHeight="1" defaultColWidth="14.43" defaultRowHeight="15.0"/>
  <cols>
    <col customWidth="1" min="1" max="26" width="18.14"/>
  </cols>
  <sheetData>
    <row r="1" ht="61.5" customHeight="1">
      <c r="A1" s="189"/>
      <c r="B1" s="190" t="s">
        <v>840</v>
      </c>
      <c r="C1" s="190" t="s">
        <v>841</v>
      </c>
      <c r="D1" s="190"/>
      <c r="E1" s="190" t="s">
        <v>842</v>
      </c>
      <c r="F1" s="190"/>
      <c r="G1" s="189"/>
      <c r="H1" s="191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</row>
    <row r="2" ht="30.0" customHeight="1">
      <c r="A2" s="189"/>
      <c r="B2" s="190" t="s">
        <v>843</v>
      </c>
      <c r="C2" s="190"/>
      <c r="D2" s="190" t="s">
        <v>844</v>
      </c>
      <c r="E2" s="190"/>
      <c r="F2" s="190"/>
      <c r="G2" s="189"/>
      <c r="H2" s="191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</row>
    <row r="3" ht="28.5" customHeight="1">
      <c r="A3" s="189"/>
      <c r="B3" s="190" t="s">
        <v>845</v>
      </c>
      <c r="C3" s="190" t="s">
        <v>846</v>
      </c>
      <c r="D3" s="190" t="s">
        <v>847</v>
      </c>
      <c r="E3" s="190" t="s">
        <v>848</v>
      </c>
      <c r="F3" s="190" t="s">
        <v>849</v>
      </c>
      <c r="G3" s="189"/>
      <c r="H3" s="191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</row>
    <row r="4" ht="61.5" customHeight="1">
      <c r="A4" s="193"/>
      <c r="B4" s="194">
        <v>30.0</v>
      </c>
      <c r="C4" s="194">
        <v>1.0</v>
      </c>
      <c r="D4" s="194">
        <v>2.0</v>
      </c>
      <c r="E4" s="194">
        <v>3.0</v>
      </c>
      <c r="F4" s="194">
        <v>4.0</v>
      </c>
      <c r="G4" s="195"/>
      <c r="H4" s="196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</row>
    <row r="5" ht="61.5" customHeight="1">
      <c r="A5" s="193"/>
      <c r="B5" s="194">
        <v>7.0</v>
      </c>
      <c r="C5" s="194">
        <v>8.0</v>
      </c>
      <c r="D5" s="194">
        <v>9.0</v>
      </c>
      <c r="E5" s="194">
        <v>10.0</v>
      </c>
      <c r="F5" s="194">
        <v>11.0</v>
      </c>
      <c r="G5" s="195"/>
      <c r="H5" s="196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</row>
    <row r="6" ht="61.5" customHeight="1">
      <c r="A6" s="193"/>
      <c r="B6" s="194">
        <v>14.0</v>
      </c>
      <c r="C6" s="194">
        <v>15.0</v>
      </c>
      <c r="D6" s="194">
        <v>16.0</v>
      </c>
      <c r="E6" s="194">
        <v>17.0</v>
      </c>
      <c r="F6" s="194">
        <v>18.0</v>
      </c>
      <c r="G6" s="195"/>
      <c r="H6" s="196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</row>
    <row r="7" ht="61.5" customHeight="1">
      <c r="A7" s="193"/>
      <c r="B7" s="194">
        <v>21.0</v>
      </c>
      <c r="C7" s="194">
        <v>22.0</v>
      </c>
      <c r="D7" s="194">
        <v>23.0</v>
      </c>
      <c r="E7" s="194">
        <v>24.0</v>
      </c>
      <c r="F7" s="194">
        <v>25.0</v>
      </c>
      <c r="G7" s="195"/>
      <c r="H7" s="196"/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</row>
    <row r="8" ht="61.5" customHeight="1">
      <c r="A8" s="195"/>
      <c r="B8" s="194"/>
      <c r="C8" s="194"/>
      <c r="D8" s="194"/>
      <c r="E8" s="194"/>
      <c r="F8" s="194"/>
      <c r="G8" s="195"/>
      <c r="H8" s="196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</row>
    <row r="9" ht="61.5" customHeight="1">
      <c r="A9" s="195"/>
      <c r="B9" s="194"/>
      <c r="C9" s="194"/>
      <c r="D9" s="194" t="s">
        <v>850</v>
      </c>
      <c r="E9" s="194"/>
      <c r="F9" s="194"/>
      <c r="G9" s="195"/>
      <c r="H9" s="196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</row>
    <row r="10" ht="61.5" customHeight="1">
      <c r="A10" s="195"/>
      <c r="B10" s="194" t="s">
        <v>845</v>
      </c>
      <c r="C10" s="194" t="s">
        <v>846</v>
      </c>
      <c r="D10" s="194" t="s">
        <v>847</v>
      </c>
      <c r="E10" s="194" t="s">
        <v>848</v>
      </c>
      <c r="F10" s="194" t="s">
        <v>849</v>
      </c>
      <c r="G10" s="195"/>
      <c r="H10" s="196"/>
      <c r="I10" s="197"/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</row>
    <row r="11" ht="61.5" customHeight="1">
      <c r="A11" s="195"/>
      <c r="B11" s="194">
        <v>28.0</v>
      </c>
      <c r="C11" s="194">
        <v>29.0</v>
      </c>
      <c r="D11" s="194">
        <v>30.0</v>
      </c>
      <c r="E11" s="194">
        <v>31.0</v>
      </c>
      <c r="F11" s="194">
        <v>1.0</v>
      </c>
      <c r="G11" s="195"/>
      <c r="H11" s="196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  <c r="Z11" s="197"/>
    </row>
    <row r="12" ht="61.5" customHeight="1">
      <c r="A12" s="195"/>
      <c r="B12" s="194">
        <v>4.0</v>
      </c>
      <c r="C12" s="194">
        <v>5.0</v>
      </c>
      <c r="D12" s="194">
        <v>6.0</v>
      </c>
      <c r="E12" s="194">
        <v>7.0</v>
      </c>
      <c r="F12" s="194">
        <v>8.0</v>
      </c>
      <c r="G12" s="195"/>
      <c r="H12" s="196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</row>
    <row r="13" ht="61.5" customHeight="1">
      <c r="A13" s="195"/>
      <c r="B13" s="194">
        <v>11.0</v>
      </c>
      <c r="C13" s="194">
        <v>12.0</v>
      </c>
      <c r="D13" s="194">
        <v>13.0</v>
      </c>
      <c r="E13" s="194">
        <v>14.0</v>
      </c>
      <c r="F13" s="194">
        <v>15.0</v>
      </c>
      <c r="G13" s="195"/>
      <c r="H13" s="196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</row>
    <row r="14" ht="61.5" customHeight="1">
      <c r="A14" s="195"/>
      <c r="B14" s="194">
        <v>18.0</v>
      </c>
      <c r="C14" s="194">
        <v>19.0</v>
      </c>
      <c r="D14" s="194">
        <v>20.0</v>
      </c>
      <c r="E14" s="194">
        <v>21.0</v>
      </c>
      <c r="F14" s="194">
        <v>22.0</v>
      </c>
      <c r="G14" s="195"/>
      <c r="H14" s="196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</row>
    <row r="15" ht="61.5" customHeight="1">
      <c r="A15" s="195"/>
      <c r="B15" s="195"/>
      <c r="C15" s="195"/>
      <c r="D15" s="195"/>
      <c r="E15" s="195"/>
      <c r="F15" s="195"/>
      <c r="G15" s="195"/>
      <c r="H15" s="196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</row>
    <row r="16" ht="61.5" customHeight="1">
      <c r="A16" s="197"/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</row>
    <row r="17" ht="61.5" customHeight="1">
      <c r="A17" s="197"/>
      <c r="B17" s="197"/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</row>
    <row r="18" ht="61.5" customHeight="1">
      <c r="A18" s="197"/>
      <c r="B18" s="197"/>
      <c r="C18" s="197"/>
      <c r="D18" s="197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</row>
    <row r="19" ht="61.5" customHeight="1">
      <c r="A19" s="197"/>
      <c r="B19" s="197"/>
      <c r="C19" s="197"/>
      <c r="D19" s="197"/>
      <c r="E19" s="197"/>
      <c r="F19" s="197"/>
      <c r="G19" s="197"/>
      <c r="H19" s="197"/>
      <c r="I19" s="197"/>
      <c r="J19" s="197"/>
      <c r="K19" s="197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</row>
    <row r="20" ht="61.5" customHeight="1">
      <c r="A20" s="197"/>
      <c r="B20" s="197"/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</row>
    <row r="21" ht="61.5" customHeight="1">
      <c r="A21" s="197"/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</row>
    <row r="22" ht="61.5" customHeight="1">
      <c r="A22" s="197"/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</row>
    <row r="23" ht="61.5" customHeight="1">
      <c r="A23" s="197"/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</row>
    <row r="24" ht="61.5" customHeight="1">
      <c r="A24" s="197"/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</row>
    <row r="25" ht="61.5" customHeight="1">
      <c r="A25" s="197"/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</row>
    <row r="26" ht="61.5" customHeight="1">
      <c r="A26" s="197"/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</row>
    <row r="27" ht="61.5" customHeight="1">
      <c r="A27" s="197"/>
      <c r="B27" s="197"/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</row>
    <row r="28" ht="61.5" customHeight="1">
      <c r="A28" s="197"/>
      <c r="B28" s="197"/>
      <c r="C28" s="197"/>
      <c r="D28" s="197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</row>
    <row r="29" ht="61.5" customHeight="1">
      <c r="A29" s="197"/>
      <c r="B29" s="197"/>
      <c r="C29" s="197"/>
      <c r="D29" s="197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</row>
    <row r="30" ht="61.5" customHeight="1">
      <c r="A30" s="197"/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</row>
    <row r="31" ht="61.5" customHeight="1">
      <c r="A31" s="197"/>
      <c r="B31" s="197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</row>
    <row r="32" ht="61.5" customHeight="1">
      <c r="A32" s="197"/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</row>
    <row r="33" ht="61.5" customHeight="1">
      <c r="A33" s="197"/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</row>
    <row r="34" ht="61.5" customHeight="1">
      <c r="A34" s="197"/>
      <c r="B34" s="197"/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</row>
    <row r="35" ht="61.5" customHeight="1">
      <c r="A35" s="197"/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</row>
    <row r="36" ht="61.5" customHeight="1">
      <c r="A36" s="197"/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</row>
    <row r="37" ht="61.5" customHeight="1">
      <c r="A37" s="197"/>
      <c r="B37" s="197"/>
      <c r="C37" s="197"/>
      <c r="D37" s="197"/>
      <c r="E37" s="197"/>
      <c r="F37" s="197"/>
      <c r="G37" s="197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</row>
    <row r="38" ht="61.5" customHeight="1">
      <c r="A38" s="197"/>
      <c r="B38" s="197"/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</row>
    <row r="39" ht="61.5" customHeight="1">
      <c r="A39" s="197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</row>
    <row r="40" ht="61.5" customHeight="1">
      <c r="A40" s="197"/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</row>
    <row r="41" ht="61.5" customHeight="1">
      <c r="A41" s="197"/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</row>
    <row r="42" ht="61.5" customHeight="1">
      <c r="A42" s="197"/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</row>
    <row r="43" ht="61.5" customHeight="1">
      <c r="A43" s="197"/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</row>
    <row r="44" ht="61.5" customHeight="1">
      <c r="A44" s="197"/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</row>
    <row r="45" ht="61.5" customHeight="1">
      <c r="A45" s="197"/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</row>
    <row r="46" ht="61.5" customHeight="1">
      <c r="A46" s="197"/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</row>
    <row r="47" ht="61.5" customHeight="1">
      <c r="A47" s="197"/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</row>
    <row r="48" ht="61.5" customHeight="1">
      <c r="A48" s="197"/>
      <c r="B48" s="197"/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</row>
    <row r="49" ht="61.5" customHeight="1">
      <c r="A49" s="197"/>
      <c r="B49" s="197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</row>
    <row r="50" ht="61.5" customHeight="1">
      <c r="A50" s="197"/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</row>
    <row r="51" ht="61.5" customHeight="1">
      <c r="A51" s="197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</row>
    <row r="52" ht="61.5" customHeight="1">
      <c r="A52" s="197"/>
      <c r="B52" s="197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</row>
    <row r="53" ht="61.5" customHeight="1">
      <c r="A53" s="197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</row>
    <row r="54" ht="61.5" customHeight="1">
      <c r="A54" s="197"/>
      <c r="B54" s="197"/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</row>
    <row r="55" ht="61.5" customHeight="1">
      <c r="A55" s="197"/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</row>
    <row r="56" ht="61.5" customHeight="1">
      <c r="A56" s="197"/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</row>
    <row r="57" ht="61.5" customHeight="1">
      <c r="A57" s="197"/>
      <c r="B57" s="197"/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</row>
    <row r="58" ht="61.5" customHeight="1">
      <c r="A58" s="197"/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</row>
    <row r="59" ht="61.5" customHeight="1">
      <c r="A59" s="197"/>
      <c r="B59" s="197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</row>
    <row r="60" ht="61.5" customHeight="1">
      <c r="A60" s="197"/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</row>
    <row r="61" ht="61.5" customHeight="1">
      <c r="A61" s="197"/>
      <c r="B61" s="197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</row>
    <row r="62" ht="61.5" customHeight="1">
      <c r="A62" s="197"/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</row>
    <row r="63" ht="61.5" customHeight="1">
      <c r="A63" s="197"/>
      <c r="B63" s="197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</row>
    <row r="64" ht="61.5" customHeight="1">
      <c r="A64" s="197"/>
      <c r="B64" s="197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</row>
    <row r="65" ht="61.5" customHeight="1">
      <c r="A65" s="197"/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</row>
    <row r="66" ht="61.5" customHeight="1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</row>
    <row r="67" ht="61.5" customHeight="1">
      <c r="A67" s="197"/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</row>
    <row r="68" ht="61.5" customHeight="1">
      <c r="A68" s="197"/>
      <c r="B68" s="197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</row>
    <row r="69" ht="61.5" customHeight="1">
      <c r="A69" s="197"/>
      <c r="B69" s="197"/>
      <c r="C69" s="197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</row>
    <row r="70" ht="61.5" customHeight="1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</row>
    <row r="71" ht="61.5" customHeight="1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</row>
    <row r="72" ht="61.5" customHeight="1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</row>
    <row r="73" ht="61.5" customHeight="1">
      <c r="A73" s="197"/>
      <c r="B73" s="197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</row>
    <row r="74" ht="61.5" customHeight="1">
      <c r="A74" s="197"/>
      <c r="B74" s="197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</row>
    <row r="75" ht="61.5" customHeight="1">
      <c r="A75" s="197"/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</row>
    <row r="76" ht="61.5" customHeight="1">
      <c r="A76" s="197"/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</row>
    <row r="77" ht="61.5" customHeight="1">
      <c r="A77" s="197"/>
      <c r="B77" s="197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</row>
    <row r="78" ht="61.5" customHeight="1">
      <c r="A78" s="197"/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</row>
    <row r="79" ht="61.5" customHeight="1">
      <c r="A79" s="197"/>
      <c r="B79" s="197"/>
      <c r="C79" s="197"/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</row>
    <row r="80" ht="61.5" customHeight="1">
      <c r="A80" s="197"/>
      <c r="B80" s="197"/>
      <c r="C80" s="197"/>
      <c r="D80" s="197"/>
      <c r="E80" s="197"/>
      <c r="F80" s="197"/>
      <c r="G80" s="197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</row>
    <row r="81" ht="61.5" customHeight="1">
      <c r="A81" s="197"/>
      <c r="B81" s="197"/>
      <c r="C81" s="197"/>
      <c r="D81" s="197"/>
      <c r="E81" s="197"/>
      <c r="F81" s="197"/>
      <c r="G81" s="197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</row>
    <row r="82" ht="61.5" customHeight="1">
      <c r="A82" s="197"/>
      <c r="B82" s="197"/>
      <c r="C82" s="197"/>
      <c r="D82" s="197"/>
      <c r="E82" s="197"/>
      <c r="F82" s="197"/>
      <c r="G82" s="197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</row>
    <row r="83" ht="61.5" customHeight="1">
      <c r="A83" s="197"/>
      <c r="B83" s="197"/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</row>
    <row r="84" ht="61.5" customHeight="1">
      <c r="A84" s="197"/>
      <c r="B84" s="197"/>
      <c r="C84" s="197"/>
      <c r="D84" s="197"/>
      <c r="E84" s="197"/>
      <c r="F84" s="197"/>
      <c r="G84" s="197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</row>
    <row r="85" ht="61.5" customHeight="1">
      <c r="A85" s="197"/>
      <c r="B85" s="197"/>
      <c r="C85" s="197"/>
      <c r="D85" s="197"/>
      <c r="E85" s="197"/>
      <c r="F85" s="197"/>
      <c r="G85" s="197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</row>
    <row r="86" ht="61.5" customHeight="1">
      <c r="A86" s="197"/>
      <c r="B86" s="197"/>
      <c r="C86" s="197"/>
      <c r="D86" s="197"/>
      <c r="E86" s="197"/>
      <c r="F86" s="197"/>
      <c r="G86" s="197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</row>
    <row r="87" ht="61.5" customHeight="1">
      <c r="A87" s="197"/>
      <c r="B87" s="197"/>
      <c r="C87" s="197"/>
      <c r="D87" s="197"/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</row>
    <row r="88" ht="61.5" customHeight="1">
      <c r="A88" s="197"/>
      <c r="B88" s="197"/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</row>
    <row r="89" ht="61.5" customHeight="1">
      <c r="A89" s="197"/>
      <c r="B89" s="197"/>
      <c r="C89" s="197"/>
      <c r="D89" s="197"/>
      <c r="E89" s="197"/>
      <c r="F89" s="197"/>
      <c r="G89" s="197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</row>
    <row r="90" ht="61.5" customHeight="1">
      <c r="A90" s="197"/>
      <c r="B90" s="197"/>
      <c r="C90" s="197"/>
      <c r="D90" s="197"/>
      <c r="E90" s="197"/>
      <c r="F90" s="197"/>
      <c r="G90" s="197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</row>
    <row r="91" ht="61.5" customHeight="1">
      <c r="A91" s="197"/>
      <c r="B91" s="197"/>
      <c r="C91" s="197"/>
      <c r="D91" s="197"/>
      <c r="E91" s="197"/>
      <c r="F91" s="197"/>
      <c r="G91" s="197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</row>
    <row r="92" ht="61.5" customHeight="1">
      <c r="A92" s="197"/>
      <c r="B92" s="197"/>
      <c r="C92" s="197"/>
      <c r="D92" s="197"/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</row>
    <row r="93" ht="61.5" customHeight="1">
      <c r="A93" s="197"/>
      <c r="B93" s="197"/>
      <c r="C93" s="197"/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</row>
    <row r="94" ht="61.5" customHeight="1">
      <c r="A94" s="197"/>
      <c r="B94" s="197"/>
      <c r="C94" s="197"/>
      <c r="D94" s="197"/>
      <c r="E94" s="197"/>
      <c r="F94" s="197"/>
      <c r="G94" s="197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</row>
    <row r="95" ht="61.5" customHeight="1">
      <c r="A95" s="197"/>
      <c r="B95" s="197"/>
      <c r="C95" s="197"/>
      <c r="D95" s="197"/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</row>
    <row r="96" ht="61.5" customHeight="1">
      <c r="A96" s="197"/>
      <c r="B96" s="197"/>
      <c r="C96" s="197"/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</row>
    <row r="97" ht="61.5" customHeight="1">
      <c r="A97" s="197"/>
      <c r="B97" s="197"/>
      <c r="C97" s="197"/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</row>
    <row r="98" ht="61.5" customHeight="1">
      <c r="A98" s="197"/>
      <c r="B98" s="197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</row>
    <row r="99" ht="61.5" customHeight="1">
      <c r="A99" s="197"/>
      <c r="B99" s="197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</row>
    <row r="100" ht="61.5" customHeight="1">
      <c r="A100" s="197"/>
      <c r="B100" s="197"/>
      <c r="C100" s="197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</row>
    <row r="101" ht="61.5" customHeight="1">
      <c r="A101" s="197"/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</row>
    <row r="102" ht="61.5" customHeight="1">
      <c r="A102" s="197"/>
      <c r="B102" s="197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</row>
    <row r="103" ht="61.5" customHeight="1">
      <c r="A103" s="197"/>
      <c r="B103" s="197"/>
      <c r="C103" s="197"/>
      <c r="D103" s="197"/>
      <c r="E103" s="197"/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</row>
    <row r="104" ht="61.5" customHeight="1">
      <c r="A104" s="197"/>
      <c r="B104" s="197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</row>
    <row r="105" ht="61.5" customHeight="1">
      <c r="A105" s="197"/>
      <c r="B105" s="197"/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</row>
    <row r="106" ht="61.5" customHeight="1">
      <c r="A106" s="197"/>
      <c r="B106" s="197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</row>
    <row r="107" ht="61.5" customHeight="1">
      <c r="A107" s="197"/>
      <c r="B107" s="197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</row>
    <row r="108" ht="61.5" customHeight="1">
      <c r="A108" s="197"/>
      <c r="B108" s="197"/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</row>
    <row r="109" ht="61.5" customHeight="1">
      <c r="A109" s="197"/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</row>
    <row r="110" ht="61.5" customHeight="1">
      <c r="A110" s="197"/>
      <c r="B110" s="197"/>
      <c r="C110" s="197"/>
      <c r="D110" s="197"/>
      <c r="E110" s="197"/>
      <c r="F110" s="197"/>
      <c r="G110" s="197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</row>
    <row r="111" ht="61.5" customHeight="1">
      <c r="A111" s="197"/>
      <c r="B111" s="197"/>
      <c r="C111" s="197"/>
      <c r="D111" s="197"/>
      <c r="E111" s="197"/>
      <c r="F111" s="197"/>
      <c r="G111" s="197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</row>
    <row r="112" ht="61.5" customHeight="1">
      <c r="A112" s="197"/>
      <c r="B112" s="197"/>
      <c r="C112" s="197"/>
      <c r="D112" s="197"/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</row>
    <row r="113" ht="61.5" customHeight="1">
      <c r="A113" s="197"/>
      <c r="B113" s="197"/>
      <c r="C113" s="197"/>
      <c r="D113" s="197"/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</row>
    <row r="114" ht="61.5" customHeight="1">
      <c r="A114" s="197"/>
      <c r="B114" s="197"/>
      <c r="C114" s="197"/>
      <c r="D114" s="197"/>
      <c r="E114" s="197"/>
      <c r="F114" s="197"/>
      <c r="G114" s="197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</row>
    <row r="115" ht="61.5" customHeight="1">
      <c r="A115" s="197"/>
      <c r="B115" s="197"/>
      <c r="C115" s="197"/>
      <c r="D115" s="197"/>
      <c r="E115" s="197"/>
      <c r="F115" s="197"/>
      <c r="G115" s="197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</row>
    <row r="116" ht="61.5" customHeight="1">
      <c r="A116" s="197"/>
      <c r="B116" s="197"/>
      <c r="C116" s="197"/>
      <c r="D116" s="197"/>
      <c r="E116" s="197"/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</row>
    <row r="117" ht="61.5" customHeight="1">
      <c r="A117" s="197"/>
      <c r="B117" s="197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</row>
    <row r="118" ht="61.5" customHeight="1">
      <c r="A118" s="197"/>
      <c r="B118" s="197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</row>
    <row r="119" ht="61.5" customHeight="1">
      <c r="A119" s="197"/>
      <c r="B119" s="197"/>
      <c r="C119" s="197"/>
      <c r="D119" s="197"/>
      <c r="E119" s="197"/>
      <c r="F119" s="197"/>
      <c r="G119" s="197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</row>
    <row r="120" ht="61.5" customHeight="1">
      <c r="A120" s="197"/>
      <c r="B120" s="197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</row>
    <row r="121" ht="61.5" customHeight="1">
      <c r="A121" s="197"/>
      <c r="B121" s="197"/>
      <c r="C121" s="197"/>
      <c r="D121" s="197"/>
      <c r="E121" s="197"/>
      <c r="F121" s="197"/>
      <c r="G121" s="197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</row>
    <row r="122" ht="61.5" customHeight="1">
      <c r="A122" s="197"/>
      <c r="B122" s="197"/>
      <c r="C122" s="197"/>
      <c r="D122" s="197"/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</row>
    <row r="123" ht="61.5" customHeight="1">
      <c r="A123" s="197"/>
      <c r="B123" s="197"/>
      <c r="C123" s="197"/>
      <c r="D123" s="197"/>
      <c r="E123" s="197"/>
      <c r="F123" s="197"/>
      <c r="G123" s="197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</row>
    <row r="124" ht="61.5" customHeight="1">
      <c r="A124" s="197"/>
      <c r="B124" s="197"/>
      <c r="C124" s="197"/>
      <c r="D124" s="197"/>
      <c r="E124" s="197"/>
      <c r="F124" s="197"/>
      <c r="G124" s="197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</row>
    <row r="125" ht="61.5" customHeight="1">
      <c r="A125" s="197"/>
      <c r="B125" s="197"/>
      <c r="C125" s="197"/>
      <c r="D125" s="197"/>
      <c r="E125" s="197"/>
      <c r="F125" s="197"/>
      <c r="G125" s="197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</row>
    <row r="126" ht="61.5" customHeight="1">
      <c r="A126" s="197"/>
      <c r="B126" s="197"/>
      <c r="C126" s="197"/>
      <c r="D126" s="197"/>
      <c r="E126" s="197"/>
      <c r="F126" s="197"/>
      <c r="G126" s="197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</row>
    <row r="127" ht="61.5" customHeight="1">
      <c r="A127" s="197"/>
      <c r="B127" s="197"/>
      <c r="C127" s="197"/>
      <c r="D127" s="197"/>
      <c r="E127" s="197"/>
      <c r="F127" s="197"/>
      <c r="G127" s="197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</row>
    <row r="128" ht="61.5" customHeight="1">
      <c r="A128" s="197"/>
      <c r="B128" s="197"/>
      <c r="C128" s="197"/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</row>
    <row r="129" ht="61.5" customHeight="1">
      <c r="A129" s="197"/>
      <c r="B129" s="197"/>
      <c r="C129" s="197"/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</row>
    <row r="130" ht="61.5" customHeight="1">
      <c r="A130" s="197"/>
      <c r="B130" s="197"/>
      <c r="C130" s="197"/>
      <c r="D130" s="197"/>
      <c r="E130" s="197"/>
      <c r="F130" s="197"/>
      <c r="G130" s="197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</row>
    <row r="131" ht="61.5" customHeight="1">
      <c r="A131" s="197"/>
      <c r="B131" s="197"/>
      <c r="C131" s="197"/>
      <c r="D131" s="197"/>
      <c r="E131" s="197"/>
      <c r="F131" s="197"/>
      <c r="G131" s="197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</row>
    <row r="132" ht="61.5" customHeight="1">
      <c r="A132" s="197"/>
      <c r="B132" s="197"/>
      <c r="C132" s="197"/>
      <c r="D132" s="197"/>
      <c r="E132" s="197"/>
      <c r="F132" s="197"/>
      <c r="G132" s="197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</row>
    <row r="133" ht="61.5" customHeight="1">
      <c r="A133" s="197"/>
      <c r="B133" s="197"/>
      <c r="C133" s="197"/>
      <c r="D133" s="197"/>
      <c r="E133" s="197"/>
      <c r="F133" s="197"/>
      <c r="G133" s="197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</row>
    <row r="134" ht="61.5" customHeight="1">
      <c r="A134" s="197"/>
      <c r="B134" s="197"/>
      <c r="C134" s="197"/>
      <c r="D134" s="197"/>
      <c r="E134" s="197"/>
      <c r="F134" s="197"/>
      <c r="G134" s="197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</row>
    <row r="135" ht="61.5" customHeight="1">
      <c r="A135" s="197"/>
      <c r="B135" s="197"/>
      <c r="C135" s="197"/>
      <c r="D135" s="197"/>
      <c r="E135" s="197"/>
      <c r="F135" s="197"/>
      <c r="G135" s="197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</row>
    <row r="136" ht="61.5" customHeight="1">
      <c r="A136" s="197"/>
      <c r="B136" s="197"/>
      <c r="C136" s="197"/>
      <c r="D136" s="197"/>
      <c r="E136" s="197"/>
      <c r="F136" s="197"/>
      <c r="G136" s="197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</row>
    <row r="137" ht="61.5" customHeight="1">
      <c r="A137" s="197"/>
      <c r="B137" s="197"/>
      <c r="C137" s="197"/>
      <c r="D137" s="197"/>
      <c r="E137" s="197"/>
      <c r="F137" s="197"/>
      <c r="G137" s="197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</row>
    <row r="138" ht="61.5" customHeight="1">
      <c r="A138" s="197"/>
      <c r="B138" s="197"/>
      <c r="C138" s="197"/>
      <c r="D138" s="197"/>
      <c r="E138" s="197"/>
      <c r="F138" s="197"/>
      <c r="G138" s="197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</row>
    <row r="139" ht="61.5" customHeight="1">
      <c r="A139" s="197"/>
      <c r="B139" s="197"/>
      <c r="C139" s="197"/>
      <c r="D139" s="197"/>
      <c r="E139" s="197"/>
      <c r="F139" s="197"/>
      <c r="G139" s="197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</row>
    <row r="140" ht="61.5" customHeight="1">
      <c r="A140" s="197"/>
      <c r="B140" s="197"/>
      <c r="C140" s="197"/>
      <c r="D140" s="197"/>
      <c r="E140" s="197"/>
      <c r="F140" s="197"/>
      <c r="G140" s="197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</row>
    <row r="141" ht="61.5" customHeight="1">
      <c r="A141" s="197"/>
      <c r="B141" s="197"/>
      <c r="C141" s="197"/>
      <c r="D141" s="197"/>
      <c r="E141" s="197"/>
      <c r="F141" s="197"/>
      <c r="G141" s="197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</row>
    <row r="142" ht="61.5" customHeight="1">
      <c r="A142" s="197"/>
      <c r="B142" s="197"/>
      <c r="C142" s="197"/>
      <c r="D142" s="197"/>
      <c r="E142" s="197"/>
      <c r="F142" s="197"/>
      <c r="G142" s="197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</row>
    <row r="143" ht="61.5" customHeight="1">
      <c r="A143" s="197"/>
      <c r="B143" s="197"/>
      <c r="C143" s="197"/>
      <c r="D143" s="197"/>
      <c r="E143" s="197"/>
      <c r="F143" s="197"/>
      <c r="G143" s="197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</row>
    <row r="144" ht="61.5" customHeight="1">
      <c r="A144" s="197"/>
      <c r="B144" s="197"/>
      <c r="C144" s="197"/>
      <c r="D144" s="197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</row>
    <row r="145" ht="61.5" customHeight="1">
      <c r="A145" s="197"/>
      <c r="B145" s="197"/>
      <c r="C145" s="197"/>
      <c r="D145" s="197"/>
      <c r="E145" s="197"/>
      <c r="F145" s="197"/>
      <c r="G145" s="197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</row>
    <row r="146" ht="61.5" customHeight="1">
      <c r="A146" s="197"/>
      <c r="B146" s="197"/>
      <c r="C146" s="197"/>
      <c r="D146" s="197"/>
      <c r="E146" s="197"/>
      <c r="F146" s="197"/>
      <c r="G146" s="197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</row>
    <row r="147" ht="61.5" customHeight="1">
      <c r="A147" s="197"/>
      <c r="B147" s="197"/>
      <c r="C147" s="197"/>
      <c r="D147" s="197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</row>
    <row r="148" ht="61.5" customHeight="1">
      <c r="A148" s="197"/>
      <c r="B148" s="197"/>
      <c r="C148" s="197"/>
      <c r="D148" s="197"/>
      <c r="E148" s="197"/>
      <c r="F148" s="197"/>
      <c r="G148" s="197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</row>
    <row r="149" ht="61.5" customHeight="1">
      <c r="A149" s="197"/>
      <c r="B149" s="197"/>
      <c r="C149" s="197"/>
      <c r="D149" s="197"/>
      <c r="E149" s="197"/>
      <c r="F149" s="197"/>
      <c r="G149" s="197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</row>
    <row r="150" ht="61.5" customHeight="1">
      <c r="A150" s="197"/>
      <c r="B150" s="197"/>
      <c r="C150" s="197"/>
      <c r="D150" s="197"/>
      <c r="E150" s="197"/>
      <c r="F150" s="197"/>
      <c r="G150" s="197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</row>
    <row r="151" ht="61.5" customHeight="1">
      <c r="A151" s="197"/>
      <c r="B151" s="197"/>
      <c r="C151" s="197"/>
      <c r="D151" s="197"/>
      <c r="E151" s="197"/>
      <c r="F151" s="197"/>
      <c r="G151" s="197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</row>
    <row r="152" ht="61.5" customHeight="1">
      <c r="A152" s="197"/>
      <c r="B152" s="197"/>
      <c r="C152" s="197"/>
      <c r="D152" s="197"/>
      <c r="E152" s="197"/>
      <c r="F152" s="197"/>
      <c r="G152" s="197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</row>
    <row r="153" ht="61.5" customHeight="1">
      <c r="A153" s="197"/>
      <c r="B153" s="197"/>
      <c r="C153" s="197"/>
      <c r="D153" s="197"/>
      <c r="E153" s="197"/>
      <c r="F153" s="197"/>
      <c r="G153" s="197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</row>
    <row r="154" ht="61.5" customHeight="1">
      <c r="A154" s="197"/>
      <c r="B154" s="197"/>
      <c r="C154" s="197"/>
      <c r="D154" s="197"/>
      <c r="E154" s="197"/>
      <c r="F154" s="197"/>
      <c r="G154" s="197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</row>
    <row r="155" ht="61.5" customHeight="1">
      <c r="A155" s="197"/>
      <c r="B155" s="197"/>
      <c r="C155" s="197"/>
      <c r="D155" s="197"/>
      <c r="E155" s="197"/>
      <c r="F155" s="197"/>
      <c r="G155" s="197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</row>
    <row r="156" ht="61.5" customHeight="1">
      <c r="A156" s="197"/>
      <c r="B156" s="197"/>
      <c r="C156" s="197"/>
      <c r="D156" s="197"/>
      <c r="E156" s="197"/>
      <c r="F156" s="197"/>
      <c r="G156" s="197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</row>
    <row r="157" ht="61.5" customHeight="1">
      <c r="A157" s="197"/>
      <c r="B157" s="197"/>
      <c r="C157" s="197"/>
      <c r="D157" s="197"/>
      <c r="E157" s="197"/>
      <c r="F157" s="197"/>
      <c r="G157" s="197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</row>
    <row r="158" ht="61.5" customHeight="1">
      <c r="A158" s="197"/>
      <c r="B158" s="197"/>
      <c r="C158" s="197"/>
      <c r="D158" s="197"/>
      <c r="E158" s="197"/>
      <c r="F158" s="197"/>
      <c r="G158" s="197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</row>
    <row r="159" ht="61.5" customHeight="1">
      <c r="A159" s="197"/>
      <c r="B159" s="197"/>
      <c r="C159" s="197"/>
      <c r="D159" s="197"/>
      <c r="E159" s="197"/>
      <c r="F159" s="197"/>
      <c r="G159" s="197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</row>
    <row r="160" ht="61.5" customHeight="1">
      <c r="A160" s="197"/>
      <c r="B160" s="197"/>
      <c r="C160" s="197"/>
      <c r="D160" s="197"/>
      <c r="E160" s="197"/>
      <c r="F160" s="197"/>
      <c r="G160" s="197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</row>
    <row r="161" ht="61.5" customHeight="1">
      <c r="A161" s="197"/>
      <c r="B161" s="197"/>
      <c r="C161" s="197"/>
      <c r="D161" s="197"/>
      <c r="E161" s="197"/>
      <c r="F161" s="197"/>
      <c r="G161" s="197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</row>
    <row r="162" ht="61.5" customHeight="1">
      <c r="A162" s="197"/>
      <c r="B162" s="197"/>
      <c r="C162" s="197"/>
      <c r="D162" s="197"/>
      <c r="E162" s="197"/>
      <c r="F162" s="197"/>
      <c r="G162" s="197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</row>
    <row r="163" ht="61.5" customHeight="1">
      <c r="A163" s="197"/>
      <c r="B163" s="197"/>
      <c r="C163" s="197"/>
      <c r="D163" s="197"/>
      <c r="E163" s="197"/>
      <c r="F163" s="197"/>
      <c r="G163" s="197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</row>
    <row r="164" ht="61.5" customHeight="1">
      <c r="A164" s="197"/>
      <c r="B164" s="197"/>
      <c r="C164" s="197"/>
      <c r="D164" s="197"/>
      <c r="E164" s="197"/>
      <c r="F164" s="197"/>
      <c r="G164" s="197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</row>
    <row r="165" ht="61.5" customHeight="1">
      <c r="A165" s="197"/>
      <c r="B165" s="197"/>
      <c r="C165" s="197"/>
      <c r="D165" s="197"/>
      <c r="E165" s="197"/>
      <c r="F165" s="197"/>
      <c r="G165" s="197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</row>
    <row r="166" ht="61.5" customHeight="1">
      <c r="A166" s="197"/>
      <c r="B166" s="197"/>
      <c r="C166" s="197"/>
      <c r="D166" s="197"/>
      <c r="E166" s="197"/>
      <c r="F166" s="197"/>
      <c r="G166" s="197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</row>
    <row r="167" ht="61.5" customHeight="1">
      <c r="A167" s="197"/>
      <c r="B167" s="197"/>
      <c r="C167" s="197"/>
      <c r="D167" s="197"/>
      <c r="E167" s="197"/>
      <c r="F167" s="197"/>
      <c r="G167" s="197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</row>
    <row r="168" ht="61.5" customHeight="1">
      <c r="A168" s="197"/>
      <c r="B168" s="197"/>
      <c r="C168" s="197"/>
      <c r="D168" s="197"/>
      <c r="E168" s="197"/>
      <c r="F168" s="197"/>
      <c r="G168" s="197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</row>
    <row r="169" ht="61.5" customHeight="1">
      <c r="A169" s="197"/>
      <c r="B169" s="197"/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</row>
    <row r="170" ht="61.5" customHeight="1">
      <c r="A170" s="197"/>
      <c r="B170" s="197"/>
      <c r="C170" s="197"/>
      <c r="D170" s="197"/>
      <c r="E170" s="197"/>
      <c r="F170" s="197"/>
      <c r="G170" s="197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</row>
    <row r="171" ht="61.5" customHeight="1">
      <c r="A171" s="197"/>
      <c r="B171" s="197"/>
      <c r="C171" s="197"/>
      <c r="D171" s="197"/>
      <c r="E171" s="197"/>
      <c r="F171" s="197"/>
      <c r="G171" s="197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</row>
    <row r="172" ht="61.5" customHeight="1">
      <c r="A172" s="197"/>
      <c r="B172" s="197"/>
      <c r="C172" s="197"/>
      <c r="D172" s="197"/>
      <c r="E172" s="197"/>
      <c r="F172" s="197"/>
      <c r="G172" s="197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</row>
    <row r="173" ht="61.5" customHeight="1">
      <c r="A173" s="197"/>
      <c r="B173" s="197"/>
      <c r="C173" s="197"/>
      <c r="D173" s="197"/>
      <c r="E173" s="197"/>
      <c r="F173" s="197"/>
      <c r="G173" s="197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</row>
    <row r="174" ht="61.5" customHeight="1">
      <c r="A174" s="197"/>
      <c r="B174" s="197"/>
      <c r="C174" s="197"/>
      <c r="D174" s="197"/>
      <c r="E174" s="197"/>
      <c r="F174" s="197"/>
      <c r="G174" s="197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</row>
    <row r="175" ht="61.5" customHeight="1">
      <c r="A175" s="197"/>
      <c r="B175" s="197"/>
      <c r="C175" s="197"/>
      <c r="D175" s="197"/>
      <c r="E175" s="197"/>
      <c r="F175" s="197"/>
      <c r="G175" s="197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</row>
    <row r="176" ht="61.5" customHeight="1">
      <c r="A176" s="197"/>
      <c r="B176" s="197"/>
      <c r="C176" s="197"/>
      <c r="D176" s="197"/>
      <c r="E176" s="197"/>
      <c r="F176" s="197"/>
      <c r="G176" s="197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</row>
    <row r="177" ht="61.5" customHeight="1">
      <c r="A177" s="197"/>
      <c r="B177" s="197"/>
      <c r="C177" s="197"/>
      <c r="D177" s="197"/>
      <c r="E177" s="197"/>
      <c r="F177" s="197"/>
      <c r="G177" s="197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</row>
    <row r="178" ht="61.5" customHeight="1">
      <c r="A178" s="197"/>
      <c r="B178" s="197"/>
      <c r="C178" s="197"/>
      <c r="D178" s="197"/>
      <c r="E178" s="197"/>
      <c r="F178" s="197"/>
      <c r="G178" s="197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</row>
    <row r="179" ht="61.5" customHeight="1">
      <c r="A179" s="197"/>
      <c r="B179" s="197"/>
      <c r="C179" s="197"/>
      <c r="D179" s="197"/>
      <c r="E179" s="197"/>
      <c r="F179" s="197"/>
      <c r="G179" s="197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</row>
    <row r="180" ht="61.5" customHeight="1">
      <c r="A180" s="197"/>
      <c r="B180" s="197"/>
      <c r="C180" s="197"/>
      <c r="D180" s="197"/>
      <c r="E180" s="197"/>
      <c r="F180" s="197"/>
      <c r="G180" s="197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</row>
    <row r="181" ht="61.5" customHeight="1">
      <c r="A181" s="197"/>
      <c r="B181" s="197"/>
      <c r="C181" s="197"/>
      <c r="D181" s="197"/>
      <c r="E181" s="197"/>
      <c r="F181" s="197"/>
      <c r="G181" s="197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</row>
    <row r="182" ht="61.5" customHeight="1">
      <c r="A182" s="197"/>
      <c r="B182" s="197"/>
      <c r="C182" s="197"/>
      <c r="D182" s="197"/>
      <c r="E182" s="197"/>
      <c r="F182" s="197"/>
      <c r="G182" s="197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</row>
    <row r="183" ht="61.5" customHeight="1">
      <c r="A183" s="197"/>
      <c r="B183" s="197"/>
      <c r="C183" s="197"/>
      <c r="D183" s="197"/>
      <c r="E183" s="197"/>
      <c r="F183" s="197"/>
      <c r="G183" s="197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</row>
    <row r="184" ht="61.5" customHeight="1">
      <c r="A184" s="197"/>
      <c r="B184" s="197"/>
      <c r="C184" s="197"/>
      <c r="D184" s="197"/>
      <c r="E184" s="197"/>
      <c r="F184" s="197"/>
      <c r="G184" s="197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</row>
    <row r="185" ht="61.5" customHeight="1">
      <c r="A185" s="197"/>
      <c r="B185" s="197"/>
      <c r="C185" s="197"/>
      <c r="D185" s="197"/>
      <c r="E185" s="197"/>
      <c r="F185" s="197"/>
      <c r="G185" s="197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</row>
    <row r="186" ht="61.5" customHeight="1">
      <c r="A186" s="197"/>
      <c r="B186" s="197"/>
      <c r="C186" s="197"/>
      <c r="D186" s="197"/>
      <c r="E186" s="197"/>
      <c r="F186" s="197"/>
      <c r="G186" s="197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</row>
    <row r="187" ht="61.5" customHeight="1">
      <c r="A187" s="197"/>
      <c r="B187" s="197"/>
      <c r="C187" s="197"/>
      <c r="D187" s="197"/>
      <c r="E187" s="197"/>
      <c r="F187" s="197"/>
      <c r="G187" s="197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</row>
    <row r="188" ht="61.5" customHeight="1">
      <c r="A188" s="197"/>
      <c r="B188" s="197"/>
      <c r="C188" s="197"/>
      <c r="D188" s="197"/>
      <c r="E188" s="197"/>
      <c r="F188" s="197"/>
      <c r="G188" s="197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</row>
    <row r="189" ht="61.5" customHeight="1">
      <c r="A189" s="197"/>
      <c r="B189" s="197"/>
      <c r="C189" s="197"/>
      <c r="D189" s="197"/>
      <c r="E189" s="197"/>
      <c r="F189" s="197"/>
      <c r="G189" s="197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</row>
    <row r="190" ht="61.5" customHeight="1">
      <c r="A190" s="197"/>
      <c r="B190" s="197"/>
      <c r="C190" s="197"/>
      <c r="D190" s="197"/>
      <c r="E190" s="197"/>
      <c r="F190" s="197"/>
      <c r="G190" s="197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</row>
    <row r="191" ht="61.5" customHeight="1">
      <c r="A191" s="197"/>
      <c r="B191" s="197"/>
      <c r="C191" s="197"/>
      <c r="D191" s="197"/>
      <c r="E191" s="197"/>
      <c r="F191" s="197"/>
      <c r="G191" s="197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</row>
    <row r="192" ht="61.5" customHeight="1">
      <c r="A192" s="197"/>
      <c r="B192" s="197"/>
      <c r="C192" s="197"/>
      <c r="D192" s="197"/>
      <c r="E192" s="197"/>
      <c r="F192" s="197"/>
      <c r="G192" s="197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</row>
    <row r="193" ht="61.5" customHeight="1">
      <c r="A193" s="197"/>
      <c r="B193" s="197"/>
      <c r="C193" s="197"/>
      <c r="D193" s="197"/>
      <c r="E193" s="197"/>
      <c r="F193" s="197"/>
      <c r="G193" s="197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</row>
    <row r="194" ht="61.5" customHeight="1">
      <c r="A194" s="197"/>
      <c r="B194" s="197"/>
      <c r="C194" s="197"/>
      <c r="D194" s="197"/>
      <c r="E194" s="197"/>
      <c r="F194" s="197"/>
      <c r="G194" s="197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</row>
    <row r="195" ht="61.5" customHeight="1">
      <c r="A195" s="197"/>
      <c r="B195" s="197"/>
      <c r="C195" s="197"/>
      <c r="D195" s="197"/>
      <c r="E195" s="197"/>
      <c r="F195" s="197"/>
      <c r="G195" s="197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</row>
    <row r="196" ht="61.5" customHeight="1">
      <c r="A196" s="197"/>
      <c r="B196" s="197"/>
      <c r="C196" s="197"/>
      <c r="D196" s="197"/>
      <c r="E196" s="197"/>
      <c r="F196" s="197"/>
      <c r="G196" s="197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</row>
    <row r="197" ht="61.5" customHeight="1">
      <c r="A197" s="197"/>
      <c r="B197" s="197"/>
      <c r="C197" s="197"/>
      <c r="D197" s="197"/>
      <c r="E197" s="197"/>
      <c r="F197" s="197"/>
      <c r="G197" s="197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</row>
    <row r="198" ht="61.5" customHeight="1">
      <c r="A198" s="197"/>
      <c r="B198" s="197"/>
      <c r="C198" s="197"/>
      <c r="D198" s="197"/>
      <c r="E198" s="197"/>
      <c r="F198" s="197"/>
      <c r="G198" s="197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</row>
    <row r="199" ht="61.5" customHeight="1">
      <c r="A199" s="197"/>
      <c r="B199" s="197"/>
      <c r="C199" s="197"/>
      <c r="D199" s="197"/>
      <c r="E199" s="197"/>
      <c r="F199" s="197"/>
      <c r="G199" s="197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</row>
    <row r="200" ht="61.5" customHeight="1">
      <c r="A200" s="197"/>
      <c r="B200" s="197"/>
      <c r="C200" s="197"/>
      <c r="D200" s="197"/>
      <c r="E200" s="197"/>
      <c r="F200" s="197"/>
      <c r="G200" s="197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</row>
    <row r="201" ht="61.5" customHeight="1">
      <c r="A201" s="197"/>
      <c r="B201" s="197"/>
      <c r="C201" s="197"/>
      <c r="D201" s="197"/>
      <c r="E201" s="197"/>
      <c r="F201" s="197"/>
      <c r="G201" s="197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</row>
    <row r="202" ht="61.5" customHeight="1">
      <c r="A202" s="197"/>
      <c r="B202" s="197"/>
      <c r="C202" s="197"/>
      <c r="D202" s="197"/>
      <c r="E202" s="197"/>
      <c r="F202" s="197"/>
      <c r="G202" s="197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</row>
    <row r="203" ht="61.5" customHeight="1">
      <c r="A203" s="197"/>
      <c r="B203" s="197"/>
      <c r="C203" s="197"/>
      <c r="D203" s="197"/>
      <c r="E203" s="197"/>
      <c r="F203" s="197"/>
      <c r="G203" s="197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</row>
    <row r="204" ht="61.5" customHeight="1">
      <c r="A204" s="197"/>
      <c r="B204" s="197"/>
      <c r="C204" s="197"/>
      <c r="D204" s="197"/>
      <c r="E204" s="197"/>
      <c r="F204" s="197"/>
      <c r="G204" s="197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</row>
    <row r="205" ht="61.5" customHeight="1">
      <c r="A205" s="197"/>
      <c r="B205" s="197"/>
      <c r="C205" s="197"/>
      <c r="D205" s="197"/>
      <c r="E205" s="197"/>
      <c r="F205" s="197"/>
      <c r="G205" s="197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</row>
    <row r="206" ht="61.5" customHeight="1">
      <c r="A206" s="197"/>
      <c r="B206" s="197"/>
      <c r="C206" s="197"/>
      <c r="D206" s="197"/>
      <c r="E206" s="197"/>
      <c r="F206" s="197"/>
      <c r="G206" s="197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</row>
    <row r="207" ht="61.5" customHeight="1">
      <c r="A207" s="197"/>
      <c r="B207" s="197"/>
      <c r="C207" s="197"/>
      <c r="D207" s="197"/>
      <c r="E207" s="197"/>
      <c r="F207" s="197"/>
      <c r="G207" s="197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</row>
    <row r="208" ht="61.5" customHeight="1">
      <c r="A208" s="197"/>
      <c r="B208" s="197"/>
      <c r="C208" s="197"/>
      <c r="D208" s="197"/>
      <c r="E208" s="197"/>
      <c r="F208" s="197"/>
      <c r="G208" s="197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</row>
    <row r="209" ht="61.5" customHeight="1">
      <c r="A209" s="197"/>
      <c r="B209" s="197"/>
      <c r="C209" s="197"/>
      <c r="D209" s="197"/>
      <c r="E209" s="197"/>
      <c r="F209" s="197"/>
      <c r="G209" s="197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</row>
    <row r="210" ht="61.5" customHeight="1">
      <c r="A210" s="197"/>
      <c r="B210" s="197"/>
      <c r="C210" s="197"/>
      <c r="D210" s="197"/>
      <c r="E210" s="197"/>
      <c r="F210" s="197"/>
      <c r="G210" s="197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</row>
    <row r="211" ht="61.5" customHeight="1">
      <c r="A211" s="197"/>
      <c r="B211" s="197"/>
      <c r="C211" s="197"/>
      <c r="D211" s="197"/>
      <c r="E211" s="197"/>
      <c r="F211" s="197"/>
      <c r="G211" s="197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</row>
    <row r="212" ht="61.5" customHeight="1">
      <c r="A212" s="197"/>
      <c r="B212" s="197"/>
      <c r="C212" s="197"/>
      <c r="D212" s="197"/>
      <c r="E212" s="197"/>
      <c r="F212" s="197"/>
      <c r="G212" s="197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</row>
    <row r="213" ht="61.5" customHeight="1">
      <c r="A213" s="197"/>
      <c r="B213" s="197"/>
      <c r="C213" s="197"/>
      <c r="D213" s="197"/>
      <c r="E213" s="197"/>
      <c r="F213" s="197"/>
      <c r="G213" s="197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</row>
    <row r="214" ht="61.5" customHeight="1">
      <c r="A214" s="197"/>
      <c r="B214" s="197"/>
      <c r="C214" s="197"/>
      <c r="D214" s="197"/>
      <c r="E214" s="197"/>
      <c r="F214" s="197"/>
      <c r="G214" s="197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</row>
    <row r="215" ht="61.5" customHeight="1">
      <c r="A215" s="197"/>
      <c r="B215" s="197"/>
      <c r="C215" s="197"/>
      <c r="D215" s="197"/>
      <c r="E215" s="197"/>
      <c r="F215" s="197"/>
      <c r="G215" s="197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</row>
    <row r="216" ht="61.5" customHeight="1">
      <c r="A216" s="197"/>
      <c r="B216" s="197"/>
      <c r="C216" s="197"/>
      <c r="D216" s="197"/>
      <c r="E216" s="197"/>
      <c r="F216" s="197"/>
      <c r="G216" s="197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</row>
    <row r="217" ht="61.5" customHeight="1">
      <c r="A217" s="197"/>
      <c r="B217" s="197"/>
      <c r="C217" s="197"/>
      <c r="D217" s="197"/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</row>
    <row r="218" ht="61.5" customHeight="1">
      <c r="A218" s="197"/>
      <c r="B218" s="197"/>
      <c r="C218" s="197"/>
      <c r="D218" s="197"/>
      <c r="E218" s="197"/>
      <c r="F218" s="197"/>
      <c r="G218" s="197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</row>
    <row r="219" ht="61.5" customHeight="1">
      <c r="A219" s="197"/>
      <c r="B219" s="197"/>
      <c r="C219" s="197"/>
      <c r="D219" s="197"/>
      <c r="E219" s="197"/>
      <c r="F219" s="197"/>
      <c r="G219" s="197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</row>
    <row r="220" ht="61.5" customHeight="1">
      <c r="A220" s="197"/>
      <c r="B220" s="197"/>
      <c r="C220" s="197"/>
      <c r="D220" s="197"/>
      <c r="E220" s="197"/>
      <c r="F220" s="197"/>
      <c r="G220" s="197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</row>
    <row r="221" ht="61.5" customHeight="1">
      <c r="A221" s="197"/>
      <c r="B221" s="197"/>
      <c r="C221" s="197"/>
      <c r="D221" s="197"/>
      <c r="E221" s="197"/>
      <c r="F221" s="197"/>
      <c r="G221" s="197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</row>
    <row r="222" ht="61.5" customHeight="1">
      <c r="A222" s="197"/>
      <c r="B222" s="197"/>
      <c r="C222" s="197"/>
      <c r="D222" s="197"/>
      <c r="E222" s="197"/>
      <c r="F222" s="197"/>
      <c r="G222" s="197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</row>
    <row r="223" ht="61.5" customHeight="1">
      <c r="A223" s="197"/>
      <c r="B223" s="197"/>
      <c r="C223" s="197"/>
      <c r="D223" s="197"/>
      <c r="E223" s="197"/>
      <c r="F223" s="197"/>
      <c r="G223" s="197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  <c r="Z223" s="197"/>
    </row>
    <row r="224" ht="61.5" customHeight="1">
      <c r="A224" s="197"/>
      <c r="B224" s="197"/>
      <c r="C224" s="197"/>
      <c r="D224" s="197"/>
      <c r="E224" s="197"/>
      <c r="F224" s="197"/>
      <c r="G224" s="197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197"/>
      <c r="T224" s="197"/>
      <c r="U224" s="197"/>
      <c r="V224" s="197"/>
      <c r="W224" s="197"/>
      <c r="X224" s="197"/>
      <c r="Y224" s="197"/>
      <c r="Z224" s="197"/>
    </row>
    <row r="225" ht="61.5" customHeight="1">
      <c r="A225" s="197"/>
      <c r="B225" s="197"/>
      <c r="C225" s="197"/>
      <c r="D225" s="197"/>
      <c r="E225" s="197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97"/>
      <c r="X225" s="197"/>
      <c r="Y225" s="197"/>
      <c r="Z225" s="197"/>
    </row>
    <row r="226" ht="61.5" customHeight="1">
      <c r="A226" s="197"/>
      <c r="B226" s="197"/>
      <c r="C226" s="197"/>
      <c r="D226" s="197"/>
      <c r="E226" s="197"/>
      <c r="F226" s="197"/>
      <c r="G226" s="197"/>
      <c r="H226" s="197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197"/>
      <c r="T226" s="197"/>
      <c r="U226" s="197"/>
      <c r="V226" s="197"/>
      <c r="W226" s="197"/>
      <c r="X226" s="197"/>
      <c r="Y226" s="197"/>
      <c r="Z226" s="197"/>
    </row>
    <row r="227" ht="61.5" customHeight="1">
      <c r="A227" s="197"/>
      <c r="B227" s="197"/>
      <c r="C227" s="197"/>
      <c r="D227" s="197"/>
      <c r="E227" s="197"/>
      <c r="F227" s="197"/>
      <c r="G227" s="197"/>
      <c r="H227" s="197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197"/>
      <c r="T227" s="197"/>
      <c r="U227" s="197"/>
      <c r="V227" s="197"/>
      <c r="W227" s="197"/>
      <c r="X227" s="197"/>
      <c r="Y227" s="197"/>
      <c r="Z227" s="197"/>
    </row>
    <row r="228" ht="61.5" customHeight="1">
      <c r="A228" s="197"/>
      <c r="B228" s="197"/>
      <c r="C228" s="197"/>
      <c r="D228" s="197"/>
      <c r="E228" s="197"/>
      <c r="F228" s="197"/>
      <c r="G228" s="197"/>
      <c r="H228" s="197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197"/>
      <c r="T228" s="197"/>
      <c r="U228" s="197"/>
      <c r="V228" s="197"/>
      <c r="W228" s="197"/>
      <c r="X228" s="197"/>
      <c r="Y228" s="197"/>
      <c r="Z228" s="197"/>
    </row>
    <row r="229" ht="61.5" customHeight="1">
      <c r="A229" s="197"/>
      <c r="B229" s="197"/>
      <c r="C229" s="197"/>
      <c r="D229" s="197"/>
      <c r="E229" s="197"/>
      <c r="F229" s="197"/>
      <c r="G229" s="197"/>
      <c r="H229" s="197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197"/>
      <c r="T229" s="197"/>
      <c r="U229" s="197"/>
      <c r="V229" s="197"/>
      <c r="W229" s="197"/>
      <c r="X229" s="197"/>
      <c r="Y229" s="197"/>
      <c r="Z229" s="197"/>
    </row>
    <row r="230" ht="61.5" customHeight="1">
      <c r="A230" s="197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197"/>
      <c r="T230" s="197"/>
      <c r="U230" s="197"/>
      <c r="V230" s="197"/>
      <c r="W230" s="197"/>
      <c r="X230" s="197"/>
      <c r="Y230" s="197"/>
      <c r="Z230" s="197"/>
    </row>
    <row r="231" ht="61.5" customHeight="1">
      <c r="A231" s="197"/>
      <c r="B231" s="197"/>
      <c r="C231" s="197"/>
      <c r="D231" s="197"/>
      <c r="E231" s="197"/>
      <c r="F231" s="197"/>
      <c r="G231" s="197"/>
      <c r="H231" s="197"/>
      <c r="I231" s="197"/>
      <c r="J231" s="197"/>
      <c r="K231" s="197"/>
      <c r="L231" s="197"/>
      <c r="M231" s="197"/>
      <c r="N231" s="197"/>
      <c r="O231" s="197"/>
      <c r="P231" s="197"/>
      <c r="Q231" s="197"/>
      <c r="R231" s="197"/>
      <c r="S231" s="197"/>
      <c r="T231" s="197"/>
      <c r="U231" s="197"/>
      <c r="V231" s="197"/>
      <c r="W231" s="197"/>
      <c r="X231" s="197"/>
      <c r="Y231" s="197"/>
      <c r="Z231" s="197"/>
    </row>
    <row r="232" ht="61.5" customHeight="1">
      <c r="A232" s="197"/>
      <c r="B232" s="197"/>
      <c r="C232" s="197"/>
      <c r="D232" s="197"/>
      <c r="E232" s="197"/>
      <c r="F232" s="197"/>
      <c r="G232" s="197"/>
      <c r="H232" s="197"/>
      <c r="I232" s="197"/>
      <c r="J232" s="197"/>
      <c r="K232" s="197"/>
      <c r="L232" s="197"/>
      <c r="M232" s="197"/>
      <c r="N232" s="197"/>
      <c r="O232" s="197"/>
      <c r="P232" s="197"/>
      <c r="Q232" s="197"/>
      <c r="R232" s="197"/>
      <c r="S232" s="197"/>
      <c r="T232" s="197"/>
      <c r="U232" s="197"/>
      <c r="V232" s="197"/>
      <c r="W232" s="197"/>
      <c r="X232" s="197"/>
      <c r="Y232" s="197"/>
      <c r="Z232" s="197"/>
    </row>
    <row r="233" ht="61.5" customHeight="1">
      <c r="A233" s="197"/>
      <c r="B233" s="197"/>
      <c r="C233" s="197"/>
      <c r="D233" s="197"/>
      <c r="E233" s="197"/>
      <c r="F233" s="197"/>
      <c r="G233" s="197"/>
      <c r="H233" s="197"/>
      <c r="I233" s="197"/>
      <c r="J233" s="197"/>
      <c r="K233" s="197"/>
      <c r="L233" s="197"/>
      <c r="M233" s="197"/>
      <c r="N233" s="197"/>
      <c r="O233" s="197"/>
      <c r="P233" s="197"/>
      <c r="Q233" s="197"/>
      <c r="R233" s="197"/>
      <c r="S233" s="197"/>
      <c r="T233" s="197"/>
      <c r="U233" s="197"/>
      <c r="V233" s="197"/>
      <c r="W233" s="197"/>
      <c r="X233" s="197"/>
      <c r="Y233" s="197"/>
      <c r="Z233" s="197"/>
    </row>
    <row r="234" ht="61.5" customHeight="1">
      <c r="A234" s="197"/>
      <c r="B234" s="197"/>
      <c r="C234" s="197"/>
      <c r="D234" s="197"/>
      <c r="E234" s="197"/>
      <c r="F234" s="197"/>
      <c r="G234" s="197"/>
      <c r="H234" s="197"/>
      <c r="I234" s="197"/>
      <c r="J234" s="197"/>
      <c r="K234" s="197"/>
      <c r="L234" s="197"/>
      <c r="M234" s="197"/>
      <c r="N234" s="197"/>
      <c r="O234" s="197"/>
      <c r="P234" s="197"/>
      <c r="Q234" s="197"/>
      <c r="R234" s="197"/>
      <c r="S234" s="197"/>
      <c r="T234" s="197"/>
      <c r="U234" s="197"/>
      <c r="V234" s="197"/>
      <c r="W234" s="197"/>
      <c r="X234" s="197"/>
      <c r="Y234" s="197"/>
      <c r="Z234" s="197"/>
    </row>
    <row r="235" ht="61.5" customHeight="1">
      <c r="A235" s="197"/>
      <c r="B235" s="197"/>
      <c r="C235" s="197"/>
      <c r="D235" s="197"/>
      <c r="E235" s="197"/>
      <c r="F235" s="197"/>
      <c r="G235" s="197"/>
      <c r="H235" s="197"/>
      <c r="I235" s="197"/>
      <c r="J235" s="197"/>
      <c r="K235" s="197"/>
      <c r="L235" s="197"/>
      <c r="M235" s="197"/>
      <c r="N235" s="197"/>
      <c r="O235" s="197"/>
      <c r="P235" s="197"/>
      <c r="Q235" s="197"/>
      <c r="R235" s="197"/>
      <c r="S235" s="197"/>
      <c r="T235" s="197"/>
      <c r="U235" s="197"/>
      <c r="V235" s="197"/>
      <c r="W235" s="197"/>
      <c r="X235" s="197"/>
      <c r="Y235" s="197"/>
      <c r="Z235" s="197"/>
    </row>
    <row r="236" ht="61.5" customHeight="1">
      <c r="A236" s="197"/>
      <c r="B236" s="197"/>
      <c r="C236" s="197"/>
      <c r="D236" s="197"/>
      <c r="E236" s="197"/>
      <c r="F236" s="197"/>
      <c r="G236" s="197"/>
      <c r="H236" s="197"/>
      <c r="I236" s="197"/>
      <c r="J236" s="197"/>
      <c r="K236" s="197"/>
      <c r="L236" s="197"/>
      <c r="M236" s="197"/>
      <c r="N236" s="197"/>
      <c r="O236" s="197"/>
      <c r="P236" s="197"/>
      <c r="Q236" s="197"/>
      <c r="R236" s="197"/>
      <c r="S236" s="197"/>
      <c r="T236" s="197"/>
      <c r="U236" s="197"/>
      <c r="V236" s="197"/>
      <c r="W236" s="197"/>
      <c r="X236" s="197"/>
      <c r="Y236" s="197"/>
      <c r="Z236" s="197"/>
    </row>
    <row r="237" ht="61.5" customHeight="1">
      <c r="A237" s="197"/>
      <c r="B237" s="197"/>
      <c r="C237" s="197"/>
      <c r="D237" s="197"/>
      <c r="E237" s="197"/>
      <c r="F237" s="197"/>
      <c r="G237" s="197"/>
      <c r="H237" s="197"/>
      <c r="I237" s="197"/>
      <c r="J237" s="197"/>
      <c r="K237" s="197"/>
      <c r="L237" s="197"/>
      <c r="M237" s="197"/>
      <c r="N237" s="197"/>
      <c r="O237" s="197"/>
      <c r="P237" s="197"/>
      <c r="Q237" s="197"/>
      <c r="R237" s="197"/>
      <c r="S237" s="197"/>
      <c r="T237" s="197"/>
      <c r="U237" s="197"/>
      <c r="V237" s="197"/>
      <c r="W237" s="197"/>
      <c r="X237" s="197"/>
      <c r="Y237" s="197"/>
      <c r="Z237" s="197"/>
    </row>
    <row r="238" ht="61.5" customHeight="1">
      <c r="A238" s="197"/>
      <c r="B238" s="197"/>
      <c r="C238" s="197"/>
      <c r="D238" s="197"/>
      <c r="E238" s="197"/>
      <c r="F238" s="197"/>
      <c r="G238" s="197"/>
      <c r="H238" s="197"/>
      <c r="I238" s="197"/>
      <c r="J238" s="197"/>
      <c r="K238" s="197"/>
      <c r="L238" s="197"/>
      <c r="M238" s="197"/>
      <c r="N238" s="197"/>
      <c r="O238" s="197"/>
      <c r="P238" s="197"/>
      <c r="Q238" s="197"/>
      <c r="R238" s="197"/>
      <c r="S238" s="197"/>
      <c r="T238" s="197"/>
      <c r="U238" s="197"/>
      <c r="V238" s="197"/>
      <c r="W238" s="197"/>
      <c r="X238" s="197"/>
      <c r="Y238" s="197"/>
      <c r="Z238" s="197"/>
    </row>
    <row r="239" ht="61.5" customHeight="1">
      <c r="A239" s="197"/>
      <c r="B239" s="197"/>
      <c r="C239" s="197"/>
      <c r="D239" s="197"/>
      <c r="E239" s="197"/>
      <c r="F239" s="197"/>
      <c r="G239" s="197"/>
      <c r="H239" s="197"/>
      <c r="I239" s="197"/>
      <c r="J239" s="197"/>
      <c r="K239" s="197"/>
      <c r="L239" s="197"/>
      <c r="M239" s="197"/>
      <c r="N239" s="197"/>
      <c r="O239" s="197"/>
      <c r="P239" s="197"/>
      <c r="Q239" s="197"/>
      <c r="R239" s="197"/>
      <c r="S239" s="197"/>
      <c r="T239" s="197"/>
      <c r="U239" s="197"/>
      <c r="V239" s="197"/>
      <c r="W239" s="197"/>
      <c r="X239" s="197"/>
      <c r="Y239" s="197"/>
      <c r="Z239" s="197"/>
    </row>
    <row r="240" ht="61.5" customHeight="1">
      <c r="A240" s="197"/>
      <c r="B240" s="197"/>
      <c r="C240" s="197"/>
      <c r="D240" s="197"/>
      <c r="E240" s="197"/>
      <c r="F240" s="197"/>
      <c r="G240" s="197"/>
      <c r="H240" s="197"/>
      <c r="I240" s="197"/>
      <c r="J240" s="197"/>
      <c r="K240" s="197"/>
      <c r="L240" s="197"/>
      <c r="M240" s="197"/>
      <c r="N240" s="197"/>
      <c r="O240" s="197"/>
      <c r="P240" s="197"/>
      <c r="Q240" s="197"/>
      <c r="R240" s="197"/>
      <c r="S240" s="197"/>
      <c r="T240" s="197"/>
      <c r="U240" s="197"/>
      <c r="V240" s="197"/>
      <c r="W240" s="197"/>
      <c r="X240" s="197"/>
      <c r="Y240" s="197"/>
      <c r="Z240" s="197"/>
    </row>
    <row r="241" ht="61.5" customHeight="1">
      <c r="A241" s="197"/>
      <c r="B241" s="197"/>
      <c r="C241" s="197"/>
      <c r="D241" s="197"/>
      <c r="E241" s="197"/>
      <c r="F241" s="197"/>
      <c r="G241" s="197"/>
      <c r="H241" s="197"/>
      <c r="I241" s="197"/>
      <c r="J241" s="197"/>
      <c r="K241" s="197"/>
      <c r="L241" s="197"/>
      <c r="M241" s="197"/>
      <c r="N241" s="197"/>
      <c r="O241" s="197"/>
      <c r="P241" s="197"/>
      <c r="Q241" s="197"/>
      <c r="R241" s="197"/>
      <c r="S241" s="197"/>
      <c r="T241" s="197"/>
      <c r="U241" s="197"/>
      <c r="V241" s="197"/>
      <c r="W241" s="197"/>
      <c r="X241" s="197"/>
      <c r="Y241" s="197"/>
      <c r="Z241" s="197"/>
    </row>
    <row r="242" ht="61.5" customHeight="1">
      <c r="A242" s="197"/>
      <c r="B242" s="197"/>
      <c r="C242" s="197"/>
      <c r="D242" s="197"/>
      <c r="E242" s="197"/>
      <c r="F242" s="197"/>
      <c r="G242" s="197"/>
      <c r="H242" s="197"/>
      <c r="I242" s="197"/>
      <c r="J242" s="197"/>
      <c r="K242" s="197"/>
      <c r="L242" s="197"/>
      <c r="M242" s="197"/>
      <c r="N242" s="197"/>
      <c r="O242" s="197"/>
      <c r="P242" s="197"/>
      <c r="Q242" s="197"/>
      <c r="R242" s="197"/>
      <c r="S242" s="197"/>
      <c r="T242" s="197"/>
      <c r="U242" s="197"/>
      <c r="V242" s="197"/>
      <c r="W242" s="197"/>
      <c r="X242" s="197"/>
      <c r="Y242" s="197"/>
      <c r="Z242" s="197"/>
    </row>
    <row r="243" ht="61.5" customHeight="1">
      <c r="A243" s="197"/>
      <c r="B243" s="197"/>
      <c r="C243" s="197"/>
      <c r="D243" s="197"/>
      <c r="E243" s="197"/>
      <c r="F243" s="197"/>
      <c r="G243" s="197"/>
      <c r="H243" s="197"/>
      <c r="I243" s="197"/>
      <c r="J243" s="197"/>
      <c r="K243" s="197"/>
      <c r="L243" s="197"/>
      <c r="M243" s="197"/>
      <c r="N243" s="197"/>
      <c r="O243" s="197"/>
      <c r="P243" s="197"/>
      <c r="Q243" s="197"/>
      <c r="R243" s="197"/>
      <c r="S243" s="197"/>
      <c r="T243" s="197"/>
      <c r="U243" s="197"/>
      <c r="V243" s="197"/>
      <c r="W243" s="197"/>
      <c r="X243" s="197"/>
      <c r="Y243" s="197"/>
      <c r="Z243" s="197"/>
    </row>
    <row r="244" ht="61.5" customHeight="1">
      <c r="A244" s="197"/>
      <c r="B244" s="197"/>
      <c r="C244" s="197"/>
      <c r="D244" s="197"/>
      <c r="E244" s="197"/>
      <c r="F244" s="197"/>
      <c r="G244" s="197"/>
      <c r="H244" s="197"/>
      <c r="I244" s="197"/>
      <c r="J244" s="197"/>
      <c r="K244" s="197"/>
      <c r="L244" s="197"/>
      <c r="M244" s="197"/>
      <c r="N244" s="197"/>
      <c r="O244" s="197"/>
      <c r="P244" s="197"/>
      <c r="Q244" s="197"/>
      <c r="R244" s="197"/>
      <c r="S244" s="197"/>
      <c r="T244" s="197"/>
      <c r="U244" s="197"/>
      <c r="V244" s="197"/>
      <c r="W244" s="197"/>
      <c r="X244" s="197"/>
      <c r="Y244" s="197"/>
      <c r="Z244" s="197"/>
    </row>
    <row r="245" ht="61.5" customHeight="1">
      <c r="A245" s="197"/>
      <c r="B245" s="197"/>
      <c r="C245" s="197"/>
      <c r="D245" s="197"/>
      <c r="E245" s="197"/>
      <c r="F245" s="197"/>
      <c r="G245" s="197"/>
      <c r="H245" s="197"/>
      <c r="I245" s="197"/>
      <c r="J245" s="197"/>
      <c r="K245" s="197"/>
      <c r="L245" s="197"/>
      <c r="M245" s="197"/>
      <c r="N245" s="197"/>
      <c r="O245" s="197"/>
      <c r="P245" s="197"/>
      <c r="Q245" s="197"/>
      <c r="R245" s="197"/>
      <c r="S245" s="197"/>
      <c r="T245" s="197"/>
      <c r="U245" s="197"/>
      <c r="V245" s="197"/>
      <c r="W245" s="197"/>
      <c r="X245" s="197"/>
      <c r="Y245" s="197"/>
      <c r="Z245" s="197"/>
    </row>
    <row r="246" ht="61.5" customHeight="1">
      <c r="A246" s="197"/>
      <c r="B246" s="197"/>
      <c r="C246" s="197"/>
      <c r="D246" s="197"/>
      <c r="E246" s="197"/>
      <c r="F246" s="197"/>
      <c r="G246" s="197"/>
      <c r="H246" s="197"/>
      <c r="I246" s="197"/>
      <c r="J246" s="197"/>
      <c r="K246" s="197"/>
      <c r="L246" s="197"/>
      <c r="M246" s="197"/>
      <c r="N246" s="197"/>
      <c r="O246" s="197"/>
      <c r="P246" s="197"/>
      <c r="Q246" s="197"/>
      <c r="R246" s="197"/>
      <c r="S246" s="197"/>
      <c r="T246" s="197"/>
      <c r="U246" s="197"/>
      <c r="V246" s="197"/>
      <c r="W246" s="197"/>
      <c r="X246" s="197"/>
      <c r="Y246" s="197"/>
      <c r="Z246" s="197"/>
    </row>
    <row r="247" ht="61.5" customHeight="1">
      <c r="A247" s="197"/>
      <c r="B247" s="197"/>
      <c r="C247" s="197"/>
      <c r="D247" s="197"/>
      <c r="E247" s="197"/>
      <c r="F247" s="197"/>
      <c r="G247" s="197"/>
      <c r="H247" s="197"/>
      <c r="I247" s="197"/>
      <c r="J247" s="197"/>
      <c r="K247" s="197"/>
      <c r="L247" s="197"/>
      <c r="M247" s="197"/>
      <c r="N247" s="197"/>
      <c r="O247" s="197"/>
      <c r="P247" s="197"/>
      <c r="Q247" s="197"/>
      <c r="R247" s="197"/>
      <c r="S247" s="197"/>
      <c r="T247" s="197"/>
      <c r="U247" s="197"/>
      <c r="V247" s="197"/>
      <c r="W247" s="197"/>
      <c r="X247" s="197"/>
      <c r="Y247" s="197"/>
      <c r="Z247" s="197"/>
    </row>
    <row r="248" ht="61.5" customHeight="1">
      <c r="A248" s="197"/>
      <c r="B248" s="197"/>
      <c r="C248" s="197"/>
      <c r="D248" s="197"/>
      <c r="E248" s="197"/>
      <c r="F248" s="197"/>
      <c r="G248" s="197"/>
      <c r="H248" s="197"/>
      <c r="I248" s="197"/>
      <c r="J248" s="197"/>
      <c r="K248" s="197"/>
      <c r="L248" s="197"/>
      <c r="M248" s="197"/>
      <c r="N248" s="197"/>
      <c r="O248" s="197"/>
      <c r="P248" s="197"/>
      <c r="Q248" s="197"/>
      <c r="R248" s="197"/>
      <c r="S248" s="197"/>
      <c r="T248" s="197"/>
      <c r="U248" s="197"/>
      <c r="V248" s="197"/>
      <c r="W248" s="197"/>
      <c r="X248" s="197"/>
      <c r="Y248" s="197"/>
      <c r="Z248" s="197"/>
    </row>
    <row r="249" ht="61.5" customHeight="1">
      <c r="A249" s="197"/>
      <c r="B249" s="197"/>
      <c r="C249" s="197"/>
      <c r="D249" s="197"/>
      <c r="E249" s="197"/>
      <c r="F249" s="197"/>
      <c r="G249" s="197"/>
      <c r="H249" s="197"/>
      <c r="I249" s="197"/>
      <c r="J249" s="197"/>
      <c r="K249" s="197"/>
      <c r="L249" s="197"/>
      <c r="M249" s="197"/>
      <c r="N249" s="197"/>
      <c r="O249" s="197"/>
      <c r="P249" s="197"/>
      <c r="Q249" s="197"/>
      <c r="R249" s="197"/>
      <c r="S249" s="197"/>
      <c r="T249" s="197"/>
      <c r="U249" s="197"/>
      <c r="V249" s="197"/>
      <c r="W249" s="197"/>
      <c r="X249" s="197"/>
      <c r="Y249" s="197"/>
      <c r="Z249" s="197"/>
    </row>
    <row r="250" ht="61.5" customHeight="1">
      <c r="A250" s="197"/>
      <c r="B250" s="197"/>
      <c r="C250" s="197"/>
      <c r="D250" s="197"/>
      <c r="E250" s="197"/>
      <c r="F250" s="197"/>
      <c r="G250" s="197"/>
      <c r="H250" s="197"/>
      <c r="I250" s="197"/>
      <c r="J250" s="197"/>
      <c r="K250" s="197"/>
      <c r="L250" s="197"/>
      <c r="M250" s="197"/>
      <c r="N250" s="197"/>
      <c r="O250" s="197"/>
      <c r="P250" s="197"/>
      <c r="Q250" s="197"/>
      <c r="R250" s="197"/>
      <c r="S250" s="197"/>
      <c r="T250" s="197"/>
      <c r="U250" s="197"/>
      <c r="V250" s="197"/>
      <c r="W250" s="197"/>
      <c r="X250" s="197"/>
      <c r="Y250" s="197"/>
      <c r="Z250" s="197"/>
    </row>
    <row r="251" ht="61.5" customHeight="1">
      <c r="A251" s="197"/>
      <c r="B251" s="197"/>
      <c r="C251" s="197"/>
      <c r="D251" s="197"/>
      <c r="E251" s="197"/>
      <c r="F251" s="197"/>
      <c r="G251" s="197"/>
      <c r="H251" s="197"/>
      <c r="I251" s="197"/>
      <c r="J251" s="197"/>
      <c r="K251" s="197"/>
      <c r="L251" s="197"/>
      <c r="M251" s="197"/>
      <c r="N251" s="197"/>
      <c r="O251" s="197"/>
      <c r="P251" s="197"/>
      <c r="Q251" s="197"/>
      <c r="R251" s="197"/>
      <c r="S251" s="197"/>
      <c r="T251" s="197"/>
      <c r="U251" s="197"/>
      <c r="V251" s="197"/>
      <c r="W251" s="197"/>
      <c r="X251" s="197"/>
      <c r="Y251" s="197"/>
      <c r="Z251" s="197"/>
    </row>
    <row r="252" ht="61.5" customHeight="1">
      <c r="A252" s="197"/>
      <c r="B252" s="197"/>
      <c r="C252" s="197"/>
      <c r="D252" s="197"/>
      <c r="E252" s="197"/>
      <c r="F252" s="197"/>
      <c r="G252" s="197"/>
      <c r="H252" s="197"/>
      <c r="I252" s="197"/>
      <c r="J252" s="197"/>
      <c r="K252" s="197"/>
      <c r="L252" s="197"/>
      <c r="M252" s="197"/>
      <c r="N252" s="197"/>
      <c r="O252" s="197"/>
      <c r="P252" s="197"/>
      <c r="Q252" s="197"/>
      <c r="R252" s="197"/>
      <c r="S252" s="197"/>
      <c r="T252" s="197"/>
      <c r="U252" s="197"/>
      <c r="V252" s="197"/>
      <c r="W252" s="197"/>
      <c r="X252" s="197"/>
      <c r="Y252" s="197"/>
      <c r="Z252" s="197"/>
    </row>
    <row r="253" ht="61.5" customHeight="1">
      <c r="A253" s="197"/>
      <c r="B253" s="197"/>
      <c r="C253" s="197"/>
      <c r="D253" s="197"/>
      <c r="E253" s="197"/>
      <c r="F253" s="197"/>
      <c r="G253" s="197"/>
      <c r="H253" s="197"/>
      <c r="I253" s="197"/>
      <c r="J253" s="197"/>
      <c r="K253" s="197"/>
      <c r="L253" s="197"/>
      <c r="M253" s="197"/>
      <c r="N253" s="197"/>
      <c r="O253" s="197"/>
      <c r="P253" s="197"/>
      <c r="Q253" s="197"/>
      <c r="R253" s="197"/>
      <c r="S253" s="197"/>
      <c r="T253" s="197"/>
      <c r="U253" s="197"/>
      <c r="V253" s="197"/>
      <c r="W253" s="197"/>
      <c r="X253" s="197"/>
      <c r="Y253" s="197"/>
      <c r="Z253" s="197"/>
    </row>
    <row r="254" ht="61.5" customHeight="1">
      <c r="A254" s="197"/>
      <c r="B254" s="197"/>
      <c r="C254" s="197"/>
      <c r="D254" s="197"/>
      <c r="E254" s="197"/>
      <c r="F254" s="197"/>
      <c r="G254" s="197"/>
      <c r="H254" s="197"/>
      <c r="I254" s="197"/>
      <c r="J254" s="197"/>
      <c r="K254" s="197"/>
      <c r="L254" s="197"/>
      <c r="M254" s="197"/>
      <c r="N254" s="197"/>
      <c r="O254" s="197"/>
      <c r="P254" s="197"/>
      <c r="Q254" s="197"/>
      <c r="R254" s="197"/>
      <c r="S254" s="197"/>
      <c r="T254" s="197"/>
      <c r="U254" s="197"/>
      <c r="V254" s="197"/>
      <c r="W254" s="197"/>
      <c r="X254" s="197"/>
      <c r="Y254" s="197"/>
      <c r="Z254" s="197"/>
    </row>
    <row r="255" ht="61.5" customHeight="1">
      <c r="A255" s="197"/>
      <c r="B255" s="197"/>
      <c r="C255" s="197"/>
      <c r="D255" s="197"/>
      <c r="E255" s="197"/>
      <c r="F255" s="197"/>
      <c r="G255" s="197"/>
      <c r="H255" s="197"/>
      <c r="I255" s="197"/>
      <c r="J255" s="197"/>
      <c r="K255" s="197"/>
      <c r="L255" s="197"/>
      <c r="M255" s="197"/>
      <c r="N255" s="197"/>
      <c r="O255" s="197"/>
      <c r="P255" s="197"/>
      <c r="Q255" s="197"/>
      <c r="R255" s="197"/>
      <c r="S255" s="197"/>
      <c r="T255" s="197"/>
      <c r="U255" s="197"/>
      <c r="V255" s="197"/>
      <c r="W255" s="197"/>
      <c r="X255" s="197"/>
      <c r="Y255" s="197"/>
      <c r="Z255" s="197"/>
    </row>
    <row r="256" ht="61.5" customHeight="1">
      <c r="A256" s="197"/>
      <c r="B256" s="197"/>
      <c r="C256" s="197"/>
      <c r="D256" s="197"/>
      <c r="E256" s="197"/>
      <c r="F256" s="197"/>
      <c r="G256" s="197"/>
      <c r="H256" s="197"/>
      <c r="I256" s="197"/>
      <c r="J256" s="197"/>
      <c r="K256" s="197"/>
      <c r="L256" s="197"/>
      <c r="M256" s="197"/>
      <c r="N256" s="197"/>
      <c r="O256" s="197"/>
      <c r="P256" s="197"/>
      <c r="Q256" s="197"/>
      <c r="R256" s="197"/>
      <c r="S256" s="197"/>
      <c r="T256" s="197"/>
      <c r="U256" s="197"/>
      <c r="V256" s="197"/>
      <c r="W256" s="197"/>
      <c r="X256" s="197"/>
      <c r="Y256" s="197"/>
      <c r="Z256" s="197"/>
    </row>
    <row r="257" ht="61.5" customHeight="1">
      <c r="A257" s="197"/>
      <c r="B257" s="197"/>
      <c r="C257" s="197"/>
      <c r="D257" s="197"/>
      <c r="E257" s="197"/>
      <c r="F257" s="197"/>
      <c r="G257" s="197"/>
      <c r="H257" s="197"/>
      <c r="I257" s="197"/>
      <c r="J257" s="197"/>
      <c r="K257" s="197"/>
      <c r="L257" s="197"/>
      <c r="M257" s="197"/>
      <c r="N257" s="197"/>
      <c r="O257" s="197"/>
      <c r="P257" s="197"/>
      <c r="Q257" s="197"/>
      <c r="R257" s="197"/>
      <c r="S257" s="197"/>
      <c r="T257" s="197"/>
      <c r="U257" s="197"/>
      <c r="V257" s="197"/>
      <c r="W257" s="197"/>
      <c r="X257" s="197"/>
      <c r="Y257" s="197"/>
      <c r="Z257" s="197"/>
    </row>
    <row r="258" ht="61.5" customHeight="1">
      <c r="A258" s="197"/>
      <c r="B258" s="197"/>
      <c r="C258" s="197"/>
      <c r="D258" s="197"/>
      <c r="E258" s="197"/>
      <c r="F258" s="197"/>
      <c r="G258" s="197"/>
      <c r="H258" s="197"/>
      <c r="I258" s="197"/>
      <c r="J258" s="197"/>
      <c r="K258" s="197"/>
      <c r="L258" s="197"/>
      <c r="M258" s="197"/>
      <c r="N258" s="197"/>
      <c r="O258" s="197"/>
      <c r="P258" s="197"/>
      <c r="Q258" s="197"/>
      <c r="R258" s="197"/>
      <c r="S258" s="197"/>
      <c r="T258" s="197"/>
      <c r="U258" s="197"/>
      <c r="V258" s="197"/>
      <c r="W258" s="197"/>
      <c r="X258" s="197"/>
      <c r="Y258" s="197"/>
      <c r="Z258" s="197"/>
    </row>
    <row r="259" ht="61.5" customHeight="1">
      <c r="A259" s="197"/>
      <c r="B259" s="197"/>
      <c r="C259" s="197"/>
      <c r="D259" s="197"/>
      <c r="E259" s="197"/>
      <c r="F259" s="197"/>
      <c r="G259" s="197"/>
      <c r="H259" s="197"/>
      <c r="I259" s="197"/>
      <c r="J259" s="197"/>
      <c r="K259" s="197"/>
      <c r="L259" s="197"/>
      <c r="M259" s="197"/>
      <c r="N259" s="197"/>
      <c r="O259" s="197"/>
      <c r="P259" s="197"/>
      <c r="Q259" s="197"/>
      <c r="R259" s="197"/>
      <c r="S259" s="197"/>
      <c r="T259" s="197"/>
      <c r="U259" s="197"/>
      <c r="V259" s="197"/>
      <c r="W259" s="197"/>
      <c r="X259" s="197"/>
      <c r="Y259" s="197"/>
      <c r="Z259" s="197"/>
    </row>
    <row r="260" ht="61.5" customHeight="1">
      <c r="A260" s="197"/>
      <c r="B260" s="197"/>
      <c r="C260" s="197"/>
      <c r="D260" s="197"/>
      <c r="E260" s="197"/>
      <c r="F260" s="197"/>
      <c r="G260" s="197"/>
      <c r="H260" s="197"/>
      <c r="I260" s="197"/>
      <c r="J260" s="197"/>
      <c r="K260" s="197"/>
      <c r="L260" s="197"/>
      <c r="M260" s="197"/>
      <c r="N260" s="197"/>
      <c r="O260" s="197"/>
      <c r="P260" s="197"/>
      <c r="Q260" s="197"/>
      <c r="R260" s="197"/>
      <c r="S260" s="197"/>
      <c r="T260" s="197"/>
      <c r="U260" s="197"/>
      <c r="V260" s="197"/>
      <c r="W260" s="197"/>
      <c r="X260" s="197"/>
      <c r="Y260" s="197"/>
      <c r="Z260" s="197"/>
    </row>
    <row r="261" ht="61.5" customHeight="1">
      <c r="A261" s="197"/>
      <c r="B261" s="197"/>
      <c r="C261" s="197"/>
      <c r="D261" s="197"/>
      <c r="E261" s="197"/>
      <c r="F261" s="197"/>
      <c r="G261" s="197"/>
      <c r="H261" s="197"/>
      <c r="I261" s="197"/>
      <c r="J261" s="197"/>
      <c r="K261" s="197"/>
      <c r="L261" s="197"/>
      <c r="M261" s="197"/>
      <c r="N261" s="197"/>
      <c r="O261" s="197"/>
      <c r="P261" s="197"/>
      <c r="Q261" s="197"/>
      <c r="R261" s="197"/>
      <c r="S261" s="197"/>
      <c r="T261" s="197"/>
      <c r="U261" s="197"/>
      <c r="V261" s="197"/>
      <c r="W261" s="197"/>
      <c r="X261" s="197"/>
      <c r="Y261" s="197"/>
      <c r="Z261" s="197"/>
    </row>
    <row r="262" ht="61.5" customHeight="1">
      <c r="A262" s="197"/>
      <c r="B262" s="197"/>
      <c r="C262" s="197"/>
      <c r="D262" s="197"/>
      <c r="E262" s="197"/>
      <c r="F262" s="197"/>
      <c r="G262" s="197"/>
      <c r="H262" s="197"/>
      <c r="I262" s="197"/>
      <c r="J262" s="197"/>
      <c r="K262" s="197"/>
      <c r="L262" s="197"/>
      <c r="M262" s="197"/>
      <c r="N262" s="197"/>
      <c r="O262" s="197"/>
      <c r="P262" s="197"/>
      <c r="Q262" s="197"/>
      <c r="R262" s="197"/>
      <c r="S262" s="197"/>
      <c r="T262" s="197"/>
      <c r="U262" s="197"/>
      <c r="V262" s="197"/>
      <c r="W262" s="197"/>
      <c r="X262" s="197"/>
      <c r="Y262" s="197"/>
      <c r="Z262" s="197"/>
    </row>
    <row r="263" ht="61.5" customHeight="1">
      <c r="A263" s="197"/>
      <c r="B263" s="197"/>
      <c r="C263" s="197"/>
      <c r="D263" s="197"/>
      <c r="E263" s="197"/>
      <c r="F263" s="197"/>
      <c r="G263" s="197"/>
      <c r="H263" s="197"/>
      <c r="I263" s="197"/>
      <c r="J263" s="197"/>
      <c r="K263" s="197"/>
      <c r="L263" s="197"/>
      <c r="M263" s="197"/>
      <c r="N263" s="197"/>
      <c r="O263" s="197"/>
      <c r="P263" s="197"/>
      <c r="Q263" s="197"/>
      <c r="R263" s="197"/>
      <c r="S263" s="197"/>
      <c r="T263" s="197"/>
      <c r="U263" s="197"/>
      <c r="V263" s="197"/>
      <c r="W263" s="197"/>
      <c r="X263" s="197"/>
      <c r="Y263" s="197"/>
      <c r="Z263" s="197"/>
    </row>
    <row r="264" ht="61.5" customHeight="1">
      <c r="A264" s="197"/>
      <c r="B264" s="197"/>
      <c r="C264" s="197"/>
      <c r="D264" s="197"/>
      <c r="E264" s="197"/>
      <c r="F264" s="197"/>
      <c r="G264" s="197"/>
      <c r="H264" s="197"/>
      <c r="I264" s="197"/>
      <c r="J264" s="197"/>
      <c r="K264" s="197"/>
      <c r="L264" s="197"/>
      <c r="M264" s="197"/>
      <c r="N264" s="197"/>
      <c r="O264" s="197"/>
      <c r="P264" s="197"/>
      <c r="Q264" s="197"/>
      <c r="R264" s="197"/>
      <c r="S264" s="197"/>
      <c r="T264" s="197"/>
      <c r="U264" s="197"/>
      <c r="V264" s="197"/>
      <c r="W264" s="197"/>
      <c r="X264" s="197"/>
      <c r="Y264" s="197"/>
      <c r="Z264" s="197"/>
    </row>
    <row r="265" ht="61.5" customHeight="1">
      <c r="A265" s="197"/>
      <c r="B265" s="197"/>
      <c r="C265" s="197"/>
      <c r="D265" s="197"/>
      <c r="E265" s="197"/>
      <c r="F265" s="197"/>
      <c r="G265" s="197"/>
      <c r="H265" s="197"/>
      <c r="I265" s="197"/>
      <c r="J265" s="197"/>
      <c r="K265" s="197"/>
      <c r="L265" s="197"/>
      <c r="M265" s="197"/>
      <c r="N265" s="197"/>
      <c r="O265" s="197"/>
      <c r="P265" s="197"/>
      <c r="Q265" s="197"/>
      <c r="R265" s="197"/>
      <c r="S265" s="197"/>
      <c r="T265" s="197"/>
      <c r="U265" s="197"/>
      <c r="V265" s="197"/>
      <c r="W265" s="197"/>
      <c r="X265" s="197"/>
      <c r="Y265" s="197"/>
      <c r="Z265" s="197"/>
    </row>
    <row r="266" ht="61.5" customHeight="1">
      <c r="A266" s="197"/>
      <c r="B266" s="197"/>
      <c r="C266" s="197"/>
      <c r="D266" s="197"/>
      <c r="E266" s="197"/>
      <c r="F266" s="197"/>
      <c r="G266" s="197"/>
      <c r="H266" s="197"/>
      <c r="I266" s="197"/>
      <c r="J266" s="197"/>
      <c r="K266" s="197"/>
      <c r="L266" s="197"/>
      <c r="M266" s="197"/>
      <c r="N266" s="197"/>
      <c r="O266" s="197"/>
      <c r="P266" s="197"/>
      <c r="Q266" s="197"/>
      <c r="R266" s="197"/>
      <c r="S266" s="197"/>
      <c r="T266" s="197"/>
      <c r="U266" s="197"/>
      <c r="V266" s="197"/>
      <c r="W266" s="197"/>
      <c r="X266" s="197"/>
      <c r="Y266" s="197"/>
      <c r="Z266" s="197"/>
    </row>
    <row r="267" ht="61.5" customHeight="1">
      <c r="A267" s="197"/>
      <c r="B267" s="197"/>
      <c r="C267" s="197"/>
      <c r="D267" s="197"/>
      <c r="E267" s="197"/>
      <c r="F267" s="197"/>
      <c r="G267" s="197"/>
      <c r="H267" s="197"/>
      <c r="I267" s="197"/>
      <c r="J267" s="197"/>
      <c r="K267" s="197"/>
      <c r="L267" s="197"/>
      <c r="M267" s="197"/>
      <c r="N267" s="197"/>
      <c r="O267" s="197"/>
      <c r="P267" s="197"/>
      <c r="Q267" s="197"/>
      <c r="R267" s="197"/>
      <c r="S267" s="197"/>
      <c r="T267" s="197"/>
      <c r="U267" s="197"/>
      <c r="V267" s="197"/>
      <c r="W267" s="197"/>
      <c r="X267" s="197"/>
      <c r="Y267" s="197"/>
      <c r="Z267" s="197"/>
    </row>
    <row r="268" ht="61.5" customHeight="1">
      <c r="A268" s="197"/>
      <c r="B268" s="197"/>
      <c r="C268" s="197"/>
      <c r="D268" s="197"/>
      <c r="E268" s="197"/>
      <c r="F268" s="197"/>
      <c r="G268" s="197"/>
      <c r="H268" s="197"/>
      <c r="I268" s="197"/>
      <c r="J268" s="197"/>
      <c r="K268" s="197"/>
      <c r="L268" s="197"/>
      <c r="M268" s="197"/>
      <c r="N268" s="197"/>
      <c r="O268" s="197"/>
      <c r="P268" s="197"/>
      <c r="Q268" s="197"/>
      <c r="R268" s="197"/>
      <c r="S268" s="197"/>
      <c r="T268" s="197"/>
      <c r="U268" s="197"/>
      <c r="V268" s="197"/>
      <c r="W268" s="197"/>
      <c r="X268" s="197"/>
      <c r="Y268" s="197"/>
      <c r="Z268" s="197"/>
    </row>
    <row r="269" ht="61.5" customHeight="1">
      <c r="A269" s="197"/>
      <c r="B269" s="197"/>
      <c r="C269" s="197"/>
      <c r="D269" s="197"/>
      <c r="E269" s="197"/>
      <c r="F269" s="197"/>
      <c r="G269" s="197"/>
      <c r="H269" s="197"/>
      <c r="I269" s="197"/>
      <c r="J269" s="197"/>
      <c r="K269" s="197"/>
      <c r="L269" s="197"/>
      <c r="M269" s="197"/>
      <c r="N269" s="197"/>
      <c r="O269" s="197"/>
      <c r="P269" s="197"/>
      <c r="Q269" s="197"/>
      <c r="R269" s="197"/>
      <c r="S269" s="197"/>
      <c r="T269" s="197"/>
      <c r="U269" s="197"/>
      <c r="V269" s="197"/>
      <c r="W269" s="197"/>
      <c r="X269" s="197"/>
      <c r="Y269" s="197"/>
      <c r="Z269" s="197"/>
    </row>
    <row r="270" ht="61.5" customHeight="1">
      <c r="A270" s="197"/>
      <c r="B270" s="197"/>
      <c r="C270" s="197"/>
      <c r="D270" s="197"/>
      <c r="E270" s="197"/>
      <c r="F270" s="197"/>
      <c r="G270" s="197"/>
      <c r="H270" s="197"/>
      <c r="I270" s="197"/>
      <c r="J270" s="197"/>
      <c r="K270" s="197"/>
      <c r="L270" s="197"/>
      <c r="M270" s="197"/>
      <c r="N270" s="197"/>
      <c r="O270" s="197"/>
      <c r="P270" s="197"/>
      <c r="Q270" s="197"/>
      <c r="R270" s="197"/>
      <c r="S270" s="197"/>
      <c r="T270" s="197"/>
      <c r="U270" s="197"/>
      <c r="V270" s="197"/>
      <c r="W270" s="197"/>
      <c r="X270" s="197"/>
      <c r="Y270" s="197"/>
      <c r="Z270" s="197"/>
    </row>
    <row r="271" ht="61.5" customHeight="1">
      <c r="A271" s="197"/>
      <c r="B271" s="197"/>
      <c r="C271" s="197"/>
      <c r="D271" s="197"/>
      <c r="E271" s="197"/>
      <c r="F271" s="197"/>
      <c r="G271" s="197"/>
      <c r="H271" s="197"/>
      <c r="I271" s="197"/>
      <c r="J271" s="197"/>
      <c r="K271" s="197"/>
      <c r="L271" s="197"/>
      <c r="M271" s="197"/>
      <c r="N271" s="197"/>
      <c r="O271" s="197"/>
      <c r="P271" s="197"/>
      <c r="Q271" s="197"/>
      <c r="R271" s="197"/>
      <c r="S271" s="197"/>
      <c r="T271" s="197"/>
      <c r="U271" s="197"/>
      <c r="V271" s="197"/>
      <c r="W271" s="197"/>
      <c r="X271" s="197"/>
      <c r="Y271" s="197"/>
      <c r="Z271" s="197"/>
    </row>
    <row r="272" ht="61.5" customHeight="1">
      <c r="A272" s="197"/>
      <c r="B272" s="197"/>
      <c r="C272" s="197"/>
      <c r="D272" s="197"/>
      <c r="E272" s="197"/>
      <c r="F272" s="197"/>
      <c r="G272" s="197"/>
      <c r="H272" s="197"/>
      <c r="I272" s="197"/>
      <c r="J272" s="197"/>
      <c r="K272" s="197"/>
      <c r="L272" s="197"/>
      <c r="M272" s="197"/>
      <c r="N272" s="197"/>
      <c r="O272" s="197"/>
      <c r="P272" s="197"/>
      <c r="Q272" s="197"/>
      <c r="R272" s="197"/>
      <c r="S272" s="197"/>
      <c r="T272" s="197"/>
      <c r="U272" s="197"/>
      <c r="V272" s="197"/>
      <c r="W272" s="197"/>
      <c r="X272" s="197"/>
      <c r="Y272" s="197"/>
      <c r="Z272" s="197"/>
    </row>
    <row r="273" ht="61.5" customHeight="1">
      <c r="A273" s="197"/>
      <c r="B273" s="197"/>
      <c r="C273" s="197"/>
      <c r="D273" s="197"/>
      <c r="E273" s="197"/>
      <c r="F273" s="197"/>
      <c r="G273" s="197"/>
      <c r="H273" s="197"/>
      <c r="I273" s="197"/>
      <c r="J273" s="197"/>
      <c r="K273" s="197"/>
      <c r="L273" s="197"/>
      <c r="M273" s="197"/>
      <c r="N273" s="197"/>
      <c r="O273" s="197"/>
      <c r="P273" s="197"/>
      <c r="Q273" s="197"/>
      <c r="R273" s="197"/>
      <c r="S273" s="197"/>
      <c r="T273" s="197"/>
      <c r="U273" s="197"/>
      <c r="V273" s="197"/>
      <c r="W273" s="197"/>
      <c r="X273" s="197"/>
      <c r="Y273" s="197"/>
      <c r="Z273" s="197"/>
    </row>
    <row r="274" ht="61.5" customHeight="1">
      <c r="A274" s="197"/>
      <c r="B274" s="197"/>
      <c r="C274" s="197"/>
      <c r="D274" s="197"/>
      <c r="E274" s="197"/>
      <c r="F274" s="197"/>
      <c r="G274" s="197"/>
      <c r="H274" s="197"/>
      <c r="I274" s="197"/>
      <c r="J274" s="197"/>
      <c r="K274" s="197"/>
      <c r="L274" s="197"/>
      <c r="M274" s="197"/>
      <c r="N274" s="197"/>
      <c r="O274" s="197"/>
      <c r="P274" s="197"/>
      <c r="Q274" s="197"/>
      <c r="R274" s="197"/>
      <c r="S274" s="197"/>
      <c r="T274" s="197"/>
      <c r="U274" s="197"/>
      <c r="V274" s="197"/>
      <c r="W274" s="197"/>
      <c r="X274" s="197"/>
      <c r="Y274" s="197"/>
      <c r="Z274" s="197"/>
    </row>
    <row r="275" ht="61.5" customHeight="1">
      <c r="A275" s="197"/>
      <c r="B275" s="197"/>
      <c r="C275" s="197"/>
      <c r="D275" s="197"/>
      <c r="E275" s="197"/>
      <c r="F275" s="197"/>
      <c r="G275" s="197"/>
      <c r="H275" s="197"/>
      <c r="I275" s="197"/>
      <c r="J275" s="197"/>
      <c r="K275" s="197"/>
      <c r="L275" s="197"/>
      <c r="M275" s="197"/>
      <c r="N275" s="197"/>
      <c r="O275" s="197"/>
      <c r="P275" s="197"/>
      <c r="Q275" s="197"/>
      <c r="R275" s="197"/>
      <c r="S275" s="197"/>
      <c r="T275" s="197"/>
      <c r="U275" s="197"/>
      <c r="V275" s="197"/>
      <c r="W275" s="197"/>
      <c r="X275" s="197"/>
      <c r="Y275" s="197"/>
      <c r="Z275" s="197"/>
    </row>
    <row r="276" ht="61.5" customHeight="1">
      <c r="A276" s="197"/>
      <c r="B276" s="197"/>
      <c r="C276" s="197"/>
      <c r="D276" s="197"/>
      <c r="E276" s="197"/>
      <c r="F276" s="197"/>
      <c r="G276" s="197"/>
      <c r="H276" s="197"/>
      <c r="I276" s="197"/>
      <c r="J276" s="197"/>
      <c r="K276" s="197"/>
      <c r="L276" s="197"/>
      <c r="M276" s="197"/>
      <c r="N276" s="197"/>
      <c r="O276" s="197"/>
      <c r="P276" s="197"/>
      <c r="Q276" s="197"/>
      <c r="R276" s="197"/>
      <c r="S276" s="197"/>
      <c r="T276" s="197"/>
      <c r="U276" s="197"/>
      <c r="V276" s="197"/>
      <c r="W276" s="197"/>
      <c r="X276" s="197"/>
      <c r="Y276" s="197"/>
      <c r="Z276" s="197"/>
    </row>
    <row r="277" ht="61.5" customHeight="1">
      <c r="A277" s="197"/>
      <c r="B277" s="197"/>
      <c r="C277" s="197"/>
      <c r="D277" s="197"/>
      <c r="E277" s="197"/>
      <c r="F277" s="197"/>
      <c r="G277" s="197"/>
      <c r="H277" s="197"/>
      <c r="I277" s="197"/>
      <c r="J277" s="197"/>
      <c r="K277" s="197"/>
      <c r="L277" s="197"/>
      <c r="M277" s="197"/>
      <c r="N277" s="197"/>
      <c r="O277" s="197"/>
      <c r="P277" s="197"/>
      <c r="Q277" s="197"/>
      <c r="R277" s="197"/>
      <c r="S277" s="197"/>
      <c r="T277" s="197"/>
      <c r="U277" s="197"/>
      <c r="V277" s="197"/>
      <c r="W277" s="197"/>
      <c r="X277" s="197"/>
      <c r="Y277" s="197"/>
      <c r="Z277" s="197"/>
    </row>
    <row r="278" ht="61.5" customHeight="1">
      <c r="A278" s="197"/>
      <c r="B278" s="197"/>
      <c r="C278" s="197"/>
      <c r="D278" s="197"/>
      <c r="E278" s="197"/>
      <c r="F278" s="197"/>
      <c r="G278" s="197"/>
      <c r="H278" s="197"/>
      <c r="I278" s="197"/>
      <c r="J278" s="197"/>
      <c r="K278" s="197"/>
      <c r="L278" s="197"/>
      <c r="M278" s="197"/>
      <c r="N278" s="197"/>
      <c r="O278" s="197"/>
      <c r="P278" s="197"/>
      <c r="Q278" s="197"/>
      <c r="R278" s="197"/>
      <c r="S278" s="197"/>
      <c r="T278" s="197"/>
      <c r="U278" s="197"/>
      <c r="V278" s="197"/>
      <c r="W278" s="197"/>
      <c r="X278" s="197"/>
      <c r="Y278" s="197"/>
      <c r="Z278" s="197"/>
    </row>
    <row r="279" ht="61.5" customHeight="1">
      <c r="A279" s="197"/>
      <c r="B279" s="197"/>
      <c r="C279" s="197"/>
      <c r="D279" s="197"/>
      <c r="E279" s="197"/>
      <c r="F279" s="197"/>
      <c r="G279" s="197"/>
      <c r="H279" s="197"/>
      <c r="I279" s="197"/>
      <c r="J279" s="197"/>
      <c r="K279" s="197"/>
      <c r="L279" s="197"/>
      <c r="M279" s="197"/>
      <c r="N279" s="197"/>
      <c r="O279" s="197"/>
      <c r="P279" s="197"/>
      <c r="Q279" s="197"/>
      <c r="R279" s="197"/>
      <c r="S279" s="197"/>
      <c r="T279" s="197"/>
      <c r="U279" s="197"/>
      <c r="V279" s="197"/>
      <c r="W279" s="197"/>
      <c r="X279" s="197"/>
      <c r="Y279" s="197"/>
      <c r="Z279" s="197"/>
    </row>
    <row r="280" ht="61.5" customHeight="1">
      <c r="A280" s="197"/>
      <c r="B280" s="197"/>
      <c r="C280" s="197"/>
      <c r="D280" s="197"/>
      <c r="E280" s="197"/>
      <c r="F280" s="197"/>
      <c r="G280" s="197"/>
      <c r="H280" s="197"/>
      <c r="I280" s="197"/>
      <c r="J280" s="197"/>
      <c r="K280" s="197"/>
      <c r="L280" s="197"/>
      <c r="M280" s="197"/>
      <c r="N280" s="197"/>
      <c r="O280" s="197"/>
      <c r="P280" s="197"/>
      <c r="Q280" s="197"/>
      <c r="R280" s="197"/>
      <c r="S280" s="197"/>
      <c r="T280" s="197"/>
      <c r="U280" s="197"/>
      <c r="V280" s="197"/>
      <c r="W280" s="197"/>
      <c r="X280" s="197"/>
      <c r="Y280" s="197"/>
      <c r="Z280" s="197"/>
    </row>
    <row r="281" ht="61.5" customHeight="1">
      <c r="A281" s="197"/>
      <c r="B281" s="197"/>
      <c r="C281" s="197"/>
      <c r="D281" s="197"/>
      <c r="E281" s="197"/>
      <c r="F281" s="197"/>
      <c r="G281" s="197"/>
      <c r="H281" s="197"/>
      <c r="I281" s="197"/>
      <c r="J281" s="197"/>
      <c r="K281" s="197"/>
      <c r="L281" s="197"/>
      <c r="M281" s="197"/>
      <c r="N281" s="197"/>
      <c r="O281" s="197"/>
      <c r="P281" s="197"/>
      <c r="Q281" s="197"/>
      <c r="R281" s="197"/>
      <c r="S281" s="197"/>
      <c r="T281" s="197"/>
      <c r="U281" s="197"/>
      <c r="V281" s="197"/>
      <c r="W281" s="197"/>
      <c r="X281" s="197"/>
      <c r="Y281" s="197"/>
      <c r="Z281" s="197"/>
    </row>
    <row r="282" ht="61.5" customHeight="1">
      <c r="A282" s="197"/>
      <c r="B282" s="197"/>
      <c r="C282" s="197"/>
      <c r="D282" s="197"/>
      <c r="E282" s="197"/>
      <c r="F282" s="197"/>
      <c r="G282" s="197"/>
      <c r="H282" s="197"/>
      <c r="I282" s="197"/>
      <c r="J282" s="197"/>
      <c r="K282" s="197"/>
      <c r="L282" s="197"/>
      <c r="M282" s="197"/>
      <c r="N282" s="197"/>
      <c r="O282" s="197"/>
      <c r="P282" s="197"/>
      <c r="Q282" s="197"/>
      <c r="R282" s="197"/>
      <c r="S282" s="197"/>
      <c r="T282" s="197"/>
      <c r="U282" s="197"/>
      <c r="V282" s="197"/>
      <c r="W282" s="197"/>
      <c r="X282" s="197"/>
      <c r="Y282" s="197"/>
      <c r="Z282" s="197"/>
    </row>
    <row r="283" ht="61.5" customHeight="1">
      <c r="A283" s="197"/>
      <c r="B283" s="197"/>
      <c r="C283" s="197"/>
      <c r="D283" s="197"/>
      <c r="E283" s="197"/>
      <c r="F283" s="197"/>
      <c r="G283" s="197"/>
      <c r="H283" s="197"/>
      <c r="I283" s="197"/>
      <c r="J283" s="197"/>
      <c r="K283" s="197"/>
      <c r="L283" s="197"/>
      <c r="M283" s="197"/>
      <c r="N283" s="197"/>
      <c r="O283" s="197"/>
      <c r="P283" s="197"/>
      <c r="Q283" s="197"/>
      <c r="R283" s="197"/>
      <c r="S283" s="197"/>
      <c r="T283" s="197"/>
      <c r="U283" s="197"/>
      <c r="V283" s="197"/>
      <c r="W283" s="197"/>
      <c r="X283" s="197"/>
      <c r="Y283" s="197"/>
      <c r="Z283" s="197"/>
    </row>
    <row r="284" ht="61.5" customHeight="1">
      <c r="A284" s="197"/>
      <c r="B284" s="197"/>
      <c r="C284" s="197"/>
      <c r="D284" s="197"/>
      <c r="E284" s="197"/>
      <c r="F284" s="197"/>
      <c r="G284" s="197"/>
      <c r="H284" s="197"/>
      <c r="I284" s="197"/>
      <c r="J284" s="197"/>
      <c r="K284" s="197"/>
      <c r="L284" s="197"/>
      <c r="M284" s="197"/>
      <c r="N284" s="197"/>
      <c r="O284" s="197"/>
      <c r="P284" s="197"/>
      <c r="Q284" s="197"/>
      <c r="R284" s="197"/>
      <c r="S284" s="197"/>
      <c r="T284" s="197"/>
      <c r="U284" s="197"/>
      <c r="V284" s="197"/>
      <c r="W284" s="197"/>
      <c r="X284" s="197"/>
      <c r="Y284" s="197"/>
      <c r="Z284" s="197"/>
    </row>
    <row r="285" ht="61.5" customHeight="1">
      <c r="A285" s="197"/>
      <c r="B285" s="197"/>
      <c r="C285" s="197"/>
      <c r="D285" s="197"/>
      <c r="E285" s="197"/>
      <c r="F285" s="197"/>
      <c r="G285" s="197"/>
      <c r="H285" s="197"/>
      <c r="I285" s="197"/>
      <c r="J285" s="197"/>
      <c r="K285" s="197"/>
      <c r="L285" s="197"/>
      <c r="M285" s="197"/>
      <c r="N285" s="197"/>
      <c r="O285" s="197"/>
      <c r="P285" s="197"/>
      <c r="Q285" s="197"/>
      <c r="R285" s="197"/>
      <c r="S285" s="197"/>
      <c r="T285" s="197"/>
      <c r="U285" s="197"/>
      <c r="V285" s="197"/>
      <c r="W285" s="197"/>
      <c r="X285" s="197"/>
      <c r="Y285" s="197"/>
      <c r="Z285" s="197"/>
    </row>
    <row r="286" ht="61.5" customHeight="1">
      <c r="A286" s="197"/>
      <c r="B286" s="197"/>
      <c r="C286" s="197"/>
      <c r="D286" s="197"/>
      <c r="E286" s="197"/>
      <c r="F286" s="197"/>
      <c r="G286" s="197"/>
      <c r="H286" s="197"/>
      <c r="I286" s="197"/>
      <c r="J286" s="197"/>
      <c r="K286" s="197"/>
      <c r="L286" s="197"/>
      <c r="M286" s="197"/>
      <c r="N286" s="197"/>
      <c r="O286" s="197"/>
      <c r="P286" s="197"/>
      <c r="Q286" s="197"/>
      <c r="R286" s="197"/>
      <c r="S286" s="197"/>
      <c r="T286" s="197"/>
      <c r="U286" s="197"/>
      <c r="V286" s="197"/>
      <c r="W286" s="197"/>
      <c r="X286" s="197"/>
      <c r="Y286" s="197"/>
      <c r="Z286" s="197"/>
    </row>
    <row r="287" ht="61.5" customHeight="1">
      <c r="A287" s="197"/>
      <c r="B287" s="197"/>
      <c r="C287" s="197"/>
      <c r="D287" s="197"/>
      <c r="E287" s="197"/>
      <c r="F287" s="197"/>
      <c r="G287" s="197"/>
      <c r="H287" s="197"/>
      <c r="I287" s="197"/>
      <c r="J287" s="197"/>
      <c r="K287" s="197"/>
      <c r="L287" s="197"/>
      <c r="M287" s="197"/>
      <c r="N287" s="197"/>
      <c r="O287" s="197"/>
      <c r="P287" s="197"/>
      <c r="Q287" s="197"/>
      <c r="R287" s="197"/>
      <c r="S287" s="197"/>
      <c r="T287" s="197"/>
      <c r="U287" s="197"/>
      <c r="V287" s="197"/>
      <c r="W287" s="197"/>
      <c r="X287" s="197"/>
      <c r="Y287" s="197"/>
      <c r="Z287" s="197"/>
    </row>
    <row r="288" ht="61.5" customHeight="1">
      <c r="A288" s="197"/>
      <c r="B288" s="197"/>
      <c r="C288" s="197"/>
      <c r="D288" s="197"/>
      <c r="E288" s="197"/>
      <c r="F288" s="197"/>
      <c r="G288" s="197"/>
      <c r="H288" s="197"/>
      <c r="I288" s="197"/>
      <c r="J288" s="197"/>
      <c r="K288" s="197"/>
      <c r="L288" s="197"/>
      <c r="M288" s="197"/>
      <c r="N288" s="197"/>
      <c r="O288" s="197"/>
      <c r="P288" s="197"/>
      <c r="Q288" s="197"/>
      <c r="R288" s="197"/>
      <c r="S288" s="197"/>
      <c r="T288" s="197"/>
      <c r="U288" s="197"/>
      <c r="V288" s="197"/>
      <c r="W288" s="197"/>
      <c r="X288" s="197"/>
      <c r="Y288" s="197"/>
      <c r="Z288" s="197"/>
    </row>
    <row r="289" ht="61.5" customHeight="1">
      <c r="A289" s="197"/>
      <c r="B289" s="197"/>
      <c r="C289" s="197"/>
      <c r="D289" s="197"/>
      <c r="E289" s="197"/>
      <c r="F289" s="197"/>
      <c r="G289" s="197"/>
      <c r="H289" s="197"/>
      <c r="I289" s="197"/>
      <c r="J289" s="197"/>
      <c r="K289" s="197"/>
      <c r="L289" s="197"/>
      <c r="M289" s="197"/>
      <c r="N289" s="197"/>
      <c r="O289" s="197"/>
      <c r="P289" s="197"/>
      <c r="Q289" s="197"/>
      <c r="R289" s="197"/>
      <c r="S289" s="197"/>
      <c r="T289" s="197"/>
      <c r="U289" s="197"/>
      <c r="V289" s="197"/>
      <c r="W289" s="197"/>
      <c r="X289" s="197"/>
      <c r="Y289" s="197"/>
      <c r="Z289" s="197"/>
    </row>
    <row r="290" ht="61.5" customHeight="1">
      <c r="A290" s="197"/>
      <c r="B290" s="197"/>
      <c r="C290" s="197"/>
      <c r="D290" s="197"/>
      <c r="E290" s="197"/>
      <c r="F290" s="197"/>
      <c r="G290" s="197"/>
      <c r="H290" s="197"/>
      <c r="I290" s="197"/>
      <c r="J290" s="197"/>
      <c r="K290" s="197"/>
      <c r="L290" s="197"/>
      <c r="M290" s="197"/>
      <c r="N290" s="197"/>
      <c r="O290" s="197"/>
      <c r="P290" s="197"/>
      <c r="Q290" s="197"/>
      <c r="R290" s="197"/>
      <c r="S290" s="197"/>
      <c r="T290" s="197"/>
      <c r="U290" s="197"/>
      <c r="V290" s="197"/>
      <c r="W290" s="197"/>
      <c r="X290" s="197"/>
      <c r="Y290" s="197"/>
      <c r="Z290" s="197"/>
    </row>
    <row r="291" ht="61.5" customHeight="1">
      <c r="A291" s="197"/>
      <c r="B291" s="197"/>
      <c r="C291" s="197"/>
      <c r="D291" s="197"/>
      <c r="E291" s="197"/>
      <c r="F291" s="197"/>
      <c r="G291" s="197"/>
      <c r="H291" s="197"/>
      <c r="I291" s="197"/>
      <c r="J291" s="197"/>
      <c r="K291" s="197"/>
      <c r="L291" s="197"/>
      <c r="M291" s="197"/>
      <c r="N291" s="197"/>
      <c r="O291" s="197"/>
      <c r="P291" s="197"/>
      <c r="Q291" s="197"/>
      <c r="R291" s="197"/>
      <c r="S291" s="197"/>
      <c r="T291" s="197"/>
      <c r="U291" s="197"/>
      <c r="V291" s="197"/>
      <c r="W291" s="197"/>
      <c r="X291" s="197"/>
      <c r="Y291" s="197"/>
      <c r="Z291" s="197"/>
    </row>
    <row r="292" ht="61.5" customHeight="1">
      <c r="A292" s="197"/>
      <c r="B292" s="197"/>
      <c r="C292" s="197"/>
      <c r="D292" s="197"/>
      <c r="E292" s="197"/>
      <c r="F292" s="197"/>
      <c r="G292" s="197"/>
      <c r="H292" s="197"/>
      <c r="I292" s="197"/>
      <c r="J292" s="197"/>
      <c r="K292" s="197"/>
      <c r="L292" s="197"/>
      <c r="M292" s="197"/>
      <c r="N292" s="197"/>
      <c r="O292" s="197"/>
      <c r="P292" s="197"/>
      <c r="Q292" s="197"/>
      <c r="R292" s="197"/>
      <c r="S292" s="197"/>
      <c r="T292" s="197"/>
      <c r="U292" s="197"/>
      <c r="V292" s="197"/>
      <c r="W292" s="197"/>
      <c r="X292" s="197"/>
      <c r="Y292" s="197"/>
      <c r="Z292" s="197"/>
    </row>
    <row r="293" ht="61.5" customHeight="1">
      <c r="A293" s="197"/>
      <c r="B293" s="197"/>
      <c r="C293" s="197"/>
      <c r="D293" s="197"/>
      <c r="E293" s="197"/>
      <c r="F293" s="197"/>
      <c r="G293" s="197"/>
      <c r="H293" s="197"/>
      <c r="I293" s="197"/>
      <c r="J293" s="197"/>
      <c r="K293" s="197"/>
      <c r="L293" s="197"/>
      <c r="M293" s="197"/>
      <c r="N293" s="197"/>
      <c r="O293" s="197"/>
      <c r="P293" s="197"/>
      <c r="Q293" s="197"/>
      <c r="R293" s="197"/>
      <c r="S293" s="197"/>
      <c r="T293" s="197"/>
      <c r="U293" s="197"/>
      <c r="V293" s="197"/>
      <c r="W293" s="197"/>
      <c r="X293" s="197"/>
      <c r="Y293" s="197"/>
      <c r="Z293" s="197"/>
    </row>
    <row r="294" ht="61.5" customHeight="1">
      <c r="A294" s="197"/>
      <c r="B294" s="197"/>
      <c r="C294" s="197"/>
      <c r="D294" s="197"/>
      <c r="E294" s="197"/>
      <c r="F294" s="197"/>
      <c r="G294" s="197"/>
      <c r="H294" s="197"/>
      <c r="I294" s="197"/>
      <c r="J294" s="197"/>
      <c r="K294" s="197"/>
      <c r="L294" s="197"/>
      <c r="M294" s="197"/>
      <c r="N294" s="197"/>
      <c r="O294" s="197"/>
      <c r="P294" s="197"/>
      <c r="Q294" s="197"/>
      <c r="R294" s="197"/>
      <c r="S294" s="197"/>
      <c r="T294" s="197"/>
      <c r="U294" s="197"/>
      <c r="V294" s="197"/>
      <c r="W294" s="197"/>
      <c r="X294" s="197"/>
      <c r="Y294" s="197"/>
      <c r="Z294" s="197"/>
    </row>
    <row r="295" ht="61.5" customHeight="1">
      <c r="A295" s="197"/>
      <c r="B295" s="197"/>
      <c r="C295" s="197"/>
      <c r="D295" s="197"/>
      <c r="E295" s="197"/>
      <c r="F295" s="197"/>
      <c r="G295" s="197"/>
      <c r="H295" s="197"/>
      <c r="I295" s="197"/>
      <c r="J295" s="197"/>
      <c r="K295" s="197"/>
      <c r="L295" s="197"/>
      <c r="M295" s="197"/>
      <c r="N295" s="197"/>
      <c r="O295" s="197"/>
      <c r="P295" s="197"/>
      <c r="Q295" s="197"/>
      <c r="R295" s="197"/>
      <c r="S295" s="197"/>
      <c r="T295" s="197"/>
      <c r="U295" s="197"/>
      <c r="V295" s="197"/>
      <c r="W295" s="197"/>
      <c r="X295" s="197"/>
      <c r="Y295" s="197"/>
      <c r="Z295" s="197"/>
    </row>
    <row r="296" ht="61.5" customHeight="1">
      <c r="A296" s="197"/>
      <c r="B296" s="197"/>
      <c r="C296" s="197"/>
      <c r="D296" s="197"/>
      <c r="E296" s="197"/>
      <c r="F296" s="197"/>
      <c r="G296" s="197"/>
      <c r="H296" s="197"/>
      <c r="I296" s="197"/>
      <c r="J296" s="197"/>
      <c r="K296" s="197"/>
      <c r="L296" s="197"/>
      <c r="M296" s="197"/>
      <c r="N296" s="197"/>
      <c r="O296" s="197"/>
      <c r="P296" s="197"/>
      <c r="Q296" s="197"/>
      <c r="R296" s="197"/>
      <c r="S296" s="197"/>
      <c r="T296" s="197"/>
      <c r="U296" s="197"/>
      <c r="V296" s="197"/>
      <c r="W296" s="197"/>
      <c r="X296" s="197"/>
      <c r="Y296" s="197"/>
      <c r="Z296" s="197"/>
    </row>
    <row r="297" ht="61.5" customHeight="1">
      <c r="A297" s="197"/>
      <c r="B297" s="197"/>
      <c r="C297" s="197"/>
      <c r="D297" s="197"/>
      <c r="E297" s="197"/>
      <c r="F297" s="197"/>
      <c r="G297" s="197"/>
      <c r="H297" s="197"/>
      <c r="I297" s="197"/>
      <c r="J297" s="197"/>
      <c r="K297" s="197"/>
      <c r="L297" s="197"/>
      <c r="M297" s="197"/>
      <c r="N297" s="197"/>
      <c r="O297" s="197"/>
      <c r="P297" s="197"/>
      <c r="Q297" s="197"/>
      <c r="R297" s="197"/>
      <c r="S297" s="197"/>
      <c r="T297" s="197"/>
      <c r="U297" s="197"/>
      <c r="V297" s="197"/>
      <c r="W297" s="197"/>
      <c r="X297" s="197"/>
      <c r="Y297" s="197"/>
      <c r="Z297" s="197"/>
    </row>
    <row r="298" ht="61.5" customHeight="1">
      <c r="A298" s="197"/>
      <c r="B298" s="197"/>
      <c r="C298" s="197"/>
      <c r="D298" s="197"/>
      <c r="E298" s="197"/>
      <c r="F298" s="197"/>
      <c r="G298" s="197"/>
      <c r="H298" s="197"/>
      <c r="I298" s="197"/>
      <c r="J298" s="197"/>
      <c r="K298" s="197"/>
      <c r="L298" s="197"/>
      <c r="M298" s="197"/>
      <c r="N298" s="197"/>
      <c r="O298" s="197"/>
      <c r="P298" s="197"/>
      <c r="Q298" s="197"/>
      <c r="R298" s="197"/>
      <c r="S298" s="197"/>
      <c r="T298" s="197"/>
      <c r="U298" s="197"/>
      <c r="V298" s="197"/>
      <c r="W298" s="197"/>
      <c r="X298" s="197"/>
      <c r="Y298" s="197"/>
      <c r="Z298" s="197"/>
    </row>
    <row r="299" ht="61.5" customHeight="1">
      <c r="A299" s="197"/>
      <c r="B299" s="197"/>
      <c r="C299" s="197"/>
      <c r="D299" s="197"/>
      <c r="E299" s="197"/>
      <c r="F299" s="197"/>
      <c r="G299" s="197"/>
      <c r="H299" s="197"/>
      <c r="I299" s="197"/>
      <c r="J299" s="197"/>
      <c r="K299" s="197"/>
      <c r="L299" s="197"/>
      <c r="M299" s="197"/>
      <c r="N299" s="197"/>
      <c r="O299" s="197"/>
      <c r="P299" s="197"/>
      <c r="Q299" s="197"/>
      <c r="R299" s="197"/>
      <c r="S299" s="197"/>
      <c r="T299" s="197"/>
      <c r="U299" s="197"/>
      <c r="V299" s="197"/>
      <c r="W299" s="197"/>
      <c r="X299" s="197"/>
      <c r="Y299" s="197"/>
      <c r="Z299" s="197"/>
    </row>
    <row r="300" ht="61.5" customHeight="1">
      <c r="A300" s="197"/>
      <c r="B300" s="197"/>
      <c r="C300" s="197"/>
      <c r="D300" s="197"/>
      <c r="E300" s="197"/>
      <c r="F300" s="197"/>
      <c r="G300" s="197"/>
      <c r="H300" s="197"/>
      <c r="I300" s="197"/>
      <c r="J300" s="197"/>
      <c r="K300" s="197"/>
      <c r="L300" s="197"/>
      <c r="M300" s="197"/>
      <c r="N300" s="197"/>
      <c r="O300" s="197"/>
      <c r="P300" s="197"/>
      <c r="Q300" s="197"/>
      <c r="R300" s="197"/>
      <c r="S300" s="197"/>
      <c r="T300" s="197"/>
      <c r="U300" s="197"/>
      <c r="V300" s="197"/>
      <c r="W300" s="197"/>
      <c r="X300" s="197"/>
      <c r="Y300" s="197"/>
      <c r="Z300" s="197"/>
    </row>
    <row r="301" ht="61.5" customHeight="1">
      <c r="A301" s="197"/>
      <c r="B301" s="197"/>
      <c r="C301" s="197"/>
      <c r="D301" s="197"/>
      <c r="E301" s="197"/>
      <c r="F301" s="197"/>
      <c r="G301" s="197"/>
      <c r="H301" s="197"/>
      <c r="I301" s="197"/>
      <c r="J301" s="197"/>
      <c r="K301" s="197"/>
      <c r="L301" s="197"/>
      <c r="M301" s="197"/>
      <c r="N301" s="197"/>
      <c r="O301" s="197"/>
      <c r="P301" s="197"/>
      <c r="Q301" s="197"/>
      <c r="R301" s="197"/>
      <c r="S301" s="197"/>
      <c r="T301" s="197"/>
      <c r="U301" s="197"/>
      <c r="V301" s="197"/>
      <c r="W301" s="197"/>
      <c r="X301" s="197"/>
      <c r="Y301" s="197"/>
      <c r="Z301" s="197"/>
    </row>
    <row r="302" ht="61.5" customHeight="1">
      <c r="A302" s="197"/>
      <c r="B302" s="197"/>
      <c r="C302" s="197"/>
      <c r="D302" s="197"/>
      <c r="E302" s="197"/>
      <c r="F302" s="197"/>
      <c r="G302" s="197"/>
      <c r="H302" s="197"/>
      <c r="I302" s="197"/>
      <c r="J302" s="197"/>
      <c r="K302" s="197"/>
      <c r="L302" s="197"/>
      <c r="M302" s="197"/>
      <c r="N302" s="197"/>
      <c r="O302" s="197"/>
      <c r="P302" s="197"/>
      <c r="Q302" s="197"/>
      <c r="R302" s="197"/>
      <c r="S302" s="197"/>
      <c r="T302" s="197"/>
      <c r="U302" s="197"/>
      <c r="V302" s="197"/>
      <c r="W302" s="197"/>
      <c r="X302" s="197"/>
      <c r="Y302" s="197"/>
      <c r="Z302" s="197"/>
    </row>
    <row r="303" ht="61.5" customHeight="1">
      <c r="A303" s="197"/>
      <c r="B303" s="197"/>
      <c r="C303" s="197"/>
      <c r="D303" s="197"/>
      <c r="E303" s="197"/>
      <c r="F303" s="197"/>
      <c r="G303" s="197"/>
      <c r="H303" s="197"/>
      <c r="I303" s="197"/>
      <c r="J303" s="197"/>
      <c r="K303" s="197"/>
      <c r="L303" s="197"/>
      <c r="M303" s="197"/>
      <c r="N303" s="197"/>
      <c r="O303" s="197"/>
      <c r="P303" s="197"/>
      <c r="Q303" s="197"/>
      <c r="R303" s="197"/>
      <c r="S303" s="197"/>
      <c r="T303" s="197"/>
      <c r="U303" s="197"/>
      <c r="V303" s="197"/>
      <c r="W303" s="197"/>
      <c r="X303" s="197"/>
      <c r="Y303" s="197"/>
      <c r="Z303" s="197"/>
    </row>
    <row r="304" ht="61.5" customHeight="1">
      <c r="A304" s="197"/>
      <c r="B304" s="197"/>
      <c r="C304" s="197"/>
      <c r="D304" s="197"/>
      <c r="E304" s="197"/>
      <c r="F304" s="197"/>
      <c r="G304" s="197"/>
      <c r="H304" s="197"/>
      <c r="I304" s="197"/>
      <c r="J304" s="197"/>
      <c r="K304" s="197"/>
      <c r="L304" s="197"/>
      <c r="M304" s="197"/>
      <c r="N304" s="197"/>
      <c r="O304" s="197"/>
      <c r="P304" s="197"/>
      <c r="Q304" s="197"/>
      <c r="R304" s="197"/>
      <c r="S304" s="197"/>
      <c r="T304" s="197"/>
      <c r="U304" s="197"/>
      <c r="V304" s="197"/>
      <c r="W304" s="197"/>
      <c r="X304" s="197"/>
      <c r="Y304" s="197"/>
      <c r="Z304" s="197"/>
    </row>
    <row r="305" ht="61.5" customHeight="1">
      <c r="A305" s="197"/>
      <c r="B305" s="197"/>
      <c r="C305" s="197"/>
      <c r="D305" s="197"/>
      <c r="E305" s="197"/>
      <c r="F305" s="197"/>
      <c r="G305" s="197"/>
      <c r="H305" s="197"/>
      <c r="I305" s="197"/>
      <c r="J305" s="197"/>
      <c r="K305" s="197"/>
      <c r="L305" s="197"/>
      <c r="M305" s="197"/>
      <c r="N305" s="197"/>
      <c r="O305" s="197"/>
      <c r="P305" s="197"/>
      <c r="Q305" s="197"/>
      <c r="R305" s="197"/>
      <c r="S305" s="197"/>
      <c r="T305" s="197"/>
      <c r="U305" s="197"/>
      <c r="V305" s="197"/>
      <c r="W305" s="197"/>
      <c r="X305" s="197"/>
      <c r="Y305" s="197"/>
      <c r="Z305" s="197"/>
    </row>
    <row r="306" ht="61.5" customHeight="1">
      <c r="A306" s="197"/>
      <c r="B306" s="197"/>
      <c r="C306" s="197"/>
      <c r="D306" s="197"/>
      <c r="E306" s="197"/>
      <c r="F306" s="197"/>
      <c r="G306" s="197"/>
      <c r="H306" s="197"/>
      <c r="I306" s="197"/>
      <c r="J306" s="197"/>
      <c r="K306" s="197"/>
      <c r="L306" s="197"/>
      <c r="M306" s="197"/>
      <c r="N306" s="197"/>
      <c r="O306" s="197"/>
      <c r="P306" s="197"/>
      <c r="Q306" s="197"/>
      <c r="R306" s="197"/>
      <c r="S306" s="197"/>
      <c r="T306" s="197"/>
      <c r="U306" s="197"/>
      <c r="V306" s="197"/>
      <c r="W306" s="197"/>
      <c r="X306" s="197"/>
      <c r="Y306" s="197"/>
      <c r="Z306" s="197"/>
    </row>
    <row r="307" ht="61.5" customHeight="1">
      <c r="A307" s="197"/>
      <c r="B307" s="197"/>
      <c r="C307" s="197"/>
      <c r="D307" s="197"/>
      <c r="E307" s="197"/>
      <c r="F307" s="197"/>
      <c r="G307" s="197"/>
      <c r="H307" s="197"/>
      <c r="I307" s="197"/>
      <c r="J307" s="197"/>
      <c r="K307" s="197"/>
      <c r="L307" s="197"/>
      <c r="M307" s="197"/>
      <c r="N307" s="197"/>
      <c r="O307" s="197"/>
      <c r="P307" s="197"/>
      <c r="Q307" s="197"/>
      <c r="R307" s="197"/>
      <c r="S307" s="197"/>
      <c r="T307" s="197"/>
      <c r="U307" s="197"/>
      <c r="V307" s="197"/>
      <c r="W307" s="197"/>
      <c r="X307" s="197"/>
      <c r="Y307" s="197"/>
      <c r="Z307" s="197"/>
    </row>
    <row r="308" ht="61.5" customHeight="1">
      <c r="A308" s="197"/>
      <c r="B308" s="197"/>
      <c r="C308" s="197"/>
      <c r="D308" s="197"/>
      <c r="E308" s="197"/>
      <c r="F308" s="197"/>
      <c r="G308" s="197"/>
      <c r="H308" s="197"/>
      <c r="I308" s="197"/>
      <c r="J308" s="197"/>
      <c r="K308" s="197"/>
      <c r="L308" s="197"/>
      <c r="M308" s="197"/>
      <c r="N308" s="197"/>
      <c r="O308" s="197"/>
      <c r="P308" s="197"/>
      <c r="Q308" s="197"/>
      <c r="R308" s="197"/>
      <c r="S308" s="197"/>
      <c r="T308" s="197"/>
      <c r="U308" s="197"/>
      <c r="V308" s="197"/>
      <c r="W308" s="197"/>
      <c r="X308" s="197"/>
      <c r="Y308" s="197"/>
      <c r="Z308" s="197"/>
    </row>
    <row r="309" ht="61.5" customHeight="1">
      <c r="A309" s="197"/>
      <c r="B309" s="197"/>
      <c r="C309" s="197"/>
      <c r="D309" s="197"/>
      <c r="E309" s="197"/>
      <c r="F309" s="197"/>
      <c r="G309" s="197"/>
      <c r="H309" s="197"/>
      <c r="I309" s="197"/>
      <c r="J309" s="197"/>
      <c r="K309" s="197"/>
      <c r="L309" s="197"/>
      <c r="M309" s="197"/>
      <c r="N309" s="197"/>
      <c r="O309" s="197"/>
      <c r="P309" s="197"/>
      <c r="Q309" s="197"/>
      <c r="R309" s="197"/>
      <c r="S309" s="197"/>
      <c r="T309" s="197"/>
      <c r="U309" s="197"/>
      <c r="V309" s="197"/>
      <c r="W309" s="197"/>
      <c r="X309" s="197"/>
      <c r="Y309" s="197"/>
      <c r="Z309" s="197"/>
    </row>
    <row r="310" ht="61.5" customHeight="1">
      <c r="A310" s="197"/>
      <c r="B310" s="197"/>
      <c r="C310" s="197"/>
      <c r="D310" s="197"/>
      <c r="E310" s="197"/>
      <c r="F310" s="197"/>
      <c r="G310" s="197"/>
      <c r="H310" s="197"/>
      <c r="I310" s="197"/>
      <c r="J310" s="197"/>
      <c r="K310" s="197"/>
      <c r="L310" s="197"/>
      <c r="M310" s="197"/>
      <c r="N310" s="197"/>
      <c r="O310" s="197"/>
      <c r="P310" s="197"/>
      <c r="Q310" s="197"/>
      <c r="R310" s="197"/>
      <c r="S310" s="197"/>
      <c r="T310" s="197"/>
      <c r="U310" s="197"/>
      <c r="V310" s="197"/>
      <c r="W310" s="197"/>
      <c r="X310" s="197"/>
      <c r="Y310" s="197"/>
      <c r="Z310" s="197"/>
    </row>
    <row r="311" ht="61.5" customHeight="1">
      <c r="A311" s="197"/>
      <c r="B311" s="197"/>
      <c r="C311" s="197"/>
      <c r="D311" s="197"/>
      <c r="E311" s="197"/>
      <c r="F311" s="197"/>
      <c r="G311" s="197"/>
      <c r="H311" s="197"/>
      <c r="I311" s="197"/>
      <c r="J311" s="197"/>
      <c r="K311" s="197"/>
      <c r="L311" s="197"/>
      <c r="M311" s="197"/>
      <c r="N311" s="197"/>
      <c r="O311" s="197"/>
      <c r="P311" s="197"/>
      <c r="Q311" s="197"/>
      <c r="R311" s="197"/>
      <c r="S311" s="197"/>
      <c r="T311" s="197"/>
      <c r="U311" s="197"/>
      <c r="V311" s="197"/>
      <c r="W311" s="197"/>
      <c r="X311" s="197"/>
      <c r="Y311" s="197"/>
      <c r="Z311" s="197"/>
    </row>
    <row r="312" ht="61.5" customHeight="1">
      <c r="A312" s="197"/>
      <c r="B312" s="197"/>
      <c r="C312" s="197"/>
      <c r="D312" s="197"/>
      <c r="E312" s="197"/>
      <c r="F312" s="197"/>
      <c r="G312" s="197"/>
      <c r="H312" s="197"/>
      <c r="I312" s="197"/>
      <c r="J312" s="197"/>
      <c r="K312" s="197"/>
      <c r="L312" s="197"/>
      <c r="M312" s="197"/>
      <c r="N312" s="197"/>
      <c r="O312" s="197"/>
      <c r="P312" s="197"/>
      <c r="Q312" s="197"/>
      <c r="R312" s="197"/>
      <c r="S312" s="197"/>
      <c r="T312" s="197"/>
      <c r="U312" s="197"/>
      <c r="V312" s="197"/>
      <c r="W312" s="197"/>
      <c r="X312" s="197"/>
      <c r="Y312" s="197"/>
      <c r="Z312" s="197"/>
    </row>
    <row r="313" ht="61.5" customHeight="1">
      <c r="A313" s="197"/>
      <c r="B313" s="197"/>
      <c r="C313" s="197"/>
      <c r="D313" s="197"/>
      <c r="E313" s="197"/>
      <c r="F313" s="197"/>
      <c r="G313" s="197"/>
      <c r="H313" s="197"/>
      <c r="I313" s="197"/>
      <c r="J313" s="197"/>
      <c r="K313" s="197"/>
      <c r="L313" s="197"/>
      <c r="M313" s="197"/>
      <c r="N313" s="197"/>
      <c r="O313" s="197"/>
      <c r="P313" s="197"/>
      <c r="Q313" s="197"/>
      <c r="R313" s="197"/>
      <c r="S313" s="197"/>
      <c r="T313" s="197"/>
      <c r="U313" s="197"/>
      <c r="V313" s="197"/>
      <c r="W313" s="197"/>
      <c r="X313" s="197"/>
      <c r="Y313" s="197"/>
      <c r="Z313" s="197"/>
    </row>
    <row r="314" ht="61.5" customHeight="1">
      <c r="A314" s="197"/>
      <c r="B314" s="197"/>
      <c r="C314" s="197"/>
      <c r="D314" s="197"/>
      <c r="E314" s="197"/>
      <c r="F314" s="197"/>
      <c r="G314" s="197"/>
      <c r="H314" s="197"/>
      <c r="I314" s="197"/>
      <c r="J314" s="197"/>
      <c r="K314" s="197"/>
      <c r="L314" s="197"/>
      <c r="M314" s="197"/>
      <c r="N314" s="197"/>
      <c r="O314" s="197"/>
      <c r="P314" s="197"/>
      <c r="Q314" s="197"/>
      <c r="R314" s="197"/>
      <c r="S314" s="197"/>
      <c r="T314" s="197"/>
      <c r="U314" s="197"/>
      <c r="V314" s="197"/>
      <c r="W314" s="197"/>
      <c r="X314" s="197"/>
      <c r="Y314" s="197"/>
      <c r="Z314" s="197"/>
    </row>
    <row r="315" ht="61.5" customHeight="1">
      <c r="A315" s="197"/>
      <c r="B315" s="197"/>
      <c r="C315" s="197"/>
      <c r="D315" s="197"/>
      <c r="E315" s="197"/>
      <c r="F315" s="197"/>
      <c r="G315" s="197"/>
      <c r="H315" s="197"/>
      <c r="I315" s="197"/>
      <c r="J315" s="197"/>
      <c r="K315" s="197"/>
      <c r="L315" s="197"/>
      <c r="M315" s="197"/>
      <c r="N315" s="197"/>
      <c r="O315" s="197"/>
      <c r="P315" s="197"/>
      <c r="Q315" s="197"/>
      <c r="R315" s="197"/>
      <c r="S315" s="197"/>
      <c r="T315" s="197"/>
      <c r="U315" s="197"/>
      <c r="V315" s="197"/>
      <c r="W315" s="197"/>
      <c r="X315" s="197"/>
      <c r="Y315" s="197"/>
      <c r="Z315" s="197"/>
    </row>
    <row r="316" ht="61.5" customHeight="1">
      <c r="A316" s="197"/>
      <c r="B316" s="197"/>
      <c r="C316" s="197"/>
      <c r="D316" s="197"/>
      <c r="E316" s="197"/>
      <c r="F316" s="197"/>
      <c r="G316" s="197"/>
      <c r="H316" s="197"/>
      <c r="I316" s="197"/>
      <c r="J316" s="197"/>
      <c r="K316" s="197"/>
      <c r="L316" s="197"/>
      <c r="M316" s="197"/>
      <c r="N316" s="197"/>
      <c r="O316" s="197"/>
      <c r="P316" s="197"/>
      <c r="Q316" s="197"/>
      <c r="R316" s="197"/>
      <c r="S316" s="197"/>
      <c r="T316" s="197"/>
      <c r="U316" s="197"/>
      <c r="V316" s="197"/>
      <c r="W316" s="197"/>
      <c r="X316" s="197"/>
      <c r="Y316" s="197"/>
      <c r="Z316" s="197"/>
    </row>
    <row r="317" ht="61.5" customHeight="1">
      <c r="A317" s="197"/>
      <c r="B317" s="197"/>
      <c r="C317" s="197"/>
      <c r="D317" s="197"/>
      <c r="E317" s="197"/>
      <c r="F317" s="197"/>
      <c r="G317" s="197"/>
      <c r="H317" s="197"/>
      <c r="I317" s="197"/>
      <c r="J317" s="197"/>
      <c r="K317" s="197"/>
      <c r="L317" s="197"/>
      <c r="M317" s="197"/>
      <c r="N317" s="197"/>
      <c r="O317" s="197"/>
      <c r="P317" s="197"/>
      <c r="Q317" s="197"/>
      <c r="R317" s="197"/>
      <c r="S317" s="197"/>
      <c r="T317" s="197"/>
      <c r="U317" s="197"/>
      <c r="V317" s="197"/>
      <c r="W317" s="197"/>
      <c r="X317" s="197"/>
      <c r="Y317" s="197"/>
      <c r="Z317" s="197"/>
    </row>
    <row r="318" ht="61.5" customHeight="1">
      <c r="A318" s="197"/>
      <c r="B318" s="197"/>
      <c r="C318" s="197"/>
      <c r="D318" s="197"/>
      <c r="E318" s="197"/>
      <c r="F318" s="197"/>
      <c r="G318" s="197"/>
      <c r="H318" s="197"/>
      <c r="I318" s="197"/>
      <c r="J318" s="197"/>
      <c r="K318" s="197"/>
      <c r="L318" s="197"/>
      <c r="M318" s="197"/>
      <c r="N318" s="197"/>
      <c r="O318" s="197"/>
      <c r="P318" s="197"/>
      <c r="Q318" s="197"/>
      <c r="R318" s="197"/>
      <c r="S318" s="197"/>
      <c r="T318" s="197"/>
      <c r="U318" s="197"/>
      <c r="V318" s="197"/>
      <c r="W318" s="197"/>
      <c r="X318" s="197"/>
      <c r="Y318" s="197"/>
      <c r="Z318" s="197"/>
    </row>
    <row r="319" ht="61.5" customHeight="1">
      <c r="A319" s="197"/>
      <c r="B319" s="197"/>
      <c r="C319" s="197"/>
      <c r="D319" s="197"/>
      <c r="E319" s="197"/>
      <c r="F319" s="197"/>
      <c r="G319" s="197"/>
      <c r="H319" s="197"/>
      <c r="I319" s="197"/>
      <c r="J319" s="197"/>
      <c r="K319" s="197"/>
      <c r="L319" s="197"/>
      <c r="M319" s="197"/>
      <c r="N319" s="197"/>
      <c r="O319" s="197"/>
      <c r="P319" s="197"/>
      <c r="Q319" s="197"/>
      <c r="R319" s="197"/>
      <c r="S319" s="197"/>
      <c r="T319" s="197"/>
      <c r="U319" s="197"/>
      <c r="V319" s="197"/>
      <c r="W319" s="197"/>
      <c r="X319" s="197"/>
      <c r="Y319" s="197"/>
      <c r="Z319" s="197"/>
    </row>
    <row r="320" ht="61.5" customHeight="1">
      <c r="A320" s="197"/>
      <c r="B320" s="197"/>
      <c r="C320" s="197"/>
      <c r="D320" s="197"/>
      <c r="E320" s="197"/>
      <c r="F320" s="197"/>
      <c r="G320" s="197"/>
      <c r="H320" s="197"/>
      <c r="I320" s="197"/>
      <c r="J320" s="197"/>
      <c r="K320" s="197"/>
      <c r="L320" s="197"/>
      <c r="M320" s="197"/>
      <c r="N320" s="197"/>
      <c r="O320" s="197"/>
      <c r="P320" s="197"/>
      <c r="Q320" s="197"/>
      <c r="R320" s="197"/>
      <c r="S320" s="197"/>
      <c r="T320" s="197"/>
      <c r="U320" s="197"/>
      <c r="V320" s="197"/>
      <c r="W320" s="197"/>
      <c r="X320" s="197"/>
      <c r="Y320" s="197"/>
      <c r="Z320" s="197"/>
    </row>
    <row r="321" ht="61.5" customHeight="1">
      <c r="A321" s="197"/>
      <c r="B321" s="197"/>
      <c r="C321" s="197"/>
      <c r="D321" s="197"/>
      <c r="E321" s="197"/>
      <c r="F321" s="197"/>
      <c r="G321" s="197"/>
      <c r="H321" s="197"/>
      <c r="I321" s="197"/>
      <c r="J321" s="197"/>
      <c r="K321" s="197"/>
      <c r="L321" s="197"/>
      <c r="M321" s="197"/>
      <c r="N321" s="197"/>
      <c r="O321" s="197"/>
      <c r="P321" s="197"/>
      <c r="Q321" s="197"/>
      <c r="R321" s="197"/>
      <c r="S321" s="197"/>
      <c r="T321" s="197"/>
      <c r="U321" s="197"/>
      <c r="V321" s="197"/>
      <c r="W321" s="197"/>
      <c r="X321" s="197"/>
      <c r="Y321" s="197"/>
      <c r="Z321" s="197"/>
    </row>
    <row r="322" ht="61.5" customHeight="1">
      <c r="A322" s="197"/>
      <c r="B322" s="197"/>
      <c r="C322" s="197"/>
      <c r="D322" s="197"/>
      <c r="E322" s="197"/>
      <c r="F322" s="197"/>
      <c r="G322" s="197"/>
      <c r="H322" s="197"/>
      <c r="I322" s="197"/>
      <c r="J322" s="197"/>
      <c r="K322" s="197"/>
      <c r="L322" s="197"/>
      <c r="M322" s="197"/>
      <c r="N322" s="197"/>
      <c r="O322" s="197"/>
      <c r="P322" s="197"/>
      <c r="Q322" s="197"/>
      <c r="R322" s="197"/>
      <c r="S322" s="197"/>
      <c r="T322" s="197"/>
      <c r="U322" s="197"/>
      <c r="V322" s="197"/>
      <c r="W322" s="197"/>
      <c r="X322" s="197"/>
      <c r="Y322" s="197"/>
      <c r="Z322" s="197"/>
    </row>
    <row r="323" ht="61.5" customHeight="1">
      <c r="A323" s="197"/>
      <c r="B323" s="197"/>
      <c r="C323" s="197"/>
      <c r="D323" s="197"/>
      <c r="E323" s="197"/>
      <c r="F323" s="197"/>
      <c r="G323" s="197"/>
      <c r="H323" s="197"/>
      <c r="I323" s="197"/>
      <c r="J323" s="197"/>
      <c r="K323" s="197"/>
      <c r="L323" s="197"/>
      <c r="M323" s="197"/>
      <c r="N323" s="197"/>
      <c r="O323" s="197"/>
      <c r="P323" s="197"/>
      <c r="Q323" s="197"/>
      <c r="R323" s="197"/>
      <c r="S323" s="197"/>
      <c r="T323" s="197"/>
      <c r="U323" s="197"/>
      <c r="V323" s="197"/>
      <c r="W323" s="197"/>
      <c r="X323" s="197"/>
      <c r="Y323" s="197"/>
      <c r="Z323" s="197"/>
    </row>
    <row r="324" ht="61.5" customHeight="1">
      <c r="A324" s="197"/>
      <c r="B324" s="197"/>
      <c r="C324" s="197"/>
      <c r="D324" s="197"/>
      <c r="E324" s="197"/>
      <c r="F324" s="197"/>
      <c r="G324" s="197"/>
      <c r="H324" s="197"/>
      <c r="I324" s="197"/>
      <c r="J324" s="197"/>
      <c r="K324" s="197"/>
      <c r="L324" s="197"/>
      <c r="M324" s="197"/>
      <c r="N324" s="197"/>
      <c r="O324" s="197"/>
      <c r="P324" s="197"/>
      <c r="Q324" s="197"/>
      <c r="R324" s="197"/>
      <c r="S324" s="197"/>
      <c r="T324" s="197"/>
      <c r="U324" s="197"/>
      <c r="V324" s="197"/>
      <c r="W324" s="197"/>
      <c r="X324" s="197"/>
      <c r="Y324" s="197"/>
      <c r="Z324" s="197"/>
    </row>
    <row r="325" ht="61.5" customHeight="1">
      <c r="A325" s="197"/>
      <c r="B325" s="197"/>
      <c r="C325" s="197"/>
      <c r="D325" s="197"/>
      <c r="E325" s="197"/>
      <c r="F325" s="197"/>
      <c r="G325" s="197"/>
      <c r="H325" s="197"/>
      <c r="I325" s="197"/>
      <c r="J325" s="197"/>
      <c r="K325" s="197"/>
      <c r="L325" s="197"/>
      <c r="M325" s="197"/>
      <c r="N325" s="197"/>
      <c r="O325" s="197"/>
      <c r="P325" s="197"/>
      <c r="Q325" s="197"/>
      <c r="R325" s="197"/>
      <c r="S325" s="197"/>
      <c r="T325" s="197"/>
      <c r="U325" s="197"/>
      <c r="V325" s="197"/>
      <c r="W325" s="197"/>
      <c r="X325" s="197"/>
      <c r="Y325" s="197"/>
      <c r="Z325" s="197"/>
    </row>
    <row r="326" ht="61.5" customHeight="1">
      <c r="A326" s="197"/>
      <c r="B326" s="197"/>
      <c r="C326" s="197"/>
      <c r="D326" s="197"/>
      <c r="E326" s="197"/>
      <c r="F326" s="197"/>
      <c r="G326" s="197"/>
      <c r="H326" s="197"/>
      <c r="I326" s="197"/>
      <c r="J326" s="197"/>
      <c r="K326" s="197"/>
      <c r="L326" s="197"/>
      <c r="M326" s="197"/>
      <c r="N326" s="197"/>
      <c r="O326" s="197"/>
      <c r="P326" s="197"/>
      <c r="Q326" s="197"/>
      <c r="R326" s="197"/>
      <c r="S326" s="197"/>
      <c r="T326" s="197"/>
      <c r="U326" s="197"/>
      <c r="V326" s="197"/>
      <c r="W326" s="197"/>
      <c r="X326" s="197"/>
      <c r="Y326" s="197"/>
      <c r="Z326" s="197"/>
    </row>
    <row r="327" ht="61.5" customHeight="1">
      <c r="A327" s="197"/>
      <c r="B327" s="197"/>
      <c r="C327" s="197"/>
      <c r="D327" s="197"/>
      <c r="E327" s="197"/>
      <c r="F327" s="197"/>
      <c r="G327" s="197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  <c r="U327" s="197"/>
      <c r="V327" s="197"/>
      <c r="W327" s="197"/>
      <c r="X327" s="197"/>
      <c r="Y327" s="197"/>
      <c r="Z327" s="197"/>
    </row>
    <row r="328" ht="61.5" customHeight="1">
      <c r="A328" s="197"/>
      <c r="B328" s="197"/>
      <c r="C328" s="197"/>
      <c r="D328" s="197"/>
      <c r="E328" s="197"/>
      <c r="F328" s="197"/>
      <c r="G328" s="197"/>
      <c r="H328" s="197"/>
      <c r="I328" s="197"/>
      <c r="J328" s="197"/>
      <c r="K328" s="197"/>
      <c r="L328" s="197"/>
      <c r="M328" s="197"/>
      <c r="N328" s="197"/>
      <c r="O328" s="197"/>
      <c r="P328" s="197"/>
      <c r="Q328" s="197"/>
      <c r="R328" s="197"/>
      <c r="S328" s="197"/>
      <c r="T328" s="197"/>
      <c r="U328" s="197"/>
      <c r="V328" s="197"/>
      <c r="W328" s="197"/>
      <c r="X328" s="197"/>
      <c r="Y328" s="197"/>
      <c r="Z328" s="197"/>
    </row>
    <row r="329" ht="61.5" customHeight="1">
      <c r="A329" s="197"/>
      <c r="B329" s="197"/>
      <c r="C329" s="197"/>
      <c r="D329" s="197"/>
      <c r="E329" s="197"/>
      <c r="F329" s="197"/>
      <c r="G329" s="197"/>
      <c r="H329" s="197"/>
      <c r="I329" s="197"/>
      <c r="J329" s="197"/>
      <c r="K329" s="197"/>
      <c r="L329" s="197"/>
      <c r="M329" s="197"/>
      <c r="N329" s="197"/>
      <c r="O329" s="197"/>
      <c r="P329" s="197"/>
      <c r="Q329" s="197"/>
      <c r="R329" s="197"/>
      <c r="S329" s="197"/>
      <c r="T329" s="197"/>
      <c r="U329" s="197"/>
      <c r="V329" s="197"/>
      <c r="W329" s="197"/>
      <c r="X329" s="197"/>
      <c r="Y329" s="197"/>
      <c r="Z329" s="197"/>
    </row>
    <row r="330" ht="61.5" customHeight="1">
      <c r="A330" s="197"/>
      <c r="B330" s="197"/>
      <c r="C330" s="197"/>
      <c r="D330" s="197"/>
      <c r="E330" s="197"/>
      <c r="F330" s="197"/>
      <c r="G330" s="197"/>
      <c r="H330" s="197"/>
      <c r="I330" s="197"/>
      <c r="J330" s="197"/>
      <c r="K330" s="197"/>
      <c r="L330" s="197"/>
      <c r="M330" s="197"/>
      <c r="N330" s="197"/>
      <c r="O330" s="197"/>
      <c r="P330" s="197"/>
      <c r="Q330" s="197"/>
      <c r="R330" s="197"/>
      <c r="S330" s="197"/>
      <c r="T330" s="197"/>
      <c r="U330" s="197"/>
      <c r="V330" s="197"/>
      <c r="W330" s="197"/>
      <c r="X330" s="197"/>
      <c r="Y330" s="197"/>
      <c r="Z330" s="197"/>
    </row>
    <row r="331" ht="61.5" customHeight="1">
      <c r="A331" s="197"/>
      <c r="B331" s="197"/>
      <c r="C331" s="197"/>
      <c r="D331" s="197"/>
      <c r="E331" s="197"/>
      <c r="F331" s="197"/>
      <c r="G331" s="197"/>
      <c r="H331" s="197"/>
      <c r="I331" s="197"/>
      <c r="J331" s="197"/>
      <c r="K331" s="197"/>
      <c r="L331" s="197"/>
      <c r="M331" s="197"/>
      <c r="N331" s="197"/>
      <c r="O331" s="197"/>
      <c r="P331" s="197"/>
      <c r="Q331" s="197"/>
      <c r="R331" s="197"/>
      <c r="S331" s="197"/>
      <c r="T331" s="197"/>
      <c r="U331" s="197"/>
      <c r="V331" s="197"/>
      <c r="W331" s="197"/>
      <c r="X331" s="197"/>
      <c r="Y331" s="197"/>
      <c r="Z331" s="197"/>
    </row>
    <row r="332" ht="61.5" customHeight="1">
      <c r="A332" s="197"/>
      <c r="B332" s="197"/>
      <c r="C332" s="197"/>
      <c r="D332" s="197"/>
      <c r="E332" s="197"/>
      <c r="F332" s="197"/>
      <c r="G332" s="197"/>
      <c r="H332" s="197"/>
      <c r="I332" s="197"/>
      <c r="J332" s="197"/>
      <c r="K332" s="197"/>
      <c r="L332" s="197"/>
      <c r="M332" s="197"/>
      <c r="N332" s="197"/>
      <c r="O332" s="197"/>
      <c r="P332" s="197"/>
      <c r="Q332" s="197"/>
      <c r="R332" s="197"/>
      <c r="S332" s="197"/>
      <c r="T332" s="197"/>
      <c r="U332" s="197"/>
      <c r="V332" s="197"/>
      <c r="W332" s="197"/>
      <c r="X332" s="197"/>
      <c r="Y332" s="197"/>
      <c r="Z332" s="197"/>
    </row>
    <row r="333" ht="61.5" customHeight="1">
      <c r="A333" s="197"/>
      <c r="B333" s="197"/>
      <c r="C333" s="197"/>
      <c r="D333" s="197"/>
      <c r="E333" s="197"/>
      <c r="F333" s="197"/>
      <c r="G333" s="197"/>
      <c r="H333" s="197"/>
      <c r="I333" s="197"/>
      <c r="J333" s="197"/>
      <c r="K333" s="197"/>
      <c r="L333" s="197"/>
      <c r="M333" s="197"/>
      <c r="N333" s="197"/>
      <c r="O333" s="197"/>
      <c r="P333" s="197"/>
      <c r="Q333" s="197"/>
      <c r="R333" s="197"/>
      <c r="S333" s="197"/>
      <c r="T333" s="197"/>
      <c r="U333" s="197"/>
      <c r="V333" s="197"/>
      <c r="W333" s="197"/>
      <c r="X333" s="197"/>
      <c r="Y333" s="197"/>
      <c r="Z333" s="197"/>
    </row>
    <row r="334" ht="61.5" customHeight="1">
      <c r="A334" s="197"/>
      <c r="B334" s="197"/>
      <c r="C334" s="197"/>
      <c r="D334" s="197"/>
      <c r="E334" s="197"/>
      <c r="F334" s="197"/>
      <c r="G334" s="197"/>
      <c r="H334" s="197"/>
      <c r="I334" s="197"/>
      <c r="J334" s="197"/>
      <c r="K334" s="197"/>
      <c r="L334" s="197"/>
      <c r="M334" s="197"/>
      <c r="N334" s="197"/>
      <c r="O334" s="197"/>
      <c r="P334" s="197"/>
      <c r="Q334" s="197"/>
      <c r="R334" s="197"/>
      <c r="S334" s="197"/>
      <c r="T334" s="197"/>
      <c r="U334" s="197"/>
      <c r="V334" s="197"/>
      <c r="W334" s="197"/>
      <c r="X334" s="197"/>
      <c r="Y334" s="197"/>
      <c r="Z334" s="197"/>
    </row>
    <row r="335" ht="61.5" customHeight="1">
      <c r="A335" s="197"/>
      <c r="B335" s="197"/>
      <c r="C335" s="197"/>
      <c r="D335" s="197"/>
      <c r="E335" s="197"/>
      <c r="F335" s="197"/>
      <c r="G335" s="197"/>
      <c r="H335" s="197"/>
      <c r="I335" s="197"/>
      <c r="J335" s="197"/>
      <c r="K335" s="197"/>
      <c r="L335" s="197"/>
      <c r="M335" s="197"/>
      <c r="N335" s="197"/>
      <c r="O335" s="197"/>
      <c r="P335" s="197"/>
      <c r="Q335" s="197"/>
      <c r="R335" s="197"/>
      <c r="S335" s="197"/>
      <c r="T335" s="197"/>
      <c r="U335" s="197"/>
      <c r="V335" s="197"/>
      <c r="W335" s="197"/>
      <c r="X335" s="197"/>
      <c r="Y335" s="197"/>
      <c r="Z335" s="197"/>
    </row>
    <row r="336" ht="61.5" customHeight="1">
      <c r="A336" s="197"/>
      <c r="B336" s="197"/>
      <c r="C336" s="197"/>
      <c r="D336" s="197"/>
      <c r="E336" s="197"/>
      <c r="F336" s="197"/>
      <c r="G336" s="197"/>
      <c r="H336" s="197"/>
      <c r="I336" s="197"/>
      <c r="J336" s="197"/>
      <c r="K336" s="197"/>
      <c r="L336" s="197"/>
      <c r="M336" s="197"/>
      <c r="N336" s="197"/>
      <c r="O336" s="197"/>
      <c r="P336" s="197"/>
      <c r="Q336" s="197"/>
      <c r="R336" s="197"/>
      <c r="S336" s="197"/>
      <c r="T336" s="197"/>
      <c r="U336" s="197"/>
      <c r="V336" s="197"/>
      <c r="W336" s="197"/>
      <c r="X336" s="197"/>
      <c r="Y336" s="197"/>
      <c r="Z336" s="197"/>
    </row>
    <row r="337" ht="61.5" customHeight="1">
      <c r="A337" s="197"/>
      <c r="B337" s="197"/>
      <c r="C337" s="197"/>
      <c r="D337" s="197"/>
      <c r="E337" s="197"/>
      <c r="F337" s="197"/>
      <c r="G337" s="197"/>
      <c r="H337" s="197"/>
      <c r="I337" s="197"/>
      <c r="J337" s="197"/>
      <c r="K337" s="197"/>
      <c r="L337" s="197"/>
      <c r="M337" s="197"/>
      <c r="N337" s="197"/>
      <c r="O337" s="197"/>
      <c r="P337" s="197"/>
      <c r="Q337" s="197"/>
      <c r="R337" s="197"/>
      <c r="S337" s="197"/>
      <c r="T337" s="197"/>
      <c r="U337" s="197"/>
      <c r="V337" s="197"/>
      <c r="W337" s="197"/>
      <c r="X337" s="197"/>
      <c r="Y337" s="197"/>
      <c r="Z337" s="197"/>
    </row>
    <row r="338" ht="61.5" customHeight="1">
      <c r="A338" s="197"/>
      <c r="B338" s="197"/>
      <c r="C338" s="197"/>
      <c r="D338" s="197"/>
      <c r="E338" s="197"/>
      <c r="F338" s="197"/>
      <c r="G338" s="197"/>
      <c r="H338" s="197"/>
      <c r="I338" s="197"/>
      <c r="J338" s="197"/>
      <c r="K338" s="197"/>
      <c r="L338" s="197"/>
      <c r="M338" s="197"/>
      <c r="N338" s="197"/>
      <c r="O338" s="197"/>
      <c r="P338" s="197"/>
      <c r="Q338" s="197"/>
      <c r="R338" s="197"/>
      <c r="S338" s="197"/>
      <c r="T338" s="197"/>
      <c r="U338" s="197"/>
      <c r="V338" s="197"/>
      <c r="W338" s="197"/>
      <c r="X338" s="197"/>
      <c r="Y338" s="197"/>
      <c r="Z338" s="197"/>
    </row>
    <row r="339" ht="61.5" customHeight="1">
      <c r="A339" s="197"/>
      <c r="B339" s="197"/>
      <c r="C339" s="197"/>
      <c r="D339" s="197"/>
      <c r="E339" s="197"/>
      <c r="F339" s="197"/>
      <c r="G339" s="197"/>
      <c r="H339" s="197"/>
      <c r="I339" s="197"/>
      <c r="J339" s="197"/>
      <c r="K339" s="197"/>
      <c r="L339" s="197"/>
      <c r="M339" s="197"/>
      <c r="N339" s="197"/>
      <c r="O339" s="197"/>
      <c r="P339" s="197"/>
      <c r="Q339" s="197"/>
      <c r="R339" s="197"/>
      <c r="S339" s="197"/>
      <c r="T339" s="197"/>
      <c r="U339" s="197"/>
      <c r="V339" s="197"/>
      <c r="W339" s="197"/>
      <c r="X339" s="197"/>
      <c r="Y339" s="197"/>
      <c r="Z339" s="197"/>
    </row>
    <row r="340" ht="61.5" customHeight="1">
      <c r="A340" s="197"/>
      <c r="B340" s="197"/>
      <c r="C340" s="197"/>
      <c r="D340" s="197"/>
      <c r="E340" s="197"/>
      <c r="F340" s="197"/>
      <c r="G340" s="197"/>
      <c r="H340" s="197"/>
      <c r="I340" s="197"/>
      <c r="J340" s="197"/>
      <c r="K340" s="197"/>
      <c r="L340" s="197"/>
      <c r="M340" s="197"/>
      <c r="N340" s="197"/>
      <c r="O340" s="197"/>
      <c r="P340" s="197"/>
      <c r="Q340" s="197"/>
      <c r="R340" s="197"/>
      <c r="S340" s="197"/>
      <c r="T340" s="197"/>
      <c r="U340" s="197"/>
      <c r="V340" s="197"/>
      <c r="W340" s="197"/>
      <c r="X340" s="197"/>
      <c r="Y340" s="197"/>
      <c r="Z340" s="197"/>
    </row>
    <row r="341" ht="61.5" customHeight="1">
      <c r="A341" s="197"/>
      <c r="B341" s="197"/>
      <c r="C341" s="197"/>
      <c r="D341" s="197"/>
      <c r="E341" s="197"/>
      <c r="F341" s="197"/>
      <c r="G341" s="197"/>
      <c r="H341" s="197"/>
      <c r="I341" s="197"/>
      <c r="J341" s="197"/>
      <c r="K341" s="197"/>
      <c r="L341" s="197"/>
      <c r="M341" s="197"/>
      <c r="N341" s="197"/>
      <c r="O341" s="197"/>
      <c r="P341" s="197"/>
      <c r="Q341" s="197"/>
      <c r="R341" s="197"/>
      <c r="S341" s="197"/>
      <c r="T341" s="197"/>
      <c r="U341" s="197"/>
      <c r="V341" s="197"/>
      <c r="W341" s="197"/>
      <c r="X341" s="197"/>
      <c r="Y341" s="197"/>
      <c r="Z341" s="197"/>
    </row>
    <row r="342" ht="61.5" customHeight="1">
      <c r="A342" s="197"/>
      <c r="B342" s="197"/>
      <c r="C342" s="197"/>
      <c r="D342" s="197"/>
      <c r="E342" s="197"/>
      <c r="F342" s="197"/>
      <c r="G342" s="197"/>
      <c r="H342" s="197"/>
      <c r="I342" s="197"/>
      <c r="J342" s="197"/>
      <c r="K342" s="197"/>
      <c r="L342" s="197"/>
      <c r="M342" s="197"/>
      <c r="N342" s="197"/>
      <c r="O342" s="197"/>
      <c r="P342" s="197"/>
      <c r="Q342" s="197"/>
      <c r="R342" s="197"/>
      <c r="S342" s="197"/>
      <c r="T342" s="197"/>
      <c r="U342" s="197"/>
      <c r="V342" s="197"/>
      <c r="W342" s="197"/>
      <c r="X342" s="197"/>
      <c r="Y342" s="197"/>
      <c r="Z342" s="197"/>
    </row>
    <row r="343" ht="61.5" customHeight="1">
      <c r="A343" s="197"/>
      <c r="B343" s="197"/>
      <c r="C343" s="197"/>
      <c r="D343" s="197"/>
      <c r="E343" s="197"/>
      <c r="F343" s="197"/>
      <c r="G343" s="197"/>
      <c r="H343" s="197"/>
      <c r="I343" s="197"/>
      <c r="J343" s="197"/>
      <c r="K343" s="197"/>
      <c r="L343" s="197"/>
      <c r="M343" s="197"/>
      <c r="N343" s="197"/>
      <c r="O343" s="197"/>
      <c r="P343" s="197"/>
      <c r="Q343" s="197"/>
      <c r="R343" s="197"/>
      <c r="S343" s="197"/>
      <c r="T343" s="197"/>
      <c r="U343" s="197"/>
      <c r="V343" s="197"/>
      <c r="W343" s="197"/>
      <c r="X343" s="197"/>
      <c r="Y343" s="197"/>
      <c r="Z343" s="197"/>
    </row>
    <row r="344" ht="61.5" customHeight="1">
      <c r="A344" s="197"/>
      <c r="B344" s="197"/>
      <c r="C344" s="197"/>
      <c r="D344" s="197"/>
      <c r="E344" s="197"/>
      <c r="F344" s="197"/>
      <c r="G344" s="197"/>
      <c r="H344" s="197"/>
      <c r="I344" s="197"/>
      <c r="J344" s="197"/>
      <c r="K344" s="197"/>
      <c r="L344" s="197"/>
      <c r="M344" s="197"/>
      <c r="N344" s="197"/>
      <c r="O344" s="197"/>
      <c r="P344" s="197"/>
      <c r="Q344" s="197"/>
      <c r="R344" s="197"/>
      <c r="S344" s="197"/>
      <c r="T344" s="197"/>
      <c r="U344" s="197"/>
      <c r="V344" s="197"/>
      <c r="W344" s="197"/>
      <c r="X344" s="197"/>
      <c r="Y344" s="197"/>
      <c r="Z344" s="197"/>
    </row>
    <row r="345" ht="61.5" customHeight="1">
      <c r="A345" s="197"/>
      <c r="B345" s="197"/>
      <c r="C345" s="197"/>
      <c r="D345" s="197"/>
      <c r="E345" s="197"/>
      <c r="F345" s="197"/>
      <c r="G345" s="197"/>
      <c r="H345" s="197"/>
      <c r="I345" s="197"/>
      <c r="J345" s="197"/>
      <c r="K345" s="197"/>
      <c r="L345" s="197"/>
      <c r="M345" s="197"/>
      <c r="N345" s="197"/>
      <c r="O345" s="197"/>
      <c r="P345" s="197"/>
      <c r="Q345" s="197"/>
      <c r="R345" s="197"/>
      <c r="S345" s="197"/>
      <c r="T345" s="197"/>
      <c r="U345" s="197"/>
      <c r="V345" s="197"/>
      <c r="W345" s="197"/>
      <c r="X345" s="197"/>
      <c r="Y345" s="197"/>
      <c r="Z345" s="197"/>
    </row>
    <row r="346" ht="61.5" customHeight="1">
      <c r="A346" s="197"/>
      <c r="B346" s="197"/>
      <c r="C346" s="197"/>
      <c r="D346" s="197"/>
      <c r="E346" s="197"/>
      <c r="F346" s="197"/>
      <c r="G346" s="197"/>
      <c r="H346" s="197"/>
      <c r="I346" s="197"/>
      <c r="J346" s="197"/>
      <c r="K346" s="197"/>
      <c r="L346" s="197"/>
      <c r="M346" s="197"/>
      <c r="N346" s="197"/>
      <c r="O346" s="197"/>
      <c r="P346" s="197"/>
      <c r="Q346" s="197"/>
      <c r="R346" s="197"/>
      <c r="S346" s="197"/>
      <c r="T346" s="197"/>
      <c r="U346" s="197"/>
      <c r="V346" s="197"/>
      <c r="W346" s="197"/>
      <c r="X346" s="197"/>
      <c r="Y346" s="197"/>
      <c r="Z346" s="197"/>
    </row>
    <row r="347" ht="61.5" customHeight="1">
      <c r="A347" s="197"/>
      <c r="B347" s="197"/>
      <c r="C347" s="197"/>
      <c r="D347" s="197"/>
      <c r="E347" s="197"/>
      <c r="F347" s="197"/>
      <c r="G347" s="197"/>
      <c r="H347" s="197"/>
      <c r="I347" s="197"/>
      <c r="J347" s="197"/>
      <c r="K347" s="197"/>
      <c r="L347" s="197"/>
      <c r="M347" s="197"/>
      <c r="N347" s="197"/>
      <c r="O347" s="197"/>
      <c r="P347" s="197"/>
      <c r="Q347" s="197"/>
      <c r="R347" s="197"/>
      <c r="S347" s="197"/>
      <c r="T347" s="197"/>
      <c r="U347" s="197"/>
      <c r="V347" s="197"/>
      <c r="W347" s="197"/>
      <c r="X347" s="197"/>
      <c r="Y347" s="197"/>
      <c r="Z347" s="197"/>
    </row>
    <row r="348" ht="61.5" customHeight="1">
      <c r="A348" s="197"/>
      <c r="B348" s="197"/>
      <c r="C348" s="197"/>
      <c r="D348" s="197"/>
      <c r="E348" s="197"/>
      <c r="F348" s="197"/>
      <c r="G348" s="197"/>
      <c r="H348" s="197"/>
      <c r="I348" s="197"/>
      <c r="J348" s="197"/>
      <c r="K348" s="197"/>
      <c r="L348" s="197"/>
      <c r="M348" s="197"/>
      <c r="N348" s="197"/>
      <c r="O348" s="197"/>
      <c r="P348" s="197"/>
      <c r="Q348" s="197"/>
      <c r="R348" s="197"/>
      <c r="S348" s="197"/>
      <c r="T348" s="197"/>
      <c r="U348" s="197"/>
      <c r="V348" s="197"/>
      <c r="W348" s="197"/>
      <c r="X348" s="197"/>
      <c r="Y348" s="197"/>
      <c r="Z348" s="197"/>
    </row>
    <row r="349" ht="61.5" customHeight="1">
      <c r="A349" s="197"/>
      <c r="B349" s="197"/>
      <c r="C349" s="197"/>
      <c r="D349" s="197"/>
      <c r="E349" s="197"/>
      <c r="F349" s="197"/>
      <c r="G349" s="197"/>
      <c r="H349" s="197"/>
      <c r="I349" s="197"/>
      <c r="J349" s="197"/>
      <c r="K349" s="197"/>
      <c r="L349" s="197"/>
      <c r="M349" s="197"/>
      <c r="N349" s="197"/>
      <c r="O349" s="197"/>
      <c r="P349" s="197"/>
      <c r="Q349" s="197"/>
      <c r="R349" s="197"/>
      <c r="S349" s="197"/>
      <c r="T349" s="197"/>
      <c r="U349" s="197"/>
      <c r="V349" s="197"/>
      <c r="W349" s="197"/>
      <c r="X349" s="197"/>
      <c r="Y349" s="197"/>
      <c r="Z349" s="197"/>
    </row>
    <row r="350" ht="61.5" customHeight="1">
      <c r="A350" s="197"/>
      <c r="B350" s="197"/>
      <c r="C350" s="197"/>
      <c r="D350" s="197"/>
      <c r="E350" s="197"/>
      <c r="F350" s="197"/>
      <c r="G350" s="197"/>
      <c r="H350" s="197"/>
      <c r="I350" s="197"/>
      <c r="J350" s="197"/>
      <c r="K350" s="197"/>
      <c r="L350" s="197"/>
      <c r="M350" s="197"/>
      <c r="N350" s="197"/>
      <c r="O350" s="197"/>
      <c r="P350" s="197"/>
      <c r="Q350" s="197"/>
      <c r="R350" s="197"/>
      <c r="S350" s="197"/>
      <c r="T350" s="197"/>
      <c r="U350" s="197"/>
      <c r="V350" s="197"/>
      <c r="W350" s="197"/>
      <c r="X350" s="197"/>
      <c r="Y350" s="197"/>
      <c r="Z350" s="197"/>
    </row>
    <row r="351" ht="61.5" customHeight="1">
      <c r="A351" s="197"/>
      <c r="B351" s="197"/>
      <c r="C351" s="197"/>
      <c r="D351" s="197"/>
      <c r="E351" s="197"/>
      <c r="F351" s="197"/>
      <c r="G351" s="197"/>
      <c r="H351" s="197"/>
      <c r="I351" s="197"/>
      <c r="J351" s="197"/>
      <c r="K351" s="197"/>
      <c r="L351" s="197"/>
      <c r="M351" s="197"/>
      <c r="N351" s="197"/>
      <c r="O351" s="197"/>
      <c r="P351" s="197"/>
      <c r="Q351" s="197"/>
      <c r="R351" s="197"/>
      <c r="S351" s="197"/>
      <c r="T351" s="197"/>
      <c r="U351" s="197"/>
      <c r="V351" s="197"/>
      <c r="W351" s="197"/>
      <c r="X351" s="197"/>
      <c r="Y351" s="197"/>
      <c r="Z351" s="197"/>
    </row>
    <row r="352" ht="61.5" customHeight="1">
      <c r="A352" s="197"/>
      <c r="B352" s="197"/>
      <c r="C352" s="197"/>
      <c r="D352" s="197"/>
      <c r="E352" s="197"/>
      <c r="F352" s="197"/>
      <c r="G352" s="197"/>
      <c r="H352" s="197"/>
      <c r="I352" s="197"/>
      <c r="J352" s="197"/>
      <c r="K352" s="197"/>
      <c r="L352" s="197"/>
      <c r="M352" s="197"/>
      <c r="N352" s="197"/>
      <c r="O352" s="197"/>
      <c r="P352" s="197"/>
      <c r="Q352" s="197"/>
      <c r="R352" s="197"/>
      <c r="S352" s="197"/>
      <c r="T352" s="197"/>
      <c r="U352" s="197"/>
      <c r="V352" s="197"/>
      <c r="W352" s="197"/>
      <c r="X352" s="197"/>
      <c r="Y352" s="197"/>
      <c r="Z352" s="197"/>
    </row>
    <row r="353" ht="61.5" customHeight="1">
      <c r="A353" s="197"/>
      <c r="B353" s="197"/>
      <c r="C353" s="197"/>
      <c r="D353" s="197"/>
      <c r="E353" s="197"/>
      <c r="F353" s="197"/>
      <c r="G353" s="197"/>
      <c r="H353" s="197"/>
      <c r="I353" s="197"/>
      <c r="J353" s="197"/>
      <c r="K353" s="197"/>
      <c r="L353" s="197"/>
      <c r="M353" s="197"/>
      <c r="N353" s="197"/>
      <c r="O353" s="197"/>
      <c r="P353" s="197"/>
      <c r="Q353" s="197"/>
      <c r="R353" s="197"/>
      <c r="S353" s="197"/>
      <c r="T353" s="197"/>
      <c r="U353" s="197"/>
      <c r="V353" s="197"/>
      <c r="W353" s="197"/>
      <c r="X353" s="197"/>
      <c r="Y353" s="197"/>
      <c r="Z353" s="197"/>
    </row>
    <row r="354" ht="61.5" customHeight="1">
      <c r="A354" s="197"/>
      <c r="B354" s="197"/>
      <c r="C354" s="197"/>
      <c r="D354" s="197"/>
      <c r="E354" s="197"/>
      <c r="F354" s="197"/>
      <c r="G354" s="197"/>
      <c r="H354" s="197"/>
      <c r="I354" s="197"/>
      <c r="J354" s="197"/>
      <c r="K354" s="197"/>
      <c r="L354" s="197"/>
      <c r="M354" s="197"/>
      <c r="N354" s="197"/>
      <c r="O354" s="197"/>
      <c r="P354" s="197"/>
      <c r="Q354" s="197"/>
      <c r="R354" s="197"/>
      <c r="S354" s="197"/>
      <c r="T354" s="197"/>
      <c r="U354" s="197"/>
      <c r="V354" s="197"/>
      <c r="W354" s="197"/>
      <c r="X354" s="197"/>
      <c r="Y354" s="197"/>
      <c r="Z354" s="197"/>
    </row>
    <row r="355" ht="61.5" customHeight="1">
      <c r="A355" s="197"/>
      <c r="B355" s="197"/>
      <c r="C355" s="197"/>
      <c r="D355" s="197"/>
      <c r="E355" s="197"/>
      <c r="F355" s="197"/>
      <c r="G355" s="197"/>
      <c r="H355" s="197"/>
      <c r="I355" s="197"/>
      <c r="J355" s="197"/>
      <c r="K355" s="197"/>
      <c r="L355" s="197"/>
      <c r="M355" s="197"/>
      <c r="N355" s="197"/>
      <c r="O355" s="197"/>
      <c r="P355" s="197"/>
      <c r="Q355" s="197"/>
      <c r="R355" s="197"/>
      <c r="S355" s="197"/>
      <c r="T355" s="197"/>
      <c r="U355" s="197"/>
      <c r="V355" s="197"/>
      <c r="W355" s="197"/>
      <c r="X355" s="197"/>
      <c r="Y355" s="197"/>
      <c r="Z355" s="197"/>
    </row>
    <row r="356" ht="61.5" customHeight="1">
      <c r="A356" s="197"/>
      <c r="B356" s="197"/>
      <c r="C356" s="197"/>
      <c r="D356" s="197"/>
      <c r="E356" s="197"/>
      <c r="F356" s="197"/>
      <c r="G356" s="197"/>
      <c r="H356" s="197"/>
      <c r="I356" s="197"/>
      <c r="J356" s="197"/>
      <c r="K356" s="197"/>
      <c r="L356" s="197"/>
      <c r="M356" s="197"/>
      <c r="N356" s="197"/>
      <c r="O356" s="197"/>
      <c r="P356" s="197"/>
      <c r="Q356" s="197"/>
      <c r="R356" s="197"/>
      <c r="S356" s="197"/>
      <c r="T356" s="197"/>
      <c r="U356" s="197"/>
      <c r="V356" s="197"/>
      <c r="W356" s="197"/>
      <c r="X356" s="197"/>
      <c r="Y356" s="197"/>
      <c r="Z356" s="197"/>
    </row>
    <row r="357" ht="61.5" customHeight="1">
      <c r="A357" s="197"/>
      <c r="B357" s="197"/>
      <c r="C357" s="197"/>
      <c r="D357" s="197"/>
      <c r="E357" s="197"/>
      <c r="F357" s="197"/>
      <c r="G357" s="197"/>
      <c r="H357" s="197"/>
      <c r="I357" s="197"/>
      <c r="J357" s="197"/>
      <c r="K357" s="197"/>
      <c r="L357" s="197"/>
      <c r="M357" s="197"/>
      <c r="N357" s="197"/>
      <c r="O357" s="197"/>
      <c r="P357" s="197"/>
      <c r="Q357" s="197"/>
      <c r="R357" s="197"/>
      <c r="S357" s="197"/>
      <c r="T357" s="197"/>
      <c r="U357" s="197"/>
      <c r="V357" s="197"/>
      <c r="W357" s="197"/>
      <c r="X357" s="197"/>
      <c r="Y357" s="197"/>
      <c r="Z357" s="197"/>
    </row>
    <row r="358" ht="61.5" customHeight="1">
      <c r="A358" s="197"/>
      <c r="B358" s="197"/>
      <c r="C358" s="197"/>
      <c r="D358" s="197"/>
      <c r="E358" s="197"/>
      <c r="F358" s="197"/>
      <c r="G358" s="197"/>
      <c r="H358" s="197"/>
      <c r="I358" s="197"/>
      <c r="J358" s="197"/>
      <c r="K358" s="197"/>
      <c r="L358" s="197"/>
      <c r="M358" s="197"/>
      <c r="N358" s="197"/>
      <c r="O358" s="197"/>
      <c r="P358" s="197"/>
      <c r="Q358" s="197"/>
      <c r="R358" s="197"/>
      <c r="S358" s="197"/>
      <c r="T358" s="197"/>
      <c r="U358" s="197"/>
      <c r="V358" s="197"/>
      <c r="W358" s="197"/>
      <c r="X358" s="197"/>
      <c r="Y358" s="197"/>
      <c r="Z358" s="197"/>
    </row>
    <row r="359" ht="61.5" customHeight="1">
      <c r="A359" s="197"/>
      <c r="B359" s="197"/>
      <c r="C359" s="197"/>
      <c r="D359" s="197"/>
      <c r="E359" s="197"/>
      <c r="F359" s="197"/>
      <c r="G359" s="197"/>
      <c r="H359" s="197"/>
      <c r="I359" s="197"/>
      <c r="J359" s="197"/>
      <c r="K359" s="197"/>
      <c r="L359" s="197"/>
      <c r="M359" s="197"/>
      <c r="N359" s="197"/>
      <c r="O359" s="197"/>
      <c r="P359" s="197"/>
      <c r="Q359" s="197"/>
      <c r="R359" s="197"/>
      <c r="S359" s="197"/>
      <c r="T359" s="197"/>
      <c r="U359" s="197"/>
      <c r="V359" s="197"/>
      <c r="W359" s="197"/>
      <c r="X359" s="197"/>
      <c r="Y359" s="197"/>
      <c r="Z359" s="197"/>
    </row>
    <row r="360" ht="61.5" customHeight="1">
      <c r="A360" s="197"/>
      <c r="B360" s="197"/>
      <c r="C360" s="197"/>
      <c r="D360" s="197"/>
      <c r="E360" s="197"/>
      <c r="F360" s="197"/>
      <c r="G360" s="197"/>
      <c r="H360" s="197"/>
      <c r="I360" s="197"/>
      <c r="J360" s="197"/>
      <c r="K360" s="197"/>
      <c r="L360" s="197"/>
      <c r="M360" s="197"/>
      <c r="N360" s="197"/>
      <c r="O360" s="197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</row>
    <row r="361" ht="61.5" customHeight="1">
      <c r="A361" s="197"/>
      <c r="B361" s="197"/>
      <c r="C361" s="197"/>
      <c r="D361" s="197"/>
      <c r="E361" s="197"/>
      <c r="F361" s="197"/>
      <c r="G361" s="197"/>
      <c r="H361" s="197"/>
      <c r="I361" s="197"/>
      <c r="J361" s="197"/>
      <c r="K361" s="197"/>
      <c r="L361" s="197"/>
      <c r="M361" s="197"/>
      <c r="N361" s="197"/>
      <c r="O361" s="197"/>
      <c r="P361" s="197"/>
      <c r="Q361" s="197"/>
      <c r="R361" s="197"/>
      <c r="S361" s="197"/>
      <c r="T361" s="197"/>
      <c r="U361" s="197"/>
      <c r="V361" s="197"/>
      <c r="W361" s="197"/>
      <c r="X361" s="197"/>
      <c r="Y361" s="197"/>
      <c r="Z361" s="197"/>
    </row>
    <row r="362" ht="61.5" customHeight="1">
      <c r="A362" s="197"/>
      <c r="B362" s="197"/>
      <c r="C362" s="197"/>
      <c r="D362" s="197"/>
      <c r="E362" s="197"/>
      <c r="F362" s="197"/>
      <c r="G362" s="197"/>
      <c r="H362" s="197"/>
      <c r="I362" s="197"/>
      <c r="J362" s="197"/>
      <c r="K362" s="197"/>
      <c r="L362" s="197"/>
      <c r="M362" s="197"/>
      <c r="N362" s="197"/>
      <c r="O362" s="197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</row>
    <row r="363" ht="61.5" customHeight="1">
      <c r="A363" s="197"/>
      <c r="B363" s="197"/>
      <c r="C363" s="197"/>
      <c r="D363" s="197"/>
      <c r="E363" s="197"/>
      <c r="F363" s="197"/>
      <c r="G363" s="197"/>
      <c r="H363" s="197"/>
      <c r="I363" s="197"/>
      <c r="J363" s="197"/>
      <c r="K363" s="197"/>
      <c r="L363" s="197"/>
      <c r="M363" s="197"/>
      <c r="N363" s="197"/>
      <c r="O363" s="197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</row>
    <row r="364" ht="61.5" customHeight="1">
      <c r="A364" s="197"/>
      <c r="B364" s="197"/>
      <c r="C364" s="197"/>
      <c r="D364" s="197"/>
      <c r="E364" s="197"/>
      <c r="F364" s="197"/>
      <c r="G364" s="197"/>
      <c r="H364" s="197"/>
      <c r="I364" s="197"/>
      <c r="J364" s="197"/>
      <c r="K364" s="197"/>
      <c r="L364" s="197"/>
      <c r="M364" s="197"/>
      <c r="N364" s="197"/>
      <c r="O364" s="197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</row>
    <row r="365" ht="61.5" customHeight="1">
      <c r="A365" s="197"/>
      <c r="B365" s="197"/>
      <c r="C365" s="197"/>
      <c r="D365" s="197"/>
      <c r="E365" s="197"/>
      <c r="F365" s="197"/>
      <c r="G365" s="197"/>
      <c r="H365" s="197"/>
      <c r="I365" s="197"/>
      <c r="J365" s="197"/>
      <c r="K365" s="197"/>
      <c r="L365" s="197"/>
      <c r="M365" s="197"/>
      <c r="N365" s="197"/>
      <c r="O365" s="197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</row>
    <row r="366" ht="61.5" customHeight="1">
      <c r="A366" s="197"/>
      <c r="B366" s="197"/>
      <c r="C366" s="197"/>
      <c r="D366" s="197"/>
      <c r="E366" s="197"/>
      <c r="F366" s="197"/>
      <c r="G366" s="197"/>
      <c r="H366" s="197"/>
      <c r="I366" s="197"/>
      <c r="J366" s="197"/>
      <c r="K366" s="197"/>
      <c r="L366" s="197"/>
      <c r="M366" s="197"/>
      <c r="N366" s="197"/>
      <c r="O366" s="197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</row>
    <row r="367" ht="61.5" customHeight="1">
      <c r="A367" s="197"/>
      <c r="B367" s="197"/>
      <c r="C367" s="197"/>
      <c r="D367" s="197"/>
      <c r="E367" s="197"/>
      <c r="F367" s="197"/>
      <c r="G367" s="197"/>
      <c r="H367" s="197"/>
      <c r="I367" s="197"/>
      <c r="J367" s="197"/>
      <c r="K367" s="197"/>
      <c r="L367" s="197"/>
      <c r="M367" s="197"/>
      <c r="N367" s="197"/>
      <c r="O367" s="197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</row>
    <row r="368" ht="61.5" customHeight="1">
      <c r="A368" s="197"/>
      <c r="B368" s="197"/>
      <c r="C368" s="197"/>
      <c r="D368" s="197"/>
      <c r="E368" s="197"/>
      <c r="F368" s="197"/>
      <c r="G368" s="197"/>
      <c r="H368" s="197"/>
      <c r="I368" s="197"/>
      <c r="J368" s="197"/>
      <c r="K368" s="197"/>
      <c r="L368" s="197"/>
      <c r="M368" s="197"/>
      <c r="N368" s="197"/>
      <c r="O368" s="197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</row>
    <row r="369" ht="61.5" customHeight="1">
      <c r="A369" s="197"/>
      <c r="B369" s="197"/>
      <c r="C369" s="197"/>
      <c r="D369" s="197"/>
      <c r="E369" s="197"/>
      <c r="F369" s="197"/>
      <c r="G369" s="197"/>
      <c r="H369" s="197"/>
      <c r="I369" s="197"/>
      <c r="J369" s="197"/>
      <c r="K369" s="197"/>
      <c r="L369" s="197"/>
      <c r="M369" s="197"/>
      <c r="N369" s="197"/>
      <c r="O369" s="197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</row>
    <row r="370" ht="61.5" customHeight="1">
      <c r="A370" s="197"/>
      <c r="B370" s="197"/>
      <c r="C370" s="197"/>
      <c r="D370" s="197"/>
      <c r="E370" s="197"/>
      <c r="F370" s="197"/>
      <c r="G370" s="197"/>
      <c r="H370" s="197"/>
      <c r="I370" s="197"/>
      <c r="J370" s="197"/>
      <c r="K370" s="197"/>
      <c r="L370" s="197"/>
      <c r="M370" s="197"/>
      <c r="N370" s="197"/>
      <c r="O370" s="197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</row>
    <row r="371" ht="61.5" customHeight="1">
      <c r="A371" s="197"/>
      <c r="B371" s="197"/>
      <c r="C371" s="197"/>
      <c r="D371" s="197"/>
      <c r="E371" s="197"/>
      <c r="F371" s="197"/>
      <c r="G371" s="197"/>
      <c r="H371" s="197"/>
      <c r="I371" s="197"/>
      <c r="J371" s="197"/>
      <c r="K371" s="197"/>
      <c r="L371" s="197"/>
      <c r="M371" s="197"/>
      <c r="N371" s="197"/>
      <c r="O371" s="197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</row>
    <row r="372" ht="61.5" customHeight="1">
      <c r="A372" s="197"/>
      <c r="B372" s="197"/>
      <c r="C372" s="197"/>
      <c r="D372" s="197"/>
      <c r="E372" s="197"/>
      <c r="F372" s="197"/>
      <c r="G372" s="197"/>
      <c r="H372" s="197"/>
      <c r="I372" s="197"/>
      <c r="J372" s="197"/>
      <c r="K372" s="197"/>
      <c r="L372" s="197"/>
      <c r="M372" s="197"/>
      <c r="N372" s="197"/>
      <c r="O372" s="197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</row>
    <row r="373" ht="61.5" customHeight="1">
      <c r="A373" s="197"/>
      <c r="B373" s="197"/>
      <c r="C373" s="197"/>
      <c r="D373" s="197"/>
      <c r="E373" s="197"/>
      <c r="F373" s="197"/>
      <c r="G373" s="197"/>
      <c r="H373" s="197"/>
      <c r="I373" s="197"/>
      <c r="J373" s="197"/>
      <c r="K373" s="197"/>
      <c r="L373" s="197"/>
      <c r="M373" s="197"/>
      <c r="N373" s="197"/>
      <c r="O373" s="197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</row>
    <row r="374" ht="61.5" customHeight="1">
      <c r="A374" s="197"/>
      <c r="B374" s="197"/>
      <c r="C374" s="197"/>
      <c r="D374" s="197"/>
      <c r="E374" s="197"/>
      <c r="F374" s="197"/>
      <c r="G374" s="197"/>
      <c r="H374" s="197"/>
      <c r="I374" s="197"/>
      <c r="J374" s="197"/>
      <c r="K374" s="197"/>
      <c r="L374" s="197"/>
      <c r="M374" s="197"/>
      <c r="N374" s="197"/>
      <c r="O374" s="197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</row>
    <row r="375" ht="61.5" customHeight="1">
      <c r="A375" s="197"/>
      <c r="B375" s="197"/>
      <c r="C375" s="197"/>
      <c r="D375" s="197"/>
      <c r="E375" s="197"/>
      <c r="F375" s="197"/>
      <c r="G375" s="197"/>
      <c r="H375" s="197"/>
      <c r="I375" s="197"/>
      <c r="J375" s="197"/>
      <c r="K375" s="197"/>
      <c r="L375" s="197"/>
      <c r="M375" s="197"/>
      <c r="N375" s="197"/>
      <c r="O375" s="197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</row>
    <row r="376" ht="61.5" customHeight="1">
      <c r="A376" s="197"/>
      <c r="B376" s="197"/>
      <c r="C376" s="197"/>
      <c r="D376" s="197"/>
      <c r="E376" s="197"/>
      <c r="F376" s="197"/>
      <c r="G376" s="197"/>
      <c r="H376" s="197"/>
      <c r="I376" s="197"/>
      <c r="J376" s="197"/>
      <c r="K376" s="197"/>
      <c r="L376" s="197"/>
      <c r="M376" s="197"/>
      <c r="N376" s="197"/>
      <c r="O376" s="197"/>
      <c r="P376" s="197"/>
      <c r="Q376" s="197"/>
      <c r="R376" s="197"/>
      <c r="S376" s="197"/>
      <c r="T376" s="197"/>
      <c r="U376" s="197"/>
      <c r="V376" s="197"/>
      <c r="W376" s="197"/>
      <c r="X376" s="197"/>
      <c r="Y376" s="197"/>
      <c r="Z376" s="197"/>
    </row>
    <row r="377" ht="61.5" customHeight="1">
      <c r="A377" s="197"/>
      <c r="B377" s="197"/>
      <c r="C377" s="197"/>
      <c r="D377" s="197"/>
      <c r="E377" s="197"/>
      <c r="F377" s="197"/>
      <c r="G377" s="197"/>
      <c r="H377" s="197"/>
      <c r="I377" s="197"/>
      <c r="J377" s="197"/>
      <c r="K377" s="197"/>
      <c r="L377" s="197"/>
      <c r="M377" s="197"/>
      <c r="N377" s="197"/>
      <c r="O377" s="197"/>
      <c r="P377" s="197"/>
      <c r="Q377" s="197"/>
      <c r="R377" s="197"/>
      <c r="S377" s="197"/>
      <c r="T377" s="197"/>
      <c r="U377" s="197"/>
      <c r="V377" s="197"/>
      <c r="W377" s="197"/>
      <c r="X377" s="197"/>
      <c r="Y377" s="197"/>
      <c r="Z377" s="197"/>
    </row>
    <row r="378" ht="61.5" customHeight="1">
      <c r="A378" s="197"/>
      <c r="B378" s="197"/>
      <c r="C378" s="197"/>
      <c r="D378" s="197"/>
      <c r="E378" s="197"/>
      <c r="F378" s="197"/>
      <c r="G378" s="197"/>
      <c r="H378" s="197"/>
      <c r="I378" s="197"/>
      <c r="J378" s="197"/>
      <c r="K378" s="197"/>
      <c r="L378" s="197"/>
      <c r="M378" s="197"/>
      <c r="N378" s="197"/>
      <c r="O378" s="197"/>
      <c r="P378" s="197"/>
      <c r="Q378" s="197"/>
      <c r="R378" s="197"/>
      <c r="S378" s="197"/>
      <c r="T378" s="197"/>
      <c r="U378" s="197"/>
      <c r="V378" s="197"/>
      <c r="W378" s="197"/>
      <c r="X378" s="197"/>
      <c r="Y378" s="197"/>
      <c r="Z378" s="197"/>
    </row>
    <row r="379" ht="61.5" customHeight="1">
      <c r="A379" s="197"/>
      <c r="B379" s="197"/>
      <c r="C379" s="197"/>
      <c r="D379" s="197"/>
      <c r="E379" s="197"/>
      <c r="F379" s="197"/>
      <c r="G379" s="197"/>
      <c r="H379" s="197"/>
      <c r="I379" s="197"/>
      <c r="J379" s="197"/>
      <c r="K379" s="197"/>
      <c r="L379" s="197"/>
      <c r="M379" s="197"/>
      <c r="N379" s="197"/>
      <c r="O379" s="197"/>
      <c r="P379" s="197"/>
      <c r="Q379" s="197"/>
      <c r="R379" s="197"/>
      <c r="S379" s="197"/>
      <c r="T379" s="197"/>
      <c r="U379" s="197"/>
      <c r="V379" s="197"/>
      <c r="W379" s="197"/>
      <c r="X379" s="197"/>
      <c r="Y379" s="197"/>
      <c r="Z379" s="197"/>
    </row>
    <row r="380" ht="61.5" customHeight="1">
      <c r="A380" s="197"/>
      <c r="B380" s="197"/>
      <c r="C380" s="197"/>
      <c r="D380" s="197"/>
      <c r="E380" s="197"/>
      <c r="F380" s="197"/>
      <c r="G380" s="197"/>
      <c r="H380" s="197"/>
      <c r="I380" s="197"/>
      <c r="J380" s="197"/>
      <c r="K380" s="197"/>
      <c r="L380" s="197"/>
      <c r="M380" s="197"/>
      <c r="N380" s="197"/>
      <c r="O380" s="197"/>
      <c r="P380" s="197"/>
      <c r="Q380" s="197"/>
      <c r="R380" s="197"/>
      <c r="S380" s="197"/>
      <c r="T380" s="197"/>
      <c r="U380" s="197"/>
      <c r="V380" s="197"/>
      <c r="W380" s="197"/>
      <c r="X380" s="197"/>
      <c r="Y380" s="197"/>
      <c r="Z380" s="197"/>
    </row>
    <row r="381" ht="61.5" customHeight="1">
      <c r="A381" s="197"/>
      <c r="B381" s="197"/>
      <c r="C381" s="197"/>
      <c r="D381" s="197"/>
      <c r="E381" s="197"/>
      <c r="F381" s="197"/>
      <c r="G381" s="197"/>
      <c r="H381" s="197"/>
      <c r="I381" s="197"/>
      <c r="J381" s="197"/>
      <c r="K381" s="197"/>
      <c r="L381" s="197"/>
      <c r="M381" s="197"/>
      <c r="N381" s="197"/>
      <c r="O381" s="197"/>
      <c r="P381" s="197"/>
      <c r="Q381" s="197"/>
      <c r="R381" s="197"/>
      <c r="S381" s="197"/>
      <c r="T381" s="197"/>
      <c r="U381" s="197"/>
      <c r="V381" s="197"/>
      <c r="W381" s="197"/>
      <c r="X381" s="197"/>
      <c r="Y381" s="197"/>
      <c r="Z381" s="197"/>
    </row>
    <row r="382" ht="61.5" customHeight="1">
      <c r="A382" s="197"/>
      <c r="B382" s="197"/>
      <c r="C382" s="197"/>
      <c r="D382" s="197"/>
      <c r="E382" s="197"/>
      <c r="F382" s="197"/>
      <c r="G382" s="197"/>
      <c r="H382" s="197"/>
      <c r="I382" s="197"/>
      <c r="J382" s="197"/>
      <c r="K382" s="197"/>
      <c r="L382" s="197"/>
      <c r="M382" s="197"/>
      <c r="N382" s="197"/>
      <c r="O382" s="197"/>
      <c r="P382" s="197"/>
      <c r="Q382" s="197"/>
      <c r="R382" s="197"/>
      <c r="S382" s="197"/>
      <c r="T382" s="197"/>
      <c r="U382" s="197"/>
      <c r="V382" s="197"/>
      <c r="W382" s="197"/>
      <c r="X382" s="197"/>
      <c r="Y382" s="197"/>
      <c r="Z382" s="197"/>
    </row>
    <row r="383" ht="61.5" customHeight="1">
      <c r="A383" s="197"/>
      <c r="B383" s="197"/>
      <c r="C383" s="197"/>
      <c r="D383" s="197"/>
      <c r="E383" s="197"/>
      <c r="F383" s="197"/>
      <c r="G383" s="197"/>
      <c r="H383" s="197"/>
      <c r="I383" s="197"/>
      <c r="J383" s="197"/>
      <c r="K383" s="197"/>
      <c r="L383" s="197"/>
      <c r="M383" s="197"/>
      <c r="N383" s="197"/>
      <c r="O383" s="197"/>
      <c r="P383" s="197"/>
      <c r="Q383" s="197"/>
      <c r="R383" s="197"/>
      <c r="S383" s="197"/>
      <c r="T383" s="197"/>
      <c r="U383" s="197"/>
      <c r="V383" s="197"/>
      <c r="W383" s="197"/>
      <c r="X383" s="197"/>
      <c r="Y383" s="197"/>
      <c r="Z383" s="197"/>
    </row>
    <row r="384" ht="61.5" customHeight="1">
      <c r="A384" s="197"/>
      <c r="B384" s="197"/>
      <c r="C384" s="197"/>
      <c r="D384" s="197"/>
      <c r="E384" s="197"/>
      <c r="F384" s="197"/>
      <c r="G384" s="197"/>
      <c r="H384" s="197"/>
      <c r="I384" s="197"/>
      <c r="J384" s="197"/>
      <c r="K384" s="197"/>
      <c r="L384" s="197"/>
      <c r="M384" s="197"/>
      <c r="N384" s="197"/>
      <c r="O384" s="197"/>
      <c r="P384" s="197"/>
      <c r="Q384" s="197"/>
      <c r="R384" s="197"/>
      <c r="S384" s="197"/>
      <c r="T384" s="197"/>
      <c r="U384" s="197"/>
      <c r="V384" s="197"/>
      <c r="W384" s="197"/>
      <c r="X384" s="197"/>
      <c r="Y384" s="197"/>
      <c r="Z384" s="197"/>
    </row>
    <row r="385" ht="61.5" customHeight="1">
      <c r="A385" s="197"/>
      <c r="B385" s="197"/>
      <c r="C385" s="197"/>
      <c r="D385" s="197"/>
      <c r="E385" s="197"/>
      <c r="F385" s="197"/>
      <c r="G385" s="197"/>
      <c r="H385" s="197"/>
      <c r="I385" s="197"/>
      <c r="J385" s="197"/>
      <c r="K385" s="197"/>
      <c r="L385" s="197"/>
      <c r="M385" s="197"/>
      <c r="N385" s="197"/>
      <c r="O385" s="197"/>
      <c r="P385" s="197"/>
      <c r="Q385" s="197"/>
      <c r="R385" s="197"/>
      <c r="S385" s="197"/>
      <c r="T385" s="197"/>
      <c r="U385" s="197"/>
      <c r="V385" s="197"/>
      <c r="W385" s="197"/>
      <c r="X385" s="197"/>
      <c r="Y385" s="197"/>
      <c r="Z385" s="197"/>
    </row>
    <row r="386" ht="61.5" customHeight="1">
      <c r="A386" s="197"/>
      <c r="B386" s="197"/>
      <c r="C386" s="197"/>
      <c r="D386" s="197"/>
      <c r="E386" s="197"/>
      <c r="F386" s="197"/>
      <c r="G386" s="197"/>
      <c r="H386" s="197"/>
      <c r="I386" s="197"/>
      <c r="J386" s="197"/>
      <c r="K386" s="197"/>
      <c r="L386" s="197"/>
      <c r="M386" s="197"/>
      <c r="N386" s="197"/>
      <c r="O386" s="197"/>
      <c r="P386" s="197"/>
      <c r="Q386" s="197"/>
      <c r="R386" s="197"/>
      <c r="S386" s="197"/>
      <c r="T386" s="197"/>
      <c r="U386" s="197"/>
      <c r="V386" s="197"/>
      <c r="W386" s="197"/>
      <c r="X386" s="197"/>
      <c r="Y386" s="197"/>
      <c r="Z386" s="197"/>
    </row>
    <row r="387" ht="61.5" customHeight="1">
      <c r="A387" s="197"/>
      <c r="B387" s="197"/>
      <c r="C387" s="197"/>
      <c r="D387" s="197"/>
      <c r="E387" s="197"/>
      <c r="F387" s="197"/>
      <c r="G387" s="197"/>
      <c r="H387" s="197"/>
      <c r="I387" s="197"/>
      <c r="J387" s="197"/>
      <c r="K387" s="197"/>
      <c r="L387" s="197"/>
      <c r="M387" s="197"/>
      <c r="N387" s="197"/>
      <c r="O387" s="197"/>
      <c r="P387" s="197"/>
      <c r="Q387" s="197"/>
      <c r="R387" s="197"/>
      <c r="S387" s="197"/>
      <c r="T387" s="197"/>
      <c r="U387" s="197"/>
      <c r="V387" s="197"/>
      <c r="W387" s="197"/>
      <c r="X387" s="197"/>
      <c r="Y387" s="197"/>
      <c r="Z387" s="197"/>
    </row>
    <row r="388" ht="61.5" customHeight="1">
      <c r="A388" s="197"/>
      <c r="B388" s="197"/>
      <c r="C388" s="197"/>
      <c r="D388" s="197"/>
      <c r="E388" s="197"/>
      <c r="F388" s="197"/>
      <c r="G388" s="197"/>
      <c r="H388" s="197"/>
      <c r="I388" s="197"/>
      <c r="J388" s="197"/>
      <c r="K388" s="197"/>
      <c r="L388" s="197"/>
      <c r="M388" s="197"/>
      <c r="N388" s="197"/>
      <c r="O388" s="197"/>
      <c r="P388" s="197"/>
      <c r="Q388" s="197"/>
      <c r="R388" s="197"/>
      <c r="S388" s="197"/>
      <c r="T388" s="197"/>
      <c r="U388" s="197"/>
      <c r="V388" s="197"/>
      <c r="W388" s="197"/>
      <c r="X388" s="197"/>
      <c r="Y388" s="197"/>
      <c r="Z388" s="197"/>
    </row>
    <row r="389" ht="61.5" customHeight="1">
      <c r="A389" s="197"/>
      <c r="B389" s="197"/>
      <c r="C389" s="197"/>
      <c r="D389" s="197"/>
      <c r="E389" s="197"/>
      <c r="F389" s="197"/>
      <c r="G389" s="197"/>
      <c r="H389" s="197"/>
      <c r="I389" s="197"/>
      <c r="J389" s="197"/>
      <c r="K389" s="197"/>
      <c r="L389" s="197"/>
      <c r="M389" s="197"/>
      <c r="N389" s="197"/>
      <c r="O389" s="197"/>
      <c r="P389" s="197"/>
      <c r="Q389" s="197"/>
      <c r="R389" s="197"/>
      <c r="S389" s="197"/>
      <c r="T389" s="197"/>
      <c r="U389" s="197"/>
      <c r="V389" s="197"/>
      <c r="W389" s="197"/>
      <c r="X389" s="197"/>
      <c r="Y389" s="197"/>
      <c r="Z389" s="197"/>
    </row>
    <row r="390" ht="61.5" customHeight="1">
      <c r="A390" s="197"/>
      <c r="B390" s="197"/>
      <c r="C390" s="197"/>
      <c r="D390" s="197"/>
      <c r="E390" s="197"/>
      <c r="F390" s="197"/>
      <c r="G390" s="197"/>
      <c r="H390" s="197"/>
      <c r="I390" s="197"/>
      <c r="J390" s="197"/>
      <c r="K390" s="197"/>
      <c r="L390" s="197"/>
      <c r="M390" s="197"/>
      <c r="N390" s="197"/>
      <c r="O390" s="197"/>
      <c r="P390" s="197"/>
      <c r="Q390" s="197"/>
      <c r="R390" s="197"/>
      <c r="S390" s="197"/>
      <c r="T390" s="197"/>
      <c r="U390" s="197"/>
      <c r="V390" s="197"/>
      <c r="W390" s="197"/>
      <c r="X390" s="197"/>
      <c r="Y390" s="197"/>
      <c r="Z390" s="197"/>
    </row>
    <row r="391" ht="61.5" customHeight="1">
      <c r="A391" s="197"/>
      <c r="B391" s="197"/>
      <c r="C391" s="197"/>
      <c r="D391" s="197"/>
      <c r="E391" s="197"/>
      <c r="F391" s="197"/>
      <c r="G391" s="197"/>
      <c r="H391" s="197"/>
      <c r="I391" s="197"/>
      <c r="J391" s="197"/>
      <c r="K391" s="197"/>
      <c r="L391" s="197"/>
      <c r="M391" s="197"/>
      <c r="N391" s="197"/>
      <c r="O391" s="197"/>
      <c r="P391" s="197"/>
      <c r="Q391" s="197"/>
      <c r="R391" s="197"/>
      <c r="S391" s="197"/>
      <c r="T391" s="197"/>
      <c r="U391" s="197"/>
      <c r="V391" s="197"/>
      <c r="W391" s="197"/>
      <c r="X391" s="197"/>
      <c r="Y391" s="197"/>
      <c r="Z391" s="197"/>
    </row>
    <row r="392" ht="61.5" customHeight="1">
      <c r="A392" s="197"/>
      <c r="B392" s="197"/>
      <c r="C392" s="197"/>
      <c r="D392" s="197"/>
      <c r="E392" s="197"/>
      <c r="F392" s="197"/>
      <c r="G392" s="197"/>
      <c r="H392" s="197"/>
      <c r="I392" s="197"/>
      <c r="J392" s="197"/>
      <c r="K392" s="197"/>
      <c r="L392" s="197"/>
      <c r="M392" s="197"/>
      <c r="N392" s="197"/>
      <c r="O392" s="197"/>
      <c r="P392" s="197"/>
      <c r="Q392" s="197"/>
      <c r="R392" s="197"/>
      <c r="S392" s="197"/>
      <c r="T392" s="197"/>
      <c r="U392" s="197"/>
      <c r="V392" s="197"/>
      <c r="W392" s="197"/>
      <c r="X392" s="197"/>
      <c r="Y392" s="197"/>
      <c r="Z392" s="197"/>
    </row>
    <row r="393" ht="61.5" customHeight="1">
      <c r="A393" s="197"/>
      <c r="B393" s="197"/>
      <c r="C393" s="197"/>
      <c r="D393" s="197"/>
      <c r="E393" s="197"/>
      <c r="F393" s="197"/>
      <c r="G393" s="197"/>
      <c r="H393" s="197"/>
      <c r="I393" s="197"/>
      <c r="J393" s="197"/>
      <c r="K393" s="197"/>
      <c r="L393" s="197"/>
      <c r="M393" s="197"/>
      <c r="N393" s="197"/>
      <c r="O393" s="197"/>
      <c r="P393" s="197"/>
      <c r="Q393" s="197"/>
      <c r="R393" s="197"/>
      <c r="S393" s="197"/>
      <c r="T393" s="197"/>
      <c r="U393" s="197"/>
      <c r="V393" s="197"/>
      <c r="W393" s="197"/>
      <c r="X393" s="197"/>
      <c r="Y393" s="197"/>
      <c r="Z393" s="197"/>
    </row>
    <row r="394" ht="61.5" customHeight="1">
      <c r="A394" s="197"/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7"/>
      <c r="X394" s="197"/>
      <c r="Y394" s="197"/>
      <c r="Z394" s="197"/>
    </row>
    <row r="395" ht="61.5" customHeight="1">
      <c r="A395" s="197"/>
      <c r="B395" s="197"/>
      <c r="C395" s="197"/>
      <c r="D395" s="197"/>
      <c r="E395" s="197"/>
      <c r="F395" s="197"/>
      <c r="G395" s="197"/>
      <c r="H395" s="197"/>
      <c r="I395" s="197"/>
      <c r="J395" s="197"/>
      <c r="K395" s="197"/>
      <c r="L395" s="197"/>
      <c r="M395" s="197"/>
      <c r="N395" s="197"/>
      <c r="O395" s="197"/>
      <c r="P395" s="197"/>
      <c r="Q395" s="197"/>
      <c r="R395" s="197"/>
      <c r="S395" s="197"/>
      <c r="T395" s="197"/>
      <c r="U395" s="197"/>
      <c r="V395" s="197"/>
      <c r="W395" s="197"/>
      <c r="X395" s="197"/>
      <c r="Y395" s="197"/>
      <c r="Z395" s="197"/>
    </row>
    <row r="396" ht="61.5" customHeight="1">
      <c r="A396" s="197"/>
      <c r="B396" s="197"/>
      <c r="C396" s="197"/>
      <c r="D396" s="197"/>
      <c r="E396" s="197"/>
      <c r="F396" s="197"/>
      <c r="G396" s="197"/>
      <c r="H396" s="197"/>
      <c r="I396" s="197"/>
      <c r="J396" s="197"/>
      <c r="K396" s="197"/>
      <c r="L396" s="197"/>
      <c r="M396" s="197"/>
      <c r="N396" s="197"/>
      <c r="O396" s="197"/>
      <c r="P396" s="197"/>
      <c r="Q396" s="197"/>
      <c r="R396" s="197"/>
      <c r="S396" s="197"/>
      <c r="T396" s="197"/>
      <c r="U396" s="197"/>
      <c r="V396" s="197"/>
      <c r="W396" s="197"/>
      <c r="X396" s="197"/>
      <c r="Y396" s="197"/>
      <c r="Z396" s="197"/>
    </row>
    <row r="397" ht="61.5" customHeight="1">
      <c r="A397" s="197"/>
      <c r="B397" s="197"/>
      <c r="C397" s="197"/>
      <c r="D397" s="197"/>
      <c r="E397" s="197"/>
      <c r="F397" s="197"/>
      <c r="G397" s="197"/>
      <c r="H397" s="197"/>
      <c r="I397" s="197"/>
      <c r="J397" s="197"/>
      <c r="K397" s="197"/>
      <c r="L397" s="197"/>
      <c r="M397" s="197"/>
      <c r="N397" s="197"/>
      <c r="O397" s="197"/>
      <c r="P397" s="197"/>
      <c r="Q397" s="197"/>
      <c r="R397" s="197"/>
      <c r="S397" s="197"/>
      <c r="T397" s="197"/>
      <c r="U397" s="197"/>
      <c r="V397" s="197"/>
      <c r="W397" s="197"/>
      <c r="X397" s="197"/>
      <c r="Y397" s="197"/>
      <c r="Z397" s="197"/>
    </row>
    <row r="398" ht="61.5" customHeight="1">
      <c r="A398" s="197"/>
      <c r="B398" s="197"/>
      <c r="C398" s="197"/>
      <c r="D398" s="197"/>
      <c r="E398" s="197"/>
      <c r="F398" s="197"/>
      <c r="G398" s="197"/>
      <c r="H398" s="197"/>
      <c r="I398" s="197"/>
      <c r="J398" s="197"/>
      <c r="K398" s="197"/>
      <c r="L398" s="197"/>
      <c r="M398" s="197"/>
      <c r="N398" s="197"/>
      <c r="O398" s="197"/>
      <c r="P398" s="197"/>
      <c r="Q398" s="197"/>
      <c r="R398" s="197"/>
      <c r="S398" s="197"/>
      <c r="T398" s="197"/>
      <c r="U398" s="197"/>
      <c r="V398" s="197"/>
      <c r="W398" s="197"/>
      <c r="X398" s="197"/>
      <c r="Y398" s="197"/>
      <c r="Z398" s="197"/>
    </row>
    <row r="399" ht="61.5" customHeight="1">
      <c r="A399" s="197"/>
      <c r="B399" s="197"/>
      <c r="C399" s="197"/>
      <c r="D399" s="197"/>
      <c r="E399" s="197"/>
      <c r="F399" s="197"/>
      <c r="G399" s="197"/>
      <c r="H399" s="197"/>
      <c r="I399" s="197"/>
      <c r="J399" s="197"/>
      <c r="K399" s="197"/>
      <c r="L399" s="197"/>
      <c r="M399" s="197"/>
      <c r="N399" s="197"/>
      <c r="O399" s="197"/>
      <c r="P399" s="197"/>
      <c r="Q399" s="197"/>
      <c r="R399" s="197"/>
      <c r="S399" s="197"/>
      <c r="T399" s="197"/>
      <c r="U399" s="197"/>
      <c r="V399" s="197"/>
      <c r="W399" s="197"/>
      <c r="X399" s="197"/>
      <c r="Y399" s="197"/>
      <c r="Z399" s="197"/>
    </row>
    <row r="400" ht="61.5" customHeight="1">
      <c r="A400" s="197"/>
      <c r="B400" s="197"/>
      <c r="C400" s="197"/>
      <c r="D400" s="197"/>
      <c r="E400" s="197"/>
      <c r="F400" s="197"/>
      <c r="G400" s="197"/>
      <c r="H400" s="197"/>
      <c r="I400" s="197"/>
      <c r="J400" s="197"/>
      <c r="K400" s="197"/>
      <c r="L400" s="197"/>
      <c r="M400" s="197"/>
      <c r="N400" s="197"/>
      <c r="O400" s="197"/>
      <c r="P400" s="197"/>
      <c r="Q400" s="197"/>
      <c r="R400" s="197"/>
      <c r="S400" s="197"/>
      <c r="T400" s="197"/>
      <c r="U400" s="197"/>
      <c r="V400" s="197"/>
      <c r="W400" s="197"/>
      <c r="X400" s="197"/>
      <c r="Y400" s="197"/>
      <c r="Z400" s="197"/>
    </row>
    <row r="401" ht="61.5" customHeight="1">
      <c r="A401" s="197"/>
      <c r="B401" s="197"/>
      <c r="C401" s="197"/>
      <c r="D401" s="197"/>
      <c r="E401" s="197"/>
      <c r="F401" s="197"/>
      <c r="G401" s="197"/>
      <c r="H401" s="197"/>
      <c r="I401" s="197"/>
      <c r="J401" s="197"/>
      <c r="K401" s="197"/>
      <c r="L401" s="197"/>
      <c r="M401" s="197"/>
      <c r="N401" s="197"/>
      <c r="O401" s="197"/>
      <c r="P401" s="197"/>
      <c r="Q401" s="197"/>
      <c r="R401" s="197"/>
      <c r="S401" s="197"/>
      <c r="T401" s="197"/>
      <c r="U401" s="197"/>
      <c r="V401" s="197"/>
      <c r="W401" s="197"/>
      <c r="X401" s="197"/>
      <c r="Y401" s="197"/>
      <c r="Z401" s="197"/>
    </row>
    <row r="402" ht="61.5" customHeight="1">
      <c r="A402" s="197"/>
      <c r="B402" s="197"/>
      <c r="C402" s="197"/>
      <c r="D402" s="197"/>
      <c r="E402" s="197"/>
      <c r="F402" s="197"/>
      <c r="G402" s="197"/>
      <c r="H402" s="197"/>
      <c r="I402" s="197"/>
      <c r="J402" s="197"/>
      <c r="K402" s="197"/>
      <c r="L402" s="197"/>
      <c r="M402" s="197"/>
      <c r="N402" s="197"/>
      <c r="O402" s="197"/>
      <c r="P402" s="197"/>
      <c r="Q402" s="197"/>
      <c r="R402" s="197"/>
      <c r="S402" s="197"/>
      <c r="T402" s="197"/>
      <c r="U402" s="197"/>
      <c r="V402" s="197"/>
      <c r="W402" s="197"/>
      <c r="X402" s="197"/>
      <c r="Y402" s="197"/>
      <c r="Z402" s="197"/>
    </row>
    <row r="403" ht="61.5" customHeight="1">
      <c r="A403" s="197"/>
      <c r="B403" s="197"/>
      <c r="C403" s="197"/>
      <c r="D403" s="197"/>
      <c r="E403" s="197"/>
      <c r="F403" s="197"/>
      <c r="G403" s="197"/>
      <c r="H403" s="197"/>
      <c r="I403" s="197"/>
      <c r="J403" s="197"/>
      <c r="K403" s="197"/>
      <c r="L403" s="197"/>
      <c r="M403" s="197"/>
      <c r="N403" s="197"/>
      <c r="O403" s="197"/>
      <c r="P403" s="197"/>
      <c r="Q403" s="197"/>
      <c r="R403" s="197"/>
      <c r="S403" s="197"/>
      <c r="T403" s="197"/>
      <c r="U403" s="197"/>
      <c r="V403" s="197"/>
      <c r="W403" s="197"/>
      <c r="X403" s="197"/>
      <c r="Y403" s="197"/>
      <c r="Z403" s="197"/>
    </row>
    <row r="404" ht="61.5" customHeight="1">
      <c r="A404" s="197"/>
      <c r="B404" s="197"/>
      <c r="C404" s="197"/>
      <c r="D404" s="197"/>
      <c r="E404" s="197"/>
      <c r="F404" s="197"/>
      <c r="G404" s="197"/>
      <c r="H404" s="197"/>
      <c r="I404" s="197"/>
      <c r="J404" s="197"/>
      <c r="K404" s="197"/>
      <c r="L404" s="197"/>
      <c r="M404" s="197"/>
      <c r="N404" s="197"/>
      <c r="O404" s="197"/>
      <c r="P404" s="197"/>
      <c r="Q404" s="197"/>
      <c r="R404" s="197"/>
      <c r="S404" s="197"/>
      <c r="T404" s="197"/>
      <c r="U404" s="197"/>
      <c r="V404" s="197"/>
      <c r="W404" s="197"/>
      <c r="X404" s="197"/>
      <c r="Y404" s="197"/>
      <c r="Z404" s="197"/>
    </row>
    <row r="405" ht="61.5" customHeight="1">
      <c r="A405" s="197"/>
      <c r="B405" s="197"/>
      <c r="C405" s="197"/>
      <c r="D405" s="197"/>
      <c r="E405" s="197"/>
      <c r="F405" s="197"/>
      <c r="G405" s="197"/>
      <c r="H405" s="197"/>
      <c r="I405" s="197"/>
      <c r="J405" s="197"/>
      <c r="K405" s="197"/>
      <c r="L405" s="197"/>
      <c r="M405" s="197"/>
      <c r="N405" s="197"/>
      <c r="O405" s="197"/>
      <c r="P405" s="197"/>
      <c r="Q405" s="197"/>
      <c r="R405" s="197"/>
      <c r="S405" s="197"/>
      <c r="T405" s="197"/>
      <c r="U405" s="197"/>
      <c r="V405" s="197"/>
      <c r="W405" s="197"/>
      <c r="X405" s="197"/>
      <c r="Y405" s="197"/>
      <c r="Z405" s="197"/>
    </row>
    <row r="406" ht="61.5" customHeight="1">
      <c r="A406" s="197"/>
      <c r="B406" s="197"/>
      <c r="C406" s="197"/>
      <c r="D406" s="197"/>
      <c r="E406" s="197"/>
      <c r="F406" s="197"/>
      <c r="G406" s="197"/>
      <c r="H406" s="197"/>
      <c r="I406" s="197"/>
      <c r="J406" s="197"/>
      <c r="K406" s="197"/>
      <c r="L406" s="197"/>
      <c r="M406" s="197"/>
      <c r="N406" s="197"/>
      <c r="O406" s="197"/>
      <c r="P406" s="197"/>
      <c r="Q406" s="197"/>
      <c r="R406" s="197"/>
      <c r="S406" s="197"/>
      <c r="T406" s="197"/>
      <c r="U406" s="197"/>
      <c r="V406" s="197"/>
      <c r="W406" s="197"/>
      <c r="X406" s="197"/>
      <c r="Y406" s="197"/>
      <c r="Z406" s="197"/>
    </row>
    <row r="407" ht="61.5" customHeight="1">
      <c r="A407" s="197"/>
      <c r="B407" s="197"/>
      <c r="C407" s="197"/>
      <c r="D407" s="197"/>
      <c r="E407" s="197"/>
      <c r="F407" s="197"/>
      <c r="G407" s="197"/>
      <c r="H407" s="197"/>
      <c r="I407" s="197"/>
      <c r="J407" s="197"/>
      <c r="K407" s="197"/>
      <c r="L407" s="197"/>
      <c r="M407" s="197"/>
      <c r="N407" s="197"/>
      <c r="O407" s="197"/>
      <c r="P407" s="197"/>
      <c r="Q407" s="197"/>
      <c r="R407" s="197"/>
      <c r="S407" s="197"/>
      <c r="T407" s="197"/>
      <c r="U407" s="197"/>
      <c r="V407" s="197"/>
      <c r="W407" s="197"/>
      <c r="X407" s="197"/>
      <c r="Y407" s="197"/>
      <c r="Z407" s="197"/>
    </row>
    <row r="408" ht="61.5" customHeight="1">
      <c r="A408" s="197"/>
      <c r="B408" s="197"/>
      <c r="C408" s="197"/>
      <c r="D408" s="197"/>
      <c r="E408" s="197"/>
      <c r="F408" s="197"/>
      <c r="G408" s="197"/>
      <c r="H408" s="197"/>
      <c r="I408" s="197"/>
      <c r="J408" s="197"/>
      <c r="K408" s="197"/>
      <c r="L408" s="197"/>
      <c r="M408" s="197"/>
      <c r="N408" s="197"/>
      <c r="O408" s="197"/>
      <c r="P408" s="197"/>
      <c r="Q408" s="197"/>
      <c r="R408" s="197"/>
      <c r="S408" s="197"/>
      <c r="T408" s="197"/>
      <c r="U408" s="197"/>
      <c r="V408" s="197"/>
      <c r="W408" s="197"/>
      <c r="X408" s="197"/>
      <c r="Y408" s="197"/>
      <c r="Z408" s="197"/>
    </row>
    <row r="409" ht="61.5" customHeight="1">
      <c r="A409" s="197"/>
      <c r="B409" s="197"/>
      <c r="C409" s="197"/>
      <c r="D409" s="197"/>
      <c r="E409" s="197"/>
      <c r="F409" s="197"/>
      <c r="G409" s="197"/>
      <c r="H409" s="197"/>
      <c r="I409" s="197"/>
      <c r="J409" s="197"/>
      <c r="K409" s="197"/>
      <c r="L409" s="197"/>
      <c r="M409" s="197"/>
      <c r="N409" s="197"/>
      <c r="O409" s="197"/>
      <c r="P409" s="197"/>
      <c r="Q409" s="197"/>
      <c r="R409" s="197"/>
      <c r="S409" s="197"/>
      <c r="T409" s="197"/>
      <c r="U409" s="197"/>
      <c r="V409" s="197"/>
      <c r="W409" s="197"/>
      <c r="X409" s="197"/>
      <c r="Y409" s="197"/>
      <c r="Z409" s="197"/>
    </row>
    <row r="410" ht="61.5" customHeight="1">
      <c r="A410" s="197"/>
      <c r="B410" s="197"/>
      <c r="C410" s="197"/>
      <c r="D410" s="197"/>
      <c r="E410" s="197"/>
      <c r="F410" s="197"/>
      <c r="G410" s="197"/>
      <c r="H410" s="197"/>
      <c r="I410" s="197"/>
      <c r="J410" s="197"/>
      <c r="K410" s="197"/>
      <c r="L410" s="197"/>
      <c r="M410" s="197"/>
      <c r="N410" s="197"/>
      <c r="O410" s="197"/>
      <c r="P410" s="197"/>
      <c r="Q410" s="197"/>
      <c r="R410" s="197"/>
      <c r="S410" s="197"/>
      <c r="T410" s="197"/>
      <c r="U410" s="197"/>
      <c r="V410" s="197"/>
      <c r="W410" s="197"/>
      <c r="X410" s="197"/>
      <c r="Y410" s="197"/>
      <c r="Z410" s="197"/>
    </row>
    <row r="411" ht="61.5" customHeight="1">
      <c r="A411" s="197"/>
      <c r="B411" s="197"/>
      <c r="C411" s="197"/>
      <c r="D411" s="197"/>
      <c r="E411" s="197"/>
      <c r="F411" s="197"/>
      <c r="G411" s="197"/>
      <c r="H411" s="197"/>
      <c r="I411" s="197"/>
      <c r="J411" s="197"/>
      <c r="K411" s="197"/>
      <c r="L411" s="197"/>
      <c r="M411" s="197"/>
      <c r="N411" s="197"/>
      <c r="O411" s="197"/>
      <c r="P411" s="197"/>
      <c r="Q411" s="197"/>
      <c r="R411" s="197"/>
      <c r="S411" s="197"/>
      <c r="T411" s="197"/>
      <c r="U411" s="197"/>
      <c r="V411" s="197"/>
      <c r="W411" s="197"/>
      <c r="X411" s="197"/>
      <c r="Y411" s="197"/>
      <c r="Z411" s="197"/>
    </row>
    <row r="412" ht="61.5" customHeight="1">
      <c r="A412" s="197"/>
      <c r="B412" s="197"/>
      <c r="C412" s="197"/>
      <c r="D412" s="197"/>
      <c r="E412" s="197"/>
      <c r="F412" s="197"/>
      <c r="G412" s="197"/>
      <c r="H412" s="197"/>
      <c r="I412" s="197"/>
      <c r="J412" s="197"/>
      <c r="K412" s="197"/>
      <c r="L412" s="197"/>
      <c r="M412" s="197"/>
      <c r="N412" s="197"/>
      <c r="O412" s="197"/>
      <c r="P412" s="197"/>
      <c r="Q412" s="197"/>
      <c r="R412" s="197"/>
      <c r="S412" s="197"/>
      <c r="T412" s="197"/>
      <c r="U412" s="197"/>
      <c r="V412" s="197"/>
      <c r="W412" s="197"/>
      <c r="X412" s="197"/>
      <c r="Y412" s="197"/>
      <c r="Z412" s="197"/>
    </row>
    <row r="413" ht="61.5" customHeight="1">
      <c r="A413" s="197"/>
      <c r="B413" s="197"/>
      <c r="C413" s="197"/>
      <c r="D413" s="197"/>
      <c r="E413" s="197"/>
      <c r="F413" s="197"/>
      <c r="G413" s="197"/>
      <c r="H413" s="197"/>
      <c r="I413" s="197"/>
      <c r="J413" s="197"/>
      <c r="K413" s="197"/>
      <c r="L413" s="197"/>
      <c r="M413" s="197"/>
      <c r="N413" s="197"/>
      <c r="O413" s="197"/>
      <c r="P413" s="197"/>
      <c r="Q413" s="197"/>
      <c r="R413" s="197"/>
      <c r="S413" s="197"/>
      <c r="T413" s="197"/>
      <c r="U413" s="197"/>
      <c r="V413" s="197"/>
      <c r="W413" s="197"/>
      <c r="X413" s="197"/>
      <c r="Y413" s="197"/>
      <c r="Z413" s="197"/>
    </row>
    <row r="414" ht="61.5" customHeight="1">
      <c r="A414" s="197"/>
      <c r="B414" s="197"/>
      <c r="C414" s="197"/>
      <c r="D414" s="197"/>
      <c r="E414" s="197"/>
      <c r="F414" s="197"/>
      <c r="G414" s="197"/>
      <c r="H414" s="197"/>
      <c r="I414" s="197"/>
      <c r="J414" s="197"/>
      <c r="K414" s="197"/>
      <c r="L414" s="197"/>
      <c r="M414" s="197"/>
      <c r="N414" s="197"/>
      <c r="O414" s="197"/>
      <c r="P414" s="197"/>
      <c r="Q414" s="197"/>
      <c r="R414" s="197"/>
      <c r="S414" s="197"/>
      <c r="T414" s="197"/>
      <c r="U414" s="197"/>
      <c r="V414" s="197"/>
      <c r="W414" s="197"/>
      <c r="X414" s="197"/>
      <c r="Y414" s="197"/>
      <c r="Z414" s="197"/>
    </row>
    <row r="415" ht="61.5" customHeight="1">
      <c r="A415" s="197"/>
      <c r="B415" s="197"/>
      <c r="C415" s="197"/>
      <c r="D415" s="197"/>
      <c r="E415" s="197"/>
      <c r="F415" s="197"/>
      <c r="G415" s="197"/>
      <c r="H415" s="197"/>
      <c r="I415" s="197"/>
      <c r="J415" s="197"/>
      <c r="K415" s="197"/>
      <c r="L415" s="197"/>
      <c r="M415" s="197"/>
      <c r="N415" s="197"/>
      <c r="O415" s="197"/>
      <c r="P415" s="197"/>
      <c r="Q415" s="197"/>
      <c r="R415" s="197"/>
      <c r="S415" s="197"/>
      <c r="T415" s="197"/>
      <c r="U415" s="197"/>
      <c r="V415" s="197"/>
      <c r="W415" s="197"/>
      <c r="X415" s="197"/>
      <c r="Y415" s="197"/>
      <c r="Z415" s="197"/>
    </row>
    <row r="416" ht="61.5" customHeight="1">
      <c r="A416" s="197"/>
      <c r="B416" s="197"/>
      <c r="C416" s="197"/>
      <c r="D416" s="197"/>
      <c r="E416" s="197"/>
      <c r="F416" s="197"/>
      <c r="G416" s="197"/>
      <c r="H416" s="197"/>
      <c r="I416" s="197"/>
      <c r="J416" s="197"/>
      <c r="K416" s="197"/>
      <c r="L416" s="197"/>
      <c r="M416" s="197"/>
      <c r="N416" s="197"/>
      <c r="O416" s="197"/>
      <c r="P416" s="197"/>
      <c r="Q416" s="197"/>
      <c r="R416" s="197"/>
      <c r="S416" s="197"/>
      <c r="T416" s="197"/>
      <c r="U416" s="197"/>
      <c r="V416" s="197"/>
      <c r="W416" s="197"/>
      <c r="X416" s="197"/>
      <c r="Y416" s="197"/>
      <c r="Z416" s="197"/>
    </row>
    <row r="417" ht="61.5" customHeight="1">
      <c r="A417" s="197"/>
      <c r="B417" s="197"/>
      <c r="C417" s="197"/>
      <c r="D417" s="197"/>
      <c r="E417" s="197"/>
      <c r="F417" s="197"/>
      <c r="G417" s="197"/>
      <c r="H417" s="197"/>
      <c r="I417" s="197"/>
      <c r="J417" s="197"/>
      <c r="K417" s="197"/>
      <c r="L417" s="197"/>
      <c r="M417" s="197"/>
      <c r="N417" s="197"/>
      <c r="O417" s="197"/>
      <c r="P417" s="197"/>
      <c r="Q417" s="197"/>
      <c r="R417" s="197"/>
      <c r="S417" s="197"/>
      <c r="T417" s="197"/>
      <c r="U417" s="197"/>
      <c r="V417" s="197"/>
      <c r="W417" s="197"/>
      <c r="X417" s="197"/>
      <c r="Y417" s="197"/>
      <c r="Z417" s="197"/>
    </row>
    <row r="418" ht="61.5" customHeight="1">
      <c r="A418" s="197"/>
      <c r="B418" s="197"/>
      <c r="C418" s="197"/>
      <c r="D418" s="197"/>
      <c r="E418" s="197"/>
      <c r="F418" s="197"/>
      <c r="G418" s="197"/>
      <c r="H418" s="197"/>
      <c r="I418" s="197"/>
      <c r="J418" s="197"/>
      <c r="K418" s="197"/>
      <c r="L418" s="197"/>
      <c r="M418" s="197"/>
      <c r="N418" s="197"/>
      <c r="O418" s="197"/>
      <c r="P418" s="197"/>
      <c r="Q418" s="197"/>
      <c r="R418" s="197"/>
      <c r="S418" s="197"/>
      <c r="T418" s="197"/>
      <c r="U418" s="197"/>
      <c r="V418" s="197"/>
      <c r="W418" s="197"/>
      <c r="X418" s="197"/>
      <c r="Y418" s="197"/>
      <c r="Z418" s="197"/>
    </row>
    <row r="419" ht="61.5" customHeight="1">
      <c r="A419" s="197"/>
      <c r="B419" s="197"/>
      <c r="C419" s="197"/>
      <c r="D419" s="197"/>
      <c r="E419" s="197"/>
      <c r="F419" s="197"/>
      <c r="G419" s="197"/>
      <c r="H419" s="197"/>
      <c r="I419" s="197"/>
      <c r="J419" s="197"/>
      <c r="K419" s="197"/>
      <c r="L419" s="197"/>
      <c r="M419" s="197"/>
      <c r="N419" s="197"/>
      <c r="O419" s="197"/>
      <c r="P419" s="197"/>
      <c r="Q419" s="197"/>
      <c r="R419" s="197"/>
      <c r="S419" s="197"/>
      <c r="T419" s="197"/>
      <c r="U419" s="197"/>
      <c r="V419" s="197"/>
      <c r="W419" s="197"/>
      <c r="X419" s="197"/>
      <c r="Y419" s="197"/>
      <c r="Z419" s="197"/>
    </row>
    <row r="420" ht="61.5" customHeight="1">
      <c r="A420" s="197"/>
      <c r="B420" s="197"/>
      <c r="C420" s="197"/>
      <c r="D420" s="197"/>
      <c r="E420" s="197"/>
      <c r="F420" s="197"/>
      <c r="G420" s="197"/>
      <c r="H420" s="197"/>
      <c r="I420" s="197"/>
      <c r="J420" s="197"/>
      <c r="K420" s="197"/>
      <c r="L420" s="197"/>
      <c r="M420" s="197"/>
      <c r="N420" s="197"/>
      <c r="O420" s="197"/>
      <c r="P420" s="197"/>
      <c r="Q420" s="197"/>
      <c r="R420" s="197"/>
      <c r="S420" s="197"/>
      <c r="T420" s="197"/>
      <c r="U420" s="197"/>
      <c r="V420" s="197"/>
      <c r="W420" s="197"/>
      <c r="X420" s="197"/>
      <c r="Y420" s="197"/>
      <c r="Z420" s="197"/>
    </row>
    <row r="421" ht="61.5" customHeight="1">
      <c r="A421" s="197"/>
      <c r="B421" s="197"/>
      <c r="C421" s="197"/>
      <c r="D421" s="197"/>
      <c r="E421" s="197"/>
      <c r="F421" s="197"/>
      <c r="G421" s="197"/>
      <c r="H421" s="197"/>
      <c r="I421" s="197"/>
      <c r="J421" s="197"/>
      <c r="K421" s="197"/>
      <c r="L421" s="197"/>
      <c r="M421" s="197"/>
      <c r="N421" s="197"/>
      <c r="O421" s="197"/>
      <c r="P421" s="197"/>
      <c r="Q421" s="197"/>
      <c r="R421" s="197"/>
      <c r="S421" s="197"/>
      <c r="T421" s="197"/>
      <c r="U421" s="197"/>
      <c r="V421" s="197"/>
      <c r="W421" s="197"/>
      <c r="X421" s="197"/>
      <c r="Y421" s="197"/>
      <c r="Z421" s="197"/>
    </row>
    <row r="422" ht="61.5" customHeight="1">
      <c r="A422" s="197"/>
      <c r="B422" s="197"/>
      <c r="C422" s="197"/>
      <c r="D422" s="197"/>
      <c r="E422" s="197"/>
      <c r="F422" s="197"/>
      <c r="G422" s="197"/>
      <c r="H422" s="197"/>
      <c r="I422" s="197"/>
      <c r="J422" s="197"/>
      <c r="K422" s="197"/>
      <c r="L422" s="197"/>
      <c r="M422" s="197"/>
      <c r="N422" s="197"/>
      <c r="O422" s="197"/>
      <c r="P422" s="197"/>
      <c r="Q422" s="197"/>
      <c r="R422" s="197"/>
      <c r="S422" s="197"/>
      <c r="T422" s="197"/>
      <c r="U422" s="197"/>
      <c r="V422" s="197"/>
      <c r="W422" s="197"/>
      <c r="X422" s="197"/>
      <c r="Y422" s="197"/>
      <c r="Z422" s="197"/>
    </row>
    <row r="423" ht="61.5" customHeight="1">
      <c r="A423" s="197"/>
      <c r="B423" s="197"/>
      <c r="C423" s="197"/>
      <c r="D423" s="197"/>
      <c r="E423" s="197"/>
      <c r="F423" s="197"/>
      <c r="G423" s="197"/>
      <c r="H423" s="197"/>
      <c r="I423" s="197"/>
      <c r="J423" s="197"/>
      <c r="K423" s="197"/>
      <c r="L423" s="197"/>
      <c r="M423" s="197"/>
      <c r="N423" s="197"/>
      <c r="O423" s="197"/>
      <c r="P423" s="197"/>
      <c r="Q423" s="197"/>
      <c r="R423" s="197"/>
      <c r="S423" s="197"/>
      <c r="T423" s="197"/>
      <c r="U423" s="197"/>
      <c r="V423" s="197"/>
      <c r="W423" s="197"/>
      <c r="X423" s="197"/>
      <c r="Y423" s="197"/>
      <c r="Z423" s="197"/>
    </row>
    <row r="424" ht="61.5" customHeight="1">
      <c r="A424" s="197"/>
      <c r="B424" s="197"/>
      <c r="C424" s="197"/>
      <c r="D424" s="197"/>
      <c r="E424" s="197"/>
      <c r="F424" s="197"/>
      <c r="G424" s="197"/>
      <c r="H424" s="197"/>
      <c r="I424" s="197"/>
      <c r="J424" s="197"/>
      <c r="K424" s="197"/>
      <c r="L424" s="197"/>
      <c r="M424" s="197"/>
      <c r="N424" s="197"/>
      <c r="O424" s="197"/>
      <c r="P424" s="197"/>
      <c r="Q424" s="197"/>
      <c r="R424" s="197"/>
      <c r="S424" s="197"/>
      <c r="T424" s="197"/>
      <c r="U424" s="197"/>
      <c r="V424" s="197"/>
      <c r="W424" s="197"/>
      <c r="X424" s="197"/>
      <c r="Y424" s="197"/>
      <c r="Z424" s="197"/>
    </row>
    <row r="425" ht="61.5" customHeight="1">
      <c r="A425" s="197"/>
      <c r="B425" s="197"/>
      <c r="C425" s="197"/>
      <c r="D425" s="197"/>
      <c r="E425" s="197"/>
      <c r="F425" s="197"/>
      <c r="G425" s="197"/>
      <c r="H425" s="197"/>
      <c r="I425" s="197"/>
      <c r="J425" s="197"/>
      <c r="K425" s="197"/>
      <c r="L425" s="197"/>
      <c r="M425" s="197"/>
      <c r="N425" s="197"/>
      <c r="O425" s="197"/>
      <c r="P425" s="197"/>
      <c r="Q425" s="197"/>
      <c r="R425" s="197"/>
      <c r="S425" s="197"/>
      <c r="T425" s="197"/>
      <c r="U425" s="197"/>
      <c r="V425" s="197"/>
      <c r="W425" s="197"/>
      <c r="X425" s="197"/>
      <c r="Y425" s="197"/>
      <c r="Z425" s="197"/>
    </row>
    <row r="426" ht="61.5" customHeight="1">
      <c r="A426" s="197"/>
      <c r="B426" s="197"/>
      <c r="C426" s="197"/>
      <c r="D426" s="197"/>
      <c r="E426" s="197"/>
      <c r="F426" s="197"/>
      <c r="G426" s="197"/>
      <c r="H426" s="197"/>
      <c r="I426" s="197"/>
      <c r="J426" s="197"/>
      <c r="K426" s="197"/>
      <c r="L426" s="197"/>
      <c r="M426" s="197"/>
      <c r="N426" s="197"/>
      <c r="O426" s="197"/>
      <c r="P426" s="197"/>
      <c r="Q426" s="197"/>
      <c r="R426" s="197"/>
      <c r="S426" s="197"/>
      <c r="T426" s="197"/>
      <c r="U426" s="197"/>
      <c r="V426" s="197"/>
      <c r="W426" s="197"/>
      <c r="X426" s="197"/>
      <c r="Y426" s="197"/>
      <c r="Z426" s="197"/>
    </row>
    <row r="427" ht="61.5" customHeight="1">
      <c r="A427" s="197"/>
      <c r="B427" s="197"/>
      <c r="C427" s="197"/>
      <c r="D427" s="197"/>
      <c r="E427" s="197"/>
      <c r="F427" s="197"/>
      <c r="G427" s="197"/>
      <c r="H427" s="197"/>
      <c r="I427" s="197"/>
      <c r="J427" s="197"/>
      <c r="K427" s="197"/>
      <c r="L427" s="197"/>
      <c r="M427" s="197"/>
      <c r="N427" s="197"/>
      <c r="O427" s="197"/>
      <c r="P427" s="197"/>
      <c r="Q427" s="197"/>
      <c r="R427" s="197"/>
      <c r="S427" s="197"/>
      <c r="T427" s="197"/>
      <c r="U427" s="197"/>
      <c r="V427" s="197"/>
      <c r="W427" s="197"/>
      <c r="X427" s="197"/>
      <c r="Y427" s="197"/>
      <c r="Z427" s="197"/>
    </row>
    <row r="428" ht="61.5" customHeight="1">
      <c r="A428" s="197"/>
      <c r="B428" s="197"/>
      <c r="C428" s="197"/>
      <c r="D428" s="197"/>
      <c r="E428" s="197"/>
      <c r="F428" s="197"/>
      <c r="G428" s="197"/>
      <c r="H428" s="197"/>
      <c r="I428" s="197"/>
      <c r="J428" s="197"/>
      <c r="K428" s="197"/>
      <c r="L428" s="197"/>
      <c r="M428" s="197"/>
      <c r="N428" s="197"/>
      <c r="O428" s="197"/>
      <c r="P428" s="197"/>
      <c r="Q428" s="197"/>
      <c r="R428" s="197"/>
      <c r="S428" s="197"/>
      <c r="T428" s="197"/>
      <c r="U428" s="197"/>
      <c r="V428" s="197"/>
      <c r="W428" s="197"/>
      <c r="X428" s="197"/>
      <c r="Y428" s="197"/>
      <c r="Z428" s="197"/>
    </row>
    <row r="429" ht="61.5" customHeight="1">
      <c r="A429" s="197"/>
      <c r="B429" s="197"/>
      <c r="C429" s="197"/>
      <c r="D429" s="197"/>
      <c r="E429" s="197"/>
      <c r="F429" s="197"/>
      <c r="G429" s="197"/>
      <c r="H429" s="197"/>
      <c r="I429" s="197"/>
      <c r="J429" s="197"/>
      <c r="K429" s="197"/>
      <c r="L429" s="197"/>
      <c r="M429" s="197"/>
      <c r="N429" s="197"/>
      <c r="O429" s="197"/>
      <c r="P429" s="197"/>
      <c r="Q429" s="197"/>
      <c r="R429" s="197"/>
      <c r="S429" s="197"/>
      <c r="T429" s="197"/>
      <c r="U429" s="197"/>
      <c r="V429" s="197"/>
      <c r="W429" s="197"/>
      <c r="X429" s="197"/>
      <c r="Y429" s="197"/>
      <c r="Z429" s="197"/>
    </row>
    <row r="430" ht="61.5" customHeight="1">
      <c r="A430" s="197"/>
      <c r="B430" s="197"/>
      <c r="C430" s="197"/>
      <c r="D430" s="197"/>
      <c r="E430" s="197"/>
      <c r="F430" s="197"/>
      <c r="G430" s="197"/>
      <c r="H430" s="197"/>
      <c r="I430" s="197"/>
      <c r="J430" s="197"/>
      <c r="K430" s="197"/>
      <c r="L430" s="197"/>
      <c r="M430" s="197"/>
      <c r="N430" s="197"/>
      <c r="O430" s="197"/>
      <c r="P430" s="197"/>
      <c r="Q430" s="197"/>
      <c r="R430" s="197"/>
      <c r="S430" s="197"/>
      <c r="T430" s="197"/>
      <c r="U430" s="197"/>
      <c r="V430" s="197"/>
      <c r="W430" s="197"/>
      <c r="X430" s="197"/>
      <c r="Y430" s="197"/>
      <c r="Z430" s="197"/>
    </row>
    <row r="431" ht="61.5" customHeight="1">
      <c r="A431" s="197"/>
      <c r="B431" s="197"/>
      <c r="C431" s="197"/>
      <c r="D431" s="197"/>
      <c r="E431" s="197"/>
      <c r="F431" s="197"/>
      <c r="G431" s="197"/>
      <c r="H431" s="197"/>
      <c r="I431" s="197"/>
      <c r="J431" s="197"/>
      <c r="K431" s="197"/>
      <c r="L431" s="197"/>
      <c r="M431" s="197"/>
      <c r="N431" s="197"/>
      <c r="O431" s="197"/>
      <c r="P431" s="197"/>
      <c r="Q431" s="197"/>
      <c r="R431" s="197"/>
      <c r="S431" s="197"/>
      <c r="T431" s="197"/>
      <c r="U431" s="197"/>
      <c r="V431" s="197"/>
      <c r="W431" s="197"/>
      <c r="X431" s="197"/>
      <c r="Y431" s="197"/>
      <c r="Z431" s="197"/>
    </row>
    <row r="432" ht="61.5" customHeight="1">
      <c r="A432" s="197"/>
      <c r="B432" s="197"/>
      <c r="C432" s="197"/>
      <c r="D432" s="197"/>
      <c r="E432" s="197"/>
      <c r="F432" s="197"/>
      <c r="G432" s="197"/>
      <c r="H432" s="197"/>
      <c r="I432" s="197"/>
      <c r="J432" s="197"/>
      <c r="K432" s="197"/>
      <c r="L432" s="197"/>
      <c r="M432" s="197"/>
      <c r="N432" s="197"/>
      <c r="O432" s="197"/>
      <c r="P432" s="197"/>
      <c r="Q432" s="197"/>
      <c r="R432" s="197"/>
      <c r="S432" s="197"/>
      <c r="T432" s="197"/>
      <c r="U432" s="197"/>
      <c r="V432" s="197"/>
      <c r="W432" s="197"/>
      <c r="X432" s="197"/>
      <c r="Y432" s="197"/>
      <c r="Z432" s="197"/>
    </row>
    <row r="433" ht="61.5" customHeight="1">
      <c r="A433" s="197"/>
      <c r="B433" s="197"/>
      <c r="C433" s="197"/>
      <c r="D433" s="197"/>
      <c r="E433" s="197"/>
      <c r="F433" s="197"/>
      <c r="G433" s="197"/>
      <c r="H433" s="197"/>
      <c r="I433" s="197"/>
      <c r="J433" s="197"/>
      <c r="K433" s="197"/>
      <c r="L433" s="197"/>
      <c r="M433" s="197"/>
      <c r="N433" s="197"/>
      <c r="O433" s="197"/>
      <c r="P433" s="197"/>
      <c r="Q433" s="197"/>
      <c r="R433" s="197"/>
      <c r="S433" s="197"/>
      <c r="T433" s="197"/>
      <c r="U433" s="197"/>
      <c r="V433" s="197"/>
      <c r="W433" s="197"/>
      <c r="X433" s="197"/>
      <c r="Y433" s="197"/>
      <c r="Z433" s="197"/>
    </row>
    <row r="434" ht="61.5" customHeight="1">
      <c r="A434" s="197"/>
      <c r="B434" s="197"/>
      <c r="C434" s="197"/>
      <c r="D434" s="197"/>
      <c r="E434" s="197"/>
      <c r="F434" s="197"/>
      <c r="G434" s="197"/>
      <c r="H434" s="197"/>
      <c r="I434" s="197"/>
      <c r="J434" s="197"/>
      <c r="K434" s="197"/>
      <c r="L434" s="197"/>
      <c r="M434" s="197"/>
      <c r="N434" s="197"/>
      <c r="O434" s="197"/>
      <c r="P434" s="197"/>
      <c r="Q434" s="197"/>
      <c r="R434" s="197"/>
      <c r="S434" s="197"/>
      <c r="T434" s="197"/>
      <c r="U434" s="197"/>
      <c r="V434" s="197"/>
      <c r="W434" s="197"/>
      <c r="X434" s="197"/>
      <c r="Y434" s="197"/>
      <c r="Z434" s="197"/>
    </row>
    <row r="435" ht="61.5" customHeight="1">
      <c r="A435" s="197"/>
      <c r="B435" s="197"/>
      <c r="C435" s="197"/>
      <c r="D435" s="197"/>
      <c r="E435" s="197"/>
      <c r="F435" s="197"/>
      <c r="G435" s="197"/>
      <c r="H435" s="197"/>
      <c r="I435" s="197"/>
      <c r="J435" s="197"/>
      <c r="K435" s="197"/>
      <c r="L435" s="197"/>
      <c r="M435" s="197"/>
      <c r="N435" s="197"/>
      <c r="O435" s="197"/>
      <c r="P435" s="197"/>
      <c r="Q435" s="197"/>
      <c r="R435" s="197"/>
      <c r="S435" s="197"/>
      <c r="T435" s="197"/>
      <c r="U435" s="197"/>
      <c r="V435" s="197"/>
      <c r="W435" s="197"/>
      <c r="X435" s="197"/>
      <c r="Y435" s="197"/>
      <c r="Z435" s="197"/>
    </row>
    <row r="436" ht="61.5" customHeight="1">
      <c r="A436" s="197"/>
      <c r="B436" s="197"/>
      <c r="C436" s="197"/>
      <c r="D436" s="197"/>
      <c r="E436" s="197"/>
      <c r="F436" s="197"/>
      <c r="G436" s="197"/>
      <c r="H436" s="197"/>
      <c r="I436" s="197"/>
      <c r="J436" s="197"/>
      <c r="K436" s="197"/>
      <c r="L436" s="197"/>
      <c r="M436" s="197"/>
      <c r="N436" s="197"/>
      <c r="O436" s="197"/>
      <c r="P436" s="197"/>
      <c r="Q436" s="197"/>
      <c r="R436" s="197"/>
      <c r="S436" s="197"/>
      <c r="T436" s="197"/>
      <c r="U436" s="197"/>
      <c r="V436" s="197"/>
      <c r="W436" s="197"/>
      <c r="X436" s="197"/>
      <c r="Y436" s="197"/>
      <c r="Z436" s="197"/>
    </row>
    <row r="437" ht="61.5" customHeight="1">
      <c r="A437" s="197"/>
      <c r="B437" s="197"/>
      <c r="C437" s="197"/>
      <c r="D437" s="197"/>
      <c r="E437" s="197"/>
      <c r="F437" s="197"/>
      <c r="G437" s="197"/>
      <c r="H437" s="197"/>
      <c r="I437" s="197"/>
      <c r="J437" s="197"/>
      <c r="K437" s="197"/>
      <c r="L437" s="197"/>
      <c r="M437" s="197"/>
      <c r="N437" s="197"/>
      <c r="O437" s="197"/>
      <c r="P437" s="197"/>
      <c r="Q437" s="197"/>
      <c r="R437" s="197"/>
      <c r="S437" s="197"/>
      <c r="T437" s="197"/>
      <c r="U437" s="197"/>
      <c r="V437" s="197"/>
      <c r="W437" s="197"/>
      <c r="X437" s="197"/>
      <c r="Y437" s="197"/>
      <c r="Z437" s="197"/>
    </row>
    <row r="438" ht="61.5" customHeight="1">
      <c r="A438" s="197"/>
      <c r="B438" s="197"/>
      <c r="C438" s="197"/>
      <c r="D438" s="197"/>
      <c r="E438" s="197"/>
      <c r="F438" s="197"/>
      <c r="G438" s="197"/>
      <c r="H438" s="197"/>
      <c r="I438" s="197"/>
      <c r="J438" s="197"/>
      <c r="K438" s="197"/>
      <c r="L438" s="197"/>
      <c r="M438" s="197"/>
      <c r="N438" s="197"/>
      <c r="O438" s="197"/>
      <c r="P438" s="197"/>
      <c r="Q438" s="197"/>
      <c r="R438" s="197"/>
      <c r="S438" s="197"/>
      <c r="T438" s="197"/>
      <c r="U438" s="197"/>
      <c r="V438" s="197"/>
      <c r="W438" s="197"/>
      <c r="X438" s="197"/>
      <c r="Y438" s="197"/>
      <c r="Z438" s="197"/>
    </row>
    <row r="439" ht="61.5" customHeight="1">
      <c r="A439" s="197"/>
      <c r="B439" s="197"/>
      <c r="C439" s="197"/>
      <c r="D439" s="197"/>
      <c r="E439" s="197"/>
      <c r="F439" s="197"/>
      <c r="G439" s="197"/>
      <c r="H439" s="197"/>
      <c r="I439" s="197"/>
      <c r="J439" s="197"/>
      <c r="K439" s="197"/>
      <c r="L439" s="197"/>
      <c r="M439" s="197"/>
      <c r="N439" s="197"/>
      <c r="O439" s="197"/>
      <c r="P439" s="197"/>
      <c r="Q439" s="197"/>
      <c r="R439" s="197"/>
      <c r="S439" s="197"/>
      <c r="T439" s="197"/>
      <c r="U439" s="197"/>
      <c r="V439" s="197"/>
      <c r="W439" s="197"/>
      <c r="X439" s="197"/>
      <c r="Y439" s="197"/>
      <c r="Z439" s="197"/>
    </row>
    <row r="440" ht="61.5" customHeight="1">
      <c r="A440" s="197"/>
      <c r="B440" s="197"/>
      <c r="C440" s="197"/>
      <c r="D440" s="197"/>
      <c r="E440" s="197"/>
      <c r="F440" s="197"/>
      <c r="G440" s="197"/>
      <c r="H440" s="197"/>
      <c r="I440" s="197"/>
      <c r="J440" s="197"/>
      <c r="K440" s="197"/>
      <c r="L440" s="197"/>
      <c r="M440" s="197"/>
      <c r="N440" s="197"/>
      <c r="O440" s="197"/>
      <c r="P440" s="197"/>
      <c r="Q440" s="197"/>
      <c r="R440" s="197"/>
      <c r="S440" s="197"/>
      <c r="T440" s="197"/>
      <c r="U440" s="197"/>
      <c r="V440" s="197"/>
      <c r="W440" s="197"/>
      <c r="X440" s="197"/>
      <c r="Y440" s="197"/>
      <c r="Z440" s="197"/>
    </row>
    <row r="441" ht="61.5" customHeight="1">
      <c r="A441" s="197"/>
      <c r="B441" s="197"/>
      <c r="C441" s="197"/>
      <c r="D441" s="197"/>
      <c r="E441" s="197"/>
      <c r="F441" s="197"/>
      <c r="G441" s="197"/>
      <c r="H441" s="197"/>
      <c r="I441" s="197"/>
      <c r="J441" s="197"/>
      <c r="K441" s="197"/>
      <c r="L441" s="197"/>
      <c r="M441" s="197"/>
      <c r="N441" s="197"/>
      <c r="O441" s="197"/>
      <c r="P441" s="197"/>
      <c r="Q441" s="197"/>
      <c r="R441" s="197"/>
      <c r="S441" s="197"/>
      <c r="T441" s="197"/>
      <c r="U441" s="197"/>
      <c r="V441" s="197"/>
      <c r="W441" s="197"/>
      <c r="X441" s="197"/>
      <c r="Y441" s="197"/>
      <c r="Z441" s="197"/>
    </row>
    <row r="442" ht="61.5" customHeight="1">
      <c r="A442" s="197"/>
      <c r="B442" s="197"/>
      <c r="C442" s="197"/>
      <c r="D442" s="197"/>
      <c r="E442" s="197"/>
      <c r="F442" s="197"/>
      <c r="G442" s="197"/>
      <c r="H442" s="197"/>
      <c r="I442" s="197"/>
      <c r="J442" s="197"/>
      <c r="K442" s="197"/>
      <c r="L442" s="197"/>
      <c r="M442" s="197"/>
      <c r="N442" s="197"/>
      <c r="O442" s="197"/>
      <c r="P442" s="197"/>
      <c r="Q442" s="197"/>
      <c r="R442" s="197"/>
      <c r="S442" s="197"/>
      <c r="T442" s="197"/>
      <c r="U442" s="197"/>
      <c r="V442" s="197"/>
      <c r="W442" s="197"/>
      <c r="X442" s="197"/>
      <c r="Y442" s="197"/>
      <c r="Z442" s="197"/>
    </row>
    <row r="443" ht="61.5" customHeight="1">
      <c r="A443" s="197"/>
      <c r="B443" s="197"/>
      <c r="C443" s="197"/>
      <c r="D443" s="197"/>
      <c r="E443" s="197"/>
      <c r="F443" s="197"/>
      <c r="G443" s="197"/>
      <c r="H443" s="197"/>
      <c r="I443" s="197"/>
      <c r="J443" s="197"/>
      <c r="K443" s="197"/>
      <c r="L443" s="197"/>
      <c r="M443" s="197"/>
      <c r="N443" s="197"/>
      <c r="O443" s="197"/>
      <c r="P443" s="197"/>
      <c r="Q443" s="197"/>
      <c r="R443" s="197"/>
      <c r="S443" s="197"/>
      <c r="T443" s="197"/>
      <c r="U443" s="197"/>
      <c r="V443" s="197"/>
      <c r="W443" s="197"/>
      <c r="X443" s="197"/>
      <c r="Y443" s="197"/>
      <c r="Z443" s="197"/>
    </row>
    <row r="444" ht="61.5" customHeight="1">
      <c r="A444" s="197"/>
      <c r="B444" s="197"/>
      <c r="C444" s="197"/>
      <c r="D444" s="197"/>
      <c r="E444" s="197"/>
      <c r="F444" s="197"/>
      <c r="G444" s="197"/>
      <c r="H444" s="197"/>
      <c r="I444" s="197"/>
      <c r="J444" s="197"/>
      <c r="K444" s="197"/>
      <c r="L444" s="197"/>
      <c r="M444" s="197"/>
      <c r="N444" s="197"/>
      <c r="O444" s="197"/>
      <c r="P444" s="197"/>
      <c r="Q444" s="197"/>
      <c r="R444" s="197"/>
      <c r="S444" s="197"/>
      <c r="T444" s="197"/>
      <c r="U444" s="197"/>
      <c r="V444" s="197"/>
      <c r="W444" s="197"/>
      <c r="X444" s="197"/>
      <c r="Y444" s="197"/>
      <c r="Z444" s="197"/>
    </row>
    <row r="445" ht="61.5" customHeight="1">
      <c r="A445" s="197"/>
      <c r="B445" s="197"/>
      <c r="C445" s="197"/>
      <c r="D445" s="197"/>
      <c r="E445" s="197"/>
      <c r="F445" s="197"/>
      <c r="G445" s="197"/>
      <c r="H445" s="197"/>
      <c r="I445" s="197"/>
      <c r="J445" s="197"/>
      <c r="K445" s="197"/>
      <c r="L445" s="197"/>
      <c r="M445" s="197"/>
      <c r="N445" s="197"/>
      <c r="O445" s="197"/>
      <c r="P445" s="197"/>
      <c r="Q445" s="197"/>
      <c r="R445" s="197"/>
      <c r="S445" s="197"/>
      <c r="T445" s="197"/>
      <c r="U445" s="197"/>
      <c r="V445" s="197"/>
      <c r="W445" s="197"/>
      <c r="X445" s="197"/>
      <c r="Y445" s="197"/>
      <c r="Z445" s="197"/>
    </row>
    <row r="446" ht="61.5" customHeight="1">
      <c r="A446" s="197"/>
      <c r="B446" s="197"/>
      <c r="C446" s="197"/>
      <c r="D446" s="197"/>
      <c r="E446" s="197"/>
      <c r="F446" s="197"/>
      <c r="G446" s="197"/>
      <c r="H446" s="197"/>
      <c r="I446" s="197"/>
      <c r="J446" s="197"/>
      <c r="K446" s="197"/>
      <c r="L446" s="197"/>
      <c r="M446" s="197"/>
      <c r="N446" s="197"/>
      <c r="O446" s="197"/>
      <c r="P446" s="197"/>
      <c r="Q446" s="197"/>
      <c r="R446" s="197"/>
      <c r="S446" s="197"/>
      <c r="T446" s="197"/>
      <c r="U446" s="197"/>
      <c r="V446" s="197"/>
      <c r="W446" s="197"/>
      <c r="X446" s="197"/>
      <c r="Y446" s="197"/>
      <c r="Z446" s="197"/>
    </row>
    <row r="447" ht="61.5" customHeight="1">
      <c r="A447" s="197"/>
      <c r="B447" s="197"/>
      <c r="C447" s="197"/>
      <c r="D447" s="197"/>
      <c r="E447" s="197"/>
      <c r="F447" s="197"/>
      <c r="G447" s="197"/>
      <c r="H447" s="197"/>
      <c r="I447" s="197"/>
      <c r="J447" s="197"/>
      <c r="K447" s="197"/>
      <c r="L447" s="197"/>
      <c r="M447" s="197"/>
      <c r="N447" s="197"/>
      <c r="O447" s="197"/>
      <c r="P447" s="197"/>
      <c r="Q447" s="197"/>
      <c r="R447" s="197"/>
      <c r="S447" s="197"/>
      <c r="T447" s="197"/>
      <c r="U447" s="197"/>
      <c r="V447" s="197"/>
      <c r="W447" s="197"/>
      <c r="X447" s="197"/>
      <c r="Y447" s="197"/>
      <c r="Z447" s="197"/>
    </row>
    <row r="448" ht="61.5" customHeight="1">
      <c r="A448" s="197"/>
      <c r="B448" s="197"/>
      <c r="C448" s="197"/>
      <c r="D448" s="197"/>
      <c r="E448" s="197"/>
      <c r="F448" s="197"/>
      <c r="G448" s="197"/>
      <c r="H448" s="197"/>
      <c r="I448" s="197"/>
      <c r="J448" s="197"/>
      <c r="K448" s="197"/>
      <c r="L448" s="197"/>
      <c r="M448" s="197"/>
      <c r="N448" s="197"/>
      <c r="O448" s="197"/>
      <c r="P448" s="197"/>
      <c r="Q448" s="197"/>
      <c r="R448" s="197"/>
      <c r="S448" s="197"/>
      <c r="T448" s="197"/>
      <c r="U448" s="197"/>
      <c r="V448" s="197"/>
      <c r="W448" s="197"/>
      <c r="X448" s="197"/>
      <c r="Y448" s="197"/>
      <c r="Z448" s="197"/>
    </row>
    <row r="449" ht="61.5" customHeight="1">
      <c r="A449" s="197"/>
      <c r="B449" s="197"/>
      <c r="C449" s="197"/>
      <c r="D449" s="197"/>
      <c r="E449" s="197"/>
      <c r="F449" s="197"/>
      <c r="G449" s="197"/>
      <c r="H449" s="197"/>
      <c r="I449" s="197"/>
      <c r="J449" s="197"/>
      <c r="K449" s="197"/>
      <c r="L449" s="197"/>
      <c r="M449" s="197"/>
      <c r="N449" s="197"/>
      <c r="O449" s="197"/>
      <c r="P449" s="197"/>
      <c r="Q449" s="197"/>
      <c r="R449" s="197"/>
      <c r="S449" s="197"/>
      <c r="T449" s="197"/>
      <c r="U449" s="197"/>
      <c r="V449" s="197"/>
      <c r="W449" s="197"/>
      <c r="X449" s="197"/>
      <c r="Y449" s="197"/>
      <c r="Z449" s="197"/>
    </row>
    <row r="450" ht="61.5" customHeight="1">
      <c r="A450" s="197"/>
      <c r="B450" s="197"/>
      <c r="C450" s="197"/>
      <c r="D450" s="197"/>
      <c r="E450" s="197"/>
      <c r="F450" s="197"/>
      <c r="G450" s="197"/>
      <c r="H450" s="197"/>
      <c r="I450" s="197"/>
      <c r="J450" s="197"/>
      <c r="K450" s="197"/>
      <c r="L450" s="197"/>
      <c r="M450" s="197"/>
      <c r="N450" s="197"/>
      <c r="O450" s="197"/>
      <c r="P450" s="197"/>
      <c r="Q450" s="197"/>
      <c r="R450" s="197"/>
      <c r="S450" s="197"/>
      <c r="T450" s="197"/>
      <c r="U450" s="197"/>
      <c r="V450" s="197"/>
      <c r="W450" s="197"/>
      <c r="X450" s="197"/>
      <c r="Y450" s="197"/>
      <c r="Z450" s="197"/>
    </row>
    <row r="451" ht="61.5" customHeight="1">
      <c r="A451" s="197"/>
      <c r="B451" s="197"/>
      <c r="C451" s="197"/>
      <c r="D451" s="197"/>
      <c r="E451" s="197"/>
      <c r="F451" s="197"/>
      <c r="G451" s="197"/>
      <c r="H451" s="197"/>
      <c r="I451" s="197"/>
      <c r="J451" s="197"/>
      <c r="K451" s="197"/>
      <c r="L451" s="197"/>
      <c r="M451" s="197"/>
      <c r="N451" s="197"/>
      <c r="O451" s="197"/>
      <c r="P451" s="197"/>
      <c r="Q451" s="197"/>
      <c r="R451" s="197"/>
      <c r="S451" s="197"/>
      <c r="T451" s="197"/>
      <c r="U451" s="197"/>
      <c r="V451" s="197"/>
      <c r="W451" s="197"/>
      <c r="X451" s="197"/>
      <c r="Y451" s="197"/>
      <c r="Z451" s="197"/>
    </row>
    <row r="452" ht="61.5" customHeight="1">
      <c r="A452" s="197"/>
      <c r="B452" s="197"/>
      <c r="C452" s="197"/>
      <c r="D452" s="197"/>
      <c r="E452" s="197"/>
      <c r="F452" s="197"/>
      <c r="G452" s="197"/>
      <c r="H452" s="197"/>
      <c r="I452" s="197"/>
      <c r="J452" s="197"/>
      <c r="K452" s="197"/>
      <c r="L452" s="197"/>
      <c r="M452" s="197"/>
      <c r="N452" s="197"/>
      <c r="O452" s="197"/>
      <c r="P452" s="197"/>
      <c r="Q452" s="197"/>
      <c r="R452" s="197"/>
      <c r="S452" s="197"/>
      <c r="T452" s="197"/>
      <c r="U452" s="197"/>
      <c r="V452" s="197"/>
      <c r="W452" s="197"/>
      <c r="X452" s="197"/>
      <c r="Y452" s="197"/>
      <c r="Z452" s="197"/>
    </row>
    <row r="453" ht="61.5" customHeight="1">
      <c r="A453" s="197"/>
      <c r="B453" s="197"/>
      <c r="C453" s="197"/>
      <c r="D453" s="197"/>
      <c r="E453" s="197"/>
      <c r="F453" s="197"/>
      <c r="G453" s="197"/>
      <c r="H453" s="197"/>
      <c r="I453" s="197"/>
      <c r="J453" s="197"/>
      <c r="K453" s="197"/>
      <c r="L453" s="197"/>
      <c r="M453" s="197"/>
      <c r="N453" s="197"/>
      <c r="O453" s="197"/>
      <c r="P453" s="197"/>
      <c r="Q453" s="197"/>
      <c r="R453" s="197"/>
      <c r="S453" s="197"/>
      <c r="T453" s="197"/>
      <c r="U453" s="197"/>
      <c r="V453" s="197"/>
      <c r="W453" s="197"/>
      <c r="X453" s="197"/>
      <c r="Y453" s="197"/>
      <c r="Z453" s="197"/>
    </row>
    <row r="454" ht="61.5" customHeight="1">
      <c r="A454" s="197"/>
      <c r="B454" s="197"/>
      <c r="C454" s="197"/>
      <c r="D454" s="197"/>
      <c r="E454" s="197"/>
      <c r="F454" s="197"/>
      <c r="G454" s="197"/>
      <c r="H454" s="197"/>
      <c r="I454" s="197"/>
      <c r="J454" s="197"/>
      <c r="K454" s="197"/>
      <c r="L454" s="197"/>
      <c r="M454" s="197"/>
      <c r="N454" s="197"/>
      <c r="O454" s="197"/>
      <c r="P454" s="197"/>
      <c r="Q454" s="197"/>
      <c r="R454" s="197"/>
      <c r="S454" s="197"/>
      <c r="T454" s="197"/>
      <c r="U454" s="197"/>
      <c r="V454" s="197"/>
      <c r="W454" s="197"/>
      <c r="X454" s="197"/>
      <c r="Y454" s="197"/>
      <c r="Z454" s="197"/>
    </row>
    <row r="455" ht="61.5" customHeight="1">
      <c r="A455" s="197"/>
      <c r="B455" s="197"/>
      <c r="C455" s="197"/>
      <c r="D455" s="197"/>
      <c r="E455" s="197"/>
      <c r="F455" s="197"/>
      <c r="G455" s="197"/>
      <c r="H455" s="197"/>
      <c r="I455" s="197"/>
      <c r="J455" s="197"/>
      <c r="K455" s="197"/>
      <c r="L455" s="197"/>
      <c r="M455" s="197"/>
      <c r="N455" s="197"/>
      <c r="O455" s="197"/>
      <c r="P455" s="197"/>
      <c r="Q455" s="197"/>
      <c r="R455" s="197"/>
      <c r="S455" s="197"/>
      <c r="T455" s="197"/>
      <c r="U455" s="197"/>
      <c r="V455" s="197"/>
      <c r="W455" s="197"/>
      <c r="X455" s="197"/>
      <c r="Y455" s="197"/>
      <c r="Z455" s="197"/>
    </row>
    <row r="456" ht="61.5" customHeight="1">
      <c r="A456" s="197"/>
      <c r="B456" s="197"/>
      <c r="C456" s="197"/>
      <c r="D456" s="197"/>
      <c r="E456" s="197"/>
      <c r="F456" s="197"/>
      <c r="G456" s="197"/>
      <c r="H456" s="197"/>
      <c r="I456" s="197"/>
      <c r="J456" s="197"/>
      <c r="K456" s="197"/>
      <c r="L456" s="197"/>
      <c r="M456" s="197"/>
      <c r="N456" s="197"/>
      <c r="O456" s="197"/>
      <c r="P456" s="197"/>
      <c r="Q456" s="197"/>
      <c r="R456" s="197"/>
      <c r="S456" s="197"/>
      <c r="T456" s="197"/>
      <c r="U456" s="197"/>
      <c r="V456" s="197"/>
      <c r="W456" s="197"/>
      <c r="X456" s="197"/>
      <c r="Y456" s="197"/>
      <c r="Z456" s="197"/>
    </row>
    <row r="457" ht="61.5" customHeight="1">
      <c r="A457" s="197"/>
      <c r="B457" s="197"/>
      <c r="C457" s="197"/>
      <c r="D457" s="197"/>
      <c r="E457" s="197"/>
      <c r="F457" s="197"/>
      <c r="G457" s="197"/>
      <c r="H457" s="197"/>
      <c r="I457" s="197"/>
      <c r="J457" s="197"/>
      <c r="K457" s="197"/>
      <c r="L457" s="197"/>
      <c r="M457" s="197"/>
      <c r="N457" s="197"/>
      <c r="O457" s="197"/>
      <c r="P457" s="197"/>
      <c r="Q457" s="197"/>
      <c r="R457" s="197"/>
      <c r="S457" s="197"/>
      <c r="T457" s="197"/>
      <c r="U457" s="197"/>
      <c r="V457" s="197"/>
      <c r="W457" s="197"/>
      <c r="X457" s="197"/>
      <c r="Y457" s="197"/>
      <c r="Z457" s="197"/>
    </row>
    <row r="458" ht="61.5" customHeight="1">
      <c r="A458" s="197"/>
      <c r="B458" s="197"/>
      <c r="C458" s="197"/>
      <c r="D458" s="197"/>
      <c r="E458" s="197"/>
      <c r="F458" s="197"/>
      <c r="G458" s="197"/>
      <c r="H458" s="197"/>
      <c r="I458" s="197"/>
      <c r="J458" s="197"/>
      <c r="K458" s="197"/>
      <c r="L458" s="197"/>
      <c r="M458" s="197"/>
      <c r="N458" s="197"/>
      <c r="O458" s="197"/>
      <c r="P458" s="197"/>
      <c r="Q458" s="197"/>
      <c r="R458" s="197"/>
      <c r="S458" s="197"/>
      <c r="T458" s="197"/>
      <c r="U458" s="197"/>
      <c r="V458" s="197"/>
      <c r="W458" s="197"/>
      <c r="X458" s="197"/>
      <c r="Y458" s="197"/>
      <c r="Z458" s="197"/>
    </row>
    <row r="459" ht="61.5" customHeight="1">
      <c r="A459" s="197"/>
      <c r="B459" s="197"/>
      <c r="C459" s="197"/>
      <c r="D459" s="197"/>
      <c r="E459" s="197"/>
      <c r="F459" s="197"/>
      <c r="G459" s="197"/>
      <c r="H459" s="197"/>
      <c r="I459" s="197"/>
      <c r="J459" s="197"/>
      <c r="K459" s="197"/>
      <c r="L459" s="197"/>
      <c r="M459" s="197"/>
      <c r="N459" s="197"/>
      <c r="O459" s="197"/>
      <c r="P459" s="197"/>
      <c r="Q459" s="197"/>
      <c r="R459" s="197"/>
      <c r="S459" s="197"/>
      <c r="T459" s="197"/>
      <c r="U459" s="197"/>
      <c r="V459" s="197"/>
      <c r="W459" s="197"/>
      <c r="X459" s="197"/>
      <c r="Y459" s="197"/>
      <c r="Z459" s="197"/>
    </row>
    <row r="460" ht="61.5" customHeight="1">
      <c r="A460" s="197"/>
      <c r="B460" s="197"/>
      <c r="C460" s="197"/>
      <c r="D460" s="197"/>
      <c r="E460" s="197"/>
      <c r="F460" s="197"/>
      <c r="G460" s="197"/>
      <c r="H460" s="197"/>
      <c r="I460" s="197"/>
      <c r="J460" s="197"/>
      <c r="K460" s="197"/>
      <c r="L460" s="197"/>
      <c r="M460" s="197"/>
      <c r="N460" s="197"/>
      <c r="O460" s="197"/>
      <c r="P460" s="197"/>
      <c r="Q460" s="197"/>
      <c r="R460" s="197"/>
      <c r="S460" s="197"/>
      <c r="T460" s="197"/>
      <c r="U460" s="197"/>
      <c r="V460" s="197"/>
      <c r="W460" s="197"/>
      <c r="X460" s="197"/>
      <c r="Y460" s="197"/>
      <c r="Z460" s="197"/>
    </row>
    <row r="461" ht="61.5" customHeight="1">
      <c r="A461" s="197"/>
      <c r="B461" s="197"/>
      <c r="C461" s="197"/>
      <c r="D461" s="197"/>
      <c r="E461" s="197"/>
      <c r="F461" s="197"/>
      <c r="G461" s="197"/>
      <c r="H461" s="197"/>
      <c r="I461" s="197"/>
      <c r="J461" s="197"/>
      <c r="K461" s="197"/>
      <c r="L461" s="197"/>
      <c r="M461" s="197"/>
      <c r="N461" s="197"/>
      <c r="O461" s="197"/>
      <c r="P461" s="197"/>
      <c r="Q461" s="197"/>
      <c r="R461" s="197"/>
      <c r="S461" s="197"/>
      <c r="T461" s="197"/>
      <c r="U461" s="197"/>
      <c r="V461" s="197"/>
      <c r="W461" s="197"/>
      <c r="X461" s="197"/>
      <c r="Y461" s="197"/>
      <c r="Z461" s="197"/>
    </row>
    <row r="462" ht="61.5" customHeight="1">
      <c r="A462" s="197"/>
      <c r="B462" s="197"/>
      <c r="C462" s="197"/>
      <c r="D462" s="197"/>
      <c r="E462" s="197"/>
      <c r="F462" s="197"/>
      <c r="G462" s="197"/>
      <c r="H462" s="197"/>
      <c r="I462" s="197"/>
      <c r="J462" s="197"/>
      <c r="K462" s="197"/>
      <c r="L462" s="197"/>
      <c r="M462" s="197"/>
      <c r="N462" s="197"/>
      <c r="O462" s="197"/>
      <c r="P462" s="197"/>
      <c r="Q462" s="197"/>
      <c r="R462" s="197"/>
      <c r="S462" s="197"/>
      <c r="T462" s="197"/>
      <c r="U462" s="197"/>
      <c r="V462" s="197"/>
      <c r="W462" s="197"/>
      <c r="X462" s="197"/>
      <c r="Y462" s="197"/>
      <c r="Z462" s="197"/>
    </row>
    <row r="463" ht="61.5" customHeight="1">
      <c r="A463" s="197"/>
      <c r="B463" s="197"/>
      <c r="C463" s="197"/>
      <c r="D463" s="197"/>
      <c r="E463" s="197"/>
      <c r="F463" s="197"/>
      <c r="G463" s="197"/>
      <c r="H463" s="197"/>
      <c r="I463" s="197"/>
      <c r="J463" s="197"/>
      <c r="K463" s="197"/>
      <c r="L463" s="197"/>
      <c r="M463" s="197"/>
      <c r="N463" s="197"/>
      <c r="O463" s="197"/>
      <c r="P463" s="197"/>
      <c r="Q463" s="197"/>
      <c r="R463" s="197"/>
      <c r="S463" s="197"/>
      <c r="T463" s="197"/>
      <c r="U463" s="197"/>
      <c r="V463" s="197"/>
      <c r="W463" s="197"/>
      <c r="X463" s="197"/>
      <c r="Y463" s="197"/>
      <c r="Z463" s="197"/>
    </row>
    <row r="464" ht="61.5" customHeight="1">
      <c r="A464" s="197"/>
      <c r="B464" s="197"/>
      <c r="C464" s="197"/>
      <c r="D464" s="197"/>
      <c r="E464" s="197"/>
      <c r="F464" s="197"/>
      <c r="G464" s="197"/>
      <c r="H464" s="197"/>
      <c r="I464" s="197"/>
      <c r="J464" s="197"/>
      <c r="K464" s="197"/>
      <c r="L464" s="197"/>
      <c r="M464" s="197"/>
      <c r="N464" s="197"/>
      <c r="O464" s="197"/>
      <c r="P464" s="197"/>
      <c r="Q464" s="197"/>
      <c r="R464" s="197"/>
      <c r="S464" s="197"/>
      <c r="T464" s="197"/>
      <c r="U464" s="197"/>
      <c r="V464" s="197"/>
      <c r="W464" s="197"/>
      <c r="X464" s="197"/>
      <c r="Y464" s="197"/>
      <c r="Z464" s="197"/>
    </row>
    <row r="465" ht="61.5" customHeight="1">
      <c r="A465" s="197"/>
      <c r="B465" s="197"/>
      <c r="C465" s="197"/>
      <c r="D465" s="197"/>
      <c r="E465" s="197"/>
      <c r="F465" s="197"/>
      <c r="G465" s="197"/>
      <c r="H465" s="197"/>
      <c r="I465" s="197"/>
      <c r="J465" s="197"/>
      <c r="K465" s="197"/>
      <c r="L465" s="197"/>
      <c r="M465" s="197"/>
      <c r="N465" s="197"/>
      <c r="O465" s="197"/>
      <c r="P465" s="197"/>
      <c r="Q465" s="197"/>
      <c r="R465" s="197"/>
      <c r="S465" s="197"/>
      <c r="T465" s="197"/>
      <c r="U465" s="197"/>
      <c r="V465" s="197"/>
      <c r="W465" s="197"/>
      <c r="X465" s="197"/>
      <c r="Y465" s="197"/>
      <c r="Z465" s="197"/>
    </row>
    <row r="466" ht="61.5" customHeight="1">
      <c r="A466" s="197"/>
      <c r="B466" s="197"/>
      <c r="C466" s="197"/>
      <c r="D466" s="197"/>
      <c r="E466" s="197"/>
      <c r="F466" s="197"/>
      <c r="G466" s="197"/>
      <c r="H466" s="197"/>
      <c r="I466" s="197"/>
      <c r="J466" s="197"/>
      <c r="K466" s="197"/>
      <c r="L466" s="197"/>
      <c r="M466" s="197"/>
      <c r="N466" s="197"/>
      <c r="O466" s="197"/>
      <c r="P466" s="197"/>
      <c r="Q466" s="197"/>
      <c r="R466" s="197"/>
      <c r="S466" s="197"/>
      <c r="T466" s="197"/>
      <c r="U466" s="197"/>
      <c r="V466" s="197"/>
      <c r="W466" s="197"/>
      <c r="X466" s="197"/>
      <c r="Y466" s="197"/>
      <c r="Z466" s="197"/>
    </row>
    <row r="467" ht="61.5" customHeight="1">
      <c r="A467" s="197"/>
      <c r="B467" s="197"/>
      <c r="C467" s="197"/>
      <c r="D467" s="197"/>
      <c r="E467" s="197"/>
      <c r="F467" s="197"/>
      <c r="G467" s="197"/>
      <c r="H467" s="197"/>
      <c r="I467" s="197"/>
      <c r="J467" s="197"/>
      <c r="K467" s="197"/>
      <c r="L467" s="197"/>
      <c r="M467" s="197"/>
      <c r="N467" s="197"/>
      <c r="O467" s="197"/>
      <c r="P467" s="197"/>
      <c r="Q467" s="197"/>
      <c r="R467" s="197"/>
      <c r="S467" s="197"/>
      <c r="T467" s="197"/>
      <c r="U467" s="197"/>
      <c r="V467" s="197"/>
      <c r="W467" s="197"/>
      <c r="X467" s="197"/>
      <c r="Y467" s="197"/>
      <c r="Z467" s="197"/>
    </row>
    <row r="468" ht="61.5" customHeight="1">
      <c r="A468" s="197"/>
      <c r="B468" s="197"/>
      <c r="C468" s="197"/>
      <c r="D468" s="197"/>
      <c r="E468" s="197"/>
      <c r="F468" s="197"/>
      <c r="G468" s="197"/>
      <c r="H468" s="197"/>
      <c r="I468" s="197"/>
      <c r="J468" s="197"/>
      <c r="K468" s="197"/>
      <c r="L468" s="197"/>
      <c r="M468" s="197"/>
      <c r="N468" s="197"/>
      <c r="O468" s="197"/>
      <c r="P468" s="197"/>
      <c r="Q468" s="197"/>
      <c r="R468" s="197"/>
      <c r="S468" s="197"/>
      <c r="T468" s="197"/>
      <c r="U468" s="197"/>
      <c r="V468" s="197"/>
      <c r="W468" s="197"/>
      <c r="X468" s="197"/>
      <c r="Y468" s="197"/>
      <c r="Z468" s="197"/>
    </row>
    <row r="469" ht="61.5" customHeight="1">
      <c r="A469" s="197"/>
      <c r="B469" s="197"/>
      <c r="C469" s="197"/>
      <c r="D469" s="197"/>
      <c r="E469" s="197"/>
      <c r="F469" s="197"/>
      <c r="G469" s="197"/>
      <c r="H469" s="197"/>
      <c r="I469" s="197"/>
      <c r="J469" s="197"/>
      <c r="K469" s="197"/>
      <c r="L469" s="197"/>
      <c r="M469" s="197"/>
      <c r="N469" s="197"/>
      <c r="O469" s="197"/>
      <c r="P469" s="197"/>
      <c r="Q469" s="197"/>
      <c r="R469" s="197"/>
      <c r="S469" s="197"/>
      <c r="T469" s="197"/>
      <c r="U469" s="197"/>
      <c r="V469" s="197"/>
      <c r="W469" s="197"/>
      <c r="X469" s="197"/>
      <c r="Y469" s="197"/>
      <c r="Z469" s="197"/>
    </row>
    <row r="470" ht="61.5" customHeight="1">
      <c r="A470" s="197"/>
      <c r="B470" s="197"/>
      <c r="C470" s="197"/>
      <c r="D470" s="197"/>
      <c r="E470" s="197"/>
      <c r="F470" s="197"/>
      <c r="G470" s="197"/>
      <c r="H470" s="197"/>
      <c r="I470" s="197"/>
      <c r="J470" s="197"/>
      <c r="K470" s="197"/>
      <c r="L470" s="197"/>
      <c r="M470" s="197"/>
      <c r="N470" s="197"/>
      <c r="O470" s="197"/>
      <c r="P470" s="197"/>
      <c r="Q470" s="197"/>
      <c r="R470" s="197"/>
      <c r="S470" s="197"/>
      <c r="T470" s="197"/>
      <c r="U470" s="197"/>
      <c r="V470" s="197"/>
      <c r="W470" s="197"/>
      <c r="X470" s="197"/>
      <c r="Y470" s="197"/>
      <c r="Z470" s="197"/>
    </row>
    <row r="471" ht="61.5" customHeight="1">
      <c r="A471" s="197"/>
      <c r="B471" s="197"/>
      <c r="C471" s="197"/>
      <c r="D471" s="197"/>
      <c r="E471" s="197"/>
      <c r="F471" s="197"/>
      <c r="G471" s="197"/>
      <c r="H471" s="197"/>
      <c r="I471" s="197"/>
      <c r="J471" s="197"/>
      <c r="K471" s="197"/>
      <c r="L471" s="197"/>
      <c r="M471" s="197"/>
      <c r="N471" s="197"/>
      <c r="O471" s="197"/>
      <c r="P471" s="197"/>
      <c r="Q471" s="197"/>
      <c r="R471" s="197"/>
      <c r="S471" s="197"/>
      <c r="T471" s="197"/>
      <c r="U471" s="197"/>
      <c r="V471" s="197"/>
      <c r="W471" s="197"/>
      <c r="X471" s="197"/>
      <c r="Y471" s="197"/>
      <c r="Z471" s="197"/>
    </row>
    <row r="472" ht="61.5" customHeight="1">
      <c r="A472" s="197"/>
      <c r="B472" s="197"/>
      <c r="C472" s="197"/>
      <c r="D472" s="197"/>
      <c r="E472" s="197"/>
      <c r="F472" s="197"/>
      <c r="G472" s="197"/>
      <c r="H472" s="197"/>
      <c r="I472" s="197"/>
      <c r="J472" s="197"/>
      <c r="K472" s="197"/>
      <c r="L472" s="197"/>
      <c r="M472" s="197"/>
      <c r="N472" s="197"/>
      <c r="O472" s="197"/>
      <c r="P472" s="197"/>
      <c r="Q472" s="197"/>
      <c r="R472" s="197"/>
      <c r="S472" s="197"/>
      <c r="T472" s="197"/>
      <c r="U472" s="197"/>
      <c r="V472" s="197"/>
      <c r="W472" s="197"/>
      <c r="X472" s="197"/>
      <c r="Y472" s="197"/>
      <c r="Z472" s="197"/>
    </row>
    <row r="473" ht="61.5" customHeight="1">
      <c r="A473" s="197"/>
      <c r="B473" s="197"/>
      <c r="C473" s="197"/>
      <c r="D473" s="197"/>
      <c r="E473" s="197"/>
      <c r="F473" s="197"/>
      <c r="G473" s="197"/>
      <c r="H473" s="197"/>
      <c r="I473" s="197"/>
      <c r="J473" s="197"/>
      <c r="K473" s="197"/>
      <c r="L473" s="197"/>
      <c r="M473" s="197"/>
      <c r="N473" s="197"/>
      <c r="O473" s="197"/>
      <c r="P473" s="197"/>
      <c r="Q473" s="197"/>
      <c r="R473" s="197"/>
      <c r="S473" s="197"/>
      <c r="T473" s="197"/>
      <c r="U473" s="197"/>
      <c r="V473" s="197"/>
      <c r="W473" s="197"/>
      <c r="X473" s="197"/>
      <c r="Y473" s="197"/>
      <c r="Z473" s="197"/>
    </row>
    <row r="474" ht="61.5" customHeight="1">
      <c r="A474" s="197"/>
      <c r="B474" s="197"/>
      <c r="C474" s="197"/>
      <c r="D474" s="197"/>
      <c r="E474" s="197"/>
      <c r="F474" s="197"/>
      <c r="G474" s="197"/>
      <c r="H474" s="197"/>
      <c r="I474" s="197"/>
      <c r="J474" s="197"/>
      <c r="K474" s="197"/>
      <c r="L474" s="197"/>
      <c r="M474" s="197"/>
      <c r="N474" s="197"/>
      <c r="O474" s="197"/>
      <c r="P474" s="197"/>
      <c r="Q474" s="197"/>
      <c r="R474" s="197"/>
      <c r="S474" s="197"/>
      <c r="T474" s="197"/>
      <c r="U474" s="197"/>
      <c r="V474" s="197"/>
      <c r="W474" s="197"/>
      <c r="X474" s="197"/>
      <c r="Y474" s="197"/>
      <c r="Z474" s="197"/>
    </row>
    <row r="475" ht="61.5" customHeight="1">
      <c r="A475" s="197"/>
      <c r="B475" s="197"/>
      <c r="C475" s="197"/>
      <c r="D475" s="197"/>
      <c r="E475" s="197"/>
      <c r="F475" s="197"/>
      <c r="G475" s="197"/>
      <c r="H475" s="197"/>
      <c r="I475" s="197"/>
      <c r="J475" s="197"/>
      <c r="K475" s="197"/>
      <c r="L475" s="197"/>
      <c r="M475" s="197"/>
      <c r="N475" s="197"/>
      <c r="O475" s="197"/>
      <c r="P475" s="197"/>
      <c r="Q475" s="197"/>
      <c r="R475" s="197"/>
      <c r="S475" s="197"/>
      <c r="T475" s="197"/>
      <c r="U475" s="197"/>
      <c r="V475" s="197"/>
      <c r="W475" s="197"/>
      <c r="X475" s="197"/>
      <c r="Y475" s="197"/>
      <c r="Z475" s="197"/>
    </row>
    <row r="476" ht="61.5" customHeight="1">
      <c r="A476" s="197"/>
      <c r="B476" s="197"/>
      <c r="C476" s="197"/>
      <c r="D476" s="197"/>
      <c r="E476" s="197"/>
      <c r="F476" s="197"/>
      <c r="G476" s="197"/>
      <c r="H476" s="197"/>
      <c r="I476" s="197"/>
      <c r="J476" s="197"/>
      <c r="K476" s="197"/>
      <c r="L476" s="197"/>
      <c r="M476" s="197"/>
      <c r="N476" s="197"/>
      <c r="O476" s="197"/>
      <c r="P476" s="197"/>
      <c r="Q476" s="197"/>
      <c r="R476" s="197"/>
      <c r="S476" s="197"/>
      <c r="T476" s="197"/>
      <c r="U476" s="197"/>
      <c r="V476" s="197"/>
      <c r="W476" s="197"/>
      <c r="X476" s="197"/>
      <c r="Y476" s="197"/>
      <c r="Z476" s="197"/>
    </row>
    <row r="477" ht="61.5" customHeight="1">
      <c r="A477" s="197"/>
      <c r="B477" s="197"/>
      <c r="C477" s="197"/>
      <c r="D477" s="197"/>
      <c r="E477" s="197"/>
      <c r="F477" s="197"/>
      <c r="G477" s="197"/>
      <c r="H477" s="197"/>
      <c r="I477" s="197"/>
      <c r="J477" s="197"/>
      <c r="K477" s="197"/>
      <c r="L477" s="197"/>
      <c r="M477" s="197"/>
      <c r="N477" s="197"/>
      <c r="O477" s="197"/>
      <c r="P477" s="197"/>
      <c r="Q477" s="197"/>
      <c r="R477" s="197"/>
      <c r="S477" s="197"/>
      <c r="T477" s="197"/>
      <c r="U477" s="197"/>
      <c r="V477" s="197"/>
      <c r="W477" s="197"/>
      <c r="X477" s="197"/>
      <c r="Y477" s="197"/>
      <c r="Z477" s="197"/>
    </row>
    <row r="478" ht="61.5" customHeight="1">
      <c r="A478" s="197"/>
      <c r="B478" s="197"/>
      <c r="C478" s="197"/>
      <c r="D478" s="197"/>
      <c r="E478" s="197"/>
      <c r="F478" s="197"/>
      <c r="G478" s="197"/>
      <c r="H478" s="197"/>
      <c r="I478" s="197"/>
      <c r="J478" s="197"/>
      <c r="K478" s="197"/>
      <c r="L478" s="197"/>
      <c r="M478" s="197"/>
      <c r="N478" s="197"/>
      <c r="O478" s="197"/>
      <c r="P478" s="197"/>
      <c r="Q478" s="197"/>
      <c r="R478" s="197"/>
      <c r="S478" s="197"/>
      <c r="T478" s="197"/>
      <c r="U478" s="197"/>
      <c r="V478" s="197"/>
      <c r="W478" s="197"/>
      <c r="X478" s="197"/>
      <c r="Y478" s="197"/>
      <c r="Z478" s="197"/>
    </row>
    <row r="479" ht="61.5" customHeight="1">
      <c r="A479" s="197"/>
      <c r="B479" s="197"/>
      <c r="C479" s="197"/>
      <c r="D479" s="197"/>
      <c r="E479" s="197"/>
      <c r="F479" s="197"/>
      <c r="G479" s="197"/>
      <c r="H479" s="197"/>
      <c r="I479" s="197"/>
      <c r="J479" s="197"/>
      <c r="K479" s="197"/>
      <c r="L479" s="197"/>
      <c r="M479" s="197"/>
      <c r="N479" s="197"/>
      <c r="O479" s="197"/>
      <c r="P479" s="197"/>
      <c r="Q479" s="197"/>
      <c r="R479" s="197"/>
      <c r="S479" s="197"/>
      <c r="T479" s="197"/>
      <c r="U479" s="197"/>
      <c r="V479" s="197"/>
      <c r="W479" s="197"/>
      <c r="X479" s="197"/>
      <c r="Y479" s="197"/>
      <c r="Z479" s="197"/>
    </row>
    <row r="480" ht="61.5" customHeight="1">
      <c r="A480" s="197"/>
      <c r="B480" s="197"/>
      <c r="C480" s="197"/>
      <c r="D480" s="197"/>
      <c r="E480" s="197"/>
      <c r="F480" s="197"/>
      <c r="G480" s="197"/>
      <c r="H480" s="197"/>
      <c r="I480" s="197"/>
      <c r="J480" s="197"/>
      <c r="K480" s="197"/>
      <c r="L480" s="197"/>
      <c r="M480" s="197"/>
      <c r="N480" s="197"/>
      <c r="O480" s="197"/>
      <c r="P480" s="197"/>
      <c r="Q480" s="197"/>
      <c r="R480" s="197"/>
      <c r="S480" s="197"/>
      <c r="T480" s="197"/>
      <c r="U480" s="197"/>
      <c r="V480" s="197"/>
      <c r="W480" s="197"/>
      <c r="X480" s="197"/>
      <c r="Y480" s="197"/>
      <c r="Z480" s="197"/>
    </row>
    <row r="481" ht="61.5" customHeight="1">
      <c r="A481" s="197"/>
      <c r="B481" s="197"/>
      <c r="C481" s="197"/>
      <c r="D481" s="197"/>
      <c r="E481" s="197"/>
      <c r="F481" s="197"/>
      <c r="G481" s="197"/>
      <c r="H481" s="197"/>
      <c r="I481" s="197"/>
      <c r="J481" s="197"/>
      <c r="K481" s="197"/>
      <c r="L481" s="197"/>
      <c r="M481" s="197"/>
      <c r="N481" s="197"/>
      <c r="O481" s="197"/>
      <c r="P481" s="197"/>
      <c r="Q481" s="197"/>
      <c r="R481" s="197"/>
      <c r="S481" s="197"/>
      <c r="T481" s="197"/>
      <c r="U481" s="197"/>
      <c r="V481" s="197"/>
      <c r="W481" s="197"/>
      <c r="X481" s="197"/>
      <c r="Y481" s="197"/>
      <c r="Z481" s="197"/>
    </row>
    <row r="482" ht="61.5" customHeight="1">
      <c r="A482" s="197"/>
      <c r="B482" s="197"/>
      <c r="C482" s="197"/>
      <c r="D482" s="197"/>
      <c r="E482" s="197"/>
      <c r="F482" s="197"/>
      <c r="G482" s="197"/>
      <c r="H482" s="197"/>
      <c r="I482" s="197"/>
      <c r="J482" s="197"/>
      <c r="K482" s="197"/>
      <c r="L482" s="197"/>
      <c r="M482" s="197"/>
      <c r="N482" s="197"/>
      <c r="O482" s="197"/>
      <c r="P482" s="197"/>
      <c r="Q482" s="197"/>
      <c r="R482" s="197"/>
      <c r="S482" s="197"/>
      <c r="T482" s="197"/>
      <c r="U482" s="197"/>
      <c r="V482" s="197"/>
      <c r="W482" s="197"/>
      <c r="X482" s="197"/>
      <c r="Y482" s="197"/>
      <c r="Z482" s="197"/>
    </row>
    <row r="483" ht="61.5" customHeight="1">
      <c r="A483" s="197"/>
      <c r="B483" s="197"/>
      <c r="C483" s="197"/>
      <c r="D483" s="197"/>
      <c r="E483" s="197"/>
      <c r="F483" s="197"/>
      <c r="G483" s="197"/>
      <c r="H483" s="197"/>
      <c r="I483" s="197"/>
      <c r="J483" s="197"/>
      <c r="K483" s="197"/>
      <c r="L483" s="197"/>
      <c r="M483" s="197"/>
      <c r="N483" s="197"/>
      <c r="O483" s="197"/>
      <c r="P483" s="197"/>
      <c r="Q483" s="197"/>
      <c r="R483" s="197"/>
      <c r="S483" s="197"/>
      <c r="T483" s="197"/>
      <c r="U483" s="197"/>
      <c r="V483" s="197"/>
      <c r="W483" s="197"/>
      <c r="X483" s="197"/>
      <c r="Y483" s="197"/>
      <c r="Z483" s="197"/>
    </row>
    <row r="484" ht="61.5" customHeight="1">
      <c r="A484" s="197"/>
      <c r="B484" s="197"/>
      <c r="C484" s="197"/>
      <c r="D484" s="197"/>
      <c r="E484" s="197"/>
      <c r="F484" s="197"/>
      <c r="G484" s="197"/>
      <c r="H484" s="197"/>
      <c r="I484" s="197"/>
      <c r="J484" s="197"/>
      <c r="K484" s="197"/>
      <c r="L484" s="197"/>
      <c r="M484" s="197"/>
      <c r="N484" s="197"/>
      <c r="O484" s="197"/>
      <c r="P484" s="197"/>
      <c r="Q484" s="197"/>
      <c r="R484" s="197"/>
      <c r="S484" s="197"/>
      <c r="T484" s="197"/>
      <c r="U484" s="197"/>
      <c r="V484" s="197"/>
      <c r="W484" s="197"/>
      <c r="X484" s="197"/>
      <c r="Y484" s="197"/>
      <c r="Z484" s="197"/>
    </row>
    <row r="485" ht="61.5" customHeight="1">
      <c r="A485" s="197"/>
      <c r="B485" s="197"/>
      <c r="C485" s="197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7"/>
      <c r="Z485" s="197"/>
    </row>
    <row r="486" ht="61.5" customHeight="1">
      <c r="A486" s="197"/>
      <c r="B486" s="197"/>
      <c r="C486" s="197"/>
      <c r="D486" s="197"/>
      <c r="E486" s="197"/>
      <c r="F486" s="197"/>
      <c r="G486" s="197"/>
      <c r="H486" s="197"/>
      <c r="I486" s="197"/>
      <c r="J486" s="197"/>
      <c r="K486" s="197"/>
      <c r="L486" s="197"/>
      <c r="M486" s="197"/>
      <c r="N486" s="197"/>
      <c r="O486" s="197"/>
      <c r="P486" s="197"/>
      <c r="Q486" s="197"/>
      <c r="R486" s="197"/>
      <c r="S486" s="197"/>
      <c r="T486" s="197"/>
      <c r="U486" s="197"/>
      <c r="V486" s="197"/>
      <c r="W486" s="197"/>
      <c r="X486" s="197"/>
      <c r="Y486" s="197"/>
      <c r="Z486" s="197"/>
    </row>
    <row r="487" ht="61.5" customHeight="1">
      <c r="A487" s="197"/>
      <c r="B487" s="197"/>
      <c r="C487" s="197"/>
      <c r="D487" s="197"/>
      <c r="E487" s="197"/>
      <c r="F487" s="197"/>
      <c r="G487" s="197"/>
      <c r="H487" s="197"/>
      <c r="I487" s="197"/>
      <c r="J487" s="197"/>
      <c r="K487" s="197"/>
      <c r="L487" s="197"/>
      <c r="M487" s="197"/>
      <c r="N487" s="197"/>
      <c r="O487" s="197"/>
      <c r="P487" s="197"/>
      <c r="Q487" s="197"/>
      <c r="R487" s="197"/>
      <c r="S487" s="197"/>
      <c r="T487" s="197"/>
      <c r="U487" s="197"/>
      <c r="V487" s="197"/>
      <c r="W487" s="197"/>
      <c r="X487" s="197"/>
      <c r="Y487" s="197"/>
      <c r="Z487" s="197"/>
    </row>
    <row r="488" ht="61.5" customHeight="1">
      <c r="A488" s="197"/>
      <c r="B488" s="197"/>
      <c r="C488" s="197"/>
      <c r="D488" s="197"/>
      <c r="E488" s="197"/>
      <c r="F488" s="197"/>
      <c r="G488" s="197"/>
      <c r="H488" s="197"/>
      <c r="I488" s="197"/>
      <c r="J488" s="197"/>
      <c r="K488" s="197"/>
      <c r="L488" s="197"/>
      <c r="M488" s="197"/>
      <c r="N488" s="197"/>
      <c r="O488" s="197"/>
      <c r="P488" s="197"/>
      <c r="Q488" s="197"/>
      <c r="R488" s="197"/>
      <c r="S488" s="197"/>
      <c r="T488" s="197"/>
      <c r="U488" s="197"/>
      <c r="V488" s="197"/>
      <c r="W488" s="197"/>
      <c r="X488" s="197"/>
      <c r="Y488" s="197"/>
      <c r="Z488" s="197"/>
    </row>
    <row r="489" ht="61.5" customHeight="1">
      <c r="A489" s="197"/>
      <c r="B489" s="197"/>
      <c r="C489" s="197"/>
      <c r="D489" s="197"/>
      <c r="E489" s="197"/>
      <c r="F489" s="197"/>
      <c r="G489" s="197"/>
      <c r="H489" s="197"/>
      <c r="I489" s="197"/>
      <c r="J489" s="197"/>
      <c r="K489" s="197"/>
      <c r="L489" s="197"/>
      <c r="M489" s="197"/>
      <c r="N489" s="197"/>
      <c r="O489" s="197"/>
      <c r="P489" s="197"/>
      <c r="Q489" s="197"/>
      <c r="R489" s="197"/>
      <c r="S489" s="197"/>
      <c r="T489" s="197"/>
      <c r="U489" s="197"/>
      <c r="V489" s="197"/>
      <c r="W489" s="197"/>
      <c r="X489" s="197"/>
      <c r="Y489" s="197"/>
      <c r="Z489" s="197"/>
    </row>
    <row r="490" ht="61.5" customHeight="1">
      <c r="A490" s="197"/>
      <c r="B490" s="197"/>
      <c r="C490" s="197"/>
      <c r="D490" s="197"/>
      <c r="E490" s="197"/>
      <c r="F490" s="197"/>
      <c r="G490" s="197"/>
      <c r="H490" s="197"/>
      <c r="I490" s="197"/>
      <c r="J490" s="197"/>
      <c r="K490" s="197"/>
      <c r="L490" s="197"/>
      <c r="M490" s="197"/>
      <c r="N490" s="197"/>
      <c r="O490" s="197"/>
      <c r="P490" s="197"/>
      <c r="Q490" s="197"/>
      <c r="R490" s="197"/>
      <c r="S490" s="197"/>
      <c r="T490" s="197"/>
      <c r="U490" s="197"/>
      <c r="V490" s="197"/>
      <c r="W490" s="197"/>
      <c r="X490" s="197"/>
      <c r="Y490" s="197"/>
      <c r="Z490" s="197"/>
    </row>
    <row r="491" ht="61.5" customHeight="1">
      <c r="A491" s="197"/>
      <c r="B491" s="197"/>
      <c r="C491" s="197"/>
      <c r="D491" s="197"/>
      <c r="E491" s="197"/>
      <c r="F491" s="197"/>
      <c r="G491" s="197"/>
      <c r="H491" s="197"/>
      <c r="I491" s="197"/>
      <c r="J491" s="197"/>
      <c r="K491" s="197"/>
      <c r="L491" s="197"/>
      <c r="M491" s="197"/>
      <c r="N491" s="197"/>
      <c r="O491" s="197"/>
      <c r="P491" s="197"/>
      <c r="Q491" s="197"/>
      <c r="R491" s="197"/>
      <c r="S491" s="197"/>
      <c r="T491" s="197"/>
      <c r="U491" s="197"/>
      <c r="V491" s="197"/>
      <c r="W491" s="197"/>
      <c r="X491" s="197"/>
      <c r="Y491" s="197"/>
      <c r="Z491" s="197"/>
    </row>
    <row r="492" ht="61.5" customHeight="1">
      <c r="A492" s="197"/>
      <c r="B492" s="197"/>
      <c r="C492" s="197"/>
      <c r="D492" s="197"/>
      <c r="E492" s="197"/>
      <c r="F492" s="197"/>
      <c r="G492" s="197"/>
      <c r="H492" s="197"/>
      <c r="I492" s="197"/>
      <c r="J492" s="197"/>
      <c r="K492" s="197"/>
      <c r="L492" s="197"/>
      <c r="M492" s="197"/>
      <c r="N492" s="197"/>
      <c r="O492" s="197"/>
      <c r="P492" s="197"/>
      <c r="Q492" s="197"/>
      <c r="R492" s="197"/>
      <c r="S492" s="197"/>
      <c r="T492" s="197"/>
      <c r="U492" s="197"/>
      <c r="V492" s="197"/>
      <c r="W492" s="197"/>
      <c r="X492" s="197"/>
      <c r="Y492" s="197"/>
      <c r="Z492" s="197"/>
    </row>
    <row r="493" ht="61.5" customHeight="1">
      <c r="A493" s="197"/>
      <c r="B493" s="197"/>
      <c r="C493" s="197"/>
      <c r="D493" s="197"/>
      <c r="E493" s="197"/>
      <c r="F493" s="197"/>
      <c r="G493" s="197"/>
      <c r="H493" s="197"/>
      <c r="I493" s="197"/>
      <c r="J493" s="197"/>
      <c r="K493" s="197"/>
      <c r="L493" s="197"/>
      <c r="M493" s="197"/>
      <c r="N493" s="197"/>
      <c r="O493" s="197"/>
      <c r="P493" s="197"/>
      <c r="Q493" s="197"/>
      <c r="R493" s="197"/>
      <c r="S493" s="197"/>
      <c r="T493" s="197"/>
      <c r="U493" s="197"/>
      <c r="V493" s="197"/>
      <c r="W493" s="197"/>
      <c r="X493" s="197"/>
      <c r="Y493" s="197"/>
      <c r="Z493" s="197"/>
    </row>
    <row r="494" ht="61.5" customHeight="1">
      <c r="A494" s="197"/>
      <c r="B494" s="197"/>
      <c r="C494" s="197"/>
      <c r="D494" s="197"/>
      <c r="E494" s="197"/>
      <c r="F494" s="197"/>
      <c r="G494" s="197"/>
      <c r="H494" s="197"/>
      <c r="I494" s="197"/>
      <c r="J494" s="197"/>
      <c r="K494" s="197"/>
      <c r="L494" s="197"/>
      <c r="M494" s="197"/>
      <c r="N494" s="197"/>
      <c r="O494" s="197"/>
      <c r="P494" s="197"/>
      <c r="Q494" s="197"/>
      <c r="R494" s="197"/>
      <c r="S494" s="197"/>
      <c r="T494" s="197"/>
      <c r="U494" s="197"/>
      <c r="V494" s="197"/>
      <c r="W494" s="197"/>
      <c r="X494" s="197"/>
      <c r="Y494" s="197"/>
      <c r="Z494" s="197"/>
    </row>
    <row r="495" ht="61.5" customHeight="1">
      <c r="A495" s="197"/>
      <c r="B495" s="197"/>
      <c r="C495" s="197"/>
      <c r="D495" s="197"/>
      <c r="E495" s="197"/>
      <c r="F495" s="197"/>
      <c r="G495" s="197"/>
      <c r="H495" s="197"/>
      <c r="I495" s="197"/>
      <c r="J495" s="197"/>
      <c r="K495" s="197"/>
      <c r="L495" s="197"/>
      <c r="M495" s="197"/>
      <c r="N495" s="197"/>
      <c r="O495" s="197"/>
      <c r="P495" s="197"/>
      <c r="Q495" s="197"/>
      <c r="R495" s="197"/>
      <c r="S495" s="197"/>
      <c r="T495" s="197"/>
      <c r="U495" s="197"/>
      <c r="V495" s="197"/>
      <c r="W495" s="197"/>
      <c r="X495" s="197"/>
      <c r="Y495" s="197"/>
      <c r="Z495" s="197"/>
    </row>
    <row r="496" ht="61.5" customHeight="1">
      <c r="A496" s="197"/>
      <c r="B496" s="197"/>
      <c r="C496" s="197"/>
      <c r="D496" s="197"/>
      <c r="E496" s="197"/>
      <c r="F496" s="197"/>
      <c r="G496" s="197"/>
      <c r="H496" s="197"/>
      <c r="I496" s="197"/>
      <c r="J496" s="197"/>
      <c r="K496" s="197"/>
      <c r="L496" s="197"/>
      <c r="M496" s="197"/>
      <c r="N496" s="197"/>
      <c r="O496" s="197"/>
      <c r="P496" s="197"/>
      <c r="Q496" s="197"/>
      <c r="R496" s="197"/>
      <c r="S496" s="197"/>
      <c r="T496" s="197"/>
      <c r="U496" s="197"/>
      <c r="V496" s="197"/>
      <c r="W496" s="197"/>
      <c r="X496" s="197"/>
      <c r="Y496" s="197"/>
      <c r="Z496" s="197"/>
    </row>
    <row r="497" ht="61.5" customHeight="1">
      <c r="A497" s="197"/>
      <c r="B497" s="197"/>
      <c r="C497" s="197"/>
      <c r="D497" s="197"/>
      <c r="E497" s="197"/>
      <c r="F497" s="197"/>
      <c r="G497" s="197"/>
      <c r="H497" s="197"/>
      <c r="I497" s="197"/>
      <c r="J497" s="197"/>
      <c r="K497" s="197"/>
      <c r="L497" s="197"/>
      <c r="M497" s="197"/>
      <c r="N497" s="197"/>
      <c r="O497" s="197"/>
      <c r="P497" s="197"/>
      <c r="Q497" s="197"/>
      <c r="R497" s="197"/>
      <c r="S497" s="197"/>
      <c r="T497" s="197"/>
      <c r="U497" s="197"/>
      <c r="V497" s="197"/>
      <c r="W497" s="197"/>
      <c r="X497" s="197"/>
      <c r="Y497" s="197"/>
      <c r="Z497" s="197"/>
    </row>
    <row r="498" ht="61.5" customHeight="1">
      <c r="A498" s="197"/>
      <c r="B498" s="197"/>
      <c r="C498" s="197"/>
      <c r="D498" s="197"/>
      <c r="E498" s="197"/>
      <c r="F498" s="197"/>
      <c r="G498" s="197"/>
      <c r="H498" s="197"/>
      <c r="I498" s="197"/>
      <c r="J498" s="197"/>
      <c r="K498" s="197"/>
      <c r="L498" s="197"/>
      <c r="M498" s="197"/>
      <c r="N498" s="197"/>
      <c r="O498" s="197"/>
      <c r="P498" s="197"/>
      <c r="Q498" s="197"/>
      <c r="R498" s="197"/>
      <c r="S498" s="197"/>
      <c r="T498" s="197"/>
      <c r="U498" s="197"/>
      <c r="V498" s="197"/>
      <c r="W498" s="197"/>
      <c r="X498" s="197"/>
      <c r="Y498" s="197"/>
      <c r="Z498" s="197"/>
    </row>
    <row r="499" ht="61.5" customHeight="1">
      <c r="A499" s="197"/>
      <c r="B499" s="197"/>
      <c r="C499" s="197"/>
      <c r="D499" s="197"/>
      <c r="E499" s="197"/>
      <c r="F499" s="197"/>
      <c r="G499" s="197"/>
      <c r="H499" s="197"/>
      <c r="I499" s="197"/>
      <c r="J499" s="197"/>
      <c r="K499" s="197"/>
      <c r="L499" s="197"/>
      <c r="M499" s="197"/>
      <c r="N499" s="197"/>
      <c r="O499" s="197"/>
      <c r="P499" s="197"/>
      <c r="Q499" s="197"/>
      <c r="R499" s="197"/>
      <c r="S499" s="197"/>
      <c r="T499" s="197"/>
      <c r="U499" s="197"/>
      <c r="V499" s="197"/>
      <c r="W499" s="197"/>
      <c r="X499" s="197"/>
      <c r="Y499" s="197"/>
      <c r="Z499" s="197"/>
    </row>
    <row r="500" ht="61.5" customHeight="1">
      <c r="A500" s="197"/>
      <c r="B500" s="197"/>
      <c r="C500" s="197"/>
      <c r="D500" s="197"/>
      <c r="E500" s="197"/>
      <c r="F500" s="197"/>
      <c r="G500" s="197"/>
      <c r="H500" s="197"/>
      <c r="I500" s="197"/>
      <c r="J500" s="197"/>
      <c r="K500" s="197"/>
      <c r="L500" s="197"/>
      <c r="M500" s="197"/>
      <c r="N500" s="197"/>
      <c r="O500" s="197"/>
      <c r="P500" s="197"/>
      <c r="Q500" s="197"/>
      <c r="R500" s="197"/>
      <c r="S500" s="197"/>
      <c r="T500" s="197"/>
      <c r="U500" s="197"/>
      <c r="V500" s="197"/>
      <c r="W500" s="197"/>
      <c r="X500" s="197"/>
      <c r="Y500" s="197"/>
      <c r="Z500" s="197"/>
    </row>
    <row r="501" ht="61.5" customHeight="1">
      <c r="A501" s="197"/>
      <c r="B501" s="197"/>
      <c r="C501" s="197"/>
      <c r="D501" s="197"/>
      <c r="E501" s="197"/>
      <c r="F501" s="197"/>
      <c r="G501" s="197"/>
      <c r="H501" s="197"/>
      <c r="I501" s="197"/>
      <c r="J501" s="197"/>
      <c r="K501" s="197"/>
      <c r="L501" s="197"/>
      <c r="M501" s="197"/>
      <c r="N501" s="197"/>
      <c r="O501" s="197"/>
      <c r="P501" s="197"/>
      <c r="Q501" s="197"/>
      <c r="R501" s="197"/>
      <c r="S501" s="197"/>
      <c r="T501" s="197"/>
      <c r="U501" s="197"/>
      <c r="V501" s="197"/>
      <c r="W501" s="197"/>
      <c r="X501" s="197"/>
      <c r="Y501" s="197"/>
      <c r="Z501" s="197"/>
    </row>
    <row r="502" ht="61.5" customHeight="1">
      <c r="A502" s="197"/>
      <c r="B502" s="197"/>
      <c r="C502" s="197"/>
      <c r="D502" s="197"/>
      <c r="E502" s="197"/>
      <c r="F502" s="197"/>
      <c r="G502" s="197"/>
      <c r="H502" s="197"/>
      <c r="I502" s="197"/>
      <c r="J502" s="197"/>
      <c r="K502" s="197"/>
      <c r="L502" s="197"/>
      <c r="M502" s="197"/>
      <c r="N502" s="197"/>
      <c r="O502" s="197"/>
      <c r="P502" s="197"/>
      <c r="Q502" s="197"/>
      <c r="R502" s="197"/>
      <c r="S502" s="197"/>
      <c r="T502" s="197"/>
      <c r="U502" s="197"/>
      <c r="V502" s="197"/>
      <c r="W502" s="197"/>
      <c r="X502" s="197"/>
      <c r="Y502" s="197"/>
      <c r="Z502" s="197"/>
    </row>
    <row r="503" ht="61.5" customHeight="1">
      <c r="A503" s="197"/>
      <c r="B503" s="197"/>
      <c r="C503" s="197"/>
      <c r="D503" s="197"/>
      <c r="E503" s="197"/>
      <c r="F503" s="197"/>
      <c r="G503" s="197"/>
      <c r="H503" s="197"/>
      <c r="I503" s="197"/>
      <c r="J503" s="197"/>
      <c r="K503" s="197"/>
      <c r="L503" s="197"/>
      <c r="M503" s="197"/>
      <c r="N503" s="197"/>
      <c r="O503" s="197"/>
      <c r="P503" s="197"/>
      <c r="Q503" s="197"/>
      <c r="R503" s="197"/>
      <c r="S503" s="197"/>
      <c r="T503" s="197"/>
      <c r="U503" s="197"/>
      <c r="V503" s="197"/>
      <c r="W503" s="197"/>
      <c r="X503" s="197"/>
      <c r="Y503" s="197"/>
      <c r="Z503" s="197"/>
    </row>
    <row r="504" ht="61.5" customHeight="1">
      <c r="A504" s="197"/>
      <c r="B504" s="197"/>
      <c r="C504" s="197"/>
      <c r="D504" s="197"/>
      <c r="E504" s="197"/>
      <c r="F504" s="197"/>
      <c r="G504" s="197"/>
      <c r="H504" s="197"/>
      <c r="I504" s="197"/>
      <c r="J504" s="197"/>
      <c r="K504" s="197"/>
      <c r="L504" s="197"/>
      <c r="M504" s="197"/>
      <c r="N504" s="197"/>
      <c r="O504" s="197"/>
      <c r="P504" s="197"/>
      <c r="Q504" s="197"/>
      <c r="R504" s="197"/>
      <c r="S504" s="197"/>
      <c r="T504" s="197"/>
      <c r="U504" s="197"/>
      <c r="V504" s="197"/>
      <c r="W504" s="197"/>
      <c r="X504" s="197"/>
      <c r="Y504" s="197"/>
      <c r="Z504" s="197"/>
    </row>
    <row r="505" ht="61.5" customHeight="1">
      <c r="A505" s="197"/>
      <c r="B505" s="197"/>
      <c r="C505" s="197"/>
      <c r="D505" s="197"/>
      <c r="E505" s="197"/>
      <c r="F505" s="197"/>
      <c r="G505" s="197"/>
      <c r="H505" s="197"/>
      <c r="I505" s="197"/>
      <c r="J505" s="197"/>
      <c r="K505" s="197"/>
      <c r="L505" s="197"/>
      <c r="M505" s="197"/>
      <c r="N505" s="197"/>
      <c r="O505" s="197"/>
      <c r="P505" s="197"/>
      <c r="Q505" s="197"/>
      <c r="R505" s="197"/>
      <c r="S505" s="197"/>
      <c r="T505" s="197"/>
      <c r="U505" s="197"/>
      <c r="V505" s="197"/>
      <c r="W505" s="197"/>
      <c r="X505" s="197"/>
      <c r="Y505" s="197"/>
      <c r="Z505" s="197"/>
    </row>
    <row r="506" ht="61.5" customHeight="1">
      <c r="A506" s="197"/>
      <c r="B506" s="197"/>
      <c r="C506" s="197"/>
      <c r="D506" s="197"/>
      <c r="E506" s="197"/>
      <c r="F506" s="197"/>
      <c r="G506" s="197"/>
      <c r="H506" s="197"/>
      <c r="I506" s="197"/>
      <c r="J506" s="197"/>
      <c r="K506" s="197"/>
      <c r="L506" s="197"/>
      <c r="M506" s="197"/>
      <c r="N506" s="197"/>
      <c r="O506" s="197"/>
      <c r="P506" s="197"/>
      <c r="Q506" s="197"/>
      <c r="R506" s="197"/>
      <c r="S506" s="197"/>
      <c r="T506" s="197"/>
      <c r="U506" s="197"/>
      <c r="V506" s="197"/>
      <c r="W506" s="197"/>
      <c r="X506" s="197"/>
      <c r="Y506" s="197"/>
      <c r="Z506" s="197"/>
    </row>
    <row r="507" ht="61.5" customHeight="1">
      <c r="A507" s="197"/>
      <c r="B507" s="197"/>
      <c r="C507" s="197"/>
      <c r="D507" s="197"/>
      <c r="E507" s="197"/>
      <c r="F507" s="197"/>
      <c r="G507" s="197"/>
      <c r="H507" s="197"/>
      <c r="I507" s="197"/>
      <c r="J507" s="197"/>
      <c r="K507" s="197"/>
      <c r="L507" s="197"/>
      <c r="M507" s="197"/>
      <c r="N507" s="197"/>
      <c r="O507" s="197"/>
      <c r="P507" s="197"/>
      <c r="Q507" s="197"/>
      <c r="R507" s="197"/>
      <c r="S507" s="197"/>
      <c r="T507" s="197"/>
      <c r="U507" s="197"/>
      <c r="V507" s="197"/>
      <c r="W507" s="197"/>
      <c r="X507" s="197"/>
      <c r="Y507" s="197"/>
      <c r="Z507" s="197"/>
    </row>
    <row r="508" ht="61.5" customHeight="1">
      <c r="A508" s="197"/>
      <c r="B508" s="197"/>
      <c r="C508" s="197"/>
      <c r="D508" s="197"/>
      <c r="E508" s="197"/>
      <c r="F508" s="197"/>
      <c r="G508" s="197"/>
      <c r="H508" s="197"/>
      <c r="I508" s="197"/>
      <c r="J508" s="197"/>
      <c r="K508" s="197"/>
      <c r="L508" s="197"/>
      <c r="M508" s="197"/>
      <c r="N508" s="197"/>
      <c r="O508" s="197"/>
      <c r="P508" s="197"/>
      <c r="Q508" s="197"/>
      <c r="R508" s="197"/>
      <c r="S508" s="197"/>
      <c r="T508" s="197"/>
      <c r="U508" s="197"/>
      <c r="V508" s="197"/>
      <c r="W508" s="197"/>
      <c r="X508" s="197"/>
      <c r="Y508" s="197"/>
      <c r="Z508" s="197"/>
    </row>
    <row r="509" ht="61.5" customHeight="1">
      <c r="A509" s="197"/>
      <c r="B509" s="197"/>
      <c r="C509" s="197"/>
      <c r="D509" s="197"/>
      <c r="E509" s="197"/>
      <c r="F509" s="197"/>
      <c r="G509" s="197"/>
      <c r="H509" s="197"/>
      <c r="I509" s="197"/>
      <c r="J509" s="197"/>
      <c r="K509" s="197"/>
      <c r="L509" s="197"/>
      <c r="M509" s="197"/>
      <c r="N509" s="197"/>
      <c r="O509" s="197"/>
      <c r="P509" s="197"/>
      <c r="Q509" s="197"/>
      <c r="R509" s="197"/>
      <c r="S509" s="197"/>
      <c r="T509" s="197"/>
      <c r="U509" s="197"/>
      <c r="V509" s="197"/>
      <c r="W509" s="197"/>
      <c r="X509" s="197"/>
      <c r="Y509" s="197"/>
      <c r="Z509" s="197"/>
    </row>
    <row r="510" ht="61.5" customHeight="1">
      <c r="A510" s="197"/>
      <c r="B510" s="197"/>
      <c r="C510" s="197"/>
      <c r="D510" s="197"/>
      <c r="E510" s="197"/>
      <c r="F510" s="197"/>
      <c r="G510" s="197"/>
      <c r="H510" s="197"/>
      <c r="I510" s="197"/>
      <c r="J510" s="197"/>
      <c r="K510" s="197"/>
      <c r="L510" s="197"/>
      <c r="M510" s="197"/>
      <c r="N510" s="197"/>
      <c r="O510" s="197"/>
      <c r="P510" s="197"/>
      <c r="Q510" s="197"/>
      <c r="R510" s="197"/>
      <c r="S510" s="197"/>
      <c r="T510" s="197"/>
      <c r="U510" s="197"/>
      <c r="V510" s="197"/>
      <c r="W510" s="197"/>
      <c r="X510" s="197"/>
      <c r="Y510" s="197"/>
      <c r="Z510" s="197"/>
    </row>
    <row r="511" ht="61.5" customHeight="1">
      <c r="A511" s="197"/>
      <c r="B511" s="197"/>
      <c r="C511" s="197"/>
      <c r="D511" s="197"/>
      <c r="E511" s="197"/>
      <c r="F511" s="197"/>
      <c r="G511" s="197"/>
      <c r="H511" s="197"/>
      <c r="I511" s="197"/>
      <c r="J511" s="197"/>
      <c r="K511" s="197"/>
      <c r="L511" s="197"/>
      <c r="M511" s="197"/>
      <c r="N511" s="197"/>
      <c r="O511" s="197"/>
      <c r="P511" s="197"/>
      <c r="Q511" s="197"/>
      <c r="R511" s="197"/>
      <c r="S511" s="197"/>
      <c r="T511" s="197"/>
      <c r="U511" s="197"/>
      <c r="V511" s="197"/>
      <c r="W511" s="197"/>
      <c r="X511" s="197"/>
      <c r="Y511" s="197"/>
      <c r="Z511" s="197"/>
    </row>
    <row r="512" ht="61.5" customHeight="1">
      <c r="A512" s="197"/>
      <c r="B512" s="197"/>
      <c r="C512" s="197"/>
      <c r="D512" s="197"/>
      <c r="E512" s="197"/>
      <c r="F512" s="197"/>
      <c r="G512" s="197"/>
      <c r="H512" s="197"/>
      <c r="I512" s="197"/>
      <c r="J512" s="197"/>
      <c r="K512" s="197"/>
      <c r="L512" s="197"/>
      <c r="M512" s="197"/>
      <c r="N512" s="197"/>
      <c r="O512" s="197"/>
      <c r="P512" s="197"/>
      <c r="Q512" s="197"/>
      <c r="R512" s="197"/>
      <c r="S512" s="197"/>
      <c r="T512" s="197"/>
      <c r="U512" s="197"/>
      <c r="V512" s="197"/>
      <c r="W512" s="197"/>
      <c r="X512" s="197"/>
      <c r="Y512" s="197"/>
      <c r="Z512" s="197"/>
    </row>
    <row r="513" ht="61.5" customHeight="1">
      <c r="A513" s="197"/>
      <c r="B513" s="197"/>
      <c r="C513" s="197"/>
      <c r="D513" s="197"/>
      <c r="E513" s="197"/>
      <c r="F513" s="197"/>
      <c r="G513" s="197"/>
      <c r="H513" s="197"/>
      <c r="I513" s="197"/>
      <c r="J513" s="197"/>
      <c r="K513" s="197"/>
      <c r="L513" s="197"/>
      <c r="M513" s="197"/>
      <c r="N513" s="197"/>
      <c r="O513" s="197"/>
      <c r="P513" s="197"/>
      <c r="Q513" s="197"/>
      <c r="R513" s="197"/>
      <c r="S513" s="197"/>
      <c r="T513" s="197"/>
      <c r="U513" s="197"/>
      <c r="V513" s="197"/>
      <c r="W513" s="197"/>
      <c r="X513" s="197"/>
      <c r="Y513" s="197"/>
      <c r="Z513" s="197"/>
    </row>
    <row r="514" ht="61.5" customHeight="1">
      <c r="A514" s="197"/>
      <c r="B514" s="197"/>
      <c r="C514" s="197"/>
      <c r="D514" s="197"/>
      <c r="E514" s="197"/>
      <c r="F514" s="197"/>
      <c r="G514" s="197"/>
      <c r="H514" s="197"/>
      <c r="I514" s="197"/>
      <c r="J514" s="197"/>
      <c r="K514" s="197"/>
      <c r="L514" s="197"/>
      <c r="M514" s="197"/>
      <c r="N514" s="197"/>
      <c r="O514" s="197"/>
      <c r="P514" s="197"/>
      <c r="Q514" s="197"/>
      <c r="R514" s="197"/>
      <c r="S514" s="197"/>
      <c r="T514" s="197"/>
      <c r="U514" s="197"/>
      <c r="V514" s="197"/>
      <c r="W514" s="197"/>
      <c r="X514" s="197"/>
      <c r="Y514" s="197"/>
      <c r="Z514" s="197"/>
    </row>
    <row r="515" ht="61.5" customHeight="1">
      <c r="A515" s="197"/>
      <c r="B515" s="197"/>
      <c r="C515" s="197"/>
      <c r="D515" s="197"/>
      <c r="E515" s="197"/>
      <c r="F515" s="197"/>
      <c r="G515" s="197"/>
      <c r="H515" s="197"/>
      <c r="I515" s="197"/>
      <c r="J515" s="197"/>
      <c r="K515" s="197"/>
      <c r="L515" s="197"/>
      <c r="M515" s="197"/>
      <c r="N515" s="197"/>
      <c r="O515" s="197"/>
      <c r="P515" s="197"/>
      <c r="Q515" s="197"/>
      <c r="R515" s="197"/>
      <c r="S515" s="197"/>
      <c r="T515" s="197"/>
      <c r="U515" s="197"/>
      <c r="V515" s="197"/>
      <c r="W515" s="197"/>
      <c r="X515" s="197"/>
      <c r="Y515" s="197"/>
      <c r="Z515" s="197"/>
    </row>
    <row r="516" ht="61.5" customHeight="1">
      <c r="A516" s="197"/>
      <c r="B516" s="197"/>
      <c r="C516" s="197"/>
      <c r="D516" s="197"/>
      <c r="E516" s="197"/>
      <c r="F516" s="197"/>
      <c r="G516" s="197"/>
      <c r="H516" s="197"/>
      <c r="I516" s="197"/>
      <c r="J516" s="197"/>
      <c r="K516" s="197"/>
      <c r="L516" s="197"/>
      <c r="M516" s="197"/>
      <c r="N516" s="197"/>
      <c r="O516" s="197"/>
      <c r="P516" s="197"/>
      <c r="Q516" s="197"/>
      <c r="R516" s="197"/>
      <c r="S516" s="197"/>
      <c r="T516" s="197"/>
      <c r="U516" s="197"/>
      <c r="V516" s="197"/>
      <c r="W516" s="197"/>
      <c r="X516" s="197"/>
      <c r="Y516" s="197"/>
      <c r="Z516" s="197"/>
    </row>
    <row r="517" ht="61.5" customHeight="1">
      <c r="A517" s="197"/>
      <c r="B517" s="197"/>
      <c r="C517" s="197"/>
      <c r="D517" s="197"/>
      <c r="E517" s="197"/>
      <c r="F517" s="197"/>
      <c r="G517" s="197"/>
      <c r="H517" s="197"/>
      <c r="I517" s="197"/>
      <c r="J517" s="197"/>
      <c r="K517" s="197"/>
      <c r="L517" s="197"/>
      <c r="M517" s="197"/>
      <c r="N517" s="197"/>
      <c r="O517" s="197"/>
      <c r="P517" s="197"/>
      <c r="Q517" s="197"/>
      <c r="R517" s="197"/>
      <c r="S517" s="197"/>
      <c r="T517" s="197"/>
      <c r="U517" s="197"/>
      <c r="V517" s="197"/>
      <c r="W517" s="197"/>
      <c r="X517" s="197"/>
      <c r="Y517" s="197"/>
      <c r="Z517" s="197"/>
    </row>
    <row r="518" ht="61.5" customHeight="1">
      <c r="A518" s="197"/>
      <c r="B518" s="197"/>
      <c r="C518" s="197"/>
      <c r="D518" s="197"/>
      <c r="E518" s="197"/>
      <c r="F518" s="197"/>
      <c r="G518" s="197"/>
      <c r="H518" s="197"/>
      <c r="I518" s="197"/>
      <c r="J518" s="197"/>
      <c r="K518" s="197"/>
      <c r="L518" s="197"/>
      <c r="M518" s="197"/>
      <c r="N518" s="197"/>
      <c r="O518" s="197"/>
      <c r="P518" s="197"/>
      <c r="Q518" s="197"/>
      <c r="R518" s="197"/>
      <c r="S518" s="197"/>
      <c r="T518" s="197"/>
      <c r="U518" s="197"/>
      <c r="V518" s="197"/>
      <c r="W518" s="197"/>
      <c r="X518" s="197"/>
      <c r="Y518" s="197"/>
      <c r="Z518" s="197"/>
    </row>
    <row r="519" ht="61.5" customHeight="1">
      <c r="A519" s="197"/>
      <c r="B519" s="197"/>
      <c r="C519" s="197"/>
      <c r="D519" s="197"/>
      <c r="E519" s="197"/>
      <c r="F519" s="197"/>
      <c r="G519" s="197"/>
      <c r="H519" s="197"/>
      <c r="I519" s="197"/>
      <c r="J519" s="197"/>
      <c r="K519" s="197"/>
      <c r="L519" s="197"/>
      <c r="M519" s="197"/>
      <c r="N519" s="197"/>
      <c r="O519" s="197"/>
      <c r="P519" s="197"/>
      <c r="Q519" s="197"/>
      <c r="R519" s="197"/>
      <c r="S519" s="197"/>
      <c r="T519" s="197"/>
      <c r="U519" s="197"/>
      <c r="V519" s="197"/>
      <c r="W519" s="197"/>
      <c r="X519" s="197"/>
      <c r="Y519" s="197"/>
      <c r="Z519" s="197"/>
    </row>
    <row r="520" ht="61.5" customHeight="1">
      <c r="A520" s="197"/>
      <c r="B520" s="197"/>
      <c r="C520" s="197"/>
      <c r="D520" s="197"/>
      <c r="E520" s="197"/>
      <c r="F520" s="197"/>
      <c r="G520" s="197"/>
      <c r="H520" s="197"/>
      <c r="I520" s="197"/>
      <c r="J520" s="197"/>
      <c r="K520" s="197"/>
      <c r="L520" s="197"/>
      <c r="M520" s="197"/>
      <c r="N520" s="197"/>
      <c r="O520" s="197"/>
      <c r="P520" s="197"/>
      <c r="Q520" s="197"/>
      <c r="R520" s="197"/>
      <c r="S520" s="197"/>
      <c r="T520" s="197"/>
      <c r="U520" s="197"/>
      <c r="V520" s="197"/>
      <c r="W520" s="197"/>
      <c r="X520" s="197"/>
      <c r="Y520" s="197"/>
      <c r="Z520" s="197"/>
    </row>
    <row r="521" ht="61.5" customHeight="1">
      <c r="A521" s="197"/>
      <c r="B521" s="197"/>
      <c r="C521" s="197"/>
      <c r="D521" s="197"/>
      <c r="E521" s="197"/>
      <c r="F521" s="197"/>
      <c r="G521" s="197"/>
      <c r="H521" s="197"/>
      <c r="I521" s="197"/>
      <c r="J521" s="197"/>
      <c r="K521" s="197"/>
      <c r="L521" s="197"/>
      <c r="M521" s="197"/>
      <c r="N521" s="197"/>
      <c r="O521" s="197"/>
      <c r="P521" s="197"/>
      <c r="Q521" s="197"/>
      <c r="R521" s="197"/>
      <c r="S521" s="197"/>
      <c r="T521" s="197"/>
      <c r="U521" s="197"/>
      <c r="V521" s="197"/>
      <c r="W521" s="197"/>
      <c r="X521" s="197"/>
      <c r="Y521" s="197"/>
      <c r="Z521" s="197"/>
    </row>
    <row r="522" ht="61.5" customHeight="1">
      <c r="A522" s="197"/>
      <c r="B522" s="197"/>
      <c r="C522" s="197"/>
      <c r="D522" s="197"/>
      <c r="E522" s="197"/>
      <c r="F522" s="197"/>
      <c r="G522" s="197"/>
      <c r="H522" s="197"/>
      <c r="I522" s="197"/>
      <c r="J522" s="197"/>
      <c r="K522" s="197"/>
      <c r="L522" s="197"/>
      <c r="M522" s="197"/>
      <c r="N522" s="197"/>
      <c r="O522" s="197"/>
      <c r="P522" s="197"/>
      <c r="Q522" s="197"/>
      <c r="R522" s="197"/>
      <c r="S522" s="197"/>
      <c r="T522" s="197"/>
      <c r="U522" s="197"/>
      <c r="V522" s="197"/>
      <c r="W522" s="197"/>
      <c r="X522" s="197"/>
      <c r="Y522" s="197"/>
      <c r="Z522" s="197"/>
    </row>
    <row r="523" ht="61.5" customHeight="1">
      <c r="A523" s="197"/>
      <c r="B523" s="197"/>
      <c r="C523" s="197"/>
      <c r="D523" s="197"/>
      <c r="E523" s="197"/>
      <c r="F523" s="197"/>
      <c r="G523" s="197"/>
      <c r="H523" s="197"/>
      <c r="I523" s="197"/>
      <c r="J523" s="197"/>
      <c r="K523" s="197"/>
      <c r="L523" s="197"/>
      <c r="M523" s="197"/>
      <c r="N523" s="197"/>
      <c r="O523" s="197"/>
      <c r="P523" s="197"/>
      <c r="Q523" s="197"/>
      <c r="R523" s="197"/>
      <c r="S523" s="197"/>
      <c r="T523" s="197"/>
      <c r="U523" s="197"/>
      <c r="V523" s="197"/>
      <c r="W523" s="197"/>
      <c r="X523" s="197"/>
      <c r="Y523" s="197"/>
      <c r="Z523" s="197"/>
    </row>
    <row r="524" ht="61.5" customHeight="1">
      <c r="A524" s="197"/>
      <c r="B524" s="197"/>
      <c r="C524" s="197"/>
      <c r="D524" s="197"/>
      <c r="E524" s="197"/>
      <c r="F524" s="197"/>
      <c r="G524" s="197"/>
      <c r="H524" s="197"/>
      <c r="I524" s="197"/>
      <c r="J524" s="197"/>
      <c r="K524" s="197"/>
      <c r="L524" s="197"/>
      <c r="M524" s="197"/>
      <c r="N524" s="197"/>
      <c r="O524" s="197"/>
      <c r="P524" s="197"/>
      <c r="Q524" s="197"/>
      <c r="R524" s="197"/>
      <c r="S524" s="197"/>
      <c r="T524" s="197"/>
      <c r="U524" s="197"/>
      <c r="V524" s="197"/>
      <c r="W524" s="197"/>
      <c r="X524" s="197"/>
      <c r="Y524" s="197"/>
      <c r="Z524" s="197"/>
    </row>
    <row r="525" ht="61.5" customHeight="1">
      <c r="A525" s="197"/>
      <c r="B525" s="197"/>
      <c r="C525" s="197"/>
      <c r="D525" s="197"/>
      <c r="E525" s="197"/>
      <c r="F525" s="197"/>
      <c r="G525" s="197"/>
      <c r="H525" s="197"/>
      <c r="I525" s="197"/>
      <c r="J525" s="197"/>
      <c r="K525" s="197"/>
      <c r="L525" s="197"/>
      <c r="M525" s="197"/>
      <c r="N525" s="197"/>
      <c r="O525" s="197"/>
      <c r="P525" s="197"/>
      <c r="Q525" s="197"/>
      <c r="R525" s="197"/>
      <c r="S525" s="197"/>
      <c r="T525" s="197"/>
      <c r="U525" s="197"/>
      <c r="V525" s="197"/>
      <c r="W525" s="197"/>
      <c r="X525" s="197"/>
      <c r="Y525" s="197"/>
      <c r="Z525" s="197"/>
    </row>
    <row r="526" ht="61.5" customHeight="1">
      <c r="A526" s="197"/>
      <c r="B526" s="197"/>
      <c r="C526" s="197"/>
      <c r="D526" s="197"/>
      <c r="E526" s="197"/>
      <c r="F526" s="197"/>
      <c r="G526" s="197"/>
      <c r="H526" s="197"/>
      <c r="I526" s="197"/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  <c r="U526" s="197"/>
      <c r="V526" s="197"/>
      <c r="W526" s="197"/>
      <c r="X526" s="197"/>
      <c r="Y526" s="197"/>
      <c r="Z526" s="197"/>
    </row>
    <row r="527" ht="61.5" customHeight="1">
      <c r="A527" s="197"/>
      <c r="B527" s="197"/>
      <c r="C527" s="197"/>
      <c r="D527" s="197"/>
      <c r="E527" s="197"/>
      <c r="F527" s="197"/>
      <c r="G527" s="197"/>
      <c r="H527" s="197"/>
      <c r="I527" s="197"/>
      <c r="J527" s="197"/>
      <c r="K527" s="197"/>
      <c r="L527" s="197"/>
      <c r="M527" s="197"/>
      <c r="N527" s="197"/>
      <c r="O527" s="197"/>
      <c r="P527" s="197"/>
      <c r="Q527" s="197"/>
      <c r="R527" s="197"/>
      <c r="S527" s="197"/>
      <c r="T527" s="197"/>
      <c r="U527" s="197"/>
      <c r="V527" s="197"/>
      <c r="W527" s="197"/>
      <c r="X527" s="197"/>
      <c r="Y527" s="197"/>
      <c r="Z527" s="197"/>
    </row>
    <row r="528" ht="61.5" customHeight="1">
      <c r="A528" s="197"/>
      <c r="B528" s="197"/>
      <c r="C528" s="197"/>
      <c r="D528" s="197"/>
      <c r="E528" s="197"/>
      <c r="F528" s="197"/>
      <c r="G528" s="197"/>
      <c r="H528" s="197"/>
      <c r="I528" s="197"/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  <c r="U528" s="197"/>
      <c r="V528" s="197"/>
      <c r="W528" s="197"/>
      <c r="X528" s="197"/>
      <c r="Y528" s="197"/>
      <c r="Z528" s="197"/>
    </row>
    <row r="529" ht="61.5" customHeight="1">
      <c r="A529" s="197"/>
      <c r="B529" s="197"/>
      <c r="C529" s="197"/>
      <c r="D529" s="197"/>
      <c r="E529" s="197"/>
      <c r="F529" s="197"/>
      <c r="G529" s="197"/>
      <c r="H529" s="197"/>
      <c r="I529" s="197"/>
      <c r="J529" s="197"/>
      <c r="K529" s="197"/>
      <c r="L529" s="197"/>
      <c r="M529" s="197"/>
      <c r="N529" s="197"/>
      <c r="O529" s="197"/>
      <c r="P529" s="197"/>
      <c r="Q529" s="197"/>
      <c r="R529" s="197"/>
      <c r="S529" s="197"/>
      <c r="T529" s="197"/>
      <c r="U529" s="197"/>
      <c r="V529" s="197"/>
      <c r="W529" s="197"/>
      <c r="X529" s="197"/>
      <c r="Y529" s="197"/>
      <c r="Z529" s="197"/>
    </row>
    <row r="530" ht="61.5" customHeight="1">
      <c r="A530" s="197"/>
      <c r="B530" s="197"/>
      <c r="C530" s="197"/>
      <c r="D530" s="197"/>
      <c r="E530" s="197"/>
      <c r="F530" s="197"/>
      <c r="G530" s="197"/>
      <c r="H530" s="197"/>
      <c r="I530" s="197"/>
      <c r="J530" s="197"/>
      <c r="K530" s="197"/>
      <c r="L530" s="197"/>
      <c r="M530" s="197"/>
      <c r="N530" s="197"/>
      <c r="O530" s="197"/>
      <c r="P530" s="197"/>
      <c r="Q530" s="197"/>
      <c r="R530" s="197"/>
      <c r="S530" s="197"/>
      <c r="T530" s="197"/>
      <c r="U530" s="197"/>
      <c r="V530" s="197"/>
      <c r="W530" s="197"/>
      <c r="X530" s="197"/>
      <c r="Y530" s="197"/>
      <c r="Z530" s="197"/>
    </row>
    <row r="531" ht="61.5" customHeight="1">
      <c r="A531" s="197"/>
      <c r="B531" s="197"/>
      <c r="C531" s="197"/>
      <c r="D531" s="197"/>
      <c r="E531" s="197"/>
      <c r="F531" s="197"/>
      <c r="G531" s="197"/>
      <c r="H531" s="197"/>
      <c r="I531" s="197"/>
      <c r="J531" s="197"/>
      <c r="K531" s="197"/>
      <c r="L531" s="197"/>
      <c r="M531" s="197"/>
      <c r="N531" s="197"/>
      <c r="O531" s="197"/>
      <c r="P531" s="197"/>
      <c r="Q531" s="197"/>
      <c r="R531" s="197"/>
      <c r="S531" s="197"/>
      <c r="T531" s="197"/>
      <c r="U531" s="197"/>
      <c r="V531" s="197"/>
      <c r="W531" s="197"/>
      <c r="X531" s="197"/>
      <c r="Y531" s="197"/>
      <c r="Z531" s="197"/>
    </row>
    <row r="532" ht="61.5" customHeight="1">
      <c r="A532" s="197"/>
      <c r="B532" s="197"/>
      <c r="C532" s="197"/>
      <c r="D532" s="197"/>
      <c r="E532" s="197"/>
      <c r="F532" s="197"/>
      <c r="G532" s="197"/>
      <c r="H532" s="197"/>
      <c r="I532" s="197"/>
      <c r="J532" s="197"/>
      <c r="K532" s="197"/>
      <c r="L532" s="197"/>
      <c r="M532" s="197"/>
      <c r="N532" s="197"/>
      <c r="O532" s="197"/>
      <c r="P532" s="197"/>
      <c r="Q532" s="197"/>
      <c r="R532" s="197"/>
      <c r="S532" s="197"/>
      <c r="T532" s="197"/>
      <c r="U532" s="197"/>
      <c r="V532" s="197"/>
      <c r="W532" s="197"/>
      <c r="X532" s="197"/>
      <c r="Y532" s="197"/>
      <c r="Z532" s="197"/>
    </row>
    <row r="533" ht="61.5" customHeight="1">
      <c r="A533" s="197"/>
      <c r="B533" s="197"/>
      <c r="C533" s="197"/>
      <c r="D533" s="197"/>
      <c r="E533" s="197"/>
      <c r="F533" s="197"/>
      <c r="G533" s="197"/>
      <c r="H533" s="197"/>
      <c r="I533" s="197"/>
      <c r="J533" s="197"/>
      <c r="K533" s="197"/>
      <c r="L533" s="197"/>
      <c r="M533" s="197"/>
      <c r="N533" s="197"/>
      <c r="O533" s="197"/>
      <c r="P533" s="197"/>
      <c r="Q533" s="197"/>
      <c r="R533" s="197"/>
      <c r="S533" s="197"/>
      <c r="T533" s="197"/>
      <c r="U533" s="197"/>
      <c r="V533" s="197"/>
      <c r="W533" s="197"/>
      <c r="X533" s="197"/>
      <c r="Y533" s="197"/>
      <c r="Z533" s="197"/>
    </row>
    <row r="534" ht="61.5" customHeight="1">
      <c r="A534" s="197"/>
      <c r="B534" s="197"/>
      <c r="C534" s="197"/>
      <c r="D534" s="197"/>
      <c r="E534" s="197"/>
      <c r="F534" s="197"/>
      <c r="G534" s="197"/>
      <c r="H534" s="197"/>
      <c r="I534" s="197"/>
      <c r="J534" s="197"/>
      <c r="K534" s="197"/>
      <c r="L534" s="197"/>
      <c r="M534" s="197"/>
      <c r="N534" s="197"/>
      <c r="O534" s="197"/>
      <c r="P534" s="197"/>
      <c r="Q534" s="197"/>
      <c r="R534" s="197"/>
      <c r="S534" s="197"/>
      <c r="T534" s="197"/>
      <c r="U534" s="197"/>
      <c r="V534" s="197"/>
      <c r="W534" s="197"/>
      <c r="X534" s="197"/>
      <c r="Y534" s="197"/>
      <c r="Z534" s="197"/>
    </row>
    <row r="535" ht="61.5" customHeight="1">
      <c r="A535" s="197"/>
      <c r="B535" s="197"/>
      <c r="C535" s="197"/>
      <c r="D535" s="197"/>
      <c r="E535" s="197"/>
      <c r="F535" s="197"/>
      <c r="G535" s="197"/>
      <c r="H535" s="197"/>
      <c r="I535" s="197"/>
      <c r="J535" s="197"/>
      <c r="K535" s="197"/>
      <c r="L535" s="197"/>
      <c r="M535" s="197"/>
      <c r="N535" s="197"/>
      <c r="O535" s="197"/>
      <c r="P535" s="197"/>
      <c r="Q535" s="197"/>
      <c r="R535" s="197"/>
      <c r="S535" s="197"/>
      <c r="T535" s="197"/>
      <c r="U535" s="197"/>
      <c r="V535" s="197"/>
      <c r="W535" s="197"/>
      <c r="X535" s="197"/>
      <c r="Y535" s="197"/>
      <c r="Z535" s="197"/>
    </row>
    <row r="536" ht="61.5" customHeight="1">
      <c r="A536" s="197"/>
      <c r="B536" s="197"/>
      <c r="C536" s="197"/>
      <c r="D536" s="197"/>
      <c r="E536" s="197"/>
      <c r="F536" s="197"/>
      <c r="G536" s="197"/>
      <c r="H536" s="197"/>
      <c r="I536" s="197"/>
      <c r="J536" s="197"/>
      <c r="K536" s="197"/>
      <c r="L536" s="197"/>
      <c r="M536" s="197"/>
      <c r="N536" s="197"/>
      <c r="O536" s="197"/>
      <c r="P536" s="197"/>
      <c r="Q536" s="197"/>
      <c r="R536" s="197"/>
      <c r="S536" s="197"/>
      <c r="T536" s="197"/>
      <c r="U536" s="197"/>
      <c r="V536" s="197"/>
      <c r="W536" s="197"/>
      <c r="X536" s="197"/>
      <c r="Y536" s="197"/>
      <c r="Z536" s="197"/>
    </row>
    <row r="537" ht="61.5" customHeight="1">
      <c r="A537" s="197"/>
      <c r="B537" s="197"/>
      <c r="C537" s="197"/>
      <c r="D537" s="197"/>
      <c r="E537" s="197"/>
      <c r="F537" s="197"/>
      <c r="G537" s="197"/>
      <c r="H537" s="197"/>
      <c r="I537" s="197"/>
      <c r="J537" s="197"/>
      <c r="K537" s="197"/>
      <c r="L537" s="197"/>
      <c r="M537" s="197"/>
      <c r="N537" s="197"/>
      <c r="O537" s="197"/>
      <c r="P537" s="197"/>
      <c r="Q537" s="197"/>
      <c r="R537" s="197"/>
      <c r="S537" s="197"/>
      <c r="T537" s="197"/>
      <c r="U537" s="197"/>
      <c r="V537" s="197"/>
      <c r="W537" s="197"/>
      <c r="X537" s="197"/>
      <c r="Y537" s="197"/>
      <c r="Z537" s="197"/>
    </row>
    <row r="538" ht="61.5" customHeight="1">
      <c r="A538" s="197"/>
      <c r="B538" s="197"/>
      <c r="C538" s="197"/>
      <c r="D538" s="197"/>
      <c r="E538" s="197"/>
      <c r="F538" s="197"/>
      <c r="G538" s="197"/>
      <c r="H538" s="197"/>
      <c r="I538" s="197"/>
      <c r="J538" s="197"/>
      <c r="K538" s="197"/>
      <c r="L538" s="197"/>
      <c r="M538" s="197"/>
      <c r="N538" s="197"/>
      <c r="O538" s="197"/>
      <c r="P538" s="197"/>
      <c r="Q538" s="197"/>
      <c r="R538" s="197"/>
      <c r="S538" s="197"/>
      <c r="T538" s="197"/>
      <c r="U538" s="197"/>
      <c r="V538" s="197"/>
      <c r="W538" s="197"/>
      <c r="X538" s="197"/>
      <c r="Y538" s="197"/>
      <c r="Z538" s="197"/>
    </row>
    <row r="539" ht="61.5" customHeight="1">
      <c r="A539" s="197"/>
      <c r="B539" s="197"/>
      <c r="C539" s="197"/>
      <c r="D539" s="197"/>
      <c r="E539" s="197"/>
      <c r="F539" s="197"/>
      <c r="G539" s="197"/>
      <c r="H539" s="197"/>
      <c r="I539" s="197"/>
      <c r="J539" s="197"/>
      <c r="K539" s="197"/>
      <c r="L539" s="197"/>
      <c r="M539" s="197"/>
      <c r="N539" s="197"/>
      <c r="O539" s="197"/>
      <c r="P539" s="197"/>
      <c r="Q539" s="197"/>
      <c r="R539" s="197"/>
      <c r="S539" s="197"/>
      <c r="T539" s="197"/>
      <c r="U539" s="197"/>
      <c r="V539" s="197"/>
      <c r="W539" s="197"/>
      <c r="X539" s="197"/>
      <c r="Y539" s="197"/>
      <c r="Z539" s="197"/>
    </row>
    <row r="540" ht="61.5" customHeight="1">
      <c r="A540" s="197"/>
      <c r="B540" s="197"/>
      <c r="C540" s="197"/>
      <c r="D540" s="197"/>
      <c r="E540" s="197"/>
      <c r="F540" s="197"/>
      <c r="G540" s="197"/>
      <c r="H540" s="197"/>
      <c r="I540" s="197"/>
      <c r="J540" s="197"/>
      <c r="K540" s="197"/>
      <c r="L540" s="197"/>
      <c r="M540" s="197"/>
      <c r="N540" s="197"/>
      <c r="O540" s="197"/>
      <c r="P540" s="197"/>
      <c r="Q540" s="197"/>
      <c r="R540" s="197"/>
      <c r="S540" s="197"/>
      <c r="T540" s="197"/>
      <c r="U540" s="197"/>
      <c r="V540" s="197"/>
      <c r="W540" s="197"/>
      <c r="X540" s="197"/>
      <c r="Y540" s="197"/>
      <c r="Z540" s="197"/>
    </row>
    <row r="541" ht="61.5" customHeight="1">
      <c r="A541" s="197"/>
      <c r="B541" s="197"/>
      <c r="C541" s="197"/>
      <c r="D541" s="197"/>
      <c r="E541" s="197"/>
      <c r="F541" s="197"/>
      <c r="G541" s="197"/>
      <c r="H541" s="197"/>
      <c r="I541" s="197"/>
      <c r="J541" s="197"/>
      <c r="K541" s="197"/>
      <c r="L541" s="197"/>
      <c r="M541" s="197"/>
      <c r="N541" s="197"/>
      <c r="O541" s="197"/>
      <c r="P541" s="197"/>
      <c r="Q541" s="197"/>
      <c r="R541" s="197"/>
      <c r="S541" s="197"/>
      <c r="T541" s="197"/>
      <c r="U541" s="197"/>
      <c r="V541" s="197"/>
      <c r="W541" s="197"/>
      <c r="X541" s="197"/>
      <c r="Y541" s="197"/>
      <c r="Z541" s="197"/>
    </row>
    <row r="542" ht="61.5" customHeight="1">
      <c r="A542" s="197"/>
      <c r="B542" s="197"/>
      <c r="C542" s="197"/>
      <c r="D542" s="197"/>
      <c r="E542" s="197"/>
      <c r="F542" s="197"/>
      <c r="G542" s="197"/>
      <c r="H542" s="197"/>
      <c r="I542" s="197"/>
      <c r="J542" s="197"/>
      <c r="K542" s="197"/>
      <c r="L542" s="197"/>
      <c r="M542" s="197"/>
      <c r="N542" s="197"/>
      <c r="O542" s="197"/>
      <c r="P542" s="197"/>
      <c r="Q542" s="197"/>
      <c r="R542" s="197"/>
      <c r="S542" s="197"/>
      <c r="T542" s="197"/>
      <c r="U542" s="197"/>
      <c r="V542" s="197"/>
      <c r="W542" s="197"/>
      <c r="X542" s="197"/>
      <c r="Y542" s="197"/>
      <c r="Z542" s="197"/>
    </row>
    <row r="543" ht="61.5" customHeight="1">
      <c r="A543" s="197"/>
      <c r="B543" s="197"/>
      <c r="C543" s="197"/>
      <c r="D543" s="197"/>
      <c r="E543" s="197"/>
      <c r="F543" s="197"/>
      <c r="G543" s="197"/>
      <c r="H543" s="197"/>
      <c r="I543" s="197"/>
      <c r="J543" s="197"/>
      <c r="K543" s="197"/>
      <c r="L543" s="197"/>
      <c r="M543" s="197"/>
      <c r="N543" s="197"/>
      <c r="O543" s="197"/>
      <c r="P543" s="197"/>
      <c r="Q543" s="197"/>
      <c r="R543" s="197"/>
      <c r="S543" s="197"/>
      <c r="T543" s="197"/>
      <c r="U543" s="197"/>
      <c r="V543" s="197"/>
      <c r="W543" s="197"/>
      <c r="X543" s="197"/>
      <c r="Y543" s="197"/>
      <c r="Z543" s="197"/>
    </row>
    <row r="544" ht="61.5" customHeight="1">
      <c r="A544" s="197"/>
      <c r="B544" s="197"/>
      <c r="C544" s="197"/>
      <c r="D544" s="197"/>
      <c r="E544" s="197"/>
      <c r="F544" s="197"/>
      <c r="G544" s="197"/>
      <c r="H544" s="197"/>
      <c r="I544" s="197"/>
      <c r="J544" s="197"/>
      <c r="K544" s="197"/>
      <c r="L544" s="197"/>
      <c r="M544" s="197"/>
      <c r="N544" s="197"/>
      <c r="O544" s="197"/>
      <c r="P544" s="197"/>
      <c r="Q544" s="197"/>
      <c r="R544" s="197"/>
      <c r="S544" s="197"/>
      <c r="T544" s="197"/>
      <c r="U544" s="197"/>
      <c r="V544" s="197"/>
      <c r="W544" s="197"/>
      <c r="X544" s="197"/>
      <c r="Y544" s="197"/>
      <c r="Z544" s="197"/>
    </row>
    <row r="545" ht="61.5" customHeight="1">
      <c r="A545" s="197"/>
      <c r="B545" s="197"/>
      <c r="C545" s="197"/>
      <c r="D545" s="197"/>
      <c r="E545" s="197"/>
      <c r="F545" s="197"/>
      <c r="G545" s="197"/>
      <c r="H545" s="197"/>
      <c r="I545" s="197"/>
      <c r="J545" s="197"/>
      <c r="K545" s="197"/>
      <c r="L545" s="197"/>
      <c r="M545" s="197"/>
      <c r="N545" s="197"/>
      <c r="O545" s="197"/>
      <c r="P545" s="197"/>
      <c r="Q545" s="197"/>
      <c r="R545" s="197"/>
      <c r="S545" s="197"/>
      <c r="T545" s="197"/>
      <c r="U545" s="197"/>
      <c r="V545" s="197"/>
      <c r="W545" s="197"/>
      <c r="X545" s="197"/>
      <c r="Y545" s="197"/>
      <c r="Z545" s="197"/>
    </row>
    <row r="546" ht="61.5" customHeight="1">
      <c r="A546" s="197"/>
      <c r="B546" s="197"/>
      <c r="C546" s="197"/>
      <c r="D546" s="197"/>
      <c r="E546" s="197"/>
      <c r="F546" s="197"/>
      <c r="G546" s="197"/>
      <c r="H546" s="197"/>
      <c r="I546" s="197"/>
      <c r="J546" s="197"/>
      <c r="K546" s="197"/>
      <c r="L546" s="197"/>
      <c r="M546" s="197"/>
      <c r="N546" s="197"/>
      <c r="O546" s="197"/>
      <c r="P546" s="197"/>
      <c r="Q546" s="197"/>
      <c r="R546" s="197"/>
      <c r="S546" s="197"/>
      <c r="T546" s="197"/>
      <c r="U546" s="197"/>
      <c r="V546" s="197"/>
      <c r="W546" s="197"/>
      <c r="X546" s="197"/>
      <c r="Y546" s="197"/>
      <c r="Z546" s="197"/>
    </row>
    <row r="547" ht="61.5" customHeight="1">
      <c r="A547" s="197"/>
      <c r="B547" s="197"/>
      <c r="C547" s="197"/>
      <c r="D547" s="197"/>
      <c r="E547" s="197"/>
      <c r="F547" s="197"/>
      <c r="G547" s="197"/>
      <c r="H547" s="197"/>
      <c r="I547" s="197"/>
      <c r="J547" s="197"/>
      <c r="K547" s="197"/>
      <c r="L547" s="197"/>
      <c r="M547" s="197"/>
      <c r="N547" s="197"/>
      <c r="O547" s="197"/>
      <c r="P547" s="197"/>
      <c r="Q547" s="197"/>
      <c r="R547" s="197"/>
      <c r="S547" s="197"/>
      <c r="T547" s="197"/>
      <c r="U547" s="197"/>
      <c r="V547" s="197"/>
      <c r="W547" s="197"/>
      <c r="X547" s="197"/>
      <c r="Y547" s="197"/>
      <c r="Z547" s="197"/>
    </row>
    <row r="548" ht="61.5" customHeight="1">
      <c r="A548" s="197"/>
      <c r="B548" s="197"/>
      <c r="C548" s="197"/>
      <c r="D548" s="197"/>
      <c r="E548" s="197"/>
      <c r="F548" s="197"/>
      <c r="G548" s="197"/>
      <c r="H548" s="197"/>
      <c r="I548" s="197"/>
      <c r="J548" s="197"/>
      <c r="K548" s="197"/>
      <c r="L548" s="197"/>
      <c r="M548" s="197"/>
      <c r="N548" s="197"/>
      <c r="O548" s="197"/>
      <c r="P548" s="197"/>
      <c r="Q548" s="197"/>
      <c r="R548" s="197"/>
      <c r="S548" s="197"/>
      <c r="T548" s="197"/>
      <c r="U548" s="197"/>
      <c r="V548" s="197"/>
      <c r="W548" s="197"/>
      <c r="X548" s="197"/>
      <c r="Y548" s="197"/>
      <c r="Z548" s="197"/>
    </row>
    <row r="549" ht="61.5" customHeight="1">
      <c r="A549" s="197"/>
      <c r="B549" s="197"/>
      <c r="C549" s="197"/>
      <c r="D549" s="197"/>
      <c r="E549" s="197"/>
      <c r="F549" s="197"/>
      <c r="G549" s="197"/>
      <c r="H549" s="197"/>
      <c r="I549" s="197"/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  <c r="U549" s="197"/>
      <c r="V549" s="197"/>
      <c r="W549" s="197"/>
      <c r="X549" s="197"/>
      <c r="Y549" s="197"/>
      <c r="Z549" s="197"/>
    </row>
    <row r="550" ht="61.5" customHeight="1">
      <c r="A550" s="197"/>
      <c r="B550" s="197"/>
      <c r="C550" s="197"/>
      <c r="D550" s="197"/>
      <c r="E550" s="197"/>
      <c r="F550" s="197"/>
      <c r="G550" s="197"/>
      <c r="H550" s="197"/>
      <c r="I550" s="197"/>
      <c r="J550" s="197"/>
      <c r="K550" s="197"/>
      <c r="L550" s="197"/>
      <c r="M550" s="197"/>
      <c r="N550" s="197"/>
      <c r="O550" s="197"/>
      <c r="P550" s="197"/>
      <c r="Q550" s="197"/>
      <c r="R550" s="197"/>
      <c r="S550" s="197"/>
      <c r="T550" s="197"/>
      <c r="U550" s="197"/>
      <c r="V550" s="197"/>
      <c r="W550" s="197"/>
      <c r="X550" s="197"/>
      <c r="Y550" s="197"/>
      <c r="Z550" s="197"/>
    </row>
    <row r="551" ht="61.5" customHeight="1">
      <c r="A551" s="197"/>
      <c r="B551" s="197"/>
      <c r="C551" s="197"/>
      <c r="D551" s="197"/>
      <c r="E551" s="197"/>
      <c r="F551" s="197"/>
      <c r="G551" s="197"/>
      <c r="H551" s="197"/>
      <c r="I551" s="197"/>
      <c r="J551" s="197"/>
      <c r="K551" s="197"/>
      <c r="L551" s="197"/>
      <c r="M551" s="197"/>
      <c r="N551" s="197"/>
      <c r="O551" s="197"/>
      <c r="P551" s="197"/>
      <c r="Q551" s="197"/>
      <c r="R551" s="197"/>
      <c r="S551" s="197"/>
      <c r="T551" s="197"/>
      <c r="U551" s="197"/>
      <c r="V551" s="197"/>
      <c r="W551" s="197"/>
      <c r="X551" s="197"/>
      <c r="Y551" s="197"/>
      <c r="Z551" s="197"/>
    </row>
    <row r="552" ht="61.5" customHeight="1">
      <c r="A552" s="197"/>
      <c r="B552" s="197"/>
      <c r="C552" s="197"/>
      <c r="D552" s="197"/>
      <c r="E552" s="197"/>
      <c r="F552" s="197"/>
      <c r="G552" s="197"/>
      <c r="H552" s="197"/>
      <c r="I552" s="197"/>
      <c r="J552" s="197"/>
      <c r="K552" s="197"/>
      <c r="L552" s="197"/>
      <c r="M552" s="197"/>
      <c r="N552" s="197"/>
      <c r="O552" s="197"/>
      <c r="P552" s="197"/>
      <c r="Q552" s="197"/>
      <c r="R552" s="197"/>
      <c r="S552" s="197"/>
      <c r="T552" s="197"/>
      <c r="U552" s="197"/>
      <c r="V552" s="197"/>
      <c r="W552" s="197"/>
      <c r="X552" s="197"/>
      <c r="Y552" s="197"/>
      <c r="Z552" s="197"/>
    </row>
    <row r="553" ht="61.5" customHeight="1">
      <c r="A553" s="197"/>
      <c r="B553" s="197"/>
      <c r="C553" s="197"/>
      <c r="D553" s="197"/>
      <c r="E553" s="197"/>
      <c r="F553" s="197"/>
      <c r="G553" s="197"/>
      <c r="H553" s="197"/>
      <c r="I553" s="197"/>
      <c r="J553" s="197"/>
      <c r="K553" s="197"/>
      <c r="L553" s="197"/>
      <c r="M553" s="197"/>
      <c r="N553" s="197"/>
      <c r="O553" s="197"/>
      <c r="P553" s="197"/>
      <c r="Q553" s="197"/>
      <c r="R553" s="197"/>
      <c r="S553" s="197"/>
      <c r="T553" s="197"/>
      <c r="U553" s="197"/>
      <c r="V553" s="197"/>
      <c r="W553" s="197"/>
      <c r="X553" s="197"/>
      <c r="Y553" s="197"/>
      <c r="Z553" s="197"/>
    </row>
    <row r="554" ht="61.5" customHeight="1">
      <c r="A554" s="197"/>
      <c r="B554" s="197"/>
      <c r="C554" s="197"/>
      <c r="D554" s="197"/>
      <c r="E554" s="197"/>
      <c r="F554" s="197"/>
      <c r="G554" s="197"/>
      <c r="H554" s="197"/>
      <c r="I554" s="197"/>
      <c r="J554" s="197"/>
      <c r="K554" s="197"/>
      <c r="L554" s="197"/>
      <c r="M554" s="197"/>
      <c r="N554" s="197"/>
      <c r="O554" s="197"/>
      <c r="P554" s="197"/>
      <c r="Q554" s="197"/>
      <c r="R554" s="197"/>
      <c r="S554" s="197"/>
      <c r="T554" s="197"/>
      <c r="U554" s="197"/>
      <c r="V554" s="197"/>
      <c r="W554" s="197"/>
      <c r="X554" s="197"/>
      <c r="Y554" s="197"/>
      <c r="Z554" s="197"/>
    </row>
    <row r="555" ht="61.5" customHeight="1">
      <c r="A555" s="197"/>
      <c r="B555" s="197"/>
      <c r="C555" s="197"/>
      <c r="D555" s="197"/>
      <c r="E555" s="197"/>
      <c r="F555" s="197"/>
      <c r="G555" s="197"/>
      <c r="H555" s="197"/>
      <c r="I555" s="197"/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  <c r="U555" s="197"/>
      <c r="V555" s="197"/>
      <c r="W555" s="197"/>
      <c r="X555" s="197"/>
      <c r="Y555" s="197"/>
      <c r="Z555" s="197"/>
    </row>
    <row r="556" ht="61.5" customHeight="1">
      <c r="A556" s="197"/>
      <c r="B556" s="197"/>
      <c r="C556" s="197"/>
      <c r="D556" s="197"/>
      <c r="E556" s="197"/>
      <c r="F556" s="197"/>
      <c r="G556" s="197"/>
      <c r="H556" s="197"/>
      <c r="I556" s="197"/>
      <c r="J556" s="197"/>
      <c r="K556" s="197"/>
      <c r="L556" s="197"/>
      <c r="M556" s="197"/>
      <c r="N556" s="197"/>
      <c r="O556" s="197"/>
      <c r="P556" s="197"/>
      <c r="Q556" s="197"/>
      <c r="R556" s="197"/>
      <c r="S556" s="197"/>
      <c r="T556" s="197"/>
      <c r="U556" s="197"/>
      <c r="V556" s="197"/>
      <c r="W556" s="197"/>
      <c r="X556" s="197"/>
      <c r="Y556" s="197"/>
      <c r="Z556" s="197"/>
    </row>
    <row r="557" ht="61.5" customHeight="1">
      <c r="A557" s="197"/>
      <c r="B557" s="197"/>
      <c r="C557" s="197"/>
      <c r="D557" s="197"/>
      <c r="E557" s="197"/>
      <c r="F557" s="197"/>
      <c r="G557" s="197"/>
      <c r="H557" s="197"/>
      <c r="I557" s="197"/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  <c r="U557" s="197"/>
      <c r="V557" s="197"/>
      <c r="W557" s="197"/>
      <c r="X557" s="197"/>
      <c r="Y557" s="197"/>
      <c r="Z557" s="197"/>
    </row>
    <row r="558" ht="61.5" customHeight="1">
      <c r="A558" s="197"/>
      <c r="B558" s="197"/>
      <c r="C558" s="197"/>
      <c r="D558" s="197"/>
      <c r="E558" s="197"/>
      <c r="F558" s="197"/>
      <c r="G558" s="197"/>
      <c r="H558" s="197"/>
      <c r="I558" s="197"/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  <c r="U558" s="197"/>
      <c r="V558" s="197"/>
      <c r="W558" s="197"/>
      <c r="X558" s="197"/>
      <c r="Y558" s="197"/>
      <c r="Z558" s="197"/>
    </row>
    <row r="559" ht="61.5" customHeight="1">
      <c r="A559" s="197"/>
      <c r="B559" s="197"/>
      <c r="C559" s="197"/>
      <c r="D559" s="197"/>
      <c r="E559" s="197"/>
      <c r="F559" s="197"/>
      <c r="G559" s="197"/>
      <c r="H559" s="197"/>
      <c r="I559" s="197"/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  <c r="U559" s="197"/>
      <c r="V559" s="197"/>
      <c r="W559" s="197"/>
      <c r="X559" s="197"/>
      <c r="Y559" s="197"/>
      <c r="Z559" s="197"/>
    </row>
    <row r="560" ht="61.5" customHeight="1">
      <c r="A560" s="197"/>
      <c r="B560" s="197"/>
      <c r="C560" s="197"/>
      <c r="D560" s="197"/>
      <c r="E560" s="197"/>
      <c r="F560" s="197"/>
      <c r="G560" s="197"/>
      <c r="H560" s="197"/>
      <c r="I560" s="197"/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  <c r="U560" s="197"/>
      <c r="V560" s="197"/>
      <c r="W560" s="197"/>
      <c r="X560" s="197"/>
      <c r="Y560" s="197"/>
      <c r="Z560" s="197"/>
    </row>
    <row r="561" ht="61.5" customHeight="1">
      <c r="A561" s="197"/>
      <c r="B561" s="197"/>
      <c r="C561" s="197"/>
      <c r="D561" s="197"/>
      <c r="E561" s="197"/>
      <c r="F561" s="197"/>
      <c r="G561" s="197"/>
      <c r="H561" s="197"/>
      <c r="I561" s="197"/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  <c r="U561" s="197"/>
      <c r="V561" s="197"/>
      <c r="W561" s="197"/>
      <c r="X561" s="197"/>
      <c r="Y561" s="197"/>
      <c r="Z561" s="197"/>
    </row>
    <row r="562" ht="61.5" customHeight="1">
      <c r="A562" s="197"/>
      <c r="B562" s="197"/>
      <c r="C562" s="197"/>
      <c r="D562" s="197"/>
      <c r="E562" s="197"/>
      <c r="F562" s="197"/>
      <c r="G562" s="197"/>
      <c r="H562" s="197"/>
      <c r="I562" s="197"/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  <c r="U562" s="197"/>
      <c r="V562" s="197"/>
      <c r="W562" s="197"/>
      <c r="X562" s="197"/>
      <c r="Y562" s="197"/>
      <c r="Z562" s="197"/>
    </row>
    <row r="563" ht="61.5" customHeight="1">
      <c r="A563" s="197"/>
      <c r="B563" s="197"/>
      <c r="C563" s="197"/>
      <c r="D563" s="197"/>
      <c r="E563" s="197"/>
      <c r="F563" s="197"/>
      <c r="G563" s="197"/>
      <c r="H563" s="197"/>
      <c r="I563" s="197"/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  <c r="U563" s="197"/>
      <c r="V563" s="197"/>
      <c r="W563" s="197"/>
      <c r="X563" s="197"/>
      <c r="Y563" s="197"/>
      <c r="Z563" s="197"/>
    </row>
    <row r="564" ht="61.5" customHeight="1">
      <c r="A564" s="197"/>
      <c r="B564" s="197"/>
      <c r="C564" s="197"/>
      <c r="D564" s="197"/>
      <c r="E564" s="197"/>
      <c r="F564" s="197"/>
      <c r="G564" s="197"/>
      <c r="H564" s="197"/>
      <c r="I564" s="197"/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  <c r="U564" s="197"/>
      <c r="V564" s="197"/>
      <c r="W564" s="197"/>
      <c r="X564" s="197"/>
      <c r="Y564" s="197"/>
      <c r="Z564" s="197"/>
    </row>
    <row r="565" ht="61.5" customHeight="1">
      <c r="A565" s="197"/>
      <c r="B565" s="197"/>
      <c r="C565" s="197"/>
      <c r="D565" s="197"/>
      <c r="E565" s="197"/>
      <c r="F565" s="197"/>
      <c r="G565" s="197"/>
      <c r="H565" s="197"/>
      <c r="I565" s="197"/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  <c r="U565" s="197"/>
      <c r="V565" s="197"/>
      <c r="W565" s="197"/>
      <c r="X565" s="197"/>
      <c r="Y565" s="197"/>
      <c r="Z565" s="197"/>
    </row>
    <row r="566" ht="61.5" customHeight="1">
      <c r="A566" s="197"/>
      <c r="B566" s="197"/>
      <c r="C566" s="197"/>
      <c r="D566" s="197"/>
      <c r="E566" s="197"/>
      <c r="F566" s="197"/>
      <c r="G566" s="197"/>
      <c r="H566" s="197"/>
      <c r="I566" s="197"/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  <c r="U566" s="197"/>
      <c r="V566" s="197"/>
      <c r="W566" s="197"/>
      <c r="X566" s="197"/>
      <c r="Y566" s="197"/>
      <c r="Z566" s="197"/>
    </row>
    <row r="567" ht="61.5" customHeight="1">
      <c r="A567" s="197"/>
      <c r="B567" s="197"/>
      <c r="C567" s="197"/>
      <c r="D567" s="197"/>
      <c r="E567" s="197"/>
      <c r="F567" s="197"/>
      <c r="G567" s="197"/>
      <c r="H567" s="197"/>
      <c r="I567" s="197"/>
      <c r="J567" s="197"/>
      <c r="K567" s="197"/>
      <c r="L567" s="197"/>
      <c r="M567" s="197"/>
      <c r="N567" s="197"/>
      <c r="O567" s="197"/>
      <c r="P567" s="197"/>
      <c r="Q567" s="197"/>
      <c r="R567" s="197"/>
      <c r="S567" s="197"/>
      <c r="T567" s="197"/>
      <c r="U567" s="197"/>
      <c r="V567" s="197"/>
      <c r="W567" s="197"/>
      <c r="X567" s="197"/>
      <c r="Y567" s="197"/>
      <c r="Z567" s="197"/>
    </row>
    <row r="568" ht="61.5" customHeight="1">
      <c r="A568" s="197"/>
      <c r="B568" s="197"/>
      <c r="C568" s="197"/>
      <c r="D568" s="197"/>
      <c r="E568" s="197"/>
      <c r="F568" s="197"/>
      <c r="G568" s="197"/>
      <c r="H568" s="197"/>
      <c r="I568" s="197"/>
      <c r="J568" s="197"/>
      <c r="K568" s="197"/>
      <c r="L568" s="197"/>
      <c r="M568" s="197"/>
      <c r="N568" s="197"/>
      <c r="O568" s="197"/>
      <c r="P568" s="197"/>
      <c r="Q568" s="197"/>
      <c r="R568" s="197"/>
      <c r="S568" s="197"/>
      <c r="T568" s="197"/>
      <c r="U568" s="197"/>
      <c r="V568" s="197"/>
      <c r="W568" s="197"/>
      <c r="X568" s="197"/>
      <c r="Y568" s="197"/>
      <c r="Z568" s="197"/>
    </row>
    <row r="569" ht="61.5" customHeight="1">
      <c r="A569" s="197"/>
      <c r="B569" s="197"/>
      <c r="C569" s="197"/>
      <c r="D569" s="197"/>
      <c r="E569" s="197"/>
      <c r="F569" s="197"/>
      <c r="G569" s="197"/>
      <c r="H569" s="197"/>
      <c r="I569" s="197"/>
      <c r="J569" s="197"/>
      <c r="K569" s="197"/>
      <c r="L569" s="197"/>
      <c r="M569" s="197"/>
      <c r="N569" s="197"/>
      <c r="O569" s="197"/>
      <c r="P569" s="197"/>
      <c r="Q569" s="197"/>
      <c r="R569" s="197"/>
      <c r="S569" s="197"/>
      <c r="T569" s="197"/>
      <c r="U569" s="197"/>
      <c r="V569" s="197"/>
      <c r="W569" s="197"/>
      <c r="X569" s="197"/>
      <c r="Y569" s="197"/>
      <c r="Z569" s="197"/>
    </row>
    <row r="570" ht="61.5" customHeight="1">
      <c r="A570" s="197"/>
      <c r="B570" s="197"/>
      <c r="C570" s="197"/>
      <c r="D570" s="197"/>
      <c r="E570" s="197"/>
      <c r="F570" s="197"/>
      <c r="G570" s="197"/>
      <c r="H570" s="197"/>
      <c r="I570" s="197"/>
      <c r="J570" s="197"/>
      <c r="K570" s="197"/>
      <c r="L570" s="197"/>
      <c r="M570" s="197"/>
      <c r="N570" s="197"/>
      <c r="O570" s="197"/>
      <c r="P570" s="197"/>
      <c r="Q570" s="197"/>
      <c r="R570" s="197"/>
      <c r="S570" s="197"/>
      <c r="T570" s="197"/>
      <c r="U570" s="197"/>
      <c r="V570" s="197"/>
      <c r="W570" s="197"/>
      <c r="X570" s="197"/>
      <c r="Y570" s="197"/>
      <c r="Z570" s="197"/>
    </row>
    <row r="571" ht="61.5" customHeight="1">
      <c r="A571" s="197"/>
      <c r="B571" s="197"/>
      <c r="C571" s="197"/>
      <c r="D571" s="197"/>
      <c r="E571" s="197"/>
      <c r="F571" s="197"/>
      <c r="G571" s="197"/>
      <c r="H571" s="197"/>
      <c r="I571" s="197"/>
      <c r="J571" s="197"/>
      <c r="K571" s="197"/>
      <c r="L571" s="197"/>
      <c r="M571" s="197"/>
      <c r="N571" s="197"/>
      <c r="O571" s="197"/>
      <c r="P571" s="197"/>
      <c r="Q571" s="197"/>
      <c r="R571" s="197"/>
      <c r="S571" s="197"/>
      <c r="T571" s="197"/>
      <c r="U571" s="197"/>
      <c r="V571" s="197"/>
      <c r="W571" s="197"/>
      <c r="X571" s="197"/>
      <c r="Y571" s="197"/>
      <c r="Z571" s="197"/>
    </row>
    <row r="572" ht="61.5" customHeight="1">
      <c r="A572" s="197"/>
      <c r="B572" s="197"/>
      <c r="C572" s="197"/>
      <c r="D572" s="197"/>
      <c r="E572" s="197"/>
      <c r="F572" s="197"/>
      <c r="G572" s="197"/>
      <c r="H572" s="197"/>
      <c r="I572" s="197"/>
      <c r="J572" s="197"/>
      <c r="K572" s="197"/>
      <c r="L572" s="197"/>
      <c r="M572" s="197"/>
      <c r="N572" s="197"/>
      <c r="O572" s="197"/>
      <c r="P572" s="197"/>
      <c r="Q572" s="197"/>
      <c r="R572" s="197"/>
      <c r="S572" s="197"/>
      <c r="T572" s="197"/>
      <c r="U572" s="197"/>
      <c r="V572" s="197"/>
      <c r="W572" s="197"/>
      <c r="X572" s="197"/>
      <c r="Y572" s="197"/>
      <c r="Z572" s="197"/>
    </row>
    <row r="573" ht="61.5" customHeight="1">
      <c r="A573" s="197"/>
      <c r="B573" s="197"/>
      <c r="C573" s="197"/>
      <c r="D573" s="197"/>
      <c r="E573" s="197"/>
      <c r="F573" s="197"/>
      <c r="G573" s="197"/>
      <c r="H573" s="197"/>
      <c r="I573" s="197"/>
      <c r="J573" s="197"/>
      <c r="K573" s="197"/>
      <c r="L573" s="197"/>
      <c r="M573" s="197"/>
      <c r="N573" s="197"/>
      <c r="O573" s="197"/>
      <c r="P573" s="197"/>
      <c r="Q573" s="197"/>
      <c r="R573" s="197"/>
      <c r="S573" s="197"/>
      <c r="T573" s="197"/>
      <c r="U573" s="197"/>
      <c r="V573" s="197"/>
      <c r="W573" s="197"/>
      <c r="X573" s="197"/>
      <c r="Y573" s="197"/>
      <c r="Z573" s="197"/>
    </row>
    <row r="574" ht="61.5" customHeight="1">
      <c r="A574" s="197"/>
      <c r="B574" s="197"/>
      <c r="C574" s="197"/>
      <c r="D574" s="197"/>
      <c r="E574" s="197"/>
      <c r="F574" s="197"/>
      <c r="G574" s="197"/>
      <c r="H574" s="197"/>
      <c r="I574" s="197"/>
      <c r="J574" s="197"/>
      <c r="K574" s="197"/>
      <c r="L574" s="197"/>
      <c r="M574" s="197"/>
      <c r="N574" s="197"/>
      <c r="O574" s="197"/>
      <c r="P574" s="197"/>
      <c r="Q574" s="197"/>
      <c r="R574" s="197"/>
      <c r="S574" s="197"/>
      <c r="T574" s="197"/>
      <c r="U574" s="197"/>
      <c r="V574" s="197"/>
      <c r="W574" s="197"/>
      <c r="X574" s="197"/>
      <c r="Y574" s="197"/>
      <c r="Z574" s="197"/>
    </row>
    <row r="575" ht="61.5" customHeight="1">
      <c r="A575" s="197"/>
      <c r="B575" s="197"/>
      <c r="C575" s="197"/>
      <c r="D575" s="197"/>
      <c r="E575" s="197"/>
      <c r="F575" s="197"/>
      <c r="G575" s="197"/>
      <c r="H575" s="197"/>
      <c r="I575" s="197"/>
      <c r="J575" s="197"/>
      <c r="K575" s="197"/>
      <c r="L575" s="197"/>
      <c r="M575" s="197"/>
      <c r="N575" s="197"/>
      <c r="O575" s="197"/>
      <c r="P575" s="197"/>
      <c r="Q575" s="197"/>
      <c r="R575" s="197"/>
      <c r="S575" s="197"/>
      <c r="T575" s="197"/>
      <c r="U575" s="197"/>
      <c r="V575" s="197"/>
      <c r="W575" s="197"/>
      <c r="X575" s="197"/>
      <c r="Y575" s="197"/>
      <c r="Z575" s="197"/>
    </row>
    <row r="576" ht="61.5" customHeight="1">
      <c r="A576" s="197"/>
      <c r="B576" s="197"/>
      <c r="C576" s="197"/>
      <c r="D576" s="197"/>
      <c r="E576" s="197"/>
      <c r="F576" s="197"/>
      <c r="G576" s="197"/>
      <c r="H576" s="197"/>
      <c r="I576" s="197"/>
      <c r="J576" s="197"/>
      <c r="K576" s="197"/>
      <c r="L576" s="197"/>
      <c r="M576" s="197"/>
      <c r="N576" s="197"/>
      <c r="O576" s="197"/>
      <c r="P576" s="197"/>
      <c r="Q576" s="197"/>
      <c r="R576" s="197"/>
      <c r="S576" s="197"/>
      <c r="T576" s="197"/>
      <c r="U576" s="197"/>
      <c r="V576" s="197"/>
      <c r="W576" s="197"/>
      <c r="X576" s="197"/>
      <c r="Y576" s="197"/>
      <c r="Z576" s="197"/>
    </row>
    <row r="577" ht="61.5" customHeight="1">
      <c r="A577" s="197"/>
      <c r="B577" s="197"/>
      <c r="C577" s="197"/>
      <c r="D577" s="197"/>
      <c r="E577" s="197"/>
      <c r="F577" s="197"/>
      <c r="G577" s="197"/>
      <c r="H577" s="197"/>
      <c r="I577" s="197"/>
      <c r="J577" s="197"/>
      <c r="K577" s="197"/>
      <c r="L577" s="197"/>
      <c r="M577" s="197"/>
      <c r="N577" s="197"/>
      <c r="O577" s="197"/>
      <c r="P577" s="197"/>
      <c r="Q577" s="197"/>
      <c r="R577" s="197"/>
      <c r="S577" s="197"/>
      <c r="T577" s="197"/>
      <c r="U577" s="197"/>
      <c r="V577" s="197"/>
      <c r="W577" s="197"/>
      <c r="X577" s="197"/>
      <c r="Y577" s="197"/>
      <c r="Z577" s="197"/>
    </row>
    <row r="578" ht="61.5" customHeight="1">
      <c r="A578" s="197"/>
      <c r="B578" s="197"/>
      <c r="C578" s="197"/>
      <c r="D578" s="197"/>
      <c r="E578" s="197"/>
      <c r="F578" s="197"/>
      <c r="G578" s="197"/>
      <c r="H578" s="197"/>
      <c r="I578" s="197"/>
      <c r="J578" s="197"/>
      <c r="K578" s="197"/>
      <c r="L578" s="197"/>
      <c r="M578" s="197"/>
      <c r="N578" s="197"/>
      <c r="O578" s="197"/>
      <c r="P578" s="197"/>
      <c r="Q578" s="197"/>
      <c r="R578" s="197"/>
      <c r="S578" s="197"/>
      <c r="T578" s="197"/>
      <c r="U578" s="197"/>
      <c r="V578" s="197"/>
      <c r="W578" s="197"/>
      <c r="X578" s="197"/>
      <c r="Y578" s="197"/>
      <c r="Z578" s="197"/>
    </row>
    <row r="579" ht="61.5" customHeight="1">
      <c r="A579" s="197"/>
      <c r="B579" s="197"/>
      <c r="C579" s="197"/>
      <c r="D579" s="197"/>
      <c r="E579" s="197"/>
      <c r="F579" s="197"/>
      <c r="G579" s="197"/>
      <c r="H579" s="197"/>
      <c r="I579" s="197"/>
      <c r="J579" s="197"/>
      <c r="K579" s="197"/>
      <c r="L579" s="197"/>
      <c r="M579" s="197"/>
      <c r="N579" s="197"/>
      <c r="O579" s="197"/>
      <c r="P579" s="197"/>
      <c r="Q579" s="197"/>
      <c r="R579" s="197"/>
      <c r="S579" s="197"/>
      <c r="T579" s="197"/>
      <c r="U579" s="197"/>
      <c r="V579" s="197"/>
      <c r="W579" s="197"/>
      <c r="X579" s="197"/>
      <c r="Y579" s="197"/>
      <c r="Z579" s="197"/>
    </row>
    <row r="580" ht="61.5" customHeight="1">
      <c r="A580" s="197"/>
      <c r="B580" s="197"/>
      <c r="C580" s="197"/>
      <c r="D580" s="197"/>
      <c r="E580" s="197"/>
      <c r="F580" s="197"/>
      <c r="G580" s="197"/>
      <c r="H580" s="197"/>
      <c r="I580" s="197"/>
      <c r="J580" s="197"/>
      <c r="K580" s="197"/>
      <c r="L580" s="197"/>
      <c r="M580" s="197"/>
      <c r="N580" s="197"/>
      <c r="O580" s="197"/>
      <c r="P580" s="197"/>
      <c r="Q580" s="197"/>
      <c r="R580" s="197"/>
      <c r="S580" s="197"/>
      <c r="T580" s="197"/>
      <c r="U580" s="197"/>
      <c r="V580" s="197"/>
      <c r="W580" s="197"/>
      <c r="X580" s="197"/>
      <c r="Y580" s="197"/>
      <c r="Z580" s="197"/>
    </row>
    <row r="581" ht="61.5" customHeight="1">
      <c r="A581" s="197"/>
      <c r="B581" s="197"/>
      <c r="C581" s="197"/>
      <c r="D581" s="197"/>
      <c r="E581" s="197"/>
      <c r="F581" s="197"/>
      <c r="G581" s="197"/>
      <c r="H581" s="197"/>
      <c r="I581" s="197"/>
      <c r="J581" s="197"/>
      <c r="K581" s="197"/>
      <c r="L581" s="197"/>
      <c r="M581" s="197"/>
      <c r="N581" s="197"/>
      <c r="O581" s="197"/>
      <c r="P581" s="197"/>
      <c r="Q581" s="197"/>
      <c r="R581" s="197"/>
      <c r="S581" s="197"/>
      <c r="T581" s="197"/>
      <c r="U581" s="197"/>
      <c r="V581" s="197"/>
      <c r="W581" s="197"/>
      <c r="X581" s="197"/>
      <c r="Y581" s="197"/>
      <c r="Z581" s="197"/>
    </row>
    <row r="582" ht="61.5" customHeight="1">
      <c r="A582" s="197"/>
      <c r="B582" s="197"/>
      <c r="C582" s="197"/>
      <c r="D582" s="197"/>
      <c r="E582" s="197"/>
      <c r="F582" s="197"/>
      <c r="G582" s="197"/>
      <c r="H582" s="197"/>
      <c r="I582" s="197"/>
      <c r="J582" s="197"/>
      <c r="K582" s="197"/>
      <c r="L582" s="197"/>
      <c r="M582" s="197"/>
      <c r="N582" s="197"/>
      <c r="O582" s="197"/>
      <c r="P582" s="197"/>
      <c r="Q582" s="197"/>
      <c r="R582" s="197"/>
      <c r="S582" s="197"/>
      <c r="T582" s="197"/>
      <c r="U582" s="197"/>
      <c r="V582" s="197"/>
      <c r="W582" s="197"/>
      <c r="X582" s="197"/>
      <c r="Y582" s="197"/>
      <c r="Z582" s="197"/>
    </row>
    <row r="583" ht="61.5" customHeight="1">
      <c r="A583" s="197"/>
      <c r="B583" s="197"/>
      <c r="C583" s="197"/>
      <c r="D583" s="197"/>
      <c r="E583" s="197"/>
      <c r="F583" s="197"/>
      <c r="G583" s="197"/>
      <c r="H583" s="197"/>
      <c r="I583" s="197"/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  <c r="U583" s="197"/>
      <c r="V583" s="197"/>
      <c r="W583" s="197"/>
      <c r="X583" s="197"/>
      <c r="Y583" s="197"/>
      <c r="Z583" s="197"/>
    </row>
    <row r="584" ht="61.5" customHeight="1">
      <c r="A584" s="197"/>
      <c r="B584" s="197"/>
      <c r="C584" s="197"/>
      <c r="D584" s="197"/>
      <c r="E584" s="197"/>
      <c r="F584" s="197"/>
      <c r="G584" s="197"/>
      <c r="H584" s="197"/>
      <c r="I584" s="197"/>
      <c r="J584" s="197"/>
      <c r="K584" s="197"/>
      <c r="L584" s="197"/>
      <c r="M584" s="197"/>
      <c r="N584" s="197"/>
      <c r="O584" s="197"/>
      <c r="P584" s="197"/>
      <c r="Q584" s="197"/>
      <c r="R584" s="197"/>
      <c r="S584" s="197"/>
      <c r="T584" s="197"/>
      <c r="U584" s="197"/>
      <c r="V584" s="197"/>
      <c r="W584" s="197"/>
      <c r="X584" s="197"/>
      <c r="Y584" s="197"/>
      <c r="Z584" s="197"/>
    </row>
    <row r="585" ht="61.5" customHeight="1">
      <c r="A585" s="197"/>
      <c r="B585" s="197"/>
      <c r="C585" s="197"/>
      <c r="D585" s="197"/>
      <c r="E585" s="197"/>
      <c r="F585" s="197"/>
      <c r="G585" s="197"/>
      <c r="H585" s="197"/>
      <c r="I585" s="197"/>
      <c r="J585" s="197"/>
      <c r="K585" s="197"/>
      <c r="L585" s="197"/>
      <c r="M585" s="197"/>
      <c r="N585" s="197"/>
      <c r="O585" s="197"/>
      <c r="P585" s="197"/>
      <c r="Q585" s="197"/>
      <c r="R585" s="197"/>
      <c r="S585" s="197"/>
      <c r="T585" s="197"/>
      <c r="U585" s="197"/>
      <c r="V585" s="197"/>
      <c r="W585" s="197"/>
      <c r="X585" s="197"/>
      <c r="Y585" s="197"/>
      <c r="Z585" s="197"/>
    </row>
    <row r="586" ht="61.5" customHeight="1">
      <c r="A586" s="197"/>
      <c r="B586" s="197"/>
      <c r="C586" s="197"/>
      <c r="D586" s="197"/>
      <c r="E586" s="197"/>
      <c r="F586" s="197"/>
      <c r="G586" s="197"/>
      <c r="H586" s="197"/>
      <c r="I586" s="197"/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  <c r="U586" s="197"/>
      <c r="V586" s="197"/>
      <c r="W586" s="197"/>
      <c r="X586" s="197"/>
      <c r="Y586" s="197"/>
      <c r="Z586" s="197"/>
    </row>
    <row r="587" ht="61.5" customHeight="1">
      <c r="A587" s="197"/>
      <c r="B587" s="197"/>
      <c r="C587" s="197"/>
      <c r="D587" s="197"/>
      <c r="E587" s="197"/>
      <c r="F587" s="197"/>
      <c r="G587" s="197"/>
      <c r="H587" s="197"/>
      <c r="I587" s="197"/>
      <c r="J587" s="197"/>
      <c r="K587" s="197"/>
      <c r="L587" s="197"/>
      <c r="M587" s="197"/>
      <c r="N587" s="197"/>
      <c r="O587" s="197"/>
      <c r="P587" s="197"/>
      <c r="Q587" s="197"/>
      <c r="R587" s="197"/>
      <c r="S587" s="197"/>
      <c r="T587" s="197"/>
      <c r="U587" s="197"/>
      <c r="V587" s="197"/>
      <c r="W587" s="197"/>
      <c r="X587" s="197"/>
      <c r="Y587" s="197"/>
      <c r="Z587" s="197"/>
    </row>
    <row r="588" ht="61.5" customHeight="1">
      <c r="A588" s="197"/>
      <c r="B588" s="197"/>
      <c r="C588" s="197"/>
      <c r="D588" s="197"/>
      <c r="E588" s="197"/>
      <c r="F588" s="197"/>
      <c r="G588" s="197"/>
      <c r="H588" s="197"/>
      <c r="I588" s="197"/>
      <c r="J588" s="197"/>
      <c r="K588" s="197"/>
      <c r="L588" s="197"/>
      <c r="M588" s="197"/>
      <c r="N588" s="197"/>
      <c r="O588" s="197"/>
      <c r="P588" s="197"/>
      <c r="Q588" s="197"/>
      <c r="R588" s="197"/>
      <c r="S588" s="197"/>
      <c r="T588" s="197"/>
      <c r="U588" s="197"/>
      <c r="V588" s="197"/>
      <c r="W588" s="197"/>
      <c r="X588" s="197"/>
      <c r="Y588" s="197"/>
      <c r="Z588" s="197"/>
    </row>
    <row r="589" ht="61.5" customHeight="1">
      <c r="A589" s="197"/>
      <c r="B589" s="197"/>
      <c r="C589" s="197"/>
      <c r="D589" s="197"/>
      <c r="E589" s="197"/>
      <c r="F589" s="197"/>
      <c r="G589" s="197"/>
      <c r="H589" s="197"/>
      <c r="I589" s="197"/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  <c r="U589" s="197"/>
      <c r="V589" s="197"/>
      <c r="W589" s="197"/>
      <c r="X589" s="197"/>
      <c r="Y589" s="197"/>
      <c r="Z589" s="197"/>
    </row>
    <row r="590" ht="61.5" customHeight="1">
      <c r="A590" s="197"/>
      <c r="B590" s="197"/>
      <c r="C590" s="197"/>
      <c r="D590" s="197"/>
      <c r="E590" s="197"/>
      <c r="F590" s="197"/>
      <c r="G590" s="197"/>
      <c r="H590" s="197"/>
      <c r="I590" s="197"/>
      <c r="J590" s="197"/>
      <c r="K590" s="197"/>
      <c r="L590" s="197"/>
      <c r="M590" s="197"/>
      <c r="N590" s="197"/>
      <c r="O590" s="197"/>
      <c r="P590" s="197"/>
      <c r="Q590" s="197"/>
      <c r="R590" s="197"/>
      <c r="S590" s="197"/>
      <c r="T590" s="197"/>
      <c r="U590" s="197"/>
      <c r="V590" s="197"/>
      <c r="W590" s="197"/>
      <c r="X590" s="197"/>
      <c r="Y590" s="197"/>
      <c r="Z590" s="197"/>
    </row>
    <row r="591" ht="61.5" customHeight="1">
      <c r="A591" s="197"/>
      <c r="B591" s="197"/>
      <c r="C591" s="197"/>
      <c r="D591" s="197"/>
      <c r="E591" s="197"/>
      <c r="F591" s="197"/>
      <c r="G591" s="197"/>
      <c r="H591" s="197"/>
      <c r="I591" s="197"/>
      <c r="J591" s="197"/>
      <c r="K591" s="197"/>
      <c r="L591" s="197"/>
      <c r="M591" s="197"/>
      <c r="N591" s="197"/>
      <c r="O591" s="197"/>
      <c r="P591" s="197"/>
      <c r="Q591" s="197"/>
      <c r="R591" s="197"/>
      <c r="S591" s="197"/>
      <c r="T591" s="197"/>
      <c r="U591" s="197"/>
      <c r="V591" s="197"/>
      <c r="W591" s="197"/>
      <c r="X591" s="197"/>
      <c r="Y591" s="197"/>
      <c r="Z591" s="197"/>
    </row>
    <row r="592" ht="61.5" customHeight="1">
      <c r="A592" s="197"/>
      <c r="B592" s="197"/>
      <c r="C592" s="197"/>
      <c r="D592" s="197"/>
      <c r="E592" s="197"/>
      <c r="F592" s="197"/>
      <c r="G592" s="197"/>
      <c r="H592" s="197"/>
      <c r="I592" s="197"/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  <c r="U592" s="197"/>
      <c r="V592" s="197"/>
      <c r="W592" s="197"/>
      <c r="X592" s="197"/>
      <c r="Y592" s="197"/>
      <c r="Z592" s="197"/>
    </row>
    <row r="593" ht="61.5" customHeight="1">
      <c r="A593" s="197"/>
      <c r="B593" s="197"/>
      <c r="C593" s="197"/>
      <c r="D593" s="197"/>
      <c r="E593" s="197"/>
      <c r="F593" s="197"/>
      <c r="G593" s="197"/>
      <c r="H593" s="197"/>
      <c r="I593" s="197"/>
      <c r="J593" s="197"/>
      <c r="K593" s="197"/>
      <c r="L593" s="197"/>
      <c r="M593" s="197"/>
      <c r="N593" s="197"/>
      <c r="O593" s="197"/>
      <c r="P593" s="197"/>
      <c r="Q593" s="197"/>
      <c r="R593" s="197"/>
      <c r="S593" s="197"/>
      <c r="T593" s="197"/>
      <c r="U593" s="197"/>
      <c r="V593" s="197"/>
      <c r="W593" s="197"/>
      <c r="X593" s="197"/>
      <c r="Y593" s="197"/>
      <c r="Z593" s="197"/>
    </row>
    <row r="594" ht="61.5" customHeight="1">
      <c r="A594" s="197"/>
      <c r="B594" s="197"/>
      <c r="C594" s="197"/>
      <c r="D594" s="197"/>
      <c r="E594" s="197"/>
      <c r="F594" s="197"/>
      <c r="G594" s="197"/>
      <c r="H594" s="197"/>
      <c r="I594" s="197"/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  <c r="U594" s="197"/>
      <c r="V594" s="197"/>
      <c r="W594" s="197"/>
      <c r="X594" s="197"/>
      <c r="Y594" s="197"/>
      <c r="Z594" s="197"/>
    </row>
    <row r="595" ht="61.5" customHeight="1">
      <c r="A595" s="197"/>
      <c r="B595" s="197"/>
      <c r="C595" s="197"/>
      <c r="D595" s="197"/>
      <c r="E595" s="197"/>
      <c r="F595" s="197"/>
      <c r="G595" s="197"/>
      <c r="H595" s="197"/>
      <c r="I595" s="197"/>
      <c r="J595" s="197"/>
      <c r="K595" s="197"/>
      <c r="L595" s="197"/>
      <c r="M595" s="197"/>
      <c r="N595" s="197"/>
      <c r="O595" s="197"/>
      <c r="P595" s="197"/>
      <c r="Q595" s="197"/>
      <c r="R595" s="197"/>
      <c r="S595" s="197"/>
      <c r="T595" s="197"/>
      <c r="U595" s="197"/>
      <c r="V595" s="197"/>
      <c r="W595" s="197"/>
      <c r="X595" s="197"/>
      <c r="Y595" s="197"/>
      <c r="Z595" s="197"/>
    </row>
    <row r="596" ht="61.5" customHeight="1">
      <c r="A596" s="197"/>
      <c r="B596" s="197"/>
      <c r="C596" s="197"/>
      <c r="D596" s="197"/>
      <c r="E596" s="197"/>
      <c r="F596" s="197"/>
      <c r="G596" s="197"/>
      <c r="H596" s="197"/>
      <c r="I596" s="197"/>
      <c r="J596" s="197"/>
      <c r="K596" s="197"/>
      <c r="L596" s="197"/>
      <c r="M596" s="197"/>
      <c r="N596" s="197"/>
      <c r="O596" s="197"/>
      <c r="P596" s="197"/>
      <c r="Q596" s="197"/>
      <c r="R596" s="197"/>
      <c r="S596" s="197"/>
      <c r="T596" s="197"/>
      <c r="U596" s="197"/>
      <c r="V596" s="197"/>
      <c r="W596" s="197"/>
      <c r="X596" s="197"/>
      <c r="Y596" s="197"/>
      <c r="Z596" s="197"/>
    </row>
    <row r="597" ht="61.5" customHeight="1">
      <c r="A597" s="197"/>
      <c r="B597" s="197"/>
      <c r="C597" s="197"/>
      <c r="D597" s="197"/>
      <c r="E597" s="197"/>
      <c r="F597" s="197"/>
      <c r="G597" s="197"/>
      <c r="H597" s="197"/>
      <c r="I597" s="197"/>
      <c r="J597" s="197"/>
      <c r="K597" s="197"/>
      <c r="L597" s="197"/>
      <c r="M597" s="197"/>
      <c r="N597" s="197"/>
      <c r="O597" s="197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</row>
    <row r="598" ht="61.5" customHeight="1">
      <c r="A598" s="197"/>
      <c r="B598" s="197"/>
      <c r="C598" s="197"/>
      <c r="D598" s="197"/>
      <c r="E598" s="197"/>
      <c r="F598" s="197"/>
      <c r="G598" s="197"/>
      <c r="H598" s="197"/>
      <c r="I598" s="197"/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  <c r="U598" s="197"/>
      <c r="V598" s="197"/>
      <c r="W598" s="197"/>
      <c r="X598" s="197"/>
      <c r="Y598" s="197"/>
      <c r="Z598" s="197"/>
    </row>
    <row r="599" ht="61.5" customHeight="1">
      <c r="A599" s="197"/>
      <c r="B599" s="197"/>
      <c r="C599" s="197"/>
      <c r="D599" s="197"/>
      <c r="E599" s="197"/>
      <c r="F599" s="197"/>
      <c r="G599" s="197"/>
      <c r="H599" s="197"/>
      <c r="I599" s="197"/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</row>
    <row r="600" ht="61.5" customHeight="1">
      <c r="A600" s="197"/>
      <c r="B600" s="197"/>
      <c r="C600" s="197"/>
      <c r="D600" s="197"/>
      <c r="E600" s="197"/>
      <c r="F600" s="197"/>
      <c r="G600" s="197"/>
      <c r="H600" s="197"/>
      <c r="I600" s="197"/>
      <c r="J600" s="197"/>
      <c r="K600" s="197"/>
      <c r="L600" s="197"/>
      <c r="M600" s="197"/>
      <c r="N600" s="197"/>
      <c r="O600" s="197"/>
      <c r="P600" s="197"/>
      <c r="Q600" s="197"/>
      <c r="R600" s="197"/>
      <c r="S600" s="197"/>
      <c r="T600" s="197"/>
      <c r="U600" s="197"/>
      <c r="V600" s="197"/>
      <c r="W600" s="197"/>
      <c r="X600" s="197"/>
      <c r="Y600" s="197"/>
      <c r="Z600" s="197"/>
    </row>
    <row r="601" ht="61.5" customHeight="1">
      <c r="A601" s="197"/>
      <c r="B601" s="197"/>
      <c r="C601" s="197"/>
      <c r="D601" s="197"/>
      <c r="E601" s="197"/>
      <c r="F601" s="197"/>
      <c r="G601" s="197"/>
      <c r="H601" s="197"/>
      <c r="I601" s="197"/>
      <c r="J601" s="197"/>
      <c r="K601" s="197"/>
      <c r="L601" s="197"/>
      <c r="M601" s="197"/>
      <c r="N601" s="197"/>
      <c r="O601" s="197"/>
      <c r="P601" s="197"/>
      <c r="Q601" s="197"/>
      <c r="R601" s="197"/>
      <c r="S601" s="197"/>
      <c r="T601" s="197"/>
      <c r="U601" s="197"/>
      <c r="V601" s="197"/>
      <c r="W601" s="197"/>
      <c r="X601" s="197"/>
      <c r="Y601" s="197"/>
      <c r="Z601" s="197"/>
    </row>
    <row r="602" ht="61.5" customHeight="1">
      <c r="A602" s="197"/>
      <c r="B602" s="197"/>
      <c r="C602" s="197"/>
      <c r="D602" s="197"/>
      <c r="E602" s="197"/>
      <c r="F602" s="197"/>
      <c r="G602" s="197"/>
      <c r="H602" s="197"/>
      <c r="I602" s="197"/>
      <c r="J602" s="197"/>
      <c r="K602" s="197"/>
      <c r="L602" s="197"/>
      <c r="M602" s="197"/>
      <c r="N602" s="197"/>
      <c r="O602" s="197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</row>
    <row r="603" ht="61.5" customHeight="1">
      <c r="A603" s="197"/>
      <c r="B603" s="197"/>
      <c r="C603" s="197"/>
      <c r="D603" s="197"/>
      <c r="E603" s="197"/>
      <c r="F603" s="197"/>
      <c r="G603" s="197"/>
      <c r="H603" s="197"/>
      <c r="I603" s="197"/>
      <c r="J603" s="197"/>
      <c r="K603" s="197"/>
      <c r="L603" s="197"/>
      <c r="M603" s="197"/>
      <c r="N603" s="197"/>
      <c r="O603" s="197"/>
      <c r="P603" s="197"/>
      <c r="Q603" s="197"/>
      <c r="R603" s="197"/>
      <c r="S603" s="197"/>
      <c r="T603" s="197"/>
      <c r="U603" s="197"/>
      <c r="V603" s="197"/>
      <c r="W603" s="197"/>
      <c r="X603" s="197"/>
      <c r="Y603" s="197"/>
      <c r="Z603" s="197"/>
    </row>
    <row r="604" ht="61.5" customHeight="1">
      <c r="A604" s="197"/>
      <c r="B604" s="197"/>
      <c r="C604" s="197"/>
      <c r="D604" s="197"/>
      <c r="E604" s="197"/>
      <c r="F604" s="197"/>
      <c r="G604" s="197"/>
      <c r="H604" s="197"/>
      <c r="I604" s="197"/>
      <c r="J604" s="197"/>
      <c r="K604" s="197"/>
      <c r="L604" s="197"/>
      <c r="M604" s="197"/>
      <c r="N604" s="197"/>
      <c r="O604" s="197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</row>
    <row r="605" ht="61.5" customHeight="1">
      <c r="A605" s="197"/>
      <c r="B605" s="197"/>
      <c r="C605" s="197"/>
      <c r="D605" s="197"/>
      <c r="E605" s="197"/>
      <c r="F605" s="197"/>
      <c r="G605" s="197"/>
      <c r="H605" s="197"/>
      <c r="I605" s="197"/>
      <c r="J605" s="197"/>
      <c r="K605" s="197"/>
      <c r="L605" s="197"/>
      <c r="M605" s="197"/>
      <c r="N605" s="197"/>
      <c r="O605" s="197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</row>
    <row r="606" ht="61.5" customHeight="1">
      <c r="A606" s="197"/>
      <c r="B606" s="197"/>
      <c r="C606" s="197"/>
      <c r="D606" s="197"/>
      <c r="E606" s="197"/>
      <c r="F606" s="197"/>
      <c r="G606" s="197"/>
      <c r="H606" s="197"/>
      <c r="I606" s="197"/>
      <c r="J606" s="197"/>
      <c r="K606" s="197"/>
      <c r="L606" s="197"/>
      <c r="M606" s="197"/>
      <c r="N606" s="197"/>
      <c r="O606" s="197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</row>
    <row r="607" ht="61.5" customHeight="1">
      <c r="A607" s="197"/>
      <c r="B607" s="197"/>
      <c r="C607" s="197"/>
      <c r="D607" s="197"/>
      <c r="E607" s="197"/>
      <c r="F607" s="197"/>
      <c r="G607" s="197"/>
      <c r="H607" s="197"/>
      <c r="I607" s="197"/>
      <c r="J607" s="197"/>
      <c r="K607" s="197"/>
      <c r="L607" s="197"/>
      <c r="M607" s="197"/>
      <c r="N607" s="197"/>
      <c r="O607" s="197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</row>
    <row r="608" ht="61.5" customHeight="1">
      <c r="A608" s="197"/>
      <c r="B608" s="197"/>
      <c r="C608" s="197"/>
      <c r="D608" s="197"/>
      <c r="E608" s="197"/>
      <c r="F608" s="197"/>
      <c r="G608" s="197"/>
      <c r="H608" s="197"/>
      <c r="I608" s="197"/>
      <c r="J608" s="197"/>
      <c r="K608" s="197"/>
      <c r="L608" s="197"/>
      <c r="M608" s="197"/>
      <c r="N608" s="197"/>
      <c r="O608" s="197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</row>
    <row r="609" ht="61.5" customHeight="1">
      <c r="A609" s="197"/>
      <c r="B609" s="197"/>
      <c r="C609" s="197"/>
      <c r="D609" s="197"/>
      <c r="E609" s="197"/>
      <c r="F609" s="197"/>
      <c r="G609" s="197"/>
      <c r="H609" s="197"/>
      <c r="I609" s="197"/>
      <c r="J609" s="197"/>
      <c r="K609" s="197"/>
      <c r="L609" s="197"/>
      <c r="M609" s="197"/>
      <c r="N609" s="197"/>
      <c r="O609" s="197"/>
      <c r="P609" s="197"/>
      <c r="Q609" s="197"/>
      <c r="R609" s="197"/>
      <c r="S609" s="197"/>
      <c r="T609" s="197"/>
      <c r="U609" s="197"/>
      <c r="V609" s="197"/>
      <c r="W609" s="197"/>
      <c r="X609" s="197"/>
      <c r="Y609" s="197"/>
      <c r="Z609" s="197"/>
    </row>
    <row r="610" ht="61.5" customHeight="1">
      <c r="A610" s="197"/>
      <c r="B610" s="197"/>
      <c r="C610" s="197"/>
      <c r="D610" s="197"/>
      <c r="E610" s="197"/>
      <c r="F610" s="197"/>
      <c r="G610" s="197"/>
      <c r="H610" s="197"/>
      <c r="I610" s="197"/>
      <c r="J610" s="197"/>
      <c r="K610" s="197"/>
      <c r="L610" s="197"/>
      <c r="M610" s="197"/>
      <c r="N610" s="197"/>
      <c r="O610" s="197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</row>
    <row r="611" ht="61.5" customHeight="1">
      <c r="A611" s="197"/>
      <c r="B611" s="197"/>
      <c r="C611" s="197"/>
      <c r="D611" s="197"/>
      <c r="E611" s="197"/>
      <c r="F611" s="197"/>
      <c r="G611" s="197"/>
      <c r="H611" s="197"/>
      <c r="I611" s="197"/>
      <c r="J611" s="197"/>
      <c r="K611" s="197"/>
      <c r="L611" s="197"/>
      <c r="M611" s="197"/>
      <c r="N611" s="197"/>
      <c r="O611" s="197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</row>
    <row r="612" ht="61.5" customHeight="1">
      <c r="A612" s="197"/>
      <c r="B612" s="197"/>
      <c r="C612" s="197"/>
      <c r="D612" s="197"/>
      <c r="E612" s="197"/>
      <c r="F612" s="197"/>
      <c r="G612" s="197"/>
      <c r="H612" s="197"/>
      <c r="I612" s="197"/>
      <c r="J612" s="197"/>
      <c r="K612" s="197"/>
      <c r="L612" s="197"/>
      <c r="M612" s="197"/>
      <c r="N612" s="197"/>
      <c r="O612" s="197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</row>
    <row r="613" ht="61.5" customHeight="1">
      <c r="A613" s="197"/>
      <c r="B613" s="197"/>
      <c r="C613" s="197"/>
      <c r="D613" s="197"/>
      <c r="E613" s="197"/>
      <c r="F613" s="197"/>
      <c r="G613" s="197"/>
      <c r="H613" s="197"/>
      <c r="I613" s="197"/>
      <c r="J613" s="197"/>
      <c r="K613" s="197"/>
      <c r="L613" s="197"/>
      <c r="M613" s="197"/>
      <c r="N613" s="197"/>
      <c r="O613" s="197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</row>
    <row r="614" ht="61.5" customHeight="1">
      <c r="A614" s="197"/>
      <c r="B614" s="197"/>
      <c r="C614" s="197"/>
      <c r="D614" s="197"/>
      <c r="E614" s="197"/>
      <c r="F614" s="197"/>
      <c r="G614" s="197"/>
      <c r="H614" s="197"/>
      <c r="I614" s="197"/>
      <c r="J614" s="197"/>
      <c r="K614" s="197"/>
      <c r="L614" s="197"/>
      <c r="M614" s="197"/>
      <c r="N614" s="197"/>
      <c r="O614" s="197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</row>
    <row r="615" ht="61.5" customHeight="1">
      <c r="A615" s="197"/>
      <c r="B615" s="197"/>
      <c r="C615" s="197"/>
      <c r="D615" s="197"/>
      <c r="E615" s="197"/>
      <c r="F615" s="197"/>
      <c r="G615" s="197"/>
      <c r="H615" s="197"/>
      <c r="I615" s="197"/>
      <c r="J615" s="197"/>
      <c r="K615" s="197"/>
      <c r="L615" s="197"/>
      <c r="M615" s="197"/>
      <c r="N615" s="197"/>
      <c r="O615" s="197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  <c r="Z615" s="197"/>
    </row>
    <row r="616" ht="61.5" customHeight="1">
      <c r="A616" s="197"/>
      <c r="B616" s="197"/>
      <c r="C616" s="197"/>
      <c r="D616" s="197"/>
      <c r="E616" s="197"/>
      <c r="F616" s="197"/>
      <c r="G616" s="197"/>
      <c r="H616" s="197"/>
      <c r="I616" s="197"/>
      <c r="J616" s="197"/>
      <c r="K616" s="197"/>
      <c r="L616" s="197"/>
      <c r="M616" s="197"/>
      <c r="N616" s="197"/>
      <c r="O616" s="197"/>
      <c r="P616" s="197"/>
      <c r="Q616" s="197"/>
      <c r="R616" s="197"/>
      <c r="S616" s="197"/>
      <c r="T616" s="197"/>
      <c r="U616" s="197"/>
      <c r="V616" s="197"/>
      <c r="W616" s="197"/>
      <c r="X616" s="197"/>
      <c r="Y616" s="197"/>
      <c r="Z616" s="197"/>
    </row>
    <row r="617" ht="61.5" customHeight="1">
      <c r="A617" s="197"/>
      <c r="B617" s="197"/>
      <c r="C617" s="197"/>
      <c r="D617" s="197"/>
      <c r="E617" s="197"/>
      <c r="F617" s="197"/>
      <c r="G617" s="197"/>
      <c r="H617" s="197"/>
      <c r="I617" s="197"/>
      <c r="J617" s="197"/>
      <c r="K617" s="197"/>
      <c r="L617" s="197"/>
      <c r="M617" s="197"/>
      <c r="N617" s="197"/>
      <c r="O617" s="197"/>
      <c r="P617" s="197"/>
      <c r="Q617" s="197"/>
      <c r="R617" s="197"/>
      <c r="S617" s="197"/>
      <c r="T617" s="197"/>
      <c r="U617" s="197"/>
      <c r="V617" s="197"/>
      <c r="W617" s="197"/>
      <c r="X617" s="197"/>
      <c r="Y617" s="197"/>
      <c r="Z617" s="197"/>
    </row>
    <row r="618" ht="61.5" customHeight="1">
      <c r="A618" s="197"/>
      <c r="B618" s="197"/>
      <c r="C618" s="197"/>
      <c r="D618" s="197"/>
      <c r="E618" s="197"/>
      <c r="F618" s="197"/>
      <c r="G618" s="197"/>
      <c r="H618" s="197"/>
      <c r="I618" s="197"/>
      <c r="J618" s="197"/>
      <c r="K618" s="197"/>
      <c r="L618" s="197"/>
      <c r="M618" s="197"/>
      <c r="N618" s="197"/>
      <c r="O618" s="197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  <c r="Z618" s="197"/>
    </row>
    <row r="619" ht="61.5" customHeight="1">
      <c r="A619" s="197"/>
      <c r="B619" s="197"/>
      <c r="C619" s="197"/>
      <c r="D619" s="197"/>
      <c r="E619" s="197"/>
      <c r="F619" s="197"/>
      <c r="G619" s="197"/>
      <c r="H619" s="197"/>
      <c r="I619" s="197"/>
      <c r="J619" s="197"/>
      <c r="K619" s="197"/>
      <c r="L619" s="197"/>
      <c r="M619" s="197"/>
      <c r="N619" s="197"/>
      <c r="O619" s="197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  <c r="Z619" s="197"/>
    </row>
    <row r="620" ht="61.5" customHeight="1">
      <c r="A620" s="197"/>
      <c r="B620" s="197"/>
      <c r="C620" s="197"/>
      <c r="D620" s="197"/>
      <c r="E620" s="197"/>
      <c r="F620" s="197"/>
      <c r="G620" s="197"/>
      <c r="H620" s="197"/>
      <c r="I620" s="197"/>
      <c r="J620" s="197"/>
      <c r="K620" s="197"/>
      <c r="L620" s="197"/>
      <c r="M620" s="197"/>
      <c r="N620" s="197"/>
      <c r="O620" s="197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  <c r="Z620" s="197"/>
    </row>
    <row r="621" ht="61.5" customHeight="1">
      <c r="A621" s="197"/>
      <c r="B621" s="197"/>
      <c r="C621" s="197"/>
      <c r="D621" s="197"/>
      <c r="E621" s="197"/>
      <c r="F621" s="197"/>
      <c r="G621" s="197"/>
      <c r="H621" s="197"/>
      <c r="I621" s="197"/>
      <c r="J621" s="197"/>
      <c r="K621" s="197"/>
      <c r="L621" s="197"/>
      <c r="M621" s="197"/>
      <c r="N621" s="197"/>
      <c r="O621" s="197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  <c r="Z621" s="197"/>
    </row>
    <row r="622" ht="61.5" customHeight="1">
      <c r="A622" s="197"/>
      <c r="B622" s="197"/>
      <c r="C622" s="197"/>
      <c r="D622" s="197"/>
      <c r="E622" s="197"/>
      <c r="F622" s="197"/>
      <c r="G622" s="197"/>
      <c r="H622" s="197"/>
      <c r="I622" s="197"/>
      <c r="J622" s="197"/>
      <c r="K622" s="197"/>
      <c r="L622" s="197"/>
      <c r="M622" s="197"/>
      <c r="N622" s="197"/>
      <c r="O622" s="197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  <c r="Z622" s="197"/>
    </row>
    <row r="623" ht="61.5" customHeight="1">
      <c r="A623" s="197"/>
      <c r="B623" s="197"/>
      <c r="C623" s="197"/>
      <c r="D623" s="197"/>
      <c r="E623" s="197"/>
      <c r="F623" s="197"/>
      <c r="G623" s="197"/>
      <c r="H623" s="197"/>
      <c r="I623" s="197"/>
      <c r="J623" s="197"/>
      <c r="K623" s="197"/>
      <c r="L623" s="197"/>
      <c r="M623" s="197"/>
      <c r="N623" s="197"/>
      <c r="O623" s="197"/>
      <c r="P623" s="197"/>
      <c r="Q623" s="197"/>
      <c r="R623" s="197"/>
      <c r="S623" s="197"/>
      <c r="T623" s="197"/>
      <c r="U623" s="197"/>
      <c r="V623" s="197"/>
      <c r="W623" s="197"/>
      <c r="X623" s="197"/>
      <c r="Y623" s="197"/>
      <c r="Z623" s="197"/>
    </row>
    <row r="624" ht="61.5" customHeight="1">
      <c r="A624" s="197"/>
      <c r="B624" s="197"/>
      <c r="C624" s="197"/>
      <c r="D624" s="197"/>
      <c r="E624" s="197"/>
      <c r="F624" s="197"/>
      <c r="G624" s="197"/>
      <c r="H624" s="197"/>
      <c r="I624" s="197"/>
      <c r="J624" s="197"/>
      <c r="K624" s="197"/>
      <c r="L624" s="197"/>
      <c r="M624" s="197"/>
      <c r="N624" s="197"/>
      <c r="O624" s="197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  <c r="Z624" s="197"/>
    </row>
    <row r="625" ht="61.5" customHeight="1">
      <c r="A625" s="197"/>
      <c r="B625" s="197"/>
      <c r="C625" s="197"/>
      <c r="D625" s="197"/>
      <c r="E625" s="197"/>
      <c r="F625" s="197"/>
      <c r="G625" s="197"/>
      <c r="H625" s="197"/>
      <c r="I625" s="197"/>
      <c r="J625" s="197"/>
      <c r="K625" s="197"/>
      <c r="L625" s="197"/>
      <c r="M625" s="197"/>
      <c r="N625" s="197"/>
      <c r="O625" s="197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</row>
    <row r="626" ht="61.5" customHeight="1">
      <c r="A626" s="197"/>
      <c r="B626" s="197"/>
      <c r="C626" s="197"/>
      <c r="D626" s="197"/>
      <c r="E626" s="197"/>
      <c r="F626" s="197"/>
      <c r="G626" s="197"/>
      <c r="H626" s="197"/>
      <c r="I626" s="197"/>
      <c r="J626" s="197"/>
      <c r="K626" s="197"/>
      <c r="L626" s="197"/>
      <c r="M626" s="197"/>
      <c r="N626" s="197"/>
      <c r="O626" s="197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  <c r="Z626" s="197"/>
    </row>
    <row r="627" ht="61.5" customHeight="1">
      <c r="A627" s="197"/>
      <c r="B627" s="197"/>
      <c r="C627" s="197"/>
      <c r="D627" s="197"/>
      <c r="E627" s="197"/>
      <c r="F627" s="197"/>
      <c r="G627" s="197"/>
      <c r="H627" s="197"/>
      <c r="I627" s="197"/>
      <c r="J627" s="197"/>
      <c r="K627" s="197"/>
      <c r="L627" s="197"/>
      <c r="M627" s="197"/>
      <c r="N627" s="197"/>
      <c r="O627" s="197"/>
      <c r="P627" s="197"/>
      <c r="Q627" s="197"/>
      <c r="R627" s="197"/>
      <c r="S627" s="197"/>
      <c r="T627" s="197"/>
      <c r="U627" s="197"/>
      <c r="V627" s="197"/>
      <c r="W627" s="197"/>
      <c r="X627" s="197"/>
      <c r="Y627" s="197"/>
      <c r="Z627" s="197"/>
    </row>
    <row r="628" ht="61.5" customHeight="1">
      <c r="A628" s="197"/>
      <c r="B628" s="197"/>
      <c r="C628" s="197"/>
      <c r="D628" s="197"/>
      <c r="E628" s="197"/>
      <c r="F628" s="197"/>
      <c r="G628" s="197"/>
      <c r="H628" s="197"/>
      <c r="I628" s="197"/>
      <c r="J628" s="197"/>
      <c r="K628" s="197"/>
      <c r="L628" s="197"/>
      <c r="M628" s="197"/>
      <c r="N628" s="197"/>
      <c r="O628" s="197"/>
      <c r="P628" s="197"/>
      <c r="Q628" s="197"/>
      <c r="R628" s="197"/>
      <c r="S628" s="197"/>
      <c r="T628" s="197"/>
      <c r="U628" s="197"/>
      <c r="V628" s="197"/>
      <c r="W628" s="197"/>
      <c r="X628" s="197"/>
      <c r="Y628" s="197"/>
      <c r="Z628" s="197"/>
    </row>
    <row r="629" ht="61.5" customHeight="1">
      <c r="A629" s="197"/>
      <c r="B629" s="197"/>
      <c r="C629" s="197"/>
      <c r="D629" s="197"/>
      <c r="E629" s="197"/>
      <c r="F629" s="197"/>
      <c r="G629" s="197"/>
      <c r="H629" s="197"/>
      <c r="I629" s="197"/>
      <c r="J629" s="197"/>
      <c r="K629" s="197"/>
      <c r="L629" s="197"/>
      <c r="M629" s="197"/>
      <c r="N629" s="197"/>
      <c r="O629" s="197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  <c r="Z629" s="197"/>
    </row>
    <row r="630" ht="61.5" customHeight="1">
      <c r="A630" s="197"/>
      <c r="B630" s="197"/>
      <c r="C630" s="197"/>
      <c r="D630" s="197"/>
      <c r="E630" s="197"/>
      <c r="F630" s="197"/>
      <c r="G630" s="197"/>
      <c r="H630" s="197"/>
      <c r="I630" s="197"/>
      <c r="J630" s="197"/>
      <c r="K630" s="197"/>
      <c r="L630" s="197"/>
      <c r="M630" s="197"/>
      <c r="N630" s="197"/>
      <c r="O630" s="197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  <c r="Z630" s="197"/>
    </row>
    <row r="631" ht="61.5" customHeight="1">
      <c r="A631" s="197"/>
      <c r="B631" s="197"/>
      <c r="C631" s="197"/>
      <c r="D631" s="197"/>
      <c r="E631" s="197"/>
      <c r="F631" s="197"/>
      <c r="G631" s="197"/>
      <c r="H631" s="197"/>
      <c r="I631" s="197"/>
      <c r="J631" s="197"/>
      <c r="K631" s="197"/>
      <c r="L631" s="197"/>
      <c r="M631" s="197"/>
      <c r="N631" s="197"/>
      <c r="O631" s="197"/>
      <c r="P631" s="197"/>
      <c r="Q631" s="197"/>
      <c r="R631" s="197"/>
      <c r="S631" s="197"/>
      <c r="T631" s="197"/>
      <c r="U631" s="197"/>
      <c r="V631" s="197"/>
      <c r="W631" s="197"/>
      <c r="X631" s="197"/>
      <c r="Y631" s="197"/>
      <c r="Z631" s="197"/>
    </row>
    <row r="632" ht="61.5" customHeight="1">
      <c r="A632" s="197"/>
      <c r="B632" s="197"/>
      <c r="C632" s="197"/>
      <c r="D632" s="197"/>
      <c r="E632" s="197"/>
      <c r="F632" s="197"/>
      <c r="G632" s="197"/>
      <c r="H632" s="197"/>
      <c r="I632" s="197"/>
      <c r="J632" s="197"/>
      <c r="K632" s="197"/>
      <c r="L632" s="197"/>
      <c r="M632" s="197"/>
      <c r="N632" s="197"/>
      <c r="O632" s="197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  <c r="Z632" s="197"/>
    </row>
    <row r="633" ht="61.5" customHeight="1">
      <c r="A633" s="197"/>
      <c r="B633" s="197"/>
      <c r="C633" s="197"/>
      <c r="D633" s="197"/>
      <c r="E633" s="197"/>
      <c r="F633" s="197"/>
      <c r="G633" s="197"/>
      <c r="H633" s="197"/>
      <c r="I633" s="197"/>
      <c r="J633" s="197"/>
      <c r="K633" s="197"/>
      <c r="L633" s="197"/>
      <c r="M633" s="197"/>
      <c r="N633" s="197"/>
      <c r="O633" s="197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  <c r="Z633" s="197"/>
    </row>
    <row r="634" ht="61.5" customHeight="1">
      <c r="A634" s="197"/>
      <c r="B634" s="197"/>
      <c r="C634" s="197"/>
      <c r="D634" s="197"/>
      <c r="E634" s="197"/>
      <c r="F634" s="197"/>
      <c r="G634" s="197"/>
      <c r="H634" s="197"/>
      <c r="I634" s="197"/>
      <c r="J634" s="197"/>
      <c r="K634" s="197"/>
      <c r="L634" s="197"/>
      <c r="M634" s="197"/>
      <c r="N634" s="197"/>
      <c r="O634" s="197"/>
      <c r="P634" s="197"/>
      <c r="Q634" s="197"/>
      <c r="R634" s="197"/>
      <c r="S634" s="197"/>
      <c r="T634" s="197"/>
      <c r="U634" s="197"/>
      <c r="V634" s="197"/>
      <c r="W634" s="197"/>
      <c r="X634" s="197"/>
      <c r="Y634" s="197"/>
      <c r="Z634" s="197"/>
    </row>
    <row r="635" ht="61.5" customHeight="1">
      <c r="A635" s="197"/>
      <c r="B635" s="197"/>
      <c r="C635" s="197"/>
      <c r="D635" s="197"/>
      <c r="E635" s="197"/>
      <c r="F635" s="197"/>
      <c r="G635" s="197"/>
      <c r="H635" s="197"/>
      <c r="I635" s="197"/>
      <c r="J635" s="197"/>
      <c r="K635" s="197"/>
      <c r="L635" s="197"/>
      <c r="M635" s="197"/>
      <c r="N635" s="197"/>
      <c r="O635" s="197"/>
      <c r="P635" s="197"/>
      <c r="Q635" s="197"/>
      <c r="R635" s="197"/>
      <c r="S635" s="197"/>
      <c r="T635" s="197"/>
      <c r="U635" s="197"/>
      <c r="V635" s="197"/>
      <c r="W635" s="197"/>
      <c r="X635" s="197"/>
      <c r="Y635" s="197"/>
      <c r="Z635" s="197"/>
    </row>
    <row r="636" ht="61.5" customHeight="1">
      <c r="A636" s="197"/>
      <c r="B636" s="197"/>
      <c r="C636" s="197"/>
      <c r="D636" s="197"/>
      <c r="E636" s="197"/>
      <c r="F636" s="197"/>
      <c r="G636" s="197"/>
      <c r="H636" s="197"/>
      <c r="I636" s="197"/>
      <c r="J636" s="197"/>
      <c r="K636" s="197"/>
      <c r="L636" s="197"/>
      <c r="M636" s="197"/>
      <c r="N636" s="197"/>
      <c r="O636" s="197"/>
      <c r="P636" s="197"/>
      <c r="Q636" s="197"/>
      <c r="R636" s="197"/>
      <c r="S636" s="197"/>
      <c r="T636" s="197"/>
      <c r="U636" s="197"/>
      <c r="V636" s="197"/>
      <c r="W636" s="197"/>
      <c r="X636" s="197"/>
      <c r="Y636" s="197"/>
      <c r="Z636" s="197"/>
    </row>
    <row r="637" ht="61.5" customHeight="1">
      <c r="A637" s="197"/>
      <c r="B637" s="197"/>
      <c r="C637" s="197"/>
      <c r="D637" s="197"/>
      <c r="E637" s="197"/>
      <c r="F637" s="197"/>
      <c r="G637" s="197"/>
      <c r="H637" s="197"/>
      <c r="I637" s="197"/>
      <c r="J637" s="197"/>
      <c r="K637" s="197"/>
      <c r="L637" s="197"/>
      <c r="M637" s="197"/>
      <c r="N637" s="197"/>
      <c r="O637" s="197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  <c r="Z637" s="197"/>
    </row>
    <row r="638" ht="61.5" customHeight="1">
      <c r="A638" s="197"/>
      <c r="B638" s="197"/>
      <c r="C638" s="197"/>
      <c r="D638" s="197"/>
      <c r="E638" s="197"/>
      <c r="F638" s="197"/>
      <c r="G638" s="197"/>
      <c r="H638" s="197"/>
      <c r="I638" s="197"/>
      <c r="J638" s="197"/>
      <c r="K638" s="197"/>
      <c r="L638" s="197"/>
      <c r="M638" s="197"/>
      <c r="N638" s="197"/>
      <c r="O638" s="197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  <c r="Z638" s="197"/>
    </row>
    <row r="639" ht="61.5" customHeight="1">
      <c r="A639" s="197"/>
      <c r="B639" s="197"/>
      <c r="C639" s="197"/>
      <c r="D639" s="197"/>
      <c r="E639" s="197"/>
      <c r="F639" s="197"/>
      <c r="G639" s="197"/>
      <c r="H639" s="197"/>
      <c r="I639" s="197"/>
      <c r="J639" s="197"/>
      <c r="K639" s="197"/>
      <c r="L639" s="197"/>
      <c r="M639" s="197"/>
      <c r="N639" s="197"/>
      <c r="O639" s="197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  <c r="Z639" s="197"/>
    </row>
    <row r="640" ht="61.5" customHeight="1">
      <c r="A640" s="197"/>
      <c r="B640" s="197"/>
      <c r="C640" s="197"/>
      <c r="D640" s="197"/>
      <c r="E640" s="197"/>
      <c r="F640" s="197"/>
      <c r="G640" s="197"/>
      <c r="H640" s="197"/>
      <c r="I640" s="197"/>
      <c r="J640" s="197"/>
      <c r="K640" s="197"/>
      <c r="L640" s="197"/>
      <c r="M640" s="197"/>
      <c r="N640" s="197"/>
      <c r="O640" s="197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</row>
    <row r="641" ht="61.5" customHeight="1">
      <c r="A641" s="197"/>
      <c r="B641" s="197"/>
      <c r="C641" s="197"/>
      <c r="D641" s="197"/>
      <c r="E641" s="197"/>
      <c r="F641" s="197"/>
      <c r="G641" s="197"/>
      <c r="H641" s="197"/>
      <c r="I641" s="197"/>
      <c r="J641" s="197"/>
      <c r="K641" s="197"/>
      <c r="L641" s="197"/>
      <c r="M641" s="197"/>
      <c r="N641" s="197"/>
      <c r="O641" s="197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  <c r="Z641" s="197"/>
    </row>
    <row r="642" ht="61.5" customHeight="1">
      <c r="A642" s="197"/>
      <c r="B642" s="197"/>
      <c r="C642" s="197"/>
      <c r="D642" s="197"/>
      <c r="E642" s="197"/>
      <c r="F642" s="197"/>
      <c r="G642" s="197"/>
      <c r="H642" s="197"/>
      <c r="I642" s="197"/>
      <c r="J642" s="197"/>
      <c r="K642" s="197"/>
      <c r="L642" s="197"/>
      <c r="M642" s="197"/>
      <c r="N642" s="197"/>
      <c r="O642" s="197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  <c r="Z642" s="197"/>
    </row>
    <row r="643" ht="61.5" customHeight="1">
      <c r="A643" s="197"/>
      <c r="B643" s="197"/>
      <c r="C643" s="197"/>
      <c r="D643" s="197"/>
      <c r="E643" s="197"/>
      <c r="F643" s="197"/>
      <c r="G643" s="197"/>
      <c r="H643" s="197"/>
      <c r="I643" s="197"/>
      <c r="J643" s="197"/>
      <c r="K643" s="197"/>
      <c r="L643" s="197"/>
      <c r="M643" s="197"/>
      <c r="N643" s="197"/>
      <c r="O643" s="197"/>
      <c r="P643" s="197"/>
      <c r="Q643" s="197"/>
      <c r="R643" s="197"/>
      <c r="S643" s="197"/>
      <c r="T643" s="197"/>
      <c r="U643" s="197"/>
      <c r="V643" s="197"/>
      <c r="W643" s="197"/>
      <c r="X643" s="197"/>
      <c r="Y643" s="197"/>
      <c r="Z643" s="197"/>
    </row>
    <row r="644" ht="61.5" customHeight="1">
      <c r="A644" s="197"/>
      <c r="B644" s="197"/>
      <c r="C644" s="197"/>
      <c r="D644" s="197"/>
      <c r="E644" s="197"/>
      <c r="F644" s="197"/>
      <c r="G644" s="197"/>
      <c r="H644" s="197"/>
      <c r="I644" s="197"/>
      <c r="J644" s="197"/>
      <c r="K644" s="197"/>
      <c r="L644" s="197"/>
      <c r="M644" s="197"/>
      <c r="N644" s="197"/>
      <c r="O644" s="197"/>
      <c r="P644" s="197"/>
      <c r="Q644" s="197"/>
      <c r="R644" s="197"/>
      <c r="S644" s="197"/>
      <c r="T644" s="197"/>
      <c r="U644" s="197"/>
      <c r="V644" s="197"/>
      <c r="W644" s="197"/>
      <c r="X644" s="197"/>
      <c r="Y644" s="197"/>
      <c r="Z644" s="197"/>
    </row>
    <row r="645" ht="61.5" customHeight="1">
      <c r="A645" s="197"/>
      <c r="B645" s="197"/>
      <c r="C645" s="197"/>
      <c r="D645" s="197"/>
      <c r="E645" s="197"/>
      <c r="F645" s="197"/>
      <c r="G645" s="197"/>
      <c r="H645" s="197"/>
      <c r="I645" s="197"/>
      <c r="J645" s="197"/>
      <c r="K645" s="197"/>
      <c r="L645" s="197"/>
      <c r="M645" s="197"/>
      <c r="N645" s="197"/>
      <c r="O645" s="197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  <c r="Z645" s="197"/>
    </row>
    <row r="646" ht="61.5" customHeight="1">
      <c r="A646" s="197"/>
      <c r="B646" s="197"/>
      <c r="C646" s="197"/>
      <c r="D646" s="197"/>
      <c r="E646" s="197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  <c r="Z646" s="197"/>
    </row>
    <row r="647" ht="61.5" customHeight="1">
      <c r="A647" s="197"/>
      <c r="B647" s="197"/>
      <c r="C647" s="197"/>
      <c r="D647" s="197"/>
      <c r="E647" s="197"/>
      <c r="F647" s="197"/>
      <c r="G647" s="197"/>
      <c r="H647" s="197"/>
      <c r="I647" s="197"/>
      <c r="J647" s="197"/>
      <c r="K647" s="197"/>
      <c r="L647" s="197"/>
      <c r="M647" s="197"/>
      <c r="N647" s="197"/>
      <c r="O647" s="197"/>
      <c r="P647" s="197"/>
      <c r="Q647" s="197"/>
      <c r="R647" s="197"/>
      <c r="S647" s="197"/>
      <c r="T647" s="197"/>
      <c r="U647" s="197"/>
      <c r="V647" s="197"/>
      <c r="W647" s="197"/>
      <c r="X647" s="197"/>
      <c r="Y647" s="197"/>
      <c r="Z647" s="197"/>
    </row>
    <row r="648" ht="61.5" customHeight="1">
      <c r="A648" s="197"/>
      <c r="B648" s="197"/>
      <c r="C648" s="197"/>
      <c r="D648" s="197"/>
      <c r="E648" s="197"/>
      <c r="F648" s="197"/>
      <c r="G648" s="197"/>
      <c r="H648" s="197"/>
      <c r="I648" s="197"/>
      <c r="J648" s="197"/>
      <c r="K648" s="197"/>
      <c r="L648" s="197"/>
      <c r="M648" s="197"/>
      <c r="N648" s="197"/>
      <c r="O648" s="197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  <c r="Z648" s="197"/>
    </row>
    <row r="649" ht="61.5" customHeight="1">
      <c r="A649" s="197"/>
      <c r="B649" s="197"/>
      <c r="C649" s="197"/>
      <c r="D649" s="197"/>
      <c r="E649" s="197"/>
      <c r="F649" s="197"/>
      <c r="G649" s="197"/>
      <c r="H649" s="197"/>
      <c r="I649" s="197"/>
      <c r="J649" s="197"/>
      <c r="K649" s="197"/>
      <c r="L649" s="197"/>
      <c r="M649" s="197"/>
      <c r="N649" s="197"/>
      <c r="O649" s="197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  <c r="Z649" s="197"/>
    </row>
    <row r="650" ht="61.5" customHeight="1">
      <c r="A650" s="197"/>
      <c r="B650" s="197"/>
      <c r="C650" s="197"/>
      <c r="D650" s="197"/>
      <c r="E650" s="197"/>
      <c r="F650" s="197"/>
      <c r="G650" s="197"/>
      <c r="H650" s="197"/>
      <c r="I650" s="197"/>
      <c r="J650" s="197"/>
      <c r="K650" s="197"/>
      <c r="L650" s="197"/>
      <c r="M650" s="197"/>
      <c r="N650" s="197"/>
      <c r="O650" s="197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  <c r="Z650" s="197"/>
    </row>
    <row r="651" ht="61.5" customHeight="1">
      <c r="A651" s="197"/>
      <c r="B651" s="197"/>
      <c r="C651" s="197"/>
      <c r="D651" s="197"/>
      <c r="E651" s="197"/>
      <c r="F651" s="197"/>
      <c r="G651" s="197"/>
      <c r="H651" s="197"/>
      <c r="I651" s="197"/>
      <c r="J651" s="197"/>
      <c r="K651" s="197"/>
      <c r="L651" s="197"/>
      <c r="M651" s="197"/>
      <c r="N651" s="197"/>
      <c r="O651" s="197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  <c r="Z651" s="197"/>
    </row>
    <row r="652" ht="61.5" customHeight="1">
      <c r="A652" s="197"/>
      <c r="B652" s="197"/>
      <c r="C652" s="197"/>
      <c r="D652" s="197"/>
      <c r="E652" s="197"/>
      <c r="F652" s="197"/>
      <c r="G652" s="197"/>
      <c r="H652" s="197"/>
      <c r="I652" s="197"/>
      <c r="J652" s="197"/>
      <c r="K652" s="197"/>
      <c r="L652" s="197"/>
      <c r="M652" s="197"/>
      <c r="N652" s="197"/>
      <c r="O652" s="197"/>
      <c r="P652" s="197"/>
      <c r="Q652" s="197"/>
      <c r="R652" s="197"/>
      <c r="S652" s="197"/>
      <c r="T652" s="197"/>
      <c r="U652" s="197"/>
      <c r="V652" s="197"/>
      <c r="W652" s="197"/>
      <c r="X652" s="197"/>
      <c r="Y652" s="197"/>
      <c r="Z652" s="197"/>
    </row>
    <row r="653" ht="61.5" customHeight="1">
      <c r="A653" s="197"/>
      <c r="B653" s="197"/>
      <c r="C653" s="197"/>
      <c r="D653" s="197"/>
      <c r="E653" s="197"/>
      <c r="F653" s="197"/>
      <c r="G653" s="197"/>
      <c r="H653" s="197"/>
      <c r="I653" s="197"/>
      <c r="J653" s="197"/>
      <c r="K653" s="197"/>
      <c r="L653" s="197"/>
      <c r="M653" s="197"/>
      <c r="N653" s="197"/>
      <c r="O653" s="197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  <c r="Z653" s="197"/>
    </row>
    <row r="654" ht="61.5" customHeight="1">
      <c r="A654" s="197"/>
      <c r="B654" s="197"/>
      <c r="C654" s="197"/>
      <c r="D654" s="197"/>
      <c r="E654" s="197"/>
      <c r="F654" s="197"/>
      <c r="G654" s="197"/>
      <c r="H654" s="197"/>
      <c r="I654" s="197"/>
      <c r="J654" s="197"/>
      <c r="K654" s="197"/>
      <c r="L654" s="197"/>
      <c r="M654" s="197"/>
      <c r="N654" s="197"/>
      <c r="O654" s="197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</row>
    <row r="655" ht="61.5" customHeight="1">
      <c r="A655" s="197"/>
      <c r="B655" s="197"/>
      <c r="C655" s="197"/>
      <c r="D655" s="197"/>
      <c r="E655" s="197"/>
      <c r="F655" s="197"/>
      <c r="G655" s="197"/>
      <c r="H655" s="197"/>
      <c r="I655" s="197"/>
      <c r="J655" s="197"/>
      <c r="K655" s="197"/>
      <c r="L655" s="197"/>
      <c r="M655" s="197"/>
      <c r="N655" s="197"/>
      <c r="O655" s="197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  <c r="Z655" s="197"/>
    </row>
    <row r="656" ht="61.5" customHeight="1">
      <c r="A656" s="197"/>
      <c r="B656" s="197"/>
      <c r="C656" s="197"/>
      <c r="D656" s="197"/>
      <c r="E656" s="197"/>
      <c r="F656" s="197"/>
      <c r="G656" s="197"/>
      <c r="H656" s="197"/>
      <c r="I656" s="197"/>
      <c r="J656" s="197"/>
      <c r="K656" s="197"/>
      <c r="L656" s="197"/>
      <c r="M656" s="197"/>
      <c r="N656" s="197"/>
      <c r="O656" s="197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  <c r="Z656" s="197"/>
    </row>
    <row r="657" ht="61.5" customHeight="1">
      <c r="A657" s="197"/>
      <c r="B657" s="197"/>
      <c r="C657" s="197"/>
      <c r="D657" s="197"/>
      <c r="E657" s="197"/>
      <c r="F657" s="197"/>
      <c r="G657" s="197"/>
      <c r="H657" s="197"/>
      <c r="I657" s="197"/>
      <c r="J657" s="197"/>
      <c r="K657" s="197"/>
      <c r="L657" s="197"/>
      <c r="M657" s="197"/>
      <c r="N657" s="197"/>
      <c r="O657" s="197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</row>
    <row r="658" ht="61.5" customHeight="1">
      <c r="A658" s="197"/>
      <c r="B658" s="197"/>
      <c r="C658" s="197"/>
      <c r="D658" s="197"/>
      <c r="E658" s="197"/>
      <c r="F658" s="197"/>
      <c r="G658" s="197"/>
      <c r="H658" s="197"/>
      <c r="I658" s="197"/>
      <c r="J658" s="197"/>
      <c r="K658" s="197"/>
      <c r="L658" s="197"/>
      <c r="M658" s="197"/>
      <c r="N658" s="197"/>
      <c r="O658" s="197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  <c r="Z658" s="197"/>
    </row>
    <row r="659" ht="61.5" customHeight="1">
      <c r="A659" s="197"/>
      <c r="B659" s="197"/>
      <c r="C659" s="197"/>
      <c r="D659" s="197"/>
      <c r="E659" s="197"/>
      <c r="F659" s="197"/>
      <c r="G659" s="197"/>
      <c r="H659" s="197"/>
      <c r="I659" s="197"/>
      <c r="J659" s="197"/>
      <c r="K659" s="197"/>
      <c r="L659" s="197"/>
      <c r="M659" s="197"/>
      <c r="N659" s="197"/>
      <c r="O659" s="197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  <c r="Z659" s="197"/>
    </row>
    <row r="660" ht="61.5" customHeight="1">
      <c r="A660" s="197"/>
      <c r="B660" s="197"/>
      <c r="C660" s="197"/>
      <c r="D660" s="197"/>
      <c r="E660" s="197"/>
      <c r="F660" s="197"/>
      <c r="G660" s="197"/>
      <c r="H660" s="197"/>
      <c r="I660" s="197"/>
      <c r="J660" s="197"/>
      <c r="K660" s="197"/>
      <c r="L660" s="197"/>
      <c r="M660" s="197"/>
      <c r="N660" s="197"/>
      <c r="O660" s="197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  <c r="Z660" s="197"/>
    </row>
    <row r="661" ht="61.5" customHeight="1">
      <c r="A661" s="197"/>
      <c r="B661" s="197"/>
      <c r="C661" s="197"/>
      <c r="D661" s="197"/>
      <c r="E661" s="197"/>
      <c r="F661" s="197"/>
      <c r="G661" s="197"/>
      <c r="H661" s="197"/>
      <c r="I661" s="197"/>
      <c r="J661" s="197"/>
      <c r="K661" s="197"/>
      <c r="L661" s="197"/>
      <c r="M661" s="197"/>
      <c r="N661" s="197"/>
      <c r="O661" s="197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  <c r="Z661" s="197"/>
    </row>
    <row r="662" ht="61.5" customHeight="1">
      <c r="A662" s="197"/>
      <c r="B662" s="197"/>
      <c r="C662" s="197"/>
      <c r="D662" s="197"/>
      <c r="E662" s="197"/>
      <c r="F662" s="197"/>
      <c r="G662" s="197"/>
      <c r="H662" s="197"/>
      <c r="I662" s="197"/>
      <c r="J662" s="197"/>
      <c r="K662" s="197"/>
      <c r="L662" s="197"/>
      <c r="M662" s="197"/>
      <c r="N662" s="197"/>
      <c r="O662" s="197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</row>
    <row r="663" ht="61.5" customHeight="1">
      <c r="A663" s="197"/>
      <c r="B663" s="197"/>
      <c r="C663" s="197"/>
      <c r="D663" s="197"/>
      <c r="E663" s="197"/>
      <c r="F663" s="197"/>
      <c r="G663" s="197"/>
      <c r="H663" s="197"/>
      <c r="I663" s="197"/>
      <c r="J663" s="197"/>
      <c r="K663" s="197"/>
      <c r="L663" s="197"/>
      <c r="M663" s="197"/>
      <c r="N663" s="197"/>
      <c r="O663" s="197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  <c r="Z663" s="197"/>
    </row>
    <row r="664" ht="61.5" customHeight="1">
      <c r="A664" s="197"/>
      <c r="B664" s="197"/>
      <c r="C664" s="197"/>
      <c r="D664" s="197"/>
      <c r="E664" s="197"/>
      <c r="F664" s="197"/>
      <c r="G664" s="197"/>
      <c r="H664" s="197"/>
      <c r="I664" s="197"/>
      <c r="J664" s="197"/>
      <c r="K664" s="197"/>
      <c r="L664" s="197"/>
      <c r="M664" s="197"/>
      <c r="N664" s="197"/>
      <c r="O664" s="197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  <c r="Z664" s="197"/>
    </row>
    <row r="665" ht="61.5" customHeight="1">
      <c r="A665" s="197"/>
      <c r="B665" s="197"/>
      <c r="C665" s="197"/>
      <c r="D665" s="197"/>
      <c r="E665" s="197"/>
      <c r="F665" s="197"/>
      <c r="G665" s="197"/>
      <c r="H665" s="197"/>
      <c r="I665" s="197"/>
      <c r="J665" s="197"/>
      <c r="K665" s="197"/>
      <c r="L665" s="197"/>
      <c r="M665" s="197"/>
      <c r="N665" s="197"/>
      <c r="O665" s="197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  <c r="Z665" s="197"/>
    </row>
    <row r="666" ht="61.5" customHeight="1">
      <c r="A666" s="197"/>
      <c r="B666" s="197"/>
      <c r="C666" s="197"/>
      <c r="D666" s="197"/>
      <c r="E666" s="197"/>
      <c r="F666" s="197"/>
      <c r="G666" s="197"/>
      <c r="H666" s="197"/>
      <c r="I666" s="197"/>
      <c r="J666" s="197"/>
      <c r="K666" s="197"/>
      <c r="L666" s="197"/>
      <c r="M666" s="197"/>
      <c r="N666" s="197"/>
      <c r="O666" s="197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  <c r="Z666" s="197"/>
    </row>
    <row r="667" ht="61.5" customHeight="1">
      <c r="A667" s="197"/>
      <c r="B667" s="197"/>
      <c r="C667" s="197"/>
      <c r="D667" s="197"/>
      <c r="E667" s="197"/>
      <c r="F667" s="197"/>
      <c r="G667" s="197"/>
      <c r="H667" s="197"/>
      <c r="I667" s="197"/>
      <c r="J667" s="197"/>
      <c r="K667" s="197"/>
      <c r="L667" s="197"/>
      <c r="M667" s="197"/>
      <c r="N667" s="197"/>
      <c r="O667" s="197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  <c r="Z667" s="197"/>
    </row>
    <row r="668" ht="61.5" customHeight="1">
      <c r="A668" s="197"/>
      <c r="B668" s="197"/>
      <c r="C668" s="197"/>
      <c r="D668" s="197"/>
      <c r="E668" s="197"/>
      <c r="F668" s="197"/>
      <c r="G668" s="197"/>
      <c r="H668" s="197"/>
      <c r="I668" s="197"/>
      <c r="J668" s="197"/>
      <c r="K668" s="197"/>
      <c r="L668" s="197"/>
      <c r="M668" s="197"/>
      <c r="N668" s="197"/>
      <c r="O668" s="197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  <c r="Z668" s="197"/>
    </row>
    <row r="669" ht="61.5" customHeight="1">
      <c r="A669" s="197"/>
      <c r="B669" s="197"/>
      <c r="C669" s="197"/>
      <c r="D669" s="197"/>
      <c r="E669" s="197"/>
      <c r="F669" s="197"/>
      <c r="G669" s="197"/>
      <c r="H669" s="197"/>
      <c r="I669" s="197"/>
      <c r="J669" s="197"/>
      <c r="K669" s="197"/>
      <c r="L669" s="197"/>
      <c r="M669" s="197"/>
      <c r="N669" s="197"/>
      <c r="O669" s="197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  <c r="Z669" s="197"/>
    </row>
    <row r="670" ht="61.5" customHeight="1">
      <c r="A670" s="197"/>
      <c r="B670" s="197"/>
      <c r="C670" s="197"/>
      <c r="D670" s="197"/>
      <c r="E670" s="197"/>
      <c r="F670" s="197"/>
      <c r="G670" s="197"/>
      <c r="H670" s="197"/>
      <c r="I670" s="197"/>
      <c r="J670" s="197"/>
      <c r="K670" s="197"/>
      <c r="L670" s="197"/>
      <c r="M670" s="197"/>
      <c r="N670" s="197"/>
      <c r="O670" s="197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  <c r="Z670" s="197"/>
    </row>
    <row r="671" ht="61.5" customHeight="1">
      <c r="A671" s="197"/>
      <c r="B671" s="197"/>
      <c r="C671" s="197"/>
      <c r="D671" s="197"/>
      <c r="E671" s="197"/>
      <c r="F671" s="197"/>
      <c r="G671" s="197"/>
      <c r="H671" s="197"/>
      <c r="I671" s="197"/>
      <c r="J671" s="197"/>
      <c r="K671" s="197"/>
      <c r="L671" s="197"/>
      <c r="M671" s="197"/>
      <c r="N671" s="197"/>
      <c r="O671" s="197"/>
      <c r="P671" s="197"/>
      <c r="Q671" s="197"/>
      <c r="R671" s="197"/>
      <c r="S671" s="197"/>
      <c r="T671" s="197"/>
      <c r="U671" s="197"/>
      <c r="V671" s="197"/>
      <c r="W671" s="197"/>
      <c r="X671" s="197"/>
      <c r="Y671" s="197"/>
      <c r="Z671" s="197"/>
    </row>
    <row r="672" ht="61.5" customHeight="1">
      <c r="A672" s="197"/>
      <c r="B672" s="197"/>
      <c r="C672" s="197"/>
      <c r="D672" s="197"/>
      <c r="E672" s="197"/>
      <c r="F672" s="197"/>
      <c r="G672" s="197"/>
      <c r="H672" s="197"/>
      <c r="I672" s="197"/>
      <c r="J672" s="197"/>
      <c r="K672" s="197"/>
      <c r="L672" s="197"/>
      <c r="M672" s="197"/>
      <c r="N672" s="197"/>
      <c r="O672" s="197"/>
      <c r="P672" s="197"/>
      <c r="Q672" s="197"/>
      <c r="R672" s="197"/>
      <c r="S672" s="197"/>
      <c r="T672" s="197"/>
      <c r="U672" s="197"/>
      <c r="V672" s="197"/>
      <c r="W672" s="197"/>
      <c r="X672" s="197"/>
      <c r="Y672" s="197"/>
      <c r="Z672" s="197"/>
    </row>
    <row r="673" ht="61.5" customHeight="1">
      <c r="A673" s="197"/>
      <c r="B673" s="197"/>
      <c r="C673" s="197"/>
      <c r="D673" s="197"/>
      <c r="E673" s="197"/>
      <c r="F673" s="197"/>
      <c r="G673" s="197"/>
      <c r="H673" s="197"/>
      <c r="I673" s="197"/>
      <c r="J673" s="197"/>
      <c r="K673" s="197"/>
      <c r="L673" s="197"/>
      <c r="M673" s="197"/>
      <c r="N673" s="197"/>
      <c r="O673" s="197"/>
      <c r="P673" s="197"/>
      <c r="Q673" s="197"/>
      <c r="R673" s="197"/>
      <c r="S673" s="197"/>
      <c r="T673" s="197"/>
      <c r="U673" s="197"/>
      <c r="V673" s="197"/>
      <c r="W673" s="197"/>
      <c r="X673" s="197"/>
      <c r="Y673" s="197"/>
      <c r="Z673" s="197"/>
    </row>
    <row r="674" ht="61.5" customHeight="1">
      <c r="A674" s="197"/>
      <c r="B674" s="197"/>
      <c r="C674" s="197"/>
      <c r="D674" s="197"/>
      <c r="E674" s="197"/>
      <c r="F674" s="197"/>
      <c r="G674" s="197"/>
      <c r="H674" s="197"/>
      <c r="I674" s="197"/>
      <c r="J674" s="197"/>
      <c r="K674" s="197"/>
      <c r="L674" s="197"/>
      <c r="M674" s="197"/>
      <c r="N674" s="197"/>
      <c r="O674" s="197"/>
      <c r="P674" s="197"/>
      <c r="Q674" s="197"/>
      <c r="R674" s="197"/>
      <c r="S674" s="197"/>
      <c r="T674" s="197"/>
      <c r="U674" s="197"/>
      <c r="V674" s="197"/>
      <c r="W674" s="197"/>
      <c r="X674" s="197"/>
      <c r="Y674" s="197"/>
      <c r="Z674" s="197"/>
    </row>
    <row r="675" ht="61.5" customHeight="1">
      <c r="A675" s="197"/>
      <c r="B675" s="197"/>
      <c r="C675" s="197"/>
      <c r="D675" s="197"/>
      <c r="E675" s="197"/>
      <c r="F675" s="197"/>
      <c r="G675" s="197"/>
      <c r="H675" s="197"/>
      <c r="I675" s="197"/>
      <c r="J675" s="197"/>
      <c r="K675" s="197"/>
      <c r="L675" s="197"/>
      <c r="M675" s="197"/>
      <c r="N675" s="197"/>
      <c r="O675" s="197"/>
      <c r="P675" s="197"/>
      <c r="Q675" s="197"/>
      <c r="R675" s="197"/>
      <c r="S675" s="197"/>
      <c r="T675" s="197"/>
      <c r="U675" s="197"/>
      <c r="V675" s="197"/>
      <c r="W675" s="197"/>
      <c r="X675" s="197"/>
      <c r="Y675" s="197"/>
      <c r="Z675" s="197"/>
    </row>
    <row r="676" ht="61.5" customHeight="1">
      <c r="A676" s="197"/>
      <c r="B676" s="197"/>
      <c r="C676" s="197"/>
      <c r="D676" s="197"/>
      <c r="E676" s="197"/>
      <c r="F676" s="197"/>
      <c r="G676" s="197"/>
      <c r="H676" s="197"/>
      <c r="I676" s="197"/>
      <c r="J676" s="197"/>
      <c r="K676" s="197"/>
      <c r="L676" s="197"/>
      <c r="M676" s="197"/>
      <c r="N676" s="197"/>
      <c r="O676" s="197"/>
      <c r="P676" s="197"/>
      <c r="Q676" s="197"/>
      <c r="R676" s="197"/>
      <c r="S676" s="197"/>
      <c r="T676" s="197"/>
      <c r="U676" s="197"/>
      <c r="V676" s="197"/>
      <c r="W676" s="197"/>
      <c r="X676" s="197"/>
      <c r="Y676" s="197"/>
      <c r="Z676" s="197"/>
    </row>
    <row r="677" ht="61.5" customHeight="1">
      <c r="A677" s="197"/>
      <c r="B677" s="197"/>
      <c r="C677" s="197"/>
      <c r="D677" s="197"/>
      <c r="E677" s="197"/>
      <c r="F677" s="197"/>
      <c r="G677" s="197"/>
      <c r="H677" s="197"/>
      <c r="I677" s="197"/>
      <c r="J677" s="197"/>
      <c r="K677" s="197"/>
      <c r="L677" s="197"/>
      <c r="M677" s="197"/>
      <c r="N677" s="197"/>
      <c r="O677" s="197"/>
      <c r="P677" s="197"/>
      <c r="Q677" s="197"/>
      <c r="R677" s="197"/>
      <c r="S677" s="197"/>
      <c r="T677" s="197"/>
      <c r="U677" s="197"/>
      <c r="V677" s="197"/>
      <c r="W677" s="197"/>
      <c r="X677" s="197"/>
      <c r="Y677" s="197"/>
      <c r="Z677" s="197"/>
    </row>
    <row r="678" ht="61.5" customHeight="1">
      <c r="A678" s="197"/>
      <c r="B678" s="197"/>
      <c r="C678" s="197"/>
      <c r="D678" s="197"/>
      <c r="E678" s="197"/>
      <c r="F678" s="197"/>
      <c r="G678" s="197"/>
      <c r="H678" s="197"/>
      <c r="I678" s="197"/>
      <c r="J678" s="197"/>
      <c r="K678" s="197"/>
      <c r="L678" s="197"/>
      <c r="M678" s="197"/>
      <c r="N678" s="197"/>
      <c r="O678" s="197"/>
      <c r="P678" s="197"/>
      <c r="Q678" s="197"/>
      <c r="R678" s="197"/>
      <c r="S678" s="197"/>
      <c r="T678" s="197"/>
      <c r="U678" s="197"/>
      <c r="V678" s="197"/>
      <c r="W678" s="197"/>
      <c r="X678" s="197"/>
      <c r="Y678" s="197"/>
      <c r="Z678" s="197"/>
    </row>
    <row r="679" ht="61.5" customHeight="1">
      <c r="A679" s="197"/>
      <c r="B679" s="197"/>
      <c r="C679" s="197"/>
      <c r="D679" s="197"/>
      <c r="E679" s="197"/>
      <c r="F679" s="197"/>
      <c r="G679" s="197"/>
      <c r="H679" s="197"/>
      <c r="I679" s="197"/>
      <c r="J679" s="197"/>
      <c r="K679" s="197"/>
      <c r="L679" s="197"/>
      <c r="M679" s="197"/>
      <c r="N679" s="197"/>
      <c r="O679" s="197"/>
      <c r="P679" s="197"/>
      <c r="Q679" s="197"/>
      <c r="R679" s="197"/>
      <c r="S679" s="197"/>
      <c r="T679" s="197"/>
      <c r="U679" s="197"/>
      <c r="V679" s="197"/>
      <c r="W679" s="197"/>
      <c r="X679" s="197"/>
      <c r="Y679" s="197"/>
      <c r="Z679" s="197"/>
    </row>
    <row r="680" ht="61.5" customHeight="1">
      <c r="A680" s="197"/>
      <c r="B680" s="197"/>
      <c r="C680" s="197"/>
      <c r="D680" s="197"/>
      <c r="E680" s="197"/>
      <c r="F680" s="197"/>
      <c r="G680" s="197"/>
      <c r="H680" s="197"/>
      <c r="I680" s="197"/>
      <c r="J680" s="197"/>
      <c r="K680" s="197"/>
      <c r="L680" s="197"/>
      <c r="M680" s="197"/>
      <c r="N680" s="197"/>
      <c r="O680" s="197"/>
      <c r="P680" s="197"/>
      <c r="Q680" s="197"/>
      <c r="R680" s="197"/>
      <c r="S680" s="197"/>
      <c r="T680" s="197"/>
      <c r="U680" s="197"/>
      <c r="V680" s="197"/>
      <c r="W680" s="197"/>
      <c r="X680" s="197"/>
      <c r="Y680" s="197"/>
      <c r="Z680" s="197"/>
    </row>
    <row r="681" ht="61.5" customHeight="1">
      <c r="A681" s="197"/>
      <c r="B681" s="197"/>
      <c r="C681" s="197"/>
      <c r="D681" s="197"/>
      <c r="E681" s="197"/>
      <c r="F681" s="197"/>
      <c r="G681" s="197"/>
      <c r="H681" s="197"/>
      <c r="I681" s="197"/>
      <c r="J681" s="197"/>
      <c r="K681" s="197"/>
      <c r="L681" s="197"/>
      <c r="M681" s="197"/>
      <c r="N681" s="197"/>
      <c r="O681" s="197"/>
      <c r="P681" s="197"/>
      <c r="Q681" s="197"/>
      <c r="R681" s="197"/>
      <c r="S681" s="197"/>
      <c r="T681" s="197"/>
      <c r="U681" s="197"/>
      <c r="V681" s="197"/>
      <c r="W681" s="197"/>
      <c r="X681" s="197"/>
      <c r="Y681" s="197"/>
      <c r="Z681" s="197"/>
    </row>
    <row r="682" ht="61.5" customHeight="1">
      <c r="A682" s="197"/>
      <c r="B682" s="197"/>
      <c r="C682" s="197"/>
      <c r="D682" s="197"/>
      <c r="E682" s="197"/>
      <c r="F682" s="197"/>
      <c r="G682" s="197"/>
      <c r="H682" s="197"/>
      <c r="I682" s="197"/>
      <c r="J682" s="197"/>
      <c r="K682" s="197"/>
      <c r="L682" s="197"/>
      <c r="M682" s="197"/>
      <c r="N682" s="197"/>
      <c r="O682" s="197"/>
      <c r="P682" s="197"/>
      <c r="Q682" s="197"/>
      <c r="R682" s="197"/>
      <c r="S682" s="197"/>
      <c r="T682" s="197"/>
      <c r="U682" s="197"/>
      <c r="V682" s="197"/>
      <c r="W682" s="197"/>
      <c r="X682" s="197"/>
      <c r="Y682" s="197"/>
      <c r="Z682" s="197"/>
    </row>
    <row r="683" ht="61.5" customHeight="1">
      <c r="A683" s="197"/>
      <c r="B683" s="197"/>
      <c r="C683" s="197"/>
      <c r="D683" s="197"/>
      <c r="E683" s="197"/>
      <c r="F683" s="197"/>
      <c r="G683" s="197"/>
      <c r="H683" s="197"/>
      <c r="I683" s="197"/>
      <c r="J683" s="197"/>
      <c r="K683" s="197"/>
      <c r="L683" s="197"/>
      <c r="M683" s="197"/>
      <c r="N683" s="197"/>
      <c r="O683" s="197"/>
      <c r="P683" s="197"/>
      <c r="Q683" s="197"/>
      <c r="R683" s="197"/>
      <c r="S683" s="197"/>
      <c r="T683" s="197"/>
      <c r="U683" s="197"/>
      <c r="V683" s="197"/>
      <c r="W683" s="197"/>
      <c r="X683" s="197"/>
      <c r="Y683" s="197"/>
      <c r="Z683" s="197"/>
    </row>
    <row r="684" ht="61.5" customHeight="1">
      <c r="A684" s="197"/>
      <c r="B684" s="197"/>
      <c r="C684" s="197"/>
      <c r="D684" s="197"/>
      <c r="E684" s="197"/>
      <c r="F684" s="197"/>
      <c r="G684" s="197"/>
      <c r="H684" s="197"/>
      <c r="I684" s="197"/>
      <c r="J684" s="197"/>
      <c r="K684" s="197"/>
      <c r="L684" s="197"/>
      <c r="M684" s="197"/>
      <c r="N684" s="197"/>
      <c r="O684" s="197"/>
      <c r="P684" s="197"/>
      <c r="Q684" s="197"/>
      <c r="R684" s="197"/>
      <c r="S684" s="197"/>
      <c r="T684" s="197"/>
      <c r="U684" s="197"/>
      <c r="V684" s="197"/>
      <c r="W684" s="197"/>
      <c r="X684" s="197"/>
      <c r="Y684" s="197"/>
      <c r="Z684" s="197"/>
    </row>
    <row r="685" ht="61.5" customHeight="1">
      <c r="A685" s="197"/>
      <c r="B685" s="197"/>
      <c r="C685" s="197"/>
      <c r="D685" s="197"/>
      <c r="E685" s="197"/>
      <c r="F685" s="197"/>
      <c r="G685" s="197"/>
      <c r="H685" s="197"/>
      <c r="I685" s="197"/>
      <c r="J685" s="197"/>
      <c r="K685" s="197"/>
      <c r="L685" s="197"/>
      <c r="M685" s="197"/>
      <c r="N685" s="197"/>
      <c r="O685" s="197"/>
      <c r="P685" s="197"/>
      <c r="Q685" s="197"/>
      <c r="R685" s="197"/>
      <c r="S685" s="197"/>
      <c r="T685" s="197"/>
      <c r="U685" s="197"/>
      <c r="V685" s="197"/>
      <c r="W685" s="197"/>
      <c r="X685" s="197"/>
      <c r="Y685" s="197"/>
      <c r="Z685" s="197"/>
    </row>
    <row r="686" ht="61.5" customHeight="1">
      <c r="A686" s="197"/>
      <c r="B686" s="197"/>
      <c r="C686" s="197"/>
      <c r="D686" s="197"/>
      <c r="E686" s="197"/>
      <c r="F686" s="197"/>
      <c r="G686" s="197"/>
      <c r="H686" s="197"/>
      <c r="I686" s="197"/>
      <c r="J686" s="197"/>
      <c r="K686" s="197"/>
      <c r="L686" s="197"/>
      <c r="M686" s="197"/>
      <c r="N686" s="197"/>
      <c r="O686" s="197"/>
      <c r="P686" s="197"/>
      <c r="Q686" s="197"/>
      <c r="R686" s="197"/>
      <c r="S686" s="197"/>
      <c r="T686" s="197"/>
      <c r="U686" s="197"/>
      <c r="V686" s="197"/>
      <c r="W686" s="197"/>
      <c r="X686" s="197"/>
      <c r="Y686" s="197"/>
      <c r="Z686" s="197"/>
    </row>
    <row r="687" ht="61.5" customHeight="1">
      <c r="A687" s="197"/>
      <c r="B687" s="197"/>
      <c r="C687" s="197"/>
      <c r="D687" s="197"/>
      <c r="E687" s="197"/>
      <c r="F687" s="197"/>
      <c r="G687" s="197"/>
      <c r="H687" s="197"/>
      <c r="I687" s="197"/>
      <c r="J687" s="197"/>
      <c r="K687" s="197"/>
      <c r="L687" s="197"/>
      <c r="M687" s="197"/>
      <c r="N687" s="197"/>
      <c r="O687" s="197"/>
      <c r="P687" s="197"/>
      <c r="Q687" s="197"/>
      <c r="R687" s="197"/>
      <c r="S687" s="197"/>
      <c r="T687" s="197"/>
      <c r="U687" s="197"/>
      <c r="V687" s="197"/>
      <c r="W687" s="197"/>
      <c r="X687" s="197"/>
      <c r="Y687" s="197"/>
      <c r="Z687" s="197"/>
    </row>
    <row r="688" ht="61.5" customHeight="1">
      <c r="A688" s="197"/>
      <c r="B688" s="197"/>
      <c r="C688" s="197"/>
      <c r="D688" s="197"/>
      <c r="E688" s="197"/>
      <c r="F688" s="197"/>
      <c r="G688" s="197"/>
      <c r="H688" s="197"/>
      <c r="I688" s="197"/>
      <c r="J688" s="197"/>
      <c r="K688" s="197"/>
      <c r="L688" s="197"/>
      <c r="M688" s="197"/>
      <c r="N688" s="197"/>
      <c r="O688" s="197"/>
      <c r="P688" s="197"/>
      <c r="Q688" s="197"/>
      <c r="R688" s="197"/>
      <c r="S688" s="197"/>
      <c r="T688" s="197"/>
      <c r="U688" s="197"/>
      <c r="V688" s="197"/>
      <c r="W688" s="197"/>
      <c r="X688" s="197"/>
      <c r="Y688" s="197"/>
      <c r="Z688" s="197"/>
    </row>
    <row r="689" ht="61.5" customHeight="1">
      <c r="A689" s="197"/>
      <c r="B689" s="197"/>
      <c r="C689" s="197"/>
      <c r="D689" s="197"/>
      <c r="E689" s="197"/>
      <c r="F689" s="197"/>
      <c r="G689" s="197"/>
      <c r="H689" s="197"/>
      <c r="I689" s="197"/>
      <c r="J689" s="197"/>
      <c r="K689" s="197"/>
      <c r="L689" s="197"/>
      <c r="M689" s="197"/>
      <c r="N689" s="197"/>
      <c r="O689" s="197"/>
      <c r="P689" s="197"/>
      <c r="Q689" s="197"/>
      <c r="R689" s="197"/>
      <c r="S689" s="197"/>
      <c r="T689" s="197"/>
      <c r="U689" s="197"/>
      <c r="V689" s="197"/>
      <c r="W689" s="197"/>
      <c r="X689" s="197"/>
      <c r="Y689" s="197"/>
      <c r="Z689" s="197"/>
    </row>
    <row r="690" ht="61.5" customHeight="1">
      <c r="A690" s="197"/>
      <c r="B690" s="197"/>
      <c r="C690" s="197"/>
      <c r="D690" s="197"/>
      <c r="E690" s="197"/>
      <c r="F690" s="197"/>
      <c r="G690" s="197"/>
      <c r="H690" s="197"/>
      <c r="I690" s="197"/>
      <c r="J690" s="197"/>
      <c r="K690" s="197"/>
      <c r="L690" s="197"/>
      <c r="M690" s="197"/>
      <c r="N690" s="197"/>
      <c r="O690" s="197"/>
      <c r="P690" s="197"/>
      <c r="Q690" s="197"/>
      <c r="R690" s="197"/>
      <c r="S690" s="197"/>
      <c r="T690" s="197"/>
      <c r="U690" s="197"/>
      <c r="V690" s="197"/>
      <c r="W690" s="197"/>
      <c r="X690" s="197"/>
      <c r="Y690" s="197"/>
      <c r="Z690" s="197"/>
    </row>
    <row r="691" ht="61.5" customHeight="1">
      <c r="A691" s="197"/>
      <c r="B691" s="197"/>
      <c r="C691" s="197"/>
      <c r="D691" s="197"/>
      <c r="E691" s="197"/>
      <c r="F691" s="197"/>
      <c r="G691" s="197"/>
      <c r="H691" s="197"/>
      <c r="I691" s="197"/>
      <c r="J691" s="197"/>
      <c r="K691" s="197"/>
      <c r="L691" s="197"/>
      <c r="M691" s="197"/>
      <c r="N691" s="197"/>
      <c r="O691" s="197"/>
      <c r="P691" s="197"/>
      <c r="Q691" s="197"/>
      <c r="R691" s="197"/>
      <c r="S691" s="197"/>
      <c r="T691" s="197"/>
      <c r="U691" s="197"/>
      <c r="V691" s="197"/>
      <c r="W691" s="197"/>
      <c r="X691" s="197"/>
      <c r="Y691" s="197"/>
      <c r="Z691" s="197"/>
    </row>
    <row r="692" ht="61.5" customHeight="1">
      <c r="A692" s="197"/>
      <c r="B692" s="197"/>
      <c r="C692" s="197"/>
      <c r="D692" s="197"/>
      <c r="E692" s="197"/>
      <c r="F692" s="197"/>
      <c r="G692" s="197"/>
      <c r="H692" s="197"/>
      <c r="I692" s="197"/>
      <c r="J692" s="197"/>
      <c r="K692" s="197"/>
      <c r="L692" s="197"/>
      <c r="M692" s="197"/>
      <c r="N692" s="197"/>
      <c r="O692" s="197"/>
      <c r="P692" s="197"/>
      <c r="Q692" s="197"/>
      <c r="R692" s="197"/>
      <c r="S692" s="197"/>
      <c r="T692" s="197"/>
      <c r="U692" s="197"/>
      <c r="V692" s="197"/>
      <c r="W692" s="197"/>
      <c r="X692" s="197"/>
      <c r="Y692" s="197"/>
      <c r="Z692" s="197"/>
    </row>
    <row r="693" ht="61.5" customHeight="1">
      <c r="A693" s="197"/>
      <c r="B693" s="197"/>
      <c r="C693" s="197"/>
      <c r="D693" s="197"/>
      <c r="E693" s="197"/>
      <c r="F693" s="197"/>
      <c r="G693" s="197"/>
      <c r="H693" s="197"/>
      <c r="I693" s="197"/>
      <c r="J693" s="197"/>
      <c r="K693" s="197"/>
      <c r="L693" s="197"/>
      <c r="M693" s="197"/>
      <c r="N693" s="197"/>
      <c r="O693" s="197"/>
      <c r="P693" s="197"/>
      <c r="Q693" s="197"/>
      <c r="R693" s="197"/>
      <c r="S693" s="197"/>
      <c r="T693" s="197"/>
      <c r="U693" s="197"/>
      <c r="V693" s="197"/>
      <c r="W693" s="197"/>
      <c r="X693" s="197"/>
      <c r="Y693" s="197"/>
      <c r="Z693" s="197"/>
    </row>
    <row r="694" ht="61.5" customHeight="1">
      <c r="A694" s="197"/>
      <c r="B694" s="197"/>
      <c r="C694" s="197"/>
      <c r="D694" s="197"/>
      <c r="E694" s="197"/>
      <c r="F694" s="197"/>
      <c r="G694" s="197"/>
      <c r="H694" s="197"/>
      <c r="I694" s="197"/>
      <c r="J694" s="197"/>
      <c r="K694" s="197"/>
      <c r="L694" s="197"/>
      <c r="M694" s="197"/>
      <c r="N694" s="197"/>
      <c r="O694" s="197"/>
      <c r="P694" s="197"/>
      <c r="Q694" s="197"/>
      <c r="R694" s="197"/>
      <c r="S694" s="197"/>
      <c r="T694" s="197"/>
      <c r="U694" s="197"/>
      <c r="V694" s="197"/>
      <c r="W694" s="197"/>
      <c r="X694" s="197"/>
      <c r="Y694" s="197"/>
      <c r="Z694" s="197"/>
    </row>
    <row r="695" ht="61.5" customHeight="1">
      <c r="A695" s="197"/>
      <c r="B695" s="197"/>
      <c r="C695" s="197"/>
      <c r="D695" s="197"/>
      <c r="E695" s="197"/>
      <c r="F695" s="197"/>
      <c r="G695" s="197"/>
      <c r="H695" s="197"/>
      <c r="I695" s="197"/>
      <c r="J695" s="197"/>
      <c r="K695" s="197"/>
      <c r="L695" s="197"/>
      <c r="M695" s="197"/>
      <c r="N695" s="197"/>
      <c r="O695" s="197"/>
      <c r="P695" s="197"/>
      <c r="Q695" s="197"/>
      <c r="R695" s="197"/>
      <c r="S695" s="197"/>
      <c r="T695" s="197"/>
      <c r="U695" s="197"/>
      <c r="V695" s="197"/>
      <c r="W695" s="197"/>
      <c r="X695" s="197"/>
      <c r="Y695" s="197"/>
      <c r="Z695" s="197"/>
    </row>
    <row r="696" ht="61.5" customHeight="1">
      <c r="A696" s="197"/>
      <c r="B696" s="197"/>
      <c r="C696" s="197"/>
      <c r="D696" s="197"/>
      <c r="E696" s="197"/>
      <c r="F696" s="197"/>
      <c r="G696" s="197"/>
      <c r="H696" s="197"/>
      <c r="I696" s="197"/>
      <c r="J696" s="197"/>
      <c r="K696" s="197"/>
      <c r="L696" s="197"/>
      <c r="M696" s="197"/>
      <c r="N696" s="197"/>
      <c r="O696" s="197"/>
      <c r="P696" s="197"/>
      <c r="Q696" s="197"/>
      <c r="R696" s="197"/>
      <c r="S696" s="197"/>
      <c r="T696" s="197"/>
      <c r="U696" s="197"/>
      <c r="V696" s="197"/>
      <c r="W696" s="197"/>
      <c r="X696" s="197"/>
      <c r="Y696" s="197"/>
      <c r="Z696" s="197"/>
    </row>
    <row r="697" ht="61.5" customHeight="1">
      <c r="A697" s="197"/>
      <c r="B697" s="197"/>
      <c r="C697" s="197"/>
      <c r="D697" s="197"/>
      <c r="E697" s="197"/>
      <c r="F697" s="197"/>
      <c r="G697" s="197"/>
      <c r="H697" s="197"/>
      <c r="I697" s="197"/>
      <c r="J697" s="197"/>
      <c r="K697" s="197"/>
      <c r="L697" s="197"/>
      <c r="M697" s="197"/>
      <c r="N697" s="197"/>
      <c r="O697" s="197"/>
      <c r="P697" s="197"/>
      <c r="Q697" s="197"/>
      <c r="R697" s="197"/>
      <c r="S697" s="197"/>
      <c r="T697" s="197"/>
      <c r="U697" s="197"/>
      <c r="V697" s="197"/>
      <c r="W697" s="197"/>
      <c r="X697" s="197"/>
      <c r="Y697" s="197"/>
      <c r="Z697" s="197"/>
    </row>
    <row r="698" ht="61.5" customHeight="1">
      <c r="A698" s="197"/>
      <c r="B698" s="197"/>
      <c r="C698" s="197"/>
      <c r="D698" s="197"/>
      <c r="E698" s="197"/>
      <c r="F698" s="197"/>
      <c r="G698" s="197"/>
      <c r="H698" s="197"/>
      <c r="I698" s="197"/>
      <c r="J698" s="197"/>
      <c r="K698" s="197"/>
      <c r="L698" s="197"/>
      <c r="M698" s="197"/>
      <c r="N698" s="197"/>
      <c r="O698" s="197"/>
      <c r="P698" s="197"/>
      <c r="Q698" s="197"/>
      <c r="R698" s="197"/>
      <c r="S698" s="197"/>
      <c r="T698" s="197"/>
      <c r="U698" s="197"/>
      <c r="V698" s="197"/>
      <c r="W698" s="197"/>
      <c r="X698" s="197"/>
      <c r="Y698" s="197"/>
      <c r="Z698" s="197"/>
    </row>
    <row r="699" ht="61.5" customHeight="1">
      <c r="A699" s="197"/>
      <c r="B699" s="197"/>
      <c r="C699" s="197"/>
      <c r="D699" s="197"/>
      <c r="E699" s="197"/>
      <c r="F699" s="197"/>
      <c r="G699" s="197"/>
      <c r="H699" s="197"/>
      <c r="I699" s="197"/>
      <c r="J699" s="197"/>
      <c r="K699" s="197"/>
      <c r="L699" s="197"/>
      <c r="M699" s="197"/>
      <c r="N699" s="197"/>
      <c r="O699" s="197"/>
      <c r="P699" s="197"/>
      <c r="Q699" s="197"/>
      <c r="R699" s="197"/>
      <c r="S699" s="197"/>
      <c r="T699" s="197"/>
      <c r="U699" s="197"/>
      <c r="V699" s="197"/>
      <c r="W699" s="197"/>
      <c r="X699" s="197"/>
      <c r="Y699" s="197"/>
      <c r="Z699" s="197"/>
    </row>
    <row r="700" ht="61.5" customHeight="1">
      <c r="A700" s="197"/>
      <c r="B700" s="197"/>
      <c r="C700" s="197"/>
      <c r="D700" s="197"/>
      <c r="E700" s="197"/>
      <c r="F700" s="197"/>
      <c r="G700" s="197"/>
      <c r="H700" s="197"/>
      <c r="I700" s="197"/>
      <c r="J700" s="197"/>
      <c r="K700" s="197"/>
      <c r="L700" s="197"/>
      <c r="M700" s="197"/>
      <c r="N700" s="197"/>
      <c r="O700" s="197"/>
      <c r="P700" s="197"/>
      <c r="Q700" s="197"/>
      <c r="R700" s="197"/>
      <c r="S700" s="197"/>
      <c r="T700" s="197"/>
      <c r="U700" s="197"/>
      <c r="V700" s="197"/>
      <c r="W700" s="197"/>
      <c r="X700" s="197"/>
      <c r="Y700" s="197"/>
      <c r="Z700" s="197"/>
    </row>
    <row r="701" ht="61.5" customHeight="1">
      <c r="A701" s="197"/>
      <c r="B701" s="197"/>
      <c r="C701" s="197"/>
      <c r="D701" s="197"/>
      <c r="E701" s="197"/>
      <c r="F701" s="197"/>
      <c r="G701" s="197"/>
      <c r="H701" s="197"/>
      <c r="I701" s="197"/>
      <c r="J701" s="197"/>
      <c r="K701" s="197"/>
      <c r="L701" s="197"/>
      <c r="M701" s="197"/>
      <c r="N701" s="197"/>
      <c r="O701" s="197"/>
      <c r="P701" s="197"/>
      <c r="Q701" s="197"/>
      <c r="R701" s="197"/>
      <c r="S701" s="197"/>
      <c r="T701" s="197"/>
      <c r="U701" s="197"/>
      <c r="V701" s="197"/>
      <c r="W701" s="197"/>
      <c r="X701" s="197"/>
      <c r="Y701" s="197"/>
      <c r="Z701" s="197"/>
    </row>
    <row r="702" ht="61.5" customHeight="1">
      <c r="A702" s="197"/>
      <c r="B702" s="197"/>
      <c r="C702" s="197"/>
      <c r="D702" s="197"/>
      <c r="E702" s="197"/>
      <c r="F702" s="197"/>
      <c r="G702" s="197"/>
      <c r="H702" s="197"/>
      <c r="I702" s="197"/>
      <c r="J702" s="197"/>
      <c r="K702" s="197"/>
      <c r="L702" s="197"/>
      <c r="M702" s="197"/>
      <c r="N702" s="197"/>
      <c r="O702" s="197"/>
      <c r="P702" s="197"/>
      <c r="Q702" s="197"/>
      <c r="R702" s="197"/>
      <c r="S702" s="197"/>
      <c r="T702" s="197"/>
      <c r="U702" s="197"/>
      <c r="V702" s="197"/>
      <c r="W702" s="197"/>
      <c r="X702" s="197"/>
      <c r="Y702" s="197"/>
      <c r="Z702" s="197"/>
    </row>
    <row r="703" ht="61.5" customHeight="1">
      <c r="A703" s="197"/>
      <c r="B703" s="197"/>
      <c r="C703" s="197"/>
      <c r="D703" s="197"/>
      <c r="E703" s="197"/>
      <c r="F703" s="197"/>
      <c r="G703" s="197"/>
      <c r="H703" s="197"/>
      <c r="I703" s="197"/>
      <c r="J703" s="197"/>
      <c r="K703" s="197"/>
      <c r="L703" s="197"/>
      <c r="M703" s="197"/>
      <c r="N703" s="197"/>
      <c r="O703" s="197"/>
      <c r="P703" s="197"/>
      <c r="Q703" s="197"/>
      <c r="R703" s="197"/>
      <c r="S703" s="197"/>
      <c r="T703" s="197"/>
      <c r="U703" s="197"/>
      <c r="V703" s="197"/>
      <c r="W703" s="197"/>
      <c r="X703" s="197"/>
      <c r="Y703" s="197"/>
      <c r="Z703" s="197"/>
    </row>
    <row r="704" ht="61.5" customHeight="1">
      <c r="A704" s="197"/>
      <c r="B704" s="197"/>
      <c r="C704" s="197"/>
      <c r="D704" s="197"/>
      <c r="E704" s="197"/>
      <c r="F704" s="197"/>
      <c r="G704" s="197"/>
      <c r="H704" s="197"/>
      <c r="I704" s="197"/>
      <c r="J704" s="197"/>
      <c r="K704" s="197"/>
      <c r="L704" s="197"/>
      <c r="M704" s="197"/>
      <c r="N704" s="197"/>
      <c r="O704" s="197"/>
      <c r="P704" s="197"/>
      <c r="Q704" s="197"/>
      <c r="R704" s="197"/>
      <c r="S704" s="197"/>
      <c r="T704" s="197"/>
      <c r="U704" s="197"/>
      <c r="V704" s="197"/>
      <c r="W704" s="197"/>
      <c r="X704" s="197"/>
      <c r="Y704" s="197"/>
      <c r="Z704" s="197"/>
    </row>
    <row r="705" ht="61.5" customHeight="1">
      <c r="A705" s="197"/>
      <c r="B705" s="197"/>
      <c r="C705" s="197"/>
      <c r="D705" s="197"/>
      <c r="E705" s="197"/>
      <c r="F705" s="197"/>
      <c r="G705" s="197"/>
      <c r="H705" s="197"/>
      <c r="I705" s="197"/>
      <c r="J705" s="197"/>
      <c r="K705" s="197"/>
      <c r="L705" s="197"/>
      <c r="M705" s="197"/>
      <c r="N705" s="197"/>
      <c r="O705" s="197"/>
      <c r="P705" s="197"/>
      <c r="Q705" s="197"/>
      <c r="R705" s="197"/>
      <c r="S705" s="197"/>
      <c r="T705" s="197"/>
      <c r="U705" s="197"/>
      <c r="V705" s="197"/>
      <c r="W705" s="197"/>
      <c r="X705" s="197"/>
      <c r="Y705" s="197"/>
      <c r="Z705" s="197"/>
    </row>
    <row r="706" ht="61.5" customHeight="1">
      <c r="A706" s="197"/>
      <c r="B706" s="197"/>
      <c r="C706" s="197"/>
      <c r="D706" s="197"/>
      <c r="E706" s="197"/>
      <c r="F706" s="197"/>
      <c r="G706" s="197"/>
      <c r="H706" s="197"/>
      <c r="I706" s="197"/>
      <c r="J706" s="197"/>
      <c r="K706" s="197"/>
      <c r="L706" s="197"/>
      <c r="M706" s="197"/>
      <c r="N706" s="197"/>
      <c r="O706" s="197"/>
      <c r="P706" s="197"/>
      <c r="Q706" s="197"/>
      <c r="R706" s="197"/>
      <c r="S706" s="197"/>
      <c r="T706" s="197"/>
      <c r="U706" s="197"/>
      <c r="V706" s="197"/>
      <c r="W706" s="197"/>
      <c r="X706" s="197"/>
      <c r="Y706" s="197"/>
      <c r="Z706" s="197"/>
    </row>
    <row r="707" ht="61.5" customHeight="1">
      <c r="A707" s="197"/>
      <c r="B707" s="197"/>
      <c r="C707" s="197"/>
      <c r="D707" s="197"/>
      <c r="E707" s="197"/>
      <c r="F707" s="197"/>
      <c r="G707" s="197"/>
      <c r="H707" s="197"/>
      <c r="I707" s="197"/>
      <c r="J707" s="197"/>
      <c r="K707" s="197"/>
      <c r="L707" s="197"/>
      <c r="M707" s="197"/>
      <c r="N707" s="197"/>
      <c r="O707" s="197"/>
      <c r="P707" s="197"/>
      <c r="Q707" s="197"/>
      <c r="R707" s="197"/>
      <c r="S707" s="197"/>
      <c r="T707" s="197"/>
      <c r="U707" s="197"/>
      <c r="V707" s="197"/>
      <c r="W707" s="197"/>
      <c r="X707" s="197"/>
      <c r="Y707" s="197"/>
      <c r="Z707" s="197"/>
    </row>
    <row r="708" ht="61.5" customHeight="1">
      <c r="A708" s="197"/>
      <c r="B708" s="197"/>
      <c r="C708" s="197"/>
      <c r="D708" s="197"/>
      <c r="E708" s="197"/>
      <c r="F708" s="197"/>
      <c r="G708" s="197"/>
      <c r="H708" s="197"/>
      <c r="I708" s="197"/>
      <c r="J708" s="197"/>
      <c r="K708" s="197"/>
      <c r="L708" s="197"/>
      <c r="M708" s="197"/>
      <c r="N708" s="197"/>
      <c r="O708" s="197"/>
      <c r="P708" s="197"/>
      <c r="Q708" s="197"/>
      <c r="R708" s="197"/>
      <c r="S708" s="197"/>
      <c r="T708" s="197"/>
      <c r="U708" s="197"/>
      <c r="V708" s="197"/>
      <c r="W708" s="197"/>
      <c r="X708" s="197"/>
      <c r="Y708" s="197"/>
      <c r="Z708" s="197"/>
    </row>
    <row r="709" ht="61.5" customHeight="1">
      <c r="A709" s="197"/>
      <c r="B709" s="197"/>
      <c r="C709" s="197"/>
      <c r="D709" s="197"/>
      <c r="E709" s="197"/>
      <c r="F709" s="197"/>
      <c r="G709" s="197"/>
      <c r="H709" s="197"/>
      <c r="I709" s="197"/>
      <c r="J709" s="197"/>
      <c r="K709" s="197"/>
      <c r="L709" s="197"/>
      <c r="M709" s="197"/>
      <c r="N709" s="197"/>
      <c r="O709" s="197"/>
      <c r="P709" s="197"/>
      <c r="Q709" s="197"/>
      <c r="R709" s="197"/>
      <c r="S709" s="197"/>
      <c r="T709" s="197"/>
      <c r="U709" s="197"/>
      <c r="V709" s="197"/>
      <c r="W709" s="197"/>
      <c r="X709" s="197"/>
      <c r="Y709" s="197"/>
      <c r="Z709" s="197"/>
    </row>
    <row r="710" ht="61.5" customHeight="1">
      <c r="A710" s="197"/>
      <c r="B710" s="197"/>
      <c r="C710" s="197"/>
      <c r="D710" s="197"/>
      <c r="E710" s="197"/>
      <c r="F710" s="197"/>
      <c r="G710" s="197"/>
      <c r="H710" s="197"/>
      <c r="I710" s="197"/>
      <c r="J710" s="197"/>
      <c r="K710" s="197"/>
      <c r="L710" s="197"/>
      <c r="M710" s="197"/>
      <c r="N710" s="197"/>
      <c r="O710" s="197"/>
      <c r="P710" s="197"/>
      <c r="Q710" s="197"/>
      <c r="R710" s="197"/>
      <c r="S710" s="197"/>
      <c r="T710" s="197"/>
      <c r="U710" s="197"/>
      <c r="V710" s="197"/>
      <c r="W710" s="197"/>
      <c r="X710" s="197"/>
      <c r="Y710" s="197"/>
      <c r="Z710" s="197"/>
    </row>
    <row r="711" ht="61.5" customHeight="1">
      <c r="A711" s="197"/>
      <c r="B711" s="197"/>
      <c r="C711" s="197"/>
      <c r="D711" s="197"/>
      <c r="E711" s="197"/>
      <c r="F711" s="197"/>
      <c r="G711" s="197"/>
      <c r="H711" s="197"/>
      <c r="I711" s="197"/>
      <c r="J711" s="197"/>
      <c r="K711" s="197"/>
      <c r="L711" s="197"/>
      <c r="M711" s="197"/>
      <c r="N711" s="197"/>
      <c r="O711" s="197"/>
      <c r="P711" s="197"/>
      <c r="Q711" s="197"/>
      <c r="R711" s="197"/>
      <c r="S711" s="197"/>
      <c r="T711" s="197"/>
      <c r="U711" s="197"/>
      <c r="V711" s="197"/>
      <c r="W711" s="197"/>
      <c r="X711" s="197"/>
      <c r="Y711" s="197"/>
      <c r="Z711" s="197"/>
    </row>
    <row r="712" ht="61.5" customHeight="1">
      <c r="A712" s="197"/>
      <c r="B712" s="197"/>
      <c r="C712" s="197"/>
      <c r="D712" s="197"/>
      <c r="E712" s="197"/>
      <c r="F712" s="197"/>
      <c r="G712" s="197"/>
      <c r="H712" s="197"/>
      <c r="I712" s="197"/>
      <c r="J712" s="197"/>
      <c r="K712" s="197"/>
      <c r="L712" s="197"/>
      <c r="M712" s="197"/>
      <c r="N712" s="197"/>
      <c r="O712" s="197"/>
      <c r="P712" s="197"/>
      <c r="Q712" s="197"/>
      <c r="R712" s="197"/>
      <c r="S712" s="197"/>
      <c r="T712" s="197"/>
      <c r="U712" s="197"/>
      <c r="V712" s="197"/>
      <c r="W712" s="197"/>
      <c r="X712" s="197"/>
      <c r="Y712" s="197"/>
      <c r="Z712" s="197"/>
    </row>
    <row r="713" ht="61.5" customHeight="1">
      <c r="A713" s="197"/>
      <c r="B713" s="197"/>
      <c r="C713" s="197"/>
      <c r="D713" s="197"/>
      <c r="E713" s="197"/>
      <c r="F713" s="197"/>
      <c r="G713" s="197"/>
      <c r="H713" s="197"/>
      <c r="I713" s="197"/>
      <c r="J713" s="197"/>
      <c r="K713" s="197"/>
      <c r="L713" s="197"/>
      <c r="M713" s="197"/>
      <c r="N713" s="197"/>
      <c r="O713" s="197"/>
      <c r="P713" s="197"/>
      <c r="Q713" s="197"/>
      <c r="R713" s="197"/>
      <c r="S713" s="197"/>
      <c r="T713" s="197"/>
      <c r="U713" s="197"/>
      <c r="V713" s="197"/>
      <c r="W713" s="197"/>
      <c r="X713" s="197"/>
      <c r="Y713" s="197"/>
      <c r="Z713" s="197"/>
    </row>
    <row r="714" ht="61.5" customHeight="1">
      <c r="A714" s="197"/>
      <c r="B714" s="197"/>
      <c r="C714" s="197"/>
      <c r="D714" s="197"/>
      <c r="E714" s="197"/>
      <c r="F714" s="197"/>
      <c r="G714" s="197"/>
      <c r="H714" s="197"/>
      <c r="I714" s="197"/>
      <c r="J714" s="197"/>
      <c r="K714" s="197"/>
      <c r="L714" s="197"/>
      <c r="M714" s="197"/>
      <c r="N714" s="197"/>
      <c r="O714" s="197"/>
      <c r="P714" s="197"/>
      <c r="Q714" s="197"/>
      <c r="R714" s="197"/>
      <c r="S714" s="197"/>
      <c r="T714" s="197"/>
      <c r="U714" s="197"/>
      <c r="V714" s="197"/>
      <c r="W714" s="197"/>
      <c r="X714" s="197"/>
      <c r="Y714" s="197"/>
      <c r="Z714" s="197"/>
    </row>
    <row r="715" ht="61.5" customHeight="1">
      <c r="A715" s="197"/>
      <c r="B715" s="197"/>
      <c r="C715" s="197"/>
      <c r="D715" s="197"/>
      <c r="E715" s="197"/>
      <c r="F715" s="197"/>
      <c r="G715" s="197"/>
      <c r="H715" s="197"/>
      <c r="I715" s="197"/>
      <c r="J715" s="197"/>
      <c r="K715" s="197"/>
      <c r="L715" s="197"/>
      <c r="M715" s="197"/>
      <c r="N715" s="197"/>
      <c r="O715" s="197"/>
      <c r="P715" s="197"/>
      <c r="Q715" s="197"/>
      <c r="R715" s="197"/>
      <c r="S715" s="197"/>
      <c r="T715" s="197"/>
      <c r="U715" s="197"/>
      <c r="V715" s="197"/>
      <c r="W715" s="197"/>
      <c r="X715" s="197"/>
      <c r="Y715" s="197"/>
      <c r="Z715" s="197"/>
    </row>
    <row r="716" ht="61.5" customHeight="1">
      <c r="A716" s="197"/>
      <c r="B716" s="197"/>
      <c r="C716" s="197"/>
      <c r="D716" s="197"/>
      <c r="E716" s="197"/>
      <c r="F716" s="197"/>
      <c r="G716" s="197"/>
      <c r="H716" s="197"/>
      <c r="I716" s="197"/>
      <c r="J716" s="197"/>
      <c r="K716" s="197"/>
      <c r="L716" s="197"/>
      <c r="M716" s="197"/>
      <c r="N716" s="197"/>
      <c r="O716" s="197"/>
      <c r="P716" s="197"/>
      <c r="Q716" s="197"/>
      <c r="R716" s="197"/>
      <c r="S716" s="197"/>
      <c r="T716" s="197"/>
      <c r="U716" s="197"/>
      <c r="V716" s="197"/>
      <c r="W716" s="197"/>
      <c r="X716" s="197"/>
      <c r="Y716" s="197"/>
      <c r="Z716" s="197"/>
    </row>
    <row r="717" ht="61.5" customHeight="1">
      <c r="A717" s="197"/>
      <c r="B717" s="197"/>
      <c r="C717" s="197"/>
      <c r="D717" s="197"/>
      <c r="E717" s="197"/>
      <c r="F717" s="197"/>
      <c r="G717" s="197"/>
      <c r="H717" s="197"/>
      <c r="I717" s="197"/>
      <c r="J717" s="197"/>
      <c r="K717" s="197"/>
      <c r="L717" s="197"/>
      <c r="M717" s="197"/>
      <c r="N717" s="197"/>
      <c r="O717" s="197"/>
      <c r="P717" s="197"/>
      <c r="Q717" s="197"/>
      <c r="R717" s="197"/>
      <c r="S717" s="197"/>
      <c r="T717" s="197"/>
      <c r="U717" s="197"/>
      <c r="V717" s="197"/>
      <c r="W717" s="197"/>
      <c r="X717" s="197"/>
      <c r="Y717" s="197"/>
      <c r="Z717" s="197"/>
    </row>
    <row r="718" ht="61.5" customHeight="1">
      <c r="A718" s="197"/>
      <c r="B718" s="197"/>
      <c r="C718" s="197"/>
      <c r="D718" s="197"/>
      <c r="E718" s="197"/>
      <c r="F718" s="197"/>
      <c r="G718" s="197"/>
      <c r="H718" s="197"/>
      <c r="I718" s="197"/>
      <c r="J718" s="197"/>
      <c r="K718" s="197"/>
      <c r="L718" s="197"/>
      <c r="M718" s="197"/>
      <c r="N718" s="197"/>
      <c r="O718" s="197"/>
      <c r="P718" s="197"/>
      <c r="Q718" s="197"/>
      <c r="R718" s="197"/>
      <c r="S718" s="197"/>
      <c r="T718" s="197"/>
      <c r="U718" s="197"/>
      <c r="V718" s="197"/>
      <c r="W718" s="197"/>
      <c r="X718" s="197"/>
      <c r="Y718" s="197"/>
      <c r="Z718" s="197"/>
    </row>
    <row r="719" ht="61.5" customHeight="1">
      <c r="A719" s="197"/>
      <c r="B719" s="197"/>
      <c r="C719" s="197"/>
      <c r="D719" s="197"/>
      <c r="E719" s="197"/>
      <c r="F719" s="197"/>
      <c r="G719" s="197"/>
      <c r="H719" s="197"/>
      <c r="I719" s="197"/>
      <c r="J719" s="197"/>
      <c r="K719" s="197"/>
      <c r="L719" s="197"/>
      <c r="M719" s="197"/>
      <c r="N719" s="197"/>
      <c r="O719" s="197"/>
      <c r="P719" s="197"/>
      <c r="Q719" s="197"/>
      <c r="R719" s="197"/>
      <c r="S719" s="197"/>
      <c r="T719" s="197"/>
      <c r="U719" s="197"/>
      <c r="V719" s="197"/>
      <c r="W719" s="197"/>
      <c r="X719" s="197"/>
      <c r="Y719" s="197"/>
      <c r="Z719" s="197"/>
    </row>
    <row r="720" ht="61.5" customHeight="1">
      <c r="A720" s="197"/>
      <c r="B720" s="197"/>
      <c r="C720" s="197"/>
      <c r="D720" s="197"/>
      <c r="E720" s="197"/>
      <c r="F720" s="197"/>
      <c r="G720" s="197"/>
      <c r="H720" s="197"/>
      <c r="I720" s="197"/>
      <c r="J720" s="197"/>
      <c r="K720" s="197"/>
      <c r="L720" s="197"/>
      <c r="M720" s="197"/>
      <c r="N720" s="197"/>
      <c r="O720" s="197"/>
      <c r="P720" s="197"/>
      <c r="Q720" s="197"/>
      <c r="R720" s="197"/>
      <c r="S720" s="197"/>
      <c r="T720" s="197"/>
      <c r="U720" s="197"/>
      <c r="V720" s="197"/>
      <c r="W720" s="197"/>
      <c r="X720" s="197"/>
      <c r="Y720" s="197"/>
      <c r="Z720" s="197"/>
    </row>
    <row r="721" ht="61.5" customHeight="1">
      <c r="A721" s="197"/>
      <c r="B721" s="197"/>
      <c r="C721" s="197"/>
      <c r="D721" s="197"/>
      <c r="E721" s="197"/>
      <c r="F721" s="197"/>
      <c r="G721" s="197"/>
      <c r="H721" s="197"/>
      <c r="I721" s="197"/>
      <c r="J721" s="197"/>
      <c r="K721" s="197"/>
      <c r="L721" s="197"/>
      <c r="M721" s="197"/>
      <c r="N721" s="197"/>
      <c r="O721" s="197"/>
      <c r="P721" s="197"/>
      <c r="Q721" s="197"/>
      <c r="R721" s="197"/>
      <c r="S721" s="197"/>
      <c r="T721" s="197"/>
      <c r="U721" s="197"/>
      <c r="V721" s="197"/>
      <c r="W721" s="197"/>
      <c r="X721" s="197"/>
      <c r="Y721" s="197"/>
      <c r="Z721" s="197"/>
    </row>
    <row r="722" ht="61.5" customHeight="1">
      <c r="A722" s="197"/>
      <c r="B722" s="197"/>
      <c r="C722" s="197"/>
      <c r="D722" s="197"/>
      <c r="E722" s="197"/>
      <c r="F722" s="197"/>
      <c r="G722" s="197"/>
      <c r="H722" s="197"/>
      <c r="I722" s="197"/>
      <c r="J722" s="197"/>
      <c r="K722" s="197"/>
      <c r="L722" s="197"/>
      <c r="M722" s="197"/>
      <c r="N722" s="197"/>
      <c r="O722" s="197"/>
      <c r="P722" s="197"/>
      <c r="Q722" s="197"/>
      <c r="R722" s="197"/>
      <c r="S722" s="197"/>
      <c r="T722" s="197"/>
      <c r="U722" s="197"/>
      <c r="V722" s="197"/>
      <c r="W722" s="197"/>
      <c r="X722" s="197"/>
      <c r="Y722" s="197"/>
      <c r="Z722" s="197"/>
    </row>
    <row r="723" ht="61.5" customHeight="1">
      <c r="A723" s="197"/>
      <c r="B723" s="197"/>
      <c r="C723" s="197"/>
      <c r="D723" s="197"/>
      <c r="E723" s="197"/>
      <c r="F723" s="197"/>
      <c r="G723" s="197"/>
      <c r="H723" s="197"/>
      <c r="I723" s="197"/>
      <c r="J723" s="197"/>
      <c r="K723" s="197"/>
      <c r="L723" s="197"/>
      <c r="M723" s="197"/>
      <c r="N723" s="197"/>
      <c r="O723" s="197"/>
      <c r="P723" s="197"/>
      <c r="Q723" s="197"/>
      <c r="R723" s="197"/>
      <c r="S723" s="197"/>
      <c r="T723" s="197"/>
      <c r="U723" s="197"/>
      <c r="V723" s="197"/>
      <c r="W723" s="197"/>
      <c r="X723" s="197"/>
      <c r="Y723" s="197"/>
      <c r="Z723" s="197"/>
    </row>
    <row r="724" ht="61.5" customHeight="1">
      <c r="A724" s="197"/>
      <c r="B724" s="197"/>
      <c r="C724" s="197"/>
      <c r="D724" s="197"/>
      <c r="E724" s="197"/>
      <c r="F724" s="197"/>
      <c r="G724" s="197"/>
      <c r="H724" s="197"/>
      <c r="I724" s="197"/>
      <c r="J724" s="197"/>
      <c r="K724" s="197"/>
      <c r="L724" s="197"/>
      <c r="M724" s="197"/>
      <c r="N724" s="197"/>
      <c r="O724" s="197"/>
      <c r="P724" s="197"/>
      <c r="Q724" s="197"/>
      <c r="R724" s="197"/>
      <c r="S724" s="197"/>
      <c r="T724" s="197"/>
      <c r="U724" s="197"/>
      <c r="V724" s="197"/>
      <c r="W724" s="197"/>
      <c r="X724" s="197"/>
      <c r="Y724" s="197"/>
      <c r="Z724" s="197"/>
    </row>
    <row r="725" ht="61.5" customHeight="1">
      <c r="A725" s="197"/>
      <c r="B725" s="197"/>
      <c r="C725" s="197"/>
      <c r="D725" s="197"/>
      <c r="E725" s="197"/>
      <c r="F725" s="197"/>
      <c r="G725" s="197"/>
      <c r="H725" s="197"/>
      <c r="I725" s="197"/>
      <c r="J725" s="197"/>
      <c r="K725" s="197"/>
      <c r="L725" s="197"/>
      <c r="M725" s="197"/>
      <c r="N725" s="197"/>
      <c r="O725" s="197"/>
      <c r="P725" s="197"/>
      <c r="Q725" s="197"/>
      <c r="R725" s="197"/>
      <c r="S725" s="197"/>
      <c r="T725" s="197"/>
      <c r="U725" s="197"/>
      <c r="V725" s="197"/>
      <c r="W725" s="197"/>
      <c r="X725" s="197"/>
      <c r="Y725" s="197"/>
      <c r="Z725" s="197"/>
    </row>
    <row r="726" ht="61.5" customHeight="1">
      <c r="A726" s="197"/>
      <c r="B726" s="197"/>
      <c r="C726" s="197"/>
      <c r="D726" s="197"/>
      <c r="E726" s="197"/>
      <c r="F726" s="197"/>
      <c r="G726" s="197"/>
      <c r="H726" s="197"/>
      <c r="I726" s="197"/>
      <c r="J726" s="197"/>
      <c r="K726" s="197"/>
      <c r="L726" s="197"/>
      <c r="M726" s="197"/>
      <c r="N726" s="197"/>
      <c r="O726" s="197"/>
      <c r="P726" s="197"/>
      <c r="Q726" s="197"/>
      <c r="R726" s="197"/>
      <c r="S726" s="197"/>
      <c r="T726" s="197"/>
      <c r="U726" s="197"/>
      <c r="V726" s="197"/>
      <c r="W726" s="197"/>
      <c r="X726" s="197"/>
      <c r="Y726" s="197"/>
      <c r="Z726" s="197"/>
    </row>
    <row r="727" ht="61.5" customHeight="1">
      <c r="A727" s="197"/>
      <c r="B727" s="197"/>
      <c r="C727" s="197"/>
      <c r="D727" s="197"/>
      <c r="E727" s="197"/>
      <c r="F727" s="197"/>
      <c r="G727" s="197"/>
      <c r="H727" s="197"/>
      <c r="I727" s="197"/>
      <c r="J727" s="197"/>
      <c r="K727" s="197"/>
      <c r="L727" s="197"/>
      <c r="M727" s="197"/>
      <c r="N727" s="197"/>
      <c r="O727" s="197"/>
      <c r="P727" s="197"/>
      <c r="Q727" s="197"/>
      <c r="R727" s="197"/>
      <c r="S727" s="197"/>
      <c r="T727" s="197"/>
      <c r="U727" s="197"/>
      <c r="V727" s="197"/>
      <c r="W727" s="197"/>
      <c r="X727" s="197"/>
      <c r="Y727" s="197"/>
      <c r="Z727" s="197"/>
    </row>
    <row r="728" ht="61.5" customHeight="1">
      <c r="A728" s="197"/>
      <c r="B728" s="197"/>
      <c r="C728" s="197"/>
      <c r="D728" s="197"/>
      <c r="E728" s="197"/>
      <c r="F728" s="197"/>
      <c r="G728" s="197"/>
      <c r="H728" s="197"/>
      <c r="I728" s="197"/>
      <c r="J728" s="197"/>
      <c r="K728" s="197"/>
      <c r="L728" s="197"/>
      <c r="M728" s="197"/>
      <c r="N728" s="197"/>
      <c r="O728" s="197"/>
      <c r="P728" s="197"/>
      <c r="Q728" s="197"/>
      <c r="R728" s="197"/>
      <c r="S728" s="197"/>
      <c r="T728" s="197"/>
      <c r="U728" s="197"/>
      <c r="V728" s="197"/>
      <c r="W728" s="197"/>
      <c r="X728" s="197"/>
      <c r="Y728" s="197"/>
      <c r="Z728" s="197"/>
    </row>
    <row r="729" ht="61.5" customHeight="1">
      <c r="A729" s="197"/>
      <c r="B729" s="197"/>
      <c r="C729" s="197"/>
      <c r="D729" s="197"/>
      <c r="E729" s="197"/>
      <c r="F729" s="197"/>
      <c r="G729" s="197"/>
      <c r="H729" s="197"/>
      <c r="I729" s="197"/>
      <c r="J729" s="197"/>
      <c r="K729" s="197"/>
      <c r="L729" s="197"/>
      <c r="M729" s="197"/>
      <c r="N729" s="197"/>
      <c r="O729" s="197"/>
      <c r="P729" s="197"/>
      <c r="Q729" s="197"/>
      <c r="R729" s="197"/>
      <c r="S729" s="197"/>
      <c r="T729" s="197"/>
      <c r="U729" s="197"/>
      <c r="V729" s="197"/>
      <c r="W729" s="197"/>
      <c r="X729" s="197"/>
      <c r="Y729" s="197"/>
      <c r="Z729" s="197"/>
    </row>
    <row r="730" ht="61.5" customHeight="1">
      <c r="A730" s="197"/>
      <c r="B730" s="197"/>
      <c r="C730" s="197"/>
      <c r="D730" s="197"/>
      <c r="E730" s="197"/>
      <c r="F730" s="197"/>
      <c r="G730" s="197"/>
      <c r="H730" s="197"/>
      <c r="I730" s="197"/>
      <c r="J730" s="197"/>
      <c r="K730" s="197"/>
      <c r="L730" s="197"/>
      <c r="M730" s="197"/>
      <c r="N730" s="197"/>
      <c r="O730" s="197"/>
      <c r="P730" s="197"/>
      <c r="Q730" s="197"/>
      <c r="R730" s="197"/>
      <c r="S730" s="197"/>
      <c r="T730" s="197"/>
      <c r="U730" s="197"/>
      <c r="V730" s="197"/>
      <c r="W730" s="197"/>
      <c r="X730" s="197"/>
      <c r="Y730" s="197"/>
      <c r="Z730" s="197"/>
    </row>
    <row r="731" ht="61.5" customHeight="1">
      <c r="A731" s="197"/>
      <c r="B731" s="197"/>
      <c r="C731" s="197"/>
      <c r="D731" s="197"/>
      <c r="E731" s="197"/>
      <c r="F731" s="197"/>
      <c r="G731" s="197"/>
      <c r="H731" s="197"/>
      <c r="I731" s="197"/>
      <c r="J731" s="197"/>
      <c r="K731" s="197"/>
      <c r="L731" s="197"/>
      <c r="M731" s="197"/>
      <c r="N731" s="197"/>
      <c r="O731" s="197"/>
      <c r="P731" s="197"/>
      <c r="Q731" s="197"/>
      <c r="R731" s="197"/>
      <c r="S731" s="197"/>
      <c r="T731" s="197"/>
      <c r="U731" s="197"/>
      <c r="V731" s="197"/>
      <c r="W731" s="197"/>
      <c r="X731" s="197"/>
      <c r="Y731" s="197"/>
      <c r="Z731" s="197"/>
    </row>
    <row r="732" ht="61.5" customHeight="1">
      <c r="A732" s="197"/>
      <c r="B732" s="197"/>
      <c r="C732" s="197"/>
      <c r="D732" s="197"/>
      <c r="E732" s="197"/>
      <c r="F732" s="197"/>
      <c r="G732" s="197"/>
      <c r="H732" s="197"/>
      <c r="I732" s="197"/>
      <c r="J732" s="197"/>
      <c r="K732" s="197"/>
      <c r="L732" s="197"/>
      <c r="M732" s="197"/>
      <c r="N732" s="197"/>
      <c r="O732" s="197"/>
      <c r="P732" s="197"/>
      <c r="Q732" s="197"/>
      <c r="R732" s="197"/>
      <c r="S732" s="197"/>
      <c r="T732" s="197"/>
      <c r="U732" s="197"/>
      <c r="V732" s="197"/>
      <c r="W732" s="197"/>
      <c r="X732" s="197"/>
      <c r="Y732" s="197"/>
      <c r="Z732" s="197"/>
    </row>
    <row r="733" ht="61.5" customHeight="1">
      <c r="A733" s="197"/>
      <c r="B733" s="197"/>
      <c r="C733" s="197"/>
      <c r="D733" s="197"/>
      <c r="E733" s="197"/>
      <c r="F733" s="197"/>
      <c r="G733" s="197"/>
      <c r="H733" s="197"/>
      <c r="I733" s="197"/>
      <c r="J733" s="197"/>
      <c r="K733" s="197"/>
      <c r="L733" s="197"/>
      <c r="M733" s="197"/>
      <c r="N733" s="197"/>
      <c r="O733" s="197"/>
      <c r="P733" s="197"/>
      <c r="Q733" s="197"/>
      <c r="R733" s="197"/>
      <c r="S733" s="197"/>
      <c r="T733" s="197"/>
      <c r="U733" s="197"/>
      <c r="V733" s="197"/>
      <c r="W733" s="197"/>
      <c r="X733" s="197"/>
      <c r="Y733" s="197"/>
      <c r="Z733" s="197"/>
    </row>
    <row r="734" ht="61.5" customHeight="1">
      <c r="A734" s="197"/>
      <c r="B734" s="197"/>
      <c r="C734" s="197"/>
      <c r="D734" s="197"/>
      <c r="E734" s="197"/>
      <c r="F734" s="197"/>
      <c r="G734" s="197"/>
      <c r="H734" s="197"/>
      <c r="I734" s="197"/>
      <c r="J734" s="197"/>
      <c r="K734" s="197"/>
      <c r="L734" s="197"/>
      <c r="M734" s="197"/>
      <c r="N734" s="197"/>
      <c r="O734" s="197"/>
      <c r="P734" s="197"/>
      <c r="Q734" s="197"/>
      <c r="R734" s="197"/>
      <c r="S734" s="197"/>
      <c r="T734" s="197"/>
      <c r="U734" s="197"/>
      <c r="V734" s="197"/>
      <c r="W734" s="197"/>
      <c r="X734" s="197"/>
      <c r="Y734" s="197"/>
      <c r="Z734" s="197"/>
    </row>
    <row r="735" ht="61.5" customHeight="1">
      <c r="A735" s="197"/>
      <c r="B735" s="197"/>
      <c r="C735" s="197"/>
      <c r="D735" s="197"/>
      <c r="E735" s="197"/>
      <c r="F735" s="197"/>
      <c r="G735" s="197"/>
      <c r="H735" s="197"/>
      <c r="I735" s="197"/>
      <c r="J735" s="197"/>
      <c r="K735" s="197"/>
      <c r="L735" s="197"/>
      <c r="M735" s="197"/>
      <c r="N735" s="197"/>
      <c r="O735" s="197"/>
      <c r="P735" s="197"/>
      <c r="Q735" s="197"/>
      <c r="R735" s="197"/>
      <c r="S735" s="197"/>
      <c r="T735" s="197"/>
      <c r="U735" s="197"/>
      <c r="V735" s="197"/>
      <c r="W735" s="197"/>
      <c r="X735" s="197"/>
      <c r="Y735" s="197"/>
      <c r="Z735" s="197"/>
    </row>
    <row r="736" ht="61.5" customHeight="1">
      <c r="A736" s="197"/>
      <c r="B736" s="197"/>
      <c r="C736" s="197"/>
      <c r="D736" s="197"/>
      <c r="E736" s="197"/>
      <c r="F736" s="197"/>
      <c r="G736" s="197"/>
      <c r="H736" s="197"/>
      <c r="I736" s="197"/>
      <c r="J736" s="197"/>
      <c r="K736" s="197"/>
      <c r="L736" s="197"/>
      <c r="M736" s="197"/>
      <c r="N736" s="197"/>
      <c r="O736" s="197"/>
      <c r="P736" s="197"/>
      <c r="Q736" s="197"/>
      <c r="R736" s="197"/>
      <c r="S736" s="197"/>
      <c r="T736" s="197"/>
      <c r="U736" s="197"/>
      <c r="V736" s="197"/>
      <c r="W736" s="197"/>
      <c r="X736" s="197"/>
      <c r="Y736" s="197"/>
      <c r="Z736" s="197"/>
    </row>
    <row r="737" ht="61.5" customHeight="1">
      <c r="A737" s="197"/>
      <c r="B737" s="197"/>
      <c r="C737" s="197"/>
      <c r="D737" s="197"/>
      <c r="E737" s="197"/>
      <c r="F737" s="197"/>
      <c r="G737" s="197"/>
      <c r="H737" s="197"/>
      <c r="I737" s="197"/>
      <c r="J737" s="197"/>
      <c r="K737" s="197"/>
      <c r="L737" s="197"/>
      <c r="M737" s="197"/>
      <c r="N737" s="197"/>
      <c r="O737" s="197"/>
      <c r="P737" s="197"/>
      <c r="Q737" s="197"/>
      <c r="R737" s="197"/>
      <c r="S737" s="197"/>
      <c r="T737" s="197"/>
      <c r="U737" s="197"/>
      <c r="V737" s="197"/>
      <c r="W737" s="197"/>
      <c r="X737" s="197"/>
      <c r="Y737" s="197"/>
      <c r="Z737" s="197"/>
    </row>
    <row r="738" ht="61.5" customHeight="1">
      <c r="A738" s="197"/>
      <c r="B738" s="197"/>
      <c r="C738" s="197"/>
      <c r="D738" s="197"/>
      <c r="E738" s="197"/>
      <c r="F738" s="197"/>
      <c r="G738" s="197"/>
      <c r="H738" s="197"/>
      <c r="I738" s="197"/>
      <c r="J738" s="197"/>
      <c r="K738" s="197"/>
      <c r="L738" s="197"/>
      <c r="M738" s="197"/>
      <c r="N738" s="197"/>
      <c r="O738" s="197"/>
      <c r="P738" s="197"/>
      <c r="Q738" s="197"/>
      <c r="R738" s="197"/>
      <c r="S738" s="197"/>
      <c r="T738" s="197"/>
      <c r="U738" s="197"/>
      <c r="V738" s="197"/>
      <c r="W738" s="197"/>
      <c r="X738" s="197"/>
      <c r="Y738" s="197"/>
      <c r="Z738" s="197"/>
    </row>
    <row r="739" ht="61.5" customHeight="1">
      <c r="A739" s="197"/>
      <c r="B739" s="197"/>
      <c r="C739" s="197"/>
      <c r="D739" s="197"/>
      <c r="E739" s="197"/>
      <c r="F739" s="197"/>
      <c r="G739" s="197"/>
      <c r="H739" s="197"/>
      <c r="I739" s="197"/>
      <c r="J739" s="197"/>
      <c r="K739" s="197"/>
      <c r="L739" s="197"/>
      <c r="M739" s="197"/>
      <c r="N739" s="197"/>
      <c r="O739" s="197"/>
      <c r="P739" s="197"/>
      <c r="Q739" s="197"/>
      <c r="R739" s="197"/>
      <c r="S739" s="197"/>
      <c r="T739" s="197"/>
      <c r="U739" s="197"/>
      <c r="V739" s="197"/>
      <c r="W739" s="197"/>
      <c r="X739" s="197"/>
      <c r="Y739" s="197"/>
      <c r="Z739" s="197"/>
    </row>
    <row r="740" ht="61.5" customHeight="1">
      <c r="A740" s="197"/>
      <c r="B740" s="197"/>
      <c r="C740" s="197"/>
      <c r="D740" s="197"/>
      <c r="E740" s="197"/>
      <c r="F740" s="197"/>
      <c r="G740" s="197"/>
      <c r="H740" s="197"/>
      <c r="I740" s="197"/>
      <c r="J740" s="197"/>
      <c r="K740" s="197"/>
      <c r="L740" s="197"/>
      <c r="M740" s="197"/>
      <c r="N740" s="197"/>
      <c r="O740" s="197"/>
      <c r="P740" s="197"/>
      <c r="Q740" s="197"/>
      <c r="R740" s="197"/>
      <c r="S740" s="197"/>
      <c r="T740" s="197"/>
      <c r="U740" s="197"/>
      <c r="V740" s="197"/>
      <c r="W740" s="197"/>
      <c r="X740" s="197"/>
      <c r="Y740" s="197"/>
      <c r="Z740" s="197"/>
    </row>
    <row r="741" ht="61.5" customHeight="1">
      <c r="A741" s="197"/>
      <c r="B741" s="197"/>
      <c r="C741" s="197"/>
      <c r="D741" s="197"/>
      <c r="E741" s="197"/>
      <c r="F741" s="197"/>
      <c r="G741" s="197"/>
      <c r="H741" s="197"/>
      <c r="I741" s="197"/>
      <c r="J741" s="197"/>
      <c r="K741" s="197"/>
      <c r="L741" s="197"/>
      <c r="M741" s="197"/>
      <c r="N741" s="197"/>
      <c r="O741" s="197"/>
      <c r="P741" s="197"/>
      <c r="Q741" s="197"/>
      <c r="R741" s="197"/>
      <c r="S741" s="197"/>
      <c r="T741" s="197"/>
      <c r="U741" s="197"/>
      <c r="V741" s="197"/>
      <c r="W741" s="197"/>
      <c r="X741" s="197"/>
      <c r="Y741" s="197"/>
      <c r="Z741" s="197"/>
    </row>
    <row r="742" ht="61.5" customHeight="1">
      <c r="A742" s="197"/>
      <c r="B742" s="197"/>
      <c r="C742" s="197"/>
      <c r="D742" s="197"/>
      <c r="E742" s="197"/>
      <c r="F742" s="197"/>
      <c r="G742" s="197"/>
      <c r="H742" s="197"/>
      <c r="I742" s="197"/>
      <c r="J742" s="197"/>
      <c r="K742" s="197"/>
      <c r="L742" s="197"/>
      <c r="M742" s="197"/>
      <c r="N742" s="197"/>
      <c r="O742" s="197"/>
      <c r="P742" s="197"/>
      <c r="Q742" s="197"/>
      <c r="R742" s="197"/>
      <c r="S742" s="197"/>
      <c r="T742" s="197"/>
      <c r="U742" s="197"/>
      <c r="V742" s="197"/>
      <c r="W742" s="197"/>
      <c r="X742" s="197"/>
      <c r="Y742" s="197"/>
      <c r="Z742" s="197"/>
    </row>
    <row r="743" ht="61.5" customHeight="1">
      <c r="A743" s="197"/>
      <c r="B743" s="197"/>
      <c r="C743" s="197"/>
      <c r="D743" s="197"/>
      <c r="E743" s="197"/>
      <c r="F743" s="197"/>
      <c r="G743" s="197"/>
      <c r="H743" s="197"/>
      <c r="I743" s="197"/>
      <c r="J743" s="197"/>
      <c r="K743" s="197"/>
      <c r="L743" s="197"/>
      <c r="M743" s="197"/>
      <c r="N743" s="197"/>
      <c r="O743" s="197"/>
      <c r="P743" s="197"/>
      <c r="Q743" s="197"/>
      <c r="R743" s="197"/>
      <c r="S743" s="197"/>
      <c r="T743" s="197"/>
      <c r="U743" s="197"/>
      <c r="V743" s="197"/>
      <c r="W743" s="197"/>
      <c r="X743" s="197"/>
      <c r="Y743" s="197"/>
      <c r="Z743" s="197"/>
    </row>
    <row r="744" ht="61.5" customHeight="1">
      <c r="A744" s="197"/>
      <c r="B744" s="197"/>
      <c r="C744" s="197"/>
      <c r="D744" s="197"/>
      <c r="E744" s="197"/>
      <c r="F744" s="197"/>
      <c r="G744" s="197"/>
      <c r="H744" s="197"/>
      <c r="I744" s="197"/>
      <c r="J744" s="197"/>
      <c r="K744" s="197"/>
      <c r="L744" s="197"/>
      <c r="M744" s="197"/>
      <c r="N744" s="197"/>
      <c r="O744" s="197"/>
      <c r="P744" s="197"/>
      <c r="Q744" s="197"/>
      <c r="R744" s="197"/>
      <c r="S744" s="197"/>
      <c r="T744" s="197"/>
      <c r="U744" s="197"/>
      <c r="V744" s="197"/>
      <c r="W744" s="197"/>
      <c r="X744" s="197"/>
      <c r="Y744" s="197"/>
      <c r="Z744" s="197"/>
    </row>
    <row r="745" ht="61.5" customHeight="1">
      <c r="A745" s="197"/>
      <c r="B745" s="197"/>
      <c r="C745" s="197"/>
      <c r="D745" s="197"/>
      <c r="E745" s="197"/>
      <c r="F745" s="197"/>
      <c r="G745" s="197"/>
      <c r="H745" s="197"/>
      <c r="I745" s="197"/>
      <c r="J745" s="197"/>
      <c r="K745" s="197"/>
      <c r="L745" s="197"/>
      <c r="M745" s="197"/>
      <c r="N745" s="197"/>
      <c r="O745" s="197"/>
      <c r="P745" s="197"/>
      <c r="Q745" s="197"/>
      <c r="R745" s="197"/>
      <c r="S745" s="197"/>
      <c r="T745" s="197"/>
      <c r="U745" s="197"/>
      <c r="V745" s="197"/>
      <c r="W745" s="197"/>
      <c r="X745" s="197"/>
      <c r="Y745" s="197"/>
      <c r="Z745" s="197"/>
    </row>
    <row r="746" ht="61.5" customHeight="1">
      <c r="A746" s="197"/>
      <c r="B746" s="197"/>
      <c r="C746" s="197"/>
      <c r="D746" s="197"/>
      <c r="E746" s="197"/>
      <c r="F746" s="197"/>
      <c r="G746" s="197"/>
      <c r="H746" s="197"/>
      <c r="I746" s="197"/>
      <c r="J746" s="197"/>
      <c r="K746" s="197"/>
      <c r="L746" s="197"/>
      <c r="M746" s="197"/>
      <c r="N746" s="197"/>
      <c r="O746" s="197"/>
      <c r="P746" s="197"/>
      <c r="Q746" s="197"/>
      <c r="R746" s="197"/>
      <c r="S746" s="197"/>
      <c r="T746" s="197"/>
      <c r="U746" s="197"/>
      <c r="V746" s="197"/>
      <c r="W746" s="197"/>
      <c r="X746" s="197"/>
      <c r="Y746" s="197"/>
      <c r="Z746" s="197"/>
    </row>
    <row r="747" ht="61.5" customHeight="1">
      <c r="A747" s="197"/>
      <c r="B747" s="197"/>
      <c r="C747" s="197"/>
      <c r="D747" s="197"/>
      <c r="E747" s="197"/>
      <c r="F747" s="197"/>
      <c r="G747" s="197"/>
      <c r="H747" s="197"/>
      <c r="I747" s="197"/>
      <c r="J747" s="197"/>
      <c r="K747" s="197"/>
      <c r="L747" s="197"/>
      <c r="M747" s="197"/>
      <c r="N747" s="197"/>
      <c r="O747" s="197"/>
      <c r="P747" s="197"/>
      <c r="Q747" s="197"/>
      <c r="R747" s="197"/>
      <c r="S747" s="197"/>
      <c r="T747" s="197"/>
      <c r="U747" s="197"/>
      <c r="V747" s="197"/>
      <c r="W747" s="197"/>
      <c r="X747" s="197"/>
      <c r="Y747" s="197"/>
      <c r="Z747" s="197"/>
    </row>
    <row r="748" ht="61.5" customHeight="1">
      <c r="A748" s="197"/>
      <c r="B748" s="197"/>
      <c r="C748" s="197"/>
      <c r="D748" s="197"/>
      <c r="E748" s="197"/>
      <c r="F748" s="197"/>
      <c r="G748" s="197"/>
      <c r="H748" s="197"/>
      <c r="I748" s="197"/>
      <c r="J748" s="197"/>
      <c r="K748" s="197"/>
      <c r="L748" s="197"/>
      <c r="M748" s="197"/>
      <c r="N748" s="197"/>
      <c r="O748" s="197"/>
      <c r="P748" s="197"/>
      <c r="Q748" s="197"/>
      <c r="R748" s="197"/>
      <c r="S748" s="197"/>
      <c r="T748" s="197"/>
      <c r="U748" s="197"/>
      <c r="V748" s="197"/>
      <c r="W748" s="197"/>
      <c r="X748" s="197"/>
      <c r="Y748" s="197"/>
      <c r="Z748" s="197"/>
    </row>
    <row r="749" ht="61.5" customHeight="1">
      <c r="A749" s="197"/>
      <c r="B749" s="197"/>
      <c r="C749" s="197"/>
      <c r="D749" s="197"/>
      <c r="E749" s="197"/>
      <c r="F749" s="197"/>
      <c r="G749" s="197"/>
      <c r="H749" s="197"/>
      <c r="I749" s="197"/>
      <c r="J749" s="197"/>
      <c r="K749" s="197"/>
      <c r="L749" s="197"/>
      <c r="M749" s="197"/>
      <c r="N749" s="197"/>
      <c r="O749" s="197"/>
      <c r="P749" s="197"/>
      <c r="Q749" s="197"/>
      <c r="R749" s="197"/>
      <c r="S749" s="197"/>
      <c r="T749" s="197"/>
      <c r="U749" s="197"/>
      <c r="V749" s="197"/>
      <c r="W749" s="197"/>
      <c r="X749" s="197"/>
      <c r="Y749" s="197"/>
      <c r="Z749" s="197"/>
    </row>
    <row r="750" ht="61.5" customHeight="1">
      <c r="A750" s="197"/>
      <c r="B750" s="197"/>
      <c r="C750" s="197"/>
      <c r="D750" s="197"/>
      <c r="E750" s="197"/>
      <c r="F750" s="197"/>
      <c r="G750" s="197"/>
      <c r="H750" s="197"/>
      <c r="I750" s="197"/>
      <c r="J750" s="197"/>
      <c r="K750" s="197"/>
      <c r="L750" s="197"/>
      <c r="M750" s="197"/>
      <c r="N750" s="197"/>
      <c r="O750" s="197"/>
      <c r="P750" s="197"/>
      <c r="Q750" s="197"/>
      <c r="R750" s="197"/>
      <c r="S750" s="197"/>
      <c r="T750" s="197"/>
      <c r="U750" s="197"/>
      <c r="V750" s="197"/>
      <c r="W750" s="197"/>
      <c r="X750" s="197"/>
      <c r="Y750" s="197"/>
      <c r="Z750" s="197"/>
    </row>
    <row r="751" ht="61.5" customHeight="1">
      <c r="A751" s="197"/>
      <c r="B751" s="197"/>
      <c r="C751" s="197"/>
      <c r="D751" s="197"/>
      <c r="E751" s="197"/>
      <c r="F751" s="197"/>
      <c r="G751" s="197"/>
      <c r="H751" s="197"/>
      <c r="I751" s="197"/>
      <c r="J751" s="197"/>
      <c r="K751" s="197"/>
      <c r="L751" s="197"/>
      <c r="M751" s="197"/>
      <c r="N751" s="197"/>
      <c r="O751" s="197"/>
      <c r="P751" s="197"/>
      <c r="Q751" s="197"/>
      <c r="R751" s="197"/>
      <c r="S751" s="197"/>
      <c r="T751" s="197"/>
      <c r="U751" s="197"/>
      <c r="V751" s="197"/>
      <c r="W751" s="197"/>
      <c r="X751" s="197"/>
      <c r="Y751" s="197"/>
      <c r="Z751" s="197"/>
    </row>
    <row r="752" ht="61.5" customHeight="1">
      <c r="A752" s="197"/>
      <c r="B752" s="197"/>
      <c r="C752" s="197"/>
      <c r="D752" s="197"/>
      <c r="E752" s="197"/>
      <c r="F752" s="197"/>
      <c r="G752" s="197"/>
      <c r="H752" s="197"/>
      <c r="I752" s="197"/>
      <c r="J752" s="197"/>
      <c r="K752" s="197"/>
      <c r="L752" s="197"/>
      <c r="M752" s="197"/>
      <c r="N752" s="197"/>
      <c r="O752" s="197"/>
      <c r="P752" s="197"/>
      <c r="Q752" s="197"/>
      <c r="R752" s="197"/>
      <c r="S752" s="197"/>
      <c r="T752" s="197"/>
      <c r="U752" s="197"/>
      <c r="V752" s="197"/>
      <c r="W752" s="197"/>
      <c r="X752" s="197"/>
      <c r="Y752" s="197"/>
      <c r="Z752" s="197"/>
    </row>
    <row r="753" ht="61.5" customHeight="1">
      <c r="A753" s="197"/>
      <c r="B753" s="197"/>
      <c r="C753" s="197"/>
      <c r="D753" s="197"/>
      <c r="E753" s="197"/>
      <c r="F753" s="197"/>
      <c r="G753" s="197"/>
      <c r="H753" s="197"/>
      <c r="I753" s="197"/>
      <c r="J753" s="197"/>
      <c r="K753" s="197"/>
      <c r="L753" s="197"/>
      <c r="M753" s="197"/>
      <c r="N753" s="197"/>
      <c r="O753" s="197"/>
      <c r="P753" s="197"/>
      <c r="Q753" s="197"/>
      <c r="R753" s="197"/>
      <c r="S753" s="197"/>
      <c r="T753" s="197"/>
      <c r="U753" s="197"/>
      <c r="V753" s="197"/>
      <c r="W753" s="197"/>
      <c r="X753" s="197"/>
      <c r="Y753" s="197"/>
      <c r="Z753" s="197"/>
    </row>
    <row r="754" ht="61.5" customHeight="1">
      <c r="A754" s="197"/>
      <c r="B754" s="197"/>
      <c r="C754" s="197"/>
      <c r="D754" s="197"/>
      <c r="E754" s="197"/>
      <c r="F754" s="197"/>
      <c r="G754" s="197"/>
      <c r="H754" s="197"/>
      <c r="I754" s="197"/>
      <c r="J754" s="197"/>
      <c r="K754" s="197"/>
      <c r="L754" s="197"/>
      <c r="M754" s="197"/>
      <c r="N754" s="197"/>
      <c r="O754" s="197"/>
      <c r="P754" s="197"/>
      <c r="Q754" s="197"/>
      <c r="R754" s="197"/>
      <c r="S754" s="197"/>
      <c r="T754" s="197"/>
      <c r="U754" s="197"/>
      <c r="V754" s="197"/>
      <c r="W754" s="197"/>
      <c r="X754" s="197"/>
      <c r="Y754" s="197"/>
      <c r="Z754" s="197"/>
    </row>
    <row r="755" ht="61.5" customHeight="1">
      <c r="A755" s="197"/>
      <c r="B755" s="197"/>
      <c r="C755" s="197"/>
      <c r="D755" s="197"/>
      <c r="E755" s="197"/>
      <c r="F755" s="197"/>
      <c r="G755" s="197"/>
      <c r="H755" s="197"/>
      <c r="I755" s="197"/>
      <c r="J755" s="197"/>
      <c r="K755" s="197"/>
      <c r="L755" s="197"/>
      <c r="M755" s="197"/>
      <c r="N755" s="197"/>
      <c r="O755" s="197"/>
      <c r="P755" s="197"/>
      <c r="Q755" s="197"/>
      <c r="R755" s="197"/>
      <c r="S755" s="197"/>
      <c r="T755" s="197"/>
      <c r="U755" s="197"/>
      <c r="V755" s="197"/>
      <c r="W755" s="197"/>
      <c r="X755" s="197"/>
      <c r="Y755" s="197"/>
      <c r="Z755" s="197"/>
    </row>
    <row r="756" ht="61.5" customHeight="1">
      <c r="A756" s="197"/>
      <c r="B756" s="197"/>
      <c r="C756" s="197"/>
      <c r="D756" s="197"/>
      <c r="E756" s="197"/>
      <c r="F756" s="197"/>
      <c r="G756" s="197"/>
      <c r="H756" s="197"/>
      <c r="I756" s="197"/>
      <c r="J756" s="197"/>
      <c r="K756" s="197"/>
      <c r="L756" s="197"/>
      <c r="M756" s="197"/>
      <c r="N756" s="197"/>
      <c r="O756" s="197"/>
      <c r="P756" s="197"/>
      <c r="Q756" s="197"/>
      <c r="R756" s="197"/>
      <c r="S756" s="197"/>
      <c r="T756" s="197"/>
      <c r="U756" s="197"/>
      <c r="V756" s="197"/>
      <c r="W756" s="197"/>
      <c r="X756" s="197"/>
      <c r="Y756" s="197"/>
      <c r="Z756" s="197"/>
    </row>
    <row r="757" ht="61.5" customHeight="1">
      <c r="A757" s="197"/>
      <c r="B757" s="197"/>
      <c r="C757" s="197"/>
      <c r="D757" s="197"/>
      <c r="E757" s="197"/>
      <c r="F757" s="197"/>
      <c r="G757" s="197"/>
      <c r="H757" s="197"/>
      <c r="I757" s="197"/>
      <c r="J757" s="197"/>
      <c r="K757" s="197"/>
      <c r="L757" s="197"/>
      <c r="M757" s="197"/>
      <c r="N757" s="197"/>
      <c r="O757" s="197"/>
      <c r="P757" s="197"/>
      <c r="Q757" s="197"/>
      <c r="R757" s="197"/>
      <c r="S757" s="197"/>
      <c r="T757" s="197"/>
      <c r="U757" s="197"/>
      <c r="V757" s="197"/>
      <c r="W757" s="197"/>
      <c r="X757" s="197"/>
      <c r="Y757" s="197"/>
      <c r="Z757" s="197"/>
    </row>
    <row r="758" ht="61.5" customHeight="1">
      <c r="A758" s="197"/>
      <c r="B758" s="197"/>
      <c r="C758" s="197"/>
      <c r="D758" s="197"/>
      <c r="E758" s="197"/>
      <c r="F758" s="197"/>
      <c r="G758" s="197"/>
      <c r="H758" s="197"/>
      <c r="I758" s="197"/>
      <c r="J758" s="197"/>
      <c r="K758" s="197"/>
      <c r="L758" s="197"/>
      <c r="M758" s="197"/>
      <c r="N758" s="197"/>
      <c r="O758" s="197"/>
      <c r="P758" s="197"/>
      <c r="Q758" s="197"/>
      <c r="R758" s="197"/>
      <c r="S758" s="197"/>
      <c r="T758" s="197"/>
      <c r="U758" s="197"/>
      <c r="V758" s="197"/>
      <c r="W758" s="197"/>
      <c r="X758" s="197"/>
      <c r="Y758" s="197"/>
      <c r="Z758" s="197"/>
    </row>
    <row r="759" ht="61.5" customHeight="1">
      <c r="A759" s="197"/>
      <c r="B759" s="197"/>
      <c r="C759" s="197"/>
      <c r="D759" s="197"/>
      <c r="E759" s="197"/>
      <c r="F759" s="197"/>
      <c r="G759" s="197"/>
      <c r="H759" s="197"/>
      <c r="I759" s="197"/>
      <c r="J759" s="197"/>
      <c r="K759" s="197"/>
      <c r="L759" s="197"/>
      <c r="M759" s="197"/>
      <c r="N759" s="197"/>
      <c r="O759" s="197"/>
      <c r="P759" s="197"/>
      <c r="Q759" s="197"/>
      <c r="R759" s="197"/>
      <c r="S759" s="197"/>
      <c r="T759" s="197"/>
      <c r="U759" s="197"/>
      <c r="V759" s="197"/>
      <c r="W759" s="197"/>
      <c r="X759" s="197"/>
      <c r="Y759" s="197"/>
      <c r="Z759" s="197"/>
    </row>
    <row r="760" ht="61.5" customHeight="1">
      <c r="A760" s="197"/>
      <c r="B760" s="197"/>
      <c r="C760" s="197"/>
      <c r="D760" s="197"/>
      <c r="E760" s="197"/>
      <c r="F760" s="197"/>
      <c r="G760" s="197"/>
      <c r="H760" s="197"/>
      <c r="I760" s="197"/>
      <c r="J760" s="197"/>
      <c r="K760" s="197"/>
      <c r="L760" s="197"/>
      <c r="M760" s="197"/>
      <c r="N760" s="197"/>
      <c r="O760" s="197"/>
      <c r="P760" s="197"/>
      <c r="Q760" s="197"/>
      <c r="R760" s="197"/>
      <c r="S760" s="197"/>
      <c r="T760" s="197"/>
      <c r="U760" s="197"/>
      <c r="V760" s="197"/>
      <c r="W760" s="197"/>
      <c r="X760" s="197"/>
      <c r="Y760" s="197"/>
      <c r="Z760" s="197"/>
    </row>
    <row r="761" ht="61.5" customHeight="1">
      <c r="A761" s="197"/>
      <c r="B761" s="197"/>
      <c r="C761" s="197"/>
      <c r="D761" s="197"/>
      <c r="E761" s="197"/>
      <c r="F761" s="197"/>
      <c r="G761" s="197"/>
      <c r="H761" s="197"/>
      <c r="I761" s="197"/>
      <c r="J761" s="197"/>
      <c r="K761" s="197"/>
      <c r="L761" s="197"/>
      <c r="M761" s="197"/>
      <c r="N761" s="197"/>
      <c r="O761" s="197"/>
      <c r="P761" s="197"/>
      <c r="Q761" s="197"/>
      <c r="R761" s="197"/>
      <c r="S761" s="197"/>
      <c r="T761" s="197"/>
      <c r="U761" s="197"/>
      <c r="V761" s="197"/>
      <c r="W761" s="197"/>
      <c r="X761" s="197"/>
      <c r="Y761" s="197"/>
      <c r="Z761" s="197"/>
    </row>
    <row r="762" ht="61.5" customHeight="1">
      <c r="A762" s="197"/>
      <c r="B762" s="197"/>
      <c r="C762" s="197"/>
      <c r="D762" s="197"/>
      <c r="E762" s="197"/>
      <c r="F762" s="197"/>
      <c r="G762" s="197"/>
      <c r="H762" s="197"/>
      <c r="I762" s="197"/>
      <c r="J762" s="197"/>
      <c r="K762" s="197"/>
      <c r="L762" s="197"/>
      <c r="M762" s="197"/>
      <c r="N762" s="197"/>
      <c r="O762" s="197"/>
      <c r="P762" s="197"/>
      <c r="Q762" s="197"/>
      <c r="R762" s="197"/>
      <c r="S762" s="197"/>
      <c r="T762" s="197"/>
      <c r="U762" s="197"/>
      <c r="V762" s="197"/>
      <c r="W762" s="197"/>
      <c r="X762" s="197"/>
      <c r="Y762" s="197"/>
      <c r="Z762" s="197"/>
    </row>
    <row r="763" ht="61.5" customHeight="1">
      <c r="A763" s="197"/>
      <c r="B763" s="197"/>
      <c r="C763" s="197"/>
      <c r="D763" s="197"/>
      <c r="E763" s="197"/>
      <c r="F763" s="197"/>
      <c r="G763" s="197"/>
      <c r="H763" s="197"/>
      <c r="I763" s="197"/>
      <c r="J763" s="197"/>
      <c r="K763" s="197"/>
      <c r="L763" s="197"/>
      <c r="M763" s="197"/>
      <c r="N763" s="197"/>
      <c r="O763" s="197"/>
      <c r="P763" s="197"/>
      <c r="Q763" s="197"/>
      <c r="R763" s="197"/>
      <c r="S763" s="197"/>
      <c r="T763" s="197"/>
      <c r="U763" s="197"/>
      <c r="V763" s="197"/>
      <c r="W763" s="197"/>
      <c r="X763" s="197"/>
      <c r="Y763" s="197"/>
      <c r="Z763" s="197"/>
    </row>
    <row r="764" ht="61.5" customHeight="1">
      <c r="A764" s="197"/>
      <c r="B764" s="197"/>
      <c r="C764" s="197"/>
      <c r="D764" s="197"/>
      <c r="E764" s="197"/>
      <c r="F764" s="197"/>
      <c r="G764" s="197"/>
      <c r="H764" s="197"/>
      <c r="I764" s="197"/>
      <c r="J764" s="197"/>
      <c r="K764" s="197"/>
      <c r="L764" s="197"/>
      <c r="M764" s="197"/>
      <c r="N764" s="197"/>
      <c r="O764" s="197"/>
      <c r="P764" s="197"/>
      <c r="Q764" s="197"/>
      <c r="R764" s="197"/>
      <c r="S764" s="197"/>
      <c r="T764" s="197"/>
      <c r="U764" s="197"/>
      <c r="V764" s="197"/>
      <c r="W764" s="197"/>
      <c r="X764" s="197"/>
      <c r="Y764" s="197"/>
      <c r="Z764" s="197"/>
    </row>
    <row r="765" ht="61.5" customHeight="1">
      <c r="A765" s="197"/>
      <c r="B765" s="197"/>
      <c r="C765" s="197"/>
      <c r="D765" s="197"/>
      <c r="E765" s="197"/>
      <c r="F765" s="197"/>
      <c r="G765" s="197"/>
      <c r="H765" s="197"/>
      <c r="I765" s="197"/>
      <c r="J765" s="197"/>
      <c r="K765" s="197"/>
      <c r="L765" s="197"/>
      <c r="M765" s="197"/>
      <c r="N765" s="197"/>
      <c r="O765" s="197"/>
      <c r="P765" s="197"/>
      <c r="Q765" s="197"/>
      <c r="R765" s="197"/>
      <c r="S765" s="197"/>
      <c r="T765" s="197"/>
      <c r="U765" s="197"/>
      <c r="V765" s="197"/>
      <c r="W765" s="197"/>
      <c r="X765" s="197"/>
      <c r="Y765" s="197"/>
      <c r="Z765" s="197"/>
    </row>
    <row r="766" ht="61.5" customHeight="1">
      <c r="A766" s="197"/>
      <c r="B766" s="197"/>
      <c r="C766" s="197"/>
      <c r="D766" s="197"/>
      <c r="E766" s="197"/>
      <c r="F766" s="197"/>
      <c r="G766" s="197"/>
      <c r="H766" s="197"/>
      <c r="I766" s="197"/>
      <c r="J766" s="197"/>
      <c r="K766" s="197"/>
      <c r="L766" s="197"/>
      <c r="M766" s="197"/>
      <c r="N766" s="197"/>
      <c r="O766" s="197"/>
      <c r="P766" s="197"/>
      <c r="Q766" s="197"/>
      <c r="R766" s="197"/>
      <c r="S766" s="197"/>
      <c r="T766" s="197"/>
      <c r="U766" s="197"/>
      <c r="V766" s="197"/>
      <c r="W766" s="197"/>
      <c r="X766" s="197"/>
      <c r="Y766" s="197"/>
      <c r="Z766" s="197"/>
    </row>
    <row r="767" ht="61.5" customHeight="1">
      <c r="A767" s="197"/>
      <c r="B767" s="197"/>
      <c r="C767" s="197"/>
      <c r="D767" s="197"/>
      <c r="E767" s="197"/>
      <c r="F767" s="197"/>
      <c r="G767" s="197"/>
      <c r="H767" s="197"/>
      <c r="I767" s="197"/>
      <c r="J767" s="197"/>
      <c r="K767" s="197"/>
      <c r="L767" s="197"/>
      <c r="M767" s="197"/>
      <c r="N767" s="197"/>
      <c r="O767" s="197"/>
      <c r="P767" s="197"/>
      <c r="Q767" s="197"/>
      <c r="R767" s="197"/>
      <c r="S767" s="197"/>
      <c r="T767" s="197"/>
      <c r="U767" s="197"/>
      <c r="V767" s="197"/>
      <c r="W767" s="197"/>
      <c r="X767" s="197"/>
      <c r="Y767" s="197"/>
      <c r="Z767" s="197"/>
    </row>
    <row r="768" ht="61.5" customHeight="1">
      <c r="A768" s="197"/>
      <c r="B768" s="197"/>
      <c r="C768" s="197"/>
      <c r="D768" s="197"/>
      <c r="E768" s="197"/>
      <c r="F768" s="197"/>
      <c r="G768" s="197"/>
      <c r="H768" s="197"/>
      <c r="I768" s="197"/>
      <c r="J768" s="197"/>
      <c r="K768" s="197"/>
      <c r="L768" s="197"/>
      <c r="M768" s="197"/>
      <c r="N768" s="197"/>
      <c r="O768" s="197"/>
      <c r="P768" s="197"/>
      <c r="Q768" s="197"/>
      <c r="R768" s="197"/>
      <c r="S768" s="197"/>
      <c r="T768" s="197"/>
      <c r="U768" s="197"/>
      <c r="V768" s="197"/>
      <c r="W768" s="197"/>
      <c r="X768" s="197"/>
      <c r="Y768" s="197"/>
      <c r="Z768" s="197"/>
    </row>
    <row r="769" ht="61.5" customHeight="1">
      <c r="A769" s="197"/>
      <c r="B769" s="197"/>
      <c r="C769" s="197"/>
      <c r="D769" s="197"/>
      <c r="E769" s="197"/>
      <c r="F769" s="197"/>
      <c r="G769" s="197"/>
      <c r="H769" s="197"/>
      <c r="I769" s="197"/>
      <c r="J769" s="197"/>
      <c r="K769" s="197"/>
      <c r="L769" s="197"/>
      <c r="M769" s="197"/>
      <c r="N769" s="197"/>
      <c r="O769" s="197"/>
      <c r="P769" s="197"/>
      <c r="Q769" s="197"/>
      <c r="R769" s="197"/>
      <c r="S769" s="197"/>
      <c r="T769" s="197"/>
      <c r="U769" s="197"/>
      <c r="V769" s="197"/>
      <c r="W769" s="197"/>
      <c r="X769" s="197"/>
      <c r="Y769" s="197"/>
      <c r="Z769" s="197"/>
    </row>
    <row r="770" ht="61.5" customHeight="1">
      <c r="A770" s="197"/>
      <c r="B770" s="197"/>
      <c r="C770" s="197"/>
      <c r="D770" s="197"/>
      <c r="E770" s="197"/>
      <c r="F770" s="197"/>
      <c r="G770" s="197"/>
      <c r="H770" s="197"/>
      <c r="I770" s="197"/>
      <c r="J770" s="197"/>
      <c r="K770" s="197"/>
      <c r="L770" s="197"/>
      <c r="M770" s="197"/>
      <c r="N770" s="197"/>
      <c r="O770" s="197"/>
      <c r="P770" s="197"/>
      <c r="Q770" s="197"/>
      <c r="R770" s="197"/>
      <c r="S770" s="197"/>
      <c r="T770" s="197"/>
      <c r="U770" s="197"/>
      <c r="V770" s="197"/>
      <c r="W770" s="197"/>
      <c r="X770" s="197"/>
      <c r="Y770" s="197"/>
      <c r="Z770" s="197"/>
    </row>
    <row r="771" ht="61.5" customHeight="1">
      <c r="A771" s="197"/>
      <c r="B771" s="197"/>
      <c r="C771" s="197"/>
      <c r="D771" s="197"/>
      <c r="E771" s="197"/>
      <c r="F771" s="197"/>
      <c r="G771" s="197"/>
      <c r="H771" s="197"/>
      <c r="I771" s="197"/>
      <c r="J771" s="197"/>
      <c r="K771" s="197"/>
      <c r="L771" s="197"/>
      <c r="M771" s="197"/>
      <c r="N771" s="197"/>
      <c r="O771" s="197"/>
      <c r="P771" s="197"/>
      <c r="Q771" s="197"/>
      <c r="R771" s="197"/>
      <c r="S771" s="197"/>
      <c r="T771" s="197"/>
      <c r="U771" s="197"/>
      <c r="V771" s="197"/>
      <c r="W771" s="197"/>
      <c r="X771" s="197"/>
      <c r="Y771" s="197"/>
      <c r="Z771" s="197"/>
    </row>
    <row r="772" ht="61.5" customHeight="1">
      <c r="A772" s="197"/>
      <c r="B772" s="197"/>
      <c r="C772" s="197"/>
      <c r="D772" s="197"/>
      <c r="E772" s="197"/>
      <c r="F772" s="197"/>
      <c r="G772" s="197"/>
      <c r="H772" s="197"/>
      <c r="I772" s="197"/>
      <c r="J772" s="197"/>
      <c r="K772" s="197"/>
      <c r="L772" s="197"/>
      <c r="M772" s="197"/>
      <c r="N772" s="197"/>
      <c r="O772" s="197"/>
      <c r="P772" s="197"/>
      <c r="Q772" s="197"/>
      <c r="R772" s="197"/>
      <c r="S772" s="197"/>
      <c r="T772" s="197"/>
      <c r="U772" s="197"/>
      <c r="V772" s="197"/>
      <c r="W772" s="197"/>
      <c r="X772" s="197"/>
      <c r="Y772" s="197"/>
      <c r="Z772" s="197"/>
    </row>
    <row r="773" ht="61.5" customHeight="1">
      <c r="A773" s="197"/>
      <c r="B773" s="197"/>
      <c r="C773" s="197"/>
      <c r="D773" s="197"/>
      <c r="E773" s="197"/>
      <c r="F773" s="197"/>
      <c r="G773" s="197"/>
      <c r="H773" s="197"/>
      <c r="I773" s="197"/>
      <c r="J773" s="197"/>
      <c r="K773" s="197"/>
      <c r="L773" s="197"/>
      <c r="M773" s="197"/>
      <c r="N773" s="197"/>
      <c r="O773" s="197"/>
      <c r="P773" s="197"/>
      <c r="Q773" s="197"/>
      <c r="R773" s="197"/>
      <c r="S773" s="197"/>
      <c r="T773" s="197"/>
      <c r="U773" s="197"/>
      <c r="V773" s="197"/>
      <c r="W773" s="197"/>
      <c r="X773" s="197"/>
      <c r="Y773" s="197"/>
      <c r="Z773" s="197"/>
    </row>
    <row r="774" ht="61.5" customHeight="1">
      <c r="A774" s="197"/>
      <c r="B774" s="197"/>
      <c r="C774" s="197"/>
      <c r="D774" s="197"/>
      <c r="E774" s="197"/>
      <c r="F774" s="197"/>
      <c r="G774" s="197"/>
      <c r="H774" s="197"/>
      <c r="I774" s="197"/>
      <c r="J774" s="197"/>
      <c r="K774" s="197"/>
      <c r="L774" s="197"/>
      <c r="M774" s="197"/>
      <c r="N774" s="197"/>
      <c r="O774" s="197"/>
      <c r="P774" s="197"/>
      <c r="Q774" s="197"/>
      <c r="R774" s="197"/>
      <c r="S774" s="197"/>
      <c r="T774" s="197"/>
      <c r="U774" s="197"/>
      <c r="V774" s="197"/>
      <c r="W774" s="197"/>
      <c r="X774" s="197"/>
      <c r="Y774" s="197"/>
      <c r="Z774" s="197"/>
    </row>
    <row r="775" ht="61.5" customHeight="1">
      <c r="A775" s="197"/>
      <c r="B775" s="197"/>
      <c r="C775" s="197"/>
      <c r="D775" s="197"/>
      <c r="E775" s="197"/>
      <c r="F775" s="197"/>
      <c r="G775" s="197"/>
      <c r="H775" s="197"/>
      <c r="I775" s="197"/>
      <c r="J775" s="197"/>
      <c r="K775" s="197"/>
      <c r="L775" s="197"/>
      <c r="M775" s="197"/>
      <c r="N775" s="197"/>
      <c r="O775" s="197"/>
      <c r="P775" s="197"/>
      <c r="Q775" s="197"/>
      <c r="R775" s="197"/>
      <c r="S775" s="197"/>
      <c r="T775" s="197"/>
      <c r="U775" s="197"/>
      <c r="V775" s="197"/>
      <c r="W775" s="197"/>
      <c r="X775" s="197"/>
      <c r="Y775" s="197"/>
      <c r="Z775" s="197"/>
    </row>
    <row r="776" ht="61.5" customHeight="1">
      <c r="A776" s="197"/>
      <c r="B776" s="197"/>
      <c r="C776" s="197"/>
      <c r="D776" s="197"/>
      <c r="E776" s="197"/>
      <c r="F776" s="197"/>
      <c r="G776" s="197"/>
      <c r="H776" s="197"/>
      <c r="I776" s="197"/>
      <c r="J776" s="197"/>
      <c r="K776" s="197"/>
      <c r="L776" s="197"/>
      <c r="M776" s="197"/>
      <c r="N776" s="197"/>
      <c r="O776" s="197"/>
      <c r="P776" s="197"/>
      <c r="Q776" s="197"/>
      <c r="R776" s="197"/>
      <c r="S776" s="197"/>
      <c r="T776" s="197"/>
      <c r="U776" s="197"/>
      <c r="V776" s="197"/>
      <c r="W776" s="197"/>
      <c r="X776" s="197"/>
      <c r="Y776" s="197"/>
      <c r="Z776" s="197"/>
    </row>
    <row r="777" ht="61.5" customHeight="1">
      <c r="A777" s="197"/>
      <c r="B777" s="197"/>
      <c r="C777" s="197"/>
      <c r="D777" s="197"/>
      <c r="E777" s="197"/>
      <c r="F777" s="197"/>
      <c r="G777" s="197"/>
      <c r="H777" s="197"/>
      <c r="I777" s="197"/>
      <c r="J777" s="197"/>
      <c r="K777" s="197"/>
      <c r="L777" s="197"/>
      <c r="M777" s="197"/>
      <c r="N777" s="197"/>
      <c r="O777" s="197"/>
      <c r="P777" s="197"/>
      <c r="Q777" s="197"/>
      <c r="R777" s="197"/>
      <c r="S777" s="197"/>
      <c r="T777" s="197"/>
      <c r="U777" s="197"/>
      <c r="V777" s="197"/>
      <c r="W777" s="197"/>
      <c r="X777" s="197"/>
      <c r="Y777" s="197"/>
      <c r="Z777" s="197"/>
    </row>
    <row r="778" ht="61.5" customHeight="1">
      <c r="A778" s="197"/>
      <c r="B778" s="197"/>
      <c r="C778" s="197"/>
      <c r="D778" s="197"/>
      <c r="E778" s="197"/>
      <c r="F778" s="197"/>
      <c r="G778" s="197"/>
      <c r="H778" s="197"/>
      <c r="I778" s="197"/>
      <c r="J778" s="197"/>
      <c r="K778" s="197"/>
      <c r="L778" s="197"/>
      <c r="M778" s="197"/>
      <c r="N778" s="197"/>
      <c r="O778" s="197"/>
      <c r="P778" s="197"/>
      <c r="Q778" s="197"/>
      <c r="R778" s="197"/>
      <c r="S778" s="197"/>
      <c r="T778" s="197"/>
      <c r="U778" s="197"/>
      <c r="V778" s="197"/>
      <c r="W778" s="197"/>
      <c r="X778" s="197"/>
      <c r="Y778" s="197"/>
      <c r="Z778" s="197"/>
    </row>
    <row r="779" ht="61.5" customHeight="1">
      <c r="A779" s="197"/>
      <c r="B779" s="197"/>
      <c r="C779" s="197"/>
      <c r="D779" s="197"/>
      <c r="E779" s="197"/>
      <c r="F779" s="197"/>
      <c r="G779" s="197"/>
      <c r="H779" s="197"/>
      <c r="I779" s="197"/>
      <c r="J779" s="197"/>
      <c r="K779" s="197"/>
      <c r="L779" s="197"/>
      <c r="M779" s="197"/>
      <c r="N779" s="197"/>
      <c r="O779" s="197"/>
      <c r="P779" s="197"/>
      <c r="Q779" s="197"/>
      <c r="R779" s="197"/>
      <c r="S779" s="197"/>
      <c r="T779" s="197"/>
      <c r="U779" s="197"/>
      <c r="V779" s="197"/>
      <c r="W779" s="197"/>
      <c r="X779" s="197"/>
      <c r="Y779" s="197"/>
      <c r="Z779" s="197"/>
    </row>
    <row r="780" ht="61.5" customHeight="1">
      <c r="A780" s="197"/>
      <c r="B780" s="197"/>
      <c r="C780" s="197"/>
      <c r="D780" s="197"/>
      <c r="E780" s="197"/>
      <c r="F780" s="197"/>
      <c r="G780" s="197"/>
      <c r="H780" s="197"/>
      <c r="I780" s="197"/>
      <c r="J780" s="197"/>
      <c r="K780" s="197"/>
      <c r="L780" s="197"/>
      <c r="M780" s="197"/>
      <c r="N780" s="197"/>
      <c r="O780" s="197"/>
      <c r="P780" s="197"/>
      <c r="Q780" s="197"/>
      <c r="R780" s="197"/>
      <c r="S780" s="197"/>
      <c r="T780" s="197"/>
      <c r="U780" s="197"/>
      <c r="V780" s="197"/>
      <c r="W780" s="197"/>
      <c r="X780" s="197"/>
      <c r="Y780" s="197"/>
      <c r="Z780" s="197"/>
    </row>
    <row r="781" ht="61.5" customHeight="1">
      <c r="A781" s="197"/>
      <c r="B781" s="197"/>
      <c r="C781" s="197"/>
      <c r="D781" s="197"/>
      <c r="E781" s="197"/>
      <c r="F781" s="197"/>
      <c r="G781" s="197"/>
      <c r="H781" s="197"/>
      <c r="I781" s="197"/>
      <c r="J781" s="197"/>
      <c r="K781" s="197"/>
      <c r="L781" s="197"/>
      <c r="M781" s="197"/>
      <c r="N781" s="197"/>
      <c r="O781" s="197"/>
      <c r="P781" s="197"/>
      <c r="Q781" s="197"/>
      <c r="R781" s="197"/>
      <c r="S781" s="197"/>
      <c r="T781" s="197"/>
      <c r="U781" s="197"/>
      <c r="V781" s="197"/>
      <c r="W781" s="197"/>
      <c r="X781" s="197"/>
      <c r="Y781" s="197"/>
      <c r="Z781" s="197"/>
    </row>
    <row r="782" ht="61.5" customHeight="1">
      <c r="A782" s="197"/>
      <c r="B782" s="197"/>
      <c r="C782" s="197"/>
      <c r="D782" s="197"/>
      <c r="E782" s="197"/>
      <c r="F782" s="197"/>
      <c r="G782" s="197"/>
      <c r="H782" s="197"/>
      <c r="I782" s="197"/>
      <c r="J782" s="197"/>
      <c r="K782" s="197"/>
      <c r="L782" s="197"/>
      <c r="M782" s="197"/>
      <c r="N782" s="197"/>
      <c r="O782" s="197"/>
      <c r="P782" s="197"/>
      <c r="Q782" s="197"/>
      <c r="R782" s="197"/>
      <c r="S782" s="197"/>
      <c r="T782" s="197"/>
      <c r="U782" s="197"/>
      <c r="V782" s="197"/>
      <c r="W782" s="197"/>
      <c r="X782" s="197"/>
      <c r="Y782" s="197"/>
      <c r="Z782" s="197"/>
    </row>
    <row r="783" ht="61.5" customHeight="1">
      <c r="A783" s="197"/>
      <c r="B783" s="197"/>
      <c r="C783" s="197"/>
      <c r="D783" s="197"/>
      <c r="E783" s="197"/>
      <c r="F783" s="197"/>
      <c r="G783" s="197"/>
      <c r="H783" s="197"/>
      <c r="I783" s="197"/>
      <c r="J783" s="197"/>
      <c r="K783" s="197"/>
      <c r="L783" s="197"/>
      <c r="M783" s="197"/>
      <c r="N783" s="197"/>
      <c r="O783" s="197"/>
      <c r="P783" s="197"/>
      <c r="Q783" s="197"/>
      <c r="R783" s="197"/>
      <c r="S783" s="197"/>
      <c r="T783" s="197"/>
      <c r="U783" s="197"/>
      <c r="V783" s="197"/>
      <c r="W783" s="197"/>
      <c r="X783" s="197"/>
      <c r="Y783" s="197"/>
      <c r="Z783" s="197"/>
    </row>
    <row r="784" ht="61.5" customHeight="1">
      <c r="A784" s="197"/>
      <c r="B784" s="197"/>
      <c r="C784" s="197"/>
      <c r="D784" s="197"/>
      <c r="E784" s="197"/>
      <c r="F784" s="197"/>
      <c r="G784" s="197"/>
      <c r="H784" s="197"/>
      <c r="I784" s="197"/>
      <c r="J784" s="197"/>
      <c r="K784" s="197"/>
      <c r="L784" s="197"/>
      <c r="M784" s="197"/>
      <c r="N784" s="197"/>
      <c r="O784" s="197"/>
      <c r="P784" s="197"/>
      <c r="Q784" s="197"/>
      <c r="R784" s="197"/>
      <c r="S784" s="197"/>
      <c r="T784" s="197"/>
      <c r="U784" s="197"/>
      <c r="V784" s="197"/>
      <c r="W784" s="197"/>
      <c r="X784" s="197"/>
      <c r="Y784" s="197"/>
      <c r="Z784" s="197"/>
    </row>
    <row r="785" ht="61.5" customHeight="1">
      <c r="A785" s="197"/>
      <c r="B785" s="197"/>
      <c r="C785" s="197"/>
      <c r="D785" s="197"/>
      <c r="E785" s="197"/>
      <c r="F785" s="197"/>
      <c r="G785" s="197"/>
      <c r="H785" s="197"/>
      <c r="I785" s="197"/>
      <c r="J785" s="197"/>
      <c r="K785" s="197"/>
      <c r="L785" s="197"/>
      <c r="M785" s="197"/>
      <c r="N785" s="197"/>
      <c r="O785" s="197"/>
      <c r="P785" s="197"/>
      <c r="Q785" s="197"/>
      <c r="R785" s="197"/>
      <c r="S785" s="197"/>
      <c r="T785" s="197"/>
      <c r="U785" s="197"/>
      <c r="V785" s="197"/>
      <c r="W785" s="197"/>
      <c r="X785" s="197"/>
      <c r="Y785" s="197"/>
      <c r="Z785" s="197"/>
    </row>
    <row r="786" ht="61.5" customHeight="1">
      <c r="A786" s="197"/>
      <c r="B786" s="197"/>
      <c r="C786" s="197"/>
      <c r="D786" s="197"/>
      <c r="E786" s="197"/>
      <c r="F786" s="197"/>
      <c r="G786" s="197"/>
      <c r="H786" s="197"/>
      <c r="I786" s="197"/>
      <c r="J786" s="197"/>
      <c r="K786" s="197"/>
      <c r="L786" s="197"/>
      <c r="M786" s="197"/>
      <c r="N786" s="197"/>
      <c r="O786" s="197"/>
      <c r="P786" s="197"/>
      <c r="Q786" s="197"/>
      <c r="R786" s="197"/>
      <c r="S786" s="197"/>
      <c r="T786" s="197"/>
      <c r="U786" s="197"/>
      <c r="V786" s="197"/>
      <c r="W786" s="197"/>
      <c r="X786" s="197"/>
      <c r="Y786" s="197"/>
      <c r="Z786" s="197"/>
    </row>
    <row r="787" ht="61.5" customHeight="1">
      <c r="A787" s="197"/>
      <c r="B787" s="197"/>
      <c r="C787" s="197"/>
      <c r="D787" s="197"/>
      <c r="E787" s="197"/>
      <c r="F787" s="197"/>
      <c r="G787" s="197"/>
      <c r="H787" s="197"/>
      <c r="I787" s="197"/>
      <c r="J787" s="197"/>
      <c r="K787" s="197"/>
      <c r="L787" s="197"/>
      <c r="M787" s="197"/>
      <c r="N787" s="197"/>
      <c r="O787" s="197"/>
      <c r="P787" s="197"/>
      <c r="Q787" s="197"/>
      <c r="R787" s="197"/>
      <c r="S787" s="197"/>
      <c r="T787" s="197"/>
      <c r="U787" s="197"/>
      <c r="V787" s="197"/>
      <c r="W787" s="197"/>
      <c r="X787" s="197"/>
      <c r="Y787" s="197"/>
      <c r="Z787" s="197"/>
    </row>
    <row r="788" ht="61.5" customHeight="1">
      <c r="A788" s="197"/>
      <c r="B788" s="197"/>
      <c r="C788" s="197"/>
      <c r="D788" s="197"/>
      <c r="E788" s="197"/>
      <c r="F788" s="197"/>
      <c r="G788" s="197"/>
      <c r="H788" s="197"/>
      <c r="I788" s="197"/>
      <c r="J788" s="197"/>
      <c r="K788" s="197"/>
      <c r="L788" s="197"/>
      <c r="M788" s="197"/>
      <c r="N788" s="197"/>
      <c r="O788" s="197"/>
      <c r="P788" s="197"/>
      <c r="Q788" s="197"/>
      <c r="R788" s="197"/>
      <c r="S788" s="197"/>
      <c r="T788" s="197"/>
      <c r="U788" s="197"/>
      <c r="V788" s="197"/>
      <c r="W788" s="197"/>
      <c r="X788" s="197"/>
      <c r="Y788" s="197"/>
      <c r="Z788" s="197"/>
    </row>
    <row r="789" ht="61.5" customHeight="1">
      <c r="A789" s="197"/>
      <c r="B789" s="197"/>
      <c r="C789" s="197"/>
      <c r="D789" s="197"/>
      <c r="E789" s="197"/>
      <c r="F789" s="197"/>
      <c r="G789" s="197"/>
      <c r="H789" s="197"/>
      <c r="I789" s="197"/>
      <c r="J789" s="197"/>
      <c r="K789" s="197"/>
      <c r="L789" s="197"/>
      <c r="M789" s="197"/>
      <c r="N789" s="197"/>
      <c r="O789" s="197"/>
      <c r="P789" s="197"/>
      <c r="Q789" s="197"/>
      <c r="R789" s="197"/>
      <c r="S789" s="197"/>
      <c r="T789" s="197"/>
      <c r="U789" s="197"/>
      <c r="V789" s="197"/>
      <c r="W789" s="197"/>
      <c r="X789" s="197"/>
      <c r="Y789" s="197"/>
      <c r="Z789" s="197"/>
    </row>
    <row r="790" ht="61.5" customHeight="1">
      <c r="A790" s="197"/>
      <c r="B790" s="197"/>
      <c r="C790" s="197"/>
      <c r="D790" s="197"/>
      <c r="E790" s="197"/>
      <c r="F790" s="197"/>
      <c r="G790" s="197"/>
      <c r="H790" s="197"/>
      <c r="I790" s="197"/>
      <c r="J790" s="197"/>
      <c r="K790" s="197"/>
      <c r="L790" s="197"/>
      <c r="M790" s="197"/>
      <c r="N790" s="197"/>
      <c r="O790" s="197"/>
      <c r="P790" s="197"/>
      <c r="Q790" s="197"/>
      <c r="R790" s="197"/>
      <c r="S790" s="197"/>
      <c r="T790" s="197"/>
      <c r="U790" s="197"/>
      <c r="V790" s="197"/>
      <c r="W790" s="197"/>
      <c r="X790" s="197"/>
      <c r="Y790" s="197"/>
      <c r="Z790" s="197"/>
    </row>
    <row r="791" ht="61.5" customHeight="1">
      <c r="A791" s="197"/>
      <c r="B791" s="197"/>
      <c r="C791" s="197"/>
      <c r="D791" s="197"/>
      <c r="E791" s="197"/>
      <c r="F791" s="197"/>
      <c r="G791" s="197"/>
      <c r="H791" s="197"/>
      <c r="I791" s="197"/>
      <c r="J791" s="197"/>
      <c r="K791" s="197"/>
      <c r="L791" s="197"/>
      <c r="M791" s="197"/>
      <c r="N791" s="197"/>
      <c r="O791" s="197"/>
      <c r="P791" s="197"/>
      <c r="Q791" s="197"/>
      <c r="R791" s="197"/>
      <c r="S791" s="197"/>
      <c r="T791" s="197"/>
      <c r="U791" s="197"/>
      <c r="V791" s="197"/>
      <c r="W791" s="197"/>
      <c r="X791" s="197"/>
      <c r="Y791" s="197"/>
      <c r="Z791" s="197"/>
    </row>
    <row r="792" ht="61.5" customHeight="1">
      <c r="A792" s="197"/>
      <c r="B792" s="197"/>
      <c r="C792" s="197"/>
      <c r="D792" s="197"/>
      <c r="E792" s="197"/>
      <c r="F792" s="197"/>
      <c r="G792" s="197"/>
      <c r="H792" s="197"/>
      <c r="I792" s="197"/>
      <c r="J792" s="197"/>
      <c r="K792" s="197"/>
      <c r="L792" s="197"/>
      <c r="M792" s="197"/>
      <c r="N792" s="197"/>
      <c r="O792" s="197"/>
      <c r="P792" s="197"/>
      <c r="Q792" s="197"/>
      <c r="R792" s="197"/>
      <c r="S792" s="197"/>
      <c r="T792" s="197"/>
      <c r="U792" s="197"/>
      <c r="V792" s="197"/>
      <c r="W792" s="197"/>
      <c r="X792" s="197"/>
      <c r="Y792" s="197"/>
      <c r="Z792" s="197"/>
    </row>
    <row r="793" ht="61.5" customHeight="1">
      <c r="A793" s="197"/>
      <c r="B793" s="197"/>
      <c r="C793" s="197"/>
      <c r="D793" s="197"/>
      <c r="E793" s="197"/>
      <c r="F793" s="197"/>
      <c r="G793" s="197"/>
      <c r="H793" s="197"/>
      <c r="I793" s="197"/>
      <c r="J793" s="197"/>
      <c r="K793" s="197"/>
      <c r="L793" s="197"/>
      <c r="M793" s="197"/>
      <c r="N793" s="197"/>
      <c r="O793" s="197"/>
      <c r="P793" s="197"/>
      <c r="Q793" s="197"/>
      <c r="R793" s="197"/>
      <c r="S793" s="197"/>
      <c r="T793" s="197"/>
      <c r="U793" s="197"/>
      <c r="V793" s="197"/>
      <c r="W793" s="197"/>
      <c r="X793" s="197"/>
      <c r="Y793" s="197"/>
      <c r="Z793" s="197"/>
    </row>
    <row r="794" ht="61.5" customHeight="1">
      <c r="A794" s="197"/>
      <c r="B794" s="197"/>
      <c r="C794" s="197"/>
      <c r="D794" s="197"/>
      <c r="E794" s="197"/>
      <c r="F794" s="197"/>
      <c r="G794" s="197"/>
      <c r="H794" s="197"/>
      <c r="I794" s="197"/>
      <c r="J794" s="197"/>
      <c r="K794" s="197"/>
      <c r="L794" s="197"/>
      <c r="M794" s="197"/>
      <c r="N794" s="197"/>
      <c r="O794" s="197"/>
      <c r="P794" s="197"/>
      <c r="Q794" s="197"/>
      <c r="R794" s="197"/>
      <c r="S794" s="197"/>
      <c r="T794" s="197"/>
      <c r="U794" s="197"/>
      <c r="V794" s="197"/>
      <c r="W794" s="197"/>
      <c r="X794" s="197"/>
      <c r="Y794" s="197"/>
      <c r="Z794" s="197"/>
    </row>
    <row r="795" ht="61.5" customHeight="1">
      <c r="A795" s="197"/>
      <c r="B795" s="197"/>
      <c r="C795" s="197"/>
      <c r="D795" s="197"/>
      <c r="E795" s="197"/>
      <c r="F795" s="197"/>
      <c r="G795" s="197"/>
      <c r="H795" s="197"/>
      <c r="I795" s="197"/>
      <c r="J795" s="197"/>
      <c r="K795" s="197"/>
      <c r="L795" s="197"/>
      <c r="M795" s="197"/>
      <c r="N795" s="197"/>
      <c r="O795" s="197"/>
      <c r="P795" s="197"/>
      <c r="Q795" s="197"/>
      <c r="R795" s="197"/>
      <c r="S795" s="197"/>
      <c r="T795" s="197"/>
      <c r="U795" s="197"/>
      <c r="V795" s="197"/>
      <c r="W795" s="197"/>
      <c r="X795" s="197"/>
      <c r="Y795" s="197"/>
      <c r="Z795" s="197"/>
    </row>
    <row r="796" ht="61.5" customHeight="1">
      <c r="A796" s="197"/>
      <c r="B796" s="197"/>
      <c r="C796" s="197"/>
      <c r="D796" s="197"/>
      <c r="E796" s="197"/>
      <c r="F796" s="197"/>
      <c r="G796" s="197"/>
      <c r="H796" s="197"/>
      <c r="I796" s="197"/>
      <c r="J796" s="197"/>
      <c r="K796" s="197"/>
      <c r="L796" s="197"/>
      <c r="M796" s="197"/>
      <c r="N796" s="197"/>
      <c r="O796" s="197"/>
      <c r="P796" s="197"/>
      <c r="Q796" s="197"/>
      <c r="R796" s="197"/>
      <c r="S796" s="197"/>
      <c r="T796" s="197"/>
      <c r="U796" s="197"/>
      <c r="V796" s="197"/>
      <c r="W796" s="197"/>
      <c r="X796" s="197"/>
      <c r="Y796" s="197"/>
      <c r="Z796" s="197"/>
    </row>
    <row r="797" ht="61.5" customHeight="1">
      <c r="A797" s="197"/>
      <c r="B797" s="197"/>
      <c r="C797" s="197"/>
      <c r="D797" s="197"/>
      <c r="E797" s="197"/>
      <c r="F797" s="197"/>
      <c r="G797" s="197"/>
      <c r="H797" s="197"/>
      <c r="I797" s="197"/>
      <c r="J797" s="197"/>
      <c r="K797" s="197"/>
      <c r="L797" s="197"/>
      <c r="M797" s="197"/>
      <c r="N797" s="197"/>
      <c r="O797" s="197"/>
      <c r="P797" s="197"/>
      <c r="Q797" s="197"/>
      <c r="R797" s="197"/>
      <c r="S797" s="197"/>
      <c r="T797" s="197"/>
      <c r="U797" s="197"/>
      <c r="V797" s="197"/>
      <c r="W797" s="197"/>
      <c r="X797" s="197"/>
      <c r="Y797" s="197"/>
      <c r="Z797" s="197"/>
    </row>
    <row r="798" ht="61.5" customHeight="1">
      <c r="A798" s="197"/>
      <c r="B798" s="197"/>
      <c r="C798" s="197"/>
      <c r="D798" s="197"/>
      <c r="E798" s="197"/>
      <c r="F798" s="197"/>
      <c r="G798" s="197"/>
      <c r="H798" s="197"/>
      <c r="I798" s="197"/>
      <c r="J798" s="197"/>
      <c r="K798" s="197"/>
      <c r="L798" s="197"/>
      <c r="M798" s="197"/>
      <c r="N798" s="197"/>
      <c r="O798" s="197"/>
      <c r="P798" s="197"/>
      <c r="Q798" s="197"/>
      <c r="R798" s="197"/>
      <c r="S798" s="197"/>
      <c r="T798" s="197"/>
      <c r="U798" s="197"/>
      <c r="V798" s="197"/>
      <c r="W798" s="197"/>
      <c r="X798" s="197"/>
      <c r="Y798" s="197"/>
      <c r="Z798" s="197"/>
    </row>
    <row r="799" ht="61.5" customHeight="1">
      <c r="A799" s="197"/>
      <c r="B799" s="197"/>
      <c r="C799" s="197"/>
      <c r="D799" s="197"/>
      <c r="E799" s="197"/>
      <c r="F799" s="197"/>
      <c r="G799" s="197"/>
      <c r="H799" s="197"/>
      <c r="I799" s="197"/>
      <c r="J799" s="197"/>
      <c r="K799" s="197"/>
      <c r="L799" s="197"/>
      <c r="M799" s="197"/>
      <c r="N799" s="197"/>
      <c r="O799" s="197"/>
      <c r="P799" s="197"/>
      <c r="Q799" s="197"/>
      <c r="R799" s="197"/>
      <c r="S799" s="197"/>
      <c r="T799" s="197"/>
      <c r="U799" s="197"/>
      <c r="V799" s="197"/>
      <c r="W799" s="197"/>
      <c r="X799" s="197"/>
      <c r="Y799" s="197"/>
      <c r="Z799" s="197"/>
    </row>
    <row r="800" ht="61.5" customHeight="1">
      <c r="A800" s="197"/>
      <c r="B800" s="197"/>
      <c r="C800" s="197"/>
      <c r="D800" s="197"/>
      <c r="E800" s="197"/>
      <c r="F800" s="197"/>
      <c r="G800" s="197"/>
      <c r="H800" s="197"/>
      <c r="I800" s="197"/>
      <c r="J800" s="197"/>
      <c r="K800" s="197"/>
      <c r="L800" s="197"/>
      <c r="M800" s="197"/>
      <c r="N800" s="197"/>
      <c r="O800" s="197"/>
      <c r="P800" s="197"/>
      <c r="Q800" s="197"/>
      <c r="R800" s="197"/>
      <c r="S800" s="197"/>
      <c r="T800" s="197"/>
      <c r="U800" s="197"/>
      <c r="V800" s="197"/>
      <c r="W800" s="197"/>
      <c r="X800" s="197"/>
      <c r="Y800" s="197"/>
      <c r="Z800" s="197"/>
    </row>
    <row r="801" ht="61.5" customHeight="1">
      <c r="A801" s="197"/>
      <c r="B801" s="197"/>
      <c r="C801" s="197"/>
      <c r="D801" s="197"/>
      <c r="E801" s="197"/>
      <c r="F801" s="197"/>
      <c r="G801" s="197"/>
      <c r="H801" s="197"/>
      <c r="I801" s="197"/>
      <c r="J801" s="197"/>
      <c r="K801" s="197"/>
      <c r="L801" s="197"/>
      <c r="M801" s="197"/>
      <c r="N801" s="197"/>
      <c r="O801" s="197"/>
      <c r="P801" s="197"/>
      <c r="Q801" s="197"/>
      <c r="R801" s="197"/>
      <c r="S801" s="197"/>
      <c r="T801" s="197"/>
      <c r="U801" s="197"/>
      <c r="V801" s="197"/>
      <c r="W801" s="197"/>
      <c r="X801" s="197"/>
      <c r="Y801" s="197"/>
      <c r="Z801" s="197"/>
    </row>
    <row r="802" ht="61.5" customHeight="1">
      <c r="A802" s="197"/>
      <c r="B802" s="197"/>
      <c r="C802" s="197"/>
      <c r="D802" s="197"/>
      <c r="E802" s="197"/>
      <c r="F802" s="197"/>
      <c r="G802" s="197"/>
      <c r="H802" s="197"/>
      <c r="I802" s="197"/>
      <c r="J802" s="197"/>
      <c r="K802" s="197"/>
      <c r="L802" s="197"/>
      <c r="M802" s="197"/>
      <c r="N802" s="197"/>
      <c r="O802" s="197"/>
      <c r="P802" s="197"/>
      <c r="Q802" s="197"/>
      <c r="R802" s="197"/>
      <c r="S802" s="197"/>
      <c r="T802" s="197"/>
      <c r="U802" s="197"/>
      <c r="V802" s="197"/>
      <c r="W802" s="197"/>
      <c r="X802" s="197"/>
      <c r="Y802" s="197"/>
      <c r="Z802" s="197"/>
    </row>
    <row r="803" ht="61.5" customHeight="1">
      <c r="A803" s="197"/>
      <c r="B803" s="197"/>
      <c r="C803" s="197"/>
      <c r="D803" s="197"/>
      <c r="E803" s="197"/>
      <c r="F803" s="197"/>
      <c r="G803" s="197"/>
      <c r="H803" s="197"/>
      <c r="I803" s="197"/>
      <c r="J803" s="197"/>
      <c r="K803" s="197"/>
      <c r="L803" s="197"/>
      <c r="M803" s="197"/>
      <c r="N803" s="197"/>
      <c r="O803" s="197"/>
      <c r="P803" s="197"/>
      <c r="Q803" s="197"/>
      <c r="R803" s="197"/>
      <c r="S803" s="197"/>
      <c r="T803" s="197"/>
      <c r="U803" s="197"/>
      <c r="V803" s="197"/>
      <c r="W803" s="197"/>
      <c r="X803" s="197"/>
      <c r="Y803" s="197"/>
      <c r="Z803" s="197"/>
    </row>
    <row r="804" ht="61.5" customHeight="1">
      <c r="A804" s="197"/>
      <c r="B804" s="197"/>
      <c r="C804" s="197"/>
      <c r="D804" s="197"/>
      <c r="E804" s="197"/>
      <c r="F804" s="197"/>
      <c r="G804" s="197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  <c r="U804" s="197"/>
      <c r="V804" s="197"/>
      <c r="W804" s="197"/>
      <c r="X804" s="197"/>
      <c r="Y804" s="197"/>
      <c r="Z804" s="197"/>
    </row>
    <row r="805" ht="61.5" customHeight="1">
      <c r="A805" s="197"/>
      <c r="B805" s="197"/>
      <c r="C805" s="197"/>
      <c r="D805" s="197"/>
      <c r="E805" s="197"/>
      <c r="F805" s="197"/>
      <c r="G805" s="197"/>
      <c r="H805" s="197"/>
      <c r="I805" s="197"/>
      <c r="J805" s="197"/>
      <c r="K805" s="197"/>
      <c r="L805" s="197"/>
      <c r="M805" s="197"/>
      <c r="N805" s="197"/>
      <c r="O805" s="197"/>
      <c r="P805" s="197"/>
      <c r="Q805" s="197"/>
      <c r="R805" s="197"/>
      <c r="S805" s="197"/>
      <c r="T805" s="197"/>
      <c r="U805" s="197"/>
      <c r="V805" s="197"/>
      <c r="W805" s="197"/>
      <c r="X805" s="197"/>
      <c r="Y805" s="197"/>
      <c r="Z805" s="197"/>
    </row>
    <row r="806" ht="61.5" customHeight="1">
      <c r="A806" s="197"/>
      <c r="B806" s="197"/>
      <c r="C806" s="197"/>
      <c r="D806" s="197"/>
      <c r="E806" s="197"/>
      <c r="F806" s="197"/>
      <c r="G806" s="197"/>
      <c r="H806" s="197"/>
      <c r="I806" s="197"/>
      <c r="J806" s="197"/>
      <c r="K806" s="197"/>
      <c r="L806" s="197"/>
      <c r="M806" s="197"/>
      <c r="N806" s="197"/>
      <c r="O806" s="197"/>
      <c r="P806" s="197"/>
      <c r="Q806" s="197"/>
      <c r="R806" s="197"/>
      <c r="S806" s="197"/>
      <c r="T806" s="197"/>
      <c r="U806" s="197"/>
      <c r="V806" s="197"/>
      <c r="W806" s="197"/>
      <c r="X806" s="197"/>
      <c r="Y806" s="197"/>
      <c r="Z806" s="197"/>
    </row>
    <row r="807" ht="61.5" customHeight="1">
      <c r="A807" s="197"/>
      <c r="B807" s="197"/>
      <c r="C807" s="197"/>
      <c r="D807" s="197"/>
      <c r="E807" s="197"/>
      <c r="F807" s="197"/>
      <c r="G807" s="197"/>
      <c r="H807" s="197"/>
      <c r="I807" s="197"/>
      <c r="J807" s="197"/>
      <c r="K807" s="197"/>
      <c r="L807" s="197"/>
      <c r="M807" s="197"/>
      <c r="N807" s="197"/>
      <c r="O807" s="197"/>
      <c r="P807" s="197"/>
      <c r="Q807" s="197"/>
      <c r="R807" s="197"/>
      <c r="S807" s="197"/>
      <c r="T807" s="197"/>
      <c r="U807" s="197"/>
      <c r="V807" s="197"/>
      <c r="W807" s="197"/>
      <c r="X807" s="197"/>
      <c r="Y807" s="197"/>
      <c r="Z807" s="197"/>
    </row>
    <row r="808" ht="61.5" customHeight="1">
      <c r="A808" s="197"/>
      <c r="B808" s="197"/>
      <c r="C808" s="197"/>
      <c r="D808" s="197"/>
      <c r="E808" s="197"/>
      <c r="F808" s="197"/>
      <c r="G808" s="197"/>
      <c r="H808" s="197"/>
      <c r="I808" s="197"/>
      <c r="J808" s="197"/>
      <c r="K808" s="197"/>
      <c r="L808" s="197"/>
      <c r="M808" s="197"/>
      <c r="N808" s="197"/>
      <c r="O808" s="197"/>
      <c r="P808" s="197"/>
      <c r="Q808" s="197"/>
      <c r="R808" s="197"/>
      <c r="S808" s="197"/>
      <c r="T808" s="197"/>
      <c r="U808" s="197"/>
      <c r="V808" s="197"/>
      <c r="W808" s="197"/>
      <c r="X808" s="197"/>
      <c r="Y808" s="197"/>
      <c r="Z808" s="197"/>
    </row>
    <row r="809" ht="61.5" customHeight="1">
      <c r="A809" s="197"/>
      <c r="B809" s="197"/>
      <c r="C809" s="197"/>
      <c r="D809" s="197"/>
      <c r="E809" s="197"/>
      <c r="F809" s="197"/>
      <c r="G809" s="197"/>
      <c r="H809" s="197"/>
      <c r="I809" s="197"/>
      <c r="J809" s="197"/>
      <c r="K809" s="197"/>
      <c r="L809" s="197"/>
      <c r="M809" s="197"/>
      <c r="N809" s="197"/>
      <c r="O809" s="197"/>
      <c r="P809" s="197"/>
      <c r="Q809" s="197"/>
      <c r="R809" s="197"/>
      <c r="S809" s="197"/>
      <c r="T809" s="197"/>
      <c r="U809" s="197"/>
      <c r="V809" s="197"/>
      <c r="W809" s="197"/>
      <c r="X809" s="197"/>
      <c r="Y809" s="197"/>
      <c r="Z809" s="197"/>
    </row>
    <row r="810" ht="61.5" customHeight="1">
      <c r="A810" s="197"/>
      <c r="B810" s="197"/>
      <c r="C810" s="197"/>
      <c r="D810" s="197"/>
      <c r="E810" s="197"/>
      <c r="F810" s="197"/>
      <c r="G810" s="197"/>
      <c r="H810" s="197"/>
      <c r="I810" s="197"/>
      <c r="J810" s="197"/>
      <c r="K810" s="197"/>
      <c r="L810" s="197"/>
      <c r="M810" s="197"/>
      <c r="N810" s="197"/>
      <c r="O810" s="197"/>
      <c r="P810" s="197"/>
      <c r="Q810" s="197"/>
      <c r="R810" s="197"/>
      <c r="S810" s="197"/>
      <c r="T810" s="197"/>
      <c r="U810" s="197"/>
      <c r="V810" s="197"/>
      <c r="W810" s="197"/>
      <c r="X810" s="197"/>
      <c r="Y810" s="197"/>
      <c r="Z810" s="197"/>
    </row>
    <row r="811" ht="61.5" customHeight="1">
      <c r="A811" s="197"/>
      <c r="B811" s="197"/>
      <c r="C811" s="197"/>
      <c r="D811" s="197"/>
      <c r="E811" s="197"/>
      <c r="F811" s="197"/>
      <c r="G811" s="197"/>
      <c r="H811" s="197"/>
      <c r="I811" s="197"/>
      <c r="J811" s="197"/>
      <c r="K811" s="197"/>
      <c r="L811" s="197"/>
      <c r="M811" s="197"/>
      <c r="N811" s="197"/>
      <c r="O811" s="197"/>
      <c r="P811" s="197"/>
      <c r="Q811" s="197"/>
      <c r="R811" s="197"/>
      <c r="S811" s="197"/>
      <c r="T811" s="197"/>
      <c r="U811" s="197"/>
      <c r="V811" s="197"/>
      <c r="W811" s="197"/>
      <c r="X811" s="197"/>
      <c r="Y811" s="197"/>
      <c r="Z811" s="197"/>
    </row>
    <row r="812" ht="61.5" customHeight="1">
      <c r="A812" s="197"/>
      <c r="B812" s="197"/>
      <c r="C812" s="197"/>
      <c r="D812" s="197"/>
      <c r="E812" s="197"/>
      <c r="F812" s="197"/>
      <c r="G812" s="197"/>
      <c r="H812" s="197"/>
      <c r="I812" s="197"/>
      <c r="J812" s="197"/>
      <c r="K812" s="197"/>
      <c r="L812" s="197"/>
      <c r="M812" s="197"/>
      <c r="N812" s="197"/>
      <c r="O812" s="197"/>
      <c r="P812" s="197"/>
      <c r="Q812" s="197"/>
      <c r="R812" s="197"/>
      <c r="S812" s="197"/>
      <c r="T812" s="197"/>
      <c r="U812" s="197"/>
      <c r="V812" s="197"/>
      <c r="W812" s="197"/>
      <c r="X812" s="197"/>
      <c r="Y812" s="197"/>
      <c r="Z812" s="197"/>
    </row>
    <row r="813" ht="61.5" customHeight="1">
      <c r="A813" s="197"/>
      <c r="B813" s="197"/>
      <c r="C813" s="197"/>
      <c r="D813" s="197"/>
      <c r="E813" s="197"/>
      <c r="F813" s="197"/>
      <c r="G813" s="197"/>
      <c r="H813" s="197"/>
      <c r="I813" s="197"/>
      <c r="J813" s="197"/>
      <c r="K813" s="197"/>
      <c r="L813" s="197"/>
      <c r="M813" s="197"/>
      <c r="N813" s="197"/>
      <c r="O813" s="197"/>
      <c r="P813" s="197"/>
      <c r="Q813" s="197"/>
      <c r="R813" s="197"/>
      <c r="S813" s="197"/>
      <c r="T813" s="197"/>
      <c r="U813" s="197"/>
      <c r="V813" s="197"/>
      <c r="W813" s="197"/>
      <c r="X813" s="197"/>
      <c r="Y813" s="197"/>
      <c r="Z813" s="197"/>
    </row>
    <row r="814" ht="61.5" customHeight="1">
      <c r="A814" s="197"/>
      <c r="B814" s="197"/>
      <c r="C814" s="197"/>
      <c r="D814" s="197"/>
      <c r="E814" s="197"/>
      <c r="F814" s="197"/>
      <c r="G814" s="197"/>
      <c r="H814" s="197"/>
      <c r="I814" s="197"/>
      <c r="J814" s="197"/>
      <c r="K814" s="197"/>
      <c r="L814" s="197"/>
      <c r="M814" s="197"/>
      <c r="N814" s="197"/>
      <c r="O814" s="197"/>
      <c r="P814" s="197"/>
      <c r="Q814" s="197"/>
      <c r="R814" s="197"/>
      <c r="S814" s="197"/>
      <c r="T814" s="197"/>
      <c r="U814" s="197"/>
      <c r="V814" s="197"/>
      <c r="W814" s="197"/>
      <c r="X814" s="197"/>
      <c r="Y814" s="197"/>
      <c r="Z814" s="197"/>
    </row>
    <row r="815" ht="61.5" customHeight="1">
      <c r="A815" s="197"/>
      <c r="B815" s="197"/>
      <c r="C815" s="197"/>
      <c r="D815" s="197"/>
      <c r="E815" s="197"/>
      <c r="F815" s="197"/>
      <c r="G815" s="197"/>
      <c r="H815" s="197"/>
      <c r="I815" s="197"/>
      <c r="J815" s="197"/>
      <c r="K815" s="197"/>
      <c r="L815" s="197"/>
      <c r="M815" s="197"/>
      <c r="N815" s="197"/>
      <c r="O815" s="197"/>
      <c r="P815" s="197"/>
      <c r="Q815" s="197"/>
      <c r="R815" s="197"/>
      <c r="S815" s="197"/>
      <c r="T815" s="197"/>
      <c r="U815" s="197"/>
      <c r="V815" s="197"/>
      <c r="W815" s="197"/>
      <c r="X815" s="197"/>
      <c r="Y815" s="197"/>
      <c r="Z815" s="197"/>
    </row>
    <row r="816" ht="61.5" customHeight="1">
      <c r="A816" s="197"/>
      <c r="B816" s="197"/>
      <c r="C816" s="197"/>
      <c r="D816" s="197"/>
      <c r="E816" s="197"/>
      <c r="F816" s="197"/>
      <c r="G816" s="197"/>
      <c r="H816" s="197"/>
      <c r="I816" s="197"/>
      <c r="J816" s="197"/>
      <c r="K816" s="197"/>
      <c r="L816" s="197"/>
      <c r="M816" s="197"/>
      <c r="N816" s="197"/>
      <c r="O816" s="197"/>
      <c r="P816" s="197"/>
      <c r="Q816" s="197"/>
      <c r="R816" s="197"/>
      <c r="S816" s="197"/>
      <c r="T816" s="197"/>
      <c r="U816" s="197"/>
      <c r="V816" s="197"/>
      <c r="W816" s="197"/>
      <c r="X816" s="197"/>
      <c r="Y816" s="197"/>
      <c r="Z816" s="197"/>
    </row>
    <row r="817" ht="61.5" customHeight="1">
      <c r="A817" s="197"/>
      <c r="B817" s="197"/>
      <c r="C817" s="197"/>
      <c r="D817" s="197"/>
      <c r="E817" s="197"/>
      <c r="F817" s="197"/>
      <c r="G817" s="197"/>
      <c r="H817" s="197"/>
      <c r="I817" s="197"/>
      <c r="J817" s="197"/>
      <c r="K817" s="197"/>
      <c r="L817" s="197"/>
      <c r="M817" s="197"/>
      <c r="N817" s="197"/>
      <c r="O817" s="197"/>
      <c r="P817" s="197"/>
      <c r="Q817" s="197"/>
      <c r="R817" s="197"/>
      <c r="S817" s="197"/>
      <c r="T817" s="197"/>
      <c r="U817" s="197"/>
      <c r="V817" s="197"/>
      <c r="W817" s="197"/>
      <c r="X817" s="197"/>
      <c r="Y817" s="197"/>
      <c r="Z817" s="197"/>
    </row>
    <row r="818" ht="61.5" customHeight="1">
      <c r="A818" s="197"/>
      <c r="B818" s="197"/>
      <c r="C818" s="197"/>
      <c r="D818" s="197"/>
      <c r="E818" s="197"/>
      <c r="F818" s="197"/>
      <c r="G818" s="197"/>
      <c r="H818" s="197"/>
      <c r="I818" s="197"/>
      <c r="J818" s="197"/>
      <c r="K818" s="197"/>
      <c r="L818" s="197"/>
      <c r="M818" s="197"/>
      <c r="N818" s="197"/>
      <c r="O818" s="197"/>
      <c r="P818" s="197"/>
      <c r="Q818" s="197"/>
      <c r="R818" s="197"/>
      <c r="S818" s="197"/>
      <c r="T818" s="197"/>
      <c r="U818" s="197"/>
      <c r="V818" s="197"/>
      <c r="W818" s="197"/>
      <c r="X818" s="197"/>
      <c r="Y818" s="197"/>
      <c r="Z818" s="197"/>
    </row>
    <row r="819" ht="61.5" customHeight="1">
      <c r="A819" s="197"/>
      <c r="B819" s="197"/>
      <c r="C819" s="197"/>
      <c r="D819" s="197"/>
      <c r="E819" s="197"/>
      <c r="F819" s="197"/>
      <c r="G819" s="197"/>
      <c r="H819" s="197"/>
      <c r="I819" s="197"/>
      <c r="J819" s="197"/>
      <c r="K819" s="197"/>
      <c r="L819" s="197"/>
      <c r="M819" s="197"/>
      <c r="N819" s="197"/>
      <c r="O819" s="197"/>
      <c r="P819" s="197"/>
      <c r="Q819" s="197"/>
      <c r="R819" s="197"/>
      <c r="S819" s="197"/>
      <c r="T819" s="197"/>
      <c r="U819" s="197"/>
      <c r="V819" s="197"/>
      <c r="W819" s="197"/>
      <c r="X819" s="197"/>
      <c r="Y819" s="197"/>
      <c r="Z819" s="197"/>
    </row>
    <row r="820" ht="61.5" customHeight="1">
      <c r="A820" s="197"/>
      <c r="B820" s="197"/>
      <c r="C820" s="197"/>
      <c r="D820" s="197"/>
      <c r="E820" s="197"/>
      <c r="F820" s="197"/>
      <c r="G820" s="197"/>
      <c r="H820" s="197"/>
      <c r="I820" s="197"/>
      <c r="J820" s="197"/>
      <c r="K820" s="197"/>
      <c r="L820" s="197"/>
      <c r="M820" s="197"/>
      <c r="N820" s="197"/>
      <c r="O820" s="197"/>
      <c r="P820" s="197"/>
      <c r="Q820" s="197"/>
      <c r="R820" s="197"/>
      <c r="S820" s="197"/>
      <c r="T820" s="197"/>
      <c r="U820" s="197"/>
      <c r="V820" s="197"/>
      <c r="W820" s="197"/>
      <c r="X820" s="197"/>
      <c r="Y820" s="197"/>
      <c r="Z820" s="197"/>
    </row>
    <row r="821" ht="61.5" customHeight="1">
      <c r="A821" s="197"/>
      <c r="B821" s="197"/>
      <c r="C821" s="197"/>
      <c r="D821" s="197"/>
      <c r="E821" s="197"/>
      <c r="F821" s="197"/>
      <c r="G821" s="197"/>
      <c r="H821" s="197"/>
      <c r="I821" s="197"/>
      <c r="J821" s="197"/>
      <c r="K821" s="197"/>
      <c r="L821" s="197"/>
      <c r="M821" s="197"/>
      <c r="N821" s="197"/>
      <c r="O821" s="197"/>
      <c r="P821" s="197"/>
      <c r="Q821" s="197"/>
      <c r="R821" s="197"/>
      <c r="S821" s="197"/>
      <c r="T821" s="197"/>
      <c r="U821" s="197"/>
      <c r="V821" s="197"/>
      <c r="W821" s="197"/>
      <c r="X821" s="197"/>
      <c r="Y821" s="197"/>
      <c r="Z821" s="197"/>
    </row>
    <row r="822" ht="61.5" customHeight="1">
      <c r="A822" s="197"/>
      <c r="B822" s="197"/>
      <c r="C822" s="197"/>
      <c r="D822" s="197"/>
      <c r="E822" s="197"/>
      <c r="F822" s="197"/>
      <c r="G822" s="197"/>
      <c r="H822" s="197"/>
      <c r="I822" s="197"/>
      <c r="J822" s="197"/>
      <c r="K822" s="197"/>
      <c r="L822" s="197"/>
      <c r="M822" s="197"/>
      <c r="N822" s="197"/>
      <c r="O822" s="197"/>
      <c r="P822" s="197"/>
      <c r="Q822" s="197"/>
      <c r="R822" s="197"/>
      <c r="S822" s="197"/>
      <c r="T822" s="197"/>
      <c r="U822" s="197"/>
      <c r="V822" s="197"/>
      <c r="W822" s="197"/>
      <c r="X822" s="197"/>
      <c r="Y822" s="197"/>
      <c r="Z822" s="197"/>
    </row>
    <row r="823" ht="61.5" customHeight="1">
      <c r="A823" s="197"/>
      <c r="B823" s="197"/>
      <c r="C823" s="197"/>
      <c r="D823" s="197"/>
      <c r="E823" s="197"/>
      <c r="F823" s="197"/>
      <c r="G823" s="197"/>
      <c r="H823" s="197"/>
      <c r="I823" s="197"/>
      <c r="J823" s="197"/>
      <c r="K823" s="197"/>
      <c r="L823" s="197"/>
      <c r="M823" s="197"/>
      <c r="N823" s="197"/>
      <c r="O823" s="197"/>
      <c r="P823" s="197"/>
      <c r="Q823" s="197"/>
      <c r="R823" s="197"/>
      <c r="S823" s="197"/>
      <c r="T823" s="197"/>
      <c r="U823" s="197"/>
      <c r="V823" s="197"/>
      <c r="W823" s="197"/>
      <c r="X823" s="197"/>
      <c r="Y823" s="197"/>
      <c r="Z823" s="197"/>
    </row>
    <row r="824" ht="61.5" customHeight="1">
      <c r="A824" s="197"/>
      <c r="B824" s="197"/>
      <c r="C824" s="197"/>
      <c r="D824" s="197"/>
      <c r="E824" s="197"/>
      <c r="F824" s="197"/>
      <c r="G824" s="197"/>
      <c r="H824" s="197"/>
      <c r="I824" s="197"/>
      <c r="J824" s="197"/>
      <c r="K824" s="197"/>
      <c r="L824" s="197"/>
      <c r="M824" s="197"/>
      <c r="N824" s="197"/>
      <c r="O824" s="197"/>
      <c r="P824" s="197"/>
      <c r="Q824" s="197"/>
      <c r="R824" s="197"/>
      <c r="S824" s="197"/>
      <c r="T824" s="197"/>
      <c r="U824" s="197"/>
      <c r="V824" s="197"/>
      <c r="W824" s="197"/>
      <c r="X824" s="197"/>
      <c r="Y824" s="197"/>
      <c r="Z824" s="197"/>
    </row>
    <row r="825" ht="61.5" customHeight="1">
      <c r="A825" s="197"/>
      <c r="B825" s="197"/>
      <c r="C825" s="197"/>
      <c r="D825" s="197"/>
      <c r="E825" s="197"/>
      <c r="F825" s="197"/>
      <c r="G825" s="197"/>
      <c r="H825" s="197"/>
      <c r="I825" s="197"/>
      <c r="J825" s="197"/>
      <c r="K825" s="197"/>
      <c r="L825" s="197"/>
      <c r="M825" s="197"/>
      <c r="N825" s="197"/>
      <c r="O825" s="197"/>
      <c r="P825" s="197"/>
      <c r="Q825" s="197"/>
      <c r="R825" s="197"/>
      <c r="S825" s="197"/>
      <c r="T825" s="197"/>
      <c r="U825" s="197"/>
      <c r="V825" s="197"/>
      <c r="W825" s="197"/>
      <c r="X825" s="197"/>
      <c r="Y825" s="197"/>
      <c r="Z825" s="197"/>
    </row>
    <row r="826" ht="61.5" customHeight="1">
      <c r="A826" s="197"/>
      <c r="B826" s="197"/>
      <c r="C826" s="197"/>
      <c r="D826" s="197"/>
      <c r="E826" s="197"/>
      <c r="F826" s="197"/>
      <c r="G826" s="197"/>
      <c r="H826" s="197"/>
      <c r="I826" s="197"/>
      <c r="J826" s="197"/>
      <c r="K826" s="197"/>
      <c r="L826" s="197"/>
      <c r="M826" s="197"/>
      <c r="N826" s="197"/>
      <c r="O826" s="197"/>
      <c r="P826" s="197"/>
      <c r="Q826" s="197"/>
      <c r="R826" s="197"/>
      <c r="S826" s="197"/>
      <c r="T826" s="197"/>
      <c r="U826" s="197"/>
      <c r="V826" s="197"/>
      <c r="W826" s="197"/>
      <c r="X826" s="197"/>
      <c r="Y826" s="197"/>
      <c r="Z826" s="197"/>
    </row>
    <row r="827" ht="61.5" customHeight="1">
      <c r="A827" s="197"/>
      <c r="B827" s="197"/>
      <c r="C827" s="197"/>
      <c r="D827" s="197"/>
      <c r="E827" s="197"/>
      <c r="F827" s="197"/>
      <c r="G827" s="197"/>
      <c r="H827" s="197"/>
      <c r="I827" s="197"/>
      <c r="J827" s="197"/>
      <c r="K827" s="197"/>
      <c r="L827" s="197"/>
      <c r="M827" s="197"/>
      <c r="N827" s="197"/>
      <c r="O827" s="197"/>
      <c r="P827" s="197"/>
      <c r="Q827" s="197"/>
      <c r="R827" s="197"/>
      <c r="S827" s="197"/>
      <c r="T827" s="197"/>
      <c r="U827" s="197"/>
      <c r="V827" s="197"/>
      <c r="W827" s="197"/>
      <c r="X827" s="197"/>
      <c r="Y827" s="197"/>
      <c r="Z827" s="197"/>
    </row>
    <row r="828" ht="61.5" customHeight="1">
      <c r="A828" s="197"/>
      <c r="B828" s="197"/>
      <c r="C828" s="197"/>
      <c r="D828" s="197"/>
      <c r="E828" s="197"/>
      <c r="F828" s="197"/>
      <c r="G828" s="197"/>
      <c r="H828" s="197"/>
      <c r="I828" s="197"/>
      <c r="J828" s="197"/>
      <c r="K828" s="197"/>
      <c r="L828" s="197"/>
      <c r="M828" s="197"/>
      <c r="N828" s="197"/>
      <c r="O828" s="197"/>
      <c r="P828" s="197"/>
      <c r="Q828" s="197"/>
      <c r="R828" s="197"/>
      <c r="S828" s="197"/>
      <c r="T828" s="197"/>
      <c r="U828" s="197"/>
      <c r="V828" s="197"/>
      <c r="W828" s="197"/>
      <c r="X828" s="197"/>
      <c r="Y828" s="197"/>
      <c r="Z828" s="197"/>
    </row>
    <row r="829" ht="61.5" customHeight="1">
      <c r="A829" s="197"/>
      <c r="B829" s="197"/>
      <c r="C829" s="197"/>
      <c r="D829" s="197"/>
      <c r="E829" s="197"/>
      <c r="F829" s="197"/>
      <c r="G829" s="197"/>
      <c r="H829" s="197"/>
      <c r="I829" s="197"/>
      <c r="J829" s="197"/>
      <c r="K829" s="197"/>
      <c r="L829" s="197"/>
      <c r="M829" s="197"/>
      <c r="N829" s="197"/>
      <c r="O829" s="197"/>
      <c r="P829" s="197"/>
      <c r="Q829" s="197"/>
      <c r="R829" s="197"/>
      <c r="S829" s="197"/>
      <c r="T829" s="197"/>
      <c r="U829" s="197"/>
      <c r="V829" s="197"/>
      <c r="W829" s="197"/>
      <c r="X829" s="197"/>
      <c r="Y829" s="197"/>
      <c r="Z829" s="197"/>
    </row>
    <row r="830" ht="61.5" customHeight="1">
      <c r="A830" s="197"/>
      <c r="B830" s="197"/>
      <c r="C830" s="197"/>
      <c r="D830" s="197"/>
      <c r="E830" s="197"/>
      <c r="F830" s="197"/>
      <c r="G830" s="197"/>
      <c r="H830" s="197"/>
      <c r="I830" s="197"/>
      <c r="J830" s="197"/>
      <c r="K830" s="197"/>
      <c r="L830" s="197"/>
      <c r="M830" s="197"/>
      <c r="N830" s="197"/>
      <c r="O830" s="197"/>
      <c r="P830" s="197"/>
      <c r="Q830" s="197"/>
      <c r="R830" s="197"/>
      <c r="S830" s="197"/>
      <c r="T830" s="197"/>
      <c r="U830" s="197"/>
      <c r="V830" s="197"/>
      <c r="W830" s="197"/>
      <c r="X830" s="197"/>
      <c r="Y830" s="197"/>
      <c r="Z830" s="197"/>
    </row>
    <row r="831" ht="61.5" customHeight="1">
      <c r="A831" s="197"/>
      <c r="B831" s="197"/>
      <c r="C831" s="197"/>
      <c r="D831" s="197"/>
      <c r="E831" s="197"/>
      <c r="F831" s="197"/>
      <c r="G831" s="197"/>
      <c r="H831" s="197"/>
      <c r="I831" s="197"/>
      <c r="J831" s="197"/>
      <c r="K831" s="197"/>
      <c r="L831" s="197"/>
      <c r="M831" s="197"/>
      <c r="N831" s="197"/>
      <c r="O831" s="197"/>
      <c r="P831" s="197"/>
      <c r="Q831" s="197"/>
      <c r="R831" s="197"/>
      <c r="S831" s="197"/>
      <c r="T831" s="197"/>
      <c r="U831" s="197"/>
      <c r="V831" s="197"/>
      <c r="W831" s="197"/>
      <c r="X831" s="197"/>
      <c r="Y831" s="197"/>
      <c r="Z831" s="197"/>
    </row>
    <row r="832" ht="61.5" customHeight="1">
      <c r="A832" s="197"/>
      <c r="B832" s="197"/>
      <c r="C832" s="197"/>
      <c r="D832" s="197"/>
      <c r="E832" s="197"/>
      <c r="F832" s="197"/>
      <c r="G832" s="197"/>
      <c r="H832" s="197"/>
      <c r="I832" s="197"/>
      <c r="J832" s="197"/>
      <c r="K832" s="197"/>
      <c r="L832" s="197"/>
      <c r="M832" s="197"/>
      <c r="N832" s="197"/>
      <c r="O832" s="197"/>
      <c r="P832" s="197"/>
      <c r="Q832" s="197"/>
      <c r="R832" s="197"/>
      <c r="S832" s="197"/>
      <c r="T832" s="197"/>
      <c r="U832" s="197"/>
      <c r="V832" s="197"/>
      <c r="W832" s="197"/>
      <c r="X832" s="197"/>
      <c r="Y832" s="197"/>
      <c r="Z832" s="197"/>
    </row>
    <row r="833" ht="61.5" customHeight="1">
      <c r="A833" s="197"/>
      <c r="B833" s="197"/>
      <c r="C833" s="197"/>
      <c r="D833" s="197"/>
      <c r="E833" s="197"/>
      <c r="F833" s="197"/>
      <c r="G833" s="197"/>
      <c r="H833" s="197"/>
      <c r="I833" s="197"/>
      <c r="J833" s="197"/>
      <c r="K833" s="197"/>
      <c r="L833" s="197"/>
      <c r="M833" s="197"/>
      <c r="N833" s="197"/>
      <c r="O833" s="197"/>
      <c r="P833" s="197"/>
      <c r="Q833" s="197"/>
      <c r="R833" s="197"/>
      <c r="S833" s="197"/>
      <c r="T833" s="197"/>
      <c r="U833" s="197"/>
      <c r="V833" s="197"/>
      <c r="W833" s="197"/>
      <c r="X833" s="197"/>
      <c r="Y833" s="197"/>
      <c r="Z833" s="197"/>
    </row>
    <row r="834" ht="61.5" customHeight="1">
      <c r="A834" s="197"/>
      <c r="B834" s="197"/>
      <c r="C834" s="197"/>
      <c r="D834" s="197"/>
      <c r="E834" s="197"/>
      <c r="F834" s="197"/>
      <c r="G834" s="197"/>
      <c r="H834" s="197"/>
      <c r="I834" s="197"/>
      <c r="J834" s="197"/>
      <c r="K834" s="197"/>
      <c r="L834" s="197"/>
      <c r="M834" s="197"/>
      <c r="N834" s="197"/>
      <c r="O834" s="197"/>
      <c r="P834" s="197"/>
      <c r="Q834" s="197"/>
      <c r="R834" s="197"/>
      <c r="S834" s="197"/>
      <c r="T834" s="197"/>
      <c r="U834" s="197"/>
      <c r="V834" s="197"/>
      <c r="W834" s="197"/>
      <c r="X834" s="197"/>
      <c r="Y834" s="197"/>
      <c r="Z834" s="197"/>
    </row>
    <row r="835" ht="61.5" customHeight="1">
      <c r="A835" s="197"/>
      <c r="B835" s="197"/>
      <c r="C835" s="197"/>
      <c r="D835" s="197"/>
      <c r="E835" s="197"/>
      <c r="F835" s="197"/>
      <c r="G835" s="197"/>
      <c r="H835" s="197"/>
      <c r="I835" s="197"/>
      <c r="J835" s="197"/>
      <c r="K835" s="197"/>
      <c r="L835" s="197"/>
      <c r="M835" s="197"/>
      <c r="N835" s="197"/>
      <c r="O835" s="197"/>
      <c r="P835" s="197"/>
      <c r="Q835" s="197"/>
      <c r="R835" s="197"/>
      <c r="S835" s="197"/>
      <c r="T835" s="197"/>
      <c r="U835" s="197"/>
      <c r="V835" s="197"/>
      <c r="W835" s="197"/>
      <c r="X835" s="197"/>
      <c r="Y835" s="197"/>
      <c r="Z835" s="197"/>
    </row>
    <row r="836" ht="61.5" customHeight="1">
      <c r="A836" s="197"/>
      <c r="B836" s="197"/>
      <c r="C836" s="197"/>
      <c r="D836" s="197"/>
      <c r="E836" s="197"/>
      <c r="F836" s="197"/>
      <c r="G836" s="197"/>
      <c r="H836" s="197"/>
      <c r="I836" s="197"/>
      <c r="J836" s="197"/>
      <c r="K836" s="197"/>
      <c r="L836" s="197"/>
      <c r="M836" s="197"/>
      <c r="N836" s="197"/>
      <c r="O836" s="197"/>
      <c r="P836" s="197"/>
      <c r="Q836" s="197"/>
      <c r="R836" s="197"/>
      <c r="S836" s="197"/>
      <c r="T836" s="197"/>
      <c r="U836" s="197"/>
      <c r="V836" s="197"/>
      <c r="W836" s="197"/>
      <c r="X836" s="197"/>
      <c r="Y836" s="197"/>
      <c r="Z836" s="197"/>
    </row>
    <row r="837" ht="61.5" customHeight="1">
      <c r="A837" s="197"/>
      <c r="B837" s="197"/>
      <c r="C837" s="197"/>
      <c r="D837" s="197"/>
      <c r="E837" s="197"/>
      <c r="F837" s="197"/>
      <c r="G837" s="197"/>
      <c r="H837" s="197"/>
      <c r="I837" s="197"/>
      <c r="J837" s="197"/>
      <c r="K837" s="197"/>
      <c r="L837" s="197"/>
      <c r="M837" s="197"/>
      <c r="N837" s="197"/>
      <c r="O837" s="197"/>
      <c r="P837" s="197"/>
      <c r="Q837" s="197"/>
      <c r="R837" s="197"/>
      <c r="S837" s="197"/>
      <c r="T837" s="197"/>
      <c r="U837" s="197"/>
      <c r="V837" s="197"/>
      <c r="W837" s="197"/>
      <c r="X837" s="197"/>
      <c r="Y837" s="197"/>
      <c r="Z837" s="197"/>
    </row>
    <row r="838" ht="61.5" customHeight="1">
      <c r="A838" s="197"/>
      <c r="B838" s="197"/>
      <c r="C838" s="197"/>
      <c r="D838" s="197"/>
      <c r="E838" s="197"/>
      <c r="F838" s="197"/>
      <c r="G838" s="197"/>
      <c r="H838" s="197"/>
      <c r="I838" s="197"/>
      <c r="J838" s="197"/>
      <c r="K838" s="197"/>
      <c r="L838" s="197"/>
      <c r="M838" s="197"/>
      <c r="N838" s="197"/>
      <c r="O838" s="197"/>
      <c r="P838" s="197"/>
      <c r="Q838" s="197"/>
      <c r="R838" s="197"/>
      <c r="S838" s="197"/>
      <c r="T838" s="197"/>
      <c r="U838" s="197"/>
      <c r="V838" s="197"/>
      <c r="W838" s="197"/>
      <c r="X838" s="197"/>
      <c r="Y838" s="197"/>
      <c r="Z838" s="197"/>
    </row>
    <row r="839" ht="61.5" customHeight="1">
      <c r="A839" s="197"/>
      <c r="B839" s="197"/>
      <c r="C839" s="197"/>
      <c r="D839" s="197"/>
      <c r="E839" s="197"/>
      <c r="F839" s="197"/>
      <c r="G839" s="197"/>
      <c r="H839" s="197"/>
      <c r="I839" s="197"/>
      <c r="J839" s="197"/>
      <c r="K839" s="197"/>
      <c r="L839" s="197"/>
      <c r="M839" s="197"/>
      <c r="N839" s="197"/>
      <c r="O839" s="197"/>
      <c r="P839" s="197"/>
      <c r="Q839" s="197"/>
      <c r="R839" s="197"/>
      <c r="S839" s="197"/>
      <c r="T839" s="197"/>
      <c r="U839" s="197"/>
      <c r="V839" s="197"/>
      <c r="W839" s="197"/>
      <c r="X839" s="197"/>
      <c r="Y839" s="197"/>
      <c r="Z839" s="197"/>
    </row>
    <row r="840" ht="61.5" customHeight="1">
      <c r="A840" s="197"/>
      <c r="B840" s="197"/>
      <c r="C840" s="197"/>
      <c r="D840" s="197"/>
      <c r="E840" s="197"/>
      <c r="F840" s="197"/>
      <c r="G840" s="197"/>
      <c r="H840" s="197"/>
      <c r="I840" s="197"/>
      <c r="J840" s="197"/>
      <c r="K840" s="197"/>
      <c r="L840" s="197"/>
      <c r="M840" s="197"/>
      <c r="N840" s="197"/>
      <c r="O840" s="197"/>
      <c r="P840" s="197"/>
      <c r="Q840" s="197"/>
      <c r="R840" s="197"/>
      <c r="S840" s="197"/>
      <c r="T840" s="197"/>
      <c r="U840" s="197"/>
      <c r="V840" s="197"/>
      <c r="W840" s="197"/>
      <c r="X840" s="197"/>
      <c r="Y840" s="197"/>
      <c r="Z840" s="197"/>
    </row>
    <row r="841" ht="61.5" customHeight="1">
      <c r="A841" s="197"/>
      <c r="B841" s="197"/>
      <c r="C841" s="197"/>
      <c r="D841" s="197"/>
      <c r="E841" s="197"/>
      <c r="F841" s="197"/>
      <c r="G841" s="197"/>
      <c r="H841" s="197"/>
      <c r="I841" s="197"/>
      <c r="J841" s="197"/>
      <c r="K841" s="197"/>
      <c r="L841" s="197"/>
      <c r="M841" s="197"/>
      <c r="N841" s="197"/>
      <c r="O841" s="197"/>
      <c r="P841" s="197"/>
      <c r="Q841" s="197"/>
      <c r="R841" s="197"/>
      <c r="S841" s="197"/>
      <c r="T841" s="197"/>
      <c r="U841" s="197"/>
      <c r="V841" s="197"/>
      <c r="W841" s="197"/>
      <c r="X841" s="197"/>
      <c r="Y841" s="197"/>
      <c r="Z841" s="197"/>
    </row>
    <row r="842" ht="61.5" customHeight="1">
      <c r="A842" s="197"/>
      <c r="B842" s="197"/>
      <c r="C842" s="197"/>
      <c r="D842" s="197"/>
      <c r="E842" s="197"/>
      <c r="F842" s="197"/>
      <c r="G842" s="197"/>
      <c r="H842" s="197"/>
      <c r="I842" s="197"/>
      <c r="J842" s="197"/>
      <c r="K842" s="197"/>
      <c r="L842" s="197"/>
      <c r="M842" s="197"/>
      <c r="N842" s="197"/>
      <c r="O842" s="197"/>
      <c r="P842" s="197"/>
      <c r="Q842" s="197"/>
      <c r="R842" s="197"/>
      <c r="S842" s="197"/>
      <c r="T842" s="197"/>
      <c r="U842" s="197"/>
      <c r="V842" s="197"/>
      <c r="W842" s="197"/>
      <c r="X842" s="197"/>
      <c r="Y842" s="197"/>
      <c r="Z842" s="197"/>
    </row>
    <row r="843" ht="61.5" customHeight="1">
      <c r="A843" s="197"/>
      <c r="B843" s="197"/>
      <c r="C843" s="197"/>
      <c r="D843" s="197"/>
      <c r="E843" s="197"/>
      <c r="F843" s="197"/>
      <c r="G843" s="197"/>
      <c r="H843" s="197"/>
      <c r="I843" s="197"/>
      <c r="J843" s="197"/>
      <c r="K843" s="197"/>
      <c r="L843" s="197"/>
      <c r="M843" s="197"/>
      <c r="N843" s="197"/>
      <c r="O843" s="197"/>
      <c r="P843" s="197"/>
      <c r="Q843" s="197"/>
      <c r="R843" s="197"/>
      <c r="S843" s="197"/>
      <c r="T843" s="197"/>
      <c r="U843" s="197"/>
      <c r="V843" s="197"/>
      <c r="W843" s="197"/>
      <c r="X843" s="197"/>
      <c r="Y843" s="197"/>
      <c r="Z843" s="197"/>
    </row>
    <row r="844" ht="61.5" customHeight="1">
      <c r="A844" s="197"/>
      <c r="B844" s="197"/>
      <c r="C844" s="197"/>
      <c r="D844" s="197"/>
      <c r="E844" s="197"/>
      <c r="F844" s="197"/>
      <c r="G844" s="197"/>
      <c r="H844" s="197"/>
      <c r="I844" s="197"/>
      <c r="J844" s="197"/>
      <c r="K844" s="197"/>
      <c r="L844" s="197"/>
      <c r="M844" s="197"/>
      <c r="N844" s="197"/>
      <c r="O844" s="197"/>
      <c r="P844" s="197"/>
      <c r="Q844" s="197"/>
      <c r="R844" s="197"/>
      <c r="S844" s="197"/>
      <c r="T844" s="197"/>
      <c r="U844" s="197"/>
      <c r="V844" s="197"/>
      <c r="W844" s="197"/>
      <c r="X844" s="197"/>
      <c r="Y844" s="197"/>
      <c r="Z844" s="197"/>
    </row>
    <row r="845" ht="61.5" customHeight="1">
      <c r="A845" s="197"/>
      <c r="B845" s="197"/>
      <c r="C845" s="197"/>
      <c r="D845" s="197"/>
      <c r="E845" s="197"/>
      <c r="F845" s="197"/>
      <c r="G845" s="197"/>
      <c r="H845" s="197"/>
      <c r="I845" s="197"/>
      <c r="J845" s="197"/>
      <c r="K845" s="197"/>
      <c r="L845" s="197"/>
      <c r="M845" s="197"/>
      <c r="N845" s="197"/>
      <c r="O845" s="197"/>
      <c r="P845" s="197"/>
      <c r="Q845" s="197"/>
      <c r="R845" s="197"/>
      <c r="S845" s="197"/>
      <c r="T845" s="197"/>
      <c r="U845" s="197"/>
      <c r="V845" s="197"/>
      <c r="W845" s="197"/>
      <c r="X845" s="197"/>
      <c r="Y845" s="197"/>
      <c r="Z845" s="197"/>
    </row>
    <row r="846" ht="61.5" customHeight="1">
      <c r="A846" s="197"/>
      <c r="B846" s="197"/>
      <c r="C846" s="197"/>
      <c r="D846" s="197"/>
      <c r="E846" s="197"/>
      <c r="F846" s="197"/>
      <c r="G846" s="197"/>
      <c r="H846" s="197"/>
      <c r="I846" s="197"/>
      <c r="J846" s="197"/>
      <c r="K846" s="197"/>
      <c r="L846" s="197"/>
      <c r="M846" s="197"/>
      <c r="N846" s="197"/>
      <c r="O846" s="197"/>
      <c r="P846" s="197"/>
      <c r="Q846" s="197"/>
      <c r="R846" s="197"/>
      <c r="S846" s="197"/>
      <c r="T846" s="197"/>
      <c r="U846" s="197"/>
      <c r="V846" s="197"/>
      <c r="W846" s="197"/>
      <c r="X846" s="197"/>
      <c r="Y846" s="197"/>
      <c r="Z846" s="197"/>
    </row>
    <row r="847" ht="61.5" customHeight="1">
      <c r="A847" s="197"/>
      <c r="B847" s="197"/>
      <c r="C847" s="197"/>
      <c r="D847" s="197"/>
      <c r="E847" s="197"/>
      <c r="F847" s="197"/>
      <c r="G847" s="197"/>
      <c r="H847" s="197"/>
      <c r="I847" s="197"/>
      <c r="J847" s="197"/>
      <c r="K847" s="197"/>
      <c r="L847" s="197"/>
      <c r="M847" s="197"/>
      <c r="N847" s="197"/>
      <c r="O847" s="197"/>
      <c r="P847" s="197"/>
      <c r="Q847" s="197"/>
      <c r="R847" s="197"/>
      <c r="S847" s="197"/>
      <c r="T847" s="197"/>
      <c r="U847" s="197"/>
      <c r="V847" s="197"/>
      <c r="W847" s="197"/>
      <c r="X847" s="197"/>
      <c r="Y847" s="197"/>
      <c r="Z847" s="197"/>
    </row>
    <row r="848" ht="61.5" customHeight="1">
      <c r="A848" s="197"/>
      <c r="B848" s="197"/>
      <c r="C848" s="197"/>
      <c r="D848" s="197"/>
      <c r="E848" s="197"/>
      <c r="F848" s="197"/>
      <c r="G848" s="197"/>
      <c r="H848" s="197"/>
      <c r="I848" s="197"/>
      <c r="J848" s="197"/>
      <c r="K848" s="197"/>
      <c r="L848" s="197"/>
      <c r="M848" s="197"/>
      <c r="N848" s="197"/>
      <c r="O848" s="197"/>
      <c r="P848" s="197"/>
      <c r="Q848" s="197"/>
      <c r="R848" s="197"/>
      <c r="S848" s="197"/>
      <c r="T848" s="197"/>
      <c r="U848" s="197"/>
      <c r="V848" s="197"/>
      <c r="W848" s="197"/>
      <c r="X848" s="197"/>
      <c r="Y848" s="197"/>
      <c r="Z848" s="197"/>
    </row>
    <row r="849" ht="61.5" customHeight="1">
      <c r="A849" s="197"/>
      <c r="B849" s="197"/>
      <c r="C849" s="197"/>
      <c r="D849" s="197"/>
      <c r="E849" s="197"/>
      <c r="F849" s="197"/>
      <c r="G849" s="197"/>
      <c r="H849" s="197"/>
      <c r="I849" s="197"/>
      <c r="J849" s="197"/>
      <c r="K849" s="197"/>
      <c r="L849" s="197"/>
      <c r="M849" s="197"/>
      <c r="N849" s="197"/>
      <c r="O849" s="197"/>
      <c r="P849" s="197"/>
      <c r="Q849" s="197"/>
      <c r="R849" s="197"/>
      <c r="S849" s="197"/>
      <c r="T849" s="197"/>
      <c r="U849" s="197"/>
      <c r="V849" s="197"/>
      <c r="W849" s="197"/>
      <c r="X849" s="197"/>
      <c r="Y849" s="197"/>
      <c r="Z849" s="197"/>
    </row>
    <row r="850" ht="61.5" customHeight="1">
      <c r="A850" s="197"/>
      <c r="B850" s="197"/>
      <c r="C850" s="197"/>
      <c r="D850" s="197"/>
      <c r="E850" s="197"/>
      <c r="F850" s="197"/>
      <c r="G850" s="197"/>
      <c r="H850" s="197"/>
      <c r="I850" s="197"/>
      <c r="J850" s="197"/>
      <c r="K850" s="197"/>
      <c r="L850" s="197"/>
      <c r="M850" s="197"/>
      <c r="N850" s="197"/>
      <c r="O850" s="197"/>
      <c r="P850" s="197"/>
      <c r="Q850" s="197"/>
      <c r="R850" s="197"/>
      <c r="S850" s="197"/>
      <c r="T850" s="197"/>
      <c r="U850" s="197"/>
      <c r="V850" s="197"/>
      <c r="W850" s="197"/>
      <c r="X850" s="197"/>
      <c r="Y850" s="197"/>
      <c r="Z850" s="197"/>
    </row>
    <row r="851" ht="61.5" customHeight="1">
      <c r="A851" s="197"/>
      <c r="B851" s="197"/>
      <c r="C851" s="197"/>
      <c r="D851" s="197"/>
      <c r="E851" s="197"/>
      <c r="F851" s="197"/>
      <c r="G851" s="197"/>
      <c r="H851" s="197"/>
      <c r="I851" s="197"/>
      <c r="J851" s="197"/>
      <c r="K851" s="197"/>
      <c r="L851" s="197"/>
      <c r="M851" s="197"/>
      <c r="N851" s="197"/>
      <c r="O851" s="197"/>
      <c r="P851" s="197"/>
      <c r="Q851" s="197"/>
      <c r="R851" s="197"/>
      <c r="S851" s="197"/>
      <c r="T851" s="197"/>
      <c r="U851" s="197"/>
      <c r="V851" s="197"/>
      <c r="W851" s="197"/>
      <c r="X851" s="197"/>
      <c r="Y851" s="197"/>
      <c r="Z851" s="197"/>
    </row>
    <row r="852" ht="61.5" customHeight="1">
      <c r="A852" s="197"/>
      <c r="B852" s="197"/>
      <c r="C852" s="197"/>
      <c r="D852" s="197"/>
      <c r="E852" s="197"/>
      <c r="F852" s="197"/>
      <c r="G852" s="197"/>
      <c r="H852" s="197"/>
      <c r="I852" s="197"/>
      <c r="J852" s="197"/>
      <c r="K852" s="197"/>
      <c r="L852" s="197"/>
      <c r="M852" s="197"/>
      <c r="N852" s="197"/>
      <c r="O852" s="197"/>
      <c r="P852" s="197"/>
      <c r="Q852" s="197"/>
      <c r="R852" s="197"/>
      <c r="S852" s="197"/>
      <c r="T852" s="197"/>
      <c r="U852" s="197"/>
      <c r="V852" s="197"/>
      <c r="W852" s="197"/>
      <c r="X852" s="197"/>
      <c r="Y852" s="197"/>
      <c r="Z852" s="197"/>
    </row>
    <row r="853" ht="61.5" customHeight="1">
      <c r="A853" s="197"/>
      <c r="B853" s="197"/>
      <c r="C853" s="197"/>
      <c r="D853" s="197"/>
      <c r="E853" s="197"/>
      <c r="F853" s="197"/>
      <c r="G853" s="197"/>
      <c r="H853" s="197"/>
      <c r="I853" s="197"/>
      <c r="J853" s="197"/>
      <c r="K853" s="197"/>
      <c r="L853" s="197"/>
      <c r="M853" s="197"/>
      <c r="N853" s="197"/>
      <c r="O853" s="197"/>
      <c r="P853" s="197"/>
      <c r="Q853" s="197"/>
      <c r="R853" s="197"/>
      <c r="S853" s="197"/>
      <c r="T853" s="197"/>
      <c r="U853" s="197"/>
      <c r="V853" s="197"/>
      <c r="W853" s="197"/>
      <c r="X853" s="197"/>
      <c r="Y853" s="197"/>
      <c r="Z853" s="197"/>
    </row>
    <row r="854" ht="61.5" customHeight="1">
      <c r="A854" s="197"/>
      <c r="B854" s="197"/>
      <c r="C854" s="197"/>
      <c r="D854" s="197"/>
      <c r="E854" s="197"/>
      <c r="F854" s="197"/>
      <c r="G854" s="197"/>
      <c r="H854" s="197"/>
      <c r="I854" s="197"/>
      <c r="J854" s="197"/>
      <c r="K854" s="197"/>
      <c r="L854" s="197"/>
      <c r="M854" s="197"/>
      <c r="N854" s="197"/>
      <c r="O854" s="197"/>
      <c r="P854" s="197"/>
      <c r="Q854" s="197"/>
      <c r="R854" s="197"/>
      <c r="S854" s="197"/>
      <c r="T854" s="197"/>
      <c r="U854" s="197"/>
      <c r="V854" s="197"/>
      <c r="W854" s="197"/>
      <c r="X854" s="197"/>
      <c r="Y854" s="197"/>
      <c r="Z854" s="197"/>
    </row>
    <row r="855" ht="61.5" customHeight="1">
      <c r="A855" s="197"/>
      <c r="B855" s="197"/>
      <c r="C855" s="197"/>
      <c r="D855" s="197"/>
      <c r="E855" s="197"/>
      <c r="F855" s="197"/>
      <c r="G855" s="197"/>
      <c r="H855" s="197"/>
      <c r="I855" s="197"/>
      <c r="J855" s="197"/>
      <c r="K855" s="197"/>
      <c r="L855" s="197"/>
      <c r="M855" s="197"/>
      <c r="N855" s="197"/>
      <c r="O855" s="197"/>
      <c r="P855" s="197"/>
      <c r="Q855" s="197"/>
      <c r="R855" s="197"/>
      <c r="S855" s="197"/>
      <c r="T855" s="197"/>
      <c r="U855" s="197"/>
      <c r="V855" s="197"/>
      <c r="W855" s="197"/>
      <c r="X855" s="197"/>
      <c r="Y855" s="197"/>
      <c r="Z855" s="197"/>
    </row>
    <row r="856" ht="61.5" customHeight="1">
      <c r="A856" s="197"/>
      <c r="B856" s="197"/>
      <c r="C856" s="197"/>
      <c r="D856" s="197"/>
      <c r="E856" s="197"/>
      <c r="F856" s="197"/>
      <c r="G856" s="197"/>
      <c r="H856" s="197"/>
      <c r="I856" s="197"/>
      <c r="J856" s="197"/>
      <c r="K856" s="197"/>
      <c r="L856" s="197"/>
      <c r="M856" s="197"/>
      <c r="N856" s="197"/>
      <c r="O856" s="197"/>
      <c r="P856" s="197"/>
      <c r="Q856" s="197"/>
      <c r="R856" s="197"/>
      <c r="S856" s="197"/>
      <c r="T856" s="197"/>
      <c r="U856" s="197"/>
      <c r="V856" s="197"/>
      <c r="W856" s="197"/>
      <c r="X856" s="197"/>
      <c r="Y856" s="197"/>
      <c r="Z856" s="197"/>
    </row>
    <row r="857" ht="61.5" customHeight="1">
      <c r="A857" s="197"/>
      <c r="B857" s="197"/>
      <c r="C857" s="197"/>
      <c r="D857" s="197"/>
      <c r="E857" s="197"/>
      <c r="F857" s="197"/>
      <c r="G857" s="197"/>
      <c r="H857" s="197"/>
      <c r="I857" s="197"/>
      <c r="J857" s="197"/>
      <c r="K857" s="197"/>
      <c r="L857" s="197"/>
      <c r="M857" s="197"/>
      <c r="N857" s="197"/>
      <c r="O857" s="197"/>
      <c r="P857" s="197"/>
      <c r="Q857" s="197"/>
      <c r="R857" s="197"/>
      <c r="S857" s="197"/>
      <c r="T857" s="197"/>
      <c r="U857" s="197"/>
      <c r="V857" s="197"/>
      <c r="W857" s="197"/>
      <c r="X857" s="197"/>
      <c r="Y857" s="197"/>
      <c r="Z857" s="197"/>
    </row>
    <row r="858" ht="61.5" customHeight="1">
      <c r="A858" s="197"/>
      <c r="B858" s="197"/>
      <c r="C858" s="197"/>
      <c r="D858" s="197"/>
      <c r="E858" s="197"/>
      <c r="F858" s="197"/>
      <c r="G858" s="197"/>
      <c r="H858" s="197"/>
      <c r="I858" s="197"/>
      <c r="J858" s="197"/>
      <c r="K858" s="197"/>
      <c r="L858" s="197"/>
      <c r="M858" s="197"/>
      <c r="N858" s="197"/>
      <c r="O858" s="197"/>
      <c r="P858" s="197"/>
      <c r="Q858" s="197"/>
      <c r="R858" s="197"/>
      <c r="S858" s="197"/>
      <c r="T858" s="197"/>
      <c r="U858" s="197"/>
      <c r="V858" s="197"/>
      <c r="W858" s="197"/>
      <c r="X858" s="197"/>
      <c r="Y858" s="197"/>
      <c r="Z858" s="197"/>
    </row>
    <row r="859" ht="61.5" customHeight="1">
      <c r="A859" s="197"/>
      <c r="B859" s="197"/>
      <c r="C859" s="197"/>
      <c r="D859" s="197"/>
      <c r="E859" s="197"/>
      <c r="F859" s="197"/>
      <c r="G859" s="197"/>
      <c r="H859" s="197"/>
      <c r="I859" s="197"/>
      <c r="J859" s="197"/>
      <c r="K859" s="197"/>
      <c r="L859" s="197"/>
      <c r="M859" s="197"/>
      <c r="N859" s="197"/>
      <c r="O859" s="197"/>
      <c r="P859" s="197"/>
      <c r="Q859" s="197"/>
      <c r="R859" s="197"/>
      <c r="S859" s="197"/>
      <c r="T859" s="197"/>
      <c r="U859" s="197"/>
      <c r="V859" s="197"/>
      <c r="W859" s="197"/>
      <c r="X859" s="197"/>
      <c r="Y859" s="197"/>
      <c r="Z859" s="197"/>
    </row>
    <row r="860" ht="61.5" customHeight="1">
      <c r="A860" s="197"/>
      <c r="B860" s="197"/>
      <c r="C860" s="197"/>
      <c r="D860" s="197"/>
      <c r="E860" s="197"/>
      <c r="F860" s="197"/>
      <c r="G860" s="197"/>
      <c r="H860" s="197"/>
      <c r="I860" s="197"/>
      <c r="J860" s="197"/>
      <c r="K860" s="197"/>
      <c r="L860" s="197"/>
      <c r="M860" s="197"/>
      <c r="N860" s="197"/>
      <c r="O860" s="197"/>
      <c r="P860" s="197"/>
      <c r="Q860" s="197"/>
      <c r="R860" s="197"/>
      <c r="S860" s="197"/>
      <c r="T860" s="197"/>
      <c r="U860" s="197"/>
      <c r="V860" s="197"/>
      <c r="W860" s="197"/>
      <c r="X860" s="197"/>
      <c r="Y860" s="197"/>
      <c r="Z860" s="197"/>
    </row>
    <row r="861" ht="61.5" customHeight="1">
      <c r="A861" s="197"/>
      <c r="B861" s="197"/>
      <c r="C861" s="197"/>
      <c r="D861" s="197"/>
      <c r="E861" s="197"/>
      <c r="F861" s="197"/>
      <c r="G861" s="197"/>
      <c r="H861" s="197"/>
      <c r="I861" s="197"/>
      <c r="J861" s="197"/>
      <c r="K861" s="197"/>
      <c r="L861" s="197"/>
      <c r="M861" s="197"/>
      <c r="N861" s="197"/>
      <c r="O861" s="197"/>
      <c r="P861" s="197"/>
      <c r="Q861" s="197"/>
      <c r="R861" s="197"/>
      <c r="S861" s="197"/>
      <c r="T861" s="197"/>
      <c r="U861" s="197"/>
      <c r="V861" s="197"/>
      <c r="W861" s="197"/>
      <c r="X861" s="197"/>
      <c r="Y861" s="197"/>
      <c r="Z861" s="197"/>
    </row>
    <row r="862" ht="61.5" customHeight="1">
      <c r="A862" s="197"/>
      <c r="B862" s="197"/>
      <c r="C862" s="197"/>
      <c r="D862" s="197"/>
      <c r="E862" s="197"/>
      <c r="F862" s="197"/>
      <c r="G862" s="197"/>
      <c r="H862" s="197"/>
      <c r="I862" s="197"/>
      <c r="J862" s="197"/>
      <c r="K862" s="197"/>
      <c r="L862" s="197"/>
      <c r="M862" s="197"/>
      <c r="N862" s="197"/>
      <c r="O862" s="197"/>
      <c r="P862" s="197"/>
      <c r="Q862" s="197"/>
      <c r="R862" s="197"/>
      <c r="S862" s="197"/>
      <c r="T862" s="197"/>
      <c r="U862" s="197"/>
      <c r="V862" s="197"/>
      <c r="W862" s="197"/>
      <c r="X862" s="197"/>
      <c r="Y862" s="197"/>
      <c r="Z862" s="197"/>
    </row>
    <row r="863" ht="61.5" customHeight="1">
      <c r="A863" s="197"/>
      <c r="B863" s="197"/>
      <c r="C863" s="197"/>
      <c r="D863" s="197"/>
      <c r="E863" s="197"/>
      <c r="F863" s="197"/>
      <c r="G863" s="197"/>
      <c r="H863" s="197"/>
      <c r="I863" s="197"/>
      <c r="J863" s="197"/>
      <c r="K863" s="197"/>
      <c r="L863" s="197"/>
      <c r="M863" s="197"/>
      <c r="N863" s="197"/>
      <c r="O863" s="197"/>
      <c r="P863" s="197"/>
      <c r="Q863" s="197"/>
      <c r="R863" s="197"/>
      <c r="S863" s="197"/>
      <c r="T863" s="197"/>
      <c r="U863" s="197"/>
      <c r="V863" s="197"/>
      <c r="W863" s="197"/>
      <c r="X863" s="197"/>
      <c r="Y863" s="197"/>
      <c r="Z863" s="197"/>
    </row>
    <row r="864" ht="61.5" customHeight="1">
      <c r="A864" s="197"/>
      <c r="B864" s="197"/>
      <c r="C864" s="197"/>
      <c r="D864" s="197"/>
      <c r="E864" s="197"/>
      <c r="F864" s="197"/>
      <c r="G864" s="197"/>
      <c r="H864" s="197"/>
      <c r="I864" s="197"/>
      <c r="J864" s="197"/>
      <c r="K864" s="197"/>
      <c r="L864" s="197"/>
      <c r="M864" s="197"/>
      <c r="N864" s="197"/>
      <c r="O864" s="197"/>
      <c r="P864" s="197"/>
      <c r="Q864" s="197"/>
      <c r="R864" s="197"/>
      <c r="S864" s="197"/>
      <c r="T864" s="197"/>
      <c r="U864" s="197"/>
      <c r="V864" s="197"/>
      <c r="W864" s="197"/>
      <c r="X864" s="197"/>
      <c r="Y864" s="197"/>
      <c r="Z864" s="197"/>
    </row>
    <row r="865" ht="61.5" customHeight="1">
      <c r="A865" s="197"/>
      <c r="B865" s="197"/>
      <c r="C865" s="197"/>
      <c r="D865" s="197"/>
      <c r="E865" s="197"/>
      <c r="F865" s="197"/>
      <c r="G865" s="197"/>
      <c r="H865" s="197"/>
      <c r="I865" s="197"/>
      <c r="J865" s="197"/>
      <c r="K865" s="197"/>
      <c r="L865" s="197"/>
      <c r="M865" s="197"/>
      <c r="N865" s="197"/>
      <c r="O865" s="197"/>
      <c r="P865" s="197"/>
      <c r="Q865" s="197"/>
      <c r="R865" s="197"/>
      <c r="S865" s="197"/>
      <c r="T865" s="197"/>
      <c r="U865" s="197"/>
      <c r="V865" s="197"/>
      <c r="W865" s="197"/>
      <c r="X865" s="197"/>
      <c r="Y865" s="197"/>
      <c r="Z865" s="197"/>
    </row>
    <row r="866" ht="61.5" customHeight="1">
      <c r="A866" s="197"/>
      <c r="B866" s="197"/>
      <c r="C866" s="197"/>
      <c r="D866" s="197"/>
      <c r="E866" s="197"/>
      <c r="F866" s="197"/>
      <c r="G866" s="197"/>
      <c r="H866" s="197"/>
      <c r="I866" s="197"/>
      <c r="J866" s="197"/>
      <c r="K866" s="197"/>
      <c r="L866" s="197"/>
      <c r="M866" s="197"/>
      <c r="N866" s="197"/>
      <c r="O866" s="197"/>
      <c r="P866" s="197"/>
      <c r="Q866" s="197"/>
      <c r="R866" s="197"/>
      <c r="S866" s="197"/>
      <c r="T866" s="197"/>
      <c r="U866" s="197"/>
      <c r="V866" s="197"/>
      <c r="W866" s="197"/>
      <c r="X866" s="197"/>
      <c r="Y866" s="197"/>
      <c r="Z866" s="197"/>
    </row>
    <row r="867" ht="61.5" customHeight="1">
      <c r="A867" s="197"/>
      <c r="B867" s="197"/>
      <c r="C867" s="197"/>
      <c r="D867" s="197"/>
      <c r="E867" s="197"/>
      <c r="F867" s="197"/>
      <c r="G867" s="197"/>
      <c r="H867" s="197"/>
      <c r="I867" s="197"/>
      <c r="J867" s="197"/>
      <c r="K867" s="197"/>
      <c r="L867" s="197"/>
      <c r="M867" s="197"/>
      <c r="N867" s="197"/>
      <c r="O867" s="197"/>
      <c r="P867" s="197"/>
      <c r="Q867" s="197"/>
      <c r="R867" s="197"/>
      <c r="S867" s="197"/>
      <c r="T867" s="197"/>
      <c r="U867" s="197"/>
      <c r="V867" s="197"/>
      <c r="W867" s="197"/>
      <c r="X867" s="197"/>
      <c r="Y867" s="197"/>
      <c r="Z867" s="197"/>
    </row>
    <row r="868" ht="61.5" customHeight="1">
      <c r="A868" s="197"/>
      <c r="B868" s="197"/>
      <c r="C868" s="197"/>
      <c r="D868" s="197"/>
      <c r="E868" s="197"/>
      <c r="F868" s="197"/>
      <c r="G868" s="197"/>
      <c r="H868" s="197"/>
      <c r="I868" s="197"/>
      <c r="J868" s="197"/>
      <c r="K868" s="197"/>
      <c r="L868" s="197"/>
      <c r="M868" s="197"/>
      <c r="N868" s="197"/>
      <c r="O868" s="197"/>
      <c r="P868" s="197"/>
      <c r="Q868" s="197"/>
      <c r="R868" s="197"/>
      <c r="S868" s="197"/>
      <c r="T868" s="197"/>
      <c r="U868" s="197"/>
      <c r="V868" s="197"/>
      <c r="W868" s="197"/>
      <c r="X868" s="197"/>
      <c r="Y868" s="197"/>
      <c r="Z868" s="197"/>
    </row>
    <row r="869" ht="61.5" customHeight="1">
      <c r="A869" s="197"/>
      <c r="B869" s="197"/>
      <c r="C869" s="197"/>
      <c r="D869" s="197"/>
      <c r="E869" s="197"/>
      <c r="F869" s="197"/>
      <c r="G869" s="197"/>
      <c r="H869" s="197"/>
      <c r="I869" s="197"/>
      <c r="J869" s="197"/>
      <c r="K869" s="197"/>
      <c r="L869" s="197"/>
      <c r="M869" s="197"/>
      <c r="N869" s="197"/>
      <c r="O869" s="197"/>
      <c r="P869" s="197"/>
      <c r="Q869" s="197"/>
      <c r="R869" s="197"/>
      <c r="S869" s="197"/>
      <c r="T869" s="197"/>
      <c r="U869" s="197"/>
      <c r="V869" s="197"/>
      <c r="W869" s="197"/>
      <c r="X869" s="197"/>
      <c r="Y869" s="197"/>
      <c r="Z869" s="197"/>
    </row>
    <row r="870" ht="61.5" customHeight="1">
      <c r="A870" s="197"/>
      <c r="B870" s="197"/>
      <c r="C870" s="197"/>
      <c r="D870" s="197"/>
      <c r="E870" s="197"/>
      <c r="F870" s="197"/>
      <c r="G870" s="197"/>
      <c r="H870" s="197"/>
      <c r="I870" s="197"/>
      <c r="J870" s="197"/>
      <c r="K870" s="197"/>
      <c r="L870" s="197"/>
      <c r="M870" s="197"/>
      <c r="N870" s="197"/>
      <c r="O870" s="197"/>
      <c r="P870" s="197"/>
      <c r="Q870" s="197"/>
      <c r="R870" s="197"/>
      <c r="S870" s="197"/>
      <c r="T870" s="197"/>
      <c r="U870" s="197"/>
      <c r="V870" s="197"/>
      <c r="W870" s="197"/>
      <c r="X870" s="197"/>
      <c r="Y870" s="197"/>
      <c r="Z870" s="197"/>
    </row>
    <row r="871" ht="61.5" customHeight="1">
      <c r="A871" s="197"/>
      <c r="B871" s="197"/>
      <c r="C871" s="197"/>
      <c r="D871" s="197"/>
      <c r="E871" s="197"/>
      <c r="F871" s="197"/>
      <c r="G871" s="197"/>
      <c r="H871" s="197"/>
      <c r="I871" s="197"/>
      <c r="J871" s="197"/>
      <c r="K871" s="197"/>
      <c r="L871" s="197"/>
      <c r="M871" s="197"/>
      <c r="N871" s="197"/>
      <c r="O871" s="197"/>
      <c r="P871" s="197"/>
      <c r="Q871" s="197"/>
      <c r="R871" s="197"/>
      <c r="S871" s="197"/>
      <c r="T871" s="197"/>
      <c r="U871" s="197"/>
      <c r="V871" s="197"/>
      <c r="W871" s="197"/>
      <c r="X871" s="197"/>
      <c r="Y871" s="197"/>
      <c r="Z871" s="197"/>
    </row>
    <row r="872" ht="61.5" customHeight="1">
      <c r="A872" s="197"/>
      <c r="B872" s="197"/>
      <c r="C872" s="197"/>
      <c r="D872" s="197"/>
      <c r="E872" s="197"/>
      <c r="F872" s="197"/>
      <c r="G872" s="197"/>
      <c r="H872" s="197"/>
      <c r="I872" s="197"/>
      <c r="J872" s="197"/>
      <c r="K872" s="197"/>
      <c r="L872" s="197"/>
      <c r="M872" s="197"/>
      <c r="N872" s="197"/>
      <c r="O872" s="197"/>
      <c r="P872" s="197"/>
      <c r="Q872" s="197"/>
      <c r="R872" s="197"/>
      <c r="S872" s="197"/>
      <c r="T872" s="197"/>
      <c r="U872" s="197"/>
      <c r="V872" s="197"/>
      <c r="W872" s="197"/>
      <c r="X872" s="197"/>
      <c r="Y872" s="197"/>
      <c r="Z872" s="197"/>
    </row>
    <row r="873" ht="61.5" customHeight="1">
      <c r="A873" s="197"/>
      <c r="B873" s="197"/>
      <c r="C873" s="197"/>
      <c r="D873" s="197"/>
      <c r="E873" s="197"/>
      <c r="F873" s="197"/>
      <c r="G873" s="197"/>
      <c r="H873" s="197"/>
      <c r="I873" s="197"/>
      <c r="J873" s="197"/>
      <c r="K873" s="197"/>
      <c r="L873" s="197"/>
      <c r="M873" s="197"/>
      <c r="N873" s="197"/>
      <c r="O873" s="197"/>
      <c r="P873" s="197"/>
      <c r="Q873" s="197"/>
      <c r="R873" s="197"/>
      <c r="S873" s="197"/>
      <c r="T873" s="197"/>
      <c r="U873" s="197"/>
      <c r="V873" s="197"/>
      <c r="W873" s="197"/>
      <c r="X873" s="197"/>
      <c r="Y873" s="197"/>
      <c r="Z873" s="197"/>
    </row>
    <row r="874" ht="61.5" customHeight="1">
      <c r="A874" s="197"/>
      <c r="B874" s="197"/>
      <c r="C874" s="197"/>
      <c r="D874" s="197"/>
      <c r="E874" s="197"/>
      <c r="F874" s="197"/>
      <c r="G874" s="197"/>
      <c r="H874" s="197"/>
      <c r="I874" s="197"/>
      <c r="J874" s="197"/>
      <c r="K874" s="197"/>
      <c r="L874" s="197"/>
      <c r="M874" s="197"/>
      <c r="N874" s="197"/>
      <c r="O874" s="197"/>
      <c r="P874" s="197"/>
      <c r="Q874" s="197"/>
      <c r="R874" s="197"/>
      <c r="S874" s="197"/>
      <c r="T874" s="197"/>
      <c r="U874" s="197"/>
      <c r="V874" s="197"/>
      <c r="W874" s="197"/>
      <c r="X874" s="197"/>
      <c r="Y874" s="197"/>
      <c r="Z874" s="197"/>
    </row>
    <row r="875" ht="61.5" customHeight="1">
      <c r="A875" s="197"/>
      <c r="B875" s="197"/>
      <c r="C875" s="197"/>
      <c r="D875" s="197"/>
      <c r="E875" s="197"/>
      <c r="F875" s="197"/>
      <c r="G875" s="197"/>
      <c r="H875" s="197"/>
      <c r="I875" s="197"/>
      <c r="J875" s="197"/>
      <c r="K875" s="197"/>
      <c r="L875" s="197"/>
      <c r="M875" s="197"/>
      <c r="N875" s="197"/>
      <c r="O875" s="197"/>
      <c r="P875" s="197"/>
      <c r="Q875" s="197"/>
      <c r="R875" s="197"/>
      <c r="S875" s="197"/>
      <c r="T875" s="197"/>
      <c r="U875" s="197"/>
      <c r="V875" s="197"/>
      <c r="W875" s="197"/>
      <c r="X875" s="197"/>
      <c r="Y875" s="197"/>
      <c r="Z875" s="197"/>
    </row>
    <row r="876" ht="61.5" customHeight="1">
      <c r="A876" s="197"/>
      <c r="B876" s="197"/>
      <c r="C876" s="197"/>
      <c r="D876" s="197"/>
      <c r="E876" s="197"/>
      <c r="F876" s="197"/>
      <c r="G876" s="197"/>
      <c r="H876" s="197"/>
      <c r="I876" s="197"/>
      <c r="J876" s="197"/>
      <c r="K876" s="197"/>
      <c r="L876" s="197"/>
      <c r="M876" s="197"/>
      <c r="N876" s="197"/>
      <c r="O876" s="197"/>
      <c r="P876" s="197"/>
      <c r="Q876" s="197"/>
      <c r="R876" s="197"/>
      <c r="S876" s="197"/>
      <c r="T876" s="197"/>
      <c r="U876" s="197"/>
      <c r="V876" s="197"/>
      <c r="W876" s="197"/>
      <c r="X876" s="197"/>
      <c r="Y876" s="197"/>
      <c r="Z876" s="197"/>
    </row>
    <row r="877" ht="61.5" customHeight="1">
      <c r="A877" s="197"/>
      <c r="B877" s="197"/>
      <c r="C877" s="197"/>
      <c r="D877" s="197"/>
      <c r="E877" s="197"/>
      <c r="F877" s="197"/>
      <c r="G877" s="197"/>
      <c r="H877" s="197"/>
      <c r="I877" s="197"/>
      <c r="J877" s="197"/>
      <c r="K877" s="197"/>
      <c r="L877" s="197"/>
      <c r="M877" s="197"/>
      <c r="N877" s="197"/>
      <c r="O877" s="197"/>
      <c r="P877" s="197"/>
      <c r="Q877" s="197"/>
      <c r="R877" s="197"/>
      <c r="S877" s="197"/>
      <c r="T877" s="197"/>
      <c r="U877" s="197"/>
      <c r="V877" s="197"/>
      <c r="W877" s="197"/>
      <c r="X877" s="197"/>
      <c r="Y877" s="197"/>
      <c r="Z877" s="197"/>
    </row>
    <row r="878" ht="61.5" customHeight="1">
      <c r="A878" s="197"/>
      <c r="B878" s="197"/>
      <c r="C878" s="197"/>
      <c r="D878" s="197"/>
      <c r="E878" s="197"/>
      <c r="F878" s="197"/>
      <c r="G878" s="197"/>
      <c r="H878" s="197"/>
      <c r="I878" s="197"/>
      <c r="J878" s="197"/>
      <c r="K878" s="197"/>
      <c r="L878" s="197"/>
      <c r="M878" s="197"/>
      <c r="N878" s="197"/>
      <c r="O878" s="197"/>
      <c r="P878" s="197"/>
      <c r="Q878" s="197"/>
      <c r="R878" s="197"/>
      <c r="S878" s="197"/>
      <c r="T878" s="197"/>
      <c r="U878" s="197"/>
      <c r="V878" s="197"/>
      <c r="W878" s="197"/>
      <c r="X878" s="197"/>
      <c r="Y878" s="197"/>
      <c r="Z878" s="197"/>
    </row>
    <row r="879" ht="61.5" customHeight="1">
      <c r="A879" s="197"/>
      <c r="B879" s="197"/>
      <c r="C879" s="197"/>
      <c r="D879" s="197"/>
      <c r="E879" s="197"/>
      <c r="F879" s="197"/>
      <c r="G879" s="197"/>
      <c r="H879" s="197"/>
      <c r="I879" s="197"/>
      <c r="J879" s="197"/>
      <c r="K879" s="197"/>
      <c r="L879" s="197"/>
      <c r="M879" s="197"/>
      <c r="N879" s="197"/>
      <c r="O879" s="197"/>
      <c r="P879" s="197"/>
      <c r="Q879" s="197"/>
      <c r="R879" s="197"/>
      <c r="S879" s="197"/>
      <c r="T879" s="197"/>
      <c r="U879" s="197"/>
      <c r="V879" s="197"/>
      <c r="W879" s="197"/>
      <c r="X879" s="197"/>
      <c r="Y879" s="197"/>
      <c r="Z879" s="197"/>
    </row>
    <row r="880" ht="61.5" customHeight="1">
      <c r="A880" s="197"/>
      <c r="B880" s="197"/>
      <c r="C880" s="197"/>
      <c r="D880" s="197"/>
      <c r="E880" s="197"/>
      <c r="F880" s="197"/>
      <c r="G880" s="197"/>
      <c r="H880" s="197"/>
      <c r="I880" s="197"/>
      <c r="J880" s="197"/>
      <c r="K880" s="197"/>
      <c r="L880" s="197"/>
      <c r="M880" s="197"/>
      <c r="N880" s="197"/>
      <c r="O880" s="197"/>
      <c r="P880" s="197"/>
      <c r="Q880" s="197"/>
      <c r="R880" s="197"/>
      <c r="S880" s="197"/>
      <c r="T880" s="197"/>
      <c r="U880" s="197"/>
      <c r="V880" s="197"/>
      <c r="W880" s="197"/>
      <c r="X880" s="197"/>
      <c r="Y880" s="197"/>
      <c r="Z880" s="197"/>
    </row>
    <row r="881" ht="61.5" customHeight="1">
      <c r="A881" s="197"/>
      <c r="B881" s="197"/>
      <c r="C881" s="197"/>
      <c r="D881" s="197"/>
      <c r="E881" s="197"/>
      <c r="F881" s="197"/>
      <c r="G881" s="197"/>
      <c r="H881" s="197"/>
      <c r="I881" s="197"/>
      <c r="J881" s="197"/>
      <c r="K881" s="197"/>
      <c r="L881" s="197"/>
      <c r="M881" s="197"/>
      <c r="N881" s="197"/>
      <c r="O881" s="197"/>
      <c r="P881" s="197"/>
      <c r="Q881" s="197"/>
      <c r="R881" s="197"/>
      <c r="S881" s="197"/>
      <c r="T881" s="197"/>
      <c r="U881" s="197"/>
      <c r="V881" s="197"/>
      <c r="W881" s="197"/>
      <c r="X881" s="197"/>
      <c r="Y881" s="197"/>
      <c r="Z881" s="197"/>
    </row>
    <row r="882" ht="61.5" customHeight="1">
      <c r="A882" s="197"/>
      <c r="B882" s="197"/>
      <c r="C882" s="197"/>
      <c r="D882" s="197"/>
      <c r="E882" s="197"/>
      <c r="F882" s="197"/>
      <c r="G882" s="197"/>
      <c r="H882" s="197"/>
      <c r="I882" s="197"/>
      <c r="J882" s="197"/>
      <c r="K882" s="197"/>
      <c r="L882" s="197"/>
      <c r="M882" s="197"/>
      <c r="N882" s="197"/>
      <c r="O882" s="197"/>
      <c r="P882" s="197"/>
      <c r="Q882" s="197"/>
      <c r="R882" s="197"/>
      <c r="S882" s="197"/>
      <c r="T882" s="197"/>
      <c r="U882" s="197"/>
      <c r="V882" s="197"/>
      <c r="W882" s="197"/>
      <c r="X882" s="197"/>
      <c r="Y882" s="197"/>
      <c r="Z882" s="197"/>
    </row>
    <row r="883" ht="61.5" customHeight="1">
      <c r="A883" s="197"/>
      <c r="B883" s="197"/>
      <c r="C883" s="197"/>
      <c r="D883" s="197"/>
      <c r="E883" s="197"/>
      <c r="F883" s="197"/>
      <c r="G883" s="197"/>
      <c r="H883" s="197"/>
      <c r="I883" s="197"/>
      <c r="J883" s="197"/>
      <c r="K883" s="197"/>
      <c r="L883" s="197"/>
      <c r="M883" s="197"/>
      <c r="N883" s="197"/>
      <c r="O883" s="197"/>
      <c r="P883" s="197"/>
      <c r="Q883" s="197"/>
      <c r="R883" s="197"/>
      <c r="S883" s="197"/>
      <c r="T883" s="197"/>
      <c r="U883" s="197"/>
      <c r="V883" s="197"/>
      <c r="W883" s="197"/>
      <c r="X883" s="197"/>
      <c r="Y883" s="197"/>
      <c r="Z883" s="197"/>
    </row>
    <row r="884" ht="61.5" customHeight="1">
      <c r="A884" s="197"/>
      <c r="B884" s="197"/>
      <c r="C884" s="197"/>
      <c r="D884" s="197"/>
      <c r="E884" s="197"/>
      <c r="F884" s="197"/>
      <c r="G884" s="197"/>
      <c r="H884" s="197"/>
      <c r="I884" s="197"/>
      <c r="J884" s="197"/>
      <c r="K884" s="197"/>
      <c r="L884" s="197"/>
      <c r="M884" s="197"/>
      <c r="N884" s="197"/>
      <c r="O884" s="197"/>
      <c r="P884" s="197"/>
      <c r="Q884" s="197"/>
      <c r="R884" s="197"/>
      <c r="S884" s="197"/>
      <c r="T884" s="197"/>
      <c r="U884" s="197"/>
      <c r="V884" s="197"/>
      <c r="W884" s="197"/>
      <c r="X884" s="197"/>
      <c r="Y884" s="197"/>
      <c r="Z884" s="197"/>
    </row>
    <row r="885" ht="61.5" customHeight="1">
      <c r="A885" s="197"/>
      <c r="B885" s="197"/>
      <c r="C885" s="197"/>
      <c r="D885" s="197"/>
      <c r="E885" s="197"/>
      <c r="F885" s="197"/>
      <c r="G885" s="197"/>
      <c r="H885" s="197"/>
      <c r="I885" s="197"/>
      <c r="J885" s="197"/>
      <c r="K885" s="197"/>
      <c r="L885" s="197"/>
      <c r="M885" s="197"/>
      <c r="N885" s="197"/>
      <c r="O885" s="197"/>
      <c r="P885" s="197"/>
      <c r="Q885" s="197"/>
      <c r="R885" s="197"/>
      <c r="S885" s="197"/>
      <c r="T885" s="197"/>
      <c r="U885" s="197"/>
      <c r="V885" s="197"/>
      <c r="W885" s="197"/>
      <c r="X885" s="197"/>
      <c r="Y885" s="197"/>
      <c r="Z885" s="197"/>
    </row>
    <row r="886" ht="61.5" customHeight="1">
      <c r="A886" s="197"/>
      <c r="B886" s="197"/>
      <c r="C886" s="197"/>
      <c r="D886" s="197"/>
      <c r="E886" s="197"/>
      <c r="F886" s="197"/>
      <c r="G886" s="197"/>
      <c r="H886" s="197"/>
      <c r="I886" s="197"/>
      <c r="J886" s="197"/>
      <c r="K886" s="197"/>
      <c r="L886" s="197"/>
      <c r="M886" s="197"/>
      <c r="N886" s="197"/>
      <c r="O886" s="197"/>
      <c r="P886" s="197"/>
      <c r="Q886" s="197"/>
      <c r="R886" s="197"/>
      <c r="S886" s="197"/>
      <c r="T886" s="197"/>
      <c r="U886" s="197"/>
      <c r="V886" s="197"/>
      <c r="W886" s="197"/>
      <c r="X886" s="197"/>
      <c r="Y886" s="197"/>
      <c r="Z886" s="197"/>
    </row>
    <row r="887" ht="61.5" customHeight="1">
      <c r="A887" s="197"/>
      <c r="B887" s="197"/>
      <c r="C887" s="197"/>
      <c r="D887" s="197"/>
      <c r="E887" s="197"/>
      <c r="F887" s="197"/>
      <c r="G887" s="197"/>
      <c r="H887" s="197"/>
      <c r="I887" s="197"/>
      <c r="J887" s="197"/>
      <c r="K887" s="197"/>
      <c r="L887" s="197"/>
      <c r="M887" s="197"/>
      <c r="N887" s="197"/>
      <c r="O887" s="197"/>
      <c r="P887" s="197"/>
      <c r="Q887" s="197"/>
      <c r="R887" s="197"/>
      <c r="S887" s="197"/>
      <c r="T887" s="197"/>
      <c r="U887" s="197"/>
      <c r="V887" s="197"/>
      <c r="W887" s="197"/>
      <c r="X887" s="197"/>
      <c r="Y887" s="197"/>
      <c r="Z887" s="197"/>
    </row>
    <row r="888" ht="61.5" customHeight="1">
      <c r="A888" s="197"/>
      <c r="B888" s="197"/>
      <c r="C888" s="197"/>
      <c r="D888" s="197"/>
      <c r="E888" s="197"/>
      <c r="F888" s="197"/>
      <c r="G888" s="197"/>
      <c r="H888" s="197"/>
      <c r="I888" s="197"/>
      <c r="J888" s="197"/>
      <c r="K888" s="197"/>
      <c r="L888" s="197"/>
      <c r="M888" s="197"/>
      <c r="N888" s="197"/>
      <c r="O888" s="197"/>
      <c r="P888" s="197"/>
      <c r="Q888" s="197"/>
      <c r="R888" s="197"/>
      <c r="S888" s="197"/>
      <c r="T888" s="197"/>
      <c r="U888" s="197"/>
      <c r="V888" s="197"/>
      <c r="W888" s="197"/>
      <c r="X888" s="197"/>
      <c r="Y888" s="197"/>
      <c r="Z888" s="197"/>
    </row>
    <row r="889" ht="61.5" customHeight="1">
      <c r="A889" s="197"/>
      <c r="B889" s="197"/>
      <c r="C889" s="197"/>
      <c r="D889" s="197"/>
      <c r="E889" s="197"/>
      <c r="F889" s="197"/>
      <c r="G889" s="197"/>
      <c r="H889" s="197"/>
      <c r="I889" s="197"/>
      <c r="J889" s="197"/>
      <c r="K889" s="197"/>
      <c r="L889" s="197"/>
      <c r="M889" s="197"/>
      <c r="N889" s="197"/>
      <c r="O889" s="197"/>
      <c r="P889" s="197"/>
      <c r="Q889" s="197"/>
      <c r="R889" s="197"/>
      <c r="S889" s="197"/>
      <c r="T889" s="197"/>
      <c r="U889" s="197"/>
      <c r="V889" s="197"/>
      <c r="W889" s="197"/>
      <c r="X889" s="197"/>
      <c r="Y889" s="197"/>
      <c r="Z889" s="197"/>
    </row>
    <row r="890" ht="61.5" customHeight="1">
      <c r="A890" s="197"/>
      <c r="B890" s="197"/>
      <c r="C890" s="197"/>
      <c r="D890" s="197"/>
      <c r="E890" s="197"/>
      <c r="F890" s="197"/>
      <c r="G890" s="197"/>
      <c r="H890" s="197"/>
      <c r="I890" s="197"/>
      <c r="J890" s="197"/>
      <c r="K890" s="197"/>
      <c r="L890" s="197"/>
      <c r="M890" s="197"/>
      <c r="N890" s="197"/>
      <c r="O890" s="197"/>
      <c r="P890" s="197"/>
      <c r="Q890" s="197"/>
      <c r="R890" s="197"/>
      <c r="S890" s="197"/>
      <c r="T890" s="197"/>
      <c r="U890" s="197"/>
      <c r="V890" s="197"/>
      <c r="W890" s="197"/>
      <c r="X890" s="197"/>
      <c r="Y890" s="197"/>
      <c r="Z890" s="197"/>
    </row>
    <row r="891" ht="61.5" customHeight="1">
      <c r="A891" s="197"/>
      <c r="B891" s="197"/>
      <c r="C891" s="197"/>
      <c r="D891" s="197"/>
      <c r="E891" s="197"/>
      <c r="F891" s="197"/>
      <c r="G891" s="197"/>
      <c r="H891" s="197"/>
      <c r="I891" s="197"/>
      <c r="J891" s="197"/>
      <c r="K891" s="197"/>
      <c r="L891" s="197"/>
      <c r="M891" s="197"/>
      <c r="N891" s="197"/>
      <c r="O891" s="197"/>
      <c r="P891" s="197"/>
      <c r="Q891" s="197"/>
      <c r="R891" s="197"/>
      <c r="S891" s="197"/>
      <c r="T891" s="197"/>
      <c r="U891" s="197"/>
      <c r="V891" s="197"/>
      <c r="W891" s="197"/>
      <c r="X891" s="197"/>
      <c r="Y891" s="197"/>
      <c r="Z891" s="197"/>
    </row>
    <row r="892" ht="61.5" customHeight="1">
      <c r="A892" s="197"/>
      <c r="B892" s="197"/>
      <c r="C892" s="197"/>
      <c r="D892" s="197"/>
      <c r="E892" s="197"/>
      <c r="F892" s="197"/>
      <c r="G892" s="197"/>
      <c r="H892" s="197"/>
      <c r="I892" s="197"/>
      <c r="J892" s="197"/>
      <c r="K892" s="197"/>
      <c r="L892" s="197"/>
      <c r="M892" s="197"/>
      <c r="N892" s="197"/>
      <c r="O892" s="197"/>
      <c r="P892" s="197"/>
      <c r="Q892" s="197"/>
      <c r="R892" s="197"/>
      <c r="S892" s="197"/>
      <c r="T892" s="197"/>
      <c r="U892" s="197"/>
      <c r="V892" s="197"/>
      <c r="W892" s="197"/>
      <c r="X892" s="197"/>
      <c r="Y892" s="197"/>
      <c r="Z892" s="197"/>
    </row>
    <row r="893" ht="61.5" customHeight="1">
      <c r="A893" s="197"/>
      <c r="B893" s="197"/>
      <c r="C893" s="197"/>
      <c r="D893" s="197"/>
      <c r="E893" s="197"/>
      <c r="F893" s="197"/>
      <c r="G893" s="197"/>
      <c r="H893" s="197"/>
      <c r="I893" s="197"/>
      <c r="J893" s="197"/>
      <c r="K893" s="197"/>
      <c r="L893" s="197"/>
      <c r="M893" s="197"/>
      <c r="N893" s="197"/>
      <c r="O893" s="197"/>
      <c r="P893" s="197"/>
      <c r="Q893" s="197"/>
      <c r="R893" s="197"/>
      <c r="S893" s="197"/>
      <c r="T893" s="197"/>
      <c r="U893" s="197"/>
      <c r="V893" s="197"/>
      <c r="W893" s="197"/>
      <c r="X893" s="197"/>
      <c r="Y893" s="197"/>
      <c r="Z893" s="197"/>
    </row>
    <row r="894" ht="61.5" customHeight="1">
      <c r="A894" s="197"/>
      <c r="B894" s="197"/>
      <c r="C894" s="197"/>
      <c r="D894" s="197"/>
      <c r="E894" s="197"/>
      <c r="F894" s="197"/>
      <c r="G894" s="197"/>
      <c r="H894" s="197"/>
      <c r="I894" s="197"/>
      <c r="J894" s="197"/>
      <c r="K894" s="197"/>
      <c r="L894" s="197"/>
      <c r="M894" s="197"/>
      <c r="N894" s="197"/>
      <c r="O894" s="197"/>
      <c r="P894" s="197"/>
      <c r="Q894" s="197"/>
      <c r="R894" s="197"/>
      <c r="S894" s="197"/>
      <c r="T894" s="197"/>
      <c r="U894" s="197"/>
      <c r="V894" s="197"/>
      <c r="W894" s="197"/>
      <c r="X894" s="197"/>
      <c r="Y894" s="197"/>
      <c r="Z894" s="197"/>
    </row>
    <row r="895" ht="61.5" customHeight="1">
      <c r="A895" s="197"/>
      <c r="B895" s="197"/>
      <c r="C895" s="197"/>
      <c r="D895" s="197"/>
      <c r="E895" s="197"/>
      <c r="F895" s="197"/>
      <c r="G895" s="197"/>
      <c r="H895" s="197"/>
      <c r="I895" s="197"/>
      <c r="J895" s="197"/>
      <c r="K895" s="197"/>
      <c r="L895" s="197"/>
      <c r="M895" s="197"/>
      <c r="N895" s="197"/>
      <c r="O895" s="197"/>
      <c r="P895" s="197"/>
      <c r="Q895" s="197"/>
      <c r="R895" s="197"/>
      <c r="S895" s="197"/>
      <c r="T895" s="197"/>
      <c r="U895" s="197"/>
      <c r="V895" s="197"/>
      <c r="W895" s="197"/>
      <c r="X895" s="197"/>
      <c r="Y895" s="197"/>
      <c r="Z895" s="197"/>
    </row>
    <row r="896" ht="61.5" customHeight="1">
      <c r="A896" s="197"/>
      <c r="B896" s="197"/>
      <c r="C896" s="197"/>
      <c r="D896" s="197"/>
      <c r="E896" s="197"/>
      <c r="F896" s="197"/>
      <c r="G896" s="197"/>
      <c r="H896" s="197"/>
      <c r="I896" s="197"/>
      <c r="J896" s="197"/>
      <c r="K896" s="197"/>
      <c r="L896" s="197"/>
      <c r="M896" s="197"/>
      <c r="N896" s="197"/>
      <c r="O896" s="197"/>
      <c r="P896" s="197"/>
      <c r="Q896" s="197"/>
      <c r="R896" s="197"/>
      <c r="S896" s="197"/>
      <c r="T896" s="197"/>
      <c r="U896" s="197"/>
      <c r="V896" s="197"/>
      <c r="W896" s="197"/>
      <c r="X896" s="197"/>
      <c r="Y896" s="197"/>
      <c r="Z896" s="197"/>
    </row>
    <row r="897" ht="61.5" customHeight="1">
      <c r="A897" s="197"/>
      <c r="B897" s="197"/>
      <c r="C897" s="197"/>
      <c r="D897" s="197"/>
      <c r="E897" s="197"/>
      <c r="F897" s="197"/>
      <c r="G897" s="197"/>
      <c r="H897" s="197"/>
      <c r="I897" s="197"/>
      <c r="J897" s="197"/>
      <c r="K897" s="197"/>
      <c r="L897" s="197"/>
      <c r="M897" s="197"/>
      <c r="N897" s="197"/>
      <c r="O897" s="197"/>
      <c r="P897" s="197"/>
      <c r="Q897" s="197"/>
      <c r="R897" s="197"/>
      <c r="S897" s="197"/>
      <c r="T897" s="197"/>
      <c r="U897" s="197"/>
      <c r="V897" s="197"/>
      <c r="W897" s="197"/>
      <c r="X897" s="197"/>
      <c r="Y897" s="197"/>
      <c r="Z897" s="197"/>
    </row>
    <row r="898" ht="61.5" customHeight="1">
      <c r="A898" s="197"/>
      <c r="B898" s="197"/>
      <c r="C898" s="197"/>
      <c r="D898" s="197"/>
      <c r="E898" s="197"/>
      <c r="F898" s="197"/>
      <c r="G898" s="197"/>
      <c r="H898" s="197"/>
      <c r="I898" s="197"/>
      <c r="J898" s="197"/>
      <c r="K898" s="197"/>
      <c r="L898" s="197"/>
      <c r="M898" s="197"/>
      <c r="N898" s="197"/>
      <c r="O898" s="197"/>
      <c r="P898" s="197"/>
      <c r="Q898" s="197"/>
      <c r="R898" s="197"/>
      <c r="S898" s="197"/>
      <c r="T898" s="197"/>
      <c r="U898" s="197"/>
      <c r="V898" s="197"/>
      <c r="W898" s="197"/>
      <c r="X898" s="197"/>
      <c r="Y898" s="197"/>
      <c r="Z898" s="197"/>
    </row>
    <row r="899" ht="61.5" customHeight="1">
      <c r="A899" s="197"/>
      <c r="B899" s="197"/>
      <c r="C899" s="197"/>
      <c r="D899" s="197"/>
      <c r="E899" s="197"/>
      <c r="F899" s="197"/>
      <c r="G899" s="197"/>
      <c r="H899" s="197"/>
      <c r="I899" s="197"/>
      <c r="J899" s="197"/>
      <c r="K899" s="197"/>
      <c r="L899" s="197"/>
      <c r="M899" s="197"/>
      <c r="N899" s="197"/>
      <c r="O899" s="197"/>
      <c r="P899" s="197"/>
      <c r="Q899" s="197"/>
      <c r="R899" s="197"/>
      <c r="S899" s="197"/>
      <c r="T899" s="197"/>
      <c r="U899" s="197"/>
      <c r="V899" s="197"/>
      <c r="W899" s="197"/>
      <c r="X899" s="197"/>
      <c r="Y899" s="197"/>
      <c r="Z899" s="197"/>
    </row>
    <row r="900" ht="61.5" customHeight="1">
      <c r="A900" s="197"/>
      <c r="B900" s="197"/>
      <c r="C900" s="197"/>
      <c r="D900" s="197"/>
      <c r="E900" s="197"/>
      <c r="F900" s="197"/>
      <c r="G900" s="197"/>
      <c r="H900" s="197"/>
      <c r="I900" s="197"/>
      <c r="J900" s="197"/>
      <c r="K900" s="197"/>
      <c r="L900" s="197"/>
      <c r="M900" s="197"/>
      <c r="N900" s="197"/>
      <c r="O900" s="197"/>
      <c r="P900" s="197"/>
      <c r="Q900" s="197"/>
      <c r="R900" s="197"/>
      <c r="S900" s="197"/>
      <c r="T900" s="197"/>
      <c r="U900" s="197"/>
      <c r="V900" s="197"/>
      <c r="W900" s="197"/>
      <c r="X900" s="197"/>
      <c r="Y900" s="197"/>
      <c r="Z900" s="197"/>
    </row>
    <row r="901" ht="61.5" customHeight="1">
      <c r="A901" s="197"/>
      <c r="B901" s="197"/>
      <c r="C901" s="197"/>
      <c r="D901" s="197"/>
      <c r="E901" s="197"/>
      <c r="F901" s="197"/>
      <c r="G901" s="197"/>
      <c r="H901" s="197"/>
      <c r="I901" s="197"/>
      <c r="J901" s="197"/>
      <c r="K901" s="197"/>
      <c r="L901" s="197"/>
      <c r="M901" s="197"/>
      <c r="N901" s="197"/>
      <c r="O901" s="197"/>
      <c r="P901" s="197"/>
      <c r="Q901" s="197"/>
      <c r="R901" s="197"/>
      <c r="S901" s="197"/>
      <c r="T901" s="197"/>
      <c r="U901" s="197"/>
      <c r="V901" s="197"/>
      <c r="W901" s="197"/>
      <c r="X901" s="197"/>
      <c r="Y901" s="197"/>
      <c r="Z901" s="197"/>
    </row>
    <row r="902" ht="61.5" customHeight="1">
      <c r="A902" s="197"/>
      <c r="B902" s="197"/>
      <c r="C902" s="197"/>
      <c r="D902" s="197"/>
      <c r="E902" s="197"/>
      <c r="F902" s="197"/>
      <c r="G902" s="197"/>
      <c r="H902" s="197"/>
      <c r="I902" s="197"/>
      <c r="J902" s="197"/>
      <c r="K902" s="197"/>
      <c r="L902" s="197"/>
      <c r="M902" s="197"/>
      <c r="N902" s="197"/>
      <c r="O902" s="197"/>
      <c r="P902" s="197"/>
      <c r="Q902" s="197"/>
      <c r="R902" s="197"/>
      <c r="S902" s="197"/>
      <c r="T902" s="197"/>
      <c r="U902" s="197"/>
      <c r="V902" s="197"/>
      <c r="W902" s="197"/>
      <c r="X902" s="197"/>
      <c r="Y902" s="197"/>
      <c r="Z902" s="197"/>
    </row>
    <row r="903" ht="61.5" customHeight="1">
      <c r="A903" s="197"/>
      <c r="B903" s="197"/>
      <c r="C903" s="197"/>
      <c r="D903" s="197"/>
      <c r="E903" s="197"/>
      <c r="F903" s="197"/>
      <c r="G903" s="197"/>
      <c r="H903" s="197"/>
      <c r="I903" s="197"/>
      <c r="J903" s="197"/>
      <c r="K903" s="197"/>
      <c r="L903" s="197"/>
      <c r="M903" s="197"/>
      <c r="N903" s="197"/>
      <c r="O903" s="197"/>
      <c r="P903" s="197"/>
      <c r="Q903" s="197"/>
      <c r="R903" s="197"/>
      <c r="S903" s="197"/>
      <c r="T903" s="197"/>
      <c r="U903" s="197"/>
      <c r="V903" s="197"/>
      <c r="W903" s="197"/>
      <c r="X903" s="197"/>
      <c r="Y903" s="197"/>
      <c r="Z903" s="197"/>
    </row>
    <row r="904" ht="61.5" customHeight="1">
      <c r="A904" s="197"/>
      <c r="B904" s="197"/>
      <c r="C904" s="197"/>
      <c r="D904" s="197"/>
      <c r="E904" s="197"/>
      <c r="F904" s="197"/>
      <c r="G904" s="197"/>
      <c r="H904" s="197"/>
      <c r="I904" s="197"/>
      <c r="J904" s="197"/>
      <c r="K904" s="197"/>
      <c r="L904" s="197"/>
      <c r="M904" s="197"/>
      <c r="N904" s="197"/>
      <c r="O904" s="197"/>
      <c r="P904" s="197"/>
      <c r="Q904" s="197"/>
      <c r="R904" s="197"/>
      <c r="S904" s="197"/>
      <c r="T904" s="197"/>
      <c r="U904" s="197"/>
      <c r="V904" s="197"/>
      <c r="W904" s="197"/>
      <c r="X904" s="197"/>
      <c r="Y904" s="197"/>
      <c r="Z904" s="197"/>
    </row>
    <row r="905" ht="61.5" customHeight="1">
      <c r="A905" s="197"/>
      <c r="B905" s="197"/>
      <c r="C905" s="197"/>
      <c r="D905" s="197"/>
      <c r="E905" s="197"/>
      <c r="F905" s="197"/>
      <c r="G905" s="197"/>
      <c r="H905" s="197"/>
      <c r="I905" s="197"/>
      <c r="J905" s="197"/>
      <c r="K905" s="197"/>
      <c r="L905" s="197"/>
      <c r="M905" s="197"/>
      <c r="N905" s="197"/>
      <c r="O905" s="197"/>
      <c r="P905" s="197"/>
      <c r="Q905" s="197"/>
      <c r="R905" s="197"/>
      <c r="S905" s="197"/>
      <c r="T905" s="197"/>
      <c r="U905" s="197"/>
      <c r="V905" s="197"/>
      <c r="W905" s="197"/>
      <c r="X905" s="197"/>
      <c r="Y905" s="197"/>
      <c r="Z905" s="197"/>
    </row>
    <row r="906" ht="61.5" customHeight="1">
      <c r="A906" s="197"/>
      <c r="B906" s="197"/>
      <c r="C906" s="197"/>
      <c r="D906" s="197"/>
      <c r="E906" s="197"/>
      <c r="F906" s="197"/>
      <c r="G906" s="197"/>
      <c r="H906" s="197"/>
      <c r="I906" s="197"/>
      <c r="J906" s="197"/>
      <c r="K906" s="197"/>
      <c r="L906" s="197"/>
      <c r="M906" s="197"/>
      <c r="N906" s="197"/>
      <c r="O906" s="197"/>
      <c r="P906" s="197"/>
      <c r="Q906" s="197"/>
      <c r="R906" s="197"/>
      <c r="S906" s="197"/>
      <c r="T906" s="197"/>
      <c r="U906" s="197"/>
      <c r="V906" s="197"/>
      <c r="W906" s="197"/>
      <c r="X906" s="197"/>
      <c r="Y906" s="197"/>
      <c r="Z906" s="197"/>
    </row>
    <row r="907" ht="61.5" customHeight="1">
      <c r="A907" s="197"/>
      <c r="B907" s="197"/>
      <c r="C907" s="197"/>
      <c r="D907" s="197"/>
      <c r="E907" s="197"/>
      <c r="F907" s="197"/>
      <c r="G907" s="197"/>
      <c r="H907" s="197"/>
      <c r="I907" s="197"/>
      <c r="J907" s="197"/>
      <c r="K907" s="197"/>
      <c r="L907" s="197"/>
      <c r="M907" s="197"/>
      <c r="N907" s="197"/>
      <c r="O907" s="197"/>
      <c r="P907" s="197"/>
      <c r="Q907" s="197"/>
      <c r="R907" s="197"/>
      <c r="S907" s="197"/>
      <c r="T907" s="197"/>
      <c r="U907" s="197"/>
      <c r="V907" s="197"/>
      <c r="W907" s="197"/>
      <c r="X907" s="197"/>
      <c r="Y907" s="197"/>
      <c r="Z907" s="197"/>
    </row>
    <row r="908" ht="61.5" customHeight="1">
      <c r="A908" s="197"/>
      <c r="B908" s="197"/>
      <c r="C908" s="197"/>
      <c r="D908" s="197"/>
      <c r="E908" s="197"/>
      <c r="F908" s="197"/>
      <c r="G908" s="197"/>
      <c r="H908" s="197"/>
      <c r="I908" s="197"/>
      <c r="J908" s="197"/>
      <c r="K908" s="197"/>
      <c r="L908" s="197"/>
      <c r="M908" s="197"/>
      <c r="N908" s="197"/>
      <c r="O908" s="197"/>
      <c r="P908" s="197"/>
      <c r="Q908" s="197"/>
      <c r="R908" s="197"/>
      <c r="S908" s="197"/>
      <c r="T908" s="197"/>
      <c r="U908" s="197"/>
      <c r="V908" s="197"/>
      <c r="W908" s="197"/>
      <c r="X908" s="197"/>
      <c r="Y908" s="197"/>
      <c r="Z908" s="197"/>
    </row>
    <row r="909" ht="61.5" customHeight="1">
      <c r="A909" s="197"/>
      <c r="B909" s="197"/>
      <c r="C909" s="197"/>
      <c r="D909" s="197"/>
      <c r="E909" s="197"/>
      <c r="F909" s="197"/>
      <c r="G909" s="197"/>
      <c r="H909" s="197"/>
      <c r="I909" s="197"/>
      <c r="J909" s="197"/>
      <c r="K909" s="197"/>
      <c r="L909" s="197"/>
      <c r="M909" s="197"/>
      <c r="N909" s="197"/>
      <c r="O909" s="197"/>
      <c r="P909" s="197"/>
      <c r="Q909" s="197"/>
      <c r="R909" s="197"/>
      <c r="S909" s="197"/>
      <c r="T909" s="197"/>
      <c r="U909" s="197"/>
      <c r="V909" s="197"/>
      <c r="W909" s="197"/>
      <c r="X909" s="197"/>
      <c r="Y909" s="197"/>
      <c r="Z909" s="197"/>
    </row>
    <row r="910" ht="61.5" customHeight="1">
      <c r="A910" s="197"/>
      <c r="B910" s="197"/>
      <c r="C910" s="197"/>
      <c r="D910" s="197"/>
      <c r="E910" s="197"/>
      <c r="F910" s="197"/>
      <c r="G910" s="197"/>
      <c r="H910" s="197"/>
      <c r="I910" s="197"/>
      <c r="J910" s="197"/>
      <c r="K910" s="197"/>
      <c r="L910" s="197"/>
      <c r="M910" s="197"/>
      <c r="N910" s="197"/>
      <c r="O910" s="197"/>
      <c r="P910" s="197"/>
      <c r="Q910" s="197"/>
      <c r="R910" s="197"/>
      <c r="S910" s="197"/>
      <c r="T910" s="197"/>
      <c r="U910" s="197"/>
      <c r="V910" s="197"/>
      <c r="W910" s="197"/>
      <c r="X910" s="197"/>
      <c r="Y910" s="197"/>
      <c r="Z910" s="197"/>
    </row>
    <row r="911" ht="61.5" customHeight="1">
      <c r="A911" s="197"/>
      <c r="B911" s="197"/>
      <c r="C911" s="197"/>
      <c r="D911" s="197"/>
      <c r="E911" s="197"/>
      <c r="F911" s="197"/>
      <c r="G911" s="197"/>
      <c r="H911" s="197"/>
      <c r="I911" s="197"/>
      <c r="J911" s="197"/>
      <c r="K911" s="197"/>
      <c r="L911" s="197"/>
      <c r="M911" s="197"/>
      <c r="N911" s="197"/>
      <c r="O911" s="197"/>
      <c r="P911" s="197"/>
      <c r="Q911" s="197"/>
      <c r="R911" s="197"/>
      <c r="S911" s="197"/>
      <c r="T911" s="197"/>
      <c r="U911" s="197"/>
      <c r="V911" s="197"/>
      <c r="W911" s="197"/>
      <c r="X911" s="197"/>
      <c r="Y911" s="197"/>
      <c r="Z911" s="197"/>
    </row>
    <row r="912" ht="61.5" customHeight="1">
      <c r="A912" s="197"/>
      <c r="B912" s="197"/>
      <c r="C912" s="197"/>
      <c r="D912" s="197"/>
      <c r="E912" s="197"/>
      <c r="F912" s="197"/>
      <c r="G912" s="197"/>
      <c r="H912" s="197"/>
      <c r="I912" s="197"/>
      <c r="J912" s="197"/>
      <c r="K912" s="197"/>
      <c r="L912" s="197"/>
      <c r="M912" s="197"/>
      <c r="N912" s="197"/>
      <c r="O912" s="197"/>
      <c r="P912" s="197"/>
      <c r="Q912" s="197"/>
      <c r="R912" s="197"/>
      <c r="S912" s="197"/>
      <c r="T912" s="197"/>
      <c r="U912" s="197"/>
      <c r="V912" s="197"/>
      <c r="W912" s="197"/>
      <c r="X912" s="197"/>
      <c r="Y912" s="197"/>
      <c r="Z912" s="197"/>
    </row>
    <row r="913" ht="61.5" customHeight="1">
      <c r="A913" s="197"/>
      <c r="B913" s="197"/>
      <c r="C913" s="197"/>
      <c r="D913" s="197"/>
      <c r="E913" s="197"/>
      <c r="F913" s="197"/>
      <c r="G913" s="197"/>
      <c r="H913" s="197"/>
      <c r="I913" s="197"/>
      <c r="J913" s="197"/>
      <c r="K913" s="197"/>
      <c r="L913" s="197"/>
      <c r="M913" s="197"/>
      <c r="N913" s="197"/>
      <c r="O913" s="197"/>
      <c r="P913" s="197"/>
      <c r="Q913" s="197"/>
      <c r="R913" s="197"/>
      <c r="S913" s="197"/>
      <c r="T913" s="197"/>
      <c r="U913" s="197"/>
      <c r="V913" s="197"/>
      <c r="W913" s="197"/>
      <c r="X913" s="197"/>
      <c r="Y913" s="197"/>
      <c r="Z913" s="197"/>
    </row>
    <row r="914" ht="61.5" customHeight="1">
      <c r="A914" s="197"/>
      <c r="B914" s="197"/>
      <c r="C914" s="197"/>
      <c r="D914" s="197"/>
      <c r="E914" s="197"/>
      <c r="F914" s="197"/>
      <c r="G914" s="197"/>
      <c r="H914" s="197"/>
      <c r="I914" s="197"/>
      <c r="J914" s="197"/>
      <c r="K914" s="197"/>
      <c r="L914" s="197"/>
      <c r="M914" s="197"/>
      <c r="N914" s="197"/>
      <c r="O914" s="197"/>
      <c r="P914" s="197"/>
      <c r="Q914" s="197"/>
      <c r="R914" s="197"/>
      <c r="S914" s="197"/>
      <c r="T914" s="197"/>
      <c r="U914" s="197"/>
      <c r="V914" s="197"/>
      <c r="W914" s="197"/>
      <c r="X914" s="197"/>
      <c r="Y914" s="197"/>
      <c r="Z914" s="197"/>
    </row>
    <row r="915" ht="61.5" customHeight="1">
      <c r="A915" s="197"/>
      <c r="B915" s="197"/>
      <c r="C915" s="197"/>
      <c r="D915" s="197"/>
      <c r="E915" s="197"/>
      <c r="F915" s="197"/>
      <c r="G915" s="197"/>
      <c r="H915" s="197"/>
      <c r="I915" s="197"/>
      <c r="J915" s="197"/>
      <c r="K915" s="197"/>
      <c r="L915" s="197"/>
      <c r="M915" s="197"/>
      <c r="N915" s="197"/>
      <c r="O915" s="197"/>
      <c r="P915" s="197"/>
      <c r="Q915" s="197"/>
      <c r="R915" s="197"/>
      <c r="S915" s="197"/>
      <c r="T915" s="197"/>
      <c r="U915" s="197"/>
      <c r="V915" s="197"/>
      <c r="W915" s="197"/>
      <c r="X915" s="197"/>
      <c r="Y915" s="197"/>
      <c r="Z915" s="197"/>
    </row>
    <row r="916" ht="61.5" customHeight="1">
      <c r="A916" s="197"/>
      <c r="B916" s="197"/>
      <c r="C916" s="197"/>
      <c r="D916" s="197"/>
      <c r="E916" s="197"/>
      <c r="F916" s="197"/>
      <c r="G916" s="197"/>
      <c r="H916" s="197"/>
      <c r="I916" s="197"/>
      <c r="J916" s="197"/>
      <c r="K916" s="197"/>
      <c r="L916" s="197"/>
      <c r="M916" s="197"/>
      <c r="N916" s="197"/>
      <c r="O916" s="197"/>
      <c r="P916" s="197"/>
      <c r="Q916" s="197"/>
      <c r="R916" s="197"/>
      <c r="S916" s="197"/>
      <c r="T916" s="197"/>
      <c r="U916" s="197"/>
      <c r="V916" s="197"/>
      <c r="W916" s="197"/>
      <c r="X916" s="197"/>
      <c r="Y916" s="197"/>
      <c r="Z916" s="197"/>
    </row>
    <row r="917" ht="61.5" customHeight="1">
      <c r="A917" s="197"/>
      <c r="B917" s="197"/>
      <c r="C917" s="197"/>
      <c r="D917" s="197"/>
      <c r="E917" s="197"/>
      <c r="F917" s="197"/>
      <c r="G917" s="197"/>
      <c r="H917" s="197"/>
      <c r="I917" s="197"/>
      <c r="J917" s="197"/>
      <c r="K917" s="197"/>
      <c r="L917" s="197"/>
      <c r="M917" s="197"/>
      <c r="N917" s="197"/>
      <c r="O917" s="197"/>
      <c r="P917" s="197"/>
      <c r="Q917" s="197"/>
      <c r="R917" s="197"/>
      <c r="S917" s="197"/>
      <c r="T917" s="197"/>
      <c r="U917" s="197"/>
      <c r="V917" s="197"/>
      <c r="W917" s="197"/>
      <c r="X917" s="197"/>
      <c r="Y917" s="197"/>
      <c r="Z917" s="197"/>
    </row>
    <row r="918" ht="61.5" customHeight="1">
      <c r="A918" s="197"/>
      <c r="B918" s="197"/>
      <c r="C918" s="197"/>
      <c r="D918" s="197"/>
      <c r="E918" s="197"/>
      <c r="F918" s="197"/>
      <c r="G918" s="197"/>
      <c r="H918" s="197"/>
      <c r="I918" s="197"/>
      <c r="J918" s="197"/>
      <c r="K918" s="197"/>
      <c r="L918" s="197"/>
      <c r="M918" s="197"/>
      <c r="N918" s="197"/>
      <c r="O918" s="197"/>
      <c r="P918" s="197"/>
      <c r="Q918" s="197"/>
      <c r="R918" s="197"/>
      <c r="S918" s="197"/>
      <c r="T918" s="197"/>
      <c r="U918" s="197"/>
      <c r="V918" s="197"/>
      <c r="W918" s="197"/>
      <c r="X918" s="197"/>
      <c r="Y918" s="197"/>
      <c r="Z918" s="197"/>
    </row>
    <row r="919" ht="61.5" customHeight="1">
      <c r="A919" s="197"/>
      <c r="B919" s="197"/>
      <c r="C919" s="197"/>
      <c r="D919" s="197"/>
      <c r="E919" s="197"/>
      <c r="F919" s="197"/>
      <c r="G919" s="197"/>
      <c r="H919" s="197"/>
      <c r="I919" s="197"/>
      <c r="J919" s="197"/>
      <c r="K919" s="197"/>
      <c r="L919" s="197"/>
      <c r="M919" s="197"/>
      <c r="N919" s="197"/>
      <c r="O919" s="197"/>
      <c r="P919" s="197"/>
      <c r="Q919" s="197"/>
      <c r="R919" s="197"/>
      <c r="S919" s="197"/>
      <c r="T919" s="197"/>
      <c r="U919" s="197"/>
      <c r="V919" s="197"/>
      <c r="W919" s="197"/>
      <c r="X919" s="197"/>
      <c r="Y919" s="197"/>
      <c r="Z919" s="197"/>
    </row>
    <row r="920" ht="61.5" customHeight="1">
      <c r="A920" s="197"/>
      <c r="B920" s="197"/>
      <c r="C920" s="197"/>
      <c r="D920" s="197"/>
      <c r="E920" s="197"/>
      <c r="F920" s="197"/>
      <c r="G920" s="197"/>
      <c r="H920" s="197"/>
      <c r="I920" s="197"/>
      <c r="J920" s="197"/>
      <c r="K920" s="197"/>
      <c r="L920" s="197"/>
      <c r="M920" s="197"/>
      <c r="N920" s="197"/>
      <c r="O920" s="197"/>
      <c r="P920" s="197"/>
      <c r="Q920" s="197"/>
      <c r="R920" s="197"/>
      <c r="S920" s="197"/>
      <c r="T920" s="197"/>
      <c r="U920" s="197"/>
      <c r="V920" s="197"/>
      <c r="W920" s="197"/>
      <c r="X920" s="197"/>
      <c r="Y920" s="197"/>
      <c r="Z920" s="197"/>
    </row>
    <row r="921" ht="61.5" customHeight="1">
      <c r="A921" s="197"/>
      <c r="B921" s="197"/>
      <c r="C921" s="197"/>
      <c r="D921" s="197"/>
      <c r="E921" s="197"/>
      <c r="F921" s="197"/>
      <c r="G921" s="197"/>
      <c r="H921" s="197"/>
      <c r="I921" s="197"/>
      <c r="J921" s="197"/>
      <c r="K921" s="197"/>
      <c r="L921" s="197"/>
      <c r="M921" s="197"/>
      <c r="N921" s="197"/>
      <c r="O921" s="197"/>
      <c r="P921" s="197"/>
      <c r="Q921" s="197"/>
      <c r="R921" s="197"/>
      <c r="S921" s="197"/>
      <c r="T921" s="197"/>
      <c r="U921" s="197"/>
      <c r="V921" s="197"/>
      <c r="W921" s="197"/>
      <c r="X921" s="197"/>
      <c r="Y921" s="197"/>
      <c r="Z921" s="197"/>
    </row>
    <row r="922" ht="61.5" customHeight="1">
      <c r="A922" s="197"/>
      <c r="B922" s="197"/>
      <c r="C922" s="197"/>
      <c r="D922" s="197"/>
      <c r="E922" s="197"/>
      <c r="F922" s="197"/>
      <c r="G922" s="197"/>
      <c r="H922" s="197"/>
      <c r="I922" s="197"/>
      <c r="J922" s="197"/>
      <c r="K922" s="197"/>
      <c r="L922" s="197"/>
      <c r="M922" s="197"/>
      <c r="N922" s="197"/>
      <c r="O922" s="197"/>
      <c r="P922" s="197"/>
      <c r="Q922" s="197"/>
      <c r="R922" s="197"/>
      <c r="S922" s="197"/>
      <c r="T922" s="197"/>
      <c r="U922" s="197"/>
      <c r="V922" s="197"/>
      <c r="W922" s="197"/>
      <c r="X922" s="197"/>
      <c r="Y922" s="197"/>
      <c r="Z922" s="197"/>
    </row>
    <row r="923" ht="61.5" customHeight="1">
      <c r="A923" s="197"/>
      <c r="B923" s="197"/>
      <c r="C923" s="197"/>
      <c r="D923" s="197"/>
      <c r="E923" s="197"/>
      <c r="F923" s="197"/>
      <c r="G923" s="197"/>
      <c r="H923" s="197"/>
      <c r="I923" s="197"/>
      <c r="J923" s="197"/>
      <c r="K923" s="197"/>
      <c r="L923" s="197"/>
      <c r="M923" s="197"/>
      <c r="N923" s="197"/>
      <c r="O923" s="197"/>
      <c r="P923" s="197"/>
      <c r="Q923" s="197"/>
      <c r="R923" s="197"/>
      <c r="S923" s="197"/>
      <c r="T923" s="197"/>
      <c r="U923" s="197"/>
      <c r="V923" s="197"/>
      <c r="W923" s="197"/>
      <c r="X923" s="197"/>
      <c r="Y923" s="197"/>
      <c r="Z923" s="197"/>
    </row>
    <row r="924" ht="61.5" customHeight="1">
      <c r="A924" s="197"/>
      <c r="B924" s="197"/>
      <c r="C924" s="197"/>
      <c r="D924" s="197"/>
      <c r="E924" s="197"/>
      <c r="F924" s="197"/>
      <c r="G924" s="197"/>
      <c r="H924" s="197"/>
      <c r="I924" s="197"/>
      <c r="J924" s="197"/>
      <c r="K924" s="197"/>
      <c r="L924" s="197"/>
      <c r="M924" s="197"/>
      <c r="N924" s="197"/>
      <c r="O924" s="197"/>
      <c r="P924" s="197"/>
      <c r="Q924" s="197"/>
      <c r="R924" s="197"/>
      <c r="S924" s="197"/>
      <c r="T924" s="197"/>
      <c r="U924" s="197"/>
      <c r="V924" s="197"/>
      <c r="W924" s="197"/>
      <c r="X924" s="197"/>
      <c r="Y924" s="197"/>
      <c r="Z924" s="197"/>
    </row>
    <row r="925" ht="61.5" customHeight="1">
      <c r="A925" s="197"/>
      <c r="B925" s="197"/>
      <c r="C925" s="197"/>
      <c r="D925" s="197"/>
      <c r="E925" s="197"/>
      <c r="F925" s="197"/>
      <c r="G925" s="197"/>
      <c r="H925" s="197"/>
      <c r="I925" s="197"/>
      <c r="J925" s="197"/>
      <c r="K925" s="197"/>
      <c r="L925" s="197"/>
      <c r="M925" s="197"/>
      <c r="N925" s="197"/>
      <c r="O925" s="197"/>
      <c r="P925" s="197"/>
      <c r="Q925" s="197"/>
      <c r="R925" s="197"/>
      <c r="S925" s="197"/>
      <c r="T925" s="197"/>
      <c r="U925" s="197"/>
      <c r="V925" s="197"/>
      <c r="W925" s="197"/>
      <c r="X925" s="197"/>
      <c r="Y925" s="197"/>
      <c r="Z925" s="197"/>
    </row>
    <row r="926" ht="61.5" customHeight="1">
      <c r="A926" s="197"/>
      <c r="B926" s="197"/>
      <c r="C926" s="197"/>
      <c r="D926" s="197"/>
      <c r="E926" s="197"/>
      <c r="F926" s="197"/>
      <c r="G926" s="197"/>
      <c r="H926" s="197"/>
      <c r="I926" s="197"/>
      <c r="J926" s="197"/>
      <c r="K926" s="197"/>
      <c r="L926" s="197"/>
      <c r="M926" s="197"/>
      <c r="N926" s="197"/>
      <c r="O926" s="197"/>
      <c r="P926" s="197"/>
      <c r="Q926" s="197"/>
      <c r="R926" s="197"/>
      <c r="S926" s="197"/>
      <c r="T926" s="197"/>
      <c r="U926" s="197"/>
      <c r="V926" s="197"/>
      <c r="W926" s="197"/>
      <c r="X926" s="197"/>
      <c r="Y926" s="197"/>
      <c r="Z926" s="197"/>
    </row>
    <row r="927" ht="61.5" customHeight="1">
      <c r="A927" s="197"/>
      <c r="B927" s="197"/>
      <c r="C927" s="197"/>
      <c r="D927" s="197"/>
      <c r="E927" s="197"/>
      <c r="F927" s="197"/>
      <c r="G927" s="197"/>
      <c r="H927" s="197"/>
      <c r="I927" s="197"/>
      <c r="J927" s="197"/>
      <c r="K927" s="197"/>
      <c r="L927" s="197"/>
      <c r="M927" s="197"/>
      <c r="N927" s="197"/>
      <c r="O927" s="197"/>
      <c r="P927" s="197"/>
      <c r="Q927" s="197"/>
      <c r="R927" s="197"/>
      <c r="S927" s="197"/>
      <c r="T927" s="197"/>
      <c r="U927" s="197"/>
      <c r="V927" s="197"/>
      <c r="W927" s="197"/>
      <c r="X927" s="197"/>
      <c r="Y927" s="197"/>
      <c r="Z927" s="197"/>
    </row>
    <row r="928" ht="61.5" customHeight="1">
      <c r="A928" s="197"/>
      <c r="B928" s="197"/>
      <c r="C928" s="197"/>
      <c r="D928" s="197"/>
      <c r="E928" s="197"/>
      <c r="F928" s="197"/>
      <c r="G928" s="197"/>
      <c r="H928" s="197"/>
      <c r="I928" s="197"/>
      <c r="J928" s="197"/>
      <c r="K928" s="197"/>
      <c r="L928" s="197"/>
      <c r="M928" s="197"/>
      <c r="N928" s="197"/>
      <c r="O928" s="197"/>
      <c r="P928" s="197"/>
      <c r="Q928" s="197"/>
      <c r="R928" s="197"/>
      <c r="S928" s="197"/>
      <c r="T928" s="197"/>
      <c r="U928" s="197"/>
      <c r="V928" s="197"/>
      <c r="W928" s="197"/>
      <c r="X928" s="197"/>
      <c r="Y928" s="197"/>
      <c r="Z928" s="197"/>
    </row>
    <row r="929" ht="61.5" customHeight="1">
      <c r="A929" s="197"/>
      <c r="B929" s="197"/>
      <c r="C929" s="197"/>
      <c r="D929" s="197"/>
      <c r="E929" s="197"/>
      <c r="F929" s="197"/>
      <c r="G929" s="197"/>
      <c r="H929" s="197"/>
      <c r="I929" s="197"/>
      <c r="J929" s="197"/>
      <c r="K929" s="197"/>
      <c r="L929" s="197"/>
      <c r="M929" s="197"/>
      <c r="N929" s="197"/>
      <c r="O929" s="197"/>
      <c r="P929" s="197"/>
      <c r="Q929" s="197"/>
      <c r="R929" s="197"/>
      <c r="S929" s="197"/>
      <c r="T929" s="197"/>
      <c r="U929" s="197"/>
      <c r="V929" s="197"/>
      <c r="W929" s="197"/>
      <c r="X929" s="197"/>
      <c r="Y929" s="197"/>
      <c r="Z929" s="197"/>
    </row>
    <row r="930" ht="61.5" customHeight="1">
      <c r="A930" s="197"/>
      <c r="B930" s="197"/>
      <c r="C930" s="197"/>
      <c r="D930" s="197"/>
      <c r="E930" s="197"/>
      <c r="F930" s="197"/>
      <c r="G930" s="197"/>
      <c r="H930" s="197"/>
      <c r="I930" s="197"/>
      <c r="J930" s="197"/>
      <c r="K930" s="197"/>
      <c r="L930" s="197"/>
      <c r="M930" s="197"/>
      <c r="N930" s="197"/>
      <c r="O930" s="197"/>
      <c r="P930" s="197"/>
      <c r="Q930" s="197"/>
      <c r="R930" s="197"/>
      <c r="S930" s="197"/>
      <c r="T930" s="197"/>
      <c r="U930" s="197"/>
      <c r="V930" s="197"/>
      <c r="W930" s="197"/>
      <c r="X930" s="197"/>
      <c r="Y930" s="197"/>
      <c r="Z930" s="197"/>
    </row>
    <row r="931" ht="61.5" customHeight="1">
      <c r="A931" s="197"/>
      <c r="B931" s="197"/>
      <c r="C931" s="197"/>
      <c r="D931" s="197"/>
      <c r="E931" s="197"/>
      <c r="F931" s="197"/>
      <c r="G931" s="197"/>
      <c r="H931" s="197"/>
      <c r="I931" s="197"/>
      <c r="J931" s="197"/>
      <c r="K931" s="197"/>
      <c r="L931" s="197"/>
      <c r="M931" s="197"/>
      <c r="N931" s="197"/>
      <c r="O931" s="197"/>
      <c r="P931" s="197"/>
      <c r="Q931" s="197"/>
      <c r="R931" s="197"/>
      <c r="S931" s="197"/>
      <c r="T931" s="197"/>
      <c r="U931" s="197"/>
      <c r="V931" s="197"/>
      <c r="W931" s="197"/>
      <c r="X931" s="197"/>
      <c r="Y931" s="197"/>
      <c r="Z931" s="197"/>
    </row>
    <row r="932" ht="61.5" customHeight="1">
      <c r="A932" s="197"/>
      <c r="B932" s="197"/>
      <c r="C932" s="197"/>
      <c r="D932" s="197"/>
      <c r="E932" s="197"/>
      <c r="F932" s="197"/>
      <c r="G932" s="197"/>
      <c r="H932" s="197"/>
      <c r="I932" s="197"/>
      <c r="J932" s="197"/>
      <c r="K932" s="197"/>
      <c r="L932" s="197"/>
      <c r="M932" s="197"/>
      <c r="N932" s="197"/>
      <c r="O932" s="197"/>
      <c r="P932" s="197"/>
      <c r="Q932" s="197"/>
      <c r="R932" s="197"/>
      <c r="S932" s="197"/>
      <c r="T932" s="197"/>
      <c r="U932" s="197"/>
      <c r="V932" s="197"/>
      <c r="W932" s="197"/>
      <c r="X932" s="197"/>
      <c r="Y932" s="197"/>
      <c r="Z932" s="197"/>
    </row>
    <row r="933" ht="61.5" customHeight="1">
      <c r="A933" s="197"/>
      <c r="B933" s="197"/>
      <c r="C933" s="197"/>
      <c r="D933" s="197"/>
      <c r="E933" s="197"/>
      <c r="F933" s="197"/>
      <c r="G933" s="197"/>
      <c r="H933" s="197"/>
      <c r="I933" s="197"/>
      <c r="J933" s="197"/>
      <c r="K933" s="197"/>
      <c r="L933" s="197"/>
      <c r="M933" s="197"/>
      <c r="N933" s="197"/>
      <c r="O933" s="197"/>
      <c r="P933" s="197"/>
      <c r="Q933" s="197"/>
      <c r="R933" s="197"/>
      <c r="S933" s="197"/>
      <c r="T933" s="197"/>
      <c r="U933" s="197"/>
      <c r="V933" s="197"/>
      <c r="W933" s="197"/>
      <c r="X933" s="197"/>
      <c r="Y933" s="197"/>
      <c r="Z933" s="197"/>
    </row>
    <row r="934" ht="61.5" customHeight="1">
      <c r="A934" s="197"/>
      <c r="B934" s="197"/>
      <c r="C934" s="197"/>
      <c r="D934" s="197"/>
      <c r="E934" s="197"/>
      <c r="F934" s="197"/>
      <c r="G934" s="197"/>
      <c r="H934" s="197"/>
      <c r="I934" s="197"/>
      <c r="J934" s="197"/>
      <c r="K934" s="197"/>
      <c r="L934" s="197"/>
      <c r="M934" s="197"/>
      <c r="N934" s="197"/>
      <c r="O934" s="197"/>
      <c r="P934" s="197"/>
      <c r="Q934" s="197"/>
      <c r="R934" s="197"/>
      <c r="S934" s="197"/>
      <c r="T934" s="197"/>
      <c r="U934" s="197"/>
      <c r="V934" s="197"/>
      <c r="W934" s="197"/>
      <c r="X934" s="197"/>
      <c r="Y934" s="197"/>
      <c r="Z934" s="197"/>
    </row>
    <row r="935" ht="61.5" customHeight="1">
      <c r="A935" s="197"/>
      <c r="B935" s="197"/>
      <c r="C935" s="197"/>
      <c r="D935" s="197"/>
      <c r="E935" s="197"/>
      <c r="F935" s="197"/>
      <c r="G935" s="197"/>
      <c r="H935" s="197"/>
      <c r="I935" s="197"/>
      <c r="J935" s="197"/>
      <c r="K935" s="197"/>
      <c r="L935" s="197"/>
      <c r="M935" s="197"/>
      <c r="N935" s="197"/>
      <c r="O935" s="197"/>
      <c r="P935" s="197"/>
      <c r="Q935" s="197"/>
      <c r="R935" s="197"/>
      <c r="S935" s="197"/>
      <c r="T935" s="197"/>
      <c r="U935" s="197"/>
      <c r="V935" s="197"/>
      <c r="W935" s="197"/>
      <c r="X935" s="197"/>
      <c r="Y935" s="197"/>
      <c r="Z935" s="197"/>
    </row>
    <row r="936" ht="61.5" customHeight="1">
      <c r="A936" s="197"/>
      <c r="B936" s="197"/>
      <c r="C936" s="197"/>
      <c r="D936" s="197"/>
      <c r="E936" s="197"/>
      <c r="F936" s="197"/>
      <c r="G936" s="197"/>
      <c r="H936" s="197"/>
      <c r="I936" s="197"/>
      <c r="J936" s="197"/>
      <c r="K936" s="197"/>
      <c r="L936" s="197"/>
      <c r="M936" s="197"/>
      <c r="N936" s="197"/>
      <c r="O936" s="197"/>
      <c r="P936" s="197"/>
      <c r="Q936" s="197"/>
      <c r="R936" s="197"/>
      <c r="S936" s="197"/>
      <c r="T936" s="197"/>
      <c r="U936" s="197"/>
      <c r="V936" s="197"/>
      <c r="W936" s="197"/>
      <c r="X936" s="197"/>
      <c r="Y936" s="197"/>
      <c r="Z936" s="197"/>
    </row>
    <row r="937" ht="61.5" customHeight="1">
      <c r="A937" s="197"/>
      <c r="B937" s="197"/>
      <c r="C937" s="197"/>
      <c r="D937" s="197"/>
      <c r="E937" s="197"/>
      <c r="F937" s="197"/>
      <c r="G937" s="197"/>
      <c r="H937" s="197"/>
      <c r="I937" s="197"/>
      <c r="J937" s="197"/>
      <c r="K937" s="197"/>
      <c r="L937" s="197"/>
      <c r="M937" s="197"/>
      <c r="N937" s="197"/>
      <c r="O937" s="197"/>
      <c r="P937" s="197"/>
      <c r="Q937" s="197"/>
      <c r="R937" s="197"/>
      <c r="S937" s="197"/>
      <c r="T937" s="197"/>
      <c r="U937" s="197"/>
      <c r="V937" s="197"/>
      <c r="W937" s="197"/>
      <c r="X937" s="197"/>
      <c r="Y937" s="197"/>
      <c r="Z937" s="197"/>
    </row>
    <row r="938" ht="61.5" customHeight="1">
      <c r="A938" s="197"/>
      <c r="B938" s="197"/>
      <c r="C938" s="197"/>
      <c r="D938" s="197"/>
      <c r="E938" s="197"/>
      <c r="F938" s="197"/>
      <c r="G938" s="197"/>
      <c r="H938" s="197"/>
      <c r="I938" s="197"/>
      <c r="J938" s="197"/>
      <c r="K938" s="197"/>
      <c r="L938" s="197"/>
      <c r="M938" s="197"/>
      <c r="N938" s="197"/>
      <c r="O938" s="197"/>
      <c r="P938" s="197"/>
      <c r="Q938" s="197"/>
      <c r="R938" s="197"/>
      <c r="S938" s="197"/>
      <c r="T938" s="197"/>
      <c r="U938" s="197"/>
      <c r="V938" s="197"/>
      <c r="W938" s="197"/>
      <c r="X938" s="197"/>
      <c r="Y938" s="197"/>
      <c r="Z938" s="197"/>
    </row>
    <row r="939" ht="61.5" customHeight="1">
      <c r="A939" s="197"/>
      <c r="B939" s="197"/>
      <c r="C939" s="197"/>
      <c r="D939" s="197"/>
      <c r="E939" s="197"/>
      <c r="F939" s="197"/>
      <c r="G939" s="197"/>
      <c r="H939" s="197"/>
      <c r="I939" s="197"/>
      <c r="J939" s="197"/>
      <c r="K939" s="197"/>
      <c r="L939" s="197"/>
      <c r="M939" s="197"/>
      <c r="N939" s="197"/>
      <c r="O939" s="197"/>
      <c r="P939" s="197"/>
      <c r="Q939" s="197"/>
      <c r="R939" s="197"/>
      <c r="S939" s="197"/>
      <c r="T939" s="197"/>
      <c r="U939" s="197"/>
      <c r="V939" s="197"/>
      <c r="W939" s="197"/>
      <c r="X939" s="197"/>
      <c r="Y939" s="197"/>
      <c r="Z939" s="197"/>
    </row>
    <row r="940" ht="61.5" customHeight="1">
      <c r="A940" s="197"/>
      <c r="B940" s="197"/>
      <c r="C940" s="197"/>
      <c r="D940" s="197"/>
      <c r="E940" s="197"/>
      <c r="F940" s="197"/>
      <c r="G940" s="197"/>
      <c r="H940" s="197"/>
      <c r="I940" s="197"/>
      <c r="J940" s="197"/>
      <c r="K940" s="197"/>
      <c r="L940" s="197"/>
      <c r="M940" s="197"/>
      <c r="N940" s="197"/>
      <c r="O940" s="197"/>
      <c r="P940" s="197"/>
      <c r="Q940" s="197"/>
      <c r="R940" s="197"/>
      <c r="S940" s="197"/>
      <c r="T940" s="197"/>
      <c r="U940" s="197"/>
      <c r="V940" s="197"/>
      <c r="W940" s="197"/>
      <c r="X940" s="197"/>
      <c r="Y940" s="197"/>
      <c r="Z940" s="197"/>
    </row>
    <row r="941" ht="61.5" customHeight="1">
      <c r="A941" s="197"/>
      <c r="B941" s="197"/>
      <c r="C941" s="197"/>
      <c r="D941" s="197"/>
      <c r="E941" s="197"/>
      <c r="F941" s="197"/>
      <c r="G941" s="197"/>
      <c r="H941" s="197"/>
      <c r="I941" s="197"/>
      <c r="J941" s="197"/>
      <c r="K941" s="197"/>
      <c r="L941" s="197"/>
      <c r="M941" s="197"/>
      <c r="N941" s="197"/>
      <c r="O941" s="197"/>
      <c r="P941" s="197"/>
      <c r="Q941" s="197"/>
      <c r="R941" s="197"/>
      <c r="S941" s="197"/>
      <c r="T941" s="197"/>
      <c r="U941" s="197"/>
      <c r="V941" s="197"/>
      <c r="W941" s="197"/>
      <c r="X941" s="197"/>
      <c r="Y941" s="197"/>
      <c r="Z941" s="197"/>
    </row>
    <row r="942" ht="61.5" customHeight="1">
      <c r="A942" s="197"/>
      <c r="B942" s="197"/>
      <c r="C942" s="197"/>
      <c r="D942" s="197"/>
      <c r="E942" s="197"/>
      <c r="F942" s="197"/>
      <c r="G942" s="197"/>
      <c r="H942" s="197"/>
      <c r="I942" s="197"/>
      <c r="J942" s="197"/>
      <c r="K942" s="197"/>
      <c r="L942" s="197"/>
      <c r="M942" s="197"/>
      <c r="N942" s="197"/>
      <c r="O942" s="197"/>
      <c r="P942" s="197"/>
      <c r="Q942" s="197"/>
      <c r="R942" s="197"/>
      <c r="S942" s="197"/>
      <c r="T942" s="197"/>
      <c r="U942" s="197"/>
      <c r="V942" s="197"/>
      <c r="W942" s="197"/>
      <c r="X942" s="197"/>
      <c r="Y942" s="197"/>
      <c r="Z942" s="197"/>
    </row>
    <row r="943" ht="61.5" customHeight="1">
      <c r="A943" s="197"/>
      <c r="B943" s="197"/>
      <c r="C943" s="197"/>
      <c r="D943" s="197"/>
      <c r="E943" s="197"/>
      <c r="F943" s="197"/>
      <c r="G943" s="197"/>
      <c r="H943" s="197"/>
      <c r="I943" s="197"/>
      <c r="J943" s="197"/>
      <c r="K943" s="197"/>
      <c r="L943" s="197"/>
      <c r="M943" s="197"/>
      <c r="N943" s="197"/>
      <c r="O943" s="197"/>
      <c r="P943" s="197"/>
      <c r="Q943" s="197"/>
      <c r="R943" s="197"/>
      <c r="S943" s="197"/>
      <c r="T943" s="197"/>
      <c r="U943" s="197"/>
      <c r="V943" s="197"/>
      <c r="W943" s="197"/>
      <c r="X943" s="197"/>
      <c r="Y943" s="197"/>
      <c r="Z943" s="197"/>
    </row>
    <row r="944" ht="61.5" customHeight="1">
      <c r="A944" s="197"/>
      <c r="B944" s="197"/>
      <c r="C944" s="197"/>
      <c r="D944" s="197"/>
      <c r="E944" s="197"/>
      <c r="F944" s="197"/>
      <c r="G944" s="197"/>
      <c r="H944" s="197"/>
      <c r="I944" s="197"/>
      <c r="J944" s="197"/>
      <c r="K944" s="197"/>
      <c r="L944" s="197"/>
      <c r="M944" s="197"/>
      <c r="N944" s="197"/>
      <c r="O944" s="197"/>
      <c r="P944" s="197"/>
      <c r="Q944" s="197"/>
      <c r="R944" s="197"/>
      <c r="S944" s="197"/>
      <c r="T944" s="197"/>
      <c r="U944" s="197"/>
      <c r="V944" s="197"/>
      <c r="W944" s="197"/>
      <c r="X944" s="197"/>
      <c r="Y944" s="197"/>
      <c r="Z944" s="197"/>
    </row>
    <row r="945" ht="61.5" customHeight="1">
      <c r="A945" s="197"/>
      <c r="B945" s="197"/>
      <c r="C945" s="197"/>
      <c r="D945" s="197"/>
      <c r="E945" s="197"/>
      <c r="F945" s="197"/>
      <c r="G945" s="197"/>
      <c r="H945" s="197"/>
      <c r="I945" s="197"/>
      <c r="J945" s="197"/>
      <c r="K945" s="197"/>
      <c r="L945" s="197"/>
      <c r="M945" s="197"/>
      <c r="N945" s="197"/>
      <c r="O945" s="197"/>
      <c r="P945" s="197"/>
      <c r="Q945" s="197"/>
      <c r="R945" s="197"/>
      <c r="S945" s="197"/>
      <c r="T945" s="197"/>
      <c r="U945" s="197"/>
      <c r="V945" s="197"/>
      <c r="W945" s="197"/>
      <c r="X945" s="197"/>
      <c r="Y945" s="197"/>
      <c r="Z945" s="197"/>
    </row>
    <row r="946" ht="61.5" customHeight="1">
      <c r="A946" s="197"/>
      <c r="B946" s="197"/>
      <c r="C946" s="197"/>
      <c r="D946" s="197"/>
      <c r="E946" s="197"/>
      <c r="F946" s="197"/>
      <c r="G946" s="197"/>
      <c r="H946" s="197"/>
      <c r="I946" s="197"/>
      <c r="J946" s="197"/>
      <c r="K946" s="197"/>
      <c r="L946" s="197"/>
      <c r="M946" s="197"/>
      <c r="N946" s="197"/>
      <c r="O946" s="197"/>
      <c r="P946" s="197"/>
      <c r="Q946" s="197"/>
      <c r="R946" s="197"/>
      <c r="S946" s="197"/>
      <c r="T946" s="197"/>
      <c r="U946" s="197"/>
      <c r="V946" s="197"/>
      <c r="W946" s="197"/>
      <c r="X946" s="197"/>
      <c r="Y946" s="197"/>
      <c r="Z946" s="197"/>
    </row>
    <row r="947" ht="61.5" customHeight="1">
      <c r="A947" s="197"/>
      <c r="B947" s="197"/>
      <c r="C947" s="197"/>
      <c r="D947" s="197"/>
      <c r="E947" s="197"/>
      <c r="F947" s="197"/>
      <c r="G947" s="197"/>
      <c r="H947" s="197"/>
      <c r="I947" s="197"/>
      <c r="J947" s="197"/>
      <c r="K947" s="197"/>
      <c r="L947" s="197"/>
      <c r="M947" s="197"/>
      <c r="N947" s="197"/>
      <c r="O947" s="197"/>
      <c r="P947" s="197"/>
      <c r="Q947" s="197"/>
      <c r="R947" s="197"/>
      <c r="S947" s="197"/>
      <c r="T947" s="197"/>
      <c r="U947" s="197"/>
      <c r="V947" s="197"/>
      <c r="W947" s="197"/>
      <c r="X947" s="197"/>
      <c r="Y947" s="197"/>
      <c r="Z947" s="197"/>
    </row>
    <row r="948" ht="61.5" customHeight="1">
      <c r="A948" s="197"/>
      <c r="B948" s="197"/>
      <c r="C948" s="197"/>
      <c r="D948" s="197"/>
      <c r="E948" s="197"/>
      <c r="F948" s="197"/>
      <c r="G948" s="197"/>
      <c r="H948" s="197"/>
      <c r="I948" s="197"/>
      <c r="J948" s="197"/>
      <c r="K948" s="197"/>
      <c r="L948" s="197"/>
      <c r="M948" s="197"/>
      <c r="N948" s="197"/>
      <c r="O948" s="197"/>
      <c r="P948" s="197"/>
      <c r="Q948" s="197"/>
      <c r="R948" s="197"/>
      <c r="S948" s="197"/>
      <c r="T948" s="197"/>
      <c r="U948" s="197"/>
      <c r="V948" s="197"/>
      <c r="W948" s="197"/>
      <c r="X948" s="197"/>
      <c r="Y948" s="197"/>
      <c r="Z948" s="197"/>
    </row>
    <row r="949" ht="61.5" customHeight="1">
      <c r="A949" s="197"/>
      <c r="B949" s="197"/>
      <c r="C949" s="197"/>
      <c r="D949" s="197"/>
      <c r="E949" s="197"/>
      <c r="F949" s="197"/>
      <c r="G949" s="197"/>
      <c r="H949" s="197"/>
      <c r="I949" s="197"/>
      <c r="J949" s="197"/>
      <c r="K949" s="197"/>
      <c r="L949" s="197"/>
      <c r="M949" s="197"/>
      <c r="N949" s="197"/>
      <c r="O949" s="197"/>
      <c r="P949" s="197"/>
      <c r="Q949" s="197"/>
      <c r="R949" s="197"/>
      <c r="S949" s="197"/>
      <c r="T949" s="197"/>
      <c r="U949" s="197"/>
      <c r="V949" s="197"/>
      <c r="W949" s="197"/>
      <c r="X949" s="197"/>
      <c r="Y949" s="197"/>
      <c r="Z949" s="197"/>
    </row>
    <row r="950" ht="61.5" customHeight="1">
      <c r="A950" s="197"/>
      <c r="B950" s="197"/>
      <c r="C950" s="197"/>
      <c r="D950" s="197"/>
      <c r="E950" s="197"/>
      <c r="F950" s="197"/>
      <c r="G950" s="197"/>
      <c r="H950" s="197"/>
      <c r="I950" s="197"/>
      <c r="J950" s="197"/>
      <c r="K950" s="197"/>
      <c r="L950" s="197"/>
      <c r="M950" s="197"/>
      <c r="N950" s="197"/>
      <c r="O950" s="197"/>
      <c r="P950" s="197"/>
      <c r="Q950" s="197"/>
      <c r="R950" s="197"/>
      <c r="S950" s="197"/>
      <c r="T950" s="197"/>
      <c r="U950" s="197"/>
      <c r="V950" s="197"/>
      <c r="W950" s="197"/>
      <c r="X950" s="197"/>
      <c r="Y950" s="197"/>
      <c r="Z950" s="197"/>
    </row>
    <row r="951" ht="61.5" customHeight="1">
      <c r="A951" s="197"/>
      <c r="B951" s="197"/>
      <c r="C951" s="197"/>
      <c r="D951" s="197"/>
      <c r="E951" s="197"/>
      <c r="F951" s="197"/>
      <c r="G951" s="197"/>
      <c r="H951" s="197"/>
      <c r="I951" s="197"/>
      <c r="J951" s="197"/>
      <c r="K951" s="197"/>
      <c r="L951" s="197"/>
      <c r="M951" s="197"/>
      <c r="N951" s="197"/>
      <c r="O951" s="197"/>
      <c r="P951" s="197"/>
      <c r="Q951" s="197"/>
      <c r="R951" s="197"/>
      <c r="S951" s="197"/>
      <c r="T951" s="197"/>
      <c r="U951" s="197"/>
      <c r="V951" s="197"/>
      <c r="W951" s="197"/>
      <c r="X951" s="197"/>
      <c r="Y951" s="197"/>
      <c r="Z951" s="197"/>
    </row>
    <row r="952" ht="61.5" customHeight="1">
      <c r="A952" s="197"/>
      <c r="B952" s="197"/>
      <c r="C952" s="197"/>
      <c r="D952" s="197"/>
      <c r="E952" s="197"/>
      <c r="F952" s="197"/>
      <c r="G952" s="197"/>
      <c r="H952" s="197"/>
      <c r="I952" s="197"/>
      <c r="J952" s="197"/>
      <c r="K952" s="197"/>
      <c r="L952" s="197"/>
      <c r="M952" s="197"/>
      <c r="N952" s="197"/>
      <c r="O952" s="197"/>
      <c r="P952" s="197"/>
      <c r="Q952" s="197"/>
      <c r="R952" s="197"/>
      <c r="S952" s="197"/>
      <c r="T952" s="197"/>
      <c r="U952" s="197"/>
      <c r="V952" s="197"/>
      <c r="W952" s="197"/>
      <c r="X952" s="197"/>
      <c r="Y952" s="197"/>
      <c r="Z952" s="197"/>
    </row>
    <row r="953" ht="61.5" customHeight="1">
      <c r="A953" s="197"/>
      <c r="B953" s="197"/>
      <c r="C953" s="197"/>
      <c r="D953" s="197"/>
      <c r="E953" s="197"/>
      <c r="F953" s="197"/>
      <c r="G953" s="197"/>
      <c r="H953" s="197"/>
      <c r="I953" s="197"/>
      <c r="J953" s="197"/>
      <c r="K953" s="197"/>
      <c r="L953" s="197"/>
      <c r="M953" s="197"/>
      <c r="N953" s="197"/>
      <c r="O953" s="197"/>
      <c r="P953" s="197"/>
      <c r="Q953" s="197"/>
      <c r="R953" s="197"/>
      <c r="S953" s="197"/>
      <c r="T953" s="197"/>
      <c r="U953" s="197"/>
      <c r="V953" s="197"/>
      <c r="W953" s="197"/>
      <c r="X953" s="197"/>
      <c r="Y953" s="197"/>
      <c r="Z953" s="197"/>
    </row>
    <row r="954" ht="61.5" customHeight="1">
      <c r="A954" s="197"/>
      <c r="B954" s="197"/>
      <c r="C954" s="197"/>
      <c r="D954" s="197"/>
      <c r="E954" s="197"/>
      <c r="F954" s="197"/>
      <c r="G954" s="197"/>
      <c r="H954" s="197"/>
      <c r="I954" s="197"/>
      <c r="J954" s="197"/>
      <c r="K954" s="197"/>
      <c r="L954" s="197"/>
      <c r="M954" s="197"/>
      <c r="N954" s="197"/>
      <c r="O954" s="197"/>
      <c r="P954" s="197"/>
      <c r="Q954" s="197"/>
      <c r="R954" s="197"/>
      <c r="S954" s="197"/>
      <c r="T954" s="197"/>
      <c r="U954" s="197"/>
      <c r="V954" s="197"/>
      <c r="W954" s="197"/>
      <c r="X954" s="197"/>
      <c r="Y954" s="197"/>
      <c r="Z954" s="197"/>
    </row>
    <row r="955" ht="61.5" customHeight="1">
      <c r="A955" s="197"/>
      <c r="B955" s="197"/>
      <c r="C955" s="197"/>
      <c r="D955" s="197"/>
      <c r="E955" s="197"/>
      <c r="F955" s="197"/>
      <c r="G955" s="197"/>
      <c r="H955" s="197"/>
      <c r="I955" s="197"/>
      <c r="J955" s="197"/>
      <c r="K955" s="197"/>
      <c r="L955" s="197"/>
      <c r="M955" s="197"/>
      <c r="N955" s="197"/>
      <c r="O955" s="197"/>
      <c r="P955" s="197"/>
      <c r="Q955" s="197"/>
      <c r="R955" s="197"/>
      <c r="S955" s="197"/>
      <c r="T955" s="197"/>
      <c r="U955" s="197"/>
      <c r="V955" s="197"/>
      <c r="W955" s="197"/>
      <c r="X955" s="197"/>
      <c r="Y955" s="197"/>
      <c r="Z955" s="197"/>
    </row>
    <row r="956" ht="61.5" customHeight="1">
      <c r="A956" s="197"/>
      <c r="B956" s="197"/>
      <c r="C956" s="197"/>
      <c r="D956" s="197"/>
      <c r="E956" s="197"/>
      <c r="F956" s="197"/>
      <c r="G956" s="197"/>
      <c r="H956" s="197"/>
      <c r="I956" s="197"/>
      <c r="J956" s="197"/>
      <c r="K956" s="197"/>
      <c r="L956" s="197"/>
      <c r="M956" s="197"/>
      <c r="N956" s="197"/>
      <c r="O956" s="197"/>
      <c r="P956" s="197"/>
      <c r="Q956" s="197"/>
      <c r="R956" s="197"/>
      <c r="S956" s="197"/>
      <c r="T956" s="197"/>
      <c r="U956" s="197"/>
      <c r="V956" s="197"/>
      <c r="W956" s="197"/>
      <c r="X956" s="197"/>
      <c r="Y956" s="197"/>
      <c r="Z956" s="197"/>
    </row>
    <row r="957" ht="61.5" customHeight="1">
      <c r="A957" s="197"/>
      <c r="B957" s="197"/>
      <c r="C957" s="197"/>
      <c r="D957" s="197"/>
      <c r="E957" s="197"/>
      <c r="F957" s="197"/>
      <c r="G957" s="197"/>
      <c r="H957" s="197"/>
      <c r="I957" s="197"/>
      <c r="J957" s="197"/>
      <c r="K957" s="197"/>
      <c r="L957" s="197"/>
      <c r="M957" s="197"/>
      <c r="N957" s="197"/>
      <c r="O957" s="197"/>
      <c r="P957" s="197"/>
      <c r="Q957" s="197"/>
      <c r="R957" s="197"/>
      <c r="S957" s="197"/>
      <c r="T957" s="197"/>
      <c r="U957" s="197"/>
      <c r="V957" s="197"/>
      <c r="W957" s="197"/>
      <c r="X957" s="197"/>
      <c r="Y957" s="197"/>
      <c r="Z957" s="197"/>
    </row>
    <row r="958" ht="61.5" customHeight="1">
      <c r="A958" s="197"/>
      <c r="B958" s="197"/>
      <c r="C958" s="197"/>
      <c r="D958" s="197"/>
      <c r="E958" s="197"/>
      <c r="F958" s="197"/>
      <c r="G958" s="197"/>
      <c r="H958" s="197"/>
      <c r="I958" s="197"/>
      <c r="J958" s="197"/>
      <c r="K958" s="197"/>
      <c r="L958" s="197"/>
      <c r="M958" s="197"/>
      <c r="N958" s="197"/>
      <c r="O958" s="197"/>
      <c r="P958" s="197"/>
      <c r="Q958" s="197"/>
      <c r="R958" s="197"/>
      <c r="S958" s="197"/>
      <c r="T958" s="197"/>
      <c r="U958" s="197"/>
      <c r="V958" s="197"/>
      <c r="W958" s="197"/>
      <c r="X958" s="197"/>
      <c r="Y958" s="197"/>
      <c r="Z958" s="197"/>
    </row>
    <row r="959" ht="61.5" customHeight="1">
      <c r="A959" s="197"/>
      <c r="B959" s="197"/>
      <c r="C959" s="197"/>
      <c r="D959" s="197"/>
      <c r="E959" s="197"/>
      <c r="F959" s="197"/>
      <c r="G959" s="197"/>
      <c r="H959" s="197"/>
      <c r="I959" s="197"/>
      <c r="J959" s="197"/>
      <c r="K959" s="197"/>
      <c r="L959" s="197"/>
      <c r="M959" s="197"/>
      <c r="N959" s="197"/>
      <c r="O959" s="197"/>
      <c r="P959" s="197"/>
      <c r="Q959" s="197"/>
      <c r="R959" s="197"/>
      <c r="S959" s="197"/>
      <c r="T959" s="197"/>
      <c r="U959" s="197"/>
      <c r="V959" s="197"/>
      <c r="W959" s="197"/>
      <c r="X959" s="197"/>
      <c r="Y959" s="197"/>
      <c r="Z959" s="197"/>
    </row>
    <row r="960" ht="61.5" customHeight="1">
      <c r="A960" s="197"/>
      <c r="B960" s="197"/>
      <c r="C960" s="197"/>
      <c r="D960" s="197"/>
      <c r="E960" s="197"/>
      <c r="F960" s="197"/>
      <c r="G960" s="197"/>
      <c r="H960" s="197"/>
      <c r="I960" s="197"/>
      <c r="J960" s="197"/>
      <c r="K960" s="197"/>
      <c r="L960" s="197"/>
      <c r="M960" s="197"/>
      <c r="N960" s="197"/>
      <c r="O960" s="197"/>
      <c r="P960" s="197"/>
      <c r="Q960" s="197"/>
      <c r="R960" s="197"/>
      <c r="S960" s="197"/>
      <c r="T960" s="197"/>
      <c r="U960" s="197"/>
      <c r="V960" s="197"/>
      <c r="W960" s="197"/>
      <c r="X960" s="197"/>
      <c r="Y960" s="197"/>
      <c r="Z960" s="197"/>
    </row>
    <row r="961" ht="61.5" customHeight="1">
      <c r="A961" s="197"/>
      <c r="B961" s="197"/>
      <c r="C961" s="197"/>
      <c r="D961" s="197"/>
      <c r="E961" s="197"/>
      <c r="F961" s="197"/>
      <c r="G961" s="197"/>
      <c r="H961" s="197"/>
      <c r="I961" s="197"/>
      <c r="J961" s="197"/>
      <c r="K961" s="197"/>
      <c r="L961" s="197"/>
      <c r="M961" s="197"/>
      <c r="N961" s="197"/>
      <c r="O961" s="197"/>
      <c r="P961" s="197"/>
      <c r="Q961" s="197"/>
      <c r="R961" s="197"/>
      <c r="S961" s="197"/>
      <c r="T961" s="197"/>
      <c r="U961" s="197"/>
      <c r="V961" s="197"/>
      <c r="W961" s="197"/>
      <c r="X961" s="197"/>
      <c r="Y961" s="197"/>
      <c r="Z961" s="197"/>
    </row>
    <row r="962" ht="61.5" customHeight="1">
      <c r="A962" s="197"/>
      <c r="B962" s="197"/>
      <c r="C962" s="197"/>
      <c r="D962" s="197"/>
      <c r="E962" s="197"/>
      <c r="F962" s="197"/>
      <c r="G962" s="197"/>
      <c r="H962" s="197"/>
      <c r="I962" s="197"/>
      <c r="J962" s="197"/>
      <c r="K962" s="197"/>
      <c r="L962" s="197"/>
      <c r="M962" s="197"/>
      <c r="N962" s="197"/>
      <c r="O962" s="197"/>
      <c r="P962" s="197"/>
      <c r="Q962" s="197"/>
      <c r="R962" s="197"/>
      <c r="S962" s="197"/>
      <c r="T962" s="197"/>
      <c r="U962" s="197"/>
      <c r="V962" s="197"/>
      <c r="W962" s="197"/>
      <c r="X962" s="197"/>
      <c r="Y962" s="197"/>
      <c r="Z962" s="197"/>
    </row>
    <row r="963" ht="61.5" customHeight="1">
      <c r="A963" s="197"/>
      <c r="B963" s="197"/>
      <c r="C963" s="197"/>
      <c r="D963" s="197"/>
      <c r="E963" s="197"/>
      <c r="F963" s="197"/>
      <c r="G963" s="197"/>
      <c r="H963" s="197"/>
      <c r="I963" s="197"/>
      <c r="J963" s="197"/>
      <c r="K963" s="197"/>
      <c r="L963" s="197"/>
      <c r="M963" s="197"/>
      <c r="N963" s="197"/>
      <c r="O963" s="197"/>
      <c r="P963" s="197"/>
      <c r="Q963" s="197"/>
      <c r="R963" s="197"/>
      <c r="S963" s="197"/>
      <c r="T963" s="197"/>
      <c r="U963" s="197"/>
      <c r="V963" s="197"/>
      <c r="W963" s="197"/>
      <c r="X963" s="197"/>
      <c r="Y963" s="197"/>
      <c r="Z963" s="197"/>
    </row>
    <row r="964" ht="61.5" customHeight="1">
      <c r="A964" s="197"/>
      <c r="B964" s="197"/>
      <c r="C964" s="197"/>
      <c r="D964" s="197"/>
      <c r="E964" s="197"/>
      <c r="F964" s="197"/>
      <c r="G964" s="197"/>
      <c r="H964" s="197"/>
      <c r="I964" s="197"/>
      <c r="J964" s="197"/>
      <c r="K964" s="197"/>
      <c r="L964" s="197"/>
      <c r="M964" s="197"/>
      <c r="N964" s="197"/>
      <c r="O964" s="197"/>
      <c r="P964" s="197"/>
      <c r="Q964" s="197"/>
      <c r="R964" s="197"/>
      <c r="S964" s="197"/>
      <c r="T964" s="197"/>
      <c r="U964" s="197"/>
      <c r="V964" s="197"/>
      <c r="W964" s="197"/>
      <c r="X964" s="197"/>
      <c r="Y964" s="197"/>
      <c r="Z964" s="197"/>
    </row>
    <row r="965" ht="61.5" customHeight="1">
      <c r="A965" s="197"/>
      <c r="B965" s="197"/>
      <c r="C965" s="197"/>
      <c r="D965" s="197"/>
      <c r="E965" s="197"/>
      <c r="F965" s="197"/>
      <c r="G965" s="197"/>
      <c r="H965" s="197"/>
      <c r="I965" s="197"/>
      <c r="J965" s="197"/>
      <c r="K965" s="197"/>
      <c r="L965" s="197"/>
      <c r="M965" s="197"/>
      <c r="N965" s="197"/>
      <c r="O965" s="197"/>
      <c r="P965" s="197"/>
      <c r="Q965" s="197"/>
      <c r="R965" s="197"/>
      <c r="S965" s="197"/>
      <c r="T965" s="197"/>
      <c r="U965" s="197"/>
      <c r="V965" s="197"/>
      <c r="W965" s="197"/>
      <c r="X965" s="197"/>
      <c r="Y965" s="197"/>
      <c r="Z965" s="197"/>
    </row>
    <row r="966" ht="61.5" customHeight="1">
      <c r="A966" s="197"/>
      <c r="B966" s="197"/>
      <c r="C966" s="197"/>
      <c r="D966" s="197"/>
      <c r="E966" s="197"/>
      <c r="F966" s="197"/>
      <c r="G966" s="197"/>
      <c r="H966" s="197"/>
      <c r="I966" s="197"/>
      <c r="J966" s="197"/>
      <c r="K966" s="197"/>
      <c r="L966" s="197"/>
      <c r="M966" s="197"/>
      <c r="N966" s="197"/>
      <c r="O966" s="197"/>
      <c r="P966" s="197"/>
      <c r="Q966" s="197"/>
      <c r="R966" s="197"/>
      <c r="S966" s="197"/>
      <c r="T966" s="197"/>
      <c r="U966" s="197"/>
      <c r="V966" s="197"/>
      <c r="W966" s="197"/>
      <c r="X966" s="197"/>
      <c r="Y966" s="197"/>
      <c r="Z966" s="197"/>
    </row>
    <row r="967" ht="61.5" customHeight="1">
      <c r="A967" s="197"/>
      <c r="B967" s="197"/>
      <c r="C967" s="197"/>
      <c r="D967" s="197"/>
      <c r="E967" s="197"/>
      <c r="F967" s="197"/>
      <c r="G967" s="197"/>
      <c r="H967" s="197"/>
      <c r="I967" s="197"/>
      <c r="J967" s="197"/>
      <c r="K967" s="197"/>
      <c r="L967" s="197"/>
      <c r="M967" s="197"/>
      <c r="N967" s="197"/>
      <c r="O967" s="197"/>
      <c r="P967" s="197"/>
      <c r="Q967" s="197"/>
      <c r="R967" s="197"/>
      <c r="S967" s="197"/>
      <c r="T967" s="197"/>
      <c r="U967" s="197"/>
      <c r="V967" s="197"/>
      <c r="W967" s="197"/>
      <c r="X967" s="197"/>
      <c r="Y967" s="197"/>
      <c r="Z967" s="197"/>
    </row>
    <row r="968" ht="61.5" customHeight="1">
      <c r="A968" s="197"/>
      <c r="B968" s="197"/>
      <c r="C968" s="197"/>
      <c r="D968" s="197"/>
      <c r="E968" s="197"/>
      <c r="F968" s="197"/>
      <c r="G968" s="197"/>
      <c r="H968" s="197"/>
      <c r="I968" s="197"/>
      <c r="J968" s="197"/>
      <c r="K968" s="197"/>
      <c r="L968" s="197"/>
      <c r="M968" s="197"/>
      <c r="N968" s="197"/>
      <c r="O968" s="197"/>
      <c r="P968" s="197"/>
      <c r="Q968" s="197"/>
      <c r="R968" s="197"/>
      <c r="S968" s="197"/>
      <c r="T968" s="197"/>
      <c r="U968" s="197"/>
      <c r="V968" s="197"/>
      <c r="W968" s="197"/>
      <c r="X968" s="197"/>
      <c r="Y968" s="197"/>
      <c r="Z968" s="197"/>
    </row>
    <row r="969" ht="61.5" customHeight="1">
      <c r="A969" s="197"/>
      <c r="B969" s="197"/>
      <c r="C969" s="197"/>
      <c r="D969" s="197"/>
      <c r="E969" s="197"/>
      <c r="F969" s="197"/>
      <c r="G969" s="197"/>
      <c r="H969" s="197"/>
      <c r="I969" s="197"/>
      <c r="J969" s="197"/>
      <c r="K969" s="197"/>
      <c r="L969" s="197"/>
      <c r="M969" s="197"/>
      <c r="N969" s="197"/>
      <c r="O969" s="197"/>
      <c r="P969" s="197"/>
      <c r="Q969" s="197"/>
      <c r="R969" s="197"/>
      <c r="S969" s="197"/>
      <c r="T969" s="197"/>
      <c r="U969" s="197"/>
      <c r="V969" s="197"/>
      <c r="W969" s="197"/>
      <c r="X969" s="197"/>
      <c r="Y969" s="197"/>
      <c r="Z969" s="197"/>
    </row>
    <row r="970" ht="61.5" customHeight="1">
      <c r="A970" s="197"/>
      <c r="B970" s="197"/>
      <c r="C970" s="197"/>
      <c r="D970" s="197"/>
      <c r="E970" s="197"/>
      <c r="F970" s="197"/>
      <c r="G970" s="197"/>
      <c r="H970" s="197"/>
      <c r="I970" s="197"/>
      <c r="J970" s="197"/>
      <c r="K970" s="197"/>
      <c r="L970" s="197"/>
      <c r="M970" s="197"/>
      <c r="N970" s="197"/>
      <c r="O970" s="197"/>
      <c r="P970" s="197"/>
      <c r="Q970" s="197"/>
      <c r="R970" s="197"/>
      <c r="S970" s="197"/>
      <c r="T970" s="197"/>
      <c r="U970" s="197"/>
      <c r="V970" s="197"/>
      <c r="W970" s="197"/>
      <c r="X970" s="197"/>
      <c r="Y970" s="197"/>
      <c r="Z970" s="197"/>
    </row>
    <row r="971" ht="61.5" customHeight="1">
      <c r="A971" s="197"/>
      <c r="B971" s="197"/>
      <c r="C971" s="197"/>
      <c r="D971" s="197"/>
      <c r="E971" s="197"/>
      <c r="F971" s="197"/>
      <c r="G971" s="197"/>
      <c r="H971" s="197"/>
      <c r="I971" s="197"/>
      <c r="J971" s="197"/>
      <c r="K971" s="197"/>
      <c r="L971" s="197"/>
      <c r="M971" s="197"/>
      <c r="N971" s="197"/>
      <c r="O971" s="197"/>
      <c r="P971" s="197"/>
      <c r="Q971" s="197"/>
      <c r="R971" s="197"/>
      <c r="S971" s="197"/>
      <c r="T971" s="197"/>
      <c r="U971" s="197"/>
      <c r="V971" s="197"/>
      <c r="W971" s="197"/>
      <c r="X971" s="197"/>
      <c r="Y971" s="197"/>
      <c r="Z971" s="197"/>
    </row>
    <row r="972" ht="61.5" customHeight="1">
      <c r="A972" s="197"/>
      <c r="B972" s="197"/>
      <c r="C972" s="197"/>
      <c r="D972" s="197"/>
      <c r="E972" s="197"/>
      <c r="F972" s="197"/>
      <c r="G972" s="197"/>
      <c r="H972" s="197"/>
      <c r="I972" s="197"/>
      <c r="J972" s="197"/>
      <c r="K972" s="197"/>
      <c r="L972" s="197"/>
      <c r="M972" s="197"/>
      <c r="N972" s="197"/>
      <c r="O972" s="197"/>
      <c r="P972" s="197"/>
      <c r="Q972" s="197"/>
      <c r="R972" s="197"/>
      <c r="S972" s="197"/>
      <c r="T972" s="197"/>
      <c r="U972" s="197"/>
      <c r="V972" s="197"/>
      <c r="W972" s="197"/>
      <c r="X972" s="197"/>
      <c r="Y972" s="197"/>
      <c r="Z972" s="197"/>
    </row>
    <row r="973" ht="61.5" customHeight="1">
      <c r="A973" s="197"/>
      <c r="B973" s="197"/>
      <c r="C973" s="197"/>
      <c r="D973" s="197"/>
      <c r="E973" s="197"/>
      <c r="F973" s="197"/>
      <c r="G973" s="197"/>
      <c r="H973" s="197"/>
      <c r="I973" s="197"/>
      <c r="J973" s="197"/>
      <c r="K973" s="197"/>
      <c r="L973" s="197"/>
      <c r="M973" s="197"/>
      <c r="N973" s="197"/>
      <c r="O973" s="197"/>
      <c r="P973" s="197"/>
      <c r="Q973" s="197"/>
      <c r="R973" s="197"/>
      <c r="S973" s="197"/>
      <c r="T973" s="197"/>
      <c r="U973" s="197"/>
      <c r="V973" s="197"/>
      <c r="W973" s="197"/>
      <c r="X973" s="197"/>
      <c r="Y973" s="197"/>
      <c r="Z973" s="197"/>
    </row>
    <row r="974" ht="61.5" customHeight="1">
      <c r="A974" s="197"/>
      <c r="B974" s="197"/>
      <c r="C974" s="197"/>
      <c r="D974" s="197"/>
      <c r="E974" s="197"/>
      <c r="F974" s="197"/>
      <c r="G974" s="197"/>
      <c r="H974" s="197"/>
      <c r="I974" s="197"/>
      <c r="J974" s="197"/>
      <c r="K974" s="197"/>
      <c r="L974" s="197"/>
      <c r="M974" s="197"/>
      <c r="N974" s="197"/>
      <c r="O974" s="197"/>
      <c r="P974" s="197"/>
      <c r="Q974" s="197"/>
      <c r="R974" s="197"/>
      <c r="S974" s="197"/>
      <c r="T974" s="197"/>
      <c r="U974" s="197"/>
      <c r="V974" s="197"/>
      <c r="W974" s="197"/>
      <c r="X974" s="197"/>
      <c r="Y974" s="197"/>
      <c r="Z974" s="197"/>
    </row>
    <row r="975" ht="61.5" customHeight="1">
      <c r="A975" s="197"/>
      <c r="B975" s="197"/>
      <c r="C975" s="197"/>
      <c r="D975" s="197"/>
      <c r="E975" s="197"/>
      <c r="F975" s="197"/>
      <c r="G975" s="197"/>
      <c r="H975" s="197"/>
      <c r="I975" s="197"/>
      <c r="J975" s="197"/>
      <c r="K975" s="197"/>
      <c r="L975" s="197"/>
      <c r="M975" s="197"/>
      <c r="N975" s="197"/>
      <c r="O975" s="197"/>
      <c r="P975" s="197"/>
      <c r="Q975" s="197"/>
      <c r="R975" s="197"/>
      <c r="S975" s="197"/>
      <c r="T975" s="197"/>
      <c r="U975" s="197"/>
      <c r="V975" s="197"/>
      <c r="W975" s="197"/>
      <c r="X975" s="197"/>
      <c r="Y975" s="197"/>
      <c r="Z975" s="197"/>
    </row>
    <row r="976" ht="61.5" customHeight="1">
      <c r="A976" s="197"/>
      <c r="B976" s="197"/>
      <c r="C976" s="197"/>
      <c r="D976" s="197"/>
      <c r="E976" s="197"/>
      <c r="F976" s="197"/>
      <c r="G976" s="197"/>
      <c r="H976" s="197"/>
      <c r="I976" s="197"/>
      <c r="J976" s="197"/>
      <c r="K976" s="197"/>
      <c r="L976" s="197"/>
      <c r="M976" s="197"/>
      <c r="N976" s="197"/>
      <c r="O976" s="197"/>
      <c r="P976" s="197"/>
      <c r="Q976" s="197"/>
      <c r="R976" s="197"/>
      <c r="S976" s="197"/>
      <c r="T976" s="197"/>
      <c r="U976" s="197"/>
      <c r="V976" s="197"/>
      <c r="W976" s="197"/>
      <c r="X976" s="197"/>
      <c r="Y976" s="197"/>
      <c r="Z976" s="197"/>
    </row>
    <row r="977" ht="61.5" customHeight="1">
      <c r="A977" s="197"/>
      <c r="B977" s="197"/>
      <c r="C977" s="197"/>
      <c r="D977" s="197"/>
      <c r="E977" s="197"/>
      <c r="F977" s="197"/>
      <c r="G977" s="197"/>
      <c r="H977" s="197"/>
      <c r="I977" s="197"/>
      <c r="J977" s="197"/>
      <c r="K977" s="197"/>
      <c r="L977" s="197"/>
      <c r="M977" s="197"/>
      <c r="N977" s="197"/>
      <c r="O977" s="197"/>
      <c r="P977" s="197"/>
      <c r="Q977" s="197"/>
      <c r="R977" s="197"/>
      <c r="S977" s="197"/>
      <c r="T977" s="197"/>
      <c r="U977" s="197"/>
      <c r="V977" s="197"/>
      <c r="W977" s="197"/>
      <c r="X977" s="197"/>
      <c r="Y977" s="197"/>
      <c r="Z977" s="197"/>
    </row>
    <row r="978" ht="61.5" customHeight="1">
      <c r="A978" s="197"/>
      <c r="B978" s="197"/>
      <c r="C978" s="197"/>
      <c r="D978" s="197"/>
      <c r="E978" s="197"/>
      <c r="F978" s="197"/>
      <c r="G978" s="197"/>
      <c r="H978" s="197"/>
      <c r="I978" s="197"/>
      <c r="J978" s="197"/>
      <c r="K978" s="197"/>
      <c r="L978" s="197"/>
      <c r="M978" s="197"/>
      <c r="N978" s="197"/>
      <c r="O978" s="197"/>
      <c r="P978" s="197"/>
      <c r="Q978" s="197"/>
      <c r="R978" s="197"/>
      <c r="S978" s="197"/>
      <c r="T978" s="197"/>
      <c r="U978" s="197"/>
      <c r="V978" s="197"/>
      <c r="W978" s="197"/>
      <c r="X978" s="197"/>
      <c r="Y978" s="197"/>
      <c r="Z978" s="197"/>
    </row>
    <row r="979" ht="61.5" customHeight="1">
      <c r="A979" s="197"/>
      <c r="B979" s="197"/>
      <c r="C979" s="197"/>
      <c r="D979" s="197"/>
      <c r="E979" s="197"/>
      <c r="F979" s="197"/>
      <c r="G979" s="197"/>
      <c r="H979" s="197"/>
      <c r="I979" s="197"/>
      <c r="J979" s="197"/>
      <c r="K979" s="197"/>
      <c r="L979" s="197"/>
      <c r="M979" s="197"/>
      <c r="N979" s="197"/>
      <c r="O979" s="197"/>
      <c r="P979" s="197"/>
      <c r="Q979" s="197"/>
      <c r="R979" s="197"/>
      <c r="S979" s="197"/>
      <c r="T979" s="197"/>
      <c r="U979" s="197"/>
      <c r="V979" s="197"/>
      <c r="W979" s="197"/>
      <c r="X979" s="197"/>
      <c r="Y979" s="197"/>
      <c r="Z979" s="197"/>
    </row>
    <row r="980" ht="61.5" customHeight="1">
      <c r="A980" s="197"/>
      <c r="B980" s="197"/>
      <c r="C980" s="197"/>
      <c r="D980" s="197"/>
      <c r="E980" s="197"/>
      <c r="F980" s="197"/>
      <c r="G980" s="197"/>
      <c r="H980" s="197"/>
      <c r="I980" s="197"/>
      <c r="J980" s="197"/>
      <c r="K980" s="197"/>
      <c r="L980" s="197"/>
      <c r="M980" s="197"/>
      <c r="N980" s="197"/>
      <c r="O980" s="197"/>
      <c r="P980" s="197"/>
      <c r="Q980" s="197"/>
      <c r="R980" s="197"/>
      <c r="S980" s="197"/>
      <c r="T980" s="197"/>
      <c r="U980" s="197"/>
      <c r="V980" s="197"/>
      <c r="W980" s="197"/>
      <c r="X980" s="197"/>
      <c r="Y980" s="197"/>
      <c r="Z980" s="197"/>
    </row>
    <row r="981" ht="61.5" customHeight="1">
      <c r="A981" s="197"/>
      <c r="B981" s="197"/>
      <c r="C981" s="197"/>
      <c r="D981" s="197"/>
      <c r="E981" s="197"/>
      <c r="F981" s="197"/>
      <c r="G981" s="197"/>
      <c r="H981" s="197"/>
      <c r="I981" s="197"/>
      <c r="J981" s="197"/>
      <c r="K981" s="197"/>
      <c r="L981" s="197"/>
      <c r="M981" s="197"/>
      <c r="N981" s="197"/>
      <c r="O981" s="197"/>
      <c r="P981" s="197"/>
      <c r="Q981" s="197"/>
      <c r="R981" s="197"/>
      <c r="S981" s="197"/>
      <c r="T981" s="197"/>
      <c r="U981" s="197"/>
      <c r="V981" s="197"/>
      <c r="W981" s="197"/>
      <c r="X981" s="197"/>
      <c r="Y981" s="197"/>
      <c r="Z981" s="197"/>
    </row>
    <row r="982" ht="61.5" customHeight="1">
      <c r="A982" s="197"/>
      <c r="B982" s="197"/>
      <c r="C982" s="197"/>
      <c r="D982" s="197"/>
      <c r="E982" s="197"/>
      <c r="F982" s="197"/>
      <c r="G982" s="197"/>
      <c r="H982" s="197"/>
      <c r="I982" s="197"/>
      <c r="J982" s="197"/>
      <c r="K982" s="197"/>
      <c r="L982" s="197"/>
      <c r="M982" s="197"/>
      <c r="N982" s="197"/>
      <c r="O982" s="197"/>
      <c r="P982" s="197"/>
      <c r="Q982" s="197"/>
      <c r="R982" s="197"/>
      <c r="S982" s="197"/>
      <c r="T982" s="197"/>
      <c r="U982" s="197"/>
      <c r="V982" s="197"/>
      <c r="W982" s="197"/>
      <c r="X982" s="197"/>
      <c r="Y982" s="197"/>
      <c r="Z982" s="197"/>
    </row>
    <row r="983" ht="61.5" customHeight="1">
      <c r="A983" s="197"/>
      <c r="B983" s="197"/>
      <c r="C983" s="197"/>
      <c r="D983" s="197"/>
      <c r="E983" s="197"/>
      <c r="F983" s="197"/>
      <c r="G983" s="197"/>
      <c r="H983" s="197"/>
      <c r="I983" s="197"/>
      <c r="J983" s="197"/>
      <c r="K983" s="197"/>
      <c r="L983" s="197"/>
      <c r="M983" s="197"/>
      <c r="N983" s="197"/>
      <c r="O983" s="197"/>
      <c r="P983" s="197"/>
      <c r="Q983" s="197"/>
      <c r="R983" s="197"/>
      <c r="S983" s="197"/>
      <c r="T983" s="197"/>
      <c r="U983" s="197"/>
      <c r="V983" s="197"/>
      <c r="W983" s="197"/>
      <c r="X983" s="197"/>
      <c r="Y983" s="197"/>
      <c r="Z983" s="197"/>
    </row>
    <row r="984" ht="61.5" customHeight="1">
      <c r="A984" s="197"/>
      <c r="B984" s="197"/>
      <c r="C984" s="197"/>
      <c r="D984" s="197"/>
      <c r="E984" s="197"/>
      <c r="F984" s="197"/>
      <c r="G984" s="197"/>
      <c r="H984" s="197"/>
      <c r="I984" s="197"/>
      <c r="J984" s="197"/>
      <c r="K984" s="197"/>
      <c r="L984" s="197"/>
      <c r="M984" s="197"/>
      <c r="N984" s="197"/>
      <c r="O984" s="197"/>
      <c r="P984" s="197"/>
      <c r="Q984" s="197"/>
      <c r="R984" s="197"/>
      <c r="S984" s="197"/>
      <c r="T984" s="197"/>
      <c r="U984" s="197"/>
      <c r="V984" s="197"/>
      <c r="W984" s="197"/>
      <c r="X984" s="197"/>
      <c r="Y984" s="197"/>
      <c r="Z984" s="197"/>
    </row>
    <row r="985" ht="61.5" customHeight="1">
      <c r="A985" s="197"/>
      <c r="B985" s="197"/>
      <c r="C985" s="197"/>
      <c r="D985" s="197"/>
      <c r="E985" s="197"/>
      <c r="F985" s="197"/>
      <c r="G985" s="197"/>
      <c r="H985" s="197"/>
      <c r="I985" s="197"/>
      <c r="J985" s="197"/>
      <c r="K985" s="197"/>
      <c r="L985" s="197"/>
      <c r="M985" s="197"/>
      <c r="N985" s="197"/>
      <c r="O985" s="197"/>
      <c r="P985" s="197"/>
      <c r="Q985" s="197"/>
      <c r="R985" s="197"/>
      <c r="S985" s="197"/>
      <c r="T985" s="197"/>
      <c r="U985" s="197"/>
      <c r="V985" s="197"/>
      <c r="W985" s="197"/>
      <c r="X985" s="197"/>
      <c r="Y985" s="197"/>
      <c r="Z985" s="197"/>
    </row>
    <row r="986" ht="61.5" customHeight="1">
      <c r="A986" s="197"/>
      <c r="B986" s="197"/>
      <c r="C986" s="197"/>
      <c r="D986" s="197"/>
      <c r="E986" s="197"/>
      <c r="F986" s="197"/>
      <c r="G986" s="197"/>
      <c r="H986" s="197"/>
      <c r="I986" s="197"/>
      <c r="J986" s="197"/>
      <c r="K986" s="197"/>
      <c r="L986" s="197"/>
      <c r="M986" s="197"/>
      <c r="N986" s="197"/>
      <c r="O986" s="197"/>
      <c r="P986" s="197"/>
      <c r="Q986" s="197"/>
      <c r="R986" s="197"/>
      <c r="S986" s="197"/>
      <c r="T986" s="197"/>
      <c r="U986" s="197"/>
      <c r="V986" s="197"/>
      <c r="W986" s="197"/>
      <c r="X986" s="197"/>
      <c r="Y986" s="197"/>
      <c r="Z986" s="197"/>
    </row>
    <row r="987" ht="61.5" customHeight="1">
      <c r="A987" s="197"/>
      <c r="B987" s="197"/>
      <c r="C987" s="197"/>
      <c r="D987" s="197"/>
      <c r="E987" s="197"/>
      <c r="F987" s="197"/>
      <c r="G987" s="197"/>
      <c r="H987" s="197"/>
      <c r="I987" s="197"/>
      <c r="J987" s="197"/>
      <c r="K987" s="197"/>
      <c r="L987" s="197"/>
      <c r="M987" s="197"/>
      <c r="N987" s="197"/>
      <c r="O987" s="197"/>
      <c r="P987" s="197"/>
      <c r="Q987" s="197"/>
      <c r="R987" s="197"/>
      <c r="S987" s="197"/>
      <c r="T987" s="197"/>
      <c r="U987" s="197"/>
      <c r="V987" s="197"/>
      <c r="W987" s="197"/>
      <c r="X987" s="197"/>
      <c r="Y987" s="197"/>
      <c r="Z987" s="197"/>
    </row>
    <row r="988" ht="61.5" customHeight="1">
      <c r="A988" s="197"/>
      <c r="B988" s="197"/>
      <c r="C988" s="197"/>
      <c r="D988" s="197"/>
      <c r="E988" s="197"/>
      <c r="F988" s="197"/>
      <c r="G988" s="197"/>
      <c r="H988" s="197"/>
      <c r="I988" s="197"/>
      <c r="J988" s="197"/>
      <c r="K988" s="197"/>
      <c r="L988" s="197"/>
      <c r="M988" s="197"/>
      <c r="N988" s="197"/>
      <c r="O988" s="197"/>
      <c r="P988" s="197"/>
      <c r="Q988" s="197"/>
      <c r="R988" s="197"/>
      <c r="S988" s="197"/>
      <c r="T988" s="197"/>
      <c r="U988" s="197"/>
      <c r="V988" s="197"/>
      <c r="W988" s="197"/>
      <c r="X988" s="197"/>
      <c r="Y988" s="197"/>
      <c r="Z988" s="197"/>
    </row>
    <row r="989" ht="61.5" customHeight="1">
      <c r="A989" s="197"/>
      <c r="B989" s="197"/>
      <c r="C989" s="197"/>
      <c r="D989" s="197"/>
      <c r="E989" s="197"/>
      <c r="F989" s="197"/>
      <c r="G989" s="197"/>
      <c r="H989" s="197"/>
      <c r="I989" s="197"/>
      <c r="J989" s="197"/>
      <c r="K989" s="197"/>
      <c r="L989" s="197"/>
      <c r="M989" s="197"/>
      <c r="N989" s="197"/>
      <c r="O989" s="197"/>
      <c r="P989" s="197"/>
      <c r="Q989" s="197"/>
      <c r="R989" s="197"/>
      <c r="S989" s="197"/>
      <c r="T989" s="197"/>
      <c r="U989" s="197"/>
      <c r="V989" s="197"/>
      <c r="W989" s="197"/>
      <c r="X989" s="197"/>
      <c r="Y989" s="197"/>
      <c r="Z989" s="197"/>
    </row>
    <row r="990" ht="61.5" customHeight="1">
      <c r="A990" s="197"/>
      <c r="B990" s="197"/>
      <c r="C990" s="197"/>
      <c r="D990" s="197"/>
      <c r="E990" s="197"/>
      <c r="F990" s="197"/>
      <c r="G990" s="197"/>
      <c r="H990" s="197"/>
      <c r="I990" s="197"/>
      <c r="J990" s="197"/>
      <c r="K990" s="197"/>
      <c r="L990" s="197"/>
      <c r="M990" s="197"/>
      <c r="N990" s="197"/>
      <c r="O990" s="197"/>
      <c r="P990" s="197"/>
      <c r="Q990" s="197"/>
      <c r="R990" s="197"/>
      <c r="S990" s="197"/>
      <c r="T990" s="197"/>
      <c r="U990" s="197"/>
      <c r="V990" s="197"/>
      <c r="W990" s="197"/>
      <c r="X990" s="197"/>
      <c r="Y990" s="197"/>
      <c r="Z990" s="197"/>
    </row>
    <row r="991" ht="61.5" customHeight="1">
      <c r="A991" s="197"/>
      <c r="B991" s="197"/>
      <c r="C991" s="197"/>
      <c r="D991" s="197"/>
      <c r="E991" s="197"/>
      <c r="F991" s="197"/>
      <c r="G991" s="197"/>
      <c r="H991" s="197"/>
      <c r="I991" s="197"/>
      <c r="J991" s="197"/>
      <c r="K991" s="197"/>
      <c r="L991" s="197"/>
      <c r="M991" s="197"/>
      <c r="N991" s="197"/>
      <c r="O991" s="197"/>
      <c r="P991" s="197"/>
      <c r="Q991" s="197"/>
      <c r="R991" s="197"/>
      <c r="S991" s="197"/>
      <c r="T991" s="197"/>
      <c r="U991" s="197"/>
      <c r="V991" s="197"/>
      <c r="W991" s="197"/>
      <c r="X991" s="197"/>
      <c r="Y991" s="197"/>
      <c r="Z991" s="197"/>
    </row>
    <row r="992" ht="61.5" customHeight="1">
      <c r="A992" s="197"/>
      <c r="B992" s="197"/>
      <c r="C992" s="197"/>
      <c r="D992" s="197"/>
      <c r="E992" s="197"/>
      <c r="F992" s="197"/>
      <c r="G992" s="197"/>
      <c r="H992" s="197"/>
      <c r="I992" s="197"/>
      <c r="J992" s="197"/>
      <c r="K992" s="197"/>
      <c r="L992" s="197"/>
      <c r="M992" s="197"/>
      <c r="N992" s="197"/>
      <c r="O992" s="197"/>
      <c r="P992" s="197"/>
      <c r="Q992" s="197"/>
      <c r="R992" s="197"/>
      <c r="S992" s="197"/>
      <c r="T992" s="197"/>
      <c r="U992" s="197"/>
      <c r="V992" s="197"/>
      <c r="W992" s="197"/>
      <c r="X992" s="197"/>
      <c r="Y992" s="197"/>
      <c r="Z992" s="197"/>
    </row>
    <row r="993" ht="61.5" customHeight="1">
      <c r="A993" s="197"/>
      <c r="B993" s="197"/>
      <c r="C993" s="197"/>
      <c r="D993" s="197"/>
      <c r="E993" s="197"/>
      <c r="F993" s="197"/>
      <c r="G993" s="197"/>
      <c r="H993" s="197"/>
      <c r="I993" s="197"/>
      <c r="J993" s="197"/>
      <c r="K993" s="197"/>
      <c r="L993" s="197"/>
      <c r="M993" s="197"/>
      <c r="N993" s="197"/>
      <c r="O993" s="197"/>
      <c r="P993" s="197"/>
      <c r="Q993" s="197"/>
      <c r="R993" s="197"/>
      <c r="S993" s="197"/>
      <c r="T993" s="197"/>
      <c r="U993" s="197"/>
      <c r="V993" s="197"/>
      <c r="W993" s="197"/>
      <c r="X993" s="197"/>
      <c r="Y993" s="197"/>
      <c r="Z993" s="197"/>
    </row>
    <row r="994" ht="61.5" customHeight="1">
      <c r="A994" s="197"/>
      <c r="B994" s="197"/>
      <c r="C994" s="197"/>
      <c r="D994" s="197"/>
      <c r="E994" s="197"/>
      <c r="F994" s="197"/>
      <c r="G994" s="197"/>
      <c r="H994" s="197"/>
      <c r="I994" s="197"/>
      <c r="J994" s="197"/>
      <c r="K994" s="197"/>
      <c r="L994" s="197"/>
      <c r="M994" s="197"/>
      <c r="N994" s="197"/>
      <c r="O994" s="197"/>
      <c r="P994" s="197"/>
      <c r="Q994" s="197"/>
      <c r="R994" s="197"/>
      <c r="S994" s="197"/>
      <c r="T994" s="197"/>
      <c r="U994" s="197"/>
      <c r="V994" s="197"/>
      <c r="W994" s="197"/>
      <c r="X994" s="197"/>
      <c r="Y994" s="197"/>
      <c r="Z994" s="197"/>
    </row>
    <row r="995" ht="61.5" customHeight="1">
      <c r="A995" s="197"/>
      <c r="B995" s="197"/>
      <c r="C995" s="197"/>
      <c r="D995" s="197"/>
      <c r="E995" s="197"/>
      <c r="F995" s="197"/>
      <c r="G995" s="197"/>
      <c r="H995" s="197"/>
      <c r="I995" s="197"/>
      <c r="J995" s="197"/>
      <c r="K995" s="197"/>
      <c r="L995" s="197"/>
      <c r="M995" s="197"/>
      <c r="N995" s="197"/>
      <c r="O995" s="197"/>
      <c r="P995" s="197"/>
      <c r="Q995" s="197"/>
      <c r="R995" s="197"/>
      <c r="S995" s="197"/>
      <c r="T995" s="197"/>
      <c r="U995" s="197"/>
      <c r="V995" s="197"/>
      <c r="W995" s="197"/>
      <c r="X995" s="197"/>
      <c r="Y995" s="197"/>
      <c r="Z995" s="197"/>
    </row>
    <row r="996" ht="61.5" customHeight="1">
      <c r="A996" s="197"/>
      <c r="B996" s="197"/>
      <c r="C996" s="197"/>
      <c r="D996" s="197"/>
      <c r="E996" s="197"/>
      <c r="F996" s="197"/>
      <c r="G996" s="197"/>
      <c r="H996" s="197"/>
      <c r="I996" s="197"/>
      <c r="J996" s="197"/>
      <c r="K996" s="197"/>
      <c r="L996" s="197"/>
      <c r="M996" s="197"/>
      <c r="N996" s="197"/>
      <c r="O996" s="197"/>
      <c r="P996" s="197"/>
      <c r="Q996" s="197"/>
      <c r="R996" s="197"/>
      <c r="S996" s="197"/>
      <c r="T996" s="197"/>
      <c r="U996" s="197"/>
      <c r="V996" s="197"/>
      <c r="W996" s="197"/>
      <c r="X996" s="197"/>
      <c r="Y996" s="197"/>
      <c r="Z996" s="197"/>
    </row>
    <row r="997" ht="61.5" customHeight="1">
      <c r="A997" s="197"/>
      <c r="B997" s="197"/>
      <c r="C997" s="197"/>
      <c r="D997" s="197"/>
      <c r="E997" s="197"/>
      <c r="F997" s="197"/>
      <c r="G997" s="197"/>
      <c r="H997" s="197"/>
      <c r="I997" s="197"/>
      <c r="J997" s="197"/>
      <c r="K997" s="197"/>
      <c r="L997" s="197"/>
      <c r="M997" s="197"/>
      <c r="N997" s="197"/>
      <c r="O997" s="197"/>
      <c r="P997" s="197"/>
      <c r="Q997" s="197"/>
      <c r="R997" s="197"/>
      <c r="S997" s="197"/>
      <c r="T997" s="197"/>
      <c r="U997" s="197"/>
      <c r="V997" s="197"/>
      <c r="W997" s="197"/>
      <c r="X997" s="197"/>
      <c r="Y997" s="197"/>
      <c r="Z997" s="197"/>
    </row>
    <row r="998" ht="61.5" customHeight="1">
      <c r="A998" s="197"/>
      <c r="B998" s="197"/>
      <c r="C998" s="197"/>
      <c r="D998" s="197"/>
      <c r="E998" s="197"/>
      <c r="F998" s="197"/>
      <c r="G998" s="197"/>
      <c r="H998" s="197"/>
      <c r="I998" s="197"/>
      <c r="J998" s="197"/>
      <c r="K998" s="197"/>
      <c r="L998" s="197"/>
      <c r="M998" s="197"/>
      <c r="N998" s="197"/>
      <c r="O998" s="197"/>
      <c r="P998" s="197"/>
      <c r="Q998" s="197"/>
      <c r="R998" s="197"/>
      <c r="S998" s="197"/>
      <c r="T998" s="197"/>
      <c r="U998" s="197"/>
      <c r="V998" s="197"/>
      <c r="W998" s="197"/>
      <c r="X998" s="197"/>
      <c r="Y998" s="197"/>
      <c r="Z998" s="197"/>
    </row>
    <row r="999" ht="61.5" customHeight="1">
      <c r="A999" s="197"/>
      <c r="B999" s="197"/>
      <c r="C999" s="197"/>
      <c r="D999" s="197"/>
      <c r="E999" s="197"/>
      <c r="F999" s="197"/>
      <c r="G999" s="197"/>
      <c r="H999" s="197"/>
      <c r="I999" s="197"/>
      <c r="J999" s="197"/>
      <c r="K999" s="197"/>
      <c r="L999" s="197"/>
      <c r="M999" s="197"/>
      <c r="N999" s="197"/>
      <c r="O999" s="197"/>
      <c r="P999" s="197"/>
      <c r="Q999" s="197"/>
      <c r="R999" s="197"/>
      <c r="S999" s="197"/>
      <c r="T999" s="197"/>
      <c r="U999" s="197"/>
      <c r="V999" s="197"/>
      <c r="W999" s="197"/>
      <c r="X999" s="197"/>
      <c r="Y999" s="197"/>
      <c r="Z999" s="197"/>
    </row>
    <row r="1000" ht="61.5" customHeight="1">
      <c r="A1000" s="197"/>
      <c r="B1000" s="197"/>
      <c r="C1000" s="197"/>
      <c r="D1000" s="197"/>
      <c r="E1000" s="197"/>
      <c r="F1000" s="197"/>
      <c r="G1000" s="197"/>
      <c r="H1000" s="197"/>
      <c r="I1000" s="197"/>
      <c r="J1000" s="197"/>
      <c r="K1000" s="197"/>
      <c r="L1000" s="197"/>
      <c r="M1000" s="197"/>
      <c r="N1000" s="197"/>
      <c r="O1000" s="197"/>
      <c r="P1000" s="197"/>
      <c r="Q1000" s="197"/>
      <c r="R1000" s="197"/>
      <c r="S1000" s="197"/>
      <c r="T1000" s="197"/>
      <c r="U1000" s="197"/>
      <c r="V1000" s="197"/>
      <c r="W1000" s="197"/>
      <c r="X1000" s="197"/>
      <c r="Y1000" s="197"/>
      <c r="Z1000" s="197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E5E5E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3" width="28.0"/>
    <col customWidth="1" min="4" max="57" width="3.71"/>
    <col customWidth="1" min="58" max="58" width="6.14"/>
    <col customWidth="1" min="59" max="63" width="3.71"/>
    <col customWidth="1" min="64" max="64" width="6.14"/>
    <col customWidth="1" min="65" max="70" width="3.71"/>
  </cols>
  <sheetData>
    <row r="3">
      <c r="B3" s="1">
        <f t="shared" ref="B3:C3" si="1">COUNTA(B6:B379)</f>
        <v>371</v>
      </c>
      <c r="C3" s="1">
        <f t="shared" si="1"/>
        <v>67</v>
      </c>
    </row>
    <row r="4">
      <c r="A4" s="198" t="s">
        <v>851</v>
      </c>
      <c r="B4" s="198" t="s">
        <v>0</v>
      </c>
      <c r="C4" s="198" t="s">
        <v>490</v>
      </c>
      <c r="D4" s="199">
        <v>45897.0</v>
      </c>
      <c r="E4" s="200">
        <f t="shared" ref="E4:BP4" si="2">D4+1</f>
        <v>45898</v>
      </c>
      <c r="F4" s="200">
        <f t="shared" si="2"/>
        <v>45899</v>
      </c>
      <c r="G4" s="200">
        <f t="shared" si="2"/>
        <v>45900</v>
      </c>
      <c r="H4" s="200">
        <f t="shared" si="2"/>
        <v>45901</v>
      </c>
      <c r="I4" s="200">
        <f t="shared" si="2"/>
        <v>45902</v>
      </c>
      <c r="J4" s="200">
        <f t="shared" si="2"/>
        <v>45903</v>
      </c>
      <c r="K4" s="200">
        <f t="shared" si="2"/>
        <v>45904</v>
      </c>
      <c r="L4" s="200">
        <f t="shared" si="2"/>
        <v>45905</v>
      </c>
      <c r="M4" s="200">
        <f t="shared" si="2"/>
        <v>45906</v>
      </c>
      <c r="N4" s="200">
        <f t="shared" si="2"/>
        <v>45907</v>
      </c>
      <c r="O4" s="200">
        <f t="shared" si="2"/>
        <v>45908</v>
      </c>
      <c r="P4" s="200">
        <f t="shared" si="2"/>
        <v>45909</v>
      </c>
      <c r="Q4" s="200">
        <f t="shared" si="2"/>
        <v>45910</v>
      </c>
      <c r="R4" s="200">
        <f t="shared" si="2"/>
        <v>45911</v>
      </c>
      <c r="S4" s="200">
        <f t="shared" si="2"/>
        <v>45912</v>
      </c>
      <c r="T4" s="200">
        <f t="shared" si="2"/>
        <v>45913</v>
      </c>
      <c r="U4" s="200">
        <f t="shared" si="2"/>
        <v>45914</v>
      </c>
      <c r="V4" s="200">
        <f t="shared" si="2"/>
        <v>45915</v>
      </c>
      <c r="W4" s="200">
        <f t="shared" si="2"/>
        <v>45916</v>
      </c>
      <c r="X4" s="200">
        <f t="shared" si="2"/>
        <v>45917</v>
      </c>
      <c r="Y4" s="200">
        <f t="shared" si="2"/>
        <v>45918</v>
      </c>
      <c r="Z4" s="200">
        <f t="shared" si="2"/>
        <v>45919</v>
      </c>
      <c r="AA4" s="200">
        <f t="shared" si="2"/>
        <v>45920</v>
      </c>
      <c r="AB4" s="200">
        <f t="shared" si="2"/>
        <v>45921</v>
      </c>
      <c r="AC4" s="200">
        <f t="shared" si="2"/>
        <v>45922</v>
      </c>
      <c r="AD4" s="200">
        <f t="shared" si="2"/>
        <v>45923</v>
      </c>
      <c r="AE4" s="200">
        <f t="shared" si="2"/>
        <v>45924</v>
      </c>
      <c r="AF4" s="200">
        <f t="shared" si="2"/>
        <v>45925</v>
      </c>
      <c r="AG4" s="200">
        <f t="shared" si="2"/>
        <v>45926</v>
      </c>
      <c r="AH4" s="200">
        <f t="shared" si="2"/>
        <v>45927</v>
      </c>
      <c r="AI4" s="200">
        <f t="shared" si="2"/>
        <v>45928</v>
      </c>
      <c r="AJ4" s="200">
        <f t="shared" si="2"/>
        <v>45929</v>
      </c>
      <c r="AK4" s="200">
        <f t="shared" si="2"/>
        <v>45930</v>
      </c>
      <c r="AL4" s="200">
        <f t="shared" si="2"/>
        <v>45931</v>
      </c>
      <c r="AM4" s="200">
        <f t="shared" si="2"/>
        <v>45932</v>
      </c>
      <c r="AN4" s="200">
        <f t="shared" si="2"/>
        <v>45933</v>
      </c>
      <c r="AO4" s="200">
        <f t="shared" si="2"/>
        <v>45934</v>
      </c>
      <c r="AP4" s="200">
        <f t="shared" si="2"/>
        <v>45935</v>
      </c>
      <c r="AQ4" s="200">
        <f t="shared" si="2"/>
        <v>45936</v>
      </c>
      <c r="AR4" s="200">
        <f t="shared" si="2"/>
        <v>45937</v>
      </c>
      <c r="AS4" s="200">
        <f t="shared" si="2"/>
        <v>45938</v>
      </c>
      <c r="AT4" s="200">
        <f t="shared" si="2"/>
        <v>45939</v>
      </c>
      <c r="AU4" s="200">
        <f t="shared" si="2"/>
        <v>45940</v>
      </c>
      <c r="AV4" s="200">
        <f t="shared" si="2"/>
        <v>45941</v>
      </c>
      <c r="AW4" s="200">
        <f t="shared" si="2"/>
        <v>45942</v>
      </c>
      <c r="AX4" s="200">
        <f t="shared" si="2"/>
        <v>45943</v>
      </c>
      <c r="AY4" s="200">
        <f t="shared" si="2"/>
        <v>45944</v>
      </c>
      <c r="AZ4" s="200">
        <f t="shared" si="2"/>
        <v>45945</v>
      </c>
      <c r="BA4" s="200">
        <f t="shared" si="2"/>
        <v>45946</v>
      </c>
      <c r="BB4" s="200">
        <f t="shared" si="2"/>
        <v>45947</v>
      </c>
      <c r="BC4" s="200">
        <f t="shared" si="2"/>
        <v>45948</v>
      </c>
      <c r="BD4" s="200">
        <f t="shared" si="2"/>
        <v>45949</v>
      </c>
      <c r="BE4" s="200">
        <f t="shared" si="2"/>
        <v>45950</v>
      </c>
      <c r="BF4" s="200">
        <f t="shared" si="2"/>
        <v>45951</v>
      </c>
      <c r="BG4" s="200">
        <f t="shared" si="2"/>
        <v>45952</v>
      </c>
      <c r="BH4" s="200">
        <f t="shared" si="2"/>
        <v>45953</v>
      </c>
      <c r="BI4" s="200">
        <f t="shared" si="2"/>
        <v>45954</v>
      </c>
      <c r="BJ4" s="200">
        <f t="shared" si="2"/>
        <v>45955</v>
      </c>
      <c r="BK4" s="200">
        <f t="shared" si="2"/>
        <v>45956</v>
      </c>
      <c r="BL4" s="200">
        <f t="shared" si="2"/>
        <v>45957</v>
      </c>
      <c r="BM4" s="200">
        <f t="shared" si="2"/>
        <v>45958</v>
      </c>
      <c r="BN4" s="200">
        <f t="shared" si="2"/>
        <v>45959</v>
      </c>
      <c r="BO4" s="200">
        <f t="shared" si="2"/>
        <v>45960</v>
      </c>
      <c r="BP4" s="200">
        <f t="shared" si="2"/>
        <v>45961</v>
      </c>
      <c r="BQ4" s="200"/>
      <c r="BR4" s="200"/>
    </row>
    <row r="5">
      <c r="A5" s="1">
        <v>5.0</v>
      </c>
      <c r="B5" s="1" t="str">
        <f>'2025'!D5</f>
        <v>Gonzalez, Veronica</v>
      </c>
      <c r="C5" s="1" t="str">
        <f>'2025'!H5</f>
        <v>PK3.1</v>
      </c>
      <c r="D5" s="1" t="str">
        <f>IF(AND(AND(AND(D$4&gt;='2025'!$L5,D$4&lt;='2025'!$M5), D$4&lt;&gt;DATE(2025,7,4)), (SWITCH(weekday(D$4), 1, 0, 2, if(ISBLANK('2025'!$P5), 0, 1), 3, if(ISBLANK('2025'!$Q5), 0, 1), 4, if(ISBLANK('2025'!$R5), 0, 1), 5, if(ISBLANK('2025'!$S5), 0, 1), 6, if(ISBLANK('2025'!$T5), 0, 1), 7, 0))), 1, "")</f>
        <v/>
      </c>
      <c r="E5" s="1" t="str">
        <f>IF(AND(AND(AND(E$4&gt;='2025'!$L5,E$4&lt;='2025'!$M5), E$4&lt;&gt;DATE(2025,7,4)), (SWITCH(weekday(E$4), 1, 0, 2, if(ISBLANK('2025'!$P5), 0, 1), 3, if(ISBLANK('2025'!$Q5), 0, 1), 4, if(ISBLANK('2025'!$R5), 0, 1), 5, if(ISBLANK('2025'!$S5), 0, 1), 6, if(ISBLANK('2025'!$T5), 0, 1), 7, 0))), 1, "")</f>
        <v/>
      </c>
      <c r="F5" s="1" t="str">
        <f>IF(AND(AND(AND(F$4&gt;='2025'!$L5,F$4&lt;='2025'!$M5), F$4&lt;&gt;DATE(2025,7,4)), (SWITCH(weekday(F$4), 1, 0, 2, if(ISBLANK('2025'!$P5), 0, 1), 3, if(ISBLANK('2025'!$Q5), 0, 1), 4, if(ISBLANK('2025'!$R5), 0, 1), 5, if(ISBLANK('2025'!$S5), 0, 1), 6, if(ISBLANK('2025'!$T5), 0, 1), 7, 0))), 1, "")</f>
        <v/>
      </c>
      <c r="G5" s="1" t="str">
        <f>IF(AND(AND(AND(G$4&gt;='2025'!$L5,G$4&lt;='2025'!$M5), G$4&lt;&gt;DATE(2025,7,4)), (SWITCH(weekday(G$4), 1, 0, 2, if(ISBLANK('2025'!$P5), 0, 1), 3, if(ISBLANK('2025'!$Q5), 0, 1), 4, if(ISBLANK('2025'!$R5), 0, 1), 5, if(ISBLANK('2025'!$S5), 0, 1), 6, if(ISBLANK('2025'!$T5), 0, 1), 7, 0))), 1, "")</f>
        <v/>
      </c>
      <c r="H5" s="1" t="str">
        <f>IF(AND(AND(AND(H$4&gt;='2025'!$L5,H$4&lt;='2025'!$M5), H$4&lt;&gt;DATE(2025,7,4)), (SWITCH(weekday(H$4), 1, 0, 2, if(ISBLANK('2025'!$P5), 0, 1), 3, if(ISBLANK('2025'!$Q5), 0, 1), 4, if(ISBLANK('2025'!$R5), 0, 1), 5, if(ISBLANK('2025'!$S5), 0, 1), 6, if(ISBLANK('2025'!$T5), 0, 1), 7, 0))), 1, "")</f>
        <v/>
      </c>
      <c r="I5" s="1" t="str">
        <f>IF(AND(AND(AND(I$4&gt;='2025'!$L5,I$4&lt;='2025'!$M5), I$4&lt;&gt;DATE(2025,7,4)), (SWITCH(weekday(I$4), 1, 0, 2, if(ISBLANK('2025'!$P5), 0, 1), 3, if(ISBLANK('2025'!$Q5), 0, 1), 4, if(ISBLANK('2025'!$R5), 0, 1), 5, if(ISBLANK('2025'!$S5), 0, 1), 6, if(ISBLANK('2025'!$T5), 0, 1), 7, 0))), 1, "")</f>
        <v/>
      </c>
      <c r="J5" s="1" t="str">
        <f>IF(AND(AND(AND(J$4&gt;='2025'!$L5,J$4&lt;='2025'!$M5), J$4&lt;&gt;DATE(2025,7,4)), (SWITCH(weekday(J$4), 1, 0, 2, if(ISBLANK('2025'!$P5), 0, 1), 3, if(ISBLANK('2025'!$Q5), 0, 1), 4, if(ISBLANK('2025'!$R5), 0, 1), 5, if(ISBLANK('2025'!$S5), 0, 1), 6, if(ISBLANK('2025'!$T5), 0, 1), 7, 0))), 1, "")</f>
        <v/>
      </c>
      <c r="K5" s="1" t="str">
        <f>IF(AND(AND(AND(K$4&gt;='2025'!$L5,K$4&lt;='2025'!$M5), K$4&lt;&gt;DATE(2025,7,4)), (SWITCH(weekday(K$4), 1, 0, 2, if(ISBLANK('2025'!$P5), 0, 1), 3, if(ISBLANK('2025'!$Q5), 0, 1), 4, if(ISBLANK('2025'!$R5), 0, 1), 5, if(ISBLANK('2025'!$S5), 0, 1), 6, if(ISBLANK('2025'!$T5), 0, 1), 7, 0))), 1, "")</f>
        <v/>
      </c>
      <c r="L5" s="1" t="str">
        <f>IF(AND(AND(AND(L$4&gt;='2025'!$L5,L$4&lt;='2025'!$M5), L$4&lt;&gt;DATE(2025,7,4)), (SWITCH(weekday(L$4), 1, 0, 2, if(ISBLANK('2025'!$P5), 0, 1), 3, if(ISBLANK('2025'!$Q5), 0, 1), 4, if(ISBLANK('2025'!$R5), 0, 1), 5, if(ISBLANK('2025'!$S5), 0, 1), 6, if(ISBLANK('2025'!$T5), 0, 1), 7, 0))), 1, "")</f>
        <v/>
      </c>
      <c r="M5" s="1" t="str">
        <f>IF(AND(AND(AND(M$4&gt;='2025'!$L5,M$4&lt;='2025'!$M5), M$4&lt;&gt;DATE(2025,7,4)), (SWITCH(weekday(M$4), 1, 0, 2, if(ISBLANK('2025'!$P5), 0, 1), 3, if(ISBLANK('2025'!$Q5), 0, 1), 4, if(ISBLANK('2025'!$R5), 0, 1), 5, if(ISBLANK('2025'!$S5), 0, 1), 6, if(ISBLANK('2025'!$T5), 0, 1), 7, 0))), 1, "")</f>
        <v/>
      </c>
      <c r="N5" s="1" t="str">
        <f>IF(AND(AND(AND(N$4&gt;='2025'!$L5,N$4&lt;='2025'!$M5), N$4&lt;&gt;DATE(2025,7,4)), (SWITCH(weekday(N$4), 1, 0, 2, if(ISBLANK('2025'!$P5), 0, 1), 3, if(ISBLANK('2025'!$Q5), 0, 1), 4, if(ISBLANK('2025'!$R5), 0, 1), 5, if(ISBLANK('2025'!$S5), 0, 1), 6, if(ISBLANK('2025'!$T5), 0, 1), 7, 0))), 1, "")</f>
        <v/>
      </c>
      <c r="O5" s="1" t="str">
        <f>IF(AND(AND(AND(O$4&gt;='2025'!$L5,O$4&lt;='2025'!$M5), O$4&lt;&gt;DATE(2025,7,4)), (SWITCH(weekday(O$4), 1, 0, 2, if(ISBLANK('2025'!$P5), 0, 1), 3, if(ISBLANK('2025'!$Q5), 0, 1), 4, if(ISBLANK('2025'!$R5), 0, 1), 5, if(ISBLANK('2025'!$S5), 0, 1), 6, if(ISBLANK('2025'!$T5), 0, 1), 7, 0))), 1, "")</f>
        <v/>
      </c>
      <c r="P5" s="1" t="str">
        <f>IF(AND(AND(AND(P$4&gt;='2025'!$L5,P$4&lt;='2025'!$M5), P$4&lt;&gt;DATE(2025,7,4)), (SWITCH(weekday(P$4), 1, 0, 2, if(ISBLANK('2025'!$P5), 0, 1), 3, if(ISBLANK('2025'!$Q5), 0, 1), 4, if(ISBLANK('2025'!$R5), 0, 1), 5, if(ISBLANK('2025'!$S5), 0, 1), 6, if(ISBLANK('2025'!$T5), 0, 1), 7, 0))), 1, "")</f>
        <v/>
      </c>
      <c r="Q5" s="1" t="str">
        <f>IF(AND(AND(AND(Q$4&gt;='2025'!$L5,Q$4&lt;='2025'!$M5), Q$4&lt;&gt;DATE(2025,7,4)), (SWITCH(weekday(Q$4), 1, 0, 2, if(ISBLANK('2025'!$P5), 0, 1), 3, if(ISBLANK('2025'!$Q5), 0, 1), 4, if(ISBLANK('2025'!$R5), 0, 1), 5, if(ISBLANK('2025'!$S5), 0, 1), 6, if(ISBLANK('2025'!$T5), 0, 1), 7, 0))), 1, "")</f>
        <v/>
      </c>
      <c r="R5" s="1" t="str">
        <f>IF(AND(AND(AND(R$4&gt;='2025'!$L5,R$4&lt;='2025'!$M5), R$4&lt;&gt;DATE(2025,7,4)), (SWITCH(weekday(R$4), 1, 0, 2, if(ISBLANK('2025'!$P5), 0, 1), 3, if(ISBLANK('2025'!$Q5), 0, 1), 4, if(ISBLANK('2025'!$R5), 0, 1), 5, if(ISBLANK('2025'!$S5), 0, 1), 6, if(ISBLANK('2025'!$T5), 0, 1), 7, 0))), 1, "")</f>
        <v/>
      </c>
      <c r="S5" s="1" t="str">
        <f>IF(AND(AND(AND(S$4&gt;='2025'!$L5,S$4&lt;='2025'!$M5), S$4&lt;&gt;DATE(2025,7,4)), (SWITCH(weekday(S$4), 1, 0, 2, if(ISBLANK('2025'!$P5), 0, 1), 3, if(ISBLANK('2025'!$Q5), 0, 1), 4, if(ISBLANK('2025'!$R5), 0, 1), 5, if(ISBLANK('2025'!$S5), 0, 1), 6, if(ISBLANK('2025'!$T5), 0, 1), 7, 0))), 1, "")</f>
        <v/>
      </c>
      <c r="T5" s="1" t="str">
        <f>IF(AND(AND(AND(T$4&gt;='2025'!$L5,T$4&lt;='2025'!$M5), T$4&lt;&gt;DATE(2025,7,4)), (SWITCH(weekday(T$4), 1, 0, 2, if(ISBLANK('2025'!$P5), 0, 1), 3, if(ISBLANK('2025'!$Q5), 0, 1), 4, if(ISBLANK('2025'!$R5), 0, 1), 5, if(ISBLANK('2025'!$S5), 0, 1), 6, if(ISBLANK('2025'!$T5), 0, 1), 7, 0))), 1, "")</f>
        <v/>
      </c>
      <c r="U5" s="1" t="str">
        <f>IF(AND(AND(AND(U$4&gt;='2025'!$L5,U$4&lt;='2025'!$M5), U$4&lt;&gt;DATE(2025,7,4)), (SWITCH(weekday(U$4), 1, 0, 2, if(ISBLANK('2025'!$P5), 0, 1), 3, if(ISBLANK('2025'!$Q5), 0, 1), 4, if(ISBLANK('2025'!$R5), 0, 1), 5, if(ISBLANK('2025'!$S5), 0, 1), 6, if(ISBLANK('2025'!$T5), 0, 1), 7, 0))), 1, "")</f>
        <v/>
      </c>
      <c r="V5" s="1" t="str">
        <f>IF(AND(AND(AND(V$4&gt;='2025'!$L5,V$4&lt;='2025'!$M5), V$4&lt;&gt;DATE(2025,7,4)), (SWITCH(weekday(V$4), 1, 0, 2, if(ISBLANK('2025'!$P5), 0, 1), 3, if(ISBLANK('2025'!$Q5), 0, 1), 4, if(ISBLANK('2025'!$R5), 0, 1), 5, if(ISBLANK('2025'!$S5), 0, 1), 6, if(ISBLANK('2025'!$T5), 0, 1), 7, 0))), 1, "")</f>
        <v/>
      </c>
      <c r="W5" s="1" t="str">
        <f>IF(AND(AND(AND(W$4&gt;='2025'!$L5,W$4&lt;='2025'!$M5), W$4&lt;&gt;DATE(2025,7,4)), (SWITCH(weekday(W$4), 1, 0, 2, if(ISBLANK('2025'!$P5), 0, 1), 3, if(ISBLANK('2025'!$Q5), 0, 1), 4, if(ISBLANK('2025'!$R5), 0, 1), 5, if(ISBLANK('2025'!$S5), 0, 1), 6, if(ISBLANK('2025'!$T5), 0, 1), 7, 0))), 1, "")</f>
        <v/>
      </c>
      <c r="X5" s="1" t="str">
        <f>IF(AND(AND(AND(X$4&gt;='2025'!$L5,X$4&lt;='2025'!$M5), X$4&lt;&gt;DATE(2025,7,4)), (SWITCH(weekday(X$4), 1, 0, 2, if(ISBLANK('2025'!$P5), 0, 1), 3, if(ISBLANK('2025'!$Q5), 0, 1), 4, if(ISBLANK('2025'!$R5), 0, 1), 5, if(ISBLANK('2025'!$S5), 0, 1), 6, if(ISBLANK('2025'!$T5), 0, 1), 7, 0))), 1, "")</f>
        <v/>
      </c>
      <c r="Y5" s="1" t="str">
        <f>IF(AND(AND(AND(Y$4&gt;='2025'!$L5,Y$4&lt;='2025'!$M5), Y$4&lt;&gt;DATE(2025,7,4)), (SWITCH(weekday(Y$4), 1, 0, 2, if(ISBLANK('2025'!$P5), 0, 1), 3, if(ISBLANK('2025'!$Q5), 0, 1), 4, if(ISBLANK('2025'!$R5), 0, 1), 5, if(ISBLANK('2025'!$S5), 0, 1), 6, if(ISBLANK('2025'!$T5), 0, 1), 7, 0))), 1, "")</f>
        <v/>
      </c>
      <c r="Z5" s="1" t="str">
        <f>IF(AND(AND(AND(Z$4&gt;='2025'!$L5,Z$4&lt;='2025'!$M5), Z$4&lt;&gt;DATE(2025,7,4)), (SWITCH(weekday(Z$4), 1, 0, 2, if(ISBLANK('2025'!$P5), 0, 1), 3, if(ISBLANK('2025'!$Q5), 0, 1), 4, if(ISBLANK('2025'!$R5), 0, 1), 5, if(ISBLANK('2025'!$S5), 0, 1), 6, if(ISBLANK('2025'!$T5), 0, 1), 7, 0))), 1, "")</f>
        <v/>
      </c>
      <c r="AA5" s="1" t="str">
        <f>IF(AND(AND(AND(AA$4&gt;='2025'!$L5,AA$4&lt;='2025'!$M5), AA$4&lt;&gt;DATE(2025,7,4)), (SWITCH(weekday(AA$4), 1, 0, 2, if(ISBLANK('2025'!$P5), 0, 1), 3, if(ISBLANK('2025'!$Q5), 0, 1), 4, if(ISBLANK('2025'!$R5), 0, 1), 5, if(ISBLANK('2025'!$S5), 0, 1), 6, if(ISBLANK('2025'!$T5), 0, 1), 7, 0))), 1, "")</f>
        <v/>
      </c>
      <c r="AB5" s="1" t="str">
        <f>IF(AND(AND(AND(AB$4&gt;='2025'!$L5,AB$4&lt;='2025'!$M5), AB$4&lt;&gt;DATE(2025,7,4)), (SWITCH(weekday(AB$4), 1, 0, 2, if(ISBLANK('2025'!$P5), 0, 1), 3, if(ISBLANK('2025'!$Q5), 0, 1), 4, if(ISBLANK('2025'!$R5), 0, 1), 5, if(ISBLANK('2025'!$S5), 0, 1), 6, if(ISBLANK('2025'!$T5), 0, 1), 7, 0))), 1, "")</f>
        <v/>
      </c>
      <c r="AC5" s="1" t="str">
        <f>IF(AND(AND(AND(AC$4&gt;='2025'!$L5,AC$4&lt;='2025'!$M5), AC$4&lt;&gt;DATE(2025,7,4)), (SWITCH(weekday(AC$4), 1, 0, 2, if(ISBLANK('2025'!$P5), 0, 1), 3, if(ISBLANK('2025'!$Q5), 0, 1), 4, if(ISBLANK('2025'!$R5), 0, 1), 5, if(ISBLANK('2025'!$S5), 0, 1), 6, if(ISBLANK('2025'!$T5), 0, 1), 7, 0))), 1, "")</f>
        <v/>
      </c>
      <c r="AD5" s="1" t="str">
        <f>IF(AND(AND(AND(AD$4&gt;='2025'!$L5,AD$4&lt;='2025'!$M5), AD$4&lt;&gt;DATE(2025,7,4)), (SWITCH(weekday(AD$4), 1, 0, 2, if(ISBLANK('2025'!$P5), 0, 1), 3, if(ISBLANK('2025'!$Q5), 0, 1), 4, if(ISBLANK('2025'!$R5), 0, 1), 5, if(ISBLANK('2025'!$S5), 0, 1), 6, if(ISBLANK('2025'!$T5), 0, 1), 7, 0))), 1, "")</f>
        <v/>
      </c>
      <c r="AE5" s="1" t="str">
        <f>IF(AND(AND(AND(AE$4&gt;='2025'!$L5,AE$4&lt;='2025'!$M5), AE$4&lt;&gt;DATE(2025,7,4)), (SWITCH(weekday(AE$4), 1, 0, 2, if(ISBLANK('2025'!$P5), 0, 1), 3, if(ISBLANK('2025'!$Q5), 0, 1), 4, if(ISBLANK('2025'!$R5), 0, 1), 5, if(ISBLANK('2025'!$S5), 0, 1), 6, if(ISBLANK('2025'!$T5), 0, 1), 7, 0))), 1, "")</f>
        <v/>
      </c>
      <c r="AF5" s="1" t="str">
        <f>IF(AND(AND(AND(AF$4&gt;='2025'!$L5,AF$4&lt;='2025'!$M5), AF$4&lt;&gt;DATE(2025,7,4)), (SWITCH(weekday(AF$4), 1, 0, 2, if(ISBLANK('2025'!$P5), 0, 1), 3, if(ISBLANK('2025'!$Q5), 0, 1), 4, if(ISBLANK('2025'!$R5), 0, 1), 5, if(ISBLANK('2025'!$S5), 0, 1), 6, if(ISBLANK('2025'!$T5), 0, 1), 7, 0))), 1, "")</f>
        <v/>
      </c>
      <c r="AG5" s="1" t="str">
        <f>IF(AND(AND(AND(AG$4&gt;='2025'!$L5,AG$4&lt;='2025'!$M5), AG$4&lt;&gt;DATE(2025,7,4)), (SWITCH(weekday(AG$4), 1, 0, 2, if(ISBLANK('2025'!$P5), 0, 1), 3, if(ISBLANK('2025'!$Q5), 0, 1), 4, if(ISBLANK('2025'!$R5), 0, 1), 5, if(ISBLANK('2025'!$S5), 0, 1), 6, if(ISBLANK('2025'!$T5), 0, 1), 7, 0))), 1, "")</f>
        <v/>
      </c>
      <c r="AH5" s="1" t="str">
        <f>IF(AND(AND(AND(AH$4&gt;='2025'!$L5,AH$4&lt;='2025'!$M5), AH$4&lt;&gt;DATE(2025,7,4)), (SWITCH(weekday(AH$4), 1, 0, 2, if(ISBLANK('2025'!$P5), 0, 1), 3, if(ISBLANK('2025'!$Q5), 0, 1), 4, if(ISBLANK('2025'!$R5), 0, 1), 5, if(ISBLANK('2025'!$S5), 0, 1), 6, if(ISBLANK('2025'!$T5), 0, 1), 7, 0))), 1, "")</f>
        <v/>
      </c>
      <c r="AI5" s="1" t="str">
        <f>IF(AND(AND(AND(AI$4&gt;='2025'!$L5,AI$4&lt;='2025'!$M5), AI$4&lt;&gt;DATE(2025,7,4)), (SWITCH(weekday(AI$4), 1, 0, 2, if(ISBLANK('2025'!$P5), 0, 1), 3, if(ISBLANK('2025'!$Q5), 0, 1), 4, if(ISBLANK('2025'!$R5), 0, 1), 5, if(ISBLANK('2025'!$S5), 0, 1), 6, if(ISBLANK('2025'!$T5), 0, 1), 7, 0))), 1, "")</f>
        <v/>
      </c>
      <c r="AJ5" s="1" t="str">
        <f>IF(AND(AND(AND(AJ$4&gt;='2025'!$L5,AJ$4&lt;='2025'!$M5), AJ$4&lt;&gt;DATE(2025,7,4)), (SWITCH(weekday(AJ$4), 1, 0, 2, if(ISBLANK('2025'!$P5), 0, 1), 3, if(ISBLANK('2025'!$Q5), 0, 1), 4, if(ISBLANK('2025'!$R5), 0, 1), 5, if(ISBLANK('2025'!$S5), 0, 1), 6, if(ISBLANK('2025'!$T5), 0, 1), 7, 0))), 1, "")</f>
        <v/>
      </c>
      <c r="AK5" s="1" t="str">
        <f>IF(AND(AND(AND(AK$4&gt;='2025'!$L5,AK$4&lt;='2025'!$M5), AK$4&lt;&gt;DATE(2025,7,4)), (SWITCH(weekday(AK$4), 1, 0, 2, if(ISBLANK('2025'!$P5), 0, 1), 3, if(ISBLANK('2025'!$Q5), 0, 1), 4, if(ISBLANK('2025'!$R5), 0, 1), 5, if(ISBLANK('2025'!$S5), 0, 1), 6, if(ISBLANK('2025'!$T5), 0, 1), 7, 0))), 1, "")</f>
        <v/>
      </c>
      <c r="AL5" s="1" t="str">
        <f>IF(AND(AND(AND(AL$4&gt;='2025'!$L5,AL$4&lt;='2025'!$M5), AL$4&lt;&gt;DATE(2025,7,4)), (SWITCH(weekday(AL$4), 1, 0, 2, if(ISBLANK('2025'!$P5), 0, 1), 3, if(ISBLANK('2025'!$Q5), 0, 1), 4, if(ISBLANK('2025'!$R5), 0, 1), 5, if(ISBLANK('2025'!$S5), 0, 1), 6, if(ISBLANK('2025'!$T5), 0, 1), 7, 0))), 1, "")</f>
        <v/>
      </c>
      <c r="AM5" s="1" t="str">
        <f>IF(AND(AND(AND(AM$4&gt;='2025'!$L5,AM$4&lt;='2025'!$M5), AM$4&lt;&gt;DATE(2025,7,4)), (SWITCH(weekday(AM$4), 1, 0, 2, if(ISBLANK('2025'!$P5), 0, 1), 3, if(ISBLANK('2025'!$Q5), 0, 1), 4, if(ISBLANK('2025'!$R5), 0, 1), 5, if(ISBLANK('2025'!$S5), 0, 1), 6, if(ISBLANK('2025'!$T5), 0, 1), 7, 0))), 1, "")</f>
        <v/>
      </c>
      <c r="AN5" s="1" t="str">
        <f>IF(AND(AND(AND(AN$4&gt;='2025'!$L5,AN$4&lt;='2025'!$M5), AN$4&lt;&gt;DATE(2025,7,4)), (SWITCH(weekday(AN$4), 1, 0, 2, if(ISBLANK('2025'!$P5), 0, 1), 3, if(ISBLANK('2025'!$Q5), 0, 1), 4, if(ISBLANK('2025'!$R5), 0, 1), 5, if(ISBLANK('2025'!$S5), 0, 1), 6, if(ISBLANK('2025'!$T5), 0, 1), 7, 0))), 1, "")</f>
        <v/>
      </c>
      <c r="AO5" s="1" t="str">
        <f>IF(AND(AND(AND(AO$4&gt;='2025'!$L5,AO$4&lt;='2025'!$M5), AO$4&lt;&gt;DATE(2025,7,4)), (SWITCH(weekday(AO$4), 1, 0, 2, if(ISBLANK('2025'!$P5), 0, 1), 3, if(ISBLANK('2025'!$Q5), 0, 1), 4, if(ISBLANK('2025'!$R5), 0, 1), 5, if(ISBLANK('2025'!$S5), 0, 1), 6, if(ISBLANK('2025'!$T5), 0, 1), 7, 0))), 1, "")</f>
        <v/>
      </c>
      <c r="AP5" s="1" t="str">
        <f>IF(AND(AND(AND(AP$4&gt;='2025'!$L5,AP$4&lt;='2025'!$M5), AP$4&lt;&gt;DATE(2025,7,4)), (SWITCH(weekday(AP$4), 1, 0, 2, if(ISBLANK('2025'!$P5), 0, 1), 3, if(ISBLANK('2025'!$Q5), 0, 1), 4, if(ISBLANK('2025'!$R5), 0, 1), 5, if(ISBLANK('2025'!$S5), 0, 1), 6, if(ISBLANK('2025'!$T5), 0, 1), 7, 0))), 1, "")</f>
        <v/>
      </c>
      <c r="AQ5" s="1" t="str">
        <f>IF(AND(AND(AND(AQ$4&gt;='2025'!$L5,AQ$4&lt;='2025'!$M5), AQ$4&lt;&gt;DATE(2025,7,4)), (SWITCH(weekday(AQ$4), 1, 0, 2, if(ISBLANK('2025'!$P5), 0, 1), 3, if(ISBLANK('2025'!$Q5), 0, 1), 4, if(ISBLANK('2025'!$R5), 0, 1), 5, if(ISBLANK('2025'!$S5), 0, 1), 6, if(ISBLANK('2025'!$T5), 0, 1), 7, 0))), 1, "")</f>
        <v/>
      </c>
      <c r="AR5" s="1" t="str">
        <f>IF(AND(AND(AND(AR$4&gt;='2025'!$L5,AR$4&lt;='2025'!$M5), AR$4&lt;&gt;DATE(2025,7,4)), (SWITCH(weekday(AR$4), 1, 0, 2, if(ISBLANK('2025'!$P5), 0, 1), 3, if(ISBLANK('2025'!$Q5), 0, 1), 4, if(ISBLANK('2025'!$R5), 0, 1), 5, if(ISBLANK('2025'!$S5), 0, 1), 6, if(ISBLANK('2025'!$T5), 0, 1), 7, 0))), 1, "")</f>
        <v/>
      </c>
      <c r="AS5" s="1" t="str">
        <f>IF(AND(AND(AND(AS$4&gt;='2025'!$L5,AS$4&lt;='2025'!$M5), AS$4&lt;&gt;DATE(2025,7,4)), (SWITCH(weekday(AS$4), 1, 0, 2, if(ISBLANK('2025'!$P5), 0, 1), 3, if(ISBLANK('2025'!$Q5), 0, 1), 4, if(ISBLANK('2025'!$R5), 0, 1), 5, if(ISBLANK('2025'!$S5), 0, 1), 6, if(ISBLANK('2025'!$T5), 0, 1), 7, 0))), 1, "")</f>
        <v/>
      </c>
      <c r="AT5" s="1" t="str">
        <f>IF(AND(AND(AND(AT$4&gt;='2025'!$L5,AT$4&lt;='2025'!$M5), AT$4&lt;&gt;DATE(2025,7,4)), (SWITCH(weekday(AT$4), 1, 0, 2, if(ISBLANK('2025'!$P5), 0, 1), 3, if(ISBLANK('2025'!$Q5), 0, 1), 4, if(ISBLANK('2025'!$R5), 0, 1), 5, if(ISBLANK('2025'!$S5), 0, 1), 6, if(ISBLANK('2025'!$T5), 0, 1), 7, 0))), 1, "")</f>
        <v/>
      </c>
      <c r="AU5" s="1" t="str">
        <f>IF(AND(AND(AND(AU$4&gt;='2025'!$L5,AU$4&lt;='2025'!$M5), AU$4&lt;&gt;DATE(2025,7,4)), (SWITCH(weekday(AU$4), 1, 0, 2, if(ISBLANK('2025'!$P5), 0, 1), 3, if(ISBLANK('2025'!$Q5), 0, 1), 4, if(ISBLANK('2025'!$R5), 0, 1), 5, if(ISBLANK('2025'!$S5), 0, 1), 6, if(ISBLANK('2025'!$T5), 0, 1), 7, 0))), 1, "")</f>
        <v/>
      </c>
      <c r="AV5" s="1" t="str">
        <f>IF(AND(AND(AND(AV$4&gt;='2025'!$L5,AV$4&lt;='2025'!$M5), AV$4&lt;&gt;DATE(2025,7,4)), (SWITCH(weekday(AV$4), 1, 0, 2, if(ISBLANK('2025'!$P5), 0, 1), 3, if(ISBLANK('2025'!$Q5), 0, 1), 4, if(ISBLANK('2025'!$R5), 0, 1), 5, if(ISBLANK('2025'!$S5), 0, 1), 6, if(ISBLANK('2025'!$T5), 0, 1), 7, 0))), 1, "")</f>
        <v/>
      </c>
      <c r="AW5" s="1" t="str">
        <f>IF(AND(AND(AND(AW$4&gt;='2025'!$L5,AW$4&lt;='2025'!$M5), AW$4&lt;&gt;DATE(2025,7,4)), (SWITCH(weekday(AW$4), 1, 0, 2, if(ISBLANK('2025'!$P5), 0, 1), 3, if(ISBLANK('2025'!$Q5), 0, 1), 4, if(ISBLANK('2025'!$R5), 0, 1), 5, if(ISBLANK('2025'!$S5), 0, 1), 6, if(ISBLANK('2025'!$T5), 0, 1), 7, 0))), 1, "")</f>
        <v/>
      </c>
      <c r="AX5" s="1" t="str">
        <f>IF(AND(AND(AND(AX$4&gt;='2025'!$L5,AX$4&lt;='2025'!$M5), AX$4&lt;&gt;DATE(2025,7,4)), (SWITCH(weekday(AX$4), 1, 0, 2, if(ISBLANK('2025'!$P5), 0, 1), 3, if(ISBLANK('2025'!$Q5), 0, 1), 4, if(ISBLANK('2025'!$R5), 0, 1), 5, if(ISBLANK('2025'!$S5), 0, 1), 6, if(ISBLANK('2025'!$T5), 0, 1), 7, 0))), 1, "")</f>
        <v/>
      </c>
      <c r="AY5" s="1" t="str">
        <f>IF(AND(AND(AND(AY$4&gt;='2025'!$L5,AY$4&lt;='2025'!$M5), AY$4&lt;&gt;DATE(2025,7,4)), (SWITCH(weekday(AY$4), 1, 0, 2, if(ISBLANK('2025'!$P5), 0, 1), 3, if(ISBLANK('2025'!$Q5), 0, 1), 4, if(ISBLANK('2025'!$R5), 0, 1), 5, if(ISBLANK('2025'!$S5), 0, 1), 6, if(ISBLANK('2025'!$T5), 0, 1), 7, 0))), 1, "")</f>
        <v/>
      </c>
      <c r="AZ5" s="1" t="str">
        <f>IF(AND(AND(AND(AZ$4&gt;='2025'!$L5,AZ$4&lt;='2025'!$M5), AZ$4&lt;&gt;DATE(2025,7,4)), (SWITCH(weekday(AZ$4), 1, 0, 2, if(ISBLANK('2025'!$P5), 0, 1), 3, if(ISBLANK('2025'!$Q5), 0, 1), 4, if(ISBLANK('2025'!$R5), 0, 1), 5, if(ISBLANK('2025'!$S5), 0, 1), 6, if(ISBLANK('2025'!$T5), 0, 1), 7, 0))), 1, "")</f>
        <v/>
      </c>
      <c r="BA5" s="1" t="str">
        <f>IF(AND(AND(AND(BA$4&gt;='2025'!$L5,BA$4&lt;='2025'!$M5), BA$4&lt;&gt;DATE(2025,7,4)), (SWITCH(weekday(BA$4), 1, 0, 2, if(ISBLANK('2025'!$P5), 0, 1), 3, if(ISBLANK('2025'!$Q5), 0, 1), 4, if(ISBLANK('2025'!$R5), 0, 1), 5, if(ISBLANK('2025'!$S5), 0, 1), 6, if(ISBLANK('2025'!$T5), 0, 1), 7, 0))), 1, "")</f>
        <v/>
      </c>
      <c r="BB5" s="1" t="str">
        <f>IF(AND(AND(AND(BB$4&gt;='2025'!$L5,BB$4&lt;='2025'!$M5), BB$4&lt;&gt;DATE(2025,7,4)), (SWITCH(weekday(BB$4), 1, 0, 2, if(ISBLANK('2025'!$P5), 0, 1), 3, if(ISBLANK('2025'!$Q5), 0, 1), 4, if(ISBLANK('2025'!$R5), 0, 1), 5, if(ISBLANK('2025'!$S5), 0, 1), 6, if(ISBLANK('2025'!$T5), 0, 1), 7, 0))), 1, "")</f>
        <v/>
      </c>
      <c r="BC5" s="1" t="str">
        <f>IF(AND(AND(AND(BC$4&gt;='2025'!$L5,BC$4&lt;='2025'!$M5), BC$4&lt;&gt;DATE(2025,7,4)), (SWITCH(weekday(BC$4), 1, 0, 2, if(ISBLANK('2025'!$P5), 0, 1), 3, if(ISBLANK('2025'!$Q5), 0, 1), 4, if(ISBLANK('2025'!$R5), 0, 1), 5, if(ISBLANK('2025'!$S5), 0, 1), 6, if(ISBLANK('2025'!$T5), 0, 1), 7, 0))), 1, "")</f>
        <v/>
      </c>
      <c r="BD5" s="1" t="str">
        <f>IF(AND(AND(AND(BD$4&gt;='2025'!$L5,BD$4&lt;='2025'!$M5), BD$4&lt;&gt;DATE(2025,7,4)), (SWITCH(weekday(BD$4), 1, 0, 2, if(ISBLANK('2025'!$P5), 0, 1), 3, if(ISBLANK('2025'!$Q5), 0, 1), 4, if(ISBLANK('2025'!$R5), 0, 1), 5, if(ISBLANK('2025'!$S5), 0, 1), 6, if(ISBLANK('2025'!$T5), 0, 1), 7, 0))), 1, "")</f>
        <v/>
      </c>
      <c r="BE5" s="1" t="str">
        <f>IF(AND(AND(AND(BE$4&gt;='2025'!$L5,BE$4&lt;='2025'!$M5), BE$4&lt;&gt;DATE(2025,7,4)), (SWITCH(weekday(BE$4), 1, 0, 2, if(ISBLANK('2025'!$P5), 0, 1), 3, if(ISBLANK('2025'!$Q5), 0, 1), 4, if(ISBLANK('2025'!$R5), 0, 1), 5, if(ISBLANK('2025'!$S5), 0, 1), 6, if(ISBLANK('2025'!$T5), 0, 1), 7, 0))), 1, "")</f>
        <v/>
      </c>
      <c r="BF5" s="1" t="str">
        <f>IF(AND(AND(AND(BF$4&gt;='2025'!$L5,BF$4&lt;='2025'!$M5), BF$4&lt;&gt;DATE(2025,7,4)), (SWITCH(weekday(BF$4), 1, 0, 2, if(ISBLANK('2025'!$P5), 0, 1), 3, if(ISBLANK('2025'!$Q5), 0, 1), 4, if(ISBLANK('2025'!$R5), 0, 1), 5, if(ISBLANK('2025'!$S5), 0, 1), 6, if(ISBLANK('2025'!$T5), 0, 1), 7, 0))), 1, "")</f>
        <v/>
      </c>
      <c r="BG5" s="1"/>
      <c r="BH5" s="1"/>
      <c r="BI5" s="1"/>
      <c r="BJ5" s="1"/>
      <c r="BK5" s="1"/>
      <c r="BL5" s="1"/>
    </row>
    <row r="6">
      <c r="A6" s="1">
        <f t="shared" ref="A6:A513" si="3">A5+1</f>
        <v>6</v>
      </c>
      <c r="B6" s="1" t="str">
        <f>'2025'!D6</f>
        <v>Ho, Kyle</v>
      </c>
      <c r="C6" s="1" t="str">
        <f>'2025'!H6</f>
        <v>PK3</v>
      </c>
      <c r="D6" s="1" t="str">
        <f>IF(AND(AND(AND(D$4&gt;='2025'!$L6,D$4&lt;='2025'!$M6), D$4&lt;&gt;DATE(2025,7,4)), (SWITCH(weekday(D$4), 1, 0, 2, if(ISBLANK('2025'!$P6), 0, 1), 3, if(ISBLANK('2025'!$Q6), 0, 1), 4, if(ISBLANK('2025'!$R6), 0, 1), 5, if(ISBLANK('2025'!$S6), 0, 1), 6, if(ISBLANK('2025'!$T6), 0, 1), 7, 0))), 1, "")</f>
        <v/>
      </c>
      <c r="E6" s="1" t="str">
        <f>IF(AND(AND(AND(E$4&gt;='2025'!$L6,E$4&lt;='2025'!$M6), E$4&lt;&gt;DATE(2025,7,4)), (SWITCH(weekday(E$4), 1, 0, 2, if(ISBLANK('2025'!$P6), 0, 1), 3, if(ISBLANK('2025'!$Q6), 0, 1), 4, if(ISBLANK('2025'!$R6), 0, 1), 5, if(ISBLANK('2025'!$S6), 0, 1), 6, if(ISBLANK('2025'!$T6), 0, 1), 7, 0))), 1, "")</f>
        <v/>
      </c>
      <c r="F6" s="1" t="str">
        <f>IF(AND(AND(AND(F$4&gt;='2025'!$L6,F$4&lt;='2025'!$M6), F$4&lt;&gt;DATE(2025,7,4)), (SWITCH(weekday(F$4), 1, 0, 2, if(ISBLANK('2025'!$P6), 0, 1), 3, if(ISBLANK('2025'!$Q6), 0, 1), 4, if(ISBLANK('2025'!$R6), 0, 1), 5, if(ISBLANK('2025'!$S6), 0, 1), 6, if(ISBLANK('2025'!$T6), 0, 1), 7, 0))), 1, "")</f>
        <v/>
      </c>
      <c r="G6" s="1" t="str">
        <f>IF(AND(AND(AND(G$4&gt;='2025'!$L6,G$4&lt;='2025'!$M6), G$4&lt;&gt;DATE(2025,7,4)), (SWITCH(weekday(G$4), 1, 0, 2, if(ISBLANK('2025'!$P6), 0, 1), 3, if(ISBLANK('2025'!$Q6), 0, 1), 4, if(ISBLANK('2025'!$R6), 0, 1), 5, if(ISBLANK('2025'!$S6), 0, 1), 6, if(ISBLANK('2025'!$T6), 0, 1), 7, 0))), 1, "")</f>
        <v/>
      </c>
      <c r="H6" s="1" t="str">
        <f>IF(AND(AND(AND(H$4&gt;='2025'!$L6,H$4&lt;='2025'!$M6), H$4&lt;&gt;DATE(2025,7,4)), (SWITCH(weekday(H$4), 1, 0, 2, if(ISBLANK('2025'!$P6), 0, 1), 3, if(ISBLANK('2025'!$Q6), 0, 1), 4, if(ISBLANK('2025'!$R6), 0, 1), 5, if(ISBLANK('2025'!$S6), 0, 1), 6, if(ISBLANK('2025'!$T6), 0, 1), 7, 0))), 1, "")</f>
        <v/>
      </c>
      <c r="I6" s="1" t="str">
        <f>IF(AND(AND(AND(I$4&gt;='2025'!$L6,I$4&lt;='2025'!$M6), I$4&lt;&gt;DATE(2025,7,4)), (SWITCH(weekday(I$4), 1, 0, 2, if(ISBLANK('2025'!$P6), 0, 1), 3, if(ISBLANK('2025'!$Q6), 0, 1), 4, if(ISBLANK('2025'!$R6), 0, 1), 5, if(ISBLANK('2025'!$S6), 0, 1), 6, if(ISBLANK('2025'!$T6), 0, 1), 7, 0))), 1, "")</f>
        <v/>
      </c>
      <c r="J6" s="1" t="str">
        <f>IF(AND(AND(AND(J$4&gt;='2025'!$L6,J$4&lt;='2025'!$M6), J$4&lt;&gt;DATE(2025,7,4)), (SWITCH(weekday(J$4), 1, 0, 2, if(ISBLANK('2025'!$P6), 0, 1), 3, if(ISBLANK('2025'!$Q6), 0, 1), 4, if(ISBLANK('2025'!$R6), 0, 1), 5, if(ISBLANK('2025'!$S6), 0, 1), 6, if(ISBLANK('2025'!$T6), 0, 1), 7, 0))), 1, "")</f>
        <v/>
      </c>
      <c r="K6" s="1" t="str">
        <f>IF(AND(AND(AND(K$4&gt;='2025'!$L6,K$4&lt;='2025'!$M6), K$4&lt;&gt;DATE(2025,7,4)), (SWITCH(weekday(K$4), 1, 0, 2, if(ISBLANK('2025'!$P6), 0, 1), 3, if(ISBLANK('2025'!$Q6), 0, 1), 4, if(ISBLANK('2025'!$R6), 0, 1), 5, if(ISBLANK('2025'!$S6), 0, 1), 6, if(ISBLANK('2025'!$T6), 0, 1), 7, 0))), 1, "")</f>
        <v/>
      </c>
      <c r="L6" s="1" t="str">
        <f>IF(AND(AND(AND(L$4&gt;='2025'!$L6,L$4&lt;='2025'!$M6), L$4&lt;&gt;DATE(2025,7,4)), (SWITCH(weekday(L$4), 1, 0, 2, if(ISBLANK('2025'!$P6), 0, 1), 3, if(ISBLANK('2025'!$Q6), 0, 1), 4, if(ISBLANK('2025'!$R6), 0, 1), 5, if(ISBLANK('2025'!$S6), 0, 1), 6, if(ISBLANK('2025'!$T6), 0, 1), 7, 0))), 1, "")</f>
        <v/>
      </c>
      <c r="M6" s="1" t="str">
        <f>IF(AND(AND(AND(M$4&gt;='2025'!$L6,M$4&lt;='2025'!$M6), M$4&lt;&gt;DATE(2025,7,4)), (SWITCH(weekday(M$4), 1, 0, 2, if(ISBLANK('2025'!$P6), 0, 1), 3, if(ISBLANK('2025'!$Q6), 0, 1), 4, if(ISBLANK('2025'!$R6), 0, 1), 5, if(ISBLANK('2025'!$S6), 0, 1), 6, if(ISBLANK('2025'!$T6), 0, 1), 7, 0))), 1, "")</f>
        <v/>
      </c>
      <c r="N6" s="1" t="str">
        <f>IF(AND(AND(AND(N$4&gt;='2025'!$L6,N$4&lt;='2025'!$M6), N$4&lt;&gt;DATE(2025,7,4)), (SWITCH(weekday(N$4), 1, 0, 2, if(ISBLANK('2025'!$P6), 0, 1), 3, if(ISBLANK('2025'!$Q6), 0, 1), 4, if(ISBLANK('2025'!$R6), 0, 1), 5, if(ISBLANK('2025'!$S6), 0, 1), 6, if(ISBLANK('2025'!$T6), 0, 1), 7, 0))), 1, "")</f>
        <v/>
      </c>
      <c r="O6" s="1" t="str">
        <f>IF(AND(AND(AND(O$4&gt;='2025'!$L6,O$4&lt;='2025'!$M6), O$4&lt;&gt;DATE(2025,7,4)), (SWITCH(weekday(O$4), 1, 0, 2, if(ISBLANK('2025'!$P6), 0, 1), 3, if(ISBLANK('2025'!$Q6), 0, 1), 4, if(ISBLANK('2025'!$R6), 0, 1), 5, if(ISBLANK('2025'!$S6), 0, 1), 6, if(ISBLANK('2025'!$T6), 0, 1), 7, 0))), 1, "")</f>
        <v/>
      </c>
      <c r="P6" s="1" t="str">
        <f>IF(AND(AND(AND(P$4&gt;='2025'!$L6,P$4&lt;='2025'!$M6), P$4&lt;&gt;DATE(2025,7,4)), (SWITCH(weekday(P$4), 1, 0, 2, if(ISBLANK('2025'!$P6), 0, 1), 3, if(ISBLANK('2025'!$Q6), 0, 1), 4, if(ISBLANK('2025'!$R6), 0, 1), 5, if(ISBLANK('2025'!$S6), 0, 1), 6, if(ISBLANK('2025'!$T6), 0, 1), 7, 0))), 1, "")</f>
        <v/>
      </c>
      <c r="Q6" s="1" t="str">
        <f>IF(AND(AND(AND(Q$4&gt;='2025'!$L6,Q$4&lt;='2025'!$M6), Q$4&lt;&gt;DATE(2025,7,4)), (SWITCH(weekday(Q$4), 1, 0, 2, if(ISBLANK('2025'!$P6), 0, 1), 3, if(ISBLANK('2025'!$Q6), 0, 1), 4, if(ISBLANK('2025'!$R6), 0, 1), 5, if(ISBLANK('2025'!$S6), 0, 1), 6, if(ISBLANK('2025'!$T6), 0, 1), 7, 0))), 1, "")</f>
        <v/>
      </c>
      <c r="R6" s="1" t="str">
        <f>IF(AND(AND(AND(R$4&gt;='2025'!$L6,R$4&lt;='2025'!$M6), R$4&lt;&gt;DATE(2025,7,4)), (SWITCH(weekday(R$4), 1, 0, 2, if(ISBLANK('2025'!$P6), 0, 1), 3, if(ISBLANK('2025'!$Q6), 0, 1), 4, if(ISBLANK('2025'!$R6), 0, 1), 5, if(ISBLANK('2025'!$S6), 0, 1), 6, if(ISBLANK('2025'!$T6), 0, 1), 7, 0))), 1, "")</f>
        <v/>
      </c>
      <c r="S6" s="1" t="str">
        <f>IF(AND(AND(AND(S$4&gt;='2025'!$L6,S$4&lt;='2025'!$M6), S$4&lt;&gt;DATE(2025,7,4)), (SWITCH(weekday(S$4), 1, 0, 2, if(ISBLANK('2025'!$P6), 0, 1), 3, if(ISBLANK('2025'!$Q6), 0, 1), 4, if(ISBLANK('2025'!$R6), 0, 1), 5, if(ISBLANK('2025'!$S6), 0, 1), 6, if(ISBLANK('2025'!$T6), 0, 1), 7, 0))), 1, "")</f>
        <v/>
      </c>
      <c r="T6" s="1" t="str">
        <f>IF(AND(AND(AND(T$4&gt;='2025'!$L6,T$4&lt;='2025'!$M6), T$4&lt;&gt;DATE(2025,7,4)), (SWITCH(weekday(T$4), 1, 0, 2, if(ISBLANK('2025'!$P6), 0, 1), 3, if(ISBLANK('2025'!$Q6), 0, 1), 4, if(ISBLANK('2025'!$R6), 0, 1), 5, if(ISBLANK('2025'!$S6), 0, 1), 6, if(ISBLANK('2025'!$T6), 0, 1), 7, 0))), 1, "")</f>
        <v/>
      </c>
      <c r="U6" s="1" t="str">
        <f>IF(AND(AND(AND(U$4&gt;='2025'!$L6,U$4&lt;='2025'!$M6), U$4&lt;&gt;DATE(2025,7,4)), (SWITCH(weekday(U$4), 1, 0, 2, if(ISBLANK('2025'!$P6), 0, 1), 3, if(ISBLANK('2025'!$Q6), 0, 1), 4, if(ISBLANK('2025'!$R6), 0, 1), 5, if(ISBLANK('2025'!$S6), 0, 1), 6, if(ISBLANK('2025'!$T6), 0, 1), 7, 0))), 1, "")</f>
        <v/>
      </c>
      <c r="V6" s="1" t="str">
        <f>IF(AND(AND(AND(V$4&gt;='2025'!$L6,V$4&lt;='2025'!$M6), V$4&lt;&gt;DATE(2025,7,4)), (SWITCH(weekday(V$4), 1, 0, 2, if(ISBLANK('2025'!$P6), 0, 1), 3, if(ISBLANK('2025'!$Q6), 0, 1), 4, if(ISBLANK('2025'!$R6), 0, 1), 5, if(ISBLANK('2025'!$S6), 0, 1), 6, if(ISBLANK('2025'!$T6), 0, 1), 7, 0))), 1, "")</f>
        <v/>
      </c>
      <c r="W6" s="1" t="str">
        <f>IF(AND(AND(AND(W$4&gt;='2025'!$L6,W$4&lt;='2025'!$M6), W$4&lt;&gt;DATE(2025,7,4)), (SWITCH(weekday(W$4), 1, 0, 2, if(ISBLANK('2025'!$P6), 0, 1), 3, if(ISBLANK('2025'!$Q6), 0, 1), 4, if(ISBLANK('2025'!$R6), 0, 1), 5, if(ISBLANK('2025'!$S6), 0, 1), 6, if(ISBLANK('2025'!$T6), 0, 1), 7, 0))), 1, "")</f>
        <v/>
      </c>
      <c r="X6" s="1" t="str">
        <f>IF(AND(AND(AND(X$4&gt;='2025'!$L6,X$4&lt;='2025'!$M6), X$4&lt;&gt;DATE(2025,7,4)), (SWITCH(weekday(X$4), 1, 0, 2, if(ISBLANK('2025'!$P6), 0, 1), 3, if(ISBLANK('2025'!$Q6), 0, 1), 4, if(ISBLANK('2025'!$R6), 0, 1), 5, if(ISBLANK('2025'!$S6), 0, 1), 6, if(ISBLANK('2025'!$T6), 0, 1), 7, 0))), 1, "")</f>
        <v/>
      </c>
      <c r="Y6" s="1" t="str">
        <f>IF(AND(AND(AND(Y$4&gt;='2025'!$L6,Y$4&lt;='2025'!$M6), Y$4&lt;&gt;DATE(2025,7,4)), (SWITCH(weekday(Y$4), 1, 0, 2, if(ISBLANK('2025'!$P6), 0, 1), 3, if(ISBLANK('2025'!$Q6), 0, 1), 4, if(ISBLANK('2025'!$R6), 0, 1), 5, if(ISBLANK('2025'!$S6), 0, 1), 6, if(ISBLANK('2025'!$T6), 0, 1), 7, 0))), 1, "")</f>
        <v/>
      </c>
      <c r="Z6" s="1" t="str">
        <f>IF(AND(AND(AND(Z$4&gt;='2025'!$L6,Z$4&lt;='2025'!$M6), Z$4&lt;&gt;DATE(2025,7,4)), (SWITCH(weekday(Z$4), 1, 0, 2, if(ISBLANK('2025'!$P6), 0, 1), 3, if(ISBLANK('2025'!$Q6), 0, 1), 4, if(ISBLANK('2025'!$R6), 0, 1), 5, if(ISBLANK('2025'!$S6), 0, 1), 6, if(ISBLANK('2025'!$T6), 0, 1), 7, 0))), 1, "")</f>
        <v/>
      </c>
      <c r="AA6" s="1" t="str">
        <f>IF(AND(AND(AND(AA$4&gt;='2025'!$L6,AA$4&lt;='2025'!$M6), AA$4&lt;&gt;DATE(2025,7,4)), (SWITCH(weekday(AA$4), 1, 0, 2, if(ISBLANK('2025'!$P6), 0, 1), 3, if(ISBLANK('2025'!$Q6), 0, 1), 4, if(ISBLANK('2025'!$R6), 0, 1), 5, if(ISBLANK('2025'!$S6), 0, 1), 6, if(ISBLANK('2025'!$T6), 0, 1), 7, 0))), 1, "")</f>
        <v/>
      </c>
      <c r="AB6" s="1" t="str">
        <f>IF(AND(AND(AND(AB$4&gt;='2025'!$L6,AB$4&lt;='2025'!$M6), AB$4&lt;&gt;DATE(2025,7,4)), (SWITCH(weekday(AB$4), 1, 0, 2, if(ISBLANK('2025'!$P6), 0, 1), 3, if(ISBLANK('2025'!$Q6), 0, 1), 4, if(ISBLANK('2025'!$R6), 0, 1), 5, if(ISBLANK('2025'!$S6), 0, 1), 6, if(ISBLANK('2025'!$T6), 0, 1), 7, 0))), 1, "")</f>
        <v/>
      </c>
      <c r="AC6" s="1" t="str">
        <f>IF(AND(AND(AND(AC$4&gt;='2025'!$L6,AC$4&lt;='2025'!$M6), AC$4&lt;&gt;DATE(2025,7,4)), (SWITCH(weekday(AC$4), 1, 0, 2, if(ISBLANK('2025'!$P6), 0, 1), 3, if(ISBLANK('2025'!$Q6), 0, 1), 4, if(ISBLANK('2025'!$R6), 0, 1), 5, if(ISBLANK('2025'!$S6), 0, 1), 6, if(ISBLANK('2025'!$T6), 0, 1), 7, 0))), 1, "")</f>
        <v/>
      </c>
      <c r="AD6" s="1" t="str">
        <f>IF(AND(AND(AND(AD$4&gt;='2025'!$L6,AD$4&lt;='2025'!$M6), AD$4&lt;&gt;DATE(2025,7,4)), (SWITCH(weekday(AD$4), 1, 0, 2, if(ISBLANK('2025'!$P6), 0, 1), 3, if(ISBLANK('2025'!$Q6), 0, 1), 4, if(ISBLANK('2025'!$R6), 0, 1), 5, if(ISBLANK('2025'!$S6), 0, 1), 6, if(ISBLANK('2025'!$T6), 0, 1), 7, 0))), 1, "")</f>
        <v/>
      </c>
      <c r="AE6" s="1" t="str">
        <f>IF(AND(AND(AND(AE$4&gt;='2025'!$L6,AE$4&lt;='2025'!$M6), AE$4&lt;&gt;DATE(2025,7,4)), (SWITCH(weekday(AE$4), 1, 0, 2, if(ISBLANK('2025'!$P6), 0, 1), 3, if(ISBLANK('2025'!$Q6), 0, 1), 4, if(ISBLANK('2025'!$R6), 0, 1), 5, if(ISBLANK('2025'!$S6), 0, 1), 6, if(ISBLANK('2025'!$T6), 0, 1), 7, 0))), 1, "")</f>
        <v/>
      </c>
      <c r="AF6" s="1" t="str">
        <f>IF(AND(AND(AND(AF$4&gt;='2025'!$L6,AF$4&lt;='2025'!$M6), AF$4&lt;&gt;DATE(2025,7,4)), (SWITCH(weekday(AF$4), 1, 0, 2, if(ISBLANK('2025'!$P6), 0, 1), 3, if(ISBLANK('2025'!$Q6), 0, 1), 4, if(ISBLANK('2025'!$R6), 0, 1), 5, if(ISBLANK('2025'!$S6), 0, 1), 6, if(ISBLANK('2025'!$T6), 0, 1), 7, 0))), 1, "")</f>
        <v/>
      </c>
      <c r="AG6" s="1" t="str">
        <f>IF(AND(AND(AND(AG$4&gt;='2025'!$L6,AG$4&lt;='2025'!$M6), AG$4&lt;&gt;DATE(2025,7,4)), (SWITCH(weekday(AG$4), 1, 0, 2, if(ISBLANK('2025'!$P6), 0, 1), 3, if(ISBLANK('2025'!$Q6), 0, 1), 4, if(ISBLANK('2025'!$R6), 0, 1), 5, if(ISBLANK('2025'!$S6), 0, 1), 6, if(ISBLANK('2025'!$T6), 0, 1), 7, 0))), 1, "")</f>
        <v/>
      </c>
      <c r="AH6" s="1" t="str">
        <f>IF(AND(AND(AND(AH$4&gt;='2025'!$L6,AH$4&lt;='2025'!$M6), AH$4&lt;&gt;DATE(2025,7,4)), (SWITCH(weekday(AH$4), 1, 0, 2, if(ISBLANK('2025'!$P6), 0, 1), 3, if(ISBLANK('2025'!$Q6), 0, 1), 4, if(ISBLANK('2025'!$R6), 0, 1), 5, if(ISBLANK('2025'!$S6), 0, 1), 6, if(ISBLANK('2025'!$T6), 0, 1), 7, 0))), 1, "")</f>
        <v/>
      </c>
      <c r="AI6" s="1" t="str">
        <f>IF(AND(AND(AND(AI$4&gt;='2025'!$L6,AI$4&lt;='2025'!$M6), AI$4&lt;&gt;DATE(2025,7,4)), (SWITCH(weekday(AI$4), 1, 0, 2, if(ISBLANK('2025'!$P6), 0, 1), 3, if(ISBLANK('2025'!$Q6), 0, 1), 4, if(ISBLANK('2025'!$R6), 0, 1), 5, if(ISBLANK('2025'!$S6), 0, 1), 6, if(ISBLANK('2025'!$T6), 0, 1), 7, 0))), 1, "")</f>
        <v/>
      </c>
      <c r="AJ6" s="1" t="str">
        <f>IF(AND(AND(AND(AJ$4&gt;='2025'!$L6,AJ$4&lt;='2025'!$M6), AJ$4&lt;&gt;DATE(2025,7,4)), (SWITCH(weekday(AJ$4), 1, 0, 2, if(ISBLANK('2025'!$P6), 0, 1), 3, if(ISBLANK('2025'!$Q6), 0, 1), 4, if(ISBLANK('2025'!$R6), 0, 1), 5, if(ISBLANK('2025'!$S6), 0, 1), 6, if(ISBLANK('2025'!$T6), 0, 1), 7, 0))), 1, "")</f>
        <v/>
      </c>
      <c r="AK6" s="1" t="str">
        <f>IF(AND(AND(AND(AK$4&gt;='2025'!$L6,AK$4&lt;='2025'!$M6), AK$4&lt;&gt;DATE(2025,7,4)), (SWITCH(weekday(AK$4), 1, 0, 2, if(ISBLANK('2025'!$P6), 0, 1), 3, if(ISBLANK('2025'!$Q6), 0, 1), 4, if(ISBLANK('2025'!$R6), 0, 1), 5, if(ISBLANK('2025'!$S6), 0, 1), 6, if(ISBLANK('2025'!$T6), 0, 1), 7, 0))), 1, "")</f>
        <v/>
      </c>
      <c r="AL6" s="1" t="str">
        <f>IF(AND(AND(AND(AL$4&gt;='2025'!$L6,AL$4&lt;='2025'!$M6), AL$4&lt;&gt;DATE(2025,7,4)), (SWITCH(weekday(AL$4), 1, 0, 2, if(ISBLANK('2025'!$P6), 0, 1), 3, if(ISBLANK('2025'!$Q6), 0, 1), 4, if(ISBLANK('2025'!$R6), 0, 1), 5, if(ISBLANK('2025'!$S6), 0, 1), 6, if(ISBLANK('2025'!$T6), 0, 1), 7, 0))), 1, "")</f>
        <v/>
      </c>
      <c r="AM6" s="1" t="str">
        <f>IF(AND(AND(AND(AM$4&gt;='2025'!$L6,AM$4&lt;='2025'!$M6), AM$4&lt;&gt;DATE(2025,7,4)), (SWITCH(weekday(AM$4), 1, 0, 2, if(ISBLANK('2025'!$P6), 0, 1), 3, if(ISBLANK('2025'!$Q6), 0, 1), 4, if(ISBLANK('2025'!$R6), 0, 1), 5, if(ISBLANK('2025'!$S6), 0, 1), 6, if(ISBLANK('2025'!$T6), 0, 1), 7, 0))), 1, "")</f>
        <v/>
      </c>
      <c r="AN6" s="1" t="str">
        <f>IF(AND(AND(AND(AN$4&gt;='2025'!$L6,AN$4&lt;='2025'!$M6), AN$4&lt;&gt;DATE(2025,7,4)), (SWITCH(weekday(AN$4), 1, 0, 2, if(ISBLANK('2025'!$P6), 0, 1), 3, if(ISBLANK('2025'!$Q6), 0, 1), 4, if(ISBLANK('2025'!$R6), 0, 1), 5, if(ISBLANK('2025'!$S6), 0, 1), 6, if(ISBLANK('2025'!$T6), 0, 1), 7, 0))), 1, "")</f>
        <v/>
      </c>
      <c r="AO6" s="1" t="str">
        <f>IF(AND(AND(AND(AO$4&gt;='2025'!$L6,AO$4&lt;='2025'!$M6), AO$4&lt;&gt;DATE(2025,7,4)), (SWITCH(weekday(AO$4), 1, 0, 2, if(ISBLANK('2025'!$P6), 0, 1), 3, if(ISBLANK('2025'!$Q6), 0, 1), 4, if(ISBLANK('2025'!$R6), 0, 1), 5, if(ISBLANK('2025'!$S6), 0, 1), 6, if(ISBLANK('2025'!$T6), 0, 1), 7, 0))), 1, "")</f>
        <v/>
      </c>
      <c r="AP6" s="1" t="str">
        <f>IF(AND(AND(AND(AP$4&gt;='2025'!$L6,AP$4&lt;='2025'!$M6), AP$4&lt;&gt;DATE(2025,7,4)), (SWITCH(weekday(AP$4), 1, 0, 2, if(ISBLANK('2025'!$P6), 0, 1), 3, if(ISBLANK('2025'!$Q6), 0, 1), 4, if(ISBLANK('2025'!$R6), 0, 1), 5, if(ISBLANK('2025'!$S6), 0, 1), 6, if(ISBLANK('2025'!$T6), 0, 1), 7, 0))), 1, "")</f>
        <v/>
      </c>
      <c r="AQ6" s="1" t="str">
        <f>IF(AND(AND(AND(AQ$4&gt;='2025'!$L6,AQ$4&lt;='2025'!$M6), AQ$4&lt;&gt;DATE(2025,7,4)), (SWITCH(weekday(AQ$4), 1, 0, 2, if(ISBLANK('2025'!$P6), 0, 1), 3, if(ISBLANK('2025'!$Q6), 0, 1), 4, if(ISBLANK('2025'!$R6), 0, 1), 5, if(ISBLANK('2025'!$S6), 0, 1), 6, if(ISBLANK('2025'!$T6), 0, 1), 7, 0))), 1, "")</f>
        <v/>
      </c>
      <c r="AR6" s="1" t="str">
        <f>IF(AND(AND(AND(AR$4&gt;='2025'!$L6,AR$4&lt;='2025'!$M6), AR$4&lt;&gt;DATE(2025,7,4)), (SWITCH(weekday(AR$4), 1, 0, 2, if(ISBLANK('2025'!$P6), 0, 1), 3, if(ISBLANK('2025'!$Q6), 0, 1), 4, if(ISBLANK('2025'!$R6), 0, 1), 5, if(ISBLANK('2025'!$S6), 0, 1), 6, if(ISBLANK('2025'!$T6), 0, 1), 7, 0))), 1, "")</f>
        <v/>
      </c>
      <c r="AS6" s="1" t="str">
        <f>IF(AND(AND(AND(AS$4&gt;='2025'!$L6,AS$4&lt;='2025'!$M6), AS$4&lt;&gt;DATE(2025,7,4)), (SWITCH(weekday(AS$4), 1, 0, 2, if(ISBLANK('2025'!$P6), 0, 1), 3, if(ISBLANK('2025'!$Q6), 0, 1), 4, if(ISBLANK('2025'!$R6), 0, 1), 5, if(ISBLANK('2025'!$S6), 0, 1), 6, if(ISBLANK('2025'!$T6), 0, 1), 7, 0))), 1, "")</f>
        <v/>
      </c>
      <c r="AT6" s="1" t="str">
        <f>IF(AND(AND(AND(AT$4&gt;='2025'!$L6,AT$4&lt;='2025'!$M6), AT$4&lt;&gt;DATE(2025,7,4)), (SWITCH(weekday(AT$4), 1, 0, 2, if(ISBLANK('2025'!$P6), 0, 1), 3, if(ISBLANK('2025'!$Q6), 0, 1), 4, if(ISBLANK('2025'!$R6), 0, 1), 5, if(ISBLANK('2025'!$S6), 0, 1), 6, if(ISBLANK('2025'!$T6), 0, 1), 7, 0))), 1, "")</f>
        <v/>
      </c>
      <c r="AU6" s="1" t="str">
        <f>IF(AND(AND(AND(AU$4&gt;='2025'!$L6,AU$4&lt;='2025'!$M6), AU$4&lt;&gt;DATE(2025,7,4)), (SWITCH(weekday(AU$4), 1, 0, 2, if(ISBLANK('2025'!$P6), 0, 1), 3, if(ISBLANK('2025'!$Q6), 0, 1), 4, if(ISBLANK('2025'!$R6), 0, 1), 5, if(ISBLANK('2025'!$S6), 0, 1), 6, if(ISBLANK('2025'!$T6), 0, 1), 7, 0))), 1, "")</f>
        <v/>
      </c>
      <c r="AV6" s="1" t="str">
        <f>IF(AND(AND(AND(AV$4&gt;='2025'!$L6,AV$4&lt;='2025'!$M6), AV$4&lt;&gt;DATE(2025,7,4)), (SWITCH(weekday(AV$4), 1, 0, 2, if(ISBLANK('2025'!$P6), 0, 1), 3, if(ISBLANK('2025'!$Q6), 0, 1), 4, if(ISBLANK('2025'!$R6), 0, 1), 5, if(ISBLANK('2025'!$S6), 0, 1), 6, if(ISBLANK('2025'!$T6), 0, 1), 7, 0))), 1, "")</f>
        <v/>
      </c>
      <c r="AW6" s="1" t="str">
        <f>IF(AND(AND(AND(AW$4&gt;='2025'!$L6,AW$4&lt;='2025'!$M6), AW$4&lt;&gt;DATE(2025,7,4)), (SWITCH(weekday(AW$4), 1, 0, 2, if(ISBLANK('2025'!$P6), 0, 1), 3, if(ISBLANK('2025'!$Q6), 0, 1), 4, if(ISBLANK('2025'!$R6), 0, 1), 5, if(ISBLANK('2025'!$S6), 0, 1), 6, if(ISBLANK('2025'!$T6), 0, 1), 7, 0))), 1, "")</f>
        <v/>
      </c>
      <c r="AX6" s="1" t="str">
        <f>IF(AND(AND(AND(AX$4&gt;='2025'!$L6,AX$4&lt;='2025'!$M6), AX$4&lt;&gt;DATE(2025,7,4)), (SWITCH(weekday(AX$4), 1, 0, 2, if(ISBLANK('2025'!$P6), 0, 1), 3, if(ISBLANK('2025'!$Q6), 0, 1), 4, if(ISBLANK('2025'!$R6), 0, 1), 5, if(ISBLANK('2025'!$S6), 0, 1), 6, if(ISBLANK('2025'!$T6), 0, 1), 7, 0))), 1, "")</f>
        <v/>
      </c>
      <c r="AY6" s="1" t="str">
        <f>IF(AND(AND(AND(AY$4&gt;='2025'!$L6,AY$4&lt;='2025'!$M6), AY$4&lt;&gt;DATE(2025,7,4)), (SWITCH(weekday(AY$4), 1, 0, 2, if(ISBLANK('2025'!$P6), 0, 1), 3, if(ISBLANK('2025'!$Q6), 0, 1), 4, if(ISBLANK('2025'!$R6), 0, 1), 5, if(ISBLANK('2025'!$S6), 0, 1), 6, if(ISBLANK('2025'!$T6), 0, 1), 7, 0))), 1, "")</f>
        <v/>
      </c>
      <c r="AZ6" s="1" t="str">
        <f>IF(AND(AND(AND(AZ$4&gt;='2025'!$L6,AZ$4&lt;='2025'!$M6), AZ$4&lt;&gt;DATE(2025,7,4)), (SWITCH(weekday(AZ$4), 1, 0, 2, if(ISBLANK('2025'!$P6), 0, 1), 3, if(ISBLANK('2025'!$Q6), 0, 1), 4, if(ISBLANK('2025'!$R6), 0, 1), 5, if(ISBLANK('2025'!$S6), 0, 1), 6, if(ISBLANK('2025'!$T6), 0, 1), 7, 0))), 1, "")</f>
        <v/>
      </c>
      <c r="BA6" s="1" t="str">
        <f>IF(AND(AND(AND(BA$4&gt;='2025'!$L6,BA$4&lt;='2025'!$M6), BA$4&lt;&gt;DATE(2025,7,4)), (SWITCH(weekday(BA$4), 1, 0, 2, if(ISBLANK('2025'!$P6), 0, 1), 3, if(ISBLANK('2025'!$Q6), 0, 1), 4, if(ISBLANK('2025'!$R6), 0, 1), 5, if(ISBLANK('2025'!$S6), 0, 1), 6, if(ISBLANK('2025'!$T6), 0, 1), 7, 0))), 1, "")</f>
        <v/>
      </c>
      <c r="BB6" s="1" t="str">
        <f>IF(AND(AND(AND(BB$4&gt;='2025'!$L6,BB$4&lt;='2025'!$M6), BB$4&lt;&gt;DATE(2025,7,4)), (SWITCH(weekday(BB$4), 1, 0, 2, if(ISBLANK('2025'!$P6), 0, 1), 3, if(ISBLANK('2025'!$Q6), 0, 1), 4, if(ISBLANK('2025'!$R6), 0, 1), 5, if(ISBLANK('2025'!$S6), 0, 1), 6, if(ISBLANK('2025'!$T6), 0, 1), 7, 0))), 1, "")</f>
        <v/>
      </c>
      <c r="BC6" s="1" t="str">
        <f>IF(AND(AND(AND(BC$4&gt;='2025'!$L6,BC$4&lt;='2025'!$M6), BC$4&lt;&gt;DATE(2025,7,4)), (SWITCH(weekday(BC$4), 1, 0, 2, if(ISBLANK('2025'!$P6), 0, 1), 3, if(ISBLANK('2025'!$Q6), 0, 1), 4, if(ISBLANK('2025'!$R6), 0, 1), 5, if(ISBLANK('2025'!$S6), 0, 1), 6, if(ISBLANK('2025'!$T6), 0, 1), 7, 0))), 1, "")</f>
        <v/>
      </c>
      <c r="BD6" s="1" t="str">
        <f>IF(AND(AND(AND(BD$4&gt;='2025'!$L6,BD$4&lt;='2025'!$M6), BD$4&lt;&gt;DATE(2025,7,4)), (SWITCH(weekday(BD$4), 1, 0, 2, if(ISBLANK('2025'!$P6), 0, 1), 3, if(ISBLANK('2025'!$Q6), 0, 1), 4, if(ISBLANK('2025'!$R6), 0, 1), 5, if(ISBLANK('2025'!$S6), 0, 1), 6, if(ISBLANK('2025'!$T6), 0, 1), 7, 0))), 1, "")</f>
        <v/>
      </c>
      <c r="BE6" s="1" t="str">
        <f>IF(AND(AND(AND(BE$4&gt;='2025'!$L6,BE$4&lt;='2025'!$M6), BE$4&lt;&gt;DATE(2025,7,4)), (SWITCH(weekday(BE$4), 1, 0, 2, if(ISBLANK('2025'!$P6), 0, 1), 3, if(ISBLANK('2025'!$Q6), 0, 1), 4, if(ISBLANK('2025'!$R6), 0, 1), 5, if(ISBLANK('2025'!$S6), 0, 1), 6, if(ISBLANK('2025'!$T6), 0, 1), 7, 0))), 1, "")</f>
        <v/>
      </c>
      <c r="BF6" s="1" t="str">
        <f>IF(AND(AND(AND(BF$4&gt;='2025'!$L6,BF$4&lt;='2025'!$M6), BF$4&lt;&gt;DATE(2025,7,4)), (SWITCH(weekday(BF$4), 1, 0, 2, if(ISBLANK('2025'!$P6), 0, 1), 3, if(ISBLANK('2025'!$Q6), 0, 1), 4, if(ISBLANK('2025'!$R6), 0, 1), 5, if(ISBLANK('2025'!$S6), 0, 1), 6, if(ISBLANK('2025'!$T6), 0, 1), 7, 0))), 1, "")</f>
        <v/>
      </c>
      <c r="BG6" s="1"/>
      <c r="BH6" s="1"/>
      <c r="BI6" s="1"/>
      <c r="BJ6" s="1"/>
      <c r="BK6" s="1"/>
      <c r="BL6" s="1"/>
    </row>
    <row r="7">
      <c r="A7" s="1">
        <f t="shared" si="3"/>
        <v>7</v>
      </c>
      <c r="B7" s="1" t="str">
        <f>'2025'!D7</f>
        <v>Zhao, Isaac</v>
      </c>
      <c r="C7" s="1" t="str">
        <f>'2025'!H7</f>
        <v>PK3.1</v>
      </c>
      <c r="D7" s="1" t="str">
        <f>IF(AND(AND(AND(D$4&gt;='2025'!$L7,D$4&lt;='2025'!$M7), D$4&lt;&gt;DATE(2025,7,4)), (SWITCH(weekday(D$4), 1, 0, 2, if(ISBLANK('2025'!$P7), 0, 1), 3, if(ISBLANK('2025'!$Q7), 0, 1), 4, if(ISBLANK('2025'!$R7), 0, 1), 5, if(ISBLANK('2025'!$S7), 0, 1), 6, if(ISBLANK('2025'!$T7), 0, 1), 7, 0))), 1, "")</f>
        <v/>
      </c>
      <c r="E7" s="1" t="str">
        <f>IF(AND(AND(AND(E$4&gt;='2025'!$L7,E$4&lt;='2025'!$M7), E$4&lt;&gt;DATE(2025,7,4)), (SWITCH(weekday(E$4), 1, 0, 2, if(ISBLANK('2025'!$P7), 0, 1), 3, if(ISBLANK('2025'!$Q7), 0, 1), 4, if(ISBLANK('2025'!$R7), 0, 1), 5, if(ISBLANK('2025'!$S7), 0, 1), 6, if(ISBLANK('2025'!$T7), 0, 1), 7, 0))), 1, "")</f>
        <v/>
      </c>
      <c r="F7" s="1" t="str">
        <f>IF(AND(AND(AND(F$4&gt;='2025'!$L7,F$4&lt;='2025'!$M7), F$4&lt;&gt;DATE(2025,7,4)), (SWITCH(weekday(F$4), 1, 0, 2, if(ISBLANK('2025'!$P7), 0, 1), 3, if(ISBLANK('2025'!$Q7), 0, 1), 4, if(ISBLANK('2025'!$R7), 0, 1), 5, if(ISBLANK('2025'!$S7), 0, 1), 6, if(ISBLANK('2025'!$T7), 0, 1), 7, 0))), 1, "")</f>
        <v/>
      </c>
      <c r="G7" s="1" t="str">
        <f>IF(AND(AND(AND(G$4&gt;='2025'!$L7,G$4&lt;='2025'!$M7), G$4&lt;&gt;DATE(2025,7,4)), (SWITCH(weekday(G$4), 1, 0, 2, if(ISBLANK('2025'!$P7), 0, 1), 3, if(ISBLANK('2025'!$Q7), 0, 1), 4, if(ISBLANK('2025'!$R7), 0, 1), 5, if(ISBLANK('2025'!$S7), 0, 1), 6, if(ISBLANK('2025'!$T7), 0, 1), 7, 0))), 1, "")</f>
        <v/>
      </c>
      <c r="H7" s="1" t="str">
        <f>IF(AND(AND(AND(H$4&gt;='2025'!$L7,H$4&lt;='2025'!$M7), H$4&lt;&gt;DATE(2025,7,4)), (SWITCH(weekday(H$4), 1, 0, 2, if(ISBLANK('2025'!$P7), 0, 1), 3, if(ISBLANK('2025'!$Q7), 0, 1), 4, if(ISBLANK('2025'!$R7), 0, 1), 5, if(ISBLANK('2025'!$S7), 0, 1), 6, if(ISBLANK('2025'!$T7), 0, 1), 7, 0))), 1, "")</f>
        <v/>
      </c>
      <c r="I7" s="1" t="str">
        <f>IF(AND(AND(AND(I$4&gt;='2025'!$L7,I$4&lt;='2025'!$M7), I$4&lt;&gt;DATE(2025,7,4)), (SWITCH(weekday(I$4), 1, 0, 2, if(ISBLANK('2025'!$P7), 0, 1), 3, if(ISBLANK('2025'!$Q7), 0, 1), 4, if(ISBLANK('2025'!$R7), 0, 1), 5, if(ISBLANK('2025'!$S7), 0, 1), 6, if(ISBLANK('2025'!$T7), 0, 1), 7, 0))), 1, "")</f>
        <v/>
      </c>
      <c r="J7" s="1" t="str">
        <f>IF(AND(AND(AND(J$4&gt;='2025'!$L7,J$4&lt;='2025'!$M7), J$4&lt;&gt;DATE(2025,7,4)), (SWITCH(weekday(J$4), 1, 0, 2, if(ISBLANK('2025'!$P7), 0, 1), 3, if(ISBLANK('2025'!$Q7), 0, 1), 4, if(ISBLANK('2025'!$R7), 0, 1), 5, if(ISBLANK('2025'!$S7), 0, 1), 6, if(ISBLANK('2025'!$T7), 0, 1), 7, 0))), 1, "")</f>
        <v/>
      </c>
      <c r="K7" s="1" t="str">
        <f>IF(AND(AND(AND(K$4&gt;='2025'!$L7,K$4&lt;='2025'!$M7), K$4&lt;&gt;DATE(2025,7,4)), (SWITCH(weekday(K$4), 1, 0, 2, if(ISBLANK('2025'!$P7), 0, 1), 3, if(ISBLANK('2025'!$Q7), 0, 1), 4, if(ISBLANK('2025'!$R7), 0, 1), 5, if(ISBLANK('2025'!$S7), 0, 1), 6, if(ISBLANK('2025'!$T7), 0, 1), 7, 0))), 1, "")</f>
        <v/>
      </c>
      <c r="L7" s="1" t="str">
        <f>IF(AND(AND(AND(L$4&gt;='2025'!$L7,L$4&lt;='2025'!$M7), L$4&lt;&gt;DATE(2025,7,4)), (SWITCH(weekday(L$4), 1, 0, 2, if(ISBLANK('2025'!$P7), 0, 1), 3, if(ISBLANK('2025'!$Q7), 0, 1), 4, if(ISBLANK('2025'!$R7), 0, 1), 5, if(ISBLANK('2025'!$S7), 0, 1), 6, if(ISBLANK('2025'!$T7), 0, 1), 7, 0))), 1, "")</f>
        <v/>
      </c>
      <c r="M7" s="1" t="str">
        <f>IF(AND(AND(AND(M$4&gt;='2025'!$L7,M$4&lt;='2025'!$M7), M$4&lt;&gt;DATE(2025,7,4)), (SWITCH(weekday(M$4), 1, 0, 2, if(ISBLANK('2025'!$P7), 0, 1), 3, if(ISBLANK('2025'!$Q7), 0, 1), 4, if(ISBLANK('2025'!$R7), 0, 1), 5, if(ISBLANK('2025'!$S7), 0, 1), 6, if(ISBLANK('2025'!$T7), 0, 1), 7, 0))), 1, "")</f>
        <v/>
      </c>
      <c r="N7" s="1" t="str">
        <f>IF(AND(AND(AND(N$4&gt;='2025'!$L7,N$4&lt;='2025'!$M7), N$4&lt;&gt;DATE(2025,7,4)), (SWITCH(weekday(N$4), 1, 0, 2, if(ISBLANK('2025'!$P7), 0, 1), 3, if(ISBLANK('2025'!$Q7), 0, 1), 4, if(ISBLANK('2025'!$R7), 0, 1), 5, if(ISBLANK('2025'!$S7), 0, 1), 6, if(ISBLANK('2025'!$T7), 0, 1), 7, 0))), 1, "")</f>
        <v/>
      </c>
      <c r="O7" s="1" t="str">
        <f>IF(AND(AND(AND(O$4&gt;='2025'!$L7,O$4&lt;='2025'!$M7), O$4&lt;&gt;DATE(2025,7,4)), (SWITCH(weekday(O$4), 1, 0, 2, if(ISBLANK('2025'!$P7), 0, 1), 3, if(ISBLANK('2025'!$Q7), 0, 1), 4, if(ISBLANK('2025'!$R7), 0, 1), 5, if(ISBLANK('2025'!$S7), 0, 1), 6, if(ISBLANK('2025'!$T7), 0, 1), 7, 0))), 1, "")</f>
        <v/>
      </c>
      <c r="P7" s="1" t="str">
        <f>IF(AND(AND(AND(P$4&gt;='2025'!$L7,P$4&lt;='2025'!$M7), P$4&lt;&gt;DATE(2025,7,4)), (SWITCH(weekday(P$4), 1, 0, 2, if(ISBLANK('2025'!$P7), 0, 1), 3, if(ISBLANK('2025'!$Q7), 0, 1), 4, if(ISBLANK('2025'!$R7), 0, 1), 5, if(ISBLANK('2025'!$S7), 0, 1), 6, if(ISBLANK('2025'!$T7), 0, 1), 7, 0))), 1, "")</f>
        <v/>
      </c>
      <c r="Q7" s="1" t="str">
        <f>IF(AND(AND(AND(Q$4&gt;='2025'!$L7,Q$4&lt;='2025'!$M7), Q$4&lt;&gt;DATE(2025,7,4)), (SWITCH(weekday(Q$4), 1, 0, 2, if(ISBLANK('2025'!$P7), 0, 1), 3, if(ISBLANK('2025'!$Q7), 0, 1), 4, if(ISBLANK('2025'!$R7), 0, 1), 5, if(ISBLANK('2025'!$S7), 0, 1), 6, if(ISBLANK('2025'!$T7), 0, 1), 7, 0))), 1, "")</f>
        <v/>
      </c>
      <c r="R7" s="1" t="str">
        <f>IF(AND(AND(AND(R$4&gt;='2025'!$L7,R$4&lt;='2025'!$M7), R$4&lt;&gt;DATE(2025,7,4)), (SWITCH(weekday(R$4), 1, 0, 2, if(ISBLANK('2025'!$P7), 0, 1), 3, if(ISBLANK('2025'!$Q7), 0, 1), 4, if(ISBLANK('2025'!$R7), 0, 1), 5, if(ISBLANK('2025'!$S7), 0, 1), 6, if(ISBLANK('2025'!$T7), 0, 1), 7, 0))), 1, "")</f>
        <v/>
      </c>
      <c r="S7" s="1" t="str">
        <f>IF(AND(AND(AND(S$4&gt;='2025'!$L7,S$4&lt;='2025'!$M7), S$4&lt;&gt;DATE(2025,7,4)), (SWITCH(weekday(S$4), 1, 0, 2, if(ISBLANK('2025'!$P7), 0, 1), 3, if(ISBLANK('2025'!$Q7), 0, 1), 4, if(ISBLANK('2025'!$R7), 0, 1), 5, if(ISBLANK('2025'!$S7), 0, 1), 6, if(ISBLANK('2025'!$T7), 0, 1), 7, 0))), 1, "")</f>
        <v/>
      </c>
      <c r="T7" s="1" t="str">
        <f>IF(AND(AND(AND(T$4&gt;='2025'!$L7,T$4&lt;='2025'!$M7), T$4&lt;&gt;DATE(2025,7,4)), (SWITCH(weekday(T$4), 1, 0, 2, if(ISBLANK('2025'!$P7), 0, 1), 3, if(ISBLANK('2025'!$Q7), 0, 1), 4, if(ISBLANK('2025'!$R7), 0, 1), 5, if(ISBLANK('2025'!$S7), 0, 1), 6, if(ISBLANK('2025'!$T7), 0, 1), 7, 0))), 1, "")</f>
        <v/>
      </c>
      <c r="U7" s="1" t="str">
        <f>IF(AND(AND(AND(U$4&gt;='2025'!$L7,U$4&lt;='2025'!$M7), U$4&lt;&gt;DATE(2025,7,4)), (SWITCH(weekday(U$4), 1, 0, 2, if(ISBLANK('2025'!$P7), 0, 1), 3, if(ISBLANK('2025'!$Q7), 0, 1), 4, if(ISBLANK('2025'!$R7), 0, 1), 5, if(ISBLANK('2025'!$S7), 0, 1), 6, if(ISBLANK('2025'!$T7), 0, 1), 7, 0))), 1, "")</f>
        <v/>
      </c>
      <c r="V7" s="1" t="str">
        <f>IF(AND(AND(AND(V$4&gt;='2025'!$L7,V$4&lt;='2025'!$M7), V$4&lt;&gt;DATE(2025,7,4)), (SWITCH(weekday(V$4), 1, 0, 2, if(ISBLANK('2025'!$P7), 0, 1), 3, if(ISBLANK('2025'!$Q7), 0, 1), 4, if(ISBLANK('2025'!$R7), 0, 1), 5, if(ISBLANK('2025'!$S7), 0, 1), 6, if(ISBLANK('2025'!$T7), 0, 1), 7, 0))), 1, "")</f>
        <v/>
      </c>
      <c r="W7" s="1" t="str">
        <f>IF(AND(AND(AND(W$4&gt;='2025'!$L7,W$4&lt;='2025'!$M7), W$4&lt;&gt;DATE(2025,7,4)), (SWITCH(weekday(W$4), 1, 0, 2, if(ISBLANK('2025'!$P7), 0, 1), 3, if(ISBLANK('2025'!$Q7), 0, 1), 4, if(ISBLANK('2025'!$R7), 0, 1), 5, if(ISBLANK('2025'!$S7), 0, 1), 6, if(ISBLANK('2025'!$T7), 0, 1), 7, 0))), 1, "")</f>
        <v/>
      </c>
      <c r="X7" s="1" t="str">
        <f>IF(AND(AND(AND(X$4&gt;='2025'!$L7,X$4&lt;='2025'!$M7), X$4&lt;&gt;DATE(2025,7,4)), (SWITCH(weekday(X$4), 1, 0, 2, if(ISBLANK('2025'!$P7), 0, 1), 3, if(ISBLANK('2025'!$Q7), 0, 1), 4, if(ISBLANK('2025'!$R7), 0, 1), 5, if(ISBLANK('2025'!$S7), 0, 1), 6, if(ISBLANK('2025'!$T7), 0, 1), 7, 0))), 1, "")</f>
        <v/>
      </c>
      <c r="Y7" s="1" t="str">
        <f>IF(AND(AND(AND(Y$4&gt;='2025'!$L7,Y$4&lt;='2025'!$M7), Y$4&lt;&gt;DATE(2025,7,4)), (SWITCH(weekday(Y$4), 1, 0, 2, if(ISBLANK('2025'!$P7), 0, 1), 3, if(ISBLANK('2025'!$Q7), 0, 1), 4, if(ISBLANK('2025'!$R7), 0, 1), 5, if(ISBLANK('2025'!$S7), 0, 1), 6, if(ISBLANK('2025'!$T7), 0, 1), 7, 0))), 1, "")</f>
        <v/>
      </c>
      <c r="Z7" s="1" t="str">
        <f>IF(AND(AND(AND(Z$4&gt;='2025'!$L7,Z$4&lt;='2025'!$M7), Z$4&lt;&gt;DATE(2025,7,4)), (SWITCH(weekday(Z$4), 1, 0, 2, if(ISBLANK('2025'!$P7), 0, 1), 3, if(ISBLANK('2025'!$Q7), 0, 1), 4, if(ISBLANK('2025'!$R7), 0, 1), 5, if(ISBLANK('2025'!$S7), 0, 1), 6, if(ISBLANK('2025'!$T7), 0, 1), 7, 0))), 1, "")</f>
        <v/>
      </c>
      <c r="AA7" s="1" t="str">
        <f>IF(AND(AND(AND(AA$4&gt;='2025'!$L7,AA$4&lt;='2025'!$M7), AA$4&lt;&gt;DATE(2025,7,4)), (SWITCH(weekday(AA$4), 1, 0, 2, if(ISBLANK('2025'!$P7), 0, 1), 3, if(ISBLANK('2025'!$Q7), 0, 1), 4, if(ISBLANK('2025'!$R7), 0, 1), 5, if(ISBLANK('2025'!$S7), 0, 1), 6, if(ISBLANK('2025'!$T7), 0, 1), 7, 0))), 1, "")</f>
        <v/>
      </c>
      <c r="AB7" s="1" t="str">
        <f>IF(AND(AND(AND(AB$4&gt;='2025'!$L7,AB$4&lt;='2025'!$M7), AB$4&lt;&gt;DATE(2025,7,4)), (SWITCH(weekday(AB$4), 1, 0, 2, if(ISBLANK('2025'!$P7), 0, 1), 3, if(ISBLANK('2025'!$Q7), 0, 1), 4, if(ISBLANK('2025'!$R7), 0, 1), 5, if(ISBLANK('2025'!$S7), 0, 1), 6, if(ISBLANK('2025'!$T7), 0, 1), 7, 0))), 1, "")</f>
        <v/>
      </c>
      <c r="AC7" s="1" t="str">
        <f>IF(AND(AND(AND(AC$4&gt;='2025'!$L7,AC$4&lt;='2025'!$M7), AC$4&lt;&gt;DATE(2025,7,4)), (SWITCH(weekday(AC$4), 1, 0, 2, if(ISBLANK('2025'!$P7), 0, 1), 3, if(ISBLANK('2025'!$Q7), 0, 1), 4, if(ISBLANK('2025'!$R7), 0, 1), 5, if(ISBLANK('2025'!$S7), 0, 1), 6, if(ISBLANK('2025'!$T7), 0, 1), 7, 0))), 1, "")</f>
        <v/>
      </c>
      <c r="AD7" s="1" t="str">
        <f>IF(AND(AND(AND(AD$4&gt;='2025'!$L7,AD$4&lt;='2025'!$M7), AD$4&lt;&gt;DATE(2025,7,4)), (SWITCH(weekday(AD$4), 1, 0, 2, if(ISBLANK('2025'!$P7), 0, 1), 3, if(ISBLANK('2025'!$Q7), 0, 1), 4, if(ISBLANK('2025'!$R7), 0, 1), 5, if(ISBLANK('2025'!$S7), 0, 1), 6, if(ISBLANK('2025'!$T7), 0, 1), 7, 0))), 1, "")</f>
        <v/>
      </c>
      <c r="AE7" s="1" t="str">
        <f>IF(AND(AND(AND(AE$4&gt;='2025'!$L7,AE$4&lt;='2025'!$M7), AE$4&lt;&gt;DATE(2025,7,4)), (SWITCH(weekday(AE$4), 1, 0, 2, if(ISBLANK('2025'!$P7), 0, 1), 3, if(ISBLANK('2025'!$Q7), 0, 1), 4, if(ISBLANK('2025'!$R7), 0, 1), 5, if(ISBLANK('2025'!$S7), 0, 1), 6, if(ISBLANK('2025'!$T7), 0, 1), 7, 0))), 1, "")</f>
        <v/>
      </c>
      <c r="AF7" s="1" t="str">
        <f>IF(AND(AND(AND(AF$4&gt;='2025'!$L7,AF$4&lt;='2025'!$M7), AF$4&lt;&gt;DATE(2025,7,4)), (SWITCH(weekday(AF$4), 1, 0, 2, if(ISBLANK('2025'!$P7), 0, 1), 3, if(ISBLANK('2025'!$Q7), 0, 1), 4, if(ISBLANK('2025'!$R7), 0, 1), 5, if(ISBLANK('2025'!$S7), 0, 1), 6, if(ISBLANK('2025'!$T7), 0, 1), 7, 0))), 1, "")</f>
        <v/>
      </c>
      <c r="AG7" s="1" t="str">
        <f>IF(AND(AND(AND(AG$4&gt;='2025'!$L7,AG$4&lt;='2025'!$M7), AG$4&lt;&gt;DATE(2025,7,4)), (SWITCH(weekday(AG$4), 1, 0, 2, if(ISBLANK('2025'!$P7), 0, 1), 3, if(ISBLANK('2025'!$Q7), 0, 1), 4, if(ISBLANK('2025'!$R7), 0, 1), 5, if(ISBLANK('2025'!$S7), 0, 1), 6, if(ISBLANK('2025'!$T7), 0, 1), 7, 0))), 1, "")</f>
        <v/>
      </c>
      <c r="AH7" s="1" t="str">
        <f>IF(AND(AND(AND(AH$4&gt;='2025'!$L7,AH$4&lt;='2025'!$M7), AH$4&lt;&gt;DATE(2025,7,4)), (SWITCH(weekday(AH$4), 1, 0, 2, if(ISBLANK('2025'!$P7), 0, 1), 3, if(ISBLANK('2025'!$Q7), 0, 1), 4, if(ISBLANK('2025'!$R7), 0, 1), 5, if(ISBLANK('2025'!$S7), 0, 1), 6, if(ISBLANK('2025'!$T7), 0, 1), 7, 0))), 1, "")</f>
        <v/>
      </c>
      <c r="AI7" s="1" t="str">
        <f>IF(AND(AND(AND(AI$4&gt;='2025'!$L7,AI$4&lt;='2025'!$M7), AI$4&lt;&gt;DATE(2025,7,4)), (SWITCH(weekday(AI$4), 1, 0, 2, if(ISBLANK('2025'!$P7), 0, 1), 3, if(ISBLANK('2025'!$Q7), 0, 1), 4, if(ISBLANK('2025'!$R7), 0, 1), 5, if(ISBLANK('2025'!$S7), 0, 1), 6, if(ISBLANK('2025'!$T7), 0, 1), 7, 0))), 1, "")</f>
        <v/>
      </c>
      <c r="AJ7" s="1" t="str">
        <f>IF(AND(AND(AND(AJ$4&gt;='2025'!$L7,AJ$4&lt;='2025'!$M7), AJ$4&lt;&gt;DATE(2025,7,4)), (SWITCH(weekday(AJ$4), 1, 0, 2, if(ISBLANK('2025'!$P7), 0, 1), 3, if(ISBLANK('2025'!$Q7), 0, 1), 4, if(ISBLANK('2025'!$R7), 0, 1), 5, if(ISBLANK('2025'!$S7), 0, 1), 6, if(ISBLANK('2025'!$T7), 0, 1), 7, 0))), 1, "")</f>
        <v/>
      </c>
      <c r="AK7" s="1" t="str">
        <f>IF(AND(AND(AND(AK$4&gt;='2025'!$L7,AK$4&lt;='2025'!$M7), AK$4&lt;&gt;DATE(2025,7,4)), (SWITCH(weekday(AK$4), 1, 0, 2, if(ISBLANK('2025'!$P7), 0, 1), 3, if(ISBLANK('2025'!$Q7), 0, 1), 4, if(ISBLANK('2025'!$R7), 0, 1), 5, if(ISBLANK('2025'!$S7), 0, 1), 6, if(ISBLANK('2025'!$T7), 0, 1), 7, 0))), 1, "")</f>
        <v/>
      </c>
      <c r="AL7" s="1" t="str">
        <f>IF(AND(AND(AND(AL$4&gt;='2025'!$L7,AL$4&lt;='2025'!$M7), AL$4&lt;&gt;DATE(2025,7,4)), (SWITCH(weekday(AL$4), 1, 0, 2, if(ISBLANK('2025'!$P7), 0, 1), 3, if(ISBLANK('2025'!$Q7), 0, 1), 4, if(ISBLANK('2025'!$R7), 0, 1), 5, if(ISBLANK('2025'!$S7), 0, 1), 6, if(ISBLANK('2025'!$T7), 0, 1), 7, 0))), 1, "")</f>
        <v/>
      </c>
      <c r="AM7" s="1" t="str">
        <f>IF(AND(AND(AND(AM$4&gt;='2025'!$L7,AM$4&lt;='2025'!$M7), AM$4&lt;&gt;DATE(2025,7,4)), (SWITCH(weekday(AM$4), 1, 0, 2, if(ISBLANK('2025'!$P7), 0, 1), 3, if(ISBLANK('2025'!$Q7), 0, 1), 4, if(ISBLANK('2025'!$R7), 0, 1), 5, if(ISBLANK('2025'!$S7), 0, 1), 6, if(ISBLANK('2025'!$T7), 0, 1), 7, 0))), 1, "")</f>
        <v/>
      </c>
      <c r="AN7" s="1" t="str">
        <f>IF(AND(AND(AND(AN$4&gt;='2025'!$L7,AN$4&lt;='2025'!$M7), AN$4&lt;&gt;DATE(2025,7,4)), (SWITCH(weekday(AN$4), 1, 0, 2, if(ISBLANK('2025'!$P7), 0, 1), 3, if(ISBLANK('2025'!$Q7), 0, 1), 4, if(ISBLANK('2025'!$R7), 0, 1), 5, if(ISBLANK('2025'!$S7), 0, 1), 6, if(ISBLANK('2025'!$T7), 0, 1), 7, 0))), 1, "")</f>
        <v/>
      </c>
      <c r="AO7" s="1" t="str">
        <f>IF(AND(AND(AND(AO$4&gt;='2025'!$L7,AO$4&lt;='2025'!$M7), AO$4&lt;&gt;DATE(2025,7,4)), (SWITCH(weekday(AO$4), 1, 0, 2, if(ISBLANK('2025'!$P7), 0, 1), 3, if(ISBLANK('2025'!$Q7), 0, 1), 4, if(ISBLANK('2025'!$R7), 0, 1), 5, if(ISBLANK('2025'!$S7), 0, 1), 6, if(ISBLANK('2025'!$T7), 0, 1), 7, 0))), 1, "")</f>
        <v/>
      </c>
      <c r="AP7" s="1" t="str">
        <f>IF(AND(AND(AND(AP$4&gt;='2025'!$L7,AP$4&lt;='2025'!$M7), AP$4&lt;&gt;DATE(2025,7,4)), (SWITCH(weekday(AP$4), 1, 0, 2, if(ISBLANK('2025'!$P7), 0, 1), 3, if(ISBLANK('2025'!$Q7), 0, 1), 4, if(ISBLANK('2025'!$R7), 0, 1), 5, if(ISBLANK('2025'!$S7), 0, 1), 6, if(ISBLANK('2025'!$T7), 0, 1), 7, 0))), 1, "")</f>
        <v/>
      </c>
      <c r="AQ7" s="1" t="str">
        <f>IF(AND(AND(AND(AQ$4&gt;='2025'!$L7,AQ$4&lt;='2025'!$M7), AQ$4&lt;&gt;DATE(2025,7,4)), (SWITCH(weekday(AQ$4), 1, 0, 2, if(ISBLANK('2025'!$P7), 0, 1), 3, if(ISBLANK('2025'!$Q7), 0, 1), 4, if(ISBLANK('2025'!$R7), 0, 1), 5, if(ISBLANK('2025'!$S7), 0, 1), 6, if(ISBLANK('2025'!$T7), 0, 1), 7, 0))), 1, "")</f>
        <v/>
      </c>
      <c r="AR7" s="1" t="str">
        <f>IF(AND(AND(AND(AR$4&gt;='2025'!$L7,AR$4&lt;='2025'!$M7), AR$4&lt;&gt;DATE(2025,7,4)), (SWITCH(weekday(AR$4), 1, 0, 2, if(ISBLANK('2025'!$P7), 0, 1), 3, if(ISBLANK('2025'!$Q7), 0, 1), 4, if(ISBLANK('2025'!$R7), 0, 1), 5, if(ISBLANK('2025'!$S7), 0, 1), 6, if(ISBLANK('2025'!$T7), 0, 1), 7, 0))), 1, "")</f>
        <v/>
      </c>
      <c r="AS7" s="1" t="str">
        <f>IF(AND(AND(AND(AS$4&gt;='2025'!$L7,AS$4&lt;='2025'!$M7), AS$4&lt;&gt;DATE(2025,7,4)), (SWITCH(weekday(AS$4), 1, 0, 2, if(ISBLANK('2025'!$P7), 0, 1), 3, if(ISBLANK('2025'!$Q7), 0, 1), 4, if(ISBLANK('2025'!$R7), 0, 1), 5, if(ISBLANK('2025'!$S7), 0, 1), 6, if(ISBLANK('2025'!$T7), 0, 1), 7, 0))), 1, "")</f>
        <v/>
      </c>
      <c r="AT7" s="1" t="str">
        <f>IF(AND(AND(AND(AT$4&gt;='2025'!$L7,AT$4&lt;='2025'!$M7), AT$4&lt;&gt;DATE(2025,7,4)), (SWITCH(weekday(AT$4), 1, 0, 2, if(ISBLANK('2025'!$P7), 0, 1), 3, if(ISBLANK('2025'!$Q7), 0, 1), 4, if(ISBLANK('2025'!$R7), 0, 1), 5, if(ISBLANK('2025'!$S7), 0, 1), 6, if(ISBLANK('2025'!$T7), 0, 1), 7, 0))), 1, "")</f>
        <v/>
      </c>
      <c r="AU7" s="1" t="str">
        <f>IF(AND(AND(AND(AU$4&gt;='2025'!$L7,AU$4&lt;='2025'!$M7), AU$4&lt;&gt;DATE(2025,7,4)), (SWITCH(weekday(AU$4), 1, 0, 2, if(ISBLANK('2025'!$P7), 0, 1), 3, if(ISBLANK('2025'!$Q7), 0, 1), 4, if(ISBLANK('2025'!$R7), 0, 1), 5, if(ISBLANK('2025'!$S7), 0, 1), 6, if(ISBLANK('2025'!$T7), 0, 1), 7, 0))), 1, "")</f>
        <v/>
      </c>
      <c r="AV7" s="1" t="str">
        <f>IF(AND(AND(AND(AV$4&gt;='2025'!$L7,AV$4&lt;='2025'!$M7), AV$4&lt;&gt;DATE(2025,7,4)), (SWITCH(weekday(AV$4), 1, 0, 2, if(ISBLANK('2025'!$P7), 0, 1), 3, if(ISBLANK('2025'!$Q7), 0, 1), 4, if(ISBLANK('2025'!$R7), 0, 1), 5, if(ISBLANK('2025'!$S7), 0, 1), 6, if(ISBLANK('2025'!$T7), 0, 1), 7, 0))), 1, "")</f>
        <v/>
      </c>
      <c r="AW7" s="1" t="str">
        <f>IF(AND(AND(AND(AW$4&gt;='2025'!$L7,AW$4&lt;='2025'!$M7), AW$4&lt;&gt;DATE(2025,7,4)), (SWITCH(weekday(AW$4), 1, 0, 2, if(ISBLANK('2025'!$P7), 0, 1), 3, if(ISBLANK('2025'!$Q7), 0, 1), 4, if(ISBLANK('2025'!$R7), 0, 1), 5, if(ISBLANK('2025'!$S7), 0, 1), 6, if(ISBLANK('2025'!$T7), 0, 1), 7, 0))), 1, "")</f>
        <v/>
      </c>
      <c r="AX7" s="1" t="str">
        <f>IF(AND(AND(AND(AX$4&gt;='2025'!$L7,AX$4&lt;='2025'!$M7), AX$4&lt;&gt;DATE(2025,7,4)), (SWITCH(weekday(AX$4), 1, 0, 2, if(ISBLANK('2025'!$P7), 0, 1), 3, if(ISBLANK('2025'!$Q7), 0, 1), 4, if(ISBLANK('2025'!$R7), 0, 1), 5, if(ISBLANK('2025'!$S7), 0, 1), 6, if(ISBLANK('2025'!$T7), 0, 1), 7, 0))), 1, "")</f>
        <v/>
      </c>
      <c r="AY7" s="1" t="str">
        <f>IF(AND(AND(AND(AY$4&gt;='2025'!$L7,AY$4&lt;='2025'!$M7), AY$4&lt;&gt;DATE(2025,7,4)), (SWITCH(weekday(AY$4), 1, 0, 2, if(ISBLANK('2025'!$P7), 0, 1), 3, if(ISBLANK('2025'!$Q7), 0, 1), 4, if(ISBLANK('2025'!$R7), 0, 1), 5, if(ISBLANK('2025'!$S7), 0, 1), 6, if(ISBLANK('2025'!$T7), 0, 1), 7, 0))), 1, "")</f>
        <v/>
      </c>
      <c r="AZ7" s="1" t="str">
        <f>IF(AND(AND(AND(AZ$4&gt;='2025'!$L7,AZ$4&lt;='2025'!$M7), AZ$4&lt;&gt;DATE(2025,7,4)), (SWITCH(weekday(AZ$4), 1, 0, 2, if(ISBLANK('2025'!$P7), 0, 1), 3, if(ISBLANK('2025'!$Q7), 0, 1), 4, if(ISBLANK('2025'!$R7), 0, 1), 5, if(ISBLANK('2025'!$S7), 0, 1), 6, if(ISBLANK('2025'!$T7), 0, 1), 7, 0))), 1, "")</f>
        <v/>
      </c>
      <c r="BA7" s="1" t="str">
        <f>IF(AND(AND(AND(BA$4&gt;='2025'!$L7,BA$4&lt;='2025'!$M7), BA$4&lt;&gt;DATE(2025,7,4)), (SWITCH(weekday(BA$4), 1, 0, 2, if(ISBLANK('2025'!$P7), 0, 1), 3, if(ISBLANK('2025'!$Q7), 0, 1), 4, if(ISBLANK('2025'!$R7), 0, 1), 5, if(ISBLANK('2025'!$S7), 0, 1), 6, if(ISBLANK('2025'!$T7), 0, 1), 7, 0))), 1, "")</f>
        <v/>
      </c>
      <c r="BB7" s="1" t="str">
        <f>IF(AND(AND(AND(BB$4&gt;='2025'!$L7,BB$4&lt;='2025'!$M7), BB$4&lt;&gt;DATE(2025,7,4)), (SWITCH(weekday(BB$4), 1, 0, 2, if(ISBLANK('2025'!$P7), 0, 1), 3, if(ISBLANK('2025'!$Q7), 0, 1), 4, if(ISBLANK('2025'!$R7), 0, 1), 5, if(ISBLANK('2025'!$S7), 0, 1), 6, if(ISBLANK('2025'!$T7), 0, 1), 7, 0))), 1, "")</f>
        <v/>
      </c>
      <c r="BC7" s="1" t="str">
        <f>IF(AND(AND(AND(BC$4&gt;='2025'!$L7,BC$4&lt;='2025'!$M7), BC$4&lt;&gt;DATE(2025,7,4)), (SWITCH(weekday(BC$4), 1, 0, 2, if(ISBLANK('2025'!$P7), 0, 1), 3, if(ISBLANK('2025'!$Q7), 0, 1), 4, if(ISBLANK('2025'!$R7), 0, 1), 5, if(ISBLANK('2025'!$S7), 0, 1), 6, if(ISBLANK('2025'!$T7), 0, 1), 7, 0))), 1, "")</f>
        <v/>
      </c>
      <c r="BD7" s="1" t="str">
        <f>IF(AND(AND(AND(BD$4&gt;='2025'!$L7,BD$4&lt;='2025'!$M7), BD$4&lt;&gt;DATE(2025,7,4)), (SWITCH(weekday(BD$4), 1, 0, 2, if(ISBLANK('2025'!$P7), 0, 1), 3, if(ISBLANK('2025'!$Q7), 0, 1), 4, if(ISBLANK('2025'!$R7), 0, 1), 5, if(ISBLANK('2025'!$S7), 0, 1), 6, if(ISBLANK('2025'!$T7), 0, 1), 7, 0))), 1, "")</f>
        <v/>
      </c>
      <c r="BE7" s="1" t="str">
        <f>IF(AND(AND(AND(BE$4&gt;='2025'!$L7,BE$4&lt;='2025'!$M7), BE$4&lt;&gt;DATE(2025,7,4)), (SWITCH(weekday(BE$4), 1, 0, 2, if(ISBLANK('2025'!$P7), 0, 1), 3, if(ISBLANK('2025'!$Q7), 0, 1), 4, if(ISBLANK('2025'!$R7), 0, 1), 5, if(ISBLANK('2025'!$S7), 0, 1), 6, if(ISBLANK('2025'!$T7), 0, 1), 7, 0))), 1, "")</f>
        <v/>
      </c>
      <c r="BF7" s="1" t="str">
        <f>IF(AND(AND(AND(BF$4&gt;='2025'!$L7,BF$4&lt;='2025'!$M7), BF$4&lt;&gt;DATE(2025,7,4)), (SWITCH(weekday(BF$4), 1, 0, 2, if(ISBLANK('2025'!$P7), 0, 1), 3, if(ISBLANK('2025'!$Q7), 0, 1), 4, if(ISBLANK('2025'!$R7), 0, 1), 5, if(ISBLANK('2025'!$S7), 0, 1), 6, if(ISBLANK('2025'!$T7), 0, 1), 7, 0))), 1, "")</f>
        <v/>
      </c>
      <c r="BG7" s="1"/>
      <c r="BH7" s="1"/>
      <c r="BI7" s="1"/>
      <c r="BJ7" s="1"/>
      <c r="BK7" s="1"/>
      <c r="BL7" s="1"/>
    </row>
    <row r="8">
      <c r="A8" s="1">
        <f t="shared" si="3"/>
        <v>8</v>
      </c>
      <c r="B8" s="1" t="str">
        <f>'2025'!D8</f>
        <v>shah, ayan</v>
      </c>
      <c r="C8" s="1" t="str">
        <f>'2025'!H8</f>
        <v>PK3</v>
      </c>
      <c r="D8" s="1" t="str">
        <f>IF(AND(AND(AND(D$4&gt;='2025'!$L8,D$4&lt;='2025'!$M8), D$4&lt;&gt;DATE(2025,7,4)), (SWITCH(weekday(D$4), 1, 0, 2, if(ISBLANK('2025'!$P8), 0, 1), 3, if(ISBLANK('2025'!$Q8), 0, 1), 4, if(ISBLANK('2025'!$R8), 0, 1), 5, if(ISBLANK('2025'!$S8), 0, 1), 6, if(ISBLANK('2025'!$T8), 0, 1), 7, 0))), 1, "")</f>
        <v/>
      </c>
      <c r="E8" s="1" t="str">
        <f>IF(AND(AND(AND(E$4&gt;='2025'!$L8,E$4&lt;='2025'!$M8), E$4&lt;&gt;DATE(2025,7,4)), (SWITCH(weekday(E$4), 1, 0, 2, if(ISBLANK('2025'!$P8), 0, 1), 3, if(ISBLANK('2025'!$Q8), 0, 1), 4, if(ISBLANK('2025'!$R8), 0, 1), 5, if(ISBLANK('2025'!$S8), 0, 1), 6, if(ISBLANK('2025'!$T8), 0, 1), 7, 0))), 1, "")</f>
        <v/>
      </c>
      <c r="F8" s="1" t="str">
        <f>IF(AND(AND(AND(F$4&gt;='2025'!$L8,F$4&lt;='2025'!$M8), F$4&lt;&gt;DATE(2025,7,4)), (SWITCH(weekday(F$4), 1, 0, 2, if(ISBLANK('2025'!$P8), 0, 1), 3, if(ISBLANK('2025'!$Q8), 0, 1), 4, if(ISBLANK('2025'!$R8), 0, 1), 5, if(ISBLANK('2025'!$S8), 0, 1), 6, if(ISBLANK('2025'!$T8), 0, 1), 7, 0))), 1, "")</f>
        <v/>
      </c>
      <c r="G8" s="1" t="str">
        <f>IF(AND(AND(AND(G$4&gt;='2025'!$L8,G$4&lt;='2025'!$M8), G$4&lt;&gt;DATE(2025,7,4)), (SWITCH(weekday(G$4), 1, 0, 2, if(ISBLANK('2025'!$P8), 0, 1), 3, if(ISBLANK('2025'!$Q8), 0, 1), 4, if(ISBLANK('2025'!$R8), 0, 1), 5, if(ISBLANK('2025'!$S8), 0, 1), 6, if(ISBLANK('2025'!$T8), 0, 1), 7, 0))), 1, "")</f>
        <v/>
      </c>
      <c r="H8" s="1" t="str">
        <f>IF(AND(AND(AND(H$4&gt;='2025'!$L8,H$4&lt;='2025'!$M8), H$4&lt;&gt;DATE(2025,7,4)), (SWITCH(weekday(H$4), 1, 0, 2, if(ISBLANK('2025'!$P8), 0, 1), 3, if(ISBLANK('2025'!$Q8), 0, 1), 4, if(ISBLANK('2025'!$R8), 0, 1), 5, if(ISBLANK('2025'!$S8), 0, 1), 6, if(ISBLANK('2025'!$T8), 0, 1), 7, 0))), 1, "")</f>
        <v/>
      </c>
      <c r="I8" s="1" t="str">
        <f>IF(AND(AND(AND(I$4&gt;='2025'!$L8,I$4&lt;='2025'!$M8), I$4&lt;&gt;DATE(2025,7,4)), (SWITCH(weekday(I$4), 1, 0, 2, if(ISBLANK('2025'!$P8), 0, 1), 3, if(ISBLANK('2025'!$Q8), 0, 1), 4, if(ISBLANK('2025'!$R8), 0, 1), 5, if(ISBLANK('2025'!$S8), 0, 1), 6, if(ISBLANK('2025'!$T8), 0, 1), 7, 0))), 1, "")</f>
        <v/>
      </c>
      <c r="J8" s="1" t="str">
        <f>IF(AND(AND(AND(J$4&gt;='2025'!$L8,J$4&lt;='2025'!$M8), J$4&lt;&gt;DATE(2025,7,4)), (SWITCH(weekday(J$4), 1, 0, 2, if(ISBLANK('2025'!$P8), 0, 1), 3, if(ISBLANK('2025'!$Q8), 0, 1), 4, if(ISBLANK('2025'!$R8), 0, 1), 5, if(ISBLANK('2025'!$S8), 0, 1), 6, if(ISBLANK('2025'!$T8), 0, 1), 7, 0))), 1, "")</f>
        <v/>
      </c>
      <c r="K8" s="1" t="str">
        <f>IF(AND(AND(AND(K$4&gt;='2025'!$L8,K$4&lt;='2025'!$M8), K$4&lt;&gt;DATE(2025,7,4)), (SWITCH(weekday(K$4), 1, 0, 2, if(ISBLANK('2025'!$P8), 0, 1), 3, if(ISBLANK('2025'!$Q8), 0, 1), 4, if(ISBLANK('2025'!$R8), 0, 1), 5, if(ISBLANK('2025'!$S8), 0, 1), 6, if(ISBLANK('2025'!$T8), 0, 1), 7, 0))), 1, "")</f>
        <v/>
      </c>
      <c r="L8" s="1" t="str">
        <f>IF(AND(AND(AND(L$4&gt;='2025'!$L8,L$4&lt;='2025'!$M8), L$4&lt;&gt;DATE(2025,7,4)), (SWITCH(weekday(L$4), 1, 0, 2, if(ISBLANK('2025'!$P8), 0, 1), 3, if(ISBLANK('2025'!$Q8), 0, 1), 4, if(ISBLANK('2025'!$R8), 0, 1), 5, if(ISBLANK('2025'!$S8), 0, 1), 6, if(ISBLANK('2025'!$T8), 0, 1), 7, 0))), 1, "")</f>
        <v/>
      </c>
      <c r="M8" s="1" t="str">
        <f>IF(AND(AND(AND(M$4&gt;='2025'!$L8,M$4&lt;='2025'!$M8), M$4&lt;&gt;DATE(2025,7,4)), (SWITCH(weekday(M$4), 1, 0, 2, if(ISBLANK('2025'!$P8), 0, 1), 3, if(ISBLANK('2025'!$Q8), 0, 1), 4, if(ISBLANK('2025'!$R8), 0, 1), 5, if(ISBLANK('2025'!$S8), 0, 1), 6, if(ISBLANK('2025'!$T8), 0, 1), 7, 0))), 1, "")</f>
        <v/>
      </c>
      <c r="N8" s="1" t="str">
        <f>IF(AND(AND(AND(N$4&gt;='2025'!$L8,N$4&lt;='2025'!$M8), N$4&lt;&gt;DATE(2025,7,4)), (SWITCH(weekday(N$4), 1, 0, 2, if(ISBLANK('2025'!$P8), 0, 1), 3, if(ISBLANK('2025'!$Q8), 0, 1), 4, if(ISBLANK('2025'!$R8), 0, 1), 5, if(ISBLANK('2025'!$S8), 0, 1), 6, if(ISBLANK('2025'!$T8), 0, 1), 7, 0))), 1, "")</f>
        <v/>
      </c>
      <c r="O8" s="1" t="str">
        <f>IF(AND(AND(AND(O$4&gt;='2025'!$L8,O$4&lt;='2025'!$M8), O$4&lt;&gt;DATE(2025,7,4)), (SWITCH(weekday(O$4), 1, 0, 2, if(ISBLANK('2025'!$P8), 0, 1), 3, if(ISBLANK('2025'!$Q8), 0, 1), 4, if(ISBLANK('2025'!$R8), 0, 1), 5, if(ISBLANK('2025'!$S8), 0, 1), 6, if(ISBLANK('2025'!$T8), 0, 1), 7, 0))), 1, "")</f>
        <v/>
      </c>
      <c r="P8" s="1" t="str">
        <f>IF(AND(AND(AND(P$4&gt;='2025'!$L8,P$4&lt;='2025'!$M8), P$4&lt;&gt;DATE(2025,7,4)), (SWITCH(weekday(P$4), 1, 0, 2, if(ISBLANK('2025'!$P8), 0, 1), 3, if(ISBLANK('2025'!$Q8), 0, 1), 4, if(ISBLANK('2025'!$R8), 0, 1), 5, if(ISBLANK('2025'!$S8), 0, 1), 6, if(ISBLANK('2025'!$T8), 0, 1), 7, 0))), 1, "")</f>
        <v/>
      </c>
      <c r="Q8" s="1" t="str">
        <f>IF(AND(AND(AND(Q$4&gt;='2025'!$L8,Q$4&lt;='2025'!$M8), Q$4&lt;&gt;DATE(2025,7,4)), (SWITCH(weekday(Q$4), 1, 0, 2, if(ISBLANK('2025'!$P8), 0, 1), 3, if(ISBLANK('2025'!$Q8), 0, 1), 4, if(ISBLANK('2025'!$R8), 0, 1), 5, if(ISBLANK('2025'!$S8), 0, 1), 6, if(ISBLANK('2025'!$T8), 0, 1), 7, 0))), 1, "")</f>
        <v/>
      </c>
      <c r="R8" s="1" t="str">
        <f>IF(AND(AND(AND(R$4&gt;='2025'!$L8,R$4&lt;='2025'!$M8), R$4&lt;&gt;DATE(2025,7,4)), (SWITCH(weekday(R$4), 1, 0, 2, if(ISBLANK('2025'!$P8), 0, 1), 3, if(ISBLANK('2025'!$Q8), 0, 1), 4, if(ISBLANK('2025'!$R8), 0, 1), 5, if(ISBLANK('2025'!$S8), 0, 1), 6, if(ISBLANK('2025'!$T8), 0, 1), 7, 0))), 1, "")</f>
        <v/>
      </c>
      <c r="S8" s="1" t="str">
        <f>IF(AND(AND(AND(S$4&gt;='2025'!$L8,S$4&lt;='2025'!$M8), S$4&lt;&gt;DATE(2025,7,4)), (SWITCH(weekday(S$4), 1, 0, 2, if(ISBLANK('2025'!$P8), 0, 1), 3, if(ISBLANK('2025'!$Q8), 0, 1), 4, if(ISBLANK('2025'!$R8), 0, 1), 5, if(ISBLANK('2025'!$S8), 0, 1), 6, if(ISBLANK('2025'!$T8), 0, 1), 7, 0))), 1, "")</f>
        <v/>
      </c>
      <c r="T8" s="1" t="str">
        <f>IF(AND(AND(AND(T$4&gt;='2025'!$L8,T$4&lt;='2025'!$M8), T$4&lt;&gt;DATE(2025,7,4)), (SWITCH(weekday(T$4), 1, 0, 2, if(ISBLANK('2025'!$P8), 0, 1), 3, if(ISBLANK('2025'!$Q8), 0, 1), 4, if(ISBLANK('2025'!$R8), 0, 1), 5, if(ISBLANK('2025'!$S8), 0, 1), 6, if(ISBLANK('2025'!$T8), 0, 1), 7, 0))), 1, "")</f>
        <v/>
      </c>
      <c r="U8" s="1" t="str">
        <f>IF(AND(AND(AND(U$4&gt;='2025'!$L8,U$4&lt;='2025'!$M8), U$4&lt;&gt;DATE(2025,7,4)), (SWITCH(weekday(U$4), 1, 0, 2, if(ISBLANK('2025'!$P8), 0, 1), 3, if(ISBLANK('2025'!$Q8), 0, 1), 4, if(ISBLANK('2025'!$R8), 0, 1), 5, if(ISBLANK('2025'!$S8), 0, 1), 6, if(ISBLANK('2025'!$T8), 0, 1), 7, 0))), 1, "")</f>
        <v/>
      </c>
      <c r="V8" s="1" t="str">
        <f>IF(AND(AND(AND(V$4&gt;='2025'!$L8,V$4&lt;='2025'!$M8), V$4&lt;&gt;DATE(2025,7,4)), (SWITCH(weekday(V$4), 1, 0, 2, if(ISBLANK('2025'!$P8), 0, 1), 3, if(ISBLANK('2025'!$Q8), 0, 1), 4, if(ISBLANK('2025'!$R8), 0, 1), 5, if(ISBLANK('2025'!$S8), 0, 1), 6, if(ISBLANK('2025'!$T8), 0, 1), 7, 0))), 1, "")</f>
        <v/>
      </c>
      <c r="W8" s="1" t="str">
        <f>IF(AND(AND(AND(W$4&gt;='2025'!$L8,W$4&lt;='2025'!$M8), W$4&lt;&gt;DATE(2025,7,4)), (SWITCH(weekday(W$4), 1, 0, 2, if(ISBLANK('2025'!$P8), 0, 1), 3, if(ISBLANK('2025'!$Q8), 0, 1), 4, if(ISBLANK('2025'!$R8), 0, 1), 5, if(ISBLANK('2025'!$S8), 0, 1), 6, if(ISBLANK('2025'!$T8), 0, 1), 7, 0))), 1, "")</f>
        <v/>
      </c>
      <c r="X8" s="1" t="str">
        <f>IF(AND(AND(AND(X$4&gt;='2025'!$L8,X$4&lt;='2025'!$M8), X$4&lt;&gt;DATE(2025,7,4)), (SWITCH(weekday(X$4), 1, 0, 2, if(ISBLANK('2025'!$P8), 0, 1), 3, if(ISBLANK('2025'!$Q8), 0, 1), 4, if(ISBLANK('2025'!$R8), 0, 1), 5, if(ISBLANK('2025'!$S8), 0, 1), 6, if(ISBLANK('2025'!$T8), 0, 1), 7, 0))), 1, "")</f>
        <v/>
      </c>
      <c r="Y8" s="1" t="str">
        <f>IF(AND(AND(AND(Y$4&gt;='2025'!$L8,Y$4&lt;='2025'!$M8), Y$4&lt;&gt;DATE(2025,7,4)), (SWITCH(weekday(Y$4), 1, 0, 2, if(ISBLANK('2025'!$P8), 0, 1), 3, if(ISBLANK('2025'!$Q8), 0, 1), 4, if(ISBLANK('2025'!$R8), 0, 1), 5, if(ISBLANK('2025'!$S8), 0, 1), 6, if(ISBLANK('2025'!$T8), 0, 1), 7, 0))), 1, "")</f>
        <v/>
      </c>
      <c r="Z8" s="1" t="str">
        <f>IF(AND(AND(AND(Z$4&gt;='2025'!$L8,Z$4&lt;='2025'!$M8), Z$4&lt;&gt;DATE(2025,7,4)), (SWITCH(weekday(Z$4), 1, 0, 2, if(ISBLANK('2025'!$P8), 0, 1), 3, if(ISBLANK('2025'!$Q8), 0, 1), 4, if(ISBLANK('2025'!$R8), 0, 1), 5, if(ISBLANK('2025'!$S8), 0, 1), 6, if(ISBLANK('2025'!$T8), 0, 1), 7, 0))), 1, "")</f>
        <v/>
      </c>
      <c r="AA8" s="1" t="str">
        <f>IF(AND(AND(AND(AA$4&gt;='2025'!$L8,AA$4&lt;='2025'!$M8), AA$4&lt;&gt;DATE(2025,7,4)), (SWITCH(weekday(AA$4), 1, 0, 2, if(ISBLANK('2025'!$P8), 0, 1), 3, if(ISBLANK('2025'!$Q8), 0, 1), 4, if(ISBLANK('2025'!$R8), 0, 1), 5, if(ISBLANK('2025'!$S8), 0, 1), 6, if(ISBLANK('2025'!$T8), 0, 1), 7, 0))), 1, "")</f>
        <v/>
      </c>
      <c r="AB8" s="1" t="str">
        <f>IF(AND(AND(AND(AB$4&gt;='2025'!$L8,AB$4&lt;='2025'!$M8), AB$4&lt;&gt;DATE(2025,7,4)), (SWITCH(weekday(AB$4), 1, 0, 2, if(ISBLANK('2025'!$P8), 0, 1), 3, if(ISBLANK('2025'!$Q8), 0, 1), 4, if(ISBLANK('2025'!$R8), 0, 1), 5, if(ISBLANK('2025'!$S8), 0, 1), 6, if(ISBLANK('2025'!$T8), 0, 1), 7, 0))), 1, "")</f>
        <v/>
      </c>
      <c r="AC8" s="1" t="str">
        <f>IF(AND(AND(AND(AC$4&gt;='2025'!$L8,AC$4&lt;='2025'!$M8), AC$4&lt;&gt;DATE(2025,7,4)), (SWITCH(weekday(AC$4), 1, 0, 2, if(ISBLANK('2025'!$P8), 0, 1), 3, if(ISBLANK('2025'!$Q8), 0, 1), 4, if(ISBLANK('2025'!$R8), 0, 1), 5, if(ISBLANK('2025'!$S8), 0, 1), 6, if(ISBLANK('2025'!$T8), 0, 1), 7, 0))), 1, "")</f>
        <v/>
      </c>
      <c r="AD8" s="1" t="str">
        <f>IF(AND(AND(AND(AD$4&gt;='2025'!$L8,AD$4&lt;='2025'!$M8), AD$4&lt;&gt;DATE(2025,7,4)), (SWITCH(weekday(AD$4), 1, 0, 2, if(ISBLANK('2025'!$P8), 0, 1), 3, if(ISBLANK('2025'!$Q8), 0, 1), 4, if(ISBLANK('2025'!$R8), 0, 1), 5, if(ISBLANK('2025'!$S8), 0, 1), 6, if(ISBLANK('2025'!$T8), 0, 1), 7, 0))), 1, "")</f>
        <v/>
      </c>
      <c r="AE8" s="1" t="str">
        <f>IF(AND(AND(AND(AE$4&gt;='2025'!$L8,AE$4&lt;='2025'!$M8), AE$4&lt;&gt;DATE(2025,7,4)), (SWITCH(weekday(AE$4), 1, 0, 2, if(ISBLANK('2025'!$P8), 0, 1), 3, if(ISBLANK('2025'!$Q8), 0, 1), 4, if(ISBLANK('2025'!$R8), 0, 1), 5, if(ISBLANK('2025'!$S8), 0, 1), 6, if(ISBLANK('2025'!$T8), 0, 1), 7, 0))), 1, "")</f>
        <v/>
      </c>
      <c r="AF8" s="1" t="str">
        <f>IF(AND(AND(AND(AF$4&gt;='2025'!$L8,AF$4&lt;='2025'!$M8), AF$4&lt;&gt;DATE(2025,7,4)), (SWITCH(weekday(AF$4), 1, 0, 2, if(ISBLANK('2025'!$P8), 0, 1), 3, if(ISBLANK('2025'!$Q8), 0, 1), 4, if(ISBLANK('2025'!$R8), 0, 1), 5, if(ISBLANK('2025'!$S8), 0, 1), 6, if(ISBLANK('2025'!$T8), 0, 1), 7, 0))), 1, "")</f>
        <v/>
      </c>
      <c r="AG8" s="1" t="str">
        <f>IF(AND(AND(AND(AG$4&gt;='2025'!$L8,AG$4&lt;='2025'!$M8), AG$4&lt;&gt;DATE(2025,7,4)), (SWITCH(weekday(AG$4), 1, 0, 2, if(ISBLANK('2025'!$P8), 0, 1), 3, if(ISBLANK('2025'!$Q8), 0, 1), 4, if(ISBLANK('2025'!$R8), 0, 1), 5, if(ISBLANK('2025'!$S8), 0, 1), 6, if(ISBLANK('2025'!$T8), 0, 1), 7, 0))), 1, "")</f>
        <v/>
      </c>
      <c r="AH8" s="1" t="str">
        <f>IF(AND(AND(AND(AH$4&gt;='2025'!$L8,AH$4&lt;='2025'!$M8), AH$4&lt;&gt;DATE(2025,7,4)), (SWITCH(weekday(AH$4), 1, 0, 2, if(ISBLANK('2025'!$P8), 0, 1), 3, if(ISBLANK('2025'!$Q8), 0, 1), 4, if(ISBLANK('2025'!$R8), 0, 1), 5, if(ISBLANK('2025'!$S8), 0, 1), 6, if(ISBLANK('2025'!$T8), 0, 1), 7, 0))), 1, "")</f>
        <v/>
      </c>
      <c r="AI8" s="1" t="str">
        <f>IF(AND(AND(AND(AI$4&gt;='2025'!$L8,AI$4&lt;='2025'!$M8), AI$4&lt;&gt;DATE(2025,7,4)), (SWITCH(weekday(AI$4), 1, 0, 2, if(ISBLANK('2025'!$P8), 0, 1), 3, if(ISBLANK('2025'!$Q8), 0, 1), 4, if(ISBLANK('2025'!$R8), 0, 1), 5, if(ISBLANK('2025'!$S8), 0, 1), 6, if(ISBLANK('2025'!$T8), 0, 1), 7, 0))), 1, "")</f>
        <v/>
      </c>
      <c r="AJ8" s="1" t="str">
        <f>IF(AND(AND(AND(AJ$4&gt;='2025'!$L8,AJ$4&lt;='2025'!$M8), AJ$4&lt;&gt;DATE(2025,7,4)), (SWITCH(weekday(AJ$4), 1, 0, 2, if(ISBLANK('2025'!$P8), 0, 1), 3, if(ISBLANK('2025'!$Q8), 0, 1), 4, if(ISBLANK('2025'!$R8), 0, 1), 5, if(ISBLANK('2025'!$S8), 0, 1), 6, if(ISBLANK('2025'!$T8), 0, 1), 7, 0))), 1, "")</f>
        <v/>
      </c>
      <c r="AK8" s="1" t="str">
        <f>IF(AND(AND(AND(AK$4&gt;='2025'!$L8,AK$4&lt;='2025'!$M8), AK$4&lt;&gt;DATE(2025,7,4)), (SWITCH(weekday(AK$4), 1, 0, 2, if(ISBLANK('2025'!$P8), 0, 1), 3, if(ISBLANK('2025'!$Q8), 0, 1), 4, if(ISBLANK('2025'!$R8), 0, 1), 5, if(ISBLANK('2025'!$S8), 0, 1), 6, if(ISBLANK('2025'!$T8), 0, 1), 7, 0))), 1, "")</f>
        <v/>
      </c>
      <c r="AL8" s="1" t="str">
        <f>IF(AND(AND(AND(AL$4&gt;='2025'!$L8,AL$4&lt;='2025'!$M8), AL$4&lt;&gt;DATE(2025,7,4)), (SWITCH(weekday(AL$4), 1, 0, 2, if(ISBLANK('2025'!$P8), 0, 1), 3, if(ISBLANK('2025'!$Q8), 0, 1), 4, if(ISBLANK('2025'!$R8), 0, 1), 5, if(ISBLANK('2025'!$S8), 0, 1), 6, if(ISBLANK('2025'!$T8), 0, 1), 7, 0))), 1, "")</f>
        <v/>
      </c>
      <c r="AM8" s="1" t="str">
        <f>IF(AND(AND(AND(AM$4&gt;='2025'!$L8,AM$4&lt;='2025'!$M8), AM$4&lt;&gt;DATE(2025,7,4)), (SWITCH(weekday(AM$4), 1, 0, 2, if(ISBLANK('2025'!$P8), 0, 1), 3, if(ISBLANK('2025'!$Q8), 0, 1), 4, if(ISBLANK('2025'!$R8), 0, 1), 5, if(ISBLANK('2025'!$S8), 0, 1), 6, if(ISBLANK('2025'!$T8), 0, 1), 7, 0))), 1, "")</f>
        <v/>
      </c>
      <c r="AN8" s="1" t="str">
        <f>IF(AND(AND(AND(AN$4&gt;='2025'!$L8,AN$4&lt;='2025'!$M8), AN$4&lt;&gt;DATE(2025,7,4)), (SWITCH(weekday(AN$4), 1, 0, 2, if(ISBLANK('2025'!$P8), 0, 1), 3, if(ISBLANK('2025'!$Q8), 0, 1), 4, if(ISBLANK('2025'!$R8), 0, 1), 5, if(ISBLANK('2025'!$S8), 0, 1), 6, if(ISBLANK('2025'!$T8), 0, 1), 7, 0))), 1, "")</f>
        <v/>
      </c>
      <c r="AO8" s="1" t="str">
        <f>IF(AND(AND(AND(AO$4&gt;='2025'!$L8,AO$4&lt;='2025'!$M8), AO$4&lt;&gt;DATE(2025,7,4)), (SWITCH(weekday(AO$4), 1, 0, 2, if(ISBLANK('2025'!$P8), 0, 1), 3, if(ISBLANK('2025'!$Q8), 0, 1), 4, if(ISBLANK('2025'!$R8), 0, 1), 5, if(ISBLANK('2025'!$S8), 0, 1), 6, if(ISBLANK('2025'!$T8), 0, 1), 7, 0))), 1, "")</f>
        <v/>
      </c>
      <c r="AP8" s="1" t="str">
        <f>IF(AND(AND(AND(AP$4&gt;='2025'!$L8,AP$4&lt;='2025'!$M8), AP$4&lt;&gt;DATE(2025,7,4)), (SWITCH(weekday(AP$4), 1, 0, 2, if(ISBLANK('2025'!$P8), 0, 1), 3, if(ISBLANK('2025'!$Q8), 0, 1), 4, if(ISBLANK('2025'!$R8), 0, 1), 5, if(ISBLANK('2025'!$S8), 0, 1), 6, if(ISBLANK('2025'!$T8), 0, 1), 7, 0))), 1, "")</f>
        <v/>
      </c>
      <c r="AQ8" s="1" t="str">
        <f>IF(AND(AND(AND(AQ$4&gt;='2025'!$L8,AQ$4&lt;='2025'!$M8), AQ$4&lt;&gt;DATE(2025,7,4)), (SWITCH(weekday(AQ$4), 1, 0, 2, if(ISBLANK('2025'!$P8), 0, 1), 3, if(ISBLANK('2025'!$Q8), 0, 1), 4, if(ISBLANK('2025'!$R8), 0, 1), 5, if(ISBLANK('2025'!$S8), 0, 1), 6, if(ISBLANK('2025'!$T8), 0, 1), 7, 0))), 1, "")</f>
        <v/>
      </c>
      <c r="AR8" s="1" t="str">
        <f>IF(AND(AND(AND(AR$4&gt;='2025'!$L8,AR$4&lt;='2025'!$M8), AR$4&lt;&gt;DATE(2025,7,4)), (SWITCH(weekday(AR$4), 1, 0, 2, if(ISBLANK('2025'!$P8), 0, 1), 3, if(ISBLANK('2025'!$Q8), 0, 1), 4, if(ISBLANK('2025'!$R8), 0, 1), 5, if(ISBLANK('2025'!$S8), 0, 1), 6, if(ISBLANK('2025'!$T8), 0, 1), 7, 0))), 1, "")</f>
        <v/>
      </c>
      <c r="AS8" s="1" t="str">
        <f>IF(AND(AND(AND(AS$4&gt;='2025'!$L8,AS$4&lt;='2025'!$M8), AS$4&lt;&gt;DATE(2025,7,4)), (SWITCH(weekday(AS$4), 1, 0, 2, if(ISBLANK('2025'!$P8), 0, 1), 3, if(ISBLANK('2025'!$Q8), 0, 1), 4, if(ISBLANK('2025'!$R8), 0, 1), 5, if(ISBLANK('2025'!$S8), 0, 1), 6, if(ISBLANK('2025'!$T8), 0, 1), 7, 0))), 1, "")</f>
        <v/>
      </c>
      <c r="AT8" s="1" t="str">
        <f>IF(AND(AND(AND(AT$4&gt;='2025'!$L8,AT$4&lt;='2025'!$M8), AT$4&lt;&gt;DATE(2025,7,4)), (SWITCH(weekday(AT$4), 1, 0, 2, if(ISBLANK('2025'!$P8), 0, 1), 3, if(ISBLANK('2025'!$Q8), 0, 1), 4, if(ISBLANK('2025'!$R8), 0, 1), 5, if(ISBLANK('2025'!$S8), 0, 1), 6, if(ISBLANK('2025'!$T8), 0, 1), 7, 0))), 1, "")</f>
        <v/>
      </c>
      <c r="AU8" s="1" t="str">
        <f>IF(AND(AND(AND(AU$4&gt;='2025'!$L8,AU$4&lt;='2025'!$M8), AU$4&lt;&gt;DATE(2025,7,4)), (SWITCH(weekday(AU$4), 1, 0, 2, if(ISBLANK('2025'!$P8), 0, 1), 3, if(ISBLANK('2025'!$Q8), 0, 1), 4, if(ISBLANK('2025'!$R8), 0, 1), 5, if(ISBLANK('2025'!$S8), 0, 1), 6, if(ISBLANK('2025'!$T8), 0, 1), 7, 0))), 1, "")</f>
        <v/>
      </c>
      <c r="AV8" s="1" t="str">
        <f>IF(AND(AND(AND(AV$4&gt;='2025'!$L8,AV$4&lt;='2025'!$M8), AV$4&lt;&gt;DATE(2025,7,4)), (SWITCH(weekday(AV$4), 1, 0, 2, if(ISBLANK('2025'!$P8), 0, 1), 3, if(ISBLANK('2025'!$Q8), 0, 1), 4, if(ISBLANK('2025'!$R8), 0, 1), 5, if(ISBLANK('2025'!$S8), 0, 1), 6, if(ISBLANK('2025'!$T8), 0, 1), 7, 0))), 1, "")</f>
        <v/>
      </c>
      <c r="AW8" s="1" t="str">
        <f>IF(AND(AND(AND(AW$4&gt;='2025'!$L8,AW$4&lt;='2025'!$M8), AW$4&lt;&gt;DATE(2025,7,4)), (SWITCH(weekday(AW$4), 1, 0, 2, if(ISBLANK('2025'!$P8), 0, 1), 3, if(ISBLANK('2025'!$Q8), 0, 1), 4, if(ISBLANK('2025'!$R8), 0, 1), 5, if(ISBLANK('2025'!$S8), 0, 1), 6, if(ISBLANK('2025'!$T8), 0, 1), 7, 0))), 1, "")</f>
        <v/>
      </c>
      <c r="AX8" s="1" t="str">
        <f>IF(AND(AND(AND(AX$4&gt;='2025'!$L8,AX$4&lt;='2025'!$M8), AX$4&lt;&gt;DATE(2025,7,4)), (SWITCH(weekday(AX$4), 1, 0, 2, if(ISBLANK('2025'!$P8), 0, 1), 3, if(ISBLANK('2025'!$Q8), 0, 1), 4, if(ISBLANK('2025'!$R8), 0, 1), 5, if(ISBLANK('2025'!$S8), 0, 1), 6, if(ISBLANK('2025'!$T8), 0, 1), 7, 0))), 1, "")</f>
        <v/>
      </c>
      <c r="AY8" s="1" t="str">
        <f>IF(AND(AND(AND(AY$4&gt;='2025'!$L8,AY$4&lt;='2025'!$M8), AY$4&lt;&gt;DATE(2025,7,4)), (SWITCH(weekday(AY$4), 1, 0, 2, if(ISBLANK('2025'!$P8), 0, 1), 3, if(ISBLANK('2025'!$Q8), 0, 1), 4, if(ISBLANK('2025'!$R8), 0, 1), 5, if(ISBLANK('2025'!$S8), 0, 1), 6, if(ISBLANK('2025'!$T8), 0, 1), 7, 0))), 1, "")</f>
        <v/>
      </c>
      <c r="AZ8" s="1" t="str">
        <f>IF(AND(AND(AND(AZ$4&gt;='2025'!$L8,AZ$4&lt;='2025'!$M8), AZ$4&lt;&gt;DATE(2025,7,4)), (SWITCH(weekday(AZ$4), 1, 0, 2, if(ISBLANK('2025'!$P8), 0, 1), 3, if(ISBLANK('2025'!$Q8), 0, 1), 4, if(ISBLANK('2025'!$R8), 0, 1), 5, if(ISBLANK('2025'!$S8), 0, 1), 6, if(ISBLANK('2025'!$T8), 0, 1), 7, 0))), 1, "")</f>
        <v/>
      </c>
      <c r="BA8" s="1" t="str">
        <f>IF(AND(AND(AND(BA$4&gt;='2025'!$L8,BA$4&lt;='2025'!$M8), BA$4&lt;&gt;DATE(2025,7,4)), (SWITCH(weekday(BA$4), 1, 0, 2, if(ISBLANK('2025'!$P8), 0, 1), 3, if(ISBLANK('2025'!$Q8), 0, 1), 4, if(ISBLANK('2025'!$R8), 0, 1), 5, if(ISBLANK('2025'!$S8), 0, 1), 6, if(ISBLANK('2025'!$T8), 0, 1), 7, 0))), 1, "")</f>
        <v/>
      </c>
      <c r="BB8" s="1" t="str">
        <f>IF(AND(AND(AND(BB$4&gt;='2025'!$L8,BB$4&lt;='2025'!$M8), BB$4&lt;&gt;DATE(2025,7,4)), (SWITCH(weekday(BB$4), 1, 0, 2, if(ISBLANK('2025'!$P8), 0, 1), 3, if(ISBLANK('2025'!$Q8), 0, 1), 4, if(ISBLANK('2025'!$R8), 0, 1), 5, if(ISBLANK('2025'!$S8), 0, 1), 6, if(ISBLANK('2025'!$T8), 0, 1), 7, 0))), 1, "")</f>
        <v/>
      </c>
      <c r="BC8" s="1" t="str">
        <f>IF(AND(AND(AND(BC$4&gt;='2025'!$L8,BC$4&lt;='2025'!$M8), BC$4&lt;&gt;DATE(2025,7,4)), (SWITCH(weekday(BC$4), 1, 0, 2, if(ISBLANK('2025'!$P8), 0, 1), 3, if(ISBLANK('2025'!$Q8), 0, 1), 4, if(ISBLANK('2025'!$R8), 0, 1), 5, if(ISBLANK('2025'!$S8), 0, 1), 6, if(ISBLANK('2025'!$T8), 0, 1), 7, 0))), 1, "")</f>
        <v/>
      </c>
      <c r="BD8" s="1" t="str">
        <f>IF(AND(AND(AND(BD$4&gt;='2025'!$L8,BD$4&lt;='2025'!$M8), BD$4&lt;&gt;DATE(2025,7,4)), (SWITCH(weekday(BD$4), 1, 0, 2, if(ISBLANK('2025'!$P8), 0, 1), 3, if(ISBLANK('2025'!$Q8), 0, 1), 4, if(ISBLANK('2025'!$R8), 0, 1), 5, if(ISBLANK('2025'!$S8), 0, 1), 6, if(ISBLANK('2025'!$T8), 0, 1), 7, 0))), 1, "")</f>
        <v/>
      </c>
      <c r="BE8" s="1" t="str">
        <f>IF(AND(AND(AND(BE$4&gt;='2025'!$L8,BE$4&lt;='2025'!$M8), BE$4&lt;&gt;DATE(2025,7,4)), (SWITCH(weekday(BE$4), 1, 0, 2, if(ISBLANK('2025'!$P8), 0, 1), 3, if(ISBLANK('2025'!$Q8), 0, 1), 4, if(ISBLANK('2025'!$R8), 0, 1), 5, if(ISBLANK('2025'!$S8), 0, 1), 6, if(ISBLANK('2025'!$T8), 0, 1), 7, 0))), 1, "")</f>
        <v/>
      </c>
      <c r="BF8" s="1" t="str">
        <f>IF(AND(AND(AND(BF$4&gt;='2025'!$L8,BF$4&lt;='2025'!$M8), BF$4&lt;&gt;DATE(2025,7,4)), (SWITCH(weekday(BF$4), 1, 0, 2, if(ISBLANK('2025'!$P8), 0, 1), 3, if(ISBLANK('2025'!$Q8), 0, 1), 4, if(ISBLANK('2025'!$R8), 0, 1), 5, if(ISBLANK('2025'!$S8), 0, 1), 6, if(ISBLANK('2025'!$T8), 0, 1), 7, 0))), 1, "")</f>
        <v/>
      </c>
      <c r="BG8" s="1"/>
      <c r="BH8" s="1"/>
      <c r="BI8" s="1"/>
      <c r="BJ8" s="1"/>
      <c r="BK8" s="1"/>
      <c r="BL8" s="1"/>
    </row>
    <row r="9">
      <c r="A9" s="1">
        <f t="shared" si="3"/>
        <v>9</v>
      </c>
      <c r="B9" s="1" t="str">
        <f>'2025'!D9</f>
        <v>o connell, finnula</v>
      </c>
      <c r="C9" s="1" t="str">
        <f>'2025'!H9</f>
        <v>PK3</v>
      </c>
      <c r="D9" s="1" t="str">
        <f>IF(AND(AND(AND(D$4&gt;='2025'!$L9,D$4&lt;='2025'!$M9), D$4&lt;&gt;DATE(2025,7,4)), (SWITCH(weekday(D$4), 1, 0, 2, if(ISBLANK('2025'!$P9), 0, 1), 3, if(ISBLANK('2025'!$Q9), 0, 1), 4, if(ISBLANK('2025'!$R9), 0, 1), 5, if(ISBLANK('2025'!$S9), 0, 1), 6, if(ISBLANK('2025'!$T9), 0, 1), 7, 0))), 1, "")</f>
        <v/>
      </c>
      <c r="E9" s="1" t="str">
        <f>IF(AND(AND(AND(E$4&gt;='2025'!$L9,E$4&lt;='2025'!$M9), E$4&lt;&gt;DATE(2025,7,4)), (SWITCH(weekday(E$4), 1, 0, 2, if(ISBLANK('2025'!$P9), 0, 1), 3, if(ISBLANK('2025'!$Q9), 0, 1), 4, if(ISBLANK('2025'!$R9), 0, 1), 5, if(ISBLANK('2025'!$S9), 0, 1), 6, if(ISBLANK('2025'!$T9), 0, 1), 7, 0))), 1, "")</f>
        <v/>
      </c>
      <c r="F9" s="1" t="str">
        <f>IF(AND(AND(AND(F$4&gt;='2025'!$L9,F$4&lt;='2025'!$M9), F$4&lt;&gt;DATE(2025,7,4)), (SWITCH(weekday(F$4), 1, 0, 2, if(ISBLANK('2025'!$P9), 0, 1), 3, if(ISBLANK('2025'!$Q9), 0, 1), 4, if(ISBLANK('2025'!$R9), 0, 1), 5, if(ISBLANK('2025'!$S9), 0, 1), 6, if(ISBLANK('2025'!$T9), 0, 1), 7, 0))), 1, "")</f>
        <v/>
      </c>
      <c r="G9" s="1" t="str">
        <f>IF(AND(AND(AND(G$4&gt;='2025'!$L9,G$4&lt;='2025'!$M9), G$4&lt;&gt;DATE(2025,7,4)), (SWITCH(weekday(G$4), 1, 0, 2, if(ISBLANK('2025'!$P9), 0, 1), 3, if(ISBLANK('2025'!$Q9), 0, 1), 4, if(ISBLANK('2025'!$R9), 0, 1), 5, if(ISBLANK('2025'!$S9), 0, 1), 6, if(ISBLANK('2025'!$T9), 0, 1), 7, 0))), 1, "")</f>
        <v/>
      </c>
      <c r="H9" s="1" t="str">
        <f>IF(AND(AND(AND(H$4&gt;='2025'!$L9,H$4&lt;='2025'!$M9), H$4&lt;&gt;DATE(2025,7,4)), (SWITCH(weekday(H$4), 1, 0, 2, if(ISBLANK('2025'!$P9), 0, 1), 3, if(ISBLANK('2025'!$Q9), 0, 1), 4, if(ISBLANK('2025'!$R9), 0, 1), 5, if(ISBLANK('2025'!$S9), 0, 1), 6, if(ISBLANK('2025'!$T9), 0, 1), 7, 0))), 1, "")</f>
        <v/>
      </c>
      <c r="I9" s="1" t="str">
        <f>IF(AND(AND(AND(I$4&gt;='2025'!$L9,I$4&lt;='2025'!$M9), I$4&lt;&gt;DATE(2025,7,4)), (SWITCH(weekday(I$4), 1, 0, 2, if(ISBLANK('2025'!$P9), 0, 1), 3, if(ISBLANK('2025'!$Q9), 0, 1), 4, if(ISBLANK('2025'!$R9), 0, 1), 5, if(ISBLANK('2025'!$S9), 0, 1), 6, if(ISBLANK('2025'!$T9), 0, 1), 7, 0))), 1, "")</f>
        <v/>
      </c>
      <c r="J9" s="1" t="str">
        <f>IF(AND(AND(AND(J$4&gt;='2025'!$L9,J$4&lt;='2025'!$M9), J$4&lt;&gt;DATE(2025,7,4)), (SWITCH(weekday(J$4), 1, 0, 2, if(ISBLANK('2025'!$P9), 0, 1), 3, if(ISBLANK('2025'!$Q9), 0, 1), 4, if(ISBLANK('2025'!$R9), 0, 1), 5, if(ISBLANK('2025'!$S9), 0, 1), 6, if(ISBLANK('2025'!$T9), 0, 1), 7, 0))), 1, "")</f>
        <v/>
      </c>
      <c r="K9" s="1" t="str">
        <f>IF(AND(AND(AND(K$4&gt;='2025'!$L9,K$4&lt;='2025'!$M9), K$4&lt;&gt;DATE(2025,7,4)), (SWITCH(weekday(K$4), 1, 0, 2, if(ISBLANK('2025'!$P9), 0, 1), 3, if(ISBLANK('2025'!$Q9), 0, 1), 4, if(ISBLANK('2025'!$R9), 0, 1), 5, if(ISBLANK('2025'!$S9), 0, 1), 6, if(ISBLANK('2025'!$T9), 0, 1), 7, 0))), 1, "")</f>
        <v/>
      </c>
      <c r="L9" s="1" t="str">
        <f>IF(AND(AND(AND(L$4&gt;='2025'!$L9,L$4&lt;='2025'!$M9), L$4&lt;&gt;DATE(2025,7,4)), (SWITCH(weekday(L$4), 1, 0, 2, if(ISBLANK('2025'!$P9), 0, 1), 3, if(ISBLANK('2025'!$Q9), 0, 1), 4, if(ISBLANK('2025'!$R9), 0, 1), 5, if(ISBLANK('2025'!$S9), 0, 1), 6, if(ISBLANK('2025'!$T9), 0, 1), 7, 0))), 1, "")</f>
        <v/>
      </c>
      <c r="M9" s="1" t="str">
        <f>IF(AND(AND(AND(M$4&gt;='2025'!$L9,M$4&lt;='2025'!$M9), M$4&lt;&gt;DATE(2025,7,4)), (SWITCH(weekday(M$4), 1, 0, 2, if(ISBLANK('2025'!$P9), 0, 1), 3, if(ISBLANK('2025'!$Q9), 0, 1), 4, if(ISBLANK('2025'!$R9), 0, 1), 5, if(ISBLANK('2025'!$S9), 0, 1), 6, if(ISBLANK('2025'!$T9), 0, 1), 7, 0))), 1, "")</f>
        <v/>
      </c>
      <c r="N9" s="1" t="str">
        <f>IF(AND(AND(AND(N$4&gt;='2025'!$L9,N$4&lt;='2025'!$M9), N$4&lt;&gt;DATE(2025,7,4)), (SWITCH(weekday(N$4), 1, 0, 2, if(ISBLANK('2025'!$P9), 0, 1), 3, if(ISBLANK('2025'!$Q9), 0, 1), 4, if(ISBLANK('2025'!$R9), 0, 1), 5, if(ISBLANK('2025'!$S9), 0, 1), 6, if(ISBLANK('2025'!$T9), 0, 1), 7, 0))), 1, "")</f>
        <v/>
      </c>
      <c r="O9" s="1" t="str">
        <f>IF(AND(AND(AND(O$4&gt;='2025'!$L9,O$4&lt;='2025'!$M9), O$4&lt;&gt;DATE(2025,7,4)), (SWITCH(weekday(O$4), 1, 0, 2, if(ISBLANK('2025'!$P9), 0, 1), 3, if(ISBLANK('2025'!$Q9), 0, 1), 4, if(ISBLANK('2025'!$R9), 0, 1), 5, if(ISBLANK('2025'!$S9), 0, 1), 6, if(ISBLANK('2025'!$T9), 0, 1), 7, 0))), 1, "")</f>
        <v/>
      </c>
      <c r="P9" s="1" t="str">
        <f>IF(AND(AND(AND(P$4&gt;='2025'!$L9,P$4&lt;='2025'!$M9), P$4&lt;&gt;DATE(2025,7,4)), (SWITCH(weekday(P$4), 1, 0, 2, if(ISBLANK('2025'!$P9), 0, 1), 3, if(ISBLANK('2025'!$Q9), 0, 1), 4, if(ISBLANK('2025'!$R9), 0, 1), 5, if(ISBLANK('2025'!$S9), 0, 1), 6, if(ISBLANK('2025'!$T9), 0, 1), 7, 0))), 1, "")</f>
        <v/>
      </c>
      <c r="Q9" s="1" t="str">
        <f>IF(AND(AND(AND(Q$4&gt;='2025'!$L9,Q$4&lt;='2025'!$M9), Q$4&lt;&gt;DATE(2025,7,4)), (SWITCH(weekday(Q$4), 1, 0, 2, if(ISBLANK('2025'!$P9), 0, 1), 3, if(ISBLANK('2025'!$Q9), 0, 1), 4, if(ISBLANK('2025'!$R9), 0, 1), 5, if(ISBLANK('2025'!$S9), 0, 1), 6, if(ISBLANK('2025'!$T9), 0, 1), 7, 0))), 1, "")</f>
        <v/>
      </c>
      <c r="R9" s="1" t="str">
        <f>IF(AND(AND(AND(R$4&gt;='2025'!$L9,R$4&lt;='2025'!$M9), R$4&lt;&gt;DATE(2025,7,4)), (SWITCH(weekday(R$4), 1, 0, 2, if(ISBLANK('2025'!$P9), 0, 1), 3, if(ISBLANK('2025'!$Q9), 0, 1), 4, if(ISBLANK('2025'!$R9), 0, 1), 5, if(ISBLANK('2025'!$S9), 0, 1), 6, if(ISBLANK('2025'!$T9), 0, 1), 7, 0))), 1, "")</f>
        <v/>
      </c>
      <c r="S9" s="1" t="str">
        <f>IF(AND(AND(AND(S$4&gt;='2025'!$L9,S$4&lt;='2025'!$M9), S$4&lt;&gt;DATE(2025,7,4)), (SWITCH(weekday(S$4), 1, 0, 2, if(ISBLANK('2025'!$P9), 0, 1), 3, if(ISBLANK('2025'!$Q9), 0, 1), 4, if(ISBLANK('2025'!$R9), 0, 1), 5, if(ISBLANK('2025'!$S9), 0, 1), 6, if(ISBLANK('2025'!$T9), 0, 1), 7, 0))), 1, "")</f>
        <v/>
      </c>
      <c r="T9" s="1" t="str">
        <f>IF(AND(AND(AND(T$4&gt;='2025'!$L9,T$4&lt;='2025'!$M9), T$4&lt;&gt;DATE(2025,7,4)), (SWITCH(weekday(T$4), 1, 0, 2, if(ISBLANK('2025'!$P9), 0, 1), 3, if(ISBLANK('2025'!$Q9), 0, 1), 4, if(ISBLANK('2025'!$R9), 0, 1), 5, if(ISBLANK('2025'!$S9), 0, 1), 6, if(ISBLANK('2025'!$T9), 0, 1), 7, 0))), 1, "")</f>
        <v/>
      </c>
      <c r="U9" s="1" t="str">
        <f>IF(AND(AND(AND(U$4&gt;='2025'!$L9,U$4&lt;='2025'!$M9), U$4&lt;&gt;DATE(2025,7,4)), (SWITCH(weekday(U$4), 1, 0, 2, if(ISBLANK('2025'!$P9), 0, 1), 3, if(ISBLANK('2025'!$Q9), 0, 1), 4, if(ISBLANK('2025'!$R9), 0, 1), 5, if(ISBLANK('2025'!$S9), 0, 1), 6, if(ISBLANK('2025'!$T9), 0, 1), 7, 0))), 1, "")</f>
        <v/>
      </c>
      <c r="V9" s="1" t="str">
        <f>IF(AND(AND(AND(V$4&gt;='2025'!$L9,V$4&lt;='2025'!$M9), V$4&lt;&gt;DATE(2025,7,4)), (SWITCH(weekday(V$4), 1, 0, 2, if(ISBLANK('2025'!$P9), 0, 1), 3, if(ISBLANK('2025'!$Q9), 0, 1), 4, if(ISBLANK('2025'!$R9), 0, 1), 5, if(ISBLANK('2025'!$S9), 0, 1), 6, if(ISBLANK('2025'!$T9), 0, 1), 7, 0))), 1, "")</f>
        <v/>
      </c>
      <c r="W9" s="1" t="str">
        <f>IF(AND(AND(AND(W$4&gt;='2025'!$L9,W$4&lt;='2025'!$M9), W$4&lt;&gt;DATE(2025,7,4)), (SWITCH(weekday(W$4), 1, 0, 2, if(ISBLANK('2025'!$P9), 0, 1), 3, if(ISBLANK('2025'!$Q9), 0, 1), 4, if(ISBLANK('2025'!$R9), 0, 1), 5, if(ISBLANK('2025'!$S9), 0, 1), 6, if(ISBLANK('2025'!$T9), 0, 1), 7, 0))), 1, "")</f>
        <v/>
      </c>
      <c r="X9" s="1" t="str">
        <f>IF(AND(AND(AND(X$4&gt;='2025'!$L9,X$4&lt;='2025'!$M9), X$4&lt;&gt;DATE(2025,7,4)), (SWITCH(weekday(X$4), 1, 0, 2, if(ISBLANK('2025'!$P9), 0, 1), 3, if(ISBLANK('2025'!$Q9), 0, 1), 4, if(ISBLANK('2025'!$R9), 0, 1), 5, if(ISBLANK('2025'!$S9), 0, 1), 6, if(ISBLANK('2025'!$T9), 0, 1), 7, 0))), 1, "")</f>
        <v/>
      </c>
      <c r="Y9" s="1" t="str">
        <f>IF(AND(AND(AND(Y$4&gt;='2025'!$L9,Y$4&lt;='2025'!$M9), Y$4&lt;&gt;DATE(2025,7,4)), (SWITCH(weekday(Y$4), 1, 0, 2, if(ISBLANK('2025'!$P9), 0, 1), 3, if(ISBLANK('2025'!$Q9), 0, 1), 4, if(ISBLANK('2025'!$R9), 0, 1), 5, if(ISBLANK('2025'!$S9), 0, 1), 6, if(ISBLANK('2025'!$T9), 0, 1), 7, 0))), 1, "")</f>
        <v/>
      </c>
      <c r="Z9" s="1" t="str">
        <f>IF(AND(AND(AND(Z$4&gt;='2025'!$L9,Z$4&lt;='2025'!$M9), Z$4&lt;&gt;DATE(2025,7,4)), (SWITCH(weekday(Z$4), 1, 0, 2, if(ISBLANK('2025'!$P9), 0, 1), 3, if(ISBLANK('2025'!$Q9), 0, 1), 4, if(ISBLANK('2025'!$R9), 0, 1), 5, if(ISBLANK('2025'!$S9), 0, 1), 6, if(ISBLANK('2025'!$T9), 0, 1), 7, 0))), 1, "")</f>
        <v/>
      </c>
      <c r="AA9" s="1" t="str">
        <f>IF(AND(AND(AND(AA$4&gt;='2025'!$L9,AA$4&lt;='2025'!$M9), AA$4&lt;&gt;DATE(2025,7,4)), (SWITCH(weekday(AA$4), 1, 0, 2, if(ISBLANK('2025'!$P9), 0, 1), 3, if(ISBLANK('2025'!$Q9), 0, 1), 4, if(ISBLANK('2025'!$R9), 0, 1), 5, if(ISBLANK('2025'!$S9), 0, 1), 6, if(ISBLANK('2025'!$T9), 0, 1), 7, 0))), 1, "")</f>
        <v/>
      </c>
      <c r="AB9" s="1" t="str">
        <f>IF(AND(AND(AND(AB$4&gt;='2025'!$L9,AB$4&lt;='2025'!$M9), AB$4&lt;&gt;DATE(2025,7,4)), (SWITCH(weekday(AB$4), 1, 0, 2, if(ISBLANK('2025'!$P9), 0, 1), 3, if(ISBLANK('2025'!$Q9), 0, 1), 4, if(ISBLANK('2025'!$R9), 0, 1), 5, if(ISBLANK('2025'!$S9), 0, 1), 6, if(ISBLANK('2025'!$T9), 0, 1), 7, 0))), 1, "")</f>
        <v/>
      </c>
      <c r="AC9" s="1" t="str">
        <f>IF(AND(AND(AND(AC$4&gt;='2025'!$L9,AC$4&lt;='2025'!$M9), AC$4&lt;&gt;DATE(2025,7,4)), (SWITCH(weekday(AC$4), 1, 0, 2, if(ISBLANK('2025'!$P9), 0, 1), 3, if(ISBLANK('2025'!$Q9), 0, 1), 4, if(ISBLANK('2025'!$R9), 0, 1), 5, if(ISBLANK('2025'!$S9), 0, 1), 6, if(ISBLANK('2025'!$T9), 0, 1), 7, 0))), 1, "")</f>
        <v/>
      </c>
      <c r="AD9" s="1" t="str">
        <f>IF(AND(AND(AND(AD$4&gt;='2025'!$L9,AD$4&lt;='2025'!$M9), AD$4&lt;&gt;DATE(2025,7,4)), (SWITCH(weekday(AD$4), 1, 0, 2, if(ISBLANK('2025'!$P9), 0, 1), 3, if(ISBLANK('2025'!$Q9), 0, 1), 4, if(ISBLANK('2025'!$R9), 0, 1), 5, if(ISBLANK('2025'!$S9), 0, 1), 6, if(ISBLANK('2025'!$T9), 0, 1), 7, 0))), 1, "")</f>
        <v/>
      </c>
      <c r="AE9" s="1" t="str">
        <f>IF(AND(AND(AND(AE$4&gt;='2025'!$L9,AE$4&lt;='2025'!$M9), AE$4&lt;&gt;DATE(2025,7,4)), (SWITCH(weekday(AE$4), 1, 0, 2, if(ISBLANK('2025'!$P9), 0, 1), 3, if(ISBLANK('2025'!$Q9), 0, 1), 4, if(ISBLANK('2025'!$R9), 0, 1), 5, if(ISBLANK('2025'!$S9), 0, 1), 6, if(ISBLANK('2025'!$T9), 0, 1), 7, 0))), 1, "")</f>
        <v/>
      </c>
      <c r="AF9" s="1" t="str">
        <f>IF(AND(AND(AND(AF$4&gt;='2025'!$L9,AF$4&lt;='2025'!$M9), AF$4&lt;&gt;DATE(2025,7,4)), (SWITCH(weekday(AF$4), 1, 0, 2, if(ISBLANK('2025'!$P9), 0, 1), 3, if(ISBLANK('2025'!$Q9), 0, 1), 4, if(ISBLANK('2025'!$R9), 0, 1), 5, if(ISBLANK('2025'!$S9), 0, 1), 6, if(ISBLANK('2025'!$T9), 0, 1), 7, 0))), 1, "")</f>
        <v/>
      </c>
      <c r="AG9" s="1" t="str">
        <f>IF(AND(AND(AND(AG$4&gt;='2025'!$L9,AG$4&lt;='2025'!$M9), AG$4&lt;&gt;DATE(2025,7,4)), (SWITCH(weekday(AG$4), 1, 0, 2, if(ISBLANK('2025'!$P9), 0, 1), 3, if(ISBLANK('2025'!$Q9), 0, 1), 4, if(ISBLANK('2025'!$R9), 0, 1), 5, if(ISBLANK('2025'!$S9), 0, 1), 6, if(ISBLANK('2025'!$T9), 0, 1), 7, 0))), 1, "")</f>
        <v/>
      </c>
      <c r="AH9" s="1" t="str">
        <f>IF(AND(AND(AND(AH$4&gt;='2025'!$L9,AH$4&lt;='2025'!$M9), AH$4&lt;&gt;DATE(2025,7,4)), (SWITCH(weekday(AH$4), 1, 0, 2, if(ISBLANK('2025'!$P9), 0, 1), 3, if(ISBLANK('2025'!$Q9), 0, 1), 4, if(ISBLANK('2025'!$R9), 0, 1), 5, if(ISBLANK('2025'!$S9), 0, 1), 6, if(ISBLANK('2025'!$T9), 0, 1), 7, 0))), 1, "")</f>
        <v/>
      </c>
      <c r="AI9" s="1" t="str">
        <f>IF(AND(AND(AND(AI$4&gt;='2025'!$L9,AI$4&lt;='2025'!$M9), AI$4&lt;&gt;DATE(2025,7,4)), (SWITCH(weekday(AI$4), 1, 0, 2, if(ISBLANK('2025'!$P9), 0, 1), 3, if(ISBLANK('2025'!$Q9), 0, 1), 4, if(ISBLANK('2025'!$R9), 0, 1), 5, if(ISBLANK('2025'!$S9), 0, 1), 6, if(ISBLANK('2025'!$T9), 0, 1), 7, 0))), 1, "")</f>
        <v/>
      </c>
      <c r="AJ9" s="1" t="str">
        <f>IF(AND(AND(AND(AJ$4&gt;='2025'!$L9,AJ$4&lt;='2025'!$M9), AJ$4&lt;&gt;DATE(2025,7,4)), (SWITCH(weekday(AJ$4), 1, 0, 2, if(ISBLANK('2025'!$P9), 0, 1), 3, if(ISBLANK('2025'!$Q9), 0, 1), 4, if(ISBLANK('2025'!$R9), 0, 1), 5, if(ISBLANK('2025'!$S9), 0, 1), 6, if(ISBLANK('2025'!$T9), 0, 1), 7, 0))), 1, "")</f>
        <v/>
      </c>
      <c r="AK9" s="1" t="str">
        <f>IF(AND(AND(AND(AK$4&gt;='2025'!$L9,AK$4&lt;='2025'!$M9), AK$4&lt;&gt;DATE(2025,7,4)), (SWITCH(weekday(AK$4), 1, 0, 2, if(ISBLANK('2025'!$P9), 0, 1), 3, if(ISBLANK('2025'!$Q9), 0, 1), 4, if(ISBLANK('2025'!$R9), 0, 1), 5, if(ISBLANK('2025'!$S9), 0, 1), 6, if(ISBLANK('2025'!$T9), 0, 1), 7, 0))), 1, "")</f>
        <v/>
      </c>
      <c r="AL9" s="1" t="str">
        <f>IF(AND(AND(AND(AL$4&gt;='2025'!$L9,AL$4&lt;='2025'!$M9), AL$4&lt;&gt;DATE(2025,7,4)), (SWITCH(weekday(AL$4), 1, 0, 2, if(ISBLANK('2025'!$P9), 0, 1), 3, if(ISBLANK('2025'!$Q9), 0, 1), 4, if(ISBLANK('2025'!$R9), 0, 1), 5, if(ISBLANK('2025'!$S9), 0, 1), 6, if(ISBLANK('2025'!$T9), 0, 1), 7, 0))), 1, "")</f>
        <v/>
      </c>
      <c r="AM9" s="1" t="str">
        <f>IF(AND(AND(AND(AM$4&gt;='2025'!$L9,AM$4&lt;='2025'!$M9), AM$4&lt;&gt;DATE(2025,7,4)), (SWITCH(weekday(AM$4), 1, 0, 2, if(ISBLANK('2025'!$P9), 0, 1), 3, if(ISBLANK('2025'!$Q9), 0, 1), 4, if(ISBLANK('2025'!$R9), 0, 1), 5, if(ISBLANK('2025'!$S9), 0, 1), 6, if(ISBLANK('2025'!$T9), 0, 1), 7, 0))), 1, "")</f>
        <v/>
      </c>
      <c r="AN9" s="1" t="str">
        <f>IF(AND(AND(AND(AN$4&gt;='2025'!$L9,AN$4&lt;='2025'!$M9), AN$4&lt;&gt;DATE(2025,7,4)), (SWITCH(weekday(AN$4), 1, 0, 2, if(ISBLANK('2025'!$P9), 0, 1), 3, if(ISBLANK('2025'!$Q9), 0, 1), 4, if(ISBLANK('2025'!$R9), 0, 1), 5, if(ISBLANK('2025'!$S9), 0, 1), 6, if(ISBLANK('2025'!$T9), 0, 1), 7, 0))), 1, "")</f>
        <v/>
      </c>
      <c r="AO9" s="1" t="str">
        <f>IF(AND(AND(AND(AO$4&gt;='2025'!$L9,AO$4&lt;='2025'!$M9), AO$4&lt;&gt;DATE(2025,7,4)), (SWITCH(weekday(AO$4), 1, 0, 2, if(ISBLANK('2025'!$P9), 0, 1), 3, if(ISBLANK('2025'!$Q9), 0, 1), 4, if(ISBLANK('2025'!$R9), 0, 1), 5, if(ISBLANK('2025'!$S9), 0, 1), 6, if(ISBLANK('2025'!$T9), 0, 1), 7, 0))), 1, "")</f>
        <v/>
      </c>
      <c r="AP9" s="1" t="str">
        <f>IF(AND(AND(AND(AP$4&gt;='2025'!$L9,AP$4&lt;='2025'!$M9), AP$4&lt;&gt;DATE(2025,7,4)), (SWITCH(weekday(AP$4), 1, 0, 2, if(ISBLANK('2025'!$P9), 0, 1), 3, if(ISBLANK('2025'!$Q9), 0, 1), 4, if(ISBLANK('2025'!$R9), 0, 1), 5, if(ISBLANK('2025'!$S9), 0, 1), 6, if(ISBLANK('2025'!$T9), 0, 1), 7, 0))), 1, "")</f>
        <v/>
      </c>
      <c r="AQ9" s="1" t="str">
        <f>IF(AND(AND(AND(AQ$4&gt;='2025'!$L9,AQ$4&lt;='2025'!$M9), AQ$4&lt;&gt;DATE(2025,7,4)), (SWITCH(weekday(AQ$4), 1, 0, 2, if(ISBLANK('2025'!$P9), 0, 1), 3, if(ISBLANK('2025'!$Q9), 0, 1), 4, if(ISBLANK('2025'!$R9), 0, 1), 5, if(ISBLANK('2025'!$S9), 0, 1), 6, if(ISBLANK('2025'!$T9), 0, 1), 7, 0))), 1, "")</f>
        <v/>
      </c>
      <c r="AR9" s="1" t="str">
        <f>IF(AND(AND(AND(AR$4&gt;='2025'!$L9,AR$4&lt;='2025'!$M9), AR$4&lt;&gt;DATE(2025,7,4)), (SWITCH(weekday(AR$4), 1, 0, 2, if(ISBLANK('2025'!$P9), 0, 1), 3, if(ISBLANK('2025'!$Q9), 0, 1), 4, if(ISBLANK('2025'!$R9), 0, 1), 5, if(ISBLANK('2025'!$S9), 0, 1), 6, if(ISBLANK('2025'!$T9), 0, 1), 7, 0))), 1, "")</f>
        <v/>
      </c>
      <c r="AS9" s="1" t="str">
        <f>IF(AND(AND(AND(AS$4&gt;='2025'!$L9,AS$4&lt;='2025'!$M9), AS$4&lt;&gt;DATE(2025,7,4)), (SWITCH(weekday(AS$4), 1, 0, 2, if(ISBLANK('2025'!$P9), 0, 1), 3, if(ISBLANK('2025'!$Q9), 0, 1), 4, if(ISBLANK('2025'!$R9), 0, 1), 5, if(ISBLANK('2025'!$S9), 0, 1), 6, if(ISBLANK('2025'!$T9), 0, 1), 7, 0))), 1, "")</f>
        <v/>
      </c>
      <c r="AT9" s="1" t="str">
        <f>IF(AND(AND(AND(AT$4&gt;='2025'!$L9,AT$4&lt;='2025'!$M9), AT$4&lt;&gt;DATE(2025,7,4)), (SWITCH(weekday(AT$4), 1, 0, 2, if(ISBLANK('2025'!$P9), 0, 1), 3, if(ISBLANK('2025'!$Q9), 0, 1), 4, if(ISBLANK('2025'!$R9), 0, 1), 5, if(ISBLANK('2025'!$S9), 0, 1), 6, if(ISBLANK('2025'!$T9), 0, 1), 7, 0))), 1, "")</f>
        <v/>
      </c>
      <c r="AU9" s="1" t="str">
        <f>IF(AND(AND(AND(AU$4&gt;='2025'!$L9,AU$4&lt;='2025'!$M9), AU$4&lt;&gt;DATE(2025,7,4)), (SWITCH(weekday(AU$4), 1, 0, 2, if(ISBLANK('2025'!$P9), 0, 1), 3, if(ISBLANK('2025'!$Q9), 0, 1), 4, if(ISBLANK('2025'!$R9), 0, 1), 5, if(ISBLANK('2025'!$S9), 0, 1), 6, if(ISBLANK('2025'!$T9), 0, 1), 7, 0))), 1, "")</f>
        <v/>
      </c>
      <c r="AV9" s="1" t="str">
        <f>IF(AND(AND(AND(AV$4&gt;='2025'!$L9,AV$4&lt;='2025'!$M9), AV$4&lt;&gt;DATE(2025,7,4)), (SWITCH(weekday(AV$4), 1, 0, 2, if(ISBLANK('2025'!$P9), 0, 1), 3, if(ISBLANK('2025'!$Q9), 0, 1), 4, if(ISBLANK('2025'!$R9), 0, 1), 5, if(ISBLANK('2025'!$S9), 0, 1), 6, if(ISBLANK('2025'!$T9), 0, 1), 7, 0))), 1, "")</f>
        <v/>
      </c>
      <c r="AW9" s="1" t="str">
        <f>IF(AND(AND(AND(AW$4&gt;='2025'!$L9,AW$4&lt;='2025'!$M9), AW$4&lt;&gt;DATE(2025,7,4)), (SWITCH(weekday(AW$4), 1, 0, 2, if(ISBLANK('2025'!$P9), 0, 1), 3, if(ISBLANK('2025'!$Q9), 0, 1), 4, if(ISBLANK('2025'!$R9), 0, 1), 5, if(ISBLANK('2025'!$S9), 0, 1), 6, if(ISBLANK('2025'!$T9), 0, 1), 7, 0))), 1, "")</f>
        <v/>
      </c>
      <c r="AX9" s="1" t="str">
        <f>IF(AND(AND(AND(AX$4&gt;='2025'!$L9,AX$4&lt;='2025'!$M9), AX$4&lt;&gt;DATE(2025,7,4)), (SWITCH(weekday(AX$4), 1, 0, 2, if(ISBLANK('2025'!$P9), 0, 1), 3, if(ISBLANK('2025'!$Q9), 0, 1), 4, if(ISBLANK('2025'!$R9), 0, 1), 5, if(ISBLANK('2025'!$S9), 0, 1), 6, if(ISBLANK('2025'!$T9), 0, 1), 7, 0))), 1, "")</f>
        <v/>
      </c>
      <c r="AY9" s="1" t="str">
        <f>IF(AND(AND(AND(AY$4&gt;='2025'!$L9,AY$4&lt;='2025'!$M9), AY$4&lt;&gt;DATE(2025,7,4)), (SWITCH(weekday(AY$4), 1, 0, 2, if(ISBLANK('2025'!$P9), 0, 1), 3, if(ISBLANK('2025'!$Q9), 0, 1), 4, if(ISBLANK('2025'!$R9), 0, 1), 5, if(ISBLANK('2025'!$S9), 0, 1), 6, if(ISBLANK('2025'!$T9), 0, 1), 7, 0))), 1, "")</f>
        <v/>
      </c>
      <c r="AZ9" s="1" t="str">
        <f>IF(AND(AND(AND(AZ$4&gt;='2025'!$L9,AZ$4&lt;='2025'!$M9), AZ$4&lt;&gt;DATE(2025,7,4)), (SWITCH(weekday(AZ$4), 1, 0, 2, if(ISBLANK('2025'!$P9), 0, 1), 3, if(ISBLANK('2025'!$Q9), 0, 1), 4, if(ISBLANK('2025'!$R9), 0, 1), 5, if(ISBLANK('2025'!$S9), 0, 1), 6, if(ISBLANK('2025'!$T9), 0, 1), 7, 0))), 1, "")</f>
        <v/>
      </c>
      <c r="BA9" s="1" t="str">
        <f>IF(AND(AND(AND(BA$4&gt;='2025'!$L9,BA$4&lt;='2025'!$M9), BA$4&lt;&gt;DATE(2025,7,4)), (SWITCH(weekday(BA$4), 1, 0, 2, if(ISBLANK('2025'!$P9), 0, 1), 3, if(ISBLANK('2025'!$Q9), 0, 1), 4, if(ISBLANK('2025'!$R9), 0, 1), 5, if(ISBLANK('2025'!$S9), 0, 1), 6, if(ISBLANK('2025'!$T9), 0, 1), 7, 0))), 1, "")</f>
        <v/>
      </c>
      <c r="BB9" s="1" t="str">
        <f>IF(AND(AND(AND(BB$4&gt;='2025'!$L9,BB$4&lt;='2025'!$M9), BB$4&lt;&gt;DATE(2025,7,4)), (SWITCH(weekday(BB$4), 1, 0, 2, if(ISBLANK('2025'!$P9), 0, 1), 3, if(ISBLANK('2025'!$Q9), 0, 1), 4, if(ISBLANK('2025'!$R9), 0, 1), 5, if(ISBLANK('2025'!$S9), 0, 1), 6, if(ISBLANK('2025'!$T9), 0, 1), 7, 0))), 1, "")</f>
        <v/>
      </c>
      <c r="BC9" s="1" t="str">
        <f>IF(AND(AND(AND(BC$4&gt;='2025'!$L9,BC$4&lt;='2025'!$M9), BC$4&lt;&gt;DATE(2025,7,4)), (SWITCH(weekday(BC$4), 1, 0, 2, if(ISBLANK('2025'!$P9), 0, 1), 3, if(ISBLANK('2025'!$Q9), 0, 1), 4, if(ISBLANK('2025'!$R9), 0, 1), 5, if(ISBLANK('2025'!$S9), 0, 1), 6, if(ISBLANK('2025'!$T9), 0, 1), 7, 0))), 1, "")</f>
        <v/>
      </c>
      <c r="BD9" s="1" t="str">
        <f>IF(AND(AND(AND(BD$4&gt;='2025'!$L9,BD$4&lt;='2025'!$M9), BD$4&lt;&gt;DATE(2025,7,4)), (SWITCH(weekday(BD$4), 1, 0, 2, if(ISBLANK('2025'!$P9), 0, 1), 3, if(ISBLANK('2025'!$Q9), 0, 1), 4, if(ISBLANK('2025'!$R9), 0, 1), 5, if(ISBLANK('2025'!$S9), 0, 1), 6, if(ISBLANK('2025'!$T9), 0, 1), 7, 0))), 1, "")</f>
        <v/>
      </c>
      <c r="BE9" s="1" t="str">
        <f>IF(AND(AND(AND(BE$4&gt;='2025'!$L9,BE$4&lt;='2025'!$M9), BE$4&lt;&gt;DATE(2025,7,4)), (SWITCH(weekday(BE$4), 1, 0, 2, if(ISBLANK('2025'!$P9), 0, 1), 3, if(ISBLANK('2025'!$Q9), 0, 1), 4, if(ISBLANK('2025'!$R9), 0, 1), 5, if(ISBLANK('2025'!$S9), 0, 1), 6, if(ISBLANK('2025'!$T9), 0, 1), 7, 0))), 1, "")</f>
        <v/>
      </c>
      <c r="BF9" s="1" t="str">
        <f>IF(AND(AND(AND(BF$4&gt;='2025'!$L9,BF$4&lt;='2025'!$M9), BF$4&lt;&gt;DATE(2025,7,4)), (SWITCH(weekday(BF$4), 1, 0, 2, if(ISBLANK('2025'!$P9), 0, 1), 3, if(ISBLANK('2025'!$Q9), 0, 1), 4, if(ISBLANK('2025'!$R9), 0, 1), 5, if(ISBLANK('2025'!$S9), 0, 1), 6, if(ISBLANK('2025'!$T9), 0, 1), 7, 0))), 1, "")</f>
        <v/>
      </c>
      <c r="BG9" s="1"/>
      <c r="BH9" s="1"/>
      <c r="BI9" s="1"/>
      <c r="BJ9" s="1"/>
      <c r="BK9" s="1"/>
      <c r="BL9" s="1"/>
    </row>
    <row r="10">
      <c r="A10" s="1">
        <f t="shared" si="3"/>
        <v>10</v>
      </c>
      <c r="B10" s="1" t="str">
        <f>'2025'!D10</f>
        <v>leung, sequoia</v>
      </c>
      <c r="C10" s="1" t="str">
        <f>'2025'!H10</f>
        <v>PK3</v>
      </c>
      <c r="D10" s="1">
        <f>IF(AND(AND(AND(D$4&gt;='2025'!$L10,D$4&lt;='2025'!$M10), D$4&lt;&gt;DATE(2025,7,4)), (SWITCH(weekday(D$4), 1, 0, 2, if(ISBLANK('2025'!$P10), 0, 1), 3, if(ISBLANK('2025'!$Q10), 0, 1), 4, if(ISBLANK('2025'!$R10), 0, 1), 5, if(ISBLANK('2025'!$S10), 0, 1), 6, if(ISBLANK('2025'!$T10), 0, 1), 7, 0))), 1, "")</f>
        <v>1</v>
      </c>
      <c r="E10" s="1">
        <f>IF(AND(AND(AND(E$4&gt;='2025'!$L10,E$4&lt;='2025'!$M10), E$4&lt;&gt;DATE(2025,7,4)), (SWITCH(weekday(E$4), 1, 0, 2, if(ISBLANK('2025'!$P10), 0, 1), 3, if(ISBLANK('2025'!$Q10), 0, 1), 4, if(ISBLANK('2025'!$R10), 0, 1), 5, if(ISBLANK('2025'!$S10), 0, 1), 6, if(ISBLANK('2025'!$T10), 0, 1), 7, 0))), 1, "")</f>
        <v>1</v>
      </c>
      <c r="F10" s="1" t="str">
        <f>IF(AND(AND(AND(F$4&gt;='2025'!$L10,F$4&lt;='2025'!$M10), F$4&lt;&gt;DATE(2025,7,4)), (SWITCH(weekday(F$4), 1, 0, 2, if(ISBLANK('2025'!$P10), 0, 1), 3, if(ISBLANK('2025'!$Q10), 0, 1), 4, if(ISBLANK('2025'!$R10), 0, 1), 5, if(ISBLANK('2025'!$S10), 0, 1), 6, if(ISBLANK('2025'!$T10), 0, 1), 7, 0))), 1, "")</f>
        <v/>
      </c>
      <c r="G10" s="1" t="str">
        <f>IF(AND(AND(AND(G$4&gt;='2025'!$L10,G$4&lt;='2025'!$M10), G$4&lt;&gt;DATE(2025,7,4)), (SWITCH(weekday(G$4), 1, 0, 2, if(ISBLANK('2025'!$P10), 0, 1), 3, if(ISBLANK('2025'!$Q10), 0, 1), 4, if(ISBLANK('2025'!$R10), 0, 1), 5, if(ISBLANK('2025'!$S10), 0, 1), 6, if(ISBLANK('2025'!$T10), 0, 1), 7, 0))), 1, "")</f>
        <v/>
      </c>
      <c r="H10" s="1">
        <f>IF(AND(AND(AND(H$4&gt;='2025'!$L10,H$4&lt;='2025'!$M10), H$4&lt;&gt;DATE(2025,7,4)), (SWITCH(weekday(H$4), 1, 0, 2, if(ISBLANK('2025'!$P10), 0, 1), 3, if(ISBLANK('2025'!$Q10), 0, 1), 4, if(ISBLANK('2025'!$R10), 0, 1), 5, if(ISBLANK('2025'!$S10), 0, 1), 6, if(ISBLANK('2025'!$T10), 0, 1), 7, 0))), 1, "")</f>
        <v>1</v>
      </c>
      <c r="I10" s="1">
        <f>IF(AND(AND(AND(I$4&gt;='2025'!$L10,I$4&lt;='2025'!$M10), I$4&lt;&gt;DATE(2025,7,4)), (SWITCH(weekday(I$4), 1, 0, 2, if(ISBLANK('2025'!$P10), 0, 1), 3, if(ISBLANK('2025'!$Q10), 0, 1), 4, if(ISBLANK('2025'!$R10), 0, 1), 5, if(ISBLANK('2025'!$S10), 0, 1), 6, if(ISBLANK('2025'!$T10), 0, 1), 7, 0))), 1, "")</f>
        <v>1</v>
      </c>
      <c r="J10" s="1">
        <f>IF(AND(AND(AND(J$4&gt;='2025'!$L10,J$4&lt;='2025'!$M10), J$4&lt;&gt;DATE(2025,7,4)), (SWITCH(weekday(J$4), 1, 0, 2, if(ISBLANK('2025'!$P10), 0, 1), 3, if(ISBLANK('2025'!$Q10), 0, 1), 4, if(ISBLANK('2025'!$R10), 0, 1), 5, if(ISBLANK('2025'!$S10), 0, 1), 6, if(ISBLANK('2025'!$T10), 0, 1), 7, 0))), 1, "")</f>
        <v>1</v>
      </c>
      <c r="K10" s="1">
        <f>IF(AND(AND(AND(K$4&gt;='2025'!$L10,K$4&lt;='2025'!$M10), K$4&lt;&gt;DATE(2025,7,4)), (SWITCH(weekday(K$4), 1, 0, 2, if(ISBLANK('2025'!$P10), 0, 1), 3, if(ISBLANK('2025'!$Q10), 0, 1), 4, if(ISBLANK('2025'!$R10), 0, 1), 5, if(ISBLANK('2025'!$S10), 0, 1), 6, if(ISBLANK('2025'!$T10), 0, 1), 7, 0))), 1, "")</f>
        <v>1</v>
      </c>
      <c r="L10" s="1">
        <f>IF(AND(AND(AND(L$4&gt;='2025'!$L10,L$4&lt;='2025'!$M10), L$4&lt;&gt;DATE(2025,7,4)), (SWITCH(weekday(L$4), 1, 0, 2, if(ISBLANK('2025'!$P10), 0, 1), 3, if(ISBLANK('2025'!$Q10), 0, 1), 4, if(ISBLANK('2025'!$R10), 0, 1), 5, if(ISBLANK('2025'!$S10), 0, 1), 6, if(ISBLANK('2025'!$T10), 0, 1), 7, 0))), 1, "")</f>
        <v>1</v>
      </c>
      <c r="M10" s="1" t="str">
        <f>IF(AND(AND(AND(M$4&gt;='2025'!$L10,M$4&lt;='2025'!$M10), M$4&lt;&gt;DATE(2025,7,4)), (SWITCH(weekday(M$4), 1, 0, 2, if(ISBLANK('2025'!$P10), 0, 1), 3, if(ISBLANK('2025'!$Q10), 0, 1), 4, if(ISBLANK('2025'!$R10), 0, 1), 5, if(ISBLANK('2025'!$S10), 0, 1), 6, if(ISBLANK('2025'!$T10), 0, 1), 7, 0))), 1, "")</f>
        <v/>
      </c>
      <c r="N10" s="1" t="str">
        <f>IF(AND(AND(AND(N$4&gt;='2025'!$L10,N$4&lt;='2025'!$M10), N$4&lt;&gt;DATE(2025,7,4)), (SWITCH(weekday(N$4), 1, 0, 2, if(ISBLANK('2025'!$P10), 0, 1), 3, if(ISBLANK('2025'!$Q10), 0, 1), 4, if(ISBLANK('2025'!$R10), 0, 1), 5, if(ISBLANK('2025'!$S10), 0, 1), 6, if(ISBLANK('2025'!$T10), 0, 1), 7, 0))), 1, "")</f>
        <v/>
      </c>
      <c r="O10" s="1">
        <f>IF(AND(AND(AND(O$4&gt;='2025'!$L10,O$4&lt;='2025'!$M10), O$4&lt;&gt;DATE(2025,7,4)), (SWITCH(weekday(O$4), 1, 0, 2, if(ISBLANK('2025'!$P10), 0, 1), 3, if(ISBLANK('2025'!$Q10), 0, 1), 4, if(ISBLANK('2025'!$R10), 0, 1), 5, if(ISBLANK('2025'!$S10), 0, 1), 6, if(ISBLANK('2025'!$T10), 0, 1), 7, 0))), 1, "")</f>
        <v>1</v>
      </c>
      <c r="P10" s="1">
        <f>IF(AND(AND(AND(P$4&gt;='2025'!$L10,P$4&lt;='2025'!$M10), P$4&lt;&gt;DATE(2025,7,4)), (SWITCH(weekday(P$4), 1, 0, 2, if(ISBLANK('2025'!$P10), 0, 1), 3, if(ISBLANK('2025'!$Q10), 0, 1), 4, if(ISBLANK('2025'!$R10), 0, 1), 5, if(ISBLANK('2025'!$S10), 0, 1), 6, if(ISBLANK('2025'!$T10), 0, 1), 7, 0))), 1, "")</f>
        <v>1</v>
      </c>
      <c r="Q10" s="1">
        <f>IF(AND(AND(AND(Q$4&gt;='2025'!$L10,Q$4&lt;='2025'!$M10), Q$4&lt;&gt;DATE(2025,7,4)), (SWITCH(weekday(Q$4), 1, 0, 2, if(ISBLANK('2025'!$P10), 0, 1), 3, if(ISBLANK('2025'!$Q10), 0, 1), 4, if(ISBLANK('2025'!$R10), 0, 1), 5, if(ISBLANK('2025'!$S10), 0, 1), 6, if(ISBLANK('2025'!$T10), 0, 1), 7, 0))), 1, "")</f>
        <v>1</v>
      </c>
      <c r="R10" s="1">
        <f>IF(AND(AND(AND(R$4&gt;='2025'!$L10,R$4&lt;='2025'!$M10), R$4&lt;&gt;DATE(2025,7,4)), (SWITCH(weekday(R$4), 1, 0, 2, if(ISBLANK('2025'!$P10), 0, 1), 3, if(ISBLANK('2025'!$Q10), 0, 1), 4, if(ISBLANK('2025'!$R10), 0, 1), 5, if(ISBLANK('2025'!$S10), 0, 1), 6, if(ISBLANK('2025'!$T10), 0, 1), 7, 0))), 1, "")</f>
        <v>1</v>
      </c>
      <c r="S10" s="1">
        <f>IF(AND(AND(AND(S$4&gt;='2025'!$L10,S$4&lt;='2025'!$M10), S$4&lt;&gt;DATE(2025,7,4)), (SWITCH(weekday(S$4), 1, 0, 2, if(ISBLANK('2025'!$P10), 0, 1), 3, if(ISBLANK('2025'!$Q10), 0, 1), 4, if(ISBLANK('2025'!$R10), 0, 1), 5, if(ISBLANK('2025'!$S10), 0, 1), 6, if(ISBLANK('2025'!$T10), 0, 1), 7, 0))), 1, "")</f>
        <v>1</v>
      </c>
      <c r="T10" s="1" t="str">
        <f>IF(AND(AND(AND(T$4&gt;='2025'!$L10,T$4&lt;='2025'!$M10), T$4&lt;&gt;DATE(2025,7,4)), (SWITCH(weekday(T$4), 1, 0, 2, if(ISBLANK('2025'!$P10), 0, 1), 3, if(ISBLANK('2025'!$Q10), 0, 1), 4, if(ISBLANK('2025'!$R10), 0, 1), 5, if(ISBLANK('2025'!$S10), 0, 1), 6, if(ISBLANK('2025'!$T10), 0, 1), 7, 0))), 1, "")</f>
        <v/>
      </c>
      <c r="U10" s="1" t="str">
        <f>IF(AND(AND(AND(U$4&gt;='2025'!$L10,U$4&lt;='2025'!$M10), U$4&lt;&gt;DATE(2025,7,4)), (SWITCH(weekday(U$4), 1, 0, 2, if(ISBLANK('2025'!$P10), 0, 1), 3, if(ISBLANK('2025'!$Q10), 0, 1), 4, if(ISBLANK('2025'!$R10), 0, 1), 5, if(ISBLANK('2025'!$S10), 0, 1), 6, if(ISBLANK('2025'!$T10), 0, 1), 7, 0))), 1, "")</f>
        <v/>
      </c>
      <c r="V10" s="1">
        <f>IF(AND(AND(AND(V$4&gt;='2025'!$L10,V$4&lt;='2025'!$M10), V$4&lt;&gt;DATE(2025,7,4)), (SWITCH(weekday(V$4), 1, 0, 2, if(ISBLANK('2025'!$P10), 0, 1), 3, if(ISBLANK('2025'!$Q10), 0, 1), 4, if(ISBLANK('2025'!$R10), 0, 1), 5, if(ISBLANK('2025'!$S10), 0, 1), 6, if(ISBLANK('2025'!$T10), 0, 1), 7, 0))), 1, "")</f>
        <v>1</v>
      </c>
      <c r="W10" s="1">
        <f>IF(AND(AND(AND(W$4&gt;='2025'!$L10,W$4&lt;='2025'!$M10), W$4&lt;&gt;DATE(2025,7,4)), (SWITCH(weekday(W$4), 1, 0, 2, if(ISBLANK('2025'!$P10), 0, 1), 3, if(ISBLANK('2025'!$Q10), 0, 1), 4, if(ISBLANK('2025'!$R10), 0, 1), 5, if(ISBLANK('2025'!$S10), 0, 1), 6, if(ISBLANK('2025'!$T10), 0, 1), 7, 0))), 1, "")</f>
        <v>1</v>
      </c>
      <c r="X10" s="1">
        <f>IF(AND(AND(AND(X$4&gt;='2025'!$L10,X$4&lt;='2025'!$M10), X$4&lt;&gt;DATE(2025,7,4)), (SWITCH(weekday(X$4), 1, 0, 2, if(ISBLANK('2025'!$P10), 0, 1), 3, if(ISBLANK('2025'!$Q10), 0, 1), 4, if(ISBLANK('2025'!$R10), 0, 1), 5, if(ISBLANK('2025'!$S10), 0, 1), 6, if(ISBLANK('2025'!$T10), 0, 1), 7, 0))), 1, "")</f>
        <v>1</v>
      </c>
      <c r="Y10" s="1">
        <f>IF(AND(AND(AND(Y$4&gt;='2025'!$L10,Y$4&lt;='2025'!$M10), Y$4&lt;&gt;DATE(2025,7,4)), (SWITCH(weekday(Y$4), 1, 0, 2, if(ISBLANK('2025'!$P10), 0, 1), 3, if(ISBLANK('2025'!$Q10), 0, 1), 4, if(ISBLANK('2025'!$R10), 0, 1), 5, if(ISBLANK('2025'!$S10), 0, 1), 6, if(ISBLANK('2025'!$T10), 0, 1), 7, 0))), 1, "")</f>
        <v>1</v>
      </c>
      <c r="Z10" s="1">
        <f>IF(AND(AND(AND(Z$4&gt;='2025'!$L10,Z$4&lt;='2025'!$M10), Z$4&lt;&gt;DATE(2025,7,4)), (SWITCH(weekday(Z$4), 1, 0, 2, if(ISBLANK('2025'!$P10), 0, 1), 3, if(ISBLANK('2025'!$Q10), 0, 1), 4, if(ISBLANK('2025'!$R10), 0, 1), 5, if(ISBLANK('2025'!$S10), 0, 1), 6, if(ISBLANK('2025'!$T10), 0, 1), 7, 0))), 1, "")</f>
        <v>1</v>
      </c>
      <c r="AA10" s="1" t="str">
        <f>IF(AND(AND(AND(AA$4&gt;='2025'!$L10,AA$4&lt;='2025'!$M10), AA$4&lt;&gt;DATE(2025,7,4)), (SWITCH(weekday(AA$4), 1, 0, 2, if(ISBLANK('2025'!$P10), 0, 1), 3, if(ISBLANK('2025'!$Q10), 0, 1), 4, if(ISBLANK('2025'!$R10), 0, 1), 5, if(ISBLANK('2025'!$S10), 0, 1), 6, if(ISBLANK('2025'!$T10), 0, 1), 7, 0))), 1, "")</f>
        <v/>
      </c>
      <c r="AB10" s="1" t="str">
        <f>IF(AND(AND(AND(AB$4&gt;='2025'!$L10,AB$4&lt;='2025'!$M10), AB$4&lt;&gt;DATE(2025,7,4)), (SWITCH(weekday(AB$4), 1, 0, 2, if(ISBLANK('2025'!$P10), 0, 1), 3, if(ISBLANK('2025'!$Q10), 0, 1), 4, if(ISBLANK('2025'!$R10), 0, 1), 5, if(ISBLANK('2025'!$S10), 0, 1), 6, if(ISBLANK('2025'!$T10), 0, 1), 7, 0))), 1, "")</f>
        <v/>
      </c>
      <c r="AC10" s="1">
        <f>IF(AND(AND(AND(AC$4&gt;='2025'!$L10,AC$4&lt;='2025'!$M10), AC$4&lt;&gt;DATE(2025,7,4)), (SWITCH(weekday(AC$4), 1, 0, 2, if(ISBLANK('2025'!$P10), 0, 1), 3, if(ISBLANK('2025'!$Q10), 0, 1), 4, if(ISBLANK('2025'!$R10), 0, 1), 5, if(ISBLANK('2025'!$S10), 0, 1), 6, if(ISBLANK('2025'!$T10), 0, 1), 7, 0))), 1, "")</f>
        <v>1</v>
      </c>
      <c r="AD10" s="1">
        <f>IF(AND(AND(AND(AD$4&gt;='2025'!$L10,AD$4&lt;='2025'!$M10), AD$4&lt;&gt;DATE(2025,7,4)), (SWITCH(weekday(AD$4), 1, 0, 2, if(ISBLANK('2025'!$P10), 0, 1), 3, if(ISBLANK('2025'!$Q10), 0, 1), 4, if(ISBLANK('2025'!$R10), 0, 1), 5, if(ISBLANK('2025'!$S10), 0, 1), 6, if(ISBLANK('2025'!$T10), 0, 1), 7, 0))), 1, "")</f>
        <v>1</v>
      </c>
      <c r="AE10" s="1">
        <f>IF(AND(AND(AND(AE$4&gt;='2025'!$L10,AE$4&lt;='2025'!$M10), AE$4&lt;&gt;DATE(2025,7,4)), (SWITCH(weekday(AE$4), 1, 0, 2, if(ISBLANK('2025'!$P10), 0, 1), 3, if(ISBLANK('2025'!$Q10), 0, 1), 4, if(ISBLANK('2025'!$R10), 0, 1), 5, if(ISBLANK('2025'!$S10), 0, 1), 6, if(ISBLANK('2025'!$T10), 0, 1), 7, 0))), 1, "")</f>
        <v>1</v>
      </c>
      <c r="AF10" s="1">
        <f>IF(AND(AND(AND(AF$4&gt;='2025'!$L10,AF$4&lt;='2025'!$M10), AF$4&lt;&gt;DATE(2025,7,4)), (SWITCH(weekday(AF$4), 1, 0, 2, if(ISBLANK('2025'!$P10), 0, 1), 3, if(ISBLANK('2025'!$Q10), 0, 1), 4, if(ISBLANK('2025'!$R10), 0, 1), 5, if(ISBLANK('2025'!$S10), 0, 1), 6, if(ISBLANK('2025'!$T10), 0, 1), 7, 0))), 1, "")</f>
        <v>1</v>
      </c>
      <c r="AG10" s="1">
        <f>IF(AND(AND(AND(AG$4&gt;='2025'!$L10,AG$4&lt;='2025'!$M10), AG$4&lt;&gt;DATE(2025,7,4)), (SWITCH(weekday(AG$4), 1, 0, 2, if(ISBLANK('2025'!$P10), 0, 1), 3, if(ISBLANK('2025'!$Q10), 0, 1), 4, if(ISBLANK('2025'!$R10), 0, 1), 5, if(ISBLANK('2025'!$S10), 0, 1), 6, if(ISBLANK('2025'!$T10), 0, 1), 7, 0))), 1, "")</f>
        <v>1</v>
      </c>
      <c r="AH10" s="1" t="str">
        <f>IF(AND(AND(AND(AH$4&gt;='2025'!$L10,AH$4&lt;='2025'!$M10), AH$4&lt;&gt;DATE(2025,7,4)), (SWITCH(weekday(AH$4), 1, 0, 2, if(ISBLANK('2025'!$P10), 0, 1), 3, if(ISBLANK('2025'!$Q10), 0, 1), 4, if(ISBLANK('2025'!$R10), 0, 1), 5, if(ISBLANK('2025'!$S10), 0, 1), 6, if(ISBLANK('2025'!$T10), 0, 1), 7, 0))), 1, "")</f>
        <v/>
      </c>
      <c r="AI10" s="1" t="str">
        <f>IF(AND(AND(AND(AI$4&gt;='2025'!$L10,AI$4&lt;='2025'!$M10), AI$4&lt;&gt;DATE(2025,7,4)), (SWITCH(weekday(AI$4), 1, 0, 2, if(ISBLANK('2025'!$P10), 0, 1), 3, if(ISBLANK('2025'!$Q10), 0, 1), 4, if(ISBLANK('2025'!$R10), 0, 1), 5, if(ISBLANK('2025'!$S10), 0, 1), 6, if(ISBLANK('2025'!$T10), 0, 1), 7, 0))), 1, "")</f>
        <v/>
      </c>
      <c r="AJ10" s="1">
        <f>IF(AND(AND(AND(AJ$4&gt;='2025'!$L10,AJ$4&lt;='2025'!$M10), AJ$4&lt;&gt;DATE(2025,7,4)), (SWITCH(weekday(AJ$4), 1, 0, 2, if(ISBLANK('2025'!$P10), 0, 1), 3, if(ISBLANK('2025'!$Q10), 0, 1), 4, if(ISBLANK('2025'!$R10), 0, 1), 5, if(ISBLANK('2025'!$S10), 0, 1), 6, if(ISBLANK('2025'!$T10), 0, 1), 7, 0))), 1, "")</f>
        <v>1</v>
      </c>
      <c r="AK10" s="1">
        <f>IF(AND(AND(AND(AK$4&gt;='2025'!$L10,AK$4&lt;='2025'!$M10), AK$4&lt;&gt;DATE(2025,7,4)), (SWITCH(weekday(AK$4), 1, 0, 2, if(ISBLANK('2025'!$P10), 0, 1), 3, if(ISBLANK('2025'!$Q10), 0, 1), 4, if(ISBLANK('2025'!$R10), 0, 1), 5, if(ISBLANK('2025'!$S10), 0, 1), 6, if(ISBLANK('2025'!$T10), 0, 1), 7, 0))), 1, "")</f>
        <v>1</v>
      </c>
      <c r="AL10" s="1">
        <f>IF(AND(AND(AND(AL$4&gt;='2025'!$L10,AL$4&lt;='2025'!$M10), AL$4&lt;&gt;DATE(2025,7,4)), (SWITCH(weekday(AL$4), 1, 0, 2, if(ISBLANK('2025'!$P10), 0, 1), 3, if(ISBLANK('2025'!$Q10), 0, 1), 4, if(ISBLANK('2025'!$R10), 0, 1), 5, if(ISBLANK('2025'!$S10), 0, 1), 6, if(ISBLANK('2025'!$T10), 0, 1), 7, 0))), 1, "")</f>
        <v>1</v>
      </c>
      <c r="AM10" s="1">
        <f>IF(AND(AND(AND(AM$4&gt;='2025'!$L10,AM$4&lt;='2025'!$M10), AM$4&lt;&gt;DATE(2025,7,4)), (SWITCH(weekday(AM$4), 1, 0, 2, if(ISBLANK('2025'!$P10), 0, 1), 3, if(ISBLANK('2025'!$Q10), 0, 1), 4, if(ISBLANK('2025'!$R10), 0, 1), 5, if(ISBLANK('2025'!$S10), 0, 1), 6, if(ISBLANK('2025'!$T10), 0, 1), 7, 0))), 1, "")</f>
        <v>1</v>
      </c>
      <c r="AN10" s="1">
        <f>IF(AND(AND(AND(AN$4&gt;='2025'!$L10,AN$4&lt;='2025'!$M10), AN$4&lt;&gt;DATE(2025,7,4)), (SWITCH(weekday(AN$4), 1, 0, 2, if(ISBLANK('2025'!$P10), 0, 1), 3, if(ISBLANK('2025'!$Q10), 0, 1), 4, if(ISBLANK('2025'!$R10), 0, 1), 5, if(ISBLANK('2025'!$S10), 0, 1), 6, if(ISBLANK('2025'!$T10), 0, 1), 7, 0))), 1, "")</f>
        <v>1</v>
      </c>
      <c r="AO10" s="1" t="str">
        <f>IF(AND(AND(AND(AO$4&gt;='2025'!$L10,AO$4&lt;='2025'!$M10), AO$4&lt;&gt;DATE(2025,7,4)), (SWITCH(weekday(AO$4), 1, 0, 2, if(ISBLANK('2025'!$P10), 0, 1), 3, if(ISBLANK('2025'!$Q10), 0, 1), 4, if(ISBLANK('2025'!$R10), 0, 1), 5, if(ISBLANK('2025'!$S10), 0, 1), 6, if(ISBLANK('2025'!$T10), 0, 1), 7, 0))), 1, "")</f>
        <v/>
      </c>
      <c r="AP10" s="1" t="str">
        <f>IF(AND(AND(AND(AP$4&gt;='2025'!$L10,AP$4&lt;='2025'!$M10), AP$4&lt;&gt;DATE(2025,7,4)), (SWITCH(weekday(AP$4), 1, 0, 2, if(ISBLANK('2025'!$P10), 0, 1), 3, if(ISBLANK('2025'!$Q10), 0, 1), 4, if(ISBLANK('2025'!$R10), 0, 1), 5, if(ISBLANK('2025'!$S10), 0, 1), 6, if(ISBLANK('2025'!$T10), 0, 1), 7, 0))), 1, "")</f>
        <v/>
      </c>
      <c r="AQ10" s="1">
        <f>IF(AND(AND(AND(AQ$4&gt;='2025'!$L10,AQ$4&lt;='2025'!$M10), AQ$4&lt;&gt;DATE(2025,7,4)), (SWITCH(weekday(AQ$4), 1, 0, 2, if(ISBLANK('2025'!$P10), 0, 1), 3, if(ISBLANK('2025'!$Q10), 0, 1), 4, if(ISBLANK('2025'!$R10), 0, 1), 5, if(ISBLANK('2025'!$S10), 0, 1), 6, if(ISBLANK('2025'!$T10), 0, 1), 7, 0))), 1, "")</f>
        <v>1</v>
      </c>
      <c r="AR10" s="1">
        <f>IF(AND(AND(AND(AR$4&gt;='2025'!$L10,AR$4&lt;='2025'!$M10), AR$4&lt;&gt;DATE(2025,7,4)), (SWITCH(weekday(AR$4), 1, 0, 2, if(ISBLANK('2025'!$P10), 0, 1), 3, if(ISBLANK('2025'!$Q10), 0, 1), 4, if(ISBLANK('2025'!$R10), 0, 1), 5, if(ISBLANK('2025'!$S10), 0, 1), 6, if(ISBLANK('2025'!$T10), 0, 1), 7, 0))), 1, "")</f>
        <v>1</v>
      </c>
      <c r="AS10" s="1">
        <f>IF(AND(AND(AND(AS$4&gt;='2025'!$L10,AS$4&lt;='2025'!$M10), AS$4&lt;&gt;DATE(2025,7,4)), (SWITCH(weekday(AS$4), 1, 0, 2, if(ISBLANK('2025'!$P10), 0, 1), 3, if(ISBLANK('2025'!$Q10), 0, 1), 4, if(ISBLANK('2025'!$R10), 0, 1), 5, if(ISBLANK('2025'!$S10), 0, 1), 6, if(ISBLANK('2025'!$T10), 0, 1), 7, 0))), 1, "")</f>
        <v>1</v>
      </c>
      <c r="AT10" s="1">
        <f>IF(AND(AND(AND(AT$4&gt;='2025'!$L10,AT$4&lt;='2025'!$M10), AT$4&lt;&gt;DATE(2025,7,4)), (SWITCH(weekday(AT$4), 1, 0, 2, if(ISBLANK('2025'!$P10), 0, 1), 3, if(ISBLANK('2025'!$Q10), 0, 1), 4, if(ISBLANK('2025'!$R10), 0, 1), 5, if(ISBLANK('2025'!$S10), 0, 1), 6, if(ISBLANK('2025'!$T10), 0, 1), 7, 0))), 1, "")</f>
        <v>1</v>
      </c>
      <c r="AU10" s="1">
        <f>IF(AND(AND(AND(AU$4&gt;='2025'!$L10,AU$4&lt;='2025'!$M10), AU$4&lt;&gt;DATE(2025,7,4)), (SWITCH(weekday(AU$4), 1, 0, 2, if(ISBLANK('2025'!$P10), 0, 1), 3, if(ISBLANK('2025'!$Q10), 0, 1), 4, if(ISBLANK('2025'!$R10), 0, 1), 5, if(ISBLANK('2025'!$S10), 0, 1), 6, if(ISBLANK('2025'!$T10), 0, 1), 7, 0))), 1, "")</f>
        <v>1</v>
      </c>
      <c r="AV10" s="1" t="str">
        <f>IF(AND(AND(AND(AV$4&gt;='2025'!$L10,AV$4&lt;='2025'!$M10), AV$4&lt;&gt;DATE(2025,7,4)), (SWITCH(weekday(AV$4), 1, 0, 2, if(ISBLANK('2025'!$P10), 0, 1), 3, if(ISBLANK('2025'!$Q10), 0, 1), 4, if(ISBLANK('2025'!$R10), 0, 1), 5, if(ISBLANK('2025'!$S10), 0, 1), 6, if(ISBLANK('2025'!$T10), 0, 1), 7, 0))), 1, "")</f>
        <v/>
      </c>
      <c r="AW10" s="1" t="str">
        <f>IF(AND(AND(AND(AW$4&gt;='2025'!$L10,AW$4&lt;='2025'!$M10), AW$4&lt;&gt;DATE(2025,7,4)), (SWITCH(weekday(AW$4), 1, 0, 2, if(ISBLANK('2025'!$P10), 0, 1), 3, if(ISBLANK('2025'!$Q10), 0, 1), 4, if(ISBLANK('2025'!$R10), 0, 1), 5, if(ISBLANK('2025'!$S10), 0, 1), 6, if(ISBLANK('2025'!$T10), 0, 1), 7, 0))), 1, "")</f>
        <v/>
      </c>
      <c r="AX10" s="1">
        <f>IF(AND(AND(AND(AX$4&gt;='2025'!$L10,AX$4&lt;='2025'!$M10), AX$4&lt;&gt;DATE(2025,7,4)), (SWITCH(weekday(AX$4), 1, 0, 2, if(ISBLANK('2025'!$P10), 0, 1), 3, if(ISBLANK('2025'!$Q10), 0, 1), 4, if(ISBLANK('2025'!$R10), 0, 1), 5, if(ISBLANK('2025'!$S10), 0, 1), 6, if(ISBLANK('2025'!$T10), 0, 1), 7, 0))), 1, "")</f>
        <v>1</v>
      </c>
      <c r="AY10" s="1">
        <f>IF(AND(AND(AND(AY$4&gt;='2025'!$L10,AY$4&lt;='2025'!$M10), AY$4&lt;&gt;DATE(2025,7,4)), (SWITCH(weekday(AY$4), 1, 0, 2, if(ISBLANK('2025'!$P10), 0, 1), 3, if(ISBLANK('2025'!$Q10), 0, 1), 4, if(ISBLANK('2025'!$R10), 0, 1), 5, if(ISBLANK('2025'!$S10), 0, 1), 6, if(ISBLANK('2025'!$T10), 0, 1), 7, 0))), 1, "")</f>
        <v>1</v>
      </c>
      <c r="AZ10" s="1">
        <f>IF(AND(AND(AND(AZ$4&gt;='2025'!$L10,AZ$4&lt;='2025'!$M10), AZ$4&lt;&gt;DATE(2025,7,4)), (SWITCH(weekday(AZ$4), 1, 0, 2, if(ISBLANK('2025'!$P10), 0, 1), 3, if(ISBLANK('2025'!$Q10), 0, 1), 4, if(ISBLANK('2025'!$R10), 0, 1), 5, if(ISBLANK('2025'!$S10), 0, 1), 6, if(ISBLANK('2025'!$T10), 0, 1), 7, 0))), 1, "")</f>
        <v>1</v>
      </c>
      <c r="BA10" s="1">
        <f>IF(AND(AND(AND(BA$4&gt;='2025'!$L10,BA$4&lt;='2025'!$M10), BA$4&lt;&gt;DATE(2025,7,4)), (SWITCH(weekday(BA$4), 1, 0, 2, if(ISBLANK('2025'!$P10), 0, 1), 3, if(ISBLANK('2025'!$Q10), 0, 1), 4, if(ISBLANK('2025'!$R10), 0, 1), 5, if(ISBLANK('2025'!$S10), 0, 1), 6, if(ISBLANK('2025'!$T10), 0, 1), 7, 0))), 1, "")</f>
        <v>1</v>
      </c>
      <c r="BB10" s="1">
        <f>IF(AND(AND(AND(BB$4&gt;='2025'!$L10,BB$4&lt;='2025'!$M10), BB$4&lt;&gt;DATE(2025,7,4)), (SWITCH(weekday(BB$4), 1, 0, 2, if(ISBLANK('2025'!$P10), 0, 1), 3, if(ISBLANK('2025'!$Q10), 0, 1), 4, if(ISBLANK('2025'!$R10), 0, 1), 5, if(ISBLANK('2025'!$S10), 0, 1), 6, if(ISBLANK('2025'!$T10), 0, 1), 7, 0))), 1, "")</f>
        <v>1</v>
      </c>
      <c r="BC10" s="1" t="str">
        <f>IF(AND(AND(AND(BC$4&gt;='2025'!$L10,BC$4&lt;='2025'!$M10), BC$4&lt;&gt;DATE(2025,7,4)), (SWITCH(weekday(BC$4), 1, 0, 2, if(ISBLANK('2025'!$P10), 0, 1), 3, if(ISBLANK('2025'!$Q10), 0, 1), 4, if(ISBLANK('2025'!$R10), 0, 1), 5, if(ISBLANK('2025'!$S10), 0, 1), 6, if(ISBLANK('2025'!$T10), 0, 1), 7, 0))), 1, "")</f>
        <v/>
      </c>
      <c r="BD10" s="1" t="str">
        <f>IF(AND(AND(AND(BD$4&gt;='2025'!$L10,BD$4&lt;='2025'!$M10), BD$4&lt;&gt;DATE(2025,7,4)), (SWITCH(weekday(BD$4), 1, 0, 2, if(ISBLANK('2025'!$P10), 0, 1), 3, if(ISBLANK('2025'!$Q10), 0, 1), 4, if(ISBLANK('2025'!$R10), 0, 1), 5, if(ISBLANK('2025'!$S10), 0, 1), 6, if(ISBLANK('2025'!$T10), 0, 1), 7, 0))), 1, "")</f>
        <v/>
      </c>
      <c r="BE10" s="1">
        <f>IF(AND(AND(AND(BE$4&gt;='2025'!$L10,BE$4&lt;='2025'!$M10), BE$4&lt;&gt;DATE(2025,7,4)), (SWITCH(weekday(BE$4), 1, 0, 2, if(ISBLANK('2025'!$P10), 0, 1), 3, if(ISBLANK('2025'!$Q10), 0, 1), 4, if(ISBLANK('2025'!$R10), 0, 1), 5, if(ISBLANK('2025'!$S10), 0, 1), 6, if(ISBLANK('2025'!$T10), 0, 1), 7, 0))), 1, "")</f>
        <v>1</v>
      </c>
      <c r="BF10" s="1">
        <f>IF(AND(AND(AND(BF$4&gt;='2025'!$L10,BF$4&lt;='2025'!$M10), BF$4&lt;&gt;DATE(2025,7,4)), (SWITCH(weekday(BF$4), 1, 0, 2, if(ISBLANK('2025'!$P10), 0, 1), 3, if(ISBLANK('2025'!$Q10), 0, 1), 4, if(ISBLANK('2025'!$R10), 0, 1), 5, if(ISBLANK('2025'!$S10), 0, 1), 6, if(ISBLANK('2025'!$T10), 0, 1), 7, 0))), 1, "")</f>
        <v>1</v>
      </c>
      <c r="BG10" s="1"/>
      <c r="BH10" s="1"/>
      <c r="BI10" s="1"/>
      <c r="BJ10" s="1"/>
      <c r="BK10" s="1"/>
      <c r="BL10" s="1"/>
    </row>
    <row r="11">
      <c r="A11" s="1">
        <f t="shared" si="3"/>
        <v>11</v>
      </c>
      <c r="B11" s="1" t="str">
        <f>'2025'!D11</f>
        <v>Salazar, Dylan</v>
      </c>
      <c r="C11" s="1" t="str">
        <f>'2025'!H11</f>
        <v>PK3.1</v>
      </c>
      <c r="D11" s="1" t="str">
        <f>IF(AND(AND(AND(D$4&gt;='2025'!$L11,D$4&lt;='2025'!$M11), D$4&lt;&gt;DATE(2025,7,4)), (SWITCH(weekday(D$4), 1, 0, 2, if(ISBLANK('2025'!$P11), 0, 1), 3, if(ISBLANK('2025'!$Q11), 0, 1), 4, if(ISBLANK('2025'!$R11), 0, 1), 5, if(ISBLANK('2025'!$S11), 0, 1), 6, if(ISBLANK('2025'!$T11), 0, 1), 7, 0))), 1, "")</f>
        <v/>
      </c>
      <c r="E11" s="1" t="str">
        <f>IF(AND(AND(AND(E$4&gt;='2025'!$L11,E$4&lt;='2025'!$M11), E$4&lt;&gt;DATE(2025,7,4)), (SWITCH(weekday(E$4), 1, 0, 2, if(ISBLANK('2025'!$P11), 0, 1), 3, if(ISBLANK('2025'!$Q11), 0, 1), 4, if(ISBLANK('2025'!$R11), 0, 1), 5, if(ISBLANK('2025'!$S11), 0, 1), 6, if(ISBLANK('2025'!$T11), 0, 1), 7, 0))), 1, "")</f>
        <v/>
      </c>
      <c r="F11" s="1" t="str">
        <f>IF(AND(AND(AND(F$4&gt;='2025'!$L11,F$4&lt;='2025'!$M11), F$4&lt;&gt;DATE(2025,7,4)), (SWITCH(weekday(F$4), 1, 0, 2, if(ISBLANK('2025'!$P11), 0, 1), 3, if(ISBLANK('2025'!$Q11), 0, 1), 4, if(ISBLANK('2025'!$R11), 0, 1), 5, if(ISBLANK('2025'!$S11), 0, 1), 6, if(ISBLANK('2025'!$T11), 0, 1), 7, 0))), 1, "")</f>
        <v/>
      </c>
      <c r="G11" s="1" t="str">
        <f>IF(AND(AND(AND(G$4&gt;='2025'!$L11,G$4&lt;='2025'!$M11), G$4&lt;&gt;DATE(2025,7,4)), (SWITCH(weekday(G$4), 1, 0, 2, if(ISBLANK('2025'!$P11), 0, 1), 3, if(ISBLANK('2025'!$Q11), 0, 1), 4, if(ISBLANK('2025'!$R11), 0, 1), 5, if(ISBLANK('2025'!$S11), 0, 1), 6, if(ISBLANK('2025'!$T11), 0, 1), 7, 0))), 1, "")</f>
        <v/>
      </c>
      <c r="H11" s="1" t="str">
        <f>IF(AND(AND(AND(H$4&gt;='2025'!$L11,H$4&lt;='2025'!$M11), H$4&lt;&gt;DATE(2025,7,4)), (SWITCH(weekday(H$4), 1, 0, 2, if(ISBLANK('2025'!$P11), 0, 1), 3, if(ISBLANK('2025'!$Q11), 0, 1), 4, if(ISBLANK('2025'!$R11), 0, 1), 5, if(ISBLANK('2025'!$S11), 0, 1), 6, if(ISBLANK('2025'!$T11), 0, 1), 7, 0))), 1, "")</f>
        <v/>
      </c>
      <c r="I11" s="1" t="str">
        <f>IF(AND(AND(AND(I$4&gt;='2025'!$L11,I$4&lt;='2025'!$M11), I$4&lt;&gt;DATE(2025,7,4)), (SWITCH(weekday(I$4), 1, 0, 2, if(ISBLANK('2025'!$P11), 0, 1), 3, if(ISBLANK('2025'!$Q11), 0, 1), 4, if(ISBLANK('2025'!$R11), 0, 1), 5, if(ISBLANK('2025'!$S11), 0, 1), 6, if(ISBLANK('2025'!$T11), 0, 1), 7, 0))), 1, "")</f>
        <v/>
      </c>
      <c r="J11" s="1" t="str">
        <f>IF(AND(AND(AND(J$4&gt;='2025'!$L11,J$4&lt;='2025'!$M11), J$4&lt;&gt;DATE(2025,7,4)), (SWITCH(weekday(J$4), 1, 0, 2, if(ISBLANK('2025'!$P11), 0, 1), 3, if(ISBLANK('2025'!$Q11), 0, 1), 4, if(ISBLANK('2025'!$R11), 0, 1), 5, if(ISBLANK('2025'!$S11), 0, 1), 6, if(ISBLANK('2025'!$T11), 0, 1), 7, 0))), 1, "")</f>
        <v/>
      </c>
      <c r="K11" s="1" t="str">
        <f>IF(AND(AND(AND(K$4&gt;='2025'!$L11,K$4&lt;='2025'!$M11), K$4&lt;&gt;DATE(2025,7,4)), (SWITCH(weekday(K$4), 1, 0, 2, if(ISBLANK('2025'!$P11), 0, 1), 3, if(ISBLANK('2025'!$Q11), 0, 1), 4, if(ISBLANK('2025'!$R11), 0, 1), 5, if(ISBLANK('2025'!$S11), 0, 1), 6, if(ISBLANK('2025'!$T11), 0, 1), 7, 0))), 1, "")</f>
        <v/>
      </c>
      <c r="L11" s="1" t="str">
        <f>IF(AND(AND(AND(L$4&gt;='2025'!$L11,L$4&lt;='2025'!$M11), L$4&lt;&gt;DATE(2025,7,4)), (SWITCH(weekday(L$4), 1, 0, 2, if(ISBLANK('2025'!$P11), 0, 1), 3, if(ISBLANK('2025'!$Q11), 0, 1), 4, if(ISBLANK('2025'!$R11), 0, 1), 5, if(ISBLANK('2025'!$S11), 0, 1), 6, if(ISBLANK('2025'!$T11), 0, 1), 7, 0))), 1, "")</f>
        <v/>
      </c>
      <c r="M11" s="1" t="str">
        <f>IF(AND(AND(AND(M$4&gt;='2025'!$L11,M$4&lt;='2025'!$M11), M$4&lt;&gt;DATE(2025,7,4)), (SWITCH(weekday(M$4), 1, 0, 2, if(ISBLANK('2025'!$P11), 0, 1), 3, if(ISBLANK('2025'!$Q11), 0, 1), 4, if(ISBLANK('2025'!$R11), 0, 1), 5, if(ISBLANK('2025'!$S11), 0, 1), 6, if(ISBLANK('2025'!$T11), 0, 1), 7, 0))), 1, "")</f>
        <v/>
      </c>
      <c r="N11" s="1" t="str">
        <f>IF(AND(AND(AND(N$4&gt;='2025'!$L11,N$4&lt;='2025'!$M11), N$4&lt;&gt;DATE(2025,7,4)), (SWITCH(weekday(N$4), 1, 0, 2, if(ISBLANK('2025'!$P11), 0, 1), 3, if(ISBLANK('2025'!$Q11), 0, 1), 4, if(ISBLANK('2025'!$R11), 0, 1), 5, if(ISBLANK('2025'!$S11), 0, 1), 6, if(ISBLANK('2025'!$T11), 0, 1), 7, 0))), 1, "")</f>
        <v/>
      </c>
      <c r="O11" s="1" t="str">
        <f>IF(AND(AND(AND(O$4&gt;='2025'!$L11,O$4&lt;='2025'!$M11), O$4&lt;&gt;DATE(2025,7,4)), (SWITCH(weekday(O$4), 1, 0, 2, if(ISBLANK('2025'!$P11), 0, 1), 3, if(ISBLANK('2025'!$Q11), 0, 1), 4, if(ISBLANK('2025'!$R11), 0, 1), 5, if(ISBLANK('2025'!$S11), 0, 1), 6, if(ISBLANK('2025'!$T11), 0, 1), 7, 0))), 1, "")</f>
        <v/>
      </c>
      <c r="P11" s="1" t="str">
        <f>IF(AND(AND(AND(P$4&gt;='2025'!$L11,P$4&lt;='2025'!$M11), P$4&lt;&gt;DATE(2025,7,4)), (SWITCH(weekday(P$4), 1, 0, 2, if(ISBLANK('2025'!$P11), 0, 1), 3, if(ISBLANK('2025'!$Q11), 0, 1), 4, if(ISBLANK('2025'!$R11), 0, 1), 5, if(ISBLANK('2025'!$S11), 0, 1), 6, if(ISBLANK('2025'!$T11), 0, 1), 7, 0))), 1, "")</f>
        <v/>
      </c>
      <c r="Q11" s="1" t="str">
        <f>IF(AND(AND(AND(Q$4&gt;='2025'!$L11,Q$4&lt;='2025'!$M11), Q$4&lt;&gt;DATE(2025,7,4)), (SWITCH(weekday(Q$4), 1, 0, 2, if(ISBLANK('2025'!$P11), 0, 1), 3, if(ISBLANK('2025'!$Q11), 0, 1), 4, if(ISBLANK('2025'!$R11), 0, 1), 5, if(ISBLANK('2025'!$S11), 0, 1), 6, if(ISBLANK('2025'!$T11), 0, 1), 7, 0))), 1, "")</f>
        <v/>
      </c>
      <c r="R11" s="1" t="str">
        <f>IF(AND(AND(AND(R$4&gt;='2025'!$L11,R$4&lt;='2025'!$M11), R$4&lt;&gt;DATE(2025,7,4)), (SWITCH(weekday(R$4), 1, 0, 2, if(ISBLANK('2025'!$P11), 0, 1), 3, if(ISBLANK('2025'!$Q11), 0, 1), 4, if(ISBLANK('2025'!$R11), 0, 1), 5, if(ISBLANK('2025'!$S11), 0, 1), 6, if(ISBLANK('2025'!$T11), 0, 1), 7, 0))), 1, "")</f>
        <v/>
      </c>
      <c r="S11" s="1" t="str">
        <f>IF(AND(AND(AND(S$4&gt;='2025'!$L11,S$4&lt;='2025'!$M11), S$4&lt;&gt;DATE(2025,7,4)), (SWITCH(weekday(S$4), 1, 0, 2, if(ISBLANK('2025'!$P11), 0, 1), 3, if(ISBLANK('2025'!$Q11), 0, 1), 4, if(ISBLANK('2025'!$R11), 0, 1), 5, if(ISBLANK('2025'!$S11), 0, 1), 6, if(ISBLANK('2025'!$T11), 0, 1), 7, 0))), 1, "")</f>
        <v/>
      </c>
      <c r="T11" s="1" t="str">
        <f>IF(AND(AND(AND(T$4&gt;='2025'!$L11,T$4&lt;='2025'!$M11), T$4&lt;&gt;DATE(2025,7,4)), (SWITCH(weekday(T$4), 1, 0, 2, if(ISBLANK('2025'!$P11), 0, 1), 3, if(ISBLANK('2025'!$Q11), 0, 1), 4, if(ISBLANK('2025'!$R11), 0, 1), 5, if(ISBLANK('2025'!$S11), 0, 1), 6, if(ISBLANK('2025'!$T11), 0, 1), 7, 0))), 1, "")</f>
        <v/>
      </c>
      <c r="U11" s="1" t="str">
        <f>IF(AND(AND(AND(U$4&gt;='2025'!$L11,U$4&lt;='2025'!$M11), U$4&lt;&gt;DATE(2025,7,4)), (SWITCH(weekday(U$4), 1, 0, 2, if(ISBLANK('2025'!$P11), 0, 1), 3, if(ISBLANK('2025'!$Q11), 0, 1), 4, if(ISBLANK('2025'!$R11), 0, 1), 5, if(ISBLANK('2025'!$S11), 0, 1), 6, if(ISBLANK('2025'!$T11), 0, 1), 7, 0))), 1, "")</f>
        <v/>
      </c>
      <c r="V11" s="1" t="str">
        <f>IF(AND(AND(AND(V$4&gt;='2025'!$L11,V$4&lt;='2025'!$M11), V$4&lt;&gt;DATE(2025,7,4)), (SWITCH(weekday(V$4), 1, 0, 2, if(ISBLANK('2025'!$P11), 0, 1), 3, if(ISBLANK('2025'!$Q11), 0, 1), 4, if(ISBLANK('2025'!$R11), 0, 1), 5, if(ISBLANK('2025'!$S11), 0, 1), 6, if(ISBLANK('2025'!$T11), 0, 1), 7, 0))), 1, "")</f>
        <v/>
      </c>
      <c r="W11" s="1" t="str">
        <f>IF(AND(AND(AND(W$4&gt;='2025'!$L11,W$4&lt;='2025'!$M11), W$4&lt;&gt;DATE(2025,7,4)), (SWITCH(weekday(W$4), 1, 0, 2, if(ISBLANK('2025'!$P11), 0, 1), 3, if(ISBLANK('2025'!$Q11), 0, 1), 4, if(ISBLANK('2025'!$R11), 0, 1), 5, if(ISBLANK('2025'!$S11), 0, 1), 6, if(ISBLANK('2025'!$T11), 0, 1), 7, 0))), 1, "")</f>
        <v/>
      </c>
      <c r="X11" s="1" t="str">
        <f>IF(AND(AND(AND(X$4&gt;='2025'!$L11,X$4&lt;='2025'!$M11), X$4&lt;&gt;DATE(2025,7,4)), (SWITCH(weekday(X$4), 1, 0, 2, if(ISBLANK('2025'!$P11), 0, 1), 3, if(ISBLANK('2025'!$Q11), 0, 1), 4, if(ISBLANK('2025'!$R11), 0, 1), 5, if(ISBLANK('2025'!$S11), 0, 1), 6, if(ISBLANK('2025'!$T11), 0, 1), 7, 0))), 1, "")</f>
        <v/>
      </c>
      <c r="Y11" s="1" t="str">
        <f>IF(AND(AND(AND(Y$4&gt;='2025'!$L11,Y$4&lt;='2025'!$M11), Y$4&lt;&gt;DATE(2025,7,4)), (SWITCH(weekday(Y$4), 1, 0, 2, if(ISBLANK('2025'!$P11), 0, 1), 3, if(ISBLANK('2025'!$Q11), 0, 1), 4, if(ISBLANK('2025'!$R11), 0, 1), 5, if(ISBLANK('2025'!$S11), 0, 1), 6, if(ISBLANK('2025'!$T11), 0, 1), 7, 0))), 1, "")</f>
        <v/>
      </c>
      <c r="Z11" s="1" t="str">
        <f>IF(AND(AND(AND(Z$4&gt;='2025'!$L11,Z$4&lt;='2025'!$M11), Z$4&lt;&gt;DATE(2025,7,4)), (SWITCH(weekday(Z$4), 1, 0, 2, if(ISBLANK('2025'!$P11), 0, 1), 3, if(ISBLANK('2025'!$Q11), 0, 1), 4, if(ISBLANK('2025'!$R11), 0, 1), 5, if(ISBLANK('2025'!$S11), 0, 1), 6, if(ISBLANK('2025'!$T11), 0, 1), 7, 0))), 1, "")</f>
        <v/>
      </c>
      <c r="AA11" s="1" t="str">
        <f>IF(AND(AND(AND(AA$4&gt;='2025'!$L11,AA$4&lt;='2025'!$M11), AA$4&lt;&gt;DATE(2025,7,4)), (SWITCH(weekday(AA$4), 1, 0, 2, if(ISBLANK('2025'!$P11), 0, 1), 3, if(ISBLANK('2025'!$Q11), 0, 1), 4, if(ISBLANK('2025'!$R11), 0, 1), 5, if(ISBLANK('2025'!$S11), 0, 1), 6, if(ISBLANK('2025'!$T11), 0, 1), 7, 0))), 1, "")</f>
        <v/>
      </c>
      <c r="AB11" s="1" t="str">
        <f>IF(AND(AND(AND(AB$4&gt;='2025'!$L11,AB$4&lt;='2025'!$M11), AB$4&lt;&gt;DATE(2025,7,4)), (SWITCH(weekday(AB$4), 1, 0, 2, if(ISBLANK('2025'!$P11), 0, 1), 3, if(ISBLANK('2025'!$Q11), 0, 1), 4, if(ISBLANK('2025'!$R11), 0, 1), 5, if(ISBLANK('2025'!$S11), 0, 1), 6, if(ISBLANK('2025'!$T11), 0, 1), 7, 0))), 1, "")</f>
        <v/>
      </c>
      <c r="AC11" s="1" t="str">
        <f>IF(AND(AND(AND(AC$4&gt;='2025'!$L11,AC$4&lt;='2025'!$M11), AC$4&lt;&gt;DATE(2025,7,4)), (SWITCH(weekday(AC$4), 1, 0, 2, if(ISBLANK('2025'!$P11), 0, 1), 3, if(ISBLANK('2025'!$Q11), 0, 1), 4, if(ISBLANK('2025'!$R11), 0, 1), 5, if(ISBLANK('2025'!$S11), 0, 1), 6, if(ISBLANK('2025'!$T11), 0, 1), 7, 0))), 1, "")</f>
        <v/>
      </c>
      <c r="AD11" s="1" t="str">
        <f>IF(AND(AND(AND(AD$4&gt;='2025'!$L11,AD$4&lt;='2025'!$M11), AD$4&lt;&gt;DATE(2025,7,4)), (SWITCH(weekday(AD$4), 1, 0, 2, if(ISBLANK('2025'!$P11), 0, 1), 3, if(ISBLANK('2025'!$Q11), 0, 1), 4, if(ISBLANK('2025'!$R11), 0, 1), 5, if(ISBLANK('2025'!$S11), 0, 1), 6, if(ISBLANK('2025'!$T11), 0, 1), 7, 0))), 1, "")</f>
        <v/>
      </c>
      <c r="AE11" s="1" t="str">
        <f>IF(AND(AND(AND(AE$4&gt;='2025'!$L11,AE$4&lt;='2025'!$M11), AE$4&lt;&gt;DATE(2025,7,4)), (SWITCH(weekday(AE$4), 1, 0, 2, if(ISBLANK('2025'!$P11), 0, 1), 3, if(ISBLANK('2025'!$Q11), 0, 1), 4, if(ISBLANK('2025'!$R11), 0, 1), 5, if(ISBLANK('2025'!$S11), 0, 1), 6, if(ISBLANK('2025'!$T11), 0, 1), 7, 0))), 1, "")</f>
        <v/>
      </c>
      <c r="AF11" s="1" t="str">
        <f>IF(AND(AND(AND(AF$4&gt;='2025'!$L11,AF$4&lt;='2025'!$M11), AF$4&lt;&gt;DATE(2025,7,4)), (SWITCH(weekday(AF$4), 1, 0, 2, if(ISBLANK('2025'!$P11), 0, 1), 3, if(ISBLANK('2025'!$Q11), 0, 1), 4, if(ISBLANK('2025'!$R11), 0, 1), 5, if(ISBLANK('2025'!$S11), 0, 1), 6, if(ISBLANK('2025'!$T11), 0, 1), 7, 0))), 1, "")</f>
        <v/>
      </c>
      <c r="AG11" s="1" t="str">
        <f>IF(AND(AND(AND(AG$4&gt;='2025'!$L11,AG$4&lt;='2025'!$M11), AG$4&lt;&gt;DATE(2025,7,4)), (SWITCH(weekday(AG$4), 1, 0, 2, if(ISBLANK('2025'!$P11), 0, 1), 3, if(ISBLANK('2025'!$Q11), 0, 1), 4, if(ISBLANK('2025'!$R11), 0, 1), 5, if(ISBLANK('2025'!$S11), 0, 1), 6, if(ISBLANK('2025'!$T11), 0, 1), 7, 0))), 1, "")</f>
        <v/>
      </c>
      <c r="AH11" s="1" t="str">
        <f>IF(AND(AND(AND(AH$4&gt;='2025'!$L11,AH$4&lt;='2025'!$M11), AH$4&lt;&gt;DATE(2025,7,4)), (SWITCH(weekday(AH$4), 1, 0, 2, if(ISBLANK('2025'!$P11), 0, 1), 3, if(ISBLANK('2025'!$Q11), 0, 1), 4, if(ISBLANK('2025'!$R11), 0, 1), 5, if(ISBLANK('2025'!$S11), 0, 1), 6, if(ISBLANK('2025'!$T11), 0, 1), 7, 0))), 1, "")</f>
        <v/>
      </c>
      <c r="AI11" s="1" t="str">
        <f>IF(AND(AND(AND(AI$4&gt;='2025'!$L11,AI$4&lt;='2025'!$M11), AI$4&lt;&gt;DATE(2025,7,4)), (SWITCH(weekday(AI$4), 1, 0, 2, if(ISBLANK('2025'!$P11), 0, 1), 3, if(ISBLANK('2025'!$Q11), 0, 1), 4, if(ISBLANK('2025'!$R11), 0, 1), 5, if(ISBLANK('2025'!$S11), 0, 1), 6, if(ISBLANK('2025'!$T11), 0, 1), 7, 0))), 1, "")</f>
        <v/>
      </c>
      <c r="AJ11" s="1" t="str">
        <f>IF(AND(AND(AND(AJ$4&gt;='2025'!$L11,AJ$4&lt;='2025'!$M11), AJ$4&lt;&gt;DATE(2025,7,4)), (SWITCH(weekday(AJ$4), 1, 0, 2, if(ISBLANK('2025'!$P11), 0, 1), 3, if(ISBLANK('2025'!$Q11), 0, 1), 4, if(ISBLANK('2025'!$R11), 0, 1), 5, if(ISBLANK('2025'!$S11), 0, 1), 6, if(ISBLANK('2025'!$T11), 0, 1), 7, 0))), 1, "")</f>
        <v/>
      </c>
      <c r="AK11" s="1" t="str">
        <f>IF(AND(AND(AND(AK$4&gt;='2025'!$L11,AK$4&lt;='2025'!$M11), AK$4&lt;&gt;DATE(2025,7,4)), (SWITCH(weekday(AK$4), 1, 0, 2, if(ISBLANK('2025'!$P11), 0, 1), 3, if(ISBLANK('2025'!$Q11), 0, 1), 4, if(ISBLANK('2025'!$R11), 0, 1), 5, if(ISBLANK('2025'!$S11), 0, 1), 6, if(ISBLANK('2025'!$T11), 0, 1), 7, 0))), 1, "")</f>
        <v/>
      </c>
      <c r="AL11" s="1" t="str">
        <f>IF(AND(AND(AND(AL$4&gt;='2025'!$L11,AL$4&lt;='2025'!$M11), AL$4&lt;&gt;DATE(2025,7,4)), (SWITCH(weekday(AL$4), 1, 0, 2, if(ISBLANK('2025'!$P11), 0, 1), 3, if(ISBLANK('2025'!$Q11), 0, 1), 4, if(ISBLANK('2025'!$R11), 0, 1), 5, if(ISBLANK('2025'!$S11), 0, 1), 6, if(ISBLANK('2025'!$T11), 0, 1), 7, 0))), 1, "")</f>
        <v/>
      </c>
      <c r="AM11" s="1" t="str">
        <f>IF(AND(AND(AND(AM$4&gt;='2025'!$L11,AM$4&lt;='2025'!$M11), AM$4&lt;&gt;DATE(2025,7,4)), (SWITCH(weekday(AM$4), 1, 0, 2, if(ISBLANK('2025'!$P11), 0, 1), 3, if(ISBLANK('2025'!$Q11), 0, 1), 4, if(ISBLANK('2025'!$R11), 0, 1), 5, if(ISBLANK('2025'!$S11), 0, 1), 6, if(ISBLANK('2025'!$T11), 0, 1), 7, 0))), 1, "")</f>
        <v/>
      </c>
      <c r="AN11" s="1" t="str">
        <f>IF(AND(AND(AND(AN$4&gt;='2025'!$L11,AN$4&lt;='2025'!$M11), AN$4&lt;&gt;DATE(2025,7,4)), (SWITCH(weekday(AN$4), 1, 0, 2, if(ISBLANK('2025'!$P11), 0, 1), 3, if(ISBLANK('2025'!$Q11), 0, 1), 4, if(ISBLANK('2025'!$R11), 0, 1), 5, if(ISBLANK('2025'!$S11), 0, 1), 6, if(ISBLANK('2025'!$T11), 0, 1), 7, 0))), 1, "")</f>
        <v/>
      </c>
      <c r="AO11" s="1" t="str">
        <f>IF(AND(AND(AND(AO$4&gt;='2025'!$L11,AO$4&lt;='2025'!$M11), AO$4&lt;&gt;DATE(2025,7,4)), (SWITCH(weekday(AO$4), 1, 0, 2, if(ISBLANK('2025'!$P11), 0, 1), 3, if(ISBLANK('2025'!$Q11), 0, 1), 4, if(ISBLANK('2025'!$R11), 0, 1), 5, if(ISBLANK('2025'!$S11), 0, 1), 6, if(ISBLANK('2025'!$T11), 0, 1), 7, 0))), 1, "")</f>
        <v/>
      </c>
      <c r="AP11" s="1" t="str">
        <f>IF(AND(AND(AND(AP$4&gt;='2025'!$L11,AP$4&lt;='2025'!$M11), AP$4&lt;&gt;DATE(2025,7,4)), (SWITCH(weekday(AP$4), 1, 0, 2, if(ISBLANK('2025'!$P11), 0, 1), 3, if(ISBLANK('2025'!$Q11), 0, 1), 4, if(ISBLANK('2025'!$R11), 0, 1), 5, if(ISBLANK('2025'!$S11), 0, 1), 6, if(ISBLANK('2025'!$T11), 0, 1), 7, 0))), 1, "")</f>
        <v/>
      </c>
      <c r="AQ11" s="1" t="str">
        <f>IF(AND(AND(AND(AQ$4&gt;='2025'!$L11,AQ$4&lt;='2025'!$M11), AQ$4&lt;&gt;DATE(2025,7,4)), (SWITCH(weekday(AQ$4), 1, 0, 2, if(ISBLANK('2025'!$P11), 0, 1), 3, if(ISBLANK('2025'!$Q11), 0, 1), 4, if(ISBLANK('2025'!$R11), 0, 1), 5, if(ISBLANK('2025'!$S11), 0, 1), 6, if(ISBLANK('2025'!$T11), 0, 1), 7, 0))), 1, "")</f>
        <v/>
      </c>
      <c r="AR11" s="1" t="str">
        <f>IF(AND(AND(AND(AR$4&gt;='2025'!$L11,AR$4&lt;='2025'!$M11), AR$4&lt;&gt;DATE(2025,7,4)), (SWITCH(weekday(AR$4), 1, 0, 2, if(ISBLANK('2025'!$P11), 0, 1), 3, if(ISBLANK('2025'!$Q11), 0, 1), 4, if(ISBLANK('2025'!$R11), 0, 1), 5, if(ISBLANK('2025'!$S11), 0, 1), 6, if(ISBLANK('2025'!$T11), 0, 1), 7, 0))), 1, "")</f>
        <v/>
      </c>
      <c r="AS11" s="1" t="str">
        <f>IF(AND(AND(AND(AS$4&gt;='2025'!$L11,AS$4&lt;='2025'!$M11), AS$4&lt;&gt;DATE(2025,7,4)), (SWITCH(weekday(AS$4), 1, 0, 2, if(ISBLANK('2025'!$P11), 0, 1), 3, if(ISBLANK('2025'!$Q11), 0, 1), 4, if(ISBLANK('2025'!$R11), 0, 1), 5, if(ISBLANK('2025'!$S11), 0, 1), 6, if(ISBLANK('2025'!$T11), 0, 1), 7, 0))), 1, "")</f>
        <v/>
      </c>
      <c r="AT11" s="1" t="str">
        <f>IF(AND(AND(AND(AT$4&gt;='2025'!$L11,AT$4&lt;='2025'!$M11), AT$4&lt;&gt;DATE(2025,7,4)), (SWITCH(weekday(AT$4), 1, 0, 2, if(ISBLANK('2025'!$P11), 0, 1), 3, if(ISBLANK('2025'!$Q11), 0, 1), 4, if(ISBLANK('2025'!$R11), 0, 1), 5, if(ISBLANK('2025'!$S11), 0, 1), 6, if(ISBLANK('2025'!$T11), 0, 1), 7, 0))), 1, "")</f>
        <v/>
      </c>
      <c r="AU11" s="1" t="str">
        <f>IF(AND(AND(AND(AU$4&gt;='2025'!$L11,AU$4&lt;='2025'!$M11), AU$4&lt;&gt;DATE(2025,7,4)), (SWITCH(weekday(AU$4), 1, 0, 2, if(ISBLANK('2025'!$P11), 0, 1), 3, if(ISBLANK('2025'!$Q11), 0, 1), 4, if(ISBLANK('2025'!$R11), 0, 1), 5, if(ISBLANK('2025'!$S11), 0, 1), 6, if(ISBLANK('2025'!$T11), 0, 1), 7, 0))), 1, "")</f>
        <v/>
      </c>
      <c r="AV11" s="1" t="str">
        <f>IF(AND(AND(AND(AV$4&gt;='2025'!$L11,AV$4&lt;='2025'!$M11), AV$4&lt;&gt;DATE(2025,7,4)), (SWITCH(weekday(AV$4), 1, 0, 2, if(ISBLANK('2025'!$P11), 0, 1), 3, if(ISBLANK('2025'!$Q11), 0, 1), 4, if(ISBLANK('2025'!$R11), 0, 1), 5, if(ISBLANK('2025'!$S11), 0, 1), 6, if(ISBLANK('2025'!$T11), 0, 1), 7, 0))), 1, "")</f>
        <v/>
      </c>
      <c r="AW11" s="1" t="str">
        <f>IF(AND(AND(AND(AW$4&gt;='2025'!$L11,AW$4&lt;='2025'!$M11), AW$4&lt;&gt;DATE(2025,7,4)), (SWITCH(weekday(AW$4), 1, 0, 2, if(ISBLANK('2025'!$P11), 0, 1), 3, if(ISBLANK('2025'!$Q11), 0, 1), 4, if(ISBLANK('2025'!$R11), 0, 1), 5, if(ISBLANK('2025'!$S11), 0, 1), 6, if(ISBLANK('2025'!$T11), 0, 1), 7, 0))), 1, "")</f>
        <v/>
      </c>
      <c r="AX11" s="1" t="str">
        <f>IF(AND(AND(AND(AX$4&gt;='2025'!$L11,AX$4&lt;='2025'!$M11), AX$4&lt;&gt;DATE(2025,7,4)), (SWITCH(weekday(AX$4), 1, 0, 2, if(ISBLANK('2025'!$P11), 0, 1), 3, if(ISBLANK('2025'!$Q11), 0, 1), 4, if(ISBLANK('2025'!$R11), 0, 1), 5, if(ISBLANK('2025'!$S11), 0, 1), 6, if(ISBLANK('2025'!$T11), 0, 1), 7, 0))), 1, "")</f>
        <v/>
      </c>
      <c r="AY11" s="1" t="str">
        <f>IF(AND(AND(AND(AY$4&gt;='2025'!$L11,AY$4&lt;='2025'!$M11), AY$4&lt;&gt;DATE(2025,7,4)), (SWITCH(weekday(AY$4), 1, 0, 2, if(ISBLANK('2025'!$P11), 0, 1), 3, if(ISBLANK('2025'!$Q11), 0, 1), 4, if(ISBLANK('2025'!$R11), 0, 1), 5, if(ISBLANK('2025'!$S11), 0, 1), 6, if(ISBLANK('2025'!$T11), 0, 1), 7, 0))), 1, "")</f>
        <v/>
      </c>
      <c r="AZ11" s="1" t="str">
        <f>IF(AND(AND(AND(AZ$4&gt;='2025'!$L11,AZ$4&lt;='2025'!$M11), AZ$4&lt;&gt;DATE(2025,7,4)), (SWITCH(weekday(AZ$4), 1, 0, 2, if(ISBLANK('2025'!$P11), 0, 1), 3, if(ISBLANK('2025'!$Q11), 0, 1), 4, if(ISBLANK('2025'!$R11), 0, 1), 5, if(ISBLANK('2025'!$S11), 0, 1), 6, if(ISBLANK('2025'!$T11), 0, 1), 7, 0))), 1, "")</f>
        <v/>
      </c>
      <c r="BA11" s="1" t="str">
        <f>IF(AND(AND(AND(BA$4&gt;='2025'!$L11,BA$4&lt;='2025'!$M11), BA$4&lt;&gt;DATE(2025,7,4)), (SWITCH(weekday(BA$4), 1, 0, 2, if(ISBLANK('2025'!$P11), 0, 1), 3, if(ISBLANK('2025'!$Q11), 0, 1), 4, if(ISBLANK('2025'!$R11), 0, 1), 5, if(ISBLANK('2025'!$S11), 0, 1), 6, if(ISBLANK('2025'!$T11), 0, 1), 7, 0))), 1, "")</f>
        <v/>
      </c>
      <c r="BB11" s="1" t="str">
        <f>IF(AND(AND(AND(BB$4&gt;='2025'!$L11,BB$4&lt;='2025'!$M11), BB$4&lt;&gt;DATE(2025,7,4)), (SWITCH(weekday(BB$4), 1, 0, 2, if(ISBLANK('2025'!$P11), 0, 1), 3, if(ISBLANK('2025'!$Q11), 0, 1), 4, if(ISBLANK('2025'!$R11), 0, 1), 5, if(ISBLANK('2025'!$S11), 0, 1), 6, if(ISBLANK('2025'!$T11), 0, 1), 7, 0))), 1, "")</f>
        <v/>
      </c>
      <c r="BC11" s="1" t="str">
        <f>IF(AND(AND(AND(BC$4&gt;='2025'!$L11,BC$4&lt;='2025'!$M11), BC$4&lt;&gt;DATE(2025,7,4)), (SWITCH(weekday(BC$4), 1, 0, 2, if(ISBLANK('2025'!$P11), 0, 1), 3, if(ISBLANK('2025'!$Q11), 0, 1), 4, if(ISBLANK('2025'!$R11), 0, 1), 5, if(ISBLANK('2025'!$S11), 0, 1), 6, if(ISBLANK('2025'!$T11), 0, 1), 7, 0))), 1, "")</f>
        <v/>
      </c>
      <c r="BD11" s="1" t="str">
        <f>IF(AND(AND(AND(BD$4&gt;='2025'!$L11,BD$4&lt;='2025'!$M11), BD$4&lt;&gt;DATE(2025,7,4)), (SWITCH(weekday(BD$4), 1, 0, 2, if(ISBLANK('2025'!$P11), 0, 1), 3, if(ISBLANK('2025'!$Q11), 0, 1), 4, if(ISBLANK('2025'!$R11), 0, 1), 5, if(ISBLANK('2025'!$S11), 0, 1), 6, if(ISBLANK('2025'!$T11), 0, 1), 7, 0))), 1, "")</f>
        <v/>
      </c>
      <c r="BE11" s="1" t="str">
        <f>IF(AND(AND(AND(BE$4&gt;='2025'!$L11,BE$4&lt;='2025'!$M11), BE$4&lt;&gt;DATE(2025,7,4)), (SWITCH(weekday(BE$4), 1, 0, 2, if(ISBLANK('2025'!$P11), 0, 1), 3, if(ISBLANK('2025'!$Q11), 0, 1), 4, if(ISBLANK('2025'!$R11), 0, 1), 5, if(ISBLANK('2025'!$S11), 0, 1), 6, if(ISBLANK('2025'!$T11), 0, 1), 7, 0))), 1, "")</f>
        <v/>
      </c>
      <c r="BF11" s="1" t="str">
        <f>IF(AND(AND(AND(BF$4&gt;='2025'!$L11,BF$4&lt;='2025'!$M11), BF$4&lt;&gt;DATE(2025,7,4)), (SWITCH(weekday(BF$4), 1, 0, 2, if(ISBLANK('2025'!$P11), 0, 1), 3, if(ISBLANK('2025'!$Q11), 0, 1), 4, if(ISBLANK('2025'!$R11), 0, 1), 5, if(ISBLANK('2025'!$S11), 0, 1), 6, if(ISBLANK('2025'!$T11), 0, 1), 7, 0))), 1, "")</f>
        <v/>
      </c>
      <c r="BG11" s="1"/>
      <c r="BH11" s="1"/>
      <c r="BI11" s="1"/>
      <c r="BJ11" s="1"/>
      <c r="BK11" s="1"/>
      <c r="BL11" s="1"/>
    </row>
    <row r="12">
      <c r="A12" s="1">
        <f t="shared" si="3"/>
        <v>12</v>
      </c>
      <c r="B12" s="1" t="str">
        <f>'2025'!D12</f>
        <v>Salazar, Alex</v>
      </c>
      <c r="C12" s="1" t="str">
        <f>'2025'!H12</f>
        <v>PK3.1</v>
      </c>
      <c r="D12" s="1" t="str">
        <f>IF(AND(AND(AND(D$4&gt;='2025'!$L12,D$4&lt;='2025'!$M12), D$4&lt;&gt;DATE(2025,7,4)), (SWITCH(weekday(D$4), 1, 0, 2, if(ISBLANK('2025'!$P12), 0, 1), 3, if(ISBLANK('2025'!$Q12), 0, 1), 4, if(ISBLANK('2025'!$R12), 0, 1), 5, if(ISBLANK('2025'!$S12), 0, 1), 6, if(ISBLANK('2025'!$T12), 0, 1), 7, 0))), 1, "")</f>
        <v/>
      </c>
      <c r="E12" s="1" t="str">
        <f>IF(AND(AND(AND(E$4&gt;='2025'!$L12,E$4&lt;='2025'!$M12), E$4&lt;&gt;DATE(2025,7,4)), (SWITCH(weekday(E$4), 1, 0, 2, if(ISBLANK('2025'!$P12), 0, 1), 3, if(ISBLANK('2025'!$Q12), 0, 1), 4, if(ISBLANK('2025'!$R12), 0, 1), 5, if(ISBLANK('2025'!$S12), 0, 1), 6, if(ISBLANK('2025'!$T12), 0, 1), 7, 0))), 1, "")</f>
        <v/>
      </c>
      <c r="F12" s="1" t="str">
        <f>IF(AND(AND(AND(F$4&gt;='2025'!$L12,F$4&lt;='2025'!$M12), F$4&lt;&gt;DATE(2025,7,4)), (SWITCH(weekday(F$4), 1, 0, 2, if(ISBLANK('2025'!$P12), 0, 1), 3, if(ISBLANK('2025'!$Q12), 0, 1), 4, if(ISBLANK('2025'!$R12), 0, 1), 5, if(ISBLANK('2025'!$S12), 0, 1), 6, if(ISBLANK('2025'!$T12), 0, 1), 7, 0))), 1, "")</f>
        <v/>
      </c>
      <c r="G12" s="1" t="str">
        <f>IF(AND(AND(AND(G$4&gt;='2025'!$L12,G$4&lt;='2025'!$M12), G$4&lt;&gt;DATE(2025,7,4)), (SWITCH(weekday(G$4), 1, 0, 2, if(ISBLANK('2025'!$P12), 0, 1), 3, if(ISBLANK('2025'!$Q12), 0, 1), 4, if(ISBLANK('2025'!$R12), 0, 1), 5, if(ISBLANK('2025'!$S12), 0, 1), 6, if(ISBLANK('2025'!$T12), 0, 1), 7, 0))), 1, "")</f>
        <v/>
      </c>
      <c r="H12" s="1" t="str">
        <f>IF(AND(AND(AND(H$4&gt;='2025'!$L12,H$4&lt;='2025'!$M12), H$4&lt;&gt;DATE(2025,7,4)), (SWITCH(weekday(H$4), 1, 0, 2, if(ISBLANK('2025'!$P12), 0, 1), 3, if(ISBLANK('2025'!$Q12), 0, 1), 4, if(ISBLANK('2025'!$R12), 0, 1), 5, if(ISBLANK('2025'!$S12), 0, 1), 6, if(ISBLANK('2025'!$T12), 0, 1), 7, 0))), 1, "")</f>
        <v/>
      </c>
      <c r="I12" s="1" t="str">
        <f>IF(AND(AND(AND(I$4&gt;='2025'!$L12,I$4&lt;='2025'!$M12), I$4&lt;&gt;DATE(2025,7,4)), (SWITCH(weekday(I$4), 1, 0, 2, if(ISBLANK('2025'!$P12), 0, 1), 3, if(ISBLANK('2025'!$Q12), 0, 1), 4, if(ISBLANK('2025'!$R12), 0, 1), 5, if(ISBLANK('2025'!$S12), 0, 1), 6, if(ISBLANK('2025'!$T12), 0, 1), 7, 0))), 1, "")</f>
        <v/>
      </c>
      <c r="J12" s="1" t="str">
        <f>IF(AND(AND(AND(J$4&gt;='2025'!$L12,J$4&lt;='2025'!$M12), J$4&lt;&gt;DATE(2025,7,4)), (SWITCH(weekday(J$4), 1, 0, 2, if(ISBLANK('2025'!$P12), 0, 1), 3, if(ISBLANK('2025'!$Q12), 0, 1), 4, if(ISBLANK('2025'!$R12), 0, 1), 5, if(ISBLANK('2025'!$S12), 0, 1), 6, if(ISBLANK('2025'!$T12), 0, 1), 7, 0))), 1, "")</f>
        <v/>
      </c>
      <c r="K12" s="1" t="str">
        <f>IF(AND(AND(AND(K$4&gt;='2025'!$L12,K$4&lt;='2025'!$M12), K$4&lt;&gt;DATE(2025,7,4)), (SWITCH(weekday(K$4), 1, 0, 2, if(ISBLANK('2025'!$P12), 0, 1), 3, if(ISBLANK('2025'!$Q12), 0, 1), 4, if(ISBLANK('2025'!$R12), 0, 1), 5, if(ISBLANK('2025'!$S12), 0, 1), 6, if(ISBLANK('2025'!$T12), 0, 1), 7, 0))), 1, "")</f>
        <v/>
      </c>
      <c r="L12" s="1" t="str">
        <f>IF(AND(AND(AND(L$4&gt;='2025'!$L12,L$4&lt;='2025'!$M12), L$4&lt;&gt;DATE(2025,7,4)), (SWITCH(weekday(L$4), 1, 0, 2, if(ISBLANK('2025'!$P12), 0, 1), 3, if(ISBLANK('2025'!$Q12), 0, 1), 4, if(ISBLANK('2025'!$R12), 0, 1), 5, if(ISBLANK('2025'!$S12), 0, 1), 6, if(ISBLANK('2025'!$T12), 0, 1), 7, 0))), 1, "")</f>
        <v/>
      </c>
      <c r="M12" s="1" t="str">
        <f>IF(AND(AND(AND(M$4&gt;='2025'!$L12,M$4&lt;='2025'!$M12), M$4&lt;&gt;DATE(2025,7,4)), (SWITCH(weekday(M$4), 1, 0, 2, if(ISBLANK('2025'!$P12), 0, 1), 3, if(ISBLANK('2025'!$Q12), 0, 1), 4, if(ISBLANK('2025'!$R12), 0, 1), 5, if(ISBLANK('2025'!$S12), 0, 1), 6, if(ISBLANK('2025'!$T12), 0, 1), 7, 0))), 1, "")</f>
        <v/>
      </c>
      <c r="N12" s="1" t="str">
        <f>IF(AND(AND(AND(N$4&gt;='2025'!$L12,N$4&lt;='2025'!$M12), N$4&lt;&gt;DATE(2025,7,4)), (SWITCH(weekday(N$4), 1, 0, 2, if(ISBLANK('2025'!$P12), 0, 1), 3, if(ISBLANK('2025'!$Q12), 0, 1), 4, if(ISBLANK('2025'!$R12), 0, 1), 5, if(ISBLANK('2025'!$S12), 0, 1), 6, if(ISBLANK('2025'!$T12), 0, 1), 7, 0))), 1, "")</f>
        <v/>
      </c>
      <c r="O12" s="1" t="str">
        <f>IF(AND(AND(AND(O$4&gt;='2025'!$L12,O$4&lt;='2025'!$M12), O$4&lt;&gt;DATE(2025,7,4)), (SWITCH(weekday(O$4), 1, 0, 2, if(ISBLANK('2025'!$P12), 0, 1), 3, if(ISBLANK('2025'!$Q12), 0, 1), 4, if(ISBLANK('2025'!$R12), 0, 1), 5, if(ISBLANK('2025'!$S12), 0, 1), 6, if(ISBLANK('2025'!$T12), 0, 1), 7, 0))), 1, "")</f>
        <v/>
      </c>
      <c r="P12" s="1" t="str">
        <f>IF(AND(AND(AND(P$4&gt;='2025'!$L12,P$4&lt;='2025'!$M12), P$4&lt;&gt;DATE(2025,7,4)), (SWITCH(weekday(P$4), 1, 0, 2, if(ISBLANK('2025'!$P12), 0, 1), 3, if(ISBLANK('2025'!$Q12), 0, 1), 4, if(ISBLANK('2025'!$R12), 0, 1), 5, if(ISBLANK('2025'!$S12), 0, 1), 6, if(ISBLANK('2025'!$T12), 0, 1), 7, 0))), 1, "")</f>
        <v/>
      </c>
      <c r="Q12" s="1" t="str">
        <f>IF(AND(AND(AND(Q$4&gt;='2025'!$L12,Q$4&lt;='2025'!$M12), Q$4&lt;&gt;DATE(2025,7,4)), (SWITCH(weekday(Q$4), 1, 0, 2, if(ISBLANK('2025'!$P12), 0, 1), 3, if(ISBLANK('2025'!$Q12), 0, 1), 4, if(ISBLANK('2025'!$R12), 0, 1), 5, if(ISBLANK('2025'!$S12), 0, 1), 6, if(ISBLANK('2025'!$T12), 0, 1), 7, 0))), 1, "")</f>
        <v/>
      </c>
      <c r="R12" s="1" t="str">
        <f>IF(AND(AND(AND(R$4&gt;='2025'!$L12,R$4&lt;='2025'!$M12), R$4&lt;&gt;DATE(2025,7,4)), (SWITCH(weekday(R$4), 1, 0, 2, if(ISBLANK('2025'!$P12), 0, 1), 3, if(ISBLANK('2025'!$Q12), 0, 1), 4, if(ISBLANK('2025'!$R12), 0, 1), 5, if(ISBLANK('2025'!$S12), 0, 1), 6, if(ISBLANK('2025'!$T12), 0, 1), 7, 0))), 1, "")</f>
        <v/>
      </c>
      <c r="S12" s="1" t="str">
        <f>IF(AND(AND(AND(S$4&gt;='2025'!$L12,S$4&lt;='2025'!$M12), S$4&lt;&gt;DATE(2025,7,4)), (SWITCH(weekday(S$4), 1, 0, 2, if(ISBLANK('2025'!$P12), 0, 1), 3, if(ISBLANK('2025'!$Q12), 0, 1), 4, if(ISBLANK('2025'!$R12), 0, 1), 5, if(ISBLANK('2025'!$S12), 0, 1), 6, if(ISBLANK('2025'!$T12), 0, 1), 7, 0))), 1, "")</f>
        <v/>
      </c>
      <c r="T12" s="1" t="str">
        <f>IF(AND(AND(AND(T$4&gt;='2025'!$L12,T$4&lt;='2025'!$M12), T$4&lt;&gt;DATE(2025,7,4)), (SWITCH(weekday(T$4), 1, 0, 2, if(ISBLANK('2025'!$P12), 0, 1), 3, if(ISBLANK('2025'!$Q12), 0, 1), 4, if(ISBLANK('2025'!$R12), 0, 1), 5, if(ISBLANK('2025'!$S12), 0, 1), 6, if(ISBLANK('2025'!$T12), 0, 1), 7, 0))), 1, "")</f>
        <v/>
      </c>
      <c r="U12" s="1" t="str">
        <f>IF(AND(AND(AND(U$4&gt;='2025'!$L12,U$4&lt;='2025'!$M12), U$4&lt;&gt;DATE(2025,7,4)), (SWITCH(weekday(U$4), 1, 0, 2, if(ISBLANK('2025'!$P12), 0, 1), 3, if(ISBLANK('2025'!$Q12), 0, 1), 4, if(ISBLANK('2025'!$R12), 0, 1), 5, if(ISBLANK('2025'!$S12), 0, 1), 6, if(ISBLANK('2025'!$T12), 0, 1), 7, 0))), 1, "")</f>
        <v/>
      </c>
      <c r="V12" s="1" t="str">
        <f>IF(AND(AND(AND(V$4&gt;='2025'!$L12,V$4&lt;='2025'!$M12), V$4&lt;&gt;DATE(2025,7,4)), (SWITCH(weekday(V$4), 1, 0, 2, if(ISBLANK('2025'!$P12), 0, 1), 3, if(ISBLANK('2025'!$Q12), 0, 1), 4, if(ISBLANK('2025'!$R12), 0, 1), 5, if(ISBLANK('2025'!$S12), 0, 1), 6, if(ISBLANK('2025'!$T12), 0, 1), 7, 0))), 1, "")</f>
        <v/>
      </c>
      <c r="W12" s="1" t="str">
        <f>IF(AND(AND(AND(W$4&gt;='2025'!$L12,W$4&lt;='2025'!$M12), W$4&lt;&gt;DATE(2025,7,4)), (SWITCH(weekday(W$4), 1, 0, 2, if(ISBLANK('2025'!$P12), 0, 1), 3, if(ISBLANK('2025'!$Q12), 0, 1), 4, if(ISBLANK('2025'!$R12), 0, 1), 5, if(ISBLANK('2025'!$S12), 0, 1), 6, if(ISBLANK('2025'!$T12), 0, 1), 7, 0))), 1, "")</f>
        <v/>
      </c>
      <c r="X12" s="1" t="str">
        <f>IF(AND(AND(AND(X$4&gt;='2025'!$L12,X$4&lt;='2025'!$M12), X$4&lt;&gt;DATE(2025,7,4)), (SWITCH(weekday(X$4), 1, 0, 2, if(ISBLANK('2025'!$P12), 0, 1), 3, if(ISBLANK('2025'!$Q12), 0, 1), 4, if(ISBLANK('2025'!$R12), 0, 1), 5, if(ISBLANK('2025'!$S12), 0, 1), 6, if(ISBLANK('2025'!$T12), 0, 1), 7, 0))), 1, "")</f>
        <v/>
      </c>
      <c r="Y12" s="1" t="str">
        <f>IF(AND(AND(AND(Y$4&gt;='2025'!$L12,Y$4&lt;='2025'!$M12), Y$4&lt;&gt;DATE(2025,7,4)), (SWITCH(weekday(Y$4), 1, 0, 2, if(ISBLANK('2025'!$P12), 0, 1), 3, if(ISBLANK('2025'!$Q12), 0, 1), 4, if(ISBLANK('2025'!$R12), 0, 1), 5, if(ISBLANK('2025'!$S12), 0, 1), 6, if(ISBLANK('2025'!$T12), 0, 1), 7, 0))), 1, "")</f>
        <v/>
      </c>
      <c r="Z12" s="1" t="str">
        <f>IF(AND(AND(AND(Z$4&gt;='2025'!$L12,Z$4&lt;='2025'!$M12), Z$4&lt;&gt;DATE(2025,7,4)), (SWITCH(weekday(Z$4), 1, 0, 2, if(ISBLANK('2025'!$P12), 0, 1), 3, if(ISBLANK('2025'!$Q12), 0, 1), 4, if(ISBLANK('2025'!$R12), 0, 1), 5, if(ISBLANK('2025'!$S12), 0, 1), 6, if(ISBLANK('2025'!$T12), 0, 1), 7, 0))), 1, "")</f>
        <v/>
      </c>
      <c r="AA12" s="1" t="str">
        <f>IF(AND(AND(AND(AA$4&gt;='2025'!$L12,AA$4&lt;='2025'!$M12), AA$4&lt;&gt;DATE(2025,7,4)), (SWITCH(weekday(AA$4), 1, 0, 2, if(ISBLANK('2025'!$P12), 0, 1), 3, if(ISBLANK('2025'!$Q12), 0, 1), 4, if(ISBLANK('2025'!$R12), 0, 1), 5, if(ISBLANK('2025'!$S12), 0, 1), 6, if(ISBLANK('2025'!$T12), 0, 1), 7, 0))), 1, "")</f>
        <v/>
      </c>
      <c r="AB12" s="1" t="str">
        <f>IF(AND(AND(AND(AB$4&gt;='2025'!$L12,AB$4&lt;='2025'!$M12), AB$4&lt;&gt;DATE(2025,7,4)), (SWITCH(weekday(AB$4), 1, 0, 2, if(ISBLANK('2025'!$P12), 0, 1), 3, if(ISBLANK('2025'!$Q12), 0, 1), 4, if(ISBLANK('2025'!$R12), 0, 1), 5, if(ISBLANK('2025'!$S12), 0, 1), 6, if(ISBLANK('2025'!$T12), 0, 1), 7, 0))), 1, "")</f>
        <v/>
      </c>
      <c r="AC12" s="1" t="str">
        <f>IF(AND(AND(AND(AC$4&gt;='2025'!$L12,AC$4&lt;='2025'!$M12), AC$4&lt;&gt;DATE(2025,7,4)), (SWITCH(weekday(AC$4), 1, 0, 2, if(ISBLANK('2025'!$P12), 0, 1), 3, if(ISBLANK('2025'!$Q12), 0, 1), 4, if(ISBLANK('2025'!$R12), 0, 1), 5, if(ISBLANK('2025'!$S12), 0, 1), 6, if(ISBLANK('2025'!$T12), 0, 1), 7, 0))), 1, "")</f>
        <v/>
      </c>
      <c r="AD12" s="1" t="str">
        <f>IF(AND(AND(AND(AD$4&gt;='2025'!$L12,AD$4&lt;='2025'!$M12), AD$4&lt;&gt;DATE(2025,7,4)), (SWITCH(weekday(AD$4), 1, 0, 2, if(ISBLANK('2025'!$P12), 0, 1), 3, if(ISBLANK('2025'!$Q12), 0, 1), 4, if(ISBLANK('2025'!$R12), 0, 1), 5, if(ISBLANK('2025'!$S12), 0, 1), 6, if(ISBLANK('2025'!$T12), 0, 1), 7, 0))), 1, "")</f>
        <v/>
      </c>
      <c r="AE12" s="1" t="str">
        <f>IF(AND(AND(AND(AE$4&gt;='2025'!$L12,AE$4&lt;='2025'!$M12), AE$4&lt;&gt;DATE(2025,7,4)), (SWITCH(weekday(AE$4), 1, 0, 2, if(ISBLANK('2025'!$P12), 0, 1), 3, if(ISBLANK('2025'!$Q12), 0, 1), 4, if(ISBLANK('2025'!$R12), 0, 1), 5, if(ISBLANK('2025'!$S12), 0, 1), 6, if(ISBLANK('2025'!$T12), 0, 1), 7, 0))), 1, "")</f>
        <v/>
      </c>
      <c r="AF12" s="1" t="str">
        <f>IF(AND(AND(AND(AF$4&gt;='2025'!$L12,AF$4&lt;='2025'!$M12), AF$4&lt;&gt;DATE(2025,7,4)), (SWITCH(weekday(AF$4), 1, 0, 2, if(ISBLANK('2025'!$P12), 0, 1), 3, if(ISBLANK('2025'!$Q12), 0, 1), 4, if(ISBLANK('2025'!$R12), 0, 1), 5, if(ISBLANK('2025'!$S12), 0, 1), 6, if(ISBLANK('2025'!$T12), 0, 1), 7, 0))), 1, "")</f>
        <v/>
      </c>
      <c r="AG12" s="1" t="str">
        <f>IF(AND(AND(AND(AG$4&gt;='2025'!$L12,AG$4&lt;='2025'!$M12), AG$4&lt;&gt;DATE(2025,7,4)), (SWITCH(weekday(AG$4), 1, 0, 2, if(ISBLANK('2025'!$P12), 0, 1), 3, if(ISBLANK('2025'!$Q12), 0, 1), 4, if(ISBLANK('2025'!$R12), 0, 1), 5, if(ISBLANK('2025'!$S12), 0, 1), 6, if(ISBLANK('2025'!$T12), 0, 1), 7, 0))), 1, "")</f>
        <v/>
      </c>
      <c r="AH12" s="1" t="str">
        <f>IF(AND(AND(AND(AH$4&gt;='2025'!$L12,AH$4&lt;='2025'!$M12), AH$4&lt;&gt;DATE(2025,7,4)), (SWITCH(weekday(AH$4), 1, 0, 2, if(ISBLANK('2025'!$P12), 0, 1), 3, if(ISBLANK('2025'!$Q12), 0, 1), 4, if(ISBLANK('2025'!$R12), 0, 1), 5, if(ISBLANK('2025'!$S12), 0, 1), 6, if(ISBLANK('2025'!$T12), 0, 1), 7, 0))), 1, "")</f>
        <v/>
      </c>
      <c r="AI12" s="1" t="str">
        <f>IF(AND(AND(AND(AI$4&gt;='2025'!$L12,AI$4&lt;='2025'!$M12), AI$4&lt;&gt;DATE(2025,7,4)), (SWITCH(weekday(AI$4), 1, 0, 2, if(ISBLANK('2025'!$P12), 0, 1), 3, if(ISBLANK('2025'!$Q12), 0, 1), 4, if(ISBLANK('2025'!$R12), 0, 1), 5, if(ISBLANK('2025'!$S12), 0, 1), 6, if(ISBLANK('2025'!$T12), 0, 1), 7, 0))), 1, "")</f>
        <v/>
      </c>
      <c r="AJ12" s="1" t="str">
        <f>IF(AND(AND(AND(AJ$4&gt;='2025'!$L12,AJ$4&lt;='2025'!$M12), AJ$4&lt;&gt;DATE(2025,7,4)), (SWITCH(weekday(AJ$4), 1, 0, 2, if(ISBLANK('2025'!$P12), 0, 1), 3, if(ISBLANK('2025'!$Q12), 0, 1), 4, if(ISBLANK('2025'!$R12), 0, 1), 5, if(ISBLANK('2025'!$S12), 0, 1), 6, if(ISBLANK('2025'!$T12), 0, 1), 7, 0))), 1, "")</f>
        <v/>
      </c>
      <c r="AK12" s="1" t="str">
        <f>IF(AND(AND(AND(AK$4&gt;='2025'!$L12,AK$4&lt;='2025'!$M12), AK$4&lt;&gt;DATE(2025,7,4)), (SWITCH(weekday(AK$4), 1, 0, 2, if(ISBLANK('2025'!$P12), 0, 1), 3, if(ISBLANK('2025'!$Q12), 0, 1), 4, if(ISBLANK('2025'!$R12), 0, 1), 5, if(ISBLANK('2025'!$S12), 0, 1), 6, if(ISBLANK('2025'!$T12), 0, 1), 7, 0))), 1, "")</f>
        <v/>
      </c>
      <c r="AL12" s="1" t="str">
        <f>IF(AND(AND(AND(AL$4&gt;='2025'!$L12,AL$4&lt;='2025'!$M12), AL$4&lt;&gt;DATE(2025,7,4)), (SWITCH(weekday(AL$4), 1, 0, 2, if(ISBLANK('2025'!$P12), 0, 1), 3, if(ISBLANK('2025'!$Q12), 0, 1), 4, if(ISBLANK('2025'!$R12), 0, 1), 5, if(ISBLANK('2025'!$S12), 0, 1), 6, if(ISBLANK('2025'!$T12), 0, 1), 7, 0))), 1, "")</f>
        <v/>
      </c>
      <c r="AM12" s="1" t="str">
        <f>IF(AND(AND(AND(AM$4&gt;='2025'!$L12,AM$4&lt;='2025'!$M12), AM$4&lt;&gt;DATE(2025,7,4)), (SWITCH(weekday(AM$4), 1, 0, 2, if(ISBLANK('2025'!$P12), 0, 1), 3, if(ISBLANK('2025'!$Q12), 0, 1), 4, if(ISBLANK('2025'!$R12), 0, 1), 5, if(ISBLANK('2025'!$S12), 0, 1), 6, if(ISBLANK('2025'!$T12), 0, 1), 7, 0))), 1, "")</f>
        <v/>
      </c>
      <c r="AN12" s="1" t="str">
        <f>IF(AND(AND(AND(AN$4&gt;='2025'!$L12,AN$4&lt;='2025'!$M12), AN$4&lt;&gt;DATE(2025,7,4)), (SWITCH(weekday(AN$4), 1, 0, 2, if(ISBLANK('2025'!$P12), 0, 1), 3, if(ISBLANK('2025'!$Q12), 0, 1), 4, if(ISBLANK('2025'!$R12), 0, 1), 5, if(ISBLANK('2025'!$S12), 0, 1), 6, if(ISBLANK('2025'!$T12), 0, 1), 7, 0))), 1, "")</f>
        <v/>
      </c>
      <c r="AO12" s="1" t="str">
        <f>IF(AND(AND(AND(AO$4&gt;='2025'!$L12,AO$4&lt;='2025'!$M12), AO$4&lt;&gt;DATE(2025,7,4)), (SWITCH(weekday(AO$4), 1, 0, 2, if(ISBLANK('2025'!$P12), 0, 1), 3, if(ISBLANK('2025'!$Q12), 0, 1), 4, if(ISBLANK('2025'!$R12), 0, 1), 5, if(ISBLANK('2025'!$S12), 0, 1), 6, if(ISBLANK('2025'!$T12), 0, 1), 7, 0))), 1, "")</f>
        <v/>
      </c>
      <c r="AP12" s="1" t="str">
        <f>IF(AND(AND(AND(AP$4&gt;='2025'!$L12,AP$4&lt;='2025'!$M12), AP$4&lt;&gt;DATE(2025,7,4)), (SWITCH(weekday(AP$4), 1, 0, 2, if(ISBLANK('2025'!$P12), 0, 1), 3, if(ISBLANK('2025'!$Q12), 0, 1), 4, if(ISBLANK('2025'!$R12), 0, 1), 5, if(ISBLANK('2025'!$S12), 0, 1), 6, if(ISBLANK('2025'!$T12), 0, 1), 7, 0))), 1, "")</f>
        <v/>
      </c>
      <c r="AQ12" s="1" t="str">
        <f>IF(AND(AND(AND(AQ$4&gt;='2025'!$L12,AQ$4&lt;='2025'!$M12), AQ$4&lt;&gt;DATE(2025,7,4)), (SWITCH(weekday(AQ$4), 1, 0, 2, if(ISBLANK('2025'!$P12), 0, 1), 3, if(ISBLANK('2025'!$Q12), 0, 1), 4, if(ISBLANK('2025'!$R12), 0, 1), 5, if(ISBLANK('2025'!$S12), 0, 1), 6, if(ISBLANK('2025'!$T12), 0, 1), 7, 0))), 1, "")</f>
        <v/>
      </c>
      <c r="AR12" s="1" t="str">
        <f>IF(AND(AND(AND(AR$4&gt;='2025'!$L12,AR$4&lt;='2025'!$M12), AR$4&lt;&gt;DATE(2025,7,4)), (SWITCH(weekday(AR$4), 1, 0, 2, if(ISBLANK('2025'!$P12), 0, 1), 3, if(ISBLANK('2025'!$Q12), 0, 1), 4, if(ISBLANK('2025'!$R12), 0, 1), 5, if(ISBLANK('2025'!$S12), 0, 1), 6, if(ISBLANK('2025'!$T12), 0, 1), 7, 0))), 1, "")</f>
        <v/>
      </c>
      <c r="AS12" s="1" t="str">
        <f>IF(AND(AND(AND(AS$4&gt;='2025'!$L12,AS$4&lt;='2025'!$M12), AS$4&lt;&gt;DATE(2025,7,4)), (SWITCH(weekday(AS$4), 1, 0, 2, if(ISBLANK('2025'!$P12), 0, 1), 3, if(ISBLANK('2025'!$Q12), 0, 1), 4, if(ISBLANK('2025'!$R12), 0, 1), 5, if(ISBLANK('2025'!$S12), 0, 1), 6, if(ISBLANK('2025'!$T12), 0, 1), 7, 0))), 1, "")</f>
        <v/>
      </c>
      <c r="AT12" s="1" t="str">
        <f>IF(AND(AND(AND(AT$4&gt;='2025'!$L12,AT$4&lt;='2025'!$M12), AT$4&lt;&gt;DATE(2025,7,4)), (SWITCH(weekday(AT$4), 1, 0, 2, if(ISBLANK('2025'!$P12), 0, 1), 3, if(ISBLANK('2025'!$Q12), 0, 1), 4, if(ISBLANK('2025'!$R12), 0, 1), 5, if(ISBLANK('2025'!$S12), 0, 1), 6, if(ISBLANK('2025'!$T12), 0, 1), 7, 0))), 1, "")</f>
        <v/>
      </c>
      <c r="AU12" s="1" t="str">
        <f>IF(AND(AND(AND(AU$4&gt;='2025'!$L12,AU$4&lt;='2025'!$M12), AU$4&lt;&gt;DATE(2025,7,4)), (SWITCH(weekday(AU$4), 1, 0, 2, if(ISBLANK('2025'!$P12), 0, 1), 3, if(ISBLANK('2025'!$Q12), 0, 1), 4, if(ISBLANK('2025'!$R12), 0, 1), 5, if(ISBLANK('2025'!$S12), 0, 1), 6, if(ISBLANK('2025'!$T12), 0, 1), 7, 0))), 1, "")</f>
        <v/>
      </c>
      <c r="AV12" s="1" t="str">
        <f>IF(AND(AND(AND(AV$4&gt;='2025'!$L12,AV$4&lt;='2025'!$M12), AV$4&lt;&gt;DATE(2025,7,4)), (SWITCH(weekday(AV$4), 1, 0, 2, if(ISBLANK('2025'!$P12), 0, 1), 3, if(ISBLANK('2025'!$Q12), 0, 1), 4, if(ISBLANK('2025'!$R12), 0, 1), 5, if(ISBLANK('2025'!$S12), 0, 1), 6, if(ISBLANK('2025'!$T12), 0, 1), 7, 0))), 1, "")</f>
        <v/>
      </c>
      <c r="AW12" s="1" t="str">
        <f>IF(AND(AND(AND(AW$4&gt;='2025'!$L12,AW$4&lt;='2025'!$M12), AW$4&lt;&gt;DATE(2025,7,4)), (SWITCH(weekday(AW$4), 1, 0, 2, if(ISBLANK('2025'!$P12), 0, 1), 3, if(ISBLANK('2025'!$Q12), 0, 1), 4, if(ISBLANK('2025'!$R12), 0, 1), 5, if(ISBLANK('2025'!$S12), 0, 1), 6, if(ISBLANK('2025'!$T12), 0, 1), 7, 0))), 1, "")</f>
        <v/>
      </c>
      <c r="AX12" s="1" t="str">
        <f>IF(AND(AND(AND(AX$4&gt;='2025'!$L12,AX$4&lt;='2025'!$M12), AX$4&lt;&gt;DATE(2025,7,4)), (SWITCH(weekday(AX$4), 1, 0, 2, if(ISBLANK('2025'!$P12), 0, 1), 3, if(ISBLANK('2025'!$Q12), 0, 1), 4, if(ISBLANK('2025'!$R12), 0, 1), 5, if(ISBLANK('2025'!$S12), 0, 1), 6, if(ISBLANK('2025'!$T12), 0, 1), 7, 0))), 1, "")</f>
        <v/>
      </c>
      <c r="AY12" s="1" t="str">
        <f>IF(AND(AND(AND(AY$4&gt;='2025'!$L12,AY$4&lt;='2025'!$M12), AY$4&lt;&gt;DATE(2025,7,4)), (SWITCH(weekday(AY$4), 1, 0, 2, if(ISBLANK('2025'!$P12), 0, 1), 3, if(ISBLANK('2025'!$Q12), 0, 1), 4, if(ISBLANK('2025'!$R12), 0, 1), 5, if(ISBLANK('2025'!$S12), 0, 1), 6, if(ISBLANK('2025'!$T12), 0, 1), 7, 0))), 1, "")</f>
        <v/>
      </c>
      <c r="AZ12" s="1" t="str">
        <f>IF(AND(AND(AND(AZ$4&gt;='2025'!$L12,AZ$4&lt;='2025'!$M12), AZ$4&lt;&gt;DATE(2025,7,4)), (SWITCH(weekday(AZ$4), 1, 0, 2, if(ISBLANK('2025'!$P12), 0, 1), 3, if(ISBLANK('2025'!$Q12), 0, 1), 4, if(ISBLANK('2025'!$R12), 0, 1), 5, if(ISBLANK('2025'!$S12), 0, 1), 6, if(ISBLANK('2025'!$T12), 0, 1), 7, 0))), 1, "")</f>
        <v/>
      </c>
      <c r="BA12" s="1" t="str">
        <f>IF(AND(AND(AND(BA$4&gt;='2025'!$L12,BA$4&lt;='2025'!$M12), BA$4&lt;&gt;DATE(2025,7,4)), (SWITCH(weekday(BA$4), 1, 0, 2, if(ISBLANK('2025'!$P12), 0, 1), 3, if(ISBLANK('2025'!$Q12), 0, 1), 4, if(ISBLANK('2025'!$R12), 0, 1), 5, if(ISBLANK('2025'!$S12), 0, 1), 6, if(ISBLANK('2025'!$T12), 0, 1), 7, 0))), 1, "")</f>
        <v/>
      </c>
      <c r="BB12" s="1" t="str">
        <f>IF(AND(AND(AND(BB$4&gt;='2025'!$L12,BB$4&lt;='2025'!$M12), BB$4&lt;&gt;DATE(2025,7,4)), (SWITCH(weekday(BB$4), 1, 0, 2, if(ISBLANK('2025'!$P12), 0, 1), 3, if(ISBLANK('2025'!$Q12), 0, 1), 4, if(ISBLANK('2025'!$R12), 0, 1), 5, if(ISBLANK('2025'!$S12), 0, 1), 6, if(ISBLANK('2025'!$T12), 0, 1), 7, 0))), 1, "")</f>
        <v/>
      </c>
      <c r="BC12" s="1" t="str">
        <f>IF(AND(AND(AND(BC$4&gt;='2025'!$L12,BC$4&lt;='2025'!$M12), BC$4&lt;&gt;DATE(2025,7,4)), (SWITCH(weekday(BC$4), 1, 0, 2, if(ISBLANK('2025'!$P12), 0, 1), 3, if(ISBLANK('2025'!$Q12), 0, 1), 4, if(ISBLANK('2025'!$R12), 0, 1), 5, if(ISBLANK('2025'!$S12), 0, 1), 6, if(ISBLANK('2025'!$T12), 0, 1), 7, 0))), 1, "")</f>
        <v/>
      </c>
      <c r="BD12" s="1" t="str">
        <f>IF(AND(AND(AND(BD$4&gt;='2025'!$L12,BD$4&lt;='2025'!$M12), BD$4&lt;&gt;DATE(2025,7,4)), (SWITCH(weekday(BD$4), 1, 0, 2, if(ISBLANK('2025'!$P12), 0, 1), 3, if(ISBLANK('2025'!$Q12), 0, 1), 4, if(ISBLANK('2025'!$R12), 0, 1), 5, if(ISBLANK('2025'!$S12), 0, 1), 6, if(ISBLANK('2025'!$T12), 0, 1), 7, 0))), 1, "")</f>
        <v/>
      </c>
      <c r="BE12" s="1" t="str">
        <f>IF(AND(AND(AND(BE$4&gt;='2025'!$L12,BE$4&lt;='2025'!$M12), BE$4&lt;&gt;DATE(2025,7,4)), (SWITCH(weekday(BE$4), 1, 0, 2, if(ISBLANK('2025'!$P12), 0, 1), 3, if(ISBLANK('2025'!$Q12), 0, 1), 4, if(ISBLANK('2025'!$R12), 0, 1), 5, if(ISBLANK('2025'!$S12), 0, 1), 6, if(ISBLANK('2025'!$T12), 0, 1), 7, 0))), 1, "")</f>
        <v/>
      </c>
      <c r="BF12" s="1" t="str">
        <f>IF(AND(AND(AND(BF$4&gt;='2025'!$L12,BF$4&lt;='2025'!$M12), BF$4&lt;&gt;DATE(2025,7,4)), (SWITCH(weekday(BF$4), 1, 0, 2, if(ISBLANK('2025'!$P12), 0, 1), 3, if(ISBLANK('2025'!$Q12), 0, 1), 4, if(ISBLANK('2025'!$R12), 0, 1), 5, if(ISBLANK('2025'!$S12), 0, 1), 6, if(ISBLANK('2025'!$T12), 0, 1), 7, 0))), 1, "")</f>
        <v/>
      </c>
      <c r="BG12" s="1"/>
      <c r="BH12" s="1"/>
      <c r="BI12" s="1"/>
      <c r="BJ12" s="1"/>
      <c r="BK12" s="1"/>
      <c r="BL12" s="1"/>
    </row>
    <row r="13">
      <c r="A13" s="1">
        <f t="shared" si="3"/>
        <v>13</v>
      </c>
      <c r="B13" s="1" t="str">
        <f>'2025'!D13</f>
        <v>Lung, Wesley</v>
      </c>
      <c r="C13" s="1" t="str">
        <f>'2025'!H13</f>
        <v>TOD</v>
      </c>
      <c r="D13" s="1">
        <f>IF(AND(AND(AND(D$4&gt;='2025'!$L13,D$4&lt;='2025'!$M13), D$4&lt;&gt;DATE(2025,7,4)), (SWITCH(weekday(D$4), 1, 0, 2, if(ISBLANK('2025'!$P13), 0, 1), 3, if(ISBLANK('2025'!$Q13), 0, 1), 4, if(ISBLANK('2025'!$R13), 0, 1), 5, if(ISBLANK('2025'!$S13), 0, 1), 6, if(ISBLANK('2025'!$T13), 0, 1), 7, 0))), 1, "")</f>
        <v>1</v>
      </c>
      <c r="E13" s="1">
        <f>IF(AND(AND(AND(E$4&gt;='2025'!$L13,E$4&lt;='2025'!$M13), E$4&lt;&gt;DATE(2025,7,4)), (SWITCH(weekday(E$4), 1, 0, 2, if(ISBLANK('2025'!$P13), 0, 1), 3, if(ISBLANK('2025'!$Q13), 0, 1), 4, if(ISBLANK('2025'!$R13), 0, 1), 5, if(ISBLANK('2025'!$S13), 0, 1), 6, if(ISBLANK('2025'!$T13), 0, 1), 7, 0))), 1, "")</f>
        <v>1</v>
      </c>
      <c r="F13" s="1" t="str">
        <f>IF(AND(AND(AND(F$4&gt;='2025'!$L13,F$4&lt;='2025'!$M13), F$4&lt;&gt;DATE(2025,7,4)), (SWITCH(weekday(F$4), 1, 0, 2, if(ISBLANK('2025'!$P13), 0, 1), 3, if(ISBLANK('2025'!$Q13), 0, 1), 4, if(ISBLANK('2025'!$R13), 0, 1), 5, if(ISBLANK('2025'!$S13), 0, 1), 6, if(ISBLANK('2025'!$T13), 0, 1), 7, 0))), 1, "")</f>
        <v/>
      </c>
      <c r="G13" s="1" t="str">
        <f>IF(AND(AND(AND(G$4&gt;='2025'!$L13,G$4&lt;='2025'!$M13), G$4&lt;&gt;DATE(2025,7,4)), (SWITCH(weekday(G$4), 1, 0, 2, if(ISBLANK('2025'!$P13), 0, 1), 3, if(ISBLANK('2025'!$Q13), 0, 1), 4, if(ISBLANK('2025'!$R13), 0, 1), 5, if(ISBLANK('2025'!$S13), 0, 1), 6, if(ISBLANK('2025'!$T13), 0, 1), 7, 0))), 1, "")</f>
        <v/>
      </c>
      <c r="H13" s="1">
        <f>IF(AND(AND(AND(H$4&gt;='2025'!$L13,H$4&lt;='2025'!$M13), H$4&lt;&gt;DATE(2025,7,4)), (SWITCH(weekday(H$4), 1, 0, 2, if(ISBLANK('2025'!$P13), 0, 1), 3, if(ISBLANK('2025'!$Q13), 0, 1), 4, if(ISBLANK('2025'!$R13), 0, 1), 5, if(ISBLANK('2025'!$S13), 0, 1), 6, if(ISBLANK('2025'!$T13), 0, 1), 7, 0))), 1, "")</f>
        <v>1</v>
      </c>
      <c r="I13" s="1">
        <f>IF(AND(AND(AND(I$4&gt;='2025'!$L13,I$4&lt;='2025'!$M13), I$4&lt;&gt;DATE(2025,7,4)), (SWITCH(weekday(I$4), 1, 0, 2, if(ISBLANK('2025'!$P13), 0, 1), 3, if(ISBLANK('2025'!$Q13), 0, 1), 4, if(ISBLANK('2025'!$R13), 0, 1), 5, if(ISBLANK('2025'!$S13), 0, 1), 6, if(ISBLANK('2025'!$T13), 0, 1), 7, 0))), 1, "")</f>
        <v>1</v>
      </c>
      <c r="J13" s="1">
        <f>IF(AND(AND(AND(J$4&gt;='2025'!$L13,J$4&lt;='2025'!$M13), J$4&lt;&gt;DATE(2025,7,4)), (SWITCH(weekday(J$4), 1, 0, 2, if(ISBLANK('2025'!$P13), 0, 1), 3, if(ISBLANK('2025'!$Q13), 0, 1), 4, if(ISBLANK('2025'!$R13), 0, 1), 5, if(ISBLANK('2025'!$S13), 0, 1), 6, if(ISBLANK('2025'!$T13), 0, 1), 7, 0))), 1, "")</f>
        <v>1</v>
      </c>
      <c r="K13" s="1">
        <f>IF(AND(AND(AND(K$4&gt;='2025'!$L13,K$4&lt;='2025'!$M13), K$4&lt;&gt;DATE(2025,7,4)), (SWITCH(weekday(K$4), 1, 0, 2, if(ISBLANK('2025'!$P13), 0, 1), 3, if(ISBLANK('2025'!$Q13), 0, 1), 4, if(ISBLANK('2025'!$R13), 0, 1), 5, if(ISBLANK('2025'!$S13), 0, 1), 6, if(ISBLANK('2025'!$T13), 0, 1), 7, 0))), 1, "")</f>
        <v>1</v>
      </c>
      <c r="L13" s="1">
        <f>IF(AND(AND(AND(L$4&gt;='2025'!$L13,L$4&lt;='2025'!$M13), L$4&lt;&gt;DATE(2025,7,4)), (SWITCH(weekday(L$4), 1, 0, 2, if(ISBLANK('2025'!$P13), 0, 1), 3, if(ISBLANK('2025'!$Q13), 0, 1), 4, if(ISBLANK('2025'!$R13), 0, 1), 5, if(ISBLANK('2025'!$S13), 0, 1), 6, if(ISBLANK('2025'!$T13), 0, 1), 7, 0))), 1, "")</f>
        <v>1</v>
      </c>
      <c r="M13" s="1" t="str">
        <f>IF(AND(AND(AND(M$4&gt;='2025'!$L13,M$4&lt;='2025'!$M13), M$4&lt;&gt;DATE(2025,7,4)), (SWITCH(weekday(M$4), 1, 0, 2, if(ISBLANK('2025'!$P13), 0, 1), 3, if(ISBLANK('2025'!$Q13), 0, 1), 4, if(ISBLANK('2025'!$R13), 0, 1), 5, if(ISBLANK('2025'!$S13), 0, 1), 6, if(ISBLANK('2025'!$T13), 0, 1), 7, 0))), 1, "")</f>
        <v/>
      </c>
      <c r="N13" s="1" t="str">
        <f>IF(AND(AND(AND(N$4&gt;='2025'!$L13,N$4&lt;='2025'!$M13), N$4&lt;&gt;DATE(2025,7,4)), (SWITCH(weekday(N$4), 1, 0, 2, if(ISBLANK('2025'!$P13), 0, 1), 3, if(ISBLANK('2025'!$Q13), 0, 1), 4, if(ISBLANK('2025'!$R13), 0, 1), 5, if(ISBLANK('2025'!$S13), 0, 1), 6, if(ISBLANK('2025'!$T13), 0, 1), 7, 0))), 1, "")</f>
        <v/>
      </c>
      <c r="O13" s="1">
        <f>IF(AND(AND(AND(O$4&gt;='2025'!$L13,O$4&lt;='2025'!$M13), O$4&lt;&gt;DATE(2025,7,4)), (SWITCH(weekday(O$4), 1, 0, 2, if(ISBLANK('2025'!$P13), 0, 1), 3, if(ISBLANK('2025'!$Q13), 0, 1), 4, if(ISBLANK('2025'!$R13), 0, 1), 5, if(ISBLANK('2025'!$S13), 0, 1), 6, if(ISBLANK('2025'!$T13), 0, 1), 7, 0))), 1, "")</f>
        <v>1</v>
      </c>
      <c r="P13" s="1">
        <f>IF(AND(AND(AND(P$4&gt;='2025'!$L13,P$4&lt;='2025'!$M13), P$4&lt;&gt;DATE(2025,7,4)), (SWITCH(weekday(P$4), 1, 0, 2, if(ISBLANK('2025'!$P13), 0, 1), 3, if(ISBLANK('2025'!$Q13), 0, 1), 4, if(ISBLANK('2025'!$R13), 0, 1), 5, if(ISBLANK('2025'!$S13), 0, 1), 6, if(ISBLANK('2025'!$T13), 0, 1), 7, 0))), 1, "")</f>
        <v>1</v>
      </c>
      <c r="Q13" s="1">
        <f>IF(AND(AND(AND(Q$4&gt;='2025'!$L13,Q$4&lt;='2025'!$M13), Q$4&lt;&gt;DATE(2025,7,4)), (SWITCH(weekday(Q$4), 1, 0, 2, if(ISBLANK('2025'!$P13), 0, 1), 3, if(ISBLANK('2025'!$Q13), 0, 1), 4, if(ISBLANK('2025'!$R13), 0, 1), 5, if(ISBLANK('2025'!$S13), 0, 1), 6, if(ISBLANK('2025'!$T13), 0, 1), 7, 0))), 1, "")</f>
        <v>1</v>
      </c>
      <c r="R13" s="1">
        <f>IF(AND(AND(AND(R$4&gt;='2025'!$L13,R$4&lt;='2025'!$M13), R$4&lt;&gt;DATE(2025,7,4)), (SWITCH(weekday(R$4), 1, 0, 2, if(ISBLANK('2025'!$P13), 0, 1), 3, if(ISBLANK('2025'!$Q13), 0, 1), 4, if(ISBLANK('2025'!$R13), 0, 1), 5, if(ISBLANK('2025'!$S13), 0, 1), 6, if(ISBLANK('2025'!$T13), 0, 1), 7, 0))), 1, "")</f>
        <v>1</v>
      </c>
      <c r="S13" s="1">
        <f>IF(AND(AND(AND(S$4&gt;='2025'!$L13,S$4&lt;='2025'!$M13), S$4&lt;&gt;DATE(2025,7,4)), (SWITCH(weekday(S$4), 1, 0, 2, if(ISBLANK('2025'!$P13), 0, 1), 3, if(ISBLANK('2025'!$Q13), 0, 1), 4, if(ISBLANK('2025'!$R13), 0, 1), 5, if(ISBLANK('2025'!$S13), 0, 1), 6, if(ISBLANK('2025'!$T13), 0, 1), 7, 0))), 1, "")</f>
        <v>1</v>
      </c>
      <c r="T13" s="1" t="str">
        <f>IF(AND(AND(AND(T$4&gt;='2025'!$L13,T$4&lt;='2025'!$M13), T$4&lt;&gt;DATE(2025,7,4)), (SWITCH(weekday(T$4), 1, 0, 2, if(ISBLANK('2025'!$P13), 0, 1), 3, if(ISBLANK('2025'!$Q13), 0, 1), 4, if(ISBLANK('2025'!$R13), 0, 1), 5, if(ISBLANK('2025'!$S13), 0, 1), 6, if(ISBLANK('2025'!$T13), 0, 1), 7, 0))), 1, "")</f>
        <v/>
      </c>
      <c r="U13" s="1" t="str">
        <f>IF(AND(AND(AND(U$4&gt;='2025'!$L13,U$4&lt;='2025'!$M13), U$4&lt;&gt;DATE(2025,7,4)), (SWITCH(weekday(U$4), 1, 0, 2, if(ISBLANK('2025'!$P13), 0, 1), 3, if(ISBLANK('2025'!$Q13), 0, 1), 4, if(ISBLANK('2025'!$R13), 0, 1), 5, if(ISBLANK('2025'!$S13), 0, 1), 6, if(ISBLANK('2025'!$T13), 0, 1), 7, 0))), 1, "")</f>
        <v/>
      </c>
      <c r="V13" s="1">
        <f>IF(AND(AND(AND(V$4&gt;='2025'!$L13,V$4&lt;='2025'!$M13), V$4&lt;&gt;DATE(2025,7,4)), (SWITCH(weekday(V$4), 1, 0, 2, if(ISBLANK('2025'!$P13), 0, 1), 3, if(ISBLANK('2025'!$Q13), 0, 1), 4, if(ISBLANK('2025'!$R13), 0, 1), 5, if(ISBLANK('2025'!$S13), 0, 1), 6, if(ISBLANK('2025'!$T13), 0, 1), 7, 0))), 1, "")</f>
        <v>1</v>
      </c>
      <c r="W13" s="1">
        <f>IF(AND(AND(AND(W$4&gt;='2025'!$L13,W$4&lt;='2025'!$M13), W$4&lt;&gt;DATE(2025,7,4)), (SWITCH(weekday(W$4), 1, 0, 2, if(ISBLANK('2025'!$P13), 0, 1), 3, if(ISBLANK('2025'!$Q13), 0, 1), 4, if(ISBLANK('2025'!$R13), 0, 1), 5, if(ISBLANK('2025'!$S13), 0, 1), 6, if(ISBLANK('2025'!$T13), 0, 1), 7, 0))), 1, "")</f>
        <v>1</v>
      </c>
      <c r="X13" s="1">
        <f>IF(AND(AND(AND(X$4&gt;='2025'!$L13,X$4&lt;='2025'!$M13), X$4&lt;&gt;DATE(2025,7,4)), (SWITCH(weekday(X$4), 1, 0, 2, if(ISBLANK('2025'!$P13), 0, 1), 3, if(ISBLANK('2025'!$Q13), 0, 1), 4, if(ISBLANK('2025'!$R13), 0, 1), 5, if(ISBLANK('2025'!$S13), 0, 1), 6, if(ISBLANK('2025'!$T13), 0, 1), 7, 0))), 1, "")</f>
        <v>1</v>
      </c>
      <c r="Y13" s="1">
        <f>IF(AND(AND(AND(Y$4&gt;='2025'!$L13,Y$4&lt;='2025'!$M13), Y$4&lt;&gt;DATE(2025,7,4)), (SWITCH(weekday(Y$4), 1, 0, 2, if(ISBLANK('2025'!$P13), 0, 1), 3, if(ISBLANK('2025'!$Q13), 0, 1), 4, if(ISBLANK('2025'!$R13), 0, 1), 5, if(ISBLANK('2025'!$S13), 0, 1), 6, if(ISBLANK('2025'!$T13), 0, 1), 7, 0))), 1, "")</f>
        <v>1</v>
      </c>
      <c r="Z13" s="1">
        <f>IF(AND(AND(AND(Z$4&gt;='2025'!$L13,Z$4&lt;='2025'!$M13), Z$4&lt;&gt;DATE(2025,7,4)), (SWITCH(weekday(Z$4), 1, 0, 2, if(ISBLANK('2025'!$P13), 0, 1), 3, if(ISBLANK('2025'!$Q13), 0, 1), 4, if(ISBLANK('2025'!$R13), 0, 1), 5, if(ISBLANK('2025'!$S13), 0, 1), 6, if(ISBLANK('2025'!$T13), 0, 1), 7, 0))), 1, "")</f>
        <v>1</v>
      </c>
      <c r="AA13" s="1" t="str">
        <f>IF(AND(AND(AND(AA$4&gt;='2025'!$L13,AA$4&lt;='2025'!$M13), AA$4&lt;&gt;DATE(2025,7,4)), (SWITCH(weekday(AA$4), 1, 0, 2, if(ISBLANK('2025'!$P13), 0, 1), 3, if(ISBLANK('2025'!$Q13), 0, 1), 4, if(ISBLANK('2025'!$R13), 0, 1), 5, if(ISBLANK('2025'!$S13), 0, 1), 6, if(ISBLANK('2025'!$T13), 0, 1), 7, 0))), 1, "")</f>
        <v/>
      </c>
      <c r="AB13" s="1" t="str">
        <f>IF(AND(AND(AND(AB$4&gt;='2025'!$L13,AB$4&lt;='2025'!$M13), AB$4&lt;&gt;DATE(2025,7,4)), (SWITCH(weekday(AB$4), 1, 0, 2, if(ISBLANK('2025'!$P13), 0, 1), 3, if(ISBLANK('2025'!$Q13), 0, 1), 4, if(ISBLANK('2025'!$R13), 0, 1), 5, if(ISBLANK('2025'!$S13), 0, 1), 6, if(ISBLANK('2025'!$T13), 0, 1), 7, 0))), 1, "")</f>
        <v/>
      </c>
      <c r="AC13" s="1">
        <f>IF(AND(AND(AND(AC$4&gt;='2025'!$L13,AC$4&lt;='2025'!$M13), AC$4&lt;&gt;DATE(2025,7,4)), (SWITCH(weekday(AC$4), 1, 0, 2, if(ISBLANK('2025'!$P13), 0, 1), 3, if(ISBLANK('2025'!$Q13), 0, 1), 4, if(ISBLANK('2025'!$R13), 0, 1), 5, if(ISBLANK('2025'!$S13), 0, 1), 6, if(ISBLANK('2025'!$T13), 0, 1), 7, 0))), 1, "")</f>
        <v>1</v>
      </c>
      <c r="AD13" s="1">
        <f>IF(AND(AND(AND(AD$4&gt;='2025'!$L13,AD$4&lt;='2025'!$M13), AD$4&lt;&gt;DATE(2025,7,4)), (SWITCH(weekday(AD$4), 1, 0, 2, if(ISBLANK('2025'!$P13), 0, 1), 3, if(ISBLANK('2025'!$Q13), 0, 1), 4, if(ISBLANK('2025'!$R13), 0, 1), 5, if(ISBLANK('2025'!$S13), 0, 1), 6, if(ISBLANK('2025'!$T13), 0, 1), 7, 0))), 1, "")</f>
        <v>1</v>
      </c>
      <c r="AE13" s="1">
        <f>IF(AND(AND(AND(AE$4&gt;='2025'!$L13,AE$4&lt;='2025'!$M13), AE$4&lt;&gt;DATE(2025,7,4)), (SWITCH(weekday(AE$4), 1, 0, 2, if(ISBLANK('2025'!$P13), 0, 1), 3, if(ISBLANK('2025'!$Q13), 0, 1), 4, if(ISBLANK('2025'!$R13), 0, 1), 5, if(ISBLANK('2025'!$S13), 0, 1), 6, if(ISBLANK('2025'!$T13), 0, 1), 7, 0))), 1, "")</f>
        <v>1</v>
      </c>
      <c r="AF13" s="1">
        <f>IF(AND(AND(AND(AF$4&gt;='2025'!$L13,AF$4&lt;='2025'!$M13), AF$4&lt;&gt;DATE(2025,7,4)), (SWITCH(weekday(AF$4), 1, 0, 2, if(ISBLANK('2025'!$P13), 0, 1), 3, if(ISBLANK('2025'!$Q13), 0, 1), 4, if(ISBLANK('2025'!$R13), 0, 1), 5, if(ISBLANK('2025'!$S13), 0, 1), 6, if(ISBLANK('2025'!$T13), 0, 1), 7, 0))), 1, "")</f>
        <v>1</v>
      </c>
      <c r="AG13" s="1">
        <f>IF(AND(AND(AND(AG$4&gt;='2025'!$L13,AG$4&lt;='2025'!$M13), AG$4&lt;&gt;DATE(2025,7,4)), (SWITCH(weekday(AG$4), 1, 0, 2, if(ISBLANK('2025'!$P13), 0, 1), 3, if(ISBLANK('2025'!$Q13), 0, 1), 4, if(ISBLANK('2025'!$R13), 0, 1), 5, if(ISBLANK('2025'!$S13), 0, 1), 6, if(ISBLANK('2025'!$T13), 0, 1), 7, 0))), 1, "")</f>
        <v>1</v>
      </c>
      <c r="AH13" s="1" t="str">
        <f>IF(AND(AND(AND(AH$4&gt;='2025'!$L13,AH$4&lt;='2025'!$M13), AH$4&lt;&gt;DATE(2025,7,4)), (SWITCH(weekday(AH$4), 1, 0, 2, if(ISBLANK('2025'!$P13), 0, 1), 3, if(ISBLANK('2025'!$Q13), 0, 1), 4, if(ISBLANK('2025'!$R13), 0, 1), 5, if(ISBLANK('2025'!$S13), 0, 1), 6, if(ISBLANK('2025'!$T13), 0, 1), 7, 0))), 1, "")</f>
        <v/>
      </c>
      <c r="AI13" s="1" t="str">
        <f>IF(AND(AND(AND(AI$4&gt;='2025'!$L13,AI$4&lt;='2025'!$M13), AI$4&lt;&gt;DATE(2025,7,4)), (SWITCH(weekday(AI$4), 1, 0, 2, if(ISBLANK('2025'!$P13), 0, 1), 3, if(ISBLANK('2025'!$Q13), 0, 1), 4, if(ISBLANK('2025'!$R13), 0, 1), 5, if(ISBLANK('2025'!$S13), 0, 1), 6, if(ISBLANK('2025'!$T13), 0, 1), 7, 0))), 1, "")</f>
        <v/>
      </c>
      <c r="AJ13" s="1">
        <f>IF(AND(AND(AND(AJ$4&gt;='2025'!$L13,AJ$4&lt;='2025'!$M13), AJ$4&lt;&gt;DATE(2025,7,4)), (SWITCH(weekday(AJ$4), 1, 0, 2, if(ISBLANK('2025'!$P13), 0, 1), 3, if(ISBLANK('2025'!$Q13), 0, 1), 4, if(ISBLANK('2025'!$R13), 0, 1), 5, if(ISBLANK('2025'!$S13), 0, 1), 6, if(ISBLANK('2025'!$T13), 0, 1), 7, 0))), 1, "")</f>
        <v>1</v>
      </c>
      <c r="AK13" s="1">
        <f>IF(AND(AND(AND(AK$4&gt;='2025'!$L13,AK$4&lt;='2025'!$M13), AK$4&lt;&gt;DATE(2025,7,4)), (SWITCH(weekday(AK$4), 1, 0, 2, if(ISBLANK('2025'!$P13), 0, 1), 3, if(ISBLANK('2025'!$Q13), 0, 1), 4, if(ISBLANK('2025'!$R13), 0, 1), 5, if(ISBLANK('2025'!$S13), 0, 1), 6, if(ISBLANK('2025'!$T13), 0, 1), 7, 0))), 1, "")</f>
        <v>1</v>
      </c>
      <c r="AL13" s="1">
        <f>IF(AND(AND(AND(AL$4&gt;='2025'!$L13,AL$4&lt;='2025'!$M13), AL$4&lt;&gt;DATE(2025,7,4)), (SWITCH(weekday(AL$4), 1, 0, 2, if(ISBLANK('2025'!$P13), 0, 1), 3, if(ISBLANK('2025'!$Q13), 0, 1), 4, if(ISBLANK('2025'!$R13), 0, 1), 5, if(ISBLANK('2025'!$S13), 0, 1), 6, if(ISBLANK('2025'!$T13), 0, 1), 7, 0))), 1, "")</f>
        <v>1</v>
      </c>
      <c r="AM13" s="1">
        <f>IF(AND(AND(AND(AM$4&gt;='2025'!$L13,AM$4&lt;='2025'!$M13), AM$4&lt;&gt;DATE(2025,7,4)), (SWITCH(weekday(AM$4), 1, 0, 2, if(ISBLANK('2025'!$P13), 0, 1), 3, if(ISBLANK('2025'!$Q13), 0, 1), 4, if(ISBLANK('2025'!$R13), 0, 1), 5, if(ISBLANK('2025'!$S13), 0, 1), 6, if(ISBLANK('2025'!$T13), 0, 1), 7, 0))), 1, "")</f>
        <v>1</v>
      </c>
      <c r="AN13" s="1">
        <f>IF(AND(AND(AND(AN$4&gt;='2025'!$L13,AN$4&lt;='2025'!$M13), AN$4&lt;&gt;DATE(2025,7,4)), (SWITCH(weekday(AN$4), 1, 0, 2, if(ISBLANK('2025'!$P13), 0, 1), 3, if(ISBLANK('2025'!$Q13), 0, 1), 4, if(ISBLANK('2025'!$R13), 0, 1), 5, if(ISBLANK('2025'!$S13), 0, 1), 6, if(ISBLANK('2025'!$T13), 0, 1), 7, 0))), 1, "")</f>
        <v>1</v>
      </c>
      <c r="AO13" s="1" t="str">
        <f>IF(AND(AND(AND(AO$4&gt;='2025'!$L13,AO$4&lt;='2025'!$M13), AO$4&lt;&gt;DATE(2025,7,4)), (SWITCH(weekday(AO$4), 1, 0, 2, if(ISBLANK('2025'!$P13), 0, 1), 3, if(ISBLANK('2025'!$Q13), 0, 1), 4, if(ISBLANK('2025'!$R13), 0, 1), 5, if(ISBLANK('2025'!$S13), 0, 1), 6, if(ISBLANK('2025'!$T13), 0, 1), 7, 0))), 1, "")</f>
        <v/>
      </c>
      <c r="AP13" s="1" t="str">
        <f>IF(AND(AND(AND(AP$4&gt;='2025'!$L13,AP$4&lt;='2025'!$M13), AP$4&lt;&gt;DATE(2025,7,4)), (SWITCH(weekday(AP$4), 1, 0, 2, if(ISBLANK('2025'!$P13), 0, 1), 3, if(ISBLANK('2025'!$Q13), 0, 1), 4, if(ISBLANK('2025'!$R13), 0, 1), 5, if(ISBLANK('2025'!$S13), 0, 1), 6, if(ISBLANK('2025'!$T13), 0, 1), 7, 0))), 1, "")</f>
        <v/>
      </c>
      <c r="AQ13" s="1">
        <f>IF(AND(AND(AND(AQ$4&gt;='2025'!$L13,AQ$4&lt;='2025'!$M13), AQ$4&lt;&gt;DATE(2025,7,4)), (SWITCH(weekday(AQ$4), 1, 0, 2, if(ISBLANK('2025'!$P13), 0, 1), 3, if(ISBLANK('2025'!$Q13), 0, 1), 4, if(ISBLANK('2025'!$R13), 0, 1), 5, if(ISBLANK('2025'!$S13), 0, 1), 6, if(ISBLANK('2025'!$T13), 0, 1), 7, 0))), 1, "")</f>
        <v>1</v>
      </c>
      <c r="AR13" s="1">
        <f>IF(AND(AND(AND(AR$4&gt;='2025'!$L13,AR$4&lt;='2025'!$M13), AR$4&lt;&gt;DATE(2025,7,4)), (SWITCH(weekday(AR$4), 1, 0, 2, if(ISBLANK('2025'!$P13), 0, 1), 3, if(ISBLANK('2025'!$Q13), 0, 1), 4, if(ISBLANK('2025'!$R13), 0, 1), 5, if(ISBLANK('2025'!$S13), 0, 1), 6, if(ISBLANK('2025'!$T13), 0, 1), 7, 0))), 1, "")</f>
        <v>1</v>
      </c>
      <c r="AS13" s="1">
        <f>IF(AND(AND(AND(AS$4&gt;='2025'!$L13,AS$4&lt;='2025'!$M13), AS$4&lt;&gt;DATE(2025,7,4)), (SWITCH(weekday(AS$4), 1, 0, 2, if(ISBLANK('2025'!$P13), 0, 1), 3, if(ISBLANK('2025'!$Q13), 0, 1), 4, if(ISBLANK('2025'!$R13), 0, 1), 5, if(ISBLANK('2025'!$S13), 0, 1), 6, if(ISBLANK('2025'!$T13), 0, 1), 7, 0))), 1, "")</f>
        <v>1</v>
      </c>
      <c r="AT13" s="1">
        <f>IF(AND(AND(AND(AT$4&gt;='2025'!$L13,AT$4&lt;='2025'!$M13), AT$4&lt;&gt;DATE(2025,7,4)), (SWITCH(weekday(AT$4), 1, 0, 2, if(ISBLANK('2025'!$P13), 0, 1), 3, if(ISBLANK('2025'!$Q13), 0, 1), 4, if(ISBLANK('2025'!$R13), 0, 1), 5, if(ISBLANK('2025'!$S13), 0, 1), 6, if(ISBLANK('2025'!$T13), 0, 1), 7, 0))), 1, "")</f>
        <v>1</v>
      </c>
      <c r="AU13" s="1">
        <f>IF(AND(AND(AND(AU$4&gt;='2025'!$L13,AU$4&lt;='2025'!$M13), AU$4&lt;&gt;DATE(2025,7,4)), (SWITCH(weekday(AU$4), 1, 0, 2, if(ISBLANK('2025'!$P13), 0, 1), 3, if(ISBLANK('2025'!$Q13), 0, 1), 4, if(ISBLANK('2025'!$R13), 0, 1), 5, if(ISBLANK('2025'!$S13), 0, 1), 6, if(ISBLANK('2025'!$T13), 0, 1), 7, 0))), 1, "")</f>
        <v>1</v>
      </c>
      <c r="AV13" s="1" t="str">
        <f>IF(AND(AND(AND(AV$4&gt;='2025'!$L13,AV$4&lt;='2025'!$M13), AV$4&lt;&gt;DATE(2025,7,4)), (SWITCH(weekday(AV$4), 1, 0, 2, if(ISBLANK('2025'!$P13), 0, 1), 3, if(ISBLANK('2025'!$Q13), 0, 1), 4, if(ISBLANK('2025'!$R13), 0, 1), 5, if(ISBLANK('2025'!$S13), 0, 1), 6, if(ISBLANK('2025'!$T13), 0, 1), 7, 0))), 1, "")</f>
        <v/>
      </c>
      <c r="AW13" s="1" t="str">
        <f>IF(AND(AND(AND(AW$4&gt;='2025'!$L13,AW$4&lt;='2025'!$M13), AW$4&lt;&gt;DATE(2025,7,4)), (SWITCH(weekday(AW$4), 1, 0, 2, if(ISBLANK('2025'!$P13), 0, 1), 3, if(ISBLANK('2025'!$Q13), 0, 1), 4, if(ISBLANK('2025'!$R13), 0, 1), 5, if(ISBLANK('2025'!$S13), 0, 1), 6, if(ISBLANK('2025'!$T13), 0, 1), 7, 0))), 1, "")</f>
        <v/>
      </c>
      <c r="AX13" s="1">
        <f>IF(AND(AND(AND(AX$4&gt;='2025'!$L13,AX$4&lt;='2025'!$M13), AX$4&lt;&gt;DATE(2025,7,4)), (SWITCH(weekday(AX$4), 1, 0, 2, if(ISBLANK('2025'!$P13), 0, 1), 3, if(ISBLANK('2025'!$Q13), 0, 1), 4, if(ISBLANK('2025'!$R13), 0, 1), 5, if(ISBLANK('2025'!$S13), 0, 1), 6, if(ISBLANK('2025'!$T13), 0, 1), 7, 0))), 1, "")</f>
        <v>1</v>
      </c>
      <c r="AY13" s="1">
        <f>IF(AND(AND(AND(AY$4&gt;='2025'!$L13,AY$4&lt;='2025'!$M13), AY$4&lt;&gt;DATE(2025,7,4)), (SWITCH(weekday(AY$4), 1, 0, 2, if(ISBLANK('2025'!$P13), 0, 1), 3, if(ISBLANK('2025'!$Q13), 0, 1), 4, if(ISBLANK('2025'!$R13), 0, 1), 5, if(ISBLANK('2025'!$S13), 0, 1), 6, if(ISBLANK('2025'!$T13), 0, 1), 7, 0))), 1, "")</f>
        <v>1</v>
      </c>
      <c r="AZ13" s="1">
        <f>IF(AND(AND(AND(AZ$4&gt;='2025'!$L13,AZ$4&lt;='2025'!$M13), AZ$4&lt;&gt;DATE(2025,7,4)), (SWITCH(weekday(AZ$4), 1, 0, 2, if(ISBLANK('2025'!$P13), 0, 1), 3, if(ISBLANK('2025'!$Q13), 0, 1), 4, if(ISBLANK('2025'!$R13), 0, 1), 5, if(ISBLANK('2025'!$S13), 0, 1), 6, if(ISBLANK('2025'!$T13), 0, 1), 7, 0))), 1, "")</f>
        <v>1</v>
      </c>
      <c r="BA13" s="1">
        <f>IF(AND(AND(AND(BA$4&gt;='2025'!$L13,BA$4&lt;='2025'!$M13), BA$4&lt;&gt;DATE(2025,7,4)), (SWITCH(weekday(BA$4), 1, 0, 2, if(ISBLANK('2025'!$P13), 0, 1), 3, if(ISBLANK('2025'!$Q13), 0, 1), 4, if(ISBLANK('2025'!$R13), 0, 1), 5, if(ISBLANK('2025'!$S13), 0, 1), 6, if(ISBLANK('2025'!$T13), 0, 1), 7, 0))), 1, "")</f>
        <v>1</v>
      </c>
      <c r="BB13" s="1">
        <f>IF(AND(AND(AND(BB$4&gt;='2025'!$L13,BB$4&lt;='2025'!$M13), BB$4&lt;&gt;DATE(2025,7,4)), (SWITCH(weekday(BB$4), 1, 0, 2, if(ISBLANK('2025'!$P13), 0, 1), 3, if(ISBLANK('2025'!$Q13), 0, 1), 4, if(ISBLANK('2025'!$R13), 0, 1), 5, if(ISBLANK('2025'!$S13), 0, 1), 6, if(ISBLANK('2025'!$T13), 0, 1), 7, 0))), 1, "")</f>
        <v>1</v>
      </c>
      <c r="BC13" s="1" t="str">
        <f>IF(AND(AND(AND(BC$4&gt;='2025'!$L13,BC$4&lt;='2025'!$M13), BC$4&lt;&gt;DATE(2025,7,4)), (SWITCH(weekday(BC$4), 1, 0, 2, if(ISBLANK('2025'!$P13), 0, 1), 3, if(ISBLANK('2025'!$Q13), 0, 1), 4, if(ISBLANK('2025'!$R13), 0, 1), 5, if(ISBLANK('2025'!$S13), 0, 1), 6, if(ISBLANK('2025'!$T13), 0, 1), 7, 0))), 1, "")</f>
        <v/>
      </c>
      <c r="BD13" s="1" t="str">
        <f>IF(AND(AND(AND(BD$4&gt;='2025'!$L13,BD$4&lt;='2025'!$M13), BD$4&lt;&gt;DATE(2025,7,4)), (SWITCH(weekday(BD$4), 1, 0, 2, if(ISBLANK('2025'!$P13), 0, 1), 3, if(ISBLANK('2025'!$Q13), 0, 1), 4, if(ISBLANK('2025'!$R13), 0, 1), 5, if(ISBLANK('2025'!$S13), 0, 1), 6, if(ISBLANK('2025'!$T13), 0, 1), 7, 0))), 1, "")</f>
        <v/>
      </c>
      <c r="BE13" s="1">
        <f>IF(AND(AND(AND(BE$4&gt;='2025'!$L13,BE$4&lt;='2025'!$M13), BE$4&lt;&gt;DATE(2025,7,4)), (SWITCH(weekday(BE$4), 1, 0, 2, if(ISBLANK('2025'!$P13), 0, 1), 3, if(ISBLANK('2025'!$Q13), 0, 1), 4, if(ISBLANK('2025'!$R13), 0, 1), 5, if(ISBLANK('2025'!$S13), 0, 1), 6, if(ISBLANK('2025'!$T13), 0, 1), 7, 0))), 1, "")</f>
        <v>1</v>
      </c>
      <c r="BF13" s="1">
        <f>IF(AND(AND(AND(BF$4&gt;='2025'!$L13,BF$4&lt;='2025'!$M13), BF$4&lt;&gt;DATE(2025,7,4)), (SWITCH(weekday(BF$4), 1, 0, 2, if(ISBLANK('2025'!$P13), 0, 1), 3, if(ISBLANK('2025'!$Q13), 0, 1), 4, if(ISBLANK('2025'!$R13), 0, 1), 5, if(ISBLANK('2025'!$S13), 0, 1), 6, if(ISBLANK('2025'!$T13), 0, 1), 7, 0))), 1, "")</f>
        <v>1</v>
      </c>
      <c r="BG13" s="1"/>
      <c r="BH13" s="1"/>
      <c r="BI13" s="1"/>
      <c r="BJ13" s="1"/>
      <c r="BK13" s="1"/>
      <c r="BL13" s="1"/>
    </row>
    <row r="14">
      <c r="A14" s="1">
        <f t="shared" si="3"/>
        <v>14</v>
      </c>
      <c r="B14" s="1" t="str">
        <f>'2025'!D14</f>
        <v>Cesta, Nancy</v>
      </c>
      <c r="C14" s="1" t="str">
        <f>'2025'!H14</f>
        <v>PK3.1</v>
      </c>
      <c r="D14" s="1" t="str">
        <f>IF(AND(AND(AND(D$4&gt;='2025'!$L14,D$4&lt;='2025'!$M14), D$4&lt;&gt;DATE(2025,7,4)), (SWITCH(weekday(D$4), 1, 0, 2, if(ISBLANK('2025'!$P14), 0, 1), 3, if(ISBLANK('2025'!$Q14), 0, 1), 4, if(ISBLANK('2025'!$R14), 0, 1), 5, if(ISBLANK('2025'!$S14), 0, 1), 6, if(ISBLANK('2025'!$T14), 0, 1), 7, 0))), 1, "")</f>
        <v/>
      </c>
      <c r="E14" s="1" t="str">
        <f>IF(AND(AND(AND(E$4&gt;='2025'!$L14,E$4&lt;='2025'!$M14), E$4&lt;&gt;DATE(2025,7,4)), (SWITCH(weekday(E$4), 1, 0, 2, if(ISBLANK('2025'!$P14), 0, 1), 3, if(ISBLANK('2025'!$Q14), 0, 1), 4, if(ISBLANK('2025'!$R14), 0, 1), 5, if(ISBLANK('2025'!$S14), 0, 1), 6, if(ISBLANK('2025'!$T14), 0, 1), 7, 0))), 1, "")</f>
        <v/>
      </c>
      <c r="F14" s="1" t="str">
        <f>IF(AND(AND(AND(F$4&gt;='2025'!$L14,F$4&lt;='2025'!$M14), F$4&lt;&gt;DATE(2025,7,4)), (SWITCH(weekday(F$4), 1, 0, 2, if(ISBLANK('2025'!$P14), 0, 1), 3, if(ISBLANK('2025'!$Q14), 0, 1), 4, if(ISBLANK('2025'!$R14), 0, 1), 5, if(ISBLANK('2025'!$S14), 0, 1), 6, if(ISBLANK('2025'!$T14), 0, 1), 7, 0))), 1, "")</f>
        <v/>
      </c>
      <c r="G14" s="1" t="str">
        <f>IF(AND(AND(AND(G$4&gt;='2025'!$L14,G$4&lt;='2025'!$M14), G$4&lt;&gt;DATE(2025,7,4)), (SWITCH(weekday(G$4), 1, 0, 2, if(ISBLANK('2025'!$P14), 0, 1), 3, if(ISBLANK('2025'!$Q14), 0, 1), 4, if(ISBLANK('2025'!$R14), 0, 1), 5, if(ISBLANK('2025'!$S14), 0, 1), 6, if(ISBLANK('2025'!$T14), 0, 1), 7, 0))), 1, "")</f>
        <v/>
      </c>
      <c r="H14" s="1" t="str">
        <f>IF(AND(AND(AND(H$4&gt;='2025'!$L14,H$4&lt;='2025'!$M14), H$4&lt;&gt;DATE(2025,7,4)), (SWITCH(weekday(H$4), 1, 0, 2, if(ISBLANK('2025'!$P14), 0, 1), 3, if(ISBLANK('2025'!$Q14), 0, 1), 4, if(ISBLANK('2025'!$R14), 0, 1), 5, if(ISBLANK('2025'!$S14), 0, 1), 6, if(ISBLANK('2025'!$T14), 0, 1), 7, 0))), 1, "")</f>
        <v/>
      </c>
      <c r="I14" s="1" t="str">
        <f>IF(AND(AND(AND(I$4&gt;='2025'!$L14,I$4&lt;='2025'!$M14), I$4&lt;&gt;DATE(2025,7,4)), (SWITCH(weekday(I$4), 1, 0, 2, if(ISBLANK('2025'!$P14), 0, 1), 3, if(ISBLANK('2025'!$Q14), 0, 1), 4, if(ISBLANK('2025'!$R14), 0, 1), 5, if(ISBLANK('2025'!$S14), 0, 1), 6, if(ISBLANK('2025'!$T14), 0, 1), 7, 0))), 1, "")</f>
        <v/>
      </c>
      <c r="J14" s="1" t="str">
        <f>IF(AND(AND(AND(J$4&gt;='2025'!$L14,J$4&lt;='2025'!$M14), J$4&lt;&gt;DATE(2025,7,4)), (SWITCH(weekday(J$4), 1, 0, 2, if(ISBLANK('2025'!$P14), 0, 1), 3, if(ISBLANK('2025'!$Q14), 0, 1), 4, if(ISBLANK('2025'!$R14), 0, 1), 5, if(ISBLANK('2025'!$S14), 0, 1), 6, if(ISBLANK('2025'!$T14), 0, 1), 7, 0))), 1, "")</f>
        <v/>
      </c>
      <c r="K14" s="1" t="str">
        <f>IF(AND(AND(AND(K$4&gt;='2025'!$L14,K$4&lt;='2025'!$M14), K$4&lt;&gt;DATE(2025,7,4)), (SWITCH(weekday(K$4), 1, 0, 2, if(ISBLANK('2025'!$P14), 0, 1), 3, if(ISBLANK('2025'!$Q14), 0, 1), 4, if(ISBLANK('2025'!$R14), 0, 1), 5, if(ISBLANK('2025'!$S14), 0, 1), 6, if(ISBLANK('2025'!$T14), 0, 1), 7, 0))), 1, "")</f>
        <v/>
      </c>
      <c r="L14" s="1" t="str">
        <f>IF(AND(AND(AND(L$4&gt;='2025'!$L14,L$4&lt;='2025'!$M14), L$4&lt;&gt;DATE(2025,7,4)), (SWITCH(weekday(L$4), 1, 0, 2, if(ISBLANK('2025'!$P14), 0, 1), 3, if(ISBLANK('2025'!$Q14), 0, 1), 4, if(ISBLANK('2025'!$R14), 0, 1), 5, if(ISBLANK('2025'!$S14), 0, 1), 6, if(ISBLANK('2025'!$T14), 0, 1), 7, 0))), 1, "")</f>
        <v/>
      </c>
      <c r="M14" s="1" t="str">
        <f>IF(AND(AND(AND(M$4&gt;='2025'!$L14,M$4&lt;='2025'!$M14), M$4&lt;&gt;DATE(2025,7,4)), (SWITCH(weekday(M$4), 1, 0, 2, if(ISBLANK('2025'!$P14), 0, 1), 3, if(ISBLANK('2025'!$Q14), 0, 1), 4, if(ISBLANK('2025'!$R14), 0, 1), 5, if(ISBLANK('2025'!$S14), 0, 1), 6, if(ISBLANK('2025'!$T14), 0, 1), 7, 0))), 1, "")</f>
        <v/>
      </c>
      <c r="N14" s="1" t="str">
        <f>IF(AND(AND(AND(N$4&gt;='2025'!$L14,N$4&lt;='2025'!$M14), N$4&lt;&gt;DATE(2025,7,4)), (SWITCH(weekday(N$4), 1, 0, 2, if(ISBLANK('2025'!$P14), 0, 1), 3, if(ISBLANK('2025'!$Q14), 0, 1), 4, if(ISBLANK('2025'!$R14), 0, 1), 5, if(ISBLANK('2025'!$S14), 0, 1), 6, if(ISBLANK('2025'!$T14), 0, 1), 7, 0))), 1, "")</f>
        <v/>
      </c>
      <c r="O14" s="1" t="str">
        <f>IF(AND(AND(AND(O$4&gt;='2025'!$L14,O$4&lt;='2025'!$M14), O$4&lt;&gt;DATE(2025,7,4)), (SWITCH(weekday(O$4), 1, 0, 2, if(ISBLANK('2025'!$P14), 0, 1), 3, if(ISBLANK('2025'!$Q14), 0, 1), 4, if(ISBLANK('2025'!$R14), 0, 1), 5, if(ISBLANK('2025'!$S14), 0, 1), 6, if(ISBLANK('2025'!$T14), 0, 1), 7, 0))), 1, "")</f>
        <v/>
      </c>
      <c r="P14" s="1" t="str">
        <f>IF(AND(AND(AND(P$4&gt;='2025'!$L14,P$4&lt;='2025'!$M14), P$4&lt;&gt;DATE(2025,7,4)), (SWITCH(weekday(P$4), 1, 0, 2, if(ISBLANK('2025'!$P14), 0, 1), 3, if(ISBLANK('2025'!$Q14), 0, 1), 4, if(ISBLANK('2025'!$R14), 0, 1), 5, if(ISBLANK('2025'!$S14), 0, 1), 6, if(ISBLANK('2025'!$T14), 0, 1), 7, 0))), 1, "")</f>
        <v/>
      </c>
      <c r="Q14" s="1" t="str">
        <f>IF(AND(AND(AND(Q$4&gt;='2025'!$L14,Q$4&lt;='2025'!$M14), Q$4&lt;&gt;DATE(2025,7,4)), (SWITCH(weekday(Q$4), 1, 0, 2, if(ISBLANK('2025'!$P14), 0, 1), 3, if(ISBLANK('2025'!$Q14), 0, 1), 4, if(ISBLANK('2025'!$R14), 0, 1), 5, if(ISBLANK('2025'!$S14), 0, 1), 6, if(ISBLANK('2025'!$T14), 0, 1), 7, 0))), 1, "")</f>
        <v/>
      </c>
      <c r="R14" s="1" t="str">
        <f>IF(AND(AND(AND(R$4&gt;='2025'!$L14,R$4&lt;='2025'!$M14), R$4&lt;&gt;DATE(2025,7,4)), (SWITCH(weekday(R$4), 1, 0, 2, if(ISBLANK('2025'!$P14), 0, 1), 3, if(ISBLANK('2025'!$Q14), 0, 1), 4, if(ISBLANK('2025'!$R14), 0, 1), 5, if(ISBLANK('2025'!$S14), 0, 1), 6, if(ISBLANK('2025'!$T14), 0, 1), 7, 0))), 1, "")</f>
        <v/>
      </c>
      <c r="S14" s="1" t="str">
        <f>IF(AND(AND(AND(S$4&gt;='2025'!$L14,S$4&lt;='2025'!$M14), S$4&lt;&gt;DATE(2025,7,4)), (SWITCH(weekday(S$4), 1, 0, 2, if(ISBLANK('2025'!$P14), 0, 1), 3, if(ISBLANK('2025'!$Q14), 0, 1), 4, if(ISBLANK('2025'!$R14), 0, 1), 5, if(ISBLANK('2025'!$S14), 0, 1), 6, if(ISBLANK('2025'!$T14), 0, 1), 7, 0))), 1, "")</f>
        <v/>
      </c>
      <c r="T14" s="1" t="str">
        <f>IF(AND(AND(AND(T$4&gt;='2025'!$L14,T$4&lt;='2025'!$M14), T$4&lt;&gt;DATE(2025,7,4)), (SWITCH(weekday(T$4), 1, 0, 2, if(ISBLANK('2025'!$P14), 0, 1), 3, if(ISBLANK('2025'!$Q14), 0, 1), 4, if(ISBLANK('2025'!$R14), 0, 1), 5, if(ISBLANK('2025'!$S14), 0, 1), 6, if(ISBLANK('2025'!$T14), 0, 1), 7, 0))), 1, "")</f>
        <v/>
      </c>
      <c r="U14" s="1" t="str">
        <f>IF(AND(AND(AND(U$4&gt;='2025'!$L14,U$4&lt;='2025'!$M14), U$4&lt;&gt;DATE(2025,7,4)), (SWITCH(weekday(U$4), 1, 0, 2, if(ISBLANK('2025'!$P14), 0, 1), 3, if(ISBLANK('2025'!$Q14), 0, 1), 4, if(ISBLANK('2025'!$R14), 0, 1), 5, if(ISBLANK('2025'!$S14), 0, 1), 6, if(ISBLANK('2025'!$T14), 0, 1), 7, 0))), 1, "")</f>
        <v/>
      </c>
      <c r="V14" s="1" t="str">
        <f>IF(AND(AND(AND(V$4&gt;='2025'!$L14,V$4&lt;='2025'!$M14), V$4&lt;&gt;DATE(2025,7,4)), (SWITCH(weekday(V$4), 1, 0, 2, if(ISBLANK('2025'!$P14), 0, 1), 3, if(ISBLANK('2025'!$Q14), 0, 1), 4, if(ISBLANK('2025'!$R14), 0, 1), 5, if(ISBLANK('2025'!$S14), 0, 1), 6, if(ISBLANK('2025'!$T14), 0, 1), 7, 0))), 1, "")</f>
        <v/>
      </c>
      <c r="W14" s="1" t="str">
        <f>IF(AND(AND(AND(W$4&gt;='2025'!$L14,W$4&lt;='2025'!$M14), W$4&lt;&gt;DATE(2025,7,4)), (SWITCH(weekday(W$4), 1, 0, 2, if(ISBLANK('2025'!$P14), 0, 1), 3, if(ISBLANK('2025'!$Q14), 0, 1), 4, if(ISBLANK('2025'!$R14), 0, 1), 5, if(ISBLANK('2025'!$S14), 0, 1), 6, if(ISBLANK('2025'!$T14), 0, 1), 7, 0))), 1, "")</f>
        <v/>
      </c>
      <c r="X14" s="1" t="str">
        <f>IF(AND(AND(AND(X$4&gt;='2025'!$L14,X$4&lt;='2025'!$M14), X$4&lt;&gt;DATE(2025,7,4)), (SWITCH(weekday(X$4), 1, 0, 2, if(ISBLANK('2025'!$P14), 0, 1), 3, if(ISBLANK('2025'!$Q14), 0, 1), 4, if(ISBLANK('2025'!$R14), 0, 1), 5, if(ISBLANK('2025'!$S14), 0, 1), 6, if(ISBLANK('2025'!$T14), 0, 1), 7, 0))), 1, "")</f>
        <v/>
      </c>
      <c r="Y14" s="1" t="str">
        <f>IF(AND(AND(AND(Y$4&gt;='2025'!$L14,Y$4&lt;='2025'!$M14), Y$4&lt;&gt;DATE(2025,7,4)), (SWITCH(weekday(Y$4), 1, 0, 2, if(ISBLANK('2025'!$P14), 0, 1), 3, if(ISBLANK('2025'!$Q14), 0, 1), 4, if(ISBLANK('2025'!$R14), 0, 1), 5, if(ISBLANK('2025'!$S14), 0, 1), 6, if(ISBLANK('2025'!$T14), 0, 1), 7, 0))), 1, "")</f>
        <v/>
      </c>
      <c r="Z14" s="1" t="str">
        <f>IF(AND(AND(AND(Z$4&gt;='2025'!$L14,Z$4&lt;='2025'!$M14), Z$4&lt;&gt;DATE(2025,7,4)), (SWITCH(weekday(Z$4), 1, 0, 2, if(ISBLANK('2025'!$P14), 0, 1), 3, if(ISBLANK('2025'!$Q14), 0, 1), 4, if(ISBLANK('2025'!$R14), 0, 1), 5, if(ISBLANK('2025'!$S14), 0, 1), 6, if(ISBLANK('2025'!$T14), 0, 1), 7, 0))), 1, "")</f>
        <v/>
      </c>
      <c r="AA14" s="1" t="str">
        <f>IF(AND(AND(AND(AA$4&gt;='2025'!$L14,AA$4&lt;='2025'!$M14), AA$4&lt;&gt;DATE(2025,7,4)), (SWITCH(weekday(AA$4), 1, 0, 2, if(ISBLANK('2025'!$P14), 0, 1), 3, if(ISBLANK('2025'!$Q14), 0, 1), 4, if(ISBLANK('2025'!$R14), 0, 1), 5, if(ISBLANK('2025'!$S14), 0, 1), 6, if(ISBLANK('2025'!$T14), 0, 1), 7, 0))), 1, "")</f>
        <v/>
      </c>
      <c r="AB14" s="1" t="str">
        <f>IF(AND(AND(AND(AB$4&gt;='2025'!$L14,AB$4&lt;='2025'!$M14), AB$4&lt;&gt;DATE(2025,7,4)), (SWITCH(weekday(AB$4), 1, 0, 2, if(ISBLANK('2025'!$P14), 0, 1), 3, if(ISBLANK('2025'!$Q14), 0, 1), 4, if(ISBLANK('2025'!$R14), 0, 1), 5, if(ISBLANK('2025'!$S14), 0, 1), 6, if(ISBLANK('2025'!$T14), 0, 1), 7, 0))), 1, "")</f>
        <v/>
      </c>
      <c r="AC14" s="1" t="str">
        <f>IF(AND(AND(AND(AC$4&gt;='2025'!$L14,AC$4&lt;='2025'!$M14), AC$4&lt;&gt;DATE(2025,7,4)), (SWITCH(weekday(AC$4), 1, 0, 2, if(ISBLANK('2025'!$P14), 0, 1), 3, if(ISBLANK('2025'!$Q14), 0, 1), 4, if(ISBLANK('2025'!$R14), 0, 1), 5, if(ISBLANK('2025'!$S14), 0, 1), 6, if(ISBLANK('2025'!$T14), 0, 1), 7, 0))), 1, "")</f>
        <v/>
      </c>
      <c r="AD14" s="1" t="str">
        <f>IF(AND(AND(AND(AD$4&gt;='2025'!$L14,AD$4&lt;='2025'!$M14), AD$4&lt;&gt;DATE(2025,7,4)), (SWITCH(weekday(AD$4), 1, 0, 2, if(ISBLANK('2025'!$P14), 0, 1), 3, if(ISBLANK('2025'!$Q14), 0, 1), 4, if(ISBLANK('2025'!$R14), 0, 1), 5, if(ISBLANK('2025'!$S14), 0, 1), 6, if(ISBLANK('2025'!$T14), 0, 1), 7, 0))), 1, "")</f>
        <v/>
      </c>
      <c r="AE14" s="1" t="str">
        <f>IF(AND(AND(AND(AE$4&gt;='2025'!$L14,AE$4&lt;='2025'!$M14), AE$4&lt;&gt;DATE(2025,7,4)), (SWITCH(weekday(AE$4), 1, 0, 2, if(ISBLANK('2025'!$P14), 0, 1), 3, if(ISBLANK('2025'!$Q14), 0, 1), 4, if(ISBLANK('2025'!$R14), 0, 1), 5, if(ISBLANK('2025'!$S14), 0, 1), 6, if(ISBLANK('2025'!$T14), 0, 1), 7, 0))), 1, "")</f>
        <v/>
      </c>
      <c r="AF14" s="1" t="str">
        <f>IF(AND(AND(AND(AF$4&gt;='2025'!$L14,AF$4&lt;='2025'!$M14), AF$4&lt;&gt;DATE(2025,7,4)), (SWITCH(weekday(AF$4), 1, 0, 2, if(ISBLANK('2025'!$P14), 0, 1), 3, if(ISBLANK('2025'!$Q14), 0, 1), 4, if(ISBLANK('2025'!$R14), 0, 1), 5, if(ISBLANK('2025'!$S14), 0, 1), 6, if(ISBLANK('2025'!$T14), 0, 1), 7, 0))), 1, "")</f>
        <v/>
      </c>
      <c r="AG14" s="1" t="str">
        <f>IF(AND(AND(AND(AG$4&gt;='2025'!$L14,AG$4&lt;='2025'!$M14), AG$4&lt;&gt;DATE(2025,7,4)), (SWITCH(weekday(AG$4), 1, 0, 2, if(ISBLANK('2025'!$P14), 0, 1), 3, if(ISBLANK('2025'!$Q14), 0, 1), 4, if(ISBLANK('2025'!$R14), 0, 1), 5, if(ISBLANK('2025'!$S14), 0, 1), 6, if(ISBLANK('2025'!$T14), 0, 1), 7, 0))), 1, "")</f>
        <v/>
      </c>
      <c r="AH14" s="1" t="str">
        <f>IF(AND(AND(AND(AH$4&gt;='2025'!$L14,AH$4&lt;='2025'!$M14), AH$4&lt;&gt;DATE(2025,7,4)), (SWITCH(weekday(AH$4), 1, 0, 2, if(ISBLANK('2025'!$P14), 0, 1), 3, if(ISBLANK('2025'!$Q14), 0, 1), 4, if(ISBLANK('2025'!$R14), 0, 1), 5, if(ISBLANK('2025'!$S14), 0, 1), 6, if(ISBLANK('2025'!$T14), 0, 1), 7, 0))), 1, "")</f>
        <v/>
      </c>
      <c r="AI14" s="1" t="str">
        <f>IF(AND(AND(AND(AI$4&gt;='2025'!$L14,AI$4&lt;='2025'!$M14), AI$4&lt;&gt;DATE(2025,7,4)), (SWITCH(weekday(AI$4), 1, 0, 2, if(ISBLANK('2025'!$P14), 0, 1), 3, if(ISBLANK('2025'!$Q14), 0, 1), 4, if(ISBLANK('2025'!$R14), 0, 1), 5, if(ISBLANK('2025'!$S14), 0, 1), 6, if(ISBLANK('2025'!$T14), 0, 1), 7, 0))), 1, "")</f>
        <v/>
      </c>
      <c r="AJ14" s="1" t="str">
        <f>IF(AND(AND(AND(AJ$4&gt;='2025'!$L14,AJ$4&lt;='2025'!$M14), AJ$4&lt;&gt;DATE(2025,7,4)), (SWITCH(weekday(AJ$4), 1, 0, 2, if(ISBLANK('2025'!$P14), 0, 1), 3, if(ISBLANK('2025'!$Q14), 0, 1), 4, if(ISBLANK('2025'!$R14), 0, 1), 5, if(ISBLANK('2025'!$S14), 0, 1), 6, if(ISBLANK('2025'!$T14), 0, 1), 7, 0))), 1, "")</f>
        <v/>
      </c>
      <c r="AK14" s="1" t="str">
        <f>IF(AND(AND(AND(AK$4&gt;='2025'!$L14,AK$4&lt;='2025'!$M14), AK$4&lt;&gt;DATE(2025,7,4)), (SWITCH(weekday(AK$4), 1, 0, 2, if(ISBLANK('2025'!$P14), 0, 1), 3, if(ISBLANK('2025'!$Q14), 0, 1), 4, if(ISBLANK('2025'!$R14), 0, 1), 5, if(ISBLANK('2025'!$S14), 0, 1), 6, if(ISBLANK('2025'!$T14), 0, 1), 7, 0))), 1, "")</f>
        <v/>
      </c>
      <c r="AL14" s="1" t="str">
        <f>IF(AND(AND(AND(AL$4&gt;='2025'!$L14,AL$4&lt;='2025'!$M14), AL$4&lt;&gt;DATE(2025,7,4)), (SWITCH(weekday(AL$4), 1, 0, 2, if(ISBLANK('2025'!$P14), 0, 1), 3, if(ISBLANK('2025'!$Q14), 0, 1), 4, if(ISBLANK('2025'!$R14), 0, 1), 5, if(ISBLANK('2025'!$S14), 0, 1), 6, if(ISBLANK('2025'!$T14), 0, 1), 7, 0))), 1, "")</f>
        <v/>
      </c>
      <c r="AM14" s="1" t="str">
        <f>IF(AND(AND(AND(AM$4&gt;='2025'!$L14,AM$4&lt;='2025'!$M14), AM$4&lt;&gt;DATE(2025,7,4)), (SWITCH(weekday(AM$4), 1, 0, 2, if(ISBLANK('2025'!$P14), 0, 1), 3, if(ISBLANK('2025'!$Q14), 0, 1), 4, if(ISBLANK('2025'!$R14), 0, 1), 5, if(ISBLANK('2025'!$S14), 0, 1), 6, if(ISBLANK('2025'!$T14), 0, 1), 7, 0))), 1, "")</f>
        <v/>
      </c>
      <c r="AN14" s="1" t="str">
        <f>IF(AND(AND(AND(AN$4&gt;='2025'!$L14,AN$4&lt;='2025'!$M14), AN$4&lt;&gt;DATE(2025,7,4)), (SWITCH(weekday(AN$4), 1, 0, 2, if(ISBLANK('2025'!$P14), 0, 1), 3, if(ISBLANK('2025'!$Q14), 0, 1), 4, if(ISBLANK('2025'!$R14), 0, 1), 5, if(ISBLANK('2025'!$S14), 0, 1), 6, if(ISBLANK('2025'!$T14), 0, 1), 7, 0))), 1, "")</f>
        <v/>
      </c>
      <c r="AO14" s="1" t="str">
        <f>IF(AND(AND(AND(AO$4&gt;='2025'!$L14,AO$4&lt;='2025'!$M14), AO$4&lt;&gt;DATE(2025,7,4)), (SWITCH(weekday(AO$4), 1, 0, 2, if(ISBLANK('2025'!$P14), 0, 1), 3, if(ISBLANK('2025'!$Q14), 0, 1), 4, if(ISBLANK('2025'!$R14), 0, 1), 5, if(ISBLANK('2025'!$S14), 0, 1), 6, if(ISBLANK('2025'!$T14), 0, 1), 7, 0))), 1, "")</f>
        <v/>
      </c>
      <c r="AP14" s="1" t="str">
        <f>IF(AND(AND(AND(AP$4&gt;='2025'!$L14,AP$4&lt;='2025'!$M14), AP$4&lt;&gt;DATE(2025,7,4)), (SWITCH(weekday(AP$4), 1, 0, 2, if(ISBLANK('2025'!$P14), 0, 1), 3, if(ISBLANK('2025'!$Q14), 0, 1), 4, if(ISBLANK('2025'!$R14), 0, 1), 5, if(ISBLANK('2025'!$S14), 0, 1), 6, if(ISBLANK('2025'!$T14), 0, 1), 7, 0))), 1, "")</f>
        <v/>
      </c>
      <c r="AQ14" s="1" t="str">
        <f>IF(AND(AND(AND(AQ$4&gt;='2025'!$L14,AQ$4&lt;='2025'!$M14), AQ$4&lt;&gt;DATE(2025,7,4)), (SWITCH(weekday(AQ$4), 1, 0, 2, if(ISBLANK('2025'!$P14), 0, 1), 3, if(ISBLANK('2025'!$Q14), 0, 1), 4, if(ISBLANK('2025'!$R14), 0, 1), 5, if(ISBLANK('2025'!$S14), 0, 1), 6, if(ISBLANK('2025'!$T14), 0, 1), 7, 0))), 1, "")</f>
        <v/>
      </c>
      <c r="AR14" s="1" t="str">
        <f>IF(AND(AND(AND(AR$4&gt;='2025'!$L14,AR$4&lt;='2025'!$M14), AR$4&lt;&gt;DATE(2025,7,4)), (SWITCH(weekday(AR$4), 1, 0, 2, if(ISBLANK('2025'!$P14), 0, 1), 3, if(ISBLANK('2025'!$Q14), 0, 1), 4, if(ISBLANK('2025'!$R14), 0, 1), 5, if(ISBLANK('2025'!$S14), 0, 1), 6, if(ISBLANK('2025'!$T14), 0, 1), 7, 0))), 1, "")</f>
        <v/>
      </c>
      <c r="AS14" s="1" t="str">
        <f>IF(AND(AND(AND(AS$4&gt;='2025'!$L14,AS$4&lt;='2025'!$M14), AS$4&lt;&gt;DATE(2025,7,4)), (SWITCH(weekday(AS$4), 1, 0, 2, if(ISBLANK('2025'!$P14), 0, 1), 3, if(ISBLANK('2025'!$Q14), 0, 1), 4, if(ISBLANK('2025'!$R14), 0, 1), 5, if(ISBLANK('2025'!$S14), 0, 1), 6, if(ISBLANK('2025'!$T14), 0, 1), 7, 0))), 1, "")</f>
        <v/>
      </c>
      <c r="AT14" s="1" t="str">
        <f>IF(AND(AND(AND(AT$4&gt;='2025'!$L14,AT$4&lt;='2025'!$M14), AT$4&lt;&gt;DATE(2025,7,4)), (SWITCH(weekday(AT$4), 1, 0, 2, if(ISBLANK('2025'!$P14), 0, 1), 3, if(ISBLANK('2025'!$Q14), 0, 1), 4, if(ISBLANK('2025'!$R14), 0, 1), 5, if(ISBLANK('2025'!$S14), 0, 1), 6, if(ISBLANK('2025'!$T14), 0, 1), 7, 0))), 1, "")</f>
        <v/>
      </c>
      <c r="AU14" s="1" t="str">
        <f>IF(AND(AND(AND(AU$4&gt;='2025'!$L14,AU$4&lt;='2025'!$M14), AU$4&lt;&gt;DATE(2025,7,4)), (SWITCH(weekday(AU$4), 1, 0, 2, if(ISBLANK('2025'!$P14), 0, 1), 3, if(ISBLANK('2025'!$Q14), 0, 1), 4, if(ISBLANK('2025'!$R14), 0, 1), 5, if(ISBLANK('2025'!$S14), 0, 1), 6, if(ISBLANK('2025'!$T14), 0, 1), 7, 0))), 1, "")</f>
        <v/>
      </c>
      <c r="AV14" s="1" t="str">
        <f>IF(AND(AND(AND(AV$4&gt;='2025'!$L14,AV$4&lt;='2025'!$M14), AV$4&lt;&gt;DATE(2025,7,4)), (SWITCH(weekday(AV$4), 1, 0, 2, if(ISBLANK('2025'!$P14), 0, 1), 3, if(ISBLANK('2025'!$Q14), 0, 1), 4, if(ISBLANK('2025'!$R14), 0, 1), 5, if(ISBLANK('2025'!$S14), 0, 1), 6, if(ISBLANK('2025'!$T14), 0, 1), 7, 0))), 1, "")</f>
        <v/>
      </c>
      <c r="AW14" s="1" t="str">
        <f>IF(AND(AND(AND(AW$4&gt;='2025'!$L14,AW$4&lt;='2025'!$M14), AW$4&lt;&gt;DATE(2025,7,4)), (SWITCH(weekday(AW$4), 1, 0, 2, if(ISBLANK('2025'!$P14), 0, 1), 3, if(ISBLANK('2025'!$Q14), 0, 1), 4, if(ISBLANK('2025'!$R14), 0, 1), 5, if(ISBLANK('2025'!$S14), 0, 1), 6, if(ISBLANK('2025'!$T14), 0, 1), 7, 0))), 1, "")</f>
        <v/>
      </c>
      <c r="AX14" s="1" t="str">
        <f>IF(AND(AND(AND(AX$4&gt;='2025'!$L14,AX$4&lt;='2025'!$M14), AX$4&lt;&gt;DATE(2025,7,4)), (SWITCH(weekday(AX$4), 1, 0, 2, if(ISBLANK('2025'!$P14), 0, 1), 3, if(ISBLANK('2025'!$Q14), 0, 1), 4, if(ISBLANK('2025'!$R14), 0, 1), 5, if(ISBLANK('2025'!$S14), 0, 1), 6, if(ISBLANK('2025'!$T14), 0, 1), 7, 0))), 1, "")</f>
        <v/>
      </c>
      <c r="AY14" s="1" t="str">
        <f>IF(AND(AND(AND(AY$4&gt;='2025'!$L14,AY$4&lt;='2025'!$M14), AY$4&lt;&gt;DATE(2025,7,4)), (SWITCH(weekday(AY$4), 1, 0, 2, if(ISBLANK('2025'!$P14), 0, 1), 3, if(ISBLANK('2025'!$Q14), 0, 1), 4, if(ISBLANK('2025'!$R14), 0, 1), 5, if(ISBLANK('2025'!$S14), 0, 1), 6, if(ISBLANK('2025'!$T14), 0, 1), 7, 0))), 1, "")</f>
        <v/>
      </c>
      <c r="AZ14" s="1" t="str">
        <f>IF(AND(AND(AND(AZ$4&gt;='2025'!$L14,AZ$4&lt;='2025'!$M14), AZ$4&lt;&gt;DATE(2025,7,4)), (SWITCH(weekday(AZ$4), 1, 0, 2, if(ISBLANK('2025'!$P14), 0, 1), 3, if(ISBLANK('2025'!$Q14), 0, 1), 4, if(ISBLANK('2025'!$R14), 0, 1), 5, if(ISBLANK('2025'!$S14), 0, 1), 6, if(ISBLANK('2025'!$T14), 0, 1), 7, 0))), 1, "")</f>
        <v/>
      </c>
      <c r="BA14" s="1" t="str">
        <f>IF(AND(AND(AND(BA$4&gt;='2025'!$L14,BA$4&lt;='2025'!$M14), BA$4&lt;&gt;DATE(2025,7,4)), (SWITCH(weekday(BA$4), 1, 0, 2, if(ISBLANK('2025'!$P14), 0, 1), 3, if(ISBLANK('2025'!$Q14), 0, 1), 4, if(ISBLANK('2025'!$R14), 0, 1), 5, if(ISBLANK('2025'!$S14), 0, 1), 6, if(ISBLANK('2025'!$T14), 0, 1), 7, 0))), 1, "")</f>
        <v/>
      </c>
      <c r="BB14" s="1" t="str">
        <f>IF(AND(AND(AND(BB$4&gt;='2025'!$L14,BB$4&lt;='2025'!$M14), BB$4&lt;&gt;DATE(2025,7,4)), (SWITCH(weekday(BB$4), 1, 0, 2, if(ISBLANK('2025'!$P14), 0, 1), 3, if(ISBLANK('2025'!$Q14), 0, 1), 4, if(ISBLANK('2025'!$R14), 0, 1), 5, if(ISBLANK('2025'!$S14), 0, 1), 6, if(ISBLANK('2025'!$T14), 0, 1), 7, 0))), 1, "")</f>
        <v/>
      </c>
      <c r="BC14" s="1" t="str">
        <f>IF(AND(AND(AND(BC$4&gt;='2025'!$L14,BC$4&lt;='2025'!$M14), BC$4&lt;&gt;DATE(2025,7,4)), (SWITCH(weekday(BC$4), 1, 0, 2, if(ISBLANK('2025'!$P14), 0, 1), 3, if(ISBLANK('2025'!$Q14), 0, 1), 4, if(ISBLANK('2025'!$R14), 0, 1), 5, if(ISBLANK('2025'!$S14), 0, 1), 6, if(ISBLANK('2025'!$T14), 0, 1), 7, 0))), 1, "")</f>
        <v/>
      </c>
      <c r="BD14" s="1" t="str">
        <f>IF(AND(AND(AND(BD$4&gt;='2025'!$L14,BD$4&lt;='2025'!$M14), BD$4&lt;&gt;DATE(2025,7,4)), (SWITCH(weekday(BD$4), 1, 0, 2, if(ISBLANK('2025'!$P14), 0, 1), 3, if(ISBLANK('2025'!$Q14), 0, 1), 4, if(ISBLANK('2025'!$R14), 0, 1), 5, if(ISBLANK('2025'!$S14), 0, 1), 6, if(ISBLANK('2025'!$T14), 0, 1), 7, 0))), 1, "")</f>
        <v/>
      </c>
      <c r="BE14" s="1" t="str">
        <f>IF(AND(AND(AND(BE$4&gt;='2025'!$L14,BE$4&lt;='2025'!$M14), BE$4&lt;&gt;DATE(2025,7,4)), (SWITCH(weekday(BE$4), 1, 0, 2, if(ISBLANK('2025'!$P14), 0, 1), 3, if(ISBLANK('2025'!$Q14), 0, 1), 4, if(ISBLANK('2025'!$R14), 0, 1), 5, if(ISBLANK('2025'!$S14), 0, 1), 6, if(ISBLANK('2025'!$T14), 0, 1), 7, 0))), 1, "")</f>
        <v/>
      </c>
      <c r="BF14" s="1" t="str">
        <f>IF(AND(AND(AND(BF$4&gt;='2025'!$L14,BF$4&lt;='2025'!$M14), BF$4&lt;&gt;DATE(2025,7,4)), (SWITCH(weekday(BF$4), 1, 0, 2, if(ISBLANK('2025'!$P14), 0, 1), 3, if(ISBLANK('2025'!$Q14), 0, 1), 4, if(ISBLANK('2025'!$R14), 0, 1), 5, if(ISBLANK('2025'!$S14), 0, 1), 6, if(ISBLANK('2025'!$T14), 0, 1), 7, 0))), 1, "")</f>
        <v/>
      </c>
      <c r="BG14" s="1"/>
      <c r="BH14" s="1"/>
      <c r="BI14" s="1"/>
      <c r="BJ14" s="1"/>
      <c r="BK14" s="1"/>
      <c r="BL14" s="1"/>
    </row>
    <row r="15">
      <c r="A15" s="1">
        <f t="shared" si="3"/>
        <v>15</v>
      </c>
      <c r="B15" s="1" t="str">
        <f>'2025'!D15</f>
        <v>Abraham, Rebecca</v>
      </c>
      <c r="C15" s="1" t="str">
        <f>'2025'!H15</f>
        <v>PK4</v>
      </c>
      <c r="D15" s="1" t="str">
        <f>IF(AND(AND(AND(D$4&gt;='2025'!$L15,D$4&lt;='2025'!$M15), D$4&lt;&gt;DATE(2025,7,4)), (SWITCH(weekday(D$4), 1, 0, 2, if(ISBLANK('2025'!$P15), 0, 1), 3, if(ISBLANK('2025'!$Q15), 0, 1), 4, if(ISBLANK('2025'!$R15), 0, 1), 5, if(ISBLANK('2025'!$S15), 0, 1), 6, if(ISBLANK('2025'!$T15), 0, 1), 7, 0))), 1, "")</f>
        <v/>
      </c>
      <c r="E15" s="1" t="str">
        <f>IF(AND(AND(AND(E$4&gt;='2025'!$L15,E$4&lt;='2025'!$M15), E$4&lt;&gt;DATE(2025,7,4)), (SWITCH(weekday(E$4), 1, 0, 2, if(ISBLANK('2025'!$P15), 0, 1), 3, if(ISBLANK('2025'!$Q15), 0, 1), 4, if(ISBLANK('2025'!$R15), 0, 1), 5, if(ISBLANK('2025'!$S15), 0, 1), 6, if(ISBLANK('2025'!$T15), 0, 1), 7, 0))), 1, "")</f>
        <v/>
      </c>
      <c r="F15" s="1" t="str">
        <f>IF(AND(AND(AND(F$4&gt;='2025'!$L15,F$4&lt;='2025'!$M15), F$4&lt;&gt;DATE(2025,7,4)), (SWITCH(weekday(F$4), 1, 0, 2, if(ISBLANK('2025'!$P15), 0, 1), 3, if(ISBLANK('2025'!$Q15), 0, 1), 4, if(ISBLANK('2025'!$R15), 0, 1), 5, if(ISBLANK('2025'!$S15), 0, 1), 6, if(ISBLANK('2025'!$T15), 0, 1), 7, 0))), 1, "")</f>
        <v/>
      </c>
      <c r="G15" s="1" t="str">
        <f>IF(AND(AND(AND(G$4&gt;='2025'!$L15,G$4&lt;='2025'!$M15), G$4&lt;&gt;DATE(2025,7,4)), (SWITCH(weekday(G$4), 1, 0, 2, if(ISBLANK('2025'!$P15), 0, 1), 3, if(ISBLANK('2025'!$Q15), 0, 1), 4, if(ISBLANK('2025'!$R15), 0, 1), 5, if(ISBLANK('2025'!$S15), 0, 1), 6, if(ISBLANK('2025'!$T15), 0, 1), 7, 0))), 1, "")</f>
        <v/>
      </c>
      <c r="H15" s="1" t="str">
        <f>IF(AND(AND(AND(H$4&gt;='2025'!$L15,H$4&lt;='2025'!$M15), H$4&lt;&gt;DATE(2025,7,4)), (SWITCH(weekday(H$4), 1, 0, 2, if(ISBLANK('2025'!$P15), 0, 1), 3, if(ISBLANK('2025'!$Q15), 0, 1), 4, if(ISBLANK('2025'!$R15), 0, 1), 5, if(ISBLANK('2025'!$S15), 0, 1), 6, if(ISBLANK('2025'!$T15), 0, 1), 7, 0))), 1, "")</f>
        <v/>
      </c>
      <c r="I15" s="1" t="str">
        <f>IF(AND(AND(AND(I$4&gt;='2025'!$L15,I$4&lt;='2025'!$M15), I$4&lt;&gt;DATE(2025,7,4)), (SWITCH(weekday(I$4), 1, 0, 2, if(ISBLANK('2025'!$P15), 0, 1), 3, if(ISBLANK('2025'!$Q15), 0, 1), 4, if(ISBLANK('2025'!$R15), 0, 1), 5, if(ISBLANK('2025'!$S15), 0, 1), 6, if(ISBLANK('2025'!$T15), 0, 1), 7, 0))), 1, "")</f>
        <v/>
      </c>
      <c r="J15" s="1" t="str">
        <f>IF(AND(AND(AND(J$4&gt;='2025'!$L15,J$4&lt;='2025'!$M15), J$4&lt;&gt;DATE(2025,7,4)), (SWITCH(weekday(J$4), 1, 0, 2, if(ISBLANK('2025'!$P15), 0, 1), 3, if(ISBLANK('2025'!$Q15), 0, 1), 4, if(ISBLANK('2025'!$R15), 0, 1), 5, if(ISBLANK('2025'!$S15), 0, 1), 6, if(ISBLANK('2025'!$T15), 0, 1), 7, 0))), 1, "")</f>
        <v/>
      </c>
      <c r="K15" s="1" t="str">
        <f>IF(AND(AND(AND(K$4&gt;='2025'!$L15,K$4&lt;='2025'!$M15), K$4&lt;&gt;DATE(2025,7,4)), (SWITCH(weekday(K$4), 1, 0, 2, if(ISBLANK('2025'!$P15), 0, 1), 3, if(ISBLANK('2025'!$Q15), 0, 1), 4, if(ISBLANK('2025'!$R15), 0, 1), 5, if(ISBLANK('2025'!$S15), 0, 1), 6, if(ISBLANK('2025'!$T15), 0, 1), 7, 0))), 1, "")</f>
        <v/>
      </c>
      <c r="L15" s="1" t="str">
        <f>IF(AND(AND(AND(L$4&gt;='2025'!$L15,L$4&lt;='2025'!$M15), L$4&lt;&gt;DATE(2025,7,4)), (SWITCH(weekday(L$4), 1, 0, 2, if(ISBLANK('2025'!$P15), 0, 1), 3, if(ISBLANK('2025'!$Q15), 0, 1), 4, if(ISBLANK('2025'!$R15), 0, 1), 5, if(ISBLANK('2025'!$S15), 0, 1), 6, if(ISBLANK('2025'!$T15), 0, 1), 7, 0))), 1, "")</f>
        <v/>
      </c>
      <c r="M15" s="1" t="str">
        <f>IF(AND(AND(AND(M$4&gt;='2025'!$L15,M$4&lt;='2025'!$M15), M$4&lt;&gt;DATE(2025,7,4)), (SWITCH(weekday(M$4), 1, 0, 2, if(ISBLANK('2025'!$P15), 0, 1), 3, if(ISBLANK('2025'!$Q15), 0, 1), 4, if(ISBLANK('2025'!$R15), 0, 1), 5, if(ISBLANK('2025'!$S15), 0, 1), 6, if(ISBLANK('2025'!$T15), 0, 1), 7, 0))), 1, "")</f>
        <v/>
      </c>
      <c r="N15" s="1" t="str">
        <f>IF(AND(AND(AND(N$4&gt;='2025'!$L15,N$4&lt;='2025'!$M15), N$4&lt;&gt;DATE(2025,7,4)), (SWITCH(weekday(N$4), 1, 0, 2, if(ISBLANK('2025'!$P15), 0, 1), 3, if(ISBLANK('2025'!$Q15), 0, 1), 4, if(ISBLANK('2025'!$R15), 0, 1), 5, if(ISBLANK('2025'!$S15), 0, 1), 6, if(ISBLANK('2025'!$T15), 0, 1), 7, 0))), 1, "")</f>
        <v/>
      </c>
      <c r="O15" s="1" t="str">
        <f>IF(AND(AND(AND(O$4&gt;='2025'!$L15,O$4&lt;='2025'!$M15), O$4&lt;&gt;DATE(2025,7,4)), (SWITCH(weekday(O$4), 1, 0, 2, if(ISBLANK('2025'!$P15), 0, 1), 3, if(ISBLANK('2025'!$Q15), 0, 1), 4, if(ISBLANK('2025'!$R15), 0, 1), 5, if(ISBLANK('2025'!$S15), 0, 1), 6, if(ISBLANK('2025'!$T15), 0, 1), 7, 0))), 1, "")</f>
        <v/>
      </c>
      <c r="P15" s="1" t="str">
        <f>IF(AND(AND(AND(P$4&gt;='2025'!$L15,P$4&lt;='2025'!$M15), P$4&lt;&gt;DATE(2025,7,4)), (SWITCH(weekday(P$4), 1, 0, 2, if(ISBLANK('2025'!$P15), 0, 1), 3, if(ISBLANK('2025'!$Q15), 0, 1), 4, if(ISBLANK('2025'!$R15), 0, 1), 5, if(ISBLANK('2025'!$S15), 0, 1), 6, if(ISBLANK('2025'!$T15), 0, 1), 7, 0))), 1, "")</f>
        <v/>
      </c>
      <c r="Q15" s="1" t="str">
        <f>IF(AND(AND(AND(Q$4&gt;='2025'!$L15,Q$4&lt;='2025'!$M15), Q$4&lt;&gt;DATE(2025,7,4)), (SWITCH(weekday(Q$4), 1, 0, 2, if(ISBLANK('2025'!$P15), 0, 1), 3, if(ISBLANK('2025'!$Q15), 0, 1), 4, if(ISBLANK('2025'!$R15), 0, 1), 5, if(ISBLANK('2025'!$S15), 0, 1), 6, if(ISBLANK('2025'!$T15), 0, 1), 7, 0))), 1, "")</f>
        <v/>
      </c>
      <c r="R15" s="1" t="str">
        <f>IF(AND(AND(AND(R$4&gt;='2025'!$L15,R$4&lt;='2025'!$M15), R$4&lt;&gt;DATE(2025,7,4)), (SWITCH(weekday(R$4), 1, 0, 2, if(ISBLANK('2025'!$P15), 0, 1), 3, if(ISBLANK('2025'!$Q15), 0, 1), 4, if(ISBLANK('2025'!$R15), 0, 1), 5, if(ISBLANK('2025'!$S15), 0, 1), 6, if(ISBLANK('2025'!$T15), 0, 1), 7, 0))), 1, "")</f>
        <v/>
      </c>
      <c r="S15" s="1" t="str">
        <f>IF(AND(AND(AND(S$4&gt;='2025'!$L15,S$4&lt;='2025'!$M15), S$4&lt;&gt;DATE(2025,7,4)), (SWITCH(weekday(S$4), 1, 0, 2, if(ISBLANK('2025'!$P15), 0, 1), 3, if(ISBLANK('2025'!$Q15), 0, 1), 4, if(ISBLANK('2025'!$R15), 0, 1), 5, if(ISBLANK('2025'!$S15), 0, 1), 6, if(ISBLANK('2025'!$T15), 0, 1), 7, 0))), 1, "")</f>
        <v/>
      </c>
      <c r="T15" s="1" t="str">
        <f>IF(AND(AND(AND(T$4&gt;='2025'!$L15,T$4&lt;='2025'!$M15), T$4&lt;&gt;DATE(2025,7,4)), (SWITCH(weekday(T$4), 1, 0, 2, if(ISBLANK('2025'!$P15), 0, 1), 3, if(ISBLANK('2025'!$Q15), 0, 1), 4, if(ISBLANK('2025'!$R15), 0, 1), 5, if(ISBLANK('2025'!$S15), 0, 1), 6, if(ISBLANK('2025'!$T15), 0, 1), 7, 0))), 1, "")</f>
        <v/>
      </c>
      <c r="U15" s="1" t="str">
        <f>IF(AND(AND(AND(U$4&gt;='2025'!$L15,U$4&lt;='2025'!$M15), U$4&lt;&gt;DATE(2025,7,4)), (SWITCH(weekday(U$4), 1, 0, 2, if(ISBLANK('2025'!$P15), 0, 1), 3, if(ISBLANK('2025'!$Q15), 0, 1), 4, if(ISBLANK('2025'!$R15), 0, 1), 5, if(ISBLANK('2025'!$S15), 0, 1), 6, if(ISBLANK('2025'!$T15), 0, 1), 7, 0))), 1, "")</f>
        <v/>
      </c>
      <c r="V15" s="1" t="str">
        <f>IF(AND(AND(AND(V$4&gt;='2025'!$L15,V$4&lt;='2025'!$M15), V$4&lt;&gt;DATE(2025,7,4)), (SWITCH(weekday(V$4), 1, 0, 2, if(ISBLANK('2025'!$P15), 0, 1), 3, if(ISBLANK('2025'!$Q15), 0, 1), 4, if(ISBLANK('2025'!$R15), 0, 1), 5, if(ISBLANK('2025'!$S15), 0, 1), 6, if(ISBLANK('2025'!$T15), 0, 1), 7, 0))), 1, "")</f>
        <v/>
      </c>
      <c r="W15" s="1" t="str">
        <f>IF(AND(AND(AND(W$4&gt;='2025'!$L15,W$4&lt;='2025'!$M15), W$4&lt;&gt;DATE(2025,7,4)), (SWITCH(weekday(W$4), 1, 0, 2, if(ISBLANK('2025'!$P15), 0, 1), 3, if(ISBLANK('2025'!$Q15), 0, 1), 4, if(ISBLANK('2025'!$R15), 0, 1), 5, if(ISBLANK('2025'!$S15), 0, 1), 6, if(ISBLANK('2025'!$T15), 0, 1), 7, 0))), 1, "")</f>
        <v/>
      </c>
      <c r="X15" s="1" t="str">
        <f>IF(AND(AND(AND(X$4&gt;='2025'!$L15,X$4&lt;='2025'!$M15), X$4&lt;&gt;DATE(2025,7,4)), (SWITCH(weekday(X$4), 1, 0, 2, if(ISBLANK('2025'!$P15), 0, 1), 3, if(ISBLANK('2025'!$Q15), 0, 1), 4, if(ISBLANK('2025'!$R15), 0, 1), 5, if(ISBLANK('2025'!$S15), 0, 1), 6, if(ISBLANK('2025'!$T15), 0, 1), 7, 0))), 1, "")</f>
        <v/>
      </c>
      <c r="Y15" s="1" t="str">
        <f>IF(AND(AND(AND(Y$4&gt;='2025'!$L15,Y$4&lt;='2025'!$M15), Y$4&lt;&gt;DATE(2025,7,4)), (SWITCH(weekday(Y$4), 1, 0, 2, if(ISBLANK('2025'!$P15), 0, 1), 3, if(ISBLANK('2025'!$Q15), 0, 1), 4, if(ISBLANK('2025'!$R15), 0, 1), 5, if(ISBLANK('2025'!$S15), 0, 1), 6, if(ISBLANK('2025'!$T15), 0, 1), 7, 0))), 1, "")</f>
        <v/>
      </c>
      <c r="Z15" s="1" t="str">
        <f>IF(AND(AND(AND(Z$4&gt;='2025'!$L15,Z$4&lt;='2025'!$M15), Z$4&lt;&gt;DATE(2025,7,4)), (SWITCH(weekday(Z$4), 1, 0, 2, if(ISBLANK('2025'!$P15), 0, 1), 3, if(ISBLANK('2025'!$Q15), 0, 1), 4, if(ISBLANK('2025'!$R15), 0, 1), 5, if(ISBLANK('2025'!$S15), 0, 1), 6, if(ISBLANK('2025'!$T15), 0, 1), 7, 0))), 1, "")</f>
        <v/>
      </c>
      <c r="AA15" s="1" t="str">
        <f>IF(AND(AND(AND(AA$4&gt;='2025'!$L15,AA$4&lt;='2025'!$M15), AA$4&lt;&gt;DATE(2025,7,4)), (SWITCH(weekday(AA$4), 1, 0, 2, if(ISBLANK('2025'!$P15), 0, 1), 3, if(ISBLANK('2025'!$Q15), 0, 1), 4, if(ISBLANK('2025'!$R15), 0, 1), 5, if(ISBLANK('2025'!$S15), 0, 1), 6, if(ISBLANK('2025'!$T15), 0, 1), 7, 0))), 1, "")</f>
        <v/>
      </c>
      <c r="AB15" s="1" t="str">
        <f>IF(AND(AND(AND(AB$4&gt;='2025'!$L15,AB$4&lt;='2025'!$M15), AB$4&lt;&gt;DATE(2025,7,4)), (SWITCH(weekday(AB$4), 1, 0, 2, if(ISBLANK('2025'!$P15), 0, 1), 3, if(ISBLANK('2025'!$Q15), 0, 1), 4, if(ISBLANK('2025'!$R15), 0, 1), 5, if(ISBLANK('2025'!$S15), 0, 1), 6, if(ISBLANK('2025'!$T15), 0, 1), 7, 0))), 1, "")</f>
        <v/>
      </c>
      <c r="AC15" s="1" t="str">
        <f>IF(AND(AND(AND(AC$4&gt;='2025'!$L15,AC$4&lt;='2025'!$M15), AC$4&lt;&gt;DATE(2025,7,4)), (SWITCH(weekday(AC$4), 1, 0, 2, if(ISBLANK('2025'!$P15), 0, 1), 3, if(ISBLANK('2025'!$Q15), 0, 1), 4, if(ISBLANK('2025'!$R15), 0, 1), 5, if(ISBLANK('2025'!$S15), 0, 1), 6, if(ISBLANK('2025'!$T15), 0, 1), 7, 0))), 1, "")</f>
        <v/>
      </c>
      <c r="AD15" s="1" t="str">
        <f>IF(AND(AND(AND(AD$4&gt;='2025'!$L15,AD$4&lt;='2025'!$M15), AD$4&lt;&gt;DATE(2025,7,4)), (SWITCH(weekday(AD$4), 1, 0, 2, if(ISBLANK('2025'!$P15), 0, 1), 3, if(ISBLANK('2025'!$Q15), 0, 1), 4, if(ISBLANK('2025'!$R15), 0, 1), 5, if(ISBLANK('2025'!$S15), 0, 1), 6, if(ISBLANK('2025'!$T15), 0, 1), 7, 0))), 1, "")</f>
        <v/>
      </c>
      <c r="AE15" s="1" t="str">
        <f>IF(AND(AND(AND(AE$4&gt;='2025'!$L15,AE$4&lt;='2025'!$M15), AE$4&lt;&gt;DATE(2025,7,4)), (SWITCH(weekday(AE$4), 1, 0, 2, if(ISBLANK('2025'!$P15), 0, 1), 3, if(ISBLANK('2025'!$Q15), 0, 1), 4, if(ISBLANK('2025'!$R15), 0, 1), 5, if(ISBLANK('2025'!$S15), 0, 1), 6, if(ISBLANK('2025'!$T15), 0, 1), 7, 0))), 1, "")</f>
        <v/>
      </c>
      <c r="AF15" s="1" t="str">
        <f>IF(AND(AND(AND(AF$4&gt;='2025'!$L15,AF$4&lt;='2025'!$M15), AF$4&lt;&gt;DATE(2025,7,4)), (SWITCH(weekday(AF$4), 1, 0, 2, if(ISBLANK('2025'!$P15), 0, 1), 3, if(ISBLANK('2025'!$Q15), 0, 1), 4, if(ISBLANK('2025'!$R15), 0, 1), 5, if(ISBLANK('2025'!$S15), 0, 1), 6, if(ISBLANK('2025'!$T15), 0, 1), 7, 0))), 1, "")</f>
        <v/>
      </c>
      <c r="AG15" s="1" t="str">
        <f>IF(AND(AND(AND(AG$4&gt;='2025'!$L15,AG$4&lt;='2025'!$M15), AG$4&lt;&gt;DATE(2025,7,4)), (SWITCH(weekday(AG$4), 1, 0, 2, if(ISBLANK('2025'!$P15), 0, 1), 3, if(ISBLANK('2025'!$Q15), 0, 1), 4, if(ISBLANK('2025'!$R15), 0, 1), 5, if(ISBLANK('2025'!$S15), 0, 1), 6, if(ISBLANK('2025'!$T15), 0, 1), 7, 0))), 1, "")</f>
        <v/>
      </c>
      <c r="AH15" s="1" t="str">
        <f>IF(AND(AND(AND(AH$4&gt;='2025'!$L15,AH$4&lt;='2025'!$M15), AH$4&lt;&gt;DATE(2025,7,4)), (SWITCH(weekday(AH$4), 1, 0, 2, if(ISBLANK('2025'!$P15), 0, 1), 3, if(ISBLANK('2025'!$Q15), 0, 1), 4, if(ISBLANK('2025'!$R15), 0, 1), 5, if(ISBLANK('2025'!$S15), 0, 1), 6, if(ISBLANK('2025'!$T15), 0, 1), 7, 0))), 1, "")</f>
        <v/>
      </c>
      <c r="AI15" s="1" t="str">
        <f>IF(AND(AND(AND(AI$4&gt;='2025'!$L15,AI$4&lt;='2025'!$M15), AI$4&lt;&gt;DATE(2025,7,4)), (SWITCH(weekday(AI$4), 1, 0, 2, if(ISBLANK('2025'!$P15), 0, 1), 3, if(ISBLANK('2025'!$Q15), 0, 1), 4, if(ISBLANK('2025'!$R15), 0, 1), 5, if(ISBLANK('2025'!$S15), 0, 1), 6, if(ISBLANK('2025'!$T15), 0, 1), 7, 0))), 1, "")</f>
        <v/>
      </c>
      <c r="AJ15" s="1" t="str">
        <f>IF(AND(AND(AND(AJ$4&gt;='2025'!$L15,AJ$4&lt;='2025'!$M15), AJ$4&lt;&gt;DATE(2025,7,4)), (SWITCH(weekday(AJ$4), 1, 0, 2, if(ISBLANK('2025'!$P15), 0, 1), 3, if(ISBLANK('2025'!$Q15), 0, 1), 4, if(ISBLANK('2025'!$R15), 0, 1), 5, if(ISBLANK('2025'!$S15), 0, 1), 6, if(ISBLANK('2025'!$T15), 0, 1), 7, 0))), 1, "")</f>
        <v/>
      </c>
      <c r="AK15" s="1" t="str">
        <f>IF(AND(AND(AND(AK$4&gt;='2025'!$L15,AK$4&lt;='2025'!$M15), AK$4&lt;&gt;DATE(2025,7,4)), (SWITCH(weekday(AK$4), 1, 0, 2, if(ISBLANK('2025'!$P15), 0, 1), 3, if(ISBLANK('2025'!$Q15), 0, 1), 4, if(ISBLANK('2025'!$R15), 0, 1), 5, if(ISBLANK('2025'!$S15), 0, 1), 6, if(ISBLANK('2025'!$T15), 0, 1), 7, 0))), 1, "")</f>
        <v/>
      </c>
      <c r="AL15" s="1" t="str">
        <f>IF(AND(AND(AND(AL$4&gt;='2025'!$L15,AL$4&lt;='2025'!$M15), AL$4&lt;&gt;DATE(2025,7,4)), (SWITCH(weekday(AL$4), 1, 0, 2, if(ISBLANK('2025'!$P15), 0, 1), 3, if(ISBLANK('2025'!$Q15), 0, 1), 4, if(ISBLANK('2025'!$R15), 0, 1), 5, if(ISBLANK('2025'!$S15), 0, 1), 6, if(ISBLANK('2025'!$T15), 0, 1), 7, 0))), 1, "")</f>
        <v/>
      </c>
      <c r="AM15" s="1" t="str">
        <f>IF(AND(AND(AND(AM$4&gt;='2025'!$L15,AM$4&lt;='2025'!$M15), AM$4&lt;&gt;DATE(2025,7,4)), (SWITCH(weekday(AM$4), 1, 0, 2, if(ISBLANK('2025'!$P15), 0, 1), 3, if(ISBLANK('2025'!$Q15), 0, 1), 4, if(ISBLANK('2025'!$R15), 0, 1), 5, if(ISBLANK('2025'!$S15), 0, 1), 6, if(ISBLANK('2025'!$T15), 0, 1), 7, 0))), 1, "")</f>
        <v/>
      </c>
      <c r="AN15" s="1" t="str">
        <f>IF(AND(AND(AND(AN$4&gt;='2025'!$L15,AN$4&lt;='2025'!$M15), AN$4&lt;&gt;DATE(2025,7,4)), (SWITCH(weekday(AN$4), 1, 0, 2, if(ISBLANK('2025'!$P15), 0, 1), 3, if(ISBLANK('2025'!$Q15), 0, 1), 4, if(ISBLANK('2025'!$R15), 0, 1), 5, if(ISBLANK('2025'!$S15), 0, 1), 6, if(ISBLANK('2025'!$T15), 0, 1), 7, 0))), 1, "")</f>
        <v/>
      </c>
      <c r="AO15" s="1" t="str">
        <f>IF(AND(AND(AND(AO$4&gt;='2025'!$L15,AO$4&lt;='2025'!$M15), AO$4&lt;&gt;DATE(2025,7,4)), (SWITCH(weekday(AO$4), 1, 0, 2, if(ISBLANK('2025'!$P15), 0, 1), 3, if(ISBLANK('2025'!$Q15), 0, 1), 4, if(ISBLANK('2025'!$R15), 0, 1), 5, if(ISBLANK('2025'!$S15), 0, 1), 6, if(ISBLANK('2025'!$T15), 0, 1), 7, 0))), 1, "")</f>
        <v/>
      </c>
      <c r="AP15" s="1" t="str">
        <f>IF(AND(AND(AND(AP$4&gt;='2025'!$L15,AP$4&lt;='2025'!$M15), AP$4&lt;&gt;DATE(2025,7,4)), (SWITCH(weekday(AP$4), 1, 0, 2, if(ISBLANK('2025'!$P15), 0, 1), 3, if(ISBLANK('2025'!$Q15), 0, 1), 4, if(ISBLANK('2025'!$R15), 0, 1), 5, if(ISBLANK('2025'!$S15), 0, 1), 6, if(ISBLANK('2025'!$T15), 0, 1), 7, 0))), 1, "")</f>
        <v/>
      </c>
      <c r="AQ15" s="1" t="str">
        <f>IF(AND(AND(AND(AQ$4&gt;='2025'!$L15,AQ$4&lt;='2025'!$M15), AQ$4&lt;&gt;DATE(2025,7,4)), (SWITCH(weekday(AQ$4), 1, 0, 2, if(ISBLANK('2025'!$P15), 0, 1), 3, if(ISBLANK('2025'!$Q15), 0, 1), 4, if(ISBLANK('2025'!$R15), 0, 1), 5, if(ISBLANK('2025'!$S15), 0, 1), 6, if(ISBLANK('2025'!$T15), 0, 1), 7, 0))), 1, "")</f>
        <v/>
      </c>
      <c r="AR15" s="1" t="str">
        <f>IF(AND(AND(AND(AR$4&gt;='2025'!$L15,AR$4&lt;='2025'!$M15), AR$4&lt;&gt;DATE(2025,7,4)), (SWITCH(weekday(AR$4), 1, 0, 2, if(ISBLANK('2025'!$P15), 0, 1), 3, if(ISBLANK('2025'!$Q15), 0, 1), 4, if(ISBLANK('2025'!$R15), 0, 1), 5, if(ISBLANK('2025'!$S15), 0, 1), 6, if(ISBLANK('2025'!$T15), 0, 1), 7, 0))), 1, "")</f>
        <v/>
      </c>
      <c r="AS15" s="1" t="str">
        <f>IF(AND(AND(AND(AS$4&gt;='2025'!$L15,AS$4&lt;='2025'!$M15), AS$4&lt;&gt;DATE(2025,7,4)), (SWITCH(weekday(AS$4), 1, 0, 2, if(ISBLANK('2025'!$P15), 0, 1), 3, if(ISBLANK('2025'!$Q15), 0, 1), 4, if(ISBLANK('2025'!$R15), 0, 1), 5, if(ISBLANK('2025'!$S15), 0, 1), 6, if(ISBLANK('2025'!$T15), 0, 1), 7, 0))), 1, "")</f>
        <v/>
      </c>
      <c r="AT15" s="1" t="str">
        <f>IF(AND(AND(AND(AT$4&gt;='2025'!$L15,AT$4&lt;='2025'!$M15), AT$4&lt;&gt;DATE(2025,7,4)), (SWITCH(weekday(AT$4), 1, 0, 2, if(ISBLANK('2025'!$P15), 0, 1), 3, if(ISBLANK('2025'!$Q15), 0, 1), 4, if(ISBLANK('2025'!$R15), 0, 1), 5, if(ISBLANK('2025'!$S15), 0, 1), 6, if(ISBLANK('2025'!$T15), 0, 1), 7, 0))), 1, "")</f>
        <v/>
      </c>
      <c r="AU15" s="1" t="str">
        <f>IF(AND(AND(AND(AU$4&gt;='2025'!$L15,AU$4&lt;='2025'!$M15), AU$4&lt;&gt;DATE(2025,7,4)), (SWITCH(weekday(AU$4), 1, 0, 2, if(ISBLANK('2025'!$P15), 0, 1), 3, if(ISBLANK('2025'!$Q15), 0, 1), 4, if(ISBLANK('2025'!$R15), 0, 1), 5, if(ISBLANK('2025'!$S15), 0, 1), 6, if(ISBLANK('2025'!$T15), 0, 1), 7, 0))), 1, "")</f>
        <v/>
      </c>
      <c r="AV15" s="1" t="str">
        <f>IF(AND(AND(AND(AV$4&gt;='2025'!$L15,AV$4&lt;='2025'!$M15), AV$4&lt;&gt;DATE(2025,7,4)), (SWITCH(weekday(AV$4), 1, 0, 2, if(ISBLANK('2025'!$P15), 0, 1), 3, if(ISBLANK('2025'!$Q15), 0, 1), 4, if(ISBLANK('2025'!$R15), 0, 1), 5, if(ISBLANK('2025'!$S15), 0, 1), 6, if(ISBLANK('2025'!$T15), 0, 1), 7, 0))), 1, "")</f>
        <v/>
      </c>
      <c r="AW15" s="1" t="str">
        <f>IF(AND(AND(AND(AW$4&gt;='2025'!$L15,AW$4&lt;='2025'!$M15), AW$4&lt;&gt;DATE(2025,7,4)), (SWITCH(weekday(AW$4), 1, 0, 2, if(ISBLANK('2025'!$P15), 0, 1), 3, if(ISBLANK('2025'!$Q15), 0, 1), 4, if(ISBLANK('2025'!$R15), 0, 1), 5, if(ISBLANK('2025'!$S15), 0, 1), 6, if(ISBLANK('2025'!$T15), 0, 1), 7, 0))), 1, "")</f>
        <v/>
      </c>
      <c r="AX15" s="1" t="str">
        <f>IF(AND(AND(AND(AX$4&gt;='2025'!$L15,AX$4&lt;='2025'!$M15), AX$4&lt;&gt;DATE(2025,7,4)), (SWITCH(weekday(AX$4), 1, 0, 2, if(ISBLANK('2025'!$P15), 0, 1), 3, if(ISBLANK('2025'!$Q15), 0, 1), 4, if(ISBLANK('2025'!$R15), 0, 1), 5, if(ISBLANK('2025'!$S15), 0, 1), 6, if(ISBLANK('2025'!$T15), 0, 1), 7, 0))), 1, "")</f>
        <v/>
      </c>
      <c r="AY15" s="1" t="str">
        <f>IF(AND(AND(AND(AY$4&gt;='2025'!$L15,AY$4&lt;='2025'!$M15), AY$4&lt;&gt;DATE(2025,7,4)), (SWITCH(weekday(AY$4), 1, 0, 2, if(ISBLANK('2025'!$P15), 0, 1), 3, if(ISBLANK('2025'!$Q15), 0, 1), 4, if(ISBLANK('2025'!$R15), 0, 1), 5, if(ISBLANK('2025'!$S15), 0, 1), 6, if(ISBLANK('2025'!$T15), 0, 1), 7, 0))), 1, "")</f>
        <v/>
      </c>
      <c r="AZ15" s="1" t="str">
        <f>IF(AND(AND(AND(AZ$4&gt;='2025'!$L15,AZ$4&lt;='2025'!$M15), AZ$4&lt;&gt;DATE(2025,7,4)), (SWITCH(weekday(AZ$4), 1, 0, 2, if(ISBLANK('2025'!$P15), 0, 1), 3, if(ISBLANK('2025'!$Q15), 0, 1), 4, if(ISBLANK('2025'!$R15), 0, 1), 5, if(ISBLANK('2025'!$S15), 0, 1), 6, if(ISBLANK('2025'!$T15), 0, 1), 7, 0))), 1, "")</f>
        <v/>
      </c>
      <c r="BA15" s="1" t="str">
        <f>IF(AND(AND(AND(BA$4&gt;='2025'!$L15,BA$4&lt;='2025'!$M15), BA$4&lt;&gt;DATE(2025,7,4)), (SWITCH(weekday(BA$4), 1, 0, 2, if(ISBLANK('2025'!$P15), 0, 1), 3, if(ISBLANK('2025'!$Q15), 0, 1), 4, if(ISBLANK('2025'!$R15), 0, 1), 5, if(ISBLANK('2025'!$S15), 0, 1), 6, if(ISBLANK('2025'!$T15), 0, 1), 7, 0))), 1, "")</f>
        <v/>
      </c>
      <c r="BB15" s="1" t="str">
        <f>IF(AND(AND(AND(BB$4&gt;='2025'!$L15,BB$4&lt;='2025'!$M15), BB$4&lt;&gt;DATE(2025,7,4)), (SWITCH(weekday(BB$4), 1, 0, 2, if(ISBLANK('2025'!$P15), 0, 1), 3, if(ISBLANK('2025'!$Q15), 0, 1), 4, if(ISBLANK('2025'!$R15), 0, 1), 5, if(ISBLANK('2025'!$S15), 0, 1), 6, if(ISBLANK('2025'!$T15), 0, 1), 7, 0))), 1, "")</f>
        <v/>
      </c>
      <c r="BC15" s="1" t="str">
        <f>IF(AND(AND(AND(BC$4&gt;='2025'!$L15,BC$4&lt;='2025'!$M15), BC$4&lt;&gt;DATE(2025,7,4)), (SWITCH(weekday(BC$4), 1, 0, 2, if(ISBLANK('2025'!$P15), 0, 1), 3, if(ISBLANK('2025'!$Q15), 0, 1), 4, if(ISBLANK('2025'!$R15), 0, 1), 5, if(ISBLANK('2025'!$S15), 0, 1), 6, if(ISBLANK('2025'!$T15), 0, 1), 7, 0))), 1, "")</f>
        <v/>
      </c>
      <c r="BD15" s="1" t="str">
        <f>IF(AND(AND(AND(BD$4&gt;='2025'!$L15,BD$4&lt;='2025'!$M15), BD$4&lt;&gt;DATE(2025,7,4)), (SWITCH(weekday(BD$4), 1, 0, 2, if(ISBLANK('2025'!$P15), 0, 1), 3, if(ISBLANK('2025'!$Q15), 0, 1), 4, if(ISBLANK('2025'!$R15), 0, 1), 5, if(ISBLANK('2025'!$S15), 0, 1), 6, if(ISBLANK('2025'!$T15), 0, 1), 7, 0))), 1, "")</f>
        <v/>
      </c>
      <c r="BE15" s="1" t="str">
        <f>IF(AND(AND(AND(BE$4&gt;='2025'!$L15,BE$4&lt;='2025'!$M15), BE$4&lt;&gt;DATE(2025,7,4)), (SWITCH(weekday(BE$4), 1, 0, 2, if(ISBLANK('2025'!$P15), 0, 1), 3, if(ISBLANK('2025'!$Q15), 0, 1), 4, if(ISBLANK('2025'!$R15), 0, 1), 5, if(ISBLANK('2025'!$S15), 0, 1), 6, if(ISBLANK('2025'!$T15), 0, 1), 7, 0))), 1, "")</f>
        <v/>
      </c>
      <c r="BF15" s="1" t="str">
        <f>IF(AND(AND(AND(BF$4&gt;='2025'!$L15,BF$4&lt;='2025'!$M15), BF$4&lt;&gt;DATE(2025,7,4)), (SWITCH(weekday(BF$4), 1, 0, 2, if(ISBLANK('2025'!$P15), 0, 1), 3, if(ISBLANK('2025'!$Q15), 0, 1), 4, if(ISBLANK('2025'!$R15), 0, 1), 5, if(ISBLANK('2025'!$S15), 0, 1), 6, if(ISBLANK('2025'!$T15), 0, 1), 7, 0))), 1, "")</f>
        <v/>
      </c>
      <c r="BG15" s="1"/>
      <c r="BH15" s="1"/>
      <c r="BI15" s="1"/>
      <c r="BJ15" s="1"/>
      <c r="BK15" s="1"/>
      <c r="BL15" s="1"/>
    </row>
    <row r="16">
      <c r="A16" s="1">
        <f t="shared" si="3"/>
        <v>16</v>
      </c>
      <c r="B16" s="1" t="str">
        <f>'2025'!D16</f>
        <v>Kerney, Greyson</v>
      </c>
      <c r="C16" s="1" t="str">
        <f>'2025'!H16</f>
        <v>PK3.1</v>
      </c>
      <c r="D16" s="1" t="str">
        <f>IF(AND(AND(AND(D$4&gt;='2025'!$L16,D$4&lt;='2025'!$M16), D$4&lt;&gt;DATE(2025,7,4)), (SWITCH(weekday(D$4), 1, 0, 2, if(ISBLANK('2025'!$P16), 0, 1), 3, if(ISBLANK('2025'!$Q16), 0, 1), 4, if(ISBLANK('2025'!$R16), 0, 1), 5, if(ISBLANK('2025'!$S16), 0, 1), 6, if(ISBLANK('2025'!$T16), 0, 1), 7, 0))), 1, "")</f>
        <v/>
      </c>
      <c r="E16" s="1" t="str">
        <f>IF(AND(AND(AND(E$4&gt;='2025'!$L16,E$4&lt;='2025'!$M16), E$4&lt;&gt;DATE(2025,7,4)), (SWITCH(weekday(E$4), 1, 0, 2, if(ISBLANK('2025'!$P16), 0, 1), 3, if(ISBLANK('2025'!$Q16), 0, 1), 4, if(ISBLANK('2025'!$R16), 0, 1), 5, if(ISBLANK('2025'!$S16), 0, 1), 6, if(ISBLANK('2025'!$T16), 0, 1), 7, 0))), 1, "")</f>
        <v/>
      </c>
      <c r="F16" s="1" t="str">
        <f>IF(AND(AND(AND(F$4&gt;='2025'!$L16,F$4&lt;='2025'!$M16), F$4&lt;&gt;DATE(2025,7,4)), (SWITCH(weekday(F$4), 1, 0, 2, if(ISBLANK('2025'!$P16), 0, 1), 3, if(ISBLANK('2025'!$Q16), 0, 1), 4, if(ISBLANK('2025'!$R16), 0, 1), 5, if(ISBLANK('2025'!$S16), 0, 1), 6, if(ISBLANK('2025'!$T16), 0, 1), 7, 0))), 1, "")</f>
        <v/>
      </c>
      <c r="G16" s="1" t="str">
        <f>IF(AND(AND(AND(G$4&gt;='2025'!$L16,G$4&lt;='2025'!$M16), G$4&lt;&gt;DATE(2025,7,4)), (SWITCH(weekday(G$4), 1, 0, 2, if(ISBLANK('2025'!$P16), 0, 1), 3, if(ISBLANK('2025'!$Q16), 0, 1), 4, if(ISBLANK('2025'!$R16), 0, 1), 5, if(ISBLANK('2025'!$S16), 0, 1), 6, if(ISBLANK('2025'!$T16), 0, 1), 7, 0))), 1, "")</f>
        <v/>
      </c>
      <c r="H16" s="1" t="str">
        <f>IF(AND(AND(AND(H$4&gt;='2025'!$L16,H$4&lt;='2025'!$M16), H$4&lt;&gt;DATE(2025,7,4)), (SWITCH(weekday(H$4), 1, 0, 2, if(ISBLANK('2025'!$P16), 0, 1), 3, if(ISBLANK('2025'!$Q16), 0, 1), 4, if(ISBLANK('2025'!$R16), 0, 1), 5, if(ISBLANK('2025'!$S16), 0, 1), 6, if(ISBLANK('2025'!$T16), 0, 1), 7, 0))), 1, "")</f>
        <v/>
      </c>
      <c r="I16" s="1" t="str">
        <f>IF(AND(AND(AND(I$4&gt;='2025'!$L16,I$4&lt;='2025'!$M16), I$4&lt;&gt;DATE(2025,7,4)), (SWITCH(weekday(I$4), 1, 0, 2, if(ISBLANK('2025'!$P16), 0, 1), 3, if(ISBLANK('2025'!$Q16), 0, 1), 4, if(ISBLANK('2025'!$R16), 0, 1), 5, if(ISBLANK('2025'!$S16), 0, 1), 6, if(ISBLANK('2025'!$T16), 0, 1), 7, 0))), 1, "")</f>
        <v/>
      </c>
      <c r="J16" s="1" t="str">
        <f>IF(AND(AND(AND(J$4&gt;='2025'!$L16,J$4&lt;='2025'!$M16), J$4&lt;&gt;DATE(2025,7,4)), (SWITCH(weekday(J$4), 1, 0, 2, if(ISBLANK('2025'!$P16), 0, 1), 3, if(ISBLANK('2025'!$Q16), 0, 1), 4, if(ISBLANK('2025'!$R16), 0, 1), 5, if(ISBLANK('2025'!$S16), 0, 1), 6, if(ISBLANK('2025'!$T16), 0, 1), 7, 0))), 1, "")</f>
        <v/>
      </c>
      <c r="K16" s="1" t="str">
        <f>IF(AND(AND(AND(K$4&gt;='2025'!$L16,K$4&lt;='2025'!$M16), K$4&lt;&gt;DATE(2025,7,4)), (SWITCH(weekday(K$4), 1, 0, 2, if(ISBLANK('2025'!$P16), 0, 1), 3, if(ISBLANK('2025'!$Q16), 0, 1), 4, if(ISBLANK('2025'!$R16), 0, 1), 5, if(ISBLANK('2025'!$S16), 0, 1), 6, if(ISBLANK('2025'!$T16), 0, 1), 7, 0))), 1, "")</f>
        <v/>
      </c>
      <c r="L16" s="1" t="str">
        <f>IF(AND(AND(AND(L$4&gt;='2025'!$L16,L$4&lt;='2025'!$M16), L$4&lt;&gt;DATE(2025,7,4)), (SWITCH(weekday(L$4), 1, 0, 2, if(ISBLANK('2025'!$P16), 0, 1), 3, if(ISBLANK('2025'!$Q16), 0, 1), 4, if(ISBLANK('2025'!$R16), 0, 1), 5, if(ISBLANK('2025'!$S16), 0, 1), 6, if(ISBLANK('2025'!$T16), 0, 1), 7, 0))), 1, "")</f>
        <v/>
      </c>
      <c r="M16" s="1" t="str">
        <f>IF(AND(AND(AND(M$4&gt;='2025'!$L16,M$4&lt;='2025'!$M16), M$4&lt;&gt;DATE(2025,7,4)), (SWITCH(weekday(M$4), 1, 0, 2, if(ISBLANK('2025'!$P16), 0, 1), 3, if(ISBLANK('2025'!$Q16), 0, 1), 4, if(ISBLANK('2025'!$R16), 0, 1), 5, if(ISBLANK('2025'!$S16), 0, 1), 6, if(ISBLANK('2025'!$T16), 0, 1), 7, 0))), 1, "")</f>
        <v/>
      </c>
      <c r="N16" s="1" t="str">
        <f>IF(AND(AND(AND(N$4&gt;='2025'!$L16,N$4&lt;='2025'!$M16), N$4&lt;&gt;DATE(2025,7,4)), (SWITCH(weekday(N$4), 1, 0, 2, if(ISBLANK('2025'!$P16), 0, 1), 3, if(ISBLANK('2025'!$Q16), 0, 1), 4, if(ISBLANK('2025'!$R16), 0, 1), 5, if(ISBLANK('2025'!$S16), 0, 1), 6, if(ISBLANK('2025'!$T16), 0, 1), 7, 0))), 1, "")</f>
        <v/>
      </c>
      <c r="O16" s="1" t="str">
        <f>IF(AND(AND(AND(O$4&gt;='2025'!$L16,O$4&lt;='2025'!$M16), O$4&lt;&gt;DATE(2025,7,4)), (SWITCH(weekday(O$4), 1, 0, 2, if(ISBLANK('2025'!$P16), 0, 1), 3, if(ISBLANK('2025'!$Q16), 0, 1), 4, if(ISBLANK('2025'!$R16), 0, 1), 5, if(ISBLANK('2025'!$S16), 0, 1), 6, if(ISBLANK('2025'!$T16), 0, 1), 7, 0))), 1, "")</f>
        <v/>
      </c>
      <c r="P16" s="1" t="str">
        <f>IF(AND(AND(AND(P$4&gt;='2025'!$L16,P$4&lt;='2025'!$M16), P$4&lt;&gt;DATE(2025,7,4)), (SWITCH(weekday(P$4), 1, 0, 2, if(ISBLANK('2025'!$P16), 0, 1), 3, if(ISBLANK('2025'!$Q16), 0, 1), 4, if(ISBLANK('2025'!$R16), 0, 1), 5, if(ISBLANK('2025'!$S16), 0, 1), 6, if(ISBLANK('2025'!$T16), 0, 1), 7, 0))), 1, "")</f>
        <v/>
      </c>
      <c r="Q16" s="1" t="str">
        <f>IF(AND(AND(AND(Q$4&gt;='2025'!$L16,Q$4&lt;='2025'!$M16), Q$4&lt;&gt;DATE(2025,7,4)), (SWITCH(weekday(Q$4), 1, 0, 2, if(ISBLANK('2025'!$P16), 0, 1), 3, if(ISBLANK('2025'!$Q16), 0, 1), 4, if(ISBLANK('2025'!$R16), 0, 1), 5, if(ISBLANK('2025'!$S16), 0, 1), 6, if(ISBLANK('2025'!$T16), 0, 1), 7, 0))), 1, "")</f>
        <v/>
      </c>
      <c r="R16" s="1" t="str">
        <f>IF(AND(AND(AND(R$4&gt;='2025'!$L16,R$4&lt;='2025'!$M16), R$4&lt;&gt;DATE(2025,7,4)), (SWITCH(weekday(R$4), 1, 0, 2, if(ISBLANK('2025'!$P16), 0, 1), 3, if(ISBLANK('2025'!$Q16), 0, 1), 4, if(ISBLANK('2025'!$R16), 0, 1), 5, if(ISBLANK('2025'!$S16), 0, 1), 6, if(ISBLANK('2025'!$T16), 0, 1), 7, 0))), 1, "")</f>
        <v/>
      </c>
      <c r="S16" s="1" t="str">
        <f>IF(AND(AND(AND(S$4&gt;='2025'!$L16,S$4&lt;='2025'!$M16), S$4&lt;&gt;DATE(2025,7,4)), (SWITCH(weekday(S$4), 1, 0, 2, if(ISBLANK('2025'!$P16), 0, 1), 3, if(ISBLANK('2025'!$Q16), 0, 1), 4, if(ISBLANK('2025'!$R16), 0, 1), 5, if(ISBLANK('2025'!$S16), 0, 1), 6, if(ISBLANK('2025'!$T16), 0, 1), 7, 0))), 1, "")</f>
        <v/>
      </c>
      <c r="T16" s="1" t="str">
        <f>IF(AND(AND(AND(T$4&gt;='2025'!$L16,T$4&lt;='2025'!$M16), T$4&lt;&gt;DATE(2025,7,4)), (SWITCH(weekday(T$4), 1, 0, 2, if(ISBLANK('2025'!$P16), 0, 1), 3, if(ISBLANK('2025'!$Q16), 0, 1), 4, if(ISBLANK('2025'!$R16), 0, 1), 5, if(ISBLANK('2025'!$S16), 0, 1), 6, if(ISBLANK('2025'!$T16), 0, 1), 7, 0))), 1, "")</f>
        <v/>
      </c>
      <c r="U16" s="1" t="str">
        <f>IF(AND(AND(AND(U$4&gt;='2025'!$L16,U$4&lt;='2025'!$M16), U$4&lt;&gt;DATE(2025,7,4)), (SWITCH(weekday(U$4), 1, 0, 2, if(ISBLANK('2025'!$P16), 0, 1), 3, if(ISBLANK('2025'!$Q16), 0, 1), 4, if(ISBLANK('2025'!$R16), 0, 1), 5, if(ISBLANK('2025'!$S16), 0, 1), 6, if(ISBLANK('2025'!$T16), 0, 1), 7, 0))), 1, "")</f>
        <v/>
      </c>
      <c r="V16" s="1" t="str">
        <f>IF(AND(AND(AND(V$4&gt;='2025'!$L16,V$4&lt;='2025'!$M16), V$4&lt;&gt;DATE(2025,7,4)), (SWITCH(weekday(V$4), 1, 0, 2, if(ISBLANK('2025'!$P16), 0, 1), 3, if(ISBLANK('2025'!$Q16), 0, 1), 4, if(ISBLANK('2025'!$R16), 0, 1), 5, if(ISBLANK('2025'!$S16), 0, 1), 6, if(ISBLANK('2025'!$T16), 0, 1), 7, 0))), 1, "")</f>
        <v/>
      </c>
      <c r="W16" s="1" t="str">
        <f>IF(AND(AND(AND(W$4&gt;='2025'!$L16,W$4&lt;='2025'!$M16), W$4&lt;&gt;DATE(2025,7,4)), (SWITCH(weekday(W$4), 1, 0, 2, if(ISBLANK('2025'!$P16), 0, 1), 3, if(ISBLANK('2025'!$Q16), 0, 1), 4, if(ISBLANK('2025'!$R16), 0, 1), 5, if(ISBLANK('2025'!$S16), 0, 1), 6, if(ISBLANK('2025'!$T16), 0, 1), 7, 0))), 1, "")</f>
        <v/>
      </c>
      <c r="X16" s="1" t="str">
        <f>IF(AND(AND(AND(X$4&gt;='2025'!$L16,X$4&lt;='2025'!$M16), X$4&lt;&gt;DATE(2025,7,4)), (SWITCH(weekday(X$4), 1, 0, 2, if(ISBLANK('2025'!$P16), 0, 1), 3, if(ISBLANK('2025'!$Q16), 0, 1), 4, if(ISBLANK('2025'!$R16), 0, 1), 5, if(ISBLANK('2025'!$S16), 0, 1), 6, if(ISBLANK('2025'!$T16), 0, 1), 7, 0))), 1, "")</f>
        <v/>
      </c>
      <c r="Y16" s="1" t="str">
        <f>IF(AND(AND(AND(Y$4&gt;='2025'!$L16,Y$4&lt;='2025'!$M16), Y$4&lt;&gt;DATE(2025,7,4)), (SWITCH(weekday(Y$4), 1, 0, 2, if(ISBLANK('2025'!$P16), 0, 1), 3, if(ISBLANK('2025'!$Q16), 0, 1), 4, if(ISBLANK('2025'!$R16), 0, 1), 5, if(ISBLANK('2025'!$S16), 0, 1), 6, if(ISBLANK('2025'!$T16), 0, 1), 7, 0))), 1, "")</f>
        <v/>
      </c>
      <c r="Z16" s="1" t="str">
        <f>IF(AND(AND(AND(Z$4&gt;='2025'!$L16,Z$4&lt;='2025'!$M16), Z$4&lt;&gt;DATE(2025,7,4)), (SWITCH(weekday(Z$4), 1, 0, 2, if(ISBLANK('2025'!$P16), 0, 1), 3, if(ISBLANK('2025'!$Q16), 0, 1), 4, if(ISBLANK('2025'!$R16), 0, 1), 5, if(ISBLANK('2025'!$S16), 0, 1), 6, if(ISBLANK('2025'!$T16), 0, 1), 7, 0))), 1, "")</f>
        <v/>
      </c>
      <c r="AA16" s="1" t="str">
        <f>IF(AND(AND(AND(AA$4&gt;='2025'!$L16,AA$4&lt;='2025'!$M16), AA$4&lt;&gt;DATE(2025,7,4)), (SWITCH(weekday(AA$4), 1, 0, 2, if(ISBLANK('2025'!$P16), 0, 1), 3, if(ISBLANK('2025'!$Q16), 0, 1), 4, if(ISBLANK('2025'!$R16), 0, 1), 5, if(ISBLANK('2025'!$S16), 0, 1), 6, if(ISBLANK('2025'!$T16), 0, 1), 7, 0))), 1, "")</f>
        <v/>
      </c>
      <c r="AB16" s="1" t="str">
        <f>IF(AND(AND(AND(AB$4&gt;='2025'!$L16,AB$4&lt;='2025'!$M16), AB$4&lt;&gt;DATE(2025,7,4)), (SWITCH(weekday(AB$4), 1, 0, 2, if(ISBLANK('2025'!$P16), 0, 1), 3, if(ISBLANK('2025'!$Q16), 0, 1), 4, if(ISBLANK('2025'!$R16), 0, 1), 5, if(ISBLANK('2025'!$S16), 0, 1), 6, if(ISBLANK('2025'!$T16), 0, 1), 7, 0))), 1, "")</f>
        <v/>
      </c>
      <c r="AC16" s="1" t="str">
        <f>IF(AND(AND(AND(AC$4&gt;='2025'!$L16,AC$4&lt;='2025'!$M16), AC$4&lt;&gt;DATE(2025,7,4)), (SWITCH(weekday(AC$4), 1, 0, 2, if(ISBLANK('2025'!$P16), 0, 1), 3, if(ISBLANK('2025'!$Q16), 0, 1), 4, if(ISBLANK('2025'!$R16), 0, 1), 5, if(ISBLANK('2025'!$S16), 0, 1), 6, if(ISBLANK('2025'!$T16), 0, 1), 7, 0))), 1, "")</f>
        <v/>
      </c>
      <c r="AD16" s="1" t="str">
        <f>IF(AND(AND(AND(AD$4&gt;='2025'!$L16,AD$4&lt;='2025'!$M16), AD$4&lt;&gt;DATE(2025,7,4)), (SWITCH(weekday(AD$4), 1, 0, 2, if(ISBLANK('2025'!$P16), 0, 1), 3, if(ISBLANK('2025'!$Q16), 0, 1), 4, if(ISBLANK('2025'!$R16), 0, 1), 5, if(ISBLANK('2025'!$S16), 0, 1), 6, if(ISBLANK('2025'!$T16), 0, 1), 7, 0))), 1, "")</f>
        <v/>
      </c>
      <c r="AE16" s="1" t="str">
        <f>IF(AND(AND(AND(AE$4&gt;='2025'!$L16,AE$4&lt;='2025'!$M16), AE$4&lt;&gt;DATE(2025,7,4)), (SWITCH(weekday(AE$4), 1, 0, 2, if(ISBLANK('2025'!$P16), 0, 1), 3, if(ISBLANK('2025'!$Q16), 0, 1), 4, if(ISBLANK('2025'!$R16), 0, 1), 5, if(ISBLANK('2025'!$S16), 0, 1), 6, if(ISBLANK('2025'!$T16), 0, 1), 7, 0))), 1, "")</f>
        <v/>
      </c>
      <c r="AF16" s="1" t="str">
        <f>IF(AND(AND(AND(AF$4&gt;='2025'!$L16,AF$4&lt;='2025'!$M16), AF$4&lt;&gt;DATE(2025,7,4)), (SWITCH(weekday(AF$4), 1, 0, 2, if(ISBLANK('2025'!$P16), 0, 1), 3, if(ISBLANK('2025'!$Q16), 0, 1), 4, if(ISBLANK('2025'!$R16), 0, 1), 5, if(ISBLANK('2025'!$S16), 0, 1), 6, if(ISBLANK('2025'!$T16), 0, 1), 7, 0))), 1, "")</f>
        <v/>
      </c>
      <c r="AG16" s="1" t="str">
        <f>IF(AND(AND(AND(AG$4&gt;='2025'!$L16,AG$4&lt;='2025'!$M16), AG$4&lt;&gt;DATE(2025,7,4)), (SWITCH(weekday(AG$4), 1, 0, 2, if(ISBLANK('2025'!$P16), 0, 1), 3, if(ISBLANK('2025'!$Q16), 0, 1), 4, if(ISBLANK('2025'!$R16), 0, 1), 5, if(ISBLANK('2025'!$S16), 0, 1), 6, if(ISBLANK('2025'!$T16), 0, 1), 7, 0))), 1, "")</f>
        <v/>
      </c>
      <c r="AH16" s="1" t="str">
        <f>IF(AND(AND(AND(AH$4&gt;='2025'!$L16,AH$4&lt;='2025'!$M16), AH$4&lt;&gt;DATE(2025,7,4)), (SWITCH(weekday(AH$4), 1, 0, 2, if(ISBLANK('2025'!$P16), 0, 1), 3, if(ISBLANK('2025'!$Q16), 0, 1), 4, if(ISBLANK('2025'!$R16), 0, 1), 5, if(ISBLANK('2025'!$S16), 0, 1), 6, if(ISBLANK('2025'!$T16), 0, 1), 7, 0))), 1, "")</f>
        <v/>
      </c>
      <c r="AI16" s="1" t="str">
        <f>IF(AND(AND(AND(AI$4&gt;='2025'!$L16,AI$4&lt;='2025'!$M16), AI$4&lt;&gt;DATE(2025,7,4)), (SWITCH(weekday(AI$4), 1, 0, 2, if(ISBLANK('2025'!$P16), 0, 1), 3, if(ISBLANK('2025'!$Q16), 0, 1), 4, if(ISBLANK('2025'!$R16), 0, 1), 5, if(ISBLANK('2025'!$S16), 0, 1), 6, if(ISBLANK('2025'!$T16), 0, 1), 7, 0))), 1, "")</f>
        <v/>
      </c>
      <c r="AJ16" s="1" t="str">
        <f>IF(AND(AND(AND(AJ$4&gt;='2025'!$L16,AJ$4&lt;='2025'!$M16), AJ$4&lt;&gt;DATE(2025,7,4)), (SWITCH(weekday(AJ$4), 1, 0, 2, if(ISBLANK('2025'!$P16), 0, 1), 3, if(ISBLANK('2025'!$Q16), 0, 1), 4, if(ISBLANK('2025'!$R16), 0, 1), 5, if(ISBLANK('2025'!$S16), 0, 1), 6, if(ISBLANK('2025'!$T16), 0, 1), 7, 0))), 1, "")</f>
        <v/>
      </c>
      <c r="AK16" s="1" t="str">
        <f>IF(AND(AND(AND(AK$4&gt;='2025'!$L16,AK$4&lt;='2025'!$M16), AK$4&lt;&gt;DATE(2025,7,4)), (SWITCH(weekday(AK$4), 1, 0, 2, if(ISBLANK('2025'!$P16), 0, 1), 3, if(ISBLANK('2025'!$Q16), 0, 1), 4, if(ISBLANK('2025'!$R16), 0, 1), 5, if(ISBLANK('2025'!$S16), 0, 1), 6, if(ISBLANK('2025'!$T16), 0, 1), 7, 0))), 1, "")</f>
        <v/>
      </c>
      <c r="AL16" s="1" t="str">
        <f>IF(AND(AND(AND(AL$4&gt;='2025'!$L16,AL$4&lt;='2025'!$M16), AL$4&lt;&gt;DATE(2025,7,4)), (SWITCH(weekday(AL$4), 1, 0, 2, if(ISBLANK('2025'!$P16), 0, 1), 3, if(ISBLANK('2025'!$Q16), 0, 1), 4, if(ISBLANK('2025'!$R16), 0, 1), 5, if(ISBLANK('2025'!$S16), 0, 1), 6, if(ISBLANK('2025'!$T16), 0, 1), 7, 0))), 1, "")</f>
        <v/>
      </c>
      <c r="AM16" s="1" t="str">
        <f>IF(AND(AND(AND(AM$4&gt;='2025'!$L16,AM$4&lt;='2025'!$M16), AM$4&lt;&gt;DATE(2025,7,4)), (SWITCH(weekday(AM$4), 1, 0, 2, if(ISBLANK('2025'!$P16), 0, 1), 3, if(ISBLANK('2025'!$Q16), 0, 1), 4, if(ISBLANK('2025'!$R16), 0, 1), 5, if(ISBLANK('2025'!$S16), 0, 1), 6, if(ISBLANK('2025'!$T16), 0, 1), 7, 0))), 1, "")</f>
        <v/>
      </c>
      <c r="AN16" s="1" t="str">
        <f>IF(AND(AND(AND(AN$4&gt;='2025'!$L16,AN$4&lt;='2025'!$M16), AN$4&lt;&gt;DATE(2025,7,4)), (SWITCH(weekday(AN$4), 1, 0, 2, if(ISBLANK('2025'!$P16), 0, 1), 3, if(ISBLANK('2025'!$Q16), 0, 1), 4, if(ISBLANK('2025'!$R16), 0, 1), 5, if(ISBLANK('2025'!$S16), 0, 1), 6, if(ISBLANK('2025'!$T16), 0, 1), 7, 0))), 1, "")</f>
        <v/>
      </c>
      <c r="AO16" s="1" t="str">
        <f>IF(AND(AND(AND(AO$4&gt;='2025'!$L16,AO$4&lt;='2025'!$M16), AO$4&lt;&gt;DATE(2025,7,4)), (SWITCH(weekday(AO$4), 1, 0, 2, if(ISBLANK('2025'!$P16), 0, 1), 3, if(ISBLANK('2025'!$Q16), 0, 1), 4, if(ISBLANK('2025'!$R16), 0, 1), 5, if(ISBLANK('2025'!$S16), 0, 1), 6, if(ISBLANK('2025'!$T16), 0, 1), 7, 0))), 1, "")</f>
        <v/>
      </c>
      <c r="AP16" s="1" t="str">
        <f>IF(AND(AND(AND(AP$4&gt;='2025'!$L16,AP$4&lt;='2025'!$M16), AP$4&lt;&gt;DATE(2025,7,4)), (SWITCH(weekday(AP$4), 1, 0, 2, if(ISBLANK('2025'!$P16), 0, 1), 3, if(ISBLANK('2025'!$Q16), 0, 1), 4, if(ISBLANK('2025'!$R16), 0, 1), 5, if(ISBLANK('2025'!$S16), 0, 1), 6, if(ISBLANK('2025'!$T16), 0, 1), 7, 0))), 1, "")</f>
        <v/>
      </c>
      <c r="AQ16" s="1" t="str">
        <f>IF(AND(AND(AND(AQ$4&gt;='2025'!$L16,AQ$4&lt;='2025'!$M16), AQ$4&lt;&gt;DATE(2025,7,4)), (SWITCH(weekday(AQ$4), 1, 0, 2, if(ISBLANK('2025'!$P16), 0, 1), 3, if(ISBLANK('2025'!$Q16), 0, 1), 4, if(ISBLANK('2025'!$R16), 0, 1), 5, if(ISBLANK('2025'!$S16), 0, 1), 6, if(ISBLANK('2025'!$T16), 0, 1), 7, 0))), 1, "")</f>
        <v/>
      </c>
      <c r="AR16" s="1" t="str">
        <f>IF(AND(AND(AND(AR$4&gt;='2025'!$L16,AR$4&lt;='2025'!$M16), AR$4&lt;&gt;DATE(2025,7,4)), (SWITCH(weekday(AR$4), 1, 0, 2, if(ISBLANK('2025'!$P16), 0, 1), 3, if(ISBLANK('2025'!$Q16), 0, 1), 4, if(ISBLANK('2025'!$R16), 0, 1), 5, if(ISBLANK('2025'!$S16), 0, 1), 6, if(ISBLANK('2025'!$T16), 0, 1), 7, 0))), 1, "")</f>
        <v/>
      </c>
      <c r="AS16" s="1" t="str">
        <f>IF(AND(AND(AND(AS$4&gt;='2025'!$L16,AS$4&lt;='2025'!$M16), AS$4&lt;&gt;DATE(2025,7,4)), (SWITCH(weekday(AS$4), 1, 0, 2, if(ISBLANK('2025'!$P16), 0, 1), 3, if(ISBLANK('2025'!$Q16), 0, 1), 4, if(ISBLANK('2025'!$R16), 0, 1), 5, if(ISBLANK('2025'!$S16), 0, 1), 6, if(ISBLANK('2025'!$T16), 0, 1), 7, 0))), 1, "")</f>
        <v/>
      </c>
      <c r="AT16" s="1" t="str">
        <f>IF(AND(AND(AND(AT$4&gt;='2025'!$L16,AT$4&lt;='2025'!$M16), AT$4&lt;&gt;DATE(2025,7,4)), (SWITCH(weekday(AT$4), 1, 0, 2, if(ISBLANK('2025'!$P16), 0, 1), 3, if(ISBLANK('2025'!$Q16), 0, 1), 4, if(ISBLANK('2025'!$R16), 0, 1), 5, if(ISBLANK('2025'!$S16), 0, 1), 6, if(ISBLANK('2025'!$T16), 0, 1), 7, 0))), 1, "")</f>
        <v/>
      </c>
      <c r="AU16" s="1" t="str">
        <f>IF(AND(AND(AND(AU$4&gt;='2025'!$L16,AU$4&lt;='2025'!$M16), AU$4&lt;&gt;DATE(2025,7,4)), (SWITCH(weekday(AU$4), 1, 0, 2, if(ISBLANK('2025'!$P16), 0, 1), 3, if(ISBLANK('2025'!$Q16), 0, 1), 4, if(ISBLANK('2025'!$R16), 0, 1), 5, if(ISBLANK('2025'!$S16), 0, 1), 6, if(ISBLANK('2025'!$T16), 0, 1), 7, 0))), 1, "")</f>
        <v/>
      </c>
      <c r="AV16" s="1" t="str">
        <f>IF(AND(AND(AND(AV$4&gt;='2025'!$L16,AV$4&lt;='2025'!$M16), AV$4&lt;&gt;DATE(2025,7,4)), (SWITCH(weekday(AV$4), 1, 0, 2, if(ISBLANK('2025'!$P16), 0, 1), 3, if(ISBLANK('2025'!$Q16), 0, 1), 4, if(ISBLANK('2025'!$R16), 0, 1), 5, if(ISBLANK('2025'!$S16), 0, 1), 6, if(ISBLANK('2025'!$T16), 0, 1), 7, 0))), 1, "")</f>
        <v/>
      </c>
      <c r="AW16" s="1" t="str">
        <f>IF(AND(AND(AND(AW$4&gt;='2025'!$L16,AW$4&lt;='2025'!$M16), AW$4&lt;&gt;DATE(2025,7,4)), (SWITCH(weekday(AW$4), 1, 0, 2, if(ISBLANK('2025'!$P16), 0, 1), 3, if(ISBLANK('2025'!$Q16), 0, 1), 4, if(ISBLANK('2025'!$R16), 0, 1), 5, if(ISBLANK('2025'!$S16), 0, 1), 6, if(ISBLANK('2025'!$T16), 0, 1), 7, 0))), 1, "")</f>
        <v/>
      </c>
      <c r="AX16" s="1" t="str">
        <f>IF(AND(AND(AND(AX$4&gt;='2025'!$L16,AX$4&lt;='2025'!$M16), AX$4&lt;&gt;DATE(2025,7,4)), (SWITCH(weekday(AX$4), 1, 0, 2, if(ISBLANK('2025'!$P16), 0, 1), 3, if(ISBLANK('2025'!$Q16), 0, 1), 4, if(ISBLANK('2025'!$R16), 0, 1), 5, if(ISBLANK('2025'!$S16), 0, 1), 6, if(ISBLANK('2025'!$T16), 0, 1), 7, 0))), 1, "")</f>
        <v/>
      </c>
      <c r="AY16" s="1" t="str">
        <f>IF(AND(AND(AND(AY$4&gt;='2025'!$L16,AY$4&lt;='2025'!$M16), AY$4&lt;&gt;DATE(2025,7,4)), (SWITCH(weekday(AY$4), 1, 0, 2, if(ISBLANK('2025'!$P16), 0, 1), 3, if(ISBLANK('2025'!$Q16), 0, 1), 4, if(ISBLANK('2025'!$R16), 0, 1), 5, if(ISBLANK('2025'!$S16), 0, 1), 6, if(ISBLANK('2025'!$T16), 0, 1), 7, 0))), 1, "")</f>
        <v/>
      </c>
      <c r="AZ16" s="1" t="str">
        <f>IF(AND(AND(AND(AZ$4&gt;='2025'!$L16,AZ$4&lt;='2025'!$M16), AZ$4&lt;&gt;DATE(2025,7,4)), (SWITCH(weekday(AZ$4), 1, 0, 2, if(ISBLANK('2025'!$P16), 0, 1), 3, if(ISBLANK('2025'!$Q16), 0, 1), 4, if(ISBLANK('2025'!$R16), 0, 1), 5, if(ISBLANK('2025'!$S16), 0, 1), 6, if(ISBLANK('2025'!$T16), 0, 1), 7, 0))), 1, "")</f>
        <v/>
      </c>
      <c r="BA16" s="1" t="str">
        <f>IF(AND(AND(AND(BA$4&gt;='2025'!$L16,BA$4&lt;='2025'!$M16), BA$4&lt;&gt;DATE(2025,7,4)), (SWITCH(weekday(BA$4), 1, 0, 2, if(ISBLANK('2025'!$P16), 0, 1), 3, if(ISBLANK('2025'!$Q16), 0, 1), 4, if(ISBLANK('2025'!$R16), 0, 1), 5, if(ISBLANK('2025'!$S16), 0, 1), 6, if(ISBLANK('2025'!$T16), 0, 1), 7, 0))), 1, "")</f>
        <v/>
      </c>
      <c r="BB16" s="1" t="str">
        <f>IF(AND(AND(AND(BB$4&gt;='2025'!$L16,BB$4&lt;='2025'!$M16), BB$4&lt;&gt;DATE(2025,7,4)), (SWITCH(weekday(BB$4), 1, 0, 2, if(ISBLANK('2025'!$P16), 0, 1), 3, if(ISBLANK('2025'!$Q16), 0, 1), 4, if(ISBLANK('2025'!$R16), 0, 1), 5, if(ISBLANK('2025'!$S16), 0, 1), 6, if(ISBLANK('2025'!$T16), 0, 1), 7, 0))), 1, "")</f>
        <v/>
      </c>
      <c r="BC16" s="1" t="str">
        <f>IF(AND(AND(AND(BC$4&gt;='2025'!$L16,BC$4&lt;='2025'!$M16), BC$4&lt;&gt;DATE(2025,7,4)), (SWITCH(weekday(BC$4), 1, 0, 2, if(ISBLANK('2025'!$P16), 0, 1), 3, if(ISBLANK('2025'!$Q16), 0, 1), 4, if(ISBLANK('2025'!$R16), 0, 1), 5, if(ISBLANK('2025'!$S16), 0, 1), 6, if(ISBLANK('2025'!$T16), 0, 1), 7, 0))), 1, "")</f>
        <v/>
      </c>
      <c r="BD16" s="1" t="str">
        <f>IF(AND(AND(AND(BD$4&gt;='2025'!$L16,BD$4&lt;='2025'!$M16), BD$4&lt;&gt;DATE(2025,7,4)), (SWITCH(weekday(BD$4), 1, 0, 2, if(ISBLANK('2025'!$P16), 0, 1), 3, if(ISBLANK('2025'!$Q16), 0, 1), 4, if(ISBLANK('2025'!$R16), 0, 1), 5, if(ISBLANK('2025'!$S16), 0, 1), 6, if(ISBLANK('2025'!$T16), 0, 1), 7, 0))), 1, "")</f>
        <v/>
      </c>
      <c r="BE16" s="1" t="str">
        <f>IF(AND(AND(AND(BE$4&gt;='2025'!$L16,BE$4&lt;='2025'!$M16), BE$4&lt;&gt;DATE(2025,7,4)), (SWITCH(weekday(BE$4), 1, 0, 2, if(ISBLANK('2025'!$P16), 0, 1), 3, if(ISBLANK('2025'!$Q16), 0, 1), 4, if(ISBLANK('2025'!$R16), 0, 1), 5, if(ISBLANK('2025'!$S16), 0, 1), 6, if(ISBLANK('2025'!$T16), 0, 1), 7, 0))), 1, "")</f>
        <v/>
      </c>
      <c r="BF16" s="1" t="str">
        <f>IF(AND(AND(AND(BF$4&gt;='2025'!$L16,BF$4&lt;='2025'!$M16), BF$4&lt;&gt;DATE(2025,7,4)), (SWITCH(weekday(BF$4), 1, 0, 2, if(ISBLANK('2025'!$P16), 0, 1), 3, if(ISBLANK('2025'!$Q16), 0, 1), 4, if(ISBLANK('2025'!$R16), 0, 1), 5, if(ISBLANK('2025'!$S16), 0, 1), 6, if(ISBLANK('2025'!$T16), 0, 1), 7, 0))), 1, "")</f>
        <v/>
      </c>
      <c r="BG16" s="1"/>
      <c r="BH16" s="1"/>
      <c r="BI16" s="1"/>
      <c r="BJ16" s="1"/>
      <c r="BK16" s="1"/>
      <c r="BL16" s="1"/>
    </row>
    <row r="17">
      <c r="A17" s="1">
        <f t="shared" si="3"/>
        <v>17</v>
      </c>
      <c r="B17" s="1" t="str">
        <f>'2025'!D17</f>
        <v>Kim, Amelia</v>
      </c>
      <c r="C17" s="1" t="str">
        <f>'2025'!H17</f>
        <v>TOD</v>
      </c>
      <c r="D17" s="1" t="str">
        <f>IF(AND(AND(AND(D$4&gt;='2025'!$L17,D$4&lt;='2025'!$M17), D$4&lt;&gt;DATE(2025,7,4)), (SWITCH(weekday(D$4), 1, 0, 2, if(ISBLANK('2025'!$P17), 0, 1), 3, if(ISBLANK('2025'!$Q17), 0, 1), 4, if(ISBLANK('2025'!$R17), 0, 1), 5, if(ISBLANK('2025'!$S17), 0, 1), 6, if(ISBLANK('2025'!$T17), 0, 1), 7, 0))), 1, "")</f>
        <v/>
      </c>
      <c r="E17" s="1" t="str">
        <f>IF(AND(AND(AND(E$4&gt;='2025'!$L17,E$4&lt;='2025'!$M17), E$4&lt;&gt;DATE(2025,7,4)), (SWITCH(weekday(E$4), 1, 0, 2, if(ISBLANK('2025'!$P17), 0, 1), 3, if(ISBLANK('2025'!$Q17), 0, 1), 4, if(ISBLANK('2025'!$R17), 0, 1), 5, if(ISBLANK('2025'!$S17), 0, 1), 6, if(ISBLANK('2025'!$T17), 0, 1), 7, 0))), 1, "")</f>
        <v/>
      </c>
      <c r="F17" s="1" t="str">
        <f>IF(AND(AND(AND(F$4&gt;='2025'!$L17,F$4&lt;='2025'!$M17), F$4&lt;&gt;DATE(2025,7,4)), (SWITCH(weekday(F$4), 1, 0, 2, if(ISBLANK('2025'!$P17), 0, 1), 3, if(ISBLANK('2025'!$Q17), 0, 1), 4, if(ISBLANK('2025'!$R17), 0, 1), 5, if(ISBLANK('2025'!$S17), 0, 1), 6, if(ISBLANK('2025'!$T17), 0, 1), 7, 0))), 1, "")</f>
        <v/>
      </c>
      <c r="G17" s="1" t="str">
        <f>IF(AND(AND(AND(G$4&gt;='2025'!$L17,G$4&lt;='2025'!$M17), G$4&lt;&gt;DATE(2025,7,4)), (SWITCH(weekday(G$4), 1, 0, 2, if(ISBLANK('2025'!$P17), 0, 1), 3, if(ISBLANK('2025'!$Q17), 0, 1), 4, if(ISBLANK('2025'!$R17), 0, 1), 5, if(ISBLANK('2025'!$S17), 0, 1), 6, if(ISBLANK('2025'!$T17), 0, 1), 7, 0))), 1, "")</f>
        <v/>
      </c>
      <c r="H17" s="1" t="str">
        <f>IF(AND(AND(AND(H$4&gt;='2025'!$L17,H$4&lt;='2025'!$M17), H$4&lt;&gt;DATE(2025,7,4)), (SWITCH(weekday(H$4), 1, 0, 2, if(ISBLANK('2025'!$P17), 0, 1), 3, if(ISBLANK('2025'!$Q17), 0, 1), 4, if(ISBLANK('2025'!$R17), 0, 1), 5, if(ISBLANK('2025'!$S17), 0, 1), 6, if(ISBLANK('2025'!$T17), 0, 1), 7, 0))), 1, "")</f>
        <v/>
      </c>
      <c r="I17" s="1" t="str">
        <f>IF(AND(AND(AND(I$4&gt;='2025'!$L17,I$4&lt;='2025'!$M17), I$4&lt;&gt;DATE(2025,7,4)), (SWITCH(weekday(I$4), 1, 0, 2, if(ISBLANK('2025'!$P17), 0, 1), 3, if(ISBLANK('2025'!$Q17), 0, 1), 4, if(ISBLANK('2025'!$R17), 0, 1), 5, if(ISBLANK('2025'!$S17), 0, 1), 6, if(ISBLANK('2025'!$T17), 0, 1), 7, 0))), 1, "")</f>
        <v/>
      </c>
      <c r="J17" s="1" t="str">
        <f>IF(AND(AND(AND(J$4&gt;='2025'!$L17,J$4&lt;='2025'!$M17), J$4&lt;&gt;DATE(2025,7,4)), (SWITCH(weekday(J$4), 1, 0, 2, if(ISBLANK('2025'!$P17), 0, 1), 3, if(ISBLANK('2025'!$Q17), 0, 1), 4, if(ISBLANK('2025'!$R17), 0, 1), 5, if(ISBLANK('2025'!$S17), 0, 1), 6, if(ISBLANK('2025'!$T17), 0, 1), 7, 0))), 1, "")</f>
        <v/>
      </c>
      <c r="K17" s="1" t="str">
        <f>IF(AND(AND(AND(K$4&gt;='2025'!$L17,K$4&lt;='2025'!$M17), K$4&lt;&gt;DATE(2025,7,4)), (SWITCH(weekday(K$4), 1, 0, 2, if(ISBLANK('2025'!$P17), 0, 1), 3, if(ISBLANK('2025'!$Q17), 0, 1), 4, if(ISBLANK('2025'!$R17), 0, 1), 5, if(ISBLANK('2025'!$S17), 0, 1), 6, if(ISBLANK('2025'!$T17), 0, 1), 7, 0))), 1, "")</f>
        <v/>
      </c>
      <c r="L17" s="1" t="str">
        <f>IF(AND(AND(AND(L$4&gt;='2025'!$L17,L$4&lt;='2025'!$M17), L$4&lt;&gt;DATE(2025,7,4)), (SWITCH(weekday(L$4), 1, 0, 2, if(ISBLANK('2025'!$P17), 0, 1), 3, if(ISBLANK('2025'!$Q17), 0, 1), 4, if(ISBLANK('2025'!$R17), 0, 1), 5, if(ISBLANK('2025'!$S17), 0, 1), 6, if(ISBLANK('2025'!$T17), 0, 1), 7, 0))), 1, "")</f>
        <v/>
      </c>
      <c r="M17" s="1" t="str">
        <f>IF(AND(AND(AND(M$4&gt;='2025'!$L17,M$4&lt;='2025'!$M17), M$4&lt;&gt;DATE(2025,7,4)), (SWITCH(weekday(M$4), 1, 0, 2, if(ISBLANK('2025'!$P17), 0, 1), 3, if(ISBLANK('2025'!$Q17), 0, 1), 4, if(ISBLANK('2025'!$R17), 0, 1), 5, if(ISBLANK('2025'!$S17), 0, 1), 6, if(ISBLANK('2025'!$T17), 0, 1), 7, 0))), 1, "")</f>
        <v/>
      </c>
      <c r="N17" s="1" t="str">
        <f>IF(AND(AND(AND(N$4&gt;='2025'!$L17,N$4&lt;='2025'!$M17), N$4&lt;&gt;DATE(2025,7,4)), (SWITCH(weekday(N$4), 1, 0, 2, if(ISBLANK('2025'!$P17), 0, 1), 3, if(ISBLANK('2025'!$Q17), 0, 1), 4, if(ISBLANK('2025'!$R17), 0, 1), 5, if(ISBLANK('2025'!$S17), 0, 1), 6, if(ISBLANK('2025'!$T17), 0, 1), 7, 0))), 1, "")</f>
        <v/>
      </c>
      <c r="O17" s="1" t="str">
        <f>IF(AND(AND(AND(O$4&gt;='2025'!$L17,O$4&lt;='2025'!$M17), O$4&lt;&gt;DATE(2025,7,4)), (SWITCH(weekday(O$4), 1, 0, 2, if(ISBLANK('2025'!$P17), 0, 1), 3, if(ISBLANK('2025'!$Q17), 0, 1), 4, if(ISBLANK('2025'!$R17), 0, 1), 5, if(ISBLANK('2025'!$S17), 0, 1), 6, if(ISBLANK('2025'!$T17), 0, 1), 7, 0))), 1, "")</f>
        <v/>
      </c>
      <c r="P17" s="1" t="str">
        <f>IF(AND(AND(AND(P$4&gt;='2025'!$L17,P$4&lt;='2025'!$M17), P$4&lt;&gt;DATE(2025,7,4)), (SWITCH(weekday(P$4), 1, 0, 2, if(ISBLANK('2025'!$P17), 0, 1), 3, if(ISBLANK('2025'!$Q17), 0, 1), 4, if(ISBLANK('2025'!$R17), 0, 1), 5, if(ISBLANK('2025'!$S17), 0, 1), 6, if(ISBLANK('2025'!$T17), 0, 1), 7, 0))), 1, "")</f>
        <v/>
      </c>
      <c r="Q17" s="1" t="str">
        <f>IF(AND(AND(AND(Q$4&gt;='2025'!$L17,Q$4&lt;='2025'!$M17), Q$4&lt;&gt;DATE(2025,7,4)), (SWITCH(weekday(Q$4), 1, 0, 2, if(ISBLANK('2025'!$P17), 0, 1), 3, if(ISBLANK('2025'!$Q17), 0, 1), 4, if(ISBLANK('2025'!$R17), 0, 1), 5, if(ISBLANK('2025'!$S17), 0, 1), 6, if(ISBLANK('2025'!$T17), 0, 1), 7, 0))), 1, "")</f>
        <v/>
      </c>
      <c r="R17" s="1" t="str">
        <f>IF(AND(AND(AND(R$4&gt;='2025'!$L17,R$4&lt;='2025'!$M17), R$4&lt;&gt;DATE(2025,7,4)), (SWITCH(weekday(R$4), 1, 0, 2, if(ISBLANK('2025'!$P17), 0, 1), 3, if(ISBLANK('2025'!$Q17), 0, 1), 4, if(ISBLANK('2025'!$R17), 0, 1), 5, if(ISBLANK('2025'!$S17), 0, 1), 6, if(ISBLANK('2025'!$T17), 0, 1), 7, 0))), 1, "")</f>
        <v/>
      </c>
      <c r="S17" s="1" t="str">
        <f>IF(AND(AND(AND(S$4&gt;='2025'!$L17,S$4&lt;='2025'!$M17), S$4&lt;&gt;DATE(2025,7,4)), (SWITCH(weekday(S$4), 1, 0, 2, if(ISBLANK('2025'!$P17), 0, 1), 3, if(ISBLANK('2025'!$Q17), 0, 1), 4, if(ISBLANK('2025'!$R17), 0, 1), 5, if(ISBLANK('2025'!$S17), 0, 1), 6, if(ISBLANK('2025'!$T17), 0, 1), 7, 0))), 1, "")</f>
        <v/>
      </c>
      <c r="T17" s="1" t="str">
        <f>IF(AND(AND(AND(T$4&gt;='2025'!$L17,T$4&lt;='2025'!$M17), T$4&lt;&gt;DATE(2025,7,4)), (SWITCH(weekday(T$4), 1, 0, 2, if(ISBLANK('2025'!$P17), 0, 1), 3, if(ISBLANK('2025'!$Q17), 0, 1), 4, if(ISBLANK('2025'!$R17), 0, 1), 5, if(ISBLANK('2025'!$S17), 0, 1), 6, if(ISBLANK('2025'!$T17), 0, 1), 7, 0))), 1, "")</f>
        <v/>
      </c>
      <c r="U17" s="1" t="str">
        <f>IF(AND(AND(AND(U$4&gt;='2025'!$L17,U$4&lt;='2025'!$M17), U$4&lt;&gt;DATE(2025,7,4)), (SWITCH(weekday(U$4), 1, 0, 2, if(ISBLANK('2025'!$P17), 0, 1), 3, if(ISBLANK('2025'!$Q17), 0, 1), 4, if(ISBLANK('2025'!$R17), 0, 1), 5, if(ISBLANK('2025'!$S17), 0, 1), 6, if(ISBLANK('2025'!$T17), 0, 1), 7, 0))), 1, "")</f>
        <v/>
      </c>
      <c r="V17" s="1" t="str">
        <f>IF(AND(AND(AND(V$4&gt;='2025'!$L17,V$4&lt;='2025'!$M17), V$4&lt;&gt;DATE(2025,7,4)), (SWITCH(weekday(V$4), 1, 0, 2, if(ISBLANK('2025'!$P17), 0, 1), 3, if(ISBLANK('2025'!$Q17), 0, 1), 4, if(ISBLANK('2025'!$R17), 0, 1), 5, if(ISBLANK('2025'!$S17), 0, 1), 6, if(ISBLANK('2025'!$T17), 0, 1), 7, 0))), 1, "")</f>
        <v/>
      </c>
      <c r="W17" s="1" t="str">
        <f>IF(AND(AND(AND(W$4&gt;='2025'!$L17,W$4&lt;='2025'!$M17), W$4&lt;&gt;DATE(2025,7,4)), (SWITCH(weekday(W$4), 1, 0, 2, if(ISBLANK('2025'!$P17), 0, 1), 3, if(ISBLANK('2025'!$Q17), 0, 1), 4, if(ISBLANK('2025'!$R17), 0, 1), 5, if(ISBLANK('2025'!$S17), 0, 1), 6, if(ISBLANK('2025'!$T17), 0, 1), 7, 0))), 1, "")</f>
        <v/>
      </c>
      <c r="X17" s="1" t="str">
        <f>IF(AND(AND(AND(X$4&gt;='2025'!$L17,X$4&lt;='2025'!$M17), X$4&lt;&gt;DATE(2025,7,4)), (SWITCH(weekday(X$4), 1, 0, 2, if(ISBLANK('2025'!$P17), 0, 1), 3, if(ISBLANK('2025'!$Q17), 0, 1), 4, if(ISBLANK('2025'!$R17), 0, 1), 5, if(ISBLANK('2025'!$S17), 0, 1), 6, if(ISBLANK('2025'!$T17), 0, 1), 7, 0))), 1, "")</f>
        <v/>
      </c>
      <c r="Y17" s="1" t="str">
        <f>IF(AND(AND(AND(Y$4&gt;='2025'!$L17,Y$4&lt;='2025'!$M17), Y$4&lt;&gt;DATE(2025,7,4)), (SWITCH(weekday(Y$4), 1, 0, 2, if(ISBLANK('2025'!$P17), 0, 1), 3, if(ISBLANK('2025'!$Q17), 0, 1), 4, if(ISBLANK('2025'!$R17), 0, 1), 5, if(ISBLANK('2025'!$S17), 0, 1), 6, if(ISBLANK('2025'!$T17), 0, 1), 7, 0))), 1, "")</f>
        <v/>
      </c>
      <c r="Z17" s="1" t="str">
        <f>IF(AND(AND(AND(Z$4&gt;='2025'!$L17,Z$4&lt;='2025'!$M17), Z$4&lt;&gt;DATE(2025,7,4)), (SWITCH(weekday(Z$4), 1, 0, 2, if(ISBLANK('2025'!$P17), 0, 1), 3, if(ISBLANK('2025'!$Q17), 0, 1), 4, if(ISBLANK('2025'!$R17), 0, 1), 5, if(ISBLANK('2025'!$S17), 0, 1), 6, if(ISBLANK('2025'!$T17), 0, 1), 7, 0))), 1, "")</f>
        <v/>
      </c>
      <c r="AA17" s="1" t="str">
        <f>IF(AND(AND(AND(AA$4&gt;='2025'!$L17,AA$4&lt;='2025'!$M17), AA$4&lt;&gt;DATE(2025,7,4)), (SWITCH(weekday(AA$4), 1, 0, 2, if(ISBLANK('2025'!$P17), 0, 1), 3, if(ISBLANK('2025'!$Q17), 0, 1), 4, if(ISBLANK('2025'!$R17), 0, 1), 5, if(ISBLANK('2025'!$S17), 0, 1), 6, if(ISBLANK('2025'!$T17), 0, 1), 7, 0))), 1, "")</f>
        <v/>
      </c>
      <c r="AB17" s="1" t="str">
        <f>IF(AND(AND(AND(AB$4&gt;='2025'!$L17,AB$4&lt;='2025'!$M17), AB$4&lt;&gt;DATE(2025,7,4)), (SWITCH(weekday(AB$4), 1, 0, 2, if(ISBLANK('2025'!$P17), 0, 1), 3, if(ISBLANK('2025'!$Q17), 0, 1), 4, if(ISBLANK('2025'!$R17), 0, 1), 5, if(ISBLANK('2025'!$S17), 0, 1), 6, if(ISBLANK('2025'!$T17), 0, 1), 7, 0))), 1, "")</f>
        <v/>
      </c>
      <c r="AC17" s="1" t="str">
        <f>IF(AND(AND(AND(AC$4&gt;='2025'!$L17,AC$4&lt;='2025'!$M17), AC$4&lt;&gt;DATE(2025,7,4)), (SWITCH(weekday(AC$4), 1, 0, 2, if(ISBLANK('2025'!$P17), 0, 1), 3, if(ISBLANK('2025'!$Q17), 0, 1), 4, if(ISBLANK('2025'!$R17), 0, 1), 5, if(ISBLANK('2025'!$S17), 0, 1), 6, if(ISBLANK('2025'!$T17), 0, 1), 7, 0))), 1, "")</f>
        <v/>
      </c>
      <c r="AD17" s="1" t="str">
        <f>IF(AND(AND(AND(AD$4&gt;='2025'!$L17,AD$4&lt;='2025'!$M17), AD$4&lt;&gt;DATE(2025,7,4)), (SWITCH(weekday(AD$4), 1, 0, 2, if(ISBLANK('2025'!$P17), 0, 1), 3, if(ISBLANK('2025'!$Q17), 0, 1), 4, if(ISBLANK('2025'!$R17), 0, 1), 5, if(ISBLANK('2025'!$S17), 0, 1), 6, if(ISBLANK('2025'!$T17), 0, 1), 7, 0))), 1, "")</f>
        <v/>
      </c>
      <c r="AE17" s="1" t="str">
        <f>IF(AND(AND(AND(AE$4&gt;='2025'!$L17,AE$4&lt;='2025'!$M17), AE$4&lt;&gt;DATE(2025,7,4)), (SWITCH(weekday(AE$4), 1, 0, 2, if(ISBLANK('2025'!$P17), 0, 1), 3, if(ISBLANK('2025'!$Q17), 0, 1), 4, if(ISBLANK('2025'!$R17), 0, 1), 5, if(ISBLANK('2025'!$S17), 0, 1), 6, if(ISBLANK('2025'!$T17), 0, 1), 7, 0))), 1, "")</f>
        <v/>
      </c>
      <c r="AF17" s="1" t="str">
        <f>IF(AND(AND(AND(AF$4&gt;='2025'!$L17,AF$4&lt;='2025'!$M17), AF$4&lt;&gt;DATE(2025,7,4)), (SWITCH(weekday(AF$4), 1, 0, 2, if(ISBLANK('2025'!$P17), 0, 1), 3, if(ISBLANK('2025'!$Q17), 0, 1), 4, if(ISBLANK('2025'!$R17), 0, 1), 5, if(ISBLANK('2025'!$S17), 0, 1), 6, if(ISBLANK('2025'!$T17), 0, 1), 7, 0))), 1, "")</f>
        <v/>
      </c>
      <c r="AG17" s="1" t="str">
        <f>IF(AND(AND(AND(AG$4&gt;='2025'!$L17,AG$4&lt;='2025'!$M17), AG$4&lt;&gt;DATE(2025,7,4)), (SWITCH(weekday(AG$4), 1, 0, 2, if(ISBLANK('2025'!$P17), 0, 1), 3, if(ISBLANK('2025'!$Q17), 0, 1), 4, if(ISBLANK('2025'!$R17), 0, 1), 5, if(ISBLANK('2025'!$S17), 0, 1), 6, if(ISBLANK('2025'!$T17), 0, 1), 7, 0))), 1, "")</f>
        <v/>
      </c>
      <c r="AH17" s="1" t="str">
        <f>IF(AND(AND(AND(AH$4&gt;='2025'!$L17,AH$4&lt;='2025'!$M17), AH$4&lt;&gt;DATE(2025,7,4)), (SWITCH(weekday(AH$4), 1, 0, 2, if(ISBLANK('2025'!$P17), 0, 1), 3, if(ISBLANK('2025'!$Q17), 0, 1), 4, if(ISBLANK('2025'!$R17), 0, 1), 5, if(ISBLANK('2025'!$S17), 0, 1), 6, if(ISBLANK('2025'!$T17), 0, 1), 7, 0))), 1, "")</f>
        <v/>
      </c>
      <c r="AI17" s="1" t="str">
        <f>IF(AND(AND(AND(AI$4&gt;='2025'!$L17,AI$4&lt;='2025'!$M17), AI$4&lt;&gt;DATE(2025,7,4)), (SWITCH(weekday(AI$4), 1, 0, 2, if(ISBLANK('2025'!$P17), 0, 1), 3, if(ISBLANK('2025'!$Q17), 0, 1), 4, if(ISBLANK('2025'!$R17), 0, 1), 5, if(ISBLANK('2025'!$S17), 0, 1), 6, if(ISBLANK('2025'!$T17), 0, 1), 7, 0))), 1, "")</f>
        <v/>
      </c>
      <c r="AJ17" s="1" t="str">
        <f>IF(AND(AND(AND(AJ$4&gt;='2025'!$L17,AJ$4&lt;='2025'!$M17), AJ$4&lt;&gt;DATE(2025,7,4)), (SWITCH(weekday(AJ$4), 1, 0, 2, if(ISBLANK('2025'!$P17), 0, 1), 3, if(ISBLANK('2025'!$Q17), 0, 1), 4, if(ISBLANK('2025'!$R17), 0, 1), 5, if(ISBLANK('2025'!$S17), 0, 1), 6, if(ISBLANK('2025'!$T17), 0, 1), 7, 0))), 1, "")</f>
        <v/>
      </c>
      <c r="AK17" s="1" t="str">
        <f>IF(AND(AND(AND(AK$4&gt;='2025'!$L17,AK$4&lt;='2025'!$M17), AK$4&lt;&gt;DATE(2025,7,4)), (SWITCH(weekday(AK$4), 1, 0, 2, if(ISBLANK('2025'!$P17), 0, 1), 3, if(ISBLANK('2025'!$Q17), 0, 1), 4, if(ISBLANK('2025'!$R17), 0, 1), 5, if(ISBLANK('2025'!$S17), 0, 1), 6, if(ISBLANK('2025'!$T17), 0, 1), 7, 0))), 1, "")</f>
        <v/>
      </c>
      <c r="AL17" s="1" t="str">
        <f>IF(AND(AND(AND(AL$4&gt;='2025'!$L17,AL$4&lt;='2025'!$M17), AL$4&lt;&gt;DATE(2025,7,4)), (SWITCH(weekday(AL$4), 1, 0, 2, if(ISBLANK('2025'!$P17), 0, 1), 3, if(ISBLANK('2025'!$Q17), 0, 1), 4, if(ISBLANK('2025'!$R17), 0, 1), 5, if(ISBLANK('2025'!$S17), 0, 1), 6, if(ISBLANK('2025'!$T17), 0, 1), 7, 0))), 1, "")</f>
        <v/>
      </c>
      <c r="AM17" s="1" t="str">
        <f>IF(AND(AND(AND(AM$4&gt;='2025'!$L17,AM$4&lt;='2025'!$M17), AM$4&lt;&gt;DATE(2025,7,4)), (SWITCH(weekday(AM$4), 1, 0, 2, if(ISBLANK('2025'!$P17), 0, 1), 3, if(ISBLANK('2025'!$Q17), 0, 1), 4, if(ISBLANK('2025'!$R17), 0, 1), 5, if(ISBLANK('2025'!$S17), 0, 1), 6, if(ISBLANK('2025'!$T17), 0, 1), 7, 0))), 1, "")</f>
        <v/>
      </c>
      <c r="AN17" s="1" t="str">
        <f>IF(AND(AND(AND(AN$4&gt;='2025'!$L17,AN$4&lt;='2025'!$M17), AN$4&lt;&gt;DATE(2025,7,4)), (SWITCH(weekday(AN$4), 1, 0, 2, if(ISBLANK('2025'!$P17), 0, 1), 3, if(ISBLANK('2025'!$Q17), 0, 1), 4, if(ISBLANK('2025'!$R17), 0, 1), 5, if(ISBLANK('2025'!$S17), 0, 1), 6, if(ISBLANK('2025'!$T17), 0, 1), 7, 0))), 1, "")</f>
        <v/>
      </c>
      <c r="AO17" s="1" t="str">
        <f>IF(AND(AND(AND(AO$4&gt;='2025'!$L17,AO$4&lt;='2025'!$M17), AO$4&lt;&gt;DATE(2025,7,4)), (SWITCH(weekday(AO$4), 1, 0, 2, if(ISBLANK('2025'!$P17), 0, 1), 3, if(ISBLANK('2025'!$Q17), 0, 1), 4, if(ISBLANK('2025'!$R17), 0, 1), 5, if(ISBLANK('2025'!$S17), 0, 1), 6, if(ISBLANK('2025'!$T17), 0, 1), 7, 0))), 1, "")</f>
        <v/>
      </c>
      <c r="AP17" s="1" t="str">
        <f>IF(AND(AND(AND(AP$4&gt;='2025'!$L17,AP$4&lt;='2025'!$M17), AP$4&lt;&gt;DATE(2025,7,4)), (SWITCH(weekday(AP$4), 1, 0, 2, if(ISBLANK('2025'!$P17), 0, 1), 3, if(ISBLANK('2025'!$Q17), 0, 1), 4, if(ISBLANK('2025'!$R17), 0, 1), 5, if(ISBLANK('2025'!$S17), 0, 1), 6, if(ISBLANK('2025'!$T17), 0, 1), 7, 0))), 1, "")</f>
        <v/>
      </c>
      <c r="AQ17" s="1" t="str">
        <f>IF(AND(AND(AND(AQ$4&gt;='2025'!$L17,AQ$4&lt;='2025'!$M17), AQ$4&lt;&gt;DATE(2025,7,4)), (SWITCH(weekday(AQ$4), 1, 0, 2, if(ISBLANK('2025'!$P17), 0, 1), 3, if(ISBLANK('2025'!$Q17), 0, 1), 4, if(ISBLANK('2025'!$R17), 0, 1), 5, if(ISBLANK('2025'!$S17), 0, 1), 6, if(ISBLANK('2025'!$T17), 0, 1), 7, 0))), 1, "")</f>
        <v/>
      </c>
      <c r="AR17" s="1" t="str">
        <f>IF(AND(AND(AND(AR$4&gt;='2025'!$L17,AR$4&lt;='2025'!$M17), AR$4&lt;&gt;DATE(2025,7,4)), (SWITCH(weekday(AR$4), 1, 0, 2, if(ISBLANK('2025'!$P17), 0, 1), 3, if(ISBLANK('2025'!$Q17), 0, 1), 4, if(ISBLANK('2025'!$R17), 0, 1), 5, if(ISBLANK('2025'!$S17), 0, 1), 6, if(ISBLANK('2025'!$T17), 0, 1), 7, 0))), 1, "")</f>
        <v/>
      </c>
      <c r="AS17" s="1" t="str">
        <f>IF(AND(AND(AND(AS$4&gt;='2025'!$L17,AS$4&lt;='2025'!$M17), AS$4&lt;&gt;DATE(2025,7,4)), (SWITCH(weekday(AS$4), 1, 0, 2, if(ISBLANK('2025'!$P17), 0, 1), 3, if(ISBLANK('2025'!$Q17), 0, 1), 4, if(ISBLANK('2025'!$R17), 0, 1), 5, if(ISBLANK('2025'!$S17), 0, 1), 6, if(ISBLANK('2025'!$T17), 0, 1), 7, 0))), 1, "")</f>
        <v/>
      </c>
      <c r="AT17" s="1" t="str">
        <f>IF(AND(AND(AND(AT$4&gt;='2025'!$L17,AT$4&lt;='2025'!$M17), AT$4&lt;&gt;DATE(2025,7,4)), (SWITCH(weekday(AT$4), 1, 0, 2, if(ISBLANK('2025'!$P17), 0, 1), 3, if(ISBLANK('2025'!$Q17), 0, 1), 4, if(ISBLANK('2025'!$R17), 0, 1), 5, if(ISBLANK('2025'!$S17), 0, 1), 6, if(ISBLANK('2025'!$T17), 0, 1), 7, 0))), 1, "")</f>
        <v/>
      </c>
      <c r="AU17" s="1" t="str">
        <f>IF(AND(AND(AND(AU$4&gt;='2025'!$L17,AU$4&lt;='2025'!$M17), AU$4&lt;&gt;DATE(2025,7,4)), (SWITCH(weekday(AU$4), 1, 0, 2, if(ISBLANK('2025'!$P17), 0, 1), 3, if(ISBLANK('2025'!$Q17), 0, 1), 4, if(ISBLANK('2025'!$R17), 0, 1), 5, if(ISBLANK('2025'!$S17), 0, 1), 6, if(ISBLANK('2025'!$T17), 0, 1), 7, 0))), 1, "")</f>
        <v/>
      </c>
      <c r="AV17" s="1" t="str">
        <f>IF(AND(AND(AND(AV$4&gt;='2025'!$L17,AV$4&lt;='2025'!$M17), AV$4&lt;&gt;DATE(2025,7,4)), (SWITCH(weekday(AV$4), 1, 0, 2, if(ISBLANK('2025'!$P17), 0, 1), 3, if(ISBLANK('2025'!$Q17), 0, 1), 4, if(ISBLANK('2025'!$R17), 0, 1), 5, if(ISBLANK('2025'!$S17), 0, 1), 6, if(ISBLANK('2025'!$T17), 0, 1), 7, 0))), 1, "")</f>
        <v/>
      </c>
      <c r="AW17" s="1" t="str">
        <f>IF(AND(AND(AND(AW$4&gt;='2025'!$L17,AW$4&lt;='2025'!$M17), AW$4&lt;&gt;DATE(2025,7,4)), (SWITCH(weekday(AW$4), 1, 0, 2, if(ISBLANK('2025'!$P17), 0, 1), 3, if(ISBLANK('2025'!$Q17), 0, 1), 4, if(ISBLANK('2025'!$R17), 0, 1), 5, if(ISBLANK('2025'!$S17), 0, 1), 6, if(ISBLANK('2025'!$T17), 0, 1), 7, 0))), 1, "")</f>
        <v/>
      </c>
      <c r="AX17" s="1" t="str">
        <f>IF(AND(AND(AND(AX$4&gt;='2025'!$L17,AX$4&lt;='2025'!$M17), AX$4&lt;&gt;DATE(2025,7,4)), (SWITCH(weekday(AX$4), 1, 0, 2, if(ISBLANK('2025'!$P17), 0, 1), 3, if(ISBLANK('2025'!$Q17), 0, 1), 4, if(ISBLANK('2025'!$R17), 0, 1), 5, if(ISBLANK('2025'!$S17), 0, 1), 6, if(ISBLANK('2025'!$T17), 0, 1), 7, 0))), 1, "")</f>
        <v/>
      </c>
      <c r="AY17" s="1" t="str">
        <f>IF(AND(AND(AND(AY$4&gt;='2025'!$L17,AY$4&lt;='2025'!$M17), AY$4&lt;&gt;DATE(2025,7,4)), (SWITCH(weekday(AY$4), 1, 0, 2, if(ISBLANK('2025'!$P17), 0, 1), 3, if(ISBLANK('2025'!$Q17), 0, 1), 4, if(ISBLANK('2025'!$R17), 0, 1), 5, if(ISBLANK('2025'!$S17), 0, 1), 6, if(ISBLANK('2025'!$T17), 0, 1), 7, 0))), 1, "")</f>
        <v/>
      </c>
      <c r="AZ17" s="1" t="str">
        <f>IF(AND(AND(AND(AZ$4&gt;='2025'!$L17,AZ$4&lt;='2025'!$M17), AZ$4&lt;&gt;DATE(2025,7,4)), (SWITCH(weekday(AZ$4), 1, 0, 2, if(ISBLANK('2025'!$P17), 0, 1), 3, if(ISBLANK('2025'!$Q17), 0, 1), 4, if(ISBLANK('2025'!$R17), 0, 1), 5, if(ISBLANK('2025'!$S17), 0, 1), 6, if(ISBLANK('2025'!$T17), 0, 1), 7, 0))), 1, "")</f>
        <v/>
      </c>
      <c r="BA17" s="1" t="str">
        <f>IF(AND(AND(AND(BA$4&gt;='2025'!$L17,BA$4&lt;='2025'!$M17), BA$4&lt;&gt;DATE(2025,7,4)), (SWITCH(weekday(BA$4), 1, 0, 2, if(ISBLANK('2025'!$P17), 0, 1), 3, if(ISBLANK('2025'!$Q17), 0, 1), 4, if(ISBLANK('2025'!$R17), 0, 1), 5, if(ISBLANK('2025'!$S17), 0, 1), 6, if(ISBLANK('2025'!$T17), 0, 1), 7, 0))), 1, "")</f>
        <v/>
      </c>
      <c r="BB17" s="1" t="str">
        <f>IF(AND(AND(AND(BB$4&gt;='2025'!$L17,BB$4&lt;='2025'!$M17), BB$4&lt;&gt;DATE(2025,7,4)), (SWITCH(weekday(BB$4), 1, 0, 2, if(ISBLANK('2025'!$P17), 0, 1), 3, if(ISBLANK('2025'!$Q17), 0, 1), 4, if(ISBLANK('2025'!$R17), 0, 1), 5, if(ISBLANK('2025'!$S17), 0, 1), 6, if(ISBLANK('2025'!$T17), 0, 1), 7, 0))), 1, "")</f>
        <v/>
      </c>
      <c r="BC17" s="1" t="str">
        <f>IF(AND(AND(AND(BC$4&gt;='2025'!$L17,BC$4&lt;='2025'!$M17), BC$4&lt;&gt;DATE(2025,7,4)), (SWITCH(weekday(BC$4), 1, 0, 2, if(ISBLANK('2025'!$P17), 0, 1), 3, if(ISBLANK('2025'!$Q17), 0, 1), 4, if(ISBLANK('2025'!$R17), 0, 1), 5, if(ISBLANK('2025'!$S17), 0, 1), 6, if(ISBLANK('2025'!$T17), 0, 1), 7, 0))), 1, "")</f>
        <v/>
      </c>
      <c r="BD17" s="1" t="str">
        <f>IF(AND(AND(AND(BD$4&gt;='2025'!$L17,BD$4&lt;='2025'!$M17), BD$4&lt;&gt;DATE(2025,7,4)), (SWITCH(weekday(BD$4), 1, 0, 2, if(ISBLANK('2025'!$P17), 0, 1), 3, if(ISBLANK('2025'!$Q17), 0, 1), 4, if(ISBLANK('2025'!$R17), 0, 1), 5, if(ISBLANK('2025'!$S17), 0, 1), 6, if(ISBLANK('2025'!$T17), 0, 1), 7, 0))), 1, "")</f>
        <v/>
      </c>
      <c r="BE17" s="1" t="str">
        <f>IF(AND(AND(AND(BE$4&gt;='2025'!$L17,BE$4&lt;='2025'!$M17), BE$4&lt;&gt;DATE(2025,7,4)), (SWITCH(weekday(BE$4), 1, 0, 2, if(ISBLANK('2025'!$P17), 0, 1), 3, if(ISBLANK('2025'!$Q17), 0, 1), 4, if(ISBLANK('2025'!$R17), 0, 1), 5, if(ISBLANK('2025'!$S17), 0, 1), 6, if(ISBLANK('2025'!$T17), 0, 1), 7, 0))), 1, "")</f>
        <v/>
      </c>
      <c r="BF17" s="1" t="str">
        <f>IF(AND(AND(AND(BF$4&gt;='2025'!$L17,BF$4&lt;='2025'!$M17), BF$4&lt;&gt;DATE(2025,7,4)), (SWITCH(weekday(BF$4), 1, 0, 2, if(ISBLANK('2025'!$P17), 0, 1), 3, if(ISBLANK('2025'!$Q17), 0, 1), 4, if(ISBLANK('2025'!$R17), 0, 1), 5, if(ISBLANK('2025'!$S17), 0, 1), 6, if(ISBLANK('2025'!$T17), 0, 1), 7, 0))), 1, "")</f>
        <v/>
      </c>
      <c r="BG17" s="1"/>
      <c r="BH17" s="1"/>
      <c r="BI17" s="1"/>
      <c r="BJ17" s="1"/>
      <c r="BK17" s="1"/>
      <c r="BL17" s="1"/>
    </row>
    <row r="18">
      <c r="A18" s="1">
        <f t="shared" si="3"/>
        <v>18</v>
      </c>
      <c r="B18" s="1" t="str">
        <f>'2025'!D18</f>
        <v>Devadas, Grace</v>
      </c>
      <c r="C18" s="1" t="str">
        <f>'2025'!H18</f>
        <v>TOD</v>
      </c>
      <c r="D18" s="1" t="str">
        <f>IF(AND(AND(AND(D$4&gt;='2025'!$L18,D$4&lt;='2025'!$M18), D$4&lt;&gt;DATE(2025,7,4)), (SWITCH(weekday(D$4), 1, 0, 2, if(ISBLANK('2025'!$P18), 0, 1), 3, if(ISBLANK('2025'!$Q18), 0, 1), 4, if(ISBLANK('2025'!$R18), 0, 1), 5, if(ISBLANK('2025'!$S18), 0, 1), 6, if(ISBLANK('2025'!$T18), 0, 1), 7, 0))), 1, "")</f>
        <v/>
      </c>
      <c r="E18" s="1" t="str">
        <f>IF(AND(AND(AND(E$4&gt;='2025'!$L18,E$4&lt;='2025'!$M18), E$4&lt;&gt;DATE(2025,7,4)), (SWITCH(weekday(E$4), 1, 0, 2, if(ISBLANK('2025'!$P18), 0, 1), 3, if(ISBLANK('2025'!$Q18), 0, 1), 4, if(ISBLANK('2025'!$R18), 0, 1), 5, if(ISBLANK('2025'!$S18), 0, 1), 6, if(ISBLANK('2025'!$T18), 0, 1), 7, 0))), 1, "")</f>
        <v/>
      </c>
      <c r="F18" s="1" t="str">
        <f>IF(AND(AND(AND(F$4&gt;='2025'!$L18,F$4&lt;='2025'!$M18), F$4&lt;&gt;DATE(2025,7,4)), (SWITCH(weekday(F$4), 1, 0, 2, if(ISBLANK('2025'!$P18), 0, 1), 3, if(ISBLANK('2025'!$Q18), 0, 1), 4, if(ISBLANK('2025'!$R18), 0, 1), 5, if(ISBLANK('2025'!$S18), 0, 1), 6, if(ISBLANK('2025'!$T18), 0, 1), 7, 0))), 1, "")</f>
        <v/>
      </c>
      <c r="G18" s="1" t="str">
        <f>IF(AND(AND(AND(G$4&gt;='2025'!$L18,G$4&lt;='2025'!$M18), G$4&lt;&gt;DATE(2025,7,4)), (SWITCH(weekday(G$4), 1, 0, 2, if(ISBLANK('2025'!$P18), 0, 1), 3, if(ISBLANK('2025'!$Q18), 0, 1), 4, if(ISBLANK('2025'!$R18), 0, 1), 5, if(ISBLANK('2025'!$S18), 0, 1), 6, if(ISBLANK('2025'!$T18), 0, 1), 7, 0))), 1, "")</f>
        <v/>
      </c>
      <c r="H18" s="1" t="str">
        <f>IF(AND(AND(AND(H$4&gt;='2025'!$L18,H$4&lt;='2025'!$M18), H$4&lt;&gt;DATE(2025,7,4)), (SWITCH(weekday(H$4), 1, 0, 2, if(ISBLANK('2025'!$P18), 0, 1), 3, if(ISBLANK('2025'!$Q18), 0, 1), 4, if(ISBLANK('2025'!$R18), 0, 1), 5, if(ISBLANK('2025'!$S18), 0, 1), 6, if(ISBLANK('2025'!$T18), 0, 1), 7, 0))), 1, "")</f>
        <v/>
      </c>
      <c r="I18" s="1" t="str">
        <f>IF(AND(AND(AND(I$4&gt;='2025'!$L18,I$4&lt;='2025'!$M18), I$4&lt;&gt;DATE(2025,7,4)), (SWITCH(weekday(I$4), 1, 0, 2, if(ISBLANK('2025'!$P18), 0, 1), 3, if(ISBLANK('2025'!$Q18), 0, 1), 4, if(ISBLANK('2025'!$R18), 0, 1), 5, if(ISBLANK('2025'!$S18), 0, 1), 6, if(ISBLANK('2025'!$T18), 0, 1), 7, 0))), 1, "")</f>
        <v/>
      </c>
      <c r="J18" s="1" t="str">
        <f>IF(AND(AND(AND(J$4&gt;='2025'!$L18,J$4&lt;='2025'!$M18), J$4&lt;&gt;DATE(2025,7,4)), (SWITCH(weekday(J$4), 1, 0, 2, if(ISBLANK('2025'!$P18), 0, 1), 3, if(ISBLANK('2025'!$Q18), 0, 1), 4, if(ISBLANK('2025'!$R18), 0, 1), 5, if(ISBLANK('2025'!$S18), 0, 1), 6, if(ISBLANK('2025'!$T18), 0, 1), 7, 0))), 1, "")</f>
        <v/>
      </c>
      <c r="K18" s="1" t="str">
        <f>IF(AND(AND(AND(K$4&gt;='2025'!$L18,K$4&lt;='2025'!$M18), K$4&lt;&gt;DATE(2025,7,4)), (SWITCH(weekday(K$4), 1, 0, 2, if(ISBLANK('2025'!$P18), 0, 1), 3, if(ISBLANK('2025'!$Q18), 0, 1), 4, if(ISBLANK('2025'!$R18), 0, 1), 5, if(ISBLANK('2025'!$S18), 0, 1), 6, if(ISBLANK('2025'!$T18), 0, 1), 7, 0))), 1, "")</f>
        <v/>
      </c>
      <c r="L18" s="1" t="str">
        <f>IF(AND(AND(AND(L$4&gt;='2025'!$L18,L$4&lt;='2025'!$M18), L$4&lt;&gt;DATE(2025,7,4)), (SWITCH(weekday(L$4), 1, 0, 2, if(ISBLANK('2025'!$P18), 0, 1), 3, if(ISBLANK('2025'!$Q18), 0, 1), 4, if(ISBLANK('2025'!$R18), 0, 1), 5, if(ISBLANK('2025'!$S18), 0, 1), 6, if(ISBLANK('2025'!$T18), 0, 1), 7, 0))), 1, "")</f>
        <v/>
      </c>
      <c r="M18" s="1" t="str">
        <f>IF(AND(AND(AND(M$4&gt;='2025'!$L18,M$4&lt;='2025'!$M18), M$4&lt;&gt;DATE(2025,7,4)), (SWITCH(weekday(M$4), 1, 0, 2, if(ISBLANK('2025'!$P18), 0, 1), 3, if(ISBLANK('2025'!$Q18), 0, 1), 4, if(ISBLANK('2025'!$R18), 0, 1), 5, if(ISBLANK('2025'!$S18), 0, 1), 6, if(ISBLANK('2025'!$T18), 0, 1), 7, 0))), 1, "")</f>
        <v/>
      </c>
      <c r="N18" s="1" t="str">
        <f>IF(AND(AND(AND(N$4&gt;='2025'!$L18,N$4&lt;='2025'!$M18), N$4&lt;&gt;DATE(2025,7,4)), (SWITCH(weekday(N$4), 1, 0, 2, if(ISBLANK('2025'!$P18), 0, 1), 3, if(ISBLANK('2025'!$Q18), 0, 1), 4, if(ISBLANK('2025'!$R18), 0, 1), 5, if(ISBLANK('2025'!$S18), 0, 1), 6, if(ISBLANK('2025'!$T18), 0, 1), 7, 0))), 1, "")</f>
        <v/>
      </c>
      <c r="O18" s="1" t="str">
        <f>IF(AND(AND(AND(O$4&gt;='2025'!$L18,O$4&lt;='2025'!$M18), O$4&lt;&gt;DATE(2025,7,4)), (SWITCH(weekday(O$4), 1, 0, 2, if(ISBLANK('2025'!$P18), 0, 1), 3, if(ISBLANK('2025'!$Q18), 0, 1), 4, if(ISBLANK('2025'!$R18), 0, 1), 5, if(ISBLANK('2025'!$S18), 0, 1), 6, if(ISBLANK('2025'!$T18), 0, 1), 7, 0))), 1, "")</f>
        <v/>
      </c>
      <c r="P18" s="1" t="str">
        <f>IF(AND(AND(AND(P$4&gt;='2025'!$L18,P$4&lt;='2025'!$M18), P$4&lt;&gt;DATE(2025,7,4)), (SWITCH(weekday(P$4), 1, 0, 2, if(ISBLANK('2025'!$P18), 0, 1), 3, if(ISBLANK('2025'!$Q18), 0, 1), 4, if(ISBLANK('2025'!$R18), 0, 1), 5, if(ISBLANK('2025'!$S18), 0, 1), 6, if(ISBLANK('2025'!$T18), 0, 1), 7, 0))), 1, "")</f>
        <v/>
      </c>
      <c r="Q18" s="1" t="str">
        <f>IF(AND(AND(AND(Q$4&gt;='2025'!$L18,Q$4&lt;='2025'!$M18), Q$4&lt;&gt;DATE(2025,7,4)), (SWITCH(weekday(Q$4), 1, 0, 2, if(ISBLANK('2025'!$P18), 0, 1), 3, if(ISBLANK('2025'!$Q18), 0, 1), 4, if(ISBLANK('2025'!$R18), 0, 1), 5, if(ISBLANK('2025'!$S18), 0, 1), 6, if(ISBLANK('2025'!$T18), 0, 1), 7, 0))), 1, "")</f>
        <v/>
      </c>
      <c r="R18" s="1" t="str">
        <f>IF(AND(AND(AND(R$4&gt;='2025'!$L18,R$4&lt;='2025'!$M18), R$4&lt;&gt;DATE(2025,7,4)), (SWITCH(weekday(R$4), 1, 0, 2, if(ISBLANK('2025'!$P18), 0, 1), 3, if(ISBLANK('2025'!$Q18), 0, 1), 4, if(ISBLANK('2025'!$R18), 0, 1), 5, if(ISBLANK('2025'!$S18), 0, 1), 6, if(ISBLANK('2025'!$T18), 0, 1), 7, 0))), 1, "")</f>
        <v/>
      </c>
      <c r="S18" s="1" t="str">
        <f>IF(AND(AND(AND(S$4&gt;='2025'!$L18,S$4&lt;='2025'!$M18), S$4&lt;&gt;DATE(2025,7,4)), (SWITCH(weekday(S$4), 1, 0, 2, if(ISBLANK('2025'!$P18), 0, 1), 3, if(ISBLANK('2025'!$Q18), 0, 1), 4, if(ISBLANK('2025'!$R18), 0, 1), 5, if(ISBLANK('2025'!$S18), 0, 1), 6, if(ISBLANK('2025'!$T18), 0, 1), 7, 0))), 1, "")</f>
        <v/>
      </c>
      <c r="T18" s="1" t="str">
        <f>IF(AND(AND(AND(T$4&gt;='2025'!$L18,T$4&lt;='2025'!$M18), T$4&lt;&gt;DATE(2025,7,4)), (SWITCH(weekday(T$4), 1, 0, 2, if(ISBLANK('2025'!$P18), 0, 1), 3, if(ISBLANK('2025'!$Q18), 0, 1), 4, if(ISBLANK('2025'!$R18), 0, 1), 5, if(ISBLANK('2025'!$S18), 0, 1), 6, if(ISBLANK('2025'!$T18), 0, 1), 7, 0))), 1, "")</f>
        <v/>
      </c>
      <c r="U18" s="1" t="str">
        <f>IF(AND(AND(AND(U$4&gt;='2025'!$L18,U$4&lt;='2025'!$M18), U$4&lt;&gt;DATE(2025,7,4)), (SWITCH(weekday(U$4), 1, 0, 2, if(ISBLANK('2025'!$P18), 0, 1), 3, if(ISBLANK('2025'!$Q18), 0, 1), 4, if(ISBLANK('2025'!$R18), 0, 1), 5, if(ISBLANK('2025'!$S18), 0, 1), 6, if(ISBLANK('2025'!$T18), 0, 1), 7, 0))), 1, "")</f>
        <v/>
      </c>
      <c r="V18" s="1" t="str">
        <f>IF(AND(AND(AND(V$4&gt;='2025'!$L18,V$4&lt;='2025'!$M18), V$4&lt;&gt;DATE(2025,7,4)), (SWITCH(weekday(V$4), 1, 0, 2, if(ISBLANK('2025'!$P18), 0, 1), 3, if(ISBLANK('2025'!$Q18), 0, 1), 4, if(ISBLANK('2025'!$R18), 0, 1), 5, if(ISBLANK('2025'!$S18), 0, 1), 6, if(ISBLANK('2025'!$T18), 0, 1), 7, 0))), 1, "")</f>
        <v/>
      </c>
      <c r="W18" s="1" t="str">
        <f>IF(AND(AND(AND(W$4&gt;='2025'!$L18,W$4&lt;='2025'!$M18), W$4&lt;&gt;DATE(2025,7,4)), (SWITCH(weekday(W$4), 1, 0, 2, if(ISBLANK('2025'!$P18), 0, 1), 3, if(ISBLANK('2025'!$Q18), 0, 1), 4, if(ISBLANK('2025'!$R18), 0, 1), 5, if(ISBLANK('2025'!$S18), 0, 1), 6, if(ISBLANK('2025'!$T18), 0, 1), 7, 0))), 1, "")</f>
        <v/>
      </c>
      <c r="X18" s="1" t="str">
        <f>IF(AND(AND(AND(X$4&gt;='2025'!$L18,X$4&lt;='2025'!$M18), X$4&lt;&gt;DATE(2025,7,4)), (SWITCH(weekday(X$4), 1, 0, 2, if(ISBLANK('2025'!$P18), 0, 1), 3, if(ISBLANK('2025'!$Q18), 0, 1), 4, if(ISBLANK('2025'!$R18), 0, 1), 5, if(ISBLANK('2025'!$S18), 0, 1), 6, if(ISBLANK('2025'!$T18), 0, 1), 7, 0))), 1, "")</f>
        <v/>
      </c>
      <c r="Y18" s="1" t="str">
        <f>IF(AND(AND(AND(Y$4&gt;='2025'!$L18,Y$4&lt;='2025'!$M18), Y$4&lt;&gt;DATE(2025,7,4)), (SWITCH(weekday(Y$4), 1, 0, 2, if(ISBLANK('2025'!$P18), 0, 1), 3, if(ISBLANK('2025'!$Q18), 0, 1), 4, if(ISBLANK('2025'!$R18), 0, 1), 5, if(ISBLANK('2025'!$S18), 0, 1), 6, if(ISBLANK('2025'!$T18), 0, 1), 7, 0))), 1, "")</f>
        <v/>
      </c>
      <c r="Z18" s="1" t="str">
        <f>IF(AND(AND(AND(Z$4&gt;='2025'!$L18,Z$4&lt;='2025'!$M18), Z$4&lt;&gt;DATE(2025,7,4)), (SWITCH(weekday(Z$4), 1, 0, 2, if(ISBLANK('2025'!$P18), 0, 1), 3, if(ISBLANK('2025'!$Q18), 0, 1), 4, if(ISBLANK('2025'!$R18), 0, 1), 5, if(ISBLANK('2025'!$S18), 0, 1), 6, if(ISBLANK('2025'!$T18), 0, 1), 7, 0))), 1, "")</f>
        <v/>
      </c>
      <c r="AA18" s="1" t="str">
        <f>IF(AND(AND(AND(AA$4&gt;='2025'!$L18,AA$4&lt;='2025'!$M18), AA$4&lt;&gt;DATE(2025,7,4)), (SWITCH(weekday(AA$4), 1, 0, 2, if(ISBLANK('2025'!$P18), 0, 1), 3, if(ISBLANK('2025'!$Q18), 0, 1), 4, if(ISBLANK('2025'!$R18), 0, 1), 5, if(ISBLANK('2025'!$S18), 0, 1), 6, if(ISBLANK('2025'!$T18), 0, 1), 7, 0))), 1, "")</f>
        <v/>
      </c>
      <c r="AB18" s="1" t="str">
        <f>IF(AND(AND(AND(AB$4&gt;='2025'!$L18,AB$4&lt;='2025'!$M18), AB$4&lt;&gt;DATE(2025,7,4)), (SWITCH(weekday(AB$4), 1, 0, 2, if(ISBLANK('2025'!$P18), 0, 1), 3, if(ISBLANK('2025'!$Q18), 0, 1), 4, if(ISBLANK('2025'!$R18), 0, 1), 5, if(ISBLANK('2025'!$S18), 0, 1), 6, if(ISBLANK('2025'!$T18), 0, 1), 7, 0))), 1, "")</f>
        <v/>
      </c>
      <c r="AC18" s="1" t="str">
        <f>IF(AND(AND(AND(AC$4&gt;='2025'!$L18,AC$4&lt;='2025'!$M18), AC$4&lt;&gt;DATE(2025,7,4)), (SWITCH(weekday(AC$4), 1, 0, 2, if(ISBLANK('2025'!$P18), 0, 1), 3, if(ISBLANK('2025'!$Q18), 0, 1), 4, if(ISBLANK('2025'!$R18), 0, 1), 5, if(ISBLANK('2025'!$S18), 0, 1), 6, if(ISBLANK('2025'!$T18), 0, 1), 7, 0))), 1, "")</f>
        <v/>
      </c>
      <c r="AD18" s="1" t="str">
        <f>IF(AND(AND(AND(AD$4&gt;='2025'!$L18,AD$4&lt;='2025'!$M18), AD$4&lt;&gt;DATE(2025,7,4)), (SWITCH(weekday(AD$4), 1, 0, 2, if(ISBLANK('2025'!$P18), 0, 1), 3, if(ISBLANK('2025'!$Q18), 0, 1), 4, if(ISBLANK('2025'!$R18), 0, 1), 5, if(ISBLANK('2025'!$S18), 0, 1), 6, if(ISBLANK('2025'!$T18), 0, 1), 7, 0))), 1, "")</f>
        <v/>
      </c>
      <c r="AE18" s="1" t="str">
        <f>IF(AND(AND(AND(AE$4&gt;='2025'!$L18,AE$4&lt;='2025'!$M18), AE$4&lt;&gt;DATE(2025,7,4)), (SWITCH(weekday(AE$4), 1, 0, 2, if(ISBLANK('2025'!$P18), 0, 1), 3, if(ISBLANK('2025'!$Q18), 0, 1), 4, if(ISBLANK('2025'!$R18), 0, 1), 5, if(ISBLANK('2025'!$S18), 0, 1), 6, if(ISBLANK('2025'!$T18), 0, 1), 7, 0))), 1, "")</f>
        <v/>
      </c>
      <c r="AF18" s="1" t="str">
        <f>IF(AND(AND(AND(AF$4&gt;='2025'!$L18,AF$4&lt;='2025'!$M18), AF$4&lt;&gt;DATE(2025,7,4)), (SWITCH(weekday(AF$4), 1, 0, 2, if(ISBLANK('2025'!$P18), 0, 1), 3, if(ISBLANK('2025'!$Q18), 0, 1), 4, if(ISBLANK('2025'!$R18), 0, 1), 5, if(ISBLANK('2025'!$S18), 0, 1), 6, if(ISBLANK('2025'!$T18), 0, 1), 7, 0))), 1, "")</f>
        <v/>
      </c>
      <c r="AG18" s="1" t="str">
        <f>IF(AND(AND(AND(AG$4&gt;='2025'!$L18,AG$4&lt;='2025'!$M18), AG$4&lt;&gt;DATE(2025,7,4)), (SWITCH(weekday(AG$4), 1, 0, 2, if(ISBLANK('2025'!$P18), 0, 1), 3, if(ISBLANK('2025'!$Q18), 0, 1), 4, if(ISBLANK('2025'!$R18), 0, 1), 5, if(ISBLANK('2025'!$S18), 0, 1), 6, if(ISBLANK('2025'!$T18), 0, 1), 7, 0))), 1, "")</f>
        <v/>
      </c>
      <c r="AH18" s="1" t="str">
        <f>IF(AND(AND(AND(AH$4&gt;='2025'!$L18,AH$4&lt;='2025'!$M18), AH$4&lt;&gt;DATE(2025,7,4)), (SWITCH(weekday(AH$4), 1, 0, 2, if(ISBLANK('2025'!$P18), 0, 1), 3, if(ISBLANK('2025'!$Q18), 0, 1), 4, if(ISBLANK('2025'!$R18), 0, 1), 5, if(ISBLANK('2025'!$S18), 0, 1), 6, if(ISBLANK('2025'!$T18), 0, 1), 7, 0))), 1, "")</f>
        <v/>
      </c>
      <c r="AI18" s="1" t="str">
        <f>IF(AND(AND(AND(AI$4&gt;='2025'!$L18,AI$4&lt;='2025'!$M18), AI$4&lt;&gt;DATE(2025,7,4)), (SWITCH(weekday(AI$4), 1, 0, 2, if(ISBLANK('2025'!$P18), 0, 1), 3, if(ISBLANK('2025'!$Q18), 0, 1), 4, if(ISBLANK('2025'!$R18), 0, 1), 5, if(ISBLANK('2025'!$S18), 0, 1), 6, if(ISBLANK('2025'!$T18), 0, 1), 7, 0))), 1, "")</f>
        <v/>
      </c>
      <c r="AJ18" s="1" t="str">
        <f>IF(AND(AND(AND(AJ$4&gt;='2025'!$L18,AJ$4&lt;='2025'!$M18), AJ$4&lt;&gt;DATE(2025,7,4)), (SWITCH(weekday(AJ$4), 1, 0, 2, if(ISBLANK('2025'!$P18), 0, 1), 3, if(ISBLANK('2025'!$Q18), 0, 1), 4, if(ISBLANK('2025'!$R18), 0, 1), 5, if(ISBLANK('2025'!$S18), 0, 1), 6, if(ISBLANK('2025'!$T18), 0, 1), 7, 0))), 1, "")</f>
        <v/>
      </c>
      <c r="AK18" s="1" t="str">
        <f>IF(AND(AND(AND(AK$4&gt;='2025'!$L18,AK$4&lt;='2025'!$M18), AK$4&lt;&gt;DATE(2025,7,4)), (SWITCH(weekday(AK$4), 1, 0, 2, if(ISBLANK('2025'!$P18), 0, 1), 3, if(ISBLANK('2025'!$Q18), 0, 1), 4, if(ISBLANK('2025'!$R18), 0, 1), 5, if(ISBLANK('2025'!$S18), 0, 1), 6, if(ISBLANK('2025'!$T18), 0, 1), 7, 0))), 1, "")</f>
        <v/>
      </c>
      <c r="AL18" s="1" t="str">
        <f>IF(AND(AND(AND(AL$4&gt;='2025'!$L18,AL$4&lt;='2025'!$M18), AL$4&lt;&gt;DATE(2025,7,4)), (SWITCH(weekday(AL$4), 1, 0, 2, if(ISBLANK('2025'!$P18), 0, 1), 3, if(ISBLANK('2025'!$Q18), 0, 1), 4, if(ISBLANK('2025'!$R18), 0, 1), 5, if(ISBLANK('2025'!$S18), 0, 1), 6, if(ISBLANK('2025'!$T18), 0, 1), 7, 0))), 1, "")</f>
        <v/>
      </c>
      <c r="AM18" s="1" t="str">
        <f>IF(AND(AND(AND(AM$4&gt;='2025'!$L18,AM$4&lt;='2025'!$M18), AM$4&lt;&gt;DATE(2025,7,4)), (SWITCH(weekday(AM$4), 1, 0, 2, if(ISBLANK('2025'!$P18), 0, 1), 3, if(ISBLANK('2025'!$Q18), 0, 1), 4, if(ISBLANK('2025'!$R18), 0, 1), 5, if(ISBLANK('2025'!$S18), 0, 1), 6, if(ISBLANK('2025'!$T18), 0, 1), 7, 0))), 1, "")</f>
        <v/>
      </c>
      <c r="AN18" s="1" t="str">
        <f>IF(AND(AND(AND(AN$4&gt;='2025'!$L18,AN$4&lt;='2025'!$M18), AN$4&lt;&gt;DATE(2025,7,4)), (SWITCH(weekday(AN$4), 1, 0, 2, if(ISBLANK('2025'!$P18), 0, 1), 3, if(ISBLANK('2025'!$Q18), 0, 1), 4, if(ISBLANK('2025'!$R18), 0, 1), 5, if(ISBLANK('2025'!$S18), 0, 1), 6, if(ISBLANK('2025'!$T18), 0, 1), 7, 0))), 1, "")</f>
        <v/>
      </c>
      <c r="AO18" s="1" t="str">
        <f>IF(AND(AND(AND(AO$4&gt;='2025'!$L18,AO$4&lt;='2025'!$M18), AO$4&lt;&gt;DATE(2025,7,4)), (SWITCH(weekday(AO$4), 1, 0, 2, if(ISBLANK('2025'!$P18), 0, 1), 3, if(ISBLANK('2025'!$Q18), 0, 1), 4, if(ISBLANK('2025'!$R18), 0, 1), 5, if(ISBLANK('2025'!$S18), 0, 1), 6, if(ISBLANK('2025'!$T18), 0, 1), 7, 0))), 1, "")</f>
        <v/>
      </c>
      <c r="AP18" s="1" t="str">
        <f>IF(AND(AND(AND(AP$4&gt;='2025'!$L18,AP$4&lt;='2025'!$M18), AP$4&lt;&gt;DATE(2025,7,4)), (SWITCH(weekday(AP$4), 1, 0, 2, if(ISBLANK('2025'!$P18), 0, 1), 3, if(ISBLANK('2025'!$Q18), 0, 1), 4, if(ISBLANK('2025'!$R18), 0, 1), 5, if(ISBLANK('2025'!$S18), 0, 1), 6, if(ISBLANK('2025'!$T18), 0, 1), 7, 0))), 1, "")</f>
        <v/>
      </c>
      <c r="AQ18" s="1" t="str">
        <f>IF(AND(AND(AND(AQ$4&gt;='2025'!$L18,AQ$4&lt;='2025'!$M18), AQ$4&lt;&gt;DATE(2025,7,4)), (SWITCH(weekday(AQ$4), 1, 0, 2, if(ISBLANK('2025'!$P18), 0, 1), 3, if(ISBLANK('2025'!$Q18), 0, 1), 4, if(ISBLANK('2025'!$R18), 0, 1), 5, if(ISBLANK('2025'!$S18), 0, 1), 6, if(ISBLANK('2025'!$T18), 0, 1), 7, 0))), 1, "")</f>
        <v/>
      </c>
      <c r="AR18" s="1" t="str">
        <f>IF(AND(AND(AND(AR$4&gt;='2025'!$L18,AR$4&lt;='2025'!$M18), AR$4&lt;&gt;DATE(2025,7,4)), (SWITCH(weekday(AR$4), 1, 0, 2, if(ISBLANK('2025'!$P18), 0, 1), 3, if(ISBLANK('2025'!$Q18), 0, 1), 4, if(ISBLANK('2025'!$R18), 0, 1), 5, if(ISBLANK('2025'!$S18), 0, 1), 6, if(ISBLANK('2025'!$T18), 0, 1), 7, 0))), 1, "")</f>
        <v/>
      </c>
      <c r="AS18" s="1" t="str">
        <f>IF(AND(AND(AND(AS$4&gt;='2025'!$L18,AS$4&lt;='2025'!$M18), AS$4&lt;&gt;DATE(2025,7,4)), (SWITCH(weekday(AS$4), 1, 0, 2, if(ISBLANK('2025'!$P18), 0, 1), 3, if(ISBLANK('2025'!$Q18), 0, 1), 4, if(ISBLANK('2025'!$R18), 0, 1), 5, if(ISBLANK('2025'!$S18), 0, 1), 6, if(ISBLANK('2025'!$T18), 0, 1), 7, 0))), 1, "")</f>
        <v/>
      </c>
      <c r="AT18" s="1" t="str">
        <f>IF(AND(AND(AND(AT$4&gt;='2025'!$L18,AT$4&lt;='2025'!$M18), AT$4&lt;&gt;DATE(2025,7,4)), (SWITCH(weekday(AT$4), 1, 0, 2, if(ISBLANK('2025'!$P18), 0, 1), 3, if(ISBLANK('2025'!$Q18), 0, 1), 4, if(ISBLANK('2025'!$R18), 0, 1), 5, if(ISBLANK('2025'!$S18), 0, 1), 6, if(ISBLANK('2025'!$T18), 0, 1), 7, 0))), 1, "")</f>
        <v/>
      </c>
      <c r="AU18" s="1" t="str">
        <f>IF(AND(AND(AND(AU$4&gt;='2025'!$L18,AU$4&lt;='2025'!$M18), AU$4&lt;&gt;DATE(2025,7,4)), (SWITCH(weekday(AU$4), 1, 0, 2, if(ISBLANK('2025'!$P18), 0, 1), 3, if(ISBLANK('2025'!$Q18), 0, 1), 4, if(ISBLANK('2025'!$R18), 0, 1), 5, if(ISBLANK('2025'!$S18), 0, 1), 6, if(ISBLANK('2025'!$T18), 0, 1), 7, 0))), 1, "")</f>
        <v/>
      </c>
      <c r="AV18" s="1" t="str">
        <f>IF(AND(AND(AND(AV$4&gt;='2025'!$L18,AV$4&lt;='2025'!$M18), AV$4&lt;&gt;DATE(2025,7,4)), (SWITCH(weekday(AV$4), 1, 0, 2, if(ISBLANK('2025'!$P18), 0, 1), 3, if(ISBLANK('2025'!$Q18), 0, 1), 4, if(ISBLANK('2025'!$R18), 0, 1), 5, if(ISBLANK('2025'!$S18), 0, 1), 6, if(ISBLANK('2025'!$T18), 0, 1), 7, 0))), 1, "")</f>
        <v/>
      </c>
      <c r="AW18" s="1" t="str">
        <f>IF(AND(AND(AND(AW$4&gt;='2025'!$L18,AW$4&lt;='2025'!$M18), AW$4&lt;&gt;DATE(2025,7,4)), (SWITCH(weekday(AW$4), 1, 0, 2, if(ISBLANK('2025'!$P18), 0, 1), 3, if(ISBLANK('2025'!$Q18), 0, 1), 4, if(ISBLANK('2025'!$R18), 0, 1), 5, if(ISBLANK('2025'!$S18), 0, 1), 6, if(ISBLANK('2025'!$T18), 0, 1), 7, 0))), 1, "")</f>
        <v/>
      </c>
      <c r="AX18" s="1" t="str">
        <f>IF(AND(AND(AND(AX$4&gt;='2025'!$L18,AX$4&lt;='2025'!$M18), AX$4&lt;&gt;DATE(2025,7,4)), (SWITCH(weekday(AX$4), 1, 0, 2, if(ISBLANK('2025'!$P18), 0, 1), 3, if(ISBLANK('2025'!$Q18), 0, 1), 4, if(ISBLANK('2025'!$R18), 0, 1), 5, if(ISBLANK('2025'!$S18), 0, 1), 6, if(ISBLANK('2025'!$T18), 0, 1), 7, 0))), 1, "")</f>
        <v/>
      </c>
      <c r="AY18" s="1" t="str">
        <f>IF(AND(AND(AND(AY$4&gt;='2025'!$L18,AY$4&lt;='2025'!$M18), AY$4&lt;&gt;DATE(2025,7,4)), (SWITCH(weekday(AY$4), 1, 0, 2, if(ISBLANK('2025'!$P18), 0, 1), 3, if(ISBLANK('2025'!$Q18), 0, 1), 4, if(ISBLANK('2025'!$R18), 0, 1), 5, if(ISBLANK('2025'!$S18), 0, 1), 6, if(ISBLANK('2025'!$T18), 0, 1), 7, 0))), 1, "")</f>
        <v/>
      </c>
      <c r="AZ18" s="1" t="str">
        <f>IF(AND(AND(AND(AZ$4&gt;='2025'!$L18,AZ$4&lt;='2025'!$M18), AZ$4&lt;&gt;DATE(2025,7,4)), (SWITCH(weekday(AZ$4), 1, 0, 2, if(ISBLANK('2025'!$P18), 0, 1), 3, if(ISBLANK('2025'!$Q18), 0, 1), 4, if(ISBLANK('2025'!$R18), 0, 1), 5, if(ISBLANK('2025'!$S18), 0, 1), 6, if(ISBLANK('2025'!$T18), 0, 1), 7, 0))), 1, "")</f>
        <v/>
      </c>
      <c r="BA18" s="1" t="str">
        <f>IF(AND(AND(AND(BA$4&gt;='2025'!$L18,BA$4&lt;='2025'!$M18), BA$4&lt;&gt;DATE(2025,7,4)), (SWITCH(weekday(BA$4), 1, 0, 2, if(ISBLANK('2025'!$P18), 0, 1), 3, if(ISBLANK('2025'!$Q18), 0, 1), 4, if(ISBLANK('2025'!$R18), 0, 1), 5, if(ISBLANK('2025'!$S18), 0, 1), 6, if(ISBLANK('2025'!$T18), 0, 1), 7, 0))), 1, "")</f>
        <v/>
      </c>
      <c r="BB18" s="1" t="str">
        <f>IF(AND(AND(AND(BB$4&gt;='2025'!$L18,BB$4&lt;='2025'!$M18), BB$4&lt;&gt;DATE(2025,7,4)), (SWITCH(weekday(BB$4), 1, 0, 2, if(ISBLANK('2025'!$P18), 0, 1), 3, if(ISBLANK('2025'!$Q18), 0, 1), 4, if(ISBLANK('2025'!$R18), 0, 1), 5, if(ISBLANK('2025'!$S18), 0, 1), 6, if(ISBLANK('2025'!$T18), 0, 1), 7, 0))), 1, "")</f>
        <v/>
      </c>
      <c r="BC18" s="1" t="str">
        <f>IF(AND(AND(AND(BC$4&gt;='2025'!$L18,BC$4&lt;='2025'!$M18), BC$4&lt;&gt;DATE(2025,7,4)), (SWITCH(weekday(BC$4), 1, 0, 2, if(ISBLANK('2025'!$P18), 0, 1), 3, if(ISBLANK('2025'!$Q18), 0, 1), 4, if(ISBLANK('2025'!$R18), 0, 1), 5, if(ISBLANK('2025'!$S18), 0, 1), 6, if(ISBLANK('2025'!$T18), 0, 1), 7, 0))), 1, "")</f>
        <v/>
      </c>
      <c r="BD18" s="1" t="str">
        <f>IF(AND(AND(AND(BD$4&gt;='2025'!$L18,BD$4&lt;='2025'!$M18), BD$4&lt;&gt;DATE(2025,7,4)), (SWITCH(weekday(BD$4), 1, 0, 2, if(ISBLANK('2025'!$P18), 0, 1), 3, if(ISBLANK('2025'!$Q18), 0, 1), 4, if(ISBLANK('2025'!$R18), 0, 1), 5, if(ISBLANK('2025'!$S18), 0, 1), 6, if(ISBLANK('2025'!$T18), 0, 1), 7, 0))), 1, "")</f>
        <v/>
      </c>
      <c r="BE18" s="1" t="str">
        <f>IF(AND(AND(AND(BE$4&gt;='2025'!$L18,BE$4&lt;='2025'!$M18), BE$4&lt;&gt;DATE(2025,7,4)), (SWITCH(weekday(BE$4), 1, 0, 2, if(ISBLANK('2025'!$P18), 0, 1), 3, if(ISBLANK('2025'!$Q18), 0, 1), 4, if(ISBLANK('2025'!$R18), 0, 1), 5, if(ISBLANK('2025'!$S18), 0, 1), 6, if(ISBLANK('2025'!$T18), 0, 1), 7, 0))), 1, "")</f>
        <v/>
      </c>
      <c r="BF18" s="1" t="str">
        <f>IF(AND(AND(AND(BF$4&gt;='2025'!$L18,BF$4&lt;='2025'!$M18), BF$4&lt;&gt;DATE(2025,7,4)), (SWITCH(weekday(BF$4), 1, 0, 2, if(ISBLANK('2025'!$P18), 0, 1), 3, if(ISBLANK('2025'!$Q18), 0, 1), 4, if(ISBLANK('2025'!$R18), 0, 1), 5, if(ISBLANK('2025'!$S18), 0, 1), 6, if(ISBLANK('2025'!$T18), 0, 1), 7, 0))), 1, "")</f>
        <v/>
      </c>
      <c r="BG18" s="1"/>
      <c r="BH18" s="1"/>
      <c r="BI18" s="1"/>
      <c r="BJ18" s="1"/>
      <c r="BK18" s="1"/>
      <c r="BL18" s="1"/>
    </row>
    <row r="19">
      <c r="A19" s="1">
        <f t="shared" si="3"/>
        <v>19</v>
      </c>
      <c r="B19" s="1" t="str">
        <f>'2025'!D19</f>
        <v>Huallparimachi, Lyanna</v>
      </c>
      <c r="C19" s="1" t="str">
        <f>'2025'!H19</f>
        <v>Infant</v>
      </c>
      <c r="D19" s="1" t="str">
        <f>IF(AND(AND(AND(D$4&gt;='2025'!$L19,D$4&lt;='2025'!$M19), D$4&lt;&gt;DATE(2025,7,4)), (SWITCH(weekday(D$4), 1, 0, 2, if(ISBLANK('2025'!$P19), 0, 1), 3, if(ISBLANK('2025'!$Q19), 0, 1), 4, if(ISBLANK('2025'!$R19), 0, 1), 5, if(ISBLANK('2025'!$S19), 0, 1), 6, if(ISBLANK('2025'!$T19), 0, 1), 7, 0))), 1, "")</f>
        <v/>
      </c>
      <c r="E19" s="1" t="str">
        <f>IF(AND(AND(AND(E$4&gt;='2025'!$L19,E$4&lt;='2025'!$M19), E$4&lt;&gt;DATE(2025,7,4)), (SWITCH(weekday(E$4), 1, 0, 2, if(ISBLANK('2025'!$P19), 0, 1), 3, if(ISBLANK('2025'!$Q19), 0, 1), 4, if(ISBLANK('2025'!$R19), 0, 1), 5, if(ISBLANK('2025'!$S19), 0, 1), 6, if(ISBLANK('2025'!$T19), 0, 1), 7, 0))), 1, "")</f>
        <v/>
      </c>
      <c r="F19" s="1" t="str">
        <f>IF(AND(AND(AND(F$4&gt;='2025'!$L19,F$4&lt;='2025'!$M19), F$4&lt;&gt;DATE(2025,7,4)), (SWITCH(weekday(F$4), 1, 0, 2, if(ISBLANK('2025'!$P19), 0, 1), 3, if(ISBLANK('2025'!$Q19), 0, 1), 4, if(ISBLANK('2025'!$R19), 0, 1), 5, if(ISBLANK('2025'!$S19), 0, 1), 6, if(ISBLANK('2025'!$T19), 0, 1), 7, 0))), 1, "")</f>
        <v/>
      </c>
      <c r="G19" s="1" t="str">
        <f>IF(AND(AND(AND(G$4&gt;='2025'!$L19,G$4&lt;='2025'!$M19), G$4&lt;&gt;DATE(2025,7,4)), (SWITCH(weekday(G$4), 1, 0, 2, if(ISBLANK('2025'!$P19), 0, 1), 3, if(ISBLANK('2025'!$Q19), 0, 1), 4, if(ISBLANK('2025'!$R19), 0, 1), 5, if(ISBLANK('2025'!$S19), 0, 1), 6, if(ISBLANK('2025'!$T19), 0, 1), 7, 0))), 1, "")</f>
        <v/>
      </c>
      <c r="H19" s="1" t="str">
        <f>IF(AND(AND(AND(H$4&gt;='2025'!$L19,H$4&lt;='2025'!$M19), H$4&lt;&gt;DATE(2025,7,4)), (SWITCH(weekday(H$4), 1, 0, 2, if(ISBLANK('2025'!$P19), 0, 1), 3, if(ISBLANK('2025'!$Q19), 0, 1), 4, if(ISBLANK('2025'!$R19), 0, 1), 5, if(ISBLANK('2025'!$S19), 0, 1), 6, if(ISBLANK('2025'!$T19), 0, 1), 7, 0))), 1, "")</f>
        <v/>
      </c>
      <c r="I19" s="1" t="str">
        <f>IF(AND(AND(AND(I$4&gt;='2025'!$L19,I$4&lt;='2025'!$M19), I$4&lt;&gt;DATE(2025,7,4)), (SWITCH(weekday(I$4), 1, 0, 2, if(ISBLANK('2025'!$P19), 0, 1), 3, if(ISBLANK('2025'!$Q19), 0, 1), 4, if(ISBLANK('2025'!$R19), 0, 1), 5, if(ISBLANK('2025'!$S19), 0, 1), 6, if(ISBLANK('2025'!$T19), 0, 1), 7, 0))), 1, "")</f>
        <v/>
      </c>
      <c r="J19" s="1" t="str">
        <f>IF(AND(AND(AND(J$4&gt;='2025'!$L19,J$4&lt;='2025'!$M19), J$4&lt;&gt;DATE(2025,7,4)), (SWITCH(weekday(J$4), 1, 0, 2, if(ISBLANK('2025'!$P19), 0, 1), 3, if(ISBLANK('2025'!$Q19), 0, 1), 4, if(ISBLANK('2025'!$R19), 0, 1), 5, if(ISBLANK('2025'!$S19), 0, 1), 6, if(ISBLANK('2025'!$T19), 0, 1), 7, 0))), 1, "")</f>
        <v/>
      </c>
      <c r="K19" s="1" t="str">
        <f>IF(AND(AND(AND(K$4&gt;='2025'!$L19,K$4&lt;='2025'!$M19), K$4&lt;&gt;DATE(2025,7,4)), (SWITCH(weekday(K$4), 1, 0, 2, if(ISBLANK('2025'!$P19), 0, 1), 3, if(ISBLANK('2025'!$Q19), 0, 1), 4, if(ISBLANK('2025'!$R19), 0, 1), 5, if(ISBLANK('2025'!$S19), 0, 1), 6, if(ISBLANK('2025'!$T19), 0, 1), 7, 0))), 1, "")</f>
        <v/>
      </c>
      <c r="L19" s="1" t="str">
        <f>IF(AND(AND(AND(L$4&gt;='2025'!$L19,L$4&lt;='2025'!$M19), L$4&lt;&gt;DATE(2025,7,4)), (SWITCH(weekday(L$4), 1, 0, 2, if(ISBLANK('2025'!$P19), 0, 1), 3, if(ISBLANK('2025'!$Q19), 0, 1), 4, if(ISBLANK('2025'!$R19), 0, 1), 5, if(ISBLANK('2025'!$S19), 0, 1), 6, if(ISBLANK('2025'!$T19), 0, 1), 7, 0))), 1, "")</f>
        <v/>
      </c>
      <c r="M19" s="1" t="str">
        <f>IF(AND(AND(AND(M$4&gt;='2025'!$L19,M$4&lt;='2025'!$M19), M$4&lt;&gt;DATE(2025,7,4)), (SWITCH(weekday(M$4), 1, 0, 2, if(ISBLANK('2025'!$P19), 0, 1), 3, if(ISBLANK('2025'!$Q19), 0, 1), 4, if(ISBLANK('2025'!$R19), 0, 1), 5, if(ISBLANK('2025'!$S19), 0, 1), 6, if(ISBLANK('2025'!$T19), 0, 1), 7, 0))), 1, "")</f>
        <v/>
      </c>
      <c r="N19" s="1" t="str">
        <f>IF(AND(AND(AND(N$4&gt;='2025'!$L19,N$4&lt;='2025'!$M19), N$4&lt;&gt;DATE(2025,7,4)), (SWITCH(weekday(N$4), 1, 0, 2, if(ISBLANK('2025'!$P19), 0, 1), 3, if(ISBLANK('2025'!$Q19), 0, 1), 4, if(ISBLANK('2025'!$R19), 0, 1), 5, if(ISBLANK('2025'!$S19), 0, 1), 6, if(ISBLANK('2025'!$T19), 0, 1), 7, 0))), 1, "")</f>
        <v/>
      </c>
      <c r="O19" s="1" t="str">
        <f>IF(AND(AND(AND(O$4&gt;='2025'!$L19,O$4&lt;='2025'!$M19), O$4&lt;&gt;DATE(2025,7,4)), (SWITCH(weekday(O$4), 1, 0, 2, if(ISBLANK('2025'!$P19), 0, 1), 3, if(ISBLANK('2025'!$Q19), 0, 1), 4, if(ISBLANK('2025'!$R19), 0, 1), 5, if(ISBLANK('2025'!$S19), 0, 1), 6, if(ISBLANK('2025'!$T19), 0, 1), 7, 0))), 1, "")</f>
        <v/>
      </c>
      <c r="P19" s="1" t="str">
        <f>IF(AND(AND(AND(P$4&gt;='2025'!$L19,P$4&lt;='2025'!$M19), P$4&lt;&gt;DATE(2025,7,4)), (SWITCH(weekday(P$4), 1, 0, 2, if(ISBLANK('2025'!$P19), 0, 1), 3, if(ISBLANK('2025'!$Q19), 0, 1), 4, if(ISBLANK('2025'!$R19), 0, 1), 5, if(ISBLANK('2025'!$S19), 0, 1), 6, if(ISBLANK('2025'!$T19), 0, 1), 7, 0))), 1, "")</f>
        <v/>
      </c>
      <c r="Q19" s="1" t="str">
        <f>IF(AND(AND(AND(Q$4&gt;='2025'!$L19,Q$4&lt;='2025'!$M19), Q$4&lt;&gt;DATE(2025,7,4)), (SWITCH(weekday(Q$4), 1, 0, 2, if(ISBLANK('2025'!$P19), 0, 1), 3, if(ISBLANK('2025'!$Q19), 0, 1), 4, if(ISBLANK('2025'!$R19), 0, 1), 5, if(ISBLANK('2025'!$S19), 0, 1), 6, if(ISBLANK('2025'!$T19), 0, 1), 7, 0))), 1, "")</f>
        <v/>
      </c>
      <c r="R19" s="1" t="str">
        <f>IF(AND(AND(AND(R$4&gt;='2025'!$L19,R$4&lt;='2025'!$M19), R$4&lt;&gt;DATE(2025,7,4)), (SWITCH(weekday(R$4), 1, 0, 2, if(ISBLANK('2025'!$P19), 0, 1), 3, if(ISBLANK('2025'!$Q19), 0, 1), 4, if(ISBLANK('2025'!$R19), 0, 1), 5, if(ISBLANK('2025'!$S19), 0, 1), 6, if(ISBLANK('2025'!$T19), 0, 1), 7, 0))), 1, "")</f>
        <v/>
      </c>
      <c r="S19" s="1" t="str">
        <f>IF(AND(AND(AND(S$4&gt;='2025'!$L19,S$4&lt;='2025'!$M19), S$4&lt;&gt;DATE(2025,7,4)), (SWITCH(weekday(S$4), 1, 0, 2, if(ISBLANK('2025'!$P19), 0, 1), 3, if(ISBLANK('2025'!$Q19), 0, 1), 4, if(ISBLANK('2025'!$R19), 0, 1), 5, if(ISBLANK('2025'!$S19), 0, 1), 6, if(ISBLANK('2025'!$T19), 0, 1), 7, 0))), 1, "")</f>
        <v/>
      </c>
      <c r="T19" s="1" t="str">
        <f>IF(AND(AND(AND(T$4&gt;='2025'!$L19,T$4&lt;='2025'!$M19), T$4&lt;&gt;DATE(2025,7,4)), (SWITCH(weekday(T$4), 1, 0, 2, if(ISBLANK('2025'!$P19), 0, 1), 3, if(ISBLANK('2025'!$Q19), 0, 1), 4, if(ISBLANK('2025'!$R19), 0, 1), 5, if(ISBLANK('2025'!$S19), 0, 1), 6, if(ISBLANK('2025'!$T19), 0, 1), 7, 0))), 1, "")</f>
        <v/>
      </c>
      <c r="U19" s="1" t="str">
        <f>IF(AND(AND(AND(U$4&gt;='2025'!$L19,U$4&lt;='2025'!$M19), U$4&lt;&gt;DATE(2025,7,4)), (SWITCH(weekday(U$4), 1, 0, 2, if(ISBLANK('2025'!$P19), 0, 1), 3, if(ISBLANK('2025'!$Q19), 0, 1), 4, if(ISBLANK('2025'!$R19), 0, 1), 5, if(ISBLANK('2025'!$S19), 0, 1), 6, if(ISBLANK('2025'!$T19), 0, 1), 7, 0))), 1, "")</f>
        <v/>
      </c>
      <c r="V19" s="1" t="str">
        <f>IF(AND(AND(AND(V$4&gt;='2025'!$L19,V$4&lt;='2025'!$M19), V$4&lt;&gt;DATE(2025,7,4)), (SWITCH(weekday(V$4), 1, 0, 2, if(ISBLANK('2025'!$P19), 0, 1), 3, if(ISBLANK('2025'!$Q19), 0, 1), 4, if(ISBLANK('2025'!$R19), 0, 1), 5, if(ISBLANK('2025'!$S19), 0, 1), 6, if(ISBLANK('2025'!$T19), 0, 1), 7, 0))), 1, "")</f>
        <v/>
      </c>
      <c r="W19" s="1" t="str">
        <f>IF(AND(AND(AND(W$4&gt;='2025'!$L19,W$4&lt;='2025'!$M19), W$4&lt;&gt;DATE(2025,7,4)), (SWITCH(weekday(W$4), 1, 0, 2, if(ISBLANK('2025'!$P19), 0, 1), 3, if(ISBLANK('2025'!$Q19), 0, 1), 4, if(ISBLANK('2025'!$R19), 0, 1), 5, if(ISBLANK('2025'!$S19), 0, 1), 6, if(ISBLANK('2025'!$T19), 0, 1), 7, 0))), 1, "")</f>
        <v/>
      </c>
      <c r="X19" s="1" t="str">
        <f>IF(AND(AND(AND(X$4&gt;='2025'!$L19,X$4&lt;='2025'!$M19), X$4&lt;&gt;DATE(2025,7,4)), (SWITCH(weekday(X$4), 1, 0, 2, if(ISBLANK('2025'!$P19), 0, 1), 3, if(ISBLANK('2025'!$Q19), 0, 1), 4, if(ISBLANK('2025'!$R19), 0, 1), 5, if(ISBLANK('2025'!$S19), 0, 1), 6, if(ISBLANK('2025'!$T19), 0, 1), 7, 0))), 1, "")</f>
        <v/>
      </c>
      <c r="Y19" s="1" t="str">
        <f>IF(AND(AND(AND(Y$4&gt;='2025'!$L19,Y$4&lt;='2025'!$M19), Y$4&lt;&gt;DATE(2025,7,4)), (SWITCH(weekday(Y$4), 1, 0, 2, if(ISBLANK('2025'!$P19), 0, 1), 3, if(ISBLANK('2025'!$Q19), 0, 1), 4, if(ISBLANK('2025'!$R19), 0, 1), 5, if(ISBLANK('2025'!$S19), 0, 1), 6, if(ISBLANK('2025'!$T19), 0, 1), 7, 0))), 1, "")</f>
        <v/>
      </c>
      <c r="Z19" s="1" t="str">
        <f>IF(AND(AND(AND(Z$4&gt;='2025'!$L19,Z$4&lt;='2025'!$M19), Z$4&lt;&gt;DATE(2025,7,4)), (SWITCH(weekday(Z$4), 1, 0, 2, if(ISBLANK('2025'!$P19), 0, 1), 3, if(ISBLANK('2025'!$Q19), 0, 1), 4, if(ISBLANK('2025'!$R19), 0, 1), 5, if(ISBLANK('2025'!$S19), 0, 1), 6, if(ISBLANK('2025'!$T19), 0, 1), 7, 0))), 1, "")</f>
        <v/>
      </c>
      <c r="AA19" s="1" t="str">
        <f>IF(AND(AND(AND(AA$4&gt;='2025'!$L19,AA$4&lt;='2025'!$M19), AA$4&lt;&gt;DATE(2025,7,4)), (SWITCH(weekday(AA$4), 1, 0, 2, if(ISBLANK('2025'!$P19), 0, 1), 3, if(ISBLANK('2025'!$Q19), 0, 1), 4, if(ISBLANK('2025'!$R19), 0, 1), 5, if(ISBLANK('2025'!$S19), 0, 1), 6, if(ISBLANK('2025'!$T19), 0, 1), 7, 0))), 1, "")</f>
        <v/>
      </c>
      <c r="AB19" s="1" t="str">
        <f>IF(AND(AND(AND(AB$4&gt;='2025'!$L19,AB$4&lt;='2025'!$M19), AB$4&lt;&gt;DATE(2025,7,4)), (SWITCH(weekday(AB$4), 1, 0, 2, if(ISBLANK('2025'!$P19), 0, 1), 3, if(ISBLANK('2025'!$Q19), 0, 1), 4, if(ISBLANK('2025'!$R19), 0, 1), 5, if(ISBLANK('2025'!$S19), 0, 1), 6, if(ISBLANK('2025'!$T19), 0, 1), 7, 0))), 1, "")</f>
        <v/>
      </c>
      <c r="AC19" s="1" t="str">
        <f>IF(AND(AND(AND(AC$4&gt;='2025'!$L19,AC$4&lt;='2025'!$M19), AC$4&lt;&gt;DATE(2025,7,4)), (SWITCH(weekday(AC$4), 1, 0, 2, if(ISBLANK('2025'!$P19), 0, 1), 3, if(ISBLANK('2025'!$Q19), 0, 1), 4, if(ISBLANK('2025'!$R19), 0, 1), 5, if(ISBLANK('2025'!$S19), 0, 1), 6, if(ISBLANK('2025'!$T19), 0, 1), 7, 0))), 1, "")</f>
        <v/>
      </c>
      <c r="AD19" s="1" t="str">
        <f>IF(AND(AND(AND(AD$4&gt;='2025'!$L19,AD$4&lt;='2025'!$M19), AD$4&lt;&gt;DATE(2025,7,4)), (SWITCH(weekday(AD$4), 1, 0, 2, if(ISBLANK('2025'!$P19), 0, 1), 3, if(ISBLANK('2025'!$Q19), 0, 1), 4, if(ISBLANK('2025'!$R19), 0, 1), 5, if(ISBLANK('2025'!$S19), 0, 1), 6, if(ISBLANK('2025'!$T19), 0, 1), 7, 0))), 1, "")</f>
        <v/>
      </c>
      <c r="AE19" s="1" t="str">
        <f>IF(AND(AND(AND(AE$4&gt;='2025'!$L19,AE$4&lt;='2025'!$M19), AE$4&lt;&gt;DATE(2025,7,4)), (SWITCH(weekday(AE$4), 1, 0, 2, if(ISBLANK('2025'!$P19), 0, 1), 3, if(ISBLANK('2025'!$Q19), 0, 1), 4, if(ISBLANK('2025'!$R19), 0, 1), 5, if(ISBLANK('2025'!$S19), 0, 1), 6, if(ISBLANK('2025'!$T19), 0, 1), 7, 0))), 1, "")</f>
        <v/>
      </c>
      <c r="AF19" s="1" t="str">
        <f>IF(AND(AND(AND(AF$4&gt;='2025'!$L19,AF$4&lt;='2025'!$M19), AF$4&lt;&gt;DATE(2025,7,4)), (SWITCH(weekday(AF$4), 1, 0, 2, if(ISBLANK('2025'!$P19), 0, 1), 3, if(ISBLANK('2025'!$Q19), 0, 1), 4, if(ISBLANK('2025'!$R19), 0, 1), 5, if(ISBLANK('2025'!$S19), 0, 1), 6, if(ISBLANK('2025'!$T19), 0, 1), 7, 0))), 1, "")</f>
        <v/>
      </c>
      <c r="AG19" s="1" t="str">
        <f>IF(AND(AND(AND(AG$4&gt;='2025'!$L19,AG$4&lt;='2025'!$M19), AG$4&lt;&gt;DATE(2025,7,4)), (SWITCH(weekday(AG$4), 1, 0, 2, if(ISBLANK('2025'!$P19), 0, 1), 3, if(ISBLANK('2025'!$Q19), 0, 1), 4, if(ISBLANK('2025'!$R19), 0, 1), 5, if(ISBLANK('2025'!$S19), 0, 1), 6, if(ISBLANK('2025'!$T19), 0, 1), 7, 0))), 1, "")</f>
        <v/>
      </c>
      <c r="AH19" s="1" t="str">
        <f>IF(AND(AND(AND(AH$4&gt;='2025'!$L19,AH$4&lt;='2025'!$M19), AH$4&lt;&gt;DATE(2025,7,4)), (SWITCH(weekday(AH$4), 1, 0, 2, if(ISBLANK('2025'!$P19), 0, 1), 3, if(ISBLANK('2025'!$Q19), 0, 1), 4, if(ISBLANK('2025'!$R19), 0, 1), 5, if(ISBLANK('2025'!$S19), 0, 1), 6, if(ISBLANK('2025'!$T19), 0, 1), 7, 0))), 1, "")</f>
        <v/>
      </c>
      <c r="AI19" s="1" t="str">
        <f>IF(AND(AND(AND(AI$4&gt;='2025'!$L19,AI$4&lt;='2025'!$M19), AI$4&lt;&gt;DATE(2025,7,4)), (SWITCH(weekday(AI$4), 1, 0, 2, if(ISBLANK('2025'!$P19), 0, 1), 3, if(ISBLANK('2025'!$Q19), 0, 1), 4, if(ISBLANK('2025'!$R19), 0, 1), 5, if(ISBLANK('2025'!$S19), 0, 1), 6, if(ISBLANK('2025'!$T19), 0, 1), 7, 0))), 1, "")</f>
        <v/>
      </c>
      <c r="AJ19" s="1" t="str">
        <f>IF(AND(AND(AND(AJ$4&gt;='2025'!$L19,AJ$4&lt;='2025'!$M19), AJ$4&lt;&gt;DATE(2025,7,4)), (SWITCH(weekday(AJ$4), 1, 0, 2, if(ISBLANK('2025'!$P19), 0, 1), 3, if(ISBLANK('2025'!$Q19), 0, 1), 4, if(ISBLANK('2025'!$R19), 0, 1), 5, if(ISBLANK('2025'!$S19), 0, 1), 6, if(ISBLANK('2025'!$T19), 0, 1), 7, 0))), 1, "")</f>
        <v/>
      </c>
      <c r="AK19" s="1" t="str">
        <f>IF(AND(AND(AND(AK$4&gt;='2025'!$L19,AK$4&lt;='2025'!$M19), AK$4&lt;&gt;DATE(2025,7,4)), (SWITCH(weekday(AK$4), 1, 0, 2, if(ISBLANK('2025'!$P19), 0, 1), 3, if(ISBLANK('2025'!$Q19), 0, 1), 4, if(ISBLANK('2025'!$R19), 0, 1), 5, if(ISBLANK('2025'!$S19), 0, 1), 6, if(ISBLANK('2025'!$T19), 0, 1), 7, 0))), 1, "")</f>
        <v/>
      </c>
      <c r="AL19" s="1" t="str">
        <f>IF(AND(AND(AND(AL$4&gt;='2025'!$L19,AL$4&lt;='2025'!$M19), AL$4&lt;&gt;DATE(2025,7,4)), (SWITCH(weekday(AL$4), 1, 0, 2, if(ISBLANK('2025'!$P19), 0, 1), 3, if(ISBLANK('2025'!$Q19), 0, 1), 4, if(ISBLANK('2025'!$R19), 0, 1), 5, if(ISBLANK('2025'!$S19), 0, 1), 6, if(ISBLANK('2025'!$T19), 0, 1), 7, 0))), 1, "")</f>
        <v/>
      </c>
      <c r="AM19" s="1" t="str">
        <f>IF(AND(AND(AND(AM$4&gt;='2025'!$L19,AM$4&lt;='2025'!$M19), AM$4&lt;&gt;DATE(2025,7,4)), (SWITCH(weekday(AM$4), 1, 0, 2, if(ISBLANK('2025'!$P19), 0, 1), 3, if(ISBLANK('2025'!$Q19), 0, 1), 4, if(ISBLANK('2025'!$R19), 0, 1), 5, if(ISBLANK('2025'!$S19), 0, 1), 6, if(ISBLANK('2025'!$T19), 0, 1), 7, 0))), 1, "")</f>
        <v/>
      </c>
      <c r="AN19" s="1" t="str">
        <f>IF(AND(AND(AND(AN$4&gt;='2025'!$L19,AN$4&lt;='2025'!$M19), AN$4&lt;&gt;DATE(2025,7,4)), (SWITCH(weekday(AN$4), 1, 0, 2, if(ISBLANK('2025'!$P19), 0, 1), 3, if(ISBLANK('2025'!$Q19), 0, 1), 4, if(ISBLANK('2025'!$R19), 0, 1), 5, if(ISBLANK('2025'!$S19), 0, 1), 6, if(ISBLANK('2025'!$T19), 0, 1), 7, 0))), 1, "")</f>
        <v/>
      </c>
      <c r="AO19" s="1" t="str">
        <f>IF(AND(AND(AND(AO$4&gt;='2025'!$L19,AO$4&lt;='2025'!$M19), AO$4&lt;&gt;DATE(2025,7,4)), (SWITCH(weekday(AO$4), 1, 0, 2, if(ISBLANK('2025'!$P19), 0, 1), 3, if(ISBLANK('2025'!$Q19), 0, 1), 4, if(ISBLANK('2025'!$R19), 0, 1), 5, if(ISBLANK('2025'!$S19), 0, 1), 6, if(ISBLANK('2025'!$T19), 0, 1), 7, 0))), 1, "")</f>
        <v/>
      </c>
      <c r="AP19" s="1" t="str">
        <f>IF(AND(AND(AND(AP$4&gt;='2025'!$L19,AP$4&lt;='2025'!$M19), AP$4&lt;&gt;DATE(2025,7,4)), (SWITCH(weekday(AP$4), 1, 0, 2, if(ISBLANK('2025'!$P19), 0, 1), 3, if(ISBLANK('2025'!$Q19), 0, 1), 4, if(ISBLANK('2025'!$R19), 0, 1), 5, if(ISBLANK('2025'!$S19), 0, 1), 6, if(ISBLANK('2025'!$T19), 0, 1), 7, 0))), 1, "")</f>
        <v/>
      </c>
      <c r="AQ19" s="1" t="str">
        <f>IF(AND(AND(AND(AQ$4&gt;='2025'!$L19,AQ$4&lt;='2025'!$M19), AQ$4&lt;&gt;DATE(2025,7,4)), (SWITCH(weekday(AQ$4), 1, 0, 2, if(ISBLANK('2025'!$P19), 0, 1), 3, if(ISBLANK('2025'!$Q19), 0, 1), 4, if(ISBLANK('2025'!$R19), 0, 1), 5, if(ISBLANK('2025'!$S19), 0, 1), 6, if(ISBLANK('2025'!$T19), 0, 1), 7, 0))), 1, "")</f>
        <v/>
      </c>
      <c r="AR19" s="1" t="str">
        <f>IF(AND(AND(AND(AR$4&gt;='2025'!$L19,AR$4&lt;='2025'!$M19), AR$4&lt;&gt;DATE(2025,7,4)), (SWITCH(weekday(AR$4), 1, 0, 2, if(ISBLANK('2025'!$P19), 0, 1), 3, if(ISBLANK('2025'!$Q19), 0, 1), 4, if(ISBLANK('2025'!$R19), 0, 1), 5, if(ISBLANK('2025'!$S19), 0, 1), 6, if(ISBLANK('2025'!$T19), 0, 1), 7, 0))), 1, "")</f>
        <v/>
      </c>
      <c r="AS19" s="1" t="str">
        <f>IF(AND(AND(AND(AS$4&gt;='2025'!$L19,AS$4&lt;='2025'!$M19), AS$4&lt;&gt;DATE(2025,7,4)), (SWITCH(weekday(AS$4), 1, 0, 2, if(ISBLANK('2025'!$P19), 0, 1), 3, if(ISBLANK('2025'!$Q19), 0, 1), 4, if(ISBLANK('2025'!$R19), 0, 1), 5, if(ISBLANK('2025'!$S19), 0, 1), 6, if(ISBLANK('2025'!$T19), 0, 1), 7, 0))), 1, "")</f>
        <v/>
      </c>
      <c r="AT19" s="1" t="str">
        <f>IF(AND(AND(AND(AT$4&gt;='2025'!$L19,AT$4&lt;='2025'!$M19), AT$4&lt;&gt;DATE(2025,7,4)), (SWITCH(weekday(AT$4), 1, 0, 2, if(ISBLANK('2025'!$P19), 0, 1), 3, if(ISBLANK('2025'!$Q19), 0, 1), 4, if(ISBLANK('2025'!$R19), 0, 1), 5, if(ISBLANK('2025'!$S19), 0, 1), 6, if(ISBLANK('2025'!$T19), 0, 1), 7, 0))), 1, "")</f>
        <v/>
      </c>
      <c r="AU19" s="1" t="str">
        <f>IF(AND(AND(AND(AU$4&gt;='2025'!$L19,AU$4&lt;='2025'!$M19), AU$4&lt;&gt;DATE(2025,7,4)), (SWITCH(weekday(AU$4), 1, 0, 2, if(ISBLANK('2025'!$P19), 0, 1), 3, if(ISBLANK('2025'!$Q19), 0, 1), 4, if(ISBLANK('2025'!$R19), 0, 1), 5, if(ISBLANK('2025'!$S19), 0, 1), 6, if(ISBLANK('2025'!$T19), 0, 1), 7, 0))), 1, "")</f>
        <v/>
      </c>
      <c r="AV19" s="1" t="str">
        <f>IF(AND(AND(AND(AV$4&gt;='2025'!$L19,AV$4&lt;='2025'!$M19), AV$4&lt;&gt;DATE(2025,7,4)), (SWITCH(weekday(AV$4), 1, 0, 2, if(ISBLANK('2025'!$P19), 0, 1), 3, if(ISBLANK('2025'!$Q19), 0, 1), 4, if(ISBLANK('2025'!$R19), 0, 1), 5, if(ISBLANK('2025'!$S19), 0, 1), 6, if(ISBLANK('2025'!$T19), 0, 1), 7, 0))), 1, "")</f>
        <v/>
      </c>
      <c r="AW19" s="1" t="str">
        <f>IF(AND(AND(AND(AW$4&gt;='2025'!$L19,AW$4&lt;='2025'!$M19), AW$4&lt;&gt;DATE(2025,7,4)), (SWITCH(weekday(AW$4), 1, 0, 2, if(ISBLANK('2025'!$P19), 0, 1), 3, if(ISBLANK('2025'!$Q19), 0, 1), 4, if(ISBLANK('2025'!$R19), 0, 1), 5, if(ISBLANK('2025'!$S19), 0, 1), 6, if(ISBLANK('2025'!$T19), 0, 1), 7, 0))), 1, "")</f>
        <v/>
      </c>
      <c r="AX19" s="1" t="str">
        <f>IF(AND(AND(AND(AX$4&gt;='2025'!$L19,AX$4&lt;='2025'!$M19), AX$4&lt;&gt;DATE(2025,7,4)), (SWITCH(weekday(AX$4), 1, 0, 2, if(ISBLANK('2025'!$P19), 0, 1), 3, if(ISBLANK('2025'!$Q19), 0, 1), 4, if(ISBLANK('2025'!$R19), 0, 1), 5, if(ISBLANK('2025'!$S19), 0, 1), 6, if(ISBLANK('2025'!$T19), 0, 1), 7, 0))), 1, "")</f>
        <v/>
      </c>
      <c r="AY19" s="1" t="str">
        <f>IF(AND(AND(AND(AY$4&gt;='2025'!$L19,AY$4&lt;='2025'!$M19), AY$4&lt;&gt;DATE(2025,7,4)), (SWITCH(weekday(AY$4), 1, 0, 2, if(ISBLANK('2025'!$P19), 0, 1), 3, if(ISBLANK('2025'!$Q19), 0, 1), 4, if(ISBLANK('2025'!$R19), 0, 1), 5, if(ISBLANK('2025'!$S19), 0, 1), 6, if(ISBLANK('2025'!$T19), 0, 1), 7, 0))), 1, "")</f>
        <v/>
      </c>
      <c r="AZ19" s="1" t="str">
        <f>IF(AND(AND(AND(AZ$4&gt;='2025'!$L19,AZ$4&lt;='2025'!$M19), AZ$4&lt;&gt;DATE(2025,7,4)), (SWITCH(weekday(AZ$4), 1, 0, 2, if(ISBLANK('2025'!$P19), 0, 1), 3, if(ISBLANK('2025'!$Q19), 0, 1), 4, if(ISBLANK('2025'!$R19), 0, 1), 5, if(ISBLANK('2025'!$S19), 0, 1), 6, if(ISBLANK('2025'!$T19), 0, 1), 7, 0))), 1, "")</f>
        <v/>
      </c>
      <c r="BA19" s="1" t="str">
        <f>IF(AND(AND(AND(BA$4&gt;='2025'!$L19,BA$4&lt;='2025'!$M19), BA$4&lt;&gt;DATE(2025,7,4)), (SWITCH(weekday(BA$4), 1, 0, 2, if(ISBLANK('2025'!$P19), 0, 1), 3, if(ISBLANK('2025'!$Q19), 0, 1), 4, if(ISBLANK('2025'!$R19), 0, 1), 5, if(ISBLANK('2025'!$S19), 0, 1), 6, if(ISBLANK('2025'!$T19), 0, 1), 7, 0))), 1, "")</f>
        <v/>
      </c>
      <c r="BB19" s="1" t="str">
        <f>IF(AND(AND(AND(BB$4&gt;='2025'!$L19,BB$4&lt;='2025'!$M19), BB$4&lt;&gt;DATE(2025,7,4)), (SWITCH(weekday(BB$4), 1, 0, 2, if(ISBLANK('2025'!$P19), 0, 1), 3, if(ISBLANK('2025'!$Q19), 0, 1), 4, if(ISBLANK('2025'!$R19), 0, 1), 5, if(ISBLANK('2025'!$S19), 0, 1), 6, if(ISBLANK('2025'!$T19), 0, 1), 7, 0))), 1, "")</f>
        <v/>
      </c>
      <c r="BC19" s="1" t="str">
        <f>IF(AND(AND(AND(BC$4&gt;='2025'!$L19,BC$4&lt;='2025'!$M19), BC$4&lt;&gt;DATE(2025,7,4)), (SWITCH(weekday(BC$4), 1, 0, 2, if(ISBLANK('2025'!$P19), 0, 1), 3, if(ISBLANK('2025'!$Q19), 0, 1), 4, if(ISBLANK('2025'!$R19), 0, 1), 5, if(ISBLANK('2025'!$S19), 0, 1), 6, if(ISBLANK('2025'!$T19), 0, 1), 7, 0))), 1, "")</f>
        <v/>
      </c>
      <c r="BD19" s="1" t="str">
        <f>IF(AND(AND(AND(BD$4&gt;='2025'!$L19,BD$4&lt;='2025'!$M19), BD$4&lt;&gt;DATE(2025,7,4)), (SWITCH(weekday(BD$4), 1, 0, 2, if(ISBLANK('2025'!$P19), 0, 1), 3, if(ISBLANK('2025'!$Q19), 0, 1), 4, if(ISBLANK('2025'!$R19), 0, 1), 5, if(ISBLANK('2025'!$S19), 0, 1), 6, if(ISBLANK('2025'!$T19), 0, 1), 7, 0))), 1, "")</f>
        <v/>
      </c>
      <c r="BE19" s="1" t="str">
        <f>IF(AND(AND(AND(BE$4&gt;='2025'!$L19,BE$4&lt;='2025'!$M19), BE$4&lt;&gt;DATE(2025,7,4)), (SWITCH(weekday(BE$4), 1, 0, 2, if(ISBLANK('2025'!$P19), 0, 1), 3, if(ISBLANK('2025'!$Q19), 0, 1), 4, if(ISBLANK('2025'!$R19), 0, 1), 5, if(ISBLANK('2025'!$S19), 0, 1), 6, if(ISBLANK('2025'!$T19), 0, 1), 7, 0))), 1, "")</f>
        <v/>
      </c>
      <c r="BF19" s="1" t="str">
        <f>IF(AND(AND(AND(BF$4&gt;='2025'!$L19,BF$4&lt;='2025'!$M19), BF$4&lt;&gt;DATE(2025,7,4)), (SWITCH(weekday(BF$4), 1, 0, 2, if(ISBLANK('2025'!$P19), 0, 1), 3, if(ISBLANK('2025'!$Q19), 0, 1), 4, if(ISBLANK('2025'!$R19), 0, 1), 5, if(ISBLANK('2025'!$S19), 0, 1), 6, if(ISBLANK('2025'!$T19), 0, 1), 7, 0))), 1, "")</f>
        <v/>
      </c>
      <c r="BG19" s="1"/>
      <c r="BH19" s="1"/>
      <c r="BI19" s="1"/>
      <c r="BJ19" s="1"/>
      <c r="BK19" s="1"/>
      <c r="BL19" s="1"/>
    </row>
    <row r="20">
      <c r="A20" s="1">
        <f t="shared" si="3"/>
        <v>20</v>
      </c>
      <c r="B20" s="1" t="str">
        <f>'2025'!D20</f>
        <v>Kushinsky N. , Ariana</v>
      </c>
      <c r="C20" s="1" t="str">
        <f>'2025'!H20</f>
        <v>PK3.1</v>
      </c>
      <c r="D20" s="1" t="str">
        <f>IF(AND(AND(AND(D$4&gt;='2025'!$L20,D$4&lt;='2025'!$M20), D$4&lt;&gt;DATE(2025,7,4)), (SWITCH(weekday(D$4), 1, 0, 2, if(ISBLANK('2025'!$P20), 0, 1), 3, if(ISBLANK('2025'!$Q20), 0, 1), 4, if(ISBLANK('2025'!$R20), 0, 1), 5, if(ISBLANK('2025'!$S20), 0, 1), 6, if(ISBLANK('2025'!$T20), 0, 1), 7, 0))), 1, "")</f>
        <v/>
      </c>
      <c r="E20" s="1" t="str">
        <f>IF(AND(AND(AND(E$4&gt;='2025'!$L20,E$4&lt;='2025'!$M20), E$4&lt;&gt;DATE(2025,7,4)), (SWITCH(weekday(E$4), 1, 0, 2, if(ISBLANK('2025'!$P20), 0, 1), 3, if(ISBLANK('2025'!$Q20), 0, 1), 4, if(ISBLANK('2025'!$R20), 0, 1), 5, if(ISBLANK('2025'!$S20), 0, 1), 6, if(ISBLANK('2025'!$T20), 0, 1), 7, 0))), 1, "")</f>
        <v/>
      </c>
      <c r="F20" s="1" t="str">
        <f>IF(AND(AND(AND(F$4&gt;='2025'!$L20,F$4&lt;='2025'!$M20), F$4&lt;&gt;DATE(2025,7,4)), (SWITCH(weekday(F$4), 1, 0, 2, if(ISBLANK('2025'!$P20), 0, 1), 3, if(ISBLANK('2025'!$Q20), 0, 1), 4, if(ISBLANK('2025'!$R20), 0, 1), 5, if(ISBLANK('2025'!$S20), 0, 1), 6, if(ISBLANK('2025'!$T20), 0, 1), 7, 0))), 1, "")</f>
        <v/>
      </c>
      <c r="G20" s="1" t="str">
        <f>IF(AND(AND(AND(G$4&gt;='2025'!$L20,G$4&lt;='2025'!$M20), G$4&lt;&gt;DATE(2025,7,4)), (SWITCH(weekday(G$4), 1, 0, 2, if(ISBLANK('2025'!$P20), 0, 1), 3, if(ISBLANK('2025'!$Q20), 0, 1), 4, if(ISBLANK('2025'!$R20), 0, 1), 5, if(ISBLANK('2025'!$S20), 0, 1), 6, if(ISBLANK('2025'!$T20), 0, 1), 7, 0))), 1, "")</f>
        <v/>
      </c>
      <c r="H20" s="1" t="str">
        <f>IF(AND(AND(AND(H$4&gt;='2025'!$L20,H$4&lt;='2025'!$M20), H$4&lt;&gt;DATE(2025,7,4)), (SWITCH(weekday(H$4), 1, 0, 2, if(ISBLANK('2025'!$P20), 0, 1), 3, if(ISBLANK('2025'!$Q20), 0, 1), 4, if(ISBLANK('2025'!$R20), 0, 1), 5, if(ISBLANK('2025'!$S20), 0, 1), 6, if(ISBLANK('2025'!$T20), 0, 1), 7, 0))), 1, "")</f>
        <v/>
      </c>
      <c r="I20" s="1" t="str">
        <f>IF(AND(AND(AND(I$4&gt;='2025'!$L20,I$4&lt;='2025'!$M20), I$4&lt;&gt;DATE(2025,7,4)), (SWITCH(weekday(I$4), 1, 0, 2, if(ISBLANK('2025'!$P20), 0, 1), 3, if(ISBLANK('2025'!$Q20), 0, 1), 4, if(ISBLANK('2025'!$R20), 0, 1), 5, if(ISBLANK('2025'!$S20), 0, 1), 6, if(ISBLANK('2025'!$T20), 0, 1), 7, 0))), 1, "")</f>
        <v/>
      </c>
      <c r="J20" s="1" t="str">
        <f>IF(AND(AND(AND(J$4&gt;='2025'!$L20,J$4&lt;='2025'!$M20), J$4&lt;&gt;DATE(2025,7,4)), (SWITCH(weekday(J$4), 1, 0, 2, if(ISBLANK('2025'!$P20), 0, 1), 3, if(ISBLANK('2025'!$Q20), 0, 1), 4, if(ISBLANK('2025'!$R20), 0, 1), 5, if(ISBLANK('2025'!$S20), 0, 1), 6, if(ISBLANK('2025'!$T20), 0, 1), 7, 0))), 1, "")</f>
        <v/>
      </c>
      <c r="K20" s="1" t="str">
        <f>IF(AND(AND(AND(K$4&gt;='2025'!$L20,K$4&lt;='2025'!$M20), K$4&lt;&gt;DATE(2025,7,4)), (SWITCH(weekday(K$4), 1, 0, 2, if(ISBLANK('2025'!$P20), 0, 1), 3, if(ISBLANK('2025'!$Q20), 0, 1), 4, if(ISBLANK('2025'!$R20), 0, 1), 5, if(ISBLANK('2025'!$S20), 0, 1), 6, if(ISBLANK('2025'!$T20), 0, 1), 7, 0))), 1, "")</f>
        <v/>
      </c>
      <c r="L20" s="1" t="str">
        <f>IF(AND(AND(AND(L$4&gt;='2025'!$L20,L$4&lt;='2025'!$M20), L$4&lt;&gt;DATE(2025,7,4)), (SWITCH(weekday(L$4), 1, 0, 2, if(ISBLANK('2025'!$P20), 0, 1), 3, if(ISBLANK('2025'!$Q20), 0, 1), 4, if(ISBLANK('2025'!$R20), 0, 1), 5, if(ISBLANK('2025'!$S20), 0, 1), 6, if(ISBLANK('2025'!$T20), 0, 1), 7, 0))), 1, "")</f>
        <v/>
      </c>
      <c r="M20" s="1" t="str">
        <f>IF(AND(AND(AND(M$4&gt;='2025'!$L20,M$4&lt;='2025'!$M20), M$4&lt;&gt;DATE(2025,7,4)), (SWITCH(weekday(M$4), 1, 0, 2, if(ISBLANK('2025'!$P20), 0, 1), 3, if(ISBLANK('2025'!$Q20), 0, 1), 4, if(ISBLANK('2025'!$R20), 0, 1), 5, if(ISBLANK('2025'!$S20), 0, 1), 6, if(ISBLANK('2025'!$T20), 0, 1), 7, 0))), 1, "")</f>
        <v/>
      </c>
      <c r="N20" s="1" t="str">
        <f>IF(AND(AND(AND(N$4&gt;='2025'!$L20,N$4&lt;='2025'!$M20), N$4&lt;&gt;DATE(2025,7,4)), (SWITCH(weekday(N$4), 1, 0, 2, if(ISBLANK('2025'!$P20), 0, 1), 3, if(ISBLANK('2025'!$Q20), 0, 1), 4, if(ISBLANK('2025'!$R20), 0, 1), 5, if(ISBLANK('2025'!$S20), 0, 1), 6, if(ISBLANK('2025'!$T20), 0, 1), 7, 0))), 1, "")</f>
        <v/>
      </c>
      <c r="O20" s="1" t="str">
        <f>IF(AND(AND(AND(O$4&gt;='2025'!$L20,O$4&lt;='2025'!$M20), O$4&lt;&gt;DATE(2025,7,4)), (SWITCH(weekday(O$4), 1, 0, 2, if(ISBLANK('2025'!$P20), 0, 1), 3, if(ISBLANK('2025'!$Q20), 0, 1), 4, if(ISBLANK('2025'!$R20), 0, 1), 5, if(ISBLANK('2025'!$S20), 0, 1), 6, if(ISBLANK('2025'!$T20), 0, 1), 7, 0))), 1, "")</f>
        <v/>
      </c>
      <c r="P20" s="1" t="str">
        <f>IF(AND(AND(AND(P$4&gt;='2025'!$L20,P$4&lt;='2025'!$M20), P$4&lt;&gt;DATE(2025,7,4)), (SWITCH(weekday(P$4), 1, 0, 2, if(ISBLANK('2025'!$P20), 0, 1), 3, if(ISBLANK('2025'!$Q20), 0, 1), 4, if(ISBLANK('2025'!$R20), 0, 1), 5, if(ISBLANK('2025'!$S20), 0, 1), 6, if(ISBLANK('2025'!$T20), 0, 1), 7, 0))), 1, "")</f>
        <v/>
      </c>
      <c r="Q20" s="1" t="str">
        <f>IF(AND(AND(AND(Q$4&gt;='2025'!$L20,Q$4&lt;='2025'!$M20), Q$4&lt;&gt;DATE(2025,7,4)), (SWITCH(weekday(Q$4), 1, 0, 2, if(ISBLANK('2025'!$P20), 0, 1), 3, if(ISBLANK('2025'!$Q20), 0, 1), 4, if(ISBLANK('2025'!$R20), 0, 1), 5, if(ISBLANK('2025'!$S20), 0, 1), 6, if(ISBLANK('2025'!$T20), 0, 1), 7, 0))), 1, "")</f>
        <v/>
      </c>
      <c r="R20" s="1" t="str">
        <f>IF(AND(AND(AND(R$4&gt;='2025'!$L20,R$4&lt;='2025'!$M20), R$4&lt;&gt;DATE(2025,7,4)), (SWITCH(weekday(R$4), 1, 0, 2, if(ISBLANK('2025'!$P20), 0, 1), 3, if(ISBLANK('2025'!$Q20), 0, 1), 4, if(ISBLANK('2025'!$R20), 0, 1), 5, if(ISBLANK('2025'!$S20), 0, 1), 6, if(ISBLANK('2025'!$T20), 0, 1), 7, 0))), 1, "")</f>
        <v/>
      </c>
      <c r="S20" s="1" t="str">
        <f>IF(AND(AND(AND(S$4&gt;='2025'!$L20,S$4&lt;='2025'!$M20), S$4&lt;&gt;DATE(2025,7,4)), (SWITCH(weekday(S$4), 1, 0, 2, if(ISBLANK('2025'!$P20), 0, 1), 3, if(ISBLANK('2025'!$Q20), 0, 1), 4, if(ISBLANK('2025'!$R20), 0, 1), 5, if(ISBLANK('2025'!$S20), 0, 1), 6, if(ISBLANK('2025'!$T20), 0, 1), 7, 0))), 1, "")</f>
        <v/>
      </c>
      <c r="T20" s="1" t="str">
        <f>IF(AND(AND(AND(T$4&gt;='2025'!$L20,T$4&lt;='2025'!$M20), T$4&lt;&gt;DATE(2025,7,4)), (SWITCH(weekday(T$4), 1, 0, 2, if(ISBLANK('2025'!$P20), 0, 1), 3, if(ISBLANK('2025'!$Q20), 0, 1), 4, if(ISBLANK('2025'!$R20), 0, 1), 5, if(ISBLANK('2025'!$S20), 0, 1), 6, if(ISBLANK('2025'!$T20), 0, 1), 7, 0))), 1, "")</f>
        <v/>
      </c>
      <c r="U20" s="1" t="str">
        <f>IF(AND(AND(AND(U$4&gt;='2025'!$L20,U$4&lt;='2025'!$M20), U$4&lt;&gt;DATE(2025,7,4)), (SWITCH(weekday(U$4), 1, 0, 2, if(ISBLANK('2025'!$P20), 0, 1), 3, if(ISBLANK('2025'!$Q20), 0, 1), 4, if(ISBLANK('2025'!$R20), 0, 1), 5, if(ISBLANK('2025'!$S20), 0, 1), 6, if(ISBLANK('2025'!$T20), 0, 1), 7, 0))), 1, "")</f>
        <v/>
      </c>
      <c r="V20" s="1" t="str">
        <f>IF(AND(AND(AND(V$4&gt;='2025'!$L20,V$4&lt;='2025'!$M20), V$4&lt;&gt;DATE(2025,7,4)), (SWITCH(weekday(V$4), 1, 0, 2, if(ISBLANK('2025'!$P20), 0, 1), 3, if(ISBLANK('2025'!$Q20), 0, 1), 4, if(ISBLANK('2025'!$R20), 0, 1), 5, if(ISBLANK('2025'!$S20), 0, 1), 6, if(ISBLANK('2025'!$T20), 0, 1), 7, 0))), 1, "")</f>
        <v/>
      </c>
      <c r="W20" s="1" t="str">
        <f>IF(AND(AND(AND(W$4&gt;='2025'!$L20,W$4&lt;='2025'!$M20), W$4&lt;&gt;DATE(2025,7,4)), (SWITCH(weekday(W$4), 1, 0, 2, if(ISBLANK('2025'!$P20), 0, 1), 3, if(ISBLANK('2025'!$Q20), 0, 1), 4, if(ISBLANK('2025'!$R20), 0, 1), 5, if(ISBLANK('2025'!$S20), 0, 1), 6, if(ISBLANK('2025'!$T20), 0, 1), 7, 0))), 1, "")</f>
        <v/>
      </c>
      <c r="X20" s="1" t="str">
        <f>IF(AND(AND(AND(X$4&gt;='2025'!$L20,X$4&lt;='2025'!$M20), X$4&lt;&gt;DATE(2025,7,4)), (SWITCH(weekday(X$4), 1, 0, 2, if(ISBLANK('2025'!$P20), 0, 1), 3, if(ISBLANK('2025'!$Q20), 0, 1), 4, if(ISBLANK('2025'!$R20), 0, 1), 5, if(ISBLANK('2025'!$S20), 0, 1), 6, if(ISBLANK('2025'!$T20), 0, 1), 7, 0))), 1, "")</f>
        <v/>
      </c>
      <c r="Y20" s="1" t="str">
        <f>IF(AND(AND(AND(Y$4&gt;='2025'!$L20,Y$4&lt;='2025'!$M20), Y$4&lt;&gt;DATE(2025,7,4)), (SWITCH(weekday(Y$4), 1, 0, 2, if(ISBLANK('2025'!$P20), 0, 1), 3, if(ISBLANK('2025'!$Q20), 0, 1), 4, if(ISBLANK('2025'!$R20), 0, 1), 5, if(ISBLANK('2025'!$S20), 0, 1), 6, if(ISBLANK('2025'!$T20), 0, 1), 7, 0))), 1, "")</f>
        <v/>
      </c>
      <c r="Z20" s="1" t="str">
        <f>IF(AND(AND(AND(Z$4&gt;='2025'!$L20,Z$4&lt;='2025'!$M20), Z$4&lt;&gt;DATE(2025,7,4)), (SWITCH(weekday(Z$4), 1, 0, 2, if(ISBLANK('2025'!$P20), 0, 1), 3, if(ISBLANK('2025'!$Q20), 0, 1), 4, if(ISBLANK('2025'!$R20), 0, 1), 5, if(ISBLANK('2025'!$S20), 0, 1), 6, if(ISBLANK('2025'!$T20), 0, 1), 7, 0))), 1, "")</f>
        <v/>
      </c>
      <c r="AA20" s="1" t="str">
        <f>IF(AND(AND(AND(AA$4&gt;='2025'!$L20,AA$4&lt;='2025'!$M20), AA$4&lt;&gt;DATE(2025,7,4)), (SWITCH(weekday(AA$4), 1, 0, 2, if(ISBLANK('2025'!$P20), 0, 1), 3, if(ISBLANK('2025'!$Q20), 0, 1), 4, if(ISBLANK('2025'!$R20), 0, 1), 5, if(ISBLANK('2025'!$S20), 0, 1), 6, if(ISBLANK('2025'!$T20), 0, 1), 7, 0))), 1, "")</f>
        <v/>
      </c>
      <c r="AB20" s="1" t="str">
        <f>IF(AND(AND(AND(AB$4&gt;='2025'!$L20,AB$4&lt;='2025'!$M20), AB$4&lt;&gt;DATE(2025,7,4)), (SWITCH(weekday(AB$4), 1, 0, 2, if(ISBLANK('2025'!$P20), 0, 1), 3, if(ISBLANK('2025'!$Q20), 0, 1), 4, if(ISBLANK('2025'!$R20), 0, 1), 5, if(ISBLANK('2025'!$S20), 0, 1), 6, if(ISBLANK('2025'!$T20), 0, 1), 7, 0))), 1, "")</f>
        <v/>
      </c>
      <c r="AC20" s="1" t="str">
        <f>IF(AND(AND(AND(AC$4&gt;='2025'!$L20,AC$4&lt;='2025'!$M20), AC$4&lt;&gt;DATE(2025,7,4)), (SWITCH(weekday(AC$4), 1, 0, 2, if(ISBLANK('2025'!$P20), 0, 1), 3, if(ISBLANK('2025'!$Q20), 0, 1), 4, if(ISBLANK('2025'!$R20), 0, 1), 5, if(ISBLANK('2025'!$S20), 0, 1), 6, if(ISBLANK('2025'!$T20), 0, 1), 7, 0))), 1, "")</f>
        <v/>
      </c>
      <c r="AD20" s="1" t="str">
        <f>IF(AND(AND(AND(AD$4&gt;='2025'!$L20,AD$4&lt;='2025'!$M20), AD$4&lt;&gt;DATE(2025,7,4)), (SWITCH(weekday(AD$4), 1, 0, 2, if(ISBLANK('2025'!$P20), 0, 1), 3, if(ISBLANK('2025'!$Q20), 0, 1), 4, if(ISBLANK('2025'!$R20), 0, 1), 5, if(ISBLANK('2025'!$S20), 0, 1), 6, if(ISBLANK('2025'!$T20), 0, 1), 7, 0))), 1, "")</f>
        <v/>
      </c>
      <c r="AE20" s="1" t="str">
        <f>IF(AND(AND(AND(AE$4&gt;='2025'!$L20,AE$4&lt;='2025'!$M20), AE$4&lt;&gt;DATE(2025,7,4)), (SWITCH(weekday(AE$4), 1, 0, 2, if(ISBLANK('2025'!$P20), 0, 1), 3, if(ISBLANK('2025'!$Q20), 0, 1), 4, if(ISBLANK('2025'!$R20), 0, 1), 5, if(ISBLANK('2025'!$S20), 0, 1), 6, if(ISBLANK('2025'!$T20), 0, 1), 7, 0))), 1, "")</f>
        <v/>
      </c>
      <c r="AF20" s="1" t="str">
        <f>IF(AND(AND(AND(AF$4&gt;='2025'!$L20,AF$4&lt;='2025'!$M20), AF$4&lt;&gt;DATE(2025,7,4)), (SWITCH(weekday(AF$4), 1, 0, 2, if(ISBLANK('2025'!$P20), 0, 1), 3, if(ISBLANK('2025'!$Q20), 0, 1), 4, if(ISBLANK('2025'!$R20), 0, 1), 5, if(ISBLANK('2025'!$S20), 0, 1), 6, if(ISBLANK('2025'!$T20), 0, 1), 7, 0))), 1, "")</f>
        <v/>
      </c>
      <c r="AG20" s="1" t="str">
        <f>IF(AND(AND(AND(AG$4&gt;='2025'!$L20,AG$4&lt;='2025'!$M20), AG$4&lt;&gt;DATE(2025,7,4)), (SWITCH(weekday(AG$4), 1, 0, 2, if(ISBLANK('2025'!$P20), 0, 1), 3, if(ISBLANK('2025'!$Q20), 0, 1), 4, if(ISBLANK('2025'!$R20), 0, 1), 5, if(ISBLANK('2025'!$S20), 0, 1), 6, if(ISBLANK('2025'!$T20), 0, 1), 7, 0))), 1, "")</f>
        <v/>
      </c>
      <c r="AH20" s="1" t="str">
        <f>IF(AND(AND(AND(AH$4&gt;='2025'!$L20,AH$4&lt;='2025'!$M20), AH$4&lt;&gt;DATE(2025,7,4)), (SWITCH(weekday(AH$4), 1, 0, 2, if(ISBLANK('2025'!$P20), 0, 1), 3, if(ISBLANK('2025'!$Q20), 0, 1), 4, if(ISBLANK('2025'!$R20), 0, 1), 5, if(ISBLANK('2025'!$S20), 0, 1), 6, if(ISBLANK('2025'!$T20), 0, 1), 7, 0))), 1, "")</f>
        <v/>
      </c>
      <c r="AI20" s="1" t="str">
        <f>IF(AND(AND(AND(AI$4&gt;='2025'!$L20,AI$4&lt;='2025'!$M20), AI$4&lt;&gt;DATE(2025,7,4)), (SWITCH(weekday(AI$4), 1, 0, 2, if(ISBLANK('2025'!$P20), 0, 1), 3, if(ISBLANK('2025'!$Q20), 0, 1), 4, if(ISBLANK('2025'!$R20), 0, 1), 5, if(ISBLANK('2025'!$S20), 0, 1), 6, if(ISBLANK('2025'!$T20), 0, 1), 7, 0))), 1, "")</f>
        <v/>
      </c>
      <c r="AJ20" s="1" t="str">
        <f>IF(AND(AND(AND(AJ$4&gt;='2025'!$L20,AJ$4&lt;='2025'!$M20), AJ$4&lt;&gt;DATE(2025,7,4)), (SWITCH(weekday(AJ$4), 1, 0, 2, if(ISBLANK('2025'!$P20), 0, 1), 3, if(ISBLANK('2025'!$Q20), 0, 1), 4, if(ISBLANK('2025'!$R20), 0, 1), 5, if(ISBLANK('2025'!$S20), 0, 1), 6, if(ISBLANK('2025'!$T20), 0, 1), 7, 0))), 1, "")</f>
        <v/>
      </c>
      <c r="AK20" s="1" t="str">
        <f>IF(AND(AND(AND(AK$4&gt;='2025'!$L20,AK$4&lt;='2025'!$M20), AK$4&lt;&gt;DATE(2025,7,4)), (SWITCH(weekday(AK$4), 1, 0, 2, if(ISBLANK('2025'!$P20), 0, 1), 3, if(ISBLANK('2025'!$Q20), 0, 1), 4, if(ISBLANK('2025'!$R20), 0, 1), 5, if(ISBLANK('2025'!$S20), 0, 1), 6, if(ISBLANK('2025'!$T20), 0, 1), 7, 0))), 1, "")</f>
        <v/>
      </c>
      <c r="AL20" s="1" t="str">
        <f>IF(AND(AND(AND(AL$4&gt;='2025'!$L20,AL$4&lt;='2025'!$M20), AL$4&lt;&gt;DATE(2025,7,4)), (SWITCH(weekday(AL$4), 1, 0, 2, if(ISBLANK('2025'!$P20), 0, 1), 3, if(ISBLANK('2025'!$Q20), 0, 1), 4, if(ISBLANK('2025'!$R20), 0, 1), 5, if(ISBLANK('2025'!$S20), 0, 1), 6, if(ISBLANK('2025'!$T20), 0, 1), 7, 0))), 1, "")</f>
        <v/>
      </c>
      <c r="AM20" s="1" t="str">
        <f>IF(AND(AND(AND(AM$4&gt;='2025'!$L20,AM$4&lt;='2025'!$M20), AM$4&lt;&gt;DATE(2025,7,4)), (SWITCH(weekday(AM$4), 1, 0, 2, if(ISBLANK('2025'!$P20), 0, 1), 3, if(ISBLANK('2025'!$Q20), 0, 1), 4, if(ISBLANK('2025'!$R20), 0, 1), 5, if(ISBLANK('2025'!$S20), 0, 1), 6, if(ISBLANK('2025'!$T20), 0, 1), 7, 0))), 1, "")</f>
        <v/>
      </c>
      <c r="AN20" s="1" t="str">
        <f>IF(AND(AND(AND(AN$4&gt;='2025'!$L20,AN$4&lt;='2025'!$M20), AN$4&lt;&gt;DATE(2025,7,4)), (SWITCH(weekday(AN$4), 1, 0, 2, if(ISBLANK('2025'!$P20), 0, 1), 3, if(ISBLANK('2025'!$Q20), 0, 1), 4, if(ISBLANK('2025'!$R20), 0, 1), 5, if(ISBLANK('2025'!$S20), 0, 1), 6, if(ISBLANK('2025'!$T20), 0, 1), 7, 0))), 1, "")</f>
        <v/>
      </c>
      <c r="AO20" s="1" t="str">
        <f>IF(AND(AND(AND(AO$4&gt;='2025'!$L20,AO$4&lt;='2025'!$M20), AO$4&lt;&gt;DATE(2025,7,4)), (SWITCH(weekday(AO$4), 1, 0, 2, if(ISBLANK('2025'!$P20), 0, 1), 3, if(ISBLANK('2025'!$Q20), 0, 1), 4, if(ISBLANK('2025'!$R20), 0, 1), 5, if(ISBLANK('2025'!$S20), 0, 1), 6, if(ISBLANK('2025'!$T20), 0, 1), 7, 0))), 1, "")</f>
        <v/>
      </c>
      <c r="AP20" s="1" t="str">
        <f>IF(AND(AND(AND(AP$4&gt;='2025'!$L20,AP$4&lt;='2025'!$M20), AP$4&lt;&gt;DATE(2025,7,4)), (SWITCH(weekday(AP$4), 1, 0, 2, if(ISBLANK('2025'!$P20), 0, 1), 3, if(ISBLANK('2025'!$Q20), 0, 1), 4, if(ISBLANK('2025'!$R20), 0, 1), 5, if(ISBLANK('2025'!$S20), 0, 1), 6, if(ISBLANK('2025'!$T20), 0, 1), 7, 0))), 1, "")</f>
        <v/>
      </c>
      <c r="AQ20" s="1" t="str">
        <f>IF(AND(AND(AND(AQ$4&gt;='2025'!$L20,AQ$4&lt;='2025'!$M20), AQ$4&lt;&gt;DATE(2025,7,4)), (SWITCH(weekday(AQ$4), 1, 0, 2, if(ISBLANK('2025'!$P20), 0, 1), 3, if(ISBLANK('2025'!$Q20), 0, 1), 4, if(ISBLANK('2025'!$R20), 0, 1), 5, if(ISBLANK('2025'!$S20), 0, 1), 6, if(ISBLANK('2025'!$T20), 0, 1), 7, 0))), 1, "")</f>
        <v/>
      </c>
      <c r="AR20" s="1" t="str">
        <f>IF(AND(AND(AND(AR$4&gt;='2025'!$L20,AR$4&lt;='2025'!$M20), AR$4&lt;&gt;DATE(2025,7,4)), (SWITCH(weekday(AR$4), 1, 0, 2, if(ISBLANK('2025'!$P20), 0, 1), 3, if(ISBLANK('2025'!$Q20), 0, 1), 4, if(ISBLANK('2025'!$R20), 0, 1), 5, if(ISBLANK('2025'!$S20), 0, 1), 6, if(ISBLANK('2025'!$T20), 0, 1), 7, 0))), 1, "")</f>
        <v/>
      </c>
      <c r="AS20" s="1" t="str">
        <f>IF(AND(AND(AND(AS$4&gt;='2025'!$L20,AS$4&lt;='2025'!$M20), AS$4&lt;&gt;DATE(2025,7,4)), (SWITCH(weekday(AS$4), 1, 0, 2, if(ISBLANK('2025'!$P20), 0, 1), 3, if(ISBLANK('2025'!$Q20), 0, 1), 4, if(ISBLANK('2025'!$R20), 0, 1), 5, if(ISBLANK('2025'!$S20), 0, 1), 6, if(ISBLANK('2025'!$T20), 0, 1), 7, 0))), 1, "")</f>
        <v/>
      </c>
      <c r="AT20" s="1" t="str">
        <f>IF(AND(AND(AND(AT$4&gt;='2025'!$L20,AT$4&lt;='2025'!$M20), AT$4&lt;&gt;DATE(2025,7,4)), (SWITCH(weekday(AT$4), 1, 0, 2, if(ISBLANK('2025'!$P20), 0, 1), 3, if(ISBLANK('2025'!$Q20), 0, 1), 4, if(ISBLANK('2025'!$R20), 0, 1), 5, if(ISBLANK('2025'!$S20), 0, 1), 6, if(ISBLANK('2025'!$T20), 0, 1), 7, 0))), 1, "")</f>
        <v/>
      </c>
      <c r="AU20" s="1" t="str">
        <f>IF(AND(AND(AND(AU$4&gt;='2025'!$L20,AU$4&lt;='2025'!$M20), AU$4&lt;&gt;DATE(2025,7,4)), (SWITCH(weekday(AU$4), 1, 0, 2, if(ISBLANK('2025'!$P20), 0, 1), 3, if(ISBLANK('2025'!$Q20), 0, 1), 4, if(ISBLANK('2025'!$R20), 0, 1), 5, if(ISBLANK('2025'!$S20), 0, 1), 6, if(ISBLANK('2025'!$T20), 0, 1), 7, 0))), 1, "")</f>
        <v/>
      </c>
      <c r="AV20" s="1" t="str">
        <f>IF(AND(AND(AND(AV$4&gt;='2025'!$L20,AV$4&lt;='2025'!$M20), AV$4&lt;&gt;DATE(2025,7,4)), (SWITCH(weekday(AV$4), 1, 0, 2, if(ISBLANK('2025'!$P20), 0, 1), 3, if(ISBLANK('2025'!$Q20), 0, 1), 4, if(ISBLANK('2025'!$R20), 0, 1), 5, if(ISBLANK('2025'!$S20), 0, 1), 6, if(ISBLANK('2025'!$T20), 0, 1), 7, 0))), 1, "")</f>
        <v/>
      </c>
      <c r="AW20" s="1" t="str">
        <f>IF(AND(AND(AND(AW$4&gt;='2025'!$L20,AW$4&lt;='2025'!$M20), AW$4&lt;&gt;DATE(2025,7,4)), (SWITCH(weekday(AW$4), 1, 0, 2, if(ISBLANK('2025'!$P20), 0, 1), 3, if(ISBLANK('2025'!$Q20), 0, 1), 4, if(ISBLANK('2025'!$R20), 0, 1), 5, if(ISBLANK('2025'!$S20), 0, 1), 6, if(ISBLANK('2025'!$T20), 0, 1), 7, 0))), 1, "")</f>
        <v/>
      </c>
      <c r="AX20" s="1" t="str">
        <f>IF(AND(AND(AND(AX$4&gt;='2025'!$L20,AX$4&lt;='2025'!$M20), AX$4&lt;&gt;DATE(2025,7,4)), (SWITCH(weekday(AX$4), 1, 0, 2, if(ISBLANK('2025'!$P20), 0, 1), 3, if(ISBLANK('2025'!$Q20), 0, 1), 4, if(ISBLANK('2025'!$R20), 0, 1), 5, if(ISBLANK('2025'!$S20), 0, 1), 6, if(ISBLANK('2025'!$T20), 0, 1), 7, 0))), 1, "")</f>
        <v/>
      </c>
      <c r="AY20" s="1" t="str">
        <f>IF(AND(AND(AND(AY$4&gt;='2025'!$L20,AY$4&lt;='2025'!$M20), AY$4&lt;&gt;DATE(2025,7,4)), (SWITCH(weekday(AY$4), 1, 0, 2, if(ISBLANK('2025'!$P20), 0, 1), 3, if(ISBLANK('2025'!$Q20), 0, 1), 4, if(ISBLANK('2025'!$R20), 0, 1), 5, if(ISBLANK('2025'!$S20), 0, 1), 6, if(ISBLANK('2025'!$T20), 0, 1), 7, 0))), 1, "")</f>
        <v/>
      </c>
      <c r="AZ20" s="1" t="str">
        <f>IF(AND(AND(AND(AZ$4&gt;='2025'!$L20,AZ$4&lt;='2025'!$M20), AZ$4&lt;&gt;DATE(2025,7,4)), (SWITCH(weekday(AZ$4), 1, 0, 2, if(ISBLANK('2025'!$P20), 0, 1), 3, if(ISBLANK('2025'!$Q20), 0, 1), 4, if(ISBLANK('2025'!$R20), 0, 1), 5, if(ISBLANK('2025'!$S20), 0, 1), 6, if(ISBLANK('2025'!$T20), 0, 1), 7, 0))), 1, "")</f>
        <v/>
      </c>
      <c r="BA20" s="1" t="str">
        <f>IF(AND(AND(AND(BA$4&gt;='2025'!$L20,BA$4&lt;='2025'!$M20), BA$4&lt;&gt;DATE(2025,7,4)), (SWITCH(weekday(BA$4), 1, 0, 2, if(ISBLANK('2025'!$P20), 0, 1), 3, if(ISBLANK('2025'!$Q20), 0, 1), 4, if(ISBLANK('2025'!$R20), 0, 1), 5, if(ISBLANK('2025'!$S20), 0, 1), 6, if(ISBLANK('2025'!$T20), 0, 1), 7, 0))), 1, "")</f>
        <v/>
      </c>
      <c r="BB20" s="1" t="str">
        <f>IF(AND(AND(AND(BB$4&gt;='2025'!$L20,BB$4&lt;='2025'!$M20), BB$4&lt;&gt;DATE(2025,7,4)), (SWITCH(weekday(BB$4), 1, 0, 2, if(ISBLANK('2025'!$P20), 0, 1), 3, if(ISBLANK('2025'!$Q20), 0, 1), 4, if(ISBLANK('2025'!$R20), 0, 1), 5, if(ISBLANK('2025'!$S20), 0, 1), 6, if(ISBLANK('2025'!$T20), 0, 1), 7, 0))), 1, "")</f>
        <v/>
      </c>
      <c r="BC20" s="1" t="str">
        <f>IF(AND(AND(AND(BC$4&gt;='2025'!$L20,BC$4&lt;='2025'!$M20), BC$4&lt;&gt;DATE(2025,7,4)), (SWITCH(weekday(BC$4), 1, 0, 2, if(ISBLANK('2025'!$P20), 0, 1), 3, if(ISBLANK('2025'!$Q20), 0, 1), 4, if(ISBLANK('2025'!$R20), 0, 1), 5, if(ISBLANK('2025'!$S20), 0, 1), 6, if(ISBLANK('2025'!$T20), 0, 1), 7, 0))), 1, "")</f>
        <v/>
      </c>
      <c r="BD20" s="1" t="str">
        <f>IF(AND(AND(AND(BD$4&gt;='2025'!$L20,BD$4&lt;='2025'!$M20), BD$4&lt;&gt;DATE(2025,7,4)), (SWITCH(weekday(BD$4), 1, 0, 2, if(ISBLANK('2025'!$P20), 0, 1), 3, if(ISBLANK('2025'!$Q20), 0, 1), 4, if(ISBLANK('2025'!$R20), 0, 1), 5, if(ISBLANK('2025'!$S20), 0, 1), 6, if(ISBLANK('2025'!$T20), 0, 1), 7, 0))), 1, "")</f>
        <v/>
      </c>
      <c r="BE20" s="1" t="str">
        <f>IF(AND(AND(AND(BE$4&gt;='2025'!$L20,BE$4&lt;='2025'!$M20), BE$4&lt;&gt;DATE(2025,7,4)), (SWITCH(weekday(BE$4), 1, 0, 2, if(ISBLANK('2025'!$P20), 0, 1), 3, if(ISBLANK('2025'!$Q20), 0, 1), 4, if(ISBLANK('2025'!$R20), 0, 1), 5, if(ISBLANK('2025'!$S20), 0, 1), 6, if(ISBLANK('2025'!$T20), 0, 1), 7, 0))), 1, "")</f>
        <v/>
      </c>
      <c r="BF20" s="1" t="str">
        <f>IF(AND(AND(AND(BF$4&gt;='2025'!$L20,BF$4&lt;='2025'!$M20), BF$4&lt;&gt;DATE(2025,7,4)), (SWITCH(weekday(BF$4), 1, 0, 2, if(ISBLANK('2025'!$P20), 0, 1), 3, if(ISBLANK('2025'!$Q20), 0, 1), 4, if(ISBLANK('2025'!$R20), 0, 1), 5, if(ISBLANK('2025'!$S20), 0, 1), 6, if(ISBLANK('2025'!$T20), 0, 1), 7, 0))), 1, "")</f>
        <v/>
      </c>
      <c r="BG20" s="1"/>
      <c r="BH20" s="1"/>
      <c r="BI20" s="1"/>
      <c r="BJ20" s="1"/>
      <c r="BK20" s="1"/>
      <c r="BL20" s="1"/>
    </row>
    <row r="21">
      <c r="A21" s="1">
        <f t="shared" si="3"/>
        <v>21</v>
      </c>
      <c r="B21" s="1" t="str">
        <f>'2025'!D21</f>
        <v>Torres, Jack</v>
      </c>
      <c r="C21" s="1" t="str">
        <f>'2025'!H21</f>
        <v>Infant</v>
      </c>
      <c r="D21" s="1" t="str">
        <f>IF(AND(AND(AND(D$4&gt;='2025'!$L21,D$4&lt;='2025'!$M21), D$4&lt;&gt;DATE(2025,7,4)), (SWITCH(weekday(D$4), 1, 0, 2, if(ISBLANK('2025'!$P21), 0, 1), 3, if(ISBLANK('2025'!$Q21), 0, 1), 4, if(ISBLANK('2025'!$R21), 0, 1), 5, if(ISBLANK('2025'!$S21), 0, 1), 6, if(ISBLANK('2025'!$T21), 0, 1), 7, 0))), 1, "")</f>
        <v/>
      </c>
      <c r="E21" s="1" t="str">
        <f>IF(AND(AND(AND(E$4&gt;='2025'!$L21,E$4&lt;='2025'!$M21), E$4&lt;&gt;DATE(2025,7,4)), (SWITCH(weekday(E$4), 1, 0, 2, if(ISBLANK('2025'!$P21), 0, 1), 3, if(ISBLANK('2025'!$Q21), 0, 1), 4, if(ISBLANK('2025'!$R21), 0, 1), 5, if(ISBLANK('2025'!$S21), 0, 1), 6, if(ISBLANK('2025'!$T21), 0, 1), 7, 0))), 1, "")</f>
        <v/>
      </c>
      <c r="F21" s="1" t="str">
        <f>IF(AND(AND(AND(F$4&gt;='2025'!$L21,F$4&lt;='2025'!$M21), F$4&lt;&gt;DATE(2025,7,4)), (SWITCH(weekday(F$4), 1, 0, 2, if(ISBLANK('2025'!$P21), 0, 1), 3, if(ISBLANK('2025'!$Q21), 0, 1), 4, if(ISBLANK('2025'!$R21), 0, 1), 5, if(ISBLANK('2025'!$S21), 0, 1), 6, if(ISBLANK('2025'!$T21), 0, 1), 7, 0))), 1, "")</f>
        <v/>
      </c>
      <c r="G21" s="1" t="str">
        <f>IF(AND(AND(AND(G$4&gt;='2025'!$L21,G$4&lt;='2025'!$M21), G$4&lt;&gt;DATE(2025,7,4)), (SWITCH(weekday(G$4), 1, 0, 2, if(ISBLANK('2025'!$P21), 0, 1), 3, if(ISBLANK('2025'!$Q21), 0, 1), 4, if(ISBLANK('2025'!$R21), 0, 1), 5, if(ISBLANK('2025'!$S21), 0, 1), 6, if(ISBLANK('2025'!$T21), 0, 1), 7, 0))), 1, "")</f>
        <v/>
      </c>
      <c r="H21" s="1" t="str">
        <f>IF(AND(AND(AND(H$4&gt;='2025'!$L21,H$4&lt;='2025'!$M21), H$4&lt;&gt;DATE(2025,7,4)), (SWITCH(weekday(H$4), 1, 0, 2, if(ISBLANK('2025'!$P21), 0, 1), 3, if(ISBLANK('2025'!$Q21), 0, 1), 4, if(ISBLANK('2025'!$R21), 0, 1), 5, if(ISBLANK('2025'!$S21), 0, 1), 6, if(ISBLANK('2025'!$T21), 0, 1), 7, 0))), 1, "")</f>
        <v/>
      </c>
      <c r="I21" s="1" t="str">
        <f>IF(AND(AND(AND(I$4&gt;='2025'!$L21,I$4&lt;='2025'!$M21), I$4&lt;&gt;DATE(2025,7,4)), (SWITCH(weekday(I$4), 1, 0, 2, if(ISBLANK('2025'!$P21), 0, 1), 3, if(ISBLANK('2025'!$Q21), 0, 1), 4, if(ISBLANK('2025'!$R21), 0, 1), 5, if(ISBLANK('2025'!$S21), 0, 1), 6, if(ISBLANK('2025'!$T21), 0, 1), 7, 0))), 1, "")</f>
        <v/>
      </c>
      <c r="J21" s="1" t="str">
        <f>IF(AND(AND(AND(J$4&gt;='2025'!$L21,J$4&lt;='2025'!$M21), J$4&lt;&gt;DATE(2025,7,4)), (SWITCH(weekday(J$4), 1, 0, 2, if(ISBLANK('2025'!$P21), 0, 1), 3, if(ISBLANK('2025'!$Q21), 0, 1), 4, if(ISBLANK('2025'!$R21), 0, 1), 5, if(ISBLANK('2025'!$S21), 0, 1), 6, if(ISBLANK('2025'!$T21), 0, 1), 7, 0))), 1, "")</f>
        <v/>
      </c>
      <c r="K21" s="1" t="str">
        <f>IF(AND(AND(AND(K$4&gt;='2025'!$L21,K$4&lt;='2025'!$M21), K$4&lt;&gt;DATE(2025,7,4)), (SWITCH(weekday(K$4), 1, 0, 2, if(ISBLANK('2025'!$P21), 0, 1), 3, if(ISBLANK('2025'!$Q21), 0, 1), 4, if(ISBLANK('2025'!$R21), 0, 1), 5, if(ISBLANK('2025'!$S21), 0, 1), 6, if(ISBLANK('2025'!$T21), 0, 1), 7, 0))), 1, "")</f>
        <v/>
      </c>
      <c r="L21" s="1" t="str">
        <f>IF(AND(AND(AND(L$4&gt;='2025'!$L21,L$4&lt;='2025'!$M21), L$4&lt;&gt;DATE(2025,7,4)), (SWITCH(weekday(L$4), 1, 0, 2, if(ISBLANK('2025'!$P21), 0, 1), 3, if(ISBLANK('2025'!$Q21), 0, 1), 4, if(ISBLANK('2025'!$R21), 0, 1), 5, if(ISBLANK('2025'!$S21), 0, 1), 6, if(ISBLANK('2025'!$T21), 0, 1), 7, 0))), 1, "")</f>
        <v/>
      </c>
      <c r="M21" s="1" t="str">
        <f>IF(AND(AND(AND(M$4&gt;='2025'!$L21,M$4&lt;='2025'!$M21), M$4&lt;&gt;DATE(2025,7,4)), (SWITCH(weekday(M$4), 1, 0, 2, if(ISBLANK('2025'!$P21), 0, 1), 3, if(ISBLANK('2025'!$Q21), 0, 1), 4, if(ISBLANK('2025'!$R21), 0, 1), 5, if(ISBLANK('2025'!$S21), 0, 1), 6, if(ISBLANK('2025'!$T21), 0, 1), 7, 0))), 1, "")</f>
        <v/>
      </c>
      <c r="N21" s="1" t="str">
        <f>IF(AND(AND(AND(N$4&gt;='2025'!$L21,N$4&lt;='2025'!$M21), N$4&lt;&gt;DATE(2025,7,4)), (SWITCH(weekday(N$4), 1, 0, 2, if(ISBLANK('2025'!$P21), 0, 1), 3, if(ISBLANK('2025'!$Q21), 0, 1), 4, if(ISBLANK('2025'!$R21), 0, 1), 5, if(ISBLANK('2025'!$S21), 0, 1), 6, if(ISBLANK('2025'!$T21), 0, 1), 7, 0))), 1, "")</f>
        <v/>
      </c>
      <c r="O21" s="1" t="str">
        <f>IF(AND(AND(AND(O$4&gt;='2025'!$L21,O$4&lt;='2025'!$M21), O$4&lt;&gt;DATE(2025,7,4)), (SWITCH(weekday(O$4), 1, 0, 2, if(ISBLANK('2025'!$P21), 0, 1), 3, if(ISBLANK('2025'!$Q21), 0, 1), 4, if(ISBLANK('2025'!$R21), 0, 1), 5, if(ISBLANK('2025'!$S21), 0, 1), 6, if(ISBLANK('2025'!$T21), 0, 1), 7, 0))), 1, "")</f>
        <v/>
      </c>
      <c r="P21" s="1" t="str">
        <f>IF(AND(AND(AND(P$4&gt;='2025'!$L21,P$4&lt;='2025'!$M21), P$4&lt;&gt;DATE(2025,7,4)), (SWITCH(weekday(P$4), 1, 0, 2, if(ISBLANK('2025'!$P21), 0, 1), 3, if(ISBLANK('2025'!$Q21), 0, 1), 4, if(ISBLANK('2025'!$R21), 0, 1), 5, if(ISBLANK('2025'!$S21), 0, 1), 6, if(ISBLANK('2025'!$T21), 0, 1), 7, 0))), 1, "")</f>
        <v/>
      </c>
      <c r="Q21" s="1" t="str">
        <f>IF(AND(AND(AND(Q$4&gt;='2025'!$L21,Q$4&lt;='2025'!$M21), Q$4&lt;&gt;DATE(2025,7,4)), (SWITCH(weekday(Q$4), 1, 0, 2, if(ISBLANK('2025'!$P21), 0, 1), 3, if(ISBLANK('2025'!$Q21), 0, 1), 4, if(ISBLANK('2025'!$R21), 0, 1), 5, if(ISBLANK('2025'!$S21), 0, 1), 6, if(ISBLANK('2025'!$T21), 0, 1), 7, 0))), 1, "")</f>
        <v/>
      </c>
      <c r="R21" s="1" t="str">
        <f>IF(AND(AND(AND(R$4&gt;='2025'!$L21,R$4&lt;='2025'!$M21), R$4&lt;&gt;DATE(2025,7,4)), (SWITCH(weekday(R$4), 1, 0, 2, if(ISBLANK('2025'!$P21), 0, 1), 3, if(ISBLANK('2025'!$Q21), 0, 1), 4, if(ISBLANK('2025'!$R21), 0, 1), 5, if(ISBLANK('2025'!$S21), 0, 1), 6, if(ISBLANK('2025'!$T21), 0, 1), 7, 0))), 1, "")</f>
        <v/>
      </c>
      <c r="S21" s="1" t="str">
        <f>IF(AND(AND(AND(S$4&gt;='2025'!$L21,S$4&lt;='2025'!$M21), S$4&lt;&gt;DATE(2025,7,4)), (SWITCH(weekday(S$4), 1, 0, 2, if(ISBLANK('2025'!$P21), 0, 1), 3, if(ISBLANK('2025'!$Q21), 0, 1), 4, if(ISBLANK('2025'!$R21), 0, 1), 5, if(ISBLANK('2025'!$S21), 0, 1), 6, if(ISBLANK('2025'!$T21), 0, 1), 7, 0))), 1, "")</f>
        <v/>
      </c>
      <c r="T21" s="1" t="str">
        <f>IF(AND(AND(AND(T$4&gt;='2025'!$L21,T$4&lt;='2025'!$M21), T$4&lt;&gt;DATE(2025,7,4)), (SWITCH(weekday(T$4), 1, 0, 2, if(ISBLANK('2025'!$P21), 0, 1), 3, if(ISBLANK('2025'!$Q21), 0, 1), 4, if(ISBLANK('2025'!$R21), 0, 1), 5, if(ISBLANK('2025'!$S21), 0, 1), 6, if(ISBLANK('2025'!$T21), 0, 1), 7, 0))), 1, "")</f>
        <v/>
      </c>
      <c r="U21" s="1" t="str">
        <f>IF(AND(AND(AND(U$4&gt;='2025'!$L21,U$4&lt;='2025'!$M21), U$4&lt;&gt;DATE(2025,7,4)), (SWITCH(weekday(U$4), 1, 0, 2, if(ISBLANK('2025'!$P21), 0, 1), 3, if(ISBLANK('2025'!$Q21), 0, 1), 4, if(ISBLANK('2025'!$R21), 0, 1), 5, if(ISBLANK('2025'!$S21), 0, 1), 6, if(ISBLANK('2025'!$T21), 0, 1), 7, 0))), 1, "")</f>
        <v/>
      </c>
      <c r="V21" s="1" t="str">
        <f>IF(AND(AND(AND(V$4&gt;='2025'!$L21,V$4&lt;='2025'!$M21), V$4&lt;&gt;DATE(2025,7,4)), (SWITCH(weekday(V$4), 1, 0, 2, if(ISBLANK('2025'!$P21), 0, 1), 3, if(ISBLANK('2025'!$Q21), 0, 1), 4, if(ISBLANK('2025'!$R21), 0, 1), 5, if(ISBLANK('2025'!$S21), 0, 1), 6, if(ISBLANK('2025'!$T21), 0, 1), 7, 0))), 1, "")</f>
        <v/>
      </c>
      <c r="W21" s="1" t="str">
        <f>IF(AND(AND(AND(W$4&gt;='2025'!$L21,W$4&lt;='2025'!$M21), W$4&lt;&gt;DATE(2025,7,4)), (SWITCH(weekday(W$4), 1, 0, 2, if(ISBLANK('2025'!$P21), 0, 1), 3, if(ISBLANK('2025'!$Q21), 0, 1), 4, if(ISBLANK('2025'!$R21), 0, 1), 5, if(ISBLANK('2025'!$S21), 0, 1), 6, if(ISBLANK('2025'!$T21), 0, 1), 7, 0))), 1, "")</f>
        <v/>
      </c>
      <c r="X21" s="1" t="str">
        <f>IF(AND(AND(AND(X$4&gt;='2025'!$L21,X$4&lt;='2025'!$M21), X$4&lt;&gt;DATE(2025,7,4)), (SWITCH(weekday(X$4), 1, 0, 2, if(ISBLANK('2025'!$P21), 0, 1), 3, if(ISBLANK('2025'!$Q21), 0, 1), 4, if(ISBLANK('2025'!$R21), 0, 1), 5, if(ISBLANK('2025'!$S21), 0, 1), 6, if(ISBLANK('2025'!$T21), 0, 1), 7, 0))), 1, "")</f>
        <v/>
      </c>
      <c r="Y21" s="1" t="str">
        <f>IF(AND(AND(AND(Y$4&gt;='2025'!$L21,Y$4&lt;='2025'!$M21), Y$4&lt;&gt;DATE(2025,7,4)), (SWITCH(weekday(Y$4), 1, 0, 2, if(ISBLANK('2025'!$P21), 0, 1), 3, if(ISBLANK('2025'!$Q21), 0, 1), 4, if(ISBLANK('2025'!$R21), 0, 1), 5, if(ISBLANK('2025'!$S21), 0, 1), 6, if(ISBLANK('2025'!$T21), 0, 1), 7, 0))), 1, "")</f>
        <v/>
      </c>
      <c r="Z21" s="1" t="str">
        <f>IF(AND(AND(AND(Z$4&gt;='2025'!$L21,Z$4&lt;='2025'!$M21), Z$4&lt;&gt;DATE(2025,7,4)), (SWITCH(weekday(Z$4), 1, 0, 2, if(ISBLANK('2025'!$P21), 0, 1), 3, if(ISBLANK('2025'!$Q21), 0, 1), 4, if(ISBLANK('2025'!$R21), 0, 1), 5, if(ISBLANK('2025'!$S21), 0, 1), 6, if(ISBLANK('2025'!$T21), 0, 1), 7, 0))), 1, "")</f>
        <v/>
      </c>
      <c r="AA21" s="1" t="str">
        <f>IF(AND(AND(AND(AA$4&gt;='2025'!$L21,AA$4&lt;='2025'!$M21), AA$4&lt;&gt;DATE(2025,7,4)), (SWITCH(weekday(AA$4), 1, 0, 2, if(ISBLANK('2025'!$P21), 0, 1), 3, if(ISBLANK('2025'!$Q21), 0, 1), 4, if(ISBLANK('2025'!$R21), 0, 1), 5, if(ISBLANK('2025'!$S21), 0, 1), 6, if(ISBLANK('2025'!$T21), 0, 1), 7, 0))), 1, "")</f>
        <v/>
      </c>
      <c r="AB21" s="1" t="str">
        <f>IF(AND(AND(AND(AB$4&gt;='2025'!$L21,AB$4&lt;='2025'!$M21), AB$4&lt;&gt;DATE(2025,7,4)), (SWITCH(weekday(AB$4), 1, 0, 2, if(ISBLANK('2025'!$P21), 0, 1), 3, if(ISBLANK('2025'!$Q21), 0, 1), 4, if(ISBLANK('2025'!$R21), 0, 1), 5, if(ISBLANK('2025'!$S21), 0, 1), 6, if(ISBLANK('2025'!$T21), 0, 1), 7, 0))), 1, "")</f>
        <v/>
      </c>
      <c r="AC21" s="1" t="str">
        <f>IF(AND(AND(AND(AC$4&gt;='2025'!$L21,AC$4&lt;='2025'!$M21), AC$4&lt;&gt;DATE(2025,7,4)), (SWITCH(weekday(AC$4), 1, 0, 2, if(ISBLANK('2025'!$P21), 0, 1), 3, if(ISBLANK('2025'!$Q21), 0, 1), 4, if(ISBLANK('2025'!$R21), 0, 1), 5, if(ISBLANK('2025'!$S21), 0, 1), 6, if(ISBLANK('2025'!$T21), 0, 1), 7, 0))), 1, "")</f>
        <v/>
      </c>
      <c r="AD21" s="1" t="str">
        <f>IF(AND(AND(AND(AD$4&gt;='2025'!$L21,AD$4&lt;='2025'!$M21), AD$4&lt;&gt;DATE(2025,7,4)), (SWITCH(weekday(AD$4), 1, 0, 2, if(ISBLANK('2025'!$P21), 0, 1), 3, if(ISBLANK('2025'!$Q21), 0, 1), 4, if(ISBLANK('2025'!$R21), 0, 1), 5, if(ISBLANK('2025'!$S21), 0, 1), 6, if(ISBLANK('2025'!$T21), 0, 1), 7, 0))), 1, "")</f>
        <v/>
      </c>
      <c r="AE21" s="1" t="str">
        <f>IF(AND(AND(AND(AE$4&gt;='2025'!$L21,AE$4&lt;='2025'!$M21), AE$4&lt;&gt;DATE(2025,7,4)), (SWITCH(weekday(AE$4), 1, 0, 2, if(ISBLANK('2025'!$P21), 0, 1), 3, if(ISBLANK('2025'!$Q21), 0, 1), 4, if(ISBLANK('2025'!$R21), 0, 1), 5, if(ISBLANK('2025'!$S21), 0, 1), 6, if(ISBLANK('2025'!$T21), 0, 1), 7, 0))), 1, "")</f>
        <v/>
      </c>
      <c r="AF21" s="1" t="str">
        <f>IF(AND(AND(AND(AF$4&gt;='2025'!$L21,AF$4&lt;='2025'!$M21), AF$4&lt;&gt;DATE(2025,7,4)), (SWITCH(weekday(AF$4), 1, 0, 2, if(ISBLANK('2025'!$P21), 0, 1), 3, if(ISBLANK('2025'!$Q21), 0, 1), 4, if(ISBLANK('2025'!$R21), 0, 1), 5, if(ISBLANK('2025'!$S21), 0, 1), 6, if(ISBLANK('2025'!$T21), 0, 1), 7, 0))), 1, "")</f>
        <v/>
      </c>
      <c r="AG21" s="1" t="str">
        <f>IF(AND(AND(AND(AG$4&gt;='2025'!$L21,AG$4&lt;='2025'!$M21), AG$4&lt;&gt;DATE(2025,7,4)), (SWITCH(weekday(AG$4), 1, 0, 2, if(ISBLANK('2025'!$P21), 0, 1), 3, if(ISBLANK('2025'!$Q21), 0, 1), 4, if(ISBLANK('2025'!$R21), 0, 1), 5, if(ISBLANK('2025'!$S21), 0, 1), 6, if(ISBLANK('2025'!$T21), 0, 1), 7, 0))), 1, "")</f>
        <v/>
      </c>
      <c r="AH21" s="1" t="str">
        <f>IF(AND(AND(AND(AH$4&gt;='2025'!$L21,AH$4&lt;='2025'!$M21), AH$4&lt;&gt;DATE(2025,7,4)), (SWITCH(weekday(AH$4), 1, 0, 2, if(ISBLANK('2025'!$P21), 0, 1), 3, if(ISBLANK('2025'!$Q21), 0, 1), 4, if(ISBLANK('2025'!$R21), 0, 1), 5, if(ISBLANK('2025'!$S21), 0, 1), 6, if(ISBLANK('2025'!$T21), 0, 1), 7, 0))), 1, "")</f>
        <v/>
      </c>
      <c r="AI21" s="1" t="str">
        <f>IF(AND(AND(AND(AI$4&gt;='2025'!$L21,AI$4&lt;='2025'!$M21), AI$4&lt;&gt;DATE(2025,7,4)), (SWITCH(weekday(AI$4), 1, 0, 2, if(ISBLANK('2025'!$P21), 0, 1), 3, if(ISBLANK('2025'!$Q21), 0, 1), 4, if(ISBLANK('2025'!$R21), 0, 1), 5, if(ISBLANK('2025'!$S21), 0, 1), 6, if(ISBLANK('2025'!$T21), 0, 1), 7, 0))), 1, "")</f>
        <v/>
      </c>
      <c r="AJ21" s="1" t="str">
        <f>IF(AND(AND(AND(AJ$4&gt;='2025'!$L21,AJ$4&lt;='2025'!$M21), AJ$4&lt;&gt;DATE(2025,7,4)), (SWITCH(weekday(AJ$4), 1, 0, 2, if(ISBLANK('2025'!$P21), 0, 1), 3, if(ISBLANK('2025'!$Q21), 0, 1), 4, if(ISBLANK('2025'!$R21), 0, 1), 5, if(ISBLANK('2025'!$S21), 0, 1), 6, if(ISBLANK('2025'!$T21), 0, 1), 7, 0))), 1, "")</f>
        <v/>
      </c>
      <c r="AK21" s="1" t="str">
        <f>IF(AND(AND(AND(AK$4&gt;='2025'!$L21,AK$4&lt;='2025'!$M21), AK$4&lt;&gt;DATE(2025,7,4)), (SWITCH(weekday(AK$4), 1, 0, 2, if(ISBLANK('2025'!$P21), 0, 1), 3, if(ISBLANK('2025'!$Q21), 0, 1), 4, if(ISBLANK('2025'!$R21), 0, 1), 5, if(ISBLANK('2025'!$S21), 0, 1), 6, if(ISBLANK('2025'!$T21), 0, 1), 7, 0))), 1, "")</f>
        <v/>
      </c>
      <c r="AL21" s="1" t="str">
        <f>IF(AND(AND(AND(AL$4&gt;='2025'!$L21,AL$4&lt;='2025'!$M21), AL$4&lt;&gt;DATE(2025,7,4)), (SWITCH(weekday(AL$4), 1, 0, 2, if(ISBLANK('2025'!$P21), 0, 1), 3, if(ISBLANK('2025'!$Q21), 0, 1), 4, if(ISBLANK('2025'!$R21), 0, 1), 5, if(ISBLANK('2025'!$S21), 0, 1), 6, if(ISBLANK('2025'!$T21), 0, 1), 7, 0))), 1, "")</f>
        <v/>
      </c>
      <c r="AM21" s="1" t="str">
        <f>IF(AND(AND(AND(AM$4&gt;='2025'!$L21,AM$4&lt;='2025'!$M21), AM$4&lt;&gt;DATE(2025,7,4)), (SWITCH(weekday(AM$4), 1, 0, 2, if(ISBLANK('2025'!$P21), 0, 1), 3, if(ISBLANK('2025'!$Q21), 0, 1), 4, if(ISBLANK('2025'!$R21), 0, 1), 5, if(ISBLANK('2025'!$S21), 0, 1), 6, if(ISBLANK('2025'!$T21), 0, 1), 7, 0))), 1, "")</f>
        <v/>
      </c>
      <c r="AN21" s="1" t="str">
        <f>IF(AND(AND(AND(AN$4&gt;='2025'!$L21,AN$4&lt;='2025'!$M21), AN$4&lt;&gt;DATE(2025,7,4)), (SWITCH(weekday(AN$4), 1, 0, 2, if(ISBLANK('2025'!$P21), 0, 1), 3, if(ISBLANK('2025'!$Q21), 0, 1), 4, if(ISBLANK('2025'!$R21), 0, 1), 5, if(ISBLANK('2025'!$S21), 0, 1), 6, if(ISBLANK('2025'!$T21), 0, 1), 7, 0))), 1, "")</f>
        <v/>
      </c>
      <c r="AO21" s="1" t="str">
        <f>IF(AND(AND(AND(AO$4&gt;='2025'!$L21,AO$4&lt;='2025'!$M21), AO$4&lt;&gt;DATE(2025,7,4)), (SWITCH(weekday(AO$4), 1, 0, 2, if(ISBLANK('2025'!$P21), 0, 1), 3, if(ISBLANK('2025'!$Q21), 0, 1), 4, if(ISBLANK('2025'!$R21), 0, 1), 5, if(ISBLANK('2025'!$S21), 0, 1), 6, if(ISBLANK('2025'!$T21), 0, 1), 7, 0))), 1, "")</f>
        <v/>
      </c>
      <c r="AP21" s="1" t="str">
        <f>IF(AND(AND(AND(AP$4&gt;='2025'!$L21,AP$4&lt;='2025'!$M21), AP$4&lt;&gt;DATE(2025,7,4)), (SWITCH(weekday(AP$4), 1, 0, 2, if(ISBLANK('2025'!$P21), 0, 1), 3, if(ISBLANK('2025'!$Q21), 0, 1), 4, if(ISBLANK('2025'!$R21), 0, 1), 5, if(ISBLANK('2025'!$S21), 0, 1), 6, if(ISBLANK('2025'!$T21), 0, 1), 7, 0))), 1, "")</f>
        <v/>
      </c>
      <c r="AQ21" s="1" t="str">
        <f>IF(AND(AND(AND(AQ$4&gt;='2025'!$L21,AQ$4&lt;='2025'!$M21), AQ$4&lt;&gt;DATE(2025,7,4)), (SWITCH(weekday(AQ$4), 1, 0, 2, if(ISBLANK('2025'!$P21), 0, 1), 3, if(ISBLANK('2025'!$Q21), 0, 1), 4, if(ISBLANK('2025'!$R21), 0, 1), 5, if(ISBLANK('2025'!$S21), 0, 1), 6, if(ISBLANK('2025'!$T21), 0, 1), 7, 0))), 1, "")</f>
        <v/>
      </c>
      <c r="AR21" s="1" t="str">
        <f>IF(AND(AND(AND(AR$4&gt;='2025'!$L21,AR$4&lt;='2025'!$M21), AR$4&lt;&gt;DATE(2025,7,4)), (SWITCH(weekday(AR$4), 1, 0, 2, if(ISBLANK('2025'!$P21), 0, 1), 3, if(ISBLANK('2025'!$Q21), 0, 1), 4, if(ISBLANK('2025'!$R21), 0, 1), 5, if(ISBLANK('2025'!$S21), 0, 1), 6, if(ISBLANK('2025'!$T21), 0, 1), 7, 0))), 1, "")</f>
        <v/>
      </c>
      <c r="AS21" s="1" t="str">
        <f>IF(AND(AND(AND(AS$4&gt;='2025'!$L21,AS$4&lt;='2025'!$M21), AS$4&lt;&gt;DATE(2025,7,4)), (SWITCH(weekday(AS$4), 1, 0, 2, if(ISBLANK('2025'!$P21), 0, 1), 3, if(ISBLANK('2025'!$Q21), 0, 1), 4, if(ISBLANK('2025'!$R21), 0, 1), 5, if(ISBLANK('2025'!$S21), 0, 1), 6, if(ISBLANK('2025'!$T21), 0, 1), 7, 0))), 1, "")</f>
        <v/>
      </c>
      <c r="AT21" s="1" t="str">
        <f>IF(AND(AND(AND(AT$4&gt;='2025'!$L21,AT$4&lt;='2025'!$M21), AT$4&lt;&gt;DATE(2025,7,4)), (SWITCH(weekday(AT$4), 1, 0, 2, if(ISBLANK('2025'!$P21), 0, 1), 3, if(ISBLANK('2025'!$Q21), 0, 1), 4, if(ISBLANK('2025'!$R21), 0, 1), 5, if(ISBLANK('2025'!$S21), 0, 1), 6, if(ISBLANK('2025'!$T21), 0, 1), 7, 0))), 1, "")</f>
        <v/>
      </c>
      <c r="AU21" s="1" t="str">
        <f>IF(AND(AND(AND(AU$4&gt;='2025'!$L21,AU$4&lt;='2025'!$M21), AU$4&lt;&gt;DATE(2025,7,4)), (SWITCH(weekday(AU$4), 1, 0, 2, if(ISBLANK('2025'!$P21), 0, 1), 3, if(ISBLANK('2025'!$Q21), 0, 1), 4, if(ISBLANK('2025'!$R21), 0, 1), 5, if(ISBLANK('2025'!$S21), 0, 1), 6, if(ISBLANK('2025'!$T21), 0, 1), 7, 0))), 1, "")</f>
        <v/>
      </c>
      <c r="AV21" s="1" t="str">
        <f>IF(AND(AND(AND(AV$4&gt;='2025'!$L21,AV$4&lt;='2025'!$M21), AV$4&lt;&gt;DATE(2025,7,4)), (SWITCH(weekday(AV$4), 1, 0, 2, if(ISBLANK('2025'!$P21), 0, 1), 3, if(ISBLANK('2025'!$Q21), 0, 1), 4, if(ISBLANK('2025'!$R21), 0, 1), 5, if(ISBLANK('2025'!$S21), 0, 1), 6, if(ISBLANK('2025'!$T21), 0, 1), 7, 0))), 1, "")</f>
        <v/>
      </c>
      <c r="AW21" s="1" t="str">
        <f>IF(AND(AND(AND(AW$4&gt;='2025'!$L21,AW$4&lt;='2025'!$M21), AW$4&lt;&gt;DATE(2025,7,4)), (SWITCH(weekday(AW$4), 1, 0, 2, if(ISBLANK('2025'!$P21), 0, 1), 3, if(ISBLANK('2025'!$Q21), 0, 1), 4, if(ISBLANK('2025'!$R21), 0, 1), 5, if(ISBLANK('2025'!$S21), 0, 1), 6, if(ISBLANK('2025'!$T21), 0, 1), 7, 0))), 1, "")</f>
        <v/>
      </c>
      <c r="AX21" s="1" t="str">
        <f>IF(AND(AND(AND(AX$4&gt;='2025'!$L21,AX$4&lt;='2025'!$M21), AX$4&lt;&gt;DATE(2025,7,4)), (SWITCH(weekday(AX$4), 1, 0, 2, if(ISBLANK('2025'!$P21), 0, 1), 3, if(ISBLANK('2025'!$Q21), 0, 1), 4, if(ISBLANK('2025'!$R21), 0, 1), 5, if(ISBLANK('2025'!$S21), 0, 1), 6, if(ISBLANK('2025'!$T21), 0, 1), 7, 0))), 1, "")</f>
        <v/>
      </c>
      <c r="AY21" s="1" t="str">
        <f>IF(AND(AND(AND(AY$4&gt;='2025'!$L21,AY$4&lt;='2025'!$M21), AY$4&lt;&gt;DATE(2025,7,4)), (SWITCH(weekday(AY$4), 1, 0, 2, if(ISBLANK('2025'!$P21), 0, 1), 3, if(ISBLANK('2025'!$Q21), 0, 1), 4, if(ISBLANK('2025'!$R21), 0, 1), 5, if(ISBLANK('2025'!$S21), 0, 1), 6, if(ISBLANK('2025'!$T21), 0, 1), 7, 0))), 1, "")</f>
        <v/>
      </c>
      <c r="AZ21" s="1" t="str">
        <f>IF(AND(AND(AND(AZ$4&gt;='2025'!$L21,AZ$4&lt;='2025'!$M21), AZ$4&lt;&gt;DATE(2025,7,4)), (SWITCH(weekday(AZ$4), 1, 0, 2, if(ISBLANK('2025'!$P21), 0, 1), 3, if(ISBLANK('2025'!$Q21), 0, 1), 4, if(ISBLANK('2025'!$R21), 0, 1), 5, if(ISBLANK('2025'!$S21), 0, 1), 6, if(ISBLANK('2025'!$T21), 0, 1), 7, 0))), 1, "")</f>
        <v/>
      </c>
      <c r="BA21" s="1" t="str">
        <f>IF(AND(AND(AND(BA$4&gt;='2025'!$L21,BA$4&lt;='2025'!$M21), BA$4&lt;&gt;DATE(2025,7,4)), (SWITCH(weekday(BA$4), 1, 0, 2, if(ISBLANK('2025'!$P21), 0, 1), 3, if(ISBLANK('2025'!$Q21), 0, 1), 4, if(ISBLANK('2025'!$R21), 0, 1), 5, if(ISBLANK('2025'!$S21), 0, 1), 6, if(ISBLANK('2025'!$T21), 0, 1), 7, 0))), 1, "")</f>
        <v/>
      </c>
      <c r="BB21" s="1" t="str">
        <f>IF(AND(AND(AND(BB$4&gt;='2025'!$L21,BB$4&lt;='2025'!$M21), BB$4&lt;&gt;DATE(2025,7,4)), (SWITCH(weekday(BB$4), 1, 0, 2, if(ISBLANK('2025'!$P21), 0, 1), 3, if(ISBLANK('2025'!$Q21), 0, 1), 4, if(ISBLANK('2025'!$R21), 0, 1), 5, if(ISBLANK('2025'!$S21), 0, 1), 6, if(ISBLANK('2025'!$T21), 0, 1), 7, 0))), 1, "")</f>
        <v/>
      </c>
      <c r="BC21" s="1" t="str">
        <f>IF(AND(AND(AND(BC$4&gt;='2025'!$L21,BC$4&lt;='2025'!$M21), BC$4&lt;&gt;DATE(2025,7,4)), (SWITCH(weekday(BC$4), 1, 0, 2, if(ISBLANK('2025'!$P21), 0, 1), 3, if(ISBLANK('2025'!$Q21), 0, 1), 4, if(ISBLANK('2025'!$R21), 0, 1), 5, if(ISBLANK('2025'!$S21), 0, 1), 6, if(ISBLANK('2025'!$T21), 0, 1), 7, 0))), 1, "")</f>
        <v/>
      </c>
      <c r="BD21" s="1" t="str">
        <f>IF(AND(AND(AND(BD$4&gt;='2025'!$L21,BD$4&lt;='2025'!$M21), BD$4&lt;&gt;DATE(2025,7,4)), (SWITCH(weekday(BD$4), 1, 0, 2, if(ISBLANK('2025'!$P21), 0, 1), 3, if(ISBLANK('2025'!$Q21), 0, 1), 4, if(ISBLANK('2025'!$R21), 0, 1), 5, if(ISBLANK('2025'!$S21), 0, 1), 6, if(ISBLANK('2025'!$T21), 0, 1), 7, 0))), 1, "")</f>
        <v/>
      </c>
      <c r="BE21" s="1" t="str">
        <f>IF(AND(AND(AND(BE$4&gt;='2025'!$L21,BE$4&lt;='2025'!$M21), BE$4&lt;&gt;DATE(2025,7,4)), (SWITCH(weekday(BE$4), 1, 0, 2, if(ISBLANK('2025'!$P21), 0, 1), 3, if(ISBLANK('2025'!$Q21), 0, 1), 4, if(ISBLANK('2025'!$R21), 0, 1), 5, if(ISBLANK('2025'!$S21), 0, 1), 6, if(ISBLANK('2025'!$T21), 0, 1), 7, 0))), 1, "")</f>
        <v/>
      </c>
      <c r="BF21" s="1" t="str">
        <f>IF(AND(AND(AND(BF$4&gt;='2025'!$L21,BF$4&lt;='2025'!$M21), BF$4&lt;&gt;DATE(2025,7,4)), (SWITCH(weekday(BF$4), 1, 0, 2, if(ISBLANK('2025'!$P21), 0, 1), 3, if(ISBLANK('2025'!$Q21), 0, 1), 4, if(ISBLANK('2025'!$R21), 0, 1), 5, if(ISBLANK('2025'!$S21), 0, 1), 6, if(ISBLANK('2025'!$T21), 0, 1), 7, 0))), 1, "")</f>
        <v/>
      </c>
      <c r="BG21" s="1"/>
      <c r="BH21" s="1"/>
      <c r="BI21" s="1"/>
      <c r="BJ21" s="1"/>
      <c r="BK21" s="1"/>
      <c r="BL21" s="1"/>
    </row>
    <row r="22">
      <c r="A22" s="1">
        <f t="shared" si="3"/>
        <v>22</v>
      </c>
      <c r="B22" s="1" t="str">
        <f>'2025'!D22</f>
        <v>Vonbuttgerett, Amelia</v>
      </c>
      <c r="C22" s="1" t="str">
        <f>'2025'!H22</f>
        <v>Infant</v>
      </c>
      <c r="D22" s="1" t="str">
        <f>IF(AND(AND(AND(D$4&gt;='2025'!$L22,D$4&lt;='2025'!$M22), D$4&lt;&gt;DATE(2025,7,4)), (SWITCH(weekday(D$4), 1, 0, 2, if(ISBLANK('2025'!$P22), 0, 1), 3, if(ISBLANK('2025'!$Q22), 0, 1), 4, if(ISBLANK('2025'!$R22), 0, 1), 5, if(ISBLANK('2025'!$S22), 0, 1), 6, if(ISBLANK('2025'!$T22), 0, 1), 7, 0))), 1, "")</f>
        <v/>
      </c>
      <c r="E22" s="1" t="str">
        <f>IF(AND(AND(AND(E$4&gt;='2025'!$L22,E$4&lt;='2025'!$M22), E$4&lt;&gt;DATE(2025,7,4)), (SWITCH(weekday(E$4), 1, 0, 2, if(ISBLANK('2025'!$P22), 0, 1), 3, if(ISBLANK('2025'!$Q22), 0, 1), 4, if(ISBLANK('2025'!$R22), 0, 1), 5, if(ISBLANK('2025'!$S22), 0, 1), 6, if(ISBLANK('2025'!$T22), 0, 1), 7, 0))), 1, "")</f>
        <v/>
      </c>
      <c r="F22" s="1" t="str">
        <f>IF(AND(AND(AND(F$4&gt;='2025'!$L22,F$4&lt;='2025'!$M22), F$4&lt;&gt;DATE(2025,7,4)), (SWITCH(weekday(F$4), 1, 0, 2, if(ISBLANK('2025'!$P22), 0, 1), 3, if(ISBLANK('2025'!$Q22), 0, 1), 4, if(ISBLANK('2025'!$R22), 0, 1), 5, if(ISBLANK('2025'!$S22), 0, 1), 6, if(ISBLANK('2025'!$T22), 0, 1), 7, 0))), 1, "")</f>
        <v/>
      </c>
      <c r="G22" s="1" t="str">
        <f>IF(AND(AND(AND(G$4&gt;='2025'!$L22,G$4&lt;='2025'!$M22), G$4&lt;&gt;DATE(2025,7,4)), (SWITCH(weekday(G$4), 1, 0, 2, if(ISBLANK('2025'!$P22), 0, 1), 3, if(ISBLANK('2025'!$Q22), 0, 1), 4, if(ISBLANK('2025'!$R22), 0, 1), 5, if(ISBLANK('2025'!$S22), 0, 1), 6, if(ISBLANK('2025'!$T22), 0, 1), 7, 0))), 1, "")</f>
        <v/>
      </c>
      <c r="H22" s="1" t="str">
        <f>IF(AND(AND(AND(H$4&gt;='2025'!$L22,H$4&lt;='2025'!$M22), H$4&lt;&gt;DATE(2025,7,4)), (SWITCH(weekday(H$4), 1, 0, 2, if(ISBLANK('2025'!$P22), 0, 1), 3, if(ISBLANK('2025'!$Q22), 0, 1), 4, if(ISBLANK('2025'!$R22), 0, 1), 5, if(ISBLANK('2025'!$S22), 0, 1), 6, if(ISBLANK('2025'!$T22), 0, 1), 7, 0))), 1, "")</f>
        <v/>
      </c>
      <c r="I22" s="1" t="str">
        <f>IF(AND(AND(AND(I$4&gt;='2025'!$L22,I$4&lt;='2025'!$M22), I$4&lt;&gt;DATE(2025,7,4)), (SWITCH(weekday(I$4), 1, 0, 2, if(ISBLANK('2025'!$P22), 0, 1), 3, if(ISBLANK('2025'!$Q22), 0, 1), 4, if(ISBLANK('2025'!$R22), 0, 1), 5, if(ISBLANK('2025'!$S22), 0, 1), 6, if(ISBLANK('2025'!$T22), 0, 1), 7, 0))), 1, "")</f>
        <v/>
      </c>
      <c r="J22" s="1" t="str">
        <f>IF(AND(AND(AND(J$4&gt;='2025'!$L22,J$4&lt;='2025'!$M22), J$4&lt;&gt;DATE(2025,7,4)), (SWITCH(weekday(J$4), 1, 0, 2, if(ISBLANK('2025'!$P22), 0, 1), 3, if(ISBLANK('2025'!$Q22), 0, 1), 4, if(ISBLANK('2025'!$R22), 0, 1), 5, if(ISBLANK('2025'!$S22), 0, 1), 6, if(ISBLANK('2025'!$T22), 0, 1), 7, 0))), 1, "")</f>
        <v/>
      </c>
      <c r="K22" s="1" t="str">
        <f>IF(AND(AND(AND(K$4&gt;='2025'!$L22,K$4&lt;='2025'!$M22), K$4&lt;&gt;DATE(2025,7,4)), (SWITCH(weekday(K$4), 1, 0, 2, if(ISBLANK('2025'!$P22), 0, 1), 3, if(ISBLANK('2025'!$Q22), 0, 1), 4, if(ISBLANK('2025'!$R22), 0, 1), 5, if(ISBLANK('2025'!$S22), 0, 1), 6, if(ISBLANK('2025'!$T22), 0, 1), 7, 0))), 1, "")</f>
        <v/>
      </c>
      <c r="L22" s="1" t="str">
        <f>IF(AND(AND(AND(L$4&gt;='2025'!$L22,L$4&lt;='2025'!$M22), L$4&lt;&gt;DATE(2025,7,4)), (SWITCH(weekday(L$4), 1, 0, 2, if(ISBLANK('2025'!$P22), 0, 1), 3, if(ISBLANK('2025'!$Q22), 0, 1), 4, if(ISBLANK('2025'!$R22), 0, 1), 5, if(ISBLANK('2025'!$S22), 0, 1), 6, if(ISBLANK('2025'!$T22), 0, 1), 7, 0))), 1, "")</f>
        <v/>
      </c>
      <c r="M22" s="1" t="str">
        <f>IF(AND(AND(AND(M$4&gt;='2025'!$L22,M$4&lt;='2025'!$M22), M$4&lt;&gt;DATE(2025,7,4)), (SWITCH(weekday(M$4), 1, 0, 2, if(ISBLANK('2025'!$P22), 0, 1), 3, if(ISBLANK('2025'!$Q22), 0, 1), 4, if(ISBLANK('2025'!$R22), 0, 1), 5, if(ISBLANK('2025'!$S22), 0, 1), 6, if(ISBLANK('2025'!$T22), 0, 1), 7, 0))), 1, "")</f>
        <v/>
      </c>
      <c r="N22" s="1" t="str">
        <f>IF(AND(AND(AND(N$4&gt;='2025'!$L22,N$4&lt;='2025'!$M22), N$4&lt;&gt;DATE(2025,7,4)), (SWITCH(weekday(N$4), 1, 0, 2, if(ISBLANK('2025'!$P22), 0, 1), 3, if(ISBLANK('2025'!$Q22), 0, 1), 4, if(ISBLANK('2025'!$R22), 0, 1), 5, if(ISBLANK('2025'!$S22), 0, 1), 6, if(ISBLANK('2025'!$T22), 0, 1), 7, 0))), 1, "")</f>
        <v/>
      </c>
      <c r="O22" s="1" t="str">
        <f>IF(AND(AND(AND(O$4&gt;='2025'!$L22,O$4&lt;='2025'!$M22), O$4&lt;&gt;DATE(2025,7,4)), (SWITCH(weekday(O$4), 1, 0, 2, if(ISBLANK('2025'!$P22), 0, 1), 3, if(ISBLANK('2025'!$Q22), 0, 1), 4, if(ISBLANK('2025'!$R22), 0, 1), 5, if(ISBLANK('2025'!$S22), 0, 1), 6, if(ISBLANK('2025'!$T22), 0, 1), 7, 0))), 1, "")</f>
        <v/>
      </c>
      <c r="P22" s="1" t="str">
        <f>IF(AND(AND(AND(P$4&gt;='2025'!$L22,P$4&lt;='2025'!$M22), P$4&lt;&gt;DATE(2025,7,4)), (SWITCH(weekday(P$4), 1, 0, 2, if(ISBLANK('2025'!$P22), 0, 1), 3, if(ISBLANK('2025'!$Q22), 0, 1), 4, if(ISBLANK('2025'!$R22), 0, 1), 5, if(ISBLANK('2025'!$S22), 0, 1), 6, if(ISBLANK('2025'!$T22), 0, 1), 7, 0))), 1, "")</f>
        <v/>
      </c>
      <c r="Q22" s="1" t="str">
        <f>IF(AND(AND(AND(Q$4&gt;='2025'!$L22,Q$4&lt;='2025'!$M22), Q$4&lt;&gt;DATE(2025,7,4)), (SWITCH(weekday(Q$4), 1, 0, 2, if(ISBLANK('2025'!$P22), 0, 1), 3, if(ISBLANK('2025'!$Q22), 0, 1), 4, if(ISBLANK('2025'!$R22), 0, 1), 5, if(ISBLANK('2025'!$S22), 0, 1), 6, if(ISBLANK('2025'!$T22), 0, 1), 7, 0))), 1, "")</f>
        <v/>
      </c>
      <c r="R22" s="1" t="str">
        <f>IF(AND(AND(AND(R$4&gt;='2025'!$L22,R$4&lt;='2025'!$M22), R$4&lt;&gt;DATE(2025,7,4)), (SWITCH(weekday(R$4), 1, 0, 2, if(ISBLANK('2025'!$P22), 0, 1), 3, if(ISBLANK('2025'!$Q22), 0, 1), 4, if(ISBLANK('2025'!$R22), 0, 1), 5, if(ISBLANK('2025'!$S22), 0, 1), 6, if(ISBLANK('2025'!$T22), 0, 1), 7, 0))), 1, "")</f>
        <v/>
      </c>
      <c r="S22" s="1" t="str">
        <f>IF(AND(AND(AND(S$4&gt;='2025'!$L22,S$4&lt;='2025'!$M22), S$4&lt;&gt;DATE(2025,7,4)), (SWITCH(weekday(S$4), 1, 0, 2, if(ISBLANK('2025'!$P22), 0, 1), 3, if(ISBLANK('2025'!$Q22), 0, 1), 4, if(ISBLANK('2025'!$R22), 0, 1), 5, if(ISBLANK('2025'!$S22), 0, 1), 6, if(ISBLANK('2025'!$T22), 0, 1), 7, 0))), 1, "")</f>
        <v/>
      </c>
      <c r="T22" s="1" t="str">
        <f>IF(AND(AND(AND(T$4&gt;='2025'!$L22,T$4&lt;='2025'!$M22), T$4&lt;&gt;DATE(2025,7,4)), (SWITCH(weekday(T$4), 1, 0, 2, if(ISBLANK('2025'!$P22), 0, 1), 3, if(ISBLANK('2025'!$Q22), 0, 1), 4, if(ISBLANK('2025'!$R22), 0, 1), 5, if(ISBLANK('2025'!$S22), 0, 1), 6, if(ISBLANK('2025'!$T22), 0, 1), 7, 0))), 1, "")</f>
        <v/>
      </c>
      <c r="U22" s="1" t="str">
        <f>IF(AND(AND(AND(U$4&gt;='2025'!$L22,U$4&lt;='2025'!$M22), U$4&lt;&gt;DATE(2025,7,4)), (SWITCH(weekday(U$4), 1, 0, 2, if(ISBLANK('2025'!$P22), 0, 1), 3, if(ISBLANK('2025'!$Q22), 0, 1), 4, if(ISBLANK('2025'!$R22), 0, 1), 5, if(ISBLANK('2025'!$S22), 0, 1), 6, if(ISBLANK('2025'!$T22), 0, 1), 7, 0))), 1, "")</f>
        <v/>
      </c>
      <c r="V22" s="1" t="str">
        <f>IF(AND(AND(AND(V$4&gt;='2025'!$L22,V$4&lt;='2025'!$M22), V$4&lt;&gt;DATE(2025,7,4)), (SWITCH(weekday(V$4), 1, 0, 2, if(ISBLANK('2025'!$P22), 0, 1), 3, if(ISBLANK('2025'!$Q22), 0, 1), 4, if(ISBLANK('2025'!$R22), 0, 1), 5, if(ISBLANK('2025'!$S22), 0, 1), 6, if(ISBLANK('2025'!$T22), 0, 1), 7, 0))), 1, "")</f>
        <v/>
      </c>
      <c r="W22" s="1" t="str">
        <f>IF(AND(AND(AND(W$4&gt;='2025'!$L22,W$4&lt;='2025'!$M22), W$4&lt;&gt;DATE(2025,7,4)), (SWITCH(weekday(W$4), 1, 0, 2, if(ISBLANK('2025'!$P22), 0, 1), 3, if(ISBLANK('2025'!$Q22), 0, 1), 4, if(ISBLANK('2025'!$R22), 0, 1), 5, if(ISBLANK('2025'!$S22), 0, 1), 6, if(ISBLANK('2025'!$T22), 0, 1), 7, 0))), 1, "")</f>
        <v/>
      </c>
      <c r="X22" s="1" t="str">
        <f>IF(AND(AND(AND(X$4&gt;='2025'!$L22,X$4&lt;='2025'!$M22), X$4&lt;&gt;DATE(2025,7,4)), (SWITCH(weekday(X$4), 1, 0, 2, if(ISBLANK('2025'!$P22), 0, 1), 3, if(ISBLANK('2025'!$Q22), 0, 1), 4, if(ISBLANK('2025'!$R22), 0, 1), 5, if(ISBLANK('2025'!$S22), 0, 1), 6, if(ISBLANK('2025'!$T22), 0, 1), 7, 0))), 1, "")</f>
        <v/>
      </c>
      <c r="Y22" s="1" t="str">
        <f>IF(AND(AND(AND(Y$4&gt;='2025'!$L22,Y$4&lt;='2025'!$M22), Y$4&lt;&gt;DATE(2025,7,4)), (SWITCH(weekday(Y$4), 1, 0, 2, if(ISBLANK('2025'!$P22), 0, 1), 3, if(ISBLANK('2025'!$Q22), 0, 1), 4, if(ISBLANK('2025'!$R22), 0, 1), 5, if(ISBLANK('2025'!$S22), 0, 1), 6, if(ISBLANK('2025'!$T22), 0, 1), 7, 0))), 1, "")</f>
        <v/>
      </c>
      <c r="Z22" s="1" t="str">
        <f>IF(AND(AND(AND(Z$4&gt;='2025'!$L22,Z$4&lt;='2025'!$M22), Z$4&lt;&gt;DATE(2025,7,4)), (SWITCH(weekday(Z$4), 1, 0, 2, if(ISBLANK('2025'!$P22), 0, 1), 3, if(ISBLANK('2025'!$Q22), 0, 1), 4, if(ISBLANK('2025'!$R22), 0, 1), 5, if(ISBLANK('2025'!$S22), 0, 1), 6, if(ISBLANK('2025'!$T22), 0, 1), 7, 0))), 1, "")</f>
        <v/>
      </c>
      <c r="AA22" s="1" t="str">
        <f>IF(AND(AND(AND(AA$4&gt;='2025'!$L22,AA$4&lt;='2025'!$M22), AA$4&lt;&gt;DATE(2025,7,4)), (SWITCH(weekday(AA$4), 1, 0, 2, if(ISBLANK('2025'!$P22), 0, 1), 3, if(ISBLANK('2025'!$Q22), 0, 1), 4, if(ISBLANK('2025'!$R22), 0, 1), 5, if(ISBLANK('2025'!$S22), 0, 1), 6, if(ISBLANK('2025'!$T22), 0, 1), 7, 0))), 1, "")</f>
        <v/>
      </c>
      <c r="AB22" s="1" t="str">
        <f>IF(AND(AND(AND(AB$4&gt;='2025'!$L22,AB$4&lt;='2025'!$M22), AB$4&lt;&gt;DATE(2025,7,4)), (SWITCH(weekday(AB$4), 1, 0, 2, if(ISBLANK('2025'!$P22), 0, 1), 3, if(ISBLANK('2025'!$Q22), 0, 1), 4, if(ISBLANK('2025'!$R22), 0, 1), 5, if(ISBLANK('2025'!$S22), 0, 1), 6, if(ISBLANK('2025'!$T22), 0, 1), 7, 0))), 1, "")</f>
        <v/>
      </c>
      <c r="AC22" s="1" t="str">
        <f>IF(AND(AND(AND(AC$4&gt;='2025'!$L22,AC$4&lt;='2025'!$M22), AC$4&lt;&gt;DATE(2025,7,4)), (SWITCH(weekday(AC$4), 1, 0, 2, if(ISBLANK('2025'!$P22), 0, 1), 3, if(ISBLANK('2025'!$Q22), 0, 1), 4, if(ISBLANK('2025'!$R22), 0, 1), 5, if(ISBLANK('2025'!$S22), 0, 1), 6, if(ISBLANK('2025'!$T22), 0, 1), 7, 0))), 1, "")</f>
        <v/>
      </c>
      <c r="AD22" s="1" t="str">
        <f>IF(AND(AND(AND(AD$4&gt;='2025'!$L22,AD$4&lt;='2025'!$M22), AD$4&lt;&gt;DATE(2025,7,4)), (SWITCH(weekday(AD$4), 1, 0, 2, if(ISBLANK('2025'!$P22), 0, 1), 3, if(ISBLANK('2025'!$Q22), 0, 1), 4, if(ISBLANK('2025'!$R22), 0, 1), 5, if(ISBLANK('2025'!$S22), 0, 1), 6, if(ISBLANK('2025'!$T22), 0, 1), 7, 0))), 1, "")</f>
        <v/>
      </c>
      <c r="AE22" s="1" t="str">
        <f>IF(AND(AND(AND(AE$4&gt;='2025'!$L22,AE$4&lt;='2025'!$M22), AE$4&lt;&gt;DATE(2025,7,4)), (SWITCH(weekday(AE$4), 1, 0, 2, if(ISBLANK('2025'!$P22), 0, 1), 3, if(ISBLANK('2025'!$Q22), 0, 1), 4, if(ISBLANK('2025'!$R22), 0, 1), 5, if(ISBLANK('2025'!$S22), 0, 1), 6, if(ISBLANK('2025'!$T22), 0, 1), 7, 0))), 1, "")</f>
        <v/>
      </c>
      <c r="AF22" s="1" t="str">
        <f>IF(AND(AND(AND(AF$4&gt;='2025'!$L22,AF$4&lt;='2025'!$M22), AF$4&lt;&gt;DATE(2025,7,4)), (SWITCH(weekday(AF$4), 1, 0, 2, if(ISBLANK('2025'!$P22), 0, 1), 3, if(ISBLANK('2025'!$Q22), 0, 1), 4, if(ISBLANK('2025'!$R22), 0, 1), 5, if(ISBLANK('2025'!$S22), 0, 1), 6, if(ISBLANK('2025'!$T22), 0, 1), 7, 0))), 1, "")</f>
        <v/>
      </c>
      <c r="AG22" s="1" t="str">
        <f>IF(AND(AND(AND(AG$4&gt;='2025'!$L22,AG$4&lt;='2025'!$M22), AG$4&lt;&gt;DATE(2025,7,4)), (SWITCH(weekday(AG$4), 1, 0, 2, if(ISBLANK('2025'!$P22), 0, 1), 3, if(ISBLANK('2025'!$Q22), 0, 1), 4, if(ISBLANK('2025'!$R22), 0, 1), 5, if(ISBLANK('2025'!$S22), 0, 1), 6, if(ISBLANK('2025'!$T22), 0, 1), 7, 0))), 1, "")</f>
        <v/>
      </c>
      <c r="AH22" s="1" t="str">
        <f>IF(AND(AND(AND(AH$4&gt;='2025'!$L22,AH$4&lt;='2025'!$M22), AH$4&lt;&gt;DATE(2025,7,4)), (SWITCH(weekday(AH$4), 1, 0, 2, if(ISBLANK('2025'!$P22), 0, 1), 3, if(ISBLANK('2025'!$Q22), 0, 1), 4, if(ISBLANK('2025'!$R22), 0, 1), 5, if(ISBLANK('2025'!$S22), 0, 1), 6, if(ISBLANK('2025'!$T22), 0, 1), 7, 0))), 1, "")</f>
        <v/>
      </c>
      <c r="AI22" s="1" t="str">
        <f>IF(AND(AND(AND(AI$4&gt;='2025'!$L22,AI$4&lt;='2025'!$M22), AI$4&lt;&gt;DATE(2025,7,4)), (SWITCH(weekday(AI$4), 1, 0, 2, if(ISBLANK('2025'!$P22), 0, 1), 3, if(ISBLANK('2025'!$Q22), 0, 1), 4, if(ISBLANK('2025'!$R22), 0, 1), 5, if(ISBLANK('2025'!$S22), 0, 1), 6, if(ISBLANK('2025'!$T22), 0, 1), 7, 0))), 1, "")</f>
        <v/>
      </c>
      <c r="AJ22" s="1" t="str">
        <f>IF(AND(AND(AND(AJ$4&gt;='2025'!$L22,AJ$4&lt;='2025'!$M22), AJ$4&lt;&gt;DATE(2025,7,4)), (SWITCH(weekday(AJ$4), 1, 0, 2, if(ISBLANK('2025'!$P22), 0, 1), 3, if(ISBLANK('2025'!$Q22), 0, 1), 4, if(ISBLANK('2025'!$R22), 0, 1), 5, if(ISBLANK('2025'!$S22), 0, 1), 6, if(ISBLANK('2025'!$T22), 0, 1), 7, 0))), 1, "")</f>
        <v/>
      </c>
      <c r="AK22" s="1" t="str">
        <f>IF(AND(AND(AND(AK$4&gt;='2025'!$L22,AK$4&lt;='2025'!$M22), AK$4&lt;&gt;DATE(2025,7,4)), (SWITCH(weekday(AK$4), 1, 0, 2, if(ISBLANK('2025'!$P22), 0, 1), 3, if(ISBLANK('2025'!$Q22), 0, 1), 4, if(ISBLANK('2025'!$R22), 0, 1), 5, if(ISBLANK('2025'!$S22), 0, 1), 6, if(ISBLANK('2025'!$T22), 0, 1), 7, 0))), 1, "")</f>
        <v/>
      </c>
      <c r="AL22" s="1" t="str">
        <f>IF(AND(AND(AND(AL$4&gt;='2025'!$L22,AL$4&lt;='2025'!$M22), AL$4&lt;&gt;DATE(2025,7,4)), (SWITCH(weekday(AL$4), 1, 0, 2, if(ISBLANK('2025'!$P22), 0, 1), 3, if(ISBLANK('2025'!$Q22), 0, 1), 4, if(ISBLANK('2025'!$R22), 0, 1), 5, if(ISBLANK('2025'!$S22), 0, 1), 6, if(ISBLANK('2025'!$T22), 0, 1), 7, 0))), 1, "")</f>
        <v/>
      </c>
      <c r="AM22" s="1" t="str">
        <f>IF(AND(AND(AND(AM$4&gt;='2025'!$L22,AM$4&lt;='2025'!$M22), AM$4&lt;&gt;DATE(2025,7,4)), (SWITCH(weekday(AM$4), 1, 0, 2, if(ISBLANK('2025'!$P22), 0, 1), 3, if(ISBLANK('2025'!$Q22), 0, 1), 4, if(ISBLANK('2025'!$R22), 0, 1), 5, if(ISBLANK('2025'!$S22), 0, 1), 6, if(ISBLANK('2025'!$T22), 0, 1), 7, 0))), 1, "")</f>
        <v/>
      </c>
      <c r="AN22" s="1" t="str">
        <f>IF(AND(AND(AND(AN$4&gt;='2025'!$L22,AN$4&lt;='2025'!$M22), AN$4&lt;&gt;DATE(2025,7,4)), (SWITCH(weekday(AN$4), 1, 0, 2, if(ISBLANK('2025'!$P22), 0, 1), 3, if(ISBLANK('2025'!$Q22), 0, 1), 4, if(ISBLANK('2025'!$R22), 0, 1), 5, if(ISBLANK('2025'!$S22), 0, 1), 6, if(ISBLANK('2025'!$T22), 0, 1), 7, 0))), 1, "")</f>
        <v/>
      </c>
      <c r="AO22" s="1" t="str">
        <f>IF(AND(AND(AND(AO$4&gt;='2025'!$L22,AO$4&lt;='2025'!$M22), AO$4&lt;&gt;DATE(2025,7,4)), (SWITCH(weekday(AO$4), 1, 0, 2, if(ISBLANK('2025'!$P22), 0, 1), 3, if(ISBLANK('2025'!$Q22), 0, 1), 4, if(ISBLANK('2025'!$R22), 0, 1), 5, if(ISBLANK('2025'!$S22), 0, 1), 6, if(ISBLANK('2025'!$T22), 0, 1), 7, 0))), 1, "")</f>
        <v/>
      </c>
      <c r="AP22" s="1" t="str">
        <f>IF(AND(AND(AND(AP$4&gt;='2025'!$L22,AP$4&lt;='2025'!$M22), AP$4&lt;&gt;DATE(2025,7,4)), (SWITCH(weekday(AP$4), 1, 0, 2, if(ISBLANK('2025'!$P22), 0, 1), 3, if(ISBLANK('2025'!$Q22), 0, 1), 4, if(ISBLANK('2025'!$R22), 0, 1), 5, if(ISBLANK('2025'!$S22), 0, 1), 6, if(ISBLANK('2025'!$T22), 0, 1), 7, 0))), 1, "")</f>
        <v/>
      </c>
      <c r="AQ22" s="1" t="str">
        <f>IF(AND(AND(AND(AQ$4&gt;='2025'!$L22,AQ$4&lt;='2025'!$M22), AQ$4&lt;&gt;DATE(2025,7,4)), (SWITCH(weekday(AQ$4), 1, 0, 2, if(ISBLANK('2025'!$P22), 0, 1), 3, if(ISBLANK('2025'!$Q22), 0, 1), 4, if(ISBLANK('2025'!$R22), 0, 1), 5, if(ISBLANK('2025'!$S22), 0, 1), 6, if(ISBLANK('2025'!$T22), 0, 1), 7, 0))), 1, "")</f>
        <v/>
      </c>
      <c r="AR22" s="1" t="str">
        <f>IF(AND(AND(AND(AR$4&gt;='2025'!$L22,AR$4&lt;='2025'!$M22), AR$4&lt;&gt;DATE(2025,7,4)), (SWITCH(weekday(AR$4), 1, 0, 2, if(ISBLANK('2025'!$P22), 0, 1), 3, if(ISBLANK('2025'!$Q22), 0, 1), 4, if(ISBLANK('2025'!$R22), 0, 1), 5, if(ISBLANK('2025'!$S22), 0, 1), 6, if(ISBLANK('2025'!$T22), 0, 1), 7, 0))), 1, "")</f>
        <v/>
      </c>
      <c r="AS22" s="1" t="str">
        <f>IF(AND(AND(AND(AS$4&gt;='2025'!$L22,AS$4&lt;='2025'!$M22), AS$4&lt;&gt;DATE(2025,7,4)), (SWITCH(weekday(AS$4), 1, 0, 2, if(ISBLANK('2025'!$P22), 0, 1), 3, if(ISBLANK('2025'!$Q22), 0, 1), 4, if(ISBLANK('2025'!$R22), 0, 1), 5, if(ISBLANK('2025'!$S22), 0, 1), 6, if(ISBLANK('2025'!$T22), 0, 1), 7, 0))), 1, "")</f>
        <v/>
      </c>
      <c r="AT22" s="1" t="str">
        <f>IF(AND(AND(AND(AT$4&gt;='2025'!$L22,AT$4&lt;='2025'!$M22), AT$4&lt;&gt;DATE(2025,7,4)), (SWITCH(weekday(AT$4), 1, 0, 2, if(ISBLANK('2025'!$P22), 0, 1), 3, if(ISBLANK('2025'!$Q22), 0, 1), 4, if(ISBLANK('2025'!$R22), 0, 1), 5, if(ISBLANK('2025'!$S22), 0, 1), 6, if(ISBLANK('2025'!$T22), 0, 1), 7, 0))), 1, "")</f>
        <v/>
      </c>
      <c r="AU22" s="1" t="str">
        <f>IF(AND(AND(AND(AU$4&gt;='2025'!$L22,AU$4&lt;='2025'!$M22), AU$4&lt;&gt;DATE(2025,7,4)), (SWITCH(weekday(AU$4), 1, 0, 2, if(ISBLANK('2025'!$P22), 0, 1), 3, if(ISBLANK('2025'!$Q22), 0, 1), 4, if(ISBLANK('2025'!$R22), 0, 1), 5, if(ISBLANK('2025'!$S22), 0, 1), 6, if(ISBLANK('2025'!$T22), 0, 1), 7, 0))), 1, "")</f>
        <v/>
      </c>
      <c r="AV22" s="1" t="str">
        <f>IF(AND(AND(AND(AV$4&gt;='2025'!$L22,AV$4&lt;='2025'!$M22), AV$4&lt;&gt;DATE(2025,7,4)), (SWITCH(weekday(AV$4), 1, 0, 2, if(ISBLANK('2025'!$P22), 0, 1), 3, if(ISBLANK('2025'!$Q22), 0, 1), 4, if(ISBLANK('2025'!$R22), 0, 1), 5, if(ISBLANK('2025'!$S22), 0, 1), 6, if(ISBLANK('2025'!$T22), 0, 1), 7, 0))), 1, "")</f>
        <v/>
      </c>
      <c r="AW22" s="1" t="str">
        <f>IF(AND(AND(AND(AW$4&gt;='2025'!$L22,AW$4&lt;='2025'!$M22), AW$4&lt;&gt;DATE(2025,7,4)), (SWITCH(weekday(AW$4), 1, 0, 2, if(ISBLANK('2025'!$P22), 0, 1), 3, if(ISBLANK('2025'!$Q22), 0, 1), 4, if(ISBLANK('2025'!$R22), 0, 1), 5, if(ISBLANK('2025'!$S22), 0, 1), 6, if(ISBLANK('2025'!$T22), 0, 1), 7, 0))), 1, "")</f>
        <v/>
      </c>
      <c r="AX22" s="1" t="str">
        <f>IF(AND(AND(AND(AX$4&gt;='2025'!$L22,AX$4&lt;='2025'!$M22), AX$4&lt;&gt;DATE(2025,7,4)), (SWITCH(weekday(AX$4), 1, 0, 2, if(ISBLANK('2025'!$P22), 0, 1), 3, if(ISBLANK('2025'!$Q22), 0, 1), 4, if(ISBLANK('2025'!$R22), 0, 1), 5, if(ISBLANK('2025'!$S22), 0, 1), 6, if(ISBLANK('2025'!$T22), 0, 1), 7, 0))), 1, "")</f>
        <v/>
      </c>
      <c r="AY22" s="1" t="str">
        <f>IF(AND(AND(AND(AY$4&gt;='2025'!$L22,AY$4&lt;='2025'!$M22), AY$4&lt;&gt;DATE(2025,7,4)), (SWITCH(weekday(AY$4), 1, 0, 2, if(ISBLANK('2025'!$P22), 0, 1), 3, if(ISBLANK('2025'!$Q22), 0, 1), 4, if(ISBLANK('2025'!$R22), 0, 1), 5, if(ISBLANK('2025'!$S22), 0, 1), 6, if(ISBLANK('2025'!$T22), 0, 1), 7, 0))), 1, "")</f>
        <v/>
      </c>
      <c r="AZ22" s="1" t="str">
        <f>IF(AND(AND(AND(AZ$4&gt;='2025'!$L22,AZ$4&lt;='2025'!$M22), AZ$4&lt;&gt;DATE(2025,7,4)), (SWITCH(weekday(AZ$4), 1, 0, 2, if(ISBLANK('2025'!$P22), 0, 1), 3, if(ISBLANK('2025'!$Q22), 0, 1), 4, if(ISBLANK('2025'!$R22), 0, 1), 5, if(ISBLANK('2025'!$S22), 0, 1), 6, if(ISBLANK('2025'!$T22), 0, 1), 7, 0))), 1, "")</f>
        <v/>
      </c>
      <c r="BA22" s="1" t="str">
        <f>IF(AND(AND(AND(BA$4&gt;='2025'!$L22,BA$4&lt;='2025'!$M22), BA$4&lt;&gt;DATE(2025,7,4)), (SWITCH(weekday(BA$4), 1, 0, 2, if(ISBLANK('2025'!$P22), 0, 1), 3, if(ISBLANK('2025'!$Q22), 0, 1), 4, if(ISBLANK('2025'!$R22), 0, 1), 5, if(ISBLANK('2025'!$S22), 0, 1), 6, if(ISBLANK('2025'!$T22), 0, 1), 7, 0))), 1, "")</f>
        <v/>
      </c>
      <c r="BB22" s="1" t="str">
        <f>IF(AND(AND(AND(BB$4&gt;='2025'!$L22,BB$4&lt;='2025'!$M22), BB$4&lt;&gt;DATE(2025,7,4)), (SWITCH(weekday(BB$4), 1, 0, 2, if(ISBLANK('2025'!$P22), 0, 1), 3, if(ISBLANK('2025'!$Q22), 0, 1), 4, if(ISBLANK('2025'!$R22), 0, 1), 5, if(ISBLANK('2025'!$S22), 0, 1), 6, if(ISBLANK('2025'!$T22), 0, 1), 7, 0))), 1, "")</f>
        <v/>
      </c>
      <c r="BC22" s="1" t="str">
        <f>IF(AND(AND(AND(BC$4&gt;='2025'!$L22,BC$4&lt;='2025'!$M22), BC$4&lt;&gt;DATE(2025,7,4)), (SWITCH(weekday(BC$4), 1, 0, 2, if(ISBLANK('2025'!$P22), 0, 1), 3, if(ISBLANK('2025'!$Q22), 0, 1), 4, if(ISBLANK('2025'!$R22), 0, 1), 5, if(ISBLANK('2025'!$S22), 0, 1), 6, if(ISBLANK('2025'!$T22), 0, 1), 7, 0))), 1, "")</f>
        <v/>
      </c>
      <c r="BD22" s="1" t="str">
        <f>IF(AND(AND(AND(BD$4&gt;='2025'!$L22,BD$4&lt;='2025'!$M22), BD$4&lt;&gt;DATE(2025,7,4)), (SWITCH(weekday(BD$4), 1, 0, 2, if(ISBLANK('2025'!$P22), 0, 1), 3, if(ISBLANK('2025'!$Q22), 0, 1), 4, if(ISBLANK('2025'!$R22), 0, 1), 5, if(ISBLANK('2025'!$S22), 0, 1), 6, if(ISBLANK('2025'!$T22), 0, 1), 7, 0))), 1, "")</f>
        <v/>
      </c>
      <c r="BE22" s="1" t="str">
        <f>IF(AND(AND(AND(BE$4&gt;='2025'!$L22,BE$4&lt;='2025'!$M22), BE$4&lt;&gt;DATE(2025,7,4)), (SWITCH(weekday(BE$4), 1, 0, 2, if(ISBLANK('2025'!$P22), 0, 1), 3, if(ISBLANK('2025'!$Q22), 0, 1), 4, if(ISBLANK('2025'!$R22), 0, 1), 5, if(ISBLANK('2025'!$S22), 0, 1), 6, if(ISBLANK('2025'!$T22), 0, 1), 7, 0))), 1, "")</f>
        <v/>
      </c>
      <c r="BF22" s="1" t="str">
        <f>IF(AND(AND(AND(BF$4&gt;='2025'!$L22,BF$4&lt;='2025'!$M22), BF$4&lt;&gt;DATE(2025,7,4)), (SWITCH(weekday(BF$4), 1, 0, 2, if(ISBLANK('2025'!$P22), 0, 1), 3, if(ISBLANK('2025'!$Q22), 0, 1), 4, if(ISBLANK('2025'!$R22), 0, 1), 5, if(ISBLANK('2025'!$S22), 0, 1), 6, if(ISBLANK('2025'!$T22), 0, 1), 7, 0))), 1, "")</f>
        <v/>
      </c>
      <c r="BG22" s="1"/>
      <c r="BH22" s="1"/>
      <c r="BI22" s="1"/>
      <c r="BJ22" s="1"/>
      <c r="BK22" s="1"/>
      <c r="BL22" s="1"/>
    </row>
    <row r="23">
      <c r="A23" s="1">
        <f t="shared" si="3"/>
        <v>23</v>
      </c>
      <c r="B23" s="1" t="str">
        <f>'2025'!D23</f>
        <v>Lajer, Leo</v>
      </c>
      <c r="C23" s="1" t="str">
        <f>'2025'!H23</f>
        <v>Infant</v>
      </c>
      <c r="D23" s="1" t="str">
        <f>IF(AND(AND(AND(D$4&gt;='2025'!$L23,D$4&lt;='2025'!$M23), D$4&lt;&gt;DATE(2025,7,4)), (SWITCH(weekday(D$4), 1, 0, 2, if(ISBLANK('2025'!$P23), 0, 1), 3, if(ISBLANK('2025'!$Q23), 0, 1), 4, if(ISBLANK('2025'!$R23), 0, 1), 5, if(ISBLANK('2025'!$S23), 0, 1), 6, if(ISBLANK('2025'!$T23), 0, 1), 7, 0))), 1, "")</f>
        <v/>
      </c>
      <c r="E23" s="1" t="str">
        <f>IF(AND(AND(AND(E$4&gt;='2025'!$L23,E$4&lt;='2025'!$M23), E$4&lt;&gt;DATE(2025,7,4)), (SWITCH(weekday(E$4), 1, 0, 2, if(ISBLANK('2025'!$P23), 0, 1), 3, if(ISBLANK('2025'!$Q23), 0, 1), 4, if(ISBLANK('2025'!$R23), 0, 1), 5, if(ISBLANK('2025'!$S23), 0, 1), 6, if(ISBLANK('2025'!$T23), 0, 1), 7, 0))), 1, "")</f>
        <v/>
      </c>
      <c r="F23" s="1" t="str">
        <f>IF(AND(AND(AND(F$4&gt;='2025'!$L23,F$4&lt;='2025'!$M23), F$4&lt;&gt;DATE(2025,7,4)), (SWITCH(weekday(F$4), 1, 0, 2, if(ISBLANK('2025'!$P23), 0, 1), 3, if(ISBLANK('2025'!$Q23), 0, 1), 4, if(ISBLANK('2025'!$R23), 0, 1), 5, if(ISBLANK('2025'!$S23), 0, 1), 6, if(ISBLANK('2025'!$T23), 0, 1), 7, 0))), 1, "")</f>
        <v/>
      </c>
      <c r="G23" s="1" t="str">
        <f>IF(AND(AND(AND(G$4&gt;='2025'!$L23,G$4&lt;='2025'!$M23), G$4&lt;&gt;DATE(2025,7,4)), (SWITCH(weekday(G$4), 1, 0, 2, if(ISBLANK('2025'!$P23), 0, 1), 3, if(ISBLANK('2025'!$Q23), 0, 1), 4, if(ISBLANK('2025'!$R23), 0, 1), 5, if(ISBLANK('2025'!$S23), 0, 1), 6, if(ISBLANK('2025'!$T23), 0, 1), 7, 0))), 1, "")</f>
        <v/>
      </c>
      <c r="H23" s="1" t="str">
        <f>IF(AND(AND(AND(H$4&gt;='2025'!$L23,H$4&lt;='2025'!$M23), H$4&lt;&gt;DATE(2025,7,4)), (SWITCH(weekday(H$4), 1, 0, 2, if(ISBLANK('2025'!$P23), 0, 1), 3, if(ISBLANK('2025'!$Q23), 0, 1), 4, if(ISBLANK('2025'!$R23), 0, 1), 5, if(ISBLANK('2025'!$S23), 0, 1), 6, if(ISBLANK('2025'!$T23), 0, 1), 7, 0))), 1, "")</f>
        <v/>
      </c>
      <c r="I23" s="1" t="str">
        <f>IF(AND(AND(AND(I$4&gt;='2025'!$L23,I$4&lt;='2025'!$M23), I$4&lt;&gt;DATE(2025,7,4)), (SWITCH(weekday(I$4), 1, 0, 2, if(ISBLANK('2025'!$P23), 0, 1), 3, if(ISBLANK('2025'!$Q23), 0, 1), 4, if(ISBLANK('2025'!$R23), 0, 1), 5, if(ISBLANK('2025'!$S23), 0, 1), 6, if(ISBLANK('2025'!$T23), 0, 1), 7, 0))), 1, "")</f>
        <v/>
      </c>
      <c r="J23" s="1" t="str">
        <f>IF(AND(AND(AND(J$4&gt;='2025'!$L23,J$4&lt;='2025'!$M23), J$4&lt;&gt;DATE(2025,7,4)), (SWITCH(weekday(J$4), 1, 0, 2, if(ISBLANK('2025'!$P23), 0, 1), 3, if(ISBLANK('2025'!$Q23), 0, 1), 4, if(ISBLANK('2025'!$R23), 0, 1), 5, if(ISBLANK('2025'!$S23), 0, 1), 6, if(ISBLANK('2025'!$T23), 0, 1), 7, 0))), 1, "")</f>
        <v/>
      </c>
      <c r="K23" s="1" t="str">
        <f>IF(AND(AND(AND(K$4&gt;='2025'!$L23,K$4&lt;='2025'!$M23), K$4&lt;&gt;DATE(2025,7,4)), (SWITCH(weekday(K$4), 1, 0, 2, if(ISBLANK('2025'!$P23), 0, 1), 3, if(ISBLANK('2025'!$Q23), 0, 1), 4, if(ISBLANK('2025'!$R23), 0, 1), 5, if(ISBLANK('2025'!$S23), 0, 1), 6, if(ISBLANK('2025'!$T23), 0, 1), 7, 0))), 1, "")</f>
        <v/>
      </c>
      <c r="L23" s="1" t="str">
        <f>IF(AND(AND(AND(L$4&gt;='2025'!$L23,L$4&lt;='2025'!$M23), L$4&lt;&gt;DATE(2025,7,4)), (SWITCH(weekday(L$4), 1, 0, 2, if(ISBLANK('2025'!$P23), 0, 1), 3, if(ISBLANK('2025'!$Q23), 0, 1), 4, if(ISBLANK('2025'!$R23), 0, 1), 5, if(ISBLANK('2025'!$S23), 0, 1), 6, if(ISBLANK('2025'!$T23), 0, 1), 7, 0))), 1, "")</f>
        <v/>
      </c>
      <c r="M23" s="1" t="str">
        <f>IF(AND(AND(AND(M$4&gt;='2025'!$L23,M$4&lt;='2025'!$M23), M$4&lt;&gt;DATE(2025,7,4)), (SWITCH(weekday(M$4), 1, 0, 2, if(ISBLANK('2025'!$P23), 0, 1), 3, if(ISBLANK('2025'!$Q23), 0, 1), 4, if(ISBLANK('2025'!$R23), 0, 1), 5, if(ISBLANK('2025'!$S23), 0, 1), 6, if(ISBLANK('2025'!$T23), 0, 1), 7, 0))), 1, "")</f>
        <v/>
      </c>
      <c r="N23" s="1" t="str">
        <f>IF(AND(AND(AND(N$4&gt;='2025'!$L23,N$4&lt;='2025'!$M23), N$4&lt;&gt;DATE(2025,7,4)), (SWITCH(weekday(N$4), 1, 0, 2, if(ISBLANK('2025'!$P23), 0, 1), 3, if(ISBLANK('2025'!$Q23), 0, 1), 4, if(ISBLANK('2025'!$R23), 0, 1), 5, if(ISBLANK('2025'!$S23), 0, 1), 6, if(ISBLANK('2025'!$T23), 0, 1), 7, 0))), 1, "")</f>
        <v/>
      </c>
      <c r="O23" s="1" t="str">
        <f>IF(AND(AND(AND(O$4&gt;='2025'!$L23,O$4&lt;='2025'!$M23), O$4&lt;&gt;DATE(2025,7,4)), (SWITCH(weekday(O$4), 1, 0, 2, if(ISBLANK('2025'!$P23), 0, 1), 3, if(ISBLANK('2025'!$Q23), 0, 1), 4, if(ISBLANK('2025'!$R23), 0, 1), 5, if(ISBLANK('2025'!$S23), 0, 1), 6, if(ISBLANK('2025'!$T23), 0, 1), 7, 0))), 1, "")</f>
        <v/>
      </c>
      <c r="P23" s="1" t="str">
        <f>IF(AND(AND(AND(P$4&gt;='2025'!$L23,P$4&lt;='2025'!$M23), P$4&lt;&gt;DATE(2025,7,4)), (SWITCH(weekday(P$4), 1, 0, 2, if(ISBLANK('2025'!$P23), 0, 1), 3, if(ISBLANK('2025'!$Q23), 0, 1), 4, if(ISBLANK('2025'!$R23), 0, 1), 5, if(ISBLANK('2025'!$S23), 0, 1), 6, if(ISBLANK('2025'!$T23), 0, 1), 7, 0))), 1, "")</f>
        <v/>
      </c>
      <c r="Q23" s="1" t="str">
        <f>IF(AND(AND(AND(Q$4&gt;='2025'!$L23,Q$4&lt;='2025'!$M23), Q$4&lt;&gt;DATE(2025,7,4)), (SWITCH(weekday(Q$4), 1, 0, 2, if(ISBLANK('2025'!$P23), 0, 1), 3, if(ISBLANK('2025'!$Q23), 0, 1), 4, if(ISBLANK('2025'!$R23), 0, 1), 5, if(ISBLANK('2025'!$S23), 0, 1), 6, if(ISBLANK('2025'!$T23), 0, 1), 7, 0))), 1, "")</f>
        <v/>
      </c>
      <c r="R23" s="1" t="str">
        <f>IF(AND(AND(AND(R$4&gt;='2025'!$L23,R$4&lt;='2025'!$M23), R$4&lt;&gt;DATE(2025,7,4)), (SWITCH(weekday(R$4), 1, 0, 2, if(ISBLANK('2025'!$P23), 0, 1), 3, if(ISBLANK('2025'!$Q23), 0, 1), 4, if(ISBLANK('2025'!$R23), 0, 1), 5, if(ISBLANK('2025'!$S23), 0, 1), 6, if(ISBLANK('2025'!$T23), 0, 1), 7, 0))), 1, "")</f>
        <v/>
      </c>
      <c r="S23" s="1" t="str">
        <f>IF(AND(AND(AND(S$4&gt;='2025'!$L23,S$4&lt;='2025'!$M23), S$4&lt;&gt;DATE(2025,7,4)), (SWITCH(weekday(S$4), 1, 0, 2, if(ISBLANK('2025'!$P23), 0, 1), 3, if(ISBLANK('2025'!$Q23), 0, 1), 4, if(ISBLANK('2025'!$R23), 0, 1), 5, if(ISBLANK('2025'!$S23), 0, 1), 6, if(ISBLANK('2025'!$T23), 0, 1), 7, 0))), 1, "")</f>
        <v/>
      </c>
      <c r="T23" s="1" t="str">
        <f>IF(AND(AND(AND(T$4&gt;='2025'!$L23,T$4&lt;='2025'!$M23), T$4&lt;&gt;DATE(2025,7,4)), (SWITCH(weekday(T$4), 1, 0, 2, if(ISBLANK('2025'!$P23), 0, 1), 3, if(ISBLANK('2025'!$Q23), 0, 1), 4, if(ISBLANK('2025'!$R23), 0, 1), 5, if(ISBLANK('2025'!$S23), 0, 1), 6, if(ISBLANK('2025'!$T23), 0, 1), 7, 0))), 1, "")</f>
        <v/>
      </c>
      <c r="U23" s="1" t="str">
        <f>IF(AND(AND(AND(U$4&gt;='2025'!$L23,U$4&lt;='2025'!$M23), U$4&lt;&gt;DATE(2025,7,4)), (SWITCH(weekday(U$4), 1, 0, 2, if(ISBLANK('2025'!$P23), 0, 1), 3, if(ISBLANK('2025'!$Q23), 0, 1), 4, if(ISBLANK('2025'!$R23), 0, 1), 5, if(ISBLANK('2025'!$S23), 0, 1), 6, if(ISBLANK('2025'!$T23), 0, 1), 7, 0))), 1, "")</f>
        <v/>
      </c>
      <c r="V23" s="1" t="str">
        <f>IF(AND(AND(AND(V$4&gt;='2025'!$L23,V$4&lt;='2025'!$M23), V$4&lt;&gt;DATE(2025,7,4)), (SWITCH(weekday(V$4), 1, 0, 2, if(ISBLANK('2025'!$P23), 0, 1), 3, if(ISBLANK('2025'!$Q23), 0, 1), 4, if(ISBLANK('2025'!$R23), 0, 1), 5, if(ISBLANK('2025'!$S23), 0, 1), 6, if(ISBLANK('2025'!$T23), 0, 1), 7, 0))), 1, "")</f>
        <v/>
      </c>
      <c r="W23" s="1" t="str">
        <f>IF(AND(AND(AND(W$4&gt;='2025'!$L23,W$4&lt;='2025'!$M23), W$4&lt;&gt;DATE(2025,7,4)), (SWITCH(weekday(W$4), 1, 0, 2, if(ISBLANK('2025'!$P23), 0, 1), 3, if(ISBLANK('2025'!$Q23), 0, 1), 4, if(ISBLANK('2025'!$R23), 0, 1), 5, if(ISBLANK('2025'!$S23), 0, 1), 6, if(ISBLANK('2025'!$T23), 0, 1), 7, 0))), 1, "")</f>
        <v/>
      </c>
      <c r="X23" s="1" t="str">
        <f>IF(AND(AND(AND(X$4&gt;='2025'!$L23,X$4&lt;='2025'!$M23), X$4&lt;&gt;DATE(2025,7,4)), (SWITCH(weekday(X$4), 1, 0, 2, if(ISBLANK('2025'!$P23), 0, 1), 3, if(ISBLANK('2025'!$Q23), 0, 1), 4, if(ISBLANK('2025'!$R23), 0, 1), 5, if(ISBLANK('2025'!$S23), 0, 1), 6, if(ISBLANK('2025'!$T23), 0, 1), 7, 0))), 1, "")</f>
        <v/>
      </c>
      <c r="Y23" s="1" t="str">
        <f>IF(AND(AND(AND(Y$4&gt;='2025'!$L23,Y$4&lt;='2025'!$M23), Y$4&lt;&gt;DATE(2025,7,4)), (SWITCH(weekday(Y$4), 1, 0, 2, if(ISBLANK('2025'!$P23), 0, 1), 3, if(ISBLANK('2025'!$Q23), 0, 1), 4, if(ISBLANK('2025'!$R23), 0, 1), 5, if(ISBLANK('2025'!$S23), 0, 1), 6, if(ISBLANK('2025'!$T23), 0, 1), 7, 0))), 1, "")</f>
        <v/>
      </c>
      <c r="Z23" s="1" t="str">
        <f>IF(AND(AND(AND(Z$4&gt;='2025'!$L23,Z$4&lt;='2025'!$M23), Z$4&lt;&gt;DATE(2025,7,4)), (SWITCH(weekday(Z$4), 1, 0, 2, if(ISBLANK('2025'!$P23), 0, 1), 3, if(ISBLANK('2025'!$Q23), 0, 1), 4, if(ISBLANK('2025'!$R23), 0, 1), 5, if(ISBLANK('2025'!$S23), 0, 1), 6, if(ISBLANK('2025'!$T23), 0, 1), 7, 0))), 1, "")</f>
        <v/>
      </c>
      <c r="AA23" s="1" t="str">
        <f>IF(AND(AND(AND(AA$4&gt;='2025'!$L23,AA$4&lt;='2025'!$M23), AA$4&lt;&gt;DATE(2025,7,4)), (SWITCH(weekday(AA$4), 1, 0, 2, if(ISBLANK('2025'!$P23), 0, 1), 3, if(ISBLANK('2025'!$Q23), 0, 1), 4, if(ISBLANK('2025'!$R23), 0, 1), 5, if(ISBLANK('2025'!$S23), 0, 1), 6, if(ISBLANK('2025'!$T23), 0, 1), 7, 0))), 1, "")</f>
        <v/>
      </c>
      <c r="AB23" s="1" t="str">
        <f>IF(AND(AND(AND(AB$4&gt;='2025'!$L23,AB$4&lt;='2025'!$M23), AB$4&lt;&gt;DATE(2025,7,4)), (SWITCH(weekday(AB$4), 1, 0, 2, if(ISBLANK('2025'!$P23), 0, 1), 3, if(ISBLANK('2025'!$Q23), 0, 1), 4, if(ISBLANK('2025'!$R23), 0, 1), 5, if(ISBLANK('2025'!$S23), 0, 1), 6, if(ISBLANK('2025'!$T23), 0, 1), 7, 0))), 1, "")</f>
        <v/>
      </c>
      <c r="AC23" s="1" t="str">
        <f>IF(AND(AND(AND(AC$4&gt;='2025'!$L23,AC$4&lt;='2025'!$M23), AC$4&lt;&gt;DATE(2025,7,4)), (SWITCH(weekday(AC$4), 1, 0, 2, if(ISBLANK('2025'!$P23), 0, 1), 3, if(ISBLANK('2025'!$Q23), 0, 1), 4, if(ISBLANK('2025'!$R23), 0, 1), 5, if(ISBLANK('2025'!$S23), 0, 1), 6, if(ISBLANK('2025'!$T23), 0, 1), 7, 0))), 1, "")</f>
        <v/>
      </c>
      <c r="AD23" s="1" t="str">
        <f>IF(AND(AND(AND(AD$4&gt;='2025'!$L23,AD$4&lt;='2025'!$M23), AD$4&lt;&gt;DATE(2025,7,4)), (SWITCH(weekday(AD$4), 1, 0, 2, if(ISBLANK('2025'!$P23), 0, 1), 3, if(ISBLANK('2025'!$Q23), 0, 1), 4, if(ISBLANK('2025'!$R23), 0, 1), 5, if(ISBLANK('2025'!$S23), 0, 1), 6, if(ISBLANK('2025'!$T23), 0, 1), 7, 0))), 1, "")</f>
        <v/>
      </c>
      <c r="AE23" s="1" t="str">
        <f>IF(AND(AND(AND(AE$4&gt;='2025'!$L23,AE$4&lt;='2025'!$M23), AE$4&lt;&gt;DATE(2025,7,4)), (SWITCH(weekday(AE$4), 1, 0, 2, if(ISBLANK('2025'!$P23), 0, 1), 3, if(ISBLANK('2025'!$Q23), 0, 1), 4, if(ISBLANK('2025'!$R23), 0, 1), 5, if(ISBLANK('2025'!$S23), 0, 1), 6, if(ISBLANK('2025'!$T23), 0, 1), 7, 0))), 1, "")</f>
        <v/>
      </c>
      <c r="AF23" s="1" t="str">
        <f>IF(AND(AND(AND(AF$4&gt;='2025'!$L23,AF$4&lt;='2025'!$M23), AF$4&lt;&gt;DATE(2025,7,4)), (SWITCH(weekday(AF$4), 1, 0, 2, if(ISBLANK('2025'!$P23), 0, 1), 3, if(ISBLANK('2025'!$Q23), 0, 1), 4, if(ISBLANK('2025'!$R23), 0, 1), 5, if(ISBLANK('2025'!$S23), 0, 1), 6, if(ISBLANK('2025'!$T23), 0, 1), 7, 0))), 1, "")</f>
        <v/>
      </c>
      <c r="AG23" s="1" t="str">
        <f>IF(AND(AND(AND(AG$4&gt;='2025'!$L23,AG$4&lt;='2025'!$M23), AG$4&lt;&gt;DATE(2025,7,4)), (SWITCH(weekday(AG$4), 1, 0, 2, if(ISBLANK('2025'!$P23), 0, 1), 3, if(ISBLANK('2025'!$Q23), 0, 1), 4, if(ISBLANK('2025'!$R23), 0, 1), 5, if(ISBLANK('2025'!$S23), 0, 1), 6, if(ISBLANK('2025'!$T23), 0, 1), 7, 0))), 1, "")</f>
        <v/>
      </c>
      <c r="AH23" s="1" t="str">
        <f>IF(AND(AND(AND(AH$4&gt;='2025'!$L23,AH$4&lt;='2025'!$M23), AH$4&lt;&gt;DATE(2025,7,4)), (SWITCH(weekday(AH$4), 1, 0, 2, if(ISBLANK('2025'!$P23), 0, 1), 3, if(ISBLANK('2025'!$Q23), 0, 1), 4, if(ISBLANK('2025'!$R23), 0, 1), 5, if(ISBLANK('2025'!$S23), 0, 1), 6, if(ISBLANK('2025'!$T23), 0, 1), 7, 0))), 1, "")</f>
        <v/>
      </c>
      <c r="AI23" s="1" t="str">
        <f>IF(AND(AND(AND(AI$4&gt;='2025'!$L23,AI$4&lt;='2025'!$M23), AI$4&lt;&gt;DATE(2025,7,4)), (SWITCH(weekday(AI$4), 1, 0, 2, if(ISBLANK('2025'!$P23), 0, 1), 3, if(ISBLANK('2025'!$Q23), 0, 1), 4, if(ISBLANK('2025'!$R23), 0, 1), 5, if(ISBLANK('2025'!$S23), 0, 1), 6, if(ISBLANK('2025'!$T23), 0, 1), 7, 0))), 1, "")</f>
        <v/>
      </c>
      <c r="AJ23" s="1" t="str">
        <f>IF(AND(AND(AND(AJ$4&gt;='2025'!$L23,AJ$4&lt;='2025'!$M23), AJ$4&lt;&gt;DATE(2025,7,4)), (SWITCH(weekday(AJ$4), 1, 0, 2, if(ISBLANK('2025'!$P23), 0, 1), 3, if(ISBLANK('2025'!$Q23), 0, 1), 4, if(ISBLANK('2025'!$R23), 0, 1), 5, if(ISBLANK('2025'!$S23), 0, 1), 6, if(ISBLANK('2025'!$T23), 0, 1), 7, 0))), 1, "")</f>
        <v/>
      </c>
      <c r="AK23" s="1" t="str">
        <f>IF(AND(AND(AND(AK$4&gt;='2025'!$L23,AK$4&lt;='2025'!$M23), AK$4&lt;&gt;DATE(2025,7,4)), (SWITCH(weekday(AK$4), 1, 0, 2, if(ISBLANK('2025'!$P23), 0, 1), 3, if(ISBLANK('2025'!$Q23), 0, 1), 4, if(ISBLANK('2025'!$R23), 0, 1), 5, if(ISBLANK('2025'!$S23), 0, 1), 6, if(ISBLANK('2025'!$T23), 0, 1), 7, 0))), 1, "")</f>
        <v/>
      </c>
      <c r="AL23" s="1" t="str">
        <f>IF(AND(AND(AND(AL$4&gt;='2025'!$L23,AL$4&lt;='2025'!$M23), AL$4&lt;&gt;DATE(2025,7,4)), (SWITCH(weekday(AL$4), 1, 0, 2, if(ISBLANK('2025'!$P23), 0, 1), 3, if(ISBLANK('2025'!$Q23), 0, 1), 4, if(ISBLANK('2025'!$R23), 0, 1), 5, if(ISBLANK('2025'!$S23), 0, 1), 6, if(ISBLANK('2025'!$T23), 0, 1), 7, 0))), 1, "")</f>
        <v/>
      </c>
      <c r="AM23" s="1" t="str">
        <f>IF(AND(AND(AND(AM$4&gt;='2025'!$L23,AM$4&lt;='2025'!$M23), AM$4&lt;&gt;DATE(2025,7,4)), (SWITCH(weekday(AM$4), 1, 0, 2, if(ISBLANK('2025'!$P23), 0, 1), 3, if(ISBLANK('2025'!$Q23), 0, 1), 4, if(ISBLANK('2025'!$R23), 0, 1), 5, if(ISBLANK('2025'!$S23), 0, 1), 6, if(ISBLANK('2025'!$T23), 0, 1), 7, 0))), 1, "")</f>
        <v/>
      </c>
      <c r="AN23" s="1" t="str">
        <f>IF(AND(AND(AND(AN$4&gt;='2025'!$L23,AN$4&lt;='2025'!$M23), AN$4&lt;&gt;DATE(2025,7,4)), (SWITCH(weekday(AN$4), 1, 0, 2, if(ISBLANK('2025'!$P23), 0, 1), 3, if(ISBLANK('2025'!$Q23), 0, 1), 4, if(ISBLANK('2025'!$R23), 0, 1), 5, if(ISBLANK('2025'!$S23), 0, 1), 6, if(ISBLANK('2025'!$T23), 0, 1), 7, 0))), 1, "")</f>
        <v/>
      </c>
      <c r="AO23" s="1" t="str">
        <f>IF(AND(AND(AND(AO$4&gt;='2025'!$L23,AO$4&lt;='2025'!$M23), AO$4&lt;&gt;DATE(2025,7,4)), (SWITCH(weekday(AO$4), 1, 0, 2, if(ISBLANK('2025'!$P23), 0, 1), 3, if(ISBLANK('2025'!$Q23), 0, 1), 4, if(ISBLANK('2025'!$R23), 0, 1), 5, if(ISBLANK('2025'!$S23), 0, 1), 6, if(ISBLANK('2025'!$T23), 0, 1), 7, 0))), 1, "")</f>
        <v/>
      </c>
      <c r="AP23" s="1" t="str">
        <f>IF(AND(AND(AND(AP$4&gt;='2025'!$L23,AP$4&lt;='2025'!$M23), AP$4&lt;&gt;DATE(2025,7,4)), (SWITCH(weekday(AP$4), 1, 0, 2, if(ISBLANK('2025'!$P23), 0, 1), 3, if(ISBLANK('2025'!$Q23), 0, 1), 4, if(ISBLANK('2025'!$R23), 0, 1), 5, if(ISBLANK('2025'!$S23), 0, 1), 6, if(ISBLANK('2025'!$T23), 0, 1), 7, 0))), 1, "")</f>
        <v/>
      </c>
      <c r="AQ23" s="1" t="str">
        <f>IF(AND(AND(AND(AQ$4&gt;='2025'!$L23,AQ$4&lt;='2025'!$M23), AQ$4&lt;&gt;DATE(2025,7,4)), (SWITCH(weekday(AQ$4), 1, 0, 2, if(ISBLANK('2025'!$P23), 0, 1), 3, if(ISBLANK('2025'!$Q23), 0, 1), 4, if(ISBLANK('2025'!$R23), 0, 1), 5, if(ISBLANK('2025'!$S23), 0, 1), 6, if(ISBLANK('2025'!$T23), 0, 1), 7, 0))), 1, "")</f>
        <v/>
      </c>
      <c r="AR23" s="1" t="str">
        <f>IF(AND(AND(AND(AR$4&gt;='2025'!$L23,AR$4&lt;='2025'!$M23), AR$4&lt;&gt;DATE(2025,7,4)), (SWITCH(weekday(AR$4), 1, 0, 2, if(ISBLANK('2025'!$P23), 0, 1), 3, if(ISBLANK('2025'!$Q23), 0, 1), 4, if(ISBLANK('2025'!$R23), 0, 1), 5, if(ISBLANK('2025'!$S23), 0, 1), 6, if(ISBLANK('2025'!$T23), 0, 1), 7, 0))), 1, "")</f>
        <v/>
      </c>
      <c r="AS23" s="1" t="str">
        <f>IF(AND(AND(AND(AS$4&gt;='2025'!$L23,AS$4&lt;='2025'!$M23), AS$4&lt;&gt;DATE(2025,7,4)), (SWITCH(weekday(AS$4), 1, 0, 2, if(ISBLANK('2025'!$P23), 0, 1), 3, if(ISBLANK('2025'!$Q23), 0, 1), 4, if(ISBLANK('2025'!$R23), 0, 1), 5, if(ISBLANK('2025'!$S23), 0, 1), 6, if(ISBLANK('2025'!$T23), 0, 1), 7, 0))), 1, "")</f>
        <v/>
      </c>
      <c r="AT23" s="1" t="str">
        <f>IF(AND(AND(AND(AT$4&gt;='2025'!$L23,AT$4&lt;='2025'!$M23), AT$4&lt;&gt;DATE(2025,7,4)), (SWITCH(weekday(AT$4), 1, 0, 2, if(ISBLANK('2025'!$P23), 0, 1), 3, if(ISBLANK('2025'!$Q23), 0, 1), 4, if(ISBLANK('2025'!$R23), 0, 1), 5, if(ISBLANK('2025'!$S23), 0, 1), 6, if(ISBLANK('2025'!$T23), 0, 1), 7, 0))), 1, "")</f>
        <v/>
      </c>
      <c r="AU23" s="1" t="str">
        <f>IF(AND(AND(AND(AU$4&gt;='2025'!$L23,AU$4&lt;='2025'!$M23), AU$4&lt;&gt;DATE(2025,7,4)), (SWITCH(weekday(AU$4), 1, 0, 2, if(ISBLANK('2025'!$P23), 0, 1), 3, if(ISBLANK('2025'!$Q23), 0, 1), 4, if(ISBLANK('2025'!$R23), 0, 1), 5, if(ISBLANK('2025'!$S23), 0, 1), 6, if(ISBLANK('2025'!$T23), 0, 1), 7, 0))), 1, "")</f>
        <v/>
      </c>
      <c r="AV23" s="1" t="str">
        <f>IF(AND(AND(AND(AV$4&gt;='2025'!$L23,AV$4&lt;='2025'!$M23), AV$4&lt;&gt;DATE(2025,7,4)), (SWITCH(weekday(AV$4), 1, 0, 2, if(ISBLANK('2025'!$P23), 0, 1), 3, if(ISBLANK('2025'!$Q23), 0, 1), 4, if(ISBLANK('2025'!$R23), 0, 1), 5, if(ISBLANK('2025'!$S23), 0, 1), 6, if(ISBLANK('2025'!$T23), 0, 1), 7, 0))), 1, "")</f>
        <v/>
      </c>
      <c r="AW23" s="1" t="str">
        <f>IF(AND(AND(AND(AW$4&gt;='2025'!$L23,AW$4&lt;='2025'!$M23), AW$4&lt;&gt;DATE(2025,7,4)), (SWITCH(weekday(AW$4), 1, 0, 2, if(ISBLANK('2025'!$P23), 0, 1), 3, if(ISBLANK('2025'!$Q23), 0, 1), 4, if(ISBLANK('2025'!$R23), 0, 1), 5, if(ISBLANK('2025'!$S23), 0, 1), 6, if(ISBLANK('2025'!$T23), 0, 1), 7, 0))), 1, "")</f>
        <v/>
      </c>
      <c r="AX23" s="1" t="str">
        <f>IF(AND(AND(AND(AX$4&gt;='2025'!$L23,AX$4&lt;='2025'!$M23), AX$4&lt;&gt;DATE(2025,7,4)), (SWITCH(weekday(AX$4), 1, 0, 2, if(ISBLANK('2025'!$P23), 0, 1), 3, if(ISBLANK('2025'!$Q23), 0, 1), 4, if(ISBLANK('2025'!$R23), 0, 1), 5, if(ISBLANK('2025'!$S23), 0, 1), 6, if(ISBLANK('2025'!$T23), 0, 1), 7, 0))), 1, "")</f>
        <v/>
      </c>
      <c r="AY23" s="1" t="str">
        <f>IF(AND(AND(AND(AY$4&gt;='2025'!$L23,AY$4&lt;='2025'!$M23), AY$4&lt;&gt;DATE(2025,7,4)), (SWITCH(weekday(AY$4), 1, 0, 2, if(ISBLANK('2025'!$P23), 0, 1), 3, if(ISBLANK('2025'!$Q23), 0, 1), 4, if(ISBLANK('2025'!$R23), 0, 1), 5, if(ISBLANK('2025'!$S23), 0, 1), 6, if(ISBLANK('2025'!$T23), 0, 1), 7, 0))), 1, "")</f>
        <v/>
      </c>
      <c r="AZ23" s="1" t="str">
        <f>IF(AND(AND(AND(AZ$4&gt;='2025'!$L23,AZ$4&lt;='2025'!$M23), AZ$4&lt;&gt;DATE(2025,7,4)), (SWITCH(weekday(AZ$4), 1, 0, 2, if(ISBLANK('2025'!$P23), 0, 1), 3, if(ISBLANK('2025'!$Q23), 0, 1), 4, if(ISBLANK('2025'!$R23), 0, 1), 5, if(ISBLANK('2025'!$S23), 0, 1), 6, if(ISBLANK('2025'!$T23), 0, 1), 7, 0))), 1, "")</f>
        <v/>
      </c>
      <c r="BA23" s="1" t="str">
        <f>IF(AND(AND(AND(BA$4&gt;='2025'!$L23,BA$4&lt;='2025'!$M23), BA$4&lt;&gt;DATE(2025,7,4)), (SWITCH(weekday(BA$4), 1, 0, 2, if(ISBLANK('2025'!$P23), 0, 1), 3, if(ISBLANK('2025'!$Q23), 0, 1), 4, if(ISBLANK('2025'!$R23), 0, 1), 5, if(ISBLANK('2025'!$S23), 0, 1), 6, if(ISBLANK('2025'!$T23), 0, 1), 7, 0))), 1, "")</f>
        <v/>
      </c>
      <c r="BB23" s="1" t="str">
        <f>IF(AND(AND(AND(BB$4&gt;='2025'!$L23,BB$4&lt;='2025'!$M23), BB$4&lt;&gt;DATE(2025,7,4)), (SWITCH(weekday(BB$4), 1, 0, 2, if(ISBLANK('2025'!$P23), 0, 1), 3, if(ISBLANK('2025'!$Q23), 0, 1), 4, if(ISBLANK('2025'!$R23), 0, 1), 5, if(ISBLANK('2025'!$S23), 0, 1), 6, if(ISBLANK('2025'!$T23), 0, 1), 7, 0))), 1, "")</f>
        <v/>
      </c>
      <c r="BC23" s="1" t="str">
        <f>IF(AND(AND(AND(BC$4&gt;='2025'!$L23,BC$4&lt;='2025'!$M23), BC$4&lt;&gt;DATE(2025,7,4)), (SWITCH(weekday(BC$4), 1, 0, 2, if(ISBLANK('2025'!$P23), 0, 1), 3, if(ISBLANK('2025'!$Q23), 0, 1), 4, if(ISBLANK('2025'!$R23), 0, 1), 5, if(ISBLANK('2025'!$S23), 0, 1), 6, if(ISBLANK('2025'!$T23), 0, 1), 7, 0))), 1, "")</f>
        <v/>
      </c>
      <c r="BD23" s="1" t="str">
        <f>IF(AND(AND(AND(BD$4&gt;='2025'!$L23,BD$4&lt;='2025'!$M23), BD$4&lt;&gt;DATE(2025,7,4)), (SWITCH(weekday(BD$4), 1, 0, 2, if(ISBLANK('2025'!$P23), 0, 1), 3, if(ISBLANK('2025'!$Q23), 0, 1), 4, if(ISBLANK('2025'!$R23), 0, 1), 5, if(ISBLANK('2025'!$S23), 0, 1), 6, if(ISBLANK('2025'!$T23), 0, 1), 7, 0))), 1, "")</f>
        <v/>
      </c>
      <c r="BE23" s="1" t="str">
        <f>IF(AND(AND(AND(BE$4&gt;='2025'!$L23,BE$4&lt;='2025'!$M23), BE$4&lt;&gt;DATE(2025,7,4)), (SWITCH(weekday(BE$4), 1, 0, 2, if(ISBLANK('2025'!$P23), 0, 1), 3, if(ISBLANK('2025'!$Q23), 0, 1), 4, if(ISBLANK('2025'!$R23), 0, 1), 5, if(ISBLANK('2025'!$S23), 0, 1), 6, if(ISBLANK('2025'!$T23), 0, 1), 7, 0))), 1, "")</f>
        <v/>
      </c>
      <c r="BF23" s="1" t="str">
        <f>IF(AND(AND(AND(BF$4&gt;='2025'!$L23,BF$4&lt;='2025'!$M23), BF$4&lt;&gt;DATE(2025,7,4)), (SWITCH(weekday(BF$4), 1, 0, 2, if(ISBLANK('2025'!$P23), 0, 1), 3, if(ISBLANK('2025'!$Q23), 0, 1), 4, if(ISBLANK('2025'!$R23), 0, 1), 5, if(ISBLANK('2025'!$S23), 0, 1), 6, if(ISBLANK('2025'!$T23), 0, 1), 7, 0))), 1, "")</f>
        <v/>
      </c>
      <c r="BG23" s="1"/>
      <c r="BH23" s="1"/>
      <c r="BI23" s="1"/>
      <c r="BJ23" s="1"/>
      <c r="BK23" s="1"/>
      <c r="BL23" s="1"/>
    </row>
    <row r="24">
      <c r="A24" s="1">
        <f t="shared" si="3"/>
        <v>24</v>
      </c>
      <c r="B24" s="1" t="str">
        <f>'2025'!D24</f>
        <v>blanco, alex</v>
      </c>
      <c r="C24" s="1" t="str">
        <f>'2025'!H24</f>
        <v>infant </v>
      </c>
      <c r="D24" s="1" t="str">
        <f>IF(AND(AND(AND(D$4&gt;='2025'!$L24,D$4&lt;='2025'!$M24), D$4&lt;&gt;DATE(2025,7,4)), (SWITCH(weekday(D$4), 1, 0, 2, if(ISBLANK('2025'!$P24), 0, 1), 3, if(ISBLANK('2025'!$Q24), 0, 1), 4, if(ISBLANK('2025'!$R24), 0, 1), 5, if(ISBLANK('2025'!$S24), 0, 1), 6, if(ISBLANK('2025'!$T24), 0, 1), 7, 0))), 1, "")</f>
        <v/>
      </c>
      <c r="E24" s="1" t="str">
        <f>IF(AND(AND(AND(E$4&gt;='2025'!$L24,E$4&lt;='2025'!$M24), E$4&lt;&gt;DATE(2025,7,4)), (SWITCH(weekday(E$4), 1, 0, 2, if(ISBLANK('2025'!$P24), 0, 1), 3, if(ISBLANK('2025'!$Q24), 0, 1), 4, if(ISBLANK('2025'!$R24), 0, 1), 5, if(ISBLANK('2025'!$S24), 0, 1), 6, if(ISBLANK('2025'!$T24), 0, 1), 7, 0))), 1, "")</f>
        <v/>
      </c>
      <c r="F24" s="1" t="str">
        <f>IF(AND(AND(AND(F$4&gt;='2025'!$L24,F$4&lt;='2025'!$M24), F$4&lt;&gt;DATE(2025,7,4)), (SWITCH(weekday(F$4), 1, 0, 2, if(ISBLANK('2025'!$P24), 0, 1), 3, if(ISBLANK('2025'!$Q24), 0, 1), 4, if(ISBLANK('2025'!$R24), 0, 1), 5, if(ISBLANK('2025'!$S24), 0, 1), 6, if(ISBLANK('2025'!$T24), 0, 1), 7, 0))), 1, "")</f>
        <v/>
      </c>
      <c r="G24" s="1" t="str">
        <f>IF(AND(AND(AND(G$4&gt;='2025'!$L24,G$4&lt;='2025'!$M24), G$4&lt;&gt;DATE(2025,7,4)), (SWITCH(weekday(G$4), 1, 0, 2, if(ISBLANK('2025'!$P24), 0, 1), 3, if(ISBLANK('2025'!$Q24), 0, 1), 4, if(ISBLANK('2025'!$R24), 0, 1), 5, if(ISBLANK('2025'!$S24), 0, 1), 6, if(ISBLANK('2025'!$T24), 0, 1), 7, 0))), 1, "")</f>
        <v/>
      </c>
      <c r="H24" s="1" t="str">
        <f>IF(AND(AND(AND(H$4&gt;='2025'!$L24,H$4&lt;='2025'!$M24), H$4&lt;&gt;DATE(2025,7,4)), (SWITCH(weekday(H$4), 1, 0, 2, if(ISBLANK('2025'!$P24), 0, 1), 3, if(ISBLANK('2025'!$Q24), 0, 1), 4, if(ISBLANK('2025'!$R24), 0, 1), 5, if(ISBLANK('2025'!$S24), 0, 1), 6, if(ISBLANK('2025'!$T24), 0, 1), 7, 0))), 1, "")</f>
        <v/>
      </c>
      <c r="I24" s="1" t="str">
        <f>IF(AND(AND(AND(I$4&gt;='2025'!$L24,I$4&lt;='2025'!$M24), I$4&lt;&gt;DATE(2025,7,4)), (SWITCH(weekday(I$4), 1, 0, 2, if(ISBLANK('2025'!$P24), 0, 1), 3, if(ISBLANK('2025'!$Q24), 0, 1), 4, if(ISBLANK('2025'!$R24), 0, 1), 5, if(ISBLANK('2025'!$S24), 0, 1), 6, if(ISBLANK('2025'!$T24), 0, 1), 7, 0))), 1, "")</f>
        <v/>
      </c>
      <c r="J24" s="1" t="str">
        <f>IF(AND(AND(AND(J$4&gt;='2025'!$L24,J$4&lt;='2025'!$M24), J$4&lt;&gt;DATE(2025,7,4)), (SWITCH(weekday(J$4), 1, 0, 2, if(ISBLANK('2025'!$P24), 0, 1), 3, if(ISBLANK('2025'!$Q24), 0, 1), 4, if(ISBLANK('2025'!$R24), 0, 1), 5, if(ISBLANK('2025'!$S24), 0, 1), 6, if(ISBLANK('2025'!$T24), 0, 1), 7, 0))), 1, "")</f>
        <v/>
      </c>
      <c r="K24" s="1" t="str">
        <f>IF(AND(AND(AND(K$4&gt;='2025'!$L24,K$4&lt;='2025'!$M24), K$4&lt;&gt;DATE(2025,7,4)), (SWITCH(weekday(K$4), 1, 0, 2, if(ISBLANK('2025'!$P24), 0, 1), 3, if(ISBLANK('2025'!$Q24), 0, 1), 4, if(ISBLANK('2025'!$R24), 0, 1), 5, if(ISBLANK('2025'!$S24), 0, 1), 6, if(ISBLANK('2025'!$T24), 0, 1), 7, 0))), 1, "")</f>
        <v/>
      </c>
      <c r="L24" s="1" t="str">
        <f>IF(AND(AND(AND(L$4&gt;='2025'!$L24,L$4&lt;='2025'!$M24), L$4&lt;&gt;DATE(2025,7,4)), (SWITCH(weekday(L$4), 1, 0, 2, if(ISBLANK('2025'!$P24), 0, 1), 3, if(ISBLANK('2025'!$Q24), 0, 1), 4, if(ISBLANK('2025'!$R24), 0, 1), 5, if(ISBLANK('2025'!$S24), 0, 1), 6, if(ISBLANK('2025'!$T24), 0, 1), 7, 0))), 1, "")</f>
        <v/>
      </c>
      <c r="M24" s="1" t="str">
        <f>IF(AND(AND(AND(M$4&gt;='2025'!$L24,M$4&lt;='2025'!$M24), M$4&lt;&gt;DATE(2025,7,4)), (SWITCH(weekday(M$4), 1, 0, 2, if(ISBLANK('2025'!$P24), 0, 1), 3, if(ISBLANK('2025'!$Q24), 0, 1), 4, if(ISBLANK('2025'!$R24), 0, 1), 5, if(ISBLANK('2025'!$S24), 0, 1), 6, if(ISBLANK('2025'!$T24), 0, 1), 7, 0))), 1, "")</f>
        <v/>
      </c>
      <c r="N24" s="1" t="str">
        <f>IF(AND(AND(AND(N$4&gt;='2025'!$L24,N$4&lt;='2025'!$M24), N$4&lt;&gt;DATE(2025,7,4)), (SWITCH(weekday(N$4), 1, 0, 2, if(ISBLANK('2025'!$P24), 0, 1), 3, if(ISBLANK('2025'!$Q24), 0, 1), 4, if(ISBLANK('2025'!$R24), 0, 1), 5, if(ISBLANK('2025'!$S24), 0, 1), 6, if(ISBLANK('2025'!$T24), 0, 1), 7, 0))), 1, "")</f>
        <v/>
      </c>
      <c r="O24" s="1" t="str">
        <f>IF(AND(AND(AND(O$4&gt;='2025'!$L24,O$4&lt;='2025'!$M24), O$4&lt;&gt;DATE(2025,7,4)), (SWITCH(weekday(O$4), 1, 0, 2, if(ISBLANK('2025'!$P24), 0, 1), 3, if(ISBLANK('2025'!$Q24), 0, 1), 4, if(ISBLANK('2025'!$R24), 0, 1), 5, if(ISBLANK('2025'!$S24), 0, 1), 6, if(ISBLANK('2025'!$T24), 0, 1), 7, 0))), 1, "")</f>
        <v/>
      </c>
      <c r="P24" s="1" t="str">
        <f>IF(AND(AND(AND(P$4&gt;='2025'!$L24,P$4&lt;='2025'!$M24), P$4&lt;&gt;DATE(2025,7,4)), (SWITCH(weekday(P$4), 1, 0, 2, if(ISBLANK('2025'!$P24), 0, 1), 3, if(ISBLANK('2025'!$Q24), 0, 1), 4, if(ISBLANK('2025'!$R24), 0, 1), 5, if(ISBLANK('2025'!$S24), 0, 1), 6, if(ISBLANK('2025'!$T24), 0, 1), 7, 0))), 1, "")</f>
        <v/>
      </c>
      <c r="Q24" s="1" t="str">
        <f>IF(AND(AND(AND(Q$4&gt;='2025'!$L24,Q$4&lt;='2025'!$M24), Q$4&lt;&gt;DATE(2025,7,4)), (SWITCH(weekday(Q$4), 1, 0, 2, if(ISBLANK('2025'!$P24), 0, 1), 3, if(ISBLANK('2025'!$Q24), 0, 1), 4, if(ISBLANK('2025'!$R24), 0, 1), 5, if(ISBLANK('2025'!$S24), 0, 1), 6, if(ISBLANK('2025'!$T24), 0, 1), 7, 0))), 1, "")</f>
        <v/>
      </c>
      <c r="R24" s="1" t="str">
        <f>IF(AND(AND(AND(R$4&gt;='2025'!$L24,R$4&lt;='2025'!$M24), R$4&lt;&gt;DATE(2025,7,4)), (SWITCH(weekday(R$4), 1, 0, 2, if(ISBLANK('2025'!$P24), 0, 1), 3, if(ISBLANK('2025'!$Q24), 0, 1), 4, if(ISBLANK('2025'!$R24), 0, 1), 5, if(ISBLANK('2025'!$S24), 0, 1), 6, if(ISBLANK('2025'!$T24), 0, 1), 7, 0))), 1, "")</f>
        <v/>
      </c>
      <c r="S24" s="1" t="str">
        <f>IF(AND(AND(AND(S$4&gt;='2025'!$L24,S$4&lt;='2025'!$M24), S$4&lt;&gt;DATE(2025,7,4)), (SWITCH(weekday(S$4), 1, 0, 2, if(ISBLANK('2025'!$P24), 0, 1), 3, if(ISBLANK('2025'!$Q24), 0, 1), 4, if(ISBLANK('2025'!$R24), 0, 1), 5, if(ISBLANK('2025'!$S24), 0, 1), 6, if(ISBLANK('2025'!$T24), 0, 1), 7, 0))), 1, "")</f>
        <v/>
      </c>
      <c r="T24" s="1" t="str">
        <f>IF(AND(AND(AND(T$4&gt;='2025'!$L24,T$4&lt;='2025'!$M24), T$4&lt;&gt;DATE(2025,7,4)), (SWITCH(weekday(T$4), 1, 0, 2, if(ISBLANK('2025'!$P24), 0, 1), 3, if(ISBLANK('2025'!$Q24), 0, 1), 4, if(ISBLANK('2025'!$R24), 0, 1), 5, if(ISBLANK('2025'!$S24), 0, 1), 6, if(ISBLANK('2025'!$T24), 0, 1), 7, 0))), 1, "")</f>
        <v/>
      </c>
      <c r="U24" s="1" t="str">
        <f>IF(AND(AND(AND(U$4&gt;='2025'!$L24,U$4&lt;='2025'!$M24), U$4&lt;&gt;DATE(2025,7,4)), (SWITCH(weekday(U$4), 1, 0, 2, if(ISBLANK('2025'!$P24), 0, 1), 3, if(ISBLANK('2025'!$Q24), 0, 1), 4, if(ISBLANK('2025'!$R24), 0, 1), 5, if(ISBLANK('2025'!$S24), 0, 1), 6, if(ISBLANK('2025'!$T24), 0, 1), 7, 0))), 1, "")</f>
        <v/>
      </c>
      <c r="V24" s="1" t="str">
        <f>IF(AND(AND(AND(V$4&gt;='2025'!$L24,V$4&lt;='2025'!$M24), V$4&lt;&gt;DATE(2025,7,4)), (SWITCH(weekday(V$4), 1, 0, 2, if(ISBLANK('2025'!$P24), 0, 1), 3, if(ISBLANK('2025'!$Q24), 0, 1), 4, if(ISBLANK('2025'!$R24), 0, 1), 5, if(ISBLANK('2025'!$S24), 0, 1), 6, if(ISBLANK('2025'!$T24), 0, 1), 7, 0))), 1, "")</f>
        <v/>
      </c>
      <c r="W24" s="1" t="str">
        <f>IF(AND(AND(AND(W$4&gt;='2025'!$L24,W$4&lt;='2025'!$M24), W$4&lt;&gt;DATE(2025,7,4)), (SWITCH(weekday(W$4), 1, 0, 2, if(ISBLANK('2025'!$P24), 0, 1), 3, if(ISBLANK('2025'!$Q24), 0, 1), 4, if(ISBLANK('2025'!$R24), 0, 1), 5, if(ISBLANK('2025'!$S24), 0, 1), 6, if(ISBLANK('2025'!$T24), 0, 1), 7, 0))), 1, "")</f>
        <v/>
      </c>
      <c r="X24" s="1" t="str">
        <f>IF(AND(AND(AND(X$4&gt;='2025'!$L24,X$4&lt;='2025'!$M24), X$4&lt;&gt;DATE(2025,7,4)), (SWITCH(weekday(X$4), 1, 0, 2, if(ISBLANK('2025'!$P24), 0, 1), 3, if(ISBLANK('2025'!$Q24), 0, 1), 4, if(ISBLANK('2025'!$R24), 0, 1), 5, if(ISBLANK('2025'!$S24), 0, 1), 6, if(ISBLANK('2025'!$T24), 0, 1), 7, 0))), 1, "")</f>
        <v/>
      </c>
      <c r="Y24" s="1" t="str">
        <f>IF(AND(AND(AND(Y$4&gt;='2025'!$L24,Y$4&lt;='2025'!$M24), Y$4&lt;&gt;DATE(2025,7,4)), (SWITCH(weekday(Y$4), 1, 0, 2, if(ISBLANK('2025'!$P24), 0, 1), 3, if(ISBLANK('2025'!$Q24), 0, 1), 4, if(ISBLANK('2025'!$R24), 0, 1), 5, if(ISBLANK('2025'!$S24), 0, 1), 6, if(ISBLANK('2025'!$T24), 0, 1), 7, 0))), 1, "")</f>
        <v/>
      </c>
      <c r="Z24" s="1" t="str">
        <f>IF(AND(AND(AND(Z$4&gt;='2025'!$L24,Z$4&lt;='2025'!$M24), Z$4&lt;&gt;DATE(2025,7,4)), (SWITCH(weekday(Z$4), 1, 0, 2, if(ISBLANK('2025'!$P24), 0, 1), 3, if(ISBLANK('2025'!$Q24), 0, 1), 4, if(ISBLANK('2025'!$R24), 0, 1), 5, if(ISBLANK('2025'!$S24), 0, 1), 6, if(ISBLANK('2025'!$T24), 0, 1), 7, 0))), 1, "")</f>
        <v/>
      </c>
      <c r="AA24" s="1" t="str">
        <f>IF(AND(AND(AND(AA$4&gt;='2025'!$L24,AA$4&lt;='2025'!$M24), AA$4&lt;&gt;DATE(2025,7,4)), (SWITCH(weekday(AA$4), 1, 0, 2, if(ISBLANK('2025'!$P24), 0, 1), 3, if(ISBLANK('2025'!$Q24), 0, 1), 4, if(ISBLANK('2025'!$R24), 0, 1), 5, if(ISBLANK('2025'!$S24), 0, 1), 6, if(ISBLANK('2025'!$T24), 0, 1), 7, 0))), 1, "")</f>
        <v/>
      </c>
      <c r="AB24" s="1" t="str">
        <f>IF(AND(AND(AND(AB$4&gt;='2025'!$L24,AB$4&lt;='2025'!$M24), AB$4&lt;&gt;DATE(2025,7,4)), (SWITCH(weekday(AB$4), 1, 0, 2, if(ISBLANK('2025'!$P24), 0, 1), 3, if(ISBLANK('2025'!$Q24), 0, 1), 4, if(ISBLANK('2025'!$R24), 0, 1), 5, if(ISBLANK('2025'!$S24), 0, 1), 6, if(ISBLANK('2025'!$T24), 0, 1), 7, 0))), 1, "")</f>
        <v/>
      </c>
      <c r="AC24" s="1" t="str">
        <f>IF(AND(AND(AND(AC$4&gt;='2025'!$L24,AC$4&lt;='2025'!$M24), AC$4&lt;&gt;DATE(2025,7,4)), (SWITCH(weekday(AC$4), 1, 0, 2, if(ISBLANK('2025'!$P24), 0, 1), 3, if(ISBLANK('2025'!$Q24), 0, 1), 4, if(ISBLANK('2025'!$R24), 0, 1), 5, if(ISBLANK('2025'!$S24), 0, 1), 6, if(ISBLANK('2025'!$T24), 0, 1), 7, 0))), 1, "")</f>
        <v/>
      </c>
      <c r="AD24" s="1" t="str">
        <f>IF(AND(AND(AND(AD$4&gt;='2025'!$L24,AD$4&lt;='2025'!$M24), AD$4&lt;&gt;DATE(2025,7,4)), (SWITCH(weekday(AD$4), 1, 0, 2, if(ISBLANK('2025'!$P24), 0, 1), 3, if(ISBLANK('2025'!$Q24), 0, 1), 4, if(ISBLANK('2025'!$R24), 0, 1), 5, if(ISBLANK('2025'!$S24), 0, 1), 6, if(ISBLANK('2025'!$T24), 0, 1), 7, 0))), 1, "")</f>
        <v/>
      </c>
      <c r="AE24" s="1" t="str">
        <f>IF(AND(AND(AND(AE$4&gt;='2025'!$L24,AE$4&lt;='2025'!$M24), AE$4&lt;&gt;DATE(2025,7,4)), (SWITCH(weekday(AE$4), 1, 0, 2, if(ISBLANK('2025'!$P24), 0, 1), 3, if(ISBLANK('2025'!$Q24), 0, 1), 4, if(ISBLANK('2025'!$R24), 0, 1), 5, if(ISBLANK('2025'!$S24), 0, 1), 6, if(ISBLANK('2025'!$T24), 0, 1), 7, 0))), 1, "")</f>
        <v/>
      </c>
      <c r="AF24" s="1" t="str">
        <f>IF(AND(AND(AND(AF$4&gt;='2025'!$L24,AF$4&lt;='2025'!$M24), AF$4&lt;&gt;DATE(2025,7,4)), (SWITCH(weekday(AF$4), 1, 0, 2, if(ISBLANK('2025'!$P24), 0, 1), 3, if(ISBLANK('2025'!$Q24), 0, 1), 4, if(ISBLANK('2025'!$R24), 0, 1), 5, if(ISBLANK('2025'!$S24), 0, 1), 6, if(ISBLANK('2025'!$T24), 0, 1), 7, 0))), 1, "")</f>
        <v/>
      </c>
      <c r="AG24" s="1" t="str">
        <f>IF(AND(AND(AND(AG$4&gt;='2025'!$L24,AG$4&lt;='2025'!$M24), AG$4&lt;&gt;DATE(2025,7,4)), (SWITCH(weekday(AG$4), 1, 0, 2, if(ISBLANK('2025'!$P24), 0, 1), 3, if(ISBLANK('2025'!$Q24), 0, 1), 4, if(ISBLANK('2025'!$R24), 0, 1), 5, if(ISBLANK('2025'!$S24), 0, 1), 6, if(ISBLANK('2025'!$T24), 0, 1), 7, 0))), 1, "")</f>
        <v/>
      </c>
      <c r="AH24" s="1" t="str">
        <f>IF(AND(AND(AND(AH$4&gt;='2025'!$L24,AH$4&lt;='2025'!$M24), AH$4&lt;&gt;DATE(2025,7,4)), (SWITCH(weekday(AH$4), 1, 0, 2, if(ISBLANK('2025'!$P24), 0, 1), 3, if(ISBLANK('2025'!$Q24), 0, 1), 4, if(ISBLANK('2025'!$R24), 0, 1), 5, if(ISBLANK('2025'!$S24), 0, 1), 6, if(ISBLANK('2025'!$T24), 0, 1), 7, 0))), 1, "")</f>
        <v/>
      </c>
      <c r="AI24" s="1" t="str">
        <f>IF(AND(AND(AND(AI$4&gt;='2025'!$L24,AI$4&lt;='2025'!$M24), AI$4&lt;&gt;DATE(2025,7,4)), (SWITCH(weekday(AI$4), 1, 0, 2, if(ISBLANK('2025'!$P24), 0, 1), 3, if(ISBLANK('2025'!$Q24), 0, 1), 4, if(ISBLANK('2025'!$R24), 0, 1), 5, if(ISBLANK('2025'!$S24), 0, 1), 6, if(ISBLANK('2025'!$T24), 0, 1), 7, 0))), 1, "")</f>
        <v/>
      </c>
      <c r="AJ24" s="1" t="str">
        <f>IF(AND(AND(AND(AJ$4&gt;='2025'!$L24,AJ$4&lt;='2025'!$M24), AJ$4&lt;&gt;DATE(2025,7,4)), (SWITCH(weekday(AJ$4), 1, 0, 2, if(ISBLANK('2025'!$P24), 0, 1), 3, if(ISBLANK('2025'!$Q24), 0, 1), 4, if(ISBLANK('2025'!$R24), 0, 1), 5, if(ISBLANK('2025'!$S24), 0, 1), 6, if(ISBLANK('2025'!$T24), 0, 1), 7, 0))), 1, "")</f>
        <v/>
      </c>
      <c r="AK24" s="1" t="str">
        <f>IF(AND(AND(AND(AK$4&gt;='2025'!$L24,AK$4&lt;='2025'!$M24), AK$4&lt;&gt;DATE(2025,7,4)), (SWITCH(weekday(AK$4), 1, 0, 2, if(ISBLANK('2025'!$P24), 0, 1), 3, if(ISBLANK('2025'!$Q24), 0, 1), 4, if(ISBLANK('2025'!$R24), 0, 1), 5, if(ISBLANK('2025'!$S24), 0, 1), 6, if(ISBLANK('2025'!$T24), 0, 1), 7, 0))), 1, "")</f>
        <v/>
      </c>
      <c r="AL24" s="1" t="str">
        <f>IF(AND(AND(AND(AL$4&gt;='2025'!$L24,AL$4&lt;='2025'!$M24), AL$4&lt;&gt;DATE(2025,7,4)), (SWITCH(weekday(AL$4), 1, 0, 2, if(ISBLANK('2025'!$P24), 0, 1), 3, if(ISBLANK('2025'!$Q24), 0, 1), 4, if(ISBLANK('2025'!$R24), 0, 1), 5, if(ISBLANK('2025'!$S24), 0, 1), 6, if(ISBLANK('2025'!$T24), 0, 1), 7, 0))), 1, "")</f>
        <v/>
      </c>
      <c r="AM24" s="1" t="str">
        <f>IF(AND(AND(AND(AM$4&gt;='2025'!$L24,AM$4&lt;='2025'!$M24), AM$4&lt;&gt;DATE(2025,7,4)), (SWITCH(weekday(AM$4), 1, 0, 2, if(ISBLANK('2025'!$P24), 0, 1), 3, if(ISBLANK('2025'!$Q24), 0, 1), 4, if(ISBLANK('2025'!$R24), 0, 1), 5, if(ISBLANK('2025'!$S24), 0, 1), 6, if(ISBLANK('2025'!$T24), 0, 1), 7, 0))), 1, "")</f>
        <v/>
      </c>
      <c r="AN24" s="1" t="str">
        <f>IF(AND(AND(AND(AN$4&gt;='2025'!$L24,AN$4&lt;='2025'!$M24), AN$4&lt;&gt;DATE(2025,7,4)), (SWITCH(weekday(AN$4), 1, 0, 2, if(ISBLANK('2025'!$P24), 0, 1), 3, if(ISBLANK('2025'!$Q24), 0, 1), 4, if(ISBLANK('2025'!$R24), 0, 1), 5, if(ISBLANK('2025'!$S24), 0, 1), 6, if(ISBLANK('2025'!$T24), 0, 1), 7, 0))), 1, "")</f>
        <v/>
      </c>
      <c r="AO24" s="1" t="str">
        <f>IF(AND(AND(AND(AO$4&gt;='2025'!$L24,AO$4&lt;='2025'!$M24), AO$4&lt;&gt;DATE(2025,7,4)), (SWITCH(weekday(AO$4), 1, 0, 2, if(ISBLANK('2025'!$P24), 0, 1), 3, if(ISBLANK('2025'!$Q24), 0, 1), 4, if(ISBLANK('2025'!$R24), 0, 1), 5, if(ISBLANK('2025'!$S24), 0, 1), 6, if(ISBLANK('2025'!$T24), 0, 1), 7, 0))), 1, "")</f>
        <v/>
      </c>
      <c r="AP24" s="1" t="str">
        <f>IF(AND(AND(AND(AP$4&gt;='2025'!$L24,AP$4&lt;='2025'!$M24), AP$4&lt;&gt;DATE(2025,7,4)), (SWITCH(weekday(AP$4), 1, 0, 2, if(ISBLANK('2025'!$P24), 0, 1), 3, if(ISBLANK('2025'!$Q24), 0, 1), 4, if(ISBLANK('2025'!$R24), 0, 1), 5, if(ISBLANK('2025'!$S24), 0, 1), 6, if(ISBLANK('2025'!$T24), 0, 1), 7, 0))), 1, "")</f>
        <v/>
      </c>
      <c r="AQ24" s="1" t="str">
        <f>IF(AND(AND(AND(AQ$4&gt;='2025'!$L24,AQ$4&lt;='2025'!$M24), AQ$4&lt;&gt;DATE(2025,7,4)), (SWITCH(weekday(AQ$4), 1, 0, 2, if(ISBLANK('2025'!$P24), 0, 1), 3, if(ISBLANK('2025'!$Q24), 0, 1), 4, if(ISBLANK('2025'!$R24), 0, 1), 5, if(ISBLANK('2025'!$S24), 0, 1), 6, if(ISBLANK('2025'!$T24), 0, 1), 7, 0))), 1, "")</f>
        <v/>
      </c>
      <c r="AR24" s="1" t="str">
        <f>IF(AND(AND(AND(AR$4&gt;='2025'!$L24,AR$4&lt;='2025'!$M24), AR$4&lt;&gt;DATE(2025,7,4)), (SWITCH(weekday(AR$4), 1, 0, 2, if(ISBLANK('2025'!$P24), 0, 1), 3, if(ISBLANK('2025'!$Q24), 0, 1), 4, if(ISBLANK('2025'!$R24), 0, 1), 5, if(ISBLANK('2025'!$S24), 0, 1), 6, if(ISBLANK('2025'!$T24), 0, 1), 7, 0))), 1, "")</f>
        <v/>
      </c>
      <c r="AS24" s="1" t="str">
        <f>IF(AND(AND(AND(AS$4&gt;='2025'!$L24,AS$4&lt;='2025'!$M24), AS$4&lt;&gt;DATE(2025,7,4)), (SWITCH(weekday(AS$4), 1, 0, 2, if(ISBLANK('2025'!$P24), 0, 1), 3, if(ISBLANK('2025'!$Q24), 0, 1), 4, if(ISBLANK('2025'!$R24), 0, 1), 5, if(ISBLANK('2025'!$S24), 0, 1), 6, if(ISBLANK('2025'!$T24), 0, 1), 7, 0))), 1, "")</f>
        <v/>
      </c>
      <c r="AT24" s="1" t="str">
        <f>IF(AND(AND(AND(AT$4&gt;='2025'!$L24,AT$4&lt;='2025'!$M24), AT$4&lt;&gt;DATE(2025,7,4)), (SWITCH(weekday(AT$4), 1, 0, 2, if(ISBLANK('2025'!$P24), 0, 1), 3, if(ISBLANK('2025'!$Q24), 0, 1), 4, if(ISBLANK('2025'!$R24), 0, 1), 5, if(ISBLANK('2025'!$S24), 0, 1), 6, if(ISBLANK('2025'!$T24), 0, 1), 7, 0))), 1, "")</f>
        <v/>
      </c>
      <c r="AU24" s="1" t="str">
        <f>IF(AND(AND(AND(AU$4&gt;='2025'!$L24,AU$4&lt;='2025'!$M24), AU$4&lt;&gt;DATE(2025,7,4)), (SWITCH(weekday(AU$4), 1, 0, 2, if(ISBLANK('2025'!$P24), 0, 1), 3, if(ISBLANK('2025'!$Q24), 0, 1), 4, if(ISBLANK('2025'!$R24), 0, 1), 5, if(ISBLANK('2025'!$S24), 0, 1), 6, if(ISBLANK('2025'!$T24), 0, 1), 7, 0))), 1, "")</f>
        <v/>
      </c>
      <c r="AV24" s="1" t="str">
        <f>IF(AND(AND(AND(AV$4&gt;='2025'!$L24,AV$4&lt;='2025'!$M24), AV$4&lt;&gt;DATE(2025,7,4)), (SWITCH(weekday(AV$4), 1, 0, 2, if(ISBLANK('2025'!$P24), 0, 1), 3, if(ISBLANK('2025'!$Q24), 0, 1), 4, if(ISBLANK('2025'!$R24), 0, 1), 5, if(ISBLANK('2025'!$S24), 0, 1), 6, if(ISBLANK('2025'!$T24), 0, 1), 7, 0))), 1, "")</f>
        <v/>
      </c>
      <c r="AW24" s="1" t="str">
        <f>IF(AND(AND(AND(AW$4&gt;='2025'!$L24,AW$4&lt;='2025'!$M24), AW$4&lt;&gt;DATE(2025,7,4)), (SWITCH(weekday(AW$4), 1, 0, 2, if(ISBLANK('2025'!$P24), 0, 1), 3, if(ISBLANK('2025'!$Q24), 0, 1), 4, if(ISBLANK('2025'!$R24), 0, 1), 5, if(ISBLANK('2025'!$S24), 0, 1), 6, if(ISBLANK('2025'!$T24), 0, 1), 7, 0))), 1, "")</f>
        <v/>
      </c>
      <c r="AX24" s="1" t="str">
        <f>IF(AND(AND(AND(AX$4&gt;='2025'!$L24,AX$4&lt;='2025'!$M24), AX$4&lt;&gt;DATE(2025,7,4)), (SWITCH(weekday(AX$4), 1, 0, 2, if(ISBLANK('2025'!$P24), 0, 1), 3, if(ISBLANK('2025'!$Q24), 0, 1), 4, if(ISBLANK('2025'!$R24), 0, 1), 5, if(ISBLANK('2025'!$S24), 0, 1), 6, if(ISBLANK('2025'!$T24), 0, 1), 7, 0))), 1, "")</f>
        <v/>
      </c>
      <c r="AY24" s="1" t="str">
        <f>IF(AND(AND(AND(AY$4&gt;='2025'!$L24,AY$4&lt;='2025'!$M24), AY$4&lt;&gt;DATE(2025,7,4)), (SWITCH(weekday(AY$4), 1, 0, 2, if(ISBLANK('2025'!$P24), 0, 1), 3, if(ISBLANK('2025'!$Q24), 0, 1), 4, if(ISBLANK('2025'!$R24), 0, 1), 5, if(ISBLANK('2025'!$S24), 0, 1), 6, if(ISBLANK('2025'!$T24), 0, 1), 7, 0))), 1, "")</f>
        <v/>
      </c>
      <c r="AZ24" s="1" t="str">
        <f>IF(AND(AND(AND(AZ$4&gt;='2025'!$L24,AZ$4&lt;='2025'!$M24), AZ$4&lt;&gt;DATE(2025,7,4)), (SWITCH(weekday(AZ$4), 1, 0, 2, if(ISBLANK('2025'!$P24), 0, 1), 3, if(ISBLANK('2025'!$Q24), 0, 1), 4, if(ISBLANK('2025'!$R24), 0, 1), 5, if(ISBLANK('2025'!$S24), 0, 1), 6, if(ISBLANK('2025'!$T24), 0, 1), 7, 0))), 1, "")</f>
        <v/>
      </c>
      <c r="BA24" s="1" t="str">
        <f>IF(AND(AND(AND(BA$4&gt;='2025'!$L24,BA$4&lt;='2025'!$M24), BA$4&lt;&gt;DATE(2025,7,4)), (SWITCH(weekday(BA$4), 1, 0, 2, if(ISBLANK('2025'!$P24), 0, 1), 3, if(ISBLANK('2025'!$Q24), 0, 1), 4, if(ISBLANK('2025'!$R24), 0, 1), 5, if(ISBLANK('2025'!$S24), 0, 1), 6, if(ISBLANK('2025'!$T24), 0, 1), 7, 0))), 1, "")</f>
        <v/>
      </c>
      <c r="BB24" s="1" t="str">
        <f>IF(AND(AND(AND(BB$4&gt;='2025'!$L24,BB$4&lt;='2025'!$M24), BB$4&lt;&gt;DATE(2025,7,4)), (SWITCH(weekday(BB$4), 1, 0, 2, if(ISBLANK('2025'!$P24), 0, 1), 3, if(ISBLANK('2025'!$Q24), 0, 1), 4, if(ISBLANK('2025'!$R24), 0, 1), 5, if(ISBLANK('2025'!$S24), 0, 1), 6, if(ISBLANK('2025'!$T24), 0, 1), 7, 0))), 1, "")</f>
        <v/>
      </c>
      <c r="BC24" s="1" t="str">
        <f>IF(AND(AND(AND(BC$4&gt;='2025'!$L24,BC$4&lt;='2025'!$M24), BC$4&lt;&gt;DATE(2025,7,4)), (SWITCH(weekday(BC$4), 1, 0, 2, if(ISBLANK('2025'!$P24), 0, 1), 3, if(ISBLANK('2025'!$Q24), 0, 1), 4, if(ISBLANK('2025'!$R24), 0, 1), 5, if(ISBLANK('2025'!$S24), 0, 1), 6, if(ISBLANK('2025'!$T24), 0, 1), 7, 0))), 1, "")</f>
        <v/>
      </c>
      <c r="BD24" s="1" t="str">
        <f>IF(AND(AND(AND(BD$4&gt;='2025'!$L24,BD$4&lt;='2025'!$M24), BD$4&lt;&gt;DATE(2025,7,4)), (SWITCH(weekday(BD$4), 1, 0, 2, if(ISBLANK('2025'!$P24), 0, 1), 3, if(ISBLANK('2025'!$Q24), 0, 1), 4, if(ISBLANK('2025'!$R24), 0, 1), 5, if(ISBLANK('2025'!$S24), 0, 1), 6, if(ISBLANK('2025'!$T24), 0, 1), 7, 0))), 1, "")</f>
        <v/>
      </c>
      <c r="BE24" s="1" t="str">
        <f>IF(AND(AND(AND(BE$4&gt;='2025'!$L24,BE$4&lt;='2025'!$M24), BE$4&lt;&gt;DATE(2025,7,4)), (SWITCH(weekday(BE$4), 1, 0, 2, if(ISBLANK('2025'!$P24), 0, 1), 3, if(ISBLANK('2025'!$Q24), 0, 1), 4, if(ISBLANK('2025'!$R24), 0, 1), 5, if(ISBLANK('2025'!$S24), 0, 1), 6, if(ISBLANK('2025'!$T24), 0, 1), 7, 0))), 1, "")</f>
        <v/>
      </c>
      <c r="BF24" s="1" t="str">
        <f>IF(AND(AND(AND(BF$4&gt;='2025'!$L24,BF$4&lt;='2025'!$M24), BF$4&lt;&gt;DATE(2025,7,4)), (SWITCH(weekday(BF$4), 1, 0, 2, if(ISBLANK('2025'!$P24), 0, 1), 3, if(ISBLANK('2025'!$Q24), 0, 1), 4, if(ISBLANK('2025'!$R24), 0, 1), 5, if(ISBLANK('2025'!$S24), 0, 1), 6, if(ISBLANK('2025'!$T24), 0, 1), 7, 0))), 1, "")</f>
        <v/>
      </c>
      <c r="BG24" s="1"/>
      <c r="BH24" s="1"/>
      <c r="BI24" s="1"/>
      <c r="BJ24" s="1"/>
      <c r="BK24" s="1"/>
      <c r="BL24" s="1"/>
    </row>
    <row r="25">
      <c r="A25" s="1">
        <f t="shared" si="3"/>
        <v>25</v>
      </c>
      <c r="B25" s="1" t="str">
        <f>'2025'!D25</f>
        <v>Bhattacharya, Diya</v>
      </c>
      <c r="C25" s="1" t="str">
        <f>'2025'!H25</f>
        <v>PK3</v>
      </c>
      <c r="D25" s="1" t="str">
        <f>IF(AND(AND(AND(D$4&gt;='2025'!$L25,D$4&lt;='2025'!$M25), D$4&lt;&gt;DATE(2025,7,4)), (SWITCH(weekday(D$4), 1, 0, 2, if(ISBLANK('2025'!$P25), 0, 1), 3, if(ISBLANK('2025'!$Q25), 0, 1), 4, if(ISBLANK('2025'!$R25), 0, 1), 5, if(ISBLANK('2025'!$S25), 0, 1), 6, if(ISBLANK('2025'!$T25), 0, 1), 7, 0))), 1, "")</f>
        <v/>
      </c>
      <c r="E25" s="1" t="str">
        <f>IF(AND(AND(AND(E$4&gt;='2025'!$L25,E$4&lt;='2025'!$M25), E$4&lt;&gt;DATE(2025,7,4)), (SWITCH(weekday(E$4), 1, 0, 2, if(ISBLANK('2025'!$P25), 0, 1), 3, if(ISBLANK('2025'!$Q25), 0, 1), 4, if(ISBLANK('2025'!$R25), 0, 1), 5, if(ISBLANK('2025'!$S25), 0, 1), 6, if(ISBLANK('2025'!$T25), 0, 1), 7, 0))), 1, "")</f>
        <v/>
      </c>
      <c r="F25" s="1" t="str">
        <f>IF(AND(AND(AND(F$4&gt;='2025'!$L25,F$4&lt;='2025'!$M25), F$4&lt;&gt;DATE(2025,7,4)), (SWITCH(weekday(F$4), 1, 0, 2, if(ISBLANK('2025'!$P25), 0, 1), 3, if(ISBLANK('2025'!$Q25), 0, 1), 4, if(ISBLANK('2025'!$R25), 0, 1), 5, if(ISBLANK('2025'!$S25), 0, 1), 6, if(ISBLANK('2025'!$T25), 0, 1), 7, 0))), 1, "")</f>
        <v/>
      </c>
      <c r="G25" s="1" t="str">
        <f>IF(AND(AND(AND(G$4&gt;='2025'!$L25,G$4&lt;='2025'!$M25), G$4&lt;&gt;DATE(2025,7,4)), (SWITCH(weekday(G$4), 1, 0, 2, if(ISBLANK('2025'!$P25), 0, 1), 3, if(ISBLANK('2025'!$Q25), 0, 1), 4, if(ISBLANK('2025'!$R25), 0, 1), 5, if(ISBLANK('2025'!$S25), 0, 1), 6, if(ISBLANK('2025'!$T25), 0, 1), 7, 0))), 1, "")</f>
        <v/>
      </c>
      <c r="H25" s="1" t="str">
        <f>IF(AND(AND(AND(H$4&gt;='2025'!$L25,H$4&lt;='2025'!$M25), H$4&lt;&gt;DATE(2025,7,4)), (SWITCH(weekday(H$4), 1, 0, 2, if(ISBLANK('2025'!$P25), 0, 1), 3, if(ISBLANK('2025'!$Q25), 0, 1), 4, if(ISBLANK('2025'!$R25), 0, 1), 5, if(ISBLANK('2025'!$S25), 0, 1), 6, if(ISBLANK('2025'!$T25), 0, 1), 7, 0))), 1, "")</f>
        <v/>
      </c>
      <c r="I25" s="1" t="str">
        <f>IF(AND(AND(AND(I$4&gt;='2025'!$L25,I$4&lt;='2025'!$M25), I$4&lt;&gt;DATE(2025,7,4)), (SWITCH(weekday(I$4), 1, 0, 2, if(ISBLANK('2025'!$P25), 0, 1), 3, if(ISBLANK('2025'!$Q25), 0, 1), 4, if(ISBLANK('2025'!$R25), 0, 1), 5, if(ISBLANK('2025'!$S25), 0, 1), 6, if(ISBLANK('2025'!$T25), 0, 1), 7, 0))), 1, "")</f>
        <v/>
      </c>
      <c r="J25" s="1" t="str">
        <f>IF(AND(AND(AND(J$4&gt;='2025'!$L25,J$4&lt;='2025'!$M25), J$4&lt;&gt;DATE(2025,7,4)), (SWITCH(weekday(J$4), 1, 0, 2, if(ISBLANK('2025'!$P25), 0, 1), 3, if(ISBLANK('2025'!$Q25), 0, 1), 4, if(ISBLANK('2025'!$R25), 0, 1), 5, if(ISBLANK('2025'!$S25), 0, 1), 6, if(ISBLANK('2025'!$T25), 0, 1), 7, 0))), 1, "")</f>
        <v/>
      </c>
      <c r="K25" s="1" t="str">
        <f>IF(AND(AND(AND(K$4&gt;='2025'!$L25,K$4&lt;='2025'!$M25), K$4&lt;&gt;DATE(2025,7,4)), (SWITCH(weekday(K$4), 1, 0, 2, if(ISBLANK('2025'!$P25), 0, 1), 3, if(ISBLANK('2025'!$Q25), 0, 1), 4, if(ISBLANK('2025'!$R25), 0, 1), 5, if(ISBLANK('2025'!$S25), 0, 1), 6, if(ISBLANK('2025'!$T25), 0, 1), 7, 0))), 1, "")</f>
        <v/>
      </c>
      <c r="L25" s="1" t="str">
        <f>IF(AND(AND(AND(L$4&gt;='2025'!$L25,L$4&lt;='2025'!$M25), L$4&lt;&gt;DATE(2025,7,4)), (SWITCH(weekday(L$4), 1, 0, 2, if(ISBLANK('2025'!$P25), 0, 1), 3, if(ISBLANK('2025'!$Q25), 0, 1), 4, if(ISBLANK('2025'!$R25), 0, 1), 5, if(ISBLANK('2025'!$S25), 0, 1), 6, if(ISBLANK('2025'!$T25), 0, 1), 7, 0))), 1, "")</f>
        <v/>
      </c>
      <c r="M25" s="1" t="str">
        <f>IF(AND(AND(AND(M$4&gt;='2025'!$L25,M$4&lt;='2025'!$M25), M$4&lt;&gt;DATE(2025,7,4)), (SWITCH(weekday(M$4), 1, 0, 2, if(ISBLANK('2025'!$P25), 0, 1), 3, if(ISBLANK('2025'!$Q25), 0, 1), 4, if(ISBLANK('2025'!$R25), 0, 1), 5, if(ISBLANK('2025'!$S25), 0, 1), 6, if(ISBLANK('2025'!$T25), 0, 1), 7, 0))), 1, "")</f>
        <v/>
      </c>
      <c r="N25" s="1" t="str">
        <f>IF(AND(AND(AND(N$4&gt;='2025'!$L25,N$4&lt;='2025'!$M25), N$4&lt;&gt;DATE(2025,7,4)), (SWITCH(weekday(N$4), 1, 0, 2, if(ISBLANK('2025'!$P25), 0, 1), 3, if(ISBLANK('2025'!$Q25), 0, 1), 4, if(ISBLANK('2025'!$R25), 0, 1), 5, if(ISBLANK('2025'!$S25), 0, 1), 6, if(ISBLANK('2025'!$T25), 0, 1), 7, 0))), 1, "")</f>
        <v/>
      </c>
      <c r="O25" s="1" t="str">
        <f>IF(AND(AND(AND(O$4&gt;='2025'!$L25,O$4&lt;='2025'!$M25), O$4&lt;&gt;DATE(2025,7,4)), (SWITCH(weekday(O$4), 1, 0, 2, if(ISBLANK('2025'!$P25), 0, 1), 3, if(ISBLANK('2025'!$Q25), 0, 1), 4, if(ISBLANK('2025'!$R25), 0, 1), 5, if(ISBLANK('2025'!$S25), 0, 1), 6, if(ISBLANK('2025'!$T25), 0, 1), 7, 0))), 1, "")</f>
        <v/>
      </c>
      <c r="P25" s="1" t="str">
        <f>IF(AND(AND(AND(P$4&gt;='2025'!$L25,P$4&lt;='2025'!$M25), P$4&lt;&gt;DATE(2025,7,4)), (SWITCH(weekday(P$4), 1, 0, 2, if(ISBLANK('2025'!$P25), 0, 1), 3, if(ISBLANK('2025'!$Q25), 0, 1), 4, if(ISBLANK('2025'!$R25), 0, 1), 5, if(ISBLANK('2025'!$S25), 0, 1), 6, if(ISBLANK('2025'!$T25), 0, 1), 7, 0))), 1, "")</f>
        <v/>
      </c>
      <c r="Q25" s="1" t="str">
        <f>IF(AND(AND(AND(Q$4&gt;='2025'!$L25,Q$4&lt;='2025'!$M25), Q$4&lt;&gt;DATE(2025,7,4)), (SWITCH(weekday(Q$4), 1, 0, 2, if(ISBLANK('2025'!$P25), 0, 1), 3, if(ISBLANK('2025'!$Q25), 0, 1), 4, if(ISBLANK('2025'!$R25), 0, 1), 5, if(ISBLANK('2025'!$S25), 0, 1), 6, if(ISBLANK('2025'!$T25), 0, 1), 7, 0))), 1, "")</f>
        <v/>
      </c>
      <c r="R25" s="1" t="str">
        <f>IF(AND(AND(AND(R$4&gt;='2025'!$L25,R$4&lt;='2025'!$M25), R$4&lt;&gt;DATE(2025,7,4)), (SWITCH(weekday(R$4), 1, 0, 2, if(ISBLANK('2025'!$P25), 0, 1), 3, if(ISBLANK('2025'!$Q25), 0, 1), 4, if(ISBLANK('2025'!$R25), 0, 1), 5, if(ISBLANK('2025'!$S25), 0, 1), 6, if(ISBLANK('2025'!$T25), 0, 1), 7, 0))), 1, "")</f>
        <v/>
      </c>
      <c r="S25" s="1" t="str">
        <f>IF(AND(AND(AND(S$4&gt;='2025'!$L25,S$4&lt;='2025'!$M25), S$4&lt;&gt;DATE(2025,7,4)), (SWITCH(weekday(S$4), 1, 0, 2, if(ISBLANK('2025'!$P25), 0, 1), 3, if(ISBLANK('2025'!$Q25), 0, 1), 4, if(ISBLANK('2025'!$R25), 0, 1), 5, if(ISBLANK('2025'!$S25), 0, 1), 6, if(ISBLANK('2025'!$T25), 0, 1), 7, 0))), 1, "")</f>
        <v/>
      </c>
      <c r="T25" s="1" t="str">
        <f>IF(AND(AND(AND(T$4&gt;='2025'!$L25,T$4&lt;='2025'!$M25), T$4&lt;&gt;DATE(2025,7,4)), (SWITCH(weekday(T$4), 1, 0, 2, if(ISBLANK('2025'!$P25), 0, 1), 3, if(ISBLANK('2025'!$Q25), 0, 1), 4, if(ISBLANK('2025'!$R25), 0, 1), 5, if(ISBLANK('2025'!$S25), 0, 1), 6, if(ISBLANK('2025'!$T25), 0, 1), 7, 0))), 1, "")</f>
        <v/>
      </c>
      <c r="U25" s="1" t="str">
        <f>IF(AND(AND(AND(U$4&gt;='2025'!$L25,U$4&lt;='2025'!$M25), U$4&lt;&gt;DATE(2025,7,4)), (SWITCH(weekday(U$4), 1, 0, 2, if(ISBLANK('2025'!$P25), 0, 1), 3, if(ISBLANK('2025'!$Q25), 0, 1), 4, if(ISBLANK('2025'!$R25), 0, 1), 5, if(ISBLANK('2025'!$S25), 0, 1), 6, if(ISBLANK('2025'!$T25), 0, 1), 7, 0))), 1, "")</f>
        <v/>
      </c>
      <c r="V25" s="1" t="str">
        <f>IF(AND(AND(AND(V$4&gt;='2025'!$L25,V$4&lt;='2025'!$M25), V$4&lt;&gt;DATE(2025,7,4)), (SWITCH(weekday(V$4), 1, 0, 2, if(ISBLANK('2025'!$P25), 0, 1), 3, if(ISBLANK('2025'!$Q25), 0, 1), 4, if(ISBLANK('2025'!$R25), 0, 1), 5, if(ISBLANK('2025'!$S25), 0, 1), 6, if(ISBLANK('2025'!$T25), 0, 1), 7, 0))), 1, "")</f>
        <v/>
      </c>
      <c r="W25" s="1" t="str">
        <f>IF(AND(AND(AND(W$4&gt;='2025'!$L25,W$4&lt;='2025'!$M25), W$4&lt;&gt;DATE(2025,7,4)), (SWITCH(weekday(W$4), 1, 0, 2, if(ISBLANK('2025'!$P25), 0, 1), 3, if(ISBLANK('2025'!$Q25), 0, 1), 4, if(ISBLANK('2025'!$R25), 0, 1), 5, if(ISBLANK('2025'!$S25), 0, 1), 6, if(ISBLANK('2025'!$T25), 0, 1), 7, 0))), 1, "")</f>
        <v/>
      </c>
      <c r="X25" s="1" t="str">
        <f>IF(AND(AND(AND(X$4&gt;='2025'!$L25,X$4&lt;='2025'!$M25), X$4&lt;&gt;DATE(2025,7,4)), (SWITCH(weekday(X$4), 1, 0, 2, if(ISBLANK('2025'!$P25), 0, 1), 3, if(ISBLANK('2025'!$Q25), 0, 1), 4, if(ISBLANK('2025'!$R25), 0, 1), 5, if(ISBLANK('2025'!$S25), 0, 1), 6, if(ISBLANK('2025'!$T25), 0, 1), 7, 0))), 1, "")</f>
        <v/>
      </c>
      <c r="Y25" s="1" t="str">
        <f>IF(AND(AND(AND(Y$4&gt;='2025'!$L25,Y$4&lt;='2025'!$M25), Y$4&lt;&gt;DATE(2025,7,4)), (SWITCH(weekday(Y$4), 1, 0, 2, if(ISBLANK('2025'!$P25), 0, 1), 3, if(ISBLANK('2025'!$Q25), 0, 1), 4, if(ISBLANK('2025'!$R25), 0, 1), 5, if(ISBLANK('2025'!$S25), 0, 1), 6, if(ISBLANK('2025'!$T25), 0, 1), 7, 0))), 1, "")</f>
        <v/>
      </c>
      <c r="Z25" s="1" t="str">
        <f>IF(AND(AND(AND(Z$4&gt;='2025'!$L25,Z$4&lt;='2025'!$M25), Z$4&lt;&gt;DATE(2025,7,4)), (SWITCH(weekday(Z$4), 1, 0, 2, if(ISBLANK('2025'!$P25), 0, 1), 3, if(ISBLANK('2025'!$Q25), 0, 1), 4, if(ISBLANK('2025'!$R25), 0, 1), 5, if(ISBLANK('2025'!$S25), 0, 1), 6, if(ISBLANK('2025'!$T25), 0, 1), 7, 0))), 1, "")</f>
        <v/>
      </c>
      <c r="AA25" s="1" t="str">
        <f>IF(AND(AND(AND(AA$4&gt;='2025'!$L25,AA$4&lt;='2025'!$M25), AA$4&lt;&gt;DATE(2025,7,4)), (SWITCH(weekday(AA$4), 1, 0, 2, if(ISBLANK('2025'!$P25), 0, 1), 3, if(ISBLANK('2025'!$Q25), 0, 1), 4, if(ISBLANK('2025'!$R25), 0, 1), 5, if(ISBLANK('2025'!$S25), 0, 1), 6, if(ISBLANK('2025'!$T25), 0, 1), 7, 0))), 1, "")</f>
        <v/>
      </c>
      <c r="AB25" s="1" t="str">
        <f>IF(AND(AND(AND(AB$4&gt;='2025'!$L25,AB$4&lt;='2025'!$M25), AB$4&lt;&gt;DATE(2025,7,4)), (SWITCH(weekday(AB$4), 1, 0, 2, if(ISBLANK('2025'!$P25), 0, 1), 3, if(ISBLANK('2025'!$Q25), 0, 1), 4, if(ISBLANK('2025'!$R25), 0, 1), 5, if(ISBLANK('2025'!$S25), 0, 1), 6, if(ISBLANK('2025'!$T25), 0, 1), 7, 0))), 1, "")</f>
        <v/>
      </c>
      <c r="AC25" s="1" t="str">
        <f>IF(AND(AND(AND(AC$4&gt;='2025'!$L25,AC$4&lt;='2025'!$M25), AC$4&lt;&gt;DATE(2025,7,4)), (SWITCH(weekday(AC$4), 1, 0, 2, if(ISBLANK('2025'!$P25), 0, 1), 3, if(ISBLANK('2025'!$Q25), 0, 1), 4, if(ISBLANK('2025'!$R25), 0, 1), 5, if(ISBLANK('2025'!$S25), 0, 1), 6, if(ISBLANK('2025'!$T25), 0, 1), 7, 0))), 1, "")</f>
        <v/>
      </c>
      <c r="AD25" s="1" t="str">
        <f>IF(AND(AND(AND(AD$4&gt;='2025'!$L25,AD$4&lt;='2025'!$M25), AD$4&lt;&gt;DATE(2025,7,4)), (SWITCH(weekday(AD$4), 1, 0, 2, if(ISBLANK('2025'!$P25), 0, 1), 3, if(ISBLANK('2025'!$Q25), 0, 1), 4, if(ISBLANK('2025'!$R25), 0, 1), 5, if(ISBLANK('2025'!$S25), 0, 1), 6, if(ISBLANK('2025'!$T25), 0, 1), 7, 0))), 1, "")</f>
        <v/>
      </c>
      <c r="AE25" s="1" t="str">
        <f>IF(AND(AND(AND(AE$4&gt;='2025'!$L25,AE$4&lt;='2025'!$M25), AE$4&lt;&gt;DATE(2025,7,4)), (SWITCH(weekday(AE$4), 1, 0, 2, if(ISBLANK('2025'!$P25), 0, 1), 3, if(ISBLANK('2025'!$Q25), 0, 1), 4, if(ISBLANK('2025'!$R25), 0, 1), 5, if(ISBLANK('2025'!$S25), 0, 1), 6, if(ISBLANK('2025'!$T25), 0, 1), 7, 0))), 1, "")</f>
        <v/>
      </c>
      <c r="AF25" s="1" t="str">
        <f>IF(AND(AND(AND(AF$4&gt;='2025'!$L25,AF$4&lt;='2025'!$M25), AF$4&lt;&gt;DATE(2025,7,4)), (SWITCH(weekday(AF$4), 1, 0, 2, if(ISBLANK('2025'!$P25), 0, 1), 3, if(ISBLANK('2025'!$Q25), 0, 1), 4, if(ISBLANK('2025'!$R25), 0, 1), 5, if(ISBLANK('2025'!$S25), 0, 1), 6, if(ISBLANK('2025'!$T25), 0, 1), 7, 0))), 1, "")</f>
        <v/>
      </c>
      <c r="AG25" s="1" t="str">
        <f>IF(AND(AND(AND(AG$4&gt;='2025'!$L25,AG$4&lt;='2025'!$M25), AG$4&lt;&gt;DATE(2025,7,4)), (SWITCH(weekday(AG$4), 1, 0, 2, if(ISBLANK('2025'!$P25), 0, 1), 3, if(ISBLANK('2025'!$Q25), 0, 1), 4, if(ISBLANK('2025'!$R25), 0, 1), 5, if(ISBLANK('2025'!$S25), 0, 1), 6, if(ISBLANK('2025'!$T25), 0, 1), 7, 0))), 1, "")</f>
        <v/>
      </c>
      <c r="AH25" s="1" t="str">
        <f>IF(AND(AND(AND(AH$4&gt;='2025'!$L25,AH$4&lt;='2025'!$M25), AH$4&lt;&gt;DATE(2025,7,4)), (SWITCH(weekday(AH$4), 1, 0, 2, if(ISBLANK('2025'!$P25), 0, 1), 3, if(ISBLANK('2025'!$Q25), 0, 1), 4, if(ISBLANK('2025'!$R25), 0, 1), 5, if(ISBLANK('2025'!$S25), 0, 1), 6, if(ISBLANK('2025'!$T25), 0, 1), 7, 0))), 1, "")</f>
        <v/>
      </c>
      <c r="AI25" s="1" t="str">
        <f>IF(AND(AND(AND(AI$4&gt;='2025'!$L25,AI$4&lt;='2025'!$M25), AI$4&lt;&gt;DATE(2025,7,4)), (SWITCH(weekday(AI$4), 1, 0, 2, if(ISBLANK('2025'!$P25), 0, 1), 3, if(ISBLANK('2025'!$Q25), 0, 1), 4, if(ISBLANK('2025'!$R25), 0, 1), 5, if(ISBLANK('2025'!$S25), 0, 1), 6, if(ISBLANK('2025'!$T25), 0, 1), 7, 0))), 1, "")</f>
        <v/>
      </c>
      <c r="AJ25" s="1" t="str">
        <f>IF(AND(AND(AND(AJ$4&gt;='2025'!$L25,AJ$4&lt;='2025'!$M25), AJ$4&lt;&gt;DATE(2025,7,4)), (SWITCH(weekday(AJ$4), 1, 0, 2, if(ISBLANK('2025'!$P25), 0, 1), 3, if(ISBLANK('2025'!$Q25), 0, 1), 4, if(ISBLANK('2025'!$R25), 0, 1), 5, if(ISBLANK('2025'!$S25), 0, 1), 6, if(ISBLANK('2025'!$T25), 0, 1), 7, 0))), 1, "")</f>
        <v/>
      </c>
      <c r="AK25" s="1" t="str">
        <f>IF(AND(AND(AND(AK$4&gt;='2025'!$L25,AK$4&lt;='2025'!$M25), AK$4&lt;&gt;DATE(2025,7,4)), (SWITCH(weekday(AK$4), 1, 0, 2, if(ISBLANK('2025'!$P25), 0, 1), 3, if(ISBLANK('2025'!$Q25), 0, 1), 4, if(ISBLANK('2025'!$R25), 0, 1), 5, if(ISBLANK('2025'!$S25), 0, 1), 6, if(ISBLANK('2025'!$T25), 0, 1), 7, 0))), 1, "")</f>
        <v/>
      </c>
      <c r="AL25" s="1" t="str">
        <f>IF(AND(AND(AND(AL$4&gt;='2025'!$L25,AL$4&lt;='2025'!$M25), AL$4&lt;&gt;DATE(2025,7,4)), (SWITCH(weekday(AL$4), 1, 0, 2, if(ISBLANK('2025'!$P25), 0, 1), 3, if(ISBLANK('2025'!$Q25), 0, 1), 4, if(ISBLANK('2025'!$R25), 0, 1), 5, if(ISBLANK('2025'!$S25), 0, 1), 6, if(ISBLANK('2025'!$T25), 0, 1), 7, 0))), 1, "")</f>
        <v/>
      </c>
      <c r="AM25" s="1" t="str">
        <f>IF(AND(AND(AND(AM$4&gt;='2025'!$L25,AM$4&lt;='2025'!$M25), AM$4&lt;&gt;DATE(2025,7,4)), (SWITCH(weekday(AM$4), 1, 0, 2, if(ISBLANK('2025'!$P25), 0, 1), 3, if(ISBLANK('2025'!$Q25), 0, 1), 4, if(ISBLANK('2025'!$R25), 0, 1), 5, if(ISBLANK('2025'!$S25), 0, 1), 6, if(ISBLANK('2025'!$T25), 0, 1), 7, 0))), 1, "")</f>
        <v/>
      </c>
      <c r="AN25" s="1" t="str">
        <f>IF(AND(AND(AND(AN$4&gt;='2025'!$L25,AN$4&lt;='2025'!$M25), AN$4&lt;&gt;DATE(2025,7,4)), (SWITCH(weekday(AN$4), 1, 0, 2, if(ISBLANK('2025'!$P25), 0, 1), 3, if(ISBLANK('2025'!$Q25), 0, 1), 4, if(ISBLANK('2025'!$R25), 0, 1), 5, if(ISBLANK('2025'!$S25), 0, 1), 6, if(ISBLANK('2025'!$T25), 0, 1), 7, 0))), 1, "")</f>
        <v/>
      </c>
      <c r="AO25" s="1" t="str">
        <f>IF(AND(AND(AND(AO$4&gt;='2025'!$L25,AO$4&lt;='2025'!$M25), AO$4&lt;&gt;DATE(2025,7,4)), (SWITCH(weekday(AO$4), 1, 0, 2, if(ISBLANK('2025'!$P25), 0, 1), 3, if(ISBLANK('2025'!$Q25), 0, 1), 4, if(ISBLANK('2025'!$R25), 0, 1), 5, if(ISBLANK('2025'!$S25), 0, 1), 6, if(ISBLANK('2025'!$T25), 0, 1), 7, 0))), 1, "")</f>
        <v/>
      </c>
      <c r="AP25" s="1" t="str">
        <f>IF(AND(AND(AND(AP$4&gt;='2025'!$L25,AP$4&lt;='2025'!$M25), AP$4&lt;&gt;DATE(2025,7,4)), (SWITCH(weekday(AP$4), 1, 0, 2, if(ISBLANK('2025'!$P25), 0, 1), 3, if(ISBLANK('2025'!$Q25), 0, 1), 4, if(ISBLANK('2025'!$R25), 0, 1), 5, if(ISBLANK('2025'!$S25), 0, 1), 6, if(ISBLANK('2025'!$T25), 0, 1), 7, 0))), 1, "")</f>
        <v/>
      </c>
      <c r="AQ25" s="1" t="str">
        <f>IF(AND(AND(AND(AQ$4&gt;='2025'!$L25,AQ$4&lt;='2025'!$M25), AQ$4&lt;&gt;DATE(2025,7,4)), (SWITCH(weekday(AQ$4), 1, 0, 2, if(ISBLANK('2025'!$P25), 0, 1), 3, if(ISBLANK('2025'!$Q25), 0, 1), 4, if(ISBLANK('2025'!$R25), 0, 1), 5, if(ISBLANK('2025'!$S25), 0, 1), 6, if(ISBLANK('2025'!$T25), 0, 1), 7, 0))), 1, "")</f>
        <v/>
      </c>
      <c r="AR25" s="1" t="str">
        <f>IF(AND(AND(AND(AR$4&gt;='2025'!$L25,AR$4&lt;='2025'!$M25), AR$4&lt;&gt;DATE(2025,7,4)), (SWITCH(weekday(AR$4), 1, 0, 2, if(ISBLANK('2025'!$P25), 0, 1), 3, if(ISBLANK('2025'!$Q25), 0, 1), 4, if(ISBLANK('2025'!$R25), 0, 1), 5, if(ISBLANK('2025'!$S25), 0, 1), 6, if(ISBLANK('2025'!$T25), 0, 1), 7, 0))), 1, "")</f>
        <v/>
      </c>
      <c r="AS25" s="1" t="str">
        <f>IF(AND(AND(AND(AS$4&gt;='2025'!$L25,AS$4&lt;='2025'!$M25), AS$4&lt;&gt;DATE(2025,7,4)), (SWITCH(weekday(AS$4), 1, 0, 2, if(ISBLANK('2025'!$P25), 0, 1), 3, if(ISBLANK('2025'!$Q25), 0, 1), 4, if(ISBLANK('2025'!$R25), 0, 1), 5, if(ISBLANK('2025'!$S25), 0, 1), 6, if(ISBLANK('2025'!$T25), 0, 1), 7, 0))), 1, "")</f>
        <v/>
      </c>
      <c r="AT25" s="1" t="str">
        <f>IF(AND(AND(AND(AT$4&gt;='2025'!$L25,AT$4&lt;='2025'!$M25), AT$4&lt;&gt;DATE(2025,7,4)), (SWITCH(weekday(AT$4), 1, 0, 2, if(ISBLANK('2025'!$P25), 0, 1), 3, if(ISBLANK('2025'!$Q25), 0, 1), 4, if(ISBLANK('2025'!$R25), 0, 1), 5, if(ISBLANK('2025'!$S25), 0, 1), 6, if(ISBLANK('2025'!$T25), 0, 1), 7, 0))), 1, "")</f>
        <v/>
      </c>
      <c r="AU25" s="1" t="str">
        <f>IF(AND(AND(AND(AU$4&gt;='2025'!$L25,AU$4&lt;='2025'!$M25), AU$4&lt;&gt;DATE(2025,7,4)), (SWITCH(weekday(AU$4), 1, 0, 2, if(ISBLANK('2025'!$P25), 0, 1), 3, if(ISBLANK('2025'!$Q25), 0, 1), 4, if(ISBLANK('2025'!$R25), 0, 1), 5, if(ISBLANK('2025'!$S25), 0, 1), 6, if(ISBLANK('2025'!$T25), 0, 1), 7, 0))), 1, "")</f>
        <v/>
      </c>
      <c r="AV25" s="1" t="str">
        <f>IF(AND(AND(AND(AV$4&gt;='2025'!$L25,AV$4&lt;='2025'!$M25), AV$4&lt;&gt;DATE(2025,7,4)), (SWITCH(weekday(AV$4), 1, 0, 2, if(ISBLANK('2025'!$P25), 0, 1), 3, if(ISBLANK('2025'!$Q25), 0, 1), 4, if(ISBLANK('2025'!$R25), 0, 1), 5, if(ISBLANK('2025'!$S25), 0, 1), 6, if(ISBLANK('2025'!$T25), 0, 1), 7, 0))), 1, "")</f>
        <v/>
      </c>
      <c r="AW25" s="1" t="str">
        <f>IF(AND(AND(AND(AW$4&gt;='2025'!$L25,AW$4&lt;='2025'!$M25), AW$4&lt;&gt;DATE(2025,7,4)), (SWITCH(weekday(AW$4), 1, 0, 2, if(ISBLANK('2025'!$P25), 0, 1), 3, if(ISBLANK('2025'!$Q25), 0, 1), 4, if(ISBLANK('2025'!$R25), 0, 1), 5, if(ISBLANK('2025'!$S25), 0, 1), 6, if(ISBLANK('2025'!$T25), 0, 1), 7, 0))), 1, "")</f>
        <v/>
      </c>
      <c r="AX25" s="1" t="str">
        <f>IF(AND(AND(AND(AX$4&gt;='2025'!$L25,AX$4&lt;='2025'!$M25), AX$4&lt;&gt;DATE(2025,7,4)), (SWITCH(weekday(AX$4), 1, 0, 2, if(ISBLANK('2025'!$P25), 0, 1), 3, if(ISBLANK('2025'!$Q25), 0, 1), 4, if(ISBLANK('2025'!$R25), 0, 1), 5, if(ISBLANK('2025'!$S25), 0, 1), 6, if(ISBLANK('2025'!$T25), 0, 1), 7, 0))), 1, "")</f>
        <v/>
      </c>
      <c r="AY25" s="1" t="str">
        <f>IF(AND(AND(AND(AY$4&gt;='2025'!$L25,AY$4&lt;='2025'!$M25), AY$4&lt;&gt;DATE(2025,7,4)), (SWITCH(weekday(AY$4), 1, 0, 2, if(ISBLANK('2025'!$P25), 0, 1), 3, if(ISBLANK('2025'!$Q25), 0, 1), 4, if(ISBLANK('2025'!$R25), 0, 1), 5, if(ISBLANK('2025'!$S25), 0, 1), 6, if(ISBLANK('2025'!$T25), 0, 1), 7, 0))), 1, "")</f>
        <v/>
      </c>
      <c r="AZ25" s="1" t="str">
        <f>IF(AND(AND(AND(AZ$4&gt;='2025'!$L25,AZ$4&lt;='2025'!$M25), AZ$4&lt;&gt;DATE(2025,7,4)), (SWITCH(weekday(AZ$4), 1, 0, 2, if(ISBLANK('2025'!$P25), 0, 1), 3, if(ISBLANK('2025'!$Q25), 0, 1), 4, if(ISBLANK('2025'!$R25), 0, 1), 5, if(ISBLANK('2025'!$S25), 0, 1), 6, if(ISBLANK('2025'!$T25), 0, 1), 7, 0))), 1, "")</f>
        <v/>
      </c>
      <c r="BA25" s="1" t="str">
        <f>IF(AND(AND(AND(BA$4&gt;='2025'!$L25,BA$4&lt;='2025'!$M25), BA$4&lt;&gt;DATE(2025,7,4)), (SWITCH(weekday(BA$4), 1, 0, 2, if(ISBLANK('2025'!$P25), 0, 1), 3, if(ISBLANK('2025'!$Q25), 0, 1), 4, if(ISBLANK('2025'!$R25), 0, 1), 5, if(ISBLANK('2025'!$S25), 0, 1), 6, if(ISBLANK('2025'!$T25), 0, 1), 7, 0))), 1, "")</f>
        <v/>
      </c>
      <c r="BB25" s="1" t="str">
        <f>IF(AND(AND(AND(BB$4&gt;='2025'!$L25,BB$4&lt;='2025'!$M25), BB$4&lt;&gt;DATE(2025,7,4)), (SWITCH(weekday(BB$4), 1, 0, 2, if(ISBLANK('2025'!$P25), 0, 1), 3, if(ISBLANK('2025'!$Q25), 0, 1), 4, if(ISBLANK('2025'!$R25), 0, 1), 5, if(ISBLANK('2025'!$S25), 0, 1), 6, if(ISBLANK('2025'!$T25), 0, 1), 7, 0))), 1, "")</f>
        <v/>
      </c>
      <c r="BC25" s="1" t="str">
        <f>IF(AND(AND(AND(BC$4&gt;='2025'!$L25,BC$4&lt;='2025'!$M25), BC$4&lt;&gt;DATE(2025,7,4)), (SWITCH(weekday(BC$4), 1, 0, 2, if(ISBLANK('2025'!$P25), 0, 1), 3, if(ISBLANK('2025'!$Q25), 0, 1), 4, if(ISBLANK('2025'!$R25), 0, 1), 5, if(ISBLANK('2025'!$S25), 0, 1), 6, if(ISBLANK('2025'!$T25), 0, 1), 7, 0))), 1, "")</f>
        <v/>
      </c>
      <c r="BD25" s="1" t="str">
        <f>IF(AND(AND(AND(BD$4&gt;='2025'!$L25,BD$4&lt;='2025'!$M25), BD$4&lt;&gt;DATE(2025,7,4)), (SWITCH(weekday(BD$4), 1, 0, 2, if(ISBLANK('2025'!$P25), 0, 1), 3, if(ISBLANK('2025'!$Q25), 0, 1), 4, if(ISBLANK('2025'!$R25), 0, 1), 5, if(ISBLANK('2025'!$S25), 0, 1), 6, if(ISBLANK('2025'!$T25), 0, 1), 7, 0))), 1, "")</f>
        <v/>
      </c>
      <c r="BE25" s="1" t="str">
        <f>IF(AND(AND(AND(BE$4&gt;='2025'!$L25,BE$4&lt;='2025'!$M25), BE$4&lt;&gt;DATE(2025,7,4)), (SWITCH(weekday(BE$4), 1, 0, 2, if(ISBLANK('2025'!$P25), 0, 1), 3, if(ISBLANK('2025'!$Q25), 0, 1), 4, if(ISBLANK('2025'!$R25), 0, 1), 5, if(ISBLANK('2025'!$S25), 0, 1), 6, if(ISBLANK('2025'!$T25), 0, 1), 7, 0))), 1, "")</f>
        <v/>
      </c>
      <c r="BF25" s="1" t="str">
        <f>IF(AND(AND(AND(BF$4&gt;='2025'!$L25,BF$4&lt;='2025'!$M25), BF$4&lt;&gt;DATE(2025,7,4)), (SWITCH(weekday(BF$4), 1, 0, 2, if(ISBLANK('2025'!$P25), 0, 1), 3, if(ISBLANK('2025'!$Q25), 0, 1), 4, if(ISBLANK('2025'!$R25), 0, 1), 5, if(ISBLANK('2025'!$S25), 0, 1), 6, if(ISBLANK('2025'!$T25), 0, 1), 7, 0))), 1, "")</f>
        <v/>
      </c>
      <c r="BG25" s="1"/>
      <c r="BH25" s="1"/>
      <c r="BI25" s="1"/>
      <c r="BJ25" s="1"/>
      <c r="BK25" s="1"/>
      <c r="BL25" s="1"/>
    </row>
    <row r="26">
      <c r="A26" s="1">
        <f t="shared" si="3"/>
        <v>26</v>
      </c>
      <c r="B26" s="1" t="str">
        <f>'2025'!D26</f>
        <v>cusumano , christopher </v>
      </c>
      <c r="C26" s="1" t="str">
        <f>'2025'!H26</f>
        <v>infant </v>
      </c>
      <c r="D26" s="1" t="str">
        <f>IF(AND(AND(AND(D$4&gt;='2025'!$L26,D$4&lt;='2025'!$M26), D$4&lt;&gt;DATE(2025,7,4)), (SWITCH(weekday(D$4), 1, 0, 2, if(ISBLANK('2025'!$P26), 0, 1), 3, if(ISBLANK('2025'!$Q26), 0, 1), 4, if(ISBLANK('2025'!$R26), 0, 1), 5, if(ISBLANK('2025'!$S26), 0, 1), 6, if(ISBLANK('2025'!$T26), 0, 1), 7, 0))), 1, "")</f>
        <v/>
      </c>
      <c r="E26" s="1" t="str">
        <f>IF(AND(AND(AND(E$4&gt;='2025'!$L26,E$4&lt;='2025'!$M26), E$4&lt;&gt;DATE(2025,7,4)), (SWITCH(weekday(E$4), 1, 0, 2, if(ISBLANK('2025'!$P26), 0, 1), 3, if(ISBLANK('2025'!$Q26), 0, 1), 4, if(ISBLANK('2025'!$R26), 0, 1), 5, if(ISBLANK('2025'!$S26), 0, 1), 6, if(ISBLANK('2025'!$T26), 0, 1), 7, 0))), 1, "")</f>
        <v/>
      </c>
      <c r="F26" s="1" t="str">
        <f>IF(AND(AND(AND(F$4&gt;='2025'!$L26,F$4&lt;='2025'!$M26), F$4&lt;&gt;DATE(2025,7,4)), (SWITCH(weekday(F$4), 1, 0, 2, if(ISBLANK('2025'!$P26), 0, 1), 3, if(ISBLANK('2025'!$Q26), 0, 1), 4, if(ISBLANK('2025'!$R26), 0, 1), 5, if(ISBLANK('2025'!$S26), 0, 1), 6, if(ISBLANK('2025'!$T26), 0, 1), 7, 0))), 1, "")</f>
        <v/>
      </c>
      <c r="G26" s="1" t="str">
        <f>IF(AND(AND(AND(G$4&gt;='2025'!$L26,G$4&lt;='2025'!$M26), G$4&lt;&gt;DATE(2025,7,4)), (SWITCH(weekday(G$4), 1, 0, 2, if(ISBLANK('2025'!$P26), 0, 1), 3, if(ISBLANK('2025'!$Q26), 0, 1), 4, if(ISBLANK('2025'!$R26), 0, 1), 5, if(ISBLANK('2025'!$S26), 0, 1), 6, if(ISBLANK('2025'!$T26), 0, 1), 7, 0))), 1, "")</f>
        <v/>
      </c>
      <c r="H26" s="1" t="str">
        <f>IF(AND(AND(AND(H$4&gt;='2025'!$L26,H$4&lt;='2025'!$M26), H$4&lt;&gt;DATE(2025,7,4)), (SWITCH(weekday(H$4), 1, 0, 2, if(ISBLANK('2025'!$P26), 0, 1), 3, if(ISBLANK('2025'!$Q26), 0, 1), 4, if(ISBLANK('2025'!$R26), 0, 1), 5, if(ISBLANK('2025'!$S26), 0, 1), 6, if(ISBLANK('2025'!$T26), 0, 1), 7, 0))), 1, "")</f>
        <v/>
      </c>
      <c r="I26" s="1" t="str">
        <f>IF(AND(AND(AND(I$4&gt;='2025'!$L26,I$4&lt;='2025'!$M26), I$4&lt;&gt;DATE(2025,7,4)), (SWITCH(weekday(I$4), 1, 0, 2, if(ISBLANK('2025'!$P26), 0, 1), 3, if(ISBLANK('2025'!$Q26), 0, 1), 4, if(ISBLANK('2025'!$R26), 0, 1), 5, if(ISBLANK('2025'!$S26), 0, 1), 6, if(ISBLANK('2025'!$T26), 0, 1), 7, 0))), 1, "")</f>
        <v/>
      </c>
      <c r="J26" s="1" t="str">
        <f>IF(AND(AND(AND(J$4&gt;='2025'!$L26,J$4&lt;='2025'!$M26), J$4&lt;&gt;DATE(2025,7,4)), (SWITCH(weekday(J$4), 1, 0, 2, if(ISBLANK('2025'!$P26), 0, 1), 3, if(ISBLANK('2025'!$Q26), 0, 1), 4, if(ISBLANK('2025'!$R26), 0, 1), 5, if(ISBLANK('2025'!$S26), 0, 1), 6, if(ISBLANK('2025'!$T26), 0, 1), 7, 0))), 1, "")</f>
        <v/>
      </c>
      <c r="K26" s="1" t="str">
        <f>IF(AND(AND(AND(K$4&gt;='2025'!$L26,K$4&lt;='2025'!$M26), K$4&lt;&gt;DATE(2025,7,4)), (SWITCH(weekday(K$4), 1, 0, 2, if(ISBLANK('2025'!$P26), 0, 1), 3, if(ISBLANK('2025'!$Q26), 0, 1), 4, if(ISBLANK('2025'!$R26), 0, 1), 5, if(ISBLANK('2025'!$S26), 0, 1), 6, if(ISBLANK('2025'!$T26), 0, 1), 7, 0))), 1, "")</f>
        <v/>
      </c>
      <c r="L26" s="1" t="str">
        <f>IF(AND(AND(AND(L$4&gt;='2025'!$L26,L$4&lt;='2025'!$M26), L$4&lt;&gt;DATE(2025,7,4)), (SWITCH(weekday(L$4), 1, 0, 2, if(ISBLANK('2025'!$P26), 0, 1), 3, if(ISBLANK('2025'!$Q26), 0, 1), 4, if(ISBLANK('2025'!$R26), 0, 1), 5, if(ISBLANK('2025'!$S26), 0, 1), 6, if(ISBLANK('2025'!$T26), 0, 1), 7, 0))), 1, "")</f>
        <v/>
      </c>
      <c r="M26" s="1" t="str">
        <f>IF(AND(AND(AND(M$4&gt;='2025'!$L26,M$4&lt;='2025'!$M26), M$4&lt;&gt;DATE(2025,7,4)), (SWITCH(weekday(M$4), 1, 0, 2, if(ISBLANK('2025'!$P26), 0, 1), 3, if(ISBLANK('2025'!$Q26), 0, 1), 4, if(ISBLANK('2025'!$R26), 0, 1), 5, if(ISBLANK('2025'!$S26), 0, 1), 6, if(ISBLANK('2025'!$T26), 0, 1), 7, 0))), 1, "")</f>
        <v/>
      </c>
      <c r="N26" s="1" t="str">
        <f>IF(AND(AND(AND(N$4&gt;='2025'!$L26,N$4&lt;='2025'!$M26), N$4&lt;&gt;DATE(2025,7,4)), (SWITCH(weekday(N$4), 1, 0, 2, if(ISBLANK('2025'!$P26), 0, 1), 3, if(ISBLANK('2025'!$Q26), 0, 1), 4, if(ISBLANK('2025'!$R26), 0, 1), 5, if(ISBLANK('2025'!$S26), 0, 1), 6, if(ISBLANK('2025'!$T26), 0, 1), 7, 0))), 1, "")</f>
        <v/>
      </c>
      <c r="O26" s="1" t="str">
        <f>IF(AND(AND(AND(O$4&gt;='2025'!$L26,O$4&lt;='2025'!$M26), O$4&lt;&gt;DATE(2025,7,4)), (SWITCH(weekday(O$4), 1, 0, 2, if(ISBLANK('2025'!$P26), 0, 1), 3, if(ISBLANK('2025'!$Q26), 0, 1), 4, if(ISBLANK('2025'!$R26), 0, 1), 5, if(ISBLANK('2025'!$S26), 0, 1), 6, if(ISBLANK('2025'!$T26), 0, 1), 7, 0))), 1, "")</f>
        <v/>
      </c>
      <c r="P26" s="1" t="str">
        <f>IF(AND(AND(AND(P$4&gt;='2025'!$L26,P$4&lt;='2025'!$M26), P$4&lt;&gt;DATE(2025,7,4)), (SWITCH(weekday(P$4), 1, 0, 2, if(ISBLANK('2025'!$P26), 0, 1), 3, if(ISBLANK('2025'!$Q26), 0, 1), 4, if(ISBLANK('2025'!$R26), 0, 1), 5, if(ISBLANK('2025'!$S26), 0, 1), 6, if(ISBLANK('2025'!$T26), 0, 1), 7, 0))), 1, "")</f>
        <v/>
      </c>
      <c r="Q26" s="1" t="str">
        <f>IF(AND(AND(AND(Q$4&gt;='2025'!$L26,Q$4&lt;='2025'!$M26), Q$4&lt;&gt;DATE(2025,7,4)), (SWITCH(weekday(Q$4), 1, 0, 2, if(ISBLANK('2025'!$P26), 0, 1), 3, if(ISBLANK('2025'!$Q26), 0, 1), 4, if(ISBLANK('2025'!$R26), 0, 1), 5, if(ISBLANK('2025'!$S26), 0, 1), 6, if(ISBLANK('2025'!$T26), 0, 1), 7, 0))), 1, "")</f>
        <v/>
      </c>
      <c r="R26" s="1" t="str">
        <f>IF(AND(AND(AND(R$4&gt;='2025'!$L26,R$4&lt;='2025'!$M26), R$4&lt;&gt;DATE(2025,7,4)), (SWITCH(weekday(R$4), 1, 0, 2, if(ISBLANK('2025'!$P26), 0, 1), 3, if(ISBLANK('2025'!$Q26), 0, 1), 4, if(ISBLANK('2025'!$R26), 0, 1), 5, if(ISBLANK('2025'!$S26), 0, 1), 6, if(ISBLANK('2025'!$T26), 0, 1), 7, 0))), 1, "")</f>
        <v/>
      </c>
      <c r="S26" s="1" t="str">
        <f>IF(AND(AND(AND(S$4&gt;='2025'!$L26,S$4&lt;='2025'!$M26), S$4&lt;&gt;DATE(2025,7,4)), (SWITCH(weekday(S$4), 1, 0, 2, if(ISBLANK('2025'!$P26), 0, 1), 3, if(ISBLANK('2025'!$Q26), 0, 1), 4, if(ISBLANK('2025'!$R26), 0, 1), 5, if(ISBLANK('2025'!$S26), 0, 1), 6, if(ISBLANK('2025'!$T26), 0, 1), 7, 0))), 1, "")</f>
        <v/>
      </c>
      <c r="T26" s="1" t="str">
        <f>IF(AND(AND(AND(T$4&gt;='2025'!$L26,T$4&lt;='2025'!$M26), T$4&lt;&gt;DATE(2025,7,4)), (SWITCH(weekday(T$4), 1, 0, 2, if(ISBLANK('2025'!$P26), 0, 1), 3, if(ISBLANK('2025'!$Q26), 0, 1), 4, if(ISBLANK('2025'!$R26), 0, 1), 5, if(ISBLANK('2025'!$S26), 0, 1), 6, if(ISBLANK('2025'!$T26), 0, 1), 7, 0))), 1, "")</f>
        <v/>
      </c>
      <c r="U26" s="1" t="str">
        <f>IF(AND(AND(AND(U$4&gt;='2025'!$L26,U$4&lt;='2025'!$M26), U$4&lt;&gt;DATE(2025,7,4)), (SWITCH(weekday(U$4), 1, 0, 2, if(ISBLANK('2025'!$P26), 0, 1), 3, if(ISBLANK('2025'!$Q26), 0, 1), 4, if(ISBLANK('2025'!$R26), 0, 1), 5, if(ISBLANK('2025'!$S26), 0, 1), 6, if(ISBLANK('2025'!$T26), 0, 1), 7, 0))), 1, "")</f>
        <v/>
      </c>
      <c r="V26" s="1" t="str">
        <f>IF(AND(AND(AND(V$4&gt;='2025'!$L26,V$4&lt;='2025'!$M26), V$4&lt;&gt;DATE(2025,7,4)), (SWITCH(weekday(V$4), 1, 0, 2, if(ISBLANK('2025'!$P26), 0, 1), 3, if(ISBLANK('2025'!$Q26), 0, 1), 4, if(ISBLANK('2025'!$R26), 0, 1), 5, if(ISBLANK('2025'!$S26), 0, 1), 6, if(ISBLANK('2025'!$T26), 0, 1), 7, 0))), 1, "")</f>
        <v/>
      </c>
      <c r="W26" s="1" t="str">
        <f>IF(AND(AND(AND(W$4&gt;='2025'!$L26,W$4&lt;='2025'!$M26), W$4&lt;&gt;DATE(2025,7,4)), (SWITCH(weekday(W$4), 1, 0, 2, if(ISBLANK('2025'!$P26), 0, 1), 3, if(ISBLANK('2025'!$Q26), 0, 1), 4, if(ISBLANK('2025'!$R26), 0, 1), 5, if(ISBLANK('2025'!$S26), 0, 1), 6, if(ISBLANK('2025'!$T26), 0, 1), 7, 0))), 1, "")</f>
        <v/>
      </c>
      <c r="X26" s="1" t="str">
        <f>IF(AND(AND(AND(X$4&gt;='2025'!$L26,X$4&lt;='2025'!$M26), X$4&lt;&gt;DATE(2025,7,4)), (SWITCH(weekday(X$4), 1, 0, 2, if(ISBLANK('2025'!$P26), 0, 1), 3, if(ISBLANK('2025'!$Q26), 0, 1), 4, if(ISBLANK('2025'!$R26), 0, 1), 5, if(ISBLANK('2025'!$S26), 0, 1), 6, if(ISBLANK('2025'!$T26), 0, 1), 7, 0))), 1, "")</f>
        <v/>
      </c>
      <c r="Y26" s="1" t="str">
        <f>IF(AND(AND(AND(Y$4&gt;='2025'!$L26,Y$4&lt;='2025'!$M26), Y$4&lt;&gt;DATE(2025,7,4)), (SWITCH(weekday(Y$4), 1, 0, 2, if(ISBLANK('2025'!$P26), 0, 1), 3, if(ISBLANK('2025'!$Q26), 0, 1), 4, if(ISBLANK('2025'!$R26), 0, 1), 5, if(ISBLANK('2025'!$S26), 0, 1), 6, if(ISBLANK('2025'!$T26), 0, 1), 7, 0))), 1, "")</f>
        <v/>
      </c>
      <c r="Z26" s="1" t="str">
        <f>IF(AND(AND(AND(Z$4&gt;='2025'!$L26,Z$4&lt;='2025'!$M26), Z$4&lt;&gt;DATE(2025,7,4)), (SWITCH(weekday(Z$4), 1, 0, 2, if(ISBLANK('2025'!$P26), 0, 1), 3, if(ISBLANK('2025'!$Q26), 0, 1), 4, if(ISBLANK('2025'!$R26), 0, 1), 5, if(ISBLANK('2025'!$S26), 0, 1), 6, if(ISBLANK('2025'!$T26), 0, 1), 7, 0))), 1, "")</f>
        <v/>
      </c>
      <c r="AA26" s="1" t="str">
        <f>IF(AND(AND(AND(AA$4&gt;='2025'!$L26,AA$4&lt;='2025'!$M26), AA$4&lt;&gt;DATE(2025,7,4)), (SWITCH(weekday(AA$4), 1, 0, 2, if(ISBLANK('2025'!$P26), 0, 1), 3, if(ISBLANK('2025'!$Q26), 0, 1), 4, if(ISBLANK('2025'!$R26), 0, 1), 5, if(ISBLANK('2025'!$S26), 0, 1), 6, if(ISBLANK('2025'!$T26), 0, 1), 7, 0))), 1, "")</f>
        <v/>
      </c>
      <c r="AB26" s="1" t="str">
        <f>IF(AND(AND(AND(AB$4&gt;='2025'!$L26,AB$4&lt;='2025'!$M26), AB$4&lt;&gt;DATE(2025,7,4)), (SWITCH(weekday(AB$4), 1, 0, 2, if(ISBLANK('2025'!$P26), 0, 1), 3, if(ISBLANK('2025'!$Q26), 0, 1), 4, if(ISBLANK('2025'!$R26), 0, 1), 5, if(ISBLANK('2025'!$S26), 0, 1), 6, if(ISBLANK('2025'!$T26), 0, 1), 7, 0))), 1, "")</f>
        <v/>
      </c>
      <c r="AC26" s="1" t="str">
        <f>IF(AND(AND(AND(AC$4&gt;='2025'!$L26,AC$4&lt;='2025'!$M26), AC$4&lt;&gt;DATE(2025,7,4)), (SWITCH(weekday(AC$4), 1, 0, 2, if(ISBLANK('2025'!$P26), 0, 1), 3, if(ISBLANK('2025'!$Q26), 0, 1), 4, if(ISBLANK('2025'!$R26), 0, 1), 5, if(ISBLANK('2025'!$S26), 0, 1), 6, if(ISBLANK('2025'!$T26), 0, 1), 7, 0))), 1, "")</f>
        <v/>
      </c>
      <c r="AD26" s="1" t="str">
        <f>IF(AND(AND(AND(AD$4&gt;='2025'!$L26,AD$4&lt;='2025'!$M26), AD$4&lt;&gt;DATE(2025,7,4)), (SWITCH(weekday(AD$4), 1, 0, 2, if(ISBLANK('2025'!$P26), 0, 1), 3, if(ISBLANK('2025'!$Q26), 0, 1), 4, if(ISBLANK('2025'!$R26), 0, 1), 5, if(ISBLANK('2025'!$S26), 0, 1), 6, if(ISBLANK('2025'!$T26), 0, 1), 7, 0))), 1, "")</f>
        <v/>
      </c>
      <c r="AE26" s="1" t="str">
        <f>IF(AND(AND(AND(AE$4&gt;='2025'!$L26,AE$4&lt;='2025'!$M26), AE$4&lt;&gt;DATE(2025,7,4)), (SWITCH(weekday(AE$4), 1, 0, 2, if(ISBLANK('2025'!$P26), 0, 1), 3, if(ISBLANK('2025'!$Q26), 0, 1), 4, if(ISBLANK('2025'!$R26), 0, 1), 5, if(ISBLANK('2025'!$S26), 0, 1), 6, if(ISBLANK('2025'!$T26), 0, 1), 7, 0))), 1, "")</f>
        <v/>
      </c>
      <c r="AF26" s="1" t="str">
        <f>IF(AND(AND(AND(AF$4&gt;='2025'!$L26,AF$4&lt;='2025'!$M26), AF$4&lt;&gt;DATE(2025,7,4)), (SWITCH(weekday(AF$4), 1, 0, 2, if(ISBLANK('2025'!$P26), 0, 1), 3, if(ISBLANK('2025'!$Q26), 0, 1), 4, if(ISBLANK('2025'!$R26), 0, 1), 5, if(ISBLANK('2025'!$S26), 0, 1), 6, if(ISBLANK('2025'!$T26), 0, 1), 7, 0))), 1, "")</f>
        <v/>
      </c>
      <c r="AG26" s="1" t="str">
        <f>IF(AND(AND(AND(AG$4&gt;='2025'!$L26,AG$4&lt;='2025'!$M26), AG$4&lt;&gt;DATE(2025,7,4)), (SWITCH(weekday(AG$4), 1, 0, 2, if(ISBLANK('2025'!$P26), 0, 1), 3, if(ISBLANK('2025'!$Q26), 0, 1), 4, if(ISBLANK('2025'!$R26), 0, 1), 5, if(ISBLANK('2025'!$S26), 0, 1), 6, if(ISBLANK('2025'!$T26), 0, 1), 7, 0))), 1, "")</f>
        <v/>
      </c>
      <c r="AH26" s="1" t="str">
        <f>IF(AND(AND(AND(AH$4&gt;='2025'!$L26,AH$4&lt;='2025'!$M26), AH$4&lt;&gt;DATE(2025,7,4)), (SWITCH(weekday(AH$4), 1, 0, 2, if(ISBLANK('2025'!$P26), 0, 1), 3, if(ISBLANK('2025'!$Q26), 0, 1), 4, if(ISBLANK('2025'!$R26), 0, 1), 5, if(ISBLANK('2025'!$S26), 0, 1), 6, if(ISBLANK('2025'!$T26), 0, 1), 7, 0))), 1, "")</f>
        <v/>
      </c>
      <c r="AI26" s="1" t="str">
        <f>IF(AND(AND(AND(AI$4&gt;='2025'!$L26,AI$4&lt;='2025'!$M26), AI$4&lt;&gt;DATE(2025,7,4)), (SWITCH(weekday(AI$4), 1, 0, 2, if(ISBLANK('2025'!$P26), 0, 1), 3, if(ISBLANK('2025'!$Q26), 0, 1), 4, if(ISBLANK('2025'!$R26), 0, 1), 5, if(ISBLANK('2025'!$S26), 0, 1), 6, if(ISBLANK('2025'!$T26), 0, 1), 7, 0))), 1, "")</f>
        <v/>
      </c>
      <c r="AJ26" s="1" t="str">
        <f>IF(AND(AND(AND(AJ$4&gt;='2025'!$L26,AJ$4&lt;='2025'!$M26), AJ$4&lt;&gt;DATE(2025,7,4)), (SWITCH(weekday(AJ$4), 1, 0, 2, if(ISBLANK('2025'!$P26), 0, 1), 3, if(ISBLANK('2025'!$Q26), 0, 1), 4, if(ISBLANK('2025'!$R26), 0, 1), 5, if(ISBLANK('2025'!$S26), 0, 1), 6, if(ISBLANK('2025'!$T26), 0, 1), 7, 0))), 1, "")</f>
        <v/>
      </c>
      <c r="AK26" s="1" t="str">
        <f>IF(AND(AND(AND(AK$4&gt;='2025'!$L26,AK$4&lt;='2025'!$M26), AK$4&lt;&gt;DATE(2025,7,4)), (SWITCH(weekday(AK$4), 1, 0, 2, if(ISBLANK('2025'!$P26), 0, 1), 3, if(ISBLANK('2025'!$Q26), 0, 1), 4, if(ISBLANK('2025'!$R26), 0, 1), 5, if(ISBLANK('2025'!$S26), 0, 1), 6, if(ISBLANK('2025'!$T26), 0, 1), 7, 0))), 1, "")</f>
        <v/>
      </c>
      <c r="AL26" s="1" t="str">
        <f>IF(AND(AND(AND(AL$4&gt;='2025'!$L26,AL$4&lt;='2025'!$M26), AL$4&lt;&gt;DATE(2025,7,4)), (SWITCH(weekday(AL$4), 1, 0, 2, if(ISBLANK('2025'!$P26), 0, 1), 3, if(ISBLANK('2025'!$Q26), 0, 1), 4, if(ISBLANK('2025'!$R26), 0, 1), 5, if(ISBLANK('2025'!$S26), 0, 1), 6, if(ISBLANK('2025'!$T26), 0, 1), 7, 0))), 1, "")</f>
        <v/>
      </c>
      <c r="AM26" s="1" t="str">
        <f>IF(AND(AND(AND(AM$4&gt;='2025'!$L26,AM$4&lt;='2025'!$M26), AM$4&lt;&gt;DATE(2025,7,4)), (SWITCH(weekday(AM$4), 1, 0, 2, if(ISBLANK('2025'!$P26), 0, 1), 3, if(ISBLANK('2025'!$Q26), 0, 1), 4, if(ISBLANK('2025'!$R26), 0, 1), 5, if(ISBLANK('2025'!$S26), 0, 1), 6, if(ISBLANK('2025'!$T26), 0, 1), 7, 0))), 1, "")</f>
        <v/>
      </c>
      <c r="AN26" s="1" t="str">
        <f>IF(AND(AND(AND(AN$4&gt;='2025'!$L26,AN$4&lt;='2025'!$M26), AN$4&lt;&gt;DATE(2025,7,4)), (SWITCH(weekday(AN$4), 1, 0, 2, if(ISBLANK('2025'!$P26), 0, 1), 3, if(ISBLANK('2025'!$Q26), 0, 1), 4, if(ISBLANK('2025'!$R26), 0, 1), 5, if(ISBLANK('2025'!$S26), 0, 1), 6, if(ISBLANK('2025'!$T26), 0, 1), 7, 0))), 1, "")</f>
        <v/>
      </c>
      <c r="AO26" s="1" t="str">
        <f>IF(AND(AND(AND(AO$4&gt;='2025'!$L26,AO$4&lt;='2025'!$M26), AO$4&lt;&gt;DATE(2025,7,4)), (SWITCH(weekday(AO$4), 1, 0, 2, if(ISBLANK('2025'!$P26), 0, 1), 3, if(ISBLANK('2025'!$Q26), 0, 1), 4, if(ISBLANK('2025'!$R26), 0, 1), 5, if(ISBLANK('2025'!$S26), 0, 1), 6, if(ISBLANK('2025'!$T26), 0, 1), 7, 0))), 1, "")</f>
        <v/>
      </c>
      <c r="AP26" s="1" t="str">
        <f>IF(AND(AND(AND(AP$4&gt;='2025'!$L26,AP$4&lt;='2025'!$M26), AP$4&lt;&gt;DATE(2025,7,4)), (SWITCH(weekday(AP$4), 1, 0, 2, if(ISBLANK('2025'!$P26), 0, 1), 3, if(ISBLANK('2025'!$Q26), 0, 1), 4, if(ISBLANK('2025'!$R26), 0, 1), 5, if(ISBLANK('2025'!$S26), 0, 1), 6, if(ISBLANK('2025'!$T26), 0, 1), 7, 0))), 1, "")</f>
        <v/>
      </c>
      <c r="AQ26" s="1" t="str">
        <f>IF(AND(AND(AND(AQ$4&gt;='2025'!$L26,AQ$4&lt;='2025'!$M26), AQ$4&lt;&gt;DATE(2025,7,4)), (SWITCH(weekday(AQ$4), 1, 0, 2, if(ISBLANK('2025'!$P26), 0, 1), 3, if(ISBLANK('2025'!$Q26), 0, 1), 4, if(ISBLANK('2025'!$R26), 0, 1), 5, if(ISBLANK('2025'!$S26), 0, 1), 6, if(ISBLANK('2025'!$T26), 0, 1), 7, 0))), 1, "")</f>
        <v/>
      </c>
      <c r="AR26" s="1" t="str">
        <f>IF(AND(AND(AND(AR$4&gt;='2025'!$L26,AR$4&lt;='2025'!$M26), AR$4&lt;&gt;DATE(2025,7,4)), (SWITCH(weekday(AR$4), 1, 0, 2, if(ISBLANK('2025'!$P26), 0, 1), 3, if(ISBLANK('2025'!$Q26), 0, 1), 4, if(ISBLANK('2025'!$R26), 0, 1), 5, if(ISBLANK('2025'!$S26), 0, 1), 6, if(ISBLANK('2025'!$T26), 0, 1), 7, 0))), 1, "")</f>
        <v/>
      </c>
      <c r="AS26" s="1" t="str">
        <f>IF(AND(AND(AND(AS$4&gt;='2025'!$L26,AS$4&lt;='2025'!$M26), AS$4&lt;&gt;DATE(2025,7,4)), (SWITCH(weekday(AS$4), 1, 0, 2, if(ISBLANK('2025'!$P26), 0, 1), 3, if(ISBLANK('2025'!$Q26), 0, 1), 4, if(ISBLANK('2025'!$R26), 0, 1), 5, if(ISBLANK('2025'!$S26), 0, 1), 6, if(ISBLANK('2025'!$T26), 0, 1), 7, 0))), 1, "")</f>
        <v/>
      </c>
      <c r="AT26" s="1" t="str">
        <f>IF(AND(AND(AND(AT$4&gt;='2025'!$L26,AT$4&lt;='2025'!$M26), AT$4&lt;&gt;DATE(2025,7,4)), (SWITCH(weekday(AT$4), 1, 0, 2, if(ISBLANK('2025'!$P26), 0, 1), 3, if(ISBLANK('2025'!$Q26), 0, 1), 4, if(ISBLANK('2025'!$R26), 0, 1), 5, if(ISBLANK('2025'!$S26), 0, 1), 6, if(ISBLANK('2025'!$T26), 0, 1), 7, 0))), 1, "")</f>
        <v/>
      </c>
      <c r="AU26" s="1" t="str">
        <f>IF(AND(AND(AND(AU$4&gt;='2025'!$L26,AU$4&lt;='2025'!$M26), AU$4&lt;&gt;DATE(2025,7,4)), (SWITCH(weekday(AU$4), 1, 0, 2, if(ISBLANK('2025'!$P26), 0, 1), 3, if(ISBLANK('2025'!$Q26), 0, 1), 4, if(ISBLANK('2025'!$R26), 0, 1), 5, if(ISBLANK('2025'!$S26), 0, 1), 6, if(ISBLANK('2025'!$T26), 0, 1), 7, 0))), 1, "")</f>
        <v/>
      </c>
      <c r="AV26" s="1" t="str">
        <f>IF(AND(AND(AND(AV$4&gt;='2025'!$L26,AV$4&lt;='2025'!$M26), AV$4&lt;&gt;DATE(2025,7,4)), (SWITCH(weekday(AV$4), 1, 0, 2, if(ISBLANK('2025'!$P26), 0, 1), 3, if(ISBLANK('2025'!$Q26), 0, 1), 4, if(ISBLANK('2025'!$R26), 0, 1), 5, if(ISBLANK('2025'!$S26), 0, 1), 6, if(ISBLANK('2025'!$T26), 0, 1), 7, 0))), 1, "")</f>
        <v/>
      </c>
      <c r="AW26" s="1" t="str">
        <f>IF(AND(AND(AND(AW$4&gt;='2025'!$L26,AW$4&lt;='2025'!$M26), AW$4&lt;&gt;DATE(2025,7,4)), (SWITCH(weekday(AW$4), 1, 0, 2, if(ISBLANK('2025'!$P26), 0, 1), 3, if(ISBLANK('2025'!$Q26), 0, 1), 4, if(ISBLANK('2025'!$R26), 0, 1), 5, if(ISBLANK('2025'!$S26), 0, 1), 6, if(ISBLANK('2025'!$T26), 0, 1), 7, 0))), 1, "")</f>
        <v/>
      </c>
      <c r="AX26" s="1" t="str">
        <f>IF(AND(AND(AND(AX$4&gt;='2025'!$L26,AX$4&lt;='2025'!$M26), AX$4&lt;&gt;DATE(2025,7,4)), (SWITCH(weekday(AX$4), 1, 0, 2, if(ISBLANK('2025'!$P26), 0, 1), 3, if(ISBLANK('2025'!$Q26), 0, 1), 4, if(ISBLANK('2025'!$R26), 0, 1), 5, if(ISBLANK('2025'!$S26), 0, 1), 6, if(ISBLANK('2025'!$T26), 0, 1), 7, 0))), 1, "")</f>
        <v/>
      </c>
      <c r="AY26" s="1" t="str">
        <f>IF(AND(AND(AND(AY$4&gt;='2025'!$L26,AY$4&lt;='2025'!$M26), AY$4&lt;&gt;DATE(2025,7,4)), (SWITCH(weekday(AY$4), 1, 0, 2, if(ISBLANK('2025'!$P26), 0, 1), 3, if(ISBLANK('2025'!$Q26), 0, 1), 4, if(ISBLANK('2025'!$R26), 0, 1), 5, if(ISBLANK('2025'!$S26), 0, 1), 6, if(ISBLANK('2025'!$T26), 0, 1), 7, 0))), 1, "")</f>
        <v/>
      </c>
      <c r="AZ26" s="1" t="str">
        <f>IF(AND(AND(AND(AZ$4&gt;='2025'!$L26,AZ$4&lt;='2025'!$M26), AZ$4&lt;&gt;DATE(2025,7,4)), (SWITCH(weekday(AZ$4), 1, 0, 2, if(ISBLANK('2025'!$P26), 0, 1), 3, if(ISBLANK('2025'!$Q26), 0, 1), 4, if(ISBLANK('2025'!$R26), 0, 1), 5, if(ISBLANK('2025'!$S26), 0, 1), 6, if(ISBLANK('2025'!$T26), 0, 1), 7, 0))), 1, "")</f>
        <v/>
      </c>
      <c r="BA26" s="1" t="str">
        <f>IF(AND(AND(AND(BA$4&gt;='2025'!$L26,BA$4&lt;='2025'!$M26), BA$4&lt;&gt;DATE(2025,7,4)), (SWITCH(weekday(BA$4), 1, 0, 2, if(ISBLANK('2025'!$P26), 0, 1), 3, if(ISBLANK('2025'!$Q26), 0, 1), 4, if(ISBLANK('2025'!$R26), 0, 1), 5, if(ISBLANK('2025'!$S26), 0, 1), 6, if(ISBLANK('2025'!$T26), 0, 1), 7, 0))), 1, "")</f>
        <v/>
      </c>
      <c r="BB26" s="1" t="str">
        <f>IF(AND(AND(AND(BB$4&gt;='2025'!$L26,BB$4&lt;='2025'!$M26), BB$4&lt;&gt;DATE(2025,7,4)), (SWITCH(weekday(BB$4), 1, 0, 2, if(ISBLANK('2025'!$P26), 0, 1), 3, if(ISBLANK('2025'!$Q26), 0, 1), 4, if(ISBLANK('2025'!$R26), 0, 1), 5, if(ISBLANK('2025'!$S26), 0, 1), 6, if(ISBLANK('2025'!$T26), 0, 1), 7, 0))), 1, "")</f>
        <v/>
      </c>
      <c r="BC26" s="1" t="str">
        <f>IF(AND(AND(AND(BC$4&gt;='2025'!$L26,BC$4&lt;='2025'!$M26), BC$4&lt;&gt;DATE(2025,7,4)), (SWITCH(weekday(BC$4), 1, 0, 2, if(ISBLANK('2025'!$P26), 0, 1), 3, if(ISBLANK('2025'!$Q26), 0, 1), 4, if(ISBLANK('2025'!$R26), 0, 1), 5, if(ISBLANK('2025'!$S26), 0, 1), 6, if(ISBLANK('2025'!$T26), 0, 1), 7, 0))), 1, "")</f>
        <v/>
      </c>
      <c r="BD26" s="1" t="str">
        <f>IF(AND(AND(AND(BD$4&gt;='2025'!$L26,BD$4&lt;='2025'!$M26), BD$4&lt;&gt;DATE(2025,7,4)), (SWITCH(weekday(BD$4), 1, 0, 2, if(ISBLANK('2025'!$P26), 0, 1), 3, if(ISBLANK('2025'!$Q26), 0, 1), 4, if(ISBLANK('2025'!$R26), 0, 1), 5, if(ISBLANK('2025'!$S26), 0, 1), 6, if(ISBLANK('2025'!$T26), 0, 1), 7, 0))), 1, "")</f>
        <v/>
      </c>
      <c r="BE26" s="1" t="str">
        <f>IF(AND(AND(AND(BE$4&gt;='2025'!$L26,BE$4&lt;='2025'!$M26), BE$4&lt;&gt;DATE(2025,7,4)), (SWITCH(weekday(BE$4), 1, 0, 2, if(ISBLANK('2025'!$P26), 0, 1), 3, if(ISBLANK('2025'!$Q26), 0, 1), 4, if(ISBLANK('2025'!$R26), 0, 1), 5, if(ISBLANK('2025'!$S26), 0, 1), 6, if(ISBLANK('2025'!$T26), 0, 1), 7, 0))), 1, "")</f>
        <v/>
      </c>
      <c r="BF26" s="1" t="str">
        <f>IF(AND(AND(AND(BF$4&gt;='2025'!$L26,BF$4&lt;='2025'!$M26), BF$4&lt;&gt;DATE(2025,7,4)), (SWITCH(weekday(BF$4), 1, 0, 2, if(ISBLANK('2025'!$P26), 0, 1), 3, if(ISBLANK('2025'!$Q26), 0, 1), 4, if(ISBLANK('2025'!$R26), 0, 1), 5, if(ISBLANK('2025'!$S26), 0, 1), 6, if(ISBLANK('2025'!$T26), 0, 1), 7, 0))), 1, "")</f>
        <v/>
      </c>
      <c r="BG26" s="1"/>
      <c r="BH26" s="1"/>
      <c r="BI26" s="1"/>
      <c r="BJ26" s="1"/>
      <c r="BK26" s="1"/>
      <c r="BL26" s="1"/>
    </row>
    <row r="27">
      <c r="A27" s="1">
        <f t="shared" si="3"/>
        <v>27</v>
      </c>
      <c r="B27" s="1" t="str">
        <f>'2025'!D27</f>
        <v>uddin, sarah</v>
      </c>
      <c r="C27" s="1" t="str">
        <f>'2025'!H27</f>
        <v>infant</v>
      </c>
      <c r="D27" s="1" t="str">
        <f>IF(AND(AND(AND(D$4&gt;='2025'!$L27,D$4&lt;='2025'!$M27), D$4&lt;&gt;DATE(2025,7,4)), (SWITCH(weekday(D$4), 1, 0, 2, if(ISBLANK('2025'!$P27), 0, 1), 3, if(ISBLANK('2025'!$Q27), 0, 1), 4, if(ISBLANK('2025'!$R27), 0, 1), 5, if(ISBLANK('2025'!$S27), 0, 1), 6, if(ISBLANK('2025'!$T27), 0, 1), 7, 0))), 1, "")</f>
        <v/>
      </c>
      <c r="E27" s="1" t="str">
        <f>IF(AND(AND(AND(E$4&gt;='2025'!$L27,E$4&lt;='2025'!$M27), E$4&lt;&gt;DATE(2025,7,4)), (SWITCH(weekday(E$4), 1, 0, 2, if(ISBLANK('2025'!$P27), 0, 1), 3, if(ISBLANK('2025'!$Q27), 0, 1), 4, if(ISBLANK('2025'!$R27), 0, 1), 5, if(ISBLANK('2025'!$S27), 0, 1), 6, if(ISBLANK('2025'!$T27), 0, 1), 7, 0))), 1, "")</f>
        <v/>
      </c>
      <c r="F27" s="1" t="str">
        <f>IF(AND(AND(AND(F$4&gt;='2025'!$L27,F$4&lt;='2025'!$M27), F$4&lt;&gt;DATE(2025,7,4)), (SWITCH(weekday(F$4), 1, 0, 2, if(ISBLANK('2025'!$P27), 0, 1), 3, if(ISBLANK('2025'!$Q27), 0, 1), 4, if(ISBLANK('2025'!$R27), 0, 1), 5, if(ISBLANK('2025'!$S27), 0, 1), 6, if(ISBLANK('2025'!$T27), 0, 1), 7, 0))), 1, "")</f>
        <v/>
      </c>
      <c r="G27" s="1" t="str">
        <f>IF(AND(AND(AND(G$4&gt;='2025'!$L27,G$4&lt;='2025'!$M27), G$4&lt;&gt;DATE(2025,7,4)), (SWITCH(weekday(G$4), 1, 0, 2, if(ISBLANK('2025'!$P27), 0, 1), 3, if(ISBLANK('2025'!$Q27), 0, 1), 4, if(ISBLANK('2025'!$R27), 0, 1), 5, if(ISBLANK('2025'!$S27), 0, 1), 6, if(ISBLANK('2025'!$T27), 0, 1), 7, 0))), 1, "")</f>
        <v/>
      </c>
      <c r="H27" s="1" t="str">
        <f>IF(AND(AND(AND(H$4&gt;='2025'!$L27,H$4&lt;='2025'!$M27), H$4&lt;&gt;DATE(2025,7,4)), (SWITCH(weekday(H$4), 1, 0, 2, if(ISBLANK('2025'!$P27), 0, 1), 3, if(ISBLANK('2025'!$Q27), 0, 1), 4, if(ISBLANK('2025'!$R27), 0, 1), 5, if(ISBLANK('2025'!$S27), 0, 1), 6, if(ISBLANK('2025'!$T27), 0, 1), 7, 0))), 1, "")</f>
        <v/>
      </c>
      <c r="I27" s="1" t="str">
        <f>IF(AND(AND(AND(I$4&gt;='2025'!$L27,I$4&lt;='2025'!$M27), I$4&lt;&gt;DATE(2025,7,4)), (SWITCH(weekday(I$4), 1, 0, 2, if(ISBLANK('2025'!$P27), 0, 1), 3, if(ISBLANK('2025'!$Q27), 0, 1), 4, if(ISBLANK('2025'!$R27), 0, 1), 5, if(ISBLANK('2025'!$S27), 0, 1), 6, if(ISBLANK('2025'!$T27), 0, 1), 7, 0))), 1, "")</f>
        <v/>
      </c>
      <c r="J27" s="1" t="str">
        <f>IF(AND(AND(AND(J$4&gt;='2025'!$L27,J$4&lt;='2025'!$M27), J$4&lt;&gt;DATE(2025,7,4)), (SWITCH(weekday(J$4), 1, 0, 2, if(ISBLANK('2025'!$P27), 0, 1), 3, if(ISBLANK('2025'!$Q27), 0, 1), 4, if(ISBLANK('2025'!$R27), 0, 1), 5, if(ISBLANK('2025'!$S27), 0, 1), 6, if(ISBLANK('2025'!$T27), 0, 1), 7, 0))), 1, "")</f>
        <v/>
      </c>
      <c r="K27" s="1" t="str">
        <f>IF(AND(AND(AND(K$4&gt;='2025'!$L27,K$4&lt;='2025'!$M27), K$4&lt;&gt;DATE(2025,7,4)), (SWITCH(weekday(K$4), 1, 0, 2, if(ISBLANK('2025'!$P27), 0, 1), 3, if(ISBLANK('2025'!$Q27), 0, 1), 4, if(ISBLANK('2025'!$R27), 0, 1), 5, if(ISBLANK('2025'!$S27), 0, 1), 6, if(ISBLANK('2025'!$T27), 0, 1), 7, 0))), 1, "")</f>
        <v/>
      </c>
      <c r="L27" s="1" t="str">
        <f>IF(AND(AND(AND(L$4&gt;='2025'!$L27,L$4&lt;='2025'!$M27), L$4&lt;&gt;DATE(2025,7,4)), (SWITCH(weekday(L$4), 1, 0, 2, if(ISBLANK('2025'!$P27), 0, 1), 3, if(ISBLANK('2025'!$Q27), 0, 1), 4, if(ISBLANK('2025'!$R27), 0, 1), 5, if(ISBLANK('2025'!$S27), 0, 1), 6, if(ISBLANK('2025'!$T27), 0, 1), 7, 0))), 1, "")</f>
        <v/>
      </c>
      <c r="M27" s="1" t="str">
        <f>IF(AND(AND(AND(M$4&gt;='2025'!$L27,M$4&lt;='2025'!$M27), M$4&lt;&gt;DATE(2025,7,4)), (SWITCH(weekday(M$4), 1, 0, 2, if(ISBLANK('2025'!$P27), 0, 1), 3, if(ISBLANK('2025'!$Q27), 0, 1), 4, if(ISBLANK('2025'!$R27), 0, 1), 5, if(ISBLANK('2025'!$S27), 0, 1), 6, if(ISBLANK('2025'!$T27), 0, 1), 7, 0))), 1, "")</f>
        <v/>
      </c>
      <c r="N27" s="1" t="str">
        <f>IF(AND(AND(AND(N$4&gt;='2025'!$L27,N$4&lt;='2025'!$M27), N$4&lt;&gt;DATE(2025,7,4)), (SWITCH(weekday(N$4), 1, 0, 2, if(ISBLANK('2025'!$P27), 0, 1), 3, if(ISBLANK('2025'!$Q27), 0, 1), 4, if(ISBLANK('2025'!$R27), 0, 1), 5, if(ISBLANK('2025'!$S27), 0, 1), 6, if(ISBLANK('2025'!$T27), 0, 1), 7, 0))), 1, "")</f>
        <v/>
      </c>
      <c r="O27" s="1" t="str">
        <f>IF(AND(AND(AND(O$4&gt;='2025'!$L27,O$4&lt;='2025'!$M27), O$4&lt;&gt;DATE(2025,7,4)), (SWITCH(weekday(O$4), 1, 0, 2, if(ISBLANK('2025'!$P27), 0, 1), 3, if(ISBLANK('2025'!$Q27), 0, 1), 4, if(ISBLANK('2025'!$R27), 0, 1), 5, if(ISBLANK('2025'!$S27), 0, 1), 6, if(ISBLANK('2025'!$T27), 0, 1), 7, 0))), 1, "")</f>
        <v/>
      </c>
      <c r="P27" s="1" t="str">
        <f>IF(AND(AND(AND(P$4&gt;='2025'!$L27,P$4&lt;='2025'!$M27), P$4&lt;&gt;DATE(2025,7,4)), (SWITCH(weekday(P$4), 1, 0, 2, if(ISBLANK('2025'!$P27), 0, 1), 3, if(ISBLANK('2025'!$Q27), 0, 1), 4, if(ISBLANK('2025'!$R27), 0, 1), 5, if(ISBLANK('2025'!$S27), 0, 1), 6, if(ISBLANK('2025'!$T27), 0, 1), 7, 0))), 1, "")</f>
        <v/>
      </c>
      <c r="Q27" s="1" t="str">
        <f>IF(AND(AND(AND(Q$4&gt;='2025'!$L27,Q$4&lt;='2025'!$M27), Q$4&lt;&gt;DATE(2025,7,4)), (SWITCH(weekday(Q$4), 1, 0, 2, if(ISBLANK('2025'!$P27), 0, 1), 3, if(ISBLANK('2025'!$Q27), 0, 1), 4, if(ISBLANK('2025'!$R27), 0, 1), 5, if(ISBLANK('2025'!$S27), 0, 1), 6, if(ISBLANK('2025'!$T27), 0, 1), 7, 0))), 1, "")</f>
        <v/>
      </c>
      <c r="R27" s="1" t="str">
        <f>IF(AND(AND(AND(R$4&gt;='2025'!$L27,R$4&lt;='2025'!$M27), R$4&lt;&gt;DATE(2025,7,4)), (SWITCH(weekday(R$4), 1, 0, 2, if(ISBLANK('2025'!$P27), 0, 1), 3, if(ISBLANK('2025'!$Q27), 0, 1), 4, if(ISBLANK('2025'!$R27), 0, 1), 5, if(ISBLANK('2025'!$S27), 0, 1), 6, if(ISBLANK('2025'!$T27), 0, 1), 7, 0))), 1, "")</f>
        <v/>
      </c>
      <c r="S27" s="1" t="str">
        <f>IF(AND(AND(AND(S$4&gt;='2025'!$L27,S$4&lt;='2025'!$M27), S$4&lt;&gt;DATE(2025,7,4)), (SWITCH(weekday(S$4), 1, 0, 2, if(ISBLANK('2025'!$P27), 0, 1), 3, if(ISBLANK('2025'!$Q27), 0, 1), 4, if(ISBLANK('2025'!$R27), 0, 1), 5, if(ISBLANK('2025'!$S27), 0, 1), 6, if(ISBLANK('2025'!$T27), 0, 1), 7, 0))), 1, "")</f>
        <v/>
      </c>
      <c r="T27" s="1" t="str">
        <f>IF(AND(AND(AND(T$4&gt;='2025'!$L27,T$4&lt;='2025'!$M27), T$4&lt;&gt;DATE(2025,7,4)), (SWITCH(weekday(T$4), 1, 0, 2, if(ISBLANK('2025'!$P27), 0, 1), 3, if(ISBLANK('2025'!$Q27), 0, 1), 4, if(ISBLANK('2025'!$R27), 0, 1), 5, if(ISBLANK('2025'!$S27), 0, 1), 6, if(ISBLANK('2025'!$T27), 0, 1), 7, 0))), 1, "")</f>
        <v/>
      </c>
      <c r="U27" s="1" t="str">
        <f>IF(AND(AND(AND(U$4&gt;='2025'!$L27,U$4&lt;='2025'!$M27), U$4&lt;&gt;DATE(2025,7,4)), (SWITCH(weekday(U$4), 1, 0, 2, if(ISBLANK('2025'!$P27), 0, 1), 3, if(ISBLANK('2025'!$Q27), 0, 1), 4, if(ISBLANK('2025'!$R27), 0, 1), 5, if(ISBLANK('2025'!$S27), 0, 1), 6, if(ISBLANK('2025'!$T27), 0, 1), 7, 0))), 1, "")</f>
        <v/>
      </c>
      <c r="V27" s="1" t="str">
        <f>IF(AND(AND(AND(V$4&gt;='2025'!$L27,V$4&lt;='2025'!$M27), V$4&lt;&gt;DATE(2025,7,4)), (SWITCH(weekday(V$4), 1, 0, 2, if(ISBLANK('2025'!$P27), 0, 1), 3, if(ISBLANK('2025'!$Q27), 0, 1), 4, if(ISBLANK('2025'!$R27), 0, 1), 5, if(ISBLANK('2025'!$S27), 0, 1), 6, if(ISBLANK('2025'!$T27), 0, 1), 7, 0))), 1, "")</f>
        <v/>
      </c>
      <c r="W27" s="1" t="str">
        <f>IF(AND(AND(AND(W$4&gt;='2025'!$L27,W$4&lt;='2025'!$M27), W$4&lt;&gt;DATE(2025,7,4)), (SWITCH(weekday(W$4), 1, 0, 2, if(ISBLANK('2025'!$P27), 0, 1), 3, if(ISBLANK('2025'!$Q27), 0, 1), 4, if(ISBLANK('2025'!$R27), 0, 1), 5, if(ISBLANK('2025'!$S27), 0, 1), 6, if(ISBLANK('2025'!$T27), 0, 1), 7, 0))), 1, "")</f>
        <v/>
      </c>
      <c r="X27" s="1" t="str">
        <f>IF(AND(AND(AND(X$4&gt;='2025'!$L27,X$4&lt;='2025'!$M27), X$4&lt;&gt;DATE(2025,7,4)), (SWITCH(weekday(X$4), 1, 0, 2, if(ISBLANK('2025'!$P27), 0, 1), 3, if(ISBLANK('2025'!$Q27), 0, 1), 4, if(ISBLANK('2025'!$R27), 0, 1), 5, if(ISBLANK('2025'!$S27), 0, 1), 6, if(ISBLANK('2025'!$T27), 0, 1), 7, 0))), 1, "")</f>
        <v/>
      </c>
      <c r="Y27" s="1" t="str">
        <f>IF(AND(AND(AND(Y$4&gt;='2025'!$L27,Y$4&lt;='2025'!$M27), Y$4&lt;&gt;DATE(2025,7,4)), (SWITCH(weekday(Y$4), 1, 0, 2, if(ISBLANK('2025'!$P27), 0, 1), 3, if(ISBLANK('2025'!$Q27), 0, 1), 4, if(ISBLANK('2025'!$R27), 0, 1), 5, if(ISBLANK('2025'!$S27), 0, 1), 6, if(ISBLANK('2025'!$T27), 0, 1), 7, 0))), 1, "")</f>
        <v/>
      </c>
      <c r="Z27" s="1" t="str">
        <f>IF(AND(AND(AND(Z$4&gt;='2025'!$L27,Z$4&lt;='2025'!$M27), Z$4&lt;&gt;DATE(2025,7,4)), (SWITCH(weekday(Z$4), 1, 0, 2, if(ISBLANK('2025'!$P27), 0, 1), 3, if(ISBLANK('2025'!$Q27), 0, 1), 4, if(ISBLANK('2025'!$R27), 0, 1), 5, if(ISBLANK('2025'!$S27), 0, 1), 6, if(ISBLANK('2025'!$T27), 0, 1), 7, 0))), 1, "")</f>
        <v/>
      </c>
      <c r="AA27" s="1" t="str">
        <f>IF(AND(AND(AND(AA$4&gt;='2025'!$L27,AA$4&lt;='2025'!$M27), AA$4&lt;&gt;DATE(2025,7,4)), (SWITCH(weekday(AA$4), 1, 0, 2, if(ISBLANK('2025'!$P27), 0, 1), 3, if(ISBLANK('2025'!$Q27), 0, 1), 4, if(ISBLANK('2025'!$R27), 0, 1), 5, if(ISBLANK('2025'!$S27), 0, 1), 6, if(ISBLANK('2025'!$T27), 0, 1), 7, 0))), 1, "")</f>
        <v/>
      </c>
      <c r="AB27" s="1" t="str">
        <f>IF(AND(AND(AND(AB$4&gt;='2025'!$L27,AB$4&lt;='2025'!$M27), AB$4&lt;&gt;DATE(2025,7,4)), (SWITCH(weekday(AB$4), 1, 0, 2, if(ISBLANK('2025'!$P27), 0, 1), 3, if(ISBLANK('2025'!$Q27), 0, 1), 4, if(ISBLANK('2025'!$R27), 0, 1), 5, if(ISBLANK('2025'!$S27), 0, 1), 6, if(ISBLANK('2025'!$T27), 0, 1), 7, 0))), 1, "")</f>
        <v/>
      </c>
      <c r="AC27" s="1" t="str">
        <f>IF(AND(AND(AND(AC$4&gt;='2025'!$L27,AC$4&lt;='2025'!$M27), AC$4&lt;&gt;DATE(2025,7,4)), (SWITCH(weekday(AC$4), 1, 0, 2, if(ISBLANK('2025'!$P27), 0, 1), 3, if(ISBLANK('2025'!$Q27), 0, 1), 4, if(ISBLANK('2025'!$R27), 0, 1), 5, if(ISBLANK('2025'!$S27), 0, 1), 6, if(ISBLANK('2025'!$T27), 0, 1), 7, 0))), 1, "")</f>
        <v/>
      </c>
      <c r="AD27" s="1" t="str">
        <f>IF(AND(AND(AND(AD$4&gt;='2025'!$L27,AD$4&lt;='2025'!$M27), AD$4&lt;&gt;DATE(2025,7,4)), (SWITCH(weekday(AD$4), 1, 0, 2, if(ISBLANK('2025'!$P27), 0, 1), 3, if(ISBLANK('2025'!$Q27), 0, 1), 4, if(ISBLANK('2025'!$R27), 0, 1), 5, if(ISBLANK('2025'!$S27), 0, 1), 6, if(ISBLANK('2025'!$T27), 0, 1), 7, 0))), 1, "")</f>
        <v/>
      </c>
      <c r="AE27" s="1" t="str">
        <f>IF(AND(AND(AND(AE$4&gt;='2025'!$L27,AE$4&lt;='2025'!$M27), AE$4&lt;&gt;DATE(2025,7,4)), (SWITCH(weekday(AE$4), 1, 0, 2, if(ISBLANK('2025'!$P27), 0, 1), 3, if(ISBLANK('2025'!$Q27), 0, 1), 4, if(ISBLANK('2025'!$R27), 0, 1), 5, if(ISBLANK('2025'!$S27), 0, 1), 6, if(ISBLANK('2025'!$T27), 0, 1), 7, 0))), 1, "")</f>
        <v/>
      </c>
      <c r="AF27" s="1" t="str">
        <f>IF(AND(AND(AND(AF$4&gt;='2025'!$L27,AF$4&lt;='2025'!$M27), AF$4&lt;&gt;DATE(2025,7,4)), (SWITCH(weekday(AF$4), 1, 0, 2, if(ISBLANK('2025'!$P27), 0, 1), 3, if(ISBLANK('2025'!$Q27), 0, 1), 4, if(ISBLANK('2025'!$R27), 0, 1), 5, if(ISBLANK('2025'!$S27), 0, 1), 6, if(ISBLANK('2025'!$T27), 0, 1), 7, 0))), 1, "")</f>
        <v/>
      </c>
      <c r="AG27" s="1" t="str">
        <f>IF(AND(AND(AND(AG$4&gt;='2025'!$L27,AG$4&lt;='2025'!$M27), AG$4&lt;&gt;DATE(2025,7,4)), (SWITCH(weekday(AG$4), 1, 0, 2, if(ISBLANK('2025'!$P27), 0, 1), 3, if(ISBLANK('2025'!$Q27), 0, 1), 4, if(ISBLANK('2025'!$R27), 0, 1), 5, if(ISBLANK('2025'!$S27), 0, 1), 6, if(ISBLANK('2025'!$T27), 0, 1), 7, 0))), 1, "")</f>
        <v/>
      </c>
      <c r="AH27" s="1" t="str">
        <f>IF(AND(AND(AND(AH$4&gt;='2025'!$L27,AH$4&lt;='2025'!$M27), AH$4&lt;&gt;DATE(2025,7,4)), (SWITCH(weekday(AH$4), 1, 0, 2, if(ISBLANK('2025'!$P27), 0, 1), 3, if(ISBLANK('2025'!$Q27), 0, 1), 4, if(ISBLANK('2025'!$R27), 0, 1), 5, if(ISBLANK('2025'!$S27), 0, 1), 6, if(ISBLANK('2025'!$T27), 0, 1), 7, 0))), 1, "")</f>
        <v/>
      </c>
      <c r="AI27" s="1" t="str">
        <f>IF(AND(AND(AND(AI$4&gt;='2025'!$L27,AI$4&lt;='2025'!$M27), AI$4&lt;&gt;DATE(2025,7,4)), (SWITCH(weekday(AI$4), 1, 0, 2, if(ISBLANK('2025'!$P27), 0, 1), 3, if(ISBLANK('2025'!$Q27), 0, 1), 4, if(ISBLANK('2025'!$R27), 0, 1), 5, if(ISBLANK('2025'!$S27), 0, 1), 6, if(ISBLANK('2025'!$T27), 0, 1), 7, 0))), 1, "")</f>
        <v/>
      </c>
      <c r="AJ27" s="1" t="str">
        <f>IF(AND(AND(AND(AJ$4&gt;='2025'!$L27,AJ$4&lt;='2025'!$M27), AJ$4&lt;&gt;DATE(2025,7,4)), (SWITCH(weekday(AJ$4), 1, 0, 2, if(ISBLANK('2025'!$P27), 0, 1), 3, if(ISBLANK('2025'!$Q27), 0, 1), 4, if(ISBLANK('2025'!$R27), 0, 1), 5, if(ISBLANK('2025'!$S27), 0, 1), 6, if(ISBLANK('2025'!$T27), 0, 1), 7, 0))), 1, "")</f>
        <v/>
      </c>
      <c r="AK27" s="1" t="str">
        <f>IF(AND(AND(AND(AK$4&gt;='2025'!$L27,AK$4&lt;='2025'!$M27), AK$4&lt;&gt;DATE(2025,7,4)), (SWITCH(weekday(AK$4), 1, 0, 2, if(ISBLANK('2025'!$P27), 0, 1), 3, if(ISBLANK('2025'!$Q27), 0, 1), 4, if(ISBLANK('2025'!$R27), 0, 1), 5, if(ISBLANK('2025'!$S27), 0, 1), 6, if(ISBLANK('2025'!$T27), 0, 1), 7, 0))), 1, "")</f>
        <v/>
      </c>
      <c r="AL27" s="1" t="str">
        <f>IF(AND(AND(AND(AL$4&gt;='2025'!$L27,AL$4&lt;='2025'!$M27), AL$4&lt;&gt;DATE(2025,7,4)), (SWITCH(weekday(AL$4), 1, 0, 2, if(ISBLANK('2025'!$P27), 0, 1), 3, if(ISBLANK('2025'!$Q27), 0, 1), 4, if(ISBLANK('2025'!$R27), 0, 1), 5, if(ISBLANK('2025'!$S27), 0, 1), 6, if(ISBLANK('2025'!$T27), 0, 1), 7, 0))), 1, "")</f>
        <v/>
      </c>
      <c r="AM27" s="1" t="str">
        <f>IF(AND(AND(AND(AM$4&gt;='2025'!$L27,AM$4&lt;='2025'!$M27), AM$4&lt;&gt;DATE(2025,7,4)), (SWITCH(weekday(AM$4), 1, 0, 2, if(ISBLANK('2025'!$P27), 0, 1), 3, if(ISBLANK('2025'!$Q27), 0, 1), 4, if(ISBLANK('2025'!$R27), 0, 1), 5, if(ISBLANK('2025'!$S27), 0, 1), 6, if(ISBLANK('2025'!$T27), 0, 1), 7, 0))), 1, "")</f>
        <v/>
      </c>
      <c r="AN27" s="1" t="str">
        <f>IF(AND(AND(AND(AN$4&gt;='2025'!$L27,AN$4&lt;='2025'!$M27), AN$4&lt;&gt;DATE(2025,7,4)), (SWITCH(weekday(AN$4), 1, 0, 2, if(ISBLANK('2025'!$P27), 0, 1), 3, if(ISBLANK('2025'!$Q27), 0, 1), 4, if(ISBLANK('2025'!$R27), 0, 1), 5, if(ISBLANK('2025'!$S27), 0, 1), 6, if(ISBLANK('2025'!$T27), 0, 1), 7, 0))), 1, "")</f>
        <v/>
      </c>
      <c r="AO27" s="1" t="str">
        <f>IF(AND(AND(AND(AO$4&gt;='2025'!$L27,AO$4&lt;='2025'!$M27), AO$4&lt;&gt;DATE(2025,7,4)), (SWITCH(weekday(AO$4), 1, 0, 2, if(ISBLANK('2025'!$P27), 0, 1), 3, if(ISBLANK('2025'!$Q27), 0, 1), 4, if(ISBLANK('2025'!$R27), 0, 1), 5, if(ISBLANK('2025'!$S27), 0, 1), 6, if(ISBLANK('2025'!$T27), 0, 1), 7, 0))), 1, "")</f>
        <v/>
      </c>
      <c r="AP27" s="1" t="str">
        <f>IF(AND(AND(AND(AP$4&gt;='2025'!$L27,AP$4&lt;='2025'!$M27), AP$4&lt;&gt;DATE(2025,7,4)), (SWITCH(weekday(AP$4), 1, 0, 2, if(ISBLANK('2025'!$P27), 0, 1), 3, if(ISBLANK('2025'!$Q27), 0, 1), 4, if(ISBLANK('2025'!$R27), 0, 1), 5, if(ISBLANK('2025'!$S27), 0, 1), 6, if(ISBLANK('2025'!$T27), 0, 1), 7, 0))), 1, "")</f>
        <v/>
      </c>
      <c r="AQ27" s="1" t="str">
        <f>IF(AND(AND(AND(AQ$4&gt;='2025'!$L27,AQ$4&lt;='2025'!$M27), AQ$4&lt;&gt;DATE(2025,7,4)), (SWITCH(weekday(AQ$4), 1, 0, 2, if(ISBLANK('2025'!$P27), 0, 1), 3, if(ISBLANK('2025'!$Q27), 0, 1), 4, if(ISBLANK('2025'!$R27), 0, 1), 5, if(ISBLANK('2025'!$S27), 0, 1), 6, if(ISBLANK('2025'!$T27), 0, 1), 7, 0))), 1, "")</f>
        <v/>
      </c>
      <c r="AR27" s="1" t="str">
        <f>IF(AND(AND(AND(AR$4&gt;='2025'!$L27,AR$4&lt;='2025'!$M27), AR$4&lt;&gt;DATE(2025,7,4)), (SWITCH(weekday(AR$4), 1, 0, 2, if(ISBLANK('2025'!$P27), 0, 1), 3, if(ISBLANK('2025'!$Q27), 0, 1), 4, if(ISBLANK('2025'!$R27), 0, 1), 5, if(ISBLANK('2025'!$S27), 0, 1), 6, if(ISBLANK('2025'!$T27), 0, 1), 7, 0))), 1, "")</f>
        <v/>
      </c>
      <c r="AS27" s="1" t="str">
        <f>IF(AND(AND(AND(AS$4&gt;='2025'!$L27,AS$4&lt;='2025'!$M27), AS$4&lt;&gt;DATE(2025,7,4)), (SWITCH(weekday(AS$4), 1, 0, 2, if(ISBLANK('2025'!$P27), 0, 1), 3, if(ISBLANK('2025'!$Q27), 0, 1), 4, if(ISBLANK('2025'!$R27), 0, 1), 5, if(ISBLANK('2025'!$S27), 0, 1), 6, if(ISBLANK('2025'!$T27), 0, 1), 7, 0))), 1, "")</f>
        <v/>
      </c>
      <c r="AT27" s="1" t="str">
        <f>IF(AND(AND(AND(AT$4&gt;='2025'!$L27,AT$4&lt;='2025'!$M27), AT$4&lt;&gt;DATE(2025,7,4)), (SWITCH(weekday(AT$4), 1, 0, 2, if(ISBLANK('2025'!$P27), 0, 1), 3, if(ISBLANK('2025'!$Q27), 0, 1), 4, if(ISBLANK('2025'!$R27), 0, 1), 5, if(ISBLANK('2025'!$S27), 0, 1), 6, if(ISBLANK('2025'!$T27), 0, 1), 7, 0))), 1, "")</f>
        <v/>
      </c>
      <c r="AU27" s="1" t="str">
        <f>IF(AND(AND(AND(AU$4&gt;='2025'!$L27,AU$4&lt;='2025'!$M27), AU$4&lt;&gt;DATE(2025,7,4)), (SWITCH(weekday(AU$4), 1, 0, 2, if(ISBLANK('2025'!$P27), 0, 1), 3, if(ISBLANK('2025'!$Q27), 0, 1), 4, if(ISBLANK('2025'!$R27), 0, 1), 5, if(ISBLANK('2025'!$S27), 0, 1), 6, if(ISBLANK('2025'!$T27), 0, 1), 7, 0))), 1, "")</f>
        <v/>
      </c>
      <c r="AV27" s="1" t="str">
        <f>IF(AND(AND(AND(AV$4&gt;='2025'!$L27,AV$4&lt;='2025'!$M27), AV$4&lt;&gt;DATE(2025,7,4)), (SWITCH(weekday(AV$4), 1, 0, 2, if(ISBLANK('2025'!$P27), 0, 1), 3, if(ISBLANK('2025'!$Q27), 0, 1), 4, if(ISBLANK('2025'!$R27), 0, 1), 5, if(ISBLANK('2025'!$S27), 0, 1), 6, if(ISBLANK('2025'!$T27), 0, 1), 7, 0))), 1, "")</f>
        <v/>
      </c>
      <c r="AW27" s="1" t="str">
        <f>IF(AND(AND(AND(AW$4&gt;='2025'!$L27,AW$4&lt;='2025'!$M27), AW$4&lt;&gt;DATE(2025,7,4)), (SWITCH(weekday(AW$4), 1, 0, 2, if(ISBLANK('2025'!$P27), 0, 1), 3, if(ISBLANK('2025'!$Q27), 0, 1), 4, if(ISBLANK('2025'!$R27), 0, 1), 5, if(ISBLANK('2025'!$S27), 0, 1), 6, if(ISBLANK('2025'!$T27), 0, 1), 7, 0))), 1, "")</f>
        <v/>
      </c>
      <c r="AX27" s="1" t="str">
        <f>IF(AND(AND(AND(AX$4&gt;='2025'!$L27,AX$4&lt;='2025'!$M27), AX$4&lt;&gt;DATE(2025,7,4)), (SWITCH(weekday(AX$4), 1, 0, 2, if(ISBLANK('2025'!$P27), 0, 1), 3, if(ISBLANK('2025'!$Q27), 0, 1), 4, if(ISBLANK('2025'!$R27), 0, 1), 5, if(ISBLANK('2025'!$S27), 0, 1), 6, if(ISBLANK('2025'!$T27), 0, 1), 7, 0))), 1, "")</f>
        <v/>
      </c>
      <c r="AY27" s="1" t="str">
        <f>IF(AND(AND(AND(AY$4&gt;='2025'!$L27,AY$4&lt;='2025'!$M27), AY$4&lt;&gt;DATE(2025,7,4)), (SWITCH(weekday(AY$4), 1, 0, 2, if(ISBLANK('2025'!$P27), 0, 1), 3, if(ISBLANK('2025'!$Q27), 0, 1), 4, if(ISBLANK('2025'!$R27), 0, 1), 5, if(ISBLANK('2025'!$S27), 0, 1), 6, if(ISBLANK('2025'!$T27), 0, 1), 7, 0))), 1, "")</f>
        <v/>
      </c>
      <c r="AZ27" s="1" t="str">
        <f>IF(AND(AND(AND(AZ$4&gt;='2025'!$L27,AZ$4&lt;='2025'!$M27), AZ$4&lt;&gt;DATE(2025,7,4)), (SWITCH(weekday(AZ$4), 1, 0, 2, if(ISBLANK('2025'!$P27), 0, 1), 3, if(ISBLANK('2025'!$Q27), 0, 1), 4, if(ISBLANK('2025'!$R27), 0, 1), 5, if(ISBLANK('2025'!$S27), 0, 1), 6, if(ISBLANK('2025'!$T27), 0, 1), 7, 0))), 1, "")</f>
        <v/>
      </c>
      <c r="BA27" s="1" t="str">
        <f>IF(AND(AND(AND(BA$4&gt;='2025'!$L27,BA$4&lt;='2025'!$M27), BA$4&lt;&gt;DATE(2025,7,4)), (SWITCH(weekday(BA$4), 1, 0, 2, if(ISBLANK('2025'!$P27), 0, 1), 3, if(ISBLANK('2025'!$Q27), 0, 1), 4, if(ISBLANK('2025'!$R27), 0, 1), 5, if(ISBLANK('2025'!$S27), 0, 1), 6, if(ISBLANK('2025'!$T27), 0, 1), 7, 0))), 1, "")</f>
        <v/>
      </c>
      <c r="BB27" s="1" t="str">
        <f>IF(AND(AND(AND(BB$4&gt;='2025'!$L27,BB$4&lt;='2025'!$M27), BB$4&lt;&gt;DATE(2025,7,4)), (SWITCH(weekday(BB$4), 1, 0, 2, if(ISBLANK('2025'!$P27), 0, 1), 3, if(ISBLANK('2025'!$Q27), 0, 1), 4, if(ISBLANK('2025'!$R27), 0, 1), 5, if(ISBLANK('2025'!$S27), 0, 1), 6, if(ISBLANK('2025'!$T27), 0, 1), 7, 0))), 1, "")</f>
        <v/>
      </c>
      <c r="BC27" s="1" t="str">
        <f>IF(AND(AND(AND(BC$4&gt;='2025'!$L27,BC$4&lt;='2025'!$M27), BC$4&lt;&gt;DATE(2025,7,4)), (SWITCH(weekday(BC$4), 1, 0, 2, if(ISBLANK('2025'!$P27), 0, 1), 3, if(ISBLANK('2025'!$Q27), 0, 1), 4, if(ISBLANK('2025'!$R27), 0, 1), 5, if(ISBLANK('2025'!$S27), 0, 1), 6, if(ISBLANK('2025'!$T27), 0, 1), 7, 0))), 1, "")</f>
        <v/>
      </c>
      <c r="BD27" s="1" t="str">
        <f>IF(AND(AND(AND(BD$4&gt;='2025'!$L27,BD$4&lt;='2025'!$M27), BD$4&lt;&gt;DATE(2025,7,4)), (SWITCH(weekday(BD$4), 1, 0, 2, if(ISBLANK('2025'!$P27), 0, 1), 3, if(ISBLANK('2025'!$Q27), 0, 1), 4, if(ISBLANK('2025'!$R27), 0, 1), 5, if(ISBLANK('2025'!$S27), 0, 1), 6, if(ISBLANK('2025'!$T27), 0, 1), 7, 0))), 1, "")</f>
        <v/>
      </c>
      <c r="BE27" s="1" t="str">
        <f>IF(AND(AND(AND(BE$4&gt;='2025'!$L27,BE$4&lt;='2025'!$M27), BE$4&lt;&gt;DATE(2025,7,4)), (SWITCH(weekday(BE$4), 1, 0, 2, if(ISBLANK('2025'!$P27), 0, 1), 3, if(ISBLANK('2025'!$Q27), 0, 1), 4, if(ISBLANK('2025'!$R27), 0, 1), 5, if(ISBLANK('2025'!$S27), 0, 1), 6, if(ISBLANK('2025'!$T27), 0, 1), 7, 0))), 1, "")</f>
        <v/>
      </c>
      <c r="BF27" s="1" t="str">
        <f>IF(AND(AND(AND(BF$4&gt;='2025'!$L27,BF$4&lt;='2025'!$M27), BF$4&lt;&gt;DATE(2025,7,4)), (SWITCH(weekday(BF$4), 1, 0, 2, if(ISBLANK('2025'!$P27), 0, 1), 3, if(ISBLANK('2025'!$Q27), 0, 1), 4, if(ISBLANK('2025'!$R27), 0, 1), 5, if(ISBLANK('2025'!$S27), 0, 1), 6, if(ISBLANK('2025'!$T27), 0, 1), 7, 0))), 1, "")</f>
        <v/>
      </c>
      <c r="BG27" s="1"/>
      <c r="BH27" s="1"/>
      <c r="BI27" s="1"/>
      <c r="BJ27" s="1"/>
      <c r="BK27" s="1"/>
      <c r="BL27" s="1"/>
    </row>
    <row r="28">
      <c r="A28" s="1">
        <f t="shared" si="3"/>
        <v>28</v>
      </c>
      <c r="B28" s="1" t="str">
        <f>'2025'!D28</f>
        <v>singh, vedant</v>
      </c>
      <c r="C28" s="1" t="str">
        <f>'2025'!H28</f>
        <v>infant</v>
      </c>
      <c r="D28" s="1" t="str">
        <f>IF(AND(AND(AND(D$4&gt;='2025'!$L28,D$4&lt;='2025'!$M28), D$4&lt;&gt;DATE(2025,7,4)), (SWITCH(weekday(D$4), 1, 0, 2, if(ISBLANK('2025'!$P28), 0, 1), 3, if(ISBLANK('2025'!$Q28), 0, 1), 4, if(ISBLANK('2025'!$R28), 0, 1), 5, if(ISBLANK('2025'!$S28), 0, 1), 6, if(ISBLANK('2025'!$T28), 0, 1), 7, 0))), 1, "")</f>
        <v/>
      </c>
      <c r="E28" s="1" t="str">
        <f>IF(AND(AND(AND(E$4&gt;='2025'!$L28,E$4&lt;='2025'!$M28), E$4&lt;&gt;DATE(2025,7,4)), (SWITCH(weekday(E$4), 1, 0, 2, if(ISBLANK('2025'!$P28), 0, 1), 3, if(ISBLANK('2025'!$Q28), 0, 1), 4, if(ISBLANK('2025'!$R28), 0, 1), 5, if(ISBLANK('2025'!$S28), 0, 1), 6, if(ISBLANK('2025'!$T28), 0, 1), 7, 0))), 1, "")</f>
        <v/>
      </c>
      <c r="F28" s="1" t="str">
        <f>IF(AND(AND(AND(F$4&gt;='2025'!$L28,F$4&lt;='2025'!$M28), F$4&lt;&gt;DATE(2025,7,4)), (SWITCH(weekday(F$4), 1, 0, 2, if(ISBLANK('2025'!$P28), 0, 1), 3, if(ISBLANK('2025'!$Q28), 0, 1), 4, if(ISBLANK('2025'!$R28), 0, 1), 5, if(ISBLANK('2025'!$S28), 0, 1), 6, if(ISBLANK('2025'!$T28), 0, 1), 7, 0))), 1, "")</f>
        <v/>
      </c>
      <c r="G28" s="1" t="str">
        <f>IF(AND(AND(AND(G$4&gt;='2025'!$L28,G$4&lt;='2025'!$M28), G$4&lt;&gt;DATE(2025,7,4)), (SWITCH(weekday(G$4), 1, 0, 2, if(ISBLANK('2025'!$P28), 0, 1), 3, if(ISBLANK('2025'!$Q28), 0, 1), 4, if(ISBLANK('2025'!$R28), 0, 1), 5, if(ISBLANK('2025'!$S28), 0, 1), 6, if(ISBLANK('2025'!$T28), 0, 1), 7, 0))), 1, "")</f>
        <v/>
      </c>
      <c r="H28" s="1" t="str">
        <f>IF(AND(AND(AND(H$4&gt;='2025'!$L28,H$4&lt;='2025'!$M28), H$4&lt;&gt;DATE(2025,7,4)), (SWITCH(weekday(H$4), 1, 0, 2, if(ISBLANK('2025'!$P28), 0, 1), 3, if(ISBLANK('2025'!$Q28), 0, 1), 4, if(ISBLANK('2025'!$R28), 0, 1), 5, if(ISBLANK('2025'!$S28), 0, 1), 6, if(ISBLANK('2025'!$T28), 0, 1), 7, 0))), 1, "")</f>
        <v/>
      </c>
      <c r="I28" s="1" t="str">
        <f>IF(AND(AND(AND(I$4&gt;='2025'!$L28,I$4&lt;='2025'!$M28), I$4&lt;&gt;DATE(2025,7,4)), (SWITCH(weekday(I$4), 1, 0, 2, if(ISBLANK('2025'!$P28), 0, 1), 3, if(ISBLANK('2025'!$Q28), 0, 1), 4, if(ISBLANK('2025'!$R28), 0, 1), 5, if(ISBLANK('2025'!$S28), 0, 1), 6, if(ISBLANK('2025'!$T28), 0, 1), 7, 0))), 1, "")</f>
        <v/>
      </c>
      <c r="J28" s="1" t="str">
        <f>IF(AND(AND(AND(J$4&gt;='2025'!$L28,J$4&lt;='2025'!$M28), J$4&lt;&gt;DATE(2025,7,4)), (SWITCH(weekday(J$4), 1, 0, 2, if(ISBLANK('2025'!$P28), 0, 1), 3, if(ISBLANK('2025'!$Q28), 0, 1), 4, if(ISBLANK('2025'!$R28), 0, 1), 5, if(ISBLANK('2025'!$S28), 0, 1), 6, if(ISBLANK('2025'!$T28), 0, 1), 7, 0))), 1, "")</f>
        <v/>
      </c>
      <c r="K28" s="1" t="str">
        <f>IF(AND(AND(AND(K$4&gt;='2025'!$L28,K$4&lt;='2025'!$M28), K$4&lt;&gt;DATE(2025,7,4)), (SWITCH(weekday(K$4), 1, 0, 2, if(ISBLANK('2025'!$P28), 0, 1), 3, if(ISBLANK('2025'!$Q28), 0, 1), 4, if(ISBLANK('2025'!$R28), 0, 1), 5, if(ISBLANK('2025'!$S28), 0, 1), 6, if(ISBLANK('2025'!$T28), 0, 1), 7, 0))), 1, "")</f>
        <v/>
      </c>
      <c r="L28" s="1" t="str">
        <f>IF(AND(AND(AND(L$4&gt;='2025'!$L28,L$4&lt;='2025'!$M28), L$4&lt;&gt;DATE(2025,7,4)), (SWITCH(weekday(L$4), 1, 0, 2, if(ISBLANK('2025'!$P28), 0, 1), 3, if(ISBLANK('2025'!$Q28), 0, 1), 4, if(ISBLANK('2025'!$R28), 0, 1), 5, if(ISBLANK('2025'!$S28), 0, 1), 6, if(ISBLANK('2025'!$T28), 0, 1), 7, 0))), 1, "")</f>
        <v/>
      </c>
      <c r="M28" s="1" t="str">
        <f>IF(AND(AND(AND(M$4&gt;='2025'!$L28,M$4&lt;='2025'!$M28), M$4&lt;&gt;DATE(2025,7,4)), (SWITCH(weekday(M$4), 1, 0, 2, if(ISBLANK('2025'!$P28), 0, 1), 3, if(ISBLANK('2025'!$Q28), 0, 1), 4, if(ISBLANK('2025'!$R28), 0, 1), 5, if(ISBLANK('2025'!$S28), 0, 1), 6, if(ISBLANK('2025'!$T28), 0, 1), 7, 0))), 1, "")</f>
        <v/>
      </c>
      <c r="N28" s="1" t="str">
        <f>IF(AND(AND(AND(N$4&gt;='2025'!$L28,N$4&lt;='2025'!$M28), N$4&lt;&gt;DATE(2025,7,4)), (SWITCH(weekday(N$4), 1, 0, 2, if(ISBLANK('2025'!$P28), 0, 1), 3, if(ISBLANK('2025'!$Q28), 0, 1), 4, if(ISBLANK('2025'!$R28), 0, 1), 5, if(ISBLANK('2025'!$S28), 0, 1), 6, if(ISBLANK('2025'!$T28), 0, 1), 7, 0))), 1, "")</f>
        <v/>
      </c>
      <c r="O28" s="1" t="str">
        <f>IF(AND(AND(AND(O$4&gt;='2025'!$L28,O$4&lt;='2025'!$M28), O$4&lt;&gt;DATE(2025,7,4)), (SWITCH(weekday(O$4), 1, 0, 2, if(ISBLANK('2025'!$P28), 0, 1), 3, if(ISBLANK('2025'!$Q28), 0, 1), 4, if(ISBLANK('2025'!$R28), 0, 1), 5, if(ISBLANK('2025'!$S28), 0, 1), 6, if(ISBLANK('2025'!$T28), 0, 1), 7, 0))), 1, "")</f>
        <v/>
      </c>
      <c r="P28" s="1" t="str">
        <f>IF(AND(AND(AND(P$4&gt;='2025'!$L28,P$4&lt;='2025'!$M28), P$4&lt;&gt;DATE(2025,7,4)), (SWITCH(weekday(P$4), 1, 0, 2, if(ISBLANK('2025'!$P28), 0, 1), 3, if(ISBLANK('2025'!$Q28), 0, 1), 4, if(ISBLANK('2025'!$R28), 0, 1), 5, if(ISBLANK('2025'!$S28), 0, 1), 6, if(ISBLANK('2025'!$T28), 0, 1), 7, 0))), 1, "")</f>
        <v/>
      </c>
      <c r="Q28" s="1" t="str">
        <f>IF(AND(AND(AND(Q$4&gt;='2025'!$L28,Q$4&lt;='2025'!$M28), Q$4&lt;&gt;DATE(2025,7,4)), (SWITCH(weekday(Q$4), 1, 0, 2, if(ISBLANK('2025'!$P28), 0, 1), 3, if(ISBLANK('2025'!$Q28), 0, 1), 4, if(ISBLANK('2025'!$R28), 0, 1), 5, if(ISBLANK('2025'!$S28), 0, 1), 6, if(ISBLANK('2025'!$T28), 0, 1), 7, 0))), 1, "")</f>
        <v/>
      </c>
      <c r="R28" s="1" t="str">
        <f>IF(AND(AND(AND(R$4&gt;='2025'!$L28,R$4&lt;='2025'!$M28), R$4&lt;&gt;DATE(2025,7,4)), (SWITCH(weekday(R$4), 1, 0, 2, if(ISBLANK('2025'!$P28), 0, 1), 3, if(ISBLANK('2025'!$Q28), 0, 1), 4, if(ISBLANK('2025'!$R28), 0, 1), 5, if(ISBLANK('2025'!$S28), 0, 1), 6, if(ISBLANK('2025'!$T28), 0, 1), 7, 0))), 1, "")</f>
        <v/>
      </c>
      <c r="S28" s="1" t="str">
        <f>IF(AND(AND(AND(S$4&gt;='2025'!$L28,S$4&lt;='2025'!$M28), S$4&lt;&gt;DATE(2025,7,4)), (SWITCH(weekday(S$4), 1, 0, 2, if(ISBLANK('2025'!$P28), 0, 1), 3, if(ISBLANK('2025'!$Q28), 0, 1), 4, if(ISBLANK('2025'!$R28), 0, 1), 5, if(ISBLANK('2025'!$S28), 0, 1), 6, if(ISBLANK('2025'!$T28), 0, 1), 7, 0))), 1, "")</f>
        <v/>
      </c>
      <c r="T28" s="1" t="str">
        <f>IF(AND(AND(AND(T$4&gt;='2025'!$L28,T$4&lt;='2025'!$M28), T$4&lt;&gt;DATE(2025,7,4)), (SWITCH(weekday(T$4), 1, 0, 2, if(ISBLANK('2025'!$P28), 0, 1), 3, if(ISBLANK('2025'!$Q28), 0, 1), 4, if(ISBLANK('2025'!$R28), 0, 1), 5, if(ISBLANK('2025'!$S28), 0, 1), 6, if(ISBLANK('2025'!$T28), 0, 1), 7, 0))), 1, "")</f>
        <v/>
      </c>
      <c r="U28" s="1" t="str">
        <f>IF(AND(AND(AND(U$4&gt;='2025'!$L28,U$4&lt;='2025'!$M28), U$4&lt;&gt;DATE(2025,7,4)), (SWITCH(weekday(U$4), 1, 0, 2, if(ISBLANK('2025'!$P28), 0, 1), 3, if(ISBLANK('2025'!$Q28), 0, 1), 4, if(ISBLANK('2025'!$R28), 0, 1), 5, if(ISBLANK('2025'!$S28), 0, 1), 6, if(ISBLANK('2025'!$T28), 0, 1), 7, 0))), 1, "")</f>
        <v/>
      </c>
      <c r="V28" s="1" t="str">
        <f>IF(AND(AND(AND(V$4&gt;='2025'!$L28,V$4&lt;='2025'!$M28), V$4&lt;&gt;DATE(2025,7,4)), (SWITCH(weekday(V$4), 1, 0, 2, if(ISBLANK('2025'!$P28), 0, 1), 3, if(ISBLANK('2025'!$Q28), 0, 1), 4, if(ISBLANK('2025'!$R28), 0, 1), 5, if(ISBLANK('2025'!$S28), 0, 1), 6, if(ISBLANK('2025'!$T28), 0, 1), 7, 0))), 1, "")</f>
        <v/>
      </c>
      <c r="W28" s="1" t="str">
        <f>IF(AND(AND(AND(W$4&gt;='2025'!$L28,W$4&lt;='2025'!$M28), W$4&lt;&gt;DATE(2025,7,4)), (SWITCH(weekday(W$4), 1, 0, 2, if(ISBLANK('2025'!$P28), 0, 1), 3, if(ISBLANK('2025'!$Q28), 0, 1), 4, if(ISBLANK('2025'!$R28), 0, 1), 5, if(ISBLANK('2025'!$S28), 0, 1), 6, if(ISBLANK('2025'!$T28), 0, 1), 7, 0))), 1, "")</f>
        <v/>
      </c>
      <c r="X28" s="1" t="str">
        <f>IF(AND(AND(AND(X$4&gt;='2025'!$L28,X$4&lt;='2025'!$M28), X$4&lt;&gt;DATE(2025,7,4)), (SWITCH(weekday(X$4), 1, 0, 2, if(ISBLANK('2025'!$P28), 0, 1), 3, if(ISBLANK('2025'!$Q28), 0, 1), 4, if(ISBLANK('2025'!$R28), 0, 1), 5, if(ISBLANK('2025'!$S28), 0, 1), 6, if(ISBLANK('2025'!$T28), 0, 1), 7, 0))), 1, "")</f>
        <v/>
      </c>
      <c r="Y28" s="1" t="str">
        <f>IF(AND(AND(AND(Y$4&gt;='2025'!$L28,Y$4&lt;='2025'!$M28), Y$4&lt;&gt;DATE(2025,7,4)), (SWITCH(weekday(Y$4), 1, 0, 2, if(ISBLANK('2025'!$P28), 0, 1), 3, if(ISBLANK('2025'!$Q28), 0, 1), 4, if(ISBLANK('2025'!$R28), 0, 1), 5, if(ISBLANK('2025'!$S28), 0, 1), 6, if(ISBLANK('2025'!$T28), 0, 1), 7, 0))), 1, "")</f>
        <v/>
      </c>
      <c r="Z28" s="1" t="str">
        <f>IF(AND(AND(AND(Z$4&gt;='2025'!$L28,Z$4&lt;='2025'!$M28), Z$4&lt;&gt;DATE(2025,7,4)), (SWITCH(weekday(Z$4), 1, 0, 2, if(ISBLANK('2025'!$P28), 0, 1), 3, if(ISBLANK('2025'!$Q28), 0, 1), 4, if(ISBLANK('2025'!$R28), 0, 1), 5, if(ISBLANK('2025'!$S28), 0, 1), 6, if(ISBLANK('2025'!$T28), 0, 1), 7, 0))), 1, "")</f>
        <v/>
      </c>
      <c r="AA28" s="1" t="str">
        <f>IF(AND(AND(AND(AA$4&gt;='2025'!$L28,AA$4&lt;='2025'!$M28), AA$4&lt;&gt;DATE(2025,7,4)), (SWITCH(weekday(AA$4), 1, 0, 2, if(ISBLANK('2025'!$P28), 0, 1), 3, if(ISBLANK('2025'!$Q28), 0, 1), 4, if(ISBLANK('2025'!$R28), 0, 1), 5, if(ISBLANK('2025'!$S28), 0, 1), 6, if(ISBLANK('2025'!$T28), 0, 1), 7, 0))), 1, "")</f>
        <v/>
      </c>
      <c r="AB28" s="1" t="str">
        <f>IF(AND(AND(AND(AB$4&gt;='2025'!$L28,AB$4&lt;='2025'!$M28), AB$4&lt;&gt;DATE(2025,7,4)), (SWITCH(weekday(AB$4), 1, 0, 2, if(ISBLANK('2025'!$P28), 0, 1), 3, if(ISBLANK('2025'!$Q28), 0, 1), 4, if(ISBLANK('2025'!$R28), 0, 1), 5, if(ISBLANK('2025'!$S28), 0, 1), 6, if(ISBLANK('2025'!$T28), 0, 1), 7, 0))), 1, "")</f>
        <v/>
      </c>
      <c r="AC28" s="1" t="str">
        <f>IF(AND(AND(AND(AC$4&gt;='2025'!$L28,AC$4&lt;='2025'!$M28), AC$4&lt;&gt;DATE(2025,7,4)), (SWITCH(weekday(AC$4), 1, 0, 2, if(ISBLANK('2025'!$P28), 0, 1), 3, if(ISBLANK('2025'!$Q28), 0, 1), 4, if(ISBLANK('2025'!$R28), 0, 1), 5, if(ISBLANK('2025'!$S28), 0, 1), 6, if(ISBLANK('2025'!$T28), 0, 1), 7, 0))), 1, "")</f>
        <v/>
      </c>
      <c r="AD28" s="1" t="str">
        <f>IF(AND(AND(AND(AD$4&gt;='2025'!$L28,AD$4&lt;='2025'!$M28), AD$4&lt;&gt;DATE(2025,7,4)), (SWITCH(weekday(AD$4), 1, 0, 2, if(ISBLANK('2025'!$P28), 0, 1), 3, if(ISBLANK('2025'!$Q28), 0, 1), 4, if(ISBLANK('2025'!$R28), 0, 1), 5, if(ISBLANK('2025'!$S28), 0, 1), 6, if(ISBLANK('2025'!$T28), 0, 1), 7, 0))), 1, "")</f>
        <v/>
      </c>
      <c r="AE28" s="1" t="str">
        <f>IF(AND(AND(AND(AE$4&gt;='2025'!$L28,AE$4&lt;='2025'!$M28), AE$4&lt;&gt;DATE(2025,7,4)), (SWITCH(weekday(AE$4), 1, 0, 2, if(ISBLANK('2025'!$P28), 0, 1), 3, if(ISBLANK('2025'!$Q28), 0, 1), 4, if(ISBLANK('2025'!$R28), 0, 1), 5, if(ISBLANK('2025'!$S28), 0, 1), 6, if(ISBLANK('2025'!$T28), 0, 1), 7, 0))), 1, "")</f>
        <v/>
      </c>
      <c r="AF28" s="1" t="str">
        <f>IF(AND(AND(AND(AF$4&gt;='2025'!$L28,AF$4&lt;='2025'!$M28), AF$4&lt;&gt;DATE(2025,7,4)), (SWITCH(weekday(AF$4), 1, 0, 2, if(ISBLANK('2025'!$P28), 0, 1), 3, if(ISBLANK('2025'!$Q28), 0, 1), 4, if(ISBLANK('2025'!$R28), 0, 1), 5, if(ISBLANK('2025'!$S28), 0, 1), 6, if(ISBLANK('2025'!$T28), 0, 1), 7, 0))), 1, "")</f>
        <v/>
      </c>
      <c r="AG28" s="1" t="str">
        <f>IF(AND(AND(AND(AG$4&gt;='2025'!$L28,AG$4&lt;='2025'!$M28), AG$4&lt;&gt;DATE(2025,7,4)), (SWITCH(weekday(AG$4), 1, 0, 2, if(ISBLANK('2025'!$P28), 0, 1), 3, if(ISBLANK('2025'!$Q28), 0, 1), 4, if(ISBLANK('2025'!$R28), 0, 1), 5, if(ISBLANK('2025'!$S28), 0, 1), 6, if(ISBLANK('2025'!$T28), 0, 1), 7, 0))), 1, "")</f>
        <v/>
      </c>
      <c r="AH28" s="1" t="str">
        <f>IF(AND(AND(AND(AH$4&gt;='2025'!$L28,AH$4&lt;='2025'!$M28), AH$4&lt;&gt;DATE(2025,7,4)), (SWITCH(weekday(AH$4), 1, 0, 2, if(ISBLANK('2025'!$P28), 0, 1), 3, if(ISBLANK('2025'!$Q28), 0, 1), 4, if(ISBLANK('2025'!$R28), 0, 1), 5, if(ISBLANK('2025'!$S28), 0, 1), 6, if(ISBLANK('2025'!$T28), 0, 1), 7, 0))), 1, "")</f>
        <v/>
      </c>
      <c r="AI28" s="1" t="str">
        <f>IF(AND(AND(AND(AI$4&gt;='2025'!$L28,AI$4&lt;='2025'!$M28), AI$4&lt;&gt;DATE(2025,7,4)), (SWITCH(weekday(AI$4), 1, 0, 2, if(ISBLANK('2025'!$P28), 0, 1), 3, if(ISBLANK('2025'!$Q28), 0, 1), 4, if(ISBLANK('2025'!$R28), 0, 1), 5, if(ISBLANK('2025'!$S28), 0, 1), 6, if(ISBLANK('2025'!$T28), 0, 1), 7, 0))), 1, "")</f>
        <v/>
      </c>
      <c r="AJ28" s="1" t="str">
        <f>IF(AND(AND(AND(AJ$4&gt;='2025'!$L28,AJ$4&lt;='2025'!$M28), AJ$4&lt;&gt;DATE(2025,7,4)), (SWITCH(weekday(AJ$4), 1, 0, 2, if(ISBLANK('2025'!$P28), 0, 1), 3, if(ISBLANK('2025'!$Q28), 0, 1), 4, if(ISBLANK('2025'!$R28), 0, 1), 5, if(ISBLANK('2025'!$S28), 0, 1), 6, if(ISBLANK('2025'!$T28), 0, 1), 7, 0))), 1, "")</f>
        <v/>
      </c>
      <c r="AK28" s="1" t="str">
        <f>IF(AND(AND(AND(AK$4&gt;='2025'!$L28,AK$4&lt;='2025'!$M28), AK$4&lt;&gt;DATE(2025,7,4)), (SWITCH(weekday(AK$4), 1, 0, 2, if(ISBLANK('2025'!$P28), 0, 1), 3, if(ISBLANK('2025'!$Q28), 0, 1), 4, if(ISBLANK('2025'!$R28), 0, 1), 5, if(ISBLANK('2025'!$S28), 0, 1), 6, if(ISBLANK('2025'!$T28), 0, 1), 7, 0))), 1, "")</f>
        <v/>
      </c>
      <c r="AL28" s="1" t="str">
        <f>IF(AND(AND(AND(AL$4&gt;='2025'!$L28,AL$4&lt;='2025'!$M28), AL$4&lt;&gt;DATE(2025,7,4)), (SWITCH(weekday(AL$4), 1, 0, 2, if(ISBLANK('2025'!$P28), 0, 1), 3, if(ISBLANK('2025'!$Q28), 0, 1), 4, if(ISBLANK('2025'!$R28), 0, 1), 5, if(ISBLANK('2025'!$S28), 0, 1), 6, if(ISBLANK('2025'!$T28), 0, 1), 7, 0))), 1, "")</f>
        <v/>
      </c>
      <c r="AM28" s="1" t="str">
        <f>IF(AND(AND(AND(AM$4&gt;='2025'!$L28,AM$4&lt;='2025'!$M28), AM$4&lt;&gt;DATE(2025,7,4)), (SWITCH(weekday(AM$4), 1, 0, 2, if(ISBLANK('2025'!$P28), 0, 1), 3, if(ISBLANK('2025'!$Q28), 0, 1), 4, if(ISBLANK('2025'!$R28), 0, 1), 5, if(ISBLANK('2025'!$S28), 0, 1), 6, if(ISBLANK('2025'!$T28), 0, 1), 7, 0))), 1, "")</f>
        <v/>
      </c>
      <c r="AN28" s="1" t="str">
        <f>IF(AND(AND(AND(AN$4&gt;='2025'!$L28,AN$4&lt;='2025'!$M28), AN$4&lt;&gt;DATE(2025,7,4)), (SWITCH(weekday(AN$4), 1, 0, 2, if(ISBLANK('2025'!$P28), 0, 1), 3, if(ISBLANK('2025'!$Q28), 0, 1), 4, if(ISBLANK('2025'!$R28), 0, 1), 5, if(ISBLANK('2025'!$S28), 0, 1), 6, if(ISBLANK('2025'!$T28), 0, 1), 7, 0))), 1, "")</f>
        <v/>
      </c>
      <c r="AO28" s="1" t="str">
        <f>IF(AND(AND(AND(AO$4&gt;='2025'!$L28,AO$4&lt;='2025'!$M28), AO$4&lt;&gt;DATE(2025,7,4)), (SWITCH(weekday(AO$4), 1, 0, 2, if(ISBLANK('2025'!$P28), 0, 1), 3, if(ISBLANK('2025'!$Q28), 0, 1), 4, if(ISBLANK('2025'!$R28), 0, 1), 5, if(ISBLANK('2025'!$S28), 0, 1), 6, if(ISBLANK('2025'!$T28), 0, 1), 7, 0))), 1, "")</f>
        <v/>
      </c>
      <c r="AP28" s="1" t="str">
        <f>IF(AND(AND(AND(AP$4&gt;='2025'!$L28,AP$4&lt;='2025'!$M28), AP$4&lt;&gt;DATE(2025,7,4)), (SWITCH(weekday(AP$4), 1, 0, 2, if(ISBLANK('2025'!$P28), 0, 1), 3, if(ISBLANK('2025'!$Q28), 0, 1), 4, if(ISBLANK('2025'!$R28), 0, 1), 5, if(ISBLANK('2025'!$S28), 0, 1), 6, if(ISBLANK('2025'!$T28), 0, 1), 7, 0))), 1, "")</f>
        <v/>
      </c>
      <c r="AQ28" s="1" t="str">
        <f>IF(AND(AND(AND(AQ$4&gt;='2025'!$L28,AQ$4&lt;='2025'!$M28), AQ$4&lt;&gt;DATE(2025,7,4)), (SWITCH(weekday(AQ$4), 1, 0, 2, if(ISBLANK('2025'!$P28), 0, 1), 3, if(ISBLANK('2025'!$Q28), 0, 1), 4, if(ISBLANK('2025'!$R28), 0, 1), 5, if(ISBLANK('2025'!$S28), 0, 1), 6, if(ISBLANK('2025'!$T28), 0, 1), 7, 0))), 1, "")</f>
        <v/>
      </c>
      <c r="AR28" s="1" t="str">
        <f>IF(AND(AND(AND(AR$4&gt;='2025'!$L28,AR$4&lt;='2025'!$M28), AR$4&lt;&gt;DATE(2025,7,4)), (SWITCH(weekday(AR$4), 1, 0, 2, if(ISBLANK('2025'!$P28), 0, 1), 3, if(ISBLANK('2025'!$Q28), 0, 1), 4, if(ISBLANK('2025'!$R28), 0, 1), 5, if(ISBLANK('2025'!$S28), 0, 1), 6, if(ISBLANK('2025'!$T28), 0, 1), 7, 0))), 1, "")</f>
        <v/>
      </c>
      <c r="AS28" s="1" t="str">
        <f>IF(AND(AND(AND(AS$4&gt;='2025'!$L28,AS$4&lt;='2025'!$M28), AS$4&lt;&gt;DATE(2025,7,4)), (SWITCH(weekday(AS$4), 1, 0, 2, if(ISBLANK('2025'!$P28), 0, 1), 3, if(ISBLANK('2025'!$Q28), 0, 1), 4, if(ISBLANK('2025'!$R28), 0, 1), 5, if(ISBLANK('2025'!$S28), 0, 1), 6, if(ISBLANK('2025'!$T28), 0, 1), 7, 0))), 1, "")</f>
        <v/>
      </c>
      <c r="AT28" s="1" t="str">
        <f>IF(AND(AND(AND(AT$4&gt;='2025'!$L28,AT$4&lt;='2025'!$M28), AT$4&lt;&gt;DATE(2025,7,4)), (SWITCH(weekday(AT$4), 1, 0, 2, if(ISBLANK('2025'!$P28), 0, 1), 3, if(ISBLANK('2025'!$Q28), 0, 1), 4, if(ISBLANK('2025'!$R28), 0, 1), 5, if(ISBLANK('2025'!$S28), 0, 1), 6, if(ISBLANK('2025'!$T28), 0, 1), 7, 0))), 1, "")</f>
        <v/>
      </c>
      <c r="AU28" s="1" t="str">
        <f>IF(AND(AND(AND(AU$4&gt;='2025'!$L28,AU$4&lt;='2025'!$M28), AU$4&lt;&gt;DATE(2025,7,4)), (SWITCH(weekday(AU$4), 1, 0, 2, if(ISBLANK('2025'!$P28), 0, 1), 3, if(ISBLANK('2025'!$Q28), 0, 1), 4, if(ISBLANK('2025'!$R28), 0, 1), 5, if(ISBLANK('2025'!$S28), 0, 1), 6, if(ISBLANK('2025'!$T28), 0, 1), 7, 0))), 1, "")</f>
        <v/>
      </c>
      <c r="AV28" s="1" t="str">
        <f>IF(AND(AND(AND(AV$4&gt;='2025'!$L28,AV$4&lt;='2025'!$M28), AV$4&lt;&gt;DATE(2025,7,4)), (SWITCH(weekday(AV$4), 1, 0, 2, if(ISBLANK('2025'!$P28), 0, 1), 3, if(ISBLANK('2025'!$Q28), 0, 1), 4, if(ISBLANK('2025'!$R28), 0, 1), 5, if(ISBLANK('2025'!$S28), 0, 1), 6, if(ISBLANK('2025'!$T28), 0, 1), 7, 0))), 1, "")</f>
        <v/>
      </c>
      <c r="AW28" s="1" t="str">
        <f>IF(AND(AND(AND(AW$4&gt;='2025'!$L28,AW$4&lt;='2025'!$M28), AW$4&lt;&gt;DATE(2025,7,4)), (SWITCH(weekday(AW$4), 1, 0, 2, if(ISBLANK('2025'!$P28), 0, 1), 3, if(ISBLANK('2025'!$Q28), 0, 1), 4, if(ISBLANK('2025'!$R28), 0, 1), 5, if(ISBLANK('2025'!$S28), 0, 1), 6, if(ISBLANK('2025'!$T28), 0, 1), 7, 0))), 1, "")</f>
        <v/>
      </c>
      <c r="AX28" s="1" t="str">
        <f>IF(AND(AND(AND(AX$4&gt;='2025'!$L28,AX$4&lt;='2025'!$M28), AX$4&lt;&gt;DATE(2025,7,4)), (SWITCH(weekday(AX$4), 1, 0, 2, if(ISBLANK('2025'!$P28), 0, 1), 3, if(ISBLANK('2025'!$Q28), 0, 1), 4, if(ISBLANK('2025'!$R28), 0, 1), 5, if(ISBLANK('2025'!$S28), 0, 1), 6, if(ISBLANK('2025'!$T28), 0, 1), 7, 0))), 1, "")</f>
        <v/>
      </c>
      <c r="AY28" s="1" t="str">
        <f>IF(AND(AND(AND(AY$4&gt;='2025'!$L28,AY$4&lt;='2025'!$M28), AY$4&lt;&gt;DATE(2025,7,4)), (SWITCH(weekday(AY$4), 1, 0, 2, if(ISBLANK('2025'!$P28), 0, 1), 3, if(ISBLANK('2025'!$Q28), 0, 1), 4, if(ISBLANK('2025'!$R28), 0, 1), 5, if(ISBLANK('2025'!$S28), 0, 1), 6, if(ISBLANK('2025'!$T28), 0, 1), 7, 0))), 1, "")</f>
        <v/>
      </c>
      <c r="AZ28" s="1" t="str">
        <f>IF(AND(AND(AND(AZ$4&gt;='2025'!$L28,AZ$4&lt;='2025'!$M28), AZ$4&lt;&gt;DATE(2025,7,4)), (SWITCH(weekday(AZ$4), 1, 0, 2, if(ISBLANK('2025'!$P28), 0, 1), 3, if(ISBLANK('2025'!$Q28), 0, 1), 4, if(ISBLANK('2025'!$R28), 0, 1), 5, if(ISBLANK('2025'!$S28), 0, 1), 6, if(ISBLANK('2025'!$T28), 0, 1), 7, 0))), 1, "")</f>
        <v/>
      </c>
      <c r="BA28" s="1" t="str">
        <f>IF(AND(AND(AND(BA$4&gt;='2025'!$L28,BA$4&lt;='2025'!$M28), BA$4&lt;&gt;DATE(2025,7,4)), (SWITCH(weekday(BA$4), 1, 0, 2, if(ISBLANK('2025'!$P28), 0, 1), 3, if(ISBLANK('2025'!$Q28), 0, 1), 4, if(ISBLANK('2025'!$R28), 0, 1), 5, if(ISBLANK('2025'!$S28), 0, 1), 6, if(ISBLANK('2025'!$T28), 0, 1), 7, 0))), 1, "")</f>
        <v/>
      </c>
      <c r="BB28" s="1" t="str">
        <f>IF(AND(AND(AND(BB$4&gt;='2025'!$L28,BB$4&lt;='2025'!$M28), BB$4&lt;&gt;DATE(2025,7,4)), (SWITCH(weekday(BB$4), 1, 0, 2, if(ISBLANK('2025'!$P28), 0, 1), 3, if(ISBLANK('2025'!$Q28), 0, 1), 4, if(ISBLANK('2025'!$R28), 0, 1), 5, if(ISBLANK('2025'!$S28), 0, 1), 6, if(ISBLANK('2025'!$T28), 0, 1), 7, 0))), 1, "")</f>
        <v/>
      </c>
      <c r="BC28" s="1" t="str">
        <f>IF(AND(AND(AND(BC$4&gt;='2025'!$L28,BC$4&lt;='2025'!$M28), BC$4&lt;&gt;DATE(2025,7,4)), (SWITCH(weekday(BC$4), 1, 0, 2, if(ISBLANK('2025'!$P28), 0, 1), 3, if(ISBLANK('2025'!$Q28), 0, 1), 4, if(ISBLANK('2025'!$R28), 0, 1), 5, if(ISBLANK('2025'!$S28), 0, 1), 6, if(ISBLANK('2025'!$T28), 0, 1), 7, 0))), 1, "")</f>
        <v/>
      </c>
      <c r="BD28" s="1" t="str">
        <f>IF(AND(AND(AND(BD$4&gt;='2025'!$L28,BD$4&lt;='2025'!$M28), BD$4&lt;&gt;DATE(2025,7,4)), (SWITCH(weekday(BD$4), 1, 0, 2, if(ISBLANK('2025'!$P28), 0, 1), 3, if(ISBLANK('2025'!$Q28), 0, 1), 4, if(ISBLANK('2025'!$R28), 0, 1), 5, if(ISBLANK('2025'!$S28), 0, 1), 6, if(ISBLANK('2025'!$T28), 0, 1), 7, 0))), 1, "")</f>
        <v/>
      </c>
      <c r="BE28" s="1" t="str">
        <f>IF(AND(AND(AND(BE$4&gt;='2025'!$L28,BE$4&lt;='2025'!$M28), BE$4&lt;&gt;DATE(2025,7,4)), (SWITCH(weekday(BE$4), 1, 0, 2, if(ISBLANK('2025'!$P28), 0, 1), 3, if(ISBLANK('2025'!$Q28), 0, 1), 4, if(ISBLANK('2025'!$R28), 0, 1), 5, if(ISBLANK('2025'!$S28), 0, 1), 6, if(ISBLANK('2025'!$T28), 0, 1), 7, 0))), 1, "")</f>
        <v/>
      </c>
      <c r="BF28" s="1" t="str">
        <f>IF(AND(AND(AND(BF$4&gt;='2025'!$L28,BF$4&lt;='2025'!$M28), BF$4&lt;&gt;DATE(2025,7,4)), (SWITCH(weekday(BF$4), 1, 0, 2, if(ISBLANK('2025'!$P28), 0, 1), 3, if(ISBLANK('2025'!$Q28), 0, 1), 4, if(ISBLANK('2025'!$R28), 0, 1), 5, if(ISBLANK('2025'!$S28), 0, 1), 6, if(ISBLANK('2025'!$T28), 0, 1), 7, 0))), 1, "")</f>
        <v/>
      </c>
      <c r="BG28" s="1"/>
      <c r="BH28" s="1"/>
      <c r="BI28" s="1"/>
      <c r="BJ28" s="1"/>
      <c r="BK28" s="1"/>
      <c r="BL28" s="1"/>
    </row>
    <row r="29">
      <c r="A29" s="1">
        <f t="shared" si="3"/>
        <v>29</v>
      </c>
      <c r="B29" s="1" t="str">
        <f>'2025'!D29</f>
        <v>le-gall, remy</v>
      </c>
      <c r="C29" s="1" t="str">
        <f>'2025'!H29</f>
        <v>infant</v>
      </c>
      <c r="D29" s="1" t="str">
        <f>IF(AND(AND(AND(D$4&gt;='2025'!$L29,D$4&lt;='2025'!$M29), D$4&lt;&gt;DATE(2025,7,4)), (SWITCH(weekday(D$4), 1, 0, 2, if(ISBLANK('2025'!$P29), 0, 1), 3, if(ISBLANK('2025'!$Q29), 0, 1), 4, if(ISBLANK('2025'!$R29), 0, 1), 5, if(ISBLANK('2025'!$S29), 0, 1), 6, if(ISBLANK('2025'!$T29), 0, 1), 7, 0))), 1, "")</f>
        <v/>
      </c>
      <c r="E29" s="1" t="str">
        <f>IF(AND(AND(AND(E$4&gt;='2025'!$L29,E$4&lt;='2025'!$M29), E$4&lt;&gt;DATE(2025,7,4)), (SWITCH(weekday(E$4), 1, 0, 2, if(ISBLANK('2025'!$P29), 0, 1), 3, if(ISBLANK('2025'!$Q29), 0, 1), 4, if(ISBLANK('2025'!$R29), 0, 1), 5, if(ISBLANK('2025'!$S29), 0, 1), 6, if(ISBLANK('2025'!$T29), 0, 1), 7, 0))), 1, "")</f>
        <v/>
      </c>
      <c r="F29" s="1" t="str">
        <f>IF(AND(AND(AND(F$4&gt;='2025'!$L29,F$4&lt;='2025'!$M29), F$4&lt;&gt;DATE(2025,7,4)), (SWITCH(weekday(F$4), 1, 0, 2, if(ISBLANK('2025'!$P29), 0, 1), 3, if(ISBLANK('2025'!$Q29), 0, 1), 4, if(ISBLANK('2025'!$R29), 0, 1), 5, if(ISBLANK('2025'!$S29), 0, 1), 6, if(ISBLANK('2025'!$T29), 0, 1), 7, 0))), 1, "")</f>
        <v/>
      </c>
      <c r="G29" s="1" t="str">
        <f>IF(AND(AND(AND(G$4&gt;='2025'!$L29,G$4&lt;='2025'!$M29), G$4&lt;&gt;DATE(2025,7,4)), (SWITCH(weekday(G$4), 1, 0, 2, if(ISBLANK('2025'!$P29), 0, 1), 3, if(ISBLANK('2025'!$Q29), 0, 1), 4, if(ISBLANK('2025'!$R29), 0, 1), 5, if(ISBLANK('2025'!$S29), 0, 1), 6, if(ISBLANK('2025'!$T29), 0, 1), 7, 0))), 1, "")</f>
        <v/>
      </c>
      <c r="H29" s="1" t="str">
        <f>IF(AND(AND(AND(H$4&gt;='2025'!$L29,H$4&lt;='2025'!$M29), H$4&lt;&gt;DATE(2025,7,4)), (SWITCH(weekday(H$4), 1, 0, 2, if(ISBLANK('2025'!$P29), 0, 1), 3, if(ISBLANK('2025'!$Q29), 0, 1), 4, if(ISBLANK('2025'!$R29), 0, 1), 5, if(ISBLANK('2025'!$S29), 0, 1), 6, if(ISBLANK('2025'!$T29), 0, 1), 7, 0))), 1, "")</f>
        <v/>
      </c>
      <c r="I29" s="1" t="str">
        <f>IF(AND(AND(AND(I$4&gt;='2025'!$L29,I$4&lt;='2025'!$M29), I$4&lt;&gt;DATE(2025,7,4)), (SWITCH(weekday(I$4), 1, 0, 2, if(ISBLANK('2025'!$P29), 0, 1), 3, if(ISBLANK('2025'!$Q29), 0, 1), 4, if(ISBLANK('2025'!$R29), 0, 1), 5, if(ISBLANK('2025'!$S29), 0, 1), 6, if(ISBLANK('2025'!$T29), 0, 1), 7, 0))), 1, "")</f>
        <v/>
      </c>
      <c r="J29" s="1" t="str">
        <f>IF(AND(AND(AND(J$4&gt;='2025'!$L29,J$4&lt;='2025'!$M29), J$4&lt;&gt;DATE(2025,7,4)), (SWITCH(weekday(J$4), 1, 0, 2, if(ISBLANK('2025'!$P29), 0, 1), 3, if(ISBLANK('2025'!$Q29), 0, 1), 4, if(ISBLANK('2025'!$R29), 0, 1), 5, if(ISBLANK('2025'!$S29), 0, 1), 6, if(ISBLANK('2025'!$T29), 0, 1), 7, 0))), 1, "")</f>
        <v/>
      </c>
      <c r="K29" s="1" t="str">
        <f>IF(AND(AND(AND(K$4&gt;='2025'!$L29,K$4&lt;='2025'!$M29), K$4&lt;&gt;DATE(2025,7,4)), (SWITCH(weekday(K$4), 1, 0, 2, if(ISBLANK('2025'!$P29), 0, 1), 3, if(ISBLANK('2025'!$Q29), 0, 1), 4, if(ISBLANK('2025'!$R29), 0, 1), 5, if(ISBLANK('2025'!$S29), 0, 1), 6, if(ISBLANK('2025'!$T29), 0, 1), 7, 0))), 1, "")</f>
        <v/>
      </c>
      <c r="L29" s="1" t="str">
        <f>IF(AND(AND(AND(L$4&gt;='2025'!$L29,L$4&lt;='2025'!$M29), L$4&lt;&gt;DATE(2025,7,4)), (SWITCH(weekday(L$4), 1, 0, 2, if(ISBLANK('2025'!$P29), 0, 1), 3, if(ISBLANK('2025'!$Q29), 0, 1), 4, if(ISBLANK('2025'!$R29), 0, 1), 5, if(ISBLANK('2025'!$S29), 0, 1), 6, if(ISBLANK('2025'!$T29), 0, 1), 7, 0))), 1, "")</f>
        <v/>
      </c>
      <c r="M29" s="1" t="str">
        <f>IF(AND(AND(AND(M$4&gt;='2025'!$L29,M$4&lt;='2025'!$M29), M$4&lt;&gt;DATE(2025,7,4)), (SWITCH(weekday(M$4), 1, 0, 2, if(ISBLANK('2025'!$P29), 0, 1), 3, if(ISBLANK('2025'!$Q29), 0, 1), 4, if(ISBLANK('2025'!$R29), 0, 1), 5, if(ISBLANK('2025'!$S29), 0, 1), 6, if(ISBLANK('2025'!$T29), 0, 1), 7, 0))), 1, "")</f>
        <v/>
      </c>
      <c r="N29" s="1" t="str">
        <f>IF(AND(AND(AND(N$4&gt;='2025'!$L29,N$4&lt;='2025'!$M29), N$4&lt;&gt;DATE(2025,7,4)), (SWITCH(weekday(N$4), 1, 0, 2, if(ISBLANK('2025'!$P29), 0, 1), 3, if(ISBLANK('2025'!$Q29), 0, 1), 4, if(ISBLANK('2025'!$R29), 0, 1), 5, if(ISBLANK('2025'!$S29), 0, 1), 6, if(ISBLANK('2025'!$T29), 0, 1), 7, 0))), 1, "")</f>
        <v/>
      </c>
      <c r="O29" s="1" t="str">
        <f>IF(AND(AND(AND(O$4&gt;='2025'!$L29,O$4&lt;='2025'!$M29), O$4&lt;&gt;DATE(2025,7,4)), (SWITCH(weekday(O$4), 1, 0, 2, if(ISBLANK('2025'!$P29), 0, 1), 3, if(ISBLANK('2025'!$Q29), 0, 1), 4, if(ISBLANK('2025'!$R29), 0, 1), 5, if(ISBLANK('2025'!$S29), 0, 1), 6, if(ISBLANK('2025'!$T29), 0, 1), 7, 0))), 1, "")</f>
        <v/>
      </c>
      <c r="P29" s="1" t="str">
        <f>IF(AND(AND(AND(P$4&gt;='2025'!$L29,P$4&lt;='2025'!$M29), P$4&lt;&gt;DATE(2025,7,4)), (SWITCH(weekday(P$4), 1, 0, 2, if(ISBLANK('2025'!$P29), 0, 1), 3, if(ISBLANK('2025'!$Q29), 0, 1), 4, if(ISBLANK('2025'!$R29), 0, 1), 5, if(ISBLANK('2025'!$S29), 0, 1), 6, if(ISBLANK('2025'!$T29), 0, 1), 7, 0))), 1, "")</f>
        <v/>
      </c>
      <c r="Q29" s="1" t="str">
        <f>IF(AND(AND(AND(Q$4&gt;='2025'!$L29,Q$4&lt;='2025'!$M29), Q$4&lt;&gt;DATE(2025,7,4)), (SWITCH(weekday(Q$4), 1, 0, 2, if(ISBLANK('2025'!$P29), 0, 1), 3, if(ISBLANK('2025'!$Q29), 0, 1), 4, if(ISBLANK('2025'!$R29), 0, 1), 5, if(ISBLANK('2025'!$S29), 0, 1), 6, if(ISBLANK('2025'!$T29), 0, 1), 7, 0))), 1, "")</f>
        <v/>
      </c>
      <c r="R29" s="1" t="str">
        <f>IF(AND(AND(AND(R$4&gt;='2025'!$L29,R$4&lt;='2025'!$M29), R$4&lt;&gt;DATE(2025,7,4)), (SWITCH(weekday(R$4), 1, 0, 2, if(ISBLANK('2025'!$P29), 0, 1), 3, if(ISBLANK('2025'!$Q29), 0, 1), 4, if(ISBLANK('2025'!$R29), 0, 1), 5, if(ISBLANK('2025'!$S29), 0, 1), 6, if(ISBLANK('2025'!$T29), 0, 1), 7, 0))), 1, "")</f>
        <v/>
      </c>
      <c r="S29" s="1" t="str">
        <f>IF(AND(AND(AND(S$4&gt;='2025'!$L29,S$4&lt;='2025'!$M29), S$4&lt;&gt;DATE(2025,7,4)), (SWITCH(weekday(S$4), 1, 0, 2, if(ISBLANK('2025'!$P29), 0, 1), 3, if(ISBLANK('2025'!$Q29), 0, 1), 4, if(ISBLANK('2025'!$R29), 0, 1), 5, if(ISBLANK('2025'!$S29), 0, 1), 6, if(ISBLANK('2025'!$T29), 0, 1), 7, 0))), 1, "")</f>
        <v/>
      </c>
      <c r="T29" s="1" t="str">
        <f>IF(AND(AND(AND(T$4&gt;='2025'!$L29,T$4&lt;='2025'!$M29), T$4&lt;&gt;DATE(2025,7,4)), (SWITCH(weekday(T$4), 1, 0, 2, if(ISBLANK('2025'!$P29), 0, 1), 3, if(ISBLANK('2025'!$Q29), 0, 1), 4, if(ISBLANK('2025'!$R29), 0, 1), 5, if(ISBLANK('2025'!$S29), 0, 1), 6, if(ISBLANK('2025'!$T29), 0, 1), 7, 0))), 1, "")</f>
        <v/>
      </c>
      <c r="U29" s="1" t="str">
        <f>IF(AND(AND(AND(U$4&gt;='2025'!$L29,U$4&lt;='2025'!$M29), U$4&lt;&gt;DATE(2025,7,4)), (SWITCH(weekday(U$4), 1, 0, 2, if(ISBLANK('2025'!$P29), 0, 1), 3, if(ISBLANK('2025'!$Q29), 0, 1), 4, if(ISBLANK('2025'!$R29), 0, 1), 5, if(ISBLANK('2025'!$S29), 0, 1), 6, if(ISBLANK('2025'!$T29), 0, 1), 7, 0))), 1, "")</f>
        <v/>
      </c>
      <c r="V29" s="1" t="str">
        <f>IF(AND(AND(AND(V$4&gt;='2025'!$L29,V$4&lt;='2025'!$M29), V$4&lt;&gt;DATE(2025,7,4)), (SWITCH(weekday(V$4), 1, 0, 2, if(ISBLANK('2025'!$P29), 0, 1), 3, if(ISBLANK('2025'!$Q29), 0, 1), 4, if(ISBLANK('2025'!$R29), 0, 1), 5, if(ISBLANK('2025'!$S29), 0, 1), 6, if(ISBLANK('2025'!$T29), 0, 1), 7, 0))), 1, "")</f>
        <v/>
      </c>
      <c r="W29" s="1" t="str">
        <f>IF(AND(AND(AND(W$4&gt;='2025'!$L29,W$4&lt;='2025'!$M29), W$4&lt;&gt;DATE(2025,7,4)), (SWITCH(weekday(W$4), 1, 0, 2, if(ISBLANK('2025'!$P29), 0, 1), 3, if(ISBLANK('2025'!$Q29), 0, 1), 4, if(ISBLANK('2025'!$R29), 0, 1), 5, if(ISBLANK('2025'!$S29), 0, 1), 6, if(ISBLANK('2025'!$T29), 0, 1), 7, 0))), 1, "")</f>
        <v/>
      </c>
      <c r="X29" s="1" t="str">
        <f>IF(AND(AND(AND(X$4&gt;='2025'!$L29,X$4&lt;='2025'!$M29), X$4&lt;&gt;DATE(2025,7,4)), (SWITCH(weekday(X$4), 1, 0, 2, if(ISBLANK('2025'!$P29), 0, 1), 3, if(ISBLANK('2025'!$Q29), 0, 1), 4, if(ISBLANK('2025'!$R29), 0, 1), 5, if(ISBLANK('2025'!$S29), 0, 1), 6, if(ISBLANK('2025'!$T29), 0, 1), 7, 0))), 1, "")</f>
        <v/>
      </c>
      <c r="Y29" s="1" t="str">
        <f>IF(AND(AND(AND(Y$4&gt;='2025'!$L29,Y$4&lt;='2025'!$M29), Y$4&lt;&gt;DATE(2025,7,4)), (SWITCH(weekday(Y$4), 1, 0, 2, if(ISBLANK('2025'!$P29), 0, 1), 3, if(ISBLANK('2025'!$Q29), 0, 1), 4, if(ISBLANK('2025'!$R29), 0, 1), 5, if(ISBLANK('2025'!$S29), 0, 1), 6, if(ISBLANK('2025'!$T29), 0, 1), 7, 0))), 1, "")</f>
        <v/>
      </c>
      <c r="Z29" s="1" t="str">
        <f>IF(AND(AND(AND(Z$4&gt;='2025'!$L29,Z$4&lt;='2025'!$M29), Z$4&lt;&gt;DATE(2025,7,4)), (SWITCH(weekday(Z$4), 1, 0, 2, if(ISBLANK('2025'!$P29), 0, 1), 3, if(ISBLANK('2025'!$Q29), 0, 1), 4, if(ISBLANK('2025'!$R29), 0, 1), 5, if(ISBLANK('2025'!$S29), 0, 1), 6, if(ISBLANK('2025'!$T29), 0, 1), 7, 0))), 1, "")</f>
        <v/>
      </c>
      <c r="AA29" s="1" t="str">
        <f>IF(AND(AND(AND(AA$4&gt;='2025'!$L29,AA$4&lt;='2025'!$M29), AA$4&lt;&gt;DATE(2025,7,4)), (SWITCH(weekday(AA$4), 1, 0, 2, if(ISBLANK('2025'!$P29), 0, 1), 3, if(ISBLANK('2025'!$Q29), 0, 1), 4, if(ISBLANK('2025'!$R29), 0, 1), 5, if(ISBLANK('2025'!$S29), 0, 1), 6, if(ISBLANK('2025'!$T29), 0, 1), 7, 0))), 1, "")</f>
        <v/>
      </c>
      <c r="AB29" s="1" t="str">
        <f>IF(AND(AND(AND(AB$4&gt;='2025'!$L29,AB$4&lt;='2025'!$M29), AB$4&lt;&gt;DATE(2025,7,4)), (SWITCH(weekday(AB$4), 1, 0, 2, if(ISBLANK('2025'!$P29), 0, 1), 3, if(ISBLANK('2025'!$Q29), 0, 1), 4, if(ISBLANK('2025'!$R29), 0, 1), 5, if(ISBLANK('2025'!$S29), 0, 1), 6, if(ISBLANK('2025'!$T29), 0, 1), 7, 0))), 1, "")</f>
        <v/>
      </c>
      <c r="AC29" s="1" t="str">
        <f>IF(AND(AND(AND(AC$4&gt;='2025'!$L29,AC$4&lt;='2025'!$M29), AC$4&lt;&gt;DATE(2025,7,4)), (SWITCH(weekday(AC$4), 1, 0, 2, if(ISBLANK('2025'!$P29), 0, 1), 3, if(ISBLANK('2025'!$Q29), 0, 1), 4, if(ISBLANK('2025'!$R29), 0, 1), 5, if(ISBLANK('2025'!$S29), 0, 1), 6, if(ISBLANK('2025'!$T29), 0, 1), 7, 0))), 1, "")</f>
        <v/>
      </c>
      <c r="AD29" s="1" t="str">
        <f>IF(AND(AND(AND(AD$4&gt;='2025'!$L29,AD$4&lt;='2025'!$M29), AD$4&lt;&gt;DATE(2025,7,4)), (SWITCH(weekday(AD$4), 1, 0, 2, if(ISBLANK('2025'!$P29), 0, 1), 3, if(ISBLANK('2025'!$Q29), 0, 1), 4, if(ISBLANK('2025'!$R29), 0, 1), 5, if(ISBLANK('2025'!$S29), 0, 1), 6, if(ISBLANK('2025'!$T29), 0, 1), 7, 0))), 1, "")</f>
        <v/>
      </c>
      <c r="AE29" s="1" t="str">
        <f>IF(AND(AND(AND(AE$4&gt;='2025'!$L29,AE$4&lt;='2025'!$M29), AE$4&lt;&gt;DATE(2025,7,4)), (SWITCH(weekday(AE$4), 1, 0, 2, if(ISBLANK('2025'!$P29), 0, 1), 3, if(ISBLANK('2025'!$Q29), 0, 1), 4, if(ISBLANK('2025'!$R29), 0, 1), 5, if(ISBLANK('2025'!$S29), 0, 1), 6, if(ISBLANK('2025'!$T29), 0, 1), 7, 0))), 1, "")</f>
        <v/>
      </c>
      <c r="AF29" s="1" t="str">
        <f>IF(AND(AND(AND(AF$4&gt;='2025'!$L29,AF$4&lt;='2025'!$M29), AF$4&lt;&gt;DATE(2025,7,4)), (SWITCH(weekday(AF$4), 1, 0, 2, if(ISBLANK('2025'!$P29), 0, 1), 3, if(ISBLANK('2025'!$Q29), 0, 1), 4, if(ISBLANK('2025'!$R29), 0, 1), 5, if(ISBLANK('2025'!$S29), 0, 1), 6, if(ISBLANK('2025'!$T29), 0, 1), 7, 0))), 1, "")</f>
        <v/>
      </c>
      <c r="AG29" s="1" t="str">
        <f>IF(AND(AND(AND(AG$4&gt;='2025'!$L29,AG$4&lt;='2025'!$M29), AG$4&lt;&gt;DATE(2025,7,4)), (SWITCH(weekday(AG$4), 1, 0, 2, if(ISBLANK('2025'!$P29), 0, 1), 3, if(ISBLANK('2025'!$Q29), 0, 1), 4, if(ISBLANK('2025'!$R29), 0, 1), 5, if(ISBLANK('2025'!$S29), 0, 1), 6, if(ISBLANK('2025'!$T29), 0, 1), 7, 0))), 1, "")</f>
        <v/>
      </c>
      <c r="AH29" s="1" t="str">
        <f>IF(AND(AND(AND(AH$4&gt;='2025'!$L29,AH$4&lt;='2025'!$M29), AH$4&lt;&gt;DATE(2025,7,4)), (SWITCH(weekday(AH$4), 1, 0, 2, if(ISBLANK('2025'!$P29), 0, 1), 3, if(ISBLANK('2025'!$Q29), 0, 1), 4, if(ISBLANK('2025'!$R29), 0, 1), 5, if(ISBLANK('2025'!$S29), 0, 1), 6, if(ISBLANK('2025'!$T29), 0, 1), 7, 0))), 1, "")</f>
        <v/>
      </c>
      <c r="AI29" s="1" t="str">
        <f>IF(AND(AND(AND(AI$4&gt;='2025'!$L29,AI$4&lt;='2025'!$M29), AI$4&lt;&gt;DATE(2025,7,4)), (SWITCH(weekday(AI$4), 1, 0, 2, if(ISBLANK('2025'!$P29), 0, 1), 3, if(ISBLANK('2025'!$Q29), 0, 1), 4, if(ISBLANK('2025'!$R29), 0, 1), 5, if(ISBLANK('2025'!$S29), 0, 1), 6, if(ISBLANK('2025'!$T29), 0, 1), 7, 0))), 1, "")</f>
        <v/>
      </c>
      <c r="AJ29" s="1" t="str">
        <f>IF(AND(AND(AND(AJ$4&gt;='2025'!$L29,AJ$4&lt;='2025'!$M29), AJ$4&lt;&gt;DATE(2025,7,4)), (SWITCH(weekday(AJ$4), 1, 0, 2, if(ISBLANK('2025'!$P29), 0, 1), 3, if(ISBLANK('2025'!$Q29), 0, 1), 4, if(ISBLANK('2025'!$R29), 0, 1), 5, if(ISBLANK('2025'!$S29), 0, 1), 6, if(ISBLANK('2025'!$T29), 0, 1), 7, 0))), 1, "")</f>
        <v/>
      </c>
      <c r="AK29" s="1" t="str">
        <f>IF(AND(AND(AND(AK$4&gt;='2025'!$L29,AK$4&lt;='2025'!$M29), AK$4&lt;&gt;DATE(2025,7,4)), (SWITCH(weekday(AK$4), 1, 0, 2, if(ISBLANK('2025'!$P29), 0, 1), 3, if(ISBLANK('2025'!$Q29), 0, 1), 4, if(ISBLANK('2025'!$R29), 0, 1), 5, if(ISBLANK('2025'!$S29), 0, 1), 6, if(ISBLANK('2025'!$T29), 0, 1), 7, 0))), 1, "")</f>
        <v/>
      </c>
      <c r="AL29" s="1" t="str">
        <f>IF(AND(AND(AND(AL$4&gt;='2025'!$L29,AL$4&lt;='2025'!$M29), AL$4&lt;&gt;DATE(2025,7,4)), (SWITCH(weekday(AL$4), 1, 0, 2, if(ISBLANK('2025'!$P29), 0, 1), 3, if(ISBLANK('2025'!$Q29), 0, 1), 4, if(ISBLANK('2025'!$R29), 0, 1), 5, if(ISBLANK('2025'!$S29), 0, 1), 6, if(ISBLANK('2025'!$T29), 0, 1), 7, 0))), 1, "")</f>
        <v/>
      </c>
      <c r="AM29" s="1" t="str">
        <f>IF(AND(AND(AND(AM$4&gt;='2025'!$L29,AM$4&lt;='2025'!$M29), AM$4&lt;&gt;DATE(2025,7,4)), (SWITCH(weekday(AM$4), 1, 0, 2, if(ISBLANK('2025'!$P29), 0, 1), 3, if(ISBLANK('2025'!$Q29), 0, 1), 4, if(ISBLANK('2025'!$R29), 0, 1), 5, if(ISBLANK('2025'!$S29), 0, 1), 6, if(ISBLANK('2025'!$T29), 0, 1), 7, 0))), 1, "")</f>
        <v/>
      </c>
      <c r="AN29" s="1" t="str">
        <f>IF(AND(AND(AND(AN$4&gt;='2025'!$L29,AN$4&lt;='2025'!$M29), AN$4&lt;&gt;DATE(2025,7,4)), (SWITCH(weekday(AN$4), 1, 0, 2, if(ISBLANK('2025'!$P29), 0, 1), 3, if(ISBLANK('2025'!$Q29), 0, 1), 4, if(ISBLANK('2025'!$R29), 0, 1), 5, if(ISBLANK('2025'!$S29), 0, 1), 6, if(ISBLANK('2025'!$T29), 0, 1), 7, 0))), 1, "")</f>
        <v/>
      </c>
      <c r="AO29" s="1" t="str">
        <f>IF(AND(AND(AND(AO$4&gt;='2025'!$L29,AO$4&lt;='2025'!$M29), AO$4&lt;&gt;DATE(2025,7,4)), (SWITCH(weekday(AO$4), 1, 0, 2, if(ISBLANK('2025'!$P29), 0, 1), 3, if(ISBLANK('2025'!$Q29), 0, 1), 4, if(ISBLANK('2025'!$R29), 0, 1), 5, if(ISBLANK('2025'!$S29), 0, 1), 6, if(ISBLANK('2025'!$T29), 0, 1), 7, 0))), 1, "")</f>
        <v/>
      </c>
      <c r="AP29" s="1" t="str">
        <f>IF(AND(AND(AND(AP$4&gt;='2025'!$L29,AP$4&lt;='2025'!$M29), AP$4&lt;&gt;DATE(2025,7,4)), (SWITCH(weekday(AP$4), 1, 0, 2, if(ISBLANK('2025'!$P29), 0, 1), 3, if(ISBLANK('2025'!$Q29), 0, 1), 4, if(ISBLANK('2025'!$R29), 0, 1), 5, if(ISBLANK('2025'!$S29), 0, 1), 6, if(ISBLANK('2025'!$T29), 0, 1), 7, 0))), 1, "")</f>
        <v/>
      </c>
      <c r="AQ29" s="1" t="str">
        <f>IF(AND(AND(AND(AQ$4&gt;='2025'!$L29,AQ$4&lt;='2025'!$M29), AQ$4&lt;&gt;DATE(2025,7,4)), (SWITCH(weekday(AQ$4), 1, 0, 2, if(ISBLANK('2025'!$P29), 0, 1), 3, if(ISBLANK('2025'!$Q29), 0, 1), 4, if(ISBLANK('2025'!$R29), 0, 1), 5, if(ISBLANK('2025'!$S29), 0, 1), 6, if(ISBLANK('2025'!$T29), 0, 1), 7, 0))), 1, "")</f>
        <v/>
      </c>
      <c r="AR29" s="1" t="str">
        <f>IF(AND(AND(AND(AR$4&gt;='2025'!$L29,AR$4&lt;='2025'!$M29), AR$4&lt;&gt;DATE(2025,7,4)), (SWITCH(weekday(AR$4), 1, 0, 2, if(ISBLANK('2025'!$P29), 0, 1), 3, if(ISBLANK('2025'!$Q29), 0, 1), 4, if(ISBLANK('2025'!$R29), 0, 1), 5, if(ISBLANK('2025'!$S29), 0, 1), 6, if(ISBLANK('2025'!$T29), 0, 1), 7, 0))), 1, "")</f>
        <v/>
      </c>
      <c r="AS29" s="1" t="str">
        <f>IF(AND(AND(AND(AS$4&gt;='2025'!$L29,AS$4&lt;='2025'!$M29), AS$4&lt;&gt;DATE(2025,7,4)), (SWITCH(weekday(AS$4), 1, 0, 2, if(ISBLANK('2025'!$P29), 0, 1), 3, if(ISBLANK('2025'!$Q29), 0, 1), 4, if(ISBLANK('2025'!$R29), 0, 1), 5, if(ISBLANK('2025'!$S29), 0, 1), 6, if(ISBLANK('2025'!$T29), 0, 1), 7, 0))), 1, "")</f>
        <v/>
      </c>
      <c r="AT29" s="1" t="str">
        <f>IF(AND(AND(AND(AT$4&gt;='2025'!$L29,AT$4&lt;='2025'!$M29), AT$4&lt;&gt;DATE(2025,7,4)), (SWITCH(weekday(AT$4), 1, 0, 2, if(ISBLANK('2025'!$P29), 0, 1), 3, if(ISBLANK('2025'!$Q29), 0, 1), 4, if(ISBLANK('2025'!$R29), 0, 1), 5, if(ISBLANK('2025'!$S29), 0, 1), 6, if(ISBLANK('2025'!$T29), 0, 1), 7, 0))), 1, "")</f>
        <v/>
      </c>
      <c r="AU29" s="1" t="str">
        <f>IF(AND(AND(AND(AU$4&gt;='2025'!$L29,AU$4&lt;='2025'!$M29), AU$4&lt;&gt;DATE(2025,7,4)), (SWITCH(weekday(AU$4), 1, 0, 2, if(ISBLANK('2025'!$P29), 0, 1), 3, if(ISBLANK('2025'!$Q29), 0, 1), 4, if(ISBLANK('2025'!$R29), 0, 1), 5, if(ISBLANK('2025'!$S29), 0, 1), 6, if(ISBLANK('2025'!$T29), 0, 1), 7, 0))), 1, "")</f>
        <v/>
      </c>
      <c r="AV29" s="1" t="str">
        <f>IF(AND(AND(AND(AV$4&gt;='2025'!$L29,AV$4&lt;='2025'!$M29), AV$4&lt;&gt;DATE(2025,7,4)), (SWITCH(weekday(AV$4), 1, 0, 2, if(ISBLANK('2025'!$P29), 0, 1), 3, if(ISBLANK('2025'!$Q29), 0, 1), 4, if(ISBLANK('2025'!$R29), 0, 1), 5, if(ISBLANK('2025'!$S29), 0, 1), 6, if(ISBLANK('2025'!$T29), 0, 1), 7, 0))), 1, "")</f>
        <v/>
      </c>
      <c r="AW29" s="1" t="str">
        <f>IF(AND(AND(AND(AW$4&gt;='2025'!$L29,AW$4&lt;='2025'!$M29), AW$4&lt;&gt;DATE(2025,7,4)), (SWITCH(weekday(AW$4), 1, 0, 2, if(ISBLANK('2025'!$P29), 0, 1), 3, if(ISBLANK('2025'!$Q29), 0, 1), 4, if(ISBLANK('2025'!$R29), 0, 1), 5, if(ISBLANK('2025'!$S29), 0, 1), 6, if(ISBLANK('2025'!$T29), 0, 1), 7, 0))), 1, "")</f>
        <v/>
      </c>
      <c r="AX29" s="1" t="str">
        <f>IF(AND(AND(AND(AX$4&gt;='2025'!$L29,AX$4&lt;='2025'!$M29), AX$4&lt;&gt;DATE(2025,7,4)), (SWITCH(weekday(AX$4), 1, 0, 2, if(ISBLANK('2025'!$P29), 0, 1), 3, if(ISBLANK('2025'!$Q29), 0, 1), 4, if(ISBLANK('2025'!$R29), 0, 1), 5, if(ISBLANK('2025'!$S29), 0, 1), 6, if(ISBLANK('2025'!$T29), 0, 1), 7, 0))), 1, "")</f>
        <v/>
      </c>
      <c r="AY29" s="1" t="str">
        <f>IF(AND(AND(AND(AY$4&gt;='2025'!$L29,AY$4&lt;='2025'!$M29), AY$4&lt;&gt;DATE(2025,7,4)), (SWITCH(weekday(AY$4), 1, 0, 2, if(ISBLANK('2025'!$P29), 0, 1), 3, if(ISBLANK('2025'!$Q29), 0, 1), 4, if(ISBLANK('2025'!$R29), 0, 1), 5, if(ISBLANK('2025'!$S29), 0, 1), 6, if(ISBLANK('2025'!$T29), 0, 1), 7, 0))), 1, "")</f>
        <v/>
      </c>
      <c r="AZ29" s="1" t="str">
        <f>IF(AND(AND(AND(AZ$4&gt;='2025'!$L29,AZ$4&lt;='2025'!$M29), AZ$4&lt;&gt;DATE(2025,7,4)), (SWITCH(weekday(AZ$4), 1, 0, 2, if(ISBLANK('2025'!$P29), 0, 1), 3, if(ISBLANK('2025'!$Q29), 0, 1), 4, if(ISBLANK('2025'!$R29), 0, 1), 5, if(ISBLANK('2025'!$S29), 0, 1), 6, if(ISBLANK('2025'!$T29), 0, 1), 7, 0))), 1, "")</f>
        <v/>
      </c>
      <c r="BA29" s="1" t="str">
        <f>IF(AND(AND(AND(BA$4&gt;='2025'!$L29,BA$4&lt;='2025'!$M29), BA$4&lt;&gt;DATE(2025,7,4)), (SWITCH(weekday(BA$4), 1, 0, 2, if(ISBLANK('2025'!$P29), 0, 1), 3, if(ISBLANK('2025'!$Q29), 0, 1), 4, if(ISBLANK('2025'!$R29), 0, 1), 5, if(ISBLANK('2025'!$S29), 0, 1), 6, if(ISBLANK('2025'!$T29), 0, 1), 7, 0))), 1, "")</f>
        <v/>
      </c>
      <c r="BB29" s="1" t="str">
        <f>IF(AND(AND(AND(BB$4&gt;='2025'!$L29,BB$4&lt;='2025'!$M29), BB$4&lt;&gt;DATE(2025,7,4)), (SWITCH(weekday(BB$4), 1, 0, 2, if(ISBLANK('2025'!$P29), 0, 1), 3, if(ISBLANK('2025'!$Q29), 0, 1), 4, if(ISBLANK('2025'!$R29), 0, 1), 5, if(ISBLANK('2025'!$S29), 0, 1), 6, if(ISBLANK('2025'!$T29), 0, 1), 7, 0))), 1, "")</f>
        <v/>
      </c>
      <c r="BC29" s="1" t="str">
        <f>IF(AND(AND(AND(BC$4&gt;='2025'!$L29,BC$4&lt;='2025'!$M29), BC$4&lt;&gt;DATE(2025,7,4)), (SWITCH(weekday(BC$4), 1, 0, 2, if(ISBLANK('2025'!$P29), 0, 1), 3, if(ISBLANK('2025'!$Q29), 0, 1), 4, if(ISBLANK('2025'!$R29), 0, 1), 5, if(ISBLANK('2025'!$S29), 0, 1), 6, if(ISBLANK('2025'!$T29), 0, 1), 7, 0))), 1, "")</f>
        <v/>
      </c>
      <c r="BD29" s="1" t="str">
        <f>IF(AND(AND(AND(BD$4&gt;='2025'!$L29,BD$4&lt;='2025'!$M29), BD$4&lt;&gt;DATE(2025,7,4)), (SWITCH(weekday(BD$4), 1, 0, 2, if(ISBLANK('2025'!$P29), 0, 1), 3, if(ISBLANK('2025'!$Q29), 0, 1), 4, if(ISBLANK('2025'!$R29), 0, 1), 5, if(ISBLANK('2025'!$S29), 0, 1), 6, if(ISBLANK('2025'!$T29), 0, 1), 7, 0))), 1, "")</f>
        <v/>
      </c>
      <c r="BE29" s="1" t="str">
        <f>IF(AND(AND(AND(BE$4&gt;='2025'!$L29,BE$4&lt;='2025'!$M29), BE$4&lt;&gt;DATE(2025,7,4)), (SWITCH(weekday(BE$4), 1, 0, 2, if(ISBLANK('2025'!$P29), 0, 1), 3, if(ISBLANK('2025'!$Q29), 0, 1), 4, if(ISBLANK('2025'!$R29), 0, 1), 5, if(ISBLANK('2025'!$S29), 0, 1), 6, if(ISBLANK('2025'!$T29), 0, 1), 7, 0))), 1, "")</f>
        <v/>
      </c>
      <c r="BF29" s="1" t="str">
        <f>IF(AND(AND(AND(BF$4&gt;='2025'!$L29,BF$4&lt;='2025'!$M29), BF$4&lt;&gt;DATE(2025,7,4)), (SWITCH(weekday(BF$4), 1, 0, 2, if(ISBLANK('2025'!$P29), 0, 1), 3, if(ISBLANK('2025'!$Q29), 0, 1), 4, if(ISBLANK('2025'!$R29), 0, 1), 5, if(ISBLANK('2025'!$S29), 0, 1), 6, if(ISBLANK('2025'!$T29), 0, 1), 7, 0))), 1, "")</f>
        <v/>
      </c>
      <c r="BG29" s="1"/>
      <c r="BH29" s="1"/>
      <c r="BI29" s="1"/>
      <c r="BJ29" s="1"/>
      <c r="BK29" s="1"/>
      <c r="BL29" s="1"/>
    </row>
    <row r="30">
      <c r="A30" s="1">
        <f t="shared" si="3"/>
        <v>30</v>
      </c>
      <c r="B30" s="1" t="str">
        <f>'2025'!D30</f>
        <v>wong, tyler </v>
      </c>
      <c r="C30" s="1" t="str">
        <f>'2025'!H30</f>
        <v>toddler</v>
      </c>
      <c r="D30" s="1" t="str">
        <f>IF(AND(AND(AND(D$4&gt;='2025'!$L30,D$4&lt;='2025'!$M30), D$4&lt;&gt;DATE(2025,7,4)), (SWITCH(weekday(D$4), 1, 0, 2, if(ISBLANK('2025'!$P30), 0, 1), 3, if(ISBLANK('2025'!$Q30), 0, 1), 4, if(ISBLANK('2025'!$R30), 0, 1), 5, if(ISBLANK('2025'!$S30), 0, 1), 6, if(ISBLANK('2025'!$T30), 0, 1), 7, 0))), 1, "")</f>
        <v/>
      </c>
      <c r="E30" s="1" t="str">
        <f>IF(AND(AND(AND(E$4&gt;='2025'!$L30,E$4&lt;='2025'!$M30), E$4&lt;&gt;DATE(2025,7,4)), (SWITCH(weekday(E$4), 1, 0, 2, if(ISBLANK('2025'!$P30), 0, 1), 3, if(ISBLANK('2025'!$Q30), 0, 1), 4, if(ISBLANK('2025'!$R30), 0, 1), 5, if(ISBLANK('2025'!$S30), 0, 1), 6, if(ISBLANK('2025'!$T30), 0, 1), 7, 0))), 1, "")</f>
        <v/>
      </c>
      <c r="F30" s="1" t="str">
        <f>IF(AND(AND(AND(F$4&gt;='2025'!$L30,F$4&lt;='2025'!$M30), F$4&lt;&gt;DATE(2025,7,4)), (SWITCH(weekday(F$4), 1, 0, 2, if(ISBLANK('2025'!$P30), 0, 1), 3, if(ISBLANK('2025'!$Q30), 0, 1), 4, if(ISBLANK('2025'!$R30), 0, 1), 5, if(ISBLANK('2025'!$S30), 0, 1), 6, if(ISBLANK('2025'!$T30), 0, 1), 7, 0))), 1, "")</f>
        <v/>
      </c>
      <c r="G30" s="1" t="str">
        <f>IF(AND(AND(AND(G$4&gt;='2025'!$L30,G$4&lt;='2025'!$M30), G$4&lt;&gt;DATE(2025,7,4)), (SWITCH(weekday(G$4), 1, 0, 2, if(ISBLANK('2025'!$P30), 0, 1), 3, if(ISBLANK('2025'!$Q30), 0, 1), 4, if(ISBLANK('2025'!$R30), 0, 1), 5, if(ISBLANK('2025'!$S30), 0, 1), 6, if(ISBLANK('2025'!$T30), 0, 1), 7, 0))), 1, "")</f>
        <v/>
      </c>
      <c r="H30" s="1" t="str">
        <f>IF(AND(AND(AND(H$4&gt;='2025'!$L30,H$4&lt;='2025'!$M30), H$4&lt;&gt;DATE(2025,7,4)), (SWITCH(weekday(H$4), 1, 0, 2, if(ISBLANK('2025'!$P30), 0, 1), 3, if(ISBLANK('2025'!$Q30), 0, 1), 4, if(ISBLANK('2025'!$R30), 0, 1), 5, if(ISBLANK('2025'!$S30), 0, 1), 6, if(ISBLANK('2025'!$T30), 0, 1), 7, 0))), 1, "")</f>
        <v/>
      </c>
      <c r="I30" s="1" t="str">
        <f>IF(AND(AND(AND(I$4&gt;='2025'!$L30,I$4&lt;='2025'!$M30), I$4&lt;&gt;DATE(2025,7,4)), (SWITCH(weekday(I$4), 1, 0, 2, if(ISBLANK('2025'!$P30), 0, 1), 3, if(ISBLANK('2025'!$Q30), 0, 1), 4, if(ISBLANK('2025'!$R30), 0, 1), 5, if(ISBLANK('2025'!$S30), 0, 1), 6, if(ISBLANK('2025'!$T30), 0, 1), 7, 0))), 1, "")</f>
        <v/>
      </c>
      <c r="J30" s="1" t="str">
        <f>IF(AND(AND(AND(J$4&gt;='2025'!$L30,J$4&lt;='2025'!$M30), J$4&lt;&gt;DATE(2025,7,4)), (SWITCH(weekday(J$4), 1, 0, 2, if(ISBLANK('2025'!$P30), 0, 1), 3, if(ISBLANK('2025'!$Q30), 0, 1), 4, if(ISBLANK('2025'!$R30), 0, 1), 5, if(ISBLANK('2025'!$S30), 0, 1), 6, if(ISBLANK('2025'!$T30), 0, 1), 7, 0))), 1, "")</f>
        <v/>
      </c>
      <c r="K30" s="1" t="str">
        <f>IF(AND(AND(AND(K$4&gt;='2025'!$L30,K$4&lt;='2025'!$M30), K$4&lt;&gt;DATE(2025,7,4)), (SWITCH(weekday(K$4), 1, 0, 2, if(ISBLANK('2025'!$P30), 0, 1), 3, if(ISBLANK('2025'!$Q30), 0, 1), 4, if(ISBLANK('2025'!$R30), 0, 1), 5, if(ISBLANK('2025'!$S30), 0, 1), 6, if(ISBLANK('2025'!$T30), 0, 1), 7, 0))), 1, "")</f>
        <v/>
      </c>
      <c r="L30" s="1" t="str">
        <f>IF(AND(AND(AND(L$4&gt;='2025'!$L30,L$4&lt;='2025'!$M30), L$4&lt;&gt;DATE(2025,7,4)), (SWITCH(weekday(L$4), 1, 0, 2, if(ISBLANK('2025'!$P30), 0, 1), 3, if(ISBLANK('2025'!$Q30), 0, 1), 4, if(ISBLANK('2025'!$R30), 0, 1), 5, if(ISBLANK('2025'!$S30), 0, 1), 6, if(ISBLANK('2025'!$T30), 0, 1), 7, 0))), 1, "")</f>
        <v/>
      </c>
      <c r="M30" s="1" t="str">
        <f>IF(AND(AND(AND(M$4&gt;='2025'!$L30,M$4&lt;='2025'!$M30), M$4&lt;&gt;DATE(2025,7,4)), (SWITCH(weekday(M$4), 1, 0, 2, if(ISBLANK('2025'!$P30), 0, 1), 3, if(ISBLANK('2025'!$Q30), 0, 1), 4, if(ISBLANK('2025'!$R30), 0, 1), 5, if(ISBLANK('2025'!$S30), 0, 1), 6, if(ISBLANK('2025'!$T30), 0, 1), 7, 0))), 1, "")</f>
        <v/>
      </c>
      <c r="N30" s="1" t="str">
        <f>IF(AND(AND(AND(N$4&gt;='2025'!$L30,N$4&lt;='2025'!$M30), N$4&lt;&gt;DATE(2025,7,4)), (SWITCH(weekday(N$4), 1, 0, 2, if(ISBLANK('2025'!$P30), 0, 1), 3, if(ISBLANK('2025'!$Q30), 0, 1), 4, if(ISBLANK('2025'!$R30), 0, 1), 5, if(ISBLANK('2025'!$S30), 0, 1), 6, if(ISBLANK('2025'!$T30), 0, 1), 7, 0))), 1, "")</f>
        <v/>
      </c>
      <c r="O30" s="1" t="str">
        <f>IF(AND(AND(AND(O$4&gt;='2025'!$L30,O$4&lt;='2025'!$M30), O$4&lt;&gt;DATE(2025,7,4)), (SWITCH(weekday(O$4), 1, 0, 2, if(ISBLANK('2025'!$P30), 0, 1), 3, if(ISBLANK('2025'!$Q30), 0, 1), 4, if(ISBLANK('2025'!$R30), 0, 1), 5, if(ISBLANK('2025'!$S30), 0, 1), 6, if(ISBLANK('2025'!$T30), 0, 1), 7, 0))), 1, "")</f>
        <v/>
      </c>
      <c r="P30" s="1" t="str">
        <f>IF(AND(AND(AND(P$4&gt;='2025'!$L30,P$4&lt;='2025'!$M30), P$4&lt;&gt;DATE(2025,7,4)), (SWITCH(weekday(P$4), 1, 0, 2, if(ISBLANK('2025'!$P30), 0, 1), 3, if(ISBLANK('2025'!$Q30), 0, 1), 4, if(ISBLANK('2025'!$R30), 0, 1), 5, if(ISBLANK('2025'!$S30), 0, 1), 6, if(ISBLANK('2025'!$T30), 0, 1), 7, 0))), 1, "")</f>
        <v/>
      </c>
      <c r="Q30" s="1" t="str">
        <f>IF(AND(AND(AND(Q$4&gt;='2025'!$L30,Q$4&lt;='2025'!$M30), Q$4&lt;&gt;DATE(2025,7,4)), (SWITCH(weekday(Q$4), 1, 0, 2, if(ISBLANK('2025'!$P30), 0, 1), 3, if(ISBLANK('2025'!$Q30), 0, 1), 4, if(ISBLANK('2025'!$R30), 0, 1), 5, if(ISBLANK('2025'!$S30), 0, 1), 6, if(ISBLANK('2025'!$T30), 0, 1), 7, 0))), 1, "")</f>
        <v/>
      </c>
      <c r="R30" s="1" t="str">
        <f>IF(AND(AND(AND(R$4&gt;='2025'!$L30,R$4&lt;='2025'!$M30), R$4&lt;&gt;DATE(2025,7,4)), (SWITCH(weekday(R$4), 1, 0, 2, if(ISBLANK('2025'!$P30), 0, 1), 3, if(ISBLANK('2025'!$Q30), 0, 1), 4, if(ISBLANK('2025'!$R30), 0, 1), 5, if(ISBLANK('2025'!$S30), 0, 1), 6, if(ISBLANK('2025'!$T30), 0, 1), 7, 0))), 1, "")</f>
        <v/>
      </c>
      <c r="S30" s="1" t="str">
        <f>IF(AND(AND(AND(S$4&gt;='2025'!$L30,S$4&lt;='2025'!$M30), S$4&lt;&gt;DATE(2025,7,4)), (SWITCH(weekday(S$4), 1, 0, 2, if(ISBLANK('2025'!$P30), 0, 1), 3, if(ISBLANK('2025'!$Q30), 0, 1), 4, if(ISBLANK('2025'!$R30), 0, 1), 5, if(ISBLANK('2025'!$S30), 0, 1), 6, if(ISBLANK('2025'!$T30), 0, 1), 7, 0))), 1, "")</f>
        <v/>
      </c>
      <c r="T30" s="1" t="str">
        <f>IF(AND(AND(AND(T$4&gt;='2025'!$L30,T$4&lt;='2025'!$M30), T$4&lt;&gt;DATE(2025,7,4)), (SWITCH(weekday(T$4), 1, 0, 2, if(ISBLANK('2025'!$P30), 0, 1), 3, if(ISBLANK('2025'!$Q30), 0, 1), 4, if(ISBLANK('2025'!$R30), 0, 1), 5, if(ISBLANK('2025'!$S30), 0, 1), 6, if(ISBLANK('2025'!$T30), 0, 1), 7, 0))), 1, "")</f>
        <v/>
      </c>
      <c r="U30" s="1" t="str">
        <f>IF(AND(AND(AND(U$4&gt;='2025'!$L30,U$4&lt;='2025'!$M30), U$4&lt;&gt;DATE(2025,7,4)), (SWITCH(weekday(U$4), 1, 0, 2, if(ISBLANK('2025'!$P30), 0, 1), 3, if(ISBLANK('2025'!$Q30), 0, 1), 4, if(ISBLANK('2025'!$R30), 0, 1), 5, if(ISBLANK('2025'!$S30), 0, 1), 6, if(ISBLANK('2025'!$T30), 0, 1), 7, 0))), 1, "")</f>
        <v/>
      </c>
      <c r="V30" s="1" t="str">
        <f>IF(AND(AND(AND(V$4&gt;='2025'!$L30,V$4&lt;='2025'!$M30), V$4&lt;&gt;DATE(2025,7,4)), (SWITCH(weekday(V$4), 1, 0, 2, if(ISBLANK('2025'!$P30), 0, 1), 3, if(ISBLANK('2025'!$Q30), 0, 1), 4, if(ISBLANK('2025'!$R30), 0, 1), 5, if(ISBLANK('2025'!$S30), 0, 1), 6, if(ISBLANK('2025'!$T30), 0, 1), 7, 0))), 1, "")</f>
        <v/>
      </c>
      <c r="W30" s="1" t="str">
        <f>IF(AND(AND(AND(W$4&gt;='2025'!$L30,W$4&lt;='2025'!$M30), W$4&lt;&gt;DATE(2025,7,4)), (SWITCH(weekday(W$4), 1, 0, 2, if(ISBLANK('2025'!$P30), 0, 1), 3, if(ISBLANK('2025'!$Q30), 0, 1), 4, if(ISBLANK('2025'!$R30), 0, 1), 5, if(ISBLANK('2025'!$S30), 0, 1), 6, if(ISBLANK('2025'!$T30), 0, 1), 7, 0))), 1, "")</f>
        <v/>
      </c>
      <c r="X30" s="1" t="str">
        <f>IF(AND(AND(AND(X$4&gt;='2025'!$L30,X$4&lt;='2025'!$M30), X$4&lt;&gt;DATE(2025,7,4)), (SWITCH(weekday(X$4), 1, 0, 2, if(ISBLANK('2025'!$P30), 0, 1), 3, if(ISBLANK('2025'!$Q30), 0, 1), 4, if(ISBLANK('2025'!$R30), 0, 1), 5, if(ISBLANK('2025'!$S30), 0, 1), 6, if(ISBLANK('2025'!$T30), 0, 1), 7, 0))), 1, "")</f>
        <v/>
      </c>
      <c r="Y30" s="1" t="str">
        <f>IF(AND(AND(AND(Y$4&gt;='2025'!$L30,Y$4&lt;='2025'!$M30), Y$4&lt;&gt;DATE(2025,7,4)), (SWITCH(weekday(Y$4), 1, 0, 2, if(ISBLANK('2025'!$P30), 0, 1), 3, if(ISBLANK('2025'!$Q30), 0, 1), 4, if(ISBLANK('2025'!$R30), 0, 1), 5, if(ISBLANK('2025'!$S30), 0, 1), 6, if(ISBLANK('2025'!$T30), 0, 1), 7, 0))), 1, "")</f>
        <v/>
      </c>
      <c r="Z30" s="1" t="str">
        <f>IF(AND(AND(AND(Z$4&gt;='2025'!$L30,Z$4&lt;='2025'!$M30), Z$4&lt;&gt;DATE(2025,7,4)), (SWITCH(weekday(Z$4), 1, 0, 2, if(ISBLANK('2025'!$P30), 0, 1), 3, if(ISBLANK('2025'!$Q30), 0, 1), 4, if(ISBLANK('2025'!$R30), 0, 1), 5, if(ISBLANK('2025'!$S30), 0, 1), 6, if(ISBLANK('2025'!$T30), 0, 1), 7, 0))), 1, "")</f>
        <v/>
      </c>
      <c r="AA30" s="1" t="str">
        <f>IF(AND(AND(AND(AA$4&gt;='2025'!$L30,AA$4&lt;='2025'!$M30), AA$4&lt;&gt;DATE(2025,7,4)), (SWITCH(weekday(AA$4), 1, 0, 2, if(ISBLANK('2025'!$P30), 0, 1), 3, if(ISBLANK('2025'!$Q30), 0, 1), 4, if(ISBLANK('2025'!$R30), 0, 1), 5, if(ISBLANK('2025'!$S30), 0, 1), 6, if(ISBLANK('2025'!$T30), 0, 1), 7, 0))), 1, "")</f>
        <v/>
      </c>
      <c r="AB30" s="1" t="str">
        <f>IF(AND(AND(AND(AB$4&gt;='2025'!$L30,AB$4&lt;='2025'!$M30), AB$4&lt;&gt;DATE(2025,7,4)), (SWITCH(weekday(AB$4), 1, 0, 2, if(ISBLANK('2025'!$P30), 0, 1), 3, if(ISBLANK('2025'!$Q30), 0, 1), 4, if(ISBLANK('2025'!$R30), 0, 1), 5, if(ISBLANK('2025'!$S30), 0, 1), 6, if(ISBLANK('2025'!$T30), 0, 1), 7, 0))), 1, "")</f>
        <v/>
      </c>
      <c r="AC30" s="1" t="str">
        <f>IF(AND(AND(AND(AC$4&gt;='2025'!$L30,AC$4&lt;='2025'!$M30), AC$4&lt;&gt;DATE(2025,7,4)), (SWITCH(weekday(AC$4), 1, 0, 2, if(ISBLANK('2025'!$P30), 0, 1), 3, if(ISBLANK('2025'!$Q30), 0, 1), 4, if(ISBLANK('2025'!$R30), 0, 1), 5, if(ISBLANK('2025'!$S30), 0, 1), 6, if(ISBLANK('2025'!$T30), 0, 1), 7, 0))), 1, "")</f>
        <v/>
      </c>
      <c r="AD30" s="1" t="str">
        <f>IF(AND(AND(AND(AD$4&gt;='2025'!$L30,AD$4&lt;='2025'!$M30), AD$4&lt;&gt;DATE(2025,7,4)), (SWITCH(weekday(AD$4), 1, 0, 2, if(ISBLANK('2025'!$P30), 0, 1), 3, if(ISBLANK('2025'!$Q30), 0, 1), 4, if(ISBLANK('2025'!$R30), 0, 1), 5, if(ISBLANK('2025'!$S30), 0, 1), 6, if(ISBLANK('2025'!$T30), 0, 1), 7, 0))), 1, "")</f>
        <v/>
      </c>
      <c r="AE30" s="1" t="str">
        <f>IF(AND(AND(AND(AE$4&gt;='2025'!$L30,AE$4&lt;='2025'!$M30), AE$4&lt;&gt;DATE(2025,7,4)), (SWITCH(weekday(AE$4), 1, 0, 2, if(ISBLANK('2025'!$P30), 0, 1), 3, if(ISBLANK('2025'!$Q30), 0, 1), 4, if(ISBLANK('2025'!$R30), 0, 1), 5, if(ISBLANK('2025'!$S30), 0, 1), 6, if(ISBLANK('2025'!$T30), 0, 1), 7, 0))), 1, "")</f>
        <v/>
      </c>
      <c r="AF30" s="1" t="str">
        <f>IF(AND(AND(AND(AF$4&gt;='2025'!$L30,AF$4&lt;='2025'!$M30), AF$4&lt;&gt;DATE(2025,7,4)), (SWITCH(weekday(AF$4), 1, 0, 2, if(ISBLANK('2025'!$P30), 0, 1), 3, if(ISBLANK('2025'!$Q30), 0, 1), 4, if(ISBLANK('2025'!$R30), 0, 1), 5, if(ISBLANK('2025'!$S30), 0, 1), 6, if(ISBLANK('2025'!$T30), 0, 1), 7, 0))), 1, "")</f>
        <v/>
      </c>
      <c r="AG30" s="1" t="str">
        <f>IF(AND(AND(AND(AG$4&gt;='2025'!$L30,AG$4&lt;='2025'!$M30), AG$4&lt;&gt;DATE(2025,7,4)), (SWITCH(weekday(AG$4), 1, 0, 2, if(ISBLANK('2025'!$P30), 0, 1), 3, if(ISBLANK('2025'!$Q30), 0, 1), 4, if(ISBLANK('2025'!$R30), 0, 1), 5, if(ISBLANK('2025'!$S30), 0, 1), 6, if(ISBLANK('2025'!$T30), 0, 1), 7, 0))), 1, "")</f>
        <v/>
      </c>
      <c r="AH30" s="1" t="str">
        <f>IF(AND(AND(AND(AH$4&gt;='2025'!$L30,AH$4&lt;='2025'!$M30), AH$4&lt;&gt;DATE(2025,7,4)), (SWITCH(weekday(AH$4), 1, 0, 2, if(ISBLANK('2025'!$P30), 0, 1), 3, if(ISBLANK('2025'!$Q30), 0, 1), 4, if(ISBLANK('2025'!$R30), 0, 1), 5, if(ISBLANK('2025'!$S30), 0, 1), 6, if(ISBLANK('2025'!$T30), 0, 1), 7, 0))), 1, "")</f>
        <v/>
      </c>
      <c r="AI30" s="1" t="str">
        <f>IF(AND(AND(AND(AI$4&gt;='2025'!$L30,AI$4&lt;='2025'!$M30), AI$4&lt;&gt;DATE(2025,7,4)), (SWITCH(weekday(AI$4), 1, 0, 2, if(ISBLANK('2025'!$P30), 0, 1), 3, if(ISBLANK('2025'!$Q30), 0, 1), 4, if(ISBLANK('2025'!$R30), 0, 1), 5, if(ISBLANK('2025'!$S30), 0, 1), 6, if(ISBLANK('2025'!$T30), 0, 1), 7, 0))), 1, "")</f>
        <v/>
      </c>
      <c r="AJ30" s="1" t="str">
        <f>IF(AND(AND(AND(AJ$4&gt;='2025'!$L30,AJ$4&lt;='2025'!$M30), AJ$4&lt;&gt;DATE(2025,7,4)), (SWITCH(weekday(AJ$4), 1, 0, 2, if(ISBLANK('2025'!$P30), 0, 1), 3, if(ISBLANK('2025'!$Q30), 0, 1), 4, if(ISBLANK('2025'!$R30), 0, 1), 5, if(ISBLANK('2025'!$S30), 0, 1), 6, if(ISBLANK('2025'!$T30), 0, 1), 7, 0))), 1, "")</f>
        <v/>
      </c>
      <c r="AK30" s="1" t="str">
        <f>IF(AND(AND(AND(AK$4&gt;='2025'!$L30,AK$4&lt;='2025'!$M30), AK$4&lt;&gt;DATE(2025,7,4)), (SWITCH(weekday(AK$4), 1, 0, 2, if(ISBLANK('2025'!$P30), 0, 1), 3, if(ISBLANK('2025'!$Q30), 0, 1), 4, if(ISBLANK('2025'!$R30), 0, 1), 5, if(ISBLANK('2025'!$S30), 0, 1), 6, if(ISBLANK('2025'!$T30), 0, 1), 7, 0))), 1, "")</f>
        <v/>
      </c>
      <c r="AL30" s="1" t="str">
        <f>IF(AND(AND(AND(AL$4&gt;='2025'!$L30,AL$4&lt;='2025'!$M30), AL$4&lt;&gt;DATE(2025,7,4)), (SWITCH(weekday(AL$4), 1, 0, 2, if(ISBLANK('2025'!$P30), 0, 1), 3, if(ISBLANK('2025'!$Q30), 0, 1), 4, if(ISBLANK('2025'!$R30), 0, 1), 5, if(ISBLANK('2025'!$S30), 0, 1), 6, if(ISBLANK('2025'!$T30), 0, 1), 7, 0))), 1, "")</f>
        <v/>
      </c>
      <c r="AM30" s="1" t="str">
        <f>IF(AND(AND(AND(AM$4&gt;='2025'!$L30,AM$4&lt;='2025'!$M30), AM$4&lt;&gt;DATE(2025,7,4)), (SWITCH(weekday(AM$4), 1, 0, 2, if(ISBLANK('2025'!$P30), 0, 1), 3, if(ISBLANK('2025'!$Q30), 0, 1), 4, if(ISBLANK('2025'!$R30), 0, 1), 5, if(ISBLANK('2025'!$S30), 0, 1), 6, if(ISBLANK('2025'!$T30), 0, 1), 7, 0))), 1, "")</f>
        <v/>
      </c>
      <c r="AN30" s="1" t="str">
        <f>IF(AND(AND(AND(AN$4&gt;='2025'!$L30,AN$4&lt;='2025'!$M30), AN$4&lt;&gt;DATE(2025,7,4)), (SWITCH(weekday(AN$4), 1, 0, 2, if(ISBLANK('2025'!$P30), 0, 1), 3, if(ISBLANK('2025'!$Q30), 0, 1), 4, if(ISBLANK('2025'!$R30), 0, 1), 5, if(ISBLANK('2025'!$S30), 0, 1), 6, if(ISBLANK('2025'!$T30), 0, 1), 7, 0))), 1, "")</f>
        <v/>
      </c>
      <c r="AO30" s="1" t="str">
        <f>IF(AND(AND(AND(AO$4&gt;='2025'!$L30,AO$4&lt;='2025'!$M30), AO$4&lt;&gt;DATE(2025,7,4)), (SWITCH(weekday(AO$4), 1, 0, 2, if(ISBLANK('2025'!$P30), 0, 1), 3, if(ISBLANK('2025'!$Q30), 0, 1), 4, if(ISBLANK('2025'!$R30), 0, 1), 5, if(ISBLANK('2025'!$S30), 0, 1), 6, if(ISBLANK('2025'!$T30), 0, 1), 7, 0))), 1, "")</f>
        <v/>
      </c>
      <c r="AP30" s="1" t="str">
        <f>IF(AND(AND(AND(AP$4&gt;='2025'!$L30,AP$4&lt;='2025'!$M30), AP$4&lt;&gt;DATE(2025,7,4)), (SWITCH(weekday(AP$4), 1, 0, 2, if(ISBLANK('2025'!$P30), 0, 1), 3, if(ISBLANK('2025'!$Q30), 0, 1), 4, if(ISBLANK('2025'!$R30), 0, 1), 5, if(ISBLANK('2025'!$S30), 0, 1), 6, if(ISBLANK('2025'!$T30), 0, 1), 7, 0))), 1, "")</f>
        <v/>
      </c>
      <c r="AQ30" s="1" t="str">
        <f>IF(AND(AND(AND(AQ$4&gt;='2025'!$L30,AQ$4&lt;='2025'!$M30), AQ$4&lt;&gt;DATE(2025,7,4)), (SWITCH(weekday(AQ$4), 1, 0, 2, if(ISBLANK('2025'!$P30), 0, 1), 3, if(ISBLANK('2025'!$Q30), 0, 1), 4, if(ISBLANK('2025'!$R30), 0, 1), 5, if(ISBLANK('2025'!$S30), 0, 1), 6, if(ISBLANK('2025'!$T30), 0, 1), 7, 0))), 1, "")</f>
        <v/>
      </c>
      <c r="AR30" s="1" t="str">
        <f>IF(AND(AND(AND(AR$4&gt;='2025'!$L30,AR$4&lt;='2025'!$M30), AR$4&lt;&gt;DATE(2025,7,4)), (SWITCH(weekday(AR$4), 1, 0, 2, if(ISBLANK('2025'!$P30), 0, 1), 3, if(ISBLANK('2025'!$Q30), 0, 1), 4, if(ISBLANK('2025'!$R30), 0, 1), 5, if(ISBLANK('2025'!$S30), 0, 1), 6, if(ISBLANK('2025'!$T30), 0, 1), 7, 0))), 1, "")</f>
        <v/>
      </c>
      <c r="AS30" s="1" t="str">
        <f>IF(AND(AND(AND(AS$4&gt;='2025'!$L30,AS$4&lt;='2025'!$M30), AS$4&lt;&gt;DATE(2025,7,4)), (SWITCH(weekday(AS$4), 1, 0, 2, if(ISBLANK('2025'!$P30), 0, 1), 3, if(ISBLANK('2025'!$Q30), 0, 1), 4, if(ISBLANK('2025'!$R30), 0, 1), 5, if(ISBLANK('2025'!$S30), 0, 1), 6, if(ISBLANK('2025'!$T30), 0, 1), 7, 0))), 1, "")</f>
        <v/>
      </c>
      <c r="AT30" s="1" t="str">
        <f>IF(AND(AND(AND(AT$4&gt;='2025'!$L30,AT$4&lt;='2025'!$M30), AT$4&lt;&gt;DATE(2025,7,4)), (SWITCH(weekday(AT$4), 1, 0, 2, if(ISBLANK('2025'!$P30), 0, 1), 3, if(ISBLANK('2025'!$Q30), 0, 1), 4, if(ISBLANK('2025'!$R30), 0, 1), 5, if(ISBLANK('2025'!$S30), 0, 1), 6, if(ISBLANK('2025'!$T30), 0, 1), 7, 0))), 1, "")</f>
        <v/>
      </c>
      <c r="AU30" s="1" t="str">
        <f>IF(AND(AND(AND(AU$4&gt;='2025'!$L30,AU$4&lt;='2025'!$M30), AU$4&lt;&gt;DATE(2025,7,4)), (SWITCH(weekday(AU$4), 1, 0, 2, if(ISBLANK('2025'!$P30), 0, 1), 3, if(ISBLANK('2025'!$Q30), 0, 1), 4, if(ISBLANK('2025'!$R30), 0, 1), 5, if(ISBLANK('2025'!$S30), 0, 1), 6, if(ISBLANK('2025'!$T30), 0, 1), 7, 0))), 1, "")</f>
        <v/>
      </c>
      <c r="AV30" s="1" t="str">
        <f>IF(AND(AND(AND(AV$4&gt;='2025'!$L30,AV$4&lt;='2025'!$M30), AV$4&lt;&gt;DATE(2025,7,4)), (SWITCH(weekday(AV$4), 1, 0, 2, if(ISBLANK('2025'!$P30), 0, 1), 3, if(ISBLANK('2025'!$Q30), 0, 1), 4, if(ISBLANK('2025'!$R30), 0, 1), 5, if(ISBLANK('2025'!$S30), 0, 1), 6, if(ISBLANK('2025'!$T30), 0, 1), 7, 0))), 1, "")</f>
        <v/>
      </c>
      <c r="AW30" s="1" t="str">
        <f>IF(AND(AND(AND(AW$4&gt;='2025'!$L30,AW$4&lt;='2025'!$M30), AW$4&lt;&gt;DATE(2025,7,4)), (SWITCH(weekday(AW$4), 1, 0, 2, if(ISBLANK('2025'!$P30), 0, 1), 3, if(ISBLANK('2025'!$Q30), 0, 1), 4, if(ISBLANK('2025'!$R30), 0, 1), 5, if(ISBLANK('2025'!$S30), 0, 1), 6, if(ISBLANK('2025'!$T30), 0, 1), 7, 0))), 1, "")</f>
        <v/>
      </c>
      <c r="AX30" s="1" t="str">
        <f>IF(AND(AND(AND(AX$4&gt;='2025'!$L30,AX$4&lt;='2025'!$M30), AX$4&lt;&gt;DATE(2025,7,4)), (SWITCH(weekday(AX$4), 1, 0, 2, if(ISBLANK('2025'!$P30), 0, 1), 3, if(ISBLANK('2025'!$Q30), 0, 1), 4, if(ISBLANK('2025'!$R30), 0, 1), 5, if(ISBLANK('2025'!$S30), 0, 1), 6, if(ISBLANK('2025'!$T30), 0, 1), 7, 0))), 1, "")</f>
        <v/>
      </c>
      <c r="AY30" s="1" t="str">
        <f>IF(AND(AND(AND(AY$4&gt;='2025'!$L30,AY$4&lt;='2025'!$M30), AY$4&lt;&gt;DATE(2025,7,4)), (SWITCH(weekday(AY$4), 1, 0, 2, if(ISBLANK('2025'!$P30), 0, 1), 3, if(ISBLANK('2025'!$Q30), 0, 1), 4, if(ISBLANK('2025'!$R30), 0, 1), 5, if(ISBLANK('2025'!$S30), 0, 1), 6, if(ISBLANK('2025'!$T30), 0, 1), 7, 0))), 1, "")</f>
        <v/>
      </c>
      <c r="AZ30" s="1" t="str">
        <f>IF(AND(AND(AND(AZ$4&gt;='2025'!$L30,AZ$4&lt;='2025'!$M30), AZ$4&lt;&gt;DATE(2025,7,4)), (SWITCH(weekday(AZ$4), 1, 0, 2, if(ISBLANK('2025'!$P30), 0, 1), 3, if(ISBLANK('2025'!$Q30), 0, 1), 4, if(ISBLANK('2025'!$R30), 0, 1), 5, if(ISBLANK('2025'!$S30), 0, 1), 6, if(ISBLANK('2025'!$T30), 0, 1), 7, 0))), 1, "")</f>
        <v/>
      </c>
      <c r="BA30" s="1" t="str">
        <f>IF(AND(AND(AND(BA$4&gt;='2025'!$L30,BA$4&lt;='2025'!$M30), BA$4&lt;&gt;DATE(2025,7,4)), (SWITCH(weekday(BA$4), 1, 0, 2, if(ISBLANK('2025'!$P30), 0, 1), 3, if(ISBLANK('2025'!$Q30), 0, 1), 4, if(ISBLANK('2025'!$R30), 0, 1), 5, if(ISBLANK('2025'!$S30), 0, 1), 6, if(ISBLANK('2025'!$T30), 0, 1), 7, 0))), 1, "")</f>
        <v/>
      </c>
      <c r="BB30" s="1" t="str">
        <f>IF(AND(AND(AND(BB$4&gt;='2025'!$L30,BB$4&lt;='2025'!$M30), BB$4&lt;&gt;DATE(2025,7,4)), (SWITCH(weekday(BB$4), 1, 0, 2, if(ISBLANK('2025'!$P30), 0, 1), 3, if(ISBLANK('2025'!$Q30), 0, 1), 4, if(ISBLANK('2025'!$R30), 0, 1), 5, if(ISBLANK('2025'!$S30), 0, 1), 6, if(ISBLANK('2025'!$T30), 0, 1), 7, 0))), 1, "")</f>
        <v/>
      </c>
      <c r="BC30" s="1" t="str">
        <f>IF(AND(AND(AND(BC$4&gt;='2025'!$L30,BC$4&lt;='2025'!$M30), BC$4&lt;&gt;DATE(2025,7,4)), (SWITCH(weekday(BC$4), 1, 0, 2, if(ISBLANK('2025'!$P30), 0, 1), 3, if(ISBLANK('2025'!$Q30), 0, 1), 4, if(ISBLANK('2025'!$R30), 0, 1), 5, if(ISBLANK('2025'!$S30), 0, 1), 6, if(ISBLANK('2025'!$T30), 0, 1), 7, 0))), 1, "")</f>
        <v/>
      </c>
      <c r="BD30" s="1" t="str">
        <f>IF(AND(AND(AND(BD$4&gt;='2025'!$L30,BD$4&lt;='2025'!$M30), BD$4&lt;&gt;DATE(2025,7,4)), (SWITCH(weekday(BD$4), 1, 0, 2, if(ISBLANK('2025'!$P30), 0, 1), 3, if(ISBLANK('2025'!$Q30), 0, 1), 4, if(ISBLANK('2025'!$R30), 0, 1), 5, if(ISBLANK('2025'!$S30), 0, 1), 6, if(ISBLANK('2025'!$T30), 0, 1), 7, 0))), 1, "")</f>
        <v/>
      </c>
      <c r="BE30" s="1" t="str">
        <f>IF(AND(AND(AND(BE$4&gt;='2025'!$L30,BE$4&lt;='2025'!$M30), BE$4&lt;&gt;DATE(2025,7,4)), (SWITCH(weekday(BE$4), 1, 0, 2, if(ISBLANK('2025'!$P30), 0, 1), 3, if(ISBLANK('2025'!$Q30), 0, 1), 4, if(ISBLANK('2025'!$R30), 0, 1), 5, if(ISBLANK('2025'!$S30), 0, 1), 6, if(ISBLANK('2025'!$T30), 0, 1), 7, 0))), 1, "")</f>
        <v/>
      </c>
      <c r="BF30" s="1" t="str">
        <f>IF(AND(AND(AND(BF$4&gt;='2025'!$L30,BF$4&lt;='2025'!$M30), BF$4&lt;&gt;DATE(2025,7,4)), (SWITCH(weekday(BF$4), 1, 0, 2, if(ISBLANK('2025'!$P30), 0, 1), 3, if(ISBLANK('2025'!$Q30), 0, 1), 4, if(ISBLANK('2025'!$R30), 0, 1), 5, if(ISBLANK('2025'!$S30), 0, 1), 6, if(ISBLANK('2025'!$T30), 0, 1), 7, 0))), 1, "")</f>
        <v/>
      </c>
      <c r="BG30" s="1"/>
      <c r="BH30" s="1"/>
      <c r="BI30" s="1"/>
      <c r="BJ30" s="1"/>
      <c r="BK30" s="1"/>
      <c r="BL30" s="1"/>
    </row>
    <row r="31">
      <c r="A31" s="1">
        <f t="shared" si="3"/>
        <v>31</v>
      </c>
      <c r="B31" s="1" t="str">
        <f>'2025'!D31</f>
        <v>Tuomey, Logan</v>
      </c>
      <c r="C31" s="1" t="str">
        <f>'2025'!H31</f>
        <v>pk3.1</v>
      </c>
      <c r="D31" s="1" t="str">
        <f>IF(AND(AND(AND(D$4&gt;='2025'!$L31,D$4&lt;='2025'!$M31), D$4&lt;&gt;DATE(2025,7,4)), (SWITCH(weekday(D$4), 1, 0, 2, if(ISBLANK('2025'!$P31), 0, 1), 3, if(ISBLANK('2025'!$Q31), 0, 1), 4, if(ISBLANK('2025'!$R31), 0, 1), 5, if(ISBLANK('2025'!$S31), 0, 1), 6, if(ISBLANK('2025'!$T31), 0, 1), 7, 0))), 1, "")</f>
        <v/>
      </c>
      <c r="E31" s="1" t="str">
        <f>IF(AND(AND(AND(E$4&gt;='2025'!$L31,E$4&lt;='2025'!$M31), E$4&lt;&gt;DATE(2025,7,4)), (SWITCH(weekday(E$4), 1, 0, 2, if(ISBLANK('2025'!$P31), 0, 1), 3, if(ISBLANK('2025'!$Q31), 0, 1), 4, if(ISBLANK('2025'!$R31), 0, 1), 5, if(ISBLANK('2025'!$S31), 0, 1), 6, if(ISBLANK('2025'!$T31), 0, 1), 7, 0))), 1, "")</f>
        <v/>
      </c>
      <c r="F31" s="1" t="str">
        <f>IF(AND(AND(AND(F$4&gt;='2025'!$L31,F$4&lt;='2025'!$M31), F$4&lt;&gt;DATE(2025,7,4)), (SWITCH(weekday(F$4), 1, 0, 2, if(ISBLANK('2025'!$P31), 0, 1), 3, if(ISBLANK('2025'!$Q31), 0, 1), 4, if(ISBLANK('2025'!$R31), 0, 1), 5, if(ISBLANK('2025'!$S31), 0, 1), 6, if(ISBLANK('2025'!$T31), 0, 1), 7, 0))), 1, "")</f>
        <v/>
      </c>
      <c r="G31" s="1" t="str">
        <f>IF(AND(AND(AND(G$4&gt;='2025'!$L31,G$4&lt;='2025'!$M31), G$4&lt;&gt;DATE(2025,7,4)), (SWITCH(weekday(G$4), 1, 0, 2, if(ISBLANK('2025'!$P31), 0, 1), 3, if(ISBLANK('2025'!$Q31), 0, 1), 4, if(ISBLANK('2025'!$R31), 0, 1), 5, if(ISBLANK('2025'!$S31), 0, 1), 6, if(ISBLANK('2025'!$T31), 0, 1), 7, 0))), 1, "")</f>
        <v/>
      </c>
      <c r="H31" s="1" t="str">
        <f>IF(AND(AND(AND(H$4&gt;='2025'!$L31,H$4&lt;='2025'!$M31), H$4&lt;&gt;DATE(2025,7,4)), (SWITCH(weekday(H$4), 1, 0, 2, if(ISBLANK('2025'!$P31), 0, 1), 3, if(ISBLANK('2025'!$Q31), 0, 1), 4, if(ISBLANK('2025'!$R31), 0, 1), 5, if(ISBLANK('2025'!$S31), 0, 1), 6, if(ISBLANK('2025'!$T31), 0, 1), 7, 0))), 1, "")</f>
        <v/>
      </c>
      <c r="I31" s="1" t="str">
        <f>IF(AND(AND(AND(I$4&gt;='2025'!$L31,I$4&lt;='2025'!$M31), I$4&lt;&gt;DATE(2025,7,4)), (SWITCH(weekday(I$4), 1, 0, 2, if(ISBLANK('2025'!$P31), 0, 1), 3, if(ISBLANK('2025'!$Q31), 0, 1), 4, if(ISBLANK('2025'!$R31), 0, 1), 5, if(ISBLANK('2025'!$S31), 0, 1), 6, if(ISBLANK('2025'!$T31), 0, 1), 7, 0))), 1, "")</f>
        <v/>
      </c>
      <c r="J31" s="1" t="str">
        <f>IF(AND(AND(AND(J$4&gt;='2025'!$L31,J$4&lt;='2025'!$M31), J$4&lt;&gt;DATE(2025,7,4)), (SWITCH(weekday(J$4), 1, 0, 2, if(ISBLANK('2025'!$P31), 0, 1), 3, if(ISBLANK('2025'!$Q31), 0, 1), 4, if(ISBLANK('2025'!$R31), 0, 1), 5, if(ISBLANK('2025'!$S31), 0, 1), 6, if(ISBLANK('2025'!$T31), 0, 1), 7, 0))), 1, "")</f>
        <v/>
      </c>
      <c r="K31" s="1" t="str">
        <f>IF(AND(AND(AND(K$4&gt;='2025'!$L31,K$4&lt;='2025'!$M31), K$4&lt;&gt;DATE(2025,7,4)), (SWITCH(weekday(K$4), 1, 0, 2, if(ISBLANK('2025'!$P31), 0, 1), 3, if(ISBLANK('2025'!$Q31), 0, 1), 4, if(ISBLANK('2025'!$R31), 0, 1), 5, if(ISBLANK('2025'!$S31), 0, 1), 6, if(ISBLANK('2025'!$T31), 0, 1), 7, 0))), 1, "")</f>
        <v/>
      </c>
      <c r="L31" s="1" t="str">
        <f>IF(AND(AND(AND(L$4&gt;='2025'!$L31,L$4&lt;='2025'!$M31), L$4&lt;&gt;DATE(2025,7,4)), (SWITCH(weekday(L$4), 1, 0, 2, if(ISBLANK('2025'!$P31), 0, 1), 3, if(ISBLANK('2025'!$Q31), 0, 1), 4, if(ISBLANK('2025'!$R31), 0, 1), 5, if(ISBLANK('2025'!$S31), 0, 1), 6, if(ISBLANK('2025'!$T31), 0, 1), 7, 0))), 1, "")</f>
        <v/>
      </c>
      <c r="M31" s="1" t="str">
        <f>IF(AND(AND(AND(M$4&gt;='2025'!$L31,M$4&lt;='2025'!$M31), M$4&lt;&gt;DATE(2025,7,4)), (SWITCH(weekday(M$4), 1, 0, 2, if(ISBLANK('2025'!$P31), 0, 1), 3, if(ISBLANK('2025'!$Q31), 0, 1), 4, if(ISBLANK('2025'!$R31), 0, 1), 5, if(ISBLANK('2025'!$S31), 0, 1), 6, if(ISBLANK('2025'!$T31), 0, 1), 7, 0))), 1, "")</f>
        <v/>
      </c>
      <c r="N31" s="1" t="str">
        <f>IF(AND(AND(AND(N$4&gt;='2025'!$L31,N$4&lt;='2025'!$M31), N$4&lt;&gt;DATE(2025,7,4)), (SWITCH(weekday(N$4), 1, 0, 2, if(ISBLANK('2025'!$P31), 0, 1), 3, if(ISBLANK('2025'!$Q31), 0, 1), 4, if(ISBLANK('2025'!$R31), 0, 1), 5, if(ISBLANK('2025'!$S31), 0, 1), 6, if(ISBLANK('2025'!$T31), 0, 1), 7, 0))), 1, "")</f>
        <v/>
      </c>
      <c r="O31" s="1" t="str">
        <f>IF(AND(AND(AND(O$4&gt;='2025'!$L31,O$4&lt;='2025'!$M31), O$4&lt;&gt;DATE(2025,7,4)), (SWITCH(weekday(O$4), 1, 0, 2, if(ISBLANK('2025'!$P31), 0, 1), 3, if(ISBLANK('2025'!$Q31), 0, 1), 4, if(ISBLANK('2025'!$R31), 0, 1), 5, if(ISBLANK('2025'!$S31), 0, 1), 6, if(ISBLANK('2025'!$T31), 0, 1), 7, 0))), 1, "")</f>
        <v/>
      </c>
      <c r="P31" s="1" t="str">
        <f>IF(AND(AND(AND(P$4&gt;='2025'!$L31,P$4&lt;='2025'!$M31), P$4&lt;&gt;DATE(2025,7,4)), (SWITCH(weekday(P$4), 1, 0, 2, if(ISBLANK('2025'!$P31), 0, 1), 3, if(ISBLANK('2025'!$Q31), 0, 1), 4, if(ISBLANK('2025'!$R31), 0, 1), 5, if(ISBLANK('2025'!$S31), 0, 1), 6, if(ISBLANK('2025'!$T31), 0, 1), 7, 0))), 1, "")</f>
        <v/>
      </c>
      <c r="Q31" s="1" t="str">
        <f>IF(AND(AND(AND(Q$4&gt;='2025'!$L31,Q$4&lt;='2025'!$M31), Q$4&lt;&gt;DATE(2025,7,4)), (SWITCH(weekday(Q$4), 1, 0, 2, if(ISBLANK('2025'!$P31), 0, 1), 3, if(ISBLANK('2025'!$Q31), 0, 1), 4, if(ISBLANK('2025'!$R31), 0, 1), 5, if(ISBLANK('2025'!$S31), 0, 1), 6, if(ISBLANK('2025'!$T31), 0, 1), 7, 0))), 1, "")</f>
        <v/>
      </c>
      <c r="R31" s="1" t="str">
        <f>IF(AND(AND(AND(R$4&gt;='2025'!$L31,R$4&lt;='2025'!$M31), R$4&lt;&gt;DATE(2025,7,4)), (SWITCH(weekday(R$4), 1, 0, 2, if(ISBLANK('2025'!$P31), 0, 1), 3, if(ISBLANK('2025'!$Q31), 0, 1), 4, if(ISBLANK('2025'!$R31), 0, 1), 5, if(ISBLANK('2025'!$S31), 0, 1), 6, if(ISBLANK('2025'!$T31), 0, 1), 7, 0))), 1, "")</f>
        <v/>
      </c>
      <c r="S31" s="1" t="str">
        <f>IF(AND(AND(AND(S$4&gt;='2025'!$L31,S$4&lt;='2025'!$M31), S$4&lt;&gt;DATE(2025,7,4)), (SWITCH(weekday(S$4), 1, 0, 2, if(ISBLANK('2025'!$P31), 0, 1), 3, if(ISBLANK('2025'!$Q31), 0, 1), 4, if(ISBLANK('2025'!$R31), 0, 1), 5, if(ISBLANK('2025'!$S31), 0, 1), 6, if(ISBLANK('2025'!$T31), 0, 1), 7, 0))), 1, "")</f>
        <v/>
      </c>
      <c r="T31" s="1" t="str">
        <f>IF(AND(AND(AND(T$4&gt;='2025'!$L31,T$4&lt;='2025'!$M31), T$4&lt;&gt;DATE(2025,7,4)), (SWITCH(weekday(T$4), 1, 0, 2, if(ISBLANK('2025'!$P31), 0, 1), 3, if(ISBLANK('2025'!$Q31), 0, 1), 4, if(ISBLANK('2025'!$R31), 0, 1), 5, if(ISBLANK('2025'!$S31), 0, 1), 6, if(ISBLANK('2025'!$T31), 0, 1), 7, 0))), 1, "")</f>
        <v/>
      </c>
      <c r="U31" s="1" t="str">
        <f>IF(AND(AND(AND(U$4&gt;='2025'!$L31,U$4&lt;='2025'!$M31), U$4&lt;&gt;DATE(2025,7,4)), (SWITCH(weekday(U$4), 1, 0, 2, if(ISBLANK('2025'!$P31), 0, 1), 3, if(ISBLANK('2025'!$Q31), 0, 1), 4, if(ISBLANK('2025'!$R31), 0, 1), 5, if(ISBLANK('2025'!$S31), 0, 1), 6, if(ISBLANK('2025'!$T31), 0, 1), 7, 0))), 1, "")</f>
        <v/>
      </c>
      <c r="V31" s="1" t="str">
        <f>IF(AND(AND(AND(V$4&gt;='2025'!$L31,V$4&lt;='2025'!$M31), V$4&lt;&gt;DATE(2025,7,4)), (SWITCH(weekday(V$4), 1, 0, 2, if(ISBLANK('2025'!$P31), 0, 1), 3, if(ISBLANK('2025'!$Q31), 0, 1), 4, if(ISBLANK('2025'!$R31), 0, 1), 5, if(ISBLANK('2025'!$S31), 0, 1), 6, if(ISBLANK('2025'!$T31), 0, 1), 7, 0))), 1, "")</f>
        <v/>
      </c>
      <c r="W31" s="1" t="str">
        <f>IF(AND(AND(AND(W$4&gt;='2025'!$L31,W$4&lt;='2025'!$M31), W$4&lt;&gt;DATE(2025,7,4)), (SWITCH(weekday(W$4), 1, 0, 2, if(ISBLANK('2025'!$P31), 0, 1), 3, if(ISBLANK('2025'!$Q31), 0, 1), 4, if(ISBLANK('2025'!$R31), 0, 1), 5, if(ISBLANK('2025'!$S31), 0, 1), 6, if(ISBLANK('2025'!$T31), 0, 1), 7, 0))), 1, "")</f>
        <v/>
      </c>
      <c r="X31" s="1" t="str">
        <f>IF(AND(AND(AND(X$4&gt;='2025'!$L31,X$4&lt;='2025'!$M31), X$4&lt;&gt;DATE(2025,7,4)), (SWITCH(weekday(X$4), 1, 0, 2, if(ISBLANK('2025'!$P31), 0, 1), 3, if(ISBLANK('2025'!$Q31), 0, 1), 4, if(ISBLANK('2025'!$R31), 0, 1), 5, if(ISBLANK('2025'!$S31), 0, 1), 6, if(ISBLANK('2025'!$T31), 0, 1), 7, 0))), 1, "")</f>
        <v/>
      </c>
      <c r="Y31" s="1" t="str">
        <f>IF(AND(AND(AND(Y$4&gt;='2025'!$L31,Y$4&lt;='2025'!$M31), Y$4&lt;&gt;DATE(2025,7,4)), (SWITCH(weekday(Y$4), 1, 0, 2, if(ISBLANK('2025'!$P31), 0, 1), 3, if(ISBLANK('2025'!$Q31), 0, 1), 4, if(ISBLANK('2025'!$R31), 0, 1), 5, if(ISBLANK('2025'!$S31), 0, 1), 6, if(ISBLANK('2025'!$T31), 0, 1), 7, 0))), 1, "")</f>
        <v/>
      </c>
      <c r="Z31" s="1" t="str">
        <f>IF(AND(AND(AND(Z$4&gt;='2025'!$L31,Z$4&lt;='2025'!$M31), Z$4&lt;&gt;DATE(2025,7,4)), (SWITCH(weekday(Z$4), 1, 0, 2, if(ISBLANK('2025'!$P31), 0, 1), 3, if(ISBLANK('2025'!$Q31), 0, 1), 4, if(ISBLANK('2025'!$R31), 0, 1), 5, if(ISBLANK('2025'!$S31), 0, 1), 6, if(ISBLANK('2025'!$T31), 0, 1), 7, 0))), 1, "")</f>
        <v/>
      </c>
      <c r="AA31" s="1" t="str">
        <f>IF(AND(AND(AND(AA$4&gt;='2025'!$L31,AA$4&lt;='2025'!$M31), AA$4&lt;&gt;DATE(2025,7,4)), (SWITCH(weekday(AA$4), 1, 0, 2, if(ISBLANK('2025'!$P31), 0, 1), 3, if(ISBLANK('2025'!$Q31), 0, 1), 4, if(ISBLANK('2025'!$R31), 0, 1), 5, if(ISBLANK('2025'!$S31), 0, 1), 6, if(ISBLANK('2025'!$T31), 0, 1), 7, 0))), 1, "")</f>
        <v/>
      </c>
      <c r="AB31" s="1" t="str">
        <f>IF(AND(AND(AND(AB$4&gt;='2025'!$L31,AB$4&lt;='2025'!$M31), AB$4&lt;&gt;DATE(2025,7,4)), (SWITCH(weekday(AB$4), 1, 0, 2, if(ISBLANK('2025'!$P31), 0, 1), 3, if(ISBLANK('2025'!$Q31), 0, 1), 4, if(ISBLANK('2025'!$R31), 0, 1), 5, if(ISBLANK('2025'!$S31), 0, 1), 6, if(ISBLANK('2025'!$T31), 0, 1), 7, 0))), 1, "")</f>
        <v/>
      </c>
      <c r="AC31" s="1" t="str">
        <f>IF(AND(AND(AND(AC$4&gt;='2025'!$L31,AC$4&lt;='2025'!$M31), AC$4&lt;&gt;DATE(2025,7,4)), (SWITCH(weekday(AC$4), 1, 0, 2, if(ISBLANK('2025'!$P31), 0, 1), 3, if(ISBLANK('2025'!$Q31), 0, 1), 4, if(ISBLANK('2025'!$R31), 0, 1), 5, if(ISBLANK('2025'!$S31), 0, 1), 6, if(ISBLANK('2025'!$T31), 0, 1), 7, 0))), 1, "")</f>
        <v/>
      </c>
      <c r="AD31" s="1" t="str">
        <f>IF(AND(AND(AND(AD$4&gt;='2025'!$L31,AD$4&lt;='2025'!$M31), AD$4&lt;&gt;DATE(2025,7,4)), (SWITCH(weekday(AD$4), 1, 0, 2, if(ISBLANK('2025'!$P31), 0, 1), 3, if(ISBLANK('2025'!$Q31), 0, 1), 4, if(ISBLANK('2025'!$R31), 0, 1), 5, if(ISBLANK('2025'!$S31), 0, 1), 6, if(ISBLANK('2025'!$T31), 0, 1), 7, 0))), 1, "")</f>
        <v/>
      </c>
      <c r="AE31" s="1" t="str">
        <f>IF(AND(AND(AND(AE$4&gt;='2025'!$L31,AE$4&lt;='2025'!$M31), AE$4&lt;&gt;DATE(2025,7,4)), (SWITCH(weekday(AE$4), 1, 0, 2, if(ISBLANK('2025'!$P31), 0, 1), 3, if(ISBLANK('2025'!$Q31), 0, 1), 4, if(ISBLANK('2025'!$R31), 0, 1), 5, if(ISBLANK('2025'!$S31), 0, 1), 6, if(ISBLANK('2025'!$T31), 0, 1), 7, 0))), 1, "")</f>
        <v/>
      </c>
      <c r="AF31" s="1" t="str">
        <f>IF(AND(AND(AND(AF$4&gt;='2025'!$L31,AF$4&lt;='2025'!$M31), AF$4&lt;&gt;DATE(2025,7,4)), (SWITCH(weekday(AF$4), 1, 0, 2, if(ISBLANK('2025'!$P31), 0, 1), 3, if(ISBLANK('2025'!$Q31), 0, 1), 4, if(ISBLANK('2025'!$R31), 0, 1), 5, if(ISBLANK('2025'!$S31), 0, 1), 6, if(ISBLANK('2025'!$T31), 0, 1), 7, 0))), 1, "")</f>
        <v/>
      </c>
      <c r="AG31" s="1" t="str">
        <f>IF(AND(AND(AND(AG$4&gt;='2025'!$L31,AG$4&lt;='2025'!$M31), AG$4&lt;&gt;DATE(2025,7,4)), (SWITCH(weekday(AG$4), 1, 0, 2, if(ISBLANK('2025'!$P31), 0, 1), 3, if(ISBLANK('2025'!$Q31), 0, 1), 4, if(ISBLANK('2025'!$R31), 0, 1), 5, if(ISBLANK('2025'!$S31), 0, 1), 6, if(ISBLANK('2025'!$T31), 0, 1), 7, 0))), 1, "")</f>
        <v/>
      </c>
      <c r="AH31" s="1" t="str">
        <f>IF(AND(AND(AND(AH$4&gt;='2025'!$L31,AH$4&lt;='2025'!$M31), AH$4&lt;&gt;DATE(2025,7,4)), (SWITCH(weekday(AH$4), 1, 0, 2, if(ISBLANK('2025'!$P31), 0, 1), 3, if(ISBLANK('2025'!$Q31), 0, 1), 4, if(ISBLANK('2025'!$R31), 0, 1), 5, if(ISBLANK('2025'!$S31), 0, 1), 6, if(ISBLANK('2025'!$T31), 0, 1), 7, 0))), 1, "")</f>
        <v/>
      </c>
      <c r="AI31" s="1" t="str">
        <f>IF(AND(AND(AND(AI$4&gt;='2025'!$L31,AI$4&lt;='2025'!$M31), AI$4&lt;&gt;DATE(2025,7,4)), (SWITCH(weekday(AI$4), 1, 0, 2, if(ISBLANK('2025'!$P31), 0, 1), 3, if(ISBLANK('2025'!$Q31), 0, 1), 4, if(ISBLANK('2025'!$R31), 0, 1), 5, if(ISBLANK('2025'!$S31), 0, 1), 6, if(ISBLANK('2025'!$T31), 0, 1), 7, 0))), 1, "")</f>
        <v/>
      </c>
      <c r="AJ31" s="1" t="str">
        <f>IF(AND(AND(AND(AJ$4&gt;='2025'!$L31,AJ$4&lt;='2025'!$M31), AJ$4&lt;&gt;DATE(2025,7,4)), (SWITCH(weekday(AJ$4), 1, 0, 2, if(ISBLANK('2025'!$P31), 0, 1), 3, if(ISBLANK('2025'!$Q31), 0, 1), 4, if(ISBLANK('2025'!$R31), 0, 1), 5, if(ISBLANK('2025'!$S31), 0, 1), 6, if(ISBLANK('2025'!$T31), 0, 1), 7, 0))), 1, "")</f>
        <v/>
      </c>
      <c r="AK31" s="1" t="str">
        <f>IF(AND(AND(AND(AK$4&gt;='2025'!$L31,AK$4&lt;='2025'!$M31), AK$4&lt;&gt;DATE(2025,7,4)), (SWITCH(weekday(AK$4), 1, 0, 2, if(ISBLANK('2025'!$P31), 0, 1), 3, if(ISBLANK('2025'!$Q31), 0, 1), 4, if(ISBLANK('2025'!$R31), 0, 1), 5, if(ISBLANK('2025'!$S31), 0, 1), 6, if(ISBLANK('2025'!$T31), 0, 1), 7, 0))), 1, "")</f>
        <v/>
      </c>
      <c r="AL31" s="1" t="str">
        <f>IF(AND(AND(AND(AL$4&gt;='2025'!$L31,AL$4&lt;='2025'!$M31), AL$4&lt;&gt;DATE(2025,7,4)), (SWITCH(weekday(AL$4), 1, 0, 2, if(ISBLANK('2025'!$P31), 0, 1), 3, if(ISBLANK('2025'!$Q31), 0, 1), 4, if(ISBLANK('2025'!$R31), 0, 1), 5, if(ISBLANK('2025'!$S31), 0, 1), 6, if(ISBLANK('2025'!$T31), 0, 1), 7, 0))), 1, "")</f>
        <v/>
      </c>
      <c r="AM31" s="1" t="str">
        <f>IF(AND(AND(AND(AM$4&gt;='2025'!$L31,AM$4&lt;='2025'!$M31), AM$4&lt;&gt;DATE(2025,7,4)), (SWITCH(weekday(AM$4), 1, 0, 2, if(ISBLANK('2025'!$P31), 0, 1), 3, if(ISBLANK('2025'!$Q31), 0, 1), 4, if(ISBLANK('2025'!$R31), 0, 1), 5, if(ISBLANK('2025'!$S31), 0, 1), 6, if(ISBLANK('2025'!$T31), 0, 1), 7, 0))), 1, "")</f>
        <v/>
      </c>
      <c r="AN31" s="1" t="str">
        <f>IF(AND(AND(AND(AN$4&gt;='2025'!$L31,AN$4&lt;='2025'!$M31), AN$4&lt;&gt;DATE(2025,7,4)), (SWITCH(weekday(AN$4), 1, 0, 2, if(ISBLANK('2025'!$P31), 0, 1), 3, if(ISBLANK('2025'!$Q31), 0, 1), 4, if(ISBLANK('2025'!$R31), 0, 1), 5, if(ISBLANK('2025'!$S31), 0, 1), 6, if(ISBLANK('2025'!$T31), 0, 1), 7, 0))), 1, "")</f>
        <v/>
      </c>
      <c r="AO31" s="1" t="str">
        <f>IF(AND(AND(AND(AO$4&gt;='2025'!$L31,AO$4&lt;='2025'!$M31), AO$4&lt;&gt;DATE(2025,7,4)), (SWITCH(weekday(AO$4), 1, 0, 2, if(ISBLANK('2025'!$P31), 0, 1), 3, if(ISBLANK('2025'!$Q31), 0, 1), 4, if(ISBLANK('2025'!$R31), 0, 1), 5, if(ISBLANK('2025'!$S31), 0, 1), 6, if(ISBLANK('2025'!$T31), 0, 1), 7, 0))), 1, "")</f>
        <v/>
      </c>
      <c r="AP31" s="1" t="str">
        <f>IF(AND(AND(AND(AP$4&gt;='2025'!$L31,AP$4&lt;='2025'!$M31), AP$4&lt;&gt;DATE(2025,7,4)), (SWITCH(weekday(AP$4), 1, 0, 2, if(ISBLANK('2025'!$P31), 0, 1), 3, if(ISBLANK('2025'!$Q31), 0, 1), 4, if(ISBLANK('2025'!$R31), 0, 1), 5, if(ISBLANK('2025'!$S31), 0, 1), 6, if(ISBLANK('2025'!$T31), 0, 1), 7, 0))), 1, "")</f>
        <v/>
      </c>
      <c r="AQ31" s="1" t="str">
        <f>IF(AND(AND(AND(AQ$4&gt;='2025'!$L31,AQ$4&lt;='2025'!$M31), AQ$4&lt;&gt;DATE(2025,7,4)), (SWITCH(weekday(AQ$4), 1, 0, 2, if(ISBLANK('2025'!$P31), 0, 1), 3, if(ISBLANK('2025'!$Q31), 0, 1), 4, if(ISBLANK('2025'!$R31), 0, 1), 5, if(ISBLANK('2025'!$S31), 0, 1), 6, if(ISBLANK('2025'!$T31), 0, 1), 7, 0))), 1, "")</f>
        <v/>
      </c>
      <c r="AR31" s="1" t="str">
        <f>IF(AND(AND(AND(AR$4&gt;='2025'!$L31,AR$4&lt;='2025'!$M31), AR$4&lt;&gt;DATE(2025,7,4)), (SWITCH(weekday(AR$4), 1, 0, 2, if(ISBLANK('2025'!$P31), 0, 1), 3, if(ISBLANK('2025'!$Q31), 0, 1), 4, if(ISBLANK('2025'!$R31), 0, 1), 5, if(ISBLANK('2025'!$S31), 0, 1), 6, if(ISBLANK('2025'!$T31), 0, 1), 7, 0))), 1, "")</f>
        <v/>
      </c>
      <c r="AS31" s="1" t="str">
        <f>IF(AND(AND(AND(AS$4&gt;='2025'!$L31,AS$4&lt;='2025'!$M31), AS$4&lt;&gt;DATE(2025,7,4)), (SWITCH(weekday(AS$4), 1, 0, 2, if(ISBLANK('2025'!$P31), 0, 1), 3, if(ISBLANK('2025'!$Q31), 0, 1), 4, if(ISBLANK('2025'!$R31), 0, 1), 5, if(ISBLANK('2025'!$S31), 0, 1), 6, if(ISBLANK('2025'!$T31), 0, 1), 7, 0))), 1, "")</f>
        <v/>
      </c>
      <c r="AT31" s="1" t="str">
        <f>IF(AND(AND(AND(AT$4&gt;='2025'!$L31,AT$4&lt;='2025'!$M31), AT$4&lt;&gt;DATE(2025,7,4)), (SWITCH(weekday(AT$4), 1, 0, 2, if(ISBLANK('2025'!$P31), 0, 1), 3, if(ISBLANK('2025'!$Q31), 0, 1), 4, if(ISBLANK('2025'!$R31), 0, 1), 5, if(ISBLANK('2025'!$S31), 0, 1), 6, if(ISBLANK('2025'!$T31), 0, 1), 7, 0))), 1, "")</f>
        <v/>
      </c>
      <c r="AU31" s="1" t="str">
        <f>IF(AND(AND(AND(AU$4&gt;='2025'!$L31,AU$4&lt;='2025'!$M31), AU$4&lt;&gt;DATE(2025,7,4)), (SWITCH(weekday(AU$4), 1, 0, 2, if(ISBLANK('2025'!$P31), 0, 1), 3, if(ISBLANK('2025'!$Q31), 0, 1), 4, if(ISBLANK('2025'!$R31), 0, 1), 5, if(ISBLANK('2025'!$S31), 0, 1), 6, if(ISBLANK('2025'!$T31), 0, 1), 7, 0))), 1, "")</f>
        <v/>
      </c>
      <c r="AV31" s="1" t="str">
        <f>IF(AND(AND(AND(AV$4&gt;='2025'!$L31,AV$4&lt;='2025'!$M31), AV$4&lt;&gt;DATE(2025,7,4)), (SWITCH(weekday(AV$4), 1, 0, 2, if(ISBLANK('2025'!$P31), 0, 1), 3, if(ISBLANK('2025'!$Q31), 0, 1), 4, if(ISBLANK('2025'!$R31), 0, 1), 5, if(ISBLANK('2025'!$S31), 0, 1), 6, if(ISBLANK('2025'!$T31), 0, 1), 7, 0))), 1, "")</f>
        <v/>
      </c>
      <c r="AW31" s="1" t="str">
        <f>IF(AND(AND(AND(AW$4&gt;='2025'!$L31,AW$4&lt;='2025'!$M31), AW$4&lt;&gt;DATE(2025,7,4)), (SWITCH(weekday(AW$4), 1, 0, 2, if(ISBLANK('2025'!$P31), 0, 1), 3, if(ISBLANK('2025'!$Q31), 0, 1), 4, if(ISBLANK('2025'!$R31), 0, 1), 5, if(ISBLANK('2025'!$S31), 0, 1), 6, if(ISBLANK('2025'!$T31), 0, 1), 7, 0))), 1, "")</f>
        <v/>
      </c>
      <c r="AX31" s="1" t="str">
        <f>IF(AND(AND(AND(AX$4&gt;='2025'!$L31,AX$4&lt;='2025'!$M31), AX$4&lt;&gt;DATE(2025,7,4)), (SWITCH(weekday(AX$4), 1, 0, 2, if(ISBLANK('2025'!$P31), 0, 1), 3, if(ISBLANK('2025'!$Q31), 0, 1), 4, if(ISBLANK('2025'!$R31), 0, 1), 5, if(ISBLANK('2025'!$S31), 0, 1), 6, if(ISBLANK('2025'!$T31), 0, 1), 7, 0))), 1, "")</f>
        <v/>
      </c>
      <c r="AY31" s="1" t="str">
        <f>IF(AND(AND(AND(AY$4&gt;='2025'!$L31,AY$4&lt;='2025'!$M31), AY$4&lt;&gt;DATE(2025,7,4)), (SWITCH(weekday(AY$4), 1, 0, 2, if(ISBLANK('2025'!$P31), 0, 1), 3, if(ISBLANK('2025'!$Q31), 0, 1), 4, if(ISBLANK('2025'!$R31), 0, 1), 5, if(ISBLANK('2025'!$S31), 0, 1), 6, if(ISBLANK('2025'!$T31), 0, 1), 7, 0))), 1, "")</f>
        <v/>
      </c>
      <c r="AZ31" s="1" t="str">
        <f>IF(AND(AND(AND(AZ$4&gt;='2025'!$L31,AZ$4&lt;='2025'!$M31), AZ$4&lt;&gt;DATE(2025,7,4)), (SWITCH(weekday(AZ$4), 1, 0, 2, if(ISBLANK('2025'!$P31), 0, 1), 3, if(ISBLANK('2025'!$Q31), 0, 1), 4, if(ISBLANK('2025'!$R31), 0, 1), 5, if(ISBLANK('2025'!$S31), 0, 1), 6, if(ISBLANK('2025'!$T31), 0, 1), 7, 0))), 1, "")</f>
        <v/>
      </c>
      <c r="BA31" s="1" t="str">
        <f>IF(AND(AND(AND(BA$4&gt;='2025'!$L31,BA$4&lt;='2025'!$M31), BA$4&lt;&gt;DATE(2025,7,4)), (SWITCH(weekday(BA$4), 1, 0, 2, if(ISBLANK('2025'!$P31), 0, 1), 3, if(ISBLANK('2025'!$Q31), 0, 1), 4, if(ISBLANK('2025'!$R31), 0, 1), 5, if(ISBLANK('2025'!$S31), 0, 1), 6, if(ISBLANK('2025'!$T31), 0, 1), 7, 0))), 1, "")</f>
        <v/>
      </c>
      <c r="BB31" s="1" t="str">
        <f>IF(AND(AND(AND(BB$4&gt;='2025'!$L31,BB$4&lt;='2025'!$M31), BB$4&lt;&gt;DATE(2025,7,4)), (SWITCH(weekday(BB$4), 1, 0, 2, if(ISBLANK('2025'!$P31), 0, 1), 3, if(ISBLANK('2025'!$Q31), 0, 1), 4, if(ISBLANK('2025'!$R31), 0, 1), 5, if(ISBLANK('2025'!$S31), 0, 1), 6, if(ISBLANK('2025'!$T31), 0, 1), 7, 0))), 1, "")</f>
        <v/>
      </c>
      <c r="BC31" s="1" t="str">
        <f>IF(AND(AND(AND(BC$4&gt;='2025'!$L31,BC$4&lt;='2025'!$M31), BC$4&lt;&gt;DATE(2025,7,4)), (SWITCH(weekday(BC$4), 1, 0, 2, if(ISBLANK('2025'!$P31), 0, 1), 3, if(ISBLANK('2025'!$Q31), 0, 1), 4, if(ISBLANK('2025'!$R31), 0, 1), 5, if(ISBLANK('2025'!$S31), 0, 1), 6, if(ISBLANK('2025'!$T31), 0, 1), 7, 0))), 1, "")</f>
        <v/>
      </c>
      <c r="BD31" s="1" t="str">
        <f>IF(AND(AND(AND(BD$4&gt;='2025'!$L31,BD$4&lt;='2025'!$M31), BD$4&lt;&gt;DATE(2025,7,4)), (SWITCH(weekday(BD$4), 1, 0, 2, if(ISBLANK('2025'!$P31), 0, 1), 3, if(ISBLANK('2025'!$Q31), 0, 1), 4, if(ISBLANK('2025'!$R31), 0, 1), 5, if(ISBLANK('2025'!$S31), 0, 1), 6, if(ISBLANK('2025'!$T31), 0, 1), 7, 0))), 1, "")</f>
        <v/>
      </c>
      <c r="BE31" s="1" t="str">
        <f>IF(AND(AND(AND(BE$4&gt;='2025'!$L31,BE$4&lt;='2025'!$M31), BE$4&lt;&gt;DATE(2025,7,4)), (SWITCH(weekday(BE$4), 1, 0, 2, if(ISBLANK('2025'!$P31), 0, 1), 3, if(ISBLANK('2025'!$Q31), 0, 1), 4, if(ISBLANK('2025'!$R31), 0, 1), 5, if(ISBLANK('2025'!$S31), 0, 1), 6, if(ISBLANK('2025'!$T31), 0, 1), 7, 0))), 1, "")</f>
        <v/>
      </c>
      <c r="BF31" s="1" t="str">
        <f>IF(AND(AND(AND(BF$4&gt;='2025'!$L31,BF$4&lt;='2025'!$M31), BF$4&lt;&gt;DATE(2025,7,4)), (SWITCH(weekday(BF$4), 1, 0, 2, if(ISBLANK('2025'!$P31), 0, 1), 3, if(ISBLANK('2025'!$Q31), 0, 1), 4, if(ISBLANK('2025'!$R31), 0, 1), 5, if(ISBLANK('2025'!$S31), 0, 1), 6, if(ISBLANK('2025'!$T31), 0, 1), 7, 0))), 1, "")</f>
        <v/>
      </c>
      <c r="BG31" s="1"/>
      <c r="BH31" s="1"/>
      <c r="BI31" s="1"/>
      <c r="BJ31" s="1"/>
      <c r="BK31" s="1"/>
      <c r="BL31" s="1"/>
    </row>
    <row r="32">
      <c r="A32" s="1">
        <f t="shared" si="3"/>
        <v>32</v>
      </c>
      <c r="B32" s="1" t="str">
        <f>'2025'!D32</f>
        <v>Sudek, Mason</v>
      </c>
      <c r="C32" s="1" t="str">
        <f>'2025'!H32</f>
        <v/>
      </c>
      <c r="D32" s="1" t="str">
        <f>IF(AND(AND(AND(D$4&gt;='2025'!$L32,D$4&lt;='2025'!$M32), D$4&lt;&gt;DATE(2025,7,4)), (SWITCH(weekday(D$4), 1, 0, 2, if(ISBLANK('2025'!$P32), 0, 1), 3, if(ISBLANK('2025'!$Q32), 0, 1), 4, if(ISBLANK('2025'!$R32), 0, 1), 5, if(ISBLANK('2025'!$S32), 0, 1), 6, if(ISBLANK('2025'!$T32), 0, 1), 7, 0))), 1, "")</f>
        <v/>
      </c>
      <c r="E32" s="1" t="str">
        <f>IF(AND(AND(AND(E$4&gt;='2025'!$L32,E$4&lt;='2025'!$M32), E$4&lt;&gt;DATE(2025,7,4)), (SWITCH(weekday(E$4), 1, 0, 2, if(ISBLANK('2025'!$P32), 0, 1), 3, if(ISBLANK('2025'!$Q32), 0, 1), 4, if(ISBLANK('2025'!$R32), 0, 1), 5, if(ISBLANK('2025'!$S32), 0, 1), 6, if(ISBLANK('2025'!$T32), 0, 1), 7, 0))), 1, "")</f>
        <v/>
      </c>
      <c r="F32" s="1" t="str">
        <f>IF(AND(AND(AND(F$4&gt;='2025'!$L32,F$4&lt;='2025'!$M32), F$4&lt;&gt;DATE(2025,7,4)), (SWITCH(weekday(F$4), 1, 0, 2, if(ISBLANK('2025'!$P32), 0, 1), 3, if(ISBLANK('2025'!$Q32), 0, 1), 4, if(ISBLANK('2025'!$R32), 0, 1), 5, if(ISBLANK('2025'!$S32), 0, 1), 6, if(ISBLANK('2025'!$T32), 0, 1), 7, 0))), 1, "")</f>
        <v/>
      </c>
      <c r="G32" s="1" t="str">
        <f>IF(AND(AND(AND(G$4&gt;='2025'!$L32,G$4&lt;='2025'!$M32), G$4&lt;&gt;DATE(2025,7,4)), (SWITCH(weekday(G$4), 1, 0, 2, if(ISBLANK('2025'!$P32), 0, 1), 3, if(ISBLANK('2025'!$Q32), 0, 1), 4, if(ISBLANK('2025'!$R32), 0, 1), 5, if(ISBLANK('2025'!$S32), 0, 1), 6, if(ISBLANK('2025'!$T32), 0, 1), 7, 0))), 1, "")</f>
        <v/>
      </c>
      <c r="H32" s="1" t="str">
        <f>IF(AND(AND(AND(H$4&gt;='2025'!$L32,H$4&lt;='2025'!$M32), H$4&lt;&gt;DATE(2025,7,4)), (SWITCH(weekday(H$4), 1, 0, 2, if(ISBLANK('2025'!$P32), 0, 1), 3, if(ISBLANK('2025'!$Q32), 0, 1), 4, if(ISBLANK('2025'!$R32), 0, 1), 5, if(ISBLANK('2025'!$S32), 0, 1), 6, if(ISBLANK('2025'!$T32), 0, 1), 7, 0))), 1, "")</f>
        <v/>
      </c>
      <c r="I32" s="1" t="str">
        <f>IF(AND(AND(AND(I$4&gt;='2025'!$L32,I$4&lt;='2025'!$M32), I$4&lt;&gt;DATE(2025,7,4)), (SWITCH(weekday(I$4), 1, 0, 2, if(ISBLANK('2025'!$P32), 0, 1), 3, if(ISBLANK('2025'!$Q32), 0, 1), 4, if(ISBLANK('2025'!$R32), 0, 1), 5, if(ISBLANK('2025'!$S32), 0, 1), 6, if(ISBLANK('2025'!$T32), 0, 1), 7, 0))), 1, "")</f>
        <v/>
      </c>
      <c r="J32" s="1" t="str">
        <f>IF(AND(AND(AND(J$4&gt;='2025'!$L32,J$4&lt;='2025'!$M32), J$4&lt;&gt;DATE(2025,7,4)), (SWITCH(weekday(J$4), 1, 0, 2, if(ISBLANK('2025'!$P32), 0, 1), 3, if(ISBLANK('2025'!$Q32), 0, 1), 4, if(ISBLANK('2025'!$R32), 0, 1), 5, if(ISBLANK('2025'!$S32), 0, 1), 6, if(ISBLANK('2025'!$T32), 0, 1), 7, 0))), 1, "")</f>
        <v/>
      </c>
      <c r="K32" s="1" t="str">
        <f>IF(AND(AND(AND(K$4&gt;='2025'!$L32,K$4&lt;='2025'!$M32), K$4&lt;&gt;DATE(2025,7,4)), (SWITCH(weekday(K$4), 1, 0, 2, if(ISBLANK('2025'!$P32), 0, 1), 3, if(ISBLANK('2025'!$Q32), 0, 1), 4, if(ISBLANK('2025'!$R32), 0, 1), 5, if(ISBLANK('2025'!$S32), 0, 1), 6, if(ISBLANK('2025'!$T32), 0, 1), 7, 0))), 1, "")</f>
        <v/>
      </c>
      <c r="L32" s="1" t="str">
        <f>IF(AND(AND(AND(L$4&gt;='2025'!$L32,L$4&lt;='2025'!$M32), L$4&lt;&gt;DATE(2025,7,4)), (SWITCH(weekday(L$4), 1, 0, 2, if(ISBLANK('2025'!$P32), 0, 1), 3, if(ISBLANK('2025'!$Q32), 0, 1), 4, if(ISBLANK('2025'!$R32), 0, 1), 5, if(ISBLANK('2025'!$S32), 0, 1), 6, if(ISBLANK('2025'!$T32), 0, 1), 7, 0))), 1, "")</f>
        <v/>
      </c>
      <c r="M32" s="1" t="str">
        <f>IF(AND(AND(AND(M$4&gt;='2025'!$L32,M$4&lt;='2025'!$M32), M$4&lt;&gt;DATE(2025,7,4)), (SWITCH(weekday(M$4), 1, 0, 2, if(ISBLANK('2025'!$P32), 0, 1), 3, if(ISBLANK('2025'!$Q32), 0, 1), 4, if(ISBLANK('2025'!$R32), 0, 1), 5, if(ISBLANK('2025'!$S32), 0, 1), 6, if(ISBLANK('2025'!$T32), 0, 1), 7, 0))), 1, "")</f>
        <v/>
      </c>
      <c r="N32" s="1" t="str">
        <f>IF(AND(AND(AND(N$4&gt;='2025'!$L32,N$4&lt;='2025'!$M32), N$4&lt;&gt;DATE(2025,7,4)), (SWITCH(weekday(N$4), 1, 0, 2, if(ISBLANK('2025'!$P32), 0, 1), 3, if(ISBLANK('2025'!$Q32), 0, 1), 4, if(ISBLANK('2025'!$R32), 0, 1), 5, if(ISBLANK('2025'!$S32), 0, 1), 6, if(ISBLANK('2025'!$T32), 0, 1), 7, 0))), 1, "")</f>
        <v/>
      </c>
      <c r="O32" s="1" t="str">
        <f>IF(AND(AND(AND(O$4&gt;='2025'!$L32,O$4&lt;='2025'!$M32), O$4&lt;&gt;DATE(2025,7,4)), (SWITCH(weekday(O$4), 1, 0, 2, if(ISBLANK('2025'!$P32), 0, 1), 3, if(ISBLANK('2025'!$Q32), 0, 1), 4, if(ISBLANK('2025'!$R32), 0, 1), 5, if(ISBLANK('2025'!$S32), 0, 1), 6, if(ISBLANK('2025'!$T32), 0, 1), 7, 0))), 1, "")</f>
        <v/>
      </c>
      <c r="P32" s="1" t="str">
        <f>IF(AND(AND(AND(P$4&gt;='2025'!$L32,P$4&lt;='2025'!$M32), P$4&lt;&gt;DATE(2025,7,4)), (SWITCH(weekday(P$4), 1, 0, 2, if(ISBLANK('2025'!$P32), 0, 1), 3, if(ISBLANK('2025'!$Q32), 0, 1), 4, if(ISBLANK('2025'!$R32), 0, 1), 5, if(ISBLANK('2025'!$S32), 0, 1), 6, if(ISBLANK('2025'!$T32), 0, 1), 7, 0))), 1, "")</f>
        <v/>
      </c>
      <c r="Q32" s="1" t="str">
        <f>IF(AND(AND(AND(Q$4&gt;='2025'!$L32,Q$4&lt;='2025'!$M32), Q$4&lt;&gt;DATE(2025,7,4)), (SWITCH(weekday(Q$4), 1, 0, 2, if(ISBLANK('2025'!$P32), 0, 1), 3, if(ISBLANK('2025'!$Q32), 0, 1), 4, if(ISBLANK('2025'!$R32), 0, 1), 5, if(ISBLANK('2025'!$S32), 0, 1), 6, if(ISBLANK('2025'!$T32), 0, 1), 7, 0))), 1, "")</f>
        <v/>
      </c>
      <c r="R32" s="1" t="str">
        <f>IF(AND(AND(AND(R$4&gt;='2025'!$L32,R$4&lt;='2025'!$M32), R$4&lt;&gt;DATE(2025,7,4)), (SWITCH(weekday(R$4), 1, 0, 2, if(ISBLANK('2025'!$P32), 0, 1), 3, if(ISBLANK('2025'!$Q32), 0, 1), 4, if(ISBLANK('2025'!$R32), 0, 1), 5, if(ISBLANK('2025'!$S32), 0, 1), 6, if(ISBLANK('2025'!$T32), 0, 1), 7, 0))), 1, "")</f>
        <v/>
      </c>
      <c r="S32" s="1" t="str">
        <f>IF(AND(AND(AND(S$4&gt;='2025'!$L32,S$4&lt;='2025'!$M32), S$4&lt;&gt;DATE(2025,7,4)), (SWITCH(weekday(S$4), 1, 0, 2, if(ISBLANK('2025'!$P32), 0, 1), 3, if(ISBLANK('2025'!$Q32), 0, 1), 4, if(ISBLANK('2025'!$R32), 0, 1), 5, if(ISBLANK('2025'!$S32), 0, 1), 6, if(ISBLANK('2025'!$T32), 0, 1), 7, 0))), 1, "")</f>
        <v/>
      </c>
      <c r="T32" s="1" t="str">
        <f>IF(AND(AND(AND(T$4&gt;='2025'!$L32,T$4&lt;='2025'!$M32), T$4&lt;&gt;DATE(2025,7,4)), (SWITCH(weekday(T$4), 1, 0, 2, if(ISBLANK('2025'!$P32), 0, 1), 3, if(ISBLANK('2025'!$Q32), 0, 1), 4, if(ISBLANK('2025'!$R32), 0, 1), 5, if(ISBLANK('2025'!$S32), 0, 1), 6, if(ISBLANK('2025'!$T32), 0, 1), 7, 0))), 1, "")</f>
        <v/>
      </c>
      <c r="U32" s="1" t="str">
        <f>IF(AND(AND(AND(U$4&gt;='2025'!$L32,U$4&lt;='2025'!$M32), U$4&lt;&gt;DATE(2025,7,4)), (SWITCH(weekday(U$4), 1, 0, 2, if(ISBLANK('2025'!$P32), 0, 1), 3, if(ISBLANK('2025'!$Q32), 0, 1), 4, if(ISBLANK('2025'!$R32), 0, 1), 5, if(ISBLANK('2025'!$S32), 0, 1), 6, if(ISBLANK('2025'!$T32), 0, 1), 7, 0))), 1, "")</f>
        <v/>
      </c>
      <c r="V32" s="1" t="str">
        <f>IF(AND(AND(AND(V$4&gt;='2025'!$L32,V$4&lt;='2025'!$M32), V$4&lt;&gt;DATE(2025,7,4)), (SWITCH(weekday(V$4), 1, 0, 2, if(ISBLANK('2025'!$P32), 0, 1), 3, if(ISBLANK('2025'!$Q32), 0, 1), 4, if(ISBLANK('2025'!$R32), 0, 1), 5, if(ISBLANK('2025'!$S32), 0, 1), 6, if(ISBLANK('2025'!$T32), 0, 1), 7, 0))), 1, "")</f>
        <v/>
      </c>
      <c r="W32" s="1" t="str">
        <f>IF(AND(AND(AND(W$4&gt;='2025'!$L32,W$4&lt;='2025'!$M32), W$4&lt;&gt;DATE(2025,7,4)), (SWITCH(weekday(W$4), 1, 0, 2, if(ISBLANK('2025'!$P32), 0, 1), 3, if(ISBLANK('2025'!$Q32), 0, 1), 4, if(ISBLANK('2025'!$R32), 0, 1), 5, if(ISBLANK('2025'!$S32), 0, 1), 6, if(ISBLANK('2025'!$T32), 0, 1), 7, 0))), 1, "")</f>
        <v/>
      </c>
      <c r="X32" s="1" t="str">
        <f>IF(AND(AND(AND(X$4&gt;='2025'!$L32,X$4&lt;='2025'!$M32), X$4&lt;&gt;DATE(2025,7,4)), (SWITCH(weekday(X$4), 1, 0, 2, if(ISBLANK('2025'!$P32), 0, 1), 3, if(ISBLANK('2025'!$Q32), 0, 1), 4, if(ISBLANK('2025'!$R32), 0, 1), 5, if(ISBLANK('2025'!$S32), 0, 1), 6, if(ISBLANK('2025'!$T32), 0, 1), 7, 0))), 1, "")</f>
        <v/>
      </c>
      <c r="Y32" s="1" t="str">
        <f>IF(AND(AND(AND(Y$4&gt;='2025'!$L32,Y$4&lt;='2025'!$M32), Y$4&lt;&gt;DATE(2025,7,4)), (SWITCH(weekday(Y$4), 1, 0, 2, if(ISBLANK('2025'!$P32), 0, 1), 3, if(ISBLANK('2025'!$Q32), 0, 1), 4, if(ISBLANK('2025'!$R32), 0, 1), 5, if(ISBLANK('2025'!$S32), 0, 1), 6, if(ISBLANK('2025'!$T32), 0, 1), 7, 0))), 1, "")</f>
        <v/>
      </c>
      <c r="Z32" s="1" t="str">
        <f>IF(AND(AND(AND(Z$4&gt;='2025'!$L32,Z$4&lt;='2025'!$M32), Z$4&lt;&gt;DATE(2025,7,4)), (SWITCH(weekday(Z$4), 1, 0, 2, if(ISBLANK('2025'!$P32), 0, 1), 3, if(ISBLANK('2025'!$Q32), 0, 1), 4, if(ISBLANK('2025'!$R32), 0, 1), 5, if(ISBLANK('2025'!$S32), 0, 1), 6, if(ISBLANK('2025'!$T32), 0, 1), 7, 0))), 1, "")</f>
        <v/>
      </c>
      <c r="AA32" s="1" t="str">
        <f>IF(AND(AND(AND(AA$4&gt;='2025'!$L32,AA$4&lt;='2025'!$M32), AA$4&lt;&gt;DATE(2025,7,4)), (SWITCH(weekday(AA$4), 1, 0, 2, if(ISBLANK('2025'!$P32), 0, 1), 3, if(ISBLANK('2025'!$Q32), 0, 1), 4, if(ISBLANK('2025'!$R32), 0, 1), 5, if(ISBLANK('2025'!$S32), 0, 1), 6, if(ISBLANK('2025'!$T32), 0, 1), 7, 0))), 1, "")</f>
        <v/>
      </c>
      <c r="AB32" s="1" t="str">
        <f>IF(AND(AND(AND(AB$4&gt;='2025'!$L32,AB$4&lt;='2025'!$M32), AB$4&lt;&gt;DATE(2025,7,4)), (SWITCH(weekday(AB$4), 1, 0, 2, if(ISBLANK('2025'!$P32), 0, 1), 3, if(ISBLANK('2025'!$Q32), 0, 1), 4, if(ISBLANK('2025'!$R32), 0, 1), 5, if(ISBLANK('2025'!$S32), 0, 1), 6, if(ISBLANK('2025'!$T32), 0, 1), 7, 0))), 1, "")</f>
        <v/>
      </c>
      <c r="AC32" s="1" t="str">
        <f>IF(AND(AND(AND(AC$4&gt;='2025'!$L32,AC$4&lt;='2025'!$M32), AC$4&lt;&gt;DATE(2025,7,4)), (SWITCH(weekday(AC$4), 1, 0, 2, if(ISBLANK('2025'!$P32), 0, 1), 3, if(ISBLANK('2025'!$Q32), 0, 1), 4, if(ISBLANK('2025'!$R32), 0, 1), 5, if(ISBLANK('2025'!$S32), 0, 1), 6, if(ISBLANK('2025'!$T32), 0, 1), 7, 0))), 1, "")</f>
        <v/>
      </c>
      <c r="AD32" s="1" t="str">
        <f>IF(AND(AND(AND(AD$4&gt;='2025'!$L32,AD$4&lt;='2025'!$M32), AD$4&lt;&gt;DATE(2025,7,4)), (SWITCH(weekday(AD$4), 1, 0, 2, if(ISBLANK('2025'!$P32), 0, 1), 3, if(ISBLANK('2025'!$Q32), 0, 1), 4, if(ISBLANK('2025'!$R32), 0, 1), 5, if(ISBLANK('2025'!$S32), 0, 1), 6, if(ISBLANK('2025'!$T32), 0, 1), 7, 0))), 1, "")</f>
        <v/>
      </c>
      <c r="AE32" s="1" t="str">
        <f>IF(AND(AND(AND(AE$4&gt;='2025'!$L32,AE$4&lt;='2025'!$M32), AE$4&lt;&gt;DATE(2025,7,4)), (SWITCH(weekday(AE$4), 1, 0, 2, if(ISBLANK('2025'!$P32), 0, 1), 3, if(ISBLANK('2025'!$Q32), 0, 1), 4, if(ISBLANK('2025'!$R32), 0, 1), 5, if(ISBLANK('2025'!$S32), 0, 1), 6, if(ISBLANK('2025'!$T32), 0, 1), 7, 0))), 1, "")</f>
        <v/>
      </c>
      <c r="AF32" s="1" t="str">
        <f>IF(AND(AND(AND(AF$4&gt;='2025'!$L32,AF$4&lt;='2025'!$M32), AF$4&lt;&gt;DATE(2025,7,4)), (SWITCH(weekday(AF$4), 1, 0, 2, if(ISBLANK('2025'!$P32), 0, 1), 3, if(ISBLANK('2025'!$Q32), 0, 1), 4, if(ISBLANK('2025'!$R32), 0, 1), 5, if(ISBLANK('2025'!$S32), 0, 1), 6, if(ISBLANK('2025'!$T32), 0, 1), 7, 0))), 1, "")</f>
        <v/>
      </c>
      <c r="AG32" s="1" t="str">
        <f>IF(AND(AND(AND(AG$4&gt;='2025'!$L32,AG$4&lt;='2025'!$M32), AG$4&lt;&gt;DATE(2025,7,4)), (SWITCH(weekday(AG$4), 1, 0, 2, if(ISBLANK('2025'!$P32), 0, 1), 3, if(ISBLANK('2025'!$Q32), 0, 1), 4, if(ISBLANK('2025'!$R32), 0, 1), 5, if(ISBLANK('2025'!$S32), 0, 1), 6, if(ISBLANK('2025'!$T32), 0, 1), 7, 0))), 1, "")</f>
        <v/>
      </c>
      <c r="AH32" s="1" t="str">
        <f>IF(AND(AND(AND(AH$4&gt;='2025'!$L32,AH$4&lt;='2025'!$M32), AH$4&lt;&gt;DATE(2025,7,4)), (SWITCH(weekday(AH$4), 1, 0, 2, if(ISBLANK('2025'!$P32), 0, 1), 3, if(ISBLANK('2025'!$Q32), 0, 1), 4, if(ISBLANK('2025'!$R32), 0, 1), 5, if(ISBLANK('2025'!$S32), 0, 1), 6, if(ISBLANK('2025'!$T32), 0, 1), 7, 0))), 1, "")</f>
        <v/>
      </c>
      <c r="AI32" s="1" t="str">
        <f>IF(AND(AND(AND(AI$4&gt;='2025'!$L32,AI$4&lt;='2025'!$M32), AI$4&lt;&gt;DATE(2025,7,4)), (SWITCH(weekday(AI$4), 1, 0, 2, if(ISBLANK('2025'!$P32), 0, 1), 3, if(ISBLANK('2025'!$Q32), 0, 1), 4, if(ISBLANK('2025'!$R32), 0, 1), 5, if(ISBLANK('2025'!$S32), 0, 1), 6, if(ISBLANK('2025'!$T32), 0, 1), 7, 0))), 1, "")</f>
        <v/>
      </c>
      <c r="AJ32" s="1" t="str">
        <f>IF(AND(AND(AND(AJ$4&gt;='2025'!$L32,AJ$4&lt;='2025'!$M32), AJ$4&lt;&gt;DATE(2025,7,4)), (SWITCH(weekday(AJ$4), 1, 0, 2, if(ISBLANK('2025'!$P32), 0, 1), 3, if(ISBLANK('2025'!$Q32), 0, 1), 4, if(ISBLANK('2025'!$R32), 0, 1), 5, if(ISBLANK('2025'!$S32), 0, 1), 6, if(ISBLANK('2025'!$T32), 0, 1), 7, 0))), 1, "")</f>
        <v/>
      </c>
      <c r="AK32" s="1" t="str">
        <f>IF(AND(AND(AND(AK$4&gt;='2025'!$L32,AK$4&lt;='2025'!$M32), AK$4&lt;&gt;DATE(2025,7,4)), (SWITCH(weekday(AK$4), 1, 0, 2, if(ISBLANK('2025'!$P32), 0, 1), 3, if(ISBLANK('2025'!$Q32), 0, 1), 4, if(ISBLANK('2025'!$R32), 0, 1), 5, if(ISBLANK('2025'!$S32), 0, 1), 6, if(ISBLANK('2025'!$T32), 0, 1), 7, 0))), 1, "")</f>
        <v/>
      </c>
      <c r="AL32" s="1" t="str">
        <f>IF(AND(AND(AND(AL$4&gt;='2025'!$L32,AL$4&lt;='2025'!$M32), AL$4&lt;&gt;DATE(2025,7,4)), (SWITCH(weekday(AL$4), 1, 0, 2, if(ISBLANK('2025'!$P32), 0, 1), 3, if(ISBLANK('2025'!$Q32), 0, 1), 4, if(ISBLANK('2025'!$R32), 0, 1), 5, if(ISBLANK('2025'!$S32), 0, 1), 6, if(ISBLANK('2025'!$T32), 0, 1), 7, 0))), 1, "")</f>
        <v/>
      </c>
      <c r="AM32" s="1" t="str">
        <f>IF(AND(AND(AND(AM$4&gt;='2025'!$L32,AM$4&lt;='2025'!$M32), AM$4&lt;&gt;DATE(2025,7,4)), (SWITCH(weekday(AM$4), 1, 0, 2, if(ISBLANK('2025'!$P32), 0, 1), 3, if(ISBLANK('2025'!$Q32), 0, 1), 4, if(ISBLANK('2025'!$R32), 0, 1), 5, if(ISBLANK('2025'!$S32), 0, 1), 6, if(ISBLANK('2025'!$T32), 0, 1), 7, 0))), 1, "")</f>
        <v/>
      </c>
      <c r="AN32" s="1" t="str">
        <f>IF(AND(AND(AND(AN$4&gt;='2025'!$L32,AN$4&lt;='2025'!$M32), AN$4&lt;&gt;DATE(2025,7,4)), (SWITCH(weekday(AN$4), 1, 0, 2, if(ISBLANK('2025'!$P32), 0, 1), 3, if(ISBLANK('2025'!$Q32), 0, 1), 4, if(ISBLANK('2025'!$R32), 0, 1), 5, if(ISBLANK('2025'!$S32), 0, 1), 6, if(ISBLANK('2025'!$T32), 0, 1), 7, 0))), 1, "")</f>
        <v/>
      </c>
      <c r="AO32" s="1" t="str">
        <f>IF(AND(AND(AND(AO$4&gt;='2025'!$L32,AO$4&lt;='2025'!$M32), AO$4&lt;&gt;DATE(2025,7,4)), (SWITCH(weekday(AO$4), 1, 0, 2, if(ISBLANK('2025'!$P32), 0, 1), 3, if(ISBLANK('2025'!$Q32), 0, 1), 4, if(ISBLANK('2025'!$R32), 0, 1), 5, if(ISBLANK('2025'!$S32), 0, 1), 6, if(ISBLANK('2025'!$T32), 0, 1), 7, 0))), 1, "")</f>
        <v/>
      </c>
      <c r="AP32" s="1" t="str">
        <f>IF(AND(AND(AND(AP$4&gt;='2025'!$L32,AP$4&lt;='2025'!$M32), AP$4&lt;&gt;DATE(2025,7,4)), (SWITCH(weekday(AP$4), 1, 0, 2, if(ISBLANK('2025'!$P32), 0, 1), 3, if(ISBLANK('2025'!$Q32), 0, 1), 4, if(ISBLANK('2025'!$R32), 0, 1), 5, if(ISBLANK('2025'!$S32), 0, 1), 6, if(ISBLANK('2025'!$T32), 0, 1), 7, 0))), 1, "")</f>
        <v/>
      </c>
      <c r="AQ32" s="1" t="str">
        <f>IF(AND(AND(AND(AQ$4&gt;='2025'!$L32,AQ$4&lt;='2025'!$M32), AQ$4&lt;&gt;DATE(2025,7,4)), (SWITCH(weekday(AQ$4), 1, 0, 2, if(ISBLANK('2025'!$P32), 0, 1), 3, if(ISBLANK('2025'!$Q32), 0, 1), 4, if(ISBLANK('2025'!$R32), 0, 1), 5, if(ISBLANK('2025'!$S32), 0, 1), 6, if(ISBLANK('2025'!$T32), 0, 1), 7, 0))), 1, "")</f>
        <v/>
      </c>
      <c r="AR32" s="1" t="str">
        <f>IF(AND(AND(AND(AR$4&gt;='2025'!$L32,AR$4&lt;='2025'!$M32), AR$4&lt;&gt;DATE(2025,7,4)), (SWITCH(weekday(AR$4), 1, 0, 2, if(ISBLANK('2025'!$P32), 0, 1), 3, if(ISBLANK('2025'!$Q32), 0, 1), 4, if(ISBLANK('2025'!$R32), 0, 1), 5, if(ISBLANK('2025'!$S32), 0, 1), 6, if(ISBLANK('2025'!$T32), 0, 1), 7, 0))), 1, "")</f>
        <v/>
      </c>
      <c r="AS32" s="1" t="str">
        <f>IF(AND(AND(AND(AS$4&gt;='2025'!$L32,AS$4&lt;='2025'!$M32), AS$4&lt;&gt;DATE(2025,7,4)), (SWITCH(weekday(AS$4), 1, 0, 2, if(ISBLANK('2025'!$P32), 0, 1), 3, if(ISBLANK('2025'!$Q32), 0, 1), 4, if(ISBLANK('2025'!$R32), 0, 1), 5, if(ISBLANK('2025'!$S32), 0, 1), 6, if(ISBLANK('2025'!$T32), 0, 1), 7, 0))), 1, "")</f>
        <v/>
      </c>
      <c r="AT32" s="1" t="str">
        <f>IF(AND(AND(AND(AT$4&gt;='2025'!$L32,AT$4&lt;='2025'!$M32), AT$4&lt;&gt;DATE(2025,7,4)), (SWITCH(weekday(AT$4), 1, 0, 2, if(ISBLANK('2025'!$P32), 0, 1), 3, if(ISBLANK('2025'!$Q32), 0, 1), 4, if(ISBLANK('2025'!$R32), 0, 1), 5, if(ISBLANK('2025'!$S32), 0, 1), 6, if(ISBLANK('2025'!$T32), 0, 1), 7, 0))), 1, "")</f>
        <v/>
      </c>
      <c r="AU32" s="1" t="str">
        <f>IF(AND(AND(AND(AU$4&gt;='2025'!$L32,AU$4&lt;='2025'!$M32), AU$4&lt;&gt;DATE(2025,7,4)), (SWITCH(weekday(AU$4), 1, 0, 2, if(ISBLANK('2025'!$P32), 0, 1), 3, if(ISBLANK('2025'!$Q32), 0, 1), 4, if(ISBLANK('2025'!$R32), 0, 1), 5, if(ISBLANK('2025'!$S32), 0, 1), 6, if(ISBLANK('2025'!$T32), 0, 1), 7, 0))), 1, "")</f>
        <v/>
      </c>
      <c r="AV32" s="1" t="str">
        <f>IF(AND(AND(AND(AV$4&gt;='2025'!$L32,AV$4&lt;='2025'!$M32), AV$4&lt;&gt;DATE(2025,7,4)), (SWITCH(weekday(AV$4), 1, 0, 2, if(ISBLANK('2025'!$P32), 0, 1), 3, if(ISBLANK('2025'!$Q32), 0, 1), 4, if(ISBLANK('2025'!$R32), 0, 1), 5, if(ISBLANK('2025'!$S32), 0, 1), 6, if(ISBLANK('2025'!$T32), 0, 1), 7, 0))), 1, "")</f>
        <v/>
      </c>
      <c r="AW32" s="1" t="str">
        <f>IF(AND(AND(AND(AW$4&gt;='2025'!$L32,AW$4&lt;='2025'!$M32), AW$4&lt;&gt;DATE(2025,7,4)), (SWITCH(weekday(AW$4), 1, 0, 2, if(ISBLANK('2025'!$P32), 0, 1), 3, if(ISBLANK('2025'!$Q32), 0, 1), 4, if(ISBLANK('2025'!$R32), 0, 1), 5, if(ISBLANK('2025'!$S32), 0, 1), 6, if(ISBLANK('2025'!$T32), 0, 1), 7, 0))), 1, "")</f>
        <v/>
      </c>
      <c r="AX32" s="1" t="str">
        <f>IF(AND(AND(AND(AX$4&gt;='2025'!$L32,AX$4&lt;='2025'!$M32), AX$4&lt;&gt;DATE(2025,7,4)), (SWITCH(weekday(AX$4), 1, 0, 2, if(ISBLANK('2025'!$P32), 0, 1), 3, if(ISBLANK('2025'!$Q32), 0, 1), 4, if(ISBLANK('2025'!$R32), 0, 1), 5, if(ISBLANK('2025'!$S32), 0, 1), 6, if(ISBLANK('2025'!$T32), 0, 1), 7, 0))), 1, "")</f>
        <v/>
      </c>
      <c r="AY32" s="1" t="str">
        <f>IF(AND(AND(AND(AY$4&gt;='2025'!$L32,AY$4&lt;='2025'!$M32), AY$4&lt;&gt;DATE(2025,7,4)), (SWITCH(weekday(AY$4), 1, 0, 2, if(ISBLANK('2025'!$P32), 0, 1), 3, if(ISBLANK('2025'!$Q32), 0, 1), 4, if(ISBLANK('2025'!$R32), 0, 1), 5, if(ISBLANK('2025'!$S32), 0, 1), 6, if(ISBLANK('2025'!$T32), 0, 1), 7, 0))), 1, "")</f>
        <v/>
      </c>
      <c r="AZ32" s="1" t="str">
        <f>IF(AND(AND(AND(AZ$4&gt;='2025'!$L32,AZ$4&lt;='2025'!$M32), AZ$4&lt;&gt;DATE(2025,7,4)), (SWITCH(weekday(AZ$4), 1, 0, 2, if(ISBLANK('2025'!$P32), 0, 1), 3, if(ISBLANK('2025'!$Q32), 0, 1), 4, if(ISBLANK('2025'!$R32), 0, 1), 5, if(ISBLANK('2025'!$S32), 0, 1), 6, if(ISBLANK('2025'!$T32), 0, 1), 7, 0))), 1, "")</f>
        <v/>
      </c>
      <c r="BA32" s="1" t="str">
        <f>IF(AND(AND(AND(BA$4&gt;='2025'!$L32,BA$4&lt;='2025'!$M32), BA$4&lt;&gt;DATE(2025,7,4)), (SWITCH(weekday(BA$4), 1, 0, 2, if(ISBLANK('2025'!$P32), 0, 1), 3, if(ISBLANK('2025'!$Q32), 0, 1), 4, if(ISBLANK('2025'!$R32), 0, 1), 5, if(ISBLANK('2025'!$S32), 0, 1), 6, if(ISBLANK('2025'!$T32), 0, 1), 7, 0))), 1, "")</f>
        <v/>
      </c>
      <c r="BB32" s="1" t="str">
        <f>IF(AND(AND(AND(BB$4&gt;='2025'!$L32,BB$4&lt;='2025'!$M32), BB$4&lt;&gt;DATE(2025,7,4)), (SWITCH(weekday(BB$4), 1, 0, 2, if(ISBLANK('2025'!$P32), 0, 1), 3, if(ISBLANK('2025'!$Q32), 0, 1), 4, if(ISBLANK('2025'!$R32), 0, 1), 5, if(ISBLANK('2025'!$S32), 0, 1), 6, if(ISBLANK('2025'!$T32), 0, 1), 7, 0))), 1, "")</f>
        <v/>
      </c>
      <c r="BC32" s="1" t="str">
        <f>IF(AND(AND(AND(BC$4&gt;='2025'!$L32,BC$4&lt;='2025'!$M32), BC$4&lt;&gt;DATE(2025,7,4)), (SWITCH(weekday(BC$4), 1, 0, 2, if(ISBLANK('2025'!$P32), 0, 1), 3, if(ISBLANK('2025'!$Q32), 0, 1), 4, if(ISBLANK('2025'!$R32), 0, 1), 5, if(ISBLANK('2025'!$S32), 0, 1), 6, if(ISBLANK('2025'!$T32), 0, 1), 7, 0))), 1, "")</f>
        <v/>
      </c>
      <c r="BD32" s="1" t="str">
        <f>IF(AND(AND(AND(BD$4&gt;='2025'!$L32,BD$4&lt;='2025'!$M32), BD$4&lt;&gt;DATE(2025,7,4)), (SWITCH(weekday(BD$4), 1, 0, 2, if(ISBLANK('2025'!$P32), 0, 1), 3, if(ISBLANK('2025'!$Q32), 0, 1), 4, if(ISBLANK('2025'!$R32), 0, 1), 5, if(ISBLANK('2025'!$S32), 0, 1), 6, if(ISBLANK('2025'!$T32), 0, 1), 7, 0))), 1, "")</f>
        <v/>
      </c>
      <c r="BE32" s="1" t="str">
        <f>IF(AND(AND(AND(BE$4&gt;='2025'!$L32,BE$4&lt;='2025'!$M32), BE$4&lt;&gt;DATE(2025,7,4)), (SWITCH(weekday(BE$4), 1, 0, 2, if(ISBLANK('2025'!$P32), 0, 1), 3, if(ISBLANK('2025'!$Q32), 0, 1), 4, if(ISBLANK('2025'!$R32), 0, 1), 5, if(ISBLANK('2025'!$S32), 0, 1), 6, if(ISBLANK('2025'!$T32), 0, 1), 7, 0))), 1, "")</f>
        <v/>
      </c>
      <c r="BF32" s="1" t="str">
        <f>IF(AND(AND(AND(BF$4&gt;='2025'!$L32,BF$4&lt;='2025'!$M32), BF$4&lt;&gt;DATE(2025,7,4)), (SWITCH(weekday(BF$4), 1, 0, 2, if(ISBLANK('2025'!$P32), 0, 1), 3, if(ISBLANK('2025'!$Q32), 0, 1), 4, if(ISBLANK('2025'!$R32), 0, 1), 5, if(ISBLANK('2025'!$S32), 0, 1), 6, if(ISBLANK('2025'!$T32), 0, 1), 7, 0))), 1, "")</f>
        <v/>
      </c>
      <c r="BG32" s="1"/>
      <c r="BH32" s="1"/>
      <c r="BI32" s="1"/>
      <c r="BJ32" s="1"/>
      <c r="BK32" s="1"/>
      <c r="BL32" s="1"/>
    </row>
    <row r="33">
      <c r="A33" s="1">
        <f t="shared" si="3"/>
        <v>33</v>
      </c>
      <c r="B33" s="1" t="str">
        <f>'2025'!D33</f>
        <v>Sookdeo, Allison</v>
      </c>
      <c r="C33" s="1" t="str">
        <f>'2025'!H33</f>
        <v>TOD</v>
      </c>
      <c r="D33" s="1" t="str">
        <f>IF(AND(AND(AND(D$4&gt;='2025'!$L33,D$4&lt;='2025'!$M33), D$4&lt;&gt;DATE(2025,7,4)), (SWITCH(weekday(D$4), 1, 0, 2, if(ISBLANK('2025'!$P33), 0, 1), 3, if(ISBLANK('2025'!$Q33), 0, 1), 4, if(ISBLANK('2025'!$R33), 0, 1), 5, if(ISBLANK('2025'!$S33), 0, 1), 6, if(ISBLANK('2025'!$T33), 0, 1), 7, 0))), 1, "")</f>
        <v/>
      </c>
      <c r="E33" s="1" t="str">
        <f>IF(AND(AND(AND(E$4&gt;='2025'!$L33,E$4&lt;='2025'!$M33), E$4&lt;&gt;DATE(2025,7,4)), (SWITCH(weekday(E$4), 1, 0, 2, if(ISBLANK('2025'!$P33), 0, 1), 3, if(ISBLANK('2025'!$Q33), 0, 1), 4, if(ISBLANK('2025'!$R33), 0, 1), 5, if(ISBLANK('2025'!$S33), 0, 1), 6, if(ISBLANK('2025'!$T33), 0, 1), 7, 0))), 1, "")</f>
        <v/>
      </c>
      <c r="F33" s="1" t="str">
        <f>IF(AND(AND(AND(F$4&gt;='2025'!$L33,F$4&lt;='2025'!$M33), F$4&lt;&gt;DATE(2025,7,4)), (SWITCH(weekday(F$4), 1, 0, 2, if(ISBLANK('2025'!$P33), 0, 1), 3, if(ISBLANK('2025'!$Q33), 0, 1), 4, if(ISBLANK('2025'!$R33), 0, 1), 5, if(ISBLANK('2025'!$S33), 0, 1), 6, if(ISBLANK('2025'!$T33), 0, 1), 7, 0))), 1, "")</f>
        <v/>
      </c>
      <c r="G33" s="1" t="str">
        <f>IF(AND(AND(AND(G$4&gt;='2025'!$L33,G$4&lt;='2025'!$M33), G$4&lt;&gt;DATE(2025,7,4)), (SWITCH(weekday(G$4), 1, 0, 2, if(ISBLANK('2025'!$P33), 0, 1), 3, if(ISBLANK('2025'!$Q33), 0, 1), 4, if(ISBLANK('2025'!$R33), 0, 1), 5, if(ISBLANK('2025'!$S33), 0, 1), 6, if(ISBLANK('2025'!$T33), 0, 1), 7, 0))), 1, "")</f>
        <v/>
      </c>
      <c r="H33" s="1" t="str">
        <f>IF(AND(AND(AND(H$4&gt;='2025'!$L33,H$4&lt;='2025'!$M33), H$4&lt;&gt;DATE(2025,7,4)), (SWITCH(weekday(H$4), 1, 0, 2, if(ISBLANK('2025'!$P33), 0, 1), 3, if(ISBLANK('2025'!$Q33), 0, 1), 4, if(ISBLANK('2025'!$R33), 0, 1), 5, if(ISBLANK('2025'!$S33), 0, 1), 6, if(ISBLANK('2025'!$T33), 0, 1), 7, 0))), 1, "")</f>
        <v/>
      </c>
      <c r="I33" s="1" t="str">
        <f>IF(AND(AND(AND(I$4&gt;='2025'!$L33,I$4&lt;='2025'!$M33), I$4&lt;&gt;DATE(2025,7,4)), (SWITCH(weekday(I$4), 1, 0, 2, if(ISBLANK('2025'!$P33), 0, 1), 3, if(ISBLANK('2025'!$Q33), 0, 1), 4, if(ISBLANK('2025'!$R33), 0, 1), 5, if(ISBLANK('2025'!$S33), 0, 1), 6, if(ISBLANK('2025'!$T33), 0, 1), 7, 0))), 1, "")</f>
        <v/>
      </c>
      <c r="J33" s="1" t="str">
        <f>IF(AND(AND(AND(J$4&gt;='2025'!$L33,J$4&lt;='2025'!$M33), J$4&lt;&gt;DATE(2025,7,4)), (SWITCH(weekday(J$4), 1, 0, 2, if(ISBLANK('2025'!$P33), 0, 1), 3, if(ISBLANK('2025'!$Q33), 0, 1), 4, if(ISBLANK('2025'!$R33), 0, 1), 5, if(ISBLANK('2025'!$S33), 0, 1), 6, if(ISBLANK('2025'!$T33), 0, 1), 7, 0))), 1, "")</f>
        <v/>
      </c>
      <c r="K33" s="1" t="str">
        <f>IF(AND(AND(AND(K$4&gt;='2025'!$L33,K$4&lt;='2025'!$M33), K$4&lt;&gt;DATE(2025,7,4)), (SWITCH(weekday(K$4), 1, 0, 2, if(ISBLANK('2025'!$P33), 0, 1), 3, if(ISBLANK('2025'!$Q33), 0, 1), 4, if(ISBLANK('2025'!$R33), 0, 1), 5, if(ISBLANK('2025'!$S33), 0, 1), 6, if(ISBLANK('2025'!$T33), 0, 1), 7, 0))), 1, "")</f>
        <v/>
      </c>
      <c r="L33" s="1" t="str">
        <f>IF(AND(AND(AND(L$4&gt;='2025'!$L33,L$4&lt;='2025'!$M33), L$4&lt;&gt;DATE(2025,7,4)), (SWITCH(weekday(L$4), 1, 0, 2, if(ISBLANK('2025'!$P33), 0, 1), 3, if(ISBLANK('2025'!$Q33), 0, 1), 4, if(ISBLANK('2025'!$R33), 0, 1), 5, if(ISBLANK('2025'!$S33), 0, 1), 6, if(ISBLANK('2025'!$T33), 0, 1), 7, 0))), 1, "")</f>
        <v/>
      </c>
      <c r="M33" s="1" t="str">
        <f>IF(AND(AND(AND(M$4&gt;='2025'!$L33,M$4&lt;='2025'!$M33), M$4&lt;&gt;DATE(2025,7,4)), (SWITCH(weekday(M$4), 1, 0, 2, if(ISBLANK('2025'!$P33), 0, 1), 3, if(ISBLANK('2025'!$Q33), 0, 1), 4, if(ISBLANK('2025'!$R33), 0, 1), 5, if(ISBLANK('2025'!$S33), 0, 1), 6, if(ISBLANK('2025'!$T33), 0, 1), 7, 0))), 1, "")</f>
        <v/>
      </c>
      <c r="N33" s="1" t="str">
        <f>IF(AND(AND(AND(N$4&gt;='2025'!$L33,N$4&lt;='2025'!$M33), N$4&lt;&gt;DATE(2025,7,4)), (SWITCH(weekday(N$4), 1, 0, 2, if(ISBLANK('2025'!$P33), 0, 1), 3, if(ISBLANK('2025'!$Q33), 0, 1), 4, if(ISBLANK('2025'!$R33), 0, 1), 5, if(ISBLANK('2025'!$S33), 0, 1), 6, if(ISBLANK('2025'!$T33), 0, 1), 7, 0))), 1, "")</f>
        <v/>
      </c>
      <c r="O33" s="1" t="str">
        <f>IF(AND(AND(AND(O$4&gt;='2025'!$L33,O$4&lt;='2025'!$M33), O$4&lt;&gt;DATE(2025,7,4)), (SWITCH(weekday(O$4), 1, 0, 2, if(ISBLANK('2025'!$P33), 0, 1), 3, if(ISBLANK('2025'!$Q33), 0, 1), 4, if(ISBLANK('2025'!$R33), 0, 1), 5, if(ISBLANK('2025'!$S33), 0, 1), 6, if(ISBLANK('2025'!$T33), 0, 1), 7, 0))), 1, "")</f>
        <v/>
      </c>
      <c r="P33" s="1" t="str">
        <f>IF(AND(AND(AND(P$4&gt;='2025'!$L33,P$4&lt;='2025'!$M33), P$4&lt;&gt;DATE(2025,7,4)), (SWITCH(weekday(P$4), 1, 0, 2, if(ISBLANK('2025'!$P33), 0, 1), 3, if(ISBLANK('2025'!$Q33), 0, 1), 4, if(ISBLANK('2025'!$R33), 0, 1), 5, if(ISBLANK('2025'!$S33), 0, 1), 6, if(ISBLANK('2025'!$T33), 0, 1), 7, 0))), 1, "")</f>
        <v/>
      </c>
      <c r="Q33" s="1" t="str">
        <f>IF(AND(AND(AND(Q$4&gt;='2025'!$L33,Q$4&lt;='2025'!$M33), Q$4&lt;&gt;DATE(2025,7,4)), (SWITCH(weekday(Q$4), 1, 0, 2, if(ISBLANK('2025'!$P33), 0, 1), 3, if(ISBLANK('2025'!$Q33), 0, 1), 4, if(ISBLANK('2025'!$R33), 0, 1), 5, if(ISBLANK('2025'!$S33), 0, 1), 6, if(ISBLANK('2025'!$T33), 0, 1), 7, 0))), 1, "")</f>
        <v/>
      </c>
      <c r="R33" s="1" t="str">
        <f>IF(AND(AND(AND(R$4&gt;='2025'!$L33,R$4&lt;='2025'!$M33), R$4&lt;&gt;DATE(2025,7,4)), (SWITCH(weekday(R$4), 1, 0, 2, if(ISBLANK('2025'!$P33), 0, 1), 3, if(ISBLANK('2025'!$Q33), 0, 1), 4, if(ISBLANK('2025'!$R33), 0, 1), 5, if(ISBLANK('2025'!$S33), 0, 1), 6, if(ISBLANK('2025'!$T33), 0, 1), 7, 0))), 1, "")</f>
        <v/>
      </c>
      <c r="S33" s="1" t="str">
        <f>IF(AND(AND(AND(S$4&gt;='2025'!$L33,S$4&lt;='2025'!$M33), S$4&lt;&gt;DATE(2025,7,4)), (SWITCH(weekday(S$4), 1, 0, 2, if(ISBLANK('2025'!$P33), 0, 1), 3, if(ISBLANK('2025'!$Q33), 0, 1), 4, if(ISBLANK('2025'!$R33), 0, 1), 5, if(ISBLANK('2025'!$S33), 0, 1), 6, if(ISBLANK('2025'!$T33), 0, 1), 7, 0))), 1, "")</f>
        <v/>
      </c>
      <c r="T33" s="1" t="str">
        <f>IF(AND(AND(AND(T$4&gt;='2025'!$L33,T$4&lt;='2025'!$M33), T$4&lt;&gt;DATE(2025,7,4)), (SWITCH(weekday(T$4), 1, 0, 2, if(ISBLANK('2025'!$P33), 0, 1), 3, if(ISBLANK('2025'!$Q33), 0, 1), 4, if(ISBLANK('2025'!$R33), 0, 1), 5, if(ISBLANK('2025'!$S33), 0, 1), 6, if(ISBLANK('2025'!$T33), 0, 1), 7, 0))), 1, "")</f>
        <v/>
      </c>
      <c r="U33" s="1" t="str">
        <f>IF(AND(AND(AND(U$4&gt;='2025'!$L33,U$4&lt;='2025'!$M33), U$4&lt;&gt;DATE(2025,7,4)), (SWITCH(weekday(U$4), 1, 0, 2, if(ISBLANK('2025'!$P33), 0, 1), 3, if(ISBLANK('2025'!$Q33), 0, 1), 4, if(ISBLANK('2025'!$R33), 0, 1), 5, if(ISBLANK('2025'!$S33), 0, 1), 6, if(ISBLANK('2025'!$T33), 0, 1), 7, 0))), 1, "")</f>
        <v/>
      </c>
      <c r="V33" s="1" t="str">
        <f>IF(AND(AND(AND(V$4&gt;='2025'!$L33,V$4&lt;='2025'!$M33), V$4&lt;&gt;DATE(2025,7,4)), (SWITCH(weekday(V$4), 1, 0, 2, if(ISBLANK('2025'!$P33), 0, 1), 3, if(ISBLANK('2025'!$Q33), 0, 1), 4, if(ISBLANK('2025'!$R33), 0, 1), 5, if(ISBLANK('2025'!$S33), 0, 1), 6, if(ISBLANK('2025'!$T33), 0, 1), 7, 0))), 1, "")</f>
        <v/>
      </c>
      <c r="W33" s="1" t="str">
        <f>IF(AND(AND(AND(W$4&gt;='2025'!$L33,W$4&lt;='2025'!$M33), W$4&lt;&gt;DATE(2025,7,4)), (SWITCH(weekday(W$4), 1, 0, 2, if(ISBLANK('2025'!$P33), 0, 1), 3, if(ISBLANK('2025'!$Q33), 0, 1), 4, if(ISBLANK('2025'!$R33), 0, 1), 5, if(ISBLANK('2025'!$S33), 0, 1), 6, if(ISBLANK('2025'!$T33), 0, 1), 7, 0))), 1, "")</f>
        <v/>
      </c>
      <c r="X33" s="1" t="str">
        <f>IF(AND(AND(AND(X$4&gt;='2025'!$L33,X$4&lt;='2025'!$M33), X$4&lt;&gt;DATE(2025,7,4)), (SWITCH(weekday(X$4), 1, 0, 2, if(ISBLANK('2025'!$P33), 0, 1), 3, if(ISBLANK('2025'!$Q33), 0, 1), 4, if(ISBLANK('2025'!$R33), 0, 1), 5, if(ISBLANK('2025'!$S33), 0, 1), 6, if(ISBLANK('2025'!$T33), 0, 1), 7, 0))), 1, "")</f>
        <v/>
      </c>
      <c r="Y33" s="1" t="str">
        <f>IF(AND(AND(AND(Y$4&gt;='2025'!$L33,Y$4&lt;='2025'!$M33), Y$4&lt;&gt;DATE(2025,7,4)), (SWITCH(weekday(Y$4), 1, 0, 2, if(ISBLANK('2025'!$P33), 0, 1), 3, if(ISBLANK('2025'!$Q33), 0, 1), 4, if(ISBLANK('2025'!$R33), 0, 1), 5, if(ISBLANK('2025'!$S33), 0, 1), 6, if(ISBLANK('2025'!$T33), 0, 1), 7, 0))), 1, "")</f>
        <v/>
      </c>
      <c r="Z33" s="1" t="str">
        <f>IF(AND(AND(AND(Z$4&gt;='2025'!$L33,Z$4&lt;='2025'!$M33), Z$4&lt;&gt;DATE(2025,7,4)), (SWITCH(weekday(Z$4), 1, 0, 2, if(ISBLANK('2025'!$P33), 0, 1), 3, if(ISBLANK('2025'!$Q33), 0, 1), 4, if(ISBLANK('2025'!$R33), 0, 1), 5, if(ISBLANK('2025'!$S33), 0, 1), 6, if(ISBLANK('2025'!$T33), 0, 1), 7, 0))), 1, "")</f>
        <v/>
      </c>
      <c r="AA33" s="1" t="str">
        <f>IF(AND(AND(AND(AA$4&gt;='2025'!$L33,AA$4&lt;='2025'!$M33), AA$4&lt;&gt;DATE(2025,7,4)), (SWITCH(weekday(AA$4), 1, 0, 2, if(ISBLANK('2025'!$P33), 0, 1), 3, if(ISBLANK('2025'!$Q33), 0, 1), 4, if(ISBLANK('2025'!$R33), 0, 1), 5, if(ISBLANK('2025'!$S33), 0, 1), 6, if(ISBLANK('2025'!$T33), 0, 1), 7, 0))), 1, "")</f>
        <v/>
      </c>
      <c r="AB33" s="1" t="str">
        <f>IF(AND(AND(AND(AB$4&gt;='2025'!$L33,AB$4&lt;='2025'!$M33), AB$4&lt;&gt;DATE(2025,7,4)), (SWITCH(weekday(AB$4), 1, 0, 2, if(ISBLANK('2025'!$P33), 0, 1), 3, if(ISBLANK('2025'!$Q33), 0, 1), 4, if(ISBLANK('2025'!$R33), 0, 1), 5, if(ISBLANK('2025'!$S33), 0, 1), 6, if(ISBLANK('2025'!$T33), 0, 1), 7, 0))), 1, "")</f>
        <v/>
      </c>
      <c r="AC33" s="1" t="str">
        <f>IF(AND(AND(AND(AC$4&gt;='2025'!$L33,AC$4&lt;='2025'!$M33), AC$4&lt;&gt;DATE(2025,7,4)), (SWITCH(weekday(AC$4), 1, 0, 2, if(ISBLANK('2025'!$P33), 0, 1), 3, if(ISBLANK('2025'!$Q33), 0, 1), 4, if(ISBLANK('2025'!$R33), 0, 1), 5, if(ISBLANK('2025'!$S33), 0, 1), 6, if(ISBLANK('2025'!$T33), 0, 1), 7, 0))), 1, "")</f>
        <v/>
      </c>
      <c r="AD33" s="1" t="str">
        <f>IF(AND(AND(AND(AD$4&gt;='2025'!$L33,AD$4&lt;='2025'!$M33), AD$4&lt;&gt;DATE(2025,7,4)), (SWITCH(weekday(AD$4), 1, 0, 2, if(ISBLANK('2025'!$P33), 0, 1), 3, if(ISBLANK('2025'!$Q33), 0, 1), 4, if(ISBLANK('2025'!$R33), 0, 1), 5, if(ISBLANK('2025'!$S33), 0, 1), 6, if(ISBLANK('2025'!$T33), 0, 1), 7, 0))), 1, "")</f>
        <v/>
      </c>
      <c r="AE33" s="1" t="str">
        <f>IF(AND(AND(AND(AE$4&gt;='2025'!$L33,AE$4&lt;='2025'!$M33), AE$4&lt;&gt;DATE(2025,7,4)), (SWITCH(weekday(AE$4), 1, 0, 2, if(ISBLANK('2025'!$P33), 0, 1), 3, if(ISBLANK('2025'!$Q33), 0, 1), 4, if(ISBLANK('2025'!$R33), 0, 1), 5, if(ISBLANK('2025'!$S33), 0, 1), 6, if(ISBLANK('2025'!$T33), 0, 1), 7, 0))), 1, "")</f>
        <v/>
      </c>
      <c r="AF33" s="1" t="str">
        <f>IF(AND(AND(AND(AF$4&gt;='2025'!$L33,AF$4&lt;='2025'!$M33), AF$4&lt;&gt;DATE(2025,7,4)), (SWITCH(weekday(AF$4), 1, 0, 2, if(ISBLANK('2025'!$P33), 0, 1), 3, if(ISBLANK('2025'!$Q33), 0, 1), 4, if(ISBLANK('2025'!$R33), 0, 1), 5, if(ISBLANK('2025'!$S33), 0, 1), 6, if(ISBLANK('2025'!$T33), 0, 1), 7, 0))), 1, "")</f>
        <v/>
      </c>
      <c r="AG33" s="1" t="str">
        <f>IF(AND(AND(AND(AG$4&gt;='2025'!$L33,AG$4&lt;='2025'!$M33), AG$4&lt;&gt;DATE(2025,7,4)), (SWITCH(weekday(AG$4), 1, 0, 2, if(ISBLANK('2025'!$P33), 0, 1), 3, if(ISBLANK('2025'!$Q33), 0, 1), 4, if(ISBLANK('2025'!$R33), 0, 1), 5, if(ISBLANK('2025'!$S33), 0, 1), 6, if(ISBLANK('2025'!$T33), 0, 1), 7, 0))), 1, "")</f>
        <v/>
      </c>
      <c r="AH33" s="1" t="str">
        <f>IF(AND(AND(AND(AH$4&gt;='2025'!$L33,AH$4&lt;='2025'!$M33), AH$4&lt;&gt;DATE(2025,7,4)), (SWITCH(weekday(AH$4), 1, 0, 2, if(ISBLANK('2025'!$P33), 0, 1), 3, if(ISBLANK('2025'!$Q33), 0, 1), 4, if(ISBLANK('2025'!$R33), 0, 1), 5, if(ISBLANK('2025'!$S33), 0, 1), 6, if(ISBLANK('2025'!$T33), 0, 1), 7, 0))), 1, "")</f>
        <v/>
      </c>
      <c r="AI33" s="1" t="str">
        <f>IF(AND(AND(AND(AI$4&gt;='2025'!$L33,AI$4&lt;='2025'!$M33), AI$4&lt;&gt;DATE(2025,7,4)), (SWITCH(weekday(AI$4), 1, 0, 2, if(ISBLANK('2025'!$P33), 0, 1), 3, if(ISBLANK('2025'!$Q33), 0, 1), 4, if(ISBLANK('2025'!$R33), 0, 1), 5, if(ISBLANK('2025'!$S33), 0, 1), 6, if(ISBLANK('2025'!$T33), 0, 1), 7, 0))), 1, "")</f>
        <v/>
      </c>
      <c r="AJ33" s="1" t="str">
        <f>IF(AND(AND(AND(AJ$4&gt;='2025'!$L33,AJ$4&lt;='2025'!$M33), AJ$4&lt;&gt;DATE(2025,7,4)), (SWITCH(weekday(AJ$4), 1, 0, 2, if(ISBLANK('2025'!$P33), 0, 1), 3, if(ISBLANK('2025'!$Q33), 0, 1), 4, if(ISBLANK('2025'!$R33), 0, 1), 5, if(ISBLANK('2025'!$S33), 0, 1), 6, if(ISBLANK('2025'!$T33), 0, 1), 7, 0))), 1, "")</f>
        <v/>
      </c>
      <c r="AK33" s="1" t="str">
        <f>IF(AND(AND(AND(AK$4&gt;='2025'!$L33,AK$4&lt;='2025'!$M33), AK$4&lt;&gt;DATE(2025,7,4)), (SWITCH(weekday(AK$4), 1, 0, 2, if(ISBLANK('2025'!$P33), 0, 1), 3, if(ISBLANK('2025'!$Q33), 0, 1), 4, if(ISBLANK('2025'!$R33), 0, 1), 5, if(ISBLANK('2025'!$S33), 0, 1), 6, if(ISBLANK('2025'!$T33), 0, 1), 7, 0))), 1, "")</f>
        <v/>
      </c>
      <c r="AL33" s="1" t="str">
        <f>IF(AND(AND(AND(AL$4&gt;='2025'!$L33,AL$4&lt;='2025'!$M33), AL$4&lt;&gt;DATE(2025,7,4)), (SWITCH(weekday(AL$4), 1, 0, 2, if(ISBLANK('2025'!$P33), 0, 1), 3, if(ISBLANK('2025'!$Q33), 0, 1), 4, if(ISBLANK('2025'!$R33), 0, 1), 5, if(ISBLANK('2025'!$S33), 0, 1), 6, if(ISBLANK('2025'!$T33), 0, 1), 7, 0))), 1, "")</f>
        <v/>
      </c>
      <c r="AM33" s="1" t="str">
        <f>IF(AND(AND(AND(AM$4&gt;='2025'!$L33,AM$4&lt;='2025'!$M33), AM$4&lt;&gt;DATE(2025,7,4)), (SWITCH(weekday(AM$4), 1, 0, 2, if(ISBLANK('2025'!$P33), 0, 1), 3, if(ISBLANK('2025'!$Q33), 0, 1), 4, if(ISBLANK('2025'!$R33), 0, 1), 5, if(ISBLANK('2025'!$S33), 0, 1), 6, if(ISBLANK('2025'!$T33), 0, 1), 7, 0))), 1, "")</f>
        <v/>
      </c>
      <c r="AN33" s="1" t="str">
        <f>IF(AND(AND(AND(AN$4&gt;='2025'!$L33,AN$4&lt;='2025'!$M33), AN$4&lt;&gt;DATE(2025,7,4)), (SWITCH(weekday(AN$4), 1, 0, 2, if(ISBLANK('2025'!$P33), 0, 1), 3, if(ISBLANK('2025'!$Q33), 0, 1), 4, if(ISBLANK('2025'!$R33), 0, 1), 5, if(ISBLANK('2025'!$S33), 0, 1), 6, if(ISBLANK('2025'!$T33), 0, 1), 7, 0))), 1, "")</f>
        <v/>
      </c>
      <c r="AO33" s="1" t="str">
        <f>IF(AND(AND(AND(AO$4&gt;='2025'!$L33,AO$4&lt;='2025'!$M33), AO$4&lt;&gt;DATE(2025,7,4)), (SWITCH(weekday(AO$4), 1, 0, 2, if(ISBLANK('2025'!$P33), 0, 1), 3, if(ISBLANK('2025'!$Q33), 0, 1), 4, if(ISBLANK('2025'!$R33), 0, 1), 5, if(ISBLANK('2025'!$S33), 0, 1), 6, if(ISBLANK('2025'!$T33), 0, 1), 7, 0))), 1, "")</f>
        <v/>
      </c>
      <c r="AP33" s="1" t="str">
        <f>IF(AND(AND(AND(AP$4&gt;='2025'!$L33,AP$4&lt;='2025'!$M33), AP$4&lt;&gt;DATE(2025,7,4)), (SWITCH(weekday(AP$4), 1, 0, 2, if(ISBLANK('2025'!$P33), 0, 1), 3, if(ISBLANK('2025'!$Q33), 0, 1), 4, if(ISBLANK('2025'!$R33), 0, 1), 5, if(ISBLANK('2025'!$S33), 0, 1), 6, if(ISBLANK('2025'!$T33), 0, 1), 7, 0))), 1, "")</f>
        <v/>
      </c>
      <c r="AQ33" s="1" t="str">
        <f>IF(AND(AND(AND(AQ$4&gt;='2025'!$L33,AQ$4&lt;='2025'!$M33), AQ$4&lt;&gt;DATE(2025,7,4)), (SWITCH(weekday(AQ$4), 1, 0, 2, if(ISBLANK('2025'!$P33), 0, 1), 3, if(ISBLANK('2025'!$Q33), 0, 1), 4, if(ISBLANK('2025'!$R33), 0, 1), 5, if(ISBLANK('2025'!$S33), 0, 1), 6, if(ISBLANK('2025'!$T33), 0, 1), 7, 0))), 1, "")</f>
        <v/>
      </c>
      <c r="AR33" s="1" t="str">
        <f>IF(AND(AND(AND(AR$4&gt;='2025'!$L33,AR$4&lt;='2025'!$M33), AR$4&lt;&gt;DATE(2025,7,4)), (SWITCH(weekday(AR$4), 1, 0, 2, if(ISBLANK('2025'!$P33), 0, 1), 3, if(ISBLANK('2025'!$Q33), 0, 1), 4, if(ISBLANK('2025'!$R33), 0, 1), 5, if(ISBLANK('2025'!$S33), 0, 1), 6, if(ISBLANK('2025'!$T33), 0, 1), 7, 0))), 1, "")</f>
        <v/>
      </c>
      <c r="AS33" s="1" t="str">
        <f>IF(AND(AND(AND(AS$4&gt;='2025'!$L33,AS$4&lt;='2025'!$M33), AS$4&lt;&gt;DATE(2025,7,4)), (SWITCH(weekday(AS$4), 1, 0, 2, if(ISBLANK('2025'!$P33), 0, 1), 3, if(ISBLANK('2025'!$Q33), 0, 1), 4, if(ISBLANK('2025'!$R33), 0, 1), 5, if(ISBLANK('2025'!$S33), 0, 1), 6, if(ISBLANK('2025'!$T33), 0, 1), 7, 0))), 1, "")</f>
        <v/>
      </c>
      <c r="AT33" s="1" t="str">
        <f>IF(AND(AND(AND(AT$4&gt;='2025'!$L33,AT$4&lt;='2025'!$M33), AT$4&lt;&gt;DATE(2025,7,4)), (SWITCH(weekday(AT$4), 1, 0, 2, if(ISBLANK('2025'!$P33), 0, 1), 3, if(ISBLANK('2025'!$Q33), 0, 1), 4, if(ISBLANK('2025'!$R33), 0, 1), 5, if(ISBLANK('2025'!$S33), 0, 1), 6, if(ISBLANK('2025'!$T33), 0, 1), 7, 0))), 1, "")</f>
        <v/>
      </c>
      <c r="AU33" s="1" t="str">
        <f>IF(AND(AND(AND(AU$4&gt;='2025'!$L33,AU$4&lt;='2025'!$M33), AU$4&lt;&gt;DATE(2025,7,4)), (SWITCH(weekday(AU$4), 1, 0, 2, if(ISBLANK('2025'!$P33), 0, 1), 3, if(ISBLANK('2025'!$Q33), 0, 1), 4, if(ISBLANK('2025'!$R33), 0, 1), 5, if(ISBLANK('2025'!$S33), 0, 1), 6, if(ISBLANK('2025'!$T33), 0, 1), 7, 0))), 1, "")</f>
        <v/>
      </c>
      <c r="AV33" s="1" t="str">
        <f>IF(AND(AND(AND(AV$4&gt;='2025'!$L33,AV$4&lt;='2025'!$M33), AV$4&lt;&gt;DATE(2025,7,4)), (SWITCH(weekday(AV$4), 1, 0, 2, if(ISBLANK('2025'!$P33), 0, 1), 3, if(ISBLANK('2025'!$Q33), 0, 1), 4, if(ISBLANK('2025'!$R33), 0, 1), 5, if(ISBLANK('2025'!$S33), 0, 1), 6, if(ISBLANK('2025'!$T33), 0, 1), 7, 0))), 1, "")</f>
        <v/>
      </c>
      <c r="AW33" s="1" t="str">
        <f>IF(AND(AND(AND(AW$4&gt;='2025'!$L33,AW$4&lt;='2025'!$M33), AW$4&lt;&gt;DATE(2025,7,4)), (SWITCH(weekday(AW$4), 1, 0, 2, if(ISBLANK('2025'!$P33), 0, 1), 3, if(ISBLANK('2025'!$Q33), 0, 1), 4, if(ISBLANK('2025'!$R33), 0, 1), 5, if(ISBLANK('2025'!$S33), 0, 1), 6, if(ISBLANK('2025'!$T33), 0, 1), 7, 0))), 1, "")</f>
        <v/>
      </c>
      <c r="AX33" s="1" t="str">
        <f>IF(AND(AND(AND(AX$4&gt;='2025'!$L33,AX$4&lt;='2025'!$M33), AX$4&lt;&gt;DATE(2025,7,4)), (SWITCH(weekday(AX$4), 1, 0, 2, if(ISBLANK('2025'!$P33), 0, 1), 3, if(ISBLANK('2025'!$Q33), 0, 1), 4, if(ISBLANK('2025'!$R33), 0, 1), 5, if(ISBLANK('2025'!$S33), 0, 1), 6, if(ISBLANK('2025'!$T33), 0, 1), 7, 0))), 1, "")</f>
        <v/>
      </c>
      <c r="AY33" s="1" t="str">
        <f>IF(AND(AND(AND(AY$4&gt;='2025'!$L33,AY$4&lt;='2025'!$M33), AY$4&lt;&gt;DATE(2025,7,4)), (SWITCH(weekday(AY$4), 1, 0, 2, if(ISBLANK('2025'!$P33), 0, 1), 3, if(ISBLANK('2025'!$Q33), 0, 1), 4, if(ISBLANK('2025'!$R33), 0, 1), 5, if(ISBLANK('2025'!$S33), 0, 1), 6, if(ISBLANK('2025'!$T33), 0, 1), 7, 0))), 1, "")</f>
        <v/>
      </c>
      <c r="AZ33" s="1" t="str">
        <f>IF(AND(AND(AND(AZ$4&gt;='2025'!$L33,AZ$4&lt;='2025'!$M33), AZ$4&lt;&gt;DATE(2025,7,4)), (SWITCH(weekday(AZ$4), 1, 0, 2, if(ISBLANK('2025'!$P33), 0, 1), 3, if(ISBLANK('2025'!$Q33), 0, 1), 4, if(ISBLANK('2025'!$R33), 0, 1), 5, if(ISBLANK('2025'!$S33), 0, 1), 6, if(ISBLANK('2025'!$T33), 0, 1), 7, 0))), 1, "")</f>
        <v/>
      </c>
      <c r="BA33" s="1" t="str">
        <f>IF(AND(AND(AND(BA$4&gt;='2025'!$L33,BA$4&lt;='2025'!$M33), BA$4&lt;&gt;DATE(2025,7,4)), (SWITCH(weekday(BA$4), 1, 0, 2, if(ISBLANK('2025'!$P33), 0, 1), 3, if(ISBLANK('2025'!$Q33), 0, 1), 4, if(ISBLANK('2025'!$R33), 0, 1), 5, if(ISBLANK('2025'!$S33), 0, 1), 6, if(ISBLANK('2025'!$T33), 0, 1), 7, 0))), 1, "")</f>
        <v/>
      </c>
      <c r="BB33" s="1" t="str">
        <f>IF(AND(AND(AND(BB$4&gt;='2025'!$L33,BB$4&lt;='2025'!$M33), BB$4&lt;&gt;DATE(2025,7,4)), (SWITCH(weekday(BB$4), 1, 0, 2, if(ISBLANK('2025'!$P33), 0, 1), 3, if(ISBLANK('2025'!$Q33), 0, 1), 4, if(ISBLANK('2025'!$R33), 0, 1), 5, if(ISBLANK('2025'!$S33), 0, 1), 6, if(ISBLANK('2025'!$T33), 0, 1), 7, 0))), 1, "")</f>
        <v/>
      </c>
      <c r="BC33" s="1" t="str">
        <f>IF(AND(AND(AND(BC$4&gt;='2025'!$L33,BC$4&lt;='2025'!$M33), BC$4&lt;&gt;DATE(2025,7,4)), (SWITCH(weekday(BC$4), 1, 0, 2, if(ISBLANK('2025'!$P33), 0, 1), 3, if(ISBLANK('2025'!$Q33), 0, 1), 4, if(ISBLANK('2025'!$R33), 0, 1), 5, if(ISBLANK('2025'!$S33), 0, 1), 6, if(ISBLANK('2025'!$T33), 0, 1), 7, 0))), 1, "")</f>
        <v/>
      </c>
      <c r="BD33" s="1" t="str">
        <f>IF(AND(AND(AND(BD$4&gt;='2025'!$L33,BD$4&lt;='2025'!$M33), BD$4&lt;&gt;DATE(2025,7,4)), (SWITCH(weekday(BD$4), 1, 0, 2, if(ISBLANK('2025'!$P33), 0, 1), 3, if(ISBLANK('2025'!$Q33), 0, 1), 4, if(ISBLANK('2025'!$R33), 0, 1), 5, if(ISBLANK('2025'!$S33), 0, 1), 6, if(ISBLANK('2025'!$T33), 0, 1), 7, 0))), 1, "")</f>
        <v/>
      </c>
      <c r="BE33" s="1" t="str">
        <f>IF(AND(AND(AND(BE$4&gt;='2025'!$L33,BE$4&lt;='2025'!$M33), BE$4&lt;&gt;DATE(2025,7,4)), (SWITCH(weekday(BE$4), 1, 0, 2, if(ISBLANK('2025'!$P33), 0, 1), 3, if(ISBLANK('2025'!$Q33), 0, 1), 4, if(ISBLANK('2025'!$R33), 0, 1), 5, if(ISBLANK('2025'!$S33), 0, 1), 6, if(ISBLANK('2025'!$T33), 0, 1), 7, 0))), 1, "")</f>
        <v/>
      </c>
      <c r="BF33" s="1" t="str">
        <f>IF(AND(AND(AND(BF$4&gt;='2025'!$L33,BF$4&lt;='2025'!$M33), BF$4&lt;&gt;DATE(2025,7,4)), (SWITCH(weekday(BF$4), 1, 0, 2, if(ISBLANK('2025'!$P33), 0, 1), 3, if(ISBLANK('2025'!$Q33), 0, 1), 4, if(ISBLANK('2025'!$R33), 0, 1), 5, if(ISBLANK('2025'!$S33), 0, 1), 6, if(ISBLANK('2025'!$T33), 0, 1), 7, 0))), 1, "")</f>
        <v/>
      </c>
      <c r="BG33" s="1"/>
      <c r="BH33" s="1"/>
      <c r="BI33" s="1"/>
      <c r="BJ33" s="1"/>
      <c r="BK33" s="1"/>
      <c r="BL33" s="1"/>
    </row>
    <row r="34">
      <c r="A34" s="1">
        <f t="shared" si="3"/>
        <v>34</v>
      </c>
      <c r="B34" s="1" t="str">
        <f>'2025'!D34</f>
        <v>Saunders, Charli</v>
      </c>
      <c r="C34" s="1" t="str">
        <f>'2025'!H34</f>
        <v>TOD</v>
      </c>
      <c r="D34" s="1" t="str">
        <f>IF(AND(AND(AND(D$4&gt;='2025'!$L34,D$4&lt;='2025'!$M34), D$4&lt;&gt;DATE(2025,7,4)), (SWITCH(weekday(D$4), 1, 0, 2, if(ISBLANK('2025'!$P34), 0, 1), 3, if(ISBLANK('2025'!$Q34), 0, 1), 4, if(ISBLANK('2025'!$R34), 0, 1), 5, if(ISBLANK('2025'!$S34), 0, 1), 6, if(ISBLANK('2025'!$T34), 0, 1), 7, 0))), 1, "")</f>
        <v/>
      </c>
      <c r="E34" s="1" t="str">
        <f>IF(AND(AND(AND(E$4&gt;='2025'!$L34,E$4&lt;='2025'!$M34), E$4&lt;&gt;DATE(2025,7,4)), (SWITCH(weekday(E$4), 1, 0, 2, if(ISBLANK('2025'!$P34), 0, 1), 3, if(ISBLANK('2025'!$Q34), 0, 1), 4, if(ISBLANK('2025'!$R34), 0, 1), 5, if(ISBLANK('2025'!$S34), 0, 1), 6, if(ISBLANK('2025'!$T34), 0, 1), 7, 0))), 1, "")</f>
        <v/>
      </c>
      <c r="F34" s="1" t="str">
        <f>IF(AND(AND(AND(F$4&gt;='2025'!$L34,F$4&lt;='2025'!$M34), F$4&lt;&gt;DATE(2025,7,4)), (SWITCH(weekday(F$4), 1, 0, 2, if(ISBLANK('2025'!$P34), 0, 1), 3, if(ISBLANK('2025'!$Q34), 0, 1), 4, if(ISBLANK('2025'!$R34), 0, 1), 5, if(ISBLANK('2025'!$S34), 0, 1), 6, if(ISBLANK('2025'!$T34), 0, 1), 7, 0))), 1, "")</f>
        <v/>
      </c>
      <c r="G34" s="1" t="str">
        <f>IF(AND(AND(AND(G$4&gt;='2025'!$L34,G$4&lt;='2025'!$M34), G$4&lt;&gt;DATE(2025,7,4)), (SWITCH(weekday(G$4), 1, 0, 2, if(ISBLANK('2025'!$P34), 0, 1), 3, if(ISBLANK('2025'!$Q34), 0, 1), 4, if(ISBLANK('2025'!$R34), 0, 1), 5, if(ISBLANK('2025'!$S34), 0, 1), 6, if(ISBLANK('2025'!$T34), 0, 1), 7, 0))), 1, "")</f>
        <v/>
      </c>
      <c r="H34" s="1" t="str">
        <f>IF(AND(AND(AND(H$4&gt;='2025'!$L34,H$4&lt;='2025'!$M34), H$4&lt;&gt;DATE(2025,7,4)), (SWITCH(weekday(H$4), 1, 0, 2, if(ISBLANK('2025'!$P34), 0, 1), 3, if(ISBLANK('2025'!$Q34), 0, 1), 4, if(ISBLANK('2025'!$R34), 0, 1), 5, if(ISBLANK('2025'!$S34), 0, 1), 6, if(ISBLANK('2025'!$T34), 0, 1), 7, 0))), 1, "")</f>
        <v/>
      </c>
      <c r="I34" s="1" t="str">
        <f>IF(AND(AND(AND(I$4&gt;='2025'!$L34,I$4&lt;='2025'!$M34), I$4&lt;&gt;DATE(2025,7,4)), (SWITCH(weekday(I$4), 1, 0, 2, if(ISBLANK('2025'!$P34), 0, 1), 3, if(ISBLANK('2025'!$Q34), 0, 1), 4, if(ISBLANK('2025'!$R34), 0, 1), 5, if(ISBLANK('2025'!$S34), 0, 1), 6, if(ISBLANK('2025'!$T34), 0, 1), 7, 0))), 1, "")</f>
        <v/>
      </c>
      <c r="J34" s="1" t="str">
        <f>IF(AND(AND(AND(J$4&gt;='2025'!$L34,J$4&lt;='2025'!$M34), J$4&lt;&gt;DATE(2025,7,4)), (SWITCH(weekday(J$4), 1, 0, 2, if(ISBLANK('2025'!$P34), 0, 1), 3, if(ISBLANK('2025'!$Q34), 0, 1), 4, if(ISBLANK('2025'!$R34), 0, 1), 5, if(ISBLANK('2025'!$S34), 0, 1), 6, if(ISBLANK('2025'!$T34), 0, 1), 7, 0))), 1, "")</f>
        <v/>
      </c>
      <c r="K34" s="1" t="str">
        <f>IF(AND(AND(AND(K$4&gt;='2025'!$L34,K$4&lt;='2025'!$M34), K$4&lt;&gt;DATE(2025,7,4)), (SWITCH(weekday(K$4), 1, 0, 2, if(ISBLANK('2025'!$P34), 0, 1), 3, if(ISBLANK('2025'!$Q34), 0, 1), 4, if(ISBLANK('2025'!$R34), 0, 1), 5, if(ISBLANK('2025'!$S34), 0, 1), 6, if(ISBLANK('2025'!$T34), 0, 1), 7, 0))), 1, "")</f>
        <v/>
      </c>
      <c r="L34" s="1" t="str">
        <f>IF(AND(AND(AND(L$4&gt;='2025'!$L34,L$4&lt;='2025'!$M34), L$4&lt;&gt;DATE(2025,7,4)), (SWITCH(weekday(L$4), 1, 0, 2, if(ISBLANK('2025'!$P34), 0, 1), 3, if(ISBLANK('2025'!$Q34), 0, 1), 4, if(ISBLANK('2025'!$R34), 0, 1), 5, if(ISBLANK('2025'!$S34), 0, 1), 6, if(ISBLANK('2025'!$T34), 0, 1), 7, 0))), 1, "")</f>
        <v/>
      </c>
      <c r="M34" s="1" t="str">
        <f>IF(AND(AND(AND(M$4&gt;='2025'!$L34,M$4&lt;='2025'!$M34), M$4&lt;&gt;DATE(2025,7,4)), (SWITCH(weekday(M$4), 1, 0, 2, if(ISBLANK('2025'!$P34), 0, 1), 3, if(ISBLANK('2025'!$Q34), 0, 1), 4, if(ISBLANK('2025'!$R34), 0, 1), 5, if(ISBLANK('2025'!$S34), 0, 1), 6, if(ISBLANK('2025'!$T34), 0, 1), 7, 0))), 1, "")</f>
        <v/>
      </c>
      <c r="N34" s="1" t="str">
        <f>IF(AND(AND(AND(N$4&gt;='2025'!$L34,N$4&lt;='2025'!$M34), N$4&lt;&gt;DATE(2025,7,4)), (SWITCH(weekday(N$4), 1, 0, 2, if(ISBLANK('2025'!$P34), 0, 1), 3, if(ISBLANK('2025'!$Q34), 0, 1), 4, if(ISBLANK('2025'!$R34), 0, 1), 5, if(ISBLANK('2025'!$S34), 0, 1), 6, if(ISBLANK('2025'!$T34), 0, 1), 7, 0))), 1, "")</f>
        <v/>
      </c>
      <c r="O34" s="1" t="str">
        <f>IF(AND(AND(AND(O$4&gt;='2025'!$L34,O$4&lt;='2025'!$M34), O$4&lt;&gt;DATE(2025,7,4)), (SWITCH(weekday(O$4), 1, 0, 2, if(ISBLANK('2025'!$P34), 0, 1), 3, if(ISBLANK('2025'!$Q34), 0, 1), 4, if(ISBLANK('2025'!$R34), 0, 1), 5, if(ISBLANK('2025'!$S34), 0, 1), 6, if(ISBLANK('2025'!$T34), 0, 1), 7, 0))), 1, "")</f>
        <v/>
      </c>
      <c r="P34" s="1" t="str">
        <f>IF(AND(AND(AND(P$4&gt;='2025'!$L34,P$4&lt;='2025'!$M34), P$4&lt;&gt;DATE(2025,7,4)), (SWITCH(weekday(P$4), 1, 0, 2, if(ISBLANK('2025'!$P34), 0, 1), 3, if(ISBLANK('2025'!$Q34), 0, 1), 4, if(ISBLANK('2025'!$R34), 0, 1), 5, if(ISBLANK('2025'!$S34), 0, 1), 6, if(ISBLANK('2025'!$T34), 0, 1), 7, 0))), 1, "")</f>
        <v/>
      </c>
      <c r="Q34" s="1" t="str">
        <f>IF(AND(AND(AND(Q$4&gt;='2025'!$L34,Q$4&lt;='2025'!$M34), Q$4&lt;&gt;DATE(2025,7,4)), (SWITCH(weekday(Q$4), 1, 0, 2, if(ISBLANK('2025'!$P34), 0, 1), 3, if(ISBLANK('2025'!$Q34), 0, 1), 4, if(ISBLANK('2025'!$R34), 0, 1), 5, if(ISBLANK('2025'!$S34), 0, 1), 6, if(ISBLANK('2025'!$T34), 0, 1), 7, 0))), 1, "")</f>
        <v/>
      </c>
      <c r="R34" s="1" t="str">
        <f>IF(AND(AND(AND(R$4&gt;='2025'!$L34,R$4&lt;='2025'!$M34), R$4&lt;&gt;DATE(2025,7,4)), (SWITCH(weekday(R$4), 1, 0, 2, if(ISBLANK('2025'!$P34), 0, 1), 3, if(ISBLANK('2025'!$Q34), 0, 1), 4, if(ISBLANK('2025'!$R34), 0, 1), 5, if(ISBLANK('2025'!$S34), 0, 1), 6, if(ISBLANK('2025'!$T34), 0, 1), 7, 0))), 1, "")</f>
        <v/>
      </c>
      <c r="S34" s="1" t="str">
        <f>IF(AND(AND(AND(S$4&gt;='2025'!$L34,S$4&lt;='2025'!$M34), S$4&lt;&gt;DATE(2025,7,4)), (SWITCH(weekday(S$4), 1, 0, 2, if(ISBLANK('2025'!$P34), 0, 1), 3, if(ISBLANK('2025'!$Q34), 0, 1), 4, if(ISBLANK('2025'!$R34), 0, 1), 5, if(ISBLANK('2025'!$S34), 0, 1), 6, if(ISBLANK('2025'!$T34), 0, 1), 7, 0))), 1, "")</f>
        <v/>
      </c>
      <c r="T34" s="1" t="str">
        <f>IF(AND(AND(AND(T$4&gt;='2025'!$L34,T$4&lt;='2025'!$M34), T$4&lt;&gt;DATE(2025,7,4)), (SWITCH(weekday(T$4), 1, 0, 2, if(ISBLANK('2025'!$P34), 0, 1), 3, if(ISBLANK('2025'!$Q34), 0, 1), 4, if(ISBLANK('2025'!$R34), 0, 1), 5, if(ISBLANK('2025'!$S34), 0, 1), 6, if(ISBLANK('2025'!$T34), 0, 1), 7, 0))), 1, "")</f>
        <v/>
      </c>
      <c r="U34" s="1" t="str">
        <f>IF(AND(AND(AND(U$4&gt;='2025'!$L34,U$4&lt;='2025'!$M34), U$4&lt;&gt;DATE(2025,7,4)), (SWITCH(weekday(U$4), 1, 0, 2, if(ISBLANK('2025'!$P34), 0, 1), 3, if(ISBLANK('2025'!$Q34), 0, 1), 4, if(ISBLANK('2025'!$R34), 0, 1), 5, if(ISBLANK('2025'!$S34), 0, 1), 6, if(ISBLANK('2025'!$T34), 0, 1), 7, 0))), 1, "")</f>
        <v/>
      </c>
      <c r="V34" s="1" t="str">
        <f>IF(AND(AND(AND(V$4&gt;='2025'!$L34,V$4&lt;='2025'!$M34), V$4&lt;&gt;DATE(2025,7,4)), (SWITCH(weekday(V$4), 1, 0, 2, if(ISBLANK('2025'!$P34), 0, 1), 3, if(ISBLANK('2025'!$Q34), 0, 1), 4, if(ISBLANK('2025'!$R34), 0, 1), 5, if(ISBLANK('2025'!$S34), 0, 1), 6, if(ISBLANK('2025'!$T34), 0, 1), 7, 0))), 1, "")</f>
        <v/>
      </c>
      <c r="W34" s="1" t="str">
        <f>IF(AND(AND(AND(W$4&gt;='2025'!$L34,W$4&lt;='2025'!$M34), W$4&lt;&gt;DATE(2025,7,4)), (SWITCH(weekday(W$4), 1, 0, 2, if(ISBLANK('2025'!$P34), 0, 1), 3, if(ISBLANK('2025'!$Q34), 0, 1), 4, if(ISBLANK('2025'!$R34), 0, 1), 5, if(ISBLANK('2025'!$S34), 0, 1), 6, if(ISBLANK('2025'!$T34), 0, 1), 7, 0))), 1, "")</f>
        <v/>
      </c>
      <c r="X34" s="1" t="str">
        <f>IF(AND(AND(AND(X$4&gt;='2025'!$L34,X$4&lt;='2025'!$M34), X$4&lt;&gt;DATE(2025,7,4)), (SWITCH(weekday(X$4), 1, 0, 2, if(ISBLANK('2025'!$P34), 0, 1), 3, if(ISBLANK('2025'!$Q34), 0, 1), 4, if(ISBLANK('2025'!$R34), 0, 1), 5, if(ISBLANK('2025'!$S34), 0, 1), 6, if(ISBLANK('2025'!$T34), 0, 1), 7, 0))), 1, "")</f>
        <v/>
      </c>
      <c r="Y34" s="1" t="str">
        <f>IF(AND(AND(AND(Y$4&gt;='2025'!$L34,Y$4&lt;='2025'!$M34), Y$4&lt;&gt;DATE(2025,7,4)), (SWITCH(weekday(Y$4), 1, 0, 2, if(ISBLANK('2025'!$P34), 0, 1), 3, if(ISBLANK('2025'!$Q34), 0, 1), 4, if(ISBLANK('2025'!$R34), 0, 1), 5, if(ISBLANK('2025'!$S34), 0, 1), 6, if(ISBLANK('2025'!$T34), 0, 1), 7, 0))), 1, "")</f>
        <v/>
      </c>
      <c r="Z34" s="1" t="str">
        <f>IF(AND(AND(AND(Z$4&gt;='2025'!$L34,Z$4&lt;='2025'!$M34), Z$4&lt;&gt;DATE(2025,7,4)), (SWITCH(weekday(Z$4), 1, 0, 2, if(ISBLANK('2025'!$P34), 0, 1), 3, if(ISBLANK('2025'!$Q34), 0, 1), 4, if(ISBLANK('2025'!$R34), 0, 1), 5, if(ISBLANK('2025'!$S34), 0, 1), 6, if(ISBLANK('2025'!$T34), 0, 1), 7, 0))), 1, "")</f>
        <v/>
      </c>
      <c r="AA34" s="1" t="str">
        <f>IF(AND(AND(AND(AA$4&gt;='2025'!$L34,AA$4&lt;='2025'!$M34), AA$4&lt;&gt;DATE(2025,7,4)), (SWITCH(weekday(AA$4), 1, 0, 2, if(ISBLANK('2025'!$P34), 0, 1), 3, if(ISBLANK('2025'!$Q34), 0, 1), 4, if(ISBLANK('2025'!$R34), 0, 1), 5, if(ISBLANK('2025'!$S34), 0, 1), 6, if(ISBLANK('2025'!$T34), 0, 1), 7, 0))), 1, "")</f>
        <v/>
      </c>
      <c r="AB34" s="1" t="str">
        <f>IF(AND(AND(AND(AB$4&gt;='2025'!$L34,AB$4&lt;='2025'!$M34), AB$4&lt;&gt;DATE(2025,7,4)), (SWITCH(weekday(AB$4), 1, 0, 2, if(ISBLANK('2025'!$P34), 0, 1), 3, if(ISBLANK('2025'!$Q34), 0, 1), 4, if(ISBLANK('2025'!$R34), 0, 1), 5, if(ISBLANK('2025'!$S34), 0, 1), 6, if(ISBLANK('2025'!$T34), 0, 1), 7, 0))), 1, "")</f>
        <v/>
      </c>
      <c r="AC34" s="1" t="str">
        <f>IF(AND(AND(AND(AC$4&gt;='2025'!$L34,AC$4&lt;='2025'!$M34), AC$4&lt;&gt;DATE(2025,7,4)), (SWITCH(weekday(AC$4), 1, 0, 2, if(ISBLANK('2025'!$P34), 0, 1), 3, if(ISBLANK('2025'!$Q34), 0, 1), 4, if(ISBLANK('2025'!$R34), 0, 1), 5, if(ISBLANK('2025'!$S34), 0, 1), 6, if(ISBLANK('2025'!$T34), 0, 1), 7, 0))), 1, "")</f>
        <v/>
      </c>
      <c r="AD34" s="1" t="str">
        <f>IF(AND(AND(AND(AD$4&gt;='2025'!$L34,AD$4&lt;='2025'!$M34), AD$4&lt;&gt;DATE(2025,7,4)), (SWITCH(weekday(AD$4), 1, 0, 2, if(ISBLANK('2025'!$P34), 0, 1), 3, if(ISBLANK('2025'!$Q34), 0, 1), 4, if(ISBLANK('2025'!$R34), 0, 1), 5, if(ISBLANK('2025'!$S34), 0, 1), 6, if(ISBLANK('2025'!$T34), 0, 1), 7, 0))), 1, "")</f>
        <v/>
      </c>
      <c r="AE34" s="1" t="str">
        <f>IF(AND(AND(AND(AE$4&gt;='2025'!$L34,AE$4&lt;='2025'!$M34), AE$4&lt;&gt;DATE(2025,7,4)), (SWITCH(weekday(AE$4), 1, 0, 2, if(ISBLANK('2025'!$P34), 0, 1), 3, if(ISBLANK('2025'!$Q34), 0, 1), 4, if(ISBLANK('2025'!$R34), 0, 1), 5, if(ISBLANK('2025'!$S34), 0, 1), 6, if(ISBLANK('2025'!$T34), 0, 1), 7, 0))), 1, "")</f>
        <v/>
      </c>
      <c r="AF34" s="1" t="str">
        <f>IF(AND(AND(AND(AF$4&gt;='2025'!$L34,AF$4&lt;='2025'!$M34), AF$4&lt;&gt;DATE(2025,7,4)), (SWITCH(weekday(AF$4), 1, 0, 2, if(ISBLANK('2025'!$P34), 0, 1), 3, if(ISBLANK('2025'!$Q34), 0, 1), 4, if(ISBLANK('2025'!$R34), 0, 1), 5, if(ISBLANK('2025'!$S34), 0, 1), 6, if(ISBLANK('2025'!$T34), 0, 1), 7, 0))), 1, "")</f>
        <v/>
      </c>
      <c r="AG34" s="1" t="str">
        <f>IF(AND(AND(AND(AG$4&gt;='2025'!$L34,AG$4&lt;='2025'!$M34), AG$4&lt;&gt;DATE(2025,7,4)), (SWITCH(weekday(AG$4), 1, 0, 2, if(ISBLANK('2025'!$P34), 0, 1), 3, if(ISBLANK('2025'!$Q34), 0, 1), 4, if(ISBLANK('2025'!$R34), 0, 1), 5, if(ISBLANK('2025'!$S34), 0, 1), 6, if(ISBLANK('2025'!$T34), 0, 1), 7, 0))), 1, "")</f>
        <v/>
      </c>
      <c r="AH34" s="1" t="str">
        <f>IF(AND(AND(AND(AH$4&gt;='2025'!$L34,AH$4&lt;='2025'!$M34), AH$4&lt;&gt;DATE(2025,7,4)), (SWITCH(weekday(AH$4), 1, 0, 2, if(ISBLANK('2025'!$P34), 0, 1), 3, if(ISBLANK('2025'!$Q34), 0, 1), 4, if(ISBLANK('2025'!$R34), 0, 1), 5, if(ISBLANK('2025'!$S34), 0, 1), 6, if(ISBLANK('2025'!$T34), 0, 1), 7, 0))), 1, "")</f>
        <v/>
      </c>
      <c r="AI34" s="1" t="str">
        <f>IF(AND(AND(AND(AI$4&gt;='2025'!$L34,AI$4&lt;='2025'!$M34), AI$4&lt;&gt;DATE(2025,7,4)), (SWITCH(weekday(AI$4), 1, 0, 2, if(ISBLANK('2025'!$P34), 0, 1), 3, if(ISBLANK('2025'!$Q34), 0, 1), 4, if(ISBLANK('2025'!$R34), 0, 1), 5, if(ISBLANK('2025'!$S34), 0, 1), 6, if(ISBLANK('2025'!$T34), 0, 1), 7, 0))), 1, "")</f>
        <v/>
      </c>
      <c r="AJ34" s="1" t="str">
        <f>IF(AND(AND(AND(AJ$4&gt;='2025'!$L34,AJ$4&lt;='2025'!$M34), AJ$4&lt;&gt;DATE(2025,7,4)), (SWITCH(weekday(AJ$4), 1, 0, 2, if(ISBLANK('2025'!$P34), 0, 1), 3, if(ISBLANK('2025'!$Q34), 0, 1), 4, if(ISBLANK('2025'!$R34), 0, 1), 5, if(ISBLANK('2025'!$S34), 0, 1), 6, if(ISBLANK('2025'!$T34), 0, 1), 7, 0))), 1, "")</f>
        <v/>
      </c>
      <c r="AK34" s="1" t="str">
        <f>IF(AND(AND(AND(AK$4&gt;='2025'!$L34,AK$4&lt;='2025'!$M34), AK$4&lt;&gt;DATE(2025,7,4)), (SWITCH(weekday(AK$4), 1, 0, 2, if(ISBLANK('2025'!$P34), 0, 1), 3, if(ISBLANK('2025'!$Q34), 0, 1), 4, if(ISBLANK('2025'!$R34), 0, 1), 5, if(ISBLANK('2025'!$S34), 0, 1), 6, if(ISBLANK('2025'!$T34), 0, 1), 7, 0))), 1, "")</f>
        <v/>
      </c>
      <c r="AL34" s="1" t="str">
        <f>IF(AND(AND(AND(AL$4&gt;='2025'!$L34,AL$4&lt;='2025'!$M34), AL$4&lt;&gt;DATE(2025,7,4)), (SWITCH(weekday(AL$4), 1, 0, 2, if(ISBLANK('2025'!$P34), 0, 1), 3, if(ISBLANK('2025'!$Q34), 0, 1), 4, if(ISBLANK('2025'!$R34), 0, 1), 5, if(ISBLANK('2025'!$S34), 0, 1), 6, if(ISBLANK('2025'!$T34), 0, 1), 7, 0))), 1, "")</f>
        <v/>
      </c>
      <c r="AM34" s="1" t="str">
        <f>IF(AND(AND(AND(AM$4&gt;='2025'!$L34,AM$4&lt;='2025'!$M34), AM$4&lt;&gt;DATE(2025,7,4)), (SWITCH(weekday(AM$4), 1, 0, 2, if(ISBLANK('2025'!$P34), 0, 1), 3, if(ISBLANK('2025'!$Q34), 0, 1), 4, if(ISBLANK('2025'!$R34), 0, 1), 5, if(ISBLANK('2025'!$S34), 0, 1), 6, if(ISBLANK('2025'!$T34), 0, 1), 7, 0))), 1, "")</f>
        <v/>
      </c>
      <c r="AN34" s="1" t="str">
        <f>IF(AND(AND(AND(AN$4&gt;='2025'!$L34,AN$4&lt;='2025'!$M34), AN$4&lt;&gt;DATE(2025,7,4)), (SWITCH(weekday(AN$4), 1, 0, 2, if(ISBLANK('2025'!$P34), 0, 1), 3, if(ISBLANK('2025'!$Q34), 0, 1), 4, if(ISBLANK('2025'!$R34), 0, 1), 5, if(ISBLANK('2025'!$S34), 0, 1), 6, if(ISBLANK('2025'!$T34), 0, 1), 7, 0))), 1, "")</f>
        <v/>
      </c>
      <c r="AO34" s="1" t="str">
        <f>IF(AND(AND(AND(AO$4&gt;='2025'!$L34,AO$4&lt;='2025'!$M34), AO$4&lt;&gt;DATE(2025,7,4)), (SWITCH(weekday(AO$4), 1, 0, 2, if(ISBLANK('2025'!$P34), 0, 1), 3, if(ISBLANK('2025'!$Q34), 0, 1), 4, if(ISBLANK('2025'!$R34), 0, 1), 5, if(ISBLANK('2025'!$S34), 0, 1), 6, if(ISBLANK('2025'!$T34), 0, 1), 7, 0))), 1, "")</f>
        <v/>
      </c>
      <c r="AP34" s="1" t="str">
        <f>IF(AND(AND(AND(AP$4&gt;='2025'!$L34,AP$4&lt;='2025'!$M34), AP$4&lt;&gt;DATE(2025,7,4)), (SWITCH(weekday(AP$4), 1, 0, 2, if(ISBLANK('2025'!$P34), 0, 1), 3, if(ISBLANK('2025'!$Q34), 0, 1), 4, if(ISBLANK('2025'!$R34), 0, 1), 5, if(ISBLANK('2025'!$S34), 0, 1), 6, if(ISBLANK('2025'!$T34), 0, 1), 7, 0))), 1, "")</f>
        <v/>
      </c>
      <c r="AQ34" s="1" t="str">
        <f>IF(AND(AND(AND(AQ$4&gt;='2025'!$L34,AQ$4&lt;='2025'!$M34), AQ$4&lt;&gt;DATE(2025,7,4)), (SWITCH(weekday(AQ$4), 1, 0, 2, if(ISBLANK('2025'!$P34), 0, 1), 3, if(ISBLANK('2025'!$Q34), 0, 1), 4, if(ISBLANK('2025'!$R34), 0, 1), 5, if(ISBLANK('2025'!$S34), 0, 1), 6, if(ISBLANK('2025'!$T34), 0, 1), 7, 0))), 1, "")</f>
        <v/>
      </c>
      <c r="AR34" s="1" t="str">
        <f>IF(AND(AND(AND(AR$4&gt;='2025'!$L34,AR$4&lt;='2025'!$M34), AR$4&lt;&gt;DATE(2025,7,4)), (SWITCH(weekday(AR$4), 1, 0, 2, if(ISBLANK('2025'!$P34), 0, 1), 3, if(ISBLANK('2025'!$Q34), 0, 1), 4, if(ISBLANK('2025'!$R34), 0, 1), 5, if(ISBLANK('2025'!$S34), 0, 1), 6, if(ISBLANK('2025'!$T34), 0, 1), 7, 0))), 1, "")</f>
        <v/>
      </c>
      <c r="AS34" s="1" t="str">
        <f>IF(AND(AND(AND(AS$4&gt;='2025'!$L34,AS$4&lt;='2025'!$M34), AS$4&lt;&gt;DATE(2025,7,4)), (SWITCH(weekday(AS$4), 1, 0, 2, if(ISBLANK('2025'!$P34), 0, 1), 3, if(ISBLANK('2025'!$Q34), 0, 1), 4, if(ISBLANK('2025'!$R34), 0, 1), 5, if(ISBLANK('2025'!$S34), 0, 1), 6, if(ISBLANK('2025'!$T34), 0, 1), 7, 0))), 1, "")</f>
        <v/>
      </c>
      <c r="AT34" s="1" t="str">
        <f>IF(AND(AND(AND(AT$4&gt;='2025'!$L34,AT$4&lt;='2025'!$M34), AT$4&lt;&gt;DATE(2025,7,4)), (SWITCH(weekday(AT$4), 1, 0, 2, if(ISBLANK('2025'!$P34), 0, 1), 3, if(ISBLANK('2025'!$Q34), 0, 1), 4, if(ISBLANK('2025'!$R34), 0, 1), 5, if(ISBLANK('2025'!$S34), 0, 1), 6, if(ISBLANK('2025'!$T34), 0, 1), 7, 0))), 1, "")</f>
        <v/>
      </c>
      <c r="AU34" s="1" t="str">
        <f>IF(AND(AND(AND(AU$4&gt;='2025'!$L34,AU$4&lt;='2025'!$M34), AU$4&lt;&gt;DATE(2025,7,4)), (SWITCH(weekday(AU$4), 1, 0, 2, if(ISBLANK('2025'!$P34), 0, 1), 3, if(ISBLANK('2025'!$Q34), 0, 1), 4, if(ISBLANK('2025'!$R34), 0, 1), 5, if(ISBLANK('2025'!$S34), 0, 1), 6, if(ISBLANK('2025'!$T34), 0, 1), 7, 0))), 1, "")</f>
        <v/>
      </c>
      <c r="AV34" s="1" t="str">
        <f>IF(AND(AND(AND(AV$4&gt;='2025'!$L34,AV$4&lt;='2025'!$M34), AV$4&lt;&gt;DATE(2025,7,4)), (SWITCH(weekday(AV$4), 1, 0, 2, if(ISBLANK('2025'!$P34), 0, 1), 3, if(ISBLANK('2025'!$Q34), 0, 1), 4, if(ISBLANK('2025'!$R34), 0, 1), 5, if(ISBLANK('2025'!$S34), 0, 1), 6, if(ISBLANK('2025'!$T34), 0, 1), 7, 0))), 1, "")</f>
        <v/>
      </c>
      <c r="AW34" s="1" t="str">
        <f>IF(AND(AND(AND(AW$4&gt;='2025'!$L34,AW$4&lt;='2025'!$M34), AW$4&lt;&gt;DATE(2025,7,4)), (SWITCH(weekday(AW$4), 1, 0, 2, if(ISBLANK('2025'!$P34), 0, 1), 3, if(ISBLANK('2025'!$Q34), 0, 1), 4, if(ISBLANK('2025'!$R34), 0, 1), 5, if(ISBLANK('2025'!$S34), 0, 1), 6, if(ISBLANK('2025'!$T34), 0, 1), 7, 0))), 1, "")</f>
        <v/>
      </c>
      <c r="AX34" s="1" t="str">
        <f>IF(AND(AND(AND(AX$4&gt;='2025'!$L34,AX$4&lt;='2025'!$M34), AX$4&lt;&gt;DATE(2025,7,4)), (SWITCH(weekday(AX$4), 1, 0, 2, if(ISBLANK('2025'!$P34), 0, 1), 3, if(ISBLANK('2025'!$Q34), 0, 1), 4, if(ISBLANK('2025'!$R34), 0, 1), 5, if(ISBLANK('2025'!$S34), 0, 1), 6, if(ISBLANK('2025'!$T34), 0, 1), 7, 0))), 1, "")</f>
        <v/>
      </c>
      <c r="AY34" s="1" t="str">
        <f>IF(AND(AND(AND(AY$4&gt;='2025'!$L34,AY$4&lt;='2025'!$M34), AY$4&lt;&gt;DATE(2025,7,4)), (SWITCH(weekday(AY$4), 1, 0, 2, if(ISBLANK('2025'!$P34), 0, 1), 3, if(ISBLANK('2025'!$Q34), 0, 1), 4, if(ISBLANK('2025'!$R34), 0, 1), 5, if(ISBLANK('2025'!$S34), 0, 1), 6, if(ISBLANK('2025'!$T34), 0, 1), 7, 0))), 1, "")</f>
        <v/>
      </c>
      <c r="AZ34" s="1" t="str">
        <f>IF(AND(AND(AND(AZ$4&gt;='2025'!$L34,AZ$4&lt;='2025'!$M34), AZ$4&lt;&gt;DATE(2025,7,4)), (SWITCH(weekday(AZ$4), 1, 0, 2, if(ISBLANK('2025'!$P34), 0, 1), 3, if(ISBLANK('2025'!$Q34), 0, 1), 4, if(ISBLANK('2025'!$R34), 0, 1), 5, if(ISBLANK('2025'!$S34), 0, 1), 6, if(ISBLANK('2025'!$T34), 0, 1), 7, 0))), 1, "")</f>
        <v/>
      </c>
      <c r="BA34" s="1" t="str">
        <f>IF(AND(AND(AND(BA$4&gt;='2025'!$L34,BA$4&lt;='2025'!$M34), BA$4&lt;&gt;DATE(2025,7,4)), (SWITCH(weekday(BA$4), 1, 0, 2, if(ISBLANK('2025'!$P34), 0, 1), 3, if(ISBLANK('2025'!$Q34), 0, 1), 4, if(ISBLANK('2025'!$R34), 0, 1), 5, if(ISBLANK('2025'!$S34), 0, 1), 6, if(ISBLANK('2025'!$T34), 0, 1), 7, 0))), 1, "")</f>
        <v/>
      </c>
      <c r="BB34" s="1" t="str">
        <f>IF(AND(AND(AND(BB$4&gt;='2025'!$L34,BB$4&lt;='2025'!$M34), BB$4&lt;&gt;DATE(2025,7,4)), (SWITCH(weekday(BB$4), 1, 0, 2, if(ISBLANK('2025'!$P34), 0, 1), 3, if(ISBLANK('2025'!$Q34), 0, 1), 4, if(ISBLANK('2025'!$R34), 0, 1), 5, if(ISBLANK('2025'!$S34), 0, 1), 6, if(ISBLANK('2025'!$T34), 0, 1), 7, 0))), 1, "")</f>
        <v/>
      </c>
      <c r="BC34" s="1" t="str">
        <f>IF(AND(AND(AND(BC$4&gt;='2025'!$L34,BC$4&lt;='2025'!$M34), BC$4&lt;&gt;DATE(2025,7,4)), (SWITCH(weekday(BC$4), 1, 0, 2, if(ISBLANK('2025'!$P34), 0, 1), 3, if(ISBLANK('2025'!$Q34), 0, 1), 4, if(ISBLANK('2025'!$R34), 0, 1), 5, if(ISBLANK('2025'!$S34), 0, 1), 6, if(ISBLANK('2025'!$T34), 0, 1), 7, 0))), 1, "")</f>
        <v/>
      </c>
      <c r="BD34" s="1" t="str">
        <f>IF(AND(AND(AND(BD$4&gt;='2025'!$L34,BD$4&lt;='2025'!$M34), BD$4&lt;&gt;DATE(2025,7,4)), (SWITCH(weekday(BD$4), 1, 0, 2, if(ISBLANK('2025'!$P34), 0, 1), 3, if(ISBLANK('2025'!$Q34), 0, 1), 4, if(ISBLANK('2025'!$R34), 0, 1), 5, if(ISBLANK('2025'!$S34), 0, 1), 6, if(ISBLANK('2025'!$T34), 0, 1), 7, 0))), 1, "")</f>
        <v/>
      </c>
      <c r="BE34" s="1" t="str">
        <f>IF(AND(AND(AND(BE$4&gt;='2025'!$L34,BE$4&lt;='2025'!$M34), BE$4&lt;&gt;DATE(2025,7,4)), (SWITCH(weekday(BE$4), 1, 0, 2, if(ISBLANK('2025'!$P34), 0, 1), 3, if(ISBLANK('2025'!$Q34), 0, 1), 4, if(ISBLANK('2025'!$R34), 0, 1), 5, if(ISBLANK('2025'!$S34), 0, 1), 6, if(ISBLANK('2025'!$T34), 0, 1), 7, 0))), 1, "")</f>
        <v/>
      </c>
      <c r="BF34" s="1" t="str">
        <f>IF(AND(AND(AND(BF$4&gt;='2025'!$L34,BF$4&lt;='2025'!$M34), BF$4&lt;&gt;DATE(2025,7,4)), (SWITCH(weekday(BF$4), 1, 0, 2, if(ISBLANK('2025'!$P34), 0, 1), 3, if(ISBLANK('2025'!$Q34), 0, 1), 4, if(ISBLANK('2025'!$R34), 0, 1), 5, if(ISBLANK('2025'!$S34), 0, 1), 6, if(ISBLANK('2025'!$T34), 0, 1), 7, 0))), 1, "")</f>
        <v/>
      </c>
      <c r="BG34" s="1"/>
      <c r="BH34" s="1"/>
      <c r="BI34" s="1"/>
      <c r="BJ34" s="1"/>
      <c r="BK34" s="1"/>
      <c r="BL34" s="1"/>
    </row>
    <row r="35">
      <c r="A35" s="1">
        <f t="shared" si="3"/>
        <v>35</v>
      </c>
      <c r="B35" s="1" t="str">
        <f>'2025'!D35</f>
        <v>Satalino, Theodore</v>
      </c>
      <c r="C35" s="1" t="str">
        <f>'2025'!H35</f>
        <v>PK3.1</v>
      </c>
      <c r="D35" s="1" t="str">
        <f>IF(AND(AND(AND(D$4&gt;='2025'!$L35,D$4&lt;='2025'!$M35), D$4&lt;&gt;DATE(2025,7,4)), (SWITCH(weekday(D$4), 1, 0, 2, if(ISBLANK('2025'!$P35), 0, 1), 3, if(ISBLANK('2025'!$Q35), 0, 1), 4, if(ISBLANK('2025'!$R35), 0, 1), 5, if(ISBLANK('2025'!$S35), 0, 1), 6, if(ISBLANK('2025'!$T35), 0, 1), 7, 0))), 1, "")</f>
        <v/>
      </c>
      <c r="E35" s="1" t="str">
        <f>IF(AND(AND(AND(E$4&gt;='2025'!$L35,E$4&lt;='2025'!$M35), E$4&lt;&gt;DATE(2025,7,4)), (SWITCH(weekday(E$4), 1, 0, 2, if(ISBLANK('2025'!$P35), 0, 1), 3, if(ISBLANK('2025'!$Q35), 0, 1), 4, if(ISBLANK('2025'!$R35), 0, 1), 5, if(ISBLANK('2025'!$S35), 0, 1), 6, if(ISBLANK('2025'!$T35), 0, 1), 7, 0))), 1, "")</f>
        <v/>
      </c>
      <c r="F35" s="1" t="str">
        <f>IF(AND(AND(AND(F$4&gt;='2025'!$L35,F$4&lt;='2025'!$M35), F$4&lt;&gt;DATE(2025,7,4)), (SWITCH(weekday(F$4), 1, 0, 2, if(ISBLANK('2025'!$P35), 0, 1), 3, if(ISBLANK('2025'!$Q35), 0, 1), 4, if(ISBLANK('2025'!$R35), 0, 1), 5, if(ISBLANK('2025'!$S35), 0, 1), 6, if(ISBLANK('2025'!$T35), 0, 1), 7, 0))), 1, "")</f>
        <v/>
      </c>
      <c r="G35" s="1" t="str">
        <f>IF(AND(AND(AND(G$4&gt;='2025'!$L35,G$4&lt;='2025'!$M35), G$4&lt;&gt;DATE(2025,7,4)), (SWITCH(weekday(G$4), 1, 0, 2, if(ISBLANK('2025'!$P35), 0, 1), 3, if(ISBLANK('2025'!$Q35), 0, 1), 4, if(ISBLANK('2025'!$R35), 0, 1), 5, if(ISBLANK('2025'!$S35), 0, 1), 6, if(ISBLANK('2025'!$T35), 0, 1), 7, 0))), 1, "")</f>
        <v/>
      </c>
      <c r="H35" s="1" t="str">
        <f>IF(AND(AND(AND(H$4&gt;='2025'!$L35,H$4&lt;='2025'!$M35), H$4&lt;&gt;DATE(2025,7,4)), (SWITCH(weekday(H$4), 1, 0, 2, if(ISBLANK('2025'!$P35), 0, 1), 3, if(ISBLANK('2025'!$Q35), 0, 1), 4, if(ISBLANK('2025'!$R35), 0, 1), 5, if(ISBLANK('2025'!$S35), 0, 1), 6, if(ISBLANK('2025'!$T35), 0, 1), 7, 0))), 1, "")</f>
        <v/>
      </c>
      <c r="I35" s="1" t="str">
        <f>IF(AND(AND(AND(I$4&gt;='2025'!$L35,I$4&lt;='2025'!$M35), I$4&lt;&gt;DATE(2025,7,4)), (SWITCH(weekday(I$4), 1, 0, 2, if(ISBLANK('2025'!$P35), 0, 1), 3, if(ISBLANK('2025'!$Q35), 0, 1), 4, if(ISBLANK('2025'!$R35), 0, 1), 5, if(ISBLANK('2025'!$S35), 0, 1), 6, if(ISBLANK('2025'!$T35), 0, 1), 7, 0))), 1, "")</f>
        <v/>
      </c>
      <c r="J35" s="1" t="str">
        <f>IF(AND(AND(AND(J$4&gt;='2025'!$L35,J$4&lt;='2025'!$M35), J$4&lt;&gt;DATE(2025,7,4)), (SWITCH(weekday(J$4), 1, 0, 2, if(ISBLANK('2025'!$P35), 0, 1), 3, if(ISBLANK('2025'!$Q35), 0, 1), 4, if(ISBLANK('2025'!$R35), 0, 1), 5, if(ISBLANK('2025'!$S35), 0, 1), 6, if(ISBLANK('2025'!$T35), 0, 1), 7, 0))), 1, "")</f>
        <v/>
      </c>
      <c r="K35" s="1" t="str">
        <f>IF(AND(AND(AND(K$4&gt;='2025'!$L35,K$4&lt;='2025'!$M35), K$4&lt;&gt;DATE(2025,7,4)), (SWITCH(weekday(K$4), 1, 0, 2, if(ISBLANK('2025'!$P35), 0, 1), 3, if(ISBLANK('2025'!$Q35), 0, 1), 4, if(ISBLANK('2025'!$R35), 0, 1), 5, if(ISBLANK('2025'!$S35), 0, 1), 6, if(ISBLANK('2025'!$T35), 0, 1), 7, 0))), 1, "")</f>
        <v/>
      </c>
      <c r="L35" s="1" t="str">
        <f>IF(AND(AND(AND(L$4&gt;='2025'!$L35,L$4&lt;='2025'!$M35), L$4&lt;&gt;DATE(2025,7,4)), (SWITCH(weekday(L$4), 1, 0, 2, if(ISBLANK('2025'!$P35), 0, 1), 3, if(ISBLANK('2025'!$Q35), 0, 1), 4, if(ISBLANK('2025'!$R35), 0, 1), 5, if(ISBLANK('2025'!$S35), 0, 1), 6, if(ISBLANK('2025'!$T35), 0, 1), 7, 0))), 1, "")</f>
        <v/>
      </c>
      <c r="M35" s="1" t="str">
        <f>IF(AND(AND(AND(M$4&gt;='2025'!$L35,M$4&lt;='2025'!$M35), M$4&lt;&gt;DATE(2025,7,4)), (SWITCH(weekday(M$4), 1, 0, 2, if(ISBLANK('2025'!$P35), 0, 1), 3, if(ISBLANK('2025'!$Q35), 0, 1), 4, if(ISBLANK('2025'!$R35), 0, 1), 5, if(ISBLANK('2025'!$S35), 0, 1), 6, if(ISBLANK('2025'!$T35), 0, 1), 7, 0))), 1, "")</f>
        <v/>
      </c>
      <c r="N35" s="1" t="str">
        <f>IF(AND(AND(AND(N$4&gt;='2025'!$L35,N$4&lt;='2025'!$M35), N$4&lt;&gt;DATE(2025,7,4)), (SWITCH(weekday(N$4), 1, 0, 2, if(ISBLANK('2025'!$P35), 0, 1), 3, if(ISBLANK('2025'!$Q35), 0, 1), 4, if(ISBLANK('2025'!$R35), 0, 1), 5, if(ISBLANK('2025'!$S35), 0, 1), 6, if(ISBLANK('2025'!$T35), 0, 1), 7, 0))), 1, "")</f>
        <v/>
      </c>
      <c r="O35" s="1" t="str">
        <f>IF(AND(AND(AND(O$4&gt;='2025'!$L35,O$4&lt;='2025'!$M35), O$4&lt;&gt;DATE(2025,7,4)), (SWITCH(weekday(O$4), 1, 0, 2, if(ISBLANK('2025'!$P35), 0, 1), 3, if(ISBLANK('2025'!$Q35), 0, 1), 4, if(ISBLANK('2025'!$R35), 0, 1), 5, if(ISBLANK('2025'!$S35), 0, 1), 6, if(ISBLANK('2025'!$T35), 0, 1), 7, 0))), 1, "")</f>
        <v/>
      </c>
      <c r="P35" s="1" t="str">
        <f>IF(AND(AND(AND(P$4&gt;='2025'!$L35,P$4&lt;='2025'!$M35), P$4&lt;&gt;DATE(2025,7,4)), (SWITCH(weekday(P$4), 1, 0, 2, if(ISBLANK('2025'!$P35), 0, 1), 3, if(ISBLANK('2025'!$Q35), 0, 1), 4, if(ISBLANK('2025'!$R35), 0, 1), 5, if(ISBLANK('2025'!$S35), 0, 1), 6, if(ISBLANK('2025'!$T35), 0, 1), 7, 0))), 1, "")</f>
        <v/>
      </c>
      <c r="Q35" s="1" t="str">
        <f>IF(AND(AND(AND(Q$4&gt;='2025'!$L35,Q$4&lt;='2025'!$M35), Q$4&lt;&gt;DATE(2025,7,4)), (SWITCH(weekday(Q$4), 1, 0, 2, if(ISBLANK('2025'!$P35), 0, 1), 3, if(ISBLANK('2025'!$Q35), 0, 1), 4, if(ISBLANK('2025'!$R35), 0, 1), 5, if(ISBLANK('2025'!$S35), 0, 1), 6, if(ISBLANK('2025'!$T35), 0, 1), 7, 0))), 1, "")</f>
        <v/>
      </c>
      <c r="R35" s="1" t="str">
        <f>IF(AND(AND(AND(R$4&gt;='2025'!$L35,R$4&lt;='2025'!$M35), R$4&lt;&gt;DATE(2025,7,4)), (SWITCH(weekday(R$4), 1, 0, 2, if(ISBLANK('2025'!$P35), 0, 1), 3, if(ISBLANK('2025'!$Q35), 0, 1), 4, if(ISBLANK('2025'!$R35), 0, 1), 5, if(ISBLANK('2025'!$S35), 0, 1), 6, if(ISBLANK('2025'!$T35), 0, 1), 7, 0))), 1, "")</f>
        <v/>
      </c>
      <c r="S35" s="1" t="str">
        <f>IF(AND(AND(AND(S$4&gt;='2025'!$L35,S$4&lt;='2025'!$M35), S$4&lt;&gt;DATE(2025,7,4)), (SWITCH(weekday(S$4), 1, 0, 2, if(ISBLANK('2025'!$P35), 0, 1), 3, if(ISBLANK('2025'!$Q35), 0, 1), 4, if(ISBLANK('2025'!$R35), 0, 1), 5, if(ISBLANK('2025'!$S35), 0, 1), 6, if(ISBLANK('2025'!$T35), 0, 1), 7, 0))), 1, "")</f>
        <v/>
      </c>
      <c r="T35" s="1" t="str">
        <f>IF(AND(AND(AND(T$4&gt;='2025'!$L35,T$4&lt;='2025'!$M35), T$4&lt;&gt;DATE(2025,7,4)), (SWITCH(weekday(T$4), 1, 0, 2, if(ISBLANK('2025'!$P35), 0, 1), 3, if(ISBLANK('2025'!$Q35), 0, 1), 4, if(ISBLANK('2025'!$R35), 0, 1), 5, if(ISBLANK('2025'!$S35), 0, 1), 6, if(ISBLANK('2025'!$T35), 0, 1), 7, 0))), 1, "")</f>
        <v/>
      </c>
      <c r="U35" s="1" t="str">
        <f>IF(AND(AND(AND(U$4&gt;='2025'!$L35,U$4&lt;='2025'!$M35), U$4&lt;&gt;DATE(2025,7,4)), (SWITCH(weekday(U$4), 1, 0, 2, if(ISBLANK('2025'!$P35), 0, 1), 3, if(ISBLANK('2025'!$Q35), 0, 1), 4, if(ISBLANK('2025'!$R35), 0, 1), 5, if(ISBLANK('2025'!$S35), 0, 1), 6, if(ISBLANK('2025'!$T35), 0, 1), 7, 0))), 1, "")</f>
        <v/>
      </c>
      <c r="V35" s="1" t="str">
        <f>IF(AND(AND(AND(V$4&gt;='2025'!$L35,V$4&lt;='2025'!$M35), V$4&lt;&gt;DATE(2025,7,4)), (SWITCH(weekday(V$4), 1, 0, 2, if(ISBLANK('2025'!$P35), 0, 1), 3, if(ISBLANK('2025'!$Q35), 0, 1), 4, if(ISBLANK('2025'!$R35), 0, 1), 5, if(ISBLANK('2025'!$S35), 0, 1), 6, if(ISBLANK('2025'!$T35), 0, 1), 7, 0))), 1, "")</f>
        <v/>
      </c>
      <c r="W35" s="1" t="str">
        <f>IF(AND(AND(AND(W$4&gt;='2025'!$L35,W$4&lt;='2025'!$M35), W$4&lt;&gt;DATE(2025,7,4)), (SWITCH(weekday(W$4), 1, 0, 2, if(ISBLANK('2025'!$P35), 0, 1), 3, if(ISBLANK('2025'!$Q35), 0, 1), 4, if(ISBLANK('2025'!$R35), 0, 1), 5, if(ISBLANK('2025'!$S35), 0, 1), 6, if(ISBLANK('2025'!$T35), 0, 1), 7, 0))), 1, "")</f>
        <v/>
      </c>
      <c r="X35" s="1" t="str">
        <f>IF(AND(AND(AND(X$4&gt;='2025'!$L35,X$4&lt;='2025'!$M35), X$4&lt;&gt;DATE(2025,7,4)), (SWITCH(weekday(X$4), 1, 0, 2, if(ISBLANK('2025'!$P35), 0, 1), 3, if(ISBLANK('2025'!$Q35), 0, 1), 4, if(ISBLANK('2025'!$R35), 0, 1), 5, if(ISBLANK('2025'!$S35), 0, 1), 6, if(ISBLANK('2025'!$T35), 0, 1), 7, 0))), 1, "")</f>
        <v/>
      </c>
      <c r="Y35" s="1" t="str">
        <f>IF(AND(AND(AND(Y$4&gt;='2025'!$L35,Y$4&lt;='2025'!$M35), Y$4&lt;&gt;DATE(2025,7,4)), (SWITCH(weekday(Y$4), 1, 0, 2, if(ISBLANK('2025'!$P35), 0, 1), 3, if(ISBLANK('2025'!$Q35), 0, 1), 4, if(ISBLANK('2025'!$R35), 0, 1), 5, if(ISBLANK('2025'!$S35), 0, 1), 6, if(ISBLANK('2025'!$T35), 0, 1), 7, 0))), 1, "")</f>
        <v/>
      </c>
      <c r="Z35" s="1" t="str">
        <f>IF(AND(AND(AND(Z$4&gt;='2025'!$L35,Z$4&lt;='2025'!$M35), Z$4&lt;&gt;DATE(2025,7,4)), (SWITCH(weekday(Z$4), 1, 0, 2, if(ISBLANK('2025'!$P35), 0, 1), 3, if(ISBLANK('2025'!$Q35), 0, 1), 4, if(ISBLANK('2025'!$R35), 0, 1), 5, if(ISBLANK('2025'!$S35), 0, 1), 6, if(ISBLANK('2025'!$T35), 0, 1), 7, 0))), 1, "")</f>
        <v/>
      </c>
      <c r="AA35" s="1" t="str">
        <f>IF(AND(AND(AND(AA$4&gt;='2025'!$L35,AA$4&lt;='2025'!$M35), AA$4&lt;&gt;DATE(2025,7,4)), (SWITCH(weekday(AA$4), 1, 0, 2, if(ISBLANK('2025'!$P35), 0, 1), 3, if(ISBLANK('2025'!$Q35), 0, 1), 4, if(ISBLANK('2025'!$R35), 0, 1), 5, if(ISBLANK('2025'!$S35), 0, 1), 6, if(ISBLANK('2025'!$T35), 0, 1), 7, 0))), 1, "")</f>
        <v/>
      </c>
      <c r="AB35" s="1" t="str">
        <f>IF(AND(AND(AND(AB$4&gt;='2025'!$L35,AB$4&lt;='2025'!$M35), AB$4&lt;&gt;DATE(2025,7,4)), (SWITCH(weekday(AB$4), 1, 0, 2, if(ISBLANK('2025'!$P35), 0, 1), 3, if(ISBLANK('2025'!$Q35), 0, 1), 4, if(ISBLANK('2025'!$R35), 0, 1), 5, if(ISBLANK('2025'!$S35), 0, 1), 6, if(ISBLANK('2025'!$T35), 0, 1), 7, 0))), 1, "")</f>
        <v/>
      </c>
      <c r="AC35" s="1" t="str">
        <f>IF(AND(AND(AND(AC$4&gt;='2025'!$L35,AC$4&lt;='2025'!$M35), AC$4&lt;&gt;DATE(2025,7,4)), (SWITCH(weekday(AC$4), 1, 0, 2, if(ISBLANK('2025'!$P35), 0, 1), 3, if(ISBLANK('2025'!$Q35), 0, 1), 4, if(ISBLANK('2025'!$R35), 0, 1), 5, if(ISBLANK('2025'!$S35), 0, 1), 6, if(ISBLANK('2025'!$T35), 0, 1), 7, 0))), 1, "")</f>
        <v/>
      </c>
      <c r="AD35" s="1" t="str">
        <f>IF(AND(AND(AND(AD$4&gt;='2025'!$L35,AD$4&lt;='2025'!$M35), AD$4&lt;&gt;DATE(2025,7,4)), (SWITCH(weekday(AD$4), 1, 0, 2, if(ISBLANK('2025'!$P35), 0, 1), 3, if(ISBLANK('2025'!$Q35), 0, 1), 4, if(ISBLANK('2025'!$R35), 0, 1), 5, if(ISBLANK('2025'!$S35), 0, 1), 6, if(ISBLANK('2025'!$T35), 0, 1), 7, 0))), 1, "")</f>
        <v/>
      </c>
      <c r="AE35" s="1" t="str">
        <f>IF(AND(AND(AND(AE$4&gt;='2025'!$L35,AE$4&lt;='2025'!$M35), AE$4&lt;&gt;DATE(2025,7,4)), (SWITCH(weekday(AE$4), 1, 0, 2, if(ISBLANK('2025'!$P35), 0, 1), 3, if(ISBLANK('2025'!$Q35), 0, 1), 4, if(ISBLANK('2025'!$R35), 0, 1), 5, if(ISBLANK('2025'!$S35), 0, 1), 6, if(ISBLANK('2025'!$T35), 0, 1), 7, 0))), 1, "")</f>
        <v/>
      </c>
      <c r="AF35" s="1" t="str">
        <f>IF(AND(AND(AND(AF$4&gt;='2025'!$L35,AF$4&lt;='2025'!$M35), AF$4&lt;&gt;DATE(2025,7,4)), (SWITCH(weekday(AF$4), 1, 0, 2, if(ISBLANK('2025'!$P35), 0, 1), 3, if(ISBLANK('2025'!$Q35), 0, 1), 4, if(ISBLANK('2025'!$R35), 0, 1), 5, if(ISBLANK('2025'!$S35), 0, 1), 6, if(ISBLANK('2025'!$T35), 0, 1), 7, 0))), 1, "")</f>
        <v/>
      </c>
      <c r="AG35" s="1" t="str">
        <f>IF(AND(AND(AND(AG$4&gt;='2025'!$L35,AG$4&lt;='2025'!$M35), AG$4&lt;&gt;DATE(2025,7,4)), (SWITCH(weekday(AG$4), 1, 0, 2, if(ISBLANK('2025'!$P35), 0, 1), 3, if(ISBLANK('2025'!$Q35), 0, 1), 4, if(ISBLANK('2025'!$R35), 0, 1), 5, if(ISBLANK('2025'!$S35), 0, 1), 6, if(ISBLANK('2025'!$T35), 0, 1), 7, 0))), 1, "")</f>
        <v/>
      </c>
      <c r="AH35" s="1" t="str">
        <f>IF(AND(AND(AND(AH$4&gt;='2025'!$L35,AH$4&lt;='2025'!$M35), AH$4&lt;&gt;DATE(2025,7,4)), (SWITCH(weekday(AH$4), 1, 0, 2, if(ISBLANK('2025'!$P35), 0, 1), 3, if(ISBLANK('2025'!$Q35), 0, 1), 4, if(ISBLANK('2025'!$R35), 0, 1), 5, if(ISBLANK('2025'!$S35), 0, 1), 6, if(ISBLANK('2025'!$T35), 0, 1), 7, 0))), 1, "")</f>
        <v/>
      </c>
      <c r="AI35" s="1" t="str">
        <f>IF(AND(AND(AND(AI$4&gt;='2025'!$L35,AI$4&lt;='2025'!$M35), AI$4&lt;&gt;DATE(2025,7,4)), (SWITCH(weekday(AI$4), 1, 0, 2, if(ISBLANK('2025'!$P35), 0, 1), 3, if(ISBLANK('2025'!$Q35), 0, 1), 4, if(ISBLANK('2025'!$R35), 0, 1), 5, if(ISBLANK('2025'!$S35), 0, 1), 6, if(ISBLANK('2025'!$T35), 0, 1), 7, 0))), 1, "")</f>
        <v/>
      </c>
      <c r="AJ35" s="1" t="str">
        <f>IF(AND(AND(AND(AJ$4&gt;='2025'!$L35,AJ$4&lt;='2025'!$M35), AJ$4&lt;&gt;DATE(2025,7,4)), (SWITCH(weekday(AJ$4), 1, 0, 2, if(ISBLANK('2025'!$P35), 0, 1), 3, if(ISBLANK('2025'!$Q35), 0, 1), 4, if(ISBLANK('2025'!$R35), 0, 1), 5, if(ISBLANK('2025'!$S35), 0, 1), 6, if(ISBLANK('2025'!$T35), 0, 1), 7, 0))), 1, "")</f>
        <v/>
      </c>
      <c r="AK35" s="1" t="str">
        <f>IF(AND(AND(AND(AK$4&gt;='2025'!$L35,AK$4&lt;='2025'!$M35), AK$4&lt;&gt;DATE(2025,7,4)), (SWITCH(weekday(AK$4), 1, 0, 2, if(ISBLANK('2025'!$P35), 0, 1), 3, if(ISBLANK('2025'!$Q35), 0, 1), 4, if(ISBLANK('2025'!$R35), 0, 1), 5, if(ISBLANK('2025'!$S35), 0, 1), 6, if(ISBLANK('2025'!$T35), 0, 1), 7, 0))), 1, "")</f>
        <v/>
      </c>
      <c r="AL35" s="1" t="str">
        <f>IF(AND(AND(AND(AL$4&gt;='2025'!$L35,AL$4&lt;='2025'!$M35), AL$4&lt;&gt;DATE(2025,7,4)), (SWITCH(weekday(AL$4), 1, 0, 2, if(ISBLANK('2025'!$P35), 0, 1), 3, if(ISBLANK('2025'!$Q35), 0, 1), 4, if(ISBLANK('2025'!$R35), 0, 1), 5, if(ISBLANK('2025'!$S35), 0, 1), 6, if(ISBLANK('2025'!$T35), 0, 1), 7, 0))), 1, "")</f>
        <v/>
      </c>
      <c r="AM35" s="1" t="str">
        <f>IF(AND(AND(AND(AM$4&gt;='2025'!$L35,AM$4&lt;='2025'!$M35), AM$4&lt;&gt;DATE(2025,7,4)), (SWITCH(weekday(AM$4), 1, 0, 2, if(ISBLANK('2025'!$P35), 0, 1), 3, if(ISBLANK('2025'!$Q35), 0, 1), 4, if(ISBLANK('2025'!$R35), 0, 1), 5, if(ISBLANK('2025'!$S35), 0, 1), 6, if(ISBLANK('2025'!$T35), 0, 1), 7, 0))), 1, "")</f>
        <v/>
      </c>
      <c r="AN35" s="1" t="str">
        <f>IF(AND(AND(AND(AN$4&gt;='2025'!$L35,AN$4&lt;='2025'!$M35), AN$4&lt;&gt;DATE(2025,7,4)), (SWITCH(weekday(AN$4), 1, 0, 2, if(ISBLANK('2025'!$P35), 0, 1), 3, if(ISBLANK('2025'!$Q35), 0, 1), 4, if(ISBLANK('2025'!$R35), 0, 1), 5, if(ISBLANK('2025'!$S35), 0, 1), 6, if(ISBLANK('2025'!$T35), 0, 1), 7, 0))), 1, "")</f>
        <v/>
      </c>
      <c r="AO35" s="1" t="str">
        <f>IF(AND(AND(AND(AO$4&gt;='2025'!$L35,AO$4&lt;='2025'!$M35), AO$4&lt;&gt;DATE(2025,7,4)), (SWITCH(weekday(AO$4), 1, 0, 2, if(ISBLANK('2025'!$P35), 0, 1), 3, if(ISBLANK('2025'!$Q35), 0, 1), 4, if(ISBLANK('2025'!$R35), 0, 1), 5, if(ISBLANK('2025'!$S35), 0, 1), 6, if(ISBLANK('2025'!$T35), 0, 1), 7, 0))), 1, "")</f>
        <v/>
      </c>
      <c r="AP35" s="1" t="str">
        <f>IF(AND(AND(AND(AP$4&gt;='2025'!$L35,AP$4&lt;='2025'!$M35), AP$4&lt;&gt;DATE(2025,7,4)), (SWITCH(weekday(AP$4), 1, 0, 2, if(ISBLANK('2025'!$P35), 0, 1), 3, if(ISBLANK('2025'!$Q35), 0, 1), 4, if(ISBLANK('2025'!$R35), 0, 1), 5, if(ISBLANK('2025'!$S35), 0, 1), 6, if(ISBLANK('2025'!$T35), 0, 1), 7, 0))), 1, "")</f>
        <v/>
      </c>
      <c r="AQ35" s="1" t="str">
        <f>IF(AND(AND(AND(AQ$4&gt;='2025'!$L35,AQ$4&lt;='2025'!$M35), AQ$4&lt;&gt;DATE(2025,7,4)), (SWITCH(weekday(AQ$4), 1, 0, 2, if(ISBLANK('2025'!$P35), 0, 1), 3, if(ISBLANK('2025'!$Q35), 0, 1), 4, if(ISBLANK('2025'!$R35), 0, 1), 5, if(ISBLANK('2025'!$S35), 0, 1), 6, if(ISBLANK('2025'!$T35), 0, 1), 7, 0))), 1, "")</f>
        <v/>
      </c>
      <c r="AR35" s="1" t="str">
        <f>IF(AND(AND(AND(AR$4&gt;='2025'!$L35,AR$4&lt;='2025'!$M35), AR$4&lt;&gt;DATE(2025,7,4)), (SWITCH(weekday(AR$4), 1, 0, 2, if(ISBLANK('2025'!$P35), 0, 1), 3, if(ISBLANK('2025'!$Q35), 0, 1), 4, if(ISBLANK('2025'!$R35), 0, 1), 5, if(ISBLANK('2025'!$S35), 0, 1), 6, if(ISBLANK('2025'!$T35), 0, 1), 7, 0))), 1, "")</f>
        <v/>
      </c>
      <c r="AS35" s="1" t="str">
        <f>IF(AND(AND(AND(AS$4&gt;='2025'!$L35,AS$4&lt;='2025'!$M35), AS$4&lt;&gt;DATE(2025,7,4)), (SWITCH(weekday(AS$4), 1, 0, 2, if(ISBLANK('2025'!$P35), 0, 1), 3, if(ISBLANK('2025'!$Q35), 0, 1), 4, if(ISBLANK('2025'!$R35), 0, 1), 5, if(ISBLANK('2025'!$S35), 0, 1), 6, if(ISBLANK('2025'!$T35), 0, 1), 7, 0))), 1, "")</f>
        <v/>
      </c>
      <c r="AT35" s="1" t="str">
        <f>IF(AND(AND(AND(AT$4&gt;='2025'!$L35,AT$4&lt;='2025'!$M35), AT$4&lt;&gt;DATE(2025,7,4)), (SWITCH(weekday(AT$4), 1, 0, 2, if(ISBLANK('2025'!$P35), 0, 1), 3, if(ISBLANK('2025'!$Q35), 0, 1), 4, if(ISBLANK('2025'!$R35), 0, 1), 5, if(ISBLANK('2025'!$S35), 0, 1), 6, if(ISBLANK('2025'!$T35), 0, 1), 7, 0))), 1, "")</f>
        <v/>
      </c>
      <c r="AU35" s="1" t="str">
        <f>IF(AND(AND(AND(AU$4&gt;='2025'!$L35,AU$4&lt;='2025'!$M35), AU$4&lt;&gt;DATE(2025,7,4)), (SWITCH(weekday(AU$4), 1, 0, 2, if(ISBLANK('2025'!$P35), 0, 1), 3, if(ISBLANK('2025'!$Q35), 0, 1), 4, if(ISBLANK('2025'!$R35), 0, 1), 5, if(ISBLANK('2025'!$S35), 0, 1), 6, if(ISBLANK('2025'!$T35), 0, 1), 7, 0))), 1, "")</f>
        <v/>
      </c>
      <c r="AV35" s="1" t="str">
        <f>IF(AND(AND(AND(AV$4&gt;='2025'!$L35,AV$4&lt;='2025'!$M35), AV$4&lt;&gt;DATE(2025,7,4)), (SWITCH(weekday(AV$4), 1, 0, 2, if(ISBLANK('2025'!$P35), 0, 1), 3, if(ISBLANK('2025'!$Q35), 0, 1), 4, if(ISBLANK('2025'!$R35), 0, 1), 5, if(ISBLANK('2025'!$S35), 0, 1), 6, if(ISBLANK('2025'!$T35), 0, 1), 7, 0))), 1, "")</f>
        <v/>
      </c>
      <c r="AW35" s="1" t="str">
        <f>IF(AND(AND(AND(AW$4&gt;='2025'!$L35,AW$4&lt;='2025'!$M35), AW$4&lt;&gt;DATE(2025,7,4)), (SWITCH(weekday(AW$4), 1, 0, 2, if(ISBLANK('2025'!$P35), 0, 1), 3, if(ISBLANK('2025'!$Q35), 0, 1), 4, if(ISBLANK('2025'!$R35), 0, 1), 5, if(ISBLANK('2025'!$S35), 0, 1), 6, if(ISBLANK('2025'!$T35), 0, 1), 7, 0))), 1, "")</f>
        <v/>
      </c>
      <c r="AX35" s="1" t="str">
        <f>IF(AND(AND(AND(AX$4&gt;='2025'!$L35,AX$4&lt;='2025'!$M35), AX$4&lt;&gt;DATE(2025,7,4)), (SWITCH(weekday(AX$4), 1, 0, 2, if(ISBLANK('2025'!$P35), 0, 1), 3, if(ISBLANK('2025'!$Q35), 0, 1), 4, if(ISBLANK('2025'!$R35), 0, 1), 5, if(ISBLANK('2025'!$S35), 0, 1), 6, if(ISBLANK('2025'!$T35), 0, 1), 7, 0))), 1, "")</f>
        <v/>
      </c>
      <c r="AY35" s="1" t="str">
        <f>IF(AND(AND(AND(AY$4&gt;='2025'!$L35,AY$4&lt;='2025'!$M35), AY$4&lt;&gt;DATE(2025,7,4)), (SWITCH(weekday(AY$4), 1, 0, 2, if(ISBLANK('2025'!$P35), 0, 1), 3, if(ISBLANK('2025'!$Q35), 0, 1), 4, if(ISBLANK('2025'!$R35), 0, 1), 5, if(ISBLANK('2025'!$S35), 0, 1), 6, if(ISBLANK('2025'!$T35), 0, 1), 7, 0))), 1, "")</f>
        <v/>
      </c>
      <c r="AZ35" s="1" t="str">
        <f>IF(AND(AND(AND(AZ$4&gt;='2025'!$L35,AZ$4&lt;='2025'!$M35), AZ$4&lt;&gt;DATE(2025,7,4)), (SWITCH(weekday(AZ$4), 1, 0, 2, if(ISBLANK('2025'!$P35), 0, 1), 3, if(ISBLANK('2025'!$Q35), 0, 1), 4, if(ISBLANK('2025'!$R35), 0, 1), 5, if(ISBLANK('2025'!$S35), 0, 1), 6, if(ISBLANK('2025'!$T35), 0, 1), 7, 0))), 1, "")</f>
        <v/>
      </c>
      <c r="BA35" s="1" t="str">
        <f>IF(AND(AND(AND(BA$4&gt;='2025'!$L35,BA$4&lt;='2025'!$M35), BA$4&lt;&gt;DATE(2025,7,4)), (SWITCH(weekday(BA$4), 1, 0, 2, if(ISBLANK('2025'!$P35), 0, 1), 3, if(ISBLANK('2025'!$Q35), 0, 1), 4, if(ISBLANK('2025'!$R35), 0, 1), 5, if(ISBLANK('2025'!$S35), 0, 1), 6, if(ISBLANK('2025'!$T35), 0, 1), 7, 0))), 1, "")</f>
        <v/>
      </c>
      <c r="BB35" s="1" t="str">
        <f>IF(AND(AND(AND(BB$4&gt;='2025'!$L35,BB$4&lt;='2025'!$M35), BB$4&lt;&gt;DATE(2025,7,4)), (SWITCH(weekday(BB$4), 1, 0, 2, if(ISBLANK('2025'!$P35), 0, 1), 3, if(ISBLANK('2025'!$Q35), 0, 1), 4, if(ISBLANK('2025'!$R35), 0, 1), 5, if(ISBLANK('2025'!$S35), 0, 1), 6, if(ISBLANK('2025'!$T35), 0, 1), 7, 0))), 1, "")</f>
        <v/>
      </c>
      <c r="BC35" s="1" t="str">
        <f>IF(AND(AND(AND(BC$4&gt;='2025'!$L35,BC$4&lt;='2025'!$M35), BC$4&lt;&gt;DATE(2025,7,4)), (SWITCH(weekday(BC$4), 1, 0, 2, if(ISBLANK('2025'!$P35), 0, 1), 3, if(ISBLANK('2025'!$Q35), 0, 1), 4, if(ISBLANK('2025'!$R35), 0, 1), 5, if(ISBLANK('2025'!$S35), 0, 1), 6, if(ISBLANK('2025'!$T35), 0, 1), 7, 0))), 1, "")</f>
        <v/>
      </c>
      <c r="BD35" s="1" t="str">
        <f>IF(AND(AND(AND(BD$4&gt;='2025'!$L35,BD$4&lt;='2025'!$M35), BD$4&lt;&gt;DATE(2025,7,4)), (SWITCH(weekday(BD$4), 1, 0, 2, if(ISBLANK('2025'!$P35), 0, 1), 3, if(ISBLANK('2025'!$Q35), 0, 1), 4, if(ISBLANK('2025'!$R35), 0, 1), 5, if(ISBLANK('2025'!$S35), 0, 1), 6, if(ISBLANK('2025'!$T35), 0, 1), 7, 0))), 1, "")</f>
        <v/>
      </c>
      <c r="BE35" s="1" t="str">
        <f>IF(AND(AND(AND(BE$4&gt;='2025'!$L35,BE$4&lt;='2025'!$M35), BE$4&lt;&gt;DATE(2025,7,4)), (SWITCH(weekday(BE$4), 1, 0, 2, if(ISBLANK('2025'!$P35), 0, 1), 3, if(ISBLANK('2025'!$Q35), 0, 1), 4, if(ISBLANK('2025'!$R35), 0, 1), 5, if(ISBLANK('2025'!$S35), 0, 1), 6, if(ISBLANK('2025'!$T35), 0, 1), 7, 0))), 1, "")</f>
        <v/>
      </c>
      <c r="BF35" s="1" t="str">
        <f>IF(AND(AND(AND(BF$4&gt;='2025'!$L35,BF$4&lt;='2025'!$M35), BF$4&lt;&gt;DATE(2025,7,4)), (SWITCH(weekday(BF$4), 1, 0, 2, if(ISBLANK('2025'!$P35), 0, 1), 3, if(ISBLANK('2025'!$Q35), 0, 1), 4, if(ISBLANK('2025'!$R35), 0, 1), 5, if(ISBLANK('2025'!$S35), 0, 1), 6, if(ISBLANK('2025'!$T35), 0, 1), 7, 0))), 1, "")</f>
        <v/>
      </c>
      <c r="BG35" s="1"/>
      <c r="BH35" s="1"/>
      <c r="BI35" s="1"/>
      <c r="BJ35" s="1"/>
      <c r="BK35" s="1"/>
      <c r="BL35" s="1"/>
    </row>
    <row r="36">
      <c r="A36" s="1">
        <f t="shared" si="3"/>
        <v>36</v>
      </c>
      <c r="B36" s="1" t="str">
        <f>'2025'!D36</f>
        <v>Satalino, Luca </v>
      </c>
      <c r="C36" s="1" t="str">
        <f>'2025'!H36</f>
        <v>Infant</v>
      </c>
      <c r="D36" s="1" t="str">
        <f>IF(AND(AND(AND(D$4&gt;='2025'!$L36,D$4&lt;='2025'!$M36), D$4&lt;&gt;DATE(2025,7,4)), (SWITCH(weekday(D$4), 1, 0, 2, if(ISBLANK('2025'!$P36), 0, 1), 3, if(ISBLANK('2025'!$Q36), 0, 1), 4, if(ISBLANK('2025'!$R36), 0, 1), 5, if(ISBLANK('2025'!$S36), 0, 1), 6, if(ISBLANK('2025'!$T36), 0, 1), 7, 0))), 1, "")</f>
        <v/>
      </c>
      <c r="E36" s="1" t="str">
        <f>IF(AND(AND(AND(E$4&gt;='2025'!$L36,E$4&lt;='2025'!$M36), E$4&lt;&gt;DATE(2025,7,4)), (SWITCH(weekday(E$4), 1, 0, 2, if(ISBLANK('2025'!$P36), 0, 1), 3, if(ISBLANK('2025'!$Q36), 0, 1), 4, if(ISBLANK('2025'!$R36), 0, 1), 5, if(ISBLANK('2025'!$S36), 0, 1), 6, if(ISBLANK('2025'!$T36), 0, 1), 7, 0))), 1, "")</f>
        <v/>
      </c>
      <c r="F36" s="1" t="str">
        <f>IF(AND(AND(AND(F$4&gt;='2025'!$L36,F$4&lt;='2025'!$M36), F$4&lt;&gt;DATE(2025,7,4)), (SWITCH(weekday(F$4), 1, 0, 2, if(ISBLANK('2025'!$P36), 0, 1), 3, if(ISBLANK('2025'!$Q36), 0, 1), 4, if(ISBLANK('2025'!$R36), 0, 1), 5, if(ISBLANK('2025'!$S36), 0, 1), 6, if(ISBLANK('2025'!$T36), 0, 1), 7, 0))), 1, "")</f>
        <v/>
      </c>
      <c r="G36" s="1" t="str">
        <f>IF(AND(AND(AND(G$4&gt;='2025'!$L36,G$4&lt;='2025'!$M36), G$4&lt;&gt;DATE(2025,7,4)), (SWITCH(weekday(G$4), 1, 0, 2, if(ISBLANK('2025'!$P36), 0, 1), 3, if(ISBLANK('2025'!$Q36), 0, 1), 4, if(ISBLANK('2025'!$R36), 0, 1), 5, if(ISBLANK('2025'!$S36), 0, 1), 6, if(ISBLANK('2025'!$T36), 0, 1), 7, 0))), 1, "")</f>
        <v/>
      </c>
      <c r="H36" s="1" t="str">
        <f>IF(AND(AND(AND(H$4&gt;='2025'!$L36,H$4&lt;='2025'!$M36), H$4&lt;&gt;DATE(2025,7,4)), (SWITCH(weekday(H$4), 1, 0, 2, if(ISBLANK('2025'!$P36), 0, 1), 3, if(ISBLANK('2025'!$Q36), 0, 1), 4, if(ISBLANK('2025'!$R36), 0, 1), 5, if(ISBLANK('2025'!$S36), 0, 1), 6, if(ISBLANK('2025'!$T36), 0, 1), 7, 0))), 1, "")</f>
        <v/>
      </c>
      <c r="I36" s="1" t="str">
        <f>IF(AND(AND(AND(I$4&gt;='2025'!$L36,I$4&lt;='2025'!$M36), I$4&lt;&gt;DATE(2025,7,4)), (SWITCH(weekday(I$4), 1, 0, 2, if(ISBLANK('2025'!$P36), 0, 1), 3, if(ISBLANK('2025'!$Q36), 0, 1), 4, if(ISBLANK('2025'!$R36), 0, 1), 5, if(ISBLANK('2025'!$S36), 0, 1), 6, if(ISBLANK('2025'!$T36), 0, 1), 7, 0))), 1, "")</f>
        <v/>
      </c>
      <c r="J36" s="1" t="str">
        <f>IF(AND(AND(AND(J$4&gt;='2025'!$L36,J$4&lt;='2025'!$M36), J$4&lt;&gt;DATE(2025,7,4)), (SWITCH(weekday(J$4), 1, 0, 2, if(ISBLANK('2025'!$P36), 0, 1), 3, if(ISBLANK('2025'!$Q36), 0, 1), 4, if(ISBLANK('2025'!$R36), 0, 1), 5, if(ISBLANK('2025'!$S36), 0, 1), 6, if(ISBLANK('2025'!$T36), 0, 1), 7, 0))), 1, "")</f>
        <v/>
      </c>
      <c r="K36" s="1" t="str">
        <f>IF(AND(AND(AND(K$4&gt;='2025'!$L36,K$4&lt;='2025'!$M36), K$4&lt;&gt;DATE(2025,7,4)), (SWITCH(weekday(K$4), 1, 0, 2, if(ISBLANK('2025'!$P36), 0, 1), 3, if(ISBLANK('2025'!$Q36), 0, 1), 4, if(ISBLANK('2025'!$R36), 0, 1), 5, if(ISBLANK('2025'!$S36), 0, 1), 6, if(ISBLANK('2025'!$T36), 0, 1), 7, 0))), 1, "")</f>
        <v/>
      </c>
      <c r="L36" s="1" t="str">
        <f>IF(AND(AND(AND(L$4&gt;='2025'!$L36,L$4&lt;='2025'!$M36), L$4&lt;&gt;DATE(2025,7,4)), (SWITCH(weekday(L$4), 1, 0, 2, if(ISBLANK('2025'!$P36), 0, 1), 3, if(ISBLANK('2025'!$Q36), 0, 1), 4, if(ISBLANK('2025'!$R36), 0, 1), 5, if(ISBLANK('2025'!$S36), 0, 1), 6, if(ISBLANK('2025'!$T36), 0, 1), 7, 0))), 1, "")</f>
        <v/>
      </c>
      <c r="M36" s="1" t="str">
        <f>IF(AND(AND(AND(M$4&gt;='2025'!$L36,M$4&lt;='2025'!$M36), M$4&lt;&gt;DATE(2025,7,4)), (SWITCH(weekday(M$4), 1, 0, 2, if(ISBLANK('2025'!$P36), 0, 1), 3, if(ISBLANK('2025'!$Q36), 0, 1), 4, if(ISBLANK('2025'!$R36), 0, 1), 5, if(ISBLANK('2025'!$S36), 0, 1), 6, if(ISBLANK('2025'!$T36), 0, 1), 7, 0))), 1, "")</f>
        <v/>
      </c>
      <c r="N36" s="1" t="str">
        <f>IF(AND(AND(AND(N$4&gt;='2025'!$L36,N$4&lt;='2025'!$M36), N$4&lt;&gt;DATE(2025,7,4)), (SWITCH(weekday(N$4), 1, 0, 2, if(ISBLANK('2025'!$P36), 0, 1), 3, if(ISBLANK('2025'!$Q36), 0, 1), 4, if(ISBLANK('2025'!$R36), 0, 1), 5, if(ISBLANK('2025'!$S36), 0, 1), 6, if(ISBLANK('2025'!$T36), 0, 1), 7, 0))), 1, "")</f>
        <v/>
      </c>
      <c r="O36" s="1" t="str">
        <f>IF(AND(AND(AND(O$4&gt;='2025'!$L36,O$4&lt;='2025'!$M36), O$4&lt;&gt;DATE(2025,7,4)), (SWITCH(weekday(O$4), 1, 0, 2, if(ISBLANK('2025'!$P36), 0, 1), 3, if(ISBLANK('2025'!$Q36), 0, 1), 4, if(ISBLANK('2025'!$R36), 0, 1), 5, if(ISBLANK('2025'!$S36), 0, 1), 6, if(ISBLANK('2025'!$T36), 0, 1), 7, 0))), 1, "")</f>
        <v/>
      </c>
      <c r="P36" s="1" t="str">
        <f>IF(AND(AND(AND(P$4&gt;='2025'!$L36,P$4&lt;='2025'!$M36), P$4&lt;&gt;DATE(2025,7,4)), (SWITCH(weekday(P$4), 1, 0, 2, if(ISBLANK('2025'!$P36), 0, 1), 3, if(ISBLANK('2025'!$Q36), 0, 1), 4, if(ISBLANK('2025'!$R36), 0, 1), 5, if(ISBLANK('2025'!$S36), 0, 1), 6, if(ISBLANK('2025'!$T36), 0, 1), 7, 0))), 1, "")</f>
        <v/>
      </c>
      <c r="Q36" s="1" t="str">
        <f>IF(AND(AND(AND(Q$4&gt;='2025'!$L36,Q$4&lt;='2025'!$M36), Q$4&lt;&gt;DATE(2025,7,4)), (SWITCH(weekday(Q$4), 1, 0, 2, if(ISBLANK('2025'!$P36), 0, 1), 3, if(ISBLANK('2025'!$Q36), 0, 1), 4, if(ISBLANK('2025'!$R36), 0, 1), 5, if(ISBLANK('2025'!$S36), 0, 1), 6, if(ISBLANK('2025'!$T36), 0, 1), 7, 0))), 1, "")</f>
        <v/>
      </c>
      <c r="R36" s="1" t="str">
        <f>IF(AND(AND(AND(R$4&gt;='2025'!$L36,R$4&lt;='2025'!$M36), R$4&lt;&gt;DATE(2025,7,4)), (SWITCH(weekday(R$4), 1, 0, 2, if(ISBLANK('2025'!$P36), 0, 1), 3, if(ISBLANK('2025'!$Q36), 0, 1), 4, if(ISBLANK('2025'!$R36), 0, 1), 5, if(ISBLANK('2025'!$S36), 0, 1), 6, if(ISBLANK('2025'!$T36), 0, 1), 7, 0))), 1, "")</f>
        <v/>
      </c>
      <c r="S36" s="1" t="str">
        <f>IF(AND(AND(AND(S$4&gt;='2025'!$L36,S$4&lt;='2025'!$M36), S$4&lt;&gt;DATE(2025,7,4)), (SWITCH(weekday(S$4), 1, 0, 2, if(ISBLANK('2025'!$P36), 0, 1), 3, if(ISBLANK('2025'!$Q36), 0, 1), 4, if(ISBLANK('2025'!$R36), 0, 1), 5, if(ISBLANK('2025'!$S36), 0, 1), 6, if(ISBLANK('2025'!$T36), 0, 1), 7, 0))), 1, "")</f>
        <v/>
      </c>
      <c r="T36" s="1" t="str">
        <f>IF(AND(AND(AND(T$4&gt;='2025'!$L36,T$4&lt;='2025'!$M36), T$4&lt;&gt;DATE(2025,7,4)), (SWITCH(weekday(T$4), 1, 0, 2, if(ISBLANK('2025'!$P36), 0, 1), 3, if(ISBLANK('2025'!$Q36), 0, 1), 4, if(ISBLANK('2025'!$R36), 0, 1), 5, if(ISBLANK('2025'!$S36), 0, 1), 6, if(ISBLANK('2025'!$T36), 0, 1), 7, 0))), 1, "")</f>
        <v/>
      </c>
      <c r="U36" s="1" t="str">
        <f>IF(AND(AND(AND(U$4&gt;='2025'!$L36,U$4&lt;='2025'!$M36), U$4&lt;&gt;DATE(2025,7,4)), (SWITCH(weekday(U$4), 1, 0, 2, if(ISBLANK('2025'!$P36), 0, 1), 3, if(ISBLANK('2025'!$Q36), 0, 1), 4, if(ISBLANK('2025'!$R36), 0, 1), 5, if(ISBLANK('2025'!$S36), 0, 1), 6, if(ISBLANK('2025'!$T36), 0, 1), 7, 0))), 1, "")</f>
        <v/>
      </c>
      <c r="V36" s="1" t="str">
        <f>IF(AND(AND(AND(V$4&gt;='2025'!$L36,V$4&lt;='2025'!$M36), V$4&lt;&gt;DATE(2025,7,4)), (SWITCH(weekday(V$4), 1, 0, 2, if(ISBLANK('2025'!$P36), 0, 1), 3, if(ISBLANK('2025'!$Q36), 0, 1), 4, if(ISBLANK('2025'!$R36), 0, 1), 5, if(ISBLANK('2025'!$S36), 0, 1), 6, if(ISBLANK('2025'!$T36), 0, 1), 7, 0))), 1, "")</f>
        <v/>
      </c>
      <c r="W36" s="1" t="str">
        <f>IF(AND(AND(AND(W$4&gt;='2025'!$L36,W$4&lt;='2025'!$M36), W$4&lt;&gt;DATE(2025,7,4)), (SWITCH(weekday(W$4), 1, 0, 2, if(ISBLANK('2025'!$P36), 0, 1), 3, if(ISBLANK('2025'!$Q36), 0, 1), 4, if(ISBLANK('2025'!$R36), 0, 1), 5, if(ISBLANK('2025'!$S36), 0, 1), 6, if(ISBLANK('2025'!$T36), 0, 1), 7, 0))), 1, "")</f>
        <v/>
      </c>
      <c r="X36" s="1" t="str">
        <f>IF(AND(AND(AND(X$4&gt;='2025'!$L36,X$4&lt;='2025'!$M36), X$4&lt;&gt;DATE(2025,7,4)), (SWITCH(weekday(X$4), 1, 0, 2, if(ISBLANK('2025'!$P36), 0, 1), 3, if(ISBLANK('2025'!$Q36), 0, 1), 4, if(ISBLANK('2025'!$R36), 0, 1), 5, if(ISBLANK('2025'!$S36), 0, 1), 6, if(ISBLANK('2025'!$T36), 0, 1), 7, 0))), 1, "")</f>
        <v/>
      </c>
      <c r="Y36" s="1" t="str">
        <f>IF(AND(AND(AND(Y$4&gt;='2025'!$L36,Y$4&lt;='2025'!$M36), Y$4&lt;&gt;DATE(2025,7,4)), (SWITCH(weekday(Y$4), 1, 0, 2, if(ISBLANK('2025'!$P36), 0, 1), 3, if(ISBLANK('2025'!$Q36), 0, 1), 4, if(ISBLANK('2025'!$R36), 0, 1), 5, if(ISBLANK('2025'!$S36), 0, 1), 6, if(ISBLANK('2025'!$T36), 0, 1), 7, 0))), 1, "")</f>
        <v/>
      </c>
      <c r="Z36" s="1" t="str">
        <f>IF(AND(AND(AND(Z$4&gt;='2025'!$L36,Z$4&lt;='2025'!$M36), Z$4&lt;&gt;DATE(2025,7,4)), (SWITCH(weekday(Z$4), 1, 0, 2, if(ISBLANK('2025'!$P36), 0, 1), 3, if(ISBLANK('2025'!$Q36), 0, 1), 4, if(ISBLANK('2025'!$R36), 0, 1), 5, if(ISBLANK('2025'!$S36), 0, 1), 6, if(ISBLANK('2025'!$T36), 0, 1), 7, 0))), 1, "")</f>
        <v/>
      </c>
      <c r="AA36" s="1" t="str">
        <f>IF(AND(AND(AND(AA$4&gt;='2025'!$L36,AA$4&lt;='2025'!$M36), AA$4&lt;&gt;DATE(2025,7,4)), (SWITCH(weekday(AA$4), 1, 0, 2, if(ISBLANK('2025'!$P36), 0, 1), 3, if(ISBLANK('2025'!$Q36), 0, 1), 4, if(ISBLANK('2025'!$R36), 0, 1), 5, if(ISBLANK('2025'!$S36), 0, 1), 6, if(ISBLANK('2025'!$T36), 0, 1), 7, 0))), 1, "")</f>
        <v/>
      </c>
      <c r="AB36" s="1" t="str">
        <f>IF(AND(AND(AND(AB$4&gt;='2025'!$L36,AB$4&lt;='2025'!$M36), AB$4&lt;&gt;DATE(2025,7,4)), (SWITCH(weekday(AB$4), 1, 0, 2, if(ISBLANK('2025'!$P36), 0, 1), 3, if(ISBLANK('2025'!$Q36), 0, 1), 4, if(ISBLANK('2025'!$R36), 0, 1), 5, if(ISBLANK('2025'!$S36), 0, 1), 6, if(ISBLANK('2025'!$T36), 0, 1), 7, 0))), 1, "")</f>
        <v/>
      </c>
      <c r="AC36" s="1" t="str">
        <f>IF(AND(AND(AND(AC$4&gt;='2025'!$L36,AC$4&lt;='2025'!$M36), AC$4&lt;&gt;DATE(2025,7,4)), (SWITCH(weekday(AC$4), 1, 0, 2, if(ISBLANK('2025'!$P36), 0, 1), 3, if(ISBLANK('2025'!$Q36), 0, 1), 4, if(ISBLANK('2025'!$R36), 0, 1), 5, if(ISBLANK('2025'!$S36), 0, 1), 6, if(ISBLANK('2025'!$T36), 0, 1), 7, 0))), 1, "")</f>
        <v/>
      </c>
      <c r="AD36" s="1" t="str">
        <f>IF(AND(AND(AND(AD$4&gt;='2025'!$L36,AD$4&lt;='2025'!$M36), AD$4&lt;&gt;DATE(2025,7,4)), (SWITCH(weekday(AD$4), 1, 0, 2, if(ISBLANK('2025'!$P36), 0, 1), 3, if(ISBLANK('2025'!$Q36), 0, 1), 4, if(ISBLANK('2025'!$R36), 0, 1), 5, if(ISBLANK('2025'!$S36), 0, 1), 6, if(ISBLANK('2025'!$T36), 0, 1), 7, 0))), 1, "")</f>
        <v/>
      </c>
      <c r="AE36" s="1" t="str">
        <f>IF(AND(AND(AND(AE$4&gt;='2025'!$L36,AE$4&lt;='2025'!$M36), AE$4&lt;&gt;DATE(2025,7,4)), (SWITCH(weekday(AE$4), 1, 0, 2, if(ISBLANK('2025'!$P36), 0, 1), 3, if(ISBLANK('2025'!$Q36), 0, 1), 4, if(ISBLANK('2025'!$R36), 0, 1), 5, if(ISBLANK('2025'!$S36), 0, 1), 6, if(ISBLANK('2025'!$T36), 0, 1), 7, 0))), 1, "")</f>
        <v/>
      </c>
      <c r="AF36" s="1" t="str">
        <f>IF(AND(AND(AND(AF$4&gt;='2025'!$L36,AF$4&lt;='2025'!$M36), AF$4&lt;&gt;DATE(2025,7,4)), (SWITCH(weekday(AF$4), 1, 0, 2, if(ISBLANK('2025'!$P36), 0, 1), 3, if(ISBLANK('2025'!$Q36), 0, 1), 4, if(ISBLANK('2025'!$R36), 0, 1), 5, if(ISBLANK('2025'!$S36), 0, 1), 6, if(ISBLANK('2025'!$T36), 0, 1), 7, 0))), 1, "")</f>
        <v/>
      </c>
      <c r="AG36" s="1" t="str">
        <f>IF(AND(AND(AND(AG$4&gt;='2025'!$L36,AG$4&lt;='2025'!$M36), AG$4&lt;&gt;DATE(2025,7,4)), (SWITCH(weekday(AG$4), 1, 0, 2, if(ISBLANK('2025'!$P36), 0, 1), 3, if(ISBLANK('2025'!$Q36), 0, 1), 4, if(ISBLANK('2025'!$R36), 0, 1), 5, if(ISBLANK('2025'!$S36), 0, 1), 6, if(ISBLANK('2025'!$T36), 0, 1), 7, 0))), 1, "")</f>
        <v/>
      </c>
      <c r="AH36" s="1" t="str">
        <f>IF(AND(AND(AND(AH$4&gt;='2025'!$L36,AH$4&lt;='2025'!$M36), AH$4&lt;&gt;DATE(2025,7,4)), (SWITCH(weekday(AH$4), 1, 0, 2, if(ISBLANK('2025'!$P36), 0, 1), 3, if(ISBLANK('2025'!$Q36), 0, 1), 4, if(ISBLANK('2025'!$R36), 0, 1), 5, if(ISBLANK('2025'!$S36), 0, 1), 6, if(ISBLANK('2025'!$T36), 0, 1), 7, 0))), 1, "")</f>
        <v/>
      </c>
      <c r="AI36" s="1" t="str">
        <f>IF(AND(AND(AND(AI$4&gt;='2025'!$L36,AI$4&lt;='2025'!$M36), AI$4&lt;&gt;DATE(2025,7,4)), (SWITCH(weekday(AI$4), 1, 0, 2, if(ISBLANK('2025'!$P36), 0, 1), 3, if(ISBLANK('2025'!$Q36), 0, 1), 4, if(ISBLANK('2025'!$R36), 0, 1), 5, if(ISBLANK('2025'!$S36), 0, 1), 6, if(ISBLANK('2025'!$T36), 0, 1), 7, 0))), 1, "")</f>
        <v/>
      </c>
      <c r="AJ36" s="1" t="str">
        <f>IF(AND(AND(AND(AJ$4&gt;='2025'!$L36,AJ$4&lt;='2025'!$M36), AJ$4&lt;&gt;DATE(2025,7,4)), (SWITCH(weekday(AJ$4), 1, 0, 2, if(ISBLANK('2025'!$P36), 0, 1), 3, if(ISBLANK('2025'!$Q36), 0, 1), 4, if(ISBLANK('2025'!$R36), 0, 1), 5, if(ISBLANK('2025'!$S36), 0, 1), 6, if(ISBLANK('2025'!$T36), 0, 1), 7, 0))), 1, "")</f>
        <v/>
      </c>
      <c r="AK36" s="1" t="str">
        <f>IF(AND(AND(AND(AK$4&gt;='2025'!$L36,AK$4&lt;='2025'!$M36), AK$4&lt;&gt;DATE(2025,7,4)), (SWITCH(weekday(AK$4), 1, 0, 2, if(ISBLANK('2025'!$P36), 0, 1), 3, if(ISBLANK('2025'!$Q36), 0, 1), 4, if(ISBLANK('2025'!$R36), 0, 1), 5, if(ISBLANK('2025'!$S36), 0, 1), 6, if(ISBLANK('2025'!$T36), 0, 1), 7, 0))), 1, "")</f>
        <v/>
      </c>
      <c r="AL36" s="1" t="str">
        <f>IF(AND(AND(AND(AL$4&gt;='2025'!$L36,AL$4&lt;='2025'!$M36), AL$4&lt;&gt;DATE(2025,7,4)), (SWITCH(weekday(AL$4), 1, 0, 2, if(ISBLANK('2025'!$P36), 0, 1), 3, if(ISBLANK('2025'!$Q36), 0, 1), 4, if(ISBLANK('2025'!$R36), 0, 1), 5, if(ISBLANK('2025'!$S36), 0, 1), 6, if(ISBLANK('2025'!$T36), 0, 1), 7, 0))), 1, "")</f>
        <v/>
      </c>
      <c r="AM36" s="1" t="str">
        <f>IF(AND(AND(AND(AM$4&gt;='2025'!$L36,AM$4&lt;='2025'!$M36), AM$4&lt;&gt;DATE(2025,7,4)), (SWITCH(weekday(AM$4), 1, 0, 2, if(ISBLANK('2025'!$P36), 0, 1), 3, if(ISBLANK('2025'!$Q36), 0, 1), 4, if(ISBLANK('2025'!$R36), 0, 1), 5, if(ISBLANK('2025'!$S36), 0, 1), 6, if(ISBLANK('2025'!$T36), 0, 1), 7, 0))), 1, "")</f>
        <v/>
      </c>
      <c r="AN36" s="1" t="str">
        <f>IF(AND(AND(AND(AN$4&gt;='2025'!$L36,AN$4&lt;='2025'!$M36), AN$4&lt;&gt;DATE(2025,7,4)), (SWITCH(weekday(AN$4), 1, 0, 2, if(ISBLANK('2025'!$P36), 0, 1), 3, if(ISBLANK('2025'!$Q36), 0, 1), 4, if(ISBLANK('2025'!$R36), 0, 1), 5, if(ISBLANK('2025'!$S36), 0, 1), 6, if(ISBLANK('2025'!$T36), 0, 1), 7, 0))), 1, "")</f>
        <v/>
      </c>
      <c r="AO36" s="1" t="str">
        <f>IF(AND(AND(AND(AO$4&gt;='2025'!$L36,AO$4&lt;='2025'!$M36), AO$4&lt;&gt;DATE(2025,7,4)), (SWITCH(weekday(AO$4), 1, 0, 2, if(ISBLANK('2025'!$P36), 0, 1), 3, if(ISBLANK('2025'!$Q36), 0, 1), 4, if(ISBLANK('2025'!$R36), 0, 1), 5, if(ISBLANK('2025'!$S36), 0, 1), 6, if(ISBLANK('2025'!$T36), 0, 1), 7, 0))), 1, "")</f>
        <v/>
      </c>
      <c r="AP36" s="1" t="str">
        <f>IF(AND(AND(AND(AP$4&gt;='2025'!$L36,AP$4&lt;='2025'!$M36), AP$4&lt;&gt;DATE(2025,7,4)), (SWITCH(weekday(AP$4), 1, 0, 2, if(ISBLANK('2025'!$P36), 0, 1), 3, if(ISBLANK('2025'!$Q36), 0, 1), 4, if(ISBLANK('2025'!$R36), 0, 1), 5, if(ISBLANK('2025'!$S36), 0, 1), 6, if(ISBLANK('2025'!$T36), 0, 1), 7, 0))), 1, "")</f>
        <v/>
      </c>
      <c r="AQ36" s="1" t="str">
        <f>IF(AND(AND(AND(AQ$4&gt;='2025'!$L36,AQ$4&lt;='2025'!$M36), AQ$4&lt;&gt;DATE(2025,7,4)), (SWITCH(weekday(AQ$4), 1, 0, 2, if(ISBLANK('2025'!$P36), 0, 1), 3, if(ISBLANK('2025'!$Q36), 0, 1), 4, if(ISBLANK('2025'!$R36), 0, 1), 5, if(ISBLANK('2025'!$S36), 0, 1), 6, if(ISBLANK('2025'!$T36), 0, 1), 7, 0))), 1, "")</f>
        <v/>
      </c>
      <c r="AR36" s="1" t="str">
        <f>IF(AND(AND(AND(AR$4&gt;='2025'!$L36,AR$4&lt;='2025'!$M36), AR$4&lt;&gt;DATE(2025,7,4)), (SWITCH(weekday(AR$4), 1, 0, 2, if(ISBLANK('2025'!$P36), 0, 1), 3, if(ISBLANK('2025'!$Q36), 0, 1), 4, if(ISBLANK('2025'!$R36), 0, 1), 5, if(ISBLANK('2025'!$S36), 0, 1), 6, if(ISBLANK('2025'!$T36), 0, 1), 7, 0))), 1, "")</f>
        <v/>
      </c>
      <c r="AS36" s="1" t="str">
        <f>IF(AND(AND(AND(AS$4&gt;='2025'!$L36,AS$4&lt;='2025'!$M36), AS$4&lt;&gt;DATE(2025,7,4)), (SWITCH(weekday(AS$4), 1, 0, 2, if(ISBLANK('2025'!$P36), 0, 1), 3, if(ISBLANK('2025'!$Q36), 0, 1), 4, if(ISBLANK('2025'!$R36), 0, 1), 5, if(ISBLANK('2025'!$S36), 0, 1), 6, if(ISBLANK('2025'!$T36), 0, 1), 7, 0))), 1, "")</f>
        <v/>
      </c>
      <c r="AT36" s="1" t="str">
        <f>IF(AND(AND(AND(AT$4&gt;='2025'!$L36,AT$4&lt;='2025'!$M36), AT$4&lt;&gt;DATE(2025,7,4)), (SWITCH(weekday(AT$4), 1, 0, 2, if(ISBLANK('2025'!$P36), 0, 1), 3, if(ISBLANK('2025'!$Q36), 0, 1), 4, if(ISBLANK('2025'!$R36), 0, 1), 5, if(ISBLANK('2025'!$S36), 0, 1), 6, if(ISBLANK('2025'!$T36), 0, 1), 7, 0))), 1, "")</f>
        <v/>
      </c>
      <c r="AU36" s="1" t="str">
        <f>IF(AND(AND(AND(AU$4&gt;='2025'!$L36,AU$4&lt;='2025'!$M36), AU$4&lt;&gt;DATE(2025,7,4)), (SWITCH(weekday(AU$4), 1, 0, 2, if(ISBLANK('2025'!$P36), 0, 1), 3, if(ISBLANK('2025'!$Q36), 0, 1), 4, if(ISBLANK('2025'!$R36), 0, 1), 5, if(ISBLANK('2025'!$S36), 0, 1), 6, if(ISBLANK('2025'!$T36), 0, 1), 7, 0))), 1, "")</f>
        <v/>
      </c>
      <c r="AV36" s="1" t="str">
        <f>IF(AND(AND(AND(AV$4&gt;='2025'!$L36,AV$4&lt;='2025'!$M36), AV$4&lt;&gt;DATE(2025,7,4)), (SWITCH(weekday(AV$4), 1, 0, 2, if(ISBLANK('2025'!$P36), 0, 1), 3, if(ISBLANK('2025'!$Q36), 0, 1), 4, if(ISBLANK('2025'!$R36), 0, 1), 5, if(ISBLANK('2025'!$S36), 0, 1), 6, if(ISBLANK('2025'!$T36), 0, 1), 7, 0))), 1, "")</f>
        <v/>
      </c>
      <c r="AW36" s="1" t="str">
        <f>IF(AND(AND(AND(AW$4&gt;='2025'!$L36,AW$4&lt;='2025'!$M36), AW$4&lt;&gt;DATE(2025,7,4)), (SWITCH(weekday(AW$4), 1, 0, 2, if(ISBLANK('2025'!$P36), 0, 1), 3, if(ISBLANK('2025'!$Q36), 0, 1), 4, if(ISBLANK('2025'!$R36), 0, 1), 5, if(ISBLANK('2025'!$S36), 0, 1), 6, if(ISBLANK('2025'!$T36), 0, 1), 7, 0))), 1, "")</f>
        <v/>
      </c>
      <c r="AX36" s="1" t="str">
        <f>IF(AND(AND(AND(AX$4&gt;='2025'!$L36,AX$4&lt;='2025'!$M36), AX$4&lt;&gt;DATE(2025,7,4)), (SWITCH(weekday(AX$4), 1, 0, 2, if(ISBLANK('2025'!$P36), 0, 1), 3, if(ISBLANK('2025'!$Q36), 0, 1), 4, if(ISBLANK('2025'!$R36), 0, 1), 5, if(ISBLANK('2025'!$S36), 0, 1), 6, if(ISBLANK('2025'!$T36), 0, 1), 7, 0))), 1, "")</f>
        <v/>
      </c>
      <c r="AY36" s="1" t="str">
        <f>IF(AND(AND(AND(AY$4&gt;='2025'!$L36,AY$4&lt;='2025'!$M36), AY$4&lt;&gt;DATE(2025,7,4)), (SWITCH(weekday(AY$4), 1, 0, 2, if(ISBLANK('2025'!$P36), 0, 1), 3, if(ISBLANK('2025'!$Q36), 0, 1), 4, if(ISBLANK('2025'!$R36), 0, 1), 5, if(ISBLANK('2025'!$S36), 0, 1), 6, if(ISBLANK('2025'!$T36), 0, 1), 7, 0))), 1, "")</f>
        <v/>
      </c>
      <c r="AZ36" s="1" t="str">
        <f>IF(AND(AND(AND(AZ$4&gt;='2025'!$L36,AZ$4&lt;='2025'!$M36), AZ$4&lt;&gt;DATE(2025,7,4)), (SWITCH(weekday(AZ$4), 1, 0, 2, if(ISBLANK('2025'!$P36), 0, 1), 3, if(ISBLANK('2025'!$Q36), 0, 1), 4, if(ISBLANK('2025'!$R36), 0, 1), 5, if(ISBLANK('2025'!$S36), 0, 1), 6, if(ISBLANK('2025'!$T36), 0, 1), 7, 0))), 1, "")</f>
        <v/>
      </c>
      <c r="BA36" s="1" t="str">
        <f>IF(AND(AND(AND(BA$4&gt;='2025'!$L36,BA$4&lt;='2025'!$M36), BA$4&lt;&gt;DATE(2025,7,4)), (SWITCH(weekday(BA$4), 1, 0, 2, if(ISBLANK('2025'!$P36), 0, 1), 3, if(ISBLANK('2025'!$Q36), 0, 1), 4, if(ISBLANK('2025'!$R36), 0, 1), 5, if(ISBLANK('2025'!$S36), 0, 1), 6, if(ISBLANK('2025'!$T36), 0, 1), 7, 0))), 1, "")</f>
        <v/>
      </c>
      <c r="BB36" s="1" t="str">
        <f>IF(AND(AND(AND(BB$4&gt;='2025'!$L36,BB$4&lt;='2025'!$M36), BB$4&lt;&gt;DATE(2025,7,4)), (SWITCH(weekday(BB$4), 1, 0, 2, if(ISBLANK('2025'!$P36), 0, 1), 3, if(ISBLANK('2025'!$Q36), 0, 1), 4, if(ISBLANK('2025'!$R36), 0, 1), 5, if(ISBLANK('2025'!$S36), 0, 1), 6, if(ISBLANK('2025'!$T36), 0, 1), 7, 0))), 1, "")</f>
        <v/>
      </c>
      <c r="BC36" s="1" t="str">
        <f>IF(AND(AND(AND(BC$4&gt;='2025'!$L36,BC$4&lt;='2025'!$M36), BC$4&lt;&gt;DATE(2025,7,4)), (SWITCH(weekday(BC$4), 1, 0, 2, if(ISBLANK('2025'!$P36), 0, 1), 3, if(ISBLANK('2025'!$Q36), 0, 1), 4, if(ISBLANK('2025'!$R36), 0, 1), 5, if(ISBLANK('2025'!$S36), 0, 1), 6, if(ISBLANK('2025'!$T36), 0, 1), 7, 0))), 1, "")</f>
        <v/>
      </c>
      <c r="BD36" s="1" t="str">
        <f>IF(AND(AND(AND(BD$4&gt;='2025'!$L36,BD$4&lt;='2025'!$M36), BD$4&lt;&gt;DATE(2025,7,4)), (SWITCH(weekday(BD$4), 1, 0, 2, if(ISBLANK('2025'!$P36), 0, 1), 3, if(ISBLANK('2025'!$Q36), 0, 1), 4, if(ISBLANK('2025'!$R36), 0, 1), 5, if(ISBLANK('2025'!$S36), 0, 1), 6, if(ISBLANK('2025'!$T36), 0, 1), 7, 0))), 1, "")</f>
        <v/>
      </c>
      <c r="BE36" s="1" t="str">
        <f>IF(AND(AND(AND(BE$4&gt;='2025'!$L36,BE$4&lt;='2025'!$M36), BE$4&lt;&gt;DATE(2025,7,4)), (SWITCH(weekday(BE$4), 1, 0, 2, if(ISBLANK('2025'!$P36), 0, 1), 3, if(ISBLANK('2025'!$Q36), 0, 1), 4, if(ISBLANK('2025'!$R36), 0, 1), 5, if(ISBLANK('2025'!$S36), 0, 1), 6, if(ISBLANK('2025'!$T36), 0, 1), 7, 0))), 1, "")</f>
        <v/>
      </c>
      <c r="BF36" s="1" t="str">
        <f>IF(AND(AND(AND(BF$4&gt;='2025'!$L36,BF$4&lt;='2025'!$M36), BF$4&lt;&gt;DATE(2025,7,4)), (SWITCH(weekday(BF$4), 1, 0, 2, if(ISBLANK('2025'!$P36), 0, 1), 3, if(ISBLANK('2025'!$Q36), 0, 1), 4, if(ISBLANK('2025'!$R36), 0, 1), 5, if(ISBLANK('2025'!$S36), 0, 1), 6, if(ISBLANK('2025'!$T36), 0, 1), 7, 0))), 1, "")</f>
        <v/>
      </c>
      <c r="BG36" s="1"/>
      <c r="BH36" s="1"/>
      <c r="BI36" s="1"/>
      <c r="BJ36" s="1"/>
      <c r="BK36" s="1"/>
      <c r="BL36" s="1"/>
    </row>
    <row r="37">
      <c r="A37" s="1">
        <f t="shared" si="3"/>
        <v>37</v>
      </c>
      <c r="B37" s="1" t="str">
        <f>'2025'!D37</f>
        <v>Roland, Daniel</v>
      </c>
      <c r="C37" s="1" t="str">
        <f>'2025'!H37</f>
        <v>TOD</v>
      </c>
      <c r="D37" s="1" t="str">
        <f>IF(AND(AND(AND(D$4&gt;='2025'!$L37,D$4&lt;='2025'!$M37), D$4&lt;&gt;DATE(2025,7,4)), (SWITCH(weekday(D$4), 1, 0, 2, if(ISBLANK('2025'!$P37), 0, 1), 3, if(ISBLANK('2025'!$Q37), 0, 1), 4, if(ISBLANK('2025'!$R37), 0, 1), 5, if(ISBLANK('2025'!$S37), 0, 1), 6, if(ISBLANK('2025'!$T37), 0, 1), 7, 0))), 1, "")</f>
        <v/>
      </c>
      <c r="E37" s="1" t="str">
        <f>IF(AND(AND(AND(E$4&gt;='2025'!$L37,E$4&lt;='2025'!$M37), E$4&lt;&gt;DATE(2025,7,4)), (SWITCH(weekday(E$4), 1, 0, 2, if(ISBLANK('2025'!$P37), 0, 1), 3, if(ISBLANK('2025'!$Q37), 0, 1), 4, if(ISBLANK('2025'!$R37), 0, 1), 5, if(ISBLANK('2025'!$S37), 0, 1), 6, if(ISBLANK('2025'!$T37), 0, 1), 7, 0))), 1, "")</f>
        <v/>
      </c>
      <c r="F37" s="1" t="str">
        <f>IF(AND(AND(AND(F$4&gt;='2025'!$L37,F$4&lt;='2025'!$M37), F$4&lt;&gt;DATE(2025,7,4)), (SWITCH(weekday(F$4), 1, 0, 2, if(ISBLANK('2025'!$P37), 0, 1), 3, if(ISBLANK('2025'!$Q37), 0, 1), 4, if(ISBLANK('2025'!$R37), 0, 1), 5, if(ISBLANK('2025'!$S37), 0, 1), 6, if(ISBLANK('2025'!$T37), 0, 1), 7, 0))), 1, "")</f>
        <v/>
      </c>
      <c r="G37" s="1" t="str">
        <f>IF(AND(AND(AND(G$4&gt;='2025'!$L37,G$4&lt;='2025'!$M37), G$4&lt;&gt;DATE(2025,7,4)), (SWITCH(weekday(G$4), 1, 0, 2, if(ISBLANK('2025'!$P37), 0, 1), 3, if(ISBLANK('2025'!$Q37), 0, 1), 4, if(ISBLANK('2025'!$R37), 0, 1), 5, if(ISBLANK('2025'!$S37), 0, 1), 6, if(ISBLANK('2025'!$T37), 0, 1), 7, 0))), 1, "")</f>
        <v/>
      </c>
      <c r="H37" s="1" t="str">
        <f>IF(AND(AND(AND(H$4&gt;='2025'!$L37,H$4&lt;='2025'!$M37), H$4&lt;&gt;DATE(2025,7,4)), (SWITCH(weekday(H$4), 1, 0, 2, if(ISBLANK('2025'!$P37), 0, 1), 3, if(ISBLANK('2025'!$Q37), 0, 1), 4, if(ISBLANK('2025'!$R37), 0, 1), 5, if(ISBLANK('2025'!$S37), 0, 1), 6, if(ISBLANK('2025'!$T37), 0, 1), 7, 0))), 1, "")</f>
        <v/>
      </c>
      <c r="I37" s="1" t="str">
        <f>IF(AND(AND(AND(I$4&gt;='2025'!$L37,I$4&lt;='2025'!$M37), I$4&lt;&gt;DATE(2025,7,4)), (SWITCH(weekday(I$4), 1, 0, 2, if(ISBLANK('2025'!$P37), 0, 1), 3, if(ISBLANK('2025'!$Q37), 0, 1), 4, if(ISBLANK('2025'!$R37), 0, 1), 5, if(ISBLANK('2025'!$S37), 0, 1), 6, if(ISBLANK('2025'!$T37), 0, 1), 7, 0))), 1, "")</f>
        <v/>
      </c>
      <c r="J37" s="1" t="str">
        <f>IF(AND(AND(AND(J$4&gt;='2025'!$L37,J$4&lt;='2025'!$M37), J$4&lt;&gt;DATE(2025,7,4)), (SWITCH(weekday(J$4), 1, 0, 2, if(ISBLANK('2025'!$P37), 0, 1), 3, if(ISBLANK('2025'!$Q37), 0, 1), 4, if(ISBLANK('2025'!$R37), 0, 1), 5, if(ISBLANK('2025'!$S37), 0, 1), 6, if(ISBLANK('2025'!$T37), 0, 1), 7, 0))), 1, "")</f>
        <v/>
      </c>
      <c r="K37" s="1" t="str">
        <f>IF(AND(AND(AND(K$4&gt;='2025'!$L37,K$4&lt;='2025'!$M37), K$4&lt;&gt;DATE(2025,7,4)), (SWITCH(weekday(K$4), 1, 0, 2, if(ISBLANK('2025'!$P37), 0, 1), 3, if(ISBLANK('2025'!$Q37), 0, 1), 4, if(ISBLANK('2025'!$R37), 0, 1), 5, if(ISBLANK('2025'!$S37), 0, 1), 6, if(ISBLANK('2025'!$T37), 0, 1), 7, 0))), 1, "")</f>
        <v/>
      </c>
      <c r="L37" s="1" t="str">
        <f>IF(AND(AND(AND(L$4&gt;='2025'!$L37,L$4&lt;='2025'!$M37), L$4&lt;&gt;DATE(2025,7,4)), (SWITCH(weekday(L$4), 1, 0, 2, if(ISBLANK('2025'!$P37), 0, 1), 3, if(ISBLANK('2025'!$Q37), 0, 1), 4, if(ISBLANK('2025'!$R37), 0, 1), 5, if(ISBLANK('2025'!$S37), 0, 1), 6, if(ISBLANK('2025'!$T37), 0, 1), 7, 0))), 1, "")</f>
        <v/>
      </c>
      <c r="M37" s="1" t="str">
        <f>IF(AND(AND(AND(M$4&gt;='2025'!$L37,M$4&lt;='2025'!$M37), M$4&lt;&gt;DATE(2025,7,4)), (SWITCH(weekday(M$4), 1, 0, 2, if(ISBLANK('2025'!$P37), 0, 1), 3, if(ISBLANK('2025'!$Q37), 0, 1), 4, if(ISBLANK('2025'!$R37), 0, 1), 5, if(ISBLANK('2025'!$S37), 0, 1), 6, if(ISBLANK('2025'!$T37), 0, 1), 7, 0))), 1, "")</f>
        <v/>
      </c>
      <c r="N37" s="1" t="str">
        <f>IF(AND(AND(AND(N$4&gt;='2025'!$L37,N$4&lt;='2025'!$M37), N$4&lt;&gt;DATE(2025,7,4)), (SWITCH(weekday(N$4), 1, 0, 2, if(ISBLANK('2025'!$P37), 0, 1), 3, if(ISBLANK('2025'!$Q37), 0, 1), 4, if(ISBLANK('2025'!$R37), 0, 1), 5, if(ISBLANK('2025'!$S37), 0, 1), 6, if(ISBLANK('2025'!$T37), 0, 1), 7, 0))), 1, "")</f>
        <v/>
      </c>
      <c r="O37" s="1" t="str">
        <f>IF(AND(AND(AND(O$4&gt;='2025'!$L37,O$4&lt;='2025'!$M37), O$4&lt;&gt;DATE(2025,7,4)), (SWITCH(weekday(O$4), 1, 0, 2, if(ISBLANK('2025'!$P37), 0, 1), 3, if(ISBLANK('2025'!$Q37), 0, 1), 4, if(ISBLANK('2025'!$R37), 0, 1), 5, if(ISBLANK('2025'!$S37), 0, 1), 6, if(ISBLANK('2025'!$T37), 0, 1), 7, 0))), 1, "")</f>
        <v/>
      </c>
      <c r="P37" s="1" t="str">
        <f>IF(AND(AND(AND(P$4&gt;='2025'!$L37,P$4&lt;='2025'!$M37), P$4&lt;&gt;DATE(2025,7,4)), (SWITCH(weekday(P$4), 1, 0, 2, if(ISBLANK('2025'!$P37), 0, 1), 3, if(ISBLANK('2025'!$Q37), 0, 1), 4, if(ISBLANK('2025'!$R37), 0, 1), 5, if(ISBLANK('2025'!$S37), 0, 1), 6, if(ISBLANK('2025'!$T37), 0, 1), 7, 0))), 1, "")</f>
        <v/>
      </c>
      <c r="Q37" s="1" t="str">
        <f>IF(AND(AND(AND(Q$4&gt;='2025'!$L37,Q$4&lt;='2025'!$M37), Q$4&lt;&gt;DATE(2025,7,4)), (SWITCH(weekday(Q$4), 1, 0, 2, if(ISBLANK('2025'!$P37), 0, 1), 3, if(ISBLANK('2025'!$Q37), 0, 1), 4, if(ISBLANK('2025'!$R37), 0, 1), 5, if(ISBLANK('2025'!$S37), 0, 1), 6, if(ISBLANK('2025'!$T37), 0, 1), 7, 0))), 1, "")</f>
        <v/>
      </c>
      <c r="R37" s="1" t="str">
        <f>IF(AND(AND(AND(R$4&gt;='2025'!$L37,R$4&lt;='2025'!$M37), R$4&lt;&gt;DATE(2025,7,4)), (SWITCH(weekday(R$4), 1, 0, 2, if(ISBLANK('2025'!$P37), 0, 1), 3, if(ISBLANK('2025'!$Q37), 0, 1), 4, if(ISBLANK('2025'!$R37), 0, 1), 5, if(ISBLANK('2025'!$S37), 0, 1), 6, if(ISBLANK('2025'!$T37), 0, 1), 7, 0))), 1, "")</f>
        <v/>
      </c>
      <c r="S37" s="1" t="str">
        <f>IF(AND(AND(AND(S$4&gt;='2025'!$L37,S$4&lt;='2025'!$M37), S$4&lt;&gt;DATE(2025,7,4)), (SWITCH(weekday(S$4), 1, 0, 2, if(ISBLANK('2025'!$P37), 0, 1), 3, if(ISBLANK('2025'!$Q37), 0, 1), 4, if(ISBLANK('2025'!$R37), 0, 1), 5, if(ISBLANK('2025'!$S37), 0, 1), 6, if(ISBLANK('2025'!$T37), 0, 1), 7, 0))), 1, "")</f>
        <v/>
      </c>
      <c r="T37" s="1" t="str">
        <f>IF(AND(AND(AND(T$4&gt;='2025'!$L37,T$4&lt;='2025'!$M37), T$4&lt;&gt;DATE(2025,7,4)), (SWITCH(weekday(T$4), 1, 0, 2, if(ISBLANK('2025'!$P37), 0, 1), 3, if(ISBLANK('2025'!$Q37), 0, 1), 4, if(ISBLANK('2025'!$R37), 0, 1), 5, if(ISBLANK('2025'!$S37), 0, 1), 6, if(ISBLANK('2025'!$T37), 0, 1), 7, 0))), 1, "")</f>
        <v/>
      </c>
      <c r="U37" s="1" t="str">
        <f>IF(AND(AND(AND(U$4&gt;='2025'!$L37,U$4&lt;='2025'!$M37), U$4&lt;&gt;DATE(2025,7,4)), (SWITCH(weekday(U$4), 1, 0, 2, if(ISBLANK('2025'!$P37), 0, 1), 3, if(ISBLANK('2025'!$Q37), 0, 1), 4, if(ISBLANK('2025'!$R37), 0, 1), 5, if(ISBLANK('2025'!$S37), 0, 1), 6, if(ISBLANK('2025'!$T37), 0, 1), 7, 0))), 1, "")</f>
        <v/>
      </c>
      <c r="V37" s="1" t="str">
        <f>IF(AND(AND(AND(V$4&gt;='2025'!$L37,V$4&lt;='2025'!$M37), V$4&lt;&gt;DATE(2025,7,4)), (SWITCH(weekday(V$4), 1, 0, 2, if(ISBLANK('2025'!$P37), 0, 1), 3, if(ISBLANK('2025'!$Q37), 0, 1), 4, if(ISBLANK('2025'!$R37), 0, 1), 5, if(ISBLANK('2025'!$S37), 0, 1), 6, if(ISBLANK('2025'!$T37), 0, 1), 7, 0))), 1, "")</f>
        <v/>
      </c>
      <c r="W37" s="1" t="str">
        <f>IF(AND(AND(AND(W$4&gt;='2025'!$L37,W$4&lt;='2025'!$M37), W$4&lt;&gt;DATE(2025,7,4)), (SWITCH(weekday(W$4), 1, 0, 2, if(ISBLANK('2025'!$P37), 0, 1), 3, if(ISBLANK('2025'!$Q37), 0, 1), 4, if(ISBLANK('2025'!$R37), 0, 1), 5, if(ISBLANK('2025'!$S37), 0, 1), 6, if(ISBLANK('2025'!$T37), 0, 1), 7, 0))), 1, "")</f>
        <v/>
      </c>
      <c r="X37" s="1" t="str">
        <f>IF(AND(AND(AND(X$4&gt;='2025'!$L37,X$4&lt;='2025'!$M37), X$4&lt;&gt;DATE(2025,7,4)), (SWITCH(weekday(X$4), 1, 0, 2, if(ISBLANK('2025'!$P37), 0, 1), 3, if(ISBLANK('2025'!$Q37), 0, 1), 4, if(ISBLANK('2025'!$R37), 0, 1), 5, if(ISBLANK('2025'!$S37), 0, 1), 6, if(ISBLANK('2025'!$T37), 0, 1), 7, 0))), 1, "")</f>
        <v/>
      </c>
      <c r="Y37" s="1" t="str">
        <f>IF(AND(AND(AND(Y$4&gt;='2025'!$L37,Y$4&lt;='2025'!$M37), Y$4&lt;&gt;DATE(2025,7,4)), (SWITCH(weekday(Y$4), 1, 0, 2, if(ISBLANK('2025'!$P37), 0, 1), 3, if(ISBLANK('2025'!$Q37), 0, 1), 4, if(ISBLANK('2025'!$R37), 0, 1), 5, if(ISBLANK('2025'!$S37), 0, 1), 6, if(ISBLANK('2025'!$T37), 0, 1), 7, 0))), 1, "")</f>
        <v/>
      </c>
      <c r="Z37" s="1" t="str">
        <f>IF(AND(AND(AND(Z$4&gt;='2025'!$L37,Z$4&lt;='2025'!$M37), Z$4&lt;&gt;DATE(2025,7,4)), (SWITCH(weekday(Z$4), 1, 0, 2, if(ISBLANK('2025'!$P37), 0, 1), 3, if(ISBLANK('2025'!$Q37), 0, 1), 4, if(ISBLANK('2025'!$R37), 0, 1), 5, if(ISBLANK('2025'!$S37), 0, 1), 6, if(ISBLANK('2025'!$T37), 0, 1), 7, 0))), 1, "")</f>
        <v/>
      </c>
      <c r="AA37" s="1" t="str">
        <f>IF(AND(AND(AND(AA$4&gt;='2025'!$L37,AA$4&lt;='2025'!$M37), AA$4&lt;&gt;DATE(2025,7,4)), (SWITCH(weekday(AA$4), 1, 0, 2, if(ISBLANK('2025'!$P37), 0, 1), 3, if(ISBLANK('2025'!$Q37), 0, 1), 4, if(ISBLANK('2025'!$R37), 0, 1), 5, if(ISBLANK('2025'!$S37), 0, 1), 6, if(ISBLANK('2025'!$T37), 0, 1), 7, 0))), 1, "")</f>
        <v/>
      </c>
      <c r="AB37" s="1" t="str">
        <f>IF(AND(AND(AND(AB$4&gt;='2025'!$L37,AB$4&lt;='2025'!$M37), AB$4&lt;&gt;DATE(2025,7,4)), (SWITCH(weekday(AB$4), 1, 0, 2, if(ISBLANK('2025'!$P37), 0, 1), 3, if(ISBLANK('2025'!$Q37), 0, 1), 4, if(ISBLANK('2025'!$R37), 0, 1), 5, if(ISBLANK('2025'!$S37), 0, 1), 6, if(ISBLANK('2025'!$T37), 0, 1), 7, 0))), 1, "")</f>
        <v/>
      </c>
      <c r="AC37" s="1" t="str">
        <f>IF(AND(AND(AND(AC$4&gt;='2025'!$L37,AC$4&lt;='2025'!$M37), AC$4&lt;&gt;DATE(2025,7,4)), (SWITCH(weekday(AC$4), 1, 0, 2, if(ISBLANK('2025'!$P37), 0, 1), 3, if(ISBLANK('2025'!$Q37), 0, 1), 4, if(ISBLANK('2025'!$R37), 0, 1), 5, if(ISBLANK('2025'!$S37), 0, 1), 6, if(ISBLANK('2025'!$T37), 0, 1), 7, 0))), 1, "")</f>
        <v/>
      </c>
      <c r="AD37" s="1" t="str">
        <f>IF(AND(AND(AND(AD$4&gt;='2025'!$L37,AD$4&lt;='2025'!$M37), AD$4&lt;&gt;DATE(2025,7,4)), (SWITCH(weekday(AD$4), 1, 0, 2, if(ISBLANK('2025'!$P37), 0, 1), 3, if(ISBLANK('2025'!$Q37), 0, 1), 4, if(ISBLANK('2025'!$R37), 0, 1), 5, if(ISBLANK('2025'!$S37), 0, 1), 6, if(ISBLANK('2025'!$T37), 0, 1), 7, 0))), 1, "")</f>
        <v/>
      </c>
      <c r="AE37" s="1" t="str">
        <f>IF(AND(AND(AND(AE$4&gt;='2025'!$L37,AE$4&lt;='2025'!$M37), AE$4&lt;&gt;DATE(2025,7,4)), (SWITCH(weekday(AE$4), 1, 0, 2, if(ISBLANK('2025'!$P37), 0, 1), 3, if(ISBLANK('2025'!$Q37), 0, 1), 4, if(ISBLANK('2025'!$R37), 0, 1), 5, if(ISBLANK('2025'!$S37), 0, 1), 6, if(ISBLANK('2025'!$T37), 0, 1), 7, 0))), 1, "")</f>
        <v/>
      </c>
      <c r="AF37" s="1" t="str">
        <f>IF(AND(AND(AND(AF$4&gt;='2025'!$L37,AF$4&lt;='2025'!$M37), AF$4&lt;&gt;DATE(2025,7,4)), (SWITCH(weekday(AF$4), 1, 0, 2, if(ISBLANK('2025'!$P37), 0, 1), 3, if(ISBLANK('2025'!$Q37), 0, 1), 4, if(ISBLANK('2025'!$R37), 0, 1), 5, if(ISBLANK('2025'!$S37), 0, 1), 6, if(ISBLANK('2025'!$T37), 0, 1), 7, 0))), 1, "")</f>
        <v/>
      </c>
      <c r="AG37" s="1" t="str">
        <f>IF(AND(AND(AND(AG$4&gt;='2025'!$L37,AG$4&lt;='2025'!$M37), AG$4&lt;&gt;DATE(2025,7,4)), (SWITCH(weekday(AG$4), 1, 0, 2, if(ISBLANK('2025'!$P37), 0, 1), 3, if(ISBLANK('2025'!$Q37), 0, 1), 4, if(ISBLANK('2025'!$R37), 0, 1), 5, if(ISBLANK('2025'!$S37), 0, 1), 6, if(ISBLANK('2025'!$T37), 0, 1), 7, 0))), 1, "")</f>
        <v/>
      </c>
      <c r="AH37" s="1" t="str">
        <f>IF(AND(AND(AND(AH$4&gt;='2025'!$L37,AH$4&lt;='2025'!$M37), AH$4&lt;&gt;DATE(2025,7,4)), (SWITCH(weekday(AH$4), 1, 0, 2, if(ISBLANK('2025'!$P37), 0, 1), 3, if(ISBLANK('2025'!$Q37), 0, 1), 4, if(ISBLANK('2025'!$R37), 0, 1), 5, if(ISBLANK('2025'!$S37), 0, 1), 6, if(ISBLANK('2025'!$T37), 0, 1), 7, 0))), 1, "")</f>
        <v/>
      </c>
      <c r="AI37" s="1" t="str">
        <f>IF(AND(AND(AND(AI$4&gt;='2025'!$L37,AI$4&lt;='2025'!$M37), AI$4&lt;&gt;DATE(2025,7,4)), (SWITCH(weekday(AI$4), 1, 0, 2, if(ISBLANK('2025'!$P37), 0, 1), 3, if(ISBLANK('2025'!$Q37), 0, 1), 4, if(ISBLANK('2025'!$R37), 0, 1), 5, if(ISBLANK('2025'!$S37), 0, 1), 6, if(ISBLANK('2025'!$T37), 0, 1), 7, 0))), 1, "")</f>
        <v/>
      </c>
      <c r="AJ37" s="1" t="str">
        <f>IF(AND(AND(AND(AJ$4&gt;='2025'!$L37,AJ$4&lt;='2025'!$M37), AJ$4&lt;&gt;DATE(2025,7,4)), (SWITCH(weekday(AJ$4), 1, 0, 2, if(ISBLANK('2025'!$P37), 0, 1), 3, if(ISBLANK('2025'!$Q37), 0, 1), 4, if(ISBLANK('2025'!$R37), 0, 1), 5, if(ISBLANK('2025'!$S37), 0, 1), 6, if(ISBLANK('2025'!$T37), 0, 1), 7, 0))), 1, "")</f>
        <v/>
      </c>
      <c r="AK37" s="1" t="str">
        <f>IF(AND(AND(AND(AK$4&gt;='2025'!$L37,AK$4&lt;='2025'!$M37), AK$4&lt;&gt;DATE(2025,7,4)), (SWITCH(weekday(AK$4), 1, 0, 2, if(ISBLANK('2025'!$P37), 0, 1), 3, if(ISBLANK('2025'!$Q37), 0, 1), 4, if(ISBLANK('2025'!$R37), 0, 1), 5, if(ISBLANK('2025'!$S37), 0, 1), 6, if(ISBLANK('2025'!$T37), 0, 1), 7, 0))), 1, "")</f>
        <v/>
      </c>
      <c r="AL37" s="1" t="str">
        <f>IF(AND(AND(AND(AL$4&gt;='2025'!$L37,AL$4&lt;='2025'!$M37), AL$4&lt;&gt;DATE(2025,7,4)), (SWITCH(weekday(AL$4), 1, 0, 2, if(ISBLANK('2025'!$P37), 0, 1), 3, if(ISBLANK('2025'!$Q37), 0, 1), 4, if(ISBLANK('2025'!$R37), 0, 1), 5, if(ISBLANK('2025'!$S37), 0, 1), 6, if(ISBLANK('2025'!$T37), 0, 1), 7, 0))), 1, "")</f>
        <v/>
      </c>
      <c r="AM37" s="1" t="str">
        <f>IF(AND(AND(AND(AM$4&gt;='2025'!$L37,AM$4&lt;='2025'!$M37), AM$4&lt;&gt;DATE(2025,7,4)), (SWITCH(weekday(AM$4), 1, 0, 2, if(ISBLANK('2025'!$P37), 0, 1), 3, if(ISBLANK('2025'!$Q37), 0, 1), 4, if(ISBLANK('2025'!$R37), 0, 1), 5, if(ISBLANK('2025'!$S37), 0, 1), 6, if(ISBLANK('2025'!$T37), 0, 1), 7, 0))), 1, "")</f>
        <v/>
      </c>
      <c r="AN37" s="1" t="str">
        <f>IF(AND(AND(AND(AN$4&gt;='2025'!$L37,AN$4&lt;='2025'!$M37), AN$4&lt;&gt;DATE(2025,7,4)), (SWITCH(weekday(AN$4), 1, 0, 2, if(ISBLANK('2025'!$P37), 0, 1), 3, if(ISBLANK('2025'!$Q37), 0, 1), 4, if(ISBLANK('2025'!$R37), 0, 1), 5, if(ISBLANK('2025'!$S37), 0, 1), 6, if(ISBLANK('2025'!$T37), 0, 1), 7, 0))), 1, "")</f>
        <v/>
      </c>
      <c r="AO37" s="1" t="str">
        <f>IF(AND(AND(AND(AO$4&gt;='2025'!$L37,AO$4&lt;='2025'!$M37), AO$4&lt;&gt;DATE(2025,7,4)), (SWITCH(weekday(AO$4), 1, 0, 2, if(ISBLANK('2025'!$P37), 0, 1), 3, if(ISBLANK('2025'!$Q37), 0, 1), 4, if(ISBLANK('2025'!$R37), 0, 1), 5, if(ISBLANK('2025'!$S37), 0, 1), 6, if(ISBLANK('2025'!$T37), 0, 1), 7, 0))), 1, "")</f>
        <v/>
      </c>
      <c r="AP37" s="1" t="str">
        <f>IF(AND(AND(AND(AP$4&gt;='2025'!$L37,AP$4&lt;='2025'!$M37), AP$4&lt;&gt;DATE(2025,7,4)), (SWITCH(weekday(AP$4), 1, 0, 2, if(ISBLANK('2025'!$P37), 0, 1), 3, if(ISBLANK('2025'!$Q37), 0, 1), 4, if(ISBLANK('2025'!$R37), 0, 1), 5, if(ISBLANK('2025'!$S37), 0, 1), 6, if(ISBLANK('2025'!$T37), 0, 1), 7, 0))), 1, "")</f>
        <v/>
      </c>
      <c r="AQ37" s="1" t="str">
        <f>IF(AND(AND(AND(AQ$4&gt;='2025'!$L37,AQ$4&lt;='2025'!$M37), AQ$4&lt;&gt;DATE(2025,7,4)), (SWITCH(weekday(AQ$4), 1, 0, 2, if(ISBLANK('2025'!$P37), 0, 1), 3, if(ISBLANK('2025'!$Q37), 0, 1), 4, if(ISBLANK('2025'!$R37), 0, 1), 5, if(ISBLANK('2025'!$S37), 0, 1), 6, if(ISBLANK('2025'!$T37), 0, 1), 7, 0))), 1, "")</f>
        <v/>
      </c>
      <c r="AR37" s="1" t="str">
        <f>IF(AND(AND(AND(AR$4&gt;='2025'!$L37,AR$4&lt;='2025'!$M37), AR$4&lt;&gt;DATE(2025,7,4)), (SWITCH(weekday(AR$4), 1, 0, 2, if(ISBLANK('2025'!$P37), 0, 1), 3, if(ISBLANK('2025'!$Q37), 0, 1), 4, if(ISBLANK('2025'!$R37), 0, 1), 5, if(ISBLANK('2025'!$S37), 0, 1), 6, if(ISBLANK('2025'!$T37), 0, 1), 7, 0))), 1, "")</f>
        <v/>
      </c>
      <c r="AS37" s="1" t="str">
        <f>IF(AND(AND(AND(AS$4&gt;='2025'!$L37,AS$4&lt;='2025'!$M37), AS$4&lt;&gt;DATE(2025,7,4)), (SWITCH(weekday(AS$4), 1, 0, 2, if(ISBLANK('2025'!$P37), 0, 1), 3, if(ISBLANK('2025'!$Q37), 0, 1), 4, if(ISBLANK('2025'!$R37), 0, 1), 5, if(ISBLANK('2025'!$S37), 0, 1), 6, if(ISBLANK('2025'!$T37), 0, 1), 7, 0))), 1, "")</f>
        <v/>
      </c>
      <c r="AT37" s="1" t="str">
        <f>IF(AND(AND(AND(AT$4&gt;='2025'!$L37,AT$4&lt;='2025'!$M37), AT$4&lt;&gt;DATE(2025,7,4)), (SWITCH(weekday(AT$4), 1, 0, 2, if(ISBLANK('2025'!$P37), 0, 1), 3, if(ISBLANK('2025'!$Q37), 0, 1), 4, if(ISBLANK('2025'!$R37), 0, 1), 5, if(ISBLANK('2025'!$S37), 0, 1), 6, if(ISBLANK('2025'!$T37), 0, 1), 7, 0))), 1, "")</f>
        <v/>
      </c>
      <c r="AU37" s="1" t="str">
        <f>IF(AND(AND(AND(AU$4&gt;='2025'!$L37,AU$4&lt;='2025'!$M37), AU$4&lt;&gt;DATE(2025,7,4)), (SWITCH(weekday(AU$4), 1, 0, 2, if(ISBLANK('2025'!$P37), 0, 1), 3, if(ISBLANK('2025'!$Q37), 0, 1), 4, if(ISBLANK('2025'!$R37), 0, 1), 5, if(ISBLANK('2025'!$S37), 0, 1), 6, if(ISBLANK('2025'!$T37), 0, 1), 7, 0))), 1, "")</f>
        <v/>
      </c>
      <c r="AV37" s="1" t="str">
        <f>IF(AND(AND(AND(AV$4&gt;='2025'!$L37,AV$4&lt;='2025'!$M37), AV$4&lt;&gt;DATE(2025,7,4)), (SWITCH(weekday(AV$4), 1, 0, 2, if(ISBLANK('2025'!$P37), 0, 1), 3, if(ISBLANK('2025'!$Q37), 0, 1), 4, if(ISBLANK('2025'!$R37), 0, 1), 5, if(ISBLANK('2025'!$S37), 0, 1), 6, if(ISBLANK('2025'!$T37), 0, 1), 7, 0))), 1, "")</f>
        <v/>
      </c>
      <c r="AW37" s="1" t="str">
        <f>IF(AND(AND(AND(AW$4&gt;='2025'!$L37,AW$4&lt;='2025'!$M37), AW$4&lt;&gt;DATE(2025,7,4)), (SWITCH(weekday(AW$4), 1, 0, 2, if(ISBLANK('2025'!$P37), 0, 1), 3, if(ISBLANK('2025'!$Q37), 0, 1), 4, if(ISBLANK('2025'!$R37), 0, 1), 5, if(ISBLANK('2025'!$S37), 0, 1), 6, if(ISBLANK('2025'!$T37), 0, 1), 7, 0))), 1, "")</f>
        <v/>
      </c>
      <c r="AX37" s="1" t="str">
        <f>IF(AND(AND(AND(AX$4&gt;='2025'!$L37,AX$4&lt;='2025'!$M37), AX$4&lt;&gt;DATE(2025,7,4)), (SWITCH(weekday(AX$4), 1, 0, 2, if(ISBLANK('2025'!$P37), 0, 1), 3, if(ISBLANK('2025'!$Q37), 0, 1), 4, if(ISBLANK('2025'!$R37), 0, 1), 5, if(ISBLANK('2025'!$S37), 0, 1), 6, if(ISBLANK('2025'!$T37), 0, 1), 7, 0))), 1, "")</f>
        <v/>
      </c>
      <c r="AY37" s="1" t="str">
        <f>IF(AND(AND(AND(AY$4&gt;='2025'!$L37,AY$4&lt;='2025'!$M37), AY$4&lt;&gt;DATE(2025,7,4)), (SWITCH(weekday(AY$4), 1, 0, 2, if(ISBLANK('2025'!$P37), 0, 1), 3, if(ISBLANK('2025'!$Q37), 0, 1), 4, if(ISBLANK('2025'!$R37), 0, 1), 5, if(ISBLANK('2025'!$S37), 0, 1), 6, if(ISBLANK('2025'!$T37), 0, 1), 7, 0))), 1, "")</f>
        <v/>
      </c>
      <c r="AZ37" s="1" t="str">
        <f>IF(AND(AND(AND(AZ$4&gt;='2025'!$L37,AZ$4&lt;='2025'!$M37), AZ$4&lt;&gt;DATE(2025,7,4)), (SWITCH(weekday(AZ$4), 1, 0, 2, if(ISBLANK('2025'!$P37), 0, 1), 3, if(ISBLANK('2025'!$Q37), 0, 1), 4, if(ISBLANK('2025'!$R37), 0, 1), 5, if(ISBLANK('2025'!$S37), 0, 1), 6, if(ISBLANK('2025'!$T37), 0, 1), 7, 0))), 1, "")</f>
        <v/>
      </c>
      <c r="BA37" s="1" t="str">
        <f>IF(AND(AND(AND(BA$4&gt;='2025'!$L37,BA$4&lt;='2025'!$M37), BA$4&lt;&gt;DATE(2025,7,4)), (SWITCH(weekday(BA$4), 1, 0, 2, if(ISBLANK('2025'!$P37), 0, 1), 3, if(ISBLANK('2025'!$Q37), 0, 1), 4, if(ISBLANK('2025'!$R37), 0, 1), 5, if(ISBLANK('2025'!$S37), 0, 1), 6, if(ISBLANK('2025'!$T37), 0, 1), 7, 0))), 1, "")</f>
        <v/>
      </c>
      <c r="BB37" s="1" t="str">
        <f>IF(AND(AND(AND(BB$4&gt;='2025'!$L37,BB$4&lt;='2025'!$M37), BB$4&lt;&gt;DATE(2025,7,4)), (SWITCH(weekday(BB$4), 1, 0, 2, if(ISBLANK('2025'!$P37), 0, 1), 3, if(ISBLANK('2025'!$Q37), 0, 1), 4, if(ISBLANK('2025'!$R37), 0, 1), 5, if(ISBLANK('2025'!$S37), 0, 1), 6, if(ISBLANK('2025'!$T37), 0, 1), 7, 0))), 1, "")</f>
        <v/>
      </c>
      <c r="BC37" s="1" t="str">
        <f>IF(AND(AND(AND(BC$4&gt;='2025'!$L37,BC$4&lt;='2025'!$M37), BC$4&lt;&gt;DATE(2025,7,4)), (SWITCH(weekday(BC$4), 1, 0, 2, if(ISBLANK('2025'!$P37), 0, 1), 3, if(ISBLANK('2025'!$Q37), 0, 1), 4, if(ISBLANK('2025'!$R37), 0, 1), 5, if(ISBLANK('2025'!$S37), 0, 1), 6, if(ISBLANK('2025'!$T37), 0, 1), 7, 0))), 1, "")</f>
        <v/>
      </c>
      <c r="BD37" s="1" t="str">
        <f>IF(AND(AND(AND(BD$4&gt;='2025'!$L37,BD$4&lt;='2025'!$M37), BD$4&lt;&gt;DATE(2025,7,4)), (SWITCH(weekday(BD$4), 1, 0, 2, if(ISBLANK('2025'!$P37), 0, 1), 3, if(ISBLANK('2025'!$Q37), 0, 1), 4, if(ISBLANK('2025'!$R37), 0, 1), 5, if(ISBLANK('2025'!$S37), 0, 1), 6, if(ISBLANK('2025'!$T37), 0, 1), 7, 0))), 1, "")</f>
        <v/>
      </c>
      <c r="BE37" s="1" t="str">
        <f>IF(AND(AND(AND(BE$4&gt;='2025'!$L37,BE$4&lt;='2025'!$M37), BE$4&lt;&gt;DATE(2025,7,4)), (SWITCH(weekday(BE$4), 1, 0, 2, if(ISBLANK('2025'!$P37), 0, 1), 3, if(ISBLANK('2025'!$Q37), 0, 1), 4, if(ISBLANK('2025'!$R37), 0, 1), 5, if(ISBLANK('2025'!$S37), 0, 1), 6, if(ISBLANK('2025'!$T37), 0, 1), 7, 0))), 1, "")</f>
        <v/>
      </c>
      <c r="BF37" s="1" t="str">
        <f>IF(AND(AND(AND(BF$4&gt;='2025'!$L37,BF$4&lt;='2025'!$M37), BF$4&lt;&gt;DATE(2025,7,4)), (SWITCH(weekday(BF$4), 1, 0, 2, if(ISBLANK('2025'!$P37), 0, 1), 3, if(ISBLANK('2025'!$Q37), 0, 1), 4, if(ISBLANK('2025'!$R37), 0, 1), 5, if(ISBLANK('2025'!$S37), 0, 1), 6, if(ISBLANK('2025'!$T37), 0, 1), 7, 0))), 1, "")</f>
        <v/>
      </c>
      <c r="BG37" s="1"/>
      <c r="BH37" s="1"/>
      <c r="BI37" s="1"/>
      <c r="BJ37" s="1"/>
      <c r="BK37" s="1"/>
      <c r="BL37" s="1"/>
    </row>
    <row r="38">
      <c r="A38" s="1">
        <f t="shared" si="3"/>
        <v>38</v>
      </c>
      <c r="B38" s="1" t="str">
        <f>'2025'!D38</f>
        <v>pollakusky , evelyn</v>
      </c>
      <c r="C38" s="1" t="str">
        <f>'2025'!H38</f>
        <v>PK3</v>
      </c>
      <c r="D38" s="1" t="str">
        <f>IF(AND(AND(AND(D$4&gt;='2025'!$L38,D$4&lt;='2025'!$M38), D$4&lt;&gt;DATE(2025,7,4)), (SWITCH(weekday(D$4), 1, 0, 2, if(ISBLANK('2025'!$P38), 0, 1), 3, if(ISBLANK('2025'!$Q38), 0, 1), 4, if(ISBLANK('2025'!$R38), 0, 1), 5, if(ISBLANK('2025'!$S38), 0, 1), 6, if(ISBLANK('2025'!$T38), 0, 1), 7, 0))), 1, "")</f>
        <v/>
      </c>
      <c r="E38" s="1" t="str">
        <f>IF(AND(AND(AND(E$4&gt;='2025'!$L38,E$4&lt;='2025'!$M38), E$4&lt;&gt;DATE(2025,7,4)), (SWITCH(weekday(E$4), 1, 0, 2, if(ISBLANK('2025'!$P38), 0, 1), 3, if(ISBLANK('2025'!$Q38), 0, 1), 4, if(ISBLANK('2025'!$R38), 0, 1), 5, if(ISBLANK('2025'!$S38), 0, 1), 6, if(ISBLANK('2025'!$T38), 0, 1), 7, 0))), 1, "")</f>
        <v/>
      </c>
      <c r="F38" s="1" t="str">
        <f>IF(AND(AND(AND(F$4&gt;='2025'!$L38,F$4&lt;='2025'!$M38), F$4&lt;&gt;DATE(2025,7,4)), (SWITCH(weekday(F$4), 1, 0, 2, if(ISBLANK('2025'!$P38), 0, 1), 3, if(ISBLANK('2025'!$Q38), 0, 1), 4, if(ISBLANK('2025'!$R38), 0, 1), 5, if(ISBLANK('2025'!$S38), 0, 1), 6, if(ISBLANK('2025'!$T38), 0, 1), 7, 0))), 1, "")</f>
        <v/>
      </c>
      <c r="G38" s="1" t="str">
        <f>IF(AND(AND(AND(G$4&gt;='2025'!$L38,G$4&lt;='2025'!$M38), G$4&lt;&gt;DATE(2025,7,4)), (SWITCH(weekday(G$4), 1, 0, 2, if(ISBLANK('2025'!$P38), 0, 1), 3, if(ISBLANK('2025'!$Q38), 0, 1), 4, if(ISBLANK('2025'!$R38), 0, 1), 5, if(ISBLANK('2025'!$S38), 0, 1), 6, if(ISBLANK('2025'!$T38), 0, 1), 7, 0))), 1, "")</f>
        <v/>
      </c>
      <c r="H38" s="1" t="str">
        <f>IF(AND(AND(AND(H$4&gt;='2025'!$L38,H$4&lt;='2025'!$M38), H$4&lt;&gt;DATE(2025,7,4)), (SWITCH(weekday(H$4), 1, 0, 2, if(ISBLANK('2025'!$P38), 0, 1), 3, if(ISBLANK('2025'!$Q38), 0, 1), 4, if(ISBLANK('2025'!$R38), 0, 1), 5, if(ISBLANK('2025'!$S38), 0, 1), 6, if(ISBLANK('2025'!$T38), 0, 1), 7, 0))), 1, "")</f>
        <v/>
      </c>
      <c r="I38" s="1" t="str">
        <f>IF(AND(AND(AND(I$4&gt;='2025'!$L38,I$4&lt;='2025'!$M38), I$4&lt;&gt;DATE(2025,7,4)), (SWITCH(weekday(I$4), 1, 0, 2, if(ISBLANK('2025'!$P38), 0, 1), 3, if(ISBLANK('2025'!$Q38), 0, 1), 4, if(ISBLANK('2025'!$R38), 0, 1), 5, if(ISBLANK('2025'!$S38), 0, 1), 6, if(ISBLANK('2025'!$T38), 0, 1), 7, 0))), 1, "")</f>
        <v/>
      </c>
      <c r="J38" s="1" t="str">
        <f>IF(AND(AND(AND(J$4&gt;='2025'!$L38,J$4&lt;='2025'!$M38), J$4&lt;&gt;DATE(2025,7,4)), (SWITCH(weekday(J$4), 1, 0, 2, if(ISBLANK('2025'!$P38), 0, 1), 3, if(ISBLANK('2025'!$Q38), 0, 1), 4, if(ISBLANK('2025'!$R38), 0, 1), 5, if(ISBLANK('2025'!$S38), 0, 1), 6, if(ISBLANK('2025'!$T38), 0, 1), 7, 0))), 1, "")</f>
        <v/>
      </c>
      <c r="K38" s="1" t="str">
        <f>IF(AND(AND(AND(K$4&gt;='2025'!$L38,K$4&lt;='2025'!$M38), K$4&lt;&gt;DATE(2025,7,4)), (SWITCH(weekday(K$4), 1, 0, 2, if(ISBLANK('2025'!$P38), 0, 1), 3, if(ISBLANK('2025'!$Q38), 0, 1), 4, if(ISBLANK('2025'!$R38), 0, 1), 5, if(ISBLANK('2025'!$S38), 0, 1), 6, if(ISBLANK('2025'!$T38), 0, 1), 7, 0))), 1, "")</f>
        <v/>
      </c>
      <c r="L38" s="1" t="str">
        <f>IF(AND(AND(AND(L$4&gt;='2025'!$L38,L$4&lt;='2025'!$M38), L$4&lt;&gt;DATE(2025,7,4)), (SWITCH(weekday(L$4), 1, 0, 2, if(ISBLANK('2025'!$P38), 0, 1), 3, if(ISBLANK('2025'!$Q38), 0, 1), 4, if(ISBLANK('2025'!$R38), 0, 1), 5, if(ISBLANK('2025'!$S38), 0, 1), 6, if(ISBLANK('2025'!$T38), 0, 1), 7, 0))), 1, "")</f>
        <v/>
      </c>
      <c r="M38" s="1" t="str">
        <f>IF(AND(AND(AND(M$4&gt;='2025'!$L38,M$4&lt;='2025'!$M38), M$4&lt;&gt;DATE(2025,7,4)), (SWITCH(weekday(M$4), 1, 0, 2, if(ISBLANK('2025'!$P38), 0, 1), 3, if(ISBLANK('2025'!$Q38), 0, 1), 4, if(ISBLANK('2025'!$R38), 0, 1), 5, if(ISBLANK('2025'!$S38), 0, 1), 6, if(ISBLANK('2025'!$T38), 0, 1), 7, 0))), 1, "")</f>
        <v/>
      </c>
      <c r="N38" s="1" t="str">
        <f>IF(AND(AND(AND(N$4&gt;='2025'!$L38,N$4&lt;='2025'!$M38), N$4&lt;&gt;DATE(2025,7,4)), (SWITCH(weekday(N$4), 1, 0, 2, if(ISBLANK('2025'!$P38), 0, 1), 3, if(ISBLANK('2025'!$Q38), 0, 1), 4, if(ISBLANK('2025'!$R38), 0, 1), 5, if(ISBLANK('2025'!$S38), 0, 1), 6, if(ISBLANK('2025'!$T38), 0, 1), 7, 0))), 1, "")</f>
        <v/>
      </c>
      <c r="O38" s="1" t="str">
        <f>IF(AND(AND(AND(O$4&gt;='2025'!$L38,O$4&lt;='2025'!$M38), O$4&lt;&gt;DATE(2025,7,4)), (SWITCH(weekday(O$4), 1, 0, 2, if(ISBLANK('2025'!$P38), 0, 1), 3, if(ISBLANK('2025'!$Q38), 0, 1), 4, if(ISBLANK('2025'!$R38), 0, 1), 5, if(ISBLANK('2025'!$S38), 0, 1), 6, if(ISBLANK('2025'!$T38), 0, 1), 7, 0))), 1, "")</f>
        <v/>
      </c>
      <c r="P38" s="1" t="str">
        <f>IF(AND(AND(AND(P$4&gt;='2025'!$L38,P$4&lt;='2025'!$M38), P$4&lt;&gt;DATE(2025,7,4)), (SWITCH(weekday(P$4), 1, 0, 2, if(ISBLANK('2025'!$P38), 0, 1), 3, if(ISBLANK('2025'!$Q38), 0, 1), 4, if(ISBLANK('2025'!$R38), 0, 1), 5, if(ISBLANK('2025'!$S38), 0, 1), 6, if(ISBLANK('2025'!$T38), 0, 1), 7, 0))), 1, "")</f>
        <v/>
      </c>
      <c r="Q38" s="1" t="str">
        <f>IF(AND(AND(AND(Q$4&gt;='2025'!$L38,Q$4&lt;='2025'!$M38), Q$4&lt;&gt;DATE(2025,7,4)), (SWITCH(weekday(Q$4), 1, 0, 2, if(ISBLANK('2025'!$P38), 0, 1), 3, if(ISBLANK('2025'!$Q38), 0, 1), 4, if(ISBLANK('2025'!$R38), 0, 1), 5, if(ISBLANK('2025'!$S38), 0, 1), 6, if(ISBLANK('2025'!$T38), 0, 1), 7, 0))), 1, "")</f>
        <v/>
      </c>
      <c r="R38" s="1" t="str">
        <f>IF(AND(AND(AND(R$4&gt;='2025'!$L38,R$4&lt;='2025'!$M38), R$4&lt;&gt;DATE(2025,7,4)), (SWITCH(weekday(R$4), 1, 0, 2, if(ISBLANK('2025'!$P38), 0, 1), 3, if(ISBLANK('2025'!$Q38), 0, 1), 4, if(ISBLANK('2025'!$R38), 0, 1), 5, if(ISBLANK('2025'!$S38), 0, 1), 6, if(ISBLANK('2025'!$T38), 0, 1), 7, 0))), 1, "")</f>
        <v/>
      </c>
      <c r="S38" s="1" t="str">
        <f>IF(AND(AND(AND(S$4&gt;='2025'!$L38,S$4&lt;='2025'!$M38), S$4&lt;&gt;DATE(2025,7,4)), (SWITCH(weekday(S$4), 1, 0, 2, if(ISBLANK('2025'!$P38), 0, 1), 3, if(ISBLANK('2025'!$Q38), 0, 1), 4, if(ISBLANK('2025'!$R38), 0, 1), 5, if(ISBLANK('2025'!$S38), 0, 1), 6, if(ISBLANK('2025'!$T38), 0, 1), 7, 0))), 1, "")</f>
        <v/>
      </c>
      <c r="T38" s="1" t="str">
        <f>IF(AND(AND(AND(T$4&gt;='2025'!$L38,T$4&lt;='2025'!$M38), T$4&lt;&gt;DATE(2025,7,4)), (SWITCH(weekday(T$4), 1, 0, 2, if(ISBLANK('2025'!$P38), 0, 1), 3, if(ISBLANK('2025'!$Q38), 0, 1), 4, if(ISBLANK('2025'!$R38), 0, 1), 5, if(ISBLANK('2025'!$S38), 0, 1), 6, if(ISBLANK('2025'!$T38), 0, 1), 7, 0))), 1, "")</f>
        <v/>
      </c>
      <c r="U38" s="1" t="str">
        <f>IF(AND(AND(AND(U$4&gt;='2025'!$L38,U$4&lt;='2025'!$M38), U$4&lt;&gt;DATE(2025,7,4)), (SWITCH(weekday(U$4), 1, 0, 2, if(ISBLANK('2025'!$P38), 0, 1), 3, if(ISBLANK('2025'!$Q38), 0, 1), 4, if(ISBLANK('2025'!$R38), 0, 1), 5, if(ISBLANK('2025'!$S38), 0, 1), 6, if(ISBLANK('2025'!$T38), 0, 1), 7, 0))), 1, "")</f>
        <v/>
      </c>
      <c r="V38" s="1" t="str">
        <f>IF(AND(AND(AND(V$4&gt;='2025'!$L38,V$4&lt;='2025'!$M38), V$4&lt;&gt;DATE(2025,7,4)), (SWITCH(weekday(V$4), 1, 0, 2, if(ISBLANK('2025'!$P38), 0, 1), 3, if(ISBLANK('2025'!$Q38), 0, 1), 4, if(ISBLANK('2025'!$R38), 0, 1), 5, if(ISBLANK('2025'!$S38), 0, 1), 6, if(ISBLANK('2025'!$T38), 0, 1), 7, 0))), 1, "")</f>
        <v/>
      </c>
      <c r="W38" s="1" t="str">
        <f>IF(AND(AND(AND(W$4&gt;='2025'!$L38,W$4&lt;='2025'!$M38), W$4&lt;&gt;DATE(2025,7,4)), (SWITCH(weekday(W$4), 1, 0, 2, if(ISBLANK('2025'!$P38), 0, 1), 3, if(ISBLANK('2025'!$Q38), 0, 1), 4, if(ISBLANK('2025'!$R38), 0, 1), 5, if(ISBLANK('2025'!$S38), 0, 1), 6, if(ISBLANK('2025'!$T38), 0, 1), 7, 0))), 1, "")</f>
        <v/>
      </c>
      <c r="X38" s="1" t="str">
        <f>IF(AND(AND(AND(X$4&gt;='2025'!$L38,X$4&lt;='2025'!$M38), X$4&lt;&gt;DATE(2025,7,4)), (SWITCH(weekday(X$4), 1, 0, 2, if(ISBLANK('2025'!$P38), 0, 1), 3, if(ISBLANK('2025'!$Q38), 0, 1), 4, if(ISBLANK('2025'!$R38), 0, 1), 5, if(ISBLANK('2025'!$S38), 0, 1), 6, if(ISBLANK('2025'!$T38), 0, 1), 7, 0))), 1, "")</f>
        <v/>
      </c>
      <c r="Y38" s="1" t="str">
        <f>IF(AND(AND(AND(Y$4&gt;='2025'!$L38,Y$4&lt;='2025'!$M38), Y$4&lt;&gt;DATE(2025,7,4)), (SWITCH(weekday(Y$4), 1, 0, 2, if(ISBLANK('2025'!$P38), 0, 1), 3, if(ISBLANK('2025'!$Q38), 0, 1), 4, if(ISBLANK('2025'!$R38), 0, 1), 5, if(ISBLANK('2025'!$S38), 0, 1), 6, if(ISBLANK('2025'!$T38), 0, 1), 7, 0))), 1, "")</f>
        <v/>
      </c>
      <c r="Z38" s="1" t="str">
        <f>IF(AND(AND(AND(Z$4&gt;='2025'!$L38,Z$4&lt;='2025'!$M38), Z$4&lt;&gt;DATE(2025,7,4)), (SWITCH(weekday(Z$4), 1, 0, 2, if(ISBLANK('2025'!$P38), 0, 1), 3, if(ISBLANK('2025'!$Q38), 0, 1), 4, if(ISBLANK('2025'!$R38), 0, 1), 5, if(ISBLANK('2025'!$S38), 0, 1), 6, if(ISBLANK('2025'!$T38), 0, 1), 7, 0))), 1, "")</f>
        <v/>
      </c>
      <c r="AA38" s="1" t="str">
        <f>IF(AND(AND(AND(AA$4&gt;='2025'!$L38,AA$4&lt;='2025'!$M38), AA$4&lt;&gt;DATE(2025,7,4)), (SWITCH(weekday(AA$4), 1, 0, 2, if(ISBLANK('2025'!$P38), 0, 1), 3, if(ISBLANK('2025'!$Q38), 0, 1), 4, if(ISBLANK('2025'!$R38), 0, 1), 5, if(ISBLANK('2025'!$S38), 0, 1), 6, if(ISBLANK('2025'!$T38), 0, 1), 7, 0))), 1, "")</f>
        <v/>
      </c>
      <c r="AB38" s="1" t="str">
        <f>IF(AND(AND(AND(AB$4&gt;='2025'!$L38,AB$4&lt;='2025'!$M38), AB$4&lt;&gt;DATE(2025,7,4)), (SWITCH(weekday(AB$4), 1, 0, 2, if(ISBLANK('2025'!$P38), 0, 1), 3, if(ISBLANK('2025'!$Q38), 0, 1), 4, if(ISBLANK('2025'!$R38), 0, 1), 5, if(ISBLANK('2025'!$S38), 0, 1), 6, if(ISBLANK('2025'!$T38), 0, 1), 7, 0))), 1, "")</f>
        <v/>
      </c>
      <c r="AC38" s="1" t="str">
        <f>IF(AND(AND(AND(AC$4&gt;='2025'!$L38,AC$4&lt;='2025'!$M38), AC$4&lt;&gt;DATE(2025,7,4)), (SWITCH(weekday(AC$4), 1, 0, 2, if(ISBLANK('2025'!$P38), 0, 1), 3, if(ISBLANK('2025'!$Q38), 0, 1), 4, if(ISBLANK('2025'!$R38), 0, 1), 5, if(ISBLANK('2025'!$S38), 0, 1), 6, if(ISBLANK('2025'!$T38), 0, 1), 7, 0))), 1, "")</f>
        <v/>
      </c>
      <c r="AD38" s="1" t="str">
        <f>IF(AND(AND(AND(AD$4&gt;='2025'!$L38,AD$4&lt;='2025'!$M38), AD$4&lt;&gt;DATE(2025,7,4)), (SWITCH(weekday(AD$4), 1, 0, 2, if(ISBLANK('2025'!$P38), 0, 1), 3, if(ISBLANK('2025'!$Q38), 0, 1), 4, if(ISBLANK('2025'!$R38), 0, 1), 5, if(ISBLANK('2025'!$S38), 0, 1), 6, if(ISBLANK('2025'!$T38), 0, 1), 7, 0))), 1, "")</f>
        <v/>
      </c>
      <c r="AE38" s="1" t="str">
        <f>IF(AND(AND(AND(AE$4&gt;='2025'!$L38,AE$4&lt;='2025'!$M38), AE$4&lt;&gt;DATE(2025,7,4)), (SWITCH(weekday(AE$4), 1, 0, 2, if(ISBLANK('2025'!$P38), 0, 1), 3, if(ISBLANK('2025'!$Q38), 0, 1), 4, if(ISBLANK('2025'!$R38), 0, 1), 5, if(ISBLANK('2025'!$S38), 0, 1), 6, if(ISBLANK('2025'!$T38), 0, 1), 7, 0))), 1, "")</f>
        <v/>
      </c>
      <c r="AF38" s="1" t="str">
        <f>IF(AND(AND(AND(AF$4&gt;='2025'!$L38,AF$4&lt;='2025'!$M38), AF$4&lt;&gt;DATE(2025,7,4)), (SWITCH(weekday(AF$4), 1, 0, 2, if(ISBLANK('2025'!$P38), 0, 1), 3, if(ISBLANK('2025'!$Q38), 0, 1), 4, if(ISBLANK('2025'!$R38), 0, 1), 5, if(ISBLANK('2025'!$S38), 0, 1), 6, if(ISBLANK('2025'!$T38), 0, 1), 7, 0))), 1, "")</f>
        <v/>
      </c>
      <c r="AG38" s="1" t="str">
        <f>IF(AND(AND(AND(AG$4&gt;='2025'!$L38,AG$4&lt;='2025'!$M38), AG$4&lt;&gt;DATE(2025,7,4)), (SWITCH(weekday(AG$4), 1, 0, 2, if(ISBLANK('2025'!$P38), 0, 1), 3, if(ISBLANK('2025'!$Q38), 0, 1), 4, if(ISBLANK('2025'!$R38), 0, 1), 5, if(ISBLANK('2025'!$S38), 0, 1), 6, if(ISBLANK('2025'!$T38), 0, 1), 7, 0))), 1, "")</f>
        <v/>
      </c>
      <c r="AH38" s="1" t="str">
        <f>IF(AND(AND(AND(AH$4&gt;='2025'!$L38,AH$4&lt;='2025'!$M38), AH$4&lt;&gt;DATE(2025,7,4)), (SWITCH(weekday(AH$4), 1, 0, 2, if(ISBLANK('2025'!$P38), 0, 1), 3, if(ISBLANK('2025'!$Q38), 0, 1), 4, if(ISBLANK('2025'!$R38), 0, 1), 5, if(ISBLANK('2025'!$S38), 0, 1), 6, if(ISBLANK('2025'!$T38), 0, 1), 7, 0))), 1, "")</f>
        <v/>
      </c>
      <c r="AI38" s="1" t="str">
        <f>IF(AND(AND(AND(AI$4&gt;='2025'!$L38,AI$4&lt;='2025'!$M38), AI$4&lt;&gt;DATE(2025,7,4)), (SWITCH(weekday(AI$4), 1, 0, 2, if(ISBLANK('2025'!$P38), 0, 1), 3, if(ISBLANK('2025'!$Q38), 0, 1), 4, if(ISBLANK('2025'!$R38), 0, 1), 5, if(ISBLANK('2025'!$S38), 0, 1), 6, if(ISBLANK('2025'!$T38), 0, 1), 7, 0))), 1, "")</f>
        <v/>
      </c>
      <c r="AJ38" s="1" t="str">
        <f>IF(AND(AND(AND(AJ$4&gt;='2025'!$L38,AJ$4&lt;='2025'!$M38), AJ$4&lt;&gt;DATE(2025,7,4)), (SWITCH(weekday(AJ$4), 1, 0, 2, if(ISBLANK('2025'!$P38), 0, 1), 3, if(ISBLANK('2025'!$Q38), 0, 1), 4, if(ISBLANK('2025'!$R38), 0, 1), 5, if(ISBLANK('2025'!$S38), 0, 1), 6, if(ISBLANK('2025'!$T38), 0, 1), 7, 0))), 1, "")</f>
        <v/>
      </c>
      <c r="AK38" s="1" t="str">
        <f>IF(AND(AND(AND(AK$4&gt;='2025'!$L38,AK$4&lt;='2025'!$M38), AK$4&lt;&gt;DATE(2025,7,4)), (SWITCH(weekday(AK$4), 1, 0, 2, if(ISBLANK('2025'!$P38), 0, 1), 3, if(ISBLANK('2025'!$Q38), 0, 1), 4, if(ISBLANK('2025'!$R38), 0, 1), 5, if(ISBLANK('2025'!$S38), 0, 1), 6, if(ISBLANK('2025'!$T38), 0, 1), 7, 0))), 1, "")</f>
        <v/>
      </c>
      <c r="AL38" s="1" t="str">
        <f>IF(AND(AND(AND(AL$4&gt;='2025'!$L38,AL$4&lt;='2025'!$M38), AL$4&lt;&gt;DATE(2025,7,4)), (SWITCH(weekday(AL$4), 1, 0, 2, if(ISBLANK('2025'!$P38), 0, 1), 3, if(ISBLANK('2025'!$Q38), 0, 1), 4, if(ISBLANK('2025'!$R38), 0, 1), 5, if(ISBLANK('2025'!$S38), 0, 1), 6, if(ISBLANK('2025'!$T38), 0, 1), 7, 0))), 1, "")</f>
        <v/>
      </c>
      <c r="AM38" s="1" t="str">
        <f>IF(AND(AND(AND(AM$4&gt;='2025'!$L38,AM$4&lt;='2025'!$M38), AM$4&lt;&gt;DATE(2025,7,4)), (SWITCH(weekday(AM$4), 1, 0, 2, if(ISBLANK('2025'!$P38), 0, 1), 3, if(ISBLANK('2025'!$Q38), 0, 1), 4, if(ISBLANK('2025'!$R38), 0, 1), 5, if(ISBLANK('2025'!$S38), 0, 1), 6, if(ISBLANK('2025'!$T38), 0, 1), 7, 0))), 1, "")</f>
        <v/>
      </c>
      <c r="AN38" s="1" t="str">
        <f>IF(AND(AND(AND(AN$4&gt;='2025'!$L38,AN$4&lt;='2025'!$M38), AN$4&lt;&gt;DATE(2025,7,4)), (SWITCH(weekday(AN$4), 1, 0, 2, if(ISBLANK('2025'!$P38), 0, 1), 3, if(ISBLANK('2025'!$Q38), 0, 1), 4, if(ISBLANK('2025'!$R38), 0, 1), 5, if(ISBLANK('2025'!$S38), 0, 1), 6, if(ISBLANK('2025'!$T38), 0, 1), 7, 0))), 1, "")</f>
        <v/>
      </c>
      <c r="AO38" s="1" t="str">
        <f>IF(AND(AND(AND(AO$4&gt;='2025'!$L38,AO$4&lt;='2025'!$M38), AO$4&lt;&gt;DATE(2025,7,4)), (SWITCH(weekday(AO$4), 1, 0, 2, if(ISBLANK('2025'!$P38), 0, 1), 3, if(ISBLANK('2025'!$Q38), 0, 1), 4, if(ISBLANK('2025'!$R38), 0, 1), 5, if(ISBLANK('2025'!$S38), 0, 1), 6, if(ISBLANK('2025'!$T38), 0, 1), 7, 0))), 1, "")</f>
        <v/>
      </c>
      <c r="AP38" s="1" t="str">
        <f>IF(AND(AND(AND(AP$4&gt;='2025'!$L38,AP$4&lt;='2025'!$M38), AP$4&lt;&gt;DATE(2025,7,4)), (SWITCH(weekday(AP$4), 1, 0, 2, if(ISBLANK('2025'!$P38), 0, 1), 3, if(ISBLANK('2025'!$Q38), 0, 1), 4, if(ISBLANK('2025'!$R38), 0, 1), 5, if(ISBLANK('2025'!$S38), 0, 1), 6, if(ISBLANK('2025'!$T38), 0, 1), 7, 0))), 1, "")</f>
        <v/>
      </c>
      <c r="AQ38" s="1" t="str">
        <f>IF(AND(AND(AND(AQ$4&gt;='2025'!$L38,AQ$4&lt;='2025'!$M38), AQ$4&lt;&gt;DATE(2025,7,4)), (SWITCH(weekday(AQ$4), 1, 0, 2, if(ISBLANK('2025'!$P38), 0, 1), 3, if(ISBLANK('2025'!$Q38), 0, 1), 4, if(ISBLANK('2025'!$R38), 0, 1), 5, if(ISBLANK('2025'!$S38), 0, 1), 6, if(ISBLANK('2025'!$T38), 0, 1), 7, 0))), 1, "")</f>
        <v/>
      </c>
      <c r="AR38" s="1" t="str">
        <f>IF(AND(AND(AND(AR$4&gt;='2025'!$L38,AR$4&lt;='2025'!$M38), AR$4&lt;&gt;DATE(2025,7,4)), (SWITCH(weekday(AR$4), 1, 0, 2, if(ISBLANK('2025'!$P38), 0, 1), 3, if(ISBLANK('2025'!$Q38), 0, 1), 4, if(ISBLANK('2025'!$R38), 0, 1), 5, if(ISBLANK('2025'!$S38), 0, 1), 6, if(ISBLANK('2025'!$T38), 0, 1), 7, 0))), 1, "")</f>
        <v/>
      </c>
      <c r="AS38" s="1" t="str">
        <f>IF(AND(AND(AND(AS$4&gt;='2025'!$L38,AS$4&lt;='2025'!$M38), AS$4&lt;&gt;DATE(2025,7,4)), (SWITCH(weekday(AS$4), 1, 0, 2, if(ISBLANK('2025'!$P38), 0, 1), 3, if(ISBLANK('2025'!$Q38), 0, 1), 4, if(ISBLANK('2025'!$R38), 0, 1), 5, if(ISBLANK('2025'!$S38), 0, 1), 6, if(ISBLANK('2025'!$T38), 0, 1), 7, 0))), 1, "")</f>
        <v/>
      </c>
      <c r="AT38" s="1" t="str">
        <f>IF(AND(AND(AND(AT$4&gt;='2025'!$L38,AT$4&lt;='2025'!$M38), AT$4&lt;&gt;DATE(2025,7,4)), (SWITCH(weekday(AT$4), 1, 0, 2, if(ISBLANK('2025'!$P38), 0, 1), 3, if(ISBLANK('2025'!$Q38), 0, 1), 4, if(ISBLANK('2025'!$R38), 0, 1), 5, if(ISBLANK('2025'!$S38), 0, 1), 6, if(ISBLANK('2025'!$T38), 0, 1), 7, 0))), 1, "")</f>
        <v/>
      </c>
      <c r="AU38" s="1" t="str">
        <f>IF(AND(AND(AND(AU$4&gt;='2025'!$L38,AU$4&lt;='2025'!$M38), AU$4&lt;&gt;DATE(2025,7,4)), (SWITCH(weekday(AU$4), 1, 0, 2, if(ISBLANK('2025'!$P38), 0, 1), 3, if(ISBLANK('2025'!$Q38), 0, 1), 4, if(ISBLANK('2025'!$R38), 0, 1), 5, if(ISBLANK('2025'!$S38), 0, 1), 6, if(ISBLANK('2025'!$T38), 0, 1), 7, 0))), 1, "")</f>
        <v/>
      </c>
      <c r="AV38" s="1" t="str">
        <f>IF(AND(AND(AND(AV$4&gt;='2025'!$L38,AV$4&lt;='2025'!$M38), AV$4&lt;&gt;DATE(2025,7,4)), (SWITCH(weekday(AV$4), 1, 0, 2, if(ISBLANK('2025'!$P38), 0, 1), 3, if(ISBLANK('2025'!$Q38), 0, 1), 4, if(ISBLANK('2025'!$R38), 0, 1), 5, if(ISBLANK('2025'!$S38), 0, 1), 6, if(ISBLANK('2025'!$T38), 0, 1), 7, 0))), 1, "")</f>
        <v/>
      </c>
      <c r="AW38" s="1" t="str">
        <f>IF(AND(AND(AND(AW$4&gt;='2025'!$L38,AW$4&lt;='2025'!$M38), AW$4&lt;&gt;DATE(2025,7,4)), (SWITCH(weekday(AW$4), 1, 0, 2, if(ISBLANK('2025'!$P38), 0, 1), 3, if(ISBLANK('2025'!$Q38), 0, 1), 4, if(ISBLANK('2025'!$R38), 0, 1), 5, if(ISBLANK('2025'!$S38), 0, 1), 6, if(ISBLANK('2025'!$T38), 0, 1), 7, 0))), 1, "")</f>
        <v/>
      </c>
      <c r="AX38" s="1" t="str">
        <f>IF(AND(AND(AND(AX$4&gt;='2025'!$L38,AX$4&lt;='2025'!$M38), AX$4&lt;&gt;DATE(2025,7,4)), (SWITCH(weekday(AX$4), 1, 0, 2, if(ISBLANK('2025'!$P38), 0, 1), 3, if(ISBLANK('2025'!$Q38), 0, 1), 4, if(ISBLANK('2025'!$R38), 0, 1), 5, if(ISBLANK('2025'!$S38), 0, 1), 6, if(ISBLANK('2025'!$T38), 0, 1), 7, 0))), 1, "")</f>
        <v/>
      </c>
      <c r="AY38" s="1" t="str">
        <f>IF(AND(AND(AND(AY$4&gt;='2025'!$L38,AY$4&lt;='2025'!$M38), AY$4&lt;&gt;DATE(2025,7,4)), (SWITCH(weekday(AY$4), 1, 0, 2, if(ISBLANK('2025'!$P38), 0, 1), 3, if(ISBLANK('2025'!$Q38), 0, 1), 4, if(ISBLANK('2025'!$R38), 0, 1), 5, if(ISBLANK('2025'!$S38), 0, 1), 6, if(ISBLANK('2025'!$T38), 0, 1), 7, 0))), 1, "")</f>
        <v/>
      </c>
      <c r="AZ38" s="1" t="str">
        <f>IF(AND(AND(AND(AZ$4&gt;='2025'!$L38,AZ$4&lt;='2025'!$M38), AZ$4&lt;&gt;DATE(2025,7,4)), (SWITCH(weekday(AZ$4), 1, 0, 2, if(ISBLANK('2025'!$P38), 0, 1), 3, if(ISBLANK('2025'!$Q38), 0, 1), 4, if(ISBLANK('2025'!$R38), 0, 1), 5, if(ISBLANK('2025'!$S38), 0, 1), 6, if(ISBLANK('2025'!$T38), 0, 1), 7, 0))), 1, "")</f>
        <v/>
      </c>
      <c r="BA38" s="1" t="str">
        <f>IF(AND(AND(AND(BA$4&gt;='2025'!$L38,BA$4&lt;='2025'!$M38), BA$4&lt;&gt;DATE(2025,7,4)), (SWITCH(weekday(BA$4), 1, 0, 2, if(ISBLANK('2025'!$P38), 0, 1), 3, if(ISBLANK('2025'!$Q38), 0, 1), 4, if(ISBLANK('2025'!$R38), 0, 1), 5, if(ISBLANK('2025'!$S38), 0, 1), 6, if(ISBLANK('2025'!$T38), 0, 1), 7, 0))), 1, "")</f>
        <v/>
      </c>
      <c r="BB38" s="1" t="str">
        <f>IF(AND(AND(AND(BB$4&gt;='2025'!$L38,BB$4&lt;='2025'!$M38), BB$4&lt;&gt;DATE(2025,7,4)), (SWITCH(weekday(BB$4), 1, 0, 2, if(ISBLANK('2025'!$P38), 0, 1), 3, if(ISBLANK('2025'!$Q38), 0, 1), 4, if(ISBLANK('2025'!$R38), 0, 1), 5, if(ISBLANK('2025'!$S38), 0, 1), 6, if(ISBLANK('2025'!$T38), 0, 1), 7, 0))), 1, "")</f>
        <v/>
      </c>
      <c r="BC38" s="1" t="str">
        <f>IF(AND(AND(AND(BC$4&gt;='2025'!$L38,BC$4&lt;='2025'!$M38), BC$4&lt;&gt;DATE(2025,7,4)), (SWITCH(weekday(BC$4), 1, 0, 2, if(ISBLANK('2025'!$P38), 0, 1), 3, if(ISBLANK('2025'!$Q38), 0, 1), 4, if(ISBLANK('2025'!$R38), 0, 1), 5, if(ISBLANK('2025'!$S38), 0, 1), 6, if(ISBLANK('2025'!$T38), 0, 1), 7, 0))), 1, "")</f>
        <v/>
      </c>
      <c r="BD38" s="1" t="str">
        <f>IF(AND(AND(AND(BD$4&gt;='2025'!$L38,BD$4&lt;='2025'!$M38), BD$4&lt;&gt;DATE(2025,7,4)), (SWITCH(weekday(BD$4), 1, 0, 2, if(ISBLANK('2025'!$P38), 0, 1), 3, if(ISBLANK('2025'!$Q38), 0, 1), 4, if(ISBLANK('2025'!$R38), 0, 1), 5, if(ISBLANK('2025'!$S38), 0, 1), 6, if(ISBLANK('2025'!$T38), 0, 1), 7, 0))), 1, "")</f>
        <v/>
      </c>
      <c r="BE38" s="1" t="str">
        <f>IF(AND(AND(AND(BE$4&gt;='2025'!$L38,BE$4&lt;='2025'!$M38), BE$4&lt;&gt;DATE(2025,7,4)), (SWITCH(weekday(BE$4), 1, 0, 2, if(ISBLANK('2025'!$P38), 0, 1), 3, if(ISBLANK('2025'!$Q38), 0, 1), 4, if(ISBLANK('2025'!$R38), 0, 1), 5, if(ISBLANK('2025'!$S38), 0, 1), 6, if(ISBLANK('2025'!$T38), 0, 1), 7, 0))), 1, "")</f>
        <v/>
      </c>
      <c r="BF38" s="1" t="str">
        <f>IF(AND(AND(AND(BF$4&gt;='2025'!$L38,BF$4&lt;='2025'!$M38), BF$4&lt;&gt;DATE(2025,7,4)), (SWITCH(weekday(BF$4), 1, 0, 2, if(ISBLANK('2025'!$P38), 0, 1), 3, if(ISBLANK('2025'!$Q38), 0, 1), 4, if(ISBLANK('2025'!$R38), 0, 1), 5, if(ISBLANK('2025'!$S38), 0, 1), 6, if(ISBLANK('2025'!$T38), 0, 1), 7, 0))), 1, "")</f>
        <v/>
      </c>
      <c r="BG38" s="1"/>
      <c r="BH38" s="1"/>
      <c r="BI38" s="1"/>
      <c r="BJ38" s="1"/>
      <c r="BK38" s="1"/>
      <c r="BL38" s="1"/>
    </row>
    <row r="39">
      <c r="A39" s="1">
        <f t="shared" si="3"/>
        <v>39</v>
      </c>
      <c r="B39" s="1" t="str">
        <f>'2025'!D39</f>
        <v>Peluso, Francis</v>
      </c>
      <c r="C39" s="1" t="str">
        <f>'2025'!H39</f>
        <v>TOD</v>
      </c>
      <c r="D39" s="1" t="str">
        <f>IF(AND(AND(AND(D$4&gt;='2025'!$L39,D$4&lt;='2025'!$M39), D$4&lt;&gt;DATE(2025,7,4)), (SWITCH(weekday(D$4), 1, 0, 2, if(ISBLANK('2025'!$P39), 0, 1), 3, if(ISBLANK('2025'!$Q39), 0, 1), 4, if(ISBLANK('2025'!$R39), 0, 1), 5, if(ISBLANK('2025'!$S39), 0, 1), 6, if(ISBLANK('2025'!$T39), 0, 1), 7, 0))), 1, "")</f>
        <v/>
      </c>
      <c r="E39" s="1" t="str">
        <f>IF(AND(AND(AND(E$4&gt;='2025'!$L39,E$4&lt;='2025'!$M39), E$4&lt;&gt;DATE(2025,7,4)), (SWITCH(weekday(E$4), 1, 0, 2, if(ISBLANK('2025'!$P39), 0, 1), 3, if(ISBLANK('2025'!$Q39), 0, 1), 4, if(ISBLANK('2025'!$R39), 0, 1), 5, if(ISBLANK('2025'!$S39), 0, 1), 6, if(ISBLANK('2025'!$T39), 0, 1), 7, 0))), 1, "")</f>
        <v/>
      </c>
      <c r="F39" s="1" t="str">
        <f>IF(AND(AND(AND(F$4&gt;='2025'!$L39,F$4&lt;='2025'!$M39), F$4&lt;&gt;DATE(2025,7,4)), (SWITCH(weekday(F$4), 1, 0, 2, if(ISBLANK('2025'!$P39), 0, 1), 3, if(ISBLANK('2025'!$Q39), 0, 1), 4, if(ISBLANK('2025'!$R39), 0, 1), 5, if(ISBLANK('2025'!$S39), 0, 1), 6, if(ISBLANK('2025'!$T39), 0, 1), 7, 0))), 1, "")</f>
        <v/>
      </c>
      <c r="G39" s="1" t="str">
        <f>IF(AND(AND(AND(G$4&gt;='2025'!$L39,G$4&lt;='2025'!$M39), G$4&lt;&gt;DATE(2025,7,4)), (SWITCH(weekday(G$4), 1, 0, 2, if(ISBLANK('2025'!$P39), 0, 1), 3, if(ISBLANK('2025'!$Q39), 0, 1), 4, if(ISBLANK('2025'!$R39), 0, 1), 5, if(ISBLANK('2025'!$S39), 0, 1), 6, if(ISBLANK('2025'!$T39), 0, 1), 7, 0))), 1, "")</f>
        <v/>
      </c>
      <c r="H39" s="1" t="str">
        <f>IF(AND(AND(AND(H$4&gt;='2025'!$L39,H$4&lt;='2025'!$M39), H$4&lt;&gt;DATE(2025,7,4)), (SWITCH(weekday(H$4), 1, 0, 2, if(ISBLANK('2025'!$P39), 0, 1), 3, if(ISBLANK('2025'!$Q39), 0, 1), 4, if(ISBLANK('2025'!$R39), 0, 1), 5, if(ISBLANK('2025'!$S39), 0, 1), 6, if(ISBLANK('2025'!$T39), 0, 1), 7, 0))), 1, "")</f>
        <v/>
      </c>
      <c r="I39" s="1" t="str">
        <f>IF(AND(AND(AND(I$4&gt;='2025'!$L39,I$4&lt;='2025'!$M39), I$4&lt;&gt;DATE(2025,7,4)), (SWITCH(weekday(I$4), 1, 0, 2, if(ISBLANK('2025'!$P39), 0, 1), 3, if(ISBLANK('2025'!$Q39), 0, 1), 4, if(ISBLANK('2025'!$R39), 0, 1), 5, if(ISBLANK('2025'!$S39), 0, 1), 6, if(ISBLANK('2025'!$T39), 0, 1), 7, 0))), 1, "")</f>
        <v/>
      </c>
      <c r="J39" s="1" t="str">
        <f>IF(AND(AND(AND(J$4&gt;='2025'!$L39,J$4&lt;='2025'!$M39), J$4&lt;&gt;DATE(2025,7,4)), (SWITCH(weekday(J$4), 1, 0, 2, if(ISBLANK('2025'!$P39), 0, 1), 3, if(ISBLANK('2025'!$Q39), 0, 1), 4, if(ISBLANK('2025'!$R39), 0, 1), 5, if(ISBLANK('2025'!$S39), 0, 1), 6, if(ISBLANK('2025'!$T39), 0, 1), 7, 0))), 1, "")</f>
        <v/>
      </c>
      <c r="K39" s="1" t="str">
        <f>IF(AND(AND(AND(K$4&gt;='2025'!$L39,K$4&lt;='2025'!$M39), K$4&lt;&gt;DATE(2025,7,4)), (SWITCH(weekday(K$4), 1, 0, 2, if(ISBLANK('2025'!$P39), 0, 1), 3, if(ISBLANK('2025'!$Q39), 0, 1), 4, if(ISBLANK('2025'!$R39), 0, 1), 5, if(ISBLANK('2025'!$S39), 0, 1), 6, if(ISBLANK('2025'!$T39), 0, 1), 7, 0))), 1, "")</f>
        <v/>
      </c>
      <c r="L39" s="1" t="str">
        <f>IF(AND(AND(AND(L$4&gt;='2025'!$L39,L$4&lt;='2025'!$M39), L$4&lt;&gt;DATE(2025,7,4)), (SWITCH(weekday(L$4), 1, 0, 2, if(ISBLANK('2025'!$P39), 0, 1), 3, if(ISBLANK('2025'!$Q39), 0, 1), 4, if(ISBLANK('2025'!$R39), 0, 1), 5, if(ISBLANK('2025'!$S39), 0, 1), 6, if(ISBLANK('2025'!$T39), 0, 1), 7, 0))), 1, "")</f>
        <v/>
      </c>
      <c r="M39" s="1" t="str">
        <f>IF(AND(AND(AND(M$4&gt;='2025'!$L39,M$4&lt;='2025'!$M39), M$4&lt;&gt;DATE(2025,7,4)), (SWITCH(weekday(M$4), 1, 0, 2, if(ISBLANK('2025'!$P39), 0, 1), 3, if(ISBLANK('2025'!$Q39), 0, 1), 4, if(ISBLANK('2025'!$R39), 0, 1), 5, if(ISBLANK('2025'!$S39), 0, 1), 6, if(ISBLANK('2025'!$T39), 0, 1), 7, 0))), 1, "")</f>
        <v/>
      </c>
      <c r="N39" s="1" t="str">
        <f>IF(AND(AND(AND(N$4&gt;='2025'!$L39,N$4&lt;='2025'!$M39), N$4&lt;&gt;DATE(2025,7,4)), (SWITCH(weekday(N$4), 1, 0, 2, if(ISBLANK('2025'!$P39), 0, 1), 3, if(ISBLANK('2025'!$Q39), 0, 1), 4, if(ISBLANK('2025'!$R39), 0, 1), 5, if(ISBLANK('2025'!$S39), 0, 1), 6, if(ISBLANK('2025'!$T39), 0, 1), 7, 0))), 1, "")</f>
        <v/>
      </c>
      <c r="O39" s="1" t="str">
        <f>IF(AND(AND(AND(O$4&gt;='2025'!$L39,O$4&lt;='2025'!$M39), O$4&lt;&gt;DATE(2025,7,4)), (SWITCH(weekday(O$4), 1, 0, 2, if(ISBLANK('2025'!$P39), 0, 1), 3, if(ISBLANK('2025'!$Q39), 0, 1), 4, if(ISBLANK('2025'!$R39), 0, 1), 5, if(ISBLANK('2025'!$S39), 0, 1), 6, if(ISBLANK('2025'!$T39), 0, 1), 7, 0))), 1, "")</f>
        <v/>
      </c>
      <c r="P39" s="1" t="str">
        <f>IF(AND(AND(AND(P$4&gt;='2025'!$L39,P$4&lt;='2025'!$M39), P$4&lt;&gt;DATE(2025,7,4)), (SWITCH(weekday(P$4), 1, 0, 2, if(ISBLANK('2025'!$P39), 0, 1), 3, if(ISBLANK('2025'!$Q39), 0, 1), 4, if(ISBLANK('2025'!$R39), 0, 1), 5, if(ISBLANK('2025'!$S39), 0, 1), 6, if(ISBLANK('2025'!$T39), 0, 1), 7, 0))), 1, "")</f>
        <v/>
      </c>
      <c r="Q39" s="1" t="str">
        <f>IF(AND(AND(AND(Q$4&gt;='2025'!$L39,Q$4&lt;='2025'!$M39), Q$4&lt;&gt;DATE(2025,7,4)), (SWITCH(weekday(Q$4), 1, 0, 2, if(ISBLANK('2025'!$P39), 0, 1), 3, if(ISBLANK('2025'!$Q39), 0, 1), 4, if(ISBLANK('2025'!$R39), 0, 1), 5, if(ISBLANK('2025'!$S39), 0, 1), 6, if(ISBLANK('2025'!$T39), 0, 1), 7, 0))), 1, "")</f>
        <v/>
      </c>
      <c r="R39" s="1" t="str">
        <f>IF(AND(AND(AND(R$4&gt;='2025'!$L39,R$4&lt;='2025'!$M39), R$4&lt;&gt;DATE(2025,7,4)), (SWITCH(weekday(R$4), 1, 0, 2, if(ISBLANK('2025'!$P39), 0, 1), 3, if(ISBLANK('2025'!$Q39), 0, 1), 4, if(ISBLANK('2025'!$R39), 0, 1), 5, if(ISBLANK('2025'!$S39), 0, 1), 6, if(ISBLANK('2025'!$T39), 0, 1), 7, 0))), 1, "")</f>
        <v/>
      </c>
      <c r="S39" s="1" t="str">
        <f>IF(AND(AND(AND(S$4&gt;='2025'!$L39,S$4&lt;='2025'!$M39), S$4&lt;&gt;DATE(2025,7,4)), (SWITCH(weekday(S$4), 1, 0, 2, if(ISBLANK('2025'!$P39), 0, 1), 3, if(ISBLANK('2025'!$Q39), 0, 1), 4, if(ISBLANK('2025'!$R39), 0, 1), 5, if(ISBLANK('2025'!$S39), 0, 1), 6, if(ISBLANK('2025'!$T39), 0, 1), 7, 0))), 1, "")</f>
        <v/>
      </c>
      <c r="T39" s="1" t="str">
        <f>IF(AND(AND(AND(T$4&gt;='2025'!$L39,T$4&lt;='2025'!$M39), T$4&lt;&gt;DATE(2025,7,4)), (SWITCH(weekday(T$4), 1, 0, 2, if(ISBLANK('2025'!$P39), 0, 1), 3, if(ISBLANK('2025'!$Q39), 0, 1), 4, if(ISBLANK('2025'!$R39), 0, 1), 5, if(ISBLANK('2025'!$S39), 0, 1), 6, if(ISBLANK('2025'!$T39), 0, 1), 7, 0))), 1, "")</f>
        <v/>
      </c>
      <c r="U39" s="1" t="str">
        <f>IF(AND(AND(AND(U$4&gt;='2025'!$L39,U$4&lt;='2025'!$M39), U$4&lt;&gt;DATE(2025,7,4)), (SWITCH(weekday(U$4), 1, 0, 2, if(ISBLANK('2025'!$P39), 0, 1), 3, if(ISBLANK('2025'!$Q39), 0, 1), 4, if(ISBLANK('2025'!$R39), 0, 1), 5, if(ISBLANK('2025'!$S39), 0, 1), 6, if(ISBLANK('2025'!$T39), 0, 1), 7, 0))), 1, "")</f>
        <v/>
      </c>
      <c r="V39" s="1" t="str">
        <f>IF(AND(AND(AND(V$4&gt;='2025'!$L39,V$4&lt;='2025'!$M39), V$4&lt;&gt;DATE(2025,7,4)), (SWITCH(weekday(V$4), 1, 0, 2, if(ISBLANK('2025'!$P39), 0, 1), 3, if(ISBLANK('2025'!$Q39), 0, 1), 4, if(ISBLANK('2025'!$R39), 0, 1), 5, if(ISBLANK('2025'!$S39), 0, 1), 6, if(ISBLANK('2025'!$T39), 0, 1), 7, 0))), 1, "")</f>
        <v/>
      </c>
      <c r="W39" s="1" t="str">
        <f>IF(AND(AND(AND(W$4&gt;='2025'!$L39,W$4&lt;='2025'!$M39), W$4&lt;&gt;DATE(2025,7,4)), (SWITCH(weekday(W$4), 1, 0, 2, if(ISBLANK('2025'!$P39), 0, 1), 3, if(ISBLANK('2025'!$Q39), 0, 1), 4, if(ISBLANK('2025'!$R39), 0, 1), 5, if(ISBLANK('2025'!$S39), 0, 1), 6, if(ISBLANK('2025'!$T39), 0, 1), 7, 0))), 1, "")</f>
        <v/>
      </c>
      <c r="X39" s="1" t="str">
        <f>IF(AND(AND(AND(X$4&gt;='2025'!$L39,X$4&lt;='2025'!$M39), X$4&lt;&gt;DATE(2025,7,4)), (SWITCH(weekday(X$4), 1, 0, 2, if(ISBLANK('2025'!$P39), 0, 1), 3, if(ISBLANK('2025'!$Q39), 0, 1), 4, if(ISBLANK('2025'!$R39), 0, 1), 5, if(ISBLANK('2025'!$S39), 0, 1), 6, if(ISBLANK('2025'!$T39), 0, 1), 7, 0))), 1, "")</f>
        <v/>
      </c>
      <c r="Y39" s="1" t="str">
        <f>IF(AND(AND(AND(Y$4&gt;='2025'!$L39,Y$4&lt;='2025'!$M39), Y$4&lt;&gt;DATE(2025,7,4)), (SWITCH(weekday(Y$4), 1, 0, 2, if(ISBLANK('2025'!$P39), 0, 1), 3, if(ISBLANK('2025'!$Q39), 0, 1), 4, if(ISBLANK('2025'!$R39), 0, 1), 5, if(ISBLANK('2025'!$S39), 0, 1), 6, if(ISBLANK('2025'!$T39), 0, 1), 7, 0))), 1, "")</f>
        <v/>
      </c>
      <c r="Z39" s="1" t="str">
        <f>IF(AND(AND(AND(Z$4&gt;='2025'!$L39,Z$4&lt;='2025'!$M39), Z$4&lt;&gt;DATE(2025,7,4)), (SWITCH(weekday(Z$4), 1, 0, 2, if(ISBLANK('2025'!$P39), 0, 1), 3, if(ISBLANK('2025'!$Q39), 0, 1), 4, if(ISBLANK('2025'!$R39), 0, 1), 5, if(ISBLANK('2025'!$S39), 0, 1), 6, if(ISBLANK('2025'!$T39), 0, 1), 7, 0))), 1, "")</f>
        <v/>
      </c>
      <c r="AA39" s="1" t="str">
        <f>IF(AND(AND(AND(AA$4&gt;='2025'!$L39,AA$4&lt;='2025'!$M39), AA$4&lt;&gt;DATE(2025,7,4)), (SWITCH(weekday(AA$4), 1, 0, 2, if(ISBLANK('2025'!$P39), 0, 1), 3, if(ISBLANK('2025'!$Q39), 0, 1), 4, if(ISBLANK('2025'!$R39), 0, 1), 5, if(ISBLANK('2025'!$S39), 0, 1), 6, if(ISBLANK('2025'!$T39), 0, 1), 7, 0))), 1, "")</f>
        <v/>
      </c>
      <c r="AB39" s="1" t="str">
        <f>IF(AND(AND(AND(AB$4&gt;='2025'!$L39,AB$4&lt;='2025'!$M39), AB$4&lt;&gt;DATE(2025,7,4)), (SWITCH(weekday(AB$4), 1, 0, 2, if(ISBLANK('2025'!$P39), 0, 1), 3, if(ISBLANK('2025'!$Q39), 0, 1), 4, if(ISBLANK('2025'!$R39), 0, 1), 5, if(ISBLANK('2025'!$S39), 0, 1), 6, if(ISBLANK('2025'!$T39), 0, 1), 7, 0))), 1, "")</f>
        <v/>
      </c>
      <c r="AC39" s="1" t="str">
        <f>IF(AND(AND(AND(AC$4&gt;='2025'!$L39,AC$4&lt;='2025'!$M39), AC$4&lt;&gt;DATE(2025,7,4)), (SWITCH(weekday(AC$4), 1, 0, 2, if(ISBLANK('2025'!$P39), 0, 1), 3, if(ISBLANK('2025'!$Q39), 0, 1), 4, if(ISBLANK('2025'!$R39), 0, 1), 5, if(ISBLANK('2025'!$S39), 0, 1), 6, if(ISBLANK('2025'!$T39), 0, 1), 7, 0))), 1, "")</f>
        <v/>
      </c>
      <c r="AD39" s="1" t="str">
        <f>IF(AND(AND(AND(AD$4&gt;='2025'!$L39,AD$4&lt;='2025'!$M39), AD$4&lt;&gt;DATE(2025,7,4)), (SWITCH(weekday(AD$4), 1, 0, 2, if(ISBLANK('2025'!$P39), 0, 1), 3, if(ISBLANK('2025'!$Q39), 0, 1), 4, if(ISBLANK('2025'!$R39), 0, 1), 5, if(ISBLANK('2025'!$S39), 0, 1), 6, if(ISBLANK('2025'!$T39), 0, 1), 7, 0))), 1, "")</f>
        <v/>
      </c>
      <c r="AE39" s="1" t="str">
        <f>IF(AND(AND(AND(AE$4&gt;='2025'!$L39,AE$4&lt;='2025'!$M39), AE$4&lt;&gt;DATE(2025,7,4)), (SWITCH(weekday(AE$4), 1, 0, 2, if(ISBLANK('2025'!$P39), 0, 1), 3, if(ISBLANK('2025'!$Q39), 0, 1), 4, if(ISBLANK('2025'!$R39), 0, 1), 5, if(ISBLANK('2025'!$S39), 0, 1), 6, if(ISBLANK('2025'!$T39), 0, 1), 7, 0))), 1, "")</f>
        <v/>
      </c>
      <c r="AF39" s="1" t="str">
        <f>IF(AND(AND(AND(AF$4&gt;='2025'!$L39,AF$4&lt;='2025'!$M39), AF$4&lt;&gt;DATE(2025,7,4)), (SWITCH(weekday(AF$4), 1, 0, 2, if(ISBLANK('2025'!$P39), 0, 1), 3, if(ISBLANK('2025'!$Q39), 0, 1), 4, if(ISBLANK('2025'!$R39), 0, 1), 5, if(ISBLANK('2025'!$S39), 0, 1), 6, if(ISBLANK('2025'!$T39), 0, 1), 7, 0))), 1, "")</f>
        <v/>
      </c>
      <c r="AG39" s="1" t="str">
        <f>IF(AND(AND(AND(AG$4&gt;='2025'!$L39,AG$4&lt;='2025'!$M39), AG$4&lt;&gt;DATE(2025,7,4)), (SWITCH(weekday(AG$4), 1, 0, 2, if(ISBLANK('2025'!$P39), 0, 1), 3, if(ISBLANK('2025'!$Q39), 0, 1), 4, if(ISBLANK('2025'!$R39), 0, 1), 5, if(ISBLANK('2025'!$S39), 0, 1), 6, if(ISBLANK('2025'!$T39), 0, 1), 7, 0))), 1, "")</f>
        <v/>
      </c>
      <c r="AH39" s="1" t="str">
        <f>IF(AND(AND(AND(AH$4&gt;='2025'!$L39,AH$4&lt;='2025'!$M39), AH$4&lt;&gt;DATE(2025,7,4)), (SWITCH(weekday(AH$4), 1, 0, 2, if(ISBLANK('2025'!$P39), 0, 1), 3, if(ISBLANK('2025'!$Q39), 0, 1), 4, if(ISBLANK('2025'!$R39), 0, 1), 5, if(ISBLANK('2025'!$S39), 0, 1), 6, if(ISBLANK('2025'!$T39), 0, 1), 7, 0))), 1, "")</f>
        <v/>
      </c>
      <c r="AI39" s="1" t="str">
        <f>IF(AND(AND(AND(AI$4&gt;='2025'!$L39,AI$4&lt;='2025'!$M39), AI$4&lt;&gt;DATE(2025,7,4)), (SWITCH(weekday(AI$4), 1, 0, 2, if(ISBLANK('2025'!$P39), 0, 1), 3, if(ISBLANK('2025'!$Q39), 0, 1), 4, if(ISBLANK('2025'!$R39), 0, 1), 5, if(ISBLANK('2025'!$S39), 0, 1), 6, if(ISBLANK('2025'!$T39), 0, 1), 7, 0))), 1, "")</f>
        <v/>
      </c>
      <c r="AJ39" s="1" t="str">
        <f>IF(AND(AND(AND(AJ$4&gt;='2025'!$L39,AJ$4&lt;='2025'!$M39), AJ$4&lt;&gt;DATE(2025,7,4)), (SWITCH(weekday(AJ$4), 1, 0, 2, if(ISBLANK('2025'!$P39), 0, 1), 3, if(ISBLANK('2025'!$Q39), 0, 1), 4, if(ISBLANK('2025'!$R39), 0, 1), 5, if(ISBLANK('2025'!$S39), 0, 1), 6, if(ISBLANK('2025'!$T39), 0, 1), 7, 0))), 1, "")</f>
        <v/>
      </c>
      <c r="AK39" s="1" t="str">
        <f>IF(AND(AND(AND(AK$4&gt;='2025'!$L39,AK$4&lt;='2025'!$M39), AK$4&lt;&gt;DATE(2025,7,4)), (SWITCH(weekday(AK$4), 1, 0, 2, if(ISBLANK('2025'!$P39), 0, 1), 3, if(ISBLANK('2025'!$Q39), 0, 1), 4, if(ISBLANK('2025'!$R39), 0, 1), 5, if(ISBLANK('2025'!$S39), 0, 1), 6, if(ISBLANK('2025'!$T39), 0, 1), 7, 0))), 1, "")</f>
        <v/>
      </c>
      <c r="AL39" s="1" t="str">
        <f>IF(AND(AND(AND(AL$4&gt;='2025'!$L39,AL$4&lt;='2025'!$M39), AL$4&lt;&gt;DATE(2025,7,4)), (SWITCH(weekday(AL$4), 1, 0, 2, if(ISBLANK('2025'!$P39), 0, 1), 3, if(ISBLANK('2025'!$Q39), 0, 1), 4, if(ISBLANK('2025'!$R39), 0, 1), 5, if(ISBLANK('2025'!$S39), 0, 1), 6, if(ISBLANK('2025'!$T39), 0, 1), 7, 0))), 1, "")</f>
        <v/>
      </c>
      <c r="AM39" s="1" t="str">
        <f>IF(AND(AND(AND(AM$4&gt;='2025'!$L39,AM$4&lt;='2025'!$M39), AM$4&lt;&gt;DATE(2025,7,4)), (SWITCH(weekday(AM$4), 1, 0, 2, if(ISBLANK('2025'!$P39), 0, 1), 3, if(ISBLANK('2025'!$Q39), 0, 1), 4, if(ISBLANK('2025'!$R39), 0, 1), 5, if(ISBLANK('2025'!$S39), 0, 1), 6, if(ISBLANK('2025'!$T39), 0, 1), 7, 0))), 1, "")</f>
        <v/>
      </c>
      <c r="AN39" s="1" t="str">
        <f>IF(AND(AND(AND(AN$4&gt;='2025'!$L39,AN$4&lt;='2025'!$M39), AN$4&lt;&gt;DATE(2025,7,4)), (SWITCH(weekday(AN$4), 1, 0, 2, if(ISBLANK('2025'!$P39), 0, 1), 3, if(ISBLANK('2025'!$Q39), 0, 1), 4, if(ISBLANK('2025'!$R39), 0, 1), 5, if(ISBLANK('2025'!$S39), 0, 1), 6, if(ISBLANK('2025'!$T39), 0, 1), 7, 0))), 1, "")</f>
        <v/>
      </c>
      <c r="AO39" s="1" t="str">
        <f>IF(AND(AND(AND(AO$4&gt;='2025'!$L39,AO$4&lt;='2025'!$M39), AO$4&lt;&gt;DATE(2025,7,4)), (SWITCH(weekday(AO$4), 1, 0, 2, if(ISBLANK('2025'!$P39), 0, 1), 3, if(ISBLANK('2025'!$Q39), 0, 1), 4, if(ISBLANK('2025'!$R39), 0, 1), 5, if(ISBLANK('2025'!$S39), 0, 1), 6, if(ISBLANK('2025'!$T39), 0, 1), 7, 0))), 1, "")</f>
        <v/>
      </c>
      <c r="AP39" s="1" t="str">
        <f>IF(AND(AND(AND(AP$4&gt;='2025'!$L39,AP$4&lt;='2025'!$M39), AP$4&lt;&gt;DATE(2025,7,4)), (SWITCH(weekday(AP$4), 1, 0, 2, if(ISBLANK('2025'!$P39), 0, 1), 3, if(ISBLANK('2025'!$Q39), 0, 1), 4, if(ISBLANK('2025'!$R39), 0, 1), 5, if(ISBLANK('2025'!$S39), 0, 1), 6, if(ISBLANK('2025'!$T39), 0, 1), 7, 0))), 1, "")</f>
        <v/>
      </c>
      <c r="AQ39" s="1" t="str">
        <f>IF(AND(AND(AND(AQ$4&gt;='2025'!$L39,AQ$4&lt;='2025'!$M39), AQ$4&lt;&gt;DATE(2025,7,4)), (SWITCH(weekday(AQ$4), 1, 0, 2, if(ISBLANK('2025'!$P39), 0, 1), 3, if(ISBLANK('2025'!$Q39), 0, 1), 4, if(ISBLANK('2025'!$R39), 0, 1), 5, if(ISBLANK('2025'!$S39), 0, 1), 6, if(ISBLANK('2025'!$T39), 0, 1), 7, 0))), 1, "")</f>
        <v/>
      </c>
      <c r="AR39" s="1" t="str">
        <f>IF(AND(AND(AND(AR$4&gt;='2025'!$L39,AR$4&lt;='2025'!$M39), AR$4&lt;&gt;DATE(2025,7,4)), (SWITCH(weekday(AR$4), 1, 0, 2, if(ISBLANK('2025'!$P39), 0, 1), 3, if(ISBLANK('2025'!$Q39), 0, 1), 4, if(ISBLANK('2025'!$R39), 0, 1), 5, if(ISBLANK('2025'!$S39), 0, 1), 6, if(ISBLANK('2025'!$T39), 0, 1), 7, 0))), 1, "")</f>
        <v/>
      </c>
      <c r="AS39" s="1" t="str">
        <f>IF(AND(AND(AND(AS$4&gt;='2025'!$L39,AS$4&lt;='2025'!$M39), AS$4&lt;&gt;DATE(2025,7,4)), (SWITCH(weekday(AS$4), 1, 0, 2, if(ISBLANK('2025'!$P39), 0, 1), 3, if(ISBLANK('2025'!$Q39), 0, 1), 4, if(ISBLANK('2025'!$R39), 0, 1), 5, if(ISBLANK('2025'!$S39), 0, 1), 6, if(ISBLANK('2025'!$T39), 0, 1), 7, 0))), 1, "")</f>
        <v/>
      </c>
      <c r="AT39" s="1" t="str">
        <f>IF(AND(AND(AND(AT$4&gt;='2025'!$L39,AT$4&lt;='2025'!$M39), AT$4&lt;&gt;DATE(2025,7,4)), (SWITCH(weekday(AT$4), 1, 0, 2, if(ISBLANK('2025'!$P39), 0, 1), 3, if(ISBLANK('2025'!$Q39), 0, 1), 4, if(ISBLANK('2025'!$R39), 0, 1), 5, if(ISBLANK('2025'!$S39), 0, 1), 6, if(ISBLANK('2025'!$T39), 0, 1), 7, 0))), 1, "")</f>
        <v/>
      </c>
      <c r="AU39" s="1" t="str">
        <f>IF(AND(AND(AND(AU$4&gt;='2025'!$L39,AU$4&lt;='2025'!$M39), AU$4&lt;&gt;DATE(2025,7,4)), (SWITCH(weekday(AU$4), 1, 0, 2, if(ISBLANK('2025'!$P39), 0, 1), 3, if(ISBLANK('2025'!$Q39), 0, 1), 4, if(ISBLANK('2025'!$R39), 0, 1), 5, if(ISBLANK('2025'!$S39), 0, 1), 6, if(ISBLANK('2025'!$T39), 0, 1), 7, 0))), 1, "")</f>
        <v/>
      </c>
      <c r="AV39" s="1" t="str">
        <f>IF(AND(AND(AND(AV$4&gt;='2025'!$L39,AV$4&lt;='2025'!$M39), AV$4&lt;&gt;DATE(2025,7,4)), (SWITCH(weekday(AV$4), 1, 0, 2, if(ISBLANK('2025'!$P39), 0, 1), 3, if(ISBLANK('2025'!$Q39), 0, 1), 4, if(ISBLANK('2025'!$R39), 0, 1), 5, if(ISBLANK('2025'!$S39), 0, 1), 6, if(ISBLANK('2025'!$T39), 0, 1), 7, 0))), 1, "")</f>
        <v/>
      </c>
      <c r="AW39" s="1" t="str">
        <f>IF(AND(AND(AND(AW$4&gt;='2025'!$L39,AW$4&lt;='2025'!$M39), AW$4&lt;&gt;DATE(2025,7,4)), (SWITCH(weekday(AW$4), 1, 0, 2, if(ISBLANK('2025'!$P39), 0, 1), 3, if(ISBLANK('2025'!$Q39), 0, 1), 4, if(ISBLANK('2025'!$R39), 0, 1), 5, if(ISBLANK('2025'!$S39), 0, 1), 6, if(ISBLANK('2025'!$T39), 0, 1), 7, 0))), 1, "")</f>
        <v/>
      </c>
      <c r="AX39" s="1" t="str">
        <f>IF(AND(AND(AND(AX$4&gt;='2025'!$L39,AX$4&lt;='2025'!$M39), AX$4&lt;&gt;DATE(2025,7,4)), (SWITCH(weekday(AX$4), 1, 0, 2, if(ISBLANK('2025'!$P39), 0, 1), 3, if(ISBLANK('2025'!$Q39), 0, 1), 4, if(ISBLANK('2025'!$R39), 0, 1), 5, if(ISBLANK('2025'!$S39), 0, 1), 6, if(ISBLANK('2025'!$T39), 0, 1), 7, 0))), 1, "")</f>
        <v/>
      </c>
      <c r="AY39" s="1" t="str">
        <f>IF(AND(AND(AND(AY$4&gt;='2025'!$L39,AY$4&lt;='2025'!$M39), AY$4&lt;&gt;DATE(2025,7,4)), (SWITCH(weekday(AY$4), 1, 0, 2, if(ISBLANK('2025'!$P39), 0, 1), 3, if(ISBLANK('2025'!$Q39), 0, 1), 4, if(ISBLANK('2025'!$R39), 0, 1), 5, if(ISBLANK('2025'!$S39), 0, 1), 6, if(ISBLANK('2025'!$T39), 0, 1), 7, 0))), 1, "")</f>
        <v/>
      </c>
      <c r="AZ39" s="1" t="str">
        <f>IF(AND(AND(AND(AZ$4&gt;='2025'!$L39,AZ$4&lt;='2025'!$M39), AZ$4&lt;&gt;DATE(2025,7,4)), (SWITCH(weekday(AZ$4), 1, 0, 2, if(ISBLANK('2025'!$P39), 0, 1), 3, if(ISBLANK('2025'!$Q39), 0, 1), 4, if(ISBLANK('2025'!$R39), 0, 1), 5, if(ISBLANK('2025'!$S39), 0, 1), 6, if(ISBLANK('2025'!$T39), 0, 1), 7, 0))), 1, "")</f>
        <v/>
      </c>
      <c r="BA39" s="1" t="str">
        <f>IF(AND(AND(AND(BA$4&gt;='2025'!$L39,BA$4&lt;='2025'!$M39), BA$4&lt;&gt;DATE(2025,7,4)), (SWITCH(weekday(BA$4), 1, 0, 2, if(ISBLANK('2025'!$P39), 0, 1), 3, if(ISBLANK('2025'!$Q39), 0, 1), 4, if(ISBLANK('2025'!$R39), 0, 1), 5, if(ISBLANK('2025'!$S39), 0, 1), 6, if(ISBLANK('2025'!$T39), 0, 1), 7, 0))), 1, "")</f>
        <v/>
      </c>
      <c r="BB39" s="1" t="str">
        <f>IF(AND(AND(AND(BB$4&gt;='2025'!$L39,BB$4&lt;='2025'!$M39), BB$4&lt;&gt;DATE(2025,7,4)), (SWITCH(weekday(BB$4), 1, 0, 2, if(ISBLANK('2025'!$P39), 0, 1), 3, if(ISBLANK('2025'!$Q39), 0, 1), 4, if(ISBLANK('2025'!$R39), 0, 1), 5, if(ISBLANK('2025'!$S39), 0, 1), 6, if(ISBLANK('2025'!$T39), 0, 1), 7, 0))), 1, "")</f>
        <v/>
      </c>
      <c r="BC39" s="1" t="str">
        <f>IF(AND(AND(AND(BC$4&gt;='2025'!$L39,BC$4&lt;='2025'!$M39), BC$4&lt;&gt;DATE(2025,7,4)), (SWITCH(weekday(BC$4), 1, 0, 2, if(ISBLANK('2025'!$P39), 0, 1), 3, if(ISBLANK('2025'!$Q39), 0, 1), 4, if(ISBLANK('2025'!$R39), 0, 1), 5, if(ISBLANK('2025'!$S39), 0, 1), 6, if(ISBLANK('2025'!$T39), 0, 1), 7, 0))), 1, "")</f>
        <v/>
      </c>
      <c r="BD39" s="1" t="str">
        <f>IF(AND(AND(AND(BD$4&gt;='2025'!$L39,BD$4&lt;='2025'!$M39), BD$4&lt;&gt;DATE(2025,7,4)), (SWITCH(weekday(BD$4), 1, 0, 2, if(ISBLANK('2025'!$P39), 0, 1), 3, if(ISBLANK('2025'!$Q39), 0, 1), 4, if(ISBLANK('2025'!$R39), 0, 1), 5, if(ISBLANK('2025'!$S39), 0, 1), 6, if(ISBLANK('2025'!$T39), 0, 1), 7, 0))), 1, "")</f>
        <v/>
      </c>
      <c r="BE39" s="1" t="str">
        <f>IF(AND(AND(AND(BE$4&gt;='2025'!$L39,BE$4&lt;='2025'!$M39), BE$4&lt;&gt;DATE(2025,7,4)), (SWITCH(weekday(BE$4), 1, 0, 2, if(ISBLANK('2025'!$P39), 0, 1), 3, if(ISBLANK('2025'!$Q39), 0, 1), 4, if(ISBLANK('2025'!$R39), 0, 1), 5, if(ISBLANK('2025'!$S39), 0, 1), 6, if(ISBLANK('2025'!$T39), 0, 1), 7, 0))), 1, "")</f>
        <v/>
      </c>
      <c r="BF39" s="1" t="str">
        <f>IF(AND(AND(AND(BF$4&gt;='2025'!$L39,BF$4&lt;='2025'!$M39), BF$4&lt;&gt;DATE(2025,7,4)), (SWITCH(weekday(BF$4), 1, 0, 2, if(ISBLANK('2025'!$P39), 0, 1), 3, if(ISBLANK('2025'!$Q39), 0, 1), 4, if(ISBLANK('2025'!$R39), 0, 1), 5, if(ISBLANK('2025'!$S39), 0, 1), 6, if(ISBLANK('2025'!$T39), 0, 1), 7, 0))), 1, "")</f>
        <v/>
      </c>
      <c r="BG39" s="1"/>
      <c r="BH39" s="1"/>
      <c r="BI39" s="1"/>
      <c r="BJ39" s="1"/>
      <c r="BK39" s="1"/>
      <c r="BL39" s="1"/>
    </row>
    <row r="40">
      <c r="A40" s="1">
        <f t="shared" si="3"/>
        <v>40</v>
      </c>
      <c r="B40" s="1" t="str">
        <f>'2025'!D40</f>
        <v>Murca , Diana </v>
      </c>
      <c r="C40" s="1" t="str">
        <f>'2025'!H40</f>
        <v>PK4</v>
      </c>
      <c r="D40" s="1" t="str">
        <f>IF(AND(AND(AND(D$4&gt;='2025'!$L40,D$4&lt;='2025'!$M40), D$4&lt;&gt;DATE(2025,7,4)), (SWITCH(weekday(D$4), 1, 0, 2, if(ISBLANK('2025'!$P40), 0, 1), 3, if(ISBLANK('2025'!$Q40), 0, 1), 4, if(ISBLANK('2025'!$R40), 0, 1), 5, if(ISBLANK('2025'!$S40), 0, 1), 6, if(ISBLANK('2025'!$T40), 0, 1), 7, 0))), 1, "")</f>
        <v/>
      </c>
      <c r="E40" s="1" t="str">
        <f>IF(AND(AND(AND(E$4&gt;='2025'!$L40,E$4&lt;='2025'!$M40), E$4&lt;&gt;DATE(2025,7,4)), (SWITCH(weekday(E$4), 1, 0, 2, if(ISBLANK('2025'!$P40), 0, 1), 3, if(ISBLANK('2025'!$Q40), 0, 1), 4, if(ISBLANK('2025'!$R40), 0, 1), 5, if(ISBLANK('2025'!$S40), 0, 1), 6, if(ISBLANK('2025'!$T40), 0, 1), 7, 0))), 1, "")</f>
        <v/>
      </c>
      <c r="F40" s="1" t="str">
        <f>IF(AND(AND(AND(F$4&gt;='2025'!$L40,F$4&lt;='2025'!$M40), F$4&lt;&gt;DATE(2025,7,4)), (SWITCH(weekday(F$4), 1, 0, 2, if(ISBLANK('2025'!$P40), 0, 1), 3, if(ISBLANK('2025'!$Q40), 0, 1), 4, if(ISBLANK('2025'!$R40), 0, 1), 5, if(ISBLANK('2025'!$S40), 0, 1), 6, if(ISBLANK('2025'!$T40), 0, 1), 7, 0))), 1, "")</f>
        <v/>
      </c>
      <c r="G40" s="1" t="str">
        <f>IF(AND(AND(AND(G$4&gt;='2025'!$L40,G$4&lt;='2025'!$M40), G$4&lt;&gt;DATE(2025,7,4)), (SWITCH(weekday(G$4), 1, 0, 2, if(ISBLANK('2025'!$P40), 0, 1), 3, if(ISBLANK('2025'!$Q40), 0, 1), 4, if(ISBLANK('2025'!$R40), 0, 1), 5, if(ISBLANK('2025'!$S40), 0, 1), 6, if(ISBLANK('2025'!$T40), 0, 1), 7, 0))), 1, "")</f>
        <v/>
      </c>
      <c r="H40" s="1" t="str">
        <f>IF(AND(AND(AND(H$4&gt;='2025'!$L40,H$4&lt;='2025'!$M40), H$4&lt;&gt;DATE(2025,7,4)), (SWITCH(weekday(H$4), 1, 0, 2, if(ISBLANK('2025'!$P40), 0, 1), 3, if(ISBLANK('2025'!$Q40), 0, 1), 4, if(ISBLANK('2025'!$R40), 0, 1), 5, if(ISBLANK('2025'!$S40), 0, 1), 6, if(ISBLANK('2025'!$T40), 0, 1), 7, 0))), 1, "")</f>
        <v/>
      </c>
      <c r="I40" s="1" t="str">
        <f>IF(AND(AND(AND(I$4&gt;='2025'!$L40,I$4&lt;='2025'!$M40), I$4&lt;&gt;DATE(2025,7,4)), (SWITCH(weekday(I$4), 1, 0, 2, if(ISBLANK('2025'!$P40), 0, 1), 3, if(ISBLANK('2025'!$Q40), 0, 1), 4, if(ISBLANK('2025'!$R40), 0, 1), 5, if(ISBLANK('2025'!$S40), 0, 1), 6, if(ISBLANK('2025'!$T40), 0, 1), 7, 0))), 1, "")</f>
        <v/>
      </c>
      <c r="J40" s="1" t="str">
        <f>IF(AND(AND(AND(J$4&gt;='2025'!$L40,J$4&lt;='2025'!$M40), J$4&lt;&gt;DATE(2025,7,4)), (SWITCH(weekday(J$4), 1, 0, 2, if(ISBLANK('2025'!$P40), 0, 1), 3, if(ISBLANK('2025'!$Q40), 0, 1), 4, if(ISBLANK('2025'!$R40), 0, 1), 5, if(ISBLANK('2025'!$S40), 0, 1), 6, if(ISBLANK('2025'!$T40), 0, 1), 7, 0))), 1, "")</f>
        <v/>
      </c>
      <c r="K40" s="1" t="str">
        <f>IF(AND(AND(AND(K$4&gt;='2025'!$L40,K$4&lt;='2025'!$M40), K$4&lt;&gt;DATE(2025,7,4)), (SWITCH(weekday(K$4), 1, 0, 2, if(ISBLANK('2025'!$P40), 0, 1), 3, if(ISBLANK('2025'!$Q40), 0, 1), 4, if(ISBLANK('2025'!$R40), 0, 1), 5, if(ISBLANK('2025'!$S40), 0, 1), 6, if(ISBLANK('2025'!$T40), 0, 1), 7, 0))), 1, "")</f>
        <v/>
      </c>
      <c r="L40" s="1" t="str">
        <f>IF(AND(AND(AND(L$4&gt;='2025'!$L40,L$4&lt;='2025'!$M40), L$4&lt;&gt;DATE(2025,7,4)), (SWITCH(weekday(L$4), 1, 0, 2, if(ISBLANK('2025'!$P40), 0, 1), 3, if(ISBLANK('2025'!$Q40), 0, 1), 4, if(ISBLANK('2025'!$R40), 0, 1), 5, if(ISBLANK('2025'!$S40), 0, 1), 6, if(ISBLANK('2025'!$T40), 0, 1), 7, 0))), 1, "")</f>
        <v/>
      </c>
      <c r="M40" s="1" t="str">
        <f>IF(AND(AND(AND(M$4&gt;='2025'!$L40,M$4&lt;='2025'!$M40), M$4&lt;&gt;DATE(2025,7,4)), (SWITCH(weekday(M$4), 1, 0, 2, if(ISBLANK('2025'!$P40), 0, 1), 3, if(ISBLANK('2025'!$Q40), 0, 1), 4, if(ISBLANK('2025'!$R40), 0, 1), 5, if(ISBLANK('2025'!$S40), 0, 1), 6, if(ISBLANK('2025'!$T40), 0, 1), 7, 0))), 1, "")</f>
        <v/>
      </c>
      <c r="N40" s="1" t="str">
        <f>IF(AND(AND(AND(N$4&gt;='2025'!$L40,N$4&lt;='2025'!$M40), N$4&lt;&gt;DATE(2025,7,4)), (SWITCH(weekday(N$4), 1, 0, 2, if(ISBLANK('2025'!$P40), 0, 1), 3, if(ISBLANK('2025'!$Q40), 0, 1), 4, if(ISBLANK('2025'!$R40), 0, 1), 5, if(ISBLANK('2025'!$S40), 0, 1), 6, if(ISBLANK('2025'!$T40), 0, 1), 7, 0))), 1, "")</f>
        <v/>
      </c>
      <c r="O40" s="1" t="str">
        <f>IF(AND(AND(AND(O$4&gt;='2025'!$L40,O$4&lt;='2025'!$M40), O$4&lt;&gt;DATE(2025,7,4)), (SWITCH(weekday(O$4), 1, 0, 2, if(ISBLANK('2025'!$P40), 0, 1), 3, if(ISBLANK('2025'!$Q40), 0, 1), 4, if(ISBLANK('2025'!$R40), 0, 1), 5, if(ISBLANK('2025'!$S40), 0, 1), 6, if(ISBLANK('2025'!$T40), 0, 1), 7, 0))), 1, "")</f>
        <v/>
      </c>
      <c r="P40" s="1" t="str">
        <f>IF(AND(AND(AND(P$4&gt;='2025'!$L40,P$4&lt;='2025'!$M40), P$4&lt;&gt;DATE(2025,7,4)), (SWITCH(weekday(P$4), 1, 0, 2, if(ISBLANK('2025'!$P40), 0, 1), 3, if(ISBLANK('2025'!$Q40), 0, 1), 4, if(ISBLANK('2025'!$R40), 0, 1), 5, if(ISBLANK('2025'!$S40), 0, 1), 6, if(ISBLANK('2025'!$T40), 0, 1), 7, 0))), 1, "")</f>
        <v/>
      </c>
      <c r="Q40" s="1" t="str">
        <f>IF(AND(AND(AND(Q$4&gt;='2025'!$L40,Q$4&lt;='2025'!$M40), Q$4&lt;&gt;DATE(2025,7,4)), (SWITCH(weekday(Q$4), 1, 0, 2, if(ISBLANK('2025'!$P40), 0, 1), 3, if(ISBLANK('2025'!$Q40), 0, 1), 4, if(ISBLANK('2025'!$R40), 0, 1), 5, if(ISBLANK('2025'!$S40), 0, 1), 6, if(ISBLANK('2025'!$T40), 0, 1), 7, 0))), 1, "")</f>
        <v/>
      </c>
      <c r="R40" s="1" t="str">
        <f>IF(AND(AND(AND(R$4&gt;='2025'!$L40,R$4&lt;='2025'!$M40), R$4&lt;&gt;DATE(2025,7,4)), (SWITCH(weekday(R$4), 1, 0, 2, if(ISBLANK('2025'!$P40), 0, 1), 3, if(ISBLANK('2025'!$Q40), 0, 1), 4, if(ISBLANK('2025'!$R40), 0, 1), 5, if(ISBLANK('2025'!$S40), 0, 1), 6, if(ISBLANK('2025'!$T40), 0, 1), 7, 0))), 1, "")</f>
        <v/>
      </c>
      <c r="S40" s="1" t="str">
        <f>IF(AND(AND(AND(S$4&gt;='2025'!$L40,S$4&lt;='2025'!$M40), S$4&lt;&gt;DATE(2025,7,4)), (SWITCH(weekday(S$4), 1, 0, 2, if(ISBLANK('2025'!$P40), 0, 1), 3, if(ISBLANK('2025'!$Q40), 0, 1), 4, if(ISBLANK('2025'!$R40), 0, 1), 5, if(ISBLANK('2025'!$S40), 0, 1), 6, if(ISBLANK('2025'!$T40), 0, 1), 7, 0))), 1, "")</f>
        <v/>
      </c>
      <c r="T40" s="1" t="str">
        <f>IF(AND(AND(AND(T$4&gt;='2025'!$L40,T$4&lt;='2025'!$M40), T$4&lt;&gt;DATE(2025,7,4)), (SWITCH(weekday(T$4), 1, 0, 2, if(ISBLANK('2025'!$P40), 0, 1), 3, if(ISBLANK('2025'!$Q40), 0, 1), 4, if(ISBLANK('2025'!$R40), 0, 1), 5, if(ISBLANK('2025'!$S40), 0, 1), 6, if(ISBLANK('2025'!$T40), 0, 1), 7, 0))), 1, "")</f>
        <v/>
      </c>
      <c r="U40" s="1" t="str">
        <f>IF(AND(AND(AND(U$4&gt;='2025'!$L40,U$4&lt;='2025'!$M40), U$4&lt;&gt;DATE(2025,7,4)), (SWITCH(weekday(U$4), 1, 0, 2, if(ISBLANK('2025'!$P40), 0, 1), 3, if(ISBLANK('2025'!$Q40), 0, 1), 4, if(ISBLANK('2025'!$R40), 0, 1), 5, if(ISBLANK('2025'!$S40), 0, 1), 6, if(ISBLANK('2025'!$T40), 0, 1), 7, 0))), 1, "")</f>
        <v/>
      </c>
      <c r="V40" s="1" t="str">
        <f>IF(AND(AND(AND(V$4&gt;='2025'!$L40,V$4&lt;='2025'!$M40), V$4&lt;&gt;DATE(2025,7,4)), (SWITCH(weekday(V$4), 1, 0, 2, if(ISBLANK('2025'!$P40), 0, 1), 3, if(ISBLANK('2025'!$Q40), 0, 1), 4, if(ISBLANK('2025'!$R40), 0, 1), 5, if(ISBLANK('2025'!$S40), 0, 1), 6, if(ISBLANK('2025'!$T40), 0, 1), 7, 0))), 1, "")</f>
        <v/>
      </c>
      <c r="W40" s="1" t="str">
        <f>IF(AND(AND(AND(W$4&gt;='2025'!$L40,W$4&lt;='2025'!$M40), W$4&lt;&gt;DATE(2025,7,4)), (SWITCH(weekday(W$4), 1, 0, 2, if(ISBLANK('2025'!$P40), 0, 1), 3, if(ISBLANK('2025'!$Q40), 0, 1), 4, if(ISBLANK('2025'!$R40), 0, 1), 5, if(ISBLANK('2025'!$S40), 0, 1), 6, if(ISBLANK('2025'!$T40), 0, 1), 7, 0))), 1, "")</f>
        <v/>
      </c>
      <c r="X40" s="1" t="str">
        <f>IF(AND(AND(AND(X$4&gt;='2025'!$L40,X$4&lt;='2025'!$M40), X$4&lt;&gt;DATE(2025,7,4)), (SWITCH(weekday(X$4), 1, 0, 2, if(ISBLANK('2025'!$P40), 0, 1), 3, if(ISBLANK('2025'!$Q40), 0, 1), 4, if(ISBLANK('2025'!$R40), 0, 1), 5, if(ISBLANK('2025'!$S40), 0, 1), 6, if(ISBLANK('2025'!$T40), 0, 1), 7, 0))), 1, "")</f>
        <v/>
      </c>
      <c r="Y40" s="1" t="str">
        <f>IF(AND(AND(AND(Y$4&gt;='2025'!$L40,Y$4&lt;='2025'!$M40), Y$4&lt;&gt;DATE(2025,7,4)), (SWITCH(weekday(Y$4), 1, 0, 2, if(ISBLANK('2025'!$P40), 0, 1), 3, if(ISBLANK('2025'!$Q40), 0, 1), 4, if(ISBLANK('2025'!$R40), 0, 1), 5, if(ISBLANK('2025'!$S40), 0, 1), 6, if(ISBLANK('2025'!$T40), 0, 1), 7, 0))), 1, "")</f>
        <v/>
      </c>
      <c r="Z40" s="1" t="str">
        <f>IF(AND(AND(AND(Z$4&gt;='2025'!$L40,Z$4&lt;='2025'!$M40), Z$4&lt;&gt;DATE(2025,7,4)), (SWITCH(weekday(Z$4), 1, 0, 2, if(ISBLANK('2025'!$P40), 0, 1), 3, if(ISBLANK('2025'!$Q40), 0, 1), 4, if(ISBLANK('2025'!$R40), 0, 1), 5, if(ISBLANK('2025'!$S40), 0, 1), 6, if(ISBLANK('2025'!$T40), 0, 1), 7, 0))), 1, "")</f>
        <v/>
      </c>
      <c r="AA40" s="1" t="str">
        <f>IF(AND(AND(AND(AA$4&gt;='2025'!$L40,AA$4&lt;='2025'!$M40), AA$4&lt;&gt;DATE(2025,7,4)), (SWITCH(weekday(AA$4), 1, 0, 2, if(ISBLANK('2025'!$P40), 0, 1), 3, if(ISBLANK('2025'!$Q40), 0, 1), 4, if(ISBLANK('2025'!$R40), 0, 1), 5, if(ISBLANK('2025'!$S40), 0, 1), 6, if(ISBLANK('2025'!$T40), 0, 1), 7, 0))), 1, "")</f>
        <v/>
      </c>
      <c r="AB40" s="1" t="str">
        <f>IF(AND(AND(AND(AB$4&gt;='2025'!$L40,AB$4&lt;='2025'!$M40), AB$4&lt;&gt;DATE(2025,7,4)), (SWITCH(weekday(AB$4), 1, 0, 2, if(ISBLANK('2025'!$P40), 0, 1), 3, if(ISBLANK('2025'!$Q40), 0, 1), 4, if(ISBLANK('2025'!$R40), 0, 1), 5, if(ISBLANK('2025'!$S40), 0, 1), 6, if(ISBLANK('2025'!$T40), 0, 1), 7, 0))), 1, "")</f>
        <v/>
      </c>
      <c r="AC40" s="1" t="str">
        <f>IF(AND(AND(AND(AC$4&gt;='2025'!$L40,AC$4&lt;='2025'!$M40), AC$4&lt;&gt;DATE(2025,7,4)), (SWITCH(weekday(AC$4), 1, 0, 2, if(ISBLANK('2025'!$P40), 0, 1), 3, if(ISBLANK('2025'!$Q40), 0, 1), 4, if(ISBLANK('2025'!$R40), 0, 1), 5, if(ISBLANK('2025'!$S40), 0, 1), 6, if(ISBLANK('2025'!$T40), 0, 1), 7, 0))), 1, "")</f>
        <v/>
      </c>
      <c r="AD40" s="1" t="str">
        <f>IF(AND(AND(AND(AD$4&gt;='2025'!$L40,AD$4&lt;='2025'!$M40), AD$4&lt;&gt;DATE(2025,7,4)), (SWITCH(weekday(AD$4), 1, 0, 2, if(ISBLANK('2025'!$P40), 0, 1), 3, if(ISBLANK('2025'!$Q40), 0, 1), 4, if(ISBLANK('2025'!$R40), 0, 1), 5, if(ISBLANK('2025'!$S40), 0, 1), 6, if(ISBLANK('2025'!$T40), 0, 1), 7, 0))), 1, "")</f>
        <v/>
      </c>
      <c r="AE40" s="1" t="str">
        <f>IF(AND(AND(AND(AE$4&gt;='2025'!$L40,AE$4&lt;='2025'!$M40), AE$4&lt;&gt;DATE(2025,7,4)), (SWITCH(weekday(AE$4), 1, 0, 2, if(ISBLANK('2025'!$P40), 0, 1), 3, if(ISBLANK('2025'!$Q40), 0, 1), 4, if(ISBLANK('2025'!$R40), 0, 1), 5, if(ISBLANK('2025'!$S40), 0, 1), 6, if(ISBLANK('2025'!$T40), 0, 1), 7, 0))), 1, "")</f>
        <v/>
      </c>
      <c r="AF40" s="1" t="str">
        <f>IF(AND(AND(AND(AF$4&gt;='2025'!$L40,AF$4&lt;='2025'!$M40), AF$4&lt;&gt;DATE(2025,7,4)), (SWITCH(weekday(AF$4), 1, 0, 2, if(ISBLANK('2025'!$P40), 0, 1), 3, if(ISBLANK('2025'!$Q40), 0, 1), 4, if(ISBLANK('2025'!$R40), 0, 1), 5, if(ISBLANK('2025'!$S40), 0, 1), 6, if(ISBLANK('2025'!$T40), 0, 1), 7, 0))), 1, "")</f>
        <v/>
      </c>
      <c r="AG40" s="1" t="str">
        <f>IF(AND(AND(AND(AG$4&gt;='2025'!$L40,AG$4&lt;='2025'!$M40), AG$4&lt;&gt;DATE(2025,7,4)), (SWITCH(weekday(AG$4), 1, 0, 2, if(ISBLANK('2025'!$P40), 0, 1), 3, if(ISBLANK('2025'!$Q40), 0, 1), 4, if(ISBLANK('2025'!$R40), 0, 1), 5, if(ISBLANK('2025'!$S40), 0, 1), 6, if(ISBLANK('2025'!$T40), 0, 1), 7, 0))), 1, "")</f>
        <v/>
      </c>
      <c r="AH40" s="1" t="str">
        <f>IF(AND(AND(AND(AH$4&gt;='2025'!$L40,AH$4&lt;='2025'!$M40), AH$4&lt;&gt;DATE(2025,7,4)), (SWITCH(weekday(AH$4), 1, 0, 2, if(ISBLANK('2025'!$P40), 0, 1), 3, if(ISBLANK('2025'!$Q40), 0, 1), 4, if(ISBLANK('2025'!$R40), 0, 1), 5, if(ISBLANK('2025'!$S40), 0, 1), 6, if(ISBLANK('2025'!$T40), 0, 1), 7, 0))), 1, "")</f>
        <v/>
      </c>
      <c r="AI40" s="1" t="str">
        <f>IF(AND(AND(AND(AI$4&gt;='2025'!$L40,AI$4&lt;='2025'!$M40), AI$4&lt;&gt;DATE(2025,7,4)), (SWITCH(weekday(AI$4), 1, 0, 2, if(ISBLANK('2025'!$P40), 0, 1), 3, if(ISBLANK('2025'!$Q40), 0, 1), 4, if(ISBLANK('2025'!$R40), 0, 1), 5, if(ISBLANK('2025'!$S40), 0, 1), 6, if(ISBLANK('2025'!$T40), 0, 1), 7, 0))), 1, "")</f>
        <v/>
      </c>
      <c r="AJ40" s="1" t="str">
        <f>IF(AND(AND(AND(AJ$4&gt;='2025'!$L40,AJ$4&lt;='2025'!$M40), AJ$4&lt;&gt;DATE(2025,7,4)), (SWITCH(weekday(AJ$4), 1, 0, 2, if(ISBLANK('2025'!$P40), 0, 1), 3, if(ISBLANK('2025'!$Q40), 0, 1), 4, if(ISBLANK('2025'!$R40), 0, 1), 5, if(ISBLANK('2025'!$S40), 0, 1), 6, if(ISBLANK('2025'!$T40), 0, 1), 7, 0))), 1, "")</f>
        <v/>
      </c>
      <c r="AK40" s="1" t="str">
        <f>IF(AND(AND(AND(AK$4&gt;='2025'!$L40,AK$4&lt;='2025'!$M40), AK$4&lt;&gt;DATE(2025,7,4)), (SWITCH(weekday(AK$4), 1, 0, 2, if(ISBLANK('2025'!$P40), 0, 1), 3, if(ISBLANK('2025'!$Q40), 0, 1), 4, if(ISBLANK('2025'!$R40), 0, 1), 5, if(ISBLANK('2025'!$S40), 0, 1), 6, if(ISBLANK('2025'!$T40), 0, 1), 7, 0))), 1, "")</f>
        <v/>
      </c>
      <c r="AL40" s="1" t="str">
        <f>IF(AND(AND(AND(AL$4&gt;='2025'!$L40,AL$4&lt;='2025'!$M40), AL$4&lt;&gt;DATE(2025,7,4)), (SWITCH(weekday(AL$4), 1, 0, 2, if(ISBLANK('2025'!$P40), 0, 1), 3, if(ISBLANK('2025'!$Q40), 0, 1), 4, if(ISBLANK('2025'!$R40), 0, 1), 5, if(ISBLANK('2025'!$S40), 0, 1), 6, if(ISBLANK('2025'!$T40), 0, 1), 7, 0))), 1, "")</f>
        <v/>
      </c>
      <c r="AM40" s="1" t="str">
        <f>IF(AND(AND(AND(AM$4&gt;='2025'!$L40,AM$4&lt;='2025'!$M40), AM$4&lt;&gt;DATE(2025,7,4)), (SWITCH(weekday(AM$4), 1, 0, 2, if(ISBLANK('2025'!$P40), 0, 1), 3, if(ISBLANK('2025'!$Q40), 0, 1), 4, if(ISBLANK('2025'!$R40), 0, 1), 5, if(ISBLANK('2025'!$S40), 0, 1), 6, if(ISBLANK('2025'!$T40), 0, 1), 7, 0))), 1, "")</f>
        <v/>
      </c>
      <c r="AN40" s="1" t="str">
        <f>IF(AND(AND(AND(AN$4&gt;='2025'!$L40,AN$4&lt;='2025'!$M40), AN$4&lt;&gt;DATE(2025,7,4)), (SWITCH(weekday(AN$4), 1, 0, 2, if(ISBLANK('2025'!$P40), 0, 1), 3, if(ISBLANK('2025'!$Q40), 0, 1), 4, if(ISBLANK('2025'!$R40), 0, 1), 5, if(ISBLANK('2025'!$S40), 0, 1), 6, if(ISBLANK('2025'!$T40), 0, 1), 7, 0))), 1, "")</f>
        <v/>
      </c>
      <c r="AO40" s="1" t="str">
        <f>IF(AND(AND(AND(AO$4&gt;='2025'!$L40,AO$4&lt;='2025'!$M40), AO$4&lt;&gt;DATE(2025,7,4)), (SWITCH(weekday(AO$4), 1, 0, 2, if(ISBLANK('2025'!$P40), 0, 1), 3, if(ISBLANK('2025'!$Q40), 0, 1), 4, if(ISBLANK('2025'!$R40), 0, 1), 5, if(ISBLANK('2025'!$S40), 0, 1), 6, if(ISBLANK('2025'!$T40), 0, 1), 7, 0))), 1, "")</f>
        <v/>
      </c>
      <c r="AP40" s="1" t="str">
        <f>IF(AND(AND(AND(AP$4&gt;='2025'!$L40,AP$4&lt;='2025'!$M40), AP$4&lt;&gt;DATE(2025,7,4)), (SWITCH(weekday(AP$4), 1, 0, 2, if(ISBLANK('2025'!$P40), 0, 1), 3, if(ISBLANK('2025'!$Q40), 0, 1), 4, if(ISBLANK('2025'!$R40), 0, 1), 5, if(ISBLANK('2025'!$S40), 0, 1), 6, if(ISBLANK('2025'!$T40), 0, 1), 7, 0))), 1, "")</f>
        <v/>
      </c>
      <c r="AQ40" s="1" t="str">
        <f>IF(AND(AND(AND(AQ$4&gt;='2025'!$L40,AQ$4&lt;='2025'!$M40), AQ$4&lt;&gt;DATE(2025,7,4)), (SWITCH(weekday(AQ$4), 1, 0, 2, if(ISBLANK('2025'!$P40), 0, 1), 3, if(ISBLANK('2025'!$Q40), 0, 1), 4, if(ISBLANK('2025'!$R40), 0, 1), 5, if(ISBLANK('2025'!$S40), 0, 1), 6, if(ISBLANK('2025'!$T40), 0, 1), 7, 0))), 1, "")</f>
        <v/>
      </c>
      <c r="AR40" s="1" t="str">
        <f>IF(AND(AND(AND(AR$4&gt;='2025'!$L40,AR$4&lt;='2025'!$M40), AR$4&lt;&gt;DATE(2025,7,4)), (SWITCH(weekday(AR$4), 1, 0, 2, if(ISBLANK('2025'!$P40), 0, 1), 3, if(ISBLANK('2025'!$Q40), 0, 1), 4, if(ISBLANK('2025'!$R40), 0, 1), 5, if(ISBLANK('2025'!$S40), 0, 1), 6, if(ISBLANK('2025'!$T40), 0, 1), 7, 0))), 1, "")</f>
        <v/>
      </c>
      <c r="AS40" s="1" t="str">
        <f>IF(AND(AND(AND(AS$4&gt;='2025'!$L40,AS$4&lt;='2025'!$M40), AS$4&lt;&gt;DATE(2025,7,4)), (SWITCH(weekday(AS$4), 1, 0, 2, if(ISBLANK('2025'!$P40), 0, 1), 3, if(ISBLANK('2025'!$Q40), 0, 1), 4, if(ISBLANK('2025'!$R40), 0, 1), 5, if(ISBLANK('2025'!$S40), 0, 1), 6, if(ISBLANK('2025'!$T40), 0, 1), 7, 0))), 1, "")</f>
        <v/>
      </c>
      <c r="AT40" s="1" t="str">
        <f>IF(AND(AND(AND(AT$4&gt;='2025'!$L40,AT$4&lt;='2025'!$M40), AT$4&lt;&gt;DATE(2025,7,4)), (SWITCH(weekday(AT$4), 1, 0, 2, if(ISBLANK('2025'!$P40), 0, 1), 3, if(ISBLANK('2025'!$Q40), 0, 1), 4, if(ISBLANK('2025'!$R40), 0, 1), 5, if(ISBLANK('2025'!$S40), 0, 1), 6, if(ISBLANK('2025'!$T40), 0, 1), 7, 0))), 1, "")</f>
        <v/>
      </c>
      <c r="AU40" s="1" t="str">
        <f>IF(AND(AND(AND(AU$4&gt;='2025'!$L40,AU$4&lt;='2025'!$M40), AU$4&lt;&gt;DATE(2025,7,4)), (SWITCH(weekday(AU$4), 1, 0, 2, if(ISBLANK('2025'!$P40), 0, 1), 3, if(ISBLANK('2025'!$Q40), 0, 1), 4, if(ISBLANK('2025'!$R40), 0, 1), 5, if(ISBLANK('2025'!$S40), 0, 1), 6, if(ISBLANK('2025'!$T40), 0, 1), 7, 0))), 1, "")</f>
        <v/>
      </c>
      <c r="AV40" s="1" t="str">
        <f>IF(AND(AND(AND(AV$4&gt;='2025'!$L40,AV$4&lt;='2025'!$M40), AV$4&lt;&gt;DATE(2025,7,4)), (SWITCH(weekday(AV$4), 1, 0, 2, if(ISBLANK('2025'!$P40), 0, 1), 3, if(ISBLANK('2025'!$Q40), 0, 1), 4, if(ISBLANK('2025'!$R40), 0, 1), 5, if(ISBLANK('2025'!$S40), 0, 1), 6, if(ISBLANK('2025'!$T40), 0, 1), 7, 0))), 1, "")</f>
        <v/>
      </c>
      <c r="AW40" s="1" t="str">
        <f>IF(AND(AND(AND(AW$4&gt;='2025'!$L40,AW$4&lt;='2025'!$M40), AW$4&lt;&gt;DATE(2025,7,4)), (SWITCH(weekday(AW$4), 1, 0, 2, if(ISBLANK('2025'!$P40), 0, 1), 3, if(ISBLANK('2025'!$Q40), 0, 1), 4, if(ISBLANK('2025'!$R40), 0, 1), 5, if(ISBLANK('2025'!$S40), 0, 1), 6, if(ISBLANK('2025'!$T40), 0, 1), 7, 0))), 1, "")</f>
        <v/>
      </c>
      <c r="AX40" s="1" t="str">
        <f>IF(AND(AND(AND(AX$4&gt;='2025'!$L40,AX$4&lt;='2025'!$M40), AX$4&lt;&gt;DATE(2025,7,4)), (SWITCH(weekday(AX$4), 1, 0, 2, if(ISBLANK('2025'!$P40), 0, 1), 3, if(ISBLANK('2025'!$Q40), 0, 1), 4, if(ISBLANK('2025'!$R40), 0, 1), 5, if(ISBLANK('2025'!$S40), 0, 1), 6, if(ISBLANK('2025'!$T40), 0, 1), 7, 0))), 1, "")</f>
        <v/>
      </c>
      <c r="AY40" s="1" t="str">
        <f>IF(AND(AND(AND(AY$4&gt;='2025'!$L40,AY$4&lt;='2025'!$M40), AY$4&lt;&gt;DATE(2025,7,4)), (SWITCH(weekday(AY$4), 1, 0, 2, if(ISBLANK('2025'!$P40), 0, 1), 3, if(ISBLANK('2025'!$Q40), 0, 1), 4, if(ISBLANK('2025'!$R40), 0, 1), 5, if(ISBLANK('2025'!$S40), 0, 1), 6, if(ISBLANK('2025'!$T40), 0, 1), 7, 0))), 1, "")</f>
        <v/>
      </c>
      <c r="AZ40" s="1" t="str">
        <f>IF(AND(AND(AND(AZ$4&gt;='2025'!$L40,AZ$4&lt;='2025'!$M40), AZ$4&lt;&gt;DATE(2025,7,4)), (SWITCH(weekday(AZ$4), 1, 0, 2, if(ISBLANK('2025'!$P40), 0, 1), 3, if(ISBLANK('2025'!$Q40), 0, 1), 4, if(ISBLANK('2025'!$R40), 0, 1), 5, if(ISBLANK('2025'!$S40), 0, 1), 6, if(ISBLANK('2025'!$T40), 0, 1), 7, 0))), 1, "")</f>
        <v/>
      </c>
      <c r="BA40" s="1" t="str">
        <f>IF(AND(AND(AND(BA$4&gt;='2025'!$L40,BA$4&lt;='2025'!$M40), BA$4&lt;&gt;DATE(2025,7,4)), (SWITCH(weekday(BA$4), 1, 0, 2, if(ISBLANK('2025'!$P40), 0, 1), 3, if(ISBLANK('2025'!$Q40), 0, 1), 4, if(ISBLANK('2025'!$R40), 0, 1), 5, if(ISBLANK('2025'!$S40), 0, 1), 6, if(ISBLANK('2025'!$T40), 0, 1), 7, 0))), 1, "")</f>
        <v/>
      </c>
      <c r="BB40" s="1" t="str">
        <f>IF(AND(AND(AND(BB$4&gt;='2025'!$L40,BB$4&lt;='2025'!$M40), BB$4&lt;&gt;DATE(2025,7,4)), (SWITCH(weekday(BB$4), 1, 0, 2, if(ISBLANK('2025'!$P40), 0, 1), 3, if(ISBLANK('2025'!$Q40), 0, 1), 4, if(ISBLANK('2025'!$R40), 0, 1), 5, if(ISBLANK('2025'!$S40), 0, 1), 6, if(ISBLANK('2025'!$T40), 0, 1), 7, 0))), 1, "")</f>
        <v/>
      </c>
      <c r="BC40" s="1" t="str">
        <f>IF(AND(AND(AND(BC$4&gt;='2025'!$L40,BC$4&lt;='2025'!$M40), BC$4&lt;&gt;DATE(2025,7,4)), (SWITCH(weekday(BC$4), 1, 0, 2, if(ISBLANK('2025'!$P40), 0, 1), 3, if(ISBLANK('2025'!$Q40), 0, 1), 4, if(ISBLANK('2025'!$R40), 0, 1), 5, if(ISBLANK('2025'!$S40), 0, 1), 6, if(ISBLANK('2025'!$T40), 0, 1), 7, 0))), 1, "")</f>
        <v/>
      </c>
      <c r="BD40" s="1" t="str">
        <f>IF(AND(AND(AND(BD$4&gt;='2025'!$L40,BD$4&lt;='2025'!$M40), BD$4&lt;&gt;DATE(2025,7,4)), (SWITCH(weekday(BD$4), 1, 0, 2, if(ISBLANK('2025'!$P40), 0, 1), 3, if(ISBLANK('2025'!$Q40), 0, 1), 4, if(ISBLANK('2025'!$R40), 0, 1), 5, if(ISBLANK('2025'!$S40), 0, 1), 6, if(ISBLANK('2025'!$T40), 0, 1), 7, 0))), 1, "")</f>
        <v/>
      </c>
      <c r="BE40" s="1" t="str">
        <f>IF(AND(AND(AND(BE$4&gt;='2025'!$L40,BE$4&lt;='2025'!$M40), BE$4&lt;&gt;DATE(2025,7,4)), (SWITCH(weekday(BE$4), 1, 0, 2, if(ISBLANK('2025'!$P40), 0, 1), 3, if(ISBLANK('2025'!$Q40), 0, 1), 4, if(ISBLANK('2025'!$R40), 0, 1), 5, if(ISBLANK('2025'!$S40), 0, 1), 6, if(ISBLANK('2025'!$T40), 0, 1), 7, 0))), 1, "")</f>
        <v/>
      </c>
      <c r="BF40" s="1" t="str">
        <f>IF(AND(AND(AND(BF$4&gt;='2025'!$L40,BF$4&lt;='2025'!$M40), BF$4&lt;&gt;DATE(2025,7,4)), (SWITCH(weekday(BF$4), 1, 0, 2, if(ISBLANK('2025'!$P40), 0, 1), 3, if(ISBLANK('2025'!$Q40), 0, 1), 4, if(ISBLANK('2025'!$R40), 0, 1), 5, if(ISBLANK('2025'!$S40), 0, 1), 6, if(ISBLANK('2025'!$T40), 0, 1), 7, 0))), 1, "")</f>
        <v/>
      </c>
      <c r="BG40" s="1"/>
      <c r="BH40" s="1"/>
      <c r="BI40" s="1"/>
      <c r="BJ40" s="1"/>
      <c r="BK40" s="1"/>
      <c r="BL40" s="1"/>
    </row>
    <row r="41">
      <c r="A41" s="1">
        <f t="shared" si="3"/>
        <v>41</v>
      </c>
      <c r="B41" s="1" t="str">
        <f>'2025'!D41</f>
        <v>Lydon , evelyn </v>
      </c>
      <c r="C41" s="1" t="str">
        <f>'2025'!H41</f>
        <v>PK4</v>
      </c>
      <c r="D41" s="1" t="str">
        <f>IF(AND(AND(AND(D$4&gt;='2025'!$L41,D$4&lt;='2025'!$M41), D$4&lt;&gt;DATE(2025,7,4)), (SWITCH(weekday(D$4), 1, 0, 2, if(ISBLANK('2025'!$P41), 0, 1), 3, if(ISBLANK('2025'!$Q41), 0, 1), 4, if(ISBLANK('2025'!$R41), 0, 1), 5, if(ISBLANK('2025'!$S41), 0, 1), 6, if(ISBLANK('2025'!$T41), 0, 1), 7, 0))), 1, "")</f>
        <v/>
      </c>
      <c r="E41" s="1" t="str">
        <f>IF(AND(AND(AND(E$4&gt;='2025'!$L41,E$4&lt;='2025'!$M41), E$4&lt;&gt;DATE(2025,7,4)), (SWITCH(weekday(E$4), 1, 0, 2, if(ISBLANK('2025'!$P41), 0, 1), 3, if(ISBLANK('2025'!$Q41), 0, 1), 4, if(ISBLANK('2025'!$R41), 0, 1), 5, if(ISBLANK('2025'!$S41), 0, 1), 6, if(ISBLANK('2025'!$T41), 0, 1), 7, 0))), 1, "")</f>
        <v/>
      </c>
      <c r="F41" s="1" t="str">
        <f>IF(AND(AND(AND(F$4&gt;='2025'!$L41,F$4&lt;='2025'!$M41), F$4&lt;&gt;DATE(2025,7,4)), (SWITCH(weekday(F$4), 1, 0, 2, if(ISBLANK('2025'!$P41), 0, 1), 3, if(ISBLANK('2025'!$Q41), 0, 1), 4, if(ISBLANK('2025'!$R41), 0, 1), 5, if(ISBLANK('2025'!$S41), 0, 1), 6, if(ISBLANK('2025'!$T41), 0, 1), 7, 0))), 1, "")</f>
        <v/>
      </c>
      <c r="G41" s="1" t="str">
        <f>IF(AND(AND(AND(G$4&gt;='2025'!$L41,G$4&lt;='2025'!$M41), G$4&lt;&gt;DATE(2025,7,4)), (SWITCH(weekday(G$4), 1, 0, 2, if(ISBLANK('2025'!$P41), 0, 1), 3, if(ISBLANK('2025'!$Q41), 0, 1), 4, if(ISBLANK('2025'!$R41), 0, 1), 5, if(ISBLANK('2025'!$S41), 0, 1), 6, if(ISBLANK('2025'!$T41), 0, 1), 7, 0))), 1, "")</f>
        <v/>
      </c>
      <c r="H41" s="1" t="str">
        <f>IF(AND(AND(AND(H$4&gt;='2025'!$L41,H$4&lt;='2025'!$M41), H$4&lt;&gt;DATE(2025,7,4)), (SWITCH(weekday(H$4), 1, 0, 2, if(ISBLANK('2025'!$P41), 0, 1), 3, if(ISBLANK('2025'!$Q41), 0, 1), 4, if(ISBLANK('2025'!$R41), 0, 1), 5, if(ISBLANK('2025'!$S41), 0, 1), 6, if(ISBLANK('2025'!$T41), 0, 1), 7, 0))), 1, "")</f>
        <v/>
      </c>
      <c r="I41" s="1" t="str">
        <f>IF(AND(AND(AND(I$4&gt;='2025'!$L41,I$4&lt;='2025'!$M41), I$4&lt;&gt;DATE(2025,7,4)), (SWITCH(weekday(I$4), 1, 0, 2, if(ISBLANK('2025'!$P41), 0, 1), 3, if(ISBLANK('2025'!$Q41), 0, 1), 4, if(ISBLANK('2025'!$R41), 0, 1), 5, if(ISBLANK('2025'!$S41), 0, 1), 6, if(ISBLANK('2025'!$T41), 0, 1), 7, 0))), 1, "")</f>
        <v/>
      </c>
      <c r="J41" s="1" t="str">
        <f>IF(AND(AND(AND(J$4&gt;='2025'!$L41,J$4&lt;='2025'!$M41), J$4&lt;&gt;DATE(2025,7,4)), (SWITCH(weekday(J$4), 1, 0, 2, if(ISBLANK('2025'!$P41), 0, 1), 3, if(ISBLANK('2025'!$Q41), 0, 1), 4, if(ISBLANK('2025'!$R41), 0, 1), 5, if(ISBLANK('2025'!$S41), 0, 1), 6, if(ISBLANK('2025'!$T41), 0, 1), 7, 0))), 1, "")</f>
        <v/>
      </c>
      <c r="K41" s="1" t="str">
        <f>IF(AND(AND(AND(K$4&gt;='2025'!$L41,K$4&lt;='2025'!$M41), K$4&lt;&gt;DATE(2025,7,4)), (SWITCH(weekday(K$4), 1, 0, 2, if(ISBLANK('2025'!$P41), 0, 1), 3, if(ISBLANK('2025'!$Q41), 0, 1), 4, if(ISBLANK('2025'!$R41), 0, 1), 5, if(ISBLANK('2025'!$S41), 0, 1), 6, if(ISBLANK('2025'!$T41), 0, 1), 7, 0))), 1, "")</f>
        <v/>
      </c>
      <c r="L41" s="1" t="str">
        <f>IF(AND(AND(AND(L$4&gt;='2025'!$L41,L$4&lt;='2025'!$M41), L$4&lt;&gt;DATE(2025,7,4)), (SWITCH(weekday(L$4), 1, 0, 2, if(ISBLANK('2025'!$P41), 0, 1), 3, if(ISBLANK('2025'!$Q41), 0, 1), 4, if(ISBLANK('2025'!$R41), 0, 1), 5, if(ISBLANK('2025'!$S41), 0, 1), 6, if(ISBLANK('2025'!$T41), 0, 1), 7, 0))), 1, "")</f>
        <v/>
      </c>
      <c r="M41" s="1" t="str">
        <f>IF(AND(AND(AND(M$4&gt;='2025'!$L41,M$4&lt;='2025'!$M41), M$4&lt;&gt;DATE(2025,7,4)), (SWITCH(weekday(M$4), 1, 0, 2, if(ISBLANK('2025'!$P41), 0, 1), 3, if(ISBLANK('2025'!$Q41), 0, 1), 4, if(ISBLANK('2025'!$R41), 0, 1), 5, if(ISBLANK('2025'!$S41), 0, 1), 6, if(ISBLANK('2025'!$T41), 0, 1), 7, 0))), 1, "")</f>
        <v/>
      </c>
      <c r="N41" s="1" t="str">
        <f>IF(AND(AND(AND(N$4&gt;='2025'!$L41,N$4&lt;='2025'!$M41), N$4&lt;&gt;DATE(2025,7,4)), (SWITCH(weekday(N$4), 1, 0, 2, if(ISBLANK('2025'!$P41), 0, 1), 3, if(ISBLANK('2025'!$Q41), 0, 1), 4, if(ISBLANK('2025'!$R41), 0, 1), 5, if(ISBLANK('2025'!$S41), 0, 1), 6, if(ISBLANK('2025'!$T41), 0, 1), 7, 0))), 1, "")</f>
        <v/>
      </c>
      <c r="O41" s="1" t="str">
        <f>IF(AND(AND(AND(O$4&gt;='2025'!$L41,O$4&lt;='2025'!$M41), O$4&lt;&gt;DATE(2025,7,4)), (SWITCH(weekday(O$4), 1, 0, 2, if(ISBLANK('2025'!$P41), 0, 1), 3, if(ISBLANK('2025'!$Q41), 0, 1), 4, if(ISBLANK('2025'!$R41), 0, 1), 5, if(ISBLANK('2025'!$S41), 0, 1), 6, if(ISBLANK('2025'!$T41), 0, 1), 7, 0))), 1, "")</f>
        <v/>
      </c>
      <c r="P41" s="1" t="str">
        <f>IF(AND(AND(AND(P$4&gt;='2025'!$L41,P$4&lt;='2025'!$M41), P$4&lt;&gt;DATE(2025,7,4)), (SWITCH(weekday(P$4), 1, 0, 2, if(ISBLANK('2025'!$P41), 0, 1), 3, if(ISBLANK('2025'!$Q41), 0, 1), 4, if(ISBLANK('2025'!$R41), 0, 1), 5, if(ISBLANK('2025'!$S41), 0, 1), 6, if(ISBLANK('2025'!$T41), 0, 1), 7, 0))), 1, "")</f>
        <v/>
      </c>
      <c r="Q41" s="1" t="str">
        <f>IF(AND(AND(AND(Q$4&gt;='2025'!$L41,Q$4&lt;='2025'!$M41), Q$4&lt;&gt;DATE(2025,7,4)), (SWITCH(weekday(Q$4), 1, 0, 2, if(ISBLANK('2025'!$P41), 0, 1), 3, if(ISBLANK('2025'!$Q41), 0, 1), 4, if(ISBLANK('2025'!$R41), 0, 1), 5, if(ISBLANK('2025'!$S41), 0, 1), 6, if(ISBLANK('2025'!$T41), 0, 1), 7, 0))), 1, "")</f>
        <v/>
      </c>
      <c r="R41" s="1" t="str">
        <f>IF(AND(AND(AND(R$4&gt;='2025'!$L41,R$4&lt;='2025'!$M41), R$4&lt;&gt;DATE(2025,7,4)), (SWITCH(weekday(R$4), 1, 0, 2, if(ISBLANK('2025'!$P41), 0, 1), 3, if(ISBLANK('2025'!$Q41), 0, 1), 4, if(ISBLANK('2025'!$R41), 0, 1), 5, if(ISBLANK('2025'!$S41), 0, 1), 6, if(ISBLANK('2025'!$T41), 0, 1), 7, 0))), 1, "")</f>
        <v/>
      </c>
      <c r="S41" s="1" t="str">
        <f>IF(AND(AND(AND(S$4&gt;='2025'!$L41,S$4&lt;='2025'!$M41), S$4&lt;&gt;DATE(2025,7,4)), (SWITCH(weekday(S$4), 1, 0, 2, if(ISBLANK('2025'!$P41), 0, 1), 3, if(ISBLANK('2025'!$Q41), 0, 1), 4, if(ISBLANK('2025'!$R41), 0, 1), 5, if(ISBLANK('2025'!$S41), 0, 1), 6, if(ISBLANK('2025'!$T41), 0, 1), 7, 0))), 1, "")</f>
        <v/>
      </c>
      <c r="T41" s="1" t="str">
        <f>IF(AND(AND(AND(T$4&gt;='2025'!$L41,T$4&lt;='2025'!$M41), T$4&lt;&gt;DATE(2025,7,4)), (SWITCH(weekday(T$4), 1, 0, 2, if(ISBLANK('2025'!$P41), 0, 1), 3, if(ISBLANK('2025'!$Q41), 0, 1), 4, if(ISBLANK('2025'!$R41), 0, 1), 5, if(ISBLANK('2025'!$S41), 0, 1), 6, if(ISBLANK('2025'!$T41), 0, 1), 7, 0))), 1, "")</f>
        <v/>
      </c>
      <c r="U41" s="1" t="str">
        <f>IF(AND(AND(AND(U$4&gt;='2025'!$L41,U$4&lt;='2025'!$M41), U$4&lt;&gt;DATE(2025,7,4)), (SWITCH(weekday(U$4), 1, 0, 2, if(ISBLANK('2025'!$P41), 0, 1), 3, if(ISBLANK('2025'!$Q41), 0, 1), 4, if(ISBLANK('2025'!$R41), 0, 1), 5, if(ISBLANK('2025'!$S41), 0, 1), 6, if(ISBLANK('2025'!$T41), 0, 1), 7, 0))), 1, "")</f>
        <v/>
      </c>
      <c r="V41" s="1" t="str">
        <f>IF(AND(AND(AND(V$4&gt;='2025'!$L41,V$4&lt;='2025'!$M41), V$4&lt;&gt;DATE(2025,7,4)), (SWITCH(weekday(V$4), 1, 0, 2, if(ISBLANK('2025'!$P41), 0, 1), 3, if(ISBLANK('2025'!$Q41), 0, 1), 4, if(ISBLANK('2025'!$R41), 0, 1), 5, if(ISBLANK('2025'!$S41), 0, 1), 6, if(ISBLANK('2025'!$T41), 0, 1), 7, 0))), 1, "")</f>
        <v/>
      </c>
      <c r="W41" s="1" t="str">
        <f>IF(AND(AND(AND(W$4&gt;='2025'!$L41,W$4&lt;='2025'!$M41), W$4&lt;&gt;DATE(2025,7,4)), (SWITCH(weekday(W$4), 1, 0, 2, if(ISBLANK('2025'!$P41), 0, 1), 3, if(ISBLANK('2025'!$Q41), 0, 1), 4, if(ISBLANK('2025'!$R41), 0, 1), 5, if(ISBLANK('2025'!$S41), 0, 1), 6, if(ISBLANK('2025'!$T41), 0, 1), 7, 0))), 1, "")</f>
        <v/>
      </c>
      <c r="X41" s="1" t="str">
        <f>IF(AND(AND(AND(X$4&gt;='2025'!$L41,X$4&lt;='2025'!$M41), X$4&lt;&gt;DATE(2025,7,4)), (SWITCH(weekday(X$4), 1, 0, 2, if(ISBLANK('2025'!$P41), 0, 1), 3, if(ISBLANK('2025'!$Q41), 0, 1), 4, if(ISBLANK('2025'!$R41), 0, 1), 5, if(ISBLANK('2025'!$S41), 0, 1), 6, if(ISBLANK('2025'!$T41), 0, 1), 7, 0))), 1, "")</f>
        <v/>
      </c>
      <c r="Y41" s="1" t="str">
        <f>IF(AND(AND(AND(Y$4&gt;='2025'!$L41,Y$4&lt;='2025'!$M41), Y$4&lt;&gt;DATE(2025,7,4)), (SWITCH(weekday(Y$4), 1, 0, 2, if(ISBLANK('2025'!$P41), 0, 1), 3, if(ISBLANK('2025'!$Q41), 0, 1), 4, if(ISBLANK('2025'!$R41), 0, 1), 5, if(ISBLANK('2025'!$S41), 0, 1), 6, if(ISBLANK('2025'!$T41), 0, 1), 7, 0))), 1, "")</f>
        <v/>
      </c>
      <c r="Z41" s="1" t="str">
        <f>IF(AND(AND(AND(Z$4&gt;='2025'!$L41,Z$4&lt;='2025'!$M41), Z$4&lt;&gt;DATE(2025,7,4)), (SWITCH(weekday(Z$4), 1, 0, 2, if(ISBLANK('2025'!$P41), 0, 1), 3, if(ISBLANK('2025'!$Q41), 0, 1), 4, if(ISBLANK('2025'!$R41), 0, 1), 5, if(ISBLANK('2025'!$S41), 0, 1), 6, if(ISBLANK('2025'!$T41), 0, 1), 7, 0))), 1, "")</f>
        <v/>
      </c>
      <c r="AA41" s="1" t="str">
        <f>IF(AND(AND(AND(AA$4&gt;='2025'!$L41,AA$4&lt;='2025'!$M41), AA$4&lt;&gt;DATE(2025,7,4)), (SWITCH(weekday(AA$4), 1, 0, 2, if(ISBLANK('2025'!$P41), 0, 1), 3, if(ISBLANK('2025'!$Q41), 0, 1), 4, if(ISBLANK('2025'!$R41), 0, 1), 5, if(ISBLANK('2025'!$S41), 0, 1), 6, if(ISBLANK('2025'!$T41), 0, 1), 7, 0))), 1, "")</f>
        <v/>
      </c>
      <c r="AB41" s="1" t="str">
        <f>IF(AND(AND(AND(AB$4&gt;='2025'!$L41,AB$4&lt;='2025'!$M41), AB$4&lt;&gt;DATE(2025,7,4)), (SWITCH(weekday(AB$4), 1, 0, 2, if(ISBLANK('2025'!$P41), 0, 1), 3, if(ISBLANK('2025'!$Q41), 0, 1), 4, if(ISBLANK('2025'!$R41), 0, 1), 5, if(ISBLANK('2025'!$S41), 0, 1), 6, if(ISBLANK('2025'!$T41), 0, 1), 7, 0))), 1, "")</f>
        <v/>
      </c>
      <c r="AC41" s="1" t="str">
        <f>IF(AND(AND(AND(AC$4&gt;='2025'!$L41,AC$4&lt;='2025'!$M41), AC$4&lt;&gt;DATE(2025,7,4)), (SWITCH(weekday(AC$4), 1, 0, 2, if(ISBLANK('2025'!$P41), 0, 1), 3, if(ISBLANK('2025'!$Q41), 0, 1), 4, if(ISBLANK('2025'!$R41), 0, 1), 5, if(ISBLANK('2025'!$S41), 0, 1), 6, if(ISBLANK('2025'!$T41), 0, 1), 7, 0))), 1, "")</f>
        <v/>
      </c>
      <c r="AD41" s="1" t="str">
        <f>IF(AND(AND(AND(AD$4&gt;='2025'!$L41,AD$4&lt;='2025'!$M41), AD$4&lt;&gt;DATE(2025,7,4)), (SWITCH(weekday(AD$4), 1, 0, 2, if(ISBLANK('2025'!$P41), 0, 1), 3, if(ISBLANK('2025'!$Q41), 0, 1), 4, if(ISBLANK('2025'!$R41), 0, 1), 5, if(ISBLANK('2025'!$S41), 0, 1), 6, if(ISBLANK('2025'!$T41), 0, 1), 7, 0))), 1, "")</f>
        <v/>
      </c>
      <c r="AE41" s="1" t="str">
        <f>IF(AND(AND(AND(AE$4&gt;='2025'!$L41,AE$4&lt;='2025'!$M41), AE$4&lt;&gt;DATE(2025,7,4)), (SWITCH(weekday(AE$4), 1, 0, 2, if(ISBLANK('2025'!$P41), 0, 1), 3, if(ISBLANK('2025'!$Q41), 0, 1), 4, if(ISBLANK('2025'!$R41), 0, 1), 5, if(ISBLANK('2025'!$S41), 0, 1), 6, if(ISBLANK('2025'!$T41), 0, 1), 7, 0))), 1, "")</f>
        <v/>
      </c>
      <c r="AF41" s="1" t="str">
        <f>IF(AND(AND(AND(AF$4&gt;='2025'!$L41,AF$4&lt;='2025'!$M41), AF$4&lt;&gt;DATE(2025,7,4)), (SWITCH(weekday(AF$4), 1, 0, 2, if(ISBLANK('2025'!$P41), 0, 1), 3, if(ISBLANK('2025'!$Q41), 0, 1), 4, if(ISBLANK('2025'!$R41), 0, 1), 5, if(ISBLANK('2025'!$S41), 0, 1), 6, if(ISBLANK('2025'!$T41), 0, 1), 7, 0))), 1, "")</f>
        <v/>
      </c>
      <c r="AG41" s="1" t="str">
        <f>IF(AND(AND(AND(AG$4&gt;='2025'!$L41,AG$4&lt;='2025'!$M41), AG$4&lt;&gt;DATE(2025,7,4)), (SWITCH(weekday(AG$4), 1, 0, 2, if(ISBLANK('2025'!$P41), 0, 1), 3, if(ISBLANK('2025'!$Q41), 0, 1), 4, if(ISBLANK('2025'!$R41), 0, 1), 5, if(ISBLANK('2025'!$S41), 0, 1), 6, if(ISBLANK('2025'!$T41), 0, 1), 7, 0))), 1, "")</f>
        <v/>
      </c>
      <c r="AH41" s="1" t="str">
        <f>IF(AND(AND(AND(AH$4&gt;='2025'!$L41,AH$4&lt;='2025'!$M41), AH$4&lt;&gt;DATE(2025,7,4)), (SWITCH(weekday(AH$4), 1, 0, 2, if(ISBLANK('2025'!$P41), 0, 1), 3, if(ISBLANK('2025'!$Q41), 0, 1), 4, if(ISBLANK('2025'!$R41), 0, 1), 5, if(ISBLANK('2025'!$S41), 0, 1), 6, if(ISBLANK('2025'!$T41), 0, 1), 7, 0))), 1, "")</f>
        <v/>
      </c>
      <c r="AI41" s="1" t="str">
        <f>IF(AND(AND(AND(AI$4&gt;='2025'!$L41,AI$4&lt;='2025'!$M41), AI$4&lt;&gt;DATE(2025,7,4)), (SWITCH(weekday(AI$4), 1, 0, 2, if(ISBLANK('2025'!$P41), 0, 1), 3, if(ISBLANK('2025'!$Q41), 0, 1), 4, if(ISBLANK('2025'!$R41), 0, 1), 5, if(ISBLANK('2025'!$S41), 0, 1), 6, if(ISBLANK('2025'!$T41), 0, 1), 7, 0))), 1, "")</f>
        <v/>
      </c>
      <c r="AJ41" s="1" t="str">
        <f>IF(AND(AND(AND(AJ$4&gt;='2025'!$L41,AJ$4&lt;='2025'!$M41), AJ$4&lt;&gt;DATE(2025,7,4)), (SWITCH(weekday(AJ$4), 1, 0, 2, if(ISBLANK('2025'!$P41), 0, 1), 3, if(ISBLANK('2025'!$Q41), 0, 1), 4, if(ISBLANK('2025'!$R41), 0, 1), 5, if(ISBLANK('2025'!$S41), 0, 1), 6, if(ISBLANK('2025'!$T41), 0, 1), 7, 0))), 1, "")</f>
        <v/>
      </c>
      <c r="AK41" s="1" t="str">
        <f>IF(AND(AND(AND(AK$4&gt;='2025'!$L41,AK$4&lt;='2025'!$M41), AK$4&lt;&gt;DATE(2025,7,4)), (SWITCH(weekday(AK$4), 1, 0, 2, if(ISBLANK('2025'!$P41), 0, 1), 3, if(ISBLANK('2025'!$Q41), 0, 1), 4, if(ISBLANK('2025'!$R41), 0, 1), 5, if(ISBLANK('2025'!$S41), 0, 1), 6, if(ISBLANK('2025'!$T41), 0, 1), 7, 0))), 1, "")</f>
        <v/>
      </c>
      <c r="AL41" s="1" t="str">
        <f>IF(AND(AND(AND(AL$4&gt;='2025'!$L41,AL$4&lt;='2025'!$M41), AL$4&lt;&gt;DATE(2025,7,4)), (SWITCH(weekday(AL$4), 1, 0, 2, if(ISBLANK('2025'!$P41), 0, 1), 3, if(ISBLANK('2025'!$Q41), 0, 1), 4, if(ISBLANK('2025'!$R41), 0, 1), 5, if(ISBLANK('2025'!$S41), 0, 1), 6, if(ISBLANK('2025'!$T41), 0, 1), 7, 0))), 1, "")</f>
        <v/>
      </c>
      <c r="AM41" s="1" t="str">
        <f>IF(AND(AND(AND(AM$4&gt;='2025'!$L41,AM$4&lt;='2025'!$M41), AM$4&lt;&gt;DATE(2025,7,4)), (SWITCH(weekday(AM$4), 1, 0, 2, if(ISBLANK('2025'!$P41), 0, 1), 3, if(ISBLANK('2025'!$Q41), 0, 1), 4, if(ISBLANK('2025'!$R41), 0, 1), 5, if(ISBLANK('2025'!$S41), 0, 1), 6, if(ISBLANK('2025'!$T41), 0, 1), 7, 0))), 1, "")</f>
        <v/>
      </c>
      <c r="AN41" s="1" t="str">
        <f>IF(AND(AND(AND(AN$4&gt;='2025'!$L41,AN$4&lt;='2025'!$M41), AN$4&lt;&gt;DATE(2025,7,4)), (SWITCH(weekday(AN$4), 1, 0, 2, if(ISBLANK('2025'!$P41), 0, 1), 3, if(ISBLANK('2025'!$Q41), 0, 1), 4, if(ISBLANK('2025'!$R41), 0, 1), 5, if(ISBLANK('2025'!$S41), 0, 1), 6, if(ISBLANK('2025'!$T41), 0, 1), 7, 0))), 1, "")</f>
        <v/>
      </c>
      <c r="AO41" s="1" t="str">
        <f>IF(AND(AND(AND(AO$4&gt;='2025'!$L41,AO$4&lt;='2025'!$M41), AO$4&lt;&gt;DATE(2025,7,4)), (SWITCH(weekday(AO$4), 1, 0, 2, if(ISBLANK('2025'!$P41), 0, 1), 3, if(ISBLANK('2025'!$Q41), 0, 1), 4, if(ISBLANK('2025'!$R41), 0, 1), 5, if(ISBLANK('2025'!$S41), 0, 1), 6, if(ISBLANK('2025'!$T41), 0, 1), 7, 0))), 1, "")</f>
        <v/>
      </c>
      <c r="AP41" s="1" t="str">
        <f>IF(AND(AND(AND(AP$4&gt;='2025'!$L41,AP$4&lt;='2025'!$M41), AP$4&lt;&gt;DATE(2025,7,4)), (SWITCH(weekday(AP$4), 1, 0, 2, if(ISBLANK('2025'!$P41), 0, 1), 3, if(ISBLANK('2025'!$Q41), 0, 1), 4, if(ISBLANK('2025'!$R41), 0, 1), 5, if(ISBLANK('2025'!$S41), 0, 1), 6, if(ISBLANK('2025'!$T41), 0, 1), 7, 0))), 1, "")</f>
        <v/>
      </c>
      <c r="AQ41" s="1" t="str">
        <f>IF(AND(AND(AND(AQ$4&gt;='2025'!$L41,AQ$4&lt;='2025'!$M41), AQ$4&lt;&gt;DATE(2025,7,4)), (SWITCH(weekday(AQ$4), 1, 0, 2, if(ISBLANK('2025'!$P41), 0, 1), 3, if(ISBLANK('2025'!$Q41), 0, 1), 4, if(ISBLANK('2025'!$R41), 0, 1), 5, if(ISBLANK('2025'!$S41), 0, 1), 6, if(ISBLANK('2025'!$T41), 0, 1), 7, 0))), 1, "")</f>
        <v/>
      </c>
      <c r="AR41" s="1" t="str">
        <f>IF(AND(AND(AND(AR$4&gt;='2025'!$L41,AR$4&lt;='2025'!$M41), AR$4&lt;&gt;DATE(2025,7,4)), (SWITCH(weekday(AR$4), 1, 0, 2, if(ISBLANK('2025'!$P41), 0, 1), 3, if(ISBLANK('2025'!$Q41), 0, 1), 4, if(ISBLANK('2025'!$R41), 0, 1), 5, if(ISBLANK('2025'!$S41), 0, 1), 6, if(ISBLANK('2025'!$T41), 0, 1), 7, 0))), 1, "")</f>
        <v/>
      </c>
      <c r="AS41" s="1" t="str">
        <f>IF(AND(AND(AND(AS$4&gt;='2025'!$L41,AS$4&lt;='2025'!$M41), AS$4&lt;&gt;DATE(2025,7,4)), (SWITCH(weekday(AS$4), 1, 0, 2, if(ISBLANK('2025'!$P41), 0, 1), 3, if(ISBLANK('2025'!$Q41), 0, 1), 4, if(ISBLANK('2025'!$R41), 0, 1), 5, if(ISBLANK('2025'!$S41), 0, 1), 6, if(ISBLANK('2025'!$T41), 0, 1), 7, 0))), 1, "")</f>
        <v/>
      </c>
      <c r="AT41" s="1" t="str">
        <f>IF(AND(AND(AND(AT$4&gt;='2025'!$L41,AT$4&lt;='2025'!$M41), AT$4&lt;&gt;DATE(2025,7,4)), (SWITCH(weekday(AT$4), 1, 0, 2, if(ISBLANK('2025'!$P41), 0, 1), 3, if(ISBLANK('2025'!$Q41), 0, 1), 4, if(ISBLANK('2025'!$R41), 0, 1), 5, if(ISBLANK('2025'!$S41), 0, 1), 6, if(ISBLANK('2025'!$T41), 0, 1), 7, 0))), 1, "")</f>
        <v/>
      </c>
      <c r="AU41" s="1" t="str">
        <f>IF(AND(AND(AND(AU$4&gt;='2025'!$L41,AU$4&lt;='2025'!$M41), AU$4&lt;&gt;DATE(2025,7,4)), (SWITCH(weekday(AU$4), 1, 0, 2, if(ISBLANK('2025'!$P41), 0, 1), 3, if(ISBLANK('2025'!$Q41), 0, 1), 4, if(ISBLANK('2025'!$R41), 0, 1), 5, if(ISBLANK('2025'!$S41), 0, 1), 6, if(ISBLANK('2025'!$T41), 0, 1), 7, 0))), 1, "")</f>
        <v/>
      </c>
      <c r="AV41" s="1" t="str">
        <f>IF(AND(AND(AND(AV$4&gt;='2025'!$L41,AV$4&lt;='2025'!$M41), AV$4&lt;&gt;DATE(2025,7,4)), (SWITCH(weekday(AV$4), 1, 0, 2, if(ISBLANK('2025'!$P41), 0, 1), 3, if(ISBLANK('2025'!$Q41), 0, 1), 4, if(ISBLANK('2025'!$R41), 0, 1), 5, if(ISBLANK('2025'!$S41), 0, 1), 6, if(ISBLANK('2025'!$T41), 0, 1), 7, 0))), 1, "")</f>
        <v/>
      </c>
      <c r="AW41" s="1" t="str">
        <f>IF(AND(AND(AND(AW$4&gt;='2025'!$L41,AW$4&lt;='2025'!$M41), AW$4&lt;&gt;DATE(2025,7,4)), (SWITCH(weekday(AW$4), 1, 0, 2, if(ISBLANK('2025'!$P41), 0, 1), 3, if(ISBLANK('2025'!$Q41), 0, 1), 4, if(ISBLANK('2025'!$R41), 0, 1), 5, if(ISBLANK('2025'!$S41), 0, 1), 6, if(ISBLANK('2025'!$T41), 0, 1), 7, 0))), 1, "")</f>
        <v/>
      </c>
      <c r="AX41" s="1" t="str">
        <f>IF(AND(AND(AND(AX$4&gt;='2025'!$L41,AX$4&lt;='2025'!$M41), AX$4&lt;&gt;DATE(2025,7,4)), (SWITCH(weekday(AX$4), 1, 0, 2, if(ISBLANK('2025'!$P41), 0, 1), 3, if(ISBLANK('2025'!$Q41), 0, 1), 4, if(ISBLANK('2025'!$R41), 0, 1), 5, if(ISBLANK('2025'!$S41), 0, 1), 6, if(ISBLANK('2025'!$T41), 0, 1), 7, 0))), 1, "")</f>
        <v/>
      </c>
      <c r="AY41" s="1" t="str">
        <f>IF(AND(AND(AND(AY$4&gt;='2025'!$L41,AY$4&lt;='2025'!$M41), AY$4&lt;&gt;DATE(2025,7,4)), (SWITCH(weekday(AY$4), 1, 0, 2, if(ISBLANK('2025'!$P41), 0, 1), 3, if(ISBLANK('2025'!$Q41), 0, 1), 4, if(ISBLANK('2025'!$R41), 0, 1), 5, if(ISBLANK('2025'!$S41), 0, 1), 6, if(ISBLANK('2025'!$T41), 0, 1), 7, 0))), 1, "")</f>
        <v/>
      </c>
      <c r="AZ41" s="1" t="str">
        <f>IF(AND(AND(AND(AZ$4&gt;='2025'!$L41,AZ$4&lt;='2025'!$M41), AZ$4&lt;&gt;DATE(2025,7,4)), (SWITCH(weekday(AZ$4), 1, 0, 2, if(ISBLANK('2025'!$P41), 0, 1), 3, if(ISBLANK('2025'!$Q41), 0, 1), 4, if(ISBLANK('2025'!$R41), 0, 1), 5, if(ISBLANK('2025'!$S41), 0, 1), 6, if(ISBLANK('2025'!$T41), 0, 1), 7, 0))), 1, "")</f>
        <v/>
      </c>
      <c r="BA41" s="1" t="str">
        <f>IF(AND(AND(AND(BA$4&gt;='2025'!$L41,BA$4&lt;='2025'!$M41), BA$4&lt;&gt;DATE(2025,7,4)), (SWITCH(weekday(BA$4), 1, 0, 2, if(ISBLANK('2025'!$P41), 0, 1), 3, if(ISBLANK('2025'!$Q41), 0, 1), 4, if(ISBLANK('2025'!$R41), 0, 1), 5, if(ISBLANK('2025'!$S41), 0, 1), 6, if(ISBLANK('2025'!$T41), 0, 1), 7, 0))), 1, "")</f>
        <v/>
      </c>
      <c r="BB41" s="1" t="str">
        <f>IF(AND(AND(AND(BB$4&gt;='2025'!$L41,BB$4&lt;='2025'!$M41), BB$4&lt;&gt;DATE(2025,7,4)), (SWITCH(weekday(BB$4), 1, 0, 2, if(ISBLANK('2025'!$P41), 0, 1), 3, if(ISBLANK('2025'!$Q41), 0, 1), 4, if(ISBLANK('2025'!$R41), 0, 1), 5, if(ISBLANK('2025'!$S41), 0, 1), 6, if(ISBLANK('2025'!$T41), 0, 1), 7, 0))), 1, "")</f>
        <v/>
      </c>
      <c r="BC41" s="1" t="str">
        <f>IF(AND(AND(AND(BC$4&gt;='2025'!$L41,BC$4&lt;='2025'!$M41), BC$4&lt;&gt;DATE(2025,7,4)), (SWITCH(weekday(BC$4), 1, 0, 2, if(ISBLANK('2025'!$P41), 0, 1), 3, if(ISBLANK('2025'!$Q41), 0, 1), 4, if(ISBLANK('2025'!$R41), 0, 1), 5, if(ISBLANK('2025'!$S41), 0, 1), 6, if(ISBLANK('2025'!$T41), 0, 1), 7, 0))), 1, "")</f>
        <v/>
      </c>
      <c r="BD41" s="1" t="str">
        <f>IF(AND(AND(AND(BD$4&gt;='2025'!$L41,BD$4&lt;='2025'!$M41), BD$4&lt;&gt;DATE(2025,7,4)), (SWITCH(weekday(BD$4), 1, 0, 2, if(ISBLANK('2025'!$P41), 0, 1), 3, if(ISBLANK('2025'!$Q41), 0, 1), 4, if(ISBLANK('2025'!$R41), 0, 1), 5, if(ISBLANK('2025'!$S41), 0, 1), 6, if(ISBLANK('2025'!$T41), 0, 1), 7, 0))), 1, "")</f>
        <v/>
      </c>
      <c r="BE41" s="1" t="str">
        <f>IF(AND(AND(AND(BE$4&gt;='2025'!$L41,BE$4&lt;='2025'!$M41), BE$4&lt;&gt;DATE(2025,7,4)), (SWITCH(weekday(BE$4), 1, 0, 2, if(ISBLANK('2025'!$P41), 0, 1), 3, if(ISBLANK('2025'!$Q41), 0, 1), 4, if(ISBLANK('2025'!$R41), 0, 1), 5, if(ISBLANK('2025'!$S41), 0, 1), 6, if(ISBLANK('2025'!$T41), 0, 1), 7, 0))), 1, "")</f>
        <v/>
      </c>
      <c r="BF41" s="1" t="str">
        <f>IF(AND(AND(AND(BF$4&gt;='2025'!$L41,BF$4&lt;='2025'!$M41), BF$4&lt;&gt;DATE(2025,7,4)), (SWITCH(weekday(BF$4), 1, 0, 2, if(ISBLANK('2025'!$P41), 0, 1), 3, if(ISBLANK('2025'!$Q41), 0, 1), 4, if(ISBLANK('2025'!$R41), 0, 1), 5, if(ISBLANK('2025'!$S41), 0, 1), 6, if(ISBLANK('2025'!$T41), 0, 1), 7, 0))), 1, "")</f>
        <v/>
      </c>
      <c r="BG41" s="1"/>
      <c r="BH41" s="1"/>
      <c r="BI41" s="1"/>
      <c r="BJ41" s="1"/>
      <c r="BK41" s="1"/>
      <c r="BL41" s="1"/>
    </row>
    <row r="42">
      <c r="A42" s="1">
        <f t="shared" si="3"/>
        <v>42</v>
      </c>
      <c r="B42" s="1" t="str">
        <f>'2025'!D42</f>
        <v>levi, cameron</v>
      </c>
      <c r="C42" s="1" t="str">
        <f>'2025'!H42</f>
        <v/>
      </c>
      <c r="D42" s="1" t="str">
        <f>IF(AND(AND(AND(D$4&gt;='2025'!$L42,D$4&lt;='2025'!$M42), D$4&lt;&gt;DATE(2025,7,4)), (SWITCH(weekday(D$4), 1, 0, 2, if(ISBLANK('2025'!$P42), 0, 1), 3, if(ISBLANK('2025'!$Q42), 0, 1), 4, if(ISBLANK('2025'!$R42), 0, 1), 5, if(ISBLANK('2025'!$S42), 0, 1), 6, if(ISBLANK('2025'!$T42), 0, 1), 7, 0))), 1, "")</f>
        <v/>
      </c>
      <c r="E42" s="1" t="str">
        <f>IF(AND(AND(AND(E$4&gt;='2025'!$L42,E$4&lt;='2025'!$M42), E$4&lt;&gt;DATE(2025,7,4)), (SWITCH(weekday(E$4), 1, 0, 2, if(ISBLANK('2025'!$P42), 0, 1), 3, if(ISBLANK('2025'!$Q42), 0, 1), 4, if(ISBLANK('2025'!$R42), 0, 1), 5, if(ISBLANK('2025'!$S42), 0, 1), 6, if(ISBLANK('2025'!$T42), 0, 1), 7, 0))), 1, "")</f>
        <v/>
      </c>
      <c r="F42" s="1" t="str">
        <f>IF(AND(AND(AND(F$4&gt;='2025'!$L42,F$4&lt;='2025'!$M42), F$4&lt;&gt;DATE(2025,7,4)), (SWITCH(weekday(F$4), 1, 0, 2, if(ISBLANK('2025'!$P42), 0, 1), 3, if(ISBLANK('2025'!$Q42), 0, 1), 4, if(ISBLANK('2025'!$R42), 0, 1), 5, if(ISBLANK('2025'!$S42), 0, 1), 6, if(ISBLANK('2025'!$T42), 0, 1), 7, 0))), 1, "")</f>
        <v/>
      </c>
      <c r="G42" s="1" t="str">
        <f>IF(AND(AND(AND(G$4&gt;='2025'!$L42,G$4&lt;='2025'!$M42), G$4&lt;&gt;DATE(2025,7,4)), (SWITCH(weekday(G$4), 1, 0, 2, if(ISBLANK('2025'!$P42), 0, 1), 3, if(ISBLANK('2025'!$Q42), 0, 1), 4, if(ISBLANK('2025'!$R42), 0, 1), 5, if(ISBLANK('2025'!$S42), 0, 1), 6, if(ISBLANK('2025'!$T42), 0, 1), 7, 0))), 1, "")</f>
        <v/>
      </c>
      <c r="H42" s="1" t="str">
        <f>IF(AND(AND(AND(H$4&gt;='2025'!$L42,H$4&lt;='2025'!$M42), H$4&lt;&gt;DATE(2025,7,4)), (SWITCH(weekday(H$4), 1, 0, 2, if(ISBLANK('2025'!$P42), 0, 1), 3, if(ISBLANK('2025'!$Q42), 0, 1), 4, if(ISBLANK('2025'!$R42), 0, 1), 5, if(ISBLANK('2025'!$S42), 0, 1), 6, if(ISBLANK('2025'!$T42), 0, 1), 7, 0))), 1, "")</f>
        <v/>
      </c>
      <c r="I42" s="1" t="str">
        <f>IF(AND(AND(AND(I$4&gt;='2025'!$L42,I$4&lt;='2025'!$M42), I$4&lt;&gt;DATE(2025,7,4)), (SWITCH(weekday(I$4), 1, 0, 2, if(ISBLANK('2025'!$P42), 0, 1), 3, if(ISBLANK('2025'!$Q42), 0, 1), 4, if(ISBLANK('2025'!$R42), 0, 1), 5, if(ISBLANK('2025'!$S42), 0, 1), 6, if(ISBLANK('2025'!$T42), 0, 1), 7, 0))), 1, "")</f>
        <v/>
      </c>
      <c r="J42" s="1" t="str">
        <f>IF(AND(AND(AND(J$4&gt;='2025'!$L42,J$4&lt;='2025'!$M42), J$4&lt;&gt;DATE(2025,7,4)), (SWITCH(weekday(J$4), 1, 0, 2, if(ISBLANK('2025'!$P42), 0, 1), 3, if(ISBLANK('2025'!$Q42), 0, 1), 4, if(ISBLANK('2025'!$R42), 0, 1), 5, if(ISBLANK('2025'!$S42), 0, 1), 6, if(ISBLANK('2025'!$T42), 0, 1), 7, 0))), 1, "")</f>
        <v/>
      </c>
      <c r="K42" s="1" t="str">
        <f>IF(AND(AND(AND(K$4&gt;='2025'!$L42,K$4&lt;='2025'!$M42), K$4&lt;&gt;DATE(2025,7,4)), (SWITCH(weekday(K$4), 1, 0, 2, if(ISBLANK('2025'!$P42), 0, 1), 3, if(ISBLANK('2025'!$Q42), 0, 1), 4, if(ISBLANK('2025'!$R42), 0, 1), 5, if(ISBLANK('2025'!$S42), 0, 1), 6, if(ISBLANK('2025'!$T42), 0, 1), 7, 0))), 1, "")</f>
        <v/>
      </c>
      <c r="L42" s="1" t="str">
        <f>IF(AND(AND(AND(L$4&gt;='2025'!$L42,L$4&lt;='2025'!$M42), L$4&lt;&gt;DATE(2025,7,4)), (SWITCH(weekday(L$4), 1, 0, 2, if(ISBLANK('2025'!$P42), 0, 1), 3, if(ISBLANK('2025'!$Q42), 0, 1), 4, if(ISBLANK('2025'!$R42), 0, 1), 5, if(ISBLANK('2025'!$S42), 0, 1), 6, if(ISBLANK('2025'!$T42), 0, 1), 7, 0))), 1, "")</f>
        <v/>
      </c>
      <c r="M42" s="1" t="str">
        <f>IF(AND(AND(AND(M$4&gt;='2025'!$L42,M$4&lt;='2025'!$M42), M$4&lt;&gt;DATE(2025,7,4)), (SWITCH(weekday(M$4), 1, 0, 2, if(ISBLANK('2025'!$P42), 0, 1), 3, if(ISBLANK('2025'!$Q42), 0, 1), 4, if(ISBLANK('2025'!$R42), 0, 1), 5, if(ISBLANK('2025'!$S42), 0, 1), 6, if(ISBLANK('2025'!$T42), 0, 1), 7, 0))), 1, "")</f>
        <v/>
      </c>
      <c r="N42" s="1" t="str">
        <f>IF(AND(AND(AND(N$4&gt;='2025'!$L42,N$4&lt;='2025'!$M42), N$4&lt;&gt;DATE(2025,7,4)), (SWITCH(weekday(N$4), 1, 0, 2, if(ISBLANK('2025'!$P42), 0, 1), 3, if(ISBLANK('2025'!$Q42), 0, 1), 4, if(ISBLANK('2025'!$R42), 0, 1), 5, if(ISBLANK('2025'!$S42), 0, 1), 6, if(ISBLANK('2025'!$T42), 0, 1), 7, 0))), 1, "")</f>
        <v/>
      </c>
      <c r="O42" s="1" t="str">
        <f>IF(AND(AND(AND(O$4&gt;='2025'!$L42,O$4&lt;='2025'!$M42), O$4&lt;&gt;DATE(2025,7,4)), (SWITCH(weekday(O$4), 1, 0, 2, if(ISBLANK('2025'!$P42), 0, 1), 3, if(ISBLANK('2025'!$Q42), 0, 1), 4, if(ISBLANK('2025'!$R42), 0, 1), 5, if(ISBLANK('2025'!$S42), 0, 1), 6, if(ISBLANK('2025'!$T42), 0, 1), 7, 0))), 1, "")</f>
        <v/>
      </c>
      <c r="P42" s="1" t="str">
        <f>IF(AND(AND(AND(P$4&gt;='2025'!$L42,P$4&lt;='2025'!$M42), P$4&lt;&gt;DATE(2025,7,4)), (SWITCH(weekday(P$4), 1, 0, 2, if(ISBLANK('2025'!$P42), 0, 1), 3, if(ISBLANK('2025'!$Q42), 0, 1), 4, if(ISBLANK('2025'!$R42), 0, 1), 5, if(ISBLANK('2025'!$S42), 0, 1), 6, if(ISBLANK('2025'!$T42), 0, 1), 7, 0))), 1, "")</f>
        <v/>
      </c>
      <c r="Q42" s="1" t="str">
        <f>IF(AND(AND(AND(Q$4&gt;='2025'!$L42,Q$4&lt;='2025'!$M42), Q$4&lt;&gt;DATE(2025,7,4)), (SWITCH(weekday(Q$4), 1, 0, 2, if(ISBLANK('2025'!$P42), 0, 1), 3, if(ISBLANK('2025'!$Q42), 0, 1), 4, if(ISBLANK('2025'!$R42), 0, 1), 5, if(ISBLANK('2025'!$S42), 0, 1), 6, if(ISBLANK('2025'!$T42), 0, 1), 7, 0))), 1, "")</f>
        <v/>
      </c>
      <c r="R42" s="1" t="str">
        <f>IF(AND(AND(AND(R$4&gt;='2025'!$L42,R$4&lt;='2025'!$M42), R$4&lt;&gt;DATE(2025,7,4)), (SWITCH(weekday(R$4), 1, 0, 2, if(ISBLANK('2025'!$P42), 0, 1), 3, if(ISBLANK('2025'!$Q42), 0, 1), 4, if(ISBLANK('2025'!$R42), 0, 1), 5, if(ISBLANK('2025'!$S42), 0, 1), 6, if(ISBLANK('2025'!$T42), 0, 1), 7, 0))), 1, "")</f>
        <v/>
      </c>
      <c r="S42" s="1" t="str">
        <f>IF(AND(AND(AND(S$4&gt;='2025'!$L42,S$4&lt;='2025'!$M42), S$4&lt;&gt;DATE(2025,7,4)), (SWITCH(weekday(S$4), 1, 0, 2, if(ISBLANK('2025'!$P42), 0, 1), 3, if(ISBLANK('2025'!$Q42), 0, 1), 4, if(ISBLANK('2025'!$R42), 0, 1), 5, if(ISBLANK('2025'!$S42), 0, 1), 6, if(ISBLANK('2025'!$T42), 0, 1), 7, 0))), 1, "")</f>
        <v/>
      </c>
      <c r="T42" s="1" t="str">
        <f>IF(AND(AND(AND(T$4&gt;='2025'!$L42,T$4&lt;='2025'!$M42), T$4&lt;&gt;DATE(2025,7,4)), (SWITCH(weekday(T$4), 1, 0, 2, if(ISBLANK('2025'!$P42), 0, 1), 3, if(ISBLANK('2025'!$Q42), 0, 1), 4, if(ISBLANK('2025'!$R42), 0, 1), 5, if(ISBLANK('2025'!$S42), 0, 1), 6, if(ISBLANK('2025'!$T42), 0, 1), 7, 0))), 1, "")</f>
        <v/>
      </c>
      <c r="U42" s="1" t="str">
        <f>IF(AND(AND(AND(U$4&gt;='2025'!$L42,U$4&lt;='2025'!$M42), U$4&lt;&gt;DATE(2025,7,4)), (SWITCH(weekday(U$4), 1, 0, 2, if(ISBLANK('2025'!$P42), 0, 1), 3, if(ISBLANK('2025'!$Q42), 0, 1), 4, if(ISBLANK('2025'!$R42), 0, 1), 5, if(ISBLANK('2025'!$S42), 0, 1), 6, if(ISBLANK('2025'!$T42), 0, 1), 7, 0))), 1, "")</f>
        <v/>
      </c>
      <c r="V42" s="1" t="str">
        <f>IF(AND(AND(AND(V$4&gt;='2025'!$L42,V$4&lt;='2025'!$M42), V$4&lt;&gt;DATE(2025,7,4)), (SWITCH(weekday(V$4), 1, 0, 2, if(ISBLANK('2025'!$P42), 0, 1), 3, if(ISBLANK('2025'!$Q42), 0, 1), 4, if(ISBLANK('2025'!$R42), 0, 1), 5, if(ISBLANK('2025'!$S42), 0, 1), 6, if(ISBLANK('2025'!$T42), 0, 1), 7, 0))), 1, "")</f>
        <v/>
      </c>
      <c r="W42" s="1" t="str">
        <f>IF(AND(AND(AND(W$4&gt;='2025'!$L42,W$4&lt;='2025'!$M42), W$4&lt;&gt;DATE(2025,7,4)), (SWITCH(weekday(W$4), 1, 0, 2, if(ISBLANK('2025'!$P42), 0, 1), 3, if(ISBLANK('2025'!$Q42), 0, 1), 4, if(ISBLANK('2025'!$R42), 0, 1), 5, if(ISBLANK('2025'!$S42), 0, 1), 6, if(ISBLANK('2025'!$T42), 0, 1), 7, 0))), 1, "")</f>
        <v/>
      </c>
      <c r="X42" s="1" t="str">
        <f>IF(AND(AND(AND(X$4&gt;='2025'!$L42,X$4&lt;='2025'!$M42), X$4&lt;&gt;DATE(2025,7,4)), (SWITCH(weekday(X$4), 1, 0, 2, if(ISBLANK('2025'!$P42), 0, 1), 3, if(ISBLANK('2025'!$Q42), 0, 1), 4, if(ISBLANK('2025'!$R42), 0, 1), 5, if(ISBLANK('2025'!$S42), 0, 1), 6, if(ISBLANK('2025'!$T42), 0, 1), 7, 0))), 1, "")</f>
        <v/>
      </c>
      <c r="Y42" s="1" t="str">
        <f>IF(AND(AND(AND(Y$4&gt;='2025'!$L42,Y$4&lt;='2025'!$M42), Y$4&lt;&gt;DATE(2025,7,4)), (SWITCH(weekday(Y$4), 1, 0, 2, if(ISBLANK('2025'!$P42), 0, 1), 3, if(ISBLANK('2025'!$Q42), 0, 1), 4, if(ISBLANK('2025'!$R42), 0, 1), 5, if(ISBLANK('2025'!$S42), 0, 1), 6, if(ISBLANK('2025'!$T42), 0, 1), 7, 0))), 1, "")</f>
        <v/>
      </c>
      <c r="Z42" s="1" t="str">
        <f>IF(AND(AND(AND(Z$4&gt;='2025'!$L42,Z$4&lt;='2025'!$M42), Z$4&lt;&gt;DATE(2025,7,4)), (SWITCH(weekday(Z$4), 1, 0, 2, if(ISBLANK('2025'!$P42), 0, 1), 3, if(ISBLANK('2025'!$Q42), 0, 1), 4, if(ISBLANK('2025'!$R42), 0, 1), 5, if(ISBLANK('2025'!$S42), 0, 1), 6, if(ISBLANK('2025'!$T42), 0, 1), 7, 0))), 1, "")</f>
        <v/>
      </c>
      <c r="AA42" s="1" t="str">
        <f>IF(AND(AND(AND(AA$4&gt;='2025'!$L42,AA$4&lt;='2025'!$M42), AA$4&lt;&gt;DATE(2025,7,4)), (SWITCH(weekday(AA$4), 1, 0, 2, if(ISBLANK('2025'!$P42), 0, 1), 3, if(ISBLANK('2025'!$Q42), 0, 1), 4, if(ISBLANK('2025'!$R42), 0, 1), 5, if(ISBLANK('2025'!$S42), 0, 1), 6, if(ISBLANK('2025'!$T42), 0, 1), 7, 0))), 1, "")</f>
        <v/>
      </c>
      <c r="AB42" s="1" t="str">
        <f>IF(AND(AND(AND(AB$4&gt;='2025'!$L42,AB$4&lt;='2025'!$M42), AB$4&lt;&gt;DATE(2025,7,4)), (SWITCH(weekday(AB$4), 1, 0, 2, if(ISBLANK('2025'!$P42), 0, 1), 3, if(ISBLANK('2025'!$Q42), 0, 1), 4, if(ISBLANK('2025'!$R42), 0, 1), 5, if(ISBLANK('2025'!$S42), 0, 1), 6, if(ISBLANK('2025'!$T42), 0, 1), 7, 0))), 1, "")</f>
        <v/>
      </c>
      <c r="AC42" s="1" t="str">
        <f>IF(AND(AND(AND(AC$4&gt;='2025'!$L42,AC$4&lt;='2025'!$M42), AC$4&lt;&gt;DATE(2025,7,4)), (SWITCH(weekday(AC$4), 1, 0, 2, if(ISBLANK('2025'!$P42), 0, 1), 3, if(ISBLANK('2025'!$Q42), 0, 1), 4, if(ISBLANK('2025'!$R42), 0, 1), 5, if(ISBLANK('2025'!$S42), 0, 1), 6, if(ISBLANK('2025'!$T42), 0, 1), 7, 0))), 1, "")</f>
        <v/>
      </c>
      <c r="AD42" s="1" t="str">
        <f>IF(AND(AND(AND(AD$4&gt;='2025'!$L42,AD$4&lt;='2025'!$M42), AD$4&lt;&gt;DATE(2025,7,4)), (SWITCH(weekday(AD$4), 1, 0, 2, if(ISBLANK('2025'!$P42), 0, 1), 3, if(ISBLANK('2025'!$Q42), 0, 1), 4, if(ISBLANK('2025'!$R42), 0, 1), 5, if(ISBLANK('2025'!$S42), 0, 1), 6, if(ISBLANK('2025'!$T42), 0, 1), 7, 0))), 1, "")</f>
        <v/>
      </c>
      <c r="AE42" s="1" t="str">
        <f>IF(AND(AND(AND(AE$4&gt;='2025'!$L42,AE$4&lt;='2025'!$M42), AE$4&lt;&gt;DATE(2025,7,4)), (SWITCH(weekday(AE$4), 1, 0, 2, if(ISBLANK('2025'!$P42), 0, 1), 3, if(ISBLANK('2025'!$Q42), 0, 1), 4, if(ISBLANK('2025'!$R42), 0, 1), 5, if(ISBLANK('2025'!$S42), 0, 1), 6, if(ISBLANK('2025'!$T42), 0, 1), 7, 0))), 1, "")</f>
        <v/>
      </c>
      <c r="AF42" s="1" t="str">
        <f>IF(AND(AND(AND(AF$4&gt;='2025'!$L42,AF$4&lt;='2025'!$M42), AF$4&lt;&gt;DATE(2025,7,4)), (SWITCH(weekday(AF$4), 1, 0, 2, if(ISBLANK('2025'!$P42), 0, 1), 3, if(ISBLANK('2025'!$Q42), 0, 1), 4, if(ISBLANK('2025'!$R42), 0, 1), 5, if(ISBLANK('2025'!$S42), 0, 1), 6, if(ISBLANK('2025'!$T42), 0, 1), 7, 0))), 1, "")</f>
        <v/>
      </c>
      <c r="AG42" s="1" t="str">
        <f>IF(AND(AND(AND(AG$4&gt;='2025'!$L42,AG$4&lt;='2025'!$M42), AG$4&lt;&gt;DATE(2025,7,4)), (SWITCH(weekday(AG$4), 1, 0, 2, if(ISBLANK('2025'!$P42), 0, 1), 3, if(ISBLANK('2025'!$Q42), 0, 1), 4, if(ISBLANK('2025'!$R42), 0, 1), 5, if(ISBLANK('2025'!$S42), 0, 1), 6, if(ISBLANK('2025'!$T42), 0, 1), 7, 0))), 1, "")</f>
        <v/>
      </c>
      <c r="AH42" s="1" t="str">
        <f>IF(AND(AND(AND(AH$4&gt;='2025'!$L42,AH$4&lt;='2025'!$M42), AH$4&lt;&gt;DATE(2025,7,4)), (SWITCH(weekday(AH$4), 1, 0, 2, if(ISBLANK('2025'!$P42), 0, 1), 3, if(ISBLANK('2025'!$Q42), 0, 1), 4, if(ISBLANK('2025'!$R42), 0, 1), 5, if(ISBLANK('2025'!$S42), 0, 1), 6, if(ISBLANK('2025'!$T42), 0, 1), 7, 0))), 1, "")</f>
        <v/>
      </c>
      <c r="AI42" s="1" t="str">
        <f>IF(AND(AND(AND(AI$4&gt;='2025'!$L42,AI$4&lt;='2025'!$M42), AI$4&lt;&gt;DATE(2025,7,4)), (SWITCH(weekday(AI$4), 1, 0, 2, if(ISBLANK('2025'!$P42), 0, 1), 3, if(ISBLANK('2025'!$Q42), 0, 1), 4, if(ISBLANK('2025'!$R42), 0, 1), 5, if(ISBLANK('2025'!$S42), 0, 1), 6, if(ISBLANK('2025'!$T42), 0, 1), 7, 0))), 1, "")</f>
        <v/>
      </c>
      <c r="AJ42" s="1" t="str">
        <f>IF(AND(AND(AND(AJ$4&gt;='2025'!$L42,AJ$4&lt;='2025'!$M42), AJ$4&lt;&gt;DATE(2025,7,4)), (SWITCH(weekday(AJ$4), 1, 0, 2, if(ISBLANK('2025'!$P42), 0, 1), 3, if(ISBLANK('2025'!$Q42), 0, 1), 4, if(ISBLANK('2025'!$R42), 0, 1), 5, if(ISBLANK('2025'!$S42), 0, 1), 6, if(ISBLANK('2025'!$T42), 0, 1), 7, 0))), 1, "")</f>
        <v/>
      </c>
      <c r="AK42" s="1" t="str">
        <f>IF(AND(AND(AND(AK$4&gt;='2025'!$L42,AK$4&lt;='2025'!$M42), AK$4&lt;&gt;DATE(2025,7,4)), (SWITCH(weekday(AK$4), 1, 0, 2, if(ISBLANK('2025'!$P42), 0, 1), 3, if(ISBLANK('2025'!$Q42), 0, 1), 4, if(ISBLANK('2025'!$R42), 0, 1), 5, if(ISBLANK('2025'!$S42), 0, 1), 6, if(ISBLANK('2025'!$T42), 0, 1), 7, 0))), 1, "")</f>
        <v/>
      </c>
      <c r="AL42" s="1" t="str">
        <f>IF(AND(AND(AND(AL$4&gt;='2025'!$L42,AL$4&lt;='2025'!$M42), AL$4&lt;&gt;DATE(2025,7,4)), (SWITCH(weekday(AL$4), 1, 0, 2, if(ISBLANK('2025'!$P42), 0, 1), 3, if(ISBLANK('2025'!$Q42), 0, 1), 4, if(ISBLANK('2025'!$R42), 0, 1), 5, if(ISBLANK('2025'!$S42), 0, 1), 6, if(ISBLANK('2025'!$T42), 0, 1), 7, 0))), 1, "")</f>
        <v/>
      </c>
      <c r="AM42" s="1" t="str">
        <f>IF(AND(AND(AND(AM$4&gt;='2025'!$L42,AM$4&lt;='2025'!$M42), AM$4&lt;&gt;DATE(2025,7,4)), (SWITCH(weekday(AM$4), 1, 0, 2, if(ISBLANK('2025'!$P42), 0, 1), 3, if(ISBLANK('2025'!$Q42), 0, 1), 4, if(ISBLANK('2025'!$R42), 0, 1), 5, if(ISBLANK('2025'!$S42), 0, 1), 6, if(ISBLANK('2025'!$T42), 0, 1), 7, 0))), 1, "")</f>
        <v/>
      </c>
      <c r="AN42" s="1" t="str">
        <f>IF(AND(AND(AND(AN$4&gt;='2025'!$L42,AN$4&lt;='2025'!$M42), AN$4&lt;&gt;DATE(2025,7,4)), (SWITCH(weekday(AN$4), 1, 0, 2, if(ISBLANK('2025'!$P42), 0, 1), 3, if(ISBLANK('2025'!$Q42), 0, 1), 4, if(ISBLANK('2025'!$R42), 0, 1), 5, if(ISBLANK('2025'!$S42), 0, 1), 6, if(ISBLANK('2025'!$T42), 0, 1), 7, 0))), 1, "")</f>
        <v/>
      </c>
      <c r="AO42" s="1" t="str">
        <f>IF(AND(AND(AND(AO$4&gt;='2025'!$L42,AO$4&lt;='2025'!$M42), AO$4&lt;&gt;DATE(2025,7,4)), (SWITCH(weekday(AO$4), 1, 0, 2, if(ISBLANK('2025'!$P42), 0, 1), 3, if(ISBLANK('2025'!$Q42), 0, 1), 4, if(ISBLANK('2025'!$R42), 0, 1), 5, if(ISBLANK('2025'!$S42), 0, 1), 6, if(ISBLANK('2025'!$T42), 0, 1), 7, 0))), 1, "")</f>
        <v/>
      </c>
      <c r="AP42" s="1" t="str">
        <f>IF(AND(AND(AND(AP$4&gt;='2025'!$L42,AP$4&lt;='2025'!$M42), AP$4&lt;&gt;DATE(2025,7,4)), (SWITCH(weekday(AP$4), 1, 0, 2, if(ISBLANK('2025'!$P42), 0, 1), 3, if(ISBLANK('2025'!$Q42), 0, 1), 4, if(ISBLANK('2025'!$R42), 0, 1), 5, if(ISBLANK('2025'!$S42), 0, 1), 6, if(ISBLANK('2025'!$T42), 0, 1), 7, 0))), 1, "")</f>
        <v/>
      </c>
      <c r="AQ42" s="1" t="str">
        <f>IF(AND(AND(AND(AQ$4&gt;='2025'!$L42,AQ$4&lt;='2025'!$M42), AQ$4&lt;&gt;DATE(2025,7,4)), (SWITCH(weekday(AQ$4), 1, 0, 2, if(ISBLANK('2025'!$P42), 0, 1), 3, if(ISBLANK('2025'!$Q42), 0, 1), 4, if(ISBLANK('2025'!$R42), 0, 1), 5, if(ISBLANK('2025'!$S42), 0, 1), 6, if(ISBLANK('2025'!$T42), 0, 1), 7, 0))), 1, "")</f>
        <v/>
      </c>
      <c r="AR42" s="1" t="str">
        <f>IF(AND(AND(AND(AR$4&gt;='2025'!$L42,AR$4&lt;='2025'!$M42), AR$4&lt;&gt;DATE(2025,7,4)), (SWITCH(weekday(AR$4), 1, 0, 2, if(ISBLANK('2025'!$P42), 0, 1), 3, if(ISBLANK('2025'!$Q42), 0, 1), 4, if(ISBLANK('2025'!$R42), 0, 1), 5, if(ISBLANK('2025'!$S42), 0, 1), 6, if(ISBLANK('2025'!$T42), 0, 1), 7, 0))), 1, "")</f>
        <v/>
      </c>
      <c r="AS42" s="1" t="str">
        <f>IF(AND(AND(AND(AS$4&gt;='2025'!$L42,AS$4&lt;='2025'!$M42), AS$4&lt;&gt;DATE(2025,7,4)), (SWITCH(weekday(AS$4), 1, 0, 2, if(ISBLANK('2025'!$P42), 0, 1), 3, if(ISBLANK('2025'!$Q42), 0, 1), 4, if(ISBLANK('2025'!$R42), 0, 1), 5, if(ISBLANK('2025'!$S42), 0, 1), 6, if(ISBLANK('2025'!$T42), 0, 1), 7, 0))), 1, "")</f>
        <v/>
      </c>
      <c r="AT42" s="1" t="str">
        <f>IF(AND(AND(AND(AT$4&gt;='2025'!$L42,AT$4&lt;='2025'!$M42), AT$4&lt;&gt;DATE(2025,7,4)), (SWITCH(weekday(AT$4), 1, 0, 2, if(ISBLANK('2025'!$P42), 0, 1), 3, if(ISBLANK('2025'!$Q42), 0, 1), 4, if(ISBLANK('2025'!$R42), 0, 1), 5, if(ISBLANK('2025'!$S42), 0, 1), 6, if(ISBLANK('2025'!$T42), 0, 1), 7, 0))), 1, "")</f>
        <v/>
      </c>
      <c r="AU42" s="1" t="str">
        <f>IF(AND(AND(AND(AU$4&gt;='2025'!$L42,AU$4&lt;='2025'!$M42), AU$4&lt;&gt;DATE(2025,7,4)), (SWITCH(weekday(AU$4), 1, 0, 2, if(ISBLANK('2025'!$P42), 0, 1), 3, if(ISBLANK('2025'!$Q42), 0, 1), 4, if(ISBLANK('2025'!$R42), 0, 1), 5, if(ISBLANK('2025'!$S42), 0, 1), 6, if(ISBLANK('2025'!$T42), 0, 1), 7, 0))), 1, "")</f>
        <v/>
      </c>
      <c r="AV42" s="1" t="str">
        <f>IF(AND(AND(AND(AV$4&gt;='2025'!$L42,AV$4&lt;='2025'!$M42), AV$4&lt;&gt;DATE(2025,7,4)), (SWITCH(weekday(AV$4), 1, 0, 2, if(ISBLANK('2025'!$P42), 0, 1), 3, if(ISBLANK('2025'!$Q42), 0, 1), 4, if(ISBLANK('2025'!$R42), 0, 1), 5, if(ISBLANK('2025'!$S42), 0, 1), 6, if(ISBLANK('2025'!$T42), 0, 1), 7, 0))), 1, "")</f>
        <v/>
      </c>
      <c r="AW42" s="1" t="str">
        <f>IF(AND(AND(AND(AW$4&gt;='2025'!$L42,AW$4&lt;='2025'!$M42), AW$4&lt;&gt;DATE(2025,7,4)), (SWITCH(weekday(AW$4), 1, 0, 2, if(ISBLANK('2025'!$P42), 0, 1), 3, if(ISBLANK('2025'!$Q42), 0, 1), 4, if(ISBLANK('2025'!$R42), 0, 1), 5, if(ISBLANK('2025'!$S42), 0, 1), 6, if(ISBLANK('2025'!$T42), 0, 1), 7, 0))), 1, "")</f>
        <v/>
      </c>
      <c r="AX42" s="1" t="str">
        <f>IF(AND(AND(AND(AX$4&gt;='2025'!$L42,AX$4&lt;='2025'!$M42), AX$4&lt;&gt;DATE(2025,7,4)), (SWITCH(weekday(AX$4), 1, 0, 2, if(ISBLANK('2025'!$P42), 0, 1), 3, if(ISBLANK('2025'!$Q42), 0, 1), 4, if(ISBLANK('2025'!$R42), 0, 1), 5, if(ISBLANK('2025'!$S42), 0, 1), 6, if(ISBLANK('2025'!$T42), 0, 1), 7, 0))), 1, "")</f>
        <v/>
      </c>
      <c r="AY42" s="1" t="str">
        <f>IF(AND(AND(AND(AY$4&gt;='2025'!$L42,AY$4&lt;='2025'!$M42), AY$4&lt;&gt;DATE(2025,7,4)), (SWITCH(weekday(AY$4), 1, 0, 2, if(ISBLANK('2025'!$P42), 0, 1), 3, if(ISBLANK('2025'!$Q42), 0, 1), 4, if(ISBLANK('2025'!$R42), 0, 1), 5, if(ISBLANK('2025'!$S42), 0, 1), 6, if(ISBLANK('2025'!$T42), 0, 1), 7, 0))), 1, "")</f>
        <v/>
      </c>
      <c r="AZ42" s="1" t="str">
        <f>IF(AND(AND(AND(AZ$4&gt;='2025'!$L42,AZ$4&lt;='2025'!$M42), AZ$4&lt;&gt;DATE(2025,7,4)), (SWITCH(weekday(AZ$4), 1, 0, 2, if(ISBLANK('2025'!$P42), 0, 1), 3, if(ISBLANK('2025'!$Q42), 0, 1), 4, if(ISBLANK('2025'!$R42), 0, 1), 5, if(ISBLANK('2025'!$S42), 0, 1), 6, if(ISBLANK('2025'!$T42), 0, 1), 7, 0))), 1, "")</f>
        <v/>
      </c>
      <c r="BA42" s="1" t="str">
        <f>IF(AND(AND(AND(BA$4&gt;='2025'!$L42,BA$4&lt;='2025'!$M42), BA$4&lt;&gt;DATE(2025,7,4)), (SWITCH(weekday(BA$4), 1, 0, 2, if(ISBLANK('2025'!$P42), 0, 1), 3, if(ISBLANK('2025'!$Q42), 0, 1), 4, if(ISBLANK('2025'!$R42), 0, 1), 5, if(ISBLANK('2025'!$S42), 0, 1), 6, if(ISBLANK('2025'!$T42), 0, 1), 7, 0))), 1, "")</f>
        <v/>
      </c>
      <c r="BB42" s="1" t="str">
        <f>IF(AND(AND(AND(BB$4&gt;='2025'!$L42,BB$4&lt;='2025'!$M42), BB$4&lt;&gt;DATE(2025,7,4)), (SWITCH(weekday(BB$4), 1, 0, 2, if(ISBLANK('2025'!$P42), 0, 1), 3, if(ISBLANK('2025'!$Q42), 0, 1), 4, if(ISBLANK('2025'!$R42), 0, 1), 5, if(ISBLANK('2025'!$S42), 0, 1), 6, if(ISBLANK('2025'!$T42), 0, 1), 7, 0))), 1, "")</f>
        <v/>
      </c>
      <c r="BC42" s="1" t="str">
        <f>IF(AND(AND(AND(BC$4&gt;='2025'!$L42,BC$4&lt;='2025'!$M42), BC$4&lt;&gt;DATE(2025,7,4)), (SWITCH(weekday(BC$4), 1, 0, 2, if(ISBLANK('2025'!$P42), 0, 1), 3, if(ISBLANK('2025'!$Q42), 0, 1), 4, if(ISBLANK('2025'!$R42), 0, 1), 5, if(ISBLANK('2025'!$S42), 0, 1), 6, if(ISBLANK('2025'!$T42), 0, 1), 7, 0))), 1, "")</f>
        <v/>
      </c>
      <c r="BD42" s="1" t="str">
        <f>IF(AND(AND(AND(BD$4&gt;='2025'!$L42,BD$4&lt;='2025'!$M42), BD$4&lt;&gt;DATE(2025,7,4)), (SWITCH(weekday(BD$4), 1, 0, 2, if(ISBLANK('2025'!$P42), 0, 1), 3, if(ISBLANK('2025'!$Q42), 0, 1), 4, if(ISBLANK('2025'!$R42), 0, 1), 5, if(ISBLANK('2025'!$S42), 0, 1), 6, if(ISBLANK('2025'!$T42), 0, 1), 7, 0))), 1, "")</f>
        <v/>
      </c>
      <c r="BE42" s="1" t="str">
        <f>IF(AND(AND(AND(BE$4&gt;='2025'!$L42,BE$4&lt;='2025'!$M42), BE$4&lt;&gt;DATE(2025,7,4)), (SWITCH(weekday(BE$4), 1, 0, 2, if(ISBLANK('2025'!$P42), 0, 1), 3, if(ISBLANK('2025'!$Q42), 0, 1), 4, if(ISBLANK('2025'!$R42), 0, 1), 5, if(ISBLANK('2025'!$S42), 0, 1), 6, if(ISBLANK('2025'!$T42), 0, 1), 7, 0))), 1, "")</f>
        <v/>
      </c>
      <c r="BF42" s="1" t="str">
        <f>IF(AND(AND(AND(BF$4&gt;='2025'!$L42,BF$4&lt;='2025'!$M42), BF$4&lt;&gt;DATE(2025,7,4)), (SWITCH(weekday(BF$4), 1, 0, 2, if(ISBLANK('2025'!$P42), 0, 1), 3, if(ISBLANK('2025'!$Q42), 0, 1), 4, if(ISBLANK('2025'!$R42), 0, 1), 5, if(ISBLANK('2025'!$S42), 0, 1), 6, if(ISBLANK('2025'!$T42), 0, 1), 7, 0))), 1, "")</f>
        <v/>
      </c>
      <c r="BG42" s="1"/>
      <c r="BH42" s="1"/>
      <c r="BI42" s="1"/>
      <c r="BJ42" s="1"/>
      <c r="BK42" s="1"/>
      <c r="BL42" s="1"/>
    </row>
    <row r="43">
      <c r="A43" s="1">
        <f t="shared" si="3"/>
        <v>43</v>
      </c>
      <c r="B43" s="1" t="str">
        <f>'2025'!D43</f>
        <v>Leung, Lana</v>
      </c>
      <c r="C43" s="1" t="str">
        <f>'2025'!H43</f>
        <v>TOD</v>
      </c>
      <c r="D43" s="1" t="str">
        <f>IF(AND(AND(AND(D$4&gt;='2025'!$L43,D$4&lt;='2025'!$M43), D$4&lt;&gt;DATE(2025,7,4)), (SWITCH(weekday(D$4), 1, 0, 2, if(ISBLANK('2025'!$P43), 0, 1), 3, if(ISBLANK('2025'!$Q43), 0, 1), 4, if(ISBLANK('2025'!$R43), 0, 1), 5, if(ISBLANK('2025'!$S43), 0, 1), 6, if(ISBLANK('2025'!$T43), 0, 1), 7, 0))), 1, "")</f>
        <v/>
      </c>
      <c r="E43" s="1" t="str">
        <f>IF(AND(AND(AND(E$4&gt;='2025'!$L43,E$4&lt;='2025'!$M43), E$4&lt;&gt;DATE(2025,7,4)), (SWITCH(weekday(E$4), 1, 0, 2, if(ISBLANK('2025'!$P43), 0, 1), 3, if(ISBLANK('2025'!$Q43), 0, 1), 4, if(ISBLANK('2025'!$R43), 0, 1), 5, if(ISBLANK('2025'!$S43), 0, 1), 6, if(ISBLANK('2025'!$T43), 0, 1), 7, 0))), 1, "")</f>
        <v/>
      </c>
      <c r="F43" s="1" t="str">
        <f>IF(AND(AND(AND(F$4&gt;='2025'!$L43,F$4&lt;='2025'!$M43), F$4&lt;&gt;DATE(2025,7,4)), (SWITCH(weekday(F$4), 1, 0, 2, if(ISBLANK('2025'!$P43), 0, 1), 3, if(ISBLANK('2025'!$Q43), 0, 1), 4, if(ISBLANK('2025'!$R43), 0, 1), 5, if(ISBLANK('2025'!$S43), 0, 1), 6, if(ISBLANK('2025'!$T43), 0, 1), 7, 0))), 1, "")</f>
        <v/>
      </c>
      <c r="G43" s="1" t="str">
        <f>IF(AND(AND(AND(G$4&gt;='2025'!$L43,G$4&lt;='2025'!$M43), G$4&lt;&gt;DATE(2025,7,4)), (SWITCH(weekday(G$4), 1, 0, 2, if(ISBLANK('2025'!$P43), 0, 1), 3, if(ISBLANK('2025'!$Q43), 0, 1), 4, if(ISBLANK('2025'!$R43), 0, 1), 5, if(ISBLANK('2025'!$S43), 0, 1), 6, if(ISBLANK('2025'!$T43), 0, 1), 7, 0))), 1, "")</f>
        <v/>
      </c>
      <c r="H43" s="1" t="str">
        <f>IF(AND(AND(AND(H$4&gt;='2025'!$L43,H$4&lt;='2025'!$M43), H$4&lt;&gt;DATE(2025,7,4)), (SWITCH(weekday(H$4), 1, 0, 2, if(ISBLANK('2025'!$P43), 0, 1), 3, if(ISBLANK('2025'!$Q43), 0, 1), 4, if(ISBLANK('2025'!$R43), 0, 1), 5, if(ISBLANK('2025'!$S43), 0, 1), 6, if(ISBLANK('2025'!$T43), 0, 1), 7, 0))), 1, "")</f>
        <v/>
      </c>
      <c r="I43" s="1" t="str">
        <f>IF(AND(AND(AND(I$4&gt;='2025'!$L43,I$4&lt;='2025'!$M43), I$4&lt;&gt;DATE(2025,7,4)), (SWITCH(weekday(I$4), 1, 0, 2, if(ISBLANK('2025'!$P43), 0, 1), 3, if(ISBLANK('2025'!$Q43), 0, 1), 4, if(ISBLANK('2025'!$R43), 0, 1), 5, if(ISBLANK('2025'!$S43), 0, 1), 6, if(ISBLANK('2025'!$T43), 0, 1), 7, 0))), 1, "")</f>
        <v/>
      </c>
      <c r="J43" s="1" t="str">
        <f>IF(AND(AND(AND(J$4&gt;='2025'!$L43,J$4&lt;='2025'!$M43), J$4&lt;&gt;DATE(2025,7,4)), (SWITCH(weekday(J$4), 1, 0, 2, if(ISBLANK('2025'!$P43), 0, 1), 3, if(ISBLANK('2025'!$Q43), 0, 1), 4, if(ISBLANK('2025'!$R43), 0, 1), 5, if(ISBLANK('2025'!$S43), 0, 1), 6, if(ISBLANK('2025'!$T43), 0, 1), 7, 0))), 1, "")</f>
        <v/>
      </c>
      <c r="K43" s="1" t="str">
        <f>IF(AND(AND(AND(K$4&gt;='2025'!$L43,K$4&lt;='2025'!$M43), K$4&lt;&gt;DATE(2025,7,4)), (SWITCH(weekday(K$4), 1, 0, 2, if(ISBLANK('2025'!$P43), 0, 1), 3, if(ISBLANK('2025'!$Q43), 0, 1), 4, if(ISBLANK('2025'!$R43), 0, 1), 5, if(ISBLANK('2025'!$S43), 0, 1), 6, if(ISBLANK('2025'!$T43), 0, 1), 7, 0))), 1, "")</f>
        <v/>
      </c>
      <c r="L43" s="1" t="str">
        <f>IF(AND(AND(AND(L$4&gt;='2025'!$L43,L$4&lt;='2025'!$M43), L$4&lt;&gt;DATE(2025,7,4)), (SWITCH(weekday(L$4), 1, 0, 2, if(ISBLANK('2025'!$P43), 0, 1), 3, if(ISBLANK('2025'!$Q43), 0, 1), 4, if(ISBLANK('2025'!$R43), 0, 1), 5, if(ISBLANK('2025'!$S43), 0, 1), 6, if(ISBLANK('2025'!$T43), 0, 1), 7, 0))), 1, "")</f>
        <v/>
      </c>
      <c r="M43" s="1" t="str">
        <f>IF(AND(AND(AND(M$4&gt;='2025'!$L43,M$4&lt;='2025'!$M43), M$4&lt;&gt;DATE(2025,7,4)), (SWITCH(weekday(M$4), 1, 0, 2, if(ISBLANK('2025'!$P43), 0, 1), 3, if(ISBLANK('2025'!$Q43), 0, 1), 4, if(ISBLANK('2025'!$R43), 0, 1), 5, if(ISBLANK('2025'!$S43), 0, 1), 6, if(ISBLANK('2025'!$T43), 0, 1), 7, 0))), 1, "")</f>
        <v/>
      </c>
      <c r="N43" s="1" t="str">
        <f>IF(AND(AND(AND(N$4&gt;='2025'!$L43,N$4&lt;='2025'!$M43), N$4&lt;&gt;DATE(2025,7,4)), (SWITCH(weekday(N$4), 1, 0, 2, if(ISBLANK('2025'!$P43), 0, 1), 3, if(ISBLANK('2025'!$Q43), 0, 1), 4, if(ISBLANK('2025'!$R43), 0, 1), 5, if(ISBLANK('2025'!$S43), 0, 1), 6, if(ISBLANK('2025'!$T43), 0, 1), 7, 0))), 1, "")</f>
        <v/>
      </c>
      <c r="O43" s="1" t="str">
        <f>IF(AND(AND(AND(O$4&gt;='2025'!$L43,O$4&lt;='2025'!$M43), O$4&lt;&gt;DATE(2025,7,4)), (SWITCH(weekday(O$4), 1, 0, 2, if(ISBLANK('2025'!$P43), 0, 1), 3, if(ISBLANK('2025'!$Q43), 0, 1), 4, if(ISBLANK('2025'!$R43), 0, 1), 5, if(ISBLANK('2025'!$S43), 0, 1), 6, if(ISBLANK('2025'!$T43), 0, 1), 7, 0))), 1, "")</f>
        <v/>
      </c>
      <c r="P43" s="1" t="str">
        <f>IF(AND(AND(AND(P$4&gt;='2025'!$L43,P$4&lt;='2025'!$M43), P$4&lt;&gt;DATE(2025,7,4)), (SWITCH(weekday(P$4), 1, 0, 2, if(ISBLANK('2025'!$P43), 0, 1), 3, if(ISBLANK('2025'!$Q43), 0, 1), 4, if(ISBLANK('2025'!$R43), 0, 1), 5, if(ISBLANK('2025'!$S43), 0, 1), 6, if(ISBLANK('2025'!$T43), 0, 1), 7, 0))), 1, "")</f>
        <v/>
      </c>
      <c r="Q43" s="1" t="str">
        <f>IF(AND(AND(AND(Q$4&gt;='2025'!$L43,Q$4&lt;='2025'!$M43), Q$4&lt;&gt;DATE(2025,7,4)), (SWITCH(weekday(Q$4), 1, 0, 2, if(ISBLANK('2025'!$P43), 0, 1), 3, if(ISBLANK('2025'!$Q43), 0, 1), 4, if(ISBLANK('2025'!$R43), 0, 1), 5, if(ISBLANK('2025'!$S43), 0, 1), 6, if(ISBLANK('2025'!$T43), 0, 1), 7, 0))), 1, "")</f>
        <v/>
      </c>
      <c r="R43" s="1" t="str">
        <f>IF(AND(AND(AND(R$4&gt;='2025'!$L43,R$4&lt;='2025'!$M43), R$4&lt;&gt;DATE(2025,7,4)), (SWITCH(weekday(R$4), 1, 0, 2, if(ISBLANK('2025'!$P43), 0, 1), 3, if(ISBLANK('2025'!$Q43), 0, 1), 4, if(ISBLANK('2025'!$R43), 0, 1), 5, if(ISBLANK('2025'!$S43), 0, 1), 6, if(ISBLANK('2025'!$T43), 0, 1), 7, 0))), 1, "")</f>
        <v/>
      </c>
      <c r="S43" s="1" t="str">
        <f>IF(AND(AND(AND(S$4&gt;='2025'!$L43,S$4&lt;='2025'!$M43), S$4&lt;&gt;DATE(2025,7,4)), (SWITCH(weekday(S$4), 1, 0, 2, if(ISBLANK('2025'!$P43), 0, 1), 3, if(ISBLANK('2025'!$Q43), 0, 1), 4, if(ISBLANK('2025'!$R43), 0, 1), 5, if(ISBLANK('2025'!$S43), 0, 1), 6, if(ISBLANK('2025'!$T43), 0, 1), 7, 0))), 1, "")</f>
        <v/>
      </c>
      <c r="T43" s="1" t="str">
        <f>IF(AND(AND(AND(T$4&gt;='2025'!$L43,T$4&lt;='2025'!$M43), T$4&lt;&gt;DATE(2025,7,4)), (SWITCH(weekday(T$4), 1, 0, 2, if(ISBLANK('2025'!$P43), 0, 1), 3, if(ISBLANK('2025'!$Q43), 0, 1), 4, if(ISBLANK('2025'!$R43), 0, 1), 5, if(ISBLANK('2025'!$S43), 0, 1), 6, if(ISBLANK('2025'!$T43), 0, 1), 7, 0))), 1, "")</f>
        <v/>
      </c>
      <c r="U43" s="1" t="str">
        <f>IF(AND(AND(AND(U$4&gt;='2025'!$L43,U$4&lt;='2025'!$M43), U$4&lt;&gt;DATE(2025,7,4)), (SWITCH(weekday(U$4), 1, 0, 2, if(ISBLANK('2025'!$P43), 0, 1), 3, if(ISBLANK('2025'!$Q43), 0, 1), 4, if(ISBLANK('2025'!$R43), 0, 1), 5, if(ISBLANK('2025'!$S43), 0, 1), 6, if(ISBLANK('2025'!$T43), 0, 1), 7, 0))), 1, "")</f>
        <v/>
      </c>
      <c r="V43" s="1" t="str">
        <f>IF(AND(AND(AND(V$4&gt;='2025'!$L43,V$4&lt;='2025'!$M43), V$4&lt;&gt;DATE(2025,7,4)), (SWITCH(weekday(V$4), 1, 0, 2, if(ISBLANK('2025'!$P43), 0, 1), 3, if(ISBLANK('2025'!$Q43), 0, 1), 4, if(ISBLANK('2025'!$R43), 0, 1), 5, if(ISBLANK('2025'!$S43), 0, 1), 6, if(ISBLANK('2025'!$T43), 0, 1), 7, 0))), 1, "")</f>
        <v/>
      </c>
      <c r="W43" s="1" t="str">
        <f>IF(AND(AND(AND(W$4&gt;='2025'!$L43,W$4&lt;='2025'!$M43), W$4&lt;&gt;DATE(2025,7,4)), (SWITCH(weekday(W$4), 1, 0, 2, if(ISBLANK('2025'!$P43), 0, 1), 3, if(ISBLANK('2025'!$Q43), 0, 1), 4, if(ISBLANK('2025'!$R43), 0, 1), 5, if(ISBLANK('2025'!$S43), 0, 1), 6, if(ISBLANK('2025'!$T43), 0, 1), 7, 0))), 1, "")</f>
        <v/>
      </c>
      <c r="X43" s="1" t="str">
        <f>IF(AND(AND(AND(X$4&gt;='2025'!$L43,X$4&lt;='2025'!$M43), X$4&lt;&gt;DATE(2025,7,4)), (SWITCH(weekday(X$4), 1, 0, 2, if(ISBLANK('2025'!$P43), 0, 1), 3, if(ISBLANK('2025'!$Q43), 0, 1), 4, if(ISBLANK('2025'!$R43), 0, 1), 5, if(ISBLANK('2025'!$S43), 0, 1), 6, if(ISBLANK('2025'!$T43), 0, 1), 7, 0))), 1, "")</f>
        <v/>
      </c>
      <c r="Y43" s="1" t="str">
        <f>IF(AND(AND(AND(Y$4&gt;='2025'!$L43,Y$4&lt;='2025'!$M43), Y$4&lt;&gt;DATE(2025,7,4)), (SWITCH(weekday(Y$4), 1, 0, 2, if(ISBLANK('2025'!$P43), 0, 1), 3, if(ISBLANK('2025'!$Q43), 0, 1), 4, if(ISBLANK('2025'!$R43), 0, 1), 5, if(ISBLANK('2025'!$S43), 0, 1), 6, if(ISBLANK('2025'!$T43), 0, 1), 7, 0))), 1, "")</f>
        <v/>
      </c>
      <c r="Z43" s="1" t="str">
        <f>IF(AND(AND(AND(Z$4&gt;='2025'!$L43,Z$4&lt;='2025'!$M43), Z$4&lt;&gt;DATE(2025,7,4)), (SWITCH(weekday(Z$4), 1, 0, 2, if(ISBLANK('2025'!$P43), 0, 1), 3, if(ISBLANK('2025'!$Q43), 0, 1), 4, if(ISBLANK('2025'!$R43), 0, 1), 5, if(ISBLANK('2025'!$S43), 0, 1), 6, if(ISBLANK('2025'!$T43), 0, 1), 7, 0))), 1, "")</f>
        <v/>
      </c>
      <c r="AA43" s="1" t="str">
        <f>IF(AND(AND(AND(AA$4&gt;='2025'!$L43,AA$4&lt;='2025'!$M43), AA$4&lt;&gt;DATE(2025,7,4)), (SWITCH(weekday(AA$4), 1, 0, 2, if(ISBLANK('2025'!$P43), 0, 1), 3, if(ISBLANK('2025'!$Q43), 0, 1), 4, if(ISBLANK('2025'!$R43), 0, 1), 5, if(ISBLANK('2025'!$S43), 0, 1), 6, if(ISBLANK('2025'!$T43), 0, 1), 7, 0))), 1, "")</f>
        <v/>
      </c>
      <c r="AB43" s="1" t="str">
        <f>IF(AND(AND(AND(AB$4&gt;='2025'!$L43,AB$4&lt;='2025'!$M43), AB$4&lt;&gt;DATE(2025,7,4)), (SWITCH(weekday(AB$4), 1, 0, 2, if(ISBLANK('2025'!$P43), 0, 1), 3, if(ISBLANK('2025'!$Q43), 0, 1), 4, if(ISBLANK('2025'!$R43), 0, 1), 5, if(ISBLANK('2025'!$S43), 0, 1), 6, if(ISBLANK('2025'!$T43), 0, 1), 7, 0))), 1, "")</f>
        <v/>
      </c>
      <c r="AC43" s="1" t="str">
        <f>IF(AND(AND(AND(AC$4&gt;='2025'!$L43,AC$4&lt;='2025'!$M43), AC$4&lt;&gt;DATE(2025,7,4)), (SWITCH(weekday(AC$4), 1, 0, 2, if(ISBLANK('2025'!$P43), 0, 1), 3, if(ISBLANK('2025'!$Q43), 0, 1), 4, if(ISBLANK('2025'!$R43), 0, 1), 5, if(ISBLANK('2025'!$S43), 0, 1), 6, if(ISBLANK('2025'!$T43), 0, 1), 7, 0))), 1, "")</f>
        <v/>
      </c>
      <c r="AD43" s="1" t="str">
        <f>IF(AND(AND(AND(AD$4&gt;='2025'!$L43,AD$4&lt;='2025'!$M43), AD$4&lt;&gt;DATE(2025,7,4)), (SWITCH(weekday(AD$4), 1, 0, 2, if(ISBLANK('2025'!$P43), 0, 1), 3, if(ISBLANK('2025'!$Q43), 0, 1), 4, if(ISBLANK('2025'!$R43), 0, 1), 5, if(ISBLANK('2025'!$S43), 0, 1), 6, if(ISBLANK('2025'!$T43), 0, 1), 7, 0))), 1, "")</f>
        <v/>
      </c>
      <c r="AE43" s="1" t="str">
        <f>IF(AND(AND(AND(AE$4&gt;='2025'!$L43,AE$4&lt;='2025'!$M43), AE$4&lt;&gt;DATE(2025,7,4)), (SWITCH(weekday(AE$4), 1, 0, 2, if(ISBLANK('2025'!$P43), 0, 1), 3, if(ISBLANK('2025'!$Q43), 0, 1), 4, if(ISBLANK('2025'!$R43), 0, 1), 5, if(ISBLANK('2025'!$S43), 0, 1), 6, if(ISBLANK('2025'!$T43), 0, 1), 7, 0))), 1, "")</f>
        <v/>
      </c>
      <c r="AF43" s="1" t="str">
        <f>IF(AND(AND(AND(AF$4&gt;='2025'!$L43,AF$4&lt;='2025'!$M43), AF$4&lt;&gt;DATE(2025,7,4)), (SWITCH(weekday(AF$4), 1, 0, 2, if(ISBLANK('2025'!$P43), 0, 1), 3, if(ISBLANK('2025'!$Q43), 0, 1), 4, if(ISBLANK('2025'!$R43), 0, 1), 5, if(ISBLANK('2025'!$S43), 0, 1), 6, if(ISBLANK('2025'!$T43), 0, 1), 7, 0))), 1, "")</f>
        <v/>
      </c>
      <c r="AG43" s="1" t="str">
        <f>IF(AND(AND(AND(AG$4&gt;='2025'!$L43,AG$4&lt;='2025'!$M43), AG$4&lt;&gt;DATE(2025,7,4)), (SWITCH(weekday(AG$4), 1, 0, 2, if(ISBLANK('2025'!$P43), 0, 1), 3, if(ISBLANK('2025'!$Q43), 0, 1), 4, if(ISBLANK('2025'!$R43), 0, 1), 5, if(ISBLANK('2025'!$S43), 0, 1), 6, if(ISBLANK('2025'!$T43), 0, 1), 7, 0))), 1, "")</f>
        <v/>
      </c>
      <c r="AH43" s="1" t="str">
        <f>IF(AND(AND(AND(AH$4&gt;='2025'!$L43,AH$4&lt;='2025'!$M43), AH$4&lt;&gt;DATE(2025,7,4)), (SWITCH(weekday(AH$4), 1, 0, 2, if(ISBLANK('2025'!$P43), 0, 1), 3, if(ISBLANK('2025'!$Q43), 0, 1), 4, if(ISBLANK('2025'!$R43), 0, 1), 5, if(ISBLANK('2025'!$S43), 0, 1), 6, if(ISBLANK('2025'!$T43), 0, 1), 7, 0))), 1, "")</f>
        <v/>
      </c>
      <c r="AI43" s="1" t="str">
        <f>IF(AND(AND(AND(AI$4&gt;='2025'!$L43,AI$4&lt;='2025'!$M43), AI$4&lt;&gt;DATE(2025,7,4)), (SWITCH(weekday(AI$4), 1, 0, 2, if(ISBLANK('2025'!$P43), 0, 1), 3, if(ISBLANK('2025'!$Q43), 0, 1), 4, if(ISBLANK('2025'!$R43), 0, 1), 5, if(ISBLANK('2025'!$S43), 0, 1), 6, if(ISBLANK('2025'!$T43), 0, 1), 7, 0))), 1, "")</f>
        <v/>
      </c>
      <c r="AJ43" s="1" t="str">
        <f>IF(AND(AND(AND(AJ$4&gt;='2025'!$L43,AJ$4&lt;='2025'!$M43), AJ$4&lt;&gt;DATE(2025,7,4)), (SWITCH(weekday(AJ$4), 1, 0, 2, if(ISBLANK('2025'!$P43), 0, 1), 3, if(ISBLANK('2025'!$Q43), 0, 1), 4, if(ISBLANK('2025'!$R43), 0, 1), 5, if(ISBLANK('2025'!$S43), 0, 1), 6, if(ISBLANK('2025'!$T43), 0, 1), 7, 0))), 1, "")</f>
        <v/>
      </c>
      <c r="AK43" s="1" t="str">
        <f>IF(AND(AND(AND(AK$4&gt;='2025'!$L43,AK$4&lt;='2025'!$M43), AK$4&lt;&gt;DATE(2025,7,4)), (SWITCH(weekday(AK$4), 1, 0, 2, if(ISBLANK('2025'!$P43), 0, 1), 3, if(ISBLANK('2025'!$Q43), 0, 1), 4, if(ISBLANK('2025'!$R43), 0, 1), 5, if(ISBLANK('2025'!$S43), 0, 1), 6, if(ISBLANK('2025'!$T43), 0, 1), 7, 0))), 1, "")</f>
        <v/>
      </c>
      <c r="AL43" s="1" t="str">
        <f>IF(AND(AND(AND(AL$4&gt;='2025'!$L43,AL$4&lt;='2025'!$M43), AL$4&lt;&gt;DATE(2025,7,4)), (SWITCH(weekday(AL$4), 1, 0, 2, if(ISBLANK('2025'!$P43), 0, 1), 3, if(ISBLANK('2025'!$Q43), 0, 1), 4, if(ISBLANK('2025'!$R43), 0, 1), 5, if(ISBLANK('2025'!$S43), 0, 1), 6, if(ISBLANK('2025'!$T43), 0, 1), 7, 0))), 1, "")</f>
        <v/>
      </c>
      <c r="AM43" s="1" t="str">
        <f>IF(AND(AND(AND(AM$4&gt;='2025'!$L43,AM$4&lt;='2025'!$M43), AM$4&lt;&gt;DATE(2025,7,4)), (SWITCH(weekday(AM$4), 1, 0, 2, if(ISBLANK('2025'!$P43), 0, 1), 3, if(ISBLANK('2025'!$Q43), 0, 1), 4, if(ISBLANK('2025'!$R43), 0, 1), 5, if(ISBLANK('2025'!$S43), 0, 1), 6, if(ISBLANK('2025'!$T43), 0, 1), 7, 0))), 1, "")</f>
        <v/>
      </c>
      <c r="AN43" s="1" t="str">
        <f>IF(AND(AND(AND(AN$4&gt;='2025'!$L43,AN$4&lt;='2025'!$M43), AN$4&lt;&gt;DATE(2025,7,4)), (SWITCH(weekday(AN$4), 1, 0, 2, if(ISBLANK('2025'!$P43), 0, 1), 3, if(ISBLANK('2025'!$Q43), 0, 1), 4, if(ISBLANK('2025'!$R43), 0, 1), 5, if(ISBLANK('2025'!$S43), 0, 1), 6, if(ISBLANK('2025'!$T43), 0, 1), 7, 0))), 1, "")</f>
        <v/>
      </c>
      <c r="AO43" s="1" t="str">
        <f>IF(AND(AND(AND(AO$4&gt;='2025'!$L43,AO$4&lt;='2025'!$M43), AO$4&lt;&gt;DATE(2025,7,4)), (SWITCH(weekday(AO$4), 1, 0, 2, if(ISBLANK('2025'!$P43), 0, 1), 3, if(ISBLANK('2025'!$Q43), 0, 1), 4, if(ISBLANK('2025'!$R43), 0, 1), 5, if(ISBLANK('2025'!$S43), 0, 1), 6, if(ISBLANK('2025'!$T43), 0, 1), 7, 0))), 1, "")</f>
        <v/>
      </c>
      <c r="AP43" s="1" t="str">
        <f>IF(AND(AND(AND(AP$4&gt;='2025'!$L43,AP$4&lt;='2025'!$M43), AP$4&lt;&gt;DATE(2025,7,4)), (SWITCH(weekday(AP$4), 1, 0, 2, if(ISBLANK('2025'!$P43), 0, 1), 3, if(ISBLANK('2025'!$Q43), 0, 1), 4, if(ISBLANK('2025'!$R43), 0, 1), 5, if(ISBLANK('2025'!$S43), 0, 1), 6, if(ISBLANK('2025'!$T43), 0, 1), 7, 0))), 1, "")</f>
        <v/>
      </c>
      <c r="AQ43" s="1" t="str">
        <f>IF(AND(AND(AND(AQ$4&gt;='2025'!$L43,AQ$4&lt;='2025'!$M43), AQ$4&lt;&gt;DATE(2025,7,4)), (SWITCH(weekday(AQ$4), 1, 0, 2, if(ISBLANK('2025'!$P43), 0, 1), 3, if(ISBLANK('2025'!$Q43), 0, 1), 4, if(ISBLANK('2025'!$R43), 0, 1), 5, if(ISBLANK('2025'!$S43), 0, 1), 6, if(ISBLANK('2025'!$T43), 0, 1), 7, 0))), 1, "")</f>
        <v/>
      </c>
      <c r="AR43" s="1" t="str">
        <f>IF(AND(AND(AND(AR$4&gt;='2025'!$L43,AR$4&lt;='2025'!$M43), AR$4&lt;&gt;DATE(2025,7,4)), (SWITCH(weekday(AR$4), 1, 0, 2, if(ISBLANK('2025'!$P43), 0, 1), 3, if(ISBLANK('2025'!$Q43), 0, 1), 4, if(ISBLANK('2025'!$R43), 0, 1), 5, if(ISBLANK('2025'!$S43), 0, 1), 6, if(ISBLANK('2025'!$T43), 0, 1), 7, 0))), 1, "")</f>
        <v/>
      </c>
      <c r="AS43" s="1" t="str">
        <f>IF(AND(AND(AND(AS$4&gt;='2025'!$L43,AS$4&lt;='2025'!$M43), AS$4&lt;&gt;DATE(2025,7,4)), (SWITCH(weekday(AS$4), 1, 0, 2, if(ISBLANK('2025'!$P43), 0, 1), 3, if(ISBLANK('2025'!$Q43), 0, 1), 4, if(ISBLANK('2025'!$R43), 0, 1), 5, if(ISBLANK('2025'!$S43), 0, 1), 6, if(ISBLANK('2025'!$T43), 0, 1), 7, 0))), 1, "")</f>
        <v/>
      </c>
      <c r="AT43" s="1" t="str">
        <f>IF(AND(AND(AND(AT$4&gt;='2025'!$L43,AT$4&lt;='2025'!$M43), AT$4&lt;&gt;DATE(2025,7,4)), (SWITCH(weekday(AT$4), 1, 0, 2, if(ISBLANK('2025'!$P43), 0, 1), 3, if(ISBLANK('2025'!$Q43), 0, 1), 4, if(ISBLANK('2025'!$R43), 0, 1), 5, if(ISBLANK('2025'!$S43), 0, 1), 6, if(ISBLANK('2025'!$T43), 0, 1), 7, 0))), 1, "")</f>
        <v/>
      </c>
      <c r="AU43" s="1" t="str">
        <f>IF(AND(AND(AND(AU$4&gt;='2025'!$L43,AU$4&lt;='2025'!$M43), AU$4&lt;&gt;DATE(2025,7,4)), (SWITCH(weekday(AU$4), 1, 0, 2, if(ISBLANK('2025'!$P43), 0, 1), 3, if(ISBLANK('2025'!$Q43), 0, 1), 4, if(ISBLANK('2025'!$R43), 0, 1), 5, if(ISBLANK('2025'!$S43), 0, 1), 6, if(ISBLANK('2025'!$T43), 0, 1), 7, 0))), 1, "")</f>
        <v/>
      </c>
      <c r="AV43" s="1" t="str">
        <f>IF(AND(AND(AND(AV$4&gt;='2025'!$L43,AV$4&lt;='2025'!$M43), AV$4&lt;&gt;DATE(2025,7,4)), (SWITCH(weekday(AV$4), 1, 0, 2, if(ISBLANK('2025'!$P43), 0, 1), 3, if(ISBLANK('2025'!$Q43), 0, 1), 4, if(ISBLANK('2025'!$R43), 0, 1), 5, if(ISBLANK('2025'!$S43), 0, 1), 6, if(ISBLANK('2025'!$T43), 0, 1), 7, 0))), 1, "")</f>
        <v/>
      </c>
      <c r="AW43" s="1" t="str">
        <f>IF(AND(AND(AND(AW$4&gt;='2025'!$L43,AW$4&lt;='2025'!$M43), AW$4&lt;&gt;DATE(2025,7,4)), (SWITCH(weekday(AW$4), 1, 0, 2, if(ISBLANK('2025'!$P43), 0, 1), 3, if(ISBLANK('2025'!$Q43), 0, 1), 4, if(ISBLANK('2025'!$R43), 0, 1), 5, if(ISBLANK('2025'!$S43), 0, 1), 6, if(ISBLANK('2025'!$T43), 0, 1), 7, 0))), 1, "")</f>
        <v/>
      </c>
      <c r="AX43" s="1" t="str">
        <f>IF(AND(AND(AND(AX$4&gt;='2025'!$L43,AX$4&lt;='2025'!$M43), AX$4&lt;&gt;DATE(2025,7,4)), (SWITCH(weekday(AX$4), 1, 0, 2, if(ISBLANK('2025'!$P43), 0, 1), 3, if(ISBLANK('2025'!$Q43), 0, 1), 4, if(ISBLANK('2025'!$R43), 0, 1), 5, if(ISBLANK('2025'!$S43), 0, 1), 6, if(ISBLANK('2025'!$T43), 0, 1), 7, 0))), 1, "")</f>
        <v/>
      </c>
      <c r="AY43" s="1" t="str">
        <f>IF(AND(AND(AND(AY$4&gt;='2025'!$L43,AY$4&lt;='2025'!$M43), AY$4&lt;&gt;DATE(2025,7,4)), (SWITCH(weekday(AY$4), 1, 0, 2, if(ISBLANK('2025'!$P43), 0, 1), 3, if(ISBLANK('2025'!$Q43), 0, 1), 4, if(ISBLANK('2025'!$R43), 0, 1), 5, if(ISBLANK('2025'!$S43), 0, 1), 6, if(ISBLANK('2025'!$T43), 0, 1), 7, 0))), 1, "")</f>
        <v/>
      </c>
      <c r="AZ43" s="1" t="str">
        <f>IF(AND(AND(AND(AZ$4&gt;='2025'!$L43,AZ$4&lt;='2025'!$M43), AZ$4&lt;&gt;DATE(2025,7,4)), (SWITCH(weekday(AZ$4), 1, 0, 2, if(ISBLANK('2025'!$P43), 0, 1), 3, if(ISBLANK('2025'!$Q43), 0, 1), 4, if(ISBLANK('2025'!$R43), 0, 1), 5, if(ISBLANK('2025'!$S43), 0, 1), 6, if(ISBLANK('2025'!$T43), 0, 1), 7, 0))), 1, "")</f>
        <v/>
      </c>
      <c r="BA43" s="1" t="str">
        <f>IF(AND(AND(AND(BA$4&gt;='2025'!$L43,BA$4&lt;='2025'!$M43), BA$4&lt;&gt;DATE(2025,7,4)), (SWITCH(weekday(BA$4), 1, 0, 2, if(ISBLANK('2025'!$P43), 0, 1), 3, if(ISBLANK('2025'!$Q43), 0, 1), 4, if(ISBLANK('2025'!$R43), 0, 1), 5, if(ISBLANK('2025'!$S43), 0, 1), 6, if(ISBLANK('2025'!$T43), 0, 1), 7, 0))), 1, "")</f>
        <v/>
      </c>
      <c r="BB43" s="1" t="str">
        <f>IF(AND(AND(AND(BB$4&gt;='2025'!$L43,BB$4&lt;='2025'!$M43), BB$4&lt;&gt;DATE(2025,7,4)), (SWITCH(weekday(BB$4), 1, 0, 2, if(ISBLANK('2025'!$P43), 0, 1), 3, if(ISBLANK('2025'!$Q43), 0, 1), 4, if(ISBLANK('2025'!$R43), 0, 1), 5, if(ISBLANK('2025'!$S43), 0, 1), 6, if(ISBLANK('2025'!$T43), 0, 1), 7, 0))), 1, "")</f>
        <v/>
      </c>
      <c r="BC43" s="1" t="str">
        <f>IF(AND(AND(AND(BC$4&gt;='2025'!$L43,BC$4&lt;='2025'!$M43), BC$4&lt;&gt;DATE(2025,7,4)), (SWITCH(weekday(BC$4), 1, 0, 2, if(ISBLANK('2025'!$P43), 0, 1), 3, if(ISBLANK('2025'!$Q43), 0, 1), 4, if(ISBLANK('2025'!$R43), 0, 1), 5, if(ISBLANK('2025'!$S43), 0, 1), 6, if(ISBLANK('2025'!$T43), 0, 1), 7, 0))), 1, "")</f>
        <v/>
      </c>
      <c r="BD43" s="1" t="str">
        <f>IF(AND(AND(AND(BD$4&gt;='2025'!$L43,BD$4&lt;='2025'!$M43), BD$4&lt;&gt;DATE(2025,7,4)), (SWITCH(weekday(BD$4), 1, 0, 2, if(ISBLANK('2025'!$P43), 0, 1), 3, if(ISBLANK('2025'!$Q43), 0, 1), 4, if(ISBLANK('2025'!$R43), 0, 1), 5, if(ISBLANK('2025'!$S43), 0, 1), 6, if(ISBLANK('2025'!$T43), 0, 1), 7, 0))), 1, "")</f>
        <v/>
      </c>
      <c r="BE43" s="1" t="str">
        <f>IF(AND(AND(AND(BE$4&gt;='2025'!$L43,BE$4&lt;='2025'!$M43), BE$4&lt;&gt;DATE(2025,7,4)), (SWITCH(weekday(BE$4), 1, 0, 2, if(ISBLANK('2025'!$P43), 0, 1), 3, if(ISBLANK('2025'!$Q43), 0, 1), 4, if(ISBLANK('2025'!$R43), 0, 1), 5, if(ISBLANK('2025'!$S43), 0, 1), 6, if(ISBLANK('2025'!$T43), 0, 1), 7, 0))), 1, "")</f>
        <v/>
      </c>
      <c r="BF43" s="1" t="str">
        <f>IF(AND(AND(AND(BF$4&gt;='2025'!$L43,BF$4&lt;='2025'!$M43), BF$4&lt;&gt;DATE(2025,7,4)), (SWITCH(weekday(BF$4), 1, 0, 2, if(ISBLANK('2025'!$P43), 0, 1), 3, if(ISBLANK('2025'!$Q43), 0, 1), 4, if(ISBLANK('2025'!$R43), 0, 1), 5, if(ISBLANK('2025'!$S43), 0, 1), 6, if(ISBLANK('2025'!$T43), 0, 1), 7, 0))), 1, "")</f>
        <v/>
      </c>
      <c r="BG43" s="1"/>
      <c r="BH43" s="1"/>
      <c r="BI43" s="1"/>
      <c r="BJ43" s="1"/>
      <c r="BK43" s="1"/>
      <c r="BL43" s="1"/>
    </row>
    <row r="44">
      <c r="A44" s="1">
        <f t="shared" si="3"/>
        <v>44</v>
      </c>
      <c r="B44" s="1" t="str">
        <f>'2025'!D44</f>
        <v>Lee, Avery</v>
      </c>
      <c r="C44" s="1" t="str">
        <f>'2025'!H44</f>
        <v>TOD</v>
      </c>
      <c r="D44" s="1" t="str">
        <f>IF(AND(AND(AND(D$4&gt;='2025'!$L44,D$4&lt;='2025'!$M44), D$4&lt;&gt;DATE(2025,7,4)), (SWITCH(weekday(D$4), 1, 0, 2, if(ISBLANK('2025'!$P44), 0, 1), 3, if(ISBLANK('2025'!$Q44), 0, 1), 4, if(ISBLANK('2025'!$R44), 0, 1), 5, if(ISBLANK('2025'!$S44), 0, 1), 6, if(ISBLANK('2025'!$T44), 0, 1), 7, 0))), 1, "")</f>
        <v/>
      </c>
      <c r="E44" s="1" t="str">
        <f>IF(AND(AND(AND(E$4&gt;='2025'!$L44,E$4&lt;='2025'!$M44), E$4&lt;&gt;DATE(2025,7,4)), (SWITCH(weekday(E$4), 1, 0, 2, if(ISBLANK('2025'!$P44), 0, 1), 3, if(ISBLANK('2025'!$Q44), 0, 1), 4, if(ISBLANK('2025'!$R44), 0, 1), 5, if(ISBLANK('2025'!$S44), 0, 1), 6, if(ISBLANK('2025'!$T44), 0, 1), 7, 0))), 1, "")</f>
        <v/>
      </c>
      <c r="F44" s="1" t="str">
        <f>IF(AND(AND(AND(F$4&gt;='2025'!$L44,F$4&lt;='2025'!$M44), F$4&lt;&gt;DATE(2025,7,4)), (SWITCH(weekday(F$4), 1, 0, 2, if(ISBLANK('2025'!$P44), 0, 1), 3, if(ISBLANK('2025'!$Q44), 0, 1), 4, if(ISBLANK('2025'!$R44), 0, 1), 5, if(ISBLANK('2025'!$S44), 0, 1), 6, if(ISBLANK('2025'!$T44), 0, 1), 7, 0))), 1, "")</f>
        <v/>
      </c>
      <c r="G44" s="1" t="str">
        <f>IF(AND(AND(AND(G$4&gt;='2025'!$L44,G$4&lt;='2025'!$M44), G$4&lt;&gt;DATE(2025,7,4)), (SWITCH(weekday(G$4), 1, 0, 2, if(ISBLANK('2025'!$P44), 0, 1), 3, if(ISBLANK('2025'!$Q44), 0, 1), 4, if(ISBLANK('2025'!$R44), 0, 1), 5, if(ISBLANK('2025'!$S44), 0, 1), 6, if(ISBLANK('2025'!$T44), 0, 1), 7, 0))), 1, "")</f>
        <v/>
      </c>
      <c r="H44" s="1" t="str">
        <f>IF(AND(AND(AND(H$4&gt;='2025'!$L44,H$4&lt;='2025'!$M44), H$4&lt;&gt;DATE(2025,7,4)), (SWITCH(weekday(H$4), 1, 0, 2, if(ISBLANK('2025'!$P44), 0, 1), 3, if(ISBLANK('2025'!$Q44), 0, 1), 4, if(ISBLANK('2025'!$R44), 0, 1), 5, if(ISBLANK('2025'!$S44), 0, 1), 6, if(ISBLANK('2025'!$T44), 0, 1), 7, 0))), 1, "")</f>
        <v/>
      </c>
      <c r="I44" s="1" t="str">
        <f>IF(AND(AND(AND(I$4&gt;='2025'!$L44,I$4&lt;='2025'!$M44), I$4&lt;&gt;DATE(2025,7,4)), (SWITCH(weekday(I$4), 1, 0, 2, if(ISBLANK('2025'!$P44), 0, 1), 3, if(ISBLANK('2025'!$Q44), 0, 1), 4, if(ISBLANK('2025'!$R44), 0, 1), 5, if(ISBLANK('2025'!$S44), 0, 1), 6, if(ISBLANK('2025'!$T44), 0, 1), 7, 0))), 1, "")</f>
        <v/>
      </c>
      <c r="J44" s="1" t="str">
        <f>IF(AND(AND(AND(J$4&gt;='2025'!$L44,J$4&lt;='2025'!$M44), J$4&lt;&gt;DATE(2025,7,4)), (SWITCH(weekday(J$4), 1, 0, 2, if(ISBLANK('2025'!$P44), 0, 1), 3, if(ISBLANK('2025'!$Q44), 0, 1), 4, if(ISBLANK('2025'!$R44), 0, 1), 5, if(ISBLANK('2025'!$S44), 0, 1), 6, if(ISBLANK('2025'!$T44), 0, 1), 7, 0))), 1, "")</f>
        <v/>
      </c>
      <c r="K44" s="1" t="str">
        <f>IF(AND(AND(AND(K$4&gt;='2025'!$L44,K$4&lt;='2025'!$M44), K$4&lt;&gt;DATE(2025,7,4)), (SWITCH(weekday(K$4), 1, 0, 2, if(ISBLANK('2025'!$P44), 0, 1), 3, if(ISBLANK('2025'!$Q44), 0, 1), 4, if(ISBLANK('2025'!$R44), 0, 1), 5, if(ISBLANK('2025'!$S44), 0, 1), 6, if(ISBLANK('2025'!$T44), 0, 1), 7, 0))), 1, "")</f>
        <v/>
      </c>
      <c r="L44" s="1" t="str">
        <f>IF(AND(AND(AND(L$4&gt;='2025'!$L44,L$4&lt;='2025'!$M44), L$4&lt;&gt;DATE(2025,7,4)), (SWITCH(weekday(L$4), 1, 0, 2, if(ISBLANK('2025'!$P44), 0, 1), 3, if(ISBLANK('2025'!$Q44), 0, 1), 4, if(ISBLANK('2025'!$R44), 0, 1), 5, if(ISBLANK('2025'!$S44), 0, 1), 6, if(ISBLANK('2025'!$T44), 0, 1), 7, 0))), 1, "")</f>
        <v/>
      </c>
      <c r="M44" s="1" t="str">
        <f>IF(AND(AND(AND(M$4&gt;='2025'!$L44,M$4&lt;='2025'!$M44), M$4&lt;&gt;DATE(2025,7,4)), (SWITCH(weekday(M$4), 1, 0, 2, if(ISBLANK('2025'!$P44), 0, 1), 3, if(ISBLANK('2025'!$Q44), 0, 1), 4, if(ISBLANK('2025'!$R44), 0, 1), 5, if(ISBLANK('2025'!$S44), 0, 1), 6, if(ISBLANK('2025'!$T44), 0, 1), 7, 0))), 1, "")</f>
        <v/>
      </c>
      <c r="N44" s="1" t="str">
        <f>IF(AND(AND(AND(N$4&gt;='2025'!$L44,N$4&lt;='2025'!$M44), N$4&lt;&gt;DATE(2025,7,4)), (SWITCH(weekday(N$4), 1, 0, 2, if(ISBLANK('2025'!$P44), 0, 1), 3, if(ISBLANK('2025'!$Q44), 0, 1), 4, if(ISBLANK('2025'!$R44), 0, 1), 5, if(ISBLANK('2025'!$S44), 0, 1), 6, if(ISBLANK('2025'!$T44), 0, 1), 7, 0))), 1, "")</f>
        <v/>
      </c>
      <c r="O44" s="1" t="str">
        <f>IF(AND(AND(AND(O$4&gt;='2025'!$L44,O$4&lt;='2025'!$M44), O$4&lt;&gt;DATE(2025,7,4)), (SWITCH(weekday(O$4), 1, 0, 2, if(ISBLANK('2025'!$P44), 0, 1), 3, if(ISBLANK('2025'!$Q44), 0, 1), 4, if(ISBLANK('2025'!$R44), 0, 1), 5, if(ISBLANK('2025'!$S44), 0, 1), 6, if(ISBLANK('2025'!$T44), 0, 1), 7, 0))), 1, "")</f>
        <v/>
      </c>
      <c r="P44" s="1" t="str">
        <f>IF(AND(AND(AND(P$4&gt;='2025'!$L44,P$4&lt;='2025'!$M44), P$4&lt;&gt;DATE(2025,7,4)), (SWITCH(weekday(P$4), 1, 0, 2, if(ISBLANK('2025'!$P44), 0, 1), 3, if(ISBLANK('2025'!$Q44), 0, 1), 4, if(ISBLANK('2025'!$R44), 0, 1), 5, if(ISBLANK('2025'!$S44), 0, 1), 6, if(ISBLANK('2025'!$T44), 0, 1), 7, 0))), 1, "")</f>
        <v/>
      </c>
      <c r="Q44" s="1" t="str">
        <f>IF(AND(AND(AND(Q$4&gt;='2025'!$L44,Q$4&lt;='2025'!$M44), Q$4&lt;&gt;DATE(2025,7,4)), (SWITCH(weekday(Q$4), 1, 0, 2, if(ISBLANK('2025'!$P44), 0, 1), 3, if(ISBLANK('2025'!$Q44), 0, 1), 4, if(ISBLANK('2025'!$R44), 0, 1), 5, if(ISBLANK('2025'!$S44), 0, 1), 6, if(ISBLANK('2025'!$T44), 0, 1), 7, 0))), 1, "")</f>
        <v/>
      </c>
      <c r="R44" s="1" t="str">
        <f>IF(AND(AND(AND(R$4&gt;='2025'!$L44,R$4&lt;='2025'!$M44), R$4&lt;&gt;DATE(2025,7,4)), (SWITCH(weekday(R$4), 1, 0, 2, if(ISBLANK('2025'!$P44), 0, 1), 3, if(ISBLANK('2025'!$Q44), 0, 1), 4, if(ISBLANK('2025'!$R44), 0, 1), 5, if(ISBLANK('2025'!$S44), 0, 1), 6, if(ISBLANK('2025'!$T44), 0, 1), 7, 0))), 1, "")</f>
        <v/>
      </c>
      <c r="S44" s="1" t="str">
        <f>IF(AND(AND(AND(S$4&gt;='2025'!$L44,S$4&lt;='2025'!$M44), S$4&lt;&gt;DATE(2025,7,4)), (SWITCH(weekday(S$4), 1, 0, 2, if(ISBLANK('2025'!$P44), 0, 1), 3, if(ISBLANK('2025'!$Q44), 0, 1), 4, if(ISBLANK('2025'!$R44), 0, 1), 5, if(ISBLANK('2025'!$S44), 0, 1), 6, if(ISBLANK('2025'!$T44), 0, 1), 7, 0))), 1, "")</f>
        <v/>
      </c>
      <c r="T44" s="1" t="str">
        <f>IF(AND(AND(AND(T$4&gt;='2025'!$L44,T$4&lt;='2025'!$M44), T$4&lt;&gt;DATE(2025,7,4)), (SWITCH(weekday(T$4), 1, 0, 2, if(ISBLANK('2025'!$P44), 0, 1), 3, if(ISBLANK('2025'!$Q44), 0, 1), 4, if(ISBLANK('2025'!$R44), 0, 1), 5, if(ISBLANK('2025'!$S44), 0, 1), 6, if(ISBLANK('2025'!$T44), 0, 1), 7, 0))), 1, "")</f>
        <v/>
      </c>
      <c r="U44" s="1" t="str">
        <f>IF(AND(AND(AND(U$4&gt;='2025'!$L44,U$4&lt;='2025'!$M44), U$4&lt;&gt;DATE(2025,7,4)), (SWITCH(weekday(U$4), 1, 0, 2, if(ISBLANK('2025'!$P44), 0, 1), 3, if(ISBLANK('2025'!$Q44), 0, 1), 4, if(ISBLANK('2025'!$R44), 0, 1), 5, if(ISBLANK('2025'!$S44), 0, 1), 6, if(ISBLANK('2025'!$T44), 0, 1), 7, 0))), 1, "")</f>
        <v/>
      </c>
      <c r="V44" s="1" t="str">
        <f>IF(AND(AND(AND(V$4&gt;='2025'!$L44,V$4&lt;='2025'!$M44), V$4&lt;&gt;DATE(2025,7,4)), (SWITCH(weekday(V$4), 1, 0, 2, if(ISBLANK('2025'!$P44), 0, 1), 3, if(ISBLANK('2025'!$Q44), 0, 1), 4, if(ISBLANK('2025'!$R44), 0, 1), 5, if(ISBLANK('2025'!$S44), 0, 1), 6, if(ISBLANK('2025'!$T44), 0, 1), 7, 0))), 1, "")</f>
        <v/>
      </c>
      <c r="W44" s="1" t="str">
        <f>IF(AND(AND(AND(W$4&gt;='2025'!$L44,W$4&lt;='2025'!$M44), W$4&lt;&gt;DATE(2025,7,4)), (SWITCH(weekday(W$4), 1, 0, 2, if(ISBLANK('2025'!$P44), 0, 1), 3, if(ISBLANK('2025'!$Q44), 0, 1), 4, if(ISBLANK('2025'!$R44), 0, 1), 5, if(ISBLANK('2025'!$S44), 0, 1), 6, if(ISBLANK('2025'!$T44), 0, 1), 7, 0))), 1, "")</f>
        <v/>
      </c>
      <c r="X44" s="1" t="str">
        <f>IF(AND(AND(AND(X$4&gt;='2025'!$L44,X$4&lt;='2025'!$M44), X$4&lt;&gt;DATE(2025,7,4)), (SWITCH(weekday(X$4), 1, 0, 2, if(ISBLANK('2025'!$P44), 0, 1), 3, if(ISBLANK('2025'!$Q44), 0, 1), 4, if(ISBLANK('2025'!$R44), 0, 1), 5, if(ISBLANK('2025'!$S44), 0, 1), 6, if(ISBLANK('2025'!$T44), 0, 1), 7, 0))), 1, "")</f>
        <v/>
      </c>
      <c r="Y44" s="1" t="str">
        <f>IF(AND(AND(AND(Y$4&gt;='2025'!$L44,Y$4&lt;='2025'!$M44), Y$4&lt;&gt;DATE(2025,7,4)), (SWITCH(weekday(Y$4), 1, 0, 2, if(ISBLANK('2025'!$P44), 0, 1), 3, if(ISBLANK('2025'!$Q44), 0, 1), 4, if(ISBLANK('2025'!$R44), 0, 1), 5, if(ISBLANK('2025'!$S44), 0, 1), 6, if(ISBLANK('2025'!$T44), 0, 1), 7, 0))), 1, "")</f>
        <v/>
      </c>
      <c r="Z44" s="1" t="str">
        <f>IF(AND(AND(AND(Z$4&gt;='2025'!$L44,Z$4&lt;='2025'!$M44), Z$4&lt;&gt;DATE(2025,7,4)), (SWITCH(weekday(Z$4), 1, 0, 2, if(ISBLANK('2025'!$P44), 0, 1), 3, if(ISBLANK('2025'!$Q44), 0, 1), 4, if(ISBLANK('2025'!$R44), 0, 1), 5, if(ISBLANK('2025'!$S44), 0, 1), 6, if(ISBLANK('2025'!$T44), 0, 1), 7, 0))), 1, "")</f>
        <v/>
      </c>
      <c r="AA44" s="1" t="str">
        <f>IF(AND(AND(AND(AA$4&gt;='2025'!$L44,AA$4&lt;='2025'!$M44), AA$4&lt;&gt;DATE(2025,7,4)), (SWITCH(weekday(AA$4), 1, 0, 2, if(ISBLANK('2025'!$P44), 0, 1), 3, if(ISBLANK('2025'!$Q44), 0, 1), 4, if(ISBLANK('2025'!$R44), 0, 1), 5, if(ISBLANK('2025'!$S44), 0, 1), 6, if(ISBLANK('2025'!$T44), 0, 1), 7, 0))), 1, "")</f>
        <v/>
      </c>
      <c r="AB44" s="1" t="str">
        <f>IF(AND(AND(AND(AB$4&gt;='2025'!$L44,AB$4&lt;='2025'!$M44), AB$4&lt;&gt;DATE(2025,7,4)), (SWITCH(weekday(AB$4), 1, 0, 2, if(ISBLANK('2025'!$P44), 0, 1), 3, if(ISBLANK('2025'!$Q44), 0, 1), 4, if(ISBLANK('2025'!$R44), 0, 1), 5, if(ISBLANK('2025'!$S44), 0, 1), 6, if(ISBLANK('2025'!$T44), 0, 1), 7, 0))), 1, "")</f>
        <v/>
      </c>
      <c r="AC44" s="1" t="str">
        <f>IF(AND(AND(AND(AC$4&gt;='2025'!$L44,AC$4&lt;='2025'!$M44), AC$4&lt;&gt;DATE(2025,7,4)), (SWITCH(weekday(AC$4), 1, 0, 2, if(ISBLANK('2025'!$P44), 0, 1), 3, if(ISBLANK('2025'!$Q44), 0, 1), 4, if(ISBLANK('2025'!$R44), 0, 1), 5, if(ISBLANK('2025'!$S44), 0, 1), 6, if(ISBLANK('2025'!$T44), 0, 1), 7, 0))), 1, "")</f>
        <v/>
      </c>
      <c r="AD44" s="1" t="str">
        <f>IF(AND(AND(AND(AD$4&gt;='2025'!$L44,AD$4&lt;='2025'!$M44), AD$4&lt;&gt;DATE(2025,7,4)), (SWITCH(weekday(AD$4), 1, 0, 2, if(ISBLANK('2025'!$P44), 0, 1), 3, if(ISBLANK('2025'!$Q44), 0, 1), 4, if(ISBLANK('2025'!$R44), 0, 1), 5, if(ISBLANK('2025'!$S44), 0, 1), 6, if(ISBLANK('2025'!$T44), 0, 1), 7, 0))), 1, "")</f>
        <v/>
      </c>
      <c r="AE44" s="1" t="str">
        <f>IF(AND(AND(AND(AE$4&gt;='2025'!$L44,AE$4&lt;='2025'!$M44), AE$4&lt;&gt;DATE(2025,7,4)), (SWITCH(weekday(AE$4), 1, 0, 2, if(ISBLANK('2025'!$P44), 0, 1), 3, if(ISBLANK('2025'!$Q44), 0, 1), 4, if(ISBLANK('2025'!$R44), 0, 1), 5, if(ISBLANK('2025'!$S44), 0, 1), 6, if(ISBLANK('2025'!$T44), 0, 1), 7, 0))), 1, "")</f>
        <v/>
      </c>
      <c r="AF44" s="1" t="str">
        <f>IF(AND(AND(AND(AF$4&gt;='2025'!$L44,AF$4&lt;='2025'!$M44), AF$4&lt;&gt;DATE(2025,7,4)), (SWITCH(weekday(AF$4), 1, 0, 2, if(ISBLANK('2025'!$P44), 0, 1), 3, if(ISBLANK('2025'!$Q44), 0, 1), 4, if(ISBLANK('2025'!$R44), 0, 1), 5, if(ISBLANK('2025'!$S44), 0, 1), 6, if(ISBLANK('2025'!$T44), 0, 1), 7, 0))), 1, "")</f>
        <v/>
      </c>
      <c r="AG44" s="1" t="str">
        <f>IF(AND(AND(AND(AG$4&gt;='2025'!$L44,AG$4&lt;='2025'!$M44), AG$4&lt;&gt;DATE(2025,7,4)), (SWITCH(weekday(AG$4), 1, 0, 2, if(ISBLANK('2025'!$P44), 0, 1), 3, if(ISBLANK('2025'!$Q44), 0, 1), 4, if(ISBLANK('2025'!$R44), 0, 1), 5, if(ISBLANK('2025'!$S44), 0, 1), 6, if(ISBLANK('2025'!$T44), 0, 1), 7, 0))), 1, "")</f>
        <v/>
      </c>
      <c r="AH44" s="1" t="str">
        <f>IF(AND(AND(AND(AH$4&gt;='2025'!$L44,AH$4&lt;='2025'!$M44), AH$4&lt;&gt;DATE(2025,7,4)), (SWITCH(weekday(AH$4), 1, 0, 2, if(ISBLANK('2025'!$P44), 0, 1), 3, if(ISBLANK('2025'!$Q44), 0, 1), 4, if(ISBLANK('2025'!$R44), 0, 1), 5, if(ISBLANK('2025'!$S44), 0, 1), 6, if(ISBLANK('2025'!$T44), 0, 1), 7, 0))), 1, "")</f>
        <v/>
      </c>
      <c r="AI44" s="1" t="str">
        <f>IF(AND(AND(AND(AI$4&gt;='2025'!$L44,AI$4&lt;='2025'!$M44), AI$4&lt;&gt;DATE(2025,7,4)), (SWITCH(weekday(AI$4), 1, 0, 2, if(ISBLANK('2025'!$P44), 0, 1), 3, if(ISBLANK('2025'!$Q44), 0, 1), 4, if(ISBLANK('2025'!$R44), 0, 1), 5, if(ISBLANK('2025'!$S44), 0, 1), 6, if(ISBLANK('2025'!$T44), 0, 1), 7, 0))), 1, "")</f>
        <v/>
      </c>
      <c r="AJ44" s="1" t="str">
        <f>IF(AND(AND(AND(AJ$4&gt;='2025'!$L44,AJ$4&lt;='2025'!$M44), AJ$4&lt;&gt;DATE(2025,7,4)), (SWITCH(weekday(AJ$4), 1, 0, 2, if(ISBLANK('2025'!$P44), 0, 1), 3, if(ISBLANK('2025'!$Q44), 0, 1), 4, if(ISBLANK('2025'!$R44), 0, 1), 5, if(ISBLANK('2025'!$S44), 0, 1), 6, if(ISBLANK('2025'!$T44), 0, 1), 7, 0))), 1, "")</f>
        <v/>
      </c>
      <c r="AK44" s="1" t="str">
        <f>IF(AND(AND(AND(AK$4&gt;='2025'!$L44,AK$4&lt;='2025'!$M44), AK$4&lt;&gt;DATE(2025,7,4)), (SWITCH(weekday(AK$4), 1, 0, 2, if(ISBLANK('2025'!$P44), 0, 1), 3, if(ISBLANK('2025'!$Q44), 0, 1), 4, if(ISBLANK('2025'!$R44), 0, 1), 5, if(ISBLANK('2025'!$S44), 0, 1), 6, if(ISBLANK('2025'!$T44), 0, 1), 7, 0))), 1, "")</f>
        <v/>
      </c>
      <c r="AL44" s="1" t="str">
        <f>IF(AND(AND(AND(AL$4&gt;='2025'!$L44,AL$4&lt;='2025'!$M44), AL$4&lt;&gt;DATE(2025,7,4)), (SWITCH(weekday(AL$4), 1, 0, 2, if(ISBLANK('2025'!$P44), 0, 1), 3, if(ISBLANK('2025'!$Q44), 0, 1), 4, if(ISBLANK('2025'!$R44), 0, 1), 5, if(ISBLANK('2025'!$S44), 0, 1), 6, if(ISBLANK('2025'!$T44), 0, 1), 7, 0))), 1, "")</f>
        <v/>
      </c>
      <c r="AM44" s="1" t="str">
        <f>IF(AND(AND(AND(AM$4&gt;='2025'!$L44,AM$4&lt;='2025'!$M44), AM$4&lt;&gt;DATE(2025,7,4)), (SWITCH(weekday(AM$4), 1, 0, 2, if(ISBLANK('2025'!$P44), 0, 1), 3, if(ISBLANK('2025'!$Q44), 0, 1), 4, if(ISBLANK('2025'!$R44), 0, 1), 5, if(ISBLANK('2025'!$S44), 0, 1), 6, if(ISBLANK('2025'!$T44), 0, 1), 7, 0))), 1, "")</f>
        <v/>
      </c>
      <c r="AN44" s="1" t="str">
        <f>IF(AND(AND(AND(AN$4&gt;='2025'!$L44,AN$4&lt;='2025'!$M44), AN$4&lt;&gt;DATE(2025,7,4)), (SWITCH(weekday(AN$4), 1, 0, 2, if(ISBLANK('2025'!$P44), 0, 1), 3, if(ISBLANK('2025'!$Q44), 0, 1), 4, if(ISBLANK('2025'!$R44), 0, 1), 5, if(ISBLANK('2025'!$S44), 0, 1), 6, if(ISBLANK('2025'!$T44), 0, 1), 7, 0))), 1, "")</f>
        <v/>
      </c>
      <c r="AO44" s="1" t="str">
        <f>IF(AND(AND(AND(AO$4&gt;='2025'!$L44,AO$4&lt;='2025'!$M44), AO$4&lt;&gt;DATE(2025,7,4)), (SWITCH(weekday(AO$4), 1, 0, 2, if(ISBLANK('2025'!$P44), 0, 1), 3, if(ISBLANK('2025'!$Q44), 0, 1), 4, if(ISBLANK('2025'!$R44), 0, 1), 5, if(ISBLANK('2025'!$S44), 0, 1), 6, if(ISBLANK('2025'!$T44), 0, 1), 7, 0))), 1, "")</f>
        <v/>
      </c>
      <c r="AP44" s="1" t="str">
        <f>IF(AND(AND(AND(AP$4&gt;='2025'!$L44,AP$4&lt;='2025'!$M44), AP$4&lt;&gt;DATE(2025,7,4)), (SWITCH(weekday(AP$4), 1, 0, 2, if(ISBLANK('2025'!$P44), 0, 1), 3, if(ISBLANK('2025'!$Q44), 0, 1), 4, if(ISBLANK('2025'!$R44), 0, 1), 5, if(ISBLANK('2025'!$S44), 0, 1), 6, if(ISBLANK('2025'!$T44), 0, 1), 7, 0))), 1, "")</f>
        <v/>
      </c>
      <c r="AQ44" s="1" t="str">
        <f>IF(AND(AND(AND(AQ$4&gt;='2025'!$L44,AQ$4&lt;='2025'!$M44), AQ$4&lt;&gt;DATE(2025,7,4)), (SWITCH(weekday(AQ$4), 1, 0, 2, if(ISBLANK('2025'!$P44), 0, 1), 3, if(ISBLANK('2025'!$Q44), 0, 1), 4, if(ISBLANK('2025'!$R44), 0, 1), 5, if(ISBLANK('2025'!$S44), 0, 1), 6, if(ISBLANK('2025'!$T44), 0, 1), 7, 0))), 1, "")</f>
        <v/>
      </c>
      <c r="AR44" s="1" t="str">
        <f>IF(AND(AND(AND(AR$4&gt;='2025'!$L44,AR$4&lt;='2025'!$M44), AR$4&lt;&gt;DATE(2025,7,4)), (SWITCH(weekday(AR$4), 1, 0, 2, if(ISBLANK('2025'!$P44), 0, 1), 3, if(ISBLANK('2025'!$Q44), 0, 1), 4, if(ISBLANK('2025'!$R44), 0, 1), 5, if(ISBLANK('2025'!$S44), 0, 1), 6, if(ISBLANK('2025'!$T44), 0, 1), 7, 0))), 1, "")</f>
        <v/>
      </c>
      <c r="AS44" s="1" t="str">
        <f>IF(AND(AND(AND(AS$4&gt;='2025'!$L44,AS$4&lt;='2025'!$M44), AS$4&lt;&gt;DATE(2025,7,4)), (SWITCH(weekday(AS$4), 1, 0, 2, if(ISBLANK('2025'!$P44), 0, 1), 3, if(ISBLANK('2025'!$Q44), 0, 1), 4, if(ISBLANK('2025'!$R44), 0, 1), 5, if(ISBLANK('2025'!$S44), 0, 1), 6, if(ISBLANK('2025'!$T44), 0, 1), 7, 0))), 1, "")</f>
        <v/>
      </c>
      <c r="AT44" s="1" t="str">
        <f>IF(AND(AND(AND(AT$4&gt;='2025'!$L44,AT$4&lt;='2025'!$M44), AT$4&lt;&gt;DATE(2025,7,4)), (SWITCH(weekday(AT$4), 1, 0, 2, if(ISBLANK('2025'!$P44), 0, 1), 3, if(ISBLANK('2025'!$Q44), 0, 1), 4, if(ISBLANK('2025'!$R44), 0, 1), 5, if(ISBLANK('2025'!$S44), 0, 1), 6, if(ISBLANK('2025'!$T44), 0, 1), 7, 0))), 1, "")</f>
        <v/>
      </c>
      <c r="AU44" s="1" t="str">
        <f>IF(AND(AND(AND(AU$4&gt;='2025'!$L44,AU$4&lt;='2025'!$M44), AU$4&lt;&gt;DATE(2025,7,4)), (SWITCH(weekday(AU$4), 1, 0, 2, if(ISBLANK('2025'!$P44), 0, 1), 3, if(ISBLANK('2025'!$Q44), 0, 1), 4, if(ISBLANK('2025'!$R44), 0, 1), 5, if(ISBLANK('2025'!$S44), 0, 1), 6, if(ISBLANK('2025'!$T44), 0, 1), 7, 0))), 1, "")</f>
        <v/>
      </c>
      <c r="AV44" s="1" t="str">
        <f>IF(AND(AND(AND(AV$4&gt;='2025'!$L44,AV$4&lt;='2025'!$M44), AV$4&lt;&gt;DATE(2025,7,4)), (SWITCH(weekday(AV$4), 1, 0, 2, if(ISBLANK('2025'!$P44), 0, 1), 3, if(ISBLANK('2025'!$Q44), 0, 1), 4, if(ISBLANK('2025'!$R44), 0, 1), 5, if(ISBLANK('2025'!$S44), 0, 1), 6, if(ISBLANK('2025'!$T44), 0, 1), 7, 0))), 1, "")</f>
        <v/>
      </c>
      <c r="AW44" s="1" t="str">
        <f>IF(AND(AND(AND(AW$4&gt;='2025'!$L44,AW$4&lt;='2025'!$M44), AW$4&lt;&gt;DATE(2025,7,4)), (SWITCH(weekday(AW$4), 1, 0, 2, if(ISBLANK('2025'!$P44), 0, 1), 3, if(ISBLANK('2025'!$Q44), 0, 1), 4, if(ISBLANK('2025'!$R44), 0, 1), 5, if(ISBLANK('2025'!$S44), 0, 1), 6, if(ISBLANK('2025'!$T44), 0, 1), 7, 0))), 1, "")</f>
        <v/>
      </c>
      <c r="AX44" s="1" t="str">
        <f>IF(AND(AND(AND(AX$4&gt;='2025'!$L44,AX$4&lt;='2025'!$M44), AX$4&lt;&gt;DATE(2025,7,4)), (SWITCH(weekday(AX$4), 1, 0, 2, if(ISBLANK('2025'!$P44), 0, 1), 3, if(ISBLANK('2025'!$Q44), 0, 1), 4, if(ISBLANK('2025'!$R44), 0, 1), 5, if(ISBLANK('2025'!$S44), 0, 1), 6, if(ISBLANK('2025'!$T44), 0, 1), 7, 0))), 1, "")</f>
        <v/>
      </c>
      <c r="AY44" s="1" t="str">
        <f>IF(AND(AND(AND(AY$4&gt;='2025'!$L44,AY$4&lt;='2025'!$M44), AY$4&lt;&gt;DATE(2025,7,4)), (SWITCH(weekday(AY$4), 1, 0, 2, if(ISBLANK('2025'!$P44), 0, 1), 3, if(ISBLANK('2025'!$Q44), 0, 1), 4, if(ISBLANK('2025'!$R44), 0, 1), 5, if(ISBLANK('2025'!$S44), 0, 1), 6, if(ISBLANK('2025'!$T44), 0, 1), 7, 0))), 1, "")</f>
        <v/>
      </c>
      <c r="AZ44" s="1" t="str">
        <f>IF(AND(AND(AND(AZ$4&gt;='2025'!$L44,AZ$4&lt;='2025'!$M44), AZ$4&lt;&gt;DATE(2025,7,4)), (SWITCH(weekday(AZ$4), 1, 0, 2, if(ISBLANK('2025'!$P44), 0, 1), 3, if(ISBLANK('2025'!$Q44), 0, 1), 4, if(ISBLANK('2025'!$R44), 0, 1), 5, if(ISBLANK('2025'!$S44), 0, 1), 6, if(ISBLANK('2025'!$T44), 0, 1), 7, 0))), 1, "")</f>
        <v/>
      </c>
      <c r="BA44" s="1" t="str">
        <f>IF(AND(AND(AND(BA$4&gt;='2025'!$L44,BA$4&lt;='2025'!$M44), BA$4&lt;&gt;DATE(2025,7,4)), (SWITCH(weekday(BA$4), 1, 0, 2, if(ISBLANK('2025'!$P44), 0, 1), 3, if(ISBLANK('2025'!$Q44), 0, 1), 4, if(ISBLANK('2025'!$R44), 0, 1), 5, if(ISBLANK('2025'!$S44), 0, 1), 6, if(ISBLANK('2025'!$T44), 0, 1), 7, 0))), 1, "")</f>
        <v/>
      </c>
      <c r="BB44" s="1" t="str">
        <f>IF(AND(AND(AND(BB$4&gt;='2025'!$L44,BB$4&lt;='2025'!$M44), BB$4&lt;&gt;DATE(2025,7,4)), (SWITCH(weekday(BB$4), 1, 0, 2, if(ISBLANK('2025'!$P44), 0, 1), 3, if(ISBLANK('2025'!$Q44), 0, 1), 4, if(ISBLANK('2025'!$R44), 0, 1), 5, if(ISBLANK('2025'!$S44), 0, 1), 6, if(ISBLANK('2025'!$T44), 0, 1), 7, 0))), 1, "")</f>
        <v/>
      </c>
      <c r="BC44" s="1" t="str">
        <f>IF(AND(AND(AND(BC$4&gt;='2025'!$L44,BC$4&lt;='2025'!$M44), BC$4&lt;&gt;DATE(2025,7,4)), (SWITCH(weekday(BC$4), 1, 0, 2, if(ISBLANK('2025'!$P44), 0, 1), 3, if(ISBLANK('2025'!$Q44), 0, 1), 4, if(ISBLANK('2025'!$R44), 0, 1), 5, if(ISBLANK('2025'!$S44), 0, 1), 6, if(ISBLANK('2025'!$T44), 0, 1), 7, 0))), 1, "")</f>
        <v/>
      </c>
      <c r="BD44" s="1" t="str">
        <f>IF(AND(AND(AND(BD$4&gt;='2025'!$L44,BD$4&lt;='2025'!$M44), BD$4&lt;&gt;DATE(2025,7,4)), (SWITCH(weekday(BD$4), 1, 0, 2, if(ISBLANK('2025'!$P44), 0, 1), 3, if(ISBLANK('2025'!$Q44), 0, 1), 4, if(ISBLANK('2025'!$R44), 0, 1), 5, if(ISBLANK('2025'!$S44), 0, 1), 6, if(ISBLANK('2025'!$T44), 0, 1), 7, 0))), 1, "")</f>
        <v/>
      </c>
      <c r="BE44" s="1" t="str">
        <f>IF(AND(AND(AND(BE$4&gt;='2025'!$L44,BE$4&lt;='2025'!$M44), BE$4&lt;&gt;DATE(2025,7,4)), (SWITCH(weekday(BE$4), 1, 0, 2, if(ISBLANK('2025'!$P44), 0, 1), 3, if(ISBLANK('2025'!$Q44), 0, 1), 4, if(ISBLANK('2025'!$R44), 0, 1), 5, if(ISBLANK('2025'!$S44), 0, 1), 6, if(ISBLANK('2025'!$T44), 0, 1), 7, 0))), 1, "")</f>
        <v/>
      </c>
      <c r="BF44" s="1" t="str">
        <f>IF(AND(AND(AND(BF$4&gt;='2025'!$L44,BF$4&lt;='2025'!$M44), BF$4&lt;&gt;DATE(2025,7,4)), (SWITCH(weekday(BF$4), 1, 0, 2, if(ISBLANK('2025'!$P44), 0, 1), 3, if(ISBLANK('2025'!$Q44), 0, 1), 4, if(ISBLANK('2025'!$R44), 0, 1), 5, if(ISBLANK('2025'!$S44), 0, 1), 6, if(ISBLANK('2025'!$T44), 0, 1), 7, 0))), 1, "")</f>
        <v/>
      </c>
      <c r="BG44" s="1"/>
      <c r="BH44" s="1"/>
      <c r="BI44" s="1"/>
      <c r="BJ44" s="1"/>
      <c r="BK44" s="1"/>
      <c r="BL44" s="1"/>
    </row>
    <row r="45">
      <c r="A45" s="1">
        <f t="shared" si="3"/>
        <v>45</v>
      </c>
      <c r="B45" s="1" t="str">
        <f>'2025'!D45</f>
        <v>Landell, Jordyn </v>
      </c>
      <c r="C45" s="1" t="str">
        <f>'2025'!H45</f>
        <v>TOD</v>
      </c>
      <c r="D45" s="1" t="str">
        <f>IF(AND(AND(AND(D$4&gt;='2025'!$L45,D$4&lt;='2025'!$M45), D$4&lt;&gt;DATE(2025,7,4)), (SWITCH(weekday(D$4), 1, 0, 2, if(ISBLANK('2025'!$P45), 0, 1), 3, if(ISBLANK('2025'!$Q45), 0, 1), 4, if(ISBLANK('2025'!$R45), 0, 1), 5, if(ISBLANK('2025'!$S45), 0, 1), 6, if(ISBLANK('2025'!$T45), 0, 1), 7, 0))), 1, "")</f>
        <v/>
      </c>
      <c r="E45" s="1" t="str">
        <f>IF(AND(AND(AND(E$4&gt;='2025'!$L45,E$4&lt;='2025'!$M45), E$4&lt;&gt;DATE(2025,7,4)), (SWITCH(weekday(E$4), 1, 0, 2, if(ISBLANK('2025'!$P45), 0, 1), 3, if(ISBLANK('2025'!$Q45), 0, 1), 4, if(ISBLANK('2025'!$R45), 0, 1), 5, if(ISBLANK('2025'!$S45), 0, 1), 6, if(ISBLANK('2025'!$T45), 0, 1), 7, 0))), 1, "")</f>
        <v/>
      </c>
      <c r="F45" s="1" t="str">
        <f>IF(AND(AND(AND(F$4&gt;='2025'!$L45,F$4&lt;='2025'!$M45), F$4&lt;&gt;DATE(2025,7,4)), (SWITCH(weekday(F$4), 1, 0, 2, if(ISBLANK('2025'!$P45), 0, 1), 3, if(ISBLANK('2025'!$Q45), 0, 1), 4, if(ISBLANK('2025'!$R45), 0, 1), 5, if(ISBLANK('2025'!$S45), 0, 1), 6, if(ISBLANK('2025'!$T45), 0, 1), 7, 0))), 1, "")</f>
        <v/>
      </c>
      <c r="G45" s="1" t="str">
        <f>IF(AND(AND(AND(G$4&gt;='2025'!$L45,G$4&lt;='2025'!$M45), G$4&lt;&gt;DATE(2025,7,4)), (SWITCH(weekday(G$4), 1, 0, 2, if(ISBLANK('2025'!$P45), 0, 1), 3, if(ISBLANK('2025'!$Q45), 0, 1), 4, if(ISBLANK('2025'!$R45), 0, 1), 5, if(ISBLANK('2025'!$S45), 0, 1), 6, if(ISBLANK('2025'!$T45), 0, 1), 7, 0))), 1, "")</f>
        <v/>
      </c>
      <c r="H45" s="1" t="str">
        <f>IF(AND(AND(AND(H$4&gt;='2025'!$L45,H$4&lt;='2025'!$M45), H$4&lt;&gt;DATE(2025,7,4)), (SWITCH(weekday(H$4), 1, 0, 2, if(ISBLANK('2025'!$P45), 0, 1), 3, if(ISBLANK('2025'!$Q45), 0, 1), 4, if(ISBLANK('2025'!$R45), 0, 1), 5, if(ISBLANK('2025'!$S45), 0, 1), 6, if(ISBLANK('2025'!$T45), 0, 1), 7, 0))), 1, "")</f>
        <v/>
      </c>
      <c r="I45" s="1" t="str">
        <f>IF(AND(AND(AND(I$4&gt;='2025'!$L45,I$4&lt;='2025'!$M45), I$4&lt;&gt;DATE(2025,7,4)), (SWITCH(weekday(I$4), 1, 0, 2, if(ISBLANK('2025'!$P45), 0, 1), 3, if(ISBLANK('2025'!$Q45), 0, 1), 4, if(ISBLANK('2025'!$R45), 0, 1), 5, if(ISBLANK('2025'!$S45), 0, 1), 6, if(ISBLANK('2025'!$T45), 0, 1), 7, 0))), 1, "")</f>
        <v/>
      </c>
      <c r="J45" s="1" t="str">
        <f>IF(AND(AND(AND(J$4&gt;='2025'!$L45,J$4&lt;='2025'!$M45), J$4&lt;&gt;DATE(2025,7,4)), (SWITCH(weekday(J$4), 1, 0, 2, if(ISBLANK('2025'!$P45), 0, 1), 3, if(ISBLANK('2025'!$Q45), 0, 1), 4, if(ISBLANK('2025'!$R45), 0, 1), 5, if(ISBLANK('2025'!$S45), 0, 1), 6, if(ISBLANK('2025'!$T45), 0, 1), 7, 0))), 1, "")</f>
        <v/>
      </c>
      <c r="K45" s="1" t="str">
        <f>IF(AND(AND(AND(K$4&gt;='2025'!$L45,K$4&lt;='2025'!$M45), K$4&lt;&gt;DATE(2025,7,4)), (SWITCH(weekday(K$4), 1, 0, 2, if(ISBLANK('2025'!$P45), 0, 1), 3, if(ISBLANK('2025'!$Q45), 0, 1), 4, if(ISBLANK('2025'!$R45), 0, 1), 5, if(ISBLANK('2025'!$S45), 0, 1), 6, if(ISBLANK('2025'!$T45), 0, 1), 7, 0))), 1, "")</f>
        <v/>
      </c>
      <c r="L45" s="1" t="str">
        <f>IF(AND(AND(AND(L$4&gt;='2025'!$L45,L$4&lt;='2025'!$M45), L$4&lt;&gt;DATE(2025,7,4)), (SWITCH(weekday(L$4), 1, 0, 2, if(ISBLANK('2025'!$P45), 0, 1), 3, if(ISBLANK('2025'!$Q45), 0, 1), 4, if(ISBLANK('2025'!$R45), 0, 1), 5, if(ISBLANK('2025'!$S45), 0, 1), 6, if(ISBLANK('2025'!$T45), 0, 1), 7, 0))), 1, "")</f>
        <v/>
      </c>
      <c r="M45" s="1" t="str">
        <f>IF(AND(AND(AND(M$4&gt;='2025'!$L45,M$4&lt;='2025'!$M45), M$4&lt;&gt;DATE(2025,7,4)), (SWITCH(weekday(M$4), 1, 0, 2, if(ISBLANK('2025'!$P45), 0, 1), 3, if(ISBLANK('2025'!$Q45), 0, 1), 4, if(ISBLANK('2025'!$R45), 0, 1), 5, if(ISBLANK('2025'!$S45), 0, 1), 6, if(ISBLANK('2025'!$T45), 0, 1), 7, 0))), 1, "")</f>
        <v/>
      </c>
      <c r="N45" s="1" t="str">
        <f>IF(AND(AND(AND(N$4&gt;='2025'!$L45,N$4&lt;='2025'!$M45), N$4&lt;&gt;DATE(2025,7,4)), (SWITCH(weekday(N$4), 1, 0, 2, if(ISBLANK('2025'!$P45), 0, 1), 3, if(ISBLANK('2025'!$Q45), 0, 1), 4, if(ISBLANK('2025'!$R45), 0, 1), 5, if(ISBLANK('2025'!$S45), 0, 1), 6, if(ISBLANK('2025'!$T45), 0, 1), 7, 0))), 1, "")</f>
        <v/>
      </c>
      <c r="O45" s="1" t="str">
        <f>IF(AND(AND(AND(O$4&gt;='2025'!$L45,O$4&lt;='2025'!$M45), O$4&lt;&gt;DATE(2025,7,4)), (SWITCH(weekday(O$4), 1, 0, 2, if(ISBLANK('2025'!$P45), 0, 1), 3, if(ISBLANK('2025'!$Q45), 0, 1), 4, if(ISBLANK('2025'!$R45), 0, 1), 5, if(ISBLANK('2025'!$S45), 0, 1), 6, if(ISBLANK('2025'!$T45), 0, 1), 7, 0))), 1, "")</f>
        <v/>
      </c>
      <c r="P45" s="1" t="str">
        <f>IF(AND(AND(AND(P$4&gt;='2025'!$L45,P$4&lt;='2025'!$M45), P$4&lt;&gt;DATE(2025,7,4)), (SWITCH(weekday(P$4), 1, 0, 2, if(ISBLANK('2025'!$P45), 0, 1), 3, if(ISBLANK('2025'!$Q45), 0, 1), 4, if(ISBLANK('2025'!$R45), 0, 1), 5, if(ISBLANK('2025'!$S45), 0, 1), 6, if(ISBLANK('2025'!$T45), 0, 1), 7, 0))), 1, "")</f>
        <v/>
      </c>
      <c r="Q45" s="1" t="str">
        <f>IF(AND(AND(AND(Q$4&gt;='2025'!$L45,Q$4&lt;='2025'!$M45), Q$4&lt;&gt;DATE(2025,7,4)), (SWITCH(weekday(Q$4), 1, 0, 2, if(ISBLANK('2025'!$P45), 0, 1), 3, if(ISBLANK('2025'!$Q45), 0, 1), 4, if(ISBLANK('2025'!$R45), 0, 1), 5, if(ISBLANK('2025'!$S45), 0, 1), 6, if(ISBLANK('2025'!$T45), 0, 1), 7, 0))), 1, "")</f>
        <v/>
      </c>
      <c r="R45" s="1" t="str">
        <f>IF(AND(AND(AND(R$4&gt;='2025'!$L45,R$4&lt;='2025'!$M45), R$4&lt;&gt;DATE(2025,7,4)), (SWITCH(weekday(R$4), 1, 0, 2, if(ISBLANK('2025'!$P45), 0, 1), 3, if(ISBLANK('2025'!$Q45), 0, 1), 4, if(ISBLANK('2025'!$R45), 0, 1), 5, if(ISBLANK('2025'!$S45), 0, 1), 6, if(ISBLANK('2025'!$T45), 0, 1), 7, 0))), 1, "")</f>
        <v/>
      </c>
      <c r="S45" s="1" t="str">
        <f>IF(AND(AND(AND(S$4&gt;='2025'!$L45,S$4&lt;='2025'!$M45), S$4&lt;&gt;DATE(2025,7,4)), (SWITCH(weekday(S$4), 1, 0, 2, if(ISBLANK('2025'!$P45), 0, 1), 3, if(ISBLANK('2025'!$Q45), 0, 1), 4, if(ISBLANK('2025'!$R45), 0, 1), 5, if(ISBLANK('2025'!$S45), 0, 1), 6, if(ISBLANK('2025'!$T45), 0, 1), 7, 0))), 1, "")</f>
        <v/>
      </c>
      <c r="T45" s="1" t="str">
        <f>IF(AND(AND(AND(T$4&gt;='2025'!$L45,T$4&lt;='2025'!$M45), T$4&lt;&gt;DATE(2025,7,4)), (SWITCH(weekday(T$4), 1, 0, 2, if(ISBLANK('2025'!$P45), 0, 1), 3, if(ISBLANK('2025'!$Q45), 0, 1), 4, if(ISBLANK('2025'!$R45), 0, 1), 5, if(ISBLANK('2025'!$S45), 0, 1), 6, if(ISBLANK('2025'!$T45), 0, 1), 7, 0))), 1, "")</f>
        <v/>
      </c>
      <c r="U45" s="1" t="str">
        <f>IF(AND(AND(AND(U$4&gt;='2025'!$L45,U$4&lt;='2025'!$M45), U$4&lt;&gt;DATE(2025,7,4)), (SWITCH(weekday(U$4), 1, 0, 2, if(ISBLANK('2025'!$P45), 0, 1), 3, if(ISBLANK('2025'!$Q45), 0, 1), 4, if(ISBLANK('2025'!$R45), 0, 1), 5, if(ISBLANK('2025'!$S45), 0, 1), 6, if(ISBLANK('2025'!$T45), 0, 1), 7, 0))), 1, "")</f>
        <v/>
      </c>
      <c r="V45" s="1" t="str">
        <f>IF(AND(AND(AND(V$4&gt;='2025'!$L45,V$4&lt;='2025'!$M45), V$4&lt;&gt;DATE(2025,7,4)), (SWITCH(weekday(V$4), 1, 0, 2, if(ISBLANK('2025'!$P45), 0, 1), 3, if(ISBLANK('2025'!$Q45), 0, 1), 4, if(ISBLANK('2025'!$R45), 0, 1), 5, if(ISBLANK('2025'!$S45), 0, 1), 6, if(ISBLANK('2025'!$T45), 0, 1), 7, 0))), 1, "")</f>
        <v/>
      </c>
      <c r="W45" s="1" t="str">
        <f>IF(AND(AND(AND(W$4&gt;='2025'!$L45,W$4&lt;='2025'!$M45), W$4&lt;&gt;DATE(2025,7,4)), (SWITCH(weekday(W$4), 1, 0, 2, if(ISBLANK('2025'!$P45), 0, 1), 3, if(ISBLANK('2025'!$Q45), 0, 1), 4, if(ISBLANK('2025'!$R45), 0, 1), 5, if(ISBLANK('2025'!$S45), 0, 1), 6, if(ISBLANK('2025'!$T45), 0, 1), 7, 0))), 1, "")</f>
        <v/>
      </c>
      <c r="X45" s="1" t="str">
        <f>IF(AND(AND(AND(X$4&gt;='2025'!$L45,X$4&lt;='2025'!$M45), X$4&lt;&gt;DATE(2025,7,4)), (SWITCH(weekday(X$4), 1, 0, 2, if(ISBLANK('2025'!$P45), 0, 1), 3, if(ISBLANK('2025'!$Q45), 0, 1), 4, if(ISBLANK('2025'!$R45), 0, 1), 5, if(ISBLANK('2025'!$S45), 0, 1), 6, if(ISBLANK('2025'!$T45), 0, 1), 7, 0))), 1, "")</f>
        <v/>
      </c>
      <c r="Y45" s="1" t="str">
        <f>IF(AND(AND(AND(Y$4&gt;='2025'!$L45,Y$4&lt;='2025'!$M45), Y$4&lt;&gt;DATE(2025,7,4)), (SWITCH(weekday(Y$4), 1, 0, 2, if(ISBLANK('2025'!$P45), 0, 1), 3, if(ISBLANK('2025'!$Q45), 0, 1), 4, if(ISBLANK('2025'!$R45), 0, 1), 5, if(ISBLANK('2025'!$S45), 0, 1), 6, if(ISBLANK('2025'!$T45), 0, 1), 7, 0))), 1, "")</f>
        <v/>
      </c>
      <c r="Z45" s="1" t="str">
        <f>IF(AND(AND(AND(Z$4&gt;='2025'!$L45,Z$4&lt;='2025'!$M45), Z$4&lt;&gt;DATE(2025,7,4)), (SWITCH(weekday(Z$4), 1, 0, 2, if(ISBLANK('2025'!$P45), 0, 1), 3, if(ISBLANK('2025'!$Q45), 0, 1), 4, if(ISBLANK('2025'!$R45), 0, 1), 5, if(ISBLANK('2025'!$S45), 0, 1), 6, if(ISBLANK('2025'!$T45), 0, 1), 7, 0))), 1, "")</f>
        <v/>
      </c>
      <c r="AA45" s="1" t="str">
        <f>IF(AND(AND(AND(AA$4&gt;='2025'!$L45,AA$4&lt;='2025'!$M45), AA$4&lt;&gt;DATE(2025,7,4)), (SWITCH(weekday(AA$4), 1, 0, 2, if(ISBLANK('2025'!$P45), 0, 1), 3, if(ISBLANK('2025'!$Q45), 0, 1), 4, if(ISBLANK('2025'!$R45), 0, 1), 5, if(ISBLANK('2025'!$S45), 0, 1), 6, if(ISBLANK('2025'!$T45), 0, 1), 7, 0))), 1, "")</f>
        <v/>
      </c>
      <c r="AB45" s="1" t="str">
        <f>IF(AND(AND(AND(AB$4&gt;='2025'!$L45,AB$4&lt;='2025'!$M45), AB$4&lt;&gt;DATE(2025,7,4)), (SWITCH(weekday(AB$4), 1, 0, 2, if(ISBLANK('2025'!$P45), 0, 1), 3, if(ISBLANK('2025'!$Q45), 0, 1), 4, if(ISBLANK('2025'!$R45), 0, 1), 5, if(ISBLANK('2025'!$S45), 0, 1), 6, if(ISBLANK('2025'!$T45), 0, 1), 7, 0))), 1, "")</f>
        <v/>
      </c>
      <c r="AC45" s="1" t="str">
        <f>IF(AND(AND(AND(AC$4&gt;='2025'!$L45,AC$4&lt;='2025'!$M45), AC$4&lt;&gt;DATE(2025,7,4)), (SWITCH(weekday(AC$4), 1, 0, 2, if(ISBLANK('2025'!$P45), 0, 1), 3, if(ISBLANK('2025'!$Q45), 0, 1), 4, if(ISBLANK('2025'!$R45), 0, 1), 5, if(ISBLANK('2025'!$S45), 0, 1), 6, if(ISBLANK('2025'!$T45), 0, 1), 7, 0))), 1, "")</f>
        <v/>
      </c>
      <c r="AD45" s="1" t="str">
        <f>IF(AND(AND(AND(AD$4&gt;='2025'!$L45,AD$4&lt;='2025'!$M45), AD$4&lt;&gt;DATE(2025,7,4)), (SWITCH(weekday(AD$4), 1, 0, 2, if(ISBLANK('2025'!$P45), 0, 1), 3, if(ISBLANK('2025'!$Q45), 0, 1), 4, if(ISBLANK('2025'!$R45), 0, 1), 5, if(ISBLANK('2025'!$S45), 0, 1), 6, if(ISBLANK('2025'!$T45), 0, 1), 7, 0))), 1, "")</f>
        <v/>
      </c>
      <c r="AE45" s="1" t="str">
        <f>IF(AND(AND(AND(AE$4&gt;='2025'!$L45,AE$4&lt;='2025'!$M45), AE$4&lt;&gt;DATE(2025,7,4)), (SWITCH(weekday(AE$4), 1, 0, 2, if(ISBLANK('2025'!$P45), 0, 1), 3, if(ISBLANK('2025'!$Q45), 0, 1), 4, if(ISBLANK('2025'!$R45), 0, 1), 5, if(ISBLANK('2025'!$S45), 0, 1), 6, if(ISBLANK('2025'!$T45), 0, 1), 7, 0))), 1, "")</f>
        <v/>
      </c>
      <c r="AF45" s="1" t="str">
        <f>IF(AND(AND(AND(AF$4&gt;='2025'!$L45,AF$4&lt;='2025'!$M45), AF$4&lt;&gt;DATE(2025,7,4)), (SWITCH(weekday(AF$4), 1, 0, 2, if(ISBLANK('2025'!$P45), 0, 1), 3, if(ISBLANK('2025'!$Q45), 0, 1), 4, if(ISBLANK('2025'!$R45), 0, 1), 5, if(ISBLANK('2025'!$S45), 0, 1), 6, if(ISBLANK('2025'!$T45), 0, 1), 7, 0))), 1, "")</f>
        <v/>
      </c>
      <c r="AG45" s="1" t="str">
        <f>IF(AND(AND(AND(AG$4&gt;='2025'!$L45,AG$4&lt;='2025'!$M45), AG$4&lt;&gt;DATE(2025,7,4)), (SWITCH(weekday(AG$4), 1, 0, 2, if(ISBLANK('2025'!$P45), 0, 1), 3, if(ISBLANK('2025'!$Q45), 0, 1), 4, if(ISBLANK('2025'!$R45), 0, 1), 5, if(ISBLANK('2025'!$S45), 0, 1), 6, if(ISBLANK('2025'!$T45), 0, 1), 7, 0))), 1, "")</f>
        <v/>
      </c>
      <c r="AH45" s="1" t="str">
        <f>IF(AND(AND(AND(AH$4&gt;='2025'!$L45,AH$4&lt;='2025'!$M45), AH$4&lt;&gt;DATE(2025,7,4)), (SWITCH(weekday(AH$4), 1, 0, 2, if(ISBLANK('2025'!$P45), 0, 1), 3, if(ISBLANK('2025'!$Q45), 0, 1), 4, if(ISBLANK('2025'!$R45), 0, 1), 5, if(ISBLANK('2025'!$S45), 0, 1), 6, if(ISBLANK('2025'!$T45), 0, 1), 7, 0))), 1, "")</f>
        <v/>
      </c>
      <c r="AI45" s="1" t="str">
        <f>IF(AND(AND(AND(AI$4&gt;='2025'!$L45,AI$4&lt;='2025'!$M45), AI$4&lt;&gt;DATE(2025,7,4)), (SWITCH(weekday(AI$4), 1, 0, 2, if(ISBLANK('2025'!$P45), 0, 1), 3, if(ISBLANK('2025'!$Q45), 0, 1), 4, if(ISBLANK('2025'!$R45), 0, 1), 5, if(ISBLANK('2025'!$S45), 0, 1), 6, if(ISBLANK('2025'!$T45), 0, 1), 7, 0))), 1, "")</f>
        <v/>
      </c>
      <c r="AJ45" s="1" t="str">
        <f>IF(AND(AND(AND(AJ$4&gt;='2025'!$L45,AJ$4&lt;='2025'!$M45), AJ$4&lt;&gt;DATE(2025,7,4)), (SWITCH(weekday(AJ$4), 1, 0, 2, if(ISBLANK('2025'!$P45), 0, 1), 3, if(ISBLANK('2025'!$Q45), 0, 1), 4, if(ISBLANK('2025'!$R45), 0, 1), 5, if(ISBLANK('2025'!$S45), 0, 1), 6, if(ISBLANK('2025'!$T45), 0, 1), 7, 0))), 1, "")</f>
        <v/>
      </c>
      <c r="AK45" s="1" t="str">
        <f>IF(AND(AND(AND(AK$4&gt;='2025'!$L45,AK$4&lt;='2025'!$M45), AK$4&lt;&gt;DATE(2025,7,4)), (SWITCH(weekday(AK$4), 1, 0, 2, if(ISBLANK('2025'!$P45), 0, 1), 3, if(ISBLANK('2025'!$Q45), 0, 1), 4, if(ISBLANK('2025'!$R45), 0, 1), 5, if(ISBLANK('2025'!$S45), 0, 1), 6, if(ISBLANK('2025'!$T45), 0, 1), 7, 0))), 1, "")</f>
        <v/>
      </c>
      <c r="AL45" s="1" t="str">
        <f>IF(AND(AND(AND(AL$4&gt;='2025'!$L45,AL$4&lt;='2025'!$M45), AL$4&lt;&gt;DATE(2025,7,4)), (SWITCH(weekday(AL$4), 1, 0, 2, if(ISBLANK('2025'!$P45), 0, 1), 3, if(ISBLANK('2025'!$Q45), 0, 1), 4, if(ISBLANK('2025'!$R45), 0, 1), 5, if(ISBLANK('2025'!$S45), 0, 1), 6, if(ISBLANK('2025'!$T45), 0, 1), 7, 0))), 1, "")</f>
        <v/>
      </c>
      <c r="AM45" s="1" t="str">
        <f>IF(AND(AND(AND(AM$4&gt;='2025'!$L45,AM$4&lt;='2025'!$M45), AM$4&lt;&gt;DATE(2025,7,4)), (SWITCH(weekday(AM$4), 1, 0, 2, if(ISBLANK('2025'!$P45), 0, 1), 3, if(ISBLANK('2025'!$Q45), 0, 1), 4, if(ISBLANK('2025'!$R45), 0, 1), 5, if(ISBLANK('2025'!$S45), 0, 1), 6, if(ISBLANK('2025'!$T45), 0, 1), 7, 0))), 1, "")</f>
        <v/>
      </c>
      <c r="AN45" s="1" t="str">
        <f>IF(AND(AND(AND(AN$4&gt;='2025'!$L45,AN$4&lt;='2025'!$M45), AN$4&lt;&gt;DATE(2025,7,4)), (SWITCH(weekday(AN$4), 1, 0, 2, if(ISBLANK('2025'!$P45), 0, 1), 3, if(ISBLANK('2025'!$Q45), 0, 1), 4, if(ISBLANK('2025'!$R45), 0, 1), 5, if(ISBLANK('2025'!$S45), 0, 1), 6, if(ISBLANK('2025'!$T45), 0, 1), 7, 0))), 1, "")</f>
        <v/>
      </c>
      <c r="AO45" s="1" t="str">
        <f>IF(AND(AND(AND(AO$4&gt;='2025'!$L45,AO$4&lt;='2025'!$M45), AO$4&lt;&gt;DATE(2025,7,4)), (SWITCH(weekday(AO$4), 1, 0, 2, if(ISBLANK('2025'!$P45), 0, 1), 3, if(ISBLANK('2025'!$Q45), 0, 1), 4, if(ISBLANK('2025'!$R45), 0, 1), 5, if(ISBLANK('2025'!$S45), 0, 1), 6, if(ISBLANK('2025'!$T45), 0, 1), 7, 0))), 1, "")</f>
        <v/>
      </c>
      <c r="AP45" s="1" t="str">
        <f>IF(AND(AND(AND(AP$4&gt;='2025'!$L45,AP$4&lt;='2025'!$M45), AP$4&lt;&gt;DATE(2025,7,4)), (SWITCH(weekday(AP$4), 1, 0, 2, if(ISBLANK('2025'!$P45), 0, 1), 3, if(ISBLANK('2025'!$Q45), 0, 1), 4, if(ISBLANK('2025'!$R45), 0, 1), 5, if(ISBLANK('2025'!$S45), 0, 1), 6, if(ISBLANK('2025'!$T45), 0, 1), 7, 0))), 1, "")</f>
        <v/>
      </c>
      <c r="AQ45" s="1" t="str">
        <f>IF(AND(AND(AND(AQ$4&gt;='2025'!$L45,AQ$4&lt;='2025'!$M45), AQ$4&lt;&gt;DATE(2025,7,4)), (SWITCH(weekday(AQ$4), 1, 0, 2, if(ISBLANK('2025'!$P45), 0, 1), 3, if(ISBLANK('2025'!$Q45), 0, 1), 4, if(ISBLANK('2025'!$R45), 0, 1), 5, if(ISBLANK('2025'!$S45), 0, 1), 6, if(ISBLANK('2025'!$T45), 0, 1), 7, 0))), 1, "")</f>
        <v/>
      </c>
      <c r="AR45" s="1" t="str">
        <f>IF(AND(AND(AND(AR$4&gt;='2025'!$L45,AR$4&lt;='2025'!$M45), AR$4&lt;&gt;DATE(2025,7,4)), (SWITCH(weekday(AR$4), 1, 0, 2, if(ISBLANK('2025'!$P45), 0, 1), 3, if(ISBLANK('2025'!$Q45), 0, 1), 4, if(ISBLANK('2025'!$R45), 0, 1), 5, if(ISBLANK('2025'!$S45), 0, 1), 6, if(ISBLANK('2025'!$T45), 0, 1), 7, 0))), 1, "")</f>
        <v/>
      </c>
      <c r="AS45" s="1" t="str">
        <f>IF(AND(AND(AND(AS$4&gt;='2025'!$L45,AS$4&lt;='2025'!$M45), AS$4&lt;&gt;DATE(2025,7,4)), (SWITCH(weekday(AS$4), 1, 0, 2, if(ISBLANK('2025'!$P45), 0, 1), 3, if(ISBLANK('2025'!$Q45), 0, 1), 4, if(ISBLANK('2025'!$R45), 0, 1), 5, if(ISBLANK('2025'!$S45), 0, 1), 6, if(ISBLANK('2025'!$T45), 0, 1), 7, 0))), 1, "")</f>
        <v/>
      </c>
      <c r="AT45" s="1" t="str">
        <f>IF(AND(AND(AND(AT$4&gt;='2025'!$L45,AT$4&lt;='2025'!$M45), AT$4&lt;&gt;DATE(2025,7,4)), (SWITCH(weekday(AT$4), 1, 0, 2, if(ISBLANK('2025'!$P45), 0, 1), 3, if(ISBLANK('2025'!$Q45), 0, 1), 4, if(ISBLANK('2025'!$R45), 0, 1), 5, if(ISBLANK('2025'!$S45), 0, 1), 6, if(ISBLANK('2025'!$T45), 0, 1), 7, 0))), 1, "")</f>
        <v/>
      </c>
      <c r="AU45" s="1" t="str">
        <f>IF(AND(AND(AND(AU$4&gt;='2025'!$L45,AU$4&lt;='2025'!$M45), AU$4&lt;&gt;DATE(2025,7,4)), (SWITCH(weekday(AU$4), 1, 0, 2, if(ISBLANK('2025'!$P45), 0, 1), 3, if(ISBLANK('2025'!$Q45), 0, 1), 4, if(ISBLANK('2025'!$R45), 0, 1), 5, if(ISBLANK('2025'!$S45), 0, 1), 6, if(ISBLANK('2025'!$T45), 0, 1), 7, 0))), 1, "")</f>
        <v/>
      </c>
      <c r="AV45" s="1" t="str">
        <f>IF(AND(AND(AND(AV$4&gt;='2025'!$L45,AV$4&lt;='2025'!$M45), AV$4&lt;&gt;DATE(2025,7,4)), (SWITCH(weekday(AV$4), 1, 0, 2, if(ISBLANK('2025'!$P45), 0, 1), 3, if(ISBLANK('2025'!$Q45), 0, 1), 4, if(ISBLANK('2025'!$R45), 0, 1), 5, if(ISBLANK('2025'!$S45), 0, 1), 6, if(ISBLANK('2025'!$T45), 0, 1), 7, 0))), 1, "")</f>
        <v/>
      </c>
      <c r="AW45" s="1" t="str">
        <f>IF(AND(AND(AND(AW$4&gt;='2025'!$L45,AW$4&lt;='2025'!$M45), AW$4&lt;&gt;DATE(2025,7,4)), (SWITCH(weekday(AW$4), 1, 0, 2, if(ISBLANK('2025'!$P45), 0, 1), 3, if(ISBLANK('2025'!$Q45), 0, 1), 4, if(ISBLANK('2025'!$R45), 0, 1), 5, if(ISBLANK('2025'!$S45), 0, 1), 6, if(ISBLANK('2025'!$T45), 0, 1), 7, 0))), 1, "")</f>
        <v/>
      </c>
      <c r="AX45" s="1" t="str">
        <f>IF(AND(AND(AND(AX$4&gt;='2025'!$L45,AX$4&lt;='2025'!$M45), AX$4&lt;&gt;DATE(2025,7,4)), (SWITCH(weekday(AX$4), 1, 0, 2, if(ISBLANK('2025'!$P45), 0, 1), 3, if(ISBLANK('2025'!$Q45), 0, 1), 4, if(ISBLANK('2025'!$R45), 0, 1), 5, if(ISBLANK('2025'!$S45), 0, 1), 6, if(ISBLANK('2025'!$T45), 0, 1), 7, 0))), 1, "")</f>
        <v/>
      </c>
      <c r="AY45" s="1" t="str">
        <f>IF(AND(AND(AND(AY$4&gt;='2025'!$L45,AY$4&lt;='2025'!$M45), AY$4&lt;&gt;DATE(2025,7,4)), (SWITCH(weekday(AY$4), 1, 0, 2, if(ISBLANK('2025'!$P45), 0, 1), 3, if(ISBLANK('2025'!$Q45), 0, 1), 4, if(ISBLANK('2025'!$R45), 0, 1), 5, if(ISBLANK('2025'!$S45), 0, 1), 6, if(ISBLANK('2025'!$T45), 0, 1), 7, 0))), 1, "")</f>
        <v/>
      </c>
      <c r="AZ45" s="1" t="str">
        <f>IF(AND(AND(AND(AZ$4&gt;='2025'!$L45,AZ$4&lt;='2025'!$M45), AZ$4&lt;&gt;DATE(2025,7,4)), (SWITCH(weekday(AZ$4), 1, 0, 2, if(ISBLANK('2025'!$P45), 0, 1), 3, if(ISBLANK('2025'!$Q45), 0, 1), 4, if(ISBLANK('2025'!$R45), 0, 1), 5, if(ISBLANK('2025'!$S45), 0, 1), 6, if(ISBLANK('2025'!$T45), 0, 1), 7, 0))), 1, "")</f>
        <v/>
      </c>
      <c r="BA45" s="1" t="str">
        <f>IF(AND(AND(AND(BA$4&gt;='2025'!$L45,BA$4&lt;='2025'!$M45), BA$4&lt;&gt;DATE(2025,7,4)), (SWITCH(weekday(BA$4), 1, 0, 2, if(ISBLANK('2025'!$P45), 0, 1), 3, if(ISBLANK('2025'!$Q45), 0, 1), 4, if(ISBLANK('2025'!$R45), 0, 1), 5, if(ISBLANK('2025'!$S45), 0, 1), 6, if(ISBLANK('2025'!$T45), 0, 1), 7, 0))), 1, "")</f>
        <v/>
      </c>
      <c r="BB45" s="1" t="str">
        <f>IF(AND(AND(AND(BB$4&gt;='2025'!$L45,BB$4&lt;='2025'!$M45), BB$4&lt;&gt;DATE(2025,7,4)), (SWITCH(weekday(BB$4), 1, 0, 2, if(ISBLANK('2025'!$P45), 0, 1), 3, if(ISBLANK('2025'!$Q45), 0, 1), 4, if(ISBLANK('2025'!$R45), 0, 1), 5, if(ISBLANK('2025'!$S45), 0, 1), 6, if(ISBLANK('2025'!$T45), 0, 1), 7, 0))), 1, "")</f>
        <v/>
      </c>
      <c r="BC45" s="1" t="str">
        <f>IF(AND(AND(AND(BC$4&gt;='2025'!$L45,BC$4&lt;='2025'!$M45), BC$4&lt;&gt;DATE(2025,7,4)), (SWITCH(weekday(BC$4), 1, 0, 2, if(ISBLANK('2025'!$P45), 0, 1), 3, if(ISBLANK('2025'!$Q45), 0, 1), 4, if(ISBLANK('2025'!$R45), 0, 1), 5, if(ISBLANK('2025'!$S45), 0, 1), 6, if(ISBLANK('2025'!$T45), 0, 1), 7, 0))), 1, "")</f>
        <v/>
      </c>
      <c r="BD45" s="1" t="str">
        <f>IF(AND(AND(AND(BD$4&gt;='2025'!$L45,BD$4&lt;='2025'!$M45), BD$4&lt;&gt;DATE(2025,7,4)), (SWITCH(weekday(BD$4), 1, 0, 2, if(ISBLANK('2025'!$P45), 0, 1), 3, if(ISBLANK('2025'!$Q45), 0, 1), 4, if(ISBLANK('2025'!$R45), 0, 1), 5, if(ISBLANK('2025'!$S45), 0, 1), 6, if(ISBLANK('2025'!$T45), 0, 1), 7, 0))), 1, "")</f>
        <v/>
      </c>
      <c r="BE45" s="1" t="str">
        <f>IF(AND(AND(AND(BE$4&gt;='2025'!$L45,BE$4&lt;='2025'!$M45), BE$4&lt;&gt;DATE(2025,7,4)), (SWITCH(weekday(BE$4), 1, 0, 2, if(ISBLANK('2025'!$P45), 0, 1), 3, if(ISBLANK('2025'!$Q45), 0, 1), 4, if(ISBLANK('2025'!$R45), 0, 1), 5, if(ISBLANK('2025'!$S45), 0, 1), 6, if(ISBLANK('2025'!$T45), 0, 1), 7, 0))), 1, "")</f>
        <v/>
      </c>
      <c r="BF45" s="1" t="str">
        <f>IF(AND(AND(AND(BF$4&gt;='2025'!$L45,BF$4&lt;='2025'!$M45), BF$4&lt;&gt;DATE(2025,7,4)), (SWITCH(weekday(BF$4), 1, 0, 2, if(ISBLANK('2025'!$P45), 0, 1), 3, if(ISBLANK('2025'!$Q45), 0, 1), 4, if(ISBLANK('2025'!$R45), 0, 1), 5, if(ISBLANK('2025'!$S45), 0, 1), 6, if(ISBLANK('2025'!$T45), 0, 1), 7, 0))), 1, "")</f>
        <v/>
      </c>
      <c r="BG45" s="1"/>
      <c r="BH45" s="1"/>
      <c r="BI45" s="1"/>
      <c r="BJ45" s="1"/>
      <c r="BK45" s="1"/>
      <c r="BL45" s="1"/>
    </row>
    <row r="46">
      <c r="A46" s="1">
        <f t="shared" si="3"/>
        <v>46</v>
      </c>
      <c r="B46" s="1" t="str">
        <f>'2025'!D46</f>
        <v>landell , Jordyn </v>
      </c>
      <c r="C46" s="1" t="str">
        <f>'2025'!H46</f>
        <v>tod</v>
      </c>
      <c r="D46" s="1" t="str">
        <f>IF(AND(AND(AND(D$4&gt;='2025'!$L46,D$4&lt;='2025'!$M46), D$4&lt;&gt;DATE(2025,7,4)), (SWITCH(weekday(D$4), 1, 0, 2, if(ISBLANK('2025'!$P46), 0, 1), 3, if(ISBLANK('2025'!$Q46), 0, 1), 4, if(ISBLANK('2025'!$R46), 0, 1), 5, if(ISBLANK('2025'!$S46), 0, 1), 6, if(ISBLANK('2025'!$T46), 0, 1), 7, 0))), 1, "")</f>
        <v/>
      </c>
      <c r="E46" s="1" t="str">
        <f>IF(AND(AND(AND(E$4&gt;='2025'!$L46,E$4&lt;='2025'!$M46), E$4&lt;&gt;DATE(2025,7,4)), (SWITCH(weekday(E$4), 1, 0, 2, if(ISBLANK('2025'!$P46), 0, 1), 3, if(ISBLANK('2025'!$Q46), 0, 1), 4, if(ISBLANK('2025'!$R46), 0, 1), 5, if(ISBLANK('2025'!$S46), 0, 1), 6, if(ISBLANK('2025'!$T46), 0, 1), 7, 0))), 1, "")</f>
        <v/>
      </c>
      <c r="F46" s="1" t="str">
        <f>IF(AND(AND(AND(F$4&gt;='2025'!$L46,F$4&lt;='2025'!$M46), F$4&lt;&gt;DATE(2025,7,4)), (SWITCH(weekday(F$4), 1, 0, 2, if(ISBLANK('2025'!$P46), 0, 1), 3, if(ISBLANK('2025'!$Q46), 0, 1), 4, if(ISBLANK('2025'!$R46), 0, 1), 5, if(ISBLANK('2025'!$S46), 0, 1), 6, if(ISBLANK('2025'!$T46), 0, 1), 7, 0))), 1, "")</f>
        <v/>
      </c>
      <c r="G46" s="1" t="str">
        <f>IF(AND(AND(AND(G$4&gt;='2025'!$L46,G$4&lt;='2025'!$M46), G$4&lt;&gt;DATE(2025,7,4)), (SWITCH(weekday(G$4), 1, 0, 2, if(ISBLANK('2025'!$P46), 0, 1), 3, if(ISBLANK('2025'!$Q46), 0, 1), 4, if(ISBLANK('2025'!$R46), 0, 1), 5, if(ISBLANK('2025'!$S46), 0, 1), 6, if(ISBLANK('2025'!$T46), 0, 1), 7, 0))), 1, "")</f>
        <v/>
      </c>
      <c r="H46" s="1" t="str">
        <f>IF(AND(AND(AND(H$4&gt;='2025'!$L46,H$4&lt;='2025'!$M46), H$4&lt;&gt;DATE(2025,7,4)), (SWITCH(weekday(H$4), 1, 0, 2, if(ISBLANK('2025'!$P46), 0, 1), 3, if(ISBLANK('2025'!$Q46), 0, 1), 4, if(ISBLANK('2025'!$R46), 0, 1), 5, if(ISBLANK('2025'!$S46), 0, 1), 6, if(ISBLANK('2025'!$T46), 0, 1), 7, 0))), 1, "")</f>
        <v/>
      </c>
      <c r="I46" s="1" t="str">
        <f>IF(AND(AND(AND(I$4&gt;='2025'!$L46,I$4&lt;='2025'!$M46), I$4&lt;&gt;DATE(2025,7,4)), (SWITCH(weekday(I$4), 1, 0, 2, if(ISBLANK('2025'!$P46), 0, 1), 3, if(ISBLANK('2025'!$Q46), 0, 1), 4, if(ISBLANK('2025'!$R46), 0, 1), 5, if(ISBLANK('2025'!$S46), 0, 1), 6, if(ISBLANK('2025'!$T46), 0, 1), 7, 0))), 1, "")</f>
        <v/>
      </c>
      <c r="J46" s="1" t="str">
        <f>IF(AND(AND(AND(J$4&gt;='2025'!$L46,J$4&lt;='2025'!$M46), J$4&lt;&gt;DATE(2025,7,4)), (SWITCH(weekday(J$4), 1, 0, 2, if(ISBLANK('2025'!$P46), 0, 1), 3, if(ISBLANK('2025'!$Q46), 0, 1), 4, if(ISBLANK('2025'!$R46), 0, 1), 5, if(ISBLANK('2025'!$S46), 0, 1), 6, if(ISBLANK('2025'!$T46), 0, 1), 7, 0))), 1, "")</f>
        <v/>
      </c>
      <c r="K46" s="1" t="str">
        <f>IF(AND(AND(AND(K$4&gt;='2025'!$L46,K$4&lt;='2025'!$M46), K$4&lt;&gt;DATE(2025,7,4)), (SWITCH(weekday(K$4), 1, 0, 2, if(ISBLANK('2025'!$P46), 0, 1), 3, if(ISBLANK('2025'!$Q46), 0, 1), 4, if(ISBLANK('2025'!$R46), 0, 1), 5, if(ISBLANK('2025'!$S46), 0, 1), 6, if(ISBLANK('2025'!$T46), 0, 1), 7, 0))), 1, "")</f>
        <v/>
      </c>
      <c r="L46" s="1" t="str">
        <f>IF(AND(AND(AND(L$4&gt;='2025'!$L46,L$4&lt;='2025'!$M46), L$4&lt;&gt;DATE(2025,7,4)), (SWITCH(weekday(L$4), 1, 0, 2, if(ISBLANK('2025'!$P46), 0, 1), 3, if(ISBLANK('2025'!$Q46), 0, 1), 4, if(ISBLANK('2025'!$R46), 0, 1), 5, if(ISBLANK('2025'!$S46), 0, 1), 6, if(ISBLANK('2025'!$T46), 0, 1), 7, 0))), 1, "")</f>
        <v/>
      </c>
      <c r="M46" s="1" t="str">
        <f>IF(AND(AND(AND(M$4&gt;='2025'!$L46,M$4&lt;='2025'!$M46), M$4&lt;&gt;DATE(2025,7,4)), (SWITCH(weekday(M$4), 1, 0, 2, if(ISBLANK('2025'!$P46), 0, 1), 3, if(ISBLANK('2025'!$Q46), 0, 1), 4, if(ISBLANK('2025'!$R46), 0, 1), 5, if(ISBLANK('2025'!$S46), 0, 1), 6, if(ISBLANK('2025'!$T46), 0, 1), 7, 0))), 1, "")</f>
        <v/>
      </c>
      <c r="N46" s="1" t="str">
        <f>IF(AND(AND(AND(N$4&gt;='2025'!$L46,N$4&lt;='2025'!$M46), N$4&lt;&gt;DATE(2025,7,4)), (SWITCH(weekday(N$4), 1, 0, 2, if(ISBLANK('2025'!$P46), 0, 1), 3, if(ISBLANK('2025'!$Q46), 0, 1), 4, if(ISBLANK('2025'!$R46), 0, 1), 5, if(ISBLANK('2025'!$S46), 0, 1), 6, if(ISBLANK('2025'!$T46), 0, 1), 7, 0))), 1, "")</f>
        <v/>
      </c>
      <c r="O46" s="1" t="str">
        <f>IF(AND(AND(AND(O$4&gt;='2025'!$L46,O$4&lt;='2025'!$M46), O$4&lt;&gt;DATE(2025,7,4)), (SWITCH(weekday(O$4), 1, 0, 2, if(ISBLANK('2025'!$P46), 0, 1), 3, if(ISBLANK('2025'!$Q46), 0, 1), 4, if(ISBLANK('2025'!$R46), 0, 1), 5, if(ISBLANK('2025'!$S46), 0, 1), 6, if(ISBLANK('2025'!$T46), 0, 1), 7, 0))), 1, "")</f>
        <v/>
      </c>
      <c r="P46" s="1" t="str">
        <f>IF(AND(AND(AND(P$4&gt;='2025'!$L46,P$4&lt;='2025'!$M46), P$4&lt;&gt;DATE(2025,7,4)), (SWITCH(weekday(P$4), 1, 0, 2, if(ISBLANK('2025'!$P46), 0, 1), 3, if(ISBLANK('2025'!$Q46), 0, 1), 4, if(ISBLANK('2025'!$R46), 0, 1), 5, if(ISBLANK('2025'!$S46), 0, 1), 6, if(ISBLANK('2025'!$T46), 0, 1), 7, 0))), 1, "")</f>
        <v/>
      </c>
      <c r="Q46" s="1" t="str">
        <f>IF(AND(AND(AND(Q$4&gt;='2025'!$L46,Q$4&lt;='2025'!$M46), Q$4&lt;&gt;DATE(2025,7,4)), (SWITCH(weekday(Q$4), 1, 0, 2, if(ISBLANK('2025'!$P46), 0, 1), 3, if(ISBLANK('2025'!$Q46), 0, 1), 4, if(ISBLANK('2025'!$R46), 0, 1), 5, if(ISBLANK('2025'!$S46), 0, 1), 6, if(ISBLANK('2025'!$T46), 0, 1), 7, 0))), 1, "")</f>
        <v/>
      </c>
      <c r="R46" s="1" t="str">
        <f>IF(AND(AND(AND(R$4&gt;='2025'!$L46,R$4&lt;='2025'!$M46), R$4&lt;&gt;DATE(2025,7,4)), (SWITCH(weekday(R$4), 1, 0, 2, if(ISBLANK('2025'!$P46), 0, 1), 3, if(ISBLANK('2025'!$Q46), 0, 1), 4, if(ISBLANK('2025'!$R46), 0, 1), 5, if(ISBLANK('2025'!$S46), 0, 1), 6, if(ISBLANK('2025'!$T46), 0, 1), 7, 0))), 1, "")</f>
        <v/>
      </c>
      <c r="S46" s="1" t="str">
        <f>IF(AND(AND(AND(S$4&gt;='2025'!$L46,S$4&lt;='2025'!$M46), S$4&lt;&gt;DATE(2025,7,4)), (SWITCH(weekday(S$4), 1, 0, 2, if(ISBLANK('2025'!$P46), 0, 1), 3, if(ISBLANK('2025'!$Q46), 0, 1), 4, if(ISBLANK('2025'!$R46), 0, 1), 5, if(ISBLANK('2025'!$S46), 0, 1), 6, if(ISBLANK('2025'!$T46), 0, 1), 7, 0))), 1, "")</f>
        <v/>
      </c>
      <c r="T46" s="1" t="str">
        <f>IF(AND(AND(AND(T$4&gt;='2025'!$L46,T$4&lt;='2025'!$M46), T$4&lt;&gt;DATE(2025,7,4)), (SWITCH(weekday(T$4), 1, 0, 2, if(ISBLANK('2025'!$P46), 0, 1), 3, if(ISBLANK('2025'!$Q46), 0, 1), 4, if(ISBLANK('2025'!$R46), 0, 1), 5, if(ISBLANK('2025'!$S46), 0, 1), 6, if(ISBLANK('2025'!$T46), 0, 1), 7, 0))), 1, "")</f>
        <v/>
      </c>
      <c r="U46" s="1" t="str">
        <f>IF(AND(AND(AND(U$4&gt;='2025'!$L46,U$4&lt;='2025'!$M46), U$4&lt;&gt;DATE(2025,7,4)), (SWITCH(weekday(U$4), 1, 0, 2, if(ISBLANK('2025'!$P46), 0, 1), 3, if(ISBLANK('2025'!$Q46), 0, 1), 4, if(ISBLANK('2025'!$R46), 0, 1), 5, if(ISBLANK('2025'!$S46), 0, 1), 6, if(ISBLANK('2025'!$T46), 0, 1), 7, 0))), 1, "")</f>
        <v/>
      </c>
      <c r="V46" s="1" t="str">
        <f>IF(AND(AND(AND(V$4&gt;='2025'!$L46,V$4&lt;='2025'!$M46), V$4&lt;&gt;DATE(2025,7,4)), (SWITCH(weekday(V$4), 1, 0, 2, if(ISBLANK('2025'!$P46), 0, 1), 3, if(ISBLANK('2025'!$Q46), 0, 1), 4, if(ISBLANK('2025'!$R46), 0, 1), 5, if(ISBLANK('2025'!$S46), 0, 1), 6, if(ISBLANK('2025'!$T46), 0, 1), 7, 0))), 1, "")</f>
        <v/>
      </c>
      <c r="W46" s="1" t="str">
        <f>IF(AND(AND(AND(W$4&gt;='2025'!$L46,W$4&lt;='2025'!$M46), W$4&lt;&gt;DATE(2025,7,4)), (SWITCH(weekday(W$4), 1, 0, 2, if(ISBLANK('2025'!$P46), 0, 1), 3, if(ISBLANK('2025'!$Q46), 0, 1), 4, if(ISBLANK('2025'!$R46), 0, 1), 5, if(ISBLANK('2025'!$S46), 0, 1), 6, if(ISBLANK('2025'!$T46), 0, 1), 7, 0))), 1, "")</f>
        <v/>
      </c>
      <c r="X46" s="1" t="str">
        <f>IF(AND(AND(AND(X$4&gt;='2025'!$L46,X$4&lt;='2025'!$M46), X$4&lt;&gt;DATE(2025,7,4)), (SWITCH(weekday(X$4), 1, 0, 2, if(ISBLANK('2025'!$P46), 0, 1), 3, if(ISBLANK('2025'!$Q46), 0, 1), 4, if(ISBLANK('2025'!$R46), 0, 1), 5, if(ISBLANK('2025'!$S46), 0, 1), 6, if(ISBLANK('2025'!$T46), 0, 1), 7, 0))), 1, "")</f>
        <v/>
      </c>
      <c r="Y46" s="1" t="str">
        <f>IF(AND(AND(AND(Y$4&gt;='2025'!$L46,Y$4&lt;='2025'!$M46), Y$4&lt;&gt;DATE(2025,7,4)), (SWITCH(weekday(Y$4), 1, 0, 2, if(ISBLANK('2025'!$P46), 0, 1), 3, if(ISBLANK('2025'!$Q46), 0, 1), 4, if(ISBLANK('2025'!$R46), 0, 1), 5, if(ISBLANK('2025'!$S46), 0, 1), 6, if(ISBLANK('2025'!$T46), 0, 1), 7, 0))), 1, "")</f>
        <v/>
      </c>
      <c r="Z46" s="1" t="str">
        <f>IF(AND(AND(AND(Z$4&gt;='2025'!$L46,Z$4&lt;='2025'!$M46), Z$4&lt;&gt;DATE(2025,7,4)), (SWITCH(weekday(Z$4), 1, 0, 2, if(ISBLANK('2025'!$P46), 0, 1), 3, if(ISBLANK('2025'!$Q46), 0, 1), 4, if(ISBLANK('2025'!$R46), 0, 1), 5, if(ISBLANK('2025'!$S46), 0, 1), 6, if(ISBLANK('2025'!$T46), 0, 1), 7, 0))), 1, "")</f>
        <v/>
      </c>
      <c r="AA46" s="1" t="str">
        <f>IF(AND(AND(AND(AA$4&gt;='2025'!$L46,AA$4&lt;='2025'!$M46), AA$4&lt;&gt;DATE(2025,7,4)), (SWITCH(weekday(AA$4), 1, 0, 2, if(ISBLANK('2025'!$P46), 0, 1), 3, if(ISBLANK('2025'!$Q46), 0, 1), 4, if(ISBLANK('2025'!$R46), 0, 1), 5, if(ISBLANK('2025'!$S46), 0, 1), 6, if(ISBLANK('2025'!$T46), 0, 1), 7, 0))), 1, "")</f>
        <v/>
      </c>
      <c r="AB46" s="1" t="str">
        <f>IF(AND(AND(AND(AB$4&gt;='2025'!$L46,AB$4&lt;='2025'!$M46), AB$4&lt;&gt;DATE(2025,7,4)), (SWITCH(weekday(AB$4), 1, 0, 2, if(ISBLANK('2025'!$P46), 0, 1), 3, if(ISBLANK('2025'!$Q46), 0, 1), 4, if(ISBLANK('2025'!$R46), 0, 1), 5, if(ISBLANK('2025'!$S46), 0, 1), 6, if(ISBLANK('2025'!$T46), 0, 1), 7, 0))), 1, "")</f>
        <v/>
      </c>
      <c r="AC46" s="1" t="str">
        <f>IF(AND(AND(AND(AC$4&gt;='2025'!$L46,AC$4&lt;='2025'!$M46), AC$4&lt;&gt;DATE(2025,7,4)), (SWITCH(weekday(AC$4), 1, 0, 2, if(ISBLANK('2025'!$P46), 0, 1), 3, if(ISBLANK('2025'!$Q46), 0, 1), 4, if(ISBLANK('2025'!$R46), 0, 1), 5, if(ISBLANK('2025'!$S46), 0, 1), 6, if(ISBLANK('2025'!$T46), 0, 1), 7, 0))), 1, "")</f>
        <v/>
      </c>
      <c r="AD46" s="1" t="str">
        <f>IF(AND(AND(AND(AD$4&gt;='2025'!$L46,AD$4&lt;='2025'!$M46), AD$4&lt;&gt;DATE(2025,7,4)), (SWITCH(weekday(AD$4), 1, 0, 2, if(ISBLANK('2025'!$P46), 0, 1), 3, if(ISBLANK('2025'!$Q46), 0, 1), 4, if(ISBLANK('2025'!$R46), 0, 1), 5, if(ISBLANK('2025'!$S46), 0, 1), 6, if(ISBLANK('2025'!$T46), 0, 1), 7, 0))), 1, "")</f>
        <v/>
      </c>
      <c r="AE46" s="1" t="str">
        <f>IF(AND(AND(AND(AE$4&gt;='2025'!$L46,AE$4&lt;='2025'!$M46), AE$4&lt;&gt;DATE(2025,7,4)), (SWITCH(weekday(AE$4), 1, 0, 2, if(ISBLANK('2025'!$P46), 0, 1), 3, if(ISBLANK('2025'!$Q46), 0, 1), 4, if(ISBLANK('2025'!$R46), 0, 1), 5, if(ISBLANK('2025'!$S46), 0, 1), 6, if(ISBLANK('2025'!$T46), 0, 1), 7, 0))), 1, "")</f>
        <v/>
      </c>
      <c r="AF46" s="1" t="str">
        <f>IF(AND(AND(AND(AF$4&gt;='2025'!$L46,AF$4&lt;='2025'!$M46), AF$4&lt;&gt;DATE(2025,7,4)), (SWITCH(weekday(AF$4), 1, 0, 2, if(ISBLANK('2025'!$P46), 0, 1), 3, if(ISBLANK('2025'!$Q46), 0, 1), 4, if(ISBLANK('2025'!$R46), 0, 1), 5, if(ISBLANK('2025'!$S46), 0, 1), 6, if(ISBLANK('2025'!$T46), 0, 1), 7, 0))), 1, "")</f>
        <v/>
      </c>
      <c r="AG46" s="1" t="str">
        <f>IF(AND(AND(AND(AG$4&gt;='2025'!$L46,AG$4&lt;='2025'!$M46), AG$4&lt;&gt;DATE(2025,7,4)), (SWITCH(weekday(AG$4), 1, 0, 2, if(ISBLANK('2025'!$P46), 0, 1), 3, if(ISBLANK('2025'!$Q46), 0, 1), 4, if(ISBLANK('2025'!$R46), 0, 1), 5, if(ISBLANK('2025'!$S46), 0, 1), 6, if(ISBLANK('2025'!$T46), 0, 1), 7, 0))), 1, "")</f>
        <v/>
      </c>
      <c r="AH46" s="1" t="str">
        <f>IF(AND(AND(AND(AH$4&gt;='2025'!$L46,AH$4&lt;='2025'!$M46), AH$4&lt;&gt;DATE(2025,7,4)), (SWITCH(weekday(AH$4), 1, 0, 2, if(ISBLANK('2025'!$P46), 0, 1), 3, if(ISBLANK('2025'!$Q46), 0, 1), 4, if(ISBLANK('2025'!$R46), 0, 1), 5, if(ISBLANK('2025'!$S46), 0, 1), 6, if(ISBLANK('2025'!$T46), 0, 1), 7, 0))), 1, "")</f>
        <v/>
      </c>
      <c r="AI46" s="1" t="str">
        <f>IF(AND(AND(AND(AI$4&gt;='2025'!$L46,AI$4&lt;='2025'!$M46), AI$4&lt;&gt;DATE(2025,7,4)), (SWITCH(weekday(AI$4), 1, 0, 2, if(ISBLANK('2025'!$P46), 0, 1), 3, if(ISBLANK('2025'!$Q46), 0, 1), 4, if(ISBLANK('2025'!$R46), 0, 1), 5, if(ISBLANK('2025'!$S46), 0, 1), 6, if(ISBLANK('2025'!$T46), 0, 1), 7, 0))), 1, "")</f>
        <v/>
      </c>
      <c r="AJ46" s="1" t="str">
        <f>IF(AND(AND(AND(AJ$4&gt;='2025'!$L46,AJ$4&lt;='2025'!$M46), AJ$4&lt;&gt;DATE(2025,7,4)), (SWITCH(weekday(AJ$4), 1, 0, 2, if(ISBLANK('2025'!$P46), 0, 1), 3, if(ISBLANK('2025'!$Q46), 0, 1), 4, if(ISBLANK('2025'!$R46), 0, 1), 5, if(ISBLANK('2025'!$S46), 0, 1), 6, if(ISBLANK('2025'!$T46), 0, 1), 7, 0))), 1, "")</f>
        <v/>
      </c>
      <c r="AK46" s="1" t="str">
        <f>IF(AND(AND(AND(AK$4&gt;='2025'!$L46,AK$4&lt;='2025'!$M46), AK$4&lt;&gt;DATE(2025,7,4)), (SWITCH(weekday(AK$4), 1, 0, 2, if(ISBLANK('2025'!$P46), 0, 1), 3, if(ISBLANK('2025'!$Q46), 0, 1), 4, if(ISBLANK('2025'!$R46), 0, 1), 5, if(ISBLANK('2025'!$S46), 0, 1), 6, if(ISBLANK('2025'!$T46), 0, 1), 7, 0))), 1, "")</f>
        <v/>
      </c>
      <c r="AL46" s="1" t="str">
        <f>IF(AND(AND(AND(AL$4&gt;='2025'!$L46,AL$4&lt;='2025'!$M46), AL$4&lt;&gt;DATE(2025,7,4)), (SWITCH(weekday(AL$4), 1, 0, 2, if(ISBLANK('2025'!$P46), 0, 1), 3, if(ISBLANK('2025'!$Q46), 0, 1), 4, if(ISBLANK('2025'!$R46), 0, 1), 5, if(ISBLANK('2025'!$S46), 0, 1), 6, if(ISBLANK('2025'!$T46), 0, 1), 7, 0))), 1, "")</f>
        <v/>
      </c>
      <c r="AM46" s="1" t="str">
        <f>IF(AND(AND(AND(AM$4&gt;='2025'!$L46,AM$4&lt;='2025'!$M46), AM$4&lt;&gt;DATE(2025,7,4)), (SWITCH(weekday(AM$4), 1, 0, 2, if(ISBLANK('2025'!$P46), 0, 1), 3, if(ISBLANK('2025'!$Q46), 0, 1), 4, if(ISBLANK('2025'!$R46), 0, 1), 5, if(ISBLANK('2025'!$S46), 0, 1), 6, if(ISBLANK('2025'!$T46), 0, 1), 7, 0))), 1, "")</f>
        <v/>
      </c>
      <c r="AN46" s="1" t="str">
        <f>IF(AND(AND(AND(AN$4&gt;='2025'!$L46,AN$4&lt;='2025'!$M46), AN$4&lt;&gt;DATE(2025,7,4)), (SWITCH(weekday(AN$4), 1, 0, 2, if(ISBLANK('2025'!$P46), 0, 1), 3, if(ISBLANK('2025'!$Q46), 0, 1), 4, if(ISBLANK('2025'!$R46), 0, 1), 5, if(ISBLANK('2025'!$S46), 0, 1), 6, if(ISBLANK('2025'!$T46), 0, 1), 7, 0))), 1, "")</f>
        <v/>
      </c>
      <c r="AO46" s="1" t="str">
        <f>IF(AND(AND(AND(AO$4&gt;='2025'!$L46,AO$4&lt;='2025'!$M46), AO$4&lt;&gt;DATE(2025,7,4)), (SWITCH(weekday(AO$4), 1, 0, 2, if(ISBLANK('2025'!$P46), 0, 1), 3, if(ISBLANK('2025'!$Q46), 0, 1), 4, if(ISBLANK('2025'!$R46), 0, 1), 5, if(ISBLANK('2025'!$S46), 0, 1), 6, if(ISBLANK('2025'!$T46), 0, 1), 7, 0))), 1, "")</f>
        <v/>
      </c>
      <c r="AP46" s="1" t="str">
        <f>IF(AND(AND(AND(AP$4&gt;='2025'!$L46,AP$4&lt;='2025'!$M46), AP$4&lt;&gt;DATE(2025,7,4)), (SWITCH(weekday(AP$4), 1, 0, 2, if(ISBLANK('2025'!$P46), 0, 1), 3, if(ISBLANK('2025'!$Q46), 0, 1), 4, if(ISBLANK('2025'!$R46), 0, 1), 5, if(ISBLANK('2025'!$S46), 0, 1), 6, if(ISBLANK('2025'!$T46), 0, 1), 7, 0))), 1, "")</f>
        <v/>
      </c>
      <c r="AQ46" s="1" t="str">
        <f>IF(AND(AND(AND(AQ$4&gt;='2025'!$L46,AQ$4&lt;='2025'!$M46), AQ$4&lt;&gt;DATE(2025,7,4)), (SWITCH(weekday(AQ$4), 1, 0, 2, if(ISBLANK('2025'!$P46), 0, 1), 3, if(ISBLANK('2025'!$Q46), 0, 1), 4, if(ISBLANK('2025'!$R46), 0, 1), 5, if(ISBLANK('2025'!$S46), 0, 1), 6, if(ISBLANK('2025'!$T46), 0, 1), 7, 0))), 1, "")</f>
        <v/>
      </c>
      <c r="AR46" s="1" t="str">
        <f>IF(AND(AND(AND(AR$4&gt;='2025'!$L46,AR$4&lt;='2025'!$M46), AR$4&lt;&gt;DATE(2025,7,4)), (SWITCH(weekday(AR$4), 1, 0, 2, if(ISBLANK('2025'!$P46), 0, 1), 3, if(ISBLANK('2025'!$Q46), 0, 1), 4, if(ISBLANK('2025'!$R46), 0, 1), 5, if(ISBLANK('2025'!$S46), 0, 1), 6, if(ISBLANK('2025'!$T46), 0, 1), 7, 0))), 1, "")</f>
        <v/>
      </c>
      <c r="AS46" s="1" t="str">
        <f>IF(AND(AND(AND(AS$4&gt;='2025'!$L46,AS$4&lt;='2025'!$M46), AS$4&lt;&gt;DATE(2025,7,4)), (SWITCH(weekday(AS$4), 1, 0, 2, if(ISBLANK('2025'!$P46), 0, 1), 3, if(ISBLANK('2025'!$Q46), 0, 1), 4, if(ISBLANK('2025'!$R46), 0, 1), 5, if(ISBLANK('2025'!$S46), 0, 1), 6, if(ISBLANK('2025'!$T46), 0, 1), 7, 0))), 1, "")</f>
        <v/>
      </c>
      <c r="AT46" s="1" t="str">
        <f>IF(AND(AND(AND(AT$4&gt;='2025'!$L46,AT$4&lt;='2025'!$M46), AT$4&lt;&gt;DATE(2025,7,4)), (SWITCH(weekday(AT$4), 1, 0, 2, if(ISBLANK('2025'!$P46), 0, 1), 3, if(ISBLANK('2025'!$Q46), 0, 1), 4, if(ISBLANK('2025'!$R46), 0, 1), 5, if(ISBLANK('2025'!$S46), 0, 1), 6, if(ISBLANK('2025'!$T46), 0, 1), 7, 0))), 1, "")</f>
        <v/>
      </c>
      <c r="AU46" s="1" t="str">
        <f>IF(AND(AND(AND(AU$4&gt;='2025'!$L46,AU$4&lt;='2025'!$M46), AU$4&lt;&gt;DATE(2025,7,4)), (SWITCH(weekday(AU$4), 1, 0, 2, if(ISBLANK('2025'!$P46), 0, 1), 3, if(ISBLANK('2025'!$Q46), 0, 1), 4, if(ISBLANK('2025'!$R46), 0, 1), 5, if(ISBLANK('2025'!$S46), 0, 1), 6, if(ISBLANK('2025'!$T46), 0, 1), 7, 0))), 1, "")</f>
        <v/>
      </c>
      <c r="AV46" s="1" t="str">
        <f>IF(AND(AND(AND(AV$4&gt;='2025'!$L46,AV$4&lt;='2025'!$M46), AV$4&lt;&gt;DATE(2025,7,4)), (SWITCH(weekday(AV$4), 1, 0, 2, if(ISBLANK('2025'!$P46), 0, 1), 3, if(ISBLANK('2025'!$Q46), 0, 1), 4, if(ISBLANK('2025'!$R46), 0, 1), 5, if(ISBLANK('2025'!$S46), 0, 1), 6, if(ISBLANK('2025'!$T46), 0, 1), 7, 0))), 1, "")</f>
        <v/>
      </c>
      <c r="AW46" s="1" t="str">
        <f>IF(AND(AND(AND(AW$4&gt;='2025'!$L46,AW$4&lt;='2025'!$M46), AW$4&lt;&gt;DATE(2025,7,4)), (SWITCH(weekday(AW$4), 1, 0, 2, if(ISBLANK('2025'!$P46), 0, 1), 3, if(ISBLANK('2025'!$Q46), 0, 1), 4, if(ISBLANK('2025'!$R46), 0, 1), 5, if(ISBLANK('2025'!$S46), 0, 1), 6, if(ISBLANK('2025'!$T46), 0, 1), 7, 0))), 1, "")</f>
        <v/>
      </c>
      <c r="AX46" s="1" t="str">
        <f>IF(AND(AND(AND(AX$4&gt;='2025'!$L46,AX$4&lt;='2025'!$M46), AX$4&lt;&gt;DATE(2025,7,4)), (SWITCH(weekday(AX$4), 1, 0, 2, if(ISBLANK('2025'!$P46), 0, 1), 3, if(ISBLANK('2025'!$Q46), 0, 1), 4, if(ISBLANK('2025'!$R46), 0, 1), 5, if(ISBLANK('2025'!$S46), 0, 1), 6, if(ISBLANK('2025'!$T46), 0, 1), 7, 0))), 1, "")</f>
        <v/>
      </c>
      <c r="AY46" s="1" t="str">
        <f>IF(AND(AND(AND(AY$4&gt;='2025'!$L46,AY$4&lt;='2025'!$M46), AY$4&lt;&gt;DATE(2025,7,4)), (SWITCH(weekday(AY$4), 1, 0, 2, if(ISBLANK('2025'!$P46), 0, 1), 3, if(ISBLANK('2025'!$Q46), 0, 1), 4, if(ISBLANK('2025'!$R46), 0, 1), 5, if(ISBLANK('2025'!$S46), 0, 1), 6, if(ISBLANK('2025'!$T46), 0, 1), 7, 0))), 1, "")</f>
        <v/>
      </c>
      <c r="AZ46" s="1" t="str">
        <f>IF(AND(AND(AND(AZ$4&gt;='2025'!$L46,AZ$4&lt;='2025'!$M46), AZ$4&lt;&gt;DATE(2025,7,4)), (SWITCH(weekday(AZ$4), 1, 0, 2, if(ISBLANK('2025'!$P46), 0, 1), 3, if(ISBLANK('2025'!$Q46), 0, 1), 4, if(ISBLANK('2025'!$R46), 0, 1), 5, if(ISBLANK('2025'!$S46), 0, 1), 6, if(ISBLANK('2025'!$T46), 0, 1), 7, 0))), 1, "")</f>
        <v/>
      </c>
      <c r="BA46" s="1" t="str">
        <f>IF(AND(AND(AND(BA$4&gt;='2025'!$L46,BA$4&lt;='2025'!$M46), BA$4&lt;&gt;DATE(2025,7,4)), (SWITCH(weekday(BA$4), 1, 0, 2, if(ISBLANK('2025'!$P46), 0, 1), 3, if(ISBLANK('2025'!$Q46), 0, 1), 4, if(ISBLANK('2025'!$R46), 0, 1), 5, if(ISBLANK('2025'!$S46), 0, 1), 6, if(ISBLANK('2025'!$T46), 0, 1), 7, 0))), 1, "")</f>
        <v/>
      </c>
      <c r="BB46" s="1" t="str">
        <f>IF(AND(AND(AND(BB$4&gt;='2025'!$L46,BB$4&lt;='2025'!$M46), BB$4&lt;&gt;DATE(2025,7,4)), (SWITCH(weekday(BB$4), 1, 0, 2, if(ISBLANK('2025'!$P46), 0, 1), 3, if(ISBLANK('2025'!$Q46), 0, 1), 4, if(ISBLANK('2025'!$R46), 0, 1), 5, if(ISBLANK('2025'!$S46), 0, 1), 6, if(ISBLANK('2025'!$T46), 0, 1), 7, 0))), 1, "")</f>
        <v/>
      </c>
      <c r="BC46" s="1" t="str">
        <f>IF(AND(AND(AND(BC$4&gt;='2025'!$L46,BC$4&lt;='2025'!$M46), BC$4&lt;&gt;DATE(2025,7,4)), (SWITCH(weekday(BC$4), 1, 0, 2, if(ISBLANK('2025'!$P46), 0, 1), 3, if(ISBLANK('2025'!$Q46), 0, 1), 4, if(ISBLANK('2025'!$R46), 0, 1), 5, if(ISBLANK('2025'!$S46), 0, 1), 6, if(ISBLANK('2025'!$T46), 0, 1), 7, 0))), 1, "")</f>
        <v/>
      </c>
      <c r="BD46" s="1" t="str">
        <f>IF(AND(AND(AND(BD$4&gt;='2025'!$L46,BD$4&lt;='2025'!$M46), BD$4&lt;&gt;DATE(2025,7,4)), (SWITCH(weekday(BD$4), 1, 0, 2, if(ISBLANK('2025'!$P46), 0, 1), 3, if(ISBLANK('2025'!$Q46), 0, 1), 4, if(ISBLANK('2025'!$R46), 0, 1), 5, if(ISBLANK('2025'!$S46), 0, 1), 6, if(ISBLANK('2025'!$T46), 0, 1), 7, 0))), 1, "")</f>
        <v/>
      </c>
      <c r="BE46" s="1" t="str">
        <f>IF(AND(AND(AND(BE$4&gt;='2025'!$L46,BE$4&lt;='2025'!$M46), BE$4&lt;&gt;DATE(2025,7,4)), (SWITCH(weekday(BE$4), 1, 0, 2, if(ISBLANK('2025'!$P46), 0, 1), 3, if(ISBLANK('2025'!$Q46), 0, 1), 4, if(ISBLANK('2025'!$R46), 0, 1), 5, if(ISBLANK('2025'!$S46), 0, 1), 6, if(ISBLANK('2025'!$T46), 0, 1), 7, 0))), 1, "")</f>
        <v/>
      </c>
      <c r="BF46" s="1" t="str">
        <f>IF(AND(AND(AND(BF$4&gt;='2025'!$L46,BF$4&lt;='2025'!$M46), BF$4&lt;&gt;DATE(2025,7,4)), (SWITCH(weekday(BF$4), 1, 0, 2, if(ISBLANK('2025'!$P46), 0, 1), 3, if(ISBLANK('2025'!$Q46), 0, 1), 4, if(ISBLANK('2025'!$R46), 0, 1), 5, if(ISBLANK('2025'!$S46), 0, 1), 6, if(ISBLANK('2025'!$T46), 0, 1), 7, 0))), 1, "")</f>
        <v/>
      </c>
      <c r="BG46" s="1"/>
      <c r="BH46" s="1"/>
      <c r="BI46" s="1"/>
      <c r="BJ46" s="1"/>
      <c r="BK46" s="1"/>
      <c r="BL46" s="1"/>
    </row>
    <row r="47">
      <c r="A47" s="1">
        <f t="shared" si="3"/>
        <v>47</v>
      </c>
      <c r="B47" s="1" t="str">
        <f>'2025'!D47</f>
        <v>Jin , Freya</v>
      </c>
      <c r="C47" s="1" t="str">
        <f>'2025'!H47</f>
        <v>Infant</v>
      </c>
      <c r="D47" s="1" t="str">
        <f>IF(AND(AND(AND(D$4&gt;='2025'!$L47,D$4&lt;='2025'!$M47), D$4&lt;&gt;DATE(2025,7,4)), (SWITCH(weekday(D$4), 1, 0, 2, if(ISBLANK('2025'!$P47), 0, 1), 3, if(ISBLANK('2025'!$Q47), 0, 1), 4, if(ISBLANK('2025'!$R47), 0, 1), 5, if(ISBLANK('2025'!$S47), 0, 1), 6, if(ISBLANK('2025'!$T47), 0, 1), 7, 0))), 1, "")</f>
        <v/>
      </c>
      <c r="E47" s="1" t="str">
        <f>IF(AND(AND(AND(E$4&gt;='2025'!$L47,E$4&lt;='2025'!$M47), E$4&lt;&gt;DATE(2025,7,4)), (SWITCH(weekday(E$4), 1, 0, 2, if(ISBLANK('2025'!$P47), 0, 1), 3, if(ISBLANK('2025'!$Q47), 0, 1), 4, if(ISBLANK('2025'!$R47), 0, 1), 5, if(ISBLANK('2025'!$S47), 0, 1), 6, if(ISBLANK('2025'!$T47), 0, 1), 7, 0))), 1, "")</f>
        <v/>
      </c>
      <c r="F47" s="1" t="str">
        <f>IF(AND(AND(AND(F$4&gt;='2025'!$L47,F$4&lt;='2025'!$M47), F$4&lt;&gt;DATE(2025,7,4)), (SWITCH(weekday(F$4), 1, 0, 2, if(ISBLANK('2025'!$P47), 0, 1), 3, if(ISBLANK('2025'!$Q47), 0, 1), 4, if(ISBLANK('2025'!$R47), 0, 1), 5, if(ISBLANK('2025'!$S47), 0, 1), 6, if(ISBLANK('2025'!$T47), 0, 1), 7, 0))), 1, "")</f>
        <v/>
      </c>
      <c r="G47" s="1" t="str">
        <f>IF(AND(AND(AND(G$4&gt;='2025'!$L47,G$4&lt;='2025'!$M47), G$4&lt;&gt;DATE(2025,7,4)), (SWITCH(weekday(G$4), 1, 0, 2, if(ISBLANK('2025'!$P47), 0, 1), 3, if(ISBLANK('2025'!$Q47), 0, 1), 4, if(ISBLANK('2025'!$R47), 0, 1), 5, if(ISBLANK('2025'!$S47), 0, 1), 6, if(ISBLANK('2025'!$T47), 0, 1), 7, 0))), 1, "")</f>
        <v/>
      </c>
      <c r="H47" s="1" t="str">
        <f>IF(AND(AND(AND(H$4&gt;='2025'!$L47,H$4&lt;='2025'!$M47), H$4&lt;&gt;DATE(2025,7,4)), (SWITCH(weekday(H$4), 1, 0, 2, if(ISBLANK('2025'!$P47), 0, 1), 3, if(ISBLANK('2025'!$Q47), 0, 1), 4, if(ISBLANK('2025'!$R47), 0, 1), 5, if(ISBLANK('2025'!$S47), 0, 1), 6, if(ISBLANK('2025'!$T47), 0, 1), 7, 0))), 1, "")</f>
        <v/>
      </c>
      <c r="I47" s="1" t="str">
        <f>IF(AND(AND(AND(I$4&gt;='2025'!$L47,I$4&lt;='2025'!$M47), I$4&lt;&gt;DATE(2025,7,4)), (SWITCH(weekday(I$4), 1, 0, 2, if(ISBLANK('2025'!$P47), 0, 1), 3, if(ISBLANK('2025'!$Q47), 0, 1), 4, if(ISBLANK('2025'!$R47), 0, 1), 5, if(ISBLANK('2025'!$S47), 0, 1), 6, if(ISBLANK('2025'!$T47), 0, 1), 7, 0))), 1, "")</f>
        <v/>
      </c>
      <c r="J47" s="1" t="str">
        <f>IF(AND(AND(AND(J$4&gt;='2025'!$L47,J$4&lt;='2025'!$M47), J$4&lt;&gt;DATE(2025,7,4)), (SWITCH(weekday(J$4), 1, 0, 2, if(ISBLANK('2025'!$P47), 0, 1), 3, if(ISBLANK('2025'!$Q47), 0, 1), 4, if(ISBLANK('2025'!$R47), 0, 1), 5, if(ISBLANK('2025'!$S47), 0, 1), 6, if(ISBLANK('2025'!$T47), 0, 1), 7, 0))), 1, "")</f>
        <v/>
      </c>
      <c r="K47" s="1" t="str">
        <f>IF(AND(AND(AND(K$4&gt;='2025'!$L47,K$4&lt;='2025'!$M47), K$4&lt;&gt;DATE(2025,7,4)), (SWITCH(weekday(K$4), 1, 0, 2, if(ISBLANK('2025'!$P47), 0, 1), 3, if(ISBLANK('2025'!$Q47), 0, 1), 4, if(ISBLANK('2025'!$R47), 0, 1), 5, if(ISBLANK('2025'!$S47), 0, 1), 6, if(ISBLANK('2025'!$T47), 0, 1), 7, 0))), 1, "")</f>
        <v/>
      </c>
      <c r="L47" s="1" t="str">
        <f>IF(AND(AND(AND(L$4&gt;='2025'!$L47,L$4&lt;='2025'!$M47), L$4&lt;&gt;DATE(2025,7,4)), (SWITCH(weekday(L$4), 1, 0, 2, if(ISBLANK('2025'!$P47), 0, 1), 3, if(ISBLANK('2025'!$Q47), 0, 1), 4, if(ISBLANK('2025'!$R47), 0, 1), 5, if(ISBLANK('2025'!$S47), 0, 1), 6, if(ISBLANK('2025'!$T47), 0, 1), 7, 0))), 1, "")</f>
        <v/>
      </c>
      <c r="M47" s="1" t="str">
        <f>IF(AND(AND(AND(M$4&gt;='2025'!$L47,M$4&lt;='2025'!$M47), M$4&lt;&gt;DATE(2025,7,4)), (SWITCH(weekday(M$4), 1, 0, 2, if(ISBLANK('2025'!$P47), 0, 1), 3, if(ISBLANK('2025'!$Q47), 0, 1), 4, if(ISBLANK('2025'!$R47), 0, 1), 5, if(ISBLANK('2025'!$S47), 0, 1), 6, if(ISBLANK('2025'!$T47), 0, 1), 7, 0))), 1, "")</f>
        <v/>
      </c>
      <c r="N47" s="1" t="str">
        <f>IF(AND(AND(AND(N$4&gt;='2025'!$L47,N$4&lt;='2025'!$M47), N$4&lt;&gt;DATE(2025,7,4)), (SWITCH(weekday(N$4), 1, 0, 2, if(ISBLANK('2025'!$P47), 0, 1), 3, if(ISBLANK('2025'!$Q47), 0, 1), 4, if(ISBLANK('2025'!$R47), 0, 1), 5, if(ISBLANK('2025'!$S47), 0, 1), 6, if(ISBLANK('2025'!$T47), 0, 1), 7, 0))), 1, "")</f>
        <v/>
      </c>
      <c r="O47" s="1" t="str">
        <f>IF(AND(AND(AND(O$4&gt;='2025'!$L47,O$4&lt;='2025'!$M47), O$4&lt;&gt;DATE(2025,7,4)), (SWITCH(weekday(O$4), 1, 0, 2, if(ISBLANK('2025'!$P47), 0, 1), 3, if(ISBLANK('2025'!$Q47), 0, 1), 4, if(ISBLANK('2025'!$R47), 0, 1), 5, if(ISBLANK('2025'!$S47), 0, 1), 6, if(ISBLANK('2025'!$T47), 0, 1), 7, 0))), 1, "")</f>
        <v/>
      </c>
      <c r="P47" s="1" t="str">
        <f>IF(AND(AND(AND(P$4&gt;='2025'!$L47,P$4&lt;='2025'!$M47), P$4&lt;&gt;DATE(2025,7,4)), (SWITCH(weekday(P$4), 1, 0, 2, if(ISBLANK('2025'!$P47), 0, 1), 3, if(ISBLANK('2025'!$Q47), 0, 1), 4, if(ISBLANK('2025'!$R47), 0, 1), 5, if(ISBLANK('2025'!$S47), 0, 1), 6, if(ISBLANK('2025'!$T47), 0, 1), 7, 0))), 1, "")</f>
        <v/>
      </c>
      <c r="Q47" s="1" t="str">
        <f>IF(AND(AND(AND(Q$4&gt;='2025'!$L47,Q$4&lt;='2025'!$M47), Q$4&lt;&gt;DATE(2025,7,4)), (SWITCH(weekday(Q$4), 1, 0, 2, if(ISBLANK('2025'!$P47), 0, 1), 3, if(ISBLANK('2025'!$Q47), 0, 1), 4, if(ISBLANK('2025'!$R47), 0, 1), 5, if(ISBLANK('2025'!$S47), 0, 1), 6, if(ISBLANK('2025'!$T47), 0, 1), 7, 0))), 1, "")</f>
        <v/>
      </c>
      <c r="R47" s="1" t="str">
        <f>IF(AND(AND(AND(R$4&gt;='2025'!$L47,R$4&lt;='2025'!$M47), R$4&lt;&gt;DATE(2025,7,4)), (SWITCH(weekday(R$4), 1, 0, 2, if(ISBLANK('2025'!$P47), 0, 1), 3, if(ISBLANK('2025'!$Q47), 0, 1), 4, if(ISBLANK('2025'!$R47), 0, 1), 5, if(ISBLANK('2025'!$S47), 0, 1), 6, if(ISBLANK('2025'!$T47), 0, 1), 7, 0))), 1, "")</f>
        <v/>
      </c>
      <c r="S47" s="1" t="str">
        <f>IF(AND(AND(AND(S$4&gt;='2025'!$L47,S$4&lt;='2025'!$M47), S$4&lt;&gt;DATE(2025,7,4)), (SWITCH(weekday(S$4), 1, 0, 2, if(ISBLANK('2025'!$P47), 0, 1), 3, if(ISBLANK('2025'!$Q47), 0, 1), 4, if(ISBLANK('2025'!$R47), 0, 1), 5, if(ISBLANK('2025'!$S47), 0, 1), 6, if(ISBLANK('2025'!$T47), 0, 1), 7, 0))), 1, "")</f>
        <v/>
      </c>
      <c r="T47" s="1" t="str">
        <f>IF(AND(AND(AND(T$4&gt;='2025'!$L47,T$4&lt;='2025'!$M47), T$4&lt;&gt;DATE(2025,7,4)), (SWITCH(weekday(T$4), 1, 0, 2, if(ISBLANK('2025'!$P47), 0, 1), 3, if(ISBLANK('2025'!$Q47), 0, 1), 4, if(ISBLANK('2025'!$R47), 0, 1), 5, if(ISBLANK('2025'!$S47), 0, 1), 6, if(ISBLANK('2025'!$T47), 0, 1), 7, 0))), 1, "")</f>
        <v/>
      </c>
      <c r="U47" s="1" t="str">
        <f>IF(AND(AND(AND(U$4&gt;='2025'!$L47,U$4&lt;='2025'!$M47), U$4&lt;&gt;DATE(2025,7,4)), (SWITCH(weekday(U$4), 1, 0, 2, if(ISBLANK('2025'!$P47), 0, 1), 3, if(ISBLANK('2025'!$Q47), 0, 1), 4, if(ISBLANK('2025'!$R47), 0, 1), 5, if(ISBLANK('2025'!$S47), 0, 1), 6, if(ISBLANK('2025'!$T47), 0, 1), 7, 0))), 1, "")</f>
        <v/>
      </c>
      <c r="V47" s="1" t="str">
        <f>IF(AND(AND(AND(V$4&gt;='2025'!$L47,V$4&lt;='2025'!$M47), V$4&lt;&gt;DATE(2025,7,4)), (SWITCH(weekday(V$4), 1, 0, 2, if(ISBLANK('2025'!$P47), 0, 1), 3, if(ISBLANK('2025'!$Q47), 0, 1), 4, if(ISBLANK('2025'!$R47), 0, 1), 5, if(ISBLANK('2025'!$S47), 0, 1), 6, if(ISBLANK('2025'!$T47), 0, 1), 7, 0))), 1, "")</f>
        <v/>
      </c>
      <c r="W47" s="1" t="str">
        <f>IF(AND(AND(AND(W$4&gt;='2025'!$L47,W$4&lt;='2025'!$M47), W$4&lt;&gt;DATE(2025,7,4)), (SWITCH(weekday(W$4), 1, 0, 2, if(ISBLANK('2025'!$P47), 0, 1), 3, if(ISBLANK('2025'!$Q47), 0, 1), 4, if(ISBLANK('2025'!$R47), 0, 1), 5, if(ISBLANK('2025'!$S47), 0, 1), 6, if(ISBLANK('2025'!$T47), 0, 1), 7, 0))), 1, "")</f>
        <v/>
      </c>
      <c r="X47" s="1" t="str">
        <f>IF(AND(AND(AND(X$4&gt;='2025'!$L47,X$4&lt;='2025'!$M47), X$4&lt;&gt;DATE(2025,7,4)), (SWITCH(weekday(X$4), 1, 0, 2, if(ISBLANK('2025'!$P47), 0, 1), 3, if(ISBLANK('2025'!$Q47), 0, 1), 4, if(ISBLANK('2025'!$R47), 0, 1), 5, if(ISBLANK('2025'!$S47), 0, 1), 6, if(ISBLANK('2025'!$T47), 0, 1), 7, 0))), 1, "")</f>
        <v/>
      </c>
      <c r="Y47" s="1" t="str">
        <f>IF(AND(AND(AND(Y$4&gt;='2025'!$L47,Y$4&lt;='2025'!$M47), Y$4&lt;&gt;DATE(2025,7,4)), (SWITCH(weekday(Y$4), 1, 0, 2, if(ISBLANK('2025'!$P47), 0, 1), 3, if(ISBLANK('2025'!$Q47), 0, 1), 4, if(ISBLANK('2025'!$R47), 0, 1), 5, if(ISBLANK('2025'!$S47), 0, 1), 6, if(ISBLANK('2025'!$T47), 0, 1), 7, 0))), 1, "")</f>
        <v/>
      </c>
      <c r="Z47" s="1" t="str">
        <f>IF(AND(AND(AND(Z$4&gt;='2025'!$L47,Z$4&lt;='2025'!$M47), Z$4&lt;&gt;DATE(2025,7,4)), (SWITCH(weekday(Z$4), 1, 0, 2, if(ISBLANK('2025'!$P47), 0, 1), 3, if(ISBLANK('2025'!$Q47), 0, 1), 4, if(ISBLANK('2025'!$R47), 0, 1), 5, if(ISBLANK('2025'!$S47), 0, 1), 6, if(ISBLANK('2025'!$T47), 0, 1), 7, 0))), 1, "")</f>
        <v/>
      </c>
      <c r="AA47" s="1" t="str">
        <f>IF(AND(AND(AND(AA$4&gt;='2025'!$L47,AA$4&lt;='2025'!$M47), AA$4&lt;&gt;DATE(2025,7,4)), (SWITCH(weekday(AA$4), 1, 0, 2, if(ISBLANK('2025'!$P47), 0, 1), 3, if(ISBLANK('2025'!$Q47), 0, 1), 4, if(ISBLANK('2025'!$R47), 0, 1), 5, if(ISBLANK('2025'!$S47), 0, 1), 6, if(ISBLANK('2025'!$T47), 0, 1), 7, 0))), 1, "")</f>
        <v/>
      </c>
      <c r="AB47" s="1" t="str">
        <f>IF(AND(AND(AND(AB$4&gt;='2025'!$L47,AB$4&lt;='2025'!$M47), AB$4&lt;&gt;DATE(2025,7,4)), (SWITCH(weekday(AB$4), 1, 0, 2, if(ISBLANK('2025'!$P47), 0, 1), 3, if(ISBLANK('2025'!$Q47), 0, 1), 4, if(ISBLANK('2025'!$R47), 0, 1), 5, if(ISBLANK('2025'!$S47), 0, 1), 6, if(ISBLANK('2025'!$T47), 0, 1), 7, 0))), 1, "")</f>
        <v/>
      </c>
      <c r="AC47" s="1" t="str">
        <f>IF(AND(AND(AND(AC$4&gt;='2025'!$L47,AC$4&lt;='2025'!$M47), AC$4&lt;&gt;DATE(2025,7,4)), (SWITCH(weekday(AC$4), 1, 0, 2, if(ISBLANK('2025'!$P47), 0, 1), 3, if(ISBLANK('2025'!$Q47), 0, 1), 4, if(ISBLANK('2025'!$R47), 0, 1), 5, if(ISBLANK('2025'!$S47), 0, 1), 6, if(ISBLANK('2025'!$T47), 0, 1), 7, 0))), 1, "")</f>
        <v/>
      </c>
      <c r="AD47" s="1" t="str">
        <f>IF(AND(AND(AND(AD$4&gt;='2025'!$L47,AD$4&lt;='2025'!$M47), AD$4&lt;&gt;DATE(2025,7,4)), (SWITCH(weekday(AD$4), 1, 0, 2, if(ISBLANK('2025'!$P47), 0, 1), 3, if(ISBLANK('2025'!$Q47), 0, 1), 4, if(ISBLANK('2025'!$R47), 0, 1), 5, if(ISBLANK('2025'!$S47), 0, 1), 6, if(ISBLANK('2025'!$T47), 0, 1), 7, 0))), 1, "")</f>
        <v/>
      </c>
      <c r="AE47" s="1" t="str">
        <f>IF(AND(AND(AND(AE$4&gt;='2025'!$L47,AE$4&lt;='2025'!$M47), AE$4&lt;&gt;DATE(2025,7,4)), (SWITCH(weekday(AE$4), 1, 0, 2, if(ISBLANK('2025'!$P47), 0, 1), 3, if(ISBLANK('2025'!$Q47), 0, 1), 4, if(ISBLANK('2025'!$R47), 0, 1), 5, if(ISBLANK('2025'!$S47), 0, 1), 6, if(ISBLANK('2025'!$T47), 0, 1), 7, 0))), 1, "")</f>
        <v/>
      </c>
      <c r="AF47" s="1" t="str">
        <f>IF(AND(AND(AND(AF$4&gt;='2025'!$L47,AF$4&lt;='2025'!$M47), AF$4&lt;&gt;DATE(2025,7,4)), (SWITCH(weekday(AF$4), 1, 0, 2, if(ISBLANK('2025'!$P47), 0, 1), 3, if(ISBLANK('2025'!$Q47), 0, 1), 4, if(ISBLANK('2025'!$R47), 0, 1), 5, if(ISBLANK('2025'!$S47), 0, 1), 6, if(ISBLANK('2025'!$T47), 0, 1), 7, 0))), 1, "")</f>
        <v/>
      </c>
      <c r="AG47" s="1" t="str">
        <f>IF(AND(AND(AND(AG$4&gt;='2025'!$L47,AG$4&lt;='2025'!$M47), AG$4&lt;&gt;DATE(2025,7,4)), (SWITCH(weekday(AG$4), 1, 0, 2, if(ISBLANK('2025'!$P47), 0, 1), 3, if(ISBLANK('2025'!$Q47), 0, 1), 4, if(ISBLANK('2025'!$R47), 0, 1), 5, if(ISBLANK('2025'!$S47), 0, 1), 6, if(ISBLANK('2025'!$T47), 0, 1), 7, 0))), 1, "")</f>
        <v/>
      </c>
      <c r="AH47" s="1" t="str">
        <f>IF(AND(AND(AND(AH$4&gt;='2025'!$L47,AH$4&lt;='2025'!$M47), AH$4&lt;&gt;DATE(2025,7,4)), (SWITCH(weekday(AH$4), 1, 0, 2, if(ISBLANK('2025'!$P47), 0, 1), 3, if(ISBLANK('2025'!$Q47), 0, 1), 4, if(ISBLANK('2025'!$R47), 0, 1), 5, if(ISBLANK('2025'!$S47), 0, 1), 6, if(ISBLANK('2025'!$T47), 0, 1), 7, 0))), 1, "")</f>
        <v/>
      </c>
      <c r="AI47" s="1" t="str">
        <f>IF(AND(AND(AND(AI$4&gt;='2025'!$L47,AI$4&lt;='2025'!$M47), AI$4&lt;&gt;DATE(2025,7,4)), (SWITCH(weekday(AI$4), 1, 0, 2, if(ISBLANK('2025'!$P47), 0, 1), 3, if(ISBLANK('2025'!$Q47), 0, 1), 4, if(ISBLANK('2025'!$R47), 0, 1), 5, if(ISBLANK('2025'!$S47), 0, 1), 6, if(ISBLANK('2025'!$T47), 0, 1), 7, 0))), 1, "")</f>
        <v/>
      </c>
      <c r="AJ47" s="1" t="str">
        <f>IF(AND(AND(AND(AJ$4&gt;='2025'!$L47,AJ$4&lt;='2025'!$M47), AJ$4&lt;&gt;DATE(2025,7,4)), (SWITCH(weekday(AJ$4), 1, 0, 2, if(ISBLANK('2025'!$P47), 0, 1), 3, if(ISBLANK('2025'!$Q47), 0, 1), 4, if(ISBLANK('2025'!$R47), 0, 1), 5, if(ISBLANK('2025'!$S47), 0, 1), 6, if(ISBLANK('2025'!$T47), 0, 1), 7, 0))), 1, "")</f>
        <v/>
      </c>
      <c r="AK47" s="1" t="str">
        <f>IF(AND(AND(AND(AK$4&gt;='2025'!$L47,AK$4&lt;='2025'!$M47), AK$4&lt;&gt;DATE(2025,7,4)), (SWITCH(weekday(AK$4), 1, 0, 2, if(ISBLANK('2025'!$P47), 0, 1), 3, if(ISBLANK('2025'!$Q47), 0, 1), 4, if(ISBLANK('2025'!$R47), 0, 1), 5, if(ISBLANK('2025'!$S47), 0, 1), 6, if(ISBLANK('2025'!$T47), 0, 1), 7, 0))), 1, "")</f>
        <v/>
      </c>
      <c r="AL47" s="1" t="str">
        <f>IF(AND(AND(AND(AL$4&gt;='2025'!$L47,AL$4&lt;='2025'!$M47), AL$4&lt;&gt;DATE(2025,7,4)), (SWITCH(weekday(AL$4), 1, 0, 2, if(ISBLANK('2025'!$P47), 0, 1), 3, if(ISBLANK('2025'!$Q47), 0, 1), 4, if(ISBLANK('2025'!$R47), 0, 1), 5, if(ISBLANK('2025'!$S47), 0, 1), 6, if(ISBLANK('2025'!$T47), 0, 1), 7, 0))), 1, "")</f>
        <v/>
      </c>
      <c r="AM47" s="1" t="str">
        <f>IF(AND(AND(AND(AM$4&gt;='2025'!$L47,AM$4&lt;='2025'!$M47), AM$4&lt;&gt;DATE(2025,7,4)), (SWITCH(weekday(AM$4), 1, 0, 2, if(ISBLANK('2025'!$P47), 0, 1), 3, if(ISBLANK('2025'!$Q47), 0, 1), 4, if(ISBLANK('2025'!$R47), 0, 1), 5, if(ISBLANK('2025'!$S47), 0, 1), 6, if(ISBLANK('2025'!$T47), 0, 1), 7, 0))), 1, "")</f>
        <v/>
      </c>
      <c r="AN47" s="1" t="str">
        <f>IF(AND(AND(AND(AN$4&gt;='2025'!$L47,AN$4&lt;='2025'!$M47), AN$4&lt;&gt;DATE(2025,7,4)), (SWITCH(weekday(AN$4), 1, 0, 2, if(ISBLANK('2025'!$P47), 0, 1), 3, if(ISBLANK('2025'!$Q47), 0, 1), 4, if(ISBLANK('2025'!$R47), 0, 1), 5, if(ISBLANK('2025'!$S47), 0, 1), 6, if(ISBLANK('2025'!$T47), 0, 1), 7, 0))), 1, "")</f>
        <v/>
      </c>
      <c r="AO47" s="1" t="str">
        <f>IF(AND(AND(AND(AO$4&gt;='2025'!$L47,AO$4&lt;='2025'!$M47), AO$4&lt;&gt;DATE(2025,7,4)), (SWITCH(weekday(AO$4), 1, 0, 2, if(ISBLANK('2025'!$P47), 0, 1), 3, if(ISBLANK('2025'!$Q47), 0, 1), 4, if(ISBLANK('2025'!$R47), 0, 1), 5, if(ISBLANK('2025'!$S47), 0, 1), 6, if(ISBLANK('2025'!$T47), 0, 1), 7, 0))), 1, "")</f>
        <v/>
      </c>
      <c r="AP47" s="1" t="str">
        <f>IF(AND(AND(AND(AP$4&gt;='2025'!$L47,AP$4&lt;='2025'!$M47), AP$4&lt;&gt;DATE(2025,7,4)), (SWITCH(weekday(AP$4), 1, 0, 2, if(ISBLANK('2025'!$P47), 0, 1), 3, if(ISBLANK('2025'!$Q47), 0, 1), 4, if(ISBLANK('2025'!$R47), 0, 1), 5, if(ISBLANK('2025'!$S47), 0, 1), 6, if(ISBLANK('2025'!$T47), 0, 1), 7, 0))), 1, "")</f>
        <v/>
      </c>
      <c r="AQ47" s="1" t="str">
        <f>IF(AND(AND(AND(AQ$4&gt;='2025'!$L47,AQ$4&lt;='2025'!$M47), AQ$4&lt;&gt;DATE(2025,7,4)), (SWITCH(weekday(AQ$4), 1, 0, 2, if(ISBLANK('2025'!$P47), 0, 1), 3, if(ISBLANK('2025'!$Q47), 0, 1), 4, if(ISBLANK('2025'!$R47), 0, 1), 5, if(ISBLANK('2025'!$S47), 0, 1), 6, if(ISBLANK('2025'!$T47), 0, 1), 7, 0))), 1, "")</f>
        <v/>
      </c>
      <c r="AR47" s="1" t="str">
        <f>IF(AND(AND(AND(AR$4&gt;='2025'!$L47,AR$4&lt;='2025'!$M47), AR$4&lt;&gt;DATE(2025,7,4)), (SWITCH(weekday(AR$4), 1, 0, 2, if(ISBLANK('2025'!$P47), 0, 1), 3, if(ISBLANK('2025'!$Q47), 0, 1), 4, if(ISBLANK('2025'!$R47), 0, 1), 5, if(ISBLANK('2025'!$S47), 0, 1), 6, if(ISBLANK('2025'!$T47), 0, 1), 7, 0))), 1, "")</f>
        <v/>
      </c>
      <c r="AS47" s="1" t="str">
        <f>IF(AND(AND(AND(AS$4&gt;='2025'!$L47,AS$4&lt;='2025'!$M47), AS$4&lt;&gt;DATE(2025,7,4)), (SWITCH(weekday(AS$4), 1, 0, 2, if(ISBLANK('2025'!$P47), 0, 1), 3, if(ISBLANK('2025'!$Q47), 0, 1), 4, if(ISBLANK('2025'!$R47), 0, 1), 5, if(ISBLANK('2025'!$S47), 0, 1), 6, if(ISBLANK('2025'!$T47), 0, 1), 7, 0))), 1, "")</f>
        <v/>
      </c>
      <c r="AT47" s="1" t="str">
        <f>IF(AND(AND(AND(AT$4&gt;='2025'!$L47,AT$4&lt;='2025'!$M47), AT$4&lt;&gt;DATE(2025,7,4)), (SWITCH(weekday(AT$4), 1, 0, 2, if(ISBLANK('2025'!$P47), 0, 1), 3, if(ISBLANK('2025'!$Q47), 0, 1), 4, if(ISBLANK('2025'!$R47), 0, 1), 5, if(ISBLANK('2025'!$S47), 0, 1), 6, if(ISBLANK('2025'!$T47), 0, 1), 7, 0))), 1, "")</f>
        <v/>
      </c>
      <c r="AU47" s="1" t="str">
        <f>IF(AND(AND(AND(AU$4&gt;='2025'!$L47,AU$4&lt;='2025'!$M47), AU$4&lt;&gt;DATE(2025,7,4)), (SWITCH(weekday(AU$4), 1, 0, 2, if(ISBLANK('2025'!$P47), 0, 1), 3, if(ISBLANK('2025'!$Q47), 0, 1), 4, if(ISBLANK('2025'!$R47), 0, 1), 5, if(ISBLANK('2025'!$S47), 0, 1), 6, if(ISBLANK('2025'!$T47), 0, 1), 7, 0))), 1, "")</f>
        <v/>
      </c>
      <c r="AV47" s="1" t="str">
        <f>IF(AND(AND(AND(AV$4&gt;='2025'!$L47,AV$4&lt;='2025'!$M47), AV$4&lt;&gt;DATE(2025,7,4)), (SWITCH(weekday(AV$4), 1, 0, 2, if(ISBLANK('2025'!$P47), 0, 1), 3, if(ISBLANK('2025'!$Q47), 0, 1), 4, if(ISBLANK('2025'!$R47), 0, 1), 5, if(ISBLANK('2025'!$S47), 0, 1), 6, if(ISBLANK('2025'!$T47), 0, 1), 7, 0))), 1, "")</f>
        <v/>
      </c>
      <c r="AW47" s="1" t="str">
        <f>IF(AND(AND(AND(AW$4&gt;='2025'!$L47,AW$4&lt;='2025'!$M47), AW$4&lt;&gt;DATE(2025,7,4)), (SWITCH(weekday(AW$4), 1, 0, 2, if(ISBLANK('2025'!$P47), 0, 1), 3, if(ISBLANK('2025'!$Q47), 0, 1), 4, if(ISBLANK('2025'!$R47), 0, 1), 5, if(ISBLANK('2025'!$S47), 0, 1), 6, if(ISBLANK('2025'!$T47), 0, 1), 7, 0))), 1, "")</f>
        <v/>
      </c>
      <c r="AX47" s="1" t="str">
        <f>IF(AND(AND(AND(AX$4&gt;='2025'!$L47,AX$4&lt;='2025'!$M47), AX$4&lt;&gt;DATE(2025,7,4)), (SWITCH(weekday(AX$4), 1, 0, 2, if(ISBLANK('2025'!$P47), 0, 1), 3, if(ISBLANK('2025'!$Q47), 0, 1), 4, if(ISBLANK('2025'!$R47), 0, 1), 5, if(ISBLANK('2025'!$S47), 0, 1), 6, if(ISBLANK('2025'!$T47), 0, 1), 7, 0))), 1, "")</f>
        <v/>
      </c>
      <c r="AY47" s="1" t="str">
        <f>IF(AND(AND(AND(AY$4&gt;='2025'!$L47,AY$4&lt;='2025'!$M47), AY$4&lt;&gt;DATE(2025,7,4)), (SWITCH(weekday(AY$4), 1, 0, 2, if(ISBLANK('2025'!$P47), 0, 1), 3, if(ISBLANK('2025'!$Q47), 0, 1), 4, if(ISBLANK('2025'!$R47), 0, 1), 5, if(ISBLANK('2025'!$S47), 0, 1), 6, if(ISBLANK('2025'!$T47), 0, 1), 7, 0))), 1, "")</f>
        <v/>
      </c>
      <c r="AZ47" s="1" t="str">
        <f>IF(AND(AND(AND(AZ$4&gt;='2025'!$L47,AZ$4&lt;='2025'!$M47), AZ$4&lt;&gt;DATE(2025,7,4)), (SWITCH(weekday(AZ$4), 1, 0, 2, if(ISBLANK('2025'!$P47), 0, 1), 3, if(ISBLANK('2025'!$Q47), 0, 1), 4, if(ISBLANK('2025'!$R47), 0, 1), 5, if(ISBLANK('2025'!$S47), 0, 1), 6, if(ISBLANK('2025'!$T47), 0, 1), 7, 0))), 1, "")</f>
        <v/>
      </c>
      <c r="BA47" s="1" t="str">
        <f>IF(AND(AND(AND(BA$4&gt;='2025'!$L47,BA$4&lt;='2025'!$M47), BA$4&lt;&gt;DATE(2025,7,4)), (SWITCH(weekday(BA$4), 1, 0, 2, if(ISBLANK('2025'!$P47), 0, 1), 3, if(ISBLANK('2025'!$Q47), 0, 1), 4, if(ISBLANK('2025'!$R47), 0, 1), 5, if(ISBLANK('2025'!$S47), 0, 1), 6, if(ISBLANK('2025'!$T47), 0, 1), 7, 0))), 1, "")</f>
        <v/>
      </c>
      <c r="BB47" s="1" t="str">
        <f>IF(AND(AND(AND(BB$4&gt;='2025'!$L47,BB$4&lt;='2025'!$M47), BB$4&lt;&gt;DATE(2025,7,4)), (SWITCH(weekday(BB$4), 1, 0, 2, if(ISBLANK('2025'!$P47), 0, 1), 3, if(ISBLANK('2025'!$Q47), 0, 1), 4, if(ISBLANK('2025'!$R47), 0, 1), 5, if(ISBLANK('2025'!$S47), 0, 1), 6, if(ISBLANK('2025'!$T47), 0, 1), 7, 0))), 1, "")</f>
        <v/>
      </c>
      <c r="BC47" s="1" t="str">
        <f>IF(AND(AND(AND(BC$4&gt;='2025'!$L47,BC$4&lt;='2025'!$M47), BC$4&lt;&gt;DATE(2025,7,4)), (SWITCH(weekday(BC$4), 1, 0, 2, if(ISBLANK('2025'!$P47), 0, 1), 3, if(ISBLANK('2025'!$Q47), 0, 1), 4, if(ISBLANK('2025'!$R47), 0, 1), 5, if(ISBLANK('2025'!$S47), 0, 1), 6, if(ISBLANK('2025'!$T47), 0, 1), 7, 0))), 1, "")</f>
        <v/>
      </c>
      <c r="BD47" s="1" t="str">
        <f>IF(AND(AND(AND(BD$4&gt;='2025'!$L47,BD$4&lt;='2025'!$M47), BD$4&lt;&gt;DATE(2025,7,4)), (SWITCH(weekday(BD$4), 1, 0, 2, if(ISBLANK('2025'!$P47), 0, 1), 3, if(ISBLANK('2025'!$Q47), 0, 1), 4, if(ISBLANK('2025'!$R47), 0, 1), 5, if(ISBLANK('2025'!$S47), 0, 1), 6, if(ISBLANK('2025'!$T47), 0, 1), 7, 0))), 1, "")</f>
        <v/>
      </c>
      <c r="BE47" s="1" t="str">
        <f>IF(AND(AND(AND(BE$4&gt;='2025'!$L47,BE$4&lt;='2025'!$M47), BE$4&lt;&gt;DATE(2025,7,4)), (SWITCH(weekday(BE$4), 1, 0, 2, if(ISBLANK('2025'!$P47), 0, 1), 3, if(ISBLANK('2025'!$Q47), 0, 1), 4, if(ISBLANK('2025'!$R47), 0, 1), 5, if(ISBLANK('2025'!$S47), 0, 1), 6, if(ISBLANK('2025'!$T47), 0, 1), 7, 0))), 1, "")</f>
        <v/>
      </c>
      <c r="BF47" s="1" t="str">
        <f>IF(AND(AND(AND(BF$4&gt;='2025'!$L47,BF$4&lt;='2025'!$M47), BF$4&lt;&gt;DATE(2025,7,4)), (SWITCH(weekday(BF$4), 1, 0, 2, if(ISBLANK('2025'!$P47), 0, 1), 3, if(ISBLANK('2025'!$Q47), 0, 1), 4, if(ISBLANK('2025'!$R47), 0, 1), 5, if(ISBLANK('2025'!$S47), 0, 1), 6, if(ISBLANK('2025'!$T47), 0, 1), 7, 0))), 1, "")</f>
        <v/>
      </c>
      <c r="BG47" s="1"/>
      <c r="BH47" s="1"/>
      <c r="BI47" s="1"/>
      <c r="BJ47" s="1"/>
      <c r="BK47" s="1"/>
      <c r="BL47" s="1"/>
    </row>
    <row r="48">
      <c r="A48" s="1">
        <f t="shared" si="3"/>
        <v>48</v>
      </c>
      <c r="B48" s="1" t="str">
        <f>'2025'!D48</f>
        <v>Haq, AMAL</v>
      </c>
      <c r="C48" s="1" t="str">
        <f>'2025'!H48</f>
        <v>Infant</v>
      </c>
      <c r="D48" s="1" t="str">
        <f>IF(AND(AND(AND(D$4&gt;='2025'!$L48,D$4&lt;='2025'!$M48), D$4&lt;&gt;DATE(2025,7,4)), (SWITCH(weekday(D$4), 1, 0, 2, if(ISBLANK('2025'!$P48), 0, 1), 3, if(ISBLANK('2025'!$Q48), 0, 1), 4, if(ISBLANK('2025'!$R48), 0, 1), 5, if(ISBLANK('2025'!$S48), 0, 1), 6, if(ISBLANK('2025'!$T48), 0, 1), 7, 0))), 1, "")</f>
        <v/>
      </c>
      <c r="E48" s="1" t="str">
        <f>IF(AND(AND(AND(E$4&gt;='2025'!$L48,E$4&lt;='2025'!$M48), E$4&lt;&gt;DATE(2025,7,4)), (SWITCH(weekday(E$4), 1, 0, 2, if(ISBLANK('2025'!$P48), 0, 1), 3, if(ISBLANK('2025'!$Q48), 0, 1), 4, if(ISBLANK('2025'!$R48), 0, 1), 5, if(ISBLANK('2025'!$S48), 0, 1), 6, if(ISBLANK('2025'!$T48), 0, 1), 7, 0))), 1, "")</f>
        <v/>
      </c>
      <c r="F48" s="1" t="str">
        <f>IF(AND(AND(AND(F$4&gt;='2025'!$L48,F$4&lt;='2025'!$M48), F$4&lt;&gt;DATE(2025,7,4)), (SWITCH(weekday(F$4), 1, 0, 2, if(ISBLANK('2025'!$P48), 0, 1), 3, if(ISBLANK('2025'!$Q48), 0, 1), 4, if(ISBLANK('2025'!$R48), 0, 1), 5, if(ISBLANK('2025'!$S48), 0, 1), 6, if(ISBLANK('2025'!$T48), 0, 1), 7, 0))), 1, "")</f>
        <v/>
      </c>
      <c r="G48" s="1" t="str">
        <f>IF(AND(AND(AND(G$4&gt;='2025'!$L48,G$4&lt;='2025'!$M48), G$4&lt;&gt;DATE(2025,7,4)), (SWITCH(weekday(G$4), 1, 0, 2, if(ISBLANK('2025'!$P48), 0, 1), 3, if(ISBLANK('2025'!$Q48), 0, 1), 4, if(ISBLANK('2025'!$R48), 0, 1), 5, if(ISBLANK('2025'!$S48), 0, 1), 6, if(ISBLANK('2025'!$T48), 0, 1), 7, 0))), 1, "")</f>
        <v/>
      </c>
      <c r="H48" s="1" t="str">
        <f>IF(AND(AND(AND(H$4&gt;='2025'!$L48,H$4&lt;='2025'!$M48), H$4&lt;&gt;DATE(2025,7,4)), (SWITCH(weekday(H$4), 1, 0, 2, if(ISBLANK('2025'!$P48), 0, 1), 3, if(ISBLANK('2025'!$Q48), 0, 1), 4, if(ISBLANK('2025'!$R48), 0, 1), 5, if(ISBLANK('2025'!$S48), 0, 1), 6, if(ISBLANK('2025'!$T48), 0, 1), 7, 0))), 1, "")</f>
        <v/>
      </c>
      <c r="I48" s="1" t="str">
        <f>IF(AND(AND(AND(I$4&gt;='2025'!$L48,I$4&lt;='2025'!$M48), I$4&lt;&gt;DATE(2025,7,4)), (SWITCH(weekday(I$4), 1, 0, 2, if(ISBLANK('2025'!$P48), 0, 1), 3, if(ISBLANK('2025'!$Q48), 0, 1), 4, if(ISBLANK('2025'!$R48), 0, 1), 5, if(ISBLANK('2025'!$S48), 0, 1), 6, if(ISBLANK('2025'!$T48), 0, 1), 7, 0))), 1, "")</f>
        <v/>
      </c>
      <c r="J48" s="1" t="str">
        <f>IF(AND(AND(AND(J$4&gt;='2025'!$L48,J$4&lt;='2025'!$M48), J$4&lt;&gt;DATE(2025,7,4)), (SWITCH(weekday(J$4), 1, 0, 2, if(ISBLANK('2025'!$P48), 0, 1), 3, if(ISBLANK('2025'!$Q48), 0, 1), 4, if(ISBLANK('2025'!$R48), 0, 1), 5, if(ISBLANK('2025'!$S48), 0, 1), 6, if(ISBLANK('2025'!$T48), 0, 1), 7, 0))), 1, "")</f>
        <v/>
      </c>
      <c r="K48" s="1" t="str">
        <f>IF(AND(AND(AND(K$4&gt;='2025'!$L48,K$4&lt;='2025'!$M48), K$4&lt;&gt;DATE(2025,7,4)), (SWITCH(weekday(K$4), 1, 0, 2, if(ISBLANK('2025'!$P48), 0, 1), 3, if(ISBLANK('2025'!$Q48), 0, 1), 4, if(ISBLANK('2025'!$R48), 0, 1), 5, if(ISBLANK('2025'!$S48), 0, 1), 6, if(ISBLANK('2025'!$T48), 0, 1), 7, 0))), 1, "")</f>
        <v/>
      </c>
      <c r="L48" s="1" t="str">
        <f>IF(AND(AND(AND(L$4&gt;='2025'!$L48,L$4&lt;='2025'!$M48), L$4&lt;&gt;DATE(2025,7,4)), (SWITCH(weekday(L$4), 1, 0, 2, if(ISBLANK('2025'!$P48), 0, 1), 3, if(ISBLANK('2025'!$Q48), 0, 1), 4, if(ISBLANK('2025'!$R48), 0, 1), 5, if(ISBLANK('2025'!$S48), 0, 1), 6, if(ISBLANK('2025'!$T48), 0, 1), 7, 0))), 1, "")</f>
        <v/>
      </c>
      <c r="M48" s="1" t="str">
        <f>IF(AND(AND(AND(M$4&gt;='2025'!$L48,M$4&lt;='2025'!$M48), M$4&lt;&gt;DATE(2025,7,4)), (SWITCH(weekday(M$4), 1, 0, 2, if(ISBLANK('2025'!$P48), 0, 1), 3, if(ISBLANK('2025'!$Q48), 0, 1), 4, if(ISBLANK('2025'!$R48), 0, 1), 5, if(ISBLANK('2025'!$S48), 0, 1), 6, if(ISBLANK('2025'!$T48), 0, 1), 7, 0))), 1, "")</f>
        <v/>
      </c>
      <c r="N48" s="1" t="str">
        <f>IF(AND(AND(AND(N$4&gt;='2025'!$L48,N$4&lt;='2025'!$M48), N$4&lt;&gt;DATE(2025,7,4)), (SWITCH(weekday(N$4), 1, 0, 2, if(ISBLANK('2025'!$P48), 0, 1), 3, if(ISBLANK('2025'!$Q48), 0, 1), 4, if(ISBLANK('2025'!$R48), 0, 1), 5, if(ISBLANK('2025'!$S48), 0, 1), 6, if(ISBLANK('2025'!$T48), 0, 1), 7, 0))), 1, "")</f>
        <v/>
      </c>
      <c r="O48" s="1" t="str">
        <f>IF(AND(AND(AND(O$4&gt;='2025'!$L48,O$4&lt;='2025'!$M48), O$4&lt;&gt;DATE(2025,7,4)), (SWITCH(weekday(O$4), 1, 0, 2, if(ISBLANK('2025'!$P48), 0, 1), 3, if(ISBLANK('2025'!$Q48), 0, 1), 4, if(ISBLANK('2025'!$R48), 0, 1), 5, if(ISBLANK('2025'!$S48), 0, 1), 6, if(ISBLANK('2025'!$T48), 0, 1), 7, 0))), 1, "")</f>
        <v/>
      </c>
      <c r="P48" s="1" t="str">
        <f>IF(AND(AND(AND(P$4&gt;='2025'!$L48,P$4&lt;='2025'!$M48), P$4&lt;&gt;DATE(2025,7,4)), (SWITCH(weekday(P$4), 1, 0, 2, if(ISBLANK('2025'!$P48), 0, 1), 3, if(ISBLANK('2025'!$Q48), 0, 1), 4, if(ISBLANK('2025'!$R48), 0, 1), 5, if(ISBLANK('2025'!$S48), 0, 1), 6, if(ISBLANK('2025'!$T48), 0, 1), 7, 0))), 1, "")</f>
        <v/>
      </c>
      <c r="Q48" s="1" t="str">
        <f>IF(AND(AND(AND(Q$4&gt;='2025'!$L48,Q$4&lt;='2025'!$M48), Q$4&lt;&gt;DATE(2025,7,4)), (SWITCH(weekday(Q$4), 1, 0, 2, if(ISBLANK('2025'!$P48), 0, 1), 3, if(ISBLANK('2025'!$Q48), 0, 1), 4, if(ISBLANK('2025'!$R48), 0, 1), 5, if(ISBLANK('2025'!$S48), 0, 1), 6, if(ISBLANK('2025'!$T48), 0, 1), 7, 0))), 1, "")</f>
        <v/>
      </c>
      <c r="R48" s="1" t="str">
        <f>IF(AND(AND(AND(R$4&gt;='2025'!$L48,R$4&lt;='2025'!$M48), R$4&lt;&gt;DATE(2025,7,4)), (SWITCH(weekday(R$4), 1, 0, 2, if(ISBLANK('2025'!$P48), 0, 1), 3, if(ISBLANK('2025'!$Q48), 0, 1), 4, if(ISBLANK('2025'!$R48), 0, 1), 5, if(ISBLANK('2025'!$S48), 0, 1), 6, if(ISBLANK('2025'!$T48), 0, 1), 7, 0))), 1, "")</f>
        <v/>
      </c>
      <c r="S48" s="1" t="str">
        <f>IF(AND(AND(AND(S$4&gt;='2025'!$L48,S$4&lt;='2025'!$M48), S$4&lt;&gt;DATE(2025,7,4)), (SWITCH(weekday(S$4), 1, 0, 2, if(ISBLANK('2025'!$P48), 0, 1), 3, if(ISBLANK('2025'!$Q48), 0, 1), 4, if(ISBLANK('2025'!$R48), 0, 1), 5, if(ISBLANK('2025'!$S48), 0, 1), 6, if(ISBLANK('2025'!$T48), 0, 1), 7, 0))), 1, "")</f>
        <v/>
      </c>
      <c r="T48" s="1" t="str">
        <f>IF(AND(AND(AND(T$4&gt;='2025'!$L48,T$4&lt;='2025'!$M48), T$4&lt;&gt;DATE(2025,7,4)), (SWITCH(weekday(T$4), 1, 0, 2, if(ISBLANK('2025'!$P48), 0, 1), 3, if(ISBLANK('2025'!$Q48), 0, 1), 4, if(ISBLANK('2025'!$R48), 0, 1), 5, if(ISBLANK('2025'!$S48), 0, 1), 6, if(ISBLANK('2025'!$T48), 0, 1), 7, 0))), 1, "")</f>
        <v/>
      </c>
      <c r="U48" s="1" t="str">
        <f>IF(AND(AND(AND(U$4&gt;='2025'!$L48,U$4&lt;='2025'!$M48), U$4&lt;&gt;DATE(2025,7,4)), (SWITCH(weekday(U$4), 1, 0, 2, if(ISBLANK('2025'!$P48), 0, 1), 3, if(ISBLANK('2025'!$Q48), 0, 1), 4, if(ISBLANK('2025'!$R48), 0, 1), 5, if(ISBLANK('2025'!$S48), 0, 1), 6, if(ISBLANK('2025'!$T48), 0, 1), 7, 0))), 1, "")</f>
        <v/>
      </c>
      <c r="V48" s="1" t="str">
        <f>IF(AND(AND(AND(V$4&gt;='2025'!$L48,V$4&lt;='2025'!$M48), V$4&lt;&gt;DATE(2025,7,4)), (SWITCH(weekday(V$4), 1, 0, 2, if(ISBLANK('2025'!$P48), 0, 1), 3, if(ISBLANK('2025'!$Q48), 0, 1), 4, if(ISBLANK('2025'!$R48), 0, 1), 5, if(ISBLANK('2025'!$S48), 0, 1), 6, if(ISBLANK('2025'!$T48), 0, 1), 7, 0))), 1, "")</f>
        <v/>
      </c>
      <c r="W48" s="1" t="str">
        <f>IF(AND(AND(AND(W$4&gt;='2025'!$L48,W$4&lt;='2025'!$M48), W$4&lt;&gt;DATE(2025,7,4)), (SWITCH(weekday(W$4), 1, 0, 2, if(ISBLANK('2025'!$P48), 0, 1), 3, if(ISBLANK('2025'!$Q48), 0, 1), 4, if(ISBLANK('2025'!$R48), 0, 1), 5, if(ISBLANK('2025'!$S48), 0, 1), 6, if(ISBLANK('2025'!$T48), 0, 1), 7, 0))), 1, "")</f>
        <v/>
      </c>
      <c r="X48" s="1" t="str">
        <f>IF(AND(AND(AND(X$4&gt;='2025'!$L48,X$4&lt;='2025'!$M48), X$4&lt;&gt;DATE(2025,7,4)), (SWITCH(weekday(X$4), 1, 0, 2, if(ISBLANK('2025'!$P48), 0, 1), 3, if(ISBLANK('2025'!$Q48), 0, 1), 4, if(ISBLANK('2025'!$R48), 0, 1), 5, if(ISBLANK('2025'!$S48), 0, 1), 6, if(ISBLANK('2025'!$T48), 0, 1), 7, 0))), 1, "")</f>
        <v/>
      </c>
      <c r="Y48" s="1" t="str">
        <f>IF(AND(AND(AND(Y$4&gt;='2025'!$L48,Y$4&lt;='2025'!$M48), Y$4&lt;&gt;DATE(2025,7,4)), (SWITCH(weekday(Y$4), 1, 0, 2, if(ISBLANK('2025'!$P48), 0, 1), 3, if(ISBLANK('2025'!$Q48), 0, 1), 4, if(ISBLANK('2025'!$R48), 0, 1), 5, if(ISBLANK('2025'!$S48), 0, 1), 6, if(ISBLANK('2025'!$T48), 0, 1), 7, 0))), 1, "")</f>
        <v/>
      </c>
      <c r="Z48" s="1" t="str">
        <f>IF(AND(AND(AND(Z$4&gt;='2025'!$L48,Z$4&lt;='2025'!$M48), Z$4&lt;&gt;DATE(2025,7,4)), (SWITCH(weekday(Z$4), 1, 0, 2, if(ISBLANK('2025'!$P48), 0, 1), 3, if(ISBLANK('2025'!$Q48), 0, 1), 4, if(ISBLANK('2025'!$R48), 0, 1), 5, if(ISBLANK('2025'!$S48), 0, 1), 6, if(ISBLANK('2025'!$T48), 0, 1), 7, 0))), 1, "")</f>
        <v/>
      </c>
      <c r="AA48" s="1" t="str">
        <f>IF(AND(AND(AND(AA$4&gt;='2025'!$L48,AA$4&lt;='2025'!$M48), AA$4&lt;&gt;DATE(2025,7,4)), (SWITCH(weekday(AA$4), 1, 0, 2, if(ISBLANK('2025'!$P48), 0, 1), 3, if(ISBLANK('2025'!$Q48), 0, 1), 4, if(ISBLANK('2025'!$R48), 0, 1), 5, if(ISBLANK('2025'!$S48), 0, 1), 6, if(ISBLANK('2025'!$T48), 0, 1), 7, 0))), 1, "")</f>
        <v/>
      </c>
      <c r="AB48" s="1" t="str">
        <f>IF(AND(AND(AND(AB$4&gt;='2025'!$L48,AB$4&lt;='2025'!$M48), AB$4&lt;&gt;DATE(2025,7,4)), (SWITCH(weekday(AB$4), 1, 0, 2, if(ISBLANK('2025'!$P48), 0, 1), 3, if(ISBLANK('2025'!$Q48), 0, 1), 4, if(ISBLANK('2025'!$R48), 0, 1), 5, if(ISBLANK('2025'!$S48), 0, 1), 6, if(ISBLANK('2025'!$T48), 0, 1), 7, 0))), 1, "")</f>
        <v/>
      </c>
      <c r="AC48" s="1" t="str">
        <f>IF(AND(AND(AND(AC$4&gt;='2025'!$L48,AC$4&lt;='2025'!$M48), AC$4&lt;&gt;DATE(2025,7,4)), (SWITCH(weekday(AC$4), 1, 0, 2, if(ISBLANK('2025'!$P48), 0, 1), 3, if(ISBLANK('2025'!$Q48), 0, 1), 4, if(ISBLANK('2025'!$R48), 0, 1), 5, if(ISBLANK('2025'!$S48), 0, 1), 6, if(ISBLANK('2025'!$T48), 0, 1), 7, 0))), 1, "")</f>
        <v/>
      </c>
      <c r="AD48" s="1" t="str">
        <f>IF(AND(AND(AND(AD$4&gt;='2025'!$L48,AD$4&lt;='2025'!$M48), AD$4&lt;&gt;DATE(2025,7,4)), (SWITCH(weekday(AD$4), 1, 0, 2, if(ISBLANK('2025'!$P48), 0, 1), 3, if(ISBLANK('2025'!$Q48), 0, 1), 4, if(ISBLANK('2025'!$R48), 0, 1), 5, if(ISBLANK('2025'!$S48), 0, 1), 6, if(ISBLANK('2025'!$T48), 0, 1), 7, 0))), 1, "")</f>
        <v/>
      </c>
      <c r="AE48" s="1" t="str">
        <f>IF(AND(AND(AND(AE$4&gt;='2025'!$L48,AE$4&lt;='2025'!$M48), AE$4&lt;&gt;DATE(2025,7,4)), (SWITCH(weekday(AE$4), 1, 0, 2, if(ISBLANK('2025'!$P48), 0, 1), 3, if(ISBLANK('2025'!$Q48), 0, 1), 4, if(ISBLANK('2025'!$R48), 0, 1), 5, if(ISBLANK('2025'!$S48), 0, 1), 6, if(ISBLANK('2025'!$T48), 0, 1), 7, 0))), 1, "")</f>
        <v/>
      </c>
      <c r="AF48" s="1" t="str">
        <f>IF(AND(AND(AND(AF$4&gt;='2025'!$L48,AF$4&lt;='2025'!$M48), AF$4&lt;&gt;DATE(2025,7,4)), (SWITCH(weekday(AF$4), 1, 0, 2, if(ISBLANK('2025'!$P48), 0, 1), 3, if(ISBLANK('2025'!$Q48), 0, 1), 4, if(ISBLANK('2025'!$R48), 0, 1), 5, if(ISBLANK('2025'!$S48), 0, 1), 6, if(ISBLANK('2025'!$T48), 0, 1), 7, 0))), 1, "")</f>
        <v/>
      </c>
      <c r="AG48" s="1" t="str">
        <f>IF(AND(AND(AND(AG$4&gt;='2025'!$L48,AG$4&lt;='2025'!$M48), AG$4&lt;&gt;DATE(2025,7,4)), (SWITCH(weekday(AG$4), 1, 0, 2, if(ISBLANK('2025'!$P48), 0, 1), 3, if(ISBLANK('2025'!$Q48), 0, 1), 4, if(ISBLANK('2025'!$R48), 0, 1), 5, if(ISBLANK('2025'!$S48), 0, 1), 6, if(ISBLANK('2025'!$T48), 0, 1), 7, 0))), 1, "")</f>
        <v/>
      </c>
      <c r="AH48" s="1" t="str">
        <f>IF(AND(AND(AND(AH$4&gt;='2025'!$L48,AH$4&lt;='2025'!$M48), AH$4&lt;&gt;DATE(2025,7,4)), (SWITCH(weekday(AH$4), 1, 0, 2, if(ISBLANK('2025'!$P48), 0, 1), 3, if(ISBLANK('2025'!$Q48), 0, 1), 4, if(ISBLANK('2025'!$R48), 0, 1), 5, if(ISBLANK('2025'!$S48), 0, 1), 6, if(ISBLANK('2025'!$T48), 0, 1), 7, 0))), 1, "")</f>
        <v/>
      </c>
      <c r="AI48" s="1" t="str">
        <f>IF(AND(AND(AND(AI$4&gt;='2025'!$L48,AI$4&lt;='2025'!$M48), AI$4&lt;&gt;DATE(2025,7,4)), (SWITCH(weekday(AI$4), 1, 0, 2, if(ISBLANK('2025'!$P48), 0, 1), 3, if(ISBLANK('2025'!$Q48), 0, 1), 4, if(ISBLANK('2025'!$R48), 0, 1), 5, if(ISBLANK('2025'!$S48), 0, 1), 6, if(ISBLANK('2025'!$T48), 0, 1), 7, 0))), 1, "")</f>
        <v/>
      </c>
      <c r="AJ48" s="1" t="str">
        <f>IF(AND(AND(AND(AJ$4&gt;='2025'!$L48,AJ$4&lt;='2025'!$M48), AJ$4&lt;&gt;DATE(2025,7,4)), (SWITCH(weekday(AJ$4), 1, 0, 2, if(ISBLANK('2025'!$P48), 0, 1), 3, if(ISBLANK('2025'!$Q48), 0, 1), 4, if(ISBLANK('2025'!$R48), 0, 1), 5, if(ISBLANK('2025'!$S48), 0, 1), 6, if(ISBLANK('2025'!$T48), 0, 1), 7, 0))), 1, "")</f>
        <v/>
      </c>
      <c r="AK48" s="1" t="str">
        <f>IF(AND(AND(AND(AK$4&gt;='2025'!$L48,AK$4&lt;='2025'!$M48), AK$4&lt;&gt;DATE(2025,7,4)), (SWITCH(weekday(AK$4), 1, 0, 2, if(ISBLANK('2025'!$P48), 0, 1), 3, if(ISBLANK('2025'!$Q48), 0, 1), 4, if(ISBLANK('2025'!$R48), 0, 1), 5, if(ISBLANK('2025'!$S48), 0, 1), 6, if(ISBLANK('2025'!$T48), 0, 1), 7, 0))), 1, "")</f>
        <v/>
      </c>
      <c r="AL48" s="1" t="str">
        <f>IF(AND(AND(AND(AL$4&gt;='2025'!$L48,AL$4&lt;='2025'!$M48), AL$4&lt;&gt;DATE(2025,7,4)), (SWITCH(weekday(AL$4), 1, 0, 2, if(ISBLANK('2025'!$P48), 0, 1), 3, if(ISBLANK('2025'!$Q48), 0, 1), 4, if(ISBLANK('2025'!$R48), 0, 1), 5, if(ISBLANK('2025'!$S48), 0, 1), 6, if(ISBLANK('2025'!$T48), 0, 1), 7, 0))), 1, "")</f>
        <v/>
      </c>
      <c r="AM48" s="1" t="str">
        <f>IF(AND(AND(AND(AM$4&gt;='2025'!$L48,AM$4&lt;='2025'!$M48), AM$4&lt;&gt;DATE(2025,7,4)), (SWITCH(weekday(AM$4), 1, 0, 2, if(ISBLANK('2025'!$P48), 0, 1), 3, if(ISBLANK('2025'!$Q48), 0, 1), 4, if(ISBLANK('2025'!$R48), 0, 1), 5, if(ISBLANK('2025'!$S48), 0, 1), 6, if(ISBLANK('2025'!$T48), 0, 1), 7, 0))), 1, "")</f>
        <v/>
      </c>
      <c r="AN48" s="1" t="str">
        <f>IF(AND(AND(AND(AN$4&gt;='2025'!$L48,AN$4&lt;='2025'!$M48), AN$4&lt;&gt;DATE(2025,7,4)), (SWITCH(weekday(AN$4), 1, 0, 2, if(ISBLANK('2025'!$P48), 0, 1), 3, if(ISBLANK('2025'!$Q48), 0, 1), 4, if(ISBLANK('2025'!$R48), 0, 1), 5, if(ISBLANK('2025'!$S48), 0, 1), 6, if(ISBLANK('2025'!$T48), 0, 1), 7, 0))), 1, "")</f>
        <v/>
      </c>
      <c r="AO48" s="1" t="str">
        <f>IF(AND(AND(AND(AO$4&gt;='2025'!$L48,AO$4&lt;='2025'!$M48), AO$4&lt;&gt;DATE(2025,7,4)), (SWITCH(weekday(AO$4), 1, 0, 2, if(ISBLANK('2025'!$P48), 0, 1), 3, if(ISBLANK('2025'!$Q48), 0, 1), 4, if(ISBLANK('2025'!$R48), 0, 1), 5, if(ISBLANK('2025'!$S48), 0, 1), 6, if(ISBLANK('2025'!$T48), 0, 1), 7, 0))), 1, "")</f>
        <v/>
      </c>
      <c r="AP48" s="1" t="str">
        <f>IF(AND(AND(AND(AP$4&gt;='2025'!$L48,AP$4&lt;='2025'!$M48), AP$4&lt;&gt;DATE(2025,7,4)), (SWITCH(weekday(AP$4), 1, 0, 2, if(ISBLANK('2025'!$P48), 0, 1), 3, if(ISBLANK('2025'!$Q48), 0, 1), 4, if(ISBLANK('2025'!$R48), 0, 1), 5, if(ISBLANK('2025'!$S48), 0, 1), 6, if(ISBLANK('2025'!$T48), 0, 1), 7, 0))), 1, "")</f>
        <v/>
      </c>
      <c r="AQ48" s="1" t="str">
        <f>IF(AND(AND(AND(AQ$4&gt;='2025'!$L48,AQ$4&lt;='2025'!$M48), AQ$4&lt;&gt;DATE(2025,7,4)), (SWITCH(weekday(AQ$4), 1, 0, 2, if(ISBLANK('2025'!$P48), 0, 1), 3, if(ISBLANK('2025'!$Q48), 0, 1), 4, if(ISBLANK('2025'!$R48), 0, 1), 5, if(ISBLANK('2025'!$S48), 0, 1), 6, if(ISBLANK('2025'!$T48), 0, 1), 7, 0))), 1, "")</f>
        <v/>
      </c>
      <c r="AR48" s="1" t="str">
        <f>IF(AND(AND(AND(AR$4&gt;='2025'!$L48,AR$4&lt;='2025'!$M48), AR$4&lt;&gt;DATE(2025,7,4)), (SWITCH(weekday(AR$4), 1, 0, 2, if(ISBLANK('2025'!$P48), 0, 1), 3, if(ISBLANK('2025'!$Q48), 0, 1), 4, if(ISBLANK('2025'!$R48), 0, 1), 5, if(ISBLANK('2025'!$S48), 0, 1), 6, if(ISBLANK('2025'!$T48), 0, 1), 7, 0))), 1, "")</f>
        <v/>
      </c>
      <c r="AS48" s="1" t="str">
        <f>IF(AND(AND(AND(AS$4&gt;='2025'!$L48,AS$4&lt;='2025'!$M48), AS$4&lt;&gt;DATE(2025,7,4)), (SWITCH(weekday(AS$4), 1, 0, 2, if(ISBLANK('2025'!$P48), 0, 1), 3, if(ISBLANK('2025'!$Q48), 0, 1), 4, if(ISBLANK('2025'!$R48), 0, 1), 5, if(ISBLANK('2025'!$S48), 0, 1), 6, if(ISBLANK('2025'!$T48), 0, 1), 7, 0))), 1, "")</f>
        <v/>
      </c>
      <c r="AT48" s="1" t="str">
        <f>IF(AND(AND(AND(AT$4&gt;='2025'!$L48,AT$4&lt;='2025'!$M48), AT$4&lt;&gt;DATE(2025,7,4)), (SWITCH(weekday(AT$4), 1, 0, 2, if(ISBLANK('2025'!$P48), 0, 1), 3, if(ISBLANK('2025'!$Q48), 0, 1), 4, if(ISBLANK('2025'!$R48), 0, 1), 5, if(ISBLANK('2025'!$S48), 0, 1), 6, if(ISBLANK('2025'!$T48), 0, 1), 7, 0))), 1, "")</f>
        <v/>
      </c>
      <c r="AU48" s="1" t="str">
        <f>IF(AND(AND(AND(AU$4&gt;='2025'!$L48,AU$4&lt;='2025'!$M48), AU$4&lt;&gt;DATE(2025,7,4)), (SWITCH(weekday(AU$4), 1, 0, 2, if(ISBLANK('2025'!$P48), 0, 1), 3, if(ISBLANK('2025'!$Q48), 0, 1), 4, if(ISBLANK('2025'!$R48), 0, 1), 5, if(ISBLANK('2025'!$S48), 0, 1), 6, if(ISBLANK('2025'!$T48), 0, 1), 7, 0))), 1, "")</f>
        <v/>
      </c>
      <c r="AV48" s="1" t="str">
        <f>IF(AND(AND(AND(AV$4&gt;='2025'!$L48,AV$4&lt;='2025'!$M48), AV$4&lt;&gt;DATE(2025,7,4)), (SWITCH(weekday(AV$4), 1, 0, 2, if(ISBLANK('2025'!$P48), 0, 1), 3, if(ISBLANK('2025'!$Q48), 0, 1), 4, if(ISBLANK('2025'!$R48), 0, 1), 5, if(ISBLANK('2025'!$S48), 0, 1), 6, if(ISBLANK('2025'!$T48), 0, 1), 7, 0))), 1, "")</f>
        <v/>
      </c>
      <c r="AW48" s="1" t="str">
        <f>IF(AND(AND(AND(AW$4&gt;='2025'!$L48,AW$4&lt;='2025'!$M48), AW$4&lt;&gt;DATE(2025,7,4)), (SWITCH(weekday(AW$4), 1, 0, 2, if(ISBLANK('2025'!$P48), 0, 1), 3, if(ISBLANK('2025'!$Q48), 0, 1), 4, if(ISBLANK('2025'!$R48), 0, 1), 5, if(ISBLANK('2025'!$S48), 0, 1), 6, if(ISBLANK('2025'!$T48), 0, 1), 7, 0))), 1, "")</f>
        <v/>
      </c>
      <c r="AX48" s="1" t="str">
        <f>IF(AND(AND(AND(AX$4&gt;='2025'!$L48,AX$4&lt;='2025'!$M48), AX$4&lt;&gt;DATE(2025,7,4)), (SWITCH(weekday(AX$4), 1, 0, 2, if(ISBLANK('2025'!$P48), 0, 1), 3, if(ISBLANK('2025'!$Q48), 0, 1), 4, if(ISBLANK('2025'!$R48), 0, 1), 5, if(ISBLANK('2025'!$S48), 0, 1), 6, if(ISBLANK('2025'!$T48), 0, 1), 7, 0))), 1, "")</f>
        <v/>
      </c>
      <c r="AY48" s="1" t="str">
        <f>IF(AND(AND(AND(AY$4&gt;='2025'!$L48,AY$4&lt;='2025'!$M48), AY$4&lt;&gt;DATE(2025,7,4)), (SWITCH(weekday(AY$4), 1, 0, 2, if(ISBLANK('2025'!$P48), 0, 1), 3, if(ISBLANK('2025'!$Q48), 0, 1), 4, if(ISBLANK('2025'!$R48), 0, 1), 5, if(ISBLANK('2025'!$S48), 0, 1), 6, if(ISBLANK('2025'!$T48), 0, 1), 7, 0))), 1, "")</f>
        <v/>
      </c>
      <c r="AZ48" s="1" t="str">
        <f>IF(AND(AND(AND(AZ$4&gt;='2025'!$L48,AZ$4&lt;='2025'!$M48), AZ$4&lt;&gt;DATE(2025,7,4)), (SWITCH(weekday(AZ$4), 1, 0, 2, if(ISBLANK('2025'!$P48), 0, 1), 3, if(ISBLANK('2025'!$Q48), 0, 1), 4, if(ISBLANK('2025'!$R48), 0, 1), 5, if(ISBLANK('2025'!$S48), 0, 1), 6, if(ISBLANK('2025'!$T48), 0, 1), 7, 0))), 1, "")</f>
        <v/>
      </c>
      <c r="BA48" s="1" t="str">
        <f>IF(AND(AND(AND(BA$4&gt;='2025'!$L48,BA$4&lt;='2025'!$M48), BA$4&lt;&gt;DATE(2025,7,4)), (SWITCH(weekday(BA$4), 1, 0, 2, if(ISBLANK('2025'!$P48), 0, 1), 3, if(ISBLANK('2025'!$Q48), 0, 1), 4, if(ISBLANK('2025'!$R48), 0, 1), 5, if(ISBLANK('2025'!$S48), 0, 1), 6, if(ISBLANK('2025'!$T48), 0, 1), 7, 0))), 1, "")</f>
        <v/>
      </c>
      <c r="BB48" s="1" t="str">
        <f>IF(AND(AND(AND(BB$4&gt;='2025'!$L48,BB$4&lt;='2025'!$M48), BB$4&lt;&gt;DATE(2025,7,4)), (SWITCH(weekday(BB$4), 1, 0, 2, if(ISBLANK('2025'!$P48), 0, 1), 3, if(ISBLANK('2025'!$Q48), 0, 1), 4, if(ISBLANK('2025'!$R48), 0, 1), 5, if(ISBLANK('2025'!$S48), 0, 1), 6, if(ISBLANK('2025'!$T48), 0, 1), 7, 0))), 1, "")</f>
        <v/>
      </c>
      <c r="BC48" s="1" t="str">
        <f>IF(AND(AND(AND(BC$4&gt;='2025'!$L48,BC$4&lt;='2025'!$M48), BC$4&lt;&gt;DATE(2025,7,4)), (SWITCH(weekday(BC$4), 1, 0, 2, if(ISBLANK('2025'!$P48), 0, 1), 3, if(ISBLANK('2025'!$Q48), 0, 1), 4, if(ISBLANK('2025'!$R48), 0, 1), 5, if(ISBLANK('2025'!$S48), 0, 1), 6, if(ISBLANK('2025'!$T48), 0, 1), 7, 0))), 1, "")</f>
        <v/>
      </c>
      <c r="BD48" s="1" t="str">
        <f>IF(AND(AND(AND(BD$4&gt;='2025'!$L48,BD$4&lt;='2025'!$M48), BD$4&lt;&gt;DATE(2025,7,4)), (SWITCH(weekday(BD$4), 1, 0, 2, if(ISBLANK('2025'!$P48), 0, 1), 3, if(ISBLANK('2025'!$Q48), 0, 1), 4, if(ISBLANK('2025'!$R48), 0, 1), 5, if(ISBLANK('2025'!$S48), 0, 1), 6, if(ISBLANK('2025'!$T48), 0, 1), 7, 0))), 1, "")</f>
        <v/>
      </c>
      <c r="BE48" s="1" t="str">
        <f>IF(AND(AND(AND(BE$4&gt;='2025'!$L48,BE$4&lt;='2025'!$M48), BE$4&lt;&gt;DATE(2025,7,4)), (SWITCH(weekday(BE$4), 1, 0, 2, if(ISBLANK('2025'!$P48), 0, 1), 3, if(ISBLANK('2025'!$Q48), 0, 1), 4, if(ISBLANK('2025'!$R48), 0, 1), 5, if(ISBLANK('2025'!$S48), 0, 1), 6, if(ISBLANK('2025'!$T48), 0, 1), 7, 0))), 1, "")</f>
        <v/>
      </c>
      <c r="BF48" s="1" t="str">
        <f>IF(AND(AND(AND(BF$4&gt;='2025'!$L48,BF$4&lt;='2025'!$M48), BF$4&lt;&gt;DATE(2025,7,4)), (SWITCH(weekday(BF$4), 1, 0, 2, if(ISBLANK('2025'!$P48), 0, 1), 3, if(ISBLANK('2025'!$Q48), 0, 1), 4, if(ISBLANK('2025'!$R48), 0, 1), 5, if(ISBLANK('2025'!$S48), 0, 1), 6, if(ISBLANK('2025'!$T48), 0, 1), 7, 0))), 1, "")</f>
        <v/>
      </c>
      <c r="BG48" s="1"/>
      <c r="BH48" s="1"/>
      <c r="BI48" s="1"/>
      <c r="BJ48" s="1"/>
      <c r="BK48" s="1"/>
      <c r="BL48" s="1"/>
    </row>
    <row r="49">
      <c r="A49" s="1">
        <f t="shared" si="3"/>
        <v>49</v>
      </c>
      <c r="B49" s="1" t="str">
        <f>'2025'!D49</f>
        <v>hamilton, mia</v>
      </c>
      <c r="C49" s="1" t="str">
        <f>'2025'!H49</f>
        <v>TOD</v>
      </c>
      <c r="D49" s="1" t="str">
        <f>IF(AND(AND(AND(D$4&gt;='2025'!$L49,D$4&lt;='2025'!$M49), D$4&lt;&gt;DATE(2025,7,4)), (SWITCH(weekday(D$4), 1, 0, 2, if(ISBLANK('2025'!$P49), 0, 1), 3, if(ISBLANK('2025'!$Q49), 0, 1), 4, if(ISBLANK('2025'!$R49), 0, 1), 5, if(ISBLANK('2025'!$S49), 0, 1), 6, if(ISBLANK('2025'!$T49), 0, 1), 7, 0))), 1, "")</f>
        <v/>
      </c>
      <c r="E49" s="1" t="str">
        <f>IF(AND(AND(AND(E$4&gt;='2025'!$L49,E$4&lt;='2025'!$M49), E$4&lt;&gt;DATE(2025,7,4)), (SWITCH(weekday(E$4), 1, 0, 2, if(ISBLANK('2025'!$P49), 0, 1), 3, if(ISBLANK('2025'!$Q49), 0, 1), 4, if(ISBLANK('2025'!$R49), 0, 1), 5, if(ISBLANK('2025'!$S49), 0, 1), 6, if(ISBLANK('2025'!$T49), 0, 1), 7, 0))), 1, "")</f>
        <v/>
      </c>
      <c r="F49" s="1" t="str">
        <f>IF(AND(AND(AND(F$4&gt;='2025'!$L49,F$4&lt;='2025'!$M49), F$4&lt;&gt;DATE(2025,7,4)), (SWITCH(weekday(F$4), 1, 0, 2, if(ISBLANK('2025'!$P49), 0, 1), 3, if(ISBLANK('2025'!$Q49), 0, 1), 4, if(ISBLANK('2025'!$R49), 0, 1), 5, if(ISBLANK('2025'!$S49), 0, 1), 6, if(ISBLANK('2025'!$T49), 0, 1), 7, 0))), 1, "")</f>
        <v/>
      </c>
      <c r="G49" s="1" t="str">
        <f>IF(AND(AND(AND(G$4&gt;='2025'!$L49,G$4&lt;='2025'!$M49), G$4&lt;&gt;DATE(2025,7,4)), (SWITCH(weekday(G$4), 1, 0, 2, if(ISBLANK('2025'!$P49), 0, 1), 3, if(ISBLANK('2025'!$Q49), 0, 1), 4, if(ISBLANK('2025'!$R49), 0, 1), 5, if(ISBLANK('2025'!$S49), 0, 1), 6, if(ISBLANK('2025'!$T49), 0, 1), 7, 0))), 1, "")</f>
        <v/>
      </c>
      <c r="H49" s="1" t="str">
        <f>IF(AND(AND(AND(H$4&gt;='2025'!$L49,H$4&lt;='2025'!$M49), H$4&lt;&gt;DATE(2025,7,4)), (SWITCH(weekday(H$4), 1, 0, 2, if(ISBLANK('2025'!$P49), 0, 1), 3, if(ISBLANK('2025'!$Q49), 0, 1), 4, if(ISBLANK('2025'!$R49), 0, 1), 5, if(ISBLANK('2025'!$S49), 0, 1), 6, if(ISBLANK('2025'!$T49), 0, 1), 7, 0))), 1, "")</f>
        <v/>
      </c>
      <c r="I49" s="1" t="str">
        <f>IF(AND(AND(AND(I$4&gt;='2025'!$L49,I$4&lt;='2025'!$M49), I$4&lt;&gt;DATE(2025,7,4)), (SWITCH(weekday(I$4), 1, 0, 2, if(ISBLANK('2025'!$P49), 0, 1), 3, if(ISBLANK('2025'!$Q49), 0, 1), 4, if(ISBLANK('2025'!$R49), 0, 1), 5, if(ISBLANK('2025'!$S49), 0, 1), 6, if(ISBLANK('2025'!$T49), 0, 1), 7, 0))), 1, "")</f>
        <v/>
      </c>
      <c r="J49" s="1" t="str">
        <f>IF(AND(AND(AND(J$4&gt;='2025'!$L49,J$4&lt;='2025'!$M49), J$4&lt;&gt;DATE(2025,7,4)), (SWITCH(weekday(J$4), 1, 0, 2, if(ISBLANK('2025'!$P49), 0, 1), 3, if(ISBLANK('2025'!$Q49), 0, 1), 4, if(ISBLANK('2025'!$R49), 0, 1), 5, if(ISBLANK('2025'!$S49), 0, 1), 6, if(ISBLANK('2025'!$T49), 0, 1), 7, 0))), 1, "")</f>
        <v/>
      </c>
      <c r="K49" s="1" t="str">
        <f>IF(AND(AND(AND(K$4&gt;='2025'!$L49,K$4&lt;='2025'!$M49), K$4&lt;&gt;DATE(2025,7,4)), (SWITCH(weekday(K$4), 1, 0, 2, if(ISBLANK('2025'!$P49), 0, 1), 3, if(ISBLANK('2025'!$Q49), 0, 1), 4, if(ISBLANK('2025'!$R49), 0, 1), 5, if(ISBLANK('2025'!$S49), 0, 1), 6, if(ISBLANK('2025'!$T49), 0, 1), 7, 0))), 1, "")</f>
        <v/>
      </c>
      <c r="L49" s="1" t="str">
        <f>IF(AND(AND(AND(L$4&gt;='2025'!$L49,L$4&lt;='2025'!$M49), L$4&lt;&gt;DATE(2025,7,4)), (SWITCH(weekday(L$4), 1, 0, 2, if(ISBLANK('2025'!$P49), 0, 1), 3, if(ISBLANK('2025'!$Q49), 0, 1), 4, if(ISBLANK('2025'!$R49), 0, 1), 5, if(ISBLANK('2025'!$S49), 0, 1), 6, if(ISBLANK('2025'!$T49), 0, 1), 7, 0))), 1, "")</f>
        <v/>
      </c>
      <c r="M49" s="1" t="str">
        <f>IF(AND(AND(AND(M$4&gt;='2025'!$L49,M$4&lt;='2025'!$M49), M$4&lt;&gt;DATE(2025,7,4)), (SWITCH(weekday(M$4), 1, 0, 2, if(ISBLANK('2025'!$P49), 0, 1), 3, if(ISBLANK('2025'!$Q49), 0, 1), 4, if(ISBLANK('2025'!$R49), 0, 1), 5, if(ISBLANK('2025'!$S49), 0, 1), 6, if(ISBLANK('2025'!$T49), 0, 1), 7, 0))), 1, "")</f>
        <v/>
      </c>
      <c r="N49" s="1" t="str">
        <f>IF(AND(AND(AND(N$4&gt;='2025'!$L49,N$4&lt;='2025'!$M49), N$4&lt;&gt;DATE(2025,7,4)), (SWITCH(weekday(N$4), 1, 0, 2, if(ISBLANK('2025'!$P49), 0, 1), 3, if(ISBLANK('2025'!$Q49), 0, 1), 4, if(ISBLANK('2025'!$R49), 0, 1), 5, if(ISBLANK('2025'!$S49), 0, 1), 6, if(ISBLANK('2025'!$T49), 0, 1), 7, 0))), 1, "")</f>
        <v/>
      </c>
      <c r="O49" s="1" t="str">
        <f>IF(AND(AND(AND(O$4&gt;='2025'!$L49,O$4&lt;='2025'!$M49), O$4&lt;&gt;DATE(2025,7,4)), (SWITCH(weekday(O$4), 1, 0, 2, if(ISBLANK('2025'!$P49), 0, 1), 3, if(ISBLANK('2025'!$Q49), 0, 1), 4, if(ISBLANK('2025'!$R49), 0, 1), 5, if(ISBLANK('2025'!$S49), 0, 1), 6, if(ISBLANK('2025'!$T49), 0, 1), 7, 0))), 1, "")</f>
        <v/>
      </c>
      <c r="P49" s="1" t="str">
        <f>IF(AND(AND(AND(P$4&gt;='2025'!$L49,P$4&lt;='2025'!$M49), P$4&lt;&gt;DATE(2025,7,4)), (SWITCH(weekday(P$4), 1, 0, 2, if(ISBLANK('2025'!$P49), 0, 1), 3, if(ISBLANK('2025'!$Q49), 0, 1), 4, if(ISBLANK('2025'!$R49), 0, 1), 5, if(ISBLANK('2025'!$S49), 0, 1), 6, if(ISBLANK('2025'!$T49), 0, 1), 7, 0))), 1, "")</f>
        <v/>
      </c>
      <c r="Q49" s="1" t="str">
        <f>IF(AND(AND(AND(Q$4&gt;='2025'!$L49,Q$4&lt;='2025'!$M49), Q$4&lt;&gt;DATE(2025,7,4)), (SWITCH(weekday(Q$4), 1, 0, 2, if(ISBLANK('2025'!$P49), 0, 1), 3, if(ISBLANK('2025'!$Q49), 0, 1), 4, if(ISBLANK('2025'!$R49), 0, 1), 5, if(ISBLANK('2025'!$S49), 0, 1), 6, if(ISBLANK('2025'!$T49), 0, 1), 7, 0))), 1, "")</f>
        <v/>
      </c>
      <c r="R49" s="1" t="str">
        <f>IF(AND(AND(AND(R$4&gt;='2025'!$L49,R$4&lt;='2025'!$M49), R$4&lt;&gt;DATE(2025,7,4)), (SWITCH(weekday(R$4), 1, 0, 2, if(ISBLANK('2025'!$P49), 0, 1), 3, if(ISBLANK('2025'!$Q49), 0, 1), 4, if(ISBLANK('2025'!$R49), 0, 1), 5, if(ISBLANK('2025'!$S49), 0, 1), 6, if(ISBLANK('2025'!$T49), 0, 1), 7, 0))), 1, "")</f>
        <v/>
      </c>
      <c r="S49" s="1" t="str">
        <f>IF(AND(AND(AND(S$4&gt;='2025'!$L49,S$4&lt;='2025'!$M49), S$4&lt;&gt;DATE(2025,7,4)), (SWITCH(weekday(S$4), 1, 0, 2, if(ISBLANK('2025'!$P49), 0, 1), 3, if(ISBLANK('2025'!$Q49), 0, 1), 4, if(ISBLANK('2025'!$R49), 0, 1), 5, if(ISBLANK('2025'!$S49), 0, 1), 6, if(ISBLANK('2025'!$T49), 0, 1), 7, 0))), 1, "")</f>
        <v/>
      </c>
      <c r="T49" s="1" t="str">
        <f>IF(AND(AND(AND(T$4&gt;='2025'!$L49,T$4&lt;='2025'!$M49), T$4&lt;&gt;DATE(2025,7,4)), (SWITCH(weekday(T$4), 1, 0, 2, if(ISBLANK('2025'!$P49), 0, 1), 3, if(ISBLANK('2025'!$Q49), 0, 1), 4, if(ISBLANK('2025'!$R49), 0, 1), 5, if(ISBLANK('2025'!$S49), 0, 1), 6, if(ISBLANK('2025'!$T49), 0, 1), 7, 0))), 1, "")</f>
        <v/>
      </c>
      <c r="U49" s="1" t="str">
        <f>IF(AND(AND(AND(U$4&gt;='2025'!$L49,U$4&lt;='2025'!$M49), U$4&lt;&gt;DATE(2025,7,4)), (SWITCH(weekday(U$4), 1, 0, 2, if(ISBLANK('2025'!$P49), 0, 1), 3, if(ISBLANK('2025'!$Q49), 0, 1), 4, if(ISBLANK('2025'!$R49), 0, 1), 5, if(ISBLANK('2025'!$S49), 0, 1), 6, if(ISBLANK('2025'!$T49), 0, 1), 7, 0))), 1, "")</f>
        <v/>
      </c>
      <c r="V49" s="1" t="str">
        <f>IF(AND(AND(AND(V$4&gt;='2025'!$L49,V$4&lt;='2025'!$M49), V$4&lt;&gt;DATE(2025,7,4)), (SWITCH(weekday(V$4), 1, 0, 2, if(ISBLANK('2025'!$P49), 0, 1), 3, if(ISBLANK('2025'!$Q49), 0, 1), 4, if(ISBLANK('2025'!$R49), 0, 1), 5, if(ISBLANK('2025'!$S49), 0, 1), 6, if(ISBLANK('2025'!$T49), 0, 1), 7, 0))), 1, "")</f>
        <v/>
      </c>
      <c r="W49" s="1" t="str">
        <f>IF(AND(AND(AND(W$4&gt;='2025'!$L49,W$4&lt;='2025'!$M49), W$4&lt;&gt;DATE(2025,7,4)), (SWITCH(weekday(W$4), 1, 0, 2, if(ISBLANK('2025'!$P49), 0, 1), 3, if(ISBLANK('2025'!$Q49), 0, 1), 4, if(ISBLANK('2025'!$R49), 0, 1), 5, if(ISBLANK('2025'!$S49), 0, 1), 6, if(ISBLANK('2025'!$T49), 0, 1), 7, 0))), 1, "")</f>
        <v/>
      </c>
      <c r="X49" s="1" t="str">
        <f>IF(AND(AND(AND(X$4&gt;='2025'!$L49,X$4&lt;='2025'!$M49), X$4&lt;&gt;DATE(2025,7,4)), (SWITCH(weekday(X$4), 1, 0, 2, if(ISBLANK('2025'!$P49), 0, 1), 3, if(ISBLANK('2025'!$Q49), 0, 1), 4, if(ISBLANK('2025'!$R49), 0, 1), 5, if(ISBLANK('2025'!$S49), 0, 1), 6, if(ISBLANK('2025'!$T49), 0, 1), 7, 0))), 1, "")</f>
        <v/>
      </c>
      <c r="Y49" s="1" t="str">
        <f>IF(AND(AND(AND(Y$4&gt;='2025'!$L49,Y$4&lt;='2025'!$M49), Y$4&lt;&gt;DATE(2025,7,4)), (SWITCH(weekday(Y$4), 1, 0, 2, if(ISBLANK('2025'!$P49), 0, 1), 3, if(ISBLANK('2025'!$Q49), 0, 1), 4, if(ISBLANK('2025'!$R49), 0, 1), 5, if(ISBLANK('2025'!$S49), 0, 1), 6, if(ISBLANK('2025'!$T49), 0, 1), 7, 0))), 1, "")</f>
        <v/>
      </c>
      <c r="Z49" s="1" t="str">
        <f>IF(AND(AND(AND(Z$4&gt;='2025'!$L49,Z$4&lt;='2025'!$M49), Z$4&lt;&gt;DATE(2025,7,4)), (SWITCH(weekday(Z$4), 1, 0, 2, if(ISBLANK('2025'!$P49), 0, 1), 3, if(ISBLANK('2025'!$Q49), 0, 1), 4, if(ISBLANK('2025'!$R49), 0, 1), 5, if(ISBLANK('2025'!$S49), 0, 1), 6, if(ISBLANK('2025'!$T49), 0, 1), 7, 0))), 1, "")</f>
        <v/>
      </c>
      <c r="AA49" s="1" t="str">
        <f>IF(AND(AND(AND(AA$4&gt;='2025'!$L49,AA$4&lt;='2025'!$M49), AA$4&lt;&gt;DATE(2025,7,4)), (SWITCH(weekday(AA$4), 1, 0, 2, if(ISBLANK('2025'!$P49), 0, 1), 3, if(ISBLANK('2025'!$Q49), 0, 1), 4, if(ISBLANK('2025'!$R49), 0, 1), 5, if(ISBLANK('2025'!$S49), 0, 1), 6, if(ISBLANK('2025'!$T49), 0, 1), 7, 0))), 1, "")</f>
        <v/>
      </c>
      <c r="AB49" s="1" t="str">
        <f>IF(AND(AND(AND(AB$4&gt;='2025'!$L49,AB$4&lt;='2025'!$M49), AB$4&lt;&gt;DATE(2025,7,4)), (SWITCH(weekday(AB$4), 1, 0, 2, if(ISBLANK('2025'!$P49), 0, 1), 3, if(ISBLANK('2025'!$Q49), 0, 1), 4, if(ISBLANK('2025'!$R49), 0, 1), 5, if(ISBLANK('2025'!$S49), 0, 1), 6, if(ISBLANK('2025'!$T49), 0, 1), 7, 0))), 1, "")</f>
        <v/>
      </c>
      <c r="AC49" s="1" t="str">
        <f>IF(AND(AND(AND(AC$4&gt;='2025'!$L49,AC$4&lt;='2025'!$M49), AC$4&lt;&gt;DATE(2025,7,4)), (SWITCH(weekday(AC$4), 1, 0, 2, if(ISBLANK('2025'!$P49), 0, 1), 3, if(ISBLANK('2025'!$Q49), 0, 1), 4, if(ISBLANK('2025'!$R49), 0, 1), 5, if(ISBLANK('2025'!$S49), 0, 1), 6, if(ISBLANK('2025'!$T49), 0, 1), 7, 0))), 1, "")</f>
        <v/>
      </c>
      <c r="AD49" s="1" t="str">
        <f>IF(AND(AND(AND(AD$4&gt;='2025'!$L49,AD$4&lt;='2025'!$M49), AD$4&lt;&gt;DATE(2025,7,4)), (SWITCH(weekday(AD$4), 1, 0, 2, if(ISBLANK('2025'!$P49), 0, 1), 3, if(ISBLANK('2025'!$Q49), 0, 1), 4, if(ISBLANK('2025'!$R49), 0, 1), 5, if(ISBLANK('2025'!$S49), 0, 1), 6, if(ISBLANK('2025'!$T49), 0, 1), 7, 0))), 1, "")</f>
        <v/>
      </c>
      <c r="AE49" s="1" t="str">
        <f>IF(AND(AND(AND(AE$4&gt;='2025'!$L49,AE$4&lt;='2025'!$M49), AE$4&lt;&gt;DATE(2025,7,4)), (SWITCH(weekday(AE$4), 1, 0, 2, if(ISBLANK('2025'!$P49), 0, 1), 3, if(ISBLANK('2025'!$Q49), 0, 1), 4, if(ISBLANK('2025'!$R49), 0, 1), 5, if(ISBLANK('2025'!$S49), 0, 1), 6, if(ISBLANK('2025'!$T49), 0, 1), 7, 0))), 1, "")</f>
        <v/>
      </c>
      <c r="AF49" s="1" t="str">
        <f>IF(AND(AND(AND(AF$4&gt;='2025'!$L49,AF$4&lt;='2025'!$M49), AF$4&lt;&gt;DATE(2025,7,4)), (SWITCH(weekday(AF$4), 1, 0, 2, if(ISBLANK('2025'!$P49), 0, 1), 3, if(ISBLANK('2025'!$Q49), 0, 1), 4, if(ISBLANK('2025'!$R49), 0, 1), 5, if(ISBLANK('2025'!$S49), 0, 1), 6, if(ISBLANK('2025'!$T49), 0, 1), 7, 0))), 1, "")</f>
        <v/>
      </c>
      <c r="AG49" s="1" t="str">
        <f>IF(AND(AND(AND(AG$4&gt;='2025'!$L49,AG$4&lt;='2025'!$M49), AG$4&lt;&gt;DATE(2025,7,4)), (SWITCH(weekday(AG$4), 1, 0, 2, if(ISBLANK('2025'!$P49), 0, 1), 3, if(ISBLANK('2025'!$Q49), 0, 1), 4, if(ISBLANK('2025'!$R49), 0, 1), 5, if(ISBLANK('2025'!$S49), 0, 1), 6, if(ISBLANK('2025'!$T49), 0, 1), 7, 0))), 1, "")</f>
        <v/>
      </c>
      <c r="AH49" s="1" t="str">
        <f>IF(AND(AND(AND(AH$4&gt;='2025'!$L49,AH$4&lt;='2025'!$M49), AH$4&lt;&gt;DATE(2025,7,4)), (SWITCH(weekday(AH$4), 1, 0, 2, if(ISBLANK('2025'!$P49), 0, 1), 3, if(ISBLANK('2025'!$Q49), 0, 1), 4, if(ISBLANK('2025'!$R49), 0, 1), 5, if(ISBLANK('2025'!$S49), 0, 1), 6, if(ISBLANK('2025'!$T49), 0, 1), 7, 0))), 1, "")</f>
        <v/>
      </c>
      <c r="AI49" s="1" t="str">
        <f>IF(AND(AND(AND(AI$4&gt;='2025'!$L49,AI$4&lt;='2025'!$M49), AI$4&lt;&gt;DATE(2025,7,4)), (SWITCH(weekday(AI$4), 1, 0, 2, if(ISBLANK('2025'!$P49), 0, 1), 3, if(ISBLANK('2025'!$Q49), 0, 1), 4, if(ISBLANK('2025'!$R49), 0, 1), 5, if(ISBLANK('2025'!$S49), 0, 1), 6, if(ISBLANK('2025'!$T49), 0, 1), 7, 0))), 1, "")</f>
        <v/>
      </c>
      <c r="AJ49" s="1" t="str">
        <f>IF(AND(AND(AND(AJ$4&gt;='2025'!$L49,AJ$4&lt;='2025'!$M49), AJ$4&lt;&gt;DATE(2025,7,4)), (SWITCH(weekday(AJ$4), 1, 0, 2, if(ISBLANK('2025'!$P49), 0, 1), 3, if(ISBLANK('2025'!$Q49), 0, 1), 4, if(ISBLANK('2025'!$R49), 0, 1), 5, if(ISBLANK('2025'!$S49), 0, 1), 6, if(ISBLANK('2025'!$T49), 0, 1), 7, 0))), 1, "")</f>
        <v/>
      </c>
      <c r="AK49" s="1" t="str">
        <f>IF(AND(AND(AND(AK$4&gt;='2025'!$L49,AK$4&lt;='2025'!$M49), AK$4&lt;&gt;DATE(2025,7,4)), (SWITCH(weekday(AK$4), 1, 0, 2, if(ISBLANK('2025'!$P49), 0, 1), 3, if(ISBLANK('2025'!$Q49), 0, 1), 4, if(ISBLANK('2025'!$R49), 0, 1), 5, if(ISBLANK('2025'!$S49), 0, 1), 6, if(ISBLANK('2025'!$T49), 0, 1), 7, 0))), 1, "")</f>
        <v/>
      </c>
      <c r="AL49" s="1" t="str">
        <f>IF(AND(AND(AND(AL$4&gt;='2025'!$L49,AL$4&lt;='2025'!$M49), AL$4&lt;&gt;DATE(2025,7,4)), (SWITCH(weekday(AL$4), 1, 0, 2, if(ISBLANK('2025'!$P49), 0, 1), 3, if(ISBLANK('2025'!$Q49), 0, 1), 4, if(ISBLANK('2025'!$R49), 0, 1), 5, if(ISBLANK('2025'!$S49), 0, 1), 6, if(ISBLANK('2025'!$T49), 0, 1), 7, 0))), 1, "")</f>
        <v/>
      </c>
      <c r="AM49" s="1" t="str">
        <f>IF(AND(AND(AND(AM$4&gt;='2025'!$L49,AM$4&lt;='2025'!$M49), AM$4&lt;&gt;DATE(2025,7,4)), (SWITCH(weekday(AM$4), 1, 0, 2, if(ISBLANK('2025'!$P49), 0, 1), 3, if(ISBLANK('2025'!$Q49), 0, 1), 4, if(ISBLANK('2025'!$R49), 0, 1), 5, if(ISBLANK('2025'!$S49), 0, 1), 6, if(ISBLANK('2025'!$T49), 0, 1), 7, 0))), 1, "")</f>
        <v/>
      </c>
      <c r="AN49" s="1" t="str">
        <f>IF(AND(AND(AND(AN$4&gt;='2025'!$L49,AN$4&lt;='2025'!$M49), AN$4&lt;&gt;DATE(2025,7,4)), (SWITCH(weekday(AN$4), 1, 0, 2, if(ISBLANK('2025'!$P49), 0, 1), 3, if(ISBLANK('2025'!$Q49), 0, 1), 4, if(ISBLANK('2025'!$R49), 0, 1), 5, if(ISBLANK('2025'!$S49), 0, 1), 6, if(ISBLANK('2025'!$T49), 0, 1), 7, 0))), 1, "")</f>
        <v/>
      </c>
      <c r="AO49" s="1" t="str">
        <f>IF(AND(AND(AND(AO$4&gt;='2025'!$L49,AO$4&lt;='2025'!$M49), AO$4&lt;&gt;DATE(2025,7,4)), (SWITCH(weekday(AO$4), 1, 0, 2, if(ISBLANK('2025'!$P49), 0, 1), 3, if(ISBLANK('2025'!$Q49), 0, 1), 4, if(ISBLANK('2025'!$R49), 0, 1), 5, if(ISBLANK('2025'!$S49), 0, 1), 6, if(ISBLANK('2025'!$T49), 0, 1), 7, 0))), 1, "")</f>
        <v/>
      </c>
      <c r="AP49" s="1" t="str">
        <f>IF(AND(AND(AND(AP$4&gt;='2025'!$L49,AP$4&lt;='2025'!$M49), AP$4&lt;&gt;DATE(2025,7,4)), (SWITCH(weekday(AP$4), 1, 0, 2, if(ISBLANK('2025'!$P49), 0, 1), 3, if(ISBLANK('2025'!$Q49), 0, 1), 4, if(ISBLANK('2025'!$R49), 0, 1), 5, if(ISBLANK('2025'!$S49), 0, 1), 6, if(ISBLANK('2025'!$T49), 0, 1), 7, 0))), 1, "")</f>
        <v/>
      </c>
      <c r="AQ49" s="1" t="str">
        <f>IF(AND(AND(AND(AQ$4&gt;='2025'!$L49,AQ$4&lt;='2025'!$M49), AQ$4&lt;&gt;DATE(2025,7,4)), (SWITCH(weekday(AQ$4), 1, 0, 2, if(ISBLANK('2025'!$P49), 0, 1), 3, if(ISBLANK('2025'!$Q49), 0, 1), 4, if(ISBLANK('2025'!$R49), 0, 1), 5, if(ISBLANK('2025'!$S49), 0, 1), 6, if(ISBLANK('2025'!$T49), 0, 1), 7, 0))), 1, "")</f>
        <v/>
      </c>
      <c r="AR49" s="1" t="str">
        <f>IF(AND(AND(AND(AR$4&gt;='2025'!$L49,AR$4&lt;='2025'!$M49), AR$4&lt;&gt;DATE(2025,7,4)), (SWITCH(weekday(AR$4), 1, 0, 2, if(ISBLANK('2025'!$P49), 0, 1), 3, if(ISBLANK('2025'!$Q49), 0, 1), 4, if(ISBLANK('2025'!$R49), 0, 1), 5, if(ISBLANK('2025'!$S49), 0, 1), 6, if(ISBLANK('2025'!$T49), 0, 1), 7, 0))), 1, "")</f>
        <v/>
      </c>
      <c r="AS49" s="1" t="str">
        <f>IF(AND(AND(AND(AS$4&gt;='2025'!$L49,AS$4&lt;='2025'!$M49), AS$4&lt;&gt;DATE(2025,7,4)), (SWITCH(weekday(AS$4), 1, 0, 2, if(ISBLANK('2025'!$P49), 0, 1), 3, if(ISBLANK('2025'!$Q49), 0, 1), 4, if(ISBLANK('2025'!$R49), 0, 1), 5, if(ISBLANK('2025'!$S49), 0, 1), 6, if(ISBLANK('2025'!$T49), 0, 1), 7, 0))), 1, "")</f>
        <v/>
      </c>
      <c r="AT49" s="1" t="str">
        <f>IF(AND(AND(AND(AT$4&gt;='2025'!$L49,AT$4&lt;='2025'!$M49), AT$4&lt;&gt;DATE(2025,7,4)), (SWITCH(weekday(AT$4), 1, 0, 2, if(ISBLANK('2025'!$P49), 0, 1), 3, if(ISBLANK('2025'!$Q49), 0, 1), 4, if(ISBLANK('2025'!$R49), 0, 1), 5, if(ISBLANK('2025'!$S49), 0, 1), 6, if(ISBLANK('2025'!$T49), 0, 1), 7, 0))), 1, "")</f>
        <v/>
      </c>
      <c r="AU49" s="1" t="str">
        <f>IF(AND(AND(AND(AU$4&gt;='2025'!$L49,AU$4&lt;='2025'!$M49), AU$4&lt;&gt;DATE(2025,7,4)), (SWITCH(weekday(AU$4), 1, 0, 2, if(ISBLANK('2025'!$P49), 0, 1), 3, if(ISBLANK('2025'!$Q49), 0, 1), 4, if(ISBLANK('2025'!$R49), 0, 1), 5, if(ISBLANK('2025'!$S49), 0, 1), 6, if(ISBLANK('2025'!$T49), 0, 1), 7, 0))), 1, "")</f>
        <v/>
      </c>
      <c r="AV49" s="1" t="str">
        <f>IF(AND(AND(AND(AV$4&gt;='2025'!$L49,AV$4&lt;='2025'!$M49), AV$4&lt;&gt;DATE(2025,7,4)), (SWITCH(weekday(AV$4), 1, 0, 2, if(ISBLANK('2025'!$P49), 0, 1), 3, if(ISBLANK('2025'!$Q49), 0, 1), 4, if(ISBLANK('2025'!$R49), 0, 1), 5, if(ISBLANK('2025'!$S49), 0, 1), 6, if(ISBLANK('2025'!$T49), 0, 1), 7, 0))), 1, "")</f>
        <v/>
      </c>
      <c r="AW49" s="1" t="str">
        <f>IF(AND(AND(AND(AW$4&gt;='2025'!$L49,AW$4&lt;='2025'!$M49), AW$4&lt;&gt;DATE(2025,7,4)), (SWITCH(weekday(AW$4), 1, 0, 2, if(ISBLANK('2025'!$P49), 0, 1), 3, if(ISBLANK('2025'!$Q49), 0, 1), 4, if(ISBLANK('2025'!$R49), 0, 1), 5, if(ISBLANK('2025'!$S49), 0, 1), 6, if(ISBLANK('2025'!$T49), 0, 1), 7, 0))), 1, "")</f>
        <v/>
      </c>
      <c r="AX49" s="1" t="str">
        <f>IF(AND(AND(AND(AX$4&gt;='2025'!$L49,AX$4&lt;='2025'!$M49), AX$4&lt;&gt;DATE(2025,7,4)), (SWITCH(weekday(AX$4), 1, 0, 2, if(ISBLANK('2025'!$P49), 0, 1), 3, if(ISBLANK('2025'!$Q49), 0, 1), 4, if(ISBLANK('2025'!$R49), 0, 1), 5, if(ISBLANK('2025'!$S49), 0, 1), 6, if(ISBLANK('2025'!$T49), 0, 1), 7, 0))), 1, "")</f>
        <v/>
      </c>
      <c r="AY49" s="1" t="str">
        <f>IF(AND(AND(AND(AY$4&gt;='2025'!$L49,AY$4&lt;='2025'!$M49), AY$4&lt;&gt;DATE(2025,7,4)), (SWITCH(weekday(AY$4), 1, 0, 2, if(ISBLANK('2025'!$P49), 0, 1), 3, if(ISBLANK('2025'!$Q49), 0, 1), 4, if(ISBLANK('2025'!$R49), 0, 1), 5, if(ISBLANK('2025'!$S49), 0, 1), 6, if(ISBLANK('2025'!$T49), 0, 1), 7, 0))), 1, "")</f>
        <v/>
      </c>
      <c r="AZ49" s="1" t="str">
        <f>IF(AND(AND(AND(AZ$4&gt;='2025'!$L49,AZ$4&lt;='2025'!$M49), AZ$4&lt;&gt;DATE(2025,7,4)), (SWITCH(weekday(AZ$4), 1, 0, 2, if(ISBLANK('2025'!$P49), 0, 1), 3, if(ISBLANK('2025'!$Q49), 0, 1), 4, if(ISBLANK('2025'!$R49), 0, 1), 5, if(ISBLANK('2025'!$S49), 0, 1), 6, if(ISBLANK('2025'!$T49), 0, 1), 7, 0))), 1, "")</f>
        <v/>
      </c>
      <c r="BA49" s="1" t="str">
        <f>IF(AND(AND(AND(BA$4&gt;='2025'!$L49,BA$4&lt;='2025'!$M49), BA$4&lt;&gt;DATE(2025,7,4)), (SWITCH(weekday(BA$4), 1, 0, 2, if(ISBLANK('2025'!$P49), 0, 1), 3, if(ISBLANK('2025'!$Q49), 0, 1), 4, if(ISBLANK('2025'!$R49), 0, 1), 5, if(ISBLANK('2025'!$S49), 0, 1), 6, if(ISBLANK('2025'!$T49), 0, 1), 7, 0))), 1, "")</f>
        <v/>
      </c>
      <c r="BB49" s="1" t="str">
        <f>IF(AND(AND(AND(BB$4&gt;='2025'!$L49,BB$4&lt;='2025'!$M49), BB$4&lt;&gt;DATE(2025,7,4)), (SWITCH(weekday(BB$4), 1, 0, 2, if(ISBLANK('2025'!$P49), 0, 1), 3, if(ISBLANK('2025'!$Q49), 0, 1), 4, if(ISBLANK('2025'!$R49), 0, 1), 5, if(ISBLANK('2025'!$S49), 0, 1), 6, if(ISBLANK('2025'!$T49), 0, 1), 7, 0))), 1, "")</f>
        <v/>
      </c>
      <c r="BC49" s="1" t="str">
        <f>IF(AND(AND(AND(BC$4&gt;='2025'!$L49,BC$4&lt;='2025'!$M49), BC$4&lt;&gt;DATE(2025,7,4)), (SWITCH(weekday(BC$4), 1, 0, 2, if(ISBLANK('2025'!$P49), 0, 1), 3, if(ISBLANK('2025'!$Q49), 0, 1), 4, if(ISBLANK('2025'!$R49), 0, 1), 5, if(ISBLANK('2025'!$S49), 0, 1), 6, if(ISBLANK('2025'!$T49), 0, 1), 7, 0))), 1, "")</f>
        <v/>
      </c>
      <c r="BD49" s="1" t="str">
        <f>IF(AND(AND(AND(BD$4&gt;='2025'!$L49,BD$4&lt;='2025'!$M49), BD$4&lt;&gt;DATE(2025,7,4)), (SWITCH(weekday(BD$4), 1, 0, 2, if(ISBLANK('2025'!$P49), 0, 1), 3, if(ISBLANK('2025'!$Q49), 0, 1), 4, if(ISBLANK('2025'!$R49), 0, 1), 5, if(ISBLANK('2025'!$S49), 0, 1), 6, if(ISBLANK('2025'!$T49), 0, 1), 7, 0))), 1, "")</f>
        <v/>
      </c>
      <c r="BE49" s="1" t="str">
        <f>IF(AND(AND(AND(BE$4&gt;='2025'!$L49,BE$4&lt;='2025'!$M49), BE$4&lt;&gt;DATE(2025,7,4)), (SWITCH(weekday(BE$4), 1, 0, 2, if(ISBLANK('2025'!$P49), 0, 1), 3, if(ISBLANK('2025'!$Q49), 0, 1), 4, if(ISBLANK('2025'!$R49), 0, 1), 5, if(ISBLANK('2025'!$S49), 0, 1), 6, if(ISBLANK('2025'!$T49), 0, 1), 7, 0))), 1, "")</f>
        <v/>
      </c>
      <c r="BF49" s="1" t="str">
        <f>IF(AND(AND(AND(BF$4&gt;='2025'!$L49,BF$4&lt;='2025'!$M49), BF$4&lt;&gt;DATE(2025,7,4)), (SWITCH(weekday(BF$4), 1, 0, 2, if(ISBLANK('2025'!$P49), 0, 1), 3, if(ISBLANK('2025'!$Q49), 0, 1), 4, if(ISBLANK('2025'!$R49), 0, 1), 5, if(ISBLANK('2025'!$S49), 0, 1), 6, if(ISBLANK('2025'!$T49), 0, 1), 7, 0))), 1, "")</f>
        <v/>
      </c>
      <c r="BG49" s="1"/>
      <c r="BH49" s="1"/>
      <c r="BI49" s="1"/>
      <c r="BJ49" s="1"/>
      <c r="BK49" s="1"/>
      <c r="BL49" s="1"/>
    </row>
    <row r="50">
      <c r="A50" s="1">
        <f t="shared" si="3"/>
        <v>50</v>
      </c>
      <c r="B50" s="1" t="str">
        <f>'2025'!D50</f>
        <v>George , Gabriel </v>
      </c>
      <c r="C50" s="1" t="str">
        <f>'2025'!H50</f>
        <v>PK3.1</v>
      </c>
      <c r="D50" s="1" t="str">
        <f>IF(AND(AND(AND(D$4&gt;='2025'!$L50,D$4&lt;='2025'!$M50), D$4&lt;&gt;DATE(2025,7,4)), (SWITCH(weekday(D$4), 1, 0, 2, if(ISBLANK('2025'!$P50), 0, 1), 3, if(ISBLANK('2025'!$Q50), 0, 1), 4, if(ISBLANK('2025'!$R50), 0, 1), 5, if(ISBLANK('2025'!$S50), 0, 1), 6, if(ISBLANK('2025'!$T50), 0, 1), 7, 0))), 1, "")</f>
        <v/>
      </c>
      <c r="E50" s="1" t="str">
        <f>IF(AND(AND(AND(E$4&gt;='2025'!$L50,E$4&lt;='2025'!$M50), E$4&lt;&gt;DATE(2025,7,4)), (SWITCH(weekday(E$4), 1, 0, 2, if(ISBLANK('2025'!$P50), 0, 1), 3, if(ISBLANK('2025'!$Q50), 0, 1), 4, if(ISBLANK('2025'!$R50), 0, 1), 5, if(ISBLANK('2025'!$S50), 0, 1), 6, if(ISBLANK('2025'!$T50), 0, 1), 7, 0))), 1, "")</f>
        <v/>
      </c>
      <c r="F50" s="1" t="str">
        <f>IF(AND(AND(AND(F$4&gt;='2025'!$L50,F$4&lt;='2025'!$M50), F$4&lt;&gt;DATE(2025,7,4)), (SWITCH(weekday(F$4), 1, 0, 2, if(ISBLANK('2025'!$P50), 0, 1), 3, if(ISBLANK('2025'!$Q50), 0, 1), 4, if(ISBLANK('2025'!$R50), 0, 1), 5, if(ISBLANK('2025'!$S50), 0, 1), 6, if(ISBLANK('2025'!$T50), 0, 1), 7, 0))), 1, "")</f>
        <v/>
      </c>
      <c r="G50" s="1" t="str">
        <f>IF(AND(AND(AND(G$4&gt;='2025'!$L50,G$4&lt;='2025'!$M50), G$4&lt;&gt;DATE(2025,7,4)), (SWITCH(weekday(G$4), 1, 0, 2, if(ISBLANK('2025'!$P50), 0, 1), 3, if(ISBLANK('2025'!$Q50), 0, 1), 4, if(ISBLANK('2025'!$R50), 0, 1), 5, if(ISBLANK('2025'!$S50), 0, 1), 6, if(ISBLANK('2025'!$T50), 0, 1), 7, 0))), 1, "")</f>
        <v/>
      </c>
      <c r="H50" s="1" t="str">
        <f>IF(AND(AND(AND(H$4&gt;='2025'!$L50,H$4&lt;='2025'!$M50), H$4&lt;&gt;DATE(2025,7,4)), (SWITCH(weekday(H$4), 1, 0, 2, if(ISBLANK('2025'!$P50), 0, 1), 3, if(ISBLANK('2025'!$Q50), 0, 1), 4, if(ISBLANK('2025'!$R50), 0, 1), 5, if(ISBLANK('2025'!$S50), 0, 1), 6, if(ISBLANK('2025'!$T50), 0, 1), 7, 0))), 1, "")</f>
        <v/>
      </c>
      <c r="I50" s="1" t="str">
        <f>IF(AND(AND(AND(I$4&gt;='2025'!$L50,I$4&lt;='2025'!$M50), I$4&lt;&gt;DATE(2025,7,4)), (SWITCH(weekday(I$4), 1, 0, 2, if(ISBLANK('2025'!$P50), 0, 1), 3, if(ISBLANK('2025'!$Q50), 0, 1), 4, if(ISBLANK('2025'!$R50), 0, 1), 5, if(ISBLANK('2025'!$S50), 0, 1), 6, if(ISBLANK('2025'!$T50), 0, 1), 7, 0))), 1, "")</f>
        <v/>
      </c>
      <c r="J50" s="1" t="str">
        <f>IF(AND(AND(AND(J$4&gt;='2025'!$L50,J$4&lt;='2025'!$M50), J$4&lt;&gt;DATE(2025,7,4)), (SWITCH(weekday(J$4), 1, 0, 2, if(ISBLANK('2025'!$P50), 0, 1), 3, if(ISBLANK('2025'!$Q50), 0, 1), 4, if(ISBLANK('2025'!$R50), 0, 1), 5, if(ISBLANK('2025'!$S50), 0, 1), 6, if(ISBLANK('2025'!$T50), 0, 1), 7, 0))), 1, "")</f>
        <v/>
      </c>
      <c r="K50" s="1" t="str">
        <f>IF(AND(AND(AND(K$4&gt;='2025'!$L50,K$4&lt;='2025'!$M50), K$4&lt;&gt;DATE(2025,7,4)), (SWITCH(weekday(K$4), 1, 0, 2, if(ISBLANK('2025'!$P50), 0, 1), 3, if(ISBLANK('2025'!$Q50), 0, 1), 4, if(ISBLANK('2025'!$R50), 0, 1), 5, if(ISBLANK('2025'!$S50), 0, 1), 6, if(ISBLANK('2025'!$T50), 0, 1), 7, 0))), 1, "")</f>
        <v/>
      </c>
      <c r="L50" s="1" t="str">
        <f>IF(AND(AND(AND(L$4&gt;='2025'!$L50,L$4&lt;='2025'!$M50), L$4&lt;&gt;DATE(2025,7,4)), (SWITCH(weekday(L$4), 1, 0, 2, if(ISBLANK('2025'!$P50), 0, 1), 3, if(ISBLANK('2025'!$Q50), 0, 1), 4, if(ISBLANK('2025'!$R50), 0, 1), 5, if(ISBLANK('2025'!$S50), 0, 1), 6, if(ISBLANK('2025'!$T50), 0, 1), 7, 0))), 1, "")</f>
        <v/>
      </c>
      <c r="M50" s="1" t="str">
        <f>IF(AND(AND(AND(M$4&gt;='2025'!$L50,M$4&lt;='2025'!$M50), M$4&lt;&gt;DATE(2025,7,4)), (SWITCH(weekday(M$4), 1, 0, 2, if(ISBLANK('2025'!$P50), 0, 1), 3, if(ISBLANK('2025'!$Q50), 0, 1), 4, if(ISBLANK('2025'!$R50), 0, 1), 5, if(ISBLANK('2025'!$S50), 0, 1), 6, if(ISBLANK('2025'!$T50), 0, 1), 7, 0))), 1, "")</f>
        <v/>
      </c>
      <c r="N50" s="1" t="str">
        <f>IF(AND(AND(AND(N$4&gt;='2025'!$L50,N$4&lt;='2025'!$M50), N$4&lt;&gt;DATE(2025,7,4)), (SWITCH(weekday(N$4), 1, 0, 2, if(ISBLANK('2025'!$P50), 0, 1), 3, if(ISBLANK('2025'!$Q50), 0, 1), 4, if(ISBLANK('2025'!$R50), 0, 1), 5, if(ISBLANK('2025'!$S50), 0, 1), 6, if(ISBLANK('2025'!$T50), 0, 1), 7, 0))), 1, "")</f>
        <v/>
      </c>
      <c r="O50" s="1" t="str">
        <f>IF(AND(AND(AND(O$4&gt;='2025'!$L50,O$4&lt;='2025'!$M50), O$4&lt;&gt;DATE(2025,7,4)), (SWITCH(weekday(O$4), 1, 0, 2, if(ISBLANK('2025'!$P50), 0, 1), 3, if(ISBLANK('2025'!$Q50), 0, 1), 4, if(ISBLANK('2025'!$R50), 0, 1), 5, if(ISBLANK('2025'!$S50), 0, 1), 6, if(ISBLANK('2025'!$T50), 0, 1), 7, 0))), 1, "")</f>
        <v/>
      </c>
      <c r="P50" s="1" t="str">
        <f>IF(AND(AND(AND(P$4&gt;='2025'!$L50,P$4&lt;='2025'!$M50), P$4&lt;&gt;DATE(2025,7,4)), (SWITCH(weekday(P$4), 1, 0, 2, if(ISBLANK('2025'!$P50), 0, 1), 3, if(ISBLANK('2025'!$Q50), 0, 1), 4, if(ISBLANK('2025'!$R50), 0, 1), 5, if(ISBLANK('2025'!$S50), 0, 1), 6, if(ISBLANK('2025'!$T50), 0, 1), 7, 0))), 1, "")</f>
        <v/>
      </c>
      <c r="Q50" s="1" t="str">
        <f>IF(AND(AND(AND(Q$4&gt;='2025'!$L50,Q$4&lt;='2025'!$M50), Q$4&lt;&gt;DATE(2025,7,4)), (SWITCH(weekday(Q$4), 1, 0, 2, if(ISBLANK('2025'!$P50), 0, 1), 3, if(ISBLANK('2025'!$Q50), 0, 1), 4, if(ISBLANK('2025'!$R50), 0, 1), 5, if(ISBLANK('2025'!$S50), 0, 1), 6, if(ISBLANK('2025'!$T50), 0, 1), 7, 0))), 1, "")</f>
        <v/>
      </c>
      <c r="R50" s="1" t="str">
        <f>IF(AND(AND(AND(R$4&gt;='2025'!$L50,R$4&lt;='2025'!$M50), R$4&lt;&gt;DATE(2025,7,4)), (SWITCH(weekday(R$4), 1, 0, 2, if(ISBLANK('2025'!$P50), 0, 1), 3, if(ISBLANK('2025'!$Q50), 0, 1), 4, if(ISBLANK('2025'!$R50), 0, 1), 5, if(ISBLANK('2025'!$S50), 0, 1), 6, if(ISBLANK('2025'!$T50), 0, 1), 7, 0))), 1, "")</f>
        <v/>
      </c>
      <c r="S50" s="1" t="str">
        <f>IF(AND(AND(AND(S$4&gt;='2025'!$L50,S$4&lt;='2025'!$M50), S$4&lt;&gt;DATE(2025,7,4)), (SWITCH(weekday(S$4), 1, 0, 2, if(ISBLANK('2025'!$P50), 0, 1), 3, if(ISBLANK('2025'!$Q50), 0, 1), 4, if(ISBLANK('2025'!$R50), 0, 1), 5, if(ISBLANK('2025'!$S50), 0, 1), 6, if(ISBLANK('2025'!$T50), 0, 1), 7, 0))), 1, "")</f>
        <v/>
      </c>
      <c r="T50" s="1" t="str">
        <f>IF(AND(AND(AND(T$4&gt;='2025'!$L50,T$4&lt;='2025'!$M50), T$4&lt;&gt;DATE(2025,7,4)), (SWITCH(weekday(T$4), 1, 0, 2, if(ISBLANK('2025'!$P50), 0, 1), 3, if(ISBLANK('2025'!$Q50), 0, 1), 4, if(ISBLANK('2025'!$R50), 0, 1), 5, if(ISBLANK('2025'!$S50), 0, 1), 6, if(ISBLANK('2025'!$T50), 0, 1), 7, 0))), 1, "")</f>
        <v/>
      </c>
      <c r="U50" s="1" t="str">
        <f>IF(AND(AND(AND(U$4&gt;='2025'!$L50,U$4&lt;='2025'!$M50), U$4&lt;&gt;DATE(2025,7,4)), (SWITCH(weekday(U$4), 1, 0, 2, if(ISBLANK('2025'!$P50), 0, 1), 3, if(ISBLANK('2025'!$Q50), 0, 1), 4, if(ISBLANK('2025'!$R50), 0, 1), 5, if(ISBLANK('2025'!$S50), 0, 1), 6, if(ISBLANK('2025'!$T50), 0, 1), 7, 0))), 1, "")</f>
        <v/>
      </c>
      <c r="V50" s="1" t="str">
        <f>IF(AND(AND(AND(V$4&gt;='2025'!$L50,V$4&lt;='2025'!$M50), V$4&lt;&gt;DATE(2025,7,4)), (SWITCH(weekday(V$4), 1, 0, 2, if(ISBLANK('2025'!$P50), 0, 1), 3, if(ISBLANK('2025'!$Q50), 0, 1), 4, if(ISBLANK('2025'!$R50), 0, 1), 5, if(ISBLANK('2025'!$S50), 0, 1), 6, if(ISBLANK('2025'!$T50), 0, 1), 7, 0))), 1, "")</f>
        <v/>
      </c>
      <c r="W50" s="1" t="str">
        <f>IF(AND(AND(AND(W$4&gt;='2025'!$L50,W$4&lt;='2025'!$M50), W$4&lt;&gt;DATE(2025,7,4)), (SWITCH(weekday(W$4), 1, 0, 2, if(ISBLANK('2025'!$P50), 0, 1), 3, if(ISBLANK('2025'!$Q50), 0, 1), 4, if(ISBLANK('2025'!$R50), 0, 1), 5, if(ISBLANK('2025'!$S50), 0, 1), 6, if(ISBLANK('2025'!$T50), 0, 1), 7, 0))), 1, "")</f>
        <v/>
      </c>
      <c r="X50" s="1" t="str">
        <f>IF(AND(AND(AND(X$4&gt;='2025'!$L50,X$4&lt;='2025'!$M50), X$4&lt;&gt;DATE(2025,7,4)), (SWITCH(weekday(X$4), 1, 0, 2, if(ISBLANK('2025'!$P50), 0, 1), 3, if(ISBLANK('2025'!$Q50), 0, 1), 4, if(ISBLANK('2025'!$R50), 0, 1), 5, if(ISBLANK('2025'!$S50), 0, 1), 6, if(ISBLANK('2025'!$T50), 0, 1), 7, 0))), 1, "")</f>
        <v/>
      </c>
      <c r="Y50" s="1" t="str">
        <f>IF(AND(AND(AND(Y$4&gt;='2025'!$L50,Y$4&lt;='2025'!$M50), Y$4&lt;&gt;DATE(2025,7,4)), (SWITCH(weekday(Y$4), 1, 0, 2, if(ISBLANK('2025'!$P50), 0, 1), 3, if(ISBLANK('2025'!$Q50), 0, 1), 4, if(ISBLANK('2025'!$R50), 0, 1), 5, if(ISBLANK('2025'!$S50), 0, 1), 6, if(ISBLANK('2025'!$T50), 0, 1), 7, 0))), 1, "")</f>
        <v/>
      </c>
      <c r="Z50" s="1" t="str">
        <f>IF(AND(AND(AND(Z$4&gt;='2025'!$L50,Z$4&lt;='2025'!$M50), Z$4&lt;&gt;DATE(2025,7,4)), (SWITCH(weekday(Z$4), 1, 0, 2, if(ISBLANK('2025'!$P50), 0, 1), 3, if(ISBLANK('2025'!$Q50), 0, 1), 4, if(ISBLANK('2025'!$R50), 0, 1), 5, if(ISBLANK('2025'!$S50), 0, 1), 6, if(ISBLANK('2025'!$T50), 0, 1), 7, 0))), 1, "")</f>
        <v/>
      </c>
      <c r="AA50" s="1" t="str">
        <f>IF(AND(AND(AND(AA$4&gt;='2025'!$L50,AA$4&lt;='2025'!$M50), AA$4&lt;&gt;DATE(2025,7,4)), (SWITCH(weekday(AA$4), 1, 0, 2, if(ISBLANK('2025'!$P50), 0, 1), 3, if(ISBLANK('2025'!$Q50), 0, 1), 4, if(ISBLANK('2025'!$R50), 0, 1), 5, if(ISBLANK('2025'!$S50), 0, 1), 6, if(ISBLANK('2025'!$T50), 0, 1), 7, 0))), 1, "")</f>
        <v/>
      </c>
      <c r="AB50" s="1" t="str">
        <f>IF(AND(AND(AND(AB$4&gt;='2025'!$L50,AB$4&lt;='2025'!$M50), AB$4&lt;&gt;DATE(2025,7,4)), (SWITCH(weekday(AB$4), 1, 0, 2, if(ISBLANK('2025'!$P50), 0, 1), 3, if(ISBLANK('2025'!$Q50), 0, 1), 4, if(ISBLANK('2025'!$R50), 0, 1), 5, if(ISBLANK('2025'!$S50), 0, 1), 6, if(ISBLANK('2025'!$T50), 0, 1), 7, 0))), 1, "")</f>
        <v/>
      </c>
      <c r="AC50" s="1" t="str">
        <f>IF(AND(AND(AND(AC$4&gt;='2025'!$L50,AC$4&lt;='2025'!$M50), AC$4&lt;&gt;DATE(2025,7,4)), (SWITCH(weekday(AC$4), 1, 0, 2, if(ISBLANK('2025'!$P50), 0, 1), 3, if(ISBLANK('2025'!$Q50), 0, 1), 4, if(ISBLANK('2025'!$R50), 0, 1), 5, if(ISBLANK('2025'!$S50), 0, 1), 6, if(ISBLANK('2025'!$T50), 0, 1), 7, 0))), 1, "")</f>
        <v/>
      </c>
      <c r="AD50" s="1" t="str">
        <f>IF(AND(AND(AND(AD$4&gt;='2025'!$L50,AD$4&lt;='2025'!$M50), AD$4&lt;&gt;DATE(2025,7,4)), (SWITCH(weekday(AD$4), 1, 0, 2, if(ISBLANK('2025'!$P50), 0, 1), 3, if(ISBLANK('2025'!$Q50), 0, 1), 4, if(ISBLANK('2025'!$R50), 0, 1), 5, if(ISBLANK('2025'!$S50), 0, 1), 6, if(ISBLANK('2025'!$T50), 0, 1), 7, 0))), 1, "")</f>
        <v/>
      </c>
      <c r="AE50" s="1" t="str">
        <f>IF(AND(AND(AND(AE$4&gt;='2025'!$L50,AE$4&lt;='2025'!$M50), AE$4&lt;&gt;DATE(2025,7,4)), (SWITCH(weekday(AE$4), 1, 0, 2, if(ISBLANK('2025'!$P50), 0, 1), 3, if(ISBLANK('2025'!$Q50), 0, 1), 4, if(ISBLANK('2025'!$R50), 0, 1), 5, if(ISBLANK('2025'!$S50), 0, 1), 6, if(ISBLANK('2025'!$T50), 0, 1), 7, 0))), 1, "")</f>
        <v/>
      </c>
      <c r="AF50" s="1" t="str">
        <f>IF(AND(AND(AND(AF$4&gt;='2025'!$L50,AF$4&lt;='2025'!$M50), AF$4&lt;&gt;DATE(2025,7,4)), (SWITCH(weekday(AF$4), 1, 0, 2, if(ISBLANK('2025'!$P50), 0, 1), 3, if(ISBLANK('2025'!$Q50), 0, 1), 4, if(ISBLANK('2025'!$R50), 0, 1), 5, if(ISBLANK('2025'!$S50), 0, 1), 6, if(ISBLANK('2025'!$T50), 0, 1), 7, 0))), 1, "")</f>
        <v/>
      </c>
      <c r="AG50" s="1" t="str">
        <f>IF(AND(AND(AND(AG$4&gt;='2025'!$L50,AG$4&lt;='2025'!$M50), AG$4&lt;&gt;DATE(2025,7,4)), (SWITCH(weekday(AG$4), 1, 0, 2, if(ISBLANK('2025'!$P50), 0, 1), 3, if(ISBLANK('2025'!$Q50), 0, 1), 4, if(ISBLANK('2025'!$R50), 0, 1), 5, if(ISBLANK('2025'!$S50), 0, 1), 6, if(ISBLANK('2025'!$T50), 0, 1), 7, 0))), 1, "")</f>
        <v/>
      </c>
      <c r="AH50" s="1" t="str">
        <f>IF(AND(AND(AND(AH$4&gt;='2025'!$L50,AH$4&lt;='2025'!$M50), AH$4&lt;&gt;DATE(2025,7,4)), (SWITCH(weekday(AH$4), 1, 0, 2, if(ISBLANK('2025'!$P50), 0, 1), 3, if(ISBLANK('2025'!$Q50), 0, 1), 4, if(ISBLANK('2025'!$R50), 0, 1), 5, if(ISBLANK('2025'!$S50), 0, 1), 6, if(ISBLANK('2025'!$T50), 0, 1), 7, 0))), 1, "")</f>
        <v/>
      </c>
      <c r="AI50" s="1" t="str">
        <f>IF(AND(AND(AND(AI$4&gt;='2025'!$L50,AI$4&lt;='2025'!$M50), AI$4&lt;&gt;DATE(2025,7,4)), (SWITCH(weekday(AI$4), 1, 0, 2, if(ISBLANK('2025'!$P50), 0, 1), 3, if(ISBLANK('2025'!$Q50), 0, 1), 4, if(ISBLANK('2025'!$R50), 0, 1), 5, if(ISBLANK('2025'!$S50), 0, 1), 6, if(ISBLANK('2025'!$T50), 0, 1), 7, 0))), 1, "")</f>
        <v/>
      </c>
      <c r="AJ50" s="1" t="str">
        <f>IF(AND(AND(AND(AJ$4&gt;='2025'!$L50,AJ$4&lt;='2025'!$M50), AJ$4&lt;&gt;DATE(2025,7,4)), (SWITCH(weekday(AJ$4), 1, 0, 2, if(ISBLANK('2025'!$P50), 0, 1), 3, if(ISBLANK('2025'!$Q50), 0, 1), 4, if(ISBLANK('2025'!$R50), 0, 1), 5, if(ISBLANK('2025'!$S50), 0, 1), 6, if(ISBLANK('2025'!$T50), 0, 1), 7, 0))), 1, "")</f>
        <v/>
      </c>
      <c r="AK50" s="1" t="str">
        <f>IF(AND(AND(AND(AK$4&gt;='2025'!$L50,AK$4&lt;='2025'!$M50), AK$4&lt;&gt;DATE(2025,7,4)), (SWITCH(weekday(AK$4), 1, 0, 2, if(ISBLANK('2025'!$P50), 0, 1), 3, if(ISBLANK('2025'!$Q50), 0, 1), 4, if(ISBLANK('2025'!$R50), 0, 1), 5, if(ISBLANK('2025'!$S50), 0, 1), 6, if(ISBLANK('2025'!$T50), 0, 1), 7, 0))), 1, "")</f>
        <v/>
      </c>
      <c r="AL50" s="1" t="str">
        <f>IF(AND(AND(AND(AL$4&gt;='2025'!$L50,AL$4&lt;='2025'!$M50), AL$4&lt;&gt;DATE(2025,7,4)), (SWITCH(weekday(AL$4), 1, 0, 2, if(ISBLANK('2025'!$P50), 0, 1), 3, if(ISBLANK('2025'!$Q50), 0, 1), 4, if(ISBLANK('2025'!$R50), 0, 1), 5, if(ISBLANK('2025'!$S50), 0, 1), 6, if(ISBLANK('2025'!$T50), 0, 1), 7, 0))), 1, "")</f>
        <v/>
      </c>
      <c r="AM50" s="1" t="str">
        <f>IF(AND(AND(AND(AM$4&gt;='2025'!$L50,AM$4&lt;='2025'!$M50), AM$4&lt;&gt;DATE(2025,7,4)), (SWITCH(weekday(AM$4), 1, 0, 2, if(ISBLANK('2025'!$P50), 0, 1), 3, if(ISBLANK('2025'!$Q50), 0, 1), 4, if(ISBLANK('2025'!$R50), 0, 1), 5, if(ISBLANK('2025'!$S50), 0, 1), 6, if(ISBLANK('2025'!$T50), 0, 1), 7, 0))), 1, "")</f>
        <v/>
      </c>
      <c r="AN50" s="1" t="str">
        <f>IF(AND(AND(AND(AN$4&gt;='2025'!$L50,AN$4&lt;='2025'!$M50), AN$4&lt;&gt;DATE(2025,7,4)), (SWITCH(weekday(AN$4), 1, 0, 2, if(ISBLANK('2025'!$P50), 0, 1), 3, if(ISBLANK('2025'!$Q50), 0, 1), 4, if(ISBLANK('2025'!$R50), 0, 1), 5, if(ISBLANK('2025'!$S50), 0, 1), 6, if(ISBLANK('2025'!$T50), 0, 1), 7, 0))), 1, "")</f>
        <v/>
      </c>
      <c r="AO50" s="1" t="str">
        <f>IF(AND(AND(AND(AO$4&gt;='2025'!$L50,AO$4&lt;='2025'!$M50), AO$4&lt;&gt;DATE(2025,7,4)), (SWITCH(weekday(AO$4), 1, 0, 2, if(ISBLANK('2025'!$P50), 0, 1), 3, if(ISBLANK('2025'!$Q50), 0, 1), 4, if(ISBLANK('2025'!$R50), 0, 1), 5, if(ISBLANK('2025'!$S50), 0, 1), 6, if(ISBLANK('2025'!$T50), 0, 1), 7, 0))), 1, "")</f>
        <v/>
      </c>
      <c r="AP50" s="1" t="str">
        <f>IF(AND(AND(AND(AP$4&gt;='2025'!$L50,AP$4&lt;='2025'!$M50), AP$4&lt;&gt;DATE(2025,7,4)), (SWITCH(weekday(AP$4), 1, 0, 2, if(ISBLANK('2025'!$P50), 0, 1), 3, if(ISBLANK('2025'!$Q50), 0, 1), 4, if(ISBLANK('2025'!$R50), 0, 1), 5, if(ISBLANK('2025'!$S50), 0, 1), 6, if(ISBLANK('2025'!$T50), 0, 1), 7, 0))), 1, "")</f>
        <v/>
      </c>
      <c r="AQ50" s="1" t="str">
        <f>IF(AND(AND(AND(AQ$4&gt;='2025'!$L50,AQ$4&lt;='2025'!$M50), AQ$4&lt;&gt;DATE(2025,7,4)), (SWITCH(weekday(AQ$4), 1, 0, 2, if(ISBLANK('2025'!$P50), 0, 1), 3, if(ISBLANK('2025'!$Q50), 0, 1), 4, if(ISBLANK('2025'!$R50), 0, 1), 5, if(ISBLANK('2025'!$S50), 0, 1), 6, if(ISBLANK('2025'!$T50), 0, 1), 7, 0))), 1, "")</f>
        <v/>
      </c>
      <c r="AR50" s="1" t="str">
        <f>IF(AND(AND(AND(AR$4&gt;='2025'!$L50,AR$4&lt;='2025'!$M50), AR$4&lt;&gt;DATE(2025,7,4)), (SWITCH(weekday(AR$4), 1, 0, 2, if(ISBLANK('2025'!$P50), 0, 1), 3, if(ISBLANK('2025'!$Q50), 0, 1), 4, if(ISBLANK('2025'!$R50), 0, 1), 5, if(ISBLANK('2025'!$S50), 0, 1), 6, if(ISBLANK('2025'!$T50), 0, 1), 7, 0))), 1, "")</f>
        <v/>
      </c>
      <c r="AS50" s="1" t="str">
        <f>IF(AND(AND(AND(AS$4&gt;='2025'!$L50,AS$4&lt;='2025'!$M50), AS$4&lt;&gt;DATE(2025,7,4)), (SWITCH(weekday(AS$4), 1, 0, 2, if(ISBLANK('2025'!$P50), 0, 1), 3, if(ISBLANK('2025'!$Q50), 0, 1), 4, if(ISBLANK('2025'!$R50), 0, 1), 5, if(ISBLANK('2025'!$S50), 0, 1), 6, if(ISBLANK('2025'!$T50), 0, 1), 7, 0))), 1, "")</f>
        <v/>
      </c>
      <c r="AT50" s="1" t="str">
        <f>IF(AND(AND(AND(AT$4&gt;='2025'!$L50,AT$4&lt;='2025'!$M50), AT$4&lt;&gt;DATE(2025,7,4)), (SWITCH(weekday(AT$4), 1, 0, 2, if(ISBLANK('2025'!$P50), 0, 1), 3, if(ISBLANK('2025'!$Q50), 0, 1), 4, if(ISBLANK('2025'!$R50), 0, 1), 5, if(ISBLANK('2025'!$S50), 0, 1), 6, if(ISBLANK('2025'!$T50), 0, 1), 7, 0))), 1, "")</f>
        <v/>
      </c>
      <c r="AU50" s="1" t="str">
        <f>IF(AND(AND(AND(AU$4&gt;='2025'!$L50,AU$4&lt;='2025'!$M50), AU$4&lt;&gt;DATE(2025,7,4)), (SWITCH(weekday(AU$4), 1, 0, 2, if(ISBLANK('2025'!$P50), 0, 1), 3, if(ISBLANK('2025'!$Q50), 0, 1), 4, if(ISBLANK('2025'!$R50), 0, 1), 5, if(ISBLANK('2025'!$S50), 0, 1), 6, if(ISBLANK('2025'!$T50), 0, 1), 7, 0))), 1, "")</f>
        <v/>
      </c>
      <c r="AV50" s="1" t="str">
        <f>IF(AND(AND(AND(AV$4&gt;='2025'!$L50,AV$4&lt;='2025'!$M50), AV$4&lt;&gt;DATE(2025,7,4)), (SWITCH(weekday(AV$4), 1, 0, 2, if(ISBLANK('2025'!$P50), 0, 1), 3, if(ISBLANK('2025'!$Q50), 0, 1), 4, if(ISBLANK('2025'!$R50), 0, 1), 5, if(ISBLANK('2025'!$S50), 0, 1), 6, if(ISBLANK('2025'!$T50), 0, 1), 7, 0))), 1, "")</f>
        <v/>
      </c>
      <c r="AW50" s="1" t="str">
        <f>IF(AND(AND(AND(AW$4&gt;='2025'!$L50,AW$4&lt;='2025'!$M50), AW$4&lt;&gt;DATE(2025,7,4)), (SWITCH(weekday(AW$4), 1, 0, 2, if(ISBLANK('2025'!$P50), 0, 1), 3, if(ISBLANK('2025'!$Q50), 0, 1), 4, if(ISBLANK('2025'!$R50), 0, 1), 5, if(ISBLANK('2025'!$S50), 0, 1), 6, if(ISBLANK('2025'!$T50), 0, 1), 7, 0))), 1, "")</f>
        <v/>
      </c>
      <c r="AX50" s="1" t="str">
        <f>IF(AND(AND(AND(AX$4&gt;='2025'!$L50,AX$4&lt;='2025'!$M50), AX$4&lt;&gt;DATE(2025,7,4)), (SWITCH(weekday(AX$4), 1, 0, 2, if(ISBLANK('2025'!$P50), 0, 1), 3, if(ISBLANK('2025'!$Q50), 0, 1), 4, if(ISBLANK('2025'!$R50), 0, 1), 5, if(ISBLANK('2025'!$S50), 0, 1), 6, if(ISBLANK('2025'!$T50), 0, 1), 7, 0))), 1, "")</f>
        <v/>
      </c>
      <c r="AY50" s="1" t="str">
        <f>IF(AND(AND(AND(AY$4&gt;='2025'!$L50,AY$4&lt;='2025'!$M50), AY$4&lt;&gt;DATE(2025,7,4)), (SWITCH(weekday(AY$4), 1, 0, 2, if(ISBLANK('2025'!$P50), 0, 1), 3, if(ISBLANK('2025'!$Q50), 0, 1), 4, if(ISBLANK('2025'!$R50), 0, 1), 5, if(ISBLANK('2025'!$S50), 0, 1), 6, if(ISBLANK('2025'!$T50), 0, 1), 7, 0))), 1, "")</f>
        <v/>
      </c>
      <c r="AZ50" s="1" t="str">
        <f>IF(AND(AND(AND(AZ$4&gt;='2025'!$L50,AZ$4&lt;='2025'!$M50), AZ$4&lt;&gt;DATE(2025,7,4)), (SWITCH(weekday(AZ$4), 1, 0, 2, if(ISBLANK('2025'!$P50), 0, 1), 3, if(ISBLANK('2025'!$Q50), 0, 1), 4, if(ISBLANK('2025'!$R50), 0, 1), 5, if(ISBLANK('2025'!$S50), 0, 1), 6, if(ISBLANK('2025'!$T50), 0, 1), 7, 0))), 1, "")</f>
        <v/>
      </c>
      <c r="BA50" s="1" t="str">
        <f>IF(AND(AND(AND(BA$4&gt;='2025'!$L50,BA$4&lt;='2025'!$M50), BA$4&lt;&gt;DATE(2025,7,4)), (SWITCH(weekday(BA$4), 1, 0, 2, if(ISBLANK('2025'!$P50), 0, 1), 3, if(ISBLANK('2025'!$Q50), 0, 1), 4, if(ISBLANK('2025'!$R50), 0, 1), 5, if(ISBLANK('2025'!$S50), 0, 1), 6, if(ISBLANK('2025'!$T50), 0, 1), 7, 0))), 1, "")</f>
        <v/>
      </c>
      <c r="BB50" s="1" t="str">
        <f>IF(AND(AND(AND(BB$4&gt;='2025'!$L50,BB$4&lt;='2025'!$M50), BB$4&lt;&gt;DATE(2025,7,4)), (SWITCH(weekday(BB$4), 1, 0, 2, if(ISBLANK('2025'!$P50), 0, 1), 3, if(ISBLANK('2025'!$Q50), 0, 1), 4, if(ISBLANK('2025'!$R50), 0, 1), 5, if(ISBLANK('2025'!$S50), 0, 1), 6, if(ISBLANK('2025'!$T50), 0, 1), 7, 0))), 1, "")</f>
        <v/>
      </c>
      <c r="BC50" s="1" t="str">
        <f>IF(AND(AND(AND(BC$4&gt;='2025'!$L50,BC$4&lt;='2025'!$M50), BC$4&lt;&gt;DATE(2025,7,4)), (SWITCH(weekday(BC$4), 1, 0, 2, if(ISBLANK('2025'!$P50), 0, 1), 3, if(ISBLANK('2025'!$Q50), 0, 1), 4, if(ISBLANK('2025'!$R50), 0, 1), 5, if(ISBLANK('2025'!$S50), 0, 1), 6, if(ISBLANK('2025'!$T50), 0, 1), 7, 0))), 1, "")</f>
        <v/>
      </c>
      <c r="BD50" s="1" t="str">
        <f>IF(AND(AND(AND(BD$4&gt;='2025'!$L50,BD$4&lt;='2025'!$M50), BD$4&lt;&gt;DATE(2025,7,4)), (SWITCH(weekday(BD$4), 1, 0, 2, if(ISBLANK('2025'!$P50), 0, 1), 3, if(ISBLANK('2025'!$Q50), 0, 1), 4, if(ISBLANK('2025'!$R50), 0, 1), 5, if(ISBLANK('2025'!$S50), 0, 1), 6, if(ISBLANK('2025'!$T50), 0, 1), 7, 0))), 1, "")</f>
        <v/>
      </c>
      <c r="BE50" s="1" t="str">
        <f>IF(AND(AND(AND(BE$4&gt;='2025'!$L50,BE$4&lt;='2025'!$M50), BE$4&lt;&gt;DATE(2025,7,4)), (SWITCH(weekday(BE$4), 1, 0, 2, if(ISBLANK('2025'!$P50), 0, 1), 3, if(ISBLANK('2025'!$Q50), 0, 1), 4, if(ISBLANK('2025'!$R50), 0, 1), 5, if(ISBLANK('2025'!$S50), 0, 1), 6, if(ISBLANK('2025'!$T50), 0, 1), 7, 0))), 1, "")</f>
        <v/>
      </c>
      <c r="BF50" s="1" t="str">
        <f>IF(AND(AND(AND(BF$4&gt;='2025'!$L50,BF$4&lt;='2025'!$M50), BF$4&lt;&gt;DATE(2025,7,4)), (SWITCH(weekday(BF$4), 1, 0, 2, if(ISBLANK('2025'!$P50), 0, 1), 3, if(ISBLANK('2025'!$Q50), 0, 1), 4, if(ISBLANK('2025'!$R50), 0, 1), 5, if(ISBLANK('2025'!$S50), 0, 1), 6, if(ISBLANK('2025'!$T50), 0, 1), 7, 0))), 1, "")</f>
        <v/>
      </c>
      <c r="BG50" s="1"/>
      <c r="BH50" s="1"/>
      <c r="BI50" s="1"/>
      <c r="BJ50" s="1"/>
      <c r="BK50" s="1"/>
      <c r="BL50" s="1"/>
    </row>
    <row r="51">
      <c r="A51" s="1">
        <f t="shared" si="3"/>
        <v>51</v>
      </c>
      <c r="B51" s="1" t="str">
        <f t="shared" ref="B51:C51" si="4">#REF!</f>
        <v>#REF!</v>
      </c>
      <c r="C51" s="1" t="str">
        <f t="shared" si="4"/>
        <v>#REF!</v>
      </c>
      <c r="D51" s="1" t="str">
        <f t="shared" ref="D51:BF51" si="5">IF(AND(AND(AND(D$4&gt;=#REF!,D$4&lt;=#REF!), D$4&lt;&gt;DATE(2025,7,4)), (SWITCH(weekday(D$4), 1, 0, 2, if(ISBLANK(#REF!), 0, 1), 3, if(ISBLANK(#REF!), 0, 1), 4, if(ISBLANK(#REF!), 0, 1), 5, if(ISBLANK(#REF!), 0, 1), 6, if(ISBLANK(#REF!), 0, 1), 7, 0))), 1, "")</f>
        <v>#REF!</v>
      </c>
      <c r="E51" s="1" t="str">
        <f t="shared" si="5"/>
        <v>#REF!</v>
      </c>
      <c r="F51" s="1" t="str">
        <f t="shared" si="5"/>
        <v>#REF!</v>
      </c>
      <c r="G51" s="1" t="str">
        <f t="shared" si="5"/>
        <v>#REF!</v>
      </c>
      <c r="H51" s="1" t="str">
        <f t="shared" si="5"/>
        <v>#REF!</v>
      </c>
      <c r="I51" s="1" t="str">
        <f t="shared" si="5"/>
        <v>#REF!</v>
      </c>
      <c r="J51" s="1" t="str">
        <f t="shared" si="5"/>
        <v>#REF!</v>
      </c>
      <c r="K51" s="1" t="str">
        <f t="shared" si="5"/>
        <v>#REF!</v>
      </c>
      <c r="L51" s="1" t="str">
        <f t="shared" si="5"/>
        <v>#REF!</v>
      </c>
      <c r="M51" s="1" t="str">
        <f t="shared" si="5"/>
        <v>#REF!</v>
      </c>
      <c r="N51" s="1" t="str">
        <f t="shared" si="5"/>
        <v>#REF!</v>
      </c>
      <c r="O51" s="1" t="str">
        <f t="shared" si="5"/>
        <v>#REF!</v>
      </c>
      <c r="P51" s="1" t="str">
        <f t="shared" si="5"/>
        <v>#REF!</v>
      </c>
      <c r="Q51" s="1" t="str">
        <f t="shared" si="5"/>
        <v>#REF!</v>
      </c>
      <c r="R51" s="1" t="str">
        <f t="shared" si="5"/>
        <v>#REF!</v>
      </c>
      <c r="S51" s="1" t="str">
        <f t="shared" si="5"/>
        <v>#REF!</v>
      </c>
      <c r="T51" s="1" t="str">
        <f t="shared" si="5"/>
        <v>#REF!</v>
      </c>
      <c r="U51" s="1" t="str">
        <f t="shared" si="5"/>
        <v>#REF!</v>
      </c>
      <c r="V51" s="1" t="str">
        <f t="shared" si="5"/>
        <v>#REF!</v>
      </c>
      <c r="W51" s="1" t="str">
        <f t="shared" si="5"/>
        <v>#REF!</v>
      </c>
      <c r="X51" s="1" t="str">
        <f t="shared" si="5"/>
        <v>#REF!</v>
      </c>
      <c r="Y51" s="1" t="str">
        <f t="shared" si="5"/>
        <v>#REF!</v>
      </c>
      <c r="Z51" s="1" t="str">
        <f t="shared" si="5"/>
        <v>#REF!</v>
      </c>
      <c r="AA51" s="1" t="str">
        <f t="shared" si="5"/>
        <v>#REF!</v>
      </c>
      <c r="AB51" s="1" t="str">
        <f t="shared" si="5"/>
        <v>#REF!</v>
      </c>
      <c r="AC51" s="1" t="str">
        <f t="shared" si="5"/>
        <v>#REF!</v>
      </c>
      <c r="AD51" s="1" t="str">
        <f t="shared" si="5"/>
        <v>#REF!</v>
      </c>
      <c r="AE51" s="1" t="str">
        <f t="shared" si="5"/>
        <v>#REF!</v>
      </c>
      <c r="AF51" s="1" t="str">
        <f t="shared" si="5"/>
        <v>#REF!</v>
      </c>
      <c r="AG51" s="1" t="str">
        <f t="shared" si="5"/>
        <v>#REF!</v>
      </c>
      <c r="AH51" s="1" t="str">
        <f t="shared" si="5"/>
        <v>#REF!</v>
      </c>
      <c r="AI51" s="1" t="str">
        <f t="shared" si="5"/>
        <v>#REF!</v>
      </c>
      <c r="AJ51" s="1" t="str">
        <f t="shared" si="5"/>
        <v>#REF!</v>
      </c>
      <c r="AK51" s="1" t="str">
        <f t="shared" si="5"/>
        <v>#REF!</v>
      </c>
      <c r="AL51" s="1" t="str">
        <f t="shared" si="5"/>
        <v>#REF!</v>
      </c>
      <c r="AM51" s="1" t="str">
        <f t="shared" si="5"/>
        <v>#REF!</v>
      </c>
      <c r="AN51" s="1" t="str">
        <f t="shared" si="5"/>
        <v>#REF!</v>
      </c>
      <c r="AO51" s="1" t="str">
        <f t="shared" si="5"/>
        <v>#REF!</v>
      </c>
      <c r="AP51" s="1" t="str">
        <f t="shared" si="5"/>
        <v>#REF!</v>
      </c>
      <c r="AQ51" s="1" t="str">
        <f t="shared" si="5"/>
        <v>#REF!</v>
      </c>
      <c r="AR51" s="1" t="str">
        <f t="shared" si="5"/>
        <v>#REF!</v>
      </c>
      <c r="AS51" s="1" t="str">
        <f t="shared" si="5"/>
        <v>#REF!</v>
      </c>
      <c r="AT51" s="1" t="str">
        <f t="shared" si="5"/>
        <v>#REF!</v>
      </c>
      <c r="AU51" s="1" t="str">
        <f t="shared" si="5"/>
        <v>#REF!</v>
      </c>
      <c r="AV51" s="1" t="str">
        <f t="shared" si="5"/>
        <v>#REF!</v>
      </c>
      <c r="AW51" s="1" t="str">
        <f t="shared" si="5"/>
        <v>#REF!</v>
      </c>
      <c r="AX51" s="1" t="str">
        <f t="shared" si="5"/>
        <v>#REF!</v>
      </c>
      <c r="AY51" s="1" t="str">
        <f t="shared" si="5"/>
        <v>#REF!</v>
      </c>
      <c r="AZ51" s="1" t="str">
        <f t="shared" si="5"/>
        <v>#REF!</v>
      </c>
      <c r="BA51" s="1" t="str">
        <f t="shared" si="5"/>
        <v>#REF!</v>
      </c>
      <c r="BB51" s="1" t="str">
        <f t="shared" si="5"/>
        <v>#REF!</v>
      </c>
      <c r="BC51" s="1" t="str">
        <f t="shared" si="5"/>
        <v>#REF!</v>
      </c>
      <c r="BD51" s="1" t="str">
        <f t="shared" si="5"/>
        <v>#REF!</v>
      </c>
      <c r="BE51" s="1" t="str">
        <f t="shared" si="5"/>
        <v>#REF!</v>
      </c>
      <c r="BF51" s="1" t="str">
        <f t="shared" si="5"/>
        <v>#REF!</v>
      </c>
      <c r="BG51" s="1"/>
      <c r="BH51" s="1"/>
      <c r="BI51" s="1"/>
      <c r="BJ51" s="1"/>
      <c r="BK51" s="1"/>
      <c r="BL51" s="1"/>
    </row>
    <row r="52">
      <c r="A52" s="1">
        <f t="shared" si="3"/>
        <v>52</v>
      </c>
      <c r="B52" s="1" t="str">
        <f>'2025'!D51</f>
        <v>ferazzoli, alessa </v>
      </c>
      <c r="C52" s="1" t="str">
        <f>'2025'!H51</f>
        <v>TOD</v>
      </c>
      <c r="D52" s="1" t="str">
        <f>IF(AND(AND(AND(D$4&gt;='2025'!$L51,D$4&lt;='2025'!$M51), D$4&lt;&gt;DATE(2025,7,4)), (SWITCH(weekday(D$4), 1, 0, 2, if(ISBLANK('2025'!$P51), 0, 1), 3, if(ISBLANK('2025'!$Q51), 0, 1), 4, if(ISBLANK('2025'!$R51), 0, 1), 5, if(ISBLANK('2025'!$S51), 0, 1), 6, if(ISBLANK('2025'!$T51), 0, 1), 7, 0))), 1, "")</f>
        <v/>
      </c>
      <c r="E52" s="1" t="str">
        <f>IF(AND(AND(AND(E$4&gt;='2025'!$L51,E$4&lt;='2025'!$M51), E$4&lt;&gt;DATE(2025,7,4)), (SWITCH(weekday(E$4), 1, 0, 2, if(ISBLANK('2025'!$P51), 0, 1), 3, if(ISBLANK('2025'!$Q51), 0, 1), 4, if(ISBLANK('2025'!$R51), 0, 1), 5, if(ISBLANK('2025'!$S51), 0, 1), 6, if(ISBLANK('2025'!$T51), 0, 1), 7, 0))), 1, "")</f>
        <v/>
      </c>
      <c r="F52" s="1" t="str">
        <f>IF(AND(AND(AND(F$4&gt;='2025'!$L51,F$4&lt;='2025'!$M51), F$4&lt;&gt;DATE(2025,7,4)), (SWITCH(weekday(F$4), 1, 0, 2, if(ISBLANK('2025'!$P51), 0, 1), 3, if(ISBLANK('2025'!$Q51), 0, 1), 4, if(ISBLANK('2025'!$R51), 0, 1), 5, if(ISBLANK('2025'!$S51), 0, 1), 6, if(ISBLANK('2025'!$T51), 0, 1), 7, 0))), 1, "")</f>
        <v/>
      </c>
      <c r="G52" s="1" t="str">
        <f>IF(AND(AND(AND(G$4&gt;='2025'!$L51,G$4&lt;='2025'!$M51), G$4&lt;&gt;DATE(2025,7,4)), (SWITCH(weekday(G$4), 1, 0, 2, if(ISBLANK('2025'!$P51), 0, 1), 3, if(ISBLANK('2025'!$Q51), 0, 1), 4, if(ISBLANK('2025'!$R51), 0, 1), 5, if(ISBLANK('2025'!$S51), 0, 1), 6, if(ISBLANK('2025'!$T51), 0, 1), 7, 0))), 1, "")</f>
        <v/>
      </c>
      <c r="H52" s="1" t="str">
        <f>IF(AND(AND(AND(H$4&gt;='2025'!$L51,H$4&lt;='2025'!$M51), H$4&lt;&gt;DATE(2025,7,4)), (SWITCH(weekday(H$4), 1, 0, 2, if(ISBLANK('2025'!$P51), 0, 1), 3, if(ISBLANK('2025'!$Q51), 0, 1), 4, if(ISBLANK('2025'!$R51), 0, 1), 5, if(ISBLANK('2025'!$S51), 0, 1), 6, if(ISBLANK('2025'!$T51), 0, 1), 7, 0))), 1, "")</f>
        <v/>
      </c>
      <c r="I52" s="1" t="str">
        <f>IF(AND(AND(AND(I$4&gt;='2025'!$L51,I$4&lt;='2025'!$M51), I$4&lt;&gt;DATE(2025,7,4)), (SWITCH(weekday(I$4), 1, 0, 2, if(ISBLANK('2025'!$P51), 0, 1), 3, if(ISBLANK('2025'!$Q51), 0, 1), 4, if(ISBLANK('2025'!$R51), 0, 1), 5, if(ISBLANK('2025'!$S51), 0, 1), 6, if(ISBLANK('2025'!$T51), 0, 1), 7, 0))), 1, "")</f>
        <v/>
      </c>
      <c r="J52" s="1" t="str">
        <f>IF(AND(AND(AND(J$4&gt;='2025'!$L51,J$4&lt;='2025'!$M51), J$4&lt;&gt;DATE(2025,7,4)), (SWITCH(weekday(J$4), 1, 0, 2, if(ISBLANK('2025'!$P51), 0, 1), 3, if(ISBLANK('2025'!$Q51), 0, 1), 4, if(ISBLANK('2025'!$R51), 0, 1), 5, if(ISBLANK('2025'!$S51), 0, 1), 6, if(ISBLANK('2025'!$T51), 0, 1), 7, 0))), 1, "")</f>
        <v/>
      </c>
      <c r="K52" s="1" t="str">
        <f>IF(AND(AND(AND(K$4&gt;='2025'!$L51,K$4&lt;='2025'!$M51), K$4&lt;&gt;DATE(2025,7,4)), (SWITCH(weekday(K$4), 1, 0, 2, if(ISBLANK('2025'!$P51), 0, 1), 3, if(ISBLANK('2025'!$Q51), 0, 1), 4, if(ISBLANK('2025'!$R51), 0, 1), 5, if(ISBLANK('2025'!$S51), 0, 1), 6, if(ISBLANK('2025'!$T51), 0, 1), 7, 0))), 1, "")</f>
        <v/>
      </c>
      <c r="L52" s="1" t="str">
        <f>IF(AND(AND(AND(L$4&gt;='2025'!$L51,L$4&lt;='2025'!$M51), L$4&lt;&gt;DATE(2025,7,4)), (SWITCH(weekday(L$4), 1, 0, 2, if(ISBLANK('2025'!$P51), 0, 1), 3, if(ISBLANK('2025'!$Q51), 0, 1), 4, if(ISBLANK('2025'!$R51), 0, 1), 5, if(ISBLANK('2025'!$S51), 0, 1), 6, if(ISBLANK('2025'!$T51), 0, 1), 7, 0))), 1, "")</f>
        <v/>
      </c>
      <c r="M52" s="1" t="str">
        <f>IF(AND(AND(AND(M$4&gt;='2025'!$L51,M$4&lt;='2025'!$M51), M$4&lt;&gt;DATE(2025,7,4)), (SWITCH(weekday(M$4), 1, 0, 2, if(ISBLANK('2025'!$P51), 0, 1), 3, if(ISBLANK('2025'!$Q51), 0, 1), 4, if(ISBLANK('2025'!$R51), 0, 1), 5, if(ISBLANK('2025'!$S51), 0, 1), 6, if(ISBLANK('2025'!$T51), 0, 1), 7, 0))), 1, "")</f>
        <v/>
      </c>
      <c r="N52" s="1" t="str">
        <f>IF(AND(AND(AND(N$4&gt;='2025'!$L51,N$4&lt;='2025'!$M51), N$4&lt;&gt;DATE(2025,7,4)), (SWITCH(weekday(N$4), 1, 0, 2, if(ISBLANK('2025'!$P51), 0, 1), 3, if(ISBLANK('2025'!$Q51), 0, 1), 4, if(ISBLANK('2025'!$R51), 0, 1), 5, if(ISBLANK('2025'!$S51), 0, 1), 6, if(ISBLANK('2025'!$T51), 0, 1), 7, 0))), 1, "")</f>
        <v/>
      </c>
      <c r="O52" s="1" t="str">
        <f>IF(AND(AND(AND(O$4&gt;='2025'!$L51,O$4&lt;='2025'!$M51), O$4&lt;&gt;DATE(2025,7,4)), (SWITCH(weekday(O$4), 1, 0, 2, if(ISBLANK('2025'!$P51), 0, 1), 3, if(ISBLANK('2025'!$Q51), 0, 1), 4, if(ISBLANK('2025'!$R51), 0, 1), 5, if(ISBLANK('2025'!$S51), 0, 1), 6, if(ISBLANK('2025'!$T51), 0, 1), 7, 0))), 1, "")</f>
        <v/>
      </c>
      <c r="P52" s="1" t="str">
        <f>IF(AND(AND(AND(P$4&gt;='2025'!$L51,P$4&lt;='2025'!$M51), P$4&lt;&gt;DATE(2025,7,4)), (SWITCH(weekday(P$4), 1, 0, 2, if(ISBLANK('2025'!$P51), 0, 1), 3, if(ISBLANK('2025'!$Q51), 0, 1), 4, if(ISBLANK('2025'!$R51), 0, 1), 5, if(ISBLANK('2025'!$S51), 0, 1), 6, if(ISBLANK('2025'!$T51), 0, 1), 7, 0))), 1, "")</f>
        <v/>
      </c>
      <c r="Q52" s="1" t="str">
        <f>IF(AND(AND(AND(Q$4&gt;='2025'!$L51,Q$4&lt;='2025'!$M51), Q$4&lt;&gt;DATE(2025,7,4)), (SWITCH(weekday(Q$4), 1, 0, 2, if(ISBLANK('2025'!$P51), 0, 1), 3, if(ISBLANK('2025'!$Q51), 0, 1), 4, if(ISBLANK('2025'!$R51), 0, 1), 5, if(ISBLANK('2025'!$S51), 0, 1), 6, if(ISBLANK('2025'!$T51), 0, 1), 7, 0))), 1, "")</f>
        <v/>
      </c>
      <c r="R52" s="1" t="str">
        <f>IF(AND(AND(AND(R$4&gt;='2025'!$L51,R$4&lt;='2025'!$M51), R$4&lt;&gt;DATE(2025,7,4)), (SWITCH(weekday(R$4), 1, 0, 2, if(ISBLANK('2025'!$P51), 0, 1), 3, if(ISBLANK('2025'!$Q51), 0, 1), 4, if(ISBLANK('2025'!$R51), 0, 1), 5, if(ISBLANK('2025'!$S51), 0, 1), 6, if(ISBLANK('2025'!$T51), 0, 1), 7, 0))), 1, "")</f>
        <v/>
      </c>
      <c r="S52" s="1" t="str">
        <f>IF(AND(AND(AND(S$4&gt;='2025'!$L51,S$4&lt;='2025'!$M51), S$4&lt;&gt;DATE(2025,7,4)), (SWITCH(weekday(S$4), 1, 0, 2, if(ISBLANK('2025'!$P51), 0, 1), 3, if(ISBLANK('2025'!$Q51), 0, 1), 4, if(ISBLANK('2025'!$R51), 0, 1), 5, if(ISBLANK('2025'!$S51), 0, 1), 6, if(ISBLANK('2025'!$T51), 0, 1), 7, 0))), 1, "")</f>
        <v/>
      </c>
      <c r="T52" s="1" t="str">
        <f>IF(AND(AND(AND(T$4&gt;='2025'!$L51,T$4&lt;='2025'!$M51), T$4&lt;&gt;DATE(2025,7,4)), (SWITCH(weekday(T$4), 1, 0, 2, if(ISBLANK('2025'!$P51), 0, 1), 3, if(ISBLANK('2025'!$Q51), 0, 1), 4, if(ISBLANK('2025'!$R51), 0, 1), 5, if(ISBLANK('2025'!$S51), 0, 1), 6, if(ISBLANK('2025'!$T51), 0, 1), 7, 0))), 1, "")</f>
        <v/>
      </c>
      <c r="U52" s="1" t="str">
        <f>IF(AND(AND(AND(U$4&gt;='2025'!$L51,U$4&lt;='2025'!$M51), U$4&lt;&gt;DATE(2025,7,4)), (SWITCH(weekday(U$4), 1, 0, 2, if(ISBLANK('2025'!$P51), 0, 1), 3, if(ISBLANK('2025'!$Q51), 0, 1), 4, if(ISBLANK('2025'!$R51), 0, 1), 5, if(ISBLANK('2025'!$S51), 0, 1), 6, if(ISBLANK('2025'!$T51), 0, 1), 7, 0))), 1, "")</f>
        <v/>
      </c>
      <c r="V52" s="1" t="str">
        <f>IF(AND(AND(AND(V$4&gt;='2025'!$L51,V$4&lt;='2025'!$M51), V$4&lt;&gt;DATE(2025,7,4)), (SWITCH(weekday(V$4), 1, 0, 2, if(ISBLANK('2025'!$P51), 0, 1), 3, if(ISBLANK('2025'!$Q51), 0, 1), 4, if(ISBLANK('2025'!$R51), 0, 1), 5, if(ISBLANK('2025'!$S51), 0, 1), 6, if(ISBLANK('2025'!$T51), 0, 1), 7, 0))), 1, "")</f>
        <v/>
      </c>
      <c r="W52" s="1" t="str">
        <f>IF(AND(AND(AND(W$4&gt;='2025'!$L51,W$4&lt;='2025'!$M51), W$4&lt;&gt;DATE(2025,7,4)), (SWITCH(weekday(W$4), 1, 0, 2, if(ISBLANK('2025'!$P51), 0, 1), 3, if(ISBLANK('2025'!$Q51), 0, 1), 4, if(ISBLANK('2025'!$R51), 0, 1), 5, if(ISBLANK('2025'!$S51), 0, 1), 6, if(ISBLANK('2025'!$T51), 0, 1), 7, 0))), 1, "")</f>
        <v/>
      </c>
      <c r="X52" s="1" t="str">
        <f>IF(AND(AND(AND(X$4&gt;='2025'!$L51,X$4&lt;='2025'!$M51), X$4&lt;&gt;DATE(2025,7,4)), (SWITCH(weekday(X$4), 1, 0, 2, if(ISBLANK('2025'!$P51), 0, 1), 3, if(ISBLANK('2025'!$Q51), 0, 1), 4, if(ISBLANK('2025'!$R51), 0, 1), 5, if(ISBLANK('2025'!$S51), 0, 1), 6, if(ISBLANK('2025'!$T51), 0, 1), 7, 0))), 1, "")</f>
        <v/>
      </c>
      <c r="Y52" s="1" t="str">
        <f>IF(AND(AND(AND(Y$4&gt;='2025'!$L51,Y$4&lt;='2025'!$M51), Y$4&lt;&gt;DATE(2025,7,4)), (SWITCH(weekday(Y$4), 1, 0, 2, if(ISBLANK('2025'!$P51), 0, 1), 3, if(ISBLANK('2025'!$Q51), 0, 1), 4, if(ISBLANK('2025'!$R51), 0, 1), 5, if(ISBLANK('2025'!$S51), 0, 1), 6, if(ISBLANK('2025'!$T51), 0, 1), 7, 0))), 1, "")</f>
        <v/>
      </c>
      <c r="Z52" s="1" t="str">
        <f>IF(AND(AND(AND(Z$4&gt;='2025'!$L51,Z$4&lt;='2025'!$M51), Z$4&lt;&gt;DATE(2025,7,4)), (SWITCH(weekday(Z$4), 1, 0, 2, if(ISBLANK('2025'!$P51), 0, 1), 3, if(ISBLANK('2025'!$Q51), 0, 1), 4, if(ISBLANK('2025'!$R51), 0, 1), 5, if(ISBLANK('2025'!$S51), 0, 1), 6, if(ISBLANK('2025'!$T51), 0, 1), 7, 0))), 1, "")</f>
        <v/>
      </c>
      <c r="AA52" s="1" t="str">
        <f>IF(AND(AND(AND(AA$4&gt;='2025'!$L51,AA$4&lt;='2025'!$M51), AA$4&lt;&gt;DATE(2025,7,4)), (SWITCH(weekday(AA$4), 1, 0, 2, if(ISBLANK('2025'!$P51), 0, 1), 3, if(ISBLANK('2025'!$Q51), 0, 1), 4, if(ISBLANK('2025'!$R51), 0, 1), 5, if(ISBLANK('2025'!$S51), 0, 1), 6, if(ISBLANK('2025'!$T51), 0, 1), 7, 0))), 1, "")</f>
        <v/>
      </c>
      <c r="AB52" s="1" t="str">
        <f>IF(AND(AND(AND(AB$4&gt;='2025'!$L51,AB$4&lt;='2025'!$M51), AB$4&lt;&gt;DATE(2025,7,4)), (SWITCH(weekday(AB$4), 1, 0, 2, if(ISBLANK('2025'!$P51), 0, 1), 3, if(ISBLANK('2025'!$Q51), 0, 1), 4, if(ISBLANK('2025'!$R51), 0, 1), 5, if(ISBLANK('2025'!$S51), 0, 1), 6, if(ISBLANK('2025'!$T51), 0, 1), 7, 0))), 1, "")</f>
        <v/>
      </c>
      <c r="AC52" s="1" t="str">
        <f>IF(AND(AND(AND(AC$4&gt;='2025'!$L51,AC$4&lt;='2025'!$M51), AC$4&lt;&gt;DATE(2025,7,4)), (SWITCH(weekday(AC$4), 1, 0, 2, if(ISBLANK('2025'!$P51), 0, 1), 3, if(ISBLANK('2025'!$Q51), 0, 1), 4, if(ISBLANK('2025'!$R51), 0, 1), 5, if(ISBLANK('2025'!$S51), 0, 1), 6, if(ISBLANK('2025'!$T51), 0, 1), 7, 0))), 1, "")</f>
        <v/>
      </c>
      <c r="AD52" s="1" t="str">
        <f>IF(AND(AND(AND(AD$4&gt;='2025'!$L51,AD$4&lt;='2025'!$M51), AD$4&lt;&gt;DATE(2025,7,4)), (SWITCH(weekday(AD$4), 1, 0, 2, if(ISBLANK('2025'!$P51), 0, 1), 3, if(ISBLANK('2025'!$Q51), 0, 1), 4, if(ISBLANK('2025'!$R51), 0, 1), 5, if(ISBLANK('2025'!$S51), 0, 1), 6, if(ISBLANK('2025'!$T51), 0, 1), 7, 0))), 1, "")</f>
        <v/>
      </c>
      <c r="AE52" s="1" t="str">
        <f>IF(AND(AND(AND(AE$4&gt;='2025'!$L51,AE$4&lt;='2025'!$M51), AE$4&lt;&gt;DATE(2025,7,4)), (SWITCH(weekday(AE$4), 1, 0, 2, if(ISBLANK('2025'!$P51), 0, 1), 3, if(ISBLANK('2025'!$Q51), 0, 1), 4, if(ISBLANK('2025'!$R51), 0, 1), 5, if(ISBLANK('2025'!$S51), 0, 1), 6, if(ISBLANK('2025'!$T51), 0, 1), 7, 0))), 1, "")</f>
        <v/>
      </c>
      <c r="AF52" s="1" t="str">
        <f>IF(AND(AND(AND(AF$4&gt;='2025'!$L51,AF$4&lt;='2025'!$M51), AF$4&lt;&gt;DATE(2025,7,4)), (SWITCH(weekday(AF$4), 1, 0, 2, if(ISBLANK('2025'!$P51), 0, 1), 3, if(ISBLANK('2025'!$Q51), 0, 1), 4, if(ISBLANK('2025'!$R51), 0, 1), 5, if(ISBLANK('2025'!$S51), 0, 1), 6, if(ISBLANK('2025'!$T51), 0, 1), 7, 0))), 1, "")</f>
        <v/>
      </c>
      <c r="AG52" s="1" t="str">
        <f>IF(AND(AND(AND(AG$4&gt;='2025'!$L51,AG$4&lt;='2025'!$M51), AG$4&lt;&gt;DATE(2025,7,4)), (SWITCH(weekday(AG$4), 1, 0, 2, if(ISBLANK('2025'!$P51), 0, 1), 3, if(ISBLANK('2025'!$Q51), 0, 1), 4, if(ISBLANK('2025'!$R51), 0, 1), 5, if(ISBLANK('2025'!$S51), 0, 1), 6, if(ISBLANK('2025'!$T51), 0, 1), 7, 0))), 1, "")</f>
        <v/>
      </c>
      <c r="AH52" s="1" t="str">
        <f>IF(AND(AND(AND(AH$4&gt;='2025'!$L51,AH$4&lt;='2025'!$M51), AH$4&lt;&gt;DATE(2025,7,4)), (SWITCH(weekday(AH$4), 1, 0, 2, if(ISBLANK('2025'!$P51), 0, 1), 3, if(ISBLANK('2025'!$Q51), 0, 1), 4, if(ISBLANK('2025'!$R51), 0, 1), 5, if(ISBLANK('2025'!$S51), 0, 1), 6, if(ISBLANK('2025'!$T51), 0, 1), 7, 0))), 1, "")</f>
        <v/>
      </c>
      <c r="AI52" s="1" t="str">
        <f>IF(AND(AND(AND(AI$4&gt;='2025'!$L51,AI$4&lt;='2025'!$M51), AI$4&lt;&gt;DATE(2025,7,4)), (SWITCH(weekday(AI$4), 1, 0, 2, if(ISBLANK('2025'!$P51), 0, 1), 3, if(ISBLANK('2025'!$Q51), 0, 1), 4, if(ISBLANK('2025'!$R51), 0, 1), 5, if(ISBLANK('2025'!$S51), 0, 1), 6, if(ISBLANK('2025'!$T51), 0, 1), 7, 0))), 1, "")</f>
        <v/>
      </c>
      <c r="AJ52" s="1" t="str">
        <f>IF(AND(AND(AND(AJ$4&gt;='2025'!$L51,AJ$4&lt;='2025'!$M51), AJ$4&lt;&gt;DATE(2025,7,4)), (SWITCH(weekday(AJ$4), 1, 0, 2, if(ISBLANK('2025'!$P51), 0, 1), 3, if(ISBLANK('2025'!$Q51), 0, 1), 4, if(ISBLANK('2025'!$R51), 0, 1), 5, if(ISBLANK('2025'!$S51), 0, 1), 6, if(ISBLANK('2025'!$T51), 0, 1), 7, 0))), 1, "")</f>
        <v/>
      </c>
      <c r="AK52" s="1" t="str">
        <f>IF(AND(AND(AND(AK$4&gt;='2025'!$L51,AK$4&lt;='2025'!$M51), AK$4&lt;&gt;DATE(2025,7,4)), (SWITCH(weekday(AK$4), 1, 0, 2, if(ISBLANK('2025'!$P51), 0, 1), 3, if(ISBLANK('2025'!$Q51), 0, 1), 4, if(ISBLANK('2025'!$R51), 0, 1), 5, if(ISBLANK('2025'!$S51), 0, 1), 6, if(ISBLANK('2025'!$T51), 0, 1), 7, 0))), 1, "")</f>
        <v/>
      </c>
      <c r="AL52" s="1" t="str">
        <f>IF(AND(AND(AND(AL$4&gt;='2025'!$L51,AL$4&lt;='2025'!$M51), AL$4&lt;&gt;DATE(2025,7,4)), (SWITCH(weekday(AL$4), 1, 0, 2, if(ISBLANK('2025'!$P51), 0, 1), 3, if(ISBLANK('2025'!$Q51), 0, 1), 4, if(ISBLANK('2025'!$R51), 0, 1), 5, if(ISBLANK('2025'!$S51), 0, 1), 6, if(ISBLANK('2025'!$T51), 0, 1), 7, 0))), 1, "")</f>
        <v/>
      </c>
      <c r="AM52" s="1" t="str">
        <f>IF(AND(AND(AND(AM$4&gt;='2025'!$L51,AM$4&lt;='2025'!$M51), AM$4&lt;&gt;DATE(2025,7,4)), (SWITCH(weekday(AM$4), 1, 0, 2, if(ISBLANK('2025'!$P51), 0, 1), 3, if(ISBLANK('2025'!$Q51), 0, 1), 4, if(ISBLANK('2025'!$R51), 0, 1), 5, if(ISBLANK('2025'!$S51), 0, 1), 6, if(ISBLANK('2025'!$T51), 0, 1), 7, 0))), 1, "")</f>
        <v/>
      </c>
      <c r="AN52" s="1" t="str">
        <f>IF(AND(AND(AND(AN$4&gt;='2025'!$L51,AN$4&lt;='2025'!$M51), AN$4&lt;&gt;DATE(2025,7,4)), (SWITCH(weekday(AN$4), 1, 0, 2, if(ISBLANK('2025'!$P51), 0, 1), 3, if(ISBLANK('2025'!$Q51), 0, 1), 4, if(ISBLANK('2025'!$R51), 0, 1), 5, if(ISBLANK('2025'!$S51), 0, 1), 6, if(ISBLANK('2025'!$T51), 0, 1), 7, 0))), 1, "")</f>
        <v/>
      </c>
      <c r="AO52" s="1" t="str">
        <f>IF(AND(AND(AND(AO$4&gt;='2025'!$L51,AO$4&lt;='2025'!$M51), AO$4&lt;&gt;DATE(2025,7,4)), (SWITCH(weekday(AO$4), 1, 0, 2, if(ISBLANK('2025'!$P51), 0, 1), 3, if(ISBLANK('2025'!$Q51), 0, 1), 4, if(ISBLANK('2025'!$R51), 0, 1), 5, if(ISBLANK('2025'!$S51), 0, 1), 6, if(ISBLANK('2025'!$T51), 0, 1), 7, 0))), 1, "")</f>
        <v/>
      </c>
      <c r="AP52" s="1" t="str">
        <f>IF(AND(AND(AND(AP$4&gt;='2025'!$L51,AP$4&lt;='2025'!$M51), AP$4&lt;&gt;DATE(2025,7,4)), (SWITCH(weekday(AP$4), 1, 0, 2, if(ISBLANK('2025'!$P51), 0, 1), 3, if(ISBLANK('2025'!$Q51), 0, 1), 4, if(ISBLANK('2025'!$R51), 0, 1), 5, if(ISBLANK('2025'!$S51), 0, 1), 6, if(ISBLANK('2025'!$T51), 0, 1), 7, 0))), 1, "")</f>
        <v/>
      </c>
      <c r="AQ52" s="1" t="str">
        <f>IF(AND(AND(AND(AQ$4&gt;='2025'!$L51,AQ$4&lt;='2025'!$M51), AQ$4&lt;&gt;DATE(2025,7,4)), (SWITCH(weekday(AQ$4), 1, 0, 2, if(ISBLANK('2025'!$P51), 0, 1), 3, if(ISBLANK('2025'!$Q51), 0, 1), 4, if(ISBLANK('2025'!$R51), 0, 1), 5, if(ISBLANK('2025'!$S51), 0, 1), 6, if(ISBLANK('2025'!$T51), 0, 1), 7, 0))), 1, "")</f>
        <v/>
      </c>
      <c r="AR52" s="1" t="str">
        <f>IF(AND(AND(AND(AR$4&gt;='2025'!$L51,AR$4&lt;='2025'!$M51), AR$4&lt;&gt;DATE(2025,7,4)), (SWITCH(weekday(AR$4), 1, 0, 2, if(ISBLANK('2025'!$P51), 0, 1), 3, if(ISBLANK('2025'!$Q51), 0, 1), 4, if(ISBLANK('2025'!$R51), 0, 1), 5, if(ISBLANK('2025'!$S51), 0, 1), 6, if(ISBLANK('2025'!$T51), 0, 1), 7, 0))), 1, "")</f>
        <v/>
      </c>
      <c r="AS52" s="1" t="str">
        <f>IF(AND(AND(AND(AS$4&gt;='2025'!$L51,AS$4&lt;='2025'!$M51), AS$4&lt;&gt;DATE(2025,7,4)), (SWITCH(weekday(AS$4), 1, 0, 2, if(ISBLANK('2025'!$P51), 0, 1), 3, if(ISBLANK('2025'!$Q51), 0, 1), 4, if(ISBLANK('2025'!$R51), 0, 1), 5, if(ISBLANK('2025'!$S51), 0, 1), 6, if(ISBLANK('2025'!$T51), 0, 1), 7, 0))), 1, "")</f>
        <v/>
      </c>
      <c r="AT52" s="1" t="str">
        <f>IF(AND(AND(AND(AT$4&gt;='2025'!$L51,AT$4&lt;='2025'!$M51), AT$4&lt;&gt;DATE(2025,7,4)), (SWITCH(weekday(AT$4), 1, 0, 2, if(ISBLANK('2025'!$P51), 0, 1), 3, if(ISBLANK('2025'!$Q51), 0, 1), 4, if(ISBLANK('2025'!$R51), 0, 1), 5, if(ISBLANK('2025'!$S51), 0, 1), 6, if(ISBLANK('2025'!$T51), 0, 1), 7, 0))), 1, "")</f>
        <v/>
      </c>
      <c r="AU52" s="1" t="str">
        <f>IF(AND(AND(AND(AU$4&gt;='2025'!$L51,AU$4&lt;='2025'!$M51), AU$4&lt;&gt;DATE(2025,7,4)), (SWITCH(weekday(AU$4), 1, 0, 2, if(ISBLANK('2025'!$P51), 0, 1), 3, if(ISBLANK('2025'!$Q51), 0, 1), 4, if(ISBLANK('2025'!$R51), 0, 1), 5, if(ISBLANK('2025'!$S51), 0, 1), 6, if(ISBLANK('2025'!$T51), 0, 1), 7, 0))), 1, "")</f>
        <v/>
      </c>
      <c r="AV52" s="1" t="str">
        <f>IF(AND(AND(AND(AV$4&gt;='2025'!$L51,AV$4&lt;='2025'!$M51), AV$4&lt;&gt;DATE(2025,7,4)), (SWITCH(weekday(AV$4), 1, 0, 2, if(ISBLANK('2025'!$P51), 0, 1), 3, if(ISBLANK('2025'!$Q51), 0, 1), 4, if(ISBLANK('2025'!$R51), 0, 1), 5, if(ISBLANK('2025'!$S51), 0, 1), 6, if(ISBLANK('2025'!$T51), 0, 1), 7, 0))), 1, "")</f>
        <v/>
      </c>
      <c r="AW52" s="1" t="str">
        <f>IF(AND(AND(AND(AW$4&gt;='2025'!$L51,AW$4&lt;='2025'!$M51), AW$4&lt;&gt;DATE(2025,7,4)), (SWITCH(weekday(AW$4), 1, 0, 2, if(ISBLANK('2025'!$P51), 0, 1), 3, if(ISBLANK('2025'!$Q51), 0, 1), 4, if(ISBLANK('2025'!$R51), 0, 1), 5, if(ISBLANK('2025'!$S51), 0, 1), 6, if(ISBLANK('2025'!$T51), 0, 1), 7, 0))), 1, "")</f>
        <v/>
      </c>
      <c r="AX52" s="1" t="str">
        <f>IF(AND(AND(AND(AX$4&gt;='2025'!$L51,AX$4&lt;='2025'!$M51), AX$4&lt;&gt;DATE(2025,7,4)), (SWITCH(weekday(AX$4), 1, 0, 2, if(ISBLANK('2025'!$P51), 0, 1), 3, if(ISBLANK('2025'!$Q51), 0, 1), 4, if(ISBLANK('2025'!$R51), 0, 1), 5, if(ISBLANK('2025'!$S51), 0, 1), 6, if(ISBLANK('2025'!$T51), 0, 1), 7, 0))), 1, "")</f>
        <v/>
      </c>
      <c r="AY52" s="1" t="str">
        <f>IF(AND(AND(AND(AY$4&gt;='2025'!$L51,AY$4&lt;='2025'!$M51), AY$4&lt;&gt;DATE(2025,7,4)), (SWITCH(weekday(AY$4), 1, 0, 2, if(ISBLANK('2025'!$P51), 0, 1), 3, if(ISBLANK('2025'!$Q51), 0, 1), 4, if(ISBLANK('2025'!$R51), 0, 1), 5, if(ISBLANK('2025'!$S51), 0, 1), 6, if(ISBLANK('2025'!$T51), 0, 1), 7, 0))), 1, "")</f>
        <v/>
      </c>
      <c r="AZ52" s="1" t="str">
        <f>IF(AND(AND(AND(AZ$4&gt;='2025'!$L51,AZ$4&lt;='2025'!$M51), AZ$4&lt;&gt;DATE(2025,7,4)), (SWITCH(weekday(AZ$4), 1, 0, 2, if(ISBLANK('2025'!$P51), 0, 1), 3, if(ISBLANK('2025'!$Q51), 0, 1), 4, if(ISBLANK('2025'!$R51), 0, 1), 5, if(ISBLANK('2025'!$S51), 0, 1), 6, if(ISBLANK('2025'!$T51), 0, 1), 7, 0))), 1, "")</f>
        <v/>
      </c>
      <c r="BA52" s="1" t="str">
        <f>IF(AND(AND(AND(BA$4&gt;='2025'!$L51,BA$4&lt;='2025'!$M51), BA$4&lt;&gt;DATE(2025,7,4)), (SWITCH(weekday(BA$4), 1, 0, 2, if(ISBLANK('2025'!$P51), 0, 1), 3, if(ISBLANK('2025'!$Q51), 0, 1), 4, if(ISBLANK('2025'!$R51), 0, 1), 5, if(ISBLANK('2025'!$S51), 0, 1), 6, if(ISBLANK('2025'!$T51), 0, 1), 7, 0))), 1, "")</f>
        <v/>
      </c>
      <c r="BB52" s="1" t="str">
        <f>IF(AND(AND(AND(BB$4&gt;='2025'!$L51,BB$4&lt;='2025'!$M51), BB$4&lt;&gt;DATE(2025,7,4)), (SWITCH(weekday(BB$4), 1, 0, 2, if(ISBLANK('2025'!$P51), 0, 1), 3, if(ISBLANK('2025'!$Q51), 0, 1), 4, if(ISBLANK('2025'!$R51), 0, 1), 5, if(ISBLANK('2025'!$S51), 0, 1), 6, if(ISBLANK('2025'!$T51), 0, 1), 7, 0))), 1, "")</f>
        <v/>
      </c>
      <c r="BC52" s="1" t="str">
        <f>IF(AND(AND(AND(BC$4&gt;='2025'!$L51,BC$4&lt;='2025'!$M51), BC$4&lt;&gt;DATE(2025,7,4)), (SWITCH(weekday(BC$4), 1, 0, 2, if(ISBLANK('2025'!$P51), 0, 1), 3, if(ISBLANK('2025'!$Q51), 0, 1), 4, if(ISBLANK('2025'!$R51), 0, 1), 5, if(ISBLANK('2025'!$S51), 0, 1), 6, if(ISBLANK('2025'!$T51), 0, 1), 7, 0))), 1, "")</f>
        <v/>
      </c>
      <c r="BD52" s="1" t="str">
        <f>IF(AND(AND(AND(BD$4&gt;='2025'!$L51,BD$4&lt;='2025'!$M51), BD$4&lt;&gt;DATE(2025,7,4)), (SWITCH(weekday(BD$4), 1, 0, 2, if(ISBLANK('2025'!$P51), 0, 1), 3, if(ISBLANK('2025'!$Q51), 0, 1), 4, if(ISBLANK('2025'!$R51), 0, 1), 5, if(ISBLANK('2025'!$S51), 0, 1), 6, if(ISBLANK('2025'!$T51), 0, 1), 7, 0))), 1, "")</f>
        <v/>
      </c>
      <c r="BE52" s="1" t="str">
        <f>IF(AND(AND(AND(BE$4&gt;='2025'!$L51,BE$4&lt;='2025'!$M51), BE$4&lt;&gt;DATE(2025,7,4)), (SWITCH(weekday(BE$4), 1, 0, 2, if(ISBLANK('2025'!$P51), 0, 1), 3, if(ISBLANK('2025'!$Q51), 0, 1), 4, if(ISBLANK('2025'!$R51), 0, 1), 5, if(ISBLANK('2025'!$S51), 0, 1), 6, if(ISBLANK('2025'!$T51), 0, 1), 7, 0))), 1, "")</f>
        <v/>
      </c>
      <c r="BF52" s="1" t="str">
        <f>IF(AND(AND(AND(BF$4&gt;='2025'!$L51,BF$4&lt;='2025'!$M51), BF$4&lt;&gt;DATE(2025,7,4)), (SWITCH(weekday(BF$4), 1, 0, 2, if(ISBLANK('2025'!$P51), 0, 1), 3, if(ISBLANK('2025'!$Q51), 0, 1), 4, if(ISBLANK('2025'!$R51), 0, 1), 5, if(ISBLANK('2025'!$S51), 0, 1), 6, if(ISBLANK('2025'!$T51), 0, 1), 7, 0))), 1, "")</f>
        <v/>
      </c>
      <c r="BG52" s="1"/>
      <c r="BH52" s="1"/>
      <c r="BI52" s="1"/>
      <c r="BJ52" s="1"/>
      <c r="BK52" s="1"/>
      <c r="BL52" s="1"/>
    </row>
    <row r="53">
      <c r="A53" s="1">
        <f t="shared" si="3"/>
        <v>53</v>
      </c>
      <c r="B53" s="1" t="str">
        <f t="shared" ref="B53:C53" si="6">#REF!</f>
        <v>#REF!</v>
      </c>
      <c r="C53" s="1" t="str">
        <f t="shared" si="6"/>
        <v>#REF!</v>
      </c>
      <c r="D53" s="1" t="str">
        <f t="shared" ref="D53:BF53" si="7">IF(AND(AND(AND(D$4&gt;=#REF!,D$4&lt;=#REF!), D$4&lt;&gt;DATE(2025,7,4)), (SWITCH(weekday(D$4), 1, 0, 2, if(ISBLANK(#REF!), 0, 1), 3, if(ISBLANK(#REF!), 0, 1), 4, if(ISBLANK(#REF!), 0, 1), 5, if(ISBLANK(#REF!), 0, 1), 6, if(ISBLANK(#REF!), 0, 1), 7, 0))), 1, "")</f>
        <v>#REF!</v>
      </c>
      <c r="E53" s="1" t="str">
        <f t="shared" si="7"/>
        <v>#REF!</v>
      </c>
      <c r="F53" s="1" t="str">
        <f t="shared" si="7"/>
        <v>#REF!</v>
      </c>
      <c r="G53" s="1" t="str">
        <f t="shared" si="7"/>
        <v>#REF!</v>
      </c>
      <c r="H53" s="1" t="str">
        <f t="shared" si="7"/>
        <v>#REF!</v>
      </c>
      <c r="I53" s="1" t="str">
        <f t="shared" si="7"/>
        <v>#REF!</v>
      </c>
      <c r="J53" s="1" t="str">
        <f t="shared" si="7"/>
        <v>#REF!</v>
      </c>
      <c r="K53" s="1" t="str">
        <f t="shared" si="7"/>
        <v>#REF!</v>
      </c>
      <c r="L53" s="1" t="str">
        <f t="shared" si="7"/>
        <v>#REF!</v>
      </c>
      <c r="M53" s="1" t="str">
        <f t="shared" si="7"/>
        <v>#REF!</v>
      </c>
      <c r="N53" s="1" t="str">
        <f t="shared" si="7"/>
        <v>#REF!</v>
      </c>
      <c r="O53" s="1" t="str">
        <f t="shared" si="7"/>
        <v>#REF!</v>
      </c>
      <c r="P53" s="1" t="str">
        <f t="shared" si="7"/>
        <v>#REF!</v>
      </c>
      <c r="Q53" s="1" t="str">
        <f t="shared" si="7"/>
        <v>#REF!</v>
      </c>
      <c r="R53" s="1" t="str">
        <f t="shared" si="7"/>
        <v>#REF!</v>
      </c>
      <c r="S53" s="1" t="str">
        <f t="shared" si="7"/>
        <v>#REF!</v>
      </c>
      <c r="T53" s="1" t="str">
        <f t="shared" si="7"/>
        <v>#REF!</v>
      </c>
      <c r="U53" s="1" t="str">
        <f t="shared" si="7"/>
        <v>#REF!</v>
      </c>
      <c r="V53" s="1" t="str">
        <f t="shared" si="7"/>
        <v>#REF!</v>
      </c>
      <c r="W53" s="1" t="str">
        <f t="shared" si="7"/>
        <v>#REF!</v>
      </c>
      <c r="X53" s="1" t="str">
        <f t="shared" si="7"/>
        <v>#REF!</v>
      </c>
      <c r="Y53" s="1" t="str">
        <f t="shared" si="7"/>
        <v>#REF!</v>
      </c>
      <c r="Z53" s="1" t="str">
        <f t="shared" si="7"/>
        <v>#REF!</v>
      </c>
      <c r="AA53" s="1" t="str">
        <f t="shared" si="7"/>
        <v>#REF!</v>
      </c>
      <c r="AB53" s="1" t="str">
        <f t="shared" si="7"/>
        <v>#REF!</v>
      </c>
      <c r="AC53" s="1" t="str">
        <f t="shared" si="7"/>
        <v>#REF!</v>
      </c>
      <c r="AD53" s="1" t="str">
        <f t="shared" si="7"/>
        <v>#REF!</v>
      </c>
      <c r="AE53" s="1" t="str">
        <f t="shared" si="7"/>
        <v>#REF!</v>
      </c>
      <c r="AF53" s="1" t="str">
        <f t="shared" si="7"/>
        <v>#REF!</v>
      </c>
      <c r="AG53" s="1" t="str">
        <f t="shared" si="7"/>
        <v>#REF!</v>
      </c>
      <c r="AH53" s="1" t="str">
        <f t="shared" si="7"/>
        <v>#REF!</v>
      </c>
      <c r="AI53" s="1" t="str">
        <f t="shared" si="7"/>
        <v>#REF!</v>
      </c>
      <c r="AJ53" s="1" t="str">
        <f t="shared" si="7"/>
        <v>#REF!</v>
      </c>
      <c r="AK53" s="1" t="str">
        <f t="shared" si="7"/>
        <v>#REF!</v>
      </c>
      <c r="AL53" s="1" t="str">
        <f t="shared" si="7"/>
        <v>#REF!</v>
      </c>
      <c r="AM53" s="1" t="str">
        <f t="shared" si="7"/>
        <v>#REF!</v>
      </c>
      <c r="AN53" s="1" t="str">
        <f t="shared" si="7"/>
        <v>#REF!</v>
      </c>
      <c r="AO53" s="1" t="str">
        <f t="shared" si="7"/>
        <v>#REF!</v>
      </c>
      <c r="AP53" s="1" t="str">
        <f t="shared" si="7"/>
        <v>#REF!</v>
      </c>
      <c r="AQ53" s="1" t="str">
        <f t="shared" si="7"/>
        <v>#REF!</v>
      </c>
      <c r="AR53" s="1" t="str">
        <f t="shared" si="7"/>
        <v>#REF!</v>
      </c>
      <c r="AS53" s="1" t="str">
        <f t="shared" si="7"/>
        <v>#REF!</v>
      </c>
      <c r="AT53" s="1" t="str">
        <f t="shared" si="7"/>
        <v>#REF!</v>
      </c>
      <c r="AU53" s="1" t="str">
        <f t="shared" si="7"/>
        <v>#REF!</v>
      </c>
      <c r="AV53" s="1" t="str">
        <f t="shared" si="7"/>
        <v>#REF!</v>
      </c>
      <c r="AW53" s="1" t="str">
        <f t="shared" si="7"/>
        <v>#REF!</v>
      </c>
      <c r="AX53" s="1" t="str">
        <f t="shared" si="7"/>
        <v>#REF!</v>
      </c>
      <c r="AY53" s="1" t="str">
        <f t="shared" si="7"/>
        <v>#REF!</v>
      </c>
      <c r="AZ53" s="1" t="str">
        <f t="shared" si="7"/>
        <v>#REF!</v>
      </c>
      <c r="BA53" s="1" t="str">
        <f t="shared" si="7"/>
        <v>#REF!</v>
      </c>
      <c r="BB53" s="1" t="str">
        <f t="shared" si="7"/>
        <v>#REF!</v>
      </c>
      <c r="BC53" s="1" t="str">
        <f t="shared" si="7"/>
        <v>#REF!</v>
      </c>
      <c r="BD53" s="1" t="str">
        <f t="shared" si="7"/>
        <v>#REF!</v>
      </c>
      <c r="BE53" s="1" t="str">
        <f t="shared" si="7"/>
        <v>#REF!</v>
      </c>
      <c r="BF53" s="1" t="str">
        <f t="shared" si="7"/>
        <v>#REF!</v>
      </c>
      <c r="BG53" s="1"/>
      <c r="BH53" s="1"/>
      <c r="BI53" s="1"/>
      <c r="BJ53" s="1"/>
      <c r="BK53" s="1"/>
      <c r="BL53" s="1"/>
    </row>
    <row r="54">
      <c r="A54" s="1">
        <f t="shared" si="3"/>
        <v>54</v>
      </c>
      <c r="B54" s="1" t="str">
        <f>'2025'!D52</f>
        <v>campbell , george </v>
      </c>
      <c r="C54" s="1" t="str">
        <f>'2025'!H52</f>
        <v>PK3</v>
      </c>
      <c r="D54" s="1" t="str">
        <f>IF(AND(AND(AND(D$4&gt;='2025'!$L52,D$4&lt;='2025'!$M52), D$4&lt;&gt;DATE(2025,7,4)), (SWITCH(weekday(D$4), 1, 0, 2, if(ISBLANK('2025'!$P52), 0, 1), 3, if(ISBLANK('2025'!$Q52), 0, 1), 4, if(ISBLANK('2025'!$R52), 0, 1), 5, if(ISBLANK('2025'!$S52), 0, 1), 6, if(ISBLANK('2025'!$T52), 0, 1), 7, 0))), 1, "")</f>
        <v/>
      </c>
      <c r="E54" s="1" t="str">
        <f>IF(AND(AND(AND(E$4&gt;='2025'!$L52,E$4&lt;='2025'!$M52), E$4&lt;&gt;DATE(2025,7,4)), (SWITCH(weekday(E$4), 1, 0, 2, if(ISBLANK('2025'!$P52), 0, 1), 3, if(ISBLANK('2025'!$Q52), 0, 1), 4, if(ISBLANK('2025'!$R52), 0, 1), 5, if(ISBLANK('2025'!$S52), 0, 1), 6, if(ISBLANK('2025'!$T52), 0, 1), 7, 0))), 1, "")</f>
        <v/>
      </c>
      <c r="F54" s="1" t="str">
        <f>IF(AND(AND(AND(F$4&gt;='2025'!$L52,F$4&lt;='2025'!$M52), F$4&lt;&gt;DATE(2025,7,4)), (SWITCH(weekday(F$4), 1, 0, 2, if(ISBLANK('2025'!$P52), 0, 1), 3, if(ISBLANK('2025'!$Q52), 0, 1), 4, if(ISBLANK('2025'!$R52), 0, 1), 5, if(ISBLANK('2025'!$S52), 0, 1), 6, if(ISBLANK('2025'!$T52), 0, 1), 7, 0))), 1, "")</f>
        <v/>
      </c>
      <c r="G54" s="1" t="str">
        <f>IF(AND(AND(AND(G$4&gt;='2025'!$L52,G$4&lt;='2025'!$M52), G$4&lt;&gt;DATE(2025,7,4)), (SWITCH(weekday(G$4), 1, 0, 2, if(ISBLANK('2025'!$P52), 0, 1), 3, if(ISBLANK('2025'!$Q52), 0, 1), 4, if(ISBLANK('2025'!$R52), 0, 1), 5, if(ISBLANK('2025'!$S52), 0, 1), 6, if(ISBLANK('2025'!$T52), 0, 1), 7, 0))), 1, "")</f>
        <v/>
      </c>
      <c r="H54" s="1" t="str">
        <f>IF(AND(AND(AND(H$4&gt;='2025'!$L52,H$4&lt;='2025'!$M52), H$4&lt;&gt;DATE(2025,7,4)), (SWITCH(weekday(H$4), 1, 0, 2, if(ISBLANK('2025'!$P52), 0, 1), 3, if(ISBLANK('2025'!$Q52), 0, 1), 4, if(ISBLANK('2025'!$R52), 0, 1), 5, if(ISBLANK('2025'!$S52), 0, 1), 6, if(ISBLANK('2025'!$T52), 0, 1), 7, 0))), 1, "")</f>
        <v/>
      </c>
      <c r="I54" s="1" t="str">
        <f>IF(AND(AND(AND(I$4&gt;='2025'!$L52,I$4&lt;='2025'!$M52), I$4&lt;&gt;DATE(2025,7,4)), (SWITCH(weekday(I$4), 1, 0, 2, if(ISBLANK('2025'!$P52), 0, 1), 3, if(ISBLANK('2025'!$Q52), 0, 1), 4, if(ISBLANK('2025'!$R52), 0, 1), 5, if(ISBLANK('2025'!$S52), 0, 1), 6, if(ISBLANK('2025'!$T52), 0, 1), 7, 0))), 1, "")</f>
        <v/>
      </c>
      <c r="J54" s="1" t="str">
        <f>IF(AND(AND(AND(J$4&gt;='2025'!$L52,J$4&lt;='2025'!$M52), J$4&lt;&gt;DATE(2025,7,4)), (SWITCH(weekday(J$4), 1, 0, 2, if(ISBLANK('2025'!$P52), 0, 1), 3, if(ISBLANK('2025'!$Q52), 0, 1), 4, if(ISBLANK('2025'!$R52), 0, 1), 5, if(ISBLANK('2025'!$S52), 0, 1), 6, if(ISBLANK('2025'!$T52), 0, 1), 7, 0))), 1, "")</f>
        <v/>
      </c>
      <c r="K54" s="1" t="str">
        <f>IF(AND(AND(AND(K$4&gt;='2025'!$L52,K$4&lt;='2025'!$M52), K$4&lt;&gt;DATE(2025,7,4)), (SWITCH(weekday(K$4), 1, 0, 2, if(ISBLANK('2025'!$P52), 0, 1), 3, if(ISBLANK('2025'!$Q52), 0, 1), 4, if(ISBLANK('2025'!$R52), 0, 1), 5, if(ISBLANK('2025'!$S52), 0, 1), 6, if(ISBLANK('2025'!$T52), 0, 1), 7, 0))), 1, "")</f>
        <v/>
      </c>
      <c r="L54" s="1" t="str">
        <f>IF(AND(AND(AND(L$4&gt;='2025'!$L52,L$4&lt;='2025'!$M52), L$4&lt;&gt;DATE(2025,7,4)), (SWITCH(weekday(L$4), 1, 0, 2, if(ISBLANK('2025'!$P52), 0, 1), 3, if(ISBLANK('2025'!$Q52), 0, 1), 4, if(ISBLANK('2025'!$R52), 0, 1), 5, if(ISBLANK('2025'!$S52), 0, 1), 6, if(ISBLANK('2025'!$T52), 0, 1), 7, 0))), 1, "")</f>
        <v/>
      </c>
      <c r="M54" s="1" t="str">
        <f>IF(AND(AND(AND(M$4&gt;='2025'!$L52,M$4&lt;='2025'!$M52), M$4&lt;&gt;DATE(2025,7,4)), (SWITCH(weekday(M$4), 1, 0, 2, if(ISBLANK('2025'!$P52), 0, 1), 3, if(ISBLANK('2025'!$Q52), 0, 1), 4, if(ISBLANK('2025'!$R52), 0, 1), 5, if(ISBLANK('2025'!$S52), 0, 1), 6, if(ISBLANK('2025'!$T52), 0, 1), 7, 0))), 1, "")</f>
        <v/>
      </c>
      <c r="N54" s="1" t="str">
        <f>IF(AND(AND(AND(N$4&gt;='2025'!$L52,N$4&lt;='2025'!$M52), N$4&lt;&gt;DATE(2025,7,4)), (SWITCH(weekday(N$4), 1, 0, 2, if(ISBLANK('2025'!$P52), 0, 1), 3, if(ISBLANK('2025'!$Q52), 0, 1), 4, if(ISBLANK('2025'!$R52), 0, 1), 5, if(ISBLANK('2025'!$S52), 0, 1), 6, if(ISBLANK('2025'!$T52), 0, 1), 7, 0))), 1, "")</f>
        <v/>
      </c>
      <c r="O54" s="1" t="str">
        <f>IF(AND(AND(AND(O$4&gt;='2025'!$L52,O$4&lt;='2025'!$M52), O$4&lt;&gt;DATE(2025,7,4)), (SWITCH(weekday(O$4), 1, 0, 2, if(ISBLANK('2025'!$P52), 0, 1), 3, if(ISBLANK('2025'!$Q52), 0, 1), 4, if(ISBLANK('2025'!$R52), 0, 1), 5, if(ISBLANK('2025'!$S52), 0, 1), 6, if(ISBLANK('2025'!$T52), 0, 1), 7, 0))), 1, "")</f>
        <v/>
      </c>
      <c r="P54" s="1" t="str">
        <f>IF(AND(AND(AND(P$4&gt;='2025'!$L52,P$4&lt;='2025'!$M52), P$4&lt;&gt;DATE(2025,7,4)), (SWITCH(weekday(P$4), 1, 0, 2, if(ISBLANK('2025'!$P52), 0, 1), 3, if(ISBLANK('2025'!$Q52), 0, 1), 4, if(ISBLANK('2025'!$R52), 0, 1), 5, if(ISBLANK('2025'!$S52), 0, 1), 6, if(ISBLANK('2025'!$T52), 0, 1), 7, 0))), 1, "")</f>
        <v/>
      </c>
      <c r="Q54" s="1" t="str">
        <f>IF(AND(AND(AND(Q$4&gt;='2025'!$L52,Q$4&lt;='2025'!$M52), Q$4&lt;&gt;DATE(2025,7,4)), (SWITCH(weekday(Q$4), 1, 0, 2, if(ISBLANK('2025'!$P52), 0, 1), 3, if(ISBLANK('2025'!$Q52), 0, 1), 4, if(ISBLANK('2025'!$R52), 0, 1), 5, if(ISBLANK('2025'!$S52), 0, 1), 6, if(ISBLANK('2025'!$T52), 0, 1), 7, 0))), 1, "")</f>
        <v/>
      </c>
      <c r="R54" s="1" t="str">
        <f>IF(AND(AND(AND(R$4&gt;='2025'!$L52,R$4&lt;='2025'!$M52), R$4&lt;&gt;DATE(2025,7,4)), (SWITCH(weekday(R$4), 1, 0, 2, if(ISBLANK('2025'!$P52), 0, 1), 3, if(ISBLANK('2025'!$Q52), 0, 1), 4, if(ISBLANK('2025'!$R52), 0, 1), 5, if(ISBLANK('2025'!$S52), 0, 1), 6, if(ISBLANK('2025'!$T52), 0, 1), 7, 0))), 1, "")</f>
        <v/>
      </c>
      <c r="S54" s="1" t="str">
        <f>IF(AND(AND(AND(S$4&gt;='2025'!$L52,S$4&lt;='2025'!$M52), S$4&lt;&gt;DATE(2025,7,4)), (SWITCH(weekday(S$4), 1, 0, 2, if(ISBLANK('2025'!$P52), 0, 1), 3, if(ISBLANK('2025'!$Q52), 0, 1), 4, if(ISBLANK('2025'!$R52), 0, 1), 5, if(ISBLANK('2025'!$S52), 0, 1), 6, if(ISBLANK('2025'!$T52), 0, 1), 7, 0))), 1, "")</f>
        <v/>
      </c>
      <c r="T54" s="1" t="str">
        <f>IF(AND(AND(AND(T$4&gt;='2025'!$L52,T$4&lt;='2025'!$M52), T$4&lt;&gt;DATE(2025,7,4)), (SWITCH(weekday(T$4), 1, 0, 2, if(ISBLANK('2025'!$P52), 0, 1), 3, if(ISBLANK('2025'!$Q52), 0, 1), 4, if(ISBLANK('2025'!$R52), 0, 1), 5, if(ISBLANK('2025'!$S52), 0, 1), 6, if(ISBLANK('2025'!$T52), 0, 1), 7, 0))), 1, "")</f>
        <v/>
      </c>
      <c r="U54" s="1" t="str">
        <f>IF(AND(AND(AND(U$4&gt;='2025'!$L52,U$4&lt;='2025'!$M52), U$4&lt;&gt;DATE(2025,7,4)), (SWITCH(weekday(U$4), 1, 0, 2, if(ISBLANK('2025'!$P52), 0, 1), 3, if(ISBLANK('2025'!$Q52), 0, 1), 4, if(ISBLANK('2025'!$R52), 0, 1), 5, if(ISBLANK('2025'!$S52), 0, 1), 6, if(ISBLANK('2025'!$T52), 0, 1), 7, 0))), 1, "")</f>
        <v/>
      </c>
      <c r="V54" s="1" t="str">
        <f>IF(AND(AND(AND(V$4&gt;='2025'!$L52,V$4&lt;='2025'!$M52), V$4&lt;&gt;DATE(2025,7,4)), (SWITCH(weekday(V$4), 1, 0, 2, if(ISBLANK('2025'!$P52), 0, 1), 3, if(ISBLANK('2025'!$Q52), 0, 1), 4, if(ISBLANK('2025'!$R52), 0, 1), 5, if(ISBLANK('2025'!$S52), 0, 1), 6, if(ISBLANK('2025'!$T52), 0, 1), 7, 0))), 1, "")</f>
        <v/>
      </c>
      <c r="W54" s="1" t="str">
        <f>IF(AND(AND(AND(W$4&gt;='2025'!$L52,W$4&lt;='2025'!$M52), W$4&lt;&gt;DATE(2025,7,4)), (SWITCH(weekday(W$4), 1, 0, 2, if(ISBLANK('2025'!$P52), 0, 1), 3, if(ISBLANK('2025'!$Q52), 0, 1), 4, if(ISBLANK('2025'!$R52), 0, 1), 5, if(ISBLANK('2025'!$S52), 0, 1), 6, if(ISBLANK('2025'!$T52), 0, 1), 7, 0))), 1, "")</f>
        <v/>
      </c>
      <c r="X54" s="1" t="str">
        <f>IF(AND(AND(AND(X$4&gt;='2025'!$L52,X$4&lt;='2025'!$M52), X$4&lt;&gt;DATE(2025,7,4)), (SWITCH(weekday(X$4), 1, 0, 2, if(ISBLANK('2025'!$P52), 0, 1), 3, if(ISBLANK('2025'!$Q52), 0, 1), 4, if(ISBLANK('2025'!$R52), 0, 1), 5, if(ISBLANK('2025'!$S52), 0, 1), 6, if(ISBLANK('2025'!$T52), 0, 1), 7, 0))), 1, "")</f>
        <v/>
      </c>
      <c r="Y54" s="1" t="str">
        <f>IF(AND(AND(AND(Y$4&gt;='2025'!$L52,Y$4&lt;='2025'!$M52), Y$4&lt;&gt;DATE(2025,7,4)), (SWITCH(weekday(Y$4), 1, 0, 2, if(ISBLANK('2025'!$P52), 0, 1), 3, if(ISBLANK('2025'!$Q52), 0, 1), 4, if(ISBLANK('2025'!$R52), 0, 1), 5, if(ISBLANK('2025'!$S52), 0, 1), 6, if(ISBLANK('2025'!$T52), 0, 1), 7, 0))), 1, "")</f>
        <v/>
      </c>
      <c r="Z54" s="1" t="str">
        <f>IF(AND(AND(AND(Z$4&gt;='2025'!$L52,Z$4&lt;='2025'!$M52), Z$4&lt;&gt;DATE(2025,7,4)), (SWITCH(weekday(Z$4), 1, 0, 2, if(ISBLANK('2025'!$P52), 0, 1), 3, if(ISBLANK('2025'!$Q52), 0, 1), 4, if(ISBLANK('2025'!$R52), 0, 1), 5, if(ISBLANK('2025'!$S52), 0, 1), 6, if(ISBLANK('2025'!$T52), 0, 1), 7, 0))), 1, "")</f>
        <v/>
      </c>
      <c r="AA54" s="1" t="str">
        <f>IF(AND(AND(AND(AA$4&gt;='2025'!$L52,AA$4&lt;='2025'!$M52), AA$4&lt;&gt;DATE(2025,7,4)), (SWITCH(weekday(AA$4), 1, 0, 2, if(ISBLANK('2025'!$P52), 0, 1), 3, if(ISBLANK('2025'!$Q52), 0, 1), 4, if(ISBLANK('2025'!$R52), 0, 1), 5, if(ISBLANK('2025'!$S52), 0, 1), 6, if(ISBLANK('2025'!$T52), 0, 1), 7, 0))), 1, "")</f>
        <v/>
      </c>
      <c r="AB54" s="1" t="str">
        <f>IF(AND(AND(AND(AB$4&gt;='2025'!$L52,AB$4&lt;='2025'!$M52), AB$4&lt;&gt;DATE(2025,7,4)), (SWITCH(weekday(AB$4), 1, 0, 2, if(ISBLANK('2025'!$P52), 0, 1), 3, if(ISBLANK('2025'!$Q52), 0, 1), 4, if(ISBLANK('2025'!$R52), 0, 1), 5, if(ISBLANK('2025'!$S52), 0, 1), 6, if(ISBLANK('2025'!$T52), 0, 1), 7, 0))), 1, "")</f>
        <v/>
      </c>
      <c r="AC54" s="1" t="str">
        <f>IF(AND(AND(AND(AC$4&gt;='2025'!$L52,AC$4&lt;='2025'!$M52), AC$4&lt;&gt;DATE(2025,7,4)), (SWITCH(weekday(AC$4), 1, 0, 2, if(ISBLANK('2025'!$P52), 0, 1), 3, if(ISBLANK('2025'!$Q52), 0, 1), 4, if(ISBLANK('2025'!$R52), 0, 1), 5, if(ISBLANK('2025'!$S52), 0, 1), 6, if(ISBLANK('2025'!$T52), 0, 1), 7, 0))), 1, "")</f>
        <v/>
      </c>
      <c r="AD54" s="1" t="str">
        <f>IF(AND(AND(AND(AD$4&gt;='2025'!$L52,AD$4&lt;='2025'!$M52), AD$4&lt;&gt;DATE(2025,7,4)), (SWITCH(weekday(AD$4), 1, 0, 2, if(ISBLANK('2025'!$P52), 0, 1), 3, if(ISBLANK('2025'!$Q52), 0, 1), 4, if(ISBLANK('2025'!$R52), 0, 1), 5, if(ISBLANK('2025'!$S52), 0, 1), 6, if(ISBLANK('2025'!$T52), 0, 1), 7, 0))), 1, "")</f>
        <v/>
      </c>
      <c r="AE54" s="1" t="str">
        <f>IF(AND(AND(AND(AE$4&gt;='2025'!$L52,AE$4&lt;='2025'!$M52), AE$4&lt;&gt;DATE(2025,7,4)), (SWITCH(weekday(AE$4), 1, 0, 2, if(ISBLANK('2025'!$P52), 0, 1), 3, if(ISBLANK('2025'!$Q52), 0, 1), 4, if(ISBLANK('2025'!$R52), 0, 1), 5, if(ISBLANK('2025'!$S52), 0, 1), 6, if(ISBLANK('2025'!$T52), 0, 1), 7, 0))), 1, "")</f>
        <v/>
      </c>
      <c r="AF54" s="1" t="str">
        <f>IF(AND(AND(AND(AF$4&gt;='2025'!$L52,AF$4&lt;='2025'!$M52), AF$4&lt;&gt;DATE(2025,7,4)), (SWITCH(weekday(AF$4), 1, 0, 2, if(ISBLANK('2025'!$P52), 0, 1), 3, if(ISBLANK('2025'!$Q52), 0, 1), 4, if(ISBLANK('2025'!$R52), 0, 1), 5, if(ISBLANK('2025'!$S52), 0, 1), 6, if(ISBLANK('2025'!$T52), 0, 1), 7, 0))), 1, "")</f>
        <v/>
      </c>
      <c r="AG54" s="1" t="str">
        <f>IF(AND(AND(AND(AG$4&gt;='2025'!$L52,AG$4&lt;='2025'!$M52), AG$4&lt;&gt;DATE(2025,7,4)), (SWITCH(weekday(AG$4), 1, 0, 2, if(ISBLANK('2025'!$P52), 0, 1), 3, if(ISBLANK('2025'!$Q52), 0, 1), 4, if(ISBLANK('2025'!$R52), 0, 1), 5, if(ISBLANK('2025'!$S52), 0, 1), 6, if(ISBLANK('2025'!$T52), 0, 1), 7, 0))), 1, "")</f>
        <v/>
      </c>
      <c r="AH54" s="1" t="str">
        <f>IF(AND(AND(AND(AH$4&gt;='2025'!$L52,AH$4&lt;='2025'!$M52), AH$4&lt;&gt;DATE(2025,7,4)), (SWITCH(weekday(AH$4), 1, 0, 2, if(ISBLANK('2025'!$P52), 0, 1), 3, if(ISBLANK('2025'!$Q52), 0, 1), 4, if(ISBLANK('2025'!$R52), 0, 1), 5, if(ISBLANK('2025'!$S52), 0, 1), 6, if(ISBLANK('2025'!$T52), 0, 1), 7, 0))), 1, "")</f>
        <v/>
      </c>
      <c r="AI54" s="1" t="str">
        <f>IF(AND(AND(AND(AI$4&gt;='2025'!$L52,AI$4&lt;='2025'!$M52), AI$4&lt;&gt;DATE(2025,7,4)), (SWITCH(weekday(AI$4), 1, 0, 2, if(ISBLANK('2025'!$P52), 0, 1), 3, if(ISBLANK('2025'!$Q52), 0, 1), 4, if(ISBLANK('2025'!$R52), 0, 1), 5, if(ISBLANK('2025'!$S52), 0, 1), 6, if(ISBLANK('2025'!$T52), 0, 1), 7, 0))), 1, "")</f>
        <v/>
      </c>
      <c r="AJ54" s="1" t="str">
        <f>IF(AND(AND(AND(AJ$4&gt;='2025'!$L52,AJ$4&lt;='2025'!$M52), AJ$4&lt;&gt;DATE(2025,7,4)), (SWITCH(weekday(AJ$4), 1, 0, 2, if(ISBLANK('2025'!$P52), 0, 1), 3, if(ISBLANK('2025'!$Q52), 0, 1), 4, if(ISBLANK('2025'!$R52), 0, 1), 5, if(ISBLANK('2025'!$S52), 0, 1), 6, if(ISBLANK('2025'!$T52), 0, 1), 7, 0))), 1, "")</f>
        <v/>
      </c>
      <c r="AK54" s="1" t="str">
        <f>IF(AND(AND(AND(AK$4&gt;='2025'!$L52,AK$4&lt;='2025'!$M52), AK$4&lt;&gt;DATE(2025,7,4)), (SWITCH(weekday(AK$4), 1, 0, 2, if(ISBLANK('2025'!$P52), 0, 1), 3, if(ISBLANK('2025'!$Q52), 0, 1), 4, if(ISBLANK('2025'!$R52), 0, 1), 5, if(ISBLANK('2025'!$S52), 0, 1), 6, if(ISBLANK('2025'!$T52), 0, 1), 7, 0))), 1, "")</f>
        <v/>
      </c>
      <c r="AL54" s="1" t="str">
        <f>IF(AND(AND(AND(AL$4&gt;='2025'!$L52,AL$4&lt;='2025'!$M52), AL$4&lt;&gt;DATE(2025,7,4)), (SWITCH(weekday(AL$4), 1, 0, 2, if(ISBLANK('2025'!$P52), 0, 1), 3, if(ISBLANK('2025'!$Q52), 0, 1), 4, if(ISBLANK('2025'!$R52), 0, 1), 5, if(ISBLANK('2025'!$S52), 0, 1), 6, if(ISBLANK('2025'!$T52), 0, 1), 7, 0))), 1, "")</f>
        <v/>
      </c>
      <c r="AM54" s="1" t="str">
        <f>IF(AND(AND(AND(AM$4&gt;='2025'!$L52,AM$4&lt;='2025'!$M52), AM$4&lt;&gt;DATE(2025,7,4)), (SWITCH(weekday(AM$4), 1, 0, 2, if(ISBLANK('2025'!$P52), 0, 1), 3, if(ISBLANK('2025'!$Q52), 0, 1), 4, if(ISBLANK('2025'!$R52), 0, 1), 5, if(ISBLANK('2025'!$S52), 0, 1), 6, if(ISBLANK('2025'!$T52), 0, 1), 7, 0))), 1, "")</f>
        <v/>
      </c>
      <c r="AN54" s="1" t="str">
        <f>IF(AND(AND(AND(AN$4&gt;='2025'!$L52,AN$4&lt;='2025'!$M52), AN$4&lt;&gt;DATE(2025,7,4)), (SWITCH(weekday(AN$4), 1, 0, 2, if(ISBLANK('2025'!$P52), 0, 1), 3, if(ISBLANK('2025'!$Q52), 0, 1), 4, if(ISBLANK('2025'!$R52), 0, 1), 5, if(ISBLANK('2025'!$S52), 0, 1), 6, if(ISBLANK('2025'!$T52), 0, 1), 7, 0))), 1, "")</f>
        <v/>
      </c>
      <c r="AO54" s="1" t="str">
        <f>IF(AND(AND(AND(AO$4&gt;='2025'!$L52,AO$4&lt;='2025'!$M52), AO$4&lt;&gt;DATE(2025,7,4)), (SWITCH(weekday(AO$4), 1, 0, 2, if(ISBLANK('2025'!$P52), 0, 1), 3, if(ISBLANK('2025'!$Q52), 0, 1), 4, if(ISBLANK('2025'!$R52), 0, 1), 5, if(ISBLANK('2025'!$S52), 0, 1), 6, if(ISBLANK('2025'!$T52), 0, 1), 7, 0))), 1, "")</f>
        <v/>
      </c>
      <c r="AP54" s="1" t="str">
        <f>IF(AND(AND(AND(AP$4&gt;='2025'!$L52,AP$4&lt;='2025'!$M52), AP$4&lt;&gt;DATE(2025,7,4)), (SWITCH(weekday(AP$4), 1, 0, 2, if(ISBLANK('2025'!$P52), 0, 1), 3, if(ISBLANK('2025'!$Q52), 0, 1), 4, if(ISBLANK('2025'!$R52), 0, 1), 5, if(ISBLANK('2025'!$S52), 0, 1), 6, if(ISBLANK('2025'!$T52), 0, 1), 7, 0))), 1, "")</f>
        <v/>
      </c>
      <c r="AQ54" s="1" t="str">
        <f>IF(AND(AND(AND(AQ$4&gt;='2025'!$L52,AQ$4&lt;='2025'!$M52), AQ$4&lt;&gt;DATE(2025,7,4)), (SWITCH(weekday(AQ$4), 1, 0, 2, if(ISBLANK('2025'!$P52), 0, 1), 3, if(ISBLANK('2025'!$Q52), 0, 1), 4, if(ISBLANK('2025'!$R52), 0, 1), 5, if(ISBLANK('2025'!$S52), 0, 1), 6, if(ISBLANK('2025'!$T52), 0, 1), 7, 0))), 1, "")</f>
        <v/>
      </c>
      <c r="AR54" s="1" t="str">
        <f>IF(AND(AND(AND(AR$4&gt;='2025'!$L52,AR$4&lt;='2025'!$M52), AR$4&lt;&gt;DATE(2025,7,4)), (SWITCH(weekday(AR$4), 1, 0, 2, if(ISBLANK('2025'!$P52), 0, 1), 3, if(ISBLANK('2025'!$Q52), 0, 1), 4, if(ISBLANK('2025'!$R52), 0, 1), 5, if(ISBLANK('2025'!$S52), 0, 1), 6, if(ISBLANK('2025'!$T52), 0, 1), 7, 0))), 1, "")</f>
        <v/>
      </c>
      <c r="AS54" s="1" t="str">
        <f>IF(AND(AND(AND(AS$4&gt;='2025'!$L52,AS$4&lt;='2025'!$M52), AS$4&lt;&gt;DATE(2025,7,4)), (SWITCH(weekday(AS$4), 1, 0, 2, if(ISBLANK('2025'!$P52), 0, 1), 3, if(ISBLANK('2025'!$Q52), 0, 1), 4, if(ISBLANK('2025'!$R52), 0, 1), 5, if(ISBLANK('2025'!$S52), 0, 1), 6, if(ISBLANK('2025'!$T52), 0, 1), 7, 0))), 1, "")</f>
        <v/>
      </c>
      <c r="AT54" s="1" t="str">
        <f>IF(AND(AND(AND(AT$4&gt;='2025'!$L52,AT$4&lt;='2025'!$M52), AT$4&lt;&gt;DATE(2025,7,4)), (SWITCH(weekday(AT$4), 1, 0, 2, if(ISBLANK('2025'!$P52), 0, 1), 3, if(ISBLANK('2025'!$Q52), 0, 1), 4, if(ISBLANK('2025'!$R52), 0, 1), 5, if(ISBLANK('2025'!$S52), 0, 1), 6, if(ISBLANK('2025'!$T52), 0, 1), 7, 0))), 1, "")</f>
        <v/>
      </c>
      <c r="AU54" s="1" t="str">
        <f>IF(AND(AND(AND(AU$4&gt;='2025'!$L52,AU$4&lt;='2025'!$M52), AU$4&lt;&gt;DATE(2025,7,4)), (SWITCH(weekday(AU$4), 1, 0, 2, if(ISBLANK('2025'!$P52), 0, 1), 3, if(ISBLANK('2025'!$Q52), 0, 1), 4, if(ISBLANK('2025'!$R52), 0, 1), 5, if(ISBLANK('2025'!$S52), 0, 1), 6, if(ISBLANK('2025'!$T52), 0, 1), 7, 0))), 1, "")</f>
        <v/>
      </c>
      <c r="AV54" s="1" t="str">
        <f>IF(AND(AND(AND(AV$4&gt;='2025'!$L52,AV$4&lt;='2025'!$M52), AV$4&lt;&gt;DATE(2025,7,4)), (SWITCH(weekday(AV$4), 1, 0, 2, if(ISBLANK('2025'!$P52), 0, 1), 3, if(ISBLANK('2025'!$Q52), 0, 1), 4, if(ISBLANK('2025'!$R52), 0, 1), 5, if(ISBLANK('2025'!$S52), 0, 1), 6, if(ISBLANK('2025'!$T52), 0, 1), 7, 0))), 1, "")</f>
        <v/>
      </c>
      <c r="AW54" s="1" t="str">
        <f>IF(AND(AND(AND(AW$4&gt;='2025'!$L52,AW$4&lt;='2025'!$M52), AW$4&lt;&gt;DATE(2025,7,4)), (SWITCH(weekday(AW$4), 1, 0, 2, if(ISBLANK('2025'!$P52), 0, 1), 3, if(ISBLANK('2025'!$Q52), 0, 1), 4, if(ISBLANK('2025'!$R52), 0, 1), 5, if(ISBLANK('2025'!$S52), 0, 1), 6, if(ISBLANK('2025'!$T52), 0, 1), 7, 0))), 1, "")</f>
        <v/>
      </c>
      <c r="AX54" s="1" t="str">
        <f>IF(AND(AND(AND(AX$4&gt;='2025'!$L52,AX$4&lt;='2025'!$M52), AX$4&lt;&gt;DATE(2025,7,4)), (SWITCH(weekday(AX$4), 1, 0, 2, if(ISBLANK('2025'!$P52), 0, 1), 3, if(ISBLANK('2025'!$Q52), 0, 1), 4, if(ISBLANK('2025'!$R52), 0, 1), 5, if(ISBLANK('2025'!$S52), 0, 1), 6, if(ISBLANK('2025'!$T52), 0, 1), 7, 0))), 1, "")</f>
        <v/>
      </c>
      <c r="AY54" s="1" t="str">
        <f>IF(AND(AND(AND(AY$4&gt;='2025'!$L52,AY$4&lt;='2025'!$M52), AY$4&lt;&gt;DATE(2025,7,4)), (SWITCH(weekday(AY$4), 1, 0, 2, if(ISBLANK('2025'!$P52), 0, 1), 3, if(ISBLANK('2025'!$Q52), 0, 1), 4, if(ISBLANK('2025'!$R52), 0, 1), 5, if(ISBLANK('2025'!$S52), 0, 1), 6, if(ISBLANK('2025'!$T52), 0, 1), 7, 0))), 1, "")</f>
        <v/>
      </c>
      <c r="AZ54" s="1" t="str">
        <f>IF(AND(AND(AND(AZ$4&gt;='2025'!$L52,AZ$4&lt;='2025'!$M52), AZ$4&lt;&gt;DATE(2025,7,4)), (SWITCH(weekday(AZ$4), 1, 0, 2, if(ISBLANK('2025'!$P52), 0, 1), 3, if(ISBLANK('2025'!$Q52), 0, 1), 4, if(ISBLANK('2025'!$R52), 0, 1), 5, if(ISBLANK('2025'!$S52), 0, 1), 6, if(ISBLANK('2025'!$T52), 0, 1), 7, 0))), 1, "")</f>
        <v/>
      </c>
      <c r="BA54" s="1" t="str">
        <f>IF(AND(AND(AND(BA$4&gt;='2025'!$L52,BA$4&lt;='2025'!$M52), BA$4&lt;&gt;DATE(2025,7,4)), (SWITCH(weekday(BA$4), 1, 0, 2, if(ISBLANK('2025'!$P52), 0, 1), 3, if(ISBLANK('2025'!$Q52), 0, 1), 4, if(ISBLANK('2025'!$R52), 0, 1), 5, if(ISBLANK('2025'!$S52), 0, 1), 6, if(ISBLANK('2025'!$T52), 0, 1), 7, 0))), 1, "")</f>
        <v/>
      </c>
      <c r="BB54" s="1" t="str">
        <f>IF(AND(AND(AND(BB$4&gt;='2025'!$L52,BB$4&lt;='2025'!$M52), BB$4&lt;&gt;DATE(2025,7,4)), (SWITCH(weekday(BB$4), 1, 0, 2, if(ISBLANK('2025'!$P52), 0, 1), 3, if(ISBLANK('2025'!$Q52), 0, 1), 4, if(ISBLANK('2025'!$R52), 0, 1), 5, if(ISBLANK('2025'!$S52), 0, 1), 6, if(ISBLANK('2025'!$T52), 0, 1), 7, 0))), 1, "")</f>
        <v/>
      </c>
      <c r="BC54" s="1" t="str">
        <f>IF(AND(AND(AND(BC$4&gt;='2025'!$L52,BC$4&lt;='2025'!$M52), BC$4&lt;&gt;DATE(2025,7,4)), (SWITCH(weekday(BC$4), 1, 0, 2, if(ISBLANK('2025'!$P52), 0, 1), 3, if(ISBLANK('2025'!$Q52), 0, 1), 4, if(ISBLANK('2025'!$R52), 0, 1), 5, if(ISBLANK('2025'!$S52), 0, 1), 6, if(ISBLANK('2025'!$T52), 0, 1), 7, 0))), 1, "")</f>
        <v/>
      </c>
      <c r="BD54" s="1" t="str">
        <f>IF(AND(AND(AND(BD$4&gt;='2025'!$L52,BD$4&lt;='2025'!$M52), BD$4&lt;&gt;DATE(2025,7,4)), (SWITCH(weekday(BD$4), 1, 0, 2, if(ISBLANK('2025'!$P52), 0, 1), 3, if(ISBLANK('2025'!$Q52), 0, 1), 4, if(ISBLANK('2025'!$R52), 0, 1), 5, if(ISBLANK('2025'!$S52), 0, 1), 6, if(ISBLANK('2025'!$T52), 0, 1), 7, 0))), 1, "")</f>
        <v/>
      </c>
      <c r="BE54" s="1" t="str">
        <f>IF(AND(AND(AND(BE$4&gt;='2025'!$L52,BE$4&lt;='2025'!$M52), BE$4&lt;&gt;DATE(2025,7,4)), (SWITCH(weekday(BE$4), 1, 0, 2, if(ISBLANK('2025'!$P52), 0, 1), 3, if(ISBLANK('2025'!$Q52), 0, 1), 4, if(ISBLANK('2025'!$R52), 0, 1), 5, if(ISBLANK('2025'!$S52), 0, 1), 6, if(ISBLANK('2025'!$T52), 0, 1), 7, 0))), 1, "")</f>
        <v/>
      </c>
      <c r="BF54" s="1" t="str">
        <f>IF(AND(AND(AND(BF$4&gt;='2025'!$L52,BF$4&lt;='2025'!$M52), BF$4&lt;&gt;DATE(2025,7,4)), (SWITCH(weekday(BF$4), 1, 0, 2, if(ISBLANK('2025'!$P52), 0, 1), 3, if(ISBLANK('2025'!$Q52), 0, 1), 4, if(ISBLANK('2025'!$R52), 0, 1), 5, if(ISBLANK('2025'!$S52), 0, 1), 6, if(ISBLANK('2025'!$T52), 0, 1), 7, 0))), 1, "")</f>
        <v/>
      </c>
      <c r="BG54" s="1"/>
      <c r="BH54" s="1"/>
      <c r="BI54" s="1"/>
      <c r="BJ54" s="1"/>
      <c r="BK54" s="1"/>
      <c r="BL54" s="1"/>
    </row>
    <row r="55">
      <c r="A55" s="1">
        <f t="shared" si="3"/>
        <v>55</v>
      </c>
      <c r="B55" s="1" t="str">
        <f>'2025'!D53</f>
        <v>Brady, Aiden </v>
      </c>
      <c r="C55" s="1" t="str">
        <f>'2025'!H53</f>
        <v>PK3</v>
      </c>
      <c r="D55" s="1" t="str">
        <f>IF(AND(AND(AND(D$4&gt;='2025'!$L53,D$4&lt;='2025'!$M53), D$4&lt;&gt;DATE(2025,7,4)), (SWITCH(weekday(D$4), 1, 0, 2, if(ISBLANK('2025'!$P53), 0, 1), 3, if(ISBLANK('2025'!$Q53), 0, 1), 4, if(ISBLANK('2025'!$R53), 0, 1), 5, if(ISBLANK('2025'!$S53), 0, 1), 6, if(ISBLANK('2025'!$T53), 0, 1), 7, 0))), 1, "")</f>
        <v/>
      </c>
      <c r="E55" s="1" t="str">
        <f>IF(AND(AND(AND(E$4&gt;='2025'!$L53,E$4&lt;='2025'!$M53), E$4&lt;&gt;DATE(2025,7,4)), (SWITCH(weekday(E$4), 1, 0, 2, if(ISBLANK('2025'!$P53), 0, 1), 3, if(ISBLANK('2025'!$Q53), 0, 1), 4, if(ISBLANK('2025'!$R53), 0, 1), 5, if(ISBLANK('2025'!$S53), 0, 1), 6, if(ISBLANK('2025'!$T53), 0, 1), 7, 0))), 1, "")</f>
        <v/>
      </c>
      <c r="F55" s="1" t="str">
        <f>IF(AND(AND(AND(F$4&gt;='2025'!$L53,F$4&lt;='2025'!$M53), F$4&lt;&gt;DATE(2025,7,4)), (SWITCH(weekday(F$4), 1, 0, 2, if(ISBLANK('2025'!$P53), 0, 1), 3, if(ISBLANK('2025'!$Q53), 0, 1), 4, if(ISBLANK('2025'!$R53), 0, 1), 5, if(ISBLANK('2025'!$S53), 0, 1), 6, if(ISBLANK('2025'!$T53), 0, 1), 7, 0))), 1, "")</f>
        <v/>
      </c>
      <c r="G55" s="1" t="str">
        <f>IF(AND(AND(AND(G$4&gt;='2025'!$L53,G$4&lt;='2025'!$M53), G$4&lt;&gt;DATE(2025,7,4)), (SWITCH(weekday(G$4), 1, 0, 2, if(ISBLANK('2025'!$P53), 0, 1), 3, if(ISBLANK('2025'!$Q53), 0, 1), 4, if(ISBLANK('2025'!$R53), 0, 1), 5, if(ISBLANK('2025'!$S53), 0, 1), 6, if(ISBLANK('2025'!$T53), 0, 1), 7, 0))), 1, "")</f>
        <v/>
      </c>
      <c r="H55" s="1" t="str">
        <f>IF(AND(AND(AND(H$4&gt;='2025'!$L53,H$4&lt;='2025'!$M53), H$4&lt;&gt;DATE(2025,7,4)), (SWITCH(weekday(H$4), 1, 0, 2, if(ISBLANK('2025'!$P53), 0, 1), 3, if(ISBLANK('2025'!$Q53), 0, 1), 4, if(ISBLANK('2025'!$R53), 0, 1), 5, if(ISBLANK('2025'!$S53), 0, 1), 6, if(ISBLANK('2025'!$T53), 0, 1), 7, 0))), 1, "")</f>
        <v/>
      </c>
      <c r="I55" s="1" t="str">
        <f>IF(AND(AND(AND(I$4&gt;='2025'!$L53,I$4&lt;='2025'!$M53), I$4&lt;&gt;DATE(2025,7,4)), (SWITCH(weekday(I$4), 1, 0, 2, if(ISBLANK('2025'!$P53), 0, 1), 3, if(ISBLANK('2025'!$Q53), 0, 1), 4, if(ISBLANK('2025'!$R53), 0, 1), 5, if(ISBLANK('2025'!$S53), 0, 1), 6, if(ISBLANK('2025'!$T53), 0, 1), 7, 0))), 1, "")</f>
        <v/>
      </c>
      <c r="J55" s="1" t="str">
        <f>IF(AND(AND(AND(J$4&gt;='2025'!$L53,J$4&lt;='2025'!$M53), J$4&lt;&gt;DATE(2025,7,4)), (SWITCH(weekday(J$4), 1, 0, 2, if(ISBLANK('2025'!$P53), 0, 1), 3, if(ISBLANK('2025'!$Q53), 0, 1), 4, if(ISBLANK('2025'!$R53), 0, 1), 5, if(ISBLANK('2025'!$S53), 0, 1), 6, if(ISBLANK('2025'!$T53), 0, 1), 7, 0))), 1, "")</f>
        <v/>
      </c>
      <c r="K55" s="1" t="str">
        <f>IF(AND(AND(AND(K$4&gt;='2025'!$L53,K$4&lt;='2025'!$M53), K$4&lt;&gt;DATE(2025,7,4)), (SWITCH(weekday(K$4), 1, 0, 2, if(ISBLANK('2025'!$P53), 0, 1), 3, if(ISBLANK('2025'!$Q53), 0, 1), 4, if(ISBLANK('2025'!$R53), 0, 1), 5, if(ISBLANK('2025'!$S53), 0, 1), 6, if(ISBLANK('2025'!$T53), 0, 1), 7, 0))), 1, "")</f>
        <v/>
      </c>
      <c r="L55" s="1" t="str">
        <f>IF(AND(AND(AND(L$4&gt;='2025'!$L53,L$4&lt;='2025'!$M53), L$4&lt;&gt;DATE(2025,7,4)), (SWITCH(weekday(L$4), 1, 0, 2, if(ISBLANK('2025'!$P53), 0, 1), 3, if(ISBLANK('2025'!$Q53), 0, 1), 4, if(ISBLANK('2025'!$R53), 0, 1), 5, if(ISBLANK('2025'!$S53), 0, 1), 6, if(ISBLANK('2025'!$T53), 0, 1), 7, 0))), 1, "")</f>
        <v/>
      </c>
      <c r="M55" s="1" t="str">
        <f>IF(AND(AND(AND(M$4&gt;='2025'!$L53,M$4&lt;='2025'!$M53), M$4&lt;&gt;DATE(2025,7,4)), (SWITCH(weekday(M$4), 1, 0, 2, if(ISBLANK('2025'!$P53), 0, 1), 3, if(ISBLANK('2025'!$Q53), 0, 1), 4, if(ISBLANK('2025'!$R53), 0, 1), 5, if(ISBLANK('2025'!$S53), 0, 1), 6, if(ISBLANK('2025'!$T53), 0, 1), 7, 0))), 1, "")</f>
        <v/>
      </c>
      <c r="N55" s="1" t="str">
        <f>IF(AND(AND(AND(N$4&gt;='2025'!$L53,N$4&lt;='2025'!$M53), N$4&lt;&gt;DATE(2025,7,4)), (SWITCH(weekday(N$4), 1, 0, 2, if(ISBLANK('2025'!$P53), 0, 1), 3, if(ISBLANK('2025'!$Q53), 0, 1), 4, if(ISBLANK('2025'!$R53), 0, 1), 5, if(ISBLANK('2025'!$S53), 0, 1), 6, if(ISBLANK('2025'!$T53), 0, 1), 7, 0))), 1, "")</f>
        <v/>
      </c>
      <c r="O55" s="1" t="str">
        <f>IF(AND(AND(AND(O$4&gt;='2025'!$L53,O$4&lt;='2025'!$M53), O$4&lt;&gt;DATE(2025,7,4)), (SWITCH(weekday(O$4), 1, 0, 2, if(ISBLANK('2025'!$P53), 0, 1), 3, if(ISBLANK('2025'!$Q53), 0, 1), 4, if(ISBLANK('2025'!$R53), 0, 1), 5, if(ISBLANK('2025'!$S53), 0, 1), 6, if(ISBLANK('2025'!$T53), 0, 1), 7, 0))), 1, "")</f>
        <v/>
      </c>
      <c r="P55" s="1" t="str">
        <f>IF(AND(AND(AND(P$4&gt;='2025'!$L53,P$4&lt;='2025'!$M53), P$4&lt;&gt;DATE(2025,7,4)), (SWITCH(weekday(P$4), 1, 0, 2, if(ISBLANK('2025'!$P53), 0, 1), 3, if(ISBLANK('2025'!$Q53), 0, 1), 4, if(ISBLANK('2025'!$R53), 0, 1), 5, if(ISBLANK('2025'!$S53), 0, 1), 6, if(ISBLANK('2025'!$T53), 0, 1), 7, 0))), 1, "")</f>
        <v/>
      </c>
      <c r="Q55" s="1" t="str">
        <f>IF(AND(AND(AND(Q$4&gt;='2025'!$L53,Q$4&lt;='2025'!$M53), Q$4&lt;&gt;DATE(2025,7,4)), (SWITCH(weekday(Q$4), 1, 0, 2, if(ISBLANK('2025'!$P53), 0, 1), 3, if(ISBLANK('2025'!$Q53), 0, 1), 4, if(ISBLANK('2025'!$R53), 0, 1), 5, if(ISBLANK('2025'!$S53), 0, 1), 6, if(ISBLANK('2025'!$T53), 0, 1), 7, 0))), 1, "")</f>
        <v/>
      </c>
      <c r="R55" s="1" t="str">
        <f>IF(AND(AND(AND(R$4&gt;='2025'!$L53,R$4&lt;='2025'!$M53), R$4&lt;&gt;DATE(2025,7,4)), (SWITCH(weekday(R$4), 1, 0, 2, if(ISBLANK('2025'!$P53), 0, 1), 3, if(ISBLANK('2025'!$Q53), 0, 1), 4, if(ISBLANK('2025'!$R53), 0, 1), 5, if(ISBLANK('2025'!$S53), 0, 1), 6, if(ISBLANK('2025'!$T53), 0, 1), 7, 0))), 1, "")</f>
        <v/>
      </c>
      <c r="S55" s="1" t="str">
        <f>IF(AND(AND(AND(S$4&gt;='2025'!$L53,S$4&lt;='2025'!$M53), S$4&lt;&gt;DATE(2025,7,4)), (SWITCH(weekday(S$4), 1, 0, 2, if(ISBLANK('2025'!$P53), 0, 1), 3, if(ISBLANK('2025'!$Q53), 0, 1), 4, if(ISBLANK('2025'!$R53), 0, 1), 5, if(ISBLANK('2025'!$S53), 0, 1), 6, if(ISBLANK('2025'!$T53), 0, 1), 7, 0))), 1, "")</f>
        <v/>
      </c>
      <c r="T55" s="1" t="str">
        <f>IF(AND(AND(AND(T$4&gt;='2025'!$L53,T$4&lt;='2025'!$M53), T$4&lt;&gt;DATE(2025,7,4)), (SWITCH(weekday(T$4), 1, 0, 2, if(ISBLANK('2025'!$P53), 0, 1), 3, if(ISBLANK('2025'!$Q53), 0, 1), 4, if(ISBLANK('2025'!$R53), 0, 1), 5, if(ISBLANK('2025'!$S53), 0, 1), 6, if(ISBLANK('2025'!$T53), 0, 1), 7, 0))), 1, "")</f>
        <v/>
      </c>
      <c r="U55" s="1" t="str">
        <f>IF(AND(AND(AND(U$4&gt;='2025'!$L53,U$4&lt;='2025'!$M53), U$4&lt;&gt;DATE(2025,7,4)), (SWITCH(weekday(U$4), 1, 0, 2, if(ISBLANK('2025'!$P53), 0, 1), 3, if(ISBLANK('2025'!$Q53), 0, 1), 4, if(ISBLANK('2025'!$R53), 0, 1), 5, if(ISBLANK('2025'!$S53), 0, 1), 6, if(ISBLANK('2025'!$T53), 0, 1), 7, 0))), 1, "")</f>
        <v/>
      </c>
      <c r="V55" s="1" t="str">
        <f>IF(AND(AND(AND(V$4&gt;='2025'!$L53,V$4&lt;='2025'!$M53), V$4&lt;&gt;DATE(2025,7,4)), (SWITCH(weekday(V$4), 1, 0, 2, if(ISBLANK('2025'!$P53), 0, 1), 3, if(ISBLANK('2025'!$Q53), 0, 1), 4, if(ISBLANK('2025'!$R53), 0, 1), 5, if(ISBLANK('2025'!$S53), 0, 1), 6, if(ISBLANK('2025'!$T53), 0, 1), 7, 0))), 1, "")</f>
        <v/>
      </c>
      <c r="W55" s="1" t="str">
        <f>IF(AND(AND(AND(W$4&gt;='2025'!$L53,W$4&lt;='2025'!$M53), W$4&lt;&gt;DATE(2025,7,4)), (SWITCH(weekday(W$4), 1, 0, 2, if(ISBLANK('2025'!$P53), 0, 1), 3, if(ISBLANK('2025'!$Q53), 0, 1), 4, if(ISBLANK('2025'!$R53), 0, 1), 5, if(ISBLANK('2025'!$S53), 0, 1), 6, if(ISBLANK('2025'!$T53), 0, 1), 7, 0))), 1, "")</f>
        <v/>
      </c>
      <c r="X55" s="1" t="str">
        <f>IF(AND(AND(AND(X$4&gt;='2025'!$L53,X$4&lt;='2025'!$M53), X$4&lt;&gt;DATE(2025,7,4)), (SWITCH(weekday(X$4), 1, 0, 2, if(ISBLANK('2025'!$P53), 0, 1), 3, if(ISBLANK('2025'!$Q53), 0, 1), 4, if(ISBLANK('2025'!$R53), 0, 1), 5, if(ISBLANK('2025'!$S53), 0, 1), 6, if(ISBLANK('2025'!$T53), 0, 1), 7, 0))), 1, "")</f>
        <v/>
      </c>
      <c r="Y55" s="1" t="str">
        <f>IF(AND(AND(AND(Y$4&gt;='2025'!$L53,Y$4&lt;='2025'!$M53), Y$4&lt;&gt;DATE(2025,7,4)), (SWITCH(weekday(Y$4), 1, 0, 2, if(ISBLANK('2025'!$P53), 0, 1), 3, if(ISBLANK('2025'!$Q53), 0, 1), 4, if(ISBLANK('2025'!$R53), 0, 1), 5, if(ISBLANK('2025'!$S53), 0, 1), 6, if(ISBLANK('2025'!$T53), 0, 1), 7, 0))), 1, "")</f>
        <v/>
      </c>
      <c r="Z55" s="1" t="str">
        <f>IF(AND(AND(AND(Z$4&gt;='2025'!$L53,Z$4&lt;='2025'!$M53), Z$4&lt;&gt;DATE(2025,7,4)), (SWITCH(weekday(Z$4), 1, 0, 2, if(ISBLANK('2025'!$P53), 0, 1), 3, if(ISBLANK('2025'!$Q53), 0, 1), 4, if(ISBLANK('2025'!$R53), 0, 1), 5, if(ISBLANK('2025'!$S53), 0, 1), 6, if(ISBLANK('2025'!$T53), 0, 1), 7, 0))), 1, "")</f>
        <v/>
      </c>
      <c r="AA55" s="1" t="str">
        <f>IF(AND(AND(AND(AA$4&gt;='2025'!$L53,AA$4&lt;='2025'!$M53), AA$4&lt;&gt;DATE(2025,7,4)), (SWITCH(weekday(AA$4), 1, 0, 2, if(ISBLANK('2025'!$P53), 0, 1), 3, if(ISBLANK('2025'!$Q53), 0, 1), 4, if(ISBLANK('2025'!$R53), 0, 1), 5, if(ISBLANK('2025'!$S53), 0, 1), 6, if(ISBLANK('2025'!$T53), 0, 1), 7, 0))), 1, "")</f>
        <v/>
      </c>
      <c r="AB55" s="1" t="str">
        <f>IF(AND(AND(AND(AB$4&gt;='2025'!$L53,AB$4&lt;='2025'!$M53), AB$4&lt;&gt;DATE(2025,7,4)), (SWITCH(weekday(AB$4), 1, 0, 2, if(ISBLANK('2025'!$P53), 0, 1), 3, if(ISBLANK('2025'!$Q53), 0, 1), 4, if(ISBLANK('2025'!$R53), 0, 1), 5, if(ISBLANK('2025'!$S53), 0, 1), 6, if(ISBLANK('2025'!$T53), 0, 1), 7, 0))), 1, "")</f>
        <v/>
      </c>
      <c r="AC55" s="1" t="str">
        <f>IF(AND(AND(AND(AC$4&gt;='2025'!$L53,AC$4&lt;='2025'!$M53), AC$4&lt;&gt;DATE(2025,7,4)), (SWITCH(weekday(AC$4), 1, 0, 2, if(ISBLANK('2025'!$P53), 0, 1), 3, if(ISBLANK('2025'!$Q53), 0, 1), 4, if(ISBLANK('2025'!$R53), 0, 1), 5, if(ISBLANK('2025'!$S53), 0, 1), 6, if(ISBLANK('2025'!$T53), 0, 1), 7, 0))), 1, "")</f>
        <v/>
      </c>
      <c r="AD55" s="1" t="str">
        <f>IF(AND(AND(AND(AD$4&gt;='2025'!$L53,AD$4&lt;='2025'!$M53), AD$4&lt;&gt;DATE(2025,7,4)), (SWITCH(weekday(AD$4), 1, 0, 2, if(ISBLANK('2025'!$P53), 0, 1), 3, if(ISBLANK('2025'!$Q53), 0, 1), 4, if(ISBLANK('2025'!$R53), 0, 1), 5, if(ISBLANK('2025'!$S53), 0, 1), 6, if(ISBLANK('2025'!$T53), 0, 1), 7, 0))), 1, "")</f>
        <v/>
      </c>
      <c r="AE55" s="1" t="str">
        <f>IF(AND(AND(AND(AE$4&gt;='2025'!$L53,AE$4&lt;='2025'!$M53), AE$4&lt;&gt;DATE(2025,7,4)), (SWITCH(weekday(AE$4), 1, 0, 2, if(ISBLANK('2025'!$P53), 0, 1), 3, if(ISBLANK('2025'!$Q53), 0, 1), 4, if(ISBLANK('2025'!$R53), 0, 1), 5, if(ISBLANK('2025'!$S53), 0, 1), 6, if(ISBLANK('2025'!$T53), 0, 1), 7, 0))), 1, "")</f>
        <v/>
      </c>
      <c r="AF55" s="1" t="str">
        <f>IF(AND(AND(AND(AF$4&gt;='2025'!$L53,AF$4&lt;='2025'!$M53), AF$4&lt;&gt;DATE(2025,7,4)), (SWITCH(weekday(AF$4), 1, 0, 2, if(ISBLANK('2025'!$P53), 0, 1), 3, if(ISBLANK('2025'!$Q53), 0, 1), 4, if(ISBLANK('2025'!$R53), 0, 1), 5, if(ISBLANK('2025'!$S53), 0, 1), 6, if(ISBLANK('2025'!$T53), 0, 1), 7, 0))), 1, "")</f>
        <v/>
      </c>
      <c r="AG55" s="1" t="str">
        <f>IF(AND(AND(AND(AG$4&gt;='2025'!$L53,AG$4&lt;='2025'!$M53), AG$4&lt;&gt;DATE(2025,7,4)), (SWITCH(weekday(AG$4), 1, 0, 2, if(ISBLANK('2025'!$P53), 0, 1), 3, if(ISBLANK('2025'!$Q53), 0, 1), 4, if(ISBLANK('2025'!$R53), 0, 1), 5, if(ISBLANK('2025'!$S53), 0, 1), 6, if(ISBLANK('2025'!$T53), 0, 1), 7, 0))), 1, "")</f>
        <v/>
      </c>
      <c r="AH55" s="1" t="str">
        <f>IF(AND(AND(AND(AH$4&gt;='2025'!$L53,AH$4&lt;='2025'!$M53), AH$4&lt;&gt;DATE(2025,7,4)), (SWITCH(weekday(AH$4), 1, 0, 2, if(ISBLANK('2025'!$P53), 0, 1), 3, if(ISBLANK('2025'!$Q53), 0, 1), 4, if(ISBLANK('2025'!$R53), 0, 1), 5, if(ISBLANK('2025'!$S53), 0, 1), 6, if(ISBLANK('2025'!$T53), 0, 1), 7, 0))), 1, "")</f>
        <v/>
      </c>
      <c r="AI55" s="1" t="str">
        <f>IF(AND(AND(AND(AI$4&gt;='2025'!$L53,AI$4&lt;='2025'!$M53), AI$4&lt;&gt;DATE(2025,7,4)), (SWITCH(weekday(AI$4), 1, 0, 2, if(ISBLANK('2025'!$P53), 0, 1), 3, if(ISBLANK('2025'!$Q53), 0, 1), 4, if(ISBLANK('2025'!$R53), 0, 1), 5, if(ISBLANK('2025'!$S53), 0, 1), 6, if(ISBLANK('2025'!$T53), 0, 1), 7, 0))), 1, "")</f>
        <v/>
      </c>
      <c r="AJ55" s="1" t="str">
        <f>IF(AND(AND(AND(AJ$4&gt;='2025'!$L53,AJ$4&lt;='2025'!$M53), AJ$4&lt;&gt;DATE(2025,7,4)), (SWITCH(weekday(AJ$4), 1, 0, 2, if(ISBLANK('2025'!$P53), 0, 1), 3, if(ISBLANK('2025'!$Q53), 0, 1), 4, if(ISBLANK('2025'!$R53), 0, 1), 5, if(ISBLANK('2025'!$S53), 0, 1), 6, if(ISBLANK('2025'!$T53), 0, 1), 7, 0))), 1, "")</f>
        <v/>
      </c>
      <c r="AK55" s="1" t="str">
        <f>IF(AND(AND(AND(AK$4&gt;='2025'!$L53,AK$4&lt;='2025'!$M53), AK$4&lt;&gt;DATE(2025,7,4)), (SWITCH(weekday(AK$4), 1, 0, 2, if(ISBLANK('2025'!$P53), 0, 1), 3, if(ISBLANK('2025'!$Q53), 0, 1), 4, if(ISBLANK('2025'!$R53), 0, 1), 5, if(ISBLANK('2025'!$S53), 0, 1), 6, if(ISBLANK('2025'!$T53), 0, 1), 7, 0))), 1, "")</f>
        <v/>
      </c>
      <c r="AL55" s="1" t="str">
        <f>IF(AND(AND(AND(AL$4&gt;='2025'!$L53,AL$4&lt;='2025'!$M53), AL$4&lt;&gt;DATE(2025,7,4)), (SWITCH(weekday(AL$4), 1, 0, 2, if(ISBLANK('2025'!$P53), 0, 1), 3, if(ISBLANK('2025'!$Q53), 0, 1), 4, if(ISBLANK('2025'!$R53), 0, 1), 5, if(ISBLANK('2025'!$S53), 0, 1), 6, if(ISBLANK('2025'!$T53), 0, 1), 7, 0))), 1, "")</f>
        <v/>
      </c>
      <c r="AM55" s="1" t="str">
        <f>IF(AND(AND(AND(AM$4&gt;='2025'!$L53,AM$4&lt;='2025'!$M53), AM$4&lt;&gt;DATE(2025,7,4)), (SWITCH(weekday(AM$4), 1, 0, 2, if(ISBLANK('2025'!$P53), 0, 1), 3, if(ISBLANK('2025'!$Q53), 0, 1), 4, if(ISBLANK('2025'!$R53), 0, 1), 5, if(ISBLANK('2025'!$S53), 0, 1), 6, if(ISBLANK('2025'!$T53), 0, 1), 7, 0))), 1, "")</f>
        <v/>
      </c>
      <c r="AN55" s="1" t="str">
        <f>IF(AND(AND(AND(AN$4&gt;='2025'!$L53,AN$4&lt;='2025'!$M53), AN$4&lt;&gt;DATE(2025,7,4)), (SWITCH(weekday(AN$4), 1, 0, 2, if(ISBLANK('2025'!$P53), 0, 1), 3, if(ISBLANK('2025'!$Q53), 0, 1), 4, if(ISBLANK('2025'!$R53), 0, 1), 5, if(ISBLANK('2025'!$S53), 0, 1), 6, if(ISBLANK('2025'!$T53), 0, 1), 7, 0))), 1, "")</f>
        <v/>
      </c>
      <c r="AO55" s="1" t="str">
        <f>IF(AND(AND(AND(AO$4&gt;='2025'!$L53,AO$4&lt;='2025'!$M53), AO$4&lt;&gt;DATE(2025,7,4)), (SWITCH(weekday(AO$4), 1, 0, 2, if(ISBLANK('2025'!$P53), 0, 1), 3, if(ISBLANK('2025'!$Q53), 0, 1), 4, if(ISBLANK('2025'!$R53), 0, 1), 5, if(ISBLANK('2025'!$S53), 0, 1), 6, if(ISBLANK('2025'!$T53), 0, 1), 7, 0))), 1, "")</f>
        <v/>
      </c>
      <c r="AP55" s="1" t="str">
        <f>IF(AND(AND(AND(AP$4&gt;='2025'!$L53,AP$4&lt;='2025'!$M53), AP$4&lt;&gt;DATE(2025,7,4)), (SWITCH(weekday(AP$4), 1, 0, 2, if(ISBLANK('2025'!$P53), 0, 1), 3, if(ISBLANK('2025'!$Q53), 0, 1), 4, if(ISBLANK('2025'!$R53), 0, 1), 5, if(ISBLANK('2025'!$S53), 0, 1), 6, if(ISBLANK('2025'!$T53), 0, 1), 7, 0))), 1, "")</f>
        <v/>
      </c>
      <c r="AQ55" s="1" t="str">
        <f>IF(AND(AND(AND(AQ$4&gt;='2025'!$L53,AQ$4&lt;='2025'!$M53), AQ$4&lt;&gt;DATE(2025,7,4)), (SWITCH(weekday(AQ$4), 1, 0, 2, if(ISBLANK('2025'!$P53), 0, 1), 3, if(ISBLANK('2025'!$Q53), 0, 1), 4, if(ISBLANK('2025'!$R53), 0, 1), 5, if(ISBLANK('2025'!$S53), 0, 1), 6, if(ISBLANK('2025'!$T53), 0, 1), 7, 0))), 1, "")</f>
        <v/>
      </c>
      <c r="AR55" s="1" t="str">
        <f>IF(AND(AND(AND(AR$4&gt;='2025'!$L53,AR$4&lt;='2025'!$M53), AR$4&lt;&gt;DATE(2025,7,4)), (SWITCH(weekday(AR$4), 1, 0, 2, if(ISBLANK('2025'!$P53), 0, 1), 3, if(ISBLANK('2025'!$Q53), 0, 1), 4, if(ISBLANK('2025'!$R53), 0, 1), 5, if(ISBLANK('2025'!$S53), 0, 1), 6, if(ISBLANK('2025'!$T53), 0, 1), 7, 0))), 1, "")</f>
        <v/>
      </c>
      <c r="AS55" s="1" t="str">
        <f>IF(AND(AND(AND(AS$4&gt;='2025'!$L53,AS$4&lt;='2025'!$M53), AS$4&lt;&gt;DATE(2025,7,4)), (SWITCH(weekday(AS$4), 1, 0, 2, if(ISBLANK('2025'!$P53), 0, 1), 3, if(ISBLANK('2025'!$Q53), 0, 1), 4, if(ISBLANK('2025'!$R53), 0, 1), 5, if(ISBLANK('2025'!$S53), 0, 1), 6, if(ISBLANK('2025'!$T53), 0, 1), 7, 0))), 1, "")</f>
        <v/>
      </c>
      <c r="AT55" s="1" t="str">
        <f>IF(AND(AND(AND(AT$4&gt;='2025'!$L53,AT$4&lt;='2025'!$M53), AT$4&lt;&gt;DATE(2025,7,4)), (SWITCH(weekday(AT$4), 1, 0, 2, if(ISBLANK('2025'!$P53), 0, 1), 3, if(ISBLANK('2025'!$Q53), 0, 1), 4, if(ISBLANK('2025'!$R53), 0, 1), 5, if(ISBLANK('2025'!$S53), 0, 1), 6, if(ISBLANK('2025'!$T53), 0, 1), 7, 0))), 1, "")</f>
        <v/>
      </c>
      <c r="AU55" s="1" t="str">
        <f>IF(AND(AND(AND(AU$4&gt;='2025'!$L53,AU$4&lt;='2025'!$M53), AU$4&lt;&gt;DATE(2025,7,4)), (SWITCH(weekday(AU$4), 1, 0, 2, if(ISBLANK('2025'!$P53), 0, 1), 3, if(ISBLANK('2025'!$Q53), 0, 1), 4, if(ISBLANK('2025'!$R53), 0, 1), 5, if(ISBLANK('2025'!$S53), 0, 1), 6, if(ISBLANK('2025'!$T53), 0, 1), 7, 0))), 1, "")</f>
        <v/>
      </c>
      <c r="AV55" s="1" t="str">
        <f>IF(AND(AND(AND(AV$4&gt;='2025'!$L53,AV$4&lt;='2025'!$M53), AV$4&lt;&gt;DATE(2025,7,4)), (SWITCH(weekday(AV$4), 1, 0, 2, if(ISBLANK('2025'!$P53), 0, 1), 3, if(ISBLANK('2025'!$Q53), 0, 1), 4, if(ISBLANK('2025'!$R53), 0, 1), 5, if(ISBLANK('2025'!$S53), 0, 1), 6, if(ISBLANK('2025'!$T53), 0, 1), 7, 0))), 1, "")</f>
        <v/>
      </c>
      <c r="AW55" s="1" t="str">
        <f>IF(AND(AND(AND(AW$4&gt;='2025'!$L53,AW$4&lt;='2025'!$M53), AW$4&lt;&gt;DATE(2025,7,4)), (SWITCH(weekday(AW$4), 1, 0, 2, if(ISBLANK('2025'!$P53), 0, 1), 3, if(ISBLANK('2025'!$Q53), 0, 1), 4, if(ISBLANK('2025'!$R53), 0, 1), 5, if(ISBLANK('2025'!$S53), 0, 1), 6, if(ISBLANK('2025'!$T53), 0, 1), 7, 0))), 1, "")</f>
        <v/>
      </c>
      <c r="AX55" s="1" t="str">
        <f>IF(AND(AND(AND(AX$4&gt;='2025'!$L53,AX$4&lt;='2025'!$M53), AX$4&lt;&gt;DATE(2025,7,4)), (SWITCH(weekday(AX$4), 1, 0, 2, if(ISBLANK('2025'!$P53), 0, 1), 3, if(ISBLANK('2025'!$Q53), 0, 1), 4, if(ISBLANK('2025'!$R53), 0, 1), 5, if(ISBLANK('2025'!$S53), 0, 1), 6, if(ISBLANK('2025'!$T53), 0, 1), 7, 0))), 1, "")</f>
        <v/>
      </c>
      <c r="AY55" s="1" t="str">
        <f>IF(AND(AND(AND(AY$4&gt;='2025'!$L53,AY$4&lt;='2025'!$M53), AY$4&lt;&gt;DATE(2025,7,4)), (SWITCH(weekday(AY$4), 1, 0, 2, if(ISBLANK('2025'!$P53), 0, 1), 3, if(ISBLANK('2025'!$Q53), 0, 1), 4, if(ISBLANK('2025'!$R53), 0, 1), 5, if(ISBLANK('2025'!$S53), 0, 1), 6, if(ISBLANK('2025'!$T53), 0, 1), 7, 0))), 1, "")</f>
        <v/>
      </c>
      <c r="AZ55" s="1" t="str">
        <f>IF(AND(AND(AND(AZ$4&gt;='2025'!$L53,AZ$4&lt;='2025'!$M53), AZ$4&lt;&gt;DATE(2025,7,4)), (SWITCH(weekday(AZ$4), 1, 0, 2, if(ISBLANK('2025'!$P53), 0, 1), 3, if(ISBLANK('2025'!$Q53), 0, 1), 4, if(ISBLANK('2025'!$R53), 0, 1), 5, if(ISBLANK('2025'!$S53), 0, 1), 6, if(ISBLANK('2025'!$T53), 0, 1), 7, 0))), 1, "")</f>
        <v/>
      </c>
      <c r="BA55" s="1" t="str">
        <f>IF(AND(AND(AND(BA$4&gt;='2025'!$L53,BA$4&lt;='2025'!$M53), BA$4&lt;&gt;DATE(2025,7,4)), (SWITCH(weekday(BA$4), 1, 0, 2, if(ISBLANK('2025'!$P53), 0, 1), 3, if(ISBLANK('2025'!$Q53), 0, 1), 4, if(ISBLANK('2025'!$R53), 0, 1), 5, if(ISBLANK('2025'!$S53), 0, 1), 6, if(ISBLANK('2025'!$T53), 0, 1), 7, 0))), 1, "")</f>
        <v/>
      </c>
      <c r="BB55" s="1" t="str">
        <f>IF(AND(AND(AND(BB$4&gt;='2025'!$L53,BB$4&lt;='2025'!$M53), BB$4&lt;&gt;DATE(2025,7,4)), (SWITCH(weekday(BB$4), 1, 0, 2, if(ISBLANK('2025'!$P53), 0, 1), 3, if(ISBLANK('2025'!$Q53), 0, 1), 4, if(ISBLANK('2025'!$R53), 0, 1), 5, if(ISBLANK('2025'!$S53), 0, 1), 6, if(ISBLANK('2025'!$T53), 0, 1), 7, 0))), 1, "")</f>
        <v/>
      </c>
      <c r="BC55" s="1" t="str">
        <f>IF(AND(AND(AND(BC$4&gt;='2025'!$L53,BC$4&lt;='2025'!$M53), BC$4&lt;&gt;DATE(2025,7,4)), (SWITCH(weekday(BC$4), 1, 0, 2, if(ISBLANK('2025'!$P53), 0, 1), 3, if(ISBLANK('2025'!$Q53), 0, 1), 4, if(ISBLANK('2025'!$R53), 0, 1), 5, if(ISBLANK('2025'!$S53), 0, 1), 6, if(ISBLANK('2025'!$T53), 0, 1), 7, 0))), 1, "")</f>
        <v/>
      </c>
      <c r="BD55" s="1" t="str">
        <f>IF(AND(AND(AND(BD$4&gt;='2025'!$L53,BD$4&lt;='2025'!$M53), BD$4&lt;&gt;DATE(2025,7,4)), (SWITCH(weekday(BD$4), 1, 0, 2, if(ISBLANK('2025'!$P53), 0, 1), 3, if(ISBLANK('2025'!$Q53), 0, 1), 4, if(ISBLANK('2025'!$R53), 0, 1), 5, if(ISBLANK('2025'!$S53), 0, 1), 6, if(ISBLANK('2025'!$T53), 0, 1), 7, 0))), 1, "")</f>
        <v/>
      </c>
      <c r="BE55" s="1" t="str">
        <f>IF(AND(AND(AND(BE$4&gt;='2025'!$L53,BE$4&lt;='2025'!$M53), BE$4&lt;&gt;DATE(2025,7,4)), (SWITCH(weekday(BE$4), 1, 0, 2, if(ISBLANK('2025'!$P53), 0, 1), 3, if(ISBLANK('2025'!$Q53), 0, 1), 4, if(ISBLANK('2025'!$R53), 0, 1), 5, if(ISBLANK('2025'!$S53), 0, 1), 6, if(ISBLANK('2025'!$T53), 0, 1), 7, 0))), 1, "")</f>
        <v/>
      </c>
      <c r="BF55" s="1" t="str">
        <f>IF(AND(AND(AND(BF$4&gt;='2025'!$L53,BF$4&lt;='2025'!$M53), BF$4&lt;&gt;DATE(2025,7,4)), (SWITCH(weekday(BF$4), 1, 0, 2, if(ISBLANK('2025'!$P53), 0, 1), 3, if(ISBLANK('2025'!$Q53), 0, 1), 4, if(ISBLANK('2025'!$R53), 0, 1), 5, if(ISBLANK('2025'!$S53), 0, 1), 6, if(ISBLANK('2025'!$T53), 0, 1), 7, 0))), 1, "")</f>
        <v/>
      </c>
      <c r="BG55" s="1"/>
      <c r="BH55" s="1"/>
      <c r="BI55" s="1"/>
      <c r="BJ55" s="1"/>
      <c r="BK55" s="1"/>
      <c r="BL55" s="1"/>
    </row>
    <row r="56">
      <c r="A56" s="1">
        <f t="shared" si="3"/>
        <v>56</v>
      </c>
      <c r="B56" s="1" t="str">
        <f>'2025'!D54</f>
        <v>Benkyran, Chadi</v>
      </c>
      <c r="C56" s="1" t="str">
        <f>'2025'!H54</f>
        <v>pk3 </v>
      </c>
      <c r="D56" s="1" t="str">
        <f>IF(AND(AND(AND(D$4&gt;='2025'!$L54,D$4&lt;='2025'!$M54), D$4&lt;&gt;DATE(2025,7,4)), (SWITCH(weekday(D$4), 1, 0, 2, if(ISBLANK('2025'!$P54), 0, 1), 3, if(ISBLANK('2025'!$Q54), 0, 1), 4, if(ISBLANK('2025'!$R54), 0, 1), 5, if(ISBLANK('2025'!$S54), 0, 1), 6, if(ISBLANK('2025'!$T54), 0, 1), 7, 0))), 1, "")</f>
        <v/>
      </c>
      <c r="E56" s="1" t="str">
        <f>IF(AND(AND(AND(E$4&gt;='2025'!$L54,E$4&lt;='2025'!$M54), E$4&lt;&gt;DATE(2025,7,4)), (SWITCH(weekday(E$4), 1, 0, 2, if(ISBLANK('2025'!$P54), 0, 1), 3, if(ISBLANK('2025'!$Q54), 0, 1), 4, if(ISBLANK('2025'!$R54), 0, 1), 5, if(ISBLANK('2025'!$S54), 0, 1), 6, if(ISBLANK('2025'!$T54), 0, 1), 7, 0))), 1, "")</f>
        <v/>
      </c>
      <c r="F56" s="1" t="str">
        <f>IF(AND(AND(AND(F$4&gt;='2025'!$L54,F$4&lt;='2025'!$M54), F$4&lt;&gt;DATE(2025,7,4)), (SWITCH(weekday(F$4), 1, 0, 2, if(ISBLANK('2025'!$P54), 0, 1), 3, if(ISBLANK('2025'!$Q54), 0, 1), 4, if(ISBLANK('2025'!$R54), 0, 1), 5, if(ISBLANK('2025'!$S54), 0, 1), 6, if(ISBLANK('2025'!$T54), 0, 1), 7, 0))), 1, "")</f>
        <v/>
      </c>
      <c r="G56" s="1" t="str">
        <f>IF(AND(AND(AND(G$4&gt;='2025'!$L54,G$4&lt;='2025'!$M54), G$4&lt;&gt;DATE(2025,7,4)), (SWITCH(weekday(G$4), 1, 0, 2, if(ISBLANK('2025'!$P54), 0, 1), 3, if(ISBLANK('2025'!$Q54), 0, 1), 4, if(ISBLANK('2025'!$R54), 0, 1), 5, if(ISBLANK('2025'!$S54), 0, 1), 6, if(ISBLANK('2025'!$T54), 0, 1), 7, 0))), 1, "")</f>
        <v/>
      </c>
      <c r="H56" s="1" t="str">
        <f>IF(AND(AND(AND(H$4&gt;='2025'!$L54,H$4&lt;='2025'!$M54), H$4&lt;&gt;DATE(2025,7,4)), (SWITCH(weekday(H$4), 1, 0, 2, if(ISBLANK('2025'!$P54), 0, 1), 3, if(ISBLANK('2025'!$Q54), 0, 1), 4, if(ISBLANK('2025'!$R54), 0, 1), 5, if(ISBLANK('2025'!$S54), 0, 1), 6, if(ISBLANK('2025'!$T54), 0, 1), 7, 0))), 1, "")</f>
        <v/>
      </c>
      <c r="I56" s="1" t="str">
        <f>IF(AND(AND(AND(I$4&gt;='2025'!$L54,I$4&lt;='2025'!$M54), I$4&lt;&gt;DATE(2025,7,4)), (SWITCH(weekday(I$4), 1, 0, 2, if(ISBLANK('2025'!$P54), 0, 1), 3, if(ISBLANK('2025'!$Q54), 0, 1), 4, if(ISBLANK('2025'!$R54), 0, 1), 5, if(ISBLANK('2025'!$S54), 0, 1), 6, if(ISBLANK('2025'!$T54), 0, 1), 7, 0))), 1, "")</f>
        <v/>
      </c>
      <c r="J56" s="1" t="str">
        <f>IF(AND(AND(AND(J$4&gt;='2025'!$L54,J$4&lt;='2025'!$M54), J$4&lt;&gt;DATE(2025,7,4)), (SWITCH(weekday(J$4), 1, 0, 2, if(ISBLANK('2025'!$P54), 0, 1), 3, if(ISBLANK('2025'!$Q54), 0, 1), 4, if(ISBLANK('2025'!$R54), 0, 1), 5, if(ISBLANK('2025'!$S54), 0, 1), 6, if(ISBLANK('2025'!$T54), 0, 1), 7, 0))), 1, "")</f>
        <v/>
      </c>
      <c r="K56" s="1" t="str">
        <f>IF(AND(AND(AND(K$4&gt;='2025'!$L54,K$4&lt;='2025'!$M54), K$4&lt;&gt;DATE(2025,7,4)), (SWITCH(weekday(K$4), 1, 0, 2, if(ISBLANK('2025'!$P54), 0, 1), 3, if(ISBLANK('2025'!$Q54), 0, 1), 4, if(ISBLANK('2025'!$R54), 0, 1), 5, if(ISBLANK('2025'!$S54), 0, 1), 6, if(ISBLANK('2025'!$T54), 0, 1), 7, 0))), 1, "")</f>
        <v/>
      </c>
      <c r="L56" s="1" t="str">
        <f>IF(AND(AND(AND(L$4&gt;='2025'!$L54,L$4&lt;='2025'!$M54), L$4&lt;&gt;DATE(2025,7,4)), (SWITCH(weekday(L$4), 1, 0, 2, if(ISBLANK('2025'!$P54), 0, 1), 3, if(ISBLANK('2025'!$Q54), 0, 1), 4, if(ISBLANK('2025'!$R54), 0, 1), 5, if(ISBLANK('2025'!$S54), 0, 1), 6, if(ISBLANK('2025'!$T54), 0, 1), 7, 0))), 1, "")</f>
        <v/>
      </c>
      <c r="M56" s="1" t="str">
        <f>IF(AND(AND(AND(M$4&gt;='2025'!$L54,M$4&lt;='2025'!$M54), M$4&lt;&gt;DATE(2025,7,4)), (SWITCH(weekday(M$4), 1, 0, 2, if(ISBLANK('2025'!$P54), 0, 1), 3, if(ISBLANK('2025'!$Q54), 0, 1), 4, if(ISBLANK('2025'!$R54), 0, 1), 5, if(ISBLANK('2025'!$S54), 0, 1), 6, if(ISBLANK('2025'!$T54), 0, 1), 7, 0))), 1, "")</f>
        <v/>
      </c>
      <c r="N56" s="1" t="str">
        <f>IF(AND(AND(AND(N$4&gt;='2025'!$L54,N$4&lt;='2025'!$M54), N$4&lt;&gt;DATE(2025,7,4)), (SWITCH(weekday(N$4), 1, 0, 2, if(ISBLANK('2025'!$P54), 0, 1), 3, if(ISBLANK('2025'!$Q54), 0, 1), 4, if(ISBLANK('2025'!$R54), 0, 1), 5, if(ISBLANK('2025'!$S54), 0, 1), 6, if(ISBLANK('2025'!$T54), 0, 1), 7, 0))), 1, "")</f>
        <v/>
      </c>
      <c r="O56" s="1" t="str">
        <f>IF(AND(AND(AND(O$4&gt;='2025'!$L54,O$4&lt;='2025'!$M54), O$4&lt;&gt;DATE(2025,7,4)), (SWITCH(weekday(O$4), 1, 0, 2, if(ISBLANK('2025'!$P54), 0, 1), 3, if(ISBLANK('2025'!$Q54), 0, 1), 4, if(ISBLANK('2025'!$R54), 0, 1), 5, if(ISBLANK('2025'!$S54), 0, 1), 6, if(ISBLANK('2025'!$T54), 0, 1), 7, 0))), 1, "")</f>
        <v/>
      </c>
      <c r="P56" s="1" t="str">
        <f>IF(AND(AND(AND(P$4&gt;='2025'!$L54,P$4&lt;='2025'!$M54), P$4&lt;&gt;DATE(2025,7,4)), (SWITCH(weekday(P$4), 1, 0, 2, if(ISBLANK('2025'!$P54), 0, 1), 3, if(ISBLANK('2025'!$Q54), 0, 1), 4, if(ISBLANK('2025'!$R54), 0, 1), 5, if(ISBLANK('2025'!$S54), 0, 1), 6, if(ISBLANK('2025'!$T54), 0, 1), 7, 0))), 1, "")</f>
        <v/>
      </c>
      <c r="Q56" s="1" t="str">
        <f>IF(AND(AND(AND(Q$4&gt;='2025'!$L54,Q$4&lt;='2025'!$M54), Q$4&lt;&gt;DATE(2025,7,4)), (SWITCH(weekday(Q$4), 1, 0, 2, if(ISBLANK('2025'!$P54), 0, 1), 3, if(ISBLANK('2025'!$Q54), 0, 1), 4, if(ISBLANK('2025'!$R54), 0, 1), 5, if(ISBLANK('2025'!$S54), 0, 1), 6, if(ISBLANK('2025'!$T54), 0, 1), 7, 0))), 1, "")</f>
        <v/>
      </c>
      <c r="R56" s="1" t="str">
        <f>IF(AND(AND(AND(R$4&gt;='2025'!$L54,R$4&lt;='2025'!$M54), R$4&lt;&gt;DATE(2025,7,4)), (SWITCH(weekday(R$4), 1, 0, 2, if(ISBLANK('2025'!$P54), 0, 1), 3, if(ISBLANK('2025'!$Q54), 0, 1), 4, if(ISBLANK('2025'!$R54), 0, 1), 5, if(ISBLANK('2025'!$S54), 0, 1), 6, if(ISBLANK('2025'!$T54), 0, 1), 7, 0))), 1, "")</f>
        <v/>
      </c>
      <c r="S56" s="1" t="str">
        <f>IF(AND(AND(AND(S$4&gt;='2025'!$L54,S$4&lt;='2025'!$M54), S$4&lt;&gt;DATE(2025,7,4)), (SWITCH(weekday(S$4), 1, 0, 2, if(ISBLANK('2025'!$P54), 0, 1), 3, if(ISBLANK('2025'!$Q54), 0, 1), 4, if(ISBLANK('2025'!$R54), 0, 1), 5, if(ISBLANK('2025'!$S54), 0, 1), 6, if(ISBLANK('2025'!$T54), 0, 1), 7, 0))), 1, "")</f>
        <v/>
      </c>
      <c r="T56" s="1" t="str">
        <f>IF(AND(AND(AND(T$4&gt;='2025'!$L54,T$4&lt;='2025'!$M54), T$4&lt;&gt;DATE(2025,7,4)), (SWITCH(weekday(T$4), 1, 0, 2, if(ISBLANK('2025'!$P54), 0, 1), 3, if(ISBLANK('2025'!$Q54), 0, 1), 4, if(ISBLANK('2025'!$R54), 0, 1), 5, if(ISBLANK('2025'!$S54), 0, 1), 6, if(ISBLANK('2025'!$T54), 0, 1), 7, 0))), 1, "")</f>
        <v/>
      </c>
      <c r="U56" s="1" t="str">
        <f>IF(AND(AND(AND(U$4&gt;='2025'!$L54,U$4&lt;='2025'!$M54), U$4&lt;&gt;DATE(2025,7,4)), (SWITCH(weekday(U$4), 1, 0, 2, if(ISBLANK('2025'!$P54), 0, 1), 3, if(ISBLANK('2025'!$Q54), 0, 1), 4, if(ISBLANK('2025'!$R54), 0, 1), 5, if(ISBLANK('2025'!$S54), 0, 1), 6, if(ISBLANK('2025'!$T54), 0, 1), 7, 0))), 1, "")</f>
        <v/>
      </c>
      <c r="V56" s="1" t="str">
        <f>IF(AND(AND(AND(V$4&gt;='2025'!$L54,V$4&lt;='2025'!$M54), V$4&lt;&gt;DATE(2025,7,4)), (SWITCH(weekday(V$4), 1, 0, 2, if(ISBLANK('2025'!$P54), 0, 1), 3, if(ISBLANK('2025'!$Q54), 0, 1), 4, if(ISBLANK('2025'!$R54), 0, 1), 5, if(ISBLANK('2025'!$S54), 0, 1), 6, if(ISBLANK('2025'!$T54), 0, 1), 7, 0))), 1, "")</f>
        <v/>
      </c>
      <c r="W56" s="1" t="str">
        <f>IF(AND(AND(AND(W$4&gt;='2025'!$L54,W$4&lt;='2025'!$M54), W$4&lt;&gt;DATE(2025,7,4)), (SWITCH(weekday(W$4), 1, 0, 2, if(ISBLANK('2025'!$P54), 0, 1), 3, if(ISBLANK('2025'!$Q54), 0, 1), 4, if(ISBLANK('2025'!$R54), 0, 1), 5, if(ISBLANK('2025'!$S54), 0, 1), 6, if(ISBLANK('2025'!$T54), 0, 1), 7, 0))), 1, "")</f>
        <v/>
      </c>
      <c r="X56" s="1" t="str">
        <f>IF(AND(AND(AND(X$4&gt;='2025'!$L54,X$4&lt;='2025'!$M54), X$4&lt;&gt;DATE(2025,7,4)), (SWITCH(weekday(X$4), 1, 0, 2, if(ISBLANK('2025'!$P54), 0, 1), 3, if(ISBLANK('2025'!$Q54), 0, 1), 4, if(ISBLANK('2025'!$R54), 0, 1), 5, if(ISBLANK('2025'!$S54), 0, 1), 6, if(ISBLANK('2025'!$T54), 0, 1), 7, 0))), 1, "")</f>
        <v/>
      </c>
      <c r="Y56" s="1" t="str">
        <f>IF(AND(AND(AND(Y$4&gt;='2025'!$L54,Y$4&lt;='2025'!$M54), Y$4&lt;&gt;DATE(2025,7,4)), (SWITCH(weekday(Y$4), 1, 0, 2, if(ISBLANK('2025'!$P54), 0, 1), 3, if(ISBLANK('2025'!$Q54), 0, 1), 4, if(ISBLANK('2025'!$R54), 0, 1), 5, if(ISBLANK('2025'!$S54), 0, 1), 6, if(ISBLANK('2025'!$T54), 0, 1), 7, 0))), 1, "")</f>
        <v/>
      </c>
      <c r="Z56" s="1" t="str">
        <f>IF(AND(AND(AND(Z$4&gt;='2025'!$L54,Z$4&lt;='2025'!$M54), Z$4&lt;&gt;DATE(2025,7,4)), (SWITCH(weekday(Z$4), 1, 0, 2, if(ISBLANK('2025'!$P54), 0, 1), 3, if(ISBLANK('2025'!$Q54), 0, 1), 4, if(ISBLANK('2025'!$R54), 0, 1), 5, if(ISBLANK('2025'!$S54), 0, 1), 6, if(ISBLANK('2025'!$T54), 0, 1), 7, 0))), 1, "")</f>
        <v/>
      </c>
      <c r="AA56" s="1" t="str">
        <f>IF(AND(AND(AND(AA$4&gt;='2025'!$L54,AA$4&lt;='2025'!$M54), AA$4&lt;&gt;DATE(2025,7,4)), (SWITCH(weekday(AA$4), 1, 0, 2, if(ISBLANK('2025'!$P54), 0, 1), 3, if(ISBLANK('2025'!$Q54), 0, 1), 4, if(ISBLANK('2025'!$R54), 0, 1), 5, if(ISBLANK('2025'!$S54), 0, 1), 6, if(ISBLANK('2025'!$T54), 0, 1), 7, 0))), 1, "")</f>
        <v/>
      </c>
      <c r="AB56" s="1" t="str">
        <f>IF(AND(AND(AND(AB$4&gt;='2025'!$L54,AB$4&lt;='2025'!$M54), AB$4&lt;&gt;DATE(2025,7,4)), (SWITCH(weekday(AB$4), 1, 0, 2, if(ISBLANK('2025'!$P54), 0, 1), 3, if(ISBLANK('2025'!$Q54), 0, 1), 4, if(ISBLANK('2025'!$R54), 0, 1), 5, if(ISBLANK('2025'!$S54), 0, 1), 6, if(ISBLANK('2025'!$T54), 0, 1), 7, 0))), 1, "")</f>
        <v/>
      </c>
      <c r="AC56" s="1" t="str">
        <f>IF(AND(AND(AND(AC$4&gt;='2025'!$L54,AC$4&lt;='2025'!$M54), AC$4&lt;&gt;DATE(2025,7,4)), (SWITCH(weekday(AC$4), 1, 0, 2, if(ISBLANK('2025'!$P54), 0, 1), 3, if(ISBLANK('2025'!$Q54), 0, 1), 4, if(ISBLANK('2025'!$R54), 0, 1), 5, if(ISBLANK('2025'!$S54), 0, 1), 6, if(ISBLANK('2025'!$T54), 0, 1), 7, 0))), 1, "")</f>
        <v/>
      </c>
      <c r="AD56" s="1" t="str">
        <f>IF(AND(AND(AND(AD$4&gt;='2025'!$L54,AD$4&lt;='2025'!$M54), AD$4&lt;&gt;DATE(2025,7,4)), (SWITCH(weekday(AD$4), 1, 0, 2, if(ISBLANK('2025'!$P54), 0, 1), 3, if(ISBLANK('2025'!$Q54), 0, 1), 4, if(ISBLANK('2025'!$R54), 0, 1), 5, if(ISBLANK('2025'!$S54), 0, 1), 6, if(ISBLANK('2025'!$T54), 0, 1), 7, 0))), 1, "")</f>
        <v/>
      </c>
      <c r="AE56" s="1" t="str">
        <f>IF(AND(AND(AND(AE$4&gt;='2025'!$L54,AE$4&lt;='2025'!$M54), AE$4&lt;&gt;DATE(2025,7,4)), (SWITCH(weekday(AE$4), 1, 0, 2, if(ISBLANK('2025'!$P54), 0, 1), 3, if(ISBLANK('2025'!$Q54), 0, 1), 4, if(ISBLANK('2025'!$R54), 0, 1), 5, if(ISBLANK('2025'!$S54), 0, 1), 6, if(ISBLANK('2025'!$T54), 0, 1), 7, 0))), 1, "")</f>
        <v/>
      </c>
      <c r="AF56" s="1" t="str">
        <f>IF(AND(AND(AND(AF$4&gt;='2025'!$L54,AF$4&lt;='2025'!$M54), AF$4&lt;&gt;DATE(2025,7,4)), (SWITCH(weekday(AF$4), 1, 0, 2, if(ISBLANK('2025'!$P54), 0, 1), 3, if(ISBLANK('2025'!$Q54), 0, 1), 4, if(ISBLANK('2025'!$R54), 0, 1), 5, if(ISBLANK('2025'!$S54), 0, 1), 6, if(ISBLANK('2025'!$T54), 0, 1), 7, 0))), 1, "")</f>
        <v/>
      </c>
      <c r="AG56" s="1" t="str">
        <f>IF(AND(AND(AND(AG$4&gt;='2025'!$L54,AG$4&lt;='2025'!$M54), AG$4&lt;&gt;DATE(2025,7,4)), (SWITCH(weekday(AG$4), 1, 0, 2, if(ISBLANK('2025'!$P54), 0, 1), 3, if(ISBLANK('2025'!$Q54), 0, 1), 4, if(ISBLANK('2025'!$R54), 0, 1), 5, if(ISBLANK('2025'!$S54), 0, 1), 6, if(ISBLANK('2025'!$T54), 0, 1), 7, 0))), 1, "")</f>
        <v/>
      </c>
      <c r="AH56" s="1" t="str">
        <f>IF(AND(AND(AND(AH$4&gt;='2025'!$L54,AH$4&lt;='2025'!$M54), AH$4&lt;&gt;DATE(2025,7,4)), (SWITCH(weekday(AH$4), 1, 0, 2, if(ISBLANK('2025'!$P54), 0, 1), 3, if(ISBLANK('2025'!$Q54), 0, 1), 4, if(ISBLANK('2025'!$R54), 0, 1), 5, if(ISBLANK('2025'!$S54), 0, 1), 6, if(ISBLANK('2025'!$T54), 0, 1), 7, 0))), 1, "")</f>
        <v/>
      </c>
      <c r="AI56" s="1" t="str">
        <f>IF(AND(AND(AND(AI$4&gt;='2025'!$L54,AI$4&lt;='2025'!$M54), AI$4&lt;&gt;DATE(2025,7,4)), (SWITCH(weekday(AI$4), 1, 0, 2, if(ISBLANK('2025'!$P54), 0, 1), 3, if(ISBLANK('2025'!$Q54), 0, 1), 4, if(ISBLANK('2025'!$R54), 0, 1), 5, if(ISBLANK('2025'!$S54), 0, 1), 6, if(ISBLANK('2025'!$T54), 0, 1), 7, 0))), 1, "")</f>
        <v/>
      </c>
      <c r="AJ56" s="1" t="str">
        <f>IF(AND(AND(AND(AJ$4&gt;='2025'!$L54,AJ$4&lt;='2025'!$M54), AJ$4&lt;&gt;DATE(2025,7,4)), (SWITCH(weekday(AJ$4), 1, 0, 2, if(ISBLANK('2025'!$P54), 0, 1), 3, if(ISBLANK('2025'!$Q54), 0, 1), 4, if(ISBLANK('2025'!$R54), 0, 1), 5, if(ISBLANK('2025'!$S54), 0, 1), 6, if(ISBLANK('2025'!$T54), 0, 1), 7, 0))), 1, "")</f>
        <v/>
      </c>
      <c r="AK56" s="1" t="str">
        <f>IF(AND(AND(AND(AK$4&gt;='2025'!$L54,AK$4&lt;='2025'!$M54), AK$4&lt;&gt;DATE(2025,7,4)), (SWITCH(weekday(AK$4), 1, 0, 2, if(ISBLANK('2025'!$P54), 0, 1), 3, if(ISBLANK('2025'!$Q54), 0, 1), 4, if(ISBLANK('2025'!$R54), 0, 1), 5, if(ISBLANK('2025'!$S54), 0, 1), 6, if(ISBLANK('2025'!$T54), 0, 1), 7, 0))), 1, "")</f>
        <v/>
      </c>
      <c r="AL56" s="1" t="str">
        <f>IF(AND(AND(AND(AL$4&gt;='2025'!$L54,AL$4&lt;='2025'!$M54), AL$4&lt;&gt;DATE(2025,7,4)), (SWITCH(weekday(AL$4), 1, 0, 2, if(ISBLANK('2025'!$P54), 0, 1), 3, if(ISBLANK('2025'!$Q54), 0, 1), 4, if(ISBLANK('2025'!$R54), 0, 1), 5, if(ISBLANK('2025'!$S54), 0, 1), 6, if(ISBLANK('2025'!$T54), 0, 1), 7, 0))), 1, "")</f>
        <v/>
      </c>
      <c r="AM56" s="1" t="str">
        <f>IF(AND(AND(AND(AM$4&gt;='2025'!$L54,AM$4&lt;='2025'!$M54), AM$4&lt;&gt;DATE(2025,7,4)), (SWITCH(weekday(AM$4), 1, 0, 2, if(ISBLANK('2025'!$P54), 0, 1), 3, if(ISBLANK('2025'!$Q54), 0, 1), 4, if(ISBLANK('2025'!$R54), 0, 1), 5, if(ISBLANK('2025'!$S54), 0, 1), 6, if(ISBLANK('2025'!$T54), 0, 1), 7, 0))), 1, "")</f>
        <v/>
      </c>
      <c r="AN56" s="1" t="str">
        <f>IF(AND(AND(AND(AN$4&gt;='2025'!$L54,AN$4&lt;='2025'!$M54), AN$4&lt;&gt;DATE(2025,7,4)), (SWITCH(weekday(AN$4), 1, 0, 2, if(ISBLANK('2025'!$P54), 0, 1), 3, if(ISBLANK('2025'!$Q54), 0, 1), 4, if(ISBLANK('2025'!$R54), 0, 1), 5, if(ISBLANK('2025'!$S54), 0, 1), 6, if(ISBLANK('2025'!$T54), 0, 1), 7, 0))), 1, "")</f>
        <v/>
      </c>
      <c r="AO56" s="1" t="str">
        <f>IF(AND(AND(AND(AO$4&gt;='2025'!$L54,AO$4&lt;='2025'!$M54), AO$4&lt;&gt;DATE(2025,7,4)), (SWITCH(weekday(AO$4), 1, 0, 2, if(ISBLANK('2025'!$P54), 0, 1), 3, if(ISBLANK('2025'!$Q54), 0, 1), 4, if(ISBLANK('2025'!$R54), 0, 1), 5, if(ISBLANK('2025'!$S54), 0, 1), 6, if(ISBLANK('2025'!$T54), 0, 1), 7, 0))), 1, "")</f>
        <v/>
      </c>
      <c r="AP56" s="1" t="str">
        <f>IF(AND(AND(AND(AP$4&gt;='2025'!$L54,AP$4&lt;='2025'!$M54), AP$4&lt;&gt;DATE(2025,7,4)), (SWITCH(weekday(AP$4), 1, 0, 2, if(ISBLANK('2025'!$P54), 0, 1), 3, if(ISBLANK('2025'!$Q54), 0, 1), 4, if(ISBLANK('2025'!$R54), 0, 1), 5, if(ISBLANK('2025'!$S54), 0, 1), 6, if(ISBLANK('2025'!$T54), 0, 1), 7, 0))), 1, "")</f>
        <v/>
      </c>
      <c r="AQ56" s="1" t="str">
        <f>IF(AND(AND(AND(AQ$4&gt;='2025'!$L54,AQ$4&lt;='2025'!$M54), AQ$4&lt;&gt;DATE(2025,7,4)), (SWITCH(weekday(AQ$4), 1, 0, 2, if(ISBLANK('2025'!$P54), 0, 1), 3, if(ISBLANK('2025'!$Q54), 0, 1), 4, if(ISBLANK('2025'!$R54), 0, 1), 5, if(ISBLANK('2025'!$S54), 0, 1), 6, if(ISBLANK('2025'!$T54), 0, 1), 7, 0))), 1, "")</f>
        <v/>
      </c>
      <c r="AR56" s="1" t="str">
        <f>IF(AND(AND(AND(AR$4&gt;='2025'!$L54,AR$4&lt;='2025'!$M54), AR$4&lt;&gt;DATE(2025,7,4)), (SWITCH(weekday(AR$4), 1, 0, 2, if(ISBLANK('2025'!$P54), 0, 1), 3, if(ISBLANK('2025'!$Q54), 0, 1), 4, if(ISBLANK('2025'!$R54), 0, 1), 5, if(ISBLANK('2025'!$S54), 0, 1), 6, if(ISBLANK('2025'!$T54), 0, 1), 7, 0))), 1, "")</f>
        <v/>
      </c>
      <c r="AS56" s="1" t="str">
        <f>IF(AND(AND(AND(AS$4&gt;='2025'!$L54,AS$4&lt;='2025'!$M54), AS$4&lt;&gt;DATE(2025,7,4)), (SWITCH(weekday(AS$4), 1, 0, 2, if(ISBLANK('2025'!$P54), 0, 1), 3, if(ISBLANK('2025'!$Q54), 0, 1), 4, if(ISBLANK('2025'!$R54), 0, 1), 5, if(ISBLANK('2025'!$S54), 0, 1), 6, if(ISBLANK('2025'!$T54), 0, 1), 7, 0))), 1, "")</f>
        <v/>
      </c>
      <c r="AT56" s="1" t="str">
        <f>IF(AND(AND(AND(AT$4&gt;='2025'!$L54,AT$4&lt;='2025'!$M54), AT$4&lt;&gt;DATE(2025,7,4)), (SWITCH(weekday(AT$4), 1, 0, 2, if(ISBLANK('2025'!$P54), 0, 1), 3, if(ISBLANK('2025'!$Q54), 0, 1), 4, if(ISBLANK('2025'!$R54), 0, 1), 5, if(ISBLANK('2025'!$S54), 0, 1), 6, if(ISBLANK('2025'!$T54), 0, 1), 7, 0))), 1, "")</f>
        <v/>
      </c>
      <c r="AU56" s="1" t="str">
        <f>IF(AND(AND(AND(AU$4&gt;='2025'!$L54,AU$4&lt;='2025'!$M54), AU$4&lt;&gt;DATE(2025,7,4)), (SWITCH(weekday(AU$4), 1, 0, 2, if(ISBLANK('2025'!$P54), 0, 1), 3, if(ISBLANK('2025'!$Q54), 0, 1), 4, if(ISBLANK('2025'!$R54), 0, 1), 5, if(ISBLANK('2025'!$S54), 0, 1), 6, if(ISBLANK('2025'!$T54), 0, 1), 7, 0))), 1, "")</f>
        <v/>
      </c>
      <c r="AV56" s="1" t="str">
        <f>IF(AND(AND(AND(AV$4&gt;='2025'!$L54,AV$4&lt;='2025'!$M54), AV$4&lt;&gt;DATE(2025,7,4)), (SWITCH(weekday(AV$4), 1, 0, 2, if(ISBLANK('2025'!$P54), 0, 1), 3, if(ISBLANK('2025'!$Q54), 0, 1), 4, if(ISBLANK('2025'!$R54), 0, 1), 5, if(ISBLANK('2025'!$S54), 0, 1), 6, if(ISBLANK('2025'!$T54), 0, 1), 7, 0))), 1, "")</f>
        <v/>
      </c>
      <c r="AW56" s="1" t="str">
        <f>IF(AND(AND(AND(AW$4&gt;='2025'!$L54,AW$4&lt;='2025'!$M54), AW$4&lt;&gt;DATE(2025,7,4)), (SWITCH(weekday(AW$4), 1, 0, 2, if(ISBLANK('2025'!$P54), 0, 1), 3, if(ISBLANK('2025'!$Q54), 0, 1), 4, if(ISBLANK('2025'!$R54), 0, 1), 5, if(ISBLANK('2025'!$S54), 0, 1), 6, if(ISBLANK('2025'!$T54), 0, 1), 7, 0))), 1, "")</f>
        <v/>
      </c>
      <c r="AX56" s="1" t="str">
        <f>IF(AND(AND(AND(AX$4&gt;='2025'!$L54,AX$4&lt;='2025'!$M54), AX$4&lt;&gt;DATE(2025,7,4)), (SWITCH(weekday(AX$4), 1, 0, 2, if(ISBLANK('2025'!$P54), 0, 1), 3, if(ISBLANK('2025'!$Q54), 0, 1), 4, if(ISBLANK('2025'!$R54), 0, 1), 5, if(ISBLANK('2025'!$S54), 0, 1), 6, if(ISBLANK('2025'!$T54), 0, 1), 7, 0))), 1, "")</f>
        <v/>
      </c>
      <c r="AY56" s="1" t="str">
        <f>IF(AND(AND(AND(AY$4&gt;='2025'!$L54,AY$4&lt;='2025'!$M54), AY$4&lt;&gt;DATE(2025,7,4)), (SWITCH(weekday(AY$4), 1, 0, 2, if(ISBLANK('2025'!$P54), 0, 1), 3, if(ISBLANK('2025'!$Q54), 0, 1), 4, if(ISBLANK('2025'!$R54), 0, 1), 5, if(ISBLANK('2025'!$S54), 0, 1), 6, if(ISBLANK('2025'!$T54), 0, 1), 7, 0))), 1, "")</f>
        <v/>
      </c>
      <c r="AZ56" s="1" t="str">
        <f>IF(AND(AND(AND(AZ$4&gt;='2025'!$L54,AZ$4&lt;='2025'!$M54), AZ$4&lt;&gt;DATE(2025,7,4)), (SWITCH(weekday(AZ$4), 1, 0, 2, if(ISBLANK('2025'!$P54), 0, 1), 3, if(ISBLANK('2025'!$Q54), 0, 1), 4, if(ISBLANK('2025'!$R54), 0, 1), 5, if(ISBLANK('2025'!$S54), 0, 1), 6, if(ISBLANK('2025'!$T54), 0, 1), 7, 0))), 1, "")</f>
        <v/>
      </c>
      <c r="BA56" s="1" t="str">
        <f>IF(AND(AND(AND(BA$4&gt;='2025'!$L54,BA$4&lt;='2025'!$M54), BA$4&lt;&gt;DATE(2025,7,4)), (SWITCH(weekday(BA$4), 1, 0, 2, if(ISBLANK('2025'!$P54), 0, 1), 3, if(ISBLANK('2025'!$Q54), 0, 1), 4, if(ISBLANK('2025'!$R54), 0, 1), 5, if(ISBLANK('2025'!$S54), 0, 1), 6, if(ISBLANK('2025'!$T54), 0, 1), 7, 0))), 1, "")</f>
        <v/>
      </c>
      <c r="BB56" s="1" t="str">
        <f>IF(AND(AND(AND(BB$4&gt;='2025'!$L54,BB$4&lt;='2025'!$M54), BB$4&lt;&gt;DATE(2025,7,4)), (SWITCH(weekday(BB$4), 1, 0, 2, if(ISBLANK('2025'!$P54), 0, 1), 3, if(ISBLANK('2025'!$Q54), 0, 1), 4, if(ISBLANK('2025'!$R54), 0, 1), 5, if(ISBLANK('2025'!$S54), 0, 1), 6, if(ISBLANK('2025'!$T54), 0, 1), 7, 0))), 1, "")</f>
        <v/>
      </c>
      <c r="BC56" s="1" t="str">
        <f>IF(AND(AND(AND(BC$4&gt;='2025'!$L54,BC$4&lt;='2025'!$M54), BC$4&lt;&gt;DATE(2025,7,4)), (SWITCH(weekday(BC$4), 1, 0, 2, if(ISBLANK('2025'!$P54), 0, 1), 3, if(ISBLANK('2025'!$Q54), 0, 1), 4, if(ISBLANK('2025'!$R54), 0, 1), 5, if(ISBLANK('2025'!$S54), 0, 1), 6, if(ISBLANK('2025'!$T54), 0, 1), 7, 0))), 1, "")</f>
        <v/>
      </c>
      <c r="BD56" s="1" t="str">
        <f>IF(AND(AND(AND(BD$4&gt;='2025'!$L54,BD$4&lt;='2025'!$M54), BD$4&lt;&gt;DATE(2025,7,4)), (SWITCH(weekday(BD$4), 1, 0, 2, if(ISBLANK('2025'!$P54), 0, 1), 3, if(ISBLANK('2025'!$Q54), 0, 1), 4, if(ISBLANK('2025'!$R54), 0, 1), 5, if(ISBLANK('2025'!$S54), 0, 1), 6, if(ISBLANK('2025'!$T54), 0, 1), 7, 0))), 1, "")</f>
        <v/>
      </c>
      <c r="BE56" s="1" t="str">
        <f>IF(AND(AND(AND(BE$4&gt;='2025'!$L54,BE$4&lt;='2025'!$M54), BE$4&lt;&gt;DATE(2025,7,4)), (SWITCH(weekday(BE$4), 1, 0, 2, if(ISBLANK('2025'!$P54), 0, 1), 3, if(ISBLANK('2025'!$Q54), 0, 1), 4, if(ISBLANK('2025'!$R54), 0, 1), 5, if(ISBLANK('2025'!$S54), 0, 1), 6, if(ISBLANK('2025'!$T54), 0, 1), 7, 0))), 1, "")</f>
        <v/>
      </c>
      <c r="BF56" s="1" t="str">
        <f>IF(AND(AND(AND(BF$4&gt;='2025'!$L54,BF$4&lt;='2025'!$M54), BF$4&lt;&gt;DATE(2025,7,4)), (SWITCH(weekday(BF$4), 1, 0, 2, if(ISBLANK('2025'!$P54), 0, 1), 3, if(ISBLANK('2025'!$Q54), 0, 1), 4, if(ISBLANK('2025'!$R54), 0, 1), 5, if(ISBLANK('2025'!$S54), 0, 1), 6, if(ISBLANK('2025'!$T54), 0, 1), 7, 0))), 1, "")</f>
        <v/>
      </c>
      <c r="BG56" s="1"/>
      <c r="BH56" s="1"/>
      <c r="BI56" s="1"/>
      <c r="BJ56" s="1"/>
      <c r="BK56" s="1"/>
      <c r="BL56" s="1"/>
    </row>
    <row r="57">
      <c r="A57" s="1">
        <f t="shared" si="3"/>
        <v>57</v>
      </c>
      <c r="B57" s="1" t="str">
        <f>'2025'!D55</f>
        <v/>
      </c>
      <c r="C57" s="1" t="str">
        <f>'2025'!H55</f>
        <v/>
      </c>
      <c r="D57" s="1" t="str">
        <f>IF(AND(AND(AND(D$4&gt;='2025'!$L55,D$4&lt;='2025'!$M55), D$4&lt;&gt;DATE(2025,7,4)), (SWITCH(weekday(D$4), 1, 0, 2, if(ISBLANK('2025'!$P55), 0, 1), 3, if(ISBLANK('2025'!$Q55), 0, 1), 4, if(ISBLANK('2025'!$R55), 0, 1), 5, if(ISBLANK('2025'!$S55), 0, 1), 6, if(ISBLANK('2025'!$T55), 0, 1), 7, 0))), 1, "")</f>
        <v/>
      </c>
      <c r="E57" s="1" t="str">
        <f>IF(AND(AND(AND(E$4&gt;='2025'!$L55,E$4&lt;='2025'!$M55), E$4&lt;&gt;DATE(2025,7,4)), (SWITCH(weekday(E$4), 1, 0, 2, if(ISBLANK('2025'!$P55), 0, 1), 3, if(ISBLANK('2025'!$Q55), 0, 1), 4, if(ISBLANK('2025'!$R55), 0, 1), 5, if(ISBLANK('2025'!$S55), 0, 1), 6, if(ISBLANK('2025'!$T55), 0, 1), 7, 0))), 1, "")</f>
        <v/>
      </c>
      <c r="F57" s="1" t="str">
        <f>IF(AND(AND(AND(F$4&gt;='2025'!$L55,F$4&lt;='2025'!$M55), F$4&lt;&gt;DATE(2025,7,4)), (SWITCH(weekday(F$4), 1, 0, 2, if(ISBLANK('2025'!$P55), 0, 1), 3, if(ISBLANK('2025'!$Q55), 0, 1), 4, if(ISBLANK('2025'!$R55), 0, 1), 5, if(ISBLANK('2025'!$S55), 0, 1), 6, if(ISBLANK('2025'!$T55), 0, 1), 7, 0))), 1, "")</f>
        <v/>
      </c>
      <c r="G57" s="1" t="str">
        <f>IF(AND(AND(AND(G$4&gt;='2025'!$L55,G$4&lt;='2025'!$M55), G$4&lt;&gt;DATE(2025,7,4)), (SWITCH(weekday(G$4), 1, 0, 2, if(ISBLANK('2025'!$P55), 0, 1), 3, if(ISBLANK('2025'!$Q55), 0, 1), 4, if(ISBLANK('2025'!$R55), 0, 1), 5, if(ISBLANK('2025'!$S55), 0, 1), 6, if(ISBLANK('2025'!$T55), 0, 1), 7, 0))), 1, "")</f>
        <v/>
      </c>
      <c r="H57" s="1" t="str">
        <f>IF(AND(AND(AND(H$4&gt;='2025'!$L55,H$4&lt;='2025'!$M55), H$4&lt;&gt;DATE(2025,7,4)), (SWITCH(weekday(H$4), 1, 0, 2, if(ISBLANK('2025'!$P55), 0, 1), 3, if(ISBLANK('2025'!$Q55), 0, 1), 4, if(ISBLANK('2025'!$R55), 0, 1), 5, if(ISBLANK('2025'!$S55), 0, 1), 6, if(ISBLANK('2025'!$T55), 0, 1), 7, 0))), 1, "")</f>
        <v/>
      </c>
      <c r="I57" s="1" t="str">
        <f>IF(AND(AND(AND(I$4&gt;='2025'!$L55,I$4&lt;='2025'!$M55), I$4&lt;&gt;DATE(2025,7,4)), (SWITCH(weekday(I$4), 1, 0, 2, if(ISBLANK('2025'!$P55), 0, 1), 3, if(ISBLANK('2025'!$Q55), 0, 1), 4, if(ISBLANK('2025'!$R55), 0, 1), 5, if(ISBLANK('2025'!$S55), 0, 1), 6, if(ISBLANK('2025'!$T55), 0, 1), 7, 0))), 1, "")</f>
        <v/>
      </c>
      <c r="J57" s="1" t="str">
        <f>IF(AND(AND(AND(J$4&gt;='2025'!$L55,J$4&lt;='2025'!$M55), J$4&lt;&gt;DATE(2025,7,4)), (SWITCH(weekday(J$4), 1, 0, 2, if(ISBLANK('2025'!$P55), 0, 1), 3, if(ISBLANK('2025'!$Q55), 0, 1), 4, if(ISBLANK('2025'!$R55), 0, 1), 5, if(ISBLANK('2025'!$S55), 0, 1), 6, if(ISBLANK('2025'!$T55), 0, 1), 7, 0))), 1, "")</f>
        <v/>
      </c>
      <c r="K57" s="1" t="str">
        <f>IF(AND(AND(AND(K$4&gt;='2025'!$L55,K$4&lt;='2025'!$M55), K$4&lt;&gt;DATE(2025,7,4)), (SWITCH(weekday(K$4), 1, 0, 2, if(ISBLANK('2025'!$P55), 0, 1), 3, if(ISBLANK('2025'!$Q55), 0, 1), 4, if(ISBLANK('2025'!$R55), 0, 1), 5, if(ISBLANK('2025'!$S55), 0, 1), 6, if(ISBLANK('2025'!$T55), 0, 1), 7, 0))), 1, "")</f>
        <v/>
      </c>
      <c r="L57" s="1" t="str">
        <f>IF(AND(AND(AND(L$4&gt;='2025'!$L55,L$4&lt;='2025'!$M55), L$4&lt;&gt;DATE(2025,7,4)), (SWITCH(weekday(L$4), 1, 0, 2, if(ISBLANK('2025'!$P55), 0, 1), 3, if(ISBLANK('2025'!$Q55), 0, 1), 4, if(ISBLANK('2025'!$R55), 0, 1), 5, if(ISBLANK('2025'!$S55), 0, 1), 6, if(ISBLANK('2025'!$T55), 0, 1), 7, 0))), 1, "")</f>
        <v/>
      </c>
      <c r="M57" s="1" t="str">
        <f>IF(AND(AND(AND(M$4&gt;='2025'!$L55,M$4&lt;='2025'!$M55), M$4&lt;&gt;DATE(2025,7,4)), (SWITCH(weekday(M$4), 1, 0, 2, if(ISBLANK('2025'!$P55), 0, 1), 3, if(ISBLANK('2025'!$Q55), 0, 1), 4, if(ISBLANK('2025'!$R55), 0, 1), 5, if(ISBLANK('2025'!$S55), 0, 1), 6, if(ISBLANK('2025'!$T55), 0, 1), 7, 0))), 1, "")</f>
        <v/>
      </c>
      <c r="N57" s="1" t="str">
        <f>IF(AND(AND(AND(N$4&gt;='2025'!$L55,N$4&lt;='2025'!$M55), N$4&lt;&gt;DATE(2025,7,4)), (SWITCH(weekday(N$4), 1, 0, 2, if(ISBLANK('2025'!$P55), 0, 1), 3, if(ISBLANK('2025'!$Q55), 0, 1), 4, if(ISBLANK('2025'!$R55), 0, 1), 5, if(ISBLANK('2025'!$S55), 0, 1), 6, if(ISBLANK('2025'!$T55), 0, 1), 7, 0))), 1, "")</f>
        <v/>
      </c>
      <c r="O57" s="1" t="str">
        <f>IF(AND(AND(AND(O$4&gt;='2025'!$L55,O$4&lt;='2025'!$M55), O$4&lt;&gt;DATE(2025,7,4)), (SWITCH(weekday(O$4), 1, 0, 2, if(ISBLANK('2025'!$P55), 0, 1), 3, if(ISBLANK('2025'!$Q55), 0, 1), 4, if(ISBLANK('2025'!$R55), 0, 1), 5, if(ISBLANK('2025'!$S55), 0, 1), 6, if(ISBLANK('2025'!$T55), 0, 1), 7, 0))), 1, "")</f>
        <v/>
      </c>
      <c r="P57" s="1" t="str">
        <f>IF(AND(AND(AND(P$4&gt;='2025'!$L55,P$4&lt;='2025'!$M55), P$4&lt;&gt;DATE(2025,7,4)), (SWITCH(weekday(P$4), 1, 0, 2, if(ISBLANK('2025'!$P55), 0, 1), 3, if(ISBLANK('2025'!$Q55), 0, 1), 4, if(ISBLANK('2025'!$R55), 0, 1), 5, if(ISBLANK('2025'!$S55), 0, 1), 6, if(ISBLANK('2025'!$T55), 0, 1), 7, 0))), 1, "")</f>
        <v/>
      </c>
      <c r="Q57" s="1" t="str">
        <f>IF(AND(AND(AND(Q$4&gt;='2025'!$L55,Q$4&lt;='2025'!$M55), Q$4&lt;&gt;DATE(2025,7,4)), (SWITCH(weekday(Q$4), 1, 0, 2, if(ISBLANK('2025'!$P55), 0, 1), 3, if(ISBLANK('2025'!$Q55), 0, 1), 4, if(ISBLANK('2025'!$R55), 0, 1), 5, if(ISBLANK('2025'!$S55), 0, 1), 6, if(ISBLANK('2025'!$T55), 0, 1), 7, 0))), 1, "")</f>
        <v/>
      </c>
      <c r="R57" s="1" t="str">
        <f>IF(AND(AND(AND(R$4&gt;='2025'!$L55,R$4&lt;='2025'!$M55), R$4&lt;&gt;DATE(2025,7,4)), (SWITCH(weekday(R$4), 1, 0, 2, if(ISBLANK('2025'!$P55), 0, 1), 3, if(ISBLANK('2025'!$Q55), 0, 1), 4, if(ISBLANK('2025'!$R55), 0, 1), 5, if(ISBLANK('2025'!$S55), 0, 1), 6, if(ISBLANK('2025'!$T55), 0, 1), 7, 0))), 1, "")</f>
        <v/>
      </c>
      <c r="S57" s="1" t="str">
        <f>IF(AND(AND(AND(S$4&gt;='2025'!$L55,S$4&lt;='2025'!$M55), S$4&lt;&gt;DATE(2025,7,4)), (SWITCH(weekday(S$4), 1, 0, 2, if(ISBLANK('2025'!$P55), 0, 1), 3, if(ISBLANK('2025'!$Q55), 0, 1), 4, if(ISBLANK('2025'!$R55), 0, 1), 5, if(ISBLANK('2025'!$S55), 0, 1), 6, if(ISBLANK('2025'!$T55), 0, 1), 7, 0))), 1, "")</f>
        <v/>
      </c>
      <c r="T57" s="1" t="str">
        <f>IF(AND(AND(AND(T$4&gt;='2025'!$L55,T$4&lt;='2025'!$M55), T$4&lt;&gt;DATE(2025,7,4)), (SWITCH(weekday(T$4), 1, 0, 2, if(ISBLANK('2025'!$P55), 0, 1), 3, if(ISBLANK('2025'!$Q55), 0, 1), 4, if(ISBLANK('2025'!$R55), 0, 1), 5, if(ISBLANK('2025'!$S55), 0, 1), 6, if(ISBLANK('2025'!$T55), 0, 1), 7, 0))), 1, "")</f>
        <v/>
      </c>
      <c r="U57" s="1" t="str">
        <f>IF(AND(AND(AND(U$4&gt;='2025'!$L55,U$4&lt;='2025'!$M55), U$4&lt;&gt;DATE(2025,7,4)), (SWITCH(weekday(U$4), 1, 0, 2, if(ISBLANK('2025'!$P55), 0, 1), 3, if(ISBLANK('2025'!$Q55), 0, 1), 4, if(ISBLANK('2025'!$R55), 0, 1), 5, if(ISBLANK('2025'!$S55), 0, 1), 6, if(ISBLANK('2025'!$T55), 0, 1), 7, 0))), 1, "")</f>
        <v/>
      </c>
      <c r="V57" s="1" t="str">
        <f>IF(AND(AND(AND(V$4&gt;='2025'!$L55,V$4&lt;='2025'!$M55), V$4&lt;&gt;DATE(2025,7,4)), (SWITCH(weekday(V$4), 1, 0, 2, if(ISBLANK('2025'!$P55), 0, 1), 3, if(ISBLANK('2025'!$Q55), 0, 1), 4, if(ISBLANK('2025'!$R55), 0, 1), 5, if(ISBLANK('2025'!$S55), 0, 1), 6, if(ISBLANK('2025'!$T55), 0, 1), 7, 0))), 1, "")</f>
        <v/>
      </c>
      <c r="W57" s="1" t="str">
        <f>IF(AND(AND(AND(W$4&gt;='2025'!$L55,W$4&lt;='2025'!$M55), W$4&lt;&gt;DATE(2025,7,4)), (SWITCH(weekday(W$4), 1, 0, 2, if(ISBLANK('2025'!$P55), 0, 1), 3, if(ISBLANK('2025'!$Q55), 0, 1), 4, if(ISBLANK('2025'!$R55), 0, 1), 5, if(ISBLANK('2025'!$S55), 0, 1), 6, if(ISBLANK('2025'!$T55), 0, 1), 7, 0))), 1, "")</f>
        <v/>
      </c>
      <c r="X57" s="1" t="str">
        <f>IF(AND(AND(AND(X$4&gt;='2025'!$L55,X$4&lt;='2025'!$M55), X$4&lt;&gt;DATE(2025,7,4)), (SWITCH(weekday(X$4), 1, 0, 2, if(ISBLANK('2025'!$P55), 0, 1), 3, if(ISBLANK('2025'!$Q55), 0, 1), 4, if(ISBLANK('2025'!$R55), 0, 1), 5, if(ISBLANK('2025'!$S55), 0, 1), 6, if(ISBLANK('2025'!$T55), 0, 1), 7, 0))), 1, "")</f>
        <v/>
      </c>
      <c r="Y57" s="1" t="str">
        <f>IF(AND(AND(AND(Y$4&gt;='2025'!$L55,Y$4&lt;='2025'!$M55), Y$4&lt;&gt;DATE(2025,7,4)), (SWITCH(weekday(Y$4), 1, 0, 2, if(ISBLANK('2025'!$P55), 0, 1), 3, if(ISBLANK('2025'!$Q55), 0, 1), 4, if(ISBLANK('2025'!$R55), 0, 1), 5, if(ISBLANK('2025'!$S55), 0, 1), 6, if(ISBLANK('2025'!$T55), 0, 1), 7, 0))), 1, "")</f>
        <v/>
      </c>
      <c r="Z57" s="1" t="str">
        <f>IF(AND(AND(AND(Z$4&gt;='2025'!$L55,Z$4&lt;='2025'!$M55), Z$4&lt;&gt;DATE(2025,7,4)), (SWITCH(weekday(Z$4), 1, 0, 2, if(ISBLANK('2025'!$P55), 0, 1), 3, if(ISBLANK('2025'!$Q55), 0, 1), 4, if(ISBLANK('2025'!$R55), 0, 1), 5, if(ISBLANK('2025'!$S55), 0, 1), 6, if(ISBLANK('2025'!$T55), 0, 1), 7, 0))), 1, "")</f>
        <v/>
      </c>
      <c r="AA57" s="1" t="str">
        <f>IF(AND(AND(AND(AA$4&gt;='2025'!$L55,AA$4&lt;='2025'!$M55), AA$4&lt;&gt;DATE(2025,7,4)), (SWITCH(weekday(AA$4), 1, 0, 2, if(ISBLANK('2025'!$P55), 0, 1), 3, if(ISBLANK('2025'!$Q55), 0, 1), 4, if(ISBLANK('2025'!$R55), 0, 1), 5, if(ISBLANK('2025'!$S55), 0, 1), 6, if(ISBLANK('2025'!$T55), 0, 1), 7, 0))), 1, "")</f>
        <v/>
      </c>
      <c r="AB57" s="1" t="str">
        <f>IF(AND(AND(AND(AB$4&gt;='2025'!$L55,AB$4&lt;='2025'!$M55), AB$4&lt;&gt;DATE(2025,7,4)), (SWITCH(weekday(AB$4), 1, 0, 2, if(ISBLANK('2025'!$P55), 0, 1), 3, if(ISBLANK('2025'!$Q55), 0, 1), 4, if(ISBLANK('2025'!$R55), 0, 1), 5, if(ISBLANK('2025'!$S55), 0, 1), 6, if(ISBLANK('2025'!$T55), 0, 1), 7, 0))), 1, "")</f>
        <v/>
      </c>
      <c r="AC57" s="1" t="str">
        <f>IF(AND(AND(AND(AC$4&gt;='2025'!$L55,AC$4&lt;='2025'!$M55), AC$4&lt;&gt;DATE(2025,7,4)), (SWITCH(weekday(AC$4), 1, 0, 2, if(ISBLANK('2025'!$P55), 0, 1), 3, if(ISBLANK('2025'!$Q55), 0, 1), 4, if(ISBLANK('2025'!$R55), 0, 1), 5, if(ISBLANK('2025'!$S55), 0, 1), 6, if(ISBLANK('2025'!$T55), 0, 1), 7, 0))), 1, "")</f>
        <v/>
      </c>
      <c r="AD57" s="1" t="str">
        <f>IF(AND(AND(AND(AD$4&gt;='2025'!$L55,AD$4&lt;='2025'!$M55), AD$4&lt;&gt;DATE(2025,7,4)), (SWITCH(weekday(AD$4), 1, 0, 2, if(ISBLANK('2025'!$P55), 0, 1), 3, if(ISBLANK('2025'!$Q55), 0, 1), 4, if(ISBLANK('2025'!$R55), 0, 1), 5, if(ISBLANK('2025'!$S55), 0, 1), 6, if(ISBLANK('2025'!$T55), 0, 1), 7, 0))), 1, "")</f>
        <v/>
      </c>
      <c r="AE57" s="1" t="str">
        <f>IF(AND(AND(AND(AE$4&gt;='2025'!$L55,AE$4&lt;='2025'!$M55), AE$4&lt;&gt;DATE(2025,7,4)), (SWITCH(weekday(AE$4), 1, 0, 2, if(ISBLANK('2025'!$P55), 0, 1), 3, if(ISBLANK('2025'!$Q55), 0, 1), 4, if(ISBLANK('2025'!$R55), 0, 1), 5, if(ISBLANK('2025'!$S55), 0, 1), 6, if(ISBLANK('2025'!$T55), 0, 1), 7, 0))), 1, "")</f>
        <v/>
      </c>
      <c r="AF57" s="1" t="str">
        <f>IF(AND(AND(AND(AF$4&gt;='2025'!$L55,AF$4&lt;='2025'!$M55), AF$4&lt;&gt;DATE(2025,7,4)), (SWITCH(weekday(AF$4), 1, 0, 2, if(ISBLANK('2025'!$P55), 0, 1), 3, if(ISBLANK('2025'!$Q55), 0, 1), 4, if(ISBLANK('2025'!$R55), 0, 1), 5, if(ISBLANK('2025'!$S55), 0, 1), 6, if(ISBLANK('2025'!$T55), 0, 1), 7, 0))), 1, "")</f>
        <v/>
      </c>
      <c r="AG57" s="1" t="str">
        <f>IF(AND(AND(AND(AG$4&gt;='2025'!$L55,AG$4&lt;='2025'!$M55), AG$4&lt;&gt;DATE(2025,7,4)), (SWITCH(weekday(AG$4), 1, 0, 2, if(ISBLANK('2025'!$P55), 0, 1), 3, if(ISBLANK('2025'!$Q55), 0, 1), 4, if(ISBLANK('2025'!$R55), 0, 1), 5, if(ISBLANK('2025'!$S55), 0, 1), 6, if(ISBLANK('2025'!$T55), 0, 1), 7, 0))), 1, "")</f>
        <v/>
      </c>
      <c r="AH57" s="1" t="str">
        <f>IF(AND(AND(AND(AH$4&gt;='2025'!$L55,AH$4&lt;='2025'!$M55), AH$4&lt;&gt;DATE(2025,7,4)), (SWITCH(weekday(AH$4), 1, 0, 2, if(ISBLANK('2025'!$P55), 0, 1), 3, if(ISBLANK('2025'!$Q55), 0, 1), 4, if(ISBLANK('2025'!$R55), 0, 1), 5, if(ISBLANK('2025'!$S55), 0, 1), 6, if(ISBLANK('2025'!$T55), 0, 1), 7, 0))), 1, "")</f>
        <v/>
      </c>
      <c r="AI57" s="1" t="str">
        <f>IF(AND(AND(AND(AI$4&gt;='2025'!$L55,AI$4&lt;='2025'!$M55), AI$4&lt;&gt;DATE(2025,7,4)), (SWITCH(weekday(AI$4), 1, 0, 2, if(ISBLANK('2025'!$P55), 0, 1), 3, if(ISBLANK('2025'!$Q55), 0, 1), 4, if(ISBLANK('2025'!$R55), 0, 1), 5, if(ISBLANK('2025'!$S55), 0, 1), 6, if(ISBLANK('2025'!$T55), 0, 1), 7, 0))), 1, "")</f>
        <v/>
      </c>
      <c r="AJ57" s="1" t="str">
        <f>IF(AND(AND(AND(AJ$4&gt;='2025'!$L55,AJ$4&lt;='2025'!$M55), AJ$4&lt;&gt;DATE(2025,7,4)), (SWITCH(weekday(AJ$4), 1, 0, 2, if(ISBLANK('2025'!$P55), 0, 1), 3, if(ISBLANK('2025'!$Q55), 0, 1), 4, if(ISBLANK('2025'!$R55), 0, 1), 5, if(ISBLANK('2025'!$S55), 0, 1), 6, if(ISBLANK('2025'!$T55), 0, 1), 7, 0))), 1, "")</f>
        <v/>
      </c>
      <c r="AK57" s="1" t="str">
        <f>IF(AND(AND(AND(AK$4&gt;='2025'!$L55,AK$4&lt;='2025'!$M55), AK$4&lt;&gt;DATE(2025,7,4)), (SWITCH(weekday(AK$4), 1, 0, 2, if(ISBLANK('2025'!$P55), 0, 1), 3, if(ISBLANK('2025'!$Q55), 0, 1), 4, if(ISBLANK('2025'!$R55), 0, 1), 5, if(ISBLANK('2025'!$S55), 0, 1), 6, if(ISBLANK('2025'!$T55), 0, 1), 7, 0))), 1, "")</f>
        <v/>
      </c>
      <c r="AL57" s="1" t="str">
        <f>IF(AND(AND(AND(AL$4&gt;='2025'!$L55,AL$4&lt;='2025'!$M55), AL$4&lt;&gt;DATE(2025,7,4)), (SWITCH(weekday(AL$4), 1, 0, 2, if(ISBLANK('2025'!$P55), 0, 1), 3, if(ISBLANK('2025'!$Q55), 0, 1), 4, if(ISBLANK('2025'!$R55), 0, 1), 5, if(ISBLANK('2025'!$S55), 0, 1), 6, if(ISBLANK('2025'!$T55), 0, 1), 7, 0))), 1, "")</f>
        <v/>
      </c>
      <c r="AM57" s="1" t="str">
        <f>IF(AND(AND(AND(AM$4&gt;='2025'!$L55,AM$4&lt;='2025'!$M55), AM$4&lt;&gt;DATE(2025,7,4)), (SWITCH(weekday(AM$4), 1, 0, 2, if(ISBLANK('2025'!$P55), 0, 1), 3, if(ISBLANK('2025'!$Q55), 0, 1), 4, if(ISBLANK('2025'!$R55), 0, 1), 5, if(ISBLANK('2025'!$S55), 0, 1), 6, if(ISBLANK('2025'!$T55), 0, 1), 7, 0))), 1, "")</f>
        <v/>
      </c>
      <c r="AN57" s="1" t="str">
        <f>IF(AND(AND(AND(AN$4&gt;='2025'!$L55,AN$4&lt;='2025'!$M55), AN$4&lt;&gt;DATE(2025,7,4)), (SWITCH(weekday(AN$4), 1, 0, 2, if(ISBLANK('2025'!$P55), 0, 1), 3, if(ISBLANK('2025'!$Q55), 0, 1), 4, if(ISBLANK('2025'!$R55), 0, 1), 5, if(ISBLANK('2025'!$S55), 0, 1), 6, if(ISBLANK('2025'!$T55), 0, 1), 7, 0))), 1, "")</f>
        <v/>
      </c>
      <c r="AO57" s="1" t="str">
        <f>IF(AND(AND(AND(AO$4&gt;='2025'!$L55,AO$4&lt;='2025'!$M55), AO$4&lt;&gt;DATE(2025,7,4)), (SWITCH(weekday(AO$4), 1, 0, 2, if(ISBLANK('2025'!$P55), 0, 1), 3, if(ISBLANK('2025'!$Q55), 0, 1), 4, if(ISBLANK('2025'!$R55), 0, 1), 5, if(ISBLANK('2025'!$S55), 0, 1), 6, if(ISBLANK('2025'!$T55), 0, 1), 7, 0))), 1, "")</f>
        <v/>
      </c>
      <c r="AP57" s="1" t="str">
        <f>IF(AND(AND(AND(AP$4&gt;='2025'!$L55,AP$4&lt;='2025'!$M55), AP$4&lt;&gt;DATE(2025,7,4)), (SWITCH(weekday(AP$4), 1, 0, 2, if(ISBLANK('2025'!$P55), 0, 1), 3, if(ISBLANK('2025'!$Q55), 0, 1), 4, if(ISBLANK('2025'!$R55), 0, 1), 5, if(ISBLANK('2025'!$S55), 0, 1), 6, if(ISBLANK('2025'!$T55), 0, 1), 7, 0))), 1, "")</f>
        <v/>
      </c>
      <c r="AQ57" s="1" t="str">
        <f>IF(AND(AND(AND(AQ$4&gt;='2025'!$L55,AQ$4&lt;='2025'!$M55), AQ$4&lt;&gt;DATE(2025,7,4)), (SWITCH(weekday(AQ$4), 1, 0, 2, if(ISBLANK('2025'!$P55), 0, 1), 3, if(ISBLANK('2025'!$Q55), 0, 1), 4, if(ISBLANK('2025'!$R55), 0, 1), 5, if(ISBLANK('2025'!$S55), 0, 1), 6, if(ISBLANK('2025'!$T55), 0, 1), 7, 0))), 1, "")</f>
        <v/>
      </c>
      <c r="AR57" s="1" t="str">
        <f>IF(AND(AND(AND(AR$4&gt;='2025'!$L55,AR$4&lt;='2025'!$M55), AR$4&lt;&gt;DATE(2025,7,4)), (SWITCH(weekday(AR$4), 1, 0, 2, if(ISBLANK('2025'!$P55), 0, 1), 3, if(ISBLANK('2025'!$Q55), 0, 1), 4, if(ISBLANK('2025'!$R55), 0, 1), 5, if(ISBLANK('2025'!$S55), 0, 1), 6, if(ISBLANK('2025'!$T55), 0, 1), 7, 0))), 1, "")</f>
        <v/>
      </c>
      <c r="AS57" s="1" t="str">
        <f>IF(AND(AND(AND(AS$4&gt;='2025'!$L55,AS$4&lt;='2025'!$M55), AS$4&lt;&gt;DATE(2025,7,4)), (SWITCH(weekday(AS$4), 1, 0, 2, if(ISBLANK('2025'!$P55), 0, 1), 3, if(ISBLANK('2025'!$Q55), 0, 1), 4, if(ISBLANK('2025'!$R55), 0, 1), 5, if(ISBLANK('2025'!$S55), 0, 1), 6, if(ISBLANK('2025'!$T55), 0, 1), 7, 0))), 1, "")</f>
        <v/>
      </c>
      <c r="AT57" s="1" t="str">
        <f>IF(AND(AND(AND(AT$4&gt;='2025'!$L55,AT$4&lt;='2025'!$M55), AT$4&lt;&gt;DATE(2025,7,4)), (SWITCH(weekday(AT$4), 1, 0, 2, if(ISBLANK('2025'!$P55), 0, 1), 3, if(ISBLANK('2025'!$Q55), 0, 1), 4, if(ISBLANK('2025'!$R55), 0, 1), 5, if(ISBLANK('2025'!$S55), 0, 1), 6, if(ISBLANK('2025'!$T55), 0, 1), 7, 0))), 1, "")</f>
        <v/>
      </c>
      <c r="AU57" s="1" t="str">
        <f>IF(AND(AND(AND(AU$4&gt;='2025'!$L55,AU$4&lt;='2025'!$M55), AU$4&lt;&gt;DATE(2025,7,4)), (SWITCH(weekday(AU$4), 1, 0, 2, if(ISBLANK('2025'!$P55), 0, 1), 3, if(ISBLANK('2025'!$Q55), 0, 1), 4, if(ISBLANK('2025'!$R55), 0, 1), 5, if(ISBLANK('2025'!$S55), 0, 1), 6, if(ISBLANK('2025'!$T55), 0, 1), 7, 0))), 1, "")</f>
        <v/>
      </c>
      <c r="AV57" s="1" t="str">
        <f>IF(AND(AND(AND(AV$4&gt;='2025'!$L55,AV$4&lt;='2025'!$M55), AV$4&lt;&gt;DATE(2025,7,4)), (SWITCH(weekday(AV$4), 1, 0, 2, if(ISBLANK('2025'!$P55), 0, 1), 3, if(ISBLANK('2025'!$Q55), 0, 1), 4, if(ISBLANK('2025'!$R55), 0, 1), 5, if(ISBLANK('2025'!$S55), 0, 1), 6, if(ISBLANK('2025'!$T55), 0, 1), 7, 0))), 1, "")</f>
        <v/>
      </c>
      <c r="AW57" s="1" t="str">
        <f>IF(AND(AND(AND(AW$4&gt;='2025'!$L55,AW$4&lt;='2025'!$M55), AW$4&lt;&gt;DATE(2025,7,4)), (SWITCH(weekday(AW$4), 1, 0, 2, if(ISBLANK('2025'!$P55), 0, 1), 3, if(ISBLANK('2025'!$Q55), 0, 1), 4, if(ISBLANK('2025'!$R55), 0, 1), 5, if(ISBLANK('2025'!$S55), 0, 1), 6, if(ISBLANK('2025'!$T55), 0, 1), 7, 0))), 1, "")</f>
        <v/>
      </c>
      <c r="AX57" s="1" t="str">
        <f>IF(AND(AND(AND(AX$4&gt;='2025'!$L55,AX$4&lt;='2025'!$M55), AX$4&lt;&gt;DATE(2025,7,4)), (SWITCH(weekday(AX$4), 1, 0, 2, if(ISBLANK('2025'!$P55), 0, 1), 3, if(ISBLANK('2025'!$Q55), 0, 1), 4, if(ISBLANK('2025'!$R55), 0, 1), 5, if(ISBLANK('2025'!$S55), 0, 1), 6, if(ISBLANK('2025'!$T55), 0, 1), 7, 0))), 1, "")</f>
        <v/>
      </c>
      <c r="AY57" s="1" t="str">
        <f>IF(AND(AND(AND(AY$4&gt;='2025'!$L55,AY$4&lt;='2025'!$M55), AY$4&lt;&gt;DATE(2025,7,4)), (SWITCH(weekday(AY$4), 1, 0, 2, if(ISBLANK('2025'!$P55), 0, 1), 3, if(ISBLANK('2025'!$Q55), 0, 1), 4, if(ISBLANK('2025'!$R55), 0, 1), 5, if(ISBLANK('2025'!$S55), 0, 1), 6, if(ISBLANK('2025'!$T55), 0, 1), 7, 0))), 1, "")</f>
        <v/>
      </c>
      <c r="AZ57" s="1" t="str">
        <f>IF(AND(AND(AND(AZ$4&gt;='2025'!$L55,AZ$4&lt;='2025'!$M55), AZ$4&lt;&gt;DATE(2025,7,4)), (SWITCH(weekday(AZ$4), 1, 0, 2, if(ISBLANK('2025'!$P55), 0, 1), 3, if(ISBLANK('2025'!$Q55), 0, 1), 4, if(ISBLANK('2025'!$R55), 0, 1), 5, if(ISBLANK('2025'!$S55), 0, 1), 6, if(ISBLANK('2025'!$T55), 0, 1), 7, 0))), 1, "")</f>
        <v/>
      </c>
      <c r="BA57" s="1" t="str">
        <f>IF(AND(AND(AND(BA$4&gt;='2025'!$L55,BA$4&lt;='2025'!$M55), BA$4&lt;&gt;DATE(2025,7,4)), (SWITCH(weekday(BA$4), 1, 0, 2, if(ISBLANK('2025'!$P55), 0, 1), 3, if(ISBLANK('2025'!$Q55), 0, 1), 4, if(ISBLANK('2025'!$R55), 0, 1), 5, if(ISBLANK('2025'!$S55), 0, 1), 6, if(ISBLANK('2025'!$T55), 0, 1), 7, 0))), 1, "")</f>
        <v/>
      </c>
      <c r="BB57" s="1" t="str">
        <f>IF(AND(AND(AND(BB$4&gt;='2025'!$L55,BB$4&lt;='2025'!$M55), BB$4&lt;&gt;DATE(2025,7,4)), (SWITCH(weekday(BB$4), 1, 0, 2, if(ISBLANK('2025'!$P55), 0, 1), 3, if(ISBLANK('2025'!$Q55), 0, 1), 4, if(ISBLANK('2025'!$R55), 0, 1), 5, if(ISBLANK('2025'!$S55), 0, 1), 6, if(ISBLANK('2025'!$T55), 0, 1), 7, 0))), 1, "")</f>
        <v/>
      </c>
      <c r="BC57" s="1" t="str">
        <f>IF(AND(AND(AND(BC$4&gt;='2025'!$L55,BC$4&lt;='2025'!$M55), BC$4&lt;&gt;DATE(2025,7,4)), (SWITCH(weekday(BC$4), 1, 0, 2, if(ISBLANK('2025'!$P55), 0, 1), 3, if(ISBLANK('2025'!$Q55), 0, 1), 4, if(ISBLANK('2025'!$R55), 0, 1), 5, if(ISBLANK('2025'!$S55), 0, 1), 6, if(ISBLANK('2025'!$T55), 0, 1), 7, 0))), 1, "")</f>
        <v/>
      </c>
      <c r="BD57" s="1" t="str">
        <f>IF(AND(AND(AND(BD$4&gt;='2025'!$L55,BD$4&lt;='2025'!$M55), BD$4&lt;&gt;DATE(2025,7,4)), (SWITCH(weekday(BD$4), 1, 0, 2, if(ISBLANK('2025'!$P55), 0, 1), 3, if(ISBLANK('2025'!$Q55), 0, 1), 4, if(ISBLANK('2025'!$R55), 0, 1), 5, if(ISBLANK('2025'!$S55), 0, 1), 6, if(ISBLANK('2025'!$T55), 0, 1), 7, 0))), 1, "")</f>
        <v/>
      </c>
      <c r="BE57" s="1" t="str">
        <f>IF(AND(AND(AND(BE$4&gt;='2025'!$L55,BE$4&lt;='2025'!$M55), BE$4&lt;&gt;DATE(2025,7,4)), (SWITCH(weekday(BE$4), 1, 0, 2, if(ISBLANK('2025'!$P55), 0, 1), 3, if(ISBLANK('2025'!$Q55), 0, 1), 4, if(ISBLANK('2025'!$R55), 0, 1), 5, if(ISBLANK('2025'!$S55), 0, 1), 6, if(ISBLANK('2025'!$T55), 0, 1), 7, 0))), 1, "")</f>
        <v/>
      </c>
      <c r="BF57" s="1" t="str">
        <f>IF(AND(AND(AND(BF$4&gt;='2025'!$L55,BF$4&lt;='2025'!$M55), BF$4&lt;&gt;DATE(2025,7,4)), (SWITCH(weekday(BF$4), 1, 0, 2, if(ISBLANK('2025'!$P55), 0, 1), 3, if(ISBLANK('2025'!$Q55), 0, 1), 4, if(ISBLANK('2025'!$R55), 0, 1), 5, if(ISBLANK('2025'!$S55), 0, 1), 6, if(ISBLANK('2025'!$T55), 0, 1), 7, 0))), 1, "")</f>
        <v/>
      </c>
      <c r="BG57" s="1"/>
      <c r="BH57" s="1"/>
      <c r="BI57" s="1"/>
      <c r="BJ57" s="1"/>
      <c r="BK57" s="1"/>
      <c r="BL57" s="1"/>
    </row>
    <row r="58">
      <c r="A58" s="1">
        <f t="shared" si="3"/>
        <v>58</v>
      </c>
      <c r="B58" s="1" t="str">
        <f>'2025'!D56</f>
        <v>behan, eily </v>
      </c>
      <c r="C58" s="1" t="str">
        <f>'2025'!H56</f>
        <v>PK3</v>
      </c>
      <c r="D58" s="1" t="str">
        <f>IF(AND(AND(AND(D$4&gt;='2025'!$L56,D$4&lt;='2025'!$M56), D$4&lt;&gt;DATE(2025,7,4)), (SWITCH(weekday(D$4), 1, 0, 2, if(ISBLANK('2025'!$P56), 0, 1), 3, if(ISBLANK('2025'!$Q56), 0, 1), 4, if(ISBLANK('2025'!$R56), 0, 1), 5, if(ISBLANK('2025'!$S56), 0, 1), 6, if(ISBLANK('2025'!$T56), 0, 1), 7, 0))), 1, "")</f>
        <v/>
      </c>
      <c r="E58" s="1" t="str">
        <f>IF(AND(AND(AND(E$4&gt;='2025'!$L56,E$4&lt;='2025'!$M56), E$4&lt;&gt;DATE(2025,7,4)), (SWITCH(weekday(E$4), 1, 0, 2, if(ISBLANK('2025'!$P56), 0, 1), 3, if(ISBLANK('2025'!$Q56), 0, 1), 4, if(ISBLANK('2025'!$R56), 0, 1), 5, if(ISBLANK('2025'!$S56), 0, 1), 6, if(ISBLANK('2025'!$T56), 0, 1), 7, 0))), 1, "")</f>
        <v/>
      </c>
      <c r="F58" s="1" t="str">
        <f>IF(AND(AND(AND(F$4&gt;='2025'!$L56,F$4&lt;='2025'!$M56), F$4&lt;&gt;DATE(2025,7,4)), (SWITCH(weekday(F$4), 1, 0, 2, if(ISBLANK('2025'!$P56), 0, 1), 3, if(ISBLANK('2025'!$Q56), 0, 1), 4, if(ISBLANK('2025'!$R56), 0, 1), 5, if(ISBLANK('2025'!$S56), 0, 1), 6, if(ISBLANK('2025'!$T56), 0, 1), 7, 0))), 1, "")</f>
        <v/>
      </c>
      <c r="G58" s="1" t="str">
        <f>IF(AND(AND(AND(G$4&gt;='2025'!$L56,G$4&lt;='2025'!$M56), G$4&lt;&gt;DATE(2025,7,4)), (SWITCH(weekday(G$4), 1, 0, 2, if(ISBLANK('2025'!$P56), 0, 1), 3, if(ISBLANK('2025'!$Q56), 0, 1), 4, if(ISBLANK('2025'!$R56), 0, 1), 5, if(ISBLANK('2025'!$S56), 0, 1), 6, if(ISBLANK('2025'!$T56), 0, 1), 7, 0))), 1, "")</f>
        <v/>
      </c>
      <c r="H58" s="1" t="str">
        <f>IF(AND(AND(AND(H$4&gt;='2025'!$L56,H$4&lt;='2025'!$M56), H$4&lt;&gt;DATE(2025,7,4)), (SWITCH(weekday(H$4), 1, 0, 2, if(ISBLANK('2025'!$P56), 0, 1), 3, if(ISBLANK('2025'!$Q56), 0, 1), 4, if(ISBLANK('2025'!$R56), 0, 1), 5, if(ISBLANK('2025'!$S56), 0, 1), 6, if(ISBLANK('2025'!$T56), 0, 1), 7, 0))), 1, "")</f>
        <v/>
      </c>
      <c r="I58" s="1" t="str">
        <f>IF(AND(AND(AND(I$4&gt;='2025'!$L56,I$4&lt;='2025'!$M56), I$4&lt;&gt;DATE(2025,7,4)), (SWITCH(weekday(I$4), 1, 0, 2, if(ISBLANK('2025'!$P56), 0, 1), 3, if(ISBLANK('2025'!$Q56), 0, 1), 4, if(ISBLANK('2025'!$R56), 0, 1), 5, if(ISBLANK('2025'!$S56), 0, 1), 6, if(ISBLANK('2025'!$T56), 0, 1), 7, 0))), 1, "")</f>
        <v/>
      </c>
      <c r="J58" s="1" t="str">
        <f>IF(AND(AND(AND(J$4&gt;='2025'!$L56,J$4&lt;='2025'!$M56), J$4&lt;&gt;DATE(2025,7,4)), (SWITCH(weekday(J$4), 1, 0, 2, if(ISBLANK('2025'!$P56), 0, 1), 3, if(ISBLANK('2025'!$Q56), 0, 1), 4, if(ISBLANK('2025'!$R56), 0, 1), 5, if(ISBLANK('2025'!$S56), 0, 1), 6, if(ISBLANK('2025'!$T56), 0, 1), 7, 0))), 1, "")</f>
        <v/>
      </c>
      <c r="K58" s="1" t="str">
        <f>IF(AND(AND(AND(K$4&gt;='2025'!$L56,K$4&lt;='2025'!$M56), K$4&lt;&gt;DATE(2025,7,4)), (SWITCH(weekday(K$4), 1, 0, 2, if(ISBLANK('2025'!$P56), 0, 1), 3, if(ISBLANK('2025'!$Q56), 0, 1), 4, if(ISBLANK('2025'!$R56), 0, 1), 5, if(ISBLANK('2025'!$S56), 0, 1), 6, if(ISBLANK('2025'!$T56), 0, 1), 7, 0))), 1, "")</f>
        <v/>
      </c>
      <c r="L58" s="1" t="str">
        <f>IF(AND(AND(AND(L$4&gt;='2025'!$L56,L$4&lt;='2025'!$M56), L$4&lt;&gt;DATE(2025,7,4)), (SWITCH(weekday(L$4), 1, 0, 2, if(ISBLANK('2025'!$P56), 0, 1), 3, if(ISBLANK('2025'!$Q56), 0, 1), 4, if(ISBLANK('2025'!$R56), 0, 1), 5, if(ISBLANK('2025'!$S56), 0, 1), 6, if(ISBLANK('2025'!$T56), 0, 1), 7, 0))), 1, "")</f>
        <v/>
      </c>
      <c r="M58" s="1" t="str">
        <f>IF(AND(AND(AND(M$4&gt;='2025'!$L56,M$4&lt;='2025'!$M56), M$4&lt;&gt;DATE(2025,7,4)), (SWITCH(weekday(M$4), 1, 0, 2, if(ISBLANK('2025'!$P56), 0, 1), 3, if(ISBLANK('2025'!$Q56), 0, 1), 4, if(ISBLANK('2025'!$R56), 0, 1), 5, if(ISBLANK('2025'!$S56), 0, 1), 6, if(ISBLANK('2025'!$T56), 0, 1), 7, 0))), 1, "")</f>
        <v/>
      </c>
      <c r="N58" s="1" t="str">
        <f>IF(AND(AND(AND(N$4&gt;='2025'!$L56,N$4&lt;='2025'!$M56), N$4&lt;&gt;DATE(2025,7,4)), (SWITCH(weekday(N$4), 1, 0, 2, if(ISBLANK('2025'!$P56), 0, 1), 3, if(ISBLANK('2025'!$Q56), 0, 1), 4, if(ISBLANK('2025'!$R56), 0, 1), 5, if(ISBLANK('2025'!$S56), 0, 1), 6, if(ISBLANK('2025'!$T56), 0, 1), 7, 0))), 1, "")</f>
        <v/>
      </c>
      <c r="O58" s="1" t="str">
        <f>IF(AND(AND(AND(O$4&gt;='2025'!$L56,O$4&lt;='2025'!$M56), O$4&lt;&gt;DATE(2025,7,4)), (SWITCH(weekday(O$4), 1, 0, 2, if(ISBLANK('2025'!$P56), 0, 1), 3, if(ISBLANK('2025'!$Q56), 0, 1), 4, if(ISBLANK('2025'!$R56), 0, 1), 5, if(ISBLANK('2025'!$S56), 0, 1), 6, if(ISBLANK('2025'!$T56), 0, 1), 7, 0))), 1, "")</f>
        <v/>
      </c>
      <c r="P58" s="1" t="str">
        <f>IF(AND(AND(AND(P$4&gt;='2025'!$L56,P$4&lt;='2025'!$M56), P$4&lt;&gt;DATE(2025,7,4)), (SWITCH(weekday(P$4), 1, 0, 2, if(ISBLANK('2025'!$P56), 0, 1), 3, if(ISBLANK('2025'!$Q56), 0, 1), 4, if(ISBLANK('2025'!$R56), 0, 1), 5, if(ISBLANK('2025'!$S56), 0, 1), 6, if(ISBLANK('2025'!$T56), 0, 1), 7, 0))), 1, "")</f>
        <v/>
      </c>
      <c r="Q58" s="1" t="str">
        <f>IF(AND(AND(AND(Q$4&gt;='2025'!$L56,Q$4&lt;='2025'!$M56), Q$4&lt;&gt;DATE(2025,7,4)), (SWITCH(weekday(Q$4), 1, 0, 2, if(ISBLANK('2025'!$P56), 0, 1), 3, if(ISBLANK('2025'!$Q56), 0, 1), 4, if(ISBLANK('2025'!$R56), 0, 1), 5, if(ISBLANK('2025'!$S56), 0, 1), 6, if(ISBLANK('2025'!$T56), 0, 1), 7, 0))), 1, "")</f>
        <v/>
      </c>
      <c r="R58" s="1" t="str">
        <f>IF(AND(AND(AND(R$4&gt;='2025'!$L56,R$4&lt;='2025'!$M56), R$4&lt;&gt;DATE(2025,7,4)), (SWITCH(weekday(R$4), 1, 0, 2, if(ISBLANK('2025'!$P56), 0, 1), 3, if(ISBLANK('2025'!$Q56), 0, 1), 4, if(ISBLANK('2025'!$R56), 0, 1), 5, if(ISBLANK('2025'!$S56), 0, 1), 6, if(ISBLANK('2025'!$T56), 0, 1), 7, 0))), 1, "")</f>
        <v/>
      </c>
      <c r="S58" s="1" t="str">
        <f>IF(AND(AND(AND(S$4&gt;='2025'!$L56,S$4&lt;='2025'!$M56), S$4&lt;&gt;DATE(2025,7,4)), (SWITCH(weekday(S$4), 1, 0, 2, if(ISBLANK('2025'!$P56), 0, 1), 3, if(ISBLANK('2025'!$Q56), 0, 1), 4, if(ISBLANK('2025'!$R56), 0, 1), 5, if(ISBLANK('2025'!$S56), 0, 1), 6, if(ISBLANK('2025'!$T56), 0, 1), 7, 0))), 1, "")</f>
        <v/>
      </c>
      <c r="T58" s="1" t="str">
        <f>IF(AND(AND(AND(T$4&gt;='2025'!$L56,T$4&lt;='2025'!$M56), T$4&lt;&gt;DATE(2025,7,4)), (SWITCH(weekday(T$4), 1, 0, 2, if(ISBLANK('2025'!$P56), 0, 1), 3, if(ISBLANK('2025'!$Q56), 0, 1), 4, if(ISBLANK('2025'!$R56), 0, 1), 5, if(ISBLANK('2025'!$S56), 0, 1), 6, if(ISBLANK('2025'!$T56), 0, 1), 7, 0))), 1, "")</f>
        <v/>
      </c>
      <c r="U58" s="1" t="str">
        <f>IF(AND(AND(AND(U$4&gt;='2025'!$L56,U$4&lt;='2025'!$M56), U$4&lt;&gt;DATE(2025,7,4)), (SWITCH(weekday(U$4), 1, 0, 2, if(ISBLANK('2025'!$P56), 0, 1), 3, if(ISBLANK('2025'!$Q56), 0, 1), 4, if(ISBLANK('2025'!$R56), 0, 1), 5, if(ISBLANK('2025'!$S56), 0, 1), 6, if(ISBLANK('2025'!$T56), 0, 1), 7, 0))), 1, "")</f>
        <v/>
      </c>
      <c r="V58" s="1" t="str">
        <f>IF(AND(AND(AND(V$4&gt;='2025'!$L56,V$4&lt;='2025'!$M56), V$4&lt;&gt;DATE(2025,7,4)), (SWITCH(weekday(V$4), 1, 0, 2, if(ISBLANK('2025'!$P56), 0, 1), 3, if(ISBLANK('2025'!$Q56), 0, 1), 4, if(ISBLANK('2025'!$R56), 0, 1), 5, if(ISBLANK('2025'!$S56), 0, 1), 6, if(ISBLANK('2025'!$T56), 0, 1), 7, 0))), 1, "")</f>
        <v/>
      </c>
      <c r="W58" s="1" t="str">
        <f>IF(AND(AND(AND(W$4&gt;='2025'!$L56,W$4&lt;='2025'!$M56), W$4&lt;&gt;DATE(2025,7,4)), (SWITCH(weekday(W$4), 1, 0, 2, if(ISBLANK('2025'!$P56), 0, 1), 3, if(ISBLANK('2025'!$Q56), 0, 1), 4, if(ISBLANK('2025'!$R56), 0, 1), 5, if(ISBLANK('2025'!$S56), 0, 1), 6, if(ISBLANK('2025'!$T56), 0, 1), 7, 0))), 1, "")</f>
        <v/>
      </c>
      <c r="X58" s="1" t="str">
        <f>IF(AND(AND(AND(X$4&gt;='2025'!$L56,X$4&lt;='2025'!$M56), X$4&lt;&gt;DATE(2025,7,4)), (SWITCH(weekday(X$4), 1, 0, 2, if(ISBLANK('2025'!$P56), 0, 1), 3, if(ISBLANK('2025'!$Q56), 0, 1), 4, if(ISBLANK('2025'!$R56), 0, 1), 5, if(ISBLANK('2025'!$S56), 0, 1), 6, if(ISBLANK('2025'!$T56), 0, 1), 7, 0))), 1, "")</f>
        <v/>
      </c>
      <c r="Y58" s="1" t="str">
        <f>IF(AND(AND(AND(Y$4&gt;='2025'!$L56,Y$4&lt;='2025'!$M56), Y$4&lt;&gt;DATE(2025,7,4)), (SWITCH(weekday(Y$4), 1, 0, 2, if(ISBLANK('2025'!$P56), 0, 1), 3, if(ISBLANK('2025'!$Q56), 0, 1), 4, if(ISBLANK('2025'!$R56), 0, 1), 5, if(ISBLANK('2025'!$S56), 0, 1), 6, if(ISBLANK('2025'!$T56), 0, 1), 7, 0))), 1, "")</f>
        <v/>
      </c>
      <c r="Z58" s="1" t="str">
        <f>IF(AND(AND(AND(Z$4&gt;='2025'!$L56,Z$4&lt;='2025'!$M56), Z$4&lt;&gt;DATE(2025,7,4)), (SWITCH(weekday(Z$4), 1, 0, 2, if(ISBLANK('2025'!$P56), 0, 1), 3, if(ISBLANK('2025'!$Q56), 0, 1), 4, if(ISBLANK('2025'!$R56), 0, 1), 5, if(ISBLANK('2025'!$S56), 0, 1), 6, if(ISBLANK('2025'!$T56), 0, 1), 7, 0))), 1, "")</f>
        <v/>
      </c>
      <c r="AA58" s="1" t="str">
        <f>IF(AND(AND(AND(AA$4&gt;='2025'!$L56,AA$4&lt;='2025'!$M56), AA$4&lt;&gt;DATE(2025,7,4)), (SWITCH(weekday(AA$4), 1, 0, 2, if(ISBLANK('2025'!$P56), 0, 1), 3, if(ISBLANK('2025'!$Q56), 0, 1), 4, if(ISBLANK('2025'!$R56), 0, 1), 5, if(ISBLANK('2025'!$S56), 0, 1), 6, if(ISBLANK('2025'!$T56), 0, 1), 7, 0))), 1, "")</f>
        <v/>
      </c>
      <c r="AB58" s="1" t="str">
        <f>IF(AND(AND(AND(AB$4&gt;='2025'!$L56,AB$4&lt;='2025'!$M56), AB$4&lt;&gt;DATE(2025,7,4)), (SWITCH(weekday(AB$4), 1, 0, 2, if(ISBLANK('2025'!$P56), 0, 1), 3, if(ISBLANK('2025'!$Q56), 0, 1), 4, if(ISBLANK('2025'!$R56), 0, 1), 5, if(ISBLANK('2025'!$S56), 0, 1), 6, if(ISBLANK('2025'!$T56), 0, 1), 7, 0))), 1, "")</f>
        <v/>
      </c>
      <c r="AC58" s="1" t="str">
        <f>IF(AND(AND(AND(AC$4&gt;='2025'!$L56,AC$4&lt;='2025'!$M56), AC$4&lt;&gt;DATE(2025,7,4)), (SWITCH(weekday(AC$4), 1, 0, 2, if(ISBLANK('2025'!$P56), 0, 1), 3, if(ISBLANK('2025'!$Q56), 0, 1), 4, if(ISBLANK('2025'!$R56), 0, 1), 5, if(ISBLANK('2025'!$S56), 0, 1), 6, if(ISBLANK('2025'!$T56), 0, 1), 7, 0))), 1, "")</f>
        <v/>
      </c>
      <c r="AD58" s="1" t="str">
        <f>IF(AND(AND(AND(AD$4&gt;='2025'!$L56,AD$4&lt;='2025'!$M56), AD$4&lt;&gt;DATE(2025,7,4)), (SWITCH(weekday(AD$4), 1, 0, 2, if(ISBLANK('2025'!$P56), 0, 1), 3, if(ISBLANK('2025'!$Q56), 0, 1), 4, if(ISBLANK('2025'!$R56), 0, 1), 5, if(ISBLANK('2025'!$S56), 0, 1), 6, if(ISBLANK('2025'!$T56), 0, 1), 7, 0))), 1, "")</f>
        <v/>
      </c>
      <c r="AE58" s="1" t="str">
        <f>IF(AND(AND(AND(AE$4&gt;='2025'!$L56,AE$4&lt;='2025'!$M56), AE$4&lt;&gt;DATE(2025,7,4)), (SWITCH(weekday(AE$4), 1, 0, 2, if(ISBLANK('2025'!$P56), 0, 1), 3, if(ISBLANK('2025'!$Q56), 0, 1), 4, if(ISBLANK('2025'!$R56), 0, 1), 5, if(ISBLANK('2025'!$S56), 0, 1), 6, if(ISBLANK('2025'!$T56), 0, 1), 7, 0))), 1, "")</f>
        <v/>
      </c>
      <c r="AF58" s="1" t="str">
        <f>IF(AND(AND(AND(AF$4&gt;='2025'!$L56,AF$4&lt;='2025'!$M56), AF$4&lt;&gt;DATE(2025,7,4)), (SWITCH(weekday(AF$4), 1, 0, 2, if(ISBLANK('2025'!$P56), 0, 1), 3, if(ISBLANK('2025'!$Q56), 0, 1), 4, if(ISBLANK('2025'!$R56), 0, 1), 5, if(ISBLANK('2025'!$S56), 0, 1), 6, if(ISBLANK('2025'!$T56), 0, 1), 7, 0))), 1, "")</f>
        <v/>
      </c>
      <c r="AG58" s="1" t="str">
        <f>IF(AND(AND(AND(AG$4&gt;='2025'!$L56,AG$4&lt;='2025'!$M56), AG$4&lt;&gt;DATE(2025,7,4)), (SWITCH(weekday(AG$4), 1, 0, 2, if(ISBLANK('2025'!$P56), 0, 1), 3, if(ISBLANK('2025'!$Q56), 0, 1), 4, if(ISBLANK('2025'!$R56), 0, 1), 5, if(ISBLANK('2025'!$S56), 0, 1), 6, if(ISBLANK('2025'!$T56), 0, 1), 7, 0))), 1, "")</f>
        <v/>
      </c>
      <c r="AH58" s="1" t="str">
        <f>IF(AND(AND(AND(AH$4&gt;='2025'!$L56,AH$4&lt;='2025'!$M56), AH$4&lt;&gt;DATE(2025,7,4)), (SWITCH(weekday(AH$4), 1, 0, 2, if(ISBLANK('2025'!$P56), 0, 1), 3, if(ISBLANK('2025'!$Q56), 0, 1), 4, if(ISBLANK('2025'!$R56), 0, 1), 5, if(ISBLANK('2025'!$S56), 0, 1), 6, if(ISBLANK('2025'!$T56), 0, 1), 7, 0))), 1, "")</f>
        <v/>
      </c>
      <c r="AI58" s="1" t="str">
        <f>IF(AND(AND(AND(AI$4&gt;='2025'!$L56,AI$4&lt;='2025'!$M56), AI$4&lt;&gt;DATE(2025,7,4)), (SWITCH(weekday(AI$4), 1, 0, 2, if(ISBLANK('2025'!$P56), 0, 1), 3, if(ISBLANK('2025'!$Q56), 0, 1), 4, if(ISBLANK('2025'!$R56), 0, 1), 5, if(ISBLANK('2025'!$S56), 0, 1), 6, if(ISBLANK('2025'!$T56), 0, 1), 7, 0))), 1, "")</f>
        <v/>
      </c>
      <c r="AJ58" s="1" t="str">
        <f>IF(AND(AND(AND(AJ$4&gt;='2025'!$L56,AJ$4&lt;='2025'!$M56), AJ$4&lt;&gt;DATE(2025,7,4)), (SWITCH(weekday(AJ$4), 1, 0, 2, if(ISBLANK('2025'!$P56), 0, 1), 3, if(ISBLANK('2025'!$Q56), 0, 1), 4, if(ISBLANK('2025'!$R56), 0, 1), 5, if(ISBLANK('2025'!$S56), 0, 1), 6, if(ISBLANK('2025'!$T56), 0, 1), 7, 0))), 1, "")</f>
        <v/>
      </c>
      <c r="AK58" s="1" t="str">
        <f>IF(AND(AND(AND(AK$4&gt;='2025'!$L56,AK$4&lt;='2025'!$M56), AK$4&lt;&gt;DATE(2025,7,4)), (SWITCH(weekday(AK$4), 1, 0, 2, if(ISBLANK('2025'!$P56), 0, 1), 3, if(ISBLANK('2025'!$Q56), 0, 1), 4, if(ISBLANK('2025'!$R56), 0, 1), 5, if(ISBLANK('2025'!$S56), 0, 1), 6, if(ISBLANK('2025'!$T56), 0, 1), 7, 0))), 1, "")</f>
        <v/>
      </c>
      <c r="AL58" s="1" t="str">
        <f>IF(AND(AND(AND(AL$4&gt;='2025'!$L56,AL$4&lt;='2025'!$M56), AL$4&lt;&gt;DATE(2025,7,4)), (SWITCH(weekday(AL$4), 1, 0, 2, if(ISBLANK('2025'!$P56), 0, 1), 3, if(ISBLANK('2025'!$Q56), 0, 1), 4, if(ISBLANK('2025'!$R56), 0, 1), 5, if(ISBLANK('2025'!$S56), 0, 1), 6, if(ISBLANK('2025'!$T56), 0, 1), 7, 0))), 1, "")</f>
        <v/>
      </c>
      <c r="AM58" s="1" t="str">
        <f>IF(AND(AND(AND(AM$4&gt;='2025'!$L56,AM$4&lt;='2025'!$M56), AM$4&lt;&gt;DATE(2025,7,4)), (SWITCH(weekday(AM$4), 1, 0, 2, if(ISBLANK('2025'!$P56), 0, 1), 3, if(ISBLANK('2025'!$Q56), 0, 1), 4, if(ISBLANK('2025'!$R56), 0, 1), 5, if(ISBLANK('2025'!$S56), 0, 1), 6, if(ISBLANK('2025'!$T56), 0, 1), 7, 0))), 1, "")</f>
        <v/>
      </c>
      <c r="AN58" s="1" t="str">
        <f>IF(AND(AND(AND(AN$4&gt;='2025'!$L56,AN$4&lt;='2025'!$M56), AN$4&lt;&gt;DATE(2025,7,4)), (SWITCH(weekday(AN$4), 1, 0, 2, if(ISBLANK('2025'!$P56), 0, 1), 3, if(ISBLANK('2025'!$Q56), 0, 1), 4, if(ISBLANK('2025'!$R56), 0, 1), 5, if(ISBLANK('2025'!$S56), 0, 1), 6, if(ISBLANK('2025'!$T56), 0, 1), 7, 0))), 1, "")</f>
        <v/>
      </c>
      <c r="AO58" s="1" t="str">
        <f>IF(AND(AND(AND(AO$4&gt;='2025'!$L56,AO$4&lt;='2025'!$M56), AO$4&lt;&gt;DATE(2025,7,4)), (SWITCH(weekday(AO$4), 1, 0, 2, if(ISBLANK('2025'!$P56), 0, 1), 3, if(ISBLANK('2025'!$Q56), 0, 1), 4, if(ISBLANK('2025'!$R56), 0, 1), 5, if(ISBLANK('2025'!$S56), 0, 1), 6, if(ISBLANK('2025'!$T56), 0, 1), 7, 0))), 1, "")</f>
        <v/>
      </c>
      <c r="AP58" s="1" t="str">
        <f>IF(AND(AND(AND(AP$4&gt;='2025'!$L56,AP$4&lt;='2025'!$M56), AP$4&lt;&gt;DATE(2025,7,4)), (SWITCH(weekday(AP$4), 1, 0, 2, if(ISBLANK('2025'!$P56), 0, 1), 3, if(ISBLANK('2025'!$Q56), 0, 1), 4, if(ISBLANK('2025'!$R56), 0, 1), 5, if(ISBLANK('2025'!$S56), 0, 1), 6, if(ISBLANK('2025'!$T56), 0, 1), 7, 0))), 1, "")</f>
        <v/>
      </c>
      <c r="AQ58" s="1" t="str">
        <f>IF(AND(AND(AND(AQ$4&gt;='2025'!$L56,AQ$4&lt;='2025'!$M56), AQ$4&lt;&gt;DATE(2025,7,4)), (SWITCH(weekday(AQ$4), 1, 0, 2, if(ISBLANK('2025'!$P56), 0, 1), 3, if(ISBLANK('2025'!$Q56), 0, 1), 4, if(ISBLANK('2025'!$R56), 0, 1), 5, if(ISBLANK('2025'!$S56), 0, 1), 6, if(ISBLANK('2025'!$T56), 0, 1), 7, 0))), 1, "")</f>
        <v/>
      </c>
      <c r="AR58" s="1" t="str">
        <f>IF(AND(AND(AND(AR$4&gt;='2025'!$L56,AR$4&lt;='2025'!$M56), AR$4&lt;&gt;DATE(2025,7,4)), (SWITCH(weekday(AR$4), 1, 0, 2, if(ISBLANK('2025'!$P56), 0, 1), 3, if(ISBLANK('2025'!$Q56), 0, 1), 4, if(ISBLANK('2025'!$R56), 0, 1), 5, if(ISBLANK('2025'!$S56), 0, 1), 6, if(ISBLANK('2025'!$T56), 0, 1), 7, 0))), 1, "")</f>
        <v/>
      </c>
      <c r="AS58" s="1" t="str">
        <f>IF(AND(AND(AND(AS$4&gt;='2025'!$L56,AS$4&lt;='2025'!$M56), AS$4&lt;&gt;DATE(2025,7,4)), (SWITCH(weekday(AS$4), 1, 0, 2, if(ISBLANK('2025'!$P56), 0, 1), 3, if(ISBLANK('2025'!$Q56), 0, 1), 4, if(ISBLANK('2025'!$R56), 0, 1), 5, if(ISBLANK('2025'!$S56), 0, 1), 6, if(ISBLANK('2025'!$T56), 0, 1), 7, 0))), 1, "")</f>
        <v/>
      </c>
      <c r="AT58" s="1" t="str">
        <f>IF(AND(AND(AND(AT$4&gt;='2025'!$L56,AT$4&lt;='2025'!$M56), AT$4&lt;&gt;DATE(2025,7,4)), (SWITCH(weekday(AT$4), 1, 0, 2, if(ISBLANK('2025'!$P56), 0, 1), 3, if(ISBLANK('2025'!$Q56), 0, 1), 4, if(ISBLANK('2025'!$R56), 0, 1), 5, if(ISBLANK('2025'!$S56), 0, 1), 6, if(ISBLANK('2025'!$T56), 0, 1), 7, 0))), 1, "")</f>
        <v/>
      </c>
      <c r="AU58" s="1" t="str">
        <f>IF(AND(AND(AND(AU$4&gt;='2025'!$L56,AU$4&lt;='2025'!$M56), AU$4&lt;&gt;DATE(2025,7,4)), (SWITCH(weekday(AU$4), 1, 0, 2, if(ISBLANK('2025'!$P56), 0, 1), 3, if(ISBLANK('2025'!$Q56), 0, 1), 4, if(ISBLANK('2025'!$R56), 0, 1), 5, if(ISBLANK('2025'!$S56), 0, 1), 6, if(ISBLANK('2025'!$T56), 0, 1), 7, 0))), 1, "")</f>
        <v/>
      </c>
      <c r="AV58" s="1" t="str">
        <f>IF(AND(AND(AND(AV$4&gt;='2025'!$L56,AV$4&lt;='2025'!$M56), AV$4&lt;&gt;DATE(2025,7,4)), (SWITCH(weekday(AV$4), 1, 0, 2, if(ISBLANK('2025'!$P56), 0, 1), 3, if(ISBLANK('2025'!$Q56), 0, 1), 4, if(ISBLANK('2025'!$R56), 0, 1), 5, if(ISBLANK('2025'!$S56), 0, 1), 6, if(ISBLANK('2025'!$T56), 0, 1), 7, 0))), 1, "")</f>
        <v/>
      </c>
      <c r="AW58" s="1" t="str">
        <f>IF(AND(AND(AND(AW$4&gt;='2025'!$L56,AW$4&lt;='2025'!$M56), AW$4&lt;&gt;DATE(2025,7,4)), (SWITCH(weekday(AW$4), 1, 0, 2, if(ISBLANK('2025'!$P56), 0, 1), 3, if(ISBLANK('2025'!$Q56), 0, 1), 4, if(ISBLANK('2025'!$R56), 0, 1), 5, if(ISBLANK('2025'!$S56), 0, 1), 6, if(ISBLANK('2025'!$T56), 0, 1), 7, 0))), 1, "")</f>
        <v/>
      </c>
      <c r="AX58" s="1" t="str">
        <f>IF(AND(AND(AND(AX$4&gt;='2025'!$L56,AX$4&lt;='2025'!$M56), AX$4&lt;&gt;DATE(2025,7,4)), (SWITCH(weekday(AX$4), 1, 0, 2, if(ISBLANK('2025'!$P56), 0, 1), 3, if(ISBLANK('2025'!$Q56), 0, 1), 4, if(ISBLANK('2025'!$R56), 0, 1), 5, if(ISBLANK('2025'!$S56), 0, 1), 6, if(ISBLANK('2025'!$T56), 0, 1), 7, 0))), 1, "")</f>
        <v/>
      </c>
      <c r="AY58" s="1" t="str">
        <f>IF(AND(AND(AND(AY$4&gt;='2025'!$L56,AY$4&lt;='2025'!$M56), AY$4&lt;&gt;DATE(2025,7,4)), (SWITCH(weekday(AY$4), 1, 0, 2, if(ISBLANK('2025'!$P56), 0, 1), 3, if(ISBLANK('2025'!$Q56), 0, 1), 4, if(ISBLANK('2025'!$R56), 0, 1), 5, if(ISBLANK('2025'!$S56), 0, 1), 6, if(ISBLANK('2025'!$T56), 0, 1), 7, 0))), 1, "")</f>
        <v/>
      </c>
      <c r="AZ58" s="1" t="str">
        <f>IF(AND(AND(AND(AZ$4&gt;='2025'!$L56,AZ$4&lt;='2025'!$M56), AZ$4&lt;&gt;DATE(2025,7,4)), (SWITCH(weekday(AZ$4), 1, 0, 2, if(ISBLANK('2025'!$P56), 0, 1), 3, if(ISBLANK('2025'!$Q56), 0, 1), 4, if(ISBLANK('2025'!$R56), 0, 1), 5, if(ISBLANK('2025'!$S56), 0, 1), 6, if(ISBLANK('2025'!$T56), 0, 1), 7, 0))), 1, "")</f>
        <v/>
      </c>
      <c r="BA58" s="1" t="str">
        <f>IF(AND(AND(AND(BA$4&gt;='2025'!$L56,BA$4&lt;='2025'!$M56), BA$4&lt;&gt;DATE(2025,7,4)), (SWITCH(weekday(BA$4), 1, 0, 2, if(ISBLANK('2025'!$P56), 0, 1), 3, if(ISBLANK('2025'!$Q56), 0, 1), 4, if(ISBLANK('2025'!$R56), 0, 1), 5, if(ISBLANK('2025'!$S56), 0, 1), 6, if(ISBLANK('2025'!$T56), 0, 1), 7, 0))), 1, "")</f>
        <v/>
      </c>
      <c r="BB58" s="1" t="str">
        <f>IF(AND(AND(AND(BB$4&gt;='2025'!$L56,BB$4&lt;='2025'!$M56), BB$4&lt;&gt;DATE(2025,7,4)), (SWITCH(weekday(BB$4), 1, 0, 2, if(ISBLANK('2025'!$P56), 0, 1), 3, if(ISBLANK('2025'!$Q56), 0, 1), 4, if(ISBLANK('2025'!$R56), 0, 1), 5, if(ISBLANK('2025'!$S56), 0, 1), 6, if(ISBLANK('2025'!$T56), 0, 1), 7, 0))), 1, "")</f>
        <v/>
      </c>
      <c r="BC58" s="1" t="str">
        <f>IF(AND(AND(AND(BC$4&gt;='2025'!$L56,BC$4&lt;='2025'!$M56), BC$4&lt;&gt;DATE(2025,7,4)), (SWITCH(weekday(BC$4), 1, 0, 2, if(ISBLANK('2025'!$P56), 0, 1), 3, if(ISBLANK('2025'!$Q56), 0, 1), 4, if(ISBLANK('2025'!$R56), 0, 1), 5, if(ISBLANK('2025'!$S56), 0, 1), 6, if(ISBLANK('2025'!$T56), 0, 1), 7, 0))), 1, "")</f>
        <v/>
      </c>
      <c r="BD58" s="1" t="str">
        <f>IF(AND(AND(AND(BD$4&gt;='2025'!$L56,BD$4&lt;='2025'!$M56), BD$4&lt;&gt;DATE(2025,7,4)), (SWITCH(weekday(BD$4), 1, 0, 2, if(ISBLANK('2025'!$P56), 0, 1), 3, if(ISBLANK('2025'!$Q56), 0, 1), 4, if(ISBLANK('2025'!$R56), 0, 1), 5, if(ISBLANK('2025'!$S56), 0, 1), 6, if(ISBLANK('2025'!$T56), 0, 1), 7, 0))), 1, "")</f>
        <v/>
      </c>
      <c r="BE58" s="1" t="str">
        <f>IF(AND(AND(AND(BE$4&gt;='2025'!$L56,BE$4&lt;='2025'!$M56), BE$4&lt;&gt;DATE(2025,7,4)), (SWITCH(weekday(BE$4), 1, 0, 2, if(ISBLANK('2025'!$P56), 0, 1), 3, if(ISBLANK('2025'!$Q56), 0, 1), 4, if(ISBLANK('2025'!$R56), 0, 1), 5, if(ISBLANK('2025'!$S56), 0, 1), 6, if(ISBLANK('2025'!$T56), 0, 1), 7, 0))), 1, "")</f>
        <v/>
      </c>
      <c r="BF58" s="1" t="str">
        <f>IF(AND(AND(AND(BF$4&gt;='2025'!$L56,BF$4&lt;='2025'!$M56), BF$4&lt;&gt;DATE(2025,7,4)), (SWITCH(weekday(BF$4), 1, 0, 2, if(ISBLANK('2025'!$P56), 0, 1), 3, if(ISBLANK('2025'!$Q56), 0, 1), 4, if(ISBLANK('2025'!$R56), 0, 1), 5, if(ISBLANK('2025'!$S56), 0, 1), 6, if(ISBLANK('2025'!$T56), 0, 1), 7, 0))), 1, "")</f>
        <v/>
      </c>
      <c r="BG58" s="1"/>
      <c r="BH58" s="1"/>
      <c r="BI58" s="1"/>
      <c r="BJ58" s="1"/>
      <c r="BK58" s="1"/>
      <c r="BL58" s="1"/>
    </row>
    <row r="59">
      <c r="A59" s="1">
        <f t="shared" si="3"/>
        <v>59</v>
      </c>
      <c r="B59" s="1" t="str">
        <f>'2025'!D57</f>
        <v>, isadora</v>
      </c>
      <c r="C59" s="1" t="str">
        <f>'2025'!H57</f>
        <v>infant</v>
      </c>
      <c r="D59" s="1" t="str">
        <f>IF(AND(AND(AND(D$4&gt;='2025'!$L57,D$4&lt;='2025'!$M57), D$4&lt;&gt;DATE(2025,7,4)), (SWITCH(weekday(D$4), 1, 0, 2, if(ISBLANK('2025'!$P57), 0, 1), 3, if(ISBLANK('2025'!$Q57), 0, 1), 4, if(ISBLANK('2025'!$R57), 0, 1), 5, if(ISBLANK('2025'!$S57), 0, 1), 6, if(ISBLANK('2025'!$T57), 0, 1), 7, 0))), 1, "")</f>
        <v/>
      </c>
      <c r="E59" s="1" t="str">
        <f>IF(AND(AND(AND(E$4&gt;='2025'!$L57,E$4&lt;='2025'!$M57), E$4&lt;&gt;DATE(2025,7,4)), (SWITCH(weekday(E$4), 1, 0, 2, if(ISBLANK('2025'!$P57), 0, 1), 3, if(ISBLANK('2025'!$Q57), 0, 1), 4, if(ISBLANK('2025'!$R57), 0, 1), 5, if(ISBLANK('2025'!$S57), 0, 1), 6, if(ISBLANK('2025'!$T57), 0, 1), 7, 0))), 1, "")</f>
        <v/>
      </c>
      <c r="F59" s="1" t="str">
        <f>IF(AND(AND(AND(F$4&gt;='2025'!$L57,F$4&lt;='2025'!$M57), F$4&lt;&gt;DATE(2025,7,4)), (SWITCH(weekday(F$4), 1, 0, 2, if(ISBLANK('2025'!$P57), 0, 1), 3, if(ISBLANK('2025'!$Q57), 0, 1), 4, if(ISBLANK('2025'!$R57), 0, 1), 5, if(ISBLANK('2025'!$S57), 0, 1), 6, if(ISBLANK('2025'!$T57), 0, 1), 7, 0))), 1, "")</f>
        <v/>
      </c>
      <c r="G59" s="1" t="str">
        <f>IF(AND(AND(AND(G$4&gt;='2025'!$L57,G$4&lt;='2025'!$M57), G$4&lt;&gt;DATE(2025,7,4)), (SWITCH(weekday(G$4), 1, 0, 2, if(ISBLANK('2025'!$P57), 0, 1), 3, if(ISBLANK('2025'!$Q57), 0, 1), 4, if(ISBLANK('2025'!$R57), 0, 1), 5, if(ISBLANK('2025'!$S57), 0, 1), 6, if(ISBLANK('2025'!$T57), 0, 1), 7, 0))), 1, "")</f>
        <v/>
      </c>
      <c r="H59" s="1" t="str">
        <f>IF(AND(AND(AND(H$4&gt;='2025'!$L57,H$4&lt;='2025'!$M57), H$4&lt;&gt;DATE(2025,7,4)), (SWITCH(weekday(H$4), 1, 0, 2, if(ISBLANK('2025'!$P57), 0, 1), 3, if(ISBLANK('2025'!$Q57), 0, 1), 4, if(ISBLANK('2025'!$R57), 0, 1), 5, if(ISBLANK('2025'!$S57), 0, 1), 6, if(ISBLANK('2025'!$T57), 0, 1), 7, 0))), 1, "")</f>
        <v/>
      </c>
      <c r="I59" s="1" t="str">
        <f>IF(AND(AND(AND(I$4&gt;='2025'!$L57,I$4&lt;='2025'!$M57), I$4&lt;&gt;DATE(2025,7,4)), (SWITCH(weekday(I$4), 1, 0, 2, if(ISBLANK('2025'!$P57), 0, 1), 3, if(ISBLANK('2025'!$Q57), 0, 1), 4, if(ISBLANK('2025'!$R57), 0, 1), 5, if(ISBLANK('2025'!$S57), 0, 1), 6, if(ISBLANK('2025'!$T57), 0, 1), 7, 0))), 1, "")</f>
        <v/>
      </c>
      <c r="J59" s="1" t="str">
        <f>IF(AND(AND(AND(J$4&gt;='2025'!$L57,J$4&lt;='2025'!$M57), J$4&lt;&gt;DATE(2025,7,4)), (SWITCH(weekday(J$4), 1, 0, 2, if(ISBLANK('2025'!$P57), 0, 1), 3, if(ISBLANK('2025'!$Q57), 0, 1), 4, if(ISBLANK('2025'!$R57), 0, 1), 5, if(ISBLANK('2025'!$S57), 0, 1), 6, if(ISBLANK('2025'!$T57), 0, 1), 7, 0))), 1, "")</f>
        <v/>
      </c>
      <c r="K59" s="1" t="str">
        <f>IF(AND(AND(AND(K$4&gt;='2025'!$L57,K$4&lt;='2025'!$M57), K$4&lt;&gt;DATE(2025,7,4)), (SWITCH(weekday(K$4), 1, 0, 2, if(ISBLANK('2025'!$P57), 0, 1), 3, if(ISBLANK('2025'!$Q57), 0, 1), 4, if(ISBLANK('2025'!$R57), 0, 1), 5, if(ISBLANK('2025'!$S57), 0, 1), 6, if(ISBLANK('2025'!$T57), 0, 1), 7, 0))), 1, "")</f>
        <v/>
      </c>
      <c r="L59" s="1" t="str">
        <f>IF(AND(AND(AND(L$4&gt;='2025'!$L57,L$4&lt;='2025'!$M57), L$4&lt;&gt;DATE(2025,7,4)), (SWITCH(weekday(L$4), 1, 0, 2, if(ISBLANK('2025'!$P57), 0, 1), 3, if(ISBLANK('2025'!$Q57), 0, 1), 4, if(ISBLANK('2025'!$R57), 0, 1), 5, if(ISBLANK('2025'!$S57), 0, 1), 6, if(ISBLANK('2025'!$T57), 0, 1), 7, 0))), 1, "")</f>
        <v/>
      </c>
      <c r="M59" s="1" t="str">
        <f>IF(AND(AND(AND(M$4&gt;='2025'!$L57,M$4&lt;='2025'!$M57), M$4&lt;&gt;DATE(2025,7,4)), (SWITCH(weekday(M$4), 1, 0, 2, if(ISBLANK('2025'!$P57), 0, 1), 3, if(ISBLANK('2025'!$Q57), 0, 1), 4, if(ISBLANK('2025'!$R57), 0, 1), 5, if(ISBLANK('2025'!$S57), 0, 1), 6, if(ISBLANK('2025'!$T57), 0, 1), 7, 0))), 1, "")</f>
        <v/>
      </c>
      <c r="N59" s="1" t="str">
        <f>IF(AND(AND(AND(N$4&gt;='2025'!$L57,N$4&lt;='2025'!$M57), N$4&lt;&gt;DATE(2025,7,4)), (SWITCH(weekday(N$4), 1, 0, 2, if(ISBLANK('2025'!$P57), 0, 1), 3, if(ISBLANK('2025'!$Q57), 0, 1), 4, if(ISBLANK('2025'!$R57), 0, 1), 5, if(ISBLANK('2025'!$S57), 0, 1), 6, if(ISBLANK('2025'!$T57), 0, 1), 7, 0))), 1, "")</f>
        <v/>
      </c>
      <c r="O59" s="1" t="str">
        <f>IF(AND(AND(AND(O$4&gt;='2025'!$L57,O$4&lt;='2025'!$M57), O$4&lt;&gt;DATE(2025,7,4)), (SWITCH(weekday(O$4), 1, 0, 2, if(ISBLANK('2025'!$P57), 0, 1), 3, if(ISBLANK('2025'!$Q57), 0, 1), 4, if(ISBLANK('2025'!$R57), 0, 1), 5, if(ISBLANK('2025'!$S57), 0, 1), 6, if(ISBLANK('2025'!$T57), 0, 1), 7, 0))), 1, "")</f>
        <v/>
      </c>
      <c r="P59" s="1" t="str">
        <f>IF(AND(AND(AND(P$4&gt;='2025'!$L57,P$4&lt;='2025'!$M57), P$4&lt;&gt;DATE(2025,7,4)), (SWITCH(weekday(P$4), 1, 0, 2, if(ISBLANK('2025'!$P57), 0, 1), 3, if(ISBLANK('2025'!$Q57), 0, 1), 4, if(ISBLANK('2025'!$R57), 0, 1), 5, if(ISBLANK('2025'!$S57), 0, 1), 6, if(ISBLANK('2025'!$T57), 0, 1), 7, 0))), 1, "")</f>
        <v/>
      </c>
      <c r="Q59" s="1" t="str">
        <f>IF(AND(AND(AND(Q$4&gt;='2025'!$L57,Q$4&lt;='2025'!$M57), Q$4&lt;&gt;DATE(2025,7,4)), (SWITCH(weekday(Q$4), 1, 0, 2, if(ISBLANK('2025'!$P57), 0, 1), 3, if(ISBLANK('2025'!$Q57), 0, 1), 4, if(ISBLANK('2025'!$R57), 0, 1), 5, if(ISBLANK('2025'!$S57), 0, 1), 6, if(ISBLANK('2025'!$T57), 0, 1), 7, 0))), 1, "")</f>
        <v/>
      </c>
      <c r="R59" s="1" t="str">
        <f>IF(AND(AND(AND(R$4&gt;='2025'!$L57,R$4&lt;='2025'!$M57), R$4&lt;&gt;DATE(2025,7,4)), (SWITCH(weekday(R$4), 1, 0, 2, if(ISBLANK('2025'!$P57), 0, 1), 3, if(ISBLANK('2025'!$Q57), 0, 1), 4, if(ISBLANK('2025'!$R57), 0, 1), 5, if(ISBLANK('2025'!$S57), 0, 1), 6, if(ISBLANK('2025'!$T57), 0, 1), 7, 0))), 1, "")</f>
        <v/>
      </c>
      <c r="S59" s="1" t="str">
        <f>IF(AND(AND(AND(S$4&gt;='2025'!$L57,S$4&lt;='2025'!$M57), S$4&lt;&gt;DATE(2025,7,4)), (SWITCH(weekday(S$4), 1, 0, 2, if(ISBLANK('2025'!$P57), 0, 1), 3, if(ISBLANK('2025'!$Q57), 0, 1), 4, if(ISBLANK('2025'!$R57), 0, 1), 5, if(ISBLANK('2025'!$S57), 0, 1), 6, if(ISBLANK('2025'!$T57), 0, 1), 7, 0))), 1, "")</f>
        <v/>
      </c>
      <c r="T59" s="1" t="str">
        <f>IF(AND(AND(AND(T$4&gt;='2025'!$L57,T$4&lt;='2025'!$M57), T$4&lt;&gt;DATE(2025,7,4)), (SWITCH(weekday(T$4), 1, 0, 2, if(ISBLANK('2025'!$P57), 0, 1), 3, if(ISBLANK('2025'!$Q57), 0, 1), 4, if(ISBLANK('2025'!$R57), 0, 1), 5, if(ISBLANK('2025'!$S57), 0, 1), 6, if(ISBLANK('2025'!$T57), 0, 1), 7, 0))), 1, "")</f>
        <v/>
      </c>
      <c r="U59" s="1" t="str">
        <f>IF(AND(AND(AND(U$4&gt;='2025'!$L57,U$4&lt;='2025'!$M57), U$4&lt;&gt;DATE(2025,7,4)), (SWITCH(weekday(U$4), 1, 0, 2, if(ISBLANK('2025'!$P57), 0, 1), 3, if(ISBLANK('2025'!$Q57), 0, 1), 4, if(ISBLANK('2025'!$R57), 0, 1), 5, if(ISBLANK('2025'!$S57), 0, 1), 6, if(ISBLANK('2025'!$T57), 0, 1), 7, 0))), 1, "")</f>
        <v/>
      </c>
      <c r="V59" s="1" t="str">
        <f>IF(AND(AND(AND(V$4&gt;='2025'!$L57,V$4&lt;='2025'!$M57), V$4&lt;&gt;DATE(2025,7,4)), (SWITCH(weekday(V$4), 1, 0, 2, if(ISBLANK('2025'!$P57), 0, 1), 3, if(ISBLANK('2025'!$Q57), 0, 1), 4, if(ISBLANK('2025'!$R57), 0, 1), 5, if(ISBLANK('2025'!$S57), 0, 1), 6, if(ISBLANK('2025'!$T57), 0, 1), 7, 0))), 1, "")</f>
        <v/>
      </c>
      <c r="W59" s="1" t="str">
        <f>IF(AND(AND(AND(W$4&gt;='2025'!$L57,W$4&lt;='2025'!$M57), W$4&lt;&gt;DATE(2025,7,4)), (SWITCH(weekday(W$4), 1, 0, 2, if(ISBLANK('2025'!$P57), 0, 1), 3, if(ISBLANK('2025'!$Q57), 0, 1), 4, if(ISBLANK('2025'!$R57), 0, 1), 5, if(ISBLANK('2025'!$S57), 0, 1), 6, if(ISBLANK('2025'!$T57), 0, 1), 7, 0))), 1, "")</f>
        <v/>
      </c>
      <c r="X59" s="1" t="str">
        <f>IF(AND(AND(AND(X$4&gt;='2025'!$L57,X$4&lt;='2025'!$M57), X$4&lt;&gt;DATE(2025,7,4)), (SWITCH(weekday(X$4), 1, 0, 2, if(ISBLANK('2025'!$P57), 0, 1), 3, if(ISBLANK('2025'!$Q57), 0, 1), 4, if(ISBLANK('2025'!$R57), 0, 1), 5, if(ISBLANK('2025'!$S57), 0, 1), 6, if(ISBLANK('2025'!$T57), 0, 1), 7, 0))), 1, "")</f>
        <v/>
      </c>
      <c r="Y59" s="1" t="str">
        <f>IF(AND(AND(AND(Y$4&gt;='2025'!$L57,Y$4&lt;='2025'!$M57), Y$4&lt;&gt;DATE(2025,7,4)), (SWITCH(weekday(Y$4), 1, 0, 2, if(ISBLANK('2025'!$P57), 0, 1), 3, if(ISBLANK('2025'!$Q57), 0, 1), 4, if(ISBLANK('2025'!$R57), 0, 1), 5, if(ISBLANK('2025'!$S57), 0, 1), 6, if(ISBLANK('2025'!$T57), 0, 1), 7, 0))), 1, "")</f>
        <v/>
      </c>
      <c r="Z59" s="1" t="str">
        <f>IF(AND(AND(AND(Z$4&gt;='2025'!$L57,Z$4&lt;='2025'!$M57), Z$4&lt;&gt;DATE(2025,7,4)), (SWITCH(weekday(Z$4), 1, 0, 2, if(ISBLANK('2025'!$P57), 0, 1), 3, if(ISBLANK('2025'!$Q57), 0, 1), 4, if(ISBLANK('2025'!$R57), 0, 1), 5, if(ISBLANK('2025'!$S57), 0, 1), 6, if(ISBLANK('2025'!$T57), 0, 1), 7, 0))), 1, "")</f>
        <v/>
      </c>
      <c r="AA59" s="1" t="str">
        <f>IF(AND(AND(AND(AA$4&gt;='2025'!$L57,AA$4&lt;='2025'!$M57), AA$4&lt;&gt;DATE(2025,7,4)), (SWITCH(weekday(AA$4), 1, 0, 2, if(ISBLANK('2025'!$P57), 0, 1), 3, if(ISBLANK('2025'!$Q57), 0, 1), 4, if(ISBLANK('2025'!$R57), 0, 1), 5, if(ISBLANK('2025'!$S57), 0, 1), 6, if(ISBLANK('2025'!$T57), 0, 1), 7, 0))), 1, "")</f>
        <v/>
      </c>
      <c r="AB59" s="1" t="str">
        <f>IF(AND(AND(AND(AB$4&gt;='2025'!$L57,AB$4&lt;='2025'!$M57), AB$4&lt;&gt;DATE(2025,7,4)), (SWITCH(weekday(AB$4), 1, 0, 2, if(ISBLANK('2025'!$P57), 0, 1), 3, if(ISBLANK('2025'!$Q57), 0, 1), 4, if(ISBLANK('2025'!$R57), 0, 1), 5, if(ISBLANK('2025'!$S57), 0, 1), 6, if(ISBLANK('2025'!$T57), 0, 1), 7, 0))), 1, "")</f>
        <v/>
      </c>
      <c r="AC59" s="1" t="str">
        <f>IF(AND(AND(AND(AC$4&gt;='2025'!$L57,AC$4&lt;='2025'!$M57), AC$4&lt;&gt;DATE(2025,7,4)), (SWITCH(weekday(AC$4), 1, 0, 2, if(ISBLANK('2025'!$P57), 0, 1), 3, if(ISBLANK('2025'!$Q57), 0, 1), 4, if(ISBLANK('2025'!$R57), 0, 1), 5, if(ISBLANK('2025'!$S57), 0, 1), 6, if(ISBLANK('2025'!$T57), 0, 1), 7, 0))), 1, "")</f>
        <v/>
      </c>
      <c r="AD59" s="1" t="str">
        <f>IF(AND(AND(AND(AD$4&gt;='2025'!$L57,AD$4&lt;='2025'!$M57), AD$4&lt;&gt;DATE(2025,7,4)), (SWITCH(weekday(AD$4), 1, 0, 2, if(ISBLANK('2025'!$P57), 0, 1), 3, if(ISBLANK('2025'!$Q57), 0, 1), 4, if(ISBLANK('2025'!$R57), 0, 1), 5, if(ISBLANK('2025'!$S57), 0, 1), 6, if(ISBLANK('2025'!$T57), 0, 1), 7, 0))), 1, "")</f>
        <v/>
      </c>
      <c r="AE59" s="1" t="str">
        <f>IF(AND(AND(AND(AE$4&gt;='2025'!$L57,AE$4&lt;='2025'!$M57), AE$4&lt;&gt;DATE(2025,7,4)), (SWITCH(weekday(AE$4), 1, 0, 2, if(ISBLANK('2025'!$P57), 0, 1), 3, if(ISBLANK('2025'!$Q57), 0, 1), 4, if(ISBLANK('2025'!$R57), 0, 1), 5, if(ISBLANK('2025'!$S57), 0, 1), 6, if(ISBLANK('2025'!$T57), 0, 1), 7, 0))), 1, "")</f>
        <v/>
      </c>
      <c r="AF59" s="1" t="str">
        <f>IF(AND(AND(AND(AF$4&gt;='2025'!$L57,AF$4&lt;='2025'!$M57), AF$4&lt;&gt;DATE(2025,7,4)), (SWITCH(weekday(AF$4), 1, 0, 2, if(ISBLANK('2025'!$P57), 0, 1), 3, if(ISBLANK('2025'!$Q57), 0, 1), 4, if(ISBLANK('2025'!$R57), 0, 1), 5, if(ISBLANK('2025'!$S57), 0, 1), 6, if(ISBLANK('2025'!$T57), 0, 1), 7, 0))), 1, "")</f>
        <v/>
      </c>
      <c r="AG59" s="1" t="str">
        <f>IF(AND(AND(AND(AG$4&gt;='2025'!$L57,AG$4&lt;='2025'!$M57), AG$4&lt;&gt;DATE(2025,7,4)), (SWITCH(weekday(AG$4), 1, 0, 2, if(ISBLANK('2025'!$P57), 0, 1), 3, if(ISBLANK('2025'!$Q57), 0, 1), 4, if(ISBLANK('2025'!$R57), 0, 1), 5, if(ISBLANK('2025'!$S57), 0, 1), 6, if(ISBLANK('2025'!$T57), 0, 1), 7, 0))), 1, "")</f>
        <v/>
      </c>
      <c r="AH59" s="1" t="str">
        <f>IF(AND(AND(AND(AH$4&gt;='2025'!$L57,AH$4&lt;='2025'!$M57), AH$4&lt;&gt;DATE(2025,7,4)), (SWITCH(weekday(AH$4), 1, 0, 2, if(ISBLANK('2025'!$P57), 0, 1), 3, if(ISBLANK('2025'!$Q57), 0, 1), 4, if(ISBLANK('2025'!$R57), 0, 1), 5, if(ISBLANK('2025'!$S57), 0, 1), 6, if(ISBLANK('2025'!$T57), 0, 1), 7, 0))), 1, "")</f>
        <v/>
      </c>
      <c r="AI59" s="1" t="str">
        <f>IF(AND(AND(AND(AI$4&gt;='2025'!$L57,AI$4&lt;='2025'!$M57), AI$4&lt;&gt;DATE(2025,7,4)), (SWITCH(weekday(AI$4), 1, 0, 2, if(ISBLANK('2025'!$P57), 0, 1), 3, if(ISBLANK('2025'!$Q57), 0, 1), 4, if(ISBLANK('2025'!$R57), 0, 1), 5, if(ISBLANK('2025'!$S57), 0, 1), 6, if(ISBLANK('2025'!$T57), 0, 1), 7, 0))), 1, "")</f>
        <v/>
      </c>
      <c r="AJ59" s="1" t="str">
        <f>IF(AND(AND(AND(AJ$4&gt;='2025'!$L57,AJ$4&lt;='2025'!$M57), AJ$4&lt;&gt;DATE(2025,7,4)), (SWITCH(weekday(AJ$4), 1, 0, 2, if(ISBLANK('2025'!$P57), 0, 1), 3, if(ISBLANK('2025'!$Q57), 0, 1), 4, if(ISBLANK('2025'!$R57), 0, 1), 5, if(ISBLANK('2025'!$S57), 0, 1), 6, if(ISBLANK('2025'!$T57), 0, 1), 7, 0))), 1, "")</f>
        <v/>
      </c>
      <c r="AK59" s="1" t="str">
        <f>IF(AND(AND(AND(AK$4&gt;='2025'!$L57,AK$4&lt;='2025'!$M57), AK$4&lt;&gt;DATE(2025,7,4)), (SWITCH(weekday(AK$4), 1, 0, 2, if(ISBLANK('2025'!$P57), 0, 1), 3, if(ISBLANK('2025'!$Q57), 0, 1), 4, if(ISBLANK('2025'!$R57), 0, 1), 5, if(ISBLANK('2025'!$S57), 0, 1), 6, if(ISBLANK('2025'!$T57), 0, 1), 7, 0))), 1, "")</f>
        <v/>
      </c>
      <c r="AL59" s="1" t="str">
        <f>IF(AND(AND(AND(AL$4&gt;='2025'!$L57,AL$4&lt;='2025'!$M57), AL$4&lt;&gt;DATE(2025,7,4)), (SWITCH(weekday(AL$4), 1, 0, 2, if(ISBLANK('2025'!$P57), 0, 1), 3, if(ISBLANK('2025'!$Q57), 0, 1), 4, if(ISBLANK('2025'!$R57), 0, 1), 5, if(ISBLANK('2025'!$S57), 0, 1), 6, if(ISBLANK('2025'!$T57), 0, 1), 7, 0))), 1, "")</f>
        <v/>
      </c>
      <c r="AM59" s="1" t="str">
        <f>IF(AND(AND(AND(AM$4&gt;='2025'!$L57,AM$4&lt;='2025'!$M57), AM$4&lt;&gt;DATE(2025,7,4)), (SWITCH(weekday(AM$4), 1, 0, 2, if(ISBLANK('2025'!$P57), 0, 1), 3, if(ISBLANK('2025'!$Q57), 0, 1), 4, if(ISBLANK('2025'!$R57), 0, 1), 5, if(ISBLANK('2025'!$S57), 0, 1), 6, if(ISBLANK('2025'!$T57), 0, 1), 7, 0))), 1, "")</f>
        <v/>
      </c>
      <c r="AN59" s="1" t="str">
        <f>IF(AND(AND(AND(AN$4&gt;='2025'!$L57,AN$4&lt;='2025'!$M57), AN$4&lt;&gt;DATE(2025,7,4)), (SWITCH(weekday(AN$4), 1, 0, 2, if(ISBLANK('2025'!$P57), 0, 1), 3, if(ISBLANK('2025'!$Q57), 0, 1), 4, if(ISBLANK('2025'!$R57), 0, 1), 5, if(ISBLANK('2025'!$S57), 0, 1), 6, if(ISBLANK('2025'!$T57), 0, 1), 7, 0))), 1, "")</f>
        <v/>
      </c>
      <c r="AO59" s="1" t="str">
        <f>IF(AND(AND(AND(AO$4&gt;='2025'!$L57,AO$4&lt;='2025'!$M57), AO$4&lt;&gt;DATE(2025,7,4)), (SWITCH(weekday(AO$4), 1, 0, 2, if(ISBLANK('2025'!$P57), 0, 1), 3, if(ISBLANK('2025'!$Q57), 0, 1), 4, if(ISBLANK('2025'!$R57), 0, 1), 5, if(ISBLANK('2025'!$S57), 0, 1), 6, if(ISBLANK('2025'!$T57), 0, 1), 7, 0))), 1, "")</f>
        <v/>
      </c>
      <c r="AP59" s="1" t="str">
        <f>IF(AND(AND(AND(AP$4&gt;='2025'!$L57,AP$4&lt;='2025'!$M57), AP$4&lt;&gt;DATE(2025,7,4)), (SWITCH(weekday(AP$4), 1, 0, 2, if(ISBLANK('2025'!$P57), 0, 1), 3, if(ISBLANK('2025'!$Q57), 0, 1), 4, if(ISBLANK('2025'!$R57), 0, 1), 5, if(ISBLANK('2025'!$S57), 0, 1), 6, if(ISBLANK('2025'!$T57), 0, 1), 7, 0))), 1, "")</f>
        <v/>
      </c>
      <c r="AQ59" s="1" t="str">
        <f>IF(AND(AND(AND(AQ$4&gt;='2025'!$L57,AQ$4&lt;='2025'!$M57), AQ$4&lt;&gt;DATE(2025,7,4)), (SWITCH(weekday(AQ$4), 1, 0, 2, if(ISBLANK('2025'!$P57), 0, 1), 3, if(ISBLANK('2025'!$Q57), 0, 1), 4, if(ISBLANK('2025'!$R57), 0, 1), 5, if(ISBLANK('2025'!$S57), 0, 1), 6, if(ISBLANK('2025'!$T57), 0, 1), 7, 0))), 1, "")</f>
        <v/>
      </c>
      <c r="AR59" s="1" t="str">
        <f>IF(AND(AND(AND(AR$4&gt;='2025'!$L57,AR$4&lt;='2025'!$M57), AR$4&lt;&gt;DATE(2025,7,4)), (SWITCH(weekday(AR$4), 1, 0, 2, if(ISBLANK('2025'!$P57), 0, 1), 3, if(ISBLANK('2025'!$Q57), 0, 1), 4, if(ISBLANK('2025'!$R57), 0, 1), 5, if(ISBLANK('2025'!$S57), 0, 1), 6, if(ISBLANK('2025'!$T57), 0, 1), 7, 0))), 1, "")</f>
        <v/>
      </c>
      <c r="AS59" s="1" t="str">
        <f>IF(AND(AND(AND(AS$4&gt;='2025'!$L57,AS$4&lt;='2025'!$M57), AS$4&lt;&gt;DATE(2025,7,4)), (SWITCH(weekday(AS$4), 1, 0, 2, if(ISBLANK('2025'!$P57), 0, 1), 3, if(ISBLANK('2025'!$Q57), 0, 1), 4, if(ISBLANK('2025'!$R57), 0, 1), 5, if(ISBLANK('2025'!$S57), 0, 1), 6, if(ISBLANK('2025'!$T57), 0, 1), 7, 0))), 1, "")</f>
        <v/>
      </c>
      <c r="AT59" s="1" t="str">
        <f>IF(AND(AND(AND(AT$4&gt;='2025'!$L57,AT$4&lt;='2025'!$M57), AT$4&lt;&gt;DATE(2025,7,4)), (SWITCH(weekday(AT$4), 1, 0, 2, if(ISBLANK('2025'!$P57), 0, 1), 3, if(ISBLANK('2025'!$Q57), 0, 1), 4, if(ISBLANK('2025'!$R57), 0, 1), 5, if(ISBLANK('2025'!$S57), 0, 1), 6, if(ISBLANK('2025'!$T57), 0, 1), 7, 0))), 1, "")</f>
        <v/>
      </c>
      <c r="AU59" s="1" t="str">
        <f>IF(AND(AND(AND(AU$4&gt;='2025'!$L57,AU$4&lt;='2025'!$M57), AU$4&lt;&gt;DATE(2025,7,4)), (SWITCH(weekday(AU$4), 1, 0, 2, if(ISBLANK('2025'!$P57), 0, 1), 3, if(ISBLANK('2025'!$Q57), 0, 1), 4, if(ISBLANK('2025'!$R57), 0, 1), 5, if(ISBLANK('2025'!$S57), 0, 1), 6, if(ISBLANK('2025'!$T57), 0, 1), 7, 0))), 1, "")</f>
        <v/>
      </c>
      <c r="AV59" s="1" t="str">
        <f>IF(AND(AND(AND(AV$4&gt;='2025'!$L57,AV$4&lt;='2025'!$M57), AV$4&lt;&gt;DATE(2025,7,4)), (SWITCH(weekday(AV$4), 1, 0, 2, if(ISBLANK('2025'!$P57), 0, 1), 3, if(ISBLANK('2025'!$Q57), 0, 1), 4, if(ISBLANK('2025'!$R57), 0, 1), 5, if(ISBLANK('2025'!$S57), 0, 1), 6, if(ISBLANK('2025'!$T57), 0, 1), 7, 0))), 1, "")</f>
        <v/>
      </c>
      <c r="AW59" s="1" t="str">
        <f>IF(AND(AND(AND(AW$4&gt;='2025'!$L57,AW$4&lt;='2025'!$M57), AW$4&lt;&gt;DATE(2025,7,4)), (SWITCH(weekday(AW$4), 1, 0, 2, if(ISBLANK('2025'!$P57), 0, 1), 3, if(ISBLANK('2025'!$Q57), 0, 1), 4, if(ISBLANK('2025'!$R57), 0, 1), 5, if(ISBLANK('2025'!$S57), 0, 1), 6, if(ISBLANK('2025'!$T57), 0, 1), 7, 0))), 1, "")</f>
        <v/>
      </c>
      <c r="AX59" s="1" t="str">
        <f>IF(AND(AND(AND(AX$4&gt;='2025'!$L57,AX$4&lt;='2025'!$M57), AX$4&lt;&gt;DATE(2025,7,4)), (SWITCH(weekday(AX$4), 1, 0, 2, if(ISBLANK('2025'!$P57), 0, 1), 3, if(ISBLANK('2025'!$Q57), 0, 1), 4, if(ISBLANK('2025'!$R57), 0, 1), 5, if(ISBLANK('2025'!$S57), 0, 1), 6, if(ISBLANK('2025'!$T57), 0, 1), 7, 0))), 1, "")</f>
        <v/>
      </c>
      <c r="AY59" s="1" t="str">
        <f>IF(AND(AND(AND(AY$4&gt;='2025'!$L57,AY$4&lt;='2025'!$M57), AY$4&lt;&gt;DATE(2025,7,4)), (SWITCH(weekday(AY$4), 1, 0, 2, if(ISBLANK('2025'!$P57), 0, 1), 3, if(ISBLANK('2025'!$Q57), 0, 1), 4, if(ISBLANK('2025'!$R57), 0, 1), 5, if(ISBLANK('2025'!$S57), 0, 1), 6, if(ISBLANK('2025'!$T57), 0, 1), 7, 0))), 1, "")</f>
        <v/>
      </c>
      <c r="AZ59" s="1" t="str">
        <f>IF(AND(AND(AND(AZ$4&gt;='2025'!$L57,AZ$4&lt;='2025'!$M57), AZ$4&lt;&gt;DATE(2025,7,4)), (SWITCH(weekday(AZ$4), 1, 0, 2, if(ISBLANK('2025'!$P57), 0, 1), 3, if(ISBLANK('2025'!$Q57), 0, 1), 4, if(ISBLANK('2025'!$R57), 0, 1), 5, if(ISBLANK('2025'!$S57), 0, 1), 6, if(ISBLANK('2025'!$T57), 0, 1), 7, 0))), 1, "")</f>
        <v/>
      </c>
      <c r="BA59" s="1" t="str">
        <f>IF(AND(AND(AND(BA$4&gt;='2025'!$L57,BA$4&lt;='2025'!$M57), BA$4&lt;&gt;DATE(2025,7,4)), (SWITCH(weekday(BA$4), 1, 0, 2, if(ISBLANK('2025'!$P57), 0, 1), 3, if(ISBLANK('2025'!$Q57), 0, 1), 4, if(ISBLANK('2025'!$R57), 0, 1), 5, if(ISBLANK('2025'!$S57), 0, 1), 6, if(ISBLANK('2025'!$T57), 0, 1), 7, 0))), 1, "")</f>
        <v/>
      </c>
      <c r="BB59" s="1" t="str">
        <f>IF(AND(AND(AND(BB$4&gt;='2025'!$L57,BB$4&lt;='2025'!$M57), BB$4&lt;&gt;DATE(2025,7,4)), (SWITCH(weekday(BB$4), 1, 0, 2, if(ISBLANK('2025'!$P57), 0, 1), 3, if(ISBLANK('2025'!$Q57), 0, 1), 4, if(ISBLANK('2025'!$R57), 0, 1), 5, if(ISBLANK('2025'!$S57), 0, 1), 6, if(ISBLANK('2025'!$T57), 0, 1), 7, 0))), 1, "")</f>
        <v/>
      </c>
      <c r="BC59" s="1" t="str">
        <f>IF(AND(AND(AND(BC$4&gt;='2025'!$L57,BC$4&lt;='2025'!$M57), BC$4&lt;&gt;DATE(2025,7,4)), (SWITCH(weekday(BC$4), 1, 0, 2, if(ISBLANK('2025'!$P57), 0, 1), 3, if(ISBLANK('2025'!$Q57), 0, 1), 4, if(ISBLANK('2025'!$R57), 0, 1), 5, if(ISBLANK('2025'!$S57), 0, 1), 6, if(ISBLANK('2025'!$T57), 0, 1), 7, 0))), 1, "")</f>
        <v/>
      </c>
      <c r="BD59" s="1" t="str">
        <f>IF(AND(AND(AND(BD$4&gt;='2025'!$L57,BD$4&lt;='2025'!$M57), BD$4&lt;&gt;DATE(2025,7,4)), (SWITCH(weekday(BD$4), 1, 0, 2, if(ISBLANK('2025'!$P57), 0, 1), 3, if(ISBLANK('2025'!$Q57), 0, 1), 4, if(ISBLANK('2025'!$R57), 0, 1), 5, if(ISBLANK('2025'!$S57), 0, 1), 6, if(ISBLANK('2025'!$T57), 0, 1), 7, 0))), 1, "")</f>
        <v/>
      </c>
      <c r="BE59" s="1" t="str">
        <f>IF(AND(AND(AND(BE$4&gt;='2025'!$L57,BE$4&lt;='2025'!$M57), BE$4&lt;&gt;DATE(2025,7,4)), (SWITCH(weekday(BE$4), 1, 0, 2, if(ISBLANK('2025'!$P57), 0, 1), 3, if(ISBLANK('2025'!$Q57), 0, 1), 4, if(ISBLANK('2025'!$R57), 0, 1), 5, if(ISBLANK('2025'!$S57), 0, 1), 6, if(ISBLANK('2025'!$T57), 0, 1), 7, 0))), 1, "")</f>
        <v/>
      </c>
      <c r="BF59" s="1" t="str">
        <f>IF(AND(AND(AND(BF$4&gt;='2025'!$L57,BF$4&lt;='2025'!$M57), BF$4&lt;&gt;DATE(2025,7,4)), (SWITCH(weekday(BF$4), 1, 0, 2, if(ISBLANK('2025'!$P57), 0, 1), 3, if(ISBLANK('2025'!$Q57), 0, 1), 4, if(ISBLANK('2025'!$R57), 0, 1), 5, if(ISBLANK('2025'!$S57), 0, 1), 6, if(ISBLANK('2025'!$T57), 0, 1), 7, 0))), 1, "")</f>
        <v/>
      </c>
      <c r="BG59" s="1"/>
      <c r="BH59" s="1"/>
      <c r="BI59" s="1"/>
      <c r="BJ59" s="1"/>
      <c r="BK59" s="1"/>
      <c r="BL59" s="1"/>
    </row>
    <row r="60">
      <c r="A60" s="1">
        <f t="shared" si="3"/>
        <v>60</v>
      </c>
      <c r="B60" s="1" t="str">
        <f>'2025'!D58</f>
        <v>, </v>
      </c>
      <c r="C60" s="1" t="str">
        <f>'2025'!H58</f>
        <v/>
      </c>
      <c r="D60" s="1" t="str">
        <f>IF(AND(AND(AND(D$4&gt;='2025'!$L58,D$4&lt;='2025'!$M58), D$4&lt;&gt;DATE(2025,7,4)), (SWITCH(weekday(D$4), 1, 0, 2, if(ISBLANK('2025'!$P58), 0, 1), 3, if(ISBLANK('2025'!$Q58), 0, 1), 4, if(ISBLANK('2025'!$R58), 0, 1), 5, if(ISBLANK('2025'!$S58), 0, 1), 6, if(ISBLANK('2025'!$T58), 0, 1), 7, 0))), 1, "")</f>
        <v/>
      </c>
      <c r="E60" s="1" t="str">
        <f>IF(AND(AND(AND(E$4&gt;='2025'!$L58,E$4&lt;='2025'!$M58), E$4&lt;&gt;DATE(2025,7,4)), (SWITCH(weekday(E$4), 1, 0, 2, if(ISBLANK('2025'!$P58), 0, 1), 3, if(ISBLANK('2025'!$Q58), 0, 1), 4, if(ISBLANK('2025'!$R58), 0, 1), 5, if(ISBLANK('2025'!$S58), 0, 1), 6, if(ISBLANK('2025'!$T58), 0, 1), 7, 0))), 1, "")</f>
        <v/>
      </c>
      <c r="F60" s="1" t="str">
        <f>IF(AND(AND(AND(F$4&gt;='2025'!$L58,F$4&lt;='2025'!$M58), F$4&lt;&gt;DATE(2025,7,4)), (SWITCH(weekday(F$4), 1, 0, 2, if(ISBLANK('2025'!$P58), 0, 1), 3, if(ISBLANK('2025'!$Q58), 0, 1), 4, if(ISBLANK('2025'!$R58), 0, 1), 5, if(ISBLANK('2025'!$S58), 0, 1), 6, if(ISBLANK('2025'!$T58), 0, 1), 7, 0))), 1, "")</f>
        <v/>
      </c>
      <c r="G60" s="1" t="str">
        <f>IF(AND(AND(AND(G$4&gt;='2025'!$L58,G$4&lt;='2025'!$M58), G$4&lt;&gt;DATE(2025,7,4)), (SWITCH(weekday(G$4), 1, 0, 2, if(ISBLANK('2025'!$P58), 0, 1), 3, if(ISBLANK('2025'!$Q58), 0, 1), 4, if(ISBLANK('2025'!$R58), 0, 1), 5, if(ISBLANK('2025'!$S58), 0, 1), 6, if(ISBLANK('2025'!$T58), 0, 1), 7, 0))), 1, "")</f>
        <v/>
      </c>
      <c r="H60" s="1" t="str">
        <f>IF(AND(AND(AND(H$4&gt;='2025'!$L58,H$4&lt;='2025'!$M58), H$4&lt;&gt;DATE(2025,7,4)), (SWITCH(weekday(H$4), 1, 0, 2, if(ISBLANK('2025'!$P58), 0, 1), 3, if(ISBLANK('2025'!$Q58), 0, 1), 4, if(ISBLANK('2025'!$R58), 0, 1), 5, if(ISBLANK('2025'!$S58), 0, 1), 6, if(ISBLANK('2025'!$T58), 0, 1), 7, 0))), 1, "")</f>
        <v/>
      </c>
      <c r="I60" s="1" t="str">
        <f>IF(AND(AND(AND(I$4&gt;='2025'!$L58,I$4&lt;='2025'!$M58), I$4&lt;&gt;DATE(2025,7,4)), (SWITCH(weekday(I$4), 1, 0, 2, if(ISBLANK('2025'!$P58), 0, 1), 3, if(ISBLANK('2025'!$Q58), 0, 1), 4, if(ISBLANK('2025'!$R58), 0, 1), 5, if(ISBLANK('2025'!$S58), 0, 1), 6, if(ISBLANK('2025'!$T58), 0, 1), 7, 0))), 1, "")</f>
        <v/>
      </c>
      <c r="J60" s="1" t="str">
        <f>IF(AND(AND(AND(J$4&gt;='2025'!$L58,J$4&lt;='2025'!$M58), J$4&lt;&gt;DATE(2025,7,4)), (SWITCH(weekday(J$4), 1, 0, 2, if(ISBLANK('2025'!$P58), 0, 1), 3, if(ISBLANK('2025'!$Q58), 0, 1), 4, if(ISBLANK('2025'!$R58), 0, 1), 5, if(ISBLANK('2025'!$S58), 0, 1), 6, if(ISBLANK('2025'!$T58), 0, 1), 7, 0))), 1, "")</f>
        <v/>
      </c>
      <c r="K60" s="1" t="str">
        <f>IF(AND(AND(AND(K$4&gt;='2025'!$L58,K$4&lt;='2025'!$M58), K$4&lt;&gt;DATE(2025,7,4)), (SWITCH(weekday(K$4), 1, 0, 2, if(ISBLANK('2025'!$P58), 0, 1), 3, if(ISBLANK('2025'!$Q58), 0, 1), 4, if(ISBLANK('2025'!$R58), 0, 1), 5, if(ISBLANK('2025'!$S58), 0, 1), 6, if(ISBLANK('2025'!$T58), 0, 1), 7, 0))), 1, "")</f>
        <v/>
      </c>
      <c r="L60" s="1" t="str">
        <f>IF(AND(AND(AND(L$4&gt;='2025'!$L58,L$4&lt;='2025'!$M58), L$4&lt;&gt;DATE(2025,7,4)), (SWITCH(weekday(L$4), 1, 0, 2, if(ISBLANK('2025'!$P58), 0, 1), 3, if(ISBLANK('2025'!$Q58), 0, 1), 4, if(ISBLANK('2025'!$R58), 0, 1), 5, if(ISBLANK('2025'!$S58), 0, 1), 6, if(ISBLANK('2025'!$T58), 0, 1), 7, 0))), 1, "")</f>
        <v/>
      </c>
      <c r="M60" s="1" t="str">
        <f>IF(AND(AND(AND(M$4&gt;='2025'!$L58,M$4&lt;='2025'!$M58), M$4&lt;&gt;DATE(2025,7,4)), (SWITCH(weekday(M$4), 1, 0, 2, if(ISBLANK('2025'!$P58), 0, 1), 3, if(ISBLANK('2025'!$Q58), 0, 1), 4, if(ISBLANK('2025'!$R58), 0, 1), 5, if(ISBLANK('2025'!$S58), 0, 1), 6, if(ISBLANK('2025'!$T58), 0, 1), 7, 0))), 1, "")</f>
        <v/>
      </c>
      <c r="N60" s="1" t="str">
        <f>IF(AND(AND(AND(N$4&gt;='2025'!$L58,N$4&lt;='2025'!$M58), N$4&lt;&gt;DATE(2025,7,4)), (SWITCH(weekday(N$4), 1, 0, 2, if(ISBLANK('2025'!$P58), 0, 1), 3, if(ISBLANK('2025'!$Q58), 0, 1), 4, if(ISBLANK('2025'!$R58), 0, 1), 5, if(ISBLANK('2025'!$S58), 0, 1), 6, if(ISBLANK('2025'!$T58), 0, 1), 7, 0))), 1, "")</f>
        <v/>
      </c>
      <c r="O60" s="1" t="str">
        <f>IF(AND(AND(AND(O$4&gt;='2025'!$L58,O$4&lt;='2025'!$M58), O$4&lt;&gt;DATE(2025,7,4)), (SWITCH(weekday(O$4), 1, 0, 2, if(ISBLANK('2025'!$P58), 0, 1), 3, if(ISBLANK('2025'!$Q58), 0, 1), 4, if(ISBLANK('2025'!$R58), 0, 1), 5, if(ISBLANK('2025'!$S58), 0, 1), 6, if(ISBLANK('2025'!$T58), 0, 1), 7, 0))), 1, "")</f>
        <v/>
      </c>
      <c r="P60" s="1" t="str">
        <f>IF(AND(AND(AND(P$4&gt;='2025'!$L58,P$4&lt;='2025'!$M58), P$4&lt;&gt;DATE(2025,7,4)), (SWITCH(weekday(P$4), 1, 0, 2, if(ISBLANK('2025'!$P58), 0, 1), 3, if(ISBLANK('2025'!$Q58), 0, 1), 4, if(ISBLANK('2025'!$R58), 0, 1), 5, if(ISBLANK('2025'!$S58), 0, 1), 6, if(ISBLANK('2025'!$T58), 0, 1), 7, 0))), 1, "")</f>
        <v/>
      </c>
      <c r="Q60" s="1" t="str">
        <f>IF(AND(AND(AND(Q$4&gt;='2025'!$L58,Q$4&lt;='2025'!$M58), Q$4&lt;&gt;DATE(2025,7,4)), (SWITCH(weekday(Q$4), 1, 0, 2, if(ISBLANK('2025'!$P58), 0, 1), 3, if(ISBLANK('2025'!$Q58), 0, 1), 4, if(ISBLANK('2025'!$R58), 0, 1), 5, if(ISBLANK('2025'!$S58), 0, 1), 6, if(ISBLANK('2025'!$T58), 0, 1), 7, 0))), 1, "")</f>
        <v/>
      </c>
      <c r="R60" s="1" t="str">
        <f>IF(AND(AND(AND(R$4&gt;='2025'!$L58,R$4&lt;='2025'!$M58), R$4&lt;&gt;DATE(2025,7,4)), (SWITCH(weekday(R$4), 1, 0, 2, if(ISBLANK('2025'!$P58), 0, 1), 3, if(ISBLANK('2025'!$Q58), 0, 1), 4, if(ISBLANK('2025'!$R58), 0, 1), 5, if(ISBLANK('2025'!$S58), 0, 1), 6, if(ISBLANK('2025'!$T58), 0, 1), 7, 0))), 1, "")</f>
        <v/>
      </c>
      <c r="S60" s="1" t="str">
        <f>IF(AND(AND(AND(S$4&gt;='2025'!$L58,S$4&lt;='2025'!$M58), S$4&lt;&gt;DATE(2025,7,4)), (SWITCH(weekday(S$4), 1, 0, 2, if(ISBLANK('2025'!$P58), 0, 1), 3, if(ISBLANK('2025'!$Q58), 0, 1), 4, if(ISBLANK('2025'!$R58), 0, 1), 5, if(ISBLANK('2025'!$S58), 0, 1), 6, if(ISBLANK('2025'!$T58), 0, 1), 7, 0))), 1, "")</f>
        <v/>
      </c>
      <c r="T60" s="1" t="str">
        <f>IF(AND(AND(AND(T$4&gt;='2025'!$L58,T$4&lt;='2025'!$M58), T$4&lt;&gt;DATE(2025,7,4)), (SWITCH(weekday(T$4), 1, 0, 2, if(ISBLANK('2025'!$P58), 0, 1), 3, if(ISBLANK('2025'!$Q58), 0, 1), 4, if(ISBLANK('2025'!$R58), 0, 1), 5, if(ISBLANK('2025'!$S58), 0, 1), 6, if(ISBLANK('2025'!$T58), 0, 1), 7, 0))), 1, "")</f>
        <v/>
      </c>
      <c r="U60" s="1" t="str">
        <f>IF(AND(AND(AND(U$4&gt;='2025'!$L58,U$4&lt;='2025'!$M58), U$4&lt;&gt;DATE(2025,7,4)), (SWITCH(weekday(U$4), 1, 0, 2, if(ISBLANK('2025'!$P58), 0, 1), 3, if(ISBLANK('2025'!$Q58), 0, 1), 4, if(ISBLANK('2025'!$R58), 0, 1), 5, if(ISBLANK('2025'!$S58), 0, 1), 6, if(ISBLANK('2025'!$T58), 0, 1), 7, 0))), 1, "")</f>
        <v/>
      </c>
      <c r="V60" s="1" t="str">
        <f>IF(AND(AND(AND(V$4&gt;='2025'!$L58,V$4&lt;='2025'!$M58), V$4&lt;&gt;DATE(2025,7,4)), (SWITCH(weekday(V$4), 1, 0, 2, if(ISBLANK('2025'!$P58), 0, 1), 3, if(ISBLANK('2025'!$Q58), 0, 1), 4, if(ISBLANK('2025'!$R58), 0, 1), 5, if(ISBLANK('2025'!$S58), 0, 1), 6, if(ISBLANK('2025'!$T58), 0, 1), 7, 0))), 1, "")</f>
        <v/>
      </c>
      <c r="W60" s="1" t="str">
        <f>IF(AND(AND(AND(W$4&gt;='2025'!$L58,W$4&lt;='2025'!$M58), W$4&lt;&gt;DATE(2025,7,4)), (SWITCH(weekday(W$4), 1, 0, 2, if(ISBLANK('2025'!$P58), 0, 1), 3, if(ISBLANK('2025'!$Q58), 0, 1), 4, if(ISBLANK('2025'!$R58), 0, 1), 5, if(ISBLANK('2025'!$S58), 0, 1), 6, if(ISBLANK('2025'!$T58), 0, 1), 7, 0))), 1, "")</f>
        <v/>
      </c>
      <c r="X60" s="1" t="str">
        <f>IF(AND(AND(AND(X$4&gt;='2025'!$L58,X$4&lt;='2025'!$M58), X$4&lt;&gt;DATE(2025,7,4)), (SWITCH(weekday(X$4), 1, 0, 2, if(ISBLANK('2025'!$P58), 0, 1), 3, if(ISBLANK('2025'!$Q58), 0, 1), 4, if(ISBLANK('2025'!$R58), 0, 1), 5, if(ISBLANK('2025'!$S58), 0, 1), 6, if(ISBLANK('2025'!$T58), 0, 1), 7, 0))), 1, "")</f>
        <v/>
      </c>
      <c r="Y60" s="1" t="str">
        <f>IF(AND(AND(AND(Y$4&gt;='2025'!$L58,Y$4&lt;='2025'!$M58), Y$4&lt;&gt;DATE(2025,7,4)), (SWITCH(weekday(Y$4), 1, 0, 2, if(ISBLANK('2025'!$P58), 0, 1), 3, if(ISBLANK('2025'!$Q58), 0, 1), 4, if(ISBLANK('2025'!$R58), 0, 1), 5, if(ISBLANK('2025'!$S58), 0, 1), 6, if(ISBLANK('2025'!$T58), 0, 1), 7, 0))), 1, "")</f>
        <v/>
      </c>
      <c r="Z60" s="1" t="str">
        <f>IF(AND(AND(AND(Z$4&gt;='2025'!$L58,Z$4&lt;='2025'!$M58), Z$4&lt;&gt;DATE(2025,7,4)), (SWITCH(weekday(Z$4), 1, 0, 2, if(ISBLANK('2025'!$P58), 0, 1), 3, if(ISBLANK('2025'!$Q58), 0, 1), 4, if(ISBLANK('2025'!$R58), 0, 1), 5, if(ISBLANK('2025'!$S58), 0, 1), 6, if(ISBLANK('2025'!$T58), 0, 1), 7, 0))), 1, "")</f>
        <v/>
      </c>
      <c r="AA60" s="1" t="str">
        <f>IF(AND(AND(AND(AA$4&gt;='2025'!$L58,AA$4&lt;='2025'!$M58), AA$4&lt;&gt;DATE(2025,7,4)), (SWITCH(weekday(AA$4), 1, 0, 2, if(ISBLANK('2025'!$P58), 0, 1), 3, if(ISBLANK('2025'!$Q58), 0, 1), 4, if(ISBLANK('2025'!$R58), 0, 1), 5, if(ISBLANK('2025'!$S58), 0, 1), 6, if(ISBLANK('2025'!$T58), 0, 1), 7, 0))), 1, "")</f>
        <v/>
      </c>
      <c r="AB60" s="1" t="str">
        <f>IF(AND(AND(AND(AB$4&gt;='2025'!$L58,AB$4&lt;='2025'!$M58), AB$4&lt;&gt;DATE(2025,7,4)), (SWITCH(weekday(AB$4), 1, 0, 2, if(ISBLANK('2025'!$P58), 0, 1), 3, if(ISBLANK('2025'!$Q58), 0, 1), 4, if(ISBLANK('2025'!$R58), 0, 1), 5, if(ISBLANK('2025'!$S58), 0, 1), 6, if(ISBLANK('2025'!$T58), 0, 1), 7, 0))), 1, "")</f>
        <v/>
      </c>
      <c r="AC60" s="1" t="str">
        <f>IF(AND(AND(AND(AC$4&gt;='2025'!$L58,AC$4&lt;='2025'!$M58), AC$4&lt;&gt;DATE(2025,7,4)), (SWITCH(weekday(AC$4), 1, 0, 2, if(ISBLANK('2025'!$P58), 0, 1), 3, if(ISBLANK('2025'!$Q58), 0, 1), 4, if(ISBLANK('2025'!$R58), 0, 1), 5, if(ISBLANK('2025'!$S58), 0, 1), 6, if(ISBLANK('2025'!$T58), 0, 1), 7, 0))), 1, "")</f>
        <v/>
      </c>
      <c r="AD60" s="1" t="str">
        <f>IF(AND(AND(AND(AD$4&gt;='2025'!$L58,AD$4&lt;='2025'!$M58), AD$4&lt;&gt;DATE(2025,7,4)), (SWITCH(weekday(AD$4), 1, 0, 2, if(ISBLANK('2025'!$P58), 0, 1), 3, if(ISBLANK('2025'!$Q58), 0, 1), 4, if(ISBLANK('2025'!$R58), 0, 1), 5, if(ISBLANK('2025'!$S58), 0, 1), 6, if(ISBLANK('2025'!$T58), 0, 1), 7, 0))), 1, "")</f>
        <v/>
      </c>
      <c r="AE60" s="1" t="str">
        <f>IF(AND(AND(AND(AE$4&gt;='2025'!$L58,AE$4&lt;='2025'!$M58), AE$4&lt;&gt;DATE(2025,7,4)), (SWITCH(weekday(AE$4), 1, 0, 2, if(ISBLANK('2025'!$P58), 0, 1), 3, if(ISBLANK('2025'!$Q58), 0, 1), 4, if(ISBLANK('2025'!$R58), 0, 1), 5, if(ISBLANK('2025'!$S58), 0, 1), 6, if(ISBLANK('2025'!$T58), 0, 1), 7, 0))), 1, "")</f>
        <v/>
      </c>
      <c r="AF60" s="1" t="str">
        <f>IF(AND(AND(AND(AF$4&gt;='2025'!$L58,AF$4&lt;='2025'!$M58), AF$4&lt;&gt;DATE(2025,7,4)), (SWITCH(weekday(AF$4), 1, 0, 2, if(ISBLANK('2025'!$P58), 0, 1), 3, if(ISBLANK('2025'!$Q58), 0, 1), 4, if(ISBLANK('2025'!$R58), 0, 1), 5, if(ISBLANK('2025'!$S58), 0, 1), 6, if(ISBLANK('2025'!$T58), 0, 1), 7, 0))), 1, "")</f>
        <v/>
      </c>
      <c r="AG60" s="1" t="str">
        <f>IF(AND(AND(AND(AG$4&gt;='2025'!$L58,AG$4&lt;='2025'!$M58), AG$4&lt;&gt;DATE(2025,7,4)), (SWITCH(weekday(AG$4), 1, 0, 2, if(ISBLANK('2025'!$P58), 0, 1), 3, if(ISBLANK('2025'!$Q58), 0, 1), 4, if(ISBLANK('2025'!$R58), 0, 1), 5, if(ISBLANK('2025'!$S58), 0, 1), 6, if(ISBLANK('2025'!$T58), 0, 1), 7, 0))), 1, "")</f>
        <v/>
      </c>
      <c r="AH60" s="1" t="str">
        <f>IF(AND(AND(AND(AH$4&gt;='2025'!$L58,AH$4&lt;='2025'!$M58), AH$4&lt;&gt;DATE(2025,7,4)), (SWITCH(weekday(AH$4), 1, 0, 2, if(ISBLANK('2025'!$P58), 0, 1), 3, if(ISBLANK('2025'!$Q58), 0, 1), 4, if(ISBLANK('2025'!$R58), 0, 1), 5, if(ISBLANK('2025'!$S58), 0, 1), 6, if(ISBLANK('2025'!$T58), 0, 1), 7, 0))), 1, "")</f>
        <v/>
      </c>
      <c r="AI60" s="1" t="str">
        <f>IF(AND(AND(AND(AI$4&gt;='2025'!$L58,AI$4&lt;='2025'!$M58), AI$4&lt;&gt;DATE(2025,7,4)), (SWITCH(weekday(AI$4), 1, 0, 2, if(ISBLANK('2025'!$P58), 0, 1), 3, if(ISBLANK('2025'!$Q58), 0, 1), 4, if(ISBLANK('2025'!$R58), 0, 1), 5, if(ISBLANK('2025'!$S58), 0, 1), 6, if(ISBLANK('2025'!$T58), 0, 1), 7, 0))), 1, "")</f>
        <v/>
      </c>
      <c r="AJ60" s="1" t="str">
        <f>IF(AND(AND(AND(AJ$4&gt;='2025'!$L58,AJ$4&lt;='2025'!$M58), AJ$4&lt;&gt;DATE(2025,7,4)), (SWITCH(weekday(AJ$4), 1, 0, 2, if(ISBLANK('2025'!$P58), 0, 1), 3, if(ISBLANK('2025'!$Q58), 0, 1), 4, if(ISBLANK('2025'!$R58), 0, 1), 5, if(ISBLANK('2025'!$S58), 0, 1), 6, if(ISBLANK('2025'!$T58), 0, 1), 7, 0))), 1, "")</f>
        <v/>
      </c>
      <c r="AK60" s="1" t="str">
        <f>IF(AND(AND(AND(AK$4&gt;='2025'!$L58,AK$4&lt;='2025'!$M58), AK$4&lt;&gt;DATE(2025,7,4)), (SWITCH(weekday(AK$4), 1, 0, 2, if(ISBLANK('2025'!$P58), 0, 1), 3, if(ISBLANK('2025'!$Q58), 0, 1), 4, if(ISBLANK('2025'!$R58), 0, 1), 5, if(ISBLANK('2025'!$S58), 0, 1), 6, if(ISBLANK('2025'!$T58), 0, 1), 7, 0))), 1, "")</f>
        <v/>
      </c>
      <c r="AL60" s="1" t="str">
        <f>IF(AND(AND(AND(AL$4&gt;='2025'!$L58,AL$4&lt;='2025'!$M58), AL$4&lt;&gt;DATE(2025,7,4)), (SWITCH(weekday(AL$4), 1, 0, 2, if(ISBLANK('2025'!$P58), 0, 1), 3, if(ISBLANK('2025'!$Q58), 0, 1), 4, if(ISBLANK('2025'!$R58), 0, 1), 5, if(ISBLANK('2025'!$S58), 0, 1), 6, if(ISBLANK('2025'!$T58), 0, 1), 7, 0))), 1, "")</f>
        <v/>
      </c>
      <c r="AM60" s="1" t="str">
        <f>IF(AND(AND(AND(AM$4&gt;='2025'!$L58,AM$4&lt;='2025'!$M58), AM$4&lt;&gt;DATE(2025,7,4)), (SWITCH(weekday(AM$4), 1, 0, 2, if(ISBLANK('2025'!$P58), 0, 1), 3, if(ISBLANK('2025'!$Q58), 0, 1), 4, if(ISBLANK('2025'!$R58), 0, 1), 5, if(ISBLANK('2025'!$S58), 0, 1), 6, if(ISBLANK('2025'!$T58), 0, 1), 7, 0))), 1, "")</f>
        <v/>
      </c>
      <c r="AN60" s="1" t="str">
        <f>IF(AND(AND(AND(AN$4&gt;='2025'!$L58,AN$4&lt;='2025'!$M58), AN$4&lt;&gt;DATE(2025,7,4)), (SWITCH(weekday(AN$4), 1, 0, 2, if(ISBLANK('2025'!$P58), 0, 1), 3, if(ISBLANK('2025'!$Q58), 0, 1), 4, if(ISBLANK('2025'!$R58), 0, 1), 5, if(ISBLANK('2025'!$S58), 0, 1), 6, if(ISBLANK('2025'!$T58), 0, 1), 7, 0))), 1, "")</f>
        <v/>
      </c>
      <c r="AO60" s="1" t="str">
        <f>IF(AND(AND(AND(AO$4&gt;='2025'!$L58,AO$4&lt;='2025'!$M58), AO$4&lt;&gt;DATE(2025,7,4)), (SWITCH(weekday(AO$4), 1, 0, 2, if(ISBLANK('2025'!$P58), 0, 1), 3, if(ISBLANK('2025'!$Q58), 0, 1), 4, if(ISBLANK('2025'!$R58), 0, 1), 5, if(ISBLANK('2025'!$S58), 0, 1), 6, if(ISBLANK('2025'!$T58), 0, 1), 7, 0))), 1, "")</f>
        <v/>
      </c>
      <c r="AP60" s="1" t="str">
        <f>IF(AND(AND(AND(AP$4&gt;='2025'!$L58,AP$4&lt;='2025'!$M58), AP$4&lt;&gt;DATE(2025,7,4)), (SWITCH(weekday(AP$4), 1, 0, 2, if(ISBLANK('2025'!$P58), 0, 1), 3, if(ISBLANK('2025'!$Q58), 0, 1), 4, if(ISBLANK('2025'!$R58), 0, 1), 5, if(ISBLANK('2025'!$S58), 0, 1), 6, if(ISBLANK('2025'!$T58), 0, 1), 7, 0))), 1, "")</f>
        <v/>
      </c>
      <c r="AQ60" s="1" t="str">
        <f>IF(AND(AND(AND(AQ$4&gt;='2025'!$L58,AQ$4&lt;='2025'!$M58), AQ$4&lt;&gt;DATE(2025,7,4)), (SWITCH(weekday(AQ$4), 1, 0, 2, if(ISBLANK('2025'!$P58), 0, 1), 3, if(ISBLANK('2025'!$Q58), 0, 1), 4, if(ISBLANK('2025'!$R58), 0, 1), 5, if(ISBLANK('2025'!$S58), 0, 1), 6, if(ISBLANK('2025'!$T58), 0, 1), 7, 0))), 1, "")</f>
        <v/>
      </c>
      <c r="AR60" s="1" t="str">
        <f>IF(AND(AND(AND(AR$4&gt;='2025'!$L58,AR$4&lt;='2025'!$M58), AR$4&lt;&gt;DATE(2025,7,4)), (SWITCH(weekday(AR$4), 1, 0, 2, if(ISBLANK('2025'!$P58), 0, 1), 3, if(ISBLANK('2025'!$Q58), 0, 1), 4, if(ISBLANK('2025'!$R58), 0, 1), 5, if(ISBLANK('2025'!$S58), 0, 1), 6, if(ISBLANK('2025'!$T58), 0, 1), 7, 0))), 1, "")</f>
        <v/>
      </c>
      <c r="AS60" s="1" t="str">
        <f>IF(AND(AND(AND(AS$4&gt;='2025'!$L58,AS$4&lt;='2025'!$M58), AS$4&lt;&gt;DATE(2025,7,4)), (SWITCH(weekday(AS$4), 1, 0, 2, if(ISBLANK('2025'!$P58), 0, 1), 3, if(ISBLANK('2025'!$Q58), 0, 1), 4, if(ISBLANK('2025'!$R58), 0, 1), 5, if(ISBLANK('2025'!$S58), 0, 1), 6, if(ISBLANK('2025'!$T58), 0, 1), 7, 0))), 1, "")</f>
        <v/>
      </c>
      <c r="AT60" s="1" t="str">
        <f>IF(AND(AND(AND(AT$4&gt;='2025'!$L58,AT$4&lt;='2025'!$M58), AT$4&lt;&gt;DATE(2025,7,4)), (SWITCH(weekday(AT$4), 1, 0, 2, if(ISBLANK('2025'!$P58), 0, 1), 3, if(ISBLANK('2025'!$Q58), 0, 1), 4, if(ISBLANK('2025'!$R58), 0, 1), 5, if(ISBLANK('2025'!$S58), 0, 1), 6, if(ISBLANK('2025'!$T58), 0, 1), 7, 0))), 1, "")</f>
        <v/>
      </c>
      <c r="AU60" s="1" t="str">
        <f>IF(AND(AND(AND(AU$4&gt;='2025'!$L58,AU$4&lt;='2025'!$M58), AU$4&lt;&gt;DATE(2025,7,4)), (SWITCH(weekday(AU$4), 1, 0, 2, if(ISBLANK('2025'!$P58), 0, 1), 3, if(ISBLANK('2025'!$Q58), 0, 1), 4, if(ISBLANK('2025'!$R58), 0, 1), 5, if(ISBLANK('2025'!$S58), 0, 1), 6, if(ISBLANK('2025'!$T58), 0, 1), 7, 0))), 1, "")</f>
        <v/>
      </c>
      <c r="AV60" s="1" t="str">
        <f>IF(AND(AND(AND(AV$4&gt;='2025'!$L58,AV$4&lt;='2025'!$M58), AV$4&lt;&gt;DATE(2025,7,4)), (SWITCH(weekday(AV$4), 1, 0, 2, if(ISBLANK('2025'!$P58), 0, 1), 3, if(ISBLANK('2025'!$Q58), 0, 1), 4, if(ISBLANK('2025'!$R58), 0, 1), 5, if(ISBLANK('2025'!$S58), 0, 1), 6, if(ISBLANK('2025'!$T58), 0, 1), 7, 0))), 1, "")</f>
        <v/>
      </c>
      <c r="AW60" s="1" t="str">
        <f>IF(AND(AND(AND(AW$4&gt;='2025'!$L58,AW$4&lt;='2025'!$M58), AW$4&lt;&gt;DATE(2025,7,4)), (SWITCH(weekday(AW$4), 1, 0, 2, if(ISBLANK('2025'!$P58), 0, 1), 3, if(ISBLANK('2025'!$Q58), 0, 1), 4, if(ISBLANK('2025'!$R58), 0, 1), 5, if(ISBLANK('2025'!$S58), 0, 1), 6, if(ISBLANK('2025'!$T58), 0, 1), 7, 0))), 1, "")</f>
        <v/>
      </c>
      <c r="AX60" s="1" t="str">
        <f>IF(AND(AND(AND(AX$4&gt;='2025'!$L58,AX$4&lt;='2025'!$M58), AX$4&lt;&gt;DATE(2025,7,4)), (SWITCH(weekday(AX$4), 1, 0, 2, if(ISBLANK('2025'!$P58), 0, 1), 3, if(ISBLANK('2025'!$Q58), 0, 1), 4, if(ISBLANK('2025'!$R58), 0, 1), 5, if(ISBLANK('2025'!$S58), 0, 1), 6, if(ISBLANK('2025'!$T58), 0, 1), 7, 0))), 1, "")</f>
        <v/>
      </c>
      <c r="AY60" s="1" t="str">
        <f>IF(AND(AND(AND(AY$4&gt;='2025'!$L58,AY$4&lt;='2025'!$M58), AY$4&lt;&gt;DATE(2025,7,4)), (SWITCH(weekday(AY$4), 1, 0, 2, if(ISBLANK('2025'!$P58), 0, 1), 3, if(ISBLANK('2025'!$Q58), 0, 1), 4, if(ISBLANK('2025'!$R58), 0, 1), 5, if(ISBLANK('2025'!$S58), 0, 1), 6, if(ISBLANK('2025'!$T58), 0, 1), 7, 0))), 1, "")</f>
        <v/>
      </c>
      <c r="AZ60" s="1" t="str">
        <f>IF(AND(AND(AND(AZ$4&gt;='2025'!$L58,AZ$4&lt;='2025'!$M58), AZ$4&lt;&gt;DATE(2025,7,4)), (SWITCH(weekday(AZ$4), 1, 0, 2, if(ISBLANK('2025'!$P58), 0, 1), 3, if(ISBLANK('2025'!$Q58), 0, 1), 4, if(ISBLANK('2025'!$R58), 0, 1), 5, if(ISBLANK('2025'!$S58), 0, 1), 6, if(ISBLANK('2025'!$T58), 0, 1), 7, 0))), 1, "")</f>
        <v/>
      </c>
      <c r="BA60" s="1" t="str">
        <f>IF(AND(AND(AND(BA$4&gt;='2025'!$L58,BA$4&lt;='2025'!$M58), BA$4&lt;&gt;DATE(2025,7,4)), (SWITCH(weekday(BA$4), 1, 0, 2, if(ISBLANK('2025'!$P58), 0, 1), 3, if(ISBLANK('2025'!$Q58), 0, 1), 4, if(ISBLANK('2025'!$R58), 0, 1), 5, if(ISBLANK('2025'!$S58), 0, 1), 6, if(ISBLANK('2025'!$T58), 0, 1), 7, 0))), 1, "")</f>
        <v/>
      </c>
      <c r="BB60" s="1" t="str">
        <f>IF(AND(AND(AND(BB$4&gt;='2025'!$L58,BB$4&lt;='2025'!$M58), BB$4&lt;&gt;DATE(2025,7,4)), (SWITCH(weekday(BB$4), 1, 0, 2, if(ISBLANK('2025'!$P58), 0, 1), 3, if(ISBLANK('2025'!$Q58), 0, 1), 4, if(ISBLANK('2025'!$R58), 0, 1), 5, if(ISBLANK('2025'!$S58), 0, 1), 6, if(ISBLANK('2025'!$T58), 0, 1), 7, 0))), 1, "")</f>
        <v/>
      </c>
      <c r="BC60" s="1" t="str">
        <f>IF(AND(AND(AND(BC$4&gt;='2025'!$L58,BC$4&lt;='2025'!$M58), BC$4&lt;&gt;DATE(2025,7,4)), (SWITCH(weekday(BC$4), 1, 0, 2, if(ISBLANK('2025'!$P58), 0, 1), 3, if(ISBLANK('2025'!$Q58), 0, 1), 4, if(ISBLANK('2025'!$R58), 0, 1), 5, if(ISBLANK('2025'!$S58), 0, 1), 6, if(ISBLANK('2025'!$T58), 0, 1), 7, 0))), 1, "")</f>
        <v/>
      </c>
      <c r="BD60" s="1" t="str">
        <f>IF(AND(AND(AND(BD$4&gt;='2025'!$L58,BD$4&lt;='2025'!$M58), BD$4&lt;&gt;DATE(2025,7,4)), (SWITCH(weekday(BD$4), 1, 0, 2, if(ISBLANK('2025'!$P58), 0, 1), 3, if(ISBLANK('2025'!$Q58), 0, 1), 4, if(ISBLANK('2025'!$R58), 0, 1), 5, if(ISBLANK('2025'!$S58), 0, 1), 6, if(ISBLANK('2025'!$T58), 0, 1), 7, 0))), 1, "")</f>
        <v/>
      </c>
      <c r="BE60" s="1" t="str">
        <f>IF(AND(AND(AND(BE$4&gt;='2025'!$L58,BE$4&lt;='2025'!$M58), BE$4&lt;&gt;DATE(2025,7,4)), (SWITCH(weekday(BE$4), 1, 0, 2, if(ISBLANK('2025'!$P58), 0, 1), 3, if(ISBLANK('2025'!$Q58), 0, 1), 4, if(ISBLANK('2025'!$R58), 0, 1), 5, if(ISBLANK('2025'!$S58), 0, 1), 6, if(ISBLANK('2025'!$T58), 0, 1), 7, 0))), 1, "")</f>
        <v/>
      </c>
      <c r="BF60" s="1" t="str">
        <f>IF(AND(AND(AND(BF$4&gt;='2025'!$L58,BF$4&lt;='2025'!$M58), BF$4&lt;&gt;DATE(2025,7,4)), (SWITCH(weekday(BF$4), 1, 0, 2, if(ISBLANK('2025'!$P58), 0, 1), 3, if(ISBLANK('2025'!$Q58), 0, 1), 4, if(ISBLANK('2025'!$R58), 0, 1), 5, if(ISBLANK('2025'!$S58), 0, 1), 6, if(ISBLANK('2025'!$T58), 0, 1), 7, 0))), 1, "")</f>
        <v/>
      </c>
      <c r="BG60" s="1"/>
      <c r="BH60" s="1"/>
      <c r="BI60" s="1"/>
      <c r="BJ60" s="1"/>
      <c r="BK60" s="1"/>
      <c r="BL60" s="1"/>
    </row>
    <row r="61">
      <c r="A61" s="1">
        <f t="shared" si="3"/>
        <v>61</v>
      </c>
      <c r="B61" s="1" t="str">
        <f>'2025'!D59</f>
        <v>, </v>
      </c>
      <c r="C61" s="1" t="str">
        <f>'2025'!H59</f>
        <v/>
      </c>
      <c r="D61" s="1" t="str">
        <f>IF(AND(AND(AND(D$4&gt;='2025'!$L59,D$4&lt;='2025'!$M59), D$4&lt;&gt;DATE(2025,7,4)), (SWITCH(weekday(D$4), 1, 0, 2, if(ISBLANK('2025'!$P59), 0, 1), 3, if(ISBLANK('2025'!$Q59), 0, 1), 4, if(ISBLANK('2025'!$R59), 0, 1), 5, if(ISBLANK('2025'!$S59), 0, 1), 6, if(ISBLANK('2025'!$T59), 0, 1), 7, 0))), 1, "")</f>
        <v/>
      </c>
      <c r="E61" s="1" t="str">
        <f>IF(AND(AND(AND(E$4&gt;='2025'!$L59,E$4&lt;='2025'!$M59), E$4&lt;&gt;DATE(2025,7,4)), (SWITCH(weekday(E$4), 1, 0, 2, if(ISBLANK('2025'!$P59), 0, 1), 3, if(ISBLANK('2025'!$Q59), 0, 1), 4, if(ISBLANK('2025'!$R59), 0, 1), 5, if(ISBLANK('2025'!$S59), 0, 1), 6, if(ISBLANK('2025'!$T59), 0, 1), 7, 0))), 1, "")</f>
        <v/>
      </c>
      <c r="F61" s="1" t="str">
        <f>IF(AND(AND(AND(F$4&gt;='2025'!$L59,F$4&lt;='2025'!$M59), F$4&lt;&gt;DATE(2025,7,4)), (SWITCH(weekday(F$4), 1, 0, 2, if(ISBLANK('2025'!$P59), 0, 1), 3, if(ISBLANK('2025'!$Q59), 0, 1), 4, if(ISBLANK('2025'!$R59), 0, 1), 5, if(ISBLANK('2025'!$S59), 0, 1), 6, if(ISBLANK('2025'!$T59), 0, 1), 7, 0))), 1, "")</f>
        <v/>
      </c>
      <c r="G61" s="1" t="str">
        <f>IF(AND(AND(AND(G$4&gt;='2025'!$L59,G$4&lt;='2025'!$M59), G$4&lt;&gt;DATE(2025,7,4)), (SWITCH(weekday(G$4), 1, 0, 2, if(ISBLANK('2025'!$P59), 0, 1), 3, if(ISBLANK('2025'!$Q59), 0, 1), 4, if(ISBLANK('2025'!$R59), 0, 1), 5, if(ISBLANK('2025'!$S59), 0, 1), 6, if(ISBLANK('2025'!$T59), 0, 1), 7, 0))), 1, "")</f>
        <v/>
      </c>
      <c r="H61" s="1" t="str">
        <f>IF(AND(AND(AND(H$4&gt;='2025'!$L59,H$4&lt;='2025'!$M59), H$4&lt;&gt;DATE(2025,7,4)), (SWITCH(weekday(H$4), 1, 0, 2, if(ISBLANK('2025'!$P59), 0, 1), 3, if(ISBLANK('2025'!$Q59), 0, 1), 4, if(ISBLANK('2025'!$R59), 0, 1), 5, if(ISBLANK('2025'!$S59), 0, 1), 6, if(ISBLANK('2025'!$T59), 0, 1), 7, 0))), 1, "")</f>
        <v/>
      </c>
      <c r="I61" s="1" t="str">
        <f>IF(AND(AND(AND(I$4&gt;='2025'!$L59,I$4&lt;='2025'!$M59), I$4&lt;&gt;DATE(2025,7,4)), (SWITCH(weekday(I$4), 1, 0, 2, if(ISBLANK('2025'!$P59), 0, 1), 3, if(ISBLANK('2025'!$Q59), 0, 1), 4, if(ISBLANK('2025'!$R59), 0, 1), 5, if(ISBLANK('2025'!$S59), 0, 1), 6, if(ISBLANK('2025'!$T59), 0, 1), 7, 0))), 1, "")</f>
        <v/>
      </c>
      <c r="J61" s="1" t="str">
        <f>IF(AND(AND(AND(J$4&gt;='2025'!$L59,J$4&lt;='2025'!$M59), J$4&lt;&gt;DATE(2025,7,4)), (SWITCH(weekday(J$4), 1, 0, 2, if(ISBLANK('2025'!$P59), 0, 1), 3, if(ISBLANK('2025'!$Q59), 0, 1), 4, if(ISBLANK('2025'!$R59), 0, 1), 5, if(ISBLANK('2025'!$S59), 0, 1), 6, if(ISBLANK('2025'!$T59), 0, 1), 7, 0))), 1, "")</f>
        <v/>
      </c>
      <c r="K61" s="1" t="str">
        <f>IF(AND(AND(AND(K$4&gt;='2025'!$L59,K$4&lt;='2025'!$M59), K$4&lt;&gt;DATE(2025,7,4)), (SWITCH(weekday(K$4), 1, 0, 2, if(ISBLANK('2025'!$P59), 0, 1), 3, if(ISBLANK('2025'!$Q59), 0, 1), 4, if(ISBLANK('2025'!$R59), 0, 1), 5, if(ISBLANK('2025'!$S59), 0, 1), 6, if(ISBLANK('2025'!$T59), 0, 1), 7, 0))), 1, "")</f>
        <v/>
      </c>
      <c r="L61" s="1" t="str">
        <f>IF(AND(AND(AND(L$4&gt;='2025'!$L59,L$4&lt;='2025'!$M59), L$4&lt;&gt;DATE(2025,7,4)), (SWITCH(weekday(L$4), 1, 0, 2, if(ISBLANK('2025'!$P59), 0, 1), 3, if(ISBLANK('2025'!$Q59), 0, 1), 4, if(ISBLANK('2025'!$R59), 0, 1), 5, if(ISBLANK('2025'!$S59), 0, 1), 6, if(ISBLANK('2025'!$T59), 0, 1), 7, 0))), 1, "")</f>
        <v/>
      </c>
      <c r="M61" s="1" t="str">
        <f>IF(AND(AND(AND(M$4&gt;='2025'!$L59,M$4&lt;='2025'!$M59), M$4&lt;&gt;DATE(2025,7,4)), (SWITCH(weekday(M$4), 1, 0, 2, if(ISBLANK('2025'!$P59), 0, 1), 3, if(ISBLANK('2025'!$Q59), 0, 1), 4, if(ISBLANK('2025'!$R59), 0, 1), 5, if(ISBLANK('2025'!$S59), 0, 1), 6, if(ISBLANK('2025'!$T59), 0, 1), 7, 0))), 1, "")</f>
        <v/>
      </c>
      <c r="N61" s="1" t="str">
        <f>IF(AND(AND(AND(N$4&gt;='2025'!$L59,N$4&lt;='2025'!$M59), N$4&lt;&gt;DATE(2025,7,4)), (SWITCH(weekday(N$4), 1, 0, 2, if(ISBLANK('2025'!$P59), 0, 1), 3, if(ISBLANK('2025'!$Q59), 0, 1), 4, if(ISBLANK('2025'!$R59), 0, 1), 5, if(ISBLANK('2025'!$S59), 0, 1), 6, if(ISBLANK('2025'!$T59), 0, 1), 7, 0))), 1, "")</f>
        <v/>
      </c>
      <c r="O61" s="1" t="str">
        <f>IF(AND(AND(AND(O$4&gt;='2025'!$L59,O$4&lt;='2025'!$M59), O$4&lt;&gt;DATE(2025,7,4)), (SWITCH(weekday(O$4), 1, 0, 2, if(ISBLANK('2025'!$P59), 0, 1), 3, if(ISBLANK('2025'!$Q59), 0, 1), 4, if(ISBLANK('2025'!$R59), 0, 1), 5, if(ISBLANK('2025'!$S59), 0, 1), 6, if(ISBLANK('2025'!$T59), 0, 1), 7, 0))), 1, "")</f>
        <v/>
      </c>
      <c r="P61" s="1" t="str">
        <f>IF(AND(AND(AND(P$4&gt;='2025'!$L59,P$4&lt;='2025'!$M59), P$4&lt;&gt;DATE(2025,7,4)), (SWITCH(weekday(P$4), 1, 0, 2, if(ISBLANK('2025'!$P59), 0, 1), 3, if(ISBLANK('2025'!$Q59), 0, 1), 4, if(ISBLANK('2025'!$R59), 0, 1), 5, if(ISBLANK('2025'!$S59), 0, 1), 6, if(ISBLANK('2025'!$T59), 0, 1), 7, 0))), 1, "")</f>
        <v/>
      </c>
      <c r="Q61" s="1" t="str">
        <f>IF(AND(AND(AND(Q$4&gt;='2025'!$L59,Q$4&lt;='2025'!$M59), Q$4&lt;&gt;DATE(2025,7,4)), (SWITCH(weekday(Q$4), 1, 0, 2, if(ISBLANK('2025'!$P59), 0, 1), 3, if(ISBLANK('2025'!$Q59), 0, 1), 4, if(ISBLANK('2025'!$R59), 0, 1), 5, if(ISBLANK('2025'!$S59), 0, 1), 6, if(ISBLANK('2025'!$T59), 0, 1), 7, 0))), 1, "")</f>
        <v/>
      </c>
      <c r="R61" s="1" t="str">
        <f>IF(AND(AND(AND(R$4&gt;='2025'!$L59,R$4&lt;='2025'!$M59), R$4&lt;&gt;DATE(2025,7,4)), (SWITCH(weekday(R$4), 1, 0, 2, if(ISBLANK('2025'!$P59), 0, 1), 3, if(ISBLANK('2025'!$Q59), 0, 1), 4, if(ISBLANK('2025'!$R59), 0, 1), 5, if(ISBLANK('2025'!$S59), 0, 1), 6, if(ISBLANK('2025'!$T59), 0, 1), 7, 0))), 1, "")</f>
        <v/>
      </c>
      <c r="S61" s="1" t="str">
        <f>IF(AND(AND(AND(S$4&gt;='2025'!$L59,S$4&lt;='2025'!$M59), S$4&lt;&gt;DATE(2025,7,4)), (SWITCH(weekday(S$4), 1, 0, 2, if(ISBLANK('2025'!$P59), 0, 1), 3, if(ISBLANK('2025'!$Q59), 0, 1), 4, if(ISBLANK('2025'!$R59), 0, 1), 5, if(ISBLANK('2025'!$S59), 0, 1), 6, if(ISBLANK('2025'!$T59), 0, 1), 7, 0))), 1, "")</f>
        <v/>
      </c>
      <c r="T61" s="1" t="str">
        <f>IF(AND(AND(AND(T$4&gt;='2025'!$L59,T$4&lt;='2025'!$M59), T$4&lt;&gt;DATE(2025,7,4)), (SWITCH(weekday(T$4), 1, 0, 2, if(ISBLANK('2025'!$P59), 0, 1), 3, if(ISBLANK('2025'!$Q59), 0, 1), 4, if(ISBLANK('2025'!$R59), 0, 1), 5, if(ISBLANK('2025'!$S59), 0, 1), 6, if(ISBLANK('2025'!$T59), 0, 1), 7, 0))), 1, "")</f>
        <v/>
      </c>
      <c r="U61" s="1" t="str">
        <f>IF(AND(AND(AND(U$4&gt;='2025'!$L59,U$4&lt;='2025'!$M59), U$4&lt;&gt;DATE(2025,7,4)), (SWITCH(weekday(U$4), 1, 0, 2, if(ISBLANK('2025'!$P59), 0, 1), 3, if(ISBLANK('2025'!$Q59), 0, 1), 4, if(ISBLANK('2025'!$R59), 0, 1), 5, if(ISBLANK('2025'!$S59), 0, 1), 6, if(ISBLANK('2025'!$T59), 0, 1), 7, 0))), 1, "")</f>
        <v/>
      </c>
      <c r="V61" s="1" t="str">
        <f>IF(AND(AND(AND(V$4&gt;='2025'!$L59,V$4&lt;='2025'!$M59), V$4&lt;&gt;DATE(2025,7,4)), (SWITCH(weekday(V$4), 1, 0, 2, if(ISBLANK('2025'!$P59), 0, 1), 3, if(ISBLANK('2025'!$Q59), 0, 1), 4, if(ISBLANK('2025'!$R59), 0, 1), 5, if(ISBLANK('2025'!$S59), 0, 1), 6, if(ISBLANK('2025'!$T59), 0, 1), 7, 0))), 1, "")</f>
        <v/>
      </c>
      <c r="W61" s="1" t="str">
        <f>IF(AND(AND(AND(W$4&gt;='2025'!$L59,W$4&lt;='2025'!$M59), W$4&lt;&gt;DATE(2025,7,4)), (SWITCH(weekday(W$4), 1, 0, 2, if(ISBLANK('2025'!$P59), 0, 1), 3, if(ISBLANK('2025'!$Q59), 0, 1), 4, if(ISBLANK('2025'!$R59), 0, 1), 5, if(ISBLANK('2025'!$S59), 0, 1), 6, if(ISBLANK('2025'!$T59), 0, 1), 7, 0))), 1, "")</f>
        <v/>
      </c>
      <c r="X61" s="1" t="str">
        <f>IF(AND(AND(AND(X$4&gt;='2025'!$L59,X$4&lt;='2025'!$M59), X$4&lt;&gt;DATE(2025,7,4)), (SWITCH(weekday(X$4), 1, 0, 2, if(ISBLANK('2025'!$P59), 0, 1), 3, if(ISBLANK('2025'!$Q59), 0, 1), 4, if(ISBLANK('2025'!$R59), 0, 1), 5, if(ISBLANK('2025'!$S59), 0, 1), 6, if(ISBLANK('2025'!$T59), 0, 1), 7, 0))), 1, "")</f>
        <v/>
      </c>
      <c r="Y61" s="1" t="str">
        <f>IF(AND(AND(AND(Y$4&gt;='2025'!$L59,Y$4&lt;='2025'!$M59), Y$4&lt;&gt;DATE(2025,7,4)), (SWITCH(weekday(Y$4), 1, 0, 2, if(ISBLANK('2025'!$P59), 0, 1), 3, if(ISBLANK('2025'!$Q59), 0, 1), 4, if(ISBLANK('2025'!$R59), 0, 1), 5, if(ISBLANK('2025'!$S59), 0, 1), 6, if(ISBLANK('2025'!$T59), 0, 1), 7, 0))), 1, "")</f>
        <v/>
      </c>
      <c r="Z61" s="1" t="str">
        <f>IF(AND(AND(AND(Z$4&gt;='2025'!$L59,Z$4&lt;='2025'!$M59), Z$4&lt;&gt;DATE(2025,7,4)), (SWITCH(weekday(Z$4), 1, 0, 2, if(ISBLANK('2025'!$P59), 0, 1), 3, if(ISBLANK('2025'!$Q59), 0, 1), 4, if(ISBLANK('2025'!$R59), 0, 1), 5, if(ISBLANK('2025'!$S59), 0, 1), 6, if(ISBLANK('2025'!$T59), 0, 1), 7, 0))), 1, "")</f>
        <v/>
      </c>
      <c r="AA61" s="1" t="str">
        <f>IF(AND(AND(AND(AA$4&gt;='2025'!$L59,AA$4&lt;='2025'!$M59), AA$4&lt;&gt;DATE(2025,7,4)), (SWITCH(weekday(AA$4), 1, 0, 2, if(ISBLANK('2025'!$P59), 0, 1), 3, if(ISBLANK('2025'!$Q59), 0, 1), 4, if(ISBLANK('2025'!$R59), 0, 1), 5, if(ISBLANK('2025'!$S59), 0, 1), 6, if(ISBLANK('2025'!$T59), 0, 1), 7, 0))), 1, "")</f>
        <v/>
      </c>
      <c r="AB61" s="1" t="str">
        <f>IF(AND(AND(AND(AB$4&gt;='2025'!$L59,AB$4&lt;='2025'!$M59), AB$4&lt;&gt;DATE(2025,7,4)), (SWITCH(weekday(AB$4), 1, 0, 2, if(ISBLANK('2025'!$P59), 0, 1), 3, if(ISBLANK('2025'!$Q59), 0, 1), 4, if(ISBLANK('2025'!$R59), 0, 1), 5, if(ISBLANK('2025'!$S59), 0, 1), 6, if(ISBLANK('2025'!$T59), 0, 1), 7, 0))), 1, "")</f>
        <v/>
      </c>
      <c r="AC61" s="1" t="str">
        <f>IF(AND(AND(AND(AC$4&gt;='2025'!$L59,AC$4&lt;='2025'!$M59), AC$4&lt;&gt;DATE(2025,7,4)), (SWITCH(weekday(AC$4), 1, 0, 2, if(ISBLANK('2025'!$P59), 0, 1), 3, if(ISBLANK('2025'!$Q59), 0, 1), 4, if(ISBLANK('2025'!$R59), 0, 1), 5, if(ISBLANK('2025'!$S59), 0, 1), 6, if(ISBLANK('2025'!$T59), 0, 1), 7, 0))), 1, "")</f>
        <v/>
      </c>
      <c r="AD61" s="1" t="str">
        <f>IF(AND(AND(AND(AD$4&gt;='2025'!$L59,AD$4&lt;='2025'!$M59), AD$4&lt;&gt;DATE(2025,7,4)), (SWITCH(weekday(AD$4), 1, 0, 2, if(ISBLANK('2025'!$P59), 0, 1), 3, if(ISBLANK('2025'!$Q59), 0, 1), 4, if(ISBLANK('2025'!$R59), 0, 1), 5, if(ISBLANK('2025'!$S59), 0, 1), 6, if(ISBLANK('2025'!$T59), 0, 1), 7, 0))), 1, "")</f>
        <v/>
      </c>
      <c r="AE61" s="1" t="str">
        <f>IF(AND(AND(AND(AE$4&gt;='2025'!$L59,AE$4&lt;='2025'!$M59), AE$4&lt;&gt;DATE(2025,7,4)), (SWITCH(weekday(AE$4), 1, 0, 2, if(ISBLANK('2025'!$P59), 0, 1), 3, if(ISBLANK('2025'!$Q59), 0, 1), 4, if(ISBLANK('2025'!$R59), 0, 1), 5, if(ISBLANK('2025'!$S59), 0, 1), 6, if(ISBLANK('2025'!$T59), 0, 1), 7, 0))), 1, "")</f>
        <v/>
      </c>
      <c r="AF61" s="1" t="str">
        <f>IF(AND(AND(AND(AF$4&gt;='2025'!$L59,AF$4&lt;='2025'!$M59), AF$4&lt;&gt;DATE(2025,7,4)), (SWITCH(weekday(AF$4), 1, 0, 2, if(ISBLANK('2025'!$P59), 0, 1), 3, if(ISBLANK('2025'!$Q59), 0, 1), 4, if(ISBLANK('2025'!$R59), 0, 1), 5, if(ISBLANK('2025'!$S59), 0, 1), 6, if(ISBLANK('2025'!$T59), 0, 1), 7, 0))), 1, "")</f>
        <v/>
      </c>
      <c r="AG61" s="1" t="str">
        <f>IF(AND(AND(AND(AG$4&gt;='2025'!$L59,AG$4&lt;='2025'!$M59), AG$4&lt;&gt;DATE(2025,7,4)), (SWITCH(weekday(AG$4), 1, 0, 2, if(ISBLANK('2025'!$P59), 0, 1), 3, if(ISBLANK('2025'!$Q59), 0, 1), 4, if(ISBLANK('2025'!$R59), 0, 1), 5, if(ISBLANK('2025'!$S59), 0, 1), 6, if(ISBLANK('2025'!$T59), 0, 1), 7, 0))), 1, "")</f>
        <v/>
      </c>
      <c r="AH61" s="1" t="str">
        <f>IF(AND(AND(AND(AH$4&gt;='2025'!$L59,AH$4&lt;='2025'!$M59), AH$4&lt;&gt;DATE(2025,7,4)), (SWITCH(weekday(AH$4), 1, 0, 2, if(ISBLANK('2025'!$P59), 0, 1), 3, if(ISBLANK('2025'!$Q59), 0, 1), 4, if(ISBLANK('2025'!$R59), 0, 1), 5, if(ISBLANK('2025'!$S59), 0, 1), 6, if(ISBLANK('2025'!$T59), 0, 1), 7, 0))), 1, "")</f>
        <v/>
      </c>
      <c r="AI61" s="1" t="str">
        <f>IF(AND(AND(AND(AI$4&gt;='2025'!$L59,AI$4&lt;='2025'!$M59), AI$4&lt;&gt;DATE(2025,7,4)), (SWITCH(weekday(AI$4), 1, 0, 2, if(ISBLANK('2025'!$P59), 0, 1), 3, if(ISBLANK('2025'!$Q59), 0, 1), 4, if(ISBLANK('2025'!$R59), 0, 1), 5, if(ISBLANK('2025'!$S59), 0, 1), 6, if(ISBLANK('2025'!$T59), 0, 1), 7, 0))), 1, "")</f>
        <v/>
      </c>
      <c r="AJ61" s="1" t="str">
        <f>IF(AND(AND(AND(AJ$4&gt;='2025'!$L59,AJ$4&lt;='2025'!$M59), AJ$4&lt;&gt;DATE(2025,7,4)), (SWITCH(weekday(AJ$4), 1, 0, 2, if(ISBLANK('2025'!$P59), 0, 1), 3, if(ISBLANK('2025'!$Q59), 0, 1), 4, if(ISBLANK('2025'!$R59), 0, 1), 5, if(ISBLANK('2025'!$S59), 0, 1), 6, if(ISBLANK('2025'!$T59), 0, 1), 7, 0))), 1, "")</f>
        <v/>
      </c>
      <c r="AK61" s="1" t="str">
        <f>IF(AND(AND(AND(AK$4&gt;='2025'!$L59,AK$4&lt;='2025'!$M59), AK$4&lt;&gt;DATE(2025,7,4)), (SWITCH(weekday(AK$4), 1, 0, 2, if(ISBLANK('2025'!$P59), 0, 1), 3, if(ISBLANK('2025'!$Q59), 0, 1), 4, if(ISBLANK('2025'!$R59), 0, 1), 5, if(ISBLANK('2025'!$S59), 0, 1), 6, if(ISBLANK('2025'!$T59), 0, 1), 7, 0))), 1, "")</f>
        <v/>
      </c>
      <c r="AL61" s="1" t="str">
        <f>IF(AND(AND(AND(AL$4&gt;='2025'!$L59,AL$4&lt;='2025'!$M59), AL$4&lt;&gt;DATE(2025,7,4)), (SWITCH(weekday(AL$4), 1, 0, 2, if(ISBLANK('2025'!$P59), 0, 1), 3, if(ISBLANK('2025'!$Q59), 0, 1), 4, if(ISBLANK('2025'!$R59), 0, 1), 5, if(ISBLANK('2025'!$S59), 0, 1), 6, if(ISBLANK('2025'!$T59), 0, 1), 7, 0))), 1, "")</f>
        <v/>
      </c>
      <c r="AM61" s="1" t="str">
        <f>IF(AND(AND(AND(AM$4&gt;='2025'!$L59,AM$4&lt;='2025'!$M59), AM$4&lt;&gt;DATE(2025,7,4)), (SWITCH(weekday(AM$4), 1, 0, 2, if(ISBLANK('2025'!$P59), 0, 1), 3, if(ISBLANK('2025'!$Q59), 0, 1), 4, if(ISBLANK('2025'!$R59), 0, 1), 5, if(ISBLANK('2025'!$S59), 0, 1), 6, if(ISBLANK('2025'!$T59), 0, 1), 7, 0))), 1, "")</f>
        <v/>
      </c>
      <c r="AN61" s="1" t="str">
        <f>IF(AND(AND(AND(AN$4&gt;='2025'!$L59,AN$4&lt;='2025'!$M59), AN$4&lt;&gt;DATE(2025,7,4)), (SWITCH(weekday(AN$4), 1, 0, 2, if(ISBLANK('2025'!$P59), 0, 1), 3, if(ISBLANK('2025'!$Q59), 0, 1), 4, if(ISBLANK('2025'!$R59), 0, 1), 5, if(ISBLANK('2025'!$S59), 0, 1), 6, if(ISBLANK('2025'!$T59), 0, 1), 7, 0))), 1, "")</f>
        <v/>
      </c>
      <c r="AO61" s="1" t="str">
        <f>IF(AND(AND(AND(AO$4&gt;='2025'!$L59,AO$4&lt;='2025'!$M59), AO$4&lt;&gt;DATE(2025,7,4)), (SWITCH(weekday(AO$4), 1, 0, 2, if(ISBLANK('2025'!$P59), 0, 1), 3, if(ISBLANK('2025'!$Q59), 0, 1), 4, if(ISBLANK('2025'!$R59), 0, 1), 5, if(ISBLANK('2025'!$S59), 0, 1), 6, if(ISBLANK('2025'!$T59), 0, 1), 7, 0))), 1, "")</f>
        <v/>
      </c>
      <c r="AP61" s="1" t="str">
        <f>IF(AND(AND(AND(AP$4&gt;='2025'!$L59,AP$4&lt;='2025'!$M59), AP$4&lt;&gt;DATE(2025,7,4)), (SWITCH(weekday(AP$4), 1, 0, 2, if(ISBLANK('2025'!$P59), 0, 1), 3, if(ISBLANK('2025'!$Q59), 0, 1), 4, if(ISBLANK('2025'!$R59), 0, 1), 5, if(ISBLANK('2025'!$S59), 0, 1), 6, if(ISBLANK('2025'!$T59), 0, 1), 7, 0))), 1, "")</f>
        <v/>
      </c>
      <c r="AQ61" s="1" t="str">
        <f>IF(AND(AND(AND(AQ$4&gt;='2025'!$L59,AQ$4&lt;='2025'!$M59), AQ$4&lt;&gt;DATE(2025,7,4)), (SWITCH(weekday(AQ$4), 1, 0, 2, if(ISBLANK('2025'!$P59), 0, 1), 3, if(ISBLANK('2025'!$Q59), 0, 1), 4, if(ISBLANK('2025'!$R59), 0, 1), 5, if(ISBLANK('2025'!$S59), 0, 1), 6, if(ISBLANK('2025'!$T59), 0, 1), 7, 0))), 1, "")</f>
        <v/>
      </c>
      <c r="AR61" s="1" t="str">
        <f>IF(AND(AND(AND(AR$4&gt;='2025'!$L59,AR$4&lt;='2025'!$M59), AR$4&lt;&gt;DATE(2025,7,4)), (SWITCH(weekday(AR$4), 1, 0, 2, if(ISBLANK('2025'!$P59), 0, 1), 3, if(ISBLANK('2025'!$Q59), 0, 1), 4, if(ISBLANK('2025'!$R59), 0, 1), 5, if(ISBLANK('2025'!$S59), 0, 1), 6, if(ISBLANK('2025'!$T59), 0, 1), 7, 0))), 1, "")</f>
        <v/>
      </c>
      <c r="AS61" s="1" t="str">
        <f>IF(AND(AND(AND(AS$4&gt;='2025'!$L59,AS$4&lt;='2025'!$M59), AS$4&lt;&gt;DATE(2025,7,4)), (SWITCH(weekday(AS$4), 1, 0, 2, if(ISBLANK('2025'!$P59), 0, 1), 3, if(ISBLANK('2025'!$Q59), 0, 1), 4, if(ISBLANK('2025'!$R59), 0, 1), 5, if(ISBLANK('2025'!$S59), 0, 1), 6, if(ISBLANK('2025'!$T59), 0, 1), 7, 0))), 1, "")</f>
        <v/>
      </c>
      <c r="AT61" s="1" t="str">
        <f>IF(AND(AND(AND(AT$4&gt;='2025'!$L59,AT$4&lt;='2025'!$M59), AT$4&lt;&gt;DATE(2025,7,4)), (SWITCH(weekday(AT$4), 1, 0, 2, if(ISBLANK('2025'!$P59), 0, 1), 3, if(ISBLANK('2025'!$Q59), 0, 1), 4, if(ISBLANK('2025'!$R59), 0, 1), 5, if(ISBLANK('2025'!$S59), 0, 1), 6, if(ISBLANK('2025'!$T59), 0, 1), 7, 0))), 1, "")</f>
        <v/>
      </c>
      <c r="AU61" s="1" t="str">
        <f>IF(AND(AND(AND(AU$4&gt;='2025'!$L59,AU$4&lt;='2025'!$M59), AU$4&lt;&gt;DATE(2025,7,4)), (SWITCH(weekday(AU$4), 1, 0, 2, if(ISBLANK('2025'!$P59), 0, 1), 3, if(ISBLANK('2025'!$Q59), 0, 1), 4, if(ISBLANK('2025'!$R59), 0, 1), 5, if(ISBLANK('2025'!$S59), 0, 1), 6, if(ISBLANK('2025'!$T59), 0, 1), 7, 0))), 1, "")</f>
        <v/>
      </c>
      <c r="AV61" s="1" t="str">
        <f>IF(AND(AND(AND(AV$4&gt;='2025'!$L59,AV$4&lt;='2025'!$M59), AV$4&lt;&gt;DATE(2025,7,4)), (SWITCH(weekday(AV$4), 1, 0, 2, if(ISBLANK('2025'!$P59), 0, 1), 3, if(ISBLANK('2025'!$Q59), 0, 1), 4, if(ISBLANK('2025'!$R59), 0, 1), 5, if(ISBLANK('2025'!$S59), 0, 1), 6, if(ISBLANK('2025'!$T59), 0, 1), 7, 0))), 1, "")</f>
        <v/>
      </c>
      <c r="AW61" s="1" t="str">
        <f>IF(AND(AND(AND(AW$4&gt;='2025'!$L59,AW$4&lt;='2025'!$M59), AW$4&lt;&gt;DATE(2025,7,4)), (SWITCH(weekday(AW$4), 1, 0, 2, if(ISBLANK('2025'!$P59), 0, 1), 3, if(ISBLANK('2025'!$Q59), 0, 1), 4, if(ISBLANK('2025'!$R59), 0, 1), 5, if(ISBLANK('2025'!$S59), 0, 1), 6, if(ISBLANK('2025'!$T59), 0, 1), 7, 0))), 1, "")</f>
        <v/>
      </c>
      <c r="AX61" s="1" t="str">
        <f>IF(AND(AND(AND(AX$4&gt;='2025'!$L59,AX$4&lt;='2025'!$M59), AX$4&lt;&gt;DATE(2025,7,4)), (SWITCH(weekday(AX$4), 1, 0, 2, if(ISBLANK('2025'!$P59), 0, 1), 3, if(ISBLANK('2025'!$Q59), 0, 1), 4, if(ISBLANK('2025'!$R59), 0, 1), 5, if(ISBLANK('2025'!$S59), 0, 1), 6, if(ISBLANK('2025'!$T59), 0, 1), 7, 0))), 1, "")</f>
        <v/>
      </c>
      <c r="AY61" s="1" t="str">
        <f>IF(AND(AND(AND(AY$4&gt;='2025'!$L59,AY$4&lt;='2025'!$M59), AY$4&lt;&gt;DATE(2025,7,4)), (SWITCH(weekday(AY$4), 1, 0, 2, if(ISBLANK('2025'!$P59), 0, 1), 3, if(ISBLANK('2025'!$Q59), 0, 1), 4, if(ISBLANK('2025'!$R59), 0, 1), 5, if(ISBLANK('2025'!$S59), 0, 1), 6, if(ISBLANK('2025'!$T59), 0, 1), 7, 0))), 1, "")</f>
        <v/>
      </c>
      <c r="AZ61" s="1" t="str">
        <f>IF(AND(AND(AND(AZ$4&gt;='2025'!$L59,AZ$4&lt;='2025'!$M59), AZ$4&lt;&gt;DATE(2025,7,4)), (SWITCH(weekday(AZ$4), 1, 0, 2, if(ISBLANK('2025'!$P59), 0, 1), 3, if(ISBLANK('2025'!$Q59), 0, 1), 4, if(ISBLANK('2025'!$R59), 0, 1), 5, if(ISBLANK('2025'!$S59), 0, 1), 6, if(ISBLANK('2025'!$T59), 0, 1), 7, 0))), 1, "")</f>
        <v/>
      </c>
      <c r="BA61" s="1" t="str">
        <f>IF(AND(AND(AND(BA$4&gt;='2025'!$L59,BA$4&lt;='2025'!$M59), BA$4&lt;&gt;DATE(2025,7,4)), (SWITCH(weekday(BA$4), 1, 0, 2, if(ISBLANK('2025'!$P59), 0, 1), 3, if(ISBLANK('2025'!$Q59), 0, 1), 4, if(ISBLANK('2025'!$R59), 0, 1), 5, if(ISBLANK('2025'!$S59), 0, 1), 6, if(ISBLANK('2025'!$T59), 0, 1), 7, 0))), 1, "")</f>
        <v/>
      </c>
      <c r="BB61" s="1" t="str">
        <f>IF(AND(AND(AND(BB$4&gt;='2025'!$L59,BB$4&lt;='2025'!$M59), BB$4&lt;&gt;DATE(2025,7,4)), (SWITCH(weekday(BB$4), 1, 0, 2, if(ISBLANK('2025'!$P59), 0, 1), 3, if(ISBLANK('2025'!$Q59), 0, 1), 4, if(ISBLANK('2025'!$R59), 0, 1), 5, if(ISBLANK('2025'!$S59), 0, 1), 6, if(ISBLANK('2025'!$T59), 0, 1), 7, 0))), 1, "")</f>
        <v/>
      </c>
      <c r="BC61" s="1" t="str">
        <f>IF(AND(AND(AND(BC$4&gt;='2025'!$L59,BC$4&lt;='2025'!$M59), BC$4&lt;&gt;DATE(2025,7,4)), (SWITCH(weekday(BC$4), 1, 0, 2, if(ISBLANK('2025'!$P59), 0, 1), 3, if(ISBLANK('2025'!$Q59), 0, 1), 4, if(ISBLANK('2025'!$R59), 0, 1), 5, if(ISBLANK('2025'!$S59), 0, 1), 6, if(ISBLANK('2025'!$T59), 0, 1), 7, 0))), 1, "")</f>
        <v/>
      </c>
      <c r="BD61" s="1" t="str">
        <f>IF(AND(AND(AND(BD$4&gt;='2025'!$L59,BD$4&lt;='2025'!$M59), BD$4&lt;&gt;DATE(2025,7,4)), (SWITCH(weekday(BD$4), 1, 0, 2, if(ISBLANK('2025'!$P59), 0, 1), 3, if(ISBLANK('2025'!$Q59), 0, 1), 4, if(ISBLANK('2025'!$R59), 0, 1), 5, if(ISBLANK('2025'!$S59), 0, 1), 6, if(ISBLANK('2025'!$T59), 0, 1), 7, 0))), 1, "")</f>
        <v/>
      </c>
      <c r="BE61" s="1" t="str">
        <f>IF(AND(AND(AND(BE$4&gt;='2025'!$L59,BE$4&lt;='2025'!$M59), BE$4&lt;&gt;DATE(2025,7,4)), (SWITCH(weekday(BE$4), 1, 0, 2, if(ISBLANK('2025'!$P59), 0, 1), 3, if(ISBLANK('2025'!$Q59), 0, 1), 4, if(ISBLANK('2025'!$R59), 0, 1), 5, if(ISBLANK('2025'!$S59), 0, 1), 6, if(ISBLANK('2025'!$T59), 0, 1), 7, 0))), 1, "")</f>
        <v/>
      </c>
      <c r="BF61" s="1" t="str">
        <f>IF(AND(AND(AND(BF$4&gt;='2025'!$L59,BF$4&lt;='2025'!$M59), BF$4&lt;&gt;DATE(2025,7,4)), (SWITCH(weekday(BF$4), 1, 0, 2, if(ISBLANK('2025'!$P59), 0, 1), 3, if(ISBLANK('2025'!$Q59), 0, 1), 4, if(ISBLANK('2025'!$R59), 0, 1), 5, if(ISBLANK('2025'!$S59), 0, 1), 6, if(ISBLANK('2025'!$T59), 0, 1), 7, 0))), 1, "")</f>
        <v/>
      </c>
      <c r="BG61" s="1"/>
      <c r="BH61" s="1"/>
      <c r="BI61" s="1"/>
      <c r="BJ61" s="1"/>
      <c r="BK61" s="1"/>
      <c r="BL61" s="1"/>
    </row>
    <row r="62">
      <c r="A62" s="1">
        <f t="shared" si="3"/>
        <v>62</v>
      </c>
      <c r="B62" s="1" t="str">
        <f>'2025'!D60</f>
        <v>, </v>
      </c>
      <c r="C62" s="1" t="str">
        <f>'2025'!H60</f>
        <v/>
      </c>
      <c r="D62" s="1" t="str">
        <f>IF(AND(AND(AND(D$4&gt;='2025'!$L60,D$4&lt;='2025'!$M60), D$4&lt;&gt;DATE(2025,7,4)), (SWITCH(weekday(D$4), 1, 0, 2, if(ISBLANK('2025'!$P60), 0, 1), 3, if(ISBLANK('2025'!$Q60), 0, 1), 4, if(ISBLANK('2025'!$R60), 0, 1), 5, if(ISBLANK('2025'!$S60), 0, 1), 6, if(ISBLANK('2025'!$T60), 0, 1), 7, 0))), 1, "")</f>
        <v/>
      </c>
      <c r="E62" s="1" t="str">
        <f>IF(AND(AND(AND(E$4&gt;='2025'!$L60,E$4&lt;='2025'!$M60), E$4&lt;&gt;DATE(2025,7,4)), (SWITCH(weekday(E$4), 1, 0, 2, if(ISBLANK('2025'!$P60), 0, 1), 3, if(ISBLANK('2025'!$Q60), 0, 1), 4, if(ISBLANK('2025'!$R60), 0, 1), 5, if(ISBLANK('2025'!$S60), 0, 1), 6, if(ISBLANK('2025'!$T60), 0, 1), 7, 0))), 1, "")</f>
        <v/>
      </c>
      <c r="F62" s="1" t="str">
        <f>IF(AND(AND(AND(F$4&gt;='2025'!$L60,F$4&lt;='2025'!$M60), F$4&lt;&gt;DATE(2025,7,4)), (SWITCH(weekday(F$4), 1, 0, 2, if(ISBLANK('2025'!$P60), 0, 1), 3, if(ISBLANK('2025'!$Q60), 0, 1), 4, if(ISBLANK('2025'!$R60), 0, 1), 5, if(ISBLANK('2025'!$S60), 0, 1), 6, if(ISBLANK('2025'!$T60), 0, 1), 7, 0))), 1, "")</f>
        <v/>
      </c>
      <c r="G62" s="1" t="str">
        <f>IF(AND(AND(AND(G$4&gt;='2025'!$L60,G$4&lt;='2025'!$M60), G$4&lt;&gt;DATE(2025,7,4)), (SWITCH(weekday(G$4), 1, 0, 2, if(ISBLANK('2025'!$P60), 0, 1), 3, if(ISBLANK('2025'!$Q60), 0, 1), 4, if(ISBLANK('2025'!$R60), 0, 1), 5, if(ISBLANK('2025'!$S60), 0, 1), 6, if(ISBLANK('2025'!$T60), 0, 1), 7, 0))), 1, "")</f>
        <v/>
      </c>
      <c r="H62" s="1" t="str">
        <f>IF(AND(AND(AND(H$4&gt;='2025'!$L60,H$4&lt;='2025'!$M60), H$4&lt;&gt;DATE(2025,7,4)), (SWITCH(weekday(H$4), 1, 0, 2, if(ISBLANK('2025'!$P60), 0, 1), 3, if(ISBLANK('2025'!$Q60), 0, 1), 4, if(ISBLANK('2025'!$R60), 0, 1), 5, if(ISBLANK('2025'!$S60), 0, 1), 6, if(ISBLANK('2025'!$T60), 0, 1), 7, 0))), 1, "")</f>
        <v/>
      </c>
      <c r="I62" s="1" t="str">
        <f>IF(AND(AND(AND(I$4&gt;='2025'!$L60,I$4&lt;='2025'!$M60), I$4&lt;&gt;DATE(2025,7,4)), (SWITCH(weekday(I$4), 1, 0, 2, if(ISBLANK('2025'!$P60), 0, 1), 3, if(ISBLANK('2025'!$Q60), 0, 1), 4, if(ISBLANK('2025'!$R60), 0, 1), 5, if(ISBLANK('2025'!$S60), 0, 1), 6, if(ISBLANK('2025'!$T60), 0, 1), 7, 0))), 1, "")</f>
        <v/>
      </c>
      <c r="J62" s="1" t="str">
        <f>IF(AND(AND(AND(J$4&gt;='2025'!$L60,J$4&lt;='2025'!$M60), J$4&lt;&gt;DATE(2025,7,4)), (SWITCH(weekday(J$4), 1, 0, 2, if(ISBLANK('2025'!$P60), 0, 1), 3, if(ISBLANK('2025'!$Q60), 0, 1), 4, if(ISBLANK('2025'!$R60), 0, 1), 5, if(ISBLANK('2025'!$S60), 0, 1), 6, if(ISBLANK('2025'!$T60), 0, 1), 7, 0))), 1, "")</f>
        <v/>
      </c>
      <c r="K62" s="1" t="str">
        <f>IF(AND(AND(AND(K$4&gt;='2025'!$L60,K$4&lt;='2025'!$M60), K$4&lt;&gt;DATE(2025,7,4)), (SWITCH(weekday(K$4), 1, 0, 2, if(ISBLANK('2025'!$P60), 0, 1), 3, if(ISBLANK('2025'!$Q60), 0, 1), 4, if(ISBLANK('2025'!$R60), 0, 1), 5, if(ISBLANK('2025'!$S60), 0, 1), 6, if(ISBLANK('2025'!$T60), 0, 1), 7, 0))), 1, "")</f>
        <v/>
      </c>
      <c r="L62" s="1" t="str">
        <f>IF(AND(AND(AND(L$4&gt;='2025'!$L60,L$4&lt;='2025'!$M60), L$4&lt;&gt;DATE(2025,7,4)), (SWITCH(weekday(L$4), 1, 0, 2, if(ISBLANK('2025'!$P60), 0, 1), 3, if(ISBLANK('2025'!$Q60), 0, 1), 4, if(ISBLANK('2025'!$R60), 0, 1), 5, if(ISBLANK('2025'!$S60), 0, 1), 6, if(ISBLANK('2025'!$T60), 0, 1), 7, 0))), 1, "")</f>
        <v/>
      </c>
      <c r="M62" s="1" t="str">
        <f>IF(AND(AND(AND(M$4&gt;='2025'!$L60,M$4&lt;='2025'!$M60), M$4&lt;&gt;DATE(2025,7,4)), (SWITCH(weekday(M$4), 1, 0, 2, if(ISBLANK('2025'!$P60), 0, 1), 3, if(ISBLANK('2025'!$Q60), 0, 1), 4, if(ISBLANK('2025'!$R60), 0, 1), 5, if(ISBLANK('2025'!$S60), 0, 1), 6, if(ISBLANK('2025'!$T60), 0, 1), 7, 0))), 1, "")</f>
        <v/>
      </c>
      <c r="N62" s="1" t="str">
        <f>IF(AND(AND(AND(N$4&gt;='2025'!$L60,N$4&lt;='2025'!$M60), N$4&lt;&gt;DATE(2025,7,4)), (SWITCH(weekday(N$4), 1, 0, 2, if(ISBLANK('2025'!$P60), 0, 1), 3, if(ISBLANK('2025'!$Q60), 0, 1), 4, if(ISBLANK('2025'!$R60), 0, 1), 5, if(ISBLANK('2025'!$S60), 0, 1), 6, if(ISBLANK('2025'!$T60), 0, 1), 7, 0))), 1, "")</f>
        <v/>
      </c>
      <c r="O62" s="1" t="str">
        <f>IF(AND(AND(AND(O$4&gt;='2025'!$L60,O$4&lt;='2025'!$M60), O$4&lt;&gt;DATE(2025,7,4)), (SWITCH(weekday(O$4), 1, 0, 2, if(ISBLANK('2025'!$P60), 0, 1), 3, if(ISBLANK('2025'!$Q60), 0, 1), 4, if(ISBLANK('2025'!$R60), 0, 1), 5, if(ISBLANK('2025'!$S60), 0, 1), 6, if(ISBLANK('2025'!$T60), 0, 1), 7, 0))), 1, "")</f>
        <v/>
      </c>
      <c r="P62" s="1" t="str">
        <f>IF(AND(AND(AND(P$4&gt;='2025'!$L60,P$4&lt;='2025'!$M60), P$4&lt;&gt;DATE(2025,7,4)), (SWITCH(weekday(P$4), 1, 0, 2, if(ISBLANK('2025'!$P60), 0, 1), 3, if(ISBLANK('2025'!$Q60), 0, 1), 4, if(ISBLANK('2025'!$R60), 0, 1), 5, if(ISBLANK('2025'!$S60), 0, 1), 6, if(ISBLANK('2025'!$T60), 0, 1), 7, 0))), 1, "")</f>
        <v/>
      </c>
      <c r="Q62" s="1" t="str">
        <f>IF(AND(AND(AND(Q$4&gt;='2025'!$L60,Q$4&lt;='2025'!$M60), Q$4&lt;&gt;DATE(2025,7,4)), (SWITCH(weekday(Q$4), 1, 0, 2, if(ISBLANK('2025'!$P60), 0, 1), 3, if(ISBLANK('2025'!$Q60), 0, 1), 4, if(ISBLANK('2025'!$R60), 0, 1), 5, if(ISBLANK('2025'!$S60), 0, 1), 6, if(ISBLANK('2025'!$T60), 0, 1), 7, 0))), 1, "")</f>
        <v/>
      </c>
      <c r="R62" s="1" t="str">
        <f>IF(AND(AND(AND(R$4&gt;='2025'!$L60,R$4&lt;='2025'!$M60), R$4&lt;&gt;DATE(2025,7,4)), (SWITCH(weekday(R$4), 1, 0, 2, if(ISBLANK('2025'!$P60), 0, 1), 3, if(ISBLANK('2025'!$Q60), 0, 1), 4, if(ISBLANK('2025'!$R60), 0, 1), 5, if(ISBLANK('2025'!$S60), 0, 1), 6, if(ISBLANK('2025'!$T60), 0, 1), 7, 0))), 1, "")</f>
        <v/>
      </c>
      <c r="S62" s="1" t="str">
        <f>IF(AND(AND(AND(S$4&gt;='2025'!$L60,S$4&lt;='2025'!$M60), S$4&lt;&gt;DATE(2025,7,4)), (SWITCH(weekday(S$4), 1, 0, 2, if(ISBLANK('2025'!$P60), 0, 1), 3, if(ISBLANK('2025'!$Q60), 0, 1), 4, if(ISBLANK('2025'!$R60), 0, 1), 5, if(ISBLANK('2025'!$S60), 0, 1), 6, if(ISBLANK('2025'!$T60), 0, 1), 7, 0))), 1, "")</f>
        <v/>
      </c>
      <c r="T62" s="1" t="str">
        <f>IF(AND(AND(AND(T$4&gt;='2025'!$L60,T$4&lt;='2025'!$M60), T$4&lt;&gt;DATE(2025,7,4)), (SWITCH(weekday(T$4), 1, 0, 2, if(ISBLANK('2025'!$P60), 0, 1), 3, if(ISBLANK('2025'!$Q60), 0, 1), 4, if(ISBLANK('2025'!$R60), 0, 1), 5, if(ISBLANK('2025'!$S60), 0, 1), 6, if(ISBLANK('2025'!$T60), 0, 1), 7, 0))), 1, "")</f>
        <v/>
      </c>
      <c r="U62" s="1" t="str">
        <f>IF(AND(AND(AND(U$4&gt;='2025'!$L60,U$4&lt;='2025'!$M60), U$4&lt;&gt;DATE(2025,7,4)), (SWITCH(weekday(U$4), 1, 0, 2, if(ISBLANK('2025'!$P60), 0, 1), 3, if(ISBLANK('2025'!$Q60), 0, 1), 4, if(ISBLANK('2025'!$R60), 0, 1), 5, if(ISBLANK('2025'!$S60), 0, 1), 6, if(ISBLANK('2025'!$T60), 0, 1), 7, 0))), 1, "")</f>
        <v/>
      </c>
      <c r="V62" s="1" t="str">
        <f>IF(AND(AND(AND(V$4&gt;='2025'!$L60,V$4&lt;='2025'!$M60), V$4&lt;&gt;DATE(2025,7,4)), (SWITCH(weekday(V$4), 1, 0, 2, if(ISBLANK('2025'!$P60), 0, 1), 3, if(ISBLANK('2025'!$Q60), 0, 1), 4, if(ISBLANK('2025'!$R60), 0, 1), 5, if(ISBLANK('2025'!$S60), 0, 1), 6, if(ISBLANK('2025'!$T60), 0, 1), 7, 0))), 1, "")</f>
        <v/>
      </c>
      <c r="W62" s="1" t="str">
        <f>IF(AND(AND(AND(W$4&gt;='2025'!$L60,W$4&lt;='2025'!$M60), W$4&lt;&gt;DATE(2025,7,4)), (SWITCH(weekday(W$4), 1, 0, 2, if(ISBLANK('2025'!$P60), 0, 1), 3, if(ISBLANK('2025'!$Q60), 0, 1), 4, if(ISBLANK('2025'!$R60), 0, 1), 5, if(ISBLANK('2025'!$S60), 0, 1), 6, if(ISBLANK('2025'!$T60), 0, 1), 7, 0))), 1, "")</f>
        <v/>
      </c>
      <c r="X62" s="1" t="str">
        <f>IF(AND(AND(AND(X$4&gt;='2025'!$L60,X$4&lt;='2025'!$M60), X$4&lt;&gt;DATE(2025,7,4)), (SWITCH(weekday(X$4), 1, 0, 2, if(ISBLANK('2025'!$P60), 0, 1), 3, if(ISBLANK('2025'!$Q60), 0, 1), 4, if(ISBLANK('2025'!$R60), 0, 1), 5, if(ISBLANK('2025'!$S60), 0, 1), 6, if(ISBLANK('2025'!$T60), 0, 1), 7, 0))), 1, "")</f>
        <v/>
      </c>
      <c r="Y62" s="1" t="str">
        <f>IF(AND(AND(AND(Y$4&gt;='2025'!$L60,Y$4&lt;='2025'!$M60), Y$4&lt;&gt;DATE(2025,7,4)), (SWITCH(weekday(Y$4), 1, 0, 2, if(ISBLANK('2025'!$P60), 0, 1), 3, if(ISBLANK('2025'!$Q60), 0, 1), 4, if(ISBLANK('2025'!$R60), 0, 1), 5, if(ISBLANK('2025'!$S60), 0, 1), 6, if(ISBLANK('2025'!$T60), 0, 1), 7, 0))), 1, "")</f>
        <v/>
      </c>
      <c r="Z62" s="1" t="str">
        <f>IF(AND(AND(AND(Z$4&gt;='2025'!$L60,Z$4&lt;='2025'!$M60), Z$4&lt;&gt;DATE(2025,7,4)), (SWITCH(weekday(Z$4), 1, 0, 2, if(ISBLANK('2025'!$P60), 0, 1), 3, if(ISBLANK('2025'!$Q60), 0, 1), 4, if(ISBLANK('2025'!$R60), 0, 1), 5, if(ISBLANK('2025'!$S60), 0, 1), 6, if(ISBLANK('2025'!$T60), 0, 1), 7, 0))), 1, "")</f>
        <v/>
      </c>
      <c r="AA62" s="1" t="str">
        <f>IF(AND(AND(AND(AA$4&gt;='2025'!$L60,AA$4&lt;='2025'!$M60), AA$4&lt;&gt;DATE(2025,7,4)), (SWITCH(weekday(AA$4), 1, 0, 2, if(ISBLANK('2025'!$P60), 0, 1), 3, if(ISBLANK('2025'!$Q60), 0, 1), 4, if(ISBLANK('2025'!$R60), 0, 1), 5, if(ISBLANK('2025'!$S60), 0, 1), 6, if(ISBLANK('2025'!$T60), 0, 1), 7, 0))), 1, "")</f>
        <v/>
      </c>
      <c r="AB62" s="1" t="str">
        <f>IF(AND(AND(AND(AB$4&gt;='2025'!$L60,AB$4&lt;='2025'!$M60), AB$4&lt;&gt;DATE(2025,7,4)), (SWITCH(weekday(AB$4), 1, 0, 2, if(ISBLANK('2025'!$P60), 0, 1), 3, if(ISBLANK('2025'!$Q60), 0, 1), 4, if(ISBLANK('2025'!$R60), 0, 1), 5, if(ISBLANK('2025'!$S60), 0, 1), 6, if(ISBLANK('2025'!$T60), 0, 1), 7, 0))), 1, "")</f>
        <v/>
      </c>
      <c r="AC62" s="1" t="str">
        <f>IF(AND(AND(AND(AC$4&gt;='2025'!$L60,AC$4&lt;='2025'!$M60), AC$4&lt;&gt;DATE(2025,7,4)), (SWITCH(weekday(AC$4), 1, 0, 2, if(ISBLANK('2025'!$P60), 0, 1), 3, if(ISBLANK('2025'!$Q60), 0, 1), 4, if(ISBLANK('2025'!$R60), 0, 1), 5, if(ISBLANK('2025'!$S60), 0, 1), 6, if(ISBLANK('2025'!$T60), 0, 1), 7, 0))), 1, "")</f>
        <v/>
      </c>
      <c r="AD62" s="1" t="str">
        <f>IF(AND(AND(AND(AD$4&gt;='2025'!$L60,AD$4&lt;='2025'!$M60), AD$4&lt;&gt;DATE(2025,7,4)), (SWITCH(weekday(AD$4), 1, 0, 2, if(ISBLANK('2025'!$P60), 0, 1), 3, if(ISBLANK('2025'!$Q60), 0, 1), 4, if(ISBLANK('2025'!$R60), 0, 1), 5, if(ISBLANK('2025'!$S60), 0, 1), 6, if(ISBLANK('2025'!$T60), 0, 1), 7, 0))), 1, "")</f>
        <v/>
      </c>
      <c r="AE62" s="1" t="str">
        <f>IF(AND(AND(AND(AE$4&gt;='2025'!$L60,AE$4&lt;='2025'!$M60), AE$4&lt;&gt;DATE(2025,7,4)), (SWITCH(weekday(AE$4), 1, 0, 2, if(ISBLANK('2025'!$P60), 0, 1), 3, if(ISBLANK('2025'!$Q60), 0, 1), 4, if(ISBLANK('2025'!$R60), 0, 1), 5, if(ISBLANK('2025'!$S60), 0, 1), 6, if(ISBLANK('2025'!$T60), 0, 1), 7, 0))), 1, "")</f>
        <v/>
      </c>
      <c r="AF62" s="1" t="str">
        <f>IF(AND(AND(AND(AF$4&gt;='2025'!$L60,AF$4&lt;='2025'!$M60), AF$4&lt;&gt;DATE(2025,7,4)), (SWITCH(weekday(AF$4), 1, 0, 2, if(ISBLANK('2025'!$P60), 0, 1), 3, if(ISBLANK('2025'!$Q60), 0, 1), 4, if(ISBLANK('2025'!$R60), 0, 1), 5, if(ISBLANK('2025'!$S60), 0, 1), 6, if(ISBLANK('2025'!$T60), 0, 1), 7, 0))), 1, "")</f>
        <v/>
      </c>
      <c r="AG62" s="1" t="str">
        <f>IF(AND(AND(AND(AG$4&gt;='2025'!$L60,AG$4&lt;='2025'!$M60), AG$4&lt;&gt;DATE(2025,7,4)), (SWITCH(weekday(AG$4), 1, 0, 2, if(ISBLANK('2025'!$P60), 0, 1), 3, if(ISBLANK('2025'!$Q60), 0, 1), 4, if(ISBLANK('2025'!$R60), 0, 1), 5, if(ISBLANK('2025'!$S60), 0, 1), 6, if(ISBLANK('2025'!$T60), 0, 1), 7, 0))), 1, "")</f>
        <v/>
      </c>
      <c r="AH62" s="1" t="str">
        <f>IF(AND(AND(AND(AH$4&gt;='2025'!$L60,AH$4&lt;='2025'!$M60), AH$4&lt;&gt;DATE(2025,7,4)), (SWITCH(weekday(AH$4), 1, 0, 2, if(ISBLANK('2025'!$P60), 0, 1), 3, if(ISBLANK('2025'!$Q60), 0, 1), 4, if(ISBLANK('2025'!$R60), 0, 1), 5, if(ISBLANK('2025'!$S60), 0, 1), 6, if(ISBLANK('2025'!$T60), 0, 1), 7, 0))), 1, "")</f>
        <v/>
      </c>
      <c r="AI62" s="1" t="str">
        <f>IF(AND(AND(AND(AI$4&gt;='2025'!$L60,AI$4&lt;='2025'!$M60), AI$4&lt;&gt;DATE(2025,7,4)), (SWITCH(weekday(AI$4), 1, 0, 2, if(ISBLANK('2025'!$P60), 0, 1), 3, if(ISBLANK('2025'!$Q60), 0, 1), 4, if(ISBLANK('2025'!$R60), 0, 1), 5, if(ISBLANK('2025'!$S60), 0, 1), 6, if(ISBLANK('2025'!$T60), 0, 1), 7, 0))), 1, "")</f>
        <v/>
      </c>
      <c r="AJ62" s="1" t="str">
        <f>IF(AND(AND(AND(AJ$4&gt;='2025'!$L60,AJ$4&lt;='2025'!$M60), AJ$4&lt;&gt;DATE(2025,7,4)), (SWITCH(weekday(AJ$4), 1, 0, 2, if(ISBLANK('2025'!$P60), 0, 1), 3, if(ISBLANK('2025'!$Q60), 0, 1), 4, if(ISBLANK('2025'!$R60), 0, 1), 5, if(ISBLANK('2025'!$S60), 0, 1), 6, if(ISBLANK('2025'!$T60), 0, 1), 7, 0))), 1, "")</f>
        <v/>
      </c>
      <c r="AK62" s="1" t="str">
        <f>IF(AND(AND(AND(AK$4&gt;='2025'!$L60,AK$4&lt;='2025'!$M60), AK$4&lt;&gt;DATE(2025,7,4)), (SWITCH(weekday(AK$4), 1, 0, 2, if(ISBLANK('2025'!$P60), 0, 1), 3, if(ISBLANK('2025'!$Q60), 0, 1), 4, if(ISBLANK('2025'!$R60), 0, 1), 5, if(ISBLANK('2025'!$S60), 0, 1), 6, if(ISBLANK('2025'!$T60), 0, 1), 7, 0))), 1, "")</f>
        <v/>
      </c>
      <c r="AL62" s="1" t="str">
        <f>IF(AND(AND(AND(AL$4&gt;='2025'!$L60,AL$4&lt;='2025'!$M60), AL$4&lt;&gt;DATE(2025,7,4)), (SWITCH(weekday(AL$4), 1, 0, 2, if(ISBLANK('2025'!$P60), 0, 1), 3, if(ISBLANK('2025'!$Q60), 0, 1), 4, if(ISBLANK('2025'!$R60), 0, 1), 5, if(ISBLANK('2025'!$S60), 0, 1), 6, if(ISBLANK('2025'!$T60), 0, 1), 7, 0))), 1, "")</f>
        <v/>
      </c>
      <c r="AM62" s="1" t="str">
        <f>IF(AND(AND(AND(AM$4&gt;='2025'!$L60,AM$4&lt;='2025'!$M60), AM$4&lt;&gt;DATE(2025,7,4)), (SWITCH(weekday(AM$4), 1, 0, 2, if(ISBLANK('2025'!$P60), 0, 1), 3, if(ISBLANK('2025'!$Q60), 0, 1), 4, if(ISBLANK('2025'!$R60), 0, 1), 5, if(ISBLANK('2025'!$S60), 0, 1), 6, if(ISBLANK('2025'!$T60), 0, 1), 7, 0))), 1, "")</f>
        <v/>
      </c>
      <c r="AN62" s="1" t="str">
        <f>IF(AND(AND(AND(AN$4&gt;='2025'!$L60,AN$4&lt;='2025'!$M60), AN$4&lt;&gt;DATE(2025,7,4)), (SWITCH(weekday(AN$4), 1, 0, 2, if(ISBLANK('2025'!$P60), 0, 1), 3, if(ISBLANK('2025'!$Q60), 0, 1), 4, if(ISBLANK('2025'!$R60), 0, 1), 5, if(ISBLANK('2025'!$S60), 0, 1), 6, if(ISBLANK('2025'!$T60), 0, 1), 7, 0))), 1, "")</f>
        <v/>
      </c>
      <c r="AO62" s="1" t="str">
        <f>IF(AND(AND(AND(AO$4&gt;='2025'!$L60,AO$4&lt;='2025'!$M60), AO$4&lt;&gt;DATE(2025,7,4)), (SWITCH(weekday(AO$4), 1, 0, 2, if(ISBLANK('2025'!$P60), 0, 1), 3, if(ISBLANK('2025'!$Q60), 0, 1), 4, if(ISBLANK('2025'!$R60), 0, 1), 5, if(ISBLANK('2025'!$S60), 0, 1), 6, if(ISBLANK('2025'!$T60), 0, 1), 7, 0))), 1, "")</f>
        <v/>
      </c>
      <c r="AP62" s="1" t="str">
        <f>IF(AND(AND(AND(AP$4&gt;='2025'!$L60,AP$4&lt;='2025'!$M60), AP$4&lt;&gt;DATE(2025,7,4)), (SWITCH(weekday(AP$4), 1, 0, 2, if(ISBLANK('2025'!$P60), 0, 1), 3, if(ISBLANK('2025'!$Q60), 0, 1), 4, if(ISBLANK('2025'!$R60), 0, 1), 5, if(ISBLANK('2025'!$S60), 0, 1), 6, if(ISBLANK('2025'!$T60), 0, 1), 7, 0))), 1, "")</f>
        <v/>
      </c>
      <c r="AQ62" s="1" t="str">
        <f>IF(AND(AND(AND(AQ$4&gt;='2025'!$L60,AQ$4&lt;='2025'!$M60), AQ$4&lt;&gt;DATE(2025,7,4)), (SWITCH(weekday(AQ$4), 1, 0, 2, if(ISBLANK('2025'!$P60), 0, 1), 3, if(ISBLANK('2025'!$Q60), 0, 1), 4, if(ISBLANK('2025'!$R60), 0, 1), 5, if(ISBLANK('2025'!$S60), 0, 1), 6, if(ISBLANK('2025'!$T60), 0, 1), 7, 0))), 1, "")</f>
        <v/>
      </c>
      <c r="AR62" s="1" t="str">
        <f>IF(AND(AND(AND(AR$4&gt;='2025'!$L60,AR$4&lt;='2025'!$M60), AR$4&lt;&gt;DATE(2025,7,4)), (SWITCH(weekday(AR$4), 1, 0, 2, if(ISBLANK('2025'!$P60), 0, 1), 3, if(ISBLANK('2025'!$Q60), 0, 1), 4, if(ISBLANK('2025'!$R60), 0, 1), 5, if(ISBLANK('2025'!$S60), 0, 1), 6, if(ISBLANK('2025'!$T60), 0, 1), 7, 0))), 1, "")</f>
        <v/>
      </c>
      <c r="AS62" s="1" t="str">
        <f>IF(AND(AND(AND(AS$4&gt;='2025'!$L60,AS$4&lt;='2025'!$M60), AS$4&lt;&gt;DATE(2025,7,4)), (SWITCH(weekday(AS$4), 1, 0, 2, if(ISBLANK('2025'!$P60), 0, 1), 3, if(ISBLANK('2025'!$Q60), 0, 1), 4, if(ISBLANK('2025'!$R60), 0, 1), 5, if(ISBLANK('2025'!$S60), 0, 1), 6, if(ISBLANK('2025'!$T60), 0, 1), 7, 0))), 1, "")</f>
        <v/>
      </c>
      <c r="AT62" s="1" t="str">
        <f>IF(AND(AND(AND(AT$4&gt;='2025'!$L60,AT$4&lt;='2025'!$M60), AT$4&lt;&gt;DATE(2025,7,4)), (SWITCH(weekday(AT$4), 1, 0, 2, if(ISBLANK('2025'!$P60), 0, 1), 3, if(ISBLANK('2025'!$Q60), 0, 1), 4, if(ISBLANK('2025'!$R60), 0, 1), 5, if(ISBLANK('2025'!$S60), 0, 1), 6, if(ISBLANK('2025'!$T60), 0, 1), 7, 0))), 1, "")</f>
        <v/>
      </c>
      <c r="AU62" s="1" t="str">
        <f>IF(AND(AND(AND(AU$4&gt;='2025'!$L60,AU$4&lt;='2025'!$M60), AU$4&lt;&gt;DATE(2025,7,4)), (SWITCH(weekday(AU$4), 1, 0, 2, if(ISBLANK('2025'!$P60), 0, 1), 3, if(ISBLANK('2025'!$Q60), 0, 1), 4, if(ISBLANK('2025'!$R60), 0, 1), 5, if(ISBLANK('2025'!$S60), 0, 1), 6, if(ISBLANK('2025'!$T60), 0, 1), 7, 0))), 1, "")</f>
        <v/>
      </c>
      <c r="AV62" s="1" t="str">
        <f>IF(AND(AND(AND(AV$4&gt;='2025'!$L60,AV$4&lt;='2025'!$M60), AV$4&lt;&gt;DATE(2025,7,4)), (SWITCH(weekday(AV$4), 1, 0, 2, if(ISBLANK('2025'!$P60), 0, 1), 3, if(ISBLANK('2025'!$Q60), 0, 1), 4, if(ISBLANK('2025'!$R60), 0, 1), 5, if(ISBLANK('2025'!$S60), 0, 1), 6, if(ISBLANK('2025'!$T60), 0, 1), 7, 0))), 1, "")</f>
        <v/>
      </c>
      <c r="AW62" s="1" t="str">
        <f>IF(AND(AND(AND(AW$4&gt;='2025'!$L60,AW$4&lt;='2025'!$M60), AW$4&lt;&gt;DATE(2025,7,4)), (SWITCH(weekday(AW$4), 1, 0, 2, if(ISBLANK('2025'!$P60), 0, 1), 3, if(ISBLANK('2025'!$Q60), 0, 1), 4, if(ISBLANK('2025'!$R60), 0, 1), 5, if(ISBLANK('2025'!$S60), 0, 1), 6, if(ISBLANK('2025'!$T60), 0, 1), 7, 0))), 1, "")</f>
        <v/>
      </c>
      <c r="AX62" s="1" t="str">
        <f>IF(AND(AND(AND(AX$4&gt;='2025'!$L60,AX$4&lt;='2025'!$M60), AX$4&lt;&gt;DATE(2025,7,4)), (SWITCH(weekday(AX$4), 1, 0, 2, if(ISBLANK('2025'!$P60), 0, 1), 3, if(ISBLANK('2025'!$Q60), 0, 1), 4, if(ISBLANK('2025'!$R60), 0, 1), 5, if(ISBLANK('2025'!$S60), 0, 1), 6, if(ISBLANK('2025'!$T60), 0, 1), 7, 0))), 1, "")</f>
        <v/>
      </c>
      <c r="AY62" s="1" t="str">
        <f>IF(AND(AND(AND(AY$4&gt;='2025'!$L60,AY$4&lt;='2025'!$M60), AY$4&lt;&gt;DATE(2025,7,4)), (SWITCH(weekday(AY$4), 1, 0, 2, if(ISBLANK('2025'!$P60), 0, 1), 3, if(ISBLANK('2025'!$Q60), 0, 1), 4, if(ISBLANK('2025'!$R60), 0, 1), 5, if(ISBLANK('2025'!$S60), 0, 1), 6, if(ISBLANK('2025'!$T60), 0, 1), 7, 0))), 1, "")</f>
        <v/>
      </c>
      <c r="AZ62" s="1" t="str">
        <f>IF(AND(AND(AND(AZ$4&gt;='2025'!$L60,AZ$4&lt;='2025'!$M60), AZ$4&lt;&gt;DATE(2025,7,4)), (SWITCH(weekday(AZ$4), 1, 0, 2, if(ISBLANK('2025'!$P60), 0, 1), 3, if(ISBLANK('2025'!$Q60), 0, 1), 4, if(ISBLANK('2025'!$R60), 0, 1), 5, if(ISBLANK('2025'!$S60), 0, 1), 6, if(ISBLANK('2025'!$T60), 0, 1), 7, 0))), 1, "")</f>
        <v/>
      </c>
      <c r="BA62" s="1" t="str">
        <f>IF(AND(AND(AND(BA$4&gt;='2025'!$L60,BA$4&lt;='2025'!$M60), BA$4&lt;&gt;DATE(2025,7,4)), (SWITCH(weekday(BA$4), 1, 0, 2, if(ISBLANK('2025'!$P60), 0, 1), 3, if(ISBLANK('2025'!$Q60), 0, 1), 4, if(ISBLANK('2025'!$R60), 0, 1), 5, if(ISBLANK('2025'!$S60), 0, 1), 6, if(ISBLANK('2025'!$T60), 0, 1), 7, 0))), 1, "")</f>
        <v/>
      </c>
      <c r="BB62" s="1" t="str">
        <f>IF(AND(AND(AND(BB$4&gt;='2025'!$L60,BB$4&lt;='2025'!$M60), BB$4&lt;&gt;DATE(2025,7,4)), (SWITCH(weekday(BB$4), 1, 0, 2, if(ISBLANK('2025'!$P60), 0, 1), 3, if(ISBLANK('2025'!$Q60), 0, 1), 4, if(ISBLANK('2025'!$R60), 0, 1), 5, if(ISBLANK('2025'!$S60), 0, 1), 6, if(ISBLANK('2025'!$T60), 0, 1), 7, 0))), 1, "")</f>
        <v/>
      </c>
      <c r="BC62" s="1" t="str">
        <f>IF(AND(AND(AND(BC$4&gt;='2025'!$L60,BC$4&lt;='2025'!$M60), BC$4&lt;&gt;DATE(2025,7,4)), (SWITCH(weekday(BC$4), 1, 0, 2, if(ISBLANK('2025'!$P60), 0, 1), 3, if(ISBLANK('2025'!$Q60), 0, 1), 4, if(ISBLANK('2025'!$R60), 0, 1), 5, if(ISBLANK('2025'!$S60), 0, 1), 6, if(ISBLANK('2025'!$T60), 0, 1), 7, 0))), 1, "")</f>
        <v/>
      </c>
      <c r="BD62" s="1" t="str">
        <f>IF(AND(AND(AND(BD$4&gt;='2025'!$L60,BD$4&lt;='2025'!$M60), BD$4&lt;&gt;DATE(2025,7,4)), (SWITCH(weekday(BD$4), 1, 0, 2, if(ISBLANK('2025'!$P60), 0, 1), 3, if(ISBLANK('2025'!$Q60), 0, 1), 4, if(ISBLANK('2025'!$R60), 0, 1), 5, if(ISBLANK('2025'!$S60), 0, 1), 6, if(ISBLANK('2025'!$T60), 0, 1), 7, 0))), 1, "")</f>
        <v/>
      </c>
      <c r="BE62" s="1" t="str">
        <f>IF(AND(AND(AND(BE$4&gt;='2025'!$L60,BE$4&lt;='2025'!$M60), BE$4&lt;&gt;DATE(2025,7,4)), (SWITCH(weekday(BE$4), 1, 0, 2, if(ISBLANK('2025'!$P60), 0, 1), 3, if(ISBLANK('2025'!$Q60), 0, 1), 4, if(ISBLANK('2025'!$R60), 0, 1), 5, if(ISBLANK('2025'!$S60), 0, 1), 6, if(ISBLANK('2025'!$T60), 0, 1), 7, 0))), 1, "")</f>
        <v/>
      </c>
      <c r="BF62" s="1" t="str">
        <f>IF(AND(AND(AND(BF$4&gt;='2025'!$L60,BF$4&lt;='2025'!$M60), BF$4&lt;&gt;DATE(2025,7,4)), (SWITCH(weekday(BF$4), 1, 0, 2, if(ISBLANK('2025'!$P60), 0, 1), 3, if(ISBLANK('2025'!$Q60), 0, 1), 4, if(ISBLANK('2025'!$R60), 0, 1), 5, if(ISBLANK('2025'!$S60), 0, 1), 6, if(ISBLANK('2025'!$T60), 0, 1), 7, 0))), 1, "")</f>
        <v/>
      </c>
      <c r="BG62" s="1"/>
      <c r="BH62" s="1"/>
      <c r="BI62" s="1"/>
      <c r="BJ62" s="1"/>
      <c r="BK62" s="1"/>
      <c r="BL62" s="1"/>
    </row>
    <row r="63">
      <c r="A63" s="1">
        <f t="shared" si="3"/>
        <v>63</v>
      </c>
      <c r="B63" s="1" t="str">
        <f>'2025'!D61</f>
        <v>, </v>
      </c>
      <c r="C63" s="1" t="str">
        <f>'2025'!H61</f>
        <v/>
      </c>
      <c r="D63" s="1" t="str">
        <f>IF(AND(AND(AND(D$4&gt;='2025'!$L61,D$4&lt;='2025'!$M61), D$4&lt;&gt;DATE(2025,7,4)), (SWITCH(weekday(D$4), 1, 0, 2, if(ISBLANK('2025'!$P61), 0, 1), 3, if(ISBLANK('2025'!$Q61), 0, 1), 4, if(ISBLANK('2025'!$R61), 0, 1), 5, if(ISBLANK('2025'!$S61), 0, 1), 6, if(ISBLANK('2025'!$T61), 0, 1), 7, 0))), 1, "")</f>
        <v/>
      </c>
      <c r="E63" s="1" t="str">
        <f>IF(AND(AND(AND(E$4&gt;='2025'!$L61,E$4&lt;='2025'!$M61), E$4&lt;&gt;DATE(2025,7,4)), (SWITCH(weekday(E$4), 1, 0, 2, if(ISBLANK('2025'!$P61), 0, 1), 3, if(ISBLANK('2025'!$Q61), 0, 1), 4, if(ISBLANK('2025'!$R61), 0, 1), 5, if(ISBLANK('2025'!$S61), 0, 1), 6, if(ISBLANK('2025'!$T61), 0, 1), 7, 0))), 1, "")</f>
        <v/>
      </c>
      <c r="F63" s="1" t="str">
        <f>IF(AND(AND(AND(F$4&gt;='2025'!$L61,F$4&lt;='2025'!$M61), F$4&lt;&gt;DATE(2025,7,4)), (SWITCH(weekday(F$4), 1, 0, 2, if(ISBLANK('2025'!$P61), 0, 1), 3, if(ISBLANK('2025'!$Q61), 0, 1), 4, if(ISBLANK('2025'!$R61), 0, 1), 5, if(ISBLANK('2025'!$S61), 0, 1), 6, if(ISBLANK('2025'!$T61), 0, 1), 7, 0))), 1, "")</f>
        <v/>
      </c>
      <c r="G63" s="1" t="str">
        <f>IF(AND(AND(AND(G$4&gt;='2025'!$L61,G$4&lt;='2025'!$M61), G$4&lt;&gt;DATE(2025,7,4)), (SWITCH(weekday(G$4), 1, 0, 2, if(ISBLANK('2025'!$P61), 0, 1), 3, if(ISBLANK('2025'!$Q61), 0, 1), 4, if(ISBLANK('2025'!$R61), 0, 1), 5, if(ISBLANK('2025'!$S61), 0, 1), 6, if(ISBLANK('2025'!$T61), 0, 1), 7, 0))), 1, "")</f>
        <v/>
      </c>
      <c r="H63" s="1" t="str">
        <f>IF(AND(AND(AND(H$4&gt;='2025'!$L61,H$4&lt;='2025'!$M61), H$4&lt;&gt;DATE(2025,7,4)), (SWITCH(weekday(H$4), 1, 0, 2, if(ISBLANK('2025'!$P61), 0, 1), 3, if(ISBLANK('2025'!$Q61), 0, 1), 4, if(ISBLANK('2025'!$R61), 0, 1), 5, if(ISBLANK('2025'!$S61), 0, 1), 6, if(ISBLANK('2025'!$T61), 0, 1), 7, 0))), 1, "")</f>
        <v/>
      </c>
      <c r="I63" s="1" t="str">
        <f>IF(AND(AND(AND(I$4&gt;='2025'!$L61,I$4&lt;='2025'!$M61), I$4&lt;&gt;DATE(2025,7,4)), (SWITCH(weekday(I$4), 1, 0, 2, if(ISBLANK('2025'!$P61), 0, 1), 3, if(ISBLANK('2025'!$Q61), 0, 1), 4, if(ISBLANK('2025'!$R61), 0, 1), 5, if(ISBLANK('2025'!$S61), 0, 1), 6, if(ISBLANK('2025'!$T61), 0, 1), 7, 0))), 1, "")</f>
        <v/>
      </c>
      <c r="J63" s="1" t="str">
        <f>IF(AND(AND(AND(J$4&gt;='2025'!$L61,J$4&lt;='2025'!$M61), J$4&lt;&gt;DATE(2025,7,4)), (SWITCH(weekday(J$4), 1, 0, 2, if(ISBLANK('2025'!$P61), 0, 1), 3, if(ISBLANK('2025'!$Q61), 0, 1), 4, if(ISBLANK('2025'!$R61), 0, 1), 5, if(ISBLANK('2025'!$S61), 0, 1), 6, if(ISBLANK('2025'!$T61), 0, 1), 7, 0))), 1, "")</f>
        <v/>
      </c>
      <c r="K63" s="1" t="str">
        <f>IF(AND(AND(AND(K$4&gt;='2025'!$L61,K$4&lt;='2025'!$M61), K$4&lt;&gt;DATE(2025,7,4)), (SWITCH(weekday(K$4), 1, 0, 2, if(ISBLANK('2025'!$P61), 0, 1), 3, if(ISBLANK('2025'!$Q61), 0, 1), 4, if(ISBLANK('2025'!$R61), 0, 1), 5, if(ISBLANK('2025'!$S61), 0, 1), 6, if(ISBLANK('2025'!$T61), 0, 1), 7, 0))), 1, "")</f>
        <v/>
      </c>
      <c r="L63" s="1" t="str">
        <f>IF(AND(AND(AND(L$4&gt;='2025'!$L61,L$4&lt;='2025'!$M61), L$4&lt;&gt;DATE(2025,7,4)), (SWITCH(weekday(L$4), 1, 0, 2, if(ISBLANK('2025'!$P61), 0, 1), 3, if(ISBLANK('2025'!$Q61), 0, 1), 4, if(ISBLANK('2025'!$R61), 0, 1), 5, if(ISBLANK('2025'!$S61), 0, 1), 6, if(ISBLANK('2025'!$T61), 0, 1), 7, 0))), 1, "")</f>
        <v/>
      </c>
      <c r="M63" s="1" t="str">
        <f>IF(AND(AND(AND(M$4&gt;='2025'!$L61,M$4&lt;='2025'!$M61), M$4&lt;&gt;DATE(2025,7,4)), (SWITCH(weekday(M$4), 1, 0, 2, if(ISBLANK('2025'!$P61), 0, 1), 3, if(ISBLANK('2025'!$Q61), 0, 1), 4, if(ISBLANK('2025'!$R61), 0, 1), 5, if(ISBLANK('2025'!$S61), 0, 1), 6, if(ISBLANK('2025'!$T61), 0, 1), 7, 0))), 1, "")</f>
        <v/>
      </c>
      <c r="N63" s="1" t="str">
        <f>IF(AND(AND(AND(N$4&gt;='2025'!$L61,N$4&lt;='2025'!$M61), N$4&lt;&gt;DATE(2025,7,4)), (SWITCH(weekday(N$4), 1, 0, 2, if(ISBLANK('2025'!$P61), 0, 1), 3, if(ISBLANK('2025'!$Q61), 0, 1), 4, if(ISBLANK('2025'!$R61), 0, 1), 5, if(ISBLANK('2025'!$S61), 0, 1), 6, if(ISBLANK('2025'!$T61), 0, 1), 7, 0))), 1, "")</f>
        <v/>
      </c>
      <c r="O63" s="1" t="str">
        <f>IF(AND(AND(AND(O$4&gt;='2025'!$L61,O$4&lt;='2025'!$M61), O$4&lt;&gt;DATE(2025,7,4)), (SWITCH(weekday(O$4), 1, 0, 2, if(ISBLANK('2025'!$P61), 0, 1), 3, if(ISBLANK('2025'!$Q61), 0, 1), 4, if(ISBLANK('2025'!$R61), 0, 1), 5, if(ISBLANK('2025'!$S61), 0, 1), 6, if(ISBLANK('2025'!$T61), 0, 1), 7, 0))), 1, "")</f>
        <v/>
      </c>
      <c r="P63" s="1" t="str">
        <f>IF(AND(AND(AND(P$4&gt;='2025'!$L61,P$4&lt;='2025'!$M61), P$4&lt;&gt;DATE(2025,7,4)), (SWITCH(weekday(P$4), 1, 0, 2, if(ISBLANK('2025'!$P61), 0, 1), 3, if(ISBLANK('2025'!$Q61), 0, 1), 4, if(ISBLANK('2025'!$R61), 0, 1), 5, if(ISBLANK('2025'!$S61), 0, 1), 6, if(ISBLANK('2025'!$T61), 0, 1), 7, 0))), 1, "")</f>
        <v/>
      </c>
      <c r="Q63" s="1" t="str">
        <f>IF(AND(AND(AND(Q$4&gt;='2025'!$L61,Q$4&lt;='2025'!$M61), Q$4&lt;&gt;DATE(2025,7,4)), (SWITCH(weekday(Q$4), 1, 0, 2, if(ISBLANK('2025'!$P61), 0, 1), 3, if(ISBLANK('2025'!$Q61), 0, 1), 4, if(ISBLANK('2025'!$R61), 0, 1), 5, if(ISBLANK('2025'!$S61), 0, 1), 6, if(ISBLANK('2025'!$T61), 0, 1), 7, 0))), 1, "")</f>
        <v/>
      </c>
      <c r="R63" s="1" t="str">
        <f>IF(AND(AND(AND(R$4&gt;='2025'!$L61,R$4&lt;='2025'!$M61), R$4&lt;&gt;DATE(2025,7,4)), (SWITCH(weekday(R$4), 1, 0, 2, if(ISBLANK('2025'!$P61), 0, 1), 3, if(ISBLANK('2025'!$Q61), 0, 1), 4, if(ISBLANK('2025'!$R61), 0, 1), 5, if(ISBLANK('2025'!$S61), 0, 1), 6, if(ISBLANK('2025'!$T61), 0, 1), 7, 0))), 1, "")</f>
        <v/>
      </c>
      <c r="S63" s="1" t="str">
        <f>IF(AND(AND(AND(S$4&gt;='2025'!$L61,S$4&lt;='2025'!$M61), S$4&lt;&gt;DATE(2025,7,4)), (SWITCH(weekday(S$4), 1, 0, 2, if(ISBLANK('2025'!$P61), 0, 1), 3, if(ISBLANK('2025'!$Q61), 0, 1), 4, if(ISBLANK('2025'!$R61), 0, 1), 5, if(ISBLANK('2025'!$S61), 0, 1), 6, if(ISBLANK('2025'!$T61), 0, 1), 7, 0))), 1, "")</f>
        <v/>
      </c>
      <c r="T63" s="1" t="str">
        <f>IF(AND(AND(AND(T$4&gt;='2025'!$L61,T$4&lt;='2025'!$M61), T$4&lt;&gt;DATE(2025,7,4)), (SWITCH(weekday(T$4), 1, 0, 2, if(ISBLANK('2025'!$P61), 0, 1), 3, if(ISBLANK('2025'!$Q61), 0, 1), 4, if(ISBLANK('2025'!$R61), 0, 1), 5, if(ISBLANK('2025'!$S61), 0, 1), 6, if(ISBLANK('2025'!$T61), 0, 1), 7, 0))), 1, "")</f>
        <v/>
      </c>
      <c r="U63" s="1" t="str">
        <f>IF(AND(AND(AND(U$4&gt;='2025'!$L61,U$4&lt;='2025'!$M61), U$4&lt;&gt;DATE(2025,7,4)), (SWITCH(weekday(U$4), 1, 0, 2, if(ISBLANK('2025'!$P61), 0, 1), 3, if(ISBLANK('2025'!$Q61), 0, 1), 4, if(ISBLANK('2025'!$R61), 0, 1), 5, if(ISBLANK('2025'!$S61), 0, 1), 6, if(ISBLANK('2025'!$T61), 0, 1), 7, 0))), 1, "")</f>
        <v/>
      </c>
      <c r="V63" s="1" t="str">
        <f>IF(AND(AND(AND(V$4&gt;='2025'!$L61,V$4&lt;='2025'!$M61), V$4&lt;&gt;DATE(2025,7,4)), (SWITCH(weekday(V$4), 1, 0, 2, if(ISBLANK('2025'!$P61), 0, 1), 3, if(ISBLANK('2025'!$Q61), 0, 1), 4, if(ISBLANK('2025'!$R61), 0, 1), 5, if(ISBLANK('2025'!$S61), 0, 1), 6, if(ISBLANK('2025'!$T61), 0, 1), 7, 0))), 1, "")</f>
        <v/>
      </c>
      <c r="W63" s="1" t="str">
        <f>IF(AND(AND(AND(W$4&gt;='2025'!$L61,W$4&lt;='2025'!$M61), W$4&lt;&gt;DATE(2025,7,4)), (SWITCH(weekday(W$4), 1, 0, 2, if(ISBLANK('2025'!$P61), 0, 1), 3, if(ISBLANK('2025'!$Q61), 0, 1), 4, if(ISBLANK('2025'!$R61), 0, 1), 5, if(ISBLANK('2025'!$S61), 0, 1), 6, if(ISBLANK('2025'!$T61), 0, 1), 7, 0))), 1, "")</f>
        <v/>
      </c>
      <c r="X63" s="1" t="str">
        <f>IF(AND(AND(AND(X$4&gt;='2025'!$L61,X$4&lt;='2025'!$M61), X$4&lt;&gt;DATE(2025,7,4)), (SWITCH(weekday(X$4), 1, 0, 2, if(ISBLANK('2025'!$P61), 0, 1), 3, if(ISBLANK('2025'!$Q61), 0, 1), 4, if(ISBLANK('2025'!$R61), 0, 1), 5, if(ISBLANK('2025'!$S61), 0, 1), 6, if(ISBLANK('2025'!$T61), 0, 1), 7, 0))), 1, "")</f>
        <v/>
      </c>
      <c r="Y63" s="1" t="str">
        <f>IF(AND(AND(AND(Y$4&gt;='2025'!$L61,Y$4&lt;='2025'!$M61), Y$4&lt;&gt;DATE(2025,7,4)), (SWITCH(weekday(Y$4), 1, 0, 2, if(ISBLANK('2025'!$P61), 0, 1), 3, if(ISBLANK('2025'!$Q61), 0, 1), 4, if(ISBLANK('2025'!$R61), 0, 1), 5, if(ISBLANK('2025'!$S61), 0, 1), 6, if(ISBLANK('2025'!$T61), 0, 1), 7, 0))), 1, "")</f>
        <v/>
      </c>
      <c r="Z63" s="1" t="str">
        <f>IF(AND(AND(AND(Z$4&gt;='2025'!$L61,Z$4&lt;='2025'!$M61), Z$4&lt;&gt;DATE(2025,7,4)), (SWITCH(weekday(Z$4), 1, 0, 2, if(ISBLANK('2025'!$P61), 0, 1), 3, if(ISBLANK('2025'!$Q61), 0, 1), 4, if(ISBLANK('2025'!$R61), 0, 1), 5, if(ISBLANK('2025'!$S61), 0, 1), 6, if(ISBLANK('2025'!$T61), 0, 1), 7, 0))), 1, "")</f>
        <v/>
      </c>
      <c r="AA63" s="1" t="str">
        <f>IF(AND(AND(AND(AA$4&gt;='2025'!$L61,AA$4&lt;='2025'!$M61), AA$4&lt;&gt;DATE(2025,7,4)), (SWITCH(weekday(AA$4), 1, 0, 2, if(ISBLANK('2025'!$P61), 0, 1), 3, if(ISBLANK('2025'!$Q61), 0, 1), 4, if(ISBLANK('2025'!$R61), 0, 1), 5, if(ISBLANK('2025'!$S61), 0, 1), 6, if(ISBLANK('2025'!$T61), 0, 1), 7, 0))), 1, "")</f>
        <v/>
      </c>
      <c r="AB63" s="1" t="str">
        <f>IF(AND(AND(AND(AB$4&gt;='2025'!$L61,AB$4&lt;='2025'!$M61), AB$4&lt;&gt;DATE(2025,7,4)), (SWITCH(weekday(AB$4), 1, 0, 2, if(ISBLANK('2025'!$P61), 0, 1), 3, if(ISBLANK('2025'!$Q61), 0, 1), 4, if(ISBLANK('2025'!$R61), 0, 1), 5, if(ISBLANK('2025'!$S61), 0, 1), 6, if(ISBLANK('2025'!$T61), 0, 1), 7, 0))), 1, "")</f>
        <v/>
      </c>
      <c r="AC63" s="1" t="str">
        <f>IF(AND(AND(AND(AC$4&gt;='2025'!$L61,AC$4&lt;='2025'!$M61), AC$4&lt;&gt;DATE(2025,7,4)), (SWITCH(weekday(AC$4), 1, 0, 2, if(ISBLANK('2025'!$P61), 0, 1), 3, if(ISBLANK('2025'!$Q61), 0, 1), 4, if(ISBLANK('2025'!$R61), 0, 1), 5, if(ISBLANK('2025'!$S61), 0, 1), 6, if(ISBLANK('2025'!$T61), 0, 1), 7, 0))), 1, "")</f>
        <v/>
      </c>
      <c r="AD63" s="1" t="str">
        <f>IF(AND(AND(AND(AD$4&gt;='2025'!$L61,AD$4&lt;='2025'!$M61), AD$4&lt;&gt;DATE(2025,7,4)), (SWITCH(weekday(AD$4), 1, 0, 2, if(ISBLANK('2025'!$P61), 0, 1), 3, if(ISBLANK('2025'!$Q61), 0, 1), 4, if(ISBLANK('2025'!$R61), 0, 1), 5, if(ISBLANK('2025'!$S61), 0, 1), 6, if(ISBLANK('2025'!$T61), 0, 1), 7, 0))), 1, "")</f>
        <v/>
      </c>
      <c r="AE63" s="1" t="str">
        <f>IF(AND(AND(AND(AE$4&gt;='2025'!$L61,AE$4&lt;='2025'!$M61), AE$4&lt;&gt;DATE(2025,7,4)), (SWITCH(weekday(AE$4), 1, 0, 2, if(ISBLANK('2025'!$P61), 0, 1), 3, if(ISBLANK('2025'!$Q61), 0, 1), 4, if(ISBLANK('2025'!$R61), 0, 1), 5, if(ISBLANK('2025'!$S61), 0, 1), 6, if(ISBLANK('2025'!$T61), 0, 1), 7, 0))), 1, "")</f>
        <v/>
      </c>
      <c r="AF63" s="1" t="str">
        <f>IF(AND(AND(AND(AF$4&gt;='2025'!$L61,AF$4&lt;='2025'!$M61), AF$4&lt;&gt;DATE(2025,7,4)), (SWITCH(weekday(AF$4), 1, 0, 2, if(ISBLANK('2025'!$P61), 0, 1), 3, if(ISBLANK('2025'!$Q61), 0, 1), 4, if(ISBLANK('2025'!$R61), 0, 1), 5, if(ISBLANK('2025'!$S61), 0, 1), 6, if(ISBLANK('2025'!$T61), 0, 1), 7, 0))), 1, "")</f>
        <v/>
      </c>
      <c r="AG63" s="1" t="str">
        <f>IF(AND(AND(AND(AG$4&gt;='2025'!$L61,AG$4&lt;='2025'!$M61), AG$4&lt;&gt;DATE(2025,7,4)), (SWITCH(weekday(AG$4), 1, 0, 2, if(ISBLANK('2025'!$P61), 0, 1), 3, if(ISBLANK('2025'!$Q61), 0, 1), 4, if(ISBLANK('2025'!$R61), 0, 1), 5, if(ISBLANK('2025'!$S61), 0, 1), 6, if(ISBLANK('2025'!$T61), 0, 1), 7, 0))), 1, "")</f>
        <v/>
      </c>
      <c r="AH63" s="1" t="str">
        <f>IF(AND(AND(AND(AH$4&gt;='2025'!$L61,AH$4&lt;='2025'!$M61), AH$4&lt;&gt;DATE(2025,7,4)), (SWITCH(weekday(AH$4), 1, 0, 2, if(ISBLANK('2025'!$P61), 0, 1), 3, if(ISBLANK('2025'!$Q61), 0, 1), 4, if(ISBLANK('2025'!$R61), 0, 1), 5, if(ISBLANK('2025'!$S61), 0, 1), 6, if(ISBLANK('2025'!$T61), 0, 1), 7, 0))), 1, "")</f>
        <v/>
      </c>
      <c r="AI63" s="1" t="str">
        <f>IF(AND(AND(AND(AI$4&gt;='2025'!$L61,AI$4&lt;='2025'!$M61), AI$4&lt;&gt;DATE(2025,7,4)), (SWITCH(weekday(AI$4), 1, 0, 2, if(ISBLANK('2025'!$P61), 0, 1), 3, if(ISBLANK('2025'!$Q61), 0, 1), 4, if(ISBLANK('2025'!$R61), 0, 1), 5, if(ISBLANK('2025'!$S61), 0, 1), 6, if(ISBLANK('2025'!$T61), 0, 1), 7, 0))), 1, "")</f>
        <v/>
      </c>
      <c r="AJ63" s="1" t="str">
        <f>IF(AND(AND(AND(AJ$4&gt;='2025'!$L61,AJ$4&lt;='2025'!$M61), AJ$4&lt;&gt;DATE(2025,7,4)), (SWITCH(weekday(AJ$4), 1, 0, 2, if(ISBLANK('2025'!$P61), 0, 1), 3, if(ISBLANK('2025'!$Q61), 0, 1), 4, if(ISBLANK('2025'!$R61), 0, 1), 5, if(ISBLANK('2025'!$S61), 0, 1), 6, if(ISBLANK('2025'!$T61), 0, 1), 7, 0))), 1, "")</f>
        <v/>
      </c>
      <c r="AK63" s="1" t="str">
        <f>IF(AND(AND(AND(AK$4&gt;='2025'!$L61,AK$4&lt;='2025'!$M61), AK$4&lt;&gt;DATE(2025,7,4)), (SWITCH(weekday(AK$4), 1, 0, 2, if(ISBLANK('2025'!$P61), 0, 1), 3, if(ISBLANK('2025'!$Q61), 0, 1), 4, if(ISBLANK('2025'!$R61), 0, 1), 5, if(ISBLANK('2025'!$S61), 0, 1), 6, if(ISBLANK('2025'!$T61), 0, 1), 7, 0))), 1, "")</f>
        <v/>
      </c>
      <c r="AL63" s="1" t="str">
        <f>IF(AND(AND(AND(AL$4&gt;='2025'!$L61,AL$4&lt;='2025'!$M61), AL$4&lt;&gt;DATE(2025,7,4)), (SWITCH(weekday(AL$4), 1, 0, 2, if(ISBLANK('2025'!$P61), 0, 1), 3, if(ISBLANK('2025'!$Q61), 0, 1), 4, if(ISBLANK('2025'!$R61), 0, 1), 5, if(ISBLANK('2025'!$S61), 0, 1), 6, if(ISBLANK('2025'!$T61), 0, 1), 7, 0))), 1, "")</f>
        <v/>
      </c>
      <c r="AM63" s="1" t="str">
        <f>IF(AND(AND(AND(AM$4&gt;='2025'!$L61,AM$4&lt;='2025'!$M61), AM$4&lt;&gt;DATE(2025,7,4)), (SWITCH(weekday(AM$4), 1, 0, 2, if(ISBLANK('2025'!$P61), 0, 1), 3, if(ISBLANK('2025'!$Q61), 0, 1), 4, if(ISBLANK('2025'!$R61), 0, 1), 5, if(ISBLANK('2025'!$S61), 0, 1), 6, if(ISBLANK('2025'!$T61), 0, 1), 7, 0))), 1, "")</f>
        <v/>
      </c>
      <c r="AN63" s="1" t="str">
        <f>IF(AND(AND(AND(AN$4&gt;='2025'!$L61,AN$4&lt;='2025'!$M61), AN$4&lt;&gt;DATE(2025,7,4)), (SWITCH(weekday(AN$4), 1, 0, 2, if(ISBLANK('2025'!$P61), 0, 1), 3, if(ISBLANK('2025'!$Q61), 0, 1), 4, if(ISBLANK('2025'!$R61), 0, 1), 5, if(ISBLANK('2025'!$S61), 0, 1), 6, if(ISBLANK('2025'!$T61), 0, 1), 7, 0))), 1, "")</f>
        <v/>
      </c>
      <c r="AO63" s="1" t="str">
        <f>IF(AND(AND(AND(AO$4&gt;='2025'!$L61,AO$4&lt;='2025'!$M61), AO$4&lt;&gt;DATE(2025,7,4)), (SWITCH(weekday(AO$4), 1, 0, 2, if(ISBLANK('2025'!$P61), 0, 1), 3, if(ISBLANK('2025'!$Q61), 0, 1), 4, if(ISBLANK('2025'!$R61), 0, 1), 5, if(ISBLANK('2025'!$S61), 0, 1), 6, if(ISBLANK('2025'!$T61), 0, 1), 7, 0))), 1, "")</f>
        <v/>
      </c>
      <c r="AP63" s="1" t="str">
        <f>IF(AND(AND(AND(AP$4&gt;='2025'!$L61,AP$4&lt;='2025'!$M61), AP$4&lt;&gt;DATE(2025,7,4)), (SWITCH(weekday(AP$4), 1, 0, 2, if(ISBLANK('2025'!$P61), 0, 1), 3, if(ISBLANK('2025'!$Q61), 0, 1), 4, if(ISBLANK('2025'!$R61), 0, 1), 5, if(ISBLANK('2025'!$S61), 0, 1), 6, if(ISBLANK('2025'!$T61), 0, 1), 7, 0))), 1, "")</f>
        <v/>
      </c>
      <c r="AQ63" s="1" t="str">
        <f>IF(AND(AND(AND(AQ$4&gt;='2025'!$L61,AQ$4&lt;='2025'!$M61), AQ$4&lt;&gt;DATE(2025,7,4)), (SWITCH(weekday(AQ$4), 1, 0, 2, if(ISBLANK('2025'!$P61), 0, 1), 3, if(ISBLANK('2025'!$Q61), 0, 1), 4, if(ISBLANK('2025'!$R61), 0, 1), 5, if(ISBLANK('2025'!$S61), 0, 1), 6, if(ISBLANK('2025'!$T61), 0, 1), 7, 0))), 1, "")</f>
        <v/>
      </c>
      <c r="AR63" s="1" t="str">
        <f>IF(AND(AND(AND(AR$4&gt;='2025'!$L61,AR$4&lt;='2025'!$M61), AR$4&lt;&gt;DATE(2025,7,4)), (SWITCH(weekday(AR$4), 1, 0, 2, if(ISBLANK('2025'!$P61), 0, 1), 3, if(ISBLANK('2025'!$Q61), 0, 1), 4, if(ISBLANK('2025'!$R61), 0, 1), 5, if(ISBLANK('2025'!$S61), 0, 1), 6, if(ISBLANK('2025'!$T61), 0, 1), 7, 0))), 1, "")</f>
        <v/>
      </c>
      <c r="AS63" s="1" t="str">
        <f>IF(AND(AND(AND(AS$4&gt;='2025'!$L61,AS$4&lt;='2025'!$M61), AS$4&lt;&gt;DATE(2025,7,4)), (SWITCH(weekday(AS$4), 1, 0, 2, if(ISBLANK('2025'!$P61), 0, 1), 3, if(ISBLANK('2025'!$Q61), 0, 1), 4, if(ISBLANK('2025'!$R61), 0, 1), 5, if(ISBLANK('2025'!$S61), 0, 1), 6, if(ISBLANK('2025'!$T61), 0, 1), 7, 0))), 1, "")</f>
        <v/>
      </c>
      <c r="AT63" s="1" t="str">
        <f>IF(AND(AND(AND(AT$4&gt;='2025'!$L61,AT$4&lt;='2025'!$M61), AT$4&lt;&gt;DATE(2025,7,4)), (SWITCH(weekday(AT$4), 1, 0, 2, if(ISBLANK('2025'!$P61), 0, 1), 3, if(ISBLANK('2025'!$Q61), 0, 1), 4, if(ISBLANK('2025'!$R61), 0, 1), 5, if(ISBLANK('2025'!$S61), 0, 1), 6, if(ISBLANK('2025'!$T61), 0, 1), 7, 0))), 1, "")</f>
        <v/>
      </c>
      <c r="AU63" s="1" t="str">
        <f>IF(AND(AND(AND(AU$4&gt;='2025'!$L61,AU$4&lt;='2025'!$M61), AU$4&lt;&gt;DATE(2025,7,4)), (SWITCH(weekday(AU$4), 1, 0, 2, if(ISBLANK('2025'!$P61), 0, 1), 3, if(ISBLANK('2025'!$Q61), 0, 1), 4, if(ISBLANK('2025'!$R61), 0, 1), 5, if(ISBLANK('2025'!$S61), 0, 1), 6, if(ISBLANK('2025'!$T61), 0, 1), 7, 0))), 1, "")</f>
        <v/>
      </c>
      <c r="AV63" s="1" t="str">
        <f>IF(AND(AND(AND(AV$4&gt;='2025'!$L61,AV$4&lt;='2025'!$M61), AV$4&lt;&gt;DATE(2025,7,4)), (SWITCH(weekday(AV$4), 1, 0, 2, if(ISBLANK('2025'!$P61), 0, 1), 3, if(ISBLANK('2025'!$Q61), 0, 1), 4, if(ISBLANK('2025'!$R61), 0, 1), 5, if(ISBLANK('2025'!$S61), 0, 1), 6, if(ISBLANK('2025'!$T61), 0, 1), 7, 0))), 1, "")</f>
        <v/>
      </c>
      <c r="AW63" s="1" t="str">
        <f>IF(AND(AND(AND(AW$4&gt;='2025'!$L61,AW$4&lt;='2025'!$M61), AW$4&lt;&gt;DATE(2025,7,4)), (SWITCH(weekday(AW$4), 1, 0, 2, if(ISBLANK('2025'!$P61), 0, 1), 3, if(ISBLANK('2025'!$Q61), 0, 1), 4, if(ISBLANK('2025'!$R61), 0, 1), 5, if(ISBLANK('2025'!$S61), 0, 1), 6, if(ISBLANK('2025'!$T61), 0, 1), 7, 0))), 1, "")</f>
        <v/>
      </c>
      <c r="AX63" s="1" t="str">
        <f>IF(AND(AND(AND(AX$4&gt;='2025'!$L61,AX$4&lt;='2025'!$M61), AX$4&lt;&gt;DATE(2025,7,4)), (SWITCH(weekday(AX$4), 1, 0, 2, if(ISBLANK('2025'!$P61), 0, 1), 3, if(ISBLANK('2025'!$Q61), 0, 1), 4, if(ISBLANK('2025'!$R61), 0, 1), 5, if(ISBLANK('2025'!$S61), 0, 1), 6, if(ISBLANK('2025'!$T61), 0, 1), 7, 0))), 1, "")</f>
        <v/>
      </c>
      <c r="AY63" s="1" t="str">
        <f>IF(AND(AND(AND(AY$4&gt;='2025'!$L61,AY$4&lt;='2025'!$M61), AY$4&lt;&gt;DATE(2025,7,4)), (SWITCH(weekday(AY$4), 1, 0, 2, if(ISBLANK('2025'!$P61), 0, 1), 3, if(ISBLANK('2025'!$Q61), 0, 1), 4, if(ISBLANK('2025'!$R61), 0, 1), 5, if(ISBLANK('2025'!$S61), 0, 1), 6, if(ISBLANK('2025'!$T61), 0, 1), 7, 0))), 1, "")</f>
        <v/>
      </c>
      <c r="AZ63" s="1" t="str">
        <f>IF(AND(AND(AND(AZ$4&gt;='2025'!$L61,AZ$4&lt;='2025'!$M61), AZ$4&lt;&gt;DATE(2025,7,4)), (SWITCH(weekday(AZ$4), 1, 0, 2, if(ISBLANK('2025'!$P61), 0, 1), 3, if(ISBLANK('2025'!$Q61), 0, 1), 4, if(ISBLANK('2025'!$R61), 0, 1), 5, if(ISBLANK('2025'!$S61), 0, 1), 6, if(ISBLANK('2025'!$T61), 0, 1), 7, 0))), 1, "")</f>
        <v/>
      </c>
      <c r="BA63" s="1" t="str">
        <f>IF(AND(AND(AND(BA$4&gt;='2025'!$L61,BA$4&lt;='2025'!$M61), BA$4&lt;&gt;DATE(2025,7,4)), (SWITCH(weekday(BA$4), 1, 0, 2, if(ISBLANK('2025'!$P61), 0, 1), 3, if(ISBLANK('2025'!$Q61), 0, 1), 4, if(ISBLANK('2025'!$R61), 0, 1), 5, if(ISBLANK('2025'!$S61), 0, 1), 6, if(ISBLANK('2025'!$T61), 0, 1), 7, 0))), 1, "")</f>
        <v/>
      </c>
      <c r="BB63" s="1" t="str">
        <f>IF(AND(AND(AND(BB$4&gt;='2025'!$L61,BB$4&lt;='2025'!$M61), BB$4&lt;&gt;DATE(2025,7,4)), (SWITCH(weekday(BB$4), 1, 0, 2, if(ISBLANK('2025'!$P61), 0, 1), 3, if(ISBLANK('2025'!$Q61), 0, 1), 4, if(ISBLANK('2025'!$R61), 0, 1), 5, if(ISBLANK('2025'!$S61), 0, 1), 6, if(ISBLANK('2025'!$T61), 0, 1), 7, 0))), 1, "")</f>
        <v/>
      </c>
      <c r="BC63" s="1" t="str">
        <f>IF(AND(AND(AND(BC$4&gt;='2025'!$L61,BC$4&lt;='2025'!$M61), BC$4&lt;&gt;DATE(2025,7,4)), (SWITCH(weekday(BC$4), 1, 0, 2, if(ISBLANK('2025'!$P61), 0, 1), 3, if(ISBLANK('2025'!$Q61), 0, 1), 4, if(ISBLANK('2025'!$R61), 0, 1), 5, if(ISBLANK('2025'!$S61), 0, 1), 6, if(ISBLANK('2025'!$T61), 0, 1), 7, 0))), 1, "")</f>
        <v/>
      </c>
      <c r="BD63" s="1" t="str">
        <f>IF(AND(AND(AND(BD$4&gt;='2025'!$L61,BD$4&lt;='2025'!$M61), BD$4&lt;&gt;DATE(2025,7,4)), (SWITCH(weekday(BD$4), 1, 0, 2, if(ISBLANK('2025'!$P61), 0, 1), 3, if(ISBLANK('2025'!$Q61), 0, 1), 4, if(ISBLANK('2025'!$R61), 0, 1), 5, if(ISBLANK('2025'!$S61), 0, 1), 6, if(ISBLANK('2025'!$T61), 0, 1), 7, 0))), 1, "")</f>
        <v/>
      </c>
      <c r="BE63" s="1" t="str">
        <f>IF(AND(AND(AND(BE$4&gt;='2025'!$L61,BE$4&lt;='2025'!$M61), BE$4&lt;&gt;DATE(2025,7,4)), (SWITCH(weekday(BE$4), 1, 0, 2, if(ISBLANK('2025'!$P61), 0, 1), 3, if(ISBLANK('2025'!$Q61), 0, 1), 4, if(ISBLANK('2025'!$R61), 0, 1), 5, if(ISBLANK('2025'!$S61), 0, 1), 6, if(ISBLANK('2025'!$T61), 0, 1), 7, 0))), 1, "")</f>
        <v/>
      </c>
      <c r="BF63" s="1" t="str">
        <f>IF(AND(AND(AND(BF$4&gt;='2025'!$L61,BF$4&lt;='2025'!$M61), BF$4&lt;&gt;DATE(2025,7,4)), (SWITCH(weekday(BF$4), 1, 0, 2, if(ISBLANK('2025'!$P61), 0, 1), 3, if(ISBLANK('2025'!$Q61), 0, 1), 4, if(ISBLANK('2025'!$R61), 0, 1), 5, if(ISBLANK('2025'!$S61), 0, 1), 6, if(ISBLANK('2025'!$T61), 0, 1), 7, 0))), 1, "")</f>
        <v/>
      </c>
      <c r="BG63" s="1"/>
      <c r="BH63" s="1"/>
      <c r="BI63" s="1"/>
      <c r="BJ63" s="1"/>
      <c r="BK63" s="1"/>
      <c r="BL63" s="1"/>
    </row>
    <row r="64">
      <c r="A64" s="1">
        <f t="shared" si="3"/>
        <v>64</v>
      </c>
      <c r="B64" s="1" t="str">
        <f>'2025'!D62</f>
        <v>, </v>
      </c>
      <c r="C64" s="1" t="str">
        <f>'2025'!H62</f>
        <v/>
      </c>
      <c r="D64" s="1" t="str">
        <f>IF(AND(AND(AND(D$4&gt;='2025'!$L62,D$4&lt;='2025'!$M62), D$4&lt;&gt;DATE(2025,7,4)), (SWITCH(weekday(D$4), 1, 0, 2, if(ISBLANK('2025'!$P62), 0, 1), 3, if(ISBLANK('2025'!$Q62), 0, 1), 4, if(ISBLANK('2025'!$R62), 0, 1), 5, if(ISBLANK('2025'!$S62), 0, 1), 6, if(ISBLANK('2025'!$T62), 0, 1), 7, 0))), 1, "")</f>
        <v/>
      </c>
      <c r="E64" s="1" t="str">
        <f>IF(AND(AND(AND(E$4&gt;='2025'!$L62,E$4&lt;='2025'!$M62), E$4&lt;&gt;DATE(2025,7,4)), (SWITCH(weekday(E$4), 1, 0, 2, if(ISBLANK('2025'!$P62), 0, 1), 3, if(ISBLANK('2025'!$Q62), 0, 1), 4, if(ISBLANK('2025'!$R62), 0, 1), 5, if(ISBLANK('2025'!$S62), 0, 1), 6, if(ISBLANK('2025'!$T62), 0, 1), 7, 0))), 1, "")</f>
        <v/>
      </c>
      <c r="F64" s="1" t="str">
        <f>IF(AND(AND(AND(F$4&gt;='2025'!$L62,F$4&lt;='2025'!$M62), F$4&lt;&gt;DATE(2025,7,4)), (SWITCH(weekday(F$4), 1, 0, 2, if(ISBLANK('2025'!$P62), 0, 1), 3, if(ISBLANK('2025'!$Q62), 0, 1), 4, if(ISBLANK('2025'!$R62), 0, 1), 5, if(ISBLANK('2025'!$S62), 0, 1), 6, if(ISBLANK('2025'!$T62), 0, 1), 7, 0))), 1, "")</f>
        <v/>
      </c>
      <c r="G64" s="1" t="str">
        <f>IF(AND(AND(AND(G$4&gt;='2025'!$L62,G$4&lt;='2025'!$M62), G$4&lt;&gt;DATE(2025,7,4)), (SWITCH(weekday(G$4), 1, 0, 2, if(ISBLANK('2025'!$P62), 0, 1), 3, if(ISBLANK('2025'!$Q62), 0, 1), 4, if(ISBLANK('2025'!$R62), 0, 1), 5, if(ISBLANK('2025'!$S62), 0, 1), 6, if(ISBLANK('2025'!$T62), 0, 1), 7, 0))), 1, "")</f>
        <v/>
      </c>
      <c r="H64" s="1" t="str">
        <f>IF(AND(AND(AND(H$4&gt;='2025'!$L62,H$4&lt;='2025'!$M62), H$4&lt;&gt;DATE(2025,7,4)), (SWITCH(weekday(H$4), 1, 0, 2, if(ISBLANK('2025'!$P62), 0, 1), 3, if(ISBLANK('2025'!$Q62), 0, 1), 4, if(ISBLANK('2025'!$R62), 0, 1), 5, if(ISBLANK('2025'!$S62), 0, 1), 6, if(ISBLANK('2025'!$T62), 0, 1), 7, 0))), 1, "")</f>
        <v/>
      </c>
      <c r="I64" s="1" t="str">
        <f>IF(AND(AND(AND(I$4&gt;='2025'!$L62,I$4&lt;='2025'!$M62), I$4&lt;&gt;DATE(2025,7,4)), (SWITCH(weekday(I$4), 1, 0, 2, if(ISBLANK('2025'!$P62), 0, 1), 3, if(ISBLANK('2025'!$Q62), 0, 1), 4, if(ISBLANK('2025'!$R62), 0, 1), 5, if(ISBLANK('2025'!$S62), 0, 1), 6, if(ISBLANK('2025'!$T62), 0, 1), 7, 0))), 1, "")</f>
        <v/>
      </c>
      <c r="J64" s="1" t="str">
        <f>IF(AND(AND(AND(J$4&gt;='2025'!$L62,J$4&lt;='2025'!$M62), J$4&lt;&gt;DATE(2025,7,4)), (SWITCH(weekday(J$4), 1, 0, 2, if(ISBLANK('2025'!$P62), 0, 1), 3, if(ISBLANK('2025'!$Q62), 0, 1), 4, if(ISBLANK('2025'!$R62), 0, 1), 5, if(ISBLANK('2025'!$S62), 0, 1), 6, if(ISBLANK('2025'!$T62), 0, 1), 7, 0))), 1, "")</f>
        <v/>
      </c>
      <c r="K64" s="1" t="str">
        <f>IF(AND(AND(AND(K$4&gt;='2025'!$L62,K$4&lt;='2025'!$M62), K$4&lt;&gt;DATE(2025,7,4)), (SWITCH(weekday(K$4), 1, 0, 2, if(ISBLANK('2025'!$P62), 0, 1), 3, if(ISBLANK('2025'!$Q62), 0, 1), 4, if(ISBLANK('2025'!$R62), 0, 1), 5, if(ISBLANK('2025'!$S62), 0, 1), 6, if(ISBLANK('2025'!$T62), 0, 1), 7, 0))), 1, "")</f>
        <v/>
      </c>
      <c r="L64" s="1" t="str">
        <f>IF(AND(AND(AND(L$4&gt;='2025'!$L62,L$4&lt;='2025'!$M62), L$4&lt;&gt;DATE(2025,7,4)), (SWITCH(weekday(L$4), 1, 0, 2, if(ISBLANK('2025'!$P62), 0, 1), 3, if(ISBLANK('2025'!$Q62), 0, 1), 4, if(ISBLANK('2025'!$R62), 0, 1), 5, if(ISBLANK('2025'!$S62), 0, 1), 6, if(ISBLANK('2025'!$T62), 0, 1), 7, 0))), 1, "")</f>
        <v/>
      </c>
      <c r="M64" s="1" t="str">
        <f>IF(AND(AND(AND(M$4&gt;='2025'!$L62,M$4&lt;='2025'!$M62), M$4&lt;&gt;DATE(2025,7,4)), (SWITCH(weekday(M$4), 1, 0, 2, if(ISBLANK('2025'!$P62), 0, 1), 3, if(ISBLANK('2025'!$Q62), 0, 1), 4, if(ISBLANK('2025'!$R62), 0, 1), 5, if(ISBLANK('2025'!$S62), 0, 1), 6, if(ISBLANK('2025'!$T62), 0, 1), 7, 0))), 1, "")</f>
        <v/>
      </c>
      <c r="N64" s="1" t="str">
        <f>IF(AND(AND(AND(N$4&gt;='2025'!$L62,N$4&lt;='2025'!$M62), N$4&lt;&gt;DATE(2025,7,4)), (SWITCH(weekday(N$4), 1, 0, 2, if(ISBLANK('2025'!$P62), 0, 1), 3, if(ISBLANK('2025'!$Q62), 0, 1), 4, if(ISBLANK('2025'!$R62), 0, 1), 5, if(ISBLANK('2025'!$S62), 0, 1), 6, if(ISBLANK('2025'!$T62), 0, 1), 7, 0))), 1, "")</f>
        <v/>
      </c>
      <c r="O64" s="1" t="str">
        <f>IF(AND(AND(AND(O$4&gt;='2025'!$L62,O$4&lt;='2025'!$M62), O$4&lt;&gt;DATE(2025,7,4)), (SWITCH(weekday(O$4), 1, 0, 2, if(ISBLANK('2025'!$P62), 0, 1), 3, if(ISBLANK('2025'!$Q62), 0, 1), 4, if(ISBLANK('2025'!$R62), 0, 1), 5, if(ISBLANK('2025'!$S62), 0, 1), 6, if(ISBLANK('2025'!$T62), 0, 1), 7, 0))), 1, "")</f>
        <v/>
      </c>
      <c r="P64" s="1" t="str">
        <f>IF(AND(AND(AND(P$4&gt;='2025'!$L62,P$4&lt;='2025'!$M62), P$4&lt;&gt;DATE(2025,7,4)), (SWITCH(weekday(P$4), 1, 0, 2, if(ISBLANK('2025'!$P62), 0, 1), 3, if(ISBLANK('2025'!$Q62), 0, 1), 4, if(ISBLANK('2025'!$R62), 0, 1), 5, if(ISBLANK('2025'!$S62), 0, 1), 6, if(ISBLANK('2025'!$T62), 0, 1), 7, 0))), 1, "")</f>
        <v/>
      </c>
      <c r="Q64" s="1" t="str">
        <f>IF(AND(AND(AND(Q$4&gt;='2025'!$L62,Q$4&lt;='2025'!$M62), Q$4&lt;&gt;DATE(2025,7,4)), (SWITCH(weekday(Q$4), 1, 0, 2, if(ISBLANK('2025'!$P62), 0, 1), 3, if(ISBLANK('2025'!$Q62), 0, 1), 4, if(ISBLANK('2025'!$R62), 0, 1), 5, if(ISBLANK('2025'!$S62), 0, 1), 6, if(ISBLANK('2025'!$T62), 0, 1), 7, 0))), 1, "")</f>
        <v/>
      </c>
      <c r="R64" s="1" t="str">
        <f>IF(AND(AND(AND(R$4&gt;='2025'!$L62,R$4&lt;='2025'!$M62), R$4&lt;&gt;DATE(2025,7,4)), (SWITCH(weekday(R$4), 1, 0, 2, if(ISBLANK('2025'!$P62), 0, 1), 3, if(ISBLANK('2025'!$Q62), 0, 1), 4, if(ISBLANK('2025'!$R62), 0, 1), 5, if(ISBLANK('2025'!$S62), 0, 1), 6, if(ISBLANK('2025'!$T62), 0, 1), 7, 0))), 1, "")</f>
        <v/>
      </c>
      <c r="S64" s="1" t="str">
        <f>IF(AND(AND(AND(S$4&gt;='2025'!$L62,S$4&lt;='2025'!$M62), S$4&lt;&gt;DATE(2025,7,4)), (SWITCH(weekday(S$4), 1, 0, 2, if(ISBLANK('2025'!$P62), 0, 1), 3, if(ISBLANK('2025'!$Q62), 0, 1), 4, if(ISBLANK('2025'!$R62), 0, 1), 5, if(ISBLANK('2025'!$S62), 0, 1), 6, if(ISBLANK('2025'!$T62), 0, 1), 7, 0))), 1, "")</f>
        <v/>
      </c>
      <c r="T64" s="1" t="str">
        <f>IF(AND(AND(AND(T$4&gt;='2025'!$L62,T$4&lt;='2025'!$M62), T$4&lt;&gt;DATE(2025,7,4)), (SWITCH(weekday(T$4), 1, 0, 2, if(ISBLANK('2025'!$P62), 0, 1), 3, if(ISBLANK('2025'!$Q62), 0, 1), 4, if(ISBLANK('2025'!$R62), 0, 1), 5, if(ISBLANK('2025'!$S62), 0, 1), 6, if(ISBLANK('2025'!$T62), 0, 1), 7, 0))), 1, "")</f>
        <v/>
      </c>
      <c r="U64" s="1" t="str">
        <f>IF(AND(AND(AND(U$4&gt;='2025'!$L62,U$4&lt;='2025'!$M62), U$4&lt;&gt;DATE(2025,7,4)), (SWITCH(weekday(U$4), 1, 0, 2, if(ISBLANK('2025'!$P62), 0, 1), 3, if(ISBLANK('2025'!$Q62), 0, 1), 4, if(ISBLANK('2025'!$R62), 0, 1), 5, if(ISBLANK('2025'!$S62), 0, 1), 6, if(ISBLANK('2025'!$T62), 0, 1), 7, 0))), 1, "")</f>
        <v/>
      </c>
      <c r="V64" s="1" t="str">
        <f>IF(AND(AND(AND(V$4&gt;='2025'!$L62,V$4&lt;='2025'!$M62), V$4&lt;&gt;DATE(2025,7,4)), (SWITCH(weekday(V$4), 1, 0, 2, if(ISBLANK('2025'!$P62), 0, 1), 3, if(ISBLANK('2025'!$Q62), 0, 1), 4, if(ISBLANK('2025'!$R62), 0, 1), 5, if(ISBLANK('2025'!$S62), 0, 1), 6, if(ISBLANK('2025'!$T62), 0, 1), 7, 0))), 1, "")</f>
        <v/>
      </c>
      <c r="W64" s="1" t="str">
        <f>IF(AND(AND(AND(W$4&gt;='2025'!$L62,W$4&lt;='2025'!$M62), W$4&lt;&gt;DATE(2025,7,4)), (SWITCH(weekday(W$4), 1, 0, 2, if(ISBLANK('2025'!$P62), 0, 1), 3, if(ISBLANK('2025'!$Q62), 0, 1), 4, if(ISBLANK('2025'!$R62), 0, 1), 5, if(ISBLANK('2025'!$S62), 0, 1), 6, if(ISBLANK('2025'!$T62), 0, 1), 7, 0))), 1, "")</f>
        <v/>
      </c>
      <c r="X64" s="1" t="str">
        <f>IF(AND(AND(AND(X$4&gt;='2025'!$L62,X$4&lt;='2025'!$M62), X$4&lt;&gt;DATE(2025,7,4)), (SWITCH(weekday(X$4), 1, 0, 2, if(ISBLANK('2025'!$P62), 0, 1), 3, if(ISBLANK('2025'!$Q62), 0, 1), 4, if(ISBLANK('2025'!$R62), 0, 1), 5, if(ISBLANK('2025'!$S62), 0, 1), 6, if(ISBLANK('2025'!$T62), 0, 1), 7, 0))), 1, "")</f>
        <v/>
      </c>
      <c r="Y64" s="1" t="str">
        <f>IF(AND(AND(AND(Y$4&gt;='2025'!$L62,Y$4&lt;='2025'!$M62), Y$4&lt;&gt;DATE(2025,7,4)), (SWITCH(weekday(Y$4), 1, 0, 2, if(ISBLANK('2025'!$P62), 0, 1), 3, if(ISBLANK('2025'!$Q62), 0, 1), 4, if(ISBLANK('2025'!$R62), 0, 1), 5, if(ISBLANK('2025'!$S62), 0, 1), 6, if(ISBLANK('2025'!$T62), 0, 1), 7, 0))), 1, "")</f>
        <v/>
      </c>
      <c r="Z64" s="1" t="str">
        <f>IF(AND(AND(AND(Z$4&gt;='2025'!$L62,Z$4&lt;='2025'!$M62), Z$4&lt;&gt;DATE(2025,7,4)), (SWITCH(weekday(Z$4), 1, 0, 2, if(ISBLANK('2025'!$P62), 0, 1), 3, if(ISBLANK('2025'!$Q62), 0, 1), 4, if(ISBLANK('2025'!$R62), 0, 1), 5, if(ISBLANK('2025'!$S62), 0, 1), 6, if(ISBLANK('2025'!$T62), 0, 1), 7, 0))), 1, "")</f>
        <v/>
      </c>
      <c r="AA64" s="1" t="str">
        <f>IF(AND(AND(AND(AA$4&gt;='2025'!$L62,AA$4&lt;='2025'!$M62), AA$4&lt;&gt;DATE(2025,7,4)), (SWITCH(weekday(AA$4), 1, 0, 2, if(ISBLANK('2025'!$P62), 0, 1), 3, if(ISBLANK('2025'!$Q62), 0, 1), 4, if(ISBLANK('2025'!$R62), 0, 1), 5, if(ISBLANK('2025'!$S62), 0, 1), 6, if(ISBLANK('2025'!$T62), 0, 1), 7, 0))), 1, "")</f>
        <v/>
      </c>
      <c r="AB64" s="1" t="str">
        <f>IF(AND(AND(AND(AB$4&gt;='2025'!$L62,AB$4&lt;='2025'!$M62), AB$4&lt;&gt;DATE(2025,7,4)), (SWITCH(weekday(AB$4), 1, 0, 2, if(ISBLANK('2025'!$P62), 0, 1), 3, if(ISBLANK('2025'!$Q62), 0, 1), 4, if(ISBLANK('2025'!$R62), 0, 1), 5, if(ISBLANK('2025'!$S62), 0, 1), 6, if(ISBLANK('2025'!$T62), 0, 1), 7, 0))), 1, "")</f>
        <v/>
      </c>
      <c r="AC64" s="1" t="str">
        <f>IF(AND(AND(AND(AC$4&gt;='2025'!$L62,AC$4&lt;='2025'!$M62), AC$4&lt;&gt;DATE(2025,7,4)), (SWITCH(weekday(AC$4), 1, 0, 2, if(ISBLANK('2025'!$P62), 0, 1), 3, if(ISBLANK('2025'!$Q62), 0, 1), 4, if(ISBLANK('2025'!$R62), 0, 1), 5, if(ISBLANK('2025'!$S62), 0, 1), 6, if(ISBLANK('2025'!$T62), 0, 1), 7, 0))), 1, "")</f>
        <v/>
      </c>
      <c r="AD64" s="1" t="str">
        <f>IF(AND(AND(AND(AD$4&gt;='2025'!$L62,AD$4&lt;='2025'!$M62), AD$4&lt;&gt;DATE(2025,7,4)), (SWITCH(weekday(AD$4), 1, 0, 2, if(ISBLANK('2025'!$P62), 0, 1), 3, if(ISBLANK('2025'!$Q62), 0, 1), 4, if(ISBLANK('2025'!$R62), 0, 1), 5, if(ISBLANK('2025'!$S62), 0, 1), 6, if(ISBLANK('2025'!$T62), 0, 1), 7, 0))), 1, "")</f>
        <v/>
      </c>
      <c r="AE64" s="1" t="str">
        <f>IF(AND(AND(AND(AE$4&gt;='2025'!$L62,AE$4&lt;='2025'!$M62), AE$4&lt;&gt;DATE(2025,7,4)), (SWITCH(weekday(AE$4), 1, 0, 2, if(ISBLANK('2025'!$P62), 0, 1), 3, if(ISBLANK('2025'!$Q62), 0, 1), 4, if(ISBLANK('2025'!$R62), 0, 1), 5, if(ISBLANK('2025'!$S62), 0, 1), 6, if(ISBLANK('2025'!$T62), 0, 1), 7, 0))), 1, "")</f>
        <v/>
      </c>
      <c r="AF64" s="1" t="str">
        <f>IF(AND(AND(AND(AF$4&gt;='2025'!$L62,AF$4&lt;='2025'!$M62), AF$4&lt;&gt;DATE(2025,7,4)), (SWITCH(weekday(AF$4), 1, 0, 2, if(ISBLANK('2025'!$P62), 0, 1), 3, if(ISBLANK('2025'!$Q62), 0, 1), 4, if(ISBLANK('2025'!$R62), 0, 1), 5, if(ISBLANK('2025'!$S62), 0, 1), 6, if(ISBLANK('2025'!$T62), 0, 1), 7, 0))), 1, "")</f>
        <v/>
      </c>
      <c r="AG64" s="1" t="str">
        <f>IF(AND(AND(AND(AG$4&gt;='2025'!$L62,AG$4&lt;='2025'!$M62), AG$4&lt;&gt;DATE(2025,7,4)), (SWITCH(weekday(AG$4), 1, 0, 2, if(ISBLANK('2025'!$P62), 0, 1), 3, if(ISBLANK('2025'!$Q62), 0, 1), 4, if(ISBLANK('2025'!$R62), 0, 1), 5, if(ISBLANK('2025'!$S62), 0, 1), 6, if(ISBLANK('2025'!$T62), 0, 1), 7, 0))), 1, "")</f>
        <v/>
      </c>
      <c r="AH64" s="1" t="str">
        <f>IF(AND(AND(AND(AH$4&gt;='2025'!$L62,AH$4&lt;='2025'!$M62), AH$4&lt;&gt;DATE(2025,7,4)), (SWITCH(weekday(AH$4), 1, 0, 2, if(ISBLANK('2025'!$P62), 0, 1), 3, if(ISBLANK('2025'!$Q62), 0, 1), 4, if(ISBLANK('2025'!$R62), 0, 1), 5, if(ISBLANK('2025'!$S62), 0, 1), 6, if(ISBLANK('2025'!$T62), 0, 1), 7, 0))), 1, "")</f>
        <v/>
      </c>
      <c r="AI64" s="1" t="str">
        <f>IF(AND(AND(AND(AI$4&gt;='2025'!$L62,AI$4&lt;='2025'!$M62), AI$4&lt;&gt;DATE(2025,7,4)), (SWITCH(weekday(AI$4), 1, 0, 2, if(ISBLANK('2025'!$P62), 0, 1), 3, if(ISBLANK('2025'!$Q62), 0, 1), 4, if(ISBLANK('2025'!$R62), 0, 1), 5, if(ISBLANK('2025'!$S62), 0, 1), 6, if(ISBLANK('2025'!$T62), 0, 1), 7, 0))), 1, "")</f>
        <v/>
      </c>
      <c r="AJ64" s="1" t="str">
        <f>IF(AND(AND(AND(AJ$4&gt;='2025'!$L62,AJ$4&lt;='2025'!$M62), AJ$4&lt;&gt;DATE(2025,7,4)), (SWITCH(weekday(AJ$4), 1, 0, 2, if(ISBLANK('2025'!$P62), 0, 1), 3, if(ISBLANK('2025'!$Q62), 0, 1), 4, if(ISBLANK('2025'!$R62), 0, 1), 5, if(ISBLANK('2025'!$S62), 0, 1), 6, if(ISBLANK('2025'!$T62), 0, 1), 7, 0))), 1, "")</f>
        <v/>
      </c>
      <c r="AK64" s="1" t="str">
        <f>IF(AND(AND(AND(AK$4&gt;='2025'!$L62,AK$4&lt;='2025'!$M62), AK$4&lt;&gt;DATE(2025,7,4)), (SWITCH(weekday(AK$4), 1, 0, 2, if(ISBLANK('2025'!$P62), 0, 1), 3, if(ISBLANK('2025'!$Q62), 0, 1), 4, if(ISBLANK('2025'!$R62), 0, 1), 5, if(ISBLANK('2025'!$S62), 0, 1), 6, if(ISBLANK('2025'!$T62), 0, 1), 7, 0))), 1, "")</f>
        <v/>
      </c>
      <c r="AL64" s="1" t="str">
        <f>IF(AND(AND(AND(AL$4&gt;='2025'!$L62,AL$4&lt;='2025'!$M62), AL$4&lt;&gt;DATE(2025,7,4)), (SWITCH(weekday(AL$4), 1, 0, 2, if(ISBLANK('2025'!$P62), 0, 1), 3, if(ISBLANK('2025'!$Q62), 0, 1), 4, if(ISBLANK('2025'!$R62), 0, 1), 5, if(ISBLANK('2025'!$S62), 0, 1), 6, if(ISBLANK('2025'!$T62), 0, 1), 7, 0))), 1, "")</f>
        <v/>
      </c>
      <c r="AM64" s="1" t="str">
        <f>IF(AND(AND(AND(AM$4&gt;='2025'!$L62,AM$4&lt;='2025'!$M62), AM$4&lt;&gt;DATE(2025,7,4)), (SWITCH(weekday(AM$4), 1, 0, 2, if(ISBLANK('2025'!$P62), 0, 1), 3, if(ISBLANK('2025'!$Q62), 0, 1), 4, if(ISBLANK('2025'!$R62), 0, 1), 5, if(ISBLANK('2025'!$S62), 0, 1), 6, if(ISBLANK('2025'!$T62), 0, 1), 7, 0))), 1, "")</f>
        <v/>
      </c>
      <c r="AN64" s="1" t="str">
        <f>IF(AND(AND(AND(AN$4&gt;='2025'!$L62,AN$4&lt;='2025'!$M62), AN$4&lt;&gt;DATE(2025,7,4)), (SWITCH(weekday(AN$4), 1, 0, 2, if(ISBLANK('2025'!$P62), 0, 1), 3, if(ISBLANK('2025'!$Q62), 0, 1), 4, if(ISBLANK('2025'!$R62), 0, 1), 5, if(ISBLANK('2025'!$S62), 0, 1), 6, if(ISBLANK('2025'!$T62), 0, 1), 7, 0))), 1, "")</f>
        <v/>
      </c>
      <c r="AO64" s="1" t="str">
        <f>IF(AND(AND(AND(AO$4&gt;='2025'!$L62,AO$4&lt;='2025'!$M62), AO$4&lt;&gt;DATE(2025,7,4)), (SWITCH(weekday(AO$4), 1, 0, 2, if(ISBLANK('2025'!$P62), 0, 1), 3, if(ISBLANK('2025'!$Q62), 0, 1), 4, if(ISBLANK('2025'!$R62), 0, 1), 5, if(ISBLANK('2025'!$S62), 0, 1), 6, if(ISBLANK('2025'!$T62), 0, 1), 7, 0))), 1, "")</f>
        <v/>
      </c>
      <c r="AP64" s="1" t="str">
        <f>IF(AND(AND(AND(AP$4&gt;='2025'!$L62,AP$4&lt;='2025'!$M62), AP$4&lt;&gt;DATE(2025,7,4)), (SWITCH(weekday(AP$4), 1, 0, 2, if(ISBLANK('2025'!$P62), 0, 1), 3, if(ISBLANK('2025'!$Q62), 0, 1), 4, if(ISBLANK('2025'!$R62), 0, 1), 5, if(ISBLANK('2025'!$S62), 0, 1), 6, if(ISBLANK('2025'!$T62), 0, 1), 7, 0))), 1, "")</f>
        <v/>
      </c>
      <c r="AQ64" s="1" t="str">
        <f>IF(AND(AND(AND(AQ$4&gt;='2025'!$L62,AQ$4&lt;='2025'!$M62), AQ$4&lt;&gt;DATE(2025,7,4)), (SWITCH(weekday(AQ$4), 1, 0, 2, if(ISBLANK('2025'!$P62), 0, 1), 3, if(ISBLANK('2025'!$Q62), 0, 1), 4, if(ISBLANK('2025'!$R62), 0, 1), 5, if(ISBLANK('2025'!$S62), 0, 1), 6, if(ISBLANK('2025'!$T62), 0, 1), 7, 0))), 1, "")</f>
        <v/>
      </c>
      <c r="AR64" s="1" t="str">
        <f>IF(AND(AND(AND(AR$4&gt;='2025'!$L62,AR$4&lt;='2025'!$M62), AR$4&lt;&gt;DATE(2025,7,4)), (SWITCH(weekday(AR$4), 1, 0, 2, if(ISBLANK('2025'!$P62), 0, 1), 3, if(ISBLANK('2025'!$Q62), 0, 1), 4, if(ISBLANK('2025'!$R62), 0, 1), 5, if(ISBLANK('2025'!$S62), 0, 1), 6, if(ISBLANK('2025'!$T62), 0, 1), 7, 0))), 1, "")</f>
        <v/>
      </c>
      <c r="AS64" s="1" t="str">
        <f>IF(AND(AND(AND(AS$4&gt;='2025'!$L62,AS$4&lt;='2025'!$M62), AS$4&lt;&gt;DATE(2025,7,4)), (SWITCH(weekday(AS$4), 1, 0, 2, if(ISBLANK('2025'!$P62), 0, 1), 3, if(ISBLANK('2025'!$Q62), 0, 1), 4, if(ISBLANK('2025'!$R62), 0, 1), 5, if(ISBLANK('2025'!$S62), 0, 1), 6, if(ISBLANK('2025'!$T62), 0, 1), 7, 0))), 1, "")</f>
        <v/>
      </c>
      <c r="AT64" s="1" t="str">
        <f>IF(AND(AND(AND(AT$4&gt;='2025'!$L62,AT$4&lt;='2025'!$M62), AT$4&lt;&gt;DATE(2025,7,4)), (SWITCH(weekday(AT$4), 1, 0, 2, if(ISBLANK('2025'!$P62), 0, 1), 3, if(ISBLANK('2025'!$Q62), 0, 1), 4, if(ISBLANK('2025'!$R62), 0, 1), 5, if(ISBLANK('2025'!$S62), 0, 1), 6, if(ISBLANK('2025'!$T62), 0, 1), 7, 0))), 1, "")</f>
        <v/>
      </c>
      <c r="AU64" s="1" t="str">
        <f>IF(AND(AND(AND(AU$4&gt;='2025'!$L62,AU$4&lt;='2025'!$M62), AU$4&lt;&gt;DATE(2025,7,4)), (SWITCH(weekday(AU$4), 1, 0, 2, if(ISBLANK('2025'!$P62), 0, 1), 3, if(ISBLANK('2025'!$Q62), 0, 1), 4, if(ISBLANK('2025'!$R62), 0, 1), 5, if(ISBLANK('2025'!$S62), 0, 1), 6, if(ISBLANK('2025'!$T62), 0, 1), 7, 0))), 1, "")</f>
        <v/>
      </c>
      <c r="AV64" s="1" t="str">
        <f>IF(AND(AND(AND(AV$4&gt;='2025'!$L62,AV$4&lt;='2025'!$M62), AV$4&lt;&gt;DATE(2025,7,4)), (SWITCH(weekday(AV$4), 1, 0, 2, if(ISBLANK('2025'!$P62), 0, 1), 3, if(ISBLANK('2025'!$Q62), 0, 1), 4, if(ISBLANK('2025'!$R62), 0, 1), 5, if(ISBLANK('2025'!$S62), 0, 1), 6, if(ISBLANK('2025'!$T62), 0, 1), 7, 0))), 1, "")</f>
        <v/>
      </c>
      <c r="AW64" s="1" t="str">
        <f>IF(AND(AND(AND(AW$4&gt;='2025'!$L62,AW$4&lt;='2025'!$M62), AW$4&lt;&gt;DATE(2025,7,4)), (SWITCH(weekday(AW$4), 1, 0, 2, if(ISBLANK('2025'!$P62), 0, 1), 3, if(ISBLANK('2025'!$Q62), 0, 1), 4, if(ISBLANK('2025'!$R62), 0, 1), 5, if(ISBLANK('2025'!$S62), 0, 1), 6, if(ISBLANK('2025'!$T62), 0, 1), 7, 0))), 1, "")</f>
        <v/>
      </c>
      <c r="AX64" s="1" t="str">
        <f>IF(AND(AND(AND(AX$4&gt;='2025'!$L62,AX$4&lt;='2025'!$M62), AX$4&lt;&gt;DATE(2025,7,4)), (SWITCH(weekday(AX$4), 1, 0, 2, if(ISBLANK('2025'!$P62), 0, 1), 3, if(ISBLANK('2025'!$Q62), 0, 1), 4, if(ISBLANK('2025'!$R62), 0, 1), 5, if(ISBLANK('2025'!$S62), 0, 1), 6, if(ISBLANK('2025'!$T62), 0, 1), 7, 0))), 1, "")</f>
        <v/>
      </c>
      <c r="AY64" s="1" t="str">
        <f>IF(AND(AND(AND(AY$4&gt;='2025'!$L62,AY$4&lt;='2025'!$M62), AY$4&lt;&gt;DATE(2025,7,4)), (SWITCH(weekday(AY$4), 1, 0, 2, if(ISBLANK('2025'!$P62), 0, 1), 3, if(ISBLANK('2025'!$Q62), 0, 1), 4, if(ISBLANK('2025'!$R62), 0, 1), 5, if(ISBLANK('2025'!$S62), 0, 1), 6, if(ISBLANK('2025'!$T62), 0, 1), 7, 0))), 1, "")</f>
        <v/>
      </c>
      <c r="AZ64" s="1" t="str">
        <f>IF(AND(AND(AND(AZ$4&gt;='2025'!$L62,AZ$4&lt;='2025'!$M62), AZ$4&lt;&gt;DATE(2025,7,4)), (SWITCH(weekday(AZ$4), 1, 0, 2, if(ISBLANK('2025'!$P62), 0, 1), 3, if(ISBLANK('2025'!$Q62), 0, 1), 4, if(ISBLANK('2025'!$R62), 0, 1), 5, if(ISBLANK('2025'!$S62), 0, 1), 6, if(ISBLANK('2025'!$T62), 0, 1), 7, 0))), 1, "")</f>
        <v/>
      </c>
      <c r="BA64" s="1" t="str">
        <f>IF(AND(AND(AND(BA$4&gt;='2025'!$L62,BA$4&lt;='2025'!$M62), BA$4&lt;&gt;DATE(2025,7,4)), (SWITCH(weekday(BA$4), 1, 0, 2, if(ISBLANK('2025'!$P62), 0, 1), 3, if(ISBLANK('2025'!$Q62), 0, 1), 4, if(ISBLANK('2025'!$R62), 0, 1), 5, if(ISBLANK('2025'!$S62), 0, 1), 6, if(ISBLANK('2025'!$T62), 0, 1), 7, 0))), 1, "")</f>
        <v/>
      </c>
      <c r="BB64" s="1" t="str">
        <f>IF(AND(AND(AND(BB$4&gt;='2025'!$L62,BB$4&lt;='2025'!$M62), BB$4&lt;&gt;DATE(2025,7,4)), (SWITCH(weekday(BB$4), 1, 0, 2, if(ISBLANK('2025'!$P62), 0, 1), 3, if(ISBLANK('2025'!$Q62), 0, 1), 4, if(ISBLANK('2025'!$R62), 0, 1), 5, if(ISBLANK('2025'!$S62), 0, 1), 6, if(ISBLANK('2025'!$T62), 0, 1), 7, 0))), 1, "")</f>
        <v/>
      </c>
      <c r="BC64" s="1" t="str">
        <f>IF(AND(AND(AND(BC$4&gt;='2025'!$L62,BC$4&lt;='2025'!$M62), BC$4&lt;&gt;DATE(2025,7,4)), (SWITCH(weekday(BC$4), 1, 0, 2, if(ISBLANK('2025'!$P62), 0, 1), 3, if(ISBLANK('2025'!$Q62), 0, 1), 4, if(ISBLANK('2025'!$R62), 0, 1), 5, if(ISBLANK('2025'!$S62), 0, 1), 6, if(ISBLANK('2025'!$T62), 0, 1), 7, 0))), 1, "")</f>
        <v/>
      </c>
      <c r="BD64" s="1" t="str">
        <f>IF(AND(AND(AND(BD$4&gt;='2025'!$L62,BD$4&lt;='2025'!$M62), BD$4&lt;&gt;DATE(2025,7,4)), (SWITCH(weekday(BD$4), 1, 0, 2, if(ISBLANK('2025'!$P62), 0, 1), 3, if(ISBLANK('2025'!$Q62), 0, 1), 4, if(ISBLANK('2025'!$R62), 0, 1), 5, if(ISBLANK('2025'!$S62), 0, 1), 6, if(ISBLANK('2025'!$T62), 0, 1), 7, 0))), 1, "")</f>
        <v/>
      </c>
      <c r="BE64" s="1" t="str">
        <f>IF(AND(AND(AND(BE$4&gt;='2025'!$L62,BE$4&lt;='2025'!$M62), BE$4&lt;&gt;DATE(2025,7,4)), (SWITCH(weekday(BE$4), 1, 0, 2, if(ISBLANK('2025'!$P62), 0, 1), 3, if(ISBLANK('2025'!$Q62), 0, 1), 4, if(ISBLANK('2025'!$R62), 0, 1), 5, if(ISBLANK('2025'!$S62), 0, 1), 6, if(ISBLANK('2025'!$T62), 0, 1), 7, 0))), 1, "")</f>
        <v/>
      </c>
      <c r="BF64" s="1" t="str">
        <f>IF(AND(AND(AND(BF$4&gt;='2025'!$L62,BF$4&lt;='2025'!$M62), BF$4&lt;&gt;DATE(2025,7,4)), (SWITCH(weekday(BF$4), 1, 0, 2, if(ISBLANK('2025'!$P62), 0, 1), 3, if(ISBLANK('2025'!$Q62), 0, 1), 4, if(ISBLANK('2025'!$R62), 0, 1), 5, if(ISBLANK('2025'!$S62), 0, 1), 6, if(ISBLANK('2025'!$T62), 0, 1), 7, 0))), 1, "")</f>
        <v/>
      </c>
      <c r="BG64" s="1"/>
      <c r="BH64" s="1"/>
      <c r="BI64" s="1"/>
      <c r="BJ64" s="1"/>
      <c r="BK64" s="1"/>
      <c r="BL64" s="1"/>
    </row>
    <row r="65">
      <c r="A65" s="1">
        <f t="shared" si="3"/>
        <v>65</v>
      </c>
      <c r="B65" s="1" t="str">
        <f>'2025'!D63</f>
        <v>, </v>
      </c>
      <c r="C65" s="1" t="str">
        <f>'2025'!H63</f>
        <v/>
      </c>
      <c r="D65" s="1" t="str">
        <f>IF(AND(AND(AND(D$4&gt;='2025'!$L63,D$4&lt;='2025'!$M63), D$4&lt;&gt;DATE(2025,7,4)), (SWITCH(weekday(D$4), 1, 0, 2, if(ISBLANK('2025'!$P63), 0, 1), 3, if(ISBLANK('2025'!$Q63), 0, 1), 4, if(ISBLANK('2025'!$R63), 0, 1), 5, if(ISBLANK('2025'!$S63), 0, 1), 6, if(ISBLANK('2025'!$T63), 0, 1), 7, 0))), 1, "")</f>
        <v/>
      </c>
      <c r="E65" s="1" t="str">
        <f>IF(AND(AND(AND(E$4&gt;='2025'!$L63,E$4&lt;='2025'!$M63), E$4&lt;&gt;DATE(2025,7,4)), (SWITCH(weekday(E$4), 1, 0, 2, if(ISBLANK('2025'!$P63), 0, 1), 3, if(ISBLANK('2025'!$Q63), 0, 1), 4, if(ISBLANK('2025'!$R63), 0, 1), 5, if(ISBLANK('2025'!$S63), 0, 1), 6, if(ISBLANK('2025'!$T63), 0, 1), 7, 0))), 1, "")</f>
        <v/>
      </c>
      <c r="F65" s="1" t="str">
        <f>IF(AND(AND(AND(F$4&gt;='2025'!$L63,F$4&lt;='2025'!$M63), F$4&lt;&gt;DATE(2025,7,4)), (SWITCH(weekday(F$4), 1, 0, 2, if(ISBLANK('2025'!$P63), 0, 1), 3, if(ISBLANK('2025'!$Q63), 0, 1), 4, if(ISBLANK('2025'!$R63), 0, 1), 5, if(ISBLANK('2025'!$S63), 0, 1), 6, if(ISBLANK('2025'!$T63), 0, 1), 7, 0))), 1, "")</f>
        <v/>
      </c>
      <c r="G65" s="1" t="str">
        <f>IF(AND(AND(AND(G$4&gt;='2025'!$L63,G$4&lt;='2025'!$M63), G$4&lt;&gt;DATE(2025,7,4)), (SWITCH(weekday(G$4), 1, 0, 2, if(ISBLANK('2025'!$P63), 0, 1), 3, if(ISBLANK('2025'!$Q63), 0, 1), 4, if(ISBLANK('2025'!$R63), 0, 1), 5, if(ISBLANK('2025'!$S63), 0, 1), 6, if(ISBLANK('2025'!$T63), 0, 1), 7, 0))), 1, "")</f>
        <v/>
      </c>
      <c r="H65" s="1" t="str">
        <f>IF(AND(AND(AND(H$4&gt;='2025'!$L63,H$4&lt;='2025'!$M63), H$4&lt;&gt;DATE(2025,7,4)), (SWITCH(weekday(H$4), 1, 0, 2, if(ISBLANK('2025'!$P63), 0, 1), 3, if(ISBLANK('2025'!$Q63), 0, 1), 4, if(ISBLANK('2025'!$R63), 0, 1), 5, if(ISBLANK('2025'!$S63), 0, 1), 6, if(ISBLANK('2025'!$T63), 0, 1), 7, 0))), 1, "")</f>
        <v/>
      </c>
      <c r="I65" s="1" t="str">
        <f>IF(AND(AND(AND(I$4&gt;='2025'!$L63,I$4&lt;='2025'!$M63), I$4&lt;&gt;DATE(2025,7,4)), (SWITCH(weekday(I$4), 1, 0, 2, if(ISBLANK('2025'!$P63), 0, 1), 3, if(ISBLANK('2025'!$Q63), 0, 1), 4, if(ISBLANK('2025'!$R63), 0, 1), 5, if(ISBLANK('2025'!$S63), 0, 1), 6, if(ISBLANK('2025'!$T63), 0, 1), 7, 0))), 1, "")</f>
        <v/>
      </c>
      <c r="J65" s="1" t="str">
        <f>IF(AND(AND(AND(J$4&gt;='2025'!$L63,J$4&lt;='2025'!$M63), J$4&lt;&gt;DATE(2025,7,4)), (SWITCH(weekday(J$4), 1, 0, 2, if(ISBLANK('2025'!$P63), 0, 1), 3, if(ISBLANK('2025'!$Q63), 0, 1), 4, if(ISBLANK('2025'!$R63), 0, 1), 5, if(ISBLANK('2025'!$S63), 0, 1), 6, if(ISBLANK('2025'!$T63), 0, 1), 7, 0))), 1, "")</f>
        <v/>
      </c>
      <c r="K65" s="1" t="str">
        <f>IF(AND(AND(AND(K$4&gt;='2025'!$L63,K$4&lt;='2025'!$M63), K$4&lt;&gt;DATE(2025,7,4)), (SWITCH(weekday(K$4), 1, 0, 2, if(ISBLANK('2025'!$P63), 0, 1), 3, if(ISBLANK('2025'!$Q63), 0, 1), 4, if(ISBLANK('2025'!$R63), 0, 1), 5, if(ISBLANK('2025'!$S63), 0, 1), 6, if(ISBLANK('2025'!$T63), 0, 1), 7, 0))), 1, "")</f>
        <v/>
      </c>
      <c r="L65" s="1" t="str">
        <f>IF(AND(AND(AND(L$4&gt;='2025'!$L63,L$4&lt;='2025'!$M63), L$4&lt;&gt;DATE(2025,7,4)), (SWITCH(weekday(L$4), 1, 0, 2, if(ISBLANK('2025'!$P63), 0, 1), 3, if(ISBLANK('2025'!$Q63), 0, 1), 4, if(ISBLANK('2025'!$R63), 0, 1), 5, if(ISBLANK('2025'!$S63), 0, 1), 6, if(ISBLANK('2025'!$T63), 0, 1), 7, 0))), 1, "")</f>
        <v/>
      </c>
      <c r="M65" s="1" t="str">
        <f>IF(AND(AND(AND(M$4&gt;='2025'!$L63,M$4&lt;='2025'!$M63), M$4&lt;&gt;DATE(2025,7,4)), (SWITCH(weekday(M$4), 1, 0, 2, if(ISBLANK('2025'!$P63), 0, 1), 3, if(ISBLANK('2025'!$Q63), 0, 1), 4, if(ISBLANK('2025'!$R63), 0, 1), 5, if(ISBLANK('2025'!$S63), 0, 1), 6, if(ISBLANK('2025'!$T63), 0, 1), 7, 0))), 1, "")</f>
        <v/>
      </c>
      <c r="N65" s="1" t="str">
        <f>IF(AND(AND(AND(N$4&gt;='2025'!$L63,N$4&lt;='2025'!$M63), N$4&lt;&gt;DATE(2025,7,4)), (SWITCH(weekday(N$4), 1, 0, 2, if(ISBLANK('2025'!$P63), 0, 1), 3, if(ISBLANK('2025'!$Q63), 0, 1), 4, if(ISBLANK('2025'!$R63), 0, 1), 5, if(ISBLANK('2025'!$S63), 0, 1), 6, if(ISBLANK('2025'!$T63), 0, 1), 7, 0))), 1, "")</f>
        <v/>
      </c>
      <c r="O65" s="1" t="str">
        <f>IF(AND(AND(AND(O$4&gt;='2025'!$L63,O$4&lt;='2025'!$M63), O$4&lt;&gt;DATE(2025,7,4)), (SWITCH(weekday(O$4), 1, 0, 2, if(ISBLANK('2025'!$P63), 0, 1), 3, if(ISBLANK('2025'!$Q63), 0, 1), 4, if(ISBLANK('2025'!$R63), 0, 1), 5, if(ISBLANK('2025'!$S63), 0, 1), 6, if(ISBLANK('2025'!$T63), 0, 1), 7, 0))), 1, "")</f>
        <v/>
      </c>
      <c r="P65" s="1" t="str">
        <f>IF(AND(AND(AND(P$4&gt;='2025'!$L63,P$4&lt;='2025'!$M63), P$4&lt;&gt;DATE(2025,7,4)), (SWITCH(weekday(P$4), 1, 0, 2, if(ISBLANK('2025'!$P63), 0, 1), 3, if(ISBLANK('2025'!$Q63), 0, 1), 4, if(ISBLANK('2025'!$R63), 0, 1), 5, if(ISBLANK('2025'!$S63), 0, 1), 6, if(ISBLANK('2025'!$T63), 0, 1), 7, 0))), 1, "")</f>
        <v/>
      </c>
      <c r="Q65" s="1" t="str">
        <f>IF(AND(AND(AND(Q$4&gt;='2025'!$L63,Q$4&lt;='2025'!$M63), Q$4&lt;&gt;DATE(2025,7,4)), (SWITCH(weekday(Q$4), 1, 0, 2, if(ISBLANK('2025'!$P63), 0, 1), 3, if(ISBLANK('2025'!$Q63), 0, 1), 4, if(ISBLANK('2025'!$R63), 0, 1), 5, if(ISBLANK('2025'!$S63), 0, 1), 6, if(ISBLANK('2025'!$T63), 0, 1), 7, 0))), 1, "")</f>
        <v/>
      </c>
      <c r="R65" s="1" t="str">
        <f>IF(AND(AND(AND(R$4&gt;='2025'!$L63,R$4&lt;='2025'!$M63), R$4&lt;&gt;DATE(2025,7,4)), (SWITCH(weekday(R$4), 1, 0, 2, if(ISBLANK('2025'!$P63), 0, 1), 3, if(ISBLANK('2025'!$Q63), 0, 1), 4, if(ISBLANK('2025'!$R63), 0, 1), 5, if(ISBLANK('2025'!$S63), 0, 1), 6, if(ISBLANK('2025'!$T63), 0, 1), 7, 0))), 1, "")</f>
        <v/>
      </c>
      <c r="S65" s="1" t="str">
        <f>IF(AND(AND(AND(S$4&gt;='2025'!$L63,S$4&lt;='2025'!$M63), S$4&lt;&gt;DATE(2025,7,4)), (SWITCH(weekday(S$4), 1, 0, 2, if(ISBLANK('2025'!$P63), 0, 1), 3, if(ISBLANK('2025'!$Q63), 0, 1), 4, if(ISBLANK('2025'!$R63), 0, 1), 5, if(ISBLANK('2025'!$S63), 0, 1), 6, if(ISBLANK('2025'!$T63), 0, 1), 7, 0))), 1, "")</f>
        <v/>
      </c>
      <c r="T65" s="1" t="str">
        <f>IF(AND(AND(AND(T$4&gt;='2025'!$L63,T$4&lt;='2025'!$M63), T$4&lt;&gt;DATE(2025,7,4)), (SWITCH(weekday(T$4), 1, 0, 2, if(ISBLANK('2025'!$P63), 0, 1), 3, if(ISBLANK('2025'!$Q63), 0, 1), 4, if(ISBLANK('2025'!$R63), 0, 1), 5, if(ISBLANK('2025'!$S63), 0, 1), 6, if(ISBLANK('2025'!$T63), 0, 1), 7, 0))), 1, "")</f>
        <v/>
      </c>
      <c r="U65" s="1" t="str">
        <f>IF(AND(AND(AND(U$4&gt;='2025'!$L63,U$4&lt;='2025'!$M63), U$4&lt;&gt;DATE(2025,7,4)), (SWITCH(weekday(U$4), 1, 0, 2, if(ISBLANK('2025'!$P63), 0, 1), 3, if(ISBLANK('2025'!$Q63), 0, 1), 4, if(ISBLANK('2025'!$R63), 0, 1), 5, if(ISBLANK('2025'!$S63), 0, 1), 6, if(ISBLANK('2025'!$T63), 0, 1), 7, 0))), 1, "")</f>
        <v/>
      </c>
      <c r="V65" s="1" t="str">
        <f>IF(AND(AND(AND(V$4&gt;='2025'!$L63,V$4&lt;='2025'!$M63), V$4&lt;&gt;DATE(2025,7,4)), (SWITCH(weekday(V$4), 1, 0, 2, if(ISBLANK('2025'!$P63), 0, 1), 3, if(ISBLANK('2025'!$Q63), 0, 1), 4, if(ISBLANK('2025'!$R63), 0, 1), 5, if(ISBLANK('2025'!$S63), 0, 1), 6, if(ISBLANK('2025'!$T63), 0, 1), 7, 0))), 1, "")</f>
        <v/>
      </c>
      <c r="W65" s="1" t="str">
        <f>IF(AND(AND(AND(W$4&gt;='2025'!$L63,W$4&lt;='2025'!$M63), W$4&lt;&gt;DATE(2025,7,4)), (SWITCH(weekday(W$4), 1, 0, 2, if(ISBLANK('2025'!$P63), 0, 1), 3, if(ISBLANK('2025'!$Q63), 0, 1), 4, if(ISBLANK('2025'!$R63), 0, 1), 5, if(ISBLANK('2025'!$S63), 0, 1), 6, if(ISBLANK('2025'!$T63), 0, 1), 7, 0))), 1, "")</f>
        <v/>
      </c>
      <c r="X65" s="1" t="str">
        <f>IF(AND(AND(AND(X$4&gt;='2025'!$L63,X$4&lt;='2025'!$M63), X$4&lt;&gt;DATE(2025,7,4)), (SWITCH(weekday(X$4), 1, 0, 2, if(ISBLANK('2025'!$P63), 0, 1), 3, if(ISBLANK('2025'!$Q63), 0, 1), 4, if(ISBLANK('2025'!$R63), 0, 1), 5, if(ISBLANK('2025'!$S63), 0, 1), 6, if(ISBLANK('2025'!$T63), 0, 1), 7, 0))), 1, "")</f>
        <v/>
      </c>
      <c r="Y65" s="1" t="str">
        <f>IF(AND(AND(AND(Y$4&gt;='2025'!$L63,Y$4&lt;='2025'!$M63), Y$4&lt;&gt;DATE(2025,7,4)), (SWITCH(weekday(Y$4), 1, 0, 2, if(ISBLANK('2025'!$P63), 0, 1), 3, if(ISBLANK('2025'!$Q63), 0, 1), 4, if(ISBLANK('2025'!$R63), 0, 1), 5, if(ISBLANK('2025'!$S63), 0, 1), 6, if(ISBLANK('2025'!$T63), 0, 1), 7, 0))), 1, "")</f>
        <v/>
      </c>
      <c r="Z65" s="1" t="str">
        <f>IF(AND(AND(AND(Z$4&gt;='2025'!$L63,Z$4&lt;='2025'!$M63), Z$4&lt;&gt;DATE(2025,7,4)), (SWITCH(weekday(Z$4), 1, 0, 2, if(ISBLANK('2025'!$P63), 0, 1), 3, if(ISBLANK('2025'!$Q63), 0, 1), 4, if(ISBLANK('2025'!$R63), 0, 1), 5, if(ISBLANK('2025'!$S63), 0, 1), 6, if(ISBLANK('2025'!$T63), 0, 1), 7, 0))), 1, "")</f>
        <v/>
      </c>
      <c r="AA65" s="1" t="str">
        <f>IF(AND(AND(AND(AA$4&gt;='2025'!$L63,AA$4&lt;='2025'!$M63), AA$4&lt;&gt;DATE(2025,7,4)), (SWITCH(weekday(AA$4), 1, 0, 2, if(ISBLANK('2025'!$P63), 0, 1), 3, if(ISBLANK('2025'!$Q63), 0, 1), 4, if(ISBLANK('2025'!$R63), 0, 1), 5, if(ISBLANK('2025'!$S63), 0, 1), 6, if(ISBLANK('2025'!$T63), 0, 1), 7, 0))), 1, "")</f>
        <v/>
      </c>
      <c r="AB65" s="1" t="str">
        <f>IF(AND(AND(AND(AB$4&gt;='2025'!$L63,AB$4&lt;='2025'!$M63), AB$4&lt;&gt;DATE(2025,7,4)), (SWITCH(weekday(AB$4), 1, 0, 2, if(ISBLANK('2025'!$P63), 0, 1), 3, if(ISBLANK('2025'!$Q63), 0, 1), 4, if(ISBLANK('2025'!$R63), 0, 1), 5, if(ISBLANK('2025'!$S63), 0, 1), 6, if(ISBLANK('2025'!$T63), 0, 1), 7, 0))), 1, "")</f>
        <v/>
      </c>
      <c r="AC65" s="1" t="str">
        <f>IF(AND(AND(AND(AC$4&gt;='2025'!$L63,AC$4&lt;='2025'!$M63), AC$4&lt;&gt;DATE(2025,7,4)), (SWITCH(weekday(AC$4), 1, 0, 2, if(ISBLANK('2025'!$P63), 0, 1), 3, if(ISBLANK('2025'!$Q63), 0, 1), 4, if(ISBLANK('2025'!$R63), 0, 1), 5, if(ISBLANK('2025'!$S63), 0, 1), 6, if(ISBLANK('2025'!$T63), 0, 1), 7, 0))), 1, "")</f>
        <v/>
      </c>
      <c r="AD65" s="1" t="str">
        <f>IF(AND(AND(AND(AD$4&gt;='2025'!$L63,AD$4&lt;='2025'!$M63), AD$4&lt;&gt;DATE(2025,7,4)), (SWITCH(weekday(AD$4), 1, 0, 2, if(ISBLANK('2025'!$P63), 0, 1), 3, if(ISBLANK('2025'!$Q63), 0, 1), 4, if(ISBLANK('2025'!$R63), 0, 1), 5, if(ISBLANK('2025'!$S63), 0, 1), 6, if(ISBLANK('2025'!$T63), 0, 1), 7, 0))), 1, "")</f>
        <v/>
      </c>
      <c r="AE65" s="1" t="str">
        <f>IF(AND(AND(AND(AE$4&gt;='2025'!$L63,AE$4&lt;='2025'!$M63), AE$4&lt;&gt;DATE(2025,7,4)), (SWITCH(weekday(AE$4), 1, 0, 2, if(ISBLANK('2025'!$P63), 0, 1), 3, if(ISBLANK('2025'!$Q63), 0, 1), 4, if(ISBLANK('2025'!$R63), 0, 1), 5, if(ISBLANK('2025'!$S63), 0, 1), 6, if(ISBLANK('2025'!$T63), 0, 1), 7, 0))), 1, "")</f>
        <v/>
      </c>
      <c r="AF65" s="1" t="str">
        <f>IF(AND(AND(AND(AF$4&gt;='2025'!$L63,AF$4&lt;='2025'!$M63), AF$4&lt;&gt;DATE(2025,7,4)), (SWITCH(weekday(AF$4), 1, 0, 2, if(ISBLANK('2025'!$P63), 0, 1), 3, if(ISBLANK('2025'!$Q63), 0, 1), 4, if(ISBLANK('2025'!$R63), 0, 1), 5, if(ISBLANK('2025'!$S63), 0, 1), 6, if(ISBLANK('2025'!$T63), 0, 1), 7, 0))), 1, "")</f>
        <v/>
      </c>
      <c r="AG65" s="1" t="str">
        <f>IF(AND(AND(AND(AG$4&gt;='2025'!$L63,AG$4&lt;='2025'!$M63), AG$4&lt;&gt;DATE(2025,7,4)), (SWITCH(weekday(AG$4), 1, 0, 2, if(ISBLANK('2025'!$P63), 0, 1), 3, if(ISBLANK('2025'!$Q63), 0, 1), 4, if(ISBLANK('2025'!$R63), 0, 1), 5, if(ISBLANK('2025'!$S63), 0, 1), 6, if(ISBLANK('2025'!$T63), 0, 1), 7, 0))), 1, "")</f>
        <v/>
      </c>
      <c r="AH65" s="1" t="str">
        <f>IF(AND(AND(AND(AH$4&gt;='2025'!$L63,AH$4&lt;='2025'!$M63), AH$4&lt;&gt;DATE(2025,7,4)), (SWITCH(weekday(AH$4), 1, 0, 2, if(ISBLANK('2025'!$P63), 0, 1), 3, if(ISBLANK('2025'!$Q63), 0, 1), 4, if(ISBLANK('2025'!$R63), 0, 1), 5, if(ISBLANK('2025'!$S63), 0, 1), 6, if(ISBLANK('2025'!$T63), 0, 1), 7, 0))), 1, "")</f>
        <v/>
      </c>
      <c r="AI65" s="1" t="str">
        <f>IF(AND(AND(AND(AI$4&gt;='2025'!$L63,AI$4&lt;='2025'!$M63), AI$4&lt;&gt;DATE(2025,7,4)), (SWITCH(weekday(AI$4), 1, 0, 2, if(ISBLANK('2025'!$P63), 0, 1), 3, if(ISBLANK('2025'!$Q63), 0, 1), 4, if(ISBLANK('2025'!$R63), 0, 1), 5, if(ISBLANK('2025'!$S63), 0, 1), 6, if(ISBLANK('2025'!$T63), 0, 1), 7, 0))), 1, "")</f>
        <v/>
      </c>
      <c r="AJ65" s="1" t="str">
        <f>IF(AND(AND(AND(AJ$4&gt;='2025'!$L63,AJ$4&lt;='2025'!$M63), AJ$4&lt;&gt;DATE(2025,7,4)), (SWITCH(weekday(AJ$4), 1, 0, 2, if(ISBLANK('2025'!$P63), 0, 1), 3, if(ISBLANK('2025'!$Q63), 0, 1), 4, if(ISBLANK('2025'!$R63), 0, 1), 5, if(ISBLANK('2025'!$S63), 0, 1), 6, if(ISBLANK('2025'!$T63), 0, 1), 7, 0))), 1, "")</f>
        <v/>
      </c>
      <c r="AK65" s="1" t="str">
        <f>IF(AND(AND(AND(AK$4&gt;='2025'!$L63,AK$4&lt;='2025'!$M63), AK$4&lt;&gt;DATE(2025,7,4)), (SWITCH(weekday(AK$4), 1, 0, 2, if(ISBLANK('2025'!$P63), 0, 1), 3, if(ISBLANK('2025'!$Q63), 0, 1), 4, if(ISBLANK('2025'!$R63), 0, 1), 5, if(ISBLANK('2025'!$S63), 0, 1), 6, if(ISBLANK('2025'!$T63), 0, 1), 7, 0))), 1, "")</f>
        <v/>
      </c>
      <c r="AL65" s="1" t="str">
        <f>IF(AND(AND(AND(AL$4&gt;='2025'!$L63,AL$4&lt;='2025'!$M63), AL$4&lt;&gt;DATE(2025,7,4)), (SWITCH(weekday(AL$4), 1, 0, 2, if(ISBLANK('2025'!$P63), 0, 1), 3, if(ISBLANK('2025'!$Q63), 0, 1), 4, if(ISBLANK('2025'!$R63), 0, 1), 5, if(ISBLANK('2025'!$S63), 0, 1), 6, if(ISBLANK('2025'!$T63), 0, 1), 7, 0))), 1, "")</f>
        <v/>
      </c>
      <c r="AM65" s="1" t="str">
        <f>IF(AND(AND(AND(AM$4&gt;='2025'!$L63,AM$4&lt;='2025'!$M63), AM$4&lt;&gt;DATE(2025,7,4)), (SWITCH(weekday(AM$4), 1, 0, 2, if(ISBLANK('2025'!$P63), 0, 1), 3, if(ISBLANK('2025'!$Q63), 0, 1), 4, if(ISBLANK('2025'!$R63), 0, 1), 5, if(ISBLANK('2025'!$S63), 0, 1), 6, if(ISBLANK('2025'!$T63), 0, 1), 7, 0))), 1, "")</f>
        <v/>
      </c>
      <c r="AN65" s="1" t="str">
        <f>IF(AND(AND(AND(AN$4&gt;='2025'!$L63,AN$4&lt;='2025'!$M63), AN$4&lt;&gt;DATE(2025,7,4)), (SWITCH(weekday(AN$4), 1, 0, 2, if(ISBLANK('2025'!$P63), 0, 1), 3, if(ISBLANK('2025'!$Q63), 0, 1), 4, if(ISBLANK('2025'!$R63), 0, 1), 5, if(ISBLANK('2025'!$S63), 0, 1), 6, if(ISBLANK('2025'!$T63), 0, 1), 7, 0))), 1, "")</f>
        <v/>
      </c>
      <c r="AO65" s="1" t="str">
        <f>IF(AND(AND(AND(AO$4&gt;='2025'!$L63,AO$4&lt;='2025'!$M63), AO$4&lt;&gt;DATE(2025,7,4)), (SWITCH(weekday(AO$4), 1, 0, 2, if(ISBLANK('2025'!$P63), 0, 1), 3, if(ISBLANK('2025'!$Q63), 0, 1), 4, if(ISBLANK('2025'!$R63), 0, 1), 5, if(ISBLANK('2025'!$S63), 0, 1), 6, if(ISBLANK('2025'!$T63), 0, 1), 7, 0))), 1, "")</f>
        <v/>
      </c>
      <c r="AP65" s="1" t="str">
        <f>IF(AND(AND(AND(AP$4&gt;='2025'!$L63,AP$4&lt;='2025'!$M63), AP$4&lt;&gt;DATE(2025,7,4)), (SWITCH(weekday(AP$4), 1, 0, 2, if(ISBLANK('2025'!$P63), 0, 1), 3, if(ISBLANK('2025'!$Q63), 0, 1), 4, if(ISBLANK('2025'!$R63), 0, 1), 5, if(ISBLANK('2025'!$S63), 0, 1), 6, if(ISBLANK('2025'!$T63), 0, 1), 7, 0))), 1, "")</f>
        <v/>
      </c>
      <c r="AQ65" s="1" t="str">
        <f>IF(AND(AND(AND(AQ$4&gt;='2025'!$L63,AQ$4&lt;='2025'!$M63), AQ$4&lt;&gt;DATE(2025,7,4)), (SWITCH(weekday(AQ$4), 1, 0, 2, if(ISBLANK('2025'!$P63), 0, 1), 3, if(ISBLANK('2025'!$Q63), 0, 1), 4, if(ISBLANK('2025'!$R63), 0, 1), 5, if(ISBLANK('2025'!$S63), 0, 1), 6, if(ISBLANK('2025'!$T63), 0, 1), 7, 0))), 1, "")</f>
        <v/>
      </c>
      <c r="AR65" s="1" t="str">
        <f>IF(AND(AND(AND(AR$4&gt;='2025'!$L63,AR$4&lt;='2025'!$M63), AR$4&lt;&gt;DATE(2025,7,4)), (SWITCH(weekday(AR$4), 1, 0, 2, if(ISBLANK('2025'!$P63), 0, 1), 3, if(ISBLANK('2025'!$Q63), 0, 1), 4, if(ISBLANK('2025'!$R63), 0, 1), 5, if(ISBLANK('2025'!$S63), 0, 1), 6, if(ISBLANK('2025'!$T63), 0, 1), 7, 0))), 1, "")</f>
        <v/>
      </c>
      <c r="AS65" s="1" t="str">
        <f>IF(AND(AND(AND(AS$4&gt;='2025'!$L63,AS$4&lt;='2025'!$M63), AS$4&lt;&gt;DATE(2025,7,4)), (SWITCH(weekday(AS$4), 1, 0, 2, if(ISBLANK('2025'!$P63), 0, 1), 3, if(ISBLANK('2025'!$Q63), 0, 1), 4, if(ISBLANK('2025'!$R63), 0, 1), 5, if(ISBLANK('2025'!$S63), 0, 1), 6, if(ISBLANK('2025'!$T63), 0, 1), 7, 0))), 1, "")</f>
        <v/>
      </c>
      <c r="AT65" s="1" t="str">
        <f>IF(AND(AND(AND(AT$4&gt;='2025'!$L63,AT$4&lt;='2025'!$M63), AT$4&lt;&gt;DATE(2025,7,4)), (SWITCH(weekday(AT$4), 1, 0, 2, if(ISBLANK('2025'!$P63), 0, 1), 3, if(ISBLANK('2025'!$Q63), 0, 1), 4, if(ISBLANK('2025'!$R63), 0, 1), 5, if(ISBLANK('2025'!$S63), 0, 1), 6, if(ISBLANK('2025'!$T63), 0, 1), 7, 0))), 1, "")</f>
        <v/>
      </c>
      <c r="AU65" s="1" t="str">
        <f>IF(AND(AND(AND(AU$4&gt;='2025'!$L63,AU$4&lt;='2025'!$M63), AU$4&lt;&gt;DATE(2025,7,4)), (SWITCH(weekday(AU$4), 1, 0, 2, if(ISBLANK('2025'!$P63), 0, 1), 3, if(ISBLANK('2025'!$Q63), 0, 1), 4, if(ISBLANK('2025'!$R63), 0, 1), 5, if(ISBLANK('2025'!$S63), 0, 1), 6, if(ISBLANK('2025'!$T63), 0, 1), 7, 0))), 1, "")</f>
        <v/>
      </c>
      <c r="AV65" s="1" t="str">
        <f>IF(AND(AND(AND(AV$4&gt;='2025'!$L63,AV$4&lt;='2025'!$M63), AV$4&lt;&gt;DATE(2025,7,4)), (SWITCH(weekday(AV$4), 1, 0, 2, if(ISBLANK('2025'!$P63), 0, 1), 3, if(ISBLANK('2025'!$Q63), 0, 1), 4, if(ISBLANK('2025'!$R63), 0, 1), 5, if(ISBLANK('2025'!$S63), 0, 1), 6, if(ISBLANK('2025'!$T63), 0, 1), 7, 0))), 1, "")</f>
        <v/>
      </c>
      <c r="AW65" s="1" t="str">
        <f>IF(AND(AND(AND(AW$4&gt;='2025'!$L63,AW$4&lt;='2025'!$M63), AW$4&lt;&gt;DATE(2025,7,4)), (SWITCH(weekday(AW$4), 1, 0, 2, if(ISBLANK('2025'!$P63), 0, 1), 3, if(ISBLANK('2025'!$Q63), 0, 1), 4, if(ISBLANK('2025'!$R63), 0, 1), 5, if(ISBLANK('2025'!$S63), 0, 1), 6, if(ISBLANK('2025'!$T63), 0, 1), 7, 0))), 1, "")</f>
        <v/>
      </c>
      <c r="AX65" s="1" t="str">
        <f>IF(AND(AND(AND(AX$4&gt;='2025'!$L63,AX$4&lt;='2025'!$M63), AX$4&lt;&gt;DATE(2025,7,4)), (SWITCH(weekday(AX$4), 1, 0, 2, if(ISBLANK('2025'!$P63), 0, 1), 3, if(ISBLANK('2025'!$Q63), 0, 1), 4, if(ISBLANK('2025'!$R63), 0, 1), 5, if(ISBLANK('2025'!$S63), 0, 1), 6, if(ISBLANK('2025'!$T63), 0, 1), 7, 0))), 1, "")</f>
        <v/>
      </c>
      <c r="AY65" s="1" t="str">
        <f>IF(AND(AND(AND(AY$4&gt;='2025'!$L63,AY$4&lt;='2025'!$M63), AY$4&lt;&gt;DATE(2025,7,4)), (SWITCH(weekday(AY$4), 1, 0, 2, if(ISBLANK('2025'!$P63), 0, 1), 3, if(ISBLANK('2025'!$Q63), 0, 1), 4, if(ISBLANK('2025'!$R63), 0, 1), 5, if(ISBLANK('2025'!$S63), 0, 1), 6, if(ISBLANK('2025'!$T63), 0, 1), 7, 0))), 1, "")</f>
        <v/>
      </c>
      <c r="AZ65" s="1" t="str">
        <f>IF(AND(AND(AND(AZ$4&gt;='2025'!$L63,AZ$4&lt;='2025'!$M63), AZ$4&lt;&gt;DATE(2025,7,4)), (SWITCH(weekday(AZ$4), 1, 0, 2, if(ISBLANK('2025'!$P63), 0, 1), 3, if(ISBLANK('2025'!$Q63), 0, 1), 4, if(ISBLANK('2025'!$R63), 0, 1), 5, if(ISBLANK('2025'!$S63), 0, 1), 6, if(ISBLANK('2025'!$T63), 0, 1), 7, 0))), 1, "")</f>
        <v/>
      </c>
      <c r="BA65" s="1" t="str">
        <f>IF(AND(AND(AND(BA$4&gt;='2025'!$L63,BA$4&lt;='2025'!$M63), BA$4&lt;&gt;DATE(2025,7,4)), (SWITCH(weekday(BA$4), 1, 0, 2, if(ISBLANK('2025'!$P63), 0, 1), 3, if(ISBLANK('2025'!$Q63), 0, 1), 4, if(ISBLANK('2025'!$R63), 0, 1), 5, if(ISBLANK('2025'!$S63), 0, 1), 6, if(ISBLANK('2025'!$T63), 0, 1), 7, 0))), 1, "")</f>
        <v/>
      </c>
      <c r="BB65" s="1" t="str">
        <f>IF(AND(AND(AND(BB$4&gt;='2025'!$L63,BB$4&lt;='2025'!$M63), BB$4&lt;&gt;DATE(2025,7,4)), (SWITCH(weekday(BB$4), 1, 0, 2, if(ISBLANK('2025'!$P63), 0, 1), 3, if(ISBLANK('2025'!$Q63), 0, 1), 4, if(ISBLANK('2025'!$R63), 0, 1), 5, if(ISBLANK('2025'!$S63), 0, 1), 6, if(ISBLANK('2025'!$T63), 0, 1), 7, 0))), 1, "")</f>
        <v/>
      </c>
      <c r="BC65" s="1" t="str">
        <f>IF(AND(AND(AND(BC$4&gt;='2025'!$L63,BC$4&lt;='2025'!$M63), BC$4&lt;&gt;DATE(2025,7,4)), (SWITCH(weekday(BC$4), 1, 0, 2, if(ISBLANK('2025'!$P63), 0, 1), 3, if(ISBLANK('2025'!$Q63), 0, 1), 4, if(ISBLANK('2025'!$R63), 0, 1), 5, if(ISBLANK('2025'!$S63), 0, 1), 6, if(ISBLANK('2025'!$T63), 0, 1), 7, 0))), 1, "")</f>
        <v/>
      </c>
      <c r="BD65" s="1" t="str">
        <f>IF(AND(AND(AND(BD$4&gt;='2025'!$L63,BD$4&lt;='2025'!$M63), BD$4&lt;&gt;DATE(2025,7,4)), (SWITCH(weekday(BD$4), 1, 0, 2, if(ISBLANK('2025'!$P63), 0, 1), 3, if(ISBLANK('2025'!$Q63), 0, 1), 4, if(ISBLANK('2025'!$R63), 0, 1), 5, if(ISBLANK('2025'!$S63), 0, 1), 6, if(ISBLANK('2025'!$T63), 0, 1), 7, 0))), 1, "")</f>
        <v/>
      </c>
      <c r="BE65" s="1" t="str">
        <f>IF(AND(AND(AND(BE$4&gt;='2025'!$L63,BE$4&lt;='2025'!$M63), BE$4&lt;&gt;DATE(2025,7,4)), (SWITCH(weekday(BE$4), 1, 0, 2, if(ISBLANK('2025'!$P63), 0, 1), 3, if(ISBLANK('2025'!$Q63), 0, 1), 4, if(ISBLANK('2025'!$R63), 0, 1), 5, if(ISBLANK('2025'!$S63), 0, 1), 6, if(ISBLANK('2025'!$T63), 0, 1), 7, 0))), 1, "")</f>
        <v/>
      </c>
      <c r="BF65" s="1" t="str">
        <f>IF(AND(AND(AND(BF$4&gt;='2025'!$L63,BF$4&lt;='2025'!$M63), BF$4&lt;&gt;DATE(2025,7,4)), (SWITCH(weekday(BF$4), 1, 0, 2, if(ISBLANK('2025'!$P63), 0, 1), 3, if(ISBLANK('2025'!$Q63), 0, 1), 4, if(ISBLANK('2025'!$R63), 0, 1), 5, if(ISBLANK('2025'!$S63), 0, 1), 6, if(ISBLANK('2025'!$T63), 0, 1), 7, 0))), 1, "")</f>
        <v/>
      </c>
      <c r="BG65" s="1"/>
      <c r="BH65" s="1"/>
      <c r="BI65" s="1"/>
      <c r="BJ65" s="1"/>
      <c r="BK65" s="1"/>
      <c r="BL65" s="1"/>
    </row>
    <row r="66">
      <c r="A66" s="1">
        <f t="shared" si="3"/>
        <v>66</v>
      </c>
      <c r="B66" s="1" t="str">
        <f>'2025'!D64</f>
        <v>, </v>
      </c>
      <c r="C66" s="1" t="str">
        <f>'2025'!H64</f>
        <v/>
      </c>
      <c r="D66" s="1" t="str">
        <f>IF(AND(AND(AND(D$4&gt;='2025'!$L64,D$4&lt;='2025'!$M64), D$4&lt;&gt;DATE(2025,7,4)), (SWITCH(weekday(D$4), 1, 0, 2, if(ISBLANK('2025'!$P64), 0, 1), 3, if(ISBLANK('2025'!$Q64), 0, 1), 4, if(ISBLANK('2025'!$R64), 0, 1), 5, if(ISBLANK('2025'!$S64), 0, 1), 6, if(ISBLANK('2025'!$T64), 0, 1), 7, 0))), 1, "")</f>
        <v/>
      </c>
      <c r="E66" s="1" t="str">
        <f>IF(AND(AND(AND(E$4&gt;='2025'!$L64,E$4&lt;='2025'!$M64), E$4&lt;&gt;DATE(2025,7,4)), (SWITCH(weekday(E$4), 1, 0, 2, if(ISBLANK('2025'!$P64), 0, 1), 3, if(ISBLANK('2025'!$Q64), 0, 1), 4, if(ISBLANK('2025'!$R64), 0, 1), 5, if(ISBLANK('2025'!$S64), 0, 1), 6, if(ISBLANK('2025'!$T64), 0, 1), 7, 0))), 1, "")</f>
        <v/>
      </c>
      <c r="F66" s="1" t="str">
        <f>IF(AND(AND(AND(F$4&gt;='2025'!$L64,F$4&lt;='2025'!$M64), F$4&lt;&gt;DATE(2025,7,4)), (SWITCH(weekday(F$4), 1, 0, 2, if(ISBLANK('2025'!$P64), 0, 1), 3, if(ISBLANK('2025'!$Q64), 0, 1), 4, if(ISBLANK('2025'!$R64), 0, 1), 5, if(ISBLANK('2025'!$S64), 0, 1), 6, if(ISBLANK('2025'!$T64), 0, 1), 7, 0))), 1, "")</f>
        <v/>
      </c>
      <c r="G66" s="1" t="str">
        <f>IF(AND(AND(AND(G$4&gt;='2025'!$L64,G$4&lt;='2025'!$M64), G$4&lt;&gt;DATE(2025,7,4)), (SWITCH(weekday(G$4), 1, 0, 2, if(ISBLANK('2025'!$P64), 0, 1), 3, if(ISBLANK('2025'!$Q64), 0, 1), 4, if(ISBLANK('2025'!$R64), 0, 1), 5, if(ISBLANK('2025'!$S64), 0, 1), 6, if(ISBLANK('2025'!$T64), 0, 1), 7, 0))), 1, "")</f>
        <v/>
      </c>
      <c r="H66" s="1" t="str">
        <f>IF(AND(AND(AND(H$4&gt;='2025'!$L64,H$4&lt;='2025'!$M64), H$4&lt;&gt;DATE(2025,7,4)), (SWITCH(weekday(H$4), 1, 0, 2, if(ISBLANK('2025'!$P64), 0, 1), 3, if(ISBLANK('2025'!$Q64), 0, 1), 4, if(ISBLANK('2025'!$R64), 0, 1), 5, if(ISBLANK('2025'!$S64), 0, 1), 6, if(ISBLANK('2025'!$T64), 0, 1), 7, 0))), 1, "")</f>
        <v/>
      </c>
      <c r="I66" s="1" t="str">
        <f>IF(AND(AND(AND(I$4&gt;='2025'!$L64,I$4&lt;='2025'!$M64), I$4&lt;&gt;DATE(2025,7,4)), (SWITCH(weekday(I$4), 1, 0, 2, if(ISBLANK('2025'!$P64), 0, 1), 3, if(ISBLANK('2025'!$Q64), 0, 1), 4, if(ISBLANK('2025'!$R64), 0, 1), 5, if(ISBLANK('2025'!$S64), 0, 1), 6, if(ISBLANK('2025'!$T64), 0, 1), 7, 0))), 1, "")</f>
        <v/>
      </c>
      <c r="J66" s="1" t="str">
        <f>IF(AND(AND(AND(J$4&gt;='2025'!$L64,J$4&lt;='2025'!$M64), J$4&lt;&gt;DATE(2025,7,4)), (SWITCH(weekday(J$4), 1, 0, 2, if(ISBLANK('2025'!$P64), 0, 1), 3, if(ISBLANK('2025'!$Q64), 0, 1), 4, if(ISBLANK('2025'!$R64), 0, 1), 5, if(ISBLANK('2025'!$S64), 0, 1), 6, if(ISBLANK('2025'!$T64), 0, 1), 7, 0))), 1, "")</f>
        <v/>
      </c>
      <c r="K66" s="1" t="str">
        <f>IF(AND(AND(AND(K$4&gt;='2025'!$L64,K$4&lt;='2025'!$M64), K$4&lt;&gt;DATE(2025,7,4)), (SWITCH(weekday(K$4), 1, 0, 2, if(ISBLANK('2025'!$P64), 0, 1), 3, if(ISBLANK('2025'!$Q64), 0, 1), 4, if(ISBLANK('2025'!$R64), 0, 1), 5, if(ISBLANK('2025'!$S64), 0, 1), 6, if(ISBLANK('2025'!$T64), 0, 1), 7, 0))), 1, "")</f>
        <v/>
      </c>
      <c r="L66" s="1" t="str">
        <f>IF(AND(AND(AND(L$4&gt;='2025'!$L64,L$4&lt;='2025'!$M64), L$4&lt;&gt;DATE(2025,7,4)), (SWITCH(weekday(L$4), 1, 0, 2, if(ISBLANK('2025'!$P64), 0, 1), 3, if(ISBLANK('2025'!$Q64), 0, 1), 4, if(ISBLANK('2025'!$R64), 0, 1), 5, if(ISBLANK('2025'!$S64), 0, 1), 6, if(ISBLANK('2025'!$T64), 0, 1), 7, 0))), 1, "")</f>
        <v/>
      </c>
      <c r="M66" s="1" t="str">
        <f>IF(AND(AND(AND(M$4&gt;='2025'!$L64,M$4&lt;='2025'!$M64), M$4&lt;&gt;DATE(2025,7,4)), (SWITCH(weekday(M$4), 1, 0, 2, if(ISBLANK('2025'!$P64), 0, 1), 3, if(ISBLANK('2025'!$Q64), 0, 1), 4, if(ISBLANK('2025'!$R64), 0, 1), 5, if(ISBLANK('2025'!$S64), 0, 1), 6, if(ISBLANK('2025'!$T64), 0, 1), 7, 0))), 1, "")</f>
        <v/>
      </c>
      <c r="N66" s="1" t="str">
        <f>IF(AND(AND(AND(N$4&gt;='2025'!$L64,N$4&lt;='2025'!$M64), N$4&lt;&gt;DATE(2025,7,4)), (SWITCH(weekday(N$4), 1, 0, 2, if(ISBLANK('2025'!$P64), 0, 1), 3, if(ISBLANK('2025'!$Q64), 0, 1), 4, if(ISBLANK('2025'!$R64), 0, 1), 5, if(ISBLANK('2025'!$S64), 0, 1), 6, if(ISBLANK('2025'!$T64), 0, 1), 7, 0))), 1, "")</f>
        <v/>
      </c>
      <c r="O66" s="1" t="str">
        <f>IF(AND(AND(AND(O$4&gt;='2025'!$L64,O$4&lt;='2025'!$M64), O$4&lt;&gt;DATE(2025,7,4)), (SWITCH(weekday(O$4), 1, 0, 2, if(ISBLANK('2025'!$P64), 0, 1), 3, if(ISBLANK('2025'!$Q64), 0, 1), 4, if(ISBLANK('2025'!$R64), 0, 1), 5, if(ISBLANK('2025'!$S64), 0, 1), 6, if(ISBLANK('2025'!$T64), 0, 1), 7, 0))), 1, "")</f>
        <v/>
      </c>
      <c r="P66" s="1" t="str">
        <f>IF(AND(AND(AND(P$4&gt;='2025'!$L64,P$4&lt;='2025'!$M64), P$4&lt;&gt;DATE(2025,7,4)), (SWITCH(weekday(P$4), 1, 0, 2, if(ISBLANK('2025'!$P64), 0, 1), 3, if(ISBLANK('2025'!$Q64), 0, 1), 4, if(ISBLANK('2025'!$R64), 0, 1), 5, if(ISBLANK('2025'!$S64), 0, 1), 6, if(ISBLANK('2025'!$T64), 0, 1), 7, 0))), 1, "")</f>
        <v/>
      </c>
      <c r="Q66" s="1" t="str">
        <f>IF(AND(AND(AND(Q$4&gt;='2025'!$L64,Q$4&lt;='2025'!$M64), Q$4&lt;&gt;DATE(2025,7,4)), (SWITCH(weekday(Q$4), 1, 0, 2, if(ISBLANK('2025'!$P64), 0, 1), 3, if(ISBLANK('2025'!$Q64), 0, 1), 4, if(ISBLANK('2025'!$R64), 0, 1), 5, if(ISBLANK('2025'!$S64), 0, 1), 6, if(ISBLANK('2025'!$T64), 0, 1), 7, 0))), 1, "")</f>
        <v/>
      </c>
      <c r="R66" s="1" t="str">
        <f>IF(AND(AND(AND(R$4&gt;='2025'!$L64,R$4&lt;='2025'!$M64), R$4&lt;&gt;DATE(2025,7,4)), (SWITCH(weekday(R$4), 1, 0, 2, if(ISBLANK('2025'!$P64), 0, 1), 3, if(ISBLANK('2025'!$Q64), 0, 1), 4, if(ISBLANK('2025'!$R64), 0, 1), 5, if(ISBLANK('2025'!$S64), 0, 1), 6, if(ISBLANK('2025'!$T64), 0, 1), 7, 0))), 1, "")</f>
        <v/>
      </c>
      <c r="S66" s="1" t="str">
        <f>IF(AND(AND(AND(S$4&gt;='2025'!$L64,S$4&lt;='2025'!$M64), S$4&lt;&gt;DATE(2025,7,4)), (SWITCH(weekday(S$4), 1, 0, 2, if(ISBLANK('2025'!$P64), 0, 1), 3, if(ISBLANK('2025'!$Q64), 0, 1), 4, if(ISBLANK('2025'!$R64), 0, 1), 5, if(ISBLANK('2025'!$S64), 0, 1), 6, if(ISBLANK('2025'!$T64), 0, 1), 7, 0))), 1, "")</f>
        <v/>
      </c>
      <c r="T66" s="1" t="str">
        <f>IF(AND(AND(AND(T$4&gt;='2025'!$L64,T$4&lt;='2025'!$M64), T$4&lt;&gt;DATE(2025,7,4)), (SWITCH(weekday(T$4), 1, 0, 2, if(ISBLANK('2025'!$P64), 0, 1), 3, if(ISBLANK('2025'!$Q64), 0, 1), 4, if(ISBLANK('2025'!$R64), 0, 1), 5, if(ISBLANK('2025'!$S64), 0, 1), 6, if(ISBLANK('2025'!$T64), 0, 1), 7, 0))), 1, "")</f>
        <v/>
      </c>
      <c r="U66" s="1" t="str">
        <f>IF(AND(AND(AND(U$4&gt;='2025'!$L64,U$4&lt;='2025'!$M64), U$4&lt;&gt;DATE(2025,7,4)), (SWITCH(weekday(U$4), 1, 0, 2, if(ISBLANK('2025'!$P64), 0, 1), 3, if(ISBLANK('2025'!$Q64), 0, 1), 4, if(ISBLANK('2025'!$R64), 0, 1), 5, if(ISBLANK('2025'!$S64), 0, 1), 6, if(ISBLANK('2025'!$T64), 0, 1), 7, 0))), 1, "")</f>
        <v/>
      </c>
      <c r="V66" s="1" t="str">
        <f>IF(AND(AND(AND(V$4&gt;='2025'!$L64,V$4&lt;='2025'!$M64), V$4&lt;&gt;DATE(2025,7,4)), (SWITCH(weekday(V$4), 1, 0, 2, if(ISBLANK('2025'!$P64), 0, 1), 3, if(ISBLANK('2025'!$Q64), 0, 1), 4, if(ISBLANK('2025'!$R64), 0, 1), 5, if(ISBLANK('2025'!$S64), 0, 1), 6, if(ISBLANK('2025'!$T64), 0, 1), 7, 0))), 1, "")</f>
        <v/>
      </c>
      <c r="W66" s="1" t="str">
        <f>IF(AND(AND(AND(W$4&gt;='2025'!$L64,W$4&lt;='2025'!$M64), W$4&lt;&gt;DATE(2025,7,4)), (SWITCH(weekday(W$4), 1, 0, 2, if(ISBLANK('2025'!$P64), 0, 1), 3, if(ISBLANK('2025'!$Q64), 0, 1), 4, if(ISBLANK('2025'!$R64), 0, 1), 5, if(ISBLANK('2025'!$S64), 0, 1), 6, if(ISBLANK('2025'!$T64), 0, 1), 7, 0))), 1, "")</f>
        <v/>
      </c>
      <c r="X66" s="1" t="str">
        <f>IF(AND(AND(AND(X$4&gt;='2025'!$L64,X$4&lt;='2025'!$M64), X$4&lt;&gt;DATE(2025,7,4)), (SWITCH(weekday(X$4), 1, 0, 2, if(ISBLANK('2025'!$P64), 0, 1), 3, if(ISBLANK('2025'!$Q64), 0, 1), 4, if(ISBLANK('2025'!$R64), 0, 1), 5, if(ISBLANK('2025'!$S64), 0, 1), 6, if(ISBLANK('2025'!$T64), 0, 1), 7, 0))), 1, "")</f>
        <v/>
      </c>
      <c r="Y66" s="1" t="str">
        <f>IF(AND(AND(AND(Y$4&gt;='2025'!$L64,Y$4&lt;='2025'!$M64), Y$4&lt;&gt;DATE(2025,7,4)), (SWITCH(weekday(Y$4), 1, 0, 2, if(ISBLANK('2025'!$P64), 0, 1), 3, if(ISBLANK('2025'!$Q64), 0, 1), 4, if(ISBLANK('2025'!$R64), 0, 1), 5, if(ISBLANK('2025'!$S64), 0, 1), 6, if(ISBLANK('2025'!$T64), 0, 1), 7, 0))), 1, "")</f>
        <v/>
      </c>
      <c r="Z66" s="1" t="str">
        <f>IF(AND(AND(AND(Z$4&gt;='2025'!$L64,Z$4&lt;='2025'!$M64), Z$4&lt;&gt;DATE(2025,7,4)), (SWITCH(weekday(Z$4), 1, 0, 2, if(ISBLANK('2025'!$P64), 0, 1), 3, if(ISBLANK('2025'!$Q64), 0, 1), 4, if(ISBLANK('2025'!$R64), 0, 1), 5, if(ISBLANK('2025'!$S64), 0, 1), 6, if(ISBLANK('2025'!$T64), 0, 1), 7, 0))), 1, "")</f>
        <v/>
      </c>
      <c r="AA66" s="1" t="str">
        <f>IF(AND(AND(AND(AA$4&gt;='2025'!$L64,AA$4&lt;='2025'!$M64), AA$4&lt;&gt;DATE(2025,7,4)), (SWITCH(weekday(AA$4), 1, 0, 2, if(ISBLANK('2025'!$P64), 0, 1), 3, if(ISBLANK('2025'!$Q64), 0, 1), 4, if(ISBLANK('2025'!$R64), 0, 1), 5, if(ISBLANK('2025'!$S64), 0, 1), 6, if(ISBLANK('2025'!$T64), 0, 1), 7, 0))), 1, "")</f>
        <v/>
      </c>
      <c r="AB66" s="1" t="str">
        <f>IF(AND(AND(AND(AB$4&gt;='2025'!$L64,AB$4&lt;='2025'!$M64), AB$4&lt;&gt;DATE(2025,7,4)), (SWITCH(weekday(AB$4), 1, 0, 2, if(ISBLANK('2025'!$P64), 0, 1), 3, if(ISBLANK('2025'!$Q64), 0, 1), 4, if(ISBLANK('2025'!$R64), 0, 1), 5, if(ISBLANK('2025'!$S64), 0, 1), 6, if(ISBLANK('2025'!$T64), 0, 1), 7, 0))), 1, "")</f>
        <v/>
      </c>
      <c r="AC66" s="1" t="str">
        <f>IF(AND(AND(AND(AC$4&gt;='2025'!$L64,AC$4&lt;='2025'!$M64), AC$4&lt;&gt;DATE(2025,7,4)), (SWITCH(weekday(AC$4), 1, 0, 2, if(ISBLANK('2025'!$P64), 0, 1), 3, if(ISBLANK('2025'!$Q64), 0, 1), 4, if(ISBLANK('2025'!$R64), 0, 1), 5, if(ISBLANK('2025'!$S64), 0, 1), 6, if(ISBLANK('2025'!$T64), 0, 1), 7, 0))), 1, "")</f>
        <v/>
      </c>
      <c r="AD66" s="1" t="str">
        <f>IF(AND(AND(AND(AD$4&gt;='2025'!$L64,AD$4&lt;='2025'!$M64), AD$4&lt;&gt;DATE(2025,7,4)), (SWITCH(weekday(AD$4), 1, 0, 2, if(ISBLANK('2025'!$P64), 0, 1), 3, if(ISBLANK('2025'!$Q64), 0, 1), 4, if(ISBLANK('2025'!$R64), 0, 1), 5, if(ISBLANK('2025'!$S64), 0, 1), 6, if(ISBLANK('2025'!$T64), 0, 1), 7, 0))), 1, "")</f>
        <v/>
      </c>
      <c r="AE66" s="1" t="str">
        <f>IF(AND(AND(AND(AE$4&gt;='2025'!$L64,AE$4&lt;='2025'!$M64), AE$4&lt;&gt;DATE(2025,7,4)), (SWITCH(weekday(AE$4), 1, 0, 2, if(ISBLANK('2025'!$P64), 0, 1), 3, if(ISBLANK('2025'!$Q64), 0, 1), 4, if(ISBLANK('2025'!$R64), 0, 1), 5, if(ISBLANK('2025'!$S64), 0, 1), 6, if(ISBLANK('2025'!$T64), 0, 1), 7, 0))), 1, "")</f>
        <v/>
      </c>
      <c r="AF66" s="1" t="str">
        <f>IF(AND(AND(AND(AF$4&gt;='2025'!$L64,AF$4&lt;='2025'!$M64), AF$4&lt;&gt;DATE(2025,7,4)), (SWITCH(weekday(AF$4), 1, 0, 2, if(ISBLANK('2025'!$P64), 0, 1), 3, if(ISBLANK('2025'!$Q64), 0, 1), 4, if(ISBLANK('2025'!$R64), 0, 1), 5, if(ISBLANK('2025'!$S64), 0, 1), 6, if(ISBLANK('2025'!$T64), 0, 1), 7, 0))), 1, "")</f>
        <v/>
      </c>
      <c r="AG66" s="1" t="str">
        <f>IF(AND(AND(AND(AG$4&gt;='2025'!$L64,AG$4&lt;='2025'!$M64), AG$4&lt;&gt;DATE(2025,7,4)), (SWITCH(weekday(AG$4), 1, 0, 2, if(ISBLANK('2025'!$P64), 0, 1), 3, if(ISBLANK('2025'!$Q64), 0, 1), 4, if(ISBLANK('2025'!$R64), 0, 1), 5, if(ISBLANK('2025'!$S64), 0, 1), 6, if(ISBLANK('2025'!$T64), 0, 1), 7, 0))), 1, "")</f>
        <v/>
      </c>
      <c r="AH66" s="1" t="str">
        <f>IF(AND(AND(AND(AH$4&gt;='2025'!$L64,AH$4&lt;='2025'!$M64), AH$4&lt;&gt;DATE(2025,7,4)), (SWITCH(weekday(AH$4), 1, 0, 2, if(ISBLANK('2025'!$P64), 0, 1), 3, if(ISBLANK('2025'!$Q64), 0, 1), 4, if(ISBLANK('2025'!$R64), 0, 1), 5, if(ISBLANK('2025'!$S64), 0, 1), 6, if(ISBLANK('2025'!$T64), 0, 1), 7, 0))), 1, "")</f>
        <v/>
      </c>
      <c r="AI66" s="1" t="str">
        <f>IF(AND(AND(AND(AI$4&gt;='2025'!$L64,AI$4&lt;='2025'!$M64), AI$4&lt;&gt;DATE(2025,7,4)), (SWITCH(weekday(AI$4), 1, 0, 2, if(ISBLANK('2025'!$P64), 0, 1), 3, if(ISBLANK('2025'!$Q64), 0, 1), 4, if(ISBLANK('2025'!$R64), 0, 1), 5, if(ISBLANK('2025'!$S64), 0, 1), 6, if(ISBLANK('2025'!$T64), 0, 1), 7, 0))), 1, "")</f>
        <v/>
      </c>
      <c r="AJ66" s="1" t="str">
        <f>IF(AND(AND(AND(AJ$4&gt;='2025'!$L64,AJ$4&lt;='2025'!$M64), AJ$4&lt;&gt;DATE(2025,7,4)), (SWITCH(weekday(AJ$4), 1, 0, 2, if(ISBLANK('2025'!$P64), 0, 1), 3, if(ISBLANK('2025'!$Q64), 0, 1), 4, if(ISBLANK('2025'!$R64), 0, 1), 5, if(ISBLANK('2025'!$S64), 0, 1), 6, if(ISBLANK('2025'!$T64), 0, 1), 7, 0))), 1, "")</f>
        <v/>
      </c>
      <c r="AK66" s="1" t="str">
        <f>IF(AND(AND(AND(AK$4&gt;='2025'!$L64,AK$4&lt;='2025'!$M64), AK$4&lt;&gt;DATE(2025,7,4)), (SWITCH(weekday(AK$4), 1, 0, 2, if(ISBLANK('2025'!$P64), 0, 1), 3, if(ISBLANK('2025'!$Q64), 0, 1), 4, if(ISBLANK('2025'!$R64), 0, 1), 5, if(ISBLANK('2025'!$S64), 0, 1), 6, if(ISBLANK('2025'!$T64), 0, 1), 7, 0))), 1, "")</f>
        <v/>
      </c>
      <c r="AL66" s="1" t="str">
        <f>IF(AND(AND(AND(AL$4&gt;='2025'!$L64,AL$4&lt;='2025'!$M64), AL$4&lt;&gt;DATE(2025,7,4)), (SWITCH(weekday(AL$4), 1, 0, 2, if(ISBLANK('2025'!$P64), 0, 1), 3, if(ISBLANK('2025'!$Q64), 0, 1), 4, if(ISBLANK('2025'!$R64), 0, 1), 5, if(ISBLANK('2025'!$S64), 0, 1), 6, if(ISBLANK('2025'!$T64), 0, 1), 7, 0))), 1, "")</f>
        <v/>
      </c>
      <c r="AM66" s="1" t="str">
        <f>IF(AND(AND(AND(AM$4&gt;='2025'!$L64,AM$4&lt;='2025'!$M64), AM$4&lt;&gt;DATE(2025,7,4)), (SWITCH(weekday(AM$4), 1, 0, 2, if(ISBLANK('2025'!$P64), 0, 1), 3, if(ISBLANK('2025'!$Q64), 0, 1), 4, if(ISBLANK('2025'!$R64), 0, 1), 5, if(ISBLANK('2025'!$S64), 0, 1), 6, if(ISBLANK('2025'!$T64), 0, 1), 7, 0))), 1, "")</f>
        <v/>
      </c>
      <c r="AN66" s="1" t="str">
        <f>IF(AND(AND(AND(AN$4&gt;='2025'!$L64,AN$4&lt;='2025'!$M64), AN$4&lt;&gt;DATE(2025,7,4)), (SWITCH(weekday(AN$4), 1, 0, 2, if(ISBLANK('2025'!$P64), 0, 1), 3, if(ISBLANK('2025'!$Q64), 0, 1), 4, if(ISBLANK('2025'!$R64), 0, 1), 5, if(ISBLANK('2025'!$S64), 0, 1), 6, if(ISBLANK('2025'!$T64), 0, 1), 7, 0))), 1, "")</f>
        <v/>
      </c>
      <c r="AO66" s="1" t="str">
        <f>IF(AND(AND(AND(AO$4&gt;='2025'!$L64,AO$4&lt;='2025'!$M64), AO$4&lt;&gt;DATE(2025,7,4)), (SWITCH(weekday(AO$4), 1, 0, 2, if(ISBLANK('2025'!$P64), 0, 1), 3, if(ISBLANK('2025'!$Q64), 0, 1), 4, if(ISBLANK('2025'!$R64), 0, 1), 5, if(ISBLANK('2025'!$S64), 0, 1), 6, if(ISBLANK('2025'!$T64), 0, 1), 7, 0))), 1, "")</f>
        <v/>
      </c>
      <c r="AP66" s="1" t="str">
        <f>IF(AND(AND(AND(AP$4&gt;='2025'!$L64,AP$4&lt;='2025'!$M64), AP$4&lt;&gt;DATE(2025,7,4)), (SWITCH(weekday(AP$4), 1, 0, 2, if(ISBLANK('2025'!$P64), 0, 1), 3, if(ISBLANK('2025'!$Q64), 0, 1), 4, if(ISBLANK('2025'!$R64), 0, 1), 5, if(ISBLANK('2025'!$S64), 0, 1), 6, if(ISBLANK('2025'!$T64), 0, 1), 7, 0))), 1, "")</f>
        <v/>
      </c>
      <c r="AQ66" s="1" t="str">
        <f>IF(AND(AND(AND(AQ$4&gt;='2025'!$L64,AQ$4&lt;='2025'!$M64), AQ$4&lt;&gt;DATE(2025,7,4)), (SWITCH(weekday(AQ$4), 1, 0, 2, if(ISBLANK('2025'!$P64), 0, 1), 3, if(ISBLANK('2025'!$Q64), 0, 1), 4, if(ISBLANK('2025'!$R64), 0, 1), 5, if(ISBLANK('2025'!$S64), 0, 1), 6, if(ISBLANK('2025'!$T64), 0, 1), 7, 0))), 1, "")</f>
        <v/>
      </c>
      <c r="AR66" s="1" t="str">
        <f>IF(AND(AND(AND(AR$4&gt;='2025'!$L64,AR$4&lt;='2025'!$M64), AR$4&lt;&gt;DATE(2025,7,4)), (SWITCH(weekday(AR$4), 1, 0, 2, if(ISBLANK('2025'!$P64), 0, 1), 3, if(ISBLANK('2025'!$Q64), 0, 1), 4, if(ISBLANK('2025'!$R64), 0, 1), 5, if(ISBLANK('2025'!$S64), 0, 1), 6, if(ISBLANK('2025'!$T64), 0, 1), 7, 0))), 1, "")</f>
        <v/>
      </c>
      <c r="AS66" s="1" t="str">
        <f>IF(AND(AND(AND(AS$4&gt;='2025'!$L64,AS$4&lt;='2025'!$M64), AS$4&lt;&gt;DATE(2025,7,4)), (SWITCH(weekday(AS$4), 1, 0, 2, if(ISBLANK('2025'!$P64), 0, 1), 3, if(ISBLANK('2025'!$Q64), 0, 1), 4, if(ISBLANK('2025'!$R64), 0, 1), 5, if(ISBLANK('2025'!$S64), 0, 1), 6, if(ISBLANK('2025'!$T64), 0, 1), 7, 0))), 1, "")</f>
        <v/>
      </c>
      <c r="AT66" s="1" t="str">
        <f>IF(AND(AND(AND(AT$4&gt;='2025'!$L64,AT$4&lt;='2025'!$M64), AT$4&lt;&gt;DATE(2025,7,4)), (SWITCH(weekday(AT$4), 1, 0, 2, if(ISBLANK('2025'!$P64), 0, 1), 3, if(ISBLANK('2025'!$Q64), 0, 1), 4, if(ISBLANK('2025'!$R64), 0, 1), 5, if(ISBLANK('2025'!$S64), 0, 1), 6, if(ISBLANK('2025'!$T64), 0, 1), 7, 0))), 1, "")</f>
        <v/>
      </c>
      <c r="AU66" s="1" t="str">
        <f>IF(AND(AND(AND(AU$4&gt;='2025'!$L64,AU$4&lt;='2025'!$M64), AU$4&lt;&gt;DATE(2025,7,4)), (SWITCH(weekday(AU$4), 1, 0, 2, if(ISBLANK('2025'!$P64), 0, 1), 3, if(ISBLANK('2025'!$Q64), 0, 1), 4, if(ISBLANK('2025'!$R64), 0, 1), 5, if(ISBLANK('2025'!$S64), 0, 1), 6, if(ISBLANK('2025'!$T64), 0, 1), 7, 0))), 1, "")</f>
        <v/>
      </c>
      <c r="AV66" s="1" t="str">
        <f>IF(AND(AND(AND(AV$4&gt;='2025'!$L64,AV$4&lt;='2025'!$M64), AV$4&lt;&gt;DATE(2025,7,4)), (SWITCH(weekday(AV$4), 1, 0, 2, if(ISBLANK('2025'!$P64), 0, 1), 3, if(ISBLANK('2025'!$Q64), 0, 1), 4, if(ISBLANK('2025'!$R64), 0, 1), 5, if(ISBLANK('2025'!$S64), 0, 1), 6, if(ISBLANK('2025'!$T64), 0, 1), 7, 0))), 1, "")</f>
        <v/>
      </c>
      <c r="AW66" s="1" t="str">
        <f>IF(AND(AND(AND(AW$4&gt;='2025'!$L64,AW$4&lt;='2025'!$M64), AW$4&lt;&gt;DATE(2025,7,4)), (SWITCH(weekday(AW$4), 1, 0, 2, if(ISBLANK('2025'!$P64), 0, 1), 3, if(ISBLANK('2025'!$Q64), 0, 1), 4, if(ISBLANK('2025'!$R64), 0, 1), 5, if(ISBLANK('2025'!$S64), 0, 1), 6, if(ISBLANK('2025'!$T64), 0, 1), 7, 0))), 1, "")</f>
        <v/>
      </c>
      <c r="AX66" s="1" t="str">
        <f>IF(AND(AND(AND(AX$4&gt;='2025'!$L64,AX$4&lt;='2025'!$M64), AX$4&lt;&gt;DATE(2025,7,4)), (SWITCH(weekday(AX$4), 1, 0, 2, if(ISBLANK('2025'!$P64), 0, 1), 3, if(ISBLANK('2025'!$Q64), 0, 1), 4, if(ISBLANK('2025'!$R64), 0, 1), 5, if(ISBLANK('2025'!$S64), 0, 1), 6, if(ISBLANK('2025'!$T64), 0, 1), 7, 0))), 1, "")</f>
        <v/>
      </c>
      <c r="AY66" s="1" t="str">
        <f>IF(AND(AND(AND(AY$4&gt;='2025'!$L64,AY$4&lt;='2025'!$M64), AY$4&lt;&gt;DATE(2025,7,4)), (SWITCH(weekday(AY$4), 1, 0, 2, if(ISBLANK('2025'!$P64), 0, 1), 3, if(ISBLANK('2025'!$Q64), 0, 1), 4, if(ISBLANK('2025'!$R64), 0, 1), 5, if(ISBLANK('2025'!$S64), 0, 1), 6, if(ISBLANK('2025'!$T64), 0, 1), 7, 0))), 1, "")</f>
        <v/>
      </c>
      <c r="AZ66" s="1" t="str">
        <f>IF(AND(AND(AND(AZ$4&gt;='2025'!$L64,AZ$4&lt;='2025'!$M64), AZ$4&lt;&gt;DATE(2025,7,4)), (SWITCH(weekday(AZ$4), 1, 0, 2, if(ISBLANK('2025'!$P64), 0, 1), 3, if(ISBLANK('2025'!$Q64), 0, 1), 4, if(ISBLANK('2025'!$R64), 0, 1), 5, if(ISBLANK('2025'!$S64), 0, 1), 6, if(ISBLANK('2025'!$T64), 0, 1), 7, 0))), 1, "")</f>
        <v/>
      </c>
      <c r="BA66" s="1" t="str">
        <f>IF(AND(AND(AND(BA$4&gt;='2025'!$L64,BA$4&lt;='2025'!$M64), BA$4&lt;&gt;DATE(2025,7,4)), (SWITCH(weekday(BA$4), 1, 0, 2, if(ISBLANK('2025'!$P64), 0, 1), 3, if(ISBLANK('2025'!$Q64), 0, 1), 4, if(ISBLANK('2025'!$R64), 0, 1), 5, if(ISBLANK('2025'!$S64), 0, 1), 6, if(ISBLANK('2025'!$T64), 0, 1), 7, 0))), 1, "")</f>
        <v/>
      </c>
      <c r="BB66" s="1" t="str">
        <f>IF(AND(AND(AND(BB$4&gt;='2025'!$L64,BB$4&lt;='2025'!$M64), BB$4&lt;&gt;DATE(2025,7,4)), (SWITCH(weekday(BB$4), 1, 0, 2, if(ISBLANK('2025'!$P64), 0, 1), 3, if(ISBLANK('2025'!$Q64), 0, 1), 4, if(ISBLANK('2025'!$R64), 0, 1), 5, if(ISBLANK('2025'!$S64), 0, 1), 6, if(ISBLANK('2025'!$T64), 0, 1), 7, 0))), 1, "")</f>
        <v/>
      </c>
      <c r="BC66" s="1" t="str">
        <f>IF(AND(AND(AND(BC$4&gt;='2025'!$L64,BC$4&lt;='2025'!$M64), BC$4&lt;&gt;DATE(2025,7,4)), (SWITCH(weekday(BC$4), 1, 0, 2, if(ISBLANK('2025'!$P64), 0, 1), 3, if(ISBLANK('2025'!$Q64), 0, 1), 4, if(ISBLANK('2025'!$R64), 0, 1), 5, if(ISBLANK('2025'!$S64), 0, 1), 6, if(ISBLANK('2025'!$T64), 0, 1), 7, 0))), 1, "")</f>
        <v/>
      </c>
      <c r="BD66" s="1" t="str">
        <f>IF(AND(AND(AND(BD$4&gt;='2025'!$L64,BD$4&lt;='2025'!$M64), BD$4&lt;&gt;DATE(2025,7,4)), (SWITCH(weekday(BD$4), 1, 0, 2, if(ISBLANK('2025'!$P64), 0, 1), 3, if(ISBLANK('2025'!$Q64), 0, 1), 4, if(ISBLANK('2025'!$R64), 0, 1), 5, if(ISBLANK('2025'!$S64), 0, 1), 6, if(ISBLANK('2025'!$T64), 0, 1), 7, 0))), 1, "")</f>
        <v/>
      </c>
      <c r="BE66" s="1" t="str">
        <f>IF(AND(AND(AND(BE$4&gt;='2025'!$L64,BE$4&lt;='2025'!$M64), BE$4&lt;&gt;DATE(2025,7,4)), (SWITCH(weekday(BE$4), 1, 0, 2, if(ISBLANK('2025'!$P64), 0, 1), 3, if(ISBLANK('2025'!$Q64), 0, 1), 4, if(ISBLANK('2025'!$R64), 0, 1), 5, if(ISBLANK('2025'!$S64), 0, 1), 6, if(ISBLANK('2025'!$T64), 0, 1), 7, 0))), 1, "")</f>
        <v/>
      </c>
      <c r="BF66" s="1" t="str">
        <f>IF(AND(AND(AND(BF$4&gt;='2025'!$L64,BF$4&lt;='2025'!$M64), BF$4&lt;&gt;DATE(2025,7,4)), (SWITCH(weekday(BF$4), 1, 0, 2, if(ISBLANK('2025'!$P64), 0, 1), 3, if(ISBLANK('2025'!$Q64), 0, 1), 4, if(ISBLANK('2025'!$R64), 0, 1), 5, if(ISBLANK('2025'!$S64), 0, 1), 6, if(ISBLANK('2025'!$T64), 0, 1), 7, 0))), 1, "")</f>
        <v/>
      </c>
      <c r="BG66" s="1"/>
      <c r="BH66" s="1"/>
      <c r="BI66" s="1"/>
      <c r="BJ66" s="1"/>
      <c r="BK66" s="1"/>
      <c r="BL66" s="1"/>
    </row>
    <row r="67">
      <c r="A67" s="1">
        <f t="shared" si="3"/>
        <v>67</v>
      </c>
      <c r="B67" s="1" t="str">
        <f>'2025'!D65</f>
        <v>, </v>
      </c>
      <c r="C67" s="1" t="str">
        <f>'2025'!H65</f>
        <v/>
      </c>
      <c r="D67" s="1" t="str">
        <f>IF(AND(AND(AND(D$4&gt;='2025'!$L65,D$4&lt;='2025'!$M65), D$4&lt;&gt;DATE(2025,7,4)), (SWITCH(weekday(D$4), 1, 0, 2, if(ISBLANK('2025'!$P65), 0, 1), 3, if(ISBLANK('2025'!$Q65), 0, 1), 4, if(ISBLANK('2025'!$R65), 0, 1), 5, if(ISBLANK('2025'!$S65), 0, 1), 6, if(ISBLANK('2025'!$T65), 0, 1), 7, 0))), 1, "")</f>
        <v/>
      </c>
      <c r="E67" s="1" t="str">
        <f>IF(AND(AND(AND(E$4&gt;='2025'!$L65,E$4&lt;='2025'!$M65), E$4&lt;&gt;DATE(2025,7,4)), (SWITCH(weekday(E$4), 1, 0, 2, if(ISBLANK('2025'!$P65), 0, 1), 3, if(ISBLANK('2025'!$Q65), 0, 1), 4, if(ISBLANK('2025'!$R65), 0, 1), 5, if(ISBLANK('2025'!$S65), 0, 1), 6, if(ISBLANK('2025'!$T65), 0, 1), 7, 0))), 1, "")</f>
        <v/>
      </c>
      <c r="F67" s="1" t="str">
        <f>IF(AND(AND(AND(F$4&gt;='2025'!$L65,F$4&lt;='2025'!$M65), F$4&lt;&gt;DATE(2025,7,4)), (SWITCH(weekday(F$4), 1, 0, 2, if(ISBLANK('2025'!$P65), 0, 1), 3, if(ISBLANK('2025'!$Q65), 0, 1), 4, if(ISBLANK('2025'!$R65), 0, 1), 5, if(ISBLANK('2025'!$S65), 0, 1), 6, if(ISBLANK('2025'!$T65), 0, 1), 7, 0))), 1, "")</f>
        <v/>
      </c>
      <c r="G67" s="1" t="str">
        <f>IF(AND(AND(AND(G$4&gt;='2025'!$L65,G$4&lt;='2025'!$M65), G$4&lt;&gt;DATE(2025,7,4)), (SWITCH(weekday(G$4), 1, 0, 2, if(ISBLANK('2025'!$P65), 0, 1), 3, if(ISBLANK('2025'!$Q65), 0, 1), 4, if(ISBLANK('2025'!$R65), 0, 1), 5, if(ISBLANK('2025'!$S65), 0, 1), 6, if(ISBLANK('2025'!$T65), 0, 1), 7, 0))), 1, "")</f>
        <v/>
      </c>
      <c r="H67" s="1" t="str">
        <f>IF(AND(AND(AND(H$4&gt;='2025'!$L65,H$4&lt;='2025'!$M65), H$4&lt;&gt;DATE(2025,7,4)), (SWITCH(weekday(H$4), 1, 0, 2, if(ISBLANK('2025'!$P65), 0, 1), 3, if(ISBLANK('2025'!$Q65), 0, 1), 4, if(ISBLANK('2025'!$R65), 0, 1), 5, if(ISBLANK('2025'!$S65), 0, 1), 6, if(ISBLANK('2025'!$T65), 0, 1), 7, 0))), 1, "")</f>
        <v/>
      </c>
      <c r="I67" s="1" t="str">
        <f>IF(AND(AND(AND(I$4&gt;='2025'!$L65,I$4&lt;='2025'!$M65), I$4&lt;&gt;DATE(2025,7,4)), (SWITCH(weekday(I$4), 1, 0, 2, if(ISBLANK('2025'!$P65), 0, 1), 3, if(ISBLANK('2025'!$Q65), 0, 1), 4, if(ISBLANK('2025'!$R65), 0, 1), 5, if(ISBLANK('2025'!$S65), 0, 1), 6, if(ISBLANK('2025'!$T65), 0, 1), 7, 0))), 1, "")</f>
        <v/>
      </c>
      <c r="J67" s="1" t="str">
        <f>IF(AND(AND(AND(J$4&gt;='2025'!$L65,J$4&lt;='2025'!$M65), J$4&lt;&gt;DATE(2025,7,4)), (SWITCH(weekday(J$4), 1, 0, 2, if(ISBLANK('2025'!$P65), 0, 1), 3, if(ISBLANK('2025'!$Q65), 0, 1), 4, if(ISBLANK('2025'!$R65), 0, 1), 5, if(ISBLANK('2025'!$S65), 0, 1), 6, if(ISBLANK('2025'!$T65), 0, 1), 7, 0))), 1, "")</f>
        <v/>
      </c>
      <c r="K67" s="1" t="str">
        <f>IF(AND(AND(AND(K$4&gt;='2025'!$L65,K$4&lt;='2025'!$M65), K$4&lt;&gt;DATE(2025,7,4)), (SWITCH(weekday(K$4), 1, 0, 2, if(ISBLANK('2025'!$P65), 0, 1), 3, if(ISBLANK('2025'!$Q65), 0, 1), 4, if(ISBLANK('2025'!$R65), 0, 1), 5, if(ISBLANK('2025'!$S65), 0, 1), 6, if(ISBLANK('2025'!$T65), 0, 1), 7, 0))), 1, "")</f>
        <v/>
      </c>
      <c r="L67" s="1" t="str">
        <f>IF(AND(AND(AND(L$4&gt;='2025'!$L65,L$4&lt;='2025'!$M65), L$4&lt;&gt;DATE(2025,7,4)), (SWITCH(weekday(L$4), 1, 0, 2, if(ISBLANK('2025'!$P65), 0, 1), 3, if(ISBLANK('2025'!$Q65), 0, 1), 4, if(ISBLANK('2025'!$R65), 0, 1), 5, if(ISBLANK('2025'!$S65), 0, 1), 6, if(ISBLANK('2025'!$T65), 0, 1), 7, 0))), 1, "")</f>
        <v/>
      </c>
      <c r="M67" s="1" t="str">
        <f>IF(AND(AND(AND(M$4&gt;='2025'!$L65,M$4&lt;='2025'!$M65), M$4&lt;&gt;DATE(2025,7,4)), (SWITCH(weekday(M$4), 1, 0, 2, if(ISBLANK('2025'!$P65), 0, 1), 3, if(ISBLANK('2025'!$Q65), 0, 1), 4, if(ISBLANK('2025'!$R65), 0, 1), 5, if(ISBLANK('2025'!$S65), 0, 1), 6, if(ISBLANK('2025'!$T65), 0, 1), 7, 0))), 1, "")</f>
        <v/>
      </c>
      <c r="N67" s="1" t="str">
        <f>IF(AND(AND(AND(N$4&gt;='2025'!$L65,N$4&lt;='2025'!$M65), N$4&lt;&gt;DATE(2025,7,4)), (SWITCH(weekday(N$4), 1, 0, 2, if(ISBLANK('2025'!$P65), 0, 1), 3, if(ISBLANK('2025'!$Q65), 0, 1), 4, if(ISBLANK('2025'!$R65), 0, 1), 5, if(ISBLANK('2025'!$S65), 0, 1), 6, if(ISBLANK('2025'!$T65), 0, 1), 7, 0))), 1, "")</f>
        <v/>
      </c>
      <c r="O67" s="1" t="str">
        <f>IF(AND(AND(AND(O$4&gt;='2025'!$L65,O$4&lt;='2025'!$M65), O$4&lt;&gt;DATE(2025,7,4)), (SWITCH(weekday(O$4), 1, 0, 2, if(ISBLANK('2025'!$P65), 0, 1), 3, if(ISBLANK('2025'!$Q65), 0, 1), 4, if(ISBLANK('2025'!$R65), 0, 1), 5, if(ISBLANK('2025'!$S65), 0, 1), 6, if(ISBLANK('2025'!$T65), 0, 1), 7, 0))), 1, "")</f>
        <v/>
      </c>
      <c r="P67" s="1" t="str">
        <f>IF(AND(AND(AND(P$4&gt;='2025'!$L65,P$4&lt;='2025'!$M65), P$4&lt;&gt;DATE(2025,7,4)), (SWITCH(weekday(P$4), 1, 0, 2, if(ISBLANK('2025'!$P65), 0, 1), 3, if(ISBLANK('2025'!$Q65), 0, 1), 4, if(ISBLANK('2025'!$R65), 0, 1), 5, if(ISBLANK('2025'!$S65), 0, 1), 6, if(ISBLANK('2025'!$T65), 0, 1), 7, 0))), 1, "")</f>
        <v/>
      </c>
      <c r="Q67" s="1" t="str">
        <f>IF(AND(AND(AND(Q$4&gt;='2025'!$L65,Q$4&lt;='2025'!$M65), Q$4&lt;&gt;DATE(2025,7,4)), (SWITCH(weekday(Q$4), 1, 0, 2, if(ISBLANK('2025'!$P65), 0, 1), 3, if(ISBLANK('2025'!$Q65), 0, 1), 4, if(ISBLANK('2025'!$R65), 0, 1), 5, if(ISBLANK('2025'!$S65), 0, 1), 6, if(ISBLANK('2025'!$T65), 0, 1), 7, 0))), 1, "")</f>
        <v/>
      </c>
      <c r="R67" s="1" t="str">
        <f>IF(AND(AND(AND(R$4&gt;='2025'!$L65,R$4&lt;='2025'!$M65), R$4&lt;&gt;DATE(2025,7,4)), (SWITCH(weekday(R$4), 1, 0, 2, if(ISBLANK('2025'!$P65), 0, 1), 3, if(ISBLANK('2025'!$Q65), 0, 1), 4, if(ISBLANK('2025'!$R65), 0, 1), 5, if(ISBLANK('2025'!$S65), 0, 1), 6, if(ISBLANK('2025'!$T65), 0, 1), 7, 0))), 1, "")</f>
        <v/>
      </c>
      <c r="S67" s="1" t="str">
        <f>IF(AND(AND(AND(S$4&gt;='2025'!$L65,S$4&lt;='2025'!$M65), S$4&lt;&gt;DATE(2025,7,4)), (SWITCH(weekday(S$4), 1, 0, 2, if(ISBLANK('2025'!$P65), 0, 1), 3, if(ISBLANK('2025'!$Q65), 0, 1), 4, if(ISBLANK('2025'!$R65), 0, 1), 5, if(ISBLANK('2025'!$S65), 0, 1), 6, if(ISBLANK('2025'!$T65), 0, 1), 7, 0))), 1, "")</f>
        <v/>
      </c>
      <c r="T67" s="1" t="str">
        <f>IF(AND(AND(AND(T$4&gt;='2025'!$L65,T$4&lt;='2025'!$M65), T$4&lt;&gt;DATE(2025,7,4)), (SWITCH(weekday(T$4), 1, 0, 2, if(ISBLANK('2025'!$P65), 0, 1), 3, if(ISBLANK('2025'!$Q65), 0, 1), 4, if(ISBLANK('2025'!$R65), 0, 1), 5, if(ISBLANK('2025'!$S65), 0, 1), 6, if(ISBLANK('2025'!$T65), 0, 1), 7, 0))), 1, "")</f>
        <v/>
      </c>
      <c r="U67" s="1" t="str">
        <f>IF(AND(AND(AND(U$4&gt;='2025'!$L65,U$4&lt;='2025'!$M65), U$4&lt;&gt;DATE(2025,7,4)), (SWITCH(weekday(U$4), 1, 0, 2, if(ISBLANK('2025'!$P65), 0, 1), 3, if(ISBLANK('2025'!$Q65), 0, 1), 4, if(ISBLANK('2025'!$R65), 0, 1), 5, if(ISBLANK('2025'!$S65), 0, 1), 6, if(ISBLANK('2025'!$T65), 0, 1), 7, 0))), 1, "")</f>
        <v/>
      </c>
      <c r="V67" s="1" t="str">
        <f>IF(AND(AND(AND(V$4&gt;='2025'!$L65,V$4&lt;='2025'!$M65), V$4&lt;&gt;DATE(2025,7,4)), (SWITCH(weekday(V$4), 1, 0, 2, if(ISBLANK('2025'!$P65), 0, 1), 3, if(ISBLANK('2025'!$Q65), 0, 1), 4, if(ISBLANK('2025'!$R65), 0, 1), 5, if(ISBLANK('2025'!$S65), 0, 1), 6, if(ISBLANK('2025'!$T65), 0, 1), 7, 0))), 1, "")</f>
        <v/>
      </c>
      <c r="W67" s="1" t="str">
        <f>IF(AND(AND(AND(W$4&gt;='2025'!$L65,W$4&lt;='2025'!$M65), W$4&lt;&gt;DATE(2025,7,4)), (SWITCH(weekday(W$4), 1, 0, 2, if(ISBLANK('2025'!$P65), 0, 1), 3, if(ISBLANK('2025'!$Q65), 0, 1), 4, if(ISBLANK('2025'!$R65), 0, 1), 5, if(ISBLANK('2025'!$S65), 0, 1), 6, if(ISBLANK('2025'!$T65), 0, 1), 7, 0))), 1, "")</f>
        <v/>
      </c>
      <c r="X67" s="1" t="str">
        <f>IF(AND(AND(AND(X$4&gt;='2025'!$L65,X$4&lt;='2025'!$M65), X$4&lt;&gt;DATE(2025,7,4)), (SWITCH(weekday(X$4), 1, 0, 2, if(ISBLANK('2025'!$P65), 0, 1), 3, if(ISBLANK('2025'!$Q65), 0, 1), 4, if(ISBLANK('2025'!$R65), 0, 1), 5, if(ISBLANK('2025'!$S65), 0, 1), 6, if(ISBLANK('2025'!$T65), 0, 1), 7, 0))), 1, "")</f>
        <v/>
      </c>
      <c r="Y67" s="1" t="str">
        <f>IF(AND(AND(AND(Y$4&gt;='2025'!$L65,Y$4&lt;='2025'!$M65), Y$4&lt;&gt;DATE(2025,7,4)), (SWITCH(weekday(Y$4), 1, 0, 2, if(ISBLANK('2025'!$P65), 0, 1), 3, if(ISBLANK('2025'!$Q65), 0, 1), 4, if(ISBLANK('2025'!$R65), 0, 1), 5, if(ISBLANK('2025'!$S65), 0, 1), 6, if(ISBLANK('2025'!$T65), 0, 1), 7, 0))), 1, "")</f>
        <v/>
      </c>
      <c r="Z67" s="1" t="str">
        <f>IF(AND(AND(AND(Z$4&gt;='2025'!$L65,Z$4&lt;='2025'!$M65), Z$4&lt;&gt;DATE(2025,7,4)), (SWITCH(weekday(Z$4), 1, 0, 2, if(ISBLANK('2025'!$P65), 0, 1), 3, if(ISBLANK('2025'!$Q65), 0, 1), 4, if(ISBLANK('2025'!$R65), 0, 1), 5, if(ISBLANK('2025'!$S65), 0, 1), 6, if(ISBLANK('2025'!$T65), 0, 1), 7, 0))), 1, "")</f>
        <v/>
      </c>
      <c r="AA67" s="1" t="str">
        <f>IF(AND(AND(AND(AA$4&gt;='2025'!$L65,AA$4&lt;='2025'!$M65), AA$4&lt;&gt;DATE(2025,7,4)), (SWITCH(weekday(AA$4), 1, 0, 2, if(ISBLANK('2025'!$P65), 0, 1), 3, if(ISBLANK('2025'!$Q65), 0, 1), 4, if(ISBLANK('2025'!$R65), 0, 1), 5, if(ISBLANK('2025'!$S65), 0, 1), 6, if(ISBLANK('2025'!$T65), 0, 1), 7, 0))), 1, "")</f>
        <v/>
      </c>
      <c r="AB67" s="1" t="str">
        <f>IF(AND(AND(AND(AB$4&gt;='2025'!$L65,AB$4&lt;='2025'!$M65), AB$4&lt;&gt;DATE(2025,7,4)), (SWITCH(weekday(AB$4), 1, 0, 2, if(ISBLANK('2025'!$P65), 0, 1), 3, if(ISBLANK('2025'!$Q65), 0, 1), 4, if(ISBLANK('2025'!$R65), 0, 1), 5, if(ISBLANK('2025'!$S65), 0, 1), 6, if(ISBLANK('2025'!$T65), 0, 1), 7, 0))), 1, "")</f>
        <v/>
      </c>
      <c r="AC67" s="1" t="str">
        <f>IF(AND(AND(AND(AC$4&gt;='2025'!$L65,AC$4&lt;='2025'!$M65), AC$4&lt;&gt;DATE(2025,7,4)), (SWITCH(weekday(AC$4), 1, 0, 2, if(ISBLANK('2025'!$P65), 0, 1), 3, if(ISBLANK('2025'!$Q65), 0, 1), 4, if(ISBLANK('2025'!$R65), 0, 1), 5, if(ISBLANK('2025'!$S65), 0, 1), 6, if(ISBLANK('2025'!$T65), 0, 1), 7, 0))), 1, "")</f>
        <v/>
      </c>
      <c r="AD67" s="1" t="str">
        <f>IF(AND(AND(AND(AD$4&gt;='2025'!$L65,AD$4&lt;='2025'!$M65), AD$4&lt;&gt;DATE(2025,7,4)), (SWITCH(weekday(AD$4), 1, 0, 2, if(ISBLANK('2025'!$P65), 0, 1), 3, if(ISBLANK('2025'!$Q65), 0, 1), 4, if(ISBLANK('2025'!$R65), 0, 1), 5, if(ISBLANK('2025'!$S65), 0, 1), 6, if(ISBLANK('2025'!$T65), 0, 1), 7, 0))), 1, "")</f>
        <v/>
      </c>
      <c r="AE67" s="1" t="str">
        <f>IF(AND(AND(AND(AE$4&gt;='2025'!$L65,AE$4&lt;='2025'!$M65), AE$4&lt;&gt;DATE(2025,7,4)), (SWITCH(weekday(AE$4), 1, 0, 2, if(ISBLANK('2025'!$P65), 0, 1), 3, if(ISBLANK('2025'!$Q65), 0, 1), 4, if(ISBLANK('2025'!$R65), 0, 1), 5, if(ISBLANK('2025'!$S65), 0, 1), 6, if(ISBLANK('2025'!$T65), 0, 1), 7, 0))), 1, "")</f>
        <v/>
      </c>
      <c r="AF67" s="1" t="str">
        <f>IF(AND(AND(AND(AF$4&gt;='2025'!$L65,AF$4&lt;='2025'!$M65), AF$4&lt;&gt;DATE(2025,7,4)), (SWITCH(weekday(AF$4), 1, 0, 2, if(ISBLANK('2025'!$P65), 0, 1), 3, if(ISBLANK('2025'!$Q65), 0, 1), 4, if(ISBLANK('2025'!$R65), 0, 1), 5, if(ISBLANK('2025'!$S65), 0, 1), 6, if(ISBLANK('2025'!$T65), 0, 1), 7, 0))), 1, "")</f>
        <v/>
      </c>
      <c r="AG67" s="1" t="str">
        <f>IF(AND(AND(AND(AG$4&gt;='2025'!$L65,AG$4&lt;='2025'!$M65), AG$4&lt;&gt;DATE(2025,7,4)), (SWITCH(weekday(AG$4), 1, 0, 2, if(ISBLANK('2025'!$P65), 0, 1), 3, if(ISBLANK('2025'!$Q65), 0, 1), 4, if(ISBLANK('2025'!$R65), 0, 1), 5, if(ISBLANK('2025'!$S65), 0, 1), 6, if(ISBLANK('2025'!$T65), 0, 1), 7, 0))), 1, "")</f>
        <v/>
      </c>
      <c r="AH67" s="1" t="str">
        <f>IF(AND(AND(AND(AH$4&gt;='2025'!$L65,AH$4&lt;='2025'!$M65), AH$4&lt;&gt;DATE(2025,7,4)), (SWITCH(weekday(AH$4), 1, 0, 2, if(ISBLANK('2025'!$P65), 0, 1), 3, if(ISBLANK('2025'!$Q65), 0, 1), 4, if(ISBLANK('2025'!$R65), 0, 1), 5, if(ISBLANK('2025'!$S65), 0, 1), 6, if(ISBLANK('2025'!$T65), 0, 1), 7, 0))), 1, "")</f>
        <v/>
      </c>
      <c r="AI67" s="1" t="str">
        <f>IF(AND(AND(AND(AI$4&gt;='2025'!$L65,AI$4&lt;='2025'!$M65), AI$4&lt;&gt;DATE(2025,7,4)), (SWITCH(weekday(AI$4), 1, 0, 2, if(ISBLANK('2025'!$P65), 0, 1), 3, if(ISBLANK('2025'!$Q65), 0, 1), 4, if(ISBLANK('2025'!$R65), 0, 1), 5, if(ISBLANK('2025'!$S65), 0, 1), 6, if(ISBLANK('2025'!$T65), 0, 1), 7, 0))), 1, "")</f>
        <v/>
      </c>
      <c r="AJ67" s="1" t="str">
        <f>IF(AND(AND(AND(AJ$4&gt;='2025'!$L65,AJ$4&lt;='2025'!$M65), AJ$4&lt;&gt;DATE(2025,7,4)), (SWITCH(weekday(AJ$4), 1, 0, 2, if(ISBLANK('2025'!$P65), 0, 1), 3, if(ISBLANK('2025'!$Q65), 0, 1), 4, if(ISBLANK('2025'!$R65), 0, 1), 5, if(ISBLANK('2025'!$S65), 0, 1), 6, if(ISBLANK('2025'!$T65), 0, 1), 7, 0))), 1, "")</f>
        <v/>
      </c>
      <c r="AK67" s="1" t="str">
        <f>IF(AND(AND(AND(AK$4&gt;='2025'!$L65,AK$4&lt;='2025'!$M65), AK$4&lt;&gt;DATE(2025,7,4)), (SWITCH(weekday(AK$4), 1, 0, 2, if(ISBLANK('2025'!$P65), 0, 1), 3, if(ISBLANK('2025'!$Q65), 0, 1), 4, if(ISBLANK('2025'!$R65), 0, 1), 5, if(ISBLANK('2025'!$S65), 0, 1), 6, if(ISBLANK('2025'!$T65), 0, 1), 7, 0))), 1, "")</f>
        <v/>
      </c>
      <c r="AL67" s="1" t="str">
        <f>IF(AND(AND(AND(AL$4&gt;='2025'!$L65,AL$4&lt;='2025'!$M65), AL$4&lt;&gt;DATE(2025,7,4)), (SWITCH(weekday(AL$4), 1, 0, 2, if(ISBLANK('2025'!$P65), 0, 1), 3, if(ISBLANK('2025'!$Q65), 0, 1), 4, if(ISBLANK('2025'!$R65), 0, 1), 5, if(ISBLANK('2025'!$S65), 0, 1), 6, if(ISBLANK('2025'!$T65), 0, 1), 7, 0))), 1, "")</f>
        <v/>
      </c>
      <c r="AM67" s="1" t="str">
        <f>IF(AND(AND(AND(AM$4&gt;='2025'!$L65,AM$4&lt;='2025'!$M65), AM$4&lt;&gt;DATE(2025,7,4)), (SWITCH(weekday(AM$4), 1, 0, 2, if(ISBLANK('2025'!$P65), 0, 1), 3, if(ISBLANK('2025'!$Q65), 0, 1), 4, if(ISBLANK('2025'!$R65), 0, 1), 5, if(ISBLANK('2025'!$S65), 0, 1), 6, if(ISBLANK('2025'!$T65), 0, 1), 7, 0))), 1, "")</f>
        <v/>
      </c>
      <c r="AN67" s="1" t="str">
        <f>IF(AND(AND(AND(AN$4&gt;='2025'!$L65,AN$4&lt;='2025'!$M65), AN$4&lt;&gt;DATE(2025,7,4)), (SWITCH(weekday(AN$4), 1, 0, 2, if(ISBLANK('2025'!$P65), 0, 1), 3, if(ISBLANK('2025'!$Q65), 0, 1), 4, if(ISBLANK('2025'!$R65), 0, 1), 5, if(ISBLANK('2025'!$S65), 0, 1), 6, if(ISBLANK('2025'!$T65), 0, 1), 7, 0))), 1, "")</f>
        <v/>
      </c>
      <c r="AO67" s="1" t="str">
        <f>IF(AND(AND(AND(AO$4&gt;='2025'!$L65,AO$4&lt;='2025'!$M65), AO$4&lt;&gt;DATE(2025,7,4)), (SWITCH(weekday(AO$4), 1, 0, 2, if(ISBLANK('2025'!$P65), 0, 1), 3, if(ISBLANK('2025'!$Q65), 0, 1), 4, if(ISBLANK('2025'!$R65), 0, 1), 5, if(ISBLANK('2025'!$S65), 0, 1), 6, if(ISBLANK('2025'!$T65), 0, 1), 7, 0))), 1, "")</f>
        <v/>
      </c>
      <c r="AP67" s="1" t="str">
        <f>IF(AND(AND(AND(AP$4&gt;='2025'!$L65,AP$4&lt;='2025'!$M65), AP$4&lt;&gt;DATE(2025,7,4)), (SWITCH(weekday(AP$4), 1, 0, 2, if(ISBLANK('2025'!$P65), 0, 1), 3, if(ISBLANK('2025'!$Q65), 0, 1), 4, if(ISBLANK('2025'!$R65), 0, 1), 5, if(ISBLANK('2025'!$S65), 0, 1), 6, if(ISBLANK('2025'!$T65), 0, 1), 7, 0))), 1, "")</f>
        <v/>
      </c>
      <c r="AQ67" s="1" t="str">
        <f>IF(AND(AND(AND(AQ$4&gt;='2025'!$L65,AQ$4&lt;='2025'!$M65), AQ$4&lt;&gt;DATE(2025,7,4)), (SWITCH(weekday(AQ$4), 1, 0, 2, if(ISBLANK('2025'!$P65), 0, 1), 3, if(ISBLANK('2025'!$Q65), 0, 1), 4, if(ISBLANK('2025'!$R65), 0, 1), 5, if(ISBLANK('2025'!$S65), 0, 1), 6, if(ISBLANK('2025'!$T65), 0, 1), 7, 0))), 1, "")</f>
        <v/>
      </c>
      <c r="AR67" s="1" t="str">
        <f>IF(AND(AND(AND(AR$4&gt;='2025'!$L65,AR$4&lt;='2025'!$M65), AR$4&lt;&gt;DATE(2025,7,4)), (SWITCH(weekday(AR$4), 1, 0, 2, if(ISBLANK('2025'!$P65), 0, 1), 3, if(ISBLANK('2025'!$Q65), 0, 1), 4, if(ISBLANK('2025'!$R65), 0, 1), 5, if(ISBLANK('2025'!$S65), 0, 1), 6, if(ISBLANK('2025'!$T65), 0, 1), 7, 0))), 1, "")</f>
        <v/>
      </c>
      <c r="AS67" s="1" t="str">
        <f>IF(AND(AND(AND(AS$4&gt;='2025'!$L65,AS$4&lt;='2025'!$M65), AS$4&lt;&gt;DATE(2025,7,4)), (SWITCH(weekday(AS$4), 1, 0, 2, if(ISBLANK('2025'!$P65), 0, 1), 3, if(ISBLANK('2025'!$Q65), 0, 1), 4, if(ISBLANK('2025'!$R65), 0, 1), 5, if(ISBLANK('2025'!$S65), 0, 1), 6, if(ISBLANK('2025'!$T65), 0, 1), 7, 0))), 1, "")</f>
        <v/>
      </c>
      <c r="AT67" s="1" t="str">
        <f>IF(AND(AND(AND(AT$4&gt;='2025'!$L65,AT$4&lt;='2025'!$M65), AT$4&lt;&gt;DATE(2025,7,4)), (SWITCH(weekday(AT$4), 1, 0, 2, if(ISBLANK('2025'!$P65), 0, 1), 3, if(ISBLANK('2025'!$Q65), 0, 1), 4, if(ISBLANK('2025'!$R65), 0, 1), 5, if(ISBLANK('2025'!$S65), 0, 1), 6, if(ISBLANK('2025'!$T65), 0, 1), 7, 0))), 1, "")</f>
        <v/>
      </c>
      <c r="AU67" s="1" t="str">
        <f>IF(AND(AND(AND(AU$4&gt;='2025'!$L65,AU$4&lt;='2025'!$M65), AU$4&lt;&gt;DATE(2025,7,4)), (SWITCH(weekday(AU$4), 1, 0, 2, if(ISBLANK('2025'!$P65), 0, 1), 3, if(ISBLANK('2025'!$Q65), 0, 1), 4, if(ISBLANK('2025'!$R65), 0, 1), 5, if(ISBLANK('2025'!$S65), 0, 1), 6, if(ISBLANK('2025'!$T65), 0, 1), 7, 0))), 1, "")</f>
        <v/>
      </c>
      <c r="AV67" s="1" t="str">
        <f>IF(AND(AND(AND(AV$4&gt;='2025'!$L65,AV$4&lt;='2025'!$M65), AV$4&lt;&gt;DATE(2025,7,4)), (SWITCH(weekday(AV$4), 1, 0, 2, if(ISBLANK('2025'!$P65), 0, 1), 3, if(ISBLANK('2025'!$Q65), 0, 1), 4, if(ISBLANK('2025'!$R65), 0, 1), 5, if(ISBLANK('2025'!$S65), 0, 1), 6, if(ISBLANK('2025'!$T65), 0, 1), 7, 0))), 1, "")</f>
        <v/>
      </c>
      <c r="AW67" s="1" t="str">
        <f>IF(AND(AND(AND(AW$4&gt;='2025'!$L65,AW$4&lt;='2025'!$M65), AW$4&lt;&gt;DATE(2025,7,4)), (SWITCH(weekday(AW$4), 1, 0, 2, if(ISBLANK('2025'!$P65), 0, 1), 3, if(ISBLANK('2025'!$Q65), 0, 1), 4, if(ISBLANK('2025'!$R65), 0, 1), 5, if(ISBLANK('2025'!$S65), 0, 1), 6, if(ISBLANK('2025'!$T65), 0, 1), 7, 0))), 1, "")</f>
        <v/>
      </c>
      <c r="AX67" s="1" t="str">
        <f>IF(AND(AND(AND(AX$4&gt;='2025'!$L65,AX$4&lt;='2025'!$M65), AX$4&lt;&gt;DATE(2025,7,4)), (SWITCH(weekday(AX$4), 1, 0, 2, if(ISBLANK('2025'!$P65), 0, 1), 3, if(ISBLANK('2025'!$Q65), 0, 1), 4, if(ISBLANK('2025'!$R65), 0, 1), 5, if(ISBLANK('2025'!$S65), 0, 1), 6, if(ISBLANK('2025'!$T65), 0, 1), 7, 0))), 1, "")</f>
        <v/>
      </c>
      <c r="AY67" s="1" t="str">
        <f>IF(AND(AND(AND(AY$4&gt;='2025'!$L65,AY$4&lt;='2025'!$M65), AY$4&lt;&gt;DATE(2025,7,4)), (SWITCH(weekday(AY$4), 1, 0, 2, if(ISBLANK('2025'!$P65), 0, 1), 3, if(ISBLANK('2025'!$Q65), 0, 1), 4, if(ISBLANK('2025'!$R65), 0, 1), 5, if(ISBLANK('2025'!$S65), 0, 1), 6, if(ISBLANK('2025'!$T65), 0, 1), 7, 0))), 1, "")</f>
        <v/>
      </c>
      <c r="AZ67" s="1" t="str">
        <f>IF(AND(AND(AND(AZ$4&gt;='2025'!$L65,AZ$4&lt;='2025'!$M65), AZ$4&lt;&gt;DATE(2025,7,4)), (SWITCH(weekday(AZ$4), 1, 0, 2, if(ISBLANK('2025'!$P65), 0, 1), 3, if(ISBLANK('2025'!$Q65), 0, 1), 4, if(ISBLANK('2025'!$R65), 0, 1), 5, if(ISBLANK('2025'!$S65), 0, 1), 6, if(ISBLANK('2025'!$T65), 0, 1), 7, 0))), 1, "")</f>
        <v/>
      </c>
      <c r="BA67" s="1" t="str">
        <f>IF(AND(AND(AND(BA$4&gt;='2025'!$L65,BA$4&lt;='2025'!$M65), BA$4&lt;&gt;DATE(2025,7,4)), (SWITCH(weekday(BA$4), 1, 0, 2, if(ISBLANK('2025'!$P65), 0, 1), 3, if(ISBLANK('2025'!$Q65), 0, 1), 4, if(ISBLANK('2025'!$R65), 0, 1), 5, if(ISBLANK('2025'!$S65), 0, 1), 6, if(ISBLANK('2025'!$T65), 0, 1), 7, 0))), 1, "")</f>
        <v/>
      </c>
      <c r="BB67" s="1" t="str">
        <f>IF(AND(AND(AND(BB$4&gt;='2025'!$L65,BB$4&lt;='2025'!$M65), BB$4&lt;&gt;DATE(2025,7,4)), (SWITCH(weekday(BB$4), 1, 0, 2, if(ISBLANK('2025'!$P65), 0, 1), 3, if(ISBLANK('2025'!$Q65), 0, 1), 4, if(ISBLANK('2025'!$R65), 0, 1), 5, if(ISBLANK('2025'!$S65), 0, 1), 6, if(ISBLANK('2025'!$T65), 0, 1), 7, 0))), 1, "")</f>
        <v/>
      </c>
      <c r="BC67" s="1" t="str">
        <f>IF(AND(AND(AND(BC$4&gt;='2025'!$L65,BC$4&lt;='2025'!$M65), BC$4&lt;&gt;DATE(2025,7,4)), (SWITCH(weekday(BC$4), 1, 0, 2, if(ISBLANK('2025'!$P65), 0, 1), 3, if(ISBLANK('2025'!$Q65), 0, 1), 4, if(ISBLANK('2025'!$R65), 0, 1), 5, if(ISBLANK('2025'!$S65), 0, 1), 6, if(ISBLANK('2025'!$T65), 0, 1), 7, 0))), 1, "")</f>
        <v/>
      </c>
      <c r="BD67" s="1" t="str">
        <f>IF(AND(AND(AND(BD$4&gt;='2025'!$L65,BD$4&lt;='2025'!$M65), BD$4&lt;&gt;DATE(2025,7,4)), (SWITCH(weekday(BD$4), 1, 0, 2, if(ISBLANK('2025'!$P65), 0, 1), 3, if(ISBLANK('2025'!$Q65), 0, 1), 4, if(ISBLANK('2025'!$R65), 0, 1), 5, if(ISBLANK('2025'!$S65), 0, 1), 6, if(ISBLANK('2025'!$T65), 0, 1), 7, 0))), 1, "")</f>
        <v/>
      </c>
      <c r="BE67" s="1" t="str">
        <f>IF(AND(AND(AND(BE$4&gt;='2025'!$L65,BE$4&lt;='2025'!$M65), BE$4&lt;&gt;DATE(2025,7,4)), (SWITCH(weekday(BE$4), 1, 0, 2, if(ISBLANK('2025'!$P65), 0, 1), 3, if(ISBLANK('2025'!$Q65), 0, 1), 4, if(ISBLANK('2025'!$R65), 0, 1), 5, if(ISBLANK('2025'!$S65), 0, 1), 6, if(ISBLANK('2025'!$T65), 0, 1), 7, 0))), 1, "")</f>
        <v/>
      </c>
      <c r="BF67" s="1" t="str">
        <f>IF(AND(AND(AND(BF$4&gt;='2025'!$L65,BF$4&lt;='2025'!$M65), BF$4&lt;&gt;DATE(2025,7,4)), (SWITCH(weekday(BF$4), 1, 0, 2, if(ISBLANK('2025'!$P65), 0, 1), 3, if(ISBLANK('2025'!$Q65), 0, 1), 4, if(ISBLANK('2025'!$R65), 0, 1), 5, if(ISBLANK('2025'!$S65), 0, 1), 6, if(ISBLANK('2025'!$T65), 0, 1), 7, 0))), 1, "")</f>
        <v/>
      </c>
      <c r="BG67" s="1"/>
      <c r="BH67" s="1"/>
      <c r="BI67" s="1"/>
      <c r="BJ67" s="1"/>
      <c r="BK67" s="1"/>
      <c r="BL67" s="1"/>
    </row>
    <row r="68">
      <c r="A68" s="1">
        <f t="shared" si="3"/>
        <v>68</v>
      </c>
      <c r="B68" s="1" t="str">
        <f>'2025'!D66</f>
        <v>, </v>
      </c>
      <c r="C68" s="1" t="str">
        <f>'2025'!H66</f>
        <v/>
      </c>
      <c r="D68" s="1" t="str">
        <f>IF(AND(AND(AND(D$4&gt;='2025'!$L66,D$4&lt;='2025'!$M66), D$4&lt;&gt;DATE(2025,7,4)), (SWITCH(weekday(D$4), 1, 0, 2, if(ISBLANK('2025'!$P66), 0, 1), 3, if(ISBLANK('2025'!$Q66), 0, 1), 4, if(ISBLANK('2025'!$R66), 0, 1), 5, if(ISBLANK('2025'!$S66), 0, 1), 6, if(ISBLANK('2025'!$T66), 0, 1), 7, 0))), 1, "")</f>
        <v/>
      </c>
      <c r="E68" s="1" t="str">
        <f>IF(AND(AND(AND(E$4&gt;='2025'!$L66,E$4&lt;='2025'!$M66), E$4&lt;&gt;DATE(2025,7,4)), (SWITCH(weekday(E$4), 1, 0, 2, if(ISBLANK('2025'!$P66), 0, 1), 3, if(ISBLANK('2025'!$Q66), 0, 1), 4, if(ISBLANK('2025'!$R66), 0, 1), 5, if(ISBLANK('2025'!$S66), 0, 1), 6, if(ISBLANK('2025'!$T66), 0, 1), 7, 0))), 1, "")</f>
        <v/>
      </c>
      <c r="F68" s="1" t="str">
        <f>IF(AND(AND(AND(F$4&gt;='2025'!$L66,F$4&lt;='2025'!$M66), F$4&lt;&gt;DATE(2025,7,4)), (SWITCH(weekday(F$4), 1, 0, 2, if(ISBLANK('2025'!$P66), 0, 1), 3, if(ISBLANK('2025'!$Q66), 0, 1), 4, if(ISBLANK('2025'!$R66), 0, 1), 5, if(ISBLANK('2025'!$S66), 0, 1), 6, if(ISBLANK('2025'!$T66), 0, 1), 7, 0))), 1, "")</f>
        <v/>
      </c>
      <c r="G68" s="1" t="str">
        <f>IF(AND(AND(AND(G$4&gt;='2025'!$L66,G$4&lt;='2025'!$M66), G$4&lt;&gt;DATE(2025,7,4)), (SWITCH(weekday(G$4), 1, 0, 2, if(ISBLANK('2025'!$P66), 0, 1), 3, if(ISBLANK('2025'!$Q66), 0, 1), 4, if(ISBLANK('2025'!$R66), 0, 1), 5, if(ISBLANK('2025'!$S66), 0, 1), 6, if(ISBLANK('2025'!$T66), 0, 1), 7, 0))), 1, "")</f>
        <v/>
      </c>
      <c r="H68" s="1" t="str">
        <f>IF(AND(AND(AND(H$4&gt;='2025'!$L66,H$4&lt;='2025'!$M66), H$4&lt;&gt;DATE(2025,7,4)), (SWITCH(weekday(H$4), 1, 0, 2, if(ISBLANK('2025'!$P66), 0, 1), 3, if(ISBLANK('2025'!$Q66), 0, 1), 4, if(ISBLANK('2025'!$R66), 0, 1), 5, if(ISBLANK('2025'!$S66), 0, 1), 6, if(ISBLANK('2025'!$T66), 0, 1), 7, 0))), 1, "")</f>
        <v/>
      </c>
      <c r="I68" s="1" t="str">
        <f>IF(AND(AND(AND(I$4&gt;='2025'!$L66,I$4&lt;='2025'!$M66), I$4&lt;&gt;DATE(2025,7,4)), (SWITCH(weekday(I$4), 1, 0, 2, if(ISBLANK('2025'!$P66), 0, 1), 3, if(ISBLANK('2025'!$Q66), 0, 1), 4, if(ISBLANK('2025'!$R66), 0, 1), 5, if(ISBLANK('2025'!$S66), 0, 1), 6, if(ISBLANK('2025'!$T66), 0, 1), 7, 0))), 1, "")</f>
        <v/>
      </c>
      <c r="J68" s="1" t="str">
        <f>IF(AND(AND(AND(J$4&gt;='2025'!$L66,J$4&lt;='2025'!$M66), J$4&lt;&gt;DATE(2025,7,4)), (SWITCH(weekday(J$4), 1, 0, 2, if(ISBLANK('2025'!$P66), 0, 1), 3, if(ISBLANK('2025'!$Q66), 0, 1), 4, if(ISBLANK('2025'!$R66), 0, 1), 5, if(ISBLANK('2025'!$S66), 0, 1), 6, if(ISBLANK('2025'!$T66), 0, 1), 7, 0))), 1, "")</f>
        <v/>
      </c>
      <c r="K68" s="1" t="str">
        <f>IF(AND(AND(AND(K$4&gt;='2025'!$L66,K$4&lt;='2025'!$M66), K$4&lt;&gt;DATE(2025,7,4)), (SWITCH(weekday(K$4), 1, 0, 2, if(ISBLANK('2025'!$P66), 0, 1), 3, if(ISBLANK('2025'!$Q66), 0, 1), 4, if(ISBLANK('2025'!$R66), 0, 1), 5, if(ISBLANK('2025'!$S66), 0, 1), 6, if(ISBLANK('2025'!$T66), 0, 1), 7, 0))), 1, "")</f>
        <v/>
      </c>
      <c r="L68" s="1" t="str">
        <f>IF(AND(AND(AND(L$4&gt;='2025'!$L66,L$4&lt;='2025'!$M66), L$4&lt;&gt;DATE(2025,7,4)), (SWITCH(weekday(L$4), 1, 0, 2, if(ISBLANK('2025'!$P66), 0, 1), 3, if(ISBLANK('2025'!$Q66), 0, 1), 4, if(ISBLANK('2025'!$R66), 0, 1), 5, if(ISBLANK('2025'!$S66), 0, 1), 6, if(ISBLANK('2025'!$T66), 0, 1), 7, 0))), 1, "")</f>
        <v/>
      </c>
      <c r="M68" s="1" t="str">
        <f>IF(AND(AND(AND(M$4&gt;='2025'!$L66,M$4&lt;='2025'!$M66), M$4&lt;&gt;DATE(2025,7,4)), (SWITCH(weekday(M$4), 1, 0, 2, if(ISBLANK('2025'!$P66), 0, 1), 3, if(ISBLANK('2025'!$Q66), 0, 1), 4, if(ISBLANK('2025'!$R66), 0, 1), 5, if(ISBLANK('2025'!$S66), 0, 1), 6, if(ISBLANK('2025'!$T66), 0, 1), 7, 0))), 1, "")</f>
        <v/>
      </c>
      <c r="N68" s="1" t="str">
        <f>IF(AND(AND(AND(N$4&gt;='2025'!$L66,N$4&lt;='2025'!$M66), N$4&lt;&gt;DATE(2025,7,4)), (SWITCH(weekday(N$4), 1, 0, 2, if(ISBLANK('2025'!$P66), 0, 1), 3, if(ISBLANK('2025'!$Q66), 0, 1), 4, if(ISBLANK('2025'!$R66), 0, 1), 5, if(ISBLANK('2025'!$S66), 0, 1), 6, if(ISBLANK('2025'!$T66), 0, 1), 7, 0))), 1, "")</f>
        <v/>
      </c>
      <c r="O68" s="1" t="str">
        <f>IF(AND(AND(AND(O$4&gt;='2025'!$L66,O$4&lt;='2025'!$M66), O$4&lt;&gt;DATE(2025,7,4)), (SWITCH(weekday(O$4), 1, 0, 2, if(ISBLANK('2025'!$P66), 0, 1), 3, if(ISBLANK('2025'!$Q66), 0, 1), 4, if(ISBLANK('2025'!$R66), 0, 1), 5, if(ISBLANK('2025'!$S66), 0, 1), 6, if(ISBLANK('2025'!$T66), 0, 1), 7, 0))), 1, "")</f>
        <v/>
      </c>
      <c r="P68" s="1" t="str">
        <f>IF(AND(AND(AND(P$4&gt;='2025'!$L66,P$4&lt;='2025'!$M66), P$4&lt;&gt;DATE(2025,7,4)), (SWITCH(weekday(P$4), 1, 0, 2, if(ISBLANK('2025'!$P66), 0, 1), 3, if(ISBLANK('2025'!$Q66), 0, 1), 4, if(ISBLANK('2025'!$R66), 0, 1), 5, if(ISBLANK('2025'!$S66), 0, 1), 6, if(ISBLANK('2025'!$T66), 0, 1), 7, 0))), 1, "")</f>
        <v/>
      </c>
      <c r="Q68" s="1" t="str">
        <f>IF(AND(AND(AND(Q$4&gt;='2025'!$L66,Q$4&lt;='2025'!$M66), Q$4&lt;&gt;DATE(2025,7,4)), (SWITCH(weekday(Q$4), 1, 0, 2, if(ISBLANK('2025'!$P66), 0, 1), 3, if(ISBLANK('2025'!$Q66), 0, 1), 4, if(ISBLANK('2025'!$R66), 0, 1), 5, if(ISBLANK('2025'!$S66), 0, 1), 6, if(ISBLANK('2025'!$T66), 0, 1), 7, 0))), 1, "")</f>
        <v/>
      </c>
      <c r="R68" s="1" t="str">
        <f>IF(AND(AND(AND(R$4&gt;='2025'!$L66,R$4&lt;='2025'!$M66), R$4&lt;&gt;DATE(2025,7,4)), (SWITCH(weekday(R$4), 1, 0, 2, if(ISBLANK('2025'!$P66), 0, 1), 3, if(ISBLANK('2025'!$Q66), 0, 1), 4, if(ISBLANK('2025'!$R66), 0, 1), 5, if(ISBLANK('2025'!$S66), 0, 1), 6, if(ISBLANK('2025'!$T66), 0, 1), 7, 0))), 1, "")</f>
        <v/>
      </c>
      <c r="S68" s="1" t="str">
        <f>IF(AND(AND(AND(S$4&gt;='2025'!$L66,S$4&lt;='2025'!$M66), S$4&lt;&gt;DATE(2025,7,4)), (SWITCH(weekday(S$4), 1, 0, 2, if(ISBLANK('2025'!$P66), 0, 1), 3, if(ISBLANK('2025'!$Q66), 0, 1), 4, if(ISBLANK('2025'!$R66), 0, 1), 5, if(ISBLANK('2025'!$S66), 0, 1), 6, if(ISBLANK('2025'!$T66), 0, 1), 7, 0))), 1, "")</f>
        <v/>
      </c>
      <c r="T68" s="1" t="str">
        <f>IF(AND(AND(AND(T$4&gt;='2025'!$L66,T$4&lt;='2025'!$M66), T$4&lt;&gt;DATE(2025,7,4)), (SWITCH(weekday(T$4), 1, 0, 2, if(ISBLANK('2025'!$P66), 0, 1), 3, if(ISBLANK('2025'!$Q66), 0, 1), 4, if(ISBLANK('2025'!$R66), 0, 1), 5, if(ISBLANK('2025'!$S66), 0, 1), 6, if(ISBLANK('2025'!$T66), 0, 1), 7, 0))), 1, "")</f>
        <v/>
      </c>
      <c r="U68" s="1" t="str">
        <f>IF(AND(AND(AND(U$4&gt;='2025'!$L66,U$4&lt;='2025'!$M66), U$4&lt;&gt;DATE(2025,7,4)), (SWITCH(weekday(U$4), 1, 0, 2, if(ISBLANK('2025'!$P66), 0, 1), 3, if(ISBLANK('2025'!$Q66), 0, 1), 4, if(ISBLANK('2025'!$R66), 0, 1), 5, if(ISBLANK('2025'!$S66), 0, 1), 6, if(ISBLANK('2025'!$T66), 0, 1), 7, 0))), 1, "")</f>
        <v/>
      </c>
      <c r="V68" s="1" t="str">
        <f>IF(AND(AND(AND(V$4&gt;='2025'!$L66,V$4&lt;='2025'!$M66), V$4&lt;&gt;DATE(2025,7,4)), (SWITCH(weekday(V$4), 1, 0, 2, if(ISBLANK('2025'!$P66), 0, 1), 3, if(ISBLANK('2025'!$Q66), 0, 1), 4, if(ISBLANK('2025'!$R66), 0, 1), 5, if(ISBLANK('2025'!$S66), 0, 1), 6, if(ISBLANK('2025'!$T66), 0, 1), 7, 0))), 1, "")</f>
        <v/>
      </c>
      <c r="W68" s="1" t="str">
        <f>IF(AND(AND(AND(W$4&gt;='2025'!$L66,W$4&lt;='2025'!$M66), W$4&lt;&gt;DATE(2025,7,4)), (SWITCH(weekday(W$4), 1, 0, 2, if(ISBLANK('2025'!$P66), 0, 1), 3, if(ISBLANK('2025'!$Q66), 0, 1), 4, if(ISBLANK('2025'!$R66), 0, 1), 5, if(ISBLANK('2025'!$S66), 0, 1), 6, if(ISBLANK('2025'!$T66), 0, 1), 7, 0))), 1, "")</f>
        <v/>
      </c>
      <c r="X68" s="1" t="str">
        <f>IF(AND(AND(AND(X$4&gt;='2025'!$L66,X$4&lt;='2025'!$M66), X$4&lt;&gt;DATE(2025,7,4)), (SWITCH(weekday(X$4), 1, 0, 2, if(ISBLANK('2025'!$P66), 0, 1), 3, if(ISBLANK('2025'!$Q66), 0, 1), 4, if(ISBLANK('2025'!$R66), 0, 1), 5, if(ISBLANK('2025'!$S66), 0, 1), 6, if(ISBLANK('2025'!$T66), 0, 1), 7, 0))), 1, "")</f>
        <v/>
      </c>
      <c r="Y68" s="1" t="str">
        <f>IF(AND(AND(AND(Y$4&gt;='2025'!$L66,Y$4&lt;='2025'!$M66), Y$4&lt;&gt;DATE(2025,7,4)), (SWITCH(weekday(Y$4), 1, 0, 2, if(ISBLANK('2025'!$P66), 0, 1), 3, if(ISBLANK('2025'!$Q66), 0, 1), 4, if(ISBLANK('2025'!$R66), 0, 1), 5, if(ISBLANK('2025'!$S66), 0, 1), 6, if(ISBLANK('2025'!$T66), 0, 1), 7, 0))), 1, "")</f>
        <v/>
      </c>
      <c r="Z68" s="1" t="str">
        <f>IF(AND(AND(AND(Z$4&gt;='2025'!$L66,Z$4&lt;='2025'!$M66), Z$4&lt;&gt;DATE(2025,7,4)), (SWITCH(weekday(Z$4), 1, 0, 2, if(ISBLANK('2025'!$P66), 0, 1), 3, if(ISBLANK('2025'!$Q66), 0, 1), 4, if(ISBLANK('2025'!$R66), 0, 1), 5, if(ISBLANK('2025'!$S66), 0, 1), 6, if(ISBLANK('2025'!$T66), 0, 1), 7, 0))), 1, "")</f>
        <v/>
      </c>
      <c r="AA68" s="1" t="str">
        <f>IF(AND(AND(AND(AA$4&gt;='2025'!$L66,AA$4&lt;='2025'!$M66), AA$4&lt;&gt;DATE(2025,7,4)), (SWITCH(weekday(AA$4), 1, 0, 2, if(ISBLANK('2025'!$P66), 0, 1), 3, if(ISBLANK('2025'!$Q66), 0, 1), 4, if(ISBLANK('2025'!$R66), 0, 1), 5, if(ISBLANK('2025'!$S66), 0, 1), 6, if(ISBLANK('2025'!$T66), 0, 1), 7, 0))), 1, "")</f>
        <v/>
      </c>
      <c r="AB68" s="1" t="str">
        <f>IF(AND(AND(AND(AB$4&gt;='2025'!$L66,AB$4&lt;='2025'!$M66), AB$4&lt;&gt;DATE(2025,7,4)), (SWITCH(weekday(AB$4), 1, 0, 2, if(ISBLANK('2025'!$P66), 0, 1), 3, if(ISBLANK('2025'!$Q66), 0, 1), 4, if(ISBLANK('2025'!$R66), 0, 1), 5, if(ISBLANK('2025'!$S66), 0, 1), 6, if(ISBLANK('2025'!$T66), 0, 1), 7, 0))), 1, "")</f>
        <v/>
      </c>
      <c r="AC68" s="1" t="str">
        <f>IF(AND(AND(AND(AC$4&gt;='2025'!$L66,AC$4&lt;='2025'!$M66), AC$4&lt;&gt;DATE(2025,7,4)), (SWITCH(weekday(AC$4), 1, 0, 2, if(ISBLANK('2025'!$P66), 0, 1), 3, if(ISBLANK('2025'!$Q66), 0, 1), 4, if(ISBLANK('2025'!$R66), 0, 1), 5, if(ISBLANK('2025'!$S66), 0, 1), 6, if(ISBLANK('2025'!$T66), 0, 1), 7, 0))), 1, "")</f>
        <v/>
      </c>
      <c r="AD68" s="1" t="str">
        <f>IF(AND(AND(AND(AD$4&gt;='2025'!$L66,AD$4&lt;='2025'!$M66), AD$4&lt;&gt;DATE(2025,7,4)), (SWITCH(weekday(AD$4), 1, 0, 2, if(ISBLANK('2025'!$P66), 0, 1), 3, if(ISBLANK('2025'!$Q66), 0, 1), 4, if(ISBLANK('2025'!$R66), 0, 1), 5, if(ISBLANK('2025'!$S66), 0, 1), 6, if(ISBLANK('2025'!$T66), 0, 1), 7, 0))), 1, "")</f>
        <v/>
      </c>
      <c r="AE68" s="1" t="str">
        <f>IF(AND(AND(AND(AE$4&gt;='2025'!$L66,AE$4&lt;='2025'!$M66), AE$4&lt;&gt;DATE(2025,7,4)), (SWITCH(weekday(AE$4), 1, 0, 2, if(ISBLANK('2025'!$P66), 0, 1), 3, if(ISBLANK('2025'!$Q66), 0, 1), 4, if(ISBLANK('2025'!$R66), 0, 1), 5, if(ISBLANK('2025'!$S66), 0, 1), 6, if(ISBLANK('2025'!$T66), 0, 1), 7, 0))), 1, "")</f>
        <v/>
      </c>
      <c r="AF68" s="1" t="str">
        <f>IF(AND(AND(AND(AF$4&gt;='2025'!$L66,AF$4&lt;='2025'!$M66), AF$4&lt;&gt;DATE(2025,7,4)), (SWITCH(weekday(AF$4), 1, 0, 2, if(ISBLANK('2025'!$P66), 0, 1), 3, if(ISBLANK('2025'!$Q66), 0, 1), 4, if(ISBLANK('2025'!$R66), 0, 1), 5, if(ISBLANK('2025'!$S66), 0, 1), 6, if(ISBLANK('2025'!$T66), 0, 1), 7, 0))), 1, "")</f>
        <v/>
      </c>
      <c r="AG68" s="1" t="str">
        <f>IF(AND(AND(AND(AG$4&gt;='2025'!$L66,AG$4&lt;='2025'!$M66), AG$4&lt;&gt;DATE(2025,7,4)), (SWITCH(weekday(AG$4), 1, 0, 2, if(ISBLANK('2025'!$P66), 0, 1), 3, if(ISBLANK('2025'!$Q66), 0, 1), 4, if(ISBLANK('2025'!$R66), 0, 1), 5, if(ISBLANK('2025'!$S66), 0, 1), 6, if(ISBLANK('2025'!$T66), 0, 1), 7, 0))), 1, "")</f>
        <v/>
      </c>
      <c r="AH68" s="1" t="str">
        <f>IF(AND(AND(AND(AH$4&gt;='2025'!$L66,AH$4&lt;='2025'!$M66), AH$4&lt;&gt;DATE(2025,7,4)), (SWITCH(weekday(AH$4), 1, 0, 2, if(ISBLANK('2025'!$P66), 0, 1), 3, if(ISBLANK('2025'!$Q66), 0, 1), 4, if(ISBLANK('2025'!$R66), 0, 1), 5, if(ISBLANK('2025'!$S66), 0, 1), 6, if(ISBLANK('2025'!$T66), 0, 1), 7, 0))), 1, "")</f>
        <v/>
      </c>
      <c r="AI68" s="1" t="str">
        <f>IF(AND(AND(AND(AI$4&gt;='2025'!$L66,AI$4&lt;='2025'!$M66), AI$4&lt;&gt;DATE(2025,7,4)), (SWITCH(weekday(AI$4), 1, 0, 2, if(ISBLANK('2025'!$P66), 0, 1), 3, if(ISBLANK('2025'!$Q66), 0, 1), 4, if(ISBLANK('2025'!$R66), 0, 1), 5, if(ISBLANK('2025'!$S66), 0, 1), 6, if(ISBLANK('2025'!$T66), 0, 1), 7, 0))), 1, "")</f>
        <v/>
      </c>
      <c r="AJ68" s="1" t="str">
        <f>IF(AND(AND(AND(AJ$4&gt;='2025'!$L66,AJ$4&lt;='2025'!$M66), AJ$4&lt;&gt;DATE(2025,7,4)), (SWITCH(weekday(AJ$4), 1, 0, 2, if(ISBLANK('2025'!$P66), 0, 1), 3, if(ISBLANK('2025'!$Q66), 0, 1), 4, if(ISBLANK('2025'!$R66), 0, 1), 5, if(ISBLANK('2025'!$S66), 0, 1), 6, if(ISBLANK('2025'!$T66), 0, 1), 7, 0))), 1, "")</f>
        <v/>
      </c>
      <c r="AK68" s="1" t="str">
        <f>IF(AND(AND(AND(AK$4&gt;='2025'!$L66,AK$4&lt;='2025'!$M66), AK$4&lt;&gt;DATE(2025,7,4)), (SWITCH(weekday(AK$4), 1, 0, 2, if(ISBLANK('2025'!$P66), 0, 1), 3, if(ISBLANK('2025'!$Q66), 0, 1), 4, if(ISBLANK('2025'!$R66), 0, 1), 5, if(ISBLANK('2025'!$S66), 0, 1), 6, if(ISBLANK('2025'!$T66), 0, 1), 7, 0))), 1, "")</f>
        <v/>
      </c>
      <c r="AL68" s="1" t="str">
        <f>IF(AND(AND(AND(AL$4&gt;='2025'!$L66,AL$4&lt;='2025'!$M66), AL$4&lt;&gt;DATE(2025,7,4)), (SWITCH(weekday(AL$4), 1, 0, 2, if(ISBLANK('2025'!$P66), 0, 1), 3, if(ISBLANK('2025'!$Q66), 0, 1), 4, if(ISBLANK('2025'!$R66), 0, 1), 5, if(ISBLANK('2025'!$S66), 0, 1), 6, if(ISBLANK('2025'!$T66), 0, 1), 7, 0))), 1, "")</f>
        <v/>
      </c>
      <c r="AM68" s="1" t="str">
        <f>IF(AND(AND(AND(AM$4&gt;='2025'!$L66,AM$4&lt;='2025'!$M66), AM$4&lt;&gt;DATE(2025,7,4)), (SWITCH(weekday(AM$4), 1, 0, 2, if(ISBLANK('2025'!$P66), 0, 1), 3, if(ISBLANK('2025'!$Q66), 0, 1), 4, if(ISBLANK('2025'!$R66), 0, 1), 5, if(ISBLANK('2025'!$S66), 0, 1), 6, if(ISBLANK('2025'!$T66), 0, 1), 7, 0))), 1, "")</f>
        <v/>
      </c>
      <c r="AN68" s="1" t="str">
        <f>IF(AND(AND(AND(AN$4&gt;='2025'!$L66,AN$4&lt;='2025'!$M66), AN$4&lt;&gt;DATE(2025,7,4)), (SWITCH(weekday(AN$4), 1, 0, 2, if(ISBLANK('2025'!$P66), 0, 1), 3, if(ISBLANK('2025'!$Q66), 0, 1), 4, if(ISBLANK('2025'!$R66), 0, 1), 5, if(ISBLANK('2025'!$S66), 0, 1), 6, if(ISBLANK('2025'!$T66), 0, 1), 7, 0))), 1, "")</f>
        <v/>
      </c>
      <c r="AO68" s="1" t="str">
        <f>IF(AND(AND(AND(AO$4&gt;='2025'!$L66,AO$4&lt;='2025'!$M66), AO$4&lt;&gt;DATE(2025,7,4)), (SWITCH(weekday(AO$4), 1, 0, 2, if(ISBLANK('2025'!$P66), 0, 1), 3, if(ISBLANK('2025'!$Q66), 0, 1), 4, if(ISBLANK('2025'!$R66), 0, 1), 5, if(ISBLANK('2025'!$S66), 0, 1), 6, if(ISBLANK('2025'!$T66), 0, 1), 7, 0))), 1, "")</f>
        <v/>
      </c>
      <c r="AP68" s="1" t="str">
        <f>IF(AND(AND(AND(AP$4&gt;='2025'!$L66,AP$4&lt;='2025'!$M66), AP$4&lt;&gt;DATE(2025,7,4)), (SWITCH(weekday(AP$4), 1, 0, 2, if(ISBLANK('2025'!$P66), 0, 1), 3, if(ISBLANK('2025'!$Q66), 0, 1), 4, if(ISBLANK('2025'!$R66), 0, 1), 5, if(ISBLANK('2025'!$S66), 0, 1), 6, if(ISBLANK('2025'!$T66), 0, 1), 7, 0))), 1, "")</f>
        <v/>
      </c>
      <c r="AQ68" s="1" t="str">
        <f>IF(AND(AND(AND(AQ$4&gt;='2025'!$L66,AQ$4&lt;='2025'!$M66), AQ$4&lt;&gt;DATE(2025,7,4)), (SWITCH(weekday(AQ$4), 1, 0, 2, if(ISBLANK('2025'!$P66), 0, 1), 3, if(ISBLANK('2025'!$Q66), 0, 1), 4, if(ISBLANK('2025'!$R66), 0, 1), 5, if(ISBLANK('2025'!$S66), 0, 1), 6, if(ISBLANK('2025'!$T66), 0, 1), 7, 0))), 1, "")</f>
        <v/>
      </c>
      <c r="AR68" s="1" t="str">
        <f>IF(AND(AND(AND(AR$4&gt;='2025'!$L66,AR$4&lt;='2025'!$M66), AR$4&lt;&gt;DATE(2025,7,4)), (SWITCH(weekday(AR$4), 1, 0, 2, if(ISBLANK('2025'!$P66), 0, 1), 3, if(ISBLANK('2025'!$Q66), 0, 1), 4, if(ISBLANK('2025'!$R66), 0, 1), 5, if(ISBLANK('2025'!$S66), 0, 1), 6, if(ISBLANK('2025'!$T66), 0, 1), 7, 0))), 1, "")</f>
        <v/>
      </c>
      <c r="AS68" s="1" t="str">
        <f>IF(AND(AND(AND(AS$4&gt;='2025'!$L66,AS$4&lt;='2025'!$M66), AS$4&lt;&gt;DATE(2025,7,4)), (SWITCH(weekday(AS$4), 1, 0, 2, if(ISBLANK('2025'!$P66), 0, 1), 3, if(ISBLANK('2025'!$Q66), 0, 1), 4, if(ISBLANK('2025'!$R66), 0, 1), 5, if(ISBLANK('2025'!$S66), 0, 1), 6, if(ISBLANK('2025'!$T66), 0, 1), 7, 0))), 1, "")</f>
        <v/>
      </c>
      <c r="AT68" s="1" t="str">
        <f>IF(AND(AND(AND(AT$4&gt;='2025'!$L66,AT$4&lt;='2025'!$M66), AT$4&lt;&gt;DATE(2025,7,4)), (SWITCH(weekday(AT$4), 1, 0, 2, if(ISBLANK('2025'!$P66), 0, 1), 3, if(ISBLANK('2025'!$Q66), 0, 1), 4, if(ISBLANK('2025'!$R66), 0, 1), 5, if(ISBLANK('2025'!$S66), 0, 1), 6, if(ISBLANK('2025'!$T66), 0, 1), 7, 0))), 1, "")</f>
        <v/>
      </c>
      <c r="AU68" s="1" t="str">
        <f>IF(AND(AND(AND(AU$4&gt;='2025'!$L66,AU$4&lt;='2025'!$M66), AU$4&lt;&gt;DATE(2025,7,4)), (SWITCH(weekday(AU$4), 1, 0, 2, if(ISBLANK('2025'!$P66), 0, 1), 3, if(ISBLANK('2025'!$Q66), 0, 1), 4, if(ISBLANK('2025'!$R66), 0, 1), 5, if(ISBLANK('2025'!$S66), 0, 1), 6, if(ISBLANK('2025'!$T66), 0, 1), 7, 0))), 1, "")</f>
        <v/>
      </c>
      <c r="AV68" s="1" t="str">
        <f>IF(AND(AND(AND(AV$4&gt;='2025'!$L66,AV$4&lt;='2025'!$M66), AV$4&lt;&gt;DATE(2025,7,4)), (SWITCH(weekday(AV$4), 1, 0, 2, if(ISBLANK('2025'!$P66), 0, 1), 3, if(ISBLANK('2025'!$Q66), 0, 1), 4, if(ISBLANK('2025'!$R66), 0, 1), 5, if(ISBLANK('2025'!$S66), 0, 1), 6, if(ISBLANK('2025'!$T66), 0, 1), 7, 0))), 1, "")</f>
        <v/>
      </c>
      <c r="AW68" s="1" t="str">
        <f>IF(AND(AND(AND(AW$4&gt;='2025'!$L66,AW$4&lt;='2025'!$M66), AW$4&lt;&gt;DATE(2025,7,4)), (SWITCH(weekday(AW$4), 1, 0, 2, if(ISBLANK('2025'!$P66), 0, 1), 3, if(ISBLANK('2025'!$Q66), 0, 1), 4, if(ISBLANK('2025'!$R66), 0, 1), 5, if(ISBLANK('2025'!$S66), 0, 1), 6, if(ISBLANK('2025'!$T66), 0, 1), 7, 0))), 1, "")</f>
        <v/>
      </c>
      <c r="AX68" s="1" t="str">
        <f>IF(AND(AND(AND(AX$4&gt;='2025'!$L66,AX$4&lt;='2025'!$M66), AX$4&lt;&gt;DATE(2025,7,4)), (SWITCH(weekday(AX$4), 1, 0, 2, if(ISBLANK('2025'!$P66), 0, 1), 3, if(ISBLANK('2025'!$Q66), 0, 1), 4, if(ISBLANK('2025'!$R66), 0, 1), 5, if(ISBLANK('2025'!$S66), 0, 1), 6, if(ISBLANK('2025'!$T66), 0, 1), 7, 0))), 1, "")</f>
        <v/>
      </c>
      <c r="AY68" s="1" t="str">
        <f>IF(AND(AND(AND(AY$4&gt;='2025'!$L66,AY$4&lt;='2025'!$M66), AY$4&lt;&gt;DATE(2025,7,4)), (SWITCH(weekday(AY$4), 1, 0, 2, if(ISBLANK('2025'!$P66), 0, 1), 3, if(ISBLANK('2025'!$Q66), 0, 1), 4, if(ISBLANK('2025'!$R66), 0, 1), 5, if(ISBLANK('2025'!$S66), 0, 1), 6, if(ISBLANK('2025'!$T66), 0, 1), 7, 0))), 1, "")</f>
        <v/>
      </c>
      <c r="AZ68" s="1" t="str">
        <f>IF(AND(AND(AND(AZ$4&gt;='2025'!$L66,AZ$4&lt;='2025'!$M66), AZ$4&lt;&gt;DATE(2025,7,4)), (SWITCH(weekday(AZ$4), 1, 0, 2, if(ISBLANK('2025'!$P66), 0, 1), 3, if(ISBLANK('2025'!$Q66), 0, 1), 4, if(ISBLANK('2025'!$R66), 0, 1), 5, if(ISBLANK('2025'!$S66), 0, 1), 6, if(ISBLANK('2025'!$T66), 0, 1), 7, 0))), 1, "")</f>
        <v/>
      </c>
      <c r="BA68" s="1" t="str">
        <f>IF(AND(AND(AND(BA$4&gt;='2025'!$L66,BA$4&lt;='2025'!$M66), BA$4&lt;&gt;DATE(2025,7,4)), (SWITCH(weekday(BA$4), 1, 0, 2, if(ISBLANK('2025'!$P66), 0, 1), 3, if(ISBLANK('2025'!$Q66), 0, 1), 4, if(ISBLANK('2025'!$R66), 0, 1), 5, if(ISBLANK('2025'!$S66), 0, 1), 6, if(ISBLANK('2025'!$T66), 0, 1), 7, 0))), 1, "")</f>
        <v/>
      </c>
      <c r="BB68" s="1" t="str">
        <f>IF(AND(AND(AND(BB$4&gt;='2025'!$L66,BB$4&lt;='2025'!$M66), BB$4&lt;&gt;DATE(2025,7,4)), (SWITCH(weekday(BB$4), 1, 0, 2, if(ISBLANK('2025'!$P66), 0, 1), 3, if(ISBLANK('2025'!$Q66), 0, 1), 4, if(ISBLANK('2025'!$R66), 0, 1), 5, if(ISBLANK('2025'!$S66), 0, 1), 6, if(ISBLANK('2025'!$T66), 0, 1), 7, 0))), 1, "")</f>
        <v/>
      </c>
      <c r="BC68" s="1" t="str">
        <f>IF(AND(AND(AND(BC$4&gt;='2025'!$L66,BC$4&lt;='2025'!$M66), BC$4&lt;&gt;DATE(2025,7,4)), (SWITCH(weekday(BC$4), 1, 0, 2, if(ISBLANK('2025'!$P66), 0, 1), 3, if(ISBLANK('2025'!$Q66), 0, 1), 4, if(ISBLANK('2025'!$R66), 0, 1), 5, if(ISBLANK('2025'!$S66), 0, 1), 6, if(ISBLANK('2025'!$T66), 0, 1), 7, 0))), 1, "")</f>
        <v/>
      </c>
      <c r="BD68" s="1" t="str">
        <f>IF(AND(AND(AND(BD$4&gt;='2025'!$L66,BD$4&lt;='2025'!$M66), BD$4&lt;&gt;DATE(2025,7,4)), (SWITCH(weekday(BD$4), 1, 0, 2, if(ISBLANK('2025'!$P66), 0, 1), 3, if(ISBLANK('2025'!$Q66), 0, 1), 4, if(ISBLANK('2025'!$R66), 0, 1), 5, if(ISBLANK('2025'!$S66), 0, 1), 6, if(ISBLANK('2025'!$T66), 0, 1), 7, 0))), 1, "")</f>
        <v/>
      </c>
      <c r="BE68" s="1" t="str">
        <f>IF(AND(AND(AND(BE$4&gt;='2025'!$L66,BE$4&lt;='2025'!$M66), BE$4&lt;&gt;DATE(2025,7,4)), (SWITCH(weekday(BE$4), 1, 0, 2, if(ISBLANK('2025'!$P66), 0, 1), 3, if(ISBLANK('2025'!$Q66), 0, 1), 4, if(ISBLANK('2025'!$R66), 0, 1), 5, if(ISBLANK('2025'!$S66), 0, 1), 6, if(ISBLANK('2025'!$T66), 0, 1), 7, 0))), 1, "")</f>
        <v/>
      </c>
      <c r="BF68" s="1" t="str">
        <f>IF(AND(AND(AND(BF$4&gt;='2025'!$L66,BF$4&lt;='2025'!$M66), BF$4&lt;&gt;DATE(2025,7,4)), (SWITCH(weekday(BF$4), 1, 0, 2, if(ISBLANK('2025'!$P66), 0, 1), 3, if(ISBLANK('2025'!$Q66), 0, 1), 4, if(ISBLANK('2025'!$R66), 0, 1), 5, if(ISBLANK('2025'!$S66), 0, 1), 6, if(ISBLANK('2025'!$T66), 0, 1), 7, 0))), 1, "")</f>
        <v/>
      </c>
      <c r="BG68" s="1"/>
      <c r="BH68" s="1"/>
      <c r="BI68" s="1"/>
      <c r="BJ68" s="1"/>
      <c r="BK68" s="1"/>
      <c r="BL68" s="1"/>
    </row>
    <row r="69">
      <c r="A69" s="1">
        <f t="shared" si="3"/>
        <v>69</v>
      </c>
      <c r="B69" s="1" t="str">
        <f>'2025'!D67</f>
        <v>, </v>
      </c>
      <c r="C69" s="1" t="str">
        <f>'2025'!H67</f>
        <v/>
      </c>
      <c r="D69" s="1" t="str">
        <f>IF(AND(AND(AND(D$4&gt;='2025'!$L67,D$4&lt;='2025'!$M67), D$4&lt;&gt;DATE(2025,7,4)), (SWITCH(weekday(D$4), 1, 0, 2, if(ISBLANK('2025'!$P67), 0, 1), 3, if(ISBLANK('2025'!$Q67), 0, 1), 4, if(ISBLANK('2025'!$R67), 0, 1), 5, if(ISBLANK('2025'!$S67), 0, 1), 6, if(ISBLANK('2025'!$T67), 0, 1), 7, 0))), 1, "")</f>
        <v/>
      </c>
      <c r="E69" s="1" t="str">
        <f>IF(AND(AND(AND(E$4&gt;='2025'!$L67,E$4&lt;='2025'!$M67), E$4&lt;&gt;DATE(2025,7,4)), (SWITCH(weekday(E$4), 1, 0, 2, if(ISBLANK('2025'!$P67), 0, 1), 3, if(ISBLANK('2025'!$Q67), 0, 1), 4, if(ISBLANK('2025'!$R67), 0, 1), 5, if(ISBLANK('2025'!$S67), 0, 1), 6, if(ISBLANK('2025'!$T67), 0, 1), 7, 0))), 1, "")</f>
        <v/>
      </c>
      <c r="F69" s="1" t="str">
        <f>IF(AND(AND(AND(F$4&gt;='2025'!$L67,F$4&lt;='2025'!$M67), F$4&lt;&gt;DATE(2025,7,4)), (SWITCH(weekday(F$4), 1, 0, 2, if(ISBLANK('2025'!$P67), 0, 1), 3, if(ISBLANK('2025'!$Q67), 0, 1), 4, if(ISBLANK('2025'!$R67), 0, 1), 5, if(ISBLANK('2025'!$S67), 0, 1), 6, if(ISBLANK('2025'!$T67), 0, 1), 7, 0))), 1, "")</f>
        <v/>
      </c>
      <c r="G69" s="1" t="str">
        <f>IF(AND(AND(AND(G$4&gt;='2025'!$L67,G$4&lt;='2025'!$M67), G$4&lt;&gt;DATE(2025,7,4)), (SWITCH(weekday(G$4), 1, 0, 2, if(ISBLANK('2025'!$P67), 0, 1), 3, if(ISBLANK('2025'!$Q67), 0, 1), 4, if(ISBLANK('2025'!$R67), 0, 1), 5, if(ISBLANK('2025'!$S67), 0, 1), 6, if(ISBLANK('2025'!$T67), 0, 1), 7, 0))), 1, "")</f>
        <v/>
      </c>
      <c r="H69" s="1" t="str">
        <f>IF(AND(AND(AND(H$4&gt;='2025'!$L67,H$4&lt;='2025'!$M67), H$4&lt;&gt;DATE(2025,7,4)), (SWITCH(weekday(H$4), 1, 0, 2, if(ISBLANK('2025'!$P67), 0, 1), 3, if(ISBLANK('2025'!$Q67), 0, 1), 4, if(ISBLANK('2025'!$R67), 0, 1), 5, if(ISBLANK('2025'!$S67), 0, 1), 6, if(ISBLANK('2025'!$T67), 0, 1), 7, 0))), 1, "")</f>
        <v/>
      </c>
      <c r="I69" s="1" t="str">
        <f>IF(AND(AND(AND(I$4&gt;='2025'!$L67,I$4&lt;='2025'!$M67), I$4&lt;&gt;DATE(2025,7,4)), (SWITCH(weekday(I$4), 1, 0, 2, if(ISBLANK('2025'!$P67), 0, 1), 3, if(ISBLANK('2025'!$Q67), 0, 1), 4, if(ISBLANK('2025'!$R67), 0, 1), 5, if(ISBLANK('2025'!$S67), 0, 1), 6, if(ISBLANK('2025'!$T67), 0, 1), 7, 0))), 1, "")</f>
        <v/>
      </c>
      <c r="J69" s="1" t="str">
        <f>IF(AND(AND(AND(J$4&gt;='2025'!$L67,J$4&lt;='2025'!$M67), J$4&lt;&gt;DATE(2025,7,4)), (SWITCH(weekday(J$4), 1, 0, 2, if(ISBLANK('2025'!$P67), 0, 1), 3, if(ISBLANK('2025'!$Q67), 0, 1), 4, if(ISBLANK('2025'!$R67), 0, 1), 5, if(ISBLANK('2025'!$S67), 0, 1), 6, if(ISBLANK('2025'!$T67), 0, 1), 7, 0))), 1, "")</f>
        <v/>
      </c>
      <c r="K69" s="1" t="str">
        <f>IF(AND(AND(AND(K$4&gt;='2025'!$L67,K$4&lt;='2025'!$M67), K$4&lt;&gt;DATE(2025,7,4)), (SWITCH(weekday(K$4), 1, 0, 2, if(ISBLANK('2025'!$P67), 0, 1), 3, if(ISBLANK('2025'!$Q67), 0, 1), 4, if(ISBLANK('2025'!$R67), 0, 1), 5, if(ISBLANK('2025'!$S67), 0, 1), 6, if(ISBLANK('2025'!$T67), 0, 1), 7, 0))), 1, "")</f>
        <v/>
      </c>
      <c r="L69" s="1" t="str">
        <f>IF(AND(AND(AND(L$4&gt;='2025'!$L67,L$4&lt;='2025'!$M67), L$4&lt;&gt;DATE(2025,7,4)), (SWITCH(weekday(L$4), 1, 0, 2, if(ISBLANK('2025'!$P67), 0, 1), 3, if(ISBLANK('2025'!$Q67), 0, 1), 4, if(ISBLANK('2025'!$R67), 0, 1), 5, if(ISBLANK('2025'!$S67), 0, 1), 6, if(ISBLANK('2025'!$T67), 0, 1), 7, 0))), 1, "")</f>
        <v/>
      </c>
      <c r="M69" s="1" t="str">
        <f>IF(AND(AND(AND(M$4&gt;='2025'!$L67,M$4&lt;='2025'!$M67), M$4&lt;&gt;DATE(2025,7,4)), (SWITCH(weekday(M$4), 1, 0, 2, if(ISBLANK('2025'!$P67), 0, 1), 3, if(ISBLANK('2025'!$Q67), 0, 1), 4, if(ISBLANK('2025'!$R67), 0, 1), 5, if(ISBLANK('2025'!$S67), 0, 1), 6, if(ISBLANK('2025'!$T67), 0, 1), 7, 0))), 1, "")</f>
        <v/>
      </c>
      <c r="N69" s="1" t="str">
        <f>IF(AND(AND(AND(N$4&gt;='2025'!$L67,N$4&lt;='2025'!$M67), N$4&lt;&gt;DATE(2025,7,4)), (SWITCH(weekday(N$4), 1, 0, 2, if(ISBLANK('2025'!$P67), 0, 1), 3, if(ISBLANK('2025'!$Q67), 0, 1), 4, if(ISBLANK('2025'!$R67), 0, 1), 5, if(ISBLANK('2025'!$S67), 0, 1), 6, if(ISBLANK('2025'!$T67), 0, 1), 7, 0))), 1, "")</f>
        <v/>
      </c>
      <c r="O69" s="1" t="str">
        <f>IF(AND(AND(AND(O$4&gt;='2025'!$L67,O$4&lt;='2025'!$M67), O$4&lt;&gt;DATE(2025,7,4)), (SWITCH(weekday(O$4), 1, 0, 2, if(ISBLANK('2025'!$P67), 0, 1), 3, if(ISBLANK('2025'!$Q67), 0, 1), 4, if(ISBLANK('2025'!$R67), 0, 1), 5, if(ISBLANK('2025'!$S67), 0, 1), 6, if(ISBLANK('2025'!$T67), 0, 1), 7, 0))), 1, "")</f>
        <v/>
      </c>
      <c r="P69" s="1" t="str">
        <f>IF(AND(AND(AND(P$4&gt;='2025'!$L67,P$4&lt;='2025'!$M67), P$4&lt;&gt;DATE(2025,7,4)), (SWITCH(weekday(P$4), 1, 0, 2, if(ISBLANK('2025'!$P67), 0, 1), 3, if(ISBLANK('2025'!$Q67), 0, 1), 4, if(ISBLANK('2025'!$R67), 0, 1), 5, if(ISBLANK('2025'!$S67), 0, 1), 6, if(ISBLANK('2025'!$T67), 0, 1), 7, 0))), 1, "")</f>
        <v/>
      </c>
      <c r="Q69" s="1" t="str">
        <f>IF(AND(AND(AND(Q$4&gt;='2025'!$L67,Q$4&lt;='2025'!$M67), Q$4&lt;&gt;DATE(2025,7,4)), (SWITCH(weekday(Q$4), 1, 0, 2, if(ISBLANK('2025'!$P67), 0, 1), 3, if(ISBLANK('2025'!$Q67), 0, 1), 4, if(ISBLANK('2025'!$R67), 0, 1), 5, if(ISBLANK('2025'!$S67), 0, 1), 6, if(ISBLANK('2025'!$T67), 0, 1), 7, 0))), 1, "")</f>
        <v/>
      </c>
      <c r="R69" s="1" t="str">
        <f>IF(AND(AND(AND(R$4&gt;='2025'!$L67,R$4&lt;='2025'!$M67), R$4&lt;&gt;DATE(2025,7,4)), (SWITCH(weekday(R$4), 1, 0, 2, if(ISBLANK('2025'!$P67), 0, 1), 3, if(ISBLANK('2025'!$Q67), 0, 1), 4, if(ISBLANK('2025'!$R67), 0, 1), 5, if(ISBLANK('2025'!$S67), 0, 1), 6, if(ISBLANK('2025'!$T67), 0, 1), 7, 0))), 1, "")</f>
        <v/>
      </c>
      <c r="S69" s="1" t="str">
        <f>IF(AND(AND(AND(S$4&gt;='2025'!$L67,S$4&lt;='2025'!$M67), S$4&lt;&gt;DATE(2025,7,4)), (SWITCH(weekday(S$4), 1, 0, 2, if(ISBLANK('2025'!$P67), 0, 1), 3, if(ISBLANK('2025'!$Q67), 0, 1), 4, if(ISBLANK('2025'!$R67), 0, 1), 5, if(ISBLANK('2025'!$S67), 0, 1), 6, if(ISBLANK('2025'!$T67), 0, 1), 7, 0))), 1, "")</f>
        <v/>
      </c>
      <c r="T69" s="1" t="str">
        <f>IF(AND(AND(AND(T$4&gt;='2025'!$L67,T$4&lt;='2025'!$M67), T$4&lt;&gt;DATE(2025,7,4)), (SWITCH(weekday(T$4), 1, 0, 2, if(ISBLANK('2025'!$P67), 0, 1), 3, if(ISBLANK('2025'!$Q67), 0, 1), 4, if(ISBLANK('2025'!$R67), 0, 1), 5, if(ISBLANK('2025'!$S67), 0, 1), 6, if(ISBLANK('2025'!$T67), 0, 1), 7, 0))), 1, "")</f>
        <v/>
      </c>
      <c r="U69" s="1" t="str">
        <f>IF(AND(AND(AND(U$4&gt;='2025'!$L67,U$4&lt;='2025'!$M67), U$4&lt;&gt;DATE(2025,7,4)), (SWITCH(weekday(U$4), 1, 0, 2, if(ISBLANK('2025'!$P67), 0, 1), 3, if(ISBLANK('2025'!$Q67), 0, 1), 4, if(ISBLANK('2025'!$R67), 0, 1), 5, if(ISBLANK('2025'!$S67), 0, 1), 6, if(ISBLANK('2025'!$T67), 0, 1), 7, 0))), 1, "")</f>
        <v/>
      </c>
      <c r="V69" s="1" t="str">
        <f>IF(AND(AND(AND(V$4&gt;='2025'!$L67,V$4&lt;='2025'!$M67), V$4&lt;&gt;DATE(2025,7,4)), (SWITCH(weekday(V$4), 1, 0, 2, if(ISBLANK('2025'!$P67), 0, 1), 3, if(ISBLANK('2025'!$Q67), 0, 1), 4, if(ISBLANK('2025'!$R67), 0, 1), 5, if(ISBLANK('2025'!$S67), 0, 1), 6, if(ISBLANK('2025'!$T67), 0, 1), 7, 0))), 1, "")</f>
        <v/>
      </c>
      <c r="W69" s="1" t="str">
        <f>IF(AND(AND(AND(W$4&gt;='2025'!$L67,W$4&lt;='2025'!$M67), W$4&lt;&gt;DATE(2025,7,4)), (SWITCH(weekday(W$4), 1, 0, 2, if(ISBLANK('2025'!$P67), 0, 1), 3, if(ISBLANK('2025'!$Q67), 0, 1), 4, if(ISBLANK('2025'!$R67), 0, 1), 5, if(ISBLANK('2025'!$S67), 0, 1), 6, if(ISBLANK('2025'!$T67), 0, 1), 7, 0))), 1, "")</f>
        <v/>
      </c>
      <c r="X69" s="1" t="str">
        <f>IF(AND(AND(AND(X$4&gt;='2025'!$L67,X$4&lt;='2025'!$M67), X$4&lt;&gt;DATE(2025,7,4)), (SWITCH(weekday(X$4), 1, 0, 2, if(ISBLANK('2025'!$P67), 0, 1), 3, if(ISBLANK('2025'!$Q67), 0, 1), 4, if(ISBLANK('2025'!$R67), 0, 1), 5, if(ISBLANK('2025'!$S67), 0, 1), 6, if(ISBLANK('2025'!$T67), 0, 1), 7, 0))), 1, "")</f>
        <v/>
      </c>
      <c r="Y69" s="1" t="str">
        <f>IF(AND(AND(AND(Y$4&gt;='2025'!$L67,Y$4&lt;='2025'!$M67), Y$4&lt;&gt;DATE(2025,7,4)), (SWITCH(weekday(Y$4), 1, 0, 2, if(ISBLANK('2025'!$P67), 0, 1), 3, if(ISBLANK('2025'!$Q67), 0, 1), 4, if(ISBLANK('2025'!$R67), 0, 1), 5, if(ISBLANK('2025'!$S67), 0, 1), 6, if(ISBLANK('2025'!$T67), 0, 1), 7, 0))), 1, "")</f>
        <v/>
      </c>
      <c r="Z69" s="1" t="str">
        <f>IF(AND(AND(AND(Z$4&gt;='2025'!$L67,Z$4&lt;='2025'!$M67), Z$4&lt;&gt;DATE(2025,7,4)), (SWITCH(weekday(Z$4), 1, 0, 2, if(ISBLANK('2025'!$P67), 0, 1), 3, if(ISBLANK('2025'!$Q67), 0, 1), 4, if(ISBLANK('2025'!$R67), 0, 1), 5, if(ISBLANK('2025'!$S67), 0, 1), 6, if(ISBLANK('2025'!$T67), 0, 1), 7, 0))), 1, "")</f>
        <v/>
      </c>
      <c r="AA69" s="1" t="str">
        <f>IF(AND(AND(AND(AA$4&gt;='2025'!$L67,AA$4&lt;='2025'!$M67), AA$4&lt;&gt;DATE(2025,7,4)), (SWITCH(weekday(AA$4), 1, 0, 2, if(ISBLANK('2025'!$P67), 0, 1), 3, if(ISBLANK('2025'!$Q67), 0, 1), 4, if(ISBLANK('2025'!$R67), 0, 1), 5, if(ISBLANK('2025'!$S67), 0, 1), 6, if(ISBLANK('2025'!$T67), 0, 1), 7, 0))), 1, "")</f>
        <v/>
      </c>
      <c r="AB69" s="1" t="str">
        <f>IF(AND(AND(AND(AB$4&gt;='2025'!$L67,AB$4&lt;='2025'!$M67), AB$4&lt;&gt;DATE(2025,7,4)), (SWITCH(weekday(AB$4), 1, 0, 2, if(ISBLANK('2025'!$P67), 0, 1), 3, if(ISBLANK('2025'!$Q67), 0, 1), 4, if(ISBLANK('2025'!$R67), 0, 1), 5, if(ISBLANK('2025'!$S67), 0, 1), 6, if(ISBLANK('2025'!$T67), 0, 1), 7, 0))), 1, "")</f>
        <v/>
      </c>
      <c r="AC69" s="1" t="str">
        <f>IF(AND(AND(AND(AC$4&gt;='2025'!$L67,AC$4&lt;='2025'!$M67), AC$4&lt;&gt;DATE(2025,7,4)), (SWITCH(weekday(AC$4), 1, 0, 2, if(ISBLANK('2025'!$P67), 0, 1), 3, if(ISBLANK('2025'!$Q67), 0, 1), 4, if(ISBLANK('2025'!$R67), 0, 1), 5, if(ISBLANK('2025'!$S67), 0, 1), 6, if(ISBLANK('2025'!$T67), 0, 1), 7, 0))), 1, "")</f>
        <v/>
      </c>
      <c r="AD69" s="1" t="str">
        <f>IF(AND(AND(AND(AD$4&gt;='2025'!$L67,AD$4&lt;='2025'!$M67), AD$4&lt;&gt;DATE(2025,7,4)), (SWITCH(weekday(AD$4), 1, 0, 2, if(ISBLANK('2025'!$P67), 0, 1), 3, if(ISBLANK('2025'!$Q67), 0, 1), 4, if(ISBLANK('2025'!$R67), 0, 1), 5, if(ISBLANK('2025'!$S67), 0, 1), 6, if(ISBLANK('2025'!$T67), 0, 1), 7, 0))), 1, "")</f>
        <v/>
      </c>
      <c r="AE69" s="1" t="str">
        <f>IF(AND(AND(AND(AE$4&gt;='2025'!$L67,AE$4&lt;='2025'!$M67), AE$4&lt;&gt;DATE(2025,7,4)), (SWITCH(weekday(AE$4), 1, 0, 2, if(ISBLANK('2025'!$P67), 0, 1), 3, if(ISBLANK('2025'!$Q67), 0, 1), 4, if(ISBLANK('2025'!$R67), 0, 1), 5, if(ISBLANK('2025'!$S67), 0, 1), 6, if(ISBLANK('2025'!$T67), 0, 1), 7, 0))), 1, "")</f>
        <v/>
      </c>
      <c r="AF69" s="1" t="str">
        <f>IF(AND(AND(AND(AF$4&gt;='2025'!$L67,AF$4&lt;='2025'!$M67), AF$4&lt;&gt;DATE(2025,7,4)), (SWITCH(weekday(AF$4), 1, 0, 2, if(ISBLANK('2025'!$P67), 0, 1), 3, if(ISBLANK('2025'!$Q67), 0, 1), 4, if(ISBLANK('2025'!$R67), 0, 1), 5, if(ISBLANK('2025'!$S67), 0, 1), 6, if(ISBLANK('2025'!$T67), 0, 1), 7, 0))), 1, "")</f>
        <v/>
      </c>
      <c r="AG69" s="1" t="str">
        <f>IF(AND(AND(AND(AG$4&gt;='2025'!$L67,AG$4&lt;='2025'!$M67), AG$4&lt;&gt;DATE(2025,7,4)), (SWITCH(weekday(AG$4), 1, 0, 2, if(ISBLANK('2025'!$P67), 0, 1), 3, if(ISBLANK('2025'!$Q67), 0, 1), 4, if(ISBLANK('2025'!$R67), 0, 1), 5, if(ISBLANK('2025'!$S67), 0, 1), 6, if(ISBLANK('2025'!$T67), 0, 1), 7, 0))), 1, "")</f>
        <v/>
      </c>
      <c r="AH69" s="1" t="str">
        <f>IF(AND(AND(AND(AH$4&gt;='2025'!$L67,AH$4&lt;='2025'!$M67), AH$4&lt;&gt;DATE(2025,7,4)), (SWITCH(weekday(AH$4), 1, 0, 2, if(ISBLANK('2025'!$P67), 0, 1), 3, if(ISBLANK('2025'!$Q67), 0, 1), 4, if(ISBLANK('2025'!$R67), 0, 1), 5, if(ISBLANK('2025'!$S67), 0, 1), 6, if(ISBLANK('2025'!$T67), 0, 1), 7, 0))), 1, "")</f>
        <v/>
      </c>
      <c r="AI69" s="1" t="str">
        <f>IF(AND(AND(AND(AI$4&gt;='2025'!$L67,AI$4&lt;='2025'!$M67), AI$4&lt;&gt;DATE(2025,7,4)), (SWITCH(weekday(AI$4), 1, 0, 2, if(ISBLANK('2025'!$P67), 0, 1), 3, if(ISBLANK('2025'!$Q67), 0, 1), 4, if(ISBLANK('2025'!$R67), 0, 1), 5, if(ISBLANK('2025'!$S67), 0, 1), 6, if(ISBLANK('2025'!$T67), 0, 1), 7, 0))), 1, "")</f>
        <v/>
      </c>
      <c r="AJ69" s="1" t="str">
        <f>IF(AND(AND(AND(AJ$4&gt;='2025'!$L67,AJ$4&lt;='2025'!$M67), AJ$4&lt;&gt;DATE(2025,7,4)), (SWITCH(weekday(AJ$4), 1, 0, 2, if(ISBLANK('2025'!$P67), 0, 1), 3, if(ISBLANK('2025'!$Q67), 0, 1), 4, if(ISBLANK('2025'!$R67), 0, 1), 5, if(ISBLANK('2025'!$S67), 0, 1), 6, if(ISBLANK('2025'!$T67), 0, 1), 7, 0))), 1, "")</f>
        <v/>
      </c>
      <c r="AK69" s="1" t="str">
        <f>IF(AND(AND(AND(AK$4&gt;='2025'!$L67,AK$4&lt;='2025'!$M67), AK$4&lt;&gt;DATE(2025,7,4)), (SWITCH(weekday(AK$4), 1, 0, 2, if(ISBLANK('2025'!$P67), 0, 1), 3, if(ISBLANK('2025'!$Q67), 0, 1), 4, if(ISBLANK('2025'!$R67), 0, 1), 5, if(ISBLANK('2025'!$S67), 0, 1), 6, if(ISBLANK('2025'!$T67), 0, 1), 7, 0))), 1, "")</f>
        <v/>
      </c>
      <c r="AL69" s="1" t="str">
        <f>IF(AND(AND(AND(AL$4&gt;='2025'!$L67,AL$4&lt;='2025'!$M67), AL$4&lt;&gt;DATE(2025,7,4)), (SWITCH(weekday(AL$4), 1, 0, 2, if(ISBLANK('2025'!$P67), 0, 1), 3, if(ISBLANK('2025'!$Q67), 0, 1), 4, if(ISBLANK('2025'!$R67), 0, 1), 5, if(ISBLANK('2025'!$S67), 0, 1), 6, if(ISBLANK('2025'!$T67), 0, 1), 7, 0))), 1, "")</f>
        <v/>
      </c>
      <c r="AM69" s="1" t="str">
        <f>IF(AND(AND(AND(AM$4&gt;='2025'!$L67,AM$4&lt;='2025'!$M67), AM$4&lt;&gt;DATE(2025,7,4)), (SWITCH(weekday(AM$4), 1, 0, 2, if(ISBLANK('2025'!$P67), 0, 1), 3, if(ISBLANK('2025'!$Q67), 0, 1), 4, if(ISBLANK('2025'!$R67), 0, 1), 5, if(ISBLANK('2025'!$S67), 0, 1), 6, if(ISBLANK('2025'!$T67), 0, 1), 7, 0))), 1, "")</f>
        <v/>
      </c>
      <c r="AN69" s="1" t="str">
        <f>IF(AND(AND(AND(AN$4&gt;='2025'!$L67,AN$4&lt;='2025'!$M67), AN$4&lt;&gt;DATE(2025,7,4)), (SWITCH(weekday(AN$4), 1, 0, 2, if(ISBLANK('2025'!$P67), 0, 1), 3, if(ISBLANK('2025'!$Q67), 0, 1), 4, if(ISBLANK('2025'!$R67), 0, 1), 5, if(ISBLANK('2025'!$S67), 0, 1), 6, if(ISBLANK('2025'!$T67), 0, 1), 7, 0))), 1, "")</f>
        <v/>
      </c>
      <c r="AO69" s="1" t="str">
        <f>IF(AND(AND(AND(AO$4&gt;='2025'!$L67,AO$4&lt;='2025'!$M67), AO$4&lt;&gt;DATE(2025,7,4)), (SWITCH(weekday(AO$4), 1, 0, 2, if(ISBLANK('2025'!$P67), 0, 1), 3, if(ISBLANK('2025'!$Q67), 0, 1), 4, if(ISBLANK('2025'!$R67), 0, 1), 5, if(ISBLANK('2025'!$S67), 0, 1), 6, if(ISBLANK('2025'!$T67), 0, 1), 7, 0))), 1, "")</f>
        <v/>
      </c>
      <c r="AP69" s="1" t="str">
        <f>IF(AND(AND(AND(AP$4&gt;='2025'!$L67,AP$4&lt;='2025'!$M67), AP$4&lt;&gt;DATE(2025,7,4)), (SWITCH(weekday(AP$4), 1, 0, 2, if(ISBLANK('2025'!$P67), 0, 1), 3, if(ISBLANK('2025'!$Q67), 0, 1), 4, if(ISBLANK('2025'!$R67), 0, 1), 5, if(ISBLANK('2025'!$S67), 0, 1), 6, if(ISBLANK('2025'!$T67), 0, 1), 7, 0))), 1, "")</f>
        <v/>
      </c>
      <c r="AQ69" s="1" t="str">
        <f>IF(AND(AND(AND(AQ$4&gt;='2025'!$L67,AQ$4&lt;='2025'!$M67), AQ$4&lt;&gt;DATE(2025,7,4)), (SWITCH(weekday(AQ$4), 1, 0, 2, if(ISBLANK('2025'!$P67), 0, 1), 3, if(ISBLANK('2025'!$Q67), 0, 1), 4, if(ISBLANK('2025'!$R67), 0, 1), 5, if(ISBLANK('2025'!$S67), 0, 1), 6, if(ISBLANK('2025'!$T67), 0, 1), 7, 0))), 1, "")</f>
        <v/>
      </c>
      <c r="AR69" s="1" t="str">
        <f>IF(AND(AND(AND(AR$4&gt;='2025'!$L67,AR$4&lt;='2025'!$M67), AR$4&lt;&gt;DATE(2025,7,4)), (SWITCH(weekday(AR$4), 1, 0, 2, if(ISBLANK('2025'!$P67), 0, 1), 3, if(ISBLANK('2025'!$Q67), 0, 1), 4, if(ISBLANK('2025'!$R67), 0, 1), 5, if(ISBLANK('2025'!$S67), 0, 1), 6, if(ISBLANK('2025'!$T67), 0, 1), 7, 0))), 1, "")</f>
        <v/>
      </c>
      <c r="AS69" s="1" t="str">
        <f>IF(AND(AND(AND(AS$4&gt;='2025'!$L67,AS$4&lt;='2025'!$M67), AS$4&lt;&gt;DATE(2025,7,4)), (SWITCH(weekday(AS$4), 1, 0, 2, if(ISBLANK('2025'!$P67), 0, 1), 3, if(ISBLANK('2025'!$Q67), 0, 1), 4, if(ISBLANK('2025'!$R67), 0, 1), 5, if(ISBLANK('2025'!$S67), 0, 1), 6, if(ISBLANK('2025'!$T67), 0, 1), 7, 0))), 1, "")</f>
        <v/>
      </c>
      <c r="AT69" s="1" t="str">
        <f>IF(AND(AND(AND(AT$4&gt;='2025'!$L67,AT$4&lt;='2025'!$M67), AT$4&lt;&gt;DATE(2025,7,4)), (SWITCH(weekday(AT$4), 1, 0, 2, if(ISBLANK('2025'!$P67), 0, 1), 3, if(ISBLANK('2025'!$Q67), 0, 1), 4, if(ISBLANK('2025'!$R67), 0, 1), 5, if(ISBLANK('2025'!$S67), 0, 1), 6, if(ISBLANK('2025'!$T67), 0, 1), 7, 0))), 1, "")</f>
        <v/>
      </c>
      <c r="AU69" s="1" t="str">
        <f>IF(AND(AND(AND(AU$4&gt;='2025'!$L67,AU$4&lt;='2025'!$M67), AU$4&lt;&gt;DATE(2025,7,4)), (SWITCH(weekday(AU$4), 1, 0, 2, if(ISBLANK('2025'!$P67), 0, 1), 3, if(ISBLANK('2025'!$Q67), 0, 1), 4, if(ISBLANK('2025'!$R67), 0, 1), 5, if(ISBLANK('2025'!$S67), 0, 1), 6, if(ISBLANK('2025'!$T67), 0, 1), 7, 0))), 1, "")</f>
        <v/>
      </c>
      <c r="AV69" s="1" t="str">
        <f>IF(AND(AND(AND(AV$4&gt;='2025'!$L67,AV$4&lt;='2025'!$M67), AV$4&lt;&gt;DATE(2025,7,4)), (SWITCH(weekday(AV$4), 1, 0, 2, if(ISBLANK('2025'!$P67), 0, 1), 3, if(ISBLANK('2025'!$Q67), 0, 1), 4, if(ISBLANK('2025'!$R67), 0, 1), 5, if(ISBLANK('2025'!$S67), 0, 1), 6, if(ISBLANK('2025'!$T67), 0, 1), 7, 0))), 1, "")</f>
        <v/>
      </c>
      <c r="AW69" s="1" t="str">
        <f>IF(AND(AND(AND(AW$4&gt;='2025'!$L67,AW$4&lt;='2025'!$M67), AW$4&lt;&gt;DATE(2025,7,4)), (SWITCH(weekday(AW$4), 1, 0, 2, if(ISBLANK('2025'!$P67), 0, 1), 3, if(ISBLANK('2025'!$Q67), 0, 1), 4, if(ISBLANK('2025'!$R67), 0, 1), 5, if(ISBLANK('2025'!$S67), 0, 1), 6, if(ISBLANK('2025'!$T67), 0, 1), 7, 0))), 1, "")</f>
        <v/>
      </c>
      <c r="AX69" s="1" t="str">
        <f>IF(AND(AND(AND(AX$4&gt;='2025'!$L67,AX$4&lt;='2025'!$M67), AX$4&lt;&gt;DATE(2025,7,4)), (SWITCH(weekday(AX$4), 1, 0, 2, if(ISBLANK('2025'!$P67), 0, 1), 3, if(ISBLANK('2025'!$Q67), 0, 1), 4, if(ISBLANK('2025'!$R67), 0, 1), 5, if(ISBLANK('2025'!$S67), 0, 1), 6, if(ISBLANK('2025'!$T67), 0, 1), 7, 0))), 1, "")</f>
        <v/>
      </c>
      <c r="AY69" s="1" t="str">
        <f>IF(AND(AND(AND(AY$4&gt;='2025'!$L67,AY$4&lt;='2025'!$M67), AY$4&lt;&gt;DATE(2025,7,4)), (SWITCH(weekday(AY$4), 1, 0, 2, if(ISBLANK('2025'!$P67), 0, 1), 3, if(ISBLANK('2025'!$Q67), 0, 1), 4, if(ISBLANK('2025'!$R67), 0, 1), 5, if(ISBLANK('2025'!$S67), 0, 1), 6, if(ISBLANK('2025'!$T67), 0, 1), 7, 0))), 1, "")</f>
        <v/>
      </c>
      <c r="AZ69" s="1" t="str">
        <f>IF(AND(AND(AND(AZ$4&gt;='2025'!$L67,AZ$4&lt;='2025'!$M67), AZ$4&lt;&gt;DATE(2025,7,4)), (SWITCH(weekday(AZ$4), 1, 0, 2, if(ISBLANK('2025'!$P67), 0, 1), 3, if(ISBLANK('2025'!$Q67), 0, 1), 4, if(ISBLANK('2025'!$R67), 0, 1), 5, if(ISBLANK('2025'!$S67), 0, 1), 6, if(ISBLANK('2025'!$T67), 0, 1), 7, 0))), 1, "")</f>
        <v/>
      </c>
      <c r="BA69" s="1" t="str">
        <f>IF(AND(AND(AND(BA$4&gt;='2025'!$L67,BA$4&lt;='2025'!$M67), BA$4&lt;&gt;DATE(2025,7,4)), (SWITCH(weekday(BA$4), 1, 0, 2, if(ISBLANK('2025'!$P67), 0, 1), 3, if(ISBLANK('2025'!$Q67), 0, 1), 4, if(ISBLANK('2025'!$R67), 0, 1), 5, if(ISBLANK('2025'!$S67), 0, 1), 6, if(ISBLANK('2025'!$T67), 0, 1), 7, 0))), 1, "")</f>
        <v/>
      </c>
      <c r="BB69" s="1" t="str">
        <f>IF(AND(AND(AND(BB$4&gt;='2025'!$L67,BB$4&lt;='2025'!$M67), BB$4&lt;&gt;DATE(2025,7,4)), (SWITCH(weekday(BB$4), 1, 0, 2, if(ISBLANK('2025'!$P67), 0, 1), 3, if(ISBLANK('2025'!$Q67), 0, 1), 4, if(ISBLANK('2025'!$R67), 0, 1), 5, if(ISBLANK('2025'!$S67), 0, 1), 6, if(ISBLANK('2025'!$T67), 0, 1), 7, 0))), 1, "")</f>
        <v/>
      </c>
      <c r="BC69" s="1" t="str">
        <f>IF(AND(AND(AND(BC$4&gt;='2025'!$L67,BC$4&lt;='2025'!$M67), BC$4&lt;&gt;DATE(2025,7,4)), (SWITCH(weekday(BC$4), 1, 0, 2, if(ISBLANK('2025'!$P67), 0, 1), 3, if(ISBLANK('2025'!$Q67), 0, 1), 4, if(ISBLANK('2025'!$R67), 0, 1), 5, if(ISBLANK('2025'!$S67), 0, 1), 6, if(ISBLANK('2025'!$T67), 0, 1), 7, 0))), 1, "")</f>
        <v/>
      </c>
      <c r="BD69" s="1" t="str">
        <f>IF(AND(AND(AND(BD$4&gt;='2025'!$L67,BD$4&lt;='2025'!$M67), BD$4&lt;&gt;DATE(2025,7,4)), (SWITCH(weekday(BD$4), 1, 0, 2, if(ISBLANK('2025'!$P67), 0, 1), 3, if(ISBLANK('2025'!$Q67), 0, 1), 4, if(ISBLANK('2025'!$R67), 0, 1), 5, if(ISBLANK('2025'!$S67), 0, 1), 6, if(ISBLANK('2025'!$T67), 0, 1), 7, 0))), 1, "")</f>
        <v/>
      </c>
      <c r="BE69" s="1" t="str">
        <f>IF(AND(AND(AND(BE$4&gt;='2025'!$L67,BE$4&lt;='2025'!$M67), BE$4&lt;&gt;DATE(2025,7,4)), (SWITCH(weekday(BE$4), 1, 0, 2, if(ISBLANK('2025'!$P67), 0, 1), 3, if(ISBLANK('2025'!$Q67), 0, 1), 4, if(ISBLANK('2025'!$R67), 0, 1), 5, if(ISBLANK('2025'!$S67), 0, 1), 6, if(ISBLANK('2025'!$T67), 0, 1), 7, 0))), 1, "")</f>
        <v/>
      </c>
      <c r="BF69" s="1" t="str">
        <f>IF(AND(AND(AND(BF$4&gt;='2025'!$L67,BF$4&lt;='2025'!$M67), BF$4&lt;&gt;DATE(2025,7,4)), (SWITCH(weekday(BF$4), 1, 0, 2, if(ISBLANK('2025'!$P67), 0, 1), 3, if(ISBLANK('2025'!$Q67), 0, 1), 4, if(ISBLANK('2025'!$R67), 0, 1), 5, if(ISBLANK('2025'!$S67), 0, 1), 6, if(ISBLANK('2025'!$T67), 0, 1), 7, 0))), 1, "")</f>
        <v/>
      </c>
      <c r="BG69" s="1"/>
      <c r="BH69" s="1"/>
      <c r="BI69" s="1"/>
      <c r="BJ69" s="1"/>
      <c r="BK69" s="1"/>
      <c r="BL69" s="1"/>
    </row>
    <row r="70">
      <c r="A70" s="1">
        <f t="shared" si="3"/>
        <v>70</v>
      </c>
      <c r="B70" s="1" t="str">
        <f>'2025'!D68</f>
        <v>, </v>
      </c>
      <c r="C70" s="1" t="str">
        <f>'2025'!H68</f>
        <v/>
      </c>
      <c r="D70" s="1" t="str">
        <f>IF(AND(AND(AND(D$4&gt;='2025'!$L68,D$4&lt;='2025'!$M68), D$4&lt;&gt;DATE(2025,7,4)), (SWITCH(weekday(D$4), 1, 0, 2, if(ISBLANK('2025'!$P68), 0, 1), 3, if(ISBLANK('2025'!$Q68), 0, 1), 4, if(ISBLANK('2025'!$R68), 0, 1), 5, if(ISBLANK('2025'!$S68), 0, 1), 6, if(ISBLANK('2025'!$T68), 0, 1), 7, 0))), 1, "")</f>
        <v/>
      </c>
      <c r="E70" s="1" t="str">
        <f>IF(AND(AND(AND(E$4&gt;='2025'!$L68,E$4&lt;='2025'!$M68), E$4&lt;&gt;DATE(2025,7,4)), (SWITCH(weekday(E$4), 1, 0, 2, if(ISBLANK('2025'!$P68), 0, 1), 3, if(ISBLANK('2025'!$Q68), 0, 1), 4, if(ISBLANK('2025'!$R68), 0, 1), 5, if(ISBLANK('2025'!$S68), 0, 1), 6, if(ISBLANK('2025'!$T68), 0, 1), 7, 0))), 1, "")</f>
        <v/>
      </c>
      <c r="F70" s="1" t="str">
        <f>IF(AND(AND(AND(F$4&gt;='2025'!$L68,F$4&lt;='2025'!$M68), F$4&lt;&gt;DATE(2025,7,4)), (SWITCH(weekday(F$4), 1, 0, 2, if(ISBLANK('2025'!$P68), 0, 1), 3, if(ISBLANK('2025'!$Q68), 0, 1), 4, if(ISBLANK('2025'!$R68), 0, 1), 5, if(ISBLANK('2025'!$S68), 0, 1), 6, if(ISBLANK('2025'!$T68), 0, 1), 7, 0))), 1, "")</f>
        <v/>
      </c>
      <c r="G70" s="1" t="str">
        <f>IF(AND(AND(AND(G$4&gt;='2025'!$L68,G$4&lt;='2025'!$M68), G$4&lt;&gt;DATE(2025,7,4)), (SWITCH(weekday(G$4), 1, 0, 2, if(ISBLANK('2025'!$P68), 0, 1), 3, if(ISBLANK('2025'!$Q68), 0, 1), 4, if(ISBLANK('2025'!$R68), 0, 1), 5, if(ISBLANK('2025'!$S68), 0, 1), 6, if(ISBLANK('2025'!$T68), 0, 1), 7, 0))), 1, "")</f>
        <v/>
      </c>
      <c r="H70" s="1" t="str">
        <f>IF(AND(AND(AND(H$4&gt;='2025'!$L68,H$4&lt;='2025'!$M68), H$4&lt;&gt;DATE(2025,7,4)), (SWITCH(weekday(H$4), 1, 0, 2, if(ISBLANK('2025'!$P68), 0, 1), 3, if(ISBLANK('2025'!$Q68), 0, 1), 4, if(ISBLANK('2025'!$R68), 0, 1), 5, if(ISBLANK('2025'!$S68), 0, 1), 6, if(ISBLANK('2025'!$T68), 0, 1), 7, 0))), 1, "")</f>
        <v/>
      </c>
      <c r="I70" s="1" t="str">
        <f>IF(AND(AND(AND(I$4&gt;='2025'!$L68,I$4&lt;='2025'!$M68), I$4&lt;&gt;DATE(2025,7,4)), (SWITCH(weekday(I$4), 1, 0, 2, if(ISBLANK('2025'!$P68), 0, 1), 3, if(ISBLANK('2025'!$Q68), 0, 1), 4, if(ISBLANK('2025'!$R68), 0, 1), 5, if(ISBLANK('2025'!$S68), 0, 1), 6, if(ISBLANK('2025'!$T68), 0, 1), 7, 0))), 1, "")</f>
        <v/>
      </c>
      <c r="J70" s="1" t="str">
        <f>IF(AND(AND(AND(J$4&gt;='2025'!$L68,J$4&lt;='2025'!$M68), J$4&lt;&gt;DATE(2025,7,4)), (SWITCH(weekday(J$4), 1, 0, 2, if(ISBLANK('2025'!$P68), 0, 1), 3, if(ISBLANK('2025'!$Q68), 0, 1), 4, if(ISBLANK('2025'!$R68), 0, 1), 5, if(ISBLANK('2025'!$S68), 0, 1), 6, if(ISBLANK('2025'!$T68), 0, 1), 7, 0))), 1, "")</f>
        <v/>
      </c>
      <c r="K70" s="1" t="str">
        <f>IF(AND(AND(AND(K$4&gt;='2025'!$L68,K$4&lt;='2025'!$M68), K$4&lt;&gt;DATE(2025,7,4)), (SWITCH(weekday(K$4), 1, 0, 2, if(ISBLANK('2025'!$P68), 0, 1), 3, if(ISBLANK('2025'!$Q68), 0, 1), 4, if(ISBLANK('2025'!$R68), 0, 1), 5, if(ISBLANK('2025'!$S68), 0, 1), 6, if(ISBLANK('2025'!$T68), 0, 1), 7, 0))), 1, "")</f>
        <v/>
      </c>
      <c r="L70" s="1" t="str">
        <f>IF(AND(AND(AND(L$4&gt;='2025'!$L68,L$4&lt;='2025'!$M68), L$4&lt;&gt;DATE(2025,7,4)), (SWITCH(weekday(L$4), 1, 0, 2, if(ISBLANK('2025'!$P68), 0, 1), 3, if(ISBLANK('2025'!$Q68), 0, 1), 4, if(ISBLANK('2025'!$R68), 0, 1), 5, if(ISBLANK('2025'!$S68), 0, 1), 6, if(ISBLANK('2025'!$T68), 0, 1), 7, 0))), 1, "")</f>
        <v/>
      </c>
      <c r="M70" s="1" t="str">
        <f>IF(AND(AND(AND(M$4&gt;='2025'!$L68,M$4&lt;='2025'!$M68), M$4&lt;&gt;DATE(2025,7,4)), (SWITCH(weekday(M$4), 1, 0, 2, if(ISBLANK('2025'!$P68), 0, 1), 3, if(ISBLANK('2025'!$Q68), 0, 1), 4, if(ISBLANK('2025'!$R68), 0, 1), 5, if(ISBLANK('2025'!$S68), 0, 1), 6, if(ISBLANK('2025'!$T68), 0, 1), 7, 0))), 1, "")</f>
        <v/>
      </c>
      <c r="N70" s="1" t="str">
        <f>IF(AND(AND(AND(N$4&gt;='2025'!$L68,N$4&lt;='2025'!$M68), N$4&lt;&gt;DATE(2025,7,4)), (SWITCH(weekday(N$4), 1, 0, 2, if(ISBLANK('2025'!$P68), 0, 1), 3, if(ISBLANK('2025'!$Q68), 0, 1), 4, if(ISBLANK('2025'!$R68), 0, 1), 5, if(ISBLANK('2025'!$S68), 0, 1), 6, if(ISBLANK('2025'!$T68), 0, 1), 7, 0))), 1, "")</f>
        <v/>
      </c>
      <c r="O70" s="1" t="str">
        <f>IF(AND(AND(AND(O$4&gt;='2025'!$L68,O$4&lt;='2025'!$M68), O$4&lt;&gt;DATE(2025,7,4)), (SWITCH(weekday(O$4), 1, 0, 2, if(ISBLANK('2025'!$P68), 0, 1), 3, if(ISBLANK('2025'!$Q68), 0, 1), 4, if(ISBLANK('2025'!$R68), 0, 1), 5, if(ISBLANK('2025'!$S68), 0, 1), 6, if(ISBLANK('2025'!$T68), 0, 1), 7, 0))), 1, "")</f>
        <v/>
      </c>
      <c r="P70" s="1" t="str">
        <f>IF(AND(AND(AND(P$4&gt;='2025'!$L68,P$4&lt;='2025'!$M68), P$4&lt;&gt;DATE(2025,7,4)), (SWITCH(weekday(P$4), 1, 0, 2, if(ISBLANK('2025'!$P68), 0, 1), 3, if(ISBLANK('2025'!$Q68), 0, 1), 4, if(ISBLANK('2025'!$R68), 0, 1), 5, if(ISBLANK('2025'!$S68), 0, 1), 6, if(ISBLANK('2025'!$T68), 0, 1), 7, 0))), 1, "")</f>
        <v/>
      </c>
      <c r="Q70" s="1" t="str">
        <f>IF(AND(AND(AND(Q$4&gt;='2025'!$L68,Q$4&lt;='2025'!$M68), Q$4&lt;&gt;DATE(2025,7,4)), (SWITCH(weekday(Q$4), 1, 0, 2, if(ISBLANK('2025'!$P68), 0, 1), 3, if(ISBLANK('2025'!$Q68), 0, 1), 4, if(ISBLANK('2025'!$R68), 0, 1), 5, if(ISBLANK('2025'!$S68), 0, 1), 6, if(ISBLANK('2025'!$T68), 0, 1), 7, 0))), 1, "")</f>
        <v/>
      </c>
      <c r="R70" s="1" t="str">
        <f>IF(AND(AND(AND(R$4&gt;='2025'!$L68,R$4&lt;='2025'!$M68), R$4&lt;&gt;DATE(2025,7,4)), (SWITCH(weekday(R$4), 1, 0, 2, if(ISBLANK('2025'!$P68), 0, 1), 3, if(ISBLANK('2025'!$Q68), 0, 1), 4, if(ISBLANK('2025'!$R68), 0, 1), 5, if(ISBLANK('2025'!$S68), 0, 1), 6, if(ISBLANK('2025'!$T68), 0, 1), 7, 0))), 1, "")</f>
        <v/>
      </c>
      <c r="S70" s="1" t="str">
        <f>IF(AND(AND(AND(S$4&gt;='2025'!$L68,S$4&lt;='2025'!$M68), S$4&lt;&gt;DATE(2025,7,4)), (SWITCH(weekday(S$4), 1, 0, 2, if(ISBLANK('2025'!$P68), 0, 1), 3, if(ISBLANK('2025'!$Q68), 0, 1), 4, if(ISBLANK('2025'!$R68), 0, 1), 5, if(ISBLANK('2025'!$S68), 0, 1), 6, if(ISBLANK('2025'!$T68), 0, 1), 7, 0))), 1, "")</f>
        <v/>
      </c>
      <c r="T70" s="1" t="str">
        <f>IF(AND(AND(AND(T$4&gt;='2025'!$L68,T$4&lt;='2025'!$M68), T$4&lt;&gt;DATE(2025,7,4)), (SWITCH(weekday(T$4), 1, 0, 2, if(ISBLANK('2025'!$P68), 0, 1), 3, if(ISBLANK('2025'!$Q68), 0, 1), 4, if(ISBLANK('2025'!$R68), 0, 1), 5, if(ISBLANK('2025'!$S68), 0, 1), 6, if(ISBLANK('2025'!$T68), 0, 1), 7, 0))), 1, "")</f>
        <v/>
      </c>
      <c r="U70" s="1" t="str">
        <f>IF(AND(AND(AND(U$4&gt;='2025'!$L68,U$4&lt;='2025'!$M68), U$4&lt;&gt;DATE(2025,7,4)), (SWITCH(weekday(U$4), 1, 0, 2, if(ISBLANK('2025'!$P68), 0, 1), 3, if(ISBLANK('2025'!$Q68), 0, 1), 4, if(ISBLANK('2025'!$R68), 0, 1), 5, if(ISBLANK('2025'!$S68), 0, 1), 6, if(ISBLANK('2025'!$T68), 0, 1), 7, 0))), 1, "")</f>
        <v/>
      </c>
      <c r="V70" s="1" t="str">
        <f>IF(AND(AND(AND(V$4&gt;='2025'!$L68,V$4&lt;='2025'!$M68), V$4&lt;&gt;DATE(2025,7,4)), (SWITCH(weekday(V$4), 1, 0, 2, if(ISBLANK('2025'!$P68), 0, 1), 3, if(ISBLANK('2025'!$Q68), 0, 1), 4, if(ISBLANK('2025'!$R68), 0, 1), 5, if(ISBLANK('2025'!$S68), 0, 1), 6, if(ISBLANK('2025'!$T68), 0, 1), 7, 0))), 1, "")</f>
        <v/>
      </c>
      <c r="W70" s="1" t="str">
        <f>IF(AND(AND(AND(W$4&gt;='2025'!$L68,W$4&lt;='2025'!$M68), W$4&lt;&gt;DATE(2025,7,4)), (SWITCH(weekday(W$4), 1, 0, 2, if(ISBLANK('2025'!$P68), 0, 1), 3, if(ISBLANK('2025'!$Q68), 0, 1), 4, if(ISBLANK('2025'!$R68), 0, 1), 5, if(ISBLANK('2025'!$S68), 0, 1), 6, if(ISBLANK('2025'!$T68), 0, 1), 7, 0))), 1, "")</f>
        <v/>
      </c>
      <c r="X70" s="1" t="str">
        <f>IF(AND(AND(AND(X$4&gt;='2025'!$L68,X$4&lt;='2025'!$M68), X$4&lt;&gt;DATE(2025,7,4)), (SWITCH(weekday(X$4), 1, 0, 2, if(ISBLANK('2025'!$P68), 0, 1), 3, if(ISBLANK('2025'!$Q68), 0, 1), 4, if(ISBLANK('2025'!$R68), 0, 1), 5, if(ISBLANK('2025'!$S68), 0, 1), 6, if(ISBLANK('2025'!$T68), 0, 1), 7, 0))), 1, "")</f>
        <v/>
      </c>
      <c r="Y70" s="1" t="str">
        <f>IF(AND(AND(AND(Y$4&gt;='2025'!$L68,Y$4&lt;='2025'!$M68), Y$4&lt;&gt;DATE(2025,7,4)), (SWITCH(weekday(Y$4), 1, 0, 2, if(ISBLANK('2025'!$P68), 0, 1), 3, if(ISBLANK('2025'!$Q68), 0, 1), 4, if(ISBLANK('2025'!$R68), 0, 1), 5, if(ISBLANK('2025'!$S68), 0, 1), 6, if(ISBLANK('2025'!$T68), 0, 1), 7, 0))), 1, "")</f>
        <v/>
      </c>
      <c r="Z70" s="1" t="str">
        <f>IF(AND(AND(AND(Z$4&gt;='2025'!$L68,Z$4&lt;='2025'!$M68), Z$4&lt;&gt;DATE(2025,7,4)), (SWITCH(weekday(Z$4), 1, 0, 2, if(ISBLANK('2025'!$P68), 0, 1), 3, if(ISBLANK('2025'!$Q68), 0, 1), 4, if(ISBLANK('2025'!$R68), 0, 1), 5, if(ISBLANK('2025'!$S68), 0, 1), 6, if(ISBLANK('2025'!$T68), 0, 1), 7, 0))), 1, "")</f>
        <v/>
      </c>
      <c r="AA70" s="1" t="str">
        <f>IF(AND(AND(AND(AA$4&gt;='2025'!$L68,AA$4&lt;='2025'!$M68), AA$4&lt;&gt;DATE(2025,7,4)), (SWITCH(weekday(AA$4), 1, 0, 2, if(ISBLANK('2025'!$P68), 0, 1), 3, if(ISBLANK('2025'!$Q68), 0, 1), 4, if(ISBLANK('2025'!$R68), 0, 1), 5, if(ISBLANK('2025'!$S68), 0, 1), 6, if(ISBLANK('2025'!$T68), 0, 1), 7, 0))), 1, "")</f>
        <v/>
      </c>
      <c r="AB70" s="1" t="str">
        <f>IF(AND(AND(AND(AB$4&gt;='2025'!$L68,AB$4&lt;='2025'!$M68), AB$4&lt;&gt;DATE(2025,7,4)), (SWITCH(weekday(AB$4), 1, 0, 2, if(ISBLANK('2025'!$P68), 0, 1), 3, if(ISBLANK('2025'!$Q68), 0, 1), 4, if(ISBLANK('2025'!$R68), 0, 1), 5, if(ISBLANK('2025'!$S68), 0, 1), 6, if(ISBLANK('2025'!$T68), 0, 1), 7, 0))), 1, "")</f>
        <v/>
      </c>
      <c r="AC70" s="1" t="str">
        <f>IF(AND(AND(AND(AC$4&gt;='2025'!$L68,AC$4&lt;='2025'!$M68), AC$4&lt;&gt;DATE(2025,7,4)), (SWITCH(weekday(AC$4), 1, 0, 2, if(ISBLANK('2025'!$P68), 0, 1), 3, if(ISBLANK('2025'!$Q68), 0, 1), 4, if(ISBLANK('2025'!$R68), 0, 1), 5, if(ISBLANK('2025'!$S68), 0, 1), 6, if(ISBLANK('2025'!$T68), 0, 1), 7, 0))), 1, "")</f>
        <v/>
      </c>
      <c r="AD70" s="1" t="str">
        <f>IF(AND(AND(AND(AD$4&gt;='2025'!$L68,AD$4&lt;='2025'!$M68), AD$4&lt;&gt;DATE(2025,7,4)), (SWITCH(weekday(AD$4), 1, 0, 2, if(ISBLANK('2025'!$P68), 0, 1), 3, if(ISBLANK('2025'!$Q68), 0, 1), 4, if(ISBLANK('2025'!$R68), 0, 1), 5, if(ISBLANK('2025'!$S68), 0, 1), 6, if(ISBLANK('2025'!$T68), 0, 1), 7, 0))), 1, "")</f>
        <v/>
      </c>
      <c r="AE70" s="1" t="str">
        <f>IF(AND(AND(AND(AE$4&gt;='2025'!$L68,AE$4&lt;='2025'!$M68), AE$4&lt;&gt;DATE(2025,7,4)), (SWITCH(weekday(AE$4), 1, 0, 2, if(ISBLANK('2025'!$P68), 0, 1), 3, if(ISBLANK('2025'!$Q68), 0, 1), 4, if(ISBLANK('2025'!$R68), 0, 1), 5, if(ISBLANK('2025'!$S68), 0, 1), 6, if(ISBLANK('2025'!$T68), 0, 1), 7, 0))), 1, "")</f>
        <v/>
      </c>
      <c r="AF70" s="1" t="str">
        <f>IF(AND(AND(AND(AF$4&gt;='2025'!$L68,AF$4&lt;='2025'!$M68), AF$4&lt;&gt;DATE(2025,7,4)), (SWITCH(weekday(AF$4), 1, 0, 2, if(ISBLANK('2025'!$P68), 0, 1), 3, if(ISBLANK('2025'!$Q68), 0, 1), 4, if(ISBLANK('2025'!$R68), 0, 1), 5, if(ISBLANK('2025'!$S68), 0, 1), 6, if(ISBLANK('2025'!$T68), 0, 1), 7, 0))), 1, "")</f>
        <v/>
      </c>
      <c r="AG70" s="1" t="str">
        <f>IF(AND(AND(AND(AG$4&gt;='2025'!$L68,AG$4&lt;='2025'!$M68), AG$4&lt;&gt;DATE(2025,7,4)), (SWITCH(weekday(AG$4), 1, 0, 2, if(ISBLANK('2025'!$P68), 0, 1), 3, if(ISBLANK('2025'!$Q68), 0, 1), 4, if(ISBLANK('2025'!$R68), 0, 1), 5, if(ISBLANK('2025'!$S68), 0, 1), 6, if(ISBLANK('2025'!$T68), 0, 1), 7, 0))), 1, "")</f>
        <v/>
      </c>
      <c r="AH70" s="1" t="str">
        <f>IF(AND(AND(AND(AH$4&gt;='2025'!$L68,AH$4&lt;='2025'!$M68), AH$4&lt;&gt;DATE(2025,7,4)), (SWITCH(weekday(AH$4), 1, 0, 2, if(ISBLANK('2025'!$P68), 0, 1), 3, if(ISBLANK('2025'!$Q68), 0, 1), 4, if(ISBLANK('2025'!$R68), 0, 1), 5, if(ISBLANK('2025'!$S68), 0, 1), 6, if(ISBLANK('2025'!$T68), 0, 1), 7, 0))), 1, "")</f>
        <v/>
      </c>
      <c r="AI70" s="1" t="str">
        <f>IF(AND(AND(AND(AI$4&gt;='2025'!$L68,AI$4&lt;='2025'!$M68), AI$4&lt;&gt;DATE(2025,7,4)), (SWITCH(weekday(AI$4), 1, 0, 2, if(ISBLANK('2025'!$P68), 0, 1), 3, if(ISBLANK('2025'!$Q68), 0, 1), 4, if(ISBLANK('2025'!$R68), 0, 1), 5, if(ISBLANK('2025'!$S68), 0, 1), 6, if(ISBLANK('2025'!$T68), 0, 1), 7, 0))), 1, "")</f>
        <v/>
      </c>
      <c r="AJ70" s="1" t="str">
        <f>IF(AND(AND(AND(AJ$4&gt;='2025'!$L68,AJ$4&lt;='2025'!$M68), AJ$4&lt;&gt;DATE(2025,7,4)), (SWITCH(weekday(AJ$4), 1, 0, 2, if(ISBLANK('2025'!$P68), 0, 1), 3, if(ISBLANK('2025'!$Q68), 0, 1), 4, if(ISBLANK('2025'!$R68), 0, 1), 5, if(ISBLANK('2025'!$S68), 0, 1), 6, if(ISBLANK('2025'!$T68), 0, 1), 7, 0))), 1, "")</f>
        <v/>
      </c>
      <c r="AK70" s="1" t="str">
        <f>IF(AND(AND(AND(AK$4&gt;='2025'!$L68,AK$4&lt;='2025'!$M68), AK$4&lt;&gt;DATE(2025,7,4)), (SWITCH(weekday(AK$4), 1, 0, 2, if(ISBLANK('2025'!$P68), 0, 1), 3, if(ISBLANK('2025'!$Q68), 0, 1), 4, if(ISBLANK('2025'!$R68), 0, 1), 5, if(ISBLANK('2025'!$S68), 0, 1), 6, if(ISBLANK('2025'!$T68), 0, 1), 7, 0))), 1, "")</f>
        <v/>
      </c>
      <c r="AL70" s="1" t="str">
        <f>IF(AND(AND(AND(AL$4&gt;='2025'!$L68,AL$4&lt;='2025'!$M68), AL$4&lt;&gt;DATE(2025,7,4)), (SWITCH(weekday(AL$4), 1, 0, 2, if(ISBLANK('2025'!$P68), 0, 1), 3, if(ISBLANK('2025'!$Q68), 0, 1), 4, if(ISBLANK('2025'!$R68), 0, 1), 5, if(ISBLANK('2025'!$S68), 0, 1), 6, if(ISBLANK('2025'!$T68), 0, 1), 7, 0))), 1, "")</f>
        <v/>
      </c>
      <c r="AM70" s="1" t="str">
        <f>IF(AND(AND(AND(AM$4&gt;='2025'!$L68,AM$4&lt;='2025'!$M68), AM$4&lt;&gt;DATE(2025,7,4)), (SWITCH(weekday(AM$4), 1, 0, 2, if(ISBLANK('2025'!$P68), 0, 1), 3, if(ISBLANK('2025'!$Q68), 0, 1), 4, if(ISBLANK('2025'!$R68), 0, 1), 5, if(ISBLANK('2025'!$S68), 0, 1), 6, if(ISBLANK('2025'!$T68), 0, 1), 7, 0))), 1, "")</f>
        <v/>
      </c>
      <c r="AN70" s="1" t="str">
        <f>IF(AND(AND(AND(AN$4&gt;='2025'!$L68,AN$4&lt;='2025'!$M68), AN$4&lt;&gt;DATE(2025,7,4)), (SWITCH(weekday(AN$4), 1, 0, 2, if(ISBLANK('2025'!$P68), 0, 1), 3, if(ISBLANK('2025'!$Q68), 0, 1), 4, if(ISBLANK('2025'!$R68), 0, 1), 5, if(ISBLANK('2025'!$S68), 0, 1), 6, if(ISBLANK('2025'!$T68), 0, 1), 7, 0))), 1, "")</f>
        <v/>
      </c>
      <c r="AO70" s="1" t="str">
        <f>IF(AND(AND(AND(AO$4&gt;='2025'!$L68,AO$4&lt;='2025'!$M68), AO$4&lt;&gt;DATE(2025,7,4)), (SWITCH(weekday(AO$4), 1, 0, 2, if(ISBLANK('2025'!$P68), 0, 1), 3, if(ISBLANK('2025'!$Q68), 0, 1), 4, if(ISBLANK('2025'!$R68), 0, 1), 5, if(ISBLANK('2025'!$S68), 0, 1), 6, if(ISBLANK('2025'!$T68), 0, 1), 7, 0))), 1, "")</f>
        <v/>
      </c>
      <c r="AP70" s="1" t="str">
        <f>IF(AND(AND(AND(AP$4&gt;='2025'!$L68,AP$4&lt;='2025'!$M68), AP$4&lt;&gt;DATE(2025,7,4)), (SWITCH(weekday(AP$4), 1, 0, 2, if(ISBLANK('2025'!$P68), 0, 1), 3, if(ISBLANK('2025'!$Q68), 0, 1), 4, if(ISBLANK('2025'!$R68), 0, 1), 5, if(ISBLANK('2025'!$S68), 0, 1), 6, if(ISBLANK('2025'!$T68), 0, 1), 7, 0))), 1, "")</f>
        <v/>
      </c>
      <c r="AQ70" s="1" t="str">
        <f>IF(AND(AND(AND(AQ$4&gt;='2025'!$L68,AQ$4&lt;='2025'!$M68), AQ$4&lt;&gt;DATE(2025,7,4)), (SWITCH(weekday(AQ$4), 1, 0, 2, if(ISBLANK('2025'!$P68), 0, 1), 3, if(ISBLANK('2025'!$Q68), 0, 1), 4, if(ISBLANK('2025'!$R68), 0, 1), 5, if(ISBLANK('2025'!$S68), 0, 1), 6, if(ISBLANK('2025'!$T68), 0, 1), 7, 0))), 1, "")</f>
        <v/>
      </c>
      <c r="AR70" s="1" t="str">
        <f>IF(AND(AND(AND(AR$4&gt;='2025'!$L68,AR$4&lt;='2025'!$M68), AR$4&lt;&gt;DATE(2025,7,4)), (SWITCH(weekday(AR$4), 1, 0, 2, if(ISBLANK('2025'!$P68), 0, 1), 3, if(ISBLANK('2025'!$Q68), 0, 1), 4, if(ISBLANK('2025'!$R68), 0, 1), 5, if(ISBLANK('2025'!$S68), 0, 1), 6, if(ISBLANK('2025'!$T68), 0, 1), 7, 0))), 1, "")</f>
        <v/>
      </c>
      <c r="AS70" s="1" t="str">
        <f>IF(AND(AND(AND(AS$4&gt;='2025'!$L68,AS$4&lt;='2025'!$M68), AS$4&lt;&gt;DATE(2025,7,4)), (SWITCH(weekday(AS$4), 1, 0, 2, if(ISBLANK('2025'!$P68), 0, 1), 3, if(ISBLANK('2025'!$Q68), 0, 1), 4, if(ISBLANK('2025'!$R68), 0, 1), 5, if(ISBLANK('2025'!$S68), 0, 1), 6, if(ISBLANK('2025'!$T68), 0, 1), 7, 0))), 1, "")</f>
        <v/>
      </c>
      <c r="AT70" s="1" t="str">
        <f>IF(AND(AND(AND(AT$4&gt;='2025'!$L68,AT$4&lt;='2025'!$M68), AT$4&lt;&gt;DATE(2025,7,4)), (SWITCH(weekday(AT$4), 1, 0, 2, if(ISBLANK('2025'!$P68), 0, 1), 3, if(ISBLANK('2025'!$Q68), 0, 1), 4, if(ISBLANK('2025'!$R68), 0, 1), 5, if(ISBLANK('2025'!$S68), 0, 1), 6, if(ISBLANK('2025'!$T68), 0, 1), 7, 0))), 1, "")</f>
        <v/>
      </c>
      <c r="AU70" s="1" t="str">
        <f>IF(AND(AND(AND(AU$4&gt;='2025'!$L68,AU$4&lt;='2025'!$M68), AU$4&lt;&gt;DATE(2025,7,4)), (SWITCH(weekday(AU$4), 1, 0, 2, if(ISBLANK('2025'!$P68), 0, 1), 3, if(ISBLANK('2025'!$Q68), 0, 1), 4, if(ISBLANK('2025'!$R68), 0, 1), 5, if(ISBLANK('2025'!$S68), 0, 1), 6, if(ISBLANK('2025'!$T68), 0, 1), 7, 0))), 1, "")</f>
        <v/>
      </c>
      <c r="AV70" s="1" t="str">
        <f>IF(AND(AND(AND(AV$4&gt;='2025'!$L68,AV$4&lt;='2025'!$M68), AV$4&lt;&gt;DATE(2025,7,4)), (SWITCH(weekday(AV$4), 1, 0, 2, if(ISBLANK('2025'!$P68), 0, 1), 3, if(ISBLANK('2025'!$Q68), 0, 1), 4, if(ISBLANK('2025'!$R68), 0, 1), 5, if(ISBLANK('2025'!$S68), 0, 1), 6, if(ISBLANK('2025'!$T68), 0, 1), 7, 0))), 1, "")</f>
        <v/>
      </c>
      <c r="AW70" s="1" t="str">
        <f>IF(AND(AND(AND(AW$4&gt;='2025'!$L68,AW$4&lt;='2025'!$M68), AW$4&lt;&gt;DATE(2025,7,4)), (SWITCH(weekday(AW$4), 1, 0, 2, if(ISBLANK('2025'!$P68), 0, 1), 3, if(ISBLANK('2025'!$Q68), 0, 1), 4, if(ISBLANK('2025'!$R68), 0, 1), 5, if(ISBLANK('2025'!$S68), 0, 1), 6, if(ISBLANK('2025'!$T68), 0, 1), 7, 0))), 1, "")</f>
        <v/>
      </c>
      <c r="AX70" s="1" t="str">
        <f>IF(AND(AND(AND(AX$4&gt;='2025'!$L68,AX$4&lt;='2025'!$M68), AX$4&lt;&gt;DATE(2025,7,4)), (SWITCH(weekday(AX$4), 1, 0, 2, if(ISBLANK('2025'!$P68), 0, 1), 3, if(ISBLANK('2025'!$Q68), 0, 1), 4, if(ISBLANK('2025'!$R68), 0, 1), 5, if(ISBLANK('2025'!$S68), 0, 1), 6, if(ISBLANK('2025'!$T68), 0, 1), 7, 0))), 1, "")</f>
        <v/>
      </c>
      <c r="AY70" s="1" t="str">
        <f>IF(AND(AND(AND(AY$4&gt;='2025'!$L68,AY$4&lt;='2025'!$M68), AY$4&lt;&gt;DATE(2025,7,4)), (SWITCH(weekday(AY$4), 1, 0, 2, if(ISBLANK('2025'!$P68), 0, 1), 3, if(ISBLANK('2025'!$Q68), 0, 1), 4, if(ISBLANK('2025'!$R68), 0, 1), 5, if(ISBLANK('2025'!$S68), 0, 1), 6, if(ISBLANK('2025'!$T68), 0, 1), 7, 0))), 1, "")</f>
        <v/>
      </c>
      <c r="AZ70" s="1" t="str">
        <f>IF(AND(AND(AND(AZ$4&gt;='2025'!$L68,AZ$4&lt;='2025'!$M68), AZ$4&lt;&gt;DATE(2025,7,4)), (SWITCH(weekday(AZ$4), 1, 0, 2, if(ISBLANK('2025'!$P68), 0, 1), 3, if(ISBLANK('2025'!$Q68), 0, 1), 4, if(ISBLANK('2025'!$R68), 0, 1), 5, if(ISBLANK('2025'!$S68), 0, 1), 6, if(ISBLANK('2025'!$T68), 0, 1), 7, 0))), 1, "")</f>
        <v/>
      </c>
      <c r="BA70" s="1" t="str">
        <f>IF(AND(AND(AND(BA$4&gt;='2025'!$L68,BA$4&lt;='2025'!$M68), BA$4&lt;&gt;DATE(2025,7,4)), (SWITCH(weekday(BA$4), 1, 0, 2, if(ISBLANK('2025'!$P68), 0, 1), 3, if(ISBLANK('2025'!$Q68), 0, 1), 4, if(ISBLANK('2025'!$R68), 0, 1), 5, if(ISBLANK('2025'!$S68), 0, 1), 6, if(ISBLANK('2025'!$T68), 0, 1), 7, 0))), 1, "")</f>
        <v/>
      </c>
      <c r="BB70" s="1" t="str">
        <f>IF(AND(AND(AND(BB$4&gt;='2025'!$L68,BB$4&lt;='2025'!$M68), BB$4&lt;&gt;DATE(2025,7,4)), (SWITCH(weekday(BB$4), 1, 0, 2, if(ISBLANK('2025'!$P68), 0, 1), 3, if(ISBLANK('2025'!$Q68), 0, 1), 4, if(ISBLANK('2025'!$R68), 0, 1), 5, if(ISBLANK('2025'!$S68), 0, 1), 6, if(ISBLANK('2025'!$T68), 0, 1), 7, 0))), 1, "")</f>
        <v/>
      </c>
      <c r="BC70" s="1" t="str">
        <f>IF(AND(AND(AND(BC$4&gt;='2025'!$L68,BC$4&lt;='2025'!$M68), BC$4&lt;&gt;DATE(2025,7,4)), (SWITCH(weekday(BC$4), 1, 0, 2, if(ISBLANK('2025'!$P68), 0, 1), 3, if(ISBLANK('2025'!$Q68), 0, 1), 4, if(ISBLANK('2025'!$R68), 0, 1), 5, if(ISBLANK('2025'!$S68), 0, 1), 6, if(ISBLANK('2025'!$T68), 0, 1), 7, 0))), 1, "")</f>
        <v/>
      </c>
      <c r="BD70" s="1" t="str">
        <f>IF(AND(AND(AND(BD$4&gt;='2025'!$L68,BD$4&lt;='2025'!$M68), BD$4&lt;&gt;DATE(2025,7,4)), (SWITCH(weekday(BD$4), 1, 0, 2, if(ISBLANK('2025'!$P68), 0, 1), 3, if(ISBLANK('2025'!$Q68), 0, 1), 4, if(ISBLANK('2025'!$R68), 0, 1), 5, if(ISBLANK('2025'!$S68), 0, 1), 6, if(ISBLANK('2025'!$T68), 0, 1), 7, 0))), 1, "")</f>
        <v/>
      </c>
      <c r="BE70" s="1" t="str">
        <f>IF(AND(AND(AND(BE$4&gt;='2025'!$L68,BE$4&lt;='2025'!$M68), BE$4&lt;&gt;DATE(2025,7,4)), (SWITCH(weekday(BE$4), 1, 0, 2, if(ISBLANK('2025'!$P68), 0, 1), 3, if(ISBLANK('2025'!$Q68), 0, 1), 4, if(ISBLANK('2025'!$R68), 0, 1), 5, if(ISBLANK('2025'!$S68), 0, 1), 6, if(ISBLANK('2025'!$T68), 0, 1), 7, 0))), 1, "")</f>
        <v/>
      </c>
      <c r="BF70" s="1" t="str">
        <f>IF(AND(AND(AND(BF$4&gt;='2025'!$L68,BF$4&lt;='2025'!$M68), BF$4&lt;&gt;DATE(2025,7,4)), (SWITCH(weekday(BF$4), 1, 0, 2, if(ISBLANK('2025'!$P68), 0, 1), 3, if(ISBLANK('2025'!$Q68), 0, 1), 4, if(ISBLANK('2025'!$R68), 0, 1), 5, if(ISBLANK('2025'!$S68), 0, 1), 6, if(ISBLANK('2025'!$T68), 0, 1), 7, 0))), 1, "")</f>
        <v/>
      </c>
      <c r="BG70" s="1"/>
      <c r="BH70" s="1"/>
      <c r="BI70" s="1"/>
      <c r="BJ70" s="1"/>
      <c r="BK70" s="1"/>
      <c r="BL70" s="1"/>
    </row>
    <row r="71">
      <c r="A71" s="1">
        <f t="shared" si="3"/>
        <v>71</v>
      </c>
      <c r="B71" s="1" t="str">
        <f>'2025'!D69</f>
        <v>, </v>
      </c>
      <c r="C71" s="1" t="str">
        <f>'2025'!H69</f>
        <v/>
      </c>
      <c r="D71" s="1" t="str">
        <f>IF(AND(AND(AND(D$4&gt;='2025'!$L69,D$4&lt;='2025'!$M69), D$4&lt;&gt;DATE(2025,7,4)), (SWITCH(weekday(D$4), 1, 0, 2, if(ISBLANK('2025'!$P69), 0, 1), 3, if(ISBLANK('2025'!$Q69), 0, 1), 4, if(ISBLANK('2025'!$R69), 0, 1), 5, if(ISBLANK('2025'!$S69), 0, 1), 6, if(ISBLANK('2025'!$T69), 0, 1), 7, 0))), 1, "")</f>
        <v/>
      </c>
      <c r="E71" s="1" t="str">
        <f>IF(AND(AND(AND(E$4&gt;='2025'!$L69,E$4&lt;='2025'!$M69), E$4&lt;&gt;DATE(2025,7,4)), (SWITCH(weekday(E$4), 1, 0, 2, if(ISBLANK('2025'!$P69), 0, 1), 3, if(ISBLANK('2025'!$Q69), 0, 1), 4, if(ISBLANK('2025'!$R69), 0, 1), 5, if(ISBLANK('2025'!$S69), 0, 1), 6, if(ISBLANK('2025'!$T69), 0, 1), 7, 0))), 1, "")</f>
        <v/>
      </c>
      <c r="F71" s="1" t="str">
        <f>IF(AND(AND(AND(F$4&gt;='2025'!$L69,F$4&lt;='2025'!$M69), F$4&lt;&gt;DATE(2025,7,4)), (SWITCH(weekday(F$4), 1, 0, 2, if(ISBLANK('2025'!$P69), 0, 1), 3, if(ISBLANK('2025'!$Q69), 0, 1), 4, if(ISBLANK('2025'!$R69), 0, 1), 5, if(ISBLANK('2025'!$S69), 0, 1), 6, if(ISBLANK('2025'!$T69), 0, 1), 7, 0))), 1, "")</f>
        <v/>
      </c>
      <c r="G71" s="1" t="str">
        <f>IF(AND(AND(AND(G$4&gt;='2025'!$L69,G$4&lt;='2025'!$M69), G$4&lt;&gt;DATE(2025,7,4)), (SWITCH(weekday(G$4), 1, 0, 2, if(ISBLANK('2025'!$P69), 0, 1), 3, if(ISBLANK('2025'!$Q69), 0, 1), 4, if(ISBLANK('2025'!$R69), 0, 1), 5, if(ISBLANK('2025'!$S69), 0, 1), 6, if(ISBLANK('2025'!$T69), 0, 1), 7, 0))), 1, "")</f>
        <v/>
      </c>
      <c r="H71" s="1" t="str">
        <f>IF(AND(AND(AND(H$4&gt;='2025'!$L69,H$4&lt;='2025'!$M69), H$4&lt;&gt;DATE(2025,7,4)), (SWITCH(weekday(H$4), 1, 0, 2, if(ISBLANK('2025'!$P69), 0, 1), 3, if(ISBLANK('2025'!$Q69), 0, 1), 4, if(ISBLANK('2025'!$R69), 0, 1), 5, if(ISBLANK('2025'!$S69), 0, 1), 6, if(ISBLANK('2025'!$T69), 0, 1), 7, 0))), 1, "")</f>
        <v/>
      </c>
      <c r="I71" s="1" t="str">
        <f>IF(AND(AND(AND(I$4&gt;='2025'!$L69,I$4&lt;='2025'!$M69), I$4&lt;&gt;DATE(2025,7,4)), (SWITCH(weekday(I$4), 1, 0, 2, if(ISBLANK('2025'!$P69), 0, 1), 3, if(ISBLANK('2025'!$Q69), 0, 1), 4, if(ISBLANK('2025'!$R69), 0, 1), 5, if(ISBLANK('2025'!$S69), 0, 1), 6, if(ISBLANK('2025'!$T69), 0, 1), 7, 0))), 1, "")</f>
        <v/>
      </c>
      <c r="J71" s="1" t="str">
        <f>IF(AND(AND(AND(J$4&gt;='2025'!$L69,J$4&lt;='2025'!$M69), J$4&lt;&gt;DATE(2025,7,4)), (SWITCH(weekday(J$4), 1, 0, 2, if(ISBLANK('2025'!$P69), 0, 1), 3, if(ISBLANK('2025'!$Q69), 0, 1), 4, if(ISBLANK('2025'!$R69), 0, 1), 5, if(ISBLANK('2025'!$S69), 0, 1), 6, if(ISBLANK('2025'!$T69), 0, 1), 7, 0))), 1, "")</f>
        <v/>
      </c>
      <c r="K71" s="1" t="str">
        <f>IF(AND(AND(AND(K$4&gt;='2025'!$L69,K$4&lt;='2025'!$M69), K$4&lt;&gt;DATE(2025,7,4)), (SWITCH(weekday(K$4), 1, 0, 2, if(ISBLANK('2025'!$P69), 0, 1), 3, if(ISBLANK('2025'!$Q69), 0, 1), 4, if(ISBLANK('2025'!$R69), 0, 1), 5, if(ISBLANK('2025'!$S69), 0, 1), 6, if(ISBLANK('2025'!$T69), 0, 1), 7, 0))), 1, "")</f>
        <v/>
      </c>
      <c r="L71" s="1" t="str">
        <f>IF(AND(AND(AND(L$4&gt;='2025'!$L69,L$4&lt;='2025'!$M69), L$4&lt;&gt;DATE(2025,7,4)), (SWITCH(weekday(L$4), 1, 0, 2, if(ISBLANK('2025'!$P69), 0, 1), 3, if(ISBLANK('2025'!$Q69), 0, 1), 4, if(ISBLANK('2025'!$R69), 0, 1), 5, if(ISBLANK('2025'!$S69), 0, 1), 6, if(ISBLANK('2025'!$T69), 0, 1), 7, 0))), 1, "")</f>
        <v/>
      </c>
      <c r="M71" s="1" t="str">
        <f>IF(AND(AND(AND(M$4&gt;='2025'!$L69,M$4&lt;='2025'!$M69), M$4&lt;&gt;DATE(2025,7,4)), (SWITCH(weekday(M$4), 1, 0, 2, if(ISBLANK('2025'!$P69), 0, 1), 3, if(ISBLANK('2025'!$Q69), 0, 1), 4, if(ISBLANK('2025'!$R69), 0, 1), 5, if(ISBLANK('2025'!$S69), 0, 1), 6, if(ISBLANK('2025'!$T69), 0, 1), 7, 0))), 1, "")</f>
        <v/>
      </c>
      <c r="N71" s="1" t="str">
        <f>IF(AND(AND(AND(N$4&gt;='2025'!$L69,N$4&lt;='2025'!$M69), N$4&lt;&gt;DATE(2025,7,4)), (SWITCH(weekday(N$4), 1, 0, 2, if(ISBLANK('2025'!$P69), 0, 1), 3, if(ISBLANK('2025'!$Q69), 0, 1), 4, if(ISBLANK('2025'!$R69), 0, 1), 5, if(ISBLANK('2025'!$S69), 0, 1), 6, if(ISBLANK('2025'!$T69), 0, 1), 7, 0))), 1, "")</f>
        <v/>
      </c>
      <c r="O71" s="1" t="str">
        <f>IF(AND(AND(AND(O$4&gt;='2025'!$L69,O$4&lt;='2025'!$M69), O$4&lt;&gt;DATE(2025,7,4)), (SWITCH(weekday(O$4), 1, 0, 2, if(ISBLANK('2025'!$P69), 0, 1), 3, if(ISBLANK('2025'!$Q69), 0, 1), 4, if(ISBLANK('2025'!$R69), 0, 1), 5, if(ISBLANK('2025'!$S69), 0, 1), 6, if(ISBLANK('2025'!$T69), 0, 1), 7, 0))), 1, "")</f>
        <v/>
      </c>
      <c r="P71" s="1" t="str">
        <f>IF(AND(AND(AND(P$4&gt;='2025'!$L69,P$4&lt;='2025'!$M69), P$4&lt;&gt;DATE(2025,7,4)), (SWITCH(weekday(P$4), 1, 0, 2, if(ISBLANK('2025'!$P69), 0, 1), 3, if(ISBLANK('2025'!$Q69), 0, 1), 4, if(ISBLANK('2025'!$R69), 0, 1), 5, if(ISBLANK('2025'!$S69), 0, 1), 6, if(ISBLANK('2025'!$T69), 0, 1), 7, 0))), 1, "")</f>
        <v/>
      </c>
      <c r="Q71" s="1" t="str">
        <f>IF(AND(AND(AND(Q$4&gt;='2025'!$L69,Q$4&lt;='2025'!$M69), Q$4&lt;&gt;DATE(2025,7,4)), (SWITCH(weekday(Q$4), 1, 0, 2, if(ISBLANK('2025'!$P69), 0, 1), 3, if(ISBLANK('2025'!$Q69), 0, 1), 4, if(ISBLANK('2025'!$R69), 0, 1), 5, if(ISBLANK('2025'!$S69), 0, 1), 6, if(ISBLANK('2025'!$T69), 0, 1), 7, 0))), 1, "")</f>
        <v/>
      </c>
      <c r="R71" s="1" t="str">
        <f>IF(AND(AND(AND(R$4&gt;='2025'!$L69,R$4&lt;='2025'!$M69), R$4&lt;&gt;DATE(2025,7,4)), (SWITCH(weekday(R$4), 1, 0, 2, if(ISBLANK('2025'!$P69), 0, 1), 3, if(ISBLANK('2025'!$Q69), 0, 1), 4, if(ISBLANK('2025'!$R69), 0, 1), 5, if(ISBLANK('2025'!$S69), 0, 1), 6, if(ISBLANK('2025'!$T69), 0, 1), 7, 0))), 1, "")</f>
        <v/>
      </c>
      <c r="S71" s="1" t="str">
        <f>IF(AND(AND(AND(S$4&gt;='2025'!$L69,S$4&lt;='2025'!$M69), S$4&lt;&gt;DATE(2025,7,4)), (SWITCH(weekday(S$4), 1, 0, 2, if(ISBLANK('2025'!$P69), 0, 1), 3, if(ISBLANK('2025'!$Q69), 0, 1), 4, if(ISBLANK('2025'!$R69), 0, 1), 5, if(ISBLANK('2025'!$S69), 0, 1), 6, if(ISBLANK('2025'!$T69), 0, 1), 7, 0))), 1, "")</f>
        <v/>
      </c>
      <c r="T71" s="1" t="str">
        <f>IF(AND(AND(AND(T$4&gt;='2025'!$L69,T$4&lt;='2025'!$M69), T$4&lt;&gt;DATE(2025,7,4)), (SWITCH(weekday(T$4), 1, 0, 2, if(ISBLANK('2025'!$P69), 0, 1), 3, if(ISBLANK('2025'!$Q69), 0, 1), 4, if(ISBLANK('2025'!$R69), 0, 1), 5, if(ISBLANK('2025'!$S69), 0, 1), 6, if(ISBLANK('2025'!$T69), 0, 1), 7, 0))), 1, "")</f>
        <v/>
      </c>
      <c r="U71" s="1" t="str">
        <f>IF(AND(AND(AND(U$4&gt;='2025'!$L69,U$4&lt;='2025'!$M69), U$4&lt;&gt;DATE(2025,7,4)), (SWITCH(weekday(U$4), 1, 0, 2, if(ISBLANK('2025'!$P69), 0, 1), 3, if(ISBLANK('2025'!$Q69), 0, 1), 4, if(ISBLANK('2025'!$R69), 0, 1), 5, if(ISBLANK('2025'!$S69), 0, 1), 6, if(ISBLANK('2025'!$T69), 0, 1), 7, 0))), 1, "")</f>
        <v/>
      </c>
      <c r="V71" s="1" t="str">
        <f>IF(AND(AND(AND(V$4&gt;='2025'!$L69,V$4&lt;='2025'!$M69), V$4&lt;&gt;DATE(2025,7,4)), (SWITCH(weekday(V$4), 1, 0, 2, if(ISBLANK('2025'!$P69), 0, 1), 3, if(ISBLANK('2025'!$Q69), 0, 1), 4, if(ISBLANK('2025'!$R69), 0, 1), 5, if(ISBLANK('2025'!$S69), 0, 1), 6, if(ISBLANK('2025'!$T69), 0, 1), 7, 0))), 1, "")</f>
        <v/>
      </c>
      <c r="W71" s="1" t="str">
        <f>IF(AND(AND(AND(W$4&gt;='2025'!$L69,W$4&lt;='2025'!$M69), W$4&lt;&gt;DATE(2025,7,4)), (SWITCH(weekday(W$4), 1, 0, 2, if(ISBLANK('2025'!$P69), 0, 1), 3, if(ISBLANK('2025'!$Q69), 0, 1), 4, if(ISBLANK('2025'!$R69), 0, 1), 5, if(ISBLANK('2025'!$S69), 0, 1), 6, if(ISBLANK('2025'!$T69), 0, 1), 7, 0))), 1, "")</f>
        <v/>
      </c>
      <c r="X71" s="1" t="str">
        <f>IF(AND(AND(AND(X$4&gt;='2025'!$L69,X$4&lt;='2025'!$M69), X$4&lt;&gt;DATE(2025,7,4)), (SWITCH(weekday(X$4), 1, 0, 2, if(ISBLANK('2025'!$P69), 0, 1), 3, if(ISBLANK('2025'!$Q69), 0, 1), 4, if(ISBLANK('2025'!$R69), 0, 1), 5, if(ISBLANK('2025'!$S69), 0, 1), 6, if(ISBLANK('2025'!$T69), 0, 1), 7, 0))), 1, "")</f>
        <v/>
      </c>
      <c r="Y71" s="1" t="str">
        <f>IF(AND(AND(AND(Y$4&gt;='2025'!$L69,Y$4&lt;='2025'!$M69), Y$4&lt;&gt;DATE(2025,7,4)), (SWITCH(weekday(Y$4), 1, 0, 2, if(ISBLANK('2025'!$P69), 0, 1), 3, if(ISBLANK('2025'!$Q69), 0, 1), 4, if(ISBLANK('2025'!$R69), 0, 1), 5, if(ISBLANK('2025'!$S69), 0, 1), 6, if(ISBLANK('2025'!$T69), 0, 1), 7, 0))), 1, "")</f>
        <v/>
      </c>
      <c r="Z71" s="1" t="str">
        <f>IF(AND(AND(AND(Z$4&gt;='2025'!$L69,Z$4&lt;='2025'!$M69), Z$4&lt;&gt;DATE(2025,7,4)), (SWITCH(weekday(Z$4), 1, 0, 2, if(ISBLANK('2025'!$P69), 0, 1), 3, if(ISBLANK('2025'!$Q69), 0, 1), 4, if(ISBLANK('2025'!$R69), 0, 1), 5, if(ISBLANK('2025'!$S69), 0, 1), 6, if(ISBLANK('2025'!$T69), 0, 1), 7, 0))), 1, "")</f>
        <v/>
      </c>
      <c r="AA71" s="1" t="str">
        <f>IF(AND(AND(AND(AA$4&gt;='2025'!$L69,AA$4&lt;='2025'!$M69), AA$4&lt;&gt;DATE(2025,7,4)), (SWITCH(weekday(AA$4), 1, 0, 2, if(ISBLANK('2025'!$P69), 0, 1), 3, if(ISBLANK('2025'!$Q69), 0, 1), 4, if(ISBLANK('2025'!$R69), 0, 1), 5, if(ISBLANK('2025'!$S69), 0, 1), 6, if(ISBLANK('2025'!$T69), 0, 1), 7, 0))), 1, "")</f>
        <v/>
      </c>
      <c r="AB71" s="1" t="str">
        <f>IF(AND(AND(AND(AB$4&gt;='2025'!$L69,AB$4&lt;='2025'!$M69), AB$4&lt;&gt;DATE(2025,7,4)), (SWITCH(weekday(AB$4), 1, 0, 2, if(ISBLANK('2025'!$P69), 0, 1), 3, if(ISBLANK('2025'!$Q69), 0, 1), 4, if(ISBLANK('2025'!$R69), 0, 1), 5, if(ISBLANK('2025'!$S69), 0, 1), 6, if(ISBLANK('2025'!$T69), 0, 1), 7, 0))), 1, "")</f>
        <v/>
      </c>
      <c r="AC71" s="1" t="str">
        <f>IF(AND(AND(AND(AC$4&gt;='2025'!$L69,AC$4&lt;='2025'!$M69), AC$4&lt;&gt;DATE(2025,7,4)), (SWITCH(weekday(AC$4), 1, 0, 2, if(ISBLANK('2025'!$P69), 0, 1), 3, if(ISBLANK('2025'!$Q69), 0, 1), 4, if(ISBLANK('2025'!$R69), 0, 1), 5, if(ISBLANK('2025'!$S69), 0, 1), 6, if(ISBLANK('2025'!$T69), 0, 1), 7, 0))), 1, "")</f>
        <v/>
      </c>
      <c r="AD71" s="1" t="str">
        <f>IF(AND(AND(AND(AD$4&gt;='2025'!$L69,AD$4&lt;='2025'!$M69), AD$4&lt;&gt;DATE(2025,7,4)), (SWITCH(weekday(AD$4), 1, 0, 2, if(ISBLANK('2025'!$P69), 0, 1), 3, if(ISBLANK('2025'!$Q69), 0, 1), 4, if(ISBLANK('2025'!$R69), 0, 1), 5, if(ISBLANK('2025'!$S69), 0, 1), 6, if(ISBLANK('2025'!$T69), 0, 1), 7, 0))), 1, "")</f>
        <v/>
      </c>
      <c r="AE71" s="1" t="str">
        <f>IF(AND(AND(AND(AE$4&gt;='2025'!$L69,AE$4&lt;='2025'!$M69), AE$4&lt;&gt;DATE(2025,7,4)), (SWITCH(weekday(AE$4), 1, 0, 2, if(ISBLANK('2025'!$P69), 0, 1), 3, if(ISBLANK('2025'!$Q69), 0, 1), 4, if(ISBLANK('2025'!$R69), 0, 1), 5, if(ISBLANK('2025'!$S69), 0, 1), 6, if(ISBLANK('2025'!$T69), 0, 1), 7, 0))), 1, "")</f>
        <v/>
      </c>
      <c r="AF71" s="1" t="str">
        <f>IF(AND(AND(AND(AF$4&gt;='2025'!$L69,AF$4&lt;='2025'!$M69), AF$4&lt;&gt;DATE(2025,7,4)), (SWITCH(weekday(AF$4), 1, 0, 2, if(ISBLANK('2025'!$P69), 0, 1), 3, if(ISBLANK('2025'!$Q69), 0, 1), 4, if(ISBLANK('2025'!$R69), 0, 1), 5, if(ISBLANK('2025'!$S69), 0, 1), 6, if(ISBLANK('2025'!$T69), 0, 1), 7, 0))), 1, "")</f>
        <v/>
      </c>
      <c r="AG71" s="1" t="str">
        <f>IF(AND(AND(AND(AG$4&gt;='2025'!$L69,AG$4&lt;='2025'!$M69), AG$4&lt;&gt;DATE(2025,7,4)), (SWITCH(weekday(AG$4), 1, 0, 2, if(ISBLANK('2025'!$P69), 0, 1), 3, if(ISBLANK('2025'!$Q69), 0, 1), 4, if(ISBLANK('2025'!$R69), 0, 1), 5, if(ISBLANK('2025'!$S69), 0, 1), 6, if(ISBLANK('2025'!$T69), 0, 1), 7, 0))), 1, "")</f>
        <v/>
      </c>
      <c r="AH71" s="1" t="str">
        <f>IF(AND(AND(AND(AH$4&gt;='2025'!$L69,AH$4&lt;='2025'!$M69), AH$4&lt;&gt;DATE(2025,7,4)), (SWITCH(weekday(AH$4), 1, 0, 2, if(ISBLANK('2025'!$P69), 0, 1), 3, if(ISBLANK('2025'!$Q69), 0, 1), 4, if(ISBLANK('2025'!$R69), 0, 1), 5, if(ISBLANK('2025'!$S69), 0, 1), 6, if(ISBLANK('2025'!$T69), 0, 1), 7, 0))), 1, "")</f>
        <v/>
      </c>
      <c r="AI71" s="1" t="str">
        <f>IF(AND(AND(AND(AI$4&gt;='2025'!$L69,AI$4&lt;='2025'!$M69), AI$4&lt;&gt;DATE(2025,7,4)), (SWITCH(weekday(AI$4), 1, 0, 2, if(ISBLANK('2025'!$P69), 0, 1), 3, if(ISBLANK('2025'!$Q69), 0, 1), 4, if(ISBLANK('2025'!$R69), 0, 1), 5, if(ISBLANK('2025'!$S69), 0, 1), 6, if(ISBLANK('2025'!$T69), 0, 1), 7, 0))), 1, "")</f>
        <v/>
      </c>
      <c r="AJ71" s="1" t="str">
        <f>IF(AND(AND(AND(AJ$4&gt;='2025'!$L69,AJ$4&lt;='2025'!$M69), AJ$4&lt;&gt;DATE(2025,7,4)), (SWITCH(weekday(AJ$4), 1, 0, 2, if(ISBLANK('2025'!$P69), 0, 1), 3, if(ISBLANK('2025'!$Q69), 0, 1), 4, if(ISBLANK('2025'!$R69), 0, 1), 5, if(ISBLANK('2025'!$S69), 0, 1), 6, if(ISBLANK('2025'!$T69), 0, 1), 7, 0))), 1, "")</f>
        <v/>
      </c>
      <c r="AK71" s="1" t="str">
        <f>IF(AND(AND(AND(AK$4&gt;='2025'!$L69,AK$4&lt;='2025'!$M69), AK$4&lt;&gt;DATE(2025,7,4)), (SWITCH(weekday(AK$4), 1, 0, 2, if(ISBLANK('2025'!$P69), 0, 1), 3, if(ISBLANK('2025'!$Q69), 0, 1), 4, if(ISBLANK('2025'!$R69), 0, 1), 5, if(ISBLANK('2025'!$S69), 0, 1), 6, if(ISBLANK('2025'!$T69), 0, 1), 7, 0))), 1, "")</f>
        <v/>
      </c>
      <c r="AL71" s="1" t="str">
        <f>IF(AND(AND(AND(AL$4&gt;='2025'!$L69,AL$4&lt;='2025'!$M69), AL$4&lt;&gt;DATE(2025,7,4)), (SWITCH(weekday(AL$4), 1, 0, 2, if(ISBLANK('2025'!$P69), 0, 1), 3, if(ISBLANK('2025'!$Q69), 0, 1), 4, if(ISBLANK('2025'!$R69), 0, 1), 5, if(ISBLANK('2025'!$S69), 0, 1), 6, if(ISBLANK('2025'!$T69), 0, 1), 7, 0))), 1, "")</f>
        <v/>
      </c>
      <c r="AM71" s="1" t="str">
        <f>IF(AND(AND(AND(AM$4&gt;='2025'!$L69,AM$4&lt;='2025'!$M69), AM$4&lt;&gt;DATE(2025,7,4)), (SWITCH(weekday(AM$4), 1, 0, 2, if(ISBLANK('2025'!$P69), 0, 1), 3, if(ISBLANK('2025'!$Q69), 0, 1), 4, if(ISBLANK('2025'!$R69), 0, 1), 5, if(ISBLANK('2025'!$S69), 0, 1), 6, if(ISBLANK('2025'!$T69), 0, 1), 7, 0))), 1, "")</f>
        <v/>
      </c>
      <c r="AN71" s="1" t="str">
        <f>IF(AND(AND(AND(AN$4&gt;='2025'!$L69,AN$4&lt;='2025'!$M69), AN$4&lt;&gt;DATE(2025,7,4)), (SWITCH(weekday(AN$4), 1, 0, 2, if(ISBLANK('2025'!$P69), 0, 1), 3, if(ISBLANK('2025'!$Q69), 0, 1), 4, if(ISBLANK('2025'!$R69), 0, 1), 5, if(ISBLANK('2025'!$S69), 0, 1), 6, if(ISBLANK('2025'!$T69), 0, 1), 7, 0))), 1, "")</f>
        <v/>
      </c>
      <c r="AO71" s="1" t="str">
        <f>IF(AND(AND(AND(AO$4&gt;='2025'!$L69,AO$4&lt;='2025'!$M69), AO$4&lt;&gt;DATE(2025,7,4)), (SWITCH(weekday(AO$4), 1, 0, 2, if(ISBLANK('2025'!$P69), 0, 1), 3, if(ISBLANK('2025'!$Q69), 0, 1), 4, if(ISBLANK('2025'!$R69), 0, 1), 5, if(ISBLANK('2025'!$S69), 0, 1), 6, if(ISBLANK('2025'!$T69), 0, 1), 7, 0))), 1, "")</f>
        <v/>
      </c>
      <c r="AP71" s="1" t="str">
        <f>IF(AND(AND(AND(AP$4&gt;='2025'!$L69,AP$4&lt;='2025'!$M69), AP$4&lt;&gt;DATE(2025,7,4)), (SWITCH(weekday(AP$4), 1, 0, 2, if(ISBLANK('2025'!$P69), 0, 1), 3, if(ISBLANK('2025'!$Q69), 0, 1), 4, if(ISBLANK('2025'!$R69), 0, 1), 5, if(ISBLANK('2025'!$S69), 0, 1), 6, if(ISBLANK('2025'!$T69), 0, 1), 7, 0))), 1, "")</f>
        <v/>
      </c>
      <c r="AQ71" s="1" t="str">
        <f>IF(AND(AND(AND(AQ$4&gt;='2025'!$L69,AQ$4&lt;='2025'!$M69), AQ$4&lt;&gt;DATE(2025,7,4)), (SWITCH(weekday(AQ$4), 1, 0, 2, if(ISBLANK('2025'!$P69), 0, 1), 3, if(ISBLANK('2025'!$Q69), 0, 1), 4, if(ISBLANK('2025'!$R69), 0, 1), 5, if(ISBLANK('2025'!$S69), 0, 1), 6, if(ISBLANK('2025'!$T69), 0, 1), 7, 0))), 1, "")</f>
        <v/>
      </c>
      <c r="AR71" s="1" t="str">
        <f>IF(AND(AND(AND(AR$4&gt;='2025'!$L69,AR$4&lt;='2025'!$M69), AR$4&lt;&gt;DATE(2025,7,4)), (SWITCH(weekday(AR$4), 1, 0, 2, if(ISBLANK('2025'!$P69), 0, 1), 3, if(ISBLANK('2025'!$Q69), 0, 1), 4, if(ISBLANK('2025'!$R69), 0, 1), 5, if(ISBLANK('2025'!$S69), 0, 1), 6, if(ISBLANK('2025'!$T69), 0, 1), 7, 0))), 1, "")</f>
        <v/>
      </c>
      <c r="AS71" s="1" t="str">
        <f>IF(AND(AND(AND(AS$4&gt;='2025'!$L69,AS$4&lt;='2025'!$M69), AS$4&lt;&gt;DATE(2025,7,4)), (SWITCH(weekday(AS$4), 1, 0, 2, if(ISBLANK('2025'!$P69), 0, 1), 3, if(ISBLANK('2025'!$Q69), 0, 1), 4, if(ISBLANK('2025'!$R69), 0, 1), 5, if(ISBLANK('2025'!$S69), 0, 1), 6, if(ISBLANK('2025'!$T69), 0, 1), 7, 0))), 1, "")</f>
        <v/>
      </c>
      <c r="AT71" s="1" t="str">
        <f>IF(AND(AND(AND(AT$4&gt;='2025'!$L69,AT$4&lt;='2025'!$M69), AT$4&lt;&gt;DATE(2025,7,4)), (SWITCH(weekday(AT$4), 1, 0, 2, if(ISBLANK('2025'!$P69), 0, 1), 3, if(ISBLANK('2025'!$Q69), 0, 1), 4, if(ISBLANK('2025'!$R69), 0, 1), 5, if(ISBLANK('2025'!$S69), 0, 1), 6, if(ISBLANK('2025'!$T69), 0, 1), 7, 0))), 1, "")</f>
        <v/>
      </c>
      <c r="AU71" s="1" t="str">
        <f>IF(AND(AND(AND(AU$4&gt;='2025'!$L69,AU$4&lt;='2025'!$M69), AU$4&lt;&gt;DATE(2025,7,4)), (SWITCH(weekday(AU$4), 1, 0, 2, if(ISBLANK('2025'!$P69), 0, 1), 3, if(ISBLANK('2025'!$Q69), 0, 1), 4, if(ISBLANK('2025'!$R69), 0, 1), 5, if(ISBLANK('2025'!$S69), 0, 1), 6, if(ISBLANK('2025'!$T69), 0, 1), 7, 0))), 1, "")</f>
        <v/>
      </c>
      <c r="AV71" s="1" t="str">
        <f>IF(AND(AND(AND(AV$4&gt;='2025'!$L69,AV$4&lt;='2025'!$M69), AV$4&lt;&gt;DATE(2025,7,4)), (SWITCH(weekday(AV$4), 1, 0, 2, if(ISBLANK('2025'!$P69), 0, 1), 3, if(ISBLANK('2025'!$Q69), 0, 1), 4, if(ISBLANK('2025'!$R69), 0, 1), 5, if(ISBLANK('2025'!$S69), 0, 1), 6, if(ISBLANK('2025'!$T69), 0, 1), 7, 0))), 1, "")</f>
        <v/>
      </c>
      <c r="AW71" s="1" t="str">
        <f>IF(AND(AND(AND(AW$4&gt;='2025'!$L69,AW$4&lt;='2025'!$M69), AW$4&lt;&gt;DATE(2025,7,4)), (SWITCH(weekday(AW$4), 1, 0, 2, if(ISBLANK('2025'!$P69), 0, 1), 3, if(ISBLANK('2025'!$Q69), 0, 1), 4, if(ISBLANK('2025'!$R69), 0, 1), 5, if(ISBLANK('2025'!$S69), 0, 1), 6, if(ISBLANK('2025'!$T69), 0, 1), 7, 0))), 1, "")</f>
        <v/>
      </c>
      <c r="AX71" s="1" t="str">
        <f>IF(AND(AND(AND(AX$4&gt;='2025'!$L69,AX$4&lt;='2025'!$M69), AX$4&lt;&gt;DATE(2025,7,4)), (SWITCH(weekday(AX$4), 1, 0, 2, if(ISBLANK('2025'!$P69), 0, 1), 3, if(ISBLANK('2025'!$Q69), 0, 1), 4, if(ISBLANK('2025'!$R69), 0, 1), 5, if(ISBLANK('2025'!$S69), 0, 1), 6, if(ISBLANK('2025'!$T69), 0, 1), 7, 0))), 1, "")</f>
        <v/>
      </c>
      <c r="AY71" s="1" t="str">
        <f>IF(AND(AND(AND(AY$4&gt;='2025'!$L69,AY$4&lt;='2025'!$M69), AY$4&lt;&gt;DATE(2025,7,4)), (SWITCH(weekday(AY$4), 1, 0, 2, if(ISBLANK('2025'!$P69), 0, 1), 3, if(ISBLANK('2025'!$Q69), 0, 1), 4, if(ISBLANK('2025'!$R69), 0, 1), 5, if(ISBLANK('2025'!$S69), 0, 1), 6, if(ISBLANK('2025'!$T69), 0, 1), 7, 0))), 1, "")</f>
        <v/>
      </c>
      <c r="AZ71" s="1" t="str">
        <f>IF(AND(AND(AND(AZ$4&gt;='2025'!$L69,AZ$4&lt;='2025'!$M69), AZ$4&lt;&gt;DATE(2025,7,4)), (SWITCH(weekday(AZ$4), 1, 0, 2, if(ISBLANK('2025'!$P69), 0, 1), 3, if(ISBLANK('2025'!$Q69), 0, 1), 4, if(ISBLANK('2025'!$R69), 0, 1), 5, if(ISBLANK('2025'!$S69), 0, 1), 6, if(ISBLANK('2025'!$T69), 0, 1), 7, 0))), 1, "")</f>
        <v/>
      </c>
      <c r="BA71" s="1" t="str">
        <f>IF(AND(AND(AND(BA$4&gt;='2025'!$L69,BA$4&lt;='2025'!$M69), BA$4&lt;&gt;DATE(2025,7,4)), (SWITCH(weekday(BA$4), 1, 0, 2, if(ISBLANK('2025'!$P69), 0, 1), 3, if(ISBLANK('2025'!$Q69), 0, 1), 4, if(ISBLANK('2025'!$R69), 0, 1), 5, if(ISBLANK('2025'!$S69), 0, 1), 6, if(ISBLANK('2025'!$T69), 0, 1), 7, 0))), 1, "")</f>
        <v/>
      </c>
      <c r="BB71" s="1" t="str">
        <f>IF(AND(AND(AND(BB$4&gt;='2025'!$L69,BB$4&lt;='2025'!$M69), BB$4&lt;&gt;DATE(2025,7,4)), (SWITCH(weekday(BB$4), 1, 0, 2, if(ISBLANK('2025'!$P69), 0, 1), 3, if(ISBLANK('2025'!$Q69), 0, 1), 4, if(ISBLANK('2025'!$R69), 0, 1), 5, if(ISBLANK('2025'!$S69), 0, 1), 6, if(ISBLANK('2025'!$T69), 0, 1), 7, 0))), 1, "")</f>
        <v/>
      </c>
      <c r="BC71" s="1" t="str">
        <f>IF(AND(AND(AND(BC$4&gt;='2025'!$L69,BC$4&lt;='2025'!$M69), BC$4&lt;&gt;DATE(2025,7,4)), (SWITCH(weekday(BC$4), 1, 0, 2, if(ISBLANK('2025'!$P69), 0, 1), 3, if(ISBLANK('2025'!$Q69), 0, 1), 4, if(ISBLANK('2025'!$R69), 0, 1), 5, if(ISBLANK('2025'!$S69), 0, 1), 6, if(ISBLANK('2025'!$T69), 0, 1), 7, 0))), 1, "")</f>
        <v/>
      </c>
      <c r="BD71" s="1" t="str">
        <f>IF(AND(AND(AND(BD$4&gt;='2025'!$L69,BD$4&lt;='2025'!$M69), BD$4&lt;&gt;DATE(2025,7,4)), (SWITCH(weekday(BD$4), 1, 0, 2, if(ISBLANK('2025'!$P69), 0, 1), 3, if(ISBLANK('2025'!$Q69), 0, 1), 4, if(ISBLANK('2025'!$R69), 0, 1), 5, if(ISBLANK('2025'!$S69), 0, 1), 6, if(ISBLANK('2025'!$T69), 0, 1), 7, 0))), 1, "")</f>
        <v/>
      </c>
      <c r="BE71" s="1" t="str">
        <f>IF(AND(AND(AND(BE$4&gt;='2025'!$L69,BE$4&lt;='2025'!$M69), BE$4&lt;&gt;DATE(2025,7,4)), (SWITCH(weekday(BE$4), 1, 0, 2, if(ISBLANK('2025'!$P69), 0, 1), 3, if(ISBLANK('2025'!$Q69), 0, 1), 4, if(ISBLANK('2025'!$R69), 0, 1), 5, if(ISBLANK('2025'!$S69), 0, 1), 6, if(ISBLANK('2025'!$T69), 0, 1), 7, 0))), 1, "")</f>
        <v/>
      </c>
      <c r="BF71" s="1" t="str">
        <f>IF(AND(AND(AND(BF$4&gt;='2025'!$L69,BF$4&lt;='2025'!$M69), BF$4&lt;&gt;DATE(2025,7,4)), (SWITCH(weekday(BF$4), 1, 0, 2, if(ISBLANK('2025'!$P69), 0, 1), 3, if(ISBLANK('2025'!$Q69), 0, 1), 4, if(ISBLANK('2025'!$R69), 0, 1), 5, if(ISBLANK('2025'!$S69), 0, 1), 6, if(ISBLANK('2025'!$T69), 0, 1), 7, 0))), 1, "")</f>
        <v/>
      </c>
      <c r="BG71" s="1"/>
      <c r="BH71" s="1"/>
      <c r="BI71" s="1"/>
      <c r="BJ71" s="1"/>
      <c r="BK71" s="1"/>
      <c r="BL71" s="1"/>
    </row>
    <row r="72">
      <c r="A72" s="1">
        <f t="shared" si="3"/>
        <v>72</v>
      </c>
      <c r="B72" s="1" t="str">
        <f>'2025'!D70</f>
        <v>, </v>
      </c>
      <c r="C72" s="1" t="str">
        <f>'2025'!H70</f>
        <v/>
      </c>
      <c r="D72" s="1" t="str">
        <f>IF(AND(AND(AND(D$4&gt;='2025'!$L70,D$4&lt;='2025'!$M70), D$4&lt;&gt;DATE(2025,7,4)), (SWITCH(weekday(D$4), 1, 0, 2, if(ISBLANK('2025'!$P70), 0, 1), 3, if(ISBLANK('2025'!$Q70), 0, 1), 4, if(ISBLANK('2025'!$R70), 0, 1), 5, if(ISBLANK('2025'!$S70), 0, 1), 6, if(ISBLANK('2025'!$T70), 0, 1), 7, 0))), 1, "")</f>
        <v/>
      </c>
      <c r="E72" s="1" t="str">
        <f>IF(AND(AND(AND(E$4&gt;='2025'!$L70,E$4&lt;='2025'!$M70), E$4&lt;&gt;DATE(2025,7,4)), (SWITCH(weekday(E$4), 1, 0, 2, if(ISBLANK('2025'!$P70), 0, 1), 3, if(ISBLANK('2025'!$Q70), 0, 1), 4, if(ISBLANK('2025'!$R70), 0, 1), 5, if(ISBLANK('2025'!$S70), 0, 1), 6, if(ISBLANK('2025'!$T70), 0, 1), 7, 0))), 1, "")</f>
        <v/>
      </c>
      <c r="F72" s="1" t="str">
        <f>IF(AND(AND(AND(F$4&gt;='2025'!$L70,F$4&lt;='2025'!$M70), F$4&lt;&gt;DATE(2025,7,4)), (SWITCH(weekday(F$4), 1, 0, 2, if(ISBLANK('2025'!$P70), 0, 1), 3, if(ISBLANK('2025'!$Q70), 0, 1), 4, if(ISBLANK('2025'!$R70), 0, 1), 5, if(ISBLANK('2025'!$S70), 0, 1), 6, if(ISBLANK('2025'!$T70), 0, 1), 7, 0))), 1, "")</f>
        <v/>
      </c>
      <c r="G72" s="1" t="str">
        <f>IF(AND(AND(AND(G$4&gt;='2025'!$L70,G$4&lt;='2025'!$M70), G$4&lt;&gt;DATE(2025,7,4)), (SWITCH(weekday(G$4), 1, 0, 2, if(ISBLANK('2025'!$P70), 0, 1), 3, if(ISBLANK('2025'!$Q70), 0, 1), 4, if(ISBLANK('2025'!$R70), 0, 1), 5, if(ISBLANK('2025'!$S70), 0, 1), 6, if(ISBLANK('2025'!$T70), 0, 1), 7, 0))), 1, "")</f>
        <v/>
      </c>
      <c r="H72" s="1" t="str">
        <f>IF(AND(AND(AND(H$4&gt;='2025'!$L70,H$4&lt;='2025'!$M70), H$4&lt;&gt;DATE(2025,7,4)), (SWITCH(weekday(H$4), 1, 0, 2, if(ISBLANK('2025'!$P70), 0, 1), 3, if(ISBLANK('2025'!$Q70), 0, 1), 4, if(ISBLANK('2025'!$R70), 0, 1), 5, if(ISBLANK('2025'!$S70), 0, 1), 6, if(ISBLANK('2025'!$T70), 0, 1), 7, 0))), 1, "")</f>
        <v/>
      </c>
      <c r="I72" s="1" t="str">
        <f>IF(AND(AND(AND(I$4&gt;='2025'!$L70,I$4&lt;='2025'!$M70), I$4&lt;&gt;DATE(2025,7,4)), (SWITCH(weekday(I$4), 1, 0, 2, if(ISBLANK('2025'!$P70), 0, 1), 3, if(ISBLANK('2025'!$Q70), 0, 1), 4, if(ISBLANK('2025'!$R70), 0, 1), 5, if(ISBLANK('2025'!$S70), 0, 1), 6, if(ISBLANK('2025'!$T70), 0, 1), 7, 0))), 1, "")</f>
        <v/>
      </c>
      <c r="J72" s="1" t="str">
        <f>IF(AND(AND(AND(J$4&gt;='2025'!$L70,J$4&lt;='2025'!$M70), J$4&lt;&gt;DATE(2025,7,4)), (SWITCH(weekday(J$4), 1, 0, 2, if(ISBLANK('2025'!$P70), 0, 1), 3, if(ISBLANK('2025'!$Q70), 0, 1), 4, if(ISBLANK('2025'!$R70), 0, 1), 5, if(ISBLANK('2025'!$S70), 0, 1), 6, if(ISBLANK('2025'!$T70), 0, 1), 7, 0))), 1, "")</f>
        <v/>
      </c>
      <c r="K72" s="1" t="str">
        <f>IF(AND(AND(AND(K$4&gt;='2025'!$L70,K$4&lt;='2025'!$M70), K$4&lt;&gt;DATE(2025,7,4)), (SWITCH(weekday(K$4), 1, 0, 2, if(ISBLANK('2025'!$P70), 0, 1), 3, if(ISBLANK('2025'!$Q70), 0, 1), 4, if(ISBLANK('2025'!$R70), 0, 1), 5, if(ISBLANK('2025'!$S70), 0, 1), 6, if(ISBLANK('2025'!$T70), 0, 1), 7, 0))), 1, "")</f>
        <v/>
      </c>
      <c r="L72" s="1" t="str">
        <f>IF(AND(AND(AND(L$4&gt;='2025'!$L70,L$4&lt;='2025'!$M70), L$4&lt;&gt;DATE(2025,7,4)), (SWITCH(weekday(L$4), 1, 0, 2, if(ISBLANK('2025'!$P70), 0, 1), 3, if(ISBLANK('2025'!$Q70), 0, 1), 4, if(ISBLANK('2025'!$R70), 0, 1), 5, if(ISBLANK('2025'!$S70), 0, 1), 6, if(ISBLANK('2025'!$T70), 0, 1), 7, 0))), 1, "")</f>
        <v/>
      </c>
      <c r="M72" s="1" t="str">
        <f>IF(AND(AND(AND(M$4&gt;='2025'!$L70,M$4&lt;='2025'!$M70), M$4&lt;&gt;DATE(2025,7,4)), (SWITCH(weekday(M$4), 1, 0, 2, if(ISBLANK('2025'!$P70), 0, 1), 3, if(ISBLANK('2025'!$Q70), 0, 1), 4, if(ISBLANK('2025'!$R70), 0, 1), 5, if(ISBLANK('2025'!$S70), 0, 1), 6, if(ISBLANK('2025'!$T70), 0, 1), 7, 0))), 1, "")</f>
        <v/>
      </c>
      <c r="N72" s="1" t="str">
        <f>IF(AND(AND(AND(N$4&gt;='2025'!$L70,N$4&lt;='2025'!$M70), N$4&lt;&gt;DATE(2025,7,4)), (SWITCH(weekday(N$4), 1, 0, 2, if(ISBLANK('2025'!$P70), 0, 1), 3, if(ISBLANK('2025'!$Q70), 0, 1), 4, if(ISBLANK('2025'!$R70), 0, 1), 5, if(ISBLANK('2025'!$S70), 0, 1), 6, if(ISBLANK('2025'!$T70), 0, 1), 7, 0))), 1, "")</f>
        <v/>
      </c>
      <c r="O72" s="1" t="str">
        <f>IF(AND(AND(AND(O$4&gt;='2025'!$L70,O$4&lt;='2025'!$M70), O$4&lt;&gt;DATE(2025,7,4)), (SWITCH(weekday(O$4), 1, 0, 2, if(ISBLANK('2025'!$P70), 0, 1), 3, if(ISBLANK('2025'!$Q70), 0, 1), 4, if(ISBLANK('2025'!$R70), 0, 1), 5, if(ISBLANK('2025'!$S70), 0, 1), 6, if(ISBLANK('2025'!$T70), 0, 1), 7, 0))), 1, "")</f>
        <v/>
      </c>
      <c r="P72" s="1" t="str">
        <f>IF(AND(AND(AND(P$4&gt;='2025'!$L70,P$4&lt;='2025'!$M70), P$4&lt;&gt;DATE(2025,7,4)), (SWITCH(weekday(P$4), 1, 0, 2, if(ISBLANK('2025'!$P70), 0, 1), 3, if(ISBLANK('2025'!$Q70), 0, 1), 4, if(ISBLANK('2025'!$R70), 0, 1), 5, if(ISBLANK('2025'!$S70), 0, 1), 6, if(ISBLANK('2025'!$T70), 0, 1), 7, 0))), 1, "")</f>
        <v/>
      </c>
      <c r="Q72" s="1" t="str">
        <f>IF(AND(AND(AND(Q$4&gt;='2025'!$L70,Q$4&lt;='2025'!$M70), Q$4&lt;&gt;DATE(2025,7,4)), (SWITCH(weekday(Q$4), 1, 0, 2, if(ISBLANK('2025'!$P70), 0, 1), 3, if(ISBLANK('2025'!$Q70), 0, 1), 4, if(ISBLANK('2025'!$R70), 0, 1), 5, if(ISBLANK('2025'!$S70), 0, 1), 6, if(ISBLANK('2025'!$T70), 0, 1), 7, 0))), 1, "")</f>
        <v/>
      </c>
      <c r="R72" s="1" t="str">
        <f>IF(AND(AND(AND(R$4&gt;='2025'!$L70,R$4&lt;='2025'!$M70), R$4&lt;&gt;DATE(2025,7,4)), (SWITCH(weekday(R$4), 1, 0, 2, if(ISBLANK('2025'!$P70), 0, 1), 3, if(ISBLANK('2025'!$Q70), 0, 1), 4, if(ISBLANK('2025'!$R70), 0, 1), 5, if(ISBLANK('2025'!$S70), 0, 1), 6, if(ISBLANK('2025'!$T70), 0, 1), 7, 0))), 1, "")</f>
        <v/>
      </c>
      <c r="S72" s="1" t="str">
        <f>IF(AND(AND(AND(S$4&gt;='2025'!$L70,S$4&lt;='2025'!$M70), S$4&lt;&gt;DATE(2025,7,4)), (SWITCH(weekday(S$4), 1, 0, 2, if(ISBLANK('2025'!$P70), 0, 1), 3, if(ISBLANK('2025'!$Q70), 0, 1), 4, if(ISBLANK('2025'!$R70), 0, 1), 5, if(ISBLANK('2025'!$S70), 0, 1), 6, if(ISBLANK('2025'!$T70), 0, 1), 7, 0))), 1, "")</f>
        <v/>
      </c>
      <c r="T72" s="1" t="str">
        <f>IF(AND(AND(AND(T$4&gt;='2025'!$L70,T$4&lt;='2025'!$M70), T$4&lt;&gt;DATE(2025,7,4)), (SWITCH(weekday(T$4), 1, 0, 2, if(ISBLANK('2025'!$P70), 0, 1), 3, if(ISBLANK('2025'!$Q70), 0, 1), 4, if(ISBLANK('2025'!$R70), 0, 1), 5, if(ISBLANK('2025'!$S70), 0, 1), 6, if(ISBLANK('2025'!$T70), 0, 1), 7, 0))), 1, "")</f>
        <v/>
      </c>
      <c r="U72" s="1" t="str">
        <f>IF(AND(AND(AND(U$4&gt;='2025'!$L70,U$4&lt;='2025'!$M70), U$4&lt;&gt;DATE(2025,7,4)), (SWITCH(weekday(U$4), 1, 0, 2, if(ISBLANK('2025'!$P70), 0, 1), 3, if(ISBLANK('2025'!$Q70), 0, 1), 4, if(ISBLANK('2025'!$R70), 0, 1), 5, if(ISBLANK('2025'!$S70), 0, 1), 6, if(ISBLANK('2025'!$T70), 0, 1), 7, 0))), 1, "")</f>
        <v/>
      </c>
      <c r="V72" s="1" t="str">
        <f>IF(AND(AND(AND(V$4&gt;='2025'!$L70,V$4&lt;='2025'!$M70), V$4&lt;&gt;DATE(2025,7,4)), (SWITCH(weekday(V$4), 1, 0, 2, if(ISBLANK('2025'!$P70), 0, 1), 3, if(ISBLANK('2025'!$Q70), 0, 1), 4, if(ISBLANK('2025'!$R70), 0, 1), 5, if(ISBLANK('2025'!$S70), 0, 1), 6, if(ISBLANK('2025'!$T70), 0, 1), 7, 0))), 1, "")</f>
        <v/>
      </c>
      <c r="W72" s="1" t="str">
        <f>IF(AND(AND(AND(W$4&gt;='2025'!$L70,W$4&lt;='2025'!$M70), W$4&lt;&gt;DATE(2025,7,4)), (SWITCH(weekday(W$4), 1, 0, 2, if(ISBLANK('2025'!$P70), 0, 1), 3, if(ISBLANK('2025'!$Q70), 0, 1), 4, if(ISBLANK('2025'!$R70), 0, 1), 5, if(ISBLANK('2025'!$S70), 0, 1), 6, if(ISBLANK('2025'!$T70), 0, 1), 7, 0))), 1, "")</f>
        <v/>
      </c>
      <c r="X72" s="1" t="str">
        <f>IF(AND(AND(AND(X$4&gt;='2025'!$L70,X$4&lt;='2025'!$M70), X$4&lt;&gt;DATE(2025,7,4)), (SWITCH(weekday(X$4), 1, 0, 2, if(ISBLANK('2025'!$P70), 0, 1), 3, if(ISBLANK('2025'!$Q70), 0, 1), 4, if(ISBLANK('2025'!$R70), 0, 1), 5, if(ISBLANK('2025'!$S70), 0, 1), 6, if(ISBLANK('2025'!$T70), 0, 1), 7, 0))), 1, "")</f>
        <v/>
      </c>
      <c r="Y72" s="1" t="str">
        <f>IF(AND(AND(AND(Y$4&gt;='2025'!$L70,Y$4&lt;='2025'!$M70), Y$4&lt;&gt;DATE(2025,7,4)), (SWITCH(weekday(Y$4), 1, 0, 2, if(ISBLANK('2025'!$P70), 0, 1), 3, if(ISBLANK('2025'!$Q70), 0, 1), 4, if(ISBLANK('2025'!$R70), 0, 1), 5, if(ISBLANK('2025'!$S70), 0, 1), 6, if(ISBLANK('2025'!$T70), 0, 1), 7, 0))), 1, "")</f>
        <v/>
      </c>
      <c r="Z72" s="1" t="str">
        <f>IF(AND(AND(AND(Z$4&gt;='2025'!$L70,Z$4&lt;='2025'!$M70), Z$4&lt;&gt;DATE(2025,7,4)), (SWITCH(weekday(Z$4), 1, 0, 2, if(ISBLANK('2025'!$P70), 0, 1), 3, if(ISBLANK('2025'!$Q70), 0, 1), 4, if(ISBLANK('2025'!$R70), 0, 1), 5, if(ISBLANK('2025'!$S70), 0, 1), 6, if(ISBLANK('2025'!$T70), 0, 1), 7, 0))), 1, "")</f>
        <v/>
      </c>
      <c r="AA72" s="1" t="str">
        <f>IF(AND(AND(AND(AA$4&gt;='2025'!$L70,AA$4&lt;='2025'!$M70), AA$4&lt;&gt;DATE(2025,7,4)), (SWITCH(weekday(AA$4), 1, 0, 2, if(ISBLANK('2025'!$P70), 0, 1), 3, if(ISBLANK('2025'!$Q70), 0, 1), 4, if(ISBLANK('2025'!$R70), 0, 1), 5, if(ISBLANK('2025'!$S70), 0, 1), 6, if(ISBLANK('2025'!$T70), 0, 1), 7, 0))), 1, "")</f>
        <v/>
      </c>
      <c r="AB72" s="1" t="str">
        <f>IF(AND(AND(AND(AB$4&gt;='2025'!$L70,AB$4&lt;='2025'!$M70), AB$4&lt;&gt;DATE(2025,7,4)), (SWITCH(weekday(AB$4), 1, 0, 2, if(ISBLANK('2025'!$P70), 0, 1), 3, if(ISBLANK('2025'!$Q70), 0, 1), 4, if(ISBLANK('2025'!$R70), 0, 1), 5, if(ISBLANK('2025'!$S70), 0, 1), 6, if(ISBLANK('2025'!$T70), 0, 1), 7, 0))), 1, "")</f>
        <v/>
      </c>
      <c r="AC72" s="1" t="str">
        <f>IF(AND(AND(AND(AC$4&gt;='2025'!$L70,AC$4&lt;='2025'!$M70), AC$4&lt;&gt;DATE(2025,7,4)), (SWITCH(weekday(AC$4), 1, 0, 2, if(ISBLANK('2025'!$P70), 0, 1), 3, if(ISBLANK('2025'!$Q70), 0, 1), 4, if(ISBLANK('2025'!$R70), 0, 1), 5, if(ISBLANK('2025'!$S70), 0, 1), 6, if(ISBLANK('2025'!$T70), 0, 1), 7, 0))), 1, "")</f>
        <v/>
      </c>
      <c r="AD72" s="1" t="str">
        <f>IF(AND(AND(AND(AD$4&gt;='2025'!$L70,AD$4&lt;='2025'!$M70), AD$4&lt;&gt;DATE(2025,7,4)), (SWITCH(weekday(AD$4), 1, 0, 2, if(ISBLANK('2025'!$P70), 0, 1), 3, if(ISBLANK('2025'!$Q70), 0, 1), 4, if(ISBLANK('2025'!$R70), 0, 1), 5, if(ISBLANK('2025'!$S70), 0, 1), 6, if(ISBLANK('2025'!$T70), 0, 1), 7, 0))), 1, "")</f>
        <v/>
      </c>
      <c r="AE72" s="1" t="str">
        <f>IF(AND(AND(AND(AE$4&gt;='2025'!$L70,AE$4&lt;='2025'!$M70), AE$4&lt;&gt;DATE(2025,7,4)), (SWITCH(weekday(AE$4), 1, 0, 2, if(ISBLANK('2025'!$P70), 0, 1), 3, if(ISBLANK('2025'!$Q70), 0, 1), 4, if(ISBLANK('2025'!$R70), 0, 1), 5, if(ISBLANK('2025'!$S70), 0, 1), 6, if(ISBLANK('2025'!$T70), 0, 1), 7, 0))), 1, "")</f>
        <v/>
      </c>
      <c r="AF72" s="1" t="str">
        <f>IF(AND(AND(AND(AF$4&gt;='2025'!$L70,AF$4&lt;='2025'!$M70), AF$4&lt;&gt;DATE(2025,7,4)), (SWITCH(weekday(AF$4), 1, 0, 2, if(ISBLANK('2025'!$P70), 0, 1), 3, if(ISBLANK('2025'!$Q70), 0, 1), 4, if(ISBLANK('2025'!$R70), 0, 1), 5, if(ISBLANK('2025'!$S70), 0, 1), 6, if(ISBLANK('2025'!$T70), 0, 1), 7, 0))), 1, "")</f>
        <v/>
      </c>
      <c r="AG72" s="1" t="str">
        <f>IF(AND(AND(AND(AG$4&gt;='2025'!$L70,AG$4&lt;='2025'!$M70), AG$4&lt;&gt;DATE(2025,7,4)), (SWITCH(weekday(AG$4), 1, 0, 2, if(ISBLANK('2025'!$P70), 0, 1), 3, if(ISBLANK('2025'!$Q70), 0, 1), 4, if(ISBLANK('2025'!$R70), 0, 1), 5, if(ISBLANK('2025'!$S70), 0, 1), 6, if(ISBLANK('2025'!$T70), 0, 1), 7, 0))), 1, "")</f>
        <v/>
      </c>
      <c r="AH72" s="1" t="str">
        <f>IF(AND(AND(AND(AH$4&gt;='2025'!$L70,AH$4&lt;='2025'!$M70), AH$4&lt;&gt;DATE(2025,7,4)), (SWITCH(weekday(AH$4), 1, 0, 2, if(ISBLANK('2025'!$P70), 0, 1), 3, if(ISBLANK('2025'!$Q70), 0, 1), 4, if(ISBLANK('2025'!$R70), 0, 1), 5, if(ISBLANK('2025'!$S70), 0, 1), 6, if(ISBLANK('2025'!$T70), 0, 1), 7, 0))), 1, "")</f>
        <v/>
      </c>
      <c r="AI72" s="1" t="str">
        <f>IF(AND(AND(AND(AI$4&gt;='2025'!$L70,AI$4&lt;='2025'!$M70), AI$4&lt;&gt;DATE(2025,7,4)), (SWITCH(weekday(AI$4), 1, 0, 2, if(ISBLANK('2025'!$P70), 0, 1), 3, if(ISBLANK('2025'!$Q70), 0, 1), 4, if(ISBLANK('2025'!$R70), 0, 1), 5, if(ISBLANK('2025'!$S70), 0, 1), 6, if(ISBLANK('2025'!$T70), 0, 1), 7, 0))), 1, "")</f>
        <v/>
      </c>
      <c r="AJ72" s="1" t="str">
        <f>IF(AND(AND(AND(AJ$4&gt;='2025'!$L70,AJ$4&lt;='2025'!$M70), AJ$4&lt;&gt;DATE(2025,7,4)), (SWITCH(weekday(AJ$4), 1, 0, 2, if(ISBLANK('2025'!$P70), 0, 1), 3, if(ISBLANK('2025'!$Q70), 0, 1), 4, if(ISBLANK('2025'!$R70), 0, 1), 5, if(ISBLANK('2025'!$S70), 0, 1), 6, if(ISBLANK('2025'!$T70), 0, 1), 7, 0))), 1, "")</f>
        <v/>
      </c>
      <c r="AK72" s="1" t="str">
        <f>IF(AND(AND(AND(AK$4&gt;='2025'!$L70,AK$4&lt;='2025'!$M70), AK$4&lt;&gt;DATE(2025,7,4)), (SWITCH(weekday(AK$4), 1, 0, 2, if(ISBLANK('2025'!$P70), 0, 1), 3, if(ISBLANK('2025'!$Q70), 0, 1), 4, if(ISBLANK('2025'!$R70), 0, 1), 5, if(ISBLANK('2025'!$S70), 0, 1), 6, if(ISBLANK('2025'!$T70), 0, 1), 7, 0))), 1, "")</f>
        <v/>
      </c>
      <c r="AL72" s="1" t="str">
        <f>IF(AND(AND(AND(AL$4&gt;='2025'!$L70,AL$4&lt;='2025'!$M70), AL$4&lt;&gt;DATE(2025,7,4)), (SWITCH(weekday(AL$4), 1, 0, 2, if(ISBLANK('2025'!$P70), 0, 1), 3, if(ISBLANK('2025'!$Q70), 0, 1), 4, if(ISBLANK('2025'!$R70), 0, 1), 5, if(ISBLANK('2025'!$S70), 0, 1), 6, if(ISBLANK('2025'!$T70), 0, 1), 7, 0))), 1, "")</f>
        <v/>
      </c>
      <c r="AM72" s="1" t="str">
        <f>IF(AND(AND(AND(AM$4&gt;='2025'!$L70,AM$4&lt;='2025'!$M70), AM$4&lt;&gt;DATE(2025,7,4)), (SWITCH(weekday(AM$4), 1, 0, 2, if(ISBLANK('2025'!$P70), 0, 1), 3, if(ISBLANK('2025'!$Q70), 0, 1), 4, if(ISBLANK('2025'!$R70), 0, 1), 5, if(ISBLANK('2025'!$S70), 0, 1), 6, if(ISBLANK('2025'!$T70), 0, 1), 7, 0))), 1, "")</f>
        <v/>
      </c>
      <c r="AN72" s="1" t="str">
        <f>IF(AND(AND(AND(AN$4&gt;='2025'!$L70,AN$4&lt;='2025'!$M70), AN$4&lt;&gt;DATE(2025,7,4)), (SWITCH(weekday(AN$4), 1, 0, 2, if(ISBLANK('2025'!$P70), 0, 1), 3, if(ISBLANK('2025'!$Q70), 0, 1), 4, if(ISBLANK('2025'!$R70), 0, 1), 5, if(ISBLANK('2025'!$S70), 0, 1), 6, if(ISBLANK('2025'!$T70), 0, 1), 7, 0))), 1, "")</f>
        <v/>
      </c>
      <c r="AO72" s="1" t="str">
        <f>IF(AND(AND(AND(AO$4&gt;='2025'!$L70,AO$4&lt;='2025'!$M70), AO$4&lt;&gt;DATE(2025,7,4)), (SWITCH(weekday(AO$4), 1, 0, 2, if(ISBLANK('2025'!$P70), 0, 1), 3, if(ISBLANK('2025'!$Q70), 0, 1), 4, if(ISBLANK('2025'!$R70), 0, 1), 5, if(ISBLANK('2025'!$S70), 0, 1), 6, if(ISBLANK('2025'!$T70), 0, 1), 7, 0))), 1, "")</f>
        <v/>
      </c>
      <c r="AP72" s="1" t="str">
        <f>IF(AND(AND(AND(AP$4&gt;='2025'!$L70,AP$4&lt;='2025'!$M70), AP$4&lt;&gt;DATE(2025,7,4)), (SWITCH(weekday(AP$4), 1, 0, 2, if(ISBLANK('2025'!$P70), 0, 1), 3, if(ISBLANK('2025'!$Q70), 0, 1), 4, if(ISBLANK('2025'!$R70), 0, 1), 5, if(ISBLANK('2025'!$S70), 0, 1), 6, if(ISBLANK('2025'!$T70), 0, 1), 7, 0))), 1, "")</f>
        <v/>
      </c>
      <c r="AQ72" s="1" t="str">
        <f>IF(AND(AND(AND(AQ$4&gt;='2025'!$L70,AQ$4&lt;='2025'!$M70), AQ$4&lt;&gt;DATE(2025,7,4)), (SWITCH(weekday(AQ$4), 1, 0, 2, if(ISBLANK('2025'!$P70), 0, 1), 3, if(ISBLANK('2025'!$Q70), 0, 1), 4, if(ISBLANK('2025'!$R70), 0, 1), 5, if(ISBLANK('2025'!$S70), 0, 1), 6, if(ISBLANK('2025'!$T70), 0, 1), 7, 0))), 1, "")</f>
        <v/>
      </c>
      <c r="AR72" s="1" t="str">
        <f>IF(AND(AND(AND(AR$4&gt;='2025'!$L70,AR$4&lt;='2025'!$M70), AR$4&lt;&gt;DATE(2025,7,4)), (SWITCH(weekday(AR$4), 1, 0, 2, if(ISBLANK('2025'!$P70), 0, 1), 3, if(ISBLANK('2025'!$Q70), 0, 1), 4, if(ISBLANK('2025'!$R70), 0, 1), 5, if(ISBLANK('2025'!$S70), 0, 1), 6, if(ISBLANK('2025'!$T70), 0, 1), 7, 0))), 1, "")</f>
        <v/>
      </c>
      <c r="AS72" s="1" t="str">
        <f>IF(AND(AND(AND(AS$4&gt;='2025'!$L70,AS$4&lt;='2025'!$M70), AS$4&lt;&gt;DATE(2025,7,4)), (SWITCH(weekday(AS$4), 1, 0, 2, if(ISBLANK('2025'!$P70), 0, 1), 3, if(ISBLANK('2025'!$Q70), 0, 1), 4, if(ISBLANK('2025'!$R70), 0, 1), 5, if(ISBLANK('2025'!$S70), 0, 1), 6, if(ISBLANK('2025'!$T70), 0, 1), 7, 0))), 1, "")</f>
        <v/>
      </c>
      <c r="AT72" s="1" t="str">
        <f>IF(AND(AND(AND(AT$4&gt;='2025'!$L70,AT$4&lt;='2025'!$M70), AT$4&lt;&gt;DATE(2025,7,4)), (SWITCH(weekday(AT$4), 1, 0, 2, if(ISBLANK('2025'!$P70), 0, 1), 3, if(ISBLANK('2025'!$Q70), 0, 1), 4, if(ISBLANK('2025'!$R70), 0, 1), 5, if(ISBLANK('2025'!$S70), 0, 1), 6, if(ISBLANK('2025'!$T70), 0, 1), 7, 0))), 1, "")</f>
        <v/>
      </c>
      <c r="AU72" s="1" t="str">
        <f>IF(AND(AND(AND(AU$4&gt;='2025'!$L70,AU$4&lt;='2025'!$M70), AU$4&lt;&gt;DATE(2025,7,4)), (SWITCH(weekday(AU$4), 1, 0, 2, if(ISBLANK('2025'!$P70), 0, 1), 3, if(ISBLANK('2025'!$Q70), 0, 1), 4, if(ISBLANK('2025'!$R70), 0, 1), 5, if(ISBLANK('2025'!$S70), 0, 1), 6, if(ISBLANK('2025'!$T70), 0, 1), 7, 0))), 1, "")</f>
        <v/>
      </c>
      <c r="AV72" s="1" t="str">
        <f>IF(AND(AND(AND(AV$4&gt;='2025'!$L70,AV$4&lt;='2025'!$M70), AV$4&lt;&gt;DATE(2025,7,4)), (SWITCH(weekday(AV$4), 1, 0, 2, if(ISBLANK('2025'!$P70), 0, 1), 3, if(ISBLANK('2025'!$Q70), 0, 1), 4, if(ISBLANK('2025'!$R70), 0, 1), 5, if(ISBLANK('2025'!$S70), 0, 1), 6, if(ISBLANK('2025'!$T70), 0, 1), 7, 0))), 1, "")</f>
        <v/>
      </c>
      <c r="AW72" s="1" t="str">
        <f>IF(AND(AND(AND(AW$4&gt;='2025'!$L70,AW$4&lt;='2025'!$M70), AW$4&lt;&gt;DATE(2025,7,4)), (SWITCH(weekday(AW$4), 1, 0, 2, if(ISBLANK('2025'!$P70), 0, 1), 3, if(ISBLANK('2025'!$Q70), 0, 1), 4, if(ISBLANK('2025'!$R70), 0, 1), 5, if(ISBLANK('2025'!$S70), 0, 1), 6, if(ISBLANK('2025'!$T70), 0, 1), 7, 0))), 1, "")</f>
        <v/>
      </c>
      <c r="AX72" s="1" t="str">
        <f>IF(AND(AND(AND(AX$4&gt;='2025'!$L70,AX$4&lt;='2025'!$M70), AX$4&lt;&gt;DATE(2025,7,4)), (SWITCH(weekday(AX$4), 1, 0, 2, if(ISBLANK('2025'!$P70), 0, 1), 3, if(ISBLANK('2025'!$Q70), 0, 1), 4, if(ISBLANK('2025'!$R70), 0, 1), 5, if(ISBLANK('2025'!$S70), 0, 1), 6, if(ISBLANK('2025'!$T70), 0, 1), 7, 0))), 1, "")</f>
        <v/>
      </c>
      <c r="AY72" s="1" t="str">
        <f>IF(AND(AND(AND(AY$4&gt;='2025'!$L70,AY$4&lt;='2025'!$M70), AY$4&lt;&gt;DATE(2025,7,4)), (SWITCH(weekday(AY$4), 1, 0, 2, if(ISBLANK('2025'!$P70), 0, 1), 3, if(ISBLANK('2025'!$Q70), 0, 1), 4, if(ISBLANK('2025'!$R70), 0, 1), 5, if(ISBLANK('2025'!$S70), 0, 1), 6, if(ISBLANK('2025'!$T70), 0, 1), 7, 0))), 1, "")</f>
        <v/>
      </c>
      <c r="AZ72" s="1" t="str">
        <f>IF(AND(AND(AND(AZ$4&gt;='2025'!$L70,AZ$4&lt;='2025'!$M70), AZ$4&lt;&gt;DATE(2025,7,4)), (SWITCH(weekday(AZ$4), 1, 0, 2, if(ISBLANK('2025'!$P70), 0, 1), 3, if(ISBLANK('2025'!$Q70), 0, 1), 4, if(ISBLANK('2025'!$R70), 0, 1), 5, if(ISBLANK('2025'!$S70), 0, 1), 6, if(ISBLANK('2025'!$T70), 0, 1), 7, 0))), 1, "")</f>
        <v/>
      </c>
      <c r="BA72" s="1" t="str">
        <f>IF(AND(AND(AND(BA$4&gt;='2025'!$L70,BA$4&lt;='2025'!$M70), BA$4&lt;&gt;DATE(2025,7,4)), (SWITCH(weekday(BA$4), 1, 0, 2, if(ISBLANK('2025'!$P70), 0, 1), 3, if(ISBLANK('2025'!$Q70), 0, 1), 4, if(ISBLANK('2025'!$R70), 0, 1), 5, if(ISBLANK('2025'!$S70), 0, 1), 6, if(ISBLANK('2025'!$T70), 0, 1), 7, 0))), 1, "")</f>
        <v/>
      </c>
      <c r="BB72" s="1" t="str">
        <f>IF(AND(AND(AND(BB$4&gt;='2025'!$L70,BB$4&lt;='2025'!$M70), BB$4&lt;&gt;DATE(2025,7,4)), (SWITCH(weekday(BB$4), 1, 0, 2, if(ISBLANK('2025'!$P70), 0, 1), 3, if(ISBLANK('2025'!$Q70), 0, 1), 4, if(ISBLANK('2025'!$R70), 0, 1), 5, if(ISBLANK('2025'!$S70), 0, 1), 6, if(ISBLANK('2025'!$T70), 0, 1), 7, 0))), 1, "")</f>
        <v/>
      </c>
      <c r="BC72" s="1" t="str">
        <f>IF(AND(AND(AND(BC$4&gt;='2025'!$L70,BC$4&lt;='2025'!$M70), BC$4&lt;&gt;DATE(2025,7,4)), (SWITCH(weekday(BC$4), 1, 0, 2, if(ISBLANK('2025'!$P70), 0, 1), 3, if(ISBLANK('2025'!$Q70), 0, 1), 4, if(ISBLANK('2025'!$R70), 0, 1), 5, if(ISBLANK('2025'!$S70), 0, 1), 6, if(ISBLANK('2025'!$T70), 0, 1), 7, 0))), 1, "")</f>
        <v/>
      </c>
      <c r="BD72" s="1" t="str">
        <f>IF(AND(AND(AND(BD$4&gt;='2025'!$L70,BD$4&lt;='2025'!$M70), BD$4&lt;&gt;DATE(2025,7,4)), (SWITCH(weekday(BD$4), 1, 0, 2, if(ISBLANK('2025'!$P70), 0, 1), 3, if(ISBLANK('2025'!$Q70), 0, 1), 4, if(ISBLANK('2025'!$R70), 0, 1), 5, if(ISBLANK('2025'!$S70), 0, 1), 6, if(ISBLANK('2025'!$T70), 0, 1), 7, 0))), 1, "")</f>
        <v/>
      </c>
      <c r="BE72" s="1" t="str">
        <f>IF(AND(AND(AND(BE$4&gt;='2025'!$L70,BE$4&lt;='2025'!$M70), BE$4&lt;&gt;DATE(2025,7,4)), (SWITCH(weekday(BE$4), 1, 0, 2, if(ISBLANK('2025'!$P70), 0, 1), 3, if(ISBLANK('2025'!$Q70), 0, 1), 4, if(ISBLANK('2025'!$R70), 0, 1), 5, if(ISBLANK('2025'!$S70), 0, 1), 6, if(ISBLANK('2025'!$T70), 0, 1), 7, 0))), 1, "")</f>
        <v/>
      </c>
      <c r="BF72" s="1" t="str">
        <f>IF(AND(AND(AND(BF$4&gt;='2025'!$L70,BF$4&lt;='2025'!$M70), BF$4&lt;&gt;DATE(2025,7,4)), (SWITCH(weekday(BF$4), 1, 0, 2, if(ISBLANK('2025'!$P70), 0, 1), 3, if(ISBLANK('2025'!$Q70), 0, 1), 4, if(ISBLANK('2025'!$R70), 0, 1), 5, if(ISBLANK('2025'!$S70), 0, 1), 6, if(ISBLANK('2025'!$T70), 0, 1), 7, 0))), 1, "")</f>
        <v/>
      </c>
      <c r="BG72" s="1"/>
      <c r="BH72" s="1"/>
      <c r="BI72" s="1"/>
      <c r="BJ72" s="1"/>
      <c r="BK72" s="1"/>
      <c r="BL72" s="1"/>
    </row>
    <row r="73">
      <c r="A73" s="1">
        <f t="shared" si="3"/>
        <v>73</v>
      </c>
      <c r="B73" s="1" t="str">
        <f>'2025'!D71</f>
        <v>, </v>
      </c>
      <c r="C73" s="1" t="str">
        <f>'2025'!H71</f>
        <v/>
      </c>
      <c r="D73" s="1" t="str">
        <f>IF(AND(AND(AND(D$4&gt;='2025'!$L71,D$4&lt;='2025'!$M71), D$4&lt;&gt;DATE(2025,7,4)), (SWITCH(weekday(D$4), 1, 0, 2, if(ISBLANK('2025'!$P71), 0, 1), 3, if(ISBLANK('2025'!$Q71), 0, 1), 4, if(ISBLANK('2025'!$R71), 0, 1), 5, if(ISBLANK('2025'!$S71), 0, 1), 6, if(ISBLANK('2025'!$T71), 0, 1), 7, 0))), 1, "")</f>
        <v/>
      </c>
      <c r="E73" s="1" t="str">
        <f>IF(AND(AND(AND(E$4&gt;='2025'!$L71,E$4&lt;='2025'!$M71), E$4&lt;&gt;DATE(2025,7,4)), (SWITCH(weekday(E$4), 1, 0, 2, if(ISBLANK('2025'!$P71), 0, 1), 3, if(ISBLANK('2025'!$Q71), 0, 1), 4, if(ISBLANK('2025'!$R71), 0, 1), 5, if(ISBLANK('2025'!$S71), 0, 1), 6, if(ISBLANK('2025'!$T71), 0, 1), 7, 0))), 1, "")</f>
        <v/>
      </c>
      <c r="F73" s="1" t="str">
        <f>IF(AND(AND(AND(F$4&gt;='2025'!$L71,F$4&lt;='2025'!$M71), F$4&lt;&gt;DATE(2025,7,4)), (SWITCH(weekday(F$4), 1, 0, 2, if(ISBLANK('2025'!$P71), 0, 1), 3, if(ISBLANK('2025'!$Q71), 0, 1), 4, if(ISBLANK('2025'!$R71), 0, 1), 5, if(ISBLANK('2025'!$S71), 0, 1), 6, if(ISBLANK('2025'!$T71), 0, 1), 7, 0))), 1, "")</f>
        <v/>
      </c>
      <c r="G73" s="1" t="str">
        <f>IF(AND(AND(AND(G$4&gt;='2025'!$L71,G$4&lt;='2025'!$M71), G$4&lt;&gt;DATE(2025,7,4)), (SWITCH(weekday(G$4), 1, 0, 2, if(ISBLANK('2025'!$P71), 0, 1), 3, if(ISBLANK('2025'!$Q71), 0, 1), 4, if(ISBLANK('2025'!$R71), 0, 1), 5, if(ISBLANK('2025'!$S71), 0, 1), 6, if(ISBLANK('2025'!$T71), 0, 1), 7, 0))), 1, "")</f>
        <v/>
      </c>
      <c r="H73" s="1" t="str">
        <f>IF(AND(AND(AND(H$4&gt;='2025'!$L71,H$4&lt;='2025'!$M71), H$4&lt;&gt;DATE(2025,7,4)), (SWITCH(weekday(H$4), 1, 0, 2, if(ISBLANK('2025'!$P71), 0, 1), 3, if(ISBLANK('2025'!$Q71), 0, 1), 4, if(ISBLANK('2025'!$R71), 0, 1), 5, if(ISBLANK('2025'!$S71), 0, 1), 6, if(ISBLANK('2025'!$T71), 0, 1), 7, 0))), 1, "")</f>
        <v/>
      </c>
      <c r="I73" s="1" t="str">
        <f>IF(AND(AND(AND(I$4&gt;='2025'!$L71,I$4&lt;='2025'!$M71), I$4&lt;&gt;DATE(2025,7,4)), (SWITCH(weekday(I$4), 1, 0, 2, if(ISBLANK('2025'!$P71), 0, 1), 3, if(ISBLANK('2025'!$Q71), 0, 1), 4, if(ISBLANK('2025'!$R71), 0, 1), 5, if(ISBLANK('2025'!$S71), 0, 1), 6, if(ISBLANK('2025'!$T71), 0, 1), 7, 0))), 1, "")</f>
        <v/>
      </c>
      <c r="J73" s="1" t="str">
        <f>IF(AND(AND(AND(J$4&gt;='2025'!$L71,J$4&lt;='2025'!$M71), J$4&lt;&gt;DATE(2025,7,4)), (SWITCH(weekday(J$4), 1, 0, 2, if(ISBLANK('2025'!$P71), 0, 1), 3, if(ISBLANK('2025'!$Q71), 0, 1), 4, if(ISBLANK('2025'!$R71), 0, 1), 5, if(ISBLANK('2025'!$S71), 0, 1), 6, if(ISBLANK('2025'!$T71), 0, 1), 7, 0))), 1, "")</f>
        <v/>
      </c>
      <c r="K73" s="1" t="str">
        <f>IF(AND(AND(AND(K$4&gt;='2025'!$L71,K$4&lt;='2025'!$M71), K$4&lt;&gt;DATE(2025,7,4)), (SWITCH(weekday(K$4), 1, 0, 2, if(ISBLANK('2025'!$P71), 0, 1), 3, if(ISBLANK('2025'!$Q71), 0, 1), 4, if(ISBLANK('2025'!$R71), 0, 1), 5, if(ISBLANK('2025'!$S71), 0, 1), 6, if(ISBLANK('2025'!$T71), 0, 1), 7, 0))), 1, "")</f>
        <v/>
      </c>
      <c r="L73" s="1" t="str">
        <f>IF(AND(AND(AND(L$4&gt;='2025'!$L71,L$4&lt;='2025'!$M71), L$4&lt;&gt;DATE(2025,7,4)), (SWITCH(weekday(L$4), 1, 0, 2, if(ISBLANK('2025'!$P71), 0, 1), 3, if(ISBLANK('2025'!$Q71), 0, 1), 4, if(ISBLANK('2025'!$R71), 0, 1), 5, if(ISBLANK('2025'!$S71), 0, 1), 6, if(ISBLANK('2025'!$T71), 0, 1), 7, 0))), 1, "")</f>
        <v/>
      </c>
      <c r="M73" s="1" t="str">
        <f>IF(AND(AND(AND(M$4&gt;='2025'!$L71,M$4&lt;='2025'!$M71), M$4&lt;&gt;DATE(2025,7,4)), (SWITCH(weekday(M$4), 1, 0, 2, if(ISBLANK('2025'!$P71), 0, 1), 3, if(ISBLANK('2025'!$Q71), 0, 1), 4, if(ISBLANK('2025'!$R71), 0, 1), 5, if(ISBLANK('2025'!$S71), 0, 1), 6, if(ISBLANK('2025'!$T71), 0, 1), 7, 0))), 1, "")</f>
        <v/>
      </c>
      <c r="N73" s="1" t="str">
        <f>IF(AND(AND(AND(N$4&gt;='2025'!$L71,N$4&lt;='2025'!$M71), N$4&lt;&gt;DATE(2025,7,4)), (SWITCH(weekday(N$4), 1, 0, 2, if(ISBLANK('2025'!$P71), 0, 1), 3, if(ISBLANK('2025'!$Q71), 0, 1), 4, if(ISBLANK('2025'!$R71), 0, 1), 5, if(ISBLANK('2025'!$S71), 0, 1), 6, if(ISBLANK('2025'!$T71), 0, 1), 7, 0))), 1, "")</f>
        <v/>
      </c>
      <c r="O73" s="1" t="str">
        <f>IF(AND(AND(AND(O$4&gt;='2025'!$L71,O$4&lt;='2025'!$M71), O$4&lt;&gt;DATE(2025,7,4)), (SWITCH(weekday(O$4), 1, 0, 2, if(ISBLANK('2025'!$P71), 0, 1), 3, if(ISBLANK('2025'!$Q71), 0, 1), 4, if(ISBLANK('2025'!$R71), 0, 1), 5, if(ISBLANK('2025'!$S71), 0, 1), 6, if(ISBLANK('2025'!$T71), 0, 1), 7, 0))), 1, "")</f>
        <v/>
      </c>
      <c r="P73" s="1" t="str">
        <f>IF(AND(AND(AND(P$4&gt;='2025'!$L71,P$4&lt;='2025'!$M71), P$4&lt;&gt;DATE(2025,7,4)), (SWITCH(weekday(P$4), 1, 0, 2, if(ISBLANK('2025'!$P71), 0, 1), 3, if(ISBLANK('2025'!$Q71), 0, 1), 4, if(ISBLANK('2025'!$R71), 0, 1), 5, if(ISBLANK('2025'!$S71), 0, 1), 6, if(ISBLANK('2025'!$T71), 0, 1), 7, 0))), 1, "")</f>
        <v/>
      </c>
      <c r="Q73" s="1" t="str">
        <f>IF(AND(AND(AND(Q$4&gt;='2025'!$L71,Q$4&lt;='2025'!$M71), Q$4&lt;&gt;DATE(2025,7,4)), (SWITCH(weekday(Q$4), 1, 0, 2, if(ISBLANK('2025'!$P71), 0, 1), 3, if(ISBLANK('2025'!$Q71), 0, 1), 4, if(ISBLANK('2025'!$R71), 0, 1), 5, if(ISBLANK('2025'!$S71), 0, 1), 6, if(ISBLANK('2025'!$T71), 0, 1), 7, 0))), 1, "")</f>
        <v/>
      </c>
      <c r="R73" s="1" t="str">
        <f>IF(AND(AND(AND(R$4&gt;='2025'!$L71,R$4&lt;='2025'!$M71), R$4&lt;&gt;DATE(2025,7,4)), (SWITCH(weekday(R$4), 1, 0, 2, if(ISBLANK('2025'!$P71), 0, 1), 3, if(ISBLANK('2025'!$Q71), 0, 1), 4, if(ISBLANK('2025'!$R71), 0, 1), 5, if(ISBLANK('2025'!$S71), 0, 1), 6, if(ISBLANK('2025'!$T71), 0, 1), 7, 0))), 1, "")</f>
        <v/>
      </c>
      <c r="S73" s="1" t="str">
        <f>IF(AND(AND(AND(S$4&gt;='2025'!$L71,S$4&lt;='2025'!$M71), S$4&lt;&gt;DATE(2025,7,4)), (SWITCH(weekday(S$4), 1, 0, 2, if(ISBLANK('2025'!$P71), 0, 1), 3, if(ISBLANK('2025'!$Q71), 0, 1), 4, if(ISBLANK('2025'!$R71), 0, 1), 5, if(ISBLANK('2025'!$S71), 0, 1), 6, if(ISBLANK('2025'!$T71), 0, 1), 7, 0))), 1, "")</f>
        <v/>
      </c>
      <c r="T73" s="1" t="str">
        <f>IF(AND(AND(AND(T$4&gt;='2025'!$L71,T$4&lt;='2025'!$M71), T$4&lt;&gt;DATE(2025,7,4)), (SWITCH(weekday(T$4), 1, 0, 2, if(ISBLANK('2025'!$P71), 0, 1), 3, if(ISBLANK('2025'!$Q71), 0, 1), 4, if(ISBLANK('2025'!$R71), 0, 1), 5, if(ISBLANK('2025'!$S71), 0, 1), 6, if(ISBLANK('2025'!$T71), 0, 1), 7, 0))), 1, "")</f>
        <v/>
      </c>
      <c r="U73" s="1" t="str">
        <f>IF(AND(AND(AND(U$4&gt;='2025'!$L71,U$4&lt;='2025'!$M71), U$4&lt;&gt;DATE(2025,7,4)), (SWITCH(weekday(U$4), 1, 0, 2, if(ISBLANK('2025'!$P71), 0, 1), 3, if(ISBLANK('2025'!$Q71), 0, 1), 4, if(ISBLANK('2025'!$R71), 0, 1), 5, if(ISBLANK('2025'!$S71), 0, 1), 6, if(ISBLANK('2025'!$T71), 0, 1), 7, 0))), 1, "")</f>
        <v/>
      </c>
      <c r="V73" s="1" t="str">
        <f>IF(AND(AND(AND(V$4&gt;='2025'!$L71,V$4&lt;='2025'!$M71), V$4&lt;&gt;DATE(2025,7,4)), (SWITCH(weekday(V$4), 1, 0, 2, if(ISBLANK('2025'!$P71), 0, 1), 3, if(ISBLANK('2025'!$Q71), 0, 1), 4, if(ISBLANK('2025'!$R71), 0, 1), 5, if(ISBLANK('2025'!$S71), 0, 1), 6, if(ISBLANK('2025'!$T71), 0, 1), 7, 0))), 1, "")</f>
        <v/>
      </c>
      <c r="W73" s="1" t="str">
        <f>IF(AND(AND(AND(W$4&gt;='2025'!$L71,W$4&lt;='2025'!$M71), W$4&lt;&gt;DATE(2025,7,4)), (SWITCH(weekday(W$4), 1, 0, 2, if(ISBLANK('2025'!$P71), 0, 1), 3, if(ISBLANK('2025'!$Q71), 0, 1), 4, if(ISBLANK('2025'!$R71), 0, 1), 5, if(ISBLANK('2025'!$S71), 0, 1), 6, if(ISBLANK('2025'!$T71), 0, 1), 7, 0))), 1, "")</f>
        <v/>
      </c>
      <c r="X73" s="1" t="str">
        <f>IF(AND(AND(AND(X$4&gt;='2025'!$L71,X$4&lt;='2025'!$M71), X$4&lt;&gt;DATE(2025,7,4)), (SWITCH(weekday(X$4), 1, 0, 2, if(ISBLANK('2025'!$P71), 0, 1), 3, if(ISBLANK('2025'!$Q71), 0, 1), 4, if(ISBLANK('2025'!$R71), 0, 1), 5, if(ISBLANK('2025'!$S71), 0, 1), 6, if(ISBLANK('2025'!$T71), 0, 1), 7, 0))), 1, "")</f>
        <v/>
      </c>
      <c r="Y73" s="1" t="str">
        <f>IF(AND(AND(AND(Y$4&gt;='2025'!$L71,Y$4&lt;='2025'!$M71), Y$4&lt;&gt;DATE(2025,7,4)), (SWITCH(weekday(Y$4), 1, 0, 2, if(ISBLANK('2025'!$P71), 0, 1), 3, if(ISBLANK('2025'!$Q71), 0, 1), 4, if(ISBLANK('2025'!$R71), 0, 1), 5, if(ISBLANK('2025'!$S71), 0, 1), 6, if(ISBLANK('2025'!$T71), 0, 1), 7, 0))), 1, "")</f>
        <v/>
      </c>
      <c r="Z73" s="1" t="str">
        <f>IF(AND(AND(AND(Z$4&gt;='2025'!$L71,Z$4&lt;='2025'!$M71), Z$4&lt;&gt;DATE(2025,7,4)), (SWITCH(weekday(Z$4), 1, 0, 2, if(ISBLANK('2025'!$P71), 0, 1), 3, if(ISBLANK('2025'!$Q71), 0, 1), 4, if(ISBLANK('2025'!$R71), 0, 1), 5, if(ISBLANK('2025'!$S71), 0, 1), 6, if(ISBLANK('2025'!$T71), 0, 1), 7, 0))), 1, "")</f>
        <v/>
      </c>
      <c r="AA73" s="1" t="str">
        <f>IF(AND(AND(AND(AA$4&gt;='2025'!$L71,AA$4&lt;='2025'!$M71), AA$4&lt;&gt;DATE(2025,7,4)), (SWITCH(weekday(AA$4), 1, 0, 2, if(ISBLANK('2025'!$P71), 0, 1), 3, if(ISBLANK('2025'!$Q71), 0, 1), 4, if(ISBLANK('2025'!$R71), 0, 1), 5, if(ISBLANK('2025'!$S71), 0, 1), 6, if(ISBLANK('2025'!$T71), 0, 1), 7, 0))), 1, "")</f>
        <v/>
      </c>
      <c r="AB73" s="1" t="str">
        <f>IF(AND(AND(AND(AB$4&gt;='2025'!$L71,AB$4&lt;='2025'!$M71), AB$4&lt;&gt;DATE(2025,7,4)), (SWITCH(weekday(AB$4), 1, 0, 2, if(ISBLANK('2025'!$P71), 0, 1), 3, if(ISBLANK('2025'!$Q71), 0, 1), 4, if(ISBLANK('2025'!$R71), 0, 1), 5, if(ISBLANK('2025'!$S71), 0, 1), 6, if(ISBLANK('2025'!$T71), 0, 1), 7, 0))), 1, "")</f>
        <v/>
      </c>
      <c r="AC73" s="1" t="str">
        <f>IF(AND(AND(AND(AC$4&gt;='2025'!$L71,AC$4&lt;='2025'!$M71), AC$4&lt;&gt;DATE(2025,7,4)), (SWITCH(weekday(AC$4), 1, 0, 2, if(ISBLANK('2025'!$P71), 0, 1), 3, if(ISBLANK('2025'!$Q71), 0, 1), 4, if(ISBLANK('2025'!$R71), 0, 1), 5, if(ISBLANK('2025'!$S71), 0, 1), 6, if(ISBLANK('2025'!$T71), 0, 1), 7, 0))), 1, "")</f>
        <v/>
      </c>
      <c r="AD73" s="1" t="str">
        <f>IF(AND(AND(AND(AD$4&gt;='2025'!$L71,AD$4&lt;='2025'!$M71), AD$4&lt;&gt;DATE(2025,7,4)), (SWITCH(weekday(AD$4), 1, 0, 2, if(ISBLANK('2025'!$P71), 0, 1), 3, if(ISBLANK('2025'!$Q71), 0, 1), 4, if(ISBLANK('2025'!$R71), 0, 1), 5, if(ISBLANK('2025'!$S71), 0, 1), 6, if(ISBLANK('2025'!$T71), 0, 1), 7, 0))), 1, "")</f>
        <v/>
      </c>
      <c r="AE73" s="1" t="str">
        <f>IF(AND(AND(AND(AE$4&gt;='2025'!$L71,AE$4&lt;='2025'!$M71), AE$4&lt;&gt;DATE(2025,7,4)), (SWITCH(weekday(AE$4), 1, 0, 2, if(ISBLANK('2025'!$P71), 0, 1), 3, if(ISBLANK('2025'!$Q71), 0, 1), 4, if(ISBLANK('2025'!$R71), 0, 1), 5, if(ISBLANK('2025'!$S71), 0, 1), 6, if(ISBLANK('2025'!$T71), 0, 1), 7, 0))), 1, "")</f>
        <v/>
      </c>
      <c r="AF73" s="1" t="str">
        <f>IF(AND(AND(AND(AF$4&gt;='2025'!$L71,AF$4&lt;='2025'!$M71), AF$4&lt;&gt;DATE(2025,7,4)), (SWITCH(weekday(AF$4), 1, 0, 2, if(ISBLANK('2025'!$P71), 0, 1), 3, if(ISBLANK('2025'!$Q71), 0, 1), 4, if(ISBLANK('2025'!$R71), 0, 1), 5, if(ISBLANK('2025'!$S71), 0, 1), 6, if(ISBLANK('2025'!$T71), 0, 1), 7, 0))), 1, "")</f>
        <v/>
      </c>
      <c r="AG73" s="1" t="str">
        <f>IF(AND(AND(AND(AG$4&gt;='2025'!$L71,AG$4&lt;='2025'!$M71), AG$4&lt;&gt;DATE(2025,7,4)), (SWITCH(weekday(AG$4), 1, 0, 2, if(ISBLANK('2025'!$P71), 0, 1), 3, if(ISBLANK('2025'!$Q71), 0, 1), 4, if(ISBLANK('2025'!$R71), 0, 1), 5, if(ISBLANK('2025'!$S71), 0, 1), 6, if(ISBLANK('2025'!$T71), 0, 1), 7, 0))), 1, "")</f>
        <v/>
      </c>
      <c r="AH73" s="1" t="str">
        <f>IF(AND(AND(AND(AH$4&gt;='2025'!$L71,AH$4&lt;='2025'!$M71), AH$4&lt;&gt;DATE(2025,7,4)), (SWITCH(weekday(AH$4), 1, 0, 2, if(ISBLANK('2025'!$P71), 0, 1), 3, if(ISBLANK('2025'!$Q71), 0, 1), 4, if(ISBLANK('2025'!$R71), 0, 1), 5, if(ISBLANK('2025'!$S71), 0, 1), 6, if(ISBLANK('2025'!$T71), 0, 1), 7, 0))), 1, "")</f>
        <v/>
      </c>
      <c r="AI73" s="1" t="str">
        <f>IF(AND(AND(AND(AI$4&gt;='2025'!$L71,AI$4&lt;='2025'!$M71), AI$4&lt;&gt;DATE(2025,7,4)), (SWITCH(weekday(AI$4), 1, 0, 2, if(ISBLANK('2025'!$P71), 0, 1), 3, if(ISBLANK('2025'!$Q71), 0, 1), 4, if(ISBLANK('2025'!$R71), 0, 1), 5, if(ISBLANK('2025'!$S71), 0, 1), 6, if(ISBLANK('2025'!$T71), 0, 1), 7, 0))), 1, "")</f>
        <v/>
      </c>
      <c r="AJ73" s="1" t="str">
        <f>IF(AND(AND(AND(AJ$4&gt;='2025'!$L71,AJ$4&lt;='2025'!$M71), AJ$4&lt;&gt;DATE(2025,7,4)), (SWITCH(weekday(AJ$4), 1, 0, 2, if(ISBLANK('2025'!$P71), 0, 1), 3, if(ISBLANK('2025'!$Q71), 0, 1), 4, if(ISBLANK('2025'!$R71), 0, 1), 5, if(ISBLANK('2025'!$S71), 0, 1), 6, if(ISBLANK('2025'!$T71), 0, 1), 7, 0))), 1, "")</f>
        <v/>
      </c>
      <c r="AK73" s="1" t="str">
        <f>IF(AND(AND(AND(AK$4&gt;='2025'!$L71,AK$4&lt;='2025'!$M71), AK$4&lt;&gt;DATE(2025,7,4)), (SWITCH(weekday(AK$4), 1, 0, 2, if(ISBLANK('2025'!$P71), 0, 1), 3, if(ISBLANK('2025'!$Q71), 0, 1), 4, if(ISBLANK('2025'!$R71), 0, 1), 5, if(ISBLANK('2025'!$S71), 0, 1), 6, if(ISBLANK('2025'!$T71), 0, 1), 7, 0))), 1, "")</f>
        <v/>
      </c>
      <c r="AL73" s="1" t="str">
        <f>IF(AND(AND(AND(AL$4&gt;='2025'!$L71,AL$4&lt;='2025'!$M71), AL$4&lt;&gt;DATE(2025,7,4)), (SWITCH(weekday(AL$4), 1, 0, 2, if(ISBLANK('2025'!$P71), 0, 1), 3, if(ISBLANK('2025'!$Q71), 0, 1), 4, if(ISBLANK('2025'!$R71), 0, 1), 5, if(ISBLANK('2025'!$S71), 0, 1), 6, if(ISBLANK('2025'!$T71), 0, 1), 7, 0))), 1, "")</f>
        <v/>
      </c>
      <c r="AM73" s="1" t="str">
        <f>IF(AND(AND(AND(AM$4&gt;='2025'!$L71,AM$4&lt;='2025'!$M71), AM$4&lt;&gt;DATE(2025,7,4)), (SWITCH(weekday(AM$4), 1, 0, 2, if(ISBLANK('2025'!$P71), 0, 1), 3, if(ISBLANK('2025'!$Q71), 0, 1), 4, if(ISBLANK('2025'!$R71), 0, 1), 5, if(ISBLANK('2025'!$S71), 0, 1), 6, if(ISBLANK('2025'!$T71), 0, 1), 7, 0))), 1, "")</f>
        <v/>
      </c>
      <c r="AN73" s="1" t="str">
        <f>IF(AND(AND(AND(AN$4&gt;='2025'!$L71,AN$4&lt;='2025'!$M71), AN$4&lt;&gt;DATE(2025,7,4)), (SWITCH(weekday(AN$4), 1, 0, 2, if(ISBLANK('2025'!$P71), 0, 1), 3, if(ISBLANK('2025'!$Q71), 0, 1), 4, if(ISBLANK('2025'!$R71), 0, 1), 5, if(ISBLANK('2025'!$S71), 0, 1), 6, if(ISBLANK('2025'!$T71), 0, 1), 7, 0))), 1, "")</f>
        <v/>
      </c>
      <c r="AO73" s="1" t="str">
        <f>IF(AND(AND(AND(AO$4&gt;='2025'!$L71,AO$4&lt;='2025'!$M71), AO$4&lt;&gt;DATE(2025,7,4)), (SWITCH(weekday(AO$4), 1, 0, 2, if(ISBLANK('2025'!$P71), 0, 1), 3, if(ISBLANK('2025'!$Q71), 0, 1), 4, if(ISBLANK('2025'!$R71), 0, 1), 5, if(ISBLANK('2025'!$S71), 0, 1), 6, if(ISBLANK('2025'!$T71), 0, 1), 7, 0))), 1, "")</f>
        <v/>
      </c>
      <c r="AP73" s="1" t="str">
        <f>IF(AND(AND(AND(AP$4&gt;='2025'!$L71,AP$4&lt;='2025'!$M71), AP$4&lt;&gt;DATE(2025,7,4)), (SWITCH(weekday(AP$4), 1, 0, 2, if(ISBLANK('2025'!$P71), 0, 1), 3, if(ISBLANK('2025'!$Q71), 0, 1), 4, if(ISBLANK('2025'!$R71), 0, 1), 5, if(ISBLANK('2025'!$S71), 0, 1), 6, if(ISBLANK('2025'!$T71), 0, 1), 7, 0))), 1, "")</f>
        <v/>
      </c>
      <c r="AQ73" s="1" t="str">
        <f>IF(AND(AND(AND(AQ$4&gt;='2025'!$L71,AQ$4&lt;='2025'!$M71), AQ$4&lt;&gt;DATE(2025,7,4)), (SWITCH(weekday(AQ$4), 1, 0, 2, if(ISBLANK('2025'!$P71), 0, 1), 3, if(ISBLANK('2025'!$Q71), 0, 1), 4, if(ISBLANK('2025'!$R71), 0, 1), 5, if(ISBLANK('2025'!$S71), 0, 1), 6, if(ISBLANK('2025'!$T71), 0, 1), 7, 0))), 1, "")</f>
        <v/>
      </c>
      <c r="AR73" s="1" t="str">
        <f>IF(AND(AND(AND(AR$4&gt;='2025'!$L71,AR$4&lt;='2025'!$M71), AR$4&lt;&gt;DATE(2025,7,4)), (SWITCH(weekday(AR$4), 1, 0, 2, if(ISBLANK('2025'!$P71), 0, 1), 3, if(ISBLANK('2025'!$Q71), 0, 1), 4, if(ISBLANK('2025'!$R71), 0, 1), 5, if(ISBLANK('2025'!$S71), 0, 1), 6, if(ISBLANK('2025'!$T71), 0, 1), 7, 0))), 1, "")</f>
        <v/>
      </c>
      <c r="AS73" s="1" t="str">
        <f>IF(AND(AND(AND(AS$4&gt;='2025'!$L71,AS$4&lt;='2025'!$M71), AS$4&lt;&gt;DATE(2025,7,4)), (SWITCH(weekday(AS$4), 1, 0, 2, if(ISBLANK('2025'!$P71), 0, 1), 3, if(ISBLANK('2025'!$Q71), 0, 1), 4, if(ISBLANK('2025'!$R71), 0, 1), 5, if(ISBLANK('2025'!$S71), 0, 1), 6, if(ISBLANK('2025'!$T71), 0, 1), 7, 0))), 1, "")</f>
        <v/>
      </c>
      <c r="AT73" s="1" t="str">
        <f>IF(AND(AND(AND(AT$4&gt;='2025'!$L71,AT$4&lt;='2025'!$M71), AT$4&lt;&gt;DATE(2025,7,4)), (SWITCH(weekday(AT$4), 1, 0, 2, if(ISBLANK('2025'!$P71), 0, 1), 3, if(ISBLANK('2025'!$Q71), 0, 1), 4, if(ISBLANK('2025'!$R71), 0, 1), 5, if(ISBLANK('2025'!$S71), 0, 1), 6, if(ISBLANK('2025'!$T71), 0, 1), 7, 0))), 1, "")</f>
        <v/>
      </c>
      <c r="AU73" s="1" t="str">
        <f>IF(AND(AND(AND(AU$4&gt;='2025'!$L71,AU$4&lt;='2025'!$M71), AU$4&lt;&gt;DATE(2025,7,4)), (SWITCH(weekday(AU$4), 1, 0, 2, if(ISBLANK('2025'!$P71), 0, 1), 3, if(ISBLANK('2025'!$Q71), 0, 1), 4, if(ISBLANK('2025'!$R71), 0, 1), 5, if(ISBLANK('2025'!$S71), 0, 1), 6, if(ISBLANK('2025'!$T71), 0, 1), 7, 0))), 1, "")</f>
        <v/>
      </c>
      <c r="AV73" s="1" t="str">
        <f>IF(AND(AND(AND(AV$4&gt;='2025'!$L71,AV$4&lt;='2025'!$M71), AV$4&lt;&gt;DATE(2025,7,4)), (SWITCH(weekday(AV$4), 1, 0, 2, if(ISBLANK('2025'!$P71), 0, 1), 3, if(ISBLANK('2025'!$Q71), 0, 1), 4, if(ISBLANK('2025'!$R71), 0, 1), 5, if(ISBLANK('2025'!$S71), 0, 1), 6, if(ISBLANK('2025'!$T71), 0, 1), 7, 0))), 1, "")</f>
        <v/>
      </c>
      <c r="AW73" s="1" t="str">
        <f>IF(AND(AND(AND(AW$4&gt;='2025'!$L71,AW$4&lt;='2025'!$M71), AW$4&lt;&gt;DATE(2025,7,4)), (SWITCH(weekday(AW$4), 1, 0, 2, if(ISBLANK('2025'!$P71), 0, 1), 3, if(ISBLANK('2025'!$Q71), 0, 1), 4, if(ISBLANK('2025'!$R71), 0, 1), 5, if(ISBLANK('2025'!$S71), 0, 1), 6, if(ISBLANK('2025'!$T71), 0, 1), 7, 0))), 1, "")</f>
        <v/>
      </c>
      <c r="AX73" s="1" t="str">
        <f>IF(AND(AND(AND(AX$4&gt;='2025'!$L71,AX$4&lt;='2025'!$M71), AX$4&lt;&gt;DATE(2025,7,4)), (SWITCH(weekday(AX$4), 1, 0, 2, if(ISBLANK('2025'!$P71), 0, 1), 3, if(ISBLANK('2025'!$Q71), 0, 1), 4, if(ISBLANK('2025'!$R71), 0, 1), 5, if(ISBLANK('2025'!$S71), 0, 1), 6, if(ISBLANK('2025'!$T71), 0, 1), 7, 0))), 1, "")</f>
        <v/>
      </c>
      <c r="AY73" s="1" t="str">
        <f>IF(AND(AND(AND(AY$4&gt;='2025'!$L71,AY$4&lt;='2025'!$M71), AY$4&lt;&gt;DATE(2025,7,4)), (SWITCH(weekday(AY$4), 1, 0, 2, if(ISBLANK('2025'!$P71), 0, 1), 3, if(ISBLANK('2025'!$Q71), 0, 1), 4, if(ISBLANK('2025'!$R71), 0, 1), 5, if(ISBLANK('2025'!$S71), 0, 1), 6, if(ISBLANK('2025'!$T71), 0, 1), 7, 0))), 1, "")</f>
        <v/>
      </c>
      <c r="AZ73" s="1" t="str">
        <f>IF(AND(AND(AND(AZ$4&gt;='2025'!$L71,AZ$4&lt;='2025'!$M71), AZ$4&lt;&gt;DATE(2025,7,4)), (SWITCH(weekday(AZ$4), 1, 0, 2, if(ISBLANK('2025'!$P71), 0, 1), 3, if(ISBLANK('2025'!$Q71), 0, 1), 4, if(ISBLANK('2025'!$R71), 0, 1), 5, if(ISBLANK('2025'!$S71), 0, 1), 6, if(ISBLANK('2025'!$T71), 0, 1), 7, 0))), 1, "")</f>
        <v/>
      </c>
      <c r="BA73" s="1" t="str">
        <f>IF(AND(AND(AND(BA$4&gt;='2025'!$L71,BA$4&lt;='2025'!$M71), BA$4&lt;&gt;DATE(2025,7,4)), (SWITCH(weekday(BA$4), 1, 0, 2, if(ISBLANK('2025'!$P71), 0, 1), 3, if(ISBLANK('2025'!$Q71), 0, 1), 4, if(ISBLANK('2025'!$R71), 0, 1), 5, if(ISBLANK('2025'!$S71), 0, 1), 6, if(ISBLANK('2025'!$T71), 0, 1), 7, 0))), 1, "")</f>
        <v/>
      </c>
      <c r="BB73" s="1" t="str">
        <f>IF(AND(AND(AND(BB$4&gt;='2025'!$L71,BB$4&lt;='2025'!$M71), BB$4&lt;&gt;DATE(2025,7,4)), (SWITCH(weekday(BB$4), 1, 0, 2, if(ISBLANK('2025'!$P71), 0, 1), 3, if(ISBLANK('2025'!$Q71), 0, 1), 4, if(ISBLANK('2025'!$R71), 0, 1), 5, if(ISBLANK('2025'!$S71), 0, 1), 6, if(ISBLANK('2025'!$T71), 0, 1), 7, 0))), 1, "")</f>
        <v/>
      </c>
      <c r="BC73" s="1" t="str">
        <f>IF(AND(AND(AND(BC$4&gt;='2025'!$L71,BC$4&lt;='2025'!$M71), BC$4&lt;&gt;DATE(2025,7,4)), (SWITCH(weekday(BC$4), 1, 0, 2, if(ISBLANK('2025'!$P71), 0, 1), 3, if(ISBLANK('2025'!$Q71), 0, 1), 4, if(ISBLANK('2025'!$R71), 0, 1), 5, if(ISBLANK('2025'!$S71), 0, 1), 6, if(ISBLANK('2025'!$T71), 0, 1), 7, 0))), 1, "")</f>
        <v/>
      </c>
      <c r="BD73" s="1" t="str">
        <f>IF(AND(AND(AND(BD$4&gt;='2025'!$L71,BD$4&lt;='2025'!$M71), BD$4&lt;&gt;DATE(2025,7,4)), (SWITCH(weekday(BD$4), 1, 0, 2, if(ISBLANK('2025'!$P71), 0, 1), 3, if(ISBLANK('2025'!$Q71), 0, 1), 4, if(ISBLANK('2025'!$R71), 0, 1), 5, if(ISBLANK('2025'!$S71), 0, 1), 6, if(ISBLANK('2025'!$T71), 0, 1), 7, 0))), 1, "")</f>
        <v/>
      </c>
      <c r="BE73" s="1" t="str">
        <f>IF(AND(AND(AND(BE$4&gt;='2025'!$L71,BE$4&lt;='2025'!$M71), BE$4&lt;&gt;DATE(2025,7,4)), (SWITCH(weekday(BE$4), 1, 0, 2, if(ISBLANK('2025'!$P71), 0, 1), 3, if(ISBLANK('2025'!$Q71), 0, 1), 4, if(ISBLANK('2025'!$R71), 0, 1), 5, if(ISBLANK('2025'!$S71), 0, 1), 6, if(ISBLANK('2025'!$T71), 0, 1), 7, 0))), 1, "")</f>
        <v/>
      </c>
      <c r="BF73" s="1" t="str">
        <f>IF(AND(AND(AND(BF$4&gt;='2025'!$L71,BF$4&lt;='2025'!$M71), BF$4&lt;&gt;DATE(2025,7,4)), (SWITCH(weekday(BF$4), 1, 0, 2, if(ISBLANK('2025'!$P71), 0, 1), 3, if(ISBLANK('2025'!$Q71), 0, 1), 4, if(ISBLANK('2025'!$R71), 0, 1), 5, if(ISBLANK('2025'!$S71), 0, 1), 6, if(ISBLANK('2025'!$T71), 0, 1), 7, 0))), 1, "")</f>
        <v/>
      </c>
      <c r="BG73" s="1"/>
      <c r="BH73" s="1"/>
      <c r="BI73" s="1"/>
      <c r="BJ73" s="1"/>
      <c r="BK73" s="1"/>
      <c r="BL73" s="1"/>
    </row>
    <row r="74">
      <c r="A74" s="1">
        <f t="shared" si="3"/>
        <v>74</v>
      </c>
      <c r="B74" s="1" t="str">
        <f>'2025'!D72</f>
        <v>, </v>
      </c>
      <c r="C74" s="1" t="str">
        <f>'2025'!H72</f>
        <v/>
      </c>
      <c r="D74" s="1" t="str">
        <f>IF(AND(AND(AND(D$4&gt;='2025'!$L72,D$4&lt;='2025'!$M72), D$4&lt;&gt;DATE(2025,7,4)), (SWITCH(weekday(D$4), 1, 0, 2, if(ISBLANK('2025'!$P72), 0, 1), 3, if(ISBLANK('2025'!$Q72), 0, 1), 4, if(ISBLANK('2025'!$R72), 0, 1), 5, if(ISBLANK('2025'!$S72), 0, 1), 6, if(ISBLANK('2025'!$T72), 0, 1), 7, 0))), 1, "")</f>
        <v/>
      </c>
      <c r="E74" s="1" t="str">
        <f>IF(AND(AND(AND(E$4&gt;='2025'!$L72,E$4&lt;='2025'!$M72), E$4&lt;&gt;DATE(2025,7,4)), (SWITCH(weekday(E$4), 1, 0, 2, if(ISBLANK('2025'!$P72), 0, 1), 3, if(ISBLANK('2025'!$Q72), 0, 1), 4, if(ISBLANK('2025'!$R72), 0, 1), 5, if(ISBLANK('2025'!$S72), 0, 1), 6, if(ISBLANK('2025'!$T72), 0, 1), 7, 0))), 1, "")</f>
        <v/>
      </c>
      <c r="F74" s="1" t="str">
        <f>IF(AND(AND(AND(F$4&gt;='2025'!$L72,F$4&lt;='2025'!$M72), F$4&lt;&gt;DATE(2025,7,4)), (SWITCH(weekday(F$4), 1, 0, 2, if(ISBLANK('2025'!$P72), 0, 1), 3, if(ISBLANK('2025'!$Q72), 0, 1), 4, if(ISBLANK('2025'!$R72), 0, 1), 5, if(ISBLANK('2025'!$S72), 0, 1), 6, if(ISBLANK('2025'!$T72), 0, 1), 7, 0))), 1, "")</f>
        <v/>
      </c>
      <c r="G74" s="1" t="str">
        <f>IF(AND(AND(AND(G$4&gt;='2025'!$L72,G$4&lt;='2025'!$M72), G$4&lt;&gt;DATE(2025,7,4)), (SWITCH(weekday(G$4), 1, 0, 2, if(ISBLANK('2025'!$P72), 0, 1), 3, if(ISBLANK('2025'!$Q72), 0, 1), 4, if(ISBLANK('2025'!$R72), 0, 1), 5, if(ISBLANK('2025'!$S72), 0, 1), 6, if(ISBLANK('2025'!$T72), 0, 1), 7, 0))), 1, "")</f>
        <v/>
      </c>
      <c r="H74" s="1" t="str">
        <f>IF(AND(AND(AND(H$4&gt;='2025'!$L72,H$4&lt;='2025'!$M72), H$4&lt;&gt;DATE(2025,7,4)), (SWITCH(weekday(H$4), 1, 0, 2, if(ISBLANK('2025'!$P72), 0, 1), 3, if(ISBLANK('2025'!$Q72), 0, 1), 4, if(ISBLANK('2025'!$R72), 0, 1), 5, if(ISBLANK('2025'!$S72), 0, 1), 6, if(ISBLANK('2025'!$T72), 0, 1), 7, 0))), 1, "")</f>
        <v/>
      </c>
      <c r="I74" s="1" t="str">
        <f>IF(AND(AND(AND(I$4&gt;='2025'!$L72,I$4&lt;='2025'!$M72), I$4&lt;&gt;DATE(2025,7,4)), (SWITCH(weekday(I$4), 1, 0, 2, if(ISBLANK('2025'!$P72), 0, 1), 3, if(ISBLANK('2025'!$Q72), 0, 1), 4, if(ISBLANK('2025'!$R72), 0, 1), 5, if(ISBLANK('2025'!$S72), 0, 1), 6, if(ISBLANK('2025'!$T72), 0, 1), 7, 0))), 1, "")</f>
        <v/>
      </c>
      <c r="J74" s="1" t="str">
        <f>IF(AND(AND(AND(J$4&gt;='2025'!$L72,J$4&lt;='2025'!$M72), J$4&lt;&gt;DATE(2025,7,4)), (SWITCH(weekday(J$4), 1, 0, 2, if(ISBLANK('2025'!$P72), 0, 1), 3, if(ISBLANK('2025'!$Q72), 0, 1), 4, if(ISBLANK('2025'!$R72), 0, 1), 5, if(ISBLANK('2025'!$S72), 0, 1), 6, if(ISBLANK('2025'!$T72), 0, 1), 7, 0))), 1, "")</f>
        <v/>
      </c>
      <c r="K74" s="1" t="str">
        <f>IF(AND(AND(AND(K$4&gt;='2025'!$L72,K$4&lt;='2025'!$M72), K$4&lt;&gt;DATE(2025,7,4)), (SWITCH(weekday(K$4), 1, 0, 2, if(ISBLANK('2025'!$P72), 0, 1), 3, if(ISBLANK('2025'!$Q72), 0, 1), 4, if(ISBLANK('2025'!$R72), 0, 1), 5, if(ISBLANK('2025'!$S72), 0, 1), 6, if(ISBLANK('2025'!$T72), 0, 1), 7, 0))), 1, "")</f>
        <v/>
      </c>
      <c r="L74" s="1" t="str">
        <f>IF(AND(AND(AND(L$4&gt;='2025'!$L72,L$4&lt;='2025'!$M72), L$4&lt;&gt;DATE(2025,7,4)), (SWITCH(weekday(L$4), 1, 0, 2, if(ISBLANK('2025'!$P72), 0, 1), 3, if(ISBLANK('2025'!$Q72), 0, 1), 4, if(ISBLANK('2025'!$R72), 0, 1), 5, if(ISBLANK('2025'!$S72), 0, 1), 6, if(ISBLANK('2025'!$T72), 0, 1), 7, 0))), 1, "")</f>
        <v/>
      </c>
      <c r="M74" s="1" t="str">
        <f>IF(AND(AND(AND(M$4&gt;='2025'!$L72,M$4&lt;='2025'!$M72), M$4&lt;&gt;DATE(2025,7,4)), (SWITCH(weekday(M$4), 1, 0, 2, if(ISBLANK('2025'!$P72), 0, 1), 3, if(ISBLANK('2025'!$Q72), 0, 1), 4, if(ISBLANK('2025'!$R72), 0, 1), 5, if(ISBLANK('2025'!$S72), 0, 1), 6, if(ISBLANK('2025'!$T72), 0, 1), 7, 0))), 1, "")</f>
        <v/>
      </c>
      <c r="N74" s="1" t="str">
        <f>IF(AND(AND(AND(N$4&gt;='2025'!$L72,N$4&lt;='2025'!$M72), N$4&lt;&gt;DATE(2025,7,4)), (SWITCH(weekday(N$4), 1, 0, 2, if(ISBLANK('2025'!$P72), 0, 1), 3, if(ISBLANK('2025'!$Q72), 0, 1), 4, if(ISBLANK('2025'!$R72), 0, 1), 5, if(ISBLANK('2025'!$S72), 0, 1), 6, if(ISBLANK('2025'!$T72), 0, 1), 7, 0))), 1, "")</f>
        <v/>
      </c>
      <c r="O74" s="1" t="str">
        <f>IF(AND(AND(AND(O$4&gt;='2025'!$L72,O$4&lt;='2025'!$M72), O$4&lt;&gt;DATE(2025,7,4)), (SWITCH(weekday(O$4), 1, 0, 2, if(ISBLANK('2025'!$P72), 0, 1), 3, if(ISBLANK('2025'!$Q72), 0, 1), 4, if(ISBLANK('2025'!$R72), 0, 1), 5, if(ISBLANK('2025'!$S72), 0, 1), 6, if(ISBLANK('2025'!$T72), 0, 1), 7, 0))), 1, "")</f>
        <v/>
      </c>
      <c r="P74" s="1" t="str">
        <f>IF(AND(AND(AND(P$4&gt;='2025'!$L72,P$4&lt;='2025'!$M72), P$4&lt;&gt;DATE(2025,7,4)), (SWITCH(weekday(P$4), 1, 0, 2, if(ISBLANK('2025'!$P72), 0, 1), 3, if(ISBLANK('2025'!$Q72), 0, 1), 4, if(ISBLANK('2025'!$R72), 0, 1), 5, if(ISBLANK('2025'!$S72), 0, 1), 6, if(ISBLANK('2025'!$T72), 0, 1), 7, 0))), 1, "")</f>
        <v/>
      </c>
      <c r="Q74" s="1" t="str">
        <f>IF(AND(AND(AND(Q$4&gt;='2025'!$L72,Q$4&lt;='2025'!$M72), Q$4&lt;&gt;DATE(2025,7,4)), (SWITCH(weekday(Q$4), 1, 0, 2, if(ISBLANK('2025'!$P72), 0, 1), 3, if(ISBLANK('2025'!$Q72), 0, 1), 4, if(ISBLANK('2025'!$R72), 0, 1), 5, if(ISBLANK('2025'!$S72), 0, 1), 6, if(ISBLANK('2025'!$T72), 0, 1), 7, 0))), 1, "")</f>
        <v/>
      </c>
      <c r="R74" s="1" t="str">
        <f>IF(AND(AND(AND(R$4&gt;='2025'!$L72,R$4&lt;='2025'!$M72), R$4&lt;&gt;DATE(2025,7,4)), (SWITCH(weekday(R$4), 1, 0, 2, if(ISBLANK('2025'!$P72), 0, 1), 3, if(ISBLANK('2025'!$Q72), 0, 1), 4, if(ISBLANK('2025'!$R72), 0, 1), 5, if(ISBLANK('2025'!$S72), 0, 1), 6, if(ISBLANK('2025'!$T72), 0, 1), 7, 0))), 1, "")</f>
        <v/>
      </c>
      <c r="S74" s="1" t="str">
        <f>IF(AND(AND(AND(S$4&gt;='2025'!$L72,S$4&lt;='2025'!$M72), S$4&lt;&gt;DATE(2025,7,4)), (SWITCH(weekday(S$4), 1, 0, 2, if(ISBLANK('2025'!$P72), 0, 1), 3, if(ISBLANK('2025'!$Q72), 0, 1), 4, if(ISBLANK('2025'!$R72), 0, 1), 5, if(ISBLANK('2025'!$S72), 0, 1), 6, if(ISBLANK('2025'!$T72), 0, 1), 7, 0))), 1, "")</f>
        <v/>
      </c>
      <c r="T74" s="1" t="str">
        <f>IF(AND(AND(AND(T$4&gt;='2025'!$L72,T$4&lt;='2025'!$M72), T$4&lt;&gt;DATE(2025,7,4)), (SWITCH(weekday(T$4), 1, 0, 2, if(ISBLANK('2025'!$P72), 0, 1), 3, if(ISBLANK('2025'!$Q72), 0, 1), 4, if(ISBLANK('2025'!$R72), 0, 1), 5, if(ISBLANK('2025'!$S72), 0, 1), 6, if(ISBLANK('2025'!$T72), 0, 1), 7, 0))), 1, "")</f>
        <v/>
      </c>
      <c r="U74" s="1" t="str">
        <f>IF(AND(AND(AND(U$4&gt;='2025'!$L72,U$4&lt;='2025'!$M72), U$4&lt;&gt;DATE(2025,7,4)), (SWITCH(weekday(U$4), 1, 0, 2, if(ISBLANK('2025'!$P72), 0, 1), 3, if(ISBLANK('2025'!$Q72), 0, 1), 4, if(ISBLANK('2025'!$R72), 0, 1), 5, if(ISBLANK('2025'!$S72), 0, 1), 6, if(ISBLANK('2025'!$T72), 0, 1), 7, 0))), 1, "")</f>
        <v/>
      </c>
      <c r="V74" s="1" t="str">
        <f>IF(AND(AND(AND(V$4&gt;='2025'!$L72,V$4&lt;='2025'!$M72), V$4&lt;&gt;DATE(2025,7,4)), (SWITCH(weekday(V$4), 1, 0, 2, if(ISBLANK('2025'!$P72), 0, 1), 3, if(ISBLANK('2025'!$Q72), 0, 1), 4, if(ISBLANK('2025'!$R72), 0, 1), 5, if(ISBLANK('2025'!$S72), 0, 1), 6, if(ISBLANK('2025'!$T72), 0, 1), 7, 0))), 1, "")</f>
        <v/>
      </c>
      <c r="W74" s="1" t="str">
        <f>IF(AND(AND(AND(W$4&gt;='2025'!$L72,W$4&lt;='2025'!$M72), W$4&lt;&gt;DATE(2025,7,4)), (SWITCH(weekday(W$4), 1, 0, 2, if(ISBLANK('2025'!$P72), 0, 1), 3, if(ISBLANK('2025'!$Q72), 0, 1), 4, if(ISBLANK('2025'!$R72), 0, 1), 5, if(ISBLANK('2025'!$S72), 0, 1), 6, if(ISBLANK('2025'!$T72), 0, 1), 7, 0))), 1, "")</f>
        <v/>
      </c>
      <c r="X74" s="1" t="str">
        <f>IF(AND(AND(AND(X$4&gt;='2025'!$L72,X$4&lt;='2025'!$M72), X$4&lt;&gt;DATE(2025,7,4)), (SWITCH(weekday(X$4), 1, 0, 2, if(ISBLANK('2025'!$P72), 0, 1), 3, if(ISBLANK('2025'!$Q72), 0, 1), 4, if(ISBLANK('2025'!$R72), 0, 1), 5, if(ISBLANK('2025'!$S72), 0, 1), 6, if(ISBLANK('2025'!$T72), 0, 1), 7, 0))), 1, "")</f>
        <v/>
      </c>
      <c r="Y74" s="1" t="str">
        <f>IF(AND(AND(AND(Y$4&gt;='2025'!$L72,Y$4&lt;='2025'!$M72), Y$4&lt;&gt;DATE(2025,7,4)), (SWITCH(weekday(Y$4), 1, 0, 2, if(ISBLANK('2025'!$P72), 0, 1), 3, if(ISBLANK('2025'!$Q72), 0, 1), 4, if(ISBLANK('2025'!$R72), 0, 1), 5, if(ISBLANK('2025'!$S72), 0, 1), 6, if(ISBLANK('2025'!$T72), 0, 1), 7, 0))), 1, "")</f>
        <v/>
      </c>
      <c r="Z74" s="1" t="str">
        <f>IF(AND(AND(AND(Z$4&gt;='2025'!$L72,Z$4&lt;='2025'!$M72), Z$4&lt;&gt;DATE(2025,7,4)), (SWITCH(weekday(Z$4), 1, 0, 2, if(ISBLANK('2025'!$P72), 0, 1), 3, if(ISBLANK('2025'!$Q72), 0, 1), 4, if(ISBLANK('2025'!$R72), 0, 1), 5, if(ISBLANK('2025'!$S72), 0, 1), 6, if(ISBLANK('2025'!$T72), 0, 1), 7, 0))), 1, "")</f>
        <v/>
      </c>
      <c r="AA74" s="1" t="str">
        <f>IF(AND(AND(AND(AA$4&gt;='2025'!$L72,AA$4&lt;='2025'!$M72), AA$4&lt;&gt;DATE(2025,7,4)), (SWITCH(weekday(AA$4), 1, 0, 2, if(ISBLANK('2025'!$P72), 0, 1), 3, if(ISBLANK('2025'!$Q72), 0, 1), 4, if(ISBLANK('2025'!$R72), 0, 1), 5, if(ISBLANK('2025'!$S72), 0, 1), 6, if(ISBLANK('2025'!$T72), 0, 1), 7, 0))), 1, "")</f>
        <v/>
      </c>
      <c r="AB74" s="1" t="str">
        <f>IF(AND(AND(AND(AB$4&gt;='2025'!$L72,AB$4&lt;='2025'!$M72), AB$4&lt;&gt;DATE(2025,7,4)), (SWITCH(weekday(AB$4), 1, 0, 2, if(ISBLANK('2025'!$P72), 0, 1), 3, if(ISBLANK('2025'!$Q72), 0, 1), 4, if(ISBLANK('2025'!$R72), 0, 1), 5, if(ISBLANK('2025'!$S72), 0, 1), 6, if(ISBLANK('2025'!$T72), 0, 1), 7, 0))), 1, "")</f>
        <v/>
      </c>
      <c r="AC74" s="1" t="str">
        <f>IF(AND(AND(AND(AC$4&gt;='2025'!$L72,AC$4&lt;='2025'!$M72), AC$4&lt;&gt;DATE(2025,7,4)), (SWITCH(weekday(AC$4), 1, 0, 2, if(ISBLANK('2025'!$P72), 0, 1), 3, if(ISBLANK('2025'!$Q72), 0, 1), 4, if(ISBLANK('2025'!$R72), 0, 1), 5, if(ISBLANK('2025'!$S72), 0, 1), 6, if(ISBLANK('2025'!$T72), 0, 1), 7, 0))), 1, "")</f>
        <v/>
      </c>
      <c r="AD74" s="1" t="str">
        <f>IF(AND(AND(AND(AD$4&gt;='2025'!$L72,AD$4&lt;='2025'!$M72), AD$4&lt;&gt;DATE(2025,7,4)), (SWITCH(weekday(AD$4), 1, 0, 2, if(ISBLANK('2025'!$P72), 0, 1), 3, if(ISBLANK('2025'!$Q72), 0, 1), 4, if(ISBLANK('2025'!$R72), 0, 1), 5, if(ISBLANK('2025'!$S72), 0, 1), 6, if(ISBLANK('2025'!$T72), 0, 1), 7, 0))), 1, "")</f>
        <v/>
      </c>
      <c r="AE74" s="1" t="str">
        <f>IF(AND(AND(AND(AE$4&gt;='2025'!$L72,AE$4&lt;='2025'!$M72), AE$4&lt;&gt;DATE(2025,7,4)), (SWITCH(weekday(AE$4), 1, 0, 2, if(ISBLANK('2025'!$P72), 0, 1), 3, if(ISBLANK('2025'!$Q72), 0, 1), 4, if(ISBLANK('2025'!$R72), 0, 1), 5, if(ISBLANK('2025'!$S72), 0, 1), 6, if(ISBLANK('2025'!$T72), 0, 1), 7, 0))), 1, "")</f>
        <v/>
      </c>
      <c r="AF74" s="1" t="str">
        <f>IF(AND(AND(AND(AF$4&gt;='2025'!$L72,AF$4&lt;='2025'!$M72), AF$4&lt;&gt;DATE(2025,7,4)), (SWITCH(weekday(AF$4), 1, 0, 2, if(ISBLANK('2025'!$P72), 0, 1), 3, if(ISBLANK('2025'!$Q72), 0, 1), 4, if(ISBLANK('2025'!$R72), 0, 1), 5, if(ISBLANK('2025'!$S72), 0, 1), 6, if(ISBLANK('2025'!$T72), 0, 1), 7, 0))), 1, "")</f>
        <v/>
      </c>
      <c r="AG74" s="1" t="str">
        <f>IF(AND(AND(AND(AG$4&gt;='2025'!$L72,AG$4&lt;='2025'!$M72), AG$4&lt;&gt;DATE(2025,7,4)), (SWITCH(weekday(AG$4), 1, 0, 2, if(ISBLANK('2025'!$P72), 0, 1), 3, if(ISBLANK('2025'!$Q72), 0, 1), 4, if(ISBLANK('2025'!$R72), 0, 1), 5, if(ISBLANK('2025'!$S72), 0, 1), 6, if(ISBLANK('2025'!$T72), 0, 1), 7, 0))), 1, "")</f>
        <v/>
      </c>
      <c r="AH74" s="1" t="str">
        <f>IF(AND(AND(AND(AH$4&gt;='2025'!$L72,AH$4&lt;='2025'!$M72), AH$4&lt;&gt;DATE(2025,7,4)), (SWITCH(weekday(AH$4), 1, 0, 2, if(ISBLANK('2025'!$P72), 0, 1), 3, if(ISBLANK('2025'!$Q72), 0, 1), 4, if(ISBLANK('2025'!$R72), 0, 1), 5, if(ISBLANK('2025'!$S72), 0, 1), 6, if(ISBLANK('2025'!$T72), 0, 1), 7, 0))), 1, "")</f>
        <v/>
      </c>
      <c r="AI74" s="1" t="str">
        <f>IF(AND(AND(AND(AI$4&gt;='2025'!$L72,AI$4&lt;='2025'!$M72), AI$4&lt;&gt;DATE(2025,7,4)), (SWITCH(weekday(AI$4), 1, 0, 2, if(ISBLANK('2025'!$P72), 0, 1), 3, if(ISBLANK('2025'!$Q72), 0, 1), 4, if(ISBLANK('2025'!$R72), 0, 1), 5, if(ISBLANK('2025'!$S72), 0, 1), 6, if(ISBLANK('2025'!$T72), 0, 1), 7, 0))), 1, "")</f>
        <v/>
      </c>
      <c r="AJ74" s="1" t="str">
        <f>IF(AND(AND(AND(AJ$4&gt;='2025'!$L72,AJ$4&lt;='2025'!$M72), AJ$4&lt;&gt;DATE(2025,7,4)), (SWITCH(weekday(AJ$4), 1, 0, 2, if(ISBLANK('2025'!$P72), 0, 1), 3, if(ISBLANK('2025'!$Q72), 0, 1), 4, if(ISBLANK('2025'!$R72), 0, 1), 5, if(ISBLANK('2025'!$S72), 0, 1), 6, if(ISBLANK('2025'!$T72), 0, 1), 7, 0))), 1, "")</f>
        <v/>
      </c>
      <c r="AK74" s="1" t="str">
        <f>IF(AND(AND(AND(AK$4&gt;='2025'!$L72,AK$4&lt;='2025'!$M72), AK$4&lt;&gt;DATE(2025,7,4)), (SWITCH(weekday(AK$4), 1, 0, 2, if(ISBLANK('2025'!$P72), 0, 1), 3, if(ISBLANK('2025'!$Q72), 0, 1), 4, if(ISBLANK('2025'!$R72), 0, 1), 5, if(ISBLANK('2025'!$S72), 0, 1), 6, if(ISBLANK('2025'!$T72), 0, 1), 7, 0))), 1, "")</f>
        <v/>
      </c>
      <c r="AL74" s="1" t="str">
        <f>IF(AND(AND(AND(AL$4&gt;='2025'!$L72,AL$4&lt;='2025'!$M72), AL$4&lt;&gt;DATE(2025,7,4)), (SWITCH(weekday(AL$4), 1, 0, 2, if(ISBLANK('2025'!$P72), 0, 1), 3, if(ISBLANK('2025'!$Q72), 0, 1), 4, if(ISBLANK('2025'!$R72), 0, 1), 5, if(ISBLANK('2025'!$S72), 0, 1), 6, if(ISBLANK('2025'!$T72), 0, 1), 7, 0))), 1, "")</f>
        <v/>
      </c>
      <c r="AM74" s="1" t="str">
        <f>IF(AND(AND(AND(AM$4&gt;='2025'!$L72,AM$4&lt;='2025'!$M72), AM$4&lt;&gt;DATE(2025,7,4)), (SWITCH(weekday(AM$4), 1, 0, 2, if(ISBLANK('2025'!$P72), 0, 1), 3, if(ISBLANK('2025'!$Q72), 0, 1), 4, if(ISBLANK('2025'!$R72), 0, 1), 5, if(ISBLANK('2025'!$S72), 0, 1), 6, if(ISBLANK('2025'!$T72), 0, 1), 7, 0))), 1, "")</f>
        <v/>
      </c>
      <c r="AN74" s="1" t="str">
        <f>IF(AND(AND(AND(AN$4&gt;='2025'!$L72,AN$4&lt;='2025'!$M72), AN$4&lt;&gt;DATE(2025,7,4)), (SWITCH(weekday(AN$4), 1, 0, 2, if(ISBLANK('2025'!$P72), 0, 1), 3, if(ISBLANK('2025'!$Q72), 0, 1), 4, if(ISBLANK('2025'!$R72), 0, 1), 5, if(ISBLANK('2025'!$S72), 0, 1), 6, if(ISBLANK('2025'!$T72), 0, 1), 7, 0))), 1, "")</f>
        <v/>
      </c>
      <c r="AO74" s="1" t="str">
        <f>IF(AND(AND(AND(AO$4&gt;='2025'!$L72,AO$4&lt;='2025'!$M72), AO$4&lt;&gt;DATE(2025,7,4)), (SWITCH(weekday(AO$4), 1, 0, 2, if(ISBLANK('2025'!$P72), 0, 1), 3, if(ISBLANK('2025'!$Q72), 0, 1), 4, if(ISBLANK('2025'!$R72), 0, 1), 5, if(ISBLANK('2025'!$S72), 0, 1), 6, if(ISBLANK('2025'!$T72), 0, 1), 7, 0))), 1, "")</f>
        <v/>
      </c>
      <c r="AP74" s="1" t="str">
        <f>IF(AND(AND(AND(AP$4&gt;='2025'!$L72,AP$4&lt;='2025'!$M72), AP$4&lt;&gt;DATE(2025,7,4)), (SWITCH(weekday(AP$4), 1, 0, 2, if(ISBLANK('2025'!$P72), 0, 1), 3, if(ISBLANK('2025'!$Q72), 0, 1), 4, if(ISBLANK('2025'!$R72), 0, 1), 5, if(ISBLANK('2025'!$S72), 0, 1), 6, if(ISBLANK('2025'!$T72), 0, 1), 7, 0))), 1, "")</f>
        <v/>
      </c>
      <c r="AQ74" s="1" t="str">
        <f>IF(AND(AND(AND(AQ$4&gt;='2025'!$L72,AQ$4&lt;='2025'!$M72), AQ$4&lt;&gt;DATE(2025,7,4)), (SWITCH(weekday(AQ$4), 1, 0, 2, if(ISBLANK('2025'!$P72), 0, 1), 3, if(ISBLANK('2025'!$Q72), 0, 1), 4, if(ISBLANK('2025'!$R72), 0, 1), 5, if(ISBLANK('2025'!$S72), 0, 1), 6, if(ISBLANK('2025'!$T72), 0, 1), 7, 0))), 1, "")</f>
        <v/>
      </c>
      <c r="AR74" s="1" t="str">
        <f>IF(AND(AND(AND(AR$4&gt;='2025'!$L72,AR$4&lt;='2025'!$M72), AR$4&lt;&gt;DATE(2025,7,4)), (SWITCH(weekday(AR$4), 1, 0, 2, if(ISBLANK('2025'!$P72), 0, 1), 3, if(ISBLANK('2025'!$Q72), 0, 1), 4, if(ISBLANK('2025'!$R72), 0, 1), 5, if(ISBLANK('2025'!$S72), 0, 1), 6, if(ISBLANK('2025'!$T72), 0, 1), 7, 0))), 1, "")</f>
        <v/>
      </c>
      <c r="AS74" s="1" t="str">
        <f>IF(AND(AND(AND(AS$4&gt;='2025'!$L72,AS$4&lt;='2025'!$M72), AS$4&lt;&gt;DATE(2025,7,4)), (SWITCH(weekday(AS$4), 1, 0, 2, if(ISBLANK('2025'!$P72), 0, 1), 3, if(ISBLANK('2025'!$Q72), 0, 1), 4, if(ISBLANK('2025'!$R72), 0, 1), 5, if(ISBLANK('2025'!$S72), 0, 1), 6, if(ISBLANK('2025'!$T72), 0, 1), 7, 0))), 1, "")</f>
        <v/>
      </c>
      <c r="AT74" s="1" t="str">
        <f>IF(AND(AND(AND(AT$4&gt;='2025'!$L72,AT$4&lt;='2025'!$M72), AT$4&lt;&gt;DATE(2025,7,4)), (SWITCH(weekday(AT$4), 1, 0, 2, if(ISBLANK('2025'!$P72), 0, 1), 3, if(ISBLANK('2025'!$Q72), 0, 1), 4, if(ISBLANK('2025'!$R72), 0, 1), 5, if(ISBLANK('2025'!$S72), 0, 1), 6, if(ISBLANK('2025'!$T72), 0, 1), 7, 0))), 1, "")</f>
        <v/>
      </c>
      <c r="AU74" s="1" t="str">
        <f>IF(AND(AND(AND(AU$4&gt;='2025'!$L72,AU$4&lt;='2025'!$M72), AU$4&lt;&gt;DATE(2025,7,4)), (SWITCH(weekday(AU$4), 1, 0, 2, if(ISBLANK('2025'!$P72), 0, 1), 3, if(ISBLANK('2025'!$Q72), 0, 1), 4, if(ISBLANK('2025'!$R72), 0, 1), 5, if(ISBLANK('2025'!$S72), 0, 1), 6, if(ISBLANK('2025'!$T72), 0, 1), 7, 0))), 1, "")</f>
        <v/>
      </c>
      <c r="AV74" s="1" t="str">
        <f>IF(AND(AND(AND(AV$4&gt;='2025'!$L72,AV$4&lt;='2025'!$M72), AV$4&lt;&gt;DATE(2025,7,4)), (SWITCH(weekday(AV$4), 1, 0, 2, if(ISBLANK('2025'!$P72), 0, 1), 3, if(ISBLANK('2025'!$Q72), 0, 1), 4, if(ISBLANK('2025'!$R72), 0, 1), 5, if(ISBLANK('2025'!$S72), 0, 1), 6, if(ISBLANK('2025'!$T72), 0, 1), 7, 0))), 1, "")</f>
        <v/>
      </c>
      <c r="AW74" s="1" t="str">
        <f>IF(AND(AND(AND(AW$4&gt;='2025'!$L72,AW$4&lt;='2025'!$M72), AW$4&lt;&gt;DATE(2025,7,4)), (SWITCH(weekday(AW$4), 1, 0, 2, if(ISBLANK('2025'!$P72), 0, 1), 3, if(ISBLANK('2025'!$Q72), 0, 1), 4, if(ISBLANK('2025'!$R72), 0, 1), 5, if(ISBLANK('2025'!$S72), 0, 1), 6, if(ISBLANK('2025'!$T72), 0, 1), 7, 0))), 1, "")</f>
        <v/>
      </c>
      <c r="AX74" s="1" t="str">
        <f>IF(AND(AND(AND(AX$4&gt;='2025'!$L72,AX$4&lt;='2025'!$M72), AX$4&lt;&gt;DATE(2025,7,4)), (SWITCH(weekday(AX$4), 1, 0, 2, if(ISBLANK('2025'!$P72), 0, 1), 3, if(ISBLANK('2025'!$Q72), 0, 1), 4, if(ISBLANK('2025'!$R72), 0, 1), 5, if(ISBLANK('2025'!$S72), 0, 1), 6, if(ISBLANK('2025'!$T72), 0, 1), 7, 0))), 1, "")</f>
        <v/>
      </c>
      <c r="AY74" s="1" t="str">
        <f>IF(AND(AND(AND(AY$4&gt;='2025'!$L72,AY$4&lt;='2025'!$M72), AY$4&lt;&gt;DATE(2025,7,4)), (SWITCH(weekday(AY$4), 1, 0, 2, if(ISBLANK('2025'!$P72), 0, 1), 3, if(ISBLANK('2025'!$Q72), 0, 1), 4, if(ISBLANK('2025'!$R72), 0, 1), 5, if(ISBLANK('2025'!$S72), 0, 1), 6, if(ISBLANK('2025'!$T72), 0, 1), 7, 0))), 1, "")</f>
        <v/>
      </c>
      <c r="AZ74" s="1" t="str">
        <f>IF(AND(AND(AND(AZ$4&gt;='2025'!$L72,AZ$4&lt;='2025'!$M72), AZ$4&lt;&gt;DATE(2025,7,4)), (SWITCH(weekday(AZ$4), 1, 0, 2, if(ISBLANK('2025'!$P72), 0, 1), 3, if(ISBLANK('2025'!$Q72), 0, 1), 4, if(ISBLANK('2025'!$R72), 0, 1), 5, if(ISBLANK('2025'!$S72), 0, 1), 6, if(ISBLANK('2025'!$T72), 0, 1), 7, 0))), 1, "")</f>
        <v/>
      </c>
      <c r="BA74" s="1" t="str">
        <f>IF(AND(AND(AND(BA$4&gt;='2025'!$L72,BA$4&lt;='2025'!$M72), BA$4&lt;&gt;DATE(2025,7,4)), (SWITCH(weekday(BA$4), 1, 0, 2, if(ISBLANK('2025'!$P72), 0, 1), 3, if(ISBLANK('2025'!$Q72), 0, 1), 4, if(ISBLANK('2025'!$R72), 0, 1), 5, if(ISBLANK('2025'!$S72), 0, 1), 6, if(ISBLANK('2025'!$T72), 0, 1), 7, 0))), 1, "")</f>
        <v/>
      </c>
      <c r="BB74" s="1" t="str">
        <f>IF(AND(AND(AND(BB$4&gt;='2025'!$L72,BB$4&lt;='2025'!$M72), BB$4&lt;&gt;DATE(2025,7,4)), (SWITCH(weekday(BB$4), 1, 0, 2, if(ISBLANK('2025'!$P72), 0, 1), 3, if(ISBLANK('2025'!$Q72), 0, 1), 4, if(ISBLANK('2025'!$R72), 0, 1), 5, if(ISBLANK('2025'!$S72), 0, 1), 6, if(ISBLANK('2025'!$T72), 0, 1), 7, 0))), 1, "")</f>
        <v/>
      </c>
      <c r="BC74" s="1" t="str">
        <f>IF(AND(AND(AND(BC$4&gt;='2025'!$L72,BC$4&lt;='2025'!$M72), BC$4&lt;&gt;DATE(2025,7,4)), (SWITCH(weekday(BC$4), 1, 0, 2, if(ISBLANK('2025'!$P72), 0, 1), 3, if(ISBLANK('2025'!$Q72), 0, 1), 4, if(ISBLANK('2025'!$R72), 0, 1), 5, if(ISBLANK('2025'!$S72), 0, 1), 6, if(ISBLANK('2025'!$T72), 0, 1), 7, 0))), 1, "")</f>
        <v/>
      </c>
      <c r="BD74" s="1" t="str">
        <f>IF(AND(AND(AND(BD$4&gt;='2025'!$L72,BD$4&lt;='2025'!$M72), BD$4&lt;&gt;DATE(2025,7,4)), (SWITCH(weekday(BD$4), 1, 0, 2, if(ISBLANK('2025'!$P72), 0, 1), 3, if(ISBLANK('2025'!$Q72), 0, 1), 4, if(ISBLANK('2025'!$R72), 0, 1), 5, if(ISBLANK('2025'!$S72), 0, 1), 6, if(ISBLANK('2025'!$T72), 0, 1), 7, 0))), 1, "")</f>
        <v/>
      </c>
      <c r="BE74" s="1" t="str">
        <f>IF(AND(AND(AND(BE$4&gt;='2025'!$L72,BE$4&lt;='2025'!$M72), BE$4&lt;&gt;DATE(2025,7,4)), (SWITCH(weekday(BE$4), 1, 0, 2, if(ISBLANK('2025'!$P72), 0, 1), 3, if(ISBLANK('2025'!$Q72), 0, 1), 4, if(ISBLANK('2025'!$R72), 0, 1), 5, if(ISBLANK('2025'!$S72), 0, 1), 6, if(ISBLANK('2025'!$T72), 0, 1), 7, 0))), 1, "")</f>
        <v/>
      </c>
      <c r="BF74" s="1" t="str">
        <f>IF(AND(AND(AND(BF$4&gt;='2025'!$L72,BF$4&lt;='2025'!$M72), BF$4&lt;&gt;DATE(2025,7,4)), (SWITCH(weekday(BF$4), 1, 0, 2, if(ISBLANK('2025'!$P72), 0, 1), 3, if(ISBLANK('2025'!$Q72), 0, 1), 4, if(ISBLANK('2025'!$R72), 0, 1), 5, if(ISBLANK('2025'!$S72), 0, 1), 6, if(ISBLANK('2025'!$T72), 0, 1), 7, 0))), 1, "")</f>
        <v/>
      </c>
      <c r="BG74" s="1"/>
      <c r="BH74" s="1"/>
      <c r="BI74" s="1"/>
      <c r="BJ74" s="1"/>
      <c r="BK74" s="1"/>
      <c r="BL74" s="1"/>
    </row>
    <row r="75">
      <c r="A75" s="1">
        <f t="shared" si="3"/>
        <v>75</v>
      </c>
      <c r="B75" s="1" t="str">
        <f>'2025'!D73</f>
        <v>, </v>
      </c>
      <c r="C75" s="1" t="str">
        <f>'2025'!H73</f>
        <v/>
      </c>
      <c r="D75" s="1" t="str">
        <f>IF(AND(AND(AND(D$4&gt;='2025'!$L73,D$4&lt;='2025'!$M73), D$4&lt;&gt;DATE(2025,7,4)), (SWITCH(weekday(D$4), 1, 0, 2, if(ISBLANK('2025'!$P73), 0, 1), 3, if(ISBLANK('2025'!$Q73), 0, 1), 4, if(ISBLANK('2025'!$R73), 0, 1), 5, if(ISBLANK('2025'!$S73), 0, 1), 6, if(ISBLANK('2025'!$T73), 0, 1), 7, 0))), 1, "")</f>
        <v/>
      </c>
      <c r="E75" s="1" t="str">
        <f>IF(AND(AND(AND(E$4&gt;='2025'!$L73,E$4&lt;='2025'!$M73), E$4&lt;&gt;DATE(2025,7,4)), (SWITCH(weekday(E$4), 1, 0, 2, if(ISBLANK('2025'!$P73), 0, 1), 3, if(ISBLANK('2025'!$Q73), 0, 1), 4, if(ISBLANK('2025'!$R73), 0, 1), 5, if(ISBLANK('2025'!$S73), 0, 1), 6, if(ISBLANK('2025'!$T73), 0, 1), 7, 0))), 1, "")</f>
        <v/>
      </c>
      <c r="F75" s="1" t="str">
        <f>IF(AND(AND(AND(F$4&gt;='2025'!$L73,F$4&lt;='2025'!$M73), F$4&lt;&gt;DATE(2025,7,4)), (SWITCH(weekday(F$4), 1, 0, 2, if(ISBLANK('2025'!$P73), 0, 1), 3, if(ISBLANK('2025'!$Q73), 0, 1), 4, if(ISBLANK('2025'!$R73), 0, 1), 5, if(ISBLANK('2025'!$S73), 0, 1), 6, if(ISBLANK('2025'!$T73), 0, 1), 7, 0))), 1, "")</f>
        <v/>
      </c>
      <c r="G75" s="1" t="str">
        <f>IF(AND(AND(AND(G$4&gt;='2025'!$L73,G$4&lt;='2025'!$M73), G$4&lt;&gt;DATE(2025,7,4)), (SWITCH(weekday(G$4), 1, 0, 2, if(ISBLANK('2025'!$P73), 0, 1), 3, if(ISBLANK('2025'!$Q73), 0, 1), 4, if(ISBLANK('2025'!$R73), 0, 1), 5, if(ISBLANK('2025'!$S73), 0, 1), 6, if(ISBLANK('2025'!$T73), 0, 1), 7, 0))), 1, "")</f>
        <v/>
      </c>
      <c r="H75" s="1" t="str">
        <f>IF(AND(AND(AND(H$4&gt;='2025'!$L73,H$4&lt;='2025'!$M73), H$4&lt;&gt;DATE(2025,7,4)), (SWITCH(weekday(H$4), 1, 0, 2, if(ISBLANK('2025'!$P73), 0, 1), 3, if(ISBLANK('2025'!$Q73), 0, 1), 4, if(ISBLANK('2025'!$R73), 0, 1), 5, if(ISBLANK('2025'!$S73), 0, 1), 6, if(ISBLANK('2025'!$T73), 0, 1), 7, 0))), 1, "")</f>
        <v/>
      </c>
      <c r="I75" s="1" t="str">
        <f>IF(AND(AND(AND(I$4&gt;='2025'!$L73,I$4&lt;='2025'!$M73), I$4&lt;&gt;DATE(2025,7,4)), (SWITCH(weekday(I$4), 1, 0, 2, if(ISBLANK('2025'!$P73), 0, 1), 3, if(ISBLANK('2025'!$Q73), 0, 1), 4, if(ISBLANK('2025'!$R73), 0, 1), 5, if(ISBLANK('2025'!$S73), 0, 1), 6, if(ISBLANK('2025'!$T73), 0, 1), 7, 0))), 1, "")</f>
        <v/>
      </c>
      <c r="J75" s="1" t="str">
        <f>IF(AND(AND(AND(J$4&gt;='2025'!$L73,J$4&lt;='2025'!$M73), J$4&lt;&gt;DATE(2025,7,4)), (SWITCH(weekday(J$4), 1, 0, 2, if(ISBLANK('2025'!$P73), 0, 1), 3, if(ISBLANK('2025'!$Q73), 0, 1), 4, if(ISBLANK('2025'!$R73), 0, 1), 5, if(ISBLANK('2025'!$S73), 0, 1), 6, if(ISBLANK('2025'!$T73), 0, 1), 7, 0))), 1, "")</f>
        <v/>
      </c>
      <c r="K75" s="1" t="str">
        <f>IF(AND(AND(AND(K$4&gt;='2025'!$L73,K$4&lt;='2025'!$M73), K$4&lt;&gt;DATE(2025,7,4)), (SWITCH(weekday(K$4), 1, 0, 2, if(ISBLANK('2025'!$P73), 0, 1), 3, if(ISBLANK('2025'!$Q73), 0, 1), 4, if(ISBLANK('2025'!$R73), 0, 1), 5, if(ISBLANK('2025'!$S73), 0, 1), 6, if(ISBLANK('2025'!$T73), 0, 1), 7, 0))), 1, "")</f>
        <v/>
      </c>
      <c r="L75" s="1" t="str">
        <f>IF(AND(AND(AND(L$4&gt;='2025'!$L73,L$4&lt;='2025'!$M73), L$4&lt;&gt;DATE(2025,7,4)), (SWITCH(weekday(L$4), 1, 0, 2, if(ISBLANK('2025'!$P73), 0, 1), 3, if(ISBLANK('2025'!$Q73), 0, 1), 4, if(ISBLANK('2025'!$R73), 0, 1), 5, if(ISBLANK('2025'!$S73), 0, 1), 6, if(ISBLANK('2025'!$T73), 0, 1), 7, 0))), 1, "")</f>
        <v/>
      </c>
      <c r="M75" s="1" t="str">
        <f>IF(AND(AND(AND(M$4&gt;='2025'!$L73,M$4&lt;='2025'!$M73), M$4&lt;&gt;DATE(2025,7,4)), (SWITCH(weekday(M$4), 1, 0, 2, if(ISBLANK('2025'!$P73), 0, 1), 3, if(ISBLANK('2025'!$Q73), 0, 1), 4, if(ISBLANK('2025'!$R73), 0, 1), 5, if(ISBLANK('2025'!$S73), 0, 1), 6, if(ISBLANK('2025'!$T73), 0, 1), 7, 0))), 1, "")</f>
        <v/>
      </c>
      <c r="N75" s="1" t="str">
        <f>IF(AND(AND(AND(N$4&gt;='2025'!$L73,N$4&lt;='2025'!$M73), N$4&lt;&gt;DATE(2025,7,4)), (SWITCH(weekday(N$4), 1, 0, 2, if(ISBLANK('2025'!$P73), 0, 1), 3, if(ISBLANK('2025'!$Q73), 0, 1), 4, if(ISBLANK('2025'!$R73), 0, 1), 5, if(ISBLANK('2025'!$S73), 0, 1), 6, if(ISBLANK('2025'!$T73), 0, 1), 7, 0))), 1, "")</f>
        <v/>
      </c>
      <c r="O75" s="1" t="str">
        <f>IF(AND(AND(AND(O$4&gt;='2025'!$L73,O$4&lt;='2025'!$M73), O$4&lt;&gt;DATE(2025,7,4)), (SWITCH(weekday(O$4), 1, 0, 2, if(ISBLANK('2025'!$P73), 0, 1), 3, if(ISBLANK('2025'!$Q73), 0, 1), 4, if(ISBLANK('2025'!$R73), 0, 1), 5, if(ISBLANK('2025'!$S73), 0, 1), 6, if(ISBLANK('2025'!$T73), 0, 1), 7, 0))), 1, "")</f>
        <v/>
      </c>
      <c r="P75" s="1" t="str">
        <f>IF(AND(AND(AND(P$4&gt;='2025'!$L73,P$4&lt;='2025'!$M73), P$4&lt;&gt;DATE(2025,7,4)), (SWITCH(weekday(P$4), 1, 0, 2, if(ISBLANK('2025'!$P73), 0, 1), 3, if(ISBLANK('2025'!$Q73), 0, 1), 4, if(ISBLANK('2025'!$R73), 0, 1), 5, if(ISBLANK('2025'!$S73), 0, 1), 6, if(ISBLANK('2025'!$T73), 0, 1), 7, 0))), 1, "")</f>
        <v/>
      </c>
      <c r="Q75" s="1" t="str">
        <f>IF(AND(AND(AND(Q$4&gt;='2025'!$L73,Q$4&lt;='2025'!$M73), Q$4&lt;&gt;DATE(2025,7,4)), (SWITCH(weekday(Q$4), 1, 0, 2, if(ISBLANK('2025'!$P73), 0, 1), 3, if(ISBLANK('2025'!$Q73), 0, 1), 4, if(ISBLANK('2025'!$R73), 0, 1), 5, if(ISBLANK('2025'!$S73), 0, 1), 6, if(ISBLANK('2025'!$T73), 0, 1), 7, 0))), 1, "")</f>
        <v/>
      </c>
      <c r="R75" s="1" t="str">
        <f>IF(AND(AND(AND(R$4&gt;='2025'!$L73,R$4&lt;='2025'!$M73), R$4&lt;&gt;DATE(2025,7,4)), (SWITCH(weekday(R$4), 1, 0, 2, if(ISBLANK('2025'!$P73), 0, 1), 3, if(ISBLANK('2025'!$Q73), 0, 1), 4, if(ISBLANK('2025'!$R73), 0, 1), 5, if(ISBLANK('2025'!$S73), 0, 1), 6, if(ISBLANK('2025'!$T73), 0, 1), 7, 0))), 1, "")</f>
        <v/>
      </c>
      <c r="S75" s="1" t="str">
        <f>IF(AND(AND(AND(S$4&gt;='2025'!$L73,S$4&lt;='2025'!$M73), S$4&lt;&gt;DATE(2025,7,4)), (SWITCH(weekday(S$4), 1, 0, 2, if(ISBLANK('2025'!$P73), 0, 1), 3, if(ISBLANK('2025'!$Q73), 0, 1), 4, if(ISBLANK('2025'!$R73), 0, 1), 5, if(ISBLANK('2025'!$S73), 0, 1), 6, if(ISBLANK('2025'!$T73), 0, 1), 7, 0))), 1, "")</f>
        <v/>
      </c>
      <c r="T75" s="1" t="str">
        <f>IF(AND(AND(AND(T$4&gt;='2025'!$L73,T$4&lt;='2025'!$M73), T$4&lt;&gt;DATE(2025,7,4)), (SWITCH(weekday(T$4), 1, 0, 2, if(ISBLANK('2025'!$P73), 0, 1), 3, if(ISBLANK('2025'!$Q73), 0, 1), 4, if(ISBLANK('2025'!$R73), 0, 1), 5, if(ISBLANK('2025'!$S73), 0, 1), 6, if(ISBLANK('2025'!$T73), 0, 1), 7, 0))), 1, "")</f>
        <v/>
      </c>
      <c r="U75" s="1" t="str">
        <f>IF(AND(AND(AND(U$4&gt;='2025'!$L73,U$4&lt;='2025'!$M73), U$4&lt;&gt;DATE(2025,7,4)), (SWITCH(weekday(U$4), 1, 0, 2, if(ISBLANK('2025'!$P73), 0, 1), 3, if(ISBLANK('2025'!$Q73), 0, 1), 4, if(ISBLANK('2025'!$R73), 0, 1), 5, if(ISBLANK('2025'!$S73), 0, 1), 6, if(ISBLANK('2025'!$T73), 0, 1), 7, 0))), 1, "")</f>
        <v/>
      </c>
      <c r="V75" s="1" t="str">
        <f>IF(AND(AND(AND(V$4&gt;='2025'!$L73,V$4&lt;='2025'!$M73), V$4&lt;&gt;DATE(2025,7,4)), (SWITCH(weekday(V$4), 1, 0, 2, if(ISBLANK('2025'!$P73), 0, 1), 3, if(ISBLANK('2025'!$Q73), 0, 1), 4, if(ISBLANK('2025'!$R73), 0, 1), 5, if(ISBLANK('2025'!$S73), 0, 1), 6, if(ISBLANK('2025'!$T73), 0, 1), 7, 0))), 1, "")</f>
        <v/>
      </c>
      <c r="W75" s="1" t="str">
        <f>IF(AND(AND(AND(W$4&gt;='2025'!$L73,W$4&lt;='2025'!$M73), W$4&lt;&gt;DATE(2025,7,4)), (SWITCH(weekday(W$4), 1, 0, 2, if(ISBLANK('2025'!$P73), 0, 1), 3, if(ISBLANK('2025'!$Q73), 0, 1), 4, if(ISBLANK('2025'!$R73), 0, 1), 5, if(ISBLANK('2025'!$S73), 0, 1), 6, if(ISBLANK('2025'!$T73), 0, 1), 7, 0))), 1, "")</f>
        <v/>
      </c>
      <c r="X75" s="1" t="str">
        <f>IF(AND(AND(AND(X$4&gt;='2025'!$L73,X$4&lt;='2025'!$M73), X$4&lt;&gt;DATE(2025,7,4)), (SWITCH(weekday(X$4), 1, 0, 2, if(ISBLANK('2025'!$P73), 0, 1), 3, if(ISBLANK('2025'!$Q73), 0, 1), 4, if(ISBLANK('2025'!$R73), 0, 1), 5, if(ISBLANK('2025'!$S73), 0, 1), 6, if(ISBLANK('2025'!$T73), 0, 1), 7, 0))), 1, "")</f>
        <v/>
      </c>
      <c r="Y75" s="1" t="str">
        <f>IF(AND(AND(AND(Y$4&gt;='2025'!$L73,Y$4&lt;='2025'!$M73), Y$4&lt;&gt;DATE(2025,7,4)), (SWITCH(weekday(Y$4), 1, 0, 2, if(ISBLANK('2025'!$P73), 0, 1), 3, if(ISBLANK('2025'!$Q73), 0, 1), 4, if(ISBLANK('2025'!$R73), 0, 1), 5, if(ISBLANK('2025'!$S73), 0, 1), 6, if(ISBLANK('2025'!$T73), 0, 1), 7, 0))), 1, "")</f>
        <v/>
      </c>
      <c r="Z75" s="1" t="str">
        <f>IF(AND(AND(AND(Z$4&gt;='2025'!$L73,Z$4&lt;='2025'!$M73), Z$4&lt;&gt;DATE(2025,7,4)), (SWITCH(weekday(Z$4), 1, 0, 2, if(ISBLANK('2025'!$P73), 0, 1), 3, if(ISBLANK('2025'!$Q73), 0, 1), 4, if(ISBLANK('2025'!$R73), 0, 1), 5, if(ISBLANK('2025'!$S73), 0, 1), 6, if(ISBLANK('2025'!$T73), 0, 1), 7, 0))), 1, "")</f>
        <v/>
      </c>
      <c r="AA75" s="1" t="str">
        <f>IF(AND(AND(AND(AA$4&gt;='2025'!$L73,AA$4&lt;='2025'!$M73), AA$4&lt;&gt;DATE(2025,7,4)), (SWITCH(weekday(AA$4), 1, 0, 2, if(ISBLANK('2025'!$P73), 0, 1), 3, if(ISBLANK('2025'!$Q73), 0, 1), 4, if(ISBLANK('2025'!$R73), 0, 1), 5, if(ISBLANK('2025'!$S73), 0, 1), 6, if(ISBLANK('2025'!$T73), 0, 1), 7, 0))), 1, "")</f>
        <v/>
      </c>
      <c r="AB75" s="1" t="str">
        <f>IF(AND(AND(AND(AB$4&gt;='2025'!$L73,AB$4&lt;='2025'!$M73), AB$4&lt;&gt;DATE(2025,7,4)), (SWITCH(weekday(AB$4), 1, 0, 2, if(ISBLANK('2025'!$P73), 0, 1), 3, if(ISBLANK('2025'!$Q73), 0, 1), 4, if(ISBLANK('2025'!$R73), 0, 1), 5, if(ISBLANK('2025'!$S73), 0, 1), 6, if(ISBLANK('2025'!$T73), 0, 1), 7, 0))), 1, "")</f>
        <v/>
      </c>
      <c r="AC75" s="1" t="str">
        <f>IF(AND(AND(AND(AC$4&gt;='2025'!$L73,AC$4&lt;='2025'!$M73), AC$4&lt;&gt;DATE(2025,7,4)), (SWITCH(weekday(AC$4), 1, 0, 2, if(ISBLANK('2025'!$P73), 0, 1), 3, if(ISBLANK('2025'!$Q73), 0, 1), 4, if(ISBLANK('2025'!$R73), 0, 1), 5, if(ISBLANK('2025'!$S73), 0, 1), 6, if(ISBLANK('2025'!$T73), 0, 1), 7, 0))), 1, "")</f>
        <v/>
      </c>
      <c r="AD75" s="1" t="str">
        <f>IF(AND(AND(AND(AD$4&gt;='2025'!$L73,AD$4&lt;='2025'!$M73), AD$4&lt;&gt;DATE(2025,7,4)), (SWITCH(weekday(AD$4), 1, 0, 2, if(ISBLANK('2025'!$P73), 0, 1), 3, if(ISBLANK('2025'!$Q73), 0, 1), 4, if(ISBLANK('2025'!$R73), 0, 1), 5, if(ISBLANK('2025'!$S73), 0, 1), 6, if(ISBLANK('2025'!$T73), 0, 1), 7, 0))), 1, "")</f>
        <v/>
      </c>
      <c r="AE75" s="1" t="str">
        <f>IF(AND(AND(AND(AE$4&gt;='2025'!$L73,AE$4&lt;='2025'!$M73), AE$4&lt;&gt;DATE(2025,7,4)), (SWITCH(weekday(AE$4), 1, 0, 2, if(ISBLANK('2025'!$P73), 0, 1), 3, if(ISBLANK('2025'!$Q73), 0, 1), 4, if(ISBLANK('2025'!$R73), 0, 1), 5, if(ISBLANK('2025'!$S73), 0, 1), 6, if(ISBLANK('2025'!$T73), 0, 1), 7, 0))), 1, "")</f>
        <v/>
      </c>
      <c r="AF75" s="1" t="str">
        <f>IF(AND(AND(AND(AF$4&gt;='2025'!$L73,AF$4&lt;='2025'!$M73), AF$4&lt;&gt;DATE(2025,7,4)), (SWITCH(weekday(AF$4), 1, 0, 2, if(ISBLANK('2025'!$P73), 0, 1), 3, if(ISBLANK('2025'!$Q73), 0, 1), 4, if(ISBLANK('2025'!$R73), 0, 1), 5, if(ISBLANK('2025'!$S73), 0, 1), 6, if(ISBLANK('2025'!$T73), 0, 1), 7, 0))), 1, "")</f>
        <v/>
      </c>
      <c r="AG75" s="1" t="str">
        <f>IF(AND(AND(AND(AG$4&gt;='2025'!$L73,AG$4&lt;='2025'!$M73), AG$4&lt;&gt;DATE(2025,7,4)), (SWITCH(weekday(AG$4), 1, 0, 2, if(ISBLANK('2025'!$P73), 0, 1), 3, if(ISBLANK('2025'!$Q73), 0, 1), 4, if(ISBLANK('2025'!$R73), 0, 1), 5, if(ISBLANK('2025'!$S73), 0, 1), 6, if(ISBLANK('2025'!$T73), 0, 1), 7, 0))), 1, "")</f>
        <v/>
      </c>
      <c r="AH75" s="1" t="str">
        <f>IF(AND(AND(AND(AH$4&gt;='2025'!$L73,AH$4&lt;='2025'!$M73), AH$4&lt;&gt;DATE(2025,7,4)), (SWITCH(weekday(AH$4), 1, 0, 2, if(ISBLANK('2025'!$P73), 0, 1), 3, if(ISBLANK('2025'!$Q73), 0, 1), 4, if(ISBLANK('2025'!$R73), 0, 1), 5, if(ISBLANK('2025'!$S73), 0, 1), 6, if(ISBLANK('2025'!$T73), 0, 1), 7, 0))), 1, "")</f>
        <v/>
      </c>
      <c r="AI75" s="1" t="str">
        <f>IF(AND(AND(AND(AI$4&gt;='2025'!$L73,AI$4&lt;='2025'!$M73), AI$4&lt;&gt;DATE(2025,7,4)), (SWITCH(weekday(AI$4), 1, 0, 2, if(ISBLANK('2025'!$P73), 0, 1), 3, if(ISBLANK('2025'!$Q73), 0, 1), 4, if(ISBLANK('2025'!$R73), 0, 1), 5, if(ISBLANK('2025'!$S73), 0, 1), 6, if(ISBLANK('2025'!$T73), 0, 1), 7, 0))), 1, "")</f>
        <v/>
      </c>
      <c r="AJ75" s="1" t="str">
        <f>IF(AND(AND(AND(AJ$4&gt;='2025'!$L73,AJ$4&lt;='2025'!$M73), AJ$4&lt;&gt;DATE(2025,7,4)), (SWITCH(weekday(AJ$4), 1, 0, 2, if(ISBLANK('2025'!$P73), 0, 1), 3, if(ISBLANK('2025'!$Q73), 0, 1), 4, if(ISBLANK('2025'!$R73), 0, 1), 5, if(ISBLANK('2025'!$S73), 0, 1), 6, if(ISBLANK('2025'!$T73), 0, 1), 7, 0))), 1, "")</f>
        <v/>
      </c>
      <c r="AK75" s="1" t="str">
        <f>IF(AND(AND(AND(AK$4&gt;='2025'!$L73,AK$4&lt;='2025'!$M73), AK$4&lt;&gt;DATE(2025,7,4)), (SWITCH(weekday(AK$4), 1, 0, 2, if(ISBLANK('2025'!$P73), 0, 1), 3, if(ISBLANK('2025'!$Q73), 0, 1), 4, if(ISBLANK('2025'!$R73), 0, 1), 5, if(ISBLANK('2025'!$S73), 0, 1), 6, if(ISBLANK('2025'!$T73), 0, 1), 7, 0))), 1, "")</f>
        <v/>
      </c>
      <c r="AL75" s="1" t="str">
        <f>IF(AND(AND(AND(AL$4&gt;='2025'!$L73,AL$4&lt;='2025'!$M73), AL$4&lt;&gt;DATE(2025,7,4)), (SWITCH(weekday(AL$4), 1, 0, 2, if(ISBLANK('2025'!$P73), 0, 1), 3, if(ISBLANK('2025'!$Q73), 0, 1), 4, if(ISBLANK('2025'!$R73), 0, 1), 5, if(ISBLANK('2025'!$S73), 0, 1), 6, if(ISBLANK('2025'!$T73), 0, 1), 7, 0))), 1, "")</f>
        <v/>
      </c>
      <c r="AM75" s="1" t="str">
        <f>IF(AND(AND(AND(AM$4&gt;='2025'!$L73,AM$4&lt;='2025'!$M73), AM$4&lt;&gt;DATE(2025,7,4)), (SWITCH(weekday(AM$4), 1, 0, 2, if(ISBLANK('2025'!$P73), 0, 1), 3, if(ISBLANK('2025'!$Q73), 0, 1), 4, if(ISBLANK('2025'!$R73), 0, 1), 5, if(ISBLANK('2025'!$S73), 0, 1), 6, if(ISBLANK('2025'!$T73), 0, 1), 7, 0))), 1, "")</f>
        <v/>
      </c>
      <c r="AN75" s="1" t="str">
        <f>IF(AND(AND(AND(AN$4&gt;='2025'!$L73,AN$4&lt;='2025'!$M73), AN$4&lt;&gt;DATE(2025,7,4)), (SWITCH(weekday(AN$4), 1, 0, 2, if(ISBLANK('2025'!$P73), 0, 1), 3, if(ISBLANK('2025'!$Q73), 0, 1), 4, if(ISBLANK('2025'!$R73), 0, 1), 5, if(ISBLANK('2025'!$S73), 0, 1), 6, if(ISBLANK('2025'!$T73), 0, 1), 7, 0))), 1, "")</f>
        <v/>
      </c>
      <c r="AO75" s="1" t="str">
        <f>IF(AND(AND(AND(AO$4&gt;='2025'!$L73,AO$4&lt;='2025'!$M73), AO$4&lt;&gt;DATE(2025,7,4)), (SWITCH(weekday(AO$4), 1, 0, 2, if(ISBLANK('2025'!$P73), 0, 1), 3, if(ISBLANK('2025'!$Q73), 0, 1), 4, if(ISBLANK('2025'!$R73), 0, 1), 5, if(ISBLANK('2025'!$S73), 0, 1), 6, if(ISBLANK('2025'!$T73), 0, 1), 7, 0))), 1, "")</f>
        <v/>
      </c>
      <c r="AP75" s="1" t="str">
        <f>IF(AND(AND(AND(AP$4&gt;='2025'!$L73,AP$4&lt;='2025'!$M73), AP$4&lt;&gt;DATE(2025,7,4)), (SWITCH(weekday(AP$4), 1, 0, 2, if(ISBLANK('2025'!$P73), 0, 1), 3, if(ISBLANK('2025'!$Q73), 0, 1), 4, if(ISBLANK('2025'!$R73), 0, 1), 5, if(ISBLANK('2025'!$S73), 0, 1), 6, if(ISBLANK('2025'!$T73), 0, 1), 7, 0))), 1, "")</f>
        <v/>
      </c>
      <c r="AQ75" s="1" t="str">
        <f>IF(AND(AND(AND(AQ$4&gt;='2025'!$L73,AQ$4&lt;='2025'!$M73), AQ$4&lt;&gt;DATE(2025,7,4)), (SWITCH(weekday(AQ$4), 1, 0, 2, if(ISBLANK('2025'!$P73), 0, 1), 3, if(ISBLANK('2025'!$Q73), 0, 1), 4, if(ISBLANK('2025'!$R73), 0, 1), 5, if(ISBLANK('2025'!$S73), 0, 1), 6, if(ISBLANK('2025'!$T73), 0, 1), 7, 0))), 1, "")</f>
        <v/>
      </c>
      <c r="AR75" s="1" t="str">
        <f>IF(AND(AND(AND(AR$4&gt;='2025'!$L73,AR$4&lt;='2025'!$M73), AR$4&lt;&gt;DATE(2025,7,4)), (SWITCH(weekday(AR$4), 1, 0, 2, if(ISBLANK('2025'!$P73), 0, 1), 3, if(ISBLANK('2025'!$Q73), 0, 1), 4, if(ISBLANK('2025'!$R73), 0, 1), 5, if(ISBLANK('2025'!$S73), 0, 1), 6, if(ISBLANK('2025'!$T73), 0, 1), 7, 0))), 1, "")</f>
        <v/>
      </c>
      <c r="AS75" s="1" t="str">
        <f>IF(AND(AND(AND(AS$4&gt;='2025'!$L73,AS$4&lt;='2025'!$M73), AS$4&lt;&gt;DATE(2025,7,4)), (SWITCH(weekday(AS$4), 1, 0, 2, if(ISBLANK('2025'!$P73), 0, 1), 3, if(ISBLANK('2025'!$Q73), 0, 1), 4, if(ISBLANK('2025'!$R73), 0, 1), 5, if(ISBLANK('2025'!$S73), 0, 1), 6, if(ISBLANK('2025'!$T73), 0, 1), 7, 0))), 1, "")</f>
        <v/>
      </c>
      <c r="AT75" s="1" t="str">
        <f>IF(AND(AND(AND(AT$4&gt;='2025'!$L73,AT$4&lt;='2025'!$M73), AT$4&lt;&gt;DATE(2025,7,4)), (SWITCH(weekday(AT$4), 1, 0, 2, if(ISBLANK('2025'!$P73), 0, 1), 3, if(ISBLANK('2025'!$Q73), 0, 1), 4, if(ISBLANK('2025'!$R73), 0, 1), 5, if(ISBLANK('2025'!$S73), 0, 1), 6, if(ISBLANK('2025'!$T73), 0, 1), 7, 0))), 1, "")</f>
        <v/>
      </c>
      <c r="AU75" s="1" t="str">
        <f>IF(AND(AND(AND(AU$4&gt;='2025'!$L73,AU$4&lt;='2025'!$M73), AU$4&lt;&gt;DATE(2025,7,4)), (SWITCH(weekday(AU$4), 1, 0, 2, if(ISBLANK('2025'!$P73), 0, 1), 3, if(ISBLANK('2025'!$Q73), 0, 1), 4, if(ISBLANK('2025'!$R73), 0, 1), 5, if(ISBLANK('2025'!$S73), 0, 1), 6, if(ISBLANK('2025'!$T73), 0, 1), 7, 0))), 1, "")</f>
        <v/>
      </c>
      <c r="AV75" s="1" t="str">
        <f>IF(AND(AND(AND(AV$4&gt;='2025'!$L73,AV$4&lt;='2025'!$M73), AV$4&lt;&gt;DATE(2025,7,4)), (SWITCH(weekday(AV$4), 1, 0, 2, if(ISBLANK('2025'!$P73), 0, 1), 3, if(ISBLANK('2025'!$Q73), 0, 1), 4, if(ISBLANK('2025'!$R73), 0, 1), 5, if(ISBLANK('2025'!$S73), 0, 1), 6, if(ISBLANK('2025'!$T73), 0, 1), 7, 0))), 1, "")</f>
        <v/>
      </c>
      <c r="AW75" s="1" t="str">
        <f>IF(AND(AND(AND(AW$4&gt;='2025'!$L73,AW$4&lt;='2025'!$M73), AW$4&lt;&gt;DATE(2025,7,4)), (SWITCH(weekday(AW$4), 1, 0, 2, if(ISBLANK('2025'!$P73), 0, 1), 3, if(ISBLANK('2025'!$Q73), 0, 1), 4, if(ISBLANK('2025'!$R73), 0, 1), 5, if(ISBLANK('2025'!$S73), 0, 1), 6, if(ISBLANK('2025'!$T73), 0, 1), 7, 0))), 1, "")</f>
        <v/>
      </c>
      <c r="AX75" s="1" t="str">
        <f>IF(AND(AND(AND(AX$4&gt;='2025'!$L73,AX$4&lt;='2025'!$M73), AX$4&lt;&gt;DATE(2025,7,4)), (SWITCH(weekday(AX$4), 1, 0, 2, if(ISBLANK('2025'!$P73), 0, 1), 3, if(ISBLANK('2025'!$Q73), 0, 1), 4, if(ISBLANK('2025'!$R73), 0, 1), 5, if(ISBLANK('2025'!$S73), 0, 1), 6, if(ISBLANK('2025'!$T73), 0, 1), 7, 0))), 1, "")</f>
        <v/>
      </c>
      <c r="AY75" s="1" t="str">
        <f>IF(AND(AND(AND(AY$4&gt;='2025'!$L73,AY$4&lt;='2025'!$M73), AY$4&lt;&gt;DATE(2025,7,4)), (SWITCH(weekday(AY$4), 1, 0, 2, if(ISBLANK('2025'!$P73), 0, 1), 3, if(ISBLANK('2025'!$Q73), 0, 1), 4, if(ISBLANK('2025'!$R73), 0, 1), 5, if(ISBLANK('2025'!$S73), 0, 1), 6, if(ISBLANK('2025'!$T73), 0, 1), 7, 0))), 1, "")</f>
        <v/>
      </c>
      <c r="AZ75" s="1" t="str">
        <f>IF(AND(AND(AND(AZ$4&gt;='2025'!$L73,AZ$4&lt;='2025'!$M73), AZ$4&lt;&gt;DATE(2025,7,4)), (SWITCH(weekday(AZ$4), 1, 0, 2, if(ISBLANK('2025'!$P73), 0, 1), 3, if(ISBLANK('2025'!$Q73), 0, 1), 4, if(ISBLANK('2025'!$R73), 0, 1), 5, if(ISBLANK('2025'!$S73), 0, 1), 6, if(ISBLANK('2025'!$T73), 0, 1), 7, 0))), 1, "")</f>
        <v/>
      </c>
      <c r="BA75" s="1" t="str">
        <f>IF(AND(AND(AND(BA$4&gt;='2025'!$L73,BA$4&lt;='2025'!$M73), BA$4&lt;&gt;DATE(2025,7,4)), (SWITCH(weekday(BA$4), 1, 0, 2, if(ISBLANK('2025'!$P73), 0, 1), 3, if(ISBLANK('2025'!$Q73), 0, 1), 4, if(ISBLANK('2025'!$R73), 0, 1), 5, if(ISBLANK('2025'!$S73), 0, 1), 6, if(ISBLANK('2025'!$T73), 0, 1), 7, 0))), 1, "")</f>
        <v/>
      </c>
      <c r="BB75" s="1" t="str">
        <f>IF(AND(AND(AND(BB$4&gt;='2025'!$L73,BB$4&lt;='2025'!$M73), BB$4&lt;&gt;DATE(2025,7,4)), (SWITCH(weekday(BB$4), 1, 0, 2, if(ISBLANK('2025'!$P73), 0, 1), 3, if(ISBLANK('2025'!$Q73), 0, 1), 4, if(ISBLANK('2025'!$R73), 0, 1), 5, if(ISBLANK('2025'!$S73), 0, 1), 6, if(ISBLANK('2025'!$T73), 0, 1), 7, 0))), 1, "")</f>
        <v/>
      </c>
      <c r="BC75" s="1" t="str">
        <f>IF(AND(AND(AND(BC$4&gt;='2025'!$L73,BC$4&lt;='2025'!$M73), BC$4&lt;&gt;DATE(2025,7,4)), (SWITCH(weekday(BC$4), 1, 0, 2, if(ISBLANK('2025'!$P73), 0, 1), 3, if(ISBLANK('2025'!$Q73), 0, 1), 4, if(ISBLANK('2025'!$R73), 0, 1), 5, if(ISBLANK('2025'!$S73), 0, 1), 6, if(ISBLANK('2025'!$T73), 0, 1), 7, 0))), 1, "")</f>
        <v/>
      </c>
      <c r="BD75" s="1" t="str">
        <f>IF(AND(AND(AND(BD$4&gt;='2025'!$L73,BD$4&lt;='2025'!$M73), BD$4&lt;&gt;DATE(2025,7,4)), (SWITCH(weekday(BD$4), 1, 0, 2, if(ISBLANK('2025'!$P73), 0, 1), 3, if(ISBLANK('2025'!$Q73), 0, 1), 4, if(ISBLANK('2025'!$R73), 0, 1), 5, if(ISBLANK('2025'!$S73), 0, 1), 6, if(ISBLANK('2025'!$T73), 0, 1), 7, 0))), 1, "")</f>
        <v/>
      </c>
      <c r="BE75" s="1" t="str">
        <f>IF(AND(AND(AND(BE$4&gt;='2025'!$L73,BE$4&lt;='2025'!$M73), BE$4&lt;&gt;DATE(2025,7,4)), (SWITCH(weekday(BE$4), 1, 0, 2, if(ISBLANK('2025'!$P73), 0, 1), 3, if(ISBLANK('2025'!$Q73), 0, 1), 4, if(ISBLANK('2025'!$R73), 0, 1), 5, if(ISBLANK('2025'!$S73), 0, 1), 6, if(ISBLANK('2025'!$T73), 0, 1), 7, 0))), 1, "")</f>
        <v/>
      </c>
      <c r="BF75" s="1" t="str">
        <f>IF(AND(AND(AND(BF$4&gt;='2025'!$L73,BF$4&lt;='2025'!$M73), BF$4&lt;&gt;DATE(2025,7,4)), (SWITCH(weekday(BF$4), 1, 0, 2, if(ISBLANK('2025'!$P73), 0, 1), 3, if(ISBLANK('2025'!$Q73), 0, 1), 4, if(ISBLANK('2025'!$R73), 0, 1), 5, if(ISBLANK('2025'!$S73), 0, 1), 6, if(ISBLANK('2025'!$T73), 0, 1), 7, 0))), 1, "")</f>
        <v/>
      </c>
      <c r="BG75" s="1"/>
      <c r="BH75" s="1"/>
      <c r="BI75" s="1"/>
      <c r="BJ75" s="1"/>
      <c r="BK75" s="1"/>
      <c r="BL75" s="1"/>
    </row>
    <row r="76">
      <c r="A76" s="1">
        <f t="shared" si="3"/>
        <v>76</v>
      </c>
      <c r="B76" s="1" t="str">
        <f>'2025'!D74</f>
        <v>, </v>
      </c>
      <c r="C76" s="1" t="str">
        <f>'2025'!H74</f>
        <v/>
      </c>
      <c r="D76" s="1" t="str">
        <f>IF(AND(AND(AND(D$4&gt;='2025'!$L74,D$4&lt;='2025'!$M74), D$4&lt;&gt;DATE(2025,7,4)), (SWITCH(weekday(D$4), 1, 0, 2, if(ISBLANK('2025'!$P74), 0, 1), 3, if(ISBLANK('2025'!$Q74), 0, 1), 4, if(ISBLANK('2025'!$R74), 0, 1), 5, if(ISBLANK('2025'!$S74), 0, 1), 6, if(ISBLANK('2025'!$T74), 0, 1), 7, 0))), 1, "")</f>
        <v/>
      </c>
      <c r="E76" s="1" t="str">
        <f>IF(AND(AND(AND(E$4&gt;='2025'!$L74,E$4&lt;='2025'!$M74), E$4&lt;&gt;DATE(2025,7,4)), (SWITCH(weekday(E$4), 1, 0, 2, if(ISBLANK('2025'!$P74), 0, 1), 3, if(ISBLANK('2025'!$Q74), 0, 1), 4, if(ISBLANK('2025'!$R74), 0, 1), 5, if(ISBLANK('2025'!$S74), 0, 1), 6, if(ISBLANK('2025'!$T74), 0, 1), 7, 0))), 1, "")</f>
        <v/>
      </c>
      <c r="F76" s="1" t="str">
        <f>IF(AND(AND(AND(F$4&gt;='2025'!$L74,F$4&lt;='2025'!$M74), F$4&lt;&gt;DATE(2025,7,4)), (SWITCH(weekday(F$4), 1, 0, 2, if(ISBLANK('2025'!$P74), 0, 1), 3, if(ISBLANK('2025'!$Q74), 0, 1), 4, if(ISBLANK('2025'!$R74), 0, 1), 5, if(ISBLANK('2025'!$S74), 0, 1), 6, if(ISBLANK('2025'!$T74), 0, 1), 7, 0))), 1, "")</f>
        <v/>
      </c>
      <c r="G76" s="1" t="str">
        <f>IF(AND(AND(AND(G$4&gt;='2025'!$L74,G$4&lt;='2025'!$M74), G$4&lt;&gt;DATE(2025,7,4)), (SWITCH(weekday(G$4), 1, 0, 2, if(ISBLANK('2025'!$P74), 0, 1), 3, if(ISBLANK('2025'!$Q74), 0, 1), 4, if(ISBLANK('2025'!$R74), 0, 1), 5, if(ISBLANK('2025'!$S74), 0, 1), 6, if(ISBLANK('2025'!$T74), 0, 1), 7, 0))), 1, "")</f>
        <v/>
      </c>
      <c r="H76" s="1" t="str">
        <f>IF(AND(AND(AND(H$4&gt;='2025'!$L74,H$4&lt;='2025'!$M74), H$4&lt;&gt;DATE(2025,7,4)), (SWITCH(weekday(H$4), 1, 0, 2, if(ISBLANK('2025'!$P74), 0, 1), 3, if(ISBLANK('2025'!$Q74), 0, 1), 4, if(ISBLANK('2025'!$R74), 0, 1), 5, if(ISBLANK('2025'!$S74), 0, 1), 6, if(ISBLANK('2025'!$T74), 0, 1), 7, 0))), 1, "")</f>
        <v/>
      </c>
      <c r="I76" s="1" t="str">
        <f>IF(AND(AND(AND(I$4&gt;='2025'!$L74,I$4&lt;='2025'!$M74), I$4&lt;&gt;DATE(2025,7,4)), (SWITCH(weekday(I$4), 1, 0, 2, if(ISBLANK('2025'!$P74), 0, 1), 3, if(ISBLANK('2025'!$Q74), 0, 1), 4, if(ISBLANK('2025'!$R74), 0, 1), 5, if(ISBLANK('2025'!$S74), 0, 1), 6, if(ISBLANK('2025'!$T74), 0, 1), 7, 0))), 1, "")</f>
        <v/>
      </c>
      <c r="J76" s="1" t="str">
        <f>IF(AND(AND(AND(J$4&gt;='2025'!$L74,J$4&lt;='2025'!$M74), J$4&lt;&gt;DATE(2025,7,4)), (SWITCH(weekday(J$4), 1, 0, 2, if(ISBLANK('2025'!$P74), 0, 1), 3, if(ISBLANK('2025'!$Q74), 0, 1), 4, if(ISBLANK('2025'!$R74), 0, 1), 5, if(ISBLANK('2025'!$S74), 0, 1), 6, if(ISBLANK('2025'!$T74), 0, 1), 7, 0))), 1, "")</f>
        <v/>
      </c>
      <c r="K76" s="1" t="str">
        <f>IF(AND(AND(AND(K$4&gt;='2025'!$L74,K$4&lt;='2025'!$M74), K$4&lt;&gt;DATE(2025,7,4)), (SWITCH(weekday(K$4), 1, 0, 2, if(ISBLANK('2025'!$P74), 0, 1), 3, if(ISBLANK('2025'!$Q74), 0, 1), 4, if(ISBLANK('2025'!$R74), 0, 1), 5, if(ISBLANK('2025'!$S74), 0, 1), 6, if(ISBLANK('2025'!$T74), 0, 1), 7, 0))), 1, "")</f>
        <v/>
      </c>
      <c r="L76" s="1" t="str">
        <f>IF(AND(AND(AND(L$4&gt;='2025'!$L74,L$4&lt;='2025'!$M74), L$4&lt;&gt;DATE(2025,7,4)), (SWITCH(weekday(L$4), 1, 0, 2, if(ISBLANK('2025'!$P74), 0, 1), 3, if(ISBLANK('2025'!$Q74), 0, 1), 4, if(ISBLANK('2025'!$R74), 0, 1), 5, if(ISBLANK('2025'!$S74), 0, 1), 6, if(ISBLANK('2025'!$T74), 0, 1), 7, 0))), 1, "")</f>
        <v/>
      </c>
      <c r="M76" s="1" t="str">
        <f>IF(AND(AND(AND(M$4&gt;='2025'!$L74,M$4&lt;='2025'!$M74), M$4&lt;&gt;DATE(2025,7,4)), (SWITCH(weekday(M$4), 1, 0, 2, if(ISBLANK('2025'!$P74), 0, 1), 3, if(ISBLANK('2025'!$Q74), 0, 1), 4, if(ISBLANK('2025'!$R74), 0, 1), 5, if(ISBLANK('2025'!$S74), 0, 1), 6, if(ISBLANK('2025'!$T74), 0, 1), 7, 0))), 1, "")</f>
        <v/>
      </c>
      <c r="N76" s="1" t="str">
        <f>IF(AND(AND(AND(N$4&gt;='2025'!$L74,N$4&lt;='2025'!$M74), N$4&lt;&gt;DATE(2025,7,4)), (SWITCH(weekday(N$4), 1, 0, 2, if(ISBLANK('2025'!$P74), 0, 1), 3, if(ISBLANK('2025'!$Q74), 0, 1), 4, if(ISBLANK('2025'!$R74), 0, 1), 5, if(ISBLANK('2025'!$S74), 0, 1), 6, if(ISBLANK('2025'!$T74), 0, 1), 7, 0))), 1, "")</f>
        <v/>
      </c>
      <c r="O76" s="1" t="str">
        <f>IF(AND(AND(AND(O$4&gt;='2025'!$L74,O$4&lt;='2025'!$M74), O$4&lt;&gt;DATE(2025,7,4)), (SWITCH(weekday(O$4), 1, 0, 2, if(ISBLANK('2025'!$P74), 0, 1), 3, if(ISBLANK('2025'!$Q74), 0, 1), 4, if(ISBLANK('2025'!$R74), 0, 1), 5, if(ISBLANK('2025'!$S74), 0, 1), 6, if(ISBLANK('2025'!$T74), 0, 1), 7, 0))), 1, "")</f>
        <v/>
      </c>
      <c r="P76" s="1" t="str">
        <f>IF(AND(AND(AND(P$4&gt;='2025'!$L74,P$4&lt;='2025'!$M74), P$4&lt;&gt;DATE(2025,7,4)), (SWITCH(weekday(P$4), 1, 0, 2, if(ISBLANK('2025'!$P74), 0, 1), 3, if(ISBLANK('2025'!$Q74), 0, 1), 4, if(ISBLANK('2025'!$R74), 0, 1), 5, if(ISBLANK('2025'!$S74), 0, 1), 6, if(ISBLANK('2025'!$T74), 0, 1), 7, 0))), 1, "")</f>
        <v/>
      </c>
      <c r="Q76" s="1" t="str">
        <f>IF(AND(AND(AND(Q$4&gt;='2025'!$L74,Q$4&lt;='2025'!$M74), Q$4&lt;&gt;DATE(2025,7,4)), (SWITCH(weekday(Q$4), 1, 0, 2, if(ISBLANK('2025'!$P74), 0, 1), 3, if(ISBLANK('2025'!$Q74), 0, 1), 4, if(ISBLANK('2025'!$R74), 0, 1), 5, if(ISBLANK('2025'!$S74), 0, 1), 6, if(ISBLANK('2025'!$T74), 0, 1), 7, 0))), 1, "")</f>
        <v/>
      </c>
      <c r="R76" s="1" t="str">
        <f>IF(AND(AND(AND(R$4&gt;='2025'!$L74,R$4&lt;='2025'!$M74), R$4&lt;&gt;DATE(2025,7,4)), (SWITCH(weekday(R$4), 1, 0, 2, if(ISBLANK('2025'!$P74), 0, 1), 3, if(ISBLANK('2025'!$Q74), 0, 1), 4, if(ISBLANK('2025'!$R74), 0, 1), 5, if(ISBLANK('2025'!$S74), 0, 1), 6, if(ISBLANK('2025'!$T74), 0, 1), 7, 0))), 1, "")</f>
        <v/>
      </c>
      <c r="S76" s="1" t="str">
        <f>IF(AND(AND(AND(S$4&gt;='2025'!$L74,S$4&lt;='2025'!$M74), S$4&lt;&gt;DATE(2025,7,4)), (SWITCH(weekday(S$4), 1, 0, 2, if(ISBLANK('2025'!$P74), 0, 1), 3, if(ISBLANK('2025'!$Q74), 0, 1), 4, if(ISBLANK('2025'!$R74), 0, 1), 5, if(ISBLANK('2025'!$S74), 0, 1), 6, if(ISBLANK('2025'!$T74), 0, 1), 7, 0))), 1, "")</f>
        <v/>
      </c>
      <c r="T76" s="1" t="str">
        <f>IF(AND(AND(AND(T$4&gt;='2025'!$L74,T$4&lt;='2025'!$M74), T$4&lt;&gt;DATE(2025,7,4)), (SWITCH(weekday(T$4), 1, 0, 2, if(ISBLANK('2025'!$P74), 0, 1), 3, if(ISBLANK('2025'!$Q74), 0, 1), 4, if(ISBLANK('2025'!$R74), 0, 1), 5, if(ISBLANK('2025'!$S74), 0, 1), 6, if(ISBLANK('2025'!$T74), 0, 1), 7, 0))), 1, "")</f>
        <v/>
      </c>
      <c r="U76" s="1" t="str">
        <f>IF(AND(AND(AND(U$4&gt;='2025'!$L74,U$4&lt;='2025'!$M74), U$4&lt;&gt;DATE(2025,7,4)), (SWITCH(weekday(U$4), 1, 0, 2, if(ISBLANK('2025'!$P74), 0, 1), 3, if(ISBLANK('2025'!$Q74), 0, 1), 4, if(ISBLANK('2025'!$R74), 0, 1), 5, if(ISBLANK('2025'!$S74), 0, 1), 6, if(ISBLANK('2025'!$T74), 0, 1), 7, 0))), 1, "")</f>
        <v/>
      </c>
      <c r="V76" s="1" t="str">
        <f>IF(AND(AND(AND(V$4&gt;='2025'!$L74,V$4&lt;='2025'!$M74), V$4&lt;&gt;DATE(2025,7,4)), (SWITCH(weekday(V$4), 1, 0, 2, if(ISBLANK('2025'!$P74), 0, 1), 3, if(ISBLANK('2025'!$Q74), 0, 1), 4, if(ISBLANK('2025'!$R74), 0, 1), 5, if(ISBLANK('2025'!$S74), 0, 1), 6, if(ISBLANK('2025'!$T74), 0, 1), 7, 0))), 1, "")</f>
        <v/>
      </c>
      <c r="W76" s="1" t="str">
        <f>IF(AND(AND(AND(W$4&gt;='2025'!$L74,W$4&lt;='2025'!$M74), W$4&lt;&gt;DATE(2025,7,4)), (SWITCH(weekday(W$4), 1, 0, 2, if(ISBLANK('2025'!$P74), 0, 1), 3, if(ISBLANK('2025'!$Q74), 0, 1), 4, if(ISBLANK('2025'!$R74), 0, 1), 5, if(ISBLANK('2025'!$S74), 0, 1), 6, if(ISBLANK('2025'!$T74), 0, 1), 7, 0))), 1, "")</f>
        <v/>
      </c>
      <c r="X76" s="1" t="str">
        <f>IF(AND(AND(AND(X$4&gt;='2025'!$L74,X$4&lt;='2025'!$M74), X$4&lt;&gt;DATE(2025,7,4)), (SWITCH(weekday(X$4), 1, 0, 2, if(ISBLANK('2025'!$P74), 0, 1), 3, if(ISBLANK('2025'!$Q74), 0, 1), 4, if(ISBLANK('2025'!$R74), 0, 1), 5, if(ISBLANK('2025'!$S74), 0, 1), 6, if(ISBLANK('2025'!$T74), 0, 1), 7, 0))), 1, "")</f>
        <v/>
      </c>
      <c r="Y76" s="1" t="str">
        <f>IF(AND(AND(AND(Y$4&gt;='2025'!$L74,Y$4&lt;='2025'!$M74), Y$4&lt;&gt;DATE(2025,7,4)), (SWITCH(weekday(Y$4), 1, 0, 2, if(ISBLANK('2025'!$P74), 0, 1), 3, if(ISBLANK('2025'!$Q74), 0, 1), 4, if(ISBLANK('2025'!$R74), 0, 1), 5, if(ISBLANK('2025'!$S74), 0, 1), 6, if(ISBLANK('2025'!$T74), 0, 1), 7, 0))), 1, "")</f>
        <v/>
      </c>
      <c r="Z76" s="1" t="str">
        <f>IF(AND(AND(AND(Z$4&gt;='2025'!$L74,Z$4&lt;='2025'!$M74), Z$4&lt;&gt;DATE(2025,7,4)), (SWITCH(weekday(Z$4), 1, 0, 2, if(ISBLANK('2025'!$P74), 0, 1), 3, if(ISBLANK('2025'!$Q74), 0, 1), 4, if(ISBLANK('2025'!$R74), 0, 1), 5, if(ISBLANK('2025'!$S74), 0, 1), 6, if(ISBLANK('2025'!$T74), 0, 1), 7, 0))), 1, "")</f>
        <v/>
      </c>
      <c r="AA76" s="1" t="str">
        <f>IF(AND(AND(AND(AA$4&gt;='2025'!$L74,AA$4&lt;='2025'!$M74), AA$4&lt;&gt;DATE(2025,7,4)), (SWITCH(weekday(AA$4), 1, 0, 2, if(ISBLANK('2025'!$P74), 0, 1), 3, if(ISBLANK('2025'!$Q74), 0, 1), 4, if(ISBLANK('2025'!$R74), 0, 1), 5, if(ISBLANK('2025'!$S74), 0, 1), 6, if(ISBLANK('2025'!$T74), 0, 1), 7, 0))), 1, "")</f>
        <v/>
      </c>
      <c r="AB76" s="1" t="str">
        <f>IF(AND(AND(AND(AB$4&gt;='2025'!$L74,AB$4&lt;='2025'!$M74), AB$4&lt;&gt;DATE(2025,7,4)), (SWITCH(weekday(AB$4), 1, 0, 2, if(ISBLANK('2025'!$P74), 0, 1), 3, if(ISBLANK('2025'!$Q74), 0, 1), 4, if(ISBLANK('2025'!$R74), 0, 1), 5, if(ISBLANK('2025'!$S74), 0, 1), 6, if(ISBLANK('2025'!$T74), 0, 1), 7, 0))), 1, "")</f>
        <v/>
      </c>
      <c r="AC76" s="1" t="str">
        <f>IF(AND(AND(AND(AC$4&gt;='2025'!$L74,AC$4&lt;='2025'!$M74), AC$4&lt;&gt;DATE(2025,7,4)), (SWITCH(weekday(AC$4), 1, 0, 2, if(ISBLANK('2025'!$P74), 0, 1), 3, if(ISBLANK('2025'!$Q74), 0, 1), 4, if(ISBLANK('2025'!$R74), 0, 1), 5, if(ISBLANK('2025'!$S74), 0, 1), 6, if(ISBLANK('2025'!$T74), 0, 1), 7, 0))), 1, "")</f>
        <v/>
      </c>
      <c r="AD76" s="1" t="str">
        <f>IF(AND(AND(AND(AD$4&gt;='2025'!$L74,AD$4&lt;='2025'!$M74), AD$4&lt;&gt;DATE(2025,7,4)), (SWITCH(weekday(AD$4), 1, 0, 2, if(ISBLANK('2025'!$P74), 0, 1), 3, if(ISBLANK('2025'!$Q74), 0, 1), 4, if(ISBLANK('2025'!$R74), 0, 1), 5, if(ISBLANK('2025'!$S74), 0, 1), 6, if(ISBLANK('2025'!$T74), 0, 1), 7, 0))), 1, "")</f>
        <v/>
      </c>
      <c r="AE76" s="1" t="str">
        <f>IF(AND(AND(AND(AE$4&gt;='2025'!$L74,AE$4&lt;='2025'!$M74), AE$4&lt;&gt;DATE(2025,7,4)), (SWITCH(weekday(AE$4), 1, 0, 2, if(ISBLANK('2025'!$P74), 0, 1), 3, if(ISBLANK('2025'!$Q74), 0, 1), 4, if(ISBLANK('2025'!$R74), 0, 1), 5, if(ISBLANK('2025'!$S74), 0, 1), 6, if(ISBLANK('2025'!$T74), 0, 1), 7, 0))), 1, "")</f>
        <v/>
      </c>
      <c r="AF76" s="1" t="str">
        <f>IF(AND(AND(AND(AF$4&gt;='2025'!$L74,AF$4&lt;='2025'!$M74), AF$4&lt;&gt;DATE(2025,7,4)), (SWITCH(weekday(AF$4), 1, 0, 2, if(ISBLANK('2025'!$P74), 0, 1), 3, if(ISBLANK('2025'!$Q74), 0, 1), 4, if(ISBLANK('2025'!$R74), 0, 1), 5, if(ISBLANK('2025'!$S74), 0, 1), 6, if(ISBLANK('2025'!$T74), 0, 1), 7, 0))), 1, "")</f>
        <v/>
      </c>
      <c r="AG76" s="1" t="str">
        <f>IF(AND(AND(AND(AG$4&gt;='2025'!$L74,AG$4&lt;='2025'!$M74), AG$4&lt;&gt;DATE(2025,7,4)), (SWITCH(weekday(AG$4), 1, 0, 2, if(ISBLANK('2025'!$P74), 0, 1), 3, if(ISBLANK('2025'!$Q74), 0, 1), 4, if(ISBLANK('2025'!$R74), 0, 1), 5, if(ISBLANK('2025'!$S74), 0, 1), 6, if(ISBLANK('2025'!$T74), 0, 1), 7, 0))), 1, "")</f>
        <v/>
      </c>
      <c r="AH76" s="1" t="str">
        <f>IF(AND(AND(AND(AH$4&gt;='2025'!$L74,AH$4&lt;='2025'!$M74), AH$4&lt;&gt;DATE(2025,7,4)), (SWITCH(weekday(AH$4), 1, 0, 2, if(ISBLANK('2025'!$P74), 0, 1), 3, if(ISBLANK('2025'!$Q74), 0, 1), 4, if(ISBLANK('2025'!$R74), 0, 1), 5, if(ISBLANK('2025'!$S74), 0, 1), 6, if(ISBLANK('2025'!$T74), 0, 1), 7, 0))), 1, "")</f>
        <v/>
      </c>
      <c r="AI76" s="1" t="str">
        <f>IF(AND(AND(AND(AI$4&gt;='2025'!$L74,AI$4&lt;='2025'!$M74), AI$4&lt;&gt;DATE(2025,7,4)), (SWITCH(weekday(AI$4), 1, 0, 2, if(ISBLANK('2025'!$P74), 0, 1), 3, if(ISBLANK('2025'!$Q74), 0, 1), 4, if(ISBLANK('2025'!$R74), 0, 1), 5, if(ISBLANK('2025'!$S74), 0, 1), 6, if(ISBLANK('2025'!$T74), 0, 1), 7, 0))), 1, "")</f>
        <v/>
      </c>
      <c r="AJ76" s="1" t="str">
        <f>IF(AND(AND(AND(AJ$4&gt;='2025'!$L74,AJ$4&lt;='2025'!$M74), AJ$4&lt;&gt;DATE(2025,7,4)), (SWITCH(weekday(AJ$4), 1, 0, 2, if(ISBLANK('2025'!$P74), 0, 1), 3, if(ISBLANK('2025'!$Q74), 0, 1), 4, if(ISBLANK('2025'!$R74), 0, 1), 5, if(ISBLANK('2025'!$S74), 0, 1), 6, if(ISBLANK('2025'!$T74), 0, 1), 7, 0))), 1, "")</f>
        <v/>
      </c>
      <c r="AK76" s="1" t="str">
        <f>IF(AND(AND(AND(AK$4&gt;='2025'!$L74,AK$4&lt;='2025'!$M74), AK$4&lt;&gt;DATE(2025,7,4)), (SWITCH(weekday(AK$4), 1, 0, 2, if(ISBLANK('2025'!$P74), 0, 1), 3, if(ISBLANK('2025'!$Q74), 0, 1), 4, if(ISBLANK('2025'!$R74), 0, 1), 5, if(ISBLANK('2025'!$S74), 0, 1), 6, if(ISBLANK('2025'!$T74), 0, 1), 7, 0))), 1, "")</f>
        <v/>
      </c>
      <c r="AL76" s="1" t="str">
        <f>IF(AND(AND(AND(AL$4&gt;='2025'!$L74,AL$4&lt;='2025'!$M74), AL$4&lt;&gt;DATE(2025,7,4)), (SWITCH(weekday(AL$4), 1, 0, 2, if(ISBLANK('2025'!$P74), 0, 1), 3, if(ISBLANK('2025'!$Q74), 0, 1), 4, if(ISBLANK('2025'!$R74), 0, 1), 5, if(ISBLANK('2025'!$S74), 0, 1), 6, if(ISBLANK('2025'!$T74), 0, 1), 7, 0))), 1, "")</f>
        <v/>
      </c>
      <c r="AM76" s="1" t="str">
        <f>IF(AND(AND(AND(AM$4&gt;='2025'!$L74,AM$4&lt;='2025'!$M74), AM$4&lt;&gt;DATE(2025,7,4)), (SWITCH(weekday(AM$4), 1, 0, 2, if(ISBLANK('2025'!$P74), 0, 1), 3, if(ISBLANK('2025'!$Q74), 0, 1), 4, if(ISBLANK('2025'!$R74), 0, 1), 5, if(ISBLANK('2025'!$S74), 0, 1), 6, if(ISBLANK('2025'!$T74), 0, 1), 7, 0))), 1, "")</f>
        <v/>
      </c>
      <c r="AN76" s="1" t="str">
        <f>IF(AND(AND(AND(AN$4&gt;='2025'!$L74,AN$4&lt;='2025'!$M74), AN$4&lt;&gt;DATE(2025,7,4)), (SWITCH(weekday(AN$4), 1, 0, 2, if(ISBLANK('2025'!$P74), 0, 1), 3, if(ISBLANK('2025'!$Q74), 0, 1), 4, if(ISBLANK('2025'!$R74), 0, 1), 5, if(ISBLANK('2025'!$S74), 0, 1), 6, if(ISBLANK('2025'!$T74), 0, 1), 7, 0))), 1, "")</f>
        <v/>
      </c>
      <c r="AO76" s="1" t="str">
        <f>IF(AND(AND(AND(AO$4&gt;='2025'!$L74,AO$4&lt;='2025'!$M74), AO$4&lt;&gt;DATE(2025,7,4)), (SWITCH(weekday(AO$4), 1, 0, 2, if(ISBLANK('2025'!$P74), 0, 1), 3, if(ISBLANK('2025'!$Q74), 0, 1), 4, if(ISBLANK('2025'!$R74), 0, 1), 5, if(ISBLANK('2025'!$S74), 0, 1), 6, if(ISBLANK('2025'!$T74), 0, 1), 7, 0))), 1, "")</f>
        <v/>
      </c>
      <c r="AP76" s="1" t="str">
        <f>IF(AND(AND(AND(AP$4&gt;='2025'!$L74,AP$4&lt;='2025'!$M74), AP$4&lt;&gt;DATE(2025,7,4)), (SWITCH(weekday(AP$4), 1, 0, 2, if(ISBLANK('2025'!$P74), 0, 1), 3, if(ISBLANK('2025'!$Q74), 0, 1), 4, if(ISBLANK('2025'!$R74), 0, 1), 5, if(ISBLANK('2025'!$S74), 0, 1), 6, if(ISBLANK('2025'!$T74), 0, 1), 7, 0))), 1, "")</f>
        <v/>
      </c>
      <c r="AQ76" s="1" t="str">
        <f>IF(AND(AND(AND(AQ$4&gt;='2025'!$L74,AQ$4&lt;='2025'!$M74), AQ$4&lt;&gt;DATE(2025,7,4)), (SWITCH(weekday(AQ$4), 1, 0, 2, if(ISBLANK('2025'!$P74), 0, 1), 3, if(ISBLANK('2025'!$Q74), 0, 1), 4, if(ISBLANK('2025'!$R74), 0, 1), 5, if(ISBLANK('2025'!$S74), 0, 1), 6, if(ISBLANK('2025'!$T74), 0, 1), 7, 0))), 1, "")</f>
        <v/>
      </c>
      <c r="AR76" s="1" t="str">
        <f>IF(AND(AND(AND(AR$4&gt;='2025'!$L74,AR$4&lt;='2025'!$M74), AR$4&lt;&gt;DATE(2025,7,4)), (SWITCH(weekday(AR$4), 1, 0, 2, if(ISBLANK('2025'!$P74), 0, 1), 3, if(ISBLANK('2025'!$Q74), 0, 1), 4, if(ISBLANK('2025'!$R74), 0, 1), 5, if(ISBLANK('2025'!$S74), 0, 1), 6, if(ISBLANK('2025'!$T74), 0, 1), 7, 0))), 1, "")</f>
        <v/>
      </c>
      <c r="AS76" s="1" t="str">
        <f>IF(AND(AND(AND(AS$4&gt;='2025'!$L74,AS$4&lt;='2025'!$M74), AS$4&lt;&gt;DATE(2025,7,4)), (SWITCH(weekday(AS$4), 1, 0, 2, if(ISBLANK('2025'!$P74), 0, 1), 3, if(ISBLANK('2025'!$Q74), 0, 1), 4, if(ISBLANK('2025'!$R74), 0, 1), 5, if(ISBLANK('2025'!$S74), 0, 1), 6, if(ISBLANK('2025'!$T74), 0, 1), 7, 0))), 1, "")</f>
        <v/>
      </c>
      <c r="AT76" s="1" t="str">
        <f>IF(AND(AND(AND(AT$4&gt;='2025'!$L74,AT$4&lt;='2025'!$M74), AT$4&lt;&gt;DATE(2025,7,4)), (SWITCH(weekday(AT$4), 1, 0, 2, if(ISBLANK('2025'!$P74), 0, 1), 3, if(ISBLANK('2025'!$Q74), 0, 1), 4, if(ISBLANK('2025'!$R74), 0, 1), 5, if(ISBLANK('2025'!$S74), 0, 1), 6, if(ISBLANK('2025'!$T74), 0, 1), 7, 0))), 1, "")</f>
        <v/>
      </c>
      <c r="AU76" s="1" t="str">
        <f>IF(AND(AND(AND(AU$4&gt;='2025'!$L74,AU$4&lt;='2025'!$M74), AU$4&lt;&gt;DATE(2025,7,4)), (SWITCH(weekday(AU$4), 1, 0, 2, if(ISBLANK('2025'!$P74), 0, 1), 3, if(ISBLANK('2025'!$Q74), 0, 1), 4, if(ISBLANK('2025'!$R74), 0, 1), 5, if(ISBLANK('2025'!$S74), 0, 1), 6, if(ISBLANK('2025'!$T74), 0, 1), 7, 0))), 1, "")</f>
        <v/>
      </c>
      <c r="AV76" s="1" t="str">
        <f>IF(AND(AND(AND(AV$4&gt;='2025'!$L74,AV$4&lt;='2025'!$M74), AV$4&lt;&gt;DATE(2025,7,4)), (SWITCH(weekday(AV$4), 1, 0, 2, if(ISBLANK('2025'!$P74), 0, 1), 3, if(ISBLANK('2025'!$Q74), 0, 1), 4, if(ISBLANK('2025'!$R74), 0, 1), 5, if(ISBLANK('2025'!$S74), 0, 1), 6, if(ISBLANK('2025'!$T74), 0, 1), 7, 0))), 1, "")</f>
        <v/>
      </c>
      <c r="AW76" s="1" t="str">
        <f>IF(AND(AND(AND(AW$4&gt;='2025'!$L74,AW$4&lt;='2025'!$M74), AW$4&lt;&gt;DATE(2025,7,4)), (SWITCH(weekday(AW$4), 1, 0, 2, if(ISBLANK('2025'!$P74), 0, 1), 3, if(ISBLANK('2025'!$Q74), 0, 1), 4, if(ISBLANK('2025'!$R74), 0, 1), 5, if(ISBLANK('2025'!$S74), 0, 1), 6, if(ISBLANK('2025'!$T74), 0, 1), 7, 0))), 1, "")</f>
        <v/>
      </c>
      <c r="AX76" s="1" t="str">
        <f>IF(AND(AND(AND(AX$4&gt;='2025'!$L74,AX$4&lt;='2025'!$M74), AX$4&lt;&gt;DATE(2025,7,4)), (SWITCH(weekday(AX$4), 1, 0, 2, if(ISBLANK('2025'!$P74), 0, 1), 3, if(ISBLANK('2025'!$Q74), 0, 1), 4, if(ISBLANK('2025'!$R74), 0, 1), 5, if(ISBLANK('2025'!$S74), 0, 1), 6, if(ISBLANK('2025'!$T74), 0, 1), 7, 0))), 1, "")</f>
        <v/>
      </c>
      <c r="AY76" s="1" t="str">
        <f>IF(AND(AND(AND(AY$4&gt;='2025'!$L74,AY$4&lt;='2025'!$M74), AY$4&lt;&gt;DATE(2025,7,4)), (SWITCH(weekday(AY$4), 1, 0, 2, if(ISBLANK('2025'!$P74), 0, 1), 3, if(ISBLANK('2025'!$Q74), 0, 1), 4, if(ISBLANK('2025'!$R74), 0, 1), 5, if(ISBLANK('2025'!$S74), 0, 1), 6, if(ISBLANK('2025'!$T74), 0, 1), 7, 0))), 1, "")</f>
        <v/>
      </c>
      <c r="AZ76" s="1" t="str">
        <f>IF(AND(AND(AND(AZ$4&gt;='2025'!$L74,AZ$4&lt;='2025'!$M74), AZ$4&lt;&gt;DATE(2025,7,4)), (SWITCH(weekday(AZ$4), 1, 0, 2, if(ISBLANK('2025'!$P74), 0, 1), 3, if(ISBLANK('2025'!$Q74), 0, 1), 4, if(ISBLANK('2025'!$R74), 0, 1), 5, if(ISBLANK('2025'!$S74), 0, 1), 6, if(ISBLANK('2025'!$T74), 0, 1), 7, 0))), 1, "")</f>
        <v/>
      </c>
      <c r="BA76" s="1" t="str">
        <f>IF(AND(AND(AND(BA$4&gt;='2025'!$L74,BA$4&lt;='2025'!$M74), BA$4&lt;&gt;DATE(2025,7,4)), (SWITCH(weekday(BA$4), 1, 0, 2, if(ISBLANK('2025'!$P74), 0, 1), 3, if(ISBLANK('2025'!$Q74), 0, 1), 4, if(ISBLANK('2025'!$R74), 0, 1), 5, if(ISBLANK('2025'!$S74), 0, 1), 6, if(ISBLANK('2025'!$T74), 0, 1), 7, 0))), 1, "")</f>
        <v/>
      </c>
      <c r="BB76" s="1" t="str">
        <f>IF(AND(AND(AND(BB$4&gt;='2025'!$L74,BB$4&lt;='2025'!$M74), BB$4&lt;&gt;DATE(2025,7,4)), (SWITCH(weekday(BB$4), 1, 0, 2, if(ISBLANK('2025'!$P74), 0, 1), 3, if(ISBLANK('2025'!$Q74), 0, 1), 4, if(ISBLANK('2025'!$R74), 0, 1), 5, if(ISBLANK('2025'!$S74), 0, 1), 6, if(ISBLANK('2025'!$T74), 0, 1), 7, 0))), 1, "")</f>
        <v/>
      </c>
      <c r="BC76" s="1" t="str">
        <f>IF(AND(AND(AND(BC$4&gt;='2025'!$L74,BC$4&lt;='2025'!$M74), BC$4&lt;&gt;DATE(2025,7,4)), (SWITCH(weekday(BC$4), 1, 0, 2, if(ISBLANK('2025'!$P74), 0, 1), 3, if(ISBLANK('2025'!$Q74), 0, 1), 4, if(ISBLANK('2025'!$R74), 0, 1), 5, if(ISBLANK('2025'!$S74), 0, 1), 6, if(ISBLANK('2025'!$T74), 0, 1), 7, 0))), 1, "")</f>
        <v/>
      </c>
      <c r="BD76" s="1" t="str">
        <f>IF(AND(AND(AND(BD$4&gt;='2025'!$L74,BD$4&lt;='2025'!$M74), BD$4&lt;&gt;DATE(2025,7,4)), (SWITCH(weekday(BD$4), 1, 0, 2, if(ISBLANK('2025'!$P74), 0, 1), 3, if(ISBLANK('2025'!$Q74), 0, 1), 4, if(ISBLANK('2025'!$R74), 0, 1), 5, if(ISBLANK('2025'!$S74), 0, 1), 6, if(ISBLANK('2025'!$T74), 0, 1), 7, 0))), 1, "")</f>
        <v/>
      </c>
      <c r="BE76" s="1" t="str">
        <f>IF(AND(AND(AND(BE$4&gt;='2025'!$L74,BE$4&lt;='2025'!$M74), BE$4&lt;&gt;DATE(2025,7,4)), (SWITCH(weekday(BE$4), 1, 0, 2, if(ISBLANK('2025'!$P74), 0, 1), 3, if(ISBLANK('2025'!$Q74), 0, 1), 4, if(ISBLANK('2025'!$R74), 0, 1), 5, if(ISBLANK('2025'!$S74), 0, 1), 6, if(ISBLANK('2025'!$T74), 0, 1), 7, 0))), 1, "")</f>
        <v/>
      </c>
      <c r="BF76" s="1" t="str">
        <f>IF(AND(AND(AND(BF$4&gt;='2025'!$L74,BF$4&lt;='2025'!$M74), BF$4&lt;&gt;DATE(2025,7,4)), (SWITCH(weekday(BF$4), 1, 0, 2, if(ISBLANK('2025'!$P74), 0, 1), 3, if(ISBLANK('2025'!$Q74), 0, 1), 4, if(ISBLANK('2025'!$R74), 0, 1), 5, if(ISBLANK('2025'!$S74), 0, 1), 6, if(ISBLANK('2025'!$T74), 0, 1), 7, 0))), 1, "")</f>
        <v/>
      </c>
      <c r="BG76" s="1"/>
      <c r="BH76" s="1"/>
      <c r="BI76" s="1"/>
      <c r="BJ76" s="1"/>
      <c r="BK76" s="1"/>
      <c r="BL76" s="1"/>
    </row>
    <row r="77">
      <c r="A77" s="1">
        <f t="shared" si="3"/>
        <v>77</v>
      </c>
      <c r="B77" s="1" t="str">
        <f>'2025'!D43</f>
        <v>Leung, Lana</v>
      </c>
      <c r="C77" s="1" t="str">
        <f>'2025'!H43</f>
        <v>TOD</v>
      </c>
      <c r="D77" s="1" t="str">
        <f>IF(AND(AND(AND(D$4&gt;='2025'!$L75,D$4&lt;='2025'!$M75), D$4&lt;&gt;DATE(2025,7,4)), (SWITCH(weekday(D$4), 1, 0, 2, if(ISBLANK('2025'!$P75), 0, 1), 3, if(ISBLANK('2025'!$Q75), 0, 1), 4, if(ISBLANK('2025'!$R75), 0, 1), 5, if(ISBLANK('2025'!$S75), 0, 1), 6, if(ISBLANK('2025'!$T75), 0, 1), 7, 0))), 1, "")</f>
        <v/>
      </c>
      <c r="E77" s="1" t="str">
        <f>IF(AND(AND(AND(E$4&gt;='2025'!$L75,E$4&lt;='2025'!$M75), E$4&lt;&gt;DATE(2025,7,4)), (SWITCH(weekday(E$4), 1, 0, 2, if(ISBLANK('2025'!$P75), 0, 1), 3, if(ISBLANK('2025'!$Q75), 0, 1), 4, if(ISBLANK('2025'!$R75), 0, 1), 5, if(ISBLANK('2025'!$S75), 0, 1), 6, if(ISBLANK('2025'!$T75), 0, 1), 7, 0))), 1, "")</f>
        <v/>
      </c>
      <c r="F77" s="1" t="str">
        <f>IF(AND(AND(AND(F$4&gt;='2025'!$L75,F$4&lt;='2025'!$M75), F$4&lt;&gt;DATE(2025,7,4)), (SWITCH(weekday(F$4), 1, 0, 2, if(ISBLANK('2025'!$P75), 0, 1), 3, if(ISBLANK('2025'!$Q75), 0, 1), 4, if(ISBLANK('2025'!$R75), 0, 1), 5, if(ISBLANK('2025'!$S75), 0, 1), 6, if(ISBLANK('2025'!$T75), 0, 1), 7, 0))), 1, "")</f>
        <v/>
      </c>
      <c r="G77" s="1" t="str">
        <f>IF(AND(AND(AND(G$4&gt;='2025'!$L75,G$4&lt;='2025'!$M75), G$4&lt;&gt;DATE(2025,7,4)), (SWITCH(weekday(G$4), 1, 0, 2, if(ISBLANK('2025'!$P75), 0, 1), 3, if(ISBLANK('2025'!$Q75), 0, 1), 4, if(ISBLANK('2025'!$R75), 0, 1), 5, if(ISBLANK('2025'!$S75), 0, 1), 6, if(ISBLANK('2025'!$T75), 0, 1), 7, 0))), 1, "")</f>
        <v/>
      </c>
      <c r="H77" s="1" t="str">
        <f>IF(AND(AND(AND(H$4&gt;='2025'!$L75,H$4&lt;='2025'!$M75), H$4&lt;&gt;DATE(2025,7,4)), (SWITCH(weekday(H$4), 1, 0, 2, if(ISBLANK('2025'!$P75), 0, 1), 3, if(ISBLANK('2025'!$Q75), 0, 1), 4, if(ISBLANK('2025'!$R75), 0, 1), 5, if(ISBLANK('2025'!$S75), 0, 1), 6, if(ISBLANK('2025'!$T75), 0, 1), 7, 0))), 1, "")</f>
        <v/>
      </c>
      <c r="I77" s="1" t="str">
        <f>IF(AND(AND(AND(I$4&gt;='2025'!$L75,I$4&lt;='2025'!$M75), I$4&lt;&gt;DATE(2025,7,4)), (SWITCH(weekday(I$4), 1, 0, 2, if(ISBLANK('2025'!$P75), 0, 1), 3, if(ISBLANK('2025'!$Q75), 0, 1), 4, if(ISBLANK('2025'!$R75), 0, 1), 5, if(ISBLANK('2025'!$S75), 0, 1), 6, if(ISBLANK('2025'!$T75), 0, 1), 7, 0))), 1, "")</f>
        <v/>
      </c>
      <c r="J77" s="1" t="str">
        <f>IF(AND(AND(AND(J$4&gt;='2025'!$L75,J$4&lt;='2025'!$M75), J$4&lt;&gt;DATE(2025,7,4)), (SWITCH(weekday(J$4), 1, 0, 2, if(ISBLANK('2025'!$P75), 0, 1), 3, if(ISBLANK('2025'!$Q75), 0, 1), 4, if(ISBLANK('2025'!$R75), 0, 1), 5, if(ISBLANK('2025'!$S75), 0, 1), 6, if(ISBLANK('2025'!$T75), 0, 1), 7, 0))), 1, "")</f>
        <v/>
      </c>
      <c r="K77" s="1" t="str">
        <f>IF(AND(AND(AND(K$4&gt;='2025'!$L75,K$4&lt;='2025'!$M75), K$4&lt;&gt;DATE(2025,7,4)), (SWITCH(weekday(K$4), 1, 0, 2, if(ISBLANK('2025'!$P75), 0, 1), 3, if(ISBLANK('2025'!$Q75), 0, 1), 4, if(ISBLANK('2025'!$R75), 0, 1), 5, if(ISBLANK('2025'!$S75), 0, 1), 6, if(ISBLANK('2025'!$T75), 0, 1), 7, 0))), 1, "")</f>
        <v/>
      </c>
      <c r="L77" s="1" t="str">
        <f>IF(AND(AND(AND(L$4&gt;='2025'!$L75,L$4&lt;='2025'!$M75), L$4&lt;&gt;DATE(2025,7,4)), (SWITCH(weekday(L$4), 1, 0, 2, if(ISBLANK('2025'!$P75), 0, 1), 3, if(ISBLANK('2025'!$Q75), 0, 1), 4, if(ISBLANK('2025'!$R75), 0, 1), 5, if(ISBLANK('2025'!$S75), 0, 1), 6, if(ISBLANK('2025'!$T75), 0, 1), 7, 0))), 1, "")</f>
        <v/>
      </c>
      <c r="M77" s="1" t="str">
        <f>IF(AND(AND(AND(M$4&gt;='2025'!$L75,M$4&lt;='2025'!$M75), M$4&lt;&gt;DATE(2025,7,4)), (SWITCH(weekday(M$4), 1, 0, 2, if(ISBLANK('2025'!$P75), 0, 1), 3, if(ISBLANK('2025'!$Q75), 0, 1), 4, if(ISBLANK('2025'!$R75), 0, 1), 5, if(ISBLANK('2025'!$S75), 0, 1), 6, if(ISBLANK('2025'!$T75), 0, 1), 7, 0))), 1, "")</f>
        <v/>
      </c>
      <c r="N77" s="1" t="str">
        <f>IF(AND(AND(AND(N$4&gt;='2025'!$L75,N$4&lt;='2025'!$M75), N$4&lt;&gt;DATE(2025,7,4)), (SWITCH(weekday(N$4), 1, 0, 2, if(ISBLANK('2025'!$P75), 0, 1), 3, if(ISBLANK('2025'!$Q75), 0, 1), 4, if(ISBLANK('2025'!$R75), 0, 1), 5, if(ISBLANK('2025'!$S75), 0, 1), 6, if(ISBLANK('2025'!$T75), 0, 1), 7, 0))), 1, "")</f>
        <v/>
      </c>
      <c r="O77" s="1" t="str">
        <f>IF(AND(AND(AND(O$4&gt;='2025'!$L75,O$4&lt;='2025'!$M75), O$4&lt;&gt;DATE(2025,7,4)), (SWITCH(weekday(O$4), 1, 0, 2, if(ISBLANK('2025'!$P75), 0, 1), 3, if(ISBLANK('2025'!$Q75), 0, 1), 4, if(ISBLANK('2025'!$R75), 0, 1), 5, if(ISBLANK('2025'!$S75), 0, 1), 6, if(ISBLANK('2025'!$T75), 0, 1), 7, 0))), 1, "")</f>
        <v/>
      </c>
      <c r="P77" s="1" t="str">
        <f>IF(AND(AND(AND(P$4&gt;='2025'!$L75,P$4&lt;='2025'!$M75), P$4&lt;&gt;DATE(2025,7,4)), (SWITCH(weekday(P$4), 1, 0, 2, if(ISBLANK('2025'!$P75), 0, 1), 3, if(ISBLANK('2025'!$Q75), 0, 1), 4, if(ISBLANK('2025'!$R75), 0, 1), 5, if(ISBLANK('2025'!$S75), 0, 1), 6, if(ISBLANK('2025'!$T75), 0, 1), 7, 0))), 1, "")</f>
        <v/>
      </c>
      <c r="Q77" s="1" t="str">
        <f>IF(AND(AND(AND(Q$4&gt;='2025'!$L75,Q$4&lt;='2025'!$M75), Q$4&lt;&gt;DATE(2025,7,4)), (SWITCH(weekday(Q$4), 1, 0, 2, if(ISBLANK('2025'!$P75), 0, 1), 3, if(ISBLANK('2025'!$Q75), 0, 1), 4, if(ISBLANK('2025'!$R75), 0, 1), 5, if(ISBLANK('2025'!$S75), 0, 1), 6, if(ISBLANK('2025'!$T75), 0, 1), 7, 0))), 1, "")</f>
        <v/>
      </c>
      <c r="R77" s="1" t="str">
        <f>IF(AND(AND(AND(R$4&gt;='2025'!$L75,R$4&lt;='2025'!$M75), R$4&lt;&gt;DATE(2025,7,4)), (SWITCH(weekday(R$4), 1, 0, 2, if(ISBLANK('2025'!$P75), 0, 1), 3, if(ISBLANK('2025'!$Q75), 0, 1), 4, if(ISBLANK('2025'!$R75), 0, 1), 5, if(ISBLANK('2025'!$S75), 0, 1), 6, if(ISBLANK('2025'!$T75), 0, 1), 7, 0))), 1, "")</f>
        <v/>
      </c>
      <c r="S77" s="1" t="str">
        <f>IF(AND(AND(AND(S$4&gt;='2025'!$L75,S$4&lt;='2025'!$M75), S$4&lt;&gt;DATE(2025,7,4)), (SWITCH(weekday(S$4), 1, 0, 2, if(ISBLANK('2025'!$P75), 0, 1), 3, if(ISBLANK('2025'!$Q75), 0, 1), 4, if(ISBLANK('2025'!$R75), 0, 1), 5, if(ISBLANK('2025'!$S75), 0, 1), 6, if(ISBLANK('2025'!$T75), 0, 1), 7, 0))), 1, "")</f>
        <v/>
      </c>
      <c r="T77" s="1" t="str">
        <f>IF(AND(AND(AND(T$4&gt;='2025'!$L75,T$4&lt;='2025'!$M75), T$4&lt;&gt;DATE(2025,7,4)), (SWITCH(weekday(T$4), 1, 0, 2, if(ISBLANK('2025'!$P75), 0, 1), 3, if(ISBLANK('2025'!$Q75), 0, 1), 4, if(ISBLANK('2025'!$R75), 0, 1), 5, if(ISBLANK('2025'!$S75), 0, 1), 6, if(ISBLANK('2025'!$T75), 0, 1), 7, 0))), 1, "")</f>
        <v/>
      </c>
      <c r="U77" s="1" t="str">
        <f>IF(AND(AND(AND(U$4&gt;='2025'!$L75,U$4&lt;='2025'!$M75), U$4&lt;&gt;DATE(2025,7,4)), (SWITCH(weekday(U$4), 1, 0, 2, if(ISBLANK('2025'!$P75), 0, 1), 3, if(ISBLANK('2025'!$Q75), 0, 1), 4, if(ISBLANK('2025'!$R75), 0, 1), 5, if(ISBLANK('2025'!$S75), 0, 1), 6, if(ISBLANK('2025'!$T75), 0, 1), 7, 0))), 1, "")</f>
        <v/>
      </c>
      <c r="V77" s="1" t="str">
        <f>IF(AND(AND(AND(V$4&gt;='2025'!$L75,V$4&lt;='2025'!$M75), V$4&lt;&gt;DATE(2025,7,4)), (SWITCH(weekday(V$4), 1, 0, 2, if(ISBLANK('2025'!$P75), 0, 1), 3, if(ISBLANK('2025'!$Q75), 0, 1), 4, if(ISBLANK('2025'!$R75), 0, 1), 5, if(ISBLANK('2025'!$S75), 0, 1), 6, if(ISBLANK('2025'!$T75), 0, 1), 7, 0))), 1, "")</f>
        <v/>
      </c>
      <c r="W77" s="1" t="str">
        <f>IF(AND(AND(AND(W$4&gt;='2025'!$L75,W$4&lt;='2025'!$M75), W$4&lt;&gt;DATE(2025,7,4)), (SWITCH(weekday(W$4), 1, 0, 2, if(ISBLANK('2025'!$P75), 0, 1), 3, if(ISBLANK('2025'!$Q75), 0, 1), 4, if(ISBLANK('2025'!$R75), 0, 1), 5, if(ISBLANK('2025'!$S75), 0, 1), 6, if(ISBLANK('2025'!$T75), 0, 1), 7, 0))), 1, "")</f>
        <v/>
      </c>
      <c r="X77" s="1" t="str">
        <f>IF(AND(AND(AND(X$4&gt;='2025'!$L75,X$4&lt;='2025'!$M75), X$4&lt;&gt;DATE(2025,7,4)), (SWITCH(weekday(X$4), 1, 0, 2, if(ISBLANK('2025'!$P75), 0, 1), 3, if(ISBLANK('2025'!$Q75), 0, 1), 4, if(ISBLANK('2025'!$R75), 0, 1), 5, if(ISBLANK('2025'!$S75), 0, 1), 6, if(ISBLANK('2025'!$T75), 0, 1), 7, 0))), 1, "")</f>
        <v/>
      </c>
      <c r="Y77" s="1" t="str">
        <f>IF(AND(AND(AND(Y$4&gt;='2025'!$L75,Y$4&lt;='2025'!$M75), Y$4&lt;&gt;DATE(2025,7,4)), (SWITCH(weekday(Y$4), 1, 0, 2, if(ISBLANK('2025'!$P75), 0, 1), 3, if(ISBLANK('2025'!$Q75), 0, 1), 4, if(ISBLANK('2025'!$R75), 0, 1), 5, if(ISBLANK('2025'!$S75), 0, 1), 6, if(ISBLANK('2025'!$T75), 0, 1), 7, 0))), 1, "")</f>
        <v/>
      </c>
      <c r="Z77" s="1" t="str">
        <f>IF(AND(AND(AND(Z$4&gt;='2025'!$L75,Z$4&lt;='2025'!$M75), Z$4&lt;&gt;DATE(2025,7,4)), (SWITCH(weekday(Z$4), 1, 0, 2, if(ISBLANK('2025'!$P75), 0, 1), 3, if(ISBLANK('2025'!$Q75), 0, 1), 4, if(ISBLANK('2025'!$R75), 0, 1), 5, if(ISBLANK('2025'!$S75), 0, 1), 6, if(ISBLANK('2025'!$T75), 0, 1), 7, 0))), 1, "")</f>
        <v/>
      </c>
      <c r="AA77" s="1" t="str">
        <f>IF(AND(AND(AND(AA$4&gt;='2025'!$L75,AA$4&lt;='2025'!$M75), AA$4&lt;&gt;DATE(2025,7,4)), (SWITCH(weekday(AA$4), 1, 0, 2, if(ISBLANK('2025'!$P75), 0, 1), 3, if(ISBLANK('2025'!$Q75), 0, 1), 4, if(ISBLANK('2025'!$R75), 0, 1), 5, if(ISBLANK('2025'!$S75), 0, 1), 6, if(ISBLANK('2025'!$T75), 0, 1), 7, 0))), 1, "")</f>
        <v/>
      </c>
      <c r="AB77" s="1" t="str">
        <f>IF(AND(AND(AND(AB$4&gt;='2025'!$L75,AB$4&lt;='2025'!$M75), AB$4&lt;&gt;DATE(2025,7,4)), (SWITCH(weekday(AB$4), 1, 0, 2, if(ISBLANK('2025'!$P75), 0, 1), 3, if(ISBLANK('2025'!$Q75), 0, 1), 4, if(ISBLANK('2025'!$R75), 0, 1), 5, if(ISBLANK('2025'!$S75), 0, 1), 6, if(ISBLANK('2025'!$T75), 0, 1), 7, 0))), 1, "")</f>
        <v/>
      </c>
      <c r="AC77" s="1" t="str">
        <f>IF(AND(AND(AND(AC$4&gt;='2025'!$L75,AC$4&lt;='2025'!$M75), AC$4&lt;&gt;DATE(2025,7,4)), (SWITCH(weekday(AC$4), 1, 0, 2, if(ISBLANK('2025'!$P75), 0, 1), 3, if(ISBLANK('2025'!$Q75), 0, 1), 4, if(ISBLANK('2025'!$R75), 0, 1), 5, if(ISBLANK('2025'!$S75), 0, 1), 6, if(ISBLANK('2025'!$T75), 0, 1), 7, 0))), 1, "")</f>
        <v/>
      </c>
      <c r="AD77" s="1" t="str">
        <f>IF(AND(AND(AND(AD$4&gt;='2025'!$L75,AD$4&lt;='2025'!$M75), AD$4&lt;&gt;DATE(2025,7,4)), (SWITCH(weekday(AD$4), 1, 0, 2, if(ISBLANK('2025'!$P75), 0, 1), 3, if(ISBLANK('2025'!$Q75), 0, 1), 4, if(ISBLANK('2025'!$R75), 0, 1), 5, if(ISBLANK('2025'!$S75), 0, 1), 6, if(ISBLANK('2025'!$T75), 0, 1), 7, 0))), 1, "")</f>
        <v/>
      </c>
      <c r="AE77" s="1" t="str">
        <f>IF(AND(AND(AND(AE$4&gt;='2025'!$L75,AE$4&lt;='2025'!$M75), AE$4&lt;&gt;DATE(2025,7,4)), (SWITCH(weekday(AE$4), 1, 0, 2, if(ISBLANK('2025'!$P75), 0, 1), 3, if(ISBLANK('2025'!$Q75), 0, 1), 4, if(ISBLANK('2025'!$R75), 0, 1), 5, if(ISBLANK('2025'!$S75), 0, 1), 6, if(ISBLANK('2025'!$T75), 0, 1), 7, 0))), 1, "")</f>
        <v/>
      </c>
      <c r="AF77" s="1" t="str">
        <f>IF(AND(AND(AND(AF$4&gt;='2025'!$L75,AF$4&lt;='2025'!$M75), AF$4&lt;&gt;DATE(2025,7,4)), (SWITCH(weekday(AF$4), 1, 0, 2, if(ISBLANK('2025'!$P75), 0, 1), 3, if(ISBLANK('2025'!$Q75), 0, 1), 4, if(ISBLANK('2025'!$R75), 0, 1), 5, if(ISBLANK('2025'!$S75), 0, 1), 6, if(ISBLANK('2025'!$T75), 0, 1), 7, 0))), 1, "")</f>
        <v/>
      </c>
      <c r="AG77" s="1" t="str">
        <f>IF(AND(AND(AND(AG$4&gt;='2025'!$L75,AG$4&lt;='2025'!$M75), AG$4&lt;&gt;DATE(2025,7,4)), (SWITCH(weekday(AG$4), 1, 0, 2, if(ISBLANK('2025'!$P75), 0, 1), 3, if(ISBLANK('2025'!$Q75), 0, 1), 4, if(ISBLANK('2025'!$R75), 0, 1), 5, if(ISBLANK('2025'!$S75), 0, 1), 6, if(ISBLANK('2025'!$T75), 0, 1), 7, 0))), 1, "")</f>
        <v/>
      </c>
      <c r="AH77" s="1" t="str">
        <f>IF(AND(AND(AND(AH$4&gt;='2025'!$L75,AH$4&lt;='2025'!$M75), AH$4&lt;&gt;DATE(2025,7,4)), (SWITCH(weekday(AH$4), 1, 0, 2, if(ISBLANK('2025'!$P75), 0, 1), 3, if(ISBLANK('2025'!$Q75), 0, 1), 4, if(ISBLANK('2025'!$R75), 0, 1), 5, if(ISBLANK('2025'!$S75), 0, 1), 6, if(ISBLANK('2025'!$T75), 0, 1), 7, 0))), 1, "")</f>
        <v/>
      </c>
      <c r="AI77" s="1" t="str">
        <f>IF(AND(AND(AND(AI$4&gt;='2025'!$L75,AI$4&lt;='2025'!$M75), AI$4&lt;&gt;DATE(2025,7,4)), (SWITCH(weekday(AI$4), 1, 0, 2, if(ISBLANK('2025'!$P75), 0, 1), 3, if(ISBLANK('2025'!$Q75), 0, 1), 4, if(ISBLANK('2025'!$R75), 0, 1), 5, if(ISBLANK('2025'!$S75), 0, 1), 6, if(ISBLANK('2025'!$T75), 0, 1), 7, 0))), 1, "")</f>
        <v/>
      </c>
      <c r="AJ77" s="1" t="str">
        <f>IF(AND(AND(AND(AJ$4&gt;='2025'!$L75,AJ$4&lt;='2025'!$M75), AJ$4&lt;&gt;DATE(2025,7,4)), (SWITCH(weekday(AJ$4), 1, 0, 2, if(ISBLANK('2025'!$P75), 0, 1), 3, if(ISBLANK('2025'!$Q75), 0, 1), 4, if(ISBLANK('2025'!$R75), 0, 1), 5, if(ISBLANK('2025'!$S75), 0, 1), 6, if(ISBLANK('2025'!$T75), 0, 1), 7, 0))), 1, "")</f>
        <v/>
      </c>
      <c r="AK77" s="1" t="str">
        <f>IF(AND(AND(AND(AK$4&gt;='2025'!$L75,AK$4&lt;='2025'!$M75), AK$4&lt;&gt;DATE(2025,7,4)), (SWITCH(weekday(AK$4), 1, 0, 2, if(ISBLANK('2025'!$P75), 0, 1), 3, if(ISBLANK('2025'!$Q75), 0, 1), 4, if(ISBLANK('2025'!$R75), 0, 1), 5, if(ISBLANK('2025'!$S75), 0, 1), 6, if(ISBLANK('2025'!$T75), 0, 1), 7, 0))), 1, "")</f>
        <v/>
      </c>
      <c r="AL77" s="1" t="str">
        <f>IF(AND(AND(AND(AL$4&gt;='2025'!$L75,AL$4&lt;='2025'!$M75), AL$4&lt;&gt;DATE(2025,7,4)), (SWITCH(weekday(AL$4), 1, 0, 2, if(ISBLANK('2025'!$P75), 0, 1), 3, if(ISBLANK('2025'!$Q75), 0, 1), 4, if(ISBLANK('2025'!$R75), 0, 1), 5, if(ISBLANK('2025'!$S75), 0, 1), 6, if(ISBLANK('2025'!$T75), 0, 1), 7, 0))), 1, "")</f>
        <v/>
      </c>
      <c r="AM77" s="1" t="str">
        <f>IF(AND(AND(AND(AM$4&gt;='2025'!$L75,AM$4&lt;='2025'!$M75), AM$4&lt;&gt;DATE(2025,7,4)), (SWITCH(weekday(AM$4), 1, 0, 2, if(ISBLANK('2025'!$P75), 0, 1), 3, if(ISBLANK('2025'!$Q75), 0, 1), 4, if(ISBLANK('2025'!$R75), 0, 1), 5, if(ISBLANK('2025'!$S75), 0, 1), 6, if(ISBLANK('2025'!$T75), 0, 1), 7, 0))), 1, "")</f>
        <v/>
      </c>
      <c r="AN77" s="1" t="str">
        <f>IF(AND(AND(AND(AN$4&gt;='2025'!$L75,AN$4&lt;='2025'!$M75), AN$4&lt;&gt;DATE(2025,7,4)), (SWITCH(weekday(AN$4), 1, 0, 2, if(ISBLANK('2025'!$P75), 0, 1), 3, if(ISBLANK('2025'!$Q75), 0, 1), 4, if(ISBLANK('2025'!$R75), 0, 1), 5, if(ISBLANK('2025'!$S75), 0, 1), 6, if(ISBLANK('2025'!$T75), 0, 1), 7, 0))), 1, "")</f>
        <v/>
      </c>
      <c r="AO77" s="1" t="str">
        <f>IF(AND(AND(AND(AO$4&gt;='2025'!$L75,AO$4&lt;='2025'!$M75), AO$4&lt;&gt;DATE(2025,7,4)), (SWITCH(weekday(AO$4), 1, 0, 2, if(ISBLANK('2025'!$P75), 0, 1), 3, if(ISBLANK('2025'!$Q75), 0, 1), 4, if(ISBLANK('2025'!$R75), 0, 1), 5, if(ISBLANK('2025'!$S75), 0, 1), 6, if(ISBLANK('2025'!$T75), 0, 1), 7, 0))), 1, "")</f>
        <v/>
      </c>
      <c r="AP77" s="1" t="str">
        <f>IF(AND(AND(AND(AP$4&gt;='2025'!$L75,AP$4&lt;='2025'!$M75), AP$4&lt;&gt;DATE(2025,7,4)), (SWITCH(weekday(AP$4), 1, 0, 2, if(ISBLANK('2025'!$P75), 0, 1), 3, if(ISBLANK('2025'!$Q75), 0, 1), 4, if(ISBLANK('2025'!$R75), 0, 1), 5, if(ISBLANK('2025'!$S75), 0, 1), 6, if(ISBLANK('2025'!$T75), 0, 1), 7, 0))), 1, "")</f>
        <v/>
      </c>
      <c r="AQ77" s="1" t="str">
        <f>IF(AND(AND(AND(AQ$4&gt;='2025'!$L75,AQ$4&lt;='2025'!$M75), AQ$4&lt;&gt;DATE(2025,7,4)), (SWITCH(weekday(AQ$4), 1, 0, 2, if(ISBLANK('2025'!$P75), 0, 1), 3, if(ISBLANK('2025'!$Q75), 0, 1), 4, if(ISBLANK('2025'!$R75), 0, 1), 5, if(ISBLANK('2025'!$S75), 0, 1), 6, if(ISBLANK('2025'!$T75), 0, 1), 7, 0))), 1, "")</f>
        <v/>
      </c>
      <c r="AR77" s="1" t="str">
        <f>IF(AND(AND(AND(AR$4&gt;='2025'!$L75,AR$4&lt;='2025'!$M75), AR$4&lt;&gt;DATE(2025,7,4)), (SWITCH(weekday(AR$4), 1, 0, 2, if(ISBLANK('2025'!$P75), 0, 1), 3, if(ISBLANK('2025'!$Q75), 0, 1), 4, if(ISBLANK('2025'!$R75), 0, 1), 5, if(ISBLANK('2025'!$S75), 0, 1), 6, if(ISBLANK('2025'!$T75), 0, 1), 7, 0))), 1, "")</f>
        <v/>
      </c>
      <c r="AS77" s="1" t="str">
        <f>IF(AND(AND(AND(AS$4&gt;='2025'!$L75,AS$4&lt;='2025'!$M75), AS$4&lt;&gt;DATE(2025,7,4)), (SWITCH(weekday(AS$4), 1, 0, 2, if(ISBLANK('2025'!$P75), 0, 1), 3, if(ISBLANK('2025'!$Q75), 0, 1), 4, if(ISBLANK('2025'!$R75), 0, 1), 5, if(ISBLANK('2025'!$S75), 0, 1), 6, if(ISBLANK('2025'!$T75), 0, 1), 7, 0))), 1, "")</f>
        <v/>
      </c>
      <c r="AT77" s="1" t="str">
        <f>IF(AND(AND(AND(AT$4&gt;='2025'!$L75,AT$4&lt;='2025'!$M75), AT$4&lt;&gt;DATE(2025,7,4)), (SWITCH(weekday(AT$4), 1, 0, 2, if(ISBLANK('2025'!$P75), 0, 1), 3, if(ISBLANK('2025'!$Q75), 0, 1), 4, if(ISBLANK('2025'!$R75), 0, 1), 5, if(ISBLANK('2025'!$S75), 0, 1), 6, if(ISBLANK('2025'!$T75), 0, 1), 7, 0))), 1, "")</f>
        <v/>
      </c>
      <c r="AU77" s="1" t="str">
        <f>IF(AND(AND(AND(AU$4&gt;='2025'!$L75,AU$4&lt;='2025'!$M75), AU$4&lt;&gt;DATE(2025,7,4)), (SWITCH(weekday(AU$4), 1, 0, 2, if(ISBLANK('2025'!$P75), 0, 1), 3, if(ISBLANK('2025'!$Q75), 0, 1), 4, if(ISBLANK('2025'!$R75), 0, 1), 5, if(ISBLANK('2025'!$S75), 0, 1), 6, if(ISBLANK('2025'!$T75), 0, 1), 7, 0))), 1, "")</f>
        <v/>
      </c>
      <c r="AV77" s="1" t="str">
        <f>IF(AND(AND(AND(AV$4&gt;='2025'!$L75,AV$4&lt;='2025'!$M75), AV$4&lt;&gt;DATE(2025,7,4)), (SWITCH(weekday(AV$4), 1, 0, 2, if(ISBLANK('2025'!$P75), 0, 1), 3, if(ISBLANK('2025'!$Q75), 0, 1), 4, if(ISBLANK('2025'!$R75), 0, 1), 5, if(ISBLANK('2025'!$S75), 0, 1), 6, if(ISBLANK('2025'!$T75), 0, 1), 7, 0))), 1, "")</f>
        <v/>
      </c>
      <c r="AW77" s="1" t="str">
        <f>IF(AND(AND(AND(AW$4&gt;='2025'!$L75,AW$4&lt;='2025'!$M75), AW$4&lt;&gt;DATE(2025,7,4)), (SWITCH(weekday(AW$4), 1, 0, 2, if(ISBLANK('2025'!$P75), 0, 1), 3, if(ISBLANK('2025'!$Q75), 0, 1), 4, if(ISBLANK('2025'!$R75), 0, 1), 5, if(ISBLANK('2025'!$S75), 0, 1), 6, if(ISBLANK('2025'!$T75), 0, 1), 7, 0))), 1, "")</f>
        <v/>
      </c>
      <c r="AX77" s="1" t="str">
        <f>IF(AND(AND(AND(AX$4&gt;='2025'!$L75,AX$4&lt;='2025'!$M75), AX$4&lt;&gt;DATE(2025,7,4)), (SWITCH(weekday(AX$4), 1, 0, 2, if(ISBLANK('2025'!$P75), 0, 1), 3, if(ISBLANK('2025'!$Q75), 0, 1), 4, if(ISBLANK('2025'!$R75), 0, 1), 5, if(ISBLANK('2025'!$S75), 0, 1), 6, if(ISBLANK('2025'!$T75), 0, 1), 7, 0))), 1, "")</f>
        <v/>
      </c>
      <c r="AY77" s="1" t="str">
        <f>IF(AND(AND(AND(AY$4&gt;='2025'!$L75,AY$4&lt;='2025'!$M75), AY$4&lt;&gt;DATE(2025,7,4)), (SWITCH(weekday(AY$4), 1, 0, 2, if(ISBLANK('2025'!$P75), 0, 1), 3, if(ISBLANK('2025'!$Q75), 0, 1), 4, if(ISBLANK('2025'!$R75), 0, 1), 5, if(ISBLANK('2025'!$S75), 0, 1), 6, if(ISBLANK('2025'!$T75), 0, 1), 7, 0))), 1, "")</f>
        <v/>
      </c>
      <c r="AZ77" s="1" t="str">
        <f>IF(AND(AND(AND(AZ$4&gt;='2025'!$L75,AZ$4&lt;='2025'!$M75), AZ$4&lt;&gt;DATE(2025,7,4)), (SWITCH(weekday(AZ$4), 1, 0, 2, if(ISBLANK('2025'!$P75), 0, 1), 3, if(ISBLANK('2025'!$Q75), 0, 1), 4, if(ISBLANK('2025'!$R75), 0, 1), 5, if(ISBLANK('2025'!$S75), 0, 1), 6, if(ISBLANK('2025'!$T75), 0, 1), 7, 0))), 1, "")</f>
        <v/>
      </c>
      <c r="BA77" s="1" t="str">
        <f>IF(AND(AND(AND(BA$4&gt;='2025'!$L75,BA$4&lt;='2025'!$M75), BA$4&lt;&gt;DATE(2025,7,4)), (SWITCH(weekday(BA$4), 1, 0, 2, if(ISBLANK('2025'!$P75), 0, 1), 3, if(ISBLANK('2025'!$Q75), 0, 1), 4, if(ISBLANK('2025'!$R75), 0, 1), 5, if(ISBLANK('2025'!$S75), 0, 1), 6, if(ISBLANK('2025'!$T75), 0, 1), 7, 0))), 1, "")</f>
        <v/>
      </c>
      <c r="BB77" s="1" t="str">
        <f>IF(AND(AND(AND(BB$4&gt;='2025'!$L75,BB$4&lt;='2025'!$M75), BB$4&lt;&gt;DATE(2025,7,4)), (SWITCH(weekday(BB$4), 1, 0, 2, if(ISBLANK('2025'!$P75), 0, 1), 3, if(ISBLANK('2025'!$Q75), 0, 1), 4, if(ISBLANK('2025'!$R75), 0, 1), 5, if(ISBLANK('2025'!$S75), 0, 1), 6, if(ISBLANK('2025'!$T75), 0, 1), 7, 0))), 1, "")</f>
        <v/>
      </c>
      <c r="BC77" s="1" t="str">
        <f>IF(AND(AND(AND(BC$4&gt;='2025'!$L75,BC$4&lt;='2025'!$M75), BC$4&lt;&gt;DATE(2025,7,4)), (SWITCH(weekday(BC$4), 1, 0, 2, if(ISBLANK('2025'!$P75), 0, 1), 3, if(ISBLANK('2025'!$Q75), 0, 1), 4, if(ISBLANK('2025'!$R75), 0, 1), 5, if(ISBLANK('2025'!$S75), 0, 1), 6, if(ISBLANK('2025'!$T75), 0, 1), 7, 0))), 1, "")</f>
        <v/>
      </c>
      <c r="BD77" s="1" t="str">
        <f>IF(AND(AND(AND(BD$4&gt;='2025'!$L75,BD$4&lt;='2025'!$M75), BD$4&lt;&gt;DATE(2025,7,4)), (SWITCH(weekday(BD$4), 1, 0, 2, if(ISBLANK('2025'!$P75), 0, 1), 3, if(ISBLANK('2025'!$Q75), 0, 1), 4, if(ISBLANK('2025'!$R75), 0, 1), 5, if(ISBLANK('2025'!$S75), 0, 1), 6, if(ISBLANK('2025'!$T75), 0, 1), 7, 0))), 1, "")</f>
        <v/>
      </c>
      <c r="BE77" s="1" t="str">
        <f>IF(AND(AND(AND(BE$4&gt;='2025'!$L75,BE$4&lt;='2025'!$M75), BE$4&lt;&gt;DATE(2025,7,4)), (SWITCH(weekday(BE$4), 1, 0, 2, if(ISBLANK('2025'!$P75), 0, 1), 3, if(ISBLANK('2025'!$Q75), 0, 1), 4, if(ISBLANK('2025'!$R75), 0, 1), 5, if(ISBLANK('2025'!$S75), 0, 1), 6, if(ISBLANK('2025'!$T75), 0, 1), 7, 0))), 1, "")</f>
        <v/>
      </c>
      <c r="BF77" s="1" t="str">
        <f>IF(AND(AND(AND(BF$4&gt;='2025'!$L75,BF$4&lt;='2025'!$M75), BF$4&lt;&gt;DATE(2025,7,4)), (SWITCH(weekday(BF$4), 1, 0, 2, if(ISBLANK('2025'!$P75), 0, 1), 3, if(ISBLANK('2025'!$Q75), 0, 1), 4, if(ISBLANK('2025'!$R75), 0, 1), 5, if(ISBLANK('2025'!$S75), 0, 1), 6, if(ISBLANK('2025'!$T75), 0, 1), 7, 0))), 1, "")</f>
        <v/>
      </c>
      <c r="BG77" s="1"/>
      <c r="BH77" s="1"/>
      <c r="BI77" s="1"/>
      <c r="BJ77" s="1"/>
      <c r="BK77" s="1"/>
      <c r="BL77" s="1"/>
    </row>
    <row r="78">
      <c r="A78" s="1">
        <f t="shared" si="3"/>
        <v>78</v>
      </c>
      <c r="B78" s="1" t="str">
        <f>'2025'!D44</f>
        <v>Lee, Avery</v>
      </c>
      <c r="C78" s="1" t="str">
        <f>'2025'!H44</f>
        <v>TOD</v>
      </c>
      <c r="D78" s="1" t="str">
        <f>IF(AND(AND(AND(D$4&gt;='2025'!$L76,D$4&lt;='2025'!$M76), D$4&lt;&gt;DATE(2025,7,4)), (SWITCH(weekday(D$4), 1, 0, 2, if(ISBLANK('2025'!$P76), 0, 1), 3, if(ISBLANK('2025'!$Q76), 0, 1), 4, if(ISBLANK('2025'!$R76), 0, 1), 5, if(ISBLANK('2025'!$S76), 0, 1), 6, if(ISBLANK('2025'!$T76), 0, 1), 7, 0))), 1, "")</f>
        <v/>
      </c>
      <c r="E78" s="1" t="str">
        <f>IF(AND(AND(AND(E$4&gt;='2025'!$L76,E$4&lt;='2025'!$M76), E$4&lt;&gt;DATE(2025,7,4)), (SWITCH(weekday(E$4), 1, 0, 2, if(ISBLANK('2025'!$P76), 0, 1), 3, if(ISBLANK('2025'!$Q76), 0, 1), 4, if(ISBLANK('2025'!$R76), 0, 1), 5, if(ISBLANK('2025'!$S76), 0, 1), 6, if(ISBLANK('2025'!$T76), 0, 1), 7, 0))), 1, "")</f>
        <v/>
      </c>
      <c r="F78" s="1" t="str">
        <f>IF(AND(AND(AND(F$4&gt;='2025'!$L76,F$4&lt;='2025'!$M76), F$4&lt;&gt;DATE(2025,7,4)), (SWITCH(weekday(F$4), 1, 0, 2, if(ISBLANK('2025'!$P76), 0, 1), 3, if(ISBLANK('2025'!$Q76), 0, 1), 4, if(ISBLANK('2025'!$R76), 0, 1), 5, if(ISBLANK('2025'!$S76), 0, 1), 6, if(ISBLANK('2025'!$T76), 0, 1), 7, 0))), 1, "")</f>
        <v/>
      </c>
      <c r="G78" s="1" t="str">
        <f>IF(AND(AND(AND(G$4&gt;='2025'!$L76,G$4&lt;='2025'!$M76), G$4&lt;&gt;DATE(2025,7,4)), (SWITCH(weekday(G$4), 1, 0, 2, if(ISBLANK('2025'!$P76), 0, 1), 3, if(ISBLANK('2025'!$Q76), 0, 1), 4, if(ISBLANK('2025'!$R76), 0, 1), 5, if(ISBLANK('2025'!$S76), 0, 1), 6, if(ISBLANK('2025'!$T76), 0, 1), 7, 0))), 1, "")</f>
        <v/>
      </c>
      <c r="H78" s="1" t="str">
        <f>IF(AND(AND(AND(H$4&gt;='2025'!$L76,H$4&lt;='2025'!$M76), H$4&lt;&gt;DATE(2025,7,4)), (SWITCH(weekday(H$4), 1, 0, 2, if(ISBLANK('2025'!$P76), 0, 1), 3, if(ISBLANK('2025'!$Q76), 0, 1), 4, if(ISBLANK('2025'!$R76), 0, 1), 5, if(ISBLANK('2025'!$S76), 0, 1), 6, if(ISBLANK('2025'!$T76), 0, 1), 7, 0))), 1, "")</f>
        <v/>
      </c>
      <c r="I78" s="1" t="str">
        <f>IF(AND(AND(AND(I$4&gt;='2025'!$L76,I$4&lt;='2025'!$M76), I$4&lt;&gt;DATE(2025,7,4)), (SWITCH(weekday(I$4), 1, 0, 2, if(ISBLANK('2025'!$P76), 0, 1), 3, if(ISBLANK('2025'!$Q76), 0, 1), 4, if(ISBLANK('2025'!$R76), 0, 1), 5, if(ISBLANK('2025'!$S76), 0, 1), 6, if(ISBLANK('2025'!$T76), 0, 1), 7, 0))), 1, "")</f>
        <v/>
      </c>
      <c r="J78" s="1" t="str">
        <f>IF(AND(AND(AND(J$4&gt;='2025'!$L76,J$4&lt;='2025'!$M76), J$4&lt;&gt;DATE(2025,7,4)), (SWITCH(weekday(J$4), 1, 0, 2, if(ISBLANK('2025'!$P76), 0, 1), 3, if(ISBLANK('2025'!$Q76), 0, 1), 4, if(ISBLANK('2025'!$R76), 0, 1), 5, if(ISBLANK('2025'!$S76), 0, 1), 6, if(ISBLANK('2025'!$T76), 0, 1), 7, 0))), 1, "")</f>
        <v/>
      </c>
      <c r="K78" s="1" t="str">
        <f>IF(AND(AND(AND(K$4&gt;='2025'!$L76,K$4&lt;='2025'!$M76), K$4&lt;&gt;DATE(2025,7,4)), (SWITCH(weekday(K$4), 1, 0, 2, if(ISBLANK('2025'!$P76), 0, 1), 3, if(ISBLANK('2025'!$Q76), 0, 1), 4, if(ISBLANK('2025'!$R76), 0, 1), 5, if(ISBLANK('2025'!$S76), 0, 1), 6, if(ISBLANK('2025'!$T76), 0, 1), 7, 0))), 1, "")</f>
        <v/>
      </c>
      <c r="L78" s="1" t="str">
        <f>IF(AND(AND(AND(L$4&gt;='2025'!$L76,L$4&lt;='2025'!$M76), L$4&lt;&gt;DATE(2025,7,4)), (SWITCH(weekday(L$4), 1, 0, 2, if(ISBLANK('2025'!$P76), 0, 1), 3, if(ISBLANK('2025'!$Q76), 0, 1), 4, if(ISBLANK('2025'!$R76), 0, 1), 5, if(ISBLANK('2025'!$S76), 0, 1), 6, if(ISBLANK('2025'!$T76), 0, 1), 7, 0))), 1, "")</f>
        <v/>
      </c>
      <c r="M78" s="1" t="str">
        <f>IF(AND(AND(AND(M$4&gt;='2025'!$L76,M$4&lt;='2025'!$M76), M$4&lt;&gt;DATE(2025,7,4)), (SWITCH(weekday(M$4), 1, 0, 2, if(ISBLANK('2025'!$P76), 0, 1), 3, if(ISBLANK('2025'!$Q76), 0, 1), 4, if(ISBLANK('2025'!$R76), 0, 1), 5, if(ISBLANK('2025'!$S76), 0, 1), 6, if(ISBLANK('2025'!$T76), 0, 1), 7, 0))), 1, "")</f>
        <v/>
      </c>
      <c r="N78" s="1" t="str">
        <f>IF(AND(AND(AND(N$4&gt;='2025'!$L76,N$4&lt;='2025'!$M76), N$4&lt;&gt;DATE(2025,7,4)), (SWITCH(weekday(N$4), 1, 0, 2, if(ISBLANK('2025'!$P76), 0, 1), 3, if(ISBLANK('2025'!$Q76), 0, 1), 4, if(ISBLANK('2025'!$R76), 0, 1), 5, if(ISBLANK('2025'!$S76), 0, 1), 6, if(ISBLANK('2025'!$T76), 0, 1), 7, 0))), 1, "")</f>
        <v/>
      </c>
      <c r="O78" s="1" t="str">
        <f>IF(AND(AND(AND(O$4&gt;='2025'!$L76,O$4&lt;='2025'!$M76), O$4&lt;&gt;DATE(2025,7,4)), (SWITCH(weekday(O$4), 1, 0, 2, if(ISBLANK('2025'!$P76), 0, 1), 3, if(ISBLANK('2025'!$Q76), 0, 1), 4, if(ISBLANK('2025'!$R76), 0, 1), 5, if(ISBLANK('2025'!$S76), 0, 1), 6, if(ISBLANK('2025'!$T76), 0, 1), 7, 0))), 1, "")</f>
        <v/>
      </c>
      <c r="P78" s="1" t="str">
        <f>IF(AND(AND(AND(P$4&gt;='2025'!$L76,P$4&lt;='2025'!$M76), P$4&lt;&gt;DATE(2025,7,4)), (SWITCH(weekday(P$4), 1, 0, 2, if(ISBLANK('2025'!$P76), 0, 1), 3, if(ISBLANK('2025'!$Q76), 0, 1), 4, if(ISBLANK('2025'!$R76), 0, 1), 5, if(ISBLANK('2025'!$S76), 0, 1), 6, if(ISBLANK('2025'!$T76), 0, 1), 7, 0))), 1, "")</f>
        <v/>
      </c>
      <c r="Q78" s="1" t="str">
        <f>IF(AND(AND(AND(Q$4&gt;='2025'!$L76,Q$4&lt;='2025'!$M76), Q$4&lt;&gt;DATE(2025,7,4)), (SWITCH(weekday(Q$4), 1, 0, 2, if(ISBLANK('2025'!$P76), 0, 1), 3, if(ISBLANK('2025'!$Q76), 0, 1), 4, if(ISBLANK('2025'!$R76), 0, 1), 5, if(ISBLANK('2025'!$S76), 0, 1), 6, if(ISBLANK('2025'!$T76), 0, 1), 7, 0))), 1, "")</f>
        <v/>
      </c>
      <c r="R78" s="1" t="str">
        <f>IF(AND(AND(AND(R$4&gt;='2025'!$L76,R$4&lt;='2025'!$M76), R$4&lt;&gt;DATE(2025,7,4)), (SWITCH(weekday(R$4), 1, 0, 2, if(ISBLANK('2025'!$P76), 0, 1), 3, if(ISBLANK('2025'!$Q76), 0, 1), 4, if(ISBLANK('2025'!$R76), 0, 1), 5, if(ISBLANK('2025'!$S76), 0, 1), 6, if(ISBLANK('2025'!$T76), 0, 1), 7, 0))), 1, "")</f>
        <v/>
      </c>
      <c r="S78" s="1" t="str">
        <f>IF(AND(AND(AND(S$4&gt;='2025'!$L76,S$4&lt;='2025'!$M76), S$4&lt;&gt;DATE(2025,7,4)), (SWITCH(weekday(S$4), 1, 0, 2, if(ISBLANK('2025'!$P76), 0, 1), 3, if(ISBLANK('2025'!$Q76), 0, 1), 4, if(ISBLANK('2025'!$R76), 0, 1), 5, if(ISBLANK('2025'!$S76), 0, 1), 6, if(ISBLANK('2025'!$T76), 0, 1), 7, 0))), 1, "")</f>
        <v/>
      </c>
      <c r="T78" s="1" t="str">
        <f>IF(AND(AND(AND(T$4&gt;='2025'!$L76,T$4&lt;='2025'!$M76), T$4&lt;&gt;DATE(2025,7,4)), (SWITCH(weekday(T$4), 1, 0, 2, if(ISBLANK('2025'!$P76), 0, 1), 3, if(ISBLANK('2025'!$Q76), 0, 1), 4, if(ISBLANK('2025'!$R76), 0, 1), 5, if(ISBLANK('2025'!$S76), 0, 1), 6, if(ISBLANK('2025'!$T76), 0, 1), 7, 0))), 1, "")</f>
        <v/>
      </c>
      <c r="U78" s="1" t="str">
        <f>IF(AND(AND(AND(U$4&gt;='2025'!$L76,U$4&lt;='2025'!$M76), U$4&lt;&gt;DATE(2025,7,4)), (SWITCH(weekday(U$4), 1, 0, 2, if(ISBLANK('2025'!$P76), 0, 1), 3, if(ISBLANK('2025'!$Q76), 0, 1), 4, if(ISBLANK('2025'!$R76), 0, 1), 5, if(ISBLANK('2025'!$S76), 0, 1), 6, if(ISBLANK('2025'!$T76), 0, 1), 7, 0))), 1, "")</f>
        <v/>
      </c>
      <c r="V78" s="1" t="str">
        <f>IF(AND(AND(AND(V$4&gt;='2025'!$L76,V$4&lt;='2025'!$M76), V$4&lt;&gt;DATE(2025,7,4)), (SWITCH(weekday(V$4), 1, 0, 2, if(ISBLANK('2025'!$P76), 0, 1), 3, if(ISBLANK('2025'!$Q76), 0, 1), 4, if(ISBLANK('2025'!$R76), 0, 1), 5, if(ISBLANK('2025'!$S76), 0, 1), 6, if(ISBLANK('2025'!$T76), 0, 1), 7, 0))), 1, "")</f>
        <v/>
      </c>
      <c r="W78" s="1" t="str">
        <f>IF(AND(AND(AND(W$4&gt;='2025'!$L76,W$4&lt;='2025'!$M76), W$4&lt;&gt;DATE(2025,7,4)), (SWITCH(weekday(W$4), 1, 0, 2, if(ISBLANK('2025'!$P76), 0, 1), 3, if(ISBLANK('2025'!$Q76), 0, 1), 4, if(ISBLANK('2025'!$R76), 0, 1), 5, if(ISBLANK('2025'!$S76), 0, 1), 6, if(ISBLANK('2025'!$T76), 0, 1), 7, 0))), 1, "")</f>
        <v/>
      </c>
      <c r="X78" s="1" t="str">
        <f>IF(AND(AND(AND(X$4&gt;='2025'!$L76,X$4&lt;='2025'!$M76), X$4&lt;&gt;DATE(2025,7,4)), (SWITCH(weekday(X$4), 1, 0, 2, if(ISBLANK('2025'!$P76), 0, 1), 3, if(ISBLANK('2025'!$Q76), 0, 1), 4, if(ISBLANK('2025'!$R76), 0, 1), 5, if(ISBLANK('2025'!$S76), 0, 1), 6, if(ISBLANK('2025'!$T76), 0, 1), 7, 0))), 1, "")</f>
        <v/>
      </c>
      <c r="Y78" s="1" t="str">
        <f>IF(AND(AND(AND(Y$4&gt;='2025'!$L76,Y$4&lt;='2025'!$M76), Y$4&lt;&gt;DATE(2025,7,4)), (SWITCH(weekday(Y$4), 1, 0, 2, if(ISBLANK('2025'!$P76), 0, 1), 3, if(ISBLANK('2025'!$Q76), 0, 1), 4, if(ISBLANK('2025'!$R76), 0, 1), 5, if(ISBLANK('2025'!$S76), 0, 1), 6, if(ISBLANK('2025'!$T76), 0, 1), 7, 0))), 1, "")</f>
        <v/>
      </c>
      <c r="Z78" s="1" t="str">
        <f>IF(AND(AND(AND(Z$4&gt;='2025'!$L76,Z$4&lt;='2025'!$M76), Z$4&lt;&gt;DATE(2025,7,4)), (SWITCH(weekday(Z$4), 1, 0, 2, if(ISBLANK('2025'!$P76), 0, 1), 3, if(ISBLANK('2025'!$Q76), 0, 1), 4, if(ISBLANK('2025'!$R76), 0, 1), 5, if(ISBLANK('2025'!$S76), 0, 1), 6, if(ISBLANK('2025'!$T76), 0, 1), 7, 0))), 1, "")</f>
        <v/>
      </c>
      <c r="AA78" s="1" t="str">
        <f>IF(AND(AND(AND(AA$4&gt;='2025'!$L76,AA$4&lt;='2025'!$M76), AA$4&lt;&gt;DATE(2025,7,4)), (SWITCH(weekday(AA$4), 1, 0, 2, if(ISBLANK('2025'!$P76), 0, 1), 3, if(ISBLANK('2025'!$Q76), 0, 1), 4, if(ISBLANK('2025'!$R76), 0, 1), 5, if(ISBLANK('2025'!$S76), 0, 1), 6, if(ISBLANK('2025'!$T76), 0, 1), 7, 0))), 1, "")</f>
        <v/>
      </c>
      <c r="AB78" s="1" t="str">
        <f>IF(AND(AND(AND(AB$4&gt;='2025'!$L76,AB$4&lt;='2025'!$M76), AB$4&lt;&gt;DATE(2025,7,4)), (SWITCH(weekday(AB$4), 1, 0, 2, if(ISBLANK('2025'!$P76), 0, 1), 3, if(ISBLANK('2025'!$Q76), 0, 1), 4, if(ISBLANK('2025'!$R76), 0, 1), 5, if(ISBLANK('2025'!$S76), 0, 1), 6, if(ISBLANK('2025'!$T76), 0, 1), 7, 0))), 1, "")</f>
        <v/>
      </c>
      <c r="AC78" s="1" t="str">
        <f>IF(AND(AND(AND(AC$4&gt;='2025'!$L76,AC$4&lt;='2025'!$M76), AC$4&lt;&gt;DATE(2025,7,4)), (SWITCH(weekday(AC$4), 1, 0, 2, if(ISBLANK('2025'!$P76), 0, 1), 3, if(ISBLANK('2025'!$Q76), 0, 1), 4, if(ISBLANK('2025'!$R76), 0, 1), 5, if(ISBLANK('2025'!$S76), 0, 1), 6, if(ISBLANK('2025'!$T76), 0, 1), 7, 0))), 1, "")</f>
        <v/>
      </c>
      <c r="AD78" s="1" t="str">
        <f>IF(AND(AND(AND(AD$4&gt;='2025'!$L76,AD$4&lt;='2025'!$M76), AD$4&lt;&gt;DATE(2025,7,4)), (SWITCH(weekday(AD$4), 1, 0, 2, if(ISBLANK('2025'!$P76), 0, 1), 3, if(ISBLANK('2025'!$Q76), 0, 1), 4, if(ISBLANK('2025'!$R76), 0, 1), 5, if(ISBLANK('2025'!$S76), 0, 1), 6, if(ISBLANK('2025'!$T76), 0, 1), 7, 0))), 1, "")</f>
        <v/>
      </c>
      <c r="AE78" s="1" t="str">
        <f>IF(AND(AND(AND(AE$4&gt;='2025'!$L76,AE$4&lt;='2025'!$M76), AE$4&lt;&gt;DATE(2025,7,4)), (SWITCH(weekday(AE$4), 1, 0, 2, if(ISBLANK('2025'!$P76), 0, 1), 3, if(ISBLANK('2025'!$Q76), 0, 1), 4, if(ISBLANK('2025'!$R76), 0, 1), 5, if(ISBLANK('2025'!$S76), 0, 1), 6, if(ISBLANK('2025'!$T76), 0, 1), 7, 0))), 1, "")</f>
        <v/>
      </c>
      <c r="AF78" s="1" t="str">
        <f>IF(AND(AND(AND(AF$4&gt;='2025'!$L76,AF$4&lt;='2025'!$M76), AF$4&lt;&gt;DATE(2025,7,4)), (SWITCH(weekday(AF$4), 1, 0, 2, if(ISBLANK('2025'!$P76), 0, 1), 3, if(ISBLANK('2025'!$Q76), 0, 1), 4, if(ISBLANK('2025'!$R76), 0, 1), 5, if(ISBLANK('2025'!$S76), 0, 1), 6, if(ISBLANK('2025'!$T76), 0, 1), 7, 0))), 1, "")</f>
        <v/>
      </c>
      <c r="AG78" s="1" t="str">
        <f>IF(AND(AND(AND(AG$4&gt;='2025'!$L76,AG$4&lt;='2025'!$M76), AG$4&lt;&gt;DATE(2025,7,4)), (SWITCH(weekday(AG$4), 1, 0, 2, if(ISBLANK('2025'!$P76), 0, 1), 3, if(ISBLANK('2025'!$Q76), 0, 1), 4, if(ISBLANK('2025'!$R76), 0, 1), 5, if(ISBLANK('2025'!$S76), 0, 1), 6, if(ISBLANK('2025'!$T76), 0, 1), 7, 0))), 1, "")</f>
        <v/>
      </c>
      <c r="AH78" s="1" t="str">
        <f>IF(AND(AND(AND(AH$4&gt;='2025'!$L76,AH$4&lt;='2025'!$M76), AH$4&lt;&gt;DATE(2025,7,4)), (SWITCH(weekday(AH$4), 1, 0, 2, if(ISBLANK('2025'!$P76), 0, 1), 3, if(ISBLANK('2025'!$Q76), 0, 1), 4, if(ISBLANK('2025'!$R76), 0, 1), 5, if(ISBLANK('2025'!$S76), 0, 1), 6, if(ISBLANK('2025'!$T76), 0, 1), 7, 0))), 1, "")</f>
        <v/>
      </c>
      <c r="AI78" s="1" t="str">
        <f>IF(AND(AND(AND(AI$4&gt;='2025'!$L76,AI$4&lt;='2025'!$M76), AI$4&lt;&gt;DATE(2025,7,4)), (SWITCH(weekday(AI$4), 1, 0, 2, if(ISBLANK('2025'!$P76), 0, 1), 3, if(ISBLANK('2025'!$Q76), 0, 1), 4, if(ISBLANK('2025'!$R76), 0, 1), 5, if(ISBLANK('2025'!$S76), 0, 1), 6, if(ISBLANK('2025'!$T76), 0, 1), 7, 0))), 1, "")</f>
        <v/>
      </c>
      <c r="AJ78" s="1" t="str">
        <f>IF(AND(AND(AND(AJ$4&gt;='2025'!$L76,AJ$4&lt;='2025'!$M76), AJ$4&lt;&gt;DATE(2025,7,4)), (SWITCH(weekday(AJ$4), 1, 0, 2, if(ISBLANK('2025'!$P76), 0, 1), 3, if(ISBLANK('2025'!$Q76), 0, 1), 4, if(ISBLANK('2025'!$R76), 0, 1), 5, if(ISBLANK('2025'!$S76), 0, 1), 6, if(ISBLANK('2025'!$T76), 0, 1), 7, 0))), 1, "")</f>
        <v/>
      </c>
      <c r="AK78" s="1" t="str">
        <f>IF(AND(AND(AND(AK$4&gt;='2025'!$L76,AK$4&lt;='2025'!$M76), AK$4&lt;&gt;DATE(2025,7,4)), (SWITCH(weekday(AK$4), 1, 0, 2, if(ISBLANK('2025'!$P76), 0, 1), 3, if(ISBLANK('2025'!$Q76), 0, 1), 4, if(ISBLANK('2025'!$R76), 0, 1), 5, if(ISBLANK('2025'!$S76), 0, 1), 6, if(ISBLANK('2025'!$T76), 0, 1), 7, 0))), 1, "")</f>
        <v/>
      </c>
      <c r="AL78" s="1" t="str">
        <f>IF(AND(AND(AND(AL$4&gt;='2025'!$L76,AL$4&lt;='2025'!$M76), AL$4&lt;&gt;DATE(2025,7,4)), (SWITCH(weekday(AL$4), 1, 0, 2, if(ISBLANK('2025'!$P76), 0, 1), 3, if(ISBLANK('2025'!$Q76), 0, 1), 4, if(ISBLANK('2025'!$R76), 0, 1), 5, if(ISBLANK('2025'!$S76), 0, 1), 6, if(ISBLANK('2025'!$T76), 0, 1), 7, 0))), 1, "")</f>
        <v/>
      </c>
      <c r="AM78" s="1" t="str">
        <f>IF(AND(AND(AND(AM$4&gt;='2025'!$L76,AM$4&lt;='2025'!$M76), AM$4&lt;&gt;DATE(2025,7,4)), (SWITCH(weekday(AM$4), 1, 0, 2, if(ISBLANK('2025'!$P76), 0, 1), 3, if(ISBLANK('2025'!$Q76), 0, 1), 4, if(ISBLANK('2025'!$R76), 0, 1), 5, if(ISBLANK('2025'!$S76), 0, 1), 6, if(ISBLANK('2025'!$T76), 0, 1), 7, 0))), 1, "")</f>
        <v/>
      </c>
      <c r="AN78" s="1" t="str">
        <f>IF(AND(AND(AND(AN$4&gt;='2025'!$L76,AN$4&lt;='2025'!$M76), AN$4&lt;&gt;DATE(2025,7,4)), (SWITCH(weekday(AN$4), 1, 0, 2, if(ISBLANK('2025'!$P76), 0, 1), 3, if(ISBLANK('2025'!$Q76), 0, 1), 4, if(ISBLANK('2025'!$R76), 0, 1), 5, if(ISBLANK('2025'!$S76), 0, 1), 6, if(ISBLANK('2025'!$T76), 0, 1), 7, 0))), 1, "")</f>
        <v/>
      </c>
      <c r="AO78" s="1" t="str">
        <f>IF(AND(AND(AND(AO$4&gt;='2025'!$L76,AO$4&lt;='2025'!$M76), AO$4&lt;&gt;DATE(2025,7,4)), (SWITCH(weekday(AO$4), 1, 0, 2, if(ISBLANK('2025'!$P76), 0, 1), 3, if(ISBLANK('2025'!$Q76), 0, 1), 4, if(ISBLANK('2025'!$R76), 0, 1), 5, if(ISBLANK('2025'!$S76), 0, 1), 6, if(ISBLANK('2025'!$T76), 0, 1), 7, 0))), 1, "")</f>
        <v/>
      </c>
      <c r="AP78" s="1" t="str">
        <f>IF(AND(AND(AND(AP$4&gt;='2025'!$L76,AP$4&lt;='2025'!$M76), AP$4&lt;&gt;DATE(2025,7,4)), (SWITCH(weekday(AP$4), 1, 0, 2, if(ISBLANK('2025'!$P76), 0, 1), 3, if(ISBLANK('2025'!$Q76), 0, 1), 4, if(ISBLANK('2025'!$R76), 0, 1), 5, if(ISBLANK('2025'!$S76), 0, 1), 6, if(ISBLANK('2025'!$T76), 0, 1), 7, 0))), 1, "")</f>
        <v/>
      </c>
      <c r="AQ78" s="1" t="str">
        <f>IF(AND(AND(AND(AQ$4&gt;='2025'!$L76,AQ$4&lt;='2025'!$M76), AQ$4&lt;&gt;DATE(2025,7,4)), (SWITCH(weekday(AQ$4), 1, 0, 2, if(ISBLANK('2025'!$P76), 0, 1), 3, if(ISBLANK('2025'!$Q76), 0, 1), 4, if(ISBLANK('2025'!$R76), 0, 1), 5, if(ISBLANK('2025'!$S76), 0, 1), 6, if(ISBLANK('2025'!$T76), 0, 1), 7, 0))), 1, "")</f>
        <v/>
      </c>
      <c r="AR78" s="1" t="str">
        <f>IF(AND(AND(AND(AR$4&gt;='2025'!$L76,AR$4&lt;='2025'!$M76), AR$4&lt;&gt;DATE(2025,7,4)), (SWITCH(weekday(AR$4), 1, 0, 2, if(ISBLANK('2025'!$P76), 0, 1), 3, if(ISBLANK('2025'!$Q76), 0, 1), 4, if(ISBLANK('2025'!$R76), 0, 1), 5, if(ISBLANK('2025'!$S76), 0, 1), 6, if(ISBLANK('2025'!$T76), 0, 1), 7, 0))), 1, "")</f>
        <v/>
      </c>
      <c r="AS78" s="1" t="str">
        <f>IF(AND(AND(AND(AS$4&gt;='2025'!$L76,AS$4&lt;='2025'!$M76), AS$4&lt;&gt;DATE(2025,7,4)), (SWITCH(weekday(AS$4), 1, 0, 2, if(ISBLANK('2025'!$P76), 0, 1), 3, if(ISBLANK('2025'!$Q76), 0, 1), 4, if(ISBLANK('2025'!$R76), 0, 1), 5, if(ISBLANK('2025'!$S76), 0, 1), 6, if(ISBLANK('2025'!$T76), 0, 1), 7, 0))), 1, "")</f>
        <v/>
      </c>
      <c r="AT78" s="1" t="str">
        <f>IF(AND(AND(AND(AT$4&gt;='2025'!$L76,AT$4&lt;='2025'!$M76), AT$4&lt;&gt;DATE(2025,7,4)), (SWITCH(weekday(AT$4), 1, 0, 2, if(ISBLANK('2025'!$P76), 0, 1), 3, if(ISBLANK('2025'!$Q76), 0, 1), 4, if(ISBLANK('2025'!$R76), 0, 1), 5, if(ISBLANK('2025'!$S76), 0, 1), 6, if(ISBLANK('2025'!$T76), 0, 1), 7, 0))), 1, "")</f>
        <v/>
      </c>
      <c r="AU78" s="1" t="str">
        <f>IF(AND(AND(AND(AU$4&gt;='2025'!$L76,AU$4&lt;='2025'!$M76), AU$4&lt;&gt;DATE(2025,7,4)), (SWITCH(weekday(AU$4), 1, 0, 2, if(ISBLANK('2025'!$P76), 0, 1), 3, if(ISBLANK('2025'!$Q76), 0, 1), 4, if(ISBLANK('2025'!$R76), 0, 1), 5, if(ISBLANK('2025'!$S76), 0, 1), 6, if(ISBLANK('2025'!$T76), 0, 1), 7, 0))), 1, "")</f>
        <v/>
      </c>
      <c r="AV78" s="1" t="str">
        <f>IF(AND(AND(AND(AV$4&gt;='2025'!$L76,AV$4&lt;='2025'!$M76), AV$4&lt;&gt;DATE(2025,7,4)), (SWITCH(weekday(AV$4), 1, 0, 2, if(ISBLANK('2025'!$P76), 0, 1), 3, if(ISBLANK('2025'!$Q76), 0, 1), 4, if(ISBLANK('2025'!$R76), 0, 1), 5, if(ISBLANK('2025'!$S76), 0, 1), 6, if(ISBLANK('2025'!$T76), 0, 1), 7, 0))), 1, "")</f>
        <v/>
      </c>
      <c r="AW78" s="1" t="str">
        <f>IF(AND(AND(AND(AW$4&gt;='2025'!$L76,AW$4&lt;='2025'!$M76), AW$4&lt;&gt;DATE(2025,7,4)), (SWITCH(weekday(AW$4), 1, 0, 2, if(ISBLANK('2025'!$P76), 0, 1), 3, if(ISBLANK('2025'!$Q76), 0, 1), 4, if(ISBLANK('2025'!$R76), 0, 1), 5, if(ISBLANK('2025'!$S76), 0, 1), 6, if(ISBLANK('2025'!$T76), 0, 1), 7, 0))), 1, "")</f>
        <v/>
      </c>
      <c r="AX78" s="1" t="str">
        <f>IF(AND(AND(AND(AX$4&gt;='2025'!$L76,AX$4&lt;='2025'!$M76), AX$4&lt;&gt;DATE(2025,7,4)), (SWITCH(weekday(AX$4), 1, 0, 2, if(ISBLANK('2025'!$P76), 0, 1), 3, if(ISBLANK('2025'!$Q76), 0, 1), 4, if(ISBLANK('2025'!$R76), 0, 1), 5, if(ISBLANK('2025'!$S76), 0, 1), 6, if(ISBLANK('2025'!$T76), 0, 1), 7, 0))), 1, "")</f>
        <v/>
      </c>
      <c r="AY78" s="1" t="str">
        <f>IF(AND(AND(AND(AY$4&gt;='2025'!$L76,AY$4&lt;='2025'!$M76), AY$4&lt;&gt;DATE(2025,7,4)), (SWITCH(weekday(AY$4), 1, 0, 2, if(ISBLANK('2025'!$P76), 0, 1), 3, if(ISBLANK('2025'!$Q76), 0, 1), 4, if(ISBLANK('2025'!$R76), 0, 1), 5, if(ISBLANK('2025'!$S76), 0, 1), 6, if(ISBLANK('2025'!$T76), 0, 1), 7, 0))), 1, "")</f>
        <v/>
      </c>
      <c r="AZ78" s="1" t="str">
        <f>IF(AND(AND(AND(AZ$4&gt;='2025'!$L76,AZ$4&lt;='2025'!$M76), AZ$4&lt;&gt;DATE(2025,7,4)), (SWITCH(weekday(AZ$4), 1, 0, 2, if(ISBLANK('2025'!$P76), 0, 1), 3, if(ISBLANK('2025'!$Q76), 0, 1), 4, if(ISBLANK('2025'!$R76), 0, 1), 5, if(ISBLANK('2025'!$S76), 0, 1), 6, if(ISBLANK('2025'!$T76), 0, 1), 7, 0))), 1, "")</f>
        <v/>
      </c>
      <c r="BA78" s="1" t="str">
        <f>IF(AND(AND(AND(BA$4&gt;='2025'!$L76,BA$4&lt;='2025'!$M76), BA$4&lt;&gt;DATE(2025,7,4)), (SWITCH(weekday(BA$4), 1, 0, 2, if(ISBLANK('2025'!$P76), 0, 1), 3, if(ISBLANK('2025'!$Q76), 0, 1), 4, if(ISBLANK('2025'!$R76), 0, 1), 5, if(ISBLANK('2025'!$S76), 0, 1), 6, if(ISBLANK('2025'!$T76), 0, 1), 7, 0))), 1, "")</f>
        <v/>
      </c>
      <c r="BB78" s="1" t="str">
        <f>IF(AND(AND(AND(BB$4&gt;='2025'!$L76,BB$4&lt;='2025'!$M76), BB$4&lt;&gt;DATE(2025,7,4)), (SWITCH(weekday(BB$4), 1, 0, 2, if(ISBLANK('2025'!$P76), 0, 1), 3, if(ISBLANK('2025'!$Q76), 0, 1), 4, if(ISBLANK('2025'!$R76), 0, 1), 5, if(ISBLANK('2025'!$S76), 0, 1), 6, if(ISBLANK('2025'!$T76), 0, 1), 7, 0))), 1, "")</f>
        <v/>
      </c>
      <c r="BC78" s="1" t="str">
        <f>IF(AND(AND(AND(BC$4&gt;='2025'!$L76,BC$4&lt;='2025'!$M76), BC$4&lt;&gt;DATE(2025,7,4)), (SWITCH(weekday(BC$4), 1, 0, 2, if(ISBLANK('2025'!$P76), 0, 1), 3, if(ISBLANK('2025'!$Q76), 0, 1), 4, if(ISBLANK('2025'!$R76), 0, 1), 5, if(ISBLANK('2025'!$S76), 0, 1), 6, if(ISBLANK('2025'!$T76), 0, 1), 7, 0))), 1, "")</f>
        <v/>
      </c>
      <c r="BD78" s="1" t="str">
        <f>IF(AND(AND(AND(BD$4&gt;='2025'!$L76,BD$4&lt;='2025'!$M76), BD$4&lt;&gt;DATE(2025,7,4)), (SWITCH(weekday(BD$4), 1, 0, 2, if(ISBLANK('2025'!$P76), 0, 1), 3, if(ISBLANK('2025'!$Q76), 0, 1), 4, if(ISBLANK('2025'!$R76), 0, 1), 5, if(ISBLANK('2025'!$S76), 0, 1), 6, if(ISBLANK('2025'!$T76), 0, 1), 7, 0))), 1, "")</f>
        <v/>
      </c>
      <c r="BE78" s="1" t="str">
        <f>IF(AND(AND(AND(BE$4&gt;='2025'!$L76,BE$4&lt;='2025'!$M76), BE$4&lt;&gt;DATE(2025,7,4)), (SWITCH(weekday(BE$4), 1, 0, 2, if(ISBLANK('2025'!$P76), 0, 1), 3, if(ISBLANK('2025'!$Q76), 0, 1), 4, if(ISBLANK('2025'!$R76), 0, 1), 5, if(ISBLANK('2025'!$S76), 0, 1), 6, if(ISBLANK('2025'!$T76), 0, 1), 7, 0))), 1, "")</f>
        <v/>
      </c>
      <c r="BF78" s="1" t="str">
        <f>IF(AND(AND(AND(BF$4&gt;='2025'!$L76,BF$4&lt;='2025'!$M76), BF$4&lt;&gt;DATE(2025,7,4)), (SWITCH(weekday(BF$4), 1, 0, 2, if(ISBLANK('2025'!$P76), 0, 1), 3, if(ISBLANK('2025'!$Q76), 0, 1), 4, if(ISBLANK('2025'!$R76), 0, 1), 5, if(ISBLANK('2025'!$S76), 0, 1), 6, if(ISBLANK('2025'!$T76), 0, 1), 7, 0))), 1, "")</f>
        <v/>
      </c>
      <c r="BG78" s="1"/>
      <c r="BH78" s="1"/>
      <c r="BI78" s="1"/>
      <c r="BJ78" s="1"/>
      <c r="BK78" s="1"/>
      <c r="BL78" s="1"/>
    </row>
    <row r="79">
      <c r="A79" s="1">
        <f t="shared" si="3"/>
        <v>79</v>
      </c>
      <c r="B79" s="1" t="str">
        <f>'2025'!D45</f>
        <v>Landell, Jordyn </v>
      </c>
      <c r="C79" s="1" t="str">
        <f>'2025'!H45</f>
        <v>TOD</v>
      </c>
      <c r="D79" s="1" t="str">
        <f>IF(AND(AND(AND(D$4&gt;='2025'!$L77,D$4&lt;='2025'!$M77), D$4&lt;&gt;DATE(2025,7,4)), (SWITCH(weekday(D$4), 1, 0, 2, if(ISBLANK('2025'!$P77), 0, 1), 3, if(ISBLANK('2025'!$Q77), 0, 1), 4, if(ISBLANK('2025'!$R77), 0, 1), 5, if(ISBLANK('2025'!$S77), 0, 1), 6, if(ISBLANK('2025'!$T77), 0, 1), 7, 0))), 1, "")</f>
        <v/>
      </c>
      <c r="E79" s="1" t="str">
        <f>IF(AND(AND(AND(E$4&gt;='2025'!$L77,E$4&lt;='2025'!$M77), E$4&lt;&gt;DATE(2025,7,4)), (SWITCH(weekday(E$4), 1, 0, 2, if(ISBLANK('2025'!$P77), 0, 1), 3, if(ISBLANK('2025'!$Q77), 0, 1), 4, if(ISBLANK('2025'!$R77), 0, 1), 5, if(ISBLANK('2025'!$S77), 0, 1), 6, if(ISBLANK('2025'!$T77), 0, 1), 7, 0))), 1, "")</f>
        <v/>
      </c>
      <c r="F79" s="1" t="str">
        <f>IF(AND(AND(AND(F$4&gt;='2025'!$L77,F$4&lt;='2025'!$M77), F$4&lt;&gt;DATE(2025,7,4)), (SWITCH(weekday(F$4), 1, 0, 2, if(ISBLANK('2025'!$P77), 0, 1), 3, if(ISBLANK('2025'!$Q77), 0, 1), 4, if(ISBLANK('2025'!$R77), 0, 1), 5, if(ISBLANK('2025'!$S77), 0, 1), 6, if(ISBLANK('2025'!$T77), 0, 1), 7, 0))), 1, "")</f>
        <v/>
      </c>
      <c r="G79" s="1" t="str">
        <f>IF(AND(AND(AND(G$4&gt;='2025'!$L77,G$4&lt;='2025'!$M77), G$4&lt;&gt;DATE(2025,7,4)), (SWITCH(weekday(G$4), 1, 0, 2, if(ISBLANK('2025'!$P77), 0, 1), 3, if(ISBLANK('2025'!$Q77), 0, 1), 4, if(ISBLANK('2025'!$R77), 0, 1), 5, if(ISBLANK('2025'!$S77), 0, 1), 6, if(ISBLANK('2025'!$T77), 0, 1), 7, 0))), 1, "")</f>
        <v/>
      </c>
      <c r="H79" s="1" t="str">
        <f>IF(AND(AND(AND(H$4&gt;='2025'!$L77,H$4&lt;='2025'!$M77), H$4&lt;&gt;DATE(2025,7,4)), (SWITCH(weekday(H$4), 1, 0, 2, if(ISBLANK('2025'!$P77), 0, 1), 3, if(ISBLANK('2025'!$Q77), 0, 1), 4, if(ISBLANK('2025'!$R77), 0, 1), 5, if(ISBLANK('2025'!$S77), 0, 1), 6, if(ISBLANK('2025'!$T77), 0, 1), 7, 0))), 1, "")</f>
        <v/>
      </c>
      <c r="I79" s="1" t="str">
        <f>IF(AND(AND(AND(I$4&gt;='2025'!$L77,I$4&lt;='2025'!$M77), I$4&lt;&gt;DATE(2025,7,4)), (SWITCH(weekday(I$4), 1, 0, 2, if(ISBLANK('2025'!$P77), 0, 1), 3, if(ISBLANK('2025'!$Q77), 0, 1), 4, if(ISBLANK('2025'!$R77), 0, 1), 5, if(ISBLANK('2025'!$S77), 0, 1), 6, if(ISBLANK('2025'!$T77), 0, 1), 7, 0))), 1, "")</f>
        <v/>
      </c>
      <c r="J79" s="1" t="str">
        <f>IF(AND(AND(AND(J$4&gt;='2025'!$L77,J$4&lt;='2025'!$M77), J$4&lt;&gt;DATE(2025,7,4)), (SWITCH(weekday(J$4), 1, 0, 2, if(ISBLANK('2025'!$P77), 0, 1), 3, if(ISBLANK('2025'!$Q77), 0, 1), 4, if(ISBLANK('2025'!$R77), 0, 1), 5, if(ISBLANK('2025'!$S77), 0, 1), 6, if(ISBLANK('2025'!$T77), 0, 1), 7, 0))), 1, "")</f>
        <v/>
      </c>
      <c r="K79" s="1" t="str">
        <f>IF(AND(AND(AND(K$4&gt;='2025'!$L77,K$4&lt;='2025'!$M77), K$4&lt;&gt;DATE(2025,7,4)), (SWITCH(weekday(K$4), 1, 0, 2, if(ISBLANK('2025'!$P77), 0, 1), 3, if(ISBLANK('2025'!$Q77), 0, 1), 4, if(ISBLANK('2025'!$R77), 0, 1), 5, if(ISBLANK('2025'!$S77), 0, 1), 6, if(ISBLANK('2025'!$T77), 0, 1), 7, 0))), 1, "")</f>
        <v/>
      </c>
      <c r="L79" s="1" t="str">
        <f>IF(AND(AND(AND(L$4&gt;='2025'!$L77,L$4&lt;='2025'!$M77), L$4&lt;&gt;DATE(2025,7,4)), (SWITCH(weekday(L$4), 1, 0, 2, if(ISBLANK('2025'!$P77), 0, 1), 3, if(ISBLANK('2025'!$Q77), 0, 1), 4, if(ISBLANK('2025'!$R77), 0, 1), 5, if(ISBLANK('2025'!$S77), 0, 1), 6, if(ISBLANK('2025'!$T77), 0, 1), 7, 0))), 1, "")</f>
        <v/>
      </c>
      <c r="M79" s="1" t="str">
        <f>IF(AND(AND(AND(M$4&gt;='2025'!$L77,M$4&lt;='2025'!$M77), M$4&lt;&gt;DATE(2025,7,4)), (SWITCH(weekday(M$4), 1, 0, 2, if(ISBLANK('2025'!$P77), 0, 1), 3, if(ISBLANK('2025'!$Q77), 0, 1), 4, if(ISBLANK('2025'!$R77), 0, 1), 5, if(ISBLANK('2025'!$S77), 0, 1), 6, if(ISBLANK('2025'!$T77), 0, 1), 7, 0))), 1, "")</f>
        <v/>
      </c>
      <c r="N79" s="1" t="str">
        <f>IF(AND(AND(AND(N$4&gt;='2025'!$L77,N$4&lt;='2025'!$M77), N$4&lt;&gt;DATE(2025,7,4)), (SWITCH(weekday(N$4), 1, 0, 2, if(ISBLANK('2025'!$P77), 0, 1), 3, if(ISBLANK('2025'!$Q77), 0, 1), 4, if(ISBLANK('2025'!$R77), 0, 1), 5, if(ISBLANK('2025'!$S77), 0, 1), 6, if(ISBLANK('2025'!$T77), 0, 1), 7, 0))), 1, "")</f>
        <v/>
      </c>
      <c r="O79" s="1" t="str">
        <f>IF(AND(AND(AND(O$4&gt;='2025'!$L77,O$4&lt;='2025'!$M77), O$4&lt;&gt;DATE(2025,7,4)), (SWITCH(weekday(O$4), 1, 0, 2, if(ISBLANK('2025'!$P77), 0, 1), 3, if(ISBLANK('2025'!$Q77), 0, 1), 4, if(ISBLANK('2025'!$R77), 0, 1), 5, if(ISBLANK('2025'!$S77), 0, 1), 6, if(ISBLANK('2025'!$T77), 0, 1), 7, 0))), 1, "")</f>
        <v/>
      </c>
      <c r="P79" s="1" t="str">
        <f>IF(AND(AND(AND(P$4&gt;='2025'!$L77,P$4&lt;='2025'!$M77), P$4&lt;&gt;DATE(2025,7,4)), (SWITCH(weekday(P$4), 1, 0, 2, if(ISBLANK('2025'!$P77), 0, 1), 3, if(ISBLANK('2025'!$Q77), 0, 1), 4, if(ISBLANK('2025'!$R77), 0, 1), 5, if(ISBLANK('2025'!$S77), 0, 1), 6, if(ISBLANK('2025'!$T77), 0, 1), 7, 0))), 1, "")</f>
        <v/>
      </c>
      <c r="Q79" s="1" t="str">
        <f>IF(AND(AND(AND(Q$4&gt;='2025'!$L77,Q$4&lt;='2025'!$M77), Q$4&lt;&gt;DATE(2025,7,4)), (SWITCH(weekday(Q$4), 1, 0, 2, if(ISBLANK('2025'!$P77), 0, 1), 3, if(ISBLANK('2025'!$Q77), 0, 1), 4, if(ISBLANK('2025'!$R77), 0, 1), 5, if(ISBLANK('2025'!$S77), 0, 1), 6, if(ISBLANK('2025'!$T77), 0, 1), 7, 0))), 1, "")</f>
        <v/>
      </c>
      <c r="R79" s="1" t="str">
        <f>IF(AND(AND(AND(R$4&gt;='2025'!$L77,R$4&lt;='2025'!$M77), R$4&lt;&gt;DATE(2025,7,4)), (SWITCH(weekday(R$4), 1, 0, 2, if(ISBLANK('2025'!$P77), 0, 1), 3, if(ISBLANK('2025'!$Q77), 0, 1), 4, if(ISBLANK('2025'!$R77), 0, 1), 5, if(ISBLANK('2025'!$S77), 0, 1), 6, if(ISBLANK('2025'!$T77), 0, 1), 7, 0))), 1, "")</f>
        <v/>
      </c>
      <c r="S79" s="1" t="str">
        <f>IF(AND(AND(AND(S$4&gt;='2025'!$L77,S$4&lt;='2025'!$M77), S$4&lt;&gt;DATE(2025,7,4)), (SWITCH(weekday(S$4), 1, 0, 2, if(ISBLANK('2025'!$P77), 0, 1), 3, if(ISBLANK('2025'!$Q77), 0, 1), 4, if(ISBLANK('2025'!$R77), 0, 1), 5, if(ISBLANK('2025'!$S77), 0, 1), 6, if(ISBLANK('2025'!$T77), 0, 1), 7, 0))), 1, "")</f>
        <v/>
      </c>
      <c r="T79" s="1" t="str">
        <f>IF(AND(AND(AND(T$4&gt;='2025'!$L77,T$4&lt;='2025'!$M77), T$4&lt;&gt;DATE(2025,7,4)), (SWITCH(weekday(T$4), 1, 0, 2, if(ISBLANK('2025'!$P77), 0, 1), 3, if(ISBLANK('2025'!$Q77), 0, 1), 4, if(ISBLANK('2025'!$R77), 0, 1), 5, if(ISBLANK('2025'!$S77), 0, 1), 6, if(ISBLANK('2025'!$T77), 0, 1), 7, 0))), 1, "")</f>
        <v/>
      </c>
      <c r="U79" s="1" t="str">
        <f>IF(AND(AND(AND(U$4&gt;='2025'!$L77,U$4&lt;='2025'!$M77), U$4&lt;&gt;DATE(2025,7,4)), (SWITCH(weekday(U$4), 1, 0, 2, if(ISBLANK('2025'!$P77), 0, 1), 3, if(ISBLANK('2025'!$Q77), 0, 1), 4, if(ISBLANK('2025'!$R77), 0, 1), 5, if(ISBLANK('2025'!$S77), 0, 1), 6, if(ISBLANK('2025'!$T77), 0, 1), 7, 0))), 1, "")</f>
        <v/>
      </c>
      <c r="V79" s="1" t="str">
        <f>IF(AND(AND(AND(V$4&gt;='2025'!$L77,V$4&lt;='2025'!$M77), V$4&lt;&gt;DATE(2025,7,4)), (SWITCH(weekday(V$4), 1, 0, 2, if(ISBLANK('2025'!$P77), 0, 1), 3, if(ISBLANK('2025'!$Q77), 0, 1), 4, if(ISBLANK('2025'!$R77), 0, 1), 5, if(ISBLANK('2025'!$S77), 0, 1), 6, if(ISBLANK('2025'!$T77), 0, 1), 7, 0))), 1, "")</f>
        <v/>
      </c>
      <c r="W79" s="1" t="str">
        <f>IF(AND(AND(AND(W$4&gt;='2025'!$L77,W$4&lt;='2025'!$M77), W$4&lt;&gt;DATE(2025,7,4)), (SWITCH(weekday(W$4), 1, 0, 2, if(ISBLANK('2025'!$P77), 0, 1), 3, if(ISBLANK('2025'!$Q77), 0, 1), 4, if(ISBLANK('2025'!$R77), 0, 1), 5, if(ISBLANK('2025'!$S77), 0, 1), 6, if(ISBLANK('2025'!$T77), 0, 1), 7, 0))), 1, "")</f>
        <v/>
      </c>
      <c r="X79" s="1" t="str">
        <f>IF(AND(AND(AND(X$4&gt;='2025'!$L77,X$4&lt;='2025'!$M77), X$4&lt;&gt;DATE(2025,7,4)), (SWITCH(weekday(X$4), 1, 0, 2, if(ISBLANK('2025'!$P77), 0, 1), 3, if(ISBLANK('2025'!$Q77), 0, 1), 4, if(ISBLANK('2025'!$R77), 0, 1), 5, if(ISBLANK('2025'!$S77), 0, 1), 6, if(ISBLANK('2025'!$T77), 0, 1), 7, 0))), 1, "")</f>
        <v/>
      </c>
      <c r="Y79" s="1" t="str">
        <f>IF(AND(AND(AND(Y$4&gt;='2025'!$L77,Y$4&lt;='2025'!$M77), Y$4&lt;&gt;DATE(2025,7,4)), (SWITCH(weekday(Y$4), 1, 0, 2, if(ISBLANK('2025'!$P77), 0, 1), 3, if(ISBLANK('2025'!$Q77), 0, 1), 4, if(ISBLANK('2025'!$R77), 0, 1), 5, if(ISBLANK('2025'!$S77), 0, 1), 6, if(ISBLANK('2025'!$T77), 0, 1), 7, 0))), 1, "")</f>
        <v/>
      </c>
      <c r="Z79" s="1" t="str">
        <f>IF(AND(AND(AND(Z$4&gt;='2025'!$L77,Z$4&lt;='2025'!$M77), Z$4&lt;&gt;DATE(2025,7,4)), (SWITCH(weekday(Z$4), 1, 0, 2, if(ISBLANK('2025'!$P77), 0, 1), 3, if(ISBLANK('2025'!$Q77), 0, 1), 4, if(ISBLANK('2025'!$R77), 0, 1), 5, if(ISBLANK('2025'!$S77), 0, 1), 6, if(ISBLANK('2025'!$T77), 0, 1), 7, 0))), 1, "")</f>
        <v/>
      </c>
      <c r="AA79" s="1" t="str">
        <f>IF(AND(AND(AND(AA$4&gt;='2025'!$L77,AA$4&lt;='2025'!$M77), AA$4&lt;&gt;DATE(2025,7,4)), (SWITCH(weekday(AA$4), 1, 0, 2, if(ISBLANK('2025'!$P77), 0, 1), 3, if(ISBLANK('2025'!$Q77), 0, 1), 4, if(ISBLANK('2025'!$R77), 0, 1), 5, if(ISBLANK('2025'!$S77), 0, 1), 6, if(ISBLANK('2025'!$T77), 0, 1), 7, 0))), 1, "")</f>
        <v/>
      </c>
      <c r="AB79" s="1" t="str">
        <f>IF(AND(AND(AND(AB$4&gt;='2025'!$L77,AB$4&lt;='2025'!$M77), AB$4&lt;&gt;DATE(2025,7,4)), (SWITCH(weekday(AB$4), 1, 0, 2, if(ISBLANK('2025'!$P77), 0, 1), 3, if(ISBLANK('2025'!$Q77), 0, 1), 4, if(ISBLANK('2025'!$R77), 0, 1), 5, if(ISBLANK('2025'!$S77), 0, 1), 6, if(ISBLANK('2025'!$T77), 0, 1), 7, 0))), 1, "")</f>
        <v/>
      </c>
      <c r="AC79" s="1" t="str">
        <f>IF(AND(AND(AND(AC$4&gt;='2025'!$L77,AC$4&lt;='2025'!$M77), AC$4&lt;&gt;DATE(2025,7,4)), (SWITCH(weekday(AC$4), 1, 0, 2, if(ISBLANK('2025'!$P77), 0, 1), 3, if(ISBLANK('2025'!$Q77), 0, 1), 4, if(ISBLANK('2025'!$R77), 0, 1), 5, if(ISBLANK('2025'!$S77), 0, 1), 6, if(ISBLANK('2025'!$T77), 0, 1), 7, 0))), 1, "")</f>
        <v/>
      </c>
      <c r="AD79" s="1" t="str">
        <f>IF(AND(AND(AND(AD$4&gt;='2025'!$L77,AD$4&lt;='2025'!$M77), AD$4&lt;&gt;DATE(2025,7,4)), (SWITCH(weekday(AD$4), 1, 0, 2, if(ISBLANK('2025'!$P77), 0, 1), 3, if(ISBLANK('2025'!$Q77), 0, 1), 4, if(ISBLANK('2025'!$R77), 0, 1), 5, if(ISBLANK('2025'!$S77), 0, 1), 6, if(ISBLANK('2025'!$T77), 0, 1), 7, 0))), 1, "")</f>
        <v/>
      </c>
      <c r="AE79" s="1" t="str">
        <f>IF(AND(AND(AND(AE$4&gt;='2025'!$L77,AE$4&lt;='2025'!$M77), AE$4&lt;&gt;DATE(2025,7,4)), (SWITCH(weekday(AE$4), 1, 0, 2, if(ISBLANK('2025'!$P77), 0, 1), 3, if(ISBLANK('2025'!$Q77), 0, 1), 4, if(ISBLANK('2025'!$R77), 0, 1), 5, if(ISBLANK('2025'!$S77), 0, 1), 6, if(ISBLANK('2025'!$T77), 0, 1), 7, 0))), 1, "")</f>
        <v/>
      </c>
      <c r="AF79" s="1" t="str">
        <f>IF(AND(AND(AND(AF$4&gt;='2025'!$L77,AF$4&lt;='2025'!$M77), AF$4&lt;&gt;DATE(2025,7,4)), (SWITCH(weekday(AF$4), 1, 0, 2, if(ISBLANK('2025'!$P77), 0, 1), 3, if(ISBLANK('2025'!$Q77), 0, 1), 4, if(ISBLANK('2025'!$R77), 0, 1), 5, if(ISBLANK('2025'!$S77), 0, 1), 6, if(ISBLANK('2025'!$T77), 0, 1), 7, 0))), 1, "")</f>
        <v/>
      </c>
      <c r="AG79" s="1" t="str">
        <f>IF(AND(AND(AND(AG$4&gt;='2025'!$L77,AG$4&lt;='2025'!$M77), AG$4&lt;&gt;DATE(2025,7,4)), (SWITCH(weekday(AG$4), 1, 0, 2, if(ISBLANK('2025'!$P77), 0, 1), 3, if(ISBLANK('2025'!$Q77), 0, 1), 4, if(ISBLANK('2025'!$R77), 0, 1), 5, if(ISBLANK('2025'!$S77), 0, 1), 6, if(ISBLANK('2025'!$T77), 0, 1), 7, 0))), 1, "")</f>
        <v/>
      </c>
      <c r="AH79" s="1" t="str">
        <f>IF(AND(AND(AND(AH$4&gt;='2025'!$L77,AH$4&lt;='2025'!$M77), AH$4&lt;&gt;DATE(2025,7,4)), (SWITCH(weekday(AH$4), 1, 0, 2, if(ISBLANK('2025'!$P77), 0, 1), 3, if(ISBLANK('2025'!$Q77), 0, 1), 4, if(ISBLANK('2025'!$R77), 0, 1), 5, if(ISBLANK('2025'!$S77), 0, 1), 6, if(ISBLANK('2025'!$T77), 0, 1), 7, 0))), 1, "")</f>
        <v/>
      </c>
      <c r="AI79" s="1" t="str">
        <f>IF(AND(AND(AND(AI$4&gt;='2025'!$L77,AI$4&lt;='2025'!$M77), AI$4&lt;&gt;DATE(2025,7,4)), (SWITCH(weekday(AI$4), 1, 0, 2, if(ISBLANK('2025'!$P77), 0, 1), 3, if(ISBLANK('2025'!$Q77), 0, 1), 4, if(ISBLANK('2025'!$R77), 0, 1), 5, if(ISBLANK('2025'!$S77), 0, 1), 6, if(ISBLANK('2025'!$T77), 0, 1), 7, 0))), 1, "")</f>
        <v/>
      </c>
      <c r="AJ79" s="1" t="str">
        <f>IF(AND(AND(AND(AJ$4&gt;='2025'!$L77,AJ$4&lt;='2025'!$M77), AJ$4&lt;&gt;DATE(2025,7,4)), (SWITCH(weekday(AJ$4), 1, 0, 2, if(ISBLANK('2025'!$P77), 0, 1), 3, if(ISBLANK('2025'!$Q77), 0, 1), 4, if(ISBLANK('2025'!$R77), 0, 1), 5, if(ISBLANK('2025'!$S77), 0, 1), 6, if(ISBLANK('2025'!$T77), 0, 1), 7, 0))), 1, "")</f>
        <v/>
      </c>
      <c r="AK79" s="1" t="str">
        <f>IF(AND(AND(AND(AK$4&gt;='2025'!$L77,AK$4&lt;='2025'!$M77), AK$4&lt;&gt;DATE(2025,7,4)), (SWITCH(weekday(AK$4), 1, 0, 2, if(ISBLANK('2025'!$P77), 0, 1), 3, if(ISBLANK('2025'!$Q77), 0, 1), 4, if(ISBLANK('2025'!$R77), 0, 1), 5, if(ISBLANK('2025'!$S77), 0, 1), 6, if(ISBLANK('2025'!$T77), 0, 1), 7, 0))), 1, "")</f>
        <v/>
      </c>
      <c r="AL79" s="1" t="str">
        <f>IF(AND(AND(AND(AL$4&gt;='2025'!$L77,AL$4&lt;='2025'!$M77), AL$4&lt;&gt;DATE(2025,7,4)), (SWITCH(weekday(AL$4), 1, 0, 2, if(ISBLANK('2025'!$P77), 0, 1), 3, if(ISBLANK('2025'!$Q77), 0, 1), 4, if(ISBLANK('2025'!$R77), 0, 1), 5, if(ISBLANK('2025'!$S77), 0, 1), 6, if(ISBLANK('2025'!$T77), 0, 1), 7, 0))), 1, "")</f>
        <v/>
      </c>
      <c r="AM79" s="1" t="str">
        <f>IF(AND(AND(AND(AM$4&gt;='2025'!$L77,AM$4&lt;='2025'!$M77), AM$4&lt;&gt;DATE(2025,7,4)), (SWITCH(weekday(AM$4), 1, 0, 2, if(ISBLANK('2025'!$P77), 0, 1), 3, if(ISBLANK('2025'!$Q77), 0, 1), 4, if(ISBLANK('2025'!$R77), 0, 1), 5, if(ISBLANK('2025'!$S77), 0, 1), 6, if(ISBLANK('2025'!$T77), 0, 1), 7, 0))), 1, "")</f>
        <v/>
      </c>
      <c r="AN79" s="1" t="str">
        <f>IF(AND(AND(AND(AN$4&gt;='2025'!$L77,AN$4&lt;='2025'!$M77), AN$4&lt;&gt;DATE(2025,7,4)), (SWITCH(weekday(AN$4), 1, 0, 2, if(ISBLANK('2025'!$P77), 0, 1), 3, if(ISBLANK('2025'!$Q77), 0, 1), 4, if(ISBLANK('2025'!$R77), 0, 1), 5, if(ISBLANK('2025'!$S77), 0, 1), 6, if(ISBLANK('2025'!$T77), 0, 1), 7, 0))), 1, "")</f>
        <v/>
      </c>
      <c r="AO79" s="1" t="str">
        <f>IF(AND(AND(AND(AO$4&gt;='2025'!$L77,AO$4&lt;='2025'!$M77), AO$4&lt;&gt;DATE(2025,7,4)), (SWITCH(weekday(AO$4), 1, 0, 2, if(ISBLANK('2025'!$P77), 0, 1), 3, if(ISBLANK('2025'!$Q77), 0, 1), 4, if(ISBLANK('2025'!$R77), 0, 1), 5, if(ISBLANK('2025'!$S77), 0, 1), 6, if(ISBLANK('2025'!$T77), 0, 1), 7, 0))), 1, "")</f>
        <v/>
      </c>
      <c r="AP79" s="1" t="str">
        <f>IF(AND(AND(AND(AP$4&gt;='2025'!$L77,AP$4&lt;='2025'!$M77), AP$4&lt;&gt;DATE(2025,7,4)), (SWITCH(weekday(AP$4), 1, 0, 2, if(ISBLANK('2025'!$P77), 0, 1), 3, if(ISBLANK('2025'!$Q77), 0, 1), 4, if(ISBLANK('2025'!$R77), 0, 1), 5, if(ISBLANK('2025'!$S77), 0, 1), 6, if(ISBLANK('2025'!$T77), 0, 1), 7, 0))), 1, "")</f>
        <v/>
      </c>
      <c r="AQ79" s="1" t="str">
        <f>IF(AND(AND(AND(AQ$4&gt;='2025'!$L77,AQ$4&lt;='2025'!$M77), AQ$4&lt;&gt;DATE(2025,7,4)), (SWITCH(weekday(AQ$4), 1, 0, 2, if(ISBLANK('2025'!$P77), 0, 1), 3, if(ISBLANK('2025'!$Q77), 0, 1), 4, if(ISBLANK('2025'!$R77), 0, 1), 5, if(ISBLANK('2025'!$S77), 0, 1), 6, if(ISBLANK('2025'!$T77), 0, 1), 7, 0))), 1, "")</f>
        <v/>
      </c>
      <c r="AR79" s="1" t="str">
        <f>IF(AND(AND(AND(AR$4&gt;='2025'!$L77,AR$4&lt;='2025'!$M77), AR$4&lt;&gt;DATE(2025,7,4)), (SWITCH(weekday(AR$4), 1, 0, 2, if(ISBLANK('2025'!$P77), 0, 1), 3, if(ISBLANK('2025'!$Q77), 0, 1), 4, if(ISBLANK('2025'!$R77), 0, 1), 5, if(ISBLANK('2025'!$S77), 0, 1), 6, if(ISBLANK('2025'!$T77), 0, 1), 7, 0))), 1, "")</f>
        <v/>
      </c>
      <c r="AS79" s="1" t="str">
        <f>IF(AND(AND(AND(AS$4&gt;='2025'!$L77,AS$4&lt;='2025'!$M77), AS$4&lt;&gt;DATE(2025,7,4)), (SWITCH(weekday(AS$4), 1, 0, 2, if(ISBLANK('2025'!$P77), 0, 1), 3, if(ISBLANK('2025'!$Q77), 0, 1), 4, if(ISBLANK('2025'!$R77), 0, 1), 5, if(ISBLANK('2025'!$S77), 0, 1), 6, if(ISBLANK('2025'!$T77), 0, 1), 7, 0))), 1, "")</f>
        <v/>
      </c>
      <c r="AT79" s="1" t="str">
        <f>IF(AND(AND(AND(AT$4&gt;='2025'!$L77,AT$4&lt;='2025'!$M77), AT$4&lt;&gt;DATE(2025,7,4)), (SWITCH(weekday(AT$4), 1, 0, 2, if(ISBLANK('2025'!$P77), 0, 1), 3, if(ISBLANK('2025'!$Q77), 0, 1), 4, if(ISBLANK('2025'!$R77), 0, 1), 5, if(ISBLANK('2025'!$S77), 0, 1), 6, if(ISBLANK('2025'!$T77), 0, 1), 7, 0))), 1, "")</f>
        <v/>
      </c>
      <c r="AU79" s="1" t="str">
        <f>IF(AND(AND(AND(AU$4&gt;='2025'!$L77,AU$4&lt;='2025'!$M77), AU$4&lt;&gt;DATE(2025,7,4)), (SWITCH(weekday(AU$4), 1, 0, 2, if(ISBLANK('2025'!$P77), 0, 1), 3, if(ISBLANK('2025'!$Q77), 0, 1), 4, if(ISBLANK('2025'!$R77), 0, 1), 5, if(ISBLANK('2025'!$S77), 0, 1), 6, if(ISBLANK('2025'!$T77), 0, 1), 7, 0))), 1, "")</f>
        <v/>
      </c>
      <c r="AV79" s="1" t="str">
        <f>IF(AND(AND(AND(AV$4&gt;='2025'!$L77,AV$4&lt;='2025'!$M77), AV$4&lt;&gt;DATE(2025,7,4)), (SWITCH(weekday(AV$4), 1, 0, 2, if(ISBLANK('2025'!$P77), 0, 1), 3, if(ISBLANK('2025'!$Q77), 0, 1), 4, if(ISBLANK('2025'!$R77), 0, 1), 5, if(ISBLANK('2025'!$S77), 0, 1), 6, if(ISBLANK('2025'!$T77), 0, 1), 7, 0))), 1, "")</f>
        <v/>
      </c>
      <c r="AW79" s="1" t="str">
        <f>IF(AND(AND(AND(AW$4&gt;='2025'!$L77,AW$4&lt;='2025'!$M77), AW$4&lt;&gt;DATE(2025,7,4)), (SWITCH(weekday(AW$4), 1, 0, 2, if(ISBLANK('2025'!$P77), 0, 1), 3, if(ISBLANK('2025'!$Q77), 0, 1), 4, if(ISBLANK('2025'!$R77), 0, 1), 5, if(ISBLANK('2025'!$S77), 0, 1), 6, if(ISBLANK('2025'!$T77), 0, 1), 7, 0))), 1, "")</f>
        <v/>
      </c>
      <c r="AX79" s="1" t="str">
        <f>IF(AND(AND(AND(AX$4&gt;='2025'!$L77,AX$4&lt;='2025'!$M77), AX$4&lt;&gt;DATE(2025,7,4)), (SWITCH(weekday(AX$4), 1, 0, 2, if(ISBLANK('2025'!$P77), 0, 1), 3, if(ISBLANK('2025'!$Q77), 0, 1), 4, if(ISBLANK('2025'!$R77), 0, 1), 5, if(ISBLANK('2025'!$S77), 0, 1), 6, if(ISBLANK('2025'!$T77), 0, 1), 7, 0))), 1, "")</f>
        <v/>
      </c>
      <c r="AY79" s="1" t="str">
        <f>IF(AND(AND(AND(AY$4&gt;='2025'!$L77,AY$4&lt;='2025'!$M77), AY$4&lt;&gt;DATE(2025,7,4)), (SWITCH(weekday(AY$4), 1, 0, 2, if(ISBLANK('2025'!$P77), 0, 1), 3, if(ISBLANK('2025'!$Q77), 0, 1), 4, if(ISBLANK('2025'!$R77), 0, 1), 5, if(ISBLANK('2025'!$S77), 0, 1), 6, if(ISBLANK('2025'!$T77), 0, 1), 7, 0))), 1, "")</f>
        <v/>
      </c>
      <c r="AZ79" s="1" t="str">
        <f>IF(AND(AND(AND(AZ$4&gt;='2025'!$L77,AZ$4&lt;='2025'!$M77), AZ$4&lt;&gt;DATE(2025,7,4)), (SWITCH(weekday(AZ$4), 1, 0, 2, if(ISBLANK('2025'!$P77), 0, 1), 3, if(ISBLANK('2025'!$Q77), 0, 1), 4, if(ISBLANK('2025'!$R77), 0, 1), 5, if(ISBLANK('2025'!$S77), 0, 1), 6, if(ISBLANK('2025'!$T77), 0, 1), 7, 0))), 1, "")</f>
        <v/>
      </c>
      <c r="BA79" s="1" t="str">
        <f>IF(AND(AND(AND(BA$4&gt;='2025'!$L77,BA$4&lt;='2025'!$M77), BA$4&lt;&gt;DATE(2025,7,4)), (SWITCH(weekday(BA$4), 1, 0, 2, if(ISBLANK('2025'!$P77), 0, 1), 3, if(ISBLANK('2025'!$Q77), 0, 1), 4, if(ISBLANK('2025'!$R77), 0, 1), 5, if(ISBLANK('2025'!$S77), 0, 1), 6, if(ISBLANK('2025'!$T77), 0, 1), 7, 0))), 1, "")</f>
        <v/>
      </c>
      <c r="BB79" s="1" t="str">
        <f>IF(AND(AND(AND(BB$4&gt;='2025'!$L77,BB$4&lt;='2025'!$M77), BB$4&lt;&gt;DATE(2025,7,4)), (SWITCH(weekday(BB$4), 1, 0, 2, if(ISBLANK('2025'!$P77), 0, 1), 3, if(ISBLANK('2025'!$Q77), 0, 1), 4, if(ISBLANK('2025'!$R77), 0, 1), 5, if(ISBLANK('2025'!$S77), 0, 1), 6, if(ISBLANK('2025'!$T77), 0, 1), 7, 0))), 1, "")</f>
        <v/>
      </c>
      <c r="BC79" s="1" t="str">
        <f>IF(AND(AND(AND(BC$4&gt;='2025'!$L77,BC$4&lt;='2025'!$M77), BC$4&lt;&gt;DATE(2025,7,4)), (SWITCH(weekday(BC$4), 1, 0, 2, if(ISBLANK('2025'!$P77), 0, 1), 3, if(ISBLANK('2025'!$Q77), 0, 1), 4, if(ISBLANK('2025'!$R77), 0, 1), 5, if(ISBLANK('2025'!$S77), 0, 1), 6, if(ISBLANK('2025'!$T77), 0, 1), 7, 0))), 1, "")</f>
        <v/>
      </c>
      <c r="BD79" s="1" t="str">
        <f>IF(AND(AND(AND(BD$4&gt;='2025'!$L77,BD$4&lt;='2025'!$M77), BD$4&lt;&gt;DATE(2025,7,4)), (SWITCH(weekday(BD$4), 1, 0, 2, if(ISBLANK('2025'!$P77), 0, 1), 3, if(ISBLANK('2025'!$Q77), 0, 1), 4, if(ISBLANK('2025'!$R77), 0, 1), 5, if(ISBLANK('2025'!$S77), 0, 1), 6, if(ISBLANK('2025'!$T77), 0, 1), 7, 0))), 1, "")</f>
        <v/>
      </c>
      <c r="BE79" s="1" t="str">
        <f>IF(AND(AND(AND(BE$4&gt;='2025'!$L77,BE$4&lt;='2025'!$M77), BE$4&lt;&gt;DATE(2025,7,4)), (SWITCH(weekday(BE$4), 1, 0, 2, if(ISBLANK('2025'!$P77), 0, 1), 3, if(ISBLANK('2025'!$Q77), 0, 1), 4, if(ISBLANK('2025'!$R77), 0, 1), 5, if(ISBLANK('2025'!$S77), 0, 1), 6, if(ISBLANK('2025'!$T77), 0, 1), 7, 0))), 1, "")</f>
        <v/>
      </c>
      <c r="BF79" s="1" t="str">
        <f>IF(AND(AND(AND(BF$4&gt;='2025'!$L77,BF$4&lt;='2025'!$M77), BF$4&lt;&gt;DATE(2025,7,4)), (SWITCH(weekday(BF$4), 1, 0, 2, if(ISBLANK('2025'!$P77), 0, 1), 3, if(ISBLANK('2025'!$Q77), 0, 1), 4, if(ISBLANK('2025'!$R77), 0, 1), 5, if(ISBLANK('2025'!$S77), 0, 1), 6, if(ISBLANK('2025'!$T77), 0, 1), 7, 0))), 1, "")</f>
        <v/>
      </c>
      <c r="BG79" s="1"/>
      <c r="BH79" s="1"/>
      <c r="BI79" s="1"/>
      <c r="BJ79" s="1"/>
      <c r="BK79" s="1"/>
      <c r="BL79" s="1"/>
    </row>
    <row r="80">
      <c r="A80" s="1">
        <f t="shared" si="3"/>
        <v>80</v>
      </c>
      <c r="B80" s="1" t="str">
        <f>'2025'!D46</f>
        <v>landell , Jordyn </v>
      </c>
      <c r="C80" s="1" t="str">
        <f>'2025'!H46</f>
        <v>tod</v>
      </c>
      <c r="D80" s="1" t="str">
        <f>IF(AND(AND(AND(D$4&gt;='2025'!$L78,D$4&lt;='2025'!$M78), D$4&lt;&gt;DATE(2025,7,4)), (SWITCH(weekday(D$4), 1, 0, 2, if(ISBLANK('2025'!$P78), 0, 1), 3, if(ISBLANK('2025'!$Q78), 0, 1), 4, if(ISBLANK('2025'!$R78), 0, 1), 5, if(ISBLANK('2025'!$S78), 0, 1), 6, if(ISBLANK('2025'!$T78), 0, 1), 7, 0))), 1, "")</f>
        <v/>
      </c>
      <c r="E80" s="1" t="str">
        <f>IF(AND(AND(AND(E$4&gt;='2025'!$L78,E$4&lt;='2025'!$M78), E$4&lt;&gt;DATE(2025,7,4)), (SWITCH(weekday(E$4), 1, 0, 2, if(ISBLANK('2025'!$P78), 0, 1), 3, if(ISBLANK('2025'!$Q78), 0, 1), 4, if(ISBLANK('2025'!$R78), 0, 1), 5, if(ISBLANK('2025'!$S78), 0, 1), 6, if(ISBLANK('2025'!$T78), 0, 1), 7, 0))), 1, "")</f>
        <v/>
      </c>
      <c r="F80" s="1" t="str">
        <f>IF(AND(AND(AND(F$4&gt;='2025'!$L78,F$4&lt;='2025'!$M78), F$4&lt;&gt;DATE(2025,7,4)), (SWITCH(weekday(F$4), 1, 0, 2, if(ISBLANK('2025'!$P78), 0, 1), 3, if(ISBLANK('2025'!$Q78), 0, 1), 4, if(ISBLANK('2025'!$R78), 0, 1), 5, if(ISBLANK('2025'!$S78), 0, 1), 6, if(ISBLANK('2025'!$T78), 0, 1), 7, 0))), 1, "")</f>
        <v/>
      </c>
      <c r="G80" s="1" t="str">
        <f>IF(AND(AND(AND(G$4&gt;='2025'!$L78,G$4&lt;='2025'!$M78), G$4&lt;&gt;DATE(2025,7,4)), (SWITCH(weekday(G$4), 1, 0, 2, if(ISBLANK('2025'!$P78), 0, 1), 3, if(ISBLANK('2025'!$Q78), 0, 1), 4, if(ISBLANK('2025'!$R78), 0, 1), 5, if(ISBLANK('2025'!$S78), 0, 1), 6, if(ISBLANK('2025'!$T78), 0, 1), 7, 0))), 1, "")</f>
        <v/>
      </c>
      <c r="H80" s="1" t="str">
        <f>IF(AND(AND(AND(H$4&gt;='2025'!$L78,H$4&lt;='2025'!$M78), H$4&lt;&gt;DATE(2025,7,4)), (SWITCH(weekday(H$4), 1, 0, 2, if(ISBLANK('2025'!$P78), 0, 1), 3, if(ISBLANK('2025'!$Q78), 0, 1), 4, if(ISBLANK('2025'!$R78), 0, 1), 5, if(ISBLANK('2025'!$S78), 0, 1), 6, if(ISBLANK('2025'!$T78), 0, 1), 7, 0))), 1, "")</f>
        <v/>
      </c>
      <c r="I80" s="1" t="str">
        <f>IF(AND(AND(AND(I$4&gt;='2025'!$L78,I$4&lt;='2025'!$M78), I$4&lt;&gt;DATE(2025,7,4)), (SWITCH(weekday(I$4), 1, 0, 2, if(ISBLANK('2025'!$P78), 0, 1), 3, if(ISBLANK('2025'!$Q78), 0, 1), 4, if(ISBLANK('2025'!$R78), 0, 1), 5, if(ISBLANK('2025'!$S78), 0, 1), 6, if(ISBLANK('2025'!$T78), 0, 1), 7, 0))), 1, "")</f>
        <v/>
      </c>
      <c r="J80" s="1" t="str">
        <f>IF(AND(AND(AND(J$4&gt;='2025'!$L78,J$4&lt;='2025'!$M78), J$4&lt;&gt;DATE(2025,7,4)), (SWITCH(weekday(J$4), 1, 0, 2, if(ISBLANK('2025'!$P78), 0, 1), 3, if(ISBLANK('2025'!$Q78), 0, 1), 4, if(ISBLANK('2025'!$R78), 0, 1), 5, if(ISBLANK('2025'!$S78), 0, 1), 6, if(ISBLANK('2025'!$T78), 0, 1), 7, 0))), 1, "")</f>
        <v/>
      </c>
      <c r="K80" s="1" t="str">
        <f>IF(AND(AND(AND(K$4&gt;='2025'!$L78,K$4&lt;='2025'!$M78), K$4&lt;&gt;DATE(2025,7,4)), (SWITCH(weekday(K$4), 1, 0, 2, if(ISBLANK('2025'!$P78), 0, 1), 3, if(ISBLANK('2025'!$Q78), 0, 1), 4, if(ISBLANK('2025'!$R78), 0, 1), 5, if(ISBLANK('2025'!$S78), 0, 1), 6, if(ISBLANK('2025'!$T78), 0, 1), 7, 0))), 1, "")</f>
        <v/>
      </c>
      <c r="L80" s="1" t="str">
        <f>IF(AND(AND(AND(L$4&gt;='2025'!$L78,L$4&lt;='2025'!$M78), L$4&lt;&gt;DATE(2025,7,4)), (SWITCH(weekday(L$4), 1, 0, 2, if(ISBLANK('2025'!$P78), 0, 1), 3, if(ISBLANK('2025'!$Q78), 0, 1), 4, if(ISBLANK('2025'!$R78), 0, 1), 5, if(ISBLANK('2025'!$S78), 0, 1), 6, if(ISBLANK('2025'!$T78), 0, 1), 7, 0))), 1, "")</f>
        <v/>
      </c>
      <c r="M80" s="1" t="str">
        <f>IF(AND(AND(AND(M$4&gt;='2025'!$L78,M$4&lt;='2025'!$M78), M$4&lt;&gt;DATE(2025,7,4)), (SWITCH(weekday(M$4), 1, 0, 2, if(ISBLANK('2025'!$P78), 0, 1), 3, if(ISBLANK('2025'!$Q78), 0, 1), 4, if(ISBLANK('2025'!$R78), 0, 1), 5, if(ISBLANK('2025'!$S78), 0, 1), 6, if(ISBLANK('2025'!$T78), 0, 1), 7, 0))), 1, "")</f>
        <v/>
      </c>
      <c r="N80" s="1" t="str">
        <f>IF(AND(AND(AND(N$4&gt;='2025'!$L78,N$4&lt;='2025'!$M78), N$4&lt;&gt;DATE(2025,7,4)), (SWITCH(weekday(N$4), 1, 0, 2, if(ISBLANK('2025'!$P78), 0, 1), 3, if(ISBLANK('2025'!$Q78), 0, 1), 4, if(ISBLANK('2025'!$R78), 0, 1), 5, if(ISBLANK('2025'!$S78), 0, 1), 6, if(ISBLANK('2025'!$T78), 0, 1), 7, 0))), 1, "")</f>
        <v/>
      </c>
      <c r="O80" s="1" t="str">
        <f>IF(AND(AND(AND(O$4&gt;='2025'!$L78,O$4&lt;='2025'!$M78), O$4&lt;&gt;DATE(2025,7,4)), (SWITCH(weekday(O$4), 1, 0, 2, if(ISBLANK('2025'!$P78), 0, 1), 3, if(ISBLANK('2025'!$Q78), 0, 1), 4, if(ISBLANK('2025'!$R78), 0, 1), 5, if(ISBLANK('2025'!$S78), 0, 1), 6, if(ISBLANK('2025'!$T78), 0, 1), 7, 0))), 1, "")</f>
        <v/>
      </c>
      <c r="P80" s="1" t="str">
        <f>IF(AND(AND(AND(P$4&gt;='2025'!$L78,P$4&lt;='2025'!$M78), P$4&lt;&gt;DATE(2025,7,4)), (SWITCH(weekday(P$4), 1, 0, 2, if(ISBLANK('2025'!$P78), 0, 1), 3, if(ISBLANK('2025'!$Q78), 0, 1), 4, if(ISBLANK('2025'!$R78), 0, 1), 5, if(ISBLANK('2025'!$S78), 0, 1), 6, if(ISBLANK('2025'!$T78), 0, 1), 7, 0))), 1, "")</f>
        <v/>
      </c>
      <c r="Q80" s="1" t="str">
        <f>IF(AND(AND(AND(Q$4&gt;='2025'!$L78,Q$4&lt;='2025'!$M78), Q$4&lt;&gt;DATE(2025,7,4)), (SWITCH(weekday(Q$4), 1, 0, 2, if(ISBLANK('2025'!$P78), 0, 1), 3, if(ISBLANK('2025'!$Q78), 0, 1), 4, if(ISBLANK('2025'!$R78), 0, 1), 5, if(ISBLANK('2025'!$S78), 0, 1), 6, if(ISBLANK('2025'!$T78), 0, 1), 7, 0))), 1, "")</f>
        <v/>
      </c>
      <c r="R80" s="1" t="str">
        <f>IF(AND(AND(AND(R$4&gt;='2025'!$L78,R$4&lt;='2025'!$M78), R$4&lt;&gt;DATE(2025,7,4)), (SWITCH(weekday(R$4), 1, 0, 2, if(ISBLANK('2025'!$P78), 0, 1), 3, if(ISBLANK('2025'!$Q78), 0, 1), 4, if(ISBLANK('2025'!$R78), 0, 1), 5, if(ISBLANK('2025'!$S78), 0, 1), 6, if(ISBLANK('2025'!$T78), 0, 1), 7, 0))), 1, "")</f>
        <v/>
      </c>
      <c r="S80" s="1" t="str">
        <f>IF(AND(AND(AND(S$4&gt;='2025'!$L78,S$4&lt;='2025'!$M78), S$4&lt;&gt;DATE(2025,7,4)), (SWITCH(weekday(S$4), 1, 0, 2, if(ISBLANK('2025'!$P78), 0, 1), 3, if(ISBLANK('2025'!$Q78), 0, 1), 4, if(ISBLANK('2025'!$R78), 0, 1), 5, if(ISBLANK('2025'!$S78), 0, 1), 6, if(ISBLANK('2025'!$T78), 0, 1), 7, 0))), 1, "")</f>
        <v/>
      </c>
      <c r="T80" s="1" t="str">
        <f>IF(AND(AND(AND(T$4&gt;='2025'!$L78,T$4&lt;='2025'!$M78), T$4&lt;&gt;DATE(2025,7,4)), (SWITCH(weekday(T$4), 1, 0, 2, if(ISBLANK('2025'!$P78), 0, 1), 3, if(ISBLANK('2025'!$Q78), 0, 1), 4, if(ISBLANK('2025'!$R78), 0, 1), 5, if(ISBLANK('2025'!$S78), 0, 1), 6, if(ISBLANK('2025'!$T78), 0, 1), 7, 0))), 1, "")</f>
        <v/>
      </c>
      <c r="U80" s="1" t="str">
        <f>IF(AND(AND(AND(U$4&gt;='2025'!$L78,U$4&lt;='2025'!$M78), U$4&lt;&gt;DATE(2025,7,4)), (SWITCH(weekday(U$4), 1, 0, 2, if(ISBLANK('2025'!$P78), 0, 1), 3, if(ISBLANK('2025'!$Q78), 0, 1), 4, if(ISBLANK('2025'!$R78), 0, 1), 5, if(ISBLANK('2025'!$S78), 0, 1), 6, if(ISBLANK('2025'!$T78), 0, 1), 7, 0))), 1, "")</f>
        <v/>
      </c>
      <c r="V80" s="1" t="str">
        <f>IF(AND(AND(AND(V$4&gt;='2025'!$L78,V$4&lt;='2025'!$M78), V$4&lt;&gt;DATE(2025,7,4)), (SWITCH(weekday(V$4), 1, 0, 2, if(ISBLANK('2025'!$P78), 0, 1), 3, if(ISBLANK('2025'!$Q78), 0, 1), 4, if(ISBLANK('2025'!$R78), 0, 1), 5, if(ISBLANK('2025'!$S78), 0, 1), 6, if(ISBLANK('2025'!$T78), 0, 1), 7, 0))), 1, "")</f>
        <v/>
      </c>
      <c r="W80" s="1" t="str">
        <f>IF(AND(AND(AND(W$4&gt;='2025'!$L78,W$4&lt;='2025'!$M78), W$4&lt;&gt;DATE(2025,7,4)), (SWITCH(weekday(W$4), 1, 0, 2, if(ISBLANK('2025'!$P78), 0, 1), 3, if(ISBLANK('2025'!$Q78), 0, 1), 4, if(ISBLANK('2025'!$R78), 0, 1), 5, if(ISBLANK('2025'!$S78), 0, 1), 6, if(ISBLANK('2025'!$T78), 0, 1), 7, 0))), 1, "")</f>
        <v/>
      </c>
      <c r="X80" s="1" t="str">
        <f>IF(AND(AND(AND(X$4&gt;='2025'!$L78,X$4&lt;='2025'!$M78), X$4&lt;&gt;DATE(2025,7,4)), (SWITCH(weekday(X$4), 1, 0, 2, if(ISBLANK('2025'!$P78), 0, 1), 3, if(ISBLANK('2025'!$Q78), 0, 1), 4, if(ISBLANK('2025'!$R78), 0, 1), 5, if(ISBLANK('2025'!$S78), 0, 1), 6, if(ISBLANK('2025'!$T78), 0, 1), 7, 0))), 1, "")</f>
        <v/>
      </c>
      <c r="Y80" s="1" t="str">
        <f>IF(AND(AND(AND(Y$4&gt;='2025'!$L78,Y$4&lt;='2025'!$M78), Y$4&lt;&gt;DATE(2025,7,4)), (SWITCH(weekday(Y$4), 1, 0, 2, if(ISBLANK('2025'!$P78), 0, 1), 3, if(ISBLANK('2025'!$Q78), 0, 1), 4, if(ISBLANK('2025'!$R78), 0, 1), 5, if(ISBLANK('2025'!$S78), 0, 1), 6, if(ISBLANK('2025'!$T78), 0, 1), 7, 0))), 1, "")</f>
        <v/>
      </c>
      <c r="Z80" s="1" t="str">
        <f>IF(AND(AND(AND(Z$4&gt;='2025'!$L78,Z$4&lt;='2025'!$M78), Z$4&lt;&gt;DATE(2025,7,4)), (SWITCH(weekday(Z$4), 1, 0, 2, if(ISBLANK('2025'!$P78), 0, 1), 3, if(ISBLANK('2025'!$Q78), 0, 1), 4, if(ISBLANK('2025'!$R78), 0, 1), 5, if(ISBLANK('2025'!$S78), 0, 1), 6, if(ISBLANK('2025'!$T78), 0, 1), 7, 0))), 1, "")</f>
        <v/>
      </c>
      <c r="AA80" s="1" t="str">
        <f>IF(AND(AND(AND(AA$4&gt;='2025'!$L78,AA$4&lt;='2025'!$M78), AA$4&lt;&gt;DATE(2025,7,4)), (SWITCH(weekday(AA$4), 1, 0, 2, if(ISBLANK('2025'!$P78), 0, 1), 3, if(ISBLANK('2025'!$Q78), 0, 1), 4, if(ISBLANK('2025'!$R78), 0, 1), 5, if(ISBLANK('2025'!$S78), 0, 1), 6, if(ISBLANK('2025'!$T78), 0, 1), 7, 0))), 1, "")</f>
        <v/>
      </c>
      <c r="AB80" s="1" t="str">
        <f>IF(AND(AND(AND(AB$4&gt;='2025'!$L78,AB$4&lt;='2025'!$M78), AB$4&lt;&gt;DATE(2025,7,4)), (SWITCH(weekday(AB$4), 1, 0, 2, if(ISBLANK('2025'!$P78), 0, 1), 3, if(ISBLANK('2025'!$Q78), 0, 1), 4, if(ISBLANK('2025'!$R78), 0, 1), 5, if(ISBLANK('2025'!$S78), 0, 1), 6, if(ISBLANK('2025'!$T78), 0, 1), 7, 0))), 1, "")</f>
        <v/>
      </c>
      <c r="AC80" s="1" t="str">
        <f>IF(AND(AND(AND(AC$4&gt;='2025'!$L78,AC$4&lt;='2025'!$M78), AC$4&lt;&gt;DATE(2025,7,4)), (SWITCH(weekday(AC$4), 1, 0, 2, if(ISBLANK('2025'!$P78), 0, 1), 3, if(ISBLANK('2025'!$Q78), 0, 1), 4, if(ISBLANK('2025'!$R78), 0, 1), 5, if(ISBLANK('2025'!$S78), 0, 1), 6, if(ISBLANK('2025'!$T78), 0, 1), 7, 0))), 1, "")</f>
        <v/>
      </c>
      <c r="AD80" s="1" t="str">
        <f>IF(AND(AND(AND(AD$4&gt;='2025'!$L78,AD$4&lt;='2025'!$M78), AD$4&lt;&gt;DATE(2025,7,4)), (SWITCH(weekday(AD$4), 1, 0, 2, if(ISBLANK('2025'!$P78), 0, 1), 3, if(ISBLANK('2025'!$Q78), 0, 1), 4, if(ISBLANK('2025'!$R78), 0, 1), 5, if(ISBLANK('2025'!$S78), 0, 1), 6, if(ISBLANK('2025'!$T78), 0, 1), 7, 0))), 1, "")</f>
        <v/>
      </c>
      <c r="AE80" s="1" t="str">
        <f>IF(AND(AND(AND(AE$4&gt;='2025'!$L78,AE$4&lt;='2025'!$M78), AE$4&lt;&gt;DATE(2025,7,4)), (SWITCH(weekday(AE$4), 1, 0, 2, if(ISBLANK('2025'!$P78), 0, 1), 3, if(ISBLANK('2025'!$Q78), 0, 1), 4, if(ISBLANK('2025'!$R78), 0, 1), 5, if(ISBLANK('2025'!$S78), 0, 1), 6, if(ISBLANK('2025'!$T78), 0, 1), 7, 0))), 1, "")</f>
        <v/>
      </c>
      <c r="AF80" s="1" t="str">
        <f>IF(AND(AND(AND(AF$4&gt;='2025'!$L78,AF$4&lt;='2025'!$M78), AF$4&lt;&gt;DATE(2025,7,4)), (SWITCH(weekday(AF$4), 1, 0, 2, if(ISBLANK('2025'!$P78), 0, 1), 3, if(ISBLANK('2025'!$Q78), 0, 1), 4, if(ISBLANK('2025'!$R78), 0, 1), 5, if(ISBLANK('2025'!$S78), 0, 1), 6, if(ISBLANK('2025'!$T78), 0, 1), 7, 0))), 1, "")</f>
        <v/>
      </c>
      <c r="AG80" s="1" t="str">
        <f>IF(AND(AND(AND(AG$4&gt;='2025'!$L78,AG$4&lt;='2025'!$M78), AG$4&lt;&gt;DATE(2025,7,4)), (SWITCH(weekday(AG$4), 1, 0, 2, if(ISBLANK('2025'!$P78), 0, 1), 3, if(ISBLANK('2025'!$Q78), 0, 1), 4, if(ISBLANK('2025'!$R78), 0, 1), 5, if(ISBLANK('2025'!$S78), 0, 1), 6, if(ISBLANK('2025'!$T78), 0, 1), 7, 0))), 1, "")</f>
        <v/>
      </c>
      <c r="AH80" s="1" t="str">
        <f>IF(AND(AND(AND(AH$4&gt;='2025'!$L78,AH$4&lt;='2025'!$M78), AH$4&lt;&gt;DATE(2025,7,4)), (SWITCH(weekday(AH$4), 1, 0, 2, if(ISBLANK('2025'!$P78), 0, 1), 3, if(ISBLANK('2025'!$Q78), 0, 1), 4, if(ISBLANK('2025'!$R78), 0, 1), 5, if(ISBLANK('2025'!$S78), 0, 1), 6, if(ISBLANK('2025'!$T78), 0, 1), 7, 0))), 1, "")</f>
        <v/>
      </c>
      <c r="AI80" s="1" t="str">
        <f>IF(AND(AND(AND(AI$4&gt;='2025'!$L78,AI$4&lt;='2025'!$M78), AI$4&lt;&gt;DATE(2025,7,4)), (SWITCH(weekday(AI$4), 1, 0, 2, if(ISBLANK('2025'!$P78), 0, 1), 3, if(ISBLANK('2025'!$Q78), 0, 1), 4, if(ISBLANK('2025'!$R78), 0, 1), 5, if(ISBLANK('2025'!$S78), 0, 1), 6, if(ISBLANK('2025'!$T78), 0, 1), 7, 0))), 1, "")</f>
        <v/>
      </c>
      <c r="AJ80" s="1" t="str">
        <f>IF(AND(AND(AND(AJ$4&gt;='2025'!$L78,AJ$4&lt;='2025'!$M78), AJ$4&lt;&gt;DATE(2025,7,4)), (SWITCH(weekday(AJ$4), 1, 0, 2, if(ISBLANK('2025'!$P78), 0, 1), 3, if(ISBLANK('2025'!$Q78), 0, 1), 4, if(ISBLANK('2025'!$R78), 0, 1), 5, if(ISBLANK('2025'!$S78), 0, 1), 6, if(ISBLANK('2025'!$T78), 0, 1), 7, 0))), 1, "")</f>
        <v/>
      </c>
      <c r="AK80" s="1" t="str">
        <f>IF(AND(AND(AND(AK$4&gt;='2025'!$L78,AK$4&lt;='2025'!$M78), AK$4&lt;&gt;DATE(2025,7,4)), (SWITCH(weekday(AK$4), 1, 0, 2, if(ISBLANK('2025'!$P78), 0, 1), 3, if(ISBLANK('2025'!$Q78), 0, 1), 4, if(ISBLANK('2025'!$R78), 0, 1), 5, if(ISBLANK('2025'!$S78), 0, 1), 6, if(ISBLANK('2025'!$T78), 0, 1), 7, 0))), 1, "")</f>
        <v/>
      </c>
      <c r="AL80" s="1" t="str">
        <f>IF(AND(AND(AND(AL$4&gt;='2025'!$L78,AL$4&lt;='2025'!$M78), AL$4&lt;&gt;DATE(2025,7,4)), (SWITCH(weekday(AL$4), 1, 0, 2, if(ISBLANK('2025'!$P78), 0, 1), 3, if(ISBLANK('2025'!$Q78), 0, 1), 4, if(ISBLANK('2025'!$R78), 0, 1), 5, if(ISBLANK('2025'!$S78), 0, 1), 6, if(ISBLANK('2025'!$T78), 0, 1), 7, 0))), 1, "")</f>
        <v/>
      </c>
      <c r="AM80" s="1" t="str">
        <f>IF(AND(AND(AND(AM$4&gt;='2025'!$L78,AM$4&lt;='2025'!$M78), AM$4&lt;&gt;DATE(2025,7,4)), (SWITCH(weekday(AM$4), 1, 0, 2, if(ISBLANK('2025'!$P78), 0, 1), 3, if(ISBLANK('2025'!$Q78), 0, 1), 4, if(ISBLANK('2025'!$R78), 0, 1), 5, if(ISBLANK('2025'!$S78), 0, 1), 6, if(ISBLANK('2025'!$T78), 0, 1), 7, 0))), 1, "")</f>
        <v/>
      </c>
      <c r="AN80" s="1" t="str">
        <f>IF(AND(AND(AND(AN$4&gt;='2025'!$L78,AN$4&lt;='2025'!$M78), AN$4&lt;&gt;DATE(2025,7,4)), (SWITCH(weekday(AN$4), 1, 0, 2, if(ISBLANK('2025'!$P78), 0, 1), 3, if(ISBLANK('2025'!$Q78), 0, 1), 4, if(ISBLANK('2025'!$R78), 0, 1), 5, if(ISBLANK('2025'!$S78), 0, 1), 6, if(ISBLANK('2025'!$T78), 0, 1), 7, 0))), 1, "")</f>
        <v/>
      </c>
      <c r="AO80" s="1" t="str">
        <f>IF(AND(AND(AND(AO$4&gt;='2025'!$L78,AO$4&lt;='2025'!$M78), AO$4&lt;&gt;DATE(2025,7,4)), (SWITCH(weekday(AO$4), 1, 0, 2, if(ISBLANK('2025'!$P78), 0, 1), 3, if(ISBLANK('2025'!$Q78), 0, 1), 4, if(ISBLANK('2025'!$R78), 0, 1), 5, if(ISBLANK('2025'!$S78), 0, 1), 6, if(ISBLANK('2025'!$T78), 0, 1), 7, 0))), 1, "")</f>
        <v/>
      </c>
      <c r="AP80" s="1" t="str">
        <f>IF(AND(AND(AND(AP$4&gt;='2025'!$L78,AP$4&lt;='2025'!$M78), AP$4&lt;&gt;DATE(2025,7,4)), (SWITCH(weekday(AP$4), 1, 0, 2, if(ISBLANK('2025'!$P78), 0, 1), 3, if(ISBLANK('2025'!$Q78), 0, 1), 4, if(ISBLANK('2025'!$R78), 0, 1), 5, if(ISBLANK('2025'!$S78), 0, 1), 6, if(ISBLANK('2025'!$T78), 0, 1), 7, 0))), 1, "")</f>
        <v/>
      </c>
      <c r="AQ80" s="1" t="str">
        <f>IF(AND(AND(AND(AQ$4&gt;='2025'!$L78,AQ$4&lt;='2025'!$M78), AQ$4&lt;&gt;DATE(2025,7,4)), (SWITCH(weekday(AQ$4), 1, 0, 2, if(ISBLANK('2025'!$P78), 0, 1), 3, if(ISBLANK('2025'!$Q78), 0, 1), 4, if(ISBLANK('2025'!$R78), 0, 1), 5, if(ISBLANK('2025'!$S78), 0, 1), 6, if(ISBLANK('2025'!$T78), 0, 1), 7, 0))), 1, "")</f>
        <v/>
      </c>
      <c r="AR80" s="1" t="str">
        <f>IF(AND(AND(AND(AR$4&gt;='2025'!$L78,AR$4&lt;='2025'!$M78), AR$4&lt;&gt;DATE(2025,7,4)), (SWITCH(weekday(AR$4), 1, 0, 2, if(ISBLANK('2025'!$P78), 0, 1), 3, if(ISBLANK('2025'!$Q78), 0, 1), 4, if(ISBLANK('2025'!$R78), 0, 1), 5, if(ISBLANK('2025'!$S78), 0, 1), 6, if(ISBLANK('2025'!$T78), 0, 1), 7, 0))), 1, "")</f>
        <v/>
      </c>
      <c r="AS80" s="1" t="str">
        <f>IF(AND(AND(AND(AS$4&gt;='2025'!$L78,AS$4&lt;='2025'!$M78), AS$4&lt;&gt;DATE(2025,7,4)), (SWITCH(weekday(AS$4), 1, 0, 2, if(ISBLANK('2025'!$P78), 0, 1), 3, if(ISBLANK('2025'!$Q78), 0, 1), 4, if(ISBLANK('2025'!$R78), 0, 1), 5, if(ISBLANK('2025'!$S78), 0, 1), 6, if(ISBLANK('2025'!$T78), 0, 1), 7, 0))), 1, "")</f>
        <v/>
      </c>
      <c r="AT80" s="1" t="str">
        <f>IF(AND(AND(AND(AT$4&gt;='2025'!$L78,AT$4&lt;='2025'!$M78), AT$4&lt;&gt;DATE(2025,7,4)), (SWITCH(weekday(AT$4), 1, 0, 2, if(ISBLANK('2025'!$P78), 0, 1), 3, if(ISBLANK('2025'!$Q78), 0, 1), 4, if(ISBLANK('2025'!$R78), 0, 1), 5, if(ISBLANK('2025'!$S78), 0, 1), 6, if(ISBLANK('2025'!$T78), 0, 1), 7, 0))), 1, "")</f>
        <v/>
      </c>
      <c r="AU80" s="1" t="str">
        <f>IF(AND(AND(AND(AU$4&gt;='2025'!$L78,AU$4&lt;='2025'!$M78), AU$4&lt;&gt;DATE(2025,7,4)), (SWITCH(weekday(AU$4), 1, 0, 2, if(ISBLANK('2025'!$P78), 0, 1), 3, if(ISBLANK('2025'!$Q78), 0, 1), 4, if(ISBLANK('2025'!$R78), 0, 1), 5, if(ISBLANK('2025'!$S78), 0, 1), 6, if(ISBLANK('2025'!$T78), 0, 1), 7, 0))), 1, "")</f>
        <v/>
      </c>
      <c r="AV80" s="1" t="str">
        <f>IF(AND(AND(AND(AV$4&gt;='2025'!$L78,AV$4&lt;='2025'!$M78), AV$4&lt;&gt;DATE(2025,7,4)), (SWITCH(weekday(AV$4), 1, 0, 2, if(ISBLANK('2025'!$P78), 0, 1), 3, if(ISBLANK('2025'!$Q78), 0, 1), 4, if(ISBLANK('2025'!$R78), 0, 1), 5, if(ISBLANK('2025'!$S78), 0, 1), 6, if(ISBLANK('2025'!$T78), 0, 1), 7, 0))), 1, "")</f>
        <v/>
      </c>
      <c r="AW80" s="1" t="str">
        <f>IF(AND(AND(AND(AW$4&gt;='2025'!$L78,AW$4&lt;='2025'!$M78), AW$4&lt;&gt;DATE(2025,7,4)), (SWITCH(weekday(AW$4), 1, 0, 2, if(ISBLANK('2025'!$P78), 0, 1), 3, if(ISBLANK('2025'!$Q78), 0, 1), 4, if(ISBLANK('2025'!$R78), 0, 1), 5, if(ISBLANK('2025'!$S78), 0, 1), 6, if(ISBLANK('2025'!$T78), 0, 1), 7, 0))), 1, "")</f>
        <v/>
      </c>
      <c r="AX80" s="1" t="str">
        <f>IF(AND(AND(AND(AX$4&gt;='2025'!$L78,AX$4&lt;='2025'!$M78), AX$4&lt;&gt;DATE(2025,7,4)), (SWITCH(weekday(AX$4), 1, 0, 2, if(ISBLANK('2025'!$P78), 0, 1), 3, if(ISBLANK('2025'!$Q78), 0, 1), 4, if(ISBLANK('2025'!$R78), 0, 1), 5, if(ISBLANK('2025'!$S78), 0, 1), 6, if(ISBLANK('2025'!$T78), 0, 1), 7, 0))), 1, "")</f>
        <v/>
      </c>
      <c r="AY80" s="1" t="str">
        <f>IF(AND(AND(AND(AY$4&gt;='2025'!$L78,AY$4&lt;='2025'!$M78), AY$4&lt;&gt;DATE(2025,7,4)), (SWITCH(weekday(AY$4), 1, 0, 2, if(ISBLANK('2025'!$P78), 0, 1), 3, if(ISBLANK('2025'!$Q78), 0, 1), 4, if(ISBLANK('2025'!$R78), 0, 1), 5, if(ISBLANK('2025'!$S78), 0, 1), 6, if(ISBLANK('2025'!$T78), 0, 1), 7, 0))), 1, "")</f>
        <v/>
      </c>
      <c r="AZ80" s="1" t="str">
        <f>IF(AND(AND(AND(AZ$4&gt;='2025'!$L78,AZ$4&lt;='2025'!$M78), AZ$4&lt;&gt;DATE(2025,7,4)), (SWITCH(weekday(AZ$4), 1, 0, 2, if(ISBLANK('2025'!$P78), 0, 1), 3, if(ISBLANK('2025'!$Q78), 0, 1), 4, if(ISBLANK('2025'!$R78), 0, 1), 5, if(ISBLANK('2025'!$S78), 0, 1), 6, if(ISBLANK('2025'!$T78), 0, 1), 7, 0))), 1, "")</f>
        <v/>
      </c>
      <c r="BA80" s="1" t="str">
        <f>IF(AND(AND(AND(BA$4&gt;='2025'!$L78,BA$4&lt;='2025'!$M78), BA$4&lt;&gt;DATE(2025,7,4)), (SWITCH(weekday(BA$4), 1, 0, 2, if(ISBLANK('2025'!$P78), 0, 1), 3, if(ISBLANK('2025'!$Q78), 0, 1), 4, if(ISBLANK('2025'!$R78), 0, 1), 5, if(ISBLANK('2025'!$S78), 0, 1), 6, if(ISBLANK('2025'!$T78), 0, 1), 7, 0))), 1, "")</f>
        <v/>
      </c>
      <c r="BB80" s="1" t="str">
        <f>IF(AND(AND(AND(BB$4&gt;='2025'!$L78,BB$4&lt;='2025'!$M78), BB$4&lt;&gt;DATE(2025,7,4)), (SWITCH(weekday(BB$4), 1, 0, 2, if(ISBLANK('2025'!$P78), 0, 1), 3, if(ISBLANK('2025'!$Q78), 0, 1), 4, if(ISBLANK('2025'!$R78), 0, 1), 5, if(ISBLANK('2025'!$S78), 0, 1), 6, if(ISBLANK('2025'!$T78), 0, 1), 7, 0))), 1, "")</f>
        <v/>
      </c>
      <c r="BC80" s="1" t="str">
        <f>IF(AND(AND(AND(BC$4&gt;='2025'!$L78,BC$4&lt;='2025'!$M78), BC$4&lt;&gt;DATE(2025,7,4)), (SWITCH(weekday(BC$4), 1, 0, 2, if(ISBLANK('2025'!$P78), 0, 1), 3, if(ISBLANK('2025'!$Q78), 0, 1), 4, if(ISBLANK('2025'!$R78), 0, 1), 5, if(ISBLANK('2025'!$S78), 0, 1), 6, if(ISBLANK('2025'!$T78), 0, 1), 7, 0))), 1, "")</f>
        <v/>
      </c>
      <c r="BD80" s="1" t="str">
        <f>IF(AND(AND(AND(BD$4&gt;='2025'!$L78,BD$4&lt;='2025'!$M78), BD$4&lt;&gt;DATE(2025,7,4)), (SWITCH(weekday(BD$4), 1, 0, 2, if(ISBLANK('2025'!$P78), 0, 1), 3, if(ISBLANK('2025'!$Q78), 0, 1), 4, if(ISBLANK('2025'!$R78), 0, 1), 5, if(ISBLANK('2025'!$S78), 0, 1), 6, if(ISBLANK('2025'!$T78), 0, 1), 7, 0))), 1, "")</f>
        <v/>
      </c>
      <c r="BE80" s="1" t="str">
        <f>IF(AND(AND(AND(BE$4&gt;='2025'!$L78,BE$4&lt;='2025'!$M78), BE$4&lt;&gt;DATE(2025,7,4)), (SWITCH(weekday(BE$4), 1, 0, 2, if(ISBLANK('2025'!$P78), 0, 1), 3, if(ISBLANK('2025'!$Q78), 0, 1), 4, if(ISBLANK('2025'!$R78), 0, 1), 5, if(ISBLANK('2025'!$S78), 0, 1), 6, if(ISBLANK('2025'!$T78), 0, 1), 7, 0))), 1, "")</f>
        <v/>
      </c>
      <c r="BF80" s="1" t="str">
        <f>IF(AND(AND(AND(BF$4&gt;='2025'!$L78,BF$4&lt;='2025'!$M78), BF$4&lt;&gt;DATE(2025,7,4)), (SWITCH(weekday(BF$4), 1, 0, 2, if(ISBLANK('2025'!$P78), 0, 1), 3, if(ISBLANK('2025'!$Q78), 0, 1), 4, if(ISBLANK('2025'!$R78), 0, 1), 5, if(ISBLANK('2025'!$S78), 0, 1), 6, if(ISBLANK('2025'!$T78), 0, 1), 7, 0))), 1, "")</f>
        <v/>
      </c>
      <c r="BG80" s="1"/>
      <c r="BH80" s="1"/>
      <c r="BI80" s="1"/>
      <c r="BJ80" s="1"/>
      <c r="BK80" s="1"/>
      <c r="BL80" s="1"/>
    </row>
    <row r="81">
      <c r="A81" s="1">
        <f t="shared" si="3"/>
        <v>81</v>
      </c>
      <c r="B81" s="1" t="str">
        <f>'2025'!D47</f>
        <v>Jin , Freya</v>
      </c>
      <c r="C81" s="1" t="str">
        <f>'2025'!H47</f>
        <v>Infant</v>
      </c>
      <c r="D81" s="1" t="str">
        <f>IF(AND(AND(AND(D$4&gt;='2025'!$L79,D$4&lt;='2025'!$M79), D$4&lt;&gt;DATE(2025,7,4)), (SWITCH(weekday(D$4), 1, 0, 2, if(ISBLANK('2025'!$P79), 0, 1), 3, if(ISBLANK('2025'!$Q79), 0, 1), 4, if(ISBLANK('2025'!$R79), 0, 1), 5, if(ISBLANK('2025'!$S79), 0, 1), 6, if(ISBLANK('2025'!$T79), 0, 1), 7, 0))), 1, "")</f>
        <v/>
      </c>
      <c r="E81" s="1" t="str">
        <f>IF(AND(AND(AND(E$4&gt;='2025'!$L79,E$4&lt;='2025'!$M79), E$4&lt;&gt;DATE(2025,7,4)), (SWITCH(weekday(E$4), 1, 0, 2, if(ISBLANK('2025'!$P79), 0, 1), 3, if(ISBLANK('2025'!$Q79), 0, 1), 4, if(ISBLANK('2025'!$R79), 0, 1), 5, if(ISBLANK('2025'!$S79), 0, 1), 6, if(ISBLANK('2025'!$T79), 0, 1), 7, 0))), 1, "")</f>
        <v/>
      </c>
      <c r="F81" s="1" t="str">
        <f>IF(AND(AND(AND(F$4&gt;='2025'!$L79,F$4&lt;='2025'!$M79), F$4&lt;&gt;DATE(2025,7,4)), (SWITCH(weekday(F$4), 1, 0, 2, if(ISBLANK('2025'!$P79), 0, 1), 3, if(ISBLANK('2025'!$Q79), 0, 1), 4, if(ISBLANK('2025'!$R79), 0, 1), 5, if(ISBLANK('2025'!$S79), 0, 1), 6, if(ISBLANK('2025'!$T79), 0, 1), 7, 0))), 1, "")</f>
        <v/>
      </c>
      <c r="G81" s="1" t="str">
        <f>IF(AND(AND(AND(G$4&gt;='2025'!$L79,G$4&lt;='2025'!$M79), G$4&lt;&gt;DATE(2025,7,4)), (SWITCH(weekday(G$4), 1, 0, 2, if(ISBLANK('2025'!$P79), 0, 1), 3, if(ISBLANK('2025'!$Q79), 0, 1), 4, if(ISBLANK('2025'!$R79), 0, 1), 5, if(ISBLANK('2025'!$S79), 0, 1), 6, if(ISBLANK('2025'!$T79), 0, 1), 7, 0))), 1, "")</f>
        <v/>
      </c>
      <c r="H81" s="1" t="str">
        <f>IF(AND(AND(AND(H$4&gt;='2025'!$L79,H$4&lt;='2025'!$M79), H$4&lt;&gt;DATE(2025,7,4)), (SWITCH(weekday(H$4), 1, 0, 2, if(ISBLANK('2025'!$P79), 0, 1), 3, if(ISBLANK('2025'!$Q79), 0, 1), 4, if(ISBLANK('2025'!$R79), 0, 1), 5, if(ISBLANK('2025'!$S79), 0, 1), 6, if(ISBLANK('2025'!$T79), 0, 1), 7, 0))), 1, "")</f>
        <v/>
      </c>
      <c r="I81" s="1" t="str">
        <f>IF(AND(AND(AND(I$4&gt;='2025'!$L79,I$4&lt;='2025'!$M79), I$4&lt;&gt;DATE(2025,7,4)), (SWITCH(weekday(I$4), 1, 0, 2, if(ISBLANK('2025'!$P79), 0, 1), 3, if(ISBLANK('2025'!$Q79), 0, 1), 4, if(ISBLANK('2025'!$R79), 0, 1), 5, if(ISBLANK('2025'!$S79), 0, 1), 6, if(ISBLANK('2025'!$T79), 0, 1), 7, 0))), 1, "")</f>
        <v/>
      </c>
      <c r="J81" s="1" t="str">
        <f>IF(AND(AND(AND(J$4&gt;='2025'!$L79,J$4&lt;='2025'!$M79), J$4&lt;&gt;DATE(2025,7,4)), (SWITCH(weekday(J$4), 1, 0, 2, if(ISBLANK('2025'!$P79), 0, 1), 3, if(ISBLANK('2025'!$Q79), 0, 1), 4, if(ISBLANK('2025'!$R79), 0, 1), 5, if(ISBLANK('2025'!$S79), 0, 1), 6, if(ISBLANK('2025'!$T79), 0, 1), 7, 0))), 1, "")</f>
        <v/>
      </c>
      <c r="K81" s="1" t="str">
        <f>IF(AND(AND(AND(K$4&gt;='2025'!$L79,K$4&lt;='2025'!$M79), K$4&lt;&gt;DATE(2025,7,4)), (SWITCH(weekday(K$4), 1, 0, 2, if(ISBLANK('2025'!$P79), 0, 1), 3, if(ISBLANK('2025'!$Q79), 0, 1), 4, if(ISBLANK('2025'!$R79), 0, 1), 5, if(ISBLANK('2025'!$S79), 0, 1), 6, if(ISBLANK('2025'!$T79), 0, 1), 7, 0))), 1, "")</f>
        <v/>
      </c>
      <c r="L81" s="1" t="str">
        <f>IF(AND(AND(AND(L$4&gt;='2025'!$L79,L$4&lt;='2025'!$M79), L$4&lt;&gt;DATE(2025,7,4)), (SWITCH(weekday(L$4), 1, 0, 2, if(ISBLANK('2025'!$P79), 0, 1), 3, if(ISBLANK('2025'!$Q79), 0, 1), 4, if(ISBLANK('2025'!$R79), 0, 1), 5, if(ISBLANK('2025'!$S79), 0, 1), 6, if(ISBLANK('2025'!$T79), 0, 1), 7, 0))), 1, "")</f>
        <v/>
      </c>
      <c r="M81" s="1" t="str">
        <f>IF(AND(AND(AND(M$4&gt;='2025'!$L79,M$4&lt;='2025'!$M79), M$4&lt;&gt;DATE(2025,7,4)), (SWITCH(weekday(M$4), 1, 0, 2, if(ISBLANK('2025'!$P79), 0, 1), 3, if(ISBLANK('2025'!$Q79), 0, 1), 4, if(ISBLANK('2025'!$R79), 0, 1), 5, if(ISBLANK('2025'!$S79), 0, 1), 6, if(ISBLANK('2025'!$T79), 0, 1), 7, 0))), 1, "")</f>
        <v/>
      </c>
      <c r="N81" s="1" t="str">
        <f>IF(AND(AND(AND(N$4&gt;='2025'!$L79,N$4&lt;='2025'!$M79), N$4&lt;&gt;DATE(2025,7,4)), (SWITCH(weekday(N$4), 1, 0, 2, if(ISBLANK('2025'!$P79), 0, 1), 3, if(ISBLANK('2025'!$Q79), 0, 1), 4, if(ISBLANK('2025'!$R79), 0, 1), 5, if(ISBLANK('2025'!$S79), 0, 1), 6, if(ISBLANK('2025'!$T79), 0, 1), 7, 0))), 1, "")</f>
        <v/>
      </c>
      <c r="O81" s="1" t="str">
        <f>IF(AND(AND(AND(O$4&gt;='2025'!$L79,O$4&lt;='2025'!$M79), O$4&lt;&gt;DATE(2025,7,4)), (SWITCH(weekday(O$4), 1, 0, 2, if(ISBLANK('2025'!$P79), 0, 1), 3, if(ISBLANK('2025'!$Q79), 0, 1), 4, if(ISBLANK('2025'!$R79), 0, 1), 5, if(ISBLANK('2025'!$S79), 0, 1), 6, if(ISBLANK('2025'!$T79), 0, 1), 7, 0))), 1, "")</f>
        <v/>
      </c>
      <c r="P81" s="1" t="str">
        <f>IF(AND(AND(AND(P$4&gt;='2025'!$L79,P$4&lt;='2025'!$M79), P$4&lt;&gt;DATE(2025,7,4)), (SWITCH(weekday(P$4), 1, 0, 2, if(ISBLANK('2025'!$P79), 0, 1), 3, if(ISBLANK('2025'!$Q79), 0, 1), 4, if(ISBLANK('2025'!$R79), 0, 1), 5, if(ISBLANK('2025'!$S79), 0, 1), 6, if(ISBLANK('2025'!$T79), 0, 1), 7, 0))), 1, "")</f>
        <v/>
      </c>
      <c r="Q81" s="1" t="str">
        <f>IF(AND(AND(AND(Q$4&gt;='2025'!$L79,Q$4&lt;='2025'!$M79), Q$4&lt;&gt;DATE(2025,7,4)), (SWITCH(weekday(Q$4), 1, 0, 2, if(ISBLANK('2025'!$P79), 0, 1), 3, if(ISBLANK('2025'!$Q79), 0, 1), 4, if(ISBLANK('2025'!$R79), 0, 1), 5, if(ISBLANK('2025'!$S79), 0, 1), 6, if(ISBLANK('2025'!$T79), 0, 1), 7, 0))), 1, "")</f>
        <v/>
      </c>
      <c r="R81" s="1" t="str">
        <f>IF(AND(AND(AND(R$4&gt;='2025'!$L79,R$4&lt;='2025'!$M79), R$4&lt;&gt;DATE(2025,7,4)), (SWITCH(weekday(R$4), 1, 0, 2, if(ISBLANK('2025'!$P79), 0, 1), 3, if(ISBLANK('2025'!$Q79), 0, 1), 4, if(ISBLANK('2025'!$R79), 0, 1), 5, if(ISBLANK('2025'!$S79), 0, 1), 6, if(ISBLANK('2025'!$T79), 0, 1), 7, 0))), 1, "")</f>
        <v/>
      </c>
      <c r="S81" s="1" t="str">
        <f>IF(AND(AND(AND(S$4&gt;='2025'!$L79,S$4&lt;='2025'!$M79), S$4&lt;&gt;DATE(2025,7,4)), (SWITCH(weekday(S$4), 1, 0, 2, if(ISBLANK('2025'!$P79), 0, 1), 3, if(ISBLANK('2025'!$Q79), 0, 1), 4, if(ISBLANK('2025'!$R79), 0, 1), 5, if(ISBLANK('2025'!$S79), 0, 1), 6, if(ISBLANK('2025'!$T79), 0, 1), 7, 0))), 1, "")</f>
        <v/>
      </c>
      <c r="T81" s="1" t="str">
        <f>IF(AND(AND(AND(T$4&gt;='2025'!$L79,T$4&lt;='2025'!$M79), T$4&lt;&gt;DATE(2025,7,4)), (SWITCH(weekday(T$4), 1, 0, 2, if(ISBLANK('2025'!$P79), 0, 1), 3, if(ISBLANK('2025'!$Q79), 0, 1), 4, if(ISBLANK('2025'!$R79), 0, 1), 5, if(ISBLANK('2025'!$S79), 0, 1), 6, if(ISBLANK('2025'!$T79), 0, 1), 7, 0))), 1, "")</f>
        <v/>
      </c>
      <c r="U81" s="1" t="str">
        <f>IF(AND(AND(AND(U$4&gt;='2025'!$L79,U$4&lt;='2025'!$M79), U$4&lt;&gt;DATE(2025,7,4)), (SWITCH(weekday(U$4), 1, 0, 2, if(ISBLANK('2025'!$P79), 0, 1), 3, if(ISBLANK('2025'!$Q79), 0, 1), 4, if(ISBLANK('2025'!$R79), 0, 1), 5, if(ISBLANK('2025'!$S79), 0, 1), 6, if(ISBLANK('2025'!$T79), 0, 1), 7, 0))), 1, "")</f>
        <v/>
      </c>
      <c r="V81" s="1" t="str">
        <f>IF(AND(AND(AND(V$4&gt;='2025'!$L79,V$4&lt;='2025'!$M79), V$4&lt;&gt;DATE(2025,7,4)), (SWITCH(weekday(V$4), 1, 0, 2, if(ISBLANK('2025'!$P79), 0, 1), 3, if(ISBLANK('2025'!$Q79), 0, 1), 4, if(ISBLANK('2025'!$R79), 0, 1), 5, if(ISBLANK('2025'!$S79), 0, 1), 6, if(ISBLANK('2025'!$T79), 0, 1), 7, 0))), 1, "")</f>
        <v/>
      </c>
      <c r="W81" s="1" t="str">
        <f>IF(AND(AND(AND(W$4&gt;='2025'!$L79,W$4&lt;='2025'!$M79), W$4&lt;&gt;DATE(2025,7,4)), (SWITCH(weekday(W$4), 1, 0, 2, if(ISBLANK('2025'!$P79), 0, 1), 3, if(ISBLANK('2025'!$Q79), 0, 1), 4, if(ISBLANK('2025'!$R79), 0, 1), 5, if(ISBLANK('2025'!$S79), 0, 1), 6, if(ISBLANK('2025'!$T79), 0, 1), 7, 0))), 1, "")</f>
        <v/>
      </c>
      <c r="X81" s="1" t="str">
        <f>IF(AND(AND(AND(X$4&gt;='2025'!$L79,X$4&lt;='2025'!$M79), X$4&lt;&gt;DATE(2025,7,4)), (SWITCH(weekday(X$4), 1, 0, 2, if(ISBLANK('2025'!$P79), 0, 1), 3, if(ISBLANK('2025'!$Q79), 0, 1), 4, if(ISBLANK('2025'!$R79), 0, 1), 5, if(ISBLANK('2025'!$S79), 0, 1), 6, if(ISBLANK('2025'!$T79), 0, 1), 7, 0))), 1, "")</f>
        <v/>
      </c>
      <c r="Y81" s="1" t="str">
        <f>IF(AND(AND(AND(Y$4&gt;='2025'!$L79,Y$4&lt;='2025'!$M79), Y$4&lt;&gt;DATE(2025,7,4)), (SWITCH(weekday(Y$4), 1, 0, 2, if(ISBLANK('2025'!$P79), 0, 1), 3, if(ISBLANK('2025'!$Q79), 0, 1), 4, if(ISBLANK('2025'!$R79), 0, 1), 5, if(ISBLANK('2025'!$S79), 0, 1), 6, if(ISBLANK('2025'!$T79), 0, 1), 7, 0))), 1, "")</f>
        <v/>
      </c>
      <c r="Z81" s="1" t="str">
        <f>IF(AND(AND(AND(Z$4&gt;='2025'!$L79,Z$4&lt;='2025'!$M79), Z$4&lt;&gt;DATE(2025,7,4)), (SWITCH(weekday(Z$4), 1, 0, 2, if(ISBLANK('2025'!$P79), 0, 1), 3, if(ISBLANK('2025'!$Q79), 0, 1), 4, if(ISBLANK('2025'!$R79), 0, 1), 5, if(ISBLANK('2025'!$S79), 0, 1), 6, if(ISBLANK('2025'!$T79), 0, 1), 7, 0))), 1, "")</f>
        <v/>
      </c>
      <c r="AA81" s="1" t="str">
        <f>IF(AND(AND(AND(AA$4&gt;='2025'!$L79,AA$4&lt;='2025'!$M79), AA$4&lt;&gt;DATE(2025,7,4)), (SWITCH(weekday(AA$4), 1, 0, 2, if(ISBLANK('2025'!$P79), 0, 1), 3, if(ISBLANK('2025'!$Q79), 0, 1), 4, if(ISBLANK('2025'!$R79), 0, 1), 5, if(ISBLANK('2025'!$S79), 0, 1), 6, if(ISBLANK('2025'!$T79), 0, 1), 7, 0))), 1, "")</f>
        <v/>
      </c>
      <c r="AB81" s="1" t="str">
        <f>IF(AND(AND(AND(AB$4&gt;='2025'!$L79,AB$4&lt;='2025'!$M79), AB$4&lt;&gt;DATE(2025,7,4)), (SWITCH(weekday(AB$4), 1, 0, 2, if(ISBLANK('2025'!$P79), 0, 1), 3, if(ISBLANK('2025'!$Q79), 0, 1), 4, if(ISBLANK('2025'!$R79), 0, 1), 5, if(ISBLANK('2025'!$S79), 0, 1), 6, if(ISBLANK('2025'!$T79), 0, 1), 7, 0))), 1, "")</f>
        <v/>
      </c>
      <c r="AC81" s="1" t="str">
        <f>IF(AND(AND(AND(AC$4&gt;='2025'!$L79,AC$4&lt;='2025'!$M79), AC$4&lt;&gt;DATE(2025,7,4)), (SWITCH(weekday(AC$4), 1, 0, 2, if(ISBLANK('2025'!$P79), 0, 1), 3, if(ISBLANK('2025'!$Q79), 0, 1), 4, if(ISBLANK('2025'!$R79), 0, 1), 5, if(ISBLANK('2025'!$S79), 0, 1), 6, if(ISBLANK('2025'!$T79), 0, 1), 7, 0))), 1, "")</f>
        <v/>
      </c>
      <c r="AD81" s="1" t="str">
        <f>IF(AND(AND(AND(AD$4&gt;='2025'!$L79,AD$4&lt;='2025'!$M79), AD$4&lt;&gt;DATE(2025,7,4)), (SWITCH(weekday(AD$4), 1, 0, 2, if(ISBLANK('2025'!$P79), 0, 1), 3, if(ISBLANK('2025'!$Q79), 0, 1), 4, if(ISBLANK('2025'!$R79), 0, 1), 5, if(ISBLANK('2025'!$S79), 0, 1), 6, if(ISBLANK('2025'!$T79), 0, 1), 7, 0))), 1, "")</f>
        <v/>
      </c>
      <c r="AE81" s="1" t="str">
        <f>IF(AND(AND(AND(AE$4&gt;='2025'!$L79,AE$4&lt;='2025'!$M79), AE$4&lt;&gt;DATE(2025,7,4)), (SWITCH(weekday(AE$4), 1, 0, 2, if(ISBLANK('2025'!$P79), 0, 1), 3, if(ISBLANK('2025'!$Q79), 0, 1), 4, if(ISBLANK('2025'!$R79), 0, 1), 5, if(ISBLANK('2025'!$S79), 0, 1), 6, if(ISBLANK('2025'!$T79), 0, 1), 7, 0))), 1, "")</f>
        <v/>
      </c>
      <c r="AF81" s="1" t="str">
        <f>IF(AND(AND(AND(AF$4&gt;='2025'!$L79,AF$4&lt;='2025'!$M79), AF$4&lt;&gt;DATE(2025,7,4)), (SWITCH(weekday(AF$4), 1, 0, 2, if(ISBLANK('2025'!$P79), 0, 1), 3, if(ISBLANK('2025'!$Q79), 0, 1), 4, if(ISBLANK('2025'!$R79), 0, 1), 5, if(ISBLANK('2025'!$S79), 0, 1), 6, if(ISBLANK('2025'!$T79), 0, 1), 7, 0))), 1, "")</f>
        <v/>
      </c>
      <c r="AG81" s="1" t="str">
        <f>IF(AND(AND(AND(AG$4&gt;='2025'!$L79,AG$4&lt;='2025'!$M79), AG$4&lt;&gt;DATE(2025,7,4)), (SWITCH(weekday(AG$4), 1, 0, 2, if(ISBLANK('2025'!$P79), 0, 1), 3, if(ISBLANK('2025'!$Q79), 0, 1), 4, if(ISBLANK('2025'!$R79), 0, 1), 5, if(ISBLANK('2025'!$S79), 0, 1), 6, if(ISBLANK('2025'!$T79), 0, 1), 7, 0))), 1, "")</f>
        <v/>
      </c>
      <c r="AH81" s="1" t="str">
        <f>IF(AND(AND(AND(AH$4&gt;='2025'!$L79,AH$4&lt;='2025'!$M79), AH$4&lt;&gt;DATE(2025,7,4)), (SWITCH(weekday(AH$4), 1, 0, 2, if(ISBLANK('2025'!$P79), 0, 1), 3, if(ISBLANK('2025'!$Q79), 0, 1), 4, if(ISBLANK('2025'!$R79), 0, 1), 5, if(ISBLANK('2025'!$S79), 0, 1), 6, if(ISBLANK('2025'!$T79), 0, 1), 7, 0))), 1, "")</f>
        <v/>
      </c>
      <c r="AI81" s="1" t="str">
        <f>IF(AND(AND(AND(AI$4&gt;='2025'!$L79,AI$4&lt;='2025'!$M79), AI$4&lt;&gt;DATE(2025,7,4)), (SWITCH(weekday(AI$4), 1, 0, 2, if(ISBLANK('2025'!$P79), 0, 1), 3, if(ISBLANK('2025'!$Q79), 0, 1), 4, if(ISBLANK('2025'!$R79), 0, 1), 5, if(ISBLANK('2025'!$S79), 0, 1), 6, if(ISBLANK('2025'!$T79), 0, 1), 7, 0))), 1, "")</f>
        <v/>
      </c>
      <c r="AJ81" s="1" t="str">
        <f>IF(AND(AND(AND(AJ$4&gt;='2025'!$L79,AJ$4&lt;='2025'!$M79), AJ$4&lt;&gt;DATE(2025,7,4)), (SWITCH(weekday(AJ$4), 1, 0, 2, if(ISBLANK('2025'!$P79), 0, 1), 3, if(ISBLANK('2025'!$Q79), 0, 1), 4, if(ISBLANK('2025'!$R79), 0, 1), 5, if(ISBLANK('2025'!$S79), 0, 1), 6, if(ISBLANK('2025'!$T79), 0, 1), 7, 0))), 1, "")</f>
        <v/>
      </c>
      <c r="AK81" s="1" t="str">
        <f>IF(AND(AND(AND(AK$4&gt;='2025'!$L79,AK$4&lt;='2025'!$M79), AK$4&lt;&gt;DATE(2025,7,4)), (SWITCH(weekday(AK$4), 1, 0, 2, if(ISBLANK('2025'!$P79), 0, 1), 3, if(ISBLANK('2025'!$Q79), 0, 1), 4, if(ISBLANK('2025'!$R79), 0, 1), 5, if(ISBLANK('2025'!$S79), 0, 1), 6, if(ISBLANK('2025'!$T79), 0, 1), 7, 0))), 1, "")</f>
        <v/>
      </c>
      <c r="AL81" s="1" t="str">
        <f>IF(AND(AND(AND(AL$4&gt;='2025'!$L79,AL$4&lt;='2025'!$M79), AL$4&lt;&gt;DATE(2025,7,4)), (SWITCH(weekday(AL$4), 1, 0, 2, if(ISBLANK('2025'!$P79), 0, 1), 3, if(ISBLANK('2025'!$Q79), 0, 1), 4, if(ISBLANK('2025'!$R79), 0, 1), 5, if(ISBLANK('2025'!$S79), 0, 1), 6, if(ISBLANK('2025'!$T79), 0, 1), 7, 0))), 1, "")</f>
        <v/>
      </c>
      <c r="AM81" s="1" t="str">
        <f>IF(AND(AND(AND(AM$4&gt;='2025'!$L79,AM$4&lt;='2025'!$M79), AM$4&lt;&gt;DATE(2025,7,4)), (SWITCH(weekday(AM$4), 1, 0, 2, if(ISBLANK('2025'!$P79), 0, 1), 3, if(ISBLANK('2025'!$Q79), 0, 1), 4, if(ISBLANK('2025'!$R79), 0, 1), 5, if(ISBLANK('2025'!$S79), 0, 1), 6, if(ISBLANK('2025'!$T79), 0, 1), 7, 0))), 1, "")</f>
        <v/>
      </c>
      <c r="AN81" s="1" t="str">
        <f>IF(AND(AND(AND(AN$4&gt;='2025'!$L79,AN$4&lt;='2025'!$M79), AN$4&lt;&gt;DATE(2025,7,4)), (SWITCH(weekday(AN$4), 1, 0, 2, if(ISBLANK('2025'!$P79), 0, 1), 3, if(ISBLANK('2025'!$Q79), 0, 1), 4, if(ISBLANK('2025'!$R79), 0, 1), 5, if(ISBLANK('2025'!$S79), 0, 1), 6, if(ISBLANK('2025'!$T79), 0, 1), 7, 0))), 1, "")</f>
        <v/>
      </c>
      <c r="AO81" s="1" t="str">
        <f>IF(AND(AND(AND(AO$4&gt;='2025'!$L79,AO$4&lt;='2025'!$M79), AO$4&lt;&gt;DATE(2025,7,4)), (SWITCH(weekday(AO$4), 1, 0, 2, if(ISBLANK('2025'!$P79), 0, 1), 3, if(ISBLANK('2025'!$Q79), 0, 1), 4, if(ISBLANK('2025'!$R79), 0, 1), 5, if(ISBLANK('2025'!$S79), 0, 1), 6, if(ISBLANK('2025'!$T79), 0, 1), 7, 0))), 1, "")</f>
        <v/>
      </c>
      <c r="AP81" s="1" t="str">
        <f>IF(AND(AND(AND(AP$4&gt;='2025'!$L79,AP$4&lt;='2025'!$M79), AP$4&lt;&gt;DATE(2025,7,4)), (SWITCH(weekday(AP$4), 1, 0, 2, if(ISBLANK('2025'!$P79), 0, 1), 3, if(ISBLANK('2025'!$Q79), 0, 1), 4, if(ISBLANK('2025'!$R79), 0, 1), 5, if(ISBLANK('2025'!$S79), 0, 1), 6, if(ISBLANK('2025'!$T79), 0, 1), 7, 0))), 1, "")</f>
        <v/>
      </c>
      <c r="AQ81" s="1" t="str">
        <f>IF(AND(AND(AND(AQ$4&gt;='2025'!$L79,AQ$4&lt;='2025'!$M79), AQ$4&lt;&gt;DATE(2025,7,4)), (SWITCH(weekday(AQ$4), 1, 0, 2, if(ISBLANK('2025'!$P79), 0, 1), 3, if(ISBLANK('2025'!$Q79), 0, 1), 4, if(ISBLANK('2025'!$R79), 0, 1), 5, if(ISBLANK('2025'!$S79), 0, 1), 6, if(ISBLANK('2025'!$T79), 0, 1), 7, 0))), 1, "")</f>
        <v/>
      </c>
      <c r="AR81" s="1" t="str">
        <f>IF(AND(AND(AND(AR$4&gt;='2025'!$L79,AR$4&lt;='2025'!$M79), AR$4&lt;&gt;DATE(2025,7,4)), (SWITCH(weekday(AR$4), 1, 0, 2, if(ISBLANK('2025'!$P79), 0, 1), 3, if(ISBLANK('2025'!$Q79), 0, 1), 4, if(ISBLANK('2025'!$R79), 0, 1), 5, if(ISBLANK('2025'!$S79), 0, 1), 6, if(ISBLANK('2025'!$T79), 0, 1), 7, 0))), 1, "")</f>
        <v/>
      </c>
      <c r="AS81" s="1" t="str">
        <f>IF(AND(AND(AND(AS$4&gt;='2025'!$L79,AS$4&lt;='2025'!$M79), AS$4&lt;&gt;DATE(2025,7,4)), (SWITCH(weekday(AS$4), 1, 0, 2, if(ISBLANK('2025'!$P79), 0, 1), 3, if(ISBLANK('2025'!$Q79), 0, 1), 4, if(ISBLANK('2025'!$R79), 0, 1), 5, if(ISBLANK('2025'!$S79), 0, 1), 6, if(ISBLANK('2025'!$T79), 0, 1), 7, 0))), 1, "")</f>
        <v/>
      </c>
      <c r="AT81" s="1" t="str">
        <f>IF(AND(AND(AND(AT$4&gt;='2025'!$L79,AT$4&lt;='2025'!$M79), AT$4&lt;&gt;DATE(2025,7,4)), (SWITCH(weekday(AT$4), 1, 0, 2, if(ISBLANK('2025'!$P79), 0, 1), 3, if(ISBLANK('2025'!$Q79), 0, 1), 4, if(ISBLANK('2025'!$R79), 0, 1), 5, if(ISBLANK('2025'!$S79), 0, 1), 6, if(ISBLANK('2025'!$T79), 0, 1), 7, 0))), 1, "")</f>
        <v/>
      </c>
      <c r="AU81" s="1" t="str">
        <f>IF(AND(AND(AND(AU$4&gt;='2025'!$L79,AU$4&lt;='2025'!$M79), AU$4&lt;&gt;DATE(2025,7,4)), (SWITCH(weekday(AU$4), 1, 0, 2, if(ISBLANK('2025'!$P79), 0, 1), 3, if(ISBLANK('2025'!$Q79), 0, 1), 4, if(ISBLANK('2025'!$R79), 0, 1), 5, if(ISBLANK('2025'!$S79), 0, 1), 6, if(ISBLANK('2025'!$T79), 0, 1), 7, 0))), 1, "")</f>
        <v/>
      </c>
      <c r="AV81" s="1" t="str">
        <f>IF(AND(AND(AND(AV$4&gt;='2025'!$L79,AV$4&lt;='2025'!$M79), AV$4&lt;&gt;DATE(2025,7,4)), (SWITCH(weekday(AV$4), 1, 0, 2, if(ISBLANK('2025'!$P79), 0, 1), 3, if(ISBLANK('2025'!$Q79), 0, 1), 4, if(ISBLANK('2025'!$R79), 0, 1), 5, if(ISBLANK('2025'!$S79), 0, 1), 6, if(ISBLANK('2025'!$T79), 0, 1), 7, 0))), 1, "")</f>
        <v/>
      </c>
      <c r="AW81" s="1" t="str">
        <f>IF(AND(AND(AND(AW$4&gt;='2025'!$L79,AW$4&lt;='2025'!$M79), AW$4&lt;&gt;DATE(2025,7,4)), (SWITCH(weekday(AW$4), 1, 0, 2, if(ISBLANK('2025'!$P79), 0, 1), 3, if(ISBLANK('2025'!$Q79), 0, 1), 4, if(ISBLANK('2025'!$R79), 0, 1), 5, if(ISBLANK('2025'!$S79), 0, 1), 6, if(ISBLANK('2025'!$T79), 0, 1), 7, 0))), 1, "")</f>
        <v/>
      </c>
      <c r="AX81" s="1" t="str">
        <f>IF(AND(AND(AND(AX$4&gt;='2025'!$L79,AX$4&lt;='2025'!$M79), AX$4&lt;&gt;DATE(2025,7,4)), (SWITCH(weekday(AX$4), 1, 0, 2, if(ISBLANK('2025'!$P79), 0, 1), 3, if(ISBLANK('2025'!$Q79), 0, 1), 4, if(ISBLANK('2025'!$R79), 0, 1), 5, if(ISBLANK('2025'!$S79), 0, 1), 6, if(ISBLANK('2025'!$T79), 0, 1), 7, 0))), 1, "")</f>
        <v/>
      </c>
      <c r="AY81" s="1" t="str">
        <f>IF(AND(AND(AND(AY$4&gt;='2025'!$L79,AY$4&lt;='2025'!$M79), AY$4&lt;&gt;DATE(2025,7,4)), (SWITCH(weekday(AY$4), 1, 0, 2, if(ISBLANK('2025'!$P79), 0, 1), 3, if(ISBLANK('2025'!$Q79), 0, 1), 4, if(ISBLANK('2025'!$R79), 0, 1), 5, if(ISBLANK('2025'!$S79), 0, 1), 6, if(ISBLANK('2025'!$T79), 0, 1), 7, 0))), 1, "")</f>
        <v/>
      </c>
      <c r="AZ81" s="1" t="str">
        <f>IF(AND(AND(AND(AZ$4&gt;='2025'!$L79,AZ$4&lt;='2025'!$M79), AZ$4&lt;&gt;DATE(2025,7,4)), (SWITCH(weekday(AZ$4), 1, 0, 2, if(ISBLANK('2025'!$P79), 0, 1), 3, if(ISBLANK('2025'!$Q79), 0, 1), 4, if(ISBLANK('2025'!$R79), 0, 1), 5, if(ISBLANK('2025'!$S79), 0, 1), 6, if(ISBLANK('2025'!$T79), 0, 1), 7, 0))), 1, "")</f>
        <v/>
      </c>
      <c r="BA81" s="1" t="str">
        <f>IF(AND(AND(AND(BA$4&gt;='2025'!$L79,BA$4&lt;='2025'!$M79), BA$4&lt;&gt;DATE(2025,7,4)), (SWITCH(weekday(BA$4), 1, 0, 2, if(ISBLANK('2025'!$P79), 0, 1), 3, if(ISBLANK('2025'!$Q79), 0, 1), 4, if(ISBLANK('2025'!$R79), 0, 1), 5, if(ISBLANK('2025'!$S79), 0, 1), 6, if(ISBLANK('2025'!$T79), 0, 1), 7, 0))), 1, "")</f>
        <v/>
      </c>
      <c r="BB81" s="1" t="str">
        <f>IF(AND(AND(AND(BB$4&gt;='2025'!$L79,BB$4&lt;='2025'!$M79), BB$4&lt;&gt;DATE(2025,7,4)), (SWITCH(weekday(BB$4), 1, 0, 2, if(ISBLANK('2025'!$P79), 0, 1), 3, if(ISBLANK('2025'!$Q79), 0, 1), 4, if(ISBLANK('2025'!$R79), 0, 1), 5, if(ISBLANK('2025'!$S79), 0, 1), 6, if(ISBLANK('2025'!$T79), 0, 1), 7, 0))), 1, "")</f>
        <v/>
      </c>
      <c r="BC81" s="1" t="str">
        <f>IF(AND(AND(AND(BC$4&gt;='2025'!$L79,BC$4&lt;='2025'!$M79), BC$4&lt;&gt;DATE(2025,7,4)), (SWITCH(weekday(BC$4), 1, 0, 2, if(ISBLANK('2025'!$P79), 0, 1), 3, if(ISBLANK('2025'!$Q79), 0, 1), 4, if(ISBLANK('2025'!$R79), 0, 1), 5, if(ISBLANK('2025'!$S79), 0, 1), 6, if(ISBLANK('2025'!$T79), 0, 1), 7, 0))), 1, "")</f>
        <v/>
      </c>
      <c r="BD81" s="1" t="str">
        <f>IF(AND(AND(AND(BD$4&gt;='2025'!$L79,BD$4&lt;='2025'!$M79), BD$4&lt;&gt;DATE(2025,7,4)), (SWITCH(weekday(BD$4), 1, 0, 2, if(ISBLANK('2025'!$P79), 0, 1), 3, if(ISBLANK('2025'!$Q79), 0, 1), 4, if(ISBLANK('2025'!$R79), 0, 1), 5, if(ISBLANK('2025'!$S79), 0, 1), 6, if(ISBLANK('2025'!$T79), 0, 1), 7, 0))), 1, "")</f>
        <v/>
      </c>
      <c r="BE81" s="1" t="str">
        <f>IF(AND(AND(AND(BE$4&gt;='2025'!$L79,BE$4&lt;='2025'!$M79), BE$4&lt;&gt;DATE(2025,7,4)), (SWITCH(weekday(BE$4), 1, 0, 2, if(ISBLANK('2025'!$P79), 0, 1), 3, if(ISBLANK('2025'!$Q79), 0, 1), 4, if(ISBLANK('2025'!$R79), 0, 1), 5, if(ISBLANK('2025'!$S79), 0, 1), 6, if(ISBLANK('2025'!$T79), 0, 1), 7, 0))), 1, "")</f>
        <v/>
      </c>
      <c r="BF81" s="1" t="str">
        <f>IF(AND(AND(AND(BF$4&gt;='2025'!$L79,BF$4&lt;='2025'!$M79), BF$4&lt;&gt;DATE(2025,7,4)), (SWITCH(weekday(BF$4), 1, 0, 2, if(ISBLANK('2025'!$P79), 0, 1), 3, if(ISBLANK('2025'!$Q79), 0, 1), 4, if(ISBLANK('2025'!$R79), 0, 1), 5, if(ISBLANK('2025'!$S79), 0, 1), 6, if(ISBLANK('2025'!$T79), 0, 1), 7, 0))), 1, "")</f>
        <v/>
      </c>
      <c r="BG81" s="1"/>
      <c r="BH81" s="1"/>
      <c r="BI81" s="1"/>
      <c r="BJ81" s="1"/>
      <c r="BK81" s="1"/>
      <c r="BL81" s="1"/>
    </row>
    <row r="82">
      <c r="A82" s="1">
        <f t="shared" si="3"/>
        <v>82</v>
      </c>
      <c r="B82" s="1" t="str">
        <f>'2025'!D48</f>
        <v>Haq, AMAL</v>
      </c>
      <c r="C82" s="1" t="str">
        <f>'2025'!H48</f>
        <v>Infant</v>
      </c>
      <c r="D82" s="1" t="str">
        <f>IF(AND(AND(AND(D$4&gt;='2025'!$L80,D$4&lt;='2025'!$M80), D$4&lt;&gt;DATE(2025,7,4)), (SWITCH(weekday(D$4), 1, 0, 2, if(ISBLANK('2025'!$P80), 0, 1), 3, if(ISBLANK('2025'!$Q80), 0, 1), 4, if(ISBLANK('2025'!$R80), 0, 1), 5, if(ISBLANK('2025'!$S80), 0, 1), 6, if(ISBLANK('2025'!$T80), 0, 1), 7, 0))), 1, "")</f>
        <v/>
      </c>
      <c r="E82" s="1" t="str">
        <f>IF(AND(AND(AND(E$4&gt;='2025'!$L80,E$4&lt;='2025'!$M80), E$4&lt;&gt;DATE(2025,7,4)), (SWITCH(weekday(E$4), 1, 0, 2, if(ISBLANK('2025'!$P80), 0, 1), 3, if(ISBLANK('2025'!$Q80), 0, 1), 4, if(ISBLANK('2025'!$R80), 0, 1), 5, if(ISBLANK('2025'!$S80), 0, 1), 6, if(ISBLANK('2025'!$T80), 0, 1), 7, 0))), 1, "")</f>
        <v/>
      </c>
      <c r="F82" s="1" t="str">
        <f>IF(AND(AND(AND(F$4&gt;='2025'!$L80,F$4&lt;='2025'!$M80), F$4&lt;&gt;DATE(2025,7,4)), (SWITCH(weekday(F$4), 1, 0, 2, if(ISBLANK('2025'!$P80), 0, 1), 3, if(ISBLANK('2025'!$Q80), 0, 1), 4, if(ISBLANK('2025'!$R80), 0, 1), 5, if(ISBLANK('2025'!$S80), 0, 1), 6, if(ISBLANK('2025'!$T80), 0, 1), 7, 0))), 1, "")</f>
        <v/>
      </c>
      <c r="G82" s="1" t="str">
        <f>IF(AND(AND(AND(G$4&gt;='2025'!$L80,G$4&lt;='2025'!$M80), G$4&lt;&gt;DATE(2025,7,4)), (SWITCH(weekday(G$4), 1, 0, 2, if(ISBLANK('2025'!$P80), 0, 1), 3, if(ISBLANK('2025'!$Q80), 0, 1), 4, if(ISBLANK('2025'!$R80), 0, 1), 5, if(ISBLANK('2025'!$S80), 0, 1), 6, if(ISBLANK('2025'!$T80), 0, 1), 7, 0))), 1, "")</f>
        <v/>
      </c>
      <c r="H82" s="1" t="str">
        <f>IF(AND(AND(AND(H$4&gt;='2025'!$L80,H$4&lt;='2025'!$M80), H$4&lt;&gt;DATE(2025,7,4)), (SWITCH(weekday(H$4), 1, 0, 2, if(ISBLANK('2025'!$P80), 0, 1), 3, if(ISBLANK('2025'!$Q80), 0, 1), 4, if(ISBLANK('2025'!$R80), 0, 1), 5, if(ISBLANK('2025'!$S80), 0, 1), 6, if(ISBLANK('2025'!$T80), 0, 1), 7, 0))), 1, "")</f>
        <v/>
      </c>
      <c r="I82" s="1" t="str">
        <f>IF(AND(AND(AND(I$4&gt;='2025'!$L80,I$4&lt;='2025'!$M80), I$4&lt;&gt;DATE(2025,7,4)), (SWITCH(weekday(I$4), 1, 0, 2, if(ISBLANK('2025'!$P80), 0, 1), 3, if(ISBLANK('2025'!$Q80), 0, 1), 4, if(ISBLANK('2025'!$R80), 0, 1), 5, if(ISBLANK('2025'!$S80), 0, 1), 6, if(ISBLANK('2025'!$T80), 0, 1), 7, 0))), 1, "")</f>
        <v/>
      </c>
      <c r="J82" s="1" t="str">
        <f>IF(AND(AND(AND(J$4&gt;='2025'!$L80,J$4&lt;='2025'!$M80), J$4&lt;&gt;DATE(2025,7,4)), (SWITCH(weekday(J$4), 1, 0, 2, if(ISBLANK('2025'!$P80), 0, 1), 3, if(ISBLANK('2025'!$Q80), 0, 1), 4, if(ISBLANK('2025'!$R80), 0, 1), 5, if(ISBLANK('2025'!$S80), 0, 1), 6, if(ISBLANK('2025'!$T80), 0, 1), 7, 0))), 1, "")</f>
        <v/>
      </c>
      <c r="K82" s="1" t="str">
        <f>IF(AND(AND(AND(K$4&gt;='2025'!$L80,K$4&lt;='2025'!$M80), K$4&lt;&gt;DATE(2025,7,4)), (SWITCH(weekday(K$4), 1, 0, 2, if(ISBLANK('2025'!$P80), 0, 1), 3, if(ISBLANK('2025'!$Q80), 0, 1), 4, if(ISBLANK('2025'!$R80), 0, 1), 5, if(ISBLANK('2025'!$S80), 0, 1), 6, if(ISBLANK('2025'!$T80), 0, 1), 7, 0))), 1, "")</f>
        <v/>
      </c>
      <c r="L82" s="1" t="str">
        <f>IF(AND(AND(AND(L$4&gt;='2025'!$L80,L$4&lt;='2025'!$M80), L$4&lt;&gt;DATE(2025,7,4)), (SWITCH(weekday(L$4), 1, 0, 2, if(ISBLANK('2025'!$P80), 0, 1), 3, if(ISBLANK('2025'!$Q80), 0, 1), 4, if(ISBLANK('2025'!$R80), 0, 1), 5, if(ISBLANK('2025'!$S80), 0, 1), 6, if(ISBLANK('2025'!$T80), 0, 1), 7, 0))), 1, "")</f>
        <v/>
      </c>
      <c r="M82" s="1" t="str">
        <f>IF(AND(AND(AND(M$4&gt;='2025'!$L80,M$4&lt;='2025'!$M80), M$4&lt;&gt;DATE(2025,7,4)), (SWITCH(weekday(M$4), 1, 0, 2, if(ISBLANK('2025'!$P80), 0, 1), 3, if(ISBLANK('2025'!$Q80), 0, 1), 4, if(ISBLANK('2025'!$R80), 0, 1), 5, if(ISBLANK('2025'!$S80), 0, 1), 6, if(ISBLANK('2025'!$T80), 0, 1), 7, 0))), 1, "")</f>
        <v/>
      </c>
      <c r="N82" s="1" t="str">
        <f>IF(AND(AND(AND(N$4&gt;='2025'!$L80,N$4&lt;='2025'!$M80), N$4&lt;&gt;DATE(2025,7,4)), (SWITCH(weekday(N$4), 1, 0, 2, if(ISBLANK('2025'!$P80), 0, 1), 3, if(ISBLANK('2025'!$Q80), 0, 1), 4, if(ISBLANK('2025'!$R80), 0, 1), 5, if(ISBLANK('2025'!$S80), 0, 1), 6, if(ISBLANK('2025'!$T80), 0, 1), 7, 0))), 1, "")</f>
        <v/>
      </c>
      <c r="O82" s="1" t="str">
        <f>IF(AND(AND(AND(O$4&gt;='2025'!$L80,O$4&lt;='2025'!$M80), O$4&lt;&gt;DATE(2025,7,4)), (SWITCH(weekday(O$4), 1, 0, 2, if(ISBLANK('2025'!$P80), 0, 1), 3, if(ISBLANK('2025'!$Q80), 0, 1), 4, if(ISBLANK('2025'!$R80), 0, 1), 5, if(ISBLANK('2025'!$S80), 0, 1), 6, if(ISBLANK('2025'!$T80), 0, 1), 7, 0))), 1, "")</f>
        <v/>
      </c>
      <c r="P82" s="1" t="str">
        <f>IF(AND(AND(AND(P$4&gt;='2025'!$L80,P$4&lt;='2025'!$M80), P$4&lt;&gt;DATE(2025,7,4)), (SWITCH(weekday(P$4), 1, 0, 2, if(ISBLANK('2025'!$P80), 0, 1), 3, if(ISBLANK('2025'!$Q80), 0, 1), 4, if(ISBLANK('2025'!$R80), 0, 1), 5, if(ISBLANK('2025'!$S80), 0, 1), 6, if(ISBLANK('2025'!$T80), 0, 1), 7, 0))), 1, "")</f>
        <v/>
      </c>
      <c r="Q82" s="1" t="str">
        <f>IF(AND(AND(AND(Q$4&gt;='2025'!$L80,Q$4&lt;='2025'!$M80), Q$4&lt;&gt;DATE(2025,7,4)), (SWITCH(weekday(Q$4), 1, 0, 2, if(ISBLANK('2025'!$P80), 0, 1), 3, if(ISBLANK('2025'!$Q80), 0, 1), 4, if(ISBLANK('2025'!$R80), 0, 1), 5, if(ISBLANK('2025'!$S80), 0, 1), 6, if(ISBLANK('2025'!$T80), 0, 1), 7, 0))), 1, "")</f>
        <v/>
      </c>
      <c r="R82" s="1" t="str">
        <f>IF(AND(AND(AND(R$4&gt;='2025'!$L80,R$4&lt;='2025'!$M80), R$4&lt;&gt;DATE(2025,7,4)), (SWITCH(weekday(R$4), 1, 0, 2, if(ISBLANK('2025'!$P80), 0, 1), 3, if(ISBLANK('2025'!$Q80), 0, 1), 4, if(ISBLANK('2025'!$R80), 0, 1), 5, if(ISBLANK('2025'!$S80), 0, 1), 6, if(ISBLANK('2025'!$T80), 0, 1), 7, 0))), 1, "")</f>
        <v/>
      </c>
      <c r="S82" s="1" t="str">
        <f>IF(AND(AND(AND(S$4&gt;='2025'!$L80,S$4&lt;='2025'!$M80), S$4&lt;&gt;DATE(2025,7,4)), (SWITCH(weekday(S$4), 1, 0, 2, if(ISBLANK('2025'!$P80), 0, 1), 3, if(ISBLANK('2025'!$Q80), 0, 1), 4, if(ISBLANK('2025'!$R80), 0, 1), 5, if(ISBLANK('2025'!$S80), 0, 1), 6, if(ISBLANK('2025'!$T80), 0, 1), 7, 0))), 1, "")</f>
        <v/>
      </c>
      <c r="T82" s="1" t="str">
        <f>IF(AND(AND(AND(T$4&gt;='2025'!$L80,T$4&lt;='2025'!$M80), T$4&lt;&gt;DATE(2025,7,4)), (SWITCH(weekday(T$4), 1, 0, 2, if(ISBLANK('2025'!$P80), 0, 1), 3, if(ISBLANK('2025'!$Q80), 0, 1), 4, if(ISBLANK('2025'!$R80), 0, 1), 5, if(ISBLANK('2025'!$S80), 0, 1), 6, if(ISBLANK('2025'!$T80), 0, 1), 7, 0))), 1, "")</f>
        <v/>
      </c>
      <c r="U82" s="1" t="str">
        <f>IF(AND(AND(AND(U$4&gt;='2025'!$L80,U$4&lt;='2025'!$M80), U$4&lt;&gt;DATE(2025,7,4)), (SWITCH(weekday(U$4), 1, 0, 2, if(ISBLANK('2025'!$P80), 0, 1), 3, if(ISBLANK('2025'!$Q80), 0, 1), 4, if(ISBLANK('2025'!$R80), 0, 1), 5, if(ISBLANK('2025'!$S80), 0, 1), 6, if(ISBLANK('2025'!$T80), 0, 1), 7, 0))), 1, "")</f>
        <v/>
      </c>
      <c r="V82" s="1" t="str">
        <f>IF(AND(AND(AND(V$4&gt;='2025'!$L80,V$4&lt;='2025'!$M80), V$4&lt;&gt;DATE(2025,7,4)), (SWITCH(weekday(V$4), 1, 0, 2, if(ISBLANK('2025'!$P80), 0, 1), 3, if(ISBLANK('2025'!$Q80), 0, 1), 4, if(ISBLANK('2025'!$R80), 0, 1), 5, if(ISBLANK('2025'!$S80), 0, 1), 6, if(ISBLANK('2025'!$T80), 0, 1), 7, 0))), 1, "")</f>
        <v/>
      </c>
      <c r="W82" s="1" t="str">
        <f>IF(AND(AND(AND(W$4&gt;='2025'!$L80,W$4&lt;='2025'!$M80), W$4&lt;&gt;DATE(2025,7,4)), (SWITCH(weekday(W$4), 1, 0, 2, if(ISBLANK('2025'!$P80), 0, 1), 3, if(ISBLANK('2025'!$Q80), 0, 1), 4, if(ISBLANK('2025'!$R80), 0, 1), 5, if(ISBLANK('2025'!$S80), 0, 1), 6, if(ISBLANK('2025'!$T80), 0, 1), 7, 0))), 1, "")</f>
        <v/>
      </c>
      <c r="X82" s="1" t="str">
        <f>IF(AND(AND(AND(X$4&gt;='2025'!$L80,X$4&lt;='2025'!$M80), X$4&lt;&gt;DATE(2025,7,4)), (SWITCH(weekday(X$4), 1, 0, 2, if(ISBLANK('2025'!$P80), 0, 1), 3, if(ISBLANK('2025'!$Q80), 0, 1), 4, if(ISBLANK('2025'!$R80), 0, 1), 5, if(ISBLANK('2025'!$S80), 0, 1), 6, if(ISBLANK('2025'!$T80), 0, 1), 7, 0))), 1, "")</f>
        <v/>
      </c>
      <c r="Y82" s="1" t="str">
        <f>IF(AND(AND(AND(Y$4&gt;='2025'!$L80,Y$4&lt;='2025'!$M80), Y$4&lt;&gt;DATE(2025,7,4)), (SWITCH(weekday(Y$4), 1, 0, 2, if(ISBLANK('2025'!$P80), 0, 1), 3, if(ISBLANK('2025'!$Q80), 0, 1), 4, if(ISBLANK('2025'!$R80), 0, 1), 5, if(ISBLANK('2025'!$S80), 0, 1), 6, if(ISBLANK('2025'!$T80), 0, 1), 7, 0))), 1, "")</f>
        <v/>
      </c>
      <c r="Z82" s="1" t="str">
        <f>IF(AND(AND(AND(Z$4&gt;='2025'!$L80,Z$4&lt;='2025'!$M80), Z$4&lt;&gt;DATE(2025,7,4)), (SWITCH(weekday(Z$4), 1, 0, 2, if(ISBLANK('2025'!$P80), 0, 1), 3, if(ISBLANK('2025'!$Q80), 0, 1), 4, if(ISBLANK('2025'!$R80), 0, 1), 5, if(ISBLANK('2025'!$S80), 0, 1), 6, if(ISBLANK('2025'!$T80), 0, 1), 7, 0))), 1, "")</f>
        <v/>
      </c>
      <c r="AA82" s="1" t="str">
        <f>IF(AND(AND(AND(AA$4&gt;='2025'!$L80,AA$4&lt;='2025'!$M80), AA$4&lt;&gt;DATE(2025,7,4)), (SWITCH(weekday(AA$4), 1, 0, 2, if(ISBLANK('2025'!$P80), 0, 1), 3, if(ISBLANK('2025'!$Q80), 0, 1), 4, if(ISBLANK('2025'!$R80), 0, 1), 5, if(ISBLANK('2025'!$S80), 0, 1), 6, if(ISBLANK('2025'!$T80), 0, 1), 7, 0))), 1, "")</f>
        <v/>
      </c>
      <c r="AB82" s="1" t="str">
        <f>IF(AND(AND(AND(AB$4&gt;='2025'!$L80,AB$4&lt;='2025'!$M80), AB$4&lt;&gt;DATE(2025,7,4)), (SWITCH(weekday(AB$4), 1, 0, 2, if(ISBLANK('2025'!$P80), 0, 1), 3, if(ISBLANK('2025'!$Q80), 0, 1), 4, if(ISBLANK('2025'!$R80), 0, 1), 5, if(ISBLANK('2025'!$S80), 0, 1), 6, if(ISBLANK('2025'!$T80), 0, 1), 7, 0))), 1, "")</f>
        <v/>
      </c>
      <c r="AC82" s="1" t="str">
        <f>IF(AND(AND(AND(AC$4&gt;='2025'!$L80,AC$4&lt;='2025'!$M80), AC$4&lt;&gt;DATE(2025,7,4)), (SWITCH(weekday(AC$4), 1, 0, 2, if(ISBLANK('2025'!$P80), 0, 1), 3, if(ISBLANK('2025'!$Q80), 0, 1), 4, if(ISBLANK('2025'!$R80), 0, 1), 5, if(ISBLANK('2025'!$S80), 0, 1), 6, if(ISBLANK('2025'!$T80), 0, 1), 7, 0))), 1, "")</f>
        <v/>
      </c>
      <c r="AD82" s="1" t="str">
        <f>IF(AND(AND(AND(AD$4&gt;='2025'!$L80,AD$4&lt;='2025'!$M80), AD$4&lt;&gt;DATE(2025,7,4)), (SWITCH(weekday(AD$4), 1, 0, 2, if(ISBLANK('2025'!$P80), 0, 1), 3, if(ISBLANK('2025'!$Q80), 0, 1), 4, if(ISBLANK('2025'!$R80), 0, 1), 5, if(ISBLANK('2025'!$S80), 0, 1), 6, if(ISBLANK('2025'!$T80), 0, 1), 7, 0))), 1, "")</f>
        <v/>
      </c>
      <c r="AE82" s="1" t="str">
        <f>IF(AND(AND(AND(AE$4&gt;='2025'!$L80,AE$4&lt;='2025'!$M80), AE$4&lt;&gt;DATE(2025,7,4)), (SWITCH(weekday(AE$4), 1, 0, 2, if(ISBLANK('2025'!$P80), 0, 1), 3, if(ISBLANK('2025'!$Q80), 0, 1), 4, if(ISBLANK('2025'!$R80), 0, 1), 5, if(ISBLANK('2025'!$S80), 0, 1), 6, if(ISBLANK('2025'!$T80), 0, 1), 7, 0))), 1, "")</f>
        <v/>
      </c>
      <c r="AF82" s="1" t="str">
        <f>IF(AND(AND(AND(AF$4&gt;='2025'!$L80,AF$4&lt;='2025'!$M80), AF$4&lt;&gt;DATE(2025,7,4)), (SWITCH(weekday(AF$4), 1, 0, 2, if(ISBLANK('2025'!$P80), 0, 1), 3, if(ISBLANK('2025'!$Q80), 0, 1), 4, if(ISBLANK('2025'!$R80), 0, 1), 5, if(ISBLANK('2025'!$S80), 0, 1), 6, if(ISBLANK('2025'!$T80), 0, 1), 7, 0))), 1, "")</f>
        <v/>
      </c>
      <c r="AG82" s="1" t="str">
        <f>IF(AND(AND(AND(AG$4&gt;='2025'!$L80,AG$4&lt;='2025'!$M80), AG$4&lt;&gt;DATE(2025,7,4)), (SWITCH(weekday(AG$4), 1, 0, 2, if(ISBLANK('2025'!$P80), 0, 1), 3, if(ISBLANK('2025'!$Q80), 0, 1), 4, if(ISBLANK('2025'!$R80), 0, 1), 5, if(ISBLANK('2025'!$S80), 0, 1), 6, if(ISBLANK('2025'!$T80), 0, 1), 7, 0))), 1, "")</f>
        <v/>
      </c>
      <c r="AH82" s="1" t="str">
        <f>IF(AND(AND(AND(AH$4&gt;='2025'!$L80,AH$4&lt;='2025'!$M80), AH$4&lt;&gt;DATE(2025,7,4)), (SWITCH(weekday(AH$4), 1, 0, 2, if(ISBLANK('2025'!$P80), 0, 1), 3, if(ISBLANK('2025'!$Q80), 0, 1), 4, if(ISBLANK('2025'!$R80), 0, 1), 5, if(ISBLANK('2025'!$S80), 0, 1), 6, if(ISBLANK('2025'!$T80), 0, 1), 7, 0))), 1, "")</f>
        <v/>
      </c>
      <c r="AI82" s="1" t="str">
        <f>IF(AND(AND(AND(AI$4&gt;='2025'!$L80,AI$4&lt;='2025'!$M80), AI$4&lt;&gt;DATE(2025,7,4)), (SWITCH(weekday(AI$4), 1, 0, 2, if(ISBLANK('2025'!$P80), 0, 1), 3, if(ISBLANK('2025'!$Q80), 0, 1), 4, if(ISBLANK('2025'!$R80), 0, 1), 5, if(ISBLANK('2025'!$S80), 0, 1), 6, if(ISBLANK('2025'!$T80), 0, 1), 7, 0))), 1, "")</f>
        <v/>
      </c>
      <c r="AJ82" s="1" t="str">
        <f>IF(AND(AND(AND(AJ$4&gt;='2025'!$L80,AJ$4&lt;='2025'!$M80), AJ$4&lt;&gt;DATE(2025,7,4)), (SWITCH(weekday(AJ$4), 1, 0, 2, if(ISBLANK('2025'!$P80), 0, 1), 3, if(ISBLANK('2025'!$Q80), 0, 1), 4, if(ISBLANK('2025'!$R80), 0, 1), 5, if(ISBLANK('2025'!$S80), 0, 1), 6, if(ISBLANK('2025'!$T80), 0, 1), 7, 0))), 1, "")</f>
        <v/>
      </c>
      <c r="AK82" s="1" t="str">
        <f>IF(AND(AND(AND(AK$4&gt;='2025'!$L80,AK$4&lt;='2025'!$M80), AK$4&lt;&gt;DATE(2025,7,4)), (SWITCH(weekday(AK$4), 1, 0, 2, if(ISBLANK('2025'!$P80), 0, 1), 3, if(ISBLANK('2025'!$Q80), 0, 1), 4, if(ISBLANK('2025'!$R80), 0, 1), 5, if(ISBLANK('2025'!$S80), 0, 1), 6, if(ISBLANK('2025'!$T80), 0, 1), 7, 0))), 1, "")</f>
        <v/>
      </c>
      <c r="AL82" s="1" t="str">
        <f>IF(AND(AND(AND(AL$4&gt;='2025'!$L80,AL$4&lt;='2025'!$M80), AL$4&lt;&gt;DATE(2025,7,4)), (SWITCH(weekday(AL$4), 1, 0, 2, if(ISBLANK('2025'!$P80), 0, 1), 3, if(ISBLANK('2025'!$Q80), 0, 1), 4, if(ISBLANK('2025'!$R80), 0, 1), 5, if(ISBLANK('2025'!$S80), 0, 1), 6, if(ISBLANK('2025'!$T80), 0, 1), 7, 0))), 1, "")</f>
        <v/>
      </c>
      <c r="AM82" s="1" t="str">
        <f>IF(AND(AND(AND(AM$4&gt;='2025'!$L80,AM$4&lt;='2025'!$M80), AM$4&lt;&gt;DATE(2025,7,4)), (SWITCH(weekday(AM$4), 1, 0, 2, if(ISBLANK('2025'!$P80), 0, 1), 3, if(ISBLANK('2025'!$Q80), 0, 1), 4, if(ISBLANK('2025'!$R80), 0, 1), 5, if(ISBLANK('2025'!$S80), 0, 1), 6, if(ISBLANK('2025'!$T80), 0, 1), 7, 0))), 1, "")</f>
        <v/>
      </c>
      <c r="AN82" s="1" t="str">
        <f>IF(AND(AND(AND(AN$4&gt;='2025'!$L80,AN$4&lt;='2025'!$M80), AN$4&lt;&gt;DATE(2025,7,4)), (SWITCH(weekday(AN$4), 1, 0, 2, if(ISBLANK('2025'!$P80), 0, 1), 3, if(ISBLANK('2025'!$Q80), 0, 1), 4, if(ISBLANK('2025'!$R80), 0, 1), 5, if(ISBLANK('2025'!$S80), 0, 1), 6, if(ISBLANK('2025'!$T80), 0, 1), 7, 0))), 1, "")</f>
        <v/>
      </c>
      <c r="AO82" s="1" t="str">
        <f>IF(AND(AND(AND(AO$4&gt;='2025'!$L80,AO$4&lt;='2025'!$M80), AO$4&lt;&gt;DATE(2025,7,4)), (SWITCH(weekday(AO$4), 1, 0, 2, if(ISBLANK('2025'!$P80), 0, 1), 3, if(ISBLANK('2025'!$Q80), 0, 1), 4, if(ISBLANK('2025'!$R80), 0, 1), 5, if(ISBLANK('2025'!$S80), 0, 1), 6, if(ISBLANK('2025'!$T80), 0, 1), 7, 0))), 1, "")</f>
        <v/>
      </c>
      <c r="AP82" s="1" t="str">
        <f>IF(AND(AND(AND(AP$4&gt;='2025'!$L80,AP$4&lt;='2025'!$M80), AP$4&lt;&gt;DATE(2025,7,4)), (SWITCH(weekday(AP$4), 1, 0, 2, if(ISBLANK('2025'!$P80), 0, 1), 3, if(ISBLANK('2025'!$Q80), 0, 1), 4, if(ISBLANK('2025'!$R80), 0, 1), 5, if(ISBLANK('2025'!$S80), 0, 1), 6, if(ISBLANK('2025'!$T80), 0, 1), 7, 0))), 1, "")</f>
        <v/>
      </c>
      <c r="AQ82" s="1" t="str">
        <f>IF(AND(AND(AND(AQ$4&gt;='2025'!$L80,AQ$4&lt;='2025'!$M80), AQ$4&lt;&gt;DATE(2025,7,4)), (SWITCH(weekday(AQ$4), 1, 0, 2, if(ISBLANK('2025'!$P80), 0, 1), 3, if(ISBLANK('2025'!$Q80), 0, 1), 4, if(ISBLANK('2025'!$R80), 0, 1), 5, if(ISBLANK('2025'!$S80), 0, 1), 6, if(ISBLANK('2025'!$T80), 0, 1), 7, 0))), 1, "")</f>
        <v/>
      </c>
      <c r="AR82" s="1" t="str">
        <f>IF(AND(AND(AND(AR$4&gt;='2025'!$L80,AR$4&lt;='2025'!$M80), AR$4&lt;&gt;DATE(2025,7,4)), (SWITCH(weekday(AR$4), 1, 0, 2, if(ISBLANK('2025'!$P80), 0, 1), 3, if(ISBLANK('2025'!$Q80), 0, 1), 4, if(ISBLANK('2025'!$R80), 0, 1), 5, if(ISBLANK('2025'!$S80), 0, 1), 6, if(ISBLANK('2025'!$T80), 0, 1), 7, 0))), 1, "")</f>
        <v/>
      </c>
      <c r="AS82" s="1" t="str">
        <f>IF(AND(AND(AND(AS$4&gt;='2025'!$L80,AS$4&lt;='2025'!$M80), AS$4&lt;&gt;DATE(2025,7,4)), (SWITCH(weekday(AS$4), 1, 0, 2, if(ISBLANK('2025'!$P80), 0, 1), 3, if(ISBLANK('2025'!$Q80), 0, 1), 4, if(ISBLANK('2025'!$R80), 0, 1), 5, if(ISBLANK('2025'!$S80), 0, 1), 6, if(ISBLANK('2025'!$T80), 0, 1), 7, 0))), 1, "")</f>
        <v/>
      </c>
      <c r="AT82" s="1" t="str">
        <f>IF(AND(AND(AND(AT$4&gt;='2025'!$L80,AT$4&lt;='2025'!$M80), AT$4&lt;&gt;DATE(2025,7,4)), (SWITCH(weekday(AT$4), 1, 0, 2, if(ISBLANK('2025'!$P80), 0, 1), 3, if(ISBLANK('2025'!$Q80), 0, 1), 4, if(ISBLANK('2025'!$R80), 0, 1), 5, if(ISBLANK('2025'!$S80), 0, 1), 6, if(ISBLANK('2025'!$T80), 0, 1), 7, 0))), 1, "")</f>
        <v/>
      </c>
      <c r="AU82" s="1" t="str">
        <f>IF(AND(AND(AND(AU$4&gt;='2025'!$L80,AU$4&lt;='2025'!$M80), AU$4&lt;&gt;DATE(2025,7,4)), (SWITCH(weekday(AU$4), 1, 0, 2, if(ISBLANK('2025'!$P80), 0, 1), 3, if(ISBLANK('2025'!$Q80), 0, 1), 4, if(ISBLANK('2025'!$R80), 0, 1), 5, if(ISBLANK('2025'!$S80), 0, 1), 6, if(ISBLANK('2025'!$T80), 0, 1), 7, 0))), 1, "")</f>
        <v/>
      </c>
      <c r="AV82" s="1" t="str">
        <f>IF(AND(AND(AND(AV$4&gt;='2025'!$L80,AV$4&lt;='2025'!$M80), AV$4&lt;&gt;DATE(2025,7,4)), (SWITCH(weekday(AV$4), 1, 0, 2, if(ISBLANK('2025'!$P80), 0, 1), 3, if(ISBLANK('2025'!$Q80), 0, 1), 4, if(ISBLANK('2025'!$R80), 0, 1), 5, if(ISBLANK('2025'!$S80), 0, 1), 6, if(ISBLANK('2025'!$T80), 0, 1), 7, 0))), 1, "")</f>
        <v/>
      </c>
      <c r="AW82" s="1" t="str">
        <f>IF(AND(AND(AND(AW$4&gt;='2025'!$L80,AW$4&lt;='2025'!$M80), AW$4&lt;&gt;DATE(2025,7,4)), (SWITCH(weekday(AW$4), 1, 0, 2, if(ISBLANK('2025'!$P80), 0, 1), 3, if(ISBLANK('2025'!$Q80), 0, 1), 4, if(ISBLANK('2025'!$R80), 0, 1), 5, if(ISBLANK('2025'!$S80), 0, 1), 6, if(ISBLANK('2025'!$T80), 0, 1), 7, 0))), 1, "")</f>
        <v/>
      </c>
      <c r="AX82" s="1" t="str">
        <f>IF(AND(AND(AND(AX$4&gt;='2025'!$L80,AX$4&lt;='2025'!$M80), AX$4&lt;&gt;DATE(2025,7,4)), (SWITCH(weekday(AX$4), 1, 0, 2, if(ISBLANK('2025'!$P80), 0, 1), 3, if(ISBLANK('2025'!$Q80), 0, 1), 4, if(ISBLANK('2025'!$R80), 0, 1), 5, if(ISBLANK('2025'!$S80), 0, 1), 6, if(ISBLANK('2025'!$T80), 0, 1), 7, 0))), 1, "")</f>
        <v/>
      </c>
      <c r="AY82" s="1" t="str">
        <f>IF(AND(AND(AND(AY$4&gt;='2025'!$L80,AY$4&lt;='2025'!$M80), AY$4&lt;&gt;DATE(2025,7,4)), (SWITCH(weekday(AY$4), 1, 0, 2, if(ISBLANK('2025'!$P80), 0, 1), 3, if(ISBLANK('2025'!$Q80), 0, 1), 4, if(ISBLANK('2025'!$R80), 0, 1), 5, if(ISBLANK('2025'!$S80), 0, 1), 6, if(ISBLANK('2025'!$T80), 0, 1), 7, 0))), 1, "")</f>
        <v/>
      </c>
      <c r="AZ82" s="1" t="str">
        <f>IF(AND(AND(AND(AZ$4&gt;='2025'!$L80,AZ$4&lt;='2025'!$M80), AZ$4&lt;&gt;DATE(2025,7,4)), (SWITCH(weekday(AZ$4), 1, 0, 2, if(ISBLANK('2025'!$P80), 0, 1), 3, if(ISBLANK('2025'!$Q80), 0, 1), 4, if(ISBLANK('2025'!$R80), 0, 1), 5, if(ISBLANK('2025'!$S80), 0, 1), 6, if(ISBLANK('2025'!$T80), 0, 1), 7, 0))), 1, "")</f>
        <v/>
      </c>
      <c r="BA82" s="1" t="str">
        <f>IF(AND(AND(AND(BA$4&gt;='2025'!$L80,BA$4&lt;='2025'!$M80), BA$4&lt;&gt;DATE(2025,7,4)), (SWITCH(weekday(BA$4), 1, 0, 2, if(ISBLANK('2025'!$P80), 0, 1), 3, if(ISBLANK('2025'!$Q80), 0, 1), 4, if(ISBLANK('2025'!$R80), 0, 1), 5, if(ISBLANK('2025'!$S80), 0, 1), 6, if(ISBLANK('2025'!$T80), 0, 1), 7, 0))), 1, "")</f>
        <v/>
      </c>
      <c r="BB82" s="1" t="str">
        <f>IF(AND(AND(AND(BB$4&gt;='2025'!$L80,BB$4&lt;='2025'!$M80), BB$4&lt;&gt;DATE(2025,7,4)), (SWITCH(weekday(BB$4), 1, 0, 2, if(ISBLANK('2025'!$P80), 0, 1), 3, if(ISBLANK('2025'!$Q80), 0, 1), 4, if(ISBLANK('2025'!$R80), 0, 1), 5, if(ISBLANK('2025'!$S80), 0, 1), 6, if(ISBLANK('2025'!$T80), 0, 1), 7, 0))), 1, "")</f>
        <v/>
      </c>
      <c r="BC82" s="1" t="str">
        <f>IF(AND(AND(AND(BC$4&gt;='2025'!$L80,BC$4&lt;='2025'!$M80), BC$4&lt;&gt;DATE(2025,7,4)), (SWITCH(weekday(BC$4), 1, 0, 2, if(ISBLANK('2025'!$P80), 0, 1), 3, if(ISBLANK('2025'!$Q80), 0, 1), 4, if(ISBLANK('2025'!$R80), 0, 1), 5, if(ISBLANK('2025'!$S80), 0, 1), 6, if(ISBLANK('2025'!$T80), 0, 1), 7, 0))), 1, "")</f>
        <v/>
      </c>
      <c r="BD82" s="1" t="str">
        <f>IF(AND(AND(AND(BD$4&gt;='2025'!$L80,BD$4&lt;='2025'!$M80), BD$4&lt;&gt;DATE(2025,7,4)), (SWITCH(weekday(BD$4), 1, 0, 2, if(ISBLANK('2025'!$P80), 0, 1), 3, if(ISBLANK('2025'!$Q80), 0, 1), 4, if(ISBLANK('2025'!$R80), 0, 1), 5, if(ISBLANK('2025'!$S80), 0, 1), 6, if(ISBLANK('2025'!$T80), 0, 1), 7, 0))), 1, "")</f>
        <v/>
      </c>
      <c r="BE82" s="1" t="str">
        <f>IF(AND(AND(AND(BE$4&gt;='2025'!$L80,BE$4&lt;='2025'!$M80), BE$4&lt;&gt;DATE(2025,7,4)), (SWITCH(weekday(BE$4), 1, 0, 2, if(ISBLANK('2025'!$P80), 0, 1), 3, if(ISBLANK('2025'!$Q80), 0, 1), 4, if(ISBLANK('2025'!$R80), 0, 1), 5, if(ISBLANK('2025'!$S80), 0, 1), 6, if(ISBLANK('2025'!$T80), 0, 1), 7, 0))), 1, "")</f>
        <v/>
      </c>
      <c r="BF82" s="1" t="str">
        <f>IF(AND(AND(AND(BF$4&gt;='2025'!$L80,BF$4&lt;='2025'!$M80), BF$4&lt;&gt;DATE(2025,7,4)), (SWITCH(weekday(BF$4), 1, 0, 2, if(ISBLANK('2025'!$P80), 0, 1), 3, if(ISBLANK('2025'!$Q80), 0, 1), 4, if(ISBLANK('2025'!$R80), 0, 1), 5, if(ISBLANK('2025'!$S80), 0, 1), 6, if(ISBLANK('2025'!$T80), 0, 1), 7, 0))), 1, "")</f>
        <v/>
      </c>
      <c r="BG82" s="1"/>
      <c r="BH82" s="1"/>
      <c r="BI82" s="1"/>
      <c r="BJ82" s="1"/>
      <c r="BK82" s="1"/>
      <c r="BL82" s="1"/>
    </row>
    <row r="83">
      <c r="A83" s="1">
        <f t="shared" si="3"/>
        <v>83</v>
      </c>
      <c r="B83" s="1" t="str">
        <f>'2025'!D49</f>
        <v>hamilton, mia</v>
      </c>
      <c r="C83" s="1" t="str">
        <f>'2025'!H49</f>
        <v>TOD</v>
      </c>
      <c r="D83" s="1" t="str">
        <f>IF(AND(AND(AND(D$4&gt;='2025'!$L81,D$4&lt;='2025'!$M81), D$4&lt;&gt;DATE(2025,7,4)), (SWITCH(weekday(D$4), 1, 0, 2, if(ISBLANK('2025'!$P81), 0, 1), 3, if(ISBLANK('2025'!$Q81), 0, 1), 4, if(ISBLANK('2025'!$R81), 0, 1), 5, if(ISBLANK('2025'!$S81), 0, 1), 6, if(ISBLANK('2025'!$T81), 0, 1), 7, 0))), 1, "")</f>
        <v/>
      </c>
      <c r="E83" s="1" t="str">
        <f>IF(AND(AND(AND(E$4&gt;='2025'!$L81,E$4&lt;='2025'!$M81), E$4&lt;&gt;DATE(2025,7,4)), (SWITCH(weekday(E$4), 1, 0, 2, if(ISBLANK('2025'!$P81), 0, 1), 3, if(ISBLANK('2025'!$Q81), 0, 1), 4, if(ISBLANK('2025'!$R81), 0, 1), 5, if(ISBLANK('2025'!$S81), 0, 1), 6, if(ISBLANK('2025'!$T81), 0, 1), 7, 0))), 1, "")</f>
        <v/>
      </c>
      <c r="F83" s="1" t="str">
        <f>IF(AND(AND(AND(F$4&gt;='2025'!$L81,F$4&lt;='2025'!$M81), F$4&lt;&gt;DATE(2025,7,4)), (SWITCH(weekday(F$4), 1, 0, 2, if(ISBLANK('2025'!$P81), 0, 1), 3, if(ISBLANK('2025'!$Q81), 0, 1), 4, if(ISBLANK('2025'!$R81), 0, 1), 5, if(ISBLANK('2025'!$S81), 0, 1), 6, if(ISBLANK('2025'!$T81), 0, 1), 7, 0))), 1, "")</f>
        <v/>
      </c>
      <c r="G83" s="1" t="str">
        <f>IF(AND(AND(AND(G$4&gt;='2025'!$L81,G$4&lt;='2025'!$M81), G$4&lt;&gt;DATE(2025,7,4)), (SWITCH(weekday(G$4), 1, 0, 2, if(ISBLANK('2025'!$P81), 0, 1), 3, if(ISBLANK('2025'!$Q81), 0, 1), 4, if(ISBLANK('2025'!$R81), 0, 1), 5, if(ISBLANK('2025'!$S81), 0, 1), 6, if(ISBLANK('2025'!$T81), 0, 1), 7, 0))), 1, "")</f>
        <v/>
      </c>
      <c r="H83" s="1" t="str">
        <f>IF(AND(AND(AND(H$4&gt;='2025'!$L81,H$4&lt;='2025'!$M81), H$4&lt;&gt;DATE(2025,7,4)), (SWITCH(weekday(H$4), 1, 0, 2, if(ISBLANK('2025'!$P81), 0, 1), 3, if(ISBLANK('2025'!$Q81), 0, 1), 4, if(ISBLANK('2025'!$R81), 0, 1), 5, if(ISBLANK('2025'!$S81), 0, 1), 6, if(ISBLANK('2025'!$T81), 0, 1), 7, 0))), 1, "")</f>
        <v/>
      </c>
      <c r="I83" s="1" t="str">
        <f>IF(AND(AND(AND(I$4&gt;='2025'!$L81,I$4&lt;='2025'!$M81), I$4&lt;&gt;DATE(2025,7,4)), (SWITCH(weekday(I$4), 1, 0, 2, if(ISBLANK('2025'!$P81), 0, 1), 3, if(ISBLANK('2025'!$Q81), 0, 1), 4, if(ISBLANK('2025'!$R81), 0, 1), 5, if(ISBLANK('2025'!$S81), 0, 1), 6, if(ISBLANK('2025'!$T81), 0, 1), 7, 0))), 1, "")</f>
        <v/>
      </c>
      <c r="J83" s="1" t="str">
        <f>IF(AND(AND(AND(J$4&gt;='2025'!$L81,J$4&lt;='2025'!$M81), J$4&lt;&gt;DATE(2025,7,4)), (SWITCH(weekday(J$4), 1, 0, 2, if(ISBLANK('2025'!$P81), 0, 1), 3, if(ISBLANK('2025'!$Q81), 0, 1), 4, if(ISBLANK('2025'!$R81), 0, 1), 5, if(ISBLANK('2025'!$S81), 0, 1), 6, if(ISBLANK('2025'!$T81), 0, 1), 7, 0))), 1, "")</f>
        <v/>
      </c>
      <c r="K83" s="1" t="str">
        <f>IF(AND(AND(AND(K$4&gt;='2025'!$L81,K$4&lt;='2025'!$M81), K$4&lt;&gt;DATE(2025,7,4)), (SWITCH(weekday(K$4), 1, 0, 2, if(ISBLANK('2025'!$P81), 0, 1), 3, if(ISBLANK('2025'!$Q81), 0, 1), 4, if(ISBLANK('2025'!$R81), 0, 1), 5, if(ISBLANK('2025'!$S81), 0, 1), 6, if(ISBLANK('2025'!$T81), 0, 1), 7, 0))), 1, "")</f>
        <v/>
      </c>
      <c r="L83" s="1" t="str">
        <f>IF(AND(AND(AND(L$4&gt;='2025'!$L81,L$4&lt;='2025'!$M81), L$4&lt;&gt;DATE(2025,7,4)), (SWITCH(weekday(L$4), 1, 0, 2, if(ISBLANK('2025'!$P81), 0, 1), 3, if(ISBLANK('2025'!$Q81), 0, 1), 4, if(ISBLANK('2025'!$R81), 0, 1), 5, if(ISBLANK('2025'!$S81), 0, 1), 6, if(ISBLANK('2025'!$T81), 0, 1), 7, 0))), 1, "")</f>
        <v/>
      </c>
      <c r="M83" s="1" t="str">
        <f>IF(AND(AND(AND(M$4&gt;='2025'!$L81,M$4&lt;='2025'!$M81), M$4&lt;&gt;DATE(2025,7,4)), (SWITCH(weekday(M$4), 1, 0, 2, if(ISBLANK('2025'!$P81), 0, 1), 3, if(ISBLANK('2025'!$Q81), 0, 1), 4, if(ISBLANK('2025'!$R81), 0, 1), 5, if(ISBLANK('2025'!$S81), 0, 1), 6, if(ISBLANK('2025'!$T81), 0, 1), 7, 0))), 1, "")</f>
        <v/>
      </c>
      <c r="N83" s="1" t="str">
        <f>IF(AND(AND(AND(N$4&gt;='2025'!$L81,N$4&lt;='2025'!$M81), N$4&lt;&gt;DATE(2025,7,4)), (SWITCH(weekday(N$4), 1, 0, 2, if(ISBLANK('2025'!$P81), 0, 1), 3, if(ISBLANK('2025'!$Q81), 0, 1), 4, if(ISBLANK('2025'!$R81), 0, 1), 5, if(ISBLANK('2025'!$S81), 0, 1), 6, if(ISBLANK('2025'!$T81), 0, 1), 7, 0))), 1, "")</f>
        <v/>
      </c>
      <c r="O83" s="1" t="str">
        <f>IF(AND(AND(AND(O$4&gt;='2025'!$L81,O$4&lt;='2025'!$M81), O$4&lt;&gt;DATE(2025,7,4)), (SWITCH(weekday(O$4), 1, 0, 2, if(ISBLANK('2025'!$P81), 0, 1), 3, if(ISBLANK('2025'!$Q81), 0, 1), 4, if(ISBLANK('2025'!$R81), 0, 1), 5, if(ISBLANK('2025'!$S81), 0, 1), 6, if(ISBLANK('2025'!$T81), 0, 1), 7, 0))), 1, "")</f>
        <v/>
      </c>
      <c r="P83" s="1" t="str">
        <f>IF(AND(AND(AND(P$4&gt;='2025'!$L81,P$4&lt;='2025'!$M81), P$4&lt;&gt;DATE(2025,7,4)), (SWITCH(weekday(P$4), 1, 0, 2, if(ISBLANK('2025'!$P81), 0, 1), 3, if(ISBLANK('2025'!$Q81), 0, 1), 4, if(ISBLANK('2025'!$R81), 0, 1), 5, if(ISBLANK('2025'!$S81), 0, 1), 6, if(ISBLANK('2025'!$T81), 0, 1), 7, 0))), 1, "")</f>
        <v/>
      </c>
      <c r="Q83" s="1" t="str">
        <f>IF(AND(AND(AND(Q$4&gt;='2025'!$L81,Q$4&lt;='2025'!$M81), Q$4&lt;&gt;DATE(2025,7,4)), (SWITCH(weekday(Q$4), 1, 0, 2, if(ISBLANK('2025'!$P81), 0, 1), 3, if(ISBLANK('2025'!$Q81), 0, 1), 4, if(ISBLANK('2025'!$R81), 0, 1), 5, if(ISBLANK('2025'!$S81), 0, 1), 6, if(ISBLANK('2025'!$T81), 0, 1), 7, 0))), 1, "")</f>
        <v/>
      </c>
      <c r="R83" s="1" t="str">
        <f>IF(AND(AND(AND(R$4&gt;='2025'!$L81,R$4&lt;='2025'!$M81), R$4&lt;&gt;DATE(2025,7,4)), (SWITCH(weekday(R$4), 1, 0, 2, if(ISBLANK('2025'!$P81), 0, 1), 3, if(ISBLANK('2025'!$Q81), 0, 1), 4, if(ISBLANK('2025'!$R81), 0, 1), 5, if(ISBLANK('2025'!$S81), 0, 1), 6, if(ISBLANK('2025'!$T81), 0, 1), 7, 0))), 1, "")</f>
        <v/>
      </c>
      <c r="S83" s="1" t="str">
        <f>IF(AND(AND(AND(S$4&gt;='2025'!$L81,S$4&lt;='2025'!$M81), S$4&lt;&gt;DATE(2025,7,4)), (SWITCH(weekday(S$4), 1, 0, 2, if(ISBLANK('2025'!$P81), 0, 1), 3, if(ISBLANK('2025'!$Q81), 0, 1), 4, if(ISBLANK('2025'!$R81), 0, 1), 5, if(ISBLANK('2025'!$S81), 0, 1), 6, if(ISBLANK('2025'!$T81), 0, 1), 7, 0))), 1, "")</f>
        <v/>
      </c>
      <c r="T83" s="1" t="str">
        <f>IF(AND(AND(AND(T$4&gt;='2025'!$L81,T$4&lt;='2025'!$M81), T$4&lt;&gt;DATE(2025,7,4)), (SWITCH(weekday(T$4), 1, 0, 2, if(ISBLANK('2025'!$P81), 0, 1), 3, if(ISBLANK('2025'!$Q81), 0, 1), 4, if(ISBLANK('2025'!$R81), 0, 1), 5, if(ISBLANK('2025'!$S81), 0, 1), 6, if(ISBLANK('2025'!$T81), 0, 1), 7, 0))), 1, "")</f>
        <v/>
      </c>
      <c r="U83" s="1" t="str">
        <f>IF(AND(AND(AND(U$4&gt;='2025'!$L81,U$4&lt;='2025'!$M81), U$4&lt;&gt;DATE(2025,7,4)), (SWITCH(weekday(U$4), 1, 0, 2, if(ISBLANK('2025'!$P81), 0, 1), 3, if(ISBLANK('2025'!$Q81), 0, 1), 4, if(ISBLANK('2025'!$R81), 0, 1), 5, if(ISBLANK('2025'!$S81), 0, 1), 6, if(ISBLANK('2025'!$T81), 0, 1), 7, 0))), 1, "")</f>
        <v/>
      </c>
      <c r="V83" s="1" t="str">
        <f>IF(AND(AND(AND(V$4&gt;='2025'!$L81,V$4&lt;='2025'!$M81), V$4&lt;&gt;DATE(2025,7,4)), (SWITCH(weekday(V$4), 1, 0, 2, if(ISBLANK('2025'!$P81), 0, 1), 3, if(ISBLANK('2025'!$Q81), 0, 1), 4, if(ISBLANK('2025'!$R81), 0, 1), 5, if(ISBLANK('2025'!$S81), 0, 1), 6, if(ISBLANK('2025'!$T81), 0, 1), 7, 0))), 1, "")</f>
        <v/>
      </c>
      <c r="W83" s="1" t="str">
        <f>IF(AND(AND(AND(W$4&gt;='2025'!$L81,W$4&lt;='2025'!$M81), W$4&lt;&gt;DATE(2025,7,4)), (SWITCH(weekday(W$4), 1, 0, 2, if(ISBLANK('2025'!$P81), 0, 1), 3, if(ISBLANK('2025'!$Q81), 0, 1), 4, if(ISBLANK('2025'!$R81), 0, 1), 5, if(ISBLANK('2025'!$S81), 0, 1), 6, if(ISBLANK('2025'!$T81), 0, 1), 7, 0))), 1, "")</f>
        <v/>
      </c>
      <c r="X83" s="1" t="str">
        <f>IF(AND(AND(AND(X$4&gt;='2025'!$L81,X$4&lt;='2025'!$M81), X$4&lt;&gt;DATE(2025,7,4)), (SWITCH(weekday(X$4), 1, 0, 2, if(ISBLANK('2025'!$P81), 0, 1), 3, if(ISBLANK('2025'!$Q81), 0, 1), 4, if(ISBLANK('2025'!$R81), 0, 1), 5, if(ISBLANK('2025'!$S81), 0, 1), 6, if(ISBLANK('2025'!$T81), 0, 1), 7, 0))), 1, "")</f>
        <v/>
      </c>
      <c r="Y83" s="1" t="str">
        <f>IF(AND(AND(AND(Y$4&gt;='2025'!$L81,Y$4&lt;='2025'!$M81), Y$4&lt;&gt;DATE(2025,7,4)), (SWITCH(weekday(Y$4), 1, 0, 2, if(ISBLANK('2025'!$P81), 0, 1), 3, if(ISBLANK('2025'!$Q81), 0, 1), 4, if(ISBLANK('2025'!$R81), 0, 1), 5, if(ISBLANK('2025'!$S81), 0, 1), 6, if(ISBLANK('2025'!$T81), 0, 1), 7, 0))), 1, "")</f>
        <v/>
      </c>
      <c r="Z83" s="1" t="str">
        <f>IF(AND(AND(AND(Z$4&gt;='2025'!$L81,Z$4&lt;='2025'!$M81), Z$4&lt;&gt;DATE(2025,7,4)), (SWITCH(weekday(Z$4), 1, 0, 2, if(ISBLANK('2025'!$P81), 0, 1), 3, if(ISBLANK('2025'!$Q81), 0, 1), 4, if(ISBLANK('2025'!$R81), 0, 1), 5, if(ISBLANK('2025'!$S81), 0, 1), 6, if(ISBLANK('2025'!$T81), 0, 1), 7, 0))), 1, "")</f>
        <v/>
      </c>
      <c r="AA83" s="1" t="str">
        <f>IF(AND(AND(AND(AA$4&gt;='2025'!$L81,AA$4&lt;='2025'!$M81), AA$4&lt;&gt;DATE(2025,7,4)), (SWITCH(weekday(AA$4), 1, 0, 2, if(ISBLANK('2025'!$P81), 0, 1), 3, if(ISBLANK('2025'!$Q81), 0, 1), 4, if(ISBLANK('2025'!$R81), 0, 1), 5, if(ISBLANK('2025'!$S81), 0, 1), 6, if(ISBLANK('2025'!$T81), 0, 1), 7, 0))), 1, "")</f>
        <v/>
      </c>
      <c r="AB83" s="1" t="str">
        <f>IF(AND(AND(AND(AB$4&gt;='2025'!$L81,AB$4&lt;='2025'!$M81), AB$4&lt;&gt;DATE(2025,7,4)), (SWITCH(weekday(AB$4), 1, 0, 2, if(ISBLANK('2025'!$P81), 0, 1), 3, if(ISBLANK('2025'!$Q81), 0, 1), 4, if(ISBLANK('2025'!$R81), 0, 1), 5, if(ISBLANK('2025'!$S81), 0, 1), 6, if(ISBLANK('2025'!$T81), 0, 1), 7, 0))), 1, "")</f>
        <v/>
      </c>
      <c r="AC83" s="1" t="str">
        <f>IF(AND(AND(AND(AC$4&gt;='2025'!$L81,AC$4&lt;='2025'!$M81), AC$4&lt;&gt;DATE(2025,7,4)), (SWITCH(weekday(AC$4), 1, 0, 2, if(ISBLANK('2025'!$P81), 0, 1), 3, if(ISBLANK('2025'!$Q81), 0, 1), 4, if(ISBLANK('2025'!$R81), 0, 1), 5, if(ISBLANK('2025'!$S81), 0, 1), 6, if(ISBLANK('2025'!$T81), 0, 1), 7, 0))), 1, "")</f>
        <v/>
      </c>
      <c r="AD83" s="1" t="str">
        <f>IF(AND(AND(AND(AD$4&gt;='2025'!$L81,AD$4&lt;='2025'!$M81), AD$4&lt;&gt;DATE(2025,7,4)), (SWITCH(weekday(AD$4), 1, 0, 2, if(ISBLANK('2025'!$P81), 0, 1), 3, if(ISBLANK('2025'!$Q81), 0, 1), 4, if(ISBLANK('2025'!$R81), 0, 1), 5, if(ISBLANK('2025'!$S81), 0, 1), 6, if(ISBLANK('2025'!$T81), 0, 1), 7, 0))), 1, "")</f>
        <v/>
      </c>
      <c r="AE83" s="1" t="str">
        <f>IF(AND(AND(AND(AE$4&gt;='2025'!$L81,AE$4&lt;='2025'!$M81), AE$4&lt;&gt;DATE(2025,7,4)), (SWITCH(weekday(AE$4), 1, 0, 2, if(ISBLANK('2025'!$P81), 0, 1), 3, if(ISBLANK('2025'!$Q81), 0, 1), 4, if(ISBLANK('2025'!$R81), 0, 1), 5, if(ISBLANK('2025'!$S81), 0, 1), 6, if(ISBLANK('2025'!$T81), 0, 1), 7, 0))), 1, "")</f>
        <v/>
      </c>
      <c r="AF83" s="1" t="str">
        <f>IF(AND(AND(AND(AF$4&gt;='2025'!$L81,AF$4&lt;='2025'!$M81), AF$4&lt;&gt;DATE(2025,7,4)), (SWITCH(weekday(AF$4), 1, 0, 2, if(ISBLANK('2025'!$P81), 0, 1), 3, if(ISBLANK('2025'!$Q81), 0, 1), 4, if(ISBLANK('2025'!$R81), 0, 1), 5, if(ISBLANK('2025'!$S81), 0, 1), 6, if(ISBLANK('2025'!$T81), 0, 1), 7, 0))), 1, "")</f>
        <v/>
      </c>
      <c r="AG83" s="1" t="str">
        <f>IF(AND(AND(AND(AG$4&gt;='2025'!$L81,AG$4&lt;='2025'!$M81), AG$4&lt;&gt;DATE(2025,7,4)), (SWITCH(weekday(AG$4), 1, 0, 2, if(ISBLANK('2025'!$P81), 0, 1), 3, if(ISBLANK('2025'!$Q81), 0, 1), 4, if(ISBLANK('2025'!$R81), 0, 1), 5, if(ISBLANK('2025'!$S81), 0, 1), 6, if(ISBLANK('2025'!$T81), 0, 1), 7, 0))), 1, "")</f>
        <v/>
      </c>
      <c r="AH83" s="1" t="str">
        <f>IF(AND(AND(AND(AH$4&gt;='2025'!$L81,AH$4&lt;='2025'!$M81), AH$4&lt;&gt;DATE(2025,7,4)), (SWITCH(weekday(AH$4), 1, 0, 2, if(ISBLANK('2025'!$P81), 0, 1), 3, if(ISBLANK('2025'!$Q81), 0, 1), 4, if(ISBLANK('2025'!$R81), 0, 1), 5, if(ISBLANK('2025'!$S81), 0, 1), 6, if(ISBLANK('2025'!$T81), 0, 1), 7, 0))), 1, "")</f>
        <v/>
      </c>
      <c r="AI83" s="1" t="str">
        <f>IF(AND(AND(AND(AI$4&gt;='2025'!$L81,AI$4&lt;='2025'!$M81), AI$4&lt;&gt;DATE(2025,7,4)), (SWITCH(weekday(AI$4), 1, 0, 2, if(ISBLANK('2025'!$P81), 0, 1), 3, if(ISBLANK('2025'!$Q81), 0, 1), 4, if(ISBLANK('2025'!$R81), 0, 1), 5, if(ISBLANK('2025'!$S81), 0, 1), 6, if(ISBLANK('2025'!$T81), 0, 1), 7, 0))), 1, "")</f>
        <v/>
      </c>
      <c r="AJ83" s="1" t="str">
        <f>IF(AND(AND(AND(AJ$4&gt;='2025'!$L81,AJ$4&lt;='2025'!$M81), AJ$4&lt;&gt;DATE(2025,7,4)), (SWITCH(weekday(AJ$4), 1, 0, 2, if(ISBLANK('2025'!$P81), 0, 1), 3, if(ISBLANK('2025'!$Q81), 0, 1), 4, if(ISBLANK('2025'!$R81), 0, 1), 5, if(ISBLANK('2025'!$S81), 0, 1), 6, if(ISBLANK('2025'!$T81), 0, 1), 7, 0))), 1, "")</f>
        <v/>
      </c>
      <c r="AK83" s="1" t="str">
        <f>IF(AND(AND(AND(AK$4&gt;='2025'!$L81,AK$4&lt;='2025'!$M81), AK$4&lt;&gt;DATE(2025,7,4)), (SWITCH(weekday(AK$4), 1, 0, 2, if(ISBLANK('2025'!$P81), 0, 1), 3, if(ISBLANK('2025'!$Q81), 0, 1), 4, if(ISBLANK('2025'!$R81), 0, 1), 5, if(ISBLANK('2025'!$S81), 0, 1), 6, if(ISBLANK('2025'!$T81), 0, 1), 7, 0))), 1, "")</f>
        <v/>
      </c>
      <c r="AL83" s="1" t="str">
        <f>IF(AND(AND(AND(AL$4&gt;='2025'!$L81,AL$4&lt;='2025'!$M81), AL$4&lt;&gt;DATE(2025,7,4)), (SWITCH(weekday(AL$4), 1, 0, 2, if(ISBLANK('2025'!$P81), 0, 1), 3, if(ISBLANK('2025'!$Q81), 0, 1), 4, if(ISBLANK('2025'!$R81), 0, 1), 5, if(ISBLANK('2025'!$S81), 0, 1), 6, if(ISBLANK('2025'!$T81), 0, 1), 7, 0))), 1, "")</f>
        <v/>
      </c>
      <c r="AM83" s="1" t="str">
        <f>IF(AND(AND(AND(AM$4&gt;='2025'!$L81,AM$4&lt;='2025'!$M81), AM$4&lt;&gt;DATE(2025,7,4)), (SWITCH(weekday(AM$4), 1, 0, 2, if(ISBLANK('2025'!$P81), 0, 1), 3, if(ISBLANK('2025'!$Q81), 0, 1), 4, if(ISBLANK('2025'!$R81), 0, 1), 5, if(ISBLANK('2025'!$S81), 0, 1), 6, if(ISBLANK('2025'!$T81), 0, 1), 7, 0))), 1, "")</f>
        <v/>
      </c>
      <c r="AN83" s="1" t="str">
        <f>IF(AND(AND(AND(AN$4&gt;='2025'!$L81,AN$4&lt;='2025'!$M81), AN$4&lt;&gt;DATE(2025,7,4)), (SWITCH(weekday(AN$4), 1, 0, 2, if(ISBLANK('2025'!$P81), 0, 1), 3, if(ISBLANK('2025'!$Q81), 0, 1), 4, if(ISBLANK('2025'!$R81), 0, 1), 5, if(ISBLANK('2025'!$S81), 0, 1), 6, if(ISBLANK('2025'!$T81), 0, 1), 7, 0))), 1, "")</f>
        <v/>
      </c>
      <c r="AO83" s="1" t="str">
        <f>IF(AND(AND(AND(AO$4&gt;='2025'!$L81,AO$4&lt;='2025'!$M81), AO$4&lt;&gt;DATE(2025,7,4)), (SWITCH(weekday(AO$4), 1, 0, 2, if(ISBLANK('2025'!$P81), 0, 1), 3, if(ISBLANK('2025'!$Q81), 0, 1), 4, if(ISBLANK('2025'!$R81), 0, 1), 5, if(ISBLANK('2025'!$S81), 0, 1), 6, if(ISBLANK('2025'!$T81), 0, 1), 7, 0))), 1, "")</f>
        <v/>
      </c>
      <c r="AP83" s="1" t="str">
        <f>IF(AND(AND(AND(AP$4&gt;='2025'!$L81,AP$4&lt;='2025'!$M81), AP$4&lt;&gt;DATE(2025,7,4)), (SWITCH(weekday(AP$4), 1, 0, 2, if(ISBLANK('2025'!$P81), 0, 1), 3, if(ISBLANK('2025'!$Q81), 0, 1), 4, if(ISBLANK('2025'!$R81), 0, 1), 5, if(ISBLANK('2025'!$S81), 0, 1), 6, if(ISBLANK('2025'!$T81), 0, 1), 7, 0))), 1, "")</f>
        <v/>
      </c>
      <c r="AQ83" s="1" t="str">
        <f>IF(AND(AND(AND(AQ$4&gt;='2025'!$L81,AQ$4&lt;='2025'!$M81), AQ$4&lt;&gt;DATE(2025,7,4)), (SWITCH(weekday(AQ$4), 1, 0, 2, if(ISBLANK('2025'!$P81), 0, 1), 3, if(ISBLANK('2025'!$Q81), 0, 1), 4, if(ISBLANK('2025'!$R81), 0, 1), 5, if(ISBLANK('2025'!$S81), 0, 1), 6, if(ISBLANK('2025'!$T81), 0, 1), 7, 0))), 1, "")</f>
        <v/>
      </c>
      <c r="AR83" s="1" t="str">
        <f>IF(AND(AND(AND(AR$4&gt;='2025'!$L81,AR$4&lt;='2025'!$M81), AR$4&lt;&gt;DATE(2025,7,4)), (SWITCH(weekday(AR$4), 1, 0, 2, if(ISBLANK('2025'!$P81), 0, 1), 3, if(ISBLANK('2025'!$Q81), 0, 1), 4, if(ISBLANK('2025'!$R81), 0, 1), 5, if(ISBLANK('2025'!$S81), 0, 1), 6, if(ISBLANK('2025'!$T81), 0, 1), 7, 0))), 1, "")</f>
        <v/>
      </c>
      <c r="AS83" s="1" t="str">
        <f>IF(AND(AND(AND(AS$4&gt;='2025'!$L81,AS$4&lt;='2025'!$M81), AS$4&lt;&gt;DATE(2025,7,4)), (SWITCH(weekday(AS$4), 1, 0, 2, if(ISBLANK('2025'!$P81), 0, 1), 3, if(ISBLANK('2025'!$Q81), 0, 1), 4, if(ISBLANK('2025'!$R81), 0, 1), 5, if(ISBLANK('2025'!$S81), 0, 1), 6, if(ISBLANK('2025'!$T81), 0, 1), 7, 0))), 1, "")</f>
        <v/>
      </c>
      <c r="AT83" s="1" t="str">
        <f>IF(AND(AND(AND(AT$4&gt;='2025'!$L81,AT$4&lt;='2025'!$M81), AT$4&lt;&gt;DATE(2025,7,4)), (SWITCH(weekday(AT$4), 1, 0, 2, if(ISBLANK('2025'!$P81), 0, 1), 3, if(ISBLANK('2025'!$Q81), 0, 1), 4, if(ISBLANK('2025'!$R81), 0, 1), 5, if(ISBLANK('2025'!$S81), 0, 1), 6, if(ISBLANK('2025'!$T81), 0, 1), 7, 0))), 1, "")</f>
        <v/>
      </c>
      <c r="AU83" s="1" t="str">
        <f>IF(AND(AND(AND(AU$4&gt;='2025'!$L81,AU$4&lt;='2025'!$M81), AU$4&lt;&gt;DATE(2025,7,4)), (SWITCH(weekday(AU$4), 1, 0, 2, if(ISBLANK('2025'!$P81), 0, 1), 3, if(ISBLANK('2025'!$Q81), 0, 1), 4, if(ISBLANK('2025'!$R81), 0, 1), 5, if(ISBLANK('2025'!$S81), 0, 1), 6, if(ISBLANK('2025'!$T81), 0, 1), 7, 0))), 1, "")</f>
        <v/>
      </c>
      <c r="AV83" s="1" t="str">
        <f>IF(AND(AND(AND(AV$4&gt;='2025'!$L81,AV$4&lt;='2025'!$M81), AV$4&lt;&gt;DATE(2025,7,4)), (SWITCH(weekday(AV$4), 1, 0, 2, if(ISBLANK('2025'!$P81), 0, 1), 3, if(ISBLANK('2025'!$Q81), 0, 1), 4, if(ISBLANK('2025'!$R81), 0, 1), 5, if(ISBLANK('2025'!$S81), 0, 1), 6, if(ISBLANK('2025'!$T81), 0, 1), 7, 0))), 1, "")</f>
        <v/>
      </c>
      <c r="AW83" s="1" t="str">
        <f>IF(AND(AND(AND(AW$4&gt;='2025'!$L81,AW$4&lt;='2025'!$M81), AW$4&lt;&gt;DATE(2025,7,4)), (SWITCH(weekday(AW$4), 1, 0, 2, if(ISBLANK('2025'!$P81), 0, 1), 3, if(ISBLANK('2025'!$Q81), 0, 1), 4, if(ISBLANK('2025'!$R81), 0, 1), 5, if(ISBLANK('2025'!$S81), 0, 1), 6, if(ISBLANK('2025'!$T81), 0, 1), 7, 0))), 1, "")</f>
        <v/>
      </c>
      <c r="AX83" s="1" t="str">
        <f>IF(AND(AND(AND(AX$4&gt;='2025'!$L81,AX$4&lt;='2025'!$M81), AX$4&lt;&gt;DATE(2025,7,4)), (SWITCH(weekday(AX$4), 1, 0, 2, if(ISBLANK('2025'!$P81), 0, 1), 3, if(ISBLANK('2025'!$Q81), 0, 1), 4, if(ISBLANK('2025'!$R81), 0, 1), 5, if(ISBLANK('2025'!$S81), 0, 1), 6, if(ISBLANK('2025'!$T81), 0, 1), 7, 0))), 1, "")</f>
        <v/>
      </c>
      <c r="AY83" s="1" t="str">
        <f>IF(AND(AND(AND(AY$4&gt;='2025'!$L81,AY$4&lt;='2025'!$M81), AY$4&lt;&gt;DATE(2025,7,4)), (SWITCH(weekday(AY$4), 1, 0, 2, if(ISBLANK('2025'!$P81), 0, 1), 3, if(ISBLANK('2025'!$Q81), 0, 1), 4, if(ISBLANK('2025'!$R81), 0, 1), 5, if(ISBLANK('2025'!$S81), 0, 1), 6, if(ISBLANK('2025'!$T81), 0, 1), 7, 0))), 1, "")</f>
        <v/>
      </c>
      <c r="AZ83" s="1" t="str">
        <f>IF(AND(AND(AND(AZ$4&gt;='2025'!$L81,AZ$4&lt;='2025'!$M81), AZ$4&lt;&gt;DATE(2025,7,4)), (SWITCH(weekday(AZ$4), 1, 0, 2, if(ISBLANK('2025'!$P81), 0, 1), 3, if(ISBLANK('2025'!$Q81), 0, 1), 4, if(ISBLANK('2025'!$R81), 0, 1), 5, if(ISBLANK('2025'!$S81), 0, 1), 6, if(ISBLANK('2025'!$T81), 0, 1), 7, 0))), 1, "")</f>
        <v/>
      </c>
      <c r="BA83" s="1" t="str">
        <f>IF(AND(AND(AND(BA$4&gt;='2025'!$L81,BA$4&lt;='2025'!$M81), BA$4&lt;&gt;DATE(2025,7,4)), (SWITCH(weekday(BA$4), 1, 0, 2, if(ISBLANK('2025'!$P81), 0, 1), 3, if(ISBLANK('2025'!$Q81), 0, 1), 4, if(ISBLANK('2025'!$R81), 0, 1), 5, if(ISBLANK('2025'!$S81), 0, 1), 6, if(ISBLANK('2025'!$T81), 0, 1), 7, 0))), 1, "")</f>
        <v/>
      </c>
      <c r="BB83" s="1" t="str">
        <f>IF(AND(AND(AND(BB$4&gt;='2025'!$L81,BB$4&lt;='2025'!$M81), BB$4&lt;&gt;DATE(2025,7,4)), (SWITCH(weekday(BB$4), 1, 0, 2, if(ISBLANK('2025'!$P81), 0, 1), 3, if(ISBLANK('2025'!$Q81), 0, 1), 4, if(ISBLANK('2025'!$R81), 0, 1), 5, if(ISBLANK('2025'!$S81), 0, 1), 6, if(ISBLANK('2025'!$T81), 0, 1), 7, 0))), 1, "")</f>
        <v/>
      </c>
      <c r="BC83" s="1" t="str">
        <f>IF(AND(AND(AND(BC$4&gt;='2025'!$L81,BC$4&lt;='2025'!$M81), BC$4&lt;&gt;DATE(2025,7,4)), (SWITCH(weekday(BC$4), 1, 0, 2, if(ISBLANK('2025'!$P81), 0, 1), 3, if(ISBLANK('2025'!$Q81), 0, 1), 4, if(ISBLANK('2025'!$R81), 0, 1), 5, if(ISBLANK('2025'!$S81), 0, 1), 6, if(ISBLANK('2025'!$T81), 0, 1), 7, 0))), 1, "")</f>
        <v/>
      </c>
      <c r="BD83" s="1" t="str">
        <f>IF(AND(AND(AND(BD$4&gt;='2025'!$L81,BD$4&lt;='2025'!$M81), BD$4&lt;&gt;DATE(2025,7,4)), (SWITCH(weekday(BD$4), 1, 0, 2, if(ISBLANK('2025'!$P81), 0, 1), 3, if(ISBLANK('2025'!$Q81), 0, 1), 4, if(ISBLANK('2025'!$R81), 0, 1), 5, if(ISBLANK('2025'!$S81), 0, 1), 6, if(ISBLANK('2025'!$T81), 0, 1), 7, 0))), 1, "")</f>
        <v/>
      </c>
      <c r="BE83" s="1" t="str">
        <f>IF(AND(AND(AND(BE$4&gt;='2025'!$L81,BE$4&lt;='2025'!$M81), BE$4&lt;&gt;DATE(2025,7,4)), (SWITCH(weekday(BE$4), 1, 0, 2, if(ISBLANK('2025'!$P81), 0, 1), 3, if(ISBLANK('2025'!$Q81), 0, 1), 4, if(ISBLANK('2025'!$R81), 0, 1), 5, if(ISBLANK('2025'!$S81), 0, 1), 6, if(ISBLANK('2025'!$T81), 0, 1), 7, 0))), 1, "")</f>
        <v/>
      </c>
      <c r="BF83" s="1" t="str">
        <f>IF(AND(AND(AND(BF$4&gt;='2025'!$L81,BF$4&lt;='2025'!$M81), BF$4&lt;&gt;DATE(2025,7,4)), (SWITCH(weekday(BF$4), 1, 0, 2, if(ISBLANK('2025'!$P81), 0, 1), 3, if(ISBLANK('2025'!$Q81), 0, 1), 4, if(ISBLANK('2025'!$R81), 0, 1), 5, if(ISBLANK('2025'!$S81), 0, 1), 6, if(ISBLANK('2025'!$T81), 0, 1), 7, 0))), 1, "")</f>
        <v/>
      </c>
      <c r="BG83" s="1"/>
      <c r="BH83" s="1"/>
      <c r="BI83" s="1"/>
      <c r="BJ83" s="1"/>
      <c r="BK83" s="1"/>
      <c r="BL83" s="1"/>
    </row>
    <row r="84">
      <c r="A84" s="1">
        <f t="shared" si="3"/>
        <v>84</v>
      </c>
      <c r="B84" s="1" t="str">
        <f>'2025'!D50</f>
        <v>George , Gabriel </v>
      </c>
      <c r="C84" s="1" t="str">
        <f>'2025'!H50</f>
        <v>PK3.1</v>
      </c>
      <c r="D84" s="1" t="str">
        <f>IF(AND(AND(AND(D$4&gt;='2025'!$L82,D$4&lt;='2025'!$M82), D$4&lt;&gt;DATE(2025,7,4)), (SWITCH(weekday(D$4), 1, 0, 2, if(ISBLANK('2025'!$P82), 0, 1), 3, if(ISBLANK('2025'!$Q82), 0, 1), 4, if(ISBLANK('2025'!$R82), 0, 1), 5, if(ISBLANK('2025'!$S82), 0, 1), 6, if(ISBLANK('2025'!$T82), 0, 1), 7, 0))), 1, "")</f>
        <v/>
      </c>
      <c r="E84" s="1" t="str">
        <f>IF(AND(AND(AND(E$4&gt;='2025'!$L82,E$4&lt;='2025'!$M82), E$4&lt;&gt;DATE(2025,7,4)), (SWITCH(weekday(E$4), 1, 0, 2, if(ISBLANK('2025'!$P82), 0, 1), 3, if(ISBLANK('2025'!$Q82), 0, 1), 4, if(ISBLANK('2025'!$R82), 0, 1), 5, if(ISBLANK('2025'!$S82), 0, 1), 6, if(ISBLANK('2025'!$T82), 0, 1), 7, 0))), 1, "")</f>
        <v/>
      </c>
      <c r="F84" s="1" t="str">
        <f>IF(AND(AND(AND(F$4&gt;='2025'!$L82,F$4&lt;='2025'!$M82), F$4&lt;&gt;DATE(2025,7,4)), (SWITCH(weekday(F$4), 1, 0, 2, if(ISBLANK('2025'!$P82), 0, 1), 3, if(ISBLANK('2025'!$Q82), 0, 1), 4, if(ISBLANK('2025'!$R82), 0, 1), 5, if(ISBLANK('2025'!$S82), 0, 1), 6, if(ISBLANK('2025'!$T82), 0, 1), 7, 0))), 1, "")</f>
        <v/>
      </c>
      <c r="G84" s="1" t="str">
        <f>IF(AND(AND(AND(G$4&gt;='2025'!$L82,G$4&lt;='2025'!$M82), G$4&lt;&gt;DATE(2025,7,4)), (SWITCH(weekday(G$4), 1, 0, 2, if(ISBLANK('2025'!$P82), 0, 1), 3, if(ISBLANK('2025'!$Q82), 0, 1), 4, if(ISBLANK('2025'!$R82), 0, 1), 5, if(ISBLANK('2025'!$S82), 0, 1), 6, if(ISBLANK('2025'!$T82), 0, 1), 7, 0))), 1, "")</f>
        <v/>
      </c>
      <c r="H84" s="1" t="str">
        <f>IF(AND(AND(AND(H$4&gt;='2025'!$L82,H$4&lt;='2025'!$M82), H$4&lt;&gt;DATE(2025,7,4)), (SWITCH(weekday(H$4), 1, 0, 2, if(ISBLANK('2025'!$P82), 0, 1), 3, if(ISBLANK('2025'!$Q82), 0, 1), 4, if(ISBLANK('2025'!$R82), 0, 1), 5, if(ISBLANK('2025'!$S82), 0, 1), 6, if(ISBLANK('2025'!$T82), 0, 1), 7, 0))), 1, "")</f>
        <v/>
      </c>
      <c r="I84" s="1" t="str">
        <f>IF(AND(AND(AND(I$4&gt;='2025'!$L82,I$4&lt;='2025'!$M82), I$4&lt;&gt;DATE(2025,7,4)), (SWITCH(weekday(I$4), 1, 0, 2, if(ISBLANK('2025'!$P82), 0, 1), 3, if(ISBLANK('2025'!$Q82), 0, 1), 4, if(ISBLANK('2025'!$R82), 0, 1), 5, if(ISBLANK('2025'!$S82), 0, 1), 6, if(ISBLANK('2025'!$T82), 0, 1), 7, 0))), 1, "")</f>
        <v/>
      </c>
      <c r="J84" s="1" t="str">
        <f>IF(AND(AND(AND(J$4&gt;='2025'!$L82,J$4&lt;='2025'!$M82), J$4&lt;&gt;DATE(2025,7,4)), (SWITCH(weekday(J$4), 1, 0, 2, if(ISBLANK('2025'!$P82), 0, 1), 3, if(ISBLANK('2025'!$Q82), 0, 1), 4, if(ISBLANK('2025'!$R82), 0, 1), 5, if(ISBLANK('2025'!$S82), 0, 1), 6, if(ISBLANK('2025'!$T82), 0, 1), 7, 0))), 1, "")</f>
        <v/>
      </c>
      <c r="K84" s="1" t="str">
        <f>IF(AND(AND(AND(K$4&gt;='2025'!$L82,K$4&lt;='2025'!$M82), K$4&lt;&gt;DATE(2025,7,4)), (SWITCH(weekday(K$4), 1, 0, 2, if(ISBLANK('2025'!$P82), 0, 1), 3, if(ISBLANK('2025'!$Q82), 0, 1), 4, if(ISBLANK('2025'!$R82), 0, 1), 5, if(ISBLANK('2025'!$S82), 0, 1), 6, if(ISBLANK('2025'!$T82), 0, 1), 7, 0))), 1, "")</f>
        <v/>
      </c>
      <c r="L84" s="1" t="str">
        <f>IF(AND(AND(AND(L$4&gt;='2025'!$L82,L$4&lt;='2025'!$M82), L$4&lt;&gt;DATE(2025,7,4)), (SWITCH(weekday(L$4), 1, 0, 2, if(ISBLANK('2025'!$P82), 0, 1), 3, if(ISBLANK('2025'!$Q82), 0, 1), 4, if(ISBLANK('2025'!$R82), 0, 1), 5, if(ISBLANK('2025'!$S82), 0, 1), 6, if(ISBLANK('2025'!$T82), 0, 1), 7, 0))), 1, "")</f>
        <v/>
      </c>
      <c r="M84" s="1" t="str">
        <f>IF(AND(AND(AND(M$4&gt;='2025'!$L82,M$4&lt;='2025'!$M82), M$4&lt;&gt;DATE(2025,7,4)), (SWITCH(weekday(M$4), 1, 0, 2, if(ISBLANK('2025'!$P82), 0, 1), 3, if(ISBLANK('2025'!$Q82), 0, 1), 4, if(ISBLANK('2025'!$R82), 0, 1), 5, if(ISBLANK('2025'!$S82), 0, 1), 6, if(ISBLANK('2025'!$T82), 0, 1), 7, 0))), 1, "")</f>
        <v/>
      </c>
      <c r="N84" s="1" t="str">
        <f>IF(AND(AND(AND(N$4&gt;='2025'!$L82,N$4&lt;='2025'!$M82), N$4&lt;&gt;DATE(2025,7,4)), (SWITCH(weekday(N$4), 1, 0, 2, if(ISBLANK('2025'!$P82), 0, 1), 3, if(ISBLANK('2025'!$Q82), 0, 1), 4, if(ISBLANK('2025'!$R82), 0, 1), 5, if(ISBLANK('2025'!$S82), 0, 1), 6, if(ISBLANK('2025'!$T82), 0, 1), 7, 0))), 1, "")</f>
        <v/>
      </c>
      <c r="O84" s="1" t="str">
        <f>IF(AND(AND(AND(O$4&gt;='2025'!$L82,O$4&lt;='2025'!$M82), O$4&lt;&gt;DATE(2025,7,4)), (SWITCH(weekday(O$4), 1, 0, 2, if(ISBLANK('2025'!$P82), 0, 1), 3, if(ISBLANK('2025'!$Q82), 0, 1), 4, if(ISBLANK('2025'!$R82), 0, 1), 5, if(ISBLANK('2025'!$S82), 0, 1), 6, if(ISBLANK('2025'!$T82), 0, 1), 7, 0))), 1, "")</f>
        <v/>
      </c>
      <c r="P84" s="1" t="str">
        <f>IF(AND(AND(AND(P$4&gt;='2025'!$L82,P$4&lt;='2025'!$M82), P$4&lt;&gt;DATE(2025,7,4)), (SWITCH(weekday(P$4), 1, 0, 2, if(ISBLANK('2025'!$P82), 0, 1), 3, if(ISBLANK('2025'!$Q82), 0, 1), 4, if(ISBLANK('2025'!$R82), 0, 1), 5, if(ISBLANK('2025'!$S82), 0, 1), 6, if(ISBLANK('2025'!$T82), 0, 1), 7, 0))), 1, "")</f>
        <v/>
      </c>
      <c r="Q84" s="1" t="str">
        <f>IF(AND(AND(AND(Q$4&gt;='2025'!$L82,Q$4&lt;='2025'!$M82), Q$4&lt;&gt;DATE(2025,7,4)), (SWITCH(weekday(Q$4), 1, 0, 2, if(ISBLANK('2025'!$P82), 0, 1), 3, if(ISBLANK('2025'!$Q82), 0, 1), 4, if(ISBLANK('2025'!$R82), 0, 1), 5, if(ISBLANK('2025'!$S82), 0, 1), 6, if(ISBLANK('2025'!$T82), 0, 1), 7, 0))), 1, "")</f>
        <v/>
      </c>
      <c r="R84" s="1" t="str">
        <f>IF(AND(AND(AND(R$4&gt;='2025'!$L82,R$4&lt;='2025'!$M82), R$4&lt;&gt;DATE(2025,7,4)), (SWITCH(weekday(R$4), 1, 0, 2, if(ISBLANK('2025'!$P82), 0, 1), 3, if(ISBLANK('2025'!$Q82), 0, 1), 4, if(ISBLANK('2025'!$R82), 0, 1), 5, if(ISBLANK('2025'!$S82), 0, 1), 6, if(ISBLANK('2025'!$T82), 0, 1), 7, 0))), 1, "")</f>
        <v/>
      </c>
      <c r="S84" s="1" t="str">
        <f>IF(AND(AND(AND(S$4&gt;='2025'!$L82,S$4&lt;='2025'!$M82), S$4&lt;&gt;DATE(2025,7,4)), (SWITCH(weekday(S$4), 1, 0, 2, if(ISBLANK('2025'!$P82), 0, 1), 3, if(ISBLANK('2025'!$Q82), 0, 1), 4, if(ISBLANK('2025'!$R82), 0, 1), 5, if(ISBLANK('2025'!$S82), 0, 1), 6, if(ISBLANK('2025'!$T82), 0, 1), 7, 0))), 1, "")</f>
        <v/>
      </c>
      <c r="T84" s="1" t="str">
        <f>IF(AND(AND(AND(T$4&gt;='2025'!$L82,T$4&lt;='2025'!$M82), T$4&lt;&gt;DATE(2025,7,4)), (SWITCH(weekday(T$4), 1, 0, 2, if(ISBLANK('2025'!$P82), 0, 1), 3, if(ISBLANK('2025'!$Q82), 0, 1), 4, if(ISBLANK('2025'!$R82), 0, 1), 5, if(ISBLANK('2025'!$S82), 0, 1), 6, if(ISBLANK('2025'!$T82), 0, 1), 7, 0))), 1, "")</f>
        <v/>
      </c>
      <c r="U84" s="1" t="str">
        <f>IF(AND(AND(AND(U$4&gt;='2025'!$L82,U$4&lt;='2025'!$M82), U$4&lt;&gt;DATE(2025,7,4)), (SWITCH(weekday(U$4), 1, 0, 2, if(ISBLANK('2025'!$P82), 0, 1), 3, if(ISBLANK('2025'!$Q82), 0, 1), 4, if(ISBLANK('2025'!$R82), 0, 1), 5, if(ISBLANK('2025'!$S82), 0, 1), 6, if(ISBLANK('2025'!$T82), 0, 1), 7, 0))), 1, "")</f>
        <v/>
      </c>
      <c r="V84" s="1" t="str">
        <f>IF(AND(AND(AND(V$4&gt;='2025'!$L82,V$4&lt;='2025'!$M82), V$4&lt;&gt;DATE(2025,7,4)), (SWITCH(weekday(V$4), 1, 0, 2, if(ISBLANK('2025'!$P82), 0, 1), 3, if(ISBLANK('2025'!$Q82), 0, 1), 4, if(ISBLANK('2025'!$R82), 0, 1), 5, if(ISBLANK('2025'!$S82), 0, 1), 6, if(ISBLANK('2025'!$T82), 0, 1), 7, 0))), 1, "")</f>
        <v/>
      </c>
      <c r="W84" s="1" t="str">
        <f>IF(AND(AND(AND(W$4&gt;='2025'!$L82,W$4&lt;='2025'!$M82), W$4&lt;&gt;DATE(2025,7,4)), (SWITCH(weekday(W$4), 1, 0, 2, if(ISBLANK('2025'!$P82), 0, 1), 3, if(ISBLANK('2025'!$Q82), 0, 1), 4, if(ISBLANK('2025'!$R82), 0, 1), 5, if(ISBLANK('2025'!$S82), 0, 1), 6, if(ISBLANK('2025'!$T82), 0, 1), 7, 0))), 1, "")</f>
        <v/>
      </c>
      <c r="X84" s="1" t="str">
        <f>IF(AND(AND(AND(X$4&gt;='2025'!$L82,X$4&lt;='2025'!$M82), X$4&lt;&gt;DATE(2025,7,4)), (SWITCH(weekday(X$4), 1, 0, 2, if(ISBLANK('2025'!$P82), 0, 1), 3, if(ISBLANK('2025'!$Q82), 0, 1), 4, if(ISBLANK('2025'!$R82), 0, 1), 5, if(ISBLANK('2025'!$S82), 0, 1), 6, if(ISBLANK('2025'!$T82), 0, 1), 7, 0))), 1, "")</f>
        <v/>
      </c>
      <c r="Y84" s="1" t="str">
        <f>IF(AND(AND(AND(Y$4&gt;='2025'!$L82,Y$4&lt;='2025'!$M82), Y$4&lt;&gt;DATE(2025,7,4)), (SWITCH(weekday(Y$4), 1, 0, 2, if(ISBLANK('2025'!$P82), 0, 1), 3, if(ISBLANK('2025'!$Q82), 0, 1), 4, if(ISBLANK('2025'!$R82), 0, 1), 5, if(ISBLANK('2025'!$S82), 0, 1), 6, if(ISBLANK('2025'!$T82), 0, 1), 7, 0))), 1, "")</f>
        <v/>
      </c>
      <c r="Z84" s="1" t="str">
        <f>IF(AND(AND(AND(Z$4&gt;='2025'!$L82,Z$4&lt;='2025'!$M82), Z$4&lt;&gt;DATE(2025,7,4)), (SWITCH(weekday(Z$4), 1, 0, 2, if(ISBLANK('2025'!$P82), 0, 1), 3, if(ISBLANK('2025'!$Q82), 0, 1), 4, if(ISBLANK('2025'!$R82), 0, 1), 5, if(ISBLANK('2025'!$S82), 0, 1), 6, if(ISBLANK('2025'!$T82), 0, 1), 7, 0))), 1, "")</f>
        <v/>
      </c>
      <c r="AA84" s="1" t="str">
        <f>IF(AND(AND(AND(AA$4&gt;='2025'!$L82,AA$4&lt;='2025'!$M82), AA$4&lt;&gt;DATE(2025,7,4)), (SWITCH(weekday(AA$4), 1, 0, 2, if(ISBLANK('2025'!$P82), 0, 1), 3, if(ISBLANK('2025'!$Q82), 0, 1), 4, if(ISBLANK('2025'!$R82), 0, 1), 5, if(ISBLANK('2025'!$S82), 0, 1), 6, if(ISBLANK('2025'!$T82), 0, 1), 7, 0))), 1, "")</f>
        <v/>
      </c>
      <c r="AB84" s="1" t="str">
        <f>IF(AND(AND(AND(AB$4&gt;='2025'!$L82,AB$4&lt;='2025'!$M82), AB$4&lt;&gt;DATE(2025,7,4)), (SWITCH(weekday(AB$4), 1, 0, 2, if(ISBLANK('2025'!$P82), 0, 1), 3, if(ISBLANK('2025'!$Q82), 0, 1), 4, if(ISBLANK('2025'!$R82), 0, 1), 5, if(ISBLANK('2025'!$S82), 0, 1), 6, if(ISBLANK('2025'!$T82), 0, 1), 7, 0))), 1, "")</f>
        <v/>
      </c>
      <c r="AC84" s="1" t="str">
        <f>IF(AND(AND(AND(AC$4&gt;='2025'!$L82,AC$4&lt;='2025'!$M82), AC$4&lt;&gt;DATE(2025,7,4)), (SWITCH(weekday(AC$4), 1, 0, 2, if(ISBLANK('2025'!$P82), 0, 1), 3, if(ISBLANK('2025'!$Q82), 0, 1), 4, if(ISBLANK('2025'!$R82), 0, 1), 5, if(ISBLANK('2025'!$S82), 0, 1), 6, if(ISBLANK('2025'!$T82), 0, 1), 7, 0))), 1, "")</f>
        <v/>
      </c>
      <c r="AD84" s="1" t="str">
        <f>IF(AND(AND(AND(AD$4&gt;='2025'!$L82,AD$4&lt;='2025'!$M82), AD$4&lt;&gt;DATE(2025,7,4)), (SWITCH(weekday(AD$4), 1, 0, 2, if(ISBLANK('2025'!$P82), 0, 1), 3, if(ISBLANK('2025'!$Q82), 0, 1), 4, if(ISBLANK('2025'!$R82), 0, 1), 5, if(ISBLANK('2025'!$S82), 0, 1), 6, if(ISBLANK('2025'!$T82), 0, 1), 7, 0))), 1, "")</f>
        <v/>
      </c>
      <c r="AE84" s="1" t="str">
        <f>IF(AND(AND(AND(AE$4&gt;='2025'!$L82,AE$4&lt;='2025'!$M82), AE$4&lt;&gt;DATE(2025,7,4)), (SWITCH(weekday(AE$4), 1, 0, 2, if(ISBLANK('2025'!$P82), 0, 1), 3, if(ISBLANK('2025'!$Q82), 0, 1), 4, if(ISBLANK('2025'!$R82), 0, 1), 5, if(ISBLANK('2025'!$S82), 0, 1), 6, if(ISBLANK('2025'!$T82), 0, 1), 7, 0))), 1, "")</f>
        <v/>
      </c>
      <c r="AF84" s="1" t="str">
        <f>IF(AND(AND(AND(AF$4&gt;='2025'!$L82,AF$4&lt;='2025'!$M82), AF$4&lt;&gt;DATE(2025,7,4)), (SWITCH(weekday(AF$4), 1, 0, 2, if(ISBLANK('2025'!$P82), 0, 1), 3, if(ISBLANK('2025'!$Q82), 0, 1), 4, if(ISBLANK('2025'!$R82), 0, 1), 5, if(ISBLANK('2025'!$S82), 0, 1), 6, if(ISBLANK('2025'!$T82), 0, 1), 7, 0))), 1, "")</f>
        <v/>
      </c>
      <c r="AG84" s="1" t="str">
        <f>IF(AND(AND(AND(AG$4&gt;='2025'!$L82,AG$4&lt;='2025'!$M82), AG$4&lt;&gt;DATE(2025,7,4)), (SWITCH(weekday(AG$4), 1, 0, 2, if(ISBLANK('2025'!$P82), 0, 1), 3, if(ISBLANK('2025'!$Q82), 0, 1), 4, if(ISBLANK('2025'!$R82), 0, 1), 5, if(ISBLANK('2025'!$S82), 0, 1), 6, if(ISBLANK('2025'!$T82), 0, 1), 7, 0))), 1, "")</f>
        <v/>
      </c>
      <c r="AH84" s="1" t="str">
        <f>IF(AND(AND(AND(AH$4&gt;='2025'!$L82,AH$4&lt;='2025'!$M82), AH$4&lt;&gt;DATE(2025,7,4)), (SWITCH(weekday(AH$4), 1, 0, 2, if(ISBLANK('2025'!$P82), 0, 1), 3, if(ISBLANK('2025'!$Q82), 0, 1), 4, if(ISBLANK('2025'!$R82), 0, 1), 5, if(ISBLANK('2025'!$S82), 0, 1), 6, if(ISBLANK('2025'!$T82), 0, 1), 7, 0))), 1, "")</f>
        <v/>
      </c>
      <c r="AI84" s="1" t="str">
        <f>IF(AND(AND(AND(AI$4&gt;='2025'!$L82,AI$4&lt;='2025'!$M82), AI$4&lt;&gt;DATE(2025,7,4)), (SWITCH(weekday(AI$4), 1, 0, 2, if(ISBLANK('2025'!$P82), 0, 1), 3, if(ISBLANK('2025'!$Q82), 0, 1), 4, if(ISBLANK('2025'!$R82), 0, 1), 5, if(ISBLANK('2025'!$S82), 0, 1), 6, if(ISBLANK('2025'!$T82), 0, 1), 7, 0))), 1, "")</f>
        <v/>
      </c>
      <c r="AJ84" s="1" t="str">
        <f>IF(AND(AND(AND(AJ$4&gt;='2025'!$L82,AJ$4&lt;='2025'!$M82), AJ$4&lt;&gt;DATE(2025,7,4)), (SWITCH(weekday(AJ$4), 1, 0, 2, if(ISBLANK('2025'!$P82), 0, 1), 3, if(ISBLANK('2025'!$Q82), 0, 1), 4, if(ISBLANK('2025'!$R82), 0, 1), 5, if(ISBLANK('2025'!$S82), 0, 1), 6, if(ISBLANK('2025'!$T82), 0, 1), 7, 0))), 1, "")</f>
        <v/>
      </c>
      <c r="AK84" s="1" t="str">
        <f>IF(AND(AND(AND(AK$4&gt;='2025'!$L82,AK$4&lt;='2025'!$M82), AK$4&lt;&gt;DATE(2025,7,4)), (SWITCH(weekday(AK$4), 1, 0, 2, if(ISBLANK('2025'!$P82), 0, 1), 3, if(ISBLANK('2025'!$Q82), 0, 1), 4, if(ISBLANK('2025'!$R82), 0, 1), 5, if(ISBLANK('2025'!$S82), 0, 1), 6, if(ISBLANK('2025'!$T82), 0, 1), 7, 0))), 1, "")</f>
        <v/>
      </c>
      <c r="AL84" s="1" t="str">
        <f>IF(AND(AND(AND(AL$4&gt;='2025'!$L82,AL$4&lt;='2025'!$M82), AL$4&lt;&gt;DATE(2025,7,4)), (SWITCH(weekday(AL$4), 1, 0, 2, if(ISBLANK('2025'!$P82), 0, 1), 3, if(ISBLANK('2025'!$Q82), 0, 1), 4, if(ISBLANK('2025'!$R82), 0, 1), 5, if(ISBLANK('2025'!$S82), 0, 1), 6, if(ISBLANK('2025'!$T82), 0, 1), 7, 0))), 1, "")</f>
        <v/>
      </c>
      <c r="AM84" s="1" t="str">
        <f>IF(AND(AND(AND(AM$4&gt;='2025'!$L82,AM$4&lt;='2025'!$M82), AM$4&lt;&gt;DATE(2025,7,4)), (SWITCH(weekday(AM$4), 1, 0, 2, if(ISBLANK('2025'!$P82), 0, 1), 3, if(ISBLANK('2025'!$Q82), 0, 1), 4, if(ISBLANK('2025'!$R82), 0, 1), 5, if(ISBLANK('2025'!$S82), 0, 1), 6, if(ISBLANK('2025'!$T82), 0, 1), 7, 0))), 1, "")</f>
        <v/>
      </c>
      <c r="AN84" s="1" t="str">
        <f>IF(AND(AND(AND(AN$4&gt;='2025'!$L82,AN$4&lt;='2025'!$M82), AN$4&lt;&gt;DATE(2025,7,4)), (SWITCH(weekday(AN$4), 1, 0, 2, if(ISBLANK('2025'!$P82), 0, 1), 3, if(ISBLANK('2025'!$Q82), 0, 1), 4, if(ISBLANK('2025'!$R82), 0, 1), 5, if(ISBLANK('2025'!$S82), 0, 1), 6, if(ISBLANK('2025'!$T82), 0, 1), 7, 0))), 1, "")</f>
        <v/>
      </c>
      <c r="AO84" s="1" t="str">
        <f>IF(AND(AND(AND(AO$4&gt;='2025'!$L82,AO$4&lt;='2025'!$M82), AO$4&lt;&gt;DATE(2025,7,4)), (SWITCH(weekday(AO$4), 1, 0, 2, if(ISBLANK('2025'!$P82), 0, 1), 3, if(ISBLANK('2025'!$Q82), 0, 1), 4, if(ISBLANK('2025'!$R82), 0, 1), 5, if(ISBLANK('2025'!$S82), 0, 1), 6, if(ISBLANK('2025'!$T82), 0, 1), 7, 0))), 1, "")</f>
        <v/>
      </c>
      <c r="AP84" s="1" t="str">
        <f>IF(AND(AND(AND(AP$4&gt;='2025'!$L82,AP$4&lt;='2025'!$M82), AP$4&lt;&gt;DATE(2025,7,4)), (SWITCH(weekday(AP$4), 1, 0, 2, if(ISBLANK('2025'!$P82), 0, 1), 3, if(ISBLANK('2025'!$Q82), 0, 1), 4, if(ISBLANK('2025'!$R82), 0, 1), 5, if(ISBLANK('2025'!$S82), 0, 1), 6, if(ISBLANK('2025'!$T82), 0, 1), 7, 0))), 1, "")</f>
        <v/>
      </c>
      <c r="AQ84" s="1" t="str">
        <f>IF(AND(AND(AND(AQ$4&gt;='2025'!$L82,AQ$4&lt;='2025'!$M82), AQ$4&lt;&gt;DATE(2025,7,4)), (SWITCH(weekday(AQ$4), 1, 0, 2, if(ISBLANK('2025'!$P82), 0, 1), 3, if(ISBLANK('2025'!$Q82), 0, 1), 4, if(ISBLANK('2025'!$R82), 0, 1), 5, if(ISBLANK('2025'!$S82), 0, 1), 6, if(ISBLANK('2025'!$T82), 0, 1), 7, 0))), 1, "")</f>
        <v/>
      </c>
      <c r="AR84" s="1" t="str">
        <f>IF(AND(AND(AND(AR$4&gt;='2025'!$L82,AR$4&lt;='2025'!$M82), AR$4&lt;&gt;DATE(2025,7,4)), (SWITCH(weekday(AR$4), 1, 0, 2, if(ISBLANK('2025'!$P82), 0, 1), 3, if(ISBLANK('2025'!$Q82), 0, 1), 4, if(ISBLANK('2025'!$R82), 0, 1), 5, if(ISBLANK('2025'!$S82), 0, 1), 6, if(ISBLANK('2025'!$T82), 0, 1), 7, 0))), 1, "")</f>
        <v/>
      </c>
      <c r="AS84" s="1" t="str">
        <f>IF(AND(AND(AND(AS$4&gt;='2025'!$L82,AS$4&lt;='2025'!$M82), AS$4&lt;&gt;DATE(2025,7,4)), (SWITCH(weekday(AS$4), 1, 0, 2, if(ISBLANK('2025'!$P82), 0, 1), 3, if(ISBLANK('2025'!$Q82), 0, 1), 4, if(ISBLANK('2025'!$R82), 0, 1), 5, if(ISBLANK('2025'!$S82), 0, 1), 6, if(ISBLANK('2025'!$T82), 0, 1), 7, 0))), 1, "")</f>
        <v/>
      </c>
      <c r="AT84" s="1" t="str">
        <f>IF(AND(AND(AND(AT$4&gt;='2025'!$L82,AT$4&lt;='2025'!$M82), AT$4&lt;&gt;DATE(2025,7,4)), (SWITCH(weekday(AT$4), 1, 0, 2, if(ISBLANK('2025'!$P82), 0, 1), 3, if(ISBLANK('2025'!$Q82), 0, 1), 4, if(ISBLANK('2025'!$R82), 0, 1), 5, if(ISBLANK('2025'!$S82), 0, 1), 6, if(ISBLANK('2025'!$T82), 0, 1), 7, 0))), 1, "")</f>
        <v/>
      </c>
      <c r="AU84" s="1" t="str">
        <f>IF(AND(AND(AND(AU$4&gt;='2025'!$L82,AU$4&lt;='2025'!$M82), AU$4&lt;&gt;DATE(2025,7,4)), (SWITCH(weekday(AU$4), 1, 0, 2, if(ISBLANK('2025'!$P82), 0, 1), 3, if(ISBLANK('2025'!$Q82), 0, 1), 4, if(ISBLANK('2025'!$R82), 0, 1), 5, if(ISBLANK('2025'!$S82), 0, 1), 6, if(ISBLANK('2025'!$T82), 0, 1), 7, 0))), 1, "")</f>
        <v/>
      </c>
      <c r="AV84" s="1" t="str">
        <f>IF(AND(AND(AND(AV$4&gt;='2025'!$L82,AV$4&lt;='2025'!$M82), AV$4&lt;&gt;DATE(2025,7,4)), (SWITCH(weekday(AV$4), 1, 0, 2, if(ISBLANK('2025'!$P82), 0, 1), 3, if(ISBLANK('2025'!$Q82), 0, 1), 4, if(ISBLANK('2025'!$R82), 0, 1), 5, if(ISBLANK('2025'!$S82), 0, 1), 6, if(ISBLANK('2025'!$T82), 0, 1), 7, 0))), 1, "")</f>
        <v/>
      </c>
      <c r="AW84" s="1" t="str">
        <f>IF(AND(AND(AND(AW$4&gt;='2025'!$L82,AW$4&lt;='2025'!$M82), AW$4&lt;&gt;DATE(2025,7,4)), (SWITCH(weekday(AW$4), 1, 0, 2, if(ISBLANK('2025'!$P82), 0, 1), 3, if(ISBLANK('2025'!$Q82), 0, 1), 4, if(ISBLANK('2025'!$R82), 0, 1), 5, if(ISBLANK('2025'!$S82), 0, 1), 6, if(ISBLANK('2025'!$T82), 0, 1), 7, 0))), 1, "")</f>
        <v/>
      </c>
      <c r="AX84" s="1" t="str">
        <f>IF(AND(AND(AND(AX$4&gt;='2025'!$L82,AX$4&lt;='2025'!$M82), AX$4&lt;&gt;DATE(2025,7,4)), (SWITCH(weekday(AX$4), 1, 0, 2, if(ISBLANK('2025'!$P82), 0, 1), 3, if(ISBLANK('2025'!$Q82), 0, 1), 4, if(ISBLANK('2025'!$R82), 0, 1), 5, if(ISBLANK('2025'!$S82), 0, 1), 6, if(ISBLANK('2025'!$T82), 0, 1), 7, 0))), 1, "")</f>
        <v/>
      </c>
      <c r="AY84" s="1" t="str">
        <f>IF(AND(AND(AND(AY$4&gt;='2025'!$L82,AY$4&lt;='2025'!$M82), AY$4&lt;&gt;DATE(2025,7,4)), (SWITCH(weekday(AY$4), 1, 0, 2, if(ISBLANK('2025'!$P82), 0, 1), 3, if(ISBLANK('2025'!$Q82), 0, 1), 4, if(ISBLANK('2025'!$R82), 0, 1), 5, if(ISBLANK('2025'!$S82), 0, 1), 6, if(ISBLANK('2025'!$T82), 0, 1), 7, 0))), 1, "")</f>
        <v/>
      </c>
      <c r="AZ84" s="1" t="str">
        <f>IF(AND(AND(AND(AZ$4&gt;='2025'!$L82,AZ$4&lt;='2025'!$M82), AZ$4&lt;&gt;DATE(2025,7,4)), (SWITCH(weekday(AZ$4), 1, 0, 2, if(ISBLANK('2025'!$P82), 0, 1), 3, if(ISBLANK('2025'!$Q82), 0, 1), 4, if(ISBLANK('2025'!$R82), 0, 1), 5, if(ISBLANK('2025'!$S82), 0, 1), 6, if(ISBLANK('2025'!$T82), 0, 1), 7, 0))), 1, "")</f>
        <v/>
      </c>
      <c r="BA84" s="1" t="str">
        <f>IF(AND(AND(AND(BA$4&gt;='2025'!$L82,BA$4&lt;='2025'!$M82), BA$4&lt;&gt;DATE(2025,7,4)), (SWITCH(weekday(BA$4), 1, 0, 2, if(ISBLANK('2025'!$P82), 0, 1), 3, if(ISBLANK('2025'!$Q82), 0, 1), 4, if(ISBLANK('2025'!$R82), 0, 1), 5, if(ISBLANK('2025'!$S82), 0, 1), 6, if(ISBLANK('2025'!$T82), 0, 1), 7, 0))), 1, "")</f>
        <v/>
      </c>
      <c r="BB84" s="1" t="str">
        <f>IF(AND(AND(AND(BB$4&gt;='2025'!$L82,BB$4&lt;='2025'!$M82), BB$4&lt;&gt;DATE(2025,7,4)), (SWITCH(weekday(BB$4), 1, 0, 2, if(ISBLANK('2025'!$P82), 0, 1), 3, if(ISBLANK('2025'!$Q82), 0, 1), 4, if(ISBLANK('2025'!$R82), 0, 1), 5, if(ISBLANK('2025'!$S82), 0, 1), 6, if(ISBLANK('2025'!$T82), 0, 1), 7, 0))), 1, "")</f>
        <v/>
      </c>
      <c r="BC84" s="1" t="str">
        <f>IF(AND(AND(AND(BC$4&gt;='2025'!$L82,BC$4&lt;='2025'!$M82), BC$4&lt;&gt;DATE(2025,7,4)), (SWITCH(weekday(BC$4), 1, 0, 2, if(ISBLANK('2025'!$P82), 0, 1), 3, if(ISBLANK('2025'!$Q82), 0, 1), 4, if(ISBLANK('2025'!$R82), 0, 1), 5, if(ISBLANK('2025'!$S82), 0, 1), 6, if(ISBLANK('2025'!$T82), 0, 1), 7, 0))), 1, "")</f>
        <v/>
      </c>
      <c r="BD84" s="1" t="str">
        <f>IF(AND(AND(AND(BD$4&gt;='2025'!$L82,BD$4&lt;='2025'!$M82), BD$4&lt;&gt;DATE(2025,7,4)), (SWITCH(weekday(BD$4), 1, 0, 2, if(ISBLANK('2025'!$P82), 0, 1), 3, if(ISBLANK('2025'!$Q82), 0, 1), 4, if(ISBLANK('2025'!$R82), 0, 1), 5, if(ISBLANK('2025'!$S82), 0, 1), 6, if(ISBLANK('2025'!$T82), 0, 1), 7, 0))), 1, "")</f>
        <v/>
      </c>
      <c r="BE84" s="1" t="str">
        <f>IF(AND(AND(AND(BE$4&gt;='2025'!$L82,BE$4&lt;='2025'!$M82), BE$4&lt;&gt;DATE(2025,7,4)), (SWITCH(weekday(BE$4), 1, 0, 2, if(ISBLANK('2025'!$P82), 0, 1), 3, if(ISBLANK('2025'!$Q82), 0, 1), 4, if(ISBLANK('2025'!$R82), 0, 1), 5, if(ISBLANK('2025'!$S82), 0, 1), 6, if(ISBLANK('2025'!$T82), 0, 1), 7, 0))), 1, "")</f>
        <v/>
      </c>
      <c r="BF84" s="1" t="str">
        <f>IF(AND(AND(AND(BF$4&gt;='2025'!$L82,BF$4&lt;='2025'!$M82), BF$4&lt;&gt;DATE(2025,7,4)), (SWITCH(weekday(BF$4), 1, 0, 2, if(ISBLANK('2025'!$P82), 0, 1), 3, if(ISBLANK('2025'!$Q82), 0, 1), 4, if(ISBLANK('2025'!$R82), 0, 1), 5, if(ISBLANK('2025'!$S82), 0, 1), 6, if(ISBLANK('2025'!$T82), 0, 1), 7, 0))), 1, "")</f>
        <v/>
      </c>
      <c r="BG84" s="1"/>
      <c r="BH84" s="1"/>
      <c r="BI84" s="1"/>
      <c r="BJ84" s="1"/>
      <c r="BK84" s="1"/>
      <c r="BL84" s="1"/>
    </row>
    <row r="85">
      <c r="A85" s="1">
        <f t="shared" si="3"/>
        <v>85</v>
      </c>
      <c r="B85" s="1" t="str">
        <f t="shared" ref="B85:C85" si="8">#REF!</f>
        <v>#REF!</v>
      </c>
      <c r="C85" s="1" t="str">
        <f t="shared" si="8"/>
        <v>#REF!</v>
      </c>
      <c r="D85" s="1" t="str">
        <f>IF(AND(AND(AND(D$4&gt;='2025'!$L83,D$4&lt;='2025'!$M83), D$4&lt;&gt;DATE(2025,7,4)), (SWITCH(weekday(D$4), 1, 0, 2, if(ISBLANK('2025'!$P83), 0, 1), 3, if(ISBLANK('2025'!$Q83), 0, 1), 4, if(ISBLANK('2025'!$R83), 0, 1), 5, if(ISBLANK('2025'!$S83), 0, 1), 6, if(ISBLANK('2025'!$T83), 0, 1), 7, 0))), 1, "")</f>
        <v/>
      </c>
      <c r="E85" s="1" t="str">
        <f>IF(AND(AND(AND(E$4&gt;='2025'!$L83,E$4&lt;='2025'!$M83), E$4&lt;&gt;DATE(2025,7,4)), (SWITCH(weekday(E$4), 1, 0, 2, if(ISBLANK('2025'!$P83), 0, 1), 3, if(ISBLANK('2025'!$Q83), 0, 1), 4, if(ISBLANK('2025'!$R83), 0, 1), 5, if(ISBLANK('2025'!$S83), 0, 1), 6, if(ISBLANK('2025'!$T83), 0, 1), 7, 0))), 1, "")</f>
        <v/>
      </c>
      <c r="F85" s="1" t="str">
        <f>IF(AND(AND(AND(F$4&gt;='2025'!$L83,F$4&lt;='2025'!$M83), F$4&lt;&gt;DATE(2025,7,4)), (SWITCH(weekday(F$4), 1, 0, 2, if(ISBLANK('2025'!$P83), 0, 1), 3, if(ISBLANK('2025'!$Q83), 0, 1), 4, if(ISBLANK('2025'!$R83), 0, 1), 5, if(ISBLANK('2025'!$S83), 0, 1), 6, if(ISBLANK('2025'!$T83), 0, 1), 7, 0))), 1, "")</f>
        <v/>
      </c>
      <c r="G85" s="1" t="str">
        <f>IF(AND(AND(AND(G$4&gt;='2025'!$L83,G$4&lt;='2025'!$M83), G$4&lt;&gt;DATE(2025,7,4)), (SWITCH(weekday(G$4), 1, 0, 2, if(ISBLANK('2025'!$P83), 0, 1), 3, if(ISBLANK('2025'!$Q83), 0, 1), 4, if(ISBLANK('2025'!$R83), 0, 1), 5, if(ISBLANK('2025'!$S83), 0, 1), 6, if(ISBLANK('2025'!$T83), 0, 1), 7, 0))), 1, "")</f>
        <v/>
      </c>
      <c r="H85" s="1" t="str">
        <f>IF(AND(AND(AND(H$4&gt;='2025'!$L83,H$4&lt;='2025'!$M83), H$4&lt;&gt;DATE(2025,7,4)), (SWITCH(weekday(H$4), 1, 0, 2, if(ISBLANK('2025'!$P83), 0, 1), 3, if(ISBLANK('2025'!$Q83), 0, 1), 4, if(ISBLANK('2025'!$R83), 0, 1), 5, if(ISBLANK('2025'!$S83), 0, 1), 6, if(ISBLANK('2025'!$T83), 0, 1), 7, 0))), 1, "")</f>
        <v/>
      </c>
      <c r="I85" s="1" t="str">
        <f>IF(AND(AND(AND(I$4&gt;='2025'!$L83,I$4&lt;='2025'!$M83), I$4&lt;&gt;DATE(2025,7,4)), (SWITCH(weekday(I$4), 1, 0, 2, if(ISBLANK('2025'!$P83), 0, 1), 3, if(ISBLANK('2025'!$Q83), 0, 1), 4, if(ISBLANK('2025'!$R83), 0, 1), 5, if(ISBLANK('2025'!$S83), 0, 1), 6, if(ISBLANK('2025'!$T83), 0, 1), 7, 0))), 1, "")</f>
        <v/>
      </c>
      <c r="J85" s="1" t="str">
        <f>IF(AND(AND(AND(J$4&gt;='2025'!$L83,J$4&lt;='2025'!$M83), J$4&lt;&gt;DATE(2025,7,4)), (SWITCH(weekday(J$4), 1, 0, 2, if(ISBLANK('2025'!$P83), 0, 1), 3, if(ISBLANK('2025'!$Q83), 0, 1), 4, if(ISBLANK('2025'!$R83), 0, 1), 5, if(ISBLANK('2025'!$S83), 0, 1), 6, if(ISBLANK('2025'!$T83), 0, 1), 7, 0))), 1, "")</f>
        <v/>
      </c>
      <c r="K85" s="1" t="str">
        <f>IF(AND(AND(AND(K$4&gt;='2025'!$L83,K$4&lt;='2025'!$M83), K$4&lt;&gt;DATE(2025,7,4)), (SWITCH(weekday(K$4), 1, 0, 2, if(ISBLANK('2025'!$P83), 0, 1), 3, if(ISBLANK('2025'!$Q83), 0, 1), 4, if(ISBLANK('2025'!$R83), 0, 1), 5, if(ISBLANK('2025'!$S83), 0, 1), 6, if(ISBLANK('2025'!$T83), 0, 1), 7, 0))), 1, "")</f>
        <v/>
      </c>
      <c r="L85" s="1" t="str">
        <f>IF(AND(AND(AND(L$4&gt;='2025'!$L83,L$4&lt;='2025'!$M83), L$4&lt;&gt;DATE(2025,7,4)), (SWITCH(weekday(L$4), 1, 0, 2, if(ISBLANK('2025'!$P83), 0, 1), 3, if(ISBLANK('2025'!$Q83), 0, 1), 4, if(ISBLANK('2025'!$R83), 0, 1), 5, if(ISBLANK('2025'!$S83), 0, 1), 6, if(ISBLANK('2025'!$T83), 0, 1), 7, 0))), 1, "")</f>
        <v/>
      </c>
      <c r="M85" s="1" t="str">
        <f>IF(AND(AND(AND(M$4&gt;='2025'!$L83,M$4&lt;='2025'!$M83), M$4&lt;&gt;DATE(2025,7,4)), (SWITCH(weekday(M$4), 1, 0, 2, if(ISBLANK('2025'!$P83), 0, 1), 3, if(ISBLANK('2025'!$Q83), 0, 1), 4, if(ISBLANK('2025'!$R83), 0, 1), 5, if(ISBLANK('2025'!$S83), 0, 1), 6, if(ISBLANK('2025'!$T83), 0, 1), 7, 0))), 1, "")</f>
        <v/>
      </c>
      <c r="N85" s="1" t="str">
        <f>IF(AND(AND(AND(N$4&gt;='2025'!$L83,N$4&lt;='2025'!$M83), N$4&lt;&gt;DATE(2025,7,4)), (SWITCH(weekday(N$4), 1, 0, 2, if(ISBLANK('2025'!$P83), 0, 1), 3, if(ISBLANK('2025'!$Q83), 0, 1), 4, if(ISBLANK('2025'!$R83), 0, 1), 5, if(ISBLANK('2025'!$S83), 0, 1), 6, if(ISBLANK('2025'!$T83), 0, 1), 7, 0))), 1, "")</f>
        <v/>
      </c>
      <c r="O85" s="1" t="str">
        <f>IF(AND(AND(AND(O$4&gt;='2025'!$L83,O$4&lt;='2025'!$M83), O$4&lt;&gt;DATE(2025,7,4)), (SWITCH(weekday(O$4), 1, 0, 2, if(ISBLANK('2025'!$P83), 0, 1), 3, if(ISBLANK('2025'!$Q83), 0, 1), 4, if(ISBLANK('2025'!$R83), 0, 1), 5, if(ISBLANK('2025'!$S83), 0, 1), 6, if(ISBLANK('2025'!$T83), 0, 1), 7, 0))), 1, "")</f>
        <v/>
      </c>
      <c r="P85" s="1" t="str">
        <f>IF(AND(AND(AND(P$4&gt;='2025'!$L83,P$4&lt;='2025'!$M83), P$4&lt;&gt;DATE(2025,7,4)), (SWITCH(weekday(P$4), 1, 0, 2, if(ISBLANK('2025'!$P83), 0, 1), 3, if(ISBLANK('2025'!$Q83), 0, 1), 4, if(ISBLANK('2025'!$R83), 0, 1), 5, if(ISBLANK('2025'!$S83), 0, 1), 6, if(ISBLANK('2025'!$T83), 0, 1), 7, 0))), 1, "")</f>
        <v/>
      </c>
      <c r="Q85" s="1" t="str">
        <f>IF(AND(AND(AND(Q$4&gt;='2025'!$L83,Q$4&lt;='2025'!$M83), Q$4&lt;&gt;DATE(2025,7,4)), (SWITCH(weekday(Q$4), 1, 0, 2, if(ISBLANK('2025'!$P83), 0, 1), 3, if(ISBLANK('2025'!$Q83), 0, 1), 4, if(ISBLANK('2025'!$R83), 0, 1), 5, if(ISBLANK('2025'!$S83), 0, 1), 6, if(ISBLANK('2025'!$T83), 0, 1), 7, 0))), 1, "")</f>
        <v/>
      </c>
      <c r="R85" s="1" t="str">
        <f>IF(AND(AND(AND(R$4&gt;='2025'!$L83,R$4&lt;='2025'!$M83), R$4&lt;&gt;DATE(2025,7,4)), (SWITCH(weekday(R$4), 1, 0, 2, if(ISBLANK('2025'!$P83), 0, 1), 3, if(ISBLANK('2025'!$Q83), 0, 1), 4, if(ISBLANK('2025'!$R83), 0, 1), 5, if(ISBLANK('2025'!$S83), 0, 1), 6, if(ISBLANK('2025'!$T83), 0, 1), 7, 0))), 1, "")</f>
        <v/>
      </c>
      <c r="S85" s="1" t="str">
        <f>IF(AND(AND(AND(S$4&gt;='2025'!$L83,S$4&lt;='2025'!$M83), S$4&lt;&gt;DATE(2025,7,4)), (SWITCH(weekday(S$4), 1, 0, 2, if(ISBLANK('2025'!$P83), 0, 1), 3, if(ISBLANK('2025'!$Q83), 0, 1), 4, if(ISBLANK('2025'!$R83), 0, 1), 5, if(ISBLANK('2025'!$S83), 0, 1), 6, if(ISBLANK('2025'!$T83), 0, 1), 7, 0))), 1, "")</f>
        <v/>
      </c>
      <c r="T85" s="1" t="str">
        <f>IF(AND(AND(AND(T$4&gt;='2025'!$L83,T$4&lt;='2025'!$M83), T$4&lt;&gt;DATE(2025,7,4)), (SWITCH(weekday(T$4), 1, 0, 2, if(ISBLANK('2025'!$P83), 0, 1), 3, if(ISBLANK('2025'!$Q83), 0, 1), 4, if(ISBLANK('2025'!$R83), 0, 1), 5, if(ISBLANK('2025'!$S83), 0, 1), 6, if(ISBLANK('2025'!$T83), 0, 1), 7, 0))), 1, "")</f>
        <v/>
      </c>
      <c r="U85" s="1" t="str">
        <f>IF(AND(AND(AND(U$4&gt;='2025'!$L83,U$4&lt;='2025'!$M83), U$4&lt;&gt;DATE(2025,7,4)), (SWITCH(weekday(U$4), 1, 0, 2, if(ISBLANK('2025'!$P83), 0, 1), 3, if(ISBLANK('2025'!$Q83), 0, 1), 4, if(ISBLANK('2025'!$R83), 0, 1), 5, if(ISBLANK('2025'!$S83), 0, 1), 6, if(ISBLANK('2025'!$T83), 0, 1), 7, 0))), 1, "")</f>
        <v/>
      </c>
      <c r="V85" s="1" t="str">
        <f>IF(AND(AND(AND(V$4&gt;='2025'!$L83,V$4&lt;='2025'!$M83), V$4&lt;&gt;DATE(2025,7,4)), (SWITCH(weekday(V$4), 1, 0, 2, if(ISBLANK('2025'!$P83), 0, 1), 3, if(ISBLANK('2025'!$Q83), 0, 1), 4, if(ISBLANK('2025'!$R83), 0, 1), 5, if(ISBLANK('2025'!$S83), 0, 1), 6, if(ISBLANK('2025'!$T83), 0, 1), 7, 0))), 1, "")</f>
        <v/>
      </c>
      <c r="W85" s="1" t="str">
        <f>IF(AND(AND(AND(W$4&gt;='2025'!$L83,W$4&lt;='2025'!$M83), W$4&lt;&gt;DATE(2025,7,4)), (SWITCH(weekday(W$4), 1, 0, 2, if(ISBLANK('2025'!$P83), 0, 1), 3, if(ISBLANK('2025'!$Q83), 0, 1), 4, if(ISBLANK('2025'!$R83), 0, 1), 5, if(ISBLANK('2025'!$S83), 0, 1), 6, if(ISBLANK('2025'!$T83), 0, 1), 7, 0))), 1, "")</f>
        <v/>
      </c>
      <c r="X85" s="1" t="str">
        <f>IF(AND(AND(AND(X$4&gt;='2025'!$L83,X$4&lt;='2025'!$M83), X$4&lt;&gt;DATE(2025,7,4)), (SWITCH(weekday(X$4), 1, 0, 2, if(ISBLANK('2025'!$P83), 0, 1), 3, if(ISBLANK('2025'!$Q83), 0, 1), 4, if(ISBLANK('2025'!$R83), 0, 1), 5, if(ISBLANK('2025'!$S83), 0, 1), 6, if(ISBLANK('2025'!$T83), 0, 1), 7, 0))), 1, "")</f>
        <v/>
      </c>
      <c r="Y85" s="1" t="str">
        <f>IF(AND(AND(AND(Y$4&gt;='2025'!$L83,Y$4&lt;='2025'!$M83), Y$4&lt;&gt;DATE(2025,7,4)), (SWITCH(weekday(Y$4), 1, 0, 2, if(ISBLANK('2025'!$P83), 0, 1), 3, if(ISBLANK('2025'!$Q83), 0, 1), 4, if(ISBLANK('2025'!$R83), 0, 1), 5, if(ISBLANK('2025'!$S83), 0, 1), 6, if(ISBLANK('2025'!$T83), 0, 1), 7, 0))), 1, "")</f>
        <v/>
      </c>
      <c r="Z85" s="1" t="str">
        <f>IF(AND(AND(AND(Z$4&gt;='2025'!$L83,Z$4&lt;='2025'!$M83), Z$4&lt;&gt;DATE(2025,7,4)), (SWITCH(weekday(Z$4), 1, 0, 2, if(ISBLANK('2025'!$P83), 0, 1), 3, if(ISBLANK('2025'!$Q83), 0, 1), 4, if(ISBLANK('2025'!$R83), 0, 1), 5, if(ISBLANK('2025'!$S83), 0, 1), 6, if(ISBLANK('2025'!$T83), 0, 1), 7, 0))), 1, "")</f>
        <v/>
      </c>
      <c r="AA85" s="1" t="str">
        <f>IF(AND(AND(AND(AA$4&gt;='2025'!$L83,AA$4&lt;='2025'!$M83), AA$4&lt;&gt;DATE(2025,7,4)), (SWITCH(weekday(AA$4), 1, 0, 2, if(ISBLANK('2025'!$P83), 0, 1), 3, if(ISBLANK('2025'!$Q83), 0, 1), 4, if(ISBLANK('2025'!$R83), 0, 1), 5, if(ISBLANK('2025'!$S83), 0, 1), 6, if(ISBLANK('2025'!$T83), 0, 1), 7, 0))), 1, "")</f>
        <v/>
      </c>
      <c r="AB85" s="1" t="str">
        <f>IF(AND(AND(AND(AB$4&gt;='2025'!$L83,AB$4&lt;='2025'!$M83), AB$4&lt;&gt;DATE(2025,7,4)), (SWITCH(weekday(AB$4), 1, 0, 2, if(ISBLANK('2025'!$P83), 0, 1), 3, if(ISBLANK('2025'!$Q83), 0, 1), 4, if(ISBLANK('2025'!$R83), 0, 1), 5, if(ISBLANK('2025'!$S83), 0, 1), 6, if(ISBLANK('2025'!$T83), 0, 1), 7, 0))), 1, "")</f>
        <v/>
      </c>
      <c r="AC85" s="1" t="str">
        <f>IF(AND(AND(AND(AC$4&gt;='2025'!$L83,AC$4&lt;='2025'!$M83), AC$4&lt;&gt;DATE(2025,7,4)), (SWITCH(weekday(AC$4), 1, 0, 2, if(ISBLANK('2025'!$P83), 0, 1), 3, if(ISBLANK('2025'!$Q83), 0, 1), 4, if(ISBLANK('2025'!$R83), 0, 1), 5, if(ISBLANK('2025'!$S83), 0, 1), 6, if(ISBLANK('2025'!$T83), 0, 1), 7, 0))), 1, "")</f>
        <v/>
      </c>
      <c r="AD85" s="1" t="str">
        <f>IF(AND(AND(AND(AD$4&gt;='2025'!$L83,AD$4&lt;='2025'!$M83), AD$4&lt;&gt;DATE(2025,7,4)), (SWITCH(weekday(AD$4), 1, 0, 2, if(ISBLANK('2025'!$P83), 0, 1), 3, if(ISBLANK('2025'!$Q83), 0, 1), 4, if(ISBLANK('2025'!$R83), 0, 1), 5, if(ISBLANK('2025'!$S83), 0, 1), 6, if(ISBLANK('2025'!$T83), 0, 1), 7, 0))), 1, "")</f>
        <v/>
      </c>
      <c r="AE85" s="1" t="str">
        <f>IF(AND(AND(AND(AE$4&gt;='2025'!$L83,AE$4&lt;='2025'!$M83), AE$4&lt;&gt;DATE(2025,7,4)), (SWITCH(weekday(AE$4), 1, 0, 2, if(ISBLANK('2025'!$P83), 0, 1), 3, if(ISBLANK('2025'!$Q83), 0, 1), 4, if(ISBLANK('2025'!$R83), 0, 1), 5, if(ISBLANK('2025'!$S83), 0, 1), 6, if(ISBLANK('2025'!$T83), 0, 1), 7, 0))), 1, "")</f>
        <v/>
      </c>
      <c r="AF85" s="1" t="str">
        <f>IF(AND(AND(AND(AF$4&gt;='2025'!$L83,AF$4&lt;='2025'!$M83), AF$4&lt;&gt;DATE(2025,7,4)), (SWITCH(weekday(AF$4), 1, 0, 2, if(ISBLANK('2025'!$P83), 0, 1), 3, if(ISBLANK('2025'!$Q83), 0, 1), 4, if(ISBLANK('2025'!$R83), 0, 1), 5, if(ISBLANK('2025'!$S83), 0, 1), 6, if(ISBLANK('2025'!$T83), 0, 1), 7, 0))), 1, "")</f>
        <v/>
      </c>
      <c r="AG85" s="1" t="str">
        <f>IF(AND(AND(AND(AG$4&gt;='2025'!$L83,AG$4&lt;='2025'!$M83), AG$4&lt;&gt;DATE(2025,7,4)), (SWITCH(weekday(AG$4), 1, 0, 2, if(ISBLANK('2025'!$P83), 0, 1), 3, if(ISBLANK('2025'!$Q83), 0, 1), 4, if(ISBLANK('2025'!$R83), 0, 1), 5, if(ISBLANK('2025'!$S83), 0, 1), 6, if(ISBLANK('2025'!$T83), 0, 1), 7, 0))), 1, "")</f>
        <v/>
      </c>
      <c r="AH85" s="1" t="str">
        <f>IF(AND(AND(AND(AH$4&gt;='2025'!$L83,AH$4&lt;='2025'!$M83), AH$4&lt;&gt;DATE(2025,7,4)), (SWITCH(weekday(AH$4), 1, 0, 2, if(ISBLANK('2025'!$P83), 0, 1), 3, if(ISBLANK('2025'!$Q83), 0, 1), 4, if(ISBLANK('2025'!$R83), 0, 1), 5, if(ISBLANK('2025'!$S83), 0, 1), 6, if(ISBLANK('2025'!$T83), 0, 1), 7, 0))), 1, "")</f>
        <v/>
      </c>
      <c r="AI85" s="1" t="str">
        <f>IF(AND(AND(AND(AI$4&gt;='2025'!$L83,AI$4&lt;='2025'!$M83), AI$4&lt;&gt;DATE(2025,7,4)), (SWITCH(weekday(AI$4), 1, 0, 2, if(ISBLANK('2025'!$P83), 0, 1), 3, if(ISBLANK('2025'!$Q83), 0, 1), 4, if(ISBLANK('2025'!$R83), 0, 1), 5, if(ISBLANK('2025'!$S83), 0, 1), 6, if(ISBLANK('2025'!$T83), 0, 1), 7, 0))), 1, "")</f>
        <v/>
      </c>
      <c r="AJ85" s="1" t="str">
        <f>IF(AND(AND(AND(AJ$4&gt;='2025'!$L83,AJ$4&lt;='2025'!$M83), AJ$4&lt;&gt;DATE(2025,7,4)), (SWITCH(weekday(AJ$4), 1, 0, 2, if(ISBLANK('2025'!$P83), 0, 1), 3, if(ISBLANK('2025'!$Q83), 0, 1), 4, if(ISBLANK('2025'!$R83), 0, 1), 5, if(ISBLANK('2025'!$S83), 0, 1), 6, if(ISBLANK('2025'!$T83), 0, 1), 7, 0))), 1, "")</f>
        <v/>
      </c>
      <c r="AK85" s="1" t="str">
        <f>IF(AND(AND(AND(AK$4&gt;='2025'!$L83,AK$4&lt;='2025'!$M83), AK$4&lt;&gt;DATE(2025,7,4)), (SWITCH(weekday(AK$4), 1, 0, 2, if(ISBLANK('2025'!$P83), 0, 1), 3, if(ISBLANK('2025'!$Q83), 0, 1), 4, if(ISBLANK('2025'!$R83), 0, 1), 5, if(ISBLANK('2025'!$S83), 0, 1), 6, if(ISBLANK('2025'!$T83), 0, 1), 7, 0))), 1, "")</f>
        <v/>
      </c>
      <c r="AL85" s="1" t="str">
        <f>IF(AND(AND(AND(AL$4&gt;='2025'!$L83,AL$4&lt;='2025'!$M83), AL$4&lt;&gt;DATE(2025,7,4)), (SWITCH(weekday(AL$4), 1, 0, 2, if(ISBLANK('2025'!$P83), 0, 1), 3, if(ISBLANK('2025'!$Q83), 0, 1), 4, if(ISBLANK('2025'!$R83), 0, 1), 5, if(ISBLANK('2025'!$S83), 0, 1), 6, if(ISBLANK('2025'!$T83), 0, 1), 7, 0))), 1, "")</f>
        <v/>
      </c>
      <c r="AM85" s="1" t="str">
        <f>IF(AND(AND(AND(AM$4&gt;='2025'!$L83,AM$4&lt;='2025'!$M83), AM$4&lt;&gt;DATE(2025,7,4)), (SWITCH(weekday(AM$4), 1, 0, 2, if(ISBLANK('2025'!$P83), 0, 1), 3, if(ISBLANK('2025'!$Q83), 0, 1), 4, if(ISBLANK('2025'!$R83), 0, 1), 5, if(ISBLANK('2025'!$S83), 0, 1), 6, if(ISBLANK('2025'!$T83), 0, 1), 7, 0))), 1, "")</f>
        <v/>
      </c>
      <c r="AN85" s="1" t="str">
        <f>IF(AND(AND(AND(AN$4&gt;='2025'!$L83,AN$4&lt;='2025'!$M83), AN$4&lt;&gt;DATE(2025,7,4)), (SWITCH(weekday(AN$4), 1, 0, 2, if(ISBLANK('2025'!$P83), 0, 1), 3, if(ISBLANK('2025'!$Q83), 0, 1), 4, if(ISBLANK('2025'!$R83), 0, 1), 5, if(ISBLANK('2025'!$S83), 0, 1), 6, if(ISBLANK('2025'!$T83), 0, 1), 7, 0))), 1, "")</f>
        <v/>
      </c>
      <c r="AO85" s="1" t="str">
        <f>IF(AND(AND(AND(AO$4&gt;='2025'!$L83,AO$4&lt;='2025'!$M83), AO$4&lt;&gt;DATE(2025,7,4)), (SWITCH(weekday(AO$4), 1, 0, 2, if(ISBLANK('2025'!$P83), 0, 1), 3, if(ISBLANK('2025'!$Q83), 0, 1), 4, if(ISBLANK('2025'!$R83), 0, 1), 5, if(ISBLANK('2025'!$S83), 0, 1), 6, if(ISBLANK('2025'!$T83), 0, 1), 7, 0))), 1, "")</f>
        <v/>
      </c>
      <c r="AP85" s="1" t="str">
        <f>IF(AND(AND(AND(AP$4&gt;='2025'!$L83,AP$4&lt;='2025'!$M83), AP$4&lt;&gt;DATE(2025,7,4)), (SWITCH(weekday(AP$4), 1, 0, 2, if(ISBLANK('2025'!$P83), 0, 1), 3, if(ISBLANK('2025'!$Q83), 0, 1), 4, if(ISBLANK('2025'!$R83), 0, 1), 5, if(ISBLANK('2025'!$S83), 0, 1), 6, if(ISBLANK('2025'!$T83), 0, 1), 7, 0))), 1, "")</f>
        <v/>
      </c>
      <c r="AQ85" s="1" t="str">
        <f>IF(AND(AND(AND(AQ$4&gt;='2025'!$L83,AQ$4&lt;='2025'!$M83), AQ$4&lt;&gt;DATE(2025,7,4)), (SWITCH(weekday(AQ$4), 1, 0, 2, if(ISBLANK('2025'!$P83), 0, 1), 3, if(ISBLANK('2025'!$Q83), 0, 1), 4, if(ISBLANK('2025'!$R83), 0, 1), 5, if(ISBLANK('2025'!$S83), 0, 1), 6, if(ISBLANK('2025'!$T83), 0, 1), 7, 0))), 1, "")</f>
        <v/>
      </c>
      <c r="AR85" s="1" t="str">
        <f>IF(AND(AND(AND(AR$4&gt;='2025'!$L83,AR$4&lt;='2025'!$M83), AR$4&lt;&gt;DATE(2025,7,4)), (SWITCH(weekday(AR$4), 1, 0, 2, if(ISBLANK('2025'!$P83), 0, 1), 3, if(ISBLANK('2025'!$Q83), 0, 1), 4, if(ISBLANK('2025'!$R83), 0, 1), 5, if(ISBLANK('2025'!$S83), 0, 1), 6, if(ISBLANK('2025'!$T83), 0, 1), 7, 0))), 1, "")</f>
        <v/>
      </c>
      <c r="AS85" s="1" t="str">
        <f>IF(AND(AND(AND(AS$4&gt;='2025'!$L83,AS$4&lt;='2025'!$M83), AS$4&lt;&gt;DATE(2025,7,4)), (SWITCH(weekday(AS$4), 1, 0, 2, if(ISBLANK('2025'!$P83), 0, 1), 3, if(ISBLANK('2025'!$Q83), 0, 1), 4, if(ISBLANK('2025'!$R83), 0, 1), 5, if(ISBLANK('2025'!$S83), 0, 1), 6, if(ISBLANK('2025'!$T83), 0, 1), 7, 0))), 1, "")</f>
        <v/>
      </c>
      <c r="AT85" s="1" t="str">
        <f>IF(AND(AND(AND(AT$4&gt;='2025'!$L83,AT$4&lt;='2025'!$M83), AT$4&lt;&gt;DATE(2025,7,4)), (SWITCH(weekday(AT$4), 1, 0, 2, if(ISBLANK('2025'!$P83), 0, 1), 3, if(ISBLANK('2025'!$Q83), 0, 1), 4, if(ISBLANK('2025'!$R83), 0, 1), 5, if(ISBLANK('2025'!$S83), 0, 1), 6, if(ISBLANK('2025'!$T83), 0, 1), 7, 0))), 1, "")</f>
        <v/>
      </c>
      <c r="AU85" s="1" t="str">
        <f>IF(AND(AND(AND(AU$4&gt;='2025'!$L83,AU$4&lt;='2025'!$M83), AU$4&lt;&gt;DATE(2025,7,4)), (SWITCH(weekday(AU$4), 1, 0, 2, if(ISBLANK('2025'!$P83), 0, 1), 3, if(ISBLANK('2025'!$Q83), 0, 1), 4, if(ISBLANK('2025'!$R83), 0, 1), 5, if(ISBLANK('2025'!$S83), 0, 1), 6, if(ISBLANK('2025'!$T83), 0, 1), 7, 0))), 1, "")</f>
        <v/>
      </c>
      <c r="AV85" s="1" t="str">
        <f>IF(AND(AND(AND(AV$4&gt;='2025'!$L83,AV$4&lt;='2025'!$M83), AV$4&lt;&gt;DATE(2025,7,4)), (SWITCH(weekday(AV$4), 1, 0, 2, if(ISBLANK('2025'!$P83), 0, 1), 3, if(ISBLANK('2025'!$Q83), 0, 1), 4, if(ISBLANK('2025'!$R83), 0, 1), 5, if(ISBLANK('2025'!$S83), 0, 1), 6, if(ISBLANK('2025'!$T83), 0, 1), 7, 0))), 1, "")</f>
        <v/>
      </c>
      <c r="AW85" s="1" t="str">
        <f>IF(AND(AND(AND(AW$4&gt;='2025'!$L83,AW$4&lt;='2025'!$M83), AW$4&lt;&gt;DATE(2025,7,4)), (SWITCH(weekday(AW$4), 1, 0, 2, if(ISBLANK('2025'!$P83), 0, 1), 3, if(ISBLANK('2025'!$Q83), 0, 1), 4, if(ISBLANK('2025'!$R83), 0, 1), 5, if(ISBLANK('2025'!$S83), 0, 1), 6, if(ISBLANK('2025'!$T83), 0, 1), 7, 0))), 1, "")</f>
        <v/>
      </c>
      <c r="AX85" s="1" t="str">
        <f>IF(AND(AND(AND(AX$4&gt;='2025'!$L83,AX$4&lt;='2025'!$M83), AX$4&lt;&gt;DATE(2025,7,4)), (SWITCH(weekday(AX$4), 1, 0, 2, if(ISBLANK('2025'!$P83), 0, 1), 3, if(ISBLANK('2025'!$Q83), 0, 1), 4, if(ISBLANK('2025'!$R83), 0, 1), 5, if(ISBLANK('2025'!$S83), 0, 1), 6, if(ISBLANK('2025'!$T83), 0, 1), 7, 0))), 1, "")</f>
        <v/>
      </c>
      <c r="AY85" s="1" t="str">
        <f>IF(AND(AND(AND(AY$4&gt;='2025'!$L83,AY$4&lt;='2025'!$M83), AY$4&lt;&gt;DATE(2025,7,4)), (SWITCH(weekday(AY$4), 1, 0, 2, if(ISBLANK('2025'!$P83), 0, 1), 3, if(ISBLANK('2025'!$Q83), 0, 1), 4, if(ISBLANK('2025'!$R83), 0, 1), 5, if(ISBLANK('2025'!$S83), 0, 1), 6, if(ISBLANK('2025'!$T83), 0, 1), 7, 0))), 1, "")</f>
        <v/>
      </c>
      <c r="AZ85" s="1" t="str">
        <f>IF(AND(AND(AND(AZ$4&gt;='2025'!$L83,AZ$4&lt;='2025'!$M83), AZ$4&lt;&gt;DATE(2025,7,4)), (SWITCH(weekday(AZ$4), 1, 0, 2, if(ISBLANK('2025'!$P83), 0, 1), 3, if(ISBLANK('2025'!$Q83), 0, 1), 4, if(ISBLANK('2025'!$R83), 0, 1), 5, if(ISBLANK('2025'!$S83), 0, 1), 6, if(ISBLANK('2025'!$T83), 0, 1), 7, 0))), 1, "")</f>
        <v/>
      </c>
      <c r="BA85" s="1" t="str">
        <f>IF(AND(AND(AND(BA$4&gt;='2025'!$L83,BA$4&lt;='2025'!$M83), BA$4&lt;&gt;DATE(2025,7,4)), (SWITCH(weekday(BA$4), 1, 0, 2, if(ISBLANK('2025'!$P83), 0, 1), 3, if(ISBLANK('2025'!$Q83), 0, 1), 4, if(ISBLANK('2025'!$R83), 0, 1), 5, if(ISBLANK('2025'!$S83), 0, 1), 6, if(ISBLANK('2025'!$T83), 0, 1), 7, 0))), 1, "")</f>
        <v/>
      </c>
      <c r="BB85" s="1" t="str">
        <f>IF(AND(AND(AND(BB$4&gt;='2025'!$L83,BB$4&lt;='2025'!$M83), BB$4&lt;&gt;DATE(2025,7,4)), (SWITCH(weekday(BB$4), 1, 0, 2, if(ISBLANK('2025'!$P83), 0, 1), 3, if(ISBLANK('2025'!$Q83), 0, 1), 4, if(ISBLANK('2025'!$R83), 0, 1), 5, if(ISBLANK('2025'!$S83), 0, 1), 6, if(ISBLANK('2025'!$T83), 0, 1), 7, 0))), 1, "")</f>
        <v/>
      </c>
      <c r="BC85" s="1" t="str">
        <f>IF(AND(AND(AND(BC$4&gt;='2025'!$L83,BC$4&lt;='2025'!$M83), BC$4&lt;&gt;DATE(2025,7,4)), (SWITCH(weekday(BC$4), 1, 0, 2, if(ISBLANK('2025'!$P83), 0, 1), 3, if(ISBLANK('2025'!$Q83), 0, 1), 4, if(ISBLANK('2025'!$R83), 0, 1), 5, if(ISBLANK('2025'!$S83), 0, 1), 6, if(ISBLANK('2025'!$T83), 0, 1), 7, 0))), 1, "")</f>
        <v/>
      </c>
      <c r="BD85" s="1" t="str">
        <f>IF(AND(AND(AND(BD$4&gt;='2025'!$L83,BD$4&lt;='2025'!$M83), BD$4&lt;&gt;DATE(2025,7,4)), (SWITCH(weekday(BD$4), 1, 0, 2, if(ISBLANK('2025'!$P83), 0, 1), 3, if(ISBLANK('2025'!$Q83), 0, 1), 4, if(ISBLANK('2025'!$R83), 0, 1), 5, if(ISBLANK('2025'!$S83), 0, 1), 6, if(ISBLANK('2025'!$T83), 0, 1), 7, 0))), 1, "")</f>
        <v/>
      </c>
      <c r="BE85" s="1" t="str">
        <f>IF(AND(AND(AND(BE$4&gt;='2025'!$L83,BE$4&lt;='2025'!$M83), BE$4&lt;&gt;DATE(2025,7,4)), (SWITCH(weekday(BE$4), 1, 0, 2, if(ISBLANK('2025'!$P83), 0, 1), 3, if(ISBLANK('2025'!$Q83), 0, 1), 4, if(ISBLANK('2025'!$R83), 0, 1), 5, if(ISBLANK('2025'!$S83), 0, 1), 6, if(ISBLANK('2025'!$T83), 0, 1), 7, 0))), 1, "")</f>
        <v/>
      </c>
      <c r="BF85" s="1" t="str">
        <f>IF(AND(AND(AND(BF$4&gt;='2025'!$L83,BF$4&lt;='2025'!$M83), BF$4&lt;&gt;DATE(2025,7,4)), (SWITCH(weekday(BF$4), 1, 0, 2, if(ISBLANK('2025'!$P83), 0, 1), 3, if(ISBLANK('2025'!$Q83), 0, 1), 4, if(ISBLANK('2025'!$R83), 0, 1), 5, if(ISBLANK('2025'!$S83), 0, 1), 6, if(ISBLANK('2025'!$T83), 0, 1), 7, 0))), 1, "")</f>
        <v/>
      </c>
      <c r="BG85" s="1"/>
      <c r="BH85" s="1"/>
      <c r="BI85" s="1"/>
      <c r="BJ85" s="1"/>
      <c r="BK85" s="1"/>
      <c r="BL85" s="1"/>
    </row>
    <row r="86">
      <c r="A86" s="1">
        <f t="shared" si="3"/>
        <v>86</v>
      </c>
      <c r="B86" s="1" t="str">
        <f>'2025'!D51</f>
        <v>ferazzoli, alessa </v>
      </c>
      <c r="C86" s="1" t="str">
        <f>'2025'!H51</f>
        <v>TOD</v>
      </c>
      <c r="D86" s="1" t="str">
        <f>IF(AND(AND(AND(D$4&gt;='2025'!$L84,D$4&lt;='2025'!$M84), D$4&lt;&gt;DATE(2025,7,4)), (SWITCH(weekday(D$4), 1, 0, 2, if(ISBLANK('2025'!$P84), 0, 1), 3, if(ISBLANK('2025'!$Q84), 0, 1), 4, if(ISBLANK('2025'!$R84), 0, 1), 5, if(ISBLANK('2025'!$S84), 0, 1), 6, if(ISBLANK('2025'!$T84), 0, 1), 7, 0))), 1, "")</f>
        <v/>
      </c>
      <c r="E86" s="1" t="str">
        <f>IF(AND(AND(AND(E$4&gt;='2025'!$L84,E$4&lt;='2025'!$M84), E$4&lt;&gt;DATE(2025,7,4)), (SWITCH(weekday(E$4), 1, 0, 2, if(ISBLANK('2025'!$P84), 0, 1), 3, if(ISBLANK('2025'!$Q84), 0, 1), 4, if(ISBLANK('2025'!$R84), 0, 1), 5, if(ISBLANK('2025'!$S84), 0, 1), 6, if(ISBLANK('2025'!$T84), 0, 1), 7, 0))), 1, "")</f>
        <v/>
      </c>
      <c r="F86" s="1" t="str">
        <f>IF(AND(AND(AND(F$4&gt;='2025'!$L84,F$4&lt;='2025'!$M84), F$4&lt;&gt;DATE(2025,7,4)), (SWITCH(weekday(F$4), 1, 0, 2, if(ISBLANK('2025'!$P84), 0, 1), 3, if(ISBLANK('2025'!$Q84), 0, 1), 4, if(ISBLANK('2025'!$R84), 0, 1), 5, if(ISBLANK('2025'!$S84), 0, 1), 6, if(ISBLANK('2025'!$T84), 0, 1), 7, 0))), 1, "")</f>
        <v/>
      </c>
      <c r="G86" s="1" t="str">
        <f>IF(AND(AND(AND(G$4&gt;='2025'!$L84,G$4&lt;='2025'!$M84), G$4&lt;&gt;DATE(2025,7,4)), (SWITCH(weekday(G$4), 1, 0, 2, if(ISBLANK('2025'!$P84), 0, 1), 3, if(ISBLANK('2025'!$Q84), 0, 1), 4, if(ISBLANK('2025'!$R84), 0, 1), 5, if(ISBLANK('2025'!$S84), 0, 1), 6, if(ISBLANK('2025'!$T84), 0, 1), 7, 0))), 1, "")</f>
        <v/>
      </c>
      <c r="H86" s="1" t="str">
        <f>IF(AND(AND(AND(H$4&gt;='2025'!$L84,H$4&lt;='2025'!$M84), H$4&lt;&gt;DATE(2025,7,4)), (SWITCH(weekday(H$4), 1, 0, 2, if(ISBLANK('2025'!$P84), 0, 1), 3, if(ISBLANK('2025'!$Q84), 0, 1), 4, if(ISBLANK('2025'!$R84), 0, 1), 5, if(ISBLANK('2025'!$S84), 0, 1), 6, if(ISBLANK('2025'!$T84), 0, 1), 7, 0))), 1, "")</f>
        <v/>
      </c>
      <c r="I86" s="1" t="str">
        <f>IF(AND(AND(AND(I$4&gt;='2025'!$L84,I$4&lt;='2025'!$M84), I$4&lt;&gt;DATE(2025,7,4)), (SWITCH(weekday(I$4), 1, 0, 2, if(ISBLANK('2025'!$P84), 0, 1), 3, if(ISBLANK('2025'!$Q84), 0, 1), 4, if(ISBLANK('2025'!$R84), 0, 1), 5, if(ISBLANK('2025'!$S84), 0, 1), 6, if(ISBLANK('2025'!$T84), 0, 1), 7, 0))), 1, "")</f>
        <v/>
      </c>
      <c r="J86" s="1" t="str">
        <f>IF(AND(AND(AND(J$4&gt;='2025'!$L84,J$4&lt;='2025'!$M84), J$4&lt;&gt;DATE(2025,7,4)), (SWITCH(weekday(J$4), 1, 0, 2, if(ISBLANK('2025'!$P84), 0, 1), 3, if(ISBLANK('2025'!$Q84), 0, 1), 4, if(ISBLANK('2025'!$R84), 0, 1), 5, if(ISBLANK('2025'!$S84), 0, 1), 6, if(ISBLANK('2025'!$T84), 0, 1), 7, 0))), 1, "")</f>
        <v/>
      </c>
      <c r="K86" s="1" t="str">
        <f>IF(AND(AND(AND(K$4&gt;='2025'!$L84,K$4&lt;='2025'!$M84), K$4&lt;&gt;DATE(2025,7,4)), (SWITCH(weekday(K$4), 1, 0, 2, if(ISBLANK('2025'!$P84), 0, 1), 3, if(ISBLANK('2025'!$Q84), 0, 1), 4, if(ISBLANK('2025'!$R84), 0, 1), 5, if(ISBLANK('2025'!$S84), 0, 1), 6, if(ISBLANK('2025'!$T84), 0, 1), 7, 0))), 1, "")</f>
        <v/>
      </c>
      <c r="L86" s="1" t="str">
        <f>IF(AND(AND(AND(L$4&gt;='2025'!$L84,L$4&lt;='2025'!$M84), L$4&lt;&gt;DATE(2025,7,4)), (SWITCH(weekday(L$4), 1, 0, 2, if(ISBLANK('2025'!$P84), 0, 1), 3, if(ISBLANK('2025'!$Q84), 0, 1), 4, if(ISBLANK('2025'!$R84), 0, 1), 5, if(ISBLANK('2025'!$S84), 0, 1), 6, if(ISBLANK('2025'!$T84), 0, 1), 7, 0))), 1, "")</f>
        <v/>
      </c>
      <c r="M86" s="1" t="str">
        <f>IF(AND(AND(AND(M$4&gt;='2025'!$L84,M$4&lt;='2025'!$M84), M$4&lt;&gt;DATE(2025,7,4)), (SWITCH(weekday(M$4), 1, 0, 2, if(ISBLANK('2025'!$P84), 0, 1), 3, if(ISBLANK('2025'!$Q84), 0, 1), 4, if(ISBLANK('2025'!$R84), 0, 1), 5, if(ISBLANK('2025'!$S84), 0, 1), 6, if(ISBLANK('2025'!$T84), 0, 1), 7, 0))), 1, "")</f>
        <v/>
      </c>
      <c r="N86" s="1" t="str">
        <f>IF(AND(AND(AND(N$4&gt;='2025'!$L84,N$4&lt;='2025'!$M84), N$4&lt;&gt;DATE(2025,7,4)), (SWITCH(weekday(N$4), 1, 0, 2, if(ISBLANK('2025'!$P84), 0, 1), 3, if(ISBLANK('2025'!$Q84), 0, 1), 4, if(ISBLANK('2025'!$R84), 0, 1), 5, if(ISBLANK('2025'!$S84), 0, 1), 6, if(ISBLANK('2025'!$T84), 0, 1), 7, 0))), 1, "")</f>
        <v/>
      </c>
      <c r="O86" s="1" t="str">
        <f>IF(AND(AND(AND(O$4&gt;='2025'!$L84,O$4&lt;='2025'!$M84), O$4&lt;&gt;DATE(2025,7,4)), (SWITCH(weekday(O$4), 1, 0, 2, if(ISBLANK('2025'!$P84), 0, 1), 3, if(ISBLANK('2025'!$Q84), 0, 1), 4, if(ISBLANK('2025'!$R84), 0, 1), 5, if(ISBLANK('2025'!$S84), 0, 1), 6, if(ISBLANK('2025'!$T84), 0, 1), 7, 0))), 1, "")</f>
        <v/>
      </c>
      <c r="P86" s="1" t="str">
        <f>IF(AND(AND(AND(P$4&gt;='2025'!$L84,P$4&lt;='2025'!$M84), P$4&lt;&gt;DATE(2025,7,4)), (SWITCH(weekday(P$4), 1, 0, 2, if(ISBLANK('2025'!$P84), 0, 1), 3, if(ISBLANK('2025'!$Q84), 0, 1), 4, if(ISBLANK('2025'!$R84), 0, 1), 5, if(ISBLANK('2025'!$S84), 0, 1), 6, if(ISBLANK('2025'!$T84), 0, 1), 7, 0))), 1, "")</f>
        <v/>
      </c>
      <c r="Q86" s="1" t="str">
        <f>IF(AND(AND(AND(Q$4&gt;='2025'!$L84,Q$4&lt;='2025'!$M84), Q$4&lt;&gt;DATE(2025,7,4)), (SWITCH(weekday(Q$4), 1, 0, 2, if(ISBLANK('2025'!$P84), 0, 1), 3, if(ISBLANK('2025'!$Q84), 0, 1), 4, if(ISBLANK('2025'!$R84), 0, 1), 5, if(ISBLANK('2025'!$S84), 0, 1), 6, if(ISBLANK('2025'!$T84), 0, 1), 7, 0))), 1, "")</f>
        <v/>
      </c>
      <c r="R86" s="1" t="str">
        <f>IF(AND(AND(AND(R$4&gt;='2025'!$L84,R$4&lt;='2025'!$M84), R$4&lt;&gt;DATE(2025,7,4)), (SWITCH(weekday(R$4), 1, 0, 2, if(ISBLANK('2025'!$P84), 0, 1), 3, if(ISBLANK('2025'!$Q84), 0, 1), 4, if(ISBLANK('2025'!$R84), 0, 1), 5, if(ISBLANK('2025'!$S84), 0, 1), 6, if(ISBLANK('2025'!$T84), 0, 1), 7, 0))), 1, "")</f>
        <v/>
      </c>
      <c r="S86" s="1" t="str">
        <f>IF(AND(AND(AND(S$4&gt;='2025'!$L84,S$4&lt;='2025'!$M84), S$4&lt;&gt;DATE(2025,7,4)), (SWITCH(weekday(S$4), 1, 0, 2, if(ISBLANK('2025'!$P84), 0, 1), 3, if(ISBLANK('2025'!$Q84), 0, 1), 4, if(ISBLANK('2025'!$R84), 0, 1), 5, if(ISBLANK('2025'!$S84), 0, 1), 6, if(ISBLANK('2025'!$T84), 0, 1), 7, 0))), 1, "")</f>
        <v/>
      </c>
      <c r="T86" s="1" t="str">
        <f>IF(AND(AND(AND(T$4&gt;='2025'!$L84,T$4&lt;='2025'!$M84), T$4&lt;&gt;DATE(2025,7,4)), (SWITCH(weekday(T$4), 1, 0, 2, if(ISBLANK('2025'!$P84), 0, 1), 3, if(ISBLANK('2025'!$Q84), 0, 1), 4, if(ISBLANK('2025'!$R84), 0, 1), 5, if(ISBLANK('2025'!$S84), 0, 1), 6, if(ISBLANK('2025'!$T84), 0, 1), 7, 0))), 1, "")</f>
        <v/>
      </c>
      <c r="U86" s="1" t="str">
        <f>IF(AND(AND(AND(U$4&gt;='2025'!$L84,U$4&lt;='2025'!$M84), U$4&lt;&gt;DATE(2025,7,4)), (SWITCH(weekday(U$4), 1, 0, 2, if(ISBLANK('2025'!$P84), 0, 1), 3, if(ISBLANK('2025'!$Q84), 0, 1), 4, if(ISBLANK('2025'!$R84), 0, 1), 5, if(ISBLANK('2025'!$S84), 0, 1), 6, if(ISBLANK('2025'!$T84), 0, 1), 7, 0))), 1, "")</f>
        <v/>
      </c>
      <c r="V86" s="1" t="str">
        <f>IF(AND(AND(AND(V$4&gt;='2025'!$L84,V$4&lt;='2025'!$M84), V$4&lt;&gt;DATE(2025,7,4)), (SWITCH(weekday(V$4), 1, 0, 2, if(ISBLANK('2025'!$P84), 0, 1), 3, if(ISBLANK('2025'!$Q84), 0, 1), 4, if(ISBLANK('2025'!$R84), 0, 1), 5, if(ISBLANK('2025'!$S84), 0, 1), 6, if(ISBLANK('2025'!$T84), 0, 1), 7, 0))), 1, "")</f>
        <v/>
      </c>
      <c r="W86" s="1" t="str">
        <f>IF(AND(AND(AND(W$4&gt;='2025'!$L84,W$4&lt;='2025'!$M84), W$4&lt;&gt;DATE(2025,7,4)), (SWITCH(weekday(W$4), 1, 0, 2, if(ISBLANK('2025'!$P84), 0, 1), 3, if(ISBLANK('2025'!$Q84), 0, 1), 4, if(ISBLANK('2025'!$R84), 0, 1), 5, if(ISBLANK('2025'!$S84), 0, 1), 6, if(ISBLANK('2025'!$T84), 0, 1), 7, 0))), 1, "")</f>
        <v/>
      </c>
      <c r="X86" s="1" t="str">
        <f>IF(AND(AND(AND(X$4&gt;='2025'!$L84,X$4&lt;='2025'!$M84), X$4&lt;&gt;DATE(2025,7,4)), (SWITCH(weekday(X$4), 1, 0, 2, if(ISBLANK('2025'!$P84), 0, 1), 3, if(ISBLANK('2025'!$Q84), 0, 1), 4, if(ISBLANK('2025'!$R84), 0, 1), 5, if(ISBLANK('2025'!$S84), 0, 1), 6, if(ISBLANK('2025'!$T84), 0, 1), 7, 0))), 1, "")</f>
        <v/>
      </c>
      <c r="Y86" s="1" t="str">
        <f>IF(AND(AND(AND(Y$4&gt;='2025'!$L84,Y$4&lt;='2025'!$M84), Y$4&lt;&gt;DATE(2025,7,4)), (SWITCH(weekday(Y$4), 1, 0, 2, if(ISBLANK('2025'!$P84), 0, 1), 3, if(ISBLANK('2025'!$Q84), 0, 1), 4, if(ISBLANK('2025'!$R84), 0, 1), 5, if(ISBLANK('2025'!$S84), 0, 1), 6, if(ISBLANK('2025'!$T84), 0, 1), 7, 0))), 1, "")</f>
        <v/>
      </c>
      <c r="Z86" s="1" t="str">
        <f>IF(AND(AND(AND(Z$4&gt;='2025'!$L84,Z$4&lt;='2025'!$M84), Z$4&lt;&gt;DATE(2025,7,4)), (SWITCH(weekday(Z$4), 1, 0, 2, if(ISBLANK('2025'!$P84), 0, 1), 3, if(ISBLANK('2025'!$Q84), 0, 1), 4, if(ISBLANK('2025'!$R84), 0, 1), 5, if(ISBLANK('2025'!$S84), 0, 1), 6, if(ISBLANK('2025'!$T84), 0, 1), 7, 0))), 1, "")</f>
        <v/>
      </c>
      <c r="AA86" s="1" t="str">
        <f>IF(AND(AND(AND(AA$4&gt;='2025'!$L84,AA$4&lt;='2025'!$M84), AA$4&lt;&gt;DATE(2025,7,4)), (SWITCH(weekday(AA$4), 1, 0, 2, if(ISBLANK('2025'!$P84), 0, 1), 3, if(ISBLANK('2025'!$Q84), 0, 1), 4, if(ISBLANK('2025'!$R84), 0, 1), 5, if(ISBLANK('2025'!$S84), 0, 1), 6, if(ISBLANK('2025'!$T84), 0, 1), 7, 0))), 1, "")</f>
        <v/>
      </c>
      <c r="AB86" s="1" t="str">
        <f>IF(AND(AND(AND(AB$4&gt;='2025'!$L84,AB$4&lt;='2025'!$M84), AB$4&lt;&gt;DATE(2025,7,4)), (SWITCH(weekday(AB$4), 1, 0, 2, if(ISBLANK('2025'!$P84), 0, 1), 3, if(ISBLANK('2025'!$Q84), 0, 1), 4, if(ISBLANK('2025'!$R84), 0, 1), 5, if(ISBLANK('2025'!$S84), 0, 1), 6, if(ISBLANK('2025'!$T84), 0, 1), 7, 0))), 1, "")</f>
        <v/>
      </c>
      <c r="AC86" s="1" t="str">
        <f>IF(AND(AND(AND(AC$4&gt;='2025'!$L84,AC$4&lt;='2025'!$M84), AC$4&lt;&gt;DATE(2025,7,4)), (SWITCH(weekday(AC$4), 1, 0, 2, if(ISBLANK('2025'!$P84), 0, 1), 3, if(ISBLANK('2025'!$Q84), 0, 1), 4, if(ISBLANK('2025'!$R84), 0, 1), 5, if(ISBLANK('2025'!$S84), 0, 1), 6, if(ISBLANK('2025'!$T84), 0, 1), 7, 0))), 1, "")</f>
        <v/>
      </c>
      <c r="AD86" s="1" t="str">
        <f>IF(AND(AND(AND(AD$4&gt;='2025'!$L84,AD$4&lt;='2025'!$M84), AD$4&lt;&gt;DATE(2025,7,4)), (SWITCH(weekday(AD$4), 1, 0, 2, if(ISBLANK('2025'!$P84), 0, 1), 3, if(ISBLANK('2025'!$Q84), 0, 1), 4, if(ISBLANK('2025'!$R84), 0, 1), 5, if(ISBLANK('2025'!$S84), 0, 1), 6, if(ISBLANK('2025'!$T84), 0, 1), 7, 0))), 1, "")</f>
        <v/>
      </c>
      <c r="AE86" s="1" t="str">
        <f>IF(AND(AND(AND(AE$4&gt;='2025'!$L84,AE$4&lt;='2025'!$M84), AE$4&lt;&gt;DATE(2025,7,4)), (SWITCH(weekday(AE$4), 1, 0, 2, if(ISBLANK('2025'!$P84), 0, 1), 3, if(ISBLANK('2025'!$Q84), 0, 1), 4, if(ISBLANK('2025'!$R84), 0, 1), 5, if(ISBLANK('2025'!$S84), 0, 1), 6, if(ISBLANK('2025'!$T84), 0, 1), 7, 0))), 1, "")</f>
        <v/>
      </c>
      <c r="AF86" s="1" t="str">
        <f>IF(AND(AND(AND(AF$4&gt;='2025'!$L84,AF$4&lt;='2025'!$M84), AF$4&lt;&gt;DATE(2025,7,4)), (SWITCH(weekday(AF$4), 1, 0, 2, if(ISBLANK('2025'!$P84), 0, 1), 3, if(ISBLANK('2025'!$Q84), 0, 1), 4, if(ISBLANK('2025'!$R84), 0, 1), 5, if(ISBLANK('2025'!$S84), 0, 1), 6, if(ISBLANK('2025'!$T84), 0, 1), 7, 0))), 1, "")</f>
        <v/>
      </c>
      <c r="AG86" s="1" t="str">
        <f>IF(AND(AND(AND(AG$4&gt;='2025'!$L84,AG$4&lt;='2025'!$M84), AG$4&lt;&gt;DATE(2025,7,4)), (SWITCH(weekday(AG$4), 1, 0, 2, if(ISBLANK('2025'!$P84), 0, 1), 3, if(ISBLANK('2025'!$Q84), 0, 1), 4, if(ISBLANK('2025'!$R84), 0, 1), 5, if(ISBLANK('2025'!$S84), 0, 1), 6, if(ISBLANK('2025'!$T84), 0, 1), 7, 0))), 1, "")</f>
        <v/>
      </c>
      <c r="AH86" s="1" t="str">
        <f>IF(AND(AND(AND(AH$4&gt;='2025'!$L84,AH$4&lt;='2025'!$M84), AH$4&lt;&gt;DATE(2025,7,4)), (SWITCH(weekday(AH$4), 1, 0, 2, if(ISBLANK('2025'!$P84), 0, 1), 3, if(ISBLANK('2025'!$Q84), 0, 1), 4, if(ISBLANK('2025'!$R84), 0, 1), 5, if(ISBLANK('2025'!$S84), 0, 1), 6, if(ISBLANK('2025'!$T84), 0, 1), 7, 0))), 1, "")</f>
        <v/>
      </c>
      <c r="AI86" s="1" t="str">
        <f>IF(AND(AND(AND(AI$4&gt;='2025'!$L84,AI$4&lt;='2025'!$M84), AI$4&lt;&gt;DATE(2025,7,4)), (SWITCH(weekday(AI$4), 1, 0, 2, if(ISBLANK('2025'!$P84), 0, 1), 3, if(ISBLANK('2025'!$Q84), 0, 1), 4, if(ISBLANK('2025'!$R84), 0, 1), 5, if(ISBLANK('2025'!$S84), 0, 1), 6, if(ISBLANK('2025'!$T84), 0, 1), 7, 0))), 1, "")</f>
        <v/>
      </c>
      <c r="AJ86" s="1" t="str">
        <f>IF(AND(AND(AND(AJ$4&gt;='2025'!$L84,AJ$4&lt;='2025'!$M84), AJ$4&lt;&gt;DATE(2025,7,4)), (SWITCH(weekday(AJ$4), 1, 0, 2, if(ISBLANK('2025'!$P84), 0, 1), 3, if(ISBLANK('2025'!$Q84), 0, 1), 4, if(ISBLANK('2025'!$R84), 0, 1), 5, if(ISBLANK('2025'!$S84), 0, 1), 6, if(ISBLANK('2025'!$T84), 0, 1), 7, 0))), 1, "")</f>
        <v/>
      </c>
      <c r="AK86" s="1" t="str">
        <f>IF(AND(AND(AND(AK$4&gt;='2025'!$L84,AK$4&lt;='2025'!$M84), AK$4&lt;&gt;DATE(2025,7,4)), (SWITCH(weekday(AK$4), 1, 0, 2, if(ISBLANK('2025'!$P84), 0, 1), 3, if(ISBLANK('2025'!$Q84), 0, 1), 4, if(ISBLANK('2025'!$R84), 0, 1), 5, if(ISBLANK('2025'!$S84), 0, 1), 6, if(ISBLANK('2025'!$T84), 0, 1), 7, 0))), 1, "")</f>
        <v/>
      </c>
      <c r="AL86" s="1" t="str">
        <f>IF(AND(AND(AND(AL$4&gt;='2025'!$L84,AL$4&lt;='2025'!$M84), AL$4&lt;&gt;DATE(2025,7,4)), (SWITCH(weekday(AL$4), 1, 0, 2, if(ISBLANK('2025'!$P84), 0, 1), 3, if(ISBLANK('2025'!$Q84), 0, 1), 4, if(ISBLANK('2025'!$R84), 0, 1), 5, if(ISBLANK('2025'!$S84), 0, 1), 6, if(ISBLANK('2025'!$T84), 0, 1), 7, 0))), 1, "")</f>
        <v/>
      </c>
      <c r="AM86" s="1" t="str">
        <f>IF(AND(AND(AND(AM$4&gt;='2025'!$L84,AM$4&lt;='2025'!$M84), AM$4&lt;&gt;DATE(2025,7,4)), (SWITCH(weekday(AM$4), 1, 0, 2, if(ISBLANK('2025'!$P84), 0, 1), 3, if(ISBLANK('2025'!$Q84), 0, 1), 4, if(ISBLANK('2025'!$R84), 0, 1), 5, if(ISBLANK('2025'!$S84), 0, 1), 6, if(ISBLANK('2025'!$T84), 0, 1), 7, 0))), 1, "")</f>
        <v/>
      </c>
      <c r="AN86" s="1" t="str">
        <f>IF(AND(AND(AND(AN$4&gt;='2025'!$L84,AN$4&lt;='2025'!$M84), AN$4&lt;&gt;DATE(2025,7,4)), (SWITCH(weekday(AN$4), 1, 0, 2, if(ISBLANK('2025'!$P84), 0, 1), 3, if(ISBLANK('2025'!$Q84), 0, 1), 4, if(ISBLANK('2025'!$R84), 0, 1), 5, if(ISBLANK('2025'!$S84), 0, 1), 6, if(ISBLANK('2025'!$T84), 0, 1), 7, 0))), 1, "")</f>
        <v/>
      </c>
      <c r="AO86" s="1" t="str">
        <f>IF(AND(AND(AND(AO$4&gt;='2025'!$L84,AO$4&lt;='2025'!$M84), AO$4&lt;&gt;DATE(2025,7,4)), (SWITCH(weekday(AO$4), 1, 0, 2, if(ISBLANK('2025'!$P84), 0, 1), 3, if(ISBLANK('2025'!$Q84), 0, 1), 4, if(ISBLANK('2025'!$R84), 0, 1), 5, if(ISBLANK('2025'!$S84), 0, 1), 6, if(ISBLANK('2025'!$T84), 0, 1), 7, 0))), 1, "")</f>
        <v/>
      </c>
      <c r="AP86" s="1" t="str">
        <f>IF(AND(AND(AND(AP$4&gt;='2025'!$L84,AP$4&lt;='2025'!$M84), AP$4&lt;&gt;DATE(2025,7,4)), (SWITCH(weekday(AP$4), 1, 0, 2, if(ISBLANK('2025'!$P84), 0, 1), 3, if(ISBLANK('2025'!$Q84), 0, 1), 4, if(ISBLANK('2025'!$R84), 0, 1), 5, if(ISBLANK('2025'!$S84), 0, 1), 6, if(ISBLANK('2025'!$T84), 0, 1), 7, 0))), 1, "")</f>
        <v/>
      </c>
      <c r="AQ86" s="1" t="str">
        <f>IF(AND(AND(AND(AQ$4&gt;='2025'!$L84,AQ$4&lt;='2025'!$M84), AQ$4&lt;&gt;DATE(2025,7,4)), (SWITCH(weekday(AQ$4), 1, 0, 2, if(ISBLANK('2025'!$P84), 0, 1), 3, if(ISBLANK('2025'!$Q84), 0, 1), 4, if(ISBLANK('2025'!$R84), 0, 1), 5, if(ISBLANK('2025'!$S84), 0, 1), 6, if(ISBLANK('2025'!$T84), 0, 1), 7, 0))), 1, "")</f>
        <v/>
      </c>
      <c r="AR86" s="1" t="str">
        <f>IF(AND(AND(AND(AR$4&gt;='2025'!$L84,AR$4&lt;='2025'!$M84), AR$4&lt;&gt;DATE(2025,7,4)), (SWITCH(weekday(AR$4), 1, 0, 2, if(ISBLANK('2025'!$P84), 0, 1), 3, if(ISBLANK('2025'!$Q84), 0, 1), 4, if(ISBLANK('2025'!$R84), 0, 1), 5, if(ISBLANK('2025'!$S84), 0, 1), 6, if(ISBLANK('2025'!$T84), 0, 1), 7, 0))), 1, "")</f>
        <v/>
      </c>
      <c r="AS86" s="1" t="str">
        <f>IF(AND(AND(AND(AS$4&gt;='2025'!$L84,AS$4&lt;='2025'!$M84), AS$4&lt;&gt;DATE(2025,7,4)), (SWITCH(weekday(AS$4), 1, 0, 2, if(ISBLANK('2025'!$P84), 0, 1), 3, if(ISBLANK('2025'!$Q84), 0, 1), 4, if(ISBLANK('2025'!$R84), 0, 1), 5, if(ISBLANK('2025'!$S84), 0, 1), 6, if(ISBLANK('2025'!$T84), 0, 1), 7, 0))), 1, "")</f>
        <v/>
      </c>
      <c r="AT86" s="1" t="str">
        <f>IF(AND(AND(AND(AT$4&gt;='2025'!$L84,AT$4&lt;='2025'!$M84), AT$4&lt;&gt;DATE(2025,7,4)), (SWITCH(weekday(AT$4), 1, 0, 2, if(ISBLANK('2025'!$P84), 0, 1), 3, if(ISBLANK('2025'!$Q84), 0, 1), 4, if(ISBLANK('2025'!$R84), 0, 1), 5, if(ISBLANK('2025'!$S84), 0, 1), 6, if(ISBLANK('2025'!$T84), 0, 1), 7, 0))), 1, "")</f>
        <v/>
      </c>
      <c r="AU86" s="1" t="str">
        <f>IF(AND(AND(AND(AU$4&gt;='2025'!$L84,AU$4&lt;='2025'!$M84), AU$4&lt;&gt;DATE(2025,7,4)), (SWITCH(weekday(AU$4), 1, 0, 2, if(ISBLANK('2025'!$P84), 0, 1), 3, if(ISBLANK('2025'!$Q84), 0, 1), 4, if(ISBLANK('2025'!$R84), 0, 1), 5, if(ISBLANK('2025'!$S84), 0, 1), 6, if(ISBLANK('2025'!$T84), 0, 1), 7, 0))), 1, "")</f>
        <v/>
      </c>
      <c r="AV86" s="1" t="str">
        <f>IF(AND(AND(AND(AV$4&gt;='2025'!$L84,AV$4&lt;='2025'!$M84), AV$4&lt;&gt;DATE(2025,7,4)), (SWITCH(weekday(AV$4), 1, 0, 2, if(ISBLANK('2025'!$P84), 0, 1), 3, if(ISBLANK('2025'!$Q84), 0, 1), 4, if(ISBLANK('2025'!$R84), 0, 1), 5, if(ISBLANK('2025'!$S84), 0, 1), 6, if(ISBLANK('2025'!$T84), 0, 1), 7, 0))), 1, "")</f>
        <v/>
      </c>
      <c r="AW86" s="1" t="str">
        <f>IF(AND(AND(AND(AW$4&gt;='2025'!$L84,AW$4&lt;='2025'!$M84), AW$4&lt;&gt;DATE(2025,7,4)), (SWITCH(weekday(AW$4), 1, 0, 2, if(ISBLANK('2025'!$P84), 0, 1), 3, if(ISBLANK('2025'!$Q84), 0, 1), 4, if(ISBLANK('2025'!$R84), 0, 1), 5, if(ISBLANK('2025'!$S84), 0, 1), 6, if(ISBLANK('2025'!$T84), 0, 1), 7, 0))), 1, "")</f>
        <v/>
      </c>
      <c r="AX86" s="1" t="str">
        <f>IF(AND(AND(AND(AX$4&gt;='2025'!$L84,AX$4&lt;='2025'!$M84), AX$4&lt;&gt;DATE(2025,7,4)), (SWITCH(weekday(AX$4), 1, 0, 2, if(ISBLANK('2025'!$P84), 0, 1), 3, if(ISBLANK('2025'!$Q84), 0, 1), 4, if(ISBLANK('2025'!$R84), 0, 1), 5, if(ISBLANK('2025'!$S84), 0, 1), 6, if(ISBLANK('2025'!$T84), 0, 1), 7, 0))), 1, "")</f>
        <v/>
      </c>
      <c r="AY86" s="1" t="str">
        <f>IF(AND(AND(AND(AY$4&gt;='2025'!$L84,AY$4&lt;='2025'!$M84), AY$4&lt;&gt;DATE(2025,7,4)), (SWITCH(weekday(AY$4), 1, 0, 2, if(ISBLANK('2025'!$P84), 0, 1), 3, if(ISBLANK('2025'!$Q84), 0, 1), 4, if(ISBLANK('2025'!$R84), 0, 1), 5, if(ISBLANK('2025'!$S84), 0, 1), 6, if(ISBLANK('2025'!$T84), 0, 1), 7, 0))), 1, "")</f>
        <v/>
      </c>
      <c r="AZ86" s="1" t="str">
        <f>IF(AND(AND(AND(AZ$4&gt;='2025'!$L84,AZ$4&lt;='2025'!$M84), AZ$4&lt;&gt;DATE(2025,7,4)), (SWITCH(weekday(AZ$4), 1, 0, 2, if(ISBLANK('2025'!$P84), 0, 1), 3, if(ISBLANK('2025'!$Q84), 0, 1), 4, if(ISBLANK('2025'!$R84), 0, 1), 5, if(ISBLANK('2025'!$S84), 0, 1), 6, if(ISBLANK('2025'!$T84), 0, 1), 7, 0))), 1, "")</f>
        <v/>
      </c>
      <c r="BA86" s="1" t="str">
        <f>IF(AND(AND(AND(BA$4&gt;='2025'!$L84,BA$4&lt;='2025'!$M84), BA$4&lt;&gt;DATE(2025,7,4)), (SWITCH(weekday(BA$4), 1, 0, 2, if(ISBLANK('2025'!$P84), 0, 1), 3, if(ISBLANK('2025'!$Q84), 0, 1), 4, if(ISBLANK('2025'!$R84), 0, 1), 5, if(ISBLANK('2025'!$S84), 0, 1), 6, if(ISBLANK('2025'!$T84), 0, 1), 7, 0))), 1, "")</f>
        <v/>
      </c>
      <c r="BB86" s="1" t="str">
        <f>IF(AND(AND(AND(BB$4&gt;='2025'!$L84,BB$4&lt;='2025'!$M84), BB$4&lt;&gt;DATE(2025,7,4)), (SWITCH(weekday(BB$4), 1, 0, 2, if(ISBLANK('2025'!$P84), 0, 1), 3, if(ISBLANK('2025'!$Q84), 0, 1), 4, if(ISBLANK('2025'!$R84), 0, 1), 5, if(ISBLANK('2025'!$S84), 0, 1), 6, if(ISBLANK('2025'!$T84), 0, 1), 7, 0))), 1, "")</f>
        <v/>
      </c>
      <c r="BC86" s="1" t="str">
        <f>IF(AND(AND(AND(BC$4&gt;='2025'!$L84,BC$4&lt;='2025'!$M84), BC$4&lt;&gt;DATE(2025,7,4)), (SWITCH(weekday(BC$4), 1, 0, 2, if(ISBLANK('2025'!$P84), 0, 1), 3, if(ISBLANK('2025'!$Q84), 0, 1), 4, if(ISBLANK('2025'!$R84), 0, 1), 5, if(ISBLANK('2025'!$S84), 0, 1), 6, if(ISBLANK('2025'!$T84), 0, 1), 7, 0))), 1, "")</f>
        <v/>
      </c>
      <c r="BD86" s="1" t="str">
        <f>IF(AND(AND(AND(BD$4&gt;='2025'!$L84,BD$4&lt;='2025'!$M84), BD$4&lt;&gt;DATE(2025,7,4)), (SWITCH(weekday(BD$4), 1, 0, 2, if(ISBLANK('2025'!$P84), 0, 1), 3, if(ISBLANK('2025'!$Q84), 0, 1), 4, if(ISBLANK('2025'!$R84), 0, 1), 5, if(ISBLANK('2025'!$S84), 0, 1), 6, if(ISBLANK('2025'!$T84), 0, 1), 7, 0))), 1, "")</f>
        <v/>
      </c>
      <c r="BE86" s="1" t="str">
        <f>IF(AND(AND(AND(BE$4&gt;='2025'!$L84,BE$4&lt;='2025'!$M84), BE$4&lt;&gt;DATE(2025,7,4)), (SWITCH(weekday(BE$4), 1, 0, 2, if(ISBLANK('2025'!$P84), 0, 1), 3, if(ISBLANK('2025'!$Q84), 0, 1), 4, if(ISBLANK('2025'!$R84), 0, 1), 5, if(ISBLANK('2025'!$S84), 0, 1), 6, if(ISBLANK('2025'!$T84), 0, 1), 7, 0))), 1, "")</f>
        <v/>
      </c>
      <c r="BF86" s="1" t="str">
        <f>IF(AND(AND(AND(BF$4&gt;='2025'!$L84,BF$4&lt;='2025'!$M84), BF$4&lt;&gt;DATE(2025,7,4)), (SWITCH(weekday(BF$4), 1, 0, 2, if(ISBLANK('2025'!$P84), 0, 1), 3, if(ISBLANK('2025'!$Q84), 0, 1), 4, if(ISBLANK('2025'!$R84), 0, 1), 5, if(ISBLANK('2025'!$S84), 0, 1), 6, if(ISBLANK('2025'!$T84), 0, 1), 7, 0))), 1, "")</f>
        <v/>
      </c>
      <c r="BG86" s="1"/>
      <c r="BH86" s="1"/>
      <c r="BI86" s="1"/>
      <c r="BJ86" s="1"/>
      <c r="BK86" s="1"/>
      <c r="BL86" s="1"/>
    </row>
    <row r="87">
      <c r="A87" s="1">
        <f t="shared" si="3"/>
        <v>87</v>
      </c>
      <c r="B87" s="1" t="str">
        <f t="shared" ref="B87:C87" si="9">#REF!</f>
        <v>#REF!</v>
      </c>
      <c r="C87" s="1" t="str">
        <f t="shared" si="9"/>
        <v>#REF!</v>
      </c>
      <c r="D87" s="1" t="str">
        <f>IF(AND(AND(AND(D$4&gt;='2025'!$L85,D$4&lt;='2025'!$M85), D$4&lt;&gt;DATE(2025,7,4)), (SWITCH(weekday(D$4), 1, 0, 2, if(ISBLANK('2025'!$P85), 0, 1), 3, if(ISBLANK('2025'!$Q85), 0, 1), 4, if(ISBLANK('2025'!$R85), 0, 1), 5, if(ISBLANK('2025'!$S85), 0, 1), 6, if(ISBLANK('2025'!$T85), 0, 1), 7, 0))), 1, "")</f>
        <v/>
      </c>
      <c r="E87" s="1" t="str">
        <f>IF(AND(AND(AND(E$4&gt;='2025'!$L85,E$4&lt;='2025'!$M85), E$4&lt;&gt;DATE(2025,7,4)), (SWITCH(weekday(E$4), 1, 0, 2, if(ISBLANK('2025'!$P85), 0, 1), 3, if(ISBLANK('2025'!$Q85), 0, 1), 4, if(ISBLANK('2025'!$R85), 0, 1), 5, if(ISBLANK('2025'!$S85), 0, 1), 6, if(ISBLANK('2025'!$T85), 0, 1), 7, 0))), 1, "")</f>
        <v/>
      </c>
      <c r="F87" s="1" t="str">
        <f>IF(AND(AND(AND(F$4&gt;='2025'!$L85,F$4&lt;='2025'!$M85), F$4&lt;&gt;DATE(2025,7,4)), (SWITCH(weekday(F$4), 1, 0, 2, if(ISBLANK('2025'!$P85), 0, 1), 3, if(ISBLANK('2025'!$Q85), 0, 1), 4, if(ISBLANK('2025'!$R85), 0, 1), 5, if(ISBLANK('2025'!$S85), 0, 1), 6, if(ISBLANK('2025'!$T85), 0, 1), 7, 0))), 1, "")</f>
        <v/>
      </c>
      <c r="G87" s="1" t="str">
        <f>IF(AND(AND(AND(G$4&gt;='2025'!$L85,G$4&lt;='2025'!$M85), G$4&lt;&gt;DATE(2025,7,4)), (SWITCH(weekday(G$4), 1, 0, 2, if(ISBLANK('2025'!$P85), 0, 1), 3, if(ISBLANK('2025'!$Q85), 0, 1), 4, if(ISBLANK('2025'!$R85), 0, 1), 5, if(ISBLANK('2025'!$S85), 0, 1), 6, if(ISBLANK('2025'!$T85), 0, 1), 7, 0))), 1, "")</f>
        <v/>
      </c>
      <c r="H87" s="1" t="str">
        <f>IF(AND(AND(AND(H$4&gt;='2025'!$L85,H$4&lt;='2025'!$M85), H$4&lt;&gt;DATE(2025,7,4)), (SWITCH(weekday(H$4), 1, 0, 2, if(ISBLANK('2025'!$P85), 0, 1), 3, if(ISBLANK('2025'!$Q85), 0, 1), 4, if(ISBLANK('2025'!$R85), 0, 1), 5, if(ISBLANK('2025'!$S85), 0, 1), 6, if(ISBLANK('2025'!$T85), 0, 1), 7, 0))), 1, "")</f>
        <v/>
      </c>
      <c r="I87" s="1" t="str">
        <f>IF(AND(AND(AND(I$4&gt;='2025'!$L85,I$4&lt;='2025'!$M85), I$4&lt;&gt;DATE(2025,7,4)), (SWITCH(weekday(I$4), 1, 0, 2, if(ISBLANK('2025'!$P85), 0, 1), 3, if(ISBLANK('2025'!$Q85), 0, 1), 4, if(ISBLANK('2025'!$R85), 0, 1), 5, if(ISBLANK('2025'!$S85), 0, 1), 6, if(ISBLANK('2025'!$T85), 0, 1), 7, 0))), 1, "")</f>
        <v/>
      </c>
      <c r="J87" s="1" t="str">
        <f>IF(AND(AND(AND(J$4&gt;='2025'!$L85,J$4&lt;='2025'!$M85), J$4&lt;&gt;DATE(2025,7,4)), (SWITCH(weekday(J$4), 1, 0, 2, if(ISBLANK('2025'!$P85), 0, 1), 3, if(ISBLANK('2025'!$Q85), 0, 1), 4, if(ISBLANK('2025'!$R85), 0, 1), 5, if(ISBLANK('2025'!$S85), 0, 1), 6, if(ISBLANK('2025'!$T85), 0, 1), 7, 0))), 1, "")</f>
        <v/>
      </c>
      <c r="K87" s="1" t="str">
        <f>IF(AND(AND(AND(K$4&gt;='2025'!$L85,K$4&lt;='2025'!$M85), K$4&lt;&gt;DATE(2025,7,4)), (SWITCH(weekday(K$4), 1, 0, 2, if(ISBLANK('2025'!$P85), 0, 1), 3, if(ISBLANK('2025'!$Q85), 0, 1), 4, if(ISBLANK('2025'!$R85), 0, 1), 5, if(ISBLANK('2025'!$S85), 0, 1), 6, if(ISBLANK('2025'!$T85), 0, 1), 7, 0))), 1, "")</f>
        <v/>
      </c>
      <c r="L87" s="1" t="str">
        <f>IF(AND(AND(AND(L$4&gt;='2025'!$L85,L$4&lt;='2025'!$M85), L$4&lt;&gt;DATE(2025,7,4)), (SWITCH(weekday(L$4), 1, 0, 2, if(ISBLANK('2025'!$P85), 0, 1), 3, if(ISBLANK('2025'!$Q85), 0, 1), 4, if(ISBLANK('2025'!$R85), 0, 1), 5, if(ISBLANK('2025'!$S85), 0, 1), 6, if(ISBLANK('2025'!$T85), 0, 1), 7, 0))), 1, "")</f>
        <v/>
      </c>
      <c r="M87" s="1" t="str">
        <f>IF(AND(AND(AND(M$4&gt;='2025'!$L85,M$4&lt;='2025'!$M85), M$4&lt;&gt;DATE(2025,7,4)), (SWITCH(weekday(M$4), 1, 0, 2, if(ISBLANK('2025'!$P85), 0, 1), 3, if(ISBLANK('2025'!$Q85), 0, 1), 4, if(ISBLANK('2025'!$R85), 0, 1), 5, if(ISBLANK('2025'!$S85), 0, 1), 6, if(ISBLANK('2025'!$T85), 0, 1), 7, 0))), 1, "")</f>
        <v/>
      </c>
      <c r="N87" s="1" t="str">
        <f>IF(AND(AND(AND(N$4&gt;='2025'!$L85,N$4&lt;='2025'!$M85), N$4&lt;&gt;DATE(2025,7,4)), (SWITCH(weekday(N$4), 1, 0, 2, if(ISBLANK('2025'!$P85), 0, 1), 3, if(ISBLANK('2025'!$Q85), 0, 1), 4, if(ISBLANK('2025'!$R85), 0, 1), 5, if(ISBLANK('2025'!$S85), 0, 1), 6, if(ISBLANK('2025'!$T85), 0, 1), 7, 0))), 1, "")</f>
        <v/>
      </c>
      <c r="O87" s="1" t="str">
        <f>IF(AND(AND(AND(O$4&gt;='2025'!$L85,O$4&lt;='2025'!$M85), O$4&lt;&gt;DATE(2025,7,4)), (SWITCH(weekday(O$4), 1, 0, 2, if(ISBLANK('2025'!$P85), 0, 1), 3, if(ISBLANK('2025'!$Q85), 0, 1), 4, if(ISBLANK('2025'!$R85), 0, 1), 5, if(ISBLANK('2025'!$S85), 0, 1), 6, if(ISBLANK('2025'!$T85), 0, 1), 7, 0))), 1, "")</f>
        <v/>
      </c>
      <c r="P87" s="1" t="str">
        <f>IF(AND(AND(AND(P$4&gt;='2025'!$L85,P$4&lt;='2025'!$M85), P$4&lt;&gt;DATE(2025,7,4)), (SWITCH(weekday(P$4), 1, 0, 2, if(ISBLANK('2025'!$P85), 0, 1), 3, if(ISBLANK('2025'!$Q85), 0, 1), 4, if(ISBLANK('2025'!$R85), 0, 1), 5, if(ISBLANK('2025'!$S85), 0, 1), 6, if(ISBLANK('2025'!$T85), 0, 1), 7, 0))), 1, "")</f>
        <v/>
      </c>
      <c r="Q87" s="1" t="str">
        <f>IF(AND(AND(AND(Q$4&gt;='2025'!$L85,Q$4&lt;='2025'!$M85), Q$4&lt;&gt;DATE(2025,7,4)), (SWITCH(weekday(Q$4), 1, 0, 2, if(ISBLANK('2025'!$P85), 0, 1), 3, if(ISBLANK('2025'!$Q85), 0, 1), 4, if(ISBLANK('2025'!$R85), 0, 1), 5, if(ISBLANK('2025'!$S85), 0, 1), 6, if(ISBLANK('2025'!$T85), 0, 1), 7, 0))), 1, "")</f>
        <v/>
      </c>
      <c r="R87" s="1" t="str">
        <f>IF(AND(AND(AND(R$4&gt;='2025'!$L85,R$4&lt;='2025'!$M85), R$4&lt;&gt;DATE(2025,7,4)), (SWITCH(weekday(R$4), 1, 0, 2, if(ISBLANK('2025'!$P85), 0, 1), 3, if(ISBLANK('2025'!$Q85), 0, 1), 4, if(ISBLANK('2025'!$R85), 0, 1), 5, if(ISBLANK('2025'!$S85), 0, 1), 6, if(ISBLANK('2025'!$T85), 0, 1), 7, 0))), 1, "")</f>
        <v/>
      </c>
      <c r="S87" s="1" t="str">
        <f>IF(AND(AND(AND(S$4&gt;='2025'!$L85,S$4&lt;='2025'!$M85), S$4&lt;&gt;DATE(2025,7,4)), (SWITCH(weekday(S$4), 1, 0, 2, if(ISBLANK('2025'!$P85), 0, 1), 3, if(ISBLANK('2025'!$Q85), 0, 1), 4, if(ISBLANK('2025'!$R85), 0, 1), 5, if(ISBLANK('2025'!$S85), 0, 1), 6, if(ISBLANK('2025'!$T85), 0, 1), 7, 0))), 1, "")</f>
        <v/>
      </c>
      <c r="T87" s="1" t="str">
        <f>IF(AND(AND(AND(T$4&gt;='2025'!$L85,T$4&lt;='2025'!$M85), T$4&lt;&gt;DATE(2025,7,4)), (SWITCH(weekday(T$4), 1, 0, 2, if(ISBLANK('2025'!$P85), 0, 1), 3, if(ISBLANK('2025'!$Q85), 0, 1), 4, if(ISBLANK('2025'!$R85), 0, 1), 5, if(ISBLANK('2025'!$S85), 0, 1), 6, if(ISBLANK('2025'!$T85), 0, 1), 7, 0))), 1, "")</f>
        <v/>
      </c>
      <c r="U87" s="1" t="str">
        <f>IF(AND(AND(AND(U$4&gt;='2025'!$L85,U$4&lt;='2025'!$M85), U$4&lt;&gt;DATE(2025,7,4)), (SWITCH(weekday(U$4), 1, 0, 2, if(ISBLANK('2025'!$P85), 0, 1), 3, if(ISBLANK('2025'!$Q85), 0, 1), 4, if(ISBLANK('2025'!$R85), 0, 1), 5, if(ISBLANK('2025'!$S85), 0, 1), 6, if(ISBLANK('2025'!$T85), 0, 1), 7, 0))), 1, "")</f>
        <v/>
      </c>
      <c r="V87" s="1" t="str">
        <f>IF(AND(AND(AND(V$4&gt;='2025'!$L85,V$4&lt;='2025'!$M85), V$4&lt;&gt;DATE(2025,7,4)), (SWITCH(weekday(V$4), 1, 0, 2, if(ISBLANK('2025'!$P85), 0, 1), 3, if(ISBLANK('2025'!$Q85), 0, 1), 4, if(ISBLANK('2025'!$R85), 0, 1), 5, if(ISBLANK('2025'!$S85), 0, 1), 6, if(ISBLANK('2025'!$T85), 0, 1), 7, 0))), 1, "")</f>
        <v/>
      </c>
      <c r="W87" s="1" t="str">
        <f>IF(AND(AND(AND(W$4&gt;='2025'!$L85,W$4&lt;='2025'!$M85), W$4&lt;&gt;DATE(2025,7,4)), (SWITCH(weekday(W$4), 1, 0, 2, if(ISBLANK('2025'!$P85), 0, 1), 3, if(ISBLANK('2025'!$Q85), 0, 1), 4, if(ISBLANK('2025'!$R85), 0, 1), 5, if(ISBLANK('2025'!$S85), 0, 1), 6, if(ISBLANK('2025'!$T85), 0, 1), 7, 0))), 1, "")</f>
        <v/>
      </c>
      <c r="X87" s="1" t="str">
        <f>IF(AND(AND(AND(X$4&gt;='2025'!$L85,X$4&lt;='2025'!$M85), X$4&lt;&gt;DATE(2025,7,4)), (SWITCH(weekday(X$4), 1, 0, 2, if(ISBLANK('2025'!$P85), 0, 1), 3, if(ISBLANK('2025'!$Q85), 0, 1), 4, if(ISBLANK('2025'!$R85), 0, 1), 5, if(ISBLANK('2025'!$S85), 0, 1), 6, if(ISBLANK('2025'!$T85), 0, 1), 7, 0))), 1, "")</f>
        <v/>
      </c>
      <c r="Y87" s="1" t="str">
        <f>IF(AND(AND(AND(Y$4&gt;='2025'!$L85,Y$4&lt;='2025'!$M85), Y$4&lt;&gt;DATE(2025,7,4)), (SWITCH(weekday(Y$4), 1, 0, 2, if(ISBLANK('2025'!$P85), 0, 1), 3, if(ISBLANK('2025'!$Q85), 0, 1), 4, if(ISBLANK('2025'!$R85), 0, 1), 5, if(ISBLANK('2025'!$S85), 0, 1), 6, if(ISBLANK('2025'!$T85), 0, 1), 7, 0))), 1, "")</f>
        <v/>
      </c>
      <c r="Z87" s="1" t="str">
        <f>IF(AND(AND(AND(Z$4&gt;='2025'!$L85,Z$4&lt;='2025'!$M85), Z$4&lt;&gt;DATE(2025,7,4)), (SWITCH(weekday(Z$4), 1, 0, 2, if(ISBLANK('2025'!$P85), 0, 1), 3, if(ISBLANK('2025'!$Q85), 0, 1), 4, if(ISBLANK('2025'!$R85), 0, 1), 5, if(ISBLANK('2025'!$S85), 0, 1), 6, if(ISBLANK('2025'!$T85), 0, 1), 7, 0))), 1, "")</f>
        <v/>
      </c>
      <c r="AA87" s="1" t="str">
        <f>IF(AND(AND(AND(AA$4&gt;='2025'!$L85,AA$4&lt;='2025'!$M85), AA$4&lt;&gt;DATE(2025,7,4)), (SWITCH(weekday(AA$4), 1, 0, 2, if(ISBLANK('2025'!$P85), 0, 1), 3, if(ISBLANK('2025'!$Q85), 0, 1), 4, if(ISBLANK('2025'!$R85), 0, 1), 5, if(ISBLANK('2025'!$S85), 0, 1), 6, if(ISBLANK('2025'!$T85), 0, 1), 7, 0))), 1, "")</f>
        <v/>
      </c>
      <c r="AB87" s="1" t="str">
        <f>IF(AND(AND(AND(AB$4&gt;='2025'!$L85,AB$4&lt;='2025'!$M85), AB$4&lt;&gt;DATE(2025,7,4)), (SWITCH(weekday(AB$4), 1, 0, 2, if(ISBLANK('2025'!$P85), 0, 1), 3, if(ISBLANK('2025'!$Q85), 0, 1), 4, if(ISBLANK('2025'!$R85), 0, 1), 5, if(ISBLANK('2025'!$S85), 0, 1), 6, if(ISBLANK('2025'!$T85), 0, 1), 7, 0))), 1, "")</f>
        <v/>
      </c>
      <c r="AC87" s="1" t="str">
        <f>IF(AND(AND(AND(AC$4&gt;='2025'!$L85,AC$4&lt;='2025'!$M85), AC$4&lt;&gt;DATE(2025,7,4)), (SWITCH(weekday(AC$4), 1, 0, 2, if(ISBLANK('2025'!$P85), 0, 1), 3, if(ISBLANK('2025'!$Q85), 0, 1), 4, if(ISBLANK('2025'!$R85), 0, 1), 5, if(ISBLANK('2025'!$S85), 0, 1), 6, if(ISBLANK('2025'!$T85), 0, 1), 7, 0))), 1, "")</f>
        <v/>
      </c>
      <c r="AD87" s="1" t="str">
        <f>IF(AND(AND(AND(AD$4&gt;='2025'!$L85,AD$4&lt;='2025'!$M85), AD$4&lt;&gt;DATE(2025,7,4)), (SWITCH(weekday(AD$4), 1, 0, 2, if(ISBLANK('2025'!$P85), 0, 1), 3, if(ISBLANK('2025'!$Q85), 0, 1), 4, if(ISBLANK('2025'!$R85), 0, 1), 5, if(ISBLANK('2025'!$S85), 0, 1), 6, if(ISBLANK('2025'!$T85), 0, 1), 7, 0))), 1, "")</f>
        <v/>
      </c>
      <c r="AE87" s="1" t="str">
        <f>IF(AND(AND(AND(AE$4&gt;='2025'!$L85,AE$4&lt;='2025'!$M85), AE$4&lt;&gt;DATE(2025,7,4)), (SWITCH(weekday(AE$4), 1, 0, 2, if(ISBLANK('2025'!$P85), 0, 1), 3, if(ISBLANK('2025'!$Q85), 0, 1), 4, if(ISBLANK('2025'!$R85), 0, 1), 5, if(ISBLANK('2025'!$S85), 0, 1), 6, if(ISBLANK('2025'!$T85), 0, 1), 7, 0))), 1, "")</f>
        <v/>
      </c>
      <c r="AF87" s="1" t="str">
        <f>IF(AND(AND(AND(AF$4&gt;='2025'!$L85,AF$4&lt;='2025'!$M85), AF$4&lt;&gt;DATE(2025,7,4)), (SWITCH(weekday(AF$4), 1, 0, 2, if(ISBLANK('2025'!$P85), 0, 1), 3, if(ISBLANK('2025'!$Q85), 0, 1), 4, if(ISBLANK('2025'!$R85), 0, 1), 5, if(ISBLANK('2025'!$S85), 0, 1), 6, if(ISBLANK('2025'!$T85), 0, 1), 7, 0))), 1, "")</f>
        <v/>
      </c>
      <c r="AG87" s="1" t="str">
        <f>IF(AND(AND(AND(AG$4&gt;='2025'!$L85,AG$4&lt;='2025'!$M85), AG$4&lt;&gt;DATE(2025,7,4)), (SWITCH(weekday(AG$4), 1, 0, 2, if(ISBLANK('2025'!$P85), 0, 1), 3, if(ISBLANK('2025'!$Q85), 0, 1), 4, if(ISBLANK('2025'!$R85), 0, 1), 5, if(ISBLANK('2025'!$S85), 0, 1), 6, if(ISBLANK('2025'!$T85), 0, 1), 7, 0))), 1, "")</f>
        <v/>
      </c>
      <c r="AH87" s="1" t="str">
        <f>IF(AND(AND(AND(AH$4&gt;='2025'!$L85,AH$4&lt;='2025'!$M85), AH$4&lt;&gt;DATE(2025,7,4)), (SWITCH(weekday(AH$4), 1, 0, 2, if(ISBLANK('2025'!$P85), 0, 1), 3, if(ISBLANK('2025'!$Q85), 0, 1), 4, if(ISBLANK('2025'!$R85), 0, 1), 5, if(ISBLANK('2025'!$S85), 0, 1), 6, if(ISBLANK('2025'!$T85), 0, 1), 7, 0))), 1, "")</f>
        <v/>
      </c>
      <c r="AI87" s="1" t="str">
        <f>IF(AND(AND(AND(AI$4&gt;='2025'!$L85,AI$4&lt;='2025'!$M85), AI$4&lt;&gt;DATE(2025,7,4)), (SWITCH(weekday(AI$4), 1, 0, 2, if(ISBLANK('2025'!$P85), 0, 1), 3, if(ISBLANK('2025'!$Q85), 0, 1), 4, if(ISBLANK('2025'!$R85), 0, 1), 5, if(ISBLANK('2025'!$S85), 0, 1), 6, if(ISBLANK('2025'!$T85), 0, 1), 7, 0))), 1, "")</f>
        <v/>
      </c>
      <c r="AJ87" s="1" t="str">
        <f>IF(AND(AND(AND(AJ$4&gt;='2025'!$L85,AJ$4&lt;='2025'!$M85), AJ$4&lt;&gt;DATE(2025,7,4)), (SWITCH(weekday(AJ$4), 1, 0, 2, if(ISBLANK('2025'!$P85), 0, 1), 3, if(ISBLANK('2025'!$Q85), 0, 1), 4, if(ISBLANK('2025'!$R85), 0, 1), 5, if(ISBLANK('2025'!$S85), 0, 1), 6, if(ISBLANK('2025'!$T85), 0, 1), 7, 0))), 1, "")</f>
        <v/>
      </c>
      <c r="AK87" s="1" t="str">
        <f>IF(AND(AND(AND(AK$4&gt;='2025'!$L85,AK$4&lt;='2025'!$M85), AK$4&lt;&gt;DATE(2025,7,4)), (SWITCH(weekday(AK$4), 1, 0, 2, if(ISBLANK('2025'!$P85), 0, 1), 3, if(ISBLANK('2025'!$Q85), 0, 1), 4, if(ISBLANK('2025'!$R85), 0, 1), 5, if(ISBLANK('2025'!$S85), 0, 1), 6, if(ISBLANK('2025'!$T85), 0, 1), 7, 0))), 1, "")</f>
        <v/>
      </c>
      <c r="AL87" s="1" t="str">
        <f>IF(AND(AND(AND(AL$4&gt;='2025'!$L85,AL$4&lt;='2025'!$M85), AL$4&lt;&gt;DATE(2025,7,4)), (SWITCH(weekday(AL$4), 1, 0, 2, if(ISBLANK('2025'!$P85), 0, 1), 3, if(ISBLANK('2025'!$Q85), 0, 1), 4, if(ISBLANK('2025'!$R85), 0, 1), 5, if(ISBLANK('2025'!$S85), 0, 1), 6, if(ISBLANK('2025'!$T85), 0, 1), 7, 0))), 1, "")</f>
        <v/>
      </c>
      <c r="AM87" s="1" t="str">
        <f>IF(AND(AND(AND(AM$4&gt;='2025'!$L85,AM$4&lt;='2025'!$M85), AM$4&lt;&gt;DATE(2025,7,4)), (SWITCH(weekday(AM$4), 1, 0, 2, if(ISBLANK('2025'!$P85), 0, 1), 3, if(ISBLANK('2025'!$Q85), 0, 1), 4, if(ISBLANK('2025'!$R85), 0, 1), 5, if(ISBLANK('2025'!$S85), 0, 1), 6, if(ISBLANK('2025'!$T85), 0, 1), 7, 0))), 1, "")</f>
        <v/>
      </c>
      <c r="AN87" s="1" t="str">
        <f>IF(AND(AND(AND(AN$4&gt;='2025'!$L85,AN$4&lt;='2025'!$M85), AN$4&lt;&gt;DATE(2025,7,4)), (SWITCH(weekday(AN$4), 1, 0, 2, if(ISBLANK('2025'!$P85), 0, 1), 3, if(ISBLANK('2025'!$Q85), 0, 1), 4, if(ISBLANK('2025'!$R85), 0, 1), 5, if(ISBLANK('2025'!$S85), 0, 1), 6, if(ISBLANK('2025'!$T85), 0, 1), 7, 0))), 1, "")</f>
        <v/>
      </c>
      <c r="AO87" s="1" t="str">
        <f>IF(AND(AND(AND(AO$4&gt;='2025'!$L85,AO$4&lt;='2025'!$M85), AO$4&lt;&gt;DATE(2025,7,4)), (SWITCH(weekday(AO$4), 1, 0, 2, if(ISBLANK('2025'!$P85), 0, 1), 3, if(ISBLANK('2025'!$Q85), 0, 1), 4, if(ISBLANK('2025'!$R85), 0, 1), 5, if(ISBLANK('2025'!$S85), 0, 1), 6, if(ISBLANK('2025'!$T85), 0, 1), 7, 0))), 1, "")</f>
        <v/>
      </c>
      <c r="AP87" s="1" t="str">
        <f>IF(AND(AND(AND(AP$4&gt;='2025'!$L85,AP$4&lt;='2025'!$M85), AP$4&lt;&gt;DATE(2025,7,4)), (SWITCH(weekday(AP$4), 1, 0, 2, if(ISBLANK('2025'!$P85), 0, 1), 3, if(ISBLANK('2025'!$Q85), 0, 1), 4, if(ISBLANK('2025'!$R85), 0, 1), 5, if(ISBLANK('2025'!$S85), 0, 1), 6, if(ISBLANK('2025'!$T85), 0, 1), 7, 0))), 1, "")</f>
        <v/>
      </c>
      <c r="AQ87" s="1" t="str">
        <f>IF(AND(AND(AND(AQ$4&gt;='2025'!$L85,AQ$4&lt;='2025'!$M85), AQ$4&lt;&gt;DATE(2025,7,4)), (SWITCH(weekday(AQ$4), 1, 0, 2, if(ISBLANK('2025'!$P85), 0, 1), 3, if(ISBLANK('2025'!$Q85), 0, 1), 4, if(ISBLANK('2025'!$R85), 0, 1), 5, if(ISBLANK('2025'!$S85), 0, 1), 6, if(ISBLANK('2025'!$T85), 0, 1), 7, 0))), 1, "")</f>
        <v/>
      </c>
      <c r="AR87" s="1" t="str">
        <f>IF(AND(AND(AND(AR$4&gt;='2025'!$L85,AR$4&lt;='2025'!$M85), AR$4&lt;&gt;DATE(2025,7,4)), (SWITCH(weekday(AR$4), 1, 0, 2, if(ISBLANK('2025'!$P85), 0, 1), 3, if(ISBLANK('2025'!$Q85), 0, 1), 4, if(ISBLANK('2025'!$R85), 0, 1), 5, if(ISBLANK('2025'!$S85), 0, 1), 6, if(ISBLANK('2025'!$T85), 0, 1), 7, 0))), 1, "")</f>
        <v/>
      </c>
      <c r="AS87" s="1" t="str">
        <f>IF(AND(AND(AND(AS$4&gt;='2025'!$L85,AS$4&lt;='2025'!$M85), AS$4&lt;&gt;DATE(2025,7,4)), (SWITCH(weekday(AS$4), 1, 0, 2, if(ISBLANK('2025'!$P85), 0, 1), 3, if(ISBLANK('2025'!$Q85), 0, 1), 4, if(ISBLANK('2025'!$R85), 0, 1), 5, if(ISBLANK('2025'!$S85), 0, 1), 6, if(ISBLANK('2025'!$T85), 0, 1), 7, 0))), 1, "")</f>
        <v/>
      </c>
      <c r="AT87" s="1" t="str">
        <f>IF(AND(AND(AND(AT$4&gt;='2025'!$L85,AT$4&lt;='2025'!$M85), AT$4&lt;&gt;DATE(2025,7,4)), (SWITCH(weekday(AT$4), 1, 0, 2, if(ISBLANK('2025'!$P85), 0, 1), 3, if(ISBLANK('2025'!$Q85), 0, 1), 4, if(ISBLANK('2025'!$R85), 0, 1), 5, if(ISBLANK('2025'!$S85), 0, 1), 6, if(ISBLANK('2025'!$T85), 0, 1), 7, 0))), 1, "")</f>
        <v/>
      </c>
      <c r="AU87" s="1" t="str">
        <f>IF(AND(AND(AND(AU$4&gt;='2025'!$L85,AU$4&lt;='2025'!$M85), AU$4&lt;&gt;DATE(2025,7,4)), (SWITCH(weekday(AU$4), 1, 0, 2, if(ISBLANK('2025'!$P85), 0, 1), 3, if(ISBLANK('2025'!$Q85), 0, 1), 4, if(ISBLANK('2025'!$R85), 0, 1), 5, if(ISBLANK('2025'!$S85), 0, 1), 6, if(ISBLANK('2025'!$T85), 0, 1), 7, 0))), 1, "")</f>
        <v/>
      </c>
      <c r="AV87" s="1" t="str">
        <f>IF(AND(AND(AND(AV$4&gt;='2025'!$L85,AV$4&lt;='2025'!$M85), AV$4&lt;&gt;DATE(2025,7,4)), (SWITCH(weekday(AV$4), 1, 0, 2, if(ISBLANK('2025'!$P85), 0, 1), 3, if(ISBLANK('2025'!$Q85), 0, 1), 4, if(ISBLANK('2025'!$R85), 0, 1), 5, if(ISBLANK('2025'!$S85), 0, 1), 6, if(ISBLANK('2025'!$T85), 0, 1), 7, 0))), 1, "")</f>
        <v/>
      </c>
      <c r="AW87" s="1" t="str">
        <f>IF(AND(AND(AND(AW$4&gt;='2025'!$L85,AW$4&lt;='2025'!$M85), AW$4&lt;&gt;DATE(2025,7,4)), (SWITCH(weekday(AW$4), 1, 0, 2, if(ISBLANK('2025'!$P85), 0, 1), 3, if(ISBLANK('2025'!$Q85), 0, 1), 4, if(ISBLANK('2025'!$R85), 0, 1), 5, if(ISBLANK('2025'!$S85), 0, 1), 6, if(ISBLANK('2025'!$T85), 0, 1), 7, 0))), 1, "")</f>
        <v/>
      </c>
      <c r="AX87" s="1" t="str">
        <f>IF(AND(AND(AND(AX$4&gt;='2025'!$L85,AX$4&lt;='2025'!$M85), AX$4&lt;&gt;DATE(2025,7,4)), (SWITCH(weekday(AX$4), 1, 0, 2, if(ISBLANK('2025'!$P85), 0, 1), 3, if(ISBLANK('2025'!$Q85), 0, 1), 4, if(ISBLANK('2025'!$R85), 0, 1), 5, if(ISBLANK('2025'!$S85), 0, 1), 6, if(ISBLANK('2025'!$T85), 0, 1), 7, 0))), 1, "")</f>
        <v/>
      </c>
      <c r="AY87" s="1" t="str">
        <f>IF(AND(AND(AND(AY$4&gt;='2025'!$L85,AY$4&lt;='2025'!$M85), AY$4&lt;&gt;DATE(2025,7,4)), (SWITCH(weekday(AY$4), 1, 0, 2, if(ISBLANK('2025'!$P85), 0, 1), 3, if(ISBLANK('2025'!$Q85), 0, 1), 4, if(ISBLANK('2025'!$R85), 0, 1), 5, if(ISBLANK('2025'!$S85), 0, 1), 6, if(ISBLANK('2025'!$T85), 0, 1), 7, 0))), 1, "")</f>
        <v/>
      </c>
      <c r="AZ87" s="1" t="str">
        <f>IF(AND(AND(AND(AZ$4&gt;='2025'!$L85,AZ$4&lt;='2025'!$M85), AZ$4&lt;&gt;DATE(2025,7,4)), (SWITCH(weekday(AZ$4), 1, 0, 2, if(ISBLANK('2025'!$P85), 0, 1), 3, if(ISBLANK('2025'!$Q85), 0, 1), 4, if(ISBLANK('2025'!$R85), 0, 1), 5, if(ISBLANK('2025'!$S85), 0, 1), 6, if(ISBLANK('2025'!$T85), 0, 1), 7, 0))), 1, "")</f>
        <v/>
      </c>
      <c r="BA87" s="1" t="str">
        <f>IF(AND(AND(AND(BA$4&gt;='2025'!$L85,BA$4&lt;='2025'!$M85), BA$4&lt;&gt;DATE(2025,7,4)), (SWITCH(weekday(BA$4), 1, 0, 2, if(ISBLANK('2025'!$P85), 0, 1), 3, if(ISBLANK('2025'!$Q85), 0, 1), 4, if(ISBLANK('2025'!$R85), 0, 1), 5, if(ISBLANK('2025'!$S85), 0, 1), 6, if(ISBLANK('2025'!$T85), 0, 1), 7, 0))), 1, "")</f>
        <v/>
      </c>
      <c r="BB87" s="1" t="str">
        <f>IF(AND(AND(AND(BB$4&gt;='2025'!$L85,BB$4&lt;='2025'!$M85), BB$4&lt;&gt;DATE(2025,7,4)), (SWITCH(weekday(BB$4), 1, 0, 2, if(ISBLANK('2025'!$P85), 0, 1), 3, if(ISBLANK('2025'!$Q85), 0, 1), 4, if(ISBLANK('2025'!$R85), 0, 1), 5, if(ISBLANK('2025'!$S85), 0, 1), 6, if(ISBLANK('2025'!$T85), 0, 1), 7, 0))), 1, "")</f>
        <v/>
      </c>
      <c r="BC87" s="1" t="str">
        <f>IF(AND(AND(AND(BC$4&gt;='2025'!$L85,BC$4&lt;='2025'!$M85), BC$4&lt;&gt;DATE(2025,7,4)), (SWITCH(weekday(BC$4), 1, 0, 2, if(ISBLANK('2025'!$P85), 0, 1), 3, if(ISBLANK('2025'!$Q85), 0, 1), 4, if(ISBLANK('2025'!$R85), 0, 1), 5, if(ISBLANK('2025'!$S85), 0, 1), 6, if(ISBLANK('2025'!$T85), 0, 1), 7, 0))), 1, "")</f>
        <v/>
      </c>
      <c r="BD87" s="1" t="str">
        <f>IF(AND(AND(AND(BD$4&gt;='2025'!$L85,BD$4&lt;='2025'!$M85), BD$4&lt;&gt;DATE(2025,7,4)), (SWITCH(weekday(BD$4), 1, 0, 2, if(ISBLANK('2025'!$P85), 0, 1), 3, if(ISBLANK('2025'!$Q85), 0, 1), 4, if(ISBLANK('2025'!$R85), 0, 1), 5, if(ISBLANK('2025'!$S85), 0, 1), 6, if(ISBLANK('2025'!$T85), 0, 1), 7, 0))), 1, "")</f>
        <v/>
      </c>
      <c r="BE87" s="1" t="str">
        <f>IF(AND(AND(AND(BE$4&gt;='2025'!$L85,BE$4&lt;='2025'!$M85), BE$4&lt;&gt;DATE(2025,7,4)), (SWITCH(weekday(BE$4), 1, 0, 2, if(ISBLANK('2025'!$P85), 0, 1), 3, if(ISBLANK('2025'!$Q85), 0, 1), 4, if(ISBLANK('2025'!$R85), 0, 1), 5, if(ISBLANK('2025'!$S85), 0, 1), 6, if(ISBLANK('2025'!$T85), 0, 1), 7, 0))), 1, "")</f>
        <v/>
      </c>
      <c r="BF87" s="1" t="str">
        <f>IF(AND(AND(AND(BF$4&gt;='2025'!$L85,BF$4&lt;='2025'!$M85), BF$4&lt;&gt;DATE(2025,7,4)), (SWITCH(weekday(BF$4), 1, 0, 2, if(ISBLANK('2025'!$P85), 0, 1), 3, if(ISBLANK('2025'!$Q85), 0, 1), 4, if(ISBLANK('2025'!$R85), 0, 1), 5, if(ISBLANK('2025'!$S85), 0, 1), 6, if(ISBLANK('2025'!$T85), 0, 1), 7, 0))), 1, "")</f>
        <v/>
      </c>
      <c r="BG87" s="1"/>
      <c r="BH87" s="1"/>
      <c r="BI87" s="1"/>
      <c r="BJ87" s="1"/>
      <c r="BK87" s="1"/>
      <c r="BL87" s="1"/>
    </row>
    <row r="88">
      <c r="A88" s="1">
        <f t="shared" si="3"/>
        <v>88</v>
      </c>
      <c r="B88" s="1" t="str">
        <f>'2025'!D52</f>
        <v>campbell , george </v>
      </c>
      <c r="C88" s="1" t="str">
        <f>'2025'!H52</f>
        <v>PK3</v>
      </c>
      <c r="D88" s="1" t="str">
        <f>IF(AND(AND(AND(D$4&gt;='2025'!$L86,D$4&lt;='2025'!$M86), D$4&lt;&gt;DATE(2025,7,4)), (SWITCH(weekday(D$4), 1, 0, 2, if(ISBLANK('2025'!$P86), 0, 1), 3, if(ISBLANK('2025'!$Q86), 0, 1), 4, if(ISBLANK('2025'!$R86), 0, 1), 5, if(ISBLANK('2025'!$S86), 0, 1), 6, if(ISBLANK('2025'!$T86), 0, 1), 7, 0))), 1, "")</f>
        <v/>
      </c>
      <c r="E88" s="1" t="str">
        <f>IF(AND(AND(AND(E$4&gt;='2025'!$L86,E$4&lt;='2025'!$M86), E$4&lt;&gt;DATE(2025,7,4)), (SWITCH(weekday(E$4), 1, 0, 2, if(ISBLANK('2025'!$P86), 0, 1), 3, if(ISBLANK('2025'!$Q86), 0, 1), 4, if(ISBLANK('2025'!$R86), 0, 1), 5, if(ISBLANK('2025'!$S86), 0, 1), 6, if(ISBLANK('2025'!$T86), 0, 1), 7, 0))), 1, "")</f>
        <v/>
      </c>
      <c r="F88" s="1" t="str">
        <f>IF(AND(AND(AND(F$4&gt;='2025'!$L86,F$4&lt;='2025'!$M86), F$4&lt;&gt;DATE(2025,7,4)), (SWITCH(weekday(F$4), 1, 0, 2, if(ISBLANK('2025'!$P86), 0, 1), 3, if(ISBLANK('2025'!$Q86), 0, 1), 4, if(ISBLANK('2025'!$R86), 0, 1), 5, if(ISBLANK('2025'!$S86), 0, 1), 6, if(ISBLANK('2025'!$T86), 0, 1), 7, 0))), 1, "")</f>
        <v/>
      </c>
      <c r="G88" s="1" t="str">
        <f>IF(AND(AND(AND(G$4&gt;='2025'!$L86,G$4&lt;='2025'!$M86), G$4&lt;&gt;DATE(2025,7,4)), (SWITCH(weekday(G$4), 1, 0, 2, if(ISBLANK('2025'!$P86), 0, 1), 3, if(ISBLANK('2025'!$Q86), 0, 1), 4, if(ISBLANK('2025'!$R86), 0, 1), 5, if(ISBLANK('2025'!$S86), 0, 1), 6, if(ISBLANK('2025'!$T86), 0, 1), 7, 0))), 1, "")</f>
        <v/>
      </c>
      <c r="H88" s="1" t="str">
        <f>IF(AND(AND(AND(H$4&gt;='2025'!$L86,H$4&lt;='2025'!$M86), H$4&lt;&gt;DATE(2025,7,4)), (SWITCH(weekday(H$4), 1, 0, 2, if(ISBLANK('2025'!$P86), 0, 1), 3, if(ISBLANK('2025'!$Q86), 0, 1), 4, if(ISBLANK('2025'!$R86), 0, 1), 5, if(ISBLANK('2025'!$S86), 0, 1), 6, if(ISBLANK('2025'!$T86), 0, 1), 7, 0))), 1, "")</f>
        <v/>
      </c>
      <c r="I88" s="1" t="str">
        <f>IF(AND(AND(AND(I$4&gt;='2025'!$L86,I$4&lt;='2025'!$M86), I$4&lt;&gt;DATE(2025,7,4)), (SWITCH(weekday(I$4), 1, 0, 2, if(ISBLANK('2025'!$P86), 0, 1), 3, if(ISBLANK('2025'!$Q86), 0, 1), 4, if(ISBLANK('2025'!$R86), 0, 1), 5, if(ISBLANK('2025'!$S86), 0, 1), 6, if(ISBLANK('2025'!$T86), 0, 1), 7, 0))), 1, "")</f>
        <v/>
      </c>
      <c r="J88" s="1" t="str">
        <f>IF(AND(AND(AND(J$4&gt;='2025'!$L86,J$4&lt;='2025'!$M86), J$4&lt;&gt;DATE(2025,7,4)), (SWITCH(weekday(J$4), 1, 0, 2, if(ISBLANK('2025'!$P86), 0, 1), 3, if(ISBLANK('2025'!$Q86), 0, 1), 4, if(ISBLANK('2025'!$R86), 0, 1), 5, if(ISBLANK('2025'!$S86), 0, 1), 6, if(ISBLANK('2025'!$T86), 0, 1), 7, 0))), 1, "")</f>
        <v/>
      </c>
      <c r="K88" s="1" t="str">
        <f>IF(AND(AND(AND(K$4&gt;='2025'!$L86,K$4&lt;='2025'!$M86), K$4&lt;&gt;DATE(2025,7,4)), (SWITCH(weekday(K$4), 1, 0, 2, if(ISBLANK('2025'!$P86), 0, 1), 3, if(ISBLANK('2025'!$Q86), 0, 1), 4, if(ISBLANK('2025'!$R86), 0, 1), 5, if(ISBLANK('2025'!$S86), 0, 1), 6, if(ISBLANK('2025'!$T86), 0, 1), 7, 0))), 1, "")</f>
        <v/>
      </c>
      <c r="L88" s="1" t="str">
        <f>IF(AND(AND(AND(L$4&gt;='2025'!$L86,L$4&lt;='2025'!$M86), L$4&lt;&gt;DATE(2025,7,4)), (SWITCH(weekday(L$4), 1, 0, 2, if(ISBLANK('2025'!$P86), 0, 1), 3, if(ISBLANK('2025'!$Q86), 0, 1), 4, if(ISBLANK('2025'!$R86), 0, 1), 5, if(ISBLANK('2025'!$S86), 0, 1), 6, if(ISBLANK('2025'!$T86), 0, 1), 7, 0))), 1, "")</f>
        <v/>
      </c>
      <c r="M88" s="1" t="str">
        <f>IF(AND(AND(AND(M$4&gt;='2025'!$L86,M$4&lt;='2025'!$M86), M$4&lt;&gt;DATE(2025,7,4)), (SWITCH(weekday(M$4), 1, 0, 2, if(ISBLANK('2025'!$P86), 0, 1), 3, if(ISBLANK('2025'!$Q86), 0, 1), 4, if(ISBLANK('2025'!$R86), 0, 1), 5, if(ISBLANK('2025'!$S86), 0, 1), 6, if(ISBLANK('2025'!$T86), 0, 1), 7, 0))), 1, "")</f>
        <v/>
      </c>
      <c r="N88" s="1" t="str">
        <f>IF(AND(AND(AND(N$4&gt;='2025'!$L86,N$4&lt;='2025'!$M86), N$4&lt;&gt;DATE(2025,7,4)), (SWITCH(weekday(N$4), 1, 0, 2, if(ISBLANK('2025'!$P86), 0, 1), 3, if(ISBLANK('2025'!$Q86), 0, 1), 4, if(ISBLANK('2025'!$R86), 0, 1), 5, if(ISBLANK('2025'!$S86), 0, 1), 6, if(ISBLANK('2025'!$T86), 0, 1), 7, 0))), 1, "")</f>
        <v/>
      </c>
      <c r="O88" s="1" t="str">
        <f>IF(AND(AND(AND(O$4&gt;='2025'!$L86,O$4&lt;='2025'!$M86), O$4&lt;&gt;DATE(2025,7,4)), (SWITCH(weekday(O$4), 1, 0, 2, if(ISBLANK('2025'!$P86), 0, 1), 3, if(ISBLANK('2025'!$Q86), 0, 1), 4, if(ISBLANK('2025'!$R86), 0, 1), 5, if(ISBLANK('2025'!$S86), 0, 1), 6, if(ISBLANK('2025'!$T86), 0, 1), 7, 0))), 1, "")</f>
        <v/>
      </c>
      <c r="P88" s="1" t="str">
        <f>IF(AND(AND(AND(P$4&gt;='2025'!$L86,P$4&lt;='2025'!$M86), P$4&lt;&gt;DATE(2025,7,4)), (SWITCH(weekday(P$4), 1, 0, 2, if(ISBLANK('2025'!$P86), 0, 1), 3, if(ISBLANK('2025'!$Q86), 0, 1), 4, if(ISBLANK('2025'!$R86), 0, 1), 5, if(ISBLANK('2025'!$S86), 0, 1), 6, if(ISBLANK('2025'!$T86), 0, 1), 7, 0))), 1, "")</f>
        <v/>
      </c>
      <c r="Q88" s="1" t="str">
        <f>IF(AND(AND(AND(Q$4&gt;='2025'!$L86,Q$4&lt;='2025'!$M86), Q$4&lt;&gt;DATE(2025,7,4)), (SWITCH(weekday(Q$4), 1, 0, 2, if(ISBLANK('2025'!$P86), 0, 1), 3, if(ISBLANK('2025'!$Q86), 0, 1), 4, if(ISBLANK('2025'!$R86), 0, 1), 5, if(ISBLANK('2025'!$S86), 0, 1), 6, if(ISBLANK('2025'!$T86), 0, 1), 7, 0))), 1, "")</f>
        <v/>
      </c>
      <c r="R88" s="1" t="str">
        <f>IF(AND(AND(AND(R$4&gt;='2025'!$L86,R$4&lt;='2025'!$M86), R$4&lt;&gt;DATE(2025,7,4)), (SWITCH(weekday(R$4), 1, 0, 2, if(ISBLANK('2025'!$P86), 0, 1), 3, if(ISBLANK('2025'!$Q86), 0, 1), 4, if(ISBLANK('2025'!$R86), 0, 1), 5, if(ISBLANK('2025'!$S86), 0, 1), 6, if(ISBLANK('2025'!$T86), 0, 1), 7, 0))), 1, "")</f>
        <v/>
      </c>
      <c r="S88" s="1" t="str">
        <f>IF(AND(AND(AND(S$4&gt;='2025'!$L86,S$4&lt;='2025'!$M86), S$4&lt;&gt;DATE(2025,7,4)), (SWITCH(weekday(S$4), 1, 0, 2, if(ISBLANK('2025'!$P86), 0, 1), 3, if(ISBLANK('2025'!$Q86), 0, 1), 4, if(ISBLANK('2025'!$R86), 0, 1), 5, if(ISBLANK('2025'!$S86), 0, 1), 6, if(ISBLANK('2025'!$T86), 0, 1), 7, 0))), 1, "")</f>
        <v/>
      </c>
      <c r="T88" s="1" t="str">
        <f>IF(AND(AND(AND(T$4&gt;='2025'!$L86,T$4&lt;='2025'!$M86), T$4&lt;&gt;DATE(2025,7,4)), (SWITCH(weekday(T$4), 1, 0, 2, if(ISBLANK('2025'!$P86), 0, 1), 3, if(ISBLANK('2025'!$Q86), 0, 1), 4, if(ISBLANK('2025'!$R86), 0, 1), 5, if(ISBLANK('2025'!$S86), 0, 1), 6, if(ISBLANK('2025'!$T86), 0, 1), 7, 0))), 1, "")</f>
        <v/>
      </c>
      <c r="U88" s="1" t="str">
        <f>IF(AND(AND(AND(U$4&gt;='2025'!$L86,U$4&lt;='2025'!$M86), U$4&lt;&gt;DATE(2025,7,4)), (SWITCH(weekday(U$4), 1, 0, 2, if(ISBLANK('2025'!$P86), 0, 1), 3, if(ISBLANK('2025'!$Q86), 0, 1), 4, if(ISBLANK('2025'!$R86), 0, 1), 5, if(ISBLANK('2025'!$S86), 0, 1), 6, if(ISBLANK('2025'!$T86), 0, 1), 7, 0))), 1, "")</f>
        <v/>
      </c>
      <c r="V88" s="1" t="str">
        <f>IF(AND(AND(AND(V$4&gt;='2025'!$L86,V$4&lt;='2025'!$M86), V$4&lt;&gt;DATE(2025,7,4)), (SWITCH(weekday(V$4), 1, 0, 2, if(ISBLANK('2025'!$P86), 0, 1), 3, if(ISBLANK('2025'!$Q86), 0, 1), 4, if(ISBLANK('2025'!$R86), 0, 1), 5, if(ISBLANK('2025'!$S86), 0, 1), 6, if(ISBLANK('2025'!$T86), 0, 1), 7, 0))), 1, "")</f>
        <v/>
      </c>
      <c r="W88" s="1" t="str">
        <f>IF(AND(AND(AND(W$4&gt;='2025'!$L86,W$4&lt;='2025'!$M86), W$4&lt;&gt;DATE(2025,7,4)), (SWITCH(weekday(W$4), 1, 0, 2, if(ISBLANK('2025'!$P86), 0, 1), 3, if(ISBLANK('2025'!$Q86), 0, 1), 4, if(ISBLANK('2025'!$R86), 0, 1), 5, if(ISBLANK('2025'!$S86), 0, 1), 6, if(ISBLANK('2025'!$T86), 0, 1), 7, 0))), 1, "")</f>
        <v/>
      </c>
      <c r="X88" s="1" t="str">
        <f>IF(AND(AND(AND(X$4&gt;='2025'!$L86,X$4&lt;='2025'!$M86), X$4&lt;&gt;DATE(2025,7,4)), (SWITCH(weekday(X$4), 1, 0, 2, if(ISBLANK('2025'!$P86), 0, 1), 3, if(ISBLANK('2025'!$Q86), 0, 1), 4, if(ISBLANK('2025'!$R86), 0, 1), 5, if(ISBLANK('2025'!$S86), 0, 1), 6, if(ISBLANK('2025'!$T86), 0, 1), 7, 0))), 1, "")</f>
        <v/>
      </c>
      <c r="Y88" s="1" t="str">
        <f>IF(AND(AND(AND(Y$4&gt;='2025'!$L86,Y$4&lt;='2025'!$M86), Y$4&lt;&gt;DATE(2025,7,4)), (SWITCH(weekday(Y$4), 1, 0, 2, if(ISBLANK('2025'!$P86), 0, 1), 3, if(ISBLANK('2025'!$Q86), 0, 1), 4, if(ISBLANK('2025'!$R86), 0, 1), 5, if(ISBLANK('2025'!$S86), 0, 1), 6, if(ISBLANK('2025'!$T86), 0, 1), 7, 0))), 1, "")</f>
        <v/>
      </c>
      <c r="Z88" s="1" t="str">
        <f>IF(AND(AND(AND(Z$4&gt;='2025'!$L86,Z$4&lt;='2025'!$M86), Z$4&lt;&gt;DATE(2025,7,4)), (SWITCH(weekday(Z$4), 1, 0, 2, if(ISBLANK('2025'!$P86), 0, 1), 3, if(ISBLANK('2025'!$Q86), 0, 1), 4, if(ISBLANK('2025'!$R86), 0, 1), 5, if(ISBLANK('2025'!$S86), 0, 1), 6, if(ISBLANK('2025'!$T86), 0, 1), 7, 0))), 1, "")</f>
        <v/>
      </c>
      <c r="AA88" s="1" t="str">
        <f>IF(AND(AND(AND(AA$4&gt;='2025'!$L86,AA$4&lt;='2025'!$M86), AA$4&lt;&gt;DATE(2025,7,4)), (SWITCH(weekday(AA$4), 1, 0, 2, if(ISBLANK('2025'!$P86), 0, 1), 3, if(ISBLANK('2025'!$Q86), 0, 1), 4, if(ISBLANK('2025'!$R86), 0, 1), 5, if(ISBLANK('2025'!$S86), 0, 1), 6, if(ISBLANK('2025'!$T86), 0, 1), 7, 0))), 1, "")</f>
        <v/>
      </c>
      <c r="AB88" s="1" t="str">
        <f>IF(AND(AND(AND(AB$4&gt;='2025'!$L86,AB$4&lt;='2025'!$M86), AB$4&lt;&gt;DATE(2025,7,4)), (SWITCH(weekday(AB$4), 1, 0, 2, if(ISBLANK('2025'!$P86), 0, 1), 3, if(ISBLANK('2025'!$Q86), 0, 1), 4, if(ISBLANK('2025'!$R86), 0, 1), 5, if(ISBLANK('2025'!$S86), 0, 1), 6, if(ISBLANK('2025'!$T86), 0, 1), 7, 0))), 1, "")</f>
        <v/>
      </c>
      <c r="AC88" s="1" t="str">
        <f>IF(AND(AND(AND(AC$4&gt;='2025'!$L86,AC$4&lt;='2025'!$M86), AC$4&lt;&gt;DATE(2025,7,4)), (SWITCH(weekday(AC$4), 1, 0, 2, if(ISBLANK('2025'!$P86), 0, 1), 3, if(ISBLANK('2025'!$Q86), 0, 1), 4, if(ISBLANK('2025'!$R86), 0, 1), 5, if(ISBLANK('2025'!$S86), 0, 1), 6, if(ISBLANK('2025'!$T86), 0, 1), 7, 0))), 1, "")</f>
        <v/>
      </c>
      <c r="AD88" s="1" t="str">
        <f>IF(AND(AND(AND(AD$4&gt;='2025'!$L86,AD$4&lt;='2025'!$M86), AD$4&lt;&gt;DATE(2025,7,4)), (SWITCH(weekday(AD$4), 1, 0, 2, if(ISBLANK('2025'!$P86), 0, 1), 3, if(ISBLANK('2025'!$Q86), 0, 1), 4, if(ISBLANK('2025'!$R86), 0, 1), 5, if(ISBLANK('2025'!$S86), 0, 1), 6, if(ISBLANK('2025'!$T86), 0, 1), 7, 0))), 1, "")</f>
        <v/>
      </c>
      <c r="AE88" s="1" t="str">
        <f>IF(AND(AND(AND(AE$4&gt;='2025'!$L86,AE$4&lt;='2025'!$M86), AE$4&lt;&gt;DATE(2025,7,4)), (SWITCH(weekday(AE$4), 1, 0, 2, if(ISBLANK('2025'!$P86), 0, 1), 3, if(ISBLANK('2025'!$Q86), 0, 1), 4, if(ISBLANK('2025'!$R86), 0, 1), 5, if(ISBLANK('2025'!$S86), 0, 1), 6, if(ISBLANK('2025'!$T86), 0, 1), 7, 0))), 1, "")</f>
        <v/>
      </c>
      <c r="AF88" s="1" t="str">
        <f>IF(AND(AND(AND(AF$4&gt;='2025'!$L86,AF$4&lt;='2025'!$M86), AF$4&lt;&gt;DATE(2025,7,4)), (SWITCH(weekday(AF$4), 1, 0, 2, if(ISBLANK('2025'!$P86), 0, 1), 3, if(ISBLANK('2025'!$Q86), 0, 1), 4, if(ISBLANK('2025'!$R86), 0, 1), 5, if(ISBLANK('2025'!$S86), 0, 1), 6, if(ISBLANK('2025'!$T86), 0, 1), 7, 0))), 1, "")</f>
        <v/>
      </c>
      <c r="AG88" s="1" t="str">
        <f>IF(AND(AND(AND(AG$4&gt;='2025'!$L86,AG$4&lt;='2025'!$M86), AG$4&lt;&gt;DATE(2025,7,4)), (SWITCH(weekday(AG$4), 1, 0, 2, if(ISBLANK('2025'!$P86), 0, 1), 3, if(ISBLANK('2025'!$Q86), 0, 1), 4, if(ISBLANK('2025'!$R86), 0, 1), 5, if(ISBLANK('2025'!$S86), 0, 1), 6, if(ISBLANK('2025'!$T86), 0, 1), 7, 0))), 1, "")</f>
        <v/>
      </c>
      <c r="AH88" s="1" t="str">
        <f>IF(AND(AND(AND(AH$4&gt;='2025'!$L86,AH$4&lt;='2025'!$M86), AH$4&lt;&gt;DATE(2025,7,4)), (SWITCH(weekday(AH$4), 1, 0, 2, if(ISBLANK('2025'!$P86), 0, 1), 3, if(ISBLANK('2025'!$Q86), 0, 1), 4, if(ISBLANK('2025'!$R86), 0, 1), 5, if(ISBLANK('2025'!$S86), 0, 1), 6, if(ISBLANK('2025'!$T86), 0, 1), 7, 0))), 1, "")</f>
        <v/>
      </c>
      <c r="AI88" s="1" t="str">
        <f>IF(AND(AND(AND(AI$4&gt;='2025'!$L86,AI$4&lt;='2025'!$M86), AI$4&lt;&gt;DATE(2025,7,4)), (SWITCH(weekday(AI$4), 1, 0, 2, if(ISBLANK('2025'!$P86), 0, 1), 3, if(ISBLANK('2025'!$Q86), 0, 1), 4, if(ISBLANK('2025'!$R86), 0, 1), 5, if(ISBLANK('2025'!$S86), 0, 1), 6, if(ISBLANK('2025'!$T86), 0, 1), 7, 0))), 1, "")</f>
        <v/>
      </c>
      <c r="AJ88" s="1" t="str">
        <f>IF(AND(AND(AND(AJ$4&gt;='2025'!$L86,AJ$4&lt;='2025'!$M86), AJ$4&lt;&gt;DATE(2025,7,4)), (SWITCH(weekday(AJ$4), 1, 0, 2, if(ISBLANK('2025'!$P86), 0, 1), 3, if(ISBLANK('2025'!$Q86), 0, 1), 4, if(ISBLANK('2025'!$R86), 0, 1), 5, if(ISBLANK('2025'!$S86), 0, 1), 6, if(ISBLANK('2025'!$T86), 0, 1), 7, 0))), 1, "")</f>
        <v/>
      </c>
      <c r="AK88" s="1" t="str">
        <f>IF(AND(AND(AND(AK$4&gt;='2025'!$L86,AK$4&lt;='2025'!$M86), AK$4&lt;&gt;DATE(2025,7,4)), (SWITCH(weekday(AK$4), 1, 0, 2, if(ISBLANK('2025'!$P86), 0, 1), 3, if(ISBLANK('2025'!$Q86), 0, 1), 4, if(ISBLANK('2025'!$R86), 0, 1), 5, if(ISBLANK('2025'!$S86), 0, 1), 6, if(ISBLANK('2025'!$T86), 0, 1), 7, 0))), 1, "")</f>
        <v/>
      </c>
      <c r="AL88" s="1" t="str">
        <f>IF(AND(AND(AND(AL$4&gt;='2025'!$L86,AL$4&lt;='2025'!$M86), AL$4&lt;&gt;DATE(2025,7,4)), (SWITCH(weekday(AL$4), 1, 0, 2, if(ISBLANK('2025'!$P86), 0, 1), 3, if(ISBLANK('2025'!$Q86), 0, 1), 4, if(ISBLANK('2025'!$R86), 0, 1), 5, if(ISBLANK('2025'!$S86), 0, 1), 6, if(ISBLANK('2025'!$T86), 0, 1), 7, 0))), 1, "")</f>
        <v/>
      </c>
      <c r="AM88" s="1" t="str">
        <f>IF(AND(AND(AND(AM$4&gt;='2025'!$L86,AM$4&lt;='2025'!$M86), AM$4&lt;&gt;DATE(2025,7,4)), (SWITCH(weekday(AM$4), 1, 0, 2, if(ISBLANK('2025'!$P86), 0, 1), 3, if(ISBLANK('2025'!$Q86), 0, 1), 4, if(ISBLANK('2025'!$R86), 0, 1), 5, if(ISBLANK('2025'!$S86), 0, 1), 6, if(ISBLANK('2025'!$T86), 0, 1), 7, 0))), 1, "")</f>
        <v/>
      </c>
      <c r="AN88" s="1" t="str">
        <f>IF(AND(AND(AND(AN$4&gt;='2025'!$L86,AN$4&lt;='2025'!$M86), AN$4&lt;&gt;DATE(2025,7,4)), (SWITCH(weekday(AN$4), 1, 0, 2, if(ISBLANK('2025'!$P86), 0, 1), 3, if(ISBLANK('2025'!$Q86), 0, 1), 4, if(ISBLANK('2025'!$R86), 0, 1), 5, if(ISBLANK('2025'!$S86), 0, 1), 6, if(ISBLANK('2025'!$T86), 0, 1), 7, 0))), 1, "")</f>
        <v/>
      </c>
      <c r="AO88" s="1" t="str">
        <f>IF(AND(AND(AND(AO$4&gt;='2025'!$L86,AO$4&lt;='2025'!$M86), AO$4&lt;&gt;DATE(2025,7,4)), (SWITCH(weekday(AO$4), 1, 0, 2, if(ISBLANK('2025'!$P86), 0, 1), 3, if(ISBLANK('2025'!$Q86), 0, 1), 4, if(ISBLANK('2025'!$R86), 0, 1), 5, if(ISBLANK('2025'!$S86), 0, 1), 6, if(ISBLANK('2025'!$T86), 0, 1), 7, 0))), 1, "")</f>
        <v/>
      </c>
      <c r="AP88" s="1" t="str">
        <f>IF(AND(AND(AND(AP$4&gt;='2025'!$L86,AP$4&lt;='2025'!$M86), AP$4&lt;&gt;DATE(2025,7,4)), (SWITCH(weekday(AP$4), 1, 0, 2, if(ISBLANK('2025'!$P86), 0, 1), 3, if(ISBLANK('2025'!$Q86), 0, 1), 4, if(ISBLANK('2025'!$R86), 0, 1), 5, if(ISBLANK('2025'!$S86), 0, 1), 6, if(ISBLANK('2025'!$T86), 0, 1), 7, 0))), 1, "")</f>
        <v/>
      </c>
      <c r="AQ88" s="1" t="str">
        <f>IF(AND(AND(AND(AQ$4&gt;='2025'!$L86,AQ$4&lt;='2025'!$M86), AQ$4&lt;&gt;DATE(2025,7,4)), (SWITCH(weekday(AQ$4), 1, 0, 2, if(ISBLANK('2025'!$P86), 0, 1), 3, if(ISBLANK('2025'!$Q86), 0, 1), 4, if(ISBLANK('2025'!$R86), 0, 1), 5, if(ISBLANK('2025'!$S86), 0, 1), 6, if(ISBLANK('2025'!$T86), 0, 1), 7, 0))), 1, "")</f>
        <v/>
      </c>
      <c r="AR88" s="1" t="str">
        <f>IF(AND(AND(AND(AR$4&gt;='2025'!$L86,AR$4&lt;='2025'!$M86), AR$4&lt;&gt;DATE(2025,7,4)), (SWITCH(weekday(AR$4), 1, 0, 2, if(ISBLANK('2025'!$P86), 0, 1), 3, if(ISBLANK('2025'!$Q86), 0, 1), 4, if(ISBLANK('2025'!$R86), 0, 1), 5, if(ISBLANK('2025'!$S86), 0, 1), 6, if(ISBLANK('2025'!$T86), 0, 1), 7, 0))), 1, "")</f>
        <v/>
      </c>
      <c r="AS88" s="1" t="str">
        <f>IF(AND(AND(AND(AS$4&gt;='2025'!$L86,AS$4&lt;='2025'!$M86), AS$4&lt;&gt;DATE(2025,7,4)), (SWITCH(weekday(AS$4), 1, 0, 2, if(ISBLANK('2025'!$P86), 0, 1), 3, if(ISBLANK('2025'!$Q86), 0, 1), 4, if(ISBLANK('2025'!$R86), 0, 1), 5, if(ISBLANK('2025'!$S86), 0, 1), 6, if(ISBLANK('2025'!$T86), 0, 1), 7, 0))), 1, "")</f>
        <v/>
      </c>
      <c r="AT88" s="1" t="str">
        <f>IF(AND(AND(AND(AT$4&gt;='2025'!$L86,AT$4&lt;='2025'!$M86), AT$4&lt;&gt;DATE(2025,7,4)), (SWITCH(weekday(AT$4), 1, 0, 2, if(ISBLANK('2025'!$P86), 0, 1), 3, if(ISBLANK('2025'!$Q86), 0, 1), 4, if(ISBLANK('2025'!$R86), 0, 1), 5, if(ISBLANK('2025'!$S86), 0, 1), 6, if(ISBLANK('2025'!$T86), 0, 1), 7, 0))), 1, "")</f>
        <v/>
      </c>
      <c r="AU88" s="1" t="str">
        <f>IF(AND(AND(AND(AU$4&gt;='2025'!$L86,AU$4&lt;='2025'!$M86), AU$4&lt;&gt;DATE(2025,7,4)), (SWITCH(weekday(AU$4), 1, 0, 2, if(ISBLANK('2025'!$P86), 0, 1), 3, if(ISBLANK('2025'!$Q86), 0, 1), 4, if(ISBLANK('2025'!$R86), 0, 1), 5, if(ISBLANK('2025'!$S86), 0, 1), 6, if(ISBLANK('2025'!$T86), 0, 1), 7, 0))), 1, "")</f>
        <v/>
      </c>
      <c r="AV88" s="1" t="str">
        <f>IF(AND(AND(AND(AV$4&gt;='2025'!$L86,AV$4&lt;='2025'!$M86), AV$4&lt;&gt;DATE(2025,7,4)), (SWITCH(weekday(AV$4), 1, 0, 2, if(ISBLANK('2025'!$P86), 0, 1), 3, if(ISBLANK('2025'!$Q86), 0, 1), 4, if(ISBLANK('2025'!$R86), 0, 1), 5, if(ISBLANK('2025'!$S86), 0, 1), 6, if(ISBLANK('2025'!$T86), 0, 1), 7, 0))), 1, "")</f>
        <v/>
      </c>
      <c r="AW88" s="1" t="str">
        <f>IF(AND(AND(AND(AW$4&gt;='2025'!$L86,AW$4&lt;='2025'!$M86), AW$4&lt;&gt;DATE(2025,7,4)), (SWITCH(weekday(AW$4), 1, 0, 2, if(ISBLANK('2025'!$P86), 0, 1), 3, if(ISBLANK('2025'!$Q86), 0, 1), 4, if(ISBLANK('2025'!$R86), 0, 1), 5, if(ISBLANK('2025'!$S86), 0, 1), 6, if(ISBLANK('2025'!$T86), 0, 1), 7, 0))), 1, "")</f>
        <v/>
      </c>
      <c r="AX88" s="1" t="str">
        <f>IF(AND(AND(AND(AX$4&gt;='2025'!$L86,AX$4&lt;='2025'!$M86), AX$4&lt;&gt;DATE(2025,7,4)), (SWITCH(weekday(AX$4), 1, 0, 2, if(ISBLANK('2025'!$P86), 0, 1), 3, if(ISBLANK('2025'!$Q86), 0, 1), 4, if(ISBLANK('2025'!$R86), 0, 1), 5, if(ISBLANK('2025'!$S86), 0, 1), 6, if(ISBLANK('2025'!$T86), 0, 1), 7, 0))), 1, "")</f>
        <v/>
      </c>
      <c r="AY88" s="1" t="str">
        <f>IF(AND(AND(AND(AY$4&gt;='2025'!$L86,AY$4&lt;='2025'!$M86), AY$4&lt;&gt;DATE(2025,7,4)), (SWITCH(weekday(AY$4), 1, 0, 2, if(ISBLANK('2025'!$P86), 0, 1), 3, if(ISBLANK('2025'!$Q86), 0, 1), 4, if(ISBLANK('2025'!$R86), 0, 1), 5, if(ISBLANK('2025'!$S86), 0, 1), 6, if(ISBLANK('2025'!$T86), 0, 1), 7, 0))), 1, "")</f>
        <v/>
      </c>
      <c r="AZ88" s="1" t="str">
        <f>IF(AND(AND(AND(AZ$4&gt;='2025'!$L86,AZ$4&lt;='2025'!$M86), AZ$4&lt;&gt;DATE(2025,7,4)), (SWITCH(weekday(AZ$4), 1, 0, 2, if(ISBLANK('2025'!$P86), 0, 1), 3, if(ISBLANK('2025'!$Q86), 0, 1), 4, if(ISBLANK('2025'!$R86), 0, 1), 5, if(ISBLANK('2025'!$S86), 0, 1), 6, if(ISBLANK('2025'!$T86), 0, 1), 7, 0))), 1, "")</f>
        <v/>
      </c>
      <c r="BA88" s="1" t="str">
        <f>IF(AND(AND(AND(BA$4&gt;='2025'!$L86,BA$4&lt;='2025'!$M86), BA$4&lt;&gt;DATE(2025,7,4)), (SWITCH(weekday(BA$4), 1, 0, 2, if(ISBLANK('2025'!$P86), 0, 1), 3, if(ISBLANK('2025'!$Q86), 0, 1), 4, if(ISBLANK('2025'!$R86), 0, 1), 5, if(ISBLANK('2025'!$S86), 0, 1), 6, if(ISBLANK('2025'!$T86), 0, 1), 7, 0))), 1, "")</f>
        <v/>
      </c>
      <c r="BB88" s="1" t="str">
        <f>IF(AND(AND(AND(BB$4&gt;='2025'!$L86,BB$4&lt;='2025'!$M86), BB$4&lt;&gt;DATE(2025,7,4)), (SWITCH(weekday(BB$4), 1, 0, 2, if(ISBLANK('2025'!$P86), 0, 1), 3, if(ISBLANK('2025'!$Q86), 0, 1), 4, if(ISBLANK('2025'!$R86), 0, 1), 5, if(ISBLANK('2025'!$S86), 0, 1), 6, if(ISBLANK('2025'!$T86), 0, 1), 7, 0))), 1, "")</f>
        <v/>
      </c>
      <c r="BC88" s="1" t="str">
        <f>IF(AND(AND(AND(BC$4&gt;='2025'!$L86,BC$4&lt;='2025'!$M86), BC$4&lt;&gt;DATE(2025,7,4)), (SWITCH(weekday(BC$4), 1, 0, 2, if(ISBLANK('2025'!$P86), 0, 1), 3, if(ISBLANK('2025'!$Q86), 0, 1), 4, if(ISBLANK('2025'!$R86), 0, 1), 5, if(ISBLANK('2025'!$S86), 0, 1), 6, if(ISBLANK('2025'!$T86), 0, 1), 7, 0))), 1, "")</f>
        <v/>
      </c>
      <c r="BD88" s="1" t="str">
        <f>IF(AND(AND(AND(BD$4&gt;='2025'!$L86,BD$4&lt;='2025'!$M86), BD$4&lt;&gt;DATE(2025,7,4)), (SWITCH(weekday(BD$4), 1, 0, 2, if(ISBLANK('2025'!$P86), 0, 1), 3, if(ISBLANK('2025'!$Q86), 0, 1), 4, if(ISBLANK('2025'!$R86), 0, 1), 5, if(ISBLANK('2025'!$S86), 0, 1), 6, if(ISBLANK('2025'!$T86), 0, 1), 7, 0))), 1, "")</f>
        <v/>
      </c>
      <c r="BE88" s="1" t="str">
        <f>IF(AND(AND(AND(BE$4&gt;='2025'!$L86,BE$4&lt;='2025'!$M86), BE$4&lt;&gt;DATE(2025,7,4)), (SWITCH(weekday(BE$4), 1, 0, 2, if(ISBLANK('2025'!$P86), 0, 1), 3, if(ISBLANK('2025'!$Q86), 0, 1), 4, if(ISBLANK('2025'!$R86), 0, 1), 5, if(ISBLANK('2025'!$S86), 0, 1), 6, if(ISBLANK('2025'!$T86), 0, 1), 7, 0))), 1, "")</f>
        <v/>
      </c>
      <c r="BF88" s="1" t="str">
        <f>IF(AND(AND(AND(BF$4&gt;='2025'!$L86,BF$4&lt;='2025'!$M86), BF$4&lt;&gt;DATE(2025,7,4)), (SWITCH(weekday(BF$4), 1, 0, 2, if(ISBLANK('2025'!$P86), 0, 1), 3, if(ISBLANK('2025'!$Q86), 0, 1), 4, if(ISBLANK('2025'!$R86), 0, 1), 5, if(ISBLANK('2025'!$S86), 0, 1), 6, if(ISBLANK('2025'!$T86), 0, 1), 7, 0))), 1, "")</f>
        <v/>
      </c>
      <c r="BG88" s="1"/>
      <c r="BH88" s="1"/>
      <c r="BI88" s="1"/>
      <c r="BJ88" s="1"/>
      <c r="BK88" s="1"/>
      <c r="BL88" s="1"/>
    </row>
    <row r="89">
      <c r="A89" s="1">
        <f t="shared" si="3"/>
        <v>89</v>
      </c>
      <c r="B89" s="1" t="str">
        <f>'2025'!D53</f>
        <v>Brady, Aiden </v>
      </c>
      <c r="C89" s="1" t="str">
        <f>'2025'!H53</f>
        <v>PK3</v>
      </c>
      <c r="D89" s="1" t="str">
        <f>IF(AND(AND(AND(D$4&gt;='2025'!$L87,D$4&lt;='2025'!$M87), D$4&lt;&gt;DATE(2025,7,4)), (SWITCH(weekday(D$4), 1, 0, 2, if(ISBLANK('2025'!$P87), 0, 1), 3, if(ISBLANK('2025'!$Q87), 0, 1), 4, if(ISBLANK('2025'!$R87), 0, 1), 5, if(ISBLANK('2025'!$S87), 0, 1), 6, if(ISBLANK('2025'!$T87), 0, 1), 7, 0))), 1, "")</f>
        <v/>
      </c>
      <c r="E89" s="1" t="str">
        <f>IF(AND(AND(AND(E$4&gt;='2025'!$L87,E$4&lt;='2025'!$M87), E$4&lt;&gt;DATE(2025,7,4)), (SWITCH(weekday(E$4), 1, 0, 2, if(ISBLANK('2025'!$P87), 0, 1), 3, if(ISBLANK('2025'!$Q87), 0, 1), 4, if(ISBLANK('2025'!$R87), 0, 1), 5, if(ISBLANK('2025'!$S87), 0, 1), 6, if(ISBLANK('2025'!$T87), 0, 1), 7, 0))), 1, "")</f>
        <v/>
      </c>
      <c r="F89" s="1" t="str">
        <f>IF(AND(AND(AND(F$4&gt;='2025'!$L87,F$4&lt;='2025'!$M87), F$4&lt;&gt;DATE(2025,7,4)), (SWITCH(weekday(F$4), 1, 0, 2, if(ISBLANK('2025'!$P87), 0, 1), 3, if(ISBLANK('2025'!$Q87), 0, 1), 4, if(ISBLANK('2025'!$R87), 0, 1), 5, if(ISBLANK('2025'!$S87), 0, 1), 6, if(ISBLANK('2025'!$T87), 0, 1), 7, 0))), 1, "")</f>
        <v/>
      </c>
      <c r="G89" s="1" t="str">
        <f>IF(AND(AND(AND(G$4&gt;='2025'!$L87,G$4&lt;='2025'!$M87), G$4&lt;&gt;DATE(2025,7,4)), (SWITCH(weekday(G$4), 1, 0, 2, if(ISBLANK('2025'!$P87), 0, 1), 3, if(ISBLANK('2025'!$Q87), 0, 1), 4, if(ISBLANK('2025'!$R87), 0, 1), 5, if(ISBLANK('2025'!$S87), 0, 1), 6, if(ISBLANK('2025'!$T87), 0, 1), 7, 0))), 1, "")</f>
        <v/>
      </c>
      <c r="H89" s="1" t="str">
        <f>IF(AND(AND(AND(H$4&gt;='2025'!$L87,H$4&lt;='2025'!$M87), H$4&lt;&gt;DATE(2025,7,4)), (SWITCH(weekday(H$4), 1, 0, 2, if(ISBLANK('2025'!$P87), 0, 1), 3, if(ISBLANK('2025'!$Q87), 0, 1), 4, if(ISBLANK('2025'!$R87), 0, 1), 5, if(ISBLANK('2025'!$S87), 0, 1), 6, if(ISBLANK('2025'!$T87), 0, 1), 7, 0))), 1, "")</f>
        <v/>
      </c>
      <c r="I89" s="1" t="str">
        <f>IF(AND(AND(AND(I$4&gt;='2025'!$L87,I$4&lt;='2025'!$M87), I$4&lt;&gt;DATE(2025,7,4)), (SWITCH(weekday(I$4), 1, 0, 2, if(ISBLANK('2025'!$P87), 0, 1), 3, if(ISBLANK('2025'!$Q87), 0, 1), 4, if(ISBLANK('2025'!$R87), 0, 1), 5, if(ISBLANK('2025'!$S87), 0, 1), 6, if(ISBLANK('2025'!$T87), 0, 1), 7, 0))), 1, "")</f>
        <v/>
      </c>
      <c r="J89" s="1" t="str">
        <f>IF(AND(AND(AND(J$4&gt;='2025'!$L87,J$4&lt;='2025'!$M87), J$4&lt;&gt;DATE(2025,7,4)), (SWITCH(weekday(J$4), 1, 0, 2, if(ISBLANK('2025'!$P87), 0, 1), 3, if(ISBLANK('2025'!$Q87), 0, 1), 4, if(ISBLANK('2025'!$R87), 0, 1), 5, if(ISBLANK('2025'!$S87), 0, 1), 6, if(ISBLANK('2025'!$T87), 0, 1), 7, 0))), 1, "")</f>
        <v/>
      </c>
      <c r="K89" s="1" t="str">
        <f>IF(AND(AND(AND(K$4&gt;='2025'!$L87,K$4&lt;='2025'!$M87), K$4&lt;&gt;DATE(2025,7,4)), (SWITCH(weekday(K$4), 1, 0, 2, if(ISBLANK('2025'!$P87), 0, 1), 3, if(ISBLANK('2025'!$Q87), 0, 1), 4, if(ISBLANK('2025'!$R87), 0, 1), 5, if(ISBLANK('2025'!$S87), 0, 1), 6, if(ISBLANK('2025'!$T87), 0, 1), 7, 0))), 1, "")</f>
        <v/>
      </c>
      <c r="L89" s="1" t="str">
        <f>IF(AND(AND(AND(L$4&gt;='2025'!$L87,L$4&lt;='2025'!$M87), L$4&lt;&gt;DATE(2025,7,4)), (SWITCH(weekday(L$4), 1, 0, 2, if(ISBLANK('2025'!$P87), 0, 1), 3, if(ISBLANK('2025'!$Q87), 0, 1), 4, if(ISBLANK('2025'!$R87), 0, 1), 5, if(ISBLANK('2025'!$S87), 0, 1), 6, if(ISBLANK('2025'!$T87), 0, 1), 7, 0))), 1, "")</f>
        <v/>
      </c>
      <c r="M89" s="1" t="str">
        <f>IF(AND(AND(AND(M$4&gt;='2025'!$L87,M$4&lt;='2025'!$M87), M$4&lt;&gt;DATE(2025,7,4)), (SWITCH(weekday(M$4), 1, 0, 2, if(ISBLANK('2025'!$P87), 0, 1), 3, if(ISBLANK('2025'!$Q87), 0, 1), 4, if(ISBLANK('2025'!$R87), 0, 1), 5, if(ISBLANK('2025'!$S87), 0, 1), 6, if(ISBLANK('2025'!$T87), 0, 1), 7, 0))), 1, "")</f>
        <v/>
      </c>
      <c r="N89" s="1" t="str">
        <f>IF(AND(AND(AND(N$4&gt;='2025'!$L87,N$4&lt;='2025'!$M87), N$4&lt;&gt;DATE(2025,7,4)), (SWITCH(weekday(N$4), 1, 0, 2, if(ISBLANK('2025'!$P87), 0, 1), 3, if(ISBLANK('2025'!$Q87), 0, 1), 4, if(ISBLANK('2025'!$R87), 0, 1), 5, if(ISBLANK('2025'!$S87), 0, 1), 6, if(ISBLANK('2025'!$T87), 0, 1), 7, 0))), 1, "")</f>
        <v/>
      </c>
      <c r="O89" s="1" t="str">
        <f>IF(AND(AND(AND(O$4&gt;='2025'!$L87,O$4&lt;='2025'!$M87), O$4&lt;&gt;DATE(2025,7,4)), (SWITCH(weekday(O$4), 1, 0, 2, if(ISBLANK('2025'!$P87), 0, 1), 3, if(ISBLANK('2025'!$Q87), 0, 1), 4, if(ISBLANK('2025'!$R87), 0, 1), 5, if(ISBLANK('2025'!$S87), 0, 1), 6, if(ISBLANK('2025'!$T87), 0, 1), 7, 0))), 1, "")</f>
        <v/>
      </c>
      <c r="P89" s="1" t="str">
        <f>IF(AND(AND(AND(P$4&gt;='2025'!$L87,P$4&lt;='2025'!$M87), P$4&lt;&gt;DATE(2025,7,4)), (SWITCH(weekday(P$4), 1, 0, 2, if(ISBLANK('2025'!$P87), 0, 1), 3, if(ISBLANK('2025'!$Q87), 0, 1), 4, if(ISBLANK('2025'!$R87), 0, 1), 5, if(ISBLANK('2025'!$S87), 0, 1), 6, if(ISBLANK('2025'!$T87), 0, 1), 7, 0))), 1, "")</f>
        <v/>
      </c>
      <c r="Q89" s="1" t="str">
        <f>IF(AND(AND(AND(Q$4&gt;='2025'!$L87,Q$4&lt;='2025'!$M87), Q$4&lt;&gt;DATE(2025,7,4)), (SWITCH(weekday(Q$4), 1, 0, 2, if(ISBLANK('2025'!$P87), 0, 1), 3, if(ISBLANK('2025'!$Q87), 0, 1), 4, if(ISBLANK('2025'!$R87), 0, 1), 5, if(ISBLANK('2025'!$S87), 0, 1), 6, if(ISBLANK('2025'!$T87), 0, 1), 7, 0))), 1, "")</f>
        <v/>
      </c>
      <c r="R89" s="1" t="str">
        <f>IF(AND(AND(AND(R$4&gt;='2025'!$L87,R$4&lt;='2025'!$M87), R$4&lt;&gt;DATE(2025,7,4)), (SWITCH(weekday(R$4), 1, 0, 2, if(ISBLANK('2025'!$P87), 0, 1), 3, if(ISBLANK('2025'!$Q87), 0, 1), 4, if(ISBLANK('2025'!$R87), 0, 1), 5, if(ISBLANK('2025'!$S87), 0, 1), 6, if(ISBLANK('2025'!$T87), 0, 1), 7, 0))), 1, "")</f>
        <v/>
      </c>
      <c r="S89" s="1" t="str">
        <f>IF(AND(AND(AND(S$4&gt;='2025'!$L87,S$4&lt;='2025'!$M87), S$4&lt;&gt;DATE(2025,7,4)), (SWITCH(weekday(S$4), 1, 0, 2, if(ISBLANK('2025'!$P87), 0, 1), 3, if(ISBLANK('2025'!$Q87), 0, 1), 4, if(ISBLANK('2025'!$R87), 0, 1), 5, if(ISBLANK('2025'!$S87), 0, 1), 6, if(ISBLANK('2025'!$T87), 0, 1), 7, 0))), 1, "")</f>
        <v/>
      </c>
      <c r="T89" s="1" t="str">
        <f>IF(AND(AND(AND(T$4&gt;='2025'!$L87,T$4&lt;='2025'!$M87), T$4&lt;&gt;DATE(2025,7,4)), (SWITCH(weekday(T$4), 1, 0, 2, if(ISBLANK('2025'!$P87), 0, 1), 3, if(ISBLANK('2025'!$Q87), 0, 1), 4, if(ISBLANK('2025'!$R87), 0, 1), 5, if(ISBLANK('2025'!$S87), 0, 1), 6, if(ISBLANK('2025'!$T87), 0, 1), 7, 0))), 1, "")</f>
        <v/>
      </c>
      <c r="U89" s="1" t="str">
        <f>IF(AND(AND(AND(U$4&gt;='2025'!$L87,U$4&lt;='2025'!$M87), U$4&lt;&gt;DATE(2025,7,4)), (SWITCH(weekday(U$4), 1, 0, 2, if(ISBLANK('2025'!$P87), 0, 1), 3, if(ISBLANK('2025'!$Q87), 0, 1), 4, if(ISBLANK('2025'!$R87), 0, 1), 5, if(ISBLANK('2025'!$S87), 0, 1), 6, if(ISBLANK('2025'!$T87), 0, 1), 7, 0))), 1, "")</f>
        <v/>
      </c>
      <c r="V89" s="1" t="str">
        <f>IF(AND(AND(AND(V$4&gt;='2025'!$L87,V$4&lt;='2025'!$M87), V$4&lt;&gt;DATE(2025,7,4)), (SWITCH(weekday(V$4), 1, 0, 2, if(ISBLANK('2025'!$P87), 0, 1), 3, if(ISBLANK('2025'!$Q87), 0, 1), 4, if(ISBLANK('2025'!$R87), 0, 1), 5, if(ISBLANK('2025'!$S87), 0, 1), 6, if(ISBLANK('2025'!$T87), 0, 1), 7, 0))), 1, "")</f>
        <v/>
      </c>
      <c r="W89" s="1" t="str">
        <f>IF(AND(AND(AND(W$4&gt;='2025'!$L87,W$4&lt;='2025'!$M87), W$4&lt;&gt;DATE(2025,7,4)), (SWITCH(weekday(W$4), 1, 0, 2, if(ISBLANK('2025'!$P87), 0, 1), 3, if(ISBLANK('2025'!$Q87), 0, 1), 4, if(ISBLANK('2025'!$R87), 0, 1), 5, if(ISBLANK('2025'!$S87), 0, 1), 6, if(ISBLANK('2025'!$T87), 0, 1), 7, 0))), 1, "")</f>
        <v/>
      </c>
      <c r="X89" s="1" t="str">
        <f>IF(AND(AND(AND(X$4&gt;='2025'!$L87,X$4&lt;='2025'!$M87), X$4&lt;&gt;DATE(2025,7,4)), (SWITCH(weekday(X$4), 1, 0, 2, if(ISBLANK('2025'!$P87), 0, 1), 3, if(ISBLANK('2025'!$Q87), 0, 1), 4, if(ISBLANK('2025'!$R87), 0, 1), 5, if(ISBLANK('2025'!$S87), 0, 1), 6, if(ISBLANK('2025'!$T87), 0, 1), 7, 0))), 1, "")</f>
        <v/>
      </c>
      <c r="Y89" s="1" t="str">
        <f>IF(AND(AND(AND(Y$4&gt;='2025'!$L87,Y$4&lt;='2025'!$M87), Y$4&lt;&gt;DATE(2025,7,4)), (SWITCH(weekday(Y$4), 1, 0, 2, if(ISBLANK('2025'!$P87), 0, 1), 3, if(ISBLANK('2025'!$Q87), 0, 1), 4, if(ISBLANK('2025'!$R87), 0, 1), 5, if(ISBLANK('2025'!$S87), 0, 1), 6, if(ISBLANK('2025'!$T87), 0, 1), 7, 0))), 1, "")</f>
        <v/>
      </c>
      <c r="Z89" s="1" t="str">
        <f>IF(AND(AND(AND(Z$4&gt;='2025'!$L87,Z$4&lt;='2025'!$M87), Z$4&lt;&gt;DATE(2025,7,4)), (SWITCH(weekday(Z$4), 1, 0, 2, if(ISBLANK('2025'!$P87), 0, 1), 3, if(ISBLANK('2025'!$Q87), 0, 1), 4, if(ISBLANK('2025'!$R87), 0, 1), 5, if(ISBLANK('2025'!$S87), 0, 1), 6, if(ISBLANK('2025'!$T87), 0, 1), 7, 0))), 1, "")</f>
        <v/>
      </c>
      <c r="AA89" s="1" t="str">
        <f>IF(AND(AND(AND(AA$4&gt;='2025'!$L87,AA$4&lt;='2025'!$M87), AA$4&lt;&gt;DATE(2025,7,4)), (SWITCH(weekday(AA$4), 1, 0, 2, if(ISBLANK('2025'!$P87), 0, 1), 3, if(ISBLANK('2025'!$Q87), 0, 1), 4, if(ISBLANK('2025'!$R87), 0, 1), 5, if(ISBLANK('2025'!$S87), 0, 1), 6, if(ISBLANK('2025'!$T87), 0, 1), 7, 0))), 1, "")</f>
        <v/>
      </c>
      <c r="AB89" s="1" t="str">
        <f>IF(AND(AND(AND(AB$4&gt;='2025'!$L87,AB$4&lt;='2025'!$M87), AB$4&lt;&gt;DATE(2025,7,4)), (SWITCH(weekday(AB$4), 1, 0, 2, if(ISBLANK('2025'!$P87), 0, 1), 3, if(ISBLANK('2025'!$Q87), 0, 1), 4, if(ISBLANK('2025'!$R87), 0, 1), 5, if(ISBLANK('2025'!$S87), 0, 1), 6, if(ISBLANK('2025'!$T87), 0, 1), 7, 0))), 1, "")</f>
        <v/>
      </c>
      <c r="AC89" s="1" t="str">
        <f>IF(AND(AND(AND(AC$4&gt;='2025'!$L87,AC$4&lt;='2025'!$M87), AC$4&lt;&gt;DATE(2025,7,4)), (SWITCH(weekday(AC$4), 1, 0, 2, if(ISBLANK('2025'!$P87), 0, 1), 3, if(ISBLANK('2025'!$Q87), 0, 1), 4, if(ISBLANK('2025'!$R87), 0, 1), 5, if(ISBLANK('2025'!$S87), 0, 1), 6, if(ISBLANK('2025'!$T87), 0, 1), 7, 0))), 1, "")</f>
        <v/>
      </c>
      <c r="AD89" s="1" t="str">
        <f>IF(AND(AND(AND(AD$4&gt;='2025'!$L87,AD$4&lt;='2025'!$M87), AD$4&lt;&gt;DATE(2025,7,4)), (SWITCH(weekday(AD$4), 1, 0, 2, if(ISBLANK('2025'!$P87), 0, 1), 3, if(ISBLANK('2025'!$Q87), 0, 1), 4, if(ISBLANK('2025'!$R87), 0, 1), 5, if(ISBLANK('2025'!$S87), 0, 1), 6, if(ISBLANK('2025'!$T87), 0, 1), 7, 0))), 1, "")</f>
        <v/>
      </c>
      <c r="AE89" s="1" t="str">
        <f>IF(AND(AND(AND(AE$4&gt;='2025'!$L87,AE$4&lt;='2025'!$M87), AE$4&lt;&gt;DATE(2025,7,4)), (SWITCH(weekday(AE$4), 1, 0, 2, if(ISBLANK('2025'!$P87), 0, 1), 3, if(ISBLANK('2025'!$Q87), 0, 1), 4, if(ISBLANK('2025'!$R87), 0, 1), 5, if(ISBLANK('2025'!$S87), 0, 1), 6, if(ISBLANK('2025'!$T87), 0, 1), 7, 0))), 1, "")</f>
        <v/>
      </c>
      <c r="AF89" s="1" t="str">
        <f>IF(AND(AND(AND(AF$4&gt;='2025'!$L87,AF$4&lt;='2025'!$M87), AF$4&lt;&gt;DATE(2025,7,4)), (SWITCH(weekday(AF$4), 1, 0, 2, if(ISBLANK('2025'!$P87), 0, 1), 3, if(ISBLANK('2025'!$Q87), 0, 1), 4, if(ISBLANK('2025'!$R87), 0, 1), 5, if(ISBLANK('2025'!$S87), 0, 1), 6, if(ISBLANK('2025'!$T87), 0, 1), 7, 0))), 1, "")</f>
        <v/>
      </c>
      <c r="AG89" s="1" t="str">
        <f>IF(AND(AND(AND(AG$4&gt;='2025'!$L87,AG$4&lt;='2025'!$M87), AG$4&lt;&gt;DATE(2025,7,4)), (SWITCH(weekday(AG$4), 1, 0, 2, if(ISBLANK('2025'!$P87), 0, 1), 3, if(ISBLANK('2025'!$Q87), 0, 1), 4, if(ISBLANK('2025'!$R87), 0, 1), 5, if(ISBLANK('2025'!$S87), 0, 1), 6, if(ISBLANK('2025'!$T87), 0, 1), 7, 0))), 1, "")</f>
        <v/>
      </c>
      <c r="AH89" s="1" t="str">
        <f>IF(AND(AND(AND(AH$4&gt;='2025'!$L87,AH$4&lt;='2025'!$M87), AH$4&lt;&gt;DATE(2025,7,4)), (SWITCH(weekday(AH$4), 1, 0, 2, if(ISBLANK('2025'!$P87), 0, 1), 3, if(ISBLANK('2025'!$Q87), 0, 1), 4, if(ISBLANK('2025'!$R87), 0, 1), 5, if(ISBLANK('2025'!$S87), 0, 1), 6, if(ISBLANK('2025'!$T87), 0, 1), 7, 0))), 1, "")</f>
        <v/>
      </c>
      <c r="AI89" s="1" t="str">
        <f>IF(AND(AND(AND(AI$4&gt;='2025'!$L87,AI$4&lt;='2025'!$M87), AI$4&lt;&gt;DATE(2025,7,4)), (SWITCH(weekday(AI$4), 1, 0, 2, if(ISBLANK('2025'!$P87), 0, 1), 3, if(ISBLANK('2025'!$Q87), 0, 1), 4, if(ISBLANK('2025'!$R87), 0, 1), 5, if(ISBLANK('2025'!$S87), 0, 1), 6, if(ISBLANK('2025'!$T87), 0, 1), 7, 0))), 1, "")</f>
        <v/>
      </c>
      <c r="AJ89" s="1" t="str">
        <f>IF(AND(AND(AND(AJ$4&gt;='2025'!$L87,AJ$4&lt;='2025'!$M87), AJ$4&lt;&gt;DATE(2025,7,4)), (SWITCH(weekday(AJ$4), 1, 0, 2, if(ISBLANK('2025'!$P87), 0, 1), 3, if(ISBLANK('2025'!$Q87), 0, 1), 4, if(ISBLANK('2025'!$R87), 0, 1), 5, if(ISBLANK('2025'!$S87), 0, 1), 6, if(ISBLANK('2025'!$T87), 0, 1), 7, 0))), 1, "")</f>
        <v/>
      </c>
      <c r="AK89" s="1" t="str">
        <f>IF(AND(AND(AND(AK$4&gt;='2025'!$L87,AK$4&lt;='2025'!$M87), AK$4&lt;&gt;DATE(2025,7,4)), (SWITCH(weekday(AK$4), 1, 0, 2, if(ISBLANK('2025'!$P87), 0, 1), 3, if(ISBLANK('2025'!$Q87), 0, 1), 4, if(ISBLANK('2025'!$R87), 0, 1), 5, if(ISBLANK('2025'!$S87), 0, 1), 6, if(ISBLANK('2025'!$T87), 0, 1), 7, 0))), 1, "")</f>
        <v/>
      </c>
      <c r="AL89" s="1" t="str">
        <f>IF(AND(AND(AND(AL$4&gt;='2025'!$L87,AL$4&lt;='2025'!$M87), AL$4&lt;&gt;DATE(2025,7,4)), (SWITCH(weekday(AL$4), 1, 0, 2, if(ISBLANK('2025'!$P87), 0, 1), 3, if(ISBLANK('2025'!$Q87), 0, 1), 4, if(ISBLANK('2025'!$R87), 0, 1), 5, if(ISBLANK('2025'!$S87), 0, 1), 6, if(ISBLANK('2025'!$T87), 0, 1), 7, 0))), 1, "")</f>
        <v/>
      </c>
      <c r="AM89" s="1" t="str">
        <f>IF(AND(AND(AND(AM$4&gt;='2025'!$L87,AM$4&lt;='2025'!$M87), AM$4&lt;&gt;DATE(2025,7,4)), (SWITCH(weekday(AM$4), 1, 0, 2, if(ISBLANK('2025'!$P87), 0, 1), 3, if(ISBLANK('2025'!$Q87), 0, 1), 4, if(ISBLANK('2025'!$R87), 0, 1), 5, if(ISBLANK('2025'!$S87), 0, 1), 6, if(ISBLANK('2025'!$T87), 0, 1), 7, 0))), 1, "")</f>
        <v/>
      </c>
      <c r="AN89" s="1" t="str">
        <f>IF(AND(AND(AND(AN$4&gt;='2025'!$L87,AN$4&lt;='2025'!$M87), AN$4&lt;&gt;DATE(2025,7,4)), (SWITCH(weekday(AN$4), 1, 0, 2, if(ISBLANK('2025'!$P87), 0, 1), 3, if(ISBLANK('2025'!$Q87), 0, 1), 4, if(ISBLANK('2025'!$R87), 0, 1), 5, if(ISBLANK('2025'!$S87), 0, 1), 6, if(ISBLANK('2025'!$T87), 0, 1), 7, 0))), 1, "")</f>
        <v/>
      </c>
      <c r="AO89" s="1" t="str">
        <f>IF(AND(AND(AND(AO$4&gt;='2025'!$L87,AO$4&lt;='2025'!$M87), AO$4&lt;&gt;DATE(2025,7,4)), (SWITCH(weekday(AO$4), 1, 0, 2, if(ISBLANK('2025'!$P87), 0, 1), 3, if(ISBLANK('2025'!$Q87), 0, 1), 4, if(ISBLANK('2025'!$R87), 0, 1), 5, if(ISBLANK('2025'!$S87), 0, 1), 6, if(ISBLANK('2025'!$T87), 0, 1), 7, 0))), 1, "")</f>
        <v/>
      </c>
      <c r="AP89" s="1" t="str">
        <f>IF(AND(AND(AND(AP$4&gt;='2025'!$L87,AP$4&lt;='2025'!$M87), AP$4&lt;&gt;DATE(2025,7,4)), (SWITCH(weekday(AP$4), 1, 0, 2, if(ISBLANK('2025'!$P87), 0, 1), 3, if(ISBLANK('2025'!$Q87), 0, 1), 4, if(ISBLANK('2025'!$R87), 0, 1), 5, if(ISBLANK('2025'!$S87), 0, 1), 6, if(ISBLANK('2025'!$T87), 0, 1), 7, 0))), 1, "")</f>
        <v/>
      </c>
      <c r="AQ89" s="1" t="str">
        <f>IF(AND(AND(AND(AQ$4&gt;='2025'!$L87,AQ$4&lt;='2025'!$M87), AQ$4&lt;&gt;DATE(2025,7,4)), (SWITCH(weekday(AQ$4), 1, 0, 2, if(ISBLANK('2025'!$P87), 0, 1), 3, if(ISBLANK('2025'!$Q87), 0, 1), 4, if(ISBLANK('2025'!$R87), 0, 1), 5, if(ISBLANK('2025'!$S87), 0, 1), 6, if(ISBLANK('2025'!$T87), 0, 1), 7, 0))), 1, "")</f>
        <v/>
      </c>
      <c r="AR89" s="1" t="str">
        <f>IF(AND(AND(AND(AR$4&gt;='2025'!$L87,AR$4&lt;='2025'!$M87), AR$4&lt;&gt;DATE(2025,7,4)), (SWITCH(weekday(AR$4), 1, 0, 2, if(ISBLANK('2025'!$P87), 0, 1), 3, if(ISBLANK('2025'!$Q87), 0, 1), 4, if(ISBLANK('2025'!$R87), 0, 1), 5, if(ISBLANK('2025'!$S87), 0, 1), 6, if(ISBLANK('2025'!$T87), 0, 1), 7, 0))), 1, "")</f>
        <v/>
      </c>
      <c r="AS89" s="1" t="str">
        <f>IF(AND(AND(AND(AS$4&gt;='2025'!$L87,AS$4&lt;='2025'!$M87), AS$4&lt;&gt;DATE(2025,7,4)), (SWITCH(weekday(AS$4), 1, 0, 2, if(ISBLANK('2025'!$P87), 0, 1), 3, if(ISBLANK('2025'!$Q87), 0, 1), 4, if(ISBLANK('2025'!$R87), 0, 1), 5, if(ISBLANK('2025'!$S87), 0, 1), 6, if(ISBLANK('2025'!$T87), 0, 1), 7, 0))), 1, "")</f>
        <v/>
      </c>
      <c r="AT89" s="1" t="str">
        <f>IF(AND(AND(AND(AT$4&gt;='2025'!$L87,AT$4&lt;='2025'!$M87), AT$4&lt;&gt;DATE(2025,7,4)), (SWITCH(weekday(AT$4), 1, 0, 2, if(ISBLANK('2025'!$P87), 0, 1), 3, if(ISBLANK('2025'!$Q87), 0, 1), 4, if(ISBLANK('2025'!$R87), 0, 1), 5, if(ISBLANK('2025'!$S87), 0, 1), 6, if(ISBLANK('2025'!$T87), 0, 1), 7, 0))), 1, "")</f>
        <v/>
      </c>
      <c r="AU89" s="1" t="str">
        <f>IF(AND(AND(AND(AU$4&gt;='2025'!$L87,AU$4&lt;='2025'!$M87), AU$4&lt;&gt;DATE(2025,7,4)), (SWITCH(weekday(AU$4), 1, 0, 2, if(ISBLANK('2025'!$P87), 0, 1), 3, if(ISBLANK('2025'!$Q87), 0, 1), 4, if(ISBLANK('2025'!$R87), 0, 1), 5, if(ISBLANK('2025'!$S87), 0, 1), 6, if(ISBLANK('2025'!$T87), 0, 1), 7, 0))), 1, "")</f>
        <v/>
      </c>
      <c r="AV89" s="1" t="str">
        <f>IF(AND(AND(AND(AV$4&gt;='2025'!$L87,AV$4&lt;='2025'!$M87), AV$4&lt;&gt;DATE(2025,7,4)), (SWITCH(weekday(AV$4), 1, 0, 2, if(ISBLANK('2025'!$P87), 0, 1), 3, if(ISBLANK('2025'!$Q87), 0, 1), 4, if(ISBLANK('2025'!$R87), 0, 1), 5, if(ISBLANK('2025'!$S87), 0, 1), 6, if(ISBLANK('2025'!$T87), 0, 1), 7, 0))), 1, "")</f>
        <v/>
      </c>
      <c r="AW89" s="1" t="str">
        <f>IF(AND(AND(AND(AW$4&gt;='2025'!$L87,AW$4&lt;='2025'!$M87), AW$4&lt;&gt;DATE(2025,7,4)), (SWITCH(weekday(AW$4), 1, 0, 2, if(ISBLANK('2025'!$P87), 0, 1), 3, if(ISBLANK('2025'!$Q87), 0, 1), 4, if(ISBLANK('2025'!$R87), 0, 1), 5, if(ISBLANK('2025'!$S87), 0, 1), 6, if(ISBLANK('2025'!$T87), 0, 1), 7, 0))), 1, "")</f>
        <v/>
      </c>
      <c r="AX89" s="1" t="str">
        <f>IF(AND(AND(AND(AX$4&gt;='2025'!$L87,AX$4&lt;='2025'!$M87), AX$4&lt;&gt;DATE(2025,7,4)), (SWITCH(weekday(AX$4), 1, 0, 2, if(ISBLANK('2025'!$P87), 0, 1), 3, if(ISBLANK('2025'!$Q87), 0, 1), 4, if(ISBLANK('2025'!$R87), 0, 1), 5, if(ISBLANK('2025'!$S87), 0, 1), 6, if(ISBLANK('2025'!$T87), 0, 1), 7, 0))), 1, "")</f>
        <v/>
      </c>
      <c r="AY89" s="1" t="str">
        <f>IF(AND(AND(AND(AY$4&gt;='2025'!$L87,AY$4&lt;='2025'!$M87), AY$4&lt;&gt;DATE(2025,7,4)), (SWITCH(weekday(AY$4), 1, 0, 2, if(ISBLANK('2025'!$P87), 0, 1), 3, if(ISBLANK('2025'!$Q87), 0, 1), 4, if(ISBLANK('2025'!$R87), 0, 1), 5, if(ISBLANK('2025'!$S87), 0, 1), 6, if(ISBLANK('2025'!$T87), 0, 1), 7, 0))), 1, "")</f>
        <v/>
      </c>
      <c r="AZ89" s="1" t="str">
        <f>IF(AND(AND(AND(AZ$4&gt;='2025'!$L87,AZ$4&lt;='2025'!$M87), AZ$4&lt;&gt;DATE(2025,7,4)), (SWITCH(weekday(AZ$4), 1, 0, 2, if(ISBLANK('2025'!$P87), 0, 1), 3, if(ISBLANK('2025'!$Q87), 0, 1), 4, if(ISBLANK('2025'!$R87), 0, 1), 5, if(ISBLANK('2025'!$S87), 0, 1), 6, if(ISBLANK('2025'!$T87), 0, 1), 7, 0))), 1, "")</f>
        <v/>
      </c>
      <c r="BA89" s="1" t="str">
        <f>IF(AND(AND(AND(BA$4&gt;='2025'!$L87,BA$4&lt;='2025'!$M87), BA$4&lt;&gt;DATE(2025,7,4)), (SWITCH(weekday(BA$4), 1, 0, 2, if(ISBLANK('2025'!$P87), 0, 1), 3, if(ISBLANK('2025'!$Q87), 0, 1), 4, if(ISBLANK('2025'!$R87), 0, 1), 5, if(ISBLANK('2025'!$S87), 0, 1), 6, if(ISBLANK('2025'!$T87), 0, 1), 7, 0))), 1, "")</f>
        <v/>
      </c>
      <c r="BB89" s="1" t="str">
        <f>IF(AND(AND(AND(BB$4&gt;='2025'!$L87,BB$4&lt;='2025'!$M87), BB$4&lt;&gt;DATE(2025,7,4)), (SWITCH(weekday(BB$4), 1, 0, 2, if(ISBLANK('2025'!$P87), 0, 1), 3, if(ISBLANK('2025'!$Q87), 0, 1), 4, if(ISBLANK('2025'!$R87), 0, 1), 5, if(ISBLANK('2025'!$S87), 0, 1), 6, if(ISBLANK('2025'!$T87), 0, 1), 7, 0))), 1, "")</f>
        <v/>
      </c>
      <c r="BC89" s="1" t="str">
        <f>IF(AND(AND(AND(BC$4&gt;='2025'!$L87,BC$4&lt;='2025'!$M87), BC$4&lt;&gt;DATE(2025,7,4)), (SWITCH(weekday(BC$4), 1, 0, 2, if(ISBLANK('2025'!$P87), 0, 1), 3, if(ISBLANK('2025'!$Q87), 0, 1), 4, if(ISBLANK('2025'!$R87), 0, 1), 5, if(ISBLANK('2025'!$S87), 0, 1), 6, if(ISBLANK('2025'!$T87), 0, 1), 7, 0))), 1, "")</f>
        <v/>
      </c>
      <c r="BD89" s="1" t="str">
        <f>IF(AND(AND(AND(BD$4&gt;='2025'!$L87,BD$4&lt;='2025'!$M87), BD$4&lt;&gt;DATE(2025,7,4)), (SWITCH(weekday(BD$4), 1, 0, 2, if(ISBLANK('2025'!$P87), 0, 1), 3, if(ISBLANK('2025'!$Q87), 0, 1), 4, if(ISBLANK('2025'!$R87), 0, 1), 5, if(ISBLANK('2025'!$S87), 0, 1), 6, if(ISBLANK('2025'!$T87), 0, 1), 7, 0))), 1, "")</f>
        <v/>
      </c>
      <c r="BE89" s="1" t="str">
        <f>IF(AND(AND(AND(BE$4&gt;='2025'!$L87,BE$4&lt;='2025'!$M87), BE$4&lt;&gt;DATE(2025,7,4)), (SWITCH(weekday(BE$4), 1, 0, 2, if(ISBLANK('2025'!$P87), 0, 1), 3, if(ISBLANK('2025'!$Q87), 0, 1), 4, if(ISBLANK('2025'!$R87), 0, 1), 5, if(ISBLANK('2025'!$S87), 0, 1), 6, if(ISBLANK('2025'!$T87), 0, 1), 7, 0))), 1, "")</f>
        <v/>
      </c>
      <c r="BF89" s="1" t="str">
        <f>IF(AND(AND(AND(BF$4&gt;='2025'!$L87,BF$4&lt;='2025'!$M87), BF$4&lt;&gt;DATE(2025,7,4)), (SWITCH(weekday(BF$4), 1, 0, 2, if(ISBLANK('2025'!$P87), 0, 1), 3, if(ISBLANK('2025'!$Q87), 0, 1), 4, if(ISBLANK('2025'!$R87), 0, 1), 5, if(ISBLANK('2025'!$S87), 0, 1), 6, if(ISBLANK('2025'!$T87), 0, 1), 7, 0))), 1, "")</f>
        <v/>
      </c>
      <c r="BG89" s="1"/>
      <c r="BH89" s="1"/>
      <c r="BI89" s="1"/>
      <c r="BJ89" s="1"/>
      <c r="BK89" s="1"/>
      <c r="BL89" s="1"/>
    </row>
    <row r="90">
      <c r="A90" s="1">
        <f t="shared" si="3"/>
        <v>90</v>
      </c>
      <c r="B90" s="1" t="str">
        <f>'2025'!D54</f>
        <v>Benkyran, Chadi</v>
      </c>
      <c r="C90" s="1" t="str">
        <f>'2025'!H54</f>
        <v>pk3 </v>
      </c>
      <c r="D90" s="1" t="str">
        <f>IF(AND(AND(AND(D$4&gt;='2025'!$L88,D$4&lt;='2025'!$M88), D$4&lt;&gt;DATE(2025,7,4)), (SWITCH(weekday(D$4), 1, 0, 2, if(ISBLANK('2025'!$P88), 0, 1), 3, if(ISBLANK('2025'!$Q88), 0, 1), 4, if(ISBLANK('2025'!$R88), 0, 1), 5, if(ISBLANK('2025'!$S88), 0, 1), 6, if(ISBLANK('2025'!$T88), 0, 1), 7, 0))), 1, "")</f>
        <v/>
      </c>
      <c r="E90" s="1" t="str">
        <f>IF(AND(AND(AND(E$4&gt;='2025'!$L88,E$4&lt;='2025'!$M88), E$4&lt;&gt;DATE(2025,7,4)), (SWITCH(weekday(E$4), 1, 0, 2, if(ISBLANK('2025'!$P88), 0, 1), 3, if(ISBLANK('2025'!$Q88), 0, 1), 4, if(ISBLANK('2025'!$R88), 0, 1), 5, if(ISBLANK('2025'!$S88), 0, 1), 6, if(ISBLANK('2025'!$T88), 0, 1), 7, 0))), 1, "")</f>
        <v/>
      </c>
      <c r="F90" s="1" t="str">
        <f>IF(AND(AND(AND(F$4&gt;='2025'!$L88,F$4&lt;='2025'!$M88), F$4&lt;&gt;DATE(2025,7,4)), (SWITCH(weekday(F$4), 1, 0, 2, if(ISBLANK('2025'!$P88), 0, 1), 3, if(ISBLANK('2025'!$Q88), 0, 1), 4, if(ISBLANK('2025'!$R88), 0, 1), 5, if(ISBLANK('2025'!$S88), 0, 1), 6, if(ISBLANK('2025'!$T88), 0, 1), 7, 0))), 1, "")</f>
        <v/>
      </c>
      <c r="G90" s="1" t="str">
        <f>IF(AND(AND(AND(G$4&gt;='2025'!$L88,G$4&lt;='2025'!$M88), G$4&lt;&gt;DATE(2025,7,4)), (SWITCH(weekday(G$4), 1, 0, 2, if(ISBLANK('2025'!$P88), 0, 1), 3, if(ISBLANK('2025'!$Q88), 0, 1), 4, if(ISBLANK('2025'!$R88), 0, 1), 5, if(ISBLANK('2025'!$S88), 0, 1), 6, if(ISBLANK('2025'!$T88), 0, 1), 7, 0))), 1, "")</f>
        <v/>
      </c>
      <c r="H90" s="1" t="str">
        <f>IF(AND(AND(AND(H$4&gt;='2025'!$L88,H$4&lt;='2025'!$M88), H$4&lt;&gt;DATE(2025,7,4)), (SWITCH(weekday(H$4), 1, 0, 2, if(ISBLANK('2025'!$P88), 0, 1), 3, if(ISBLANK('2025'!$Q88), 0, 1), 4, if(ISBLANK('2025'!$R88), 0, 1), 5, if(ISBLANK('2025'!$S88), 0, 1), 6, if(ISBLANK('2025'!$T88), 0, 1), 7, 0))), 1, "")</f>
        <v/>
      </c>
      <c r="I90" s="1" t="str">
        <f>IF(AND(AND(AND(I$4&gt;='2025'!$L88,I$4&lt;='2025'!$M88), I$4&lt;&gt;DATE(2025,7,4)), (SWITCH(weekday(I$4), 1, 0, 2, if(ISBLANK('2025'!$P88), 0, 1), 3, if(ISBLANK('2025'!$Q88), 0, 1), 4, if(ISBLANK('2025'!$R88), 0, 1), 5, if(ISBLANK('2025'!$S88), 0, 1), 6, if(ISBLANK('2025'!$T88), 0, 1), 7, 0))), 1, "")</f>
        <v/>
      </c>
      <c r="J90" s="1" t="str">
        <f>IF(AND(AND(AND(J$4&gt;='2025'!$L88,J$4&lt;='2025'!$M88), J$4&lt;&gt;DATE(2025,7,4)), (SWITCH(weekday(J$4), 1, 0, 2, if(ISBLANK('2025'!$P88), 0, 1), 3, if(ISBLANK('2025'!$Q88), 0, 1), 4, if(ISBLANK('2025'!$R88), 0, 1), 5, if(ISBLANK('2025'!$S88), 0, 1), 6, if(ISBLANK('2025'!$T88), 0, 1), 7, 0))), 1, "")</f>
        <v/>
      </c>
      <c r="K90" s="1" t="str">
        <f>IF(AND(AND(AND(K$4&gt;='2025'!$L88,K$4&lt;='2025'!$M88), K$4&lt;&gt;DATE(2025,7,4)), (SWITCH(weekday(K$4), 1, 0, 2, if(ISBLANK('2025'!$P88), 0, 1), 3, if(ISBLANK('2025'!$Q88), 0, 1), 4, if(ISBLANK('2025'!$R88), 0, 1), 5, if(ISBLANK('2025'!$S88), 0, 1), 6, if(ISBLANK('2025'!$T88), 0, 1), 7, 0))), 1, "")</f>
        <v/>
      </c>
      <c r="L90" s="1" t="str">
        <f>IF(AND(AND(AND(L$4&gt;='2025'!$L88,L$4&lt;='2025'!$M88), L$4&lt;&gt;DATE(2025,7,4)), (SWITCH(weekday(L$4), 1, 0, 2, if(ISBLANK('2025'!$P88), 0, 1), 3, if(ISBLANK('2025'!$Q88), 0, 1), 4, if(ISBLANK('2025'!$R88), 0, 1), 5, if(ISBLANK('2025'!$S88), 0, 1), 6, if(ISBLANK('2025'!$T88), 0, 1), 7, 0))), 1, "")</f>
        <v/>
      </c>
      <c r="M90" s="1" t="str">
        <f>IF(AND(AND(AND(M$4&gt;='2025'!$L88,M$4&lt;='2025'!$M88), M$4&lt;&gt;DATE(2025,7,4)), (SWITCH(weekday(M$4), 1, 0, 2, if(ISBLANK('2025'!$P88), 0, 1), 3, if(ISBLANK('2025'!$Q88), 0, 1), 4, if(ISBLANK('2025'!$R88), 0, 1), 5, if(ISBLANK('2025'!$S88), 0, 1), 6, if(ISBLANK('2025'!$T88), 0, 1), 7, 0))), 1, "")</f>
        <v/>
      </c>
      <c r="N90" s="1" t="str">
        <f>IF(AND(AND(AND(N$4&gt;='2025'!$L88,N$4&lt;='2025'!$M88), N$4&lt;&gt;DATE(2025,7,4)), (SWITCH(weekday(N$4), 1, 0, 2, if(ISBLANK('2025'!$P88), 0, 1), 3, if(ISBLANK('2025'!$Q88), 0, 1), 4, if(ISBLANK('2025'!$R88), 0, 1), 5, if(ISBLANK('2025'!$S88), 0, 1), 6, if(ISBLANK('2025'!$T88), 0, 1), 7, 0))), 1, "")</f>
        <v/>
      </c>
      <c r="O90" s="1" t="str">
        <f>IF(AND(AND(AND(O$4&gt;='2025'!$L88,O$4&lt;='2025'!$M88), O$4&lt;&gt;DATE(2025,7,4)), (SWITCH(weekday(O$4), 1, 0, 2, if(ISBLANK('2025'!$P88), 0, 1), 3, if(ISBLANK('2025'!$Q88), 0, 1), 4, if(ISBLANK('2025'!$R88), 0, 1), 5, if(ISBLANK('2025'!$S88), 0, 1), 6, if(ISBLANK('2025'!$T88), 0, 1), 7, 0))), 1, "")</f>
        <v/>
      </c>
      <c r="P90" s="1" t="str">
        <f>IF(AND(AND(AND(P$4&gt;='2025'!$L88,P$4&lt;='2025'!$M88), P$4&lt;&gt;DATE(2025,7,4)), (SWITCH(weekday(P$4), 1, 0, 2, if(ISBLANK('2025'!$P88), 0, 1), 3, if(ISBLANK('2025'!$Q88), 0, 1), 4, if(ISBLANK('2025'!$R88), 0, 1), 5, if(ISBLANK('2025'!$S88), 0, 1), 6, if(ISBLANK('2025'!$T88), 0, 1), 7, 0))), 1, "")</f>
        <v/>
      </c>
      <c r="Q90" s="1" t="str">
        <f>IF(AND(AND(AND(Q$4&gt;='2025'!$L88,Q$4&lt;='2025'!$M88), Q$4&lt;&gt;DATE(2025,7,4)), (SWITCH(weekday(Q$4), 1, 0, 2, if(ISBLANK('2025'!$P88), 0, 1), 3, if(ISBLANK('2025'!$Q88), 0, 1), 4, if(ISBLANK('2025'!$R88), 0, 1), 5, if(ISBLANK('2025'!$S88), 0, 1), 6, if(ISBLANK('2025'!$T88), 0, 1), 7, 0))), 1, "")</f>
        <v/>
      </c>
      <c r="R90" s="1" t="str">
        <f>IF(AND(AND(AND(R$4&gt;='2025'!$L88,R$4&lt;='2025'!$M88), R$4&lt;&gt;DATE(2025,7,4)), (SWITCH(weekday(R$4), 1, 0, 2, if(ISBLANK('2025'!$P88), 0, 1), 3, if(ISBLANK('2025'!$Q88), 0, 1), 4, if(ISBLANK('2025'!$R88), 0, 1), 5, if(ISBLANK('2025'!$S88), 0, 1), 6, if(ISBLANK('2025'!$T88), 0, 1), 7, 0))), 1, "")</f>
        <v/>
      </c>
      <c r="S90" s="1" t="str">
        <f>IF(AND(AND(AND(S$4&gt;='2025'!$L88,S$4&lt;='2025'!$M88), S$4&lt;&gt;DATE(2025,7,4)), (SWITCH(weekday(S$4), 1, 0, 2, if(ISBLANK('2025'!$P88), 0, 1), 3, if(ISBLANK('2025'!$Q88), 0, 1), 4, if(ISBLANK('2025'!$R88), 0, 1), 5, if(ISBLANK('2025'!$S88), 0, 1), 6, if(ISBLANK('2025'!$T88), 0, 1), 7, 0))), 1, "")</f>
        <v/>
      </c>
      <c r="T90" s="1" t="str">
        <f>IF(AND(AND(AND(T$4&gt;='2025'!$L88,T$4&lt;='2025'!$M88), T$4&lt;&gt;DATE(2025,7,4)), (SWITCH(weekday(T$4), 1, 0, 2, if(ISBLANK('2025'!$P88), 0, 1), 3, if(ISBLANK('2025'!$Q88), 0, 1), 4, if(ISBLANK('2025'!$R88), 0, 1), 5, if(ISBLANK('2025'!$S88), 0, 1), 6, if(ISBLANK('2025'!$T88), 0, 1), 7, 0))), 1, "")</f>
        <v/>
      </c>
      <c r="U90" s="1" t="str">
        <f>IF(AND(AND(AND(U$4&gt;='2025'!$L88,U$4&lt;='2025'!$M88), U$4&lt;&gt;DATE(2025,7,4)), (SWITCH(weekday(U$4), 1, 0, 2, if(ISBLANK('2025'!$P88), 0, 1), 3, if(ISBLANK('2025'!$Q88), 0, 1), 4, if(ISBLANK('2025'!$R88), 0, 1), 5, if(ISBLANK('2025'!$S88), 0, 1), 6, if(ISBLANK('2025'!$T88), 0, 1), 7, 0))), 1, "")</f>
        <v/>
      </c>
      <c r="V90" s="1" t="str">
        <f>IF(AND(AND(AND(V$4&gt;='2025'!$L88,V$4&lt;='2025'!$M88), V$4&lt;&gt;DATE(2025,7,4)), (SWITCH(weekday(V$4), 1, 0, 2, if(ISBLANK('2025'!$P88), 0, 1), 3, if(ISBLANK('2025'!$Q88), 0, 1), 4, if(ISBLANK('2025'!$R88), 0, 1), 5, if(ISBLANK('2025'!$S88), 0, 1), 6, if(ISBLANK('2025'!$T88), 0, 1), 7, 0))), 1, "")</f>
        <v/>
      </c>
      <c r="W90" s="1" t="str">
        <f>IF(AND(AND(AND(W$4&gt;='2025'!$L88,W$4&lt;='2025'!$M88), W$4&lt;&gt;DATE(2025,7,4)), (SWITCH(weekday(W$4), 1, 0, 2, if(ISBLANK('2025'!$P88), 0, 1), 3, if(ISBLANK('2025'!$Q88), 0, 1), 4, if(ISBLANK('2025'!$R88), 0, 1), 5, if(ISBLANK('2025'!$S88), 0, 1), 6, if(ISBLANK('2025'!$T88), 0, 1), 7, 0))), 1, "")</f>
        <v/>
      </c>
      <c r="X90" s="1" t="str">
        <f>IF(AND(AND(AND(X$4&gt;='2025'!$L88,X$4&lt;='2025'!$M88), X$4&lt;&gt;DATE(2025,7,4)), (SWITCH(weekday(X$4), 1, 0, 2, if(ISBLANK('2025'!$P88), 0, 1), 3, if(ISBLANK('2025'!$Q88), 0, 1), 4, if(ISBLANK('2025'!$R88), 0, 1), 5, if(ISBLANK('2025'!$S88), 0, 1), 6, if(ISBLANK('2025'!$T88), 0, 1), 7, 0))), 1, "")</f>
        <v/>
      </c>
      <c r="Y90" s="1" t="str">
        <f>IF(AND(AND(AND(Y$4&gt;='2025'!$L88,Y$4&lt;='2025'!$M88), Y$4&lt;&gt;DATE(2025,7,4)), (SWITCH(weekday(Y$4), 1, 0, 2, if(ISBLANK('2025'!$P88), 0, 1), 3, if(ISBLANK('2025'!$Q88), 0, 1), 4, if(ISBLANK('2025'!$R88), 0, 1), 5, if(ISBLANK('2025'!$S88), 0, 1), 6, if(ISBLANK('2025'!$T88), 0, 1), 7, 0))), 1, "")</f>
        <v/>
      </c>
      <c r="Z90" s="1" t="str">
        <f>IF(AND(AND(AND(Z$4&gt;='2025'!$L88,Z$4&lt;='2025'!$M88), Z$4&lt;&gt;DATE(2025,7,4)), (SWITCH(weekday(Z$4), 1, 0, 2, if(ISBLANK('2025'!$P88), 0, 1), 3, if(ISBLANK('2025'!$Q88), 0, 1), 4, if(ISBLANK('2025'!$R88), 0, 1), 5, if(ISBLANK('2025'!$S88), 0, 1), 6, if(ISBLANK('2025'!$T88), 0, 1), 7, 0))), 1, "")</f>
        <v/>
      </c>
      <c r="AA90" s="1" t="str">
        <f>IF(AND(AND(AND(AA$4&gt;='2025'!$L88,AA$4&lt;='2025'!$M88), AA$4&lt;&gt;DATE(2025,7,4)), (SWITCH(weekday(AA$4), 1, 0, 2, if(ISBLANK('2025'!$P88), 0, 1), 3, if(ISBLANK('2025'!$Q88), 0, 1), 4, if(ISBLANK('2025'!$R88), 0, 1), 5, if(ISBLANK('2025'!$S88), 0, 1), 6, if(ISBLANK('2025'!$T88), 0, 1), 7, 0))), 1, "")</f>
        <v/>
      </c>
      <c r="AB90" s="1" t="str">
        <f>IF(AND(AND(AND(AB$4&gt;='2025'!$L88,AB$4&lt;='2025'!$M88), AB$4&lt;&gt;DATE(2025,7,4)), (SWITCH(weekday(AB$4), 1, 0, 2, if(ISBLANK('2025'!$P88), 0, 1), 3, if(ISBLANK('2025'!$Q88), 0, 1), 4, if(ISBLANK('2025'!$R88), 0, 1), 5, if(ISBLANK('2025'!$S88), 0, 1), 6, if(ISBLANK('2025'!$T88), 0, 1), 7, 0))), 1, "")</f>
        <v/>
      </c>
      <c r="AC90" s="1" t="str">
        <f>IF(AND(AND(AND(AC$4&gt;='2025'!$L88,AC$4&lt;='2025'!$M88), AC$4&lt;&gt;DATE(2025,7,4)), (SWITCH(weekday(AC$4), 1, 0, 2, if(ISBLANK('2025'!$P88), 0, 1), 3, if(ISBLANK('2025'!$Q88), 0, 1), 4, if(ISBLANK('2025'!$R88), 0, 1), 5, if(ISBLANK('2025'!$S88), 0, 1), 6, if(ISBLANK('2025'!$T88), 0, 1), 7, 0))), 1, "")</f>
        <v/>
      </c>
      <c r="AD90" s="1" t="str">
        <f>IF(AND(AND(AND(AD$4&gt;='2025'!$L88,AD$4&lt;='2025'!$M88), AD$4&lt;&gt;DATE(2025,7,4)), (SWITCH(weekday(AD$4), 1, 0, 2, if(ISBLANK('2025'!$P88), 0, 1), 3, if(ISBLANK('2025'!$Q88), 0, 1), 4, if(ISBLANK('2025'!$R88), 0, 1), 5, if(ISBLANK('2025'!$S88), 0, 1), 6, if(ISBLANK('2025'!$T88), 0, 1), 7, 0))), 1, "")</f>
        <v/>
      </c>
      <c r="AE90" s="1" t="str">
        <f>IF(AND(AND(AND(AE$4&gt;='2025'!$L88,AE$4&lt;='2025'!$M88), AE$4&lt;&gt;DATE(2025,7,4)), (SWITCH(weekday(AE$4), 1, 0, 2, if(ISBLANK('2025'!$P88), 0, 1), 3, if(ISBLANK('2025'!$Q88), 0, 1), 4, if(ISBLANK('2025'!$R88), 0, 1), 5, if(ISBLANK('2025'!$S88), 0, 1), 6, if(ISBLANK('2025'!$T88), 0, 1), 7, 0))), 1, "")</f>
        <v/>
      </c>
      <c r="AF90" s="1" t="str">
        <f>IF(AND(AND(AND(AF$4&gt;='2025'!$L88,AF$4&lt;='2025'!$M88), AF$4&lt;&gt;DATE(2025,7,4)), (SWITCH(weekday(AF$4), 1, 0, 2, if(ISBLANK('2025'!$P88), 0, 1), 3, if(ISBLANK('2025'!$Q88), 0, 1), 4, if(ISBLANK('2025'!$R88), 0, 1), 5, if(ISBLANK('2025'!$S88), 0, 1), 6, if(ISBLANK('2025'!$T88), 0, 1), 7, 0))), 1, "")</f>
        <v/>
      </c>
      <c r="AG90" s="1" t="str">
        <f>IF(AND(AND(AND(AG$4&gt;='2025'!$L88,AG$4&lt;='2025'!$M88), AG$4&lt;&gt;DATE(2025,7,4)), (SWITCH(weekday(AG$4), 1, 0, 2, if(ISBLANK('2025'!$P88), 0, 1), 3, if(ISBLANK('2025'!$Q88), 0, 1), 4, if(ISBLANK('2025'!$R88), 0, 1), 5, if(ISBLANK('2025'!$S88), 0, 1), 6, if(ISBLANK('2025'!$T88), 0, 1), 7, 0))), 1, "")</f>
        <v/>
      </c>
      <c r="AH90" s="1" t="str">
        <f>IF(AND(AND(AND(AH$4&gt;='2025'!$L88,AH$4&lt;='2025'!$M88), AH$4&lt;&gt;DATE(2025,7,4)), (SWITCH(weekday(AH$4), 1, 0, 2, if(ISBLANK('2025'!$P88), 0, 1), 3, if(ISBLANK('2025'!$Q88), 0, 1), 4, if(ISBLANK('2025'!$R88), 0, 1), 5, if(ISBLANK('2025'!$S88), 0, 1), 6, if(ISBLANK('2025'!$T88), 0, 1), 7, 0))), 1, "")</f>
        <v/>
      </c>
      <c r="AI90" s="1" t="str">
        <f>IF(AND(AND(AND(AI$4&gt;='2025'!$L88,AI$4&lt;='2025'!$M88), AI$4&lt;&gt;DATE(2025,7,4)), (SWITCH(weekday(AI$4), 1, 0, 2, if(ISBLANK('2025'!$P88), 0, 1), 3, if(ISBLANK('2025'!$Q88), 0, 1), 4, if(ISBLANK('2025'!$R88), 0, 1), 5, if(ISBLANK('2025'!$S88), 0, 1), 6, if(ISBLANK('2025'!$T88), 0, 1), 7, 0))), 1, "")</f>
        <v/>
      </c>
      <c r="AJ90" s="1" t="str">
        <f>IF(AND(AND(AND(AJ$4&gt;='2025'!$L88,AJ$4&lt;='2025'!$M88), AJ$4&lt;&gt;DATE(2025,7,4)), (SWITCH(weekday(AJ$4), 1, 0, 2, if(ISBLANK('2025'!$P88), 0, 1), 3, if(ISBLANK('2025'!$Q88), 0, 1), 4, if(ISBLANK('2025'!$R88), 0, 1), 5, if(ISBLANK('2025'!$S88), 0, 1), 6, if(ISBLANK('2025'!$T88), 0, 1), 7, 0))), 1, "")</f>
        <v/>
      </c>
      <c r="AK90" s="1" t="str">
        <f>IF(AND(AND(AND(AK$4&gt;='2025'!$L88,AK$4&lt;='2025'!$M88), AK$4&lt;&gt;DATE(2025,7,4)), (SWITCH(weekday(AK$4), 1, 0, 2, if(ISBLANK('2025'!$P88), 0, 1), 3, if(ISBLANK('2025'!$Q88), 0, 1), 4, if(ISBLANK('2025'!$R88), 0, 1), 5, if(ISBLANK('2025'!$S88), 0, 1), 6, if(ISBLANK('2025'!$T88), 0, 1), 7, 0))), 1, "")</f>
        <v/>
      </c>
      <c r="AL90" s="1" t="str">
        <f>IF(AND(AND(AND(AL$4&gt;='2025'!$L88,AL$4&lt;='2025'!$M88), AL$4&lt;&gt;DATE(2025,7,4)), (SWITCH(weekday(AL$4), 1, 0, 2, if(ISBLANK('2025'!$P88), 0, 1), 3, if(ISBLANK('2025'!$Q88), 0, 1), 4, if(ISBLANK('2025'!$R88), 0, 1), 5, if(ISBLANK('2025'!$S88), 0, 1), 6, if(ISBLANK('2025'!$T88), 0, 1), 7, 0))), 1, "")</f>
        <v/>
      </c>
      <c r="AM90" s="1" t="str">
        <f>IF(AND(AND(AND(AM$4&gt;='2025'!$L88,AM$4&lt;='2025'!$M88), AM$4&lt;&gt;DATE(2025,7,4)), (SWITCH(weekday(AM$4), 1, 0, 2, if(ISBLANK('2025'!$P88), 0, 1), 3, if(ISBLANK('2025'!$Q88), 0, 1), 4, if(ISBLANK('2025'!$R88), 0, 1), 5, if(ISBLANK('2025'!$S88), 0, 1), 6, if(ISBLANK('2025'!$T88), 0, 1), 7, 0))), 1, "")</f>
        <v/>
      </c>
      <c r="AN90" s="1" t="str">
        <f>IF(AND(AND(AND(AN$4&gt;='2025'!$L88,AN$4&lt;='2025'!$M88), AN$4&lt;&gt;DATE(2025,7,4)), (SWITCH(weekday(AN$4), 1, 0, 2, if(ISBLANK('2025'!$P88), 0, 1), 3, if(ISBLANK('2025'!$Q88), 0, 1), 4, if(ISBLANK('2025'!$R88), 0, 1), 5, if(ISBLANK('2025'!$S88), 0, 1), 6, if(ISBLANK('2025'!$T88), 0, 1), 7, 0))), 1, "")</f>
        <v/>
      </c>
      <c r="AO90" s="1" t="str">
        <f>IF(AND(AND(AND(AO$4&gt;='2025'!$L88,AO$4&lt;='2025'!$M88), AO$4&lt;&gt;DATE(2025,7,4)), (SWITCH(weekday(AO$4), 1, 0, 2, if(ISBLANK('2025'!$P88), 0, 1), 3, if(ISBLANK('2025'!$Q88), 0, 1), 4, if(ISBLANK('2025'!$R88), 0, 1), 5, if(ISBLANK('2025'!$S88), 0, 1), 6, if(ISBLANK('2025'!$T88), 0, 1), 7, 0))), 1, "")</f>
        <v/>
      </c>
      <c r="AP90" s="1" t="str">
        <f>IF(AND(AND(AND(AP$4&gt;='2025'!$L88,AP$4&lt;='2025'!$M88), AP$4&lt;&gt;DATE(2025,7,4)), (SWITCH(weekday(AP$4), 1, 0, 2, if(ISBLANK('2025'!$P88), 0, 1), 3, if(ISBLANK('2025'!$Q88), 0, 1), 4, if(ISBLANK('2025'!$R88), 0, 1), 5, if(ISBLANK('2025'!$S88), 0, 1), 6, if(ISBLANK('2025'!$T88), 0, 1), 7, 0))), 1, "")</f>
        <v/>
      </c>
      <c r="AQ90" s="1" t="str">
        <f>IF(AND(AND(AND(AQ$4&gt;='2025'!$L88,AQ$4&lt;='2025'!$M88), AQ$4&lt;&gt;DATE(2025,7,4)), (SWITCH(weekday(AQ$4), 1, 0, 2, if(ISBLANK('2025'!$P88), 0, 1), 3, if(ISBLANK('2025'!$Q88), 0, 1), 4, if(ISBLANK('2025'!$R88), 0, 1), 5, if(ISBLANK('2025'!$S88), 0, 1), 6, if(ISBLANK('2025'!$T88), 0, 1), 7, 0))), 1, "")</f>
        <v/>
      </c>
      <c r="AR90" s="1" t="str">
        <f>IF(AND(AND(AND(AR$4&gt;='2025'!$L88,AR$4&lt;='2025'!$M88), AR$4&lt;&gt;DATE(2025,7,4)), (SWITCH(weekday(AR$4), 1, 0, 2, if(ISBLANK('2025'!$P88), 0, 1), 3, if(ISBLANK('2025'!$Q88), 0, 1), 4, if(ISBLANK('2025'!$R88), 0, 1), 5, if(ISBLANK('2025'!$S88), 0, 1), 6, if(ISBLANK('2025'!$T88), 0, 1), 7, 0))), 1, "")</f>
        <v/>
      </c>
      <c r="AS90" s="1" t="str">
        <f>IF(AND(AND(AND(AS$4&gt;='2025'!$L88,AS$4&lt;='2025'!$M88), AS$4&lt;&gt;DATE(2025,7,4)), (SWITCH(weekday(AS$4), 1, 0, 2, if(ISBLANK('2025'!$P88), 0, 1), 3, if(ISBLANK('2025'!$Q88), 0, 1), 4, if(ISBLANK('2025'!$R88), 0, 1), 5, if(ISBLANK('2025'!$S88), 0, 1), 6, if(ISBLANK('2025'!$T88), 0, 1), 7, 0))), 1, "")</f>
        <v/>
      </c>
      <c r="AT90" s="1" t="str">
        <f>IF(AND(AND(AND(AT$4&gt;='2025'!$L88,AT$4&lt;='2025'!$M88), AT$4&lt;&gt;DATE(2025,7,4)), (SWITCH(weekday(AT$4), 1, 0, 2, if(ISBLANK('2025'!$P88), 0, 1), 3, if(ISBLANK('2025'!$Q88), 0, 1), 4, if(ISBLANK('2025'!$R88), 0, 1), 5, if(ISBLANK('2025'!$S88), 0, 1), 6, if(ISBLANK('2025'!$T88), 0, 1), 7, 0))), 1, "")</f>
        <v/>
      </c>
      <c r="AU90" s="1" t="str">
        <f>IF(AND(AND(AND(AU$4&gt;='2025'!$L88,AU$4&lt;='2025'!$M88), AU$4&lt;&gt;DATE(2025,7,4)), (SWITCH(weekday(AU$4), 1, 0, 2, if(ISBLANK('2025'!$P88), 0, 1), 3, if(ISBLANK('2025'!$Q88), 0, 1), 4, if(ISBLANK('2025'!$R88), 0, 1), 5, if(ISBLANK('2025'!$S88), 0, 1), 6, if(ISBLANK('2025'!$T88), 0, 1), 7, 0))), 1, "")</f>
        <v/>
      </c>
      <c r="AV90" s="1" t="str">
        <f>IF(AND(AND(AND(AV$4&gt;='2025'!$L88,AV$4&lt;='2025'!$M88), AV$4&lt;&gt;DATE(2025,7,4)), (SWITCH(weekday(AV$4), 1, 0, 2, if(ISBLANK('2025'!$P88), 0, 1), 3, if(ISBLANK('2025'!$Q88), 0, 1), 4, if(ISBLANK('2025'!$R88), 0, 1), 5, if(ISBLANK('2025'!$S88), 0, 1), 6, if(ISBLANK('2025'!$T88), 0, 1), 7, 0))), 1, "")</f>
        <v/>
      </c>
      <c r="AW90" s="1" t="str">
        <f>IF(AND(AND(AND(AW$4&gt;='2025'!$L88,AW$4&lt;='2025'!$M88), AW$4&lt;&gt;DATE(2025,7,4)), (SWITCH(weekday(AW$4), 1, 0, 2, if(ISBLANK('2025'!$P88), 0, 1), 3, if(ISBLANK('2025'!$Q88), 0, 1), 4, if(ISBLANK('2025'!$R88), 0, 1), 5, if(ISBLANK('2025'!$S88), 0, 1), 6, if(ISBLANK('2025'!$T88), 0, 1), 7, 0))), 1, "")</f>
        <v/>
      </c>
      <c r="AX90" s="1" t="str">
        <f>IF(AND(AND(AND(AX$4&gt;='2025'!$L88,AX$4&lt;='2025'!$M88), AX$4&lt;&gt;DATE(2025,7,4)), (SWITCH(weekday(AX$4), 1, 0, 2, if(ISBLANK('2025'!$P88), 0, 1), 3, if(ISBLANK('2025'!$Q88), 0, 1), 4, if(ISBLANK('2025'!$R88), 0, 1), 5, if(ISBLANK('2025'!$S88), 0, 1), 6, if(ISBLANK('2025'!$T88), 0, 1), 7, 0))), 1, "")</f>
        <v/>
      </c>
      <c r="AY90" s="1" t="str">
        <f>IF(AND(AND(AND(AY$4&gt;='2025'!$L88,AY$4&lt;='2025'!$M88), AY$4&lt;&gt;DATE(2025,7,4)), (SWITCH(weekday(AY$4), 1, 0, 2, if(ISBLANK('2025'!$P88), 0, 1), 3, if(ISBLANK('2025'!$Q88), 0, 1), 4, if(ISBLANK('2025'!$R88), 0, 1), 5, if(ISBLANK('2025'!$S88), 0, 1), 6, if(ISBLANK('2025'!$T88), 0, 1), 7, 0))), 1, "")</f>
        <v/>
      </c>
      <c r="AZ90" s="1" t="str">
        <f>IF(AND(AND(AND(AZ$4&gt;='2025'!$L88,AZ$4&lt;='2025'!$M88), AZ$4&lt;&gt;DATE(2025,7,4)), (SWITCH(weekday(AZ$4), 1, 0, 2, if(ISBLANK('2025'!$P88), 0, 1), 3, if(ISBLANK('2025'!$Q88), 0, 1), 4, if(ISBLANK('2025'!$R88), 0, 1), 5, if(ISBLANK('2025'!$S88), 0, 1), 6, if(ISBLANK('2025'!$T88), 0, 1), 7, 0))), 1, "")</f>
        <v/>
      </c>
      <c r="BA90" s="1" t="str">
        <f>IF(AND(AND(AND(BA$4&gt;='2025'!$L88,BA$4&lt;='2025'!$M88), BA$4&lt;&gt;DATE(2025,7,4)), (SWITCH(weekday(BA$4), 1, 0, 2, if(ISBLANK('2025'!$P88), 0, 1), 3, if(ISBLANK('2025'!$Q88), 0, 1), 4, if(ISBLANK('2025'!$R88), 0, 1), 5, if(ISBLANK('2025'!$S88), 0, 1), 6, if(ISBLANK('2025'!$T88), 0, 1), 7, 0))), 1, "")</f>
        <v/>
      </c>
      <c r="BB90" s="1" t="str">
        <f>IF(AND(AND(AND(BB$4&gt;='2025'!$L88,BB$4&lt;='2025'!$M88), BB$4&lt;&gt;DATE(2025,7,4)), (SWITCH(weekday(BB$4), 1, 0, 2, if(ISBLANK('2025'!$P88), 0, 1), 3, if(ISBLANK('2025'!$Q88), 0, 1), 4, if(ISBLANK('2025'!$R88), 0, 1), 5, if(ISBLANK('2025'!$S88), 0, 1), 6, if(ISBLANK('2025'!$T88), 0, 1), 7, 0))), 1, "")</f>
        <v/>
      </c>
      <c r="BC90" s="1" t="str">
        <f>IF(AND(AND(AND(BC$4&gt;='2025'!$L88,BC$4&lt;='2025'!$M88), BC$4&lt;&gt;DATE(2025,7,4)), (SWITCH(weekday(BC$4), 1, 0, 2, if(ISBLANK('2025'!$P88), 0, 1), 3, if(ISBLANK('2025'!$Q88), 0, 1), 4, if(ISBLANK('2025'!$R88), 0, 1), 5, if(ISBLANK('2025'!$S88), 0, 1), 6, if(ISBLANK('2025'!$T88), 0, 1), 7, 0))), 1, "")</f>
        <v/>
      </c>
      <c r="BD90" s="1" t="str">
        <f>IF(AND(AND(AND(BD$4&gt;='2025'!$L88,BD$4&lt;='2025'!$M88), BD$4&lt;&gt;DATE(2025,7,4)), (SWITCH(weekday(BD$4), 1, 0, 2, if(ISBLANK('2025'!$P88), 0, 1), 3, if(ISBLANK('2025'!$Q88), 0, 1), 4, if(ISBLANK('2025'!$R88), 0, 1), 5, if(ISBLANK('2025'!$S88), 0, 1), 6, if(ISBLANK('2025'!$T88), 0, 1), 7, 0))), 1, "")</f>
        <v/>
      </c>
      <c r="BE90" s="1" t="str">
        <f>IF(AND(AND(AND(BE$4&gt;='2025'!$L88,BE$4&lt;='2025'!$M88), BE$4&lt;&gt;DATE(2025,7,4)), (SWITCH(weekday(BE$4), 1, 0, 2, if(ISBLANK('2025'!$P88), 0, 1), 3, if(ISBLANK('2025'!$Q88), 0, 1), 4, if(ISBLANK('2025'!$R88), 0, 1), 5, if(ISBLANK('2025'!$S88), 0, 1), 6, if(ISBLANK('2025'!$T88), 0, 1), 7, 0))), 1, "")</f>
        <v/>
      </c>
      <c r="BF90" s="1" t="str">
        <f>IF(AND(AND(AND(BF$4&gt;='2025'!$L88,BF$4&lt;='2025'!$M88), BF$4&lt;&gt;DATE(2025,7,4)), (SWITCH(weekday(BF$4), 1, 0, 2, if(ISBLANK('2025'!$P88), 0, 1), 3, if(ISBLANK('2025'!$Q88), 0, 1), 4, if(ISBLANK('2025'!$R88), 0, 1), 5, if(ISBLANK('2025'!$S88), 0, 1), 6, if(ISBLANK('2025'!$T88), 0, 1), 7, 0))), 1, "")</f>
        <v/>
      </c>
      <c r="BG90" s="1"/>
      <c r="BH90" s="1"/>
      <c r="BI90" s="1"/>
      <c r="BJ90" s="1"/>
      <c r="BK90" s="1"/>
      <c r="BL90" s="1"/>
    </row>
    <row r="91">
      <c r="A91" s="1">
        <f t="shared" si="3"/>
        <v>91</v>
      </c>
      <c r="B91" s="1" t="str">
        <f>'2025'!D55</f>
        <v/>
      </c>
      <c r="C91" s="1" t="str">
        <f>'2025'!H55</f>
        <v/>
      </c>
      <c r="D91" s="1" t="str">
        <f>IF(AND(AND(AND(D$4&gt;='2025'!$L89,D$4&lt;='2025'!$M89), D$4&lt;&gt;DATE(2025,7,4)), (SWITCH(weekday(D$4), 1, 0, 2, if(ISBLANK('2025'!$P89), 0, 1), 3, if(ISBLANK('2025'!$Q89), 0, 1), 4, if(ISBLANK('2025'!$R89), 0, 1), 5, if(ISBLANK('2025'!$S89), 0, 1), 6, if(ISBLANK('2025'!$T89), 0, 1), 7, 0))), 1, "")</f>
        <v/>
      </c>
      <c r="E91" s="1" t="str">
        <f>IF(AND(AND(AND(E$4&gt;='2025'!$L89,E$4&lt;='2025'!$M89), E$4&lt;&gt;DATE(2025,7,4)), (SWITCH(weekday(E$4), 1, 0, 2, if(ISBLANK('2025'!$P89), 0, 1), 3, if(ISBLANK('2025'!$Q89), 0, 1), 4, if(ISBLANK('2025'!$R89), 0, 1), 5, if(ISBLANK('2025'!$S89), 0, 1), 6, if(ISBLANK('2025'!$T89), 0, 1), 7, 0))), 1, "")</f>
        <v/>
      </c>
      <c r="F91" s="1" t="str">
        <f>IF(AND(AND(AND(F$4&gt;='2025'!$L89,F$4&lt;='2025'!$M89), F$4&lt;&gt;DATE(2025,7,4)), (SWITCH(weekday(F$4), 1, 0, 2, if(ISBLANK('2025'!$P89), 0, 1), 3, if(ISBLANK('2025'!$Q89), 0, 1), 4, if(ISBLANK('2025'!$R89), 0, 1), 5, if(ISBLANK('2025'!$S89), 0, 1), 6, if(ISBLANK('2025'!$T89), 0, 1), 7, 0))), 1, "")</f>
        <v/>
      </c>
      <c r="G91" s="1" t="str">
        <f>IF(AND(AND(AND(G$4&gt;='2025'!$L89,G$4&lt;='2025'!$M89), G$4&lt;&gt;DATE(2025,7,4)), (SWITCH(weekday(G$4), 1, 0, 2, if(ISBLANK('2025'!$P89), 0, 1), 3, if(ISBLANK('2025'!$Q89), 0, 1), 4, if(ISBLANK('2025'!$R89), 0, 1), 5, if(ISBLANK('2025'!$S89), 0, 1), 6, if(ISBLANK('2025'!$T89), 0, 1), 7, 0))), 1, "")</f>
        <v/>
      </c>
      <c r="H91" s="1" t="str">
        <f>IF(AND(AND(AND(H$4&gt;='2025'!$L89,H$4&lt;='2025'!$M89), H$4&lt;&gt;DATE(2025,7,4)), (SWITCH(weekday(H$4), 1, 0, 2, if(ISBLANK('2025'!$P89), 0, 1), 3, if(ISBLANK('2025'!$Q89), 0, 1), 4, if(ISBLANK('2025'!$R89), 0, 1), 5, if(ISBLANK('2025'!$S89), 0, 1), 6, if(ISBLANK('2025'!$T89), 0, 1), 7, 0))), 1, "")</f>
        <v/>
      </c>
      <c r="I91" s="1" t="str">
        <f>IF(AND(AND(AND(I$4&gt;='2025'!$L89,I$4&lt;='2025'!$M89), I$4&lt;&gt;DATE(2025,7,4)), (SWITCH(weekday(I$4), 1, 0, 2, if(ISBLANK('2025'!$P89), 0, 1), 3, if(ISBLANK('2025'!$Q89), 0, 1), 4, if(ISBLANK('2025'!$R89), 0, 1), 5, if(ISBLANK('2025'!$S89), 0, 1), 6, if(ISBLANK('2025'!$T89), 0, 1), 7, 0))), 1, "")</f>
        <v/>
      </c>
      <c r="J91" s="1" t="str">
        <f>IF(AND(AND(AND(J$4&gt;='2025'!$L89,J$4&lt;='2025'!$M89), J$4&lt;&gt;DATE(2025,7,4)), (SWITCH(weekday(J$4), 1, 0, 2, if(ISBLANK('2025'!$P89), 0, 1), 3, if(ISBLANK('2025'!$Q89), 0, 1), 4, if(ISBLANK('2025'!$R89), 0, 1), 5, if(ISBLANK('2025'!$S89), 0, 1), 6, if(ISBLANK('2025'!$T89), 0, 1), 7, 0))), 1, "")</f>
        <v/>
      </c>
      <c r="K91" s="1" t="str">
        <f>IF(AND(AND(AND(K$4&gt;='2025'!$L89,K$4&lt;='2025'!$M89), K$4&lt;&gt;DATE(2025,7,4)), (SWITCH(weekday(K$4), 1, 0, 2, if(ISBLANK('2025'!$P89), 0, 1), 3, if(ISBLANK('2025'!$Q89), 0, 1), 4, if(ISBLANK('2025'!$R89), 0, 1), 5, if(ISBLANK('2025'!$S89), 0, 1), 6, if(ISBLANK('2025'!$T89), 0, 1), 7, 0))), 1, "")</f>
        <v/>
      </c>
      <c r="L91" s="1" t="str">
        <f>IF(AND(AND(AND(L$4&gt;='2025'!$L89,L$4&lt;='2025'!$M89), L$4&lt;&gt;DATE(2025,7,4)), (SWITCH(weekday(L$4), 1, 0, 2, if(ISBLANK('2025'!$P89), 0, 1), 3, if(ISBLANK('2025'!$Q89), 0, 1), 4, if(ISBLANK('2025'!$R89), 0, 1), 5, if(ISBLANK('2025'!$S89), 0, 1), 6, if(ISBLANK('2025'!$T89), 0, 1), 7, 0))), 1, "")</f>
        <v/>
      </c>
      <c r="M91" s="1" t="str">
        <f>IF(AND(AND(AND(M$4&gt;='2025'!$L89,M$4&lt;='2025'!$M89), M$4&lt;&gt;DATE(2025,7,4)), (SWITCH(weekday(M$4), 1, 0, 2, if(ISBLANK('2025'!$P89), 0, 1), 3, if(ISBLANK('2025'!$Q89), 0, 1), 4, if(ISBLANK('2025'!$R89), 0, 1), 5, if(ISBLANK('2025'!$S89), 0, 1), 6, if(ISBLANK('2025'!$T89), 0, 1), 7, 0))), 1, "")</f>
        <v/>
      </c>
      <c r="N91" s="1" t="str">
        <f>IF(AND(AND(AND(N$4&gt;='2025'!$L89,N$4&lt;='2025'!$M89), N$4&lt;&gt;DATE(2025,7,4)), (SWITCH(weekday(N$4), 1, 0, 2, if(ISBLANK('2025'!$P89), 0, 1), 3, if(ISBLANK('2025'!$Q89), 0, 1), 4, if(ISBLANK('2025'!$R89), 0, 1), 5, if(ISBLANK('2025'!$S89), 0, 1), 6, if(ISBLANK('2025'!$T89), 0, 1), 7, 0))), 1, "")</f>
        <v/>
      </c>
      <c r="O91" s="1" t="str">
        <f>IF(AND(AND(AND(O$4&gt;='2025'!$L89,O$4&lt;='2025'!$M89), O$4&lt;&gt;DATE(2025,7,4)), (SWITCH(weekday(O$4), 1, 0, 2, if(ISBLANK('2025'!$P89), 0, 1), 3, if(ISBLANK('2025'!$Q89), 0, 1), 4, if(ISBLANK('2025'!$R89), 0, 1), 5, if(ISBLANK('2025'!$S89), 0, 1), 6, if(ISBLANK('2025'!$T89), 0, 1), 7, 0))), 1, "")</f>
        <v/>
      </c>
      <c r="P91" s="1" t="str">
        <f>IF(AND(AND(AND(P$4&gt;='2025'!$L89,P$4&lt;='2025'!$M89), P$4&lt;&gt;DATE(2025,7,4)), (SWITCH(weekday(P$4), 1, 0, 2, if(ISBLANK('2025'!$P89), 0, 1), 3, if(ISBLANK('2025'!$Q89), 0, 1), 4, if(ISBLANK('2025'!$R89), 0, 1), 5, if(ISBLANK('2025'!$S89), 0, 1), 6, if(ISBLANK('2025'!$T89), 0, 1), 7, 0))), 1, "")</f>
        <v/>
      </c>
      <c r="Q91" s="1" t="str">
        <f>IF(AND(AND(AND(Q$4&gt;='2025'!$L89,Q$4&lt;='2025'!$M89), Q$4&lt;&gt;DATE(2025,7,4)), (SWITCH(weekday(Q$4), 1, 0, 2, if(ISBLANK('2025'!$P89), 0, 1), 3, if(ISBLANK('2025'!$Q89), 0, 1), 4, if(ISBLANK('2025'!$R89), 0, 1), 5, if(ISBLANK('2025'!$S89), 0, 1), 6, if(ISBLANK('2025'!$T89), 0, 1), 7, 0))), 1, "")</f>
        <v/>
      </c>
      <c r="R91" s="1" t="str">
        <f>IF(AND(AND(AND(R$4&gt;='2025'!$L89,R$4&lt;='2025'!$M89), R$4&lt;&gt;DATE(2025,7,4)), (SWITCH(weekday(R$4), 1, 0, 2, if(ISBLANK('2025'!$P89), 0, 1), 3, if(ISBLANK('2025'!$Q89), 0, 1), 4, if(ISBLANK('2025'!$R89), 0, 1), 5, if(ISBLANK('2025'!$S89), 0, 1), 6, if(ISBLANK('2025'!$T89), 0, 1), 7, 0))), 1, "")</f>
        <v/>
      </c>
      <c r="S91" s="1" t="str">
        <f>IF(AND(AND(AND(S$4&gt;='2025'!$L89,S$4&lt;='2025'!$M89), S$4&lt;&gt;DATE(2025,7,4)), (SWITCH(weekday(S$4), 1, 0, 2, if(ISBLANK('2025'!$P89), 0, 1), 3, if(ISBLANK('2025'!$Q89), 0, 1), 4, if(ISBLANK('2025'!$R89), 0, 1), 5, if(ISBLANK('2025'!$S89), 0, 1), 6, if(ISBLANK('2025'!$T89), 0, 1), 7, 0))), 1, "")</f>
        <v/>
      </c>
      <c r="T91" s="1" t="str">
        <f>IF(AND(AND(AND(T$4&gt;='2025'!$L89,T$4&lt;='2025'!$M89), T$4&lt;&gt;DATE(2025,7,4)), (SWITCH(weekday(T$4), 1, 0, 2, if(ISBLANK('2025'!$P89), 0, 1), 3, if(ISBLANK('2025'!$Q89), 0, 1), 4, if(ISBLANK('2025'!$R89), 0, 1), 5, if(ISBLANK('2025'!$S89), 0, 1), 6, if(ISBLANK('2025'!$T89), 0, 1), 7, 0))), 1, "")</f>
        <v/>
      </c>
      <c r="U91" s="1" t="str">
        <f>IF(AND(AND(AND(U$4&gt;='2025'!$L89,U$4&lt;='2025'!$M89), U$4&lt;&gt;DATE(2025,7,4)), (SWITCH(weekday(U$4), 1, 0, 2, if(ISBLANK('2025'!$P89), 0, 1), 3, if(ISBLANK('2025'!$Q89), 0, 1), 4, if(ISBLANK('2025'!$R89), 0, 1), 5, if(ISBLANK('2025'!$S89), 0, 1), 6, if(ISBLANK('2025'!$T89), 0, 1), 7, 0))), 1, "")</f>
        <v/>
      </c>
      <c r="V91" s="1" t="str">
        <f>IF(AND(AND(AND(V$4&gt;='2025'!$L89,V$4&lt;='2025'!$M89), V$4&lt;&gt;DATE(2025,7,4)), (SWITCH(weekday(V$4), 1, 0, 2, if(ISBLANK('2025'!$P89), 0, 1), 3, if(ISBLANK('2025'!$Q89), 0, 1), 4, if(ISBLANK('2025'!$R89), 0, 1), 5, if(ISBLANK('2025'!$S89), 0, 1), 6, if(ISBLANK('2025'!$T89), 0, 1), 7, 0))), 1, "")</f>
        <v/>
      </c>
      <c r="W91" s="1" t="str">
        <f>IF(AND(AND(AND(W$4&gt;='2025'!$L89,W$4&lt;='2025'!$M89), W$4&lt;&gt;DATE(2025,7,4)), (SWITCH(weekday(W$4), 1, 0, 2, if(ISBLANK('2025'!$P89), 0, 1), 3, if(ISBLANK('2025'!$Q89), 0, 1), 4, if(ISBLANK('2025'!$R89), 0, 1), 5, if(ISBLANK('2025'!$S89), 0, 1), 6, if(ISBLANK('2025'!$T89), 0, 1), 7, 0))), 1, "")</f>
        <v/>
      </c>
      <c r="X91" s="1" t="str">
        <f>IF(AND(AND(AND(X$4&gt;='2025'!$L89,X$4&lt;='2025'!$M89), X$4&lt;&gt;DATE(2025,7,4)), (SWITCH(weekday(X$4), 1, 0, 2, if(ISBLANK('2025'!$P89), 0, 1), 3, if(ISBLANK('2025'!$Q89), 0, 1), 4, if(ISBLANK('2025'!$R89), 0, 1), 5, if(ISBLANK('2025'!$S89), 0, 1), 6, if(ISBLANK('2025'!$T89), 0, 1), 7, 0))), 1, "")</f>
        <v/>
      </c>
      <c r="Y91" s="1" t="str">
        <f>IF(AND(AND(AND(Y$4&gt;='2025'!$L89,Y$4&lt;='2025'!$M89), Y$4&lt;&gt;DATE(2025,7,4)), (SWITCH(weekday(Y$4), 1, 0, 2, if(ISBLANK('2025'!$P89), 0, 1), 3, if(ISBLANK('2025'!$Q89), 0, 1), 4, if(ISBLANK('2025'!$R89), 0, 1), 5, if(ISBLANK('2025'!$S89), 0, 1), 6, if(ISBLANK('2025'!$T89), 0, 1), 7, 0))), 1, "")</f>
        <v/>
      </c>
      <c r="Z91" s="1" t="str">
        <f>IF(AND(AND(AND(Z$4&gt;='2025'!$L89,Z$4&lt;='2025'!$M89), Z$4&lt;&gt;DATE(2025,7,4)), (SWITCH(weekday(Z$4), 1, 0, 2, if(ISBLANK('2025'!$P89), 0, 1), 3, if(ISBLANK('2025'!$Q89), 0, 1), 4, if(ISBLANK('2025'!$R89), 0, 1), 5, if(ISBLANK('2025'!$S89), 0, 1), 6, if(ISBLANK('2025'!$T89), 0, 1), 7, 0))), 1, "")</f>
        <v/>
      </c>
      <c r="AA91" s="1" t="str">
        <f>IF(AND(AND(AND(AA$4&gt;='2025'!$L89,AA$4&lt;='2025'!$M89), AA$4&lt;&gt;DATE(2025,7,4)), (SWITCH(weekday(AA$4), 1, 0, 2, if(ISBLANK('2025'!$P89), 0, 1), 3, if(ISBLANK('2025'!$Q89), 0, 1), 4, if(ISBLANK('2025'!$R89), 0, 1), 5, if(ISBLANK('2025'!$S89), 0, 1), 6, if(ISBLANK('2025'!$T89), 0, 1), 7, 0))), 1, "")</f>
        <v/>
      </c>
      <c r="AB91" s="1" t="str">
        <f>IF(AND(AND(AND(AB$4&gt;='2025'!$L89,AB$4&lt;='2025'!$M89), AB$4&lt;&gt;DATE(2025,7,4)), (SWITCH(weekday(AB$4), 1, 0, 2, if(ISBLANK('2025'!$P89), 0, 1), 3, if(ISBLANK('2025'!$Q89), 0, 1), 4, if(ISBLANK('2025'!$R89), 0, 1), 5, if(ISBLANK('2025'!$S89), 0, 1), 6, if(ISBLANK('2025'!$T89), 0, 1), 7, 0))), 1, "")</f>
        <v/>
      </c>
      <c r="AC91" s="1" t="str">
        <f>IF(AND(AND(AND(AC$4&gt;='2025'!$L89,AC$4&lt;='2025'!$M89), AC$4&lt;&gt;DATE(2025,7,4)), (SWITCH(weekday(AC$4), 1, 0, 2, if(ISBLANK('2025'!$P89), 0, 1), 3, if(ISBLANK('2025'!$Q89), 0, 1), 4, if(ISBLANK('2025'!$R89), 0, 1), 5, if(ISBLANK('2025'!$S89), 0, 1), 6, if(ISBLANK('2025'!$T89), 0, 1), 7, 0))), 1, "")</f>
        <v/>
      </c>
      <c r="AD91" s="1" t="str">
        <f>IF(AND(AND(AND(AD$4&gt;='2025'!$L89,AD$4&lt;='2025'!$M89), AD$4&lt;&gt;DATE(2025,7,4)), (SWITCH(weekday(AD$4), 1, 0, 2, if(ISBLANK('2025'!$P89), 0, 1), 3, if(ISBLANK('2025'!$Q89), 0, 1), 4, if(ISBLANK('2025'!$R89), 0, 1), 5, if(ISBLANK('2025'!$S89), 0, 1), 6, if(ISBLANK('2025'!$T89), 0, 1), 7, 0))), 1, "")</f>
        <v/>
      </c>
      <c r="AE91" s="1" t="str">
        <f>IF(AND(AND(AND(AE$4&gt;='2025'!$L89,AE$4&lt;='2025'!$M89), AE$4&lt;&gt;DATE(2025,7,4)), (SWITCH(weekday(AE$4), 1, 0, 2, if(ISBLANK('2025'!$P89), 0, 1), 3, if(ISBLANK('2025'!$Q89), 0, 1), 4, if(ISBLANK('2025'!$R89), 0, 1), 5, if(ISBLANK('2025'!$S89), 0, 1), 6, if(ISBLANK('2025'!$T89), 0, 1), 7, 0))), 1, "")</f>
        <v/>
      </c>
      <c r="AF91" s="1" t="str">
        <f>IF(AND(AND(AND(AF$4&gt;='2025'!$L89,AF$4&lt;='2025'!$M89), AF$4&lt;&gt;DATE(2025,7,4)), (SWITCH(weekday(AF$4), 1, 0, 2, if(ISBLANK('2025'!$P89), 0, 1), 3, if(ISBLANK('2025'!$Q89), 0, 1), 4, if(ISBLANK('2025'!$R89), 0, 1), 5, if(ISBLANK('2025'!$S89), 0, 1), 6, if(ISBLANK('2025'!$T89), 0, 1), 7, 0))), 1, "")</f>
        <v/>
      </c>
      <c r="AG91" s="1" t="str">
        <f>IF(AND(AND(AND(AG$4&gt;='2025'!$L89,AG$4&lt;='2025'!$M89), AG$4&lt;&gt;DATE(2025,7,4)), (SWITCH(weekday(AG$4), 1, 0, 2, if(ISBLANK('2025'!$P89), 0, 1), 3, if(ISBLANK('2025'!$Q89), 0, 1), 4, if(ISBLANK('2025'!$R89), 0, 1), 5, if(ISBLANK('2025'!$S89), 0, 1), 6, if(ISBLANK('2025'!$T89), 0, 1), 7, 0))), 1, "")</f>
        <v/>
      </c>
      <c r="AH91" s="1" t="str">
        <f>IF(AND(AND(AND(AH$4&gt;='2025'!$L89,AH$4&lt;='2025'!$M89), AH$4&lt;&gt;DATE(2025,7,4)), (SWITCH(weekday(AH$4), 1, 0, 2, if(ISBLANK('2025'!$P89), 0, 1), 3, if(ISBLANK('2025'!$Q89), 0, 1), 4, if(ISBLANK('2025'!$R89), 0, 1), 5, if(ISBLANK('2025'!$S89), 0, 1), 6, if(ISBLANK('2025'!$T89), 0, 1), 7, 0))), 1, "")</f>
        <v/>
      </c>
      <c r="AI91" s="1" t="str">
        <f>IF(AND(AND(AND(AI$4&gt;='2025'!$L89,AI$4&lt;='2025'!$M89), AI$4&lt;&gt;DATE(2025,7,4)), (SWITCH(weekday(AI$4), 1, 0, 2, if(ISBLANK('2025'!$P89), 0, 1), 3, if(ISBLANK('2025'!$Q89), 0, 1), 4, if(ISBLANK('2025'!$R89), 0, 1), 5, if(ISBLANK('2025'!$S89), 0, 1), 6, if(ISBLANK('2025'!$T89), 0, 1), 7, 0))), 1, "")</f>
        <v/>
      </c>
      <c r="AJ91" s="1" t="str">
        <f>IF(AND(AND(AND(AJ$4&gt;='2025'!$L89,AJ$4&lt;='2025'!$M89), AJ$4&lt;&gt;DATE(2025,7,4)), (SWITCH(weekday(AJ$4), 1, 0, 2, if(ISBLANK('2025'!$P89), 0, 1), 3, if(ISBLANK('2025'!$Q89), 0, 1), 4, if(ISBLANK('2025'!$R89), 0, 1), 5, if(ISBLANK('2025'!$S89), 0, 1), 6, if(ISBLANK('2025'!$T89), 0, 1), 7, 0))), 1, "")</f>
        <v/>
      </c>
      <c r="AK91" s="1" t="str">
        <f>IF(AND(AND(AND(AK$4&gt;='2025'!$L89,AK$4&lt;='2025'!$M89), AK$4&lt;&gt;DATE(2025,7,4)), (SWITCH(weekday(AK$4), 1, 0, 2, if(ISBLANK('2025'!$P89), 0, 1), 3, if(ISBLANK('2025'!$Q89), 0, 1), 4, if(ISBLANK('2025'!$R89), 0, 1), 5, if(ISBLANK('2025'!$S89), 0, 1), 6, if(ISBLANK('2025'!$T89), 0, 1), 7, 0))), 1, "")</f>
        <v/>
      </c>
      <c r="AL91" s="1" t="str">
        <f>IF(AND(AND(AND(AL$4&gt;='2025'!$L89,AL$4&lt;='2025'!$M89), AL$4&lt;&gt;DATE(2025,7,4)), (SWITCH(weekday(AL$4), 1, 0, 2, if(ISBLANK('2025'!$P89), 0, 1), 3, if(ISBLANK('2025'!$Q89), 0, 1), 4, if(ISBLANK('2025'!$R89), 0, 1), 5, if(ISBLANK('2025'!$S89), 0, 1), 6, if(ISBLANK('2025'!$T89), 0, 1), 7, 0))), 1, "")</f>
        <v/>
      </c>
      <c r="AM91" s="1" t="str">
        <f>IF(AND(AND(AND(AM$4&gt;='2025'!$L89,AM$4&lt;='2025'!$M89), AM$4&lt;&gt;DATE(2025,7,4)), (SWITCH(weekday(AM$4), 1, 0, 2, if(ISBLANK('2025'!$P89), 0, 1), 3, if(ISBLANK('2025'!$Q89), 0, 1), 4, if(ISBLANK('2025'!$R89), 0, 1), 5, if(ISBLANK('2025'!$S89), 0, 1), 6, if(ISBLANK('2025'!$T89), 0, 1), 7, 0))), 1, "")</f>
        <v/>
      </c>
      <c r="AN91" s="1" t="str">
        <f>IF(AND(AND(AND(AN$4&gt;='2025'!$L89,AN$4&lt;='2025'!$M89), AN$4&lt;&gt;DATE(2025,7,4)), (SWITCH(weekday(AN$4), 1, 0, 2, if(ISBLANK('2025'!$P89), 0, 1), 3, if(ISBLANK('2025'!$Q89), 0, 1), 4, if(ISBLANK('2025'!$R89), 0, 1), 5, if(ISBLANK('2025'!$S89), 0, 1), 6, if(ISBLANK('2025'!$T89), 0, 1), 7, 0))), 1, "")</f>
        <v/>
      </c>
      <c r="AO91" s="1" t="str">
        <f>IF(AND(AND(AND(AO$4&gt;='2025'!$L89,AO$4&lt;='2025'!$M89), AO$4&lt;&gt;DATE(2025,7,4)), (SWITCH(weekday(AO$4), 1, 0, 2, if(ISBLANK('2025'!$P89), 0, 1), 3, if(ISBLANK('2025'!$Q89), 0, 1), 4, if(ISBLANK('2025'!$R89), 0, 1), 5, if(ISBLANK('2025'!$S89), 0, 1), 6, if(ISBLANK('2025'!$T89), 0, 1), 7, 0))), 1, "")</f>
        <v/>
      </c>
      <c r="AP91" s="1" t="str">
        <f>IF(AND(AND(AND(AP$4&gt;='2025'!$L89,AP$4&lt;='2025'!$M89), AP$4&lt;&gt;DATE(2025,7,4)), (SWITCH(weekday(AP$4), 1, 0, 2, if(ISBLANK('2025'!$P89), 0, 1), 3, if(ISBLANK('2025'!$Q89), 0, 1), 4, if(ISBLANK('2025'!$R89), 0, 1), 5, if(ISBLANK('2025'!$S89), 0, 1), 6, if(ISBLANK('2025'!$T89), 0, 1), 7, 0))), 1, "")</f>
        <v/>
      </c>
      <c r="AQ91" s="1" t="str">
        <f>IF(AND(AND(AND(AQ$4&gt;='2025'!$L89,AQ$4&lt;='2025'!$M89), AQ$4&lt;&gt;DATE(2025,7,4)), (SWITCH(weekday(AQ$4), 1, 0, 2, if(ISBLANK('2025'!$P89), 0, 1), 3, if(ISBLANK('2025'!$Q89), 0, 1), 4, if(ISBLANK('2025'!$R89), 0, 1), 5, if(ISBLANK('2025'!$S89), 0, 1), 6, if(ISBLANK('2025'!$T89), 0, 1), 7, 0))), 1, "")</f>
        <v/>
      </c>
      <c r="AR91" s="1" t="str">
        <f>IF(AND(AND(AND(AR$4&gt;='2025'!$L89,AR$4&lt;='2025'!$M89), AR$4&lt;&gt;DATE(2025,7,4)), (SWITCH(weekday(AR$4), 1, 0, 2, if(ISBLANK('2025'!$P89), 0, 1), 3, if(ISBLANK('2025'!$Q89), 0, 1), 4, if(ISBLANK('2025'!$R89), 0, 1), 5, if(ISBLANK('2025'!$S89), 0, 1), 6, if(ISBLANK('2025'!$T89), 0, 1), 7, 0))), 1, "")</f>
        <v/>
      </c>
      <c r="AS91" s="1" t="str">
        <f>IF(AND(AND(AND(AS$4&gt;='2025'!$L89,AS$4&lt;='2025'!$M89), AS$4&lt;&gt;DATE(2025,7,4)), (SWITCH(weekday(AS$4), 1, 0, 2, if(ISBLANK('2025'!$P89), 0, 1), 3, if(ISBLANK('2025'!$Q89), 0, 1), 4, if(ISBLANK('2025'!$R89), 0, 1), 5, if(ISBLANK('2025'!$S89), 0, 1), 6, if(ISBLANK('2025'!$T89), 0, 1), 7, 0))), 1, "")</f>
        <v/>
      </c>
      <c r="AT91" s="1" t="str">
        <f>IF(AND(AND(AND(AT$4&gt;='2025'!$L89,AT$4&lt;='2025'!$M89), AT$4&lt;&gt;DATE(2025,7,4)), (SWITCH(weekday(AT$4), 1, 0, 2, if(ISBLANK('2025'!$P89), 0, 1), 3, if(ISBLANK('2025'!$Q89), 0, 1), 4, if(ISBLANK('2025'!$R89), 0, 1), 5, if(ISBLANK('2025'!$S89), 0, 1), 6, if(ISBLANK('2025'!$T89), 0, 1), 7, 0))), 1, "")</f>
        <v/>
      </c>
      <c r="AU91" s="1" t="str">
        <f>IF(AND(AND(AND(AU$4&gt;='2025'!$L89,AU$4&lt;='2025'!$M89), AU$4&lt;&gt;DATE(2025,7,4)), (SWITCH(weekday(AU$4), 1, 0, 2, if(ISBLANK('2025'!$P89), 0, 1), 3, if(ISBLANK('2025'!$Q89), 0, 1), 4, if(ISBLANK('2025'!$R89), 0, 1), 5, if(ISBLANK('2025'!$S89), 0, 1), 6, if(ISBLANK('2025'!$T89), 0, 1), 7, 0))), 1, "")</f>
        <v/>
      </c>
      <c r="AV91" s="1" t="str">
        <f>IF(AND(AND(AND(AV$4&gt;='2025'!$L89,AV$4&lt;='2025'!$M89), AV$4&lt;&gt;DATE(2025,7,4)), (SWITCH(weekday(AV$4), 1, 0, 2, if(ISBLANK('2025'!$P89), 0, 1), 3, if(ISBLANK('2025'!$Q89), 0, 1), 4, if(ISBLANK('2025'!$R89), 0, 1), 5, if(ISBLANK('2025'!$S89), 0, 1), 6, if(ISBLANK('2025'!$T89), 0, 1), 7, 0))), 1, "")</f>
        <v/>
      </c>
      <c r="AW91" s="1" t="str">
        <f>IF(AND(AND(AND(AW$4&gt;='2025'!$L89,AW$4&lt;='2025'!$M89), AW$4&lt;&gt;DATE(2025,7,4)), (SWITCH(weekday(AW$4), 1, 0, 2, if(ISBLANK('2025'!$P89), 0, 1), 3, if(ISBLANK('2025'!$Q89), 0, 1), 4, if(ISBLANK('2025'!$R89), 0, 1), 5, if(ISBLANK('2025'!$S89), 0, 1), 6, if(ISBLANK('2025'!$T89), 0, 1), 7, 0))), 1, "")</f>
        <v/>
      </c>
      <c r="AX91" s="1" t="str">
        <f>IF(AND(AND(AND(AX$4&gt;='2025'!$L89,AX$4&lt;='2025'!$M89), AX$4&lt;&gt;DATE(2025,7,4)), (SWITCH(weekday(AX$4), 1, 0, 2, if(ISBLANK('2025'!$P89), 0, 1), 3, if(ISBLANK('2025'!$Q89), 0, 1), 4, if(ISBLANK('2025'!$R89), 0, 1), 5, if(ISBLANK('2025'!$S89), 0, 1), 6, if(ISBLANK('2025'!$T89), 0, 1), 7, 0))), 1, "")</f>
        <v/>
      </c>
      <c r="AY91" s="1" t="str">
        <f>IF(AND(AND(AND(AY$4&gt;='2025'!$L89,AY$4&lt;='2025'!$M89), AY$4&lt;&gt;DATE(2025,7,4)), (SWITCH(weekday(AY$4), 1, 0, 2, if(ISBLANK('2025'!$P89), 0, 1), 3, if(ISBLANK('2025'!$Q89), 0, 1), 4, if(ISBLANK('2025'!$R89), 0, 1), 5, if(ISBLANK('2025'!$S89), 0, 1), 6, if(ISBLANK('2025'!$T89), 0, 1), 7, 0))), 1, "")</f>
        <v/>
      </c>
      <c r="AZ91" s="1" t="str">
        <f>IF(AND(AND(AND(AZ$4&gt;='2025'!$L89,AZ$4&lt;='2025'!$M89), AZ$4&lt;&gt;DATE(2025,7,4)), (SWITCH(weekday(AZ$4), 1, 0, 2, if(ISBLANK('2025'!$P89), 0, 1), 3, if(ISBLANK('2025'!$Q89), 0, 1), 4, if(ISBLANK('2025'!$R89), 0, 1), 5, if(ISBLANK('2025'!$S89), 0, 1), 6, if(ISBLANK('2025'!$T89), 0, 1), 7, 0))), 1, "")</f>
        <v/>
      </c>
      <c r="BA91" s="1" t="str">
        <f>IF(AND(AND(AND(BA$4&gt;='2025'!$L89,BA$4&lt;='2025'!$M89), BA$4&lt;&gt;DATE(2025,7,4)), (SWITCH(weekday(BA$4), 1, 0, 2, if(ISBLANK('2025'!$P89), 0, 1), 3, if(ISBLANK('2025'!$Q89), 0, 1), 4, if(ISBLANK('2025'!$R89), 0, 1), 5, if(ISBLANK('2025'!$S89), 0, 1), 6, if(ISBLANK('2025'!$T89), 0, 1), 7, 0))), 1, "")</f>
        <v/>
      </c>
      <c r="BB91" s="1" t="str">
        <f>IF(AND(AND(AND(BB$4&gt;='2025'!$L89,BB$4&lt;='2025'!$M89), BB$4&lt;&gt;DATE(2025,7,4)), (SWITCH(weekday(BB$4), 1, 0, 2, if(ISBLANK('2025'!$P89), 0, 1), 3, if(ISBLANK('2025'!$Q89), 0, 1), 4, if(ISBLANK('2025'!$R89), 0, 1), 5, if(ISBLANK('2025'!$S89), 0, 1), 6, if(ISBLANK('2025'!$T89), 0, 1), 7, 0))), 1, "")</f>
        <v/>
      </c>
      <c r="BC91" s="1" t="str">
        <f>IF(AND(AND(AND(BC$4&gt;='2025'!$L89,BC$4&lt;='2025'!$M89), BC$4&lt;&gt;DATE(2025,7,4)), (SWITCH(weekday(BC$4), 1, 0, 2, if(ISBLANK('2025'!$P89), 0, 1), 3, if(ISBLANK('2025'!$Q89), 0, 1), 4, if(ISBLANK('2025'!$R89), 0, 1), 5, if(ISBLANK('2025'!$S89), 0, 1), 6, if(ISBLANK('2025'!$T89), 0, 1), 7, 0))), 1, "")</f>
        <v/>
      </c>
      <c r="BD91" s="1" t="str">
        <f>IF(AND(AND(AND(BD$4&gt;='2025'!$L89,BD$4&lt;='2025'!$M89), BD$4&lt;&gt;DATE(2025,7,4)), (SWITCH(weekday(BD$4), 1, 0, 2, if(ISBLANK('2025'!$P89), 0, 1), 3, if(ISBLANK('2025'!$Q89), 0, 1), 4, if(ISBLANK('2025'!$R89), 0, 1), 5, if(ISBLANK('2025'!$S89), 0, 1), 6, if(ISBLANK('2025'!$T89), 0, 1), 7, 0))), 1, "")</f>
        <v/>
      </c>
      <c r="BE91" s="1" t="str">
        <f>IF(AND(AND(AND(BE$4&gt;='2025'!$L89,BE$4&lt;='2025'!$M89), BE$4&lt;&gt;DATE(2025,7,4)), (SWITCH(weekday(BE$4), 1, 0, 2, if(ISBLANK('2025'!$P89), 0, 1), 3, if(ISBLANK('2025'!$Q89), 0, 1), 4, if(ISBLANK('2025'!$R89), 0, 1), 5, if(ISBLANK('2025'!$S89), 0, 1), 6, if(ISBLANK('2025'!$T89), 0, 1), 7, 0))), 1, "")</f>
        <v/>
      </c>
      <c r="BF91" s="1" t="str">
        <f>IF(AND(AND(AND(BF$4&gt;='2025'!$L89,BF$4&lt;='2025'!$M89), BF$4&lt;&gt;DATE(2025,7,4)), (SWITCH(weekday(BF$4), 1, 0, 2, if(ISBLANK('2025'!$P89), 0, 1), 3, if(ISBLANK('2025'!$Q89), 0, 1), 4, if(ISBLANK('2025'!$R89), 0, 1), 5, if(ISBLANK('2025'!$S89), 0, 1), 6, if(ISBLANK('2025'!$T89), 0, 1), 7, 0))), 1, "")</f>
        <v/>
      </c>
      <c r="BG91" s="1"/>
      <c r="BH91" s="1"/>
      <c r="BI91" s="1"/>
      <c r="BJ91" s="1"/>
      <c r="BK91" s="1"/>
      <c r="BL91" s="1"/>
    </row>
    <row r="92">
      <c r="A92" s="1">
        <f t="shared" si="3"/>
        <v>92</v>
      </c>
      <c r="B92" s="1" t="str">
        <f>'2025'!D56</f>
        <v>behan, eily </v>
      </c>
      <c r="C92" s="1" t="str">
        <f>'2025'!H56</f>
        <v>PK3</v>
      </c>
      <c r="D92" s="1" t="str">
        <f>IF(AND(AND(AND(D$4&gt;='2025'!$L90,D$4&lt;='2025'!$M90), D$4&lt;&gt;DATE(2025,7,4)), (SWITCH(weekday(D$4), 1, 0, 2, if(ISBLANK('2025'!$P90), 0, 1), 3, if(ISBLANK('2025'!$Q90), 0, 1), 4, if(ISBLANK('2025'!$R90), 0, 1), 5, if(ISBLANK('2025'!$S90), 0, 1), 6, if(ISBLANK('2025'!$T90), 0, 1), 7, 0))), 1, "")</f>
        <v/>
      </c>
      <c r="E92" s="1" t="str">
        <f>IF(AND(AND(AND(E$4&gt;='2025'!$L90,E$4&lt;='2025'!$M90), E$4&lt;&gt;DATE(2025,7,4)), (SWITCH(weekday(E$4), 1, 0, 2, if(ISBLANK('2025'!$P90), 0, 1), 3, if(ISBLANK('2025'!$Q90), 0, 1), 4, if(ISBLANK('2025'!$R90), 0, 1), 5, if(ISBLANK('2025'!$S90), 0, 1), 6, if(ISBLANK('2025'!$T90), 0, 1), 7, 0))), 1, "")</f>
        <v/>
      </c>
      <c r="F92" s="1" t="str">
        <f>IF(AND(AND(AND(F$4&gt;='2025'!$L90,F$4&lt;='2025'!$M90), F$4&lt;&gt;DATE(2025,7,4)), (SWITCH(weekday(F$4), 1, 0, 2, if(ISBLANK('2025'!$P90), 0, 1), 3, if(ISBLANK('2025'!$Q90), 0, 1), 4, if(ISBLANK('2025'!$R90), 0, 1), 5, if(ISBLANK('2025'!$S90), 0, 1), 6, if(ISBLANK('2025'!$T90), 0, 1), 7, 0))), 1, "")</f>
        <v/>
      </c>
      <c r="G92" s="1" t="str">
        <f>IF(AND(AND(AND(G$4&gt;='2025'!$L90,G$4&lt;='2025'!$M90), G$4&lt;&gt;DATE(2025,7,4)), (SWITCH(weekday(G$4), 1, 0, 2, if(ISBLANK('2025'!$P90), 0, 1), 3, if(ISBLANK('2025'!$Q90), 0, 1), 4, if(ISBLANK('2025'!$R90), 0, 1), 5, if(ISBLANK('2025'!$S90), 0, 1), 6, if(ISBLANK('2025'!$T90), 0, 1), 7, 0))), 1, "")</f>
        <v/>
      </c>
      <c r="H92" s="1" t="str">
        <f>IF(AND(AND(AND(H$4&gt;='2025'!$L90,H$4&lt;='2025'!$M90), H$4&lt;&gt;DATE(2025,7,4)), (SWITCH(weekday(H$4), 1, 0, 2, if(ISBLANK('2025'!$P90), 0, 1), 3, if(ISBLANK('2025'!$Q90), 0, 1), 4, if(ISBLANK('2025'!$R90), 0, 1), 5, if(ISBLANK('2025'!$S90), 0, 1), 6, if(ISBLANK('2025'!$T90), 0, 1), 7, 0))), 1, "")</f>
        <v/>
      </c>
      <c r="I92" s="1" t="str">
        <f>IF(AND(AND(AND(I$4&gt;='2025'!$L90,I$4&lt;='2025'!$M90), I$4&lt;&gt;DATE(2025,7,4)), (SWITCH(weekday(I$4), 1, 0, 2, if(ISBLANK('2025'!$P90), 0, 1), 3, if(ISBLANK('2025'!$Q90), 0, 1), 4, if(ISBLANK('2025'!$R90), 0, 1), 5, if(ISBLANK('2025'!$S90), 0, 1), 6, if(ISBLANK('2025'!$T90), 0, 1), 7, 0))), 1, "")</f>
        <v/>
      </c>
      <c r="J92" s="1" t="str">
        <f>IF(AND(AND(AND(J$4&gt;='2025'!$L90,J$4&lt;='2025'!$M90), J$4&lt;&gt;DATE(2025,7,4)), (SWITCH(weekday(J$4), 1, 0, 2, if(ISBLANK('2025'!$P90), 0, 1), 3, if(ISBLANK('2025'!$Q90), 0, 1), 4, if(ISBLANK('2025'!$R90), 0, 1), 5, if(ISBLANK('2025'!$S90), 0, 1), 6, if(ISBLANK('2025'!$T90), 0, 1), 7, 0))), 1, "")</f>
        <v/>
      </c>
      <c r="K92" s="1" t="str">
        <f>IF(AND(AND(AND(K$4&gt;='2025'!$L90,K$4&lt;='2025'!$M90), K$4&lt;&gt;DATE(2025,7,4)), (SWITCH(weekday(K$4), 1, 0, 2, if(ISBLANK('2025'!$P90), 0, 1), 3, if(ISBLANK('2025'!$Q90), 0, 1), 4, if(ISBLANK('2025'!$R90), 0, 1), 5, if(ISBLANK('2025'!$S90), 0, 1), 6, if(ISBLANK('2025'!$T90), 0, 1), 7, 0))), 1, "")</f>
        <v/>
      </c>
      <c r="L92" s="1" t="str">
        <f>IF(AND(AND(AND(L$4&gt;='2025'!$L90,L$4&lt;='2025'!$M90), L$4&lt;&gt;DATE(2025,7,4)), (SWITCH(weekday(L$4), 1, 0, 2, if(ISBLANK('2025'!$P90), 0, 1), 3, if(ISBLANK('2025'!$Q90), 0, 1), 4, if(ISBLANK('2025'!$R90), 0, 1), 5, if(ISBLANK('2025'!$S90), 0, 1), 6, if(ISBLANK('2025'!$T90), 0, 1), 7, 0))), 1, "")</f>
        <v/>
      </c>
      <c r="M92" s="1" t="str">
        <f>IF(AND(AND(AND(M$4&gt;='2025'!$L90,M$4&lt;='2025'!$M90), M$4&lt;&gt;DATE(2025,7,4)), (SWITCH(weekday(M$4), 1, 0, 2, if(ISBLANK('2025'!$P90), 0, 1), 3, if(ISBLANK('2025'!$Q90), 0, 1), 4, if(ISBLANK('2025'!$R90), 0, 1), 5, if(ISBLANK('2025'!$S90), 0, 1), 6, if(ISBLANK('2025'!$T90), 0, 1), 7, 0))), 1, "")</f>
        <v/>
      </c>
      <c r="N92" s="1" t="str">
        <f>IF(AND(AND(AND(N$4&gt;='2025'!$L90,N$4&lt;='2025'!$M90), N$4&lt;&gt;DATE(2025,7,4)), (SWITCH(weekday(N$4), 1, 0, 2, if(ISBLANK('2025'!$P90), 0, 1), 3, if(ISBLANK('2025'!$Q90), 0, 1), 4, if(ISBLANK('2025'!$R90), 0, 1), 5, if(ISBLANK('2025'!$S90), 0, 1), 6, if(ISBLANK('2025'!$T90), 0, 1), 7, 0))), 1, "")</f>
        <v/>
      </c>
      <c r="O92" s="1" t="str">
        <f>IF(AND(AND(AND(O$4&gt;='2025'!$L90,O$4&lt;='2025'!$M90), O$4&lt;&gt;DATE(2025,7,4)), (SWITCH(weekday(O$4), 1, 0, 2, if(ISBLANK('2025'!$P90), 0, 1), 3, if(ISBLANK('2025'!$Q90), 0, 1), 4, if(ISBLANK('2025'!$R90), 0, 1), 5, if(ISBLANK('2025'!$S90), 0, 1), 6, if(ISBLANK('2025'!$T90), 0, 1), 7, 0))), 1, "")</f>
        <v/>
      </c>
      <c r="P92" s="1" t="str">
        <f>IF(AND(AND(AND(P$4&gt;='2025'!$L90,P$4&lt;='2025'!$M90), P$4&lt;&gt;DATE(2025,7,4)), (SWITCH(weekday(P$4), 1, 0, 2, if(ISBLANK('2025'!$P90), 0, 1), 3, if(ISBLANK('2025'!$Q90), 0, 1), 4, if(ISBLANK('2025'!$R90), 0, 1), 5, if(ISBLANK('2025'!$S90), 0, 1), 6, if(ISBLANK('2025'!$T90), 0, 1), 7, 0))), 1, "")</f>
        <v/>
      </c>
      <c r="Q92" s="1" t="str">
        <f>IF(AND(AND(AND(Q$4&gt;='2025'!$L90,Q$4&lt;='2025'!$M90), Q$4&lt;&gt;DATE(2025,7,4)), (SWITCH(weekday(Q$4), 1, 0, 2, if(ISBLANK('2025'!$P90), 0, 1), 3, if(ISBLANK('2025'!$Q90), 0, 1), 4, if(ISBLANK('2025'!$R90), 0, 1), 5, if(ISBLANK('2025'!$S90), 0, 1), 6, if(ISBLANK('2025'!$T90), 0, 1), 7, 0))), 1, "")</f>
        <v/>
      </c>
      <c r="R92" s="1" t="str">
        <f>IF(AND(AND(AND(R$4&gt;='2025'!$L90,R$4&lt;='2025'!$M90), R$4&lt;&gt;DATE(2025,7,4)), (SWITCH(weekday(R$4), 1, 0, 2, if(ISBLANK('2025'!$P90), 0, 1), 3, if(ISBLANK('2025'!$Q90), 0, 1), 4, if(ISBLANK('2025'!$R90), 0, 1), 5, if(ISBLANK('2025'!$S90), 0, 1), 6, if(ISBLANK('2025'!$T90), 0, 1), 7, 0))), 1, "")</f>
        <v/>
      </c>
      <c r="S92" s="1" t="str">
        <f>IF(AND(AND(AND(S$4&gt;='2025'!$L90,S$4&lt;='2025'!$M90), S$4&lt;&gt;DATE(2025,7,4)), (SWITCH(weekday(S$4), 1, 0, 2, if(ISBLANK('2025'!$P90), 0, 1), 3, if(ISBLANK('2025'!$Q90), 0, 1), 4, if(ISBLANK('2025'!$R90), 0, 1), 5, if(ISBLANK('2025'!$S90), 0, 1), 6, if(ISBLANK('2025'!$T90), 0, 1), 7, 0))), 1, "")</f>
        <v/>
      </c>
      <c r="T92" s="1" t="str">
        <f>IF(AND(AND(AND(T$4&gt;='2025'!$L90,T$4&lt;='2025'!$M90), T$4&lt;&gt;DATE(2025,7,4)), (SWITCH(weekday(T$4), 1, 0, 2, if(ISBLANK('2025'!$P90), 0, 1), 3, if(ISBLANK('2025'!$Q90), 0, 1), 4, if(ISBLANK('2025'!$R90), 0, 1), 5, if(ISBLANK('2025'!$S90), 0, 1), 6, if(ISBLANK('2025'!$T90), 0, 1), 7, 0))), 1, "")</f>
        <v/>
      </c>
      <c r="U92" s="1" t="str">
        <f>IF(AND(AND(AND(U$4&gt;='2025'!$L90,U$4&lt;='2025'!$M90), U$4&lt;&gt;DATE(2025,7,4)), (SWITCH(weekday(U$4), 1, 0, 2, if(ISBLANK('2025'!$P90), 0, 1), 3, if(ISBLANK('2025'!$Q90), 0, 1), 4, if(ISBLANK('2025'!$R90), 0, 1), 5, if(ISBLANK('2025'!$S90), 0, 1), 6, if(ISBLANK('2025'!$T90), 0, 1), 7, 0))), 1, "")</f>
        <v/>
      </c>
      <c r="V92" s="1" t="str">
        <f>IF(AND(AND(AND(V$4&gt;='2025'!$L90,V$4&lt;='2025'!$M90), V$4&lt;&gt;DATE(2025,7,4)), (SWITCH(weekday(V$4), 1, 0, 2, if(ISBLANK('2025'!$P90), 0, 1), 3, if(ISBLANK('2025'!$Q90), 0, 1), 4, if(ISBLANK('2025'!$R90), 0, 1), 5, if(ISBLANK('2025'!$S90), 0, 1), 6, if(ISBLANK('2025'!$T90), 0, 1), 7, 0))), 1, "")</f>
        <v/>
      </c>
      <c r="W92" s="1" t="str">
        <f>IF(AND(AND(AND(W$4&gt;='2025'!$L90,W$4&lt;='2025'!$M90), W$4&lt;&gt;DATE(2025,7,4)), (SWITCH(weekday(W$4), 1, 0, 2, if(ISBLANK('2025'!$P90), 0, 1), 3, if(ISBLANK('2025'!$Q90), 0, 1), 4, if(ISBLANK('2025'!$R90), 0, 1), 5, if(ISBLANK('2025'!$S90), 0, 1), 6, if(ISBLANK('2025'!$T90), 0, 1), 7, 0))), 1, "")</f>
        <v/>
      </c>
      <c r="X92" s="1" t="str">
        <f>IF(AND(AND(AND(X$4&gt;='2025'!$L90,X$4&lt;='2025'!$M90), X$4&lt;&gt;DATE(2025,7,4)), (SWITCH(weekday(X$4), 1, 0, 2, if(ISBLANK('2025'!$P90), 0, 1), 3, if(ISBLANK('2025'!$Q90), 0, 1), 4, if(ISBLANK('2025'!$R90), 0, 1), 5, if(ISBLANK('2025'!$S90), 0, 1), 6, if(ISBLANK('2025'!$T90), 0, 1), 7, 0))), 1, "")</f>
        <v/>
      </c>
      <c r="Y92" s="1" t="str">
        <f>IF(AND(AND(AND(Y$4&gt;='2025'!$L90,Y$4&lt;='2025'!$M90), Y$4&lt;&gt;DATE(2025,7,4)), (SWITCH(weekday(Y$4), 1, 0, 2, if(ISBLANK('2025'!$P90), 0, 1), 3, if(ISBLANK('2025'!$Q90), 0, 1), 4, if(ISBLANK('2025'!$R90), 0, 1), 5, if(ISBLANK('2025'!$S90), 0, 1), 6, if(ISBLANK('2025'!$T90), 0, 1), 7, 0))), 1, "")</f>
        <v/>
      </c>
      <c r="Z92" s="1" t="str">
        <f>IF(AND(AND(AND(Z$4&gt;='2025'!$L90,Z$4&lt;='2025'!$M90), Z$4&lt;&gt;DATE(2025,7,4)), (SWITCH(weekday(Z$4), 1, 0, 2, if(ISBLANK('2025'!$P90), 0, 1), 3, if(ISBLANK('2025'!$Q90), 0, 1), 4, if(ISBLANK('2025'!$R90), 0, 1), 5, if(ISBLANK('2025'!$S90), 0, 1), 6, if(ISBLANK('2025'!$T90), 0, 1), 7, 0))), 1, "")</f>
        <v/>
      </c>
      <c r="AA92" s="1" t="str">
        <f>IF(AND(AND(AND(AA$4&gt;='2025'!$L90,AA$4&lt;='2025'!$M90), AA$4&lt;&gt;DATE(2025,7,4)), (SWITCH(weekday(AA$4), 1, 0, 2, if(ISBLANK('2025'!$P90), 0, 1), 3, if(ISBLANK('2025'!$Q90), 0, 1), 4, if(ISBLANK('2025'!$R90), 0, 1), 5, if(ISBLANK('2025'!$S90), 0, 1), 6, if(ISBLANK('2025'!$T90), 0, 1), 7, 0))), 1, "")</f>
        <v/>
      </c>
      <c r="AB92" s="1" t="str">
        <f>IF(AND(AND(AND(AB$4&gt;='2025'!$L90,AB$4&lt;='2025'!$M90), AB$4&lt;&gt;DATE(2025,7,4)), (SWITCH(weekday(AB$4), 1, 0, 2, if(ISBLANK('2025'!$P90), 0, 1), 3, if(ISBLANK('2025'!$Q90), 0, 1), 4, if(ISBLANK('2025'!$R90), 0, 1), 5, if(ISBLANK('2025'!$S90), 0, 1), 6, if(ISBLANK('2025'!$T90), 0, 1), 7, 0))), 1, "")</f>
        <v/>
      </c>
      <c r="AC92" s="1" t="str">
        <f>IF(AND(AND(AND(AC$4&gt;='2025'!$L90,AC$4&lt;='2025'!$M90), AC$4&lt;&gt;DATE(2025,7,4)), (SWITCH(weekday(AC$4), 1, 0, 2, if(ISBLANK('2025'!$P90), 0, 1), 3, if(ISBLANK('2025'!$Q90), 0, 1), 4, if(ISBLANK('2025'!$R90), 0, 1), 5, if(ISBLANK('2025'!$S90), 0, 1), 6, if(ISBLANK('2025'!$T90), 0, 1), 7, 0))), 1, "")</f>
        <v/>
      </c>
      <c r="AD92" s="1" t="str">
        <f>IF(AND(AND(AND(AD$4&gt;='2025'!$L90,AD$4&lt;='2025'!$M90), AD$4&lt;&gt;DATE(2025,7,4)), (SWITCH(weekday(AD$4), 1, 0, 2, if(ISBLANK('2025'!$P90), 0, 1), 3, if(ISBLANK('2025'!$Q90), 0, 1), 4, if(ISBLANK('2025'!$R90), 0, 1), 5, if(ISBLANK('2025'!$S90), 0, 1), 6, if(ISBLANK('2025'!$T90), 0, 1), 7, 0))), 1, "")</f>
        <v/>
      </c>
      <c r="AE92" s="1" t="str">
        <f>IF(AND(AND(AND(AE$4&gt;='2025'!$L90,AE$4&lt;='2025'!$M90), AE$4&lt;&gt;DATE(2025,7,4)), (SWITCH(weekday(AE$4), 1, 0, 2, if(ISBLANK('2025'!$P90), 0, 1), 3, if(ISBLANK('2025'!$Q90), 0, 1), 4, if(ISBLANK('2025'!$R90), 0, 1), 5, if(ISBLANK('2025'!$S90), 0, 1), 6, if(ISBLANK('2025'!$T90), 0, 1), 7, 0))), 1, "")</f>
        <v/>
      </c>
      <c r="AF92" s="1" t="str">
        <f>IF(AND(AND(AND(AF$4&gt;='2025'!$L90,AF$4&lt;='2025'!$M90), AF$4&lt;&gt;DATE(2025,7,4)), (SWITCH(weekday(AF$4), 1, 0, 2, if(ISBLANK('2025'!$P90), 0, 1), 3, if(ISBLANK('2025'!$Q90), 0, 1), 4, if(ISBLANK('2025'!$R90), 0, 1), 5, if(ISBLANK('2025'!$S90), 0, 1), 6, if(ISBLANK('2025'!$T90), 0, 1), 7, 0))), 1, "")</f>
        <v/>
      </c>
      <c r="AG92" s="1" t="str">
        <f>IF(AND(AND(AND(AG$4&gt;='2025'!$L90,AG$4&lt;='2025'!$M90), AG$4&lt;&gt;DATE(2025,7,4)), (SWITCH(weekday(AG$4), 1, 0, 2, if(ISBLANK('2025'!$P90), 0, 1), 3, if(ISBLANK('2025'!$Q90), 0, 1), 4, if(ISBLANK('2025'!$R90), 0, 1), 5, if(ISBLANK('2025'!$S90), 0, 1), 6, if(ISBLANK('2025'!$T90), 0, 1), 7, 0))), 1, "")</f>
        <v/>
      </c>
      <c r="AH92" s="1" t="str">
        <f>IF(AND(AND(AND(AH$4&gt;='2025'!$L90,AH$4&lt;='2025'!$M90), AH$4&lt;&gt;DATE(2025,7,4)), (SWITCH(weekday(AH$4), 1, 0, 2, if(ISBLANK('2025'!$P90), 0, 1), 3, if(ISBLANK('2025'!$Q90), 0, 1), 4, if(ISBLANK('2025'!$R90), 0, 1), 5, if(ISBLANK('2025'!$S90), 0, 1), 6, if(ISBLANK('2025'!$T90), 0, 1), 7, 0))), 1, "")</f>
        <v/>
      </c>
      <c r="AI92" s="1" t="str">
        <f>IF(AND(AND(AND(AI$4&gt;='2025'!$L90,AI$4&lt;='2025'!$M90), AI$4&lt;&gt;DATE(2025,7,4)), (SWITCH(weekday(AI$4), 1, 0, 2, if(ISBLANK('2025'!$P90), 0, 1), 3, if(ISBLANK('2025'!$Q90), 0, 1), 4, if(ISBLANK('2025'!$R90), 0, 1), 5, if(ISBLANK('2025'!$S90), 0, 1), 6, if(ISBLANK('2025'!$T90), 0, 1), 7, 0))), 1, "")</f>
        <v/>
      </c>
      <c r="AJ92" s="1" t="str">
        <f>IF(AND(AND(AND(AJ$4&gt;='2025'!$L90,AJ$4&lt;='2025'!$M90), AJ$4&lt;&gt;DATE(2025,7,4)), (SWITCH(weekday(AJ$4), 1, 0, 2, if(ISBLANK('2025'!$P90), 0, 1), 3, if(ISBLANK('2025'!$Q90), 0, 1), 4, if(ISBLANK('2025'!$R90), 0, 1), 5, if(ISBLANK('2025'!$S90), 0, 1), 6, if(ISBLANK('2025'!$T90), 0, 1), 7, 0))), 1, "")</f>
        <v/>
      </c>
      <c r="AK92" s="1" t="str">
        <f>IF(AND(AND(AND(AK$4&gt;='2025'!$L90,AK$4&lt;='2025'!$M90), AK$4&lt;&gt;DATE(2025,7,4)), (SWITCH(weekday(AK$4), 1, 0, 2, if(ISBLANK('2025'!$P90), 0, 1), 3, if(ISBLANK('2025'!$Q90), 0, 1), 4, if(ISBLANK('2025'!$R90), 0, 1), 5, if(ISBLANK('2025'!$S90), 0, 1), 6, if(ISBLANK('2025'!$T90), 0, 1), 7, 0))), 1, "")</f>
        <v/>
      </c>
      <c r="AL92" s="1" t="str">
        <f>IF(AND(AND(AND(AL$4&gt;='2025'!$L90,AL$4&lt;='2025'!$M90), AL$4&lt;&gt;DATE(2025,7,4)), (SWITCH(weekday(AL$4), 1, 0, 2, if(ISBLANK('2025'!$P90), 0, 1), 3, if(ISBLANK('2025'!$Q90), 0, 1), 4, if(ISBLANK('2025'!$R90), 0, 1), 5, if(ISBLANK('2025'!$S90), 0, 1), 6, if(ISBLANK('2025'!$T90), 0, 1), 7, 0))), 1, "")</f>
        <v/>
      </c>
      <c r="AM92" s="1" t="str">
        <f>IF(AND(AND(AND(AM$4&gt;='2025'!$L90,AM$4&lt;='2025'!$M90), AM$4&lt;&gt;DATE(2025,7,4)), (SWITCH(weekday(AM$4), 1, 0, 2, if(ISBLANK('2025'!$P90), 0, 1), 3, if(ISBLANK('2025'!$Q90), 0, 1), 4, if(ISBLANK('2025'!$R90), 0, 1), 5, if(ISBLANK('2025'!$S90), 0, 1), 6, if(ISBLANK('2025'!$T90), 0, 1), 7, 0))), 1, "")</f>
        <v/>
      </c>
      <c r="AN92" s="1" t="str">
        <f>IF(AND(AND(AND(AN$4&gt;='2025'!$L90,AN$4&lt;='2025'!$M90), AN$4&lt;&gt;DATE(2025,7,4)), (SWITCH(weekday(AN$4), 1, 0, 2, if(ISBLANK('2025'!$P90), 0, 1), 3, if(ISBLANK('2025'!$Q90), 0, 1), 4, if(ISBLANK('2025'!$R90), 0, 1), 5, if(ISBLANK('2025'!$S90), 0, 1), 6, if(ISBLANK('2025'!$T90), 0, 1), 7, 0))), 1, "")</f>
        <v/>
      </c>
      <c r="AO92" s="1" t="str">
        <f>IF(AND(AND(AND(AO$4&gt;='2025'!$L90,AO$4&lt;='2025'!$M90), AO$4&lt;&gt;DATE(2025,7,4)), (SWITCH(weekday(AO$4), 1, 0, 2, if(ISBLANK('2025'!$P90), 0, 1), 3, if(ISBLANK('2025'!$Q90), 0, 1), 4, if(ISBLANK('2025'!$R90), 0, 1), 5, if(ISBLANK('2025'!$S90), 0, 1), 6, if(ISBLANK('2025'!$T90), 0, 1), 7, 0))), 1, "")</f>
        <v/>
      </c>
      <c r="AP92" s="1" t="str">
        <f>IF(AND(AND(AND(AP$4&gt;='2025'!$L90,AP$4&lt;='2025'!$M90), AP$4&lt;&gt;DATE(2025,7,4)), (SWITCH(weekday(AP$4), 1, 0, 2, if(ISBLANK('2025'!$P90), 0, 1), 3, if(ISBLANK('2025'!$Q90), 0, 1), 4, if(ISBLANK('2025'!$R90), 0, 1), 5, if(ISBLANK('2025'!$S90), 0, 1), 6, if(ISBLANK('2025'!$T90), 0, 1), 7, 0))), 1, "")</f>
        <v/>
      </c>
      <c r="AQ92" s="1" t="str">
        <f>IF(AND(AND(AND(AQ$4&gt;='2025'!$L90,AQ$4&lt;='2025'!$M90), AQ$4&lt;&gt;DATE(2025,7,4)), (SWITCH(weekday(AQ$4), 1, 0, 2, if(ISBLANK('2025'!$P90), 0, 1), 3, if(ISBLANK('2025'!$Q90), 0, 1), 4, if(ISBLANK('2025'!$R90), 0, 1), 5, if(ISBLANK('2025'!$S90), 0, 1), 6, if(ISBLANK('2025'!$T90), 0, 1), 7, 0))), 1, "")</f>
        <v/>
      </c>
      <c r="AR92" s="1" t="str">
        <f>IF(AND(AND(AND(AR$4&gt;='2025'!$L90,AR$4&lt;='2025'!$M90), AR$4&lt;&gt;DATE(2025,7,4)), (SWITCH(weekday(AR$4), 1, 0, 2, if(ISBLANK('2025'!$P90), 0, 1), 3, if(ISBLANK('2025'!$Q90), 0, 1), 4, if(ISBLANK('2025'!$R90), 0, 1), 5, if(ISBLANK('2025'!$S90), 0, 1), 6, if(ISBLANK('2025'!$T90), 0, 1), 7, 0))), 1, "")</f>
        <v/>
      </c>
      <c r="AS92" s="1" t="str">
        <f>IF(AND(AND(AND(AS$4&gt;='2025'!$L90,AS$4&lt;='2025'!$M90), AS$4&lt;&gt;DATE(2025,7,4)), (SWITCH(weekday(AS$4), 1, 0, 2, if(ISBLANK('2025'!$P90), 0, 1), 3, if(ISBLANK('2025'!$Q90), 0, 1), 4, if(ISBLANK('2025'!$R90), 0, 1), 5, if(ISBLANK('2025'!$S90), 0, 1), 6, if(ISBLANK('2025'!$T90), 0, 1), 7, 0))), 1, "")</f>
        <v/>
      </c>
      <c r="AT92" s="1" t="str">
        <f>IF(AND(AND(AND(AT$4&gt;='2025'!$L90,AT$4&lt;='2025'!$M90), AT$4&lt;&gt;DATE(2025,7,4)), (SWITCH(weekday(AT$4), 1, 0, 2, if(ISBLANK('2025'!$P90), 0, 1), 3, if(ISBLANK('2025'!$Q90), 0, 1), 4, if(ISBLANK('2025'!$R90), 0, 1), 5, if(ISBLANK('2025'!$S90), 0, 1), 6, if(ISBLANK('2025'!$T90), 0, 1), 7, 0))), 1, "")</f>
        <v/>
      </c>
      <c r="AU92" s="1" t="str">
        <f>IF(AND(AND(AND(AU$4&gt;='2025'!$L90,AU$4&lt;='2025'!$M90), AU$4&lt;&gt;DATE(2025,7,4)), (SWITCH(weekday(AU$4), 1, 0, 2, if(ISBLANK('2025'!$P90), 0, 1), 3, if(ISBLANK('2025'!$Q90), 0, 1), 4, if(ISBLANK('2025'!$R90), 0, 1), 5, if(ISBLANK('2025'!$S90), 0, 1), 6, if(ISBLANK('2025'!$T90), 0, 1), 7, 0))), 1, "")</f>
        <v/>
      </c>
      <c r="AV92" s="1" t="str">
        <f>IF(AND(AND(AND(AV$4&gt;='2025'!$L90,AV$4&lt;='2025'!$M90), AV$4&lt;&gt;DATE(2025,7,4)), (SWITCH(weekday(AV$4), 1, 0, 2, if(ISBLANK('2025'!$P90), 0, 1), 3, if(ISBLANK('2025'!$Q90), 0, 1), 4, if(ISBLANK('2025'!$R90), 0, 1), 5, if(ISBLANK('2025'!$S90), 0, 1), 6, if(ISBLANK('2025'!$T90), 0, 1), 7, 0))), 1, "")</f>
        <v/>
      </c>
      <c r="AW92" s="1" t="str">
        <f>IF(AND(AND(AND(AW$4&gt;='2025'!$L90,AW$4&lt;='2025'!$M90), AW$4&lt;&gt;DATE(2025,7,4)), (SWITCH(weekday(AW$4), 1, 0, 2, if(ISBLANK('2025'!$P90), 0, 1), 3, if(ISBLANK('2025'!$Q90), 0, 1), 4, if(ISBLANK('2025'!$R90), 0, 1), 5, if(ISBLANK('2025'!$S90), 0, 1), 6, if(ISBLANK('2025'!$T90), 0, 1), 7, 0))), 1, "")</f>
        <v/>
      </c>
      <c r="AX92" s="1" t="str">
        <f>IF(AND(AND(AND(AX$4&gt;='2025'!$L90,AX$4&lt;='2025'!$M90), AX$4&lt;&gt;DATE(2025,7,4)), (SWITCH(weekday(AX$4), 1, 0, 2, if(ISBLANK('2025'!$P90), 0, 1), 3, if(ISBLANK('2025'!$Q90), 0, 1), 4, if(ISBLANK('2025'!$R90), 0, 1), 5, if(ISBLANK('2025'!$S90), 0, 1), 6, if(ISBLANK('2025'!$T90), 0, 1), 7, 0))), 1, "")</f>
        <v/>
      </c>
      <c r="AY92" s="1" t="str">
        <f>IF(AND(AND(AND(AY$4&gt;='2025'!$L90,AY$4&lt;='2025'!$M90), AY$4&lt;&gt;DATE(2025,7,4)), (SWITCH(weekday(AY$4), 1, 0, 2, if(ISBLANK('2025'!$P90), 0, 1), 3, if(ISBLANK('2025'!$Q90), 0, 1), 4, if(ISBLANK('2025'!$R90), 0, 1), 5, if(ISBLANK('2025'!$S90), 0, 1), 6, if(ISBLANK('2025'!$T90), 0, 1), 7, 0))), 1, "")</f>
        <v/>
      </c>
      <c r="AZ92" s="1" t="str">
        <f>IF(AND(AND(AND(AZ$4&gt;='2025'!$L90,AZ$4&lt;='2025'!$M90), AZ$4&lt;&gt;DATE(2025,7,4)), (SWITCH(weekday(AZ$4), 1, 0, 2, if(ISBLANK('2025'!$P90), 0, 1), 3, if(ISBLANK('2025'!$Q90), 0, 1), 4, if(ISBLANK('2025'!$R90), 0, 1), 5, if(ISBLANK('2025'!$S90), 0, 1), 6, if(ISBLANK('2025'!$T90), 0, 1), 7, 0))), 1, "")</f>
        <v/>
      </c>
      <c r="BA92" s="1" t="str">
        <f>IF(AND(AND(AND(BA$4&gt;='2025'!$L90,BA$4&lt;='2025'!$M90), BA$4&lt;&gt;DATE(2025,7,4)), (SWITCH(weekday(BA$4), 1, 0, 2, if(ISBLANK('2025'!$P90), 0, 1), 3, if(ISBLANK('2025'!$Q90), 0, 1), 4, if(ISBLANK('2025'!$R90), 0, 1), 5, if(ISBLANK('2025'!$S90), 0, 1), 6, if(ISBLANK('2025'!$T90), 0, 1), 7, 0))), 1, "")</f>
        <v/>
      </c>
      <c r="BB92" s="1" t="str">
        <f>IF(AND(AND(AND(BB$4&gt;='2025'!$L90,BB$4&lt;='2025'!$M90), BB$4&lt;&gt;DATE(2025,7,4)), (SWITCH(weekday(BB$4), 1, 0, 2, if(ISBLANK('2025'!$P90), 0, 1), 3, if(ISBLANK('2025'!$Q90), 0, 1), 4, if(ISBLANK('2025'!$R90), 0, 1), 5, if(ISBLANK('2025'!$S90), 0, 1), 6, if(ISBLANK('2025'!$T90), 0, 1), 7, 0))), 1, "")</f>
        <v/>
      </c>
      <c r="BC92" s="1" t="str">
        <f>IF(AND(AND(AND(BC$4&gt;='2025'!$L90,BC$4&lt;='2025'!$M90), BC$4&lt;&gt;DATE(2025,7,4)), (SWITCH(weekday(BC$4), 1, 0, 2, if(ISBLANK('2025'!$P90), 0, 1), 3, if(ISBLANK('2025'!$Q90), 0, 1), 4, if(ISBLANK('2025'!$R90), 0, 1), 5, if(ISBLANK('2025'!$S90), 0, 1), 6, if(ISBLANK('2025'!$T90), 0, 1), 7, 0))), 1, "")</f>
        <v/>
      </c>
      <c r="BD92" s="1" t="str">
        <f>IF(AND(AND(AND(BD$4&gt;='2025'!$L90,BD$4&lt;='2025'!$M90), BD$4&lt;&gt;DATE(2025,7,4)), (SWITCH(weekday(BD$4), 1, 0, 2, if(ISBLANK('2025'!$P90), 0, 1), 3, if(ISBLANK('2025'!$Q90), 0, 1), 4, if(ISBLANK('2025'!$R90), 0, 1), 5, if(ISBLANK('2025'!$S90), 0, 1), 6, if(ISBLANK('2025'!$T90), 0, 1), 7, 0))), 1, "")</f>
        <v/>
      </c>
      <c r="BE92" s="1" t="str">
        <f>IF(AND(AND(AND(BE$4&gt;='2025'!$L90,BE$4&lt;='2025'!$M90), BE$4&lt;&gt;DATE(2025,7,4)), (SWITCH(weekday(BE$4), 1, 0, 2, if(ISBLANK('2025'!$P90), 0, 1), 3, if(ISBLANK('2025'!$Q90), 0, 1), 4, if(ISBLANK('2025'!$R90), 0, 1), 5, if(ISBLANK('2025'!$S90), 0, 1), 6, if(ISBLANK('2025'!$T90), 0, 1), 7, 0))), 1, "")</f>
        <v/>
      </c>
      <c r="BF92" s="1" t="str">
        <f>IF(AND(AND(AND(BF$4&gt;='2025'!$L90,BF$4&lt;='2025'!$M90), BF$4&lt;&gt;DATE(2025,7,4)), (SWITCH(weekday(BF$4), 1, 0, 2, if(ISBLANK('2025'!$P90), 0, 1), 3, if(ISBLANK('2025'!$Q90), 0, 1), 4, if(ISBLANK('2025'!$R90), 0, 1), 5, if(ISBLANK('2025'!$S90), 0, 1), 6, if(ISBLANK('2025'!$T90), 0, 1), 7, 0))), 1, "")</f>
        <v/>
      </c>
      <c r="BG92" s="1"/>
      <c r="BH92" s="1"/>
      <c r="BI92" s="1"/>
      <c r="BJ92" s="1"/>
      <c r="BK92" s="1"/>
      <c r="BL92" s="1"/>
    </row>
    <row r="93">
      <c r="A93" s="1">
        <f t="shared" si="3"/>
        <v>93</v>
      </c>
      <c r="B93" s="1" t="str">
        <f>'2025'!D57</f>
        <v>, isadora</v>
      </c>
      <c r="C93" s="1" t="str">
        <f>'2025'!H57</f>
        <v>infant</v>
      </c>
      <c r="D93" s="1" t="str">
        <f>IF(AND(AND(AND(D$4&gt;='2025'!$L91,D$4&lt;='2025'!$M91), D$4&lt;&gt;DATE(2025,7,4)), (SWITCH(weekday(D$4), 1, 0, 2, if(ISBLANK('2025'!$P91), 0, 1), 3, if(ISBLANK('2025'!$Q91), 0, 1), 4, if(ISBLANK('2025'!$R91), 0, 1), 5, if(ISBLANK('2025'!$S91), 0, 1), 6, if(ISBLANK('2025'!$T91), 0, 1), 7, 0))), 1, "")</f>
        <v/>
      </c>
      <c r="E93" s="1" t="str">
        <f>IF(AND(AND(AND(E$4&gt;='2025'!$L91,E$4&lt;='2025'!$M91), E$4&lt;&gt;DATE(2025,7,4)), (SWITCH(weekday(E$4), 1, 0, 2, if(ISBLANK('2025'!$P91), 0, 1), 3, if(ISBLANK('2025'!$Q91), 0, 1), 4, if(ISBLANK('2025'!$R91), 0, 1), 5, if(ISBLANK('2025'!$S91), 0, 1), 6, if(ISBLANK('2025'!$T91), 0, 1), 7, 0))), 1, "")</f>
        <v/>
      </c>
      <c r="F93" s="1" t="str">
        <f>IF(AND(AND(AND(F$4&gt;='2025'!$L91,F$4&lt;='2025'!$M91), F$4&lt;&gt;DATE(2025,7,4)), (SWITCH(weekday(F$4), 1, 0, 2, if(ISBLANK('2025'!$P91), 0, 1), 3, if(ISBLANK('2025'!$Q91), 0, 1), 4, if(ISBLANK('2025'!$R91), 0, 1), 5, if(ISBLANK('2025'!$S91), 0, 1), 6, if(ISBLANK('2025'!$T91), 0, 1), 7, 0))), 1, "")</f>
        <v/>
      </c>
      <c r="G93" s="1" t="str">
        <f>IF(AND(AND(AND(G$4&gt;='2025'!$L91,G$4&lt;='2025'!$M91), G$4&lt;&gt;DATE(2025,7,4)), (SWITCH(weekday(G$4), 1, 0, 2, if(ISBLANK('2025'!$P91), 0, 1), 3, if(ISBLANK('2025'!$Q91), 0, 1), 4, if(ISBLANK('2025'!$R91), 0, 1), 5, if(ISBLANK('2025'!$S91), 0, 1), 6, if(ISBLANK('2025'!$T91), 0, 1), 7, 0))), 1, "")</f>
        <v/>
      </c>
      <c r="H93" s="1" t="str">
        <f>IF(AND(AND(AND(H$4&gt;='2025'!$L91,H$4&lt;='2025'!$M91), H$4&lt;&gt;DATE(2025,7,4)), (SWITCH(weekday(H$4), 1, 0, 2, if(ISBLANK('2025'!$P91), 0, 1), 3, if(ISBLANK('2025'!$Q91), 0, 1), 4, if(ISBLANK('2025'!$R91), 0, 1), 5, if(ISBLANK('2025'!$S91), 0, 1), 6, if(ISBLANK('2025'!$T91), 0, 1), 7, 0))), 1, "")</f>
        <v/>
      </c>
      <c r="I93" s="1" t="str">
        <f>IF(AND(AND(AND(I$4&gt;='2025'!$L91,I$4&lt;='2025'!$M91), I$4&lt;&gt;DATE(2025,7,4)), (SWITCH(weekday(I$4), 1, 0, 2, if(ISBLANK('2025'!$P91), 0, 1), 3, if(ISBLANK('2025'!$Q91), 0, 1), 4, if(ISBLANK('2025'!$R91), 0, 1), 5, if(ISBLANK('2025'!$S91), 0, 1), 6, if(ISBLANK('2025'!$T91), 0, 1), 7, 0))), 1, "")</f>
        <v/>
      </c>
      <c r="J93" s="1" t="str">
        <f>IF(AND(AND(AND(J$4&gt;='2025'!$L91,J$4&lt;='2025'!$M91), J$4&lt;&gt;DATE(2025,7,4)), (SWITCH(weekday(J$4), 1, 0, 2, if(ISBLANK('2025'!$P91), 0, 1), 3, if(ISBLANK('2025'!$Q91), 0, 1), 4, if(ISBLANK('2025'!$R91), 0, 1), 5, if(ISBLANK('2025'!$S91), 0, 1), 6, if(ISBLANK('2025'!$T91), 0, 1), 7, 0))), 1, "")</f>
        <v/>
      </c>
      <c r="K93" s="1" t="str">
        <f>IF(AND(AND(AND(K$4&gt;='2025'!$L91,K$4&lt;='2025'!$M91), K$4&lt;&gt;DATE(2025,7,4)), (SWITCH(weekday(K$4), 1, 0, 2, if(ISBLANK('2025'!$P91), 0, 1), 3, if(ISBLANK('2025'!$Q91), 0, 1), 4, if(ISBLANK('2025'!$R91), 0, 1), 5, if(ISBLANK('2025'!$S91), 0, 1), 6, if(ISBLANK('2025'!$T91), 0, 1), 7, 0))), 1, "")</f>
        <v/>
      </c>
      <c r="L93" s="1" t="str">
        <f>IF(AND(AND(AND(L$4&gt;='2025'!$L91,L$4&lt;='2025'!$M91), L$4&lt;&gt;DATE(2025,7,4)), (SWITCH(weekday(L$4), 1, 0, 2, if(ISBLANK('2025'!$P91), 0, 1), 3, if(ISBLANK('2025'!$Q91), 0, 1), 4, if(ISBLANK('2025'!$R91), 0, 1), 5, if(ISBLANK('2025'!$S91), 0, 1), 6, if(ISBLANK('2025'!$T91), 0, 1), 7, 0))), 1, "")</f>
        <v/>
      </c>
      <c r="M93" s="1" t="str">
        <f>IF(AND(AND(AND(M$4&gt;='2025'!$L91,M$4&lt;='2025'!$M91), M$4&lt;&gt;DATE(2025,7,4)), (SWITCH(weekday(M$4), 1, 0, 2, if(ISBLANK('2025'!$P91), 0, 1), 3, if(ISBLANK('2025'!$Q91), 0, 1), 4, if(ISBLANK('2025'!$R91), 0, 1), 5, if(ISBLANK('2025'!$S91), 0, 1), 6, if(ISBLANK('2025'!$T91), 0, 1), 7, 0))), 1, "")</f>
        <v/>
      </c>
      <c r="N93" s="1" t="str">
        <f>IF(AND(AND(AND(N$4&gt;='2025'!$L91,N$4&lt;='2025'!$M91), N$4&lt;&gt;DATE(2025,7,4)), (SWITCH(weekday(N$4), 1, 0, 2, if(ISBLANK('2025'!$P91), 0, 1), 3, if(ISBLANK('2025'!$Q91), 0, 1), 4, if(ISBLANK('2025'!$R91), 0, 1), 5, if(ISBLANK('2025'!$S91), 0, 1), 6, if(ISBLANK('2025'!$T91), 0, 1), 7, 0))), 1, "")</f>
        <v/>
      </c>
      <c r="O93" s="1" t="str">
        <f>IF(AND(AND(AND(O$4&gt;='2025'!$L91,O$4&lt;='2025'!$M91), O$4&lt;&gt;DATE(2025,7,4)), (SWITCH(weekday(O$4), 1, 0, 2, if(ISBLANK('2025'!$P91), 0, 1), 3, if(ISBLANK('2025'!$Q91), 0, 1), 4, if(ISBLANK('2025'!$R91), 0, 1), 5, if(ISBLANK('2025'!$S91), 0, 1), 6, if(ISBLANK('2025'!$T91), 0, 1), 7, 0))), 1, "")</f>
        <v/>
      </c>
      <c r="P93" s="1" t="str">
        <f>IF(AND(AND(AND(P$4&gt;='2025'!$L91,P$4&lt;='2025'!$M91), P$4&lt;&gt;DATE(2025,7,4)), (SWITCH(weekday(P$4), 1, 0, 2, if(ISBLANK('2025'!$P91), 0, 1), 3, if(ISBLANK('2025'!$Q91), 0, 1), 4, if(ISBLANK('2025'!$R91), 0, 1), 5, if(ISBLANK('2025'!$S91), 0, 1), 6, if(ISBLANK('2025'!$T91), 0, 1), 7, 0))), 1, "")</f>
        <v/>
      </c>
      <c r="Q93" s="1" t="str">
        <f>IF(AND(AND(AND(Q$4&gt;='2025'!$L91,Q$4&lt;='2025'!$M91), Q$4&lt;&gt;DATE(2025,7,4)), (SWITCH(weekday(Q$4), 1, 0, 2, if(ISBLANK('2025'!$P91), 0, 1), 3, if(ISBLANK('2025'!$Q91), 0, 1), 4, if(ISBLANK('2025'!$R91), 0, 1), 5, if(ISBLANK('2025'!$S91), 0, 1), 6, if(ISBLANK('2025'!$T91), 0, 1), 7, 0))), 1, "")</f>
        <v/>
      </c>
      <c r="R93" s="1" t="str">
        <f>IF(AND(AND(AND(R$4&gt;='2025'!$L91,R$4&lt;='2025'!$M91), R$4&lt;&gt;DATE(2025,7,4)), (SWITCH(weekday(R$4), 1, 0, 2, if(ISBLANK('2025'!$P91), 0, 1), 3, if(ISBLANK('2025'!$Q91), 0, 1), 4, if(ISBLANK('2025'!$R91), 0, 1), 5, if(ISBLANK('2025'!$S91), 0, 1), 6, if(ISBLANK('2025'!$T91), 0, 1), 7, 0))), 1, "")</f>
        <v/>
      </c>
      <c r="S93" s="1" t="str">
        <f>IF(AND(AND(AND(S$4&gt;='2025'!$L91,S$4&lt;='2025'!$M91), S$4&lt;&gt;DATE(2025,7,4)), (SWITCH(weekday(S$4), 1, 0, 2, if(ISBLANK('2025'!$P91), 0, 1), 3, if(ISBLANK('2025'!$Q91), 0, 1), 4, if(ISBLANK('2025'!$R91), 0, 1), 5, if(ISBLANK('2025'!$S91), 0, 1), 6, if(ISBLANK('2025'!$T91), 0, 1), 7, 0))), 1, "")</f>
        <v/>
      </c>
      <c r="T93" s="1" t="str">
        <f>IF(AND(AND(AND(T$4&gt;='2025'!$L91,T$4&lt;='2025'!$M91), T$4&lt;&gt;DATE(2025,7,4)), (SWITCH(weekday(T$4), 1, 0, 2, if(ISBLANK('2025'!$P91), 0, 1), 3, if(ISBLANK('2025'!$Q91), 0, 1), 4, if(ISBLANK('2025'!$R91), 0, 1), 5, if(ISBLANK('2025'!$S91), 0, 1), 6, if(ISBLANK('2025'!$T91), 0, 1), 7, 0))), 1, "")</f>
        <v/>
      </c>
      <c r="U93" s="1" t="str">
        <f>IF(AND(AND(AND(U$4&gt;='2025'!$L91,U$4&lt;='2025'!$M91), U$4&lt;&gt;DATE(2025,7,4)), (SWITCH(weekday(U$4), 1, 0, 2, if(ISBLANK('2025'!$P91), 0, 1), 3, if(ISBLANK('2025'!$Q91), 0, 1), 4, if(ISBLANK('2025'!$R91), 0, 1), 5, if(ISBLANK('2025'!$S91), 0, 1), 6, if(ISBLANK('2025'!$T91), 0, 1), 7, 0))), 1, "")</f>
        <v/>
      </c>
      <c r="V93" s="1" t="str">
        <f>IF(AND(AND(AND(V$4&gt;='2025'!$L91,V$4&lt;='2025'!$M91), V$4&lt;&gt;DATE(2025,7,4)), (SWITCH(weekday(V$4), 1, 0, 2, if(ISBLANK('2025'!$P91), 0, 1), 3, if(ISBLANK('2025'!$Q91), 0, 1), 4, if(ISBLANK('2025'!$R91), 0, 1), 5, if(ISBLANK('2025'!$S91), 0, 1), 6, if(ISBLANK('2025'!$T91), 0, 1), 7, 0))), 1, "")</f>
        <v/>
      </c>
      <c r="W93" s="1" t="str">
        <f>IF(AND(AND(AND(W$4&gt;='2025'!$L91,W$4&lt;='2025'!$M91), W$4&lt;&gt;DATE(2025,7,4)), (SWITCH(weekday(W$4), 1, 0, 2, if(ISBLANK('2025'!$P91), 0, 1), 3, if(ISBLANK('2025'!$Q91), 0, 1), 4, if(ISBLANK('2025'!$R91), 0, 1), 5, if(ISBLANK('2025'!$S91), 0, 1), 6, if(ISBLANK('2025'!$T91), 0, 1), 7, 0))), 1, "")</f>
        <v/>
      </c>
      <c r="X93" s="1" t="str">
        <f>IF(AND(AND(AND(X$4&gt;='2025'!$L91,X$4&lt;='2025'!$M91), X$4&lt;&gt;DATE(2025,7,4)), (SWITCH(weekday(X$4), 1, 0, 2, if(ISBLANK('2025'!$P91), 0, 1), 3, if(ISBLANK('2025'!$Q91), 0, 1), 4, if(ISBLANK('2025'!$R91), 0, 1), 5, if(ISBLANK('2025'!$S91), 0, 1), 6, if(ISBLANK('2025'!$T91), 0, 1), 7, 0))), 1, "")</f>
        <v/>
      </c>
      <c r="Y93" s="1" t="str">
        <f>IF(AND(AND(AND(Y$4&gt;='2025'!$L91,Y$4&lt;='2025'!$M91), Y$4&lt;&gt;DATE(2025,7,4)), (SWITCH(weekday(Y$4), 1, 0, 2, if(ISBLANK('2025'!$P91), 0, 1), 3, if(ISBLANK('2025'!$Q91), 0, 1), 4, if(ISBLANK('2025'!$R91), 0, 1), 5, if(ISBLANK('2025'!$S91), 0, 1), 6, if(ISBLANK('2025'!$T91), 0, 1), 7, 0))), 1, "")</f>
        <v/>
      </c>
      <c r="Z93" s="1" t="str">
        <f>IF(AND(AND(AND(Z$4&gt;='2025'!$L91,Z$4&lt;='2025'!$M91), Z$4&lt;&gt;DATE(2025,7,4)), (SWITCH(weekday(Z$4), 1, 0, 2, if(ISBLANK('2025'!$P91), 0, 1), 3, if(ISBLANK('2025'!$Q91), 0, 1), 4, if(ISBLANK('2025'!$R91), 0, 1), 5, if(ISBLANK('2025'!$S91), 0, 1), 6, if(ISBLANK('2025'!$T91), 0, 1), 7, 0))), 1, "")</f>
        <v/>
      </c>
      <c r="AA93" s="1" t="str">
        <f>IF(AND(AND(AND(AA$4&gt;='2025'!$L91,AA$4&lt;='2025'!$M91), AA$4&lt;&gt;DATE(2025,7,4)), (SWITCH(weekday(AA$4), 1, 0, 2, if(ISBLANK('2025'!$P91), 0, 1), 3, if(ISBLANK('2025'!$Q91), 0, 1), 4, if(ISBLANK('2025'!$R91), 0, 1), 5, if(ISBLANK('2025'!$S91), 0, 1), 6, if(ISBLANK('2025'!$T91), 0, 1), 7, 0))), 1, "")</f>
        <v/>
      </c>
      <c r="AB93" s="1" t="str">
        <f>IF(AND(AND(AND(AB$4&gt;='2025'!$L91,AB$4&lt;='2025'!$M91), AB$4&lt;&gt;DATE(2025,7,4)), (SWITCH(weekday(AB$4), 1, 0, 2, if(ISBLANK('2025'!$P91), 0, 1), 3, if(ISBLANK('2025'!$Q91), 0, 1), 4, if(ISBLANK('2025'!$R91), 0, 1), 5, if(ISBLANK('2025'!$S91), 0, 1), 6, if(ISBLANK('2025'!$T91), 0, 1), 7, 0))), 1, "")</f>
        <v/>
      </c>
      <c r="AC93" s="1" t="str">
        <f>IF(AND(AND(AND(AC$4&gt;='2025'!$L91,AC$4&lt;='2025'!$M91), AC$4&lt;&gt;DATE(2025,7,4)), (SWITCH(weekday(AC$4), 1, 0, 2, if(ISBLANK('2025'!$P91), 0, 1), 3, if(ISBLANK('2025'!$Q91), 0, 1), 4, if(ISBLANK('2025'!$R91), 0, 1), 5, if(ISBLANK('2025'!$S91), 0, 1), 6, if(ISBLANK('2025'!$T91), 0, 1), 7, 0))), 1, "")</f>
        <v/>
      </c>
      <c r="AD93" s="1" t="str">
        <f>IF(AND(AND(AND(AD$4&gt;='2025'!$L91,AD$4&lt;='2025'!$M91), AD$4&lt;&gt;DATE(2025,7,4)), (SWITCH(weekday(AD$4), 1, 0, 2, if(ISBLANK('2025'!$P91), 0, 1), 3, if(ISBLANK('2025'!$Q91), 0, 1), 4, if(ISBLANK('2025'!$R91), 0, 1), 5, if(ISBLANK('2025'!$S91), 0, 1), 6, if(ISBLANK('2025'!$T91), 0, 1), 7, 0))), 1, "")</f>
        <v/>
      </c>
      <c r="AE93" s="1" t="str">
        <f>IF(AND(AND(AND(AE$4&gt;='2025'!$L91,AE$4&lt;='2025'!$M91), AE$4&lt;&gt;DATE(2025,7,4)), (SWITCH(weekday(AE$4), 1, 0, 2, if(ISBLANK('2025'!$P91), 0, 1), 3, if(ISBLANK('2025'!$Q91), 0, 1), 4, if(ISBLANK('2025'!$R91), 0, 1), 5, if(ISBLANK('2025'!$S91), 0, 1), 6, if(ISBLANK('2025'!$T91), 0, 1), 7, 0))), 1, "")</f>
        <v/>
      </c>
      <c r="AF93" s="1" t="str">
        <f>IF(AND(AND(AND(AF$4&gt;='2025'!$L91,AF$4&lt;='2025'!$M91), AF$4&lt;&gt;DATE(2025,7,4)), (SWITCH(weekday(AF$4), 1, 0, 2, if(ISBLANK('2025'!$P91), 0, 1), 3, if(ISBLANK('2025'!$Q91), 0, 1), 4, if(ISBLANK('2025'!$R91), 0, 1), 5, if(ISBLANK('2025'!$S91), 0, 1), 6, if(ISBLANK('2025'!$T91), 0, 1), 7, 0))), 1, "")</f>
        <v/>
      </c>
      <c r="AG93" s="1" t="str">
        <f>IF(AND(AND(AND(AG$4&gt;='2025'!$L91,AG$4&lt;='2025'!$M91), AG$4&lt;&gt;DATE(2025,7,4)), (SWITCH(weekday(AG$4), 1, 0, 2, if(ISBLANK('2025'!$P91), 0, 1), 3, if(ISBLANK('2025'!$Q91), 0, 1), 4, if(ISBLANK('2025'!$R91), 0, 1), 5, if(ISBLANK('2025'!$S91), 0, 1), 6, if(ISBLANK('2025'!$T91), 0, 1), 7, 0))), 1, "")</f>
        <v/>
      </c>
      <c r="AH93" s="1" t="str">
        <f>IF(AND(AND(AND(AH$4&gt;='2025'!$L91,AH$4&lt;='2025'!$M91), AH$4&lt;&gt;DATE(2025,7,4)), (SWITCH(weekday(AH$4), 1, 0, 2, if(ISBLANK('2025'!$P91), 0, 1), 3, if(ISBLANK('2025'!$Q91), 0, 1), 4, if(ISBLANK('2025'!$R91), 0, 1), 5, if(ISBLANK('2025'!$S91), 0, 1), 6, if(ISBLANK('2025'!$T91), 0, 1), 7, 0))), 1, "")</f>
        <v/>
      </c>
      <c r="AI93" s="1" t="str">
        <f>IF(AND(AND(AND(AI$4&gt;='2025'!$L91,AI$4&lt;='2025'!$M91), AI$4&lt;&gt;DATE(2025,7,4)), (SWITCH(weekday(AI$4), 1, 0, 2, if(ISBLANK('2025'!$P91), 0, 1), 3, if(ISBLANK('2025'!$Q91), 0, 1), 4, if(ISBLANK('2025'!$R91), 0, 1), 5, if(ISBLANK('2025'!$S91), 0, 1), 6, if(ISBLANK('2025'!$T91), 0, 1), 7, 0))), 1, "")</f>
        <v/>
      </c>
      <c r="AJ93" s="1" t="str">
        <f>IF(AND(AND(AND(AJ$4&gt;='2025'!$L91,AJ$4&lt;='2025'!$M91), AJ$4&lt;&gt;DATE(2025,7,4)), (SWITCH(weekday(AJ$4), 1, 0, 2, if(ISBLANK('2025'!$P91), 0, 1), 3, if(ISBLANK('2025'!$Q91), 0, 1), 4, if(ISBLANK('2025'!$R91), 0, 1), 5, if(ISBLANK('2025'!$S91), 0, 1), 6, if(ISBLANK('2025'!$T91), 0, 1), 7, 0))), 1, "")</f>
        <v/>
      </c>
      <c r="AK93" s="1" t="str">
        <f>IF(AND(AND(AND(AK$4&gt;='2025'!$L91,AK$4&lt;='2025'!$M91), AK$4&lt;&gt;DATE(2025,7,4)), (SWITCH(weekday(AK$4), 1, 0, 2, if(ISBLANK('2025'!$P91), 0, 1), 3, if(ISBLANK('2025'!$Q91), 0, 1), 4, if(ISBLANK('2025'!$R91), 0, 1), 5, if(ISBLANK('2025'!$S91), 0, 1), 6, if(ISBLANK('2025'!$T91), 0, 1), 7, 0))), 1, "")</f>
        <v/>
      </c>
      <c r="AL93" s="1" t="str">
        <f>IF(AND(AND(AND(AL$4&gt;='2025'!$L91,AL$4&lt;='2025'!$M91), AL$4&lt;&gt;DATE(2025,7,4)), (SWITCH(weekday(AL$4), 1, 0, 2, if(ISBLANK('2025'!$P91), 0, 1), 3, if(ISBLANK('2025'!$Q91), 0, 1), 4, if(ISBLANK('2025'!$R91), 0, 1), 5, if(ISBLANK('2025'!$S91), 0, 1), 6, if(ISBLANK('2025'!$T91), 0, 1), 7, 0))), 1, "")</f>
        <v/>
      </c>
      <c r="AM93" s="1" t="str">
        <f>IF(AND(AND(AND(AM$4&gt;='2025'!$L91,AM$4&lt;='2025'!$M91), AM$4&lt;&gt;DATE(2025,7,4)), (SWITCH(weekday(AM$4), 1, 0, 2, if(ISBLANK('2025'!$P91), 0, 1), 3, if(ISBLANK('2025'!$Q91), 0, 1), 4, if(ISBLANK('2025'!$R91), 0, 1), 5, if(ISBLANK('2025'!$S91), 0, 1), 6, if(ISBLANK('2025'!$T91), 0, 1), 7, 0))), 1, "")</f>
        <v/>
      </c>
      <c r="AN93" s="1" t="str">
        <f>IF(AND(AND(AND(AN$4&gt;='2025'!$L91,AN$4&lt;='2025'!$M91), AN$4&lt;&gt;DATE(2025,7,4)), (SWITCH(weekday(AN$4), 1, 0, 2, if(ISBLANK('2025'!$P91), 0, 1), 3, if(ISBLANK('2025'!$Q91), 0, 1), 4, if(ISBLANK('2025'!$R91), 0, 1), 5, if(ISBLANK('2025'!$S91), 0, 1), 6, if(ISBLANK('2025'!$T91), 0, 1), 7, 0))), 1, "")</f>
        <v/>
      </c>
      <c r="AO93" s="1" t="str">
        <f>IF(AND(AND(AND(AO$4&gt;='2025'!$L91,AO$4&lt;='2025'!$M91), AO$4&lt;&gt;DATE(2025,7,4)), (SWITCH(weekday(AO$4), 1, 0, 2, if(ISBLANK('2025'!$P91), 0, 1), 3, if(ISBLANK('2025'!$Q91), 0, 1), 4, if(ISBLANK('2025'!$R91), 0, 1), 5, if(ISBLANK('2025'!$S91), 0, 1), 6, if(ISBLANK('2025'!$T91), 0, 1), 7, 0))), 1, "")</f>
        <v/>
      </c>
      <c r="AP93" s="1" t="str">
        <f>IF(AND(AND(AND(AP$4&gt;='2025'!$L91,AP$4&lt;='2025'!$M91), AP$4&lt;&gt;DATE(2025,7,4)), (SWITCH(weekday(AP$4), 1, 0, 2, if(ISBLANK('2025'!$P91), 0, 1), 3, if(ISBLANK('2025'!$Q91), 0, 1), 4, if(ISBLANK('2025'!$R91), 0, 1), 5, if(ISBLANK('2025'!$S91), 0, 1), 6, if(ISBLANK('2025'!$T91), 0, 1), 7, 0))), 1, "")</f>
        <v/>
      </c>
      <c r="AQ93" s="1" t="str">
        <f>IF(AND(AND(AND(AQ$4&gt;='2025'!$L91,AQ$4&lt;='2025'!$M91), AQ$4&lt;&gt;DATE(2025,7,4)), (SWITCH(weekday(AQ$4), 1, 0, 2, if(ISBLANK('2025'!$P91), 0, 1), 3, if(ISBLANK('2025'!$Q91), 0, 1), 4, if(ISBLANK('2025'!$R91), 0, 1), 5, if(ISBLANK('2025'!$S91), 0, 1), 6, if(ISBLANK('2025'!$T91), 0, 1), 7, 0))), 1, "")</f>
        <v/>
      </c>
      <c r="AR93" s="1" t="str">
        <f>IF(AND(AND(AND(AR$4&gt;='2025'!$L91,AR$4&lt;='2025'!$M91), AR$4&lt;&gt;DATE(2025,7,4)), (SWITCH(weekday(AR$4), 1, 0, 2, if(ISBLANK('2025'!$P91), 0, 1), 3, if(ISBLANK('2025'!$Q91), 0, 1), 4, if(ISBLANK('2025'!$R91), 0, 1), 5, if(ISBLANK('2025'!$S91), 0, 1), 6, if(ISBLANK('2025'!$T91), 0, 1), 7, 0))), 1, "")</f>
        <v/>
      </c>
      <c r="AS93" s="1" t="str">
        <f>IF(AND(AND(AND(AS$4&gt;='2025'!$L91,AS$4&lt;='2025'!$M91), AS$4&lt;&gt;DATE(2025,7,4)), (SWITCH(weekday(AS$4), 1, 0, 2, if(ISBLANK('2025'!$P91), 0, 1), 3, if(ISBLANK('2025'!$Q91), 0, 1), 4, if(ISBLANK('2025'!$R91), 0, 1), 5, if(ISBLANK('2025'!$S91), 0, 1), 6, if(ISBLANK('2025'!$T91), 0, 1), 7, 0))), 1, "")</f>
        <v/>
      </c>
      <c r="AT93" s="1" t="str">
        <f>IF(AND(AND(AND(AT$4&gt;='2025'!$L91,AT$4&lt;='2025'!$M91), AT$4&lt;&gt;DATE(2025,7,4)), (SWITCH(weekday(AT$4), 1, 0, 2, if(ISBLANK('2025'!$P91), 0, 1), 3, if(ISBLANK('2025'!$Q91), 0, 1), 4, if(ISBLANK('2025'!$R91), 0, 1), 5, if(ISBLANK('2025'!$S91), 0, 1), 6, if(ISBLANK('2025'!$T91), 0, 1), 7, 0))), 1, "")</f>
        <v/>
      </c>
      <c r="AU93" s="1" t="str">
        <f>IF(AND(AND(AND(AU$4&gt;='2025'!$L91,AU$4&lt;='2025'!$M91), AU$4&lt;&gt;DATE(2025,7,4)), (SWITCH(weekday(AU$4), 1, 0, 2, if(ISBLANK('2025'!$P91), 0, 1), 3, if(ISBLANK('2025'!$Q91), 0, 1), 4, if(ISBLANK('2025'!$R91), 0, 1), 5, if(ISBLANK('2025'!$S91), 0, 1), 6, if(ISBLANK('2025'!$T91), 0, 1), 7, 0))), 1, "")</f>
        <v/>
      </c>
      <c r="AV93" s="1" t="str">
        <f>IF(AND(AND(AND(AV$4&gt;='2025'!$L91,AV$4&lt;='2025'!$M91), AV$4&lt;&gt;DATE(2025,7,4)), (SWITCH(weekday(AV$4), 1, 0, 2, if(ISBLANK('2025'!$P91), 0, 1), 3, if(ISBLANK('2025'!$Q91), 0, 1), 4, if(ISBLANK('2025'!$R91), 0, 1), 5, if(ISBLANK('2025'!$S91), 0, 1), 6, if(ISBLANK('2025'!$T91), 0, 1), 7, 0))), 1, "")</f>
        <v/>
      </c>
      <c r="AW93" s="1" t="str">
        <f>IF(AND(AND(AND(AW$4&gt;='2025'!$L91,AW$4&lt;='2025'!$M91), AW$4&lt;&gt;DATE(2025,7,4)), (SWITCH(weekday(AW$4), 1, 0, 2, if(ISBLANK('2025'!$P91), 0, 1), 3, if(ISBLANK('2025'!$Q91), 0, 1), 4, if(ISBLANK('2025'!$R91), 0, 1), 5, if(ISBLANK('2025'!$S91), 0, 1), 6, if(ISBLANK('2025'!$T91), 0, 1), 7, 0))), 1, "")</f>
        <v/>
      </c>
      <c r="AX93" s="1" t="str">
        <f>IF(AND(AND(AND(AX$4&gt;='2025'!$L91,AX$4&lt;='2025'!$M91), AX$4&lt;&gt;DATE(2025,7,4)), (SWITCH(weekday(AX$4), 1, 0, 2, if(ISBLANK('2025'!$P91), 0, 1), 3, if(ISBLANK('2025'!$Q91), 0, 1), 4, if(ISBLANK('2025'!$R91), 0, 1), 5, if(ISBLANK('2025'!$S91), 0, 1), 6, if(ISBLANK('2025'!$T91), 0, 1), 7, 0))), 1, "")</f>
        <v/>
      </c>
      <c r="AY93" s="1" t="str">
        <f>IF(AND(AND(AND(AY$4&gt;='2025'!$L91,AY$4&lt;='2025'!$M91), AY$4&lt;&gt;DATE(2025,7,4)), (SWITCH(weekday(AY$4), 1, 0, 2, if(ISBLANK('2025'!$P91), 0, 1), 3, if(ISBLANK('2025'!$Q91), 0, 1), 4, if(ISBLANK('2025'!$R91), 0, 1), 5, if(ISBLANK('2025'!$S91), 0, 1), 6, if(ISBLANK('2025'!$T91), 0, 1), 7, 0))), 1, "")</f>
        <v/>
      </c>
      <c r="AZ93" s="1" t="str">
        <f>IF(AND(AND(AND(AZ$4&gt;='2025'!$L91,AZ$4&lt;='2025'!$M91), AZ$4&lt;&gt;DATE(2025,7,4)), (SWITCH(weekday(AZ$4), 1, 0, 2, if(ISBLANK('2025'!$P91), 0, 1), 3, if(ISBLANK('2025'!$Q91), 0, 1), 4, if(ISBLANK('2025'!$R91), 0, 1), 5, if(ISBLANK('2025'!$S91), 0, 1), 6, if(ISBLANK('2025'!$T91), 0, 1), 7, 0))), 1, "")</f>
        <v/>
      </c>
      <c r="BA93" s="1" t="str">
        <f>IF(AND(AND(AND(BA$4&gt;='2025'!$L91,BA$4&lt;='2025'!$M91), BA$4&lt;&gt;DATE(2025,7,4)), (SWITCH(weekday(BA$4), 1, 0, 2, if(ISBLANK('2025'!$P91), 0, 1), 3, if(ISBLANK('2025'!$Q91), 0, 1), 4, if(ISBLANK('2025'!$R91), 0, 1), 5, if(ISBLANK('2025'!$S91), 0, 1), 6, if(ISBLANK('2025'!$T91), 0, 1), 7, 0))), 1, "")</f>
        <v/>
      </c>
      <c r="BB93" s="1" t="str">
        <f>IF(AND(AND(AND(BB$4&gt;='2025'!$L91,BB$4&lt;='2025'!$M91), BB$4&lt;&gt;DATE(2025,7,4)), (SWITCH(weekday(BB$4), 1, 0, 2, if(ISBLANK('2025'!$P91), 0, 1), 3, if(ISBLANK('2025'!$Q91), 0, 1), 4, if(ISBLANK('2025'!$R91), 0, 1), 5, if(ISBLANK('2025'!$S91), 0, 1), 6, if(ISBLANK('2025'!$T91), 0, 1), 7, 0))), 1, "")</f>
        <v/>
      </c>
      <c r="BC93" s="1" t="str">
        <f>IF(AND(AND(AND(BC$4&gt;='2025'!$L91,BC$4&lt;='2025'!$M91), BC$4&lt;&gt;DATE(2025,7,4)), (SWITCH(weekday(BC$4), 1, 0, 2, if(ISBLANK('2025'!$P91), 0, 1), 3, if(ISBLANK('2025'!$Q91), 0, 1), 4, if(ISBLANK('2025'!$R91), 0, 1), 5, if(ISBLANK('2025'!$S91), 0, 1), 6, if(ISBLANK('2025'!$T91), 0, 1), 7, 0))), 1, "")</f>
        <v/>
      </c>
      <c r="BD93" s="1" t="str">
        <f>IF(AND(AND(AND(BD$4&gt;='2025'!$L91,BD$4&lt;='2025'!$M91), BD$4&lt;&gt;DATE(2025,7,4)), (SWITCH(weekday(BD$4), 1, 0, 2, if(ISBLANK('2025'!$P91), 0, 1), 3, if(ISBLANK('2025'!$Q91), 0, 1), 4, if(ISBLANK('2025'!$R91), 0, 1), 5, if(ISBLANK('2025'!$S91), 0, 1), 6, if(ISBLANK('2025'!$T91), 0, 1), 7, 0))), 1, "")</f>
        <v/>
      </c>
      <c r="BE93" s="1" t="str">
        <f>IF(AND(AND(AND(BE$4&gt;='2025'!$L91,BE$4&lt;='2025'!$M91), BE$4&lt;&gt;DATE(2025,7,4)), (SWITCH(weekday(BE$4), 1, 0, 2, if(ISBLANK('2025'!$P91), 0, 1), 3, if(ISBLANK('2025'!$Q91), 0, 1), 4, if(ISBLANK('2025'!$R91), 0, 1), 5, if(ISBLANK('2025'!$S91), 0, 1), 6, if(ISBLANK('2025'!$T91), 0, 1), 7, 0))), 1, "")</f>
        <v/>
      </c>
      <c r="BF93" s="1" t="str">
        <f>IF(AND(AND(AND(BF$4&gt;='2025'!$L91,BF$4&lt;='2025'!$M91), BF$4&lt;&gt;DATE(2025,7,4)), (SWITCH(weekday(BF$4), 1, 0, 2, if(ISBLANK('2025'!$P91), 0, 1), 3, if(ISBLANK('2025'!$Q91), 0, 1), 4, if(ISBLANK('2025'!$R91), 0, 1), 5, if(ISBLANK('2025'!$S91), 0, 1), 6, if(ISBLANK('2025'!$T91), 0, 1), 7, 0))), 1, "")</f>
        <v/>
      </c>
      <c r="BG93" s="1"/>
      <c r="BH93" s="1"/>
      <c r="BI93" s="1"/>
      <c r="BJ93" s="1"/>
      <c r="BK93" s="1"/>
      <c r="BL93" s="1"/>
    </row>
    <row r="94">
      <c r="A94" s="1">
        <f t="shared" si="3"/>
        <v>94</v>
      </c>
      <c r="B94" s="1" t="str">
        <f>'2025'!D58</f>
        <v>, </v>
      </c>
      <c r="C94" s="1" t="str">
        <f>'2025'!H58</f>
        <v/>
      </c>
      <c r="D94" s="1" t="str">
        <f>IF(AND(AND(AND(D$4&gt;='2025'!$L92,D$4&lt;='2025'!$M92), D$4&lt;&gt;DATE(2025,7,4)), (SWITCH(weekday(D$4), 1, 0, 2, if(ISBLANK('2025'!$P92), 0, 1), 3, if(ISBLANK('2025'!$Q92), 0, 1), 4, if(ISBLANK('2025'!$R92), 0, 1), 5, if(ISBLANK('2025'!$S92), 0, 1), 6, if(ISBLANK('2025'!$T92), 0, 1), 7, 0))), 1, "")</f>
        <v/>
      </c>
      <c r="E94" s="1" t="str">
        <f>IF(AND(AND(AND(E$4&gt;='2025'!$L92,E$4&lt;='2025'!$M92), E$4&lt;&gt;DATE(2025,7,4)), (SWITCH(weekday(E$4), 1, 0, 2, if(ISBLANK('2025'!$P92), 0, 1), 3, if(ISBLANK('2025'!$Q92), 0, 1), 4, if(ISBLANK('2025'!$R92), 0, 1), 5, if(ISBLANK('2025'!$S92), 0, 1), 6, if(ISBLANK('2025'!$T92), 0, 1), 7, 0))), 1, "")</f>
        <v/>
      </c>
      <c r="F94" s="1" t="str">
        <f>IF(AND(AND(AND(F$4&gt;='2025'!$L92,F$4&lt;='2025'!$M92), F$4&lt;&gt;DATE(2025,7,4)), (SWITCH(weekday(F$4), 1, 0, 2, if(ISBLANK('2025'!$P92), 0, 1), 3, if(ISBLANK('2025'!$Q92), 0, 1), 4, if(ISBLANK('2025'!$R92), 0, 1), 5, if(ISBLANK('2025'!$S92), 0, 1), 6, if(ISBLANK('2025'!$T92), 0, 1), 7, 0))), 1, "")</f>
        <v/>
      </c>
      <c r="G94" s="1" t="str">
        <f>IF(AND(AND(AND(G$4&gt;='2025'!$L92,G$4&lt;='2025'!$M92), G$4&lt;&gt;DATE(2025,7,4)), (SWITCH(weekday(G$4), 1, 0, 2, if(ISBLANK('2025'!$P92), 0, 1), 3, if(ISBLANK('2025'!$Q92), 0, 1), 4, if(ISBLANK('2025'!$R92), 0, 1), 5, if(ISBLANK('2025'!$S92), 0, 1), 6, if(ISBLANK('2025'!$T92), 0, 1), 7, 0))), 1, "")</f>
        <v/>
      </c>
      <c r="H94" s="1" t="str">
        <f>IF(AND(AND(AND(H$4&gt;='2025'!$L92,H$4&lt;='2025'!$M92), H$4&lt;&gt;DATE(2025,7,4)), (SWITCH(weekday(H$4), 1, 0, 2, if(ISBLANK('2025'!$P92), 0, 1), 3, if(ISBLANK('2025'!$Q92), 0, 1), 4, if(ISBLANK('2025'!$R92), 0, 1), 5, if(ISBLANK('2025'!$S92), 0, 1), 6, if(ISBLANK('2025'!$T92), 0, 1), 7, 0))), 1, "")</f>
        <v/>
      </c>
      <c r="I94" s="1" t="str">
        <f>IF(AND(AND(AND(I$4&gt;='2025'!$L92,I$4&lt;='2025'!$M92), I$4&lt;&gt;DATE(2025,7,4)), (SWITCH(weekday(I$4), 1, 0, 2, if(ISBLANK('2025'!$P92), 0, 1), 3, if(ISBLANK('2025'!$Q92), 0, 1), 4, if(ISBLANK('2025'!$R92), 0, 1), 5, if(ISBLANK('2025'!$S92), 0, 1), 6, if(ISBLANK('2025'!$T92), 0, 1), 7, 0))), 1, "")</f>
        <v/>
      </c>
      <c r="J94" s="1" t="str">
        <f>IF(AND(AND(AND(J$4&gt;='2025'!$L92,J$4&lt;='2025'!$M92), J$4&lt;&gt;DATE(2025,7,4)), (SWITCH(weekday(J$4), 1, 0, 2, if(ISBLANK('2025'!$P92), 0, 1), 3, if(ISBLANK('2025'!$Q92), 0, 1), 4, if(ISBLANK('2025'!$R92), 0, 1), 5, if(ISBLANK('2025'!$S92), 0, 1), 6, if(ISBLANK('2025'!$T92), 0, 1), 7, 0))), 1, "")</f>
        <v/>
      </c>
      <c r="K94" s="1" t="str">
        <f>IF(AND(AND(AND(K$4&gt;='2025'!$L92,K$4&lt;='2025'!$M92), K$4&lt;&gt;DATE(2025,7,4)), (SWITCH(weekday(K$4), 1, 0, 2, if(ISBLANK('2025'!$P92), 0, 1), 3, if(ISBLANK('2025'!$Q92), 0, 1), 4, if(ISBLANK('2025'!$R92), 0, 1), 5, if(ISBLANK('2025'!$S92), 0, 1), 6, if(ISBLANK('2025'!$T92), 0, 1), 7, 0))), 1, "")</f>
        <v/>
      </c>
      <c r="L94" s="1" t="str">
        <f>IF(AND(AND(AND(L$4&gt;='2025'!$L92,L$4&lt;='2025'!$M92), L$4&lt;&gt;DATE(2025,7,4)), (SWITCH(weekday(L$4), 1, 0, 2, if(ISBLANK('2025'!$P92), 0, 1), 3, if(ISBLANK('2025'!$Q92), 0, 1), 4, if(ISBLANK('2025'!$R92), 0, 1), 5, if(ISBLANK('2025'!$S92), 0, 1), 6, if(ISBLANK('2025'!$T92), 0, 1), 7, 0))), 1, "")</f>
        <v/>
      </c>
      <c r="M94" s="1" t="str">
        <f>IF(AND(AND(AND(M$4&gt;='2025'!$L92,M$4&lt;='2025'!$M92), M$4&lt;&gt;DATE(2025,7,4)), (SWITCH(weekday(M$4), 1, 0, 2, if(ISBLANK('2025'!$P92), 0, 1), 3, if(ISBLANK('2025'!$Q92), 0, 1), 4, if(ISBLANK('2025'!$R92), 0, 1), 5, if(ISBLANK('2025'!$S92), 0, 1), 6, if(ISBLANK('2025'!$T92), 0, 1), 7, 0))), 1, "")</f>
        <v/>
      </c>
      <c r="N94" s="1" t="str">
        <f>IF(AND(AND(AND(N$4&gt;='2025'!$L92,N$4&lt;='2025'!$M92), N$4&lt;&gt;DATE(2025,7,4)), (SWITCH(weekday(N$4), 1, 0, 2, if(ISBLANK('2025'!$P92), 0, 1), 3, if(ISBLANK('2025'!$Q92), 0, 1), 4, if(ISBLANK('2025'!$R92), 0, 1), 5, if(ISBLANK('2025'!$S92), 0, 1), 6, if(ISBLANK('2025'!$T92), 0, 1), 7, 0))), 1, "")</f>
        <v/>
      </c>
      <c r="O94" s="1" t="str">
        <f>IF(AND(AND(AND(O$4&gt;='2025'!$L92,O$4&lt;='2025'!$M92), O$4&lt;&gt;DATE(2025,7,4)), (SWITCH(weekday(O$4), 1, 0, 2, if(ISBLANK('2025'!$P92), 0, 1), 3, if(ISBLANK('2025'!$Q92), 0, 1), 4, if(ISBLANK('2025'!$R92), 0, 1), 5, if(ISBLANK('2025'!$S92), 0, 1), 6, if(ISBLANK('2025'!$T92), 0, 1), 7, 0))), 1, "")</f>
        <v/>
      </c>
      <c r="P94" s="1" t="str">
        <f>IF(AND(AND(AND(P$4&gt;='2025'!$L92,P$4&lt;='2025'!$M92), P$4&lt;&gt;DATE(2025,7,4)), (SWITCH(weekday(P$4), 1, 0, 2, if(ISBLANK('2025'!$P92), 0, 1), 3, if(ISBLANK('2025'!$Q92), 0, 1), 4, if(ISBLANK('2025'!$R92), 0, 1), 5, if(ISBLANK('2025'!$S92), 0, 1), 6, if(ISBLANK('2025'!$T92), 0, 1), 7, 0))), 1, "")</f>
        <v/>
      </c>
      <c r="Q94" s="1" t="str">
        <f>IF(AND(AND(AND(Q$4&gt;='2025'!$L92,Q$4&lt;='2025'!$M92), Q$4&lt;&gt;DATE(2025,7,4)), (SWITCH(weekday(Q$4), 1, 0, 2, if(ISBLANK('2025'!$P92), 0, 1), 3, if(ISBLANK('2025'!$Q92), 0, 1), 4, if(ISBLANK('2025'!$R92), 0, 1), 5, if(ISBLANK('2025'!$S92), 0, 1), 6, if(ISBLANK('2025'!$T92), 0, 1), 7, 0))), 1, "")</f>
        <v/>
      </c>
      <c r="R94" s="1" t="str">
        <f>IF(AND(AND(AND(R$4&gt;='2025'!$L92,R$4&lt;='2025'!$M92), R$4&lt;&gt;DATE(2025,7,4)), (SWITCH(weekday(R$4), 1, 0, 2, if(ISBLANK('2025'!$P92), 0, 1), 3, if(ISBLANK('2025'!$Q92), 0, 1), 4, if(ISBLANK('2025'!$R92), 0, 1), 5, if(ISBLANK('2025'!$S92), 0, 1), 6, if(ISBLANK('2025'!$T92), 0, 1), 7, 0))), 1, "")</f>
        <v/>
      </c>
      <c r="S94" s="1" t="str">
        <f>IF(AND(AND(AND(S$4&gt;='2025'!$L92,S$4&lt;='2025'!$M92), S$4&lt;&gt;DATE(2025,7,4)), (SWITCH(weekday(S$4), 1, 0, 2, if(ISBLANK('2025'!$P92), 0, 1), 3, if(ISBLANK('2025'!$Q92), 0, 1), 4, if(ISBLANK('2025'!$R92), 0, 1), 5, if(ISBLANK('2025'!$S92), 0, 1), 6, if(ISBLANK('2025'!$T92), 0, 1), 7, 0))), 1, "")</f>
        <v/>
      </c>
      <c r="T94" s="1" t="str">
        <f>IF(AND(AND(AND(T$4&gt;='2025'!$L92,T$4&lt;='2025'!$M92), T$4&lt;&gt;DATE(2025,7,4)), (SWITCH(weekday(T$4), 1, 0, 2, if(ISBLANK('2025'!$P92), 0, 1), 3, if(ISBLANK('2025'!$Q92), 0, 1), 4, if(ISBLANK('2025'!$R92), 0, 1), 5, if(ISBLANK('2025'!$S92), 0, 1), 6, if(ISBLANK('2025'!$T92), 0, 1), 7, 0))), 1, "")</f>
        <v/>
      </c>
      <c r="U94" s="1" t="str">
        <f>IF(AND(AND(AND(U$4&gt;='2025'!$L92,U$4&lt;='2025'!$M92), U$4&lt;&gt;DATE(2025,7,4)), (SWITCH(weekday(U$4), 1, 0, 2, if(ISBLANK('2025'!$P92), 0, 1), 3, if(ISBLANK('2025'!$Q92), 0, 1), 4, if(ISBLANK('2025'!$R92), 0, 1), 5, if(ISBLANK('2025'!$S92), 0, 1), 6, if(ISBLANK('2025'!$T92), 0, 1), 7, 0))), 1, "")</f>
        <v/>
      </c>
      <c r="V94" s="1" t="str">
        <f>IF(AND(AND(AND(V$4&gt;='2025'!$L92,V$4&lt;='2025'!$M92), V$4&lt;&gt;DATE(2025,7,4)), (SWITCH(weekday(V$4), 1, 0, 2, if(ISBLANK('2025'!$P92), 0, 1), 3, if(ISBLANK('2025'!$Q92), 0, 1), 4, if(ISBLANK('2025'!$R92), 0, 1), 5, if(ISBLANK('2025'!$S92), 0, 1), 6, if(ISBLANK('2025'!$T92), 0, 1), 7, 0))), 1, "")</f>
        <v/>
      </c>
      <c r="W94" s="1" t="str">
        <f>IF(AND(AND(AND(W$4&gt;='2025'!$L92,W$4&lt;='2025'!$M92), W$4&lt;&gt;DATE(2025,7,4)), (SWITCH(weekday(W$4), 1, 0, 2, if(ISBLANK('2025'!$P92), 0, 1), 3, if(ISBLANK('2025'!$Q92), 0, 1), 4, if(ISBLANK('2025'!$R92), 0, 1), 5, if(ISBLANK('2025'!$S92), 0, 1), 6, if(ISBLANK('2025'!$T92), 0, 1), 7, 0))), 1, "")</f>
        <v/>
      </c>
      <c r="X94" s="1" t="str">
        <f>IF(AND(AND(AND(X$4&gt;='2025'!$L92,X$4&lt;='2025'!$M92), X$4&lt;&gt;DATE(2025,7,4)), (SWITCH(weekday(X$4), 1, 0, 2, if(ISBLANK('2025'!$P92), 0, 1), 3, if(ISBLANK('2025'!$Q92), 0, 1), 4, if(ISBLANK('2025'!$R92), 0, 1), 5, if(ISBLANK('2025'!$S92), 0, 1), 6, if(ISBLANK('2025'!$T92), 0, 1), 7, 0))), 1, "")</f>
        <v/>
      </c>
      <c r="Y94" s="1" t="str">
        <f>IF(AND(AND(AND(Y$4&gt;='2025'!$L92,Y$4&lt;='2025'!$M92), Y$4&lt;&gt;DATE(2025,7,4)), (SWITCH(weekday(Y$4), 1, 0, 2, if(ISBLANK('2025'!$P92), 0, 1), 3, if(ISBLANK('2025'!$Q92), 0, 1), 4, if(ISBLANK('2025'!$R92), 0, 1), 5, if(ISBLANK('2025'!$S92), 0, 1), 6, if(ISBLANK('2025'!$T92), 0, 1), 7, 0))), 1, "")</f>
        <v/>
      </c>
      <c r="Z94" s="1" t="str">
        <f>IF(AND(AND(AND(Z$4&gt;='2025'!$L92,Z$4&lt;='2025'!$M92), Z$4&lt;&gt;DATE(2025,7,4)), (SWITCH(weekday(Z$4), 1, 0, 2, if(ISBLANK('2025'!$P92), 0, 1), 3, if(ISBLANK('2025'!$Q92), 0, 1), 4, if(ISBLANK('2025'!$R92), 0, 1), 5, if(ISBLANK('2025'!$S92), 0, 1), 6, if(ISBLANK('2025'!$T92), 0, 1), 7, 0))), 1, "")</f>
        <v/>
      </c>
      <c r="AA94" s="1" t="str">
        <f>IF(AND(AND(AND(AA$4&gt;='2025'!$L92,AA$4&lt;='2025'!$M92), AA$4&lt;&gt;DATE(2025,7,4)), (SWITCH(weekday(AA$4), 1, 0, 2, if(ISBLANK('2025'!$P92), 0, 1), 3, if(ISBLANK('2025'!$Q92), 0, 1), 4, if(ISBLANK('2025'!$R92), 0, 1), 5, if(ISBLANK('2025'!$S92), 0, 1), 6, if(ISBLANK('2025'!$T92), 0, 1), 7, 0))), 1, "")</f>
        <v/>
      </c>
      <c r="AB94" s="1" t="str">
        <f>IF(AND(AND(AND(AB$4&gt;='2025'!$L92,AB$4&lt;='2025'!$M92), AB$4&lt;&gt;DATE(2025,7,4)), (SWITCH(weekday(AB$4), 1, 0, 2, if(ISBLANK('2025'!$P92), 0, 1), 3, if(ISBLANK('2025'!$Q92), 0, 1), 4, if(ISBLANK('2025'!$R92), 0, 1), 5, if(ISBLANK('2025'!$S92), 0, 1), 6, if(ISBLANK('2025'!$T92), 0, 1), 7, 0))), 1, "")</f>
        <v/>
      </c>
      <c r="AC94" s="1" t="str">
        <f>IF(AND(AND(AND(AC$4&gt;='2025'!$L92,AC$4&lt;='2025'!$M92), AC$4&lt;&gt;DATE(2025,7,4)), (SWITCH(weekday(AC$4), 1, 0, 2, if(ISBLANK('2025'!$P92), 0, 1), 3, if(ISBLANK('2025'!$Q92), 0, 1), 4, if(ISBLANK('2025'!$R92), 0, 1), 5, if(ISBLANK('2025'!$S92), 0, 1), 6, if(ISBLANK('2025'!$T92), 0, 1), 7, 0))), 1, "")</f>
        <v/>
      </c>
      <c r="AD94" s="1" t="str">
        <f>IF(AND(AND(AND(AD$4&gt;='2025'!$L92,AD$4&lt;='2025'!$M92), AD$4&lt;&gt;DATE(2025,7,4)), (SWITCH(weekday(AD$4), 1, 0, 2, if(ISBLANK('2025'!$P92), 0, 1), 3, if(ISBLANK('2025'!$Q92), 0, 1), 4, if(ISBLANK('2025'!$R92), 0, 1), 5, if(ISBLANK('2025'!$S92), 0, 1), 6, if(ISBLANK('2025'!$T92), 0, 1), 7, 0))), 1, "")</f>
        <v/>
      </c>
      <c r="AE94" s="1" t="str">
        <f>IF(AND(AND(AND(AE$4&gt;='2025'!$L92,AE$4&lt;='2025'!$M92), AE$4&lt;&gt;DATE(2025,7,4)), (SWITCH(weekday(AE$4), 1, 0, 2, if(ISBLANK('2025'!$P92), 0, 1), 3, if(ISBLANK('2025'!$Q92), 0, 1), 4, if(ISBLANK('2025'!$R92), 0, 1), 5, if(ISBLANK('2025'!$S92), 0, 1), 6, if(ISBLANK('2025'!$T92), 0, 1), 7, 0))), 1, "")</f>
        <v/>
      </c>
      <c r="AF94" s="1" t="str">
        <f>IF(AND(AND(AND(AF$4&gt;='2025'!$L92,AF$4&lt;='2025'!$M92), AF$4&lt;&gt;DATE(2025,7,4)), (SWITCH(weekday(AF$4), 1, 0, 2, if(ISBLANK('2025'!$P92), 0, 1), 3, if(ISBLANK('2025'!$Q92), 0, 1), 4, if(ISBLANK('2025'!$R92), 0, 1), 5, if(ISBLANK('2025'!$S92), 0, 1), 6, if(ISBLANK('2025'!$T92), 0, 1), 7, 0))), 1, "")</f>
        <v/>
      </c>
      <c r="AG94" s="1" t="str">
        <f>IF(AND(AND(AND(AG$4&gt;='2025'!$L92,AG$4&lt;='2025'!$M92), AG$4&lt;&gt;DATE(2025,7,4)), (SWITCH(weekday(AG$4), 1, 0, 2, if(ISBLANK('2025'!$P92), 0, 1), 3, if(ISBLANK('2025'!$Q92), 0, 1), 4, if(ISBLANK('2025'!$R92), 0, 1), 5, if(ISBLANK('2025'!$S92), 0, 1), 6, if(ISBLANK('2025'!$T92), 0, 1), 7, 0))), 1, "")</f>
        <v/>
      </c>
      <c r="AH94" s="1" t="str">
        <f>IF(AND(AND(AND(AH$4&gt;='2025'!$L92,AH$4&lt;='2025'!$M92), AH$4&lt;&gt;DATE(2025,7,4)), (SWITCH(weekday(AH$4), 1, 0, 2, if(ISBLANK('2025'!$P92), 0, 1), 3, if(ISBLANK('2025'!$Q92), 0, 1), 4, if(ISBLANK('2025'!$R92), 0, 1), 5, if(ISBLANK('2025'!$S92), 0, 1), 6, if(ISBLANK('2025'!$T92), 0, 1), 7, 0))), 1, "")</f>
        <v/>
      </c>
      <c r="AI94" s="1" t="str">
        <f>IF(AND(AND(AND(AI$4&gt;='2025'!$L92,AI$4&lt;='2025'!$M92), AI$4&lt;&gt;DATE(2025,7,4)), (SWITCH(weekday(AI$4), 1, 0, 2, if(ISBLANK('2025'!$P92), 0, 1), 3, if(ISBLANK('2025'!$Q92), 0, 1), 4, if(ISBLANK('2025'!$R92), 0, 1), 5, if(ISBLANK('2025'!$S92), 0, 1), 6, if(ISBLANK('2025'!$T92), 0, 1), 7, 0))), 1, "")</f>
        <v/>
      </c>
      <c r="AJ94" s="1" t="str">
        <f>IF(AND(AND(AND(AJ$4&gt;='2025'!$L92,AJ$4&lt;='2025'!$M92), AJ$4&lt;&gt;DATE(2025,7,4)), (SWITCH(weekday(AJ$4), 1, 0, 2, if(ISBLANK('2025'!$P92), 0, 1), 3, if(ISBLANK('2025'!$Q92), 0, 1), 4, if(ISBLANK('2025'!$R92), 0, 1), 5, if(ISBLANK('2025'!$S92), 0, 1), 6, if(ISBLANK('2025'!$T92), 0, 1), 7, 0))), 1, "")</f>
        <v/>
      </c>
      <c r="AK94" s="1" t="str">
        <f>IF(AND(AND(AND(AK$4&gt;='2025'!$L92,AK$4&lt;='2025'!$M92), AK$4&lt;&gt;DATE(2025,7,4)), (SWITCH(weekday(AK$4), 1, 0, 2, if(ISBLANK('2025'!$P92), 0, 1), 3, if(ISBLANK('2025'!$Q92), 0, 1), 4, if(ISBLANK('2025'!$R92), 0, 1), 5, if(ISBLANK('2025'!$S92), 0, 1), 6, if(ISBLANK('2025'!$T92), 0, 1), 7, 0))), 1, "")</f>
        <v/>
      </c>
      <c r="AL94" s="1" t="str">
        <f>IF(AND(AND(AND(AL$4&gt;='2025'!$L92,AL$4&lt;='2025'!$M92), AL$4&lt;&gt;DATE(2025,7,4)), (SWITCH(weekday(AL$4), 1, 0, 2, if(ISBLANK('2025'!$P92), 0, 1), 3, if(ISBLANK('2025'!$Q92), 0, 1), 4, if(ISBLANK('2025'!$R92), 0, 1), 5, if(ISBLANK('2025'!$S92), 0, 1), 6, if(ISBLANK('2025'!$T92), 0, 1), 7, 0))), 1, "")</f>
        <v/>
      </c>
      <c r="AM94" s="1" t="str">
        <f>IF(AND(AND(AND(AM$4&gt;='2025'!$L92,AM$4&lt;='2025'!$M92), AM$4&lt;&gt;DATE(2025,7,4)), (SWITCH(weekday(AM$4), 1, 0, 2, if(ISBLANK('2025'!$P92), 0, 1), 3, if(ISBLANK('2025'!$Q92), 0, 1), 4, if(ISBLANK('2025'!$R92), 0, 1), 5, if(ISBLANK('2025'!$S92), 0, 1), 6, if(ISBLANK('2025'!$T92), 0, 1), 7, 0))), 1, "")</f>
        <v/>
      </c>
      <c r="AN94" s="1" t="str">
        <f>IF(AND(AND(AND(AN$4&gt;='2025'!$L92,AN$4&lt;='2025'!$M92), AN$4&lt;&gt;DATE(2025,7,4)), (SWITCH(weekday(AN$4), 1, 0, 2, if(ISBLANK('2025'!$P92), 0, 1), 3, if(ISBLANK('2025'!$Q92), 0, 1), 4, if(ISBLANK('2025'!$R92), 0, 1), 5, if(ISBLANK('2025'!$S92), 0, 1), 6, if(ISBLANK('2025'!$T92), 0, 1), 7, 0))), 1, "")</f>
        <v/>
      </c>
      <c r="AO94" s="1" t="str">
        <f>IF(AND(AND(AND(AO$4&gt;='2025'!$L92,AO$4&lt;='2025'!$M92), AO$4&lt;&gt;DATE(2025,7,4)), (SWITCH(weekday(AO$4), 1, 0, 2, if(ISBLANK('2025'!$P92), 0, 1), 3, if(ISBLANK('2025'!$Q92), 0, 1), 4, if(ISBLANK('2025'!$R92), 0, 1), 5, if(ISBLANK('2025'!$S92), 0, 1), 6, if(ISBLANK('2025'!$T92), 0, 1), 7, 0))), 1, "")</f>
        <v/>
      </c>
      <c r="AP94" s="1" t="str">
        <f>IF(AND(AND(AND(AP$4&gt;='2025'!$L92,AP$4&lt;='2025'!$M92), AP$4&lt;&gt;DATE(2025,7,4)), (SWITCH(weekday(AP$4), 1, 0, 2, if(ISBLANK('2025'!$P92), 0, 1), 3, if(ISBLANK('2025'!$Q92), 0, 1), 4, if(ISBLANK('2025'!$R92), 0, 1), 5, if(ISBLANK('2025'!$S92), 0, 1), 6, if(ISBLANK('2025'!$T92), 0, 1), 7, 0))), 1, "")</f>
        <v/>
      </c>
      <c r="AQ94" s="1" t="str">
        <f>IF(AND(AND(AND(AQ$4&gt;='2025'!$L92,AQ$4&lt;='2025'!$M92), AQ$4&lt;&gt;DATE(2025,7,4)), (SWITCH(weekday(AQ$4), 1, 0, 2, if(ISBLANK('2025'!$P92), 0, 1), 3, if(ISBLANK('2025'!$Q92), 0, 1), 4, if(ISBLANK('2025'!$R92), 0, 1), 5, if(ISBLANK('2025'!$S92), 0, 1), 6, if(ISBLANK('2025'!$T92), 0, 1), 7, 0))), 1, "")</f>
        <v/>
      </c>
      <c r="AR94" s="1" t="str">
        <f>IF(AND(AND(AND(AR$4&gt;='2025'!$L92,AR$4&lt;='2025'!$M92), AR$4&lt;&gt;DATE(2025,7,4)), (SWITCH(weekday(AR$4), 1, 0, 2, if(ISBLANK('2025'!$P92), 0, 1), 3, if(ISBLANK('2025'!$Q92), 0, 1), 4, if(ISBLANK('2025'!$R92), 0, 1), 5, if(ISBLANK('2025'!$S92), 0, 1), 6, if(ISBLANK('2025'!$T92), 0, 1), 7, 0))), 1, "")</f>
        <v/>
      </c>
      <c r="AS94" s="1" t="str">
        <f>IF(AND(AND(AND(AS$4&gt;='2025'!$L92,AS$4&lt;='2025'!$M92), AS$4&lt;&gt;DATE(2025,7,4)), (SWITCH(weekday(AS$4), 1, 0, 2, if(ISBLANK('2025'!$P92), 0, 1), 3, if(ISBLANK('2025'!$Q92), 0, 1), 4, if(ISBLANK('2025'!$R92), 0, 1), 5, if(ISBLANK('2025'!$S92), 0, 1), 6, if(ISBLANK('2025'!$T92), 0, 1), 7, 0))), 1, "")</f>
        <v/>
      </c>
      <c r="AT94" s="1" t="str">
        <f>IF(AND(AND(AND(AT$4&gt;='2025'!$L92,AT$4&lt;='2025'!$M92), AT$4&lt;&gt;DATE(2025,7,4)), (SWITCH(weekday(AT$4), 1, 0, 2, if(ISBLANK('2025'!$P92), 0, 1), 3, if(ISBLANK('2025'!$Q92), 0, 1), 4, if(ISBLANK('2025'!$R92), 0, 1), 5, if(ISBLANK('2025'!$S92), 0, 1), 6, if(ISBLANK('2025'!$T92), 0, 1), 7, 0))), 1, "")</f>
        <v/>
      </c>
      <c r="AU94" s="1" t="str">
        <f>IF(AND(AND(AND(AU$4&gt;='2025'!$L92,AU$4&lt;='2025'!$M92), AU$4&lt;&gt;DATE(2025,7,4)), (SWITCH(weekday(AU$4), 1, 0, 2, if(ISBLANK('2025'!$P92), 0, 1), 3, if(ISBLANK('2025'!$Q92), 0, 1), 4, if(ISBLANK('2025'!$R92), 0, 1), 5, if(ISBLANK('2025'!$S92), 0, 1), 6, if(ISBLANK('2025'!$T92), 0, 1), 7, 0))), 1, "")</f>
        <v/>
      </c>
      <c r="AV94" s="1" t="str">
        <f>IF(AND(AND(AND(AV$4&gt;='2025'!$L92,AV$4&lt;='2025'!$M92), AV$4&lt;&gt;DATE(2025,7,4)), (SWITCH(weekday(AV$4), 1, 0, 2, if(ISBLANK('2025'!$P92), 0, 1), 3, if(ISBLANK('2025'!$Q92), 0, 1), 4, if(ISBLANK('2025'!$R92), 0, 1), 5, if(ISBLANK('2025'!$S92), 0, 1), 6, if(ISBLANK('2025'!$T92), 0, 1), 7, 0))), 1, "")</f>
        <v/>
      </c>
      <c r="AW94" s="1" t="str">
        <f>IF(AND(AND(AND(AW$4&gt;='2025'!$L92,AW$4&lt;='2025'!$M92), AW$4&lt;&gt;DATE(2025,7,4)), (SWITCH(weekday(AW$4), 1, 0, 2, if(ISBLANK('2025'!$P92), 0, 1), 3, if(ISBLANK('2025'!$Q92), 0, 1), 4, if(ISBLANK('2025'!$R92), 0, 1), 5, if(ISBLANK('2025'!$S92), 0, 1), 6, if(ISBLANK('2025'!$T92), 0, 1), 7, 0))), 1, "")</f>
        <v/>
      </c>
      <c r="AX94" s="1" t="str">
        <f>IF(AND(AND(AND(AX$4&gt;='2025'!$L92,AX$4&lt;='2025'!$M92), AX$4&lt;&gt;DATE(2025,7,4)), (SWITCH(weekday(AX$4), 1, 0, 2, if(ISBLANK('2025'!$P92), 0, 1), 3, if(ISBLANK('2025'!$Q92), 0, 1), 4, if(ISBLANK('2025'!$R92), 0, 1), 5, if(ISBLANK('2025'!$S92), 0, 1), 6, if(ISBLANK('2025'!$T92), 0, 1), 7, 0))), 1, "")</f>
        <v/>
      </c>
      <c r="AY94" s="1" t="str">
        <f>IF(AND(AND(AND(AY$4&gt;='2025'!$L92,AY$4&lt;='2025'!$M92), AY$4&lt;&gt;DATE(2025,7,4)), (SWITCH(weekday(AY$4), 1, 0, 2, if(ISBLANK('2025'!$P92), 0, 1), 3, if(ISBLANK('2025'!$Q92), 0, 1), 4, if(ISBLANK('2025'!$R92), 0, 1), 5, if(ISBLANK('2025'!$S92), 0, 1), 6, if(ISBLANK('2025'!$T92), 0, 1), 7, 0))), 1, "")</f>
        <v/>
      </c>
      <c r="AZ94" s="1" t="str">
        <f>IF(AND(AND(AND(AZ$4&gt;='2025'!$L92,AZ$4&lt;='2025'!$M92), AZ$4&lt;&gt;DATE(2025,7,4)), (SWITCH(weekday(AZ$4), 1, 0, 2, if(ISBLANK('2025'!$P92), 0, 1), 3, if(ISBLANK('2025'!$Q92), 0, 1), 4, if(ISBLANK('2025'!$R92), 0, 1), 5, if(ISBLANK('2025'!$S92), 0, 1), 6, if(ISBLANK('2025'!$T92), 0, 1), 7, 0))), 1, "")</f>
        <v/>
      </c>
      <c r="BA94" s="1" t="str">
        <f>IF(AND(AND(AND(BA$4&gt;='2025'!$L92,BA$4&lt;='2025'!$M92), BA$4&lt;&gt;DATE(2025,7,4)), (SWITCH(weekday(BA$4), 1, 0, 2, if(ISBLANK('2025'!$P92), 0, 1), 3, if(ISBLANK('2025'!$Q92), 0, 1), 4, if(ISBLANK('2025'!$R92), 0, 1), 5, if(ISBLANK('2025'!$S92), 0, 1), 6, if(ISBLANK('2025'!$T92), 0, 1), 7, 0))), 1, "")</f>
        <v/>
      </c>
      <c r="BB94" s="1" t="str">
        <f>IF(AND(AND(AND(BB$4&gt;='2025'!$L92,BB$4&lt;='2025'!$M92), BB$4&lt;&gt;DATE(2025,7,4)), (SWITCH(weekday(BB$4), 1, 0, 2, if(ISBLANK('2025'!$P92), 0, 1), 3, if(ISBLANK('2025'!$Q92), 0, 1), 4, if(ISBLANK('2025'!$R92), 0, 1), 5, if(ISBLANK('2025'!$S92), 0, 1), 6, if(ISBLANK('2025'!$T92), 0, 1), 7, 0))), 1, "")</f>
        <v/>
      </c>
      <c r="BC94" s="1" t="str">
        <f>IF(AND(AND(AND(BC$4&gt;='2025'!$L92,BC$4&lt;='2025'!$M92), BC$4&lt;&gt;DATE(2025,7,4)), (SWITCH(weekday(BC$4), 1, 0, 2, if(ISBLANK('2025'!$P92), 0, 1), 3, if(ISBLANK('2025'!$Q92), 0, 1), 4, if(ISBLANK('2025'!$R92), 0, 1), 5, if(ISBLANK('2025'!$S92), 0, 1), 6, if(ISBLANK('2025'!$T92), 0, 1), 7, 0))), 1, "")</f>
        <v/>
      </c>
      <c r="BD94" s="1" t="str">
        <f>IF(AND(AND(AND(BD$4&gt;='2025'!$L92,BD$4&lt;='2025'!$M92), BD$4&lt;&gt;DATE(2025,7,4)), (SWITCH(weekday(BD$4), 1, 0, 2, if(ISBLANK('2025'!$P92), 0, 1), 3, if(ISBLANK('2025'!$Q92), 0, 1), 4, if(ISBLANK('2025'!$R92), 0, 1), 5, if(ISBLANK('2025'!$S92), 0, 1), 6, if(ISBLANK('2025'!$T92), 0, 1), 7, 0))), 1, "")</f>
        <v/>
      </c>
      <c r="BE94" s="1" t="str">
        <f>IF(AND(AND(AND(BE$4&gt;='2025'!$L92,BE$4&lt;='2025'!$M92), BE$4&lt;&gt;DATE(2025,7,4)), (SWITCH(weekday(BE$4), 1, 0, 2, if(ISBLANK('2025'!$P92), 0, 1), 3, if(ISBLANK('2025'!$Q92), 0, 1), 4, if(ISBLANK('2025'!$R92), 0, 1), 5, if(ISBLANK('2025'!$S92), 0, 1), 6, if(ISBLANK('2025'!$T92), 0, 1), 7, 0))), 1, "")</f>
        <v/>
      </c>
      <c r="BF94" s="1" t="str">
        <f>IF(AND(AND(AND(BF$4&gt;='2025'!$L92,BF$4&lt;='2025'!$M92), BF$4&lt;&gt;DATE(2025,7,4)), (SWITCH(weekday(BF$4), 1, 0, 2, if(ISBLANK('2025'!$P92), 0, 1), 3, if(ISBLANK('2025'!$Q92), 0, 1), 4, if(ISBLANK('2025'!$R92), 0, 1), 5, if(ISBLANK('2025'!$S92), 0, 1), 6, if(ISBLANK('2025'!$T92), 0, 1), 7, 0))), 1, "")</f>
        <v/>
      </c>
      <c r="BG94" s="1"/>
      <c r="BH94" s="1"/>
      <c r="BI94" s="1"/>
      <c r="BJ94" s="1"/>
      <c r="BK94" s="1"/>
      <c r="BL94" s="1"/>
    </row>
    <row r="95">
      <c r="A95" s="1">
        <f t="shared" si="3"/>
        <v>95</v>
      </c>
      <c r="B95" s="1" t="str">
        <f>'2025'!D59</f>
        <v>, </v>
      </c>
      <c r="C95" s="1" t="str">
        <f>'2025'!H59</f>
        <v/>
      </c>
      <c r="D95" s="1" t="str">
        <f>IF(AND(AND(AND(D$4&gt;='2025'!$L93,D$4&lt;='2025'!$M93), D$4&lt;&gt;DATE(2025,7,4)), (SWITCH(weekday(D$4), 1, 0, 2, if(ISBLANK('2025'!$P93), 0, 1), 3, if(ISBLANK('2025'!$Q93), 0, 1), 4, if(ISBLANK('2025'!$R93), 0, 1), 5, if(ISBLANK('2025'!$S93), 0, 1), 6, if(ISBLANK('2025'!$T93), 0, 1), 7, 0))), 1, "")</f>
        <v/>
      </c>
      <c r="E95" s="1" t="str">
        <f>IF(AND(AND(AND(E$4&gt;='2025'!$L93,E$4&lt;='2025'!$M93), E$4&lt;&gt;DATE(2025,7,4)), (SWITCH(weekday(E$4), 1, 0, 2, if(ISBLANK('2025'!$P93), 0, 1), 3, if(ISBLANK('2025'!$Q93), 0, 1), 4, if(ISBLANK('2025'!$R93), 0, 1), 5, if(ISBLANK('2025'!$S93), 0, 1), 6, if(ISBLANK('2025'!$T93), 0, 1), 7, 0))), 1, "")</f>
        <v/>
      </c>
      <c r="F95" s="1" t="str">
        <f>IF(AND(AND(AND(F$4&gt;='2025'!$L93,F$4&lt;='2025'!$M93), F$4&lt;&gt;DATE(2025,7,4)), (SWITCH(weekday(F$4), 1, 0, 2, if(ISBLANK('2025'!$P93), 0, 1), 3, if(ISBLANK('2025'!$Q93), 0, 1), 4, if(ISBLANK('2025'!$R93), 0, 1), 5, if(ISBLANK('2025'!$S93), 0, 1), 6, if(ISBLANK('2025'!$T93), 0, 1), 7, 0))), 1, "")</f>
        <v/>
      </c>
      <c r="G95" s="1" t="str">
        <f>IF(AND(AND(AND(G$4&gt;='2025'!$L93,G$4&lt;='2025'!$M93), G$4&lt;&gt;DATE(2025,7,4)), (SWITCH(weekday(G$4), 1, 0, 2, if(ISBLANK('2025'!$P93), 0, 1), 3, if(ISBLANK('2025'!$Q93), 0, 1), 4, if(ISBLANK('2025'!$R93), 0, 1), 5, if(ISBLANK('2025'!$S93), 0, 1), 6, if(ISBLANK('2025'!$T93), 0, 1), 7, 0))), 1, "")</f>
        <v/>
      </c>
      <c r="H95" s="1" t="str">
        <f>IF(AND(AND(AND(H$4&gt;='2025'!$L93,H$4&lt;='2025'!$M93), H$4&lt;&gt;DATE(2025,7,4)), (SWITCH(weekday(H$4), 1, 0, 2, if(ISBLANK('2025'!$P93), 0, 1), 3, if(ISBLANK('2025'!$Q93), 0, 1), 4, if(ISBLANK('2025'!$R93), 0, 1), 5, if(ISBLANK('2025'!$S93), 0, 1), 6, if(ISBLANK('2025'!$T93), 0, 1), 7, 0))), 1, "")</f>
        <v/>
      </c>
      <c r="I95" s="1" t="str">
        <f>IF(AND(AND(AND(I$4&gt;='2025'!$L93,I$4&lt;='2025'!$M93), I$4&lt;&gt;DATE(2025,7,4)), (SWITCH(weekday(I$4), 1, 0, 2, if(ISBLANK('2025'!$P93), 0, 1), 3, if(ISBLANK('2025'!$Q93), 0, 1), 4, if(ISBLANK('2025'!$R93), 0, 1), 5, if(ISBLANK('2025'!$S93), 0, 1), 6, if(ISBLANK('2025'!$T93), 0, 1), 7, 0))), 1, "")</f>
        <v/>
      </c>
      <c r="J95" s="1" t="str">
        <f>IF(AND(AND(AND(J$4&gt;='2025'!$L93,J$4&lt;='2025'!$M93), J$4&lt;&gt;DATE(2025,7,4)), (SWITCH(weekday(J$4), 1, 0, 2, if(ISBLANK('2025'!$P93), 0, 1), 3, if(ISBLANK('2025'!$Q93), 0, 1), 4, if(ISBLANK('2025'!$R93), 0, 1), 5, if(ISBLANK('2025'!$S93), 0, 1), 6, if(ISBLANK('2025'!$T93), 0, 1), 7, 0))), 1, "")</f>
        <v/>
      </c>
      <c r="K95" s="1" t="str">
        <f>IF(AND(AND(AND(K$4&gt;='2025'!$L93,K$4&lt;='2025'!$M93), K$4&lt;&gt;DATE(2025,7,4)), (SWITCH(weekday(K$4), 1, 0, 2, if(ISBLANK('2025'!$P93), 0, 1), 3, if(ISBLANK('2025'!$Q93), 0, 1), 4, if(ISBLANK('2025'!$R93), 0, 1), 5, if(ISBLANK('2025'!$S93), 0, 1), 6, if(ISBLANK('2025'!$T93), 0, 1), 7, 0))), 1, "")</f>
        <v/>
      </c>
      <c r="L95" s="1" t="str">
        <f>IF(AND(AND(AND(L$4&gt;='2025'!$L93,L$4&lt;='2025'!$M93), L$4&lt;&gt;DATE(2025,7,4)), (SWITCH(weekday(L$4), 1, 0, 2, if(ISBLANK('2025'!$P93), 0, 1), 3, if(ISBLANK('2025'!$Q93), 0, 1), 4, if(ISBLANK('2025'!$R93), 0, 1), 5, if(ISBLANK('2025'!$S93), 0, 1), 6, if(ISBLANK('2025'!$T93), 0, 1), 7, 0))), 1, "")</f>
        <v/>
      </c>
      <c r="M95" s="1" t="str">
        <f>IF(AND(AND(AND(M$4&gt;='2025'!$L93,M$4&lt;='2025'!$M93), M$4&lt;&gt;DATE(2025,7,4)), (SWITCH(weekday(M$4), 1, 0, 2, if(ISBLANK('2025'!$P93), 0, 1), 3, if(ISBLANK('2025'!$Q93), 0, 1), 4, if(ISBLANK('2025'!$R93), 0, 1), 5, if(ISBLANK('2025'!$S93), 0, 1), 6, if(ISBLANK('2025'!$T93), 0, 1), 7, 0))), 1, "")</f>
        <v/>
      </c>
      <c r="N95" s="1" t="str">
        <f>IF(AND(AND(AND(N$4&gt;='2025'!$L93,N$4&lt;='2025'!$M93), N$4&lt;&gt;DATE(2025,7,4)), (SWITCH(weekday(N$4), 1, 0, 2, if(ISBLANK('2025'!$P93), 0, 1), 3, if(ISBLANK('2025'!$Q93), 0, 1), 4, if(ISBLANK('2025'!$R93), 0, 1), 5, if(ISBLANK('2025'!$S93), 0, 1), 6, if(ISBLANK('2025'!$T93), 0, 1), 7, 0))), 1, "")</f>
        <v/>
      </c>
      <c r="O95" s="1" t="str">
        <f>IF(AND(AND(AND(O$4&gt;='2025'!$L93,O$4&lt;='2025'!$M93), O$4&lt;&gt;DATE(2025,7,4)), (SWITCH(weekday(O$4), 1, 0, 2, if(ISBLANK('2025'!$P93), 0, 1), 3, if(ISBLANK('2025'!$Q93), 0, 1), 4, if(ISBLANK('2025'!$R93), 0, 1), 5, if(ISBLANK('2025'!$S93), 0, 1), 6, if(ISBLANK('2025'!$T93), 0, 1), 7, 0))), 1, "")</f>
        <v/>
      </c>
      <c r="P95" s="1" t="str">
        <f>IF(AND(AND(AND(P$4&gt;='2025'!$L93,P$4&lt;='2025'!$M93), P$4&lt;&gt;DATE(2025,7,4)), (SWITCH(weekday(P$4), 1, 0, 2, if(ISBLANK('2025'!$P93), 0, 1), 3, if(ISBLANK('2025'!$Q93), 0, 1), 4, if(ISBLANK('2025'!$R93), 0, 1), 5, if(ISBLANK('2025'!$S93), 0, 1), 6, if(ISBLANK('2025'!$T93), 0, 1), 7, 0))), 1, "")</f>
        <v/>
      </c>
      <c r="Q95" s="1" t="str">
        <f>IF(AND(AND(AND(Q$4&gt;='2025'!$L93,Q$4&lt;='2025'!$M93), Q$4&lt;&gt;DATE(2025,7,4)), (SWITCH(weekday(Q$4), 1, 0, 2, if(ISBLANK('2025'!$P93), 0, 1), 3, if(ISBLANK('2025'!$Q93), 0, 1), 4, if(ISBLANK('2025'!$R93), 0, 1), 5, if(ISBLANK('2025'!$S93), 0, 1), 6, if(ISBLANK('2025'!$T93), 0, 1), 7, 0))), 1, "")</f>
        <v/>
      </c>
      <c r="R95" s="1" t="str">
        <f>IF(AND(AND(AND(R$4&gt;='2025'!$L93,R$4&lt;='2025'!$M93), R$4&lt;&gt;DATE(2025,7,4)), (SWITCH(weekday(R$4), 1, 0, 2, if(ISBLANK('2025'!$P93), 0, 1), 3, if(ISBLANK('2025'!$Q93), 0, 1), 4, if(ISBLANK('2025'!$R93), 0, 1), 5, if(ISBLANK('2025'!$S93), 0, 1), 6, if(ISBLANK('2025'!$T93), 0, 1), 7, 0))), 1, "")</f>
        <v/>
      </c>
      <c r="S95" s="1" t="str">
        <f>IF(AND(AND(AND(S$4&gt;='2025'!$L93,S$4&lt;='2025'!$M93), S$4&lt;&gt;DATE(2025,7,4)), (SWITCH(weekday(S$4), 1, 0, 2, if(ISBLANK('2025'!$P93), 0, 1), 3, if(ISBLANK('2025'!$Q93), 0, 1), 4, if(ISBLANK('2025'!$R93), 0, 1), 5, if(ISBLANK('2025'!$S93), 0, 1), 6, if(ISBLANK('2025'!$T93), 0, 1), 7, 0))), 1, "")</f>
        <v/>
      </c>
      <c r="T95" s="1" t="str">
        <f>IF(AND(AND(AND(T$4&gt;='2025'!$L93,T$4&lt;='2025'!$M93), T$4&lt;&gt;DATE(2025,7,4)), (SWITCH(weekday(T$4), 1, 0, 2, if(ISBLANK('2025'!$P93), 0, 1), 3, if(ISBLANK('2025'!$Q93), 0, 1), 4, if(ISBLANK('2025'!$R93), 0, 1), 5, if(ISBLANK('2025'!$S93), 0, 1), 6, if(ISBLANK('2025'!$T93), 0, 1), 7, 0))), 1, "")</f>
        <v/>
      </c>
      <c r="U95" s="1" t="str">
        <f>IF(AND(AND(AND(U$4&gt;='2025'!$L93,U$4&lt;='2025'!$M93), U$4&lt;&gt;DATE(2025,7,4)), (SWITCH(weekday(U$4), 1, 0, 2, if(ISBLANK('2025'!$P93), 0, 1), 3, if(ISBLANK('2025'!$Q93), 0, 1), 4, if(ISBLANK('2025'!$R93), 0, 1), 5, if(ISBLANK('2025'!$S93), 0, 1), 6, if(ISBLANK('2025'!$T93), 0, 1), 7, 0))), 1, "")</f>
        <v/>
      </c>
      <c r="V95" s="1" t="str">
        <f>IF(AND(AND(AND(V$4&gt;='2025'!$L93,V$4&lt;='2025'!$M93), V$4&lt;&gt;DATE(2025,7,4)), (SWITCH(weekday(V$4), 1, 0, 2, if(ISBLANK('2025'!$P93), 0, 1), 3, if(ISBLANK('2025'!$Q93), 0, 1), 4, if(ISBLANK('2025'!$R93), 0, 1), 5, if(ISBLANK('2025'!$S93), 0, 1), 6, if(ISBLANK('2025'!$T93), 0, 1), 7, 0))), 1, "")</f>
        <v/>
      </c>
      <c r="W95" s="1" t="str">
        <f>IF(AND(AND(AND(W$4&gt;='2025'!$L93,W$4&lt;='2025'!$M93), W$4&lt;&gt;DATE(2025,7,4)), (SWITCH(weekday(W$4), 1, 0, 2, if(ISBLANK('2025'!$P93), 0, 1), 3, if(ISBLANK('2025'!$Q93), 0, 1), 4, if(ISBLANK('2025'!$R93), 0, 1), 5, if(ISBLANK('2025'!$S93), 0, 1), 6, if(ISBLANK('2025'!$T93), 0, 1), 7, 0))), 1, "")</f>
        <v/>
      </c>
      <c r="X95" s="1" t="str">
        <f>IF(AND(AND(AND(X$4&gt;='2025'!$L93,X$4&lt;='2025'!$M93), X$4&lt;&gt;DATE(2025,7,4)), (SWITCH(weekday(X$4), 1, 0, 2, if(ISBLANK('2025'!$P93), 0, 1), 3, if(ISBLANK('2025'!$Q93), 0, 1), 4, if(ISBLANK('2025'!$R93), 0, 1), 5, if(ISBLANK('2025'!$S93), 0, 1), 6, if(ISBLANK('2025'!$T93), 0, 1), 7, 0))), 1, "")</f>
        <v/>
      </c>
      <c r="Y95" s="1" t="str">
        <f>IF(AND(AND(AND(Y$4&gt;='2025'!$L93,Y$4&lt;='2025'!$M93), Y$4&lt;&gt;DATE(2025,7,4)), (SWITCH(weekday(Y$4), 1, 0, 2, if(ISBLANK('2025'!$P93), 0, 1), 3, if(ISBLANK('2025'!$Q93), 0, 1), 4, if(ISBLANK('2025'!$R93), 0, 1), 5, if(ISBLANK('2025'!$S93), 0, 1), 6, if(ISBLANK('2025'!$T93), 0, 1), 7, 0))), 1, "")</f>
        <v/>
      </c>
      <c r="Z95" s="1" t="str">
        <f>IF(AND(AND(AND(Z$4&gt;='2025'!$L93,Z$4&lt;='2025'!$M93), Z$4&lt;&gt;DATE(2025,7,4)), (SWITCH(weekday(Z$4), 1, 0, 2, if(ISBLANK('2025'!$P93), 0, 1), 3, if(ISBLANK('2025'!$Q93), 0, 1), 4, if(ISBLANK('2025'!$R93), 0, 1), 5, if(ISBLANK('2025'!$S93), 0, 1), 6, if(ISBLANK('2025'!$T93), 0, 1), 7, 0))), 1, "")</f>
        <v/>
      </c>
      <c r="AA95" s="1" t="str">
        <f>IF(AND(AND(AND(AA$4&gt;='2025'!$L93,AA$4&lt;='2025'!$M93), AA$4&lt;&gt;DATE(2025,7,4)), (SWITCH(weekday(AA$4), 1, 0, 2, if(ISBLANK('2025'!$P93), 0, 1), 3, if(ISBLANK('2025'!$Q93), 0, 1), 4, if(ISBLANK('2025'!$R93), 0, 1), 5, if(ISBLANK('2025'!$S93), 0, 1), 6, if(ISBLANK('2025'!$T93), 0, 1), 7, 0))), 1, "")</f>
        <v/>
      </c>
      <c r="AB95" s="1" t="str">
        <f>IF(AND(AND(AND(AB$4&gt;='2025'!$L93,AB$4&lt;='2025'!$M93), AB$4&lt;&gt;DATE(2025,7,4)), (SWITCH(weekday(AB$4), 1, 0, 2, if(ISBLANK('2025'!$P93), 0, 1), 3, if(ISBLANK('2025'!$Q93), 0, 1), 4, if(ISBLANK('2025'!$R93), 0, 1), 5, if(ISBLANK('2025'!$S93), 0, 1), 6, if(ISBLANK('2025'!$T93), 0, 1), 7, 0))), 1, "")</f>
        <v/>
      </c>
      <c r="AC95" s="1" t="str">
        <f>IF(AND(AND(AND(AC$4&gt;='2025'!$L93,AC$4&lt;='2025'!$M93), AC$4&lt;&gt;DATE(2025,7,4)), (SWITCH(weekday(AC$4), 1, 0, 2, if(ISBLANK('2025'!$P93), 0, 1), 3, if(ISBLANK('2025'!$Q93), 0, 1), 4, if(ISBLANK('2025'!$R93), 0, 1), 5, if(ISBLANK('2025'!$S93), 0, 1), 6, if(ISBLANK('2025'!$T93), 0, 1), 7, 0))), 1, "")</f>
        <v/>
      </c>
      <c r="AD95" s="1" t="str">
        <f>IF(AND(AND(AND(AD$4&gt;='2025'!$L93,AD$4&lt;='2025'!$M93), AD$4&lt;&gt;DATE(2025,7,4)), (SWITCH(weekday(AD$4), 1, 0, 2, if(ISBLANK('2025'!$P93), 0, 1), 3, if(ISBLANK('2025'!$Q93), 0, 1), 4, if(ISBLANK('2025'!$R93), 0, 1), 5, if(ISBLANK('2025'!$S93), 0, 1), 6, if(ISBLANK('2025'!$T93), 0, 1), 7, 0))), 1, "")</f>
        <v/>
      </c>
      <c r="AE95" s="1" t="str">
        <f>IF(AND(AND(AND(AE$4&gt;='2025'!$L93,AE$4&lt;='2025'!$M93), AE$4&lt;&gt;DATE(2025,7,4)), (SWITCH(weekday(AE$4), 1, 0, 2, if(ISBLANK('2025'!$P93), 0, 1), 3, if(ISBLANK('2025'!$Q93), 0, 1), 4, if(ISBLANK('2025'!$R93), 0, 1), 5, if(ISBLANK('2025'!$S93), 0, 1), 6, if(ISBLANK('2025'!$T93), 0, 1), 7, 0))), 1, "")</f>
        <v/>
      </c>
      <c r="AF95" s="1" t="str">
        <f>IF(AND(AND(AND(AF$4&gt;='2025'!$L93,AF$4&lt;='2025'!$M93), AF$4&lt;&gt;DATE(2025,7,4)), (SWITCH(weekday(AF$4), 1, 0, 2, if(ISBLANK('2025'!$P93), 0, 1), 3, if(ISBLANK('2025'!$Q93), 0, 1), 4, if(ISBLANK('2025'!$R93), 0, 1), 5, if(ISBLANK('2025'!$S93), 0, 1), 6, if(ISBLANK('2025'!$T93), 0, 1), 7, 0))), 1, "")</f>
        <v/>
      </c>
      <c r="AG95" s="1" t="str">
        <f>IF(AND(AND(AND(AG$4&gt;='2025'!$L93,AG$4&lt;='2025'!$M93), AG$4&lt;&gt;DATE(2025,7,4)), (SWITCH(weekday(AG$4), 1, 0, 2, if(ISBLANK('2025'!$P93), 0, 1), 3, if(ISBLANK('2025'!$Q93), 0, 1), 4, if(ISBLANK('2025'!$R93), 0, 1), 5, if(ISBLANK('2025'!$S93), 0, 1), 6, if(ISBLANK('2025'!$T93), 0, 1), 7, 0))), 1, "")</f>
        <v/>
      </c>
      <c r="AH95" s="1" t="str">
        <f>IF(AND(AND(AND(AH$4&gt;='2025'!$L93,AH$4&lt;='2025'!$M93), AH$4&lt;&gt;DATE(2025,7,4)), (SWITCH(weekday(AH$4), 1, 0, 2, if(ISBLANK('2025'!$P93), 0, 1), 3, if(ISBLANK('2025'!$Q93), 0, 1), 4, if(ISBLANK('2025'!$R93), 0, 1), 5, if(ISBLANK('2025'!$S93), 0, 1), 6, if(ISBLANK('2025'!$T93), 0, 1), 7, 0))), 1, "")</f>
        <v/>
      </c>
      <c r="AI95" s="1" t="str">
        <f>IF(AND(AND(AND(AI$4&gt;='2025'!$L93,AI$4&lt;='2025'!$M93), AI$4&lt;&gt;DATE(2025,7,4)), (SWITCH(weekday(AI$4), 1, 0, 2, if(ISBLANK('2025'!$P93), 0, 1), 3, if(ISBLANK('2025'!$Q93), 0, 1), 4, if(ISBLANK('2025'!$R93), 0, 1), 5, if(ISBLANK('2025'!$S93), 0, 1), 6, if(ISBLANK('2025'!$T93), 0, 1), 7, 0))), 1, "")</f>
        <v/>
      </c>
      <c r="AJ95" s="1" t="str">
        <f>IF(AND(AND(AND(AJ$4&gt;='2025'!$L93,AJ$4&lt;='2025'!$M93), AJ$4&lt;&gt;DATE(2025,7,4)), (SWITCH(weekday(AJ$4), 1, 0, 2, if(ISBLANK('2025'!$P93), 0, 1), 3, if(ISBLANK('2025'!$Q93), 0, 1), 4, if(ISBLANK('2025'!$R93), 0, 1), 5, if(ISBLANK('2025'!$S93), 0, 1), 6, if(ISBLANK('2025'!$T93), 0, 1), 7, 0))), 1, "")</f>
        <v/>
      </c>
      <c r="AK95" s="1" t="str">
        <f>IF(AND(AND(AND(AK$4&gt;='2025'!$L93,AK$4&lt;='2025'!$M93), AK$4&lt;&gt;DATE(2025,7,4)), (SWITCH(weekday(AK$4), 1, 0, 2, if(ISBLANK('2025'!$P93), 0, 1), 3, if(ISBLANK('2025'!$Q93), 0, 1), 4, if(ISBLANK('2025'!$R93), 0, 1), 5, if(ISBLANK('2025'!$S93), 0, 1), 6, if(ISBLANK('2025'!$T93), 0, 1), 7, 0))), 1, "")</f>
        <v/>
      </c>
      <c r="AL95" s="1" t="str">
        <f>IF(AND(AND(AND(AL$4&gt;='2025'!$L93,AL$4&lt;='2025'!$M93), AL$4&lt;&gt;DATE(2025,7,4)), (SWITCH(weekday(AL$4), 1, 0, 2, if(ISBLANK('2025'!$P93), 0, 1), 3, if(ISBLANK('2025'!$Q93), 0, 1), 4, if(ISBLANK('2025'!$R93), 0, 1), 5, if(ISBLANK('2025'!$S93), 0, 1), 6, if(ISBLANK('2025'!$T93), 0, 1), 7, 0))), 1, "")</f>
        <v/>
      </c>
      <c r="AM95" s="1" t="str">
        <f>IF(AND(AND(AND(AM$4&gt;='2025'!$L93,AM$4&lt;='2025'!$M93), AM$4&lt;&gt;DATE(2025,7,4)), (SWITCH(weekday(AM$4), 1, 0, 2, if(ISBLANK('2025'!$P93), 0, 1), 3, if(ISBLANK('2025'!$Q93), 0, 1), 4, if(ISBLANK('2025'!$R93), 0, 1), 5, if(ISBLANK('2025'!$S93), 0, 1), 6, if(ISBLANK('2025'!$T93), 0, 1), 7, 0))), 1, "")</f>
        <v/>
      </c>
      <c r="AN95" s="1" t="str">
        <f>IF(AND(AND(AND(AN$4&gt;='2025'!$L93,AN$4&lt;='2025'!$M93), AN$4&lt;&gt;DATE(2025,7,4)), (SWITCH(weekday(AN$4), 1, 0, 2, if(ISBLANK('2025'!$P93), 0, 1), 3, if(ISBLANK('2025'!$Q93), 0, 1), 4, if(ISBLANK('2025'!$R93), 0, 1), 5, if(ISBLANK('2025'!$S93), 0, 1), 6, if(ISBLANK('2025'!$T93), 0, 1), 7, 0))), 1, "")</f>
        <v/>
      </c>
      <c r="AO95" s="1" t="str">
        <f>IF(AND(AND(AND(AO$4&gt;='2025'!$L93,AO$4&lt;='2025'!$M93), AO$4&lt;&gt;DATE(2025,7,4)), (SWITCH(weekday(AO$4), 1, 0, 2, if(ISBLANK('2025'!$P93), 0, 1), 3, if(ISBLANK('2025'!$Q93), 0, 1), 4, if(ISBLANK('2025'!$R93), 0, 1), 5, if(ISBLANK('2025'!$S93), 0, 1), 6, if(ISBLANK('2025'!$T93), 0, 1), 7, 0))), 1, "")</f>
        <v/>
      </c>
      <c r="AP95" s="1" t="str">
        <f>IF(AND(AND(AND(AP$4&gt;='2025'!$L93,AP$4&lt;='2025'!$M93), AP$4&lt;&gt;DATE(2025,7,4)), (SWITCH(weekday(AP$4), 1, 0, 2, if(ISBLANK('2025'!$P93), 0, 1), 3, if(ISBLANK('2025'!$Q93), 0, 1), 4, if(ISBLANK('2025'!$R93), 0, 1), 5, if(ISBLANK('2025'!$S93), 0, 1), 6, if(ISBLANK('2025'!$T93), 0, 1), 7, 0))), 1, "")</f>
        <v/>
      </c>
      <c r="AQ95" s="1" t="str">
        <f>IF(AND(AND(AND(AQ$4&gt;='2025'!$L93,AQ$4&lt;='2025'!$M93), AQ$4&lt;&gt;DATE(2025,7,4)), (SWITCH(weekday(AQ$4), 1, 0, 2, if(ISBLANK('2025'!$P93), 0, 1), 3, if(ISBLANK('2025'!$Q93), 0, 1), 4, if(ISBLANK('2025'!$R93), 0, 1), 5, if(ISBLANK('2025'!$S93), 0, 1), 6, if(ISBLANK('2025'!$T93), 0, 1), 7, 0))), 1, "")</f>
        <v/>
      </c>
      <c r="AR95" s="1" t="str">
        <f>IF(AND(AND(AND(AR$4&gt;='2025'!$L93,AR$4&lt;='2025'!$M93), AR$4&lt;&gt;DATE(2025,7,4)), (SWITCH(weekday(AR$4), 1, 0, 2, if(ISBLANK('2025'!$P93), 0, 1), 3, if(ISBLANK('2025'!$Q93), 0, 1), 4, if(ISBLANK('2025'!$R93), 0, 1), 5, if(ISBLANK('2025'!$S93), 0, 1), 6, if(ISBLANK('2025'!$T93), 0, 1), 7, 0))), 1, "")</f>
        <v/>
      </c>
      <c r="AS95" s="1" t="str">
        <f>IF(AND(AND(AND(AS$4&gt;='2025'!$L93,AS$4&lt;='2025'!$M93), AS$4&lt;&gt;DATE(2025,7,4)), (SWITCH(weekday(AS$4), 1, 0, 2, if(ISBLANK('2025'!$P93), 0, 1), 3, if(ISBLANK('2025'!$Q93), 0, 1), 4, if(ISBLANK('2025'!$R93), 0, 1), 5, if(ISBLANK('2025'!$S93), 0, 1), 6, if(ISBLANK('2025'!$T93), 0, 1), 7, 0))), 1, "")</f>
        <v/>
      </c>
      <c r="AT95" s="1" t="str">
        <f>IF(AND(AND(AND(AT$4&gt;='2025'!$L93,AT$4&lt;='2025'!$M93), AT$4&lt;&gt;DATE(2025,7,4)), (SWITCH(weekday(AT$4), 1, 0, 2, if(ISBLANK('2025'!$P93), 0, 1), 3, if(ISBLANK('2025'!$Q93), 0, 1), 4, if(ISBLANK('2025'!$R93), 0, 1), 5, if(ISBLANK('2025'!$S93), 0, 1), 6, if(ISBLANK('2025'!$T93), 0, 1), 7, 0))), 1, "")</f>
        <v/>
      </c>
      <c r="AU95" s="1" t="str">
        <f>IF(AND(AND(AND(AU$4&gt;='2025'!$L93,AU$4&lt;='2025'!$M93), AU$4&lt;&gt;DATE(2025,7,4)), (SWITCH(weekday(AU$4), 1, 0, 2, if(ISBLANK('2025'!$P93), 0, 1), 3, if(ISBLANK('2025'!$Q93), 0, 1), 4, if(ISBLANK('2025'!$R93), 0, 1), 5, if(ISBLANK('2025'!$S93), 0, 1), 6, if(ISBLANK('2025'!$T93), 0, 1), 7, 0))), 1, "")</f>
        <v/>
      </c>
      <c r="AV95" s="1" t="str">
        <f>IF(AND(AND(AND(AV$4&gt;='2025'!$L93,AV$4&lt;='2025'!$M93), AV$4&lt;&gt;DATE(2025,7,4)), (SWITCH(weekday(AV$4), 1, 0, 2, if(ISBLANK('2025'!$P93), 0, 1), 3, if(ISBLANK('2025'!$Q93), 0, 1), 4, if(ISBLANK('2025'!$R93), 0, 1), 5, if(ISBLANK('2025'!$S93), 0, 1), 6, if(ISBLANK('2025'!$T93), 0, 1), 7, 0))), 1, "")</f>
        <v/>
      </c>
      <c r="AW95" s="1" t="str">
        <f>IF(AND(AND(AND(AW$4&gt;='2025'!$L93,AW$4&lt;='2025'!$M93), AW$4&lt;&gt;DATE(2025,7,4)), (SWITCH(weekday(AW$4), 1, 0, 2, if(ISBLANK('2025'!$P93), 0, 1), 3, if(ISBLANK('2025'!$Q93), 0, 1), 4, if(ISBLANK('2025'!$R93), 0, 1), 5, if(ISBLANK('2025'!$S93), 0, 1), 6, if(ISBLANK('2025'!$T93), 0, 1), 7, 0))), 1, "")</f>
        <v/>
      </c>
      <c r="AX95" s="1" t="str">
        <f>IF(AND(AND(AND(AX$4&gt;='2025'!$L93,AX$4&lt;='2025'!$M93), AX$4&lt;&gt;DATE(2025,7,4)), (SWITCH(weekday(AX$4), 1, 0, 2, if(ISBLANK('2025'!$P93), 0, 1), 3, if(ISBLANK('2025'!$Q93), 0, 1), 4, if(ISBLANK('2025'!$R93), 0, 1), 5, if(ISBLANK('2025'!$S93), 0, 1), 6, if(ISBLANK('2025'!$T93), 0, 1), 7, 0))), 1, "")</f>
        <v/>
      </c>
      <c r="AY95" s="1" t="str">
        <f>IF(AND(AND(AND(AY$4&gt;='2025'!$L93,AY$4&lt;='2025'!$M93), AY$4&lt;&gt;DATE(2025,7,4)), (SWITCH(weekday(AY$4), 1, 0, 2, if(ISBLANK('2025'!$P93), 0, 1), 3, if(ISBLANK('2025'!$Q93), 0, 1), 4, if(ISBLANK('2025'!$R93), 0, 1), 5, if(ISBLANK('2025'!$S93), 0, 1), 6, if(ISBLANK('2025'!$T93), 0, 1), 7, 0))), 1, "")</f>
        <v/>
      </c>
      <c r="AZ95" s="1" t="str">
        <f>IF(AND(AND(AND(AZ$4&gt;='2025'!$L93,AZ$4&lt;='2025'!$M93), AZ$4&lt;&gt;DATE(2025,7,4)), (SWITCH(weekday(AZ$4), 1, 0, 2, if(ISBLANK('2025'!$P93), 0, 1), 3, if(ISBLANK('2025'!$Q93), 0, 1), 4, if(ISBLANK('2025'!$R93), 0, 1), 5, if(ISBLANK('2025'!$S93), 0, 1), 6, if(ISBLANK('2025'!$T93), 0, 1), 7, 0))), 1, "")</f>
        <v/>
      </c>
      <c r="BA95" s="1" t="str">
        <f>IF(AND(AND(AND(BA$4&gt;='2025'!$L93,BA$4&lt;='2025'!$M93), BA$4&lt;&gt;DATE(2025,7,4)), (SWITCH(weekday(BA$4), 1, 0, 2, if(ISBLANK('2025'!$P93), 0, 1), 3, if(ISBLANK('2025'!$Q93), 0, 1), 4, if(ISBLANK('2025'!$R93), 0, 1), 5, if(ISBLANK('2025'!$S93), 0, 1), 6, if(ISBLANK('2025'!$T93), 0, 1), 7, 0))), 1, "")</f>
        <v/>
      </c>
      <c r="BB95" s="1" t="str">
        <f>IF(AND(AND(AND(BB$4&gt;='2025'!$L93,BB$4&lt;='2025'!$M93), BB$4&lt;&gt;DATE(2025,7,4)), (SWITCH(weekday(BB$4), 1, 0, 2, if(ISBLANK('2025'!$P93), 0, 1), 3, if(ISBLANK('2025'!$Q93), 0, 1), 4, if(ISBLANK('2025'!$R93), 0, 1), 5, if(ISBLANK('2025'!$S93), 0, 1), 6, if(ISBLANK('2025'!$T93), 0, 1), 7, 0))), 1, "")</f>
        <v/>
      </c>
      <c r="BC95" s="1" t="str">
        <f>IF(AND(AND(AND(BC$4&gt;='2025'!$L93,BC$4&lt;='2025'!$M93), BC$4&lt;&gt;DATE(2025,7,4)), (SWITCH(weekday(BC$4), 1, 0, 2, if(ISBLANK('2025'!$P93), 0, 1), 3, if(ISBLANK('2025'!$Q93), 0, 1), 4, if(ISBLANK('2025'!$R93), 0, 1), 5, if(ISBLANK('2025'!$S93), 0, 1), 6, if(ISBLANK('2025'!$T93), 0, 1), 7, 0))), 1, "")</f>
        <v/>
      </c>
      <c r="BD95" s="1" t="str">
        <f>IF(AND(AND(AND(BD$4&gt;='2025'!$L93,BD$4&lt;='2025'!$M93), BD$4&lt;&gt;DATE(2025,7,4)), (SWITCH(weekday(BD$4), 1, 0, 2, if(ISBLANK('2025'!$P93), 0, 1), 3, if(ISBLANK('2025'!$Q93), 0, 1), 4, if(ISBLANK('2025'!$R93), 0, 1), 5, if(ISBLANK('2025'!$S93), 0, 1), 6, if(ISBLANK('2025'!$T93), 0, 1), 7, 0))), 1, "")</f>
        <v/>
      </c>
      <c r="BE95" s="1" t="str">
        <f>IF(AND(AND(AND(BE$4&gt;='2025'!$L93,BE$4&lt;='2025'!$M93), BE$4&lt;&gt;DATE(2025,7,4)), (SWITCH(weekday(BE$4), 1, 0, 2, if(ISBLANK('2025'!$P93), 0, 1), 3, if(ISBLANK('2025'!$Q93), 0, 1), 4, if(ISBLANK('2025'!$R93), 0, 1), 5, if(ISBLANK('2025'!$S93), 0, 1), 6, if(ISBLANK('2025'!$T93), 0, 1), 7, 0))), 1, "")</f>
        <v/>
      </c>
      <c r="BF95" s="1" t="str">
        <f>IF(AND(AND(AND(BF$4&gt;='2025'!$L93,BF$4&lt;='2025'!$M93), BF$4&lt;&gt;DATE(2025,7,4)), (SWITCH(weekday(BF$4), 1, 0, 2, if(ISBLANK('2025'!$P93), 0, 1), 3, if(ISBLANK('2025'!$Q93), 0, 1), 4, if(ISBLANK('2025'!$R93), 0, 1), 5, if(ISBLANK('2025'!$S93), 0, 1), 6, if(ISBLANK('2025'!$T93), 0, 1), 7, 0))), 1, "")</f>
        <v/>
      </c>
      <c r="BG95" s="1"/>
      <c r="BH95" s="1"/>
      <c r="BI95" s="1"/>
      <c r="BJ95" s="1"/>
      <c r="BK95" s="1"/>
      <c r="BL95" s="1"/>
    </row>
    <row r="96">
      <c r="A96" s="1">
        <f t="shared" si="3"/>
        <v>96</v>
      </c>
      <c r="B96" s="1" t="str">
        <f>'2025'!D60</f>
        <v>, </v>
      </c>
      <c r="C96" s="1" t="str">
        <f>'2025'!H60</f>
        <v/>
      </c>
      <c r="D96" s="1" t="str">
        <f>IF(AND(AND(AND(D$4&gt;='2025'!$L94,D$4&lt;='2025'!$M94), D$4&lt;&gt;DATE(2025,7,4)), (SWITCH(weekday(D$4), 1, 0, 2, if(ISBLANK('2025'!$P94), 0, 1), 3, if(ISBLANK('2025'!$Q94), 0, 1), 4, if(ISBLANK('2025'!$R94), 0, 1), 5, if(ISBLANK('2025'!$S94), 0, 1), 6, if(ISBLANK('2025'!$T94), 0, 1), 7, 0))), 1, "")</f>
        <v/>
      </c>
      <c r="E96" s="1" t="str">
        <f>IF(AND(AND(AND(E$4&gt;='2025'!$L94,E$4&lt;='2025'!$M94), E$4&lt;&gt;DATE(2025,7,4)), (SWITCH(weekday(E$4), 1, 0, 2, if(ISBLANK('2025'!$P94), 0, 1), 3, if(ISBLANK('2025'!$Q94), 0, 1), 4, if(ISBLANK('2025'!$R94), 0, 1), 5, if(ISBLANK('2025'!$S94), 0, 1), 6, if(ISBLANK('2025'!$T94), 0, 1), 7, 0))), 1, "")</f>
        <v/>
      </c>
      <c r="F96" s="1" t="str">
        <f>IF(AND(AND(AND(F$4&gt;='2025'!$L94,F$4&lt;='2025'!$M94), F$4&lt;&gt;DATE(2025,7,4)), (SWITCH(weekday(F$4), 1, 0, 2, if(ISBLANK('2025'!$P94), 0, 1), 3, if(ISBLANK('2025'!$Q94), 0, 1), 4, if(ISBLANK('2025'!$R94), 0, 1), 5, if(ISBLANK('2025'!$S94), 0, 1), 6, if(ISBLANK('2025'!$T94), 0, 1), 7, 0))), 1, "")</f>
        <v/>
      </c>
      <c r="G96" s="1" t="str">
        <f>IF(AND(AND(AND(G$4&gt;='2025'!$L94,G$4&lt;='2025'!$M94), G$4&lt;&gt;DATE(2025,7,4)), (SWITCH(weekday(G$4), 1, 0, 2, if(ISBLANK('2025'!$P94), 0, 1), 3, if(ISBLANK('2025'!$Q94), 0, 1), 4, if(ISBLANK('2025'!$R94), 0, 1), 5, if(ISBLANK('2025'!$S94), 0, 1), 6, if(ISBLANK('2025'!$T94), 0, 1), 7, 0))), 1, "")</f>
        <v/>
      </c>
      <c r="H96" s="1" t="str">
        <f>IF(AND(AND(AND(H$4&gt;='2025'!$L94,H$4&lt;='2025'!$M94), H$4&lt;&gt;DATE(2025,7,4)), (SWITCH(weekday(H$4), 1, 0, 2, if(ISBLANK('2025'!$P94), 0, 1), 3, if(ISBLANK('2025'!$Q94), 0, 1), 4, if(ISBLANK('2025'!$R94), 0, 1), 5, if(ISBLANK('2025'!$S94), 0, 1), 6, if(ISBLANK('2025'!$T94), 0, 1), 7, 0))), 1, "")</f>
        <v/>
      </c>
      <c r="I96" s="1" t="str">
        <f>IF(AND(AND(AND(I$4&gt;='2025'!$L94,I$4&lt;='2025'!$M94), I$4&lt;&gt;DATE(2025,7,4)), (SWITCH(weekday(I$4), 1, 0, 2, if(ISBLANK('2025'!$P94), 0, 1), 3, if(ISBLANK('2025'!$Q94), 0, 1), 4, if(ISBLANK('2025'!$R94), 0, 1), 5, if(ISBLANK('2025'!$S94), 0, 1), 6, if(ISBLANK('2025'!$T94), 0, 1), 7, 0))), 1, "")</f>
        <v/>
      </c>
      <c r="J96" s="1" t="str">
        <f>IF(AND(AND(AND(J$4&gt;='2025'!$L94,J$4&lt;='2025'!$M94), J$4&lt;&gt;DATE(2025,7,4)), (SWITCH(weekday(J$4), 1, 0, 2, if(ISBLANK('2025'!$P94), 0, 1), 3, if(ISBLANK('2025'!$Q94), 0, 1), 4, if(ISBLANK('2025'!$R94), 0, 1), 5, if(ISBLANK('2025'!$S94), 0, 1), 6, if(ISBLANK('2025'!$T94), 0, 1), 7, 0))), 1, "")</f>
        <v/>
      </c>
      <c r="K96" s="1" t="str">
        <f>IF(AND(AND(AND(K$4&gt;='2025'!$L94,K$4&lt;='2025'!$M94), K$4&lt;&gt;DATE(2025,7,4)), (SWITCH(weekday(K$4), 1, 0, 2, if(ISBLANK('2025'!$P94), 0, 1), 3, if(ISBLANK('2025'!$Q94), 0, 1), 4, if(ISBLANK('2025'!$R94), 0, 1), 5, if(ISBLANK('2025'!$S94), 0, 1), 6, if(ISBLANK('2025'!$T94), 0, 1), 7, 0))), 1, "")</f>
        <v/>
      </c>
      <c r="L96" s="1" t="str">
        <f>IF(AND(AND(AND(L$4&gt;='2025'!$L94,L$4&lt;='2025'!$M94), L$4&lt;&gt;DATE(2025,7,4)), (SWITCH(weekday(L$4), 1, 0, 2, if(ISBLANK('2025'!$P94), 0, 1), 3, if(ISBLANK('2025'!$Q94), 0, 1), 4, if(ISBLANK('2025'!$R94), 0, 1), 5, if(ISBLANK('2025'!$S94), 0, 1), 6, if(ISBLANK('2025'!$T94), 0, 1), 7, 0))), 1, "")</f>
        <v/>
      </c>
      <c r="M96" s="1" t="str">
        <f>IF(AND(AND(AND(M$4&gt;='2025'!$L94,M$4&lt;='2025'!$M94), M$4&lt;&gt;DATE(2025,7,4)), (SWITCH(weekday(M$4), 1, 0, 2, if(ISBLANK('2025'!$P94), 0, 1), 3, if(ISBLANK('2025'!$Q94), 0, 1), 4, if(ISBLANK('2025'!$R94), 0, 1), 5, if(ISBLANK('2025'!$S94), 0, 1), 6, if(ISBLANK('2025'!$T94), 0, 1), 7, 0))), 1, "")</f>
        <v/>
      </c>
      <c r="N96" s="1" t="str">
        <f>IF(AND(AND(AND(N$4&gt;='2025'!$L94,N$4&lt;='2025'!$M94), N$4&lt;&gt;DATE(2025,7,4)), (SWITCH(weekday(N$4), 1, 0, 2, if(ISBLANK('2025'!$P94), 0, 1), 3, if(ISBLANK('2025'!$Q94), 0, 1), 4, if(ISBLANK('2025'!$R94), 0, 1), 5, if(ISBLANK('2025'!$S94), 0, 1), 6, if(ISBLANK('2025'!$T94), 0, 1), 7, 0))), 1, "")</f>
        <v/>
      </c>
      <c r="O96" s="1" t="str">
        <f>IF(AND(AND(AND(O$4&gt;='2025'!$L94,O$4&lt;='2025'!$M94), O$4&lt;&gt;DATE(2025,7,4)), (SWITCH(weekday(O$4), 1, 0, 2, if(ISBLANK('2025'!$P94), 0, 1), 3, if(ISBLANK('2025'!$Q94), 0, 1), 4, if(ISBLANK('2025'!$R94), 0, 1), 5, if(ISBLANK('2025'!$S94), 0, 1), 6, if(ISBLANK('2025'!$T94), 0, 1), 7, 0))), 1, "")</f>
        <v/>
      </c>
      <c r="P96" s="1" t="str">
        <f>IF(AND(AND(AND(P$4&gt;='2025'!$L94,P$4&lt;='2025'!$M94), P$4&lt;&gt;DATE(2025,7,4)), (SWITCH(weekday(P$4), 1, 0, 2, if(ISBLANK('2025'!$P94), 0, 1), 3, if(ISBLANK('2025'!$Q94), 0, 1), 4, if(ISBLANK('2025'!$R94), 0, 1), 5, if(ISBLANK('2025'!$S94), 0, 1), 6, if(ISBLANK('2025'!$T94), 0, 1), 7, 0))), 1, "")</f>
        <v/>
      </c>
      <c r="Q96" s="1" t="str">
        <f>IF(AND(AND(AND(Q$4&gt;='2025'!$L94,Q$4&lt;='2025'!$M94), Q$4&lt;&gt;DATE(2025,7,4)), (SWITCH(weekday(Q$4), 1, 0, 2, if(ISBLANK('2025'!$P94), 0, 1), 3, if(ISBLANK('2025'!$Q94), 0, 1), 4, if(ISBLANK('2025'!$R94), 0, 1), 5, if(ISBLANK('2025'!$S94), 0, 1), 6, if(ISBLANK('2025'!$T94), 0, 1), 7, 0))), 1, "")</f>
        <v/>
      </c>
      <c r="R96" s="1" t="str">
        <f>IF(AND(AND(AND(R$4&gt;='2025'!$L94,R$4&lt;='2025'!$M94), R$4&lt;&gt;DATE(2025,7,4)), (SWITCH(weekday(R$4), 1, 0, 2, if(ISBLANK('2025'!$P94), 0, 1), 3, if(ISBLANK('2025'!$Q94), 0, 1), 4, if(ISBLANK('2025'!$R94), 0, 1), 5, if(ISBLANK('2025'!$S94), 0, 1), 6, if(ISBLANK('2025'!$T94), 0, 1), 7, 0))), 1, "")</f>
        <v/>
      </c>
      <c r="S96" s="1" t="str">
        <f>IF(AND(AND(AND(S$4&gt;='2025'!$L94,S$4&lt;='2025'!$M94), S$4&lt;&gt;DATE(2025,7,4)), (SWITCH(weekday(S$4), 1, 0, 2, if(ISBLANK('2025'!$P94), 0, 1), 3, if(ISBLANK('2025'!$Q94), 0, 1), 4, if(ISBLANK('2025'!$R94), 0, 1), 5, if(ISBLANK('2025'!$S94), 0, 1), 6, if(ISBLANK('2025'!$T94), 0, 1), 7, 0))), 1, "")</f>
        <v/>
      </c>
      <c r="T96" s="1" t="str">
        <f>IF(AND(AND(AND(T$4&gt;='2025'!$L94,T$4&lt;='2025'!$M94), T$4&lt;&gt;DATE(2025,7,4)), (SWITCH(weekday(T$4), 1, 0, 2, if(ISBLANK('2025'!$P94), 0, 1), 3, if(ISBLANK('2025'!$Q94), 0, 1), 4, if(ISBLANK('2025'!$R94), 0, 1), 5, if(ISBLANK('2025'!$S94), 0, 1), 6, if(ISBLANK('2025'!$T94), 0, 1), 7, 0))), 1, "")</f>
        <v/>
      </c>
      <c r="U96" s="1" t="str">
        <f>IF(AND(AND(AND(U$4&gt;='2025'!$L94,U$4&lt;='2025'!$M94), U$4&lt;&gt;DATE(2025,7,4)), (SWITCH(weekday(U$4), 1, 0, 2, if(ISBLANK('2025'!$P94), 0, 1), 3, if(ISBLANK('2025'!$Q94), 0, 1), 4, if(ISBLANK('2025'!$R94), 0, 1), 5, if(ISBLANK('2025'!$S94), 0, 1), 6, if(ISBLANK('2025'!$T94), 0, 1), 7, 0))), 1, "")</f>
        <v/>
      </c>
      <c r="V96" s="1" t="str">
        <f>IF(AND(AND(AND(V$4&gt;='2025'!$L94,V$4&lt;='2025'!$M94), V$4&lt;&gt;DATE(2025,7,4)), (SWITCH(weekday(V$4), 1, 0, 2, if(ISBLANK('2025'!$P94), 0, 1), 3, if(ISBLANK('2025'!$Q94), 0, 1), 4, if(ISBLANK('2025'!$R94), 0, 1), 5, if(ISBLANK('2025'!$S94), 0, 1), 6, if(ISBLANK('2025'!$T94), 0, 1), 7, 0))), 1, "")</f>
        <v/>
      </c>
      <c r="W96" s="1" t="str">
        <f>IF(AND(AND(AND(W$4&gt;='2025'!$L94,W$4&lt;='2025'!$M94), W$4&lt;&gt;DATE(2025,7,4)), (SWITCH(weekday(W$4), 1, 0, 2, if(ISBLANK('2025'!$P94), 0, 1), 3, if(ISBLANK('2025'!$Q94), 0, 1), 4, if(ISBLANK('2025'!$R94), 0, 1), 5, if(ISBLANK('2025'!$S94), 0, 1), 6, if(ISBLANK('2025'!$T94), 0, 1), 7, 0))), 1, "")</f>
        <v/>
      </c>
      <c r="X96" s="1" t="str">
        <f>IF(AND(AND(AND(X$4&gt;='2025'!$L94,X$4&lt;='2025'!$M94), X$4&lt;&gt;DATE(2025,7,4)), (SWITCH(weekday(X$4), 1, 0, 2, if(ISBLANK('2025'!$P94), 0, 1), 3, if(ISBLANK('2025'!$Q94), 0, 1), 4, if(ISBLANK('2025'!$R94), 0, 1), 5, if(ISBLANK('2025'!$S94), 0, 1), 6, if(ISBLANK('2025'!$T94), 0, 1), 7, 0))), 1, "")</f>
        <v/>
      </c>
      <c r="Y96" s="1" t="str">
        <f>IF(AND(AND(AND(Y$4&gt;='2025'!$L94,Y$4&lt;='2025'!$M94), Y$4&lt;&gt;DATE(2025,7,4)), (SWITCH(weekday(Y$4), 1, 0, 2, if(ISBLANK('2025'!$P94), 0, 1), 3, if(ISBLANK('2025'!$Q94), 0, 1), 4, if(ISBLANK('2025'!$R94), 0, 1), 5, if(ISBLANK('2025'!$S94), 0, 1), 6, if(ISBLANK('2025'!$T94), 0, 1), 7, 0))), 1, "")</f>
        <v/>
      </c>
      <c r="Z96" s="1" t="str">
        <f>IF(AND(AND(AND(Z$4&gt;='2025'!$L94,Z$4&lt;='2025'!$M94), Z$4&lt;&gt;DATE(2025,7,4)), (SWITCH(weekday(Z$4), 1, 0, 2, if(ISBLANK('2025'!$P94), 0, 1), 3, if(ISBLANK('2025'!$Q94), 0, 1), 4, if(ISBLANK('2025'!$R94), 0, 1), 5, if(ISBLANK('2025'!$S94), 0, 1), 6, if(ISBLANK('2025'!$T94), 0, 1), 7, 0))), 1, "")</f>
        <v/>
      </c>
      <c r="AA96" s="1" t="str">
        <f>IF(AND(AND(AND(AA$4&gt;='2025'!$L94,AA$4&lt;='2025'!$M94), AA$4&lt;&gt;DATE(2025,7,4)), (SWITCH(weekday(AA$4), 1, 0, 2, if(ISBLANK('2025'!$P94), 0, 1), 3, if(ISBLANK('2025'!$Q94), 0, 1), 4, if(ISBLANK('2025'!$R94), 0, 1), 5, if(ISBLANK('2025'!$S94), 0, 1), 6, if(ISBLANK('2025'!$T94), 0, 1), 7, 0))), 1, "")</f>
        <v/>
      </c>
      <c r="AB96" s="1" t="str">
        <f>IF(AND(AND(AND(AB$4&gt;='2025'!$L94,AB$4&lt;='2025'!$M94), AB$4&lt;&gt;DATE(2025,7,4)), (SWITCH(weekday(AB$4), 1, 0, 2, if(ISBLANK('2025'!$P94), 0, 1), 3, if(ISBLANK('2025'!$Q94), 0, 1), 4, if(ISBLANK('2025'!$R94), 0, 1), 5, if(ISBLANK('2025'!$S94), 0, 1), 6, if(ISBLANK('2025'!$T94), 0, 1), 7, 0))), 1, "")</f>
        <v/>
      </c>
      <c r="AC96" s="1" t="str">
        <f>IF(AND(AND(AND(AC$4&gt;='2025'!$L94,AC$4&lt;='2025'!$M94), AC$4&lt;&gt;DATE(2025,7,4)), (SWITCH(weekday(AC$4), 1, 0, 2, if(ISBLANK('2025'!$P94), 0, 1), 3, if(ISBLANK('2025'!$Q94), 0, 1), 4, if(ISBLANK('2025'!$R94), 0, 1), 5, if(ISBLANK('2025'!$S94), 0, 1), 6, if(ISBLANK('2025'!$T94), 0, 1), 7, 0))), 1, "")</f>
        <v/>
      </c>
      <c r="AD96" s="1" t="str">
        <f>IF(AND(AND(AND(AD$4&gt;='2025'!$L94,AD$4&lt;='2025'!$M94), AD$4&lt;&gt;DATE(2025,7,4)), (SWITCH(weekday(AD$4), 1, 0, 2, if(ISBLANK('2025'!$P94), 0, 1), 3, if(ISBLANK('2025'!$Q94), 0, 1), 4, if(ISBLANK('2025'!$R94), 0, 1), 5, if(ISBLANK('2025'!$S94), 0, 1), 6, if(ISBLANK('2025'!$T94), 0, 1), 7, 0))), 1, "")</f>
        <v/>
      </c>
      <c r="AE96" s="1" t="str">
        <f>IF(AND(AND(AND(AE$4&gt;='2025'!$L94,AE$4&lt;='2025'!$M94), AE$4&lt;&gt;DATE(2025,7,4)), (SWITCH(weekday(AE$4), 1, 0, 2, if(ISBLANK('2025'!$P94), 0, 1), 3, if(ISBLANK('2025'!$Q94), 0, 1), 4, if(ISBLANK('2025'!$R94), 0, 1), 5, if(ISBLANK('2025'!$S94), 0, 1), 6, if(ISBLANK('2025'!$T94), 0, 1), 7, 0))), 1, "")</f>
        <v/>
      </c>
      <c r="AF96" s="1" t="str">
        <f>IF(AND(AND(AND(AF$4&gt;='2025'!$L94,AF$4&lt;='2025'!$M94), AF$4&lt;&gt;DATE(2025,7,4)), (SWITCH(weekday(AF$4), 1, 0, 2, if(ISBLANK('2025'!$P94), 0, 1), 3, if(ISBLANK('2025'!$Q94), 0, 1), 4, if(ISBLANK('2025'!$R94), 0, 1), 5, if(ISBLANK('2025'!$S94), 0, 1), 6, if(ISBLANK('2025'!$T94), 0, 1), 7, 0))), 1, "")</f>
        <v/>
      </c>
      <c r="AG96" s="1" t="str">
        <f>IF(AND(AND(AND(AG$4&gt;='2025'!$L94,AG$4&lt;='2025'!$M94), AG$4&lt;&gt;DATE(2025,7,4)), (SWITCH(weekday(AG$4), 1, 0, 2, if(ISBLANK('2025'!$P94), 0, 1), 3, if(ISBLANK('2025'!$Q94), 0, 1), 4, if(ISBLANK('2025'!$R94), 0, 1), 5, if(ISBLANK('2025'!$S94), 0, 1), 6, if(ISBLANK('2025'!$T94), 0, 1), 7, 0))), 1, "")</f>
        <v/>
      </c>
      <c r="AH96" s="1" t="str">
        <f>IF(AND(AND(AND(AH$4&gt;='2025'!$L94,AH$4&lt;='2025'!$M94), AH$4&lt;&gt;DATE(2025,7,4)), (SWITCH(weekday(AH$4), 1, 0, 2, if(ISBLANK('2025'!$P94), 0, 1), 3, if(ISBLANK('2025'!$Q94), 0, 1), 4, if(ISBLANK('2025'!$R94), 0, 1), 5, if(ISBLANK('2025'!$S94), 0, 1), 6, if(ISBLANK('2025'!$T94), 0, 1), 7, 0))), 1, "")</f>
        <v/>
      </c>
      <c r="AI96" s="1" t="str">
        <f>IF(AND(AND(AND(AI$4&gt;='2025'!$L94,AI$4&lt;='2025'!$M94), AI$4&lt;&gt;DATE(2025,7,4)), (SWITCH(weekday(AI$4), 1, 0, 2, if(ISBLANK('2025'!$P94), 0, 1), 3, if(ISBLANK('2025'!$Q94), 0, 1), 4, if(ISBLANK('2025'!$R94), 0, 1), 5, if(ISBLANK('2025'!$S94), 0, 1), 6, if(ISBLANK('2025'!$T94), 0, 1), 7, 0))), 1, "")</f>
        <v/>
      </c>
      <c r="AJ96" s="1" t="str">
        <f>IF(AND(AND(AND(AJ$4&gt;='2025'!$L94,AJ$4&lt;='2025'!$M94), AJ$4&lt;&gt;DATE(2025,7,4)), (SWITCH(weekday(AJ$4), 1, 0, 2, if(ISBLANK('2025'!$P94), 0, 1), 3, if(ISBLANK('2025'!$Q94), 0, 1), 4, if(ISBLANK('2025'!$R94), 0, 1), 5, if(ISBLANK('2025'!$S94), 0, 1), 6, if(ISBLANK('2025'!$T94), 0, 1), 7, 0))), 1, "")</f>
        <v/>
      </c>
      <c r="AK96" s="1" t="str">
        <f>IF(AND(AND(AND(AK$4&gt;='2025'!$L94,AK$4&lt;='2025'!$M94), AK$4&lt;&gt;DATE(2025,7,4)), (SWITCH(weekday(AK$4), 1, 0, 2, if(ISBLANK('2025'!$P94), 0, 1), 3, if(ISBLANK('2025'!$Q94), 0, 1), 4, if(ISBLANK('2025'!$R94), 0, 1), 5, if(ISBLANK('2025'!$S94), 0, 1), 6, if(ISBLANK('2025'!$T94), 0, 1), 7, 0))), 1, "")</f>
        <v/>
      </c>
      <c r="AL96" s="1" t="str">
        <f>IF(AND(AND(AND(AL$4&gt;='2025'!$L94,AL$4&lt;='2025'!$M94), AL$4&lt;&gt;DATE(2025,7,4)), (SWITCH(weekday(AL$4), 1, 0, 2, if(ISBLANK('2025'!$P94), 0, 1), 3, if(ISBLANK('2025'!$Q94), 0, 1), 4, if(ISBLANK('2025'!$R94), 0, 1), 5, if(ISBLANK('2025'!$S94), 0, 1), 6, if(ISBLANK('2025'!$T94), 0, 1), 7, 0))), 1, "")</f>
        <v/>
      </c>
      <c r="AM96" s="1" t="str">
        <f>IF(AND(AND(AND(AM$4&gt;='2025'!$L94,AM$4&lt;='2025'!$M94), AM$4&lt;&gt;DATE(2025,7,4)), (SWITCH(weekday(AM$4), 1, 0, 2, if(ISBLANK('2025'!$P94), 0, 1), 3, if(ISBLANK('2025'!$Q94), 0, 1), 4, if(ISBLANK('2025'!$R94), 0, 1), 5, if(ISBLANK('2025'!$S94), 0, 1), 6, if(ISBLANK('2025'!$T94), 0, 1), 7, 0))), 1, "")</f>
        <v/>
      </c>
      <c r="AN96" s="1" t="str">
        <f>IF(AND(AND(AND(AN$4&gt;='2025'!$L94,AN$4&lt;='2025'!$M94), AN$4&lt;&gt;DATE(2025,7,4)), (SWITCH(weekday(AN$4), 1, 0, 2, if(ISBLANK('2025'!$P94), 0, 1), 3, if(ISBLANK('2025'!$Q94), 0, 1), 4, if(ISBLANK('2025'!$R94), 0, 1), 5, if(ISBLANK('2025'!$S94), 0, 1), 6, if(ISBLANK('2025'!$T94), 0, 1), 7, 0))), 1, "")</f>
        <v/>
      </c>
      <c r="AO96" s="1" t="str">
        <f>IF(AND(AND(AND(AO$4&gt;='2025'!$L94,AO$4&lt;='2025'!$M94), AO$4&lt;&gt;DATE(2025,7,4)), (SWITCH(weekday(AO$4), 1, 0, 2, if(ISBLANK('2025'!$P94), 0, 1), 3, if(ISBLANK('2025'!$Q94), 0, 1), 4, if(ISBLANK('2025'!$R94), 0, 1), 5, if(ISBLANK('2025'!$S94), 0, 1), 6, if(ISBLANK('2025'!$T94), 0, 1), 7, 0))), 1, "")</f>
        <v/>
      </c>
      <c r="AP96" s="1" t="str">
        <f>IF(AND(AND(AND(AP$4&gt;='2025'!$L94,AP$4&lt;='2025'!$M94), AP$4&lt;&gt;DATE(2025,7,4)), (SWITCH(weekday(AP$4), 1, 0, 2, if(ISBLANK('2025'!$P94), 0, 1), 3, if(ISBLANK('2025'!$Q94), 0, 1), 4, if(ISBLANK('2025'!$R94), 0, 1), 5, if(ISBLANK('2025'!$S94), 0, 1), 6, if(ISBLANK('2025'!$T94), 0, 1), 7, 0))), 1, "")</f>
        <v/>
      </c>
      <c r="AQ96" s="1" t="str">
        <f>IF(AND(AND(AND(AQ$4&gt;='2025'!$L94,AQ$4&lt;='2025'!$M94), AQ$4&lt;&gt;DATE(2025,7,4)), (SWITCH(weekday(AQ$4), 1, 0, 2, if(ISBLANK('2025'!$P94), 0, 1), 3, if(ISBLANK('2025'!$Q94), 0, 1), 4, if(ISBLANK('2025'!$R94), 0, 1), 5, if(ISBLANK('2025'!$S94), 0, 1), 6, if(ISBLANK('2025'!$T94), 0, 1), 7, 0))), 1, "")</f>
        <v/>
      </c>
      <c r="AR96" s="1" t="str">
        <f>IF(AND(AND(AND(AR$4&gt;='2025'!$L94,AR$4&lt;='2025'!$M94), AR$4&lt;&gt;DATE(2025,7,4)), (SWITCH(weekday(AR$4), 1, 0, 2, if(ISBLANK('2025'!$P94), 0, 1), 3, if(ISBLANK('2025'!$Q94), 0, 1), 4, if(ISBLANK('2025'!$R94), 0, 1), 5, if(ISBLANK('2025'!$S94), 0, 1), 6, if(ISBLANK('2025'!$T94), 0, 1), 7, 0))), 1, "")</f>
        <v/>
      </c>
      <c r="AS96" s="1" t="str">
        <f>IF(AND(AND(AND(AS$4&gt;='2025'!$L94,AS$4&lt;='2025'!$M94), AS$4&lt;&gt;DATE(2025,7,4)), (SWITCH(weekday(AS$4), 1, 0, 2, if(ISBLANK('2025'!$P94), 0, 1), 3, if(ISBLANK('2025'!$Q94), 0, 1), 4, if(ISBLANK('2025'!$R94), 0, 1), 5, if(ISBLANK('2025'!$S94), 0, 1), 6, if(ISBLANK('2025'!$T94), 0, 1), 7, 0))), 1, "")</f>
        <v/>
      </c>
      <c r="AT96" s="1" t="str">
        <f>IF(AND(AND(AND(AT$4&gt;='2025'!$L94,AT$4&lt;='2025'!$M94), AT$4&lt;&gt;DATE(2025,7,4)), (SWITCH(weekday(AT$4), 1, 0, 2, if(ISBLANK('2025'!$P94), 0, 1), 3, if(ISBLANK('2025'!$Q94), 0, 1), 4, if(ISBLANK('2025'!$R94), 0, 1), 5, if(ISBLANK('2025'!$S94), 0, 1), 6, if(ISBLANK('2025'!$T94), 0, 1), 7, 0))), 1, "")</f>
        <v/>
      </c>
      <c r="AU96" s="1" t="str">
        <f>IF(AND(AND(AND(AU$4&gt;='2025'!$L94,AU$4&lt;='2025'!$M94), AU$4&lt;&gt;DATE(2025,7,4)), (SWITCH(weekday(AU$4), 1, 0, 2, if(ISBLANK('2025'!$P94), 0, 1), 3, if(ISBLANK('2025'!$Q94), 0, 1), 4, if(ISBLANK('2025'!$R94), 0, 1), 5, if(ISBLANK('2025'!$S94), 0, 1), 6, if(ISBLANK('2025'!$T94), 0, 1), 7, 0))), 1, "")</f>
        <v/>
      </c>
      <c r="AV96" s="1" t="str">
        <f>IF(AND(AND(AND(AV$4&gt;='2025'!$L94,AV$4&lt;='2025'!$M94), AV$4&lt;&gt;DATE(2025,7,4)), (SWITCH(weekday(AV$4), 1, 0, 2, if(ISBLANK('2025'!$P94), 0, 1), 3, if(ISBLANK('2025'!$Q94), 0, 1), 4, if(ISBLANK('2025'!$R94), 0, 1), 5, if(ISBLANK('2025'!$S94), 0, 1), 6, if(ISBLANK('2025'!$T94), 0, 1), 7, 0))), 1, "")</f>
        <v/>
      </c>
      <c r="AW96" s="1" t="str">
        <f>IF(AND(AND(AND(AW$4&gt;='2025'!$L94,AW$4&lt;='2025'!$M94), AW$4&lt;&gt;DATE(2025,7,4)), (SWITCH(weekday(AW$4), 1, 0, 2, if(ISBLANK('2025'!$P94), 0, 1), 3, if(ISBLANK('2025'!$Q94), 0, 1), 4, if(ISBLANK('2025'!$R94), 0, 1), 5, if(ISBLANK('2025'!$S94), 0, 1), 6, if(ISBLANK('2025'!$T94), 0, 1), 7, 0))), 1, "")</f>
        <v/>
      </c>
      <c r="AX96" s="1" t="str">
        <f>IF(AND(AND(AND(AX$4&gt;='2025'!$L94,AX$4&lt;='2025'!$M94), AX$4&lt;&gt;DATE(2025,7,4)), (SWITCH(weekday(AX$4), 1, 0, 2, if(ISBLANK('2025'!$P94), 0, 1), 3, if(ISBLANK('2025'!$Q94), 0, 1), 4, if(ISBLANK('2025'!$R94), 0, 1), 5, if(ISBLANK('2025'!$S94), 0, 1), 6, if(ISBLANK('2025'!$T94), 0, 1), 7, 0))), 1, "")</f>
        <v/>
      </c>
      <c r="AY96" s="1" t="str">
        <f>IF(AND(AND(AND(AY$4&gt;='2025'!$L94,AY$4&lt;='2025'!$M94), AY$4&lt;&gt;DATE(2025,7,4)), (SWITCH(weekday(AY$4), 1, 0, 2, if(ISBLANK('2025'!$P94), 0, 1), 3, if(ISBLANK('2025'!$Q94), 0, 1), 4, if(ISBLANK('2025'!$R94), 0, 1), 5, if(ISBLANK('2025'!$S94), 0, 1), 6, if(ISBLANK('2025'!$T94), 0, 1), 7, 0))), 1, "")</f>
        <v/>
      </c>
      <c r="AZ96" s="1" t="str">
        <f>IF(AND(AND(AND(AZ$4&gt;='2025'!$L94,AZ$4&lt;='2025'!$M94), AZ$4&lt;&gt;DATE(2025,7,4)), (SWITCH(weekday(AZ$4), 1, 0, 2, if(ISBLANK('2025'!$P94), 0, 1), 3, if(ISBLANK('2025'!$Q94), 0, 1), 4, if(ISBLANK('2025'!$R94), 0, 1), 5, if(ISBLANK('2025'!$S94), 0, 1), 6, if(ISBLANK('2025'!$T94), 0, 1), 7, 0))), 1, "")</f>
        <v/>
      </c>
      <c r="BA96" s="1" t="str">
        <f>IF(AND(AND(AND(BA$4&gt;='2025'!$L94,BA$4&lt;='2025'!$M94), BA$4&lt;&gt;DATE(2025,7,4)), (SWITCH(weekday(BA$4), 1, 0, 2, if(ISBLANK('2025'!$P94), 0, 1), 3, if(ISBLANK('2025'!$Q94), 0, 1), 4, if(ISBLANK('2025'!$R94), 0, 1), 5, if(ISBLANK('2025'!$S94), 0, 1), 6, if(ISBLANK('2025'!$T94), 0, 1), 7, 0))), 1, "")</f>
        <v/>
      </c>
      <c r="BB96" s="1" t="str">
        <f>IF(AND(AND(AND(BB$4&gt;='2025'!$L94,BB$4&lt;='2025'!$M94), BB$4&lt;&gt;DATE(2025,7,4)), (SWITCH(weekday(BB$4), 1, 0, 2, if(ISBLANK('2025'!$P94), 0, 1), 3, if(ISBLANK('2025'!$Q94), 0, 1), 4, if(ISBLANK('2025'!$R94), 0, 1), 5, if(ISBLANK('2025'!$S94), 0, 1), 6, if(ISBLANK('2025'!$T94), 0, 1), 7, 0))), 1, "")</f>
        <v/>
      </c>
      <c r="BC96" s="1" t="str">
        <f>IF(AND(AND(AND(BC$4&gt;='2025'!$L94,BC$4&lt;='2025'!$M94), BC$4&lt;&gt;DATE(2025,7,4)), (SWITCH(weekday(BC$4), 1, 0, 2, if(ISBLANK('2025'!$P94), 0, 1), 3, if(ISBLANK('2025'!$Q94), 0, 1), 4, if(ISBLANK('2025'!$R94), 0, 1), 5, if(ISBLANK('2025'!$S94), 0, 1), 6, if(ISBLANK('2025'!$T94), 0, 1), 7, 0))), 1, "")</f>
        <v/>
      </c>
      <c r="BD96" s="1" t="str">
        <f>IF(AND(AND(AND(BD$4&gt;='2025'!$L94,BD$4&lt;='2025'!$M94), BD$4&lt;&gt;DATE(2025,7,4)), (SWITCH(weekday(BD$4), 1, 0, 2, if(ISBLANK('2025'!$P94), 0, 1), 3, if(ISBLANK('2025'!$Q94), 0, 1), 4, if(ISBLANK('2025'!$R94), 0, 1), 5, if(ISBLANK('2025'!$S94), 0, 1), 6, if(ISBLANK('2025'!$T94), 0, 1), 7, 0))), 1, "")</f>
        <v/>
      </c>
      <c r="BE96" s="1" t="str">
        <f>IF(AND(AND(AND(BE$4&gt;='2025'!$L94,BE$4&lt;='2025'!$M94), BE$4&lt;&gt;DATE(2025,7,4)), (SWITCH(weekday(BE$4), 1, 0, 2, if(ISBLANK('2025'!$P94), 0, 1), 3, if(ISBLANK('2025'!$Q94), 0, 1), 4, if(ISBLANK('2025'!$R94), 0, 1), 5, if(ISBLANK('2025'!$S94), 0, 1), 6, if(ISBLANK('2025'!$T94), 0, 1), 7, 0))), 1, "")</f>
        <v/>
      </c>
      <c r="BF96" s="1" t="str">
        <f>IF(AND(AND(AND(BF$4&gt;='2025'!$L94,BF$4&lt;='2025'!$M94), BF$4&lt;&gt;DATE(2025,7,4)), (SWITCH(weekday(BF$4), 1, 0, 2, if(ISBLANK('2025'!$P94), 0, 1), 3, if(ISBLANK('2025'!$Q94), 0, 1), 4, if(ISBLANK('2025'!$R94), 0, 1), 5, if(ISBLANK('2025'!$S94), 0, 1), 6, if(ISBLANK('2025'!$T94), 0, 1), 7, 0))), 1, "")</f>
        <v/>
      </c>
      <c r="BG96" s="1"/>
      <c r="BH96" s="1"/>
      <c r="BI96" s="1"/>
      <c r="BJ96" s="1"/>
      <c r="BK96" s="1"/>
      <c r="BL96" s="1"/>
    </row>
    <row r="97">
      <c r="A97" s="1">
        <f t="shared" si="3"/>
        <v>97</v>
      </c>
      <c r="B97" s="1" t="str">
        <f>'2025'!D61</f>
        <v>, </v>
      </c>
      <c r="C97" s="1" t="str">
        <f>'2025'!H61</f>
        <v/>
      </c>
      <c r="D97" s="1" t="str">
        <f>IF(AND(AND(AND(D$4&gt;='2025'!$L95,D$4&lt;='2025'!$M95), D$4&lt;&gt;DATE(2025,7,4)), (SWITCH(weekday(D$4), 1, 0, 2, if(ISBLANK('2025'!$P95), 0, 1), 3, if(ISBLANK('2025'!$Q95), 0, 1), 4, if(ISBLANK('2025'!$R95), 0, 1), 5, if(ISBLANK('2025'!$S95), 0, 1), 6, if(ISBLANK('2025'!$T95), 0, 1), 7, 0))), 1, "")</f>
        <v/>
      </c>
      <c r="E97" s="1" t="str">
        <f>IF(AND(AND(AND(E$4&gt;='2025'!$L95,E$4&lt;='2025'!$M95), E$4&lt;&gt;DATE(2025,7,4)), (SWITCH(weekday(E$4), 1, 0, 2, if(ISBLANK('2025'!$P95), 0, 1), 3, if(ISBLANK('2025'!$Q95), 0, 1), 4, if(ISBLANK('2025'!$R95), 0, 1), 5, if(ISBLANK('2025'!$S95), 0, 1), 6, if(ISBLANK('2025'!$T95), 0, 1), 7, 0))), 1, "")</f>
        <v/>
      </c>
      <c r="F97" s="1" t="str">
        <f>IF(AND(AND(AND(F$4&gt;='2025'!$L95,F$4&lt;='2025'!$M95), F$4&lt;&gt;DATE(2025,7,4)), (SWITCH(weekday(F$4), 1, 0, 2, if(ISBLANK('2025'!$P95), 0, 1), 3, if(ISBLANK('2025'!$Q95), 0, 1), 4, if(ISBLANK('2025'!$R95), 0, 1), 5, if(ISBLANK('2025'!$S95), 0, 1), 6, if(ISBLANK('2025'!$T95), 0, 1), 7, 0))), 1, "")</f>
        <v/>
      </c>
      <c r="G97" s="1" t="str">
        <f>IF(AND(AND(AND(G$4&gt;='2025'!$L95,G$4&lt;='2025'!$M95), G$4&lt;&gt;DATE(2025,7,4)), (SWITCH(weekday(G$4), 1, 0, 2, if(ISBLANK('2025'!$P95), 0, 1), 3, if(ISBLANK('2025'!$Q95), 0, 1), 4, if(ISBLANK('2025'!$R95), 0, 1), 5, if(ISBLANK('2025'!$S95), 0, 1), 6, if(ISBLANK('2025'!$T95), 0, 1), 7, 0))), 1, "")</f>
        <v/>
      </c>
      <c r="H97" s="1" t="str">
        <f>IF(AND(AND(AND(H$4&gt;='2025'!$L95,H$4&lt;='2025'!$M95), H$4&lt;&gt;DATE(2025,7,4)), (SWITCH(weekday(H$4), 1, 0, 2, if(ISBLANK('2025'!$P95), 0, 1), 3, if(ISBLANK('2025'!$Q95), 0, 1), 4, if(ISBLANK('2025'!$R95), 0, 1), 5, if(ISBLANK('2025'!$S95), 0, 1), 6, if(ISBLANK('2025'!$T95), 0, 1), 7, 0))), 1, "")</f>
        <v/>
      </c>
      <c r="I97" s="1" t="str">
        <f>IF(AND(AND(AND(I$4&gt;='2025'!$L95,I$4&lt;='2025'!$M95), I$4&lt;&gt;DATE(2025,7,4)), (SWITCH(weekday(I$4), 1, 0, 2, if(ISBLANK('2025'!$P95), 0, 1), 3, if(ISBLANK('2025'!$Q95), 0, 1), 4, if(ISBLANK('2025'!$R95), 0, 1), 5, if(ISBLANK('2025'!$S95), 0, 1), 6, if(ISBLANK('2025'!$T95), 0, 1), 7, 0))), 1, "")</f>
        <v/>
      </c>
      <c r="J97" s="1" t="str">
        <f>IF(AND(AND(AND(J$4&gt;='2025'!$L95,J$4&lt;='2025'!$M95), J$4&lt;&gt;DATE(2025,7,4)), (SWITCH(weekday(J$4), 1, 0, 2, if(ISBLANK('2025'!$P95), 0, 1), 3, if(ISBLANK('2025'!$Q95), 0, 1), 4, if(ISBLANK('2025'!$R95), 0, 1), 5, if(ISBLANK('2025'!$S95), 0, 1), 6, if(ISBLANK('2025'!$T95), 0, 1), 7, 0))), 1, "")</f>
        <v/>
      </c>
      <c r="K97" s="1" t="str">
        <f>IF(AND(AND(AND(K$4&gt;='2025'!$L95,K$4&lt;='2025'!$M95), K$4&lt;&gt;DATE(2025,7,4)), (SWITCH(weekday(K$4), 1, 0, 2, if(ISBLANK('2025'!$P95), 0, 1), 3, if(ISBLANK('2025'!$Q95), 0, 1), 4, if(ISBLANK('2025'!$R95), 0, 1), 5, if(ISBLANK('2025'!$S95), 0, 1), 6, if(ISBLANK('2025'!$T95), 0, 1), 7, 0))), 1, "")</f>
        <v/>
      </c>
      <c r="L97" s="1" t="str">
        <f>IF(AND(AND(AND(L$4&gt;='2025'!$L95,L$4&lt;='2025'!$M95), L$4&lt;&gt;DATE(2025,7,4)), (SWITCH(weekday(L$4), 1, 0, 2, if(ISBLANK('2025'!$P95), 0, 1), 3, if(ISBLANK('2025'!$Q95), 0, 1), 4, if(ISBLANK('2025'!$R95), 0, 1), 5, if(ISBLANK('2025'!$S95), 0, 1), 6, if(ISBLANK('2025'!$T95), 0, 1), 7, 0))), 1, "")</f>
        <v/>
      </c>
      <c r="M97" s="1" t="str">
        <f>IF(AND(AND(AND(M$4&gt;='2025'!$L95,M$4&lt;='2025'!$M95), M$4&lt;&gt;DATE(2025,7,4)), (SWITCH(weekday(M$4), 1, 0, 2, if(ISBLANK('2025'!$P95), 0, 1), 3, if(ISBLANK('2025'!$Q95), 0, 1), 4, if(ISBLANK('2025'!$R95), 0, 1), 5, if(ISBLANK('2025'!$S95), 0, 1), 6, if(ISBLANK('2025'!$T95), 0, 1), 7, 0))), 1, "")</f>
        <v/>
      </c>
      <c r="N97" s="1" t="str">
        <f>IF(AND(AND(AND(N$4&gt;='2025'!$L95,N$4&lt;='2025'!$M95), N$4&lt;&gt;DATE(2025,7,4)), (SWITCH(weekday(N$4), 1, 0, 2, if(ISBLANK('2025'!$P95), 0, 1), 3, if(ISBLANK('2025'!$Q95), 0, 1), 4, if(ISBLANK('2025'!$R95), 0, 1), 5, if(ISBLANK('2025'!$S95), 0, 1), 6, if(ISBLANK('2025'!$T95), 0, 1), 7, 0))), 1, "")</f>
        <v/>
      </c>
      <c r="O97" s="1" t="str">
        <f>IF(AND(AND(AND(O$4&gt;='2025'!$L95,O$4&lt;='2025'!$M95), O$4&lt;&gt;DATE(2025,7,4)), (SWITCH(weekday(O$4), 1, 0, 2, if(ISBLANK('2025'!$P95), 0, 1), 3, if(ISBLANK('2025'!$Q95), 0, 1), 4, if(ISBLANK('2025'!$R95), 0, 1), 5, if(ISBLANK('2025'!$S95), 0, 1), 6, if(ISBLANK('2025'!$T95), 0, 1), 7, 0))), 1, "")</f>
        <v/>
      </c>
      <c r="P97" s="1" t="str">
        <f>IF(AND(AND(AND(P$4&gt;='2025'!$L95,P$4&lt;='2025'!$M95), P$4&lt;&gt;DATE(2025,7,4)), (SWITCH(weekday(P$4), 1, 0, 2, if(ISBLANK('2025'!$P95), 0, 1), 3, if(ISBLANK('2025'!$Q95), 0, 1), 4, if(ISBLANK('2025'!$R95), 0, 1), 5, if(ISBLANK('2025'!$S95), 0, 1), 6, if(ISBLANK('2025'!$T95), 0, 1), 7, 0))), 1, "")</f>
        <v/>
      </c>
      <c r="Q97" s="1" t="str">
        <f>IF(AND(AND(AND(Q$4&gt;='2025'!$L95,Q$4&lt;='2025'!$M95), Q$4&lt;&gt;DATE(2025,7,4)), (SWITCH(weekday(Q$4), 1, 0, 2, if(ISBLANK('2025'!$P95), 0, 1), 3, if(ISBLANK('2025'!$Q95), 0, 1), 4, if(ISBLANK('2025'!$R95), 0, 1), 5, if(ISBLANK('2025'!$S95), 0, 1), 6, if(ISBLANK('2025'!$T95), 0, 1), 7, 0))), 1, "")</f>
        <v/>
      </c>
      <c r="R97" s="1" t="str">
        <f>IF(AND(AND(AND(R$4&gt;='2025'!$L95,R$4&lt;='2025'!$M95), R$4&lt;&gt;DATE(2025,7,4)), (SWITCH(weekday(R$4), 1, 0, 2, if(ISBLANK('2025'!$P95), 0, 1), 3, if(ISBLANK('2025'!$Q95), 0, 1), 4, if(ISBLANK('2025'!$R95), 0, 1), 5, if(ISBLANK('2025'!$S95), 0, 1), 6, if(ISBLANK('2025'!$T95), 0, 1), 7, 0))), 1, "")</f>
        <v/>
      </c>
      <c r="S97" s="1" t="str">
        <f>IF(AND(AND(AND(S$4&gt;='2025'!$L95,S$4&lt;='2025'!$M95), S$4&lt;&gt;DATE(2025,7,4)), (SWITCH(weekday(S$4), 1, 0, 2, if(ISBLANK('2025'!$P95), 0, 1), 3, if(ISBLANK('2025'!$Q95), 0, 1), 4, if(ISBLANK('2025'!$R95), 0, 1), 5, if(ISBLANK('2025'!$S95), 0, 1), 6, if(ISBLANK('2025'!$T95), 0, 1), 7, 0))), 1, "")</f>
        <v/>
      </c>
      <c r="T97" s="1" t="str">
        <f>IF(AND(AND(AND(T$4&gt;='2025'!$L95,T$4&lt;='2025'!$M95), T$4&lt;&gt;DATE(2025,7,4)), (SWITCH(weekday(T$4), 1, 0, 2, if(ISBLANK('2025'!$P95), 0, 1), 3, if(ISBLANK('2025'!$Q95), 0, 1), 4, if(ISBLANK('2025'!$R95), 0, 1), 5, if(ISBLANK('2025'!$S95), 0, 1), 6, if(ISBLANK('2025'!$T95), 0, 1), 7, 0))), 1, "")</f>
        <v/>
      </c>
      <c r="U97" s="1" t="str">
        <f>IF(AND(AND(AND(U$4&gt;='2025'!$L95,U$4&lt;='2025'!$M95), U$4&lt;&gt;DATE(2025,7,4)), (SWITCH(weekday(U$4), 1, 0, 2, if(ISBLANK('2025'!$P95), 0, 1), 3, if(ISBLANK('2025'!$Q95), 0, 1), 4, if(ISBLANK('2025'!$R95), 0, 1), 5, if(ISBLANK('2025'!$S95), 0, 1), 6, if(ISBLANK('2025'!$T95), 0, 1), 7, 0))), 1, "")</f>
        <v/>
      </c>
      <c r="V97" s="1" t="str">
        <f>IF(AND(AND(AND(V$4&gt;='2025'!$L95,V$4&lt;='2025'!$M95), V$4&lt;&gt;DATE(2025,7,4)), (SWITCH(weekday(V$4), 1, 0, 2, if(ISBLANK('2025'!$P95), 0, 1), 3, if(ISBLANK('2025'!$Q95), 0, 1), 4, if(ISBLANK('2025'!$R95), 0, 1), 5, if(ISBLANK('2025'!$S95), 0, 1), 6, if(ISBLANK('2025'!$T95), 0, 1), 7, 0))), 1, "")</f>
        <v/>
      </c>
      <c r="W97" s="1" t="str">
        <f>IF(AND(AND(AND(W$4&gt;='2025'!$L95,W$4&lt;='2025'!$M95), W$4&lt;&gt;DATE(2025,7,4)), (SWITCH(weekday(W$4), 1, 0, 2, if(ISBLANK('2025'!$P95), 0, 1), 3, if(ISBLANK('2025'!$Q95), 0, 1), 4, if(ISBLANK('2025'!$R95), 0, 1), 5, if(ISBLANK('2025'!$S95), 0, 1), 6, if(ISBLANK('2025'!$T95), 0, 1), 7, 0))), 1, "")</f>
        <v/>
      </c>
      <c r="X97" s="1" t="str">
        <f>IF(AND(AND(AND(X$4&gt;='2025'!$L95,X$4&lt;='2025'!$M95), X$4&lt;&gt;DATE(2025,7,4)), (SWITCH(weekday(X$4), 1, 0, 2, if(ISBLANK('2025'!$P95), 0, 1), 3, if(ISBLANK('2025'!$Q95), 0, 1), 4, if(ISBLANK('2025'!$R95), 0, 1), 5, if(ISBLANK('2025'!$S95), 0, 1), 6, if(ISBLANK('2025'!$T95), 0, 1), 7, 0))), 1, "")</f>
        <v/>
      </c>
      <c r="Y97" s="1" t="str">
        <f>IF(AND(AND(AND(Y$4&gt;='2025'!$L95,Y$4&lt;='2025'!$M95), Y$4&lt;&gt;DATE(2025,7,4)), (SWITCH(weekday(Y$4), 1, 0, 2, if(ISBLANK('2025'!$P95), 0, 1), 3, if(ISBLANK('2025'!$Q95), 0, 1), 4, if(ISBLANK('2025'!$R95), 0, 1), 5, if(ISBLANK('2025'!$S95), 0, 1), 6, if(ISBLANK('2025'!$T95), 0, 1), 7, 0))), 1, "")</f>
        <v/>
      </c>
      <c r="Z97" s="1" t="str">
        <f>IF(AND(AND(AND(Z$4&gt;='2025'!$L95,Z$4&lt;='2025'!$M95), Z$4&lt;&gt;DATE(2025,7,4)), (SWITCH(weekday(Z$4), 1, 0, 2, if(ISBLANK('2025'!$P95), 0, 1), 3, if(ISBLANK('2025'!$Q95), 0, 1), 4, if(ISBLANK('2025'!$R95), 0, 1), 5, if(ISBLANK('2025'!$S95), 0, 1), 6, if(ISBLANK('2025'!$T95), 0, 1), 7, 0))), 1, "")</f>
        <v/>
      </c>
      <c r="AA97" s="1" t="str">
        <f>IF(AND(AND(AND(AA$4&gt;='2025'!$L95,AA$4&lt;='2025'!$M95), AA$4&lt;&gt;DATE(2025,7,4)), (SWITCH(weekday(AA$4), 1, 0, 2, if(ISBLANK('2025'!$P95), 0, 1), 3, if(ISBLANK('2025'!$Q95), 0, 1), 4, if(ISBLANK('2025'!$R95), 0, 1), 5, if(ISBLANK('2025'!$S95), 0, 1), 6, if(ISBLANK('2025'!$T95), 0, 1), 7, 0))), 1, "")</f>
        <v/>
      </c>
      <c r="AB97" s="1" t="str">
        <f>IF(AND(AND(AND(AB$4&gt;='2025'!$L95,AB$4&lt;='2025'!$M95), AB$4&lt;&gt;DATE(2025,7,4)), (SWITCH(weekday(AB$4), 1, 0, 2, if(ISBLANK('2025'!$P95), 0, 1), 3, if(ISBLANK('2025'!$Q95), 0, 1), 4, if(ISBLANK('2025'!$R95), 0, 1), 5, if(ISBLANK('2025'!$S95), 0, 1), 6, if(ISBLANK('2025'!$T95), 0, 1), 7, 0))), 1, "")</f>
        <v/>
      </c>
      <c r="AC97" s="1" t="str">
        <f>IF(AND(AND(AND(AC$4&gt;='2025'!$L95,AC$4&lt;='2025'!$M95), AC$4&lt;&gt;DATE(2025,7,4)), (SWITCH(weekday(AC$4), 1, 0, 2, if(ISBLANK('2025'!$P95), 0, 1), 3, if(ISBLANK('2025'!$Q95), 0, 1), 4, if(ISBLANK('2025'!$R95), 0, 1), 5, if(ISBLANK('2025'!$S95), 0, 1), 6, if(ISBLANK('2025'!$T95), 0, 1), 7, 0))), 1, "")</f>
        <v/>
      </c>
      <c r="AD97" s="1" t="str">
        <f>IF(AND(AND(AND(AD$4&gt;='2025'!$L95,AD$4&lt;='2025'!$M95), AD$4&lt;&gt;DATE(2025,7,4)), (SWITCH(weekday(AD$4), 1, 0, 2, if(ISBLANK('2025'!$P95), 0, 1), 3, if(ISBLANK('2025'!$Q95), 0, 1), 4, if(ISBLANK('2025'!$R95), 0, 1), 5, if(ISBLANK('2025'!$S95), 0, 1), 6, if(ISBLANK('2025'!$T95), 0, 1), 7, 0))), 1, "")</f>
        <v/>
      </c>
      <c r="AE97" s="1" t="str">
        <f>IF(AND(AND(AND(AE$4&gt;='2025'!$L95,AE$4&lt;='2025'!$M95), AE$4&lt;&gt;DATE(2025,7,4)), (SWITCH(weekday(AE$4), 1, 0, 2, if(ISBLANK('2025'!$P95), 0, 1), 3, if(ISBLANK('2025'!$Q95), 0, 1), 4, if(ISBLANK('2025'!$R95), 0, 1), 5, if(ISBLANK('2025'!$S95), 0, 1), 6, if(ISBLANK('2025'!$T95), 0, 1), 7, 0))), 1, "")</f>
        <v/>
      </c>
      <c r="AF97" s="1" t="str">
        <f>IF(AND(AND(AND(AF$4&gt;='2025'!$L95,AF$4&lt;='2025'!$M95), AF$4&lt;&gt;DATE(2025,7,4)), (SWITCH(weekday(AF$4), 1, 0, 2, if(ISBLANK('2025'!$P95), 0, 1), 3, if(ISBLANK('2025'!$Q95), 0, 1), 4, if(ISBLANK('2025'!$R95), 0, 1), 5, if(ISBLANK('2025'!$S95), 0, 1), 6, if(ISBLANK('2025'!$T95), 0, 1), 7, 0))), 1, "")</f>
        <v/>
      </c>
      <c r="AG97" s="1" t="str">
        <f>IF(AND(AND(AND(AG$4&gt;='2025'!$L95,AG$4&lt;='2025'!$M95), AG$4&lt;&gt;DATE(2025,7,4)), (SWITCH(weekday(AG$4), 1, 0, 2, if(ISBLANK('2025'!$P95), 0, 1), 3, if(ISBLANK('2025'!$Q95), 0, 1), 4, if(ISBLANK('2025'!$R95), 0, 1), 5, if(ISBLANK('2025'!$S95), 0, 1), 6, if(ISBLANK('2025'!$T95), 0, 1), 7, 0))), 1, "")</f>
        <v/>
      </c>
      <c r="AH97" s="1" t="str">
        <f>IF(AND(AND(AND(AH$4&gt;='2025'!$L95,AH$4&lt;='2025'!$M95), AH$4&lt;&gt;DATE(2025,7,4)), (SWITCH(weekday(AH$4), 1, 0, 2, if(ISBLANK('2025'!$P95), 0, 1), 3, if(ISBLANK('2025'!$Q95), 0, 1), 4, if(ISBLANK('2025'!$R95), 0, 1), 5, if(ISBLANK('2025'!$S95), 0, 1), 6, if(ISBLANK('2025'!$T95), 0, 1), 7, 0))), 1, "")</f>
        <v/>
      </c>
      <c r="AI97" s="1" t="str">
        <f>IF(AND(AND(AND(AI$4&gt;='2025'!$L95,AI$4&lt;='2025'!$M95), AI$4&lt;&gt;DATE(2025,7,4)), (SWITCH(weekday(AI$4), 1, 0, 2, if(ISBLANK('2025'!$P95), 0, 1), 3, if(ISBLANK('2025'!$Q95), 0, 1), 4, if(ISBLANK('2025'!$R95), 0, 1), 5, if(ISBLANK('2025'!$S95), 0, 1), 6, if(ISBLANK('2025'!$T95), 0, 1), 7, 0))), 1, "")</f>
        <v/>
      </c>
      <c r="AJ97" s="1" t="str">
        <f>IF(AND(AND(AND(AJ$4&gt;='2025'!$L95,AJ$4&lt;='2025'!$M95), AJ$4&lt;&gt;DATE(2025,7,4)), (SWITCH(weekday(AJ$4), 1, 0, 2, if(ISBLANK('2025'!$P95), 0, 1), 3, if(ISBLANK('2025'!$Q95), 0, 1), 4, if(ISBLANK('2025'!$R95), 0, 1), 5, if(ISBLANK('2025'!$S95), 0, 1), 6, if(ISBLANK('2025'!$T95), 0, 1), 7, 0))), 1, "")</f>
        <v/>
      </c>
      <c r="AK97" s="1" t="str">
        <f>IF(AND(AND(AND(AK$4&gt;='2025'!$L95,AK$4&lt;='2025'!$M95), AK$4&lt;&gt;DATE(2025,7,4)), (SWITCH(weekday(AK$4), 1, 0, 2, if(ISBLANK('2025'!$P95), 0, 1), 3, if(ISBLANK('2025'!$Q95), 0, 1), 4, if(ISBLANK('2025'!$R95), 0, 1), 5, if(ISBLANK('2025'!$S95), 0, 1), 6, if(ISBLANK('2025'!$T95), 0, 1), 7, 0))), 1, "")</f>
        <v/>
      </c>
      <c r="AL97" s="1" t="str">
        <f>IF(AND(AND(AND(AL$4&gt;='2025'!$L95,AL$4&lt;='2025'!$M95), AL$4&lt;&gt;DATE(2025,7,4)), (SWITCH(weekday(AL$4), 1, 0, 2, if(ISBLANK('2025'!$P95), 0, 1), 3, if(ISBLANK('2025'!$Q95), 0, 1), 4, if(ISBLANK('2025'!$R95), 0, 1), 5, if(ISBLANK('2025'!$S95), 0, 1), 6, if(ISBLANK('2025'!$T95), 0, 1), 7, 0))), 1, "")</f>
        <v/>
      </c>
      <c r="AM97" s="1" t="str">
        <f>IF(AND(AND(AND(AM$4&gt;='2025'!$L95,AM$4&lt;='2025'!$M95), AM$4&lt;&gt;DATE(2025,7,4)), (SWITCH(weekday(AM$4), 1, 0, 2, if(ISBLANK('2025'!$P95), 0, 1), 3, if(ISBLANK('2025'!$Q95), 0, 1), 4, if(ISBLANK('2025'!$R95), 0, 1), 5, if(ISBLANK('2025'!$S95), 0, 1), 6, if(ISBLANK('2025'!$T95), 0, 1), 7, 0))), 1, "")</f>
        <v/>
      </c>
      <c r="AN97" s="1" t="str">
        <f>IF(AND(AND(AND(AN$4&gt;='2025'!$L95,AN$4&lt;='2025'!$M95), AN$4&lt;&gt;DATE(2025,7,4)), (SWITCH(weekday(AN$4), 1, 0, 2, if(ISBLANK('2025'!$P95), 0, 1), 3, if(ISBLANK('2025'!$Q95), 0, 1), 4, if(ISBLANK('2025'!$R95), 0, 1), 5, if(ISBLANK('2025'!$S95), 0, 1), 6, if(ISBLANK('2025'!$T95), 0, 1), 7, 0))), 1, "")</f>
        <v/>
      </c>
      <c r="AO97" s="1" t="str">
        <f>IF(AND(AND(AND(AO$4&gt;='2025'!$L95,AO$4&lt;='2025'!$M95), AO$4&lt;&gt;DATE(2025,7,4)), (SWITCH(weekday(AO$4), 1, 0, 2, if(ISBLANK('2025'!$P95), 0, 1), 3, if(ISBLANK('2025'!$Q95), 0, 1), 4, if(ISBLANK('2025'!$R95), 0, 1), 5, if(ISBLANK('2025'!$S95), 0, 1), 6, if(ISBLANK('2025'!$T95), 0, 1), 7, 0))), 1, "")</f>
        <v/>
      </c>
      <c r="AP97" s="1" t="str">
        <f>IF(AND(AND(AND(AP$4&gt;='2025'!$L95,AP$4&lt;='2025'!$M95), AP$4&lt;&gt;DATE(2025,7,4)), (SWITCH(weekday(AP$4), 1, 0, 2, if(ISBLANK('2025'!$P95), 0, 1), 3, if(ISBLANK('2025'!$Q95), 0, 1), 4, if(ISBLANK('2025'!$R95), 0, 1), 5, if(ISBLANK('2025'!$S95), 0, 1), 6, if(ISBLANK('2025'!$T95), 0, 1), 7, 0))), 1, "")</f>
        <v/>
      </c>
      <c r="AQ97" s="1" t="str">
        <f>IF(AND(AND(AND(AQ$4&gt;='2025'!$L95,AQ$4&lt;='2025'!$M95), AQ$4&lt;&gt;DATE(2025,7,4)), (SWITCH(weekday(AQ$4), 1, 0, 2, if(ISBLANK('2025'!$P95), 0, 1), 3, if(ISBLANK('2025'!$Q95), 0, 1), 4, if(ISBLANK('2025'!$R95), 0, 1), 5, if(ISBLANK('2025'!$S95), 0, 1), 6, if(ISBLANK('2025'!$T95), 0, 1), 7, 0))), 1, "")</f>
        <v/>
      </c>
      <c r="AR97" s="1" t="str">
        <f>IF(AND(AND(AND(AR$4&gt;='2025'!$L95,AR$4&lt;='2025'!$M95), AR$4&lt;&gt;DATE(2025,7,4)), (SWITCH(weekday(AR$4), 1, 0, 2, if(ISBLANK('2025'!$P95), 0, 1), 3, if(ISBLANK('2025'!$Q95), 0, 1), 4, if(ISBLANK('2025'!$R95), 0, 1), 5, if(ISBLANK('2025'!$S95), 0, 1), 6, if(ISBLANK('2025'!$T95), 0, 1), 7, 0))), 1, "")</f>
        <v/>
      </c>
      <c r="AS97" s="1" t="str">
        <f>IF(AND(AND(AND(AS$4&gt;='2025'!$L95,AS$4&lt;='2025'!$M95), AS$4&lt;&gt;DATE(2025,7,4)), (SWITCH(weekday(AS$4), 1, 0, 2, if(ISBLANK('2025'!$P95), 0, 1), 3, if(ISBLANK('2025'!$Q95), 0, 1), 4, if(ISBLANK('2025'!$R95), 0, 1), 5, if(ISBLANK('2025'!$S95), 0, 1), 6, if(ISBLANK('2025'!$T95), 0, 1), 7, 0))), 1, "")</f>
        <v/>
      </c>
      <c r="AT97" s="1" t="str">
        <f>IF(AND(AND(AND(AT$4&gt;='2025'!$L95,AT$4&lt;='2025'!$M95), AT$4&lt;&gt;DATE(2025,7,4)), (SWITCH(weekday(AT$4), 1, 0, 2, if(ISBLANK('2025'!$P95), 0, 1), 3, if(ISBLANK('2025'!$Q95), 0, 1), 4, if(ISBLANK('2025'!$R95), 0, 1), 5, if(ISBLANK('2025'!$S95), 0, 1), 6, if(ISBLANK('2025'!$T95), 0, 1), 7, 0))), 1, "")</f>
        <v/>
      </c>
      <c r="AU97" s="1" t="str">
        <f>IF(AND(AND(AND(AU$4&gt;='2025'!$L95,AU$4&lt;='2025'!$M95), AU$4&lt;&gt;DATE(2025,7,4)), (SWITCH(weekday(AU$4), 1, 0, 2, if(ISBLANK('2025'!$P95), 0, 1), 3, if(ISBLANK('2025'!$Q95), 0, 1), 4, if(ISBLANK('2025'!$R95), 0, 1), 5, if(ISBLANK('2025'!$S95), 0, 1), 6, if(ISBLANK('2025'!$T95), 0, 1), 7, 0))), 1, "")</f>
        <v/>
      </c>
      <c r="AV97" s="1" t="str">
        <f>IF(AND(AND(AND(AV$4&gt;='2025'!$L95,AV$4&lt;='2025'!$M95), AV$4&lt;&gt;DATE(2025,7,4)), (SWITCH(weekday(AV$4), 1, 0, 2, if(ISBLANK('2025'!$P95), 0, 1), 3, if(ISBLANK('2025'!$Q95), 0, 1), 4, if(ISBLANK('2025'!$R95), 0, 1), 5, if(ISBLANK('2025'!$S95), 0, 1), 6, if(ISBLANK('2025'!$T95), 0, 1), 7, 0))), 1, "")</f>
        <v/>
      </c>
      <c r="AW97" s="1" t="str">
        <f>IF(AND(AND(AND(AW$4&gt;='2025'!$L95,AW$4&lt;='2025'!$M95), AW$4&lt;&gt;DATE(2025,7,4)), (SWITCH(weekday(AW$4), 1, 0, 2, if(ISBLANK('2025'!$P95), 0, 1), 3, if(ISBLANK('2025'!$Q95), 0, 1), 4, if(ISBLANK('2025'!$R95), 0, 1), 5, if(ISBLANK('2025'!$S95), 0, 1), 6, if(ISBLANK('2025'!$T95), 0, 1), 7, 0))), 1, "")</f>
        <v/>
      </c>
      <c r="AX97" s="1" t="str">
        <f>IF(AND(AND(AND(AX$4&gt;='2025'!$L95,AX$4&lt;='2025'!$M95), AX$4&lt;&gt;DATE(2025,7,4)), (SWITCH(weekday(AX$4), 1, 0, 2, if(ISBLANK('2025'!$P95), 0, 1), 3, if(ISBLANK('2025'!$Q95), 0, 1), 4, if(ISBLANK('2025'!$R95), 0, 1), 5, if(ISBLANK('2025'!$S95), 0, 1), 6, if(ISBLANK('2025'!$T95), 0, 1), 7, 0))), 1, "")</f>
        <v/>
      </c>
      <c r="AY97" s="1" t="str">
        <f>IF(AND(AND(AND(AY$4&gt;='2025'!$L95,AY$4&lt;='2025'!$M95), AY$4&lt;&gt;DATE(2025,7,4)), (SWITCH(weekday(AY$4), 1, 0, 2, if(ISBLANK('2025'!$P95), 0, 1), 3, if(ISBLANK('2025'!$Q95), 0, 1), 4, if(ISBLANK('2025'!$R95), 0, 1), 5, if(ISBLANK('2025'!$S95), 0, 1), 6, if(ISBLANK('2025'!$T95), 0, 1), 7, 0))), 1, "")</f>
        <v/>
      </c>
      <c r="AZ97" s="1" t="str">
        <f>IF(AND(AND(AND(AZ$4&gt;='2025'!$L95,AZ$4&lt;='2025'!$M95), AZ$4&lt;&gt;DATE(2025,7,4)), (SWITCH(weekday(AZ$4), 1, 0, 2, if(ISBLANK('2025'!$P95), 0, 1), 3, if(ISBLANK('2025'!$Q95), 0, 1), 4, if(ISBLANK('2025'!$R95), 0, 1), 5, if(ISBLANK('2025'!$S95), 0, 1), 6, if(ISBLANK('2025'!$T95), 0, 1), 7, 0))), 1, "")</f>
        <v/>
      </c>
      <c r="BA97" s="1" t="str">
        <f>IF(AND(AND(AND(BA$4&gt;='2025'!$L95,BA$4&lt;='2025'!$M95), BA$4&lt;&gt;DATE(2025,7,4)), (SWITCH(weekday(BA$4), 1, 0, 2, if(ISBLANK('2025'!$P95), 0, 1), 3, if(ISBLANK('2025'!$Q95), 0, 1), 4, if(ISBLANK('2025'!$R95), 0, 1), 5, if(ISBLANK('2025'!$S95), 0, 1), 6, if(ISBLANK('2025'!$T95), 0, 1), 7, 0))), 1, "")</f>
        <v/>
      </c>
      <c r="BB97" s="1" t="str">
        <f>IF(AND(AND(AND(BB$4&gt;='2025'!$L95,BB$4&lt;='2025'!$M95), BB$4&lt;&gt;DATE(2025,7,4)), (SWITCH(weekday(BB$4), 1, 0, 2, if(ISBLANK('2025'!$P95), 0, 1), 3, if(ISBLANK('2025'!$Q95), 0, 1), 4, if(ISBLANK('2025'!$R95), 0, 1), 5, if(ISBLANK('2025'!$S95), 0, 1), 6, if(ISBLANK('2025'!$T95), 0, 1), 7, 0))), 1, "")</f>
        <v/>
      </c>
      <c r="BC97" s="1" t="str">
        <f>IF(AND(AND(AND(BC$4&gt;='2025'!$L95,BC$4&lt;='2025'!$M95), BC$4&lt;&gt;DATE(2025,7,4)), (SWITCH(weekday(BC$4), 1, 0, 2, if(ISBLANK('2025'!$P95), 0, 1), 3, if(ISBLANK('2025'!$Q95), 0, 1), 4, if(ISBLANK('2025'!$R95), 0, 1), 5, if(ISBLANK('2025'!$S95), 0, 1), 6, if(ISBLANK('2025'!$T95), 0, 1), 7, 0))), 1, "")</f>
        <v/>
      </c>
      <c r="BD97" s="1" t="str">
        <f>IF(AND(AND(AND(BD$4&gt;='2025'!$L95,BD$4&lt;='2025'!$M95), BD$4&lt;&gt;DATE(2025,7,4)), (SWITCH(weekday(BD$4), 1, 0, 2, if(ISBLANK('2025'!$P95), 0, 1), 3, if(ISBLANK('2025'!$Q95), 0, 1), 4, if(ISBLANK('2025'!$R95), 0, 1), 5, if(ISBLANK('2025'!$S95), 0, 1), 6, if(ISBLANK('2025'!$T95), 0, 1), 7, 0))), 1, "")</f>
        <v/>
      </c>
      <c r="BE97" s="1" t="str">
        <f>IF(AND(AND(AND(BE$4&gt;='2025'!$L95,BE$4&lt;='2025'!$M95), BE$4&lt;&gt;DATE(2025,7,4)), (SWITCH(weekday(BE$4), 1, 0, 2, if(ISBLANK('2025'!$P95), 0, 1), 3, if(ISBLANK('2025'!$Q95), 0, 1), 4, if(ISBLANK('2025'!$R95), 0, 1), 5, if(ISBLANK('2025'!$S95), 0, 1), 6, if(ISBLANK('2025'!$T95), 0, 1), 7, 0))), 1, "")</f>
        <v/>
      </c>
      <c r="BF97" s="1" t="str">
        <f>IF(AND(AND(AND(BF$4&gt;='2025'!$L95,BF$4&lt;='2025'!$M95), BF$4&lt;&gt;DATE(2025,7,4)), (SWITCH(weekday(BF$4), 1, 0, 2, if(ISBLANK('2025'!$P95), 0, 1), 3, if(ISBLANK('2025'!$Q95), 0, 1), 4, if(ISBLANK('2025'!$R95), 0, 1), 5, if(ISBLANK('2025'!$S95), 0, 1), 6, if(ISBLANK('2025'!$T95), 0, 1), 7, 0))), 1, "")</f>
        <v/>
      </c>
      <c r="BG97" s="1"/>
      <c r="BH97" s="1"/>
      <c r="BI97" s="1"/>
      <c r="BJ97" s="1"/>
      <c r="BK97" s="1"/>
      <c r="BL97" s="1"/>
    </row>
    <row r="98">
      <c r="A98" s="1">
        <f t="shared" si="3"/>
        <v>98</v>
      </c>
      <c r="B98" s="1" t="str">
        <f>'2025'!D62</f>
        <v>, </v>
      </c>
      <c r="C98" s="1" t="str">
        <f>'2025'!H62</f>
        <v/>
      </c>
      <c r="D98" s="1" t="str">
        <f>IF(AND(AND(AND(D$4&gt;='2025'!$L96,D$4&lt;='2025'!$M96), D$4&lt;&gt;DATE(2025,7,4)), (SWITCH(weekday(D$4), 1, 0, 2, if(ISBLANK('2025'!$P96), 0, 1), 3, if(ISBLANK('2025'!$Q96), 0, 1), 4, if(ISBLANK('2025'!$R96), 0, 1), 5, if(ISBLANK('2025'!$S96), 0, 1), 6, if(ISBLANK('2025'!$T96), 0, 1), 7, 0))), 1, "")</f>
        <v/>
      </c>
      <c r="E98" s="1" t="str">
        <f>IF(AND(AND(AND(E$4&gt;='2025'!$L96,E$4&lt;='2025'!$M96), E$4&lt;&gt;DATE(2025,7,4)), (SWITCH(weekday(E$4), 1, 0, 2, if(ISBLANK('2025'!$P96), 0, 1), 3, if(ISBLANK('2025'!$Q96), 0, 1), 4, if(ISBLANK('2025'!$R96), 0, 1), 5, if(ISBLANK('2025'!$S96), 0, 1), 6, if(ISBLANK('2025'!$T96), 0, 1), 7, 0))), 1, "")</f>
        <v/>
      </c>
      <c r="F98" s="1" t="str">
        <f>IF(AND(AND(AND(F$4&gt;='2025'!$L96,F$4&lt;='2025'!$M96), F$4&lt;&gt;DATE(2025,7,4)), (SWITCH(weekday(F$4), 1, 0, 2, if(ISBLANK('2025'!$P96), 0, 1), 3, if(ISBLANK('2025'!$Q96), 0, 1), 4, if(ISBLANK('2025'!$R96), 0, 1), 5, if(ISBLANK('2025'!$S96), 0, 1), 6, if(ISBLANK('2025'!$T96), 0, 1), 7, 0))), 1, "")</f>
        <v/>
      </c>
      <c r="G98" s="1" t="str">
        <f>IF(AND(AND(AND(G$4&gt;='2025'!$L96,G$4&lt;='2025'!$M96), G$4&lt;&gt;DATE(2025,7,4)), (SWITCH(weekday(G$4), 1, 0, 2, if(ISBLANK('2025'!$P96), 0, 1), 3, if(ISBLANK('2025'!$Q96), 0, 1), 4, if(ISBLANK('2025'!$R96), 0, 1), 5, if(ISBLANK('2025'!$S96), 0, 1), 6, if(ISBLANK('2025'!$T96), 0, 1), 7, 0))), 1, "")</f>
        <v/>
      </c>
      <c r="H98" s="1" t="str">
        <f>IF(AND(AND(AND(H$4&gt;='2025'!$L96,H$4&lt;='2025'!$M96), H$4&lt;&gt;DATE(2025,7,4)), (SWITCH(weekday(H$4), 1, 0, 2, if(ISBLANK('2025'!$P96), 0, 1), 3, if(ISBLANK('2025'!$Q96), 0, 1), 4, if(ISBLANK('2025'!$R96), 0, 1), 5, if(ISBLANK('2025'!$S96), 0, 1), 6, if(ISBLANK('2025'!$T96), 0, 1), 7, 0))), 1, "")</f>
        <v/>
      </c>
      <c r="I98" s="1" t="str">
        <f>IF(AND(AND(AND(I$4&gt;='2025'!$L96,I$4&lt;='2025'!$M96), I$4&lt;&gt;DATE(2025,7,4)), (SWITCH(weekday(I$4), 1, 0, 2, if(ISBLANK('2025'!$P96), 0, 1), 3, if(ISBLANK('2025'!$Q96), 0, 1), 4, if(ISBLANK('2025'!$R96), 0, 1), 5, if(ISBLANK('2025'!$S96), 0, 1), 6, if(ISBLANK('2025'!$T96), 0, 1), 7, 0))), 1, "")</f>
        <v/>
      </c>
      <c r="J98" s="1" t="str">
        <f>IF(AND(AND(AND(J$4&gt;='2025'!$L96,J$4&lt;='2025'!$M96), J$4&lt;&gt;DATE(2025,7,4)), (SWITCH(weekday(J$4), 1, 0, 2, if(ISBLANK('2025'!$P96), 0, 1), 3, if(ISBLANK('2025'!$Q96), 0, 1), 4, if(ISBLANK('2025'!$R96), 0, 1), 5, if(ISBLANK('2025'!$S96), 0, 1), 6, if(ISBLANK('2025'!$T96), 0, 1), 7, 0))), 1, "")</f>
        <v/>
      </c>
      <c r="K98" s="1" t="str">
        <f>IF(AND(AND(AND(K$4&gt;='2025'!$L96,K$4&lt;='2025'!$M96), K$4&lt;&gt;DATE(2025,7,4)), (SWITCH(weekday(K$4), 1, 0, 2, if(ISBLANK('2025'!$P96), 0, 1), 3, if(ISBLANK('2025'!$Q96), 0, 1), 4, if(ISBLANK('2025'!$R96), 0, 1), 5, if(ISBLANK('2025'!$S96), 0, 1), 6, if(ISBLANK('2025'!$T96), 0, 1), 7, 0))), 1, "")</f>
        <v/>
      </c>
      <c r="L98" s="1" t="str">
        <f>IF(AND(AND(AND(L$4&gt;='2025'!$L96,L$4&lt;='2025'!$M96), L$4&lt;&gt;DATE(2025,7,4)), (SWITCH(weekday(L$4), 1, 0, 2, if(ISBLANK('2025'!$P96), 0, 1), 3, if(ISBLANK('2025'!$Q96), 0, 1), 4, if(ISBLANK('2025'!$R96), 0, 1), 5, if(ISBLANK('2025'!$S96), 0, 1), 6, if(ISBLANK('2025'!$T96), 0, 1), 7, 0))), 1, "")</f>
        <v/>
      </c>
      <c r="M98" s="1" t="str">
        <f>IF(AND(AND(AND(M$4&gt;='2025'!$L96,M$4&lt;='2025'!$M96), M$4&lt;&gt;DATE(2025,7,4)), (SWITCH(weekday(M$4), 1, 0, 2, if(ISBLANK('2025'!$P96), 0, 1), 3, if(ISBLANK('2025'!$Q96), 0, 1), 4, if(ISBLANK('2025'!$R96), 0, 1), 5, if(ISBLANK('2025'!$S96), 0, 1), 6, if(ISBLANK('2025'!$T96), 0, 1), 7, 0))), 1, "")</f>
        <v/>
      </c>
      <c r="N98" s="1" t="str">
        <f>IF(AND(AND(AND(N$4&gt;='2025'!$L96,N$4&lt;='2025'!$M96), N$4&lt;&gt;DATE(2025,7,4)), (SWITCH(weekday(N$4), 1, 0, 2, if(ISBLANK('2025'!$P96), 0, 1), 3, if(ISBLANK('2025'!$Q96), 0, 1), 4, if(ISBLANK('2025'!$R96), 0, 1), 5, if(ISBLANK('2025'!$S96), 0, 1), 6, if(ISBLANK('2025'!$T96), 0, 1), 7, 0))), 1, "")</f>
        <v/>
      </c>
      <c r="O98" s="1" t="str">
        <f>IF(AND(AND(AND(O$4&gt;='2025'!$L96,O$4&lt;='2025'!$M96), O$4&lt;&gt;DATE(2025,7,4)), (SWITCH(weekday(O$4), 1, 0, 2, if(ISBLANK('2025'!$P96), 0, 1), 3, if(ISBLANK('2025'!$Q96), 0, 1), 4, if(ISBLANK('2025'!$R96), 0, 1), 5, if(ISBLANK('2025'!$S96), 0, 1), 6, if(ISBLANK('2025'!$T96), 0, 1), 7, 0))), 1, "")</f>
        <v/>
      </c>
      <c r="P98" s="1" t="str">
        <f>IF(AND(AND(AND(P$4&gt;='2025'!$L96,P$4&lt;='2025'!$M96), P$4&lt;&gt;DATE(2025,7,4)), (SWITCH(weekday(P$4), 1, 0, 2, if(ISBLANK('2025'!$P96), 0, 1), 3, if(ISBLANK('2025'!$Q96), 0, 1), 4, if(ISBLANK('2025'!$R96), 0, 1), 5, if(ISBLANK('2025'!$S96), 0, 1), 6, if(ISBLANK('2025'!$T96), 0, 1), 7, 0))), 1, "")</f>
        <v/>
      </c>
      <c r="Q98" s="1" t="str">
        <f>IF(AND(AND(AND(Q$4&gt;='2025'!$L96,Q$4&lt;='2025'!$M96), Q$4&lt;&gt;DATE(2025,7,4)), (SWITCH(weekday(Q$4), 1, 0, 2, if(ISBLANK('2025'!$P96), 0, 1), 3, if(ISBLANK('2025'!$Q96), 0, 1), 4, if(ISBLANK('2025'!$R96), 0, 1), 5, if(ISBLANK('2025'!$S96), 0, 1), 6, if(ISBLANK('2025'!$T96), 0, 1), 7, 0))), 1, "")</f>
        <v/>
      </c>
      <c r="R98" s="1" t="str">
        <f>IF(AND(AND(AND(R$4&gt;='2025'!$L96,R$4&lt;='2025'!$M96), R$4&lt;&gt;DATE(2025,7,4)), (SWITCH(weekday(R$4), 1, 0, 2, if(ISBLANK('2025'!$P96), 0, 1), 3, if(ISBLANK('2025'!$Q96), 0, 1), 4, if(ISBLANK('2025'!$R96), 0, 1), 5, if(ISBLANK('2025'!$S96), 0, 1), 6, if(ISBLANK('2025'!$T96), 0, 1), 7, 0))), 1, "")</f>
        <v/>
      </c>
      <c r="S98" s="1" t="str">
        <f>IF(AND(AND(AND(S$4&gt;='2025'!$L96,S$4&lt;='2025'!$M96), S$4&lt;&gt;DATE(2025,7,4)), (SWITCH(weekday(S$4), 1, 0, 2, if(ISBLANK('2025'!$P96), 0, 1), 3, if(ISBLANK('2025'!$Q96), 0, 1), 4, if(ISBLANK('2025'!$R96), 0, 1), 5, if(ISBLANK('2025'!$S96), 0, 1), 6, if(ISBLANK('2025'!$T96), 0, 1), 7, 0))), 1, "")</f>
        <v/>
      </c>
      <c r="T98" s="1" t="str">
        <f>IF(AND(AND(AND(T$4&gt;='2025'!$L96,T$4&lt;='2025'!$M96), T$4&lt;&gt;DATE(2025,7,4)), (SWITCH(weekday(T$4), 1, 0, 2, if(ISBLANK('2025'!$P96), 0, 1), 3, if(ISBLANK('2025'!$Q96), 0, 1), 4, if(ISBLANK('2025'!$R96), 0, 1), 5, if(ISBLANK('2025'!$S96), 0, 1), 6, if(ISBLANK('2025'!$T96), 0, 1), 7, 0))), 1, "")</f>
        <v/>
      </c>
      <c r="U98" s="1" t="str">
        <f>IF(AND(AND(AND(U$4&gt;='2025'!$L96,U$4&lt;='2025'!$M96), U$4&lt;&gt;DATE(2025,7,4)), (SWITCH(weekday(U$4), 1, 0, 2, if(ISBLANK('2025'!$P96), 0, 1), 3, if(ISBLANK('2025'!$Q96), 0, 1), 4, if(ISBLANK('2025'!$R96), 0, 1), 5, if(ISBLANK('2025'!$S96), 0, 1), 6, if(ISBLANK('2025'!$T96), 0, 1), 7, 0))), 1, "")</f>
        <v/>
      </c>
      <c r="V98" s="1" t="str">
        <f>IF(AND(AND(AND(V$4&gt;='2025'!$L96,V$4&lt;='2025'!$M96), V$4&lt;&gt;DATE(2025,7,4)), (SWITCH(weekday(V$4), 1, 0, 2, if(ISBLANK('2025'!$P96), 0, 1), 3, if(ISBLANK('2025'!$Q96), 0, 1), 4, if(ISBLANK('2025'!$R96), 0, 1), 5, if(ISBLANK('2025'!$S96), 0, 1), 6, if(ISBLANK('2025'!$T96), 0, 1), 7, 0))), 1, "")</f>
        <v/>
      </c>
      <c r="W98" s="1" t="str">
        <f>IF(AND(AND(AND(W$4&gt;='2025'!$L96,W$4&lt;='2025'!$M96), W$4&lt;&gt;DATE(2025,7,4)), (SWITCH(weekday(W$4), 1, 0, 2, if(ISBLANK('2025'!$P96), 0, 1), 3, if(ISBLANK('2025'!$Q96), 0, 1), 4, if(ISBLANK('2025'!$R96), 0, 1), 5, if(ISBLANK('2025'!$S96), 0, 1), 6, if(ISBLANK('2025'!$T96), 0, 1), 7, 0))), 1, "")</f>
        <v/>
      </c>
      <c r="X98" s="1" t="str">
        <f>IF(AND(AND(AND(X$4&gt;='2025'!$L96,X$4&lt;='2025'!$M96), X$4&lt;&gt;DATE(2025,7,4)), (SWITCH(weekday(X$4), 1, 0, 2, if(ISBLANK('2025'!$P96), 0, 1), 3, if(ISBLANK('2025'!$Q96), 0, 1), 4, if(ISBLANK('2025'!$R96), 0, 1), 5, if(ISBLANK('2025'!$S96), 0, 1), 6, if(ISBLANK('2025'!$T96), 0, 1), 7, 0))), 1, "")</f>
        <v/>
      </c>
      <c r="Y98" s="1" t="str">
        <f>IF(AND(AND(AND(Y$4&gt;='2025'!$L96,Y$4&lt;='2025'!$M96), Y$4&lt;&gt;DATE(2025,7,4)), (SWITCH(weekday(Y$4), 1, 0, 2, if(ISBLANK('2025'!$P96), 0, 1), 3, if(ISBLANK('2025'!$Q96), 0, 1), 4, if(ISBLANK('2025'!$R96), 0, 1), 5, if(ISBLANK('2025'!$S96), 0, 1), 6, if(ISBLANK('2025'!$T96), 0, 1), 7, 0))), 1, "")</f>
        <v/>
      </c>
      <c r="Z98" s="1" t="str">
        <f>IF(AND(AND(AND(Z$4&gt;='2025'!$L96,Z$4&lt;='2025'!$M96), Z$4&lt;&gt;DATE(2025,7,4)), (SWITCH(weekday(Z$4), 1, 0, 2, if(ISBLANK('2025'!$P96), 0, 1), 3, if(ISBLANK('2025'!$Q96), 0, 1), 4, if(ISBLANK('2025'!$R96), 0, 1), 5, if(ISBLANK('2025'!$S96), 0, 1), 6, if(ISBLANK('2025'!$T96), 0, 1), 7, 0))), 1, "")</f>
        <v/>
      </c>
      <c r="AA98" s="1" t="str">
        <f>IF(AND(AND(AND(AA$4&gt;='2025'!$L96,AA$4&lt;='2025'!$M96), AA$4&lt;&gt;DATE(2025,7,4)), (SWITCH(weekday(AA$4), 1, 0, 2, if(ISBLANK('2025'!$P96), 0, 1), 3, if(ISBLANK('2025'!$Q96), 0, 1), 4, if(ISBLANK('2025'!$R96), 0, 1), 5, if(ISBLANK('2025'!$S96), 0, 1), 6, if(ISBLANK('2025'!$T96), 0, 1), 7, 0))), 1, "")</f>
        <v/>
      </c>
      <c r="AB98" s="1" t="str">
        <f>IF(AND(AND(AND(AB$4&gt;='2025'!$L96,AB$4&lt;='2025'!$M96), AB$4&lt;&gt;DATE(2025,7,4)), (SWITCH(weekday(AB$4), 1, 0, 2, if(ISBLANK('2025'!$P96), 0, 1), 3, if(ISBLANK('2025'!$Q96), 0, 1), 4, if(ISBLANK('2025'!$R96), 0, 1), 5, if(ISBLANK('2025'!$S96), 0, 1), 6, if(ISBLANK('2025'!$T96), 0, 1), 7, 0))), 1, "")</f>
        <v/>
      </c>
      <c r="AC98" s="1" t="str">
        <f>IF(AND(AND(AND(AC$4&gt;='2025'!$L96,AC$4&lt;='2025'!$M96), AC$4&lt;&gt;DATE(2025,7,4)), (SWITCH(weekday(AC$4), 1, 0, 2, if(ISBLANK('2025'!$P96), 0, 1), 3, if(ISBLANK('2025'!$Q96), 0, 1), 4, if(ISBLANK('2025'!$R96), 0, 1), 5, if(ISBLANK('2025'!$S96), 0, 1), 6, if(ISBLANK('2025'!$T96), 0, 1), 7, 0))), 1, "")</f>
        <v/>
      </c>
      <c r="AD98" s="1" t="str">
        <f>IF(AND(AND(AND(AD$4&gt;='2025'!$L96,AD$4&lt;='2025'!$M96), AD$4&lt;&gt;DATE(2025,7,4)), (SWITCH(weekday(AD$4), 1, 0, 2, if(ISBLANK('2025'!$P96), 0, 1), 3, if(ISBLANK('2025'!$Q96), 0, 1), 4, if(ISBLANK('2025'!$R96), 0, 1), 5, if(ISBLANK('2025'!$S96), 0, 1), 6, if(ISBLANK('2025'!$T96), 0, 1), 7, 0))), 1, "")</f>
        <v/>
      </c>
      <c r="AE98" s="1" t="str">
        <f>IF(AND(AND(AND(AE$4&gt;='2025'!$L96,AE$4&lt;='2025'!$M96), AE$4&lt;&gt;DATE(2025,7,4)), (SWITCH(weekday(AE$4), 1, 0, 2, if(ISBLANK('2025'!$P96), 0, 1), 3, if(ISBLANK('2025'!$Q96), 0, 1), 4, if(ISBLANK('2025'!$R96), 0, 1), 5, if(ISBLANK('2025'!$S96), 0, 1), 6, if(ISBLANK('2025'!$T96), 0, 1), 7, 0))), 1, "")</f>
        <v/>
      </c>
      <c r="AF98" s="1" t="str">
        <f>IF(AND(AND(AND(AF$4&gt;='2025'!$L96,AF$4&lt;='2025'!$M96), AF$4&lt;&gt;DATE(2025,7,4)), (SWITCH(weekday(AF$4), 1, 0, 2, if(ISBLANK('2025'!$P96), 0, 1), 3, if(ISBLANK('2025'!$Q96), 0, 1), 4, if(ISBLANK('2025'!$R96), 0, 1), 5, if(ISBLANK('2025'!$S96), 0, 1), 6, if(ISBLANK('2025'!$T96), 0, 1), 7, 0))), 1, "")</f>
        <v/>
      </c>
      <c r="AG98" s="1" t="str">
        <f>IF(AND(AND(AND(AG$4&gt;='2025'!$L96,AG$4&lt;='2025'!$M96), AG$4&lt;&gt;DATE(2025,7,4)), (SWITCH(weekday(AG$4), 1, 0, 2, if(ISBLANK('2025'!$P96), 0, 1), 3, if(ISBLANK('2025'!$Q96), 0, 1), 4, if(ISBLANK('2025'!$R96), 0, 1), 5, if(ISBLANK('2025'!$S96), 0, 1), 6, if(ISBLANK('2025'!$T96), 0, 1), 7, 0))), 1, "")</f>
        <v/>
      </c>
      <c r="AH98" s="1" t="str">
        <f>IF(AND(AND(AND(AH$4&gt;='2025'!$L96,AH$4&lt;='2025'!$M96), AH$4&lt;&gt;DATE(2025,7,4)), (SWITCH(weekday(AH$4), 1, 0, 2, if(ISBLANK('2025'!$P96), 0, 1), 3, if(ISBLANK('2025'!$Q96), 0, 1), 4, if(ISBLANK('2025'!$R96), 0, 1), 5, if(ISBLANK('2025'!$S96), 0, 1), 6, if(ISBLANK('2025'!$T96), 0, 1), 7, 0))), 1, "")</f>
        <v/>
      </c>
      <c r="AI98" s="1" t="str">
        <f>IF(AND(AND(AND(AI$4&gt;='2025'!$L96,AI$4&lt;='2025'!$M96), AI$4&lt;&gt;DATE(2025,7,4)), (SWITCH(weekday(AI$4), 1, 0, 2, if(ISBLANK('2025'!$P96), 0, 1), 3, if(ISBLANK('2025'!$Q96), 0, 1), 4, if(ISBLANK('2025'!$R96), 0, 1), 5, if(ISBLANK('2025'!$S96), 0, 1), 6, if(ISBLANK('2025'!$T96), 0, 1), 7, 0))), 1, "")</f>
        <v/>
      </c>
      <c r="AJ98" s="1" t="str">
        <f>IF(AND(AND(AND(AJ$4&gt;='2025'!$L96,AJ$4&lt;='2025'!$M96), AJ$4&lt;&gt;DATE(2025,7,4)), (SWITCH(weekday(AJ$4), 1, 0, 2, if(ISBLANK('2025'!$P96), 0, 1), 3, if(ISBLANK('2025'!$Q96), 0, 1), 4, if(ISBLANK('2025'!$R96), 0, 1), 5, if(ISBLANK('2025'!$S96), 0, 1), 6, if(ISBLANK('2025'!$T96), 0, 1), 7, 0))), 1, "")</f>
        <v/>
      </c>
      <c r="AK98" s="1" t="str">
        <f>IF(AND(AND(AND(AK$4&gt;='2025'!$L96,AK$4&lt;='2025'!$M96), AK$4&lt;&gt;DATE(2025,7,4)), (SWITCH(weekday(AK$4), 1, 0, 2, if(ISBLANK('2025'!$P96), 0, 1), 3, if(ISBLANK('2025'!$Q96), 0, 1), 4, if(ISBLANK('2025'!$R96), 0, 1), 5, if(ISBLANK('2025'!$S96), 0, 1), 6, if(ISBLANK('2025'!$T96), 0, 1), 7, 0))), 1, "")</f>
        <v/>
      </c>
      <c r="AL98" s="1" t="str">
        <f>IF(AND(AND(AND(AL$4&gt;='2025'!$L96,AL$4&lt;='2025'!$M96), AL$4&lt;&gt;DATE(2025,7,4)), (SWITCH(weekday(AL$4), 1, 0, 2, if(ISBLANK('2025'!$P96), 0, 1), 3, if(ISBLANK('2025'!$Q96), 0, 1), 4, if(ISBLANK('2025'!$R96), 0, 1), 5, if(ISBLANK('2025'!$S96), 0, 1), 6, if(ISBLANK('2025'!$T96), 0, 1), 7, 0))), 1, "")</f>
        <v/>
      </c>
      <c r="AM98" s="1" t="str">
        <f>IF(AND(AND(AND(AM$4&gt;='2025'!$L96,AM$4&lt;='2025'!$M96), AM$4&lt;&gt;DATE(2025,7,4)), (SWITCH(weekday(AM$4), 1, 0, 2, if(ISBLANK('2025'!$P96), 0, 1), 3, if(ISBLANK('2025'!$Q96), 0, 1), 4, if(ISBLANK('2025'!$R96), 0, 1), 5, if(ISBLANK('2025'!$S96), 0, 1), 6, if(ISBLANK('2025'!$T96), 0, 1), 7, 0))), 1, "")</f>
        <v/>
      </c>
      <c r="AN98" s="1" t="str">
        <f>IF(AND(AND(AND(AN$4&gt;='2025'!$L96,AN$4&lt;='2025'!$M96), AN$4&lt;&gt;DATE(2025,7,4)), (SWITCH(weekday(AN$4), 1, 0, 2, if(ISBLANK('2025'!$P96), 0, 1), 3, if(ISBLANK('2025'!$Q96), 0, 1), 4, if(ISBLANK('2025'!$R96), 0, 1), 5, if(ISBLANK('2025'!$S96), 0, 1), 6, if(ISBLANK('2025'!$T96), 0, 1), 7, 0))), 1, "")</f>
        <v/>
      </c>
      <c r="AO98" s="1" t="str">
        <f>IF(AND(AND(AND(AO$4&gt;='2025'!$L96,AO$4&lt;='2025'!$M96), AO$4&lt;&gt;DATE(2025,7,4)), (SWITCH(weekday(AO$4), 1, 0, 2, if(ISBLANK('2025'!$P96), 0, 1), 3, if(ISBLANK('2025'!$Q96), 0, 1), 4, if(ISBLANK('2025'!$R96), 0, 1), 5, if(ISBLANK('2025'!$S96), 0, 1), 6, if(ISBLANK('2025'!$T96), 0, 1), 7, 0))), 1, "")</f>
        <v/>
      </c>
      <c r="AP98" s="1" t="str">
        <f>IF(AND(AND(AND(AP$4&gt;='2025'!$L96,AP$4&lt;='2025'!$M96), AP$4&lt;&gt;DATE(2025,7,4)), (SWITCH(weekday(AP$4), 1, 0, 2, if(ISBLANK('2025'!$P96), 0, 1), 3, if(ISBLANK('2025'!$Q96), 0, 1), 4, if(ISBLANK('2025'!$R96), 0, 1), 5, if(ISBLANK('2025'!$S96), 0, 1), 6, if(ISBLANK('2025'!$T96), 0, 1), 7, 0))), 1, "")</f>
        <v/>
      </c>
      <c r="AQ98" s="1" t="str">
        <f>IF(AND(AND(AND(AQ$4&gt;='2025'!$L96,AQ$4&lt;='2025'!$M96), AQ$4&lt;&gt;DATE(2025,7,4)), (SWITCH(weekday(AQ$4), 1, 0, 2, if(ISBLANK('2025'!$P96), 0, 1), 3, if(ISBLANK('2025'!$Q96), 0, 1), 4, if(ISBLANK('2025'!$R96), 0, 1), 5, if(ISBLANK('2025'!$S96), 0, 1), 6, if(ISBLANK('2025'!$T96), 0, 1), 7, 0))), 1, "")</f>
        <v/>
      </c>
      <c r="AR98" s="1" t="str">
        <f>IF(AND(AND(AND(AR$4&gt;='2025'!$L96,AR$4&lt;='2025'!$M96), AR$4&lt;&gt;DATE(2025,7,4)), (SWITCH(weekday(AR$4), 1, 0, 2, if(ISBLANK('2025'!$P96), 0, 1), 3, if(ISBLANK('2025'!$Q96), 0, 1), 4, if(ISBLANK('2025'!$R96), 0, 1), 5, if(ISBLANK('2025'!$S96), 0, 1), 6, if(ISBLANK('2025'!$T96), 0, 1), 7, 0))), 1, "")</f>
        <v/>
      </c>
      <c r="AS98" s="1" t="str">
        <f>IF(AND(AND(AND(AS$4&gt;='2025'!$L96,AS$4&lt;='2025'!$M96), AS$4&lt;&gt;DATE(2025,7,4)), (SWITCH(weekday(AS$4), 1, 0, 2, if(ISBLANK('2025'!$P96), 0, 1), 3, if(ISBLANK('2025'!$Q96), 0, 1), 4, if(ISBLANK('2025'!$R96), 0, 1), 5, if(ISBLANK('2025'!$S96), 0, 1), 6, if(ISBLANK('2025'!$T96), 0, 1), 7, 0))), 1, "")</f>
        <v/>
      </c>
      <c r="AT98" s="1" t="str">
        <f>IF(AND(AND(AND(AT$4&gt;='2025'!$L96,AT$4&lt;='2025'!$M96), AT$4&lt;&gt;DATE(2025,7,4)), (SWITCH(weekday(AT$4), 1, 0, 2, if(ISBLANK('2025'!$P96), 0, 1), 3, if(ISBLANK('2025'!$Q96), 0, 1), 4, if(ISBLANK('2025'!$R96), 0, 1), 5, if(ISBLANK('2025'!$S96), 0, 1), 6, if(ISBLANK('2025'!$T96), 0, 1), 7, 0))), 1, "")</f>
        <v/>
      </c>
      <c r="AU98" s="1" t="str">
        <f>IF(AND(AND(AND(AU$4&gt;='2025'!$L96,AU$4&lt;='2025'!$M96), AU$4&lt;&gt;DATE(2025,7,4)), (SWITCH(weekday(AU$4), 1, 0, 2, if(ISBLANK('2025'!$P96), 0, 1), 3, if(ISBLANK('2025'!$Q96), 0, 1), 4, if(ISBLANK('2025'!$R96), 0, 1), 5, if(ISBLANK('2025'!$S96), 0, 1), 6, if(ISBLANK('2025'!$T96), 0, 1), 7, 0))), 1, "")</f>
        <v/>
      </c>
      <c r="AV98" s="1" t="str">
        <f>IF(AND(AND(AND(AV$4&gt;='2025'!$L96,AV$4&lt;='2025'!$M96), AV$4&lt;&gt;DATE(2025,7,4)), (SWITCH(weekday(AV$4), 1, 0, 2, if(ISBLANK('2025'!$P96), 0, 1), 3, if(ISBLANK('2025'!$Q96), 0, 1), 4, if(ISBLANK('2025'!$R96), 0, 1), 5, if(ISBLANK('2025'!$S96), 0, 1), 6, if(ISBLANK('2025'!$T96), 0, 1), 7, 0))), 1, "")</f>
        <v/>
      </c>
      <c r="AW98" s="1" t="str">
        <f>IF(AND(AND(AND(AW$4&gt;='2025'!$L96,AW$4&lt;='2025'!$M96), AW$4&lt;&gt;DATE(2025,7,4)), (SWITCH(weekday(AW$4), 1, 0, 2, if(ISBLANK('2025'!$P96), 0, 1), 3, if(ISBLANK('2025'!$Q96), 0, 1), 4, if(ISBLANK('2025'!$R96), 0, 1), 5, if(ISBLANK('2025'!$S96), 0, 1), 6, if(ISBLANK('2025'!$T96), 0, 1), 7, 0))), 1, "")</f>
        <v/>
      </c>
      <c r="AX98" s="1" t="str">
        <f>IF(AND(AND(AND(AX$4&gt;='2025'!$L96,AX$4&lt;='2025'!$M96), AX$4&lt;&gt;DATE(2025,7,4)), (SWITCH(weekday(AX$4), 1, 0, 2, if(ISBLANK('2025'!$P96), 0, 1), 3, if(ISBLANK('2025'!$Q96), 0, 1), 4, if(ISBLANK('2025'!$R96), 0, 1), 5, if(ISBLANK('2025'!$S96), 0, 1), 6, if(ISBLANK('2025'!$T96), 0, 1), 7, 0))), 1, "")</f>
        <v/>
      </c>
      <c r="AY98" s="1" t="str">
        <f>IF(AND(AND(AND(AY$4&gt;='2025'!$L96,AY$4&lt;='2025'!$M96), AY$4&lt;&gt;DATE(2025,7,4)), (SWITCH(weekday(AY$4), 1, 0, 2, if(ISBLANK('2025'!$P96), 0, 1), 3, if(ISBLANK('2025'!$Q96), 0, 1), 4, if(ISBLANK('2025'!$R96), 0, 1), 5, if(ISBLANK('2025'!$S96), 0, 1), 6, if(ISBLANK('2025'!$T96), 0, 1), 7, 0))), 1, "")</f>
        <v/>
      </c>
      <c r="AZ98" s="1" t="str">
        <f>IF(AND(AND(AND(AZ$4&gt;='2025'!$L96,AZ$4&lt;='2025'!$M96), AZ$4&lt;&gt;DATE(2025,7,4)), (SWITCH(weekday(AZ$4), 1, 0, 2, if(ISBLANK('2025'!$P96), 0, 1), 3, if(ISBLANK('2025'!$Q96), 0, 1), 4, if(ISBLANK('2025'!$R96), 0, 1), 5, if(ISBLANK('2025'!$S96), 0, 1), 6, if(ISBLANK('2025'!$T96), 0, 1), 7, 0))), 1, "")</f>
        <v/>
      </c>
      <c r="BA98" s="1" t="str">
        <f>IF(AND(AND(AND(BA$4&gt;='2025'!$L96,BA$4&lt;='2025'!$M96), BA$4&lt;&gt;DATE(2025,7,4)), (SWITCH(weekday(BA$4), 1, 0, 2, if(ISBLANK('2025'!$P96), 0, 1), 3, if(ISBLANK('2025'!$Q96), 0, 1), 4, if(ISBLANK('2025'!$R96), 0, 1), 5, if(ISBLANK('2025'!$S96), 0, 1), 6, if(ISBLANK('2025'!$T96), 0, 1), 7, 0))), 1, "")</f>
        <v/>
      </c>
      <c r="BB98" s="1" t="str">
        <f>IF(AND(AND(AND(BB$4&gt;='2025'!$L96,BB$4&lt;='2025'!$M96), BB$4&lt;&gt;DATE(2025,7,4)), (SWITCH(weekday(BB$4), 1, 0, 2, if(ISBLANK('2025'!$P96), 0, 1), 3, if(ISBLANK('2025'!$Q96), 0, 1), 4, if(ISBLANK('2025'!$R96), 0, 1), 5, if(ISBLANK('2025'!$S96), 0, 1), 6, if(ISBLANK('2025'!$T96), 0, 1), 7, 0))), 1, "")</f>
        <v/>
      </c>
      <c r="BC98" s="1" t="str">
        <f>IF(AND(AND(AND(BC$4&gt;='2025'!$L96,BC$4&lt;='2025'!$M96), BC$4&lt;&gt;DATE(2025,7,4)), (SWITCH(weekday(BC$4), 1, 0, 2, if(ISBLANK('2025'!$P96), 0, 1), 3, if(ISBLANK('2025'!$Q96), 0, 1), 4, if(ISBLANK('2025'!$R96), 0, 1), 5, if(ISBLANK('2025'!$S96), 0, 1), 6, if(ISBLANK('2025'!$T96), 0, 1), 7, 0))), 1, "")</f>
        <v/>
      </c>
      <c r="BD98" s="1" t="str">
        <f>IF(AND(AND(AND(BD$4&gt;='2025'!$L96,BD$4&lt;='2025'!$M96), BD$4&lt;&gt;DATE(2025,7,4)), (SWITCH(weekday(BD$4), 1, 0, 2, if(ISBLANK('2025'!$P96), 0, 1), 3, if(ISBLANK('2025'!$Q96), 0, 1), 4, if(ISBLANK('2025'!$R96), 0, 1), 5, if(ISBLANK('2025'!$S96), 0, 1), 6, if(ISBLANK('2025'!$T96), 0, 1), 7, 0))), 1, "")</f>
        <v/>
      </c>
      <c r="BE98" s="1" t="str">
        <f>IF(AND(AND(AND(BE$4&gt;='2025'!$L96,BE$4&lt;='2025'!$M96), BE$4&lt;&gt;DATE(2025,7,4)), (SWITCH(weekday(BE$4), 1, 0, 2, if(ISBLANK('2025'!$P96), 0, 1), 3, if(ISBLANK('2025'!$Q96), 0, 1), 4, if(ISBLANK('2025'!$R96), 0, 1), 5, if(ISBLANK('2025'!$S96), 0, 1), 6, if(ISBLANK('2025'!$T96), 0, 1), 7, 0))), 1, "")</f>
        <v/>
      </c>
      <c r="BF98" s="1" t="str">
        <f>IF(AND(AND(AND(BF$4&gt;='2025'!$L96,BF$4&lt;='2025'!$M96), BF$4&lt;&gt;DATE(2025,7,4)), (SWITCH(weekday(BF$4), 1, 0, 2, if(ISBLANK('2025'!$P96), 0, 1), 3, if(ISBLANK('2025'!$Q96), 0, 1), 4, if(ISBLANK('2025'!$R96), 0, 1), 5, if(ISBLANK('2025'!$S96), 0, 1), 6, if(ISBLANK('2025'!$T96), 0, 1), 7, 0))), 1, "")</f>
        <v/>
      </c>
      <c r="BG98" s="1"/>
      <c r="BH98" s="1"/>
      <c r="BI98" s="1"/>
      <c r="BJ98" s="1"/>
      <c r="BK98" s="1"/>
      <c r="BL98" s="1"/>
    </row>
    <row r="99">
      <c r="A99" s="1">
        <f t="shared" si="3"/>
        <v>99</v>
      </c>
      <c r="B99" s="1" t="str">
        <f>'2025'!D63</f>
        <v>, </v>
      </c>
      <c r="C99" s="1" t="str">
        <f>'2025'!H63</f>
        <v/>
      </c>
      <c r="D99" s="1" t="str">
        <f>IF(AND(AND(AND(D$4&gt;='2025'!$L97,D$4&lt;='2025'!$M97), D$4&lt;&gt;DATE(2025,7,4)), (SWITCH(weekday(D$4), 1, 0, 2, if(ISBLANK('2025'!$P97), 0, 1), 3, if(ISBLANK('2025'!$Q97), 0, 1), 4, if(ISBLANK('2025'!$R97), 0, 1), 5, if(ISBLANK('2025'!$S97), 0, 1), 6, if(ISBLANK('2025'!$T97), 0, 1), 7, 0))), 1, "")</f>
        <v/>
      </c>
      <c r="E99" s="1" t="str">
        <f>IF(AND(AND(AND(E$4&gt;='2025'!$L97,E$4&lt;='2025'!$M97), E$4&lt;&gt;DATE(2025,7,4)), (SWITCH(weekday(E$4), 1, 0, 2, if(ISBLANK('2025'!$P97), 0, 1), 3, if(ISBLANK('2025'!$Q97), 0, 1), 4, if(ISBLANK('2025'!$R97), 0, 1), 5, if(ISBLANK('2025'!$S97), 0, 1), 6, if(ISBLANK('2025'!$T97), 0, 1), 7, 0))), 1, "")</f>
        <v/>
      </c>
      <c r="F99" s="1" t="str">
        <f>IF(AND(AND(AND(F$4&gt;='2025'!$L97,F$4&lt;='2025'!$M97), F$4&lt;&gt;DATE(2025,7,4)), (SWITCH(weekday(F$4), 1, 0, 2, if(ISBLANK('2025'!$P97), 0, 1), 3, if(ISBLANK('2025'!$Q97), 0, 1), 4, if(ISBLANK('2025'!$R97), 0, 1), 5, if(ISBLANK('2025'!$S97), 0, 1), 6, if(ISBLANK('2025'!$T97), 0, 1), 7, 0))), 1, "")</f>
        <v/>
      </c>
      <c r="G99" s="1" t="str">
        <f>IF(AND(AND(AND(G$4&gt;='2025'!$L97,G$4&lt;='2025'!$M97), G$4&lt;&gt;DATE(2025,7,4)), (SWITCH(weekday(G$4), 1, 0, 2, if(ISBLANK('2025'!$P97), 0, 1), 3, if(ISBLANK('2025'!$Q97), 0, 1), 4, if(ISBLANK('2025'!$R97), 0, 1), 5, if(ISBLANK('2025'!$S97), 0, 1), 6, if(ISBLANK('2025'!$T97), 0, 1), 7, 0))), 1, "")</f>
        <v/>
      </c>
      <c r="H99" s="1" t="str">
        <f>IF(AND(AND(AND(H$4&gt;='2025'!$L97,H$4&lt;='2025'!$M97), H$4&lt;&gt;DATE(2025,7,4)), (SWITCH(weekday(H$4), 1, 0, 2, if(ISBLANK('2025'!$P97), 0, 1), 3, if(ISBLANK('2025'!$Q97), 0, 1), 4, if(ISBLANK('2025'!$R97), 0, 1), 5, if(ISBLANK('2025'!$S97), 0, 1), 6, if(ISBLANK('2025'!$T97), 0, 1), 7, 0))), 1, "")</f>
        <v/>
      </c>
      <c r="I99" s="1" t="str">
        <f>IF(AND(AND(AND(I$4&gt;='2025'!$L97,I$4&lt;='2025'!$M97), I$4&lt;&gt;DATE(2025,7,4)), (SWITCH(weekday(I$4), 1, 0, 2, if(ISBLANK('2025'!$P97), 0, 1), 3, if(ISBLANK('2025'!$Q97), 0, 1), 4, if(ISBLANK('2025'!$R97), 0, 1), 5, if(ISBLANK('2025'!$S97), 0, 1), 6, if(ISBLANK('2025'!$T97), 0, 1), 7, 0))), 1, "")</f>
        <v/>
      </c>
      <c r="J99" s="1" t="str">
        <f>IF(AND(AND(AND(J$4&gt;='2025'!$L97,J$4&lt;='2025'!$M97), J$4&lt;&gt;DATE(2025,7,4)), (SWITCH(weekday(J$4), 1, 0, 2, if(ISBLANK('2025'!$P97), 0, 1), 3, if(ISBLANK('2025'!$Q97), 0, 1), 4, if(ISBLANK('2025'!$R97), 0, 1), 5, if(ISBLANK('2025'!$S97), 0, 1), 6, if(ISBLANK('2025'!$T97), 0, 1), 7, 0))), 1, "")</f>
        <v/>
      </c>
      <c r="K99" s="1" t="str">
        <f>IF(AND(AND(AND(K$4&gt;='2025'!$L97,K$4&lt;='2025'!$M97), K$4&lt;&gt;DATE(2025,7,4)), (SWITCH(weekday(K$4), 1, 0, 2, if(ISBLANK('2025'!$P97), 0, 1), 3, if(ISBLANK('2025'!$Q97), 0, 1), 4, if(ISBLANK('2025'!$R97), 0, 1), 5, if(ISBLANK('2025'!$S97), 0, 1), 6, if(ISBLANK('2025'!$T97), 0, 1), 7, 0))), 1, "")</f>
        <v/>
      </c>
      <c r="L99" s="1" t="str">
        <f>IF(AND(AND(AND(L$4&gt;='2025'!$L97,L$4&lt;='2025'!$M97), L$4&lt;&gt;DATE(2025,7,4)), (SWITCH(weekday(L$4), 1, 0, 2, if(ISBLANK('2025'!$P97), 0, 1), 3, if(ISBLANK('2025'!$Q97), 0, 1), 4, if(ISBLANK('2025'!$R97), 0, 1), 5, if(ISBLANK('2025'!$S97), 0, 1), 6, if(ISBLANK('2025'!$T97), 0, 1), 7, 0))), 1, "")</f>
        <v/>
      </c>
      <c r="M99" s="1" t="str">
        <f>IF(AND(AND(AND(M$4&gt;='2025'!$L97,M$4&lt;='2025'!$M97), M$4&lt;&gt;DATE(2025,7,4)), (SWITCH(weekday(M$4), 1, 0, 2, if(ISBLANK('2025'!$P97), 0, 1), 3, if(ISBLANK('2025'!$Q97), 0, 1), 4, if(ISBLANK('2025'!$R97), 0, 1), 5, if(ISBLANK('2025'!$S97), 0, 1), 6, if(ISBLANK('2025'!$T97), 0, 1), 7, 0))), 1, "")</f>
        <v/>
      </c>
      <c r="N99" s="1" t="str">
        <f>IF(AND(AND(AND(N$4&gt;='2025'!$L97,N$4&lt;='2025'!$M97), N$4&lt;&gt;DATE(2025,7,4)), (SWITCH(weekday(N$4), 1, 0, 2, if(ISBLANK('2025'!$P97), 0, 1), 3, if(ISBLANK('2025'!$Q97), 0, 1), 4, if(ISBLANK('2025'!$R97), 0, 1), 5, if(ISBLANK('2025'!$S97), 0, 1), 6, if(ISBLANK('2025'!$T97), 0, 1), 7, 0))), 1, "")</f>
        <v/>
      </c>
      <c r="O99" s="1" t="str">
        <f>IF(AND(AND(AND(O$4&gt;='2025'!$L97,O$4&lt;='2025'!$M97), O$4&lt;&gt;DATE(2025,7,4)), (SWITCH(weekday(O$4), 1, 0, 2, if(ISBLANK('2025'!$P97), 0, 1), 3, if(ISBLANK('2025'!$Q97), 0, 1), 4, if(ISBLANK('2025'!$R97), 0, 1), 5, if(ISBLANK('2025'!$S97), 0, 1), 6, if(ISBLANK('2025'!$T97), 0, 1), 7, 0))), 1, "")</f>
        <v/>
      </c>
      <c r="P99" s="1" t="str">
        <f>IF(AND(AND(AND(P$4&gt;='2025'!$L97,P$4&lt;='2025'!$M97), P$4&lt;&gt;DATE(2025,7,4)), (SWITCH(weekday(P$4), 1, 0, 2, if(ISBLANK('2025'!$P97), 0, 1), 3, if(ISBLANK('2025'!$Q97), 0, 1), 4, if(ISBLANK('2025'!$R97), 0, 1), 5, if(ISBLANK('2025'!$S97), 0, 1), 6, if(ISBLANK('2025'!$T97), 0, 1), 7, 0))), 1, "")</f>
        <v/>
      </c>
      <c r="Q99" s="1" t="str">
        <f>IF(AND(AND(AND(Q$4&gt;='2025'!$L97,Q$4&lt;='2025'!$M97), Q$4&lt;&gt;DATE(2025,7,4)), (SWITCH(weekday(Q$4), 1, 0, 2, if(ISBLANK('2025'!$P97), 0, 1), 3, if(ISBLANK('2025'!$Q97), 0, 1), 4, if(ISBLANK('2025'!$R97), 0, 1), 5, if(ISBLANK('2025'!$S97), 0, 1), 6, if(ISBLANK('2025'!$T97), 0, 1), 7, 0))), 1, "")</f>
        <v/>
      </c>
      <c r="R99" s="1" t="str">
        <f>IF(AND(AND(AND(R$4&gt;='2025'!$L97,R$4&lt;='2025'!$M97), R$4&lt;&gt;DATE(2025,7,4)), (SWITCH(weekday(R$4), 1, 0, 2, if(ISBLANK('2025'!$P97), 0, 1), 3, if(ISBLANK('2025'!$Q97), 0, 1), 4, if(ISBLANK('2025'!$R97), 0, 1), 5, if(ISBLANK('2025'!$S97), 0, 1), 6, if(ISBLANK('2025'!$T97), 0, 1), 7, 0))), 1, "")</f>
        <v/>
      </c>
      <c r="S99" s="1" t="str">
        <f>IF(AND(AND(AND(S$4&gt;='2025'!$L97,S$4&lt;='2025'!$M97), S$4&lt;&gt;DATE(2025,7,4)), (SWITCH(weekday(S$4), 1, 0, 2, if(ISBLANK('2025'!$P97), 0, 1), 3, if(ISBLANK('2025'!$Q97), 0, 1), 4, if(ISBLANK('2025'!$R97), 0, 1), 5, if(ISBLANK('2025'!$S97), 0, 1), 6, if(ISBLANK('2025'!$T97), 0, 1), 7, 0))), 1, "")</f>
        <v/>
      </c>
      <c r="T99" s="1" t="str">
        <f>IF(AND(AND(AND(T$4&gt;='2025'!$L97,T$4&lt;='2025'!$M97), T$4&lt;&gt;DATE(2025,7,4)), (SWITCH(weekday(T$4), 1, 0, 2, if(ISBLANK('2025'!$P97), 0, 1), 3, if(ISBLANK('2025'!$Q97), 0, 1), 4, if(ISBLANK('2025'!$R97), 0, 1), 5, if(ISBLANK('2025'!$S97), 0, 1), 6, if(ISBLANK('2025'!$T97), 0, 1), 7, 0))), 1, "")</f>
        <v/>
      </c>
      <c r="U99" s="1" t="str">
        <f>IF(AND(AND(AND(U$4&gt;='2025'!$L97,U$4&lt;='2025'!$M97), U$4&lt;&gt;DATE(2025,7,4)), (SWITCH(weekday(U$4), 1, 0, 2, if(ISBLANK('2025'!$P97), 0, 1), 3, if(ISBLANK('2025'!$Q97), 0, 1), 4, if(ISBLANK('2025'!$R97), 0, 1), 5, if(ISBLANK('2025'!$S97), 0, 1), 6, if(ISBLANK('2025'!$T97), 0, 1), 7, 0))), 1, "")</f>
        <v/>
      </c>
      <c r="V99" s="1" t="str">
        <f>IF(AND(AND(AND(V$4&gt;='2025'!$L97,V$4&lt;='2025'!$M97), V$4&lt;&gt;DATE(2025,7,4)), (SWITCH(weekday(V$4), 1, 0, 2, if(ISBLANK('2025'!$P97), 0, 1), 3, if(ISBLANK('2025'!$Q97), 0, 1), 4, if(ISBLANK('2025'!$R97), 0, 1), 5, if(ISBLANK('2025'!$S97), 0, 1), 6, if(ISBLANK('2025'!$T97), 0, 1), 7, 0))), 1, "")</f>
        <v/>
      </c>
      <c r="W99" s="1" t="str">
        <f>IF(AND(AND(AND(W$4&gt;='2025'!$L97,W$4&lt;='2025'!$M97), W$4&lt;&gt;DATE(2025,7,4)), (SWITCH(weekday(W$4), 1, 0, 2, if(ISBLANK('2025'!$P97), 0, 1), 3, if(ISBLANK('2025'!$Q97), 0, 1), 4, if(ISBLANK('2025'!$R97), 0, 1), 5, if(ISBLANK('2025'!$S97), 0, 1), 6, if(ISBLANK('2025'!$T97), 0, 1), 7, 0))), 1, "")</f>
        <v/>
      </c>
      <c r="X99" s="1" t="str">
        <f>IF(AND(AND(AND(X$4&gt;='2025'!$L97,X$4&lt;='2025'!$M97), X$4&lt;&gt;DATE(2025,7,4)), (SWITCH(weekday(X$4), 1, 0, 2, if(ISBLANK('2025'!$P97), 0, 1), 3, if(ISBLANK('2025'!$Q97), 0, 1), 4, if(ISBLANK('2025'!$R97), 0, 1), 5, if(ISBLANK('2025'!$S97), 0, 1), 6, if(ISBLANK('2025'!$T97), 0, 1), 7, 0))), 1, "")</f>
        <v/>
      </c>
      <c r="Y99" s="1" t="str">
        <f>IF(AND(AND(AND(Y$4&gt;='2025'!$L97,Y$4&lt;='2025'!$M97), Y$4&lt;&gt;DATE(2025,7,4)), (SWITCH(weekday(Y$4), 1, 0, 2, if(ISBLANK('2025'!$P97), 0, 1), 3, if(ISBLANK('2025'!$Q97), 0, 1), 4, if(ISBLANK('2025'!$R97), 0, 1), 5, if(ISBLANK('2025'!$S97), 0, 1), 6, if(ISBLANK('2025'!$T97), 0, 1), 7, 0))), 1, "")</f>
        <v/>
      </c>
      <c r="Z99" s="1" t="str">
        <f>IF(AND(AND(AND(Z$4&gt;='2025'!$L97,Z$4&lt;='2025'!$M97), Z$4&lt;&gt;DATE(2025,7,4)), (SWITCH(weekday(Z$4), 1, 0, 2, if(ISBLANK('2025'!$P97), 0, 1), 3, if(ISBLANK('2025'!$Q97), 0, 1), 4, if(ISBLANK('2025'!$R97), 0, 1), 5, if(ISBLANK('2025'!$S97), 0, 1), 6, if(ISBLANK('2025'!$T97), 0, 1), 7, 0))), 1, "")</f>
        <v/>
      </c>
      <c r="AA99" s="1" t="str">
        <f>IF(AND(AND(AND(AA$4&gt;='2025'!$L97,AA$4&lt;='2025'!$M97), AA$4&lt;&gt;DATE(2025,7,4)), (SWITCH(weekday(AA$4), 1, 0, 2, if(ISBLANK('2025'!$P97), 0, 1), 3, if(ISBLANK('2025'!$Q97), 0, 1), 4, if(ISBLANK('2025'!$R97), 0, 1), 5, if(ISBLANK('2025'!$S97), 0, 1), 6, if(ISBLANK('2025'!$T97), 0, 1), 7, 0))), 1, "")</f>
        <v/>
      </c>
      <c r="AB99" s="1" t="str">
        <f>IF(AND(AND(AND(AB$4&gt;='2025'!$L97,AB$4&lt;='2025'!$M97), AB$4&lt;&gt;DATE(2025,7,4)), (SWITCH(weekday(AB$4), 1, 0, 2, if(ISBLANK('2025'!$P97), 0, 1), 3, if(ISBLANK('2025'!$Q97), 0, 1), 4, if(ISBLANK('2025'!$R97), 0, 1), 5, if(ISBLANK('2025'!$S97), 0, 1), 6, if(ISBLANK('2025'!$T97), 0, 1), 7, 0))), 1, "")</f>
        <v/>
      </c>
      <c r="AC99" s="1" t="str">
        <f>IF(AND(AND(AND(AC$4&gt;='2025'!$L97,AC$4&lt;='2025'!$M97), AC$4&lt;&gt;DATE(2025,7,4)), (SWITCH(weekday(AC$4), 1, 0, 2, if(ISBLANK('2025'!$P97), 0, 1), 3, if(ISBLANK('2025'!$Q97), 0, 1), 4, if(ISBLANK('2025'!$R97), 0, 1), 5, if(ISBLANK('2025'!$S97), 0, 1), 6, if(ISBLANK('2025'!$T97), 0, 1), 7, 0))), 1, "")</f>
        <v/>
      </c>
      <c r="AD99" s="1" t="str">
        <f>IF(AND(AND(AND(AD$4&gt;='2025'!$L97,AD$4&lt;='2025'!$M97), AD$4&lt;&gt;DATE(2025,7,4)), (SWITCH(weekday(AD$4), 1, 0, 2, if(ISBLANK('2025'!$P97), 0, 1), 3, if(ISBLANK('2025'!$Q97), 0, 1), 4, if(ISBLANK('2025'!$R97), 0, 1), 5, if(ISBLANK('2025'!$S97), 0, 1), 6, if(ISBLANK('2025'!$T97), 0, 1), 7, 0))), 1, "")</f>
        <v/>
      </c>
      <c r="AE99" s="1" t="str">
        <f>IF(AND(AND(AND(AE$4&gt;='2025'!$L97,AE$4&lt;='2025'!$M97), AE$4&lt;&gt;DATE(2025,7,4)), (SWITCH(weekday(AE$4), 1, 0, 2, if(ISBLANK('2025'!$P97), 0, 1), 3, if(ISBLANK('2025'!$Q97), 0, 1), 4, if(ISBLANK('2025'!$R97), 0, 1), 5, if(ISBLANK('2025'!$S97), 0, 1), 6, if(ISBLANK('2025'!$T97), 0, 1), 7, 0))), 1, "")</f>
        <v/>
      </c>
      <c r="AF99" s="1" t="str">
        <f>IF(AND(AND(AND(AF$4&gt;='2025'!$L97,AF$4&lt;='2025'!$M97), AF$4&lt;&gt;DATE(2025,7,4)), (SWITCH(weekday(AF$4), 1, 0, 2, if(ISBLANK('2025'!$P97), 0, 1), 3, if(ISBLANK('2025'!$Q97), 0, 1), 4, if(ISBLANK('2025'!$R97), 0, 1), 5, if(ISBLANK('2025'!$S97), 0, 1), 6, if(ISBLANK('2025'!$T97), 0, 1), 7, 0))), 1, "")</f>
        <v/>
      </c>
      <c r="AG99" s="1" t="str">
        <f>IF(AND(AND(AND(AG$4&gt;='2025'!$L97,AG$4&lt;='2025'!$M97), AG$4&lt;&gt;DATE(2025,7,4)), (SWITCH(weekday(AG$4), 1, 0, 2, if(ISBLANK('2025'!$P97), 0, 1), 3, if(ISBLANK('2025'!$Q97), 0, 1), 4, if(ISBLANK('2025'!$R97), 0, 1), 5, if(ISBLANK('2025'!$S97), 0, 1), 6, if(ISBLANK('2025'!$T97), 0, 1), 7, 0))), 1, "")</f>
        <v/>
      </c>
      <c r="AH99" s="1" t="str">
        <f>IF(AND(AND(AND(AH$4&gt;='2025'!$L97,AH$4&lt;='2025'!$M97), AH$4&lt;&gt;DATE(2025,7,4)), (SWITCH(weekday(AH$4), 1, 0, 2, if(ISBLANK('2025'!$P97), 0, 1), 3, if(ISBLANK('2025'!$Q97), 0, 1), 4, if(ISBLANK('2025'!$R97), 0, 1), 5, if(ISBLANK('2025'!$S97), 0, 1), 6, if(ISBLANK('2025'!$T97), 0, 1), 7, 0))), 1, "")</f>
        <v/>
      </c>
      <c r="AI99" s="1" t="str">
        <f>IF(AND(AND(AND(AI$4&gt;='2025'!$L97,AI$4&lt;='2025'!$M97), AI$4&lt;&gt;DATE(2025,7,4)), (SWITCH(weekday(AI$4), 1, 0, 2, if(ISBLANK('2025'!$P97), 0, 1), 3, if(ISBLANK('2025'!$Q97), 0, 1), 4, if(ISBLANK('2025'!$R97), 0, 1), 5, if(ISBLANK('2025'!$S97), 0, 1), 6, if(ISBLANK('2025'!$T97), 0, 1), 7, 0))), 1, "")</f>
        <v/>
      </c>
      <c r="AJ99" s="1" t="str">
        <f>IF(AND(AND(AND(AJ$4&gt;='2025'!$L97,AJ$4&lt;='2025'!$M97), AJ$4&lt;&gt;DATE(2025,7,4)), (SWITCH(weekday(AJ$4), 1, 0, 2, if(ISBLANK('2025'!$P97), 0, 1), 3, if(ISBLANK('2025'!$Q97), 0, 1), 4, if(ISBLANK('2025'!$R97), 0, 1), 5, if(ISBLANK('2025'!$S97), 0, 1), 6, if(ISBLANK('2025'!$T97), 0, 1), 7, 0))), 1, "")</f>
        <v/>
      </c>
      <c r="AK99" s="1" t="str">
        <f>IF(AND(AND(AND(AK$4&gt;='2025'!$L97,AK$4&lt;='2025'!$M97), AK$4&lt;&gt;DATE(2025,7,4)), (SWITCH(weekday(AK$4), 1, 0, 2, if(ISBLANK('2025'!$P97), 0, 1), 3, if(ISBLANK('2025'!$Q97), 0, 1), 4, if(ISBLANK('2025'!$R97), 0, 1), 5, if(ISBLANK('2025'!$S97), 0, 1), 6, if(ISBLANK('2025'!$T97), 0, 1), 7, 0))), 1, "")</f>
        <v/>
      </c>
      <c r="AL99" s="1" t="str">
        <f>IF(AND(AND(AND(AL$4&gt;='2025'!$L97,AL$4&lt;='2025'!$M97), AL$4&lt;&gt;DATE(2025,7,4)), (SWITCH(weekday(AL$4), 1, 0, 2, if(ISBLANK('2025'!$P97), 0, 1), 3, if(ISBLANK('2025'!$Q97), 0, 1), 4, if(ISBLANK('2025'!$R97), 0, 1), 5, if(ISBLANK('2025'!$S97), 0, 1), 6, if(ISBLANK('2025'!$T97), 0, 1), 7, 0))), 1, "")</f>
        <v/>
      </c>
      <c r="AM99" s="1" t="str">
        <f>IF(AND(AND(AND(AM$4&gt;='2025'!$L97,AM$4&lt;='2025'!$M97), AM$4&lt;&gt;DATE(2025,7,4)), (SWITCH(weekday(AM$4), 1, 0, 2, if(ISBLANK('2025'!$P97), 0, 1), 3, if(ISBLANK('2025'!$Q97), 0, 1), 4, if(ISBLANK('2025'!$R97), 0, 1), 5, if(ISBLANK('2025'!$S97), 0, 1), 6, if(ISBLANK('2025'!$T97), 0, 1), 7, 0))), 1, "")</f>
        <v/>
      </c>
      <c r="AN99" s="1" t="str">
        <f>IF(AND(AND(AND(AN$4&gt;='2025'!$L97,AN$4&lt;='2025'!$M97), AN$4&lt;&gt;DATE(2025,7,4)), (SWITCH(weekday(AN$4), 1, 0, 2, if(ISBLANK('2025'!$P97), 0, 1), 3, if(ISBLANK('2025'!$Q97), 0, 1), 4, if(ISBLANK('2025'!$R97), 0, 1), 5, if(ISBLANK('2025'!$S97), 0, 1), 6, if(ISBLANK('2025'!$T97), 0, 1), 7, 0))), 1, "")</f>
        <v/>
      </c>
      <c r="AO99" s="1" t="str">
        <f>IF(AND(AND(AND(AO$4&gt;='2025'!$L97,AO$4&lt;='2025'!$M97), AO$4&lt;&gt;DATE(2025,7,4)), (SWITCH(weekday(AO$4), 1, 0, 2, if(ISBLANK('2025'!$P97), 0, 1), 3, if(ISBLANK('2025'!$Q97), 0, 1), 4, if(ISBLANK('2025'!$R97), 0, 1), 5, if(ISBLANK('2025'!$S97), 0, 1), 6, if(ISBLANK('2025'!$T97), 0, 1), 7, 0))), 1, "")</f>
        <v/>
      </c>
      <c r="AP99" s="1" t="str">
        <f>IF(AND(AND(AND(AP$4&gt;='2025'!$L97,AP$4&lt;='2025'!$M97), AP$4&lt;&gt;DATE(2025,7,4)), (SWITCH(weekday(AP$4), 1, 0, 2, if(ISBLANK('2025'!$P97), 0, 1), 3, if(ISBLANK('2025'!$Q97), 0, 1), 4, if(ISBLANK('2025'!$R97), 0, 1), 5, if(ISBLANK('2025'!$S97), 0, 1), 6, if(ISBLANK('2025'!$T97), 0, 1), 7, 0))), 1, "")</f>
        <v/>
      </c>
      <c r="AQ99" s="1" t="str">
        <f>IF(AND(AND(AND(AQ$4&gt;='2025'!$L97,AQ$4&lt;='2025'!$M97), AQ$4&lt;&gt;DATE(2025,7,4)), (SWITCH(weekday(AQ$4), 1, 0, 2, if(ISBLANK('2025'!$P97), 0, 1), 3, if(ISBLANK('2025'!$Q97), 0, 1), 4, if(ISBLANK('2025'!$R97), 0, 1), 5, if(ISBLANK('2025'!$S97), 0, 1), 6, if(ISBLANK('2025'!$T97), 0, 1), 7, 0))), 1, "")</f>
        <v/>
      </c>
      <c r="AR99" s="1" t="str">
        <f>IF(AND(AND(AND(AR$4&gt;='2025'!$L97,AR$4&lt;='2025'!$M97), AR$4&lt;&gt;DATE(2025,7,4)), (SWITCH(weekday(AR$4), 1, 0, 2, if(ISBLANK('2025'!$P97), 0, 1), 3, if(ISBLANK('2025'!$Q97), 0, 1), 4, if(ISBLANK('2025'!$R97), 0, 1), 5, if(ISBLANK('2025'!$S97), 0, 1), 6, if(ISBLANK('2025'!$T97), 0, 1), 7, 0))), 1, "")</f>
        <v/>
      </c>
      <c r="AS99" s="1" t="str">
        <f>IF(AND(AND(AND(AS$4&gt;='2025'!$L97,AS$4&lt;='2025'!$M97), AS$4&lt;&gt;DATE(2025,7,4)), (SWITCH(weekday(AS$4), 1, 0, 2, if(ISBLANK('2025'!$P97), 0, 1), 3, if(ISBLANK('2025'!$Q97), 0, 1), 4, if(ISBLANK('2025'!$R97), 0, 1), 5, if(ISBLANK('2025'!$S97), 0, 1), 6, if(ISBLANK('2025'!$T97), 0, 1), 7, 0))), 1, "")</f>
        <v/>
      </c>
      <c r="AT99" s="1" t="str">
        <f>IF(AND(AND(AND(AT$4&gt;='2025'!$L97,AT$4&lt;='2025'!$M97), AT$4&lt;&gt;DATE(2025,7,4)), (SWITCH(weekday(AT$4), 1, 0, 2, if(ISBLANK('2025'!$P97), 0, 1), 3, if(ISBLANK('2025'!$Q97), 0, 1), 4, if(ISBLANK('2025'!$R97), 0, 1), 5, if(ISBLANK('2025'!$S97), 0, 1), 6, if(ISBLANK('2025'!$T97), 0, 1), 7, 0))), 1, "")</f>
        <v/>
      </c>
      <c r="AU99" s="1" t="str">
        <f>IF(AND(AND(AND(AU$4&gt;='2025'!$L97,AU$4&lt;='2025'!$M97), AU$4&lt;&gt;DATE(2025,7,4)), (SWITCH(weekday(AU$4), 1, 0, 2, if(ISBLANK('2025'!$P97), 0, 1), 3, if(ISBLANK('2025'!$Q97), 0, 1), 4, if(ISBLANK('2025'!$R97), 0, 1), 5, if(ISBLANK('2025'!$S97), 0, 1), 6, if(ISBLANK('2025'!$T97), 0, 1), 7, 0))), 1, "")</f>
        <v/>
      </c>
      <c r="AV99" s="1" t="str">
        <f>IF(AND(AND(AND(AV$4&gt;='2025'!$L97,AV$4&lt;='2025'!$M97), AV$4&lt;&gt;DATE(2025,7,4)), (SWITCH(weekday(AV$4), 1, 0, 2, if(ISBLANK('2025'!$P97), 0, 1), 3, if(ISBLANK('2025'!$Q97), 0, 1), 4, if(ISBLANK('2025'!$R97), 0, 1), 5, if(ISBLANK('2025'!$S97), 0, 1), 6, if(ISBLANK('2025'!$T97), 0, 1), 7, 0))), 1, "")</f>
        <v/>
      </c>
      <c r="AW99" s="1" t="str">
        <f>IF(AND(AND(AND(AW$4&gt;='2025'!$L97,AW$4&lt;='2025'!$M97), AW$4&lt;&gt;DATE(2025,7,4)), (SWITCH(weekday(AW$4), 1, 0, 2, if(ISBLANK('2025'!$P97), 0, 1), 3, if(ISBLANK('2025'!$Q97), 0, 1), 4, if(ISBLANK('2025'!$R97), 0, 1), 5, if(ISBLANK('2025'!$S97), 0, 1), 6, if(ISBLANK('2025'!$T97), 0, 1), 7, 0))), 1, "")</f>
        <v/>
      </c>
      <c r="AX99" s="1" t="str">
        <f>IF(AND(AND(AND(AX$4&gt;='2025'!$L97,AX$4&lt;='2025'!$M97), AX$4&lt;&gt;DATE(2025,7,4)), (SWITCH(weekday(AX$4), 1, 0, 2, if(ISBLANK('2025'!$P97), 0, 1), 3, if(ISBLANK('2025'!$Q97), 0, 1), 4, if(ISBLANK('2025'!$R97), 0, 1), 5, if(ISBLANK('2025'!$S97), 0, 1), 6, if(ISBLANK('2025'!$T97), 0, 1), 7, 0))), 1, "")</f>
        <v/>
      </c>
      <c r="AY99" s="1" t="str">
        <f>IF(AND(AND(AND(AY$4&gt;='2025'!$L97,AY$4&lt;='2025'!$M97), AY$4&lt;&gt;DATE(2025,7,4)), (SWITCH(weekday(AY$4), 1, 0, 2, if(ISBLANK('2025'!$P97), 0, 1), 3, if(ISBLANK('2025'!$Q97), 0, 1), 4, if(ISBLANK('2025'!$R97), 0, 1), 5, if(ISBLANK('2025'!$S97), 0, 1), 6, if(ISBLANK('2025'!$T97), 0, 1), 7, 0))), 1, "")</f>
        <v/>
      </c>
      <c r="AZ99" s="1" t="str">
        <f>IF(AND(AND(AND(AZ$4&gt;='2025'!$L97,AZ$4&lt;='2025'!$M97), AZ$4&lt;&gt;DATE(2025,7,4)), (SWITCH(weekday(AZ$4), 1, 0, 2, if(ISBLANK('2025'!$P97), 0, 1), 3, if(ISBLANK('2025'!$Q97), 0, 1), 4, if(ISBLANK('2025'!$R97), 0, 1), 5, if(ISBLANK('2025'!$S97), 0, 1), 6, if(ISBLANK('2025'!$T97), 0, 1), 7, 0))), 1, "")</f>
        <v/>
      </c>
      <c r="BA99" s="1" t="str">
        <f>IF(AND(AND(AND(BA$4&gt;='2025'!$L97,BA$4&lt;='2025'!$M97), BA$4&lt;&gt;DATE(2025,7,4)), (SWITCH(weekday(BA$4), 1, 0, 2, if(ISBLANK('2025'!$P97), 0, 1), 3, if(ISBLANK('2025'!$Q97), 0, 1), 4, if(ISBLANK('2025'!$R97), 0, 1), 5, if(ISBLANK('2025'!$S97), 0, 1), 6, if(ISBLANK('2025'!$T97), 0, 1), 7, 0))), 1, "")</f>
        <v/>
      </c>
      <c r="BB99" s="1" t="str">
        <f>IF(AND(AND(AND(BB$4&gt;='2025'!$L97,BB$4&lt;='2025'!$M97), BB$4&lt;&gt;DATE(2025,7,4)), (SWITCH(weekday(BB$4), 1, 0, 2, if(ISBLANK('2025'!$P97), 0, 1), 3, if(ISBLANK('2025'!$Q97), 0, 1), 4, if(ISBLANK('2025'!$R97), 0, 1), 5, if(ISBLANK('2025'!$S97), 0, 1), 6, if(ISBLANK('2025'!$T97), 0, 1), 7, 0))), 1, "")</f>
        <v/>
      </c>
      <c r="BC99" s="1" t="str">
        <f>IF(AND(AND(AND(BC$4&gt;='2025'!$L97,BC$4&lt;='2025'!$M97), BC$4&lt;&gt;DATE(2025,7,4)), (SWITCH(weekday(BC$4), 1, 0, 2, if(ISBLANK('2025'!$P97), 0, 1), 3, if(ISBLANK('2025'!$Q97), 0, 1), 4, if(ISBLANK('2025'!$R97), 0, 1), 5, if(ISBLANK('2025'!$S97), 0, 1), 6, if(ISBLANK('2025'!$T97), 0, 1), 7, 0))), 1, "")</f>
        <v/>
      </c>
      <c r="BD99" s="1" t="str">
        <f>IF(AND(AND(AND(BD$4&gt;='2025'!$L97,BD$4&lt;='2025'!$M97), BD$4&lt;&gt;DATE(2025,7,4)), (SWITCH(weekday(BD$4), 1, 0, 2, if(ISBLANK('2025'!$P97), 0, 1), 3, if(ISBLANK('2025'!$Q97), 0, 1), 4, if(ISBLANK('2025'!$R97), 0, 1), 5, if(ISBLANK('2025'!$S97), 0, 1), 6, if(ISBLANK('2025'!$T97), 0, 1), 7, 0))), 1, "")</f>
        <v/>
      </c>
      <c r="BE99" s="1" t="str">
        <f>IF(AND(AND(AND(BE$4&gt;='2025'!$L97,BE$4&lt;='2025'!$M97), BE$4&lt;&gt;DATE(2025,7,4)), (SWITCH(weekday(BE$4), 1, 0, 2, if(ISBLANK('2025'!$P97), 0, 1), 3, if(ISBLANK('2025'!$Q97), 0, 1), 4, if(ISBLANK('2025'!$R97), 0, 1), 5, if(ISBLANK('2025'!$S97), 0, 1), 6, if(ISBLANK('2025'!$T97), 0, 1), 7, 0))), 1, "")</f>
        <v/>
      </c>
      <c r="BF99" s="1" t="str">
        <f>IF(AND(AND(AND(BF$4&gt;='2025'!$L97,BF$4&lt;='2025'!$M97), BF$4&lt;&gt;DATE(2025,7,4)), (SWITCH(weekday(BF$4), 1, 0, 2, if(ISBLANK('2025'!$P97), 0, 1), 3, if(ISBLANK('2025'!$Q97), 0, 1), 4, if(ISBLANK('2025'!$R97), 0, 1), 5, if(ISBLANK('2025'!$S97), 0, 1), 6, if(ISBLANK('2025'!$T97), 0, 1), 7, 0))), 1, "")</f>
        <v/>
      </c>
      <c r="BG99" s="1"/>
      <c r="BH99" s="1"/>
      <c r="BI99" s="1"/>
      <c r="BJ99" s="1"/>
      <c r="BK99" s="1"/>
      <c r="BL99" s="1"/>
    </row>
    <row r="100">
      <c r="A100" s="1">
        <f t="shared" si="3"/>
        <v>100</v>
      </c>
      <c r="B100" s="1" t="str">
        <f>'2025'!D64</f>
        <v>, </v>
      </c>
      <c r="C100" s="1" t="str">
        <f>'2025'!H64</f>
        <v/>
      </c>
      <c r="D100" s="1" t="str">
        <f>IF(AND(AND(AND(D$4&gt;='2025'!$L98,D$4&lt;='2025'!$M98), D$4&lt;&gt;DATE(2025,7,4)), (SWITCH(weekday(D$4), 1, 0, 2, if(ISBLANK('2025'!$P98), 0, 1), 3, if(ISBLANK('2025'!$Q98), 0, 1), 4, if(ISBLANK('2025'!$R98), 0, 1), 5, if(ISBLANK('2025'!$S98), 0, 1), 6, if(ISBLANK('2025'!$T98), 0, 1), 7, 0))), 1, "")</f>
        <v/>
      </c>
      <c r="E100" s="1" t="str">
        <f>IF(AND(AND(AND(E$4&gt;='2025'!$L98,E$4&lt;='2025'!$M98), E$4&lt;&gt;DATE(2025,7,4)), (SWITCH(weekday(E$4), 1, 0, 2, if(ISBLANK('2025'!$P98), 0, 1), 3, if(ISBLANK('2025'!$Q98), 0, 1), 4, if(ISBLANK('2025'!$R98), 0, 1), 5, if(ISBLANK('2025'!$S98), 0, 1), 6, if(ISBLANK('2025'!$T98), 0, 1), 7, 0))), 1, "")</f>
        <v/>
      </c>
      <c r="F100" s="1" t="str">
        <f>IF(AND(AND(AND(F$4&gt;='2025'!$L98,F$4&lt;='2025'!$M98), F$4&lt;&gt;DATE(2025,7,4)), (SWITCH(weekday(F$4), 1, 0, 2, if(ISBLANK('2025'!$P98), 0, 1), 3, if(ISBLANK('2025'!$Q98), 0, 1), 4, if(ISBLANK('2025'!$R98), 0, 1), 5, if(ISBLANK('2025'!$S98), 0, 1), 6, if(ISBLANK('2025'!$T98), 0, 1), 7, 0))), 1, "")</f>
        <v/>
      </c>
      <c r="G100" s="1" t="str">
        <f>IF(AND(AND(AND(G$4&gt;='2025'!$L98,G$4&lt;='2025'!$M98), G$4&lt;&gt;DATE(2025,7,4)), (SWITCH(weekday(G$4), 1, 0, 2, if(ISBLANK('2025'!$P98), 0, 1), 3, if(ISBLANK('2025'!$Q98), 0, 1), 4, if(ISBLANK('2025'!$R98), 0, 1), 5, if(ISBLANK('2025'!$S98), 0, 1), 6, if(ISBLANK('2025'!$T98), 0, 1), 7, 0))), 1, "")</f>
        <v/>
      </c>
      <c r="H100" s="1" t="str">
        <f>IF(AND(AND(AND(H$4&gt;='2025'!$L98,H$4&lt;='2025'!$M98), H$4&lt;&gt;DATE(2025,7,4)), (SWITCH(weekday(H$4), 1, 0, 2, if(ISBLANK('2025'!$P98), 0, 1), 3, if(ISBLANK('2025'!$Q98), 0, 1), 4, if(ISBLANK('2025'!$R98), 0, 1), 5, if(ISBLANK('2025'!$S98), 0, 1), 6, if(ISBLANK('2025'!$T98), 0, 1), 7, 0))), 1, "")</f>
        <v/>
      </c>
      <c r="I100" s="1" t="str">
        <f>IF(AND(AND(AND(I$4&gt;='2025'!$L98,I$4&lt;='2025'!$M98), I$4&lt;&gt;DATE(2025,7,4)), (SWITCH(weekday(I$4), 1, 0, 2, if(ISBLANK('2025'!$P98), 0, 1), 3, if(ISBLANK('2025'!$Q98), 0, 1), 4, if(ISBLANK('2025'!$R98), 0, 1), 5, if(ISBLANK('2025'!$S98), 0, 1), 6, if(ISBLANK('2025'!$T98), 0, 1), 7, 0))), 1, "")</f>
        <v/>
      </c>
      <c r="J100" s="1" t="str">
        <f>IF(AND(AND(AND(J$4&gt;='2025'!$L98,J$4&lt;='2025'!$M98), J$4&lt;&gt;DATE(2025,7,4)), (SWITCH(weekday(J$4), 1, 0, 2, if(ISBLANK('2025'!$P98), 0, 1), 3, if(ISBLANK('2025'!$Q98), 0, 1), 4, if(ISBLANK('2025'!$R98), 0, 1), 5, if(ISBLANK('2025'!$S98), 0, 1), 6, if(ISBLANK('2025'!$T98), 0, 1), 7, 0))), 1, "")</f>
        <v/>
      </c>
      <c r="K100" s="1" t="str">
        <f>IF(AND(AND(AND(K$4&gt;='2025'!$L98,K$4&lt;='2025'!$M98), K$4&lt;&gt;DATE(2025,7,4)), (SWITCH(weekday(K$4), 1, 0, 2, if(ISBLANK('2025'!$P98), 0, 1), 3, if(ISBLANK('2025'!$Q98), 0, 1), 4, if(ISBLANK('2025'!$R98), 0, 1), 5, if(ISBLANK('2025'!$S98), 0, 1), 6, if(ISBLANK('2025'!$T98), 0, 1), 7, 0))), 1, "")</f>
        <v/>
      </c>
      <c r="L100" s="1" t="str">
        <f>IF(AND(AND(AND(L$4&gt;='2025'!$L98,L$4&lt;='2025'!$M98), L$4&lt;&gt;DATE(2025,7,4)), (SWITCH(weekday(L$4), 1, 0, 2, if(ISBLANK('2025'!$P98), 0, 1), 3, if(ISBLANK('2025'!$Q98), 0, 1), 4, if(ISBLANK('2025'!$R98), 0, 1), 5, if(ISBLANK('2025'!$S98), 0, 1), 6, if(ISBLANK('2025'!$T98), 0, 1), 7, 0))), 1, "")</f>
        <v/>
      </c>
      <c r="M100" s="1" t="str">
        <f>IF(AND(AND(AND(M$4&gt;='2025'!$L98,M$4&lt;='2025'!$M98), M$4&lt;&gt;DATE(2025,7,4)), (SWITCH(weekday(M$4), 1, 0, 2, if(ISBLANK('2025'!$P98), 0, 1), 3, if(ISBLANK('2025'!$Q98), 0, 1), 4, if(ISBLANK('2025'!$R98), 0, 1), 5, if(ISBLANK('2025'!$S98), 0, 1), 6, if(ISBLANK('2025'!$T98), 0, 1), 7, 0))), 1, "")</f>
        <v/>
      </c>
      <c r="N100" s="1" t="str">
        <f>IF(AND(AND(AND(N$4&gt;='2025'!$L98,N$4&lt;='2025'!$M98), N$4&lt;&gt;DATE(2025,7,4)), (SWITCH(weekday(N$4), 1, 0, 2, if(ISBLANK('2025'!$P98), 0, 1), 3, if(ISBLANK('2025'!$Q98), 0, 1), 4, if(ISBLANK('2025'!$R98), 0, 1), 5, if(ISBLANK('2025'!$S98), 0, 1), 6, if(ISBLANK('2025'!$T98), 0, 1), 7, 0))), 1, "")</f>
        <v/>
      </c>
      <c r="O100" s="1" t="str">
        <f>IF(AND(AND(AND(O$4&gt;='2025'!$L98,O$4&lt;='2025'!$M98), O$4&lt;&gt;DATE(2025,7,4)), (SWITCH(weekday(O$4), 1, 0, 2, if(ISBLANK('2025'!$P98), 0, 1), 3, if(ISBLANK('2025'!$Q98), 0, 1), 4, if(ISBLANK('2025'!$R98), 0, 1), 5, if(ISBLANK('2025'!$S98), 0, 1), 6, if(ISBLANK('2025'!$T98), 0, 1), 7, 0))), 1, "")</f>
        <v/>
      </c>
      <c r="P100" s="1" t="str">
        <f>IF(AND(AND(AND(P$4&gt;='2025'!$L98,P$4&lt;='2025'!$M98), P$4&lt;&gt;DATE(2025,7,4)), (SWITCH(weekday(P$4), 1, 0, 2, if(ISBLANK('2025'!$P98), 0, 1), 3, if(ISBLANK('2025'!$Q98), 0, 1), 4, if(ISBLANK('2025'!$R98), 0, 1), 5, if(ISBLANK('2025'!$S98), 0, 1), 6, if(ISBLANK('2025'!$T98), 0, 1), 7, 0))), 1, "")</f>
        <v/>
      </c>
      <c r="Q100" s="1" t="str">
        <f>IF(AND(AND(AND(Q$4&gt;='2025'!$L98,Q$4&lt;='2025'!$M98), Q$4&lt;&gt;DATE(2025,7,4)), (SWITCH(weekday(Q$4), 1, 0, 2, if(ISBLANK('2025'!$P98), 0, 1), 3, if(ISBLANK('2025'!$Q98), 0, 1), 4, if(ISBLANK('2025'!$R98), 0, 1), 5, if(ISBLANK('2025'!$S98), 0, 1), 6, if(ISBLANK('2025'!$T98), 0, 1), 7, 0))), 1, "")</f>
        <v/>
      </c>
      <c r="R100" s="1" t="str">
        <f>IF(AND(AND(AND(R$4&gt;='2025'!$L98,R$4&lt;='2025'!$M98), R$4&lt;&gt;DATE(2025,7,4)), (SWITCH(weekday(R$4), 1, 0, 2, if(ISBLANK('2025'!$P98), 0, 1), 3, if(ISBLANK('2025'!$Q98), 0, 1), 4, if(ISBLANK('2025'!$R98), 0, 1), 5, if(ISBLANK('2025'!$S98), 0, 1), 6, if(ISBLANK('2025'!$T98), 0, 1), 7, 0))), 1, "")</f>
        <v/>
      </c>
      <c r="S100" s="1" t="str">
        <f>IF(AND(AND(AND(S$4&gt;='2025'!$L98,S$4&lt;='2025'!$M98), S$4&lt;&gt;DATE(2025,7,4)), (SWITCH(weekday(S$4), 1, 0, 2, if(ISBLANK('2025'!$P98), 0, 1), 3, if(ISBLANK('2025'!$Q98), 0, 1), 4, if(ISBLANK('2025'!$R98), 0, 1), 5, if(ISBLANK('2025'!$S98), 0, 1), 6, if(ISBLANK('2025'!$T98), 0, 1), 7, 0))), 1, "")</f>
        <v/>
      </c>
      <c r="T100" s="1" t="str">
        <f>IF(AND(AND(AND(T$4&gt;='2025'!$L98,T$4&lt;='2025'!$M98), T$4&lt;&gt;DATE(2025,7,4)), (SWITCH(weekday(T$4), 1, 0, 2, if(ISBLANK('2025'!$P98), 0, 1), 3, if(ISBLANK('2025'!$Q98), 0, 1), 4, if(ISBLANK('2025'!$R98), 0, 1), 5, if(ISBLANK('2025'!$S98), 0, 1), 6, if(ISBLANK('2025'!$T98), 0, 1), 7, 0))), 1, "")</f>
        <v/>
      </c>
      <c r="U100" s="1" t="str">
        <f>IF(AND(AND(AND(U$4&gt;='2025'!$L98,U$4&lt;='2025'!$M98), U$4&lt;&gt;DATE(2025,7,4)), (SWITCH(weekday(U$4), 1, 0, 2, if(ISBLANK('2025'!$P98), 0, 1), 3, if(ISBLANK('2025'!$Q98), 0, 1), 4, if(ISBLANK('2025'!$R98), 0, 1), 5, if(ISBLANK('2025'!$S98), 0, 1), 6, if(ISBLANK('2025'!$T98), 0, 1), 7, 0))), 1, "")</f>
        <v/>
      </c>
      <c r="V100" s="1" t="str">
        <f>IF(AND(AND(AND(V$4&gt;='2025'!$L98,V$4&lt;='2025'!$M98), V$4&lt;&gt;DATE(2025,7,4)), (SWITCH(weekday(V$4), 1, 0, 2, if(ISBLANK('2025'!$P98), 0, 1), 3, if(ISBLANK('2025'!$Q98), 0, 1), 4, if(ISBLANK('2025'!$R98), 0, 1), 5, if(ISBLANK('2025'!$S98), 0, 1), 6, if(ISBLANK('2025'!$T98), 0, 1), 7, 0))), 1, "")</f>
        <v/>
      </c>
      <c r="W100" s="1" t="str">
        <f>IF(AND(AND(AND(W$4&gt;='2025'!$L98,W$4&lt;='2025'!$M98), W$4&lt;&gt;DATE(2025,7,4)), (SWITCH(weekday(W$4), 1, 0, 2, if(ISBLANK('2025'!$P98), 0, 1), 3, if(ISBLANK('2025'!$Q98), 0, 1), 4, if(ISBLANK('2025'!$R98), 0, 1), 5, if(ISBLANK('2025'!$S98), 0, 1), 6, if(ISBLANK('2025'!$T98), 0, 1), 7, 0))), 1, "")</f>
        <v/>
      </c>
      <c r="X100" s="1" t="str">
        <f>IF(AND(AND(AND(X$4&gt;='2025'!$L98,X$4&lt;='2025'!$M98), X$4&lt;&gt;DATE(2025,7,4)), (SWITCH(weekday(X$4), 1, 0, 2, if(ISBLANK('2025'!$P98), 0, 1), 3, if(ISBLANK('2025'!$Q98), 0, 1), 4, if(ISBLANK('2025'!$R98), 0, 1), 5, if(ISBLANK('2025'!$S98), 0, 1), 6, if(ISBLANK('2025'!$T98), 0, 1), 7, 0))), 1, "")</f>
        <v/>
      </c>
      <c r="Y100" s="1" t="str">
        <f>IF(AND(AND(AND(Y$4&gt;='2025'!$L98,Y$4&lt;='2025'!$M98), Y$4&lt;&gt;DATE(2025,7,4)), (SWITCH(weekday(Y$4), 1, 0, 2, if(ISBLANK('2025'!$P98), 0, 1), 3, if(ISBLANK('2025'!$Q98), 0, 1), 4, if(ISBLANK('2025'!$R98), 0, 1), 5, if(ISBLANK('2025'!$S98), 0, 1), 6, if(ISBLANK('2025'!$T98), 0, 1), 7, 0))), 1, "")</f>
        <v/>
      </c>
      <c r="Z100" s="1" t="str">
        <f>IF(AND(AND(AND(Z$4&gt;='2025'!$L98,Z$4&lt;='2025'!$M98), Z$4&lt;&gt;DATE(2025,7,4)), (SWITCH(weekday(Z$4), 1, 0, 2, if(ISBLANK('2025'!$P98), 0, 1), 3, if(ISBLANK('2025'!$Q98), 0, 1), 4, if(ISBLANK('2025'!$R98), 0, 1), 5, if(ISBLANK('2025'!$S98), 0, 1), 6, if(ISBLANK('2025'!$T98), 0, 1), 7, 0))), 1, "")</f>
        <v/>
      </c>
      <c r="AA100" s="1" t="str">
        <f>IF(AND(AND(AND(AA$4&gt;='2025'!$L98,AA$4&lt;='2025'!$M98), AA$4&lt;&gt;DATE(2025,7,4)), (SWITCH(weekday(AA$4), 1, 0, 2, if(ISBLANK('2025'!$P98), 0, 1), 3, if(ISBLANK('2025'!$Q98), 0, 1), 4, if(ISBLANK('2025'!$R98), 0, 1), 5, if(ISBLANK('2025'!$S98), 0, 1), 6, if(ISBLANK('2025'!$T98), 0, 1), 7, 0))), 1, "")</f>
        <v/>
      </c>
      <c r="AB100" s="1" t="str">
        <f>IF(AND(AND(AND(AB$4&gt;='2025'!$L98,AB$4&lt;='2025'!$M98), AB$4&lt;&gt;DATE(2025,7,4)), (SWITCH(weekday(AB$4), 1, 0, 2, if(ISBLANK('2025'!$P98), 0, 1), 3, if(ISBLANK('2025'!$Q98), 0, 1), 4, if(ISBLANK('2025'!$R98), 0, 1), 5, if(ISBLANK('2025'!$S98), 0, 1), 6, if(ISBLANK('2025'!$T98), 0, 1), 7, 0))), 1, "")</f>
        <v/>
      </c>
      <c r="AC100" s="1" t="str">
        <f>IF(AND(AND(AND(AC$4&gt;='2025'!$L98,AC$4&lt;='2025'!$M98), AC$4&lt;&gt;DATE(2025,7,4)), (SWITCH(weekday(AC$4), 1, 0, 2, if(ISBLANK('2025'!$P98), 0, 1), 3, if(ISBLANK('2025'!$Q98), 0, 1), 4, if(ISBLANK('2025'!$R98), 0, 1), 5, if(ISBLANK('2025'!$S98), 0, 1), 6, if(ISBLANK('2025'!$T98), 0, 1), 7, 0))), 1, "")</f>
        <v/>
      </c>
      <c r="AD100" s="1" t="str">
        <f>IF(AND(AND(AND(AD$4&gt;='2025'!$L98,AD$4&lt;='2025'!$M98), AD$4&lt;&gt;DATE(2025,7,4)), (SWITCH(weekday(AD$4), 1, 0, 2, if(ISBLANK('2025'!$P98), 0, 1), 3, if(ISBLANK('2025'!$Q98), 0, 1), 4, if(ISBLANK('2025'!$R98), 0, 1), 5, if(ISBLANK('2025'!$S98), 0, 1), 6, if(ISBLANK('2025'!$T98), 0, 1), 7, 0))), 1, "")</f>
        <v/>
      </c>
      <c r="AE100" s="1" t="str">
        <f>IF(AND(AND(AND(AE$4&gt;='2025'!$L98,AE$4&lt;='2025'!$M98), AE$4&lt;&gt;DATE(2025,7,4)), (SWITCH(weekday(AE$4), 1, 0, 2, if(ISBLANK('2025'!$P98), 0, 1), 3, if(ISBLANK('2025'!$Q98), 0, 1), 4, if(ISBLANK('2025'!$R98), 0, 1), 5, if(ISBLANK('2025'!$S98), 0, 1), 6, if(ISBLANK('2025'!$T98), 0, 1), 7, 0))), 1, "")</f>
        <v/>
      </c>
      <c r="AF100" s="1" t="str">
        <f>IF(AND(AND(AND(AF$4&gt;='2025'!$L98,AF$4&lt;='2025'!$M98), AF$4&lt;&gt;DATE(2025,7,4)), (SWITCH(weekday(AF$4), 1, 0, 2, if(ISBLANK('2025'!$P98), 0, 1), 3, if(ISBLANK('2025'!$Q98), 0, 1), 4, if(ISBLANK('2025'!$R98), 0, 1), 5, if(ISBLANK('2025'!$S98), 0, 1), 6, if(ISBLANK('2025'!$T98), 0, 1), 7, 0))), 1, "")</f>
        <v/>
      </c>
      <c r="AG100" s="1" t="str">
        <f>IF(AND(AND(AND(AG$4&gt;='2025'!$L98,AG$4&lt;='2025'!$M98), AG$4&lt;&gt;DATE(2025,7,4)), (SWITCH(weekday(AG$4), 1, 0, 2, if(ISBLANK('2025'!$P98), 0, 1), 3, if(ISBLANK('2025'!$Q98), 0, 1), 4, if(ISBLANK('2025'!$R98), 0, 1), 5, if(ISBLANK('2025'!$S98), 0, 1), 6, if(ISBLANK('2025'!$T98), 0, 1), 7, 0))), 1, "")</f>
        <v/>
      </c>
      <c r="AH100" s="1" t="str">
        <f>IF(AND(AND(AND(AH$4&gt;='2025'!$L98,AH$4&lt;='2025'!$M98), AH$4&lt;&gt;DATE(2025,7,4)), (SWITCH(weekday(AH$4), 1, 0, 2, if(ISBLANK('2025'!$P98), 0, 1), 3, if(ISBLANK('2025'!$Q98), 0, 1), 4, if(ISBLANK('2025'!$R98), 0, 1), 5, if(ISBLANK('2025'!$S98), 0, 1), 6, if(ISBLANK('2025'!$T98), 0, 1), 7, 0))), 1, "")</f>
        <v/>
      </c>
      <c r="AI100" s="1" t="str">
        <f>IF(AND(AND(AND(AI$4&gt;='2025'!$L98,AI$4&lt;='2025'!$M98), AI$4&lt;&gt;DATE(2025,7,4)), (SWITCH(weekday(AI$4), 1, 0, 2, if(ISBLANK('2025'!$P98), 0, 1), 3, if(ISBLANK('2025'!$Q98), 0, 1), 4, if(ISBLANK('2025'!$R98), 0, 1), 5, if(ISBLANK('2025'!$S98), 0, 1), 6, if(ISBLANK('2025'!$T98), 0, 1), 7, 0))), 1, "")</f>
        <v/>
      </c>
      <c r="AJ100" s="1" t="str">
        <f>IF(AND(AND(AND(AJ$4&gt;='2025'!$L98,AJ$4&lt;='2025'!$M98), AJ$4&lt;&gt;DATE(2025,7,4)), (SWITCH(weekday(AJ$4), 1, 0, 2, if(ISBLANK('2025'!$P98), 0, 1), 3, if(ISBLANK('2025'!$Q98), 0, 1), 4, if(ISBLANK('2025'!$R98), 0, 1), 5, if(ISBLANK('2025'!$S98), 0, 1), 6, if(ISBLANK('2025'!$T98), 0, 1), 7, 0))), 1, "")</f>
        <v/>
      </c>
      <c r="AK100" s="1" t="str">
        <f>IF(AND(AND(AND(AK$4&gt;='2025'!$L98,AK$4&lt;='2025'!$M98), AK$4&lt;&gt;DATE(2025,7,4)), (SWITCH(weekday(AK$4), 1, 0, 2, if(ISBLANK('2025'!$P98), 0, 1), 3, if(ISBLANK('2025'!$Q98), 0, 1), 4, if(ISBLANK('2025'!$R98), 0, 1), 5, if(ISBLANK('2025'!$S98), 0, 1), 6, if(ISBLANK('2025'!$T98), 0, 1), 7, 0))), 1, "")</f>
        <v/>
      </c>
      <c r="AL100" s="1" t="str">
        <f>IF(AND(AND(AND(AL$4&gt;='2025'!$L98,AL$4&lt;='2025'!$M98), AL$4&lt;&gt;DATE(2025,7,4)), (SWITCH(weekday(AL$4), 1, 0, 2, if(ISBLANK('2025'!$P98), 0, 1), 3, if(ISBLANK('2025'!$Q98), 0, 1), 4, if(ISBLANK('2025'!$R98), 0, 1), 5, if(ISBLANK('2025'!$S98), 0, 1), 6, if(ISBLANK('2025'!$T98), 0, 1), 7, 0))), 1, "")</f>
        <v/>
      </c>
      <c r="AM100" s="1" t="str">
        <f>IF(AND(AND(AND(AM$4&gt;='2025'!$L98,AM$4&lt;='2025'!$M98), AM$4&lt;&gt;DATE(2025,7,4)), (SWITCH(weekday(AM$4), 1, 0, 2, if(ISBLANK('2025'!$P98), 0, 1), 3, if(ISBLANK('2025'!$Q98), 0, 1), 4, if(ISBLANK('2025'!$R98), 0, 1), 5, if(ISBLANK('2025'!$S98), 0, 1), 6, if(ISBLANK('2025'!$T98), 0, 1), 7, 0))), 1, "")</f>
        <v/>
      </c>
      <c r="AN100" s="1" t="str">
        <f>IF(AND(AND(AND(AN$4&gt;='2025'!$L98,AN$4&lt;='2025'!$M98), AN$4&lt;&gt;DATE(2025,7,4)), (SWITCH(weekday(AN$4), 1, 0, 2, if(ISBLANK('2025'!$P98), 0, 1), 3, if(ISBLANK('2025'!$Q98), 0, 1), 4, if(ISBLANK('2025'!$R98), 0, 1), 5, if(ISBLANK('2025'!$S98), 0, 1), 6, if(ISBLANK('2025'!$T98), 0, 1), 7, 0))), 1, "")</f>
        <v/>
      </c>
      <c r="AO100" s="1" t="str">
        <f>IF(AND(AND(AND(AO$4&gt;='2025'!$L98,AO$4&lt;='2025'!$M98), AO$4&lt;&gt;DATE(2025,7,4)), (SWITCH(weekday(AO$4), 1, 0, 2, if(ISBLANK('2025'!$P98), 0, 1), 3, if(ISBLANK('2025'!$Q98), 0, 1), 4, if(ISBLANK('2025'!$R98), 0, 1), 5, if(ISBLANK('2025'!$S98), 0, 1), 6, if(ISBLANK('2025'!$T98), 0, 1), 7, 0))), 1, "")</f>
        <v/>
      </c>
      <c r="AP100" s="1" t="str">
        <f>IF(AND(AND(AND(AP$4&gt;='2025'!$L98,AP$4&lt;='2025'!$M98), AP$4&lt;&gt;DATE(2025,7,4)), (SWITCH(weekday(AP$4), 1, 0, 2, if(ISBLANK('2025'!$P98), 0, 1), 3, if(ISBLANK('2025'!$Q98), 0, 1), 4, if(ISBLANK('2025'!$R98), 0, 1), 5, if(ISBLANK('2025'!$S98), 0, 1), 6, if(ISBLANK('2025'!$T98), 0, 1), 7, 0))), 1, "")</f>
        <v/>
      </c>
      <c r="AQ100" s="1" t="str">
        <f>IF(AND(AND(AND(AQ$4&gt;='2025'!$L98,AQ$4&lt;='2025'!$M98), AQ$4&lt;&gt;DATE(2025,7,4)), (SWITCH(weekday(AQ$4), 1, 0, 2, if(ISBLANK('2025'!$P98), 0, 1), 3, if(ISBLANK('2025'!$Q98), 0, 1), 4, if(ISBLANK('2025'!$R98), 0, 1), 5, if(ISBLANK('2025'!$S98), 0, 1), 6, if(ISBLANK('2025'!$T98), 0, 1), 7, 0))), 1, "")</f>
        <v/>
      </c>
      <c r="AR100" s="1" t="str">
        <f>IF(AND(AND(AND(AR$4&gt;='2025'!$L98,AR$4&lt;='2025'!$M98), AR$4&lt;&gt;DATE(2025,7,4)), (SWITCH(weekday(AR$4), 1, 0, 2, if(ISBLANK('2025'!$P98), 0, 1), 3, if(ISBLANK('2025'!$Q98), 0, 1), 4, if(ISBLANK('2025'!$R98), 0, 1), 5, if(ISBLANK('2025'!$S98), 0, 1), 6, if(ISBLANK('2025'!$T98), 0, 1), 7, 0))), 1, "")</f>
        <v/>
      </c>
      <c r="AS100" s="1" t="str">
        <f>IF(AND(AND(AND(AS$4&gt;='2025'!$L98,AS$4&lt;='2025'!$M98), AS$4&lt;&gt;DATE(2025,7,4)), (SWITCH(weekday(AS$4), 1, 0, 2, if(ISBLANK('2025'!$P98), 0, 1), 3, if(ISBLANK('2025'!$Q98), 0, 1), 4, if(ISBLANK('2025'!$R98), 0, 1), 5, if(ISBLANK('2025'!$S98), 0, 1), 6, if(ISBLANK('2025'!$T98), 0, 1), 7, 0))), 1, "")</f>
        <v/>
      </c>
      <c r="AT100" s="1" t="str">
        <f>IF(AND(AND(AND(AT$4&gt;='2025'!$L98,AT$4&lt;='2025'!$M98), AT$4&lt;&gt;DATE(2025,7,4)), (SWITCH(weekday(AT$4), 1, 0, 2, if(ISBLANK('2025'!$P98), 0, 1), 3, if(ISBLANK('2025'!$Q98), 0, 1), 4, if(ISBLANK('2025'!$R98), 0, 1), 5, if(ISBLANK('2025'!$S98), 0, 1), 6, if(ISBLANK('2025'!$T98), 0, 1), 7, 0))), 1, "")</f>
        <v/>
      </c>
      <c r="AU100" s="1" t="str">
        <f>IF(AND(AND(AND(AU$4&gt;='2025'!$L98,AU$4&lt;='2025'!$M98), AU$4&lt;&gt;DATE(2025,7,4)), (SWITCH(weekday(AU$4), 1, 0, 2, if(ISBLANK('2025'!$P98), 0, 1), 3, if(ISBLANK('2025'!$Q98), 0, 1), 4, if(ISBLANK('2025'!$R98), 0, 1), 5, if(ISBLANK('2025'!$S98), 0, 1), 6, if(ISBLANK('2025'!$T98), 0, 1), 7, 0))), 1, "")</f>
        <v/>
      </c>
      <c r="AV100" s="1" t="str">
        <f>IF(AND(AND(AND(AV$4&gt;='2025'!$L98,AV$4&lt;='2025'!$M98), AV$4&lt;&gt;DATE(2025,7,4)), (SWITCH(weekday(AV$4), 1, 0, 2, if(ISBLANK('2025'!$P98), 0, 1), 3, if(ISBLANK('2025'!$Q98), 0, 1), 4, if(ISBLANK('2025'!$R98), 0, 1), 5, if(ISBLANK('2025'!$S98), 0, 1), 6, if(ISBLANK('2025'!$T98), 0, 1), 7, 0))), 1, "")</f>
        <v/>
      </c>
      <c r="AW100" s="1" t="str">
        <f>IF(AND(AND(AND(AW$4&gt;='2025'!$L98,AW$4&lt;='2025'!$M98), AW$4&lt;&gt;DATE(2025,7,4)), (SWITCH(weekday(AW$4), 1, 0, 2, if(ISBLANK('2025'!$P98), 0, 1), 3, if(ISBLANK('2025'!$Q98), 0, 1), 4, if(ISBLANK('2025'!$R98), 0, 1), 5, if(ISBLANK('2025'!$S98), 0, 1), 6, if(ISBLANK('2025'!$T98), 0, 1), 7, 0))), 1, "")</f>
        <v/>
      </c>
      <c r="AX100" s="1" t="str">
        <f>IF(AND(AND(AND(AX$4&gt;='2025'!$L98,AX$4&lt;='2025'!$M98), AX$4&lt;&gt;DATE(2025,7,4)), (SWITCH(weekday(AX$4), 1, 0, 2, if(ISBLANK('2025'!$P98), 0, 1), 3, if(ISBLANK('2025'!$Q98), 0, 1), 4, if(ISBLANK('2025'!$R98), 0, 1), 5, if(ISBLANK('2025'!$S98), 0, 1), 6, if(ISBLANK('2025'!$T98), 0, 1), 7, 0))), 1, "")</f>
        <v/>
      </c>
      <c r="AY100" s="1" t="str">
        <f>IF(AND(AND(AND(AY$4&gt;='2025'!$L98,AY$4&lt;='2025'!$M98), AY$4&lt;&gt;DATE(2025,7,4)), (SWITCH(weekday(AY$4), 1, 0, 2, if(ISBLANK('2025'!$P98), 0, 1), 3, if(ISBLANK('2025'!$Q98), 0, 1), 4, if(ISBLANK('2025'!$R98), 0, 1), 5, if(ISBLANK('2025'!$S98), 0, 1), 6, if(ISBLANK('2025'!$T98), 0, 1), 7, 0))), 1, "")</f>
        <v/>
      </c>
      <c r="AZ100" s="1" t="str">
        <f>IF(AND(AND(AND(AZ$4&gt;='2025'!$L98,AZ$4&lt;='2025'!$M98), AZ$4&lt;&gt;DATE(2025,7,4)), (SWITCH(weekday(AZ$4), 1, 0, 2, if(ISBLANK('2025'!$P98), 0, 1), 3, if(ISBLANK('2025'!$Q98), 0, 1), 4, if(ISBLANK('2025'!$R98), 0, 1), 5, if(ISBLANK('2025'!$S98), 0, 1), 6, if(ISBLANK('2025'!$T98), 0, 1), 7, 0))), 1, "")</f>
        <v/>
      </c>
      <c r="BA100" s="1" t="str">
        <f>IF(AND(AND(AND(BA$4&gt;='2025'!$L98,BA$4&lt;='2025'!$M98), BA$4&lt;&gt;DATE(2025,7,4)), (SWITCH(weekday(BA$4), 1, 0, 2, if(ISBLANK('2025'!$P98), 0, 1), 3, if(ISBLANK('2025'!$Q98), 0, 1), 4, if(ISBLANK('2025'!$R98), 0, 1), 5, if(ISBLANK('2025'!$S98), 0, 1), 6, if(ISBLANK('2025'!$T98), 0, 1), 7, 0))), 1, "")</f>
        <v/>
      </c>
      <c r="BB100" s="1" t="str">
        <f>IF(AND(AND(AND(BB$4&gt;='2025'!$L98,BB$4&lt;='2025'!$M98), BB$4&lt;&gt;DATE(2025,7,4)), (SWITCH(weekday(BB$4), 1, 0, 2, if(ISBLANK('2025'!$P98), 0, 1), 3, if(ISBLANK('2025'!$Q98), 0, 1), 4, if(ISBLANK('2025'!$R98), 0, 1), 5, if(ISBLANK('2025'!$S98), 0, 1), 6, if(ISBLANK('2025'!$T98), 0, 1), 7, 0))), 1, "")</f>
        <v/>
      </c>
      <c r="BC100" s="1" t="str">
        <f>IF(AND(AND(AND(BC$4&gt;='2025'!$L98,BC$4&lt;='2025'!$M98), BC$4&lt;&gt;DATE(2025,7,4)), (SWITCH(weekday(BC$4), 1, 0, 2, if(ISBLANK('2025'!$P98), 0, 1), 3, if(ISBLANK('2025'!$Q98), 0, 1), 4, if(ISBLANK('2025'!$R98), 0, 1), 5, if(ISBLANK('2025'!$S98), 0, 1), 6, if(ISBLANK('2025'!$T98), 0, 1), 7, 0))), 1, "")</f>
        <v/>
      </c>
      <c r="BD100" s="1" t="str">
        <f>IF(AND(AND(AND(BD$4&gt;='2025'!$L98,BD$4&lt;='2025'!$M98), BD$4&lt;&gt;DATE(2025,7,4)), (SWITCH(weekday(BD$4), 1, 0, 2, if(ISBLANK('2025'!$P98), 0, 1), 3, if(ISBLANK('2025'!$Q98), 0, 1), 4, if(ISBLANK('2025'!$R98), 0, 1), 5, if(ISBLANK('2025'!$S98), 0, 1), 6, if(ISBLANK('2025'!$T98), 0, 1), 7, 0))), 1, "")</f>
        <v/>
      </c>
      <c r="BE100" s="1" t="str">
        <f>IF(AND(AND(AND(BE$4&gt;='2025'!$L98,BE$4&lt;='2025'!$M98), BE$4&lt;&gt;DATE(2025,7,4)), (SWITCH(weekday(BE$4), 1, 0, 2, if(ISBLANK('2025'!$P98), 0, 1), 3, if(ISBLANK('2025'!$Q98), 0, 1), 4, if(ISBLANK('2025'!$R98), 0, 1), 5, if(ISBLANK('2025'!$S98), 0, 1), 6, if(ISBLANK('2025'!$T98), 0, 1), 7, 0))), 1, "")</f>
        <v/>
      </c>
      <c r="BF100" s="1" t="str">
        <f>IF(AND(AND(AND(BF$4&gt;='2025'!$L98,BF$4&lt;='2025'!$M98), BF$4&lt;&gt;DATE(2025,7,4)), (SWITCH(weekday(BF$4), 1, 0, 2, if(ISBLANK('2025'!$P98), 0, 1), 3, if(ISBLANK('2025'!$Q98), 0, 1), 4, if(ISBLANK('2025'!$R98), 0, 1), 5, if(ISBLANK('2025'!$S98), 0, 1), 6, if(ISBLANK('2025'!$T98), 0, 1), 7, 0))), 1, "")</f>
        <v/>
      </c>
      <c r="BG100" s="1"/>
      <c r="BH100" s="1"/>
      <c r="BI100" s="1"/>
      <c r="BJ100" s="1"/>
      <c r="BK100" s="1"/>
      <c r="BL100" s="1"/>
    </row>
    <row r="101">
      <c r="A101" s="1">
        <f t="shared" si="3"/>
        <v>101</v>
      </c>
      <c r="B101" s="1" t="str">
        <f>'2025'!D65</f>
        <v>, </v>
      </c>
      <c r="C101" s="1" t="str">
        <f>'2025'!H65</f>
        <v/>
      </c>
      <c r="D101" s="1" t="str">
        <f>IF(AND(AND(AND(D$4&gt;='2025'!$L99,D$4&lt;='2025'!$M99), D$4&lt;&gt;DATE(2025,7,4)), (SWITCH(weekday(D$4), 1, 0, 2, if(ISBLANK('2025'!$P99), 0, 1), 3, if(ISBLANK('2025'!$Q99), 0, 1), 4, if(ISBLANK('2025'!$R99), 0, 1), 5, if(ISBLANK('2025'!$S99), 0, 1), 6, if(ISBLANK('2025'!$T99), 0, 1), 7, 0))), 1, "")</f>
        <v/>
      </c>
      <c r="E101" s="1" t="str">
        <f>IF(AND(AND(AND(E$4&gt;='2025'!$L99,E$4&lt;='2025'!$M99), E$4&lt;&gt;DATE(2025,7,4)), (SWITCH(weekday(E$4), 1, 0, 2, if(ISBLANK('2025'!$P99), 0, 1), 3, if(ISBLANK('2025'!$Q99), 0, 1), 4, if(ISBLANK('2025'!$R99), 0, 1), 5, if(ISBLANK('2025'!$S99), 0, 1), 6, if(ISBLANK('2025'!$T99), 0, 1), 7, 0))), 1, "")</f>
        <v/>
      </c>
      <c r="F101" s="1" t="str">
        <f>IF(AND(AND(AND(F$4&gt;='2025'!$L99,F$4&lt;='2025'!$M99), F$4&lt;&gt;DATE(2025,7,4)), (SWITCH(weekday(F$4), 1, 0, 2, if(ISBLANK('2025'!$P99), 0, 1), 3, if(ISBLANK('2025'!$Q99), 0, 1), 4, if(ISBLANK('2025'!$R99), 0, 1), 5, if(ISBLANK('2025'!$S99), 0, 1), 6, if(ISBLANK('2025'!$T99), 0, 1), 7, 0))), 1, "")</f>
        <v/>
      </c>
      <c r="G101" s="1" t="str">
        <f>IF(AND(AND(AND(G$4&gt;='2025'!$L99,G$4&lt;='2025'!$M99), G$4&lt;&gt;DATE(2025,7,4)), (SWITCH(weekday(G$4), 1, 0, 2, if(ISBLANK('2025'!$P99), 0, 1), 3, if(ISBLANK('2025'!$Q99), 0, 1), 4, if(ISBLANK('2025'!$R99), 0, 1), 5, if(ISBLANK('2025'!$S99), 0, 1), 6, if(ISBLANK('2025'!$T99), 0, 1), 7, 0))), 1, "")</f>
        <v/>
      </c>
      <c r="H101" s="1" t="str">
        <f>IF(AND(AND(AND(H$4&gt;='2025'!$L99,H$4&lt;='2025'!$M99), H$4&lt;&gt;DATE(2025,7,4)), (SWITCH(weekday(H$4), 1, 0, 2, if(ISBLANK('2025'!$P99), 0, 1), 3, if(ISBLANK('2025'!$Q99), 0, 1), 4, if(ISBLANK('2025'!$R99), 0, 1), 5, if(ISBLANK('2025'!$S99), 0, 1), 6, if(ISBLANK('2025'!$T99), 0, 1), 7, 0))), 1, "")</f>
        <v/>
      </c>
      <c r="I101" s="1" t="str">
        <f>IF(AND(AND(AND(I$4&gt;='2025'!$L99,I$4&lt;='2025'!$M99), I$4&lt;&gt;DATE(2025,7,4)), (SWITCH(weekday(I$4), 1, 0, 2, if(ISBLANK('2025'!$P99), 0, 1), 3, if(ISBLANK('2025'!$Q99), 0, 1), 4, if(ISBLANK('2025'!$R99), 0, 1), 5, if(ISBLANK('2025'!$S99), 0, 1), 6, if(ISBLANK('2025'!$T99), 0, 1), 7, 0))), 1, "")</f>
        <v/>
      </c>
      <c r="J101" s="1" t="str">
        <f>IF(AND(AND(AND(J$4&gt;='2025'!$L99,J$4&lt;='2025'!$M99), J$4&lt;&gt;DATE(2025,7,4)), (SWITCH(weekday(J$4), 1, 0, 2, if(ISBLANK('2025'!$P99), 0, 1), 3, if(ISBLANK('2025'!$Q99), 0, 1), 4, if(ISBLANK('2025'!$R99), 0, 1), 5, if(ISBLANK('2025'!$S99), 0, 1), 6, if(ISBLANK('2025'!$T99), 0, 1), 7, 0))), 1, "")</f>
        <v/>
      </c>
      <c r="K101" s="1" t="str">
        <f>IF(AND(AND(AND(K$4&gt;='2025'!$L99,K$4&lt;='2025'!$M99), K$4&lt;&gt;DATE(2025,7,4)), (SWITCH(weekday(K$4), 1, 0, 2, if(ISBLANK('2025'!$P99), 0, 1), 3, if(ISBLANK('2025'!$Q99), 0, 1), 4, if(ISBLANK('2025'!$R99), 0, 1), 5, if(ISBLANK('2025'!$S99), 0, 1), 6, if(ISBLANK('2025'!$T99), 0, 1), 7, 0))), 1, "")</f>
        <v/>
      </c>
      <c r="L101" s="1" t="str">
        <f>IF(AND(AND(AND(L$4&gt;='2025'!$L99,L$4&lt;='2025'!$M99), L$4&lt;&gt;DATE(2025,7,4)), (SWITCH(weekday(L$4), 1, 0, 2, if(ISBLANK('2025'!$P99), 0, 1), 3, if(ISBLANK('2025'!$Q99), 0, 1), 4, if(ISBLANK('2025'!$R99), 0, 1), 5, if(ISBLANK('2025'!$S99), 0, 1), 6, if(ISBLANK('2025'!$T99), 0, 1), 7, 0))), 1, "")</f>
        <v/>
      </c>
      <c r="M101" s="1" t="str">
        <f>IF(AND(AND(AND(M$4&gt;='2025'!$L99,M$4&lt;='2025'!$M99), M$4&lt;&gt;DATE(2025,7,4)), (SWITCH(weekday(M$4), 1, 0, 2, if(ISBLANK('2025'!$P99), 0, 1), 3, if(ISBLANK('2025'!$Q99), 0, 1), 4, if(ISBLANK('2025'!$R99), 0, 1), 5, if(ISBLANK('2025'!$S99), 0, 1), 6, if(ISBLANK('2025'!$T99), 0, 1), 7, 0))), 1, "")</f>
        <v/>
      </c>
      <c r="N101" s="1" t="str">
        <f>IF(AND(AND(AND(N$4&gt;='2025'!$L99,N$4&lt;='2025'!$M99), N$4&lt;&gt;DATE(2025,7,4)), (SWITCH(weekday(N$4), 1, 0, 2, if(ISBLANK('2025'!$P99), 0, 1), 3, if(ISBLANK('2025'!$Q99), 0, 1), 4, if(ISBLANK('2025'!$R99), 0, 1), 5, if(ISBLANK('2025'!$S99), 0, 1), 6, if(ISBLANK('2025'!$T99), 0, 1), 7, 0))), 1, "")</f>
        <v/>
      </c>
      <c r="O101" s="1" t="str">
        <f>IF(AND(AND(AND(O$4&gt;='2025'!$L99,O$4&lt;='2025'!$M99), O$4&lt;&gt;DATE(2025,7,4)), (SWITCH(weekday(O$4), 1, 0, 2, if(ISBLANK('2025'!$P99), 0, 1), 3, if(ISBLANK('2025'!$Q99), 0, 1), 4, if(ISBLANK('2025'!$R99), 0, 1), 5, if(ISBLANK('2025'!$S99), 0, 1), 6, if(ISBLANK('2025'!$T99), 0, 1), 7, 0))), 1, "")</f>
        <v/>
      </c>
      <c r="P101" s="1" t="str">
        <f>IF(AND(AND(AND(P$4&gt;='2025'!$L99,P$4&lt;='2025'!$M99), P$4&lt;&gt;DATE(2025,7,4)), (SWITCH(weekday(P$4), 1, 0, 2, if(ISBLANK('2025'!$P99), 0, 1), 3, if(ISBLANK('2025'!$Q99), 0, 1), 4, if(ISBLANK('2025'!$R99), 0, 1), 5, if(ISBLANK('2025'!$S99), 0, 1), 6, if(ISBLANK('2025'!$T99), 0, 1), 7, 0))), 1, "")</f>
        <v/>
      </c>
      <c r="Q101" s="1" t="str">
        <f>IF(AND(AND(AND(Q$4&gt;='2025'!$L99,Q$4&lt;='2025'!$M99), Q$4&lt;&gt;DATE(2025,7,4)), (SWITCH(weekday(Q$4), 1, 0, 2, if(ISBLANK('2025'!$P99), 0, 1), 3, if(ISBLANK('2025'!$Q99), 0, 1), 4, if(ISBLANK('2025'!$R99), 0, 1), 5, if(ISBLANK('2025'!$S99), 0, 1), 6, if(ISBLANK('2025'!$T99), 0, 1), 7, 0))), 1, "")</f>
        <v/>
      </c>
      <c r="R101" s="1" t="str">
        <f>IF(AND(AND(AND(R$4&gt;='2025'!$L99,R$4&lt;='2025'!$M99), R$4&lt;&gt;DATE(2025,7,4)), (SWITCH(weekday(R$4), 1, 0, 2, if(ISBLANK('2025'!$P99), 0, 1), 3, if(ISBLANK('2025'!$Q99), 0, 1), 4, if(ISBLANK('2025'!$R99), 0, 1), 5, if(ISBLANK('2025'!$S99), 0, 1), 6, if(ISBLANK('2025'!$T99), 0, 1), 7, 0))), 1, "")</f>
        <v/>
      </c>
      <c r="S101" s="1" t="str">
        <f>IF(AND(AND(AND(S$4&gt;='2025'!$L99,S$4&lt;='2025'!$M99), S$4&lt;&gt;DATE(2025,7,4)), (SWITCH(weekday(S$4), 1, 0, 2, if(ISBLANK('2025'!$P99), 0, 1), 3, if(ISBLANK('2025'!$Q99), 0, 1), 4, if(ISBLANK('2025'!$R99), 0, 1), 5, if(ISBLANK('2025'!$S99), 0, 1), 6, if(ISBLANK('2025'!$T99), 0, 1), 7, 0))), 1, "")</f>
        <v/>
      </c>
      <c r="T101" s="1" t="str">
        <f>IF(AND(AND(AND(T$4&gt;='2025'!$L99,T$4&lt;='2025'!$M99), T$4&lt;&gt;DATE(2025,7,4)), (SWITCH(weekday(T$4), 1, 0, 2, if(ISBLANK('2025'!$P99), 0, 1), 3, if(ISBLANK('2025'!$Q99), 0, 1), 4, if(ISBLANK('2025'!$R99), 0, 1), 5, if(ISBLANK('2025'!$S99), 0, 1), 6, if(ISBLANK('2025'!$T99), 0, 1), 7, 0))), 1, "")</f>
        <v/>
      </c>
      <c r="U101" s="1" t="str">
        <f>IF(AND(AND(AND(U$4&gt;='2025'!$L99,U$4&lt;='2025'!$M99), U$4&lt;&gt;DATE(2025,7,4)), (SWITCH(weekday(U$4), 1, 0, 2, if(ISBLANK('2025'!$P99), 0, 1), 3, if(ISBLANK('2025'!$Q99), 0, 1), 4, if(ISBLANK('2025'!$R99), 0, 1), 5, if(ISBLANK('2025'!$S99), 0, 1), 6, if(ISBLANK('2025'!$T99), 0, 1), 7, 0))), 1, "")</f>
        <v/>
      </c>
      <c r="V101" s="1" t="str">
        <f>IF(AND(AND(AND(V$4&gt;='2025'!$L99,V$4&lt;='2025'!$M99), V$4&lt;&gt;DATE(2025,7,4)), (SWITCH(weekday(V$4), 1, 0, 2, if(ISBLANK('2025'!$P99), 0, 1), 3, if(ISBLANK('2025'!$Q99), 0, 1), 4, if(ISBLANK('2025'!$R99), 0, 1), 5, if(ISBLANK('2025'!$S99), 0, 1), 6, if(ISBLANK('2025'!$T99), 0, 1), 7, 0))), 1, "")</f>
        <v/>
      </c>
      <c r="W101" s="1" t="str">
        <f>IF(AND(AND(AND(W$4&gt;='2025'!$L99,W$4&lt;='2025'!$M99), W$4&lt;&gt;DATE(2025,7,4)), (SWITCH(weekday(W$4), 1, 0, 2, if(ISBLANK('2025'!$P99), 0, 1), 3, if(ISBLANK('2025'!$Q99), 0, 1), 4, if(ISBLANK('2025'!$R99), 0, 1), 5, if(ISBLANK('2025'!$S99), 0, 1), 6, if(ISBLANK('2025'!$T99), 0, 1), 7, 0))), 1, "")</f>
        <v/>
      </c>
      <c r="X101" s="1" t="str">
        <f>IF(AND(AND(AND(X$4&gt;='2025'!$L99,X$4&lt;='2025'!$M99), X$4&lt;&gt;DATE(2025,7,4)), (SWITCH(weekday(X$4), 1, 0, 2, if(ISBLANK('2025'!$P99), 0, 1), 3, if(ISBLANK('2025'!$Q99), 0, 1), 4, if(ISBLANK('2025'!$R99), 0, 1), 5, if(ISBLANK('2025'!$S99), 0, 1), 6, if(ISBLANK('2025'!$T99), 0, 1), 7, 0))), 1, "")</f>
        <v/>
      </c>
      <c r="Y101" s="1" t="str">
        <f>IF(AND(AND(AND(Y$4&gt;='2025'!$L99,Y$4&lt;='2025'!$M99), Y$4&lt;&gt;DATE(2025,7,4)), (SWITCH(weekday(Y$4), 1, 0, 2, if(ISBLANK('2025'!$P99), 0, 1), 3, if(ISBLANK('2025'!$Q99), 0, 1), 4, if(ISBLANK('2025'!$R99), 0, 1), 5, if(ISBLANK('2025'!$S99), 0, 1), 6, if(ISBLANK('2025'!$T99), 0, 1), 7, 0))), 1, "")</f>
        <v/>
      </c>
      <c r="Z101" s="1" t="str">
        <f>IF(AND(AND(AND(Z$4&gt;='2025'!$L99,Z$4&lt;='2025'!$M99), Z$4&lt;&gt;DATE(2025,7,4)), (SWITCH(weekday(Z$4), 1, 0, 2, if(ISBLANK('2025'!$P99), 0, 1), 3, if(ISBLANK('2025'!$Q99), 0, 1), 4, if(ISBLANK('2025'!$R99), 0, 1), 5, if(ISBLANK('2025'!$S99), 0, 1), 6, if(ISBLANK('2025'!$T99), 0, 1), 7, 0))), 1, "")</f>
        <v/>
      </c>
      <c r="AA101" s="1" t="str">
        <f>IF(AND(AND(AND(AA$4&gt;='2025'!$L99,AA$4&lt;='2025'!$M99), AA$4&lt;&gt;DATE(2025,7,4)), (SWITCH(weekday(AA$4), 1, 0, 2, if(ISBLANK('2025'!$P99), 0, 1), 3, if(ISBLANK('2025'!$Q99), 0, 1), 4, if(ISBLANK('2025'!$R99), 0, 1), 5, if(ISBLANK('2025'!$S99), 0, 1), 6, if(ISBLANK('2025'!$T99), 0, 1), 7, 0))), 1, "")</f>
        <v/>
      </c>
      <c r="AB101" s="1" t="str">
        <f>IF(AND(AND(AND(AB$4&gt;='2025'!$L99,AB$4&lt;='2025'!$M99), AB$4&lt;&gt;DATE(2025,7,4)), (SWITCH(weekday(AB$4), 1, 0, 2, if(ISBLANK('2025'!$P99), 0, 1), 3, if(ISBLANK('2025'!$Q99), 0, 1), 4, if(ISBLANK('2025'!$R99), 0, 1), 5, if(ISBLANK('2025'!$S99), 0, 1), 6, if(ISBLANK('2025'!$T99), 0, 1), 7, 0))), 1, "")</f>
        <v/>
      </c>
      <c r="AC101" s="1" t="str">
        <f>IF(AND(AND(AND(AC$4&gt;='2025'!$L99,AC$4&lt;='2025'!$M99), AC$4&lt;&gt;DATE(2025,7,4)), (SWITCH(weekday(AC$4), 1, 0, 2, if(ISBLANK('2025'!$P99), 0, 1), 3, if(ISBLANK('2025'!$Q99), 0, 1), 4, if(ISBLANK('2025'!$R99), 0, 1), 5, if(ISBLANK('2025'!$S99), 0, 1), 6, if(ISBLANK('2025'!$T99), 0, 1), 7, 0))), 1, "")</f>
        <v/>
      </c>
      <c r="AD101" s="1" t="str">
        <f>IF(AND(AND(AND(AD$4&gt;='2025'!$L99,AD$4&lt;='2025'!$M99), AD$4&lt;&gt;DATE(2025,7,4)), (SWITCH(weekday(AD$4), 1, 0, 2, if(ISBLANK('2025'!$P99), 0, 1), 3, if(ISBLANK('2025'!$Q99), 0, 1), 4, if(ISBLANK('2025'!$R99), 0, 1), 5, if(ISBLANK('2025'!$S99), 0, 1), 6, if(ISBLANK('2025'!$T99), 0, 1), 7, 0))), 1, "")</f>
        <v/>
      </c>
      <c r="AE101" s="1" t="str">
        <f>IF(AND(AND(AND(AE$4&gt;='2025'!$L99,AE$4&lt;='2025'!$M99), AE$4&lt;&gt;DATE(2025,7,4)), (SWITCH(weekday(AE$4), 1, 0, 2, if(ISBLANK('2025'!$P99), 0, 1), 3, if(ISBLANK('2025'!$Q99), 0, 1), 4, if(ISBLANK('2025'!$R99), 0, 1), 5, if(ISBLANK('2025'!$S99), 0, 1), 6, if(ISBLANK('2025'!$T99), 0, 1), 7, 0))), 1, "")</f>
        <v/>
      </c>
      <c r="AF101" s="1" t="str">
        <f>IF(AND(AND(AND(AF$4&gt;='2025'!$L99,AF$4&lt;='2025'!$M99), AF$4&lt;&gt;DATE(2025,7,4)), (SWITCH(weekday(AF$4), 1, 0, 2, if(ISBLANK('2025'!$P99), 0, 1), 3, if(ISBLANK('2025'!$Q99), 0, 1), 4, if(ISBLANK('2025'!$R99), 0, 1), 5, if(ISBLANK('2025'!$S99), 0, 1), 6, if(ISBLANK('2025'!$T99), 0, 1), 7, 0))), 1, "")</f>
        <v/>
      </c>
      <c r="AG101" s="1" t="str">
        <f>IF(AND(AND(AND(AG$4&gt;='2025'!$L99,AG$4&lt;='2025'!$M99), AG$4&lt;&gt;DATE(2025,7,4)), (SWITCH(weekday(AG$4), 1, 0, 2, if(ISBLANK('2025'!$P99), 0, 1), 3, if(ISBLANK('2025'!$Q99), 0, 1), 4, if(ISBLANK('2025'!$R99), 0, 1), 5, if(ISBLANK('2025'!$S99), 0, 1), 6, if(ISBLANK('2025'!$T99), 0, 1), 7, 0))), 1, "")</f>
        <v/>
      </c>
      <c r="AH101" s="1" t="str">
        <f>IF(AND(AND(AND(AH$4&gt;='2025'!$L99,AH$4&lt;='2025'!$M99), AH$4&lt;&gt;DATE(2025,7,4)), (SWITCH(weekday(AH$4), 1, 0, 2, if(ISBLANK('2025'!$P99), 0, 1), 3, if(ISBLANK('2025'!$Q99), 0, 1), 4, if(ISBLANK('2025'!$R99), 0, 1), 5, if(ISBLANK('2025'!$S99), 0, 1), 6, if(ISBLANK('2025'!$T99), 0, 1), 7, 0))), 1, "")</f>
        <v/>
      </c>
      <c r="AI101" s="1" t="str">
        <f>IF(AND(AND(AND(AI$4&gt;='2025'!$L99,AI$4&lt;='2025'!$M99), AI$4&lt;&gt;DATE(2025,7,4)), (SWITCH(weekday(AI$4), 1, 0, 2, if(ISBLANK('2025'!$P99), 0, 1), 3, if(ISBLANK('2025'!$Q99), 0, 1), 4, if(ISBLANK('2025'!$R99), 0, 1), 5, if(ISBLANK('2025'!$S99), 0, 1), 6, if(ISBLANK('2025'!$T99), 0, 1), 7, 0))), 1, "")</f>
        <v/>
      </c>
      <c r="AJ101" s="1" t="str">
        <f>IF(AND(AND(AND(AJ$4&gt;='2025'!$L99,AJ$4&lt;='2025'!$M99), AJ$4&lt;&gt;DATE(2025,7,4)), (SWITCH(weekday(AJ$4), 1, 0, 2, if(ISBLANK('2025'!$P99), 0, 1), 3, if(ISBLANK('2025'!$Q99), 0, 1), 4, if(ISBLANK('2025'!$R99), 0, 1), 5, if(ISBLANK('2025'!$S99), 0, 1), 6, if(ISBLANK('2025'!$T99), 0, 1), 7, 0))), 1, "")</f>
        <v/>
      </c>
      <c r="AK101" s="1" t="str">
        <f>IF(AND(AND(AND(AK$4&gt;='2025'!$L99,AK$4&lt;='2025'!$M99), AK$4&lt;&gt;DATE(2025,7,4)), (SWITCH(weekday(AK$4), 1, 0, 2, if(ISBLANK('2025'!$P99), 0, 1), 3, if(ISBLANK('2025'!$Q99), 0, 1), 4, if(ISBLANK('2025'!$R99), 0, 1), 5, if(ISBLANK('2025'!$S99), 0, 1), 6, if(ISBLANK('2025'!$T99), 0, 1), 7, 0))), 1, "")</f>
        <v/>
      </c>
      <c r="AL101" s="1" t="str">
        <f>IF(AND(AND(AND(AL$4&gt;='2025'!$L99,AL$4&lt;='2025'!$M99), AL$4&lt;&gt;DATE(2025,7,4)), (SWITCH(weekday(AL$4), 1, 0, 2, if(ISBLANK('2025'!$P99), 0, 1), 3, if(ISBLANK('2025'!$Q99), 0, 1), 4, if(ISBLANK('2025'!$R99), 0, 1), 5, if(ISBLANK('2025'!$S99), 0, 1), 6, if(ISBLANK('2025'!$T99), 0, 1), 7, 0))), 1, "")</f>
        <v/>
      </c>
      <c r="AM101" s="1" t="str">
        <f>IF(AND(AND(AND(AM$4&gt;='2025'!$L99,AM$4&lt;='2025'!$M99), AM$4&lt;&gt;DATE(2025,7,4)), (SWITCH(weekday(AM$4), 1, 0, 2, if(ISBLANK('2025'!$P99), 0, 1), 3, if(ISBLANK('2025'!$Q99), 0, 1), 4, if(ISBLANK('2025'!$R99), 0, 1), 5, if(ISBLANK('2025'!$S99), 0, 1), 6, if(ISBLANK('2025'!$T99), 0, 1), 7, 0))), 1, "")</f>
        <v/>
      </c>
      <c r="AN101" s="1" t="str">
        <f>IF(AND(AND(AND(AN$4&gt;='2025'!$L99,AN$4&lt;='2025'!$M99), AN$4&lt;&gt;DATE(2025,7,4)), (SWITCH(weekday(AN$4), 1, 0, 2, if(ISBLANK('2025'!$P99), 0, 1), 3, if(ISBLANK('2025'!$Q99), 0, 1), 4, if(ISBLANK('2025'!$R99), 0, 1), 5, if(ISBLANK('2025'!$S99), 0, 1), 6, if(ISBLANK('2025'!$T99), 0, 1), 7, 0))), 1, "")</f>
        <v/>
      </c>
      <c r="AO101" s="1" t="str">
        <f>IF(AND(AND(AND(AO$4&gt;='2025'!$L99,AO$4&lt;='2025'!$M99), AO$4&lt;&gt;DATE(2025,7,4)), (SWITCH(weekday(AO$4), 1, 0, 2, if(ISBLANK('2025'!$P99), 0, 1), 3, if(ISBLANK('2025'!$Q99), 0, 1), 4, if(ISBLANK('2025'!$R99), 0, 1), 5, if(ISBLANK('2025'!$S99), 0, 1), 6, if(ISBLANK('2025'!$T99), 0, 1), 7, 0))), 1, "")</f>
        <v/>
      </c>
      <c r="AP101" s="1" t="str">
        <f>IF(AND(AND(AND(AP$4&gt;='2025'!$L99,AP$4&lt;='2025'!$M99), AP$4&lt;&gt;DATE(2025,7,4)), (SWITCH(weekday(AP$4), 1, 0, 2, if(ISBLANK('2025'!$P99), 0, 1), 3, if(ISBLANK('2025'!$Q99), 0, 1), 4, if(ISBLANK('2025'!$R99), 0, 1), 5, if(ISBLANK('2025'!$S99), 0, 1), 6, if(ISBLANK('2025'!$T99), 0, 1), 7, 0))), 1, "")</f>
        <v/>
      </c>
      <c r="AQ101" s="1" t="str">
        <f>IF(AND(AND(AND(AQ$4&gt;='2025'!$L99,AQ$4&lt;='2025'!$M99), AQ$4&lt;&gt;DATE(2025,7,4)), (SWITCH(weekday(AQ$4), 1, 0, 2, if(ISBLANK('2025'!$P99), 0, 1), 3, if(ISBLANK('2025'!$Q99), 0, 1), 4, if(ISBLANK('2025'!$R99), 0, 1), 5, if(ISBLANK('2025'!$S99), 0, 1), 6, if(ISBLANK('2025'!$T99), 0, 1), 7, 0))), 1, "")</f>
        <v/>
      </c>
      <c r="AR101" s="1" t="str">
        <f>IF(AND(AND(AND(AR$4&gt;='2025'!$L99,AR$4&lt;='2025'!$M99), AR$4&lt;&gt;DATE(2025,7,4)), (SWITCH(weekday(AR$4), 1, 0, 2, if(ISBLANK('2025'!$P99), 0, 1), 3, if(ISBLANK('2025'!$Q99), 0, 1), 4, if(ISBLANK('2025'!$R99), 0, 1), 5, if(ISBLANK('2025'!$S99), 0, 1), 6, if(ISBLANK('2025'!$T99), 0, 1), 7, 0))), 1, "")</f>
        <v/>
      </c>
      <c r="AS101" s="1" t="str">
        <f>IF(AND(AND(AND(AS$4&gt;='2025'!$L99,AS$4&lt;='2025'!$M99), AS$4&lt;&gt;DATE(2025,7,4)), (SWITCH(weekday(AS$4), 1, 0, 2, if(ISBLANK('2025'!$P99), 0, 1), 3, if(ISBLANK('2025'!$Q99), 0, 1), 4, if(ISBLANK('2025'!$R99), 0, 1), 5, if(ISBLANK('2025'!$S99), 0, 1), 6, if(ISBLANK('2025'!$T99), 0, 1), 7, 0))), 1, "")</f>
        <v/>
      </c>
      <c r="AT101" s="1" t="str">
        <f>IF(AND(AND(AND(AT$4&gt;='2025'!$L99,AT$4&lt;='2025'!$M99), AT$4&lt;&gt;DATE(2025,7,4)), (SWITCH(weekday(AT$4), 1, 0, 2, if(ISBLANK('2025'!$P99), 0, 1), 3, if(ISBLANK('2025'!$Q99), 0, 1), 4, if(ISBLANK('2025'!$R99), 0, 1), 5, if(ISBLANK('2025'!$S99), 0, 1), 6, if(ISBLANK('2025'!$T99), 0, 1), 7, 0))), 1, "")</f>
        <v/>
      </c>
      <c r="AU101" s="1" t="str">
        <f>IF(AND(AND(AND(AU$4&gt;='2025'!$L99,AU$4&lt;='2025'!$M99), AU$4&lt;&gt;DATE(2025,7,4)), (SWITCH(weekday(AU$4), 1, 0, 2, if(ISBLANK('2025'!$P99), 0, 1), 3, if(ISBLANK('2025'!$Q99), 0, 1), 4, if(ISBLANK('2025'!$R99), 0, 1), 5, if(ISBLANK('2025'!$S99), 0, 1), 6, if(ISBLANK('2025'!$T99), 0, 1), 7, 0))), 1, "")</f>
        <v/>
      </c>
      <c r="AV101" s="1" t="str">
        <f>IF(AND(AND(AND(AV$4&gt;='2025'!$L99,AV$4&lt;='2025'!$M99), AV$4&lt;&gt;DATE(2025,7,4)), (SWITCH(weekday(AV$4), 1, 0, 2, if(ISBLANK('2025'!$P99), 0, 1), 3, if(ISBLANK('2025'!$Q99), 0, 1), 4, if(ISBLANK('2025'!$R99), 0, 1), 5, if(ISBLANK('2025'!$S99), 0, 1), 6, if(ISBLANK('2025'!$T99), 0, 1), 7, 0))), 1, "")</f>
        <v/>
      </c>
      <c r="AW101" s="1" t="str">
        <f>IF(AND(AND(AND(AW$4&gt;='2025'!$L99,AW$4&lt;='2025'!$M99), AW$4&lt;&gt;DATE(2025,7,4)), (SWITCH(weekday(AW$4), 1, 0, 2, if(ISBLANK('2025'!$P99), 0, 1), 3, if(ISBLANK('2025'!$Q99), 0, 1), 4, if(ISBLANK('2025'!$R99), 0, 1), 5, if(ISBLANK('2025'!$S99), 0, 1), 6, if(ISBLANK('2025'!$T99), 0, 1), 7, 0))), 1, "")</f>
        <v/>
      </c>
      <c r="AX101" s="1" t="str">
        <f>IF(AND(AND(AND(AX$4&gt;='2025'!$L99,AX$4&lt;='2025'!$M99), AX$4&lt;&gt;DATE(2025,7,4)), (SWITCH(weekday(AX$4), 1, 0, 2, if(ISBLANK('2025'!$P99), 0, 1), 3, if(ISBLANK('2025'!$Q99), 0, 1), 4, if(ISBLANK('2025'!$R99), 0, 1), 5, if(ISBLANK('2025'!$S99), 0, 1), 6, if(ISBLANK('2025'!$T99), 0, 1), 7, 0))), 1, "")</f>
        <v/>
      </c>
      <c r="AY101" s="1" t="str">
        <f>IF(AND(AND(AND(AY$4&gt;='2025'!$L99,AY$4&lt;='2025'!$M99), AY$4&lt;&gt;DATE(2025,7,4)), (SWITCH(weekday(AY$4), 1, 0, 2, if(ISBLANK('2025'!$P99), 0, 1), 3, if(ISBLANK('2025'!$Q99), 0, 1), 4, if(ISBLANK('2025'!$R99), 0, 1), 5, if(ISBLANK('2025'!$S99), 0, 1), 6, if(ISBLANK('2025'!$T99), 0, 1), 7, 0))), 1, "")</f>
        <v/>
      </c>
      <c r="AZ101" s="1" t="str">
        <f>IF(AND(AND(AND(AZ$4&gt;='2025'!$L99,AZ$4&lt;='2025'!$M99), AZ$4&lt;&gt;DATE(2025,7,4)), (SWITCH(weekday(AZ$4), 1, 0, 2, if(ISBLANK('2025'!$P99), 0, 1), 3, if(ISBLANK('2025'!$Q99), 0, 1), 4, if(ISBLANK('2025'!$R99), 0, 1), 5, if(ISBLANK('2025'!$S99), 0, 1), 6, if(ISBLANK('2025'!$T99), 0, 1), 7, 0))), 1, "")</f>
        <v/>
      </c>
      <c r="BA101" s="1" t="str">
        <f>IF(AND(AND(AND(BA$4&gt;='2025'!$L99,BA$4&lt;='2025'!$M99), BA$4&lt;&gt;DATE(2025,7,4)), (SWITCH(weekday(BA$4), 1, 0, 2, if(ISBLANK('2025'!$P99), 0, 1), 3, if(ISBLANK('2025'!$Q99), 0, 1), 4, if(ISBLANK('2025'!$R99), 0, 1), 5, if(ISBLANK('2025'!$S99), 0, 1), 6, if(ISBLANK('2025'!$T99), 0, 1), 7, 0))), 1, "")</f>
        <v/>
      </c>
      <c r="BB101" s="1" t="str">
        <f>IF(AND(AND(AND(BB$4&gt;='2025'!$L99,BB$4&lt;='2025'!$M99), BB$4&lt;&gt;DATE(2025,7,4)), (SWITCH(weekday(BB$4), 1, 0, 2, if(ISBLANK('2025'!$P99), 0, 1), 3, if(ISBLANK('2025'!$Q99), 0, 1), 4, if(ISBLANK('2025'!$R99), 0, 1), 5, if(ISBLANK('2025'!$S99), 0, 1), 6, if(ISBLANK('2025'!$T99), 0, 1), 7, 0))), 1, "")</f>
        <v/>
      </c>
      <c r="BC101" s="1" t="str">
        <f>IF(AND(AND(AND(BC$4&gt;='2025'!$L99,BC$4&lt;='2025'!$M99), BC$4&lt;&gt;DATE(2025,7,4)), (SWITCH(weekday(BC$4), 1, 0, 2, if(ISBLANK('2025'!$P99), 0, 1), 3, if(ISBLANK('2025'!$Q99), 0, 1), 4, if(ISBLANK('2025'!$R99), 0, 1), 5, if(ISBLANK('2025'!$S99), 0, 1), 6, if(ISBLANK('2025'!$T99), 0, 1), 7, 0))), 1, "")</f>
        <v/>
      </c>
      <c r="BD101" s="1" t="str">
        <f>IF(AND(AND(AND(BD$4&gt;='2025'!$L99,BD$4&lt;='2025'!$M99), BD$4&lt;&gt;DATE(2025,7,4)), (SWITCH(weekday(BD$4), 1, 0, 2, if(ISBLANK('2025'!$P99), 0, 1), 3, if(ISBLANK('2025'!$Q99), 0, 1), 4, if(ISBLANK('2025'!$R99), 0, 1), 5, if(ISBLANK('2025'!$S99), 0, 1), 6, if(ISBLANK('2025'!$T99), 0, 1), 7, 0))), 1, "")</f>
        <v/>
      </c>
      <c r="BE101" s="1" t="str">
        <f>IF(AND(AND(AND(BE$4&gt;='2025'!$L99,BE$4&lt;='2025'!$M99), BE$4&lt;&gt;DATE(2025,7,4)), (SWITCH(weekday(BE$4), 1, 0, 2, if(ISBLANK('2025'!$P99), 0, 1), 3, if(ISBLANK('2025'!$Q99), 0, 1), 4, if(ISBLANK('2025'!$R99), 0, 1), 5, if(ISBLANK('2025'!$S99), 0, 1), 6, if(ISBLANK('2025'!$T99), 0, 1), 7, 0))), 1, "")</f>
        <v/>
      </c>
      <c r="BF101" s="1" t="str">
        <f>IF(AND(AND(AND(BF$4&gt;='2025'!$L99,BF$4&lt;='2025'!$M99), BF$4&lt;&gt;DATE(2025,7,4)), (SWITCH(weekday(BF$4), 1, 0, 2, if(ISBLANK('2025'!$P99), 0, 1), 3, if(ISBLANK('2025'!$Q99), 0, 1), 4, if(ISBLANK('2025'!$R99), 0, 1), 5, if(ISBLANK('2025'!$S99), 0, 1), 6, if(ISBLANK('2025'!$T99), 0, 1), 7, 0))), 1, "")</f>
        <v/>
      </c>
      <c r="BG101" s="1"/>
      <c r="BH101" s="1"/>
      <c r="BI101" s="1"/>
      <c r="BJ101" s="1"/>
      <c r="BK101" s="1"/>
      <c r="BL101" s="1"/>
    </row>
    <row r="102">
      <c r="A102" s="1">
        <f t="shared" si="3"/>
        <v>102</v>
      </c>
      <c r="B102" s="1" t="str">
        <f>'2025'!D66</f>
        <v>, </v>
      </c>
      <c r="C102" s="1" t="str">
        <f>'2025'!H66</f>
        <v/>
      </c>
      <c r="D102" s="1" t="str">
        <f>IF(AND(AND(AND(D$4&gt;='2025'!$L100,D$4&lt;='2025'!$M100), D$4&lt;&gt;DATE(2025,7,4)), (SWITCH(weekday(D$4), 1, 0, 2, if(ISBLANK('2025'!$P100), 0, 1), 3, if(ISBLANK('2025'!$Q100), 0, 1), 4, if(ISBLANK('2025'!$R100), 0, 1), 5, if(ISBLANK('2025'!$S100), 0, 1), 6, if(ISBLANK('2025'!$T100), 0, 1), 7, 0))), 1, "")</f>
        <v/>
      </c>
      <c r="E102" s="1" t="str">
        <f>IF(AND(AND(AND(E$4&gt;='2025'!$L100,E$4&lt;='2025'!$M100), E$4&lt;&gt;DATE(2025,7,4)), (SWITCH(weekday(E$4), 1, 0, 2, if(ISBLANK('2025'!$P100), 0, 1), 3, if(ISBLANK('2025'!$Q100), 0, 1), 4, if(ISBLANK('2025'!$R100), 0, 1), 5, if(ISBLANK('2025'!$S100), 0, 1), 6, if(ISBLANK('2025'!$T100), 0, 1), 7, 0))), 1, "")</f>
        <v/>
      </c>
      <c r="F102" s="1" t="str">
        <f>IF(AND(AND(AND(F$4&gt;='2025'!$L100,F$4&lt;='2025'!$M100), F$4&lt;&gt;DATE(2025,7,4)), (SWITCH(weekday(F$4), 1, 0, 2, if(ISBLANK('2025'!$P100), 0, 1), 3, if(ISBLANK('2025'!$Q100), 0, 1), 4, if(ISBLANK('2025'!$R100), 0, 1), 5, if(ISBLANK('2025'!$S100), 0, 1), 6, if(ISBLANK('2025'!$T100), 0, 1), 7, 0))), 1, "")</f>
        <v/>
      </c>
      <c r="G102" s="1" t="str">
        <f>IF(AND(AND(AND(G$4&gt;='2025'!$L100,G$4&lt;='2025'!$M100), G$4&lt;&gt;DATE(2025,7,4)), (SWITCH(weekday(G$4), 1, 0, 2, if(ISBLANK('2025'!$P100), 0, 1), 3, if(ISBLANK('2025'!$Q100), 0, 1), 4, if(ISBLANK('2025'!$R100), 0, 1), 5, if(ISBLANK('2025'!$S100), 0, 1), 6, if(ISBLANK('2025'!$T100), 0, 1), 7, 0))), 1, "")</f>
        <v/>
      </c>
      <c r="H102" s="1" t="str">
        <f>IF(AND(AND(AND(H$4&gt;='2025'!$L100,H$4&lt;='2025'!$M100), H$4&lt;&gt;DATE(2025,7,4)), (SWITCH(weekday(H$4), 1, 0, 2, if(ISBLANK('2025'!$P100), 0, 1), 3, if(ISBLANK('2025'!$Q100), 0, 1), 4, if(ISBLANK('2025'!$R100), 0, 1), 5, if(ISBLANK('2025'!$S100), 0, 1), 6, if(ISBLANK('2025'!$T100), 0, 1), 7, 0))), 1, "")</f>
        <v/>
      </c>
      <c r="I102" s="1" t="str">
        <f>IF(AND(AND(AND(I$4&gt;='2025'!$L100,I$4&lt;='2025'!$M100), I$4&lt;&gt;DATE(2025,7,4)), (SWITCH(weekday(I$4), 1, 0, 2, if(ISBLANK('2025'!$P100), 0, 1), 3, if(ISBLANK('2025'!$Q100), 0, 1), 4, if(ISBLANK('2025'!$R100), 0, 1), 5, if(ISBLANK('2025'!$S100), 0, 1), 6, if(ISBLANK('2025'!$T100), 0, 1), 7, 0))), 1, "")</f>
        <v/>
      </c>
      <c r="J102" s="1" t="str">
        <f>IF(AND(AND(AND(J$4&gt;='2025'!$L100,J$4&lt;='2025'!$M100), J$4&lt;&gt;DATE(2025,7,4)), (SWITCH(weekday(J$4), 1, 0, 2, if(ISBLANK('2025'!$P100), 0, 1), 3, if(ISBLANK('2025'!$Q100), 0, 1), 4, if(ISBLANK('2025'!$R100), 0, 1), 5, if(ISBLANK('2025'!$S100), 0, 1), 6, if(ISBLANK('2025'!$T100), 0, 1), 7, 0))), 1, "")</f>
        <v/>
      </c>
      <c r="K102" s="1" t="str">
        <f>IF(AND(AND(AND(K$4&gt;='2025'!$L100,K$4&lt;='2025'!$M100), K$4&lt;&gt;DATE(2025,7,4)), (SWITCH(weekday(K$4), 1, 0, 2, if(ISBLANK('2025'!$P100), 0, 1), 3, if(ISBLANK('2025'!$Q100), 0, 1), 4, if(ISBLANK('2025'!$R100), 0, 1), 5, if(ISBLANK('2025'!$S100), 0, 1), 6, if(ISBLANK('2025'!$T100), 0, 1), 7, 0))), 1, "")</f>
        <v/>
      </c>
      <c r="L102" s="1" t="str">
        <f>IF(AND(AND(AND(L$4&gt;='2025'!$L100,L$4&lt;='2025'!$M100), L$4&lt;&gt;DATE(2025,7,4)), (SWITCH(weekday(L$4), 1, 0, 2, if(ISBLANK('2025'!$P100), 0, 1), 3, if(ISBLANK('2025'!$Q100), 0, 1), 4, if(ISBLANK('2025'!$R100), 0, 1), 5, if(ISBLANK('2025'!$S100), 0, 1), 6, if(ISBLANK('2025'!$T100), 0, 1), 7, 0))), 1, "")</f>
        <v/>
      </c>
      <c r="M102" s="1" t="str">
        <f>IF(AND(AND(AND(M$4&gt;='2025'!$L100,M$4&lt;='2025'!$M100), M$4&lt;&gt;DATE(2025,7,4)), (SWITCH(weekday(M$4), 1, 0, 2, if(ISBLANK('2025'!$P100), 0, 1), 3, if(ISBLANK('2025'!$Q100), 0, 1), 4, if(ISBLANK('2025'!$R100), 0, 1), 5, if(ISBLANK('2025'!$S100), 0, 1), 6, if(ISBLANK('2025'!$T100), 0, 1), 7, 0))), 1, "")</f>
        <v/>
      </c>
      <c r="N102" s="1" t="str">
        <f>IF(AND(AND(AND(N$4&gt;='2025'!$L100,N$4&lt;='2025'!$M100), N$4&lt;&gt;DATE(2025,7,4)), (SWITCH(weekday(N$4), 1, 0, 2, if(ISBLANK('2025'!$P100), 0, 1), 3, if(ISBLANK('2025'!$Q100), 0, 1), 4, if(ISBLANK('2025'!$R100), 0, 1), 5, if(ISBLANK('2025'!$S100), 0, 1), 6, if(ISBLANK('2025'!$T100), 0, 1), 7, 0))), 1, "")</f>
        <v/>
      </c>
      <c r="O102" s="1" t="str">
        <f>IF(AND(AND(AND(O$4&gt;='2025'!$L100,O$4&lt;='2025'!$M100), O$4&lt;&gt;DATE(2025,7,4)), (SWITCH(weekday(O$4), 1, 0, 2, if(ISBLANK('2025'!$P100), 0, 1), 3, if(ISBLANK('2025'!$Q100), 0, 1), 4, if(ISBLANK('2025'!$R100), 0, 1), 5, if(ISBLANK('2025'!$S100), 0, 1), 6, if(ISBLANK('2025'!$T100), 0, 1), 7, 0))), 1, "")</f>
        <v/>
      </c>
      <c r="P102" s="1" t="str">
        <f>IF(AND(AND(AND(P$4&gt;='2025'!$L100,P$4&lt;='2025'!$M100), P$4&lt;&gt;DATE(2025,7,4)), (SWITCH(weekday(P$4), 1, 0, 2, if(ISBLANK('2025'!$P100), 0, 1), 3, if(ISBLANK('2025'!$Q100), 0, 1), 4, if(ISBLANK('2025'!$R100), 0, 1), 5, if(ISBLANK('2025'!$S100), 0, 1), 6, if(ISBLANK('2025'!$T100), 0, 1), 7, 0))), 1, "")</f>
        <v/>
      </c>
      <c r="Q102" s="1" t="str">
        <f>IF(AND(AND(AND(Q$4&gt;='2025'!$L100,Q$4&lt;='2025'!$M100), Q$4&lt;&gt;DATE(2025,7,4)), (SWITCH(weekday(Q$4), 1, 0, 2, if(ISBLANK('2025'!$P100), 0, 1), 3, if(ISBLANK('2025'!$Q100), 0, 1), 4, if(ISBLANK('2025'!$R100), 0, 1), 5, if(ISBLANK('2025'!$S100), 0, 1), 6, if(ISBLANK('2025'!$T100), 0, 1), 7, 0))), 1, "")</f>
        <v/>
      </c>
      <c r="R102" s="1" t="str">
        <f>IF(AND(AND(AND(R$4&gt;='2025'!$L100,R$4&lt;='2025'!$M100), R$4&lt;&gt;DATE(2025,7,4)), (SWITCH(weekday(R$4), 1, 0, 2, if(ISBLANK('2025'!$P100), 0, 1), 3, if(ISBLANK('2025'!$Q100), 0, 1), 4, if(ISBLANK('2025'!$R100), 0, 1), 5, if(ISBLANK('2025'!$S100), 0, 1), 6, if(ISBLANK('2025'!$T100), 0, 1), 7, 0))), 1, "")</f>
        <v/>
      </c>
      <c r="S102" s="1" t="str">
        <f>IF(AND(AND(AND(S$4&gt;='2025'!$L100,S$4&lt;='2025'!$M100), S$4&lt;&gt;DATE(2025,7,4)), (SWITCH(weekday(S$4), 1, 0, 2, if(ISBLANK('2025'!$P100), 0, 1), 3, if(ISBLANK('2025'!$Q100), 0, 1), 4, if(ISBLANK('2025'!$R100), 0, 1), 5, if(ISBLANK('2025'!$S100), 0, 1), 6, if(ISBLANK('2025'!$T100), 0, 1), 7, 0))), 1, "")</f>
        <v/>
      </c>
      <c r="T102" s="1" t="str">
        <f>IF(AND(AND(AND(T$4&gt;='2025'!$L100,T$4&lt;='2025'!$M100), T$4&lt;&gt;DATE(2025,7,4)), (SWITCH(weekday(T$4), 1, 0, 2, if(ISBLANK('2025'!$P100), 0, 1), 3, if(ISBLANK('2025'!$Q100), 0, 1), 4, if(ISBLANK('2025'!$R100), 0, 1), 5, if(ISBLANK('2025'!$S100), 0, 1), 6, if(ISBLANK('2025'!$T100), 0, 1), 7, 0))), 1, "")</f>
        <v/>
      </c>
      <c r="U102" s="1" t="str">
        <f>IF(AND(AND(AND(U$4&gt;='2025'!$L100,U$4&lt;='2025'!$M100), U$4&lt;&gt;DATE(2025,7,4)), (SWITCH(weekday(U$4), 1, 0, 2, if(ISBLANK('2025'!$P100), 0, 1), 3, if(ISBLANK('2025'!$Q100), 0, 1), 4, if(ISBLANK('2025'!$R100), 0, 1), 5, if(ISBLANK('2025'!$S100), 0, 1), 6, if(ISBLANK('2025'!$T100), 0, 1), 7, 0))), 1, "")</f>
        <v/>
      </c>
      <c r="V102" s="1" t="str">
        <f>IF(AND(AND(AND(V$4&gt;='2025'!$L100,V$4&lt;='2025'!$M100), V$4&lt;&gt;DATE(2025,7,4)), (SWITCH(weekday(V$4), 1, 0, 2, if(ISBLANK('2025'!$P100), 0, 1), 3, if(ISBLANK('2025'!$Q100), 0, 1), 4, if(ISBLANK('2025'!$R100), 0, 1), 5, if(ISBLANK('2025'!$S100), 0, 1), 6, if(ISBLANK('2025'!$T100), 0, 1), 7, 0))), 1, "")</f>
        <v/>
      </c>
      <c r="W102" s="1" t="str">
        <f>IF(AND(AND(AND(W$4&gt;='2025'!$L100,W$4&lt;='2025'!$M100), W$4&lt;&gt;DATE(2025,7,4)), (SWITCH(weekday(W$4), 1, 0, 2, if(ISBLANK('2025'!$P100), 0, 1), 3, if(ISBLANK('2025'!$Q100), 0, 1), 4, if(ISBLANK('2025'!$R100), 0, 1), 5, if(ISBLANK('2025'!$S100), 0, 1), 6, if(ISBLANK('2025'!$T100), 0, 1), 7, 0))), 1, "")</f>
        <v/>
      </c>
      <c r="X102" s="1" t="str">
        <f>IF(AND(AND(AND(X$4&gt;='2025'!$L100,X$4&lt;='2025'!$M100), X$4&lt;&gt;DATE(2025,7,4)), (SWITCH(weekday(X$4), 1, 0, 2, if(ISBLANK('2025'!$P100), 0, 1), 3, if(ISBLANK('2025'!$Q100), 0, 1), 4, if(ISBLANK('2025'!$R100), 0, 1), 5, if(ISBLANK('2025'!$S100), 0, 1), 6, if(ISBLANK('2025'!$T100), 0, 1), 7, 0))), 1, "")</f>
        <v/>
      </c>
      <c r="Y102" s="1" t="str">
        <f>IF(AND(AND(AND(Y$4&gt;='2025'!$L100,Y$4&lt;='2025'!$M100), Y$4&lt;&gt;DATE(2025,7,4)), (SWITCH(weekday(Y$4), 1, 0, 2, if(ISBLANK('2025'!$P100), 0, 1), 3, if(ISBLANK('2025'!$Q100), 0, 1), 4, if(ISBLANK('2025'!$R100), 0, 1), 5, if(ISBLANK('2025'!$S100), 0, 1), 6, if(ISBLANK('2025'!$T100), 0, 1), 7, 0))), 1, "")</f>
        <v/>
      </c>
      <c r="Z102" s="1" t="str">
        <f>IF(AND(AND(AND(Z$4&gt;='2025'!$L100,Z$4&lt;='2025'!$M100), Z$4&lt;&gt;DATE(2025,7,4)), (SWITCH(weekday(Z$4), 1, 0, 2, if(ISBLANK('2025'!$P100), 0, 1), 3, if(ISBLANK('2025'!$Q100), 0, 1), 4, if(ISBLANK('2025'!$R100), 0, 1), 5, if(ISBLANK('2025'!$S100), 0, 1), 6, if(ISBLANK('2025'!$T100), 0, 1), 7, 0))), 1, "")</f>
        <v/>
      </c>
      <c r="AA102" s="1" t="str">
        <f>IF(AND(AND(AND(AA$4&gt;='2025'!$L100,AA$4&lt;='2025'!$M100), AA$4&lt;&gt;DATE(2025,7,4)), (SWITCH(weekday(AA$4), 1, 0, 2, if(ISBLANK('2025'!$P100), 0, 1), 3, if(ISBLANK('2025'!$Q100), 0, 1), 4, if(ISBLANK('2025'!$R100), 0, 1), 5, if(ISBLANK('2025'!$S100), 0, 1), 6, if(ISBLANK('2025'!$T100), 0, 1), 7, 0))), 1, "")</f>
        <v/>
      </c>
      <c r="AB102" s="1" t="str">
        <f>IF(AND(AND(AND(AB$4&gt;='2025'!$L100,AB$4&lt;='2025'!$M100), AB$4&lt;&gt;DATE(2025,7,4)), (SWITCH(weekday(AB$4), 1, 0, 2, if(ISBLANK('2025'!$P100), 0, 1), 3, if(ISBLANK('2025'!$Q100), 0, 1), 4, if(ISBLANK('2025'!$R100), 0, 1), 5, if(ISBLANK('2025'!$S100), 0, 1), 6, if(ISBLANK('2025'!$T100), 0, 1), 7, 0))), 1, "")</f>
        <v/>
      </c>
      <c r="AC102" s="1" t="str">
        <f>IF(AND(AND(AND(AC$4&gt;='2025'!$L100,AC$4&lt;='2025'!$M100), AC$4&lt;&gt;DATE(2025,7,4)), (SWITCH(weekday(AC$4), 1, 0, 2, if(ISBLANK('2025'!$P100), 0, 1), 3, if(ISBLANK('2025'!$Q100), 0, 1), 4, if(ISBLANK('2025'!$R100), 0, 1), 5, if(ISBLANK('2025'!$S100), 0, 1), 6, if(ISBLANK('2025'!$T100), 0, 1), 7, 0))), 1, "")</f>
        <v/>
      </c>
      <c r="AD102" s="1" t="str">
        <f>IF(AND(AND(AND(AD$4&gt;='2025'!$L100,AD$4&lt;='2025'!$M100), AD$4&lt;&gt;DATE(2025,7,4)), (SWITCH(weekday(AD$4), 1, 0, 2, if(ISBLANK('2025'!$P100), 0, 1), 3, if(ISBLANK('2025'!$Q100), 0, 1), 4, if(ISBLANK('2025'!$R100), 0, 1), 5, if(ISBLANK('2025'!$S100), 0, 1), 6, if(ISBLANK('2025'!$T100), 0, 1), 7, 0))), 1, "")</f>
        <v/>
      </c>
      <c r="AE102" s="1" t="str">
        <f>IF(AND(AND(AND(AE$4&gt;='2025'!$L100,AE$4&lt;='2025'!$M100), AE$4&lt;&gt;DATE(2025,7,4)), (SWITCH(weekday(AE$4), 1, 0, 2, if(ISBLANK('2025'!$P100), 0, 1), 3, if(ISBLANK('2025'!$Q100), 0, 1), 4, if(ISBLANK('2025'!$R100), 0, 1), 5, if(ISBLANK('2025'!$S100), 0, 1), 6, if(ISBLANK('2025'!$T100), 0, 1), 7, 0))), 1, "")</f>
        <v/>
      </c>
      <c r="AF102" s="1" t="str">
        <f>IF(AND(AND(AND(AF$4&gt;='2025'!$L100,AF$4&lt;='2025'!$M100), AF$4&lt;&gt;DATE(2025,7,4)), (SWITCH(weekday(AF$4), 1, 0, 2, if(ISBLANK('2025'!$P100), 0, 1), 3, if(ISBLANK('2025'!$Q100), 0, 1), 4, if(ISBLANK('2025'!$R100), 0, 1), 5, if(ISBLANK('2025'!$S100), 0, 1), 6, if(ISBLANK('2025'!$T100), 0, 1), 7, 0))), 1, "")</f>
        <v/>
      </c>
      <c r="AG102" s="1" t="str">
        <f>IF(AND(AND(AND(AG$4&gt;='2025'!$L100,AG$4&lt;='2025'!$M100), AG$4&lt;&gt;DATE(2025,7,4)), (SWITCH(weekday(AG$4), 1, 0, 2, if(ISBLANK('2025'!$P100), 0, 1), 3, if(ISBLANK('2025'!$Q100), 0, 1), 4, if(ISBLANK('2025'!$R100), 0, 1), 5, if(ISBLANK('2025'!$S100), 0, 1), 6, if(ISBLANK('2025'!$T100), 0, 1), 7, 0))), 1, "")</f>
        <v/>
      </c>
      <c r="AH102" s="1" t="str">
        <f>IF(AND(AND(AND(AH$4&gt;='2025'!$L100,AH$4&lt;='2025'!$M100), AH$4&lt;&gt;DATE(2025,7,4)), (SWITCH(weekday(AH$4), 1, 0, 2, if(ISBLANK('2025'!$P100), 0, 1), 3, if(ISBLANK('2025'!$Q100), 0, 1), 4, if(ISBLANK('2025'!$R100), 0, 1), 5, if(ISBLANK('2025'!$S100), 0, 1), 6, if(ISBLANK('2025'!$T100), 0, 1), 7, 0))), 1, "")</f>
        <v/>
      </c>
      <c r="AI102" s="1" t="str">
        <f>IF(AND(AND(AND(AI$4&gt;='2025'!$L100,AI$4&lt;='2025'!$M100), AI$4&lt;&gt;DATE(2025,7,4)), (SWITCH(weekday(AI$4), 1, 0, 2, if(ISBLANK('2025'!$P100), 0, 1), 3, if(ISBLANK('2025'!$Q100), 0, 1), 4, if(ISBLANK('2025'!$R100), 0, 1), 5, if(ISBLANK('2025'!$S100), 0, 1), 6, if(ISBLANK('2025'!$T100), 0, 1), 7, 0))), 1, "")</f>
        <v/>
      </c>
      <c r="AJ102" s="1" t="str">
        <f>IF(AND(AND(AND(AJ$4&gt;='2025'!$L100,AJ$4&lt;='2025'!$M100), AJ$4&lt;&gt;DATE(2025,7,4)), (SWITCH(weekday(AJ$4), 1, 0, 2, if(ISBLANK('2025'!$P100), 0, 1), 3, if(ISBLANK('2025'!$Q100), 0, 1), 4, if(ISBLANK('2025'!$R100), 0, 1), 5, if(ISBLANK('2025'!$S100), 0, 1), 6, if(ISBLANK('2025'!$T100), 0, 1), 7, 0))), 1, "")</f>
        <v/>
      </c>
      <c r="AK102" s="1" t="str">
        <f>IF(AND(AND(AND(AK$4&gt;='2025'!$L100,AK$4&lt;='2025'!$M100), AK$4&lt;&gt;DATE(2025,7,4)), (SWITCH(weekday(AK$4), 1, 0, 2, if(ISBLANK('2025'!$P100), 0, 1), 3, if(ISBLANK('2025'!$Q100), 0, 1), 4, if(ISBLANK('2025'!$R100), 0, 1), 5, if(ISBLANK('2025'!$S100), 0, 1), 6, if(ISBLANK('2025'!$T100), 0, 1), 7, 0))), 1, "")</f>
        <v/>
      </c>
      <c r="AL102" s="1" t="str">
        <f>IF(AND(AND(AND(AL$4&gt;='2025'!$L100,AL$4&lt;='2025'!$M100), AL$4&lt;&gt;DATE(2025,7,4)), (SWITCH(weekday(AL$4), 1, 0, 2, if(ISBLANK('2025'!$P100), 0, 1), 3, if(ISBLANK('2025'!$Q100), 0, 1), 4, if(ISBLANK('2025'!$R100), 0, 1), 5, if(ISBLANK('2025'!$S100), 0, 1), 6, if(ISBLANK('2025'!$T100), 0, 1), 7, 0))), 1, "")</f>
        <v/>
      </c>
      <c r="AM102" s="1" t="str">
        <f>IF(AND(AND(AND(AM$4&gt;='2025'!$L100,AM$4&lt;='2025'!$M100), AM$4&lt;&gt;DATE(2025,7,4)), (SWITCH(weekday(AM$4), 1, 0, 2, if(ISBLANK('2025'!$P100), 0, 1), 3, if(ISBLANK('2025'!$Q100), 0, 1), 4, if(ISBLANK('2025'!$R100), 0, 1), 5, if(ISBLANK('2025'!$S100), 0, 1), 6, if(ISBLANK('2025'!$T100), 0, 1), 7, 0))), 1, "")</f>
        <v/>
      </c>
      <c r="AN102" s="1" t="str">
        <f>IF(AND(AND(AND(AN$4&gt;='2025'!$L100,AN$4&lt;='2025'!$M100), AN$4&lt;&gt;DATE(2025,7,4)), (SWITCH(weekday(AN$4), 1, 0, 2, if(ISBLANK('2025'!$P100), 0, 1), 3, if(ISBLANK('2025'!$Q100), 0, 1), 4, if(ISBLANK('2025'!$R100), 0, 1), 5, if(ISBLANK('2025'!$S100), 0, 1), 6, if(ISBLANK('2025'!$T100), 0, 1), 7, 0))), 1, "")</f>
        <v/>
      </c>
      <c r="AO102" s="1" t="str">
        <f>IF(AND(AND(AND(AO$4&gt;='2025'!$L100,AO$4&lt;='2025'!$M100), AO$4&lt;&gt;DATE(2025,7,4)), (SWITCH(weekday(AO$4), 1, 0, 2, if(ISBLANK('2025'!$P100), 0, 1), 3, if(ISBLANK('2025'!$Q100), 0, 1), 4, if(ISBLANK('2025'!$R100), 0, 1), 5, if(ISBLANK('2025'!$S100), 0, 1), 6, if(ISBLANK('2025'!$T100), 0, 1), 7, 0))), 1, "")</f>
        <v/>
      </c>
      <c r="AP102" s="1" t="str">
        <f>IF(AND(AND(AND(AP$4&gt;='2025'!$L100,AP$4&lt;='2025'!$M100), AP$4&lt;&gt;DATE(2025,7,4)), (SWITCH(weekday(AP$4), 1, 0, 2, if(ISBLANK('2025'!$P100), 0, 1), 3, if(ISBLANK('2025'!$Q100), 0, 1), 4, if(ISBLANK('2025'!$R100), 0, 1), 5, if(ISBLANK('2025'!$S100), 0, 1), 6, if(ISBLANK('2025'!$T100), 0, 1), 7, 0))), 1, "")</f>
        <v/>
      </c>
      <c r="AQ102" s="1" t="str">
        <f>IF(AND(AND(AND(AQ$4&gt;='2025'!$L100,AQ$4&lt;='2025'!$M100), AQ$4&lt;&gt;DATE(2025,7,4)), (SWITCH(weekday(AQ$4), 1, 0, 2, if(ISBLANK('2025'!$P100), 0, 1), 3, if(ISBLANK('2025'!$Q100), 0, 1), 4, if(ISBLANK('2025'!$R100), 0, 1), 5, if(ISBLANK('2025'!$S100), 0, 1), 6, if(ISBLANK('2025'!$T100), 0, 1), 7, 0))), 1, "")</f>
        <v/>
      </c>
      <c r="AR102" s="1" t="str">
        <f>IF(AND(AND(AND(AR$4&gt;='2025'!$L100,AR$4&lt;='2025'!$M100), AR$4&lt;&gt;DATE(2025,7,4)), (SWITCH(weekday(AR$4), 1, 0, 2, if(ISBLANK('2025'!$P100), 0, 1), 3, if(ISBLANK('2025'!$Q100), 0, 1), 4, if(ISBLANK('2025'!$R100), 0, 1), 5, if(ISBLANK('2025'!$S100), 0, 1), 6, if(ISBLANK('2025'!$T100), 0, 1), 7, 0))), 1, "")</f>
        <v/>
      </c>
      <c r="AS102" s="1" t="str">
        <f>IF(AND(AND(AND(AS$4&gt;='2025'!$L100,AS$4&lt;='2025'!$M100), AS$4&lt;&gt;DATE(2025,7,4)), (SWITCH(weekday(AS$4), 1, 0, 2, if(ISBLANK('2025'!$P100), 0, 1), 3, if(ISBLANK('2025'!$Q100), 0, 1), 4, if(ISBLANK('2025'!$R100), 0, 1), 5, if(ISBLANK('2025'!$S100), 0, 1), 6, if(ISBLANK('2025'!$T100), 0, 1), 7, 0))), 1, "")</f>
        <v/>
      </c>
      <c r="AT102" s="1" t="str">
        <f>IF(AND(AND(AND(AT$4&gt;='2025'!$L100,AT$4&lt;='2025'!$M100), AT$4&lt;&gt;DATE(2025,7,4)), (SWITCH(weekday(AT$4), 1, 0, 2, if(ISBLANK('2025'!$P100), 0, 1), 3, if(ISBLANK('2025'!$Q100), 0, 1), 4, if(ISBLANK('2025'!$R100), 0, 1), 5, if(ISBLANK('2025'!$S100), 0, 1), 6, if(ISBLANK('2025'!$T100), 0, 1), 7, 0))), 1, "")</f>
        <v/>
      </c>
      <c r="AU102" s="1" t="str">
        <f>IF(AND(AND(AND(AU$4&gt;='2025'!$L100,AU$4&lt;='2025'!$M100), AU$4&lt;&gt;DATE(2025,7,4)), (SWITCH(weekday(AU$4), 1, 0, 2, if(ISBLANK('2025'!$P100), 0, 1), 3, if(ISBLANK('2025'!$Q100), 0, 1), 4, if(ISBLANK('2025'!$R100), 0, 1), 5, if(ISBLANK('2025'!$S100), 0, 1), 6, if(ISBLANK('2025'!$T100), 0, 1), 7, 0))), 1, "")</f>
        <v/>
      </c>
      <c r="AV102" s="1" t="str">
        <f>IF(AND(AND(AND(AV$4&gt;='2025'!$L100,AV$4&lt;='2025'!$M100), AV$4&lt;&gt;DATE(2025,7,4)), (SWITCH(weekday(AV$4), 1, 0, 2, if(ISBLANK('2025'!$P100), 0, 1), 3, if(ISBLANK('2025'!$Q100), 0, 1), 4, if(ISBLANK('2025'!$R100), 0, 1), 5, if(ISBLANK('2025'!$S100), 0, 1), 6, if(ISBLANK('2025'!$T100), 0, 1), 7, 0))), 1, "")</f>
        <v/>
      </c>
      <c r="AW102" s="1" t="str">
        <f>IF(AND(AND(AND(AW$4&gt;='2025'!$L100,AW$4&lt;='2025'!$M100), AW$4&lt;&gt;DATE(2025,7,4)), (SWITCH(weekday(AW$4), 1, 0, 2, if(ISBLANK('2025'!$P100), 0, 1), 3, if(ISBLANK('2025'!$Q100), 0, 1), 4, if(ISBLANK('2025'!$R100), 0, 1), 5, if(ISBLANK('2025'!$S100), 0, 1), 6, if(ISBLANK('2025'!$T100), 0, 1), 7, 0))), 1, "")</f>
        <v/>
      </c>
      <c r="AX102" s="1" t="str">
        <f>IF(AND(AND(AND(AX$4&gt;='2025'!$L100,AX$4&lt;='2025'!$M100), AX$4&lt;&gt;DATE(2025,7,4)), (SWITCH(weekday(AX$4), 1, 0, 2, if(ISBLANK('2025'!$P100), 0, 1), 3, if(ISBLANK('2025'!$Q100), 0, 1), 4, if(ISBLANK('2025'!$R100), 0, 1), 5, if(ISBLANK('2025'!$S100), 0, 1), 6, if(ISBLANK('2025'!$T100), 0, 1), 7, 0))), 1, "")</f>
        <v/>
      </c>
      <c r="AY102" s="1" t="str">
        <f>IF(AND(AND(AND(AY$4&gt;='2025'!$L100,AY$4&lt;='2025'!$M100), AY$4&lt;&gt;DATE(2025,7,4)), (SWITCH(weekday(AY$4), 1, 0, 2, if(ISBLANK('2025'!$P100), 0, 1), 3, if(ISBLANK('2025'!$Q100), 0, 1), 4, if(ISBLANK('2025'!$R100), 0, 1), 5, if(ISBLANK('2025'!$S100), 0, 1), 6, if(ISBLANK('2025'!$T100), 0, 1), 7, 0))), 1, "")</f>
        <v/>
      </c>
      <c r="AZ102" s="1" t="str">
        <f>IF(AND(AND(AND(AZ$4&gt;='2025'!$L100,AZ$4&lt;='2025'!$M100), AZ$4&lt;&gt;DATE(2025,7,4)), (SWITCH(weekday(AZ$4), 1, 0, 2, if(ISBLANK('2025'!$P100), 0, 1), 3, if(ISBLANK('2025'!$Q100), 0, 1), 4, if(ISBLANK('2025'!$R100), 0, 1), 5, if(ISBLANK('2025'!$S100), 0, 1), 6, if(ISBLANK('2025'!$T100), 0, 1), 7, 0))), 1, "")</f>
        <v/>
      </c>
      <c r="BA102" s="1" t="str">
        <f>IF(AND(AND(AND(BA$4&gt;='2025'!$L100,BA$4&lt;='2025'!$M100), BA$4&lt;&gt;DATE(2025,7,4)), (SWITCH(weekday(BA$4), 1, 0, 2, if(ISBLANK('2025'!$P100), 0, 1), 3, if(ISBLANK('2025'!$Q100), 0, 1), 4, if(ISBLANK('2025'!$R100), 0, 1), 5, if(ISBLANK('2025'!$S100), 0, 1), 6, if(ISBLANK('2025'!$T100), 0, 1), 7, 0))), 1, "")</f>
        <v/>
      </c>
      <c r="BB102" s="1" t="str">
        <f>IF(AND(AND(AND(BB$4&gt;='2025'!$L100,BB$4&lt;='2025'!$M100), BB$4&lt;&gt;DATE(2025,7,4)), (SWITCH(weekday(BB$4), 1, 0, 2, if(ISBLANK('2025'!$P100), 0, 1), 3, if(ISBLANK('2025'!$Q100), 0, 1), 4, if(ISBLANK('2025'!$R100), 0, 1), 5, if(ISBLANK('2025'!$S100), 0, 1), 6, if(ISBLANK('2025'!$T100), 0, 1), 7, 0))), 1, "")</f>
        <v/>
      </c>
      <c r="BC102" s="1" t="str">
        <f>IF(AND(AND(AND(BC$4&gt;='2025'!$L100,BC$4&lt;='2025'!$M100), BC$4&lt;&gt;DATE(2025,7,4)), (SWITCH(weekday(BC$4), 1, 0, 2, if(ISBLANK('2025'!$P100), 0, 1), 3, if(ISBLANK('2025'!$Q100), 0, 1), 4, if(ISBLANK('2025'!$R100), 0, 1), 5, if(ISBLANK('2025'!$S100), 0, 1), 6, if(ISBLANK('2025'!$T100), 0, 1), 7, 0))), 1, "")</f>
        <v/>
      </c>
      <c r="BD102" s="1" t="str">
        <f>IF(AND(AND(AND(BD$4&gt;='2025'!$L100,BD$4&lt;='2025'!$M100), BD$4&lt;&gt;DATE(2025,7,4)), (SWITCH(weekday(BD$4), 1, 0, 2, if(ISBLANK('2025'!$P100), 0, 1), 3, if(ISBLANK('2025'!$Q100), 0, 1), 4, if(ISBLANK('2025'!$R100), 0, 1), 5, if(ISBLANK('2025'!$S100), 0, 1), 6, if(ISBLANK('2025'!$T100), 0, 1), 7, 0))), 1, "")</f>
        <v/>
      </c>
      <c r="BE102" s="1" t="str">
        <f>IF(AND(AND(AND(BE$4&gt;='2025'!$L100,BE$4&lt;='2025'!$M100), BE$4&lt;&gt;DATE(2025,7,4)), (SWITCH(weekday(BE$4), 1, 0, 2, if(ISBLANK('2025'!$P100), 0, 1), 3, if(ISBLANK('2025'!$Q100), 0, 1), 4, if(ISBLANK('2025'!$R100), 0, 1), 5, if(ISBLANK('2025'!$S100), 0, 1), 6, if(ISBLANK('2025'!$T100), 0, 1), 7, 0))), 1, "")</f>
        <v/>
      </c>
      <c r="BF102" s="1" t="str">
        <f>IF(AND(AND(AND(BF$4&gt;='2025'!$L100,BF$4&lt;='2025'!$M100), BF$4&lt;&gt;DATE(2025,7,4)), (SWITCH(weekday(BF$4), 1, 0, 2, if(ISBLANK('2025'!$P100), 0, 1), 3, if(ISBLANK('2025'!$Q100), 0, 1), 4, if(ISBLANK('2025'!$R100), 0, 1), 5, if(ISBLANK('2025'!$S100), 0, 1), 6, if(ISBLANK('2025'!$T100), 0, 1), 7, 0))), 1, "")</f>
        <v/>
      </c>
      <c r="BG102" s="1"/>
      <c r="BH102" s="1"/>
      <c r="BI102" s="1"/>
      <c r="BJ102" s="1"/>
      <c r="BK102" s="1"/>
      <c r="BL102" s="1"/>
    </row>
    <row r="103">
      <c r="A103" s="1">
        <f t="shared" si="3"/>
        <v>103</v>
      </c>
      <c r="B103" s="1" t="str">
        <f>'2025'!D67</f>
        <v>, </v>
      </c>
      <c r="C103" s="1" t="str">
        <f>'2025'!H67</f>
        <v/>
      </c>
      <c r="D103" s="1" t="str">
        <f>IF(AND(AND(AND(D$4&gt;='2025'!$L101,D$4&lt;='2025'!$M101), D$4&lt;&gt;DATE(2025,7,4)), (SWITCH(weekday(D$4), 1, 0, 2, if(ISBLANK('2025'!$P101), 0, 1), 3, if(ISBLANK('2025'!$Q101), 0, 1), 4, if(ISBLANK('2025'!$R101), 0, 1), 5, if(ISBLANK('2025'!$S101), 0, 1), 6, if(ISBLANK('2025'!$T101), 0, 1), 7, 0))), 1, "")</f>
        <v/>
      </c>
      <c r="E103" s="1" t="str">
        <f>IF(AND(AND(AND(E$4&gt;='2025'!$L101,E$4&lt;='2025'!$M101), E$4&lt;&gt;DATE(2025,7,4)), (SWITCH(weekday(E$4), 1, 0, 2, if(ISBLANK('2025'!$P101), 0, 1), 3, if(ISBLANK('2025'!$Q101), 0, 1), 4, if(ISBLANK('2025'!$R101), 0, 1), 5, if(ISBLANK('2025'!$S101), 0, 1), 6, if(ISBLANK('2025'!$T101), 0, 1), 7, 0))), 1, "")</f>
        <v/>
      </c>
      <c r="F103" s="1" t="str">
        <f>IF(AND(AND(AND(F$4&gt;='2025'!$L101,F$4&lt;='2025'!$M101), F$4&lt;&gt;DATE(2025,7,4)), (SWITCH(weekday(F$4), 1, 0, 2, if(ISBLANK('2025'!$P101), 0, 1), 3, if(ISBLANK('2025'!$Q101), 0, 1), 4, if(ISBLANK('2025'!$R101), 0, 1), 5, if(ISBLANK('2025'!$S101), 0, 1), 6, if(ISBLANK('2025'!$T101), 0, 1), 7, 0))), 1, "")</f>
        <v/>
      </c>
      <c r="G103" s="1" t="str">
        <f>IF(AND(AND(AND(G$4&gt;='2025'!$L101,G$4&lt;='2025'!$M101), G$4&lt;&gt;DATE(2025,7,4)), (SWITCH(weekday(G$4), 1, 0, 2, if(ISBLANK('2025'!$P101), 0, 1), 3, if(ISBLANK('2025'!$Q101), 0, 1), 4, if(ISBLANK('2025'!$R101), 0, 1), 5, if(ISBLANK('2025'!$S101), 0, 1), 6, if(ISBLANK('2025'!$T101), 0, 1), 7, 0))), 1, "")</f>
        <v/>
      </c>
      <c r="H103" s="1" t="str">
        <f>IF(AND(AND(AND(H$4&gt;='2025'!$L101,H$4&lt;='2025'!$M101), H$4&lt;&gt;DATE(2025,7,4)), (SWITCH(weekday(H$4), 1, 0, 2, if(ISBLANK('2025'!$P101), 0, 1), 3, if(ISBLANK('2025'!$Q101), 0, 1), 4, if(ISBLANK('2025'!$R101), 0, 1), 5, if(ISBLANK('2025'!$S101), 0, 1), 6, if(ISBLANK('2025'!$T101), 0, 1), 7, 0))), 1, "")</f>
        <v/>
      </c>
      <c r="I103" s="1" t="str">
        <f>IF(AND(AND(AND(I$4&gt;='2025'!$L101,I$4&lt;='2025'!$M101), I$4&lt;&gt;DATE(2025,7,4)), (SWITCH(weekday(I$4), 1, 0, 2, if(ISBLANK('2025'!$P101), 0, 1), 3, if(ISBLANK('2025'!$Q101), 0, 1), 4, if(ISBLANK('2025'!$R101), 0, 1), 5, if(ISBLANK('2025'!$S101), 0, 1), 6, if(ISBLANK('2025'!$T101), 0, 1), 7, 0))), 1, "")</f>
        <v/>
      </c>
      <c r="J103" s="1" t="str">
        <f>IF(AND(AND(AND(J$4&gt;='2025'!$L101,J$4&lt;='2025'!$M101), J$4&lt;&gt;DATE(2025,7,4)), (SWITCH(weekday(J$4), 1, 0, 2, if(ISBLANK('2025'!$P101), 0, 1), 3, if(ISBLANK('2025'!$Q101), 0, 1), 4, if(ISBLANK('2025'!$R101), 0, 1), 5, if(ISBLANK('2025'!$S101), 0, 1), 6, if(ISBLANK('2025'!$T101), 0, 1), 7, 0))), 1, "")</f>
        <v/>
      </c>
      <c r="K103" s="1" t="str">
        <f>IF(AND(AND(AND(K$4&gt;='2025'!$L101,K$4&lt;='2025'!$M101), K$4&lt;&gt;DATE(2025,7,4)), (SWITCH(weekday(K$4), 1, 0, 2, if(ISBLANK('2025'!$P101), 0, 1), 3, if(ISBLANK('2025'!$Q101), 0, 1), 4, if(ISBLANK('2025'!$R101), 0, 1), 5, if(ISBLANK('2025'!$S101), 0, 1), 6, if(ISBLANK('2025'!$T101), 0, 1), 7, 0))), 1, "")</f>
        <v/>
      </c>
      <c r="L103" s="1" t="str">
        <f>IF(AND(AND(AND(L$4&gt;='2025'!$L101,L$4&lt;='2025'!$M101), L$4&lt;&gt;DATE(2025,7,4)), (SWITCH(weekday(L$4), 1, 0, 2, if(ISBLANK('2025'!$P101), 0, 1), 3, if(ISBLANK('2025'!$Q101), 0, 1), 4, if(ISBLANK('2025'!$R101), 0, 1), 5, if(ISBLANK('2025'!$S101), 0, 1), 6, if(ISBLANK('2025'!$T101), 0, 1), 7, 0))), 1, "")</f>
        <v/>
      </c>
      <c r="M103" s="1" t="str">
        <f>IF(AND(AND(AND(M$4&gt;='2025'!$L101,M$4&lt;='2025'!$M101), M$4&lt;&gt;DATE(2025,7,4)), (SWITCH(weekday(M$4), 1, 0, 2, if(ISBLANK('2025'!$P101), 0, 1), 3, if(ISBLANK('2025'!$Q101), 0, 1), 4, if(ISBLANK('2025'!$R101), 0, 1), 5, if(ISBLANK('2025'!$S101), 0, 1), 6, if(ISBLANK('2025'!$T101), 0, 1), 7, 0))), 1, "")</f>
        <v/>
      </c>
      <c r="N103" s="1" t="str">
        <f>IF(AND(AND(AND(N$4&gt;='2025'!$L101,N$4&lt;='2025'!$M101), N$4&lt;&gt;DATE(2025,7,4)), (SWITCH(weekday(N$4), 1, 0, 2, if(ISBLANK('2025'!$P101), 0, 1), 3, if(ISBLANK('2025'!$Q101), 0, 1), 4, if(ISBLANK('2025'!$R101), 0, 1), 5, if(ISBLANK('2025'!$S101), 0, 1), 6, if(ISBLANK('2025'!$T101), 0, 1), 7, 0))), 1, "")</f>
        <v/>
      </c>
      <c r="O103" s="1" t="str">
        <f>IF(AND(AND(AND(O$4&gt;='2025'!$L101,O$4&lt;='2025'!$M101), O$4&lt;&gt;DATE(2025,7,4)), (SWITCH(weekday(O$4), 1, 0, 2, if(ISBLANK('2025'!$P101), 0, 1), 3, if(ISBLANK('2025'!$Q101), 0, 1), 4, if(ISBLANK('2025'!$R101), 0, 1), 5, if(ISBLANK('2025'!$S101), 0, 1), 6, if(ISBLANK('2025'!$T101), 0, 1), 7, 0))), 1, "")</f>
        <v/>
      </c>
      <c r="P103" s="1" t="str">
        <f>IF(AND(AND(AND(P$4&gt;='2025'!$L101,P$4&lt;='2025'!$M101), P$4&lt;&gt;DATE(2025,7,4)), (SWITCH(weekday(P$4), 1, 0, 2, if(ISBLANK('2025'!$P101), 0, 1), 3, if(ISBLANK('2025'!$Q101), 0, 1), 4, if(ISBLANK('2025'!$R101), 0, 1), 5, if(ISBLANK('2025'!$S101), 0, 1), 6, if(ISBLANK('2025'!$T101), 0, 1), 7, 0))), 1, "")</f>
        <v/>
      </c>
      <c r="Q103" s="1" t="str">
        <f>IF(AND(AND(AND(Q$4&gt;='2025'!$L101,Q$4&lt;='2025'!$M101), Q$4&lt;&gt;DATE(2025,7,4)), (SWITCH(weekday(Q$4), 1, 0, 2, if(ISBLANK('2025'!$P101), 0, 1), 3, if(ISBLANK('2025'!$Q101), 0, 1), 4, if(ISBLANK('2025'!$R101), 0, 1), 5, if(ISBLANK('2025'!$S101), 0, 1), 6, if(ISBLANK('2025'!$T101), 0, 1), 7, 0))), 1, "")</f>
        <v/>
      </c>
      <c r="R103" s="1" t="str">
        <f>IF(AND(AND(AND(R$4&gt;='2025'!$L101,R$4&lt;='2025'!$M101), R$4&lt;&gt;DATE(2025,7,4)), (SWITCH(weekday(R$4), 1, 0, 2, if(ISBLANK('2025'!$P101), 0, 1), 3, if(ISBLANK('2025'!$Q101), 0, 1), 4, if(ISBLANK('2025'!$R101), 0, 1), 5, if(ISBLANK('2025'!$S101), 0, 1), 6, if(ISBLANK('2025'!$T101), 0, 1), 7, 0))), 1, "")</f>
        <v/>
      </c>
      <c r="S103" s="1" t="str">
        <f>IF(AND(AND(AND(S$4&gt;='2025'!$L101,S$4&lt;='2025'!$M101), S$4&lt;&gt;DATE(2025,7,4)), (SWITCH(weekday(S$4), 1, 0, 2, if(ISBLANK('2025'!$P101), 0, 1), 3, if(ISBLANK('2025'!$Q101), 0, 1), 4, if(ISBLANK('2025'!$R101), 0, 1), 5, if(ISBLANK('2025'!$S101), 0, 1), 6, if(ISBLANK('2025'!$T101), 0, 1), 7, 0))), 1, "")</f>
        <v/>
      </c>
      <c r="T103" s="1" t="str">
        <f>IF(AND(AND(AND(T$4&gt;='2025'!$L101,T$4&lt;='2025'!$M101), T$4&lt;&gt;DATE(2025,7,4)), (SWITCH(weekday(T$4), 1, 0, 2, if(ISBLANK('2025'!$P101), 0, 1), 3, if(ISBLANK('2025'!$Q101), 0, 1), 4, if(ISBLANK('2025'!$R101), 0, 1), 5, if(ISBLANK('2025'!$S101), 0, 1), 6, if(ISBLANK('2025'!$T101), 0, 1), 7, 0))), 1, "")</f>
        <v/>
      </c>
      <c r="U103" s="1" t="str">
        <f>IF(AND(AND(AND(U$4&gt;='2025'!$L101,U$4&lt;='2025'!$M101), U$4&lt;&gt;DATE(2025,7,4)), (SWITCH(weekday(U$4), 1, 0, 2, if(ISBLANK('2025'!$P101), 0, 1), 3, if(ISBLANK('2025'!$Q101), 0, 1), 4, if(ISBLANK('2025'!$R101), 0, 1), 5, if(ISBLANK('2025'!$S101), 0, 1), 6, if(ISBLANK('2025'!$T101), 0, 1), 7, 0))), 1, "")</f>
        <v/>
      </c>
      <c r="V103" s="1" t="str">
        <f>IF(AND(AND(AND(V$4&gt;='2025'!$L101,V$4&lt;='2025'!$M101), V$4&lt;&gt;DATE(2025,7,4)), (SWITCH(weekday(V$4), 1, 0, 2, if(ISBLANK('2025'!$P101), 0, 1), 3, if(ISBLANK('2025'!$Q101), 0, 1), 4, if(ISBLANK('2025'!$R101), 0, 1), 5, if(ISBLANK('2025'!$S101), 0, 1), 6, if(ISBLANK('2025'!$T101), 0, 1), 7, 0))), 1, "")</f>
        <v/>
      </c>
      <c r="W103" s="1" t="str">
        <f>IF(AND(AND(AND(W$4&gt;='2025'!$L101,W$4&lt;='2025'!$M101), W$4&lt;&gt;DATE(2025,7,4)), (SWITCH(weekday(W$4), 1, 0, 2, if(ISBLANK('2025'!$P101), 0, 1), 3, if(ISBLANK('2025'!$Q101), 0, 1), 4, if(ISBLANK('2025'!$R101), 0, 1), 5, if(ISBLANK('2025'!$S101), 0, 1), 6, if(ISBLANK('2025'!$T101), 0, 1), 7, 0))), 1, "")</f>
        <v/>
      </c>
      <c r="X103" s="1" t="str">
        <f>IF(AND(AND(AND(X$4&gt;='2025'!$L101,X$4&lt;='2025'!$M101), X$4&lt;&gt;DATE(2025,7,4)), (SWITCH(weekday(X$4), 1, 0, 2, if(ISBLANK('2025'!$P101), 0, 1), 3, if(ISBLANK('2025'!$Q101), 0, 1), 4, if(ISBLANK('2025'!$R101), 0, 1), 5, if(ISBLANK('2025'!$S101), 0, 1), 6, if(ISBLANK('2025'!$T101), 0, 1), 7, 0))), 1, "")</f>
        <v/>
      </c>
      <c r="Y103" s="1" t="str">
        <f>IF(AND(AND(AND(Y$4&gt;='2025'!$L101,Y$4&lt;='2025'!$M101), Y$4&lt;&gt;DATE(2025,7,4)), (SWITCH(weekday(Y$4), 1, 0, 2, if(ISBLANK('2025'!$P101), 0, 1), 3, if(ISBLANK('2025'!$Q101), 0, 1), 4, if(ISBLANK('2025'!$R101), 0, 1), 5, if(ISBLANK('2025'!$S101), 0, 1), 6, if(ISBLANK('2025'!$T101), 0, 1), 7, 0))), 1, "")</f>
        <v/>
      </c>
      <c r="Z103" s="1" t="str">
        <f>IF(AND(AND(AND(Z$4&gt;='2025'!$L101,Z$4&lt;='2025'!$M101), Z$4&lt;&gt;DATE(2025,7,4)), (SWITCH(weekday(Z$4), 1, 0, 2, if(ISBLANK('2025'!$P101), 0, 1), 3, if(ISBLANK('2025'!$Q101), 0, 1), 4, if(ISBLANK('2025'!$R101), 0, 1), 5, if(ISBLANK('2025'!$S101), 0, 1), 6, if(ISBLANK('2025'!$T101), 0, 1), 7, 0))), 1, "")</f>
        <v/>
      </c>
      <c r="AA103" s="1" t="str">
        <f>IF(AND(AND(AND(AA$4&gt;='2025'!$L101,AA$4&lt;='2025'!$M101), AA$4&lt;&gt;DATE(2025,7,4)), (SWITCH(weekday(AA$4), 1, 0, 2, if(ISBLANK('2025'!$P101), 0, 1), 3, if(ISBLANK('2025'!$Q101), 0, 1), 4, if(ISBLANK('2025'!$R101), 0, 1), 5, if(ISBLANK('2025'!$S101), 0, 1), 6, if(ISBLANK('2025'!$T101), 0, 1), 7, 0))), 1, "")</f>
        <v/>
      </c>
      <c r="AB103" s="1" t="str">
        <f>IF(AND(AND(AND(AB$4&gt;='2025'!$L101,AB$4&lt;='2025'!$M101), AB$4&lt;&gt;DATE(2025,7,4)), (SWITCH(weekday(AB$4), 1, 0, 2, if(ISBLANK('2025'!$P101), 0, 1), 3, if(ISBLANK('2025'!$Q101), 0, 1), 4, if(ISBLANK('2025'!$R101), 0, 1), 5, if(ISBLANK('2025'!$S101), 0, 1), 6, if(ISBLANK('2025'!$T101), 0, 1), 7, 0))), 1, "")</f>
        <v/>
      </c>
      <c r="AC103" s="1" t="str">
        <f>IF(AND(AND(AND(AC$4&gt;='2025'!$L101,AC$4&lt;='2025'!$M101), AC$4&lt;&gt;DATE(2025,7,4)), (SWITCH(weekday(AC$4), 1, 0, 2, if(ISBLANK('2025'!$P101), 0, 1), 3, if(ISBLANK('2025'!$Q101), 0, 1), 4, if(ISBLANK('2025'!$R101), 0, 1), 5, if(ISBLANK('2025'!$S101), 0, 1), 6, if(ISBLANK('2025'!$T101), 0, 1), 7, 0))), 1, "")</f>
        <v/>
      </c>
      <c r="AD103" s="1" t="str">
        <f>IF(AND(AND(AND(AD$4&gt;='2025'!$L101,AD$4&lt;='2025'!$M101), AD$4&lt;&gt;DATE(2025,7,4)), (SWITCH(weekday(AD$4), 1, 0, 2, if(ISBLANK('2025'!$P101), 0, 1), 3, if(ISBLANK('2025'!$Q101), 0, 1), 4, if(ISBLANK('2025'!$R101), 0, 1), 5, if(ISBLANK('2025'!$S101), 0, 1), 6, if(ISBLANK('2025'!$T101), 0, 1), 7, 0))), 1, "")</f>
        <v/>
      </c>
      <c r="AE103" s="1" t="str">
        <f>IF(AND(AND(AND(AE$4&gt;='2025'!$L101,AE$4&lt;='2025'!$M101), AE$4&lt;&gt;DATE(2025,7,4)), (SWITCH(weekday(AE$4), 1, 0, 2, if(ISBLANK('2025'!$P101), 0, 1), 3, if(ISBLANK('2025'!$Q101), 0, 1), 4, if(ISBLANK('2025'!$R101), 0, 1), 5, if(ISBLANK('2025'!$S101), 0, 1), 6, if(ISBLANK('2025'!$T101), 0, 1), 7, 0))), 1, "")</f>
        <v/>
      </c>
      <c r="AF103" s="1" t="str">
        <f>IF(AND(AND(AND(AF$4&gt;='2025'!$L101,AF$4&lt;='2025'!$M101), AF$4&lt;&gt;DATE(2025,7,4)), (SWITCH(weekday(AF$4), 1, 0, 2, if(ISBLANK('2025'!$P101), 0, 1), 3, if(ISBLANK('2025'!$Q101), 0, 1), 4, if(ISBLANK('2025'!$R101), 0, 1), 5, if(ISBLANK('2025'!$S101), 0, 1), 6, if(ISBLANK('2025'!$T101), 0, 1), 7, 0))), 1, "")</f>
        <v/>
      </c>
      <c r="AG103" s="1" t="str">
        <f>IF(AND(AND(AND(AG$4&gt;='2025'!$L101,AG$4&lt;='2025'!$M101), AG$4&lt;&gt;DATE(2025,7,4)), (SWITCH(weekday(AG$4), 1, 0, 2, if(ISBLANK('2025'!$P101), 0, 1), 3, if(ISBLANK('2025'!$Q101), 0, 1), 4, if(ISBLANK('2025'!$R101), 0, 1), 5, if(ISBLANK('2025'!$S101), 0, 1), 6, if(ISBLANK('2025'!$T101), 0, 1), 7, 0))), 1, "")</f>
        <v/>
      </c>
      <c r="AH103" s="1" t="str">
        <f>IF(AND(AND(AND(AH$4&gt;='2025'!$L101,AH$4&lt;='2025'!$M101), AH$4&lt;&gt;DATE(2025,7,4)), (SWITCH(weekday(AH$4), 1, 0, 2, if(ISBLANK('2025'!$P101), 0, 1), 3, if(ISBLANK('2025'!$Q101), 0, 1), 4, if(ISBLANK('2025'!$R101), 0, 1), 5, if(ISBLANK('2025'!$S101), 0, 1), 6, if(ISBLANK('2025'!$T101), 0, 1), 7, 0))), 1, "")</f>
        <v/>
      </c>
      <c r="AI103" s="1" t="str">
        <f>IF(AND(AND(AND(AI$4&gt;='2025'!$L101,AI$4&lt;='2025'!$M101), AI$4&lt;&gt;DATE(2025,7,4)), (SWITCH(weekday(AI$4), 1, 0, 2, if(ISBLANK('2025'!$P101), 0, 1), 3, if(ISBLANK('2025'!$Q101), 0, 1), 4, if(ISBLANK('2025'!$R101), 0, 1), 5, if(ISBLANK('2025'!$S101), 0, 1), 6, if(ISBLANK('2025'!$T101), 0, 1), 7, 0))), 1, "")</f>
        <v/>
      </c>
      <c r="AJ103" s="1" t="str">
        <f>IF(AND(AND(AND(AJ$4&gt;='2025'!$L101,AJ$4&lt;='2025'!$M101), AJ$4&lt;&gt;DATE(2025,7,4)), (SWITCH(weekday(AJ$4), 1, 0, 2, if(ISBLANK('2025'!$P101), 0, 1), 3, if(ISBLANK('2025'!$Q101), 0, 1), 4, if(ISBLANK('2025'!$R101), 0, 1), 5, if(ISBLANK('2025'!$S101), 0, 1), 6, if(ISBLANK('2025'!$T101), 0, 1), 7, 0))), 1, "")</f>
        <v/>
      </c>
      <c r="AK103" s="1" t="str">
        <f>IF(AND(AND(AND(AK$4&gt;='2025'!$L101,AK$4&lt;='2025'!$M101), AK$4&lt;&gt;DATE(2025,7,4)), (SWITCH(weekday(AK$4), 1, 0, 2, if(ISBLANK('2025'!$P101), 0, 1), 3, if(ISBLANK('2025'!$Q101), 0, 1), 4, if(ISBLANK('2025'!$R101), 0, 1), 5, if(ISBLANK('2025'!$S101), 0, 1), 6, if(ISBLANK('2025'!$T101), 0, 1), 7, 0))), 1, "")</f>
        <v/>
      </c>
      <c r="AL103" s="1" t="str">
        <f>IF(AND(AND(AND(AL$4&gt;='2025'!$L101,AL$4&lt;='2025'!$M101), AL$4&lt;&gt;DATE(2025,7,4)), (SWITCH(weekday(AL$4), 1, 0, 2, if(ISBLANK('2025'!$P101), 0, 1), 3, if(ISBLANK('2025'!$Q101), 0, 1), 4, if(ISBLANK('2025'!$R101), 0, 1), 5, if(ISBLANK('2025'!$S101), 0, 1), 6, if(ISBLANK('2025'!$T101), 0, 1), 7, 0))), 1, "")</f>
        <v/>
      </c>
      <c r="AM103" s="1" t="str">
        <f>IF(AND(AND(AND(AM$4&gt;='2025'!$L101,AM$4&lt;='2025'!$M101), AM$4&lt;&gt;DATE(2025,7,4)), (SWITCH(weekday(AM$4), 1, 0, 2, if(ISBLANK('2025'!$P101), 0, 1), 3, if(ISBLANK('2025'!$Q101), 0, 1), 4, if(ISBLANK('2025'!$R101), 0, 1), 5, if(ISBLANK('2025'!$S101), 0, 1), 6, if(ISBLANK('2025'!$T101), 0, 1), 7, 0))), 1, "")</f>
        <v/>
      </c>
      <c r="AN103" s="1" t="str">
        <f>IF(AND(AND(AND(AN$4&gt;='2025'!$L101,AN$4&lt;='2025'!$M101), AN$4&lt;&gt;DATE(2025,7,4)), (SWITCH(weekday(AN$4), 1, 0, 2, if(ISBLANK('2025'!$P101), 0, 1), 3, if(ISBLANK('2025'!$Q101), 0, 1), 4, if(ISBLANK('2025'!$R101), 0, 1), 5, if(ISBLANK('2025'!$S101), 0, 1), 6, if(ISBLANK('2025'!$T101), 0, 1), 7, 0))), 1, "")</f>
        <v/>
      </c>
      <c r="AO103" s="1" t="str">
        <f>IF(AND(AND(AND(AO$4&gt;='2025'!$L101,AO$4&lt;='2025'!$M101), AO$4&lt;&gt;DATE(2025,7,4)), (SWITCH(weekday(AO$4), 1, 0, 2, if(ISBLANK('2025'!$P101), 0, 1), 3, if(ISBLANK('2025'!$Q101), 0, 1), 4, if(ISBLANK('2025'!$R101), 0, 1), 5, if(ISBLANK('2025'!$S101), 0, 1), 6, if(ISBLANK('2025'!$T101), 0, 1), 7, 0))), 1, "")</f>
        <v/>
      </c>
      <c r="AP103" s="1" t="str">
        <f>IF(AND(AND(AND(AP$4&gt;='2025'!$L101,AP$4&lt;='2025'!$M101), AP$4&lt;&gt;DATE(2025,7,4)), (SWITCH(weekday(AP$4), 1, 0, 2, if(ISBLANK('2025'!$P101), 0, 1), 3, if(ISBLANK('2025'!$Q101), 0, 1), 4, if(ISBLANK('2025'!$R101), 0, 1), 5, if(ISBLANK('2025'!$S101), 0, 1), 6, if(ISBLANK('2025'!$T101), 0, 1), 7, 0))), 1, "")</f>
        <v/>
      </c>
      <c r="AQ103" s="1" t="str">
        <f>IF(AND(AND(AND(AQ$4&gt;='2025'!$L101,AQ$4&lt;='2025'!$M101), AQ$4&lt;&gt;DATE(2025,7,4)), (SWITCH(weekday(AQ$4), 1, 0, 2, if(ISBLANK('2025'!$P101), 0, 1), 3, if(ISBLANK('2025'!$Q101), 0, 1), 4, if(ISBLANK('2025'!$R101), 0, 1), 5, if(ISBLANK('2025'!$S101), 0, 1), 6, if(ISBLANK('2025'!$T101), 0, 1), 7, 0))), 1, "")</f>
        <v/>
      </c>
      <c r="AR103" s="1" t="str">
        <f>IF(AND(AND(AND(AR$4&gt;='2025'!$L101,AR$4&lt;='2025'!$M101), AR$4&lt;&gt;DATE(2025,7,4)), (SWITCH(weekday(AR$4), 1, 0, 2, if(ISBLANK('2025'!$P101), 0, 1), 3, if(ISBLANK('2025'!$Q101), 0, 1), 4, if(ISBLANK('2025'!$R101), 0, 1), 5, if(ISBLANK('2025'!$S101), 0, 1), 6, if(ISBLANK('2025'!$T101), 0, 1), 7, 0))), 1, "")</f>
        <v/>
      </c>
      <c r="AS103" s="1" t="str">
        <f>IF(AND(AND(AND(AS$4&gt;='2025'!$L101,AS$4&lt;='2025'!$M101), AS$4&lt;&gt;DATE(2025,7,4)), (SWITCH(weekday(AS$4), 1, 0, 2, if(ISBLANK('2025'!$P101), 0, 1), 3, if(ISBLANK('2025'!$Q101), 0, 1), 4, if(ISBLANK('2025'!$R101), 0, 1), 5, if(ISBLANK('2025'!$S101), 0, 1), 6, if(ISBLANK('2025'!$T101), 0, 1), 7, 0))), 1, "")</f>
        <v/>
      </c>
      <c r="AT103" s="1" t="str">
        <f>IF(AND(AND(AND(AT$4&gt;='2025'!$L101,AT$4&lt;='2025'!$M101), AT$4&lt;&gt;DATE(2025,7,4)), (SWITCH(weekday(AT$4), 1, 0, 2, if(ISBLANK('2025'!$P101), 0, 1), 3, if(ISBLANK('2025'!$Q101), 0, 1), 4, if(ISBLANK('2025'!$R101), 0, 1), 5, if(ISBLANK('2025'!$S101), 0, 1), 6, if(ISBLANK('2025'!$T101), 0, 1), 7, 0))), 1, "")</f>
        <v/>
      </c>
      <c r="AU103" s="1" t="str">
        <f>IF(AND(AND(AND(AU$4&gt;='2025'!$L101,AU$4&lt;='2025'!$M101), AU$4&lt;&gt;DATE(2025,7,4)), (SWITCH(weekday(AU$4), 1, 0, 2, if(ISBLANK('2025'!$P101), 0, 1), 3, if(ISBLANK('2025'!$Q101), 0, 1), 4, if(ISBLANK('2025'!$R101), 0, 1), 5, if(ISBLANK('2025'!$S101), 0, 1), 6, if(ISBLANK('2025'!$T101), 0, 1), 7, 0))), 1, "")</f>
        <v/>
      </c>
      <c r="AV103" s="1" t="str">
        <f>IF(AND(AND(AND(AV$4&gt;='2025'!$L101,AV$4&lt;='2025'!$M101), AV$4&lt;&gt;DATE(2025,7,4)), (SWITCH(weekday(AV$4), 1, 0, 2, if(ISBLANK('2025'!$P101), 0, 1), 3, if(ISBLANK('2025'!$Q101), 0, 1), 4, if(ISBLANK('2025'!$R101), 0, 1), 5, if(ISBLANK('2025'!$S101), 0, 1), 6, if(ISBLANK('2025'!$T101), 0, 1), 7, 0))), 1, "")</f>
        <v/>
      </c>
      <c r="AW103" s="1" t="str">
        <f>IF(AND(AND(AND(AW$4&gt;='2025'!$L101,AW$4&lt;='2025'!$M101), AW$4&lt;&gt;DATE(2025,7,4)), (SWITCH(weekday(AW$4), 1, 0, 2, if(ISBLANK('2025'!$P101), 0, 1), 3, if(ISBLANK('2025'!$Q101), 0, 1), 4, if(ISBLANK('2025'!$R101), 0, 1), 5, if(ISBLANK('2025'!$S101), 0, 1), 6, if(ISBLANK('2025'!$T101), 0, 1), 7, 0))), 1, "")</f>
        <v/>
      </c>
      <c r="AX103" s="1" t="str">
        <f>IF(AND(AND(AND(AX$4&gt;='2025'!$L101,AX$4&lt;='2025'!$M101), AX$4&lt;&gt;DATE(2025,7,4)), (SWITCH(weekday(AX$4), 1, 0, 2, if(ISBLANK('2025'!$P101), 0, 1), 3, if(ISBLANK('2025'!$Q101), 0, 1), 4, if(ISBLANK('2025'!$R101), 0, 1), 5, if(ISBLANK('2025'!$S101), 0, 1), 6, if(ISBLANK('2025'!$T101), 0, 1), 7, 0))), 1, "")</f>
        <v/>
      </c>
      <c r="AY103" s="1" t="str">
        <f>IF(AND(AND(AND(AY$4&gt;='2025'!$L101,AY$4&lt;='2025'!$M101), AY$4&lt;&gt;DATE(2025,7,4)), (SWITCH(weekday(AY$4), 1, 0, 2, if(ISBLANK('2025'!$P101), 0, 1), 3, if(ISBLANK('2025'!$Q101), 0, 1), 4, if(ISBLANK('2025'!$R101), 0, 1), 5, if(ISBLANK('2025'!$S101), 0, 1), 6, if(ISBLANK('2025'!$T101), 0, 1), 7, 0))), 1, "")</f>
        <v/>
      </c>
      <c r="AZ103" s="1" t="str">
        <f>IF(AND(AND(AND(AZ$4&gt;='2025'!$L101,AZ$4&lt;='2025'!$M101), AZ$4&lt;&gt;DATE(2025,7,4)), (SWITCH(weekday(AZ$4), 1, 0, 2, if(ISBLANK('2025'!$P101), 0, 1), 3, if(ISBLANK('2025'!$Q101), 0, 1), 4, if(ISBLANK('2025'!$R101), 0, 1), 5, if(ISBLANK('2025'!$S101), 0, 1), 6, if(ISBLANK('2025'!$T101), 0, 1), 7, 0))), 1, "")</f>
        <v/>
      </c>
      <c r="BA103" s="1" t="str">
        <f>IF(AND(AND(AND(BA$4&gt;='2025'!$L101,BA$4&lt;='2025'!$M101), BA$4&lt;&gt;DATE(2025,7,4)), (SWITCH(weekday(BA$4), 1, 0, 2, if(ISBLANK('2025'!$P101), 0, 1), 3, if(ISBLANK('2025'!$Q101), 0, 1), 4, if(ISBLANK('2025'!$R101), 0, 1), 5, if(ISBLANK('2025'!$S101), 0, 1), 6, if(ISBLANK('2025'!$T101), 0, 1), 7, 0))), 1, "")</f>
        <v/>
      </c>
      <c r="BB103" s="1" t="str">
        <f>IF(AND(AND(AND(BB$4&gt;='2025'!$L101,BB$4&lt;='2025'!$M101), BB$4&lt;&gt;DATE(2025,7,4)), (SWITCH(weekday(BB$4), 1, 0, 2, if(ISBLANK('2025'!$P101), 0, 1), 3, if(ISBLANK('2025'!$Q101), 0, 1), 4, if(ISBLANK('2025'!$R101), 0, 1), 5, if(ISBLANK('2025'!$S101), 0, 1), 6, if(ISBLANK('2025'!$T101), 0, 1), 7, 0))), 1, "")</f>
        <v/>
      </c>
      <c r="BC103" s="1" t="str">
        <f>IF(AND(AND(AND(BC$4&gt;='2025'!$L101,BC$4&lt;='2025'!$M101), BC$4&lt;&gt;DATE(2025,7,4)), (SWITCH(weekday(BC$4), 1, 0, 2, if(ISBLANK('2025'!$P101), 0, 1), 3, if(ISBLANK('2025'!$Q101), 0, 1), 4, if(ISBLANK('2025'!$R101), 0, 1), 5, if(ISBLANK('2025'!$S101), 0, 1), 6, if(ISBLANK('2025'!$T101), 0, 1), 7, 0))), 1, "")</f>
        <v/>
      </c>
      <c r="BD103" s="1" t="str">
        <f>IF(AND(AND(AND(BD$4&gt;='2025'!$L101,BD$4&lt;='2025'!$M101), BD$4&lt;&gt;DATE(2025,7,4)), (SWITCH(weekday(BD$4), 1, 0, 2, if(ISBLANK('2025'!$P101), 0, 1), 3, if(ISBLANK('2025'!$Q101), 0, 1), 4, if(ISBLANK('2025'!$R101), 0, 1), 5, if(ISBLANK('2025'!$S101), 0, 1), 6, if(ISBLANK('2025'!$T101), 0, 1), 7, 0))), 1, "")</f>
        <v/>
      </c>
      <c r="BE103" s="1" t="str">
        <f>IF(AND(AND(AND(BE$4&gt;='2025'!$L101,BE$4&lt;='2025'!$M101), BE$4&lt;&gt;DATE(2025,7,4)), (SWITCH(weekday(BE$4), 1, 0, 2, if(ISBLANK('2025'!$P101), 0, 1), 3, if(ISBLANK('2025'!$Q101), 0, 1), 4, if(ISBLANK('2025'!$R101), 0, 1), 5, if(ISBLANK('2025'!$S101), 0, 1), 6, if(ISBLANK('2025'!$T101), 0, 1), 7, 0))), 1, "")</f>
        <v/>
      </c>
      <c r="BF103" s="1" t="str">
        <f>IF(AND(AND(AND(BF$4&gt;='2025'!$L101,BF$4&lt;='2025'!$M101), BF$4&lt;&gt;DATE(2025,7,4)), (SWITCH(weekday(BF$4), 1, 0, 2, if(ISBLANK('2025'!$P101), 0, 1), 3, if(ISBLANK('2025'!$Q101), 0, 1), 4, if(ISBLANK('2025'!$R101), 0, 1), 5, if(ISBLANK('2025'!$S101), 0, 1), 6, if(ISBLANK('2025'!$T101), 0, 1), 7, 0))), 1, "")</f>
        <v/>
      </c>
      <c r="BG103" s="1"/>
      <c r="BH103" s="1"/>
      <c r="BI103" s="1"/>
      <c r="BJ103" s="1"/>
      <c r="BK103" s="1"/>
      <c r="BL103" s="1"/>
    </row>
    <row r="104">
      <c r="A104" s="1">
        <f t="shared" si="3"/>
        <v>104</v>
      </c>
      <c r="B104" s="1" t="str">
        <f>'2025'!D68</f>
        <v>, </v>
      </c>
      <c r="C104" s="1" t="str">
        <f>'2025'!H68</f>
        <v/>
      </c>
      <c r="D104" s="1" t="str">
        <f>IF(AND(AND(AND(D$4&gt;='2025'!$L102,D$4&lt;='2025'!$M102), D$4&lt;&gt;DATE(2025,7,4)), (SWITCH(weekday(D$4), 1, 0, 2, if(ISBLANK('2025'!$P102), 0, 1), 3, if(ISBLANK('2025'!$Q102), 0, 1), 4, if(ISBLANK('2025'!$R102), 0, 1), 5, if(ISBLANK('2025'!$S102), 0, 1), 6, if(ISBLANK('2025'!$T102), 0, 1), 7, 0))), 1, "")</f>
        <v/>
      </c>
      <c r="E104" s="1" t="str">
        <f>IF(AND(AND(AND(E$4&gt;='2025'!$L102,E$4&lt;='2025'!$M102), E$4&lt;&gt;DATE(2025,7,4)), (SWITCH(weekday(E$4), 1, 0, 2, if(ISBLANK('2025'!$P102), 0, 1), 3, if(ISBLANK('2025'!$Q102), 0, 1), 4, if(ISBLANK('2025'!$R102), 0, 1), 5, if(ISBLANK('2025'!$S102), 0, 1), 6, if(ISBLANK('2025'!$T102), 0, 1), 7, 0))), 1, "")</f>
        <v/>
      </c>
      <c r="F104" s="1" t="str">
        <f>IF(AND(AND(AND(F$4&gt;='2025'!$L102,F$4&lt;='2025'!$M102), F$4&lt;&gt;DATE(2025,7,4)), (SWITCH(weekday(F$4), 1, 0, 2, if(ISBLANK('2025'!$P102), 0, 1), 3, if(ISBLANK('2025'!$Q102), 0, 1), 4, if(ISBLANK('2025'!$R102), 0, 1), 5, if(ISBLANK('2025'!$S102), 0, 1), 6, if(ISBLANK('2025'!$T102), 0, 1), 7, 0))), 1, "")</f>
        <v/>
      </c>
      <c r="G104" s="1" t="str">
        <f>IF(AND(AND(AND(G$4&gt;='2025'!$L102,G$4&lt;='2025'!$M102), G$4&lt;&gt;DATE(2025,7,4)), (SWITCH(weekday(G$4), 1, 0, 2, if(ISBLANK('2025'!$P102), 0, 1), 3, if(ISBLANK('2025'!$Q102), 0, 1), 4, if(ISBLANK('2025'!$R102), 0, 1), 5, if(ISBLANK('2025'!$S102), 0, 1), 6, if(ISBLANK('2025'!$T102), 0, 1), 7, 0))), 1, "")</f>
        <v/>
      </c>
      <c r="H104" s="1" t="str">
        <f>IF(AND(AND(AND(H$4&gt;='2025'!$L102,H$4&lt;='2025'!$M102), H$4&lt;&gt;DATE(2025,7,4)), (SWITCH(weekday(H$4), 1, 0, 2, if(ISBLANK('2025'!$P102), 0, 1), 3, if(ISBLANK('2025'!$Q102), 0, 1), 4, if(ISBLANK('2025'!$R102), 0, 1), 5, if(ISBLANK('2025'!$S102), 0, 1), 6, if(ISBLANK('2025'!$T102), 0, 1), 7, 0))), 1, "")</f>
        <v/>
      </c>
      <c r="I104" s="1" t="str">
        <f>IF(AND(AND(AND(I$4&gt;='2025'!$L102,I$4&lt;='2025'!$M102), I$4&lt;&gt;DATE(2025,7,4)), (SWITCH(weekday(I$4), 1, 0, 2, if(ISBLANK('2025'!$P102), 0, 1), 3, if(ISBLANK('2025'!$Q102), 0, 1), 4, if(ISBLANK('2025'!$R102), 0, 1), 5, if(ISBLANK('2025'!$S102), 0, 1), 6, if(ISBLANK('2025'!$T102), 0, 1), 7, 0))), 1, "")</f>
        <v/>
      </c>
      <c r="J104" s="1" t="str">
        <f>IF(AND(AND(AND(J$4&gt;='2025'!$L102,J$4&lt;='2025'!$M102), J$4&lt;&gt;DATE(2025,7,4)), (SWITCH(weekday(J$4), 1, 0, 2, if(ISBLANK('2025'!$P102), 0, 1), 3, if(ISBLANK('2025'!$Q102), 0, 1), 4, if(ISBLANK('2025'!$R102), 0, 1), 5, if(ISBLANK('2025'!$S102), 0, 1), 6, if(ISBLANK('2025'!$T102), 0, 1), 7, 0))), 1, "")</f>
        <v/>
      </c>
      <c r="K104" s="1" t="str">
        <f>IF(AND(AND(AND(K$4&gt;='2025'!$L102,K$4&lt;='2025'!$M102), K$4&lt;&gt;DATE(2025,7,4)), (SWITCH(weekday(K$4), 1, 0, 2, if(ISBLANK('2025'!$P102), 0, 1), 3, if(ISBLANK('2025'!$Q102), 0, 1), 4, if(ISBLANK('2025'!$R102), 0, 1), 5, if(ISBLANK('2025'!$S102), 0, 1), 6, if(ISBLANK('2025'!$T102), 0, 1), 7, 0))), 1, "")</f>
        <v/>
      </c>
      <c r="L104" s="1" t="str">
        <f>IF(AND(AND(AND(L$4&gt;='2025'!$L102,L$4&lt;='2025'!$M102), L$4&lt;&gt;DATE(2025,7,4)), (SWITCH(weekday(L$4), 1, 0, 2, if(ISBLANK('2025'!$P102), 0, 1), 3, if(ISBLANK('2025'!$Q102), 0, 1), 4, if(ISBLANK('2025'!$R102), 0, 1), 5, if(ISBLANK('2025'!$S102), 0, 1), 6, if(ISBLANK('2025'!$T102), 0, 1), 7, 0))), 1, "")</f>
        <v/>
      </c>
      <c r="M104" s="1" t="str">
        <f>IF(AND(AND(AND(M$4&gt;='2025'!$L102,M$4&lt;='2025'!$M102), M$4&lt;&gt;DATE(2025,7,4)), (SWITCH(weekday(M$4), 1, 0, 2, if(ISBLANK('2025'!$P102), 0, 1), 3, if(ISBLANK('2025'!$Q102), 0, 1), 4, if(ISBLANK('2025'!$R102), 0, 1), 5, if(ISBLANK('2025'!$S102), 0, 1), 6, if(ISBLANK('2025'!$T102), 0, 1), 7, 0))), 1, "")</f>
        <v/>
      </c>
      <c r="N104" s="1" t="str">
        <f>IF(AND(AND(AND(N$4&gt;='2025'!$L102,N$4&lt;='2025'!$M102), N$4&lt;&gt;DATE(2025,7,4)), (SWITCH(weekday(N$4), 1, 0, 2, if(ISBLANK('2025'!$P102), 0, 1), 3, if(ISBLANK('2025'!$Q102), 0, 1), 4, if(ISBLANK('2025'!$R102), 0, 1), 5, if(ISBLANK('2025'!$S102), 0, 1), 6, if(ISBLANK('2025'!$T102), 0, 1), 7, 0))), 1, "")</f>
        <v/>
      </c>
      <c r="O104" s="1" t="str">
        <f>IF(AND(AND(AND(O$4&gt;='2025'!$L102,O$4&lt;='2025'!$M102), O$4&lt;&gt;DATE(2025,7,4)), (SWITCH(weekday(O$4), 1, 0, 2, if(ISBLANK('2025'!$P102), 0, 1), 3, if(ISBLANK('2025'!$Q102), 0, 1), 4, if(ISBLANK('2025'!$R102), 0, 1), 5, if(ISBLANK('2025'!$S102), 0, 1), 6, if(ISBLANK('2025'!$T102), 0, 1), 7, 0))), 1, "")</f>
        <v/>
      </c>
      <c r="P104" s="1" t="str">
        <f>IF(AND(AND(AND(P$4&gt;='2025'!$L102,P$4&lt;='2025'!$M102), P$4&lt;&gt;DATE(2025,7,4)), (SWITCH(weekday(P$4), 1, 0, 2, if(ISBLANK('2025'!$P102), 0, 1), 3, if(ISBLANK('2025'!$Q102), 0, 1), 4, if(ISBLANK('2025'!$R102), 0, 1), 5, if(ISBLANK('2025'!$S102), 0, 1), 6, if(ISBLANK('2025'!$T102), 0, 1), 7, 0))), 1, "")</f>
        <v/>
      </c>
      <c r="Q104" s="1" t="str">
        <f>IF(AND(AND(AND(Q$4&gt;='2025'!$L102,Q$4&lt;='2025'!$M102), Q$4&lt;&gt;DATE(2025,7,4)), (SWITCH(weekday(Q$4), 1, 0, 2, if(ISBLANK('2025'!$P102), 0, 1), 3, if(ISBLANK('2025'!$Q102), 0, 1), 4, if(ISBLANK('2025'!$R102), 0, 1), 5, if(ISBLANK('2025'!$S102), 0, 1), 6, if(ISBLANK('2025'!$T102), 0, 1), 7, 0))), 1, "")</f>
        <v/>
      </c>
      <c r="R104" s="1" t="str">
        <f>IF(AND(AND(AND(R$4&gt;='2025'!$L102,R$4&lt;='2025'!$M102), R$4&lt;&gt;DATE(2025,7,4)), (SWITCH(weekday(R$4), 1, 0, 2, if(ISBLANK('2025'!$P102), 0, 1), 3, if(ISBLANK('2025'!$Q102), 0, 1), 4, if(ISBLANK('2025'!$R102), 0, 1), 5, if(ISBLANK('2025'!$S102), 0, 1), 6, if(ISBLANK('2025'!$T102), 0, 1), 7, 0))), 1, "")</f>
        <v/>
      </c>
      <c r="S104" s="1" t="str">
        <f>IF(AND(AND(AND(S$4&gt;='2025'!$L102,S$4&lt;='2025'!$M102), S$4&lt;&gt;DATE(2025,7,4)), (SWITCH(weekday(S$4), 1, 0, 2, if(ISBLANK('2025'!$P102), 0, 1), 3, if(ISBLANK('2025'!$Q102), 0, 1), 4, if(ISBLANK('2025'!$R102), 0, 1), 5, if(ISBLANK('2025'!$S102), 0, 1), 6, if(ISBLANK('2025'!$T102), 0, 1), 7, 0))), 1, "")</f>
        <v/>
      </c>
      <c r="T104" s="1" t="str">
        <f>IF(AND(AND(AND(T$4&gt;='2025'!$L102,T$4&lt;='2025'!$M102), T$4&lt;&gt;DATE(2025,7,4)), (SWITCH(weekday(T$4), 1, 0, 2, if(ISBLANK('2025'!$P102), 0, 1), 3, if(ISBLANK('2025'!$Q102), 0, 1), 4, if(ISBLANK('2025'!$R102), 0, 1), 5, if(ISBLANK('2025'!$S102), 0, 1), 6, if(ISBLANK('2025'!$T102), 0, 1), 7, 0))), 1, "")</f>
        <v/>
      </c>
      <c r="U104" s="1" t="str">
        <f>IF(AND(AND(AND(U$4&gt;='2025'!$L102,U$4&lt;='2025'!$M102), U$4&lt;&gt;DATE(2025,7,4)), (SWITCH(weekday(U$4), 1, 0, 2, if(ISBLANK('2025'!$P102), 0, 1), 3, if(ISBLANK('2025'!$Q102), 0, 1), 4, if(ISBLANK('2025'!$R102), 0, 1), 5, if(ISBLANK('2025'!$S102), 0, 1), 6, if(ISBLANK('2025'!$T102), 0, 1), 7, 0))), 1, "")</f>
        <v/>
      </c>
      <c r="V104" s="1" t="str">
        <f>IF(AND(AND(AND(V$4&gt;='2025'!$L102,V$4&lt;='2025'!$M102), V$4&lt;&gt;DATE(2025,7,4)), (SWITCH(weekday(V$4), 1, 0, 2, if(ISBLANK('2025'!$P102), 0, 1), 3, if(ISBLANK('2025'!$Q102), 0, 1), 4, if(ISBLANK('2025'!$R102), 0, 1), 5, if(ISBLANK('2025'!$S102), 0, 1), 6, if(ISBLANK('2025'!$T102), 0, 1), 7, 0))), 1, "")</f>
        <v/>
      </c>
      <c r="W104" s="1" t="str">
        <f>IF(AND(AND(AND(W$4&gt;='2025'!$L102,W$4&lt;='2025'!$M102), W$4&lt;&gt;DATE(2025,7,4)), (SWITCH(weekday(W$4), 1, 0, 2, if(ISBLANK('2025'!$P102), 0, 1), 3, if(ISBLANK('2025'!$Q102), 0, 1), 4, if(ISBLANK('2025'!$R102), 0, 1), 5, if(ISBLANK('2025'!$S102), 0, 1), 6, if(ISBLANK('2025'!$T102), 0, 1), 7, 0))), 1, "")</f>
        <v/>
      </c>
      <c r="X104" s="1" t="str">
        <f>IF(AND(AND(AND(X$4&gt;='2025'!$L102,X$4&lt;='2025'!$M102), X$4&lt;&gt;DATE(2025,7,4)), (SWITCH(weekday(X$4), 1, 0, 2, if(ISBLANK('2025'!$P102), 0, 1), 3, if(ISBLANK('2025'!$Q102), 0, 1), 4, if(ISBLANK('2025'!$R102), 0, 1), 5, if(ISBLANK('2025'!$S102), 0, 1), 6, if(ISBLANK('2025'!$T102), 0, 1), 7, 0))), 1, "")</f>
        <v/>
      </c>
      <c r="Y104" s="1" t="str">
        <f>IF(AND(AND(AND(Y$4&gt;='2025'!$L102,Y$4&lt;='2025'!$M102), Y$4&lt;&gt;DATE(2025,7,4)), (SWITCH(weekday(Y$4), 1, 0, 2, if(ISBLANK('2025'!$P102), 0, 1), 3, if(ISBLANK('2025'!$Q102), 0, 1), 4, if(ISBLANK('2025'!$R102), 0, 1), 5, if(ISBLANK('2025'!$S102), 0, 1), 6, if(ISBLANK('2025'!$T102), 0, 1), 7, 0))), 1, "")</f>
        <v/>
      </c>
      <c r="Z104" s="1" t="str">
        <f>IF(AND(AND(AND(Z$4&gt;='2025'!$L102,Z$4&lt;='2025'!$M102), Z$4&lt;&gt;DATE(2025,7,4)), (SWITCH(weekday(Z$4), 1, 0, 2, if(ISBLANK('2025'!$P102), 0, 1), 3, if(ISBLANK('2025'!$Q102), 0, 1), 4, if(ISBLANK('2025'!$R102), 0, 1), 5, if(ISBLANK('2025'!$S102), 0, 1), 6, if(ISBLANK('2025'!$T102), 0, 1), 7, 0))), 1, "")</f>
        <v/>
      </c>
      <c r="AA104" s="1" t="str">
        <f>IF(AND(AND(AND(AA$4&gt;='2025'!$L102,AA$4&lt;='2025'!$M102), AA$4&lt;&gt;DATE(2025,7,4)), (SWITCH(weekday(AA$4), 1, 0, 2, if(ISBLANK('2025'!$P102), 0, 1), 3, if(ISBLANK('2025'!$Q102), 0, 1), 4, if(ISBLANK('2025'!$R102), 0, 1), 5, if(ISBLANK('2025'!$S102), 0, 1), 6, if(ISBLANK('2025'!$T102), 0, 1), 7, 0))), 1, "")</f>
        <v/>
      </c>
      <c r="AB104" s="1" t="str">
        <f>IF(AND(AND(AND(AB$4&gt;='2025'!$L102,AB$4&lt;='2025'!$M102), AB$4&lt;&gt;DATE(2025,7,4)), (SWITCH(weekday(AB$4), 1, 0, 2, if(ISBLANK('2025'!$P102), 0, 1), 3, if(ISBLANK('2025'!$Q102), 0, 1), 4, if(ISBLANK('2025'!$R102), 0, 1), 5, if(ISBLANK('2025'!$S102), 0, 1), 6, if(ISBLANK('2025'!$T102), 0, 1), 7, 0))), 1, "")</f>
        <v/>
      </c>
      <c r="AC104" s="1" t="str">
        <f>IF(AND(AND(AND(AC$4&gt;='2025'!$L102,AC$4&lt;='2025'!$M102), AC$4&lt;&gt;DATE(2025,7,4)), (SWITCH(weekday(AC$4), 1, 0, 2, if(ISBLANK('2025'!$P102), 0, 1), 3, if(ISBLANK('2025'!$Q102), 0, 1), 4, if(ISBLANK('2025'!$R102), 0, 1), 5, if(ISBLANK('2025'!$S102), 0, 1), 6, if(ISBLANK('2025'!$T102), 0, 1), 7, 0))), 1, "")</f>
        <v/>
      </c>
      <c r="AD104" s="1" t="str">
        <f>IF(AND(AND(AND(AD$4&gt;='2025'!$L102,AD$4&lt;='2025'!$M102), AD$4&lt;&gt;DATE(2025,7,4)), (SWITCH(weekday(AD$4), 1, 0, 2, if(ISBLANK('2025'!$P102), 0, 1), 3, if(ISBLANK('2025'!$Q102), 0, 1), 4, if(ISBLANK('2025'!$R102), 0, 1), 5, if(ISBLANK('2025'!$S102), 0, 1), 6, if(ISBLANK('2025'!$T102), 0, 1), 7, 0))), 1, "")</f>
        <v/>
      </c>
      <c r="AE104" s="1" t="str">
        <f>IF(AND(AND(AND(AE$4&gt;='2025'!$L102,AE$4&lt;='2025'!$M102), AE$4&lt;&gt;DATE(2025,7,4)), (SWITCH(weekday(AE$4), 1, 0, 2, if(ISBLANK('2025'!$P102), 0, 1), 3, if(ISBLANK('2025'!$Q102), 0, 1), 4, if(ISBLANK('2025'!$R102), 0, 1), 5, if(ISBLANK('2025'!$S102), 0, 1), 6, if(ISBLANK('2025'!$T102), 0, 1), 7, 0))), 1, "")</f>
        <v/>
      </c>
      <c r="AF104" s="1" t="str">
        <f>IF(AND(AND(AND(AF$4&gt;='2025'!$L102,AF$4&lt;='2025'!$M102), AF$4&lt;&gt;DATE(2025,7,4)), (SWITCH(weekday(AF$4), 1, 0, 2, if(ISBLANK('2025'!$P102), 0, 1), 3, if(ISBLANK('2025'!$Q102), 0, 1), 4, if(ISBLANK('2025'!$R102), 0, 1), 5, if(ISBLANK('2025'!$S102), 0, 1), 6, if(ISBLANK('2025'!$T102), 0, 1), 7, 0))), 1, "")</f>
        <v/>
      </c>
      <c r="AG104" s="1" t="str">
        <f>IF(AND(AND(AND(AG$4&gt;='2025'!$L102,AG$4&lt;='2025'!$M102), AG$4&lt;&gt;DATE(2025,7,4)), (SWITCH(weekday(AG$4), 1, 0, 2, if(ISBLANK('2025'!$P102), 0, 1), 3, if(ISBLANK('2025'!$Q102), 0, 1), 4, if(ISBLANK('2025'!$R102), 0, 1), 5, if(ISBLANK('2025'!$S102), 0, 1), 6, if(ISBLANK('2025'!$T102), 0, 1), 7, 0))), 1, "")</f>
        <v/>
      </c>
      <c r="AH104" s="1" t="str">
        <f>IF(AND(AND(AND(AH$4&gt;='2025'!$L102,AH$4&lt;='2025'!$M102), AH$4&lt;&gt;DATE(2025,7,4)), (SWITCH(weekday(AH$4), 1, 0, 2, if(ISBLANK('2025'!$P102), 0, 1), 3, if(ISBLANK('2025'!$Q102), 0, 1), 4, if(ISBLANK('2025'!$R102), 0, 1), 5, if(ISBLANK('2025'!$S102), 0, 1), 6, if(ISBLANK('2025'!$T102), 0, 1), 7, 0))), 1, "")</f>
        <v/>
      </c>
      <c r="AI104" s="1" t="str">
        <f>IF(AND(AND(AND(AI$4&gt;='2025'!$L102,AI$4&lt;='2025'!$M102), AI$4&lt;&gt;DATE(2025,7,4)), (SWITCH(weekday(AI$4), 1, 0, 2, if(ISBLANK('2025'!$P102), 0, 1), 3, if(ISBLANK('2025'!$Q102), 0, 1), 4, if(ISBLANK('2025'!$R102), 0, 1), 5, if(ISBLANK('2025'!$S102), 0, 1), 6, if(ISBLANK('2025'!$T102), 0, 1), 7, 0))), 1, "")</f>
        <v/>
      </c>
      <c r="AJ104" s="1" t="str">
        <f>IF(AND(AND(AND(AJ$4&gt;='2025'!$L102,AJ$4&lt;='2025'!$M102), AJ$4&lt;&gt;DATE(2025,7,4)), (SWITCH(weekday(AJ$4), 1, 0, 2, if(ISBLANK('2025'!$P102), 0, 1), 3, if(ISBLANK('2025'!$Q102), 0, 1), 4, if(ISBLANK('2025'!$R102), 0, 1), 5, if(ISBLANK('2025'!$S102), 0, 1), 6, if(ISBLANK('2025'!$T102), 0, 1), 7, 0))), 1, "")</f>
        <v/>
      </c>
      <c r="AK104" s="1" t="str">
        <f>IF(AND(AND(AND(AK$4&gt;='2025'!$L102,AK$4&lt;='2025'!$M102), AK$4&lt;&gt;DATE(2025,7,4)), (SWITCH(weekday(AK$4), 1, 0, 2, if(ISBLANK('2025'!$P102), 0, 1), 3, if(ISBLANK('2025'!$Q102), 0, 1), 4, if(ISBLANK('2025'!$R102), 0, 1), 5, if(ISBLANK('2025'!$S102), 0, 1), 6, if(ISBLANK('2025'!$T102), 0, 1), 7, 0))), 1, "")</f>
        <v/>
      </c>
      <c r="AL104" s="1" t="str">
        <f>IF(AND(AND(AND(AL$4&gt;='2025'!$L102,AL$4&lt;='2025'!$M102), AL$4&lt;&gt;DATE(2025,7,4)), (SWITCH(weekday(AL$4), 1, 0, 2, if(ISBLANK('2025'!$P102), 0, 1), 3, if(ISBLANK('2025'!$Q102), 0, 1), 4, if(ISBLANK('2025'!$R102), 0, 1), 5, if(ISBLANK('2025'!$S102), 0, 1), 6, if(ISBLANK('2025'!$T102), 0, 1), 7, 0))), 1, "")</f>
        <v/>
      </c>
      <c r="AM104" s="1" t="str">
        <f>IF(AND(AND(AND(AM$4&gt;='2025'!$L102,AM$4&lt;='2025'!$M102), AM$4&lt;&gt;DATE(2025,7,4)), (SWITCH(weekday(AM$4), 1, 0, 2, if(ISBLANK('2025'!$P102), 0, 1), 3, if(ISBLANK('2025'!$Q102), 0, 1), 4, if(ISBLANK('2025'!$R102), 0, 1), 5, if(ISBLANK('2025'!$S102), 0, 1), 6, if(ISBLANK('2025'!$T102), 0, 1), 7, 0))), 1, "")</f>
        <v/>
      </c>
      <c r="AN104" s="1" t="str">
        <f>IF(AND(AND(AND(AN$4&gt;='2025'!$L102,AN$4&lt;='2025'!$M102), AN$4&lt;&gt;DATE(2025,7,4)), (SWITCH(weekday(AN$4), 1, 0, 2, if(ISBLANK('2025'!$P102), 0, 1), 3, if(ISBLANK('2025'!$Q102), 0, 1), 4, if(ISBLANK('2025'!$R102), 0, 1), 5, if(ISBLANK('2025'!$S102), 0, 1), 6, if(ISBLANK('2025'!$T102), 0, 1), 7, 0))), 1, "")</f>
        <v/>
      </c>
      <c r="AO104" s="1" t="str">
        <f>IF(AND(AND(AND(AO$4&gt;='2025'!$L102,AO$4&lt;='2025'!$M102), AO$4&lt;&gt;DATE(2025,7,4)), (SWITCH(weekday(AO$4), 1, 0, 2, if(ISBLANK('2025'!$P102), 0, 1), 3, if(ISBLANK('2025'!$Q102), 0, 1), 4, if(ISBLANK('2025'!$R102), 0, 1), 5, if(ISBLANK('2025'!$S102), 0, 1), 6, if(ISBLANK('2025'!$T102), 0, 1), 7, 0))), 1, "")</f>
        <v/>
      </c>
      <c r="AP104" s="1" t="str">
        <f>IF(AND(AND(AND(AP$4&gt;='2025'!$L102,AP$4&lt;='2025'!$M102), AP$4&lt;&gt;DATE(2025,7,4)), (SWITCH(weekday(AP$4), 1, 0, 2, if(ISBLANK('2025'!$P102), 0, 1), 3, if(ISBLANK('2025'!$Q102), 0, 1), 4, if(ISBLANK('2025'!$R102), 0, 1), 5, if(ISBLANK('2025'!$S102), 0, 1), 6, if(ISBLANK('2025'!$T102), 0, 1), 7, 0))), 1, "")</f>
        <v/>
      </c>
      <c r="AQ104" s="1" t="str">
        <f>IF(AND(AND(AND(AQ$4&gt;='2025'!$L102,AQ$4&lt;='2025'!$M102), AQ$4&lt;&gt;DATE(2025,7,4)), (SWITCH(weekday(AQ$4), 1, 0, 2, if(ISBLANK('2025'!$P102), 0, 1), 3, if(ISBLANK('2025'!$Q102), 0, 1), 4, if(ISBLANK('2025'!$R102), 0, 1), 5, if(ISBLANK('2025'!$S102), 0, 1), 6, if(ISBLANK('2025'!$T102), 0, 1), 7, 0))), 1, "")</f>
        <v/>
      </c>
      <c r="AR104" s="1" t="str">
        <f>IF(AND(AND(AND(AR$4&gt;='2025'!$L102,AR$4&lt;='2025'!$M102), AR$4&lt;&gt;DATE(2025,7,4)), (SWITCH(weekday(AR$4), 1, 0, 2, if(ISBLANK('2025'!$P102), 0, 1), 3, if(ISBLANK('2025'!$Q102), 0, 1), 4, if(ISBLANK('2025'!$R102), 0, 1), 5, if(ISBLANK('2025'!$S102), 0, 1), 6, if(ISBLANK('2025'!$T102), 0, 1), 7, 0))), 1, "")</f>
        <v/>
      </c>
      <c r="AS104" s="1" t="str">
        <f>IF(AND(AND(AND(AS$4&gt;='2025'!$L102,AS$4&lt;='2025'!$M102), AS$4&lt;&gt;DATE(2025,7,4)), (SWITCH(weekday(AS$4), 1, 0, 2, if(ISBLANK('2025'!$P102), 0, 1), 3, if(ISBLANK('2025'!$Q102), 0, 1), 4, if(ISBLANK('2025'!$R102), 0, 1), 5, if(ISBLANK('2025'!$S102), 0, 1), 6, if(ISBLANK('2025'!$T102), 0, 1), 7, 0))), 1, "")</f>
        <v/>
      </c>
      <c r="AT104" s="1" t="str">
        <f>IF(AND(AND(AND(AT$4&gt;='2025'!$L102,AT$4&lt;='2025'!$M102), AT$4&lt;&gt;DATE(2025,7,4)), (SWITCH(weekday(AT$4), 1, 0, 2, if(ISBLANK('2025'!$P102), 0, 1), 3, if(ISBLANK('2025'!$Q102), 0, 1), 4, if(ISBLANK('2025'!$R102), 0, 1), 5, if(ISBLANK('2025'!$S102), 0, 1), 6, if(ISBLANK('2025'!$T102), 0, 1), 7, 0))), 1, "")</f>
        <v/>
      </c>
      <c r="AU104" s="1" t="str">
        <f>IF(AND(AND(AND(AU$4&gt;='2025'!$L102,AU$4&lt;='2025'!$M102), AU$4&lt;&gt;DATE(2025,7,4)), (SWITCH(weekday(AU$4), 1, 0, 2, if(ISBLANK('2025'!$P102), 0, 1), 3, if(ISBLANK('2025'!$Q102), 0, 1), 4, if(ISBLANK('2025'!$R102), 0, 1), 5, if(ISBLANK('2025'!$S102), 0, 1), 6, if(ISBLANK('2025'!$T102), 0, 1), 7, 0))), 1, "")</f>
        <v/>
      </c>
      <c r="AV104" s="1" t="str">
        <f>IF(AND(AND(AND(AV$4&gt;='2025'!$L102,AV$4&lt;='2025'!$M102), AV$4&lt;&gt;DATE(2025,7,4)), (SWITCH(weekday(AV$4), 1, 0, 2, if(ISBLANK('2025'!$P102), 0, 1), 3, if(ISBLANK('2025'!$Q102), 0, 1), 4, if(ISBLANK('2025'!$R102), 0, 1), 5, if(ISBLANK('2025'!$S102), 0, 1), 6, if(ISBLANK('2025'!$T102), 0, 1), 7, 0))), 1, "")</f>
        <v/>
      </c>
      <c r="AW104" s="1" t="str">
        <f>IF(AND(AND(AND(AW$4&gt;='2025'!$L102,AW$4&lt;='2025'!$M102), AW$4&lt;&gt;DATE(2025,7,4)), (SWITCH(weekday(AW$4), 1, 0, 2, if(ISBLANK('2025'!$P102), 0, 1), 3, if(ISBLANK('2025'!$Q102), 0, 1), 4, if(ISBLANK('2025'!$R102), 0, 1), 5, if(ISBLANK('2025'!$S102), 0, 1), 6, if(ISBLANK('2025'!$T102), 0, 1), 7, 0))), 1, "")</f>
        <v/>
      </c>
      <c r="AX104" s="1" t="str">
        <f>IF(AND(AND(AND(AX$4&gt;='2025'!$L102,AX$4&lt;='2025'!$M102), AX$4&lt;&gt;DATE(2025,7,4)), (SWITCH(weekday(AX$4), 1, 0, 2, if(ISBLANK('2025'!$P102), 0, 1), 3, if(ISBLANK('2025'!$Q102), 0, 1), 4, if(ISBLANK('2025'!$R102), 0, 1), 5, if(ISBLANK('2025'!$S102), 0, 1), 6, if(ISBLANK('2025'!$T102), 0, 1), 7, 0))), 1, "")</f>
        <v/>
      </c>
      <c r="AY104" s="1" t="str">
        <f>IF(AND(AND(AND(AY$4&gt;='2025'!$L102,AY$4&lt;='2025'!$M102), AY$4&lt;&gt;DATE(2025,7,4)), (SWITCH(weekday(AY$4), 1, 0, 2, if(ISBLANK('2025'!$P102), 0, 1), 3, if(ISBLANK('2025'!$Q102), 0, 1), 4, if(ISBLANK('2025'!$R102), 0, 1), 5, if(ISBLANK('2025'!$S102), 0, 1), 6, if(ISBLANK('2025'!$T102), 0, 1), 7, 0))), 1, "")</f>
        <v/>
      </c>
      <c r="AZ104" s="1" t="str">
        <f>IF(AND(AND(AND(AZ$4&gt;='2025'!$L102,AZ$4&lt;='2025'!$M102), AZ$4&lt;&gt;DATE(2025,7,4)), (SWITCH(weekday(AZ$4), 1, 0, 2, if(ISBLANK('2025'!$P102), 0, 1), 3, if(ISBLANK('2025'!$Q102), 0, 1), 4, if(ISBLANK('2025'!$R102), 0, 1), 5, if(ISBLANK('2025'!$S102), 0, 1), 6, if(ISBLANK('2025'!$T102), 0, 1), 7, 0))), 1, "")</f>
        <v/>
      </c>
      <c r="BA104" s="1" t="str">
        <f>IF(AND(AND(AND(BA$4&gt;='2025'!$L102,BA$4&lt;='2025'!$M102), BA$4&lt;&gt;DATE(2025,7,4)), (SWITCH(weekday(BA$4), 1, 0, 2, if(ISBLANK('2025'!$P102), 0, 1), 3, if(ISBLANK('2025'!$Q102), 0, 1), 4, if(ISBLANK('2025'!$R102), 0, 1), 5, if(ISBLANK('2025'!$S102), 0, 1), 6, if(ISBLANK('2025'!$T102), 0, 1), 7, 0))), 1, "")</f>
        <v/>
      </c>
      <c r="BB104" s="1" t="str">
        <f>IF(AND(AND(AND(BB$4&gt;='2025'!$L102,BB$4&lt;='2025'!$M102), BB$4&lt;&gt;DATE(2025,7,4)), (SWITCH(weekday(BB$4), 1, 0, 2, if(ISBLANK('2025'!$P102), 0, 1), 3, if(ISBLANK('2025'!$Q102), 0, 1), 4, if(ISBLANK('2025'!$R102), 0, 1), 5, if(ISBLANK('2025'!$S102), 0, 1), 6, if(ISBLANK('2025'!$T102), 0, 1), 7, 0))), 1, "")</f>
        <v/>
      </c>
      <c r="BC104" s="1" t="str">
        <f>IF(AND(AND(AND(BC$4&gt;='2025'!$L102,BC$4&lt;='2025'!$M102), BC$4&lt;&gt;DATE(2025,7,4)), (SWITCH(weekday(BC$4), 1, 0, 2, if(ISBLANK('2025'!$P102), 0, 1), 3, if(ISBLANK('2025'!$Q102), 0, 1), 4, if(ISBLANK('2025'!$R102), 0, 1), 5, if(ISBLANK('2025'!$S102), 0, 1), 6, if(ISBLANK('2025'!$T102), 0, 1), 7, 0))), 1, "")</f>
        <v/>
      </c>
      <c r="BD104" s="1" t="str">
        <f>IF(AND(AND(AND(BD$4&gt;='2025'!$L102,BD$4&lt;='2025'!$M102), BD$4&lt;&gt;DATE(2025,7,4)), (SWITCH(weekday(BD$4), 1, 0, 2, if(ISBLANK('2025'!$P102), 0, 1), 3, if(ISBLANK('2025'!$Q102), 0, 1), 4, if(ISBLANK('2025'!$R102), 0, 1), 5, if(ISBLANK('2025'!$S102), 0, 1), 6, if(ISBLANK('2025'!$T102), 0, 1), 7, 0))), 1, "")</f>
        <v/>
      </c>
      <c r="BE104" s="1" t="str">
        <f>IF(AND(AND(AND(BE$4&gt;='2025'!$L102,BE$4&lt;='2025'!$M102), BE$4&lt;&gt;DATE(2025,7,4)), (SWITCH(weekday(BE$4), 1, 0, 2, if(ISBLANK('2025'!$P102), 0, 1), 3, if(ISBLANK('2025'!$Q102), 0, 1), 4, if(ISBLANK('2025'!$R102), 0, 1), 5, if(ISBLANK('2025'!$S102), 0, 1), 6, if(ISBLANK('2025'!$T102), 0, 1), 7, 0))), 1, "")</f>
        <v/>
      </c>
      <c r="BF104" s="1" t="str">
        <f>IF(AND(AND(AND(BF$4&gt;='2025'!$L102,BF$4&lt;='2025'!$M102), BF$4&lt;&gt;DATE(2025,7,4)), (SWITCH(weekday(BF$4), 1, 0, 2, if(ISBLANK('2025'!$P102), 0, 1), 3, if(ISBLANK('2025'!$Q102), 0, 1), 4, if(ISBLANK('2025'!$R102), 0, 1), 5, if(ISBLANK('2025'!$S102), 0, 1), 6, if(ISBLANK('2025'!$T102), 0, 1), 7, 0))), 1, "")</f>
        <v/>
      </c>
      <c r="BG104" s="1"/>
      <c r="BH104" s="1"/>
      <c r="BI104" s="1"/>
      <c r="BJ104" s="1"/>
      <c r="BK104" s="1"/>
      <c r="BL104" s="1"/>
    </row>
    <row r="105">
      <c r="A105" s="1">
        <f t="shared" si="3"/>
        <v>105</v>
      </c>
      <c r="B105" s="1" t="str">
        <f>'2025'!D69</f>
        <v>, </v>
      </c>
      <c r="C105" s="1" t="str">
        <f>'2025'!H69</f>
        <v/>
      </c>
      <c r="D105" s="1" t="str">
        <f>IF(AND(AND(AND(D$4&gt;='2025'!$L103,D$4&lt;='2025'!$M103), D$4&lt;&gt;DATE(2025,7,4)), (SWITCH(weekday(D$4), 1, 0, 2, if(ISBLANK('2025'!$P103), 0, 1), 3, if(ISBLANK('2025'!$Q103), 0, 1), 4, if(ISBLANK('2025'!$R103), 0, 1), 5, if(ISBLANK('2025'!$S103), 0, 1), 6, if(ISBLANK('2025'!$T103), 0, 1), 7, 0))), 1, "")</f>
        <v/>
      </c>
      <c r="E105" s="1" t="str">
        <f>IF(AND(AND(AND(E$4&gt;='2025'!$L103,E$4&lt;='2025'!$M103), E$4&lt;&gt;DATE(2025,7,4)), (SWITCH(weekday(E$4), 1, 0, 2, if(ISBLANK('2025'!$P103), 0, 1), 3, if(ISBLANK('2025'!$Q103), 0, 1), 4, if(ISBLANK('2025'!$R103), 0, 1), 5, if(ISBLANK('2025'!$S103), 0, 1), 6, if(ISBLANK('2025'!$T103), 0, 1), 7, 0))), 1, "")</f>
        <v/>
      </c>
      <c r="F105" s="1" t="str">
        <f>IF(AND(AND(AND(F$4&gt;='2025'!$L103,F$4&lt;='2025'!$M103), F$4&lt;&gt;DATE(2025,7,4)), (SWITCH(weekday(F$4), 1, 0, 2, if(ISBLANK('2025'!$P103), 0, 1), 3, if(ISBLANK('2025'!$Q103), 0, 1), 4, if(ISBLANK('2025'!$R103), 0, 1), 5, if(ISBLANK('2025'!$S103), 0, 1), 6, if(ISBLANK('2025'!$T103), 0, 1), 7, 0))), 1, "")</f>
        <v/>
      </c>
      <c r="G105" s="1" t="str">
        <f>IF(AND(AND(AND(G$4&gt;='2025'!$L103,G$4&lt;='2025'!$M103), G$4&lt;&gt;DATE(2025,7,4)), (SWITCH(weekday(G$4), 1, 0, 2, if(ISBLANK('2025'!$P103), 0, 1), 3, if(ISBLANK('2025'!$Q103), 0, 1), 4, if(ISBLANK('2025'!$R103), 0, 1), 5, if(ISBLANK('2025'!$S103), 0, 1), 6, if(ISBLANK('2025'!$T103), 0, 1), 7, 0))), 1, "")</f>
        <v/>
      </c>
      <c r="H105" s="1" t="str">
        <f>IF(AND(AND(AND(H$4&gt;='2025'!$L103,H$4&lt;='2025'!$M103), H$4&lt;&gt;DATE(2025,7,4)), (SWITCH(weekday(H$4), 1, 0, 2, if(ISBLANK('2025'!$P103), 0, 1), 3, if(ISBLANK('2025'!$Q103), 0, 1), 4, if(ISBLANK('2025'!$R103), 0, 1), 5, if(ISBLANK('2025'!$S103), 0, 1), 6, if(ISBLANK('2025'!$T103), 0, 1), 7, 0))), 1, "")</f>
        <v/>
      </c>
      <c r="I105" s="1" t="str">
        <f>IF(AND(AND(AND(I$4&gt;='2025'!$L103,I$4&lt;='2025'!$M103), I$4&lt;&gt;DATE(2025,7,4)), (SWITCH(weekday(I$4), 1, 0, 2, if(ISBLANK('2025'!$P103), 0, 1), 3, if(ISBLANK('2025'!$Q103), 0, 1), 4, if(ISBLANK('2025'!$R103), 0, 1), 5, if(ISBLANK('2025'!$S103), 0, 1), 6, if(ISBLANK('2025'!$T103), 0, 1), 7, 0))), 1, "")</f>
        <v/>
      </c>
      <c r="J105" s="1" t="str">
        <f>IF(AND(AND(AND(J$4&gt;='2025'!$L103,J$4&lt;='2025'!$M103), J$4&lt;&gt;DATE(2025,7,4)), (SWITCH(weekday(J$4), 1, 0, 2, if(ISBLANK('2025'!$P103), 0, 1), 3, if(ISBLANK('2025'!$Q103), 0, 1), 4, if(ISBLANK('2025'!$R103), 0, 1), 5, if(ISBLANK('2025'!$S103), 0, 1), 6, if(ISBLANK('2025'!$T103), 0, 1), 7, 0))), 1, "")</f>
        <v/>
      </c>
      <c r="K105" s="1" t="str">
        <f>IF(AND(AND(AND(K$4&gt;='2025'!$L103,K$4&lt;='2025'!$M103), K$4&lt;&gt;DATE(2025,7,4)), (SWITCH(weekday(K$4), 1, 0, 2, if(ISBLANK('2025'!$P103), 0, 1), 3, if(ISBLANK('2025'!$Q103), 0, 1), 4, if(ISBLANK('2025'!$R103), 0, 1), 5, if(ISBLANK('2025'!$S103), 0, 1), 6, if(ISBLANK('2025'!$T103), 0, 1), 7, 0))), 1, "")</f>
        <v/>
      </c>
      <c r="L105" s="1" t="str">
        <f>IF(AND(AND(AND(L$4&gt;='2025'!$L103,L$4&lt;='2025'!$M103), L$4&lt;&gt;DATE(2025,7,4)), (SWITCH(weekday(L$4), 1, 0, 2, if(ISBLANK('2025'!$P103), 0, 1), 3, if(ISBLANK('2025'!$Q103), 0, 1), 4, if(ISBLANK('2025'!$R103), 0, 1), 5, if(ISBLANK('2025'!$S103), 0, 1), 6, if(ISBLANK('2025'!$T103), 0, 1), 7, 0))), 1, "")</f>
        <v/>
      </c>
      <c r="M105" s="1" t="str">
        <f>IF(AND(AND(AND(M$4&gt;='2025'!$L103,M$4&lt;='2025'!$M103), M$4&lt;&gt;DATE(2025,7,4)), (SWITCH(weekday(M$4), 1, 0, 2, if(ISBLANK('2025'!$P103), 0, 1), 3, if(ISBLANK('2025'!$Q103), 0, 1), 4, if(ISBLANK('2025'!$R103), 0, 1), 5, if(ISBLANK('2025'!$S103), 0, 1), 6, if(ISBLANK('2025'!$T103), 0, 1), 7, 0))), 1, "")</f>
        <v/>
      </c>
      <c r="N105" s="1" t="str">
        <f>IF(AND(AND(AND(N$4&gt;='2025'!$L103,N$4&lt;='2025'!$M103), N$4&lt;&gt;DATE(2025,7,4)), (SWITCH(weekday(N$4), 1, 0, 2, if(ISBLANK('2025'!$P103), 0, 1), 3, if(ISBLANK('2025'!$Q103), 0, 1), 4, if(ISBLANK('2025'!$R103), 0, 1), 5, if(ISBLANK('2025'!$S103), 0, 1), 6, if(ISBLANK('2025'!$T103), 0, 1), 7, 0))), 1, "")</f>
        <v/>
      </c>
      <c r="O105" s="1" t="str">
        <f>IF(AND(AND(AND(O$4&gt;='2025'!$L103,O$4&lt;='2025'!$M103), O$4&lt;&gt;DATE(2025,7,4)), (SWITCH(weekday(O$4), 1, 0, 2, if(ISBLANK('2025'!$P103), 0, 1), 3, if(ISBLANK('2025'!$Q103), 0, 1), 4, if(ISBLANK('2025'!$R103), 0, 1), 5, if(ISBLANK('2025'!$S103), 0, 1), 6, if(ISBLANK('2025'!$T103), 0, 1), 7, 0))), 1, "")</f>
        <v/>
      </c>
      <c r="P105" s="1" t="str">
        <f>IF(AND(AND(AND(P$4&gt;='2025'!$L103,P$4&lt;='2025'!$M103), P$4&lt;&gt;DATE(2025,7,4)), (SWITCH(weekday(P$4), 1, 0, 2, if(ISBLANK('2025'!$P103), 0, 1), 3, if(ISBLANK('2025'!$Q103), 0, 1), 4, if(ISBLANK('2025'!$R103), 0, 1), 5, if(ISBLANK('2025'!$S103), 0, 1), 6, if(ISBLANK('2025'!$T103), 0, 1), 7, 0))), 1, "")</f>
        <v/>
      </c>
      <c r="Q105" s="1" t="str">
        <f>IF(AND(AND(AND(Q$4&gt;='2025'!$L103,Q$4&lt;='2025'!$M103), Q$4&lt;&gt;DATE(2025,7,4)), (SWITCH(weekday(Q$4), 1, 0, 2, if(ISBLANK('2025'!$P103), 0, 1), 3, if(ISBLANK('2025'!$Q103), 0, 1), 4, if(ISBLANK('2025'!$R103), 0, 1), 5, if(ISBLANK('2025'!$S103), 0, 1), 6, if(ISBLANK('2025'!$T103), 0, 1), 7, 0))), 1, "")</f>
        <v/>
      </c>
      <c r="R105" s="1" t="str">
        <f>IF(AND(AND(AND(R$4&gt;='2025'!$L103,R$4&lt;='2025'!$M103), R$4&lt;&gt;DATE(2025,7,4)), (SWITCH(weekday(R$4), 1, 0, 2, if(ISBLANK('2025'!$P103), 0, 1), 3, if(ISBLANK('2025'!$Q103), 0, 1), 4, if(ISBLANK('2025'!$R103), 0, 1), 5, if(ISBLANK('2025'!$S103), 0, 1), 6, if(ISBLANK('2025'!$T103), 0, 1), 7, 0))), 1, "")</f>
        <v/>
      </c>
      <c r="S105" s="1" t="str">
        <f>IF(AND(AND(AND(S$4&gt;='2025'!$L103,S$4&lt;='2025'!$M103), S$4&lt;&gt;DATE(2025,7,4)), (SWITCH(weekday(S$4), 1, 0, 2, if(ISBLANK('2025'!$P103), 0, 1), 3, if(ISBLANK('2025'!$Q103), 0, 1), 4, if(ISBLANK('2025'!$R103), 0, 1), 5, if(ISBLANK('2025'!$S103), 0, 1), 6, if(ISBLANK('2025'!$T103), 0, 1), 7, 0))), 1, "")</f>
        <v/>
      </c>
      <c r="T105" s="1" t="str">
        <f>IF(AND(AND(AND(T$4&gt;='2025'!$L103,T$4&lt;='2025'!$M103), T$4&lt;&gt;DATE(2025,7,4)), (SWITCH(weekday(T$4), 1, 0, 2, if(ISBLANK('2025'!$P103), 0, 1), 3, if(ISBLANK('2025'!$Q103), 0, 1), 4, if(ISBLANK('2025'!$R103), 0, 1), 5, if(ISBLANK('2025'!$S103), 0, 1), 6, if(ISBLANK('2025'!$T103), 0, 1), 7, 0))), 1, "")</f>
        <v/>
      </c>
      <c r="U105" s="1" t="str">
        <f>IF(AND(AND(AND(U$4&gt;='2025'!$L103,U$4&lt;='2025'!$M103), U$4&lt;&gt;DATE(2025,7,4)), (SWITCH(weekday(U$4), 1, 0, 2, if(ISBLANK('2025'!$P103), 0, 1), 3, if(ISBLANK('2025'!$Q103), 0, 1), 4, if(ISBLANK('2025'!$R103), 0, 1), 5, if(ISBLANK('2025'!$S103), 0, 1), 6, if(ISBLANK('2025'!$T103), 0, 1), 7, 0))), 1, "")</f>
        <v/>
      </c>
      <c r="V105" s="1" t="str">
        <f>IF(AND(AND(AND(V$4&gt;='2025'!$L103,V$4&lt;='2025'!$M103), V$4&lt;&gt;DATE(2025,7,4)), (SWITCH(weekday(V$4), 1, 0, 2, if(ISBLANK('2025'!$P103), 0, 1), 3, if(ISBLANK('2025'!$Q103), 0, 1), 4, if(ISBLANK('2025'!$R103), 0, 1), 5, if(ISBLANK('2025'!$S103), 0, 1), 6, if(ISBLANK('2025'!$T103), 0, 1), 7, 0))), 1, "")</f>
        <v/>
      </c>
      <c r="W105" s="1" t="str">
        <f>IF(AND(AND(AND(W$4&gt;='2025'!$L103,W$4&lt;='2025'!$M103), W$4&lt;&gt;DATE(2025,7,4)), (SWITCH(weekday(W$4), 1, 0, 2, if(ISBLANK('2025'!$P103), 0, 1), 3, if(ISBLANK('2025'!$Q103), 0, 1), 4, if(ISBLANK('2025'!$R103), 0, 1), 5, if(ISBLANK('2025'!$S103), 0, 1), 6, if(ISBLANK('2025'!$T103), 0, 1), 7, 0))), 1, "")</f>
        <v/>
      </c>
      <c r="X105" s="1" t="str">
        <f>IF(AND(AND(AND(X$4&gt;='2025'!$L103,X$4&lt;='2025'!$M103), X$4&lt;&gt;DATE(2025,7,4)), (SWITCH(weekday(X$4), 1, 0, 2, if(ISBLANK('2025'!$P103), 0, 1), 3, if(ISBLANK('2025'!$Q103), 0, 1), 4, if(ISBLANK('2025'!$R103), 0, 1), 5, if(ISBLANK('2025'!$S103), 0, 1), 6, if(ISBLANK('2025'!$T103), 0, 1), 7, 0))), 1, "")</f>
        <v/>
      </c>
      <c r="Y105" s="1" t="str">
        <f>IF(AND(AND(AND(Y$4&gt;='2025'!$L103,Y$4&lt;='2025'!$M103), Y$4&lt;&gt;DATE(2025,7,4)), (SWITCH(weekday(Y$4), 1, 0, 2, if(ISBLANK('2025'!$P103), 0, 1), 3, if(ISBLANK('2025'!$Q103), 0, 1), 4, if(ISBLANK('2025'!$R103), 0, 1), 5, if(ISBLANK('2025'!$S103), 0, 1), 6, if(ISBLANK('2025'!$T103), 0, 1), 7, 0))), 1, "")</f>
        <v/>
      </c>
      <c r="Z105" s="1" t="str">
        <f>IF(AND(AND(AND(Z$4&gt;='2025'!$L103,Z$4&lt;='2025'!$M103), Z$4&lt;&gt;DATE(2025,7,4)), (SWITCH(weekday(Z$4), 1, 0, 2, if(ISBLANK('2025'!$P103), 0, 1), 3, if(ISBLANK('2025'!$Q103), 0, 1), 4, if(ISBLANK('2025'!$R103), 0, 1), 5, if(ISBLANK('2025'!$S103), 0, 1), 6, if(ISBLANK('2025'!$T103), 0, 1), 7, 0))), 1, "")</f>
        <v/>
      </c>
      <c r="AA105" s="1" t="str">
        <f>IF(AND(AND(AND(AA$4&gt;='2025'!$L103,AA$4&lt;='2025'!$M103), AA$4&lt;&gt;DATE(2025,7,4)), (SWITCH(weekday(AA$4), 1, 0, 2, if(ISBLANK('2025'!$P103), 0, 1), 3, if(ISBLANK('2025'!$Q103), 0, 1), 4, if(ISBLANK('2025'!$R103), 0, 1), 5, if(ISBLANK('2025'!$S103), 0, 1), 6, if(ISBLANK('2025'!$T103), 0, 1), 7, 0))), 1, "")</f>
        <v/>
      </c>
      <c r="AB105" s="1" t="str">
        <f>IF(AND(AND(AND(AB$4&gt;='2025'!$L103,AB$4&lt;='2025'!$M103), AB$4&lt;&gt;DATE(2025,7,4)), (SWITCH(weekday(AB$4), 1, 0, 2, if(ISBLANK('2025'!$P103), 0, 1), 3, if(ISBLANK('2025'!$Q103), 0, 1), 4, if(ISBLANK('2025'!$R103), 0, 1), 5, if(ISBLANK('2025'!$S103), 0, 1), 6, if(ISBLANK('2025'!$T103), 0, 1), 7, 0))), 1, "")</f>
        <v/>
      </c>
      <c r="AC105" s="1" t="str">
        <f>IF(AND(AND(AND(AC$4&gt;='2025'!$L103,AC$4&lt;='2025'!$M103), AC$4&lt;&gt;DATE(2025,7,4)), (SWITCH(weekday(AC$4), 1, 0, 2, if(ISBLANK('2025'!$P103), 0, 1), 3, if(ISBLANK('2025'!$Q103), 0, 1), 4, if(ISBLANK('2025'!$R103), 0, 1), 5, if(ISBLANK('2025'!$S103), 0, 1), 6, if(ISBLANK('2025'!$T103), 0, 1), 7, 0))), 1, "")</f>
        <v/>
      </c>
      <c r="AD105" s="1" t="str">
        <f>IF(AND(AND(AND(AD$4&gt;='2025'!$L103,AD$4&lt;='2025'!$M103), AD$4&lt;&gt;DATE(2025,7,4)), (SWITCH(weekday(AD$4), 1, 0, 2, if(ISBLANK('2025'!$P103), 0, 1), 3, if(ISBLANK('2025'!$Q103), 0, 1), 4, if(ISBLANK('2025'!$R103), 0, 1), 5, if(ISBLANK('2025'!$S103), 0, 1), 6, if(ISBLANK('2025'!$T103), 0, 1), 7, 0))), 1, "")</f>
        <v/>
      </c>
      <c r="AE105" s="1" t="str">
        <f>IF(AND(AND(AND(AE$4&gt;='2025'!$L103,AE$4&lt;='2025'!$M103), AE$4&lt;&gt;DATE(2025,7,4)), (SWITCH(weekday(AE$4), 1, 0, 2, if(ISBLANK('2025'!$P103), 0, 1), 3, if(ISBLANK('2025'!$Q103), 0, 1), 4, if(ISBLANK('2025'!$R103), 0, 1), 5, if(ISBLANK('2025'!$S103), 0, 1), 6, if(ISBLANK('2025'!$T103), 0, 1), 7, 0))), 1, "")</f>
        <v/>
      </c>
      <c r="AF105" s="1" t="str">
        <f>IF(AND(AND(AND(AF$4&gt;='2025'!$L103,AF$4&lt;='2025'!$M103), AF$4&lt;&gt;DATE(2025,7,4)), (SWITCH(weekday(AF$4), 1, 0, 2, if(ISBLANK('2025'!$P103), 0, 1), 3, if(ISBLANK('2025'!$Q103), 0, 1), 4, if(ISBLANK('2025'!$R103), 0, 1), 5, if(ISBLANK('2025'!$S103), 0, 1), 6, if(ISBLANK('2025'!$T103), 0, 1), 7, 0))), 1, "")</f>
        <v/>
      </c>
      <c r="AG105" s="1" t="str">
        <f>IF(AND(AND(AND(AG$4&gt;='2025'!$L103,AG$4&lt;='2025'!$M103), AG$4&lt;&gt;DATE(2025,7,4)), (SWITCH(weekday(AG$4), 1, 0, 2, if(ISBLANK('2025'!$P103), 0, 1), 3, if(ISBLANK('2025'!$Q103), 0, 1), 4, if(ISBLANK('2025'!$R103), 0, 1), 5, if(ISBLANK('2025'!$S103), 0, 1), 6, if(ISBLANK('2025'!$T103), 0, 1), 7, 0))), 1, "")</f>
        <v/>
      </c>
      <c r="AH105" s="1" t="str">
        <f>IF(AND(AND(AND(AH$4&gt;='2025'!$L103,AH$4&lt;='2025'!$M103), AH$4&lt;&gt;DATE(2025,7,4)), (SWITCH(weekday(AH$4), 1, 0, 2, if(ISBLANK('2025'!$P103), 0, 1), 3, if(ISBLANK('2025'!$Q103), 0, 1), 4, if(ISBLANK('2025'!$R103), 0, 1), 5, if(ISBLANK('2025'!$S103), 0, 1), 6, if(ISBLANK('2025'!$T103), 0, 1), 7, 0))), 1, "")</f>
        <v/>
      </c>
      <c r="AI105" s="1" t="str">
        <f>IF(AND(AND(AND(AI$4&gt;='2025'!$L103,AI$4&lt;='2025'!$M103), AI$4&lt;&gt;DATE(2025,7,4)), (SWITCH(weekday(AI$4), 1, 0, 2, if(ISBLANK('2025'!$P103), 0, 1), 3, if(ISBLANK('2025'!$Q103), 0, 1), 4, if(ISBLANK('2025'!$R103), 0, 1), 5, if(ISBLANK('2025'!$S103), 0, 1), 6, if(ISBLANK('2025'!$T103), 0, 1), 7, 0))), 1, "")</f>
        <v/>
      </c>
      <c r="AJ105" s="1" t="str">
        <f>IF(AND(AND(AND(AJ$4&gt;='2025'!$L103,AJ$4&lt;='2025'!$M103), AJ$4&lt;&gt;DATE(2025,7,4)), (SWITCH(weekday(AJ$4), 1, 0, 2, if(ISBLANK('2025'!$P103), 0, 1), 3, if(ISBLANK('2025'!$Q103), 0, 1), 4, if(ISBLANK('2025'!$R103), 0, 1), 5, if(ISBLANK('2025'!$S103), 0, 1), 6, if(ISBLANK('2025'!$T103), 0, 1), 7, 0))), 1, "")</f>
        <v/>
      </c>
      <c r="AK105" s="1" t="str">
        <f>IF(AND(AND(AND(AK$4&gt;='2025'!$L103,AK$4&lt;='2025'!$M103), AK$4&lt;&gt;DATE(2025,7,4)), (SWITCH(weekday(AK$4), 1, 0, 2, if(ISBLANK('2025'!$P103), 0, 1), 3, if(ISBLANK('2025'!$Q103), 0, 1), 4, if(ISBLANK('2025'!$R103), 0, 1), 5, if(ISBLANK('2025'!$S103), 0, 1), 6, if(ISBLANK('2025'!$T103), 0, 1), 7, 0))), 1, "")</f>
        <v/>
      </c>
      <c r="AL105" s="1" t="str">
        <f>IF(AND(AND(AND(AL$4&gt;='2025'!$L103,AL$4&lt;='2025'!$M103), AL$4&lt;&gt;DATE(2025,7,4)), (SWITCH(weekday(AL$4), 1, 0, 2, if(ISBLANK('2025'!$P103), 0, 1), 3, if(ISBLANK('2025'!$Q103), 0, 1), 4, if(ISBLANK('2025'!$R103), 0, 1), 5, if(ISBLANK('2025'!$S103), 0, 1), 6, if(ISBLANK('2025'!$T103), 0, 1), 7, 0))), 1, "")</f>
        <v/>
      </c>
      <c r="AM105" s="1" t="str">
        <f>IF(AND(AND(AND(AM$4&gt;='2025'!$L103,AM$4&lt;='2025'!$M103), AM$4&lt;&gt;DATE(2025,7,4)), (SWITCH(weekday(AM$4), 1, 0, 2, if(ISBLANK('2025'!$P103), 0, 1), 3, if(ISBLANK('2025'!$Q103), 0, 1), 4, if(ISBLANK('2025'!$R103), 0, 1), 5, if(ISBLANK('2025'!$S103), 0, 1), 6, if(ISBLANK('2025'!$T103), 0, 1), 7, 0))), 1, "")</f>
        <v/>
      </c>
      <c r="AN105" s="1" t="str">
        <f>IF(AND(AND(AND(AN$4&gt;='2025'!$L103,AN$4&lt;='2025'!$M103), AN$4&lt;&gt;DATE(2025,7,4)), (SWITCH(weekday(AN$4), 1, 0, 2, if(ISBLANK('2025'!$P103), 0, 1), 3, if(ISBLANK('2025'!$Q103), 0, 1), 4, if(ISBLANK('2025'!$R103), 0, 1), 5, if(ISBLANK('2025'!$S103), 0, 1), 6, if(ISBLANK('2025'!$T103), 0, 1), 7, 0))), 1, "")</f>
        <v/>
      </c>
      <c r="AO105" s="1" t="str">
        <f>IF(AND(AND(AND(AO$4&gt;='2025'!$L103,AO$4&lt;='2025'!$M103), AO$4&lt;&gt;DATE(2025,7,4)), (SWITCH(weekday(AO$4), 1, 0, 2, if(ISBLANK('2025'!$P103), 0, 1), 3, if(ISBLANK('2025'!$Q103), 0, 1), 4, if(ISBLANK('2025'!$R103), 0, 1), 5, if(ISBLANK('2025'!$S103), 0, 1), 6, if(ISBLANK('2025'!$T103), 0, 1), 7, 0))), 1, "")</f>
        <v/>
      </c>
      <c r="AP105" s="1" t="str">
        <f>IF(AND(AND(AND(AP$4&gt;='2025'!$L103,AP$4&lt;='2025'!$M103), AP$4&lt;&gt;DATE(2025,7,4)), (SWITCH(weekday(AP$4), 1, 0, 2, if(ISBLANK('2025'!$P103), 0, 1), 3, if(ISBLANK('2025'!$Q103), 0, 1), 4, if(ISBLANK('2025'!$R103), 0, 1), 5, if(ISBLANK('2025'!$S103), 0, 1), 6, if(ISBLANK('2025'!$T103), 0, 1), 7, 0))), 1, "")</f>
        <v/>
      </c>
      <c r="AQ105" s="1" t="str">
        <f>IF(AND(AND(AND(AQ$4&gt;='2025'!$L103,AQ$4&lt;='2025'!$M103), AQ$4&lt;&gt;DATE(2025,7,4)), (SWITCH(weekday(AQ$4), 1, 0, 2, if(ISBLANK('2025'!$P103), 0, 1), 3, if(ISBLANK('2025'!$Q103), 0, 1), 4, if(ISBLANK('2025'!$R103), 0, 1), 5, if(ISBLANK('2025'!$S103), 0, 1), 6, if(ISBLANK('2025'!$T103), 0, 1), 7, 0))), 1, "")</f>
        <v/>
      </c>
      <c r="AR105" s="1" t="str">
        <f>IF(AND(AND(AND(AR$4&gt;='2025'!$L103,AR$4&lt;='2025'!$M103), AR$4&lt;&gt;DATE(2025,7,4)), (SWITCH(weekday(AR$4), 1, 0, 2, if(ISBLANK('2025'!$P103), 0, 1), 3, if(ISBLANK('2025'!$Q103), 0, 1), 4, if(ISBLANK('2025'!$R103), 0, 1), 5, if(ISBLANK('2025'!$S103), 0, 1), 6, if(ISBLANK('2025'!$T103), 0, 1), 7, 0))), 1, "")</f>
        <v/>
      </c>
      <c r="AS105" s="1" t="str">
        <f>IF(AND(AND(AND(AS$4&gt;='2025'!$L103,AS$4&lt;='2025'!$M103), AS$4&lt;&gt;DATE(2025,7,4)), (SWITCH(weekday(AS$4), 1, 0, 2, if(ISBLANK('2025'!$P103), 0, 1), 3, if(ISBLANK('2025'!$Q103), 0, 1), 4, if(ISBLANK('2025'!$R103), 0, 1), 5, if(ISBLANK('2025'!$S103), 0, 1), 6, if(ISBLANK('2025'!$T103), 0, 1), 7, 0))), 1, "")</f>
        <v/>
      </c>
      <c r="AT105" s="1" t="str">
        <f>IF(AND(AND(AND(AT$4&gt;='2025'!$L103,AT$4&lt;='2025'!$M103), AT$4&lt;&gt;DATE(2025,7,4)), (SWITCH(weekday(AT$4), 1, 0, 2, if(ISBLANK('2025'!$P103), 0, 1), 3, if(ISBLANK('2025'!$Q103), 0, 1), 4, if(ISBLANK('2025'!$R103), 0, 1), 5, if(ISBLANK('2025'!$S103), 0, 1), 6, if(ISBLANK('2025'!$T103), 0, 1), 7, 0))), 1, "")</f>
        <v/>
      </c>
      <c r="AU105" s="1" t="str">
        <f>IF(AND(AND(AND(AU$4&gt;='2025'!$L103,AU$4&lt;='2025'!$M103), AU$4&lt;&gt;DATE(2025,7,4)), (SWITCH(weekday(AU$4), 1, 0, 2, if(ISBLANK('2025'!$P103), 0, 1), 3, if(ISBLANK('2025'!$Q103), 0, 1), 4, if(ISBLANK('2025'!$R103), 0, 1), 5, if(ISBLANK('2025'!$S103), 0, 1), 6, if(ISBLANK('2025'!$T103), 0, 1), 7, 0))), 1, "")</f>
        <v/>
      </c>
      <c r="AV105" s="1" t="str">
        <f>IF(AND(AND(AND(AV$4&gt;='2025'!$L103,AV$4&lt;='2025'!$M103), AV$4&lt;&gt;DATE(2025,7,4)), (SWITCH(weekday(AV$4), 1, 0, 2, if(ISBLANK('2025'!$P103), 0, 1), 3, if(ISBLANK('2025'!$Q103), 0, 1), 4, if(ISBLANK('2025'!$R103), 0, 1), 5, if(ISBLANK('2025'!$S103), 0, 1), 6, if(ISBLANK('2025'!$T103), 0, 1), 7, 0))), 1, "")</f>
        <v/>
      </c>
      <c r="AW105" s="1" t="str">
        <f>IF(AND(AND(AND(AW$4&gt;='2025'!$L103,AW$4&lt;='2025'!$M103), AW$4&lt;&gt;DATE(2025,7,4)), (SWITCH(weekday(AW$4), 1, 0, 2, if(ISBLANK('2025'!$P103), 0, 1), 3, if(ISBLANK('2025'!$Q103), 0, 1), 4, if(ISBLANK('2025'!$R103), 0, 1), 5, if(ISBLANK('2025'!$S103), 0, 1), 6, if(ISBLANK('2025'!$T103), 0, 1), 7, 0))), 1, "")</f>
        <v/>
      </c>
      <c r="AX105" s="1" t="str">
        <f>IF(AND(AND(AND(AX$4&gt;='2025'!$L103,AX$4&lt;='2025'!$M103), AX$4&lt;&gt;DATE(2025,7,4)), (SWITCH(weekday(AX$4), 1, 0, 2, if(ISBLANK('2025'!$P103), 0, 1), 3, if(ISBLANK('2025'!$Q103), 0, 1), 4, if(ISBLANK('2025'!$R103), 0, 1), 5, if(ISBLANK('2025'!$S103), 0, 1), 6, if(ISBLANK('2025'!$T103), 0, 1), 7, 0))), 1, "")</f>
        <v/>
      </c>
      <c r="AY105" s="1" t="str">
        <f>IF(AND(AND(AND(AY$4&gt;='2025'!$L103,AY$4&lt;='2025'!$M103), AY$4&lt;&gt;DATE(2025,7,4)), (SWITCH(weekday(AY$4), 1, 0, 2, if(ISBLANK('2025'!$P103), 0, 1), 3, if(ISBLANK('2025'!$Q103), 0, 1), 4, if(ISBLANK('2025'!$R103), 0, 1), 5, if(ISBLANK('2025'!$S103), 0, 1), 6, if(ISBLANK('2025'!$T103), 0, 1), 7, 0))), 1, "")</f>
        <v/>
      </c>
      <c r="AZ105" s="1" t="str">
        <f>IF(AND(AND(AND(AZ$4&gt;='2025'!$L103,AZ$4&lt;='2025'!$M103), AZ$4&lt;&gt;DATE(2025,7,4)), (SWITCH(weekday(AZ$4), 1, 0, 2, if(ISBLANK('2025'!$P103), 0, 1), 3, if(ISBLANK('2025'!$Q103), 0, 1), 4, if(ISBLANK('2025'!$R103), 0, 1), 5, if(ISBLANK('2025'!$S103), 0, 1), 6, if(ISBLANK('2025'!$T103), 0, 1), 7, 0))), 1, "")</f>
        <v/>
      </c>
      <c r="BA105" s="1" t="str">
        <f>IF(AND(AND(AND(BA$4&gt;='2025'!$L103,BA$4&lt;='2025'!$M103), BA$4&lt;&gt;DATE(2025,7,4)), (SWITCH(weekday(BA$4), 1, 0, 2, if(ISBLANK('2025'!$P103), 0, 1), 3, if(ISBLANK('2025'!$Q103), 0, 1), 4, if(ISBLANK('2025'!$R103), 0, 1), 5, if(ISBLANK('2025'!$S103), 0, 1), 6, if(ISBLANK('2025'!$T103), 0, 1), 7, 0))), 1, "")</f>
        <v/>
      </c>
      <c r="BB105" s="1" t="str">
        <f>IF(AND(AND(AND(BB$4&gt;='2025'!$L103,BB$4&lt;='2025'!$M103), BB$4&lt;&gt;DATE(2025,7,4)), (SWITCH(weekday(BB$4), 1, 0, 2, if(ISBLANK('2025'!$P103), 0, 1), 3, if(ISBLANK('2025'!$Q103), 0, 1), 4, if(ISBLANK('2025'!$R103), 0, 1), 5, if(ISBLANK('2025'!$S103), 0, 1), 6, if(ISBLANK('2025'!$T103), 0, 1), 7, 0))), 1, "")</f>
        <v/>
      </c>
      <c r="BC105" s="1" t="str">
        <f>IF(AND(AND(AND(BC$4&gt;='2025'!$L103,BC$4&lt;='2025'!$M103), BC$4&lt;&gt;DATE(2025,7,4)), (SWITCH(weekday(BC$4), 1, 0, 2, if(ISBLANK('2025'!$P103), 0, 1), 3, if(ISBLANK('2025'!$Q103), 0, 1), 4, if(ISBLANK('2025'!$R103), 0, 1), 5, if(ISBLANK('2025'!$S103), 0, 1), 6, if(ISBLANK('2025'!$T103), 0, 1), 7, 0))), 1, "")</f>
        <v/>
      </c>
      <c r="BD105" s="1" t="str">
        <f>IF(AND(AND(AND(BD$4&gt;='2025'!$L103,BD$4&lt;='2025'!$M103), BD$4&lt;&gt;DATE(2025,7,4)), (SWITCH(weekday(BD$4), 1, 0, 2, if(ISBLANK('2025'!$P103), 0, 1), 3, if(ISBLANK('2025'!$Q103), 0, 1), 4, if(ISBLANK('2025'!$R103), 0, 1), 5, if(ISBLANK('2025'!$S103), 0, 1), 6, if(ISBLANK('2025'!$T103), 0, 1), 7, 0))), 1, "")</f>
        <v/>
      </c>
      <c r="BE105" s="1" t="str">
        <f>IF(AND(AND(AND(BE$4&gt;='2025'!$L103,BE$4&lt;='2025'!$M103), BE$4&lt;&gt;DATE(2025,7,4)), (SWITCH(weekday(BE$4), 1, 0, 2, if(ISBLANK('2025'!$P103), 0, 1), 3, if(ISBLANK('2025'!$Q103), 0, 1), 4, if(ISBLANK('2025'!$R103), 0, 1), 5, if(ISBLANK('2025'!$S103), 0, 1), 6, if(ISBLANK('2025'!$T103), 0, 1), 7, 0))), 1, "")</f>
        <v/>
      </c>
      <c r="BF105" s="1" t="str">
        <f>IF(AND(AND(AND(BF$4&gt;='2025'!$L103,BF$4&lt;='2025'!$M103), BF$4&lt;&gt;DATE(2025,7,4)), (SWITCH(weekday(BF$4), 1, 0, 2, if(ISBLANK('2025'!$P103), 0, 1), 3, if(ISBLANK('2025'!$Q103), 0, 1), 4, if(ISBLANK('2025'!$R103), 0, 1), 5, if(ISBLANK('2025'!$S103), 0, 1), 6, if(ISBLANK('2025'!$T103), 0, 1), 7, 0))), 1, "")</f>
        <v/>
      </c>
      <c r="BG105" s="1"/>
      <c r="BH105" s="1"/>
      <c r="BI105" s="1"/>
      <c r="BJ105" s="1"/>
      <c r="BK105" s="1"/>
      <c r="BL105" s="1"/>
    </row>
    <row r="106">
      <c r="A106" s="1">
        <f t="shared" si="3"/>
        <v>106</v>
      </c>
      <c r="B106" s="1" t="str">
        <f>'2025'!D70</f>
        <v>, </v>
      </c>
      <c r="C106" s="1" t="str">
        <f>'2025'!H70</f>
        <v/>
      </c>
      <c r="D106" s="1" t="str">
        <f>IF(AND(AND(AND(D$4&gt;='2025'!$L104,D$4&lt;='2025'!$M104), D$4&lt;&gt;DATE(2025,7,4)), (SWITCH(weekday(D$4), 1, 0, 2, if(ISBLANK('2025'!$P104), 0, 1), 3, if(ISBLANK('2025'!$Q104), 0, 1), 4, if(ISBLANK('2025'!$R104), 0, 1), 5, if(ISBLANK('2025'!$S104), 0, 1), 6, if(ISBLANK('2025'!$T104), 0, 1), 7, 0))), 1, "")</f>
        <v/>
      </c>
      <c r="E106" s="1" t="str">
        <f>IF(AND(AND(AND(E$4&gt;='2025'!$L104,E$4&lt;='2025'!$M104), E$4&lt;&gt;DATE(2025,7,4)), (SWITCH(weekday(E$4), 1, 0, 2, if(ISBLANK('2025'!$P104), 0, 1), 3, if(ISBLANK('2025'!$Q104), 0, 1), 4, if(ISBLANK('2025'!$R104), 0, 1), 5, if(ISBLANK('2025'!$S104), 0, 1), 6, if(ISBLANK('2025'!$T104), 0, 1), 7, 0))), 1, "")</f>
        <v/>
      </c>
      <c r="F106" s="1" t="str">
        <f>IF(AND(AND(AND(F$4&gt;='2025'!$L104,F$4&lt;='2025'!$M104), F$4&lt;&gt;DATE(2025,7,4)), (SWITCH(weekday(F$4), 1, 0, 2, if(ISBLANK('2025'!$P104), 0, 1), 3, if(ISBLANK('2025'!$Q104), 0, 1), 4, if(ISBLANK('2025'!$R104), 0, 1), 5, if(ISBLANK('2025'!$S104), 0, 1), 6, if(ISBLANK('2025'!$T104), 0, 1), 7, 0))), 1, "")</f>
        <v/>
      </c>
      <c r="G106" s="1" t="str">
        <f>IF(AND(AND(AND(G$4&gt;='2025'!$L104,G$4&lt;='2025'!$M104), G$4&lt;&gt;DATE(2025,7,4)), (SWITCH(weekday(G$4), 1, 0, 2, if(ISBLANK('2025'!$P104), 0, 1), 3, if(ISBLANK('2025'!$Q104), 0, 1), 4, if(ISBLANK('2025'!$R104), 0, 1), 5, if(ISBLANK('2025'!$S104), 0, 1), 6, if(ISBLANK('2025'!$T104), 0, 1), 7, 0))), 1, "")</f>
        <v/>
      </c>
      <c r="H106" s="1" t="str">
        <f>IF(AND(AND(AND(H$4&gt;='2025'!$L104,H$4&lt;='2025'!$M104), H$4&lt;&gt;DATE(2025,7,4)), (SWITCH(weekday(H$4), 1, 0, 2, if(ISBLANK('2025'!$P104), 0, 1), 3, if(ISBLANK('2025'!$Q104), 0, 1), 4, if(ISBLANK('2025'!$R104), 0, 1), 5, if(ISBLANK('2025'!$S104), 0, 1), 6, if(ISBLANK('2025'!$T104), 0, 1), 7, 0))), 1, "")</f>
        <v/>
      </c>
      <c r="I106" s="1" t="str">
        <f>IF(AND(AND(AND(I$4&gt;='2025'!$L104,I$4&lt;='2025'!$M104), I$4&lt;&gt;DATE(2025,7,4)), (SWITCH(weekday(I$4), 1, 0, 2, if(ISBLANK('2025'!$P104), 0, 1), 3, if(ISBLANK('2025'!$Q104), 0, 1), 4, if(ISBLANK('2025'!$R104), 0, 1), 5, if(ISBLANK('2025'!$S104), 0, 1), 6, if(ISBLANK('2025'!$T104), 0, 1), 7, 0))), 1, "")</f>
        <v/>
      </c>
      <c r="J106" s="1" t="str">
        <f>IF(AND(AND(AND(J$4&gt;='2025'!$L104,J$4&lt;='2025'!$M104), J$4&lt;&gt;DATE(2025,7,4)), (SWITCH(weekday(J$4), 1, 0, 2, if(ISBLANK('2025'!$P104), 0, 1), 3, if(ISBLANK('2025'!$Q104), 0, 1), 4, if(ISBLANK('2025'!$R104), 0, 1), 5, if(ISBLANK('2025'!$S104), 0, 1), 6, if(ISBLANK('2025'!$T104), 0, 1), 7, 0))), 1, "")</f>
        <v/>
      </c>
      <c r="K106" s="1" t="str">
        <f>IF(AND(AND(AND(K$4&gt;='2025'!$L104,K$4&lt;='2025'!$M104), K$4&lt;&gt;DATE(2025,7,4)), (SWITCH(weekday(K$4), 1, 0, 2, if(ISBLANK('2025'!$P104), 0, 1), 3, if(ISBLANK('2025'!$Q104), 0, 1), 4, if(ISBLANK('2025'!$R104), 0, 1), 5, if(ISBLANK('2025'!$S104), 0, 1), 6, if(ISBLANK('2025'!$T104), 0, 1), 7, 0))), 1, "")</f>
        <v/>
      </c>
      <c r="L106" s="1" t="str">
        <f>IF(AND(AND(AND(L$4&gt;='2025'!$L104,L$4&lt;='2025'!$M104), L$4&lt;&gt;DATE(2025,7,4)), (SWITCH(weekday(L$4), 1, 0, 2, if(ISBLANK('2025'!$P104), 0, 1), 3, if(ISBLANK('2025'!$Q104), 0, 1), 4, if(ISBLANK('2025'!$R104), 0, 1), 5, if(ISBLANK('2025'!$S104), 0, 1), 6, if(ISBLANK('2025'!$T104), 0, 1), 7, 0))), 1, "")</f>
        <v/>
      </c>
      <c r="M106" s="1" t="str">
        <f>IF(AND(AND(AND(M$4&gt;='2025'!$L104,M$4&lt;='2025'!$M104), M$4&lt;&gt;DATE(2025,7,4)), (SWITCH(weekday(M$4), 1, 0, 2, if(ISBLANK('2025'!$P104), 0, 1), 3, if(ISBLANK('2025'!$Q104), 0, 1), 4, if(ISBLANK('2025'!$R104), 0, 1), 5, if(ISBLANK('2025'!$S104), 0, 1), 6, if(ISBLANK('2025'!$T104), 0, 1), 7, 0))), 1, "")</f>
        <v/>
      </c>
      <c r="N106" s="1" t="str">
        <f>IF(AND(AND(AND(N$4&gt;='2025'!$L104,N$4&lt;='2025'!$M104), N$4&lt;&gt;DATE(2025,7,4)), (SWITCH(weekday(N$4), 1, 0, 2, if(ISBLANK('2025'!$P104), 0, 1), 3, if(ISBLANK('2025'!$Q104), 0, 1), 4, if(ISBLANK('2025'!$R104), 0, 1), 5, if(ISBLANK('2025'!$S104), 0, 1), 6, if(ISBLANK('2025'!$T104), 0, 1), 7, 0))), 1, "")</f>
        <v/>
      </c>
      <c r="O106" s="1" t="str">
        <f>IF(AND(AND(AND(O$4&gt;='2025'!$L104,O$4&lt;='2025'!$M104), O$4&lt;&gt;DATE(2025,7,4)), (SWITCH(weekday(O$4), 1, 0, 2, if(ISBLANK('2025'!$P104), 0, 1), 3, if(ISBLANK('2025'!$Q104), 0, 1), 4, if(ISBLANK('2025'!$R104), 0, 1), 5, if(ISBLANK('2025'!$S104), 0, 1), 6, if(ISBLANK('2025'!$T104), 0, 1), 7, 0))), 1, "")</f>
        <v/>
      </c>
      <c r="P106" s="1" t="str">
        <f>IF(AND(AND(AND(P$4&gt;='2025'!$L104,P$4&lt;='2025'!$M104), P$4&lt;&gt;DATE(2025,7,4)), (SWITCH(weekday(P$4), 1, 0, 2, if(ISBLANK('2025'!$P104), 0, 1), 3, if(ISBLANK('2025'!$Q104), 0, 1), 4, if(ISBLANK('2025'!$R104), 0, 1), 5, if(ISBLANK('2025'!$S104), 0, 1), 6, if(ISBLANK('2025'!$T104), 0, 1), 7, 0))), 1, "")</f>
        <v/>
      </c>
      <c r="Q106" s="1" t="str">
        <f>IF(AND(AND(AND(Q$4&gt;='2025'!$L104,Q$4&lt;='2025'!$M104), Q$4&lt;&gt;DATE(2025,7,4)), (SWITCH(weekday(Q$4), 1, 0, 2, if(ISBLANK('2025'!$P104), 0, 1), 3, if(ISBLANK('2025'!$Q104), 0, 1), 4, if(ISBLANK('2025'!$R104), 0, 1), 5, if(ISBLANK('2025'!$S104), 0, 1), 6, if(ISBLANK('2025'!$T104), 0, 1), 7, 0))), 1, "")</f>
        <v/>
      </c>
      <c r="R106" s="1" t="str">
        <f>IF(AND(AND(AND(R$4&gt;='2025'!$L104,R$4&lt;='2025'!$M104), R$4&lt;&gt;DATE(2025,7,4)), (SWITCH(weekday(R$4), 1, 0, 2, if(ISBLANK('2025'!$P104), 0, 1), 3, if(ISBLANK('2025'!$Q104), 0, 1), 4, if(ISBLANK('2025'!$R104), 0, 1), 5, if(ISBLANK('2025'!$S104), 0, 1), 6, if(ISBLANK('2025'!$T104), 0, 1), 7, 0))), 1, "")</f>
        <v/>
      </c>
      <c r="S106" s="1" t="str">
        <f>IF(AND(AND(AND(S$4&gt;='2025'!$L104,S$4&lt;='2025'!$M104), S$4&lt;&gt;DATE(2025,7,4)), (SWITCH(weekday(S$4), 1, 0, 2, if(ISBLANK('2025'!$P104), 0, 1), 3, if(ISBLANK('2025'!$Q104), 0, 1), 4, if(ISBLANK('2025'!$R104), 0, 1), 5, if(ISBLANK('2025'!$S104), 0, 1), 6, if(ISBLANK('2025'!$T104), 0, 1), 7, 0))), 1, "")</f>
        <v/>
      </c>
      <c r="T106" s="1" t="str">
        <f>IF(AND(AND(AND(T$4&gt;='2025'!$L104,T$4&lt;='2025'!$M104), T$4&lt;&gt;DATE(2025,7,4)), (SWITCH(weekday(T$4), 1, 0, 2, if(ISBLANK('2025'!$P104), 0, 1), 3, if(ISBLANK('2025'!$Q104), 0, 1), 4, if(ISBLANK('2025'!$R104), 0, 1), 5, if(ISBLANK('2025'!$S104), 0, 1), 6, if(ISBLANK('2025'!$T104), 0, 1), 7, 0))), 1, "")</f>
        <v/>
      </c>
      <c r="U106" s="1" t="str">
        <f>IF(AND(AND(AND(U$4&gt;='2025'!$L104,U$4&lt;='2025'!$M104), U$4&lt;&gt;DATE(2025,7,4)), (SWITCH(weekday(U$4), 1, 0, 2, if(ISBLANK('2025'!$P104), 0, 1), 3, if(ISBLANK('2025'!$Q104), 0, 1), 4, if(ISBLANK('2025'!$R104), 0, 1), 5, if(ISBLANK('2025'!$S104), 0, 1), 6, if(ISBLANK('2025'!$T104), 0, 1), 7, 0))), 1, "")</f>
        <v/>
      </c>
      <c r="V106" s="1" t="str">
        <f>IF(AND(AND(AND(V$4&gt;='2025'!$L104,V$4&lt;='2025'!$M104), V$4&lt;&gt;DATE(2025,7,4)), (SWITCH(weekday(V$4), 1, 0, 2, if(ISBLANK('2025'!$P104), 0, 1), 3, if(ISBLANK('2025'!$Q104), 0, 1), 4, if(ISBLANK('2025'!$R104), 0, 1), 5, if(ISBLANK('2025'!$S104), 0, 1), 6, if(ISBLANK('2025'!$T104), 0, 1), 7, 0))), 1, "")</f>
        <v/>
      </c>
      <c r="W106" s="1" t="str">
        <f>IF(AND(AND(AND(W$4&gt;='2025'!$L104,W$4&lt;='2025'!$M104), W$4&lt;&gt;DATE(2025,7,4)), (SWITCH(weekday(W$4), 1, 0, 2, if(ISBLANK('2025'!$P104), 0, 1), 3, if(ISBLANK('2025'!$Q104), 0, 1), 4, if(ISBLANK('2025'!$R104), 0, 1), 5, if(ISBLANK('2025'!$S104), 0, 1), 6, if(ISBLANK('2025'!$T104), 0, 1), 7, 0))), 1, "")</f>
        <v/>
      </c>
      <c r="X106" s="1" t="str">
        <f>IF(AND(AND(AND(X$4&gt;='2025'!$L104,X$4&lt;='2025'!$M104), X$4&lt;&gt;DATE(2025,7,4)), (SWITCH(weekday(X$4), 1, 0, 2, if(ISBLANK('2025'!$P104), 0, 1), 3, if(ISBLANK('2025'!$Q104), 0, 1), 4, if(ISBLANK('2025'!$R104), 0, 1), 5, if(ISBLANK('2025'!$S104), 0, 1), 6, if(ISBLANK('2025'!$T104), 0, 1), 7, 0))), 1, "")</f>
        <v/>
      </c>
      <c r="Y106" s="1" t="str">
        <f>IF(AND(AND(AND(Y$4&gt;='2025'!$L104,Y$4&lt;='2025'!$M104), Y$4&lt;&gt;DATE(2025,7,4)), (SWITCH(weekday(Y$4), 1, 0, 2, if(ISBLANK('2025'!$P104), 0, 1), 3, if(ISBLANK('2025'!$Q104), 0, 1), 4, if(ISBLANK('2025'!$R104), 0, 1), 5, if(ISBLANK('2025'!$S104), 0, 1), 6, if(ISBLANK('2025'!$T104), 0, 1), 7, 0))), 1, "")</f>
        <v/>
      </c>
      <c r="Z106" s="1" t="str">
        <f>IF(AND(AND(AND(Z$4&gt;='2025'!$L104,Z$4&lt;='2025'!$M104), Z$4&lt;&gt;DATE(2025,7,4)), (SWITCH(weekday(Z$4), 1, 0, 2, if(ISBLANK('2025'!$P104), 0, 1), 3, if(ISBLANK('2025'!$Q104), 0, 1), 4, if(ISBLANK('2025'!$R104), 0, 1), 5, if(ISBLANK('2025'!$S104), 0, 1), 6, if(ISBLANK('2025'!$T104), 0, 1), 7, 0))), 1, "")</f>
        <v/>
      </c>
      <c r="AA106" s="1" t="str">
        <f>IF(AND(AND(AND(AA$4&gt;='2025'!$L104,AA$4&lt;='2025'!$M104), AA$4&lt;&gt;DATE(2025,7,4)), (SWITCH(weekday(AA$4), 1, 0, 2, if(ISBLANK('2025'!$P104), 0, 1), 3, if(ISBLANK('2025'!$Q104), 0, 1), 4, if(ISBLANK('2025'!$R104), 0, 1), 5, if(ISBLANK('2025'!$S104), 0, 1), 6, if(ISBLANK('2025'!$T104), 0, 1), 7, 0))), 1, "")</f>
        <v/>
      </c>
      <c r="AB106" s="1" t="str">
        <f>IF(AND(AND(AND(AB$4&gt;='2025'!$L104,AB$4&lt;='2025'!$M104), AB$4&lt;&gt;DATE(2025,7,4)), (SWITCH(weekday(AB$4), 1, 0, 2, if(ISBLANK('2025'!$P104), 0, 1), 3, if(ISBLANK('2025'!$Q104), 0, 1), 4, if(ISBLANK('2025'!$R104), 0, 1), 5, if(ISBLANK('2025'!$S104), 0, 1), 6, if(ISBLANK('2025'!$T104), 0, 1), 7, 0))), 1, "")</f>
        <v/>
      </c>
      <c r="AC106" s="1" t="str">
        <f>IF(AND(AND(AND(AC$4&gt;='2025'!$L104,AC$4&lt;='2025'!$M104), AC$4&lt;&gt;DATE(2025,7,4)), (SWITCH(weekday(AC$4), 1, 0, 2, if(ISBLANK('2025'!$P104), 0, 1), 3, if(ISBLANK('2025'!$Q104), 0, 1), 4, if(ISBLANK('2025'!$R104), 0, 1), 5, if(ISBLANK('2025'!$S104), 0, 1), 6, if(ISBLANK('2025'!$T104), 0, 1), 7, 0))), 1, "")</f>
        <v/>
      </c>
      <c r="AD106" s="1" t="str">
        <f>IF(AND(AND(AND(AD$4&gt;='2025'!$L104,AD$4&lt;='2025'!$M104), AD$4&lt;&gt;DATE(2025,7,4)), (SWITCH(weekday(AD$4), 1, 0, 2, if(ISBLANK('2025'!$P104), 0, 1), 3, if(ISBLANK('2025'!$Q104), 0, 1), 4, if(ISBLANK('2025'!$R104), 0, 1), 5, if(ISBLANK('2025'!$S104), 0, 1), 6, if(ISBLANK('2025'!$T104), 0, 1), 7, 0))), 1, "")</f>
        <v/>
      </c>
      <c r="AE106" s="1" t="str">
        <f>IF(AND(AND(AND(AE$4&gt;='2025'!$L104,AE$4&lt;='2025'!$M104), AE$4&lt;&gt;DATE(2025,7,4)), (SWITCH(weekday(AE$4), 1, 0, 2, if(ISBLANK('2025'!$P104), 0, 1), 3, if(ISBLANK('2025'!$Q104), 0, 1), 4, if(ISBLANK('2025'!$R104), 0, 1), 5, if(ISBLANK('2025'!$S104), 0, 1), 6, if(ISBLANK('2025'!$T104), 0, 1), 7, 0))), 1, "")</f>
        <v/>
      </c>
      <c r="AF106" s="1" t="str">
        <f>IF(AND(AND(AND(AF$4&gt;='2025'!$L104,AF$4&lt;='2025'!$M104), AF$4&lt;&gt;DATE(2025,7,4)), (SWITCH(weekday(AF$4), 1, 0, 2, if(ISBLANK('2025'!$P104), 0, 1), 3, if(ISBLANK('2025'!$Q104), 0, 1), 4, if(ISBLANK('2025'!$R104), 0, 1), 5, if(ISBLANK('2025'!$S104), 0, 1), 6, if(ISBLANK('2025'!$T104), 0, 1), 7, 0))), 1, "")</f>
        <v/>
      </c>
      <c r="AG106" s="1" t="str">
        <f>IF(AND(AND(AND(AG$4&gt;='2025'!$L104,AG$4&lt;='2025'!$M104), AG$4&lt;&gt;DATE(2025,7,4)), (SWITCH(weekday(AG$4), 1, 0, 2, if(ISBLANK('2025'!$P104), 0, 1), 3, if(ISBLANK('2025'!$Q104), 0, 1), 4, if(ISBLANK('2025'!$R104), 0, 1), 5, if(ISBLANK('2025'!$S104), 0, 1), 6, if(ISBLANK('2025'!$T104), 0, 1), 7, 0))), 1, "")</f>
        <v/>
      </c>
      <c r="AH106" s="1" t="str">
        <f>IF(AND(AND(AND(AH$4&gt;='2025'!$L104,AH$4&lt;='2025'!$M104), AH$4&lt;&gt;DATE(2025,7,4)), (SWITCH(weekday(AH$4), 1, 0, 2, if(ISBLANK('2025'!$P104), 0, 1), 3, if(ISBLANK('2025'!$Q104), 0, 1), 4, if(ISBLANK('2025'!$R104), 0, 1), 5, if(ISBLANK('2025'!$S104), 0, 1), 6, if(ISBLANK('2025'!$T104), 0, 1), 7, 0))), 1, "")</f>
        <v/>
      </c>
      <c r="AI106" s="1" t="str">
        <f>IF(AND(AND(AND(AI$4&gt;='2025'!$L104,AI$4&lt;='2025'!$M104), AI$4&lt;&gt;DATE(2025,7,4)), (SWITCH(weekday(AI$4), 1, 0, 2, if(ISBLANK('2025'!$P104), 0, 1), 3, if(ISBLANK('2025'!$Q104), 0, 1), 4, if(ISBLANK('2025'!$R104), 0, 1), 5, if(ISBLANK('2025'!$S104), 0, 1), 6, if(ISBLANK('2025'!$T104), 0, 1), 7, 0))), 1, "")</f>
        <v/>
      </c>
      <c r="AJ106" s="1" t="str">
        <f>IF(AND(AND(AND(AJ$4&gt;='2025'!$L104,AJ$4&lt;='2025'!$M104), AJ$4&lt;&gt;DATE(2025,7,4)), (SWITCH(weekday(AJ$4), 1, 0, 2, if(ISBLANK('2025'!$P104), 0, 1), 3, if(ISBLANK('2025'!$Q104), 0, 1), 4, if(ISBLANK('2025'!$R104), 0, 1), 5, if(ISBLANK('2025'!$S104), 0, 1), 6, if(ISBLANK('2025'!$T104), 0, 1), 7, 0))), 1, "")</f>
        <v/>
      </c>
      <c r="AK106" s="1" t="str">
        <f>IF(AND(AND(AND(AK$4&gt;='2025'!$L104,AK$4&lt;='2025'!$M104), AK$4&lt;&gt;DATE(2025,7,4)), (SWITCH(weekday(AK$4), 1, 0, 2, if(ISBLANK('2025'!$P104), 0, 1), 3, if(ISBLANK('2025'!$Q104), 0, 1), 4, if(ISBLANK('2025'!$R104), 0, 1), 5, if(ISBLANK('2025'!$S104), 0, 1), 6, if(ISBLANK('2025'!$T104), 0, 1), 7, 0))), 1, "")</f>
        <v/>
      </c>
      <c r="AL106" s="1" t="str">
        <f>IF(AND(AND(AND(AL$4&gt;='2025'!$L104,AL$4&lt;='2025'!$M104), AL$4&lt;&gt;DATE(2025,7,4)), (SWITCH(weekday(AL$4), 1, 0, 2, if(ISBLANK('2025'!$P104), 0, 1), 3, if(ISBLANK('2025'!$Q104), 0, 1), 4, if(ISBLANK('2025'!$R104), 0, 1), 5, if(ISBLANK('2025'!$S104), 0, 1), 6, if(ISBLANK('2025'!$T104), 0, 1), 7, 0))), 1, "")</f>
        <v/>
      </c>
      <c r="AM106" s="1" t="str">
        <f>IF(AND(AND(AND(AM$4&gt;='2025'!$L104,AM$4&lt;='2025'!$M104), AM$4&lt;&gt;DATE(2025,7,4)), (SWITCH(weekday(AM$4), 1, 0, 2, if(ISBLANK('2025'!$P104), 0, 1), 3, if(ISBLANK('2025'!$Q104), 0, 1), 4, if(ISBLANK('2025'!$R104), 0, 1), 5, if(ISBLANK('2025'!$S104), 0, 1), 6, if(ISBLANK('2025'!$T104), 0, 1), 7, 0))), 1, "")</f>
        <v/>
      </c>
      <c r="AN106" s="1" t="str">
        <f>IF(AND(AND(AND(AN$4&gt;='2025'!$L104,AN$4&lt;='2025'!$M104), AN$4&lt;&gt;DATE(2025,7,4)), (SWITCH(weekday(AN$4), 1, 0, 2, if(ISBLANK('2025'!$P104), 0, 1), 3, if(ISBLANK('2025'!$Q104), 0, 1), 4, if(ISBLANK('2025'!$R104), 0, 1), 5, if(ISBLANK('2025'!$S104), 0, 1), 6, if(ISBLANK('2025'!$T104), 0, 1), 7, 0))), 1, "")</f>
        <v/>
      </c>
      <c r="AO106" s="1" t="str">
        <f>IF(AND(AND(AND(AO$4&gt;='2025'!$L104,AO$4&lt;='2025'!$M104), AO$4&lt;&gt;DATE(2025,7,4)), (SWITCH(weekday(AO$4), 1, 0, 2, if(ISBLANK('2025'!$P104), 0, 1), 3, if(ISBLANK('2025'!$Q104), 0, 1), 4, if(ISBLANK('2025'!$R104), 0, 1), 5, if(ISBLANK('2025'!$S104), 0, 1), 6, if(ISBLANK('2025'!$T104), 0, 1), 7, 0))), 1, "")</f>
        <v/>
      </c>
      <c r="AP106" s="1" t="str">
        <f>IF(AND(AND(AND(AP$4&gt;='2025'!$L104,AP$4&lt;='2025'!$M104), AP$4&lt;&gt;DATE(2025,7,4)), (SWITCH(weekday(AP$4), 1, 0, 2, if(ISBLANK('2025'!$P104), 0, 1), 3, if(ISBLANK('2025'!$Q104), 0, 1), 4, if(ISBLANK('2025'!$R104), 0, 1), 5, if(ISBLANK('2025'!$S104), 0, 1), 6, if(ISBLANK('2025'!$T104), 0, 1), 7, 0))), 1, "")</f>
        <v/>
      </c>
      <c r="AQ106" s="1" t="str">
        <f>IF(AND(AND(AND(AQ$4&gt;='2025'!$L104,AQ$4&lt;='2025'!$M104), AQ$4&lt;&gt;DATE(2025,7,4)), (SWITCH(weekday(AQ$4), 1, 0, 2, if(ISBLANK('2025'!$P104), 0, 1), 3, if(ISBLANK('2025'!$Q104), 0, 1), 4, if(ISBLANK('2025'!$R104), 0, 1), 5, if(ISBLANK('2025'!$S104), 0, 1), 6, if(ISBLANK('2025'!$T104), 0, 1), 7, 0))), 1, "")</f>
        <v/>
      </c>
      <c r="AR106" s="1" t="str">
        <f>IF(AND(AND(AND(AR$4&gt;='2025'!$L104,AR$4&lt;='2025'!$M104), AR$4&lt;&gt;DATE(2025,7,4)), (SWITCH(weekday(AR$4), 1, 0, 2, if(ISBLANK('2025'!$P104), 0, 1), 3, if(ISBLANK('2025'!$Q104), 0, 1), 4, if(ISBLANK('2025'!$R104), 0, 1), 5, if(ISBLANK('2025'!$S104), 0, 1), 6, if(ISBLANK('2025'!$T104), 0, 1), 7, 0))), 1, "")</f>
        <v/>
      </c>
      <c r="AS106" s="1" t="str">
        <f>IF(AND(AND(AND(AS$4&gt;='2025'!$L104,AS$4&lt;='2025'!$M104), AS$4&lt;&gt;DATE(2025,7,4)), (SWITCH(weekday(AS$4), 1, 0, 2, if(ISBLANK('2025'!$P104), 0, 1), 3, if(ISBLANK('2025'!$Q104), 0, 1), 4, if(ISBLANK('2025'!$R104), 0, 1), 5, if(ISBLANK('2025'!$S104), 0, 1), 6, if(ISBLANK('2025'!$T104), 0, 1), 7, 0))), 1, "")</f>
        <v/>
      </c>
      <c r="AT106" s="1" t="str">
        <f>IF(AND(AND(AND(AT$4&gt;='2025'!$L104,AT$4&lt;='2025'!$M104), AT$4&lt;&gt;DATE(2025,7,4)), (SWITCH(weekday(AT$4), 1, 0, 2, if(ISBLANK('2025'!$P104), 0, 1), 3, if(ISBLANK('2025'!$Q104), 0, 1), 4, if(ISBLANK('2025'!$R104), 0, 1), 5, if(ISBLANK('2025'!$S104), 0, 1), 6, if(ISBLANK('2025'!$T104), 0, 1), 7, 0))), 1, "")</f>
        <v/>
      </c>
      <c r="AU106" s="1" t="str">
        <f>IF(AND(AND(AND(AU$4&gt;='2025'!$L104,AU$4&lt;='2025'!$M104), AU$4&lt;&gt;DATE(2025,7,4)), (SWITCH(weekday(AU$4), 1, 0, 2, if(ISBLANK('2025'!$P104), 0, 1), 3, if(ISBLANK('2025'!$Q104), 0, 1), 4, if(ISBLANK('2025'!$R104), 0, 1), 5, if(ISBLANK('2025'!$S104), 0, 1), 6, if(ISBLANK('2025'!$T104), 0, 1), 7, 0))), 1, "")</f>
        <v/>
      </c>
      <c r="AV106" s="1" t="str">
        <f>IF(AND(AND(AND(AV$4&gt;='2025'!$L104,AV$4&lt;='2025'!$M104), AV$4&lt;&gt;DATE(2025,7,4)), (SWITCH(weekday(AV$4), 1, 0, 2, if(ISBLANK('2025'!$P104), 0, 1), 3, if(ISBLANK('2025'!$Q104), 0, 1), 4, if(ISBLANK('2025'!$R104), 0, 1), 5, if(ISBLANK('2025'!$S104), 0, 1), 6, if(ISBLANK('2025'!$T104), 0, 1), 7, 0))), 1, "")</f>
        <v/>
      </c>
      <c r="AW106" s="1" t="str">
        <f>IF(AND(AND(AND(AW$4&gt;='2025'!$L104,AW$4&lt;='2025'!$M104), AW$4&lt;&gt;DATE(2025,7,4)), (SWITCH(weekday(AW$4), 1, 0, 2, if(ISBLANK('2025'!$P104), 0, 1), 3, if(ISBLANK('2025'!$Q104), 0, 1), 4, if(ISBLANK('2025'!$R104), 0, 1), 5, if(ISBLANK('2025'!$S104), 0, 1), 6, if(ISBLANK('2025'!$T104), 0, 1), 7, 0))), 1, "")</f>
        <v/>
      </c>
      <c r="AX106" s="1" t="str">
        <f>IF(AND(AND(AND(AX$4&gt;='2025'!$L104,AX$4&lt;='2025'!$M104), AX$4&lt;&gt;DATE(2025,7,4)), (SWITCH(weekday(AX$4), 1, 0, 2, if(ISBLANK('2025'!$P104), 0, 1), 3, if(ISBLANK('2025'!$Q104), 0, 1), 4, if(ISBLANK('2025'!$R104), 0, 1), 5, if(ISBLANK('2025'!$S104), 0, 1), 6, if(ISBLANK('2025'!$T104), 0, 1), 7, 0))), 1, "")</f>
        <v/>
      </c>
      <c r="AY106" s="1" t="str">
        <f>IF(AND(AND(AND(AY$4&gt;='2025'!$L104,AY$4&lt;='2025'!$M104), AY$4&lt;&gt;DATE(2025,7,4)), (SWITCH(weekday(AY$4), 1, 0, 2, if(ISBLANK('2025'!$P104), 0, 1), 3, if(ISBLANK('2025'!$Q104), 0, 1), 4, if(ISBLANK('2025'!$R104), 0, 1), 5, if(ISBLANK('2025'!$S104), 0, 1), 6, if(ISBLANK('2025'!$T104), 0, 1), 7, 0))), 1, "")</f>
        <v/>
      </c>
      <c r="AZ106" s="1" t="str">
        <f>IF(AND(AND(AND(AZ$4&gt;='2025'!$L104,AZ$4&lt;='2025'!$M104), AZ$4&lt;&gt;DATE(2025,7,4)), (SWITCH(weekday(AZ$4), 1, 0, 2, if(ISBLANK('2025'!$P104), 0, 1), 3, if(ISBLANK('2025'!$Q104), 0, 1), 4, if(ISBLANK('2025'!$R104), 0, 1), 5, if(ISBLANK('2025'!$S104), 0, 1), 6, if(ISBLANK('2025'!$T104), 0, 1), 7, 0))), 1, "")</f>
        <v/>
      </c>
      <c r="BA106" s="1" t="str">
        <f>IF(AND(AND(AND(BA$4&gt;='2025'!$L104,BA$4&lt;='2025'!$M104), BA$4&lt;&gt;DATE(2025,7,4)), (SWITCH(weekday(BA$4), 1, 0, 2, if(ISBLANK('2025'!$P104), 0, 1), 3, if(ISBLANK('2025'!$Q104), 0, 1), 4, if(ISBLANK('2025'!$R104), 0, 1), 5, if(ISBLANK('2025'!$S104), 0, 1), 6, if(ISBLANK('2025'!$T104), 0, 1), 7, 0))), 1, "")</f>
        <v/>
      </c>
      <c r="BB106" s="1" t="str">
        <f>IF(AND(AND(AND(BB$4&gt;='2025'!$L104,BB$4&lt;='2025'!$M104), BB$4&lt;&gt;DATE(2025,7,4)), (SWITCH(weekday(BB$4), 1, 0, 2, if(ISBLANK('2025'!$P104), 0, 1), 3, if(ISBLANK('2025'!$Q104), 0, 1), 4, if(ISBLANK('2025'!$R104), 0, 1), 5, if(ISBLANK('2025'!$S104), 0, 1), 6, if(ISBLANK('2025'!$T104), 0, 1), 7, 0))), 1, "")</f>
        <v/>
      </c>
      <c r="BC106" s="1" t="str">
        <f>IF(AND(AND(AND(BC$4&gt;='2025'!$L104,BC$4&lt;='2025'!$M104), BC$4&lt;&gt;DATE(2025,7,4)), (SWITCH(weekday(BC$4), 1, 0, 2, if(ISBLANK('2025'!$P104), 0, 1), 3, if(ISBLANK('2025'!$Q104), 0, 1), 4, if(ISBLANK('2025'!$R104), 0, 1), 5, if(ISBLANK('2025'!$S104), 0, 1), 6, if(ISBLANK('2025'!$T104), 0, 1), 7, 0))), 1, "")</f>
        <v/>
      </c>
      <c r="BD106" s="1" t="str">
        <f>IF(AND(AND(AND(BD$4&gt;='2025'!$L104,BD$4&lt;='2025'!$M104), BD$4&lt;&gt;DATE(2025,7,4)), (SWITCH(weekday(BD$4), 1, 0, 2, if(ISBLANK('2025'!$P104), 0, 1), 3, if(ISBLANK('2025'!$Q104), 0, 1), 4, if(ISBLANK('2025'!$R104), 0, 1), 5, if(ISBLANK('2025'!$S104), 0, 1), 6, if(ISBLANK('2025'!$T104), 0, 1), 7, 0))), 1, "")</f>
        <v/>
      </c>
      <c r="BE106" s="1" t="str">
        <f>IF(AND(AND(AND(BE$4&gt;='2025'!$L104,BE$4&lt;='2025'!$M104), BE$4&lt;&gt;DATE(2025,7,4)), (SWITCH(weekday(BE$4), 1, 0, 2, if(ISBLANK('2025'!$P104), 0, 1), 3, if(ISBLANK('2025'!$Q104), 0, 1), 4, if(ISBLANK('2025'!$R104), 0, 1), 5, if(ISBLANK('2025'!$S104), 0, 1), 6, if(ISBLANK('2025'!$T104), 0, 1), 7, 0))), 1, "")</f>
        <v/>
      </c>
      <c r="BF106" s="1" t="str">
        <f>IF(AND(AND(AND(BF$4&gt;='2025'!$L104,BF$4&lt;='2025'!$M104), BF$4&lt;&gt;DATE(2025,7,4)), (SWITCH(weekday(BF$4), 1, 0, 2, if(ISBLANK('2025'!$P104), 0, 1), 3, if(ISBLANK('2025'!$Q104), 0, 1), 4, if(ISBLANK('2025'!$R104), 0, 1), 5, if(ISBLANK('2025'!$S104), 0, 1), 6, if(ISBLANK('2025'!$T104), 0, 1), 7, 0))), 1, "")</f>
        <v/>
      </c>
      <c r="BG106" s="1"/>
      <c r="BH106" s="1"/>
      <c r="BI106" s="1"/>
      <c r="BJ106" s="1"/>
      <c r="BK106" s="1"/>
      <c r="BL106" s="1"/>
    </row>
    <row r="107">
      <c r="A107" s="1">
        <f t="shared" si="3"/>
        <v>107</v>
      </c>
      <c r="B107" s="1" t="str">
        <f>'2025'!D71</f>
        <v>, </v>
      </c>
      <c r="C107" s="1" t="str">
        <f>'2025'!H71</f>
        <v/>
      </c>
      <c r="D107" s="1" t="str">
        <f>IF(AND(AND(AND(D$4&gt;='2025'!$L105,D$4&lt;='2025'!$M105), D$4&lt;&gt;DATE(2025,7,4)), (SWITCH(weekday(D$4), 1, 0, 2, if(ISBLANK('2025'!$P105), 0, 1), 3, if(ISBLANK('2025'!$Q105), 0, 1), 4, if(ISBLANK('2025'!$R105), 0, 1), 5, if(ISBLANK('2025'!$S105), 0, 1), 6, if(ISBLANK('2025'!$T105), 0, 1), 7, 0))), 1, "")</f>
        <v/>
      </c>
      <c r="E107" s="1" t="str">
        <f>IF(AND(AND(AND(E$4&gt;='2025'!$L105,E$4&lt;='2025'!$M105), E$4&lt;&gt;DATE(2025,7,4)), (SWITCH(weekday(E$4), 1, 0, 2, if(ISBLANK('2025'!$P105), 0, 1), 3, if(ISBLANK('2025'!$Q105), 0, 1), 4, if(ISBLANK('2025'!$R105), 0, 1), 5, if(ISBLANK('2025'!$S105), 0, 1), 6, if(ISBLANK('2025'!$T105), 0, 1), 7, 0))), 1, "")</f>
        <v/>
      </c>
      <c r="F107" s="1" t="str">
        <f>IF(AND(AND(AND(F$4&gt;='2025'!$L105,F$4&lt;='2025'!$M105), F$4&lt;&gt;DATE(2025,7,4)), (SWITCH(weekday(F$4), 1, 0, 2, if(ISBLANK('2025'!$P105), 0, 1), 3, if(ISBLANK('2025'!$Q105), 0, 1), 4, if(ISBLANK('2025'!$R105), 0, 1), 5, if(ISBLANK('2025'!$S105), 0, 1), 6, if(ISBLANK('2025'!$T105), 0, 1), 7, 0))), 1, "")</f>
        <v/>
      </c>
      <c r="G107" s="1" t="str">
        <f>IF(AND(AND(AND(G$4&gt;='2025'!$L105,G$4&lt;='2025'!$M105), G$4&lt;&gt;DATE(2025,7,4)), (SWITCH(weekday(G$4), 1, 0, 2, if(ISBLANK('2025'!$P105), 0, 1), 3, if(ISBLANK('2025'!$Q105), 0, 1), 4, if(ISBLANK('2025'!$R105), 0, 1), 5, if(ISBLANK('2025'!$S105), 0, 1), 6, if(ISBLANK('2025'!$T105), 0, 1), 7, 0))), 1, "")</f>
        <v/>
      </c>
      <c r="H107" s="1" t="str">
        <f>IF(AND(AND(AND(H$4&gt;='2025'!$L105,H$4&lt;='2025'!$M105), H$4&lt;&gt;DATE(2025,7,4)), (SWITCH(weekday(H$4), 1, 0, 2, if(ISBLANK('2025'!$P105), 0, 1), 3, if(ISBLANK('2025'!$Q105), 0, 1), 4, if(ISBLANK('2025'!$R105), 0, 1), 5, if(ISBLANK('2025'!$S105), 0, 1), 6, if(ISBLANK('2025'!$T105), 0, 1), 7, 0))), 1, "")</f>
        <v/>
      </c>
      <c r="I107" s="1" t="str">
        <f>IF(AND(AND(AND(I$4&gt;='2025'!$L105,I$4&lt;='2025'!$M105), I$4&lt;&gt;DATE(2025,7,4)), (SWITCH(weekday(I$4), 1, 0, 2, if(ISBLANK('2025'!$P105), 0, 1), 3, if(ISBLANK('2025'!$Q105), 0, 1), 4, if(ISBLANK('2025'!$R105), 0, 1), 5, if(ISBLANK('2025'!$S105), 0, 1), 6, if(ISBLANK('2025'!$T105), 0, 1), 7, 0))), 1, "")</f>
        <v/>
      </c>
      <c r="J107" s="1" t="str">
        <f>IF(AND(AND(AND(J$4&gt;='2025'!$L105,J$4&lt;='2025'!$M105), J$4&lt;&gt;DATE(2025,7,4)), (SWITCH(weekday(J$4), 1, 0, 2, if(ISBLANK('2025'!$P105), 0, 1), 3, if(ISBLANK('2025'!$Q105), 0, 1), 4, if(ISBLANK('2025'!$R105), 0, 1), 5, if(ISBLANK('2025'!$S105), 0, 1), 6, if(ISBLANK('2025'!$T105), 0, 1), 7, 0))), 1, "")</f>
        <v/>
      </c>
      <c r="K107" s="1" t="str">
        <f>IF(AND(AND(AND(K$4&gt;='2025'!$L105,K$4&lt;='2025'!$M105), K$4&lt;&gt;DATE(2025,7,4)), (SWITCH(weekday(K$4), 1, 0, 2, if(ISBLANK('2025'!$P105), 0, 1), 3, if(ISBLANK('2025'!$Q105), 0, 1), 4, if(ISBLANK('2025'!$R105), 0, 1), 5, if(ISBLANK('2025'!$S105), 0, 1), 6, if(ISBLANK('2025'!$T105), 0, 1), 7, 0))), 1, "")</f>
        <v/>
      </c>
      <c r="L107" s="1" t="str">
        <f>IF(AND(AND(AND(L$4&gt;='2025'!$L105,L$4&lt;='2025'!$M105), L$4&lt;&gt;DATE(2025,7,4)), (SWITCH(weekday(L$4), 1, 0, 2, if(ISBLANK('2025'!$P105), 0, 1), 3, if(ISBLANK('2025'!$Q105), 0, 1), 4, if(ISBLANK('2025'!$R105), 0, 1), 5, if(ISBLANK('2025'!$S105), 0, 1), 6, if(ISBLANK('2025'!$T105), 0, 1), 7, 0))), 1, "")</f>
        <v/>
      </c>
      <c r="M107" s="1" t="str">
        <f>IF(AND(AND(AND(M$4&gt;='2025'!$L105,M$4&lt;='2025'!$M105), M$4&lt;&gt;DATE(2025,7,4)), (SWITCH(weekday(M$4), 1, 0, 2, if(ISBLANK('2025'!$P105), 0, 1), 3, if(ISBLANK('2025'!$Q105), 0, 1), 4, if(ISBLANK('2025'!$R105), 0, 1), 5, if(ISBLANK('2025'!$S105), 0, 1), 6, if(ISBLANK('2025'!$T105), 0, 1), 7, 0))), 1, "")</f>
        <v/>
      </c>
      <c r="N107" s="1" t="str">
        <f>IF(AND(AND(AND(N$4&gt;='2025'!$L105,N$4&lt;='2025'!$M105), N$4&lt;&gt;DATE(2025,7,4)), (SWITCH(weekday(N$4), 1, 0, 2, if(ISBLANK('2025'!$P105), 0, 1), 3, if(ISBLANK('2025'!$Q105), 0, 1), 4, if(ISBLANK('2025'!$R105), 0, 1), 5, if(ISBLANK('2025'!$S105), 0, 1), 6, if(ISBLANK('2025'!$T105), 0, 1), 7, 0))), 1, "")</f>
        <v/>
      </c>
      <c r="O107" s="1" t="str">
        <f>IF(AND(AND(AND(O$4&gt;='2025'!$L105,O$4&lt;='2025'!$M105), O$4&lt;&gt;DATE(2025,7,4)), (SWITCH(weekday(O$4), 1, 0, 2, if(ISBLANK('2025'!$P105), 0, 1), 3, if(ISBLANK('2025'!$Q105), 0, 1), 4, if(ISBLANK('2025'!$R105), 0, 1), 5, if(ISBLANK('2025'!$S105), 0, 1), 6, if(ISBLANK('2025'!$T105), 0, 1), 7, 0))), 1, "")</f>
        <v/>
      </c>
      <c r="P107" s="1" t="str">
        <f>IF(AND(AND(AND(P$4&gt;='2025'!$L105,P$4&lt;='2025'!$M105), P$4&lt;&gt;DATE(2025,7,4)), (SWITCH(weekday(P$4), 1, 0, 2, if(ISBLANK('2025'!$P105), 0, 1), 3, if(ISBLANK('2025'!$Q105), 0, 1), 4, if(ISBLANK('2025'!$R105), 0, 1), 5, if(ISBLANK('2025'!$S105), 0, 1), 6, if(ISBLANK('2025'!$T105), 0, 1), 7, 0))), 1, "")</f>
        <v/>
      </c>
      <c r="Q107" s="1" t="str">
        <f>IF(AND(AND(AND(Q$4&gt;='2025'!$L105,Q$4&lt;='2025'!$M105), Q$4&lt;&gt;DATE(2025,7,4)), (SWITCH(weekday(Q$4), 1, 0, 2, if(ISBLANK('2025'!$P105), 0, 1), 3, if(ISBLANK('2025'!$Q105), 0, 1), 4, if(ISBLANK('2025'!$R105), 0, 1), 5, if(ISBLANK('2025'!$S105), 0, 1), 6, if(ISBLANK('2025'!$T105), 0, 1), 7, 0))), 1, "")</f>
        <v/>
      </c>
      <c r="R107" s="1" t="str">
        <f>IF(AND(AND(AND(R$4&gt;='2025'!$L105,R$4&lt;='2025'!$M105), R$4&lt;&gt;DATE(2025,7,4)), (SWITCH(weekday(R$4), 1, 0, 2, if(ISBLANK('2025'!$P105), 0, 1), 3, if(ISBLANK('2025'!$Q105), 0, 1), 4, if(ISBLANK('2025'!$R105), 0, 1), 5, if(ISBLANK('2025'!$S105), 0, 1), 6, if(ISBLANK('2025'!$T105), 0, 1), 7, 0))), 1, "")</f>
        <v/>
      </c>
      <c r="S107" s="1" t="str">
        <f>IF(AND(AND(AND(S$4&gt;='2025'!$L105,S$4&lt;='2025'!$M105), S$4&lt;&gt;DATE(2025,7,4)), (SWITCH(weekday(S$4), 1, 0, 2, if(ISBLANK('2025'!$P105), 0, 1), 3, if(ISBLANK('2025'!$Q105), 0, 1), 4, if(ISBLANK('2025'!$R105), 0, 1), 5, if(ISBLANK('2025'!$S105), 0, 1), 6, if(ISBLANK('2025'!$T105), 0, 1), 7, 0))), 1, "")</f>
        <v/>
      </c>
      <c r="T107" s="1" t="str">
        <f>IF(AND(AND(AND(T$4&gt;='2025'!$L105,T$4&lt;='2025'!$M105), T$4&lt;&gt;DATE(2025,7,4)), (SWITCH(weekday(T$4), 1, 0, 2, if(ISBLANK('2025'!$P105), 0, 1), 3, if(ISBLANK('2025'!$Q105), 0, 1), 4, if(ISBLANK('2025'!$R105), 0, 1), 5, if(ISBLANK('2025'!$S105), 0, 1), 6, if(ISBLANK('2025'!$T105), 0, 1), 7, 0))), 1, "")</f>
        <v/>
      </c>
      <c r="U107" s="1" t="str">
        <f>IF(AND(AND(AND(U$4&gt;='2025'!$L105,U$4&lt;='2025'!$M105), U$4&lt;&gt;DATE(2025,7,4)), (SWITCH(weekday(U$4), 1, 0, 2, if(ISBLANK('2025'!$P105), 0, 1), 3, if(ISBLANK('2025'!$Q105), 0, 1), 4, if(ISBLANK('2025'!$R105), 0, 1), 5, if(ISBLANK('2025'!$S105), 0, 1), 6, if(ISBLANK('2025'!$T105), 0, 1), 7, 0))), 1, "")</f>
        <v/>
      </c>
      <c r="V107" s="1" t="str">
        <f>IF(AND(AND(AND(V$4&gt;='2025'!$L105,V$4&lt;='2025'!$M105), V$4&lt;&gt;DATE(2025,7,4)), (SWITCH(weekday(V$4), 1, 0, 2, if(ISBLANK('2025'!$P105), 0, 1), 3, if(ISBLANK('2025'!$Q105), 0, 1), 4, if(ISBLANK('2025'!$R105), 0, 1), 5, if(ISBLANK('2025'!$S105), 0, 1), 6, if(ISBLANK('2025'!$T105), 0, 1), 7, 0))), 1, "")</f>
        <v/>
      </c>
      <c r="W107" s="1" t="str">
        <f>IF(AND(AND(AND(W$4&gt;='2025'!$L105,W$4&lt;='2025'!$M105), W$4&lt;&gt;DATE(2025,7,4)), (SWITCH(weekday(W$4), 1, 0, 2, if(ISBLANK('2025'!$P105), 0, 1), 3, if(ISBLANK('2025'!$Q105), 0, 1), 4, if(ISBLANK('2025'!$R105), 0, 1), 5, if(ISBLANK('2025'!$S105), 0, 1), 6, if(ISBLANK('2025'!$T105), 0, 1), 7, 0))), 1, "")</f>
        <v/>
      </c>
      <c r="X107" s="1" t="str">
        <f>IF(AND(AND(AND(X$4&gt;='2025'!$L105,X$4&lt;='2025'!$M105), X$4&lt;&gt;DATE(2025,7,4)), (SWITCH(weekday(X$4), 1, 0, 2, if(ISBLANK('2025'!$P105), 0, 1), 3, if(ISBLANK('2025'!$Q105), 0, 1), 4, if(ISBLANK('2025'!$R105), 0, 1), 5, if(ISBLANK('2025'!$S105), 0, 1), 6, if(ISBLANK('2025'!$T105), 0, 1), 7, 0))), 1, "")</f>
        <v/>
      </c>
      <c r="Y107" s="1" t="str">
        <f>IF(AND(AND(AND(Y$4&gt;='2025'!$L105,Y$4&lt;='2025'!$M105), Y$4&lt;&gt;DATE(2025,7,4)), (SWITCH(weekday(Y$4), 1, 0, 2, if(ISBLANK('2025'!$P105), 0, 1), 3, if(ISBLANK('2025'!$Q105), 0, 1), 4, if(ISBLANK('2025'!$R105), 0, 1), 5, if(ISBLANK('2025'!$S105), 0, 1), 6, if(ISBLANK('2025'!$T105), 0, 1), 7, 0))), 1, "")</f>
        <v/>
      </c>
      <c r="Z107" s="1" t="str">
        <f>IF(AND(AND(AND(Z$4&gt;='2025'!$L105,Z$4&lt;='2025'!$M105), Z$4&lt;&gt;DATE(2025,7,4)), (SWITCH(weekday(Z$4), 1, 0, 2, if(ISBLANK('2025'!$P105), 0, 1), 3, if(ISBLANK('2025'!$Q105), 0, 1), 4, if(ISBLANK('2025'!$R105), 0, 1), 5, if(ISBLANK('2025'!$S105), 0, 1), 6, if(ISBLANK('2025'!$T105), 0, 1), 7, 0))), 1, "")</f>
        <v/>
      </c>
      <c r="AA107" s="1" t="str">
        <f>IF(AND(AND(AND(AA$4&gt;='2025'!$L105,AA$4&lt;='2025'!$M105), AA$4&lt;&gt;DATE(2025,7,4)), (SWITCH(weekday(AA$4), 1, 0, 2, if(ISBLANK('2025'!$P105), 0, 1), 3, if(ISBLANK('2025'!$Q105), 0, 1), 4, if(ISBLANK('2025'!$R105), 0, 1), 5, if(ISBLANK('2025'!$S105), 0, 1), 6, if(ISBLANK('2025'!$T105), 0, 1), 7, 0))), 1, "")</f>
        <v/>
      </c>
      <c r="AB107" s="1" t="str">
        <f>IF(AND(AND(AND(AB$4&gt;='2025'!$L105,AB$4&lt;='2025'!$M105), AB$4&lt;&gt;DATE(2025,7,4)), (SWITCH(weekday(AB$4), 1, 0, 2, if(ISBLANK('2025'!$P105), 0, 1), 3, if(ISBLANK('2025'!$Q105), 0, 1), 4, if(ISBLANK('2025'!$R105), 0, 1), 5, if(ISBLANK('2025'!$S105), 0, 1), 6, if(ISBLANK('2025'!$T105), 0, 1), 7, 0))), 1, "")</f>
        <v/>
      </c>
      <c r="AC107" s="1" t="str">
        <f>IF(AND(AND(AND(AC$4&gt;='2025'!$L105,AC$4&lt;='2025'!$M105), AC$4&lt;&gt;DATE(2025,7,4)), (SWITCH(weekday(AC$4), 1, 0, 2, if(ISBLANK('2025'!$P105), 0, 1), 3, if(ISBLANK('2025'!$Q105), 0, 1), 4, if(ISBLANK('2025'!$R105), 0, 1), 5, if(ISBLANK('2025'!$S105), 0, 1), 6, if(ISBLANK('2025'!$T105), 0, 1), 7, 0))), 1, "")</f>
        <v/>
      </c>
      <c r="AD107" s="1" t="str">
        <f>IF(AND(AND(AND(AD$4&gt;='2025'!$L105,AD$4&lt;='2025'!$M105), AD$4&lt;&gt;DATE(2025,7,4)), (SWITCH(weekday(AD$4), 1, 0, 2, if(ISBLANK('2025'!$P105), 0, 1), 3, if(ISBLANK('2025'!$Q105), 0, 1), 4, if(ISBLANK('2025'!$R105), 0, 1), 5, if(ISBLANK('2025'!$S105), 0, 1), 6, if(ISBLANK('2025'!$T105), 0, 1), 7, 0))), 1, "")</f>
        <v/>
      </c>
      <c r="AE107" s="1" t="str">
        <f>IF(AND(AND(AND(AE$4&gt;='2025'!$L105,AE$4&lt;='2025'!$M105), AE$4&lt;&gt;DATE(2025,7,4)), (SWITCH(weekday(AE$4), 1, 0, 2, if(ISBLANK('2025'!$P105), 0, 1), 3, if(ISBLANK('2025'!$Q105), 0, 1), 4, if(ISBLANK('2025'!$R105), 0, 1), 5, if(ISBLANK('2025'!$S105), 0, 1), 6, if(ISBLANK('2025'!$T105), 0, 1), 7, 0))), 1, "")</f>
        <v/>
      </c>
      <c r="AF107" s="1" t="str">
        <f>IF(AND(AND(AND(AF$4&gt;='2025'!$L105,AF$4&lt;='2025'!$M105), AF$4&lt;&gt;DATE(2025,7,4)), (SWITCH(weekday(AF$4), 1, 0, 2, if(ISBLANK('2025'!$P105), 0, 1), 3, if(ISBLANK('2025'!$Q105), 0, 1), 4, if(ISBLANK('2025'!$R105), 0, 1), 5, if(ISBLANK('2025'!$S105), 0, 1), 6, if(ISBLANK('2025'!$T105), 0, 1), 7, 0))), 1, "")</f>
        <v/>
      </c>
      <c r="AG107" s="1" t="str">
        <f>IF(AND(AND(AND(AG$4&gt;='2025'!$L105,AG$4&lt;='2025'!$M105), AG$4&lt;&gt;DATE(2025,7,4)), (SWITCH(weekday(AG$4), 1, 0, 2, if(ISBLANK('2025'!$P105), 0, 1), 3, if(ISBLANK('2025'!$Q105), 0, 1), 4, if(ISBLANK('2025'!$R105), 0, 1), 5, if(ISBLANK('2025'!$S105), 0, 1), 6, if(ISBLANK('2025'!$T105), 0, 1), 7, 0))), 1, "")</f>
        <v/>
      </c>
      <c r="AH107" s="1" t="str">
        <f>IF(AND(AND(AND(AH$4&gt;='2025'!$L105,AH$4&lt;='2025'!$M105), AH$4&lt;&gt;DATE(2025,7,4)), (SWITCH(weekday(AH$4), 1, 0, 2, if(ISBLANK('2025'!$P105), 0, 1), 3, if(ISBLANK('2025'!$Q105), 0, 1), 4, if(ISBLANK('2025'!$R105), 0, 1), 5, if(ISBLANK('2025'!$S105), 0, 1), 6, if(ISBLANK('2025'!$T105), 0, 1), 7, 0))), 1, "")</f>
        <v/>
      </c>
      <c r="AI107" s="1" t="str">
        <f>IF(AND(AND(AND(AI$4&gt;='2025'!$L105,AI$4&lt;='2025'!$M105), AI$4&lt;&gt;DATE(2025,7,4)), (SWITCH(weekday(AI$4), 1, 0, 2, if(ISBLANK('2025'!$P105), 0, 1), 3, if(ISBLANK('2025'!$Q105), 0, 1), 4, if(ISBLANK('2025'!$R105), 0, 1), 5, if(ISBLANK('2025'!$S105), 0, 1), 6, if(ISBLANK('2025'!$T105), 0, 1), 7, 0))), 1, "")</f>
        <v/>
      </c>
      <c r="AJ107" s="1" t="str">
        <f>IF(AND(AND(AND(AJ$4&gt;='2025'!$L105,AJ$4&lt;='2025'!$M105), AJ$4&lt;&gt;DATE(2025,7,4)), (SWITCH(weekday(AJ$4), 1, 0, 2, if(ISBLANK('2025'!$P105), 0, 1), 3, if(ISBLANK('2025'!$Q105), 0, 1), 4, if(ISBLANK('2025'!$R105), 0, 1), 5, if(ISBLANK('2025'!$S105), 0, 1), 6, if(ISBLANK('2025'!$T105), 0, 1), 7, 0))), 1, "")</f>
        <v/>
      </c>
      <c r="AK107" s="1" t="str">
        <f>IF(AND(AND(AND(AK$4&gt;='2025'!$L105,AK$4&lt;='2025'!$M105), AK$4&lt;&gt;DATE(2025,7,4)), (SWITCH(weekday(AK$4), 1, 0, 2, if(ISBLANK('2025'!$P105), 0, 1), 3, if(ISBLANK('2025'!$Q105), 0, 1), 4, if(ISBLANK('2025'!$R105), 0, 1), 5, if(ISBLANK('2025'!$S105), 0, 1), 6, if(ISBLANK('2025'!$T105), 0, 1), 7, 0))), 1, "")</f>
        <v/>
      </c>
      <c r="AL107" s="1" t="str">
        <f>IF(AND(AND(AND(AL$4&gt;='2025'!$L105,AL$4&lt;='2025'!$M105), AL$4&lt;&gt;DATE(2025,7,4)), (SWITCH(weekday(AL$4), 1, 0, 2, if(ISBLANK('2025'!$P105), 0, 1), 3, if(ISBLANK('2025'!$Q105), 0, 1), 4, if(ISBLANK('2025'!$R105), 0, 1), 5, if(ISBLANK('2025'!$S105), 0, 1), 6, if(ISBLANK('2025'!$T105), 0, 1), 7, 0))), 1, "")</f>
        <v/>
      </c>
      <c r="AM107" s="1" t="str">
        <f>IF(AND(AND(AND(AM$4&gt;='2025'!$L105,AM$4&lt;='2025'!$M105), AM$4&lt;&gt;DATE(2025,7,4)), (SWITCH(weekday(AM$4), 1, 0, 2, if(ISBLANK('2025'!$P105), 0, 1), 3, if(ISBLANK('2025'!$Q105), 0, 1), 4, if(ISBLANK('2025'!$R105), 0, 1), 5, if(ISBLANK('2025'!$S105), 0, 1), 6, if(ISBLANK('2025'!$T105), 0, 1), 7, 0))), 1, "")</f>
        <v/>
      </c>
      <c r="AN107" s="1" t="str">
        <f>IF(AND(AND(AND(AN$4&gt;='2025'!$L105,AN$4&lt;='2025'!$M105), AN$4&lt;&gt;DATE(2025,7,4)), (SWITCH(weekday(AN$4), 1, 0, 2, if(ISBLANK('2025'!$P105), 0, 1), 3, if(ISBLANK('2025'!$Q105), 0, 1), 4, if(ISBLANK('2025'!$R105), 0, 1), 5, if(ISBLANK('2025'!$S105), 0, 1), 6, if(ISBLANK('2025'!$T105), 0, 1), 7, 0))), 1, "")</f>
        <v/>
      </c>
      <c r="AO107" s="1" t="str">
        <f>IF(AND(AND(AND(AO$4&gt;='2025'!$L105,AO$4&lt;='2025'!$M105), AO$4&lt;&gt;DATE(2025,7,4)), (SWITCH(weekday(AO$4), 1, 0, 2, if(ISBLANK('2025'!$P105), 0, 1), 3, if(ISBLANK('2025'!$Q105), 0, 1), 4, if(ISBLANK('2025'!$R105), 0, 1), 5, if(ISBLANK('2025'!$S105), 0, 1), 6, if(ISBLANK('2025'!$T105), 0, 1), 7, 0))), 1, "")</f>
        <v/>
      </c>
      <c r="AP107" s="1" t="str">
        <f>IF(AND(AND(AND(AP$4&gt;='2025'!$L105,AP$4&lt;='2025'!$M105), AP$4&lt;&gt;DATE(2025,7,4)), (SWITCH(weekday(AP$4), 1, 0, 2, if(ISBLANK('2025'!$P105), 0, 1), 3, if(ISBLANK('2025'!$Q105), 0, 1), 4, if(ISBLANK('2025'!$R105), 0, 1), 5, if(ISBLANK('2025'!$S105), 0, 1), 6, if(ISBLANK('2025'!$T105), 0, 1), 7, 0))), 1, "")</f>
        <v/>
      </c>
      <c r="AQ107" s="1" t="str">
        <f>IF(AND(AND(AND(AQ$4&gt;='2025'!$L105,AQ$4&lt;='2025'!$M105), AQ$4&lt;&gt;DATE(2025,7,4)), (SWITCH(weekday(AQ$4), 1, 0, 2, if(ISBLANK('2025'!$P105), 0, 1), 3, if(ISBLANK('2025'!$Q105), 0, 1), 4, if(ISBLANK('2025'!$R105), 0, 1), 5, if(ISBLANK('2025'!$S105), 0, 1), 6, if(ISBLANK('2025'!$T105), 0, 1), 7, 0))), 1, "")</f>
        <v/>
      </c>
      <c r="AR107" s="1" t="str">
        <f>IF(AND(AND(AND(AR$4&gt;='2025'!$L105,AR$4&lt;='2025'!$M105), AR$4&lt;&gt;DATE(2025,7,4)), (SWITCH(weekday(AR$4), 1, 0, 2, if(ISBLANK('2025'!$P105), 0, 1), 3, if(ISBLANK('2025'!$Q105), 0, 1), 4, if(ISBLANK('2025'!$R105), 0, 1), 5, if(ISBLANK('2025'!$S105), 0, 1), 6, if(ISBLANK('2025'!$T105), 0, 1), 7, 0))), 1, "")</f>
        <v/>
      </c>
      <c r="AS107" s="1" t="str">
        <f>IF(AND(AND(AND(AS$4&gt;='2025'!$L105,AS$4&lt;='2025'!$M105), AS$4&lt;&gt;DATE(2025,7,4)), (SWITCH(weekday(AS$4), 1, 0, 2, if(ISBLANK('2025'!$P105), 0, 1), 3, if(ISBLANK('2025'!$Q105), 0, 1), 4, if(ISBLANK('2025'!$R105), 0, 1), 5, if(ISBLANK('2025'!$S105), 0, 1), 6, if(ISBLANK('2025'!$T105), 0, 1), 7, 0))), 1, "")</f>
        <v/>
      </c>
      <c r="AT107" s="1" t="str">
        <f>IF(AND(AND(AND(AT$4&gt;='2025'!$L105,AT$4&lt;='2025'!$M105), AT$4&lt;&gt;DATE(2025,7,4)), (SWITCH(weekday(AT$4), 1, 0, 2, if(ISBLANK('2025'!$P105), 0, 1), 3, if(ISBLANK('2025'!$Q105), 0, 1), 4, if(ISBLANK('2025'!$R105), 0, 1), 5, if(ISBLANK('2025'!$S105), 0, 1), 6, if(ISBLANK('2025'!$T105), 0, 1), 7, 0))), 1, "")</f>
        <v/>
      </c>
      <c r="AU107" s="1" t="str">
        <f>IF(AND(AND(AND(AU$4&gt;='2025'!$L105,AU$4&lt;='2025'!$M105), AU$4&lt;&gt;DATE(2025,7,4)), (SWITCH(weekday(AU$4), 1, 0, 2, if(ISBLANK('2025'!$P105), 0, 1), 3, if(ISBLANK('2025'!$Q105), 0, 1), 4, if(ISBLANK('2025'!$R105), 0, 1), 5, if(ISBLANK('2025'!$S105), 0, 1), 6, if(ISBLANK('2025'!$T105), 0, 1), 7, 0))), 1, "")</f>
        <v/>
      </c>
      <c r="AV107" s="1" t="str">
        <f>IF(AND(AND(AND(AV$4&gt;='2025'!$L105,AV$4&lt;='2025'!$M105), AV$4&lt;&gt;DATE(2025,7,4)), (SWITCH(weekday(AV$4), 1, 0, 2, if(ISBLANK('2025'!$P105), 0, 1), 3, if(ISBLANK('2025'!$Q105), 0, 1), 4, if(ISBLANK('2025'!$R105), 0, 1), 5, if(ISBLANK('2025'!$S105), 0, 1), 6, if(ISBLANK('2025'!$T105), 0, 1), 7, 0))), 1, "")</f>
        <v/>
      </c>
      <c r="AW107" s="1" t="str">
        <f>IF(AND(AND(AND(AW$4&gt;='2025'!$L105,AW$4&lt;='2025'!$M105), AW$4&lt;&gt;DATE(2025,7,4)), (SWITCH(weekday(AW$4), 1, 0, 2, if(ISBLANK('2025'!$P105), 0, 1), 3, if(ISBLANK('2025'!$Q105), 0, 1), 4, if(ISBLANK('2025'!$R105), 0, 1), 5, if(ISBLANK('2025'!$S105), 0, 1), 6, if(ISBLANK('2025'!$T105), 0, 1), 7, 0))), 1, "")</f>
        <v/>
      </c>
      <c r="AX107" s="1" t="str">
        <f>IF(AND(AND(AND(AX$4&gt;='2025'!$L105,AX$4&lt;='2025'!$M105), AX$4&lt;&gt;DATE(2025,7,4)), (SWITCH(weekday(AX$4), 1, 0, 2, if(ISBLANK('2025'!$P105), 0, 1), 3, if(ISBLANK('2025'!$Q105), 0, 1), 4, if(ISBLANK('2025'!$R105), 0, 1), 5, if(ISBLANK('2025'!$S105), 0, 1), 6, if(ISBLANK('2025'!$T105), 0, 1), 7, 0))), 1, "")</f>
        <v/>
      </c>
      <c r="AY107" s="1" t="str">
        <f>IF(AND(AND(AND(AY$4&gt;='2025'!$L105,AY$4&lt;='2025'!$M105), AY$4&lt;&gt;DATE(2025,7,4)), (SWITCH(weekday(AY$4), 1, 0, 2, if(ISBLANK('2025'!$P105), 0, 1), 3, if(ISBLANK('2025'!$Q105), 0, 1), 4, if(ISBLANK('2025'!$R105), 0, 1), 5, if(ISBLANK('2025'!$S105), 0, 1), 6, if(ISBLANK('2025'!$T105), 0, 1), 7, 0))), 1, "")</f>
        <v/>
      </c>
      <c r="AZ107" s="1" t="str">
        <f>IF(AND(AND(AND(AZ$4&gt;='2025'!$L105,AZ$4&lt;='2025'!$M105), AZ$4&lt;&gt;DATE(2025,7,4)), (SWITCH(weekday(AZ$4), 1, 0, 2, if(ISBLANK('2025'!$P105), 0, 1), 3, if(ISBLANK('2025'!$Q105), 0, 1), 4, if(ISBLANK('2025'!$R105), 0, 1), 5, if(ISBLANK('2025'!$S105), 0, 1), 6, if(ISBLANK('2025'!$T105), 0, 1), 7, 0))), 1, "")</f>
        <v/>
      </c>
      <c r="BA107" s="1" t="str">
        <f>IF(AND(AND(AND(BA$4&gt;='2025'!$L105,BA$4&lt;='2025'!$M105), BA$4&lt;&gt;DATE(2025,7,4)), (SWITCH(weekday(BA$4), 1, 0, 2, if(ISBLANK('2025'!$P105), 0, 1), 3, if(ISBLANK('2025'!$Q105), 0, 1), 4, if(ISBLANK('2025'!$R105), 0, 1), 5, if(ISBLANK('2025'!$S105), 0, 1), 6, if(ISBLANK('2025'!$T105), 0, 1), 7, 0))), 1, "")</f>
        <v/>
      </c>
      <c r="BB107" s="1" t="str">
        <f>IF(AND(AND(AND(BB$4&gt;='2025'!$L105,BB$4&lt;='2025'!$M105), BB$4&lt;&gt;DATE(2025,7,4)), (SWITCH(weekday(BB$4), 1, 0, 2, if(ISBLANK('2025'!$P105), 0, 1), 3, if(ISBLANK('2025'!$Q105), 0, 1), 4, if(ISBLANK('2025'!$R105), 0, 1), 5, if(ISBLANK('2025'!$S105), 0, 1), 6, if(ISBLANK('2025'!$T105), 0, 1), 7, 0))), 1, "")</f>
        <v/>
      </c>
      <c r="BC107" s="1" t="str">
        <f>IF(AND(AND(AND(BC$4&gt;='2025'!$L105,BC$4&lt;='2025'!$M105), BC$4&lt;&gt;DATE(2025,7,4)), (SWITCH(weekday(BC$4), 1, 0, 2, if(ISBLANK('2025'!$P105), 0, 1), 3, if(ISBLANK('2025'!$Q105), 0, 1), 4, if(ISBLANK('2025'!$R105), 0, 1), 5, if(ISBLANK('2025'!$S105), 0, 1), 6, if(ISBLANK('2025'!$T105), 0, 1), 7, 0))), 1, "")</f>
        <v/>
      </c>
      <c r="BD107" s="1" t="str">
        <f>IF(AND(AND(AND(BD$4&gt;='2025'!$L105,BD$4&lt;='2025'!$M105), BD$4&lt;&gt;DATE(2025,7,4)), (SWITCH(weekday(BD$4), 1, 0, 2, if(ISBLANK('2025'!$P105), 0, 1), 3, if(ISBLANK('2025'!$Q105), 0, 1), 4, if(ISBLANK('2025'!$R105), 0, 1), 5, if(ISBLANK('2025'!$S105), 0, 1), 6, if(ISBLANK('2025'!$T105), 0, 1), 7, 0))), 1, "")</f>
        <v/>
      </c>
      <c r="BE107" s="1" t="str">
        <f>IF(AND(AND(AND(BE$4&gt;='2025'!$L105,BE$4&lt;='2025'!$M105), BE$4&lt;&gt;DATE(2025,7,4)), (SWITCH(weekday(BE$4), 1, 0, 2, if(ISBLANK('2025'!$P105), 0, 1), 3, if(ISBLANK('2025'!$Q105), 0, 1), 4, if(ISBLANK('2025'!$R105), 0, 1), 5, if(ISBLANK('2025'!$S105), 0, 1), 6, if(ISBLANK('2025'!$T105), 0, 1), 7, 0))), 1, "")</f>
        <v/>
      </c>
      <c r="BF107" s="1" t="str">
        <f>IF(AND(AND(AND(BF$4&gt;='2025'!$L105,BF$4&lt;='2025'!$M105), BF$4&lt;&gt;DATE(2025,7,4)), (SWITCH(weekday(BF$4), 1, 0, 2, if(ISBLANK('2025'!$P105), 0, 1), 3, if(ISBLANK('2025'!$Q105), 0, 1), 4, if(ISBLANK('2025'!$R105), 0, 1), 5, if(ISBLANK('2025'!$S105), 0, 1), 6, if(ISBLANK('2025'!$T105), 0, 1), 7, 0))), 1, "")</f>
        <v/>
      </c>
      <c r="BG107" s="1"/>
      <c r="BH107" s="1"/>
      <c r="BI107" s="1"/>
      <c r="BJ107" s="1"/>
      <c r="BK107" s="1"/>
      <c r="BL107" s="1"/>
    </row>
    <row r="108">
      <c r="A108" s="1">
        <f t="shared" si="3"/>
        <v>108</v>
      </c>
      <c r="B108" s="1" t="str">
        <f>'2025'!D72</f>
        <v>, </v>
      </c>
      <c r="C108" s="1" t="str">
        <f>'2025'!H72</f>
        <v/>
      </c>
      <c r="D108" s="1" t="str">
        <f>IF(AND(AND(AND(D$4&gt;='2025'!$L106,D$4&lt;='2025'!$M106), D$4&lt;&gt;DATE(2025,7,4)), (SWITCH(weekday(D$4), 1, 0, 2, if(ISBLANK('2025'!$P106), 0, 1), 3, if(ISBLANK('2025'!$Q106), 0, 1), 4, if(ISBLANK('2025'!$R106), 0, 1), 5, if(ISBLANK('2025'!$S106), 0, 1), 6, if(ISBLANK('2025'!$T106), 0, 1), 7, 0))), 1, "")</f>
        <v/>
      </c>
      <c r="E108" s="1" t="str">
        <f>IF(AND(AND(AND(E$4&gt;='2025'!$L106,E$4&lt;='2025'!$M106), E$4&lt;&gt;DATE(2025,7,4)), (SWITCH(weekday(E$4), 1, 0, 2, if(ISBLANK('2025'!$P106), 0, 1), 3, if(ISBLANK('2025'!$Q106), 0, 1), 4, if(ISBLANK('2025'!$R106), 0, 1), 5, if(ISBLANK('2025'!$S106), 0, 1), 6, if(ISBLANK('2025'!$T106), 0, 1), 7, 0))), 1, "")</f>
        <v/>
      </c>
      <c r="F108" s="1" t="str">
        <f>IF(AND(AND(AND(F$4&gt;='2025'!$L106,F$4&lt;='2025'!$M106), F$4&lt;&gt;DATE(2025,7,4)), (SWITCH(weekday(F$4), 1, 0, 2, if(ISBLANK('2025'!$P106), 0, 1), 3, if(ISBLANK('2025'!$Q106), 0, 1), 4, if(ISBLANK('2025'!$R106), 0, 1), 5, if(ISBLANK('2025'!$S106), 0, 1), 6, if(ISBLANK('2025'!$T106), 0, 1), 7, 0))), 1, "")</f>
        <v/>
      </c>
      <c r="G108" s="1" t="str">
        <f>IF(AND(AND(AND(G$4&gt;='2025'!$L106,G$4&lt;='2025'!$M106), G$4&lt;&gt;DATE(2025,7,4)), (SWITCH(weekday(G$4), 1, 0, 2, if(ISBLANK('2025'!$P106), 0, 1), 3, if(ISBLANK('2025'!$Q106), 0, 1), 4, if(ISBLANK('2025'!$R106), 0, 1), 5, if(ISBLANK('2025'!$S106), 0, 1), 6, if(ISBLANK('2025'!$T106), 0, 1), 7, 0))), 1, "")</f>
        <v/>
      </c>
      <c r="H108" s="1" t="str">
        <f>IF(AND(AND(AND(H$4&gt;='2025'!$L106,H$4&lt;='2025'!$M106), H$4&lt;&gt;DATE(2025,7,4)), (SWITCH(weekday(H$4), 1, 0, 2, if(ISBLANK('2025'!$P106), 0, 1), 3, if(ISBLANK('2025'!$Q106), 0, 1), 4, if(ISBLANK('2025'!$R106), 0, 1), 5, if(ISBLANK('2025'!$S106), 0, 1), 6, if(ISBLANK('2025'!$T106), 0, 1), 7, 0))), 1, "")</f>
        <v/>
      </c>
      <c r="I108" s="1" t="str">
        <f>IF(AND(AND(AND(I$4&gt;='2025'!$L106,I$4&lt;='2025'!$M106), I$4&lt;&gt;DATE(2025,7,4)), (SWITCH(weekday(I$4), 1, 0, 2, if(ISBLANK('2025'!$P106), 0, 1), 3, if(ISBLANK('2025'!$Q106), 0, 1), 4, if(ISBLANK('2025'!$R106), 0, 1), 5, if(ISBLANK('2025'!$S106), 0, 1), 6, if(ISBLANK('2025'!$T106), 0, 1), 7, 0))), 1, "")</f>
        <v/>
      </c>
      <c r="J108" s="1" t="str">
        <f>IF(AND(AND(AND(J$4&gt;='2025'!$L106,J$4&lt;='2025'!$M106), J$4&lt;&gt;DATE(2025,7,4)), (SWITCH(weekday(J$4), 1, 0, 2, if(ISBLANK('2025'!$P106), 0, 1), 3, if(ISBLANK('2025'!$Q106), 0, 1), 4, if(ISBLANK('2025'!$R106), 0, 1), 5, if(ISBLANK('2025'!$S106), 0, 1), 6, if(ISBLANK('2025'!$T106), 0, 1), 7, 0))), 1, "")</f>
        <v/>
      </c>
      <c r="K108" s="1" t="str">
        <f>IF(AND(AND(AND(K$4&gt;='2025'!$L106,K$4&lt;='2025'!$M106), K$4&lt;&gt;DATE(2025,7,4)), (SWITCH(weekday(K$4), 1, 0, 2, if(ISBLANK('2025'!$P106), 0, 1), 3, if(ISBLANK('2025'!$Q106), 0, 1), 4, if(ISBLANK('2025'!$R106), 0, 1), 5, if(ISBLANK('2025'!$S106), 0, 1), 6, if(ISBLANK('2025'!$T106), 0, 1), 7, 0))), 1, "")</f>
        <v/>
      </c>
      <c r="L108" s="1" t="str">
        <f>IF(AND(AND(AND(L$4&gt;='2025'!$L106,L$4&lt;='2025'!$M106), L$4&lt;&gt;DATE(2025,7,4)), (SWITCH(weekday(L$4), 1, 0, 2, if(ISBLANK('2025'!$P106), 0, 1), 3, if(ISBLANK('2025'!$Q106), 0, 1), 4, if(ISBLANK('2025'!$R106), 0, 1), 5, if(ISBLANK('2025'!$S106), 0, 1), 6, if(ISBLANK('2025'!$T106), 0, 1), 7, 0))), 1, "")</f>
        <v/>
      </c>
      <c r="M108" s="1" t="str">
        <f>IF(AND(AND(AND(M$4&gt;='2025'!$L106,M$4&lt;='2025'!$M106), M$4&lt;&gt;DATE(2025,7,4)), (SWITCH(weekday(M$4), 1, 0, 2, if(ISBLANK('2025'!$P106), 0, 1), 3, if(ISBLANK('2025'!$Q106), 0, 1), 4, if(ISBLANK('2025'!$R106), 0, 1), 5, if(ISBLANK('2025'!$S106), 0, 1), 6, if(ISBLANK('2025'!$T106), 0, 1), 7, 0))), 1, "")</f>
        <v/>
      </c>
      <c r="N108" s="1" t="str">
        <f>IF(AND(AND(AND(N$4&gt;='2025'!$L106,N$4&lt;='2025'!$M106), N$4&lt;&gt;DATE(2025,7,4)), (SWITCH(weekday(N$4), 1, 0, 2, if(ISBLANK('2025'!$P106), 0, 1), 3, if(ISBLANK('2025'!$Q106), 0, 1), 4, if(ISBLANK('2025'!$R106), 0, 1), 5, if(ISBLANK('2025'!$S106), 0, 1), 6, if(ISBLANK('2025'!$T106), 0, 1), 7, 0))), 1, "")</f>
        <v/>
      </c>
      <c r="O108" s="1" t="str">
        <f>IF(AND(AND(AND(O$4&gt;='2025'!$L106,O$4&lt;='2025'!$M106), O$4&lt;&gt;DATE(2025,7,4)), (SWITCH(weekday(O$4), 1, 0, 2, if(ISBLANK('2025'!$P106), 0, 1), 3, if(ISBLANK('2025'!$Q106), 0, 1), 4, if(ISBLANK('2025'!$R106), 0, 1), 5, if(ISBLANK('2025'!$S106), 0, 1), 6, if(ISBLANK('2025'!$T106), 0, 1), 7, 0))), 1, "")</f>
        <v/>
      </c>
      <c r="P108" s="1" t="str">
        <f>IF(AND(AND(AND(P$4&gt;='2025'!$L106,P$4&lt;='2025'!$M106), P$4&lt;&gt;DATE(2025,7,4)), (SWITCH(weekday(P$4), 1, 0, 2, if(ISBLANK('2025'!$P106), 0, 1), 3, if(ISBLANK('2025'!$Q106), 0, 1), 4, if(ISBLANK('2025'!$R106), 0, 1), 5, if(ISBLANK('2025'!$S106), 0, 1), 6, if(ISBLANK('2025'!$T106), 0, 1), 7, 0))), 1, "")</f>
        <v/>
      </c>
      <c r="Q108" s="1" t="str">
        <f>IF(AND(AND(AND(Q$4&gt;='2025'!$L106,Q$4&lt;='2025'!$M106), Q$4&lt;&gt;DATE(2025,7,4)), (SWITCH(weekday(Q$4), 1, 0, 2, if(ISBLANK('2025'!$P106), 0, 1), 3, if(ISBLANK('2025'!$Q106), 0, 1), 4, if(ISBLANK('2025'!$R106), 0, 1), 5, if(ISBLANK('2025'!$S106), 0, 1), 6, if(ISBLANK('2025'!$T106), 0, 1), 7, 0))), 1, "")</f>
        <v/>
      </c>
      <c r="R108" s="1" t="str">
        <f>IF(AND(AND(AND(R$4&gt;='2025'!$L106,R$4&lt;='2025'!$M106), R$4&lt;&gt;DATE(2025,7,4)), (SWITCH(weekday(R$4), 1, 0, 2, if(ISBLANK('2025'!$P106), 0, 1), 3, if(ISBLANK('2025'!$Q106), 0, 1), 4, if(ISBLANK('2025'!$R106), 0, 1), 5, if(ISBLANK('2025'!$S106), 0, 1), 6, if(ISBLANK('2025'!$T106), 0, 1), 7, 0))), 1, "")</f>
        <v/>
      </c>
      <c r="S108" s="1" t="str">
        <f>IF(AND(AND(AND(S$4&gt;='2025'!$L106,S$4&lt;='2025'!$M106), S$4&lt;&gt;DATE(2025,7,4)), (SWITCH(weekday(S$4), 1, 0, 2, if(ISBLANK('2025'!$P106), 0, 1), 3, if(ISBLANK('2025'!$Q106), 0, 1), 4, if(ISBLANK('2025'!$R106), 0, 1), 5, if(ISBLANK('2025'!$S106), 0, 1), 6, if(ISBLANK('2025'!$T106), 0, 1), 7, 0))), 1, "")</f>
        <v/>
      </c>
      <c r="T108" s="1" t="str">
        <f>IF(AND(AND(AND(T$4&gt;='2025'!$L106,T$4&lt;='2025'!$M106), T$4&lt;&gt;DATE(2025,7,4)), (SWITCH(weekday(T$4), 1, 0, 2, if(ISBLANK('2025'!$P106), 0, 1), 3, if(ISBLANK('2025'!$Q106), 0, 1), 4, if(ISBLANK('2025'!$R106), 0, 1), 5, if(ISBLANK('2025'!$S106), 0, 1), 6, if(ISBLANK('2025'!$T106), 0, 1), 7, 0))), 1, "")</f>
        <v/>
      </c>
      <c r="U108" s="1" t="str">
        <f>IF(AND(AND(AND(U$4&gt;='2025'!$L106,U$4&lt;='2025'!$M106), U$4&lt;&gt;DATE(2025,7,4)), (SWITCH(weekday(U$4), 1, 0, 2, if(ISBLANK('2025'!$P106), 0, 1), 3, if(ISBLANK('2025'!$Q106), 0, 1), 4, if(ISBLANK('2025'!$R106), 0, 1), 5, if(ISBLANK('2025'!$S106), 0, 1), 6, if(ISBLANK('2025'!$T106), 0, 1), 7, 0))), 1, "")</f>
        <v/>
      </c>
      <c r="V108" s="1" t="str">
        <f>IF(AND(AND(AND(V$4&gt;='2025'!$L106,V$4&lt;='2025'!$M106), V$4&lt;&gt;DATE(2025,7,4)), (SWITCH(weekday(V$4), 1, 0, 2, if(ISBLANK('2025'!$P106), 0, 1), 3, if(ISBLANK('2025'!$Q106), 0, 1), 4, if(ISBLANK('2025'!$R106), 0, 1), 5, if(ISBLANK('2025'!$S106), 0, 1), 6, if(ISBLANK('2025'!$T106), 0, 1), 7, 0))), 1, "")</f>
        <v/>
      </c>
      <c r="W108" s="1" t="str">
        <f>IF(AND(AND(AND(W$4&gt;='2025'!$L106,W$4&lt;='2025'!$M106), W$4&lt;&gt;DATE(2025,7,4)), (SWITCH(weekday(W$4), 1, 0, 2, if(ISBLANK('2025'!$P106), 0, 1), 3, if(ISBLANK('2025'!$Q106), 0, 1), 4, if(ISBLANK('2025'!$R106), 0, 1), 5, if(ISBLANK('2025'!$S106), 0, 1), 6, if(ISBLANK('2025'!$T106), 0, 1), 7, 0))), 1, "")</f>
        <v/>
      </c>
      <c r="X108" s="1" t="str">
        <f>IF(AND(AND(AND(X$4&gt;='2025'!$L106,X$4&lt;='2025'!$M106), X$4&lt;&gt;DATE(2025,7,4)), (SWITCH(weekday(X$4), 1, 0, 2, if(ISBLANK('2025'!$P106), 0, 1), 3, if(ISBLANK('2025'!$Q106), 0, 1), 4, if(ISBLANK('2025'!$R106), 0, 1), 5, if(ISBLANK('2025'!$S106), 0, 1), 6, if(ISBLANK('2025'!$T106), 0, 1), 7, 0))), 1, "")</f>
        <v/>
      </c>
      <c r="Y108" s="1" t="str">
        <f>IF(AND(AND(AND(Y$4&gt;='2025'!$L106,Y$4&lt;='2025'!$M106), Y$4&lt;&gt;DATE(2025,7,4)), (SWITCH(weekday(Y$4), 1, 0, 2, if(ISBLANK('2025'!$P106), 0, 1), 3, if(ISBLANK('2025'!$Q106), 0, 1), 4, if(ISBLANK('2025'!$R106), 0, 1), 5, if(ISBLANK('2025'!$S106), 0, 1), 6, if(ISBLANK('2025'!$T106), 0, 1), 7, 0))), 1, "")</f>
        <v/>
      </c>
      <c r="Z108" s="1" t="str">
        <f>IF(AND(AND(AND(Z$4&gt;='2025'!$L106,Z$4&lt;='2025'!$M106), Z$4&lt;&gt;DATE(2025,7,4)), (SWITCH(weekday(Z$4), 1, 0, 2, if(ISBLANK('2025'!$P106), 0, 1), 3, if(ISBLANK('2025'!$Q106), 0, 1), 4, if(ISBLANK('2025'!$R106), 0, 1), 5, if(ISBLANK('2025'!$S106), 0, 1), 6, if(ISBLANK('2025'!$T106), 0, 1), 7, 0))), 1, "")</f>
        <v/>
      </c>
      <c r="AA108" s="1" t="str">
        <f>IF(AND(AND(AND(AA$4&gt;='2025'!$L106,AA$4&lt;='2025'!$M106), AA$4&lt;&gt;DATE(2025,7,4)), (SWITCH(weekday(AA$4), 1, 0, 2, if(ISBLANK('2025'!$P106), 0, 1), 3, if(ISBLANK('2025'!$Q106), 0, 1), 4, if(ISBLANK('2025'!$R106), 0, 1), 5, if(ISBLANK('2025'!$S106), 0, 1), 6, if(ISBLANK('2025'!$T106), 0, 1), 7, 0))), 1, "")</f>
        <v/>
      </c>
      <c r="AB108" s="1" t="str">
        <f>IF(AND(AND(AND(AB$4&gt;='2025'!$L106,AB$4&lt;='2025'!$M106), AB$4&lt;&gt;DATE(2025,7,4)), (SWITCH(weekday(AB$4), 1, 0, 2, if(ISBLANK('2025'!$P106), 0, 1), 3, if(ISBLANK('2025'!$Q106), 0, 1), 4, if(ISBLANK('2025'!$R106), 0, 1), 5, if(ISBLANK('2025'!$S106), 0, 1), 6, if(ISBLANK('2025'!$T106), 0, 1), 7, 0))), 1, "")</f>
        <v/>
      </c>
      <c r="AC108" s="1" t="str">
        <f>IF(AND(AND(AND(AC$4&gt;='2025'!$L106,AC$4&lt;='2025'!$M106), AC$4&lt;&gt;DATE(2025,7,4)), (SWITCH(weekday(AC$4), 1, 0, 2, if(ISBLANK('2025'!$P106), 0, 1), 3, if(ISBLANK('2025'!$Q106), 0, 1), 4, if(ISBLANK('2025'!$R106), 0, 1), 5, if(ISBLANK('2025'!$S106), 0, 1), 6, if(ISBLANK('2025'!$T106), 0, 1), 7, 0))), 1, "")</f>
        <v/>
      </c>
      <c r="AD108" s="1" t="str">
        <f>IF(AND(AND(AND(AD$4&gt;='2025'!$L106,AD$4&lt;='2025'!$M106), AD$4&lt;&gt;DATE(2025,7,4)), (SWITCH(weekday(AD$4), 1, 0, 2, if(ISBLANK('2025'!$P106), 0, 1), 3, if(ISBLANK('2025'!$Q106), 0, 1), 4, if(ISBLANK('2025'!$R106), 0, 1), 5, if(ISBLANK('2025'!$S106), 0, 1), 6, if(ISBLANK('2025'!$T106), 0, 1), 7, 0))), 1, "")</f>
        <v/>
      </c>
      <c r="AE108" s="1" t="str">
        <f>IF(AND(AND(AND(AE$4&gt;='2025'!$L106,AE$4&lt;='2025'!$M106), AE$4&lt;&gt;DATE(2025,7,4)), (SWITCH(weekday(AE$4), 1, 0, 2, if(ISBLANK('2025'!$P106), 0, 1), 3, if(ISBLANK('2025'!$Q106), 0, 1), 4, if(ISBLANK('2025'!$R106), 0, 1), 5, if(ISBLANK('2025'!$S106), 0, 1), 6, if(ISBLANK('2025'!$T106), 0, 1), 7, 0))), 1, "")</f>
        <v/>
      </c>
      <c r="AF108" s="1" t="str">
        <f>IF(AND(AND(AND(AF$4&gt;='2025'!$L106,AF$4&lt;='2025'!$M106), AF$4&lt;&gt;DATE(2025,7,4)), (SWITCH(weekday(AF$4), 1, 0, 2, if(ISBLANK('2025'!$P106), 0, 1), 3, if(ISBLANK('2025'!$Q106), 0, 1), 4, if(ISBLANK('2025'!$R106), 0, 1), 5, if(ISBLANK('2025'!$S106), 0, 1), 6, if(ISBLANK('2025'!$T106), 0, 1), 7, 0))), 1, "")</f>
        <v/>
      </c>
      <c r="AG108" s="1" t="str">
        <f>IF(AND(AND(AND(AG$4&gt;='2025'!$L106,AG$4&lt;='2025'!$M106), AG$4&lt;&gt;DATE(2025,7,4)), (SWITCH(weekday(AG$4), 1, 0, 2, if(ISBLANK('2025'!$P106), 0, 1), 3, if(ISBLANK('2025'!$Q106), 0, 1), 4, if(ISBLANK('2025'!$R106), 0, 1), 5, if(ISBLANK('2025'!$S106), 0, 1), 6, if(ISBLANK('2025'!$T106), 0, 1), 7, 0))), 1, "")</f>
        <v/>
      </c>
      <c r="AH108" s="1" t="str">
        <f>IF(AND(AND(AND(AH$4&gt;='2025'!$L106,AH$4&lt;='2025'!$M106), AH$4&lt;&gt;DATE(2025,7,4)), (SWITCH(weekday(AH$4), 1, 0, 2, if(ISBLANK('2025'!$P106), 0, 1), 3, if(ISBLANK('2025'!$Q106), 0, 1), 4, if(ISBLANK('2025'!$R106), 0, 1), 5, if(ISBLANK('2025'!$S106), 0, 1), 6, if(ISBLANK('2025'!$T106), 0, 1), 7, 0))), 1, "")</f>
        <v/>
      </c>
      <c r="AI108" s="1" t="str">
        <f>IF(AND(AND(AND(AI$4&gt;='2025'!$L106,AI$4&lt;='2025'!$M106), AI$4&lt;&gt;DATE(2025,7,4)), (SWITCH(weekday(AI$4), 1, 0, 2, if(ISBLANK('2025'!$P106), 0, 1), 3, if(ISBLANK('2025'!$Q106), 0, 1), 4, if(ISBLANK('2025'!$R106), 0, 1), 5, if(ISBLANK('2025'!$S106), 0, 1), 6, if(ISBLANK('2025'!$T106), 0, 1), 7, 0))), 1, "")</f>
        <v/>
      </c>
      <c r="AJ108" s="1" t="str">
        <f>IF(AND(AND(AND(AJ$4&gt;='2025'!$L106,AJ$4&lt;='2025'!$M106), AJ$4&lt;&gt;DATE(2025,7,4)), (SWITCH(weekday(AJ$4), 1, 0, 2, if(ISBLANK('2025'!$P106), 0, 1), 3, if(ISBLANK('2025'!$Q106), 0, 1), 4, if(ISBLANK('2025'!$R106), 0, 1), 5, if(ISBLANK('2025'!$S106), 0, 1), 6, if(ISBLANK('2025'!$T106), 0, 1), 7, 0))), 1, "")</f>
        <v/>
      </c>
      <c r="AK108" s="1" t="str">
        <f>IF(AND(AND(AND(AK$4&gt;='2025'!$L106,AK$4&lt;='2025'!$M106), AK$4&lt;&gt;DATE(2025,7,4)), (SWITCH(weekday(AK$4), 1, 0, 2, if(ISBLANK('2025'!$P106), 0, 1), 3, if(ISBLANK('2025'!$Q106), 0, 1), 4, if(ISBLANK('2025'!$R106), 0, 1), 5, if(ISBLANK('2025'!$S106), 0, 1), 6, if(ISBLANK('2025'!$T106), 0, 1), 7, 0))), 1, "")</f>
        <v/>
      </c>
      <c r="AL108" s="1" t="str">
        <f>IF(AND(AND(AND(AL$4&gt;='2025'!$L106,AL$4&lt;='2025'!$M106), AL$4&lt;&gt;DATE(2025,7,4)), (SWITCH(weekday(AL$4), 1, 0, 2, if(ISBLANK('2025'!$P106), 0, 1), 3, if(ISBLANK('2025'!$Q106), 0, 1), 4, if(ISBLANK('2025'!$R106), 0, 1), 5, if(ISBLANK('2025'!$S106), 0, 1), 6, if(ISBLANK('2025'!$T106), 0, 1), 7, 0))), 1, "")</f>
        <v/>
      </c>
      <c r="AM108" s="1" t="str">
        <f>IF(AND(AND(AND(AM$4&gt;='2025'!$L106,AM$4&lt;='2025'!$M106), AM$4&lt;&gt;DATE(2025,7,4)), (SWITCH(weekday(AM$4), 1, 0, 2, if(ISBLANK('2025'!$P106), 0, 1), 3, if(ISBLANK('2025'!$Q106), 0, 1), 4, if(ISBLANK('2025'!$R106), 0, 1), 5, if(ISBLANK('2025'!$S106), 0, 1), 6, if(ISBLANK('2025'!$T106), 0, 1), 7, 0))), 1, "")</f>
        <v/>
      </c>
      <c r="AN108" s="1" t="str">
        <f>IF(AND(AND(AND(AN$4&gt;='2025'!$L106,AN$4&lt;='2025'!$M106), AN$4&lt;&gt;DATE(2025,7,4)), (SWITCH(weekday(AN$4), 1, 0, 2, if(ISBLANK('2025'!$P106), 0, 1), 3, if(ISBLANK('2025'!$Q106), 0, 1), 4, if(ISBLANK('2025'!$R106), 0, 1), 5, if(ISBLANK('2025'!$S106), 0, 1), 6, if(ISBLANK('2025'!$T106), 0, 1), 7, 0))), 1, "")</f>
        <v/>
      </c>
      <c r="AO108" s="1" t="str">
        <f>IF(AND(AND(AND(AO$4&gt;='2025'!$L106,AO$4&lt;='2025'!$M106), AO$4&lt;&gt;DATE(2025,7,4)), (SWITCH(weekday(AO$4), 1, 0, 2, if(ISBLANK('2025'!$P106), 0, 1), 3, if(ISBLANK('2025'!$Q106), 0, 1), 4, if(ISBLANK('2025'!$R106), 0, 1), 5, if(ISBLANK('2025'!$S106), 0, 1), 6, if(ISBLANK('2025'!$T106), 0, 1), 7, 0))), 1, "")</f>
        <v/>
      </c>
      <c r="AP108" s="1" t="str">
        <f>IF(AND(AND(AND(AP$4&gt;='2025'!$L106,AP$4&lt;='2025'!$M106), AP$4&lt;&gt;DATE(2025,7,4)), (SWITCH(weekday(AP$4), 1, 0, 2, if(ISBLANK('2025'!$P106), 0, 1), 3, if(ISBLANK('2025'!$Q106), 0, 1), 4, if(ISBLANK('2025'!$R106), 0, 1), 5, if(ISBLANK('2025'!$S106), 0, 1), 6, if(ISBLANK('2025'!$T106), 0, 1), 7, 0))), 1, "")</f>
        <v/>
      </c>
      <c r="AQ108" s="1" t="str">
        <f>IF(AND(AND(AND(AQ$4&gt;='2025'!$L106,AQ$4&lt;='2025'!$M106), AQ$4&lt;&gt;DATE(2025,7,4)), (SWITCH(weekday(AQ$4), 1, 0, 2, if(ISBLANK('2025'!$P106), 0, 1), 3, if(ISBLANK('2025'!$Q106), 0, 1), 4, if(ISBLANK('2025'!$R106), 0, 1), 5, if(ISBLANK('2025'!$S106), 0, 1), 6, if(ISBLANK('2025'!$T106), 0, 1), 7, 0))), 1, "")</f>
        <v/>
      </c>
      <c r="AR108" s="1" t="str">
        <f>IF(AND(AND(AND(AR$4&gt;='2025'!$L106,AR$4&lt;='2025'!$M106), AR$4&lt;&gt;DATE(2025,7,4)), (SWITCH(weekday(AR$4), 1, 0, 2, if(ISBLANK('2025'!$P106), 0, 1), 3, if(ISBLANK('2025'!$Q106), 0, 1), 4, if(ISBLANK('2025'!$R106), 0, 1), 5, if(ISBLANK('2025'!$S106), 0, 1), 6, if(ISBLANK('2025'!$T106), 0, 1), 7, 0))), 1, "")</f>
        <v/>
      </c>
      <c r="AS108" s="1" t="str">
        <f>IF(AND(AND(AND(AS$4&gt;='2025'!$L106,AS$4&lt;='2025'!$M106), AS$4&lt;&gt;DATE(2025,7,4)), (SWITCH(weekday(AS$4), 1, 0, 2, if(ISBLANK('2025'!$P106), 0, 1), 3, if(ISBLANK('2025'!$Q106), 0, 1), 4, if(ISBLANK('2025'!$R106), 0, 1), 5, if(ISBLANK('2025'!$S106), 0, 1), 6, if(ISBLANK('2025'!$T106), 0, 1), 7, 0))), 1, "")</f>
        <v/>
      </c>
      <c r="AT108" s="1" t="str">
        <f>IF(AND(AND(AND(AT$4&gt;='2025'!$L106,AT$4&lt;='2025'!$M106), AT$4&lt;&gt;DATE(2025,7,4)), (SWITCH(weekday(AT$4), 1, 0, 2, if(ISBLANK('2025'!$P106), 0, 1), 3, if(ISBLANK('2025'!$Q106), 0, 1), 4, if(ISBLANK('2025'!$R106), 0, 1), 5, if(ISBLANK('2025'!$S106), 0, 1), 6, if(ISBLANK('2025'!$T106), 0, 1), 7, 0))), 1, "")</f>
        <v/>
      </c>
      <c r="AU108" s="1" t="str">
        <f>IF(AND(AND(AND(AU$4&gt;='2025'!$L106,AU$4&lt;='2025'!$M106), AU$4&lt;&gt;DATE(2025,7,4)), (SWITCH(weekday(AU$4), 1, 0, 2, if(ISBLANK('2025'!$P106), 0, 1), 3, if(ISBLANK('2025'!$Q106), 0, 1), 4, if(ISBLANK('2025'!$R106), 0, 1), 5, if(ISBLANK('2025'!$S106), 0, 1), 6, if(ISBLANK('2025'!$T106), 0, 1), 7, 0))), 1, "")</f>
        <v/>
      </c>
      <c r="AV108" s="1" t="str">
        <f>IF(AND(AND(AND(AV$4&gt;='2025'!$L106,AV$4&lt;='2025'!$M106), AV$4&lt;&gt;DATE(2025,7,4)), (SWITCH(weekday(AV$4), 1, 0, 2, if(ISBLANK('2025'!$P106), 0, 1), 3, if(ISBLANK('2025'!$Q106), 0, 1), 4, if(ISBLANK('2025'!$R106), 0, 1), 5, if(ISBLANK('2025'!$S106), 0, 1), 6, if(ISBLANK('2025'!$T106), 0, 1), 7, 0))), 1, "")</f>
        <v/>
      </c>
      <c r="AW108" s="1" t="str">
        <f>IF(AND(AND(AND(AW$4&gt;='2025'!$L106,AW$4&lt;='2025'!$M106), AW$4&lt;&gt;DATE(2025,7,4)), (SWITCH(weekday(AW$4), 1, 0, 2, if(ISBLANK('2025'!$P106), 0, 1), 3, if(ISBLANK('2025'!$Q106), 0, 1), 4, if(ISBLANK('2025'!$R106), 0, 1), 5, if(ISBLANK('2025'!$S106), 0, 1), 6, if(ISBLANK('2025'!$T106), 0, 1), 7, 0))), 1, "")</f>
        <v/>
      </c>
      <c r="AX108" s="1" t="str">
        <f>IF(AND(AND(AND(AX$4&gt;='2025'!$L106,AX$4&lt;='2025'!$M106), AX$4&lt;&gt;DATE(2025,7,4)), (SWITCH(weekday(AX$4), 1, 0, 2, if(ISBLANK('2025'!$P106), 0, 1), 3, if(ISBLANK('2025'!$Q106), 0, 1), 4, if(ISBLANK('2025'!$R106), 0, 1), 5, if(ISBLANK('2025'!$S106), 0, 1), 6, if(ISBLANK('2025'!$T106), 0, 1), 7, 0))), 1, "")</f>
        <v/>
      </c>
      <c r="AY108" s="1" t="str">
        <f>IF(AND(AND(AND(AY$4&gt;='2025'!$L106,AY$4&lt;='2025'!$M106), AY$4&lt;&gt;DATE(2025,7,4)), (SWITCH(weekday(AY$4), 1, 0, 2, if(ISBLANK('2025'!$P106), 0, 1), 3, if(ISBLANK('2025'!$Q106), 0, 1), 4, if(ISBLANK('2025'!$R106), 0, 1), 5, if(ISBLANK('2025'!$S106), 0, 1), 6, if(ISBLANK('2025'!$T106), 0, 1), 7, 0))), 1, "")</f>
        <v/>
      </c>
      <c r="AZ108" s="1" t="str">
        <f>IF(AND(AND(AND(AZ$4&gt;='2025'!$L106,AZ$4&lt;='2025'!$M106), AZ$4&lt;&gt;DATE(2025,7,4)), (SWITCH(weekday(AZ$4), 1, 0, 2, if(ISBLANK('2025'!$P106), 0, 1), 3, if(ISBLANK('2025'!$Q106), 0, 1), 4, if(ISBLANK('2025'!$R106), 0, 1), 5, if(ISBLANK('2025'!$S106), 0, 1), 6, if(ISBLANK('2025'!$T106), 0, 1), 7, 0))), 1, "")</f>
        <v/>
      </c>
      <c r="BA108" s="1" t="str">
        <f>IF(AND(AND(AND(BA$4&gt;='2025'!$L106,BA$4&lt;='2025'!$M106), BA$4&lt;&gt;DATE(2025,7,4)), (SWITCH(weekday(BA$4), 1, 0, 2, if(ISBLANK('2025'!$P106), 0, 1), 3, if(ISBLANK('2025'!$Q106), 0, 1), 4, if(ISBLANK('2025'!$R106), 0, 1), 5, if(ISBLANK('2025'!$S106), 0, 1), 6, if(ISBLANK('2025'!$T106), 0, 1), 7, 0))), 1, "")</f>
        <v/>
      </c>
      <c r="BB108" s="1" t="str">
        <f>IF(AND(AND(AND(BB$4&gt;='2025'!$L106,BB$4&lt;='2025'!$M106), BB$4&lt;&gt;DATE(2025,7,4)), (SWITCH(weekday(BB$4), 1, 0, 2, if(ISBLANK('2025'!$P106), 0, 1), 3, if(ISBLANK('2025'!$Q106), 0, 1), 4, if(ISBLANK('2025'!$R106), 0, 1), 5, if(ISBLANK('2025'!$S106), 0, 1), 6, if(ISBLANK('2025'!$T106), 0, 1), 7, 0))), 1, "")</f>
        <v/>
      </c>
      <c r="BC108" s="1" t="str">
        <f>IF(AND(AND(AND(BC$4&gt;='2025'!$L106,BC$4&lt;='2025'!$M106), BC$4&lt;&gt;DATE(2025,7,4)), (SWITCH(weekday(BC$4), 1, 0, 2, if(ISBLANK('2025'!$P106), 0, 1), 3, if(ISBLANK('2025'!$Q106), 0, 1), 4, if(ISBLANK('2025'!$R106), 0, 1), 5, if(ISBLANK('2025'!$S106), 0, 1), 6, if(ISBLANK('2025'!$T106), 0, 1), 7, 0))), 1, "")</f>
        <v/>
      </c>
      <c r="BD108" s="1" t="str">
        <f>IF(AND(AND(AND(BD$4&gt;='2025'!$L106,BD$4&lt;='2025'!$M106), BD$4&lt;&gt;DATE(2025,7,4)), (SWITCH(weekday(BD$4), 1, 0, 2, if(ISBLANK('2025'!$P106), 0, 1), 3, if(ISBLANK('2025'!$Q106), 0, 1), 4, if(ISBLANK('2025'!$R106), 0, 1), 5, if(ISBLANK('2025'!$S106), 0, 1), 6, if(ISBLANK('2025'!$T106), 0, 1), 7, 0))), 1, "")</f>
        <v/>
      </c>
      <c r="BE108" s="1" t="str">
        <f>IF(AND(AND(AND(BE$4&gt;='2025'!$L106,BE$4&lt;='2025'!$M106), BE$4&lt;&gt;DATE(2025,7,4)), (SWITCH(weekday(BE$4), 1, 0, 2, if(ISBLANK('2025'!$P106), 0, 1), 3, if(ISBLANK('2025'!$Q106), 0, 1), 4, if(ISBLANK('2025'!$R106), 0, 1), 5, if(ISBLANK('2025'!$S106), 0, 1), 6, if(ISBLANK('2025'!$T106), 0, 1), 7, 0))), 1, "")</f>
        <v/>
      </c>
      <c r="BF108" s="1" t="str">
        <f>IF(AND(AND(AND(BF$4&gt;='2025'!$L106,BF$4&lt;='2025'!$M106), BF$4&lt;&gt;DATE(2025,7,4)), (SWITCH(weekday(BF$4), 1, 0, 2, if(ISBLANK('2025'!$P106), 0, 1), 3, if(ISBLANK('2025'!$Q106), 0, 1), 4, if(ISBLANK('2025'!$R106), 0, 1), 5, if(ISBLANK('2025'!$S106), 0, 1), 6, if(ISBLANK('2025'!$T106), 0, 1), 7, 0))), 1, "")</f>
        <v/>
      </c>
      <c r="BG108" s="1"/>
      <c r="BH108" s="1"/>
      <c r="BI108" s="1"/>
      <c r="BJ108" s="1"/>
      <c r="BK108" s="1"/>
      <c r="BL108" s="1"/>
    </row>
    <row r="109">
      <c r="A109" s="1">
        <f t="shared" si="3"/>
        <v>109</v>
      </c>
      <c r="B109" s="1" t="str">
        <f>'2025'!D73</f>
        <v>, </v>
      </c>
      <c r="C109" s="1" t="str">
        <f>'2025'!H73</f>
        <v/>
      </c>
      <c r="D109" s="1" t="str">
        <f>IF(AND(AND(AND(D$4&gt;='2025'!$L107,D$4&lt;='2025'!$M107), D$4&lt;&gt;DATE(2025,7,4)), (SWITCH(weekday(D$4), 1, 0, 2, if(ISBLANK('2025'!$P107), 0, 1), 3, if(ISBLANK('2025'!$Q107), 0, 1), 4, if(ISBLANK('2025'!$R107), 0, 1), 5, if(ISBLANK('2025'!$S107), 0, 1), 6, if(ISBLANK('2025'!$T107), 0, 1), 7, 0))), 1, "")</f>
        <v/>
      </c>
      <c r="E109" s="1" t="str">
        <f>IF(AND(AND(AND(E$4&gt;='2025'!$L107,E$4&lt;='2025'!$M107), E$4&lt;&gt;DATE(2025,7,4)), (SWITCH(weekday(E$4), 1, 0, 2, if(ISBLANK('2025'!$P107), 0, 1), 3, if(ISBLANK('2025'!$Q107), 0, 1), 4, if(ISBLANK('2025'!$R107), 0, 1), 5, if(ISBLANK('2025'!$S107), 0, 1), 6, if(ISBLANK('2025'!$T107), 0, 1), 7, 0))), 1, "")</f>
        <v/>
      </c>
      <c r="F109" s="1" t="str">
        <f>IF(AND(AND(AND(F$4&gt;='2025'!$L107,F$4&lt;='2025'!$M107), F$4&lt;&gt;DATE(2025,7,4)), (SWITCH(weekday(F$4), 1, 0, 2, if(ISBLANK('2025'!$P107), 0, 1), 3, if(ISBLANK('2025'!$Q107), 0, 1), 4, if(ISBLANK('2025'!$R107), 0, 1), 5, if(ISBLANK('2025'!$S107), 0, 1), 6, if(ISBLANK('2025'!$T107), 0, 1), 7, 0))), 1, "")</f>
        <v/>
      </c>
      <c r="G109" s="1" t="str">
        <f>IF(AND(AND(AND(G$4&gt;='2025'!$L107,G$4&lt;='2025'!$M107), G$4&lt;&gt;DATE(2025,7,4)), (SWITCH(weekday(G$4), 1, 0, 2, if(ISBLANK('2025'!$P107), 0, 1), 3, if(ISBLANK('2025'!$Q107), 0, 1), 4, if(ISBLANK('2025'!$R107), 0, 1), 5, if(ISBLANK('2025'!$S107), 0, 1), 6, if(ISBLANK('2025'!$T107), 0, 1), 7, 0))), 1, "")</f>
        <v/>
      </c>
      <c r="H109" s="1" t="str">
        <f>IF(AND(AND(AND(H$4&gt;='2025'!$L107,H$4&lt;='2025'!$M107), H$4&lt;&gt;DATE(2025,7,4)), (SWITCH(weekday(H$4), 1, 0, 2, if(ISBLANK('2025'!$P107), 0, 1), 3, if(ISBLANK('2025'!$Q107), 0, 1), 4, if(ISBLANK('2025'!$R107), 0, 1), 5, if(ISBLANK('2025'!$S107), 0, 1), 6, if(ISBLANK('2025'!$T107), 0, 1), 7, 0))), 1, "")</f>
        <v/>
      </c>
      <c r="I109" s="1" t="str">
        <f>IF(AND(AND(AND(I$4&gt;='2025'!$L107,I$4&lt;='2025'!$M107), I$4&lt;&gt;DATE(2025,7,4)), (SWITCH(weekday(I$4), 1, 0, 2, if(ISBLANK('2025'!$P107), 0, 1), 3, if(ISBLANK('2025'!$Q107), 0, 1), 4, if(ISBLANK('2025'!$R107), 0, 1), 5, if(ISBLANK('2025'!$S107), 0, 1), 6, if(ISBLANK('2025'!$T107), 0, 1), 7, 0))), 1, "")</f>
        <v/>
      </c>
      <c r="J109" s="1" t="str">
        <f>IF(AND(AND(AND(J$4&gt;='2025'!$L107,J$4&lt;='2025'!$M107), J$4&lt;&gt;DATE(2025,7,4)), (SWITCH(weekday(J$4), 1, 0, 2, if(ISBLANK('2025'!$P107), 0, 1), 3, if(ISBLANK('2025'!$Q107), 0, 1), 4, if(ISBLANK('2025'!$R107), 0, 1), 5, if(ISBLANK('2025'!$S107), 0, 1), 6, if(ISBLANK('2025'!$T107), 0, 1), 7, 0))), 1, "")</f>
        <v/>
      </c>
      <c r="K109" s="1" t="str">
        <f>IF(AND(AND(AND(K$4&gt;='2025'!$L107,K$4&lt;='2025'!$M107), K$4&lt;&gt;DATE(2025,7,4)), (SWITCH(weekday(K$4), 1, 0, 2, if(ISBLANK('2025'!$P107), 0, 1), 3, if(ISBLANK('2025'!$Q107), 0, 1), 4, if(ISBLANK('2025'!$R107), 0, 1), 5, if(ISBLANK('2025'!$S107), 0, 1), 6, if(ISBLANK('2025'!$T107), 0, 1), 7, 0))), 1, "")</f>
        <v/>
      </c>
      <c r="L109" s="1" t="str">
        <f>IF(AND(AND(AND(L$4&gt;='2025'!$L107,L$4&lt;='2025'!$M107), L$4&lt;&gt;DATE(2025,7,4)), (SWITCH(weekday(L$4), 1, 0, 2, if(ISBLANK('2025'!$P107), 0, 1), 3, if(ISBLANK('2025'!$Q107), 0, 1), 4, if(ISBLANK('2025'!$R107), 0, 1), 5, if(ISBLANK('2025'!$S107), 0, 1), 6, if(ISBLANK('2025'!$T107), 0, 1), 7, 0))), 1, "")</f>
        <v/>
      </c>
      <c r="M109" s="1" t="str">
        <f>IF(AND(AND(AND(M$4&gt;='2025'!$L107,M$4&lt;='2025'!$M107), M$4&lt;&gt;DATE(2025,7,4)), (SWITCH(weekday(M$4), 1, 0, 2, if(ISBLANK('2025'!$P107), 0, 1), 3, if(ISBLANK('2025'!$Q107), 0, 1), 4, if(ISBLANK('2025'!$R107), 0, 1), 5, if(ISBLANK('2025'!$S107), 0, 1), 6, if(ISBLANK('2025'!$T107), 0, 1), 7, 0))), 1, "")</f>
        <v/>
      </c>
      <c r="N109" s="1" t="str">
        <f>IF(AND(AND(AND(N$4&gt;='2025'!$L107,N$4&lt;='2025'!$M107), N$4&lt;&gt;DATE(2025,7,4)), (SWITCH(weekday(N$4), 1, 0, 2, if(ISBLANK('2025'!$P107), 0, 1), 3, if(ISBLANK('2025'!$Q107), 0, 1), 4, if(ISBLANK('2025'!$R107), 0, 1), 5, if(ISBLANK('2025'!$S107), 0, 1), 6, if(ISBLANK('2025'!$T107), 0, 1), 7, 0))), 1, "")</f>
        <v/>
      </c>
      <c r="O109" s="1" t="str">
        <f>IF(AND(AND(AND(O$4&gt;='2025'!$L107,O$4&lt;='2025'!$M107), O$4&lt;&gt;DATE(2025,7,4)), (SWITCH(weekday(O$4), 1, 0, 2, if(ISBLANK('2025'!$P107), 0, 1), 3, if(ISBLANK('2025'!$Q107), 0, 1), 4, if(ISBLANK('2025'!$R107), 0, 1), 5, if(ISBLANK('2025'!$S107), 0, 1), 6, if(ISBLANK('2025'!$T107), 0, 1), 7, 0))), 1, "")</f>
        <v/>
      </c>
      <c r="P109" s="1" t="str">
        <f>IF(AND(AND(AND(P$4&gt;='2025'!$L107,P$4&lt;='2025'!$M107), P$4&lt;&gt;DATE(2025,7,4)), (SWITCH(weekday(P$4), 1, 0, 2, if(ISBLANK('2025'!$P107), 0, 1), 3, if(ISBLANK('2025'!$Q107), 0, 1), 4, if(ISBLANK('2025'!$R107), 0, 1), 5, if(ISBLANK('2025'!$S107), 0, 1), 6, if(ISBLANK('2025'!$T107), 0, 1), 7, 0))), 1, "")</f>
        <v/>
      </c>
      <c r="Q109" s="1" t="str">
        <f>IF(AND(AND(AND(Q$4&gt;='2025'!$L107,Q$4&lt;='2025'!$M107), Q$4&lt;&gt;DATE(2025,7,4)), (SWITCH(weekday(Q$4), 1, 0, 2, if(ISBLANK('2025'!$P107), 0, 1), 3, if(ISBLANK('2025'!$Q107), 0, 1), 4, if(ISBLANK('2025'!$R107), 0, 1), 5, if(ISBLANK('2025'!$S107), 0, 1), 6, if(ISBLANK('2025'!$T107), 0, 1), 7, 0))), 1, "")</f>
        <v/>
      </c>
      <c r="R109" s="1" t="str">
        <f>IF(AND(AND(AND(R$4&gt;='2025'!$L107,R$4&lt;='2025'!$M107), R$4&lt;&gt;DATE(2025,7,4)), (SWITCH(weekday(R$4), 1, 0, 2, if(ISBLANK('2025'!$P107), 0, 1), 3, if(ISBLANK('2025'!$Q107), 0, 1), 4, if(ISBLANK('2025'!$R107), 0, 1), 5, if(ISBLANK('2025'!$S107), 0, 1), 6, if(ISBLANK('2025'!$T107), 0, 1), 7, 0))), 1, "")</f>
        <v/>
      </c>
      <c r="S109" s="1" t="str">
        <f>IF(AND(AND(AND(S$4&gt;='2025'!$L107,S$4&lt;='2025'!$M107), S$4&lt;&gt;DATE(2025,7,4)), (SWITCH(weekday(S$4), 1, 0, 2, if(ISBLANK('2025'!$P107), 0, 1), 3, if(ISBLANK('2025'!$Q107), 0, 1), 4, if(ISBLANK('2025'!$R107), 0, 1), 5, if(ISBLANK('2025'!$S107), 0, 1), 6, if(ISBLANK('2025'!$T107), 0, 1), 7, 0))), 1, "")</f>
        <v/>
      </c>
      <c r="T109" s="1" t="str">
        <f>IF(AND(AND(AND(T$4&gt;='2025'!$L107,T$4&lt;='2025'!$M107), T$4&lt;&gt;DATE(2025,7,4)), (SWITCH(weekday(T$4), 1, 0, 2, if(ISBLANK('2025'!$P107), 0, 1), 3, if(ISBLANK('2025'!$Q107), 0, 1), 4, if(ISBLANK('2025'!$R107), 0, 1), 5, if(ISBLANK('2025'!$S107), 0, 1), 6, if(ISBLANK('2025'!$T107), 0, 1), 7, 0))), 1, "")</f>
        <v/>
      </c>
      <c r="U109" s="1" t="str">
        <f>IF(AND(AND(AND(U$4&gt;='2025'!$L107,U$4&lt;='2025'!$M107), U$4&lt;&gt;DATE(2025,7,4)), (SWITCH(weekday(U$4), 1, 0, 2, if(ISBLANK('2025'!$P107), 0, 1), 3, if(ISBLANK('2025'!$Q107), 0, 1), 4, if(ISBLANK('2025'!$R107), 0, 1), 5, if(ISBLANK('2025'!$S107), 0, 1), 6, if(ISBLANK('2025'!$T107), 0, 1), 7, 0))), 1, "")</f>
        <v/>
      </c>
      <c r="V109" s="1" t="str">
        <f>IF(AND(AND(AND(V$4&gt;='2025'!$L107,V$4&lt;='2025'!$M107), V$4&lt;&gt;DATE(2025,7,4)), (SWITCH(weekday(V$4), 1, 0, 2, if(ISBLANK('2025'!$P107), 0, 1), 3, if(ISBLANK('2025'!$Q107), 0, 1), 4, if(ISBLANK('2025'!$R107), 0, 1), 5, if(ISBLANK('2025'!$S107), 0, 1), 6, if(ISBLANK('2025'!$T107), 0, 1), 7, 0))), 1, "")</f>
        <v/>
      </c>
      <c r="W109" s="1" t="str">
        <f>IF(AND(AND(AND(W$4&gt;='2025'!$L107,W$4&lt;='2025'!$M107), W$4&lt;&gt;DATE(2025,7,4)), (SWITCH(weekday(W$4), 1, 0, 2, if(ISBLANK('2025'!$P107), 0, 1), 3, if(ISBLANK('2025'!$Q107), 0, 1), 4, if(ISBLANK('2025'!$R107), 0, 1), 5, if(ISBLANK('2025'!$S107), 0, 1), 6, if(ISBLANK('2025'!$T107), 0, 1), 7, 0))), 1, "")</f>
        <v/>
      </c>
      <c r="X109" s="1" t="str">
        <f>IF(AND(AND(AND(X$4&gt;='2025'!$L107,X$4&lt;='2025'!$M107), X$4&lt;&gt;DATE(2025,7,4)), (SWITCH(weekday(X$4), 1, 0, 2, if(ISBLANK('2025'!$P107), 0, 1), 3, if(ISBLANK('2025'!$Q107), 0, 1), 4, if(ISBLANK('2025'!$R107), 0, 1), 5, if(ISBLANK('2025'!$S107), 0, 1), 6, if(ISBLANK('2025'!$T107), 0, 1), 7, 0))), 1, "")</f>
        <v/>
      </c>
      <c r="Y109" s="1" t="str">
        <f>IF(AND(AND(AND(Y$4&gt;='2025'!$L107,Y$4&lt;='2025'!$M107), Y$4&lt;&gt;DATE(2025,7,4)), (SWITCH(weekday(Y$4), 1, 0, 2, if(ISBLANK('2025'!$P107), 0, 1), 3, if(ISBLANK('2025'!$Q107), 0, 1), 4, if(ISBLANK('2025'!$R107), 0, 1), 5, if(ISBLANK('2025'!$S107), 0, 1), 6, if(ISBLANK('2025'!$T107), 0, 1), 7, 0))), 1, "")</f>
        <v/>
      </c>
      <c r="Z109" s="1" t="str">
        <f>IF(AND(AND(AND(Z$4&gt;='2025'!$L107,Z$4&lt;='2025'!$M107), Z$4&lt;&gt;DATE(2025,7,4)), (SWITCH(weekday(Z$4), 1, 0, 2, if(ISBLANK('2025'!$P107), 0, 1), 3, if(ISBLANK('2025'!$Q107), 0, 1), 4, if(ISBLANK('2025'!$R107), 0, 1), 5, if(ISBLANK('2025'!$S107), 0, 1), 6, if(ISBLANK('2025'!$T107), 0, 1), 7, 0))), 1, "")</f>
        <v/>
      </c>
      <c r="AA109" s="1" t="str">
        <f>IF(AND(AND(AND(AA$4&gt;='2025'!$L107,AA$4&lt;='2025'!$M107), AA$4&lt;&gt;DATE(2025,7,4)), (SWITCH(weekday(AA$4), 1, 0, 2, if(ISBLANK('2025'!$P107), 0, 1), 3, if(ISBLANK('2025'!$Q107), 0, 1), 4, if(ISBLANK('2025'!$R107), 0, 1), 5, if(ISBLANK('2025'!$S107), 0, 1), 6, if(ISBLANK('2025'!$T107), 0, 1), 7, 0))), 1, "")</f>
        <v/>
      </c>
      <c r="AB109" s="1" t="str">
        <f>IF(AND(AND(AND(AB$4&gt;='2025'!$L107,AB$4&lt;='2025'!$M107), AB$4&lt;&gt;DATE(2025,7,4)), (SWITCH(weekday(AB$4), 1, 0, 2, if(ISBLANK('2025'!$P107), 0, 1), 3, if(ISBLANK('2025'!$Q107), 0, 1), 4, if(ISBLANK('2025'!$R107), 0, 1), 5, if(ISBLANK('2025'!$S107), 0, 1), 6, if(ISBLANK('2025'!$T107), 0, 1), 7, 0))), 1, "")</f>
        <v/>
      </c>
      <c r="AC109" s="1" t="str">
        <f>IF(AND(AND(AND(AC$4&gt;='2025'!$L107,AC$4&lt;='2025'!$M107), AC$4&lt;&gt;DATE(2025,7,4)), (SWITCH(weekday(AC$4), 1, 0, 2, if(ISBLANK('2025'!$P107), 0, 1), 3, if(ISBLANK('2025'!$Q107), 0, 1), 4, if(ISBLANK('2025'!$R107), 0, 1), 5, if(ISBLANK('2025'!$S107), 0, 1), 6, if(ISBLANK('2025'!$T107), 0, 1), 7, 0))), 1, "")</f>
        <v/>
      </c>
      <c r="AD109" s="1" t="str">
        <f>IF(AND(AND(AND(AD$4&gt;='2025'!$L107,AD$4&lt;='2025'!$M107), AD$4&lt;&gt;DATE(2025,7,4)), (SWITCH(weekday(AD$4), 1, 0, 2, if(ISBLANK('2025'!$P107), 0, 1), 3, if(ISBLANK('2025'!$Q107), 0, 1), 4, if(ISBLANK('2025'!$R107), 0, 1), 5, if(ISBLANK('2025'!$S107), 0, 1), 6, if(ISBLANK('2025'!$T107), 0, 1), 7, 0))), 1, "")</f>
        <v/>
      </c>
      <c r="AE109" s="1" t="str">
        <f>IF(AND(AND(AND(AE$4&gt;='2025'!$L107,AE$4&lt;='2025'!$M107), AE$4&lt;&gt;DATE(2025,7,4)), (SWITCH(weekday(AE$4), 1, 0, 2, if(ISBLANK('2025'!$P107), 0, 1), 3, if(ISBLANK('2025'!$Q107), 0, 1), 4, if(ISBLANK('2025'!$R107), 0, 1), 5, if(ISBLANK('2025'!$S107), 0, 1), 6, if(ISBLANK('2025'!$T107), 0, 1), 7, 0))), 1, "")</f>
        <v/>
      </c>
      <c r="AF109" s="1" t="str">
        <f>IF(AND(AND(AND(AF$4&gt;='2025'!$L107,AF$4&lt;='2025'!$M107), AF$4&lt;&gt;DATE(2025,7,4)), (SWITCH(weekday(AF$4), 1, 0, 2, if(ISBLANK('2025'!$P107), 0, 1), 3, if(ISBLANK('2025'!$Q107), 0, 1), 4, if(ISBLANK('2025'!$R107), 0, 1), 5, if(ISBLANK('2025'!$S107), 0, 1), 6, if(ISBLANK('2025'!$T107), 0, 1), 7, 0))), 1, "")</f>
        <v/>
      </c>
      <c r="AG109" s="1" t="str">
        <f>IF(AND(AND(AND(AG$4&gt;='2025'!$L107,AG$4&lt;='2025'!$M107), AG$4&lt;&gt;DATE(2025,7,4)), (SWITCH(weekday(AG$4), 1, 0, 2, if(ISBLANK('2025'!$P107), 0, 1), 3, if(ISBLANK('2025'!$Q107), 0, 1), 4, if(ISBLANK('2025'!$R107), 0, 1), 5, if(ISBLANK('2025'!$S107), 0, 1), 6, if(ISBLANK('2025'!$T107), 0, 1), 7, 0))), 1, "")</f>
        <v/>
      </c>
      <c r="AH109" s="1" t="str">
        <f>IF(AND(AND(AND(AH$4&gt;='2025'!$L107,AH$4&lt;='2025'!$M107), AH$4&lt;&gt;DATE(2025,7,4)), (SWITCH(weekday(AH$4), 1, 0, 2, if(ISBLANK('2025'!$P107), 0, 1), 3, if(ISBLANK('2025'!$Q107), 0, 1), 4, if(ISBLANK('2025'!$R107), 0, 1), 5, if(ISBLANK('2025'!$S107), 0, 1), 6, if(ISBLANK('2025'!$T107), 0, 1), 7, 0))), 1, "")</f>
        <v/>
      </c>
      <c r="AI109" s="1" t="str">
        <f>IF(AND(AND(AND(AI$4&gt;='2025'!$L107,AI$4&lt;='2025'!$M107), AI$4&lt;&gt;DATE(2025,7,4)), (SWITCH(weekday(AI$4), 1, 0, 2, if(ISBLANK('2025'!$P107), 0, 1), 3, if(ISBLANK('2025'!$Q107), 0, 1), 4, if(ISBLANK('2025'!$R107), 0, 1), 5, if(ISBLANK('2025'!$S107), 0, 1), 6, if(ISBLANK('2025'!$T107), 0, 1), 7, 0))), 1, "")</f>
        <v/>
      </c>
      <c r="AJ109" s="1" t="str">
        <f>IF(AND(AND(AND(AJ$4&gt;='2025'!$L107,AJ$4&lt;='2025'!$M107), AJ$4&lt;&gt;DATE(2025,7,4)), (SWITCH(weekday(AJ$4), 1, 0, 2, if(ISBLANK('2025'!$P107), 0, 1), 3, if(ISBLANK('2025'!$Q107), 0, 1), 4, if(ISBLANK('2025'!$R107), 0, 1), 5, if(ISBLANK('2025'!$S107), 0, 1), 6, if(ISBLANK('2025'!$T107), 0, 1), 7, 0))), 1, "")</f>
        <v/>
      </c>
      <c r="AK109" s="1" t="str">
        <f>IF(AND(AND(AND(AK$4&gt;='2025'!$L107,AK$4&lt;='2025'!$M107), AK$4&lt;&gt;DATE(2025,7,4)), (SWITCH(weekday(AK$4), 1, 0, 2, if(ISBLANK('2025'!$P107), 0, 1), 3, if(ISBLANK('2025'!$Q107), 0, 1), 4, if(ISBLANK('2025'!$R107), 0, 1), 5, if(ISBLANK('2025'!$S107), 0, 1), 6, if(ISBLANK('2025'!$T107), 0, 1), 7, 0))), 1, "")</f>
        <v/>
      </c>
      <c r="AL109" s="1" t="str">
        <f>IF(AND(AND(AND(AL$4&gt;='2025'!$L107,AL$4&lt;='2025'!$M107), AL$4&lt;&gt;DATE(2025,7,4)), (SWITCH(weekday(AL$4), 1, 0, 2, if(ISBLANK('2025'!$P107), 0, 1), 3, if(ISBLANK('2025'!$Q107), 0, 1), 4, if(ISBLANK('2025'!$R107), 0, 1), 5, if(ISBLANK('2025'!$S107), 0, 1), 6, if(ISBLANK('2025'!$T107), 0, 1), 7, 0))), 1, "")</f>
        <v/>
      </c>
      <c r="AM109" s="1" t="str">
        <f>IF(AND(AND(AND(AM$4&gt;='2025'!$L107,AM$4&lt;='2025'!$M107), AM$4&lt;&gt;DATE(2025,7,4)), (SWITCH(weekday(AM$4), 1, 0, 2, if(ISBLANK('2025'!$P107), 0, 1), 3, if(ISBLANK('2025'!$Q107), 0, 1), 4, if(ISBLANK('2025'!$R107), 0, 1), 5, if(ISBLANK('2025'!$S107), 0, 1), 6, if(ISBLANK('2025'!$T107), 0, 1), 7, 0))), 1, "")</f>
        <v/>
      </c>
      <c r="AN109" s="1" t="str">
        <f>IF(AND(AND(AND(AN$4&gt;='2025'!$L107,AN$4&lt;='2025'!$M107), AN$4&lt;&gt;DATE(2025,7,4)), (SWITCH(weekday(AN$4), 1, 0, 2, if(ISBLANK('2025'!$P107), 0, 1), 3, if(ISBLANK('2025'!$Q107), 0, 1), 4, if(ISBLANK('2025'!$R107), 0, 1), 5, if(ISBLANK('2025'!$S107), 0, 1), 6, if(ISBLANK('2025'!$T107), 0, 1), 7, 0))), 1, "")</f>
        <v/>
      </c>
      <c r="AO109" s="1" t="str">
        <f>IF(AND(AND(AND(AO$4&gt;='2025'!$L107,AO$4&lt;='2025'!$M107), AO$4&lt;&gt;DATE(2025,7,4)), (SWITCH(weekday(AO$4), 1, 0, 2, if(ISBLANK('2025'!$P107), 0, 1), 3, if(ISBLANK('2025'!$Q107), 0, 1), 4, if(ISBLANK('2025'!$R107), 0, 1), 5, if(ISBLANK('2025'!$S107), 0, 1), 6, if(ISBLANK('2025'!$T107), 0, 1), 7, 0))), 1, "")</f>
        <v/>
      </c>
      <c r="AP109" s="1" t="str">
        <f>IF(AND(AND(AND(AP$4&gt;='2025'!$L107,AP$4&lt;='2025'!$M107), AP$4&lt;&gt;DATE(2025,7,4)), (SWITCH(weekday(AP$4), 1, 0, 2, if(ISBLANK('2025'!$P107), 0, 1), 3, if(ISBLANK('2025'!$Q107), 0, 1), 4, if(ISBLANK('2025'!$R107), 0, 1), 5, if(ISBLANK('2025'!$S107), 0, 1), 6, if(ISBLANK('2025'!$T107), 0, 1), 7, 0))), 1, "")</f>
        <v/>
      </c>
      <c r="AQ109" s="1" t="str">
        <f>IF(AND(AND(AND(AQ$4&gt;='2025'!$L107,AQ$4&lt;='2025'!$M107), AQ$4&lt;&gt;DATE(2025,7,4)), (SWITCH(weekday(AQ$4), 1, 0, 2, if(ISBLANK('2025'!$P107), 0, 1), 3, if(ISBLANK('2025'!$Q107), 0, 1), 4, if(ISBLANK('2025'!$R107), 0, 1), 5, if(ISBLANK('2025'!$S107), 0, 1), 6, if(ISBLANK('2025'!$T107), 0, 1), 7, 0))), 1, "")</f>
        <v/>
      </c>
      <c r="AR109" s="1" t="str">
        <f>IF(AND(AND(AND(AR$4&gt;='2025'!$L107,AR$4&lt;='2025'!$M107), AR$4&lt;&gt;DATE(2025,7,4)), (SWITCH(weekday(AR$4), 1, 0, 2, if(ISBLANK('2025'!$P107), 0, 1), 3, if(ISBLANK('2025'!$Q107), 0, 1), 4, if(ISBLANK('2025'!$R107), 0, 1), 5, if(ISBLANK('2025'!$S107), 0, 1), 6, if(ISBLANK('2025'!$T107), 0, 1), 7, 0))), 1, "")</f>
        <v/>
      </c>
      <c r="AS109" s="1" t="str">
        <f>IF(AND(AND(AND(AS$4&gt;='2025'!$L107,AS$4&lt;='2025'!$M107), AS$4&lt;&gt;DATE(2025,7,4)), (SWITCH(weekday(AS$4), 1, 0, 2, if(ISBLANK('2025'!$P107), 0, 1), 3, if(ISBLANK('2025'!$Q107), 0, 1), 4, if(ISBLANK('2025'!$R107), 0, 1), 5, if(ISBLANK('2025'!$S107), 0, 1), 6, if(ISBLANK('2025'!$T107), 0, 1), 7, 0))), 1, "")</f>
        <v/>
      </c>
      <c r="AT109" s="1" t="str">
        <f>IF(AND(AND(AND(AT$4&gt;='2025'!$L107,AT$4&lt;='2025'!$M107), AT$4&lt;&gt;DATE(2025,7,4)), (SWITCH(weekday(AT$4), 1, 0, 2, if(ISBLANK('2025'!$P107), 0, 1), 3, if(ISBLANK('2025'!$Q107), 0, 1), 4, if(ISBLANK('2025'!$R107), 0, 1), 5, if(ISBLANK('2025'!$S107), 0, 1), 6, if(ISBLANK('2025'!$T107), 0, 1), 7, 0))), 1, "")</f>
        <v/>
      </c>
      <c r="AU109" s="1" t="str">
        <f>IF(AND(AND(AND(AU$4&gt;='2025'!$L107,AU$4&lt;='2025'!$M107), AU$4&lt;&gt;DATE(2025,7,4)), (SWITCH(weekday(AU$4), 1, 0, 2, if(ISBLANK('2025'!$P107), 0, 1), 3, if(ISBLANK('2025'!$Q107), 0, 1), 4, if(ISBLANK('2025'!$R107), 0, 1), 5, if(ISBLANK('2025'!$S107), 0, 1), 6, if(ISBLANK('2025'!$T107), 0, 1), 7, 0))), 1, "")</f>
        <v/>
      </c>
      <c r="AV109" s="1" t="str">
        <f>IF(AND(AND(AND(AV$4&gt;='2025'!$L107,AV$4&lt;='2025'!$M107), AV$4&lt;&gt;DATE(2025,7,4)), (SWITCH(weekday(AV$4), 1, 0, 2, if(ISBLANK('2025'!$P107), 0, 1), 3, if(ISBLANK('2025'!$Q107), 0, 1), 4, if(ISBLANK('2025'!$R107), 0, 1), 5, if(ISBLANK('2025'!$S107), 0, 1), 6, if(ISBLANK('2025'!$T107), 0, 1), 7, 0))), 1, "")</f>
        <v/>
      </c>
      <c r="AW109" s="1" t="str">
        <f>IF(AND(AND(AND(AW$4&gt;='2025'!$L107,AW$4&lt;='2025'!$M107), AW$4&lt;&gt;DATE(2025,7,4)), (SWITCH(weekday(AW$4), 1, 0, 2, if(ISBLANK('2025'!$P107), 0, 1), 3, if(ISBLANK('2025'!$Q107), 0, 1), 4, if(ISBLANK('2025'!$R107), 0, 1), 5, if(ISBLANK('2025'!$S107), 0, 1), 6, if(ISBLANK('2025'!$T107), 0, 1), 7, 0))), 1, "")</f>
        <v/>
      </c>
      <c r="AX109" s="1" t="str">
        <f>IF(AND(AND(AND(AX$4&gt;='2025'!$L107,AX$4&lt;='2025'!$M107), AX$4&lt;&gt;DATE(2025,7,4)), (SWITCH(weekday(AX$4), 1, 0, 2, if(ISBLANK('2025'!$P107), 0, 1), 3, if(ISBLANK('2025'!$Q107), 0, 1), 4, if(ISBLANK('2025'!$R107), 0, 1), 5, if(ISBLANK('2025'!$S107), 0, 1), 6, if(ISBLANK('2025'!$T107), 0, 1), 7, 0))), 1, "")</f>
        <v/>
      </c>
      <c r="AY109" s="1" t="str">
        <f>IF(AND(AND(AND(AY$4&gt;='2025'!$L107,AY$4&lt;='2025'!$M107), AY$4&lt;&gt;DATE(2025,7,4)), (SWITCH(weekday(AY$4), 1, 0, 2, if(ISBLANK('2025'!$P107), 0, 1), 3, if(ISBLANK('2025'!$Q107), 0, 1), 4, if(ISBLANK('2025'!$R107), 0, 1), 5, if(ISBLANK('2025'!$S107), 0, 1), 6, if(ISBLANK('2025'!$T107), 0, 1), 7, 0))), 1, "")</f>
        <v/>
      </c>
      <c r="AZ109" s="1" t="str">
        <f>IF(AND(AND(AND(AZ$4&gt;='2025'!$L107,AZ$4&lt;='2025'!$M107), AZ$4&lt;&gt;DATE(2025,7,4)), (SWITCH(weekday(AZ$4), 1, 0, 2, if(ISBLANK('2025'!$P107), 0, 1), 3, if(ISBLANK('2025'!$Q107), 0, 1), 4, if(ISBLANK('2025'!$R107), 0, 1), 5, if(ISBLANK('2025'!$S107), 0, 1), 6, if(ISBLANK('2025'!$T107), 0, 1), 7, 0))), 1, "")</f>
        <v/>
      </c>
      <c r="BA109" s="1" t="str">
        <f>IF(AND(AND(AND(BA$4&gt;='2025'!$L107,BA$4&lt;='2025'!$M107), BA$4&lt;&gt;DATE(2025,7,4)), (SWITCH(weekday(BA$4), 1, 0, 2, if(ISBLANK('2025'!$P107), 0, 1), 3, if(ISBLANK('2025'!$Q107), 0, 1), 4, if(ISBLANK('2025'!$R107), 0, 1), 5, if(ISBLANK('2025'!$S107), 0, 1), 6, if(ISBLANK('2025'!$T107), 0, 1), 7, 0))), 1, "")</f>
        <v/>
      </c>
      <c r="BB109" s="1" t="str">
        <f>IF(AND(AND(AND(BB$4&gt;='2025'!$L107,BB$4&lt;='2025'!$M107), BB$4&lt;&gt;DATE(2025,7,4)), (SWITCH(weekday(BB$4), 1, 0, 2, if(ISBLANK('2025'!$P107), 0, 1), 3, if(ISBLANK('2025'!$Q107), 0, 1), 4, if(ISBLANK('2025'!$R107), 0, 1), 5, if(ISBLANK('2025'!$S107), 0, 1), 6, if(ISBLANK('2025'!$T107), 0, 1), 7, 0))), 1, "")</f>
        <v/>
      </c>
      <c r="BC109" s="1" t="str">
        <f>IF(AND(AND(AND(BC$4&gt;='2025'!$L107,BC$4&lt;='2025'!$M107), BC$4&lt;&gt;DATE(2025,7,4)), (SWITCH(weekday(BC$4), 1, 0, 2, if(ISBLANK('2025'!$P107), 0, 1), 3, if(ISBLANK('2025'!$Q107), 0, 1), 4, if(ISBLANK('2025'!$R107), 0, 1), 5, if(ISBLANK('2025'!$S107), 0, 1), 6, if(ISBLANK('2025'!$T107), 0, 1), 7, 0))), 1, "")</f>
        <v/>
      </c>
      <c r="BD109" s="1" t="str">
        <f>IF(AND(AND(AND(BD$4&gt;='2025'!$L107,BD$4&lt;='2025'!$M107), BD$4&lt;&gt;DATE(2025,7,4)), (SWITCH(weekday(BD$4), 1, 0, 2, if(ISBLANK('2025'!$P107), 0, 1), 3, if(ISBLANK('2025'!$Q107), 0, 1), 4, if(ISBLANK('2025'!$R107), 0, 1), 5, if(ISBLANK('2025'!$S107), 0, 1), 6, if(ISBLANK('2025'!$T107), 0, 1), 7, 0))), 1, "")</f>
        <v/>
      </c>
      <c r="BE109" s="1" t="str">
        <f>IF(AND(AND(AND(BE$4&gt;='2025'!$L107,BE$4&lt;='2025'!$M107), BE$4&lt;&gt;DATE(2025,7,4)), (SWITCH(weekday(BE$4), 1, 0, 2, if(ISBLANK('2025'!$P107), 0, 1), 3, if(ISBLANK('2025'!$Q107), 0, 1), 4, if(ISBLANK('2025'!$R107), 0, 1), 5, if(ISBLANK('2025'!$S107), 0, 1), 6, if(ISBLANK('2025'!$T107), 0, 1), 7, 0))), 1, "")</f>
        <v/>
      </c>
      <c r="BF109" s="1" t="str">
        <f>IF(AND(AND(AND(BF$4&gt;='2025'!$L107,BF$4&lt;='2025'!$M107), BF$4&lt;&gt;DATE(2025,7,4)), (SWITCH(weekday(BF$4), 1, 0, 2, if(ISBLANK('2025'!$P107), 0, 1), 3, if(ISBLANK('2025'!$Q107), 0, 1), 4, if(ISBLANK('2025'!$R107), 0, 1), 5, if(ISBLANK('2025'!$S107), 0, 1), 6, if(ISBLANK('2025'!$T107), 0, 1), 7, 0))), 1, "")</f>
        <v/>
      </c>
      <c r="BG109" s="1"/>
      <c r="BH109" s="1"/>
      <c r="BI109" s="1"/>
      <c r="BJ109" s="1"/>
      <c r="BK109" s="1"/>
      <c r="BL109" s="1"/>
    </row>
    <row r="110">
      <c r="A110" s="1">
        <f t="shared" si="3"/>
        <v>110</v>
      </c>
      <c r="B110" s="1" t="str">
        <f>'2025'!D74</f>
        <v>, </v>
      </c>
      <c r="C110" s="1" t="str">
        <f>'2025'!H74</f>
        <v/>
      </c>
      <c r="D110" s="1" t="str">
        <f>IF(AND(AND(AND(D$4&gt;='2025'!$L108,D$4&lt;='2025'!$M108), D$4&lt;&gt;DATE(2025,7,4)), (SWITCH(weekday(D$4), 1, 0, 2, if(ISBLANK('2025'!$P108), 0, 1), 3, if(ISBLANK('2025'!$Q108), 0, 1), 4, if(ISBLANK('2025'!$R108), 0, 1), 5, if(ISBLANK('2025'!$S108), 0, 1), 6, if(ISBLANK('2025'!$T108), 0, 1), 7, 0))), 1, "")</f>
        <v/>
      </c>
      <c r="E110" s="1" t="str">
        <f>IF(AND(AND(AND(E$4&gt;='2025'!$L108,E$4&lt;='2025'!$M108), E$4&lt;&gt;DATE(2025,7,4)), (SWITCH(weekday(E$4), 1, 0, 2, if(ISBLANK('2025'!$P108), 0, 1), 3, if(ISBLANK('2025'!$Q108), 0, 1), 4, if(ISBLANK('2025'!$R108), 0, 1), 5, if(ISBLANK('2025'!$S108), 0, 1), 6, if(ISBLANK('2025'!$T108), 0, 1), 7, 0))), 1, "")</f>
        <v/>
      </c>
      <c r="F110" s="1" t="str">
        <f>IF(AND(AND(AND(F$4&gt;='2025'!$L108,F$4&lt;='2025'!$M108), F$4&lt;&gt;DATE(2025,7,4)), (SWITCH(weekday(F$4), 1, 0, 2, if(ISBLANK('2025'!$P108), 0, 1), 3, if(ISBLANK('2025'!$Q108), 0, 1), 4, if(ISBLANK('2025'!$R108), 0, 1), 5, if(ISBLANK('2025'!$S108), 0, 1), 6, if(ISBLANK('2025'!$T108), 0, 1), 7, 0))), 1, "")</f>
        <v/>
      </c>
      <c r="G110" s="1" t="str">
        <f>IF(AND(AND(AND(G$4&gt;='2025'!$L108,G$4&lt;='2025'!$M108), G$4&lt;&gt;DATE(2025,7,4)), (SWITCH(weekday(G$4), 1, 0, 2, if(ISBLANK('2025'!$P108), 0, 1), 3, if(ISBLANK('2025'!$Q108), 0, 1), 4, if(ISBLANK('2025'!$R108), 0, 1), 5, if(ISBLANK('2025'!$S108), 0, 1), 6, if(ISBLANK('2025'!$T108), 0, 1), 7, 0))), 1, "")</f>
        <v/>
      </c>
      <c r="H110" s="1" t="str">
        <f>IF(AND(AND(AND(H$4&gt;='2025'!$L108,H$4&lt;='2025'!$M108), H$4&lt;&gt;DATE(2025,7,4)), (SWITCH(weekday(H$4), 1, 0, 2, if(ISBLANK('2025'!$P108), 0, 1), 3, if(ISBLANK('2025'!$Q108), 0, 1), 4, if(ISBLANK('2025'!$R108), 0, 1), 5, if(ISBLANK('2025'!$S108), 0, 1), 6, if(ISBLANK('2025'!$T108), 0, 1), 7, 0))), 1, "")</f>
        <v/>
      </c>
      <c r="I110" s="1" t="str">
        <f>IF(AND(AND(AND(I$4&gt;='2025'!$L108,I$4&lt;='2025'!$M108), I$4&lt;&gt;DATE(2025,7,4)), (SWITCH(weekday(I$4), 1, 0, 2, if(ISBLANK('2025'!$P108), 0, 1), 3, if(ISBLANK('2025'!$Q108), 0, 1), 4, if(ISBLANK('2025'!$R108), 0, 1), 5, if(ISBLANK('2025'!$S108), 0, 1), 6, if(ISBLANK('2025'!$T108), 0, 1), 7, 0))), 1, "")</f>
        <v/>
      </c>
      <c r="J110" s="1" t="str">
        <f>IF(AND(AND(AND(J$4&gt;='2025'!$L108,J$4&lt;='2025'!$M108), J$4&lt;&gt;DATE(2025,7,4)), (SWITCH(weekday(J$4), 1, 0, 2, if(ISBLANK('2025'!$P108), 0, 1), 3, if(ISBLANK('2025'!$Q108), 0, 1), 4, if(ISBLANK('2025'!$R108), 0, 1), 5, if(ISBLANK('2025'!$S108), 0, 1), 6, if(ISBLANK('2025'!$T108), 0, 1), 7, 0))), 1, "")</f>
        <v/>
      </c>
      <c r="K110" s="1" t="str">
        <f>IF(AND(AND(AND(K$4&gt;='2025'!$L108,K$4&lt;='2025'!$M108), K$4&lt;&gt;DATE(2025,7,4)), (SWITCH(weekday(K$4), 1, 0, 2, if(ISBLANK('2025'!$P108), 0, 1), 3, if(ISBLANK('2025'!$Q108), 0, 1), 4, if(ISBLANK('2025'!$R108), 0, 1), 5, if(ISBLANK('2025'!$S108), 0, 1), 6, if(ISBLANK('2025'!$T108), 0, 1), 7, 0))), 1, "")</f>
        <v/>
      </c>
      <c r="L110" s="1" t="str">
        <f>IF(AND(AND(AND(L$4&gt;='2025'!$L108,L$4&lt;='2025'!$M108), L$4&lt;&gt;DATE(2025,7,4)), (SWITCH(weekday(L$4), 1, 0, 2, if(ISBLANK('2025'!$P108), 0, 1), 3, if(ISBLANK('2025'!$Q108), 0, 1), 4, if(ISBLANK('2025'!$R108), 0, 1), 5, if(ISBLANK('2025'!$S108), 0, 1), 6, if(ISBLANK('2025'!$T108), 0, 1), 7, 0))), 1, "")</f>
        <v/>
      </c>
      <c r="M110" s="1" t="str">
        <f>IF(AND(AND(AND(M$4&gt;='2025'!$L108,M$4&lt;='2025'!$M108), M$4&lt;&gt;DATE(2025,7,4)), (SWITCH(weekday(M$4), 1, 0, 2, if(ISBLANK('2025'!$P108), 0, 1), 3, if(ISBLANK('2025'!$Q108), 0, 1), 4, if(ISBLANK('2025'!$R108), 0, 1), 5, if(ISBLANK('2025'!$S108), 0, 1), 6, if(ISBLANK('2025'!$T108), 0, 1), 7, 0))), 1, "")</f>
        <v/>
      </c>
      <c r="N110" s="1" t="str">
        <f>IF(AND(AND(AND(N$4&gt;='2025'!$L108,N$4&lt;='2025'!$M108), N$4&lt;&gt;DATE(2025,7,4)), (SWITCH(weekday(N$4), 1, 0, 2, if(ISBLANK('2025'!$P108), 0, 1), 3, if(ISBLANK('2025'!$Q108), 0, 1), 4, if(ISBLANK('2025'!$R108), 0, 1), 5, if(ISBLANK('2025'!$S108), 0, 1), 6, if(ISBLANK('2025'!$T108), 0, 1), 7, 0))), 1, "")</f>
        <v/>
      </c>
      <c r="O110" s="1" t="str">
        <f>IF(AND(AND(AND(O$4&gt;='2025'!$L108,O$4&lt;='2025'!$M108), O$4&lt;&gt;DATE(2025,7,4)), (SWITCH(weekday(O$4), 1, 0, 2, if(ISBLANK('2025'!$P108), 0, 1), 3, if(ISBLANK('2025'!$Q108), 0, 1), 4, if(ISBLANK('2025'!$R108), 0, 1), 5, if(ISBLANK('2025'!$S108), 0, 1), 6, if(ISBLANK('2025'!$T108), 0, 1), 7, 0))), 1, "")</f>
        <v/>
      </c>
      <c r="P110" s="1" t="str">
        <f>IF(AND(AND(AND(P$4&gt;='2025'!$L108,P$4&lt;='2025'!$M108), P$4&lt;&gt;DATE(2025,7,4)), (SWITCH(weekday(P$4), 1, 0, 2, if(ISBLANK('2025'!$P108), 0, 1), 3, if(ISBLANK('2025'!$Q108), 0, 1), 4, if(ISBLANK('2025'!$R108), 0, 1), 5, if(ISBLANK('2025'!$S108), 0, 1), 6, if(ISBLANK('2025'!$T108), 0, 1), 7, 0))), 1, "")</f>
        <v/>
      </c>
      <c r="Q110" s="1" t="str">
        <f>IF(AND(AND(AND(Q$4&gt;='2025'!$L108,Q$4&lt;='2025'!$M108), Q$4&lt;&gt;DATE(2025,7,4)), (SWITCH(weekday(Q$4), 1, 0, 2, if(ISBLANK('2025'!$P108), 0, 1), 3, if(ISBLANK('2025'!$Q108), 0, 1), 4, if(ISBLANK('2025'!$R108), 0, 1), 5, if(ISBLANK('2025'!$S108), 0, 1), 6, if(ISBLANK('2025'!$T108), 0, 1), 7, 0))), 1, "")</f>
        <v/>
      </c>
      <c r="R110" s="1" t="str">
        <f>IF(AND(AND(AND(R$4&gt;='2025'!$L108,R$4&lt;='2025'!$M108), R$4&lt;&gt;DATE(2025,7,4)), (SWITCH(weekday(R$4), 1, 0, 2, if(ISBLANK('2025'!$P108), 0, 1), 3, if(ISBLANK('2025'!$Q108), 0, 1), 4, if(ISBLANK('2025'!$R108), 0, 1), 5, if(ISBLANK('2025'!$S108), 0, 1), 6, if(ISBLANK('2025'!$T108), 0, 1), 7, 0))), 1, "")</f>
        <v/>
      </c>
      <c r="S110" s="1" t="str">
        <f>IF(AND(AND(AND(S$4&gt;='2025'!$L108,S$4&lt;='2025'!$M108), S$4&lt;&gt;DATE(2025,7,4)), (SWITCH(weekday(S$4), 1, 0, 2, if(ISBLANK('2025'!$P108), 0, 1), 3, if(ISBLANK('2025'!$Q108), 0, 1), 4, if(ISBLANK('2025'!$R108), 0, 1), 5, if(ISBLANK('2025'!$S108), 0, 1), 6, if(ISBLANK('2025'!$T108), 0, 1), 7, 0))), 1, "")</f>
        <v/>
      </c>
      <c r="T110" s="1" t="str">
        <f>IF(AND(AND(AND(T$4&gt;='2025'!$L108,T$4&lt;='2025'!$M108), T$4&lt;&gt;DATE(2025,7,4)), (SWITCH(weekday(T$4), 1, 0, 2, if(ISBLANK('2025'!$P108), 0, 1), 3, if(ISBLANK('2025'!$Q108), 0, 1), 4, if(ISBLANK('2025'!$R108), 0, 1), 5, if(ISBLANK('2025'!$S108), 0, 1), 6, if(ISBLANK('2025'!$T108), 0, 1), 7, 0))), 1, "")</f>
        <v/>
      </c>
      <c r="U110" s="1" t="str">
        <f>IF(AND(AND(AND(U$4&gt;='2025'!$L108,U$4&lt;='2025'!$M108), U$4&lt;&gt;DATE(2025,7,4)), (SWITCH(weekday(U$4), 1, 0, 2, if(ISBLANK('2025'!$P108), 0, 1), 3, if(ISBLANK('2025'!$Q108), 0, 1), 4, if(ISBLANK('2025'!$R108), 0, 1), 5, if(ISBLANK('2025'!$S108), 0, 1), 6, if(ISBLANK('2025'!$T108), 0, 1), 7, 0))), 1, "")</f>
        <v/>
      </c>
      <c r="V110" s="1" t="str">
        <f>IF(AND(AND(AND(V$4&gt;='2025'!$L108,V$4&lt;='2025'!$M108), V$4&lt;&gt;DATE(2025,7,4)), (SWITCH(weekday(V$4), 1, 0, 2, if(ISBLANK('2025'!$P108), 0, 1), 3, if(ISBLANK('2025'!$Q108), 0, 1), 4, if(ISBLANK('2025'!$R108), 0, 1), 5, if(ISBLANK('2025'!$S108), 0, 1), 6, if(ISBLANK('2025'!$T108), 0, 1), 7, 0))), 1, "")</f>
        <v/>
      </c>
      <c r="W110" s="1" t="str">
        <f>IF(AND(AND(AND(W$4&gt;='2025'!$L108,W$4&lt;='2025'!$M108), W$4&lt;&gt;DATE(2025,7,4)), (SWITCH(weekday(W$4), 1, 0, 2, if(ISBLANK('2025'!$P108), 0, 1), 3, if(ISBLANK('2025'!$Q108), 0, 1), 4, if(ISBLANK('2025'!$R108), 0, 1), 5, if(ISBLANK('2025'!$S108), 0, 1), 6, if(ISBLANK('2025'!$T108), 0, 1), 7, 0))), 1, "")</f>
        <v/>
      </c>
      <c r="X110" s="1" t="str">
        <f>IF(AND(AND(AND(X$4&gt;='2025'!$L108,X$4&lt;='2025'!$M108), X$4&lt;&gt;DATE(2025,7,4)), (SWITCH(weekday(X$4), 1, 0, 2, if(ISBLANK('2025'!$P108), 0, 1), 3, if(ISBLANK('2025'!$Q108), 0, 1), 4, if(ISBLANK('2025'!$R108), 0, 1), 5, if(ISBLANK('2025'!$S108), 0, 1), 6, if(ISBLANK('2025'!$T108), 0, 1), 7, 0))), 1, "")</f>
        <v/>
      </c>
      <c r="Y110" s="1" t="str">
        <f>IF(AND(AND(AND(Y$4&gt;='2025'!$L108,Y$4&lt;='2025'!$M108), Y$4&lt;&gt;DATE(2025,7,4)), (SWITCH(weekday(Y$4), 1, 0, 2, if(ISBLANK('2025'!$P108), 0, 1), 3, if(ISBLANK('2025'!$Q108), 0, 1), 4, if(ISBLANK('2025'!$R108), 0, 1), 5, if(ISBLANK('2025'!$S108), 0, 1), 6, if(ISBLANK('2025'!$T108), 0, 1), 7, 0))), 1, "")</f>
        <v/>
      </c>
      <c r="Z110" s="1" t="str">
        <f>IF(AND(AND(AND(Z$4&gt;='2025'!$L108,Z$4&lt;='2025'!$M108), Z$4&lt;&gt;DATE(2025,7,4)), (SWITCH(weekday(Z$4), 1, 0, 2, if(ISBLANK('2025'!$P108), 0, 1), 3, if(ISBLANK('2025'!$Q108), 0, 1), 4, if(ISBLANK('2025'!$R108), 0, 1), 5, if(ISBLANK('2025'!$S108), 0, 1), 6, if(ISBLANK('2025'!$T108), 0, 1), 7, 0))), 1, "")</f>
        <v/>
      </c>
      <c r="AA110" s="1" t="str">
        <f>IF(AND(AND(AND(AA$4&gt;='2025'!$L108,AA$4&lt;='2025'!$M108), AA$4&lt;&gt;DATE(2025,7,4)), (SWITCH(weekday(AA$4), 1, 0, 2, if(ISBLANK('2025'!$P108), 0, 1), 3, if(ISBLANK('2025'!$Q108), 0, 1), 4, if(ISBLANK('2025'!$R108), 0, 1), 5, if(ISBLANK('2025'!$S108), 0, 1), 6, if(ISBLANK('2025'!$T108), 0, 1), 7, 0))), 1, "")</f>
        <v/>
      </c>
      <c r="AB110" s="1" t="str">
        <f>IF(AND(AND(AND(AB$4&gt;='2025'!$L108,AB$4&lt;='2025'!$M108), AB$4&lt;&gt;DATE(2025,7,4)), (SWITCH(weekday(AB$4), 1, 0, 2, if(ISBLANK('2025'!$P108), 0, 1), 3, if(ISBLANK('2025'!$Q108), 0, 1), 4, if(ISBLANK('2025'!$R108), 0, 1), 5, if(ISBLANK('2025'!$S108), 0, 1), 6, if(ISBLANK('2025'!$T108), 0, 1), 7, 0))), 1, "")</f>
        <v/>
      </c>
      <c r="AC110" s="1" t="str">
        <f>IF(AND(AND(AND(AC$4&gt;='2025'!$L108,AC$4&lt;='2025'!$M108), AC$4&lt;&gt;DATE(2025,7,4)), (SWITCH(weekday(AC$4), 1, 0, 2, if(ISBLANK('2025'!$P108), 0, 1), 3, if(ISBLANK('2025'!$Q108), 0, 1), 4, if(ISBLANK('2025'!$R108), 0, 1), 5, if(ISBLANK('2025'!$S108), 0, 1), 6, if(ISBLANK('2025'!$T108), 0, 1), 7, 0))), 1, "")</f>
        <v/>
      </c>
      <c r="AD110" s="1" t="str">
        <f>IF(AND(AND(AND(AD$4&gt;='2025'!$L108,AD$4&lt;='2025'!$M108), AD$4&lt;&gt;DATE(2025,7,4)), (SWITCH(weekday(AD$4), 1, 0, 2, if(ISBLANK('2025'!$P108), 0, 1), 3, if(ISBLANK('2025'!$Q108), 0, 1), 4, if(ISBLANK('2025'!$R108), 0, 1), 5, if(ISBLANK('2025'!$S108), 0, 1), 6, if(ISBLANK('2025'!$T108), 0, 1), 7, 0))), 1, "")</f>
        <v/>
      </c>
      <c r="AE110" s="1" t="str">
        <f>IF(AND(AND(AND(AE$4&gt;='2025'!$L108,AE$4&lt;='2025'!$M108), AE$4&lt;&gt;DATE(2025,7,4)), (SWITCH(weekday(AE$4), 1, 0, 2, if(ISBLANK('2025'!$P108), 0, 1), 3, if(ISBLANK('2025'!$Q108), 0, 1), 4, if(ISBLANK('2025'!$R108), 0, 1), 5, if(ISBLANK('2025'!$S108), 0, 1), 6, if(ISBLANK('2025'!$T108), 0, 1), 7, 0))), 1, "")</f>
        <v/>
      </c>
      <c r="AF110" s="1" t="str">
        <f>IF(AND(AND(AND(AF$4&gt;='2025'!$L108,AF$4&lt;='2025'!$M108), AF$4&lt;&gt;DATE(2025,7,4)), (SWITCH(weekday(AF$4), 1, 0, 2, if(ISBLANK('2025'!$P108), 0, 1), 3, if(ISBLANK('2025'!$Q108), 0, 1), 4, if(ISBLANK('2025'!$R108), 0, 1), 5, if(ISBLANK('2025'!$S108), 0, 1), 6, if(ISBLANK('2025'!$T108), 0, 1), 7, 0))), 1, "")</f>
        <v/>
      </c>
      <c r="AG110" s="1" t="str">
        <f>IF(AND(AND(AND(AG$4&gt;='2025'!$L108,AG$4&lt;='2025'!$M108), AG$4&lt;&gt;DATE(2025,7,4)), (SWITCH(weekday(AG$4), 1, 0, 2, if(ISBLANK('2025'!$P108), 0, 1), 3, if(ISBLANK('2025'!$Q108), 0, 1), 4, if(ISBLANK('2025'!$R108), 0, 1), 5, if(ISBLANK('2025'!$S108), 0, 1), 6, if(ISBLANK('2025'!$T108), 0, 1), 7, 0))), 1, "")</f>
        <v/>
      </c>
      <c r="AH110" s="1" t="str">
        <f>IF(AND(AND(AND(AH$4&gt;='2025'!$L108,AH$4&lt;='2025'!$M108), AH$4&lt;&gt;DATE(2025,7,4)), (SWITCH(weekday(AH$4), 1, 0, 2, if(ISBLANK('2025'!$P108), 0, 1), 3, if(ISBLANK('2025'!$Q108), 0, 1), 4, if(ISBLANK('2025'!$R108), 0, 1), 5, if(ISBLANK('2025'!$S108), 0, 1), 6, if(ISBLANK('2025'!$T108), 0, 1), 7, 0))), 1, "")</f>
        <v/>
      </c>
      <c r="AI110" s="1" t="str">
        <f>IF(AND(AND(AND(AI$4&gt;='2025'!$L108,AI$4&lt;='2025'!$M108), AI$4&lt;&gt;DATE(2025,7,4)), (SWITCH(weekday(AI$4), 1, 0, 2, if(ISBLANK('2025'!$P108), 0, 1), 3, if(ISBLANK('2025'!$Q108), 0, 1), 4, if(ISBLANK('2025'!$R108), 0, 1), 5, if(ISBLANK('2025'!$S108), 0, 1), 6, if(ISBLANK('2025'!$T108), 0, 1), 7, 0))), 1, "")</f>
        <v/>
      </c>
      <c r="AJ110" s="1" t="str">
        <f>IF(AND(AND(AND(AJ$4&gt;='2025'!$L108,AJ$4&lt;='2025'!$M108), AJ$4&lt;&gt;DATE(2025,7,4)), (SWITCH(weekday(AJ$4), 1, 0, 2, if(ISBLANK('2025'!$P108), 0, 1), 3, if(ISBLANK('2025'!$Q108), 0, 1), 4, if(ISBLANK('2025'!$R108), 0, 1), 5, if(ISBLANK('2025'!$S108), 0, 1), 6, if(ISBLANK('2025'!$T108), 0, 1), 7, 0))), 1, "")</f>
        <v/>
      </c>
      <c r="AK110" s="1" t="str">
        <f>IF(AND(AND(AND(AK$4&gt;='2025'!$L108,AK$4&lt;='2025'!$M108), AK$4&lt;&gt;DATE(2025,7,4)), (SWITCH(weekday(AK$4), 1, 0, 2, if(ISBLANK('2025'!$P108), 0, 1), 3, if(ISBLANK('2025'!$Q108), 0, 1), 4, if(ISBLANK('2025'!$R108), 0, 1), 5, if(ISBLANK('2025'!$S108), 0, 1), 6, if(ISBLANK('2025'!$T108), 0, 1), 7, 0))), 1, "")</f>
        <v/>
      </c>
      <c r="AL110" s="1" t="str">
        <f>IF(AND(AND(AND(AL$4&gt;='2025'!$L108,AL$4&lt;='2025'!$M108), AL$4&lt;&gt;DATE(2025,7,4)), (SWITCH(weekday(AL$4), 1, 0, 2, if(ISBLANK('2025'!$P108), 0, 1), 3, if(ISBLANK('2025'!$Q108), 0, 1), 4, if(ISBLANK('2025'!$R108), 0, 1), 5, if(ISBLANK('2025'!$S108), 0, 1), 6, if(ISBLANK('2025'!$T108), 0, 1), 7, 0))), 1, "")</f>
        <v/>
      </c>
      <c r="AM110" s="1" t="str">
        <f>IF(AND(AND(AND(AM$4&gt;='2025'!$L108,AM$4&lt;='2025'!$M108), AM$4&lt;&gt;DATE(2025,7,4)), (SWITCH(weekday(AM$4), 1, 0, 2, if(ISBLANK('2025'!$P108), 0, 1), 3, if(ISBLANK('2025'!$Q108), 0, 1), 4, if(ISBLANK('2025'!$R108), 0, 1), 5, if(ISBLANK('2025'!$S108), 0, 1), 6, if(ISBLANK('2025'!$T108), 0, 1), 7, 0))), 1, "")</f>
        <v/>
      </c>
      <c r="AN110" s="1" t="str">
        <f>IF(AND(AND(AND(AN$4&gt;='2025'!$L108,AN$4&lt;='2025'!$M108), AN$4&lt;&gt;DATE(2025,7,4)), (SWITCH(weekday(AN$4), 1, 0, 2, if(ISBLANK('2025'!$P108), 0, 1), 3, if(ISBLANK('2025'!$Q108), 0, 1), 4, if(ISBLANK('2025'!$R108), 0, 1), 5, if(ISBLANK('2025'!$S108), 0, 1), 6, if(ISBLANK('2025'!$T108), 0, 1), 7, 0))), 1, "")</f>
        <v/>
      </c>
      <c r="AO110" s="1" t="str">
        <f>IF(AND(AND(AND(AO$4&gt;='2025'!$L108,AO$4&lt;='2025'!$M108), AO$4&lt;&gt;DATE(2025,7,4)), (SWITCH(weekday(AO$4), 1, 0, 2, if(ISBLANK('2025'!$P108), 0, 1), 3, if(ISBLANK('2025'!$Q108), 0, 1), 4, if(ISBLANK('2025'!$R108), 0, 1), 5, if(ISBLANK('2025'!$S108), 0, 1), 6, if(ISBLANK('2025'!$T108), 0, 1), 7, 0))), 1, "")</f>
        <v/>
      </c>
      <c r="AP110" s="1" t="str">
        <f>IF(AND(AND(AND(AP$4&gt;='2025'!$L108,AP$4&lt;='2025'!$M108), AP$4&lt;&gt;DATE(2025,7,4)), (SWITCH(weekday(AP$4), 1, 0, 2, if(ISBLANK('2025'!$P108), 0, 1), 3, if(ISBLANK('2025'!$Q108), 0, 1), 4, if(ISBLANK('2025'!$R108), 0, 1), 5, if(ISBLANK('2025'!$S108), 0, 1), 6, if(ISBLANK('2025'!$T108), 0, 1), 7, 0))), 1, "")</f>
        <v/>
      </c>
      <c r="AQ110" s="1" t="str">
        <f>IF(AND(AND(AND(AQ$4&gt;='2025'!$L108,AQ$4&lt;='2025'!$M108), AQ$4&lt;&gt;DATE(2025,7,4)), (SWITCH(weekday(AQ$4), 1, 0, 2, if(ISBLANK('2025'!$P108), 0, 1), 3, if(ISBLANK('2025'!$Q108), 0, 1), 4, if(ISBLANK('2025'!$R108), 0, 1), 5, if(ISBLANK('2025'!$S108), 0, 1), 6, if(ISBLANK('2025'!$T108), 0, 1), 7, 0))), 1, "")</f>
        <v/>
      </c>
      <c r="AR110" s="1" t="str">
        <f>IF(AND(AND(AND(AR$4&gt;='2025'!$L108,AR$4&lt;='2025'!$M108), AR$4&lt;&gt;DATE(2025,7,4)), (SWITCH(weekday(AR$4), 1, 0, 2, if(ISBLANK('2025'!$P108), 0, 1), 3, if(ISBLANK('2025'!$Q108), 0, 1), 4, if(ISBLANK('2025'!$R108), 0, 1), 5, if(ISBLANK('2025'!$S108), 0, 1), 6, if(ISBLANK('2025'!$T108), 0, 1), 7, 0))), 1, "")</f>
        <v/>
      </c>
      <c r="AS110" s="1" t="str">
        <f>IF(AND(AND(AND(AS$4&gt;='2025'!$L108,AS$4&lt;='2025'!$M108), AS$4&lt;&gt;DATE(2025,7,4)), (SWITCH(weekday(AS$4), 1, 0, 2, if(ISBLANK('2025'!$P108), 0, 1), 3, if(ISBLANK('2025'!$Q108), 0, 1), 4, if(ISBLANK('2025'!$R108), 0, 1), 5, if(ISBLANK('2025'!$S108), 0, 1), 6, if(ISBLANK('2025'!$T108), 0, 1), 7, 0))), 1, "")</f>
        <v/>
      </c>
      <c r="AT110" s="1" t="str">
        <f>IF(AND(AND(AND(AT$4&gt;='2025'!$L108,AT$4&lt;='2025'!$M108), AT$4&lt;&gt;DATE(2025,7,4)), (SWITCH(weekday(AT$4), 1, 0, 2, if(ISBLANK('2025'!$P108), 0, 1), 3, if(ISBLANK('2025'!$Q108), 0, 1), 4, if(ISBLANK('2025'!$R108), 0, 1), 5, if(ISBLANK('2025'!$S108), 0, 1), 6, if(ISBLANK('2025'!$T108), 0, 1), 7, 0))), 1, "")</f>
        <v/>
      </c>
      <c r="AU110" s="1" t="str">
        <f>IF(AND(AND(AND(AU$4&gt;='2025'!$L108,AU$4&lt;='2025'!$M108), AU$4&lt;&gt;DATE(2025,7,4)), (SWITCH(weekday(AU$4), 1, 0, 2, if(ISBLANK('2025'!$P108), 0, 1), 3, if(ISBLANK('2025'!$Q108), 0, 1), 4, if(ISBLANK('2025'!$R108), 0, 1), 5, if(ISBLANK('2025'!$S108), 0, 1), 6, if(ISBLANK('2025'!$T108), 0, 1), 7, 0))), 1, "")</f>
        <v/>
      </c>
      <c r="AV110" s="1" t="str">
        <f>IF(AND(AND(AND(AV$4&gt;='2025'!$L108,AV$4&lt;='2025'!$M108), AV$4&lt;&gt;DATE(2025,7,4)), (SWITCH(weekday(AV$4), 1, 0, 2, if(ISBLANK('2025'!$P108), 0, 1), 3, if(ISBLANK('2025'!$Q108), 0, 1), 4, if(ISBLANK('2025'!$R108), 0, 1), 5, if(ISBLANK('2025'!$S108), 0, 1), 6, if(ISBLANK('2025'!$T108), 0, 1), 7, 0))), 1, "")</f>
        <v/>
      </c>
      <c r="AW110" s="1" t="str">
        <f>IF(AND(AND(AND(AW$4&gt;='2025'!$L108,AW$4&lt;='2025'!$M108), AW$4&lt;&gt;DATE(2025,7,4)), (SWITCH(weekday(AW$4), 1, 0, 2, if(ISBLANK('2025'!$P108), 0, 1), 3, if(ISBLANK('2025'!$Q108), 0, 1), 4, if(ISBLANK('2025'!$R108), 0, 1), 5, if(ISBLANK('2025'!$S108), 0, 1), 6, if(ISBLANK('2025'!$T108), 0, 1), 7, 0))), 1, "")</f>
        <v/>
      </c>
      <c r="AX110" s="1" t="str">
        <f>IF(AND(AND(AND(AX$4&gt;='2025'!$L108,AX$4&lt;='2025'!$M108), AX$4&lt;&gt;DATE(2025,7,4)), (SWITCH(weekday(AX$4), 1, 0, 2, if(ISBLANK('2025'!$P108), 0, 1), 3, if(ISBLANK('2025'!$Q108), 0, 1), 4, if(ISBLANK('2025'!$R108), 0, 1), 5, if(ISBLANK('2025'!$S108), 0, 1), 6, if(ISBLANK('2025'!$T108), 0, 1), 7, 0))), 1, "")</f>
        <v/>
      </c>
      <c r="AY110" s="1" t="str">
        <f>IF(AND(AND(AND(AY$4&gt;='2025'!$L108,AY$4&lt;='2025'!$M108), AY$4&lt;&gt;DATE(2025,7,4)), (SWITCH(weekday(AY$4), 1, 0, 2, if(ISBLANK('2025'!$P108), 0, 1), 3, if(ISBLANK('2025'!$Q108), 0, 1), 4, if(ISBLANK('2025'!$R108), 0, 1), 5, if(ISBLANK('2025'!$S108), 0, 1), 6, if(ISBLANK('2025'!$T108), 0, 1), 7, 0))), 1, "")</f>
        <v/>
      </c>
      <c r="AZ110" s="1" t="str">
        <f>IF(AND(AND(AND(AZ$4&gt;='2025'!$L108,AZ$4&lt;='2025'!$M108), AZ$4&lt;&gt;DATE(2025,7,4)), (SWITCH(weekday(AZ$4), 1, 0, 2, if(ISBLANK('2025'!$P108), 0, 1), 3, if(ISBLANK('2025'!$Q108), 0, 1), 4, if(ISBLANK('2025'!$R108), 0, 1), 5, if(ISBLANK('2025'!$S108), 0, 1), 6, if(ISBLANK('2025'!$T108), 0, 1), 7, 0))), 1, "")</f>
        <v/>
      </c>
      <c r="BA110" s="1" t="str">
        <f>IF(AND(AND(AND(BA$4&gt;='2025'!$L108,BA$4&lt;='2025'!$M108), BA$4&lt;&gt;DATE(2025,7,4)), (SWITCH(weekday(BA$4), 1, 0, 2, if(ISBLANK('2025'!$P108), 0, 1), 3, if(ISBLANK('2025'!$Q108), 0, 1), 4, if(ISBLANK('2025'!$R108), 0, 1), 5, if(ISBLANK('2025'!$S108), 0, 1), 6, if(ISBLANK('2025'!$T108), 0, 1), 7, 0))), 1, "")</f>
        <v/>
      </c>
      <c r="BB110" s="1" t="str">
        <f>IF(AND(AND(AND(BB$4&gt;='2025'!$L108,BB$4&lt;='2025'!$M108), BB$4&lt;&gt;DATE(2025,7,4)), (SWITCH(weekday(BB$4), 1, 0, 2, if(ISBLANK('2025'!$P108), 0, 1), 3, if(ISBLANK('2025'!$Q108), 0, 1), 4, if(ISBLANK('2025'!$R108), 0, 1), 5, if(ISBLANK('2025'!$S108), 0, 1), 6, if(ISBLANK('2025'!$T108), 0, 1), 7, 0))), 1, "")</f>
        <v/>
      </c>
      <c r="BC110" s="1" t="str">
        <f>IF(AND(AND(AND(BC$4&gt;='2025'!$L108,BC$4&lt;='2025'!$M108), BC$4&lt;&gt;DATE(2025,7,4)), (SWITCH(weekday(BC$4), 1, 0, 2, if(ISBLANK('2025'!$P108), 0, 1), 3, if(ISBLANK('2025'!$Q108), 0, 1), 4, if(ISBLANK('2025'!$R108), 0, 1), 5, if(ISBLANK('2025'!$S108), 0, 1), 6, if(ISBLANK('2025'!$T108), 0, 1), 7, 0))), 1, "")</f>
        <v/>
      </c>
      <c r="BD110" s="1" t="str">
        <f>IF(AND(AND(AND(BD$4&gt;='2025'!$L108,BD$4&lt;='2025'!$M108), BD$4&lt;&gt;DATE(2025,7,4)), (SWITCH(weekday(BD$4), 1, 0, 2, if(ISBLANK('2025'!$P108), 0, 1), 3, if(ISBLANK('2025'!$Q108), 0, 1), 4, if(ISBLANK('2025'!$R108), 0, 1), 5, if(ISBLANK('2025'!$S108), 0, 1), 6, if(ISBLANK('2025'!$T108), 0, 1), 7, 0))), 1, "")</f>
        <v/>
      </c>
      <c r="BE110" s="1" t="str">
        <f>IF(AND(AND(AND(BE$4&gt;='2025'!$L108,BE$4&lt;='2025'!$M108), BE$4&lt;&gt;DATE(2025,7,4)), (SWITCH(weekday(BE$4), 1, 0, 2, if(ISBLANK('2025'!$P108), 0, 1), 3, if(ISBLANK('2025'!$Q108), 0, 1), 4, if(ISBLANK('2025'!$R108), 0, 1), 5, if(ISBLANK('2025'!$S108), 0, 1), 6, if(ISBLANK('2025'!$T108), 0, 1), 7, 0))), 1, "")</f>
        <v/>
      </c>
      <c r="BF110" s="1" t="str">
        <f>IF(AND(AND(AND(BF$4&gt;='2025'!$L108,BF$4&lt;='2025'!$M108), BF$4&lt;&gt;DATE(2025,7,4)), (SWITCH(weekday(BF$4), 1, 0, 2, if(ISBLANK('2025'!$P108), 0, 1), 3, if(ISBLANK('2025'!$Q108), 0, 1), 4, if(ISBLANK('2025'!$R108), 0, 1), 5, if(ISBLANK('2025'!$S108), 0, 1), 6, if(ISBLANK('2025'!$T108), 0, 1), 7, 0))), 1, "")</f>
        <v/>
      </c>
      <c r="BG110" s="1"/>
      <c r="BH110" s="1"/>
      <c r="BI110" s="1"/>
      <c r="BJ110" s="1"/>
      <c r="BK110" s="1"/>
      <c r="BL110" s="1"/>
    </row>
    <row r="111">
      <c r="A111" s="1">
        <f t="shared" si="3"/>
        <v>111</v>
      </c>
      <c r="B111" s="1" t="str">
        <f>'2025'!D75</f>
        <v>, </v>
      </c>
      <c r="C111" s="1" t="str">
        <f>'2025'!H75</f>
        <v/>
      </c>
      <c r="D111" s="1" t="str">
        <f>IF(AND(AND(AND(D$4&gt;='2025'!$L109,D$4&lt;='2025'!$M109), D$4&lt;&gt;DATE(2025,7,4)), (SWITCH(weekday(D$4), 1, 0, 2, if(ISBLANK('2025'!$P109), 0, 1), 3, if(ISBLANK('2025'!$Q109), 0, 1), 4, if(ISBLANK('2025'!$R109), 0, 1), 5, if(ISBLANK('2025'!$S109), 0, 1), 6, if(ISBLANK('2025'!$T109), 0, 1), 7, 0))), 1, "")</f>
        <v/>
      </c>
      <c r="E111" s="1" t="str">
        <f>IF(AND(AND(AND(E$4&gt;='2025'!$L109,E$4&lt;='2025'!$M109), E$4&lt;&gt;DATE(2025,7,4)), (SWITCH(weekday(E$4), 1, 0, 2, if(ISBLANK('2025'!$P109), 0, 1), 3, if(ISBLANK('2025'!$Q109), 0, 1), 4, if(ISBLANK('2025'!$R109), 0, 1), 5, if(ISBLANK('2025'!$S109), 0, 1), 6, if(ISBLANK('2025'!$T109), 0, 1), 7, 0))), 1, "")</f>
        <v/>
      </c>
      <c r="F111" s="1" t="str">
        <f>IF(AND(AND(AND(F$4&gt;='2025'!$L109,F$4&lt;='2025'!$M109), F$4&lt;&gt;DATE(2025,7,4)), (SWITCH(weekday(F$4), 1, 0, 2, if(ISBLANK('2025'!$P109), 0, 1), 3, if(ISBLANK('2025'!$Q109), 0, 1), 4, if(ISBLANK('2025'!$R109), 0, 1), 5, if(ISBLANK('2025'!$S109), 0, 1), 6, if(ISBLANK('2025'!$T109), 0, 1), 7, 0))), 1, "")</f>
        <v/>
      </c>
      <c r="G111" s="1" t="str">
        <f>IF(AND(AND(AND(G$4&gt;='2025'!$L109,G$4&lt;='2025'!$M109), G$4&lt;&gt;DATE(2025,7,4)), (SWITCH(weekday(G$4), 1, 0, 2, if(ISBLANK('2025'!$P109), 0, 1), 3, if(ISBLANK('2025'!$Q109), 0, 1), 4, if(ISBLANK('2025'!$R109), 0, 1), 5, if(ISBLANK('2025'!$S109), 0, 1), 6, if(ISBLANK('2025'!$T109), 0, 1), 7, 0))), 1, "")</f>
        <v/>
      </c>
      <c r="H111" s="1" t="str">
        <f>IF(AND(AND(AND(H$4&gt;='2025'!$L109,H$4&lt;='2025'!$M109), H$4&lt;&gt;DATE(2025,7,4)), (SWITCH(weekday(H$4), 1, 0, 2, if(ISBLANK('2025'!$P109), 0, 1), 3, if(ISBLANK('2025'!$Q109), 0, 1), 4, if(ISBLANK('2025'!$R109), 0, 1), 5, if(ISBLANK('2025'!$S109), 0, 1), 6, if(ISBLANK('2025'!$T109), 0, 1), 7, 0))), 1, "")</f>
        <v/>
      </c>
      <c r="I111" s="1" t="str">
        <f>IF(AND(AND(AND(I$4&gt;='2025'!$L109,I$4&lt;='2025'!$M109), I$4&lt;&gt;DATE(2025,7,4)), (SWITCH(weekday(I$4), 1, 0, 2, if(ISBLANK('2025'!$P109), 0, 1), 3, if(ISBLANK('2025'!$Q109), 0, 1), 4, if(ISBLANK('2025'!$R109), 0, 1), 5, if(ISBLANK('2025'!$S109), 0, 1), 6, if(ISBLANK('2025'!$T109), 0, 1), 7, 0))), 1, "")</f>
        <v/>
      </c>
      <c r="J111" s="1" t="str">
        <f>IF(AND(AND(AND(J$4&gt;='2025'!$L109,J$4&lt;='2025'!$M109), J$4&lt;&gt;DATE(2025,7,4)), (SWITCH(weekday(J$4), 1, 0, 2, if(ISBLANK('2025'!$P109), 0, 1), 3, if(ISBLANK('2025'!$Q109), 0, 1), 4, if(ISBLANK('2025'!$R109), 0, 1), 5, if(ISBLANK('2025'!$S109), 0, 1), 6, if(ISBLANK('2025'!$T109), 0, 1), 7, 0))), 1, "")</f>
        <v/>
      </c>
      <c r="K111" s="1" t="str">
        <f>IF(AND(AND(AND(K$4&gt;='2025'!$L109,K$4&lt;='2025'!$M109), K$4&lt;&gt;DATE(2025,7,4)), (SWITCH(weekday(K$4), 1, 0, 2, if(ISBLANK('2025'!$P109), 0, 1), 3, if(ISBLANK('2025'!$Q109), 0, 1), 4, if(ISBLANK('2025'!$R109), 0, 1), 5, if(ISBLANK('2025'!$S109), 0, 1), 6, if(ISBLANK('2025'!$T109), 0, 1), 7, 0))), 1, "")</f>
        <v/>
      </c>
      <c r="L111" s="1" t="str">
        <f>IF(AND(AND(AND(L$4&gt;='2025'!$L109,L$4&lt;='2025'!$M109), L$4&lt;&gt;DATE(2025,7,4)), (SWITCH(weekday(L$4), 1, 0, 2, if(ISBLANK('2025'!$P109), 0, 1), 3, if(ISBLANK('2025'!$Q109), 0, 1), 4, if(ISBLANK('2025'!$R109), 0, 1), 5, if(ISBLANK('2025'!$S109), 0, 1), 6, if(ISBLANK('2025'!$T109), 0, 1), 7, 0))), 1, "")</f>
        <v/>
      </c>
      <c r="M111" s="1" t="str">
        <f>IF(AND(AND(AND(M$4&gt;='2025'!$L109,M$4&lt;='2025'!$M109), M$4&lt;&gt;DATE(2025,7,4)), (SWITCH(weekday(M$4), 1, 0, 2, if(ISBLANK('2025'!$P109), 0, 1), 3, if(ISBLANK('2025'!$Q109), 0, 1), 4, if(ISBLANK('2025'!$R109), 0, 1), 5, if(ISBLANK('2025'!$S109), 0, 1), 6, if(ISBLANK('2025'!$T109), 0, 1), 7, 0))), 1, "")</f>
        <v/>
      </c>
      <c r="N111" s="1" t="str">
        <f>IF(AND(AND(AND(N$4&gt;='2025'!$L109,N$4&lt;='2025'!$M109), N$4&lt;&gt;DATE(2025,7,4)), (SWITCH(weekday(N$4), 1, 0, 2, if(ISBLANK('2025'!$P109), 0, 1), 3, if(ISBLANK('2025'!$Q109), 0, 1), 4, if(ISBLANK('2025'!$R109), 0, 1), 5, if(ISBLANK('2025'!$S109), 0, 1), 6, if(ISBLANK('2025'!$T109), 0, 1), 7, 0))), 1, "")</f>
        <v/>
      </c>
      <c r="O111" s="1" t="str">
        <f>IF(AND(AND(AND(O$4&gt;='2025'!$L109,O$4&lt;='2025'!$M109), O$4&lt;&gt;DATE(2025,7,4)), (SWITCH(weekday(O$4), 1, 0, 2, if(ISBLANK('2025'!$P109), 0, 1), 3, if(ISBLANK('2025'!$Q109), 0, 1), 4, if(ISBLANK('2025'!$R109), 0, 1), 5, if(ISBLANK('2025'!$S109), 0, 1), 6, if(ISBLANK('2025'!$T109), 0, 1), 7, 0))), 1, "")</f>
        <v/>
      </c>
      <c r="P111" s="1" t="str">
        <f>IF(AND(AND(AND(P$4&gt;='2025'!$L109,P$4&lt;='2025'!$M109), P$4&lt;&gt;DATE(2025,7,4)), (SWITCH(weekday(P$4), 1, 0, 2, if(ISBLANK('2025'!$P109), 0, 1), 3, if(ISBLANK('2025'!$Q109), 0, 1), 4, if(ISBLANK('2025'!$R109), 0, 1), 5, if(ISBLANK('2025'!$S109), 0, 1), 6, if(ISBLANK('2025'!$T109), 0, 1), 7, 0))), 1, "")</f>
        <v/>
      </c>
      <c r="Q111" s="1" t="str">
        <f>IF(AND(AND(AND(Q$4&gt;='2025'!$L109,Q$4&lt;='2025'!$M109), Q$4&lt;&gt;DATE(2025,7,4)), (SWITCH(weekday(Q$4), 1, 0, 2, if(ISBLANK('2025'!$P109), 0, 1), 3, if(ISBLANK('2025'!$Q109), 0, 1), 4, if(ISBLANK('2025'!$R109), 0, 1), 5, if(ISBLANK('2025'!$S109), 0, 1), 6, if(ISBLANK('2025'!$T109), 0, 1), 7, 0))), 1, "")</f>
        <v/>
      </c>
      <c r="R111" s="1" t="str">
        <f>IF(AND(AND(AND(R$4&gt;='2025'!$L109,R$4&lt;='2025'!$M109), R$4&lt;&gt;DATE(2025,7,4)), (SWITCH(weekday(R$4), 1, 0, 2, if(ISBLANK('2025'!$P109), 0, 1), 3, if(ISBLANK('2025'!$Q109), 0, 1), 4, if(ISBLANK('2025'!$R109), 0, 1), 5, if(ISBLANK('2025'!$S109), 0, 1), 6, if(ISBLANK('2025'!$T109), 0, 1), 7, 0))), 1, "")</f>
        <v/>
      </c>
      <c r="S111" s="1" t="str">
        <f>IF(AND(AND(AND(S$4&gt;='2025'!$L109,S$4&lt;='2025'!$M109), S$4&lt;&gt;DATE(2025,7,4)), (SWITCH(weekday(S$4), 1, 0, 2, if(ISBLANK('2025'!$P109), 0, 1), 3, if(ISBLANK('2025'!$Q109), 0, 1), 4, if(ISBLANK('2025'!$R109), 0, 1), 5, if(ISBLANK('2025'!$S109), 0, 1), 6, if(ISBLANK('2025'!$T109), 0, 1), 7, 0))), 1, "")</f>
        <v/>
      </c>
      <c r="T111" s="1" t="str">
        <f>IF(AND(AND(AND(T$4&gt;='2025'!$L109,T$4&lt;='2025'!$M109), T$4&lt;&gt;DATE(2025,7,4)), (SWITCH(weekday(T$4), 1, 0, 2, if(ISBLANK('2025'!$P109), 0, 1), 3, if(ISBLANK('2025'!$Q109), 0, 1), 4, if(ISBLANK('2025'!$R109), 0, 1), 5, if(ISBLANK('2025'!$S109), 0, 1), 6, if(ISBLANK('2025'!$T109), 0, 1), 7, 0))), 1, "")</f>
        <v/>
      </c>
      <c r="U111" s="1" t="str">
        <f>IF(AND(AND(AND(U$4&gt;='2025'!$L109,U$4&lt;='2025'!$M109), U$4&lt;&gt;DATE(2025,7,4)), (SWITCH(weekday(U$4), 1, 0, 2, if(ISBLANK('2025'!$P109), 0, 1), 3, if(ISBLANK('2025'!$Q109), 0, 1), 4, if(ISBLANK('2025'!$R109), 0, 1), 5, if(ISBLANK('2025'!$S109), 0, 1), 6, if(ISBLANK('2025'!$T109), 0, 1), 7, 0))), 1, "")</f>
        <v/>
      </c>
      <c r="V111" s="1" t="str">
        <f>IF(AND(AND(AND(V$4&gt;='2025'!$L109,V$4&lt;='2025'!$M109), V$4&lt;&gt;DATE(2025,7,4)), (SWITCH(weekday(V$4), 1, 0, 2, if(ISBLANK('2025'!$P109), 0, 1), 3, if(ISBLANK('2025'!$Q109), 0, 1), 4, if(ISBLANK('2025'!$R109), 0, 1), 5, if(ISBLANK('2025'!$S109), 0, 1), 6, if(ISBLANK('2025'!$T109), 0, 1), 7, 0))), 1, "")</f>
        <v/>
      </c>
      <c r="W111" s="1" t="str">
        <f>IF(AND(AND(AND(W$4&gt;='2025'!$L109,W$4&lt;='2025'!$M109), W$4&lt;&gt;DATE(2025,7,4)), (SWITCH(weekday(W$4), 1, 0, 2, if(ISBLANK('2025'!$P109), 0, 1), 3, if(ISBLANK('2025'!$Q109), 0, 1), 4, if(ISBLANK('2025'!$R109), 0, 1), 5, if(ISBLANK('2025'!$S109), 0, 1), 6, if(ISBLANK('2025'!$T109), 0, 1), 7, 0))), 1, "")</f>
        <v/>
      </c>
      <c r="X111" s="1" t="str">
        <f>IF(AND(AND(AND(X$4&gt;='2025'!$L109,X$4&lt;='2025'!$M109), X$4&lt;&gt;DATE(2025,7,4)), (SWITCH(weekday(X$4), 1, 0, 2, if(ISBLANK('2025'!$P109), 0, 1), 3, if(ISBLANK('2025'!$Q109), 0, 1), 4, if(ISBLANK('2025'!$R109), 0, 1), 5, if(ISBLANK('2025'!$S109), 0, 1), 6, if(ISBLANK('2025'!$T109), 0, 1), 7, 0))), 1, "")</f>
        <v/>
      </c>
      <c r="Y111" s="1" t="str">
        <f>IF(AND(AND(AND(Y$4&gt;='2025'!$L109,Y$4&lt;='2025'!$M109), Y$4&lt;&gt;DATE(2025,7,4)), (SWITCH(weekday(Y$4), 1, 0, 2, if(ISBLANK('2025'!$P109), 0, 1), 3, if(ISBLANK('2025'!$Q109), 0, 1), 4, if(ISBLANK('2025'!$R109), 0, 1), 5, if(ISBLANK('2025'!$S109), 0, 1), 6, if(ISBLANK('2025'!$T109), 0, 1), 7, 0))), 1, "")</f>
        <v/>
      </c>
      <c r="Z111" s="1" t="str">
        <f>IF(AND(AND(AND(Z$4&gt;='2025'!$L109,Z$4&lt;='2025'!$M109), Z$4&lt;&gt;DATE(2025,7,4)), (SWITCH(weekday(Z$4), 1, 0, 2, if(ISBLANK('2025'!$P109), 0, 1), 3, if(ISBLANK('2025'!$Q109), 0, 1), 4, if(ISBLANK('2025'!$R109), 0, 1), 5, if(ISBLANK('2025'!$S109), 0, 1), 6, if(ISBLANK('2025'!$T109), 0, 1), 7, 0))), 1, "")</f>
        <v/>
      </c>
      <c r="AA111" s="1" t="str">
        <f>IF(AND(AND(AND(AA$4&gt;='2025'!$L109,AA$4&lt;='2025'!$M109), AA$4&lt;&gt;DATE(2025,7,4)), (SWITCH(weekday(AA$4), 1, 0, 2, if(ISBLANK('2025'!$P109), 0, 1), 3, if(ISBLANK('2025'!$Q109), 0, 1), 4, if(ISBLANK('2025'!$R109), 0, 1), 5, if(ISBLANK('2025'!$S109), 0, 1), 6, if(ISBLANK('2025'!$T109), 0, 1), 7, 0))), 1, "")</f>
        <v/>
      </c>
      <c r="AB111" s="1" t="str">
        <f>IF(AND(AND(AND(AB$4&gt;='2025'!$L109,AB$4&lt;='2025'!$M109), AB$4&lt;&gt;DATE(2025,7,4)), (SWITCH(weekday(AB$4), 1, 0, 2, if(ISBLANK('2025'!$P109), 0, 1), 3, if(ISBLANK('2025'!$Q109), 0, 1), 4, if(ISBLANK('2025'!$R109), 0, 1), 5, if(ISBLANK('2025'!$S109), 0, 1), 6, if(ISBLANK('2025'!$T109), 0, 1), 7, 0))), 1, "")</f>
        <v/>
      </c>
      <c r="AC111" s="1" t="str">
        <f>IF(AND(AND(AND(AC$4&gt;='2025'!$L109,AC$4&lt;='2025'!$M109), AC$4&lt;&gt;DATE(2025,7,4)), (SWITCH(weekday(AC$4), 1, 0, 2, if(ISBLANK('2025'!$P109), 0, 1), 3, if(ISBLANK('2025'!$Q109), 0, 1), 4, if(ISBLANK('2025'!$R109), 0, 1), 5, if(ISBLANK('2025'!$S109), 0, 1), 6, if(ISBLANK('2025'!$T109), 0, 1), 7, 0))), 1, "")</f>
        <v/>
      </c>
      <c r="AD111" s="1" t="str">
        <f>IF(AND(AND(AND(AD$4&gt;='2025'!$L109,AD$4&lt;='2025'!$M109), AD$4&lt;&gt;DATE(2025,7,4)), (SWITCH(weekday(AD$4), 1, 0, 2, if(ISBLANK('2025'!$P109), 0, 1), 3, if(ISBLANK('2025'!$Q109), 0, 1), 4, if(ISBLANK('2025'!$R109), 0, 1), 5, if(ISBLANK('2025'!$S109), 0, 1), 6, if(ISBLANK('2025'!$T109), 0, 1), 7, 0))), 1, "")</f>
        <v/>
      </c>
      <c r="AE111" s="1" t="str">
        <f>IF(AND(AND(AND(AE$4&gt;='2025'!$L109,AE$4&lt;='2025'!$M109), AE$4&lt;&gt;DATE(2025,7,4)), (SWITCH(weekday(AE$4), 1, 0, 2, if(ISBLANK('2025'!$P109), 0, 1), 3, if(ISBLANK('2025'!$Q109), 0, 1), 4, if(ISBLANK('2025'!$R109), 0, 1), 5, if(ISBLANK('2025'!$S109), 0, 1), 6, if(ISBLANK('2025'!$T109), 0, 1), 7, 0))), 1, "")</f>
        <v/>
      </c>
      <c r="AF111" s="1" t="str">
        <f>IF(AND(AND(AND(AF$4&gt;='2025'!$L109,AF$4&lt;='2025'!$M109), AF$4&lt;&gt;DATE(2025,7,4)), (SWITCH(weekday(AF$4), 1, 0, 2, if(ISBLANK('2025'!$P109), 0, 1), 3, if(ISBLANK('2025'!$Q109), 0, 1), 4, if(ISBLANK('2025'!$R109), 0, 1), 5, if(ISBLANK('2025'!$S109), 0, 1), 6, if(ISBLANK('2025'!$T109), 0, 1), 7, 0))), 1, "")</f>
        <v/>
      </c>
      <c r="AG111" s="1" t="str">
        <f>IF(AND(AND(AND(AG$4&gt;='2025'!$L109,AG$4&lt;='2025'!$M109), AG$4&lt;&gt;DATE(2025,7,4)), (SWITCH(weekday(AG$4), 1, 0, 2, if(ISBLANK('2025'!$P109), 0, 1), 3, if(ISBLANK('2025'!$Q109), 0, 1), 4, if(ISBLANK('2025'!$R109), 0, 1), 5, if(ISBLANK('2025'!$S109), 0, 1), 6, if(ISBLANK('2025'!$T109), 0, 1), 7, 0))), 1, "")</f>
        <v/>
      </c>
      <c r="AH111" s="1" t="str">
        <f>IF(AND(AND(AND(AH$4&gt;='2025'!$L109,AH$4&lt;='2025'!$M109), AH$4&lt;&gt;DATE(2025,7,4)), (SWITCH(weekday(AH$4), 1, 0, 2, if(ISBLANK('2025'!$P109), 0, 1), 3, if(ISBLANK('2025'!$Q109), 0, 1), 4, if(ISBLANK('2025'!$R109), 0, 1), 5, if(ISBLANK('2025'!$S109), 0, 1), 6, if(ISBLANK('2025'!$T109), 0, 1), 7, 0))), 1, "")</f>
        <v/>
      </c>
      <c r="AI111" s="1" t="str">
        <f>IF(AND(AND(AND(AI$4&gt;='2025'!$L109,AI$4&lt;='2025'!$M109), AI$4&lt;&gt;DATE(2025,7,4)), (SWITCH(weekday(AI$4), 1, 0, 2, if(ISBLANK('2025'!$P109), 0, 1), 3, if(ISBLANK('2025'!$Q109), 0, 1), 4, if(ISBLANK('2025'!$R109), 0, 1), 5, if(ISBLANK('2025'!$S109), 0, 1), 6, if(ISBLANK('2025'!$T109), 0, 1), 7, 0))), 1, "")</f>
        <v/>
      </c>
      <c r="AJ111" s="1" t="str">
        <f>IF(AND(AND(AND(AJ$4&gt;='2025'!$L109,AJ$4&lt;='2025'!$M109), AJ$4&lt;&gt;DATE(2025,7,4)), (SWITCH(weekday(AJ$4), 1, 0, 2, if(ISBLANK('2025'!$P109), 0, 1), 3, if(ISBLANK('2025'!$Q109), 0, 1), 4, if(ISBLANK('2025'!$R109), 0, 1), 5, if(ISBLANK('2025'!$S109), 0, 1), 6, if(ISBLANK('2025'!$T109), 0, 1), 7, 0))), 1, "")</f>
        <v/>
      </c>
      <c r="AK111" s="1" t="str">
        <f>IF(AND(AND(AND(AK$4&gt;='2025'!$L109,AK$4&lt;='2025'!$M109), AK$4&lt;&gt;DATE(2025,7,4)), (SWITCH(weekday(AK$4), 1, 0, 2, if(ISBLANK('2025'!$P109), 0, 1), 3, if(ISBLANK('2025'!$Q109), 0, 1), 4, if(ISBLANK('2025'!$R109), 0, 1), 5, if(ISBLANK('2025'!$S109), 0, 1), 6, if(ISBLANK('2025'!$T109), 0, 1), 7, 0))), 1, "")</f>
        <v/>
      </c>
      <c r="AL111" s="1" t="str">
        <f>IF(AND(AND(AND(AL$4&gt;='2025'!$L109,AL$4&lt;='2025'!$M109), AL$4&lt;&gt;DATE(2025,7,4)), (SWITCH(weekday(AL$4), 1, 0, 2, if(ISBLANK('2025'!$P109), 0, 1), 3, if(ISBLANK('2025'!$Q109), 0, 1), 4, if(ISBLANK('2025'!$R109), 0, 1), 5, if(ISBLANK('2025'!$S109), 0, 1), 6, if(ISBLANK('2025'!$T109), 0, 1), 7, 0))), 1, "")</f>
        <v/>
      </c>
      <c r="AM111" s="1" t="str">
        <f>IF(AND(AND(AND(AM$4&gt;='2025'!$L109,AM$4&lt;='2025'!$M109), AM$4&lt;&gt;DATE(2025,7,4)), (SWITCH(weekday(AM$4), 1, 0, 2, if(ISBLANK('2025'!$P109), 0, 1), 3, if(ISBLANK('2025'!$Q109), 0, 1), 4, if(ISBLANK('2025'!$R109), 0, 1), 5, if(ISBLANK('2025'!$S109), 0, 1), 6, if(ISBLANK('2025'!$T109), 0, 1), 7, 0))), 1, "")</f>
        <v/>
      </c>
      <c r="AN111" s="1" t="str">
        <f>IF(AND(AND(AND(AN$4&gt;='2025'!$L109,AN$4&lt;='2025'!$M109), AN$4&lt;&gt;DATE(2025,7,4)), (SWITCH(weekday(AN$4), 1, 0, 2, if(ISBLANK('2025'!$P109), 0, 1), 3, if(ISBLANK('2025'!$Q109), 0, 1), 4, if(ISBLANK('2025'!$R109), 0, 1), 5, if(ISBLANK('2025'!$S109), 0, 1), 6, if(ISBLANK('2025'!$T109), 0, 1), 7, 0))), 1, "")</f>
        <v/>
      </c>
      <c r="AO111" s="1" t="str">
        <f>IF(AND(AND(AND(AO$4&gt;='2025'!$L109,AO$4&lt;='2025'!$M109), AO$4&lt;&gt;DATE(2025,7,4)), (SWITCH(weekday(AO$4), 1, 0, 2, if(ISBLANK('2025'!$P109), 0, 1), 3, if(ISBLANK('2025'!$Q109), 0, 1), 4, if(ISBLANK('2025'!$R109), 0, 1), 5, if(ISBLANK('2025'!$S109), 0, 1), 6, if(ISBLANK('2025'!$T109), 0, 1), 7, 0))), 1, "")</f>
        <v/>
      </c>
      <c r="AP111" s="1" t="str">
        <f>IF(AND(AND(AND(AP$4&gt;='2025'!$L109,AP$4&lt;='2025'!$M109), AP$4&lt;&gt;DATE(2025,7,4)), (SWITCH(weekday(AP$4), 1, 0, 2, if(ISBLANK('2025'!$P109), 0, 1), 3, if(ISBLANK('2025'!$Q109), 0, 1), 4, if(ISBLANK('2025'!$R109), 0, 1), 5, if(ISBLANK('2025'!$S109), 0, 1), 6, if(ISBLANK('2025'!$T109), 0, 1), 7, 0))), 1, "")</f>
        <v/>
      </c>
      <c r="AQ111" s="1" t="str">
        <f>IF(AND(AND(AND(AQ$4&gt;='2025'!$L109,AQ$4&lt;='2025'!$M109), AQ$4&lt;&gt;DATE(2025,7,4)), (SWITCH(weekday(AQ$4), 1, 0, 2, if(ISBLANK('2025'!$P109), 0, 1), 3, if(ISBLANK('2025'!$Q109), 0, 1), 4, if(ISBLANK('2025'!$R109), 0, 1), 5, if(ISBLANK('2025'!$S109), 0, 1), 6, if(ISBLANK('2025'!$T109), 0, 1), 7, 0))), 1, "")</f>
        <v/>
      </c>
      <c r="AR111" s="1" t="str">
        <f>IF(AND(AND(AND(AR$4&gt;='2025'!$L109,AR$4&lt;='2025'!$M109), AR$4&lt;&gt;DATE(2025,7,4)), (SWITCH(weekday(AR$4), 1, 0, 2, if(ISBLANK('2025'!$P109), 0, 1), 3, if(ISBLANK('2025'!$Q109), 0, 1), 4, if(ISBLANK('2025'!$R109), 0, 1), 5, if(ISBLANK('2025'!$S109), 0, 1), 6, if(ISBLANK('2025'!$T109), 0, 1), 7, 0))), 1, "")</f>
        <v/>
      </c>
      <c r="AS111" s="1" t="str">
        <f>IF(AND(AND(AND(AS$4&gt;='2025'!$L109,AS$4&lt;='2025'!$M109), AS$4&lt;&gt;DATE(2025,7,4)), (SWITCH(weekday(AS$4), 1, 0, 2, if(ISBLANK('2025'!$P109), 0, 1), 3, if(ISBLANK('2025'!$Q109), 0, 1), 4, if(ISBLANK('2025'!$R109), 0, 1), 5, if(ISBLANK('2025'!$S109), 0, 1), 6, if(ISBLANK('2025'!$T109), 0, 1), 7, 0))), 1, "")</f>
        <v/>
      </c>
      <c r="AT111" s="1" t="str">
        <f>IF(AND(AND(AND(AT$4&gt;='2025'!$L109,AT$4&lt;='2025'!$M109), AT$4&lt;&gt;DATE(2025,7,4)), (SWITCH(weekday(AT$4), 1, 0, 2, if(ISBLANK('2025'!$P109), 0, 1), 3, if(ISBLANK('2025'!$Q109), 0, 1), 4, if(ISBLANK('2025'!$R109), 0, 1), 5, if(ISBLANK('2025'!$S109), 0, 1), 6, if(ISBLANK('2025'!$T109), 0, 1), 7, 0))), 1, "")</f>
        <v/>
      </c>
      <c r="AU111" s="1" t="str">
        <f>IF(AND(AND(AND(AU$4&gt;='2025'!$L109,AU$4&lt;='2025'!$M109), AU$4&lt;&gt;DATE(2025,7,4)), (SWITCH(weekday(AU$4), 1, 0, 2, if(ISBLANK('2025'!$P109), 0, 1), 3, if(ISBLANK('2025'!$Q109), 0, 1), 4, if(ISBLANK('2025'!$R109), 0, 1), 5, if(ISBLANK('2025'!$S109), 0, 1), 6, if(ISBLANK('2025'!$T109), 0, 1), 7, 0))), 1, "")</f>
        <v/>
      </c>
      <c r="AV111" s="1" t="str">
        <f>IF(AND(AND(AND(AV$4&gt;='2025'!$L109,AV$4&lt;='2025'!$M109), AV$4&lt;&gt;DATE(2025,7,4)), (SWITCH(weekday(AV$4), 1, 0, 2, if(ISBLANK('2025'!$P109), 0, 1), 3, if(ISBLANK('2025'!$Q109), 0, 1), 4, if(ISBLANK('2025'!$R109), 0, 1), 5, if(ISBLANK('2025'!$S109), 0, 1), 6, if(ISBLANK('2025'!$T109), 0, 1), 7, 0))), 1, "")</f>
        <v/>
      </c>
      <c r="AW111" s="1" t="str">
        <f>IF(AND(AND(AND(AW$4&gt;='2025'!$L109,AW$4&lt;='2025'!$M109), AW$4&lt;&gt;DATE(2025,7,4)), (SWITCH(weekday(AW$4), 1, 0, 2, if(ISBLANK('2025'!$P109), 0, 1), 3, if(ISBLANK('2025'!$Q109), 0, 1), 4, if(ISBLANK('2025'!$R109), 0, 1), 5, if(ISBLANK('2025'!$S109), 0, 1), 6, if(ISBLANK('2025'!$T109), 0, 1), 7, 0))), 1, "")</f>
        <v/>
      </c>
      <c r="AX111" s="1" t="str">
        <f>IF(AND(AND(AND(AX$4&gt;='2025'!$L109,AX$4&lt;='2025'!$M109), AX$4&lt;&gt;DATE(2025,7,4)), (SWITCH(weekday(AX$4), 1, 0, 2, if(ISBLANK('2025'!$P109), 0, 1), 3, if(ISBLANK('2025'!$Q109), 0, 1), 4, if(ISBLANK('2025'!$R109), 0, 1), 5, if(ISBLANK('2025'!$S109), 0, 1), 6, if(ISBLANK('2025'!$T109), 0, 1), 7, 0))), 1, "")</f>
        <v/>
      </c>
      <c r="AY111" s="1" t="str">
        <f>IF(AND(AND(AND(AY$4&gt;='2025'!$L109,AY$4&lt;='2025'!$M109), AY$4&lt;&gt;DATE(2025,7,4)), (SWITCH(weekday(AY$4), 1, 0, 2, if(ISBLANK('2025'!$P109), 0, 1), 3, if(ISBLANK('2025'!$Q109), 0, 1), 4, if(ISBLANK('2025'!$R109), 0, 1), 5, if(ISBLANK('2025'!$S109), 0, 1), 6, if(ISBLANK('2025'!$T109), 0, 1), 7, 0))), 1, "")</f>
        <v/>
      </c>
      <c r="AZ111" s="1" t="str">
        <f>IF(AND(AND(AND(AZ$4&gt;='2025'!$L109,AZ$4&lt;='2025'!$M109), AZ$4&lt;&gt;DATE(2025,7,4)), (SWITCH(weekday(AZ$4), 1, 0, 2, if(ISBLANK('2025'!$P109), 0, 1), 3, if(ISBLANK('2025'!$Q109), 0, 1), 4, if(ISBLANK('2025'!$R109), 0, 1), 5, if(ISBLANK('2025'!$S109), 0, 1), 6, if(ISBLANK('2025'!$T109), 0, 1), 7, 0))), 1, "")</f>
        <v/>
      </c>
      <c r="BA111" s="1" t="str">
        <f>IF(AND(AND(AND(BA$4&gt;='2025'!$L109,BA$4&lt;='2025'!$M109), BA$4&lt;&gt;DATE(2025,7,4)), (SWITCH(weekday(BA$4), 1, 0, 2, if(ISBLANK('2025'!$P109), 0, 1), 3, if(ISBLANK('2025'!$Q109), 0, 1), 4, if(ISBLANK('2025'!$R109), 0, 1), 5, if(ISBLANK('2025'!$S109), 0, 1), 6, if(ISBLANK('2025'!$T109), 0, 1), 7, 0))), 1, "")</f>
        <v/>
      </c>
      <c r="BB111" s="1" t="str">
        <f>IF(AND(AND(AND(BB$4&gt;='2025'!$L109,BB$4&lt;='2025'!$M109), BB$4&lt;&gt;DATE(2025,7,4)), (SWITCH(weekday(BB$4), 1, 0, 2, if(ISBLANK('2025'!$P109), 0, 1), 3, if(ISBLANK('2025'!$Q109), 0, 1), 4, if(ISBLANK('2025'!$R109), 0, 1), 5, if(ISBLANK('2025'!$S109), 0, 1), 6, if(ISBLANK('2025'!$T109), 0, 1), 7, 0))), 1, "")</f>
        <v/>
      </c>
      <c r="BC111" s="1" t="str">
        <f>IF(AND(AND(AND(BC$4&gt;='2025'!$L109,BC$4&lt;='2025'!$M109), BC$4&lt;&gt;DATE(2025,7,4)), (SWITCH(weekday(BC$4), 1, 0, 2, if(ISBLANK('2025'!$P109), 0, 1), 3, if(ISBLANK('2025'!$Q109), 0, 1), 4, if(ISBLANK('2025'!$R109), 0, 1), 5, if(ISBLANK('2025'!$S109), 0, 1), 6, if(ISBLANK('2025'!$T109), 0, 1), 7, 0))), 1, "")</f>
        <v/>
      </c>
      <c r="BD111" s="1" t="str">
        <f>IF(AND(AND(AND(BD$4&gt;='2025'!$L109,BD$4&lt;='2025'!$M109), BD$4&lt;&gt;DATE(2025,7,4)), (SWITCH(weekday(BD$4), 1, 0, 2, if(ISBLANK('2025'!$P109), 0, 1), 3, if(ISBLANK('2025'!$Q109), 0, 1), 4, if(ISBLANK('2025'!$R109), 0, 1), 5, if(ISBLANK('2025'!$S109), 0, 1), 6, if(ISBLANK('2025'!$T109), 0, 1), 7, 0))), 1, "")</f>
        <v/>
      </c>
      <c r="BE111" s="1" t="str">
        <f>IF(AND(AND(AND(BE$4&gt;='2025'!$L109,BE$4&lt;='2025'!$M109), BE$4&lt;&gt;DATE(2025,7,4)), (SWITCH(weekday(BE$4), 1, 0, 2, if(ISBLANK('2025'!$P109), 0, 1), 3, if(ISBLANK('2025'!$Q109), 0, 1), 4, if(ISBLANK('2025'!$R109), 0, 1), 5, if(ISBLANK('2025'!$S109), 0, 1), 6, if(ISBLANK('2025'!$T109), 0, 1), 7, 0))), 1, "")</f>
        <v/>
      </c>
      <c r="BF111" s="1" t="str">
        <f>IF(AND(AND(AND(BF$4&gt;='2025'!$L109,BF$4&lt;='2025'!$M109), BF$4&lt;&gt;DATE(2025,7,4)), (SWITCH(weekday(BF$4), 1, 0, 2, if(ISBLANK('2025'!$P109), 0, 1), 3, if(ISBLANK('2025'!$Q109), 0, 1), 4, if(ISBLANK('2025'!$R109), 0, 1), 5, if(ISBLANK('2025'!$S109), 0, 1), 6, if(ISBLANK('2025'!$T109), 0, 1), 7, 0))), 1, "")</f>
        <v/>
      </c>
      <c r="BG111" s="1"/>
      <c r="BH111" s="1"/>
      <c r="BI111" s="1"/>
      <c r="BJ111" s="1"/>
      <c r="BK111" s="1"/>
      <c r="BL111" s="1"/>
    </row>
    <row r="112">
      <c r="A112" s="1">
        <f t="shared" si="3"/>
        <v>112</v>
      </c>
      <c r="B112" s="1" t="str">
        <f>'2025'!D76</f>
        <v>, </v>
      </c>
      <c r="C112" s="1" t="str">
        <f>'2025'!H76</f>
        <v/>
      </c>
      <c r="D112" s="1" t="str">
        <f>IF(AND(AND(AND(D$4&gt;='2025'!$L110,D$4&lt;='2025'!$M110), D$4&lt;&gt;DATE(2025,7,4)), (SWITCH(weekday(D$4), 1, 0, 2, if(ISBLANK('2025'!$P110), 0, 1), 3, if(ISBLANK('2025'!$Q110), 0, 1), 4, if(ISBLANK('2025'!$R110), 0, 1), 5, if(ISBLANK('2025'!$S110), 0, 1), 6, if(ISBLANK('2025'!$T110), 0, 1), 7, 0))), 1, "")</f>
        <v/>
      </c>
      <c r="E112" s="1" t="str">
        <f>IF(AND(AND(AND(E$4&gt;='2025'!$L110,E$4&lt;='2025'!$M110), E$4&lt;&gt;DATE(2025,7,4)), (SWITCH(weekday(E$4), 1, 0, 2, if(ISBLANK('2025'!$P110), 0, 1), 3, if(ISBLANK('2025'!$Q110), 0, 1), 4, if(ISBLANK('2025'!$R110), 0, 1), 5, if(ISBLANK('2025'!$S110), 0, 1), 6, if(ISBLANK('2025'!$T110), 0, 1), 7, 0))), 1, "")</f>
        <v/>
      </c>
      <c r="F112" s="1" t="str">
        <f>IF(AND(AND(AND(F$4&gt;='2025'!$L110,F$4&lt;='2025'!$M110), F$4&lt;&gt;DATE(2025,7,4)), (SWITCH(weekday(F$4), 1, 0, 2, if(ISBLANK('2025'!$P110), 0, 1), 3, if(ISBLANK('2025'!$Q110), 0, 1), 4, if(ISBLANK('2025'!$R110), 0, 1), 5, if(ISBLANK('2025'!$S110), 0, 1), 6, if(ISBLANK('2025'!$T110), 0, 1), 7, 0))), 1, "")</f>
        <v/>
      </c>
      <c r="G112" s="1" t="str">
        <f>IF(AND(AND(AND(G$4&gt;='2025'!$L110,G$4&lt;='2025'!$M110), G$4&lt;&gt;DATE(2025,7,4)), (SWITCH(weekday(G$4), 1, 0, 2, if(ISBLANK('2025'!$P110), 0, 1), 3, if(ISBLANK('2025'!$Q110), 0, 1), 4, if(ISBLANK('2025'!$R110), 0, 1), 5, if(ISBLANK('2025'!$S110), 0, 1), 6, if(ISBLANK('2025'!$T110), 0, 1), 7, 0))), 1, "")</f>
        <v/>
      </c>
      <c r="H112" s="1" t="str">
        <f>IF(AND(AND(AND(H$4&gt;='2025'!$L110,H$4&lt;='2025'!$M110), H$4&lt;&gt;DATE(2025,7,4)), (SWITCH(weekday(H$4), 1, 0, 2, if(ISBLANK('2025'!$P110), 0, 1), 3, if(ISBLANK('2025'!$Q110), 0, 1), 4, if(ISBLANK('2025'!$R110), 0, 1), 5, if(ISBLANK('2025'!$S110), 0, 1), 6, if(ISBLANK('2025'!$T110), 0, 1), 7, 0))), 1, "")</f>
        <v/>
      </c>
      <c r="I112" s="1" t="str">
        <f>IF(AND(AND(AND(I$4&gt;='2025'!$L110,I$4&lt;='2025'!$M110), I$4&lt;&gt;DATE(2025,7,4)), (SWITCH(weekday(I$4), 1, 0, 2, if(ISBLANK('2025'!$P110), 0, 1), 3, if(ISBLANK('2025'!$Q110), 0, 1), 4, if(ISBLANK('2025'!$R110), 0, 1), 5, if(ISBLANK('2025'!$S110), 0, 1), 6, if(ISBLANK('2025'!$T110), 0, 1), 7, 0))), 1, "")</f>
        <v/>
      </c>
      <c r="J112" s="1" t="str">
        <f>IF(AND(AND(AND(J$4&gt;='2025'!$L110,J$4&lt;='2025'!$M110), J$4&lt;&gt;DATE(2025,7,4)), (SWITCH(weekday(J$4), 1, 0, 2, if(ISBLANK('2025'!$P110), 0, 1), 3, if(ISBLANK('2025'!$Q110), 0, 1), 4, if(ISBLANK('2025'!$R110), 0, 1), 5, if(ISBLANK('2025'!$S110), 0, 1), 6, if(ISBLANK('2025'!$T110), 0, 1), 7, 0))), 1, "")</f>
        <v/>
      </c>
      <c r="K112" s="1" t="str">
        <f>IF(AND(AND(AND(K$4&gt;='2025'!$L110,K$4&lt;='2025'!$M110), K$4&lt;&gt;DATE(2025,7,4)), (SWITCH(weekday(K$4), 1, 0, 2, if(ISBLANK('2025'!$P110), 0, 1), 3, if(ISBLANK('2025'!$Q110), 0, 1), 4, if(ISBLANK('2025'!$R110), 0, 1), 5, if(ISBLANK('2025'!$S110), 0, 1), 6, if(ISBLANK('2025'!$T110), 0, 1), 7, 0))), 1, "")</f>
        <v/>
      </c>
      <c r="L112" s="1" t="str">
        <f>IF(AND(AND(AND(L$4&gt;='2025'!$L110,L$4&lt;='2025'!$M110), L$4&lt;&gt;DATE(2025,7,4)), (SWITCH(weekday(L$4), 1, 0, 2, if(ISBLANK('2025'!$P110), 0, 1), 3, if(ISBLANK('2025'!$Q110), 0, 1), 4, if(ISBLANK('2025'!$R110), 0, 1), 5, if(ISBLANK('2025'!$S110), 0, 1), 6, if(ISBLANK('2025'!$T110), 0, 1), 7, 0))), 1, "")</f>
        <v/>
      </c>
      <c r="M112" s="1" t="str">
        <f>IF(AND(AND(AND(M$4&gt;='2025'!$L110,M$4&lt;='2025'!$M110), M$4&lt;&gt;DATE(2025,7,4)), (SWITCH(weekday(M$4), 1, 0, 2, if(ISBLANK('2025'!$P110), 0, 1), 3, if(ISBLANK('2025'!$Q110), 0, 1), 4, if(ISBLANK('2025'!$R110), 0, 1), 5, if(ISBLANK('2025'!$S110), 0, 1), 6, if(ISBLANK('2025'!$T110), 0, 1), 7, 0))), 1, "")</f>
        <v/>
      </c>
      <c r="N112" s="1" t="str">
        <f>IF(AND(AND(AND(N$4&gt;='2025'!$L110,N$4&lt;='2025'!$M110), N$4&lt;&gt;DATE(2025,7,4)), (SWITCH(weekday(N$4), 1, 0, 2, if(ISBLANK('2025'!$P110), 0, 1), 3, if(ISBLANK('2025'!$Q110), 0, 1), 4, if(ISBLANK('2025'!$R110), 0, 1), 5, if(ISBLANK('2025'!$S110), 0, 1), 6, if(ISBLANK('2025'!$T110), 0, 1), 7, 0))), 1, "")</f>
        <v/>
      </c>
      <c r="O112" s="1" t="str">
        <f>IF(AND(AND(AND(O$4&gt;='2025'!$L110,O$4&lt;='2025'!$M110), O$4&lt;&gt;DATE(2025,7,4)), (SWITCH(weekday(O$4), 1, 0, 2, if(ISBLANK('2025'!$P110), 0, 1), 3, if(ISBLANK('2025'!$Q110), 0, 1), 4, if(ISBLANK('2025'!$R110), 0, 1), 5, if(ISBLANK('2025'!$S110), 0, 1), 6, if(ISBLANK('2025'!$T110), 0, 1), 7, 0))), 1, "")</f>
        <v/>
      </c>
      <c r="P112" s="1" t="str">
        <f>IF(AND(AND(AND(P$4&gt;='2025'!$L110,P$4&lt;='2025'!$M110), P$4&lt;&gt;DATE(2025,7,4)), (SWITCH(weekday(P$4), 1, 0, 2, if(ISBLANK('2025'!$P110), 0, 1), 3, if(ISBLANK('2025'!$Q110), 0, 1), 4, if(ISBLANK('2025'!$R110), 0, 1), 5, if(ISBLANK('2025'!$S110), 0, 1), 6, if(ISBLANK('2025'!$T110), 0, 1), 7, 0))), 1, "")</f>
        <v/>
      </c>
      <c r="Q112" s="1" t="str">
        <f>IF(AND(AND(AND(Q$4&gt;='2025'!$L110,Q$4&lt;='2025'!$M110), Q$4&lt;&gt;DATE(2025,7,4)), (SWITCH(weekday(Q$4), 1, 0, 2, if(ISBLANK('2025'!$P110), 0, 1), 3, if(ISBLANK('2025'!$Q110), 0, 1), 4, if(ISBLANK('2025'!$R110), 0, 1), 5, if(ISBLANK('2025'!$S110), 0, 1), 6, if(ISBLANK('2025'!$T110), 0, 1), 7, 0))), 1, "")</f>
        <v/>
      </c>
      <c r="R112" s="1" t="str">
        <f>IF(AND(AND(AND(R$4&gt;='2025'!$L110,R$4&lt;='2025'!$M110), R$4&lt;&gt;DATE(2025,7,4)), (SWITCH(weekday(R$4), 1, 0, 2, if(ISBLANK('2025'!$P110), 0, 1), 3, if(ISBLANK('2025'!$Q110), 0, 1), 4, if(ISBLANK('2025'!$R110), 0, 1), 5, if(ISBLANK('2025'!$S110), 0, 1), 6, if(ISBLANK('2025'!$T110), 0, 1), 7, 0))), 1, "")</f>
        <v/>
      </c>
      <c r="S112" s="1" t="str">
        <f>IF(AND(AND(AND(S$4&gt;='2025'!$L110,S$4&lt;='2025'!$M110), S$4&lt;&gt;DATE(2025,7,4)), (SWITCH(weekday(S$4), 1, 0, 2, if(ISBLANK('2025'!$P110), 0, 1), 3, if(ISBLANK('2025'!$Q110), 0, 1), 4, if(ISBLANK('2025'!$R110), 0, 1), 5, if(ISBLANK('2025'!$S110), 0, 1), 6, if(ISBLANK('2025'!$T110), 0, 1), 7, 0))), 1, "")</f>
        <v/>
      </c>
      <c r="T112" s="1" t="str">
        <f>IF(AND(AND(AND(T$4&gt;='2025'!$L110,T$4&lt;='2025'!$M110), T$4&lt;&gt;DATE(2025,7,4)), (SWITCH(weekday(T$4), 1, 0, 2, if(ISBLANK('2025'!$P110), 0, 1), 3, if(ISBLANK('2025'!$Q110), 0, 1), 4, if(ISBLANK('2025'!$R110), 0, 1), 5, if(ISBLANK('2025'!$S110), 0, 1), 6, if(ISBLANK('2025'!$T110), 0, 1), 7, 0))), 1, "")</f>
        <v/>
      </c>
      <c r="U112" s="1" t="str">
        <f>IF(AND(AND(AND(U$4&gt;='2025'!$L110,U$4&lt;='2025'!$M110), U$4&lt;&gt;DATE(2025,7,4)), (SWITCH(weekday(U$4), 1, 0, 2, if(ISBLANK('2025'!$P110), 0, 1), 3, if(ISBLANK('2025'!$Q110), 0, 1), 4, if(ISBLANK('2025'!$R110), 0, 1), 5, if(ISBLANK('2025'!$S110), 0, 1), 6, if(ISBLANK('2025'!$T110), 0, 1), 7, 0))), 1, "")</f>
        <v/>
      </c>
      <c r="V112" s="1" t="str">
        <f>IF(AND(AND(AND(V$4&gt;='2025'!$L110,V$4&lt;='2025'!$M110), V$4&lt;&gt;DATE(2025,7,4)), (SWITCH(weekday(V$4), 1, 0, 2, if(ISBLANK('2025'!$P110), 0, 1), 3, if(ISBLANK('2025'!$Q110), 0, 1), 4, if(ISBLANK('2025'!$R110), 0, 1), 5, if(ISBLANK('2025'!$S110), 0, 1), 6, if(ISBLANK('2025'!$T110), 0, 1), 7, 0))), 1, "")</f>
        <v/>
      </c>
      <c r="W112" s="1" t="str">
        <f>IF(AND(AND(AND(W$4&gt;='2025'!$L110,W$4&lt;='2025'!$M110), W$4&lt;&gt;DATE(2025,7,4)), (SWITCH(weekday(W$4), 1, 0, 2, if(ISBLANK('2025'!$P110), 0, 1), 3, if(ISBLANK('2025'!$Q110), 0, 1), 4, if(ISBLANK('2025'!$R110), 0, 1), 5, if(ISBLANK('2025'!$S110), 0, 1), 6, if(ISBLANK('2025'!$T110), 0, 1), 7, 0))), 1, "")</f>
        <v/>
      </c>
      <c r="X112" s="1" t="str">
        <f>IF(AND(AND(AND(X$4&gt;='2025'!$L110,X$4&lt;='2025'!$M110), X$4&lt;&gt;DATE(2025,7,4)), (SWITCH(weekday(X$4), 1, 0, 2, if(ISBLANK('2025'!$P110), 0, 1), 3, if(ISBLANK('2025'!$Q110), 0, 1), 4, if(ISBLANK('2025'!$R110), 0, 1), 5, if(ISBLANK('2025'!$S110), 0, 1), 6, if(ISBLANK('2025'!$T110), 0, 1), 7, 0))), 1, "")</f>
        <v/>
      </c>
      <c r="Y112" s="1" t="str">
        <f>IF(AND(AND(AND(Y$4&gt;='2025'!$L110,Y$4&lt;='2025'!$M110), Y$4&lt;&gt;DATE(2025,7,4)), (SWITCH(weekday(Y$4), 1, 0, 2, if(ISBLANK('2025'!$P110), 0, 1), 3, if(ISBLANK('2025'!$Q110), 0, 1), 4, if(ISBLANK('2025'!$R110), 0, 1), 5, if(ISBLANK('2025'!$S110), 0, 1), 6, if(ISBLANK('2025'!$T110), 0, 1), 7, 0))), 1, "")</f>
        <v/>
      </c>
      <c r="Z112" s="1" t="str">
        <f>IF(AND(AND(AND(Z$4&gt;='2025'!$L110,Z$4&lt;='2025'!$M110), Z$4&lt;&gt;DATE(2025,7,4)), (SWITCH(weekday(Z$4), 1, 0, 2, if(ISBLANK('2025'!$P110), 0, 1), 3, if(ISBLANK('2025'!$Q110), 0, 1), 4, if(ISBLANK('2025'!$R110), 0, 1), 5, if(ISBLANK('2025'!$S110), 0, 1), 6, if(ISBLANK('2025'!$T110), 0, 1), 7, 0))), 1, "")</f>
        <v/>
      </c>
      <c r="AA112" s="1" t="str">
        <f>IF(AND(AND(AND(AA$4&gt;='2025'!$L110,AA$4&lt;='2025'!$M110), AA$4&lt;&gt;DATE(2025,7,4)), (SWITCH(weekday(AA$4), 1, 0, 2, if(ISBLANK('2025'!$P110), 0, 1), 3, if(ISBLANK('2025'!$Q110), 0, 1), 4, if(ISBLANK('2025'!$R110), 0, 1), 5, if(ISBLANK('2025'!$S110), 0, 1), 6, if(ISBLANK('2025'!$T110), 0, 1), 7, 0))), 1, "")</f>
        <v/>
      </c>
      <c r="AB112" s="1" t="str">
        <f>IF(AND(AND(AND(AB$4&gt;='2025'!$L110,AB$4&lt;='2025'!$M110), AB$4&lt;&gt;DATE(2025,7,4)), (SWITCH(weekday(AB$4), 1, 0, 2, if(ISBLANK('2025'!$P110), 0, 1), 3, if(ISBLANK('2025'!$Q110), 0, 1), 4, if(ISBLANK('2025'!$R110), 0, 1), 5, if(ISBLANK('2025'!$S110), 0, 1), 6, if(ISBLANK('2025'!$T110), 0, 1), 7, 0))), 1, "")</f>
        <v/>
      </c>
      <c r="AC112" s="1" t="str">
        <f>IF(AND(AND(AND(AC$4&gt;='2025'!$L110,AC$4&lt;='2025'!$M110), AC$4&lt;&gt;DATE(2025,7,4)), (SWITCH(weekday(AC$4), 1, 0, 2, if(ISBLANK('2025'!$P110), 0, 1), 3, if(ISBLANK('2025'!$Q110), 0, 1), 4, if(ISBLANK('2025'!$R110), 0, 1), 5, if(ISBLANK('2025'!$S110), 0, 1), 6, if(ISBLANK('2025'!$T110), 0, 1), 7, 0))), 1, "")</f>
        <v/>
      </c>
      <c r="AD112" s="1" t="str">
        <f>IF(AND(AND(AND(AD$4&gt;='2025'!$L110,AD$4&lt;='2025'!$M110), AD$4&lt;&gt;DATE(2025,7,4)), (SWITCH(weekday(AD$4), 1, 0, 2, if(ISBLANK('2025'!$P110), 0, 1), 3, if(ISBLANK('2025'!$Q110), 0, 1), 4, if(ISBLANK('2025'!$R110), 0, 1), 5, if(ISBLANK('2025'!$S110), 0, 1), 6, if(ISBLANK('2025'!$T110), 0, 1), 7, 0))), 1, "")</f>
        <v/>
      </c>
      <c r="AE112" s="1" t="str">
        <f>IF(AND(AND(AND(AE$4&gt;='2025'!$L110,AE$4&lt;='2025'!$M110), AE$4&lt;&gt;DATE(2025,7,4)), (SWITCH(weekday(AE$4), 1, 0, 2, if(ISBLANK('2025'!$P110), 0, 1), 3, if(ISBLANK('2025'!$Q110), 0, 1), 4, if(ISBLANK('2025'!$R110), 0, 1), 5, if(ISBLANK('2025'!$S110), 0, 1), 6, if(ISBLANK('2025'!$T110), 0, 1), 7, 0))), 1, "")</f>
        <v/>
      </c>
      <c r="AF112" s="1" t="str">
        <f>IF(AND(AND(AND(AF$4&gt;='2025'!$L110,AF$4&lt;='2025'!$M110), AF$4&lt;&gt;DATE(2025,7,4)), (SWITCH(weekday(AF$4), 1, 0, 2, if(ISBLANK('2025'!$P110), 0, 1), 3, if(ISBLANK('2025'!$Q110), 0, 1), 4, if(ISBLANK('2025'!$R110), 0, 1), 5, if(ISBLANK('2025'!$S110), 0, 1), 6, if(ISBLANK('2025'!$T110), 0, 1), 7, 0))), 1, "")</f>
        <v/>
      </c>
      <c r="AG112" s="1" t="str">
        <f>IF(AND(AND(AND(AG$4&gt;='2025'!$L110,AG$4&lt;='2025'!$M110), AG$4&lt;&gt;DATE(2025,7,4)), (SWITCH(weekday(AG$4), 1, 0, 2, if(ISBLANK('2025'!$P110), 0, 1), 3, if(ISBLANK('2025'!$Q110), 0, 1), 4, if(ISBLANK('2025'!$R110), 0, 1), 5, if(ISBLANK('2025'!$S110), 0, 1), 6, if(ISBLANK('2025'!$T110), 0, 1), 7, 0))), 1, "")</f>
        <v/>
      </c>
      <c r="AH112" s="1" t="str">
        <f>IF(AND(AND(AND(AH$4&gt;='2025'!$L110,AH$4&lt;='2025'!$M110), AH$4&lt;&gt;DATE(2025,7,4)), (SWITCH(weekday(AH$4), 1, 0, 2, if(ISBLANK('2025'!$P110), 0, 1), 3, if(ISBLANK('2025'!$Q110), 0, 1), 4, if(ISBLANK('2025'!$R110), 0, 1), 5, if(ISBLANK('2025'!$S110), 0, 1), 6, if(ISBLANK('2025'!$T110), 0, 1), 7, 0))), 1, "")</f>
        <v/>
      </c>
      <c r="AI112" s="1" t="str">
        <f>IF(AND(AND(AND(AI$4&gt;='2025'!$L110,AI$4&lt;='2025'!$M110), AI$4&lt;&gt;DATE(2025,7,4)), (SWITCH(weekday(AI$4), 1, 0, 2, if(ISBLANK('2025'!$P110), 0, 1), 3, if(ISBLANK('2025'!$Q110), 0, 1), 4, if(ISBLANK('2025'!$R110), 0, 1), 5, if(ISBLANK('2025'!$S110), 0, 1), 6, if(ISBLANK('2025'!$T110), 0, 1), 7, 0))), 1, "")</f>
        <v/>
      </c>
      <c r="AJ112" s="1" t="str">
        <f>IF(AND(AND(AND(AJ$4&gt;='2025'!$L110,AJ$4&lt;='2025'!$M110), AJ$4&lt;&gt;DATE(2025,7,4)), (SWITCH(weekday(AJ$4), 1, 0, 2, if(ISBLANK('2025'!$P110), 0, 1), 3, if(ISBLANK('2025'!$Q110), 0, 1), 4, if(ISBLANK('2025'!$R110), 0, 1), 5, if(ISBLANK('2025'!$S110), 0, 1), 6, if(ISBLANK('2025'!$T110), 0, 1), 7, 0))), 1, "")</f>
        <v/>
      </c>
      <c r="AK112" s="1" t="str">
        <f>IF(AND(AND(AND(AK$4&gt;='2025'!$L110,AK$4&lt;='2025'!$M110), AK$4&lt;&gt;DATE(2025,7,4)), (SWITCH(weekday(AK$4), 1, 0, 2, if(ISBLANK('2025'!$P110), 0, 1), 3, if(ISBLANK('2025'!$Q110), 0, 1), 4, if(ISBLANK('2025'!$R110), 0, 1), 5, if(ISBLANK('2025'!$S110), 0, 1), 6, if(ISBLANK('2025'!$T110), 0, 1), 7, 0))), 1, "")</f>
        <v/>
      </c>
      <c r="AL112" s="1" t="str">
        <f>IF(AND(AND(AND(AL$4&gt;='2025'!$L110,AL$4&lt;='2025'!$M110), AL$4&lt;&gt;DATE(2025,7,4)), (SWITCH(weekday(AL$4), 1, 0, 2, if(ISBLANK('2025'!$P110), 0, 1), 3, if(ISBLANK('2025'!$Q110), 0, 1), 4, if(ISBLANK('2025'!$R110), 0, 1), 5, if(ISBLANK('2025'!$S110), 0, 1), 6, if(ISBLANK('2025'!$T110), 0, 1), 7, 0))), 1, "")</f>
        <v/>
      </c>
      <c r="AM112" s="1" t="str">
        <f>IF(AND(AND(AND(AM$4&gt;='2025'!$L110,AM$4&lt;='2025'!$M110), AM$4&lt;&gt;DATE(2025,7,4)), (SWITCH(weekday(AM$4), 1, 0, 2, if(ISBLANK('2025'!$P110), 0, 1), 3, if(ISBLANK('2025'!$Q110), 0, 1), 4, if(ISBLANK('2025'!$R110), 0, 1), 5, if(ISBLANK('2025'!$S110), 0, 1), 6, if(ISBLANK('2025'!$T110), 0, 1), 7, 0))), 1, "")</f>
        <v/>
      </c>
      <c r="AN112" s="1" t="str">
        <f>IF(AND(AND(AND(AN$4&gt;='2025'!$L110,AN$4&lt;='2025'!$M110), AN$4&lt;&gt;DATE(2025,7,4)), (SWITCH(weekday(AN$4), 1, 0, 2, if(ISBLANK('2025'!$P110), 0, 1), 3, if(ISBLANK('2025'!$Q110), 0, 1), 4, if(ISBLANK('2025'!$R110), 0, 1), 5, if(ISBLANK('2025'!$S110), 0, 1), 6, if(ISBLANK('2025'!$T110), 0, 1), 7, 0))), 1, "")</f>
        <v/>
      </c>
      <c r="AO112" s="1" t="str">
        <f>IF(AND(AND(AND(AO$4&gt;='2025'!$L110,AO$4&lt;='2025'!$M110), AO$4&lt;&gt;DATE(2025,7,4)), (SWITCH(weekday(AO$4), 1, 0, 2, if(ISBLANK('2025'!$P110), 0, 1), 3, if(ISBLANK('2025'!$Q110), 0, 1), 4, if(ISBLANK('2025'!$R110), 0, 1), 5, if(ISBLANK('2025'!$S110), 0, 1), 6, if(ISBLANK('2025'!$T110), 0, 1), 7, 0))), 1, "")</f>
        <v/>
      </c>
      <c r="AP112" s="1" t="str">
        <f>IF(AND(AND(AND(AP$4&gt;='2025'!$L110,AP$4&lt;='2025'!$M110), AP$4&lt;&gt;DATE(2025,7,4)), (SWITCH(weekday(AP$4), 1, 0, 2, if(ISBLANK('2025'!$P110), 0, 1), 3, if(ISBLANK('2025'!$Q110), 0, 1), 4, if(ISBLANK('2025'!$R110), 0, 1), 5, if(ISBLANK('2025'!$S110), 0, 1), 6, if(ISBLANK('2025'!$T110), 0, 1), 7, 0))), 1, "")</f>
        <v/>
      </c>
      <c r="AQ112" s="1" t="str">
        <f>IF(AND(AND(AND(AQ$4&gt;='2025'!$L110,AQ$4&lt;='2025'!$M110), AQ$4&lt;&gt;DATE(2025,7,4)), (SWITCH(weekday(AQ$4), 1, 0, 2, if(ISBLANK('2025'!$P110), 0, 1), 3, if(ISBLANK('2025'!$Q110), 0, 1), 4, if(ISBLANK('2025'!$R110), 0, 1), 5, if(ISBLANK('2025'!$S110), 0, 1), 6, if(ISBLANK('2025'!$T110), 0, 1), 7, 0))), 1, "")</f>
        <v/>
      </c>
      <c r="AR112" s="1" t="str">
        <f>IF(AND(AND(AND(AR$4&gt;='2025'!$L110,AR$4&lt;='2025'!$M110), AR$4&lt;&gt;DATE(2025,7,4)), (SWITCH(weekday(AR$4), 1, 0, 2, if(ISBLANK('2025'!$P110), 0, 1), 3, if(ISBLANK('2025'!$Q110), 0, 1), 4, if(ISBLANK('2025'!$R110), 0, 1), 5, if(ISBLANK('2025'!$S110), 0, 1), 6, if(ISBLANK('2025'!$T110), 0, 1), 7, 0))), 1, "")</f>
        <v/>
      </c>
      <c r="AS112" s="1" t="str">
        <f>IF(AND(AND(AND(AS$4&gt;='2025'!$L110,AS$4&lt;='2025'!$M110), AS$4&lt;&gt;DATE(2025,7,4)), (SWITCH(weekday(AS$4), 1, 0, 2, if(ISBLANK('2025'!$P110), 0, 1), 3, if(ISBLANK('2025'!$Q110), 0, 1), 4, if(ISBLANK('2025'!$R110), 0, 1), 5, if(ISBLANK('2025'!$S110), 0, 1), 6, if(ISBLANK('2025'!$T110), 0, 1), 7, 0))), 1, "")</f>
        <v/>
      </c>
      <c r="AT112" s="1" t="str">
        <f>IF(AND(AND(AND(AT$4&gt;='2025'!$L110,AT$4&lt;='2025'!$M110), AT$4&lt;&gt;DATE(2025,7,4)), (SWITCH(weekday(AT$4), 1, 0, 2, if(ISBLANK('2025'!$P110), 0, 1), 3, if(ISBLANK('2025'!$Q110), 0, 1), 4, if(ISBLANK('2025'!$R110), 0, 1), 5, if(ISBLANK('2025'!$S110), 0, 1), 6, if(ISBLANK('2025'!$T110), 0, 1), 7, 0))), 1, "")</f>
        <v/>
      </c>
      <c r="AU112" s="1" t="str">
        <f>IF(AND(AND(AND(AU$4&gt;='2025'!$L110,AU$4&lt;='2025'!$M110), AU$4&lt;&gt;DATE(2025,7,4)), (SWITCH(weekday(AU$4), 1, 0, 2, if(ISBLANK('2025'!$P110), 0, 1), 3, if(ISBLANK('2025'!$Q110), 0, 1), 4, if(ISBLANK('2025'!$R110), 0, 1), 5, if(ISBLANK('2025'!$S110), 0, 1), 6, if(ISBLANK('2025'!$T110), 0, 1), 7, 0))), 1, "")</f>
        <v/>
      </c>
      <c r="AV112" s="1" t="str">
        <f>IF(AND(AND(AND(AV$4&gt;='2025'!$L110,AV$4&lt;='2025'!$M110), AV$4&lt;&gt;DATE(2025,7,4)), (SWITCH(weekday(AV$4), 1, 0, 2, if(ISBLANK('2025'!$P110), 0, 1), 3, if(ISBLANK('2025'!$Q110), 0, 1), 4, if(ISBLANK('2025'!$R110), 0, 1), 5, if(ISBLANK('2025'!$S110), 0, 1), 6, if(ISBLANK('2025'!$T110), 0, 1), 7, 0))), 1, "")</f>
        <v/>
      </c>
      <c r="AW112" s="1" t="str">
        <f>IF(AND(AND(AND(AW$4&gt;='2025'!$L110,AW$4&lt;='2025'!$M110), AW$4&lt;&gt;DATE(2025,7,4)), (SWITCH(weekday(AW$4), 1, 0, 2, if(ISBLANK('2025'!$P110), 0, 1), 3, if(ISBLANK('2025'!$Q110), 0, 1), 4, if(ISBLANK('2025'!$R110), 0, 1), 5, if(ISBLANK('2025'!$S110), 0, 1), 6, if(ISBLANK('2025'!$T110), 0, 1), 7, 0))), 1, "")</f>
        <v/>
      </c>
      <c r="AX112" s="1" t="str">
        <f>IF(AND(AND(AND(AX$4&gt;='2025'!$L110,AX$4&lt;='2025'!$M110), AX$4&lt;&gt;DATE(2025,7,4)), (SWITCH(weekday(AX$4), 1, 0, 2, if(ISBLANK('2025'!$P110), 0, 1), 3, if(ISBLANK('2025'!$Q110), 0, 1), 4, if(ISBLANK('2025'!$R110), 0, 1), 5, if(ISBLANK('2025'!$S110), 0, 1), 6, if(ISBLANK('2025'!$T110), 0, 1), 7, 0))), 1, "")</f>
        <v/>
      </c>
      <c r="AY112" s="1" t="str">
        <f>IF(AND(AND(AND(AY$4&gt;='2025'!$L110,AY$4&lt;='2025'!$M110), AY$4&lt;&gt;DATE(2025,7,4)), (SWITCH(weekday(AY$4), 1, 0, 2, if(ISBLANK('2025'!$P110), 0, 1), 3, if(ISBLANK('2025'!$Q110), 0, 1), 4, if(ISBLANK('2025'!$R110), 0, 1), 5, if(ISBLANK('2025'!$S110), 0, 1), 6, if(ISBLANK('2025'!$T110), 0, 1), 7, 0))), 1, "")</f>
        <v/>
      </c>
      <c r="AZ112" s="1" t="str">
        <f>IF(AND(AND(AND(AZ$4&gt;='2025'!$L110,AZ$4&lt;='2025'!$M110), AZ$4&lt;&gt;DATE(2025,7,4)), (SWITCH(weekday(AZ$4), 1, 0, 2, if(ISBLANK('2025'!$P110), 0, 1), 3, if(ISBLANK('2025'!$Q110), 0, 1), 4, if(ISBLANK('2025'!$R110), 0, 1), 5, if(ISBLANK('2025'!$S110), 0, 1), 6, if(ISBLANK('2025'!$T110), 0, 1), 7, 0))), 1, "")</f>
        <v/>
      </c>
      <c r="BA112" s="1" t="str">
        <f>IF(AND(AND(AND(BA$4&gt;='2025'!$L110,BA$4&lt;='2025'!$M110), BA$4&lt;&gt;DATE(2025,7,4)), (SWITCH(weekday(BA$4), 1, 0, 2, if(ISBLANK('2025'!$P110), 0, 1), 3, if(ISBLANK('2025'!$Q110), 0, 1), 4, if(ISBLANK('2025'!$R110), 0, 1), 5, if(ISBLANK('2025'!$S110), 0, 1), 6, if(ISBLANK('2025'!$T110), 0, 1), 7, 0))), 1, "")</f>
        <v/>
      </c>
      <c r="BB112" s="1" t="str">
        <f>IF(AND(AND(AND(BB$4&gt;='2025'!$L110,BB$4&lt;='2025'!$M110), BB$4&lt;&gt;DATE(2025,7,4)), (SWITCH(weekday(BB$4), 1, 0, 2, if(ISBLANK('2025'!$P110), 0, 1), 3, if(ISBLANK('2025'!$Q110), 0, 1), 4, if(ISBLANK('2025'!$R110), 0, 1), 5, if(ISBLANK('2025'!$S110), 0, 1), 6, if(ISBLANK('2025'!$T110), 0, 1), 7, 0))), 1, "")</f>
        <v/>
      </c>
      <c r="BC112" s="1" t="str">
        <f>IF(AND(AND(AND(BC$4&gt;='2025'!$L110,BC$4&lt;='2025'!$M110), BC$4&lt;&gt;DATE(2025,7,4)), (SWITCH(weekday(BC$4), 1, 0, 2, if(ISBLANK('2025'!$P110), 0, 1), 3, if(ISBLANK('2025'!$Q110), 0, 1), 4, if(ISBLANK('2025'!$R110), 0, 1), 5, if(ISBLANK('2025'!$S110), 0, 1), 6, if(ISBLANK('2025'!$T110), 0, 1), 7, 0))), 1, "")</f>
        <v/>
      </c>
      <c r="BD112" s="1" t="str">
        <f>IF(AND(AND(AND(BD$4&gt;='2025'!$L110,BD$4&lt;='2025'!$M110), BD$4&lt;&gt;DATE(2025,7,4)), (SWITCH(weekday(BD$4), 1, 0, 2, if(ISBLANK('2025'!$P110), 0, 1), 3, if(ISBLANK('2025'!$Q110), 0, 1), 4, if(ISBLANK('2025'!$R110), 0, 1), 5, if(ISBLANK('2025'!$S110), 0, 1), 6, if(ISBLANK('2025'!$T110), 0, 1), 7, 0))), 1, "")</f>
        <v/>
      </c>
      <c r="BE112" s="1" t="str">
        <f>IF(AND(AND(AND(BE$4&gt;='2025'!$L110,BE$4&lt;='2025'!$M110), BE$4&lt;&gt;DATE(2025,7,4)), (SWITCH(weekday(BE$4), 1, 0, 2, if(ISBLANK('2025'!$P110), 0, 1), 3, if(ISBLANK('2025'!$Q110), 0, 1), 4, if(ISBLANK('2025'!$R110), 0, 1), 5, if(ISBLANK('2025'!$S110), 0, 1), 6, if(ISBLANK('2025'!$T110), 0, 1), 7, 0))), 1, "")</f>
        <v/>
      </c>
      <c r="BF112" s="1" t="str">
        <f>IF(AND(AND(AND(BF$4&gt;='2025'!$L110,BF$4&lt;='2025'!$M110), BF$4&lt;&gt;DATE(2025,7,4)), (SWITCH(weekday(BF$4), 1, 0, 2, if(ISBLANK('2025'!$P110), 0, 1), 3, if(ISBLANK('2025'!$Q110), 0, 1), 4, if(ISBLANK('2025'!$R110), 0, 1), 5, if(ISBLANK('2025'!$S110), 0, 1), 6, if(ISBLANK('2025'!$T110), 0, 1), 7, 0))), 1, "")</f>
        <v/>
      </c>
      <c r="BG112" s="1"/>
      <c r="BH112" s="1"/>
      <c r="BI112" s="1"/>
      <c r="BJ112" s="1"/>
      <c r="BK112" s="1"/>
      <c r="BL112" s="1"/>
    </row>
    <row r="113">
      <c r="A113" s="1">
        <f t="shared" si="3"/>
        <v>113</v>
      </c>
      <c r="B113" s="1" t="str">
        <f>'2025'!D77</f>
        <v>, </v>
      </c>
      <c r="C113" s="1" t="str">
        <f>'2025'!H77</f>
        <v/>
      </c>
      <c r="D113" s="1" t="str">
        <f>IF(AND(AND(AND(D$4&gt;='2025'!$L111,D$4&lt;='2025'!$M111), D$4&lt;&gt;DATE(2025,7,4)), (SWITCH(weekday(D$4), 1, 0, 2, if(ISBLANK('2025'!$P111), 0, 1), 3, if(ISBLANK('2025'!$Q111), 0, 1), 4, if(ISBLANK('2025'!$R111), 0, 1), 5, if(ISBLANK('2025'!$S111), 0, 1), 6, if(ISBLANK('2025'!$T111), 0, 1), 7, 0))), 1, "")</f>
        <v/>
      </c>
      <c r="E113" s="1" t="str">
        <f>IF(AND(AND(AND(E$4&gt;='2025'!$L111,E$4&lt;='2025'!$M111), E$4&lt;&gt;DATE(2025,7,4)), (SWITCH(weekday(E$4), 1, 0, 2, if(ISBLANK('2025'!$P111), 0, 1), 3, if(ISBLANK('2025'!$Q111), 0, 1), 4, if(ISBLANK('2025'!$R111), 0, 1), 5, if(ISBLANK('2025'!$S111), 0, 1), 6, if(ISBLANK('2025'!$T111), 0, 1), 7, 0))), 1, "")</f>
        <v/>
      </c>
      <c r="F113" s="1" t="str">
        <f>IF(AND(AND(AND(F$4&gt;='2025'!$L111,F$4&lt;='2025'!$M111), F$4&lt;&gt;DATE(2025,7,4)), (SWITCH(weekday(F$4), 1, 0, 2, if(ISBLANK('2025'!$P111), 0, 1), 3, if(ISBLANK('2025'!$Q111), 0, 1), 4, if(ISBLANK('2025'!$R111), 0, 1), 5, if(ISBLANK('2025'!$S111), 0, 1), 6, if(ISBLANK('2025'!$T111), 0, 1), 7, 0))), 1, "")</f>
        <v/>
      </c>
      <c r="G113" s="1" t="str">
        <f>IF(AND(AND(AND(G$4&gt;='2025'!$L111,G$4&lt;='2025'!$M111), G$4&lt;&gt;DATE(2025,7,4)), (SWITCH(weekday(G$4), 1, 0, 2, if(ISBLANK('2025'!$P111), 0, 1), 3, if(ISBLANK('2025'!$Q111), 0, 1), 4, if(ISBLANK('2025'!$R111), 0, 1), 5, if(ISBLANK('2025'!$S111), 0, 1), 6, if(ISBLANK('2025'!$T111), 0, 1), 7, 0))), 1, "")</f>
        <v/>
      </c>
      <c r="H113" s="1" t="str">
        <f>IF(AND(AND(AND(H$4&gt;='2025'!$L111,H$4&lt;='2025'!$M111), H$4&lt;&gt;DATE(2025,7,4)), (SWITCH(weekday(H$4), 1, 0, 2, if(ISBLANK('2025'!$P111), 0, 1), 3, if(ISBLANK('2025'!$Q111), 0, 1), 4, if(ISBLANK('2025'!$R111), 0, 1), 5, if(ISBLANK('2025'!$S111), 0, 1), 6, if(ISBLANK('2025'!$T111), 0, 1), 7, 0))), 1, "")</f>
        <v/>
      </c>
      <c r="I113" s="1" t="str">
        <f>IF(AND(AND(AND(I$4&gt;='2025'!$L111,I$4&lt;='2025'!$M111), I$4&lt;&gt;DATE(2025,7,4)), (SWITCH(weekday(I$4), 1, 0, 2, if(ISBLANK('2025'!$P111), 0, 1), 3, if(ISBLANK('2025'!$Q111), 0, 1), 4, if(ISBLANK('2025'!$R111), 0, 1), 5, if(ISBLANK('2025'!$S111), 0, 1), 6, if(ISBLANK('2025'!$T111), 0, 1), 7, 0))), 1, "")</f>
        <v/>
      </c>
      <c r="J113" s="1" t="str">
        <f>IF(AND(AND(AND(J$4&gt;='2025'!$L111,J$4&lt;='2025'!$M111), J$4&lt;&gt;DATE(2025,7,4)), (SWITCH(weekday(J$4), 1, 0, 2, if(ISBLANK('2025'!$P111), 0, 1), 3, if(ISBLANK('2025'!$Q111), 0, 1), 4, if(ISBLANK('2025'!$R111), 0, 1), 5, if(ISBLANK('2025'!$S111), 0, 1), 6, if(ISBLANK('2025'!$T111), 0, 1), 7, 0))), 1, "")</f>
        <v/>
      </c>
      <c r="K113" s="1" t="str">
        <f>IF(AND(AND(AND(K$4&gt;='2025'!$L111,K$4&lt;='2025'!$M111), K$4&lt;&gt;DATE(2025,7,4)), (SWITCH(weekday(K$4), 1, 0, 2, if(ISBLANK('2025'!$P111), 0, 1), 3, if(ISBLANK('2025'!$Q111), 0, 1), 4, if(ISBLANK('2025'!$R111), 0, 1), 5, if(ISBLANK('2025'!$S111), 0, 1), 6, if(ISBLANK('2025'!$T111), 0, 1), 7, 0))), 1, "")</f>
        <v/>
      </c>
      <c r="L113" s="1" t="str">
        <f>IF(AND(AND(AND(L$4&gt;='2025'!$L111,L$4&lt;='2025'!$M111), L$4&lt;&gt;DATE(2025,7,4)), (SWITCH(weekday(L$4), 1, 0, 2, if(ISBLANK('2025'!$P111), 0, 1), 3, if(ISBLANK('2025'!$Q111), 0, 1), 4, if(ISBLANK('2025'!$R111), 0, 1), 5, if(ISBLANK('2025'!$S111), 0, 1), 6, if(ISBLANK('2025'!$T111), 0, 1), 7, 0))), 1, "")</f>
        <v/>
      </c>
      <c r="M113" s="1" t="str">
        <f>IF(AND(AND(AND(M$4&gt;='2025'!$L111,M$4&lt;='2025'!$M111), M$4&lt;&gt;DATE(2025,7,4)), (SWITCH(weekday(M$4), 1, 0, 2, if(ISBLANK('2025'!$P111), 0, 1), 3, if(ISBLANK('2025'!$Q111), 0, 1), 4, if(ISBLANK('2025'!$R111), 0, 1), 5, if(ISBLANK('2025'!$S111), 0, 1), 6, if(ISBLANK('2025'!$T111), 0, 1), 7, 0))), 1, "")</f>
        <v/>
      </c>
      <c r="N113" s="1" t="str">
        <f>IF(AND(AND(AND(N$4&gt;='2025'!$L111,N$4&lt;='2025'!$M111), N$4&lt;&gt;DATE(2025,7,4)), (SWITCH(weekday(N$4), 1, 0, 2, if(ISBLANK('2025'!$P111), 0, 1), 3, if(ISBLANK('2025'!$Q111), 0, 1), 4, if(ISBLANK('2025'!$R111), 0, 1), 5, if(ISBLANK('2025'!$S111), 0, 1), 6, if(ISBLANK('2025'!$T111), 0, 1), 7, 0))), 1, "")</f>
        <v/>
      </c>
      <c r="O113" s="1" t="str">
        <f>IF(AND(AND(AND(O$4&gt;='2025'!$L111,O$4&lt;='2025'!$M111), O$4&lt;&gt;DATE(2025,7,4)), (SWITCH(weekday(O$4), 1, 0, 2, if(ISBLANK('2025'!$P111), 0, 1), 3, if(ISBLANK('2025'!$Q111), 0, 1), 4, if(ISBLANK('2025'!$R111), 0, 1), 5, if(ISBLANK('2025'!$S111), 0, 1), 6, if(ISBLANK('2025'!$T111), 0, 1), 7, 0))), 1, "")</f>
        <v/>
      </c>
      <c r="P113" s="1" t="str">
        <f>IF(AND(AND(AND(P$4&gt;='2025'!$L111,P$4&lt;='2025'!$M111), P$4&lt;&gt;DATE(2025,7,4)), (SWITCH(weekday(P$4), 1, 0, 2, if(ISBLANK('2025'!$P111), 0, 1), 3, if(ISBLANK('2025'!$Q111), 0, 1), 4, if(ISBLANK('2025'!$R111), 0, 1), 5, if(ISBLANK('2025'!$S111), 0, 1), 6, if(ISBLANK('2025'!$T111), 0, 1), 7, 0))), 1, "")</f>
        <v/>
      </c>
      <c r="Q113" s="1" t="str">
        <f>IF(AND(AND(AND(Q$4&gt;='2025'!$L111,Q$4&lt;='2025'!$M111), Q$4&lt;&gt;DATE(2025,7,4)), (SWITCH(weekday(Q$4), 1, 0, 2, if(ISBLANK('2025'!$P111), 0, 1), 3, if(ISBLANK('2025'!$Q111), 0, 1), 4, if(ISBLANK('2025'!$R111), 0, 1), 5, if(ISBLANK('2025'!$S111), 0, 1), 6, if(ISBLANK('2025'!$T111), 0, 1), 7, 0))), 1, "")</f>
        <v/>
      </c>
      <c r="R113" s="1" t="str">
        <f>IF(AND(AND(AND(R$4&gt;='2025'!$L111,R$4&lt;='2025'!$M111), R$4&lt;&gt;DATE(2025,7,4)), (SWITCH(weekday(R$4), 1, 0, 2, if(ISBLANK('2025'!$P111), 0, 1), 3, if(ISBLANK('2025'!$Q111), 0, 1), 4, if(ISBLANK('2025'!$R111), 0, 1), 5, if(ISBLANK('2025'!$S111), 0, 1), 6, if(ISBLANK('2025'!$T111), 0, 1), 7, 0))), 1, "")</f>
        <v/>
      </c>
      <c r="S113" s="1" t="str">
        <f>IF(AND(AND(AND(S$4&gt;='2025'!$L111,S$4&lt;='2025'!$M111), S$4&lt;&gt;DATE(2025,7,4)), (SWITCH(weekday(S$4), 1, 0, 2, if(ISBLANK('2025'!$P111), 0, 1), 3, if(ISBLANK('2025'!$Q111), 0, 1), 4, if(ISBLANK('2025'!$R111), 0, 1), 5, if(ISBLANK('2025'!$S111), 0, 1), 6, if(ISBLANK('2025'!$T111), 0, 1), 7, 0))), 1, "")</f>
        <v/>
      </c>
      <c r="T113" s="1" t="str">
        <f>IF(AND(AND(AND(T$4&gt;='2025'!$L111,T$4&lt;='2025'!$M111), T$4&lt;&gt;DATE(2025,7,4)), (SWITCH(weekday(T$4), 1, 0, 2, if(ISBLANK('2025'!$P111), 0, 1), 3, if(ISBLANK('2025'!$Q111), 0, 1), 4, if(ISBLANK('2025'!$R111), 0, 1), 5, if(ISBLANK('2025'!$S111), 0, 1), 6, if(ISBLANK('2025'!$T111), 0, 1), 7, 0))), 1, "")</f>
        <v/>
      </c>
      <c r="U113" s="1" t="str">
        <f>IF(AND(AND(AND(U$4&gt;='2025'!$L111,U$4&lt;='2025'!$M111), U$4&lt;&gt;DATE(2025,7,4)), (SWITCH(weekday(U$4), 1, 0, 2, if(ISBLANK('2025'!$P111), 0, 1), 3, if(ISBLANK('2025'!$Q111), 0, 1), 4, if(ISBLANK('2025'!$R111), 0, 1), 5, if(ISBLANK('2025'!$S111), 0, 1), 6, if(ISBLANK('2025'!$T111), 0, 1), 7, 0))), 1, "")</f>
        <v/>
      </c>
      <c r="V113" s="1" t="str">
        <f>IF(AND(AND(AND(V$4&gt;='2025'!$L111,V$4&lt;='2025'!$M111), V$4&lt;&gt;DATE(2025,7,4)), (SWITCH(weekday(V$4), 1, 0, 2, if(ISBLANK('2025'!$P111), 0, 1), 3, if(ISBLANK('2025'!$Q111), 0, 1), 4, if(ISBLANK('2025'!$R111), 0, 1), 5, if(ISBLANK('2025'!$S111), 0, 1), 6, if(ISBLANK('2025'!$T111), 0, 1), 7, 0))), 1, "")</f>
        <v/>
      </c>
      <c r="W113" s="1" t="str">
        <f>IF(AND(AND(AND(W$4&gt;='2025'!$L111,W$4&lt;='2025'!$M111), W$4&lt;&gt;DATE(2025,7,4)), (SWITCH(weekday(W$4), 1, 0, 2, if(ISBLANK('2025'!$P111), 0, 1), 3, if(ISBLANK('2025'!$Q111), 0, 1), 4, if(ISBLANK('2025'!$R111), 0, 1), 5, if(ISBLANK('2025'!$S111), 0, 1), 6, if(ISBLANK('2025'!$T111), 0, 1), 7, 0))), 1, "")</f>
        <v/>
      </c>
      <c r="X113" s="1" t="str">
        <f>IF(AND(AND(AND(X$4&gt;='2025'!$L111,X$4&lt;='2025'!$M111), X$4&lt;&gt;DATE(2025,7,4)), (SWITCH(weekday(X$4), 1, 0, 2, if(ISBLANK('2025'!$P111), 0, 1), 3, if(ISBLANK('2025'!$Q111), 0, 1), 4, if(ISBLANK('2025'!$R111), 0, 1), 5, if(ISBLANK('2025'!$S111), 0, 1), 6, if(ISBLANK('2025'!$T111), 0, 1), 7, 0))), 1, "")</f>
        <v/>
      </c>
      <c r="Y113" s="1" t="str">
        <f>IF(AND(AND(AND(Y$4&gt;='2025'!$L111,Y$4&lt;='2025'!$M111), Y$4&lt;&gt;DATE(2025,7,4)), (SWITCH(weekday(Y$4), 1, 0, 2, if(ISBLANK('2025'!$P111), 0, 1), 3, if(ISBLANK('2025'!$Q111), 0, 1), 4, if(ISBLANK('2025'!$R111), 0, 1), 5, if(ISBLANK('2025'!$S111), 0, 1), 6, if(ISBLANK('2025'!$T111), 0, 1), 7, 0))), 1, "")</f>
        <v/>
      </c>
      <c r="Z113" s="1" t="str">
        <f>IF(AND(AND(AND(Z$4&gt;='2025'!$L111,Z$4&lt;='2025'!$M111), Z$4&lt;&gt;DATE(2025,7,4)), (SWITCH(weekday(Z$4), 1, 0, 2, if(ISBLANK('2025'!$P111), 0, 1), 3, if(ISBLANK('2025'!$Q111), 0, 1), 4, if(ISBLANK('2025'!$R111), 0, 1), 5, if(ISBLANK('2025'!$S111), 0, 1), 6, if(ISBLANK('2025'!$T111), 0, 1), 7, 0))), 1, "")</f>
        <v/>
      </c>
      <c r="AA113" s="1" t="str">
        <f>IF(AND(AND(AND(AA$4&gt;='2025'!$L111,AA$4&lt;='2025'!$M111), AA$4&lt;&gt;DATE(2025,7,4)), (SWITCH(weekday(AA$4), 1, 0, 2, if(ISBLANK('2025'!$P111), 0, 1), 3, if(ISBLANK('2025'!$Q111), 0, 1), 4, if(ISBLANK('2025'!$R111), 0, 1), 5, if(ISBLANK('2025'!$S111), 0, 1), 6, if(ISBLANK('2025'!$T111), 0, 1), 7, 0))), 1, "")</f>
        <v/>
      </c>
      <c r="AB113" s="1" t="str">
        <f>IF(AND(AND(AND(AB$4&gt;='2025'!$L111,AB$4&lt;='2025'!$M111), AB$4&lt;&gt;DATE(2025,7,4)), (SWITCH(weekday(AB$4), 1, 0, 2, if(ISBLANK('2025'!$P111), 0, 1), 3, if(ISBLANK('2025'!$Q111), 0, 1), 4, if(ISBLANK('2025'!$R111), 0, 1), 5, if(ISBLANK('2025'!$S111), 0, 1), 6, if(ISBLANK('2025'!$T111), 0, 1), 7, 0))), 1, "")</f>
        <v/>
      </c>
      <c r="AC113" s="1" t="str">
        <f>IF(AND(AND(AND(AC$4&gt;='2025'!$L111,AC$4&lt;='2025'!$M111), AC$4&lt;&gt;DATE(2025,7,4)), (SWITCH(weekday(AC$4), 1, 0, 2, if(ISBLANK('2025'!$P111), 0, 1), 3, if(ISBLANK('2025'!$Q111), 0, 1), 4, if(ISBLANK('2025'!$R111), 0, 1), 5, if(ISBLANK('2025'!$S111), 0, 1), 6, if(ISBLANK('2025'!$T111), 0, 1), 7, 0))), 1, "")</f>
        <v/>
      </c>
      <c r="AD113" s="1" t="str">
        <f>IF(AND(AND(AND(AD$4&gt;='2025'!$L111,AD$4&lt;='2025'!$M111), AD$4&lt;&gt;DATE(2025,7,4)), (SWITCH(weekday(AD$4), 1, 0, 2, if(ISBLANK('2025'!$P111), 0, 1), 3, if(ISBLANK('2025'!$Q111), 0, 1), 4, if(ISBLANK('2025'!$R111), 0, 1), 5, if(ISBLANK('2025'!$S111), 0, 1), 6, if(ISBLANK('2025'!$T111), 0, 1), 7, 0))), 1, "")</f>
        <v/>
      </c>
      <c r="AE113" s="1" t="str">
        <f>IF(AND(AND(AND(AE$4&gt;='2025'!$L111,AE$4&lt;='2025'!$M111), AE$4&lt;&gt;DATE(2025,7,4)), (SWITCH(weekday(AE$4), 1, 0, 2, if(ISBLANK('2025'!$P111), 0, 1), 3, if(ISBLANK('2025'!$Q111), 0, 1), 4, if(ISBLANK('2025'!$R111), 0, 1), 5, if(ISBLANK('2025'!$S111), 0, 1), 6, if(ISBLANK('2025'!$T111), 0, 1), 7, 0))), 1, "")</f>
        <v/>
      </c>
      <c r="AF113" s="1" t="str">
        <f>IF(AND(AND(AND(AF$4&gt;='2025'!$L111,AF$4&lt;='2025'!$M111), AF$4&lt;&gt;DATE(2025,7,4)), (SWITCH(weekday(AF$4), 1, 0, 2, if(ISBLANK('2025'!$P111), 0, 1), 3, if(ISBLANK('2025'!$Q111), 0, 1), 4, if(ISBLANK('2025'!$R111), 0, 1), 5, if(ISBLANK('2025'!$S111), 0, 1), 6, if(ISBLANK('2025'!$T111), 0, 1), 7, 0))), 1, "")</f>
        <v/>
      </c>
      <c r="AG113" s="1" t="str">
        <f>IF(AND(AND(AND(AG$4&gt;='2025'!$L111,AG$4&lt;='2025'!$M111), AG$4&lt;&gt;DATE(2025,7,4)), (SWITCH(weekday(AG$4), 1, 0, 2, if(ISBLANK('2025'!$P111), 0, 1), 3, if(ISBLANK('2025'!$Q111), 0, 1), 4, if(ISBLANK('2025'!$R111), 0, 1), 5, if(ISBLANK('2025'!$S111), 0, 1), 6, if(ISBLANK('2025'!$T111), 0, 1), 7, 0))), 1, "")</f>
        <v/>
      </c>
      <c r="AH113" s="1" t="str">
        <f>IF(AND(AND(AND(AH$4&gt;='2025'!$L111,AH$4&lt;='2025'!$M111), AH$4&lt;&gt;DATE(2025,7,4)), (SWITCH(weekday(AH$4), 1, 0, 2, if(ISBLANK('2025'!$P111), 0, 1), 3, if(ISBLANK('2025'!$Q111), 0, 1), 4, if(ISBLANK('2025'!$R111), 0, 1), 5, if(ISBLANK('2025'!$S111), 0, 1), 6, if(ISBLANK('2025'!$T111), 0, 1), 7, 0))), 1, "")</f>
        <v/>
      </c>
      <c r="AI113" s="1" t="str">
        <f>IF(AND(AND(AND(AI$4&gt;='2025'!$L111,AI$4&lt;='2025'!$M111), AI$4&lt;&gt;DATE(2025,7,4)), (SWITCH(weekday(AI$4), 1, 0, 2, if(ISBLANK('2025'!$P111), 0, 1), 3, if(ISBLANK('2025'!$Q111), 0, 1), 4, if(ISBLANK('2025'!$R111), 0, 1), 5, if(ISBLANK('2025'!$S111), 0, 1), 6, if(ISBLANK('2025'!$T111), 0, 1), 7, 0))), 1, "")</f>
        <v/>
      </c>
      <c r="AJ113" s="1" t="str">
        <f>IF(AND(AND(AND(AJ$4&gt;='2025'!$L111,AJ$4&lt;='2025'!$M111), AJ$4&lt;&gt;DATE(2025,7,4)), (SWITCH(weekday(AJ$4), 1, 0, 2, if(ISBLANK('2025'!$P111), 0, 1), 3, if(ISBLANK('2025'!$Q111), 0, 1), 4, if(ISBLANK('2025'!$R111), 0, 1), 5, if(ISBLANK('2025'!$S111), 0, 1), 6, if(ISBLANK('2025'!$T111), 0, 1), 7, 0))), 1, "")</f>
        <v/>
      </c>
      <c r="AK113" s="1" t="str">
        <f>IF(AND(AND(AND(AK$4&gt;='2025'!$L111,AK$4&lt;='2025'!$M111), AK$4&lt;&gt;DATE(2025,7,4)), (SWITCH(weekday(AK$4), 1, 0, 2, if(ISBLANK('2025'!$P111), 0, 1), 3, if(ISBLANK('2025'!$Q111), 0, 1), 4, if(ISBLANK('2025'!$R111), 0, 1), 5, if(ISBLANK('2025'!$S111), 0, 1), 6, if(ISBLANK('2025'!$T111), 0, 1), 7, 0))), 1, "")</f>
        <v/>
      </c>
      <c r="AL113" s="1" t="str">
        <f>IF(AND(AND(AND(AL$4&gt;='2025'!$L111,AL$4&lt;='2025'!$M111), AL$4&lt;&gt;DATE(2025,7,4)), (SWITCH(weekday(AL$4), 1, 0, 2, if(ISBLANK('2025'!$P111), 0, 1), 3, if(ISBLANK('2025'!$Q111), 0, 1), 4, if(ISBLANK('2025'!$R111), 0, 1), 5, if(ISBLANK('2025'!$S111), 0, 1), 6, if(ISBLANK('2025'!$T111), 0, 1), 7, 0))), 1, "")</f>
        <v/>
      </c>
      <c r="AM113" s="1" t="str">
        <f>IF(AND(AND(AND(AM$4&gt;='2025'!$L111,AM$4&lt;='2025'!$M111), AM$4&lt;&gt;DATE(2025,7,4)), (SWITCH(weekday(AM$4), 1, 0, 2, if(ISBLANK('2025'!$P111), 0, 1), 3, if(ISBLANK('2025'!$Q111), 0, 1), 4, if(ISBLANK('2025'!$R111), 0, 1), 5, if(ISBLANK('2025'!$S111), 0, 1), 6, if(ISBLANK('2025'!$T111), 0, 1), 7, 0))), 1, "")</f>
        <v/>
      </c>
      <c r="AN113" s="1" t="str">
        <f>IF(AND(AND(AND(AN$4&gt;='2025'!$L111,AN$4&lt;='2025'!$M111), AN$4&lt;&gt;DATE(2025,7,4)), (SWITCH(weekday(AN$4), 1, 0, 2, if(ISBLANK('2025'!$P111), 0, 1), 3, if(ISBLANK('2025'!$Q111), 0, 1), 4, if(ISBLANK('2025'!$R111), 0, 1), 5, if(ISBLANK('2025'!$S111), 0, 1), 6, if(ISBLANK('2025'!$T111), 0, 1), 7, 0))), 1, "")</f>
        <v/>
      </c>
      <c r="AO113" s="1" t="str">
        <f>IF(AND(AND(AND(AO$4&gt;='2025'!$L111,AO$4&lt;='2025'!$M111), AO$4&lt;&gt;DATE(2025,7,4)), (SWITCH(weekday(AO$4), 1, 0, 2, if(ISBLANK('2025'!$P111), 0, 1), 3, if(ISBLANK('2025'!$Q111), 0, 1), 4, if(ISBLANK('2025'!$R111), 0, 1), 5, if(ISBLANK('2025'!$S111), 0, 1), 6, if(ISBLANK('2025'!$T111), 0, 1), 7, 0))), 1, "")</f>
        <v/>
      </c>
      <c r="AP113" s="1" t="str">
        <f>IF(AND(AND(AND(AP$4&gt;='2025'!$L111,AP$4&lt;='2025'!$M111), AP$4&lt;&gt;DATE(2025,7,4)), (SWITCH(weekday(AP$4), 1, 0, 2, if(ISBLANK('2025'!$P111), 0, 1), 3, if(ISBLANK('2025'!$Q111), 0, 1), 4, if(ISBLANK('2025'!$R111), 0, 1), 5, if(ISBLANK('2025'!$S111), 0, 1), 6, if(ISBLANK('2025'!$T111), 0, 1), 7, 0))), 1, "")</f>
        <v/>
      </c>
      <c r="AQ113" s="1" t="str">
        <f>IF(AND(AND(AND(AQ$4&gt;='2025'!$L111,AQ$4&lt;='2025'!$M111), AQ$4&lt;&gt;DATE(2025,7,4)), (SWITCH(weekday(AQ$4), 1, 0, 2, if(ISBLANK('2025'!$P111), 0, 1), 3, if(ISBLANK('2025'!$Q111), 0, 1), 4, if(ISBLANK('2025'!$R111), 0, 1), 5, if(ISBLANK('2025'!$S111), 0, 1), 6, if(ISBLANK('2025'!$T111), 0, 1), 7, 0))), 1, "")</f>
        <v/>
      </c>
      <c r="AR113" s="1" t="str">
        <f>IF(AND(AND(AND(AR$4&gt;='2025'!$L111,AR$4&lt;='2025'!$M111), AR$4&lt;&gt;DATE(2025,7,4)), (SWITCH(weekday(AR$4), 1, 0, 2, if(ISBLANK('2025'!$P111), 0, 1), 3, if(ISBLANK('2025'!$Q111), 0, 1), 4, if(ISBLANK('2025'!$R111), 0, 1), 5, if(ISBLANK('2025'!$S111), 0, 1), 6, if(ISBLANK('2025'!$T111), 0, 1), 7, 0))), 1, "")</f>
        <v/>
      </c>
      <c r="AS113" s="1" t="str">
        <f>IF(AND(AND(AND(AS$4&gt;='2025'!$L111,AS$4&lt;='2025'!$M111), AS$4&lt;&gt;DATE(2025,7,4)), (SWITCH(weekday(AS$4), 1, 0, 2, if(ISBLANK('2025'!$P111), 0, 1), 3, if(ISBLANK('2025'!$Q111), 0, 1), 4, if(ISBLANK('2025'!$R111), 0, 1), 5, if(ISBLANK('2025'!$S111), 0, 1), 6, if(ISBLANK('2025'!$T111), 0, 1), 7, 0))), 1, "")</f>
        <v/>
      </c>
      <c r="AT113" s="1" t="str">
        <f>IF(AND(AND(AND(AT$4&gt;='2025'!$L111,AT$4&lt;='2025'!$M111), AT$4&lt;&gt;DATE(2025,7,4)), (SWITCH(weekday(AT$4), 1, 0, 2, if(ISBLANK('2025'!$P111), 0, 1), 3, if(ISBLANK('2025'!$Q111), 0, 1), 4, if(ISBLANK('2025'!$R111), 0, 1), 5, if(ISBLANK('2025'!$S111), 0, 1), 6, if(ISBLANK('2025'!$T111), 0, 1), 7, 0))), 1, "")</f>
        <v/>
      </c>
      <c r="AU113" s="1" t="str">
        <f>IF(AND(AND(AND(AU$4&gt;='2025'!$L111,AU$4&lt;='2025'!$M111), AU$4&lt;&gt;DATE(2025,7,4)), (SWITCH(weekday(AU$4), 1, 0, 2, if(ISBLANK('2025'!$P111), 0, 1), 3, if(ISBLANK('2025'!$Q111), 0, 1), 4, if(ISBLANK('2025'!$R111), 0, 1), 5, if(ISBLANK('2025'!$S111), 0, 1), 6, if(ISBLANK('2025'!$T111), 0, 1), 7, 0))), 1, "")</f>
        <v/>
      </c>
      <c r="AV113" s="1" t="str">
        <f>IF(AND(AND(AND(AV$4&gt;='2025'!$L111,AV$4&lt;='2025'!$M111), AV$4&lt;&gt;DATE(2025,7,4)), (SWITCH(weekday(AV$4), 1, 0, 2, if(ISBLANK('2025'!$P111), 0, 1), 3, if(ISBLANK('2025'!$Q111), 0, 1), 4, if(ISBLANK('2025'!$R111), 0, 1), 5, if(ISBLANK('2025'!$S111), 0, 1), 6, if(ISBLANK('2025'!$T111), 0, 1), 7, 0))), 1, "")</f>
        <v/>
      </c>
      <c r="AW113" s="1" t="str">
        <f>IF(AND(AND(AND(AW$4&gt;='2025'!$L111,AW$4&lt;='2025'!$M111), AW$4&lt;&gt;DATE(2025,7,4)), (SWITCH(weekday(AW$4), 1, 0, 2, if(ISBLANK('2025'!$P111), 0, 1), 3, if(ISBLANK('2025'!$Q111), 0, 1), 4, if(ISBLANK('2025'!$R111), 0, 1), 5, if(ISBLANK('2025'!$S111), 0, 1), 6, if(ISBLANK('2025'!$T111), 0, 1), 7, 0))), 1, "")</f>
        <v/>
      </c>
      <c r="AX113" s="1" t="str">
        <f>IF(AND(AND(AND(AX$4&gt;='2025'!$L111,AX$4&lt;='2025'!$M111), AX$4&lt;&gt;DATE(2025,7,4)), (SWITCH(weekday(AX$4), 1, 0, 2, if(ISBLANK('2025'!$P111), 0, 1), 3, if(ISBLANK('2025'!$Q111), 0, 1), 4, if(ISBLANK('2025'!$R111), 0, 1), 5, if(ISBLANK('2025'!$S111), 0, 1), 6, if(ISBLANK('2025'!$T111), 0, 1), 7, 0))), 1, "")</f>
        <v/>
      </c>
      <c r="AY113" s="1" t="str">
        <f>IF(AND(AND(AND(AY$4&gt;='2025'!$L111,AY$4&lt;='2025'!$M111), AY$4&lt;&gt;DATE(2025,7,4)), (SWITCH(weekday(AY$4), 1, 0, 2, if(ISBLANK('2025'!$P111), 0, 1), 3, if(ISBLANK('2025'!$Q111), 0, 1), 4, if(ISBLANK('2025'!$R111), 0, 1), 5, if(ISBLANK('2025'!$S111), 0, 1), 6, if(ISBLANK('2025'!$T111), 0, 1), 7, 0))), 1, "")</f>
        <v/>
      </c>
      <c r="AZ113" s="1" t="str">
        <f>IF(AND(AND(AND(AZ$4&gt;='2025'!$L111,AZ$4&lt;='2025'!$M111), AZ$4&lt;&gt;DATE(2025,7,4)), (SWITCH(weekday(AZ$4), 1, 0, 2, if(ISBLANK('2025'!$P111), 0, 1), 3, if(ISBLANK('2025'!$Q111), 0, 1), 4, if(ISBLANK('2025'!$R111), 0, 1), 5, if(ISBLANK('2025'!$S111), 0, 1), 6, if(ISBLANK('2025'!$T111), 0, 1), 7, 0))), 1, "")</f>
        <v/>
      </c>
      <c r="BA113" s="1" t="str">
        <f>IF(AND(AND(AND(BA$4&gt;='2025'!$L111,BA$4&lt;='2025'!$M111), BA$4&lt;&gt;DATE(2025,7,4)), (SWITCH(weekday(BA$4), 1, 0, 2, if(ISBLANK('2025'!$P111), 0, 1), 3, if(ISBLANK('2025'!$Q111), 0, 1), 4, if(ISBLANK('2025'!$R111), 0, 1), 5, if(ISBLANK('2025'!$S111), 0, 1), 6, if(ISBLANK('2025'!$T111), 0, 1), 7, 0))), 1, "")</f>
        <v/>
      </c>
      <c r="BB113" s="1" t="str">
        <f>IF(AND(AND(AND(BB$4&gt;='2025'!$L111,BB$4&lt;='2025'!$M111), BB$4&lt;&gt;DATE(2025,7,4)), (SWITCH(weekday(BB$4), 1, 0, 2, if(ISBLANK('2025'!$P111), 0, 1), 3, if(ISBLANK('2025'!$Q111), 0, 1), 4, if(ISBLANK('2025'!$R111), 0, 1), 5, if(ISBLANK('2025'!$S111), 0, 1), 6, if(ISBLANK('2025'!$T111), 0, 1), 7, 0))), 1, "")</f>
        <v/>
      </c>
      <c r="BC113" s="1" t="str">
        <f>IF(AND(AND(AND(BC$4&gt;='2025'!$L111,BC$4&lt;='2025'!$M111), BC$4&lt;&gt;DATE(2025,7,4)), (SWITCH(weekday(BC$4), 1, 0, 2, if(ISBLANK('2025'!$P111), 0, 1), 3, if(ISBLANK('2025'!$Q111), 0, 1), 4, if(ISBLANK('2025'!$R111), 0, 1), 5, if(ISBLANK('2025'!$S111), 0, 1), 6, if(ISBLANK('2025'!$T111), 0, 1), 7, 0))), 1, "")</f>
        <v/>
      </c>
      <c r="BD113" s="1" t="str">
        <f>IF(AND(AND(AND(BD$4&gt;='2025'!$L111,BD$4&lt;='2025'!$M111), BD$4&lt;&gt;DATE(2025,7,4)), (SWITCH(weekday(BD$4), 1, 0, 2, if(ISBLANK('2025'!$P111), 0, 1), 3, if(ISBLANK('2025'!$Q111), 0, 1), 4, if(ISBLANK('2025'!$R111), 0, 1), 5, if(ISBLANK('2025'!$S111), 0, 1), 6, if(ISBLANK('2025'!$T111), 0, 1), 7, 0))), 1, "")</f>
        <v/>
      </c>
      <c r="BE113" s="1" t="str">
        <f>IF(AND(AND(AND(BE$4&gt;='2025'!$L111,BE$4&lt;='2025'!$M111), BE$4&lt;&gt;DATE(2025,7,4)), (SWITCH(weekday(BE$4), 1, 0, 2, if(ISBLANK('2025'!$P111), 0, 1), 3, if(ISBLANK('2025'!$Q111), 0, 1), 4, if(ISBLANK('2025'!$R111), 0, 1), 5, if(ISBLANK('2025'!$S111), 0, 1), 6, if(ISBLANK('2025'!$T111), 0, 1), 7, 0))), 1, "")</f>
        <v/>
      </c>
      <c r="BF113" s="1" t="str">
        <f>IF(AND(AND(AND(BF$4&gt;='2025'!$L111,BF$4&lt;='2025'!$M111), BF$4&lt;&gt;DATE(2025,7,4)), (SWITCH(weekday(BF$4), 1, 0, 2, if(ISBLANK('2025'!$P111), 0, 1), 3, if(ISBLANK('2025'!$Q111), 0, 1), 4, if(ISBLANK('2025'!$R111), 0, 1), 5, if(ISBLANK('2025'!$S111), 0, 1), 6, if(ISBLANK('2025'!$T111), 0, 1), 7, 0))), 1, "")</f>
        <v/>
      </c>
      <c r="BG113" s="1"/>
      <c r="BH113" s="1"/>
      <c r="BI113" s="1"/>
      <c r="BJ113" s="1"/>
      <c r="BK113" s="1"/>
      <c r="BL113" s="1"/>
    </row>
    <row r="114">
      <c r="A114" s="1">
        <f t="shared" si="3"/>
        <v>114</v>
      </c>
      <c r="B114" s="1" t="str">
        <f>'2025'!D78</f>
        <v>, </v>
      </c>
      <c r="C114" s="1" t="str">
        <f>'2025'!H78</f>
        <v/>
      </c>
      <c r="D114" s="1" t="str">
        <f>IF(AND(AND(AND(D$4&gt;='2025'!$L112,D$4&lt;='2025'!$M112), D$4&lt;&gt;DATE(2025,7,4)), (SWITCH(weekday(D$4), 1, 0, 2, if(ISBLANK('2025'!$P112), 0, 1), 3, if(ISBLANK('2025'!$Q112), 0, 1), 4, if(ISBLANK('2025'!$R112), 0, 1), 5, if(ISBLANK('2025'!$S112), 0, 1), 6, if(ISBLANK('2025'!$T112), 0, 1), 7, 0))), 1, "")</f>
        <v/>
      </c>
      <c r="E114" s="1" t="str">
        <f>IF(AND(AND(AND(E$4&gt;='2025'!$L112,E$4&lt;='2025'!$M112), E$4&lt;&gt;DATE(2025,7,4)), (SWITCH(weekday(E$4), 1, 0, 2, if(ISBLANK('2025'!$P112), 0, 1), 3, if(ISBLANK('2025'!$Q112), 0, 1), 4, if(ISBLANK('2025'!$R112), 0, 1), 5, if(ISBLANK('2025'!$S112), 0, 1), 6, if(ISBLANK('2025'!$T112), 0, 1), 7, 0))), 1, "")</f>
        <v/>
      </c>
      <c r="F114" s="1" t="str">
        <f>IF(AND(AND(AND(F$4&gt;='2025'!$L112,F$4&lt;='2025'!$M112), F$4&lt;&gt;DATE(2025,7,4)), (SWITCH(weekday(F$4), 1, 0, 2, if(ISBLANK('2025'!$P112), 0, 1), 3, if(ISBLANK('2025'!$Q112), 0, 1), 4, if(ISBLANK('2025'!$R112), 0, 1), 5, if(ISBLANK('2025'!$S112), 0, 1), 6, if(ISBLANK('2025'!$T112), 0, 1), 7, 0))), 1, "")</f>
        <v/>
      </c>
      <c r="G114" s="1" t="str">
        <f>IF(AND(AND(AND(G$4&gt;='2025'!$L112,G$4&lt;='2025'!$M112), G$4&lt;&gt;DATE(2025,7,4)), (SWITCH(weekday(G$4), 1, 0, 2, if(ISBLANK('2025'!$P112), 0, 1), 3, if(ISBLANK('2025'!$Q112), 0, 1), 4, if(ISBLANK('2025'!$R112), 0, 1), 5, if(ISBLANK('2025'!$S112), 0, 1), 6, if(ISBLANK('2025'!$T112), 0, 1), 7, 0))), 1, "")</f>
        <v/>
      </c>
      <c r="H114" s="1" t="str">
        <f>IF(AND(AND(AND(H$4&gt;='2025'!$L112,H$4&lt;='2025'!$M112), H$4&lt;&gt;DATE(2025,7,4)), (SWITCH(weekday(H$4), 1, 0, 2, if(ISBLANK('2025'!$P112), 0, 1), 3, if(ISBLANK('2025'!$Q112), 0, 1), 4, if(ISBLANK('2025'!$R112), 0, 1), 5, if(ISBLANK('2025'!$S112), 0, 1), 6, if(ISBLANK('2025'!$T112), 0, 1), 7, 0))), 1, "")</f>
        <v/>
      </c>
      <c r="I114" s="1" t="str">
        <f>IF(AND(AND(AND(I$4&gt;='2025'!$L112,I$4&lt;='2025'!$M112), I$4&lt;&gt;DATE(2025,7,4)), (SWITCH(weekday(I$4), 1, 0, 2, if(ISBLANK('2025'!$P112), 0, 1), 3, if(ISBLANK('2025'!$Q112), 0, 1), 4, if(ISBLANK('2025'!$R112), 0, 1), 5, if(ISBLANK('2025'!$S112), 0, 1), 6, if(ISBLANK('2025'!$T112), 0, 1), 7, 0))), 1, "")</f>
        <v/>
      </c>
      <c r="J114" s="1" t="str">
        <f>IF(AND(AND(AND(J$4&gt;='2025'!$L112,J$4&lt;='2025'!$M112), J$4&lt;&gt;DATE(2025,7,4)), (SWITCH(weekday(J$4), 1, 0, 2, if(ISBLANK('2025'!$P112), 0, 1), 3, if(ISBLANK('2025'!$Q112), 0, 1), 4, if(ISBLANK('2025'!$R112), 0, 1), 5, if(ISBLANK('2025'!$S112), 0, 1), 6, if(ISBLANK('2025'!$T112), 0, 1), 7, 0))), 1, "")</f>
        <v/>
      </c>
      <c r="K114" s="1" t="str">
        <f>IF(AND(AND(AND(K$4&gt;='2025'!$L112,K$4&lt;='2025'!$M112), K$4&lt;&gt;DATE(2025,7,4)), (SWITCH(weekday(K$4), 1, 0, 2, if(ISBLANK('2025'!$P112), 0, 1), 3, if(ISBLANK('2025'!$Q112), 0, 1), 4, if(ISBLANK('2025'!$R112), 0, 1), 5, if(ISBLANK('2025'!$S112), 0, 1), 6, if(ISBLANK('2025'!$T112), 0, 1), 7, 0))), 1, "")</f>
        <v/>
      </c>
      <c r="L114" s="1" t="str">
        <f>IF(AND(AND(AND(L$4&gt;='2025'!$L112,L$4&lt;='2025'!$M112), L$4&lt;&gt;DATE(2025,7,4)), (SWITCH(weekday(L$4), 1, 0, 2, if(ISBLANK('2025'!$P112), 0, 1), 3, if(ISBLANK('2025'!$Q112), 0, 1), 4, if(ISBLANK('2025'!$R112), 0, 1), 5, if(ISBLANK('2025'!$S112), 0, 1), 6, if(ISBLANK('2025'!$T112), 0, 1), 7, 0))), 1, "")</f>
        <v/>
      </c>
      <c r="M114" s="1" t="str">
        <f>IF(AND(AND(AND(M$4&gt;='2025'!$L112,M$4&lt;='2025'!$M112), M$4&lt;&gt;DATE(2025,7,4)), (SWITCH(weekday(M$4), 1, 0, 2, if(ISBLANK('2025'!$P112), 0, 1), 3, if(ISBLANK('2025'!$Q112), 0, 1), 4, if(ISBLANK('2025'!$R112), 0, 1), 5, if(ISBLANK('2025'!$S112), 0, 1), 6, if(ISBLANK('2025'!$T112), 0, 1), 7, 0))), 1, "")</f>
        <v/>
      </c>
      <c r="N114" s="1" t="str">
        <f>IF(AND(AND(AND(N$4&gt;='2025'!$L112,N$4&lt;='2025'!$M112), N$4&lt;&gt;DATE(2025,7,4)), (SWITCH(weekday(N$4), 1, 0, 2, if(ISBLANK('2025'!$P112), 0, 1), 3, if(ISBLANK('2025'!$Q112), 0, 1), 4, if(ISBLANK('2025'!$R112), 0, 1), 5, if(ISBLANK('2025'!$S112), 0, 1), 6, if(ISBLANK('2025'!$T112), 0, 1), 7, 0))), 1, "")</f>
        <v/>
      </c>
      <c r="O114" s="1" t="str">
        <f>IF(AND(AND(AND(O$4&gt;='2025'!$L112,O$4&lt;='2025'!$M112), O$4&lt;&gt;DATE(2025,7,4)), (SWITCH(weekday(O$4), 1, 0, 2, if(ISBLANK('2025'!$P112), 0, 1), 3, if(ISBLANK('2025'!$Q112), 0, 1), 4, if(ISBLANK('2025'!$R112), 0, 1), 5, if(ISBLANK('2025'!$S112), 0, 1), 6, if(ISBLANK('2025'!$T112), 0, 1), 7, 0))), 1, "")</f>
        <v/>
      </c>
      <c r="P114" s="1" t="str">
        <f>IF(AND(AND(AND(P$4&gt;='2025'!$L112,P$4&lt;='2025'!$M112), P$4&lt;&gt;DATE(2025,7,4)), (SWITCH(weekday(P$4), 1, 0, 2, if(ISBLANK('2025'!$P112), 0, 1), 3, if(ISBLANK('2025'!$Q112), 0, 1), 4, if(ISBLANK('2025'!$R112), 0, 1), 5, if(ISBLANK('2025'!$S112), 0, 1), 6, if(ISBLANK('2025'!$T112), 0, 1), 7, 0))), 1, "")</f>
        <v/>
      </c>
      <c r="Q114" s="1" t="str">
        <f>IF(AND(AND(AND(Q$4&gt;='2025'!$L112,Q$4&lt;='2025'!$M112), Q$4&lt;&gt;DATE(2025,7,4)), (SWITCH(weekday(Q$4), 1, 0, 2, if(ISBLANK('2025'!$P112), 0, 1), 3, if(ISBLANK('2025'!$Q112), 0, 1), 4, if(ISBLANK('2025'!$R112), 0, 1), 5, if(ISBLANK('2025'!$S112), 0, 1), 6, if(ISBLANK('2025'!$T112), 0, 1), 7, 0))), 1, "")</f>
        <v/>
      </c>
      <c r="R114" s="1" t="str">
        <f>IF(AND(AND(AND(R$4&gt;='2025'!$L112,R$4&lt;='2025'!$M112), R$4&lt;&gt;DATE(2025,7,4)), (SWITCH(weekday(R$4), 1, 0, 2, if(ISBLANK('2025'!$P112), 0, 1), 3, if(ISBLANK('2025'!$Q112), 0, 1), 4, if(ISBLANK('2025'!$R112), 0, 1), 5, if(ISBLANK('2025'!$S112), 0, 1), 6, if(ISBLANK('2025'!$T112), 0, 1), 7, 0))), 1, "")</f>
        <v/>
      </c>
      <c r="S114" s="1" t="str">
        <f>IF(AND(AND(AND(S$4&gt;='2025'!$L112,S$4&lt;='2025'!$M112), S$4&lt;&gt;DATE(2025,7,4)), (SWITCH(weekday(S$4), 1, 0, 2, if(ISBLANK('2025'!$P112), 0, 1), 3, if(ISBLANK('2025'!$Q112), 0, 1), 4, if(ISBLANK('2025'!$R112), 0, 1), 5, if(ISBLANK('2025'!$S112), 0, 1), 6, if(ISBLANK('2025'!$T112), 0, 1), 7, 0))), 1, "")</f>
        <v/>
      </c>
      <c r="T114" s="1" t="str">
        <f>IF(AND(AND(AND(T$4&gt;='2025'!$L112,T$4&lt;='2025'!$M112), T$4&lt;&gt;DATE(2025,7,4)), (SWITCH(weekday(T$4), 1, 0, 2, if(ISBLANK('2025'!$P112), 0, 1), 3, if(ISBLANK('2025'!$Q112), 0, 1), 4, if(ISBLANK('2025'!$R112), 0, 1), 5, if(ISBLANK('2025'!$S112), 0, 1), 6, if(ISBLANK('2025'!$T112), 0, 1), 7, 0))), 1, "")</f>
        <v/>
      </c>
      <c r="U114" s="1" t="str">
        <f>IF(AND(AND(AND(U$4&gt;='2025'!$L112,U$4&lt;='2025'!$M112), U$4&lt;&gt;DATE(2025,7,4)), (SWITCH(weekday(U$4), 1, 0, 2, if(ISBLANK('2025'!$P112), 0, 1), 3, if(ISBLANK('2025'!$Q112), 0, 1), 4, if(ISBLANK('2025'!$R112), 0, 1), 5, if(ISBLANK('2025'!$S112), 0, 1), 6, if(ISBLANK('2025'!$T112), 0, 1), 7, 0))), 1, "")</f>
        <v/>
      </c>
      <c r="V114" s="1" t="str">
        <f>IF(AND(AND(AND(V$4&gt;='2025'!$L112,V$4&lt;='2025'!$M112), V$4&lt;&gt;DATE(2025,7,4)), (SWITCH(weekday(V$4), 1, 0, 2, if(ISBLANK('2025'!$P112), 0, 1), 3, if(ISBLANK('2025'!$Q112), 0, 1), 4, if(ISBLANK('2025'!$R112), 0, 1), 5, if(ISBLANK('2025'!$S112), 0, 1), 6, if(ISBLANK('2025'!$T112), 0, 1), 7, 0))), 1, "")</f>
        <v/>
      </c>
      <c r="W114" s="1" t="str">
        <f>IF(AND(AND(AND(W$4&gt;='2025'!$L112,W$4&lt;='2025'!$M112), W$4&lt;&gt;DATE(2025,7,4)), (SWITCH(weekday(W$4), 1, 0, 2, if(ISBLANK('2025'!$P112), 0, 1), 3, if(ISBLANK('2025'!$Q112), 0, 1), 4, if(ISBLANK('2025'!$R112), 0, 1), 5, if(ISBLANK('2025'!$S112), 0, 1), 6, if(ISBLANK('2025'!$T112), 0, 1), 7, 0))), 1, "")</f>
        <v/>
      </c>
      <c r="X114" s="1" t="str">
        <f>IF(AND(AND(AND(X$4&gt;='2025'!$L112,X$4&lt;='2025'!$M112), X$4&lt;&gt;DATE(2025,7,4)), (SWITCH(weekday(X$4), 1, 0, 2, if(ISBLANK('2025'!$P112), 0, 1), 3, if(ISBLANK('2025'!$Q112), 0, 1), 4, if(ISBLANK('2025'!$R112), 0, 1), 5, if(ISBLANK('2025'!$S112), 0, 1), 6, if(ISBLANK('2025'!$T112), 0, 1), 7, 0))), 1, "")</f>
        <v/>
      </c>
      <c r="Y114" s="1" t="str">
        <f>IF(AND(AND(AND(Y$4&gt;='2025'!$L112,Y$4&lt;='2025'!$M112), Y$4&lt;&gt;DATE(2025,7,4)), (SWITCH(weekday(Y$4), 1, 0, 2, if(ISBLANK('2025'!$P112), 0, 1), 3, if(ISBLANK('2025'!$Q112), 0, 1), 4, if(ISBLANK('2025'!$R112), 0, 1), 5, if(ISBLANK('2025'!$S112), 0, 1), 6, if(ISBLANK('2025'!$T112), 0, 1), 7, 0))), 1, "")</f>
        <v/>
      </c>
      <c r="Z114" s="1" t="str">
        <f>IF(AND(AND(AND(Z$4&gt;='2025'!$L112,Z$4&lt;='2025'!$M112), Z$4&lt;&gt;DATE(2025,7,4)), (SWITCH(weekday(Z$4), 1, 0, 2, if(ISBLANK('2025'!$P112), 0, 1), 3, if(ISBLANK('2025'!$Q112), 0, 1), 4, if(ISBLANK('2025'!$R112), 0, 1), 5, if(ISBLANK('2025'!$S112), 0, 1), 6, if(ISBLANK('2025'!$T112), 0, 1), 7, 0))), 1, "")</f>
        <v/>
      </c>
      <c r="AA114" s="1" t="str">
        <f>IF(AND(AND(AND(AA$4&gt;='2025'!$L112,AA$4&lt;='2025'!$M112), AA$4&lt;&gt;DATE(2025,7,4)), (SWITCH(weekday(AA$4), 1, 0, 2, if(ISBLANK('2025'!$P112), 0, 1), 3, if(ISBLANK('2025'!$Q112), 0, 1), 4, if(ISBLANK('2025'!$R112), 0, 1), 5, if(ISBLANK('2025'!$S112), 0, 1), 6, if(ISBLANK('2025'!$T112), 0, 1), 7, 0))), 1, "")</f>
        <v/>
      </c>
      <c r="AB114" s="1" t="str">
        <f>IF(AND(AND(AND(AB$4&gt;='2025'!$L112,AB$4&lt;='2025'!$M112), AB$4&lt;&gt;DATE(2025,7,4)), (SWITCH(weekday(AB$4), 1, 0, 2, if(ISBLANK('2025'!$P112), 0, 1), 3, if(ISBLANK('2025'!$Q112), 0, 1), 4, if(ISBLANK('2025'!$R112), 0, 1), 5, if(ISBLANK('2025'!$S112), 0, 1), 6, if(ISBLANK('2025'!$T112), 0, 1), 7, 0))), 1, "")</f>
        <v/>
      </c>
      <c r="AC114" s="1" t="str">
        <f>IF(AND(AND(AND(AC$4&gt;='2025'!$L112,AC$4&lt;='2025'!$M112), AC$4&lt;&gt;DATE(2025,7,4)), (SWITCH(weekday(AC$4), 1, 0, 2, if(ISBLANK('2025'!$P112), 0, 1), 3, if(ISBLANK('2025'!$Q112), 0, 1), 4, if(ISBLANK('2025'!$R112), 0, 1), 5, if(ISBLANK('2025'!$S112), 0, 1), 6, if(ISBLANK('2025'!$T112), 0, 1), 7, 0))), 1, "")</f>
        <v/>
      </c>
      <c r="AD114" s="1" t="str">
        <f>IF(AND(AND(AND(AD$4&gt;='2025'!$L112,AD$4&lt;='2025'!$M112), AD$4&lt;&gt;DATE(2025,7,4)), (SWITCH(weekday(AD$4), 1, 0, 2, if(ISBLANK('2025'!$P112), 0, 1), 3, if(ISBLANK('2025'!$Q112), 0, 1), 4, if(ISBLANK('2025'!$R112), 0, 1), 5, if(ISBLANK('2025'!$S112), 0, 1), 6, if(ISBLANK('2025'!$T112), 0, 1), 7, 0))), 1, "")</f>
        <v/>
      </c>
      <c r="AE114" s="1" t="str">
        <f>IF(AND(AND(AND(AE$4&gt;='2025'!$L112,AE$4&lt;='2025'!$M112), AE$4&lt;&gt;DATE(2025,7,4)), (SWITCH(weekday(AE$4), 1, 0, 2, if(ISBLANK('2025'!$P112), 0, 1), 3, if(ISBLANK('2025'!$Q112), 0, 1), 4, if(ISBLANK('2025'!$R112), 0, 1), 5, if(ISBLANK('2025'!$S112), 0, 1), 6, if(ISBLANK('2025'!$T112), 0, 1), 7, 0))), 1, "")</f>
        <v/>
      </c>
      <c r="AF114" s="1" t="str">
        <f>IF(AND(AND(AND(AF$4&gt;='2025'!$L112,AF$4&lt;='2025'!$M112), AF$4&lt;&gt;DATE(2025,7,4)), (SWITCH(weekday(AF$4), 1, 0, 2, if(ISBLANK('2025'!$P112), 0, 1), 3, if(ISBLANK('2025'!$Q112), 0, 1), 4, if(ISBLANK('2025'!$R112), 0, 1), 5, if(ISBLANK('2025'!$S112), 0, 1), 6, if(ISBLANK('2025'!$T112), 0, 1), 7, 0))), 1, "")</f>
        <v/>
      </c>
      <c r="AG114" s="1" t="str">
        <f>IF(AND(AND(AND(AG$4&gt;='2025'!$L112,AG$4&lt;='2025'!$M112), AG$4&lt;&gt;DATE(2025,7,4)), (SWITCH(weekday(AG$4), 1, 0, 2, if(ISBLANK('2025'!$P112), 0, 1), 3, if(ISBLANK('2025'!$Q112), 0, 1), 4, if(ISBLANK('2025'!$R112), 0, 1), 5, if(ISBLANK('2025'!$S112), 0, 1), 6, if(ISBLANK('2025'!$T112), 0, 1), 7, 0))), 1, "")</f>
        <v/>
      </c>
      <c r="AH114" s="1" t="str">
        <f>IF(AND(AND(AND(AH$4&gt;='2025'!$L112,AH$4&lt;='2025'!$M112), AH$4&lt;&gt;DATE(2025,7,4)), (SWITCH(weekday(AH$4), 1, 0, 2, if(ISBLANK('2025'!$P112), 0, 1), 3, if(ISBLANK('2025'!$Q112), 0, 1), 4, if(ISBLANK('2025'!$R112), 0, 1), 5, if(ISBLANK('2025'!$S112), 0, 1), 6, if(ISBLANK('2025'!$T112), 0, 1), 7, 0))), 1, "")</f>
        <v/>
      </c>
      <c r="AI114" s="1" t="str">
        <f>IF(AND(AND(AND(AI$4&gt;='2025'!$L112,AI$4&lt;='2025'!$M112), AI$4&lt;&gt;DATE(2025,7,4)), (SWITCH(weekday(AI$4), 1, 0, 2, if(ISBLANK('2025'!$P112), 0, 1), 3, if(ISBLANK('2025'!$Q112), 0, 1), 4, if(ISBLANK('2025'!$R112), 0, 1), 5, if(ISBLANK('2025'!$S112), 0, 1), 6, if(ISBLANK('2025'!$T112), 0, 1), 7, 0))), 1, "")</f>
        <v/>
      </c>
      <c r="AJ114" s="1" t="str">
        <f>IF(AND(AND(AND(AJ$4&gt;='2025'!$L112,AJ$4&lt;='2025'!$M112), AJ$4&lt;&gt;DATE(2025,7,4)), (SWITCH(weekday(AJ$4), 1, 0, 2, if(ISBLANK('2025'!$P112), 0, 1), 3, if(ISBLANK('2025'!$Q112), 0, 1), 4, if(ISBLANK('2025'!$R112), 0, 1), 5, if(ISBLANK('2025'!$S112), 0, 1), 6, if(ISBLANK('2025'!$T112), 0, 1), 7, 0))), 1, "")</f>
        <v/>
      </c>
      <c r="AK114" s="1" t="str">
        <f>IF(AND(AND(AND(AK$4&gt;='2025'!$L112,AK$4&lt;='2025'!$M112), AK$4&lt;&gt;DATE(2025,7,4)), (SWITCH(weekday(AK$4), 1, 0, 2, if(ISBLANK('2025'!$P112), 0, 1), 3, if(ISBLANK('2025'!$Q112), 0, 1), 4, if(ISBLANK('2025'!$R112), 0, 1), 5, if(ISBLANK('2025'!$S112), 0, 1), 6, if(ISBLANK('2025'!$T112), 0, 1), 7, 0))), 1, "")</f>
        <v/>
      </c>
      <c r="AL114" s="1" t="str">
        <f>IF(AND(AND(AND(AL$4&gt;='2025'!$L112,AL$4&lt;='2025'!$M112), AL$4&lt;&gt;DATE(2025,7,4)), (SWITCH(weekday(AL$4), 1, 0, 2, if(ISBLANK('2025'!$P112), 0, 1), 3, if(ISBLANK('2025'!$Q112), 0, 1), 4, if(ISBLANK('2025'!$R112), 0, 1), 5, if(ISBLANK('2025'!$S112), 0, 1), 6, if(ISBLANK('2025'!$T112), 0, 1), 7, 0))), 1, "")</f>
        <v/>
      </c>
      <c r="AM114" s="1" t="str">
        <f>IF(AND(AND(AND(AM$4&gt;='2025'!$L112,AM$4&lt;='2025'!$M112), AM$4&lt;&gt;DATE(2025,7,4)), (SWITCH(weekday(AM$4), 1, 0, 2, if(ISBLANK('2025'!$P112), 0, 1), 3, if(ISBLANK('2025'!$Q112), 0, 1), 4, if(ISBLANK('2025'!$R112), 0, 1), 5, if(ISBLANK('2025'!$S112), 0, 1), 6, if(ISBLANK('2025'!$T112), 0, 1), 7, 0))), 1, "")</f>
        <v/>
      </c>
      <c r="AN114" s="1" t="str">
        <f>IF(AND(AND(AND(AN$4&gt;='2025'!$L112,AN$4&lt;='2025'!$M112), AN$4&lt;&gt;DATE(2025,7,4)), (SWITCH(weekday(AN$4), 1, 0, 2, if(ISBLANK('2025'!$P112), 0, 1), 3, if(ISBLANK('2025'!$Q112), 0, 1), 4, if(ISBLANK('2025'!$R112), 0, 1), 5, if(ISBLANK('2025'!$S112), 0, 1), 6, if(ISBLANK('2025'!$T112), 0, 1), 7, 0))), 1, "")</f>
        <v/>
      </c>
      <c r="AO114" s="1" t="str">
        <f>IF(AND(AND(AND(AO$4&gt;='2025'!$L112,AO$4&lt;='2025'!$M112), AO$4&lt;&gt;DATE(2025,7,4)), (SWITCH(weekday(AO$4), 1, 0, 2, if(ISBLANK('2025'!$P112), 0, 1), 3, if(ISBLANK('2025'!$Q112), 0, 1), 4, if(ISBLANK('2025'!$R112), 0, 1), 5, if(ISBLANK('2025'!$S112), 0, 1), 6, if(ISBLANK('2025'!$T112), 0, 1), 7, 0))), 1, "")</f>
        <v/>
      </c>
      <c r="AP114" s="1" t="str">
        <f>IF(AND(AND(AND(AP$4&gt;='2025'!$L112,AP$4&lt;='2025'!$M112), AP$4&lt;&gt;DATE(2025,7,4)), (SWITCH(weekday(AP$4), 1, 0, 2, if(ISBLANK('2025'!$P112), 0, 1), 3, if(ISBLANK('2025'!$Q112), 0, 1), 4, if(ISBLANK('2025'!$R112), 0, 1), 5, if(ISBLANK('2025'!$S112), 0, 1), 6, if(ISBLANK('2025'!$T112), 0, 1), 7, 0))), 1, "")</f>
        <v/>
      </c>
      <c r="AQ114" s="1" t="str">
        <f>IF(AND(AND(AND(AQ$4&gt;='2025'!$L112,AQ$4&lt;='2025'!$M112), AQ$4&lt;&gt;DATE(2025,7,4)), (SWITCH(weekday(AQ$4), 1, 0, 2, if(ISBLANK('2025'!$P112), 0, 1), 3, if(ISBLANK('2025'!$Q112), 0, 1), 4, if(ISBLANK('2025'!$R112), 0, 1), 5, if(ISBLANK('2025'!$S112), 0, 1), 6, if(ISBLANK('2025'!$T112), 0, 1), 7, 0))), 1, "")</f>
        <v/>
      </c>
      <c r="AR114" s="1" t="str">
        <f>IF(AND(AND(AND(AR$4&gt;='2025'!$L112,AR$4&lt;='2025'!$M112), AR$4&lt;&gt;DATE(2025,7,4)), (SWITCH(weekday(AR$4), 1, 0, 2, if(ISBLANK('2025'!$P112), 0, 1), 3, if(ISBLANK('2025'!$Q112), 0, 1), 4, if(ISBLANK('2025'!$R112), 0, 1), 5, if(ISBLANK('2025'!$S112), 0, 1), 6, if(ISBLANK('2025'!$T112), 0, 1), 7, 0))), 1, "")</f>
        <v/>
      </c>
      <c r="AS114" s="1" t="str">
        <f>IF(AND(AND(AND(AS$4&gt;='2025'!$L112,AS$4&lt;='2025'!$M112), AS$4&lt;&gt;DATE(2025,7,4)), (SWITCH(weekday(AS$4), 1, 0, 2, if(ISBLANK('2025'!$P112), 0, 1), 3, if(ISBLANK('2025'!$Q112), 0, 1), 4, if(ISBLANK('2025'!$R112), 0, 1), 5, if(ISBLANK('2025'!$S112), 0, 1), 6, if(ISBLANK('2025'!$T112), 0, 1), 7, 0))), 1, "")</f>
        <v/>
      </c>
      <c r="AT114" s="1" t="str">
        <f>IF(AND(AND(AND(AT$4&gt;='2025'!$L112,AT$4&lt;='2025'!$M112), AT$4&lt;&gt;DATE(2025,7,4)), (SWITCH(weekday(AT$4), 1, 0, 2, if(ISBLANK('2025'!$P112), 0, 1), 3, if(ISBLANK('2025'!$Q112), 0, 1), 4, if(ISBLANK('2025'!$R112), 0, 1), 5, if(ISBLANK('2025'!$S112), 0, 1), 6, if(ISBLANK('2025'!$T112), 0, 1), 7, 0))), 1, "")</f>
        <v/>
      </c>
      <c r="AU114" s="1" t="str">
        <f>IF(AND(AND(AND(AU$4&gt;='2025'!$L112,AU$4&lt;='2025'!$M112), AU$4&lt;&gt;DATE(2025,7,4)), (SWITCH(weekday(AU$4), 1, 0, 2, if(ISBLANK('2025'!$P112), 0, 1), 3, if(ISBLANK('2025'!$Q112), 0, 1), 4, if(ISBLANK('2025'!$R112), 0, 1), 5, if(ISBLANK('2025'!$S112), 0, 1), 6, if(ISBLANK('2025'!$T112), 0, 1), 7, 0))), 1, "")</f>
        <v/>
      </c>
      <c r="AV114" s="1" t="str">
        <f>IF(AND(AND(AND(AV$4&gt;='2025'!$L112,AV$4&lt;='2025'!$M112), AV$4&lt;&gt;DATE(2025,7,4)), (SWITCH(weekday(AV$4), 1, 0, 2, if(ISBLANK('2025'!$P112), 0, 1), 3, if(ISBLANK('2025'!$Q112), 0, 1), 4, if(ISBLANK('2025'!$R112), 0, 1), 5, if(ISBLANK('2025'!$S112), 0, 1), 6, if(ISBLANK('2025'!$T112), 0, 1), 7, 0))), 1, "")</f>
        <v/>
      </c>
      <c r="AW114" s="1" t="str">
        <f>IF(AND(AND(AND(AW$4&gt;='2025'!$L112,AW$4&lt;='2025'!$M112), AW$4&lt;&gt;DATE(2025,7,4)), (SWITCH(weekday(AW$4), 1, 0, 2, if(ISBLANK('2025'!$P112), 0, 1), 3, if(ISBLANK('2025'!$Q112), 0, 1), 4, if(ISBLANK('2025'!$R112), 0, 1), 5, if(ISBLANK('2025'!$S112), 0, 1), 6, if(ISBLANK('2025'!$T112), 0, 1), 7, 0))), 1, "")</f>
        <v/>
      </c>
      <c r="AX114" s="1" t="str">
        <f>IF(AND(AND(AND(AX$4&gt;='2025'!$L112,AX$4&lt;='2025'!$M112), AX$4&lt;&gt;DATE(2025,7,4)), (SWITCH(weekday(AX$4), 1, 0, 2, if(ISBLANK('2025'!$P112), 0, 1), 3, if(ISBLANK('2025'!$Q112), 0, 1), 4, if(ISBLANK('2025'!$R112), 0, 1), 5, if(ISBLANK('2025'!$S112), 0, 1), 6, if(ISBLANK('2025'!$T112), 0, 1), 7, 0))), 1, "")</f>
        <v/>
      </c>
      <c r="AY114" s="1" t="str">
        <f>IF(AND(AND(AND(AY$4&gt;='2025'!$L112,AY$4&lt;='2025'!$M112), AY$4&lt;&gt;DATE(2025,7,4)), (SWITCH(weekday(AY$4), 1, 0, 2, if(ISBLANK('2025'!$P112), 0, 1), 3, if(ISBLANK('2025'!$Q112), 0, 1), 4, if(ISBLANK('2025'!$R112), 0, 1), 5, if(ISBLANK('2025'!$S112), 0, 1), 6, if(ISBLANK('2025'!$T112), 0, 1), 7, 0))), 1, "")</f>
        <v/>
      </c>
      <c r="AZ114" s="1" t="str">
        <f>IF(AND(AND(AND(AZ$4&gt;='2025'!$L112,AZ$4&lt;='2025'!$M112), AZ$4&lt;&gt;DATE(2025,7,4)), (SWITCH(weekday(AZ$4), 1, 0, 2, if(ISBLANK('2025'!$P112), 0, 1), 3, if(ISBLANK('2025'!$Q112), 0, 1), 4, if(ISBLANK('2025'!$R112), 0, 1), 5, if(ISBLANK('2025'!$S112), 0, 1), 6, if(ISBLANK('2025'!$T112), 0, 1), 7, 0))), 1, "")</f>
        <v/>
      </c>
      <c r="BA114" s="1" t="str">
        <f>IF(AND(AND(AND(BA$4&gt;='2025'!$L112,BA$4&lt;='2025'!$M112), BA$4&lt;&gt;DATE(2025,7,4)), (SWITCH(weekday(BA$4), 1, 0, 2, if(ISBLANK('2025'!$P112), 0, 1), 3, if(ISBLANK('2025'!$Q112), 0, 1), 4, if(ISBLANK('2025'!$R112), 0, 1), 5, if(ISBLANK('2025'!$S112), 0, 1), 6, if(ISBLANK('2025'!$T112), 0, 1), 7, 0))), 1, "")</f>
        <v/>
      </c>
      <c r="BB114" s="1" t="str">
        <f>IF(AND(AND(AND(BB$4&gt;='2025'!$L112,BB$4&lt;='2025'!$M112), BB$4&lt;&gt;DATE(2025,7,4)), (SWITCH(weekday(BB$4), 1, 0, 2, if(ISBLANK('2025'!$P112), 0, 1), 3, if(ISBLANK('2025'!$Q112), 0, 1), 4, if(ISBLANK('2025'!$R112), 0, 1), 5, if(ISBLANK('2025'!$S112), 0, 1), 6, if(ISBLANK('2025'!$T112), 0, 1), 7, 0))), 1, "")</f>
        <v/>
      </c>
      <c r="BC114" s="1" t="str">
        <f>IF(AND(AND(AND(BC$4&gt;='2025'!$L112,BC$4&lt;='2025'!$M112), BC$4&lt;&gt;DATE(2025,7,4)), (SWITCH(weekday(BC$4), 1, 0, 2, if(ISBLANK('2025'!$P112), 0, 1), 3, if(ISBLANK('2025'!$Q112), 0, 1), 4, if(ISBLANK('2025'!$R112), 0, 1), 5, if(ISBLANK('2025'!$S112), 0, 1), 6, if(ISBLANK('2025'!$T112), 0, 1), 7, 0))), 1, "")</f>
        <v/>
      </c>
      <c r="BD114" s="1" t="str">
        <f>IF(AND(AND(AND(BD$4&gt;='2025'!$L112,BD$4&lt;='2025'!$M112), BD$4&lt;&gt;DATE(2025,7,4)), (SWITCH(weekday(BD$4), 1, 0, 2, if(ISBLANK('2025'!$P112), 0, 1), 3, if(ISBLANK('2025'!$Q112), 0, 1), 4, if(ISBLANK('2025'!$R112), 0, 1), 5, if(ISBLANK('2025'!$S112), 0, 1), 6, if(ISBLANK('2025'!$T112), 0, 1), 7, 0))), 1, "")</f>
        <v/>
      </c>
      <c r="BE114" s="1" t="str">
        <f>IF(AND(AND(AND(BE$4&gt;='2025'!$L112,BE$4&lt;='2025'!$M112), BE$4&lt;&gt;DATE(2025,7,4)), (SWITCH(weekday(BE$4), 1, 0, 2, if(ISBLANK('2025'!$P112), 0, 1), 3, if(ISBLANK('2025'!$Q112), 0, 1), 4, if(ISBLANK('2025'!$R112), 0, 1), 5, if(ISBLANK('2025'!$S112), 0, 1), 6, if(ISBLANK('2025'!$T112), 0, 1), 7, 0))), 1, "")</f>
        <v/>
      </c>
      <c r="BF114" s="1" t="str">
        <f>IF(AND(AND(AND(BF$4&gt;='2025'!$L112,BF$4&lt;='2025'!$M112), BF$4&lt;&gt;DATE(2025,7,4)), (SWITCH(weekday(BF$4), 1, 0, 2, if(ISBLANK('2025'!$P112), 0, 1), 3, if(ISBLANK('2025'!$Q112), 0, 1), 4, if(ISBLANK('2025'!$R112), 0, 1), 5, if(ISBLANK('2025'!$S112), 0, 1), 6, if(ISBLANK('2025'!$T112), 0, 1), 7, 0))), 1, "")</f>
        <v/>
      </c>
      <c r="BG114" s="1"/>
      <c r="BH114" s="1"/>
      <c r="BI114" s="1"/>
      <c r="BJ114" s="1"/>
      <c r="BK114" s="1"/>
      <c r="BL114" s="1"/>
    </row>
    <row r="115">
      <c r="A115" s="1">
        <f t="shared" si="3"/>
        <v>115</v>
      </c>
      <c r="B115" s="1" t="str">
        <f>'2025'!D79</f>
        <v>, </v>
      </c>
      <c r="C115" s="1" t="str">
        <f>'2025'!H79</f>
        <v/>
      </c>
      <c r="D115" s="1" t="str">
        <f>IF(AND(AND(AND(D$4&gt;='2025'!$L113,D$4&lt;='2025'!$M113), D$4&lt;&gt;DATE(2025,7,4)), (SWITCH(weekday(D$4), 1, 0, 2, if(ISBLANK('2025'!$P113), 0, 1), 3, if(ISBLANK('2025'!$Q113), 0, 1), 4, if(ISBLANK('2025'!$R113), 0, 1), 5, if(ISBLANK('2025'!$S113), 0, 1), 6, if(ISBLANK('2025'!$T113), 0, 1), 7, 0))), 1, "")</f>
        <v/>
      </c>
      <c r="E115" s="1" t="str">
        <f>IF(AND(AND(AND(E$4&gt;='2025'!$L113,E$4&lt;='2025'!$M113), E$4&lt;&gt;DATE(2025,7,4)), (SWITCH(weekday(E$4), 1, 0, 2, if(ISBLANK('2025'!$P113), 0, 1), 3, if(ISBLANK('2025'!$Q113), 0, 1), 4, if(ISBLANK('2025'!$R113), 0, 1), 5, if(ISBLANK('2025'!$S113), 0, 1), 6, if(ISBLANK('2025'!$T113), 0, 1), 7, 0))), 1, "")</f>
        <v/>
      </c>
      <c r="F115" s="1" t="str">
        <f>IF(AND(AND(AND(F$4&gt;='2025'!$L113,F$4&lt;='2025'!$M113), F$4&lt;&gt;DATE(2025,7,4)), (SWITCH(weekday(F$4), 1, 0, 2, if(ISBLANK('2025'!$P113), 0, 1), 3, if(ISBLANK('2025'!$Q113), 0, 1), 4, if(ISBLANK('2025'!$R113), 0, 1), 5, if(ISBLANK('2025'!$S113), 0, 1), 6, if(ISBLANK('2025'!$T113), 0, 1), 7, 0))), 1, "")</f>
        <v/>
      </c>
      <c r="G115" s="1" t="str">
        <f>IF(AND(AND(AND(G$4&gt;='2025'!$L113,G$4&lt;='2025'!$M113), G$4&lt;&gt;DATE(2025,7,4)), (SWITCH(weekday(G$4), 1, 0, 2, if(ISBLANK('2025'!$P113), 0, 1), 3, if(ISBLANK('2025'!$Q113), 0, 1), 4, if(ISBLANK('2025'!$R113), 0, 1), 5, if(ISBLANK('2025'!$S113), 0, 1), 6, if(ISBLANK('2025'!$T113), 0, 1), 7, 0))), 1, "")</f>
        <v/>
      </c>
      <c r="H115" s="1" t="str">
        <f>IF(AND(AND(AND(H$4&gt;='2025'!$L113,H$4&lt;='2025'!$M113), H$4&lt;&gt;DATE(2025,7,4)), (SWITCH(weekday(H$4), 1, 0, 2, if(ISBLANK('2025'!$P113), 0, 1), 3, if(ISBLANK('2025'!$Q113), 0, 1), 4, if(ISBLANK('2025'!$R113), 0, 1), 5, if(ISBLANK('2025'!$S113), 0, 1), 6, if(ISBLANK('2025'!$T113), 0, 1), 7, 0))), 1, "")</f>
        <v/>
      </c>
      <c r="I115" s="1" t="str">
        <f>IF(AND(AND(AND(I$4&gt;='2025'!$L113,I$4&lt;='2025'!$M113), I$4&lt;&gt;DATE(2025,7,4)), (SWITCH(weekday(I$4), 1, 0, 2, if(ISBLANK('2025'!$P113), 0, 1), 3, if(ISBLANK('2025'!$Q113), 0, 1), 4, if(ISBLANK('2025'!$R113), 0, 1), 5, if(ISBLANK('2025'!$S113), 0, 1), 6, if(ISBLANK('2025'!$T113), 0, 1), 7, 0))), 1, "")</f>
        <v/>
      </c>
      <c r="J115" s="1" t="str">
        <f>IF(AND(AND(AND(J$4&gt;='2025'!$L113,J$4&lt;='2025'!$M113), J$4&lt;&gt;DATE(2025,7,4)), (SWITCH(weekday(J$4), 1, 0, 2, if(ISBLANK('2025'!$P113), 0, 1), 3, if(ISBLANK('2025'!$Q113), 0, 1), 4, if(ISBLANK('2025'!$R113), 0, 1), 5, if(ISBLANK('2025'!$S113), 0, 1), 6, if(ISBLANK('2025'!$T113), 0, 1), 7, 0))), 1, "")</f>
        <v/>
      </c>
      <c r="K115" s="1" t="str">
        <f>IF(AND(AND(AND(K$4&gt;='2025'!$L113,K$4&lt;='2025'!$M113), K$4&lt;&gt;DATE(2025,7,4)), (SWITCH(weekday(K$4), 1, 0, 2, if(ISBLANK('2025'!$P113), 0, 1), 3, if(ISBLANK('2025'!$Q113), 0, 1), 4, if(ISBLANK('2025'!$R113), 0, 1), 5, if(ISBLANK('2025'!$S113), 0, 1), 6, if(ISBLANK('2025'!$T113), 0, 1), 7, 0))), 1, "")</f>
        <v/>
      </c>
      <c r="L115" s="1" t="str">
        <f>IF(AND(AND(AND(L$4&gt;='2025'!$L113,L$4&lt;='2025'!$M113), L$4&lt;&gt;DATE(2025,7,4)), (SWITCH(weekday(L$4), 1, 0, 2, if(ISBLANK('2025'!$P113), 0, 1), 3, if(ISBLANK('2025'!$Q113), 0, 1), 4, if(ISBLANK('2025'!$R113), 0, 1), 5, if(ISBLANK('2025'!$S113), 0, 1), 6, if(ISBLANK('2025'!$T113), 0, 1), 7, 0))), 1, "")</f>
        <v/>
      </c>
      <c r="M115" s="1" t="str">
        <f>IF(AND(AND(AND(M$4&gt;='2025'!$L113,M$4&lt;='2025'!$M113), M$4&lt;&gt;DATE(2025,7,4)), (SWITCH(weekday(M$4), 1, 0, 2, if(ISBLANK('2025'!$P113), 0, 1), 3, if(ISBLANK('2025'!$Q113), 0, 1), 4, if(ISBLANK('2025'!$R113), 0, 1), 5, if(ISBLANK('2025'!$S113), 0, 1), 6, if(ISBLANK('2025'!$T113), 0, 1), 7, 0))), 1, "")</f>
        <v/>
      </c>
      <c r="N115" s="1" t="str">
        <f>IF(AND(AND(AND(N$4&gt;='2025'!$L113,N$4&lt;='2025'!$M113), N$4&lt;&gt;DATE(2025,7,4)), (SWITCH(weekday(N$4), 1, 0, 2, if(ISBLANK('2025'!$P113), 0, 1), 3, if(ISBLANK('2025'!$Q113), 0, 1), 4, if(ISBLANK('2025'!$R113), 0, 1), 5, if(ISBLANK('2025'!$S113), 0, 1), 6, if(ISBLANK('2025'!$T113), 0, 1), 7, 0))), 1, "")</f>
        <v/>
      </c>
      <c r="O115" s="1" t="str">
        <f>IF(AND(AND(AND(O$4&gt;='2025'!$L113,O$4&lt;='2025'!$M113), O$4&lt;&gt;DATE(2025,7,4)), (SWITCH(weekday(O$4), 1, 0, 2, if(ISBLANK('2025'!$P113), 0, 1), 3, if(ISBLANK('2025'!$Q113), 0, 1), 4, if(ISBLANK('2025'!$R113), 0, 1), 5, if(ISBLANK('2025'!$S113), 0, 1), 6, if(ISBLANK('2025'!$T113), 0, 1), 7, 0))), 1, "")</f>
        <v/>
      </c>
      <c r="P115" s="1" t="str">
        <f>IF(AND(AND(AND(P$4&gt;='2025'!$L113,P$4&lt;='2025'!$M113), P$4&lt;&gt;DATE(2025,7,4)), (SWITCH(weekday(P$4), 1, 0, 2, if(ISBLANK('2025'!$P113), 0, 1), 3, if(ISBLANK('2025'!$Q113), 0, 1), 4, if(ISBLANK('2025'!$R113), 0, 1), 5, if(ISBLANK('2025'!$S113), 0, 1), 6, if(ISBLANK('2025'!$T113), 0, 1), 7, 0))), 1, "")</f>
        <v/>
      </c>
      <c r="Q115" s="1" t="str">
        <f>IF(AND(AND(AND(Q$4&gt;='2025'!$L113,Q$4&lt;='2025'!$M113), Q$4&lt;&gt;DATE(2025,7,4)), (SWITCH(weekday(Q$4), 1, 0, 2, if(ISBLANK('2025'!$P113), 0, 1), 3, if(ISBLANK('2025'!$Q113), 0, 1), 4, if(ISBLANK('2025'!$R113), 0, 1), 5, if(ISBLANK('2025'!$S113), 0, 1), 6, if(ISBLANK('2025'!$T113), 0, 1), 7, 0))), 1, "")</f>
        <v/>
      </c>
      <c r="R115" s="1" t="str">
        <f>IF(AND(AND(AND(R$4&gt;='2025'!$L113,R$4&lt;='2025'!$M113), R$4&lt;&gt;DATE(2025,7,4)), (SWITCH(weekday(R$4), 1, 0, 2, if(ISBLANK('2025'!$P113), 0, 1), 3, if(ISBLANK('2025'!$Q113), 0, 1), 4, if(ISBLANK('2025'!$R113), 0, 1), 5, if(ISBLANK('2025'!$S113), 0, 1), 6, if(ISBLANK('2025'!$T113), 0, 1), 7, 0))), 1, "")</f>
        <v/>
      </c>
      <c r="S115" s="1" t="str">
        <f>IF(AND(AND(AND(S$4&gt;='2025'!$L113,S$4&lt;='2025'!$M113), S$4&lt;&gt;DATE(2025,7,4)), (SWITCH(weekday(S$4), 1, 0, 2, if(ISBLANK('2025'!$P113), 0, 1), 3, if(ISBLANK('2025'!$Q113), 0, 1), 4, if(ISBLANK('2025'!$R113), 0, 1), 5, if(ISBLANK('2025'!$S113), 0, 1), 6, if(ISBLANK('2025'!$T113), 0, 1), 7, 0))), 1, "")</f>
        <v/>
      </c>
      <c r="T115" s="1" t="str">
        <f>IF(AND(AND(AND(T$4&gt;='2025'!$L113,T$4&lt;='2025'!$M113), T$4&lt;&gt;DATE(2025,7,4)), (SWITCH(weekday(T$4), 1, 0, 2, if(ISBLANK('2025'!$P113), 0, 1), 3, if(ISBLANK('2025'!$Q113), 0, 1), 4, if(ISBLANK('2025'!$R113), 0, 1), 5, if(ISBLANK('2025'!$S113), 0, 1), 6, if(ISBLANK('2025'!$T113), 0, 1), 7, 0))), 1, "")</f>
        <v/>
      </c>
      <c r="U115" s="1" t="str">
        <f>IF(AND(AND(AND(U$4&gt;='2025'!$L113,U$4&lt;='2025'!$M113), U$4&lt;&gt;DATE(2025,7,4)), (SWITCH(weekday(U$4), 1, 0, 2, if(ISBLANK('2025'!$P113), 0, 1), 3, if(ISBLANK('2025'!$Q113), 0, 1), 4, if(ISBLANK('2025'!$R113), 0, 1), 5, if(ISBLANK('2025'!$S113), 0, 1), 6, if(ISBLANK('2025'!$T113), 0, 1), 7, 0))), 1, "")</f>
        <v/>
      </c>
      <c r="V115" s="1" t="str">
        <f>IF(AND(AND(AND(V$4&gt;='2025'!$L113,V$4&lt;='2025'!$M113), V$4&lt;&gt;DATE(2025,7,4)), (SWITCH(weekday(V$4), 1, 0, 2, if(ISBLANK('2025'!$P113), 0, 1), 3, if(ISBLANK('2025'!$Q113), 0, 1), 4, if(ISBLANK('2025'!$R113), 0, 1), 5, if(ISBLANK('2025'!$S113), 0, 1), 6, if(ISBLANK('2025'!$T113), 0, 1), 7, 0))), 1, "")</f>
        <v/>
      </c>
      <c r="W115" s="1" t="str">
        <f>IF(AND(AND(AND(W$4&gt;='2025'!$L113,W$4&lt;='2025'!$M113), W$4&lt;&gt;DATE(2025,7,4)), (SWITCH(weekday(W$4), 1, 0, 2, if(ISBLANK('2025'!$P113), 0, 1), 3, if(ISBLANK('2025'!$Q113), 0, 1), 4, if(ISBLANK('2025'!$R113), 0, 1), 5, if(ISBLANK('2025'!$S113), 0, 1), 6, if(ISBLANK('2025'!$T113), 0, 1), 7, 0))), 1, "")</f>
        <v/>
      </c>
      <c r="X115" s="1" t="str">
        <f>IF(AND(AND(AND(X$4&gt;='2025'!$L113,X$4&lt;='2025'!$M113), X$4&lt;&gt;DATE(2025,7,4)), (SWITCH(weekday(X$4), 1, 0, 2, if(ISBLANK('2025'!$P113), 0, 1), 3, if(ISBLANK('2025'!$Q113), 0, 1), 4, if(ISBLANK('2025'!$R113), 0, 1), 5, if(ISBLANK('2025'!$S113), 0, 1), 6, if(ISBLANK('2025'!$T113), 0, 1), 7, 0))), 1, "")</f>
        <v/>
      </c>
      <c r="Y115" s="1" t="str">
        <f>IF(AND(AND(AND(Y$4&gt;='2025'!$L113,Y$4&lt;='2025'!$M113), Y$4&lt;&gt;DATE(2025,7,4)), (SWITCH(weekday(Y$4), 1, 0, 2, if(ISBLANK('2025'!$P113), 0, 1), 3, if(ISBLANK('2025'!$Q113), 0, 1), 4, if(ISBLANK('2025'!$R113), 0, 1), 5, if(ISBLANK('2025'!$S113), 0, 1), 6, if(ISBLANK('2025'!$T113), 0, 1), 7, 0))), 1, "")</f>
        <v/>
      </c>
      <c r="Z115" s="1" t="str">
        <f>IF(AND(AND(AND(Z$4&gt;='2025'!$L113,Z$4&lt;='2025'!$M113), Z$4&lt;&gt;DATE(2025,7,4)), (SWITCH(weekday(Z$4), 1, 0, 2, if(ISBLANK('2025'!$P113), 0, 1), 3, if(ISBLANK('2025'!$Q113), 0, 1), 4, if(ISBLANK('2025'!$R113), 0, 1), 5, if(ISBLANK('2025'!$S113), 0, 1), 6, if(ISBLANK('2025'!$T113), 0, 1), 7, 0))), 1, "")</f>
        <v/>
      </c>
      <c r="AA115" s="1" t="str">
        <f>IF(AND(AND(AND(AA$4&gt;='2025'!$L113,AA$4&lt;='2025'!$M113), AA$4&lt;&gt;DATE(2025,7,4)), (SWITCH(weekday(AA$4), 1, 0, 2, if(ISBLANK('2025'!$P113), 0, 1), 3, if(ISBLANK('2025'!$Q113), 0, 1), 4, if(ISBLANK('2025'!$R113), 0, 1), 5, if(ISBLANK('2025'!$S113), 0, 1), 6, if(ISBLANK('2025'!$T113), 0, 1), 7, 0))), 1, "")</f>
        <v/>
      </c>
      <c r="AB115" s="1" t="str">
        <f>IF(AND(AND(AND(AB$4&gt;='2025'!$L113,AB$4&lt;='2025'!$M113), AB$4&lt;&gt;DATE(2025,7,4)), (SWITCH(weekday(AB$4), 1, 0, 2, if(ISBLANK('2025'!$P113), 0, 1), 3, if(ISBLANK('2025'!$Q113), 0, 1), 4, if(ISBLANK('2025'!$R113), 0, 1), 5, if(ISBLANK('2025'!$S113), 0, 1), 6, if(ISBLANK('2025'!$T113), 0, 1), 7, 0))), 1, "")</f>
        <v/>
      </c>
      <c r="AC115" s="1" t="str">
        <f>IF(AND(AND(AND(AC$4&gt;='2025'!$L113,AC$4&lt;='2025'!$M113), AC$4&lt;&gt;DATE(2025,7,4)), (SWITCH(weekday(AC$4), 1, 0, 2, if(ISBLANK('2025'!$P113), 0, 1), 3, if(ISBLANK('2025'!$Q113), 0, 1), 4, if(ISBLANK('2025'!$R113), 0, 1), 5, if(ISBLANK('2025'!$S113), 0, 1), 6, if(ISBLANK('2025'!$T113), 0, 1), 7, 0))), 1, "")</f>
        <v/>
      </c>
      <c r="AD115" s="1" t="str">
        <f>IF(AND(AND(AND(AD$4&gt;='2025'!$L113,AD$4&lt;='2025'!$M113), AD$4&lt;&gt;DATE(2025,7,4)), (SWITCH(weekday(AD$4), 1, 0, 2, if(ISBLANK('2025'!$P113), 0, 1), 3, if(ISBLANK('2025'!$Q113), 0, 1), 4, if(ISBLANK('2025'!$R113), 0, 1), 5, if(ISBLANK('2025'!$S113), 0, 1), 6, if(ISBLANK('2025'!$T113), 0, 1), 7, 0))), 1, "")</f>
        <v/>
      </c>
      <c r="AE115" s="1" t="str">
        <f>IF(AND(AND(AND(AE$4&gt;='2025'!$L113,AE$4&lt;='2025'!$M113), AE$4&lt;&gt;DATE(2025,7,4)), (SWITCH(weekday(AE$4), 1, 0, 2, if(ISBLANK('2025'!$P113), 0, 1), 3, if(ISBLANK('2025'!$Q113), 0, 1), 4, if(ISBLANK('2025'!$R113), 0, 1), 5, if(ISBLANK('2025'!$S113), 0, 1), 6, if(ISBLANK('2025'!$T113), 0, 1), 7, 0))), 1, "")</f>
        <v/>
      </c>
      <c r="AF115" s="1" t="str">
        <f>IF(AND(AND(AND(AF$4&gt;='2025'!$L113,AF$4&lt;='2025'!$M113), AF$4&lt;&gt;DATE(2025,7,4)), (SWITCH(weekday(AF$4), 1, 0, 2, if(ISBLANK('2025'!$P113), 0, 1), 3, if(ISBLANK('2025'!$Q113), 0, 1), 4, if(ISBLANK('2025'!$R113), 0, 1), 5, if(ISBLANK('2025'!$S113), 0, 1), 6, if(ISBLANK('2025'!$T113), 0, 1), 7, 0))), 1, "")</f>
        <v/>
      </c>
      <c r="AG115" s="1" t="str">
        <f>IF(AND(AND(AND(AG$4&gt;='2025'!$L113,AG$4&lt;='2025'!$M113), AG$4&lt;&gt;DATE(2025,7,4)), (SWITCH(weekday(AG$4), 1, 0, 2, if(ISBLANK('2025'!$P113), 0, 1), 3, if(ISBLANK('2025'!$Q113), 0, 1), 4, if(ISBLANK('2025'!$R113), 0, 1), 5, if(ISBLANK('2025'!$S113), 0, 1), 6, if(ISBLANK('2025'!$T113), 0, 1), 7, 0))), 1, "")</f>
        <v/>
      </c>
      <c r="AH115" s="1" t="str">
        <f>IF(AND(AND(AND(AH$4&gt;='2025'!$L113,AH$4&lt;='2025'!$M113), AH$4&lt;&gt;DATE(2025,7,4)), (SWITCH(weekday(AH$4), 1, 0, 2, if(ISBLANK('2025'!$P113), 0, 1), 3, if(ISBLANK('2025'!$Q113), 0, 1), 4, if(ISBLANK('2025'!$R113), 0, 1), 5, if(ISBLANK('2025'!$S113), 0, 1), 6, if(ISBLANK('2025'!$T113), 0, 1), 7, 0))), 1, "")</f>
        <v/>
      </c>
      <c r="AI115" s="1" t="str">
        <f>IF(AND(AND(AND(AI$4&gt;='2025'!$L113,AI$4&lt;='2025'!$M113), AI$4&lt;&gt;DATE(2025,7,4)), (SWITCH(weekday(AI$4), 1, 0, 2, if(ISBLANK('2025'!$P113), 0, 1), 3, if(ISBLANK('2025'!$Q113), 0, 1), 4, if(ISBLANK('2025'!$R113), 0, 1), 5, if(ISBLANK('2025'!$S113), 0, 1), 6, if(ISBLANK('2025'!$T113), 0, 1), 7, 0))), 1, "")</f>
        <v/>
      </c>
      <c r="AJ115" s="1" t="str">
        <f>IF(AND(AND(AND(AJ$4&gt;='2025'!$L113,AJ$4&lt;='2025'!$M113), AJ$4&lt;&gt;DATE(2025,7,4)), (SWITCH(weekday(AJ$4), 1, 0, 2, if(ISBLANK('2025'!$P113), 0, 1), 3, if(ISBLANK('2025'!$Q113), 0, 1), 4, if(ISBLANK('2025'!$R113), 0, 1), 5, if(ISBLANK('2025'!$S113), 0, 1), 6, if(ISBLANK('2025'!$T113), 0, 1), 7, 0))), 1, "")</f>
        <v/>
      </c>
      <c r="AK115" s="1" t="str">
        <f>IF(AND(AND(AND(AK$4&gt;='2025'!$L113,AK$4&lt;='2025'!$M113), AK$4&lt;&gt;DATE(2025,7,4)), (SWITCH(weekday(AK$4), 1, 0, 2, if(ISBLANK('2025'!$P113), 0, 1), 3, if(ISBLANK('2025'!$Q113), 0, 1), 4, if(ISBLANK('2025'!$R113), 0, 1), 5, if(ISBLANK('2025'!$S113), 0, 1), 6, if(ISBLANK('2025'!$T113), 0, 1), 7, 0))), 1, "")</f>
        <v/>
      </c>
      <c r="AL115" s="1" t="str">
        <f>IF(AND(AND(AND(AL$4&gt;='2025'!$L113,AL$4&lt;='2025'!$M113), AL$4&lt;&gt;DATE(2025,7,4)), (SWITCH(weekday(AL$4), 1, 0, 2, if(ISBLANK('2025'!$P113), 0, 1), 3, if(ISBLANK('2025'!$Q113), 0, 1), 4, if(ISBLANK('2025'!$R113), 0, 1), 5, if(ISBLANK('2025'!$S113), 0, 1), 6, if(ISBLANK('2025'!$T113), 0, 1), 7, 0))), 1, "")</f>
        <v/>
      </c>
      <c r="AM115" s="1" t="str">
        <f>IF(AND(AND(AND(AM$4&gt;='2025'!$L113,AM$4&lt;='2025'!$M113), AM$4&lt;&gt;DATE(2025,7,4)), (SWITCH(weekday(AM$4), 1, 0, 2, if(ISBLANK('2025'!$P113), 0, 1), 3, if(ISBLANK('2025'!$Q113), 0, 1), 4, if(ISBLANK('2025'!$R113), 0, 1), 5, if(ISBLANK('2025'!$S113), 0, 1), 6, if(ISBLANK('2025'!$T113), 0, 1), 7, 0))), 1, "")</f>
        <v/>
      </c>
      <c r="AN115" s="1" t="str">
        <f>IF(AND(AND(AND(AN$4&gt;='2025'!$L113,AN$4&lt;='2025'!$M113), AN$4&lt;&gt;DATE(2025,7,4)), (SWITCH(weekday(AN$4), 1, 0, 2, if(ISBLANK('2025'!$P113), 0, 1), 3, if(ISBLANK('2025'!$Q113), 0, 1), 4, if(ISBLANK('2025'!$R113), 0, 1), 5, if(ISBLANK('2025'!$S113), 0, 1), 6, if(ISBLANK('2025'!$T113), 0, 1), 7, 0))), 1, "")</f>
        <v/>
      </c>
      <c r="AO115" s="1" t="str">
        <f>IF(AND(AND(AND(AO$4&gt;='2025'!$L113,AO$4&lt;='2025'!$M113), AO$4&lt;&gt;DATE(2025,7,4)), (SWITCH(weekday(AO$4), 1, 0, 2, if(ISBLANK('2025'!$P113), 0, 1), 3, if(ISBLANK('2025'!$Q113), 0, 1), 4, if(ISBLANK('2025'!$R113), 0, 1), 5, if(ISBLANK('2025'!$S113), 0, 1), 6, if(ISBLANK('2025'!$T113), 0, 1), 7, 0))), 1, "")</f>
        <v/>
      </c>
      <c r="AP115" s="1" t="str">
        <f>IF(AND(AND(AND(AP$4&gt;='2025'!$L113,AP$4&lt;='2025'!$M113), AP$4&lt;&gt;DATE(2025,7,4)), (SWITCH(weekday(AP$4), 1, 0, 2, if(ISBLANK('2025'!$P113), 0, 1), 3, if(ISBLANK('2025'!$Q113), 0, 1), 4, if(ISBLANK('2025'!$R113), 0, 1), 5, if(ISBLANK('2025'!$S113), 0, 1), 6, if(ISBLANK('2025'!$T113), 0, 1), 7, 0))), 1, "")</f>
        <v/>
      </c>
      <c r="AQ115" s="1" t="str">
        <f>IF(AND(AND(AND(AQ$4&gt;='2025'!$L113,AQ$4&lt;='2025'!$M113), AQ$4&lt;&gt;DATE(2025,7,4)), (SWITCH(weekday(AQ$4), 1, 0, 2, if(ISBLANK('2025'!$P113), 0, 1), 3, if(ISBLANK('2025'!$Q113), 0, 1), 4, if(ISBLANK('2025'!$R113), 0, 1), 5, if(ISBLANK('2025'!$S113), 0, 1), 6, if(ISBLANK('2025'!$T113), 0, 1), 7, 0))), 1, "")</f>
        <v/>
      </c>
      <c r="AR115" s="1" t="str">
        <f>IF(AND(AND(AND(AR$4&gt;='2025'!$L113,AR$4&lt;='2025'!$M113), AR$4&lt;&gt;DATE(2025,7,4)), (SWITCH(weekday(AR$4), 1, 0, 2, if(ISBLANK('2025'!$P113), 0, 1), 3, if(ISBLANK('2025'!$Q113), 0, 1), 4, if(ISBLANK('2025'!$R113), 0, 1), 5, if(ISBLANK('2025'!$S113), 0, 1), 6, if(ISBLANK('2025'!$T113), 0, 1), 7, 0))), 1, "")</f>
        <v/>
      </c>
      <c r="AS115" s="1" t="str">
        <f>IF(AND(AND(AND(AS$4&gt;='2025'!$L113,AS$4&lt;='2025'!$M113), AS$4&lt;&gt;DATE(2025,7,4)), (SWITCH(weekday(AS$4), 1, 0, 2, if(ISBLANK('2025'!$P113), 0, 1), 3, if(ISBLANK('2025'!$Q113), 0, 1), 4, if(ISBLANK('2025'!$R113), 0, 1), 5, if(ISBLANK('2025'!$S113), 0, 1), 6, if(ISBLANK('2025'!$T113), 0, 1), 7, 0))), 1, "")</f>
        <v/>
      </c>
      <c r="AT115" s="1" t="str">
        <f>IF(AND(AND(AND(AT$4&gt;='2025'!$L113,AT$4&lt;='2025'!$M113), AT$4&lt;&gt;DATE(2025,7,4)), (SWITCH(weekday(AT$4), 1, 0, 2, if(ISBLANK('2025'!$P113), 0, 1), 3, if(ISBLANK('2025'!$Q113), 0, 1), 4, if(ISBLANK('2025'!$R113), 0, 1), 5, if(ISBLANK('2025'!$S113), 0, 1), 6, if(ISBLANK('2025'!$T113), 0, 1), 7, 0))), 1, "")</f>
        <v/>
      </c>
      <c r="AU115" s="1" t="str">
        <f>IF(AND(AND(AND(AU$4&gt;='2025'!$L113,AU$4&lt;='2025'!$M113), AU$4&lt;&gt;DATE(2025,7,4)), (SWITCH(weekday(AU$4), 1, 0, 2, if(ISBLANK('2025'!$P113), 0, 1), 3, if(ISBLANK('2025'!$Q113), 0, 1), 4, if(ISBLANK('2025'!$R113), 0, 1), 5, if(ISBLANK('2025'!$S113), 0, 1), 6, if(ISBLANK('2025'!$T113), 0, 1), 7, 0))), 1, "")</f>
        <v/>
      </c>
      <c r="AV115" s="1" t="str">
        <f>IF(AND(AND(AND(AV$4&gt;='2025'!$L113,AV$4&lt;='2025'!$M113), AV$4&lt;&gt;DATE(2025,7,4)), (SWITCH(weekday(AV$4), 1, 0, 2, if(ISBLANK('2025'!$P113), 0, 1), 3, if(ISBLANK('2025'!$Q113), 0, 1), 4, if(ISBLANK('2025'!$R113), 0, 1), 5, if(ISBLANK('2025'!$S113), 0, 1), 6, if(ISBLANK('2025'!$T113), 0, 1), 7, 0))), 1, "")</f>
        <v/>
      </c>
      <c r="AW115" s="1" t="str">
        <f>IF(AND(AND(AND(AW$4&gt;='2025'!$L113,AW$4&lt;='2025'!$M113), AW$4&lt;&gt;DATE(2025,7,4)), (SWITCH(weekday(AW$4), 1, 0, 2, if(ISBLANK('2025'!$P113), 0, 1), 3, if(ISBLANK('2025'!$Q113), 0, 1), 4, if(ISBLANK('2025'!$R113), 0, 1), 5, if(ISBLANK('2025'!$S113), 0, 1), 6, if(ISBLANK('2025'!$T113), 0, 1), 7, 0))), 1, "")</f>
        <v/>
      </c>
      <c r="AX115" s="1" t="str">
        <f>IF(AND(AND(AND(AX$4&gt;='2025'!$L113,AX$4&lt;='2025'!$M113), AX$4&lt;&gt;DATE(2025,7,4)), (SWITCH(weekday(AX$4), 1, 0, 2, if(ISBLANK('2025'!$P113), 0, 1), 3, if(ISBLANK('2025'!$Q113), 0, 1), 4, if(ISBLANK('2025'!$R113), 0, 1), 5, if(ISBLANK('2025'!$S113), 0, 1), 6, if(ISBLANK('2025'!$T113), 0, 1), 7, 0))), 1, "")</f>
        <v/>
      </c>
      <c r="AY115" s="1" t="str">
        <f>IF(AND(AND(AND(AY$4&gt;='2025'!$L113,AY$4&lt;='2025'!$M113), AY$4&lt;&gt;DATE(2025,7,4)), (SWITCH(weekday(AY$4), 1, 0, 2, if(ISBLANK('2025'!$P113), 0, 1), 3, if(ISBLANK('2025'!$Q113), 0, 1), 4, if(ISBLANK('2025'!$R113), 0, 1), 5, if(ISBLANK('2025'!$S113), 0, 1), 6, if(ISBLANK('2025'!$T113), 0, 1), 7, 0))), 1, "")</f>
        <v/>
      </c>
      <c r="AZ115" s="1" t="str">
        <f>IF(AND(AND(AND(AZ$4&gt;='2025'!$L113,AZ$4&lt;='2025'!$M113), AZ$4&lt;&gt;DATE(2025,7,4)), (SWITCH(weekday(AZ$4), 1, 0, 2, if(ISBLANK('2025'!$P113), 0, 1), 3, if(ISBLANK('2025'!$Q113), 0, 1), 4, if(ISBLANK('2025'!$R113), 0, 1), 5, if(ISBLANK('2025'!$S113), 0, 1), 6, if(ISBLANK('2025'!$T113), 0, 1), 7, 0))), 1, "")</f>
        <v/>
      </c>
      <c r="BA115" s="1" t="str">
        <f>IF(AND(AND(AND(BA$4&gt;='2025'!$L113,BA$4&lt;='2025'!$M113), BA$4&lt;&gt;DATE(2025,7,4)), (SWITCH(weekday(BA$4), 1, 0, 2, if(ISBLANK('2025'!$P113), 0, 1), 3, if(ISBLANK('2025'!$Q113), 0, 1), 4, if(ISBLANK('2025'!$R113), 0, 1), 5, if(ISBLANK('2025'!$S113), 0, 1), 6, if(ISBLANK('2025'!$T113), 0, 1), 7, 0))), 1, "")</f>
        <v/>
      </c>
      <c r="BB115" s="1" t="str">
        <f>IF(AND(AND(AND(BB$4&gt;='2025'!$L113,BB$4&lt;='2025'!$M113), BB$4&lt;&gt;DATE(2025,7,4)), (SWITCH(weekday(BB$4), 1, 0, 2, if(ISBLANK('2025'!$P113), 0, 1), 3, if(ISBLANK('2025'!$Q113), 0, 1), 4, if(ISBLANK('2025'!$R113), 0, 1), 5, if(ISBLANK('2025'!$S113), 0, 1), 6, if(ISBLANK('2025'!$T113), 0, 1), 7, 0))), 1, "")</f>
        <v/>
      </c>
      <c r="BC115" s="1" t="str">
        <f>IF(AND(AND(AND(BC$4&gt;='2025'!$L113,BC$4&lt;='2025'!$M113), BC$4&lt;&gt;DATE(2025,7,4)), (SWITCH(weekday(BC$4), 1, 0, 2, if(ISBLANK('2025'!$P113), 0, 1), 3, if(ISBLANK('2025'!$Q113), 0, 1), 4, if(ISBLANK('2025'!$R113), 0, 1), 5, if(ISBLANK('2025'!$S113), 0, 1), 6, if(ISBLANK('2025'!$T113), 0, 1), 7, 0))), 1, "")</f>
        <v/>
      </c>
      <c r="BD115" s="1" t="str">
        <f>IF(AND(AND(AND(BD$4&gt;='2025'!$L113,BD$4&lt;='2025'!$M113), BD$4&lt;&gt;DATE(2025,7,4)), (SWITCH(weekday(BD$4), 1, 0, 2, if(ISBLANK('2025'!$P113), 0, 1), 3, if(ISBLANK('2025'!$Q113), 0, 1), 4, if(ISBLANK('2025'!$R113), 0, 1), 5, if(ISBLANK('2025'!$S113), 0, 1), 6, if(ISBLANK('2025'!$T113), 0, 1), 7, 0))), 1, "")</f>
        <v/>
      </c>
      <c r="BE115" s="1" t="str">
        <f>IF(AND(AND(AND(BE$4&gt;='2025'!$L113,BE$4&lt;='2025'!$M113), BE$4&lt;&gt;DATE(2025,7,4)), (SWITCH(weekday(BE$4), 1, 0, 2, if(ISBLANK('2025'!$P113), 0, 1), 3, if(ISBLANK('2025'!$Q113), 0, 1), 4, if(ISBLANK('2025'!$R113), 0, 1), 5, if(ISBLANK('2025'!$S113), 0, 1), 6, if(ISBLANK('2025'!$T113), 0, 1), 7, 0))), 1, "")</f>
        <v/>
      </c>
      <c r="BF115" s="1" t="str">
        <f>IF(AND(AND(AND(BF$4&gt;='2025'!$L113,BF$4&lt;='2025'!$M113), BF$4&lt;&gt;DATE(2025,7,4)), (SWITCH(weekday(BF$4), 1, 0, 2, if(ISBLANK('2025'!$P113), 0, 1), 3, if(ISBLANK('2025'!$Q113), 0, 1), 4, if(ISBLANK('2025'!$R113), 0, 1), 5, if(ISBLANK('2025'!$S113), 0, 1), 6, if(ISBLANK('2025'!$T113), 0, 1), 7, 0))), 1, "")</f>
        <v/>
      </c>
      <c r="BG115" s="1"/>
      <c r="BH115" s="1"/>
      <c r="BI115" s="1"/>
      <c r="BJ115" s="1"/>
      <c r="BK115" s="1"/>
      <c r="BL115" s="1"/>
    </row>
    <row r="116">
      <c r="A116" s="1">
        <f t="shared" si="3"/>
        <v>116</v>
      </c>
      <c r="B116" s="1" t="str">
        <f>'2025'!D80</f>
        <v>, </v>
      </c>
      <c r="C116" s="1" t="str">
        <f>'2025'!H80</f>
        <v/>
      </c>
      <c r="D116" s="1" t="str">
        <f>IF(AND(AND(AND(D$4&gt;='2025'!$L114,D$4&lt;='2025'!$M114), D$4&lt;&gt;DATE(2025,7,4)), (SWITCH(weekday(D$4), 1, 0, 2, if(ISBLANK('2025'!$P114), 0, 1), 3, if(ISBLANK('2025'!$Q114), 0, 1), 4, if(ISBLANK('2025'!$R114), 0, 1), 5, if(ISBLANK('2025'!$S114), 0, 1), 6, if(ISBLANK('2025'!$T114), 0, 1), 7, 0))), 1, "")</f>
        <v/>
      </c>
      <c r="E116" s="1" t="str">
        <f>IF(AND(AND(AND(E$4&gt;='2025'!$L114,E$4&lt;='2025'!$M114), E$4&lt;&gt;DATE(2025,7,4)), (SWITCH(weekday(E$4), 1, 0, 2, if(ISBLANK('2025'!$P114), 0, 1), 3, if(ISBLANK('2025'!$Q114), 0, 1), 4, if(ISBLANK('2025'!$R114), 0, 1), 5, if(ISBLANK('2025'!$S114), 0, 1), 6, if(ISBLANK('2025'!$T114), 0, 1), 7, 0))), 1, "")</f>
        <v/>
      </c>
      <c r="F116" s="1" t="str">
        <f>IF(AND(AND(AND(F$4&gt;='2025'!$L114,F$4&lt;='2025'!$M114), F$4&lt;&gt;DATE(2025,7,4)), (SWITCH(weekday(F$4), 1, 0, 2, if(ISBLANK('2025'!$P114), 0, 1), 3, if(ISBLANK('2025'!$Q114), 0, 1), 4, if(ISBLANK('2025'!$R114), 0, 1), 5, if(ISBLANK('2025'!$S114), 0, 1), 6, if(ISBLANK('2025'!$T114), 0, 1), 7, 0))), 1, "")</f>
        <v/>
      </c>
      <c r="G116" s="1" t="str">
        <f>IF(AND(AND(AND(G$4&gt;='2025'!$L114,G$4&lt;='2025'!$M114), G$4&lt;&gt;DATE(2025,7,4)), (SWITCH(weekday(G$4), 1, 0, 2, if(ISBLANK('2025'!$P114), 0, 1), 3, if(ISBLANK('2025'!$Q114), 0, 1), 4, if(ISBLANK('2025'!$R114), 0, 1), 5, if(ISBLANK('2025'!$S114), 0, 1), 6, if(ISBLANK('2025'!$T114), 0, 1), 7, 0))), 1, "")</f>
        <v/>
      </c>
      <c r="H116" s="1" t="str">
        <f>IF(AND(AND(AND(H$4&gt;='2025'!$L114,H$4&lt;='2025'!$M114), H$4&lt;&gt;DATE(2025,7,4)), (SWITCH(weekday(H$4), 1, 0, 2, if(ISBLANK('2025'!$P114), 0, 1), 3, if(ISBLANK('2025'!$Q114), 0, 1), 4, if(ISBLANK('2025'!$R114), 0, 1), 5, if(ISBLANK('2025'!$S114), 0, 1), 6, if(ISBLANK('2025'!$T114), 0, 1), 7, 0))), 1, "")</f>
        <v/>
      </c>
      <c r="I116" s="1" t="str">
        <f>IF(AND(AND(AND(I$4&gt;='2025'!$L114,I$4&lt;='2025'!$M114), I$4&lt;&gt;DATE(2025,7,4)), (SWITCH(weekday(I$4), 1, 0, 2, if(ISBLANK('2025'!$P114), 0, 1), 3, if(ISBLANK('2025'!$Q114), 0, 1), 4, if(ISBLANK('2025'!$R114), 0, 1), 5, if(ISBLANK('2025'!$S114), 0, 1), 6, if(ISBLANK('2025'!$T114), 0, 1), 7, 0))), 1, "")</f>
        <v/>
      </c>
      <c r="J116" s="1" t="str">
        <f>IF(AND(AND(AND(J$4&gt;='2025'!$L114,J$4&lt;='2025'!$M114), J$4&lt;&gt;DATE(2025,7,4)), (SWITCH(weekday(J$4), 1, 0, 2, if(ISBLANK('2025'!$P114), 0, 1), 3, if(ISBLANK('2025'!$Q114), 0, 1), 4, if(ISBLANK('2025'!$R114), 0, 1), 5, if(ISBLANK('2025'!$S114), 0, 1), 6, if(ISBLANK('2025'!$T114), 0, 1), 7, 0))), 1, "")</f>
        <v/>
      </c>
      <c r="K116" s="1" t="str">
        <f>IF(AND(AND(AND(K$4&gt;='2025'!$L114,K$4&lt;='2025'!$M114), K$4&lt;&gt;DATE(2025,7,4)), (SWITCH(weekday(K$4), 1, 0, 2, if(ISBLANK('2025'!$P114), 0, 1), 3, if(ISBLANK('2025'!$Q114), 0, 1), 4, if(ISBLANK('2025'!$R114), 0, 1), 5, if(ISBLANK('2025'!$S114), 0, 1), 6, if(ISBLANK('2025'!$T114), 0, 1), 7, 0))), 1, "")</f>
        <v/>
      </c>
      <c r="L116" s="1" t="str">
        <f>IF(AND(AND(AND(L$4&gt;='2025'!$L114,L$4&lt;='2025'!$M114), L$4&lt;&gt;DATE(2025,7,4)), (SWITCH(weekday(L$4), 1, 0, 2, if(ISBLANK('2025'!$P114), 0, 1), 3, if(ISBLANK('2025'!$Q114), 0, 1), 4, if(ISBLANK('2025'!$R114), 0, 1), 5, if(ISBLANK('2025'!$S114), 0, 1), 6, if(ISBLANK('2025'!$T114), 0, 1), 7, 0))), 1, "")</f>
        <v/>
      </c>
      <c r="M116" s="1" t="str">
        <f>IF(AND(AND(AND(M$4&gt;='2025'!$L114,M$4&lt;='2025'!$M114), M$4&lt;&gt;DATE(2025,7,4)), (SWITCH(weekday(M$4), 1, 0, 2, if(ISBLANK('2025'!$P114), 0, 1), 3, if(ISBLANK('2025'!$Q114), 0, 1), 4, if(ISBLANK('2025'!$R114), 0, 1), 5, if(ISBLANK('2025'!$S114), 0, 1), 6, if(ISBLANK('2025'!$T114), 0, 1), 7, 0))), 1, "")</f>
        <v/>
      </c>
      <c r="N116" s="1" t="str">
        <f>IF(AND(AND(AND(N$4&gt;='2025'!$L114,N$4&lt;='2025'!$M114), N$4&lt;&gt;DATE(2025,7,4)), (SWITCH(weekday(N$4), 1, 0, 2, if(ISBLANK('2025'!$P114), 0, 1), 3, if(ISBLANK('2025'!$Q114), 0, 1), 4, if(ISBLANK('2025'!$R114), 0, 1), 5, if(ISBLANK('2025'!$S114), 0, 1), 6, if(ISBLANK('2025'!$T114), 0, 1), 7, 0))), 1, "")</f>
        <v/>
      </c>
      <c r="O116" s="1" t="str">
        <f>IF(AND(AND(AND(O$4&gt;='2025'!$L114,O$4&lt;='2025'!$M114), O$4&lt;&gt;DATE(2025,7,4)), (SWITCH(weekday(O$4), 1, 0, 2, if(ISBLANK('2025'!$P114), 0, 1), 3, if(ISBLANK('2025'!$Q114), 0, 1), 4, if(ISBLANK('2025'!$R114), 0, 1), 5, if(ISBLANK('2025'!$S114), 0, 1), 6, if(ISBLANK('2025'!$T114), 0, 1), 7, 0))), 1, "")</f>
        <v/>
      </c>
      <c r="P116" s="1" t="str">
        <f>IF(AND(AND(AND(P$4&gt;='2025'!$L114,P$4&lt;='2025'!$M114), P$4&lt;&gt;DATE(2025,7,4)), (SWITCH(weekday(P$4), 1, 0, 2, if(ISBLANK('2025'!$P114), 0, 1), 3, if(ISBLANK('2025'!$Q114), 0, 1), 4, if(ISBLANK('2025'!$R114), 0, 1), 5, if(ISBLANK('2025'!$S114), 0, 1), 6, if(ISBLANK('2025'!$T114), 0, 1), 7, 0))), 1, "")</f>
        <v/>
      </c>
      <c r="Q116" s="1" t="str">
        <f>IF(AND(AND(AND(Q$4&gt;='2025'!$L114,Q$4&lt;='2025'!$M114), Q$4&lt;&gt;DATE(2025,7,4)), (SWITCH(weekday(Q$4), 1, 0, 2, if(ISBLANK('2025'!$P114), 0, 1), 3, if(ISBLANK('2025'!$Q114), 0, 1), 4, if(ISBLANK('2025'!$R114), 0, 1), 5, if(ISBLANK('2025'!$S114), 0, 1), 6, if(ISBLANK('2025'!$T114), 0, 1), 7, 0))), 1, "")</f>
        <v/>
      </c>
      <c r="R116" s="1" t="str">
        <f>IF(AND(AND(AND(R$4&gt;='2025'!$L114,R$4&lt;='2025'!$M114), R$4&lt;&gt;DATE(2025,7,4)), (SWITCH(weekday(R$4), 1, 0, 2, if(ISBLANK('2025'!$P114), 0, 1), 3, if(ISBLANK('2025'!$Q114), 0, 1), 4, if(ISBLANK('2025'!$R114), 0, 1), 5, if(ISBLANK('2025'!$S114), 0, 1), 6, if(ISBLANK('2025'!$T114), 0, 1), 7, 0))), 1, "")</f>
        <v/>
      </c>
      <c r="S116" s="1" t="str">
        <f>IF(AND(AND(AND(S$4&gt;='2025'!$L114,S$4&lt;='2025'!$M114), S$4&lt;&gt;DATE(2025,7,4)), (SWITCH(weekday(S$4), 1, 0, 2, if(ISBLANK('2025'!$P114), 0, 1), 3, if(ISBLANK('2025'!$Q114), 0, 1), 4, if(ISBLANK('2025'!$R114), 0, 1), 5, if(ISBLANK('2025'!$S114), 0, 1), 6, if(ISBLANK('2025'!$T114), 0, 1), 7, 0))), 1, "")</f>
        <v/>
      </c>
      <c r="T116" s="1" t="str">
        <f>IF(AND(AND(AND(T$4&gt;='2025'!$L114,T$4&lt;='2025'!$M114), T$4&lt;&gt;DATE(2025,7,4)), (SWITCH(weekday(T$4), 1, 0, 2, if(ISBLANK('2025'!$P114), 0, 1), 3, if(ISBLANK('2025'!$Q114), 0, 1), 4, if(ISBLANK('2025'!$R114), 0, 1), 5, if(ISBLANK('2025'!$S114), 0, 1), 6, if(ISBLANK('2025'!$T114), 0, 1), 7, 0))), 1, "")</f>
        <v/>
      </c>
      <c r="U116" s="1" t="str">
        <f>IF(AND(AND(AND(U$4&gt;='2025'!$L114,U$4&lt;='2025'!$M114), U$4&lt;&gt;DATE(2025,7,4)), (SWITCH(weekday(U$4), 1, 0, 2, if(ISBLANK('2025'!$P114), 0, 1), 3, if(ISBLANK('2025'!$Q114), 0, 1), 4, if(ISBLANK('2025'!$R114), 0, 1), 5, if(ISBLANK('2025'!$S114), 0, 1), 6, if(ISBLANK('2025'!$T114), 0, 1), 7, 0))), 1, "")</f>
        <v/>
      </c>
      <c r="V116" s="1" t="str">
        <f>IF(AND(AND(AND(V$4&gt;='2025'!$L114,V$4&lt;='2025'!$M114), V$4&lt;&gt;DATE(2025,7,4)), (SWITCH(weekday(V$4), 1, 0, 2, if(ISBLANK('2025'!$P114), 0, 1), 3, if(ISBLANK('2025'!$Q114), 0, 1), 4, if(ISBLANK('2025'!$R114), 0, 1), 5, if(ISBLANK('2025'!$S114), 0, 1), 6, if(ISBLANK('2025'!$T114), 0, 1), 7, 0))), 1, "")</f>
        <v/>
      </c>
      <c r="W116" s="1" t="str">
        <f>IF(AND(AND(AND(W$4&gt;='2025'!$L114,W$4&lt;='2025'!$M114), W$4&lt;&gt;DATE(2025,7,4)), (SWITCH(weekday(W$4), 1, 0, 2, if(ISBLANK('2025'!$P114), 0, 1), 3, if(ISBLANK('2025'!$Q114), 0, 1), 4, if(ISBLANK('2025'!$R114), 0, 1), 5, if(ISBLANK('2025'!$S114), 0, 1), 6, if(ISBLANK('2025'!$T114), 0, 1), 7, 0))), 1, "")</f>
        <v/>
      </c>
      <c r="X116" s="1" t="str">
        <f>IF(AND(AND(AND(X$4&gt;='2025'!$L114,X$4&lt;='2025'!$M114), X$4&lt;&gt;DATE(2025,7,4)), (SWITCH(weekday(X$4), 1, 0, 2, if(ISBLANK('2025'!$P114), 0, 1), 3, if(ISBLANK('2025'!$Q114), 0, 1), 4, if(ISBLANK('2025'!$R114), 0, 1), 5, if(ISBLANK('2025'!$S114), 0, 1), 6, if(ISBLANK('2025'!$T114), 0, 1), 7, 0))), 1, "")</f>
        <v/>
      </c>
      <c r="Y116" s="1" t="str">
        <f>IF(AND(AND(AND(Y$4&gt;='2025'!$L114,Y$4&lt;='2025'!$M114), Y$4&lt;&gt;DATE(2025,7,4)), (SWITCH(weekday(Y$4), 1, 0, 2, if(ISBLANK('2025'!$P114), 0, 1), 3, if(ISBLANK('2025'!$Q114), 0, 1), 4, if(ISBLANK('2025'!$R114), 0, 1), 5, if(ISBLANK('2025'!$S114), 0, 1), 6, if(ISBLANK('2025'!$T114), 0, 1), 7, 0))), 1, "")</f>
        <v/>
      </c>
      <c r="Z116" s="1" t="str">
        <f>IF(AND(AND(AND(Z$4&gt;='2025'!$L114,Z$4&lt;='2025'!$M114), Z$4&lt;&gt;DATE(2025,7,4)), (SWITCH(weekday(Z$4), 1, 0, 2, if(ISBLANK('2025'!$P114), 0, 1), 3, if(ISBLANK('2025'!$Q114), 0, 1), 4, if(ISBLANK('2025'!$R114), 0, 1), 5, if(ISBLANK('2025'!$S114), 0, 1), 6, if(ISBLANK('2025'!$T114), 0, 1), 7, 0))), 1, "")</f>
        <v/>
      </c>
      <c r="AA116" s="1" t="str">
        <f>IF(AND(AND(AND(AA$4&gt;='2025'!$L114,AA$4&lt;='2025'!$M114), AA$4&lt;&gt;DATE(2025,7,4)), (SWITCH(weekday(AA$4), 1, 0, 2, if(ISBLANK('2025'!$P114), 0, 1), 3, if(ISBLANK('2025'!$Q114), 0, 1), 4, if(ISBLANK('2025'!$R114), 0, 1), 5, if(ISBLANK('2025'!$S114), 0, 1), 6, if(ISBLANK('2025'!$T114), 0, 1), 7, 0))), 1, "")</f>
        <v/>
      </c>
      <c r="AB116" s="1" t="str">
        <f>IF(AND(AND(AND(AB$4&gt;='2025'!$L114,AB$4&lt;='2025'!$M114), AB$4&lt;&gt;DATE(2025,7,4)), (SWITCH(weekday(AB$4), 1, 0, 2, if(ISBLANK('2025'!$P114), 0, 1), 3, if(ISBLANK('2025'!$Q114), 0, 1), 4, if(ISBLANK('2025'!$R114), 0, 1), 5, if(ISBLANK('2025'!$S114), 0, 1), 6, if(ISBLANK('2025'!$T114), 0, 1), 7, 0))), 1, "")</f>
        <v/>
      </c>
      <c r="AC116" s="1" t="str">
        <f>IF(AND(AND(AND(AC$4&gt;='2025'!$L114,AC$4&lt;='2025'!$M114), AC$4&lt;&gt;DATE(2025,7,4)), (SWITCH(weekday(AC$4), 1, 0, 2, if(ISBLANK('2025'!$P114), 0, 1), 3, if(ISBLANK('2025'!$Q114), 0, 1), 4, if(ISBLANK('2025'!$R114), 0, 1), 5, if(ISBLANK('2025'!$S114), 0, 1), 6, if(ISBLANK('2025'!$T114), 0, 1), 7, 0))), 1, "")</f>
        <v/>
      </c>
      <c r="AD116" s="1" t="str">
        <f>IF(AND(AND(AND(AD$4&gt;='2025'!$L114,AD$4&lt;='2025'!$M114), AD$4&lt;&gt;DATE(2025,7,4)), (SWITCH(weekday(AD$4), 1, 0, 2, if(ISBLANK('2025'!$P114), 0, 1), 3, if(ISBLANK('2025'!$Q114), 0, 1), 4, if(ISBLANK('2025'!$R114), 0, 1), 5, if(ISBLANK('2025'!$S114), 0, 1), 6, if(ISBLANK('2025'!$T114), 0, 1), 7, 0))), 1, "")</f>
        <v/>
      </c>
      <c r="AE116" s="1" t="str">
        <f>IF(AND(AND(AND(AE$4&gt;='2025'!$L114,AE$4&lt;='2025'!$M114), AE$4&lt;&gt;DATE(2025,7,4)), (SWITCH(weekday(AE$4), 1, 0, 2, if(ISBLANK('2025'!$P114), 0, 1), 3, if(ISBLANK('2025'!$Q114), 0, 1), 4, if(ISBLANK('2025'!$R114), 0, 1), 5, if(ISBLANK('2025'!$S114), 0, 1), 6, if(ISBLANK('2025'!$T114), 0, 1), 7, 0))), 1, "")</f>
        <v/>
      </c>
      <c r="AF116" s="1" t="str">
        <f>IF(AND(AND(AND(AF$4&gt;='2025'!$L114,AF$4&lt;='2025'!$M114), AF$4&lt;&gt;DATE(2025,7,4)), (SWITCH(weekday(AF$4), 1, 0, 2, if(ISBLANK('2025'!$P114), 0, 1), 3, if(ISBLANK('2025'!$Q114), 0, 1), 4, if(ISBLANK('2025'!$R114), 0, 1), 5, if(ISBLANK('2025'!$S114), 0, 1), 6, if(ISBLANK('2025'!$T114), 0, 1), 7, 0))), 1, "")</f>
        <v/>
      </c>
      <c r="AG116" s="1" t="str">
        <f>IF(AND(AND(AND(AG$4&gt;='2025'!$L114,AG$4&lt;='2025'!$M114), AG$4&lt;&gt;DATE(2025,7,4)), (SWITCH(weekday(AG$4), 1, 0, 2, if(ISBLANK('2025'!$P114), 0, 1), 3, if(ISBLANK('2025'!$Q114), 0, 1), 4, if(ISBLANK('2025'!$R114), 0, 1), 5, if(ISBLANK('2025'!$S114), 0, 1), 6, if(ISBLANK('2025'!$T114), 0, 1), 7, 0))), 1, "")</f>
        <v/>
      </c>
      <c r="AH116" s="1" t="str">
        <f>IF(AND(AND(AND(AH$4&gt;='2025'!$L114,AH$4&lt;='2025'!$M114), AH$4&lt;&gt;DATE(2025,7,4)), (SWITCH(weekday(AH$4), 1, 0, 2, if(ISBLANK('2025'!$P114), 0, 1), 3, if(ISBLANK('2025'!$Q114), 0, 1), 4, if(ISBLANK('2025'!$R114), 0, 1), 5, if(ISBLANK('2025'!$S114), 0, 1), 6, if(ISBLANK('2025'!$T114), 0, 1), 7, 0))), 1, "")</f>
        <v/>
      </c>
      <c r="AI116" s="1" t="str">
        <f>IF(AND(AND(AND(AI$4&gt;='2025'!$L114,AI$4&lt;='2025'!$M114), AI$4&lt;&gt;DATE(2025,7,4)), (SWITCH(weekday(AI$4), 1, 0, 2, if(ISBLANK('2025'!$P114), 0, 1), 3, if(ISBLANK('2025'!$Q114), 0, 1), 4, if(ISBLANK('2025'!$R114), 0, 1), 5, if(ISBLANK('2025'!$S114), 0, 1), 6, if(ISBLANK('2025'!$T114), 0, 1), 7, 0))), 1, "")</f>
        <v/>
      </c>
      <c r="AJ116" s="1" t="str">
        <f>IF(AND(AND(AND(AJ$4&gt;='2025'!$L114,AJ$4&lt;='2025'!$M114), AJ$4&lt;&gt;DATE(2025,7,4)), (SWITCH(weekday(AJ$4), 1, 0, 2, if(ISBLANK('2025'!$P114), 0, 1), 3, if(ISBLANK('2025'!$Q114), 0, 1), 4, if(ISBLANK('2025'!$R114), 0, 1), 5, if(ISBLANK('2025'!$S114), 0, 1), 6, if(ISBLANK('2025'!$T114), 0, 1), 7, 0))), 1, "")</f>
        <v/>
      </c>
      <c r="AK116" s="1" t="str">
        <f>IF(AND(AND(AND(AK$4&gt;='2025'!$L114,AK$4&lt;='2025'!$M114), AK$4&lt;&gt;DATE(2025,7,4)), (SWITCH(weekday(AK$4), 1, 0, 2, if(ISBLANK('2025'!$P114), 0, 1), 3, if(ISBLANK('2025'!$Q114), 0, 1), 4, if(ISBLANK('2025'!$R114), 0, 1), 5, if(ISBLANK('2025'!$S114), 0, 1), 6, if(ISBLANK('2025'!$T114), 0, 1), 7, 0))), 1, "")</f>
        <v/>
      </c>
      <c r="AL116" s="1" t="str">
        <f>IF(AND(AND(AND(AL$4&gt;='2025'!$L114,AL$4&lt;='2025'!$M114), AL$4&lt;&gt;DATE(2025,7,4)), (SWITCH(weekday(AL$4), 1, 0, 2, if(ISBLANK('2025'!$P114), 0, 1), 3, if(ISBLANK('2025'!$Q114), 0, 1), 4, if(ISBLANK('2025'!$R114), 0, 1), 5, if(ISBLANK('2025'!$S114), 0, 1), 6, if(ISBLANK('2025'!$T114), 0, 1), 7, 0))), 1, "")</f>
        <v/>
      </c>
      <c r="AM116" s="1" t="str">
        <f>IF(AND(AND(AND(AM$4&gt;='2025'!$L114,AM$4&lt;='2025'!$M114), AM$4&lt;&gt;DATE(2025,7,4)), (SWITCH(weekday(AM$4), 1, 0, 2, if(ISBLANK('2025'!$P114), 0, 1), 3, if(ISBLANK('2025'!$Q114), 0, 1), 4, if(ISBLANK('2025'!$R114), 0, 1), 5, if(ISBLANK('2025'!$S114), 0, 1), 6, if(ISBLANK('2025'!$T114), 0, 1), 7, 0))), 1, "")</f>
        <v/>
      </c>
      <c r="AN116" s="1" t="str">
        <f>IF(AND(AND(AND(AN$4&gt;='2025'!$L114,AN$4&lt;='2025'!$M114), AN$4&lt;&gt;DATE(2025,7,4)), (SWITCH(weekday(AN$4), 1, 0, 2, if(ISBLANK('2025'!$P114), 0, 1), 3, if(ISBLANK('2025'!$Q114), 0, 1), 4, if(ISBLANK('2025'!$R114), 0, 1), 5, if(ISBLANK('2025'!$S114), 0, 1), 6, if(ISBLANK('2025'!$T114), 0, 1), 7, 0))), 1, "")</f>
        <v/>
      </c>
      <c r="AO116" s="1" t="str">
        <f>IF(AND(AND(AND(AO$4&gt;='2025'!$L114,AO$4&lt;='2025'!$M114), AO$4&lt;&gt;DATE(2025,7,4)), (SWITCH(weekday(AO$4), 1, 0, 2, if(ISBLANK('2025'!$P114), 0, 1), 3, if(ISBLANK('2025'!$Q114), 0, 1), 4, if(ISBLANK('2025'!$R114), 0, 1), 5, if(ISBLANK('2025'!$S114), 0, 1), 6, if(ISBLANK('2025'!$T114), 0, 1), 7, 0))), 1, "")</f>
        <v/>
      </c>
      <c r="AP116" s="1" t="str">
        <f>IF(AND(AND(AND(AP$4&gt;='2025'!$L114,AP$4&lt;='2025'!$M114), AP$4&lt;&gt;DATE(2025,7,4)), (SWITCH(weekday(AP$4), 1, 0, 2, if(ISBLANK('2025'!$P114), 0, 1), 3, if(ISBLANK('2025'!$Q114), 0, 1), 4, if(ISBLANK('2025'!$R114), 0, 1), 5, if(ISBLANK('2025'!$S114), 0, 1), 6, if(ISBLANK('2025'!$T114), 0, 1), 7, 0))), 1, "")</f>
        <v/>
      </c>
      <c r="AQ116" s="1" t="str">
        <f>IF(AND(AND(AND(AQ$4&gt;='2025'!$L114,AQ$4&lt;='2025'!$M114), AQ$4&lt;&gt;DATE(2025,7,4)), (SWITCH(weekday(AQ$4), 1, 0, 2, if(ISBLANK('2025'!$P114), 0, 1), 3, if(ISBLANK('2025'!$Q114), 0, 1), 4, if(ISBLANK('2025'!$R114), 0, 1), 5, if(ISBLANK('2025'!$S114), 0, 1), 6, if(ISBLANK('2025'!$T114), 0, 1), 7, 0))), 1, "")</f>
        <v/>
      </c>
      <c r="AR116" s="1" t="str">
        <f>IF(AND(AND(AND(AR$4&gt;='2025'!$L114,AR$4&lt;='2025'!$M114), AR$4&lt;&gt;DATE(2025,7,4)), (SWITCH(weekday(AR$4), 1, 0, 2, if(ISBLANK('2025'!$P114), 0, 1), 3, if(ISBLANK('2025'!$Q114), 0, 1), 4, if(ISBLANK('2025'!$R114), 0, 1), 5, if(ISBLANK('2025'!$S114), 0, 1), 6, if(ISBLANK('2025'!$T114), 0, 1), 7, 0))), 1, "")</f>
        <v/>
      </c>
      <c r="AS116" s="1" t="str">
        <f>IF(AND(AND(AND(AS$4&gt;='2025'!$L114,AS$4&lt;='2025'!$M114), AS$4&lt;&gt;DATE(2025,7,4)), (SWITCH(weekday(AS$4), 1, 0, 2, if(ISBLANK('2025'!$P114), 0, 1), 3, if(ISBLANK('2025'!$Q114), 0, 1), 4, if(ISBLANK('2025'!$R114), 0, 1), 5, if(ISBLANK('2025'!$S114), 0, 1), 6, if(ISBLANK('2025'!$T114), 0, 1), 7, 0))), 1, "")</f>
        <v/>
      </c>
      <c r="AT116" s="1" t="str">
        <f>IF(AND(AND(AND(AT$4&gt;='2025'!$L114,AT$4&lt;='2025'!$M114), AT$4&lt;&gt;DATE(2025,7,4)), (SWITCH(weekday(AT$4), 1, 0, 2, if(ISBLANK('2025'!$P114), 0, 1), 3, if(ISBLANK('2025'!$Q114), 0, 1), 4, if(ISBLANK('2025'!$R114), 0, 1), 5, if(ISBLANK('2025'!$S114), 0, 1), 6, if(ISBLANK('2025'!$T114), 0, 1), 7, 0))), 1, "")</f>
        <v/>
      </c>
      <c r="AU116" s="1" t="str">
        <f>IF(AND(AND(AND(AU$4&gt;='2025'!$L114,AU$4&lt;='2025'!$M114), AU$4&lt;&gt;DATE(2025,7,4)), (SWITCH(weekday(AU$4), 1, 0, 2, if(ISBLANK('2025'!$P114), 0, 1), 3, if(ISBLANK('2025'!$Q114), 0, 1), 4, if(ISBLANK('2025'!$R114), 0, 1), 5, if(ISBLANK('2025'!$S114), 0, 1), 6, if(ISBLANK('2025'!$T114), 0, 1), 7, 0))), 1, "")</f>
        <v/>
      </c>
      <c r="AV116" s="1" t="str">
        <f>IF(AND(AND(AND(AV$4&gt;='2025'!$L114,AV$4&lt;='2025'!$M114), AV$4&lt;&gt;DATE(2025,7,4)), (SWITCH(weekday(AV$4), 1, 0, 2, if(ISBLANK('2025'!$P114), 0, 1), 3, if(ISBLANK('2025'!$Q114), 0, 1), 4, if(ISBLANK('2025'!$R114), 0, 1), 5, if(ISBLANK('2025'!$S114), 0, 1), 6, if(ISBLANK('2025'!$T114), 0, 1), 7, 0))), 1, "")</f>
        <v/>
      </c>
      <c r="AW116" s="1" t="str">
        <f>IF(AND(AND(AND(AW$4&gt;='2025'!$L114,AW$4&lt;='2025'!$M114), AW$4&lt;&gt;DATE(2025,7,4)), (SWITCH(weekday(AW$4), 1, 0, 2, if(ISBLANK('2025'!$P114), 0, 1), 3, if(ISBLANK('2025'!$Q114), 0, 1), 4, if(ISBLANK('2025'!$R114), 0, 1), 5, if(ISBLANK('2025'!$S114), 0, 1), 6, if(ISBLANK('2025'!$T114), 0, 1), 7, 0))), 1, "")</f>
        <v/>
      </c>
      <c r="AX116" s="1" t="str">
        <f>IF(AND(AND(AND(AX$4&gt;='2025'!$L114,AX$4&lt;='2025'!$M114), AX$4&lt;&gt;DATE(2025,7,4)), (SWITCH(weekday(AX$4), 1, 0, 2, if(ISBLANK('2025'!$P114), 0, 1), 3, if(ISBLANK('2025'!$Q114), 0, 1), 4, if(ISBLANK('2025'!$R114), 0, 1), 5, if(ISBLANK('2025'!$S114), 0, 1), 6, if(ISBLANK('2025'!$T114), 0, 1), 7, 0))), 1, "")</f>
        <v/>
      </c>
      <c r="AY116" s="1" t="str">
        <f>IF(AND(AND(AND(AY$4&gt;='2025'!$L114,AY$4&lt;='2025'!$M114), AY$4&lt;&gt;DATE(2025,7,4)), (SWITCH(weekday(AY$4), 1, 0, 2, if(ISBLANK('2025'!$P114), 0, 1), 3, if(ISBLANK('2025'!$Q114), 0, 1), 4, if(ISBLANK('2025'!$R114), 0, 1), 5, if(ISBLANK('2025'!$S114), 0, 1), 6, if(ISBLANK('2025'!$T114), 0, 1), 7, 0))), 1, "")</f>
        <v/>
      </c>
      <c r="AZ116" s="1" t="str">
        <f>IF(AND(AND(AND(AZ$4&gt;='2025'!$L114,AZ$4&lt;='2025'!$M114), AZ$4&lt;&gt;DATE(2025,7,4)), (SWITCH(weekday(AZ$4), 1, 0, 2, if(ISBLANK('2025'!$P114), 0, 1), 3, if(ISBLANK('2025'!$Q114), 0, 1), 4, if(ISBLANK('2025'!$R114), 0, 1), 5, if(ISBLANK('2025'!$S114), 0, 1), 6, if(ISBLANK('2025'!$T114), 0, 1), 7, 0))), 1, "")</f>
        <v/>
      </c>
      <c r="BA116" s="1" t="str">
        <f>IF(AND(AND(AND(BA$4&gt;='2025'!$L114,BA$4&lt;='2025'!$M114), BA$4&lt;&gt;DATE(2025,7,4)), (SWITCH(weekday(BA$4), 1, 0, 2, if(ISBLANK('2025'!$P114), 0, 1), 3, if(ISBLANK('2025'!$Q114), 0, 1), 4, if(ISBLANK('2025'!$R114), 0, 1), 5, if(ISBLANK('2025'!$S114), 0, 1), 6, if(ISBLANK('2025'!$T114), 0, 1), 7, 0))), 1, "")</f>
        <v/>
      </c>
      <c r="BB116" s="1" t="str">
        <f>IF(AND(AND(AND(BB$4&gt;='2025'!$L114,BB$4&lt;='2025'!$M114), BB$4&lt;&gt;DATE(2025,7,4)), (SWITCH(weekday(BB$4), 1, 0, 2, if(ISBLANK('2025'!$P114), 0, 1), 3, if(ISBLANK('2025'!$Q114), 0, 1), 4, if(ISBLANK('2025'!$R114), 0, 1), 5, if(ISBLANK('2025'!$S114), 0, 1), 6, if(ISBLANK('2025'!$T114), 0, 1), 7, 0))), 1, "")</f>
        <v/>
      </c>
      <c r="BC116" s="1" t="str">
        <f>IF(AND(AND(AND(BC$4&gt;='2025'!$L114,BC$4&lt;='2025'!$M114), BC$4&lt;&gt;DATE(2025,7,4)), (SWITCH(weekday(BC$4), 1, 0, 2, if(ISBLANK('2025'!$P114), 0, 1), 3, if(ISBLANK('2025'!$Q114), 0, 1), 4, if(ISBLANK('2025'!$R114), 0, 1), 5, if(ISBLANK('2025'!$S114), 0, 1), 6, if(ISBLANK('2025'!$T114), 0, 1), 7, 0))), 1, "")</f>
        <v/>
      </c>
      <c r="BD116" s="1" t="str">
        <f>IF(AND(AND(AND(BD$4&gt;='2025'!$L114,BD$4&lt;='2025'!$M114), BD$4&lt;&gt;DATE(2025,7,4)), (SWITCH(weekday(BD$4), 1, 0, 2, if(ISBLANK('2025'!$P114), 0, 1), 3, if(ISBLANK('2025'!$Q114), 0, 1), 4, if(ISBLANK('2025'!$R114), 0, 1), 5, if(ISBLANK('2025'!$S114), 0, 1), 6, if(ISBLANK('2025'!$T114), 0, 1), 7, 0))), 1, "")</f>
        <v/>
      </c>
      <c r="BE116" s="1" t="str">
        <f>IF(AND(AND(AND(BE$4&gt;='2025'!$L114,BE$4&lt;='2025'!$M114), BE$4&lt;&gt;DATE(2025,7,4)), (SWITCH(weekday(BE$4), 1, 0, 2, if(ISBLANK('2025'!$P114), 0, 1), 3, if(ISBLANK('2025'!$Q114), 0, 1), 4, if(ISBLANK('2025'!$R114), 0, 1), 5, if(ISBLANK('2025'!$S114), 0, 1), 6, if(ISBLANK('2025'!$T114), 0, 1), 7, 0))), 1, "")</f>
        <v/>
      </c>
      <c r="BF116" s="1" t="str">
        <f>IF(AND(AND(AND(BF$4&gt;='2025'!$L114,BF$4&lt;='2025'!$M114), BF$4&lt;&gt;DATE(2025,7,4)), (SWITCH(weekday(BF$4), 1, 0, 2, if(ISBLANK('2025'!$P114), 0, 1), 3, if(ISBLANK('2025'!$Q114), 0, 1), 4, if(ISBLANK('2025'!$R114), 0, 1), 5, if(ISBLANK('2025'!$S114), 0, 1), 6, if(ISBLANK('2025'!$T114), 0, 1), 7, 0))), 1, "")</f>
        <v/>
      </c>
      <c r="BG116" s="1"/>
      <c r="BH116" s="1"/>
      <c r="BI116" s="1"/>
      <c r="BJ116" s="1"/>
      <c r="BK116" s="1"/>
      <c r="BL116" s="1"/>
    </row>
    <row r="117">
      <c r="A117" s="1">
        <f t="shared" si="3"/>
        <v>117</v>
      </c>
      <c r="B117" s="1" t="str">
        <f>'2025'!D81</f>
        <v>, </v>
      </c>
      <c r="C117" s="1" t="str">
        <f>'2025'!H81</f>
        <v/>
      </c>
      <c r="D117" s="1" t="str">
        <f>IF(AND(AND(AND(D$4&gt;='2025'!$L115,D$4&lt;='2025'!$M115), D$4&lt;&gt;DATE(2025,7,4)), (SWITCH(weekday(D$4), 1, 0, 2, if(ISBLANK('2025'!$P115), 0, 1), 3, if(ISBLANK('2025'!$Q115), 0, 1), 4, if(ISBLANK('2025'!$R115), 0, 1), 5, if(ISBLANK('2025'!$S115), 0, 1), 6, if(ISBLANK('2025'!$T115), 0, 1), 7, 0))), 1, "")</f>
        <v/>
      </c>
      <c r="E117" s="1" t="str">
        <f>IF(AND(AND(AND(E$4&gt;='2025'!$L115,E$4&lt;='2025'!$M115), E$4&lt;&gt;DATE(2025,7,4)), (SWITCH(weekday(E$4), 1, 0, 2, if(ISBLANK('2025'!$P115), 0, 1), 3, if(ISBLANK('2025'!$Q115), 0, 1), 4, if(ISBLANK('2025'!$R115), 0, 1), 5, if(ISBLANK('2025'!$S115), 0, 1), 6, if(ISBLANK('2025'!$T115), 0, 1), 7, 0))), 1, "")</f>
        <v/>
      </c>
      <c r="F117" s="1" t="str">
        <f>IF(AND(AND(AND(F$4&gt;='2025'!$L115,F$4&lt;='2025'!$M115), F$4&lt;&gt;DATE(2025,7,4)), (SWITCH(weekday(F$4), 1, 0, 2, if(ISBLANK('2025'!$P115), 0, 1), 3, if(ISBLANK('2025'!$Q115), 0, 1), 4, if(ISBLANK('2025'!$R115), 0, 1), 5, if(ISBLANK('2025'!$S115), 0, 1), 6, if(ISBLANK('2025'!$T115), 0, 1), 7, 0))), 1, "")</f>
        <v/>
      </c>
      <c r="G117" s="1" t="str">
        <f>IF(AND(AND(AND(G$4&gt;='2025'!$L115,G$4&lt;='2025'!$M115), G$4&lt;&gt;DATE(2025,7,4)), (SWITCH(weekday(G$4), 1, 0, 2, if(ISBLANK('2025'!$P115), 0, 1), 3, if(ISBLANK('2025'!$Q115), 0, 1), 4, if(ISBLANK('2025'!$R115), 0, 1), 5, if(ISBLANK('2025'!$S115), 0, 1), 6, if(ISBLANK('2025'!$T115), 0, 1), 7, 0))), 1, "")</f>
        <v/>
      </c>
      <c r="H117" s="1" t="str">
        <f>IF(AND(AND(AND(H$4&gt;='2025'!$L115,H$4&lt;='2025'!$M115), H$4&lt;&gt;DATE(2025,7,4)), (SWITCH(weekday(H$4), 1, 0, 2, if(ISBLANK('2025'!$P115), 0, 1), 3, if(ISBLANK('2025'!$Q115), 0, 1), 4, if(ISBLANK('2025'!$R115), 0, 1), 5, if(ISBLANK('2025'!$S115), 0, 1), 6, if(ISBLANK('2025'!$T115), 0, 1), 7, 0))), 1, "")</f>
        <v/>
      </c>
      <c r="I117" s="1" t="str">
        <f>IF(AND(AND(AND(I$4&gt;='2025'!$L115,I$4&lt;='2025'!$M115), I$4&lt;&gt;DATE(2025,7,4)), (SWITCH(weekday(I$4), 1, 0, 2, if(ISBLANK('2025'!$P115), 0, 1), 3, if(ISBLANK('2025'!$Q115), 0, 1), 4, if(ISBLANK('2025'!$R115), 0, 1), 5, if(ISBLANK('2025'!$S115), 0, 1), 6, if(ISBLANK('2025'!$T115), 0, 1), 7, 0))), 1, "")</f>
        <v/>
      </c>
      <c r="J117" s="1" t="str">
        <f>IF(AND(AND(AND(J$4&gt;='2025'!$L115,J$4&lt;='2025'!$M115), J$4&lt;&gt;DATE(2025,7,4)), (SWITCH(weekday(J$4), 1, 0, 2, if(ISBLANK('2025'!$P115), 0, 1), 3, if(ISBLANK('2025'!$Q115), 0, 1), 4, if(ISBLANK('2025'!$R115), 0, 1), 5, if(ISBLANK('2025'!$S115), 0, 1), 6, if(ISBLANK('2025'!$T115), 0, 1), 7, 0))), 1, "")</f>
        <v/>
      </c>
      <c r="K117" s="1" t="str">
        <f>IF(AND(AND(AND(K$4&gt;='2025'!$L115,K$4&lt;='2025'!$M115), K$4&lt;&gt;DATE(2025,7,4)), (SWITCH(weekday(K$4), 1, 0, 2, if(ISBLANK('2025'!$P115), 0, 1), 3, if(ISBLANK('2025'!$Q115), 0, 1), 4, if(ISBLANK('2025'!$R115), 0, 1), 5, if(ISBLANK('2025'!$S115), 0, 1), 6, if(ISBLANK('2025'!$T115), 0, 1), 7, 0))), 1, "")</f>
        <v/>
      </c>
      <c r="L117" s="1" t="str">
        <f>IF(AND(AND(AND(L$4&gt;='2025'!$L115,L$4&lt;='2025'!$M115), L$4&lt;&gt;DATE(2025,7,4)), (SWITCH(weekday(L$4), 1, 0, 2, if(ISBLANK('2025'!$P115), 0, 1), 3, if(ISBLANK('2025'!$Q115), 0, 1), 4, if(ISBLANK('2025'!$R115), 0, 1), 5, if(ISBLANK('2025'!$S115), 0, 1), 6, if(ISBLANK('2025'!$T115), 0, 1), 7, 0))), 1, "")</f>
        <v/>
      </c>
      <c r="M117" s="1" t="str">
        <f>IF(AND(AND(AND(M$4&gt;='2025'!$L115,M$4&lt;='2025'!$M115), M$4&lt;&gt;DATE(2025,7,4)), (SWITCH(weekday(M$4), 1, 0, 2, if(ISBLANK('2025'!$P115), 0, 1), 3, if(ISBLANK('2025'!$Q115), 0, 1), 4, if(ISBLANK('2025'!$R115), 0, 1), 5, if(ISBLANK('2025'!$S115), 0, 1), 6, if(ISBLANK('2025'!$T115), 0, 1), 7, 0))), 1, "")</f>
        <v/>
      </c>
      <c r="N117" s="1" t="str">
        <f>IF(AND(AND(AND(N$4&gt;='2025'!$L115,N$4&lt;='2025'!$M115), N$4&lt;&gt;DATE(2025,7,4)), (SWITCH(weekday(N$4), 1, 0, 2, if(ISBLANK('2025'!$P115), 0, 1), 3, if(ISBLANK('2025'!$Q115), 0, 1), 4, if(ISBLANK('2025'!$R115), 0, 1), 5, if(ISBLANK('2025'!$S115), 0, 1), 6, if(ISBLANK('2025'!$T115), 0, 1), 7, 0))), 1, "")</f>
        <v/>
      </c>
      <c r="O117" s="1" t="str">
        <f>IF(AND(AND(AND(O$4&gt;='2025'!$L115,O$4&lt;='2025'!$M115), O$4&lt;&gt;DATE(2025,7,4)), (SWITCH(weekday(O$4), 1, 0, 2, if(ISBLANK('2025'!$P115), 0, 1), 3, if(ISBLANK('2025'!$Q115), 0, 1), 4, if(ISBLANK('2025'!$R115), 0, 1), 5, if(ISBLANK('2025'!$S115), 0, 1), 6, if(ISBLANK('2025'!$T115), 0, 1), 7, 0))), 1, "")</f>
        <v/>
      </c>
      <c r="P117" s="1" t="str">
        <f>IF(AND(AND(AND(P$4&gt;='2025'!$L115,P$4&lt;='2025'!$M115), P$4&lt;&gt;DATE(2025,7,4)), (SWITCH(weekday(P$4), 1, 0, 2, if(ISBLANK('2025'!$P115), 0, 1), 3, if(ISBLANK('2025'!$Q115), 0, 1), 4, if(ISBLANK('2025'!$R115), 0, 1), 5, if(ISBLANK('2025'!$S115), 0, 1), 6, if(ISBLANK('2025'!$T115), 0, 1), 7, 0))), 1, "")</f>
        <v/>
      </c>
      <c r="Q117" s="1" t="str">
        <f>IF(AND(AND(AND(Q$4&gt;='2025'!$L115,Q$4&lt;='2025'!$M115), Q$4&lt;&gt;DATE(2025,7,4)), (SWITCH(weekday(Q$4), 1, 0, 2, if(ISBLANK('2025'!$P115), 0, 1), 3, if(ISBLANK('2025'!$Q115), 0, 1), 4, if(ISBLANK('2025'!$R115), 0, 1), 5, if(ISBLANK('2025'!$S115), 0, 1), 6, if(ISBLANK('2025'!$T115), 0, 1), 7, 0))), 1, "")</f>
        <v/>
      </c>
      <c r="R117" s="1" t="str">
        <f>IF(AND(AND(AND(R$4&gt;='2025'!$L115,R$4&lt;='2025'!$M115), R$4&lt;&gt;DATE(2025,7,4)), (SWITCH(weekday(R$4), 1, 0, 2, if(ISBLANK('2025'!$P115), 0, 1), 3, if(ISBLANK('2025'!$Q115), 0, 1), 4, if(ISBLANK('2025'!$R115), 0, 1), 5, if(ISBLANK('2025'!$S115), 0, 1), 6, if(ISBLANK('2025'!$T115), 0, 1), 7, 0))), 1, "")</f>
        <v/>
      </c>
      <c r="S117" s="1" t="str">
        <f>IF(AND(AND(AND(S$4&gt;='2025'!$L115,S$4&lt;='2025'!$M115), S$4&lt;&gt;DATE(2025,7,4)), (SWITCH(weekday(S$4), 1, 0, 2, if(ISBLANK('2025'!$P115), 0, 1), 3, if(ISBLANK('2025'!$Q115), 0, 1), 4, if(ISBLANK('2025'!$R115), 0, 1), 5, if(ISBLANK('2025'!$S115), 0, 1), 6, if(ISBLANK('2025'!$T115), 0, 1), 7, 0))), 1, "")</f>
        <v/>
      </c>
      <c r="T117" s="1" t="str">
        <f>IF(AND(AND(AND(T$4&gt;='2025'!$L115,T$4&lt;='2025'!$M115), T$4&lt;&gt;DATE(2025,7,4)), (SWITCH(weekday(T$4), 1, 0, 2, if(ISBLANK('2025'!$P115), 0, 1), 3, if(ISBLANK('2025'!$Q115), 0, 1), 4, if(ISBLANK('2025'!$R115), 0, 1), 5, if(ISBLANK('2025'!$S115), 0, 1), 6, if(ISBLANK('2025'!$T115), 0, 1), 7, 0))), 1, "")</f>
        <v/>
      </c>
      <c r="U117" s="1" t="str">
        <f>IF(AND(AND(AND(U$4&gt;='2025'!$L115,U$4&lt;='2025'!$M115), U$4&lt;&gt;DATE(2025,7,4)), (SWITCH(weekday(U$4), 1, 0, 2, if(ISBLANK('2025'!$P115), 0, 1), 3, if(ISBLANK('2025'!$Q115), 0, 1), 4, if(ISBLANK('2025'!$R115), 0, 1), 5, if(ISBLANK('2025'!$S115), 0, 1), 6, if(ISBLANK('2025'!$T115), 0, 1), 7, 0))), 1, "")</f>
        <v/>
      </c>
      <c r="V117" s="1" t="str">
        <f>IF(AND(AND(AND(V$4&gt;='2025'!$L115,V$4&lt;='2025'!$M115), V$4&lt;&gt;DATE(2025,7,4)), (SWITCH(weekday(V$4), 1, 0, 2, if(ISBLANK('2025'!$P115), 0, 1), 3, if(ISBLANK('2025'!$Q115), 0, 1), 4, if(ISBLANK('2025'!$R115), 0, 1), 5, if(ISBLANK('2025'!$S115), 0, 1), 6, if(ISBLANK('2025'!$T115), 0, 1), 7, 0))), 1, "")</f>
        <v/>
      </c>
      <c r="W117" s="1" t="str">
        <f>IF(AND(AND(AND(W$4&gt;='2025'!$L115,W$4&lt;='2025'!$M115), W$4&lt;&gt;DATE(2025,7,4)), (SWITCH(weekday(W$4), 1, 0, 2, if(ISBLANK('2025'!$P115), 0, 1), 3, if(ISBLANK('2025'!$Q115), 0, 1), 4, if(ISBLANK('2025'!$R115), 0, 1), 5, if(ISBLANK('2025'!$S115), 0, 1), 6, if(ISBLANK('2025'!$T115), 0, 1), 7, 0))), 1, "")</f>
        <v/>
      </c>
      <c r="X117" s="1" t="str">
        <f>IF(AND(AND(AND(X$4&gt;='2025'!$L115,X$4&lt;='2025'!$M115), X$4&lt;&gt;DATE(2025,7,4)), (SWITCH(weekday(X$4), 1, 0, 2, if(ISBLANK('2025'!$P115), 0, 1), 3, if(ISBLANK('2025'!$Q115), 0, 1), 4, if(ISBLANK('2025'!$R115), 0, 1), 5, if(ISBLANK('2025'!$S115), 0, 1), 6, if(ISBLANK('2025'!$T115), 0, 1), 7, 0))), 1, "")</f>
        <v/>
      </c>
      <c r="Y117" s="1" t="str">
        <f>IF(AND(AND(AND(Y$4&gt;='2025'!$L115,Y$4&lt;='2025'!$M115), Y$4&lt;&gt;DATE(2025,7,4)), (SWITCH(weekday(Y$4), 1, 0, 2, if(ISBLANK('2025'!$P115), 0, 1), 3, if(ISBLANK('2025'!$Q115), 0, 1), 4, if(ISBLANK('2025'!$R115), 0, 1), 5, if(ISBLANK('2025'!$S115), 0, 1), 6, if(ISBLANK('2025'!$T115), 0, 1), 7, 0))), 1, "")</f>
        <v/>
      </c>
      <c r="Z117" s="1" t="str">
        <f>IF(AND(AND(AND(Z$4&gt;='2025'!$L115,Z$4&lt;='2025'!$M115), Z$4&lt;&gt;DATE(2025,7,4)), (SWITCH(weekday(Z$4), 1, 0, 2, if(ISBLANK('2025'!$P115), 0, 1), 3, if(ISBLANK('2025'!$Q115), 0, 1), 4, if(ISBLANK('2025'!$R115), 0, 1), 5, if(ISBLANK('2025'!$S115), 0, 1), 6, if(ISBLANK('2025'!$T115), 0, 1), 7, 0))), 1, "")</f>
        <v/>
      </c>
      <c r="AA117" s="1" t="str">
        <f>IF(AND(AND(AND(AA$4&gt;='2025'!$L115,AA$4&lt;='2025'!$M115), AA$4&lt;&gt;DATE(2025,7,4)), (SWITCH(weekday(AA$4), 1, 0, 2, if(ISBLANK('2025'!$P115), 0, 1), 3, if(ISBLANK('2025'!$Q115), 0, 1), 4, if(ISBLANK('2025'!$R115), 0, 1), 5, if(ISBLANK('2025'!$S115), 0, 1), 6, if(ISBLANK('2025'!$T115), 0, 1), 7, 0))), 1, "")</f>
        <v/>
      </c>
      <c r="AB117" s="1" t="str">
        <f>IF(AND(AND(AND(AB$4&gt;='2025'!$L115,AB$4&lt;='2025'!$M115), AB$4&lt;&gt;DATE(2025,7,4)), (SWITCH(weekday(AB$4), 1, 0, 2, if(ISBLANK('2025'!$P115), 0, 1), 3, if(ISBLANK('2025'!$Q115), 0, 1), 4, if(ISBLANK('2025'!$R115), 0, 1), 5, if(ISBLANK('2025'!$S115), 0, 1), 6, if(ISBLANK('2025'!$T115), 0, 1), 7, 0))), 1, "")</f>
        <v/>
      </c>
      <c r="AC117" s="1" t="str">
        <f>IF(AND(AND(AND(AC$4&gt;='2025'!$L115,AC$4&lt;='2025'!$M115), AC$4&lt;&gt;DATE(2025,7,4)), (SWITCH(weekday(AC$4), 1, 0, 2, if(ISBLANK('2025'!$P115), 0, 1), 3, if(ISBLANK('2025'!$Q115), 0, 1), 4, if(ISBLANK('2025'!$R115), 0, 1), 5, if(ISBLANK('2025'!$S115), 0, 1), 6, if(ISBLANK('2025'!$T115), 0, 1), 7, 0))), 1, "")</f>
        <v/>
      </c>
      <c r="AD117" s="1" t="str">
        <f>IF(AND(AND(AND(AD$4&gt;='2025'!$L115,AD$4&lt;='2025'!$M115), AD$4&lt;&gt;DATE(2025,7,4)), (SWITCH(weekday(AD$4), 1, 0, 2, if(ISBLANK('2025'!$P115), 0, 1), 3, if(ISBLANK('2025'!$Q115), 0, 1), 4, if(ISBLANK('2025'!$R115), 0, 1), 5, if(ISBLANK('2025'!$S115), 0, 1), 6, if(ISBLANK('2025'!$T115), 0, 1), 7, 0))), 1, "")</f>
        <v/>
      </c>
      <c r="AE117" s="1" t="str">
        <f>IF(AND(AND(AND(AE$4&gt;='2025'!$L115,AE$4&lt;='2025'!$M115), AE$4&lt;&gt;DATE(2025,7,4)), (SWITCH(weekday(AE$4), 1, 0, 2, if(ISBLANK('2025'!$P115), 0, 1), 3, if(ISBLANK('2025'!$Q115), 0, 1), 4, if(ISBLANK('2025'!$R115), 0, 1), 5, if(ISBLANK('2025'!$S115), 0, 1), 6, if(ISBLANK('2025'!$T115), 0, 1), 7, 0))), 1, "")</f>
        <v/>
      </c>
      <c r="AF117" s="1" t="str">
        <f>IF(AND(AND(AND(AF$4&gt;='2025'!$L115,AF$4&lt;='2025'!$M115), AF$4&lt;&gt;DATE(2025,7,4)), (SWITCH(weekday(AF$4), 1, 0, 2, if(ISBLANK('2025'!$P115), 0, 1), 3, if(ISBLANK('2025'!$Q115), 0, 1), 4, if(ISBLANK('2025'!$R115), 0, 1), 5, if(ISBLANK('2025'!$S115), 0, 1), 6, if(ISBLANK('2025'!$T115), 0, 1), 7, 0))), 1, "")</f>
        <v/>
      </c>
      <c r="AG117" s="1" t="str">
        <f>IF(AND(AND(AND(AG$4&gt;='2025'!$L115,AG$4&lt;='2025'!$M115), AG$4&lt;&gt;DATE(2025,7,4)), (SWITCH(weekday(AG$4), 1, 0, 2, if(ISBLANK('2025'!$P115), 0, 1), 3, if(ISBLANK('2025'!$Q115), 0, 1), 4, if(ISBLANK('2025'!$R115), 0, 1), 5, if(ISBLANK('2025'!$S115), 0, 1), 6, if(ISBLANK('2025'!$T115), 0, 1), 7, 0))), 1, "")</f>
        <v/>
      </c>
      <c r="AH117" s="1" t="str">
        <f>IF(AND(AND(AND(AH$4&gt;='2025'!$L115,AH$4&lt;='2025'!$M115), AH$4&lt;&gt;DATE(2025,7,4)), (SWITCH(weekday(AH$4), 1, 0, 2, if(ISBLANK('2025'!$P115), 0, 1), 3, if(ISBLANK('2025'!$Q115), 0, 1), 4, if(ISBLANK('2025'!$R115), 0, 1), 5, if(ISBLANK('2025'!$S115), 0, 1), 6, if(ISBLANK('2025'!$T115), 0, 1), 7, 0))), 1, "")</f>
        <v/>
      </c>
      <c r="AI117" s="1" t="str">
        <f>IF(AND(AND(AND(AI$4&gt;='2025'!$L115,AI$4&lt;='2025'!$M115), AI$4&lt;&gt;DATE(2025,7,4)), (SWITCH(weekday(AI$4), 1, 0, 2, if(ISBLANK('2025'!$P115), 0, 1), 3, if(ISBLANK('2025'!$Q115), 0, 1), 4, if(ISBLANK('2025'!$R115), 0, 1), 5, if(ISBLANK('2025'!$S115), 0, 1), 6, if(ISBLANK('2025'!$T115), 0, 1), 7, 0))), 1, "")</f>
        <v/>
      </c>
      <c r="AJ117" s="1" t="str">
        <f>IF(AND(AND(AND(AJ$4&gt;='2025'!$L115,AJ$4&lt;='2025'!$M115), AJ$4&lt;&gt;DATE(2025,7,4)), (SWITCH(weekday(AJ$4), 1, 0, 2, if(ISBLANK('2025'!$P115), 0, 1), 3, if(ISBLANK('2025'!$Q115), 0, 1), 4, if(ISBLANK('2025'!$R115), 0, 1), 5, if(ISBLANK('2025'!$S115), 0, 1), 6, if(ISBLANK('2025'!$T115), 0, 1), 7, 0))), 1, "")</f>
        <v/>
      </c>
      <c r="AK117" s="1" t="str">
        <f>IF(AND(AND(AND(AK$4&gt;='2025'!$L115,AK$4&lt;='2025'!$M115), AK$4&lt;&gt;DATE(2025,7,4)), (SWITCH(weekday(AK$4), 1, 0, 2, if(ISBLANK('2025'!$P115), 0, 1), 3, if(ISBLANK('2025'!$Q115), 0, 1), 4, if(ISBLANK('2025'!$R115), 0, 1), 5, if(ISBLANK('2025'!$S115), 0, 1), 6, if(ISBLANK('2025'!$T115), 0, 1), 7, 0))), 1, "")</f>
        <v/>
      </c>
      <c r="AL117" s="1" t="str">
        <f>IF(AND(AND(AND(AL$4&gt;='2025'!$L115,AL$4&lt;='2025'!$M115), AL$4&lt;&gt;DATE(2025,7,4)), (SWITCH(weekday(AL$4), 1, 0, 2, if(ISBLANK('2025'!$P115), 0, 1), 3, if(ISBLANK('2025'!$Q115), 0, 1), 4, if(ISBLANK('2025'!$R115), 0, 1), 5, if(ISBLANK('2025'!$S115), 0, 1), 6, if(ISBLANK('2025'!$T115), 0, 1), 7, 0))), 1, "")</f>
        <v/>
      </c>
      <c r="AM117" s="1" t="str">
        <f>IF(AND(AND(AND(AM$4&gt;='2025'!$L115,AM$4&lt;='2025'!$M115), AM$4&lt;&gt;DATE(2025,7,4)), (SWITCH(weekday(AM$4), 1, 0, 2, if(ISBLANK('2025'!$P115), 0, 1), 3, if(ISBLANK('2025'!$Q115), 0, 1), 4, if(ISBLANK('2025'!$R115), 0, 1), 5, if(ISBLANK('2025'!$S115), 0, 1), 6, if(ISBLANK('2025'!$T115), 0, 1), 7, 0))), 1, "")</f>
        <v/>
      </c>
      <c r="AN117" s="1" t="str">
        <f>IF(AND(AND(AND(AN$4&gt;='2025'!$L115,AN$4&lt;='2025'!$M115), AN$4&lt;&gt;DATE(2025,7,4)), (SWITCH(weekday(AN$4), 1, 0, 2, if(ISBLANK('2025'!$P115), 0, 1), 3, if(ISBLANK('2025'!$Q115), 0, 1), 4, if(ISBLANK('2025'!$R115), 0, 1), 5, if(ISBLANK('2025'!$S115), 0, 1), 6, if(ISBLANK('2025'!$T115), 0, 1), 7, 0))), 1, "")</f>
        <v/>
      </c>
      <c r="AO117" s="1" t="str">
        <f>IF(AND(AND(AND(AO$4&gt;='2025'!$L115,AO$4&lt;='2025'!$M115), AO$4&lt;&gt;DATE(2025,7,4)), (SWITCH(weekday(AO$4), 1, 0, 2, if(ISBLANK('2025'!$P115), 0, 1), 3, if(ISBLANK('2025'!$Q115), 0, 1), 4, if(ISBLANK('2025'!$R115), 0, 1), 5, if(ISBLANK('2025'!$S115), 0, 1), 6, if(ISBLANK('2025'!$T115), 0, 1), 7, 0))), 1, "")</f>
        <v/>
      </c>
      <c r="AP117" s="1" t="str">
        <f>IF(AND(AND(AND(AP$4&gt;='2025'!$L115,AP$4&lt;='2025'!$M115), AP$4&lt;&gt;DATE(2025,7,4)), (SWITCH(weekday(AP$4), 1, 0, 2, if(ISBLANK('2025'!$P115), 0, 1), 3, if(ISBLANK('2025'!$Q115), 0, 1), 4, if(ISBLANK('2025'!$R115), 0, 1), 5, if(ISBLANK('2025'!$S115), 0, 1), 6, if(ISBLANK('2025'!$T115), 0, 1), 7, 0))), 1, "")</f>
        <v/>
      </c>
      <c r="AQ117" s="1" t="str">
        <f>IF(AND(AND(AND(AQ$4&gt;='2025'!$L115,AQ$4&lt;='2025'!$M115), AQ$4&lt;&gt;DATE(2025,7,4)), (SWITCH(weekday(AQ$4), 1, 0, 2, if(ISBLANK('2025'!$P115), 0, 1), 3, if(ISBLANK('2025'!$Q115), 0, 1), 4, if(ISBLANK('2025'!$R115), 0, 1), 5, if(ISBLANK('2025'!$S115), 0, 1), 6, if(ISBLANK('2025'!$T115), 0, 1), 7, 0))), 1, "")</f>
        <v/>
      </c>
      <c r="AR117" s="1" t="str">
        <f>IF(AND(AND(AND(AR$4&gt;='2025'!$L115,AR$4&lt;='2025'!$M115), AR$4&lt;&gt;DATE(2025,7,4)), (SWITCH(weekday(AR$4), 1, 0, 2, if(ISBLANK('2025'!$P115), 0, 1), 3, if(ISBLANK('2025'!$Q115), 0, 1), 4, if(ISBLANK('2025'!$R115), 0, 1), 5, if(ISBLANK('2025'!$S115), 0, 1), 6, if(ISBLANK('2025'!$T115), 0, 1), 7, 0))), 1, "")</f>
        <v/>
      </c>
      <c r="AS117" s="1" t="str">
        <f>IF(AND(AND(AND(AS$4&gt;='2025'!$L115,AS$4&lt;='2025'!$M115), AS$4&lt;&gt;DATE(2025,7,4)), (SWITCH(weekday(AS$4), 1, 0, 2, if(ISBLANK('2025'!$P115), 0, 1), 3, if(ISBLANK('2025'!$Q115), 0, 1), 4, if(ISBLANK('2025'!$R115), 0, 1), 5, if(ISBLANK('2025'!$S115), 0, 1), 6, if(ISBLANK('2025'!$T115), 0, 1), 7, 0))), 1, "")</f>
        <v/>
      </c>
      <c r="AT117" s="1" t="str">
        <f>IF(AND(AND(AND(AT$4&gt;='2025'!$L115,AT$4&lt;='2025'!$M115), AT$4&lt;&gt;DATE(2025,7,4)), (SWITCH(weekday(AT$4), 1, 0, 2, if(ISBLANK('2025'!$P115), 0, 1), 3, if(ISBLANK('2025'!$Q115), 0, 1), 4, if(ISBLANK('2025'!$R115), 0, 1), 5, if(ISBLANK('2025'!$S115), 0, 1), 6, if(ISBLANK('2025'!$T115), 0, 1), 7, 0))), 1, "")</f>
        <v/>
      </c>
      <c r="AU117" s="1" t="str">
        <f>IF(AND(AND(AND(AU$4&gt;='2025'!$L115,AU$4&lt;='2025'!$M115), AU$4&lt;&gt;DATE(2025,7,4)), (SWITCH(weekday(AU$4), 1, 0, 2, if(ISBLANK('2025'!$P115), 0, 1), 3, if(ISBLANK('2025'!$Q115), 0, 1), 4, if(ISBLANK('2025'!$R115), 0, 1), 5, if(ISBLANK('2025'!$S115), 0, 1), 6, if(ISBLANK('2025'!$T115), 0, 1), 7, 0))), 1, "")</f>
        <v/>
      </c>
      <c r="AV117" s="1" t="str">
        <f>IF(AND(AND(AND(AV$4&gt;='2025'!$L115,AV$4&lt;='2025'!$M115), AV$4&lt;&gt;DATE(2025,7,4)), (SWITCH(weekday(AV$4), 1, 0, 2, if(ISBLANK('2025'!$P115), 0, 1), 3, if(ISBLANK('2025'!$Q115), 0, 1), 4, if(ISBLANK('2025'!$R115), 0, 1), 5, if(ISBLANK('2025'!$S115), 0, 1), 6, if(ISBLANK('2025'!$T115), 0, 1), 7, 0))), 1, "")</f>
        <v/>
      </c>
      <c r="AW117" s="1" t="str">
        <f>IF(AND(AND(AND(AW$4&gt;='2025'!$L115,AW$4&lt;='2025'!$M115), AW$4&lt;&gt;DATE(2025,7,4)), (SWITCH(weekday(AW$4), 1, 0, 2, if(ISBLANK('2025'!$P115), 0, 1), 3, if(ISBLANK('2025'!$Q115), 0, 1), 4, if(ISBLANK('2025'!$R115), 0, 1), 5, if(ISBLANK('2025'!$S115), 0, 1), 6, if(ISBLANK('2025'!$T115), 0, 1), 7, 0))), 1, "")</f>
        <v/>
      </c>
      <c r="AX117" s="1" t="str">
        <f>IF(AND(AND(AND(AX$4&gt;='2025'!$L115,AX$4&lt;='2025'!$M115), AX$4&lt;&gt;DATE(2025,7,4)), (SWITCH(weekday(AX$4), 1, 0, 2, if(ISBLANK('2025'!$P115), 0, 1), 3, if(ISBLANK('2025'!$Q115), 0, 1), 4, if(ISBLANK('2025'!$R115), 0, 1), 5, if(ISBLANK('2025'!$S115), 0, 1), 6, if(ISBLANK('2025'!$T115), 0, 1), 7, 0))), 1, "")</f>
        <v/>
      </c>
      <c r="AY117" s="1" t="str">
        <f>IF(AND(AND(AND(AY$4&gt;='2025'!$L115,AY$4&lt;='2025'!$M115), AY$4&lt;&gt;DATE(2025,7,4)), (SWITCH(weekday(AY$4), 1, 0, 2, if(ISBLANK('2025'!$P115), 0, 1), 3, if(ISBLANK('2025'!$Q115), 0, 1), 4, if(ISBLANK('2025'!$R115), 0, 1), 5, if(ISBLANK('2025'!$S115), 0, 1), 6, if(ISBLANK('2025'!$T115), 0, 1), 7, 0))), 1, "")</f>
        <v/>
      </c>
      <c r="AZ117" s="1" t="str">
        <f>IF(AND(AND(AND(AZ$4&gt;='2025'!$L115,AZ$4&lt;='2025'!$M115), AZ$4&lt;&gt;DATE(2025,7,4)), (SWITCH(weekday(AZ$4), 1, 0, 2, if(ISBLANK('2025'!$P115), 0, 1), 3, if(ISBLANK('2025'!$Q115), 0, 1), 4, if(ISBLANK('2025'!$R115), 0, 1), 5, if(ISBLANK('2025'!$S115), 0, 1), 6, if(ISBLANK('2025'!$T115), 0, 1), 7, 0))), 1, "")</f>
        <v/>
      </c>
      <c r="BA117" s="1" t="str">
        <f>IF(AND(AND(AND(BA$4&gt;='2025'!$L115,BA$4&lt;='2025'!$M115), BA$4&lt;&gt;DATE(2025,7,4)), (SWITCH(weekday(BA$4), 1, 0, 2, if(ISBLANK('2025'!$P115), 0, 1), 3, if(ISBLANK('2025'!$Q115), 0, 1), 4, if(ISBLANK('2025'!$R115), 0, 1), 5, if(ISBLANK('2025'!$S115), 0, 1), 6, if(ISBLANK('2025'!$T115), 0, 1), 7, 0))), 1, "")</f>
        <v/>
      </c>
      <c r="BB117" s="1" t="str">
        <f>IF(AND(AND(AND(BB$4&gt;='2025'!$L115,BB$4&lt;='2025'!$M115), BB$4&lt;&gt;DATE(2025,7,4)), (SWITCH(weekday(BB$4), 1, 0, 2, if(ISBLANK('2025'!$P115), 0, 1), 3, if(ISBLANK('2025'!$Q115), 0, 1), 4, if(ISBLANK('2025'!$R115), 0, 1), 5, if(ISBLANK('2025'!$S115), 0, 1), 6, if(ISBLANK('2025'!$T115), 0, 1), 7, 0))), 1, "")</f>
        <v/>
      </c>
      <c r="BC117" s="1" t="str">
        <f>IF(AND(AND(AND(BC$4&gt;='2025'!$L115,BC$4&lt;='2025'!$M115), BC$4&lt;&gt;DATE(2025,7,4)), (SWITCH(weekday(BC$4), 1, 0, 2, if(ISBLANK('2025'!$P115), 0, 1), 3, if(ISBLANK('2025'!$Q115), 0, 1), 4, if(ISBLANK('2025'!$R115), 0, 1), 5, if(ISBLANK('2025'!$S115), 0, 1), 6, if(ISBLANK('2025'!$T115), 0, 1), 7, 0))), 1, "")</f>
        <v/>
      </c>
      <c r="BD117" s="1" t="str">
        <f>IF(AND(AND(AND(BD$4&gt;='2025'!$L115,BD$4&lt;='2025'!$M115), BD$4&lt;&gt;DATE(2025,7,4)), (SWITCH(weekday(BD$4), 1, 0, 2, if(ISBLANK('2025'!$P115), 0, 1), 3, if(ISBLANK('2025'!$Q115), 0, 1), 4, if(ISBLANK('2025'!$R115), 0, 1), 5, if(ISBLANK('2025'!$S115), 0, 1), 6, if(ISBLANK('2025'!$T115), 0, 1), 7, 0))), 1, "")</f>
        <v/>
      </c>
      <c r="BE117" s="1" t="str">
        <f>IF(AND(AND(AND(BE$4&gt;='2025'!$L115,BE$4&lt;='2025'!$M115), BE$4&lt;&gt;DATE(2025,7,4)), (SWITCH(weekday(BE$4), 1, 0, 2, if(ISBLANK('2025'!$P115), 0, 1), 3, if(ISBLANK('2025'!$Q115), 0, 1), 4, if(ISBLANK('2025'!$R115), 0, 1), 5, if(ISBLANK('2025'!$S115), 0, 1), 6, if(ISBLANK('2025'!$T115), 0, 1), 7, 0))), 1, "")</f>
        <v/>
      </c>
      <c r="BF117" s="1" t="str">
        <f>IF(AND(AND(AND(BF$4&gt;='2025'!$L115,BF$4&lt;='2025'!$M115), BF$4&lt;&gt;DATE(2025,7,4)), (SWITCH(weekday(BF$4), 1, 0, 2, if(ISBLANK('2025'!$P115), 0, 1), 3, if(ISBLANK('2025'!$Q115), 0, 1), 4, if(ISBLANK('2025'!$R115), 0, 1), 5, if(ISBLANK('2025'!$S115), 0, 1), 6, if(ISBLANK('2025'!$T115), 0, 1), 7, 0))), 1, "")</f>
        <v/>
      </c>
      <c r="BG117" s="1"/>
      <c r="BH117" s="1"/>
      <c r="BI117" s="1"/>
      <c r="BJ117" s="1"/>
      <c r="BK117" s="1"/>
      <c r="BL117" s="1"/>
    </row>
    <row r="118">
      <c r="A118" s="1">
        <f t="shared" si="3"/>
        <v>118</v>
      </c>
      <c r="B118" s="1" t="str">
        <f>'2025'!D82</f>
        <v>, </v>
      </c>
      <c r="C118" s="1" t="str">
        <f>'2025'!H82</f>
        <v/>
      </c>
      <c r="D118" s="1" t="str">
        <f>IF(AND(AND(AND(D$4&gt;='2025'!$L116,D$4&lt;='2025'!$M116), D$4&lt;&gt;DATE(2025,7,4)), (SWITCH(weekday(D$4), 1, 0, 2, if(ISBLANK('2025'!$P116), 0, 1), 3, if(ISBLANK('2025'!$Q116), 0, 1), 4, if(ISBLANK('2025'!$R116), 0, 1), 5, if(ISBLANK('2025'!$S116), 0, 1), 6, if(ISBLANK('2025'!$T116), 0, 1), 7, 0))), 1, "")</f>
        <v/>
      </c>
      <c r="E118" s="1" t="str">
        <f>IF(AND(AND(AND(E$4&gt;='2025'!$L116,E$4&lt;='2025'!$M116), E$4&lt;&gt;DATE(2025,7,4)), (SWITCH(weekday(E$4), 1, 0, 2, if(ISBLANK('2025'!$P116), 0, 1), 3, if(ISBLANK('2025'!$Q116), 0, 1), 4, if(ISBLANK('2025'!$R116), 0, 1), 5, if(ISBLANK('2025'!$S116), 0, 1), 6, if(ISBLANK('2025'!$T116), 0, 1), 7, 0))), 1, "")</f>
        <v/>
      </c>
      <c r="F118" s="1" t="str">
        <f>IF(AND(AND(AND(F$4&gt;='2025'!$L116,F$4&lt;='2025'!$M116), F$4&lt;&gt;DATE(2025,7,4)), (SWITCH(weekday(F$4), 1, 0, 2, if(ISBLANK('2025'!$P116), 0, 1), 3, if(ISBLANK('2025'!$Q116), 0, 1), 4, if(ISBLANK('2025'!$R116), 0, 1), 5, if(ISBLANK('2025'!$S116), 0, 1), 6, if(ISBLANK('2025'!$T116), 0, 1), 7, 0))), 1, "")</f>
        <v/>
      </c>
      <c r="G118" s="1" t="str">
        <f>IF(AND(AND(AND(G$4&gt;='2025'!$L116,G$4&lt;='2025'!$M116), G$4&lt;&gt;DATE(2025,7,4)), (SWITCH(weekday(G$4), 1, 0, 2, if(ISBLANK('2025'!$P116), 0, 1), 3, if(ISBLANK('2025'!$Q116), 0, 1), 4, if(ISBLANK('2025'!$R116), 0, 1), 5, if(ISBLANK('2025'!$S116), 0, 1), 6, if(ISBLANK('2025'!$T116), 0, 1), 7, 0))), 1, "")</f>
        <v/>
      </c>
      <c r="H118" s="1" t="str">
        <f>IF(AND(AND(AND(H$4&gt;='2025'!$L116,H$4&lt;='2025'!$M116), H$4&lt;&gt;DATE(2025,7,4)), (SWITCH(weekday(H$4), 1, 0, 2, if(ISBLANK('2025'!$P116), 0, 1), 3, if(ISBLANK('2025'!$Q116), 0, 1), 4, if(ISBLANK('2025'!$R116), 0, 1), 5, if(ISBLANK('2025'!$S116), 0, 1), 6, if(ISBLANK('2025'!$T116), 0, 1), 7, 0))), 1, "")</f>
        <v/>
      </c>
      <c r="I118" s="1" t="str">
        <f>IF(AND(AND(AND(I$4&gt;='2025'!$L116,I$4&lt;='2025'!$M116), I$4&lt;&gt;DATE(2025,7,4)), (SWITCH(weekday(I$4), 1, 0, 2, if(ISBLANK('2025'!$P116), 0, 1), 3, if(ISBLANK('2025'!$Q116), 0, 1), 4, if(ISBLANK('2025'!$R116), 0, 1), 5, if(ISBLANK('2025'!$S116), 0, 1), 6, if(ISBLANK('2025'!$T116), 0, 1), 7, 0))), 1, "")</f>
        <v/>
      </c>
      <c r="J118" s="1" t="str">
        <f>IF(AND(AND(AND(J$4&gt;='2025'!$L116,J$4&lt;='2025'!$M116), J$4&lt;&gt;DATE(2025,7,4)), (SWITCH(weekday(J$4), 1, 0, 2, if(ISBLANK('2025'!$P116), 0, 1), 3, if(ISBLANK('2025'!$Q116), 0, 1), 4, if(ISBLANK('2025'!$R116), 0, 1), 5, if(ISBLANK('2025'!$S116), 0, 1), 6, if(ISBLANK('2025'!$T116), 0, 1), 7, 0))), 1, "")</f>
        <v/>
      </c>
      <c r="K118" s="1" t="str">
        <f>IF(AND(AND(AND(K$4&gt;='2025'!$L116,K$4&lt;='2025'!$M116), K$4&lt;&gt;DATE(2025,7,4)), (SWITCH(weekday(K$4), 1, 0, 2, if(ISBLANK('2025'!$P116), 0, 1), 3, if(ISBLANK('2025'!$Q116), 0, 1), 4, if(ISBLANK('2025'!$R116), 0, 1), 5, if(ISBLANK('2025'!$S116), 0, 1), 6, if(ISBLANK('2025'!$T116), 0, 1), 7, 0))), 1, "")</f>
        <v/>
      </c>
      <c r="L118" s="1" t="str">
        <f>IF(AND(AND(AND(L$4&gt;='2025'!$L116,L$4&lt;='2025'!$M116), L$4&lt;&gt;DATE(2025,7,4)), (SWITCH(weekday(L$4), 1, 0, 2, if(ISBLANK('2025'!$P116), 0, 1), 3, if(ISBLANK('2025'!$Q116), 0, 1), 4, if(ISBLANK('2025'!$R116), 0, 1), 5, if(ISBLANK('2025'!$S116), 0, 1), 6, if(ISBLANK('2025'!$T116), 0, 1), 7, 0))), 1, "")</f>
        <v/>
      </c>
      <c r="M118" s="1" t="str">
        <f>IF(AND(AND(AND(M$4&gt;='2025'!$L116,M$4&lt;='2025'!$M116), M$4&lt;&gt;DATE(2025,7,4)), (SWITCH(weekday(M$4), 1, 0, 2, if(ISBLANK('2025'!$P116), 0, 1), 3, if(ISBLANK('2025'!$Q116), 0, 1), 4, if(ISBLANK('2025'!$R116), 0, 1), 5, if(ISBLANK('2025'!$S116), 0, 1), 6, if(ISBLANK('2025'!$T116), 0, 1), 7, 0))), 1, "")</f>
        <v/>
      </c>
      <c r="N118" s="1" t="str">
        <f>IF(AND(AND(AND(N$4&gt;='2025'!$L116,N$4&lt;='2025'!$M116), N$4&lt;&gt;DATE(2025,7,4)), (SWITCH(weekday(N$4), 1, 0, 2, if(ISBLANK('2025'!$P116), 0, 1), 3, if(ISBLANK('2025'!$Q116), 0, 1), 4, if(ISBLANK('2025'!$R116), 0, 1), 5, if(ISBLANK('2025'!$S116), 0, 1), 6, if(ISBLANK('2025'!$T116), 0, 1), 7, 0))), 1, "")</f>
        <v/>
      </c>
      <c r="O118" s="1" t="str">
        <f>IF(AND(AND(AND(O$4&gt;='2025'!$L116,O$4&lt;='2025'!$M116), O$4&lt;&gt;DATE(2025,7,4)), (SWITCH(weekday(O$4), 1, 0, 2, if(ISBLANK('2025'!$P116), 0, 1), 3, if(ISBLANK('2025'!$Q116), 0, 1), 4, if(ISBLANK('2025'!$R116), 0, 1), 5, if(ISBLANK('2025'!$S116), 0, 1), 6, if(ISBLANK('2025'!$T116), 0, 1), 7, 0))), 1, "")</f>
        <v/>
      </c>
      <c r="P118" s="1" t="str">
        <f>IF(AND(AND(AND(P$4&gt;='2025'!$L116,P$4&lt;='2025'!$M116), P$4&lt;&gt;DATE(2025,7,4)), (SWITCH(weekday(P$4), 1, 0, 2, if(ISBLANK('2025'!$P116), 0, 1), 3, if(ISBLANK('2025'!$Q116), 0, 1), 4, if(ISBLANK('2025'!$R116), 0, 1), 5, if(ISBLANK('2025'!$S116), 0, 1), 6, if(ISBLANK('2025'!$T116), 0, 1), 7, 0))), 1, "")</f>
        <v/>
      </c>
      <c r="Q118" s="1" t="str">
        <f>IF(AND(AND(AND(Q$4&gt;='2025'!$L116,Q$4&lt;='2025'!$M116), Q$4&lt;&gt;DATE(2025,7,4)), (SWITCH(weekday(Q$4), 1, 0, 2, if(ISBLANK('2025'!$P116), 0, 1), 3, if(ISBLANK('2025'!$Q116), 0, 1), 4, if(ISBLANK('2025'!$R116), 0, 1), 5, if(ISBLANK('2025'!$S116), 0, 1), 6, if(ISBLANK('2025'!$T116), 0, 1), 7, 0))), 1, "")</f>
        <v/>
      </c>
      <c r="R118" s="1" t="str">
        <f>IF(AND(AND(AND(R$4&gt;='2025'!$L116,R$4&lt;='2025'!$M116), R$4&lt;&gt;DATE(2025,7,4)), (SWITCH(weekday(R$4), 1, 0, 2, if(ISBLANK('2025'!$P116), 0, 1), 3, if(ISBLANK('2025'!$Q116), 0, 1), 4, if(ISBLANK('2025'!$R116), 0, 1), 5, if(ISBLANK('2025'!$S116), 0, 1), 6, if(ISBLANK('2025'!$T116), 0, 1), 7, 0))), 1, "")</f>
        <v/>
      </c>
      <c r="S118" s="1" t="str">
        <f>IF(AND(AND(AND(S$4&gt;='2025'!$L116,S$4&lt;='2025'!$M116), S$4&lt;&gt;DATE(2025,7,4)), (SWITCH(weekday(S$4), 1, 0, 2, if(ISBLANK('2025'!$P116), 0, 1), 3, if(ISBLANK('2025'!$Q116), 0, 1), 4, if(ISBLANK('2025'!$R116), 0, 1), 5, if(ISBLANK('2025'!$S116), 0, 1), 6, if(ISBLANK('2025'!$T116), 0, 1), 7, 0))), 1, "")</f>
        <v/>
      </c>
      <c r="T118" s="1" t="str">
        <f>IF(AND(AND(AND(T$4&gt;='2025'!$L116,T$4&lt;='2025'!$M116), T$4&lt;&gt;DATE(2025,7,4)), (SWITCH(weekday(T$4), 1, 0, 2, if(ISBLANK('2025'!$P116), 0, 1), 3, if(ISBLANK('2025'!$Q116), 0, 1), 4, if(ISBLANK('2025'!$R116), 0, 1), 5, if(ISBLANK('2025'!$S116), 0, 1), 6, if(ISBLANK('2025'!$T116), 0, 1), 7, 0))), 1, "")</f>
        <v/>
      </c>
      <c r="U118" s="1" t="str">
        <f>IF(AND(AND(AND(U$4&gt;='2025'!$L116,U$4&lt;='2025'!$M116), U$4&lt;&gt;DATE(2025,7,4)), (SWITCH(weekday(U$4), 1, 0, 2, if(ISBLANK('2025'!$P116), 0, 1), 3, if(ISBLANK('2025'!$Q116), 0, 1), 4, if(ISBLANK('2025'!$R116), 0, 1), 5, if(ISBLANK('2025'!$S116), 0, 1), 6, if(ISBLANK('2025'!$T116), 0, 1), 7, 0))), 1, "")</f>
        <v/>
      </c>
      <c r="V118" s="1" t="str">
        <f>IF(AND(AND(AND(V$4&gt;='2025'!$L116,V$4&lt;='2025'!$M116), V$4&lt;&gt;DATE(2025,7,4)), (SWITCH(weekday(V$4), 1, 0, 2, if(ISBLANK('2025'!$P116), 0, 1), 3, if(ISBLANK('2025'!$Q116), 0, 1), 4, if(ISBLANK('2025'!$R116), 0, 1), 5, if(ISBLANK('2025'!$S116), 0, 1), 6, if(ISBLANK('2025'!$T116), 0, 1), 7, 0))), 1, "")</f>
        <v/>
      </c>
      <c r="W118" s="1" t="str">
        <f>IF(AND(AND(AND(W$4&gt;='2025'!$L116,W$4&lt;='2025'!$M116), W$4&lt;&gt;DATE(2025,7,4)), (SWITCH(weekday(W$4), 1, 0, 2, if(ISBLANK('2025'!$P116), 0, 1), 3, if(ISBLANK('2025'!$Q116), 0, 1), 4, if(ISBLANK('2025'!$R116), 0, 1), 5, if(ISBLANK('2025'!$S116), 0, 1), 6, if(ISBLANK('2025'!$T116), 0, 1), 7, 0))), 1, "")</f>
        <v/>
      </c>
      <c r="X118" s="1" t="str">
        <f>IF(AND(AND(AND(X$4&gt;='2025'!$L116,X$4&lt;='2025'!$M116), X$4&lt;&gt;DATE(2025,7,4)), (SWITCH(weekday(X$4), 1, 0, 2, if(ISBLANK('2025'!$P116), 0, 1), 3, if(ISBLANK('2025'!$Q116), 0, 1), 4, if(ISBLANK('2025'!$R116), 0, 1), 5, if(ISBLANK('2025'!$S116), 0, 1), 6, if(ISBLANK('2025'!$T116), 0, 1), 7, 0))), 1, "")</f>
        <v/>
      </c>
      <c r="Y118" s="1" t="str">
        <f>IF(AND(AND(AND(Y$4&gt;='2025'!$L116,Y$4&lt;='2025'!$M116), Y$4&lt;&gt;DATE(2025,7,4)), (SWITCH(weekday(Y$4), 1, 0, 2, if(ISBLANK('2025'!$P116), 0, 1), 3, if(ISBLANK('2025'!$Q116), 0, 1), 4, if(ISBLANK('2025'!$R116), 0, 1), 5, if(ISBLANK('2025'!$S116), 0, 1), 6, if(ISBLANK('2025'!$T116), 0, 1), 7, 0))), 1, "")</f>
        <v/>
      </c>
      <c r="Z118" s="1" t="str">
        <f>IF(AND(AND(AND(Z$4&gt;='2025'!$L116,Z$4&lt;='2025'!$M116), Z$4&lt;&gt;DATE(2025,7,4)), (SWITCH(weekday(Z$4), 1, 0, 2, if(ISBLANK('2025'!$P116), 0, 1), 3, if(ISBLANK('2025'!$Q116), 0, 1), 4, if(ISBLANK('2025'!$R116), 0, 1), 5, if(ISBLANK('2025'!$S116), 0, 1), 6, if(ISBLANK('2025'!$T116), 0, 1), 7, 0))), 1, "")</f>
        <v/>
      </c>
      <c r="AA118" s="1" t="str">
        <f>IF(AND(AND(AND(AA$4&gt;='2025'!$L116,AA$4&lt;='2025'!$M116), AA$4&lt;&gt;DATE(2025,7,4)), (SWITCH(weekday(AA$4), 1, 0, 2, if(ISBLANK('2025'!$P116), 0, 1), 3, if(ISBLANK('2025'!$Q116), 0, 1), 4, if(ISBLANK('2025'!$R116), 0, 1), 5, if(ISBLANK('2025'!$S116), 0, 1), 6, if(ISBLANK('2025'!$T116), 0, 1), 7, 0))), 1, "")</f>
        <v/>
      </c>
      <c r="AB118" s="1" t="str">
        <f>IF(AND(AND(AND(AB$4&gt;='2025'!$L116,AB$4&lt;='2025'!$M116), AB$4&lt;&gt;DATE(2025,7,4)), (SWITCH(weekday(AB$4), 1, 0, 2, if(ISBLANK('2025'!$P116), 0, 1), 3, if(ISBLANK('2025'!$Q116), 0, 1), 4, if(ISBLANK('2025'!$R116), 0, 1), 5, if(ISBLANK('2025'!$S116), 0, 1), 6, if(ISBLANK('2025'!$T116), 0, 1), 7, 0))), 1, "")</f>
        <v/>
      </c>
      <c r="AC118" s="1" t="str">
        <f>IF(AND(AND(AND(AC$4&gt;='2025'!$L116,AC$4&lt;='2025'!$M116), AC$4&lt;&gt;DATE(2025,7,4)), (SWITCH(weekday(AC$4), 1, 0, 2, if(ISBLANK('2025'!$P116), 0, 1), 3, if(ISBLANK('2025'!$Q116), 0, 1), 4, if(ISBLANK('2025'!$R116), 0, 1), 5, if(ISBLANK('2025'!$S116), 0, 1), 6, if(ISBLANK('2025'!$T116), 0, 1), 7, 0))), 1, "")</f>
        <v/>
      </c>
      <c r="AD118" s="1" t="str">
        <f>IF(AND(AND(AND(AD$4&gt;='2025'!$L116,AD$4&lt;='2025'!$M116), AD$4&lt;&gt;DATE(2025,7,4)), (SWITCH(weekday(AD$4), 1, 0, 2, if(ISBLANK('2025'!$P116), 0, 1), 3, if(ISBLANK('2025'!$Q116), 0, 1), 4, if(ISBLANK('2025'!$R116), 0, 1), 5, if(ISBLANK('2025'!$S116), 0, 1), 6, if(ISBLANK('2025'!$T116), 0, 1), 7, 0))), 1, "")</f>
        <v/>
      </c>
      <c r="AE118" s="1" t="str">
        <f>IF(AND(AND(AND(AE$4&gt;='2025'!$L116,AE$4&lt;='2025'!$M116), AE$4&lt;&gt;DATE(2025,7,4)), (SWITCH(weekday(AE$4), 1, 0, 2, if(ISBLANK('2025'!$P116), 0, 1), 3, if(ISBLANK('2025'!$Q116), 0, 1), 4, if(ISBLANK('2025'!$R116), 0, 1), 5, if(ISBLANK('2025'!$S116), 0, 1), 6, if(ISBLANK('2025'!$T116), 0, 1), 7, 0))), 1, "")</f>
        <v/>
      </c>
      <c r="AF118" s="1" t="str">
        <f>IF(AND(AND(AND(AF$4&gt;='2025'!$L116,AF$4&lt;='2025'!$M116), AF$4&lt;&gt;DATE(2025,7,4)), (SWITCH(weekday(AF$4), 1, 0, 2, if(ISBLANK('2025'!$P116), 0, 1), 3, if(ISBLANK('2025'!$Q116), 0, 1), 4, if(ISBLANK('2025'!$R116), 0, 1), 5, if(ISBLANK('2025'!$S116), 0, 1), 6, if(ISBLANK('2025'!$T116), 0, 1), 7, 0))), 1, "")</f>
        <v/>
      </c>
      <c r="AG118" s="1" t="str">
        <f>IF(AND(AND(AND(AG$4&gt;='2025'!$L116,AG$4&lt;='2025'!$M116), AG$4&lt;&gt;DATE(2025,7,4)), (SWITCH(weekday(AG$4), 1, 0, 2, if(ISBLANK('2025'!$P116), 0, 1), 3, if(ISBLANK('2025'!$Q116), 0, 1), 4, if(ISBLANK('2025'!$R116), 0, 1), 5, if(ISBLANK('2025'!$S116), 0, 1), 6, if(ISBLANK('2025'!$T116), 0, 1), 7, 0))), 1, "")</f>
        <v/>
      </c>
      <c r="AH118" s="1" t="str">
        <f>IF(AND(AND(AND(AH$4&gt;='2025'!$L116,AH$4&lt;='2025'!$M116), AH$4&lt;&gt;DATE(2025,7,4)), (SWITCH(weekday(AH$4), 1, 0, 2, if(ISBLANK('2025'!$P116), 0, 1), 3, if(ISBLANK('2025'!$Q116), 0, 1), 4, if(ISBLANK('2025'!$R116), 0, 1), 5, if(ISBLANK('2025'!$S116), 0, 1), 6, if(ISBLANK('2025'!$T116), 0, 1), 7, 0))), 1, "")</f>
        <v/>
      </c>
      <c r="AI118" s="1" t="str">
        <f>IF(AND(AND(AND(AI$4&gt;='2025'!$L116,AI$4&lt;='2025'!$M116), AI$4&lt;&gt;DATE(2025,7,4)), (SWITCH(weekday(AI$4), 1, 0, 2, if(ISBLANK('2025'!$P116), 0, 1), 3, if(ISBLANK('2025'!$Q116), 0, 1), 4, if(ISBLANK('2025'!$R116), 0, 1), 5, if(ISBLANK('2025'!$S116), 0, 1), 6, if(ISBLANK('2025'!$T116), 0, 1), 7, 0))), 1, "")</f>
        <v/>
      </c>
      <c r="AJ118" s="1" t="str">
        <f>IF(AND(AND(AND(AJ$4&gt;='2025'!$L116,AJ$4&lt;='2025'!$M116), AJ$4&lt;&gt;DATE(2025,7,4)), (SWITCH(weekday(AJ$4), 1, 0, 2, if(ISBLANK('2025'!$P116), 0, 1), 3, if(ISBLANK('2025'!$Q116), 0, 1), 4, if(ISBLANK('2025'!$R116), 0, 1), 5, if(ISBLANK('2025'!$S116), 0, 1), 6, if(ISBLANK('2025'!$T116), 0, 1), 7, 0))), 1, "")</f>
        <v/>
      </c>
      <c r="AK118" s="1" t="str">
        <f>IF(AND(AND(AND(AK$4&gt;='2025'!$L116,AK$4&lt;='2025'!$M116), AK$4&lt;&gt;DATE(2025,7,4)), (SWITCH(weekday(AK$4), 1, 0, 2, if(ISBLANK('2025'!$P116), 0, 1), 3, if(ISBLANK('2025'!$Q116), 0, 1), 4, if(ISBLANK('2025'!$R116), 0, 1), 5, if(ISBLANK('2025'!$S116), 0, 1), 6, if(ISBLANK('2025'!$T116), 0, 1), 7, 0))), 1, "")</f>
        <v/>
      </c>
      <c r="AL118" s="1" t="str">
        <f>IF(AND(AND(AND(AL$4&gt;='2025'!$L116,AL$4&lt;='2025'!$M116), AL$4&lt;&gt;DATE(2025,7,4)), (SWITCH(weekday(AL$4), 1, 0, 2, if(ISBLANK('2025'!$P116), 0, 1), 3, if(ISBLANK('2025'!$Q116), 0, 1), 4, if(ISBLANK('2025'!$R116), 0, 1), 5, if(ISBLANK('2025'!$S116), 0, 1), 6, if(ISBLANK('2025'!$T116), 0, 1), 7, 0))), 1, "")</f>
        <v/>
      </c>
      <c r="AM118" s="1" t="str">
        <f>IF(AND(AND(AND(AM$4&gt;='2025'!$L116,AM$4&lt;='2025'!$M116), AM$4&lt;&gt;DATE(2025,7,4)), (SWITCH(weekday(AM$4), 1, 0, 2, if(ISBLANK('2025'!$P116), 0, 1), 3, if(ISBLANK('2025'!$Q116), 0, 1), 4, if(ISBLANK('2025'!$R116), 0, 1), 5, if(ISBLANK('2025'!$S116), 0, 1), 6, if(ISBLANK('2025'!$T116), 0, 1), 7, 0))), 1, "")</f>
        <v/>
      </c>
      <c r="AN118" s="1" t="str">
        <f>IF(AND(AND(AND(AN$4&gt;='2025'!$L116,AN$4&lt;='2025'!$M116), AN$4&lt;&gt;DATE(2025,7,4)), (SWITCH(weekday(AN$4), 1, 0, 2, if(ISBLANK('2025'!$P116), 0, 1), 3, if(ISBLANK('2025'!$Q116), 0, 1), 4, if(ISBLANK('2025'!$R116), 0, 1), 5, if(ISBLANK('2025'!$S116), 0, 1), 6, if(ISBLANK('2025'!$T116), 0, 1), 7, 0))), 1, "")</f>
        <v/>
      </c>
      <c r="AO118" s="1" t="str">
        <f>IF(AND(AND(AND(AO$4&gt;='2025'!$L116,AO$4&lt;='2025'!$M116), AO$4&lt;&gt;DATE(2025,7,4)), (SWITCH(weekday(AO$4), 1, 0, 2, if(ISBLANK('2025'!$P116), 0, 1), 3, if(ISBLANK('2025'!$Q116), 0, 1), 4, if(ISBLANK('2025'!$R116), 0, 1), 5, if(ISBLANK('2025'!$S116), 0, 1), 6, if(ISBLANK('2025'!$T116), 0, 1), 7, 0))), 1, "")</f>
        <v/>
      </c>
      <c r="AP118" s="1" t="str">
        <f>IF(AND(AND(AND(AP$4&gt;='2025'!$L116,AP$4&lt;='2025'!$M116), AP$4&lt;&gt;DATE(2025,7,4)), (SWITCH(weekday(AP$4), 1, 0, 2, if(ISBLANK('2025'!$P116), 0, 1), 3, if(ISBLANK('2025'!$Q116), 0, 1), 4, if(ISBLANK('2025'!$R116), 0, 1), 5, if(ISBLANK('2025'!$S116), 0, 1), 6, if(ISBLANK('2025'!$T116), 0, 1), 7, 0))), 1, "")</f>
        <v/>
      </c>
      <c r="AQ118" s="1" t="str">
        <f>IF(AND(AND(AND(AQ$4&gt;='2025'!$L116,AQ$4&lt;='2025'!$M116), AQ$4&lt;&gt;DATE(2025,7,4)), (SWITCH(weekday(AQ$4), 1, 0, 2, if(ISBLANK('2025'!$P116), 0, 1), 3, if(ISBLANK('2025'!$Q116), 0, 1), 4, if(ISBLANK('2025'!$R116), 0, 1), 5, if(ISBLANK('2025'!$S116), 0, 1), 6, if(ISBLANK('2025'!$T116), 0, 1), 7, 0))), 1, "")</f>
        <v/>
      </c>
      <c r="AR118" s="1" t="str">
        <f>IF(AND(AND(AND(AR$4&gt;='2025'!$L116,AR$4&lt;='2025'!$M116), AR$4&lt;&gt;DATE(2025,7,4)), (SWITCH(weekday(AR$4), 1, 0, 2, if(ISBLANK('2025'!$P116), 0, 1), 3, if(ISBLANK('2025'!$Q116), 0, 1), 4, if(ISBLANK('2025'!$R116), 0, 1), 5, if(ISBLANK('2025'!$S116), 0, 1), 6, if(ISBLANK('2025'!$T116), 0, 1), 7, 0))), 1, "")</f>
        <v/>
      </c>
      <c r="AS118" s="1" t="str">
        <f>IF(AND(AND(AND(AS$4&gt;='2025'!$L116,AS$4&lt;='2025'!$M116), AS$4&lt;&gt;DATE(2025,7,4)), (SWITCH(weekday(AS$4), 1, 0, 2, if(ISBLANK('2025'!$P116), 0, 1), 3, if(ISBLANK('2025'!$Q116), 0, 1), 4, if(ISBLANK('2025'!$R116), 0, 1), 5, if(ISBLANK('2025'!$S116), 0, 1), 6, if(ISBLANK('2025'!$T116), 0, 1), 7, 0))), 1, "")</f>
        <v/>
      </c>
      <c r="AT118" s="1" t="str">
        <f>IF(AND(AND(AND(AT$4&gt;='2025'!$L116,AT$4&lt;='2025'!$M116), AT$4&lt;&gt;DATE(2025,7,4)), (SWITCH(weekday(AT$4), 1, 0, 2, if(ISBLANK('2025'!$P116), 0, 1), 3, if(ISBLANK('2025'!$Q116), 0, 1), 4, if(ISBLANK('2025'!$R116), 0, 1), 5, if(ISBLANK('2025'!$S116), 0, 1), 6, if(ISBLANK('2025'!$T116), 0, 1), 7, 0))), 1, "")</f>
        <v/>
      </c>
      <c r="AU118" s="1" t="str">
        <f>IF(AND(AND(AND(AU$4&gt;='2025'!$L116,AU$4&lt;='2025'!$M116), AU$4&lt;&gt;DATE(2025,7,4)), (SWITCH(weekday(AU$4), 1, 0, 2, if(ISBLANK('2025'!$P116), 0, 1), 3, if(ISBLANK('2025'!$Q116), 0, 1), 4, if(ISBLANK('2025'!$R116), 0, 1), 5, if(ISBLANK('2025'!$S116), 0, 1), 6, if(ISBLANK('2025'!$T116), 0, 1), 7, 0))), 1, "")</f>
        <v/>
      </c>
      <c r="AV118" s="1" t="str">
        <f>IF(AND(AND(AND(AV$4&gt;='2025'!$L116,AV$4&lt;='2025'!$M116), AV$4&lt;&gt;DATE(2025,7,4)), (SWITCH(weekday(AV$4), 1, 0, 2, if(ISBLANK('2025'!$P116), 0, 1), 3, if(ISBLANK('2025'!$Q116), 0, 1), 4, if(ISBLANK('2025'!$R116), 0, 1), 5, if(ISBLANK('2025'!$S116), 0, 1), 6, if(ISBLANK('2025'!$T116), 0, 1), 7, 0))), 1, "")</f>
        <v/>
      </c>
      <c r="AW118" s="1" t="str">
        <f>IF(AND(AND(AND(AW$4&gt;='2025'!$L116,AW$4&lt;='2025'!$M116), AW$4&lt;&gt;DATE(2025,7,4)), (SWITCH(weekday(AW$4), 1, 0, 2, if(ISBLANK('2025'!$P116), 0, 1), 3, if(ISBLANK('2025'!$Q116), 0, 1), 4, if(ISBLANK('2025'!$R116), 0, 1), 5, if(ISBLANK('2025'!$S116), 0, 1), 6, if(ISBLANK('2025'!$T116), 0, 1), 7, 0))), 1, "")</f>
        <v/>
      </c>
      <c r="AX118" s="1" t="str">
        <f>IF(AND(AND(AND(AX$4&gt;='2025'!$L116,AX$4&lt;='2025'!$M116), AX$4&lt;&gt;DATE(2025,7,4)), (SWITCH(weekday(AX$4), 1, 0, 2, if(ISBLANK('2025'!$P116), 0, 1), 3, if(ISBLANK('2025'!$Q116), 0, 1), 4, if(ISBLANK('2025'!$R116), 0, 1), 5, if(ISBLANK('2025'!$S116), 0, 1), 6, if(ISBLANK('2025'!$T116), 0, 1), 7, 0))), 1, "")</f>
        <v/>
      </c>
      <c r="AY118" s="1" t="str">
        <f>IF(AND(AND(AND(AY$4&gt;='2025'!$L116,AY$4&lt;='2025'!$M116), AY$4&lt;&gt;DATE(2025,7,4)), (SWITCH(weekday(AY$4), 1, 0, 2, if(ISBLANK('2025'!$P116), 0, 1), 3, if(ISBLANK('2025'!$Q116), 0, 1), 4, if(ISBLANK('2025'!$R116), 0, 1), 5, if(ISBLANK('2025'!$S116), 0, 1), 6, if(ISBLANK('2025'!$T116), 0, 1), 7, 0))), 1, "")</f>
        <v/>
      </c>
      <c r="AZ118" s="1" t="str">
        <f>IF(AND(AND(AND(AZ$4&gt;='2025'!$L116,AZ$4&lt;='2025'!$M116), AZ$4&lt;&gt;DATE(2025,7,4)), (SWITCH(weekday(AZ$4), 1, 0, 2, if(ISBLANK('2025'!$P116), 0, 1), 3, if(ISBLANK('2025'!$Q116), 0, 1), 4, if(ISBLANK('2025'!$R116), 0, 1), 5, if(ISBLANK('2025'!$S116), 0, 1), 6, if(ISBLANK('2025'!$T116), 0, 1), 7, 0))), 1, "")</f>
        <v/>
      </c>
      <c r="BA118" s="1" t="str">
        <f>IF(AND(AND(AND(BA$4&gt;='2025'!$L116,BA$4&lt;='2025'!$M116), BA$4&lt;&gt;DATE(2025,7,4)), (SWITCH(weekday(BA$4), 1, 0, 2, if(ISBLANK('2025'!$P116), 0, 1), 3, if(ISBLANK('2025'!$Q116), 0, 1), 4, if(ISBLANK('2025'!$R116), 0, 1), 5, if(ISBLANK('2025'!$S116), 0, 1), 6, if(ISBLANK('2025'!$T116), 0, 1), 7, 0))), 1, "")</f>
        <v/>
      </c>
      <c r="BB118" s="1" t="str">
        <f>IF(AND(AND(AND(BB$4&gt;='2025'!$L116,BB$4&lt;='2025'!$M116), BB$4&lt;&gt;DATE(2025,7,4)), (SWITCH(weekday(BB$4), 1, 0, 2, if(ISBLANK('2025'!$P116), 0, 1), 3, if(ISBLANK('2025'!$Q116), 0, 1), 4, if(ISBLANK('2025'!$R116), 0, 1), 5, if(ISBLANK('2025'!$S116), 0, 1), 6, if(ISBLANK('2025'!$T116), 0, 1), 7, 0))), 1, "")</f>
        <v/>
      </c>
      <c r="BC118" s="1" t="str">
        <f>IF(AND(AND(AND(BC$4&gt;='2025'!$L116,BC$4&lt;='2025'!$M116), BC$4&lt;&gt;DATE(2025,7,4)), (SWITCH(weekday(BC$4), 1, 0, 2, if(ISBLANK('2025'!$P116), 0, 1), 3, if(ISBLANK('2025'!$Q116), 0, 1), 4, if(ISBLANK('2025'!$R116), 0, 1), 5, if(ISBLANK('2025'!$S116), 0, 1), 6, if(ISBLANK('2025'!$T116), 0, 1), 7, 0))), 1, "")</f>
        <v/>
      </c>
      <c r="BD118" s="1" t="str">
        <f>IF(AND(AND(AND(BD$4&gt;='2025'!$L116,BD$4&lt;='2025'!$M116), BD$4&lt;&gt;DATE(2025,7,4)), (SWITCH(weekday(BD$4), 1, 0, 2, if(ISBLANK('2025'!$P116), 0, 1), 3, if(ISBLANK('2025'!$Q116), 0, 1), 4, if(ISBLANK('2025'!$R116), 0, 1), 5, if(ISBLANK('2025'!$S116), 0, 1), 6, if(ISBLANK('2025'!$T116), 0, 1), 7, 0))), 1, "")</f>
        <v/>
      </c>
      <c r="BE118" s="1" t="str">
        <f>IF(AND(AND(AND(BE$4&gt;='2025'!$L116,BE$4&lt;='2025'!$M116), BE$4&lt;&gt;DATE(2025,7,4)), (SWITCH(weekday(BE$4), 1, 0, 2, if(ISBLANK('2025'!$P116), 0, 1), 3, if(ISBLANK('2025'!$Q116), 0, 1), 4, if(ISBLANK('2025'!$R116), 0, 1), 5, if(ISBLANK('2025'!$S116), 0, 1), 6, if(ISBLANK('2025'!$T116), 0, 1), 7, 0))), 1, "")</f>
        <v/>
      </c>
      <c r="BF118" s="1" t="str">
        <f>IF(AND(AND(AND(BF$4&gt;='2025'!$L116,BF$4&lt;='2025'!$M116), BF$4&lt;&gt;DATE(2025,7,4)), (SWITCH(weekday(BF$4), 1, 0, 2, if(ISBLANK('2025'!$P116), 0, 1), 3, if(ISBLANK('2025'!$Q116), 0, 1), 4, if(ISBLANK('2025'!$R116), 0, 1), 5, if(ISBLANK('2025'!$S116), 0, 1), 6, if(ISBLANK('2025'!$T116), 0, 1), 7, 0))), 1, "")</f>
        <v/>
      </c>
      <c r="BG118" s="1"/>
      <c r="BH118" s="1"/>
      <c r="BI118" s="1"/>
      <c r="BJ118" s="1"/>
      <c r="BK118" s="1"/>
      <c r="BL118" s="1"/>
    </row>
    <row r="119">
      <c r="A119" s="1">
        <f t="shared" si="3"/>
        <v>119</v>
      </c>
      <c r="B119" s="1" t="str">
        <f>'2025'!D83</f>
        <v>, </v>
      </c>
      <c r="C119" s="1" t="str">
        <f>'2025'!H83</f>
        <v/>
      </c>
      <c r="D119" s="1" t="str">
        <f>IF(AND(AND(AND(D$4&gt;='2025'!$L117,D$4&lt;='2025'!$M117), D$4&lt;&gt;DATE(2025,7,4)), (SWITCH(weekday(D$4), 1, 0, 2, if(ISBLANK('2025'!$P117), 0, 1), 3, if(ISBLANK('2025'!$Q117), 0, 1), 4, if(ISBLANK('2025'!$R117), 0, 1), 5, if(ISBLANK('2025'!$S117), 0, 1), 6, if(ISBLANK('2025'!$T117), 0, 1), 7, 0))), 1, "")</f>
        <v/>
      </c>
      <c r="E119" s="1" t="str">
        <f>IF(AND(AND(AND(E$4&gt;='2025'!$L117,E$4&lt;='2025'!$M117), E$4&lt;&gt;DATE(2025,7,4)), (SWITCH(weekday(E$4), 1, 0, 2, if(ISBLANK('2025'!$P117), 0, 1), 3, if(ISBLANK('2025'!$Q117), 0, 1), 4, if(ISBLANK('2025'!$R117), 0, 1), 5, if(ISBLANK('2025'!$S117), 0, 1), 6, if(ISBLANK('2025'!$T117), 0, 1), 7, 0))), 1, "")</f>
        <v/>
      </c>
      <c r="F119" s="1" t="str">
        <f>IF(AND(AND(AND(F$4&gt;='2025'!$L117,F$4&lt;='2025'!$M117), F$4&lt;&gt;DATE(2025,7,4)), (SWITCH(weekday(F$4), 1, 0, 2, if(ISBLANK('2025'!$P117), 0, 1), 3, if(ISBLANK('2025'!$Q117), 0, 1), 4, if(ISBLANK('2025'!$R117), 0, 1), 5, if(ISBLANK('2025'!$S117), 0, 1), 6, if(ISBLANK('2025'!$T117), 0, 1), 7, 0))), 1, "")</f>
        <v/>
      </c>
      <c r="G119" s="1" t="str">
        <f>IF(AND(AND(AND(G$4&gt;='2025'!$L117,G$4&lt;='2025'!$M117), G$4&lt;&gt;DATE(2025,7,4)), (SWITCH(weekday(G$4), 1, 0, 2, if(ISBLANK('2025'!$P117), 0, 1), 3, if(ISBLANK('2025'!$Q117), 0, 1), 4, if(ISBLANK('2025'!$R117), 0, 1), 5, if(ISBLANK('2025'!$S117), 0, 1), 6, if(ISBLANK('2025'!$T117), 0, 1), 7, 0))), 1, "")</f>
        <v/>
      </c>
      <c r="H119" s="1" t="str">
        <f>IF(AND(AND(AND(H$4&gt;='2025'!$L117,H$4&lt;='2025'!$M117), H$4&lt;&gt;DATE(2025,7,4)), (SWITCH(weekday(H$4), 1, 0, 2, if(ISBLANK('2025'!$P117), 0, 1), 3, if(ISBLANK('2025'!$Q117), 0, 1), 4, if(ISBLANK('2025'!$R117), 0, 1), 5, if(ISBLANK('2025'!$S117), 0, 1), 6, if(ISBLANK('2025'!$T117), 0, 1), 7, 0))), 1, "")</f>
        <v/>
      </c>
      <c r="I119" s="1" t="str">
        <f>IF(AND(AND(AND(I$4&gt;='2025'!$L117,I$4&lt;='2025'!$M117), I$4&lt;&gt;DATE(2025,7,4)), (SWITCH(weekday(I$4), 1, 0, 2, if(ISBLANK('2025'!$P117), 0, 1), 3, if(ISBLANK('2025'!$Q117), 0, 1), 4, if(ISBLANK('2025'!$R117), 0, 1), 5, if(ISBLANK('2025'!$S117), 0, 1), 6, if(ISBLANK('2025'!$T117), 0, 1), 7, 0))), 1, "")</f>
        <v/>
      </c>
      <c r="J119" s="1" t="str">
        <f>IF(AND(AND(AND(J$4&gt;='2025'!$L117,J$4&lt;='2025'!$M117), J$4&lt;&gt;DATE(2025,7,4)), (SWITCH(weekday(J$4), 1, 0, 2, if(ISBLANK('2025'!$P117), 0, 1), 3, if(ISBLANK('2025'!$Q117), 0, 1), 4, if(ISBLANK('2025'!$R117), 0, 1), 5, if(ISBLANK('2025'!$S117), 0, 1), 6, if(ISBLANK('2025'!$T117), 0, 1), 7, 0))), 1, "")</f>
        <v/>
      </c>
      <c r="K119" s="1" t="str">
        <f>IF(AND(AND(AND(K$4&gt;='2025'!$L117,K$4&lt;='2025'!$M117), K$4&lt;&gt;DATE(2025,7,4)), (SWITCH(weekday(K$4), 1, 0, 2, if(ISBLANK('2025'!$P117), 0, 1), 3, if(ISBLANK('2025'!$Q117), 0, 1), 4, if(ISBLANK('2025'!$R117), 0, 1), 5, if(ISBLANK('2025'!$S117), 0, 1), 6, if(ISBLANK('2025'!$T117), 0, 1), 7, 0))), 1, "")</f>
        <v/>
      </c>
      <c r="L119" s="1" t="str">
        <f>IF(AND(AND(AND(L$4&gt;='2025'!$L117,L$4&lt;='2025'!$M117), L$4&lt;&gt;DATE(2025,7,4)), (SWITCH(weekday(L$4), 1, 0, 2, if(ISBLANK('2025'!$P117), 0, 1), 3, if(ISBLANK('2025'!$Q117), 0, 1), 4, if(ISBLANK('2025'!$R117), 0, 1), 5, if(ISBLANK('2025'!$S117), 0, 1), 6, if(ISBLANK('2025'!$T117), 0, 1), 7, 0))), 1, "")</f>
        <v/>
      </c>
      <c r="M119" s="1" t="str">
        <f>IF(AND(AND(AND(M$4&gt;='2025'!$L117,M$4&lt;='2025'!$M117), M$4&lt;&gt;DATE(2025,7,4)), (SWITCH(weekday(M$4), 1, 0, 2, if(ISBLANK('2025'!$P117), 0, 1), 3, if(ISBLANK('2025'!$Q117), 0, 1), 4, if(ISBLANK('2025'!$R117), 0, 1), 5, if(ISBLANK('2025'!$S117), 0, 1), 6, if(ISBLANK('2025'!$T117), 0, 1), 7, 0))), 1, "")</f>
        <v/>
      </c>
      <c r="N119" s="1" t="str">
        <f>IF(AND(AND(AND(N$4&gt;='2025'!$L117,N$4&lt;='2025'!$M117), N$4&lt;&gt;DATE(2025,7,4)), (SWITCH(weekday(N$4), 1, 0, 2, if(ISBLANK('2025'!$P117), 0, 1), 3, if(ISBLANK('2025'!$Q117), 0, 1), 4, if(ISBLANK('2025'!$R117), 0, 1), 5, if(ISBLANK('2025'!$S117), 0, 1), 6, if(ISBLANK('2025'!$T117), 0, 1), 7, 0))), 1, "")</f>
        <v/>
      </c>
      <c r="O119" s="1" t="str">
        <f>IF(AND(AND(AND(O$4&gt;='2025'!$L117,O$4&lt;='2025'!$M117), O$4&lt;&gt;DATE(2025,7,4)), (SWITCH(weekday(O$4), 1, 0, 2, if(ISBLANK('2025'!$P117), 0, 1), 3, if(ISBLANK('2025'!$Q117), 0, 1), 4, if(ISBLANK('2025'!$R117), 0, 1), 5, if(ISBLANK('2025'!$S117), 0, 1), 6, if(ISBLANK('2025'!$T117), 0, 1), 7, 0))), 1, "")</f>
        <v/>
      </c>
      <c r="P119" s="1" t="str">
        <f>IF(AND(AND(AND(P$4&gt;='2025'!$L117,P$4&lt;='2025'!$M117), P$4&lt;&gt;DATE(2025,7,4)), (SWITCH(weekday(P$4), 1, 0, 2, if(ISBLANK('2025'!$P117), 0, 1), 3, if(ISBLANK('2025'!$Q117), 0, 1), 4, if(ISBLANK('2025'!$R117), 0, 1), 5, if(ISBLANK('2025'!$S117), 0, 1), 6, if(ISBLANK('2025'!$T117), 0, 1), 7, 0))), 1, "")</f>
        <v/>
      </c>
      <c r="Q119" s="1" t="str">
        <f>IF(AND(AND(AND(Q$4&gt;='2025'!$L117,Q$4&lt;='2025'!$M117), Q$4&lt;&gt;DATE(2025,7,4)), (SWITCH(weekday(Q$4), 1, 0, 2, if(ISBLANK('2025'!$P117), 0, 1), 3, if(ISBLANK('2025'!$Q117), 0, 1), 4, if(ISBLANK('2025'!$R117), 0, 1), 5, if(ISBLANK('2025'!$S117), 0, 1), 6, if(ISBLANK('2025'!$T117), 0, 1), 7, 0))), 1, "")</f>
        <v/>
      </c>
      <c r="R119" s="1" t="str">
        <f>IF(AND(AND(AND(R$4&gt;='2025'!$L117,R$4&lt;='2025'!$M117), R$4&lt;&gt;DATE(2025,7,4)), (SWITCH(weekday(R$4), 1, 0, 2, if(ISBLANK('2025'!$P117), 0, 1), 3, if(ISBLANK('2025'!$Q117), 0, 1), 4, if(ISBLANK('2025'!$R117), 0, 1), 5, if(ISBLANK('2025'!$S117), 0, 1), 6, if(ISBLANK('2025'!$T117), 0, 1), 7, 0))), 1, "")</f>
        <v/>
      </c>
      <c r="S119" s="1" t="str">
        <f>IF(AND(AND(AND(S$4&gt;='2025'!$L117,S$4&lt;='2025'!$M117), S$4&lt;&gt;DATE(2025,7,4)), (SWITCH(weekday(S$4), 1, 0, 2, if(ISBLANK('2025'!$P117), 0, 1), 3, if(ISBLANK('2025'!$Q117), 0, 1), 4, if(ISBLANK('2025'!$R117), 0, 1), 5, if(ISBLANK('2025'!$S117), 0, 1), 6, if(ISBLANK('2025'!$T117), 0, 1), 7, 0))), 1, "")</f>
        <v/>
      </c>
      <c r="T119" s="1" t="str">
        <f>IF(AND(AND(AND(T$4&gt;='2025'!$L117,T$4&lt;='2025'!$M117), T$4&lt;&gt;DATE(2025,7,4)), (SWITCH(weekday(T$4), 1, 0, 2, if(ISBLANK('2025'!$P117), 0, 1), 3, if(ISBLANK('2025'!$Q117), 0, 1), 4, if(ISBLANK('2025'!$R117), 0, 1), 5, if(ISBLANK('2025'!$S117), 0, 1), 6, if(ISBLANK('2025'!$T117), 0, 1), 7, 0))), 1, "")</f>
        <v/>
      </c>
      <c r="U119" s="1" t="str">
        <f>IF(AND(AND(AND(U$4&gt;='2025'!$L117,U$4&lt;='2025'!$M117), U$4&lt;&gt;DATE(2025,7,4)), (SWITCH(weekday(U$4), 1, 0, 2, if(ISBLANK('2025'!$P117), 0, 1), 3, if(ISBLANK('2025'!$Q117), 0, 1), 4, if(ISBLANK('2025'!$R117), 0, 1), 5, if(ISBLANK('2025'!$S117), 0, 1), 6, if(ISBLANK('2025'!$T117), 0, 1), 7, 0))), 1, "")</f>
        <v/>
      </c>
      <c r="V119" s="1" t="str">
        <f>IF(AND(AND(AND(V$4&gt;='2025'!$L117,V$4&lt;='2025'!$M117), V$4&lt;&gt;DATE(2025,7,4)), (SWITCH(weekday(V$4), 1, 0, 2, if(ISBLANK('2025'!$P117), 0, 1), 3, if(ISBLANK('2025'!$Q117), 0, 1), 4, if(ISBLANK('2025'!$R117), 0, 1), 5, if(ISBLANK('2025'!$S117), 0, 1), 6, if(ISBLANK('2025'!$T117), 0, 1), 7, 0))), 1, "")</f>
        <v/>
      </c>
      <c r="W119" s="1" t="str">
        <f>IF(AND(AND(AND(W$4&gt;='2025'!$L117,W$4&lt;='2025'!$M117), W$4&lt;&gt;DATE(2025,7,4)), (SWITCH(weekday(W$4), 1, 0, 2, if(ISBLANK('2025'!$P117), 0, 1), 3, if(ISBLANK('2025'!$Q117), 0, 1), 4, if(ISBLANK('2025'!$R117), 0, 1), 5, if(ISBLANK('2025'!$S117), 0, 1), 6, if(ISBLANK('2025'!$T117), 0, 1), 7, 0))), 1, "")</f>
        <v/>
      </c>
      <c r="X119" s="1" t="str">
        <f>IF(AND(AND(AND(X$4&gt;='2025'!$L117,X$4&lt;='2025'!$M117), X$4&lt;&gt;DATE(2025,7,4)), (SWITCH(weekday(X$4), 1, 0, 2, if(ISBLANK('2025'!$P117), 0, 1), 3, if(ISBLANK('2025'!$Q117), 0, 1), 4, if(ISBLANK('2025'!$R117), 0, 1), 5, if(ISBLANK('2025'!$S117), 0, 1), 6, if(ISBLANK('2025'!$T117), 0, 1), 7, 0))), 1, "")</f>
        <v/>
      </c>
      <c r="Y119" s="1" t="str">
        <f>IF(AND(AND(AND(Y$4&gt;='2025'!$L117,Y$4&lt;='2025'!$M117), Y$4&lt;&gt;DATE(2025,7,4)), (SWITCH(weekday(Y$4), 1, 0, 2, if(ISBLANK('2025'!$P117), 0, 1), 3, if(ISBLANK('2025'!$Q117), 0, 1), 4, if(ISBLANK('2025'!$R117), 0, 1), 5, if(ISBLANK('2025'!$S117), 0, 1), 6, if(ISBLANK('2025'!$T117), 0, 1), 7, 0))), 1, "")</f>
        <v/>
      </c>
      <c r="Z119" s="1" t="str">
        <f>IF(AND(AND(AND(Z$4&gt;='2025'!$L117,Z$4&lt;='2025'!$M117), Z$4&lt;&gt;DATE(2025,7,4)), (SWITCH(weekday(Z$4), 1, 0, 2, if(ISBLANK('2025'!$P117), 0, 1), 3, if(ISBLANK('2025'!$Q117), 0, 1), 4, if(ISBLANK('2025'!$R117), 0, 1), 5, if(ISBLANK('2025'!$S117), 0, 1), 6, if(ISBLANK('2025'!$T117), 0, 1), 7, 0))), 1, "")</f>
        <v/>
      </c>
      <c r="AA119" s="1" t="str">
        <f>IF(AND(AND(AND(AA$4&gt;='2025'!$L117,AA$4&lt;='2025'!$M117), AA$4&lt;&gt;DATE(2025,7,4)), (SWITCH(weekday(AA$4), 1, 0, 2, if(ISBLANK('2025'!$P117), 0, 1), 3, if(ISBLANK('2025'!$Q117), 0, 1), 4, if(ISBLANK('2025'!$R117), 0, 1), 5, if(ISBLANK('2025'!$S117), 0, 1), 6, if(ISBLANK('2025'!$T117), 0, 1), 7, 0))), 1, "")</f>
        <v/>
      </c>
      <c r="AB119" s="1" t="str">
        <f>IF(AND(AND(AND(AB$4&gt;='2025'!$L117,AB$4&lt;='2025'!$M117), AB$4&lt;&gt;DATE(2025,7,4)), (SWITCH(weekday(AB$4), 1, 0, 2, if(ISBLANK('2025'!$P117), 0, 1), 3, if(ISBLANK('2025'!$Q117), 0, 1), 4, if(ISBLANK('2025'!$R117), 0, 1), 5, if(ISBLANK('2025'!$S117), 0, 1), 6, if(ISBLANK('2025'!$T117), 0, 1), 7, 0))), 1, "")</f>
        <v/>
      </c>
      <c r="AC119" s="1" t="str">
        <f>IF(AND(AND(AND(AC$4&gt;='2025'!$L117,AC$4&lt;='2025'!$M117), AC$4&lt;&gt;DATE(2025,7,4)), (SWITCH(weekday(AC$4), 1, 0, 2, if(ISBLANK('2025'!$P117), 0, 1), 3, if(ISBLANK('2025'!$Q117), 0, 1), 4, if(ISBLANK('2025'!$R117), 0, 1), 5, if(ISBLANK('2025'!$S117), 0, 1), 6, if(ISBLANK('2025'!$T117), 0, 1), 7, 0))), 1, "")</f>
        <v/>
      </c>
      <c r="AD119" s="1" t="str">
        <f>IF(AND(AND(AND(AD$4&gt;='2025'!$L117,AD$4&lt;='2025'!$M117), AD$4&lt;&gt;DATE(2025,7,4)), (SWITCH(weekday(AD$4), 1, 0, 2, if(ISBLANK('2025'!$P117), 0, 1), 3, if(ISBLANK('2025'!$Q117), 0, 1), 4, if(ISBLANK('2025'!$R117), 0, 1), 5, if(ISBLANK('2025'!$S117), 0, 1), 6, if(ISBLANK('2025'!$T117), 0, 1), 7, 0))), 1, "")</f>
        <v/>
      </c>
      <c r="AE119" s="1" t="str">
        <f>IF(AND(AND(AND(AE$4&gt;='2025'!$L117,AE$4&lt;='2025'!$M117), AE$4&lt;&gt;DATE(2025,7,4)), (SWITCH(weekday(AE$4), 1, 0, 2, if(ISBLANK('2025'!$P117), 0, 1), 3, if(ISBLANK('2025'!$Q117), 0, 1), 4, if(ISBLANK('2025'!$R117), 0, 1), 5, if(ISBLANK('2025'!$S117), 0, 1), 6, if(ISBLANK('2025'!$T117), 0, 1), 7, 0))), 1, "")</f>
        <v/>
      </c>
      <c r="AF119" s="1" t="str">
        <f>IF(AND(AND(AND(AF$4&gt;='2025'!$L117,AF$4&lt;='2025'!$M117), AF$4&lt;&gt;DATE(2025,7,4)), (SWITCH(weekday(AF$4), 1, 0, 2, if(ISBLANK('2025'!$P117), 0, 1), 3, if(ISBLANK('2025'!$Q117), 0, 1), 4, if(ISBLANK('2025'!$R117), 0, 1), 5, if(ISBLANK('2025'!$S117), 0, 1), 6, if(ISBLANK('2025'!$T117), 0, 1), 7, 0))), 1, "")</f>
        <v/>
      </c>
      <c r="AG119" s="1" t="str">
        <f>IF(AND(AND(AND(AG$4&gt;='2025'!$L117,AG$4&lt;='2025'!$M117), AG$4&lt;&gt;DATE(2025,7,4)), (SWITCH(weekday(AG$4), 1, 0, 2, if(ISBLANK('2025'!$P117), 0, 1), 3, if(ISBLANK('2025'!$Q117), 0, 1), 4, if(ISBLANK('2025'!$R117), 0, 1), 5, if(ISBLANK('2025'!$S117), 0, 1), 6, if(ISBLANK('2025'!$T117), 0, 1), 7, 0))), 1, "")</f>
        <v/>
      </c>
      <c r="AH119" s="1" t="str">
        <f>IF(AND(AND(AND(AH$4&gt;='2025'!$L117,AH$4&lt;='2025'!$M117), AH$4&lt;&gt;DATE(2025,7,4)), (SWITCH(weekday(AH$4), 1, 0, 2, if(ISBLANK('2025'!$P117), 0, 1), 3, if(ISBLANK('2025'!$Q117), 0, 1), 4, if(ISBLANK('2025'!$R117), 0, 1), 5, if(ISBLANK('2025'!$S117), 0, 1), 6, if(ISBLANK('2025'!$T117), 0, 1), 7, 0))), 1, "")</f>
        <v/>
      </c>
      <c r="AI119" s="1" t="str">
        <f>IF(AND(AND(AND(AI$4&gt;='2025'!$L117,AI$4&lt;='2025'!$M117), AI$4&lt;&gt;DATE(2025,7,4)), (SWITCH(weekday(AI$4), 1, 0, 2, if(ISBLANK('2025'!$P117), 0, 1), 3, if(ISBLANK('2025'!$Q117), 0, 1), 4, if(ISBLANK('2025'!$R117), 0, 1), 5, if(ISBLANK('2025'!$S117), 0, 1), 6, if(ISBLANK('2025'!$T117), 0, 1), 7, 0))), 1, "")</f>
        <v/>
      </c>
      <c r="AJ119" s="1" t="str">
        <f>IF(AND(AND(AND(AJ$4&gt;='2025'!$L117,AJ$4&lt;='2025'!$M117), AJ$4&lt;&gt;DATE(2025,7,4)), (SWITCH(weekday(AJ$4), 1, 0, 2, if(ISBLANK('2025'!$P117), 0, 1), 3, if(ISBLANK('2025'!$Q117), 0, 1), 4, if(ISBLANK('2025'!$R117), 0, 1), 5, if(ISBLANK('2025'!$S117), 0, 1), 6, if(ISBLANK('2025'!$T117), 0, 1), 7, 0))), 1, "")</f>
        <v/>
      </c>
      <c r="AK119" s="1" t="str">
        <f>IF(AND(AND(AND(AK$4&gt;='2025'!$L117,AK$4&lt;='2025'!$M117), AK$4&lt;&gt;DATE(2025,7,4)), (SWITCH(weekday(AK$4), 1, 0, 2, if(ISBLANK('2025'!$P117), 0, 1), 3, if(ISBLANK('2025'!$Q117), 0, 1), 4, if(ISBLANK('2025'!$R117), 0, 1), 5, if(ISBLANK('2025'!$S117), 0, 1), 6, if(ISBLANK('2025'!$T117), 0, 1), 7, 0))), 1, "")</f>
        <v/>
      </c>
      <c r="AL119" s="1" t="str">
        <f>IF(AND(AND(AND(AL$4&gt;='2025'!$L117,AL$4&lt;='2025'!$M117), AL$4&lt;&gt;DATE(2025,7,4)), (SWITCH(weekday(AL$4), 1, 0, 2, if(ISBLANK('2025'!$P117), 0, 1), 3, if(ISBLANK('2025'!$Q117), 0, 1), 4, if(ISBLANK('2025'!$R117), 0, 1), 5, if(ISBLANK('2025'!$S117), 0, 1), 6, if(ISBLANK('2025'!$T117), 0, 1), 7, 0))), 1, "")</f>
        <v/>
      </c>
      <c r="AM119" s="1" t="str">
        <f>IF(AND(AND(AND(AM$4&gt;='2025'!$L117,AM$4&lt;='2025'!$M117), AM$4&lt;&gt;DATE(2025,7,4)), (SWITCH(weekday(AM$4), 1, 0, 2, if(ISBLANK('2025'!$P117), 0, 1), 3, if(ISBLANK('2025'!$Q117), 0, 1), 4, if(ISBLANK('2025'!$R117), 0, 1), 5, if(ISBLANK('2025'!$S117), 0, 1), 6, if(ISBLANK('2025'!$T117), 0, 1), 7, 0))), 1, "")</f>
        <v/>
      </c>
      <c r="AN119" s="1" t="str">
        <f>IF(AND(AND(AND(AN$4&gt;='2025'!$L117,AN$4&lt;='2025'!$M117), AN$4&lt;&gt;DATE(2025,7,4)), (SWITCH(weekday(AN$4), 1, 0, 2, if(ISBLANK('2025'!$P117), 0, 1), 3, if(ISBLANK('2025'!$Q117), 0, 1), 4, if(ISBLANK('2025'!$R117), 0, 1), 5, if(ISBLANK('2025'!$S117), 0, 1), 6, if(ISBLANK('2025'!$T117), 0, 1), 7, 0))), 1, "")</f>
        <v/>
      </c>
      <c r="AO119" s="1" t="str">
        <f>IF(AND(AND(AND(AO$4&gt;='2025'!$L117,AO$4&lt;='2025'!$M117), AO$4&lt;&gt;DATE(2025,7,4)), (SWITCH(weekday(AO$4), 1, 0, 2, if(ISBLANK('2025'!$P117), 0, 1), 3, if(ISBLANK('2025'!$Q117), 0, 1), 4, if(ISBLANK('2025'!$R117), 0, 1), 5, if(ISBLANK('2025'!$S117), 0, 1), 6, if(ISBLANK('2025'!$T117), 0, 1), 7, 0))), 1, "")</f>
        <v/>
      </c>
      <c r="AP119" s="1" t="str">
        <f>IF(AND(AND(AND(AP$4&gt;='2025'!$L117,AP$4&lt;='2025'!$M117), AP$4&lt;&gt;DATE(2025,7,4)), (SWITCH(weekday(AP$4), 1, 0, 2, if(ISBLANK('2025'!$P117), 0, 1), 3, if(ISBLANK('2025'!$Q117), 0, 1), 4, if(ISBLANK('2025'!$R117), 0, 1), 5, if(ISBLANK('2025'!$S117), 0, 1), 6, if(ISBLANK('2025'!$T117), 0, 1), 7, 0))), 1, "")</f>
        <v/>
      </c>
      <c r="AQ119" s="1" t="str">
        <f>IF(AND(AND(AND(AQ$4&gt;='2025'!$L117,AQ$4&lt;='2025'!$M117), AQ$4&lt;&gt;DATE(2025,7,4)), (SWITCH(weekday(AQ$4), 1, 0, 2, if(ISBLANK('2025'!$P117), 0, 1), 3, if(ISBLANK('2025'!$Q117), 0, 1), 4, if(ISBLANK('2025'!$R117), 0, 1), 5, if(ISBLANK('2025'!$S117), 0, 1), 6, if(ISBLANK('2025'!$T117), 0, 1), 7, 0))), 1, "")</f>
        <v/>
      </c>
      <c r="AR119" s="1" t="str">
        <f>IF(AND(AND(AND(AR$4&gt;='2025'!$L117,AR$4&lt;='2025'!$M117), AR$4&lt;&gt;DATE(2025,7,4)), (SWITCH(weekday(AR$4), 1, 0, 2, if(ISBLANK('2025'!$P117), 0, 1), 3, if(ISBLANK('2025'!$Q117), 0, 1), 4, if(ISBLANK('2025'!$R117), 0, 1), 5, if(ISBLANK('2025'!$S117), 0, 1), 6, if(ISBLANK('2025'!$T117), 0, 1), 7, 0))), 1, "")</f>
        <v/>
      </c>
      <c r="AS119" s="1" t="str">
        <f>IF(AND(AND(AND(AS$4&gt;='2025'!$L117,AS$4&lt;='2025'!$M117), AS$4&lt;&gt;DATE(2025,7,4)), (SWITCH(weekday(AS$4), 1, 0, 2, if(ISBLANK('2025'!$P117), 0, 1), 3, if(ISBLANK('2025'!$Q117), 0, 1), 4, if(ISBLANK('2025'!$R117), 0, 1), 5, if(ISBLANK('2025'!$S117), 0, 1), 6, if(ISBLANK('2025'!$T117), 0, 1), 7, 0))), 1, "")</f>
        <v/>
      </c>
      <c r="AT119" s="1" t="str">
        <f>IF(AND(AND(AND(AT$4&gt;='2025'!$L117,AT$4&lt;='2025'!$M117), AT$4&lt;&gt;DATE(2025,7,4)), (SWITCH(weekday(AT$4), 1, 0, 2, if(ISBLANK('2025'!$P117), 0, 1), 3, if(ISBLANK('2025'!$Q117), 0, 1), 4, if(ISBLANK('2025'!$R117), 0, 1), 5, if(ISBLANK('2025'!$S117), 0, 1), 6, if(ISBLANK('2025'!$T117), 0, 1), 7, 0))), 1, "")</f>
        <v/>
      </c>
      <c r="AU119" s="1" t="str">
        <f>IF(AND(AND(AND(AU$4&gt;='2025'!$L117,AU$4&lt;='2025'!$M117), AU$4&lt;&gt;DATE(2025,7,4)), (SWITCH(weekday(AU$4), 1, 0, 2, if(ISBLANK('2025'!$P117), 0, 1), 3, if(ISBLANK('2025'!$Q117), 0, 1), 4, if(ISBLANK('2025'!$R117), 0, 1), 5, if(ISBLANK('2025'!$S117), 0, 1), 6, if(ISBLANK('2025'!$T117), 0, 1), 7, 0))), 1, "")</f>
        <v/>
      </c>
      <c r="AV119" s="1" t="str">
        <f>IF(AND(AND(AND(AV$4&gt;='2025'!$L117,AV$4&lt;='2025'!$M117), AV$4&lt;&gt;DATE(2025,7,4)), (SWITCH(weekday(AV$4), 1, 0, 2, if(ISBLANK('2025'!$P117), 0, 1), 3, if(ISBLANK('2025'!$Q117), 0, 1), 4, if(ISBLANK('2025'!$R117), 0, 1), 5, if(ISBLANK('2025'!$S117), 0, 1), 6, if(ISBLANK('2025'!$T117), 0, 1), 7, 0))), 1, "")</f>
        <v/>
      </c>
      <c r="AW119" s="1" t="str">
        <f>IF(AND(AND(AND(AW$4&gt;='2025'!$L117,AW$4&lt;='2025'!$M117), AW$4&lt;&gt;DATE(2025,7,4)), (SWITCH(weekday(AW$4), 1, 0, 2, if(ISBLANK('2025'!$P117), 0, 1), 3, if(ISBLANK('2025'!$Q117), 0, 1), 4, if(ISBLANK('2025'!$R117), 0, 1), 5, if(ISBLANK('2025'!$S117), 0, 1), 6, if(ISBLANK('2025'!$T117), 0, 1), 7, 0))), 1, "")</f>
        <v/>
      </c>
      <c r="AX119" s="1" t="str">
        <f>IF(AND(AND(AND(AX$4&gt;='2025'!$L117,AX$4&lt;='2025'!$M117), AX$4&lt;&gt;DATE(2025,7,4)), (SWITCH(weekday(AX$4), 1, 0, 2, if(ISBLANK('2025'!$P117), 0, 1), 3, if(ISBLANK('2025'!$Q117), 0, 1), 4, if(ISBLANK('2025'!$R117), 0, 1), 5, if(ISBLANK('2025'!$S117), 0, 1), 6, if(ISBLANK('2025'!$T117), 0, 1), 7, 0))), 1, "")</f>
        <v/>
      </c>
      <c r="AY119" s="1" t="str">
        <f>IF(AND(AND(AND(AY$4&gt;='2025'!$L117,AY$4&lt;='2025'!$M117), AY$4&lt;&gt;DATE(2025,7,4)), (SWITCH(weekday(AY$4), 1, 0, 2, if(ISBLANK('2025'!$P117), 0, 1), 3, if(ISBLANK('2025'!$Q117), 0, 1), 4, if(ISBLANK('2025'!$R117), 0, 1), 5, if(ISBLANK('2025'!$S117), 0, 1), 6, if(ISBLANK('2025'!$T117), 0, 1), 7, 0))), 1, "")</f>
        <v/>
      </c>
      <c r="AZ119" s="1" t="str">
        <f>IF(AND(AND(AND(AZ$4&gt;='2025'!$L117,AZ$4&lt;='2025'!$M117), AZ$4&lt;&gt;DATE(2025,7,4)), (SWITCH(weekday(AZ$4), 1, 0, 2, if(ISBLANK('2025'!$P117), 0, 1), 3, if(ISBLANK('2025'!$Q117), 0, 1), 4, if(ISBLANK('2025'!$R117), 0, 1), 5, if(ISBLANK('2025'!$S117), 0, 1), 6, if(ISBLANK('2025'!$T117), 0, 1), 7, 0))), 1, "")</f>
        <v/>
      </c>
      <c r="BA119" s="1" t="str">
        <f>IF(AND(AND(AND(BA$4&gt;='2025'!$L117,BA$4&lt;='2025'!$M117), BA$4&lt;&gt;DATE(2025,7,4)), (SWITCH(weekday(BA$4), 1, 0, 2, if(ISBLANK('2025'!$P117), 0, 1), 3, if(ISBLANK('2025'!$Q117), 0, 1), 4, if(ISBLANK('2025'!$R117), 0, 1), 5, if(ISBLANK('2025'!$S117), 0, 1), 6, if(ISBLANK('2025'!$T117), 0, 1), 7, 0))), 1, "")</f>
        <v/>
      </c>
      <c r="BB119" s="1" t="str">
        <f>IF(AND(AND(AND(BB$4&gt;='2025'!$L117,BB$4&lt;='2025'!$M117), BB$4&lt;&gt;DATE(2025,7,4)), (SWITCH(weekday(BB$4), 1, 0, 2, if(ISBLANK('2025'!$P117), 0, 1), 3, if(ISBLANK('2025'!$Q117), 0, 1), 4, if(ISBLANK('2025'!$R117), 0, 1), 5, if(ISBLANK('2025'!$S117), 0, 1), 6, if(ISBLANK('2025'!$T117), 0, 1), 7, 0))), 1, "")</f>
        <v/>
      </c>
      <c r="BC119" s="1" t="str">
        <f>IF(AND(AND(AND(BC$4&gt;='2025'!$L117,BC$4&lt;='2025'!$M117), BC$4&lt;&gt;DATE(2025,7,4)), (SWITCH(weekday(BC$4), 1, 0, 2, if(ISBLANK('2025'!$P117), 0, 1), 3, if(ISBLANK('2025'!$Q117), 0, 1), 4, if(ISBLANK('2025'!$R117), 0, 1), 5, if(ISBLANK('2025'!$S117), 0, 1), 6, if(ISBLANK('2025'!$T117), 0, 1), 7, 0))), 1, "")</f>
        <v/>
      </c>
      <c r="BD119" s="1" t="str">
        <f>IF(AND(AND(AND(BD$4&gt;='2025'!$L117,BD$4&lt;='2025'!$M117), BD$4&lt;&gt;DATE(2025,7,4)), (SWITCH(weekday(BD$4), 1, 0, 2, if(ISBLANK('2025'!$P117), 0, 1), 3, if(ISBLANK('2025'!$Q117), 0, 1), 4, if(ISBLANK('2025'!$R117), 0, 1), 5, if(ISBLANK('2025'!$S117), 0, 1), 6, if(ISBLANK('2025'!$T117), 0, 1), 7, 0))), 1, "")</f>
        <v/>
      </c>
      <c r="BE119" s="1" t="str">
        <f>IF(AND(AND(AND(BE$4&gt;='2025'!$L117,BE$4&lt;='2025'!$M117), BE$4&lt;&gt;DATE(2025,7,4)), (SWITCH(weekday(BE$4), 1, 0, 2, if(ISBLANK('2025'!$P117), 0, 1), 3, if(ISBLANK('2025'!$Q117), 0, 1), 4, if(ISBLANK('2025'!$R117), 0, 1), 5, if(ISBLANK('2025'!$S117), 0, 1), 6, if(ISBLANK('2025'!$T117), 0, 1), 7, 0))), 1, "")</f>
        <v/>
      </c>
      <c r="BF119" s="1" t="str">
        <f>IF(AND(AND(AND(BF$4&gt;='2025'!$L117,BF$4&lt;='2025'!$M117), BF$4&lt;&gt;DATE(2025,7,4)), (SWITCH(weekday(BF$4), 1, 0, 2, if(ISBLANK('2025'!$P117), 0, 1), 3, if(ISBLANK('2025'!$Q117), 0, 1), 4, if(ISBLANK('2025'!$R117), 0, 1), 5, if(ISBLANK('2025'!$S117), 0, 1), 6, if(ISBLANK('2025'!$T117), 0, 1), 7, 0))), 1, "")</f>
        <v/>
      </c>
      <c r="BG119" s="1"/>
      <c r="BH119" s="1"/>
      <c r="BI119" s="1"/>
      <c r="BJ119" s="1"/>
      <c r="BK119" s="1"/>
      <c r="BL119" s="1"/>
    </row>
    <row r="120">
      <c r="A120" s="1">
        <f t="shared" si="3"/>
        <v>120</v>
      </c>
      <c r="B120" s="1" t="str">
        <f>'2025'!D84</f>
        <v>, </v>
      </c>
      <c r="C120" s="1" t="str">
        <f>'2025'!H84</f>
        <v/>
      </c>
      <c r="D120" s="1" t="str">
        <f>IF(AND(AND(AND(D$4&gt;='2025'!$L118,D$4&lt;='2025'!$M118), D$4&lt;&gt;DATE(2025,7,4)), (SWITCH(weekday(D$4), 1, 0, 2, if(ISBLANK('2025'!$P118), 0, 1), 3, if(ISBLANK('2025'!$Q118), 0, 1), 4, if(ISBLANK('2025'!$R118), 0, 1), 5, if(ISBLANK('2025'!$S118), 0, 1), 6, if(ISBLANK('2025'!$T118), 0, 1), 7, 0))), 1, "")</f>
        <v/>
      </c>
      <c r="E120" s="1" t="str">
        <f>IF(AND(AND(AND(E$4&gt;='2025'!$L118,E$4&lt;='2025'!$M118), E$4&lt;&gt;DATE(2025,7,4)), (SWITCH(weekday(E$4), 1, 0, 2, if(ISBLANK('2025'!$P118), 0, 1), 3, if(ISBLANK('2025'!$Q118), 0, 1), 4, if(ISBLANK('2025'!$R118), 0, 1), 5, if(ISBLANK('2025'!$S118), 0, 1), 6, if(ISBLANK('2025'!$T118), 0, 1), 7, 0))), 1, "")</f>
        <v/>
      </c>
      <c r="F120" s="1" t="str">
        <f>IF(AND(AND(AND(F$4&gt;='2025'!$L118,F$4&lt;='2025'!$M118), F$4&lt;&gt;DATE(2025,7,4)), (SWITCH(weekday(F$4), 1, 0, 2, if(ISBLANK('2025'!$P118), 0, 1), 3, if(ISBLANK('2025'!$Q118), 0, 1), 4, if(ISBLANK('2025'!$R118), 0, 1), 5, if(ISBLANK('2025'!$S118), 0, 1), 6, if(ISBLANK('2025'!$T118), 0, 1), 7, 0))), 1, "")</f>
        <v/>
      </c>
      <c r="G120" s="1" t="str">
        <f>IF(AND(AND(AND(G$4&gt;='2025'!$L118,G$4&lt;='2025'!$M118), G$4&lt;&gt;DATE(2025,7,4)), (SWITCH(weekday(G$4), 1, 0, 2, if(ISBLANK('2025'!$P118), 0, 1), 3, if(ISBLANK('2025'!$Q118), 0, 1), 4, if(ISBLANK('2025'!$R118), 0, 1), 5, if(ISBLANK('2025'!$S118), 0, 1), 6, if(ISBLANK('2025'!$T118), 0, 1), 7, 0))), 1, "")</f>
        <v/>
      </c>
      <c r="H120" s="1" t="str">
        <f>IF(AND(AND(AND(H$4&gt;='2025'!$L118,H$4&lt;='2025'!$M118), H$4&lt;&gt;DATE(2025,7,4)), (SWITCH(weekday(H$4), 1, 0, 2, if(ISBLANK('2025'!$P118), 0, 1), 3, if(ISBLANK('2025'!$Q118), 0, 1), 4, if(ISBLANK('2025'!$R118), 0, 1), 5, if(ISBLANK('2025'!$S118), 0, 1), 6, if(ISBLANK('2025'!$T118), 0, 1), 7, 0))), 1, "")</f>
        <v/>
      </c>
      <c r="I120" s="1" t="str">
        <f>IF(AND(AND(AND(I$4&gt;='2025'!$L118,I$4&lt;='2025'!$M118), I$4&lt;&gt;DATE(2025,7,4)), (SWITCH(weekday(I$4), 1, 0, 2, if(ISBLANK('2025'!$P118), 0, 1), 3, if(ISBLANK('2025'!$Q118), 0, 1), 4, if(ISBLANK('2025'!$R118), 0, 1), 5, if(ISBLANK('2025'!$S118), 0, 1), 6, if(ISBLANK('2025'!$T118), 0, 1), 7, 0))), 1, "")</f>
        <v/>
      </c>
      <c r="J120" s="1" t="str">
        <f>IF(AND(AND(AND(J$4&gt;='2025'!$L118,J$4&lt;='2025'!$M118), J$4&lt;&gt;DATE(2025,7,4)), (SWITCH(weekday(J$4), 1, 0, 2, if(ISBLANK('2025'!$P118), 0, 1), 3, if(ISBLANK('2025'!$Q118), 0, 1), 4, if(ISBLANK('2025'!$R118), 0, 1), 5, if(ISBLANK('2025'!$S118), 0, 1), 6, if(ISBLANK('2025'!$T118), 0, 1), 7, 0))), 1, "")</f>
        <v/>
      </c>
      <c r="K120" s="1" t="str">
        <f>IF(AND(AND(AND(K$4&gt;='2025'!$L118,K$4&lt;='2025'!$M118), K$4&lt;&gt;DATE(2025,7,4)), (SWITCH(weekday(K$4), 1, 0, 2, if(ISBLANK('2025'!$P118), 0, 1), 3, if(ISBLANK('2025'!$Q118), 0, 1), 4, if(ISBLANK('2025'!$R118), 0, 1), 5, if(ISBLANK('2025'!$S118), 0, 1), 6, if(ISBLANK('2025'!$T118), 0, 1), 7, 0))), 1, "")</f>
        <v/>
      </c>
      <c r="L120" s="1" t="str">
        <f>IF(AND(AND(AND(L$4&gt;='2025'!$L118,L$4&lt;='2025'!$M118), L$4&lt;&gt;DATE(2025,7,4)), (SWITCH(weekday(L$4), 1, 0, 2, if(ISBLANK('2025'!$P118), 0, 1), 3, if(ISBLANK('2025'!$Q118), 0, 1), 4, if(ISBLANK('2025'!$R118), 0, 1), 5, if(ISBLANK('2025'!$S118), 0, 1), 6, if(ISBLANK('2025'!$T118), 0, 1), 7, 0))), 1, "")</f>
        <v/>
      </c>
      <c r="M120" s="1" t="str">
        <f>IF(AND(AND(AND(M$4&gt;='2025'!$L118,M$4&lt;='2025'!$M118), M$4&lt;&gt;DATE(2025,7,4)), (SWITCH(weekday(M$4), 1, 0, 2, if(ISBLANK('2025'!$P118), 0, 1), 3, if(ISBLANK('2025'!$Q118), 0, 1), 4, if(ISBLANK('2025'!$R118), 0, 1), 5, if(ISBLANK('2025'!$S118), 0, 1), 6, if(ISBLANK('2025'!$T118), 0, 1), 7, 0))), 1, "")</f>
        <v/>
      </c>
      <c r="N120" s="1" t="str">
        <f>IF(AND(AND(AND(N$4&gt;='2025'!$L118,N$4&lt;='2025'!$M118), N$4&lt;&gt;DATE(2025,7,4)), (SWITCH(weekday(N$4), 1, 0, 2, if(ISBLANK('2025'!$P118), 0, 1), 3, if(ISBLANK('2025'!$Q118), 0, 1), 4, if(ISBLANK('2025'!$R118), 0, 1), 5, if(ISBLANK('2025'!$S118), 0, 1), 6, if(ISBLANK('2025'!$T118), 0, 1), 7, 0))), 1, "")</f>
        <v/>
      </c>
      <c r="O120" s="1" t="str">
        <f>IF(AND(AND(AND(O$4&gt;='2025'!$L118,O$4&lt;='2025'!$M118), O$4&lt;&gt;DATE(2025,7,4)), (SWITCH(weekday(O$4), 1, 0, 2, if(ISBLANK('2025'!$P118), 0, 1), 3, if(ISBLANK('2025'!$Q118), 0, 1), 4, if(ISBLANK('2025'!$R118), 0, 1), 5, if(ISBLANK('2025'!$S118), 0, 1), 6, if(ISBLANK('2025'!$T118), 0, 1), 7, 0))), 1, "")</f>
        <v/>
      </c>
      <c r="P120" s="1" t="str">
        <f>IF(AND(AND(AND(P$4&gt;='2025'!$L118,P$4&lt;='2025'!$M118), P$4&lt;&gt;DATE(2025,7,4)), (SWITCH(weekday(P$4), 1, 0, 2, if(ISBLANK('2025'!$P118), 0, 1), 3, if(ISBLANK('2025'!$Q118), 0, 1), 4, if(ISBLANK('2025'!$R118), 0, 1), 5, if(ISBLANK('2025'!$S118), 0, 1), 6, if(ISBLANK('2025'!$T118), 0, 1), 7, 0))), 1, "")</f>
        <v/>
      </c>
      <c r="Q120" s="1" t="str">
        <f>IF(AND(AND(AND(Q$4&gt;='2025'!$L118,Q$4&lt;='2025'!$M118), Q$4&lt;&gt;DATE(2025,7,4)), (SWITCH(weekday(Q$4), 1, 0, 2, if(ISBLANK('2025'!$P118), 0, 1), 3, if(ISBLANK('2025'!$Q118), 0, 1), 4, if(ISBLANK('2025'!$R118), 0, 1), 5, if(ISBLANK('2025'!$S118), 0, 1), 6, if(ISBLANK('2025'!$T118), 0, 1), 7, 0))), 1, "")</f>
        <v/>
      </c>
      <c r="R120" s="1" t="str">
        <f>IF(AND(AND(AND(R$4&gt;='2025'!$L118,R$4&lt;='2025'!$M118), R$4&lt;&gt;DATE(2025,7,4)), (SWITCH(weekday(R$4), 1, 0, 2, if(ISBLANK('2025'!$P118), 0, 1), 3, if(ISBLANK('2025'!$Q118), 0, 1), 4, if(ISBLANK('2025'!$R118), 0, 1), 5, if(ISBLANK('2025'!$S118), 0, 1), 6, if(ISBLANK('2025'!$T118), 0, 1), 7, 0))), 1, "")</f>
        <v/>
      </c>
      <c r="S120" s="1" t="str">
        <f>IF(AND(AND(AND(S$4&gt;='2025'!$L118,S$4&lt;='2025'!$M118), S$4&lt;&gt;DATE(2025,7,4)), (SWITCH(weekday(S$4), 1, 0, 2, if(ISBLANK('2025'!$P118), 0, 1), 3, if(ISBLANK('2025'!$Q118), 0, 1), 4, if(ISBLANK('2025'!$R118), 0, 1), 5, if(ISBLANK('2025'!$S118), 0, 1), 6, if(ISBLANK('2025'!$T118), 0, 1), 7, 0))), 1, "")</f>
        <v/>
      </c>
      <c r="T120" s="1" t="str">
        <f>IF(AND(AND(AND(T$4&gt;='2025'!$L118,T$4&lt;='2025'!$M118), T$4&lt;&gt;DATE(2025,7,4)), (SWITCH(weekday(T$4), 1, 0, 2, if(ISBLANK('2025'!$P118), 0, 1), 3, if(ISBLANK('2025'!$Q118), 0, 1), 4, if(ISBLANK('2025'!$R118), 0, 1), 5, if(ISBLANK('2025'!$S118), 0, 1), 6, if(ISBLANK('2025'!$T118), 0, 1), 7, 0))), 1, "")</f>
        <v/>
      </c>
      <c r="U120" s="1" t="str">
        <f>IF(AND(AND(AND(U$4&gt;='2025'!$L118,U$4&lt;='2025'!$M118), U$4&lt;&gt;DATE(2025,7,4)), (SWITCH(weekday(U$4), 1, 0, 2, if(ISBLANK('2025'!$P118), 0, 1), 3, if(ISBLANK('2025'!$Q118), 0, 1), 4, if(ISBLANK('2025'!$R118), 0, 1), 5, if(ISBLANK('2025'!$S118), 0, 1), 6, if(ISBLANK('2025'!$T118), 0, 1), 7, 0))), 1, "")</f>
        <v/>
      </c>
      <c r="V120" s="1" t="str">
        <f>IF(AND(AND(AND(V$4&gt;='2025'!$L118,V$4&lt;='2025'!$M118), V$4&lt;&gt;DATE(2025,7,4)), (SWITCH(weekday(V$4), 1, 0, 2, if(ISBLANK('2025'!$P118), 0, 1), 3, if(ISBLANK('2025'!$Q118), 0, 1), 4, if(ISBLANK('2025'!$R118), 0, 1), 5, if(ISBLANK('2025'!$S118), 0, 1), 6, if(ISBLANK('2025'!$T118), 0, 1), 7, 0))), 1, "")</f>
        <v/>
      </c>
      <c r="W120" s="1" t="str">
        <f>IF(AND(AND(AND(W$4&gt;='2025'!$L118,W$4&lt;='2025'!$M118), W$4&lt;&gt;DATE(2025,7,4)), (SWITCH(weekday(W$4), 1, 0, 2, if(ISBLANK('2025'!$P118), 0, 1), 3, if(ISBLANK('2025'!$Q118), 0, 1), 4, if(ISBLANK('2025'!$R118), 0, 1), 5, if(ISBLANK('2025'!$S118), 0, 1), 6, if(ISBLANK('2025'!$T118), 0, 1), 7, 0))), 1, "")</f>
        <v/>
      </c>
      <c r="X120" s="1" t="str">
        <f>IF(AND(AND(AND(X$4&gt;='2025'!$L118,X$4&lt;='2025'!$M118), X$4&lt;&gt;DATE(2025,7,4)), (SWITCH(weekday(X$4), 1, 0, 2, if(ISBLANK('2025'!$P118), 0, 1), 3, if(ISBLANK('2025'!$Q118), 0, 1), 4, if(ISBLANK('2025'!$R118), 0, 1), 5, if(ISBLANK('2025'!$S118), 0, 1), 6, if(ISBLANK('2025'!$T118), 0, 1), 7, 0))), 1, "")</f>
        <v/>
      </c>
      <c r="Y120" s="1" t="str">
        <f>IF(AND(AND(AND(Y$4&gt;='2025'!$L118,Y$4&lt;='2025'!$M118), Y$4&lt;&gt;DATE(2025,7,4)), (SWITCH(weekday(Y$4), 1, 0, 2, if(ISBLANK('2025'!$P118), 0, 1), 3, if(ISBLANK('2025'!$Q118), 0, 1), 4, if(ISBLANK('2025'!$R118), 0, 1), 5, if(ISBLANK('2025'!$S118), 0, 1), 6, if(ISBLANK('2025'!$T118), 0, 1), 7, 0))), 1, "")</f>
        <v/>
      </c>
      <c r="Z120" s="1" t="str">
        <f>IF(AND(AND(AND(Z$4&gt;='2025'!$L118,Z$4&lt;='2025'!$M118), Z$4&lt;&gt;DATE(2025,7,4)), (SWITCH(weekday(Z$4), 1, 0, 2, if(ISBLANK('2025'!$P118), 0, 1), 3, if(ISBLANK('2025'!$Q118), 0, 1), 4, if(ISBLANK('2025'!$R118), 0, 1), 5, if(ISBLANK('2025'!$S118), 0, 1), 6, if(ISBLANK('2025'!$T118), 0, 1), 7, 0))), 1, "")</f>
        <v/>
      </c>
      <c r="AA120" s="1" t="str">
        <f>IF(AND(AND(AND(AA$4&gt;='2025'!$L118,AA$4&lt;='2025'!$M118), AA$4&lt;&gt;DATE(2025,7,4)), (SWITCH(weekday(AA$4), 1, 0, 2, if(ISBLANK('2025'!$P118), 0, 1), 3, if(ISBLANK('2025'!$Q118), 0, 1), 4, if(ISBLANK('2025'!$R118), 0, 1), 5, if(ISBLANK('2025'!$S118), 0, 1), 6, if(ISBLANK('2025'!$T118), 0, 1), 7, 0))), 1, "")</f>
        <v/>
      </c>
      <c r="AB120" s="1" t="str">
        <f>IF(AND(AND(AND(AB$4&gt;='2025'!$L118,AB$4&lt;='2025'!$M118), AB$4&lt;&gt;DATE(2025,7,4)), (SWITCH(weekday(AB$4), 1, 0, 2, if(ISBLANK('2025'!$P118), 0, 1), 3, if(ISBLANK('2025'!$Q118), 0, 1), 4, if(ISBLANK('2025'!$R118), 0, 1), 5, if(ISBLANK('2025'!$S118), 0, 1), 6, if(ISBLANK('2025'!$T118), 0, 1), 7, 0))), 1, "")</f>
        <v/>
      </c>
      <c r="AC120" s="1" t="str">
        <f>IF(AND(AND(AND(AC$4&gt;='2025'!$L118,AC$4&lt;='2025'!$M118), AC$4&lt;&gt;DATE(2025,7,4)), (SWITCH(weekday(AC$4), 1, 0, 2, if(ISBLANK('2025'!$P118), 0, 1), 3, if(ISBLANK('2025'!$Q118), 0, 1), 4, if(ISBLANK('2025'!$R118), 0, 1), 5, if(ISBLANK('2025'!$S118), 0, 1), 6, if(ISBLANK('2025'!$T118), 0, 1), 7, 0))), 1, "")</f>
        <v/>
      </c>
      <c r="AD120" s="1" t="str">
        <f>IF(AND(AND(AND(AD$4&gt;='2025'!$L118,AD$4&lt;='2025'!$M118), AD$4&lt;&gt;DATE(2025,7,4)), (SWITCH(weekday(AD$4), 1, 0, 2, if(ISBLANK('2025'!$P118), 0, 1), 3, if(ISBLANK('2025'!$Q118), 0, 1), 4, if(ISBLANK('2025'!$R118), 0, 1), 5, if(ISBLANK('2025'!$S118), 0, 1), 6, if(ISBLANK('2025'!$T118), 0, 1), 7, 0))), 1, "")</f>
        <v/>
      </c>
      <c r="AE120" s="1" t="str">
        <f>IF(AND(AND(AND(AE$4&gt;='2025'!$L118,AE$4&lt;='2025'!$M118), AE$4&lt;&gt;DATE(2025,7,4)), (SWITCH(weekday(AE$4), 1, 0, 2, if(ISBLANK('2025'!$P118), 0, 1), 3, if(ISBLANK('2025'!$Q118), 0, 1), 4, if(ISBLANK('2025'!$R118), 0, 1), 5, if(ISBLANK('2025'!$S118), 0, 1), 6, if(ISBLANK('2025'!$T118), 0, 1), 7, 0))), 1, "")</f>
        <v/>
      </c>
      <c r="AF120" s="1" t="str">
        <f>IF(AND(AND(AND(AF$4&gt;='2025'!$L118,AF$4&lt;='2025'!$M118), AF$4&lt;&gt;DATE(2025,7,4)), (SWITCH(weekday(AF$4), 1, 0, 2, if(ISBLANK('2025'!$P118), 0, 1), 3, if(ISBLANK('2025'!$Q118), 0, 1), 4, if(ISBLANK('2025'!$R118), 0, 1), 5, if(ISBLANK('2025'!$S118), 0, 1), 6, if(ISBLANK('2025'!$T118), 0, 1), 7, 0))), 1, "")</f>
        <v/>
      </c>
      <c r="AG120" s="1" t="str">
        <f>IF(AND(AND(AND(AG$4&gt;='2025'!$L118,AG$4&lt;='2025'!$M118), AG$4&lt;&gt;DATE(2025,7,4)), (SWITCH(weekday(AG$4), 1, 0, 2, if(ISBLANK('2025'!$P118), 0, 1), 3, if(ISBLANK('2025'!$Q118), 0, 1), 4, if(ISBLANK('2025'!$R118), 0, 1), 5, if(ISBLANK('2025'!$S118), 0, 1), 6, if(ISBLANK('2025'!$T118), 0, 1), 7, 0))), 1, "")</f>
        <v/>
      </c>
      <c r="AH120" s="1" t="str">
        <f>IF(AND(AND(AND(AH$4&gt;='2025'!$L118,AH$4&lt;='2025'!$M118), AH$4&lt;&gt;DATE(2025,7,4)), (SWITCH(weekday(AH$4), 1, 0, 2, if(ISBLANK('2025'!$P118), 0, 1), 3, if(ISBLANK('2025'!$Q118), 0, 1), 4, if(ISBLANK('2025'!$R118), 0, 1), 5, if(ISBLANK('2025'!$S118), 0, 1), 6, if(ISBLANK('2025'!$T118), 0, 1), 7, 0))), 1, "")</f>
        <v/>
      </c>
      <c r="AI120" s="1" t="str">
        <f>IF(AND(AND(AND(AI$4&gt;='2025'!$L118,AI$4&lt;='2025'!$M118), AI$4&lt;&gt;DATE(2025,7,4)), (SWITCH(weekday(AI$4), 1, 0, 2, if(ISBLANK('2025'!$P118), 0, 1), 3, if(ISBLANK('2025'!$Q118), 0, 1), 4, if(ISBLANK('2025'!$R118), 0, 1), 5, if(ISBLANK('2025'!$S118), 0, 1), 6, if(ISBLANK('2025'!$T118), 0, 1), 7, 0))), 1, "")</f>
        <v/>
      </c>
      <c r="AJ120" s="1" t="str">
        <f>IF(AND(AND(AND(AJ$4&gt;='2025'!$L118,AJ$4&lt;='2025'!$M118), AJ$4&lt;&gt;DATE(2025,7,4)), (SWITCH(weekday(AJ$4), 1, 0, 2, if(ISBLANK('2025'!$P118), 0, 1), 3, if(ISBLANK('2025'!$Q118), 0, 1), 4, if(ISBLANK('2025'!$R118), 0, 1), 5, if(ISBLANK('2025'!$S118), 0, 1), 6, if(ISBLANK('2025'!$T118), 0, 1), 7, 0))), 1, "")</f>
        <v/>
      </c>
      <c r="AK120" s="1" t="str">
        <f>IF(AND(AND(AND(AK$4&gt;='2025'!$L118,AK$4&lt;='2025'!$M118), AK$4&lt;&gt;DATE(2025,7,4)), (SWITCH(weekday(AK$4), 1, 0, 2, if(ISBLANK('2025'!$P118), 0, 1), 3, if(ISBLANK('2025'!$Q118), 0, 1), 4, if(ISBLANK('2025'!$R118), 0, 1), 5, if(ISBLANK('2025'!$S118), 0, 1), 6, if(ISBLANK('2025'!$T118), 0, 1), 7, 0))), 1, "")</f>
        <v/>
      </c>
      <c r="AL120" s="1" t="str">
        <f>IF(AND(AND(AND(AL$4&gt;='2025'!$L118,AL$4&lt;='2025'!$M118), AL$4&lt;&gt;DATE(2025,7,4)), (SWITCH(weekday(AL$4), 1, 0, 2, if(ISBLANK('2025'!$P118), 0, 1), 3, if(ISBLANK('2025'!$Q118), 0, 1), 4, if(ISBLANK('2025'!$R118), 0, 1), 5, if(ISBLANK('2025'!$S118), 0, 1), 6, if(ISBLANK('2025'!$T118), 0, 1), 7, 0))), 1, "")</f>
        <v/>
      </c>
      <c r="AM120" s="1" t="str">
        <f>IF(AND(AND(AND(AM$4&gt;='2025'!$L118,AM$4&lt;='2025'!$M118), AM$4&lt;&gt;DATE(2025,7,4)), (SWITCH(weekday(AM$4), 1, 0, 2, if(ISBLANK('2025'!$P118), 0, 1), 3, if(ISBLANK('2025'!$Q118), 0, 1), 4, if(ISBLANK('2025'!$R118), 0, 1), 5, if(ISBLANK('2025'!$S118), 0, 1), 6, if(ISBLANK('2025'!$T118), 0, 1), 7, 0))), 1, "")</f>
        <v/>
      </c>
      <c r="AN120" s="1" t="str">
        <f>IF(AND(AND(AND(AN$4&gt;='2025'!$L118,AN$4&lt;='2025'!$M118), AN$4&lt;&gt;DATE(2025,7,4)), (SWITCH(weekday(AN$4), 1, 0, 2, if(ISBLANK('2025'!$P118), 0, 1), 3, if(ISBLANK('2025'!$Q118), 0, 1), 4, if(ISBLANK('2025'!$R118), 0, 1), 5, if(ISBLANK('2025'!$S118), 0, 1), 6, if(ISBLANK('2025'!$T118), 0, 1), 7, 0))), 1, "")</f>
        <v/>
      </c>
      <c r="AO120" s="1" t="str">
        <f>IF(AND(AND(AND(AO$4&gt;='2025'!$L118,AO$4&lt;='2025'!$M118), AO$4&lt;&gt;DATE(2025,7,4)), (SWITCH(weekday(AO$4), 1, 0, 2, if(ISBLANK('2025'!$P118), 0, 1), 3, if(ISBLANK('2025'!$Q118), 0, 1), 4, if(ISBLANK('2025'!$R118), 0, 1), 5, if(ISBLANK('2025'!$S118), 0, 1), 6, if(ISBLANK('2025'!$T118), 0, 1), 7, 0))), 1, "")</f>
        <v/>
      </c>
      <c r="AP120" s="1" t="str">
        <f>IF(AND(AND(AND(AP$4&gt;='2025'!$L118,AP$4&lt;='2025'!$M118), AP$4&lt;&gt;DATE(2025,7,4)), (SWITCH(weekday(AP$4), 1, 0, 2, if(ISBLANK('2025'!$P118), 0, 1), 3, if(ISBLANK('2025'!$Q118), 0, 1), 4, if(ISBLANK('2025'!$R118), 0, 1), 5, if(ISBLANK('2025'!$S118), 0, 1), 6, if(ISBLANK('2025'!$T118), 0, 1), 7, 0))), 1, "")</f>
        <v/>
      </c>
      <c r="AQ120" s="1" t="str">
        <f>IF(AND(AND(AND(AQ$4&gt;='2025'!$L118,AQ$4&lt;='2025'!$M118), AQ$4&lt;&gt;DATE(2025,7,4)), (SWITCH(weekday(AQ$4), 1, 0, 2, if(ISBLANK('2025'!$P118), 0, 1), 3, if(ISBLANK('2025'!$Q118), 0, 1), 4, if(ISBLANK('2025'!$R118), 0, 1), 5, if(ISBLANK('2025'!$S118), 0, 1), 6, if(ISBLANK('2025'!$T118), 0, 1), 7, 0))), 1, "")</f>
        <v/>
      </c>
      <c r="AR120" s="1" t="str">
        <f>IF(AND(AND(AND(AR$4&gt;='2025'!$L118,AR$4&lt;='2025'!$M118), AR$4&lt;&gt;DATE(2025,7,4)), (SWITCH(weekday(AR$4), 1, 0, 2, if(ISBLANK('2025'!$P118), 0, 1), 3, if(ISBLANK('2025'!$Q118), 0, 1), 4, if(ISBLANK('2025'!$R118), 0, 1), 5, if(ISBLANK('2025'!$S118), 0, 1), 6, if(ISBLANK('2025'!$T118), 0, 1), 7, 0))), 1, "")</f>
        <v/>
      </c>
      <c r="AS120" s="1" t="str">
        <f>IF(AND(AND(AND(AS$4&gt;='2025'!$L118,AS$4&lt;='2025'!$M118), AS$4&lt;&gt;DATE(2025,7,4)), (SWITCH(weekday(AS$4), 1, 0, 2, if(ISBLANK('2025'!$P118), 0, 1), 3, if(ISBLANK('2025'!$Q118), 0, 1), 4, if(ISBLANK('2025'!$R118), 0, 1), 5, if(ISBLANK('2025'!$S118), 0, 1), 6, if(ISBLANK('2025'!$T118), 0, 1), 7, 0))), 1, "")</f>
        <v/>
      </c>
      <c r="AT120" s="1" t="str">
        <f>IF(AND(AND(AND(AT$4&gt;='2025'!$L118,AT$4&lt;='2025'!$M118), AT$4&lt;&gt;DATE(2025,7,4)), (SWITCH(weekday(AT$4), 1, 0, 2, if(ISBLANK('2025'!$P118), 0, 1), 3, if(ISBLANK('2025'!$Q118), 0, 1), 4, if(ISBLANK('2025'!$R118), 0, 1), 5, if(ISBLANK('2025'!$S118), 0, 1), 6, if(ISBLANK('2025'!$T118), 0, 1), 7, 0))), 1, "")</f>
        <v/>
      </c>
      <c r="AU120" s="1" t="str">
        <f>IF(AND(AND(AND(AU$4&gt;='2025'!$L118,AU$4&lt;='2025'!$M118), AU$4&lt;&gt;DATE(2025,7,4)), (SWITCH(weekday(AU$4), 1, 0, 2, if(ISBLANK('2025'!$P118), 0, 1), 3, if(ISBLANK('2025'!$Q118), 0, 1), 4, if(ISBLANK('2025'!$R118), 0, 1), 5, if(ISBLANK('2025'!$S118), 0, 1), 6, if(ISBLANK('2025'!$T118), 0, 1), 7, 0))), 1, "")</f>
        <v/>
      </c>
      <c r="AV120" s="1" t="str">
        <f>IF(AND(AND(AND(AV$4&gt;='2025'!$L118,AV$4&lt;='2025'!$M118), AV$4&lt;&gt;DATE(2025,7,4)), (SWITCH(weekday(AV$4), 1, 0, 2, if(ISBLANK('2025'!$P118), 0, 1), 3, if(ISBLANK('2025'!$Q118), 0, 1), 4, if(ISBLANK('2025'!$R118), 0, 1), 5, if(ISBLANK('2025'!$S118), 0, 1), 6, if(ISBLANK('2025'!$T118), 0, 1), 7, 0))), 1, "")</f>
        <v/>
      </c>
      <c r="AW120" s="1" t="str">
        <f>IF(AND(AND(AND(AW$4&gt;='2025'!$L118,AW$4&lt;='2025'!$M118), AW$4&lt;&gt;DATE(2025,7,4)), (SWITCH(weekday(AW$4), 1, 0, 2, if(ISBLANK('2025'!$P118), 0, 1), 3, if(ISBLANK('2025'!$Q118), 0, 1), 4, if(ISBLANK('2025'!$R118), 0, 1), 5, if(ISBLANK('2025'!$S118), 0, 1), 6, if(ISBLANK('2025'!$T118), 0, 1), 7, 0))), 1, "")</f>
        <v/>
      </c>
      <c r="AX120" s="1" t="str">
        <f>IF(AND(AND(AND(AX$4&gt;='2025'!$L118,AX$4&lt;='2025'!$M118), AX$4&lt;&gt;DATE(2025,7,4)), (SWITCH(weekday(AX$4), 1, 0, 2, if(ISBLANK('2025'!$P118), 0, 1), 3, if(ISBLANK('2025'!$Q118), 0, 1), 4, if(ISBLANK('2025'!$R118), 0, 1), 5, if(ISBLANK('2025'!$S118), 0, 1), 6, if(ISBLANK('2025'!$T118), 0, 1), 7, 0))), 1, "")</f>
        <v/>
      </c>
      <c r="AY120" s="1" t="str">
        <f>IF(AND(AND(AND(AY$4&gt;='2025'!$L118,AY$4&lt;='2025'!$M118), AY$4&lt;&gt;DATE(2025,7,4)), (SWITCH(weekday(AY$4), 1, 0, 2, if(ISBLANK('2025'!$P118), 0, 1), 3, if(ISBLANK('2025'!$Q118), 0, 1), 4, if(ISBLANK('2025'!$R118), 0, 1), 5, if(ISBLANK('2025'!$S118), 0, 1), 6, if(ISBLANK('2025'!$T118), 0, 1), 7, 0))), 1, "")</f>
        <v/>
      </c>
      <c r="AZ120" s="1" t="str">
        <f>IF(AND(AND(AND(AZ$4&gt;='2025'!$L118,AZ$4&lt;='2025'!$M118), AZ$4&lt;&gt;DATE(2025,7,4)), (SWITCH(weekday(AZ$4), 1, 0, 2, if(ISBLANK('2025'!$P118), 0, 1), 3, if(ISBLANK('2025'!$Q118), 0, 1), 4, if(ISBLANK('2025'!$R118), 0, 1), 5, if(ISBLANK('2025'!$S118), 0, 1), 6, if(ISBLANK('2025'!$T118), 0, 1), 7, 0))), 1, "")</f>
        <v/>
      </c>
      <c r="BA120" s="1" t="str">
        <f>IF(AND(AND(AND(BA$4&gt;='2025'!$L118,BA$4&lt;='2025'!$M118), BA$4&lt;&gt;DATE(2025,7,4)), (SWITCH(weekday(BA$4), 1, 0, 2, if(ISBLANK('2025'!$P118), 0, 1), 3, if(ISBLANK('2025'!$Q118), 0, 1), 4, if(ISBLANK('2025'!$R118), 0, 1), 5, if(ISBLANK('2025'!$S118), 0, 1), 6, if(ISBLANK('2025'!$T118), 0, 1), 7, 0))), 1, "")</f>
        <v/>
      </c>
      <c r="BB120" s="1" t="str">
        <f>IF(AND(AND(AND(BB$4&gt;='2025'!$L118,BB$4&lt;='2025'!$M118), BB$4&lt;&gt;DATE(2025,7,4)), (SWITCH(weekday(BB$4), 1, 0, 2, if(ISBLANK('2025'!$P118), 0, 1), 3, if(ISBLANK('2025'!$Q118), 0, 1), 4, if(ISBLANK('2025'!$R118), 0, 1), 5, if(ISBLANK('2025'!$S118), 0, 1), 6, if(ISBLANK('2025'!$T118), 0, 1), 7, 0))), 1, "")</f>
        <v/>
      </c>
      <c r="BC120" s="1" t="str">
        <f>IF(AND(AND(AND(BC$4&gt;='2025'!$L118,BC$4&lt;='2025'!$M118), BC$4&lt;&gt;DATE(2025,7,4)), (SWITCH(weekday(BC$4), 1, 0, 2, if(ISBLANK('2025'!$P118), 0, 1), 3, if(ISBLANK('2025'!$Q118), 0, 1), 4, if(ISBLANK('2025'!$R118), 0, 1), 5, if(ISBLANK('2025'!$S118), 0, 1), 6, if(ISBLANK('2025'!$T118), 0, 1), 7, 0))), 1, "")</f>
        <v/>
      </c>
      <c r="BD120" s="1" t="str">
        <f>IF(AND(AND(AND(BD$4&gt;='2025'!$L118,BD$4&lt;='2025'!$M118), BD$4&lt;&gt;DATE(2025,7,4)), (SWITCH(weekday(BD$4), 1, 0, 2, if(ISBLANK('2025'!$P118), 0, 1), 3, if(ISBLANK('2025'!$Q118), 0, 1), 4, if(ISBLANK('2025'!$R118), 0, 1), 5, if(ISBLANK('2025'!$S118), 0, 1), 6, if(ISBLANK('2025'!$T118), 0, 1), 7, 0))), 1, "")</f>
        <v/>
      </c>
      <c r="BE120" s="1" t="str">
        <f>IF(AND(AND(AND(BE$4&gt;='2025'!$L118,BE$4&lt;='2025'!$M118), BE$4&lt;&gt;DATE(2025,7,4)), (SWITCH(weekday(BE$4), 1, 0, 2, if(ISBLANK('2025'!$P118), 0, 1), 3, if(ISBLANK('2025'!$Q118), 0, 1), 4, if(ISBLANK('2025'!$R118), 0, 1), 5, if(ISBLANK('2025'!$S118), 0, 1), 6, if(ISBLANK('2025'!$T118), 0, 1), 7, 0))), 1, "")</f>
        <v/>
      </c>
      <c r="BF120" s="1" t="str">
        <f>IF(AND(AND(AND(BF$4&gt;='2025'!$L118,BF$4&lt;='2025'!$M118), BF$4&lt;&gt;DATE(2025,7,4)), (SWITCH(weekday(BF$4), 1, 0, 2, if(ISBLANK('2025'!$P118), 0, 1), 3, if(ISBLANK('2025'!$Q118), 0, 1), 4, if(ISBLANK('2025'!$R118), 0, 1), 5, if(ISBLANK('2025'!$S118), 0, 1), 6, if(ISBLANK('2025'!$T118), 0, 1), 7, 0))), 1, "")</f>
        <v/>
      </c>
      <c r="BG120" s="1"/>
      <c r="BH120" s="1"/>
      <c r="BI120" s="1"/>
      <c r="BJ120" s="1"/>
      <c r="BK120" s="1"/>
      <c r="BL120" s="1"/>
    </row>
    <row r="121">
      <c r="A121" s="1">
        <f t="shared" si="3"/>
        <v>121</v>
      </c>
      <c r="B121" s="1" t="str">
        <f>'2025'!D85</f>
        <v>, </v>
      </c>
      <c r="C121" s="1" t="str">
        <f>'2025'!H85</f>
        <v/>
      </c>
      <c r="D121" s="1" t="str">
        <f>IF(AND(AND(AND(D$4&gt;='2025'!$L119,D$4&lt;='2025'!$M119), D$4&lt;&gt;DATE(2025,7,4)), (SWITCH(weekday(D$4), 1, 0, 2, if(ISBLANK('2025'!$P119), 0, 1), 3, if(ISBLANK('2025'!$Q119), 0, 1), 4, if(ISBLANK('2025'!$R119), 0, 1), 5, if(ISBLANK('2025'!$S119), 0, 1), 6, if(ISBLANK('2025'!$T119), 0, 1), 7, 0))), 1, "")</f>
        <v/>
      </c>
      <c r="E121" s="1" t="str">
        <f>IF(AND(AND(AND(E$4&gt;='2025'!$L119,E$4&lt;='2025'!$M119), E$4&lt;&gt;DATE(2025,7,4)), (SWITCH(weekday(E$4), 1, 0, 2, if(ISBLANK('2025'!$P119), 0, 1), 3, if(ISBLANK('2025'!$Q119), 0, 1), 4, if(ISBLANK('2025'!$R119), 0, 1), 5, if(ISBLANK('2025'!$S119), 0, 1), 6, if(ISBLANK('2025'!$T119), 0, 1), 7, 0))), 1, "")</f>
        <v/>
      </c>
      <c r="F121" s="1" t="str">
        <f>IF(AND(AND(AND(F$4&gt;='2025'!$L119,F$4&lt;='2025'!$M119), F$4&lt;&gt;DATE(2025,7,4)), (SWITCH(weekday(F$4), 1, 0, 2, if(ISBLANK('2025'!$P119), 0, 1), 3, if(ISBLANK('2025'!$Q119), 0, 1), 4, if(ISBLANK('2025'!$R119), 0, 1), 5, if(ISBLANK('2025'!$S119), 0, 1), 6, if(ISBLANK('2025'!$T119), 0, 1), 7, 0))), 1, "")</f>
        <v/>
      </c>
      <c r="G121" s="1" t="str">
        <f>IF(AND(AND(AND(G$4&gt;='2025'!$L119,G$4&lt;='2025'!$M119), G$4&lt;&gt;DATE(2025,7,4)), (SWITCH(weekday(G$4), 1, 0, 2, if(ISBLANK('2025'!$P119), 0, 1), 3, if(ISBLANK('2025'!$Q119), 0, 1), 4, if(ISBLANK('2025'!$R119), 0, 1), 5, if(ISBLANK('2025'!$S119), 0, 1), 6, if(ISBLANK('2025'!$T119), 0, 1), 7, 0))), 1, "")</f>
        <v/>
      </c>
      <c r="H121" s="1" t="str">
        <f>IF(AND(AND(AND(H$4&gt;='2025'!$L119,H$4&lt;='2025'!$M119), H$4&lt;&gt;DATE(2025,7,4)), (SWITCH(weekday(H$4), 1, 0, 2, if(ISBLANK('2025'!$P119), 0, 1), 3, if(ISBLANK('2025'!$Q119), 0, 1), 4, if(ISBLANK('2025'!$R119), 0, 1), 5, if(ISBLANK('2025'!$S119), 0, 1), 6, if(ISBLANK('2025'!$T119), 0, 1), 7, 0))), 1, "")</f>
        <v/>
      </c>
      <c r="I121" s="1" t="str">
        <f>IF(AND(AND(AND(I$4&gt;='2025'!$L119,I$4&lt;='2025'!$M119), I$4&lt;&gt;DATE(2025,7,4)), (SWITCH(weekday(I$4), 1, 0, 2, if(ISBLANK('2025'!$P119), 0, 1), 3, if(ISBLANK('2025'!$Q119), 0, 1), 4, if(ISBLANK('2025'!$R119), 0, 1), 5, if(ISBLANK('2025'!$S119), 0, 1), 6, if(ISBLANK('2025'!$T119), 0, 1), 7, 0))), 1, "")</f>
        <v/>
      </c>
      <c r="J121" s="1" t="str">
        <f>IF(AND(AND(AND(J$4&gt;='2025'!$L119,J$4&lt;='2025'!$M119), J$4&lt;&gt;DATE(2025,7,4)), (SWITCH(weekday(J$4), 1, 0, 2, if(ISBLANK('2025'!$P119), 0, 1), 3, if(ISBLANK('2025'!$Q119), 0, 1), 4, if(ISBLANK('2025'!$R119), 0, 1), 5, if(ISBLANK('2025'!$S119), 0, 1), 6, if(ISBLANK('2025'!$T119), 0, 1), 7, 0))), 1, "")</f>
        <v/>
      </c>
      <c r="K121" s="1" t="str">
        <f>IF(AND(AND(AND(K$4&gt;='2025'!$L119,K$4&lt;='2025'!$M119), K$4&lt;&gt;DATE(2025,7,4)), (SWITCH(weekday(K$4), 1, 0, 2, if(ISBLANK('2025'!$P119), 0, 1), 3, if(ISBLANK('2025'!$Q119), 0, 1), 4, if(ISBLANK('2025'!$R119), 0, 1), 5, if(ISBLANK('2025'!$S119), 0, 1), 6, if(ISBLANK('2025'!$T119), 0, 1), 7, 0))), 1, "")</f>
        <v/>
      </c>
      <c r="L121" s="1" t="str">
        <f>IF(AND(AND(AND(L$4&gt;='2025'!$L119,L$4&lt;='2025'!$M119), L$4&lt;&gt;DATE(2025,7,4)), (SWITCH(weekday(L$4), 1, 0, 2, if(ISBLANK('2025'!$P119), 0, 1), 3, if(ISBLANK('2025'!$Q119), 0, 1), 4, if(ISBLANK('2025'!$R119), 0, 1), 5, if(ISBLANK('2025'!$S119), 0, 1), 6, if(ISBLANK('2025'!$T119), 0, 1), 7, 0))), 1, "")</f>
        <v/>
      </c>
      <c r="M121" s="1" t="str">
        <f>IF(AND(AND(AND(M$4&gt;='2025'!$L119,M$4&lt;='2025'!$M119), M$4&lt;&gt;DATE(2025,7,4)), (SWITCH(weekday(M$4), 1, 0, 2, if(ISBLANK('2025'!$P119), 0, 1), 3, if(ISBLANK('2025'!$Q119), 0, 1), 4, if(ISBLANK('2025'!$R119), 0, 1), 5, if(ISBLANK('2025'!$S119), 0, 1), 6, if(ISBLANK('2025'!$T119), 0, 1), 7, 0))), 1, "")</f>
        <v/>
      </c>
      <c r="N121" s="1" t="str">
        <f>IF(AND(AND(AND(N$4&gt;='2025'!$L119,N$4&lt;='2025'!$M119), N$4&lt;&gt;DATE(2025,7,4)), (SWITCH(weekday(N$4), 1, 0, 2, if(ISBLANK('2025'!$P119), 0, 1), 3, if(ISBLANK('2025'!$Q119), 0, 1), 4, if(ISBLANK('2025'!$R119), 0, 1), 5, if(ISBLANK('2025'!$S119), 0, 1), 6, if(ISBLANK('2025'!$T119), 0, 1), 7, 0))), 1, "")</f>
        <v/>
      </c>
      <c r="O121" s="1" t="str">
        <f>IF(AND(AND(AND(O$4&gt;='2025'!$L119,O$4&lt;='2025'!$M119), O$4&lt;&gt;DATE(2025,7,4)), (SWITCH(weekday(O$4), 1, 0, 2, if(ISBLANK('2025'!$P119), 0, 1), 3, if(ISBLANK('2025'!$Q119), 0, 1), 4, if(ISBLANK('2025'!$R119), 0, 1), 5, if(ISBLANK('2025'!$S119), 0, 1), 6, if(ISBLANK('2025'!$T119), 0, 1), 7, 0))), 1, "")</f>
        <v/>
      </c>
      <c r="P121" s="1" t="str">
        <f>IF(AND(AND(AND(P$4&gt;='2025'!$L119,P$4&lt;='2025'!$M119), P$4&lt;&gt;DATE(2025,7,4)), (SWITCH(weekday(P$4), 1, 0, 2, if(ISBLANK('2025'!$P119), 0, 1), 3, if(ISBLANK('2025'!$Q119), 0, 1), 4, if(ISBLANK('2025'!$R119), 0, 1), 5, if(ISBLANK('2025'!$S119), 0, 1), 6, if(ISBLANK('2025'!$T119), 0, 1), 7, 0))), 1, "")</f>
        <v/>
      </c>
      <c r="Q121" s="1" t="str">
        <f>IF(AND(AND(AND(Q$4&gt;='2025'!$L119,Q$4&lt;='2025'!$M119), Q$4&lt;&gt;DATE(2025,7,4)), (SWITCH(weekday(Q$4), 1, 0, 2, if(ISBLANK('2025'!$P119), 0, 1), 3, if(ISBLANK('2025'!$Q119), 0, 1), 4, if(ISBLANK('2025'!$R119), 0, 1), 5, if(ISBLANK('2025'!$S119), 0, 1), 6, if(ISBLANK('2025'!$T119), 0, 1), 7, 0))), 1, "")</f>
        <v/>
      </c>
      <c r="R121" s="1" t="str">
        <f>IF(AND(AND(AND(R$4&gt;='2025'!$L119,R$4&lt;='2025'!$M119), R$4&lt;&gt;DATE(2025,7,4)), (SWITCH(weekday(R$4), 1, 0, 2, if(ISBLANK('2025'!$P119), 0, 1), 3, if(ISBLANK('2025'!$Q119), 0, 1), 4, if(ISBLANK('2025'!$R119), 0, 1), 5, if(ISBLANK('2025'!$S119), 0, 1), 6, if(ISBLANK('2025'!$T119), 0, 1), 7, 0))), 1, "")</f>
        <v/>
      </c>
      <c r="S121" s="1" t="str">
        <f>IF(AND(AND(AND(S$4&gt;='2025'!$L119,S$4&lt;='2025'!$M119), S$4&lt;&gt;DATE(2025,7,4)), (SWITCH(weekday(S$4), 1, 0, 2, if(ISBLANK('2025'!$P119), 0, 1), 3, if(ISBLANK('2025'!$Q119), 0, 1), 4, if(ISBLANK('2025'!$R119), 0, 1), 5, if(ISBLANK('2025'!$S119), 0, 1), 6, if(ISBLANK('2025'!$T119), 0, 1), 7, 0))), 1, "")</f>
        <v/>
      </c>
      <c r="T121" s="1" t="str">
        <f>IF(AND(AND(AND(T$4&gt;='2025'!$L119,T$4&lt;='2025'!$M119), T$4&lt;&gt;DATE(2025,7,4)), (SWITCH(weekday(T$4), 1, 0, 2, if(ISBLANK('2025'!$P119), 0, 1), 3, if(ISBLANK('2025'!$Q119), 0, 1), 4, if(ISBLANK('2025'!$R119), 0, 1), 5, if(ISBLANK('2025'!$S119), 0, 1), 6, if(ISBLANK('2025'!$T119), 0, 1), 7, 0))), 1, "")</f>
        <v/>
      </c>
      <c r="U121" s="1" t="str">
        <f>IF(AND(AND(AND(U$4&gt;='2025'!$L119,U$4&lt;='2025'!$M119), U$4&lt;&gt;DATE(2025,7,4)), (SWITCH(weekday(U$4), 1, 0, 2, if(ISBLANK('2025'!$P119), 0, 1), 3, if(ISBLANK('2025'!$Q119), 0, 1), 4, if(ISBLANK('2025'!$R119), 0, 1), 5, if(ISBLANK('2025'!$S119), 0, 1), 6, if(ISBLANK('2025'!$T119), 0, 1), 7, 0))), 1, "")</f>
        <v/>
      </c>
      <c r="V121" s="1" t="str">
        <f>IF(AND(AND(AND(V$4&gt;='2025'!$L119,V$4&lt;='2025'!$M119), V$4&lt;&gt;DATE(2025,7,4)), (SWITCH(weekday(V$4), 1, 0, 2, if(ISBLANK('2025'!$P119), 0, 1), 3, if(ISBLANK('2025'!$Q119), 0, 1), 4, if(ISBLANK('2025'!$R119), 0, 1), 5, if(ISBLANK('2025'!$S119), 0, 1), 6, if(ISBLANK('2025'!$T119), 0, 1), 7, 0))), 1, "")</f>
        <v/>
      </c>
      <c r="W121" s="1" t="str">
        <f>IF(AND(AND(AND(W$4&gt;='2025'!$L119,W$4&lt;='2025'!$M119), W$4&lt;&gt;DATE(2025,7,4)), (SWITCH(weekday(W$4), 1, 0, 2, if(ISBLANK('2025'!$P119), 0, 1), 3, if(ISBLANK('2025'!$Q119), 0, 1), 4, if(ISBLANK('2025'!$R119), 0, 1), 5, if(ISBLANK('2025'!$S119), 0, 1), 6, if(ISBLANK('2025'!$T119), 0, 1), 7, 0))), 1, "")</f>
        <v/>
      </c>
      <c r="X121" s="1" t="str">
        <f>IF(AND(AND(AND(X$4&gt;='2025'!$L119,X$4&lt;='2025'!$M119), X$4&lt;&gt;DATE(2025,7,4)), (SWITCH(weekday(X$4), 1, 0, 2, if(ISBLANK('2025'!$P119), 0, 1), 3, if(ISBLANK('2025'!$Q119), 0, 1), 4, if(ISBLANK('2025'!$R119), 0, 1), 5, if(ISBLANK('2025'!$S119), 0, 1), 6, if(ISBLANK('2025'!$T119), 0, 1), 7, 0))), 1, "")</f>
        <v/>
      </c>
      <c r="Y121" s="1" t="str">
        <f>IF(AND(AND(AND(Y$4&gt;='2025'!$L119,Y$4&lt;='2025'!$M119), Y$4&lt;&gt;DATE(2025,7,4)), (SWITCH(weekday(Y$4), 1, 0, 2, if(ISBLANK('2025'!$P119), 0, 1), 3, if(ISBLANK('2025'!$Q119), 0, 1), 4, if(ISBLANK('2025'!$R119), 0, 1), 5, if(ISBLANK('2025'!$S119), 0, 1), 6, if(ISBLANK('2025'!$T119), 0, 1), 7, 0))), 1, "")</f>
        <v/>
      </c>
      <c r="Z121" s="1" t="str">
        <f>IF(AND(AND(AND(Z$4&gt;='2025'!$L119,Z$4&lt;='2025'!$M119), Z$4&lt;&gt;DATE(2025,7,4)), (SWITCH(weekday(Z$4), 1, 0, 2, if(ISBLANK('2025'!$P119), 0, 1), 3, if(ISBLANK('2025'!$Q119), 0, 1), 4, if(ISBLANK('2025'!$R119), 0, 1), 5, if(ISBLANK('2025'!$S119), 0, 1), 6, if(ISBLANK('2025'!$T119), 0, 1), 7, 0))), 1, "")</f>
        <v/>
      </c>
      <c r="AA121" s="1" t="str">
        <f>IF(AND(AND(AND(AA$4&gt;='2025'!$L119,AA$4&lt;='2025'!$M119), AA$4&lt;&gt;DATE(2025,7,4)), (SWITCH(weekday(AA$4), 1, 0, 2, if(ISBLANK('2025'!$P119), 0, 1), 3, if(ISBLANK('2025'!$Q119), 0, 1), 4, if(ISBLANK('2025'!$R119), 0, 1), 5, if(ISBLANK('2025'!$S119), 0, 1), 6, if(ISBLANK('2025'!$T119), 0, 1), 7, 0))), 1, "")</f>
        <v/>
      </c>
      <c r="AB121" s="1" t="str">
        <f>IF(AND(AND(AND(AB$4&gt;='2025'!$L119,AB$4&lt;='2025'!$M119), AB$4&lt;&gt;DATE(2025,7,4)), (SWITCH(weekday(AB$4), 1, 0, 2, if(ISBLANK('2025'!$P119), 0, 1), 3, if(ISBLANK('2025'!$Q119), 0, 1), 4, if(ISBLANK('2025'!$R119), 0, 1), 5, if(ISBLANK('2025'!$S119), 0, 1), 6, if(ISBLANK('2025'!$T119), 0, 1), 7, 0))), 1, "")</f>
        <v/>
      </c>
      <c r="AC121" s="1" t="str">
        <f>IF(AND(AND(AND(AC$4&gt;='2025'!$L119,AC$4&lt;='2025'!$M119), AC$4&lt;&gt;DATE(2025,7,4)), (SWITCH(weekday(AC$4), 1, 0, 2, if(ISBLANK('2025'!$P119), 0, 1), 3, if(ISBLANK('2025'!$Q119), 0, 1), 4, if(ISBLANK('2025'!$R119), 0, 1), 5, if(ISBLANK('2025'!$S119), 0, 1), 6, if(ISBLANK('2025'!$T119), 0, 1), 7, 0))), 1, "")</f>
        <v/>
      </c>
      <c r="AD121" s="1" t="str">
        <f>IF(AND(AND(AND(AD$4&gt;='2025'!$L119,AD$4&lt;='2025'!$M119), AD$4&lt;&gt;DATE(2025,7,4)), (SWITCH(weekday(AD$4), 1, 0, 2, if(ISBLANK('2025'!$P119), 0, 1), 3, if(ISBLANK('2025'!$Q119), 0, 1), 4, if(ISBLANK('2025'!$R119), 0, 1), 5, if(ISBLANK('2025'!$S119), 0, 1), 6, if(ISBLANK('2025'!$T119), 0, 1), 7, 0))), 1, "")</f>
        <v/>
      </c>
      <c r="AE121" s="1" t="str">
        <f>IF(AND(AND(AND(AE$4&gt;='2025'!$L119,AE$4&lt;='2025'!$M119), AE$4&lt;&gt;DATE(2025,7,4)), (SWITCH(weekday(AE$4), 1, 0, 2, if(ISBLANK('2025'!$P119), 0, 1), 3, if(ISBLANK('2025'!$Q119), 0, 1), 4, if(ISBLANK('2025'!$R119), 0, 1), 5, if(ISBLANK('2025'!$S119), 0, 1), 6, if(ISBLANK('2025'!$T119), 0, 1), 7, 0))), 1, "")</f>
        <v/>
      </c>
      <c r="AF121" s="1" t="str">
        <f>IF(AND(AND(AND(AF$4&gt;='2025'!$L119,AF$4&lt;='2025'!$M119), AF$4&lt;&gt;DATE(2025,7,4)), (SWITCH(weekday(AF$4), 1, 0, 2, if(ISBLANK('2025'!$P119), 0, 1), 3, if(ISBLANK('2025'!$Q119), 0, 1), 4, if(ISBLANK('2025'!$R119), 0, 1), 5, if(ISBLANK('2025'!$S119), 0, 1), 6, if(ISBLANK('2025'!$T119), 0, 1), 7, 0))), 1, "")</f>
        <v/>
      </c>
      <c r="AG121" s="1" t="str">
        <f>IF(AND(AND(AND(AG$4&gt;='2025'!$L119,AG$4&lt;='2025'!$M119), AG$4&lt;&gt;DATE(2025,7,4)), (SWITCH(weekday(AG$4), 1, 0, 2, if(ISBLANK('2025'!$P119), 0, 1), 3, if(ISBLANK('2025'!$Q119), 0, 1), 4, if(ISBLANK('2025'!$R119), 0, 1), 5, if(ISBLANK('2025'!$S119), 0, 1), 6, if(ISBLANK('2025'!$T119), 0, 1), 7, 0))), 1, "")</f>
        <v/>
      </c>
      <c r="AH121" s="1" t="str">
        <f>IF(AND(AND(AND(AH$4&gt;='2025'!$L119,AH$4&lt;='2025'!$M119), AH$4&lt;&gt;DATE(2025,7,4)), (SWITCH(weekday(AH$4), 1, 0, 2, if(ISBLANK('2025'!$P119), 0, 1), 3, if(ISBLANK('2025'!$Q119), 0, 1), 4, if(ISBLANK('2025'!$R119), 0, 1), 5, if(ISBLANK('2025'!$S119), 0, 1), 6, if(ISBLANK('2025'!$T119), 0, 1), 7, 0))), 1, "")</f>
        <v/>
      </c>
      <c r="AI121" s="1" t="str">
        <f>IF(AND(AND(AND(AI$4&gt;='2025'!$L119,AI$4&lt;='2025'!$M119), AI$4&lt;&gt;DATE(2025,7,4)), (SWITCH(weekday(AI$4), 1, 0, 2, if(ISBLANK('2025'!$P119), 0, 1), 3, if(ISBLANK('2025'!$Q119), 0, 1), 4, if(ISBLANK('2025'!$R119), 0, 1), 5, if(ISBLANK('2025'!$S119), 0, 1), 6, if(ISBLANK('2025'!$T119), 0, 1), 7, 0))), 1, "")</f>
        <v/>
      </c>
      <c r="AJ121" s="1" t="str">
        <f>IF(AND(AND(AND(AJ$4&gt;='2025'!$L119,AJ$4&lt;='2025'!$M119), AJ$4&lt;&gt;DATE(2025,7,4)), (SWITCH(weekday(AJ$4), 1, 0, 2, if(ISBLANK('2025'!$P119), 0, 1), 3, if(ISBLANK('2025'!$Q119), 0, 1), 4, if(ISBLANK('2025'!$R119), 0, 1), 5, if(ISBLANK('2025'!$S119), 0, 1), 6, if(ISBLANK('2025'!$T119), 0, 1), 7, 0))), 1, "")</f>
        <v/>
      </c>
      <c r="AK121" s="1" t="str">
        <f>IF(AND(AND(AND(AK$4&gt;='2025'!$L119,AK$4&lt;='2025'!$M119), AK$4&lt;&gt;DATE(2025,7,4)), (SWITCH(weekday(AK$4), 1, 0, 2, if(ISBLANK('2025'!$P119), 0, 1), 3, if(ISBLANK('2025'!$Q119), 0, 1), 4, if(ISBLANK('2025'!$R119), 0, 1), 5, if(ISBLANK('2025'!$S119), 0, 1), 6, if(ISBLANK('2025'!$T119), 0, 1), 7, 0))), 1, "")</f>
        <v/>
      </c>
      <c r="AL121" s="1" t="str">
        <f>IF(AND(AND(AND(AL$4&gt;='2025'!$L119,AL$4&lt;='2025'!$M119), AL$4&lt;&gt;DATE(2025,7,4)), (SWITCH(weekday(AL$4), 1, 0, 2, if(ISBLANK('2025'!$P119), 0, 1), 3, if(ISBLANK('2025'!$Q119), 0, 1), 4, if(ISBLANK('2025'!$R119), 0, 1), 5, if(ISBLANK('2025'!$S119), 0, 1), 6, if(ISBLANK('2025'!$T119), 0, 1), 7, 0))), 1, "")</f>
        <v/>
      </c>
      <c r="AM121" s="1" t="str">
        <f>IF(AND(AND(AND(AM$4&gt;='2025'!$L119,AM$4&lt;='2025'!$M119), AM$4&lt;&gt;DATE(2025,7,4)), (SWITCH(weekday(AM$4), 1, 0, 2, if(ISBLANK('2025'!$P119), 0, 1), 3, if(ISBLANK('2025'!$Q119), 0, 1), 4, if(ISBLANK('2025'!$R119), 0, 1), 5, if(ISBLANK('2025'!$S119), 0, 1), 6, if(ISBLANK('2025'!$T119), 0, 1), 7, 0))), 1, "")</f>
        <v/>
      </c>
      <c r="AN121" s="1" t="str">
        <f>IF(AND(AND(AND(AN$4&gt;='2025'!$L119,AN$4&lt;='2025'!$M119), AN$4&lt;&gt;DATE(2025,7,4)), (SWITCH(weekday(AN$4), 1, 0, 2, if(ISBLANK('2025'!$P119), 0, 1), 3, if(ISBLANK('2025'!$Q119), 0, 1), 4, if(ISBLANK('2025'!$R119), 0, 1), 5, if(ISBLANK('2025'!$S119), 0, 1), 6, if(ISBLANK('2025'!$T119), 0, 1), 7, 0))), 1, "")</f>
        <v/>
      </c>
      <c r="AO121" s="1" t="str">
        <f>IF(AND(AND(AND(AO$4&gt;='2025'!$L119,AO$4&lt;='2025'!$M119), AO$4&lt;&gt;DATE(2025,7,4)), (SWITCH(weekday(AO$4), 1, 0, 2, if(ISBLANK('2025'!$P119), 0, 1), 3, if(ISBLANK('2025'!$Q119), 0, 1), 4, if(ISBLANK('2025'!$R119), 0, 1), 5, if(ISBLANK('2025'!$S119), 0, 1), 6, if(ISBLANK('2025'!$T119), 0, 1), 7, 0))), 1, "")</f>
        <v/>
      </c>
      <c r="AP121" s="1" t="str">
        <f>IF(AND(AND(AND(AP$4&gt;='2025'!$L119,AP$4&lt;='2025'!$M119), AP$4&lt;&gt;DATE(2025,7,4)), (SWITCH(weekday(AP$4), 1, 0, 2, if(ISBLANK('2025'!$P119), 0, 1), 3, if(ISBLANK('2025'!$Q119), 0, 1), 4, if(ISBLANK('2025'!$R119), 0, 1), 5, if(ISBLANK('2025'!$S119), 0, 1), 6, if(ISBLANK('2025'!$T119), 0, 1), 7, 0))), 1, "")</f>
        <v/>
      </c>
      <c r="AQ121" s="1" t="str">
        <f>IF(AND(AND(AND(AQ$4&gt;='2025'!$L119,AQ$4&lt;='2025'!$M119), AQ$4&lt;&gt;DATE(2025,7,4)), (SWITCH(weekday(AQ$4), 1, 0, 2, if(ISBLANK('2025'!$P119), 0, 1), 3, if(ISBLANK('2025'!$Q119), 0, 1), 4, if(ISBLANK('2025'!$R119), 0, 1), 5, if(ISBLANK('2025'!$S119), 0, 1), 6, if(ISBLANK('2025'!$T119), 0, 1), 7, 0))), 1, "")</f>
        <v/>
      </c>
      <c r="AR121" s="1" t="str">
        <f>IF(AND(AND(AND(AR$4&gt;='2025'!$L119,AR$4&lt;='2025'!$M119), AR$4&lt;&gt;DATE(2025,7,4)), (SWITCH(weekday(AR$4), 1, 0, 2, if(ISBLANK('2025'!$P119), 0, 1), 3, if(ISBLANK('2025'!$Q119), 0, 1), 4, if(ISBLANK('2025'!$R119), 0, 1), 5, if(ISBLANK('2025'!$S119), 0, 1), 6, if(ISBLANK('2025'!$T119), 0, 1), 7, 0))), 1, "")</f>
        <v/>
      </c>
      <c r="AS121" s="1" t="str">
        <f>IF(AND(AND(AND(AS$4&gt;='2025'!$L119,AS$4&lt;='2025'!$M119), AS$4&lt;&gt;DATE(2025,7,4)), (SWITCH(weekday(AS$4), 1, 0, 2, if(ISBLANK('2025'!$P119), 0, 1), 3, if(ISBLANK('2025'!$Q119), 0, 1), 4, if(ISBLANK('2025'!$R119), 0, 1), 5, if(ISBLANK('2025'!$S119), 0, 1), 6, if(ISBLANK('2025'!$T119), 0, 1), 7, 0))), 1, "")</f>
        <v/>
      </c>
      <c r="AT121" s="1" t="str">
        <f>IF(AND(AND(AND(AT$4&gt;='2025'!$L119,AT$4&lt;='2025'!$M119), AT$4&lt;&gt;DATE(2025,7,4)), (SWITCH(weekday(AT$4), 1, 0, 2, if(ISBLANK('2025'!$P119), 0, 1), 3, if(ISBLANK('2025'!$Q119), 0, 1), 4, if(ISBLANK('2025'!$R119), 0, 1), 5, if(ISBLANK('2025'!$S119), 0, 1), 6, if(ISBLANK('2025'!$T119), 0, 1), 7, 0))), 1, "")</f>
        <v/>
      </c>
      <c r="AU121" s="1" t="str">
        <f>IF(AND(AND(AND(AU$4&gt;='2025'!$L119,AU$4&lt;='2025'!$M119), AU$4&lt;&gt;DATE(2025,7,4)), (SWITCH(weekday(AU$4), 1, 0, 2, if(ISBLANK('2025'!$P119), 0, 1), 3, if(ISBLANK('2025'!$Q119), 0, 1), 4, if(ISBLANK('2025'!$R119), 0, 1), 5, if(ISBLANK('2025'!$S119), 0, 1), 6, if(ISBLANK('2025'!$T119), 0, 1), 7, 0))), 1, "")</f>
        <v/>
      </c>
      <c r="AV121" s="1" t="str">
        <f>IF(AND(AND(AND(AV$4&gt;='2025'!$L119,AV$4&lt;='2025'!$M119), AV$4&lt;&gt;DATE(2025,7,4)), (SWITCH(weekday(AV$4), 1, 0, 2, if(ISBLANK('2025'!$P119), 0, 1), 3, if(ISBLANK('2025'!$Q119), 0, 1), 4, if(ISBLANK('2025'!$R119), 0, 1), 5, if(ISBLANK('2025'!$S119), 0, 1), 6, if(ISBLANK('2025'!$T119), 0, 1), 7, 0))), 1, "")</f>
        <v/>
      </c>
      <c r="AW121" s="1" t="str">
        <f>IF(AND(AND(AND(AW$4&gt;='2025'!$L119,AW$4&lt;='2025'!$M119), AW$4&lt;&gt;DATE(2025,7,4)), (SWITCH(weekday(AW$4), 1, 0, 2, if(ISBLANK('2025'!$P119), 0, 1), 3, if(ISBLANK('2025'!$Q119), 0, 1), 4, if(ISBLANK('2025'!$R119), 0, 1), 5, if(ISBLANK('2025'!$S119), 0, 1), 6, if(ISBLANK('2025'!$T119), 0, 1), 7, 0))), 1, "")</f>
        <v/>
      </c>
      <c r="AX121" s="1" t="str">
        <f>IF(AND(AND(AND(AX$4&gt;='2025'!$L119,AX$4&lt;='2025'!$M119), AX$4&lt;&gt;DATE(2025,7,4)), (SWITCH(weekday(AX$4), 1, 0, 2, if(ISBLANK('2025'!$P119), 0, 1), 3, if(ISBLANK('2025'!$Q119), 0, 1), 4, if(ISBLANK('2025'!$R119), 0, 1), 5, if(ISBLANK('2025'!$S119), 0, 1), 6, if(ISBLANK('2025'!$T119), 0, 1), 7, 0))), 1, "")</f>
        <v/>
      </c>
      <c r="AY121" s="1" t="str">
        <f>IF(AND(AND(AND(AY$4&gt;='2025'!$L119,AY$4&lt;='2025'!$M119), AY$4&lt;&gt;DATE(2025,7,4)), (SWITCH(weekday(AY$4), 1, 0, 2, if(ISBLANK('2025'!$P119), 0, 1), 3, if(ISBLANK('2025'!$Q119), 0, 1), 4, if(ISBLANK('2025'!$R119), 0, 1), 5, if(ISBLANK('2025'!$S119), 0, 1), 6, if(ISBLANK('2025'!$T119), 0, 1), 7, 0))), 1, "")</f>
        <v/>
      </c>
      <c r="AZ121" s="1" t="str">
        <f>IF(AND(AND(AND(AZ$4&gt;='2025'!$L119,AZ$4&lt;='2025'!$M119), AZ$4&lt;&gt;DATE(2025,7,4)), (SWITCH(weekday(AZ$4), 1, 0, 2, if(ISBLANK('2025'!$P119), 0, 1), 3, if(ISBLANK('2025'!$Q119), 0, 1), 4, if(ISBLANK('2025'!$R119), 0, 1), 5, if(ISBLANK('2025'!$S119), 0, 1), 6, if(ISBLANK('2025'!$T119), 0, 1), 7, 0))), 1, "")</f>
        <v/>
      </c>
      <c r="BA121" s="1" t="str">
        <f>IF(AND(AND(AND(BA$4&gt;='2025'!$L119,BA$4&lt;='2025'!$M119), BA$4&lt;&gt;DATE(2025,7,4)), (SWITCH(weekday(BA$4), 1, 0, 2, if(ISBLANK('2025'!$P119), 0, 1), 3, if(ISBLANK('2025'!$Q119), 0, 1), 4, if(ISBLANK('2025'!$R119), 0, 1), 5, if(ISBLANK('2025'!$S119), 0, 1), 6, if(ISBLANK('2025'!$T119), 0, 1), 7, 0))), 1, "")</f>
        <v/>
      </c>
      <c r="BB121" s="1" t="str">
        <f>IF(AND(AND(AND(BB$4&gt;='2025'!$L119,BB$4&lt;='2025'!$M119), BB$4&lt;&gt;DATE(2025,7,4)), (SWITCH(weekday(BB$4), 1, 0, 2, if(ISBLANK('2025'!$P119), 0, 1), 3, if(ISBLANK('2025'!$Q119), 0, 1), 4, if(ISBLANK('2025'!$R119), 0, 1), 5, if(ISBLANK('2025'!$S119), 0, 1), 6, if(ISBLANK('2025'!$T119), 0, 1), 7, 0))), 1, "")</f>
        <v/>
      </c>
      <c r="BC121" s="1" t="str">
        <f>IF(AND(AND(AND(BC$4&gt;='2025'!$L119,BC$4&lt;='2025'!$M119), BC$4&lt;&gt;DATE(2025,7,4)), (SWITCH(weekday(BC$4), 1, 0, 2, if(ISBLANK('2025'!$P119), 0, 1), 3, if(ISBLANK('2025'!$Q119), 0, 1), 4, if(ISBLANK('2025'!$R119), 0, 1), 5, if(ISBLANK('2025'!$S119), 0, 1), 6, if(ISBLANK('2025'!$T119), 0, 1), 7, 0))), 1, "")</f>
        <v/>
      </c>
      <c r="BD121" s="1" t="str">
        <f>IF(AND(AND(AND(BD$4&gt;='2025'!$L119,BD$4&lt;='2025'!$M119), BD$4&lt;&gt;DATE(2025,7,4)), (SWITCH(weekday(BD$4), 1, 0, 2, if(ISBLANK('2025'!$P119), 0, 1), 3, if(ISBLANK('2025'!$Q119), 0, 1), 4, if(ISBLANK('2025'!$R119), 0, 1), 5, if(ISBLANK('2025'!$S119), 0, 1), 6, if(ISBLANK('2025'!$T119), 0, 1), 7, 0))), 1, "")</f>
        <v/>
      </c>
      <c r="BE121" s="1" t="str">
        <f>IF(AND(AND(AND(BE$4&gt;='2025'!$L119,BE$4&lt;='2025'!$M119), BE$4&lt;&gt;DATE(2025,7,4)), (SWITCH(weekday(BE$4), 1, 0, 2, if(ISBLANK('2025'!$P119), 0, 1), 3, if(ISBLANK('2025'!$Q119), 0, 1), 4, if(ISBLANK('2025'!$R119), 0, 1), 5, if(ISBLANK('2025'!$S119), 0, 1), 6, if(ISBLANK('2025'!$T119), 0, 1), 7, 0))), 1, "")</f>
        <v/>
      </c>
      <c r="BF121" s="1" t="str">
        <f>IF(AND(AND(AND(BF$4&gt;='2025'!$L119,BF$4&lt;='2025'!$M119), BF$4&lt;&gt;DATE(2025,7,4)), (SWITCH(weekday(BF$4), 1, 0, 2, if(ISBLANK('2025'!$P119), 0, 1), 3, if(ISBLANK('2025'!$Q119), 0, 1), 4, if(ISBLANK('2025'!$R119), 0, 1), 5, if(ISBLANK('2025'!$S119), 0, 1), 6, if(ISBLANK('2025'!$T119), 0, 1), 7, 0))), 1, "")</f>
        <v/>
      </c>
      <c r="BG121" s="1"/>
      <c r="BH121" s="1"/>
      <c r="BI121" s="1"/>
      <c r="BJ121" s="1"/>
      <c r="BK121" s="1"/>
      <c r="BL121" s="1"/>
    </row>
    <row r="122">
      <c r="A122" s="1">
        <f t="shared" si="3"/>
        <v>122</v>
      </c>
      <c r="B122" s="1" t="str">
        <f>'2025'!D86</f>
        <v>, </v>
      </c>
      <c r="C122" s="1" t="str">
        <f>'2025'!H86</f>
        <v/>
      </c>
      <c r="D122" s="1" t="str">
        <f>IF(AND(AND(AND(D$4&gt;='2025'!$L120,D$4&lt;='2025'!$M120), D$4&lt;&gt;DATE(2025,7,4)), (SWITCH(weekday(D$4), 1, 0, 2, if(ISBLANK('2025'!$P120), 0, 1), 3, if(ISBLANK('2025'!$Q120), 0, 1), 4, if(ISBLANK('2025'!$R120), 0, 1), 5, if(ISBLANK('2025'!$S120), 0, 1), 6, if(ISBLANK('2025'!$T120), 0, 1), 7, 0))), 1, "")</f>
        <v/>
      </c>
      <c r="E122" s="1" t="str">
        <f>IF(AND(AND(AND(E$4&gt;='2025'!$L120,E$4&lt;='2025'!$M120), E$4&lt;&gt;DATE(2025,7,4)), (SWITCH(weekday(E$4), 1, 0, 2, if(ISBLANK('2025'!$P120), 0, 1), 3, if(ISBLANK('2025'!$Q120), 0, 1), 4, if(ISBLANK('2025'!$R120), 0, 1), 5, if(ISBLANK('2025'!$S120), 0, 1), 6, if(ISBLANK('2025'!$T120), 0, 1), 7, 0))), 1, "")</f>
        <v/>
      </c>
      <c r="F122" s="1" t="str">
        <f>IF(AND(AND(AND(F$4&gt;='2025'!$L120,F$4&lt;='2025'!$M120), F$4&lt;&gt;DATE(2025,7,4)), (SWITCH(weekday(F$4), 1, 0, 2, if(ISBLANK('2025'!$P120), 0, 1), 3, if(ISBLANK('2025'!$Q120), 0, 1), 4, if(ISBLANK('2025'!$R120), 0, 1), 5, if(ISBLANK('2025'!$S120), 0, 1), 6, if(ISBLANK('2025'!$T120), 0, 1), 7, 0))), 1, "")</f>
        <v/>
      </c>
      <c r="G122" s="1" t="str">
        <f>IF(AND(AND(AND(G$4&gt;='2025'!$L120,G$4&lt;='2025'!$M120), G$4&lt;&gt;DATE(2025,7,4)), (SWITCH(weekday(G$4), 1, 0, 2, if(ISBLANK('2025'!$P120), 0, 1), 3, if(ISBLANK('2025'!$Q120), 0, 1), 4, if(ISBLANK('2025'!$R120), 0, 1), 5, if(ISBLANK('2025'!$S120), 0, 1), 6, if(ISBLANK('2025'!$T120), 0, 1), 7, 0))), 1, "")</f>
        <v/>
      </c>
      <c r="H122" s="1" t="str">
        <f>IF(AND(AND(AND(H$4&gt;='2025'!$L120,H$4&lt;='2025'!$M120), H$4&lt;&gt;DATE(2025,7,4)), (SWITCH(weekday(H$4), 1, 0, 2, if(ISBLANK('2025'!$P120), 0, 1), 3, if(ISBLANK('2025'!$Q120), 0, 1), 4, if(ISBLANK('2025'!$R120), 0, 1), 5, if(ISBLANK('2025'!$S120), 0, 1), 6, if(ISBLANK('2025'!$T120), 0, 1), 7, 0))), 1, "")</f>
        <v/>
      </c>
      <c r="I122" s="1" t="str">
        <f>IF(AND(AND(AND(I$4&gt;='2025'!$L120,I$4&lt;='2025'!$M120), I$4&lt;&gt;DATE(2025,7,4)), (SWITCH(weekday(I$4), 1, 0, 2, if(ISBLANK('2025'!$P120), 0, 1), 3, if(ISBLANK('2025'!$Q120), 0, 1), 4, if(ISBLANK('2025'!$R120), 0, 1), 5, if(ISBLANK('2025'!$S120), 0, 1), 6, if(ISBLANK('2025'!$T120), 0, 1), 7, 0))), 1, "")</f>
        <v/>
      </c>
      <c r="J122" s="1" t="str">
        <f>IF(AND(AND(AND(J$4&gt;='2025'!$L120,J$4&lt;='2025'!$M120), J$4&lt;&gt;DATE(2025,7,4)), (SWITCH(weekday(J$4), 1, 0, 2, if(ISBLANK('2025'!$P120), 0, 1), 3, if(ISBLANK('2025'!$Q120), 0, 1), 4, if(ISBLANK('2025'!$R120), 0, 1), 5, if(ISBLANK('2025'!$S120), 0, 1), 6, if(ISBLANK('2025'!$T120), 0, 1), 7, 0))), 1, "")</f>
        <v/>
      </c>
      <c r="K122" s="1" t="str">
        <f>IF(AND(AND(AND(K$4&gt;='2025'!$L120,K$4&lt;='2025'!$M120), K$4&lt;&gt;DATE(2025,7,4)), (SWITCH(weekday(K$4), 1, 0, 2, if(ISBLANK('2025'!$P120), 0, 1), 3, if(ISBLANK('2025'!$Q120), 0, 1), 4, if(ISBLANK('2025'!$R120), 0, 1), 5, if(ISBLANK('2025'!$S120), 0, 1), 6, if(ISBLANK('2025'!$T120), 0, 1), 7, 0))), 1, "")</f>
        <v/>
      </c>
      <c r="L122" s="1" t="str">
        <f>IF(AND(AND(AND(L$4&gt;='2025'!$L120,L$4&lt;='2025'!$M120), L$4&lt;&gt;DATE(2025,7,4)), (SWITCH(weekday(L$4), 1, 0, 2, if(ISBLANK('2025'!$P120), 0, 1), 3, if(ISBLANK('2025'!$Q120), 0, 1), 4, if(ISBLANK('2025'!$R120), 0, 1), 5, if(ISBLANK('2025'!$S120), 0, 1), 6, if(ISBLANK('2025'!$T120), 0, 1), 7, 0))), 1, "")</f>
        <v/>
      </c>
      <c r="M122" s="1" t="str">
        <f>IF(AND(AND(AND(M$4&gt;='2025'!$L120,M$4&lt;='2025'!$M120), M$4&lt;&gt;DATE(2025,7,4)), (SWITCH(weekday(M$4), 1, 0, 2, if(ISBLANK('2025'!$P120), 0, 1), 3, if(ISBLANK('2025'!$Q120), 0, 1), 4, if(ISBLANK('2025'!$R120), 0, 1), 5, if(ISBLANK('2025'!$S120), 0, 1), 6, if(ISBLANK('2025'!$T120), 0, 1), 7, 0))), 1, "")</f>
        <v/>
      </c>
      <c r="N122" s="1" t="str">
        <f>IF(AND(AND(AND(N$4&gt;='2025'!$L120,N$4&lt;='2025'!$M120), N$4&lt;&gt;DATE(2025,7,4)), (SWITCH(weekday(N$4), 1, 0, 2, if(ISBLANK('2025'!$P120), 0, 1), 3, if(ISBLANK('2025'!$Q120), 0, 1), 4, if(ISBLANK('2025'!$R120), 0, 1), 5, if(ISBLANK('2025'!$S120), 0, 1), 6, if(ISBLANK('2025'!$T120), 0, 1), 7, 0))), 1, "")</f>
        <v/>
      </c>
      <c r="O122" s="1" t="str">
        <f>IF(AND(AND(AND(O$4&gt;='2025'!$L120,O$4&lt;='2025'!$M120), O$4&lt;&gt;DATE(2025,7,4)), (SWITCH(weekday(O$4), 1, 0, 2, if(ISBLANK('2025'!$P120), 0, 1), 3, if(ISBLANK('2025'!$Q120), 0, 1), 4, if(ISBLANK('2025'!$R120), 0, 1), 5, if(ISBLANK('2025'!$S120), 0, 1), 6, if(ISBLANK('2025'!$T120), 0, 1), 7, 0))), 1, "")</f>
        <v/>
      </c>
      <c r="P122" s="1" t="str">
        <f>IF(AND(AND(AND(P$4&gt;='2025'!$L120,P$4&lt;='2025'!$M120), P$4&lt;&gt;DATE(2025,7,4)), (SWITCH(weekday(P$4), 1, 0, 2, if(ISBLANK('2025'!$P120), 0, 1), 3, if(ISBLANK('2025'!$Q120), 0, 1), 4, if(ISBLANK('2025'!$R120), 0, 1), 5, if(ISBLANK('2025'!$S120), 0, 1), 6, if(ISBLANK('2025'!$T120), 0, 1), 7, 0))), 1, "")</f>
        <v/>
      </c>
      <c r="Q122" s="1" t="str">
        <f>IF(AND(AND(AND(Q$4&gt;='2025'!$L120,Q$4&lt;='2025'!$M120), Q$4&lt;&gt;DATE(2025,7,4)), (SWITCH(weekday(Q$4), 1, 0, 2, if(ISBLANK('2025'!$P120), 0, 1), 3, if(ISBLANK('2025'!$Q120), 0, 1), 4, if(ISBLANK('2025'!$R120), 0, 1), 5, if(ISBLANK('2025'!$S120), 0, 1), 6, if(ISBLANK('2025'!$T120), 0, 1), 7, 0))), 1, "")</f>
        <v/>
      </c>
      <c r="R122" s="1" t="str">
        <f>IF(AND(AND(AND(R$4&gt;='2025'!$L120,R$4&lt;='2025'!$M120), R$4&lt;&gt;DATE(2025,7,4)), (SWITCH(weekday(R$4), 1, 0, 2, if(ISBLANK('2025'!$P120), 0, 1), 3, if(ISBLANK('2025'!$Q120), 0, 1), 4, if(ISBLANK('2025'!$R120), 0, 1), 5, if(ISBLANK('2025'!$S120), 0, 1), 6, if(ISBLANK('2025'!$T120), 0, 1), 7, 0))), 1, "")</f>
        <v/>
      </c>
      <c r="S122" s="1" t="str">
        <f>IF(AND(AND(AND(S$4&gt;='2025'!$L120,S$4&lt;='2025'!$M120), S$4&lt;&gt;DATE(2025,7,4)), (SWITCH(weekday(S$4), 1, 0, 2, if(ISBLANK('2025'!$P120), 0, 1), 3, if(ISBLANK('2025'!$Q120), 0, 1), 4, if(ISBLANK('2025'!$R120), 0, 1), 5, if(ISBLANK('2025'!$S120), 0, 1), 6, if(ISBLANK('2025'!$T120), 0, 1), 7, 0))), 1, "")</f>
        <v/>
      </c>
      <c r="T122" s="1" t="str">
        <f>IF(AND(AND(AND(T$4&gt;='2025'!$L120,T$4&lt;='2025'!$M120), T$4&lt;&gt;DATE(2025,7,4)), (SWITCH(weekday(T$4), 1, 0, 2, if(ISBLANK('2025'!$P120), 0, 1), 3, if(ISBLANK('2025'!$Q120), 0, 1), 4, if(ISBLANK('2025'!$R120), 0, 1), 5, if(ISBLANK('2025'!$S120), 0, 1), 6, if(ISBLANK('2025'!$T120), 0, 1), 7, 0))), 1, "")</f>
        <v/>
      </c>
      <c r="U122" s="1" t="str">
        <f>IF(AND(AND(AND(U$4&gt;='2025'!$L120,U$4&lt;='2025'!$M120), U$4&lt;&gt;DATE(2025,7,4)), (SWITCH(weekday(U$4), 1, 0, 2, if(ISBLANK('2025'!$P120), 0, 1), 3, if(ISBLANK('2025'!$Q120), 0, 1), 4, if(ISBLANK('2025'!$R120), 0, 1), 5, if(ISBLANK('2025'!$S120), 0, 1), 6, if(ISBLANK('2025'!$T120), 0, 1), 7, 0))), 1, "")</f>
        <v/>
      </c>
      <c r="V122" s="1" t="str">
        <f>IF(AND(AND(AND(V$4&gt;='2025'!$L120,V$4&lt;='2025'!$M120), V$4&lt;&gt;DATE(2025,7,4)), (SWITCH(weekday(V$4), 1, 0, 2, if(ISBLANK('2025'!$P120), 0, 1), 3, if(ISBLANK('2025'!$Q120), 0, 1), 4, if(ISBLANK('2025'!$R120), 0, 1), 5, if(ISBLANK('2025'!$S120), 0, 1), 6, if(ISBLANK('2025'!$T120), 0, 1), 7, 0))), 1, "")</f>
        <v/>
      </c>
      <c r="W122" s="1" t="str">
        <f>IF(AND(AND(AND(W$4&gt;='2025'!$L120,W$4&lt;='2025'!$M120), W$4&lt;&gt;DATE(2025,7,4)), (SWITCH(weekday(W$4), 1, 0, 2, if(ISBLANK('2025'!$P120), 0, 1), 3, if(ISBLANK('2025'!$Q120), 0, 1), 4, if(ISBLANK('2025'!$R120), 0, 1), 5, if(ISBLANK('2025'!$S120), 0, 1), 6, if(ISBLANK('2025'!$T120), 0, 1), 7, 0))), 1, "")</f>
        <v/>
      </c>
      <c r="X122" s="1" t="str">
        <f>IF(AND(AND(AND(X$4&gt;='2025'!$L120,X$4&lt;='2025'!$M120), X$4&lt;&gt;DATE(2025,7,4)), (SWITCH(weekday(X$4), 1, 0, 2, if(ISBLANK('2025'!$P120), 0, 1), 3, if(ISBLANK('2025'!$Q120), 0, 1), 4, if(ISBLANK('2025'!$R120), 0, 1), 5, if(ISBLANK('2025'!$S120), 0, 1), 6, if(ISBLANK('2025'!$T120), 0, 1), 7, 0))), 1, "")</f>
        <v/>
      </c>
      <c r="Y122" s="1" t="str">
        <f>IF(AND(AND(AND(Y$4&gt;='2025'!$L120,Y$4&lt;='2025'!$M120), Y$4&lt;&gt;DATE(2025,7,4)), (SWITCH(weekday(Y$4), 1, 0, 2, if(ISBLANK('2025'!$P120), 0, 1), 3, if(ISBLANK('2025'!$Q120), 0, 1), 4, if(ISBLANK('2025'!$R120), 0, 1), 5, if(ISBLANK('2025'!$S120), 0, 1), 6, if(ISBLANK('2025'!$T120), 0, 1), 7, 0))), 1, "")</f>
        <v/>
      </c>
      <c r="Z122" s="1" t="str">
        <f>IF(AND(AND(AND(Z$4&gt;='2025'!$L120,Z$4&lt;='2025'!$M120), Z$4&lt;&gt;DATE(2025,7,4)), (SWITCH(weekday(Z$4), 1, 0, 2, if(ISBLANK('2025'!$P120), 0, 1), 3, if(ISBLANK('2025'!$Q120), 0, 1), 4, if(ISBLANK('2025'!$R120), 0, 1), 5, if(ISBLANK('2025'!$S120), 0, 1), 6, if(ISBLANK('2025'!$T120), 0, 1), 7, 0))), 1, "")</f>
        <v/>
      </c>
      <c r="AA122" s="1" t="str">
        <f>IF(AND(AND(AND(AA$4&gt;='2025'!$L120,AA$4&lt;='2025'!$M120), AA$4&lt;&gt;DATE(2025,7,4)), (SWITCH(weekday(AA$4), 1, 0, 2, if(ISBLANK('2025'!$P120), 0, 1), 3, if(ISBLANK('2025'!$Q120), 0, 1), 4, if(ISBLANK('2025'!$R120), 0, 1), 5, if(ISBLANK('2025'!$S120), 0, 1), 6, if(ISBLANK('2025'!$T120), 0, 1), 7, 0))), 1, "")</f>
        <v/>
      </c>
      <c r="AB122" s="1" t="str">
        <f>IF(AND(AND(AND(AB$4&gt;='2025'!$L120,AB$4&lt;='2025'!$M120), AB$4&lt;&gt;DATE(2025,7,4)), (SWITCH(weekday(AB$4), 1, 0, 2, if(ISBLANK('2025'!$P120), 0, 1), 3, if(ISBLANK('2025'!$Q120), 0, 1), 4, if(ISBLANK('2025'!$R120), 0, 1), 5, if(ISBLANK('2025'!$S120), 0, 1), 6, if(ISBLANK('2025'!$T120), 0, 1), 7, 0))), 1, "")</f>
        <v/>
      </c>
      <c r="AC122" s="1" t="str">
        <f>IF(AND(AND(AND(AC$4&gt;='2025'!$L120,AC$4&lt;='2025'!$M120), AC$4&lt;&gt;DATE(2025,7,4)), (SWITCH(weekday(AC$4), 1, 0, 2, if(ISBLANK('2025'!$P120), 0, 1), 3, if(ISBLANK('2025'!$Q120), 0, 1), 4, if(ISBLANK('2025'!$R120), 0, 1), 5, if(ISBLANK('2025'!$S120), 0, 1), 6, if(ISBLANK('2025'!$T120), 0, 1), 7, 0))), 1, "")</f>
        <v/>
      </c>
      <c r="AD122" s="1" t="str">
        <f>IF(AND(AND(AND(AD$4&gt;='2025'!$L120,AD$4&lt;='2025'!$M120), AD$4&lt;&gt;DATE(2025,7,4)), (SWITCH(weekday(AD$4), 1, 0, 2, if(ISBLANK('2025'!$P120), 0, 1), 3, if(ISBLANK('2025'!$Q120), 0, 1), 4, if(ISBLANK('2025'!$R120), 0, 1), 5, if(ISBLANK('2025'!$S120), 0, 1), 6, if(ISBLANK('2025'!$T120), 0, 1), 7, 0))), 1, "")</f>
        <v/>
      </c>
      <c r="AE122" s="1" t="str">
        <f>IF(AND(AND(AND(AE$4&gt;='2025'!$L120,AE$4&lt;='2025'!$M120), AE$4&lt;&gt;DATE(2025,7,4)), (SWITCH(weekday(AE$4), 1, 0, 2, if(ISBLANK('2025'!$P120), 0, 1), 3, if(ISBLANK('2025'!$Q120), 0, 1), 4, if(ISBLANK('2025'!$R120), 0, 1), 5, if(ISBLANK('2025'!$S120), 0, 1), 6, if(ISBLANK('2025'!$T120), 0, 1), 7, 0))), 1, "")</f>
        <v/>
      </c>
      <c r="AF122" s="1" t="str">
        <f>IF(AND(AND(AND(AF$4&gt;='2025'!$L120,AF$4&lt;='2025'!$M120), AF$4&lt;&gt;DATE(2025,7,4)), (SWITCH(weekday(AF$4), 1, 0, 2, if(ISBLANK('2025'!$P120), 0, 1), 3, if(ISBLANK('2025'!$Q120), 0, 1), 4, if(ISBLANK('2025'!$R120), 0, 1), 5, if(ISBLANK('2025'!$S120), 0, 1), 6, if(ISBLANK('2025'!$T120), 0, 1), 7, 0))), 1, "")</f>
        <v/>
      </c>
      <c r="AG122" s="1" t="str">
        <f>IF(AND(AND(AND(AG$4&gt;='2025'!$L120,AG$4&lt;='2025'!$M120), AG$4&lt;&gt;DATE(2025,7,4)), (SWITCH(weekday(AG$4), 1, 0, 2, if(ISBLANK('2025'!$P120), 0, 1), 3, if(ISBLANK('2025'!$Q120), 0, 1), 4, if(ISBLANK('2025'!$R120), 0, 1), 5, if(ISBLANK('2025'!$S120), 0, 1), 6, if(ISBLANK('2025'!$T120), 0, 1), 7, 0))), 1, "")</f>
        <v/>
      </c>
      <c r="AH122" s="1" t="str">
        <f>IF(AND(AND(AND(AH$4&gt;='2025'!$L120,AH$4&lt;='2025'!$M120), AH$4&lt;&gt;DATE(2025,7,4)), (SWITCH(weekday(AH$4), 1, 0, 2, if(ISBLANK('2025'!$P120), 0, 1), 3, if(ISBLANK('2025'!$Q120), 0, 1), 4, if(ISBLANK('2025'!$R120), 0, 1), 5, if(ISBLANK('2025'!$S120), 0, 1), 6, if(ISBLANK('2025'!$T120), 0, 1), 7, 0))), 1, "")</f>
        <v/>
      </c>
      <c r="AI122" s="1" t="str">
        <f>IF(AND(AND(AND(AI$4&gt;='2025'!$L120,AI$4&lt;='2025'!$M120), AI$4&lt;&gt;DATE(2025,7,4)), (SWITCH(weekday(AI$4), 1, 0, 2, if(ISBLANK('2025'!$P120), 0, 1), 3, if(ISBLANK('2025'!$Q120), 0, 1), 4, if(ISBLANK('2025'!$R120), 0, 1), 5, if(ISBLANK('2025'!$S120), 0, 1), 6, if(ISBLANK('2025'!$T120), 0, 1), 7, 0))), 1, "")</f>
        <v/>
      </c>
      <c r="AJ122" s="1" t="str">
        <f>IF(AND(AND(AND(AJ$4&gt;='2025'!$L120,AJ$4&lt;='2025'!$M120), AJ$4&lt;&gt;DATE(2025,7,4)), (SWITCH(weekday(AJ$4), 1, 0, 2, if(ISBLANK('2025'!$P120), 0, 1), 3, if(ISBLANK('2025'!$Q120), 0, 1), 4, if(ISBLANK('2025'!$R120), 0, 1), 5, if(ISBLANK('2025'!$S120), 0, 1), 6, if(ISBLANK('2025'!$T120), 0, 1), 7, 0))), 1, "")</f>
        <v/>
      </c>
      <c r="AK122" s="1" t="str">
        <f>IF(AND(AND(AND(AK$4&gt;='2025'!$L120,AK$4&lt;='2025'!$M120), AK$4&lt;&gt;DATE(2025,7,4)), (SWITCH(weekday(AK$4), 1, 0, 2, if(ISBLANK('2025'!$P120), 0, 1), 3, if(ISBLANK('2025'!$Q120), 0, 1), 4, if(ISBLANK('2025'!$R120), 0, 1), 5, if(ISBLANK('2025'!$S120), 0, 1), 6, if(ISBLANK('2025'!$T120), 0, 1), 7, 0))), 1, "")</f>
        <v/>
      </c>
      <c r="AL122" s="1" t="str">
        <f>IF(AND(AND(AND(AL$4&gt;='2025'!$L120,AL$4&lt;='2025'!$M120), AL$4&lt;&gt;DATE(2025,7,4)), (SWITCH(weekday(AL$4), 1, 0, 2, if(ISBLANK('2025'!$P120), 0, 1), 3, if(ISBLANK('2025'!$Q120), 0, 1), 4, if(ISBLANK('2025'!$R120), 0, 1), 5, if(ISBLANK('2025'!$S120), 0, 1), 6, if(ISBLANK('2025'!$T120), 0, 1), 7, 0))), 1, "")</f>
        <v/>
      </c>
      <c r="AM122" s="1" t="str">
        <f>IF(AND(AND(AND(AM$4&gt;='2025'!$L120,AM$4&lt;='2025'!$M120), AM$4&lt;&gt;DATE(2025,7,4)), (SWITCH(weekday(AM$4), 1, 0, 2, if(ISBLANK('2025'!$P120), 0, 1), 3, if(ISBLANK('2025'!$Q120), 0, 1), 4, if(ISBLANK('2025'!$R120), 0, 1), 5, if(ISBLANK('2025'!$S120), 0, 1), 6, if(ISBLANK('2025'!$T120), 0, 1), 7, 0))), 1, "")</f>
        <v/>
      </c>
      <c r="AN122" s="1" t="str">
        <f>IF(AND(AND(AND(AN$4&gt;='2025'!$L120,AN$4&lt;='2025'!$M120), AN$4&lt;&gt;DATE(2025,7,4)), (SWITCH(weekday(AN$4), 1, 0, 2, if(ISBLANK('2025'!$P120), 0, 1), 3, if(ISBLANK('2025'!$Q120), 0, 1), 4, if(ISBLANK('2025'!$R120), 0, 1), 5, if(ISBLANK('2025'!$S120), 0, 1), 6, if(ISBLANK('2025'!$T120), 0, 1), 7, 0))), 1, "")</f>
        <v/>
      </c>
      <c r="AO122" s="1" t="str">
        <f>IF(AND(AND(AND(AO$4&gt;='2025'!$L120,AO$4&lt;='2025'!$M120), AO$4&lt;&gt;DATE(2025,7,4)), (SWITCH(weekday(AO$4), 1, 0, 2, if(ISBLANK('2025'!$P120), 0, 1), 3, if(ISBLANK('2025'!$Q120), 0, 1), 4, if(ISBLANK('2025'!$R120), 0, 1), 5, if(ISBLANK('2025'!$S120), 0, 1), 6, if(ISBLANK('2025'!$T120), 0, 1), 7, 0))), 1, "")</f>
        <v/>
      </c>
      <c r="AP122" s="1" t="str">
        <f>IF(AND(AND(AND(AP$4&gt;='2025'!$L120,AP$4&lt;='2025'!$M120), AP$4&lt;&gt;DATE(2025,7,4)), (SWITCH(weekday(AP$4), 1, 0, 2, if(ISBLANK('2025'!$P120), 0, 1), 3, if(ISBLANK('2025'!$Q120), 0, 1), 4, if(ISBLANK('2025'!$R120), 0, 1), 5, if(ISBLANK('2025'!$S120), 0, 1), 6, if(ISBLANK('2025'!$T120), 0, 1), 7, 0))), 1, "")</f>
        <v/>
      </c>
      <c r="AQ122" s="1" t="str">
        <f>IF(AND(AND(AND(AQ$4&gt;='2025'!$L120,AQ$4&lt;='2025'!$M120), AQ$4&lt;&gt;DATE(2025,7,4)), (SWITCH(weekday(AQ$4), 1, 0, 2, if(ISBLANK('2025'!$P120), 0, 1), 3, if(ISBLANK('2025'!$Q120), 0, 1), 4, if(ISBLANK('2025'!$R120), 0, 1), 5, if(ISBLANK('2025'!$S120), 0, 1), 6, if(ISBLANK('2025'!$T120), 0, 1), 7, 0))), 1, "")</f>
        <v/>
      </c>
      <c r="AR122" s="1" t="str">
        <f>IF(AND(AND(AND(AR$4&gt;='2025'!$L120,AR$4&lt;='2025'!$M120), AR$4&lt;&gt;DATE(2025,7,4)), (SWITCH(weekday(AR$4), 1, 0, 2, if(ISBLANK('2025'!$P120), 0, 1), 3, if(ISBLANK('2025'!$Q120), 0, 1), 4, if(ISBLANK('2025'!$R120), 0, 1), 5, if(ISBLANK('2025'!$S120), 0, 1), 6, if(ISBLANK('2025'!$T120), 0, 1), 7, 0))), 1, "")</f>
        <v/>
      </c>
      <c r="AS122" s="1" t="str">
        <f>IF(AND(AND(AND(AS$4&gt;='2025'!$L120,AS$4&lt;='2025'!$M120), AS$4&lt;&gt;DATE(2025,7,4)), (SWITCH(weekday(AS$4), 1, 0, 2, if(ISBLANK('2025'!$P120), 0, 1), 3, if(ISBLANK('2025'!$Q120), 0, 1), 4, if(ISBLANK('2025'!$R120), 0, 1), 5, if(ISBLANK('2025'!$S120), 0, 1), 6, if(ISBLANK('2025'!$T120), 0, 1), 7, 0))), 1, "")</f>
        <v/>
      </c>
      <c r="AT122" s="1" t="str">
        <f>IF(AND(AND(AND(AT$4&gt;='2025'!$L120,AT$4&lt;='2025'!$M120), AT$4&lt;&gt;DATE(2025,7,4)), (SWITCH(weekday(AT$4), 1, 0, 2, if(ISBLANK('2025'!$P120), 0, 1), 3, if(ISBLANK('2025'!$Q120), 0, 1), 4, if(ISBLANK('2025'!$R120), 0, 1), 5, if(ISBLANK('2025'!$S120), 0, 1), 6, if(ISBLANK('2025'!$T120), 0, 1), 7, 0))), 1, "")</f>
        <v/>
      </c>
      <c r="AU122" s="1" t="str">
        <f>IF(AND(AND(AND(AU$4&gt;='2025'!$L120,AU$4&lt;='2025'!$M120), AU$4&lt;&gt;DATE(2025,7,4)), (SWITCH(weekday(AU$4), 1, 0, 2, if(ISBLANK('2025'!$P120), 0, 1), 3, if(ISBLANK('2025'!$Q120), 0, 1), 4, if(ISBLANK('2025'!$R120), 0, 1), 5, if(ISBLANK('2025'!$S120), 0, 1), 6, if(ISBLANK('2025'!$T120), 0, 1), 7, 0))), 1, "")</f>
        <v/>
      </c>
      <c r="AV122" s="1" t="str">
        <f>IF(AND(AND(AND(AV$4&gt;='2025'!$L120,AV$4&lt;='2025'!$M120), AV$4&lt;&gt;DATE(2025,7,4)), (SWITCH(weekday(AV$4), 1, 0, 2, if(ISBLANK('2025'!$P120), 0, 1), 3, if(ISBLANK('2025'!$Q120), 0, 1), 4, if(ISBLANK('2025'!$R120), 0, 1), 5, if(ISBLANK('2025'!$S120), 0, 1), 6, if(ISBLANK('2025'!$T120), 0, 1), 7, 0))), 1, "")</f>
        <v/>
      </c>
      <c r="AW122" s="1" t="str">
        <f>IF(AND(AND(AND(AW$4&gt;='2025'!$L120,AW$4&lt;='2025'!$M120), AW$4&lt;&gt;DATE(2025,7,4)), (SWITCH(weekday(AW$4), 1, 0, 2, if(ISBLANK('2025'!$P120), 0, 1), 3, if(ISBLANK('2025'!$Q120), 0, 1), 4, if(ISBLANK('2025'!$R120), 0, 1), 5, if(ISBLANK('2025'!$S120), 0, 1), 6, if(ISBLANK('2025'!$T120), 0, 1), 7, 0))), 1, "")</f>
        <v/>
      </c>
      <c r="AX122" s="1" t="str">
        <f>IF(AND(AND(AND(AX$4&gt;='2025'!$L120,AX$4&lt;='2025'!$M120), AX$4&lt;&gt;DATE(2025,7,4)), (SWITCH(weekday(AX$4), 1, 0, 2, if(ISBLANK('2025'!$P120), 0, 1), 3, if(ISBLANK('2025'!$Q120), 0, 1), 4, if(ISBLANK('2025'!$R120), 0, 1), 5, if(ISBLANK('2025'!$S120), 0, 1), 6, if(ISBLANK('2025'!$T120), 0, 1), 7, 0))), 1, "")</f>
        <v/>
      </c>
      <c r="AY122" s="1" t="str">
        <f>IF(AND(AND(AND(AY$4&gt;='2025'!$L120,AY$4&lt;='2025'!$M120), AY$4&lt;&gt;DATE(2025,7,4)), (SWITCH(weekday(AY$4), 1, 0, 2, if(ISBLANK('2025'!$P120), 0, 1), 3, if(ISBLANK('2025'!$Q120), 0, 1), 4, if(ISBLANK('2025'!$R120), 0, 1), 5, if(ISBLANK('2025'!$S120), 0, 1), 6, if(ISBLANK('2025'!$T120), 0, 1), 7, 0))), 1, "")</f>
        <v/>
      </c>
      <c r="AZ122" s="1" t="str">
        <f>IF(AND(AND(AND(AZ$4&gt;='2025'!$L120,AZ$4&lt;='2025'!$M120), AZ$4&lt;&gt;DATE(2025,7,4)), (SWITCH(weekday(AZ$4), 1, 0, 2, if(ISBLANK('2025'!$P120), 0, 1), 3, if(ISBLANK('2025'!$Q120), 0, 1), 4, if(ISBLANK('2025'!$R120), 0, 1), 5, if(ISBLANK('2025'!$S120), 0, 1), 6, if(ISBLANK('2025'!$T120), 0, 1), 7, 0))), 1, "")</f>
        <v/>
      </c>
      <c r="BA122" s="1" t="str">
        <f>IF(AND(AND(AND(BA$4&gt;='2025'!$L120,BA$4&lt;='2025'!$M120), BA$4&lt;&gt;DATE(2025,7,4)), (SWITCH(weekday(BA$4), 1, 0, 2, if(ISBLANK('2025'!$P120), 0, 1), 3, if(ISBLANK('2025'!$Q120), 0, 1), 4, if(ISBLANK('2025'!$R120), 0, 1), 5, if(ISBLANK('2025'!$S120), 0, 1), 6, if(ISBLANK('2025'!$T120), 0, 1), 7, 0))), 1, "")</f>
        <v/>
      </c>
      <c r="BB122" s="1" t="str">
        <f>IF(AND(AND(AND(BB$4&gt;='2025'!$L120,BB$4&lt;='2025'!$M120), BB$4&lt;&gt;DATE(2025,7,4)), (SWITCH(weekday(BB$4), 1, 0, 2, if(ISBLANK('2025'!$P120), 0, 1), 3, if(ISBLANK('2025'!$Q120), 0, 1), 4, if(ISBLANK('2025'!$R120), 0, 1), 5, if(ISBLANK('2025'!$S120), 0, 1), 6, if(ISBLANK('2025'!$T120), 0, 1), 7, 0))), 1, "")</f>
        <v/>
      </c>
      <c r="BC122" s="1" t="str">
        <f>IF(AND(AND(AND(BC$4&gt;='2025'!$L120,BC$4&lt;='2025'!$M120), BC$4&lt;&gt;DATE(2025,7,4)), (SWITCH(weekday(BC$4), 1, 0, 2, if(ISBLANK('2025'!$P120), 0, 1), 3, if(ISBLANK('2025'!$Q120), 0, 1), 4, if(ISBLANK('2025'!$R120), 0, 1), 5, if(ISBLANK('2025'!$S120), 0, 1), 6, if(ISBLANK('2025'!$T120), 0, 1), 7, 0))), 1, "")</f>
        <v/>
      </c>
      <c r="BD122" s="1" t="str">
        <f>IF(AND(AND(AND(BD$4&gt;='2025'!$L120,BD$4&lt;='2025'!$M120), BD$4&lt;&gt;DATE(2025,7,4)), (SWITCH(weekday(BD$4), 1, 0, 2, if(ISBLANK('2025'!$P120), 0, 1), 3, if(ISBLANK('2025'!$Q120), 0, 1), 4, if(ISBLANK('2025'!$R120), 0, 1), 5, if(ISBLANK('2025'!$S120), 0, 1), 6, if(ISBLANK('2025'!$T120), 0, 1), 7, 0))), 1, "")</f>
        <v/>
      </c>
      <c r="BE122" s="1" t="str">
        <f>IF(AND(AND(AND(BE$4&gt;='2025'!$L120,BE$4&lt;='2025'!$M120), BE$4&lt;&gt;DATE(2025,7,4)), (SWITCH(weekday(BE$4), 1, 0, 2, if(ISBLANK('2025'!$P120), 0, 1), 3, if(ISBLANK('2025'!$Q120), 0, 1), 4, if(ISBLANK('2025'!$R120), 0, 1), 5, if(ISBLANK('2025'!$S120), 0, 1), 6, if(ISBLANK('2025'!$T120), 0, 1), 7, 0))), 1, "")</f>
        <v/>
      </c>
      <c r="BF122" s="1" t="str">
        <f>IF(AND(AND(AND(BF$4&gt;='2025'!$L120,BF$4&lt;='2025'!$M120), BF$4&lt;&gt;DATE(2025,7,4)), (SWITCH(weekday(BF$4), 1, 0, 2, if(ISBLANK('2025'!$P120), 0, 1), 3, if(ISBLANK('2025'!$Q120), 0, 1), 4, if(ISBLANK('2025'!$R120), 0, 1), 5, if(ISBLANK('2025'!$S120), 0, 1), 6, if(ISBLANK('2025'!$T120), 0, 1), 7, 0))), 1, "")</f>
        <v/>
      </c>
      <c r="BG122" s="1"/>
      <c r="BH122" s="1"/>
      <c r="BI122" s="1"/>
      <c r="BJ122" s="1"/>
      <c r="BK122" s="1"/>
      <c r="BL122" s="1"/>
    </row>
    <row r="123">
      <c r="A123" s="1">
        <f t="shared" si="3"/>
        <v>123</v>
      </c>
      <c r="B123" s="1" t="str">
        <f>'2025'!D87</f>
        <v>, </v>
      </c>
      <c r="C123" s="1" t="str">
        <f>'2025'!H87</f>
        <v/>
      </c>
      <c r="D123" s="1" t="str">
        <f>IF(AND(AND(AND(D$4&gt;='2025'!$L121,D$4&lt;='2025'!$M121), D$4&lt;&gt;DATE(2025,7,4)), (SWITCH(weekday(D$4), 1, 0, 2, if(ISBLANK('2025'!$P121), 0, 1), 3, if(ISBLANK('2025'!$Q121), 0, 1), 4, if(ISBLANK('2025'!$R121), 0, 1), 5, if(ISBLANK('2025'!$S121), 0, 1), 6, if(ISBLANK('2025'!$T121), 0, 1), 7, 0))), 1, "")</f>
        <v/>
      </c>
      <c r="E123" s="1" t="str">
        <f>IF(AND(AND(AND(E$4&gt;='2025'!$L121,E$4&lt;='2025'!$M121), E$4&lt;&gt;DATE(2025,7,4)), (SWITCH(weekday(E$4), 1, 0, 2, if(ISBLANK('2025'!$P121), 0, 1), 3, if(ISBLANK('2025'!$Q121), 0, 1), 4, if(ISBLANK('2025'!$R121), 0, 1), 5, if(ISBLANK('2025'!$S121), 0, 1), 6, if(ISBLANK('2025'!$T121), 0, 1), 7, 0))), 1, "")</f>
        <v/>
      </c>
      <c r="F123" s="1" t="str">
        <f>IF(AND(AND(AND(F$4&gt;='2025'!$L121,F$4&lt;='2025'!$M121), F$4&lt;&gt;DATE(2025,7,4)), (SWITCH(weekday(F$4), 1, 0, 2, if(ISBLANK('2025'!$P121), 0, 1), 3, if(ISBLANK('2025'!$Q121), 0, 1), 4, if(ISBLANK('2025'!$R121), 0, 1), 5, if(ISBLANK('2025'!$S121), 0, 1), 6, if(ISBLANK('2025'!$T121), 0, 1), 7, 0))), 1, "")</f>
        <v/>
      </c>
      <c r="G123" s="1" t="str">
        <f>IF(AND(AND(AND(G$4&gt;='2025'!$L121,G$4&lt;='2025'!$M121), G$4&lt;&gt;DATE(2025,7,4)), (SWITCH(weekday(G$4), 1, 0, 2, if(ISBLANK('2025'!$P121), 0, 1), 3, if(ISBLANK('2025'!$Q121), 0, 1), 4, if(ISBLANK('2025'!$R121), 0, 1), 5, if(ISBLANK('2025'!$S121), 0, 1), 6, if(ISBLANK('2025'!$T121), 0, 1), 7, 0))), 1, "")</f>
        <v/>
      </c>
      <c r="H123" s="1" t="str">
        <f>IF(AND(AND(AND(H$4&gt;='2025'!$L121,H$4&lt;='2025'!$M121), H$4&lt;&gt;DATE(2025,7,4)), (SWITCH(weekday(H$4), 1, 0, 2, if(ISBLANK('2025'!$P121), 0, 1), 3, if(ISBLANK('2025'!$Q121), 0, 1), 4, if(ISBLANK('2025'!$R121), 0, 1), 5, if(ISBLANK('2025'!$S121), 0, 1), 6, if(ISBLANK('2025'!$T121), 0, 1), 7, 0))), 1, "")</f>
        <v/>
      </c>
      <c r="I123" s="1" t="str">
        <f>IF(AND(AND(AND(I$4&gt;='2025'!$L121,I$4&lt;='2025'!$M121), I$4&lt;&gt;DATE(2025,7,4)), (SWITCH(weekday(I$4), 1, 0, 2, if(ISBLANK('2025'!$P121), 0, 1), 3, if(ISBLANK('2025'!$Q121), 0, 1), 4, if(ISBLANK('2025'!$R121), 0, 1), 5, if(ISBLANK('2025'!$S121), 0, 1), 6, if(ISBLANK('2025'!$T121), 0, 1), 7, 0))), 1, "")</f>
        <v/>
      </c>
      <c r="J123" s="1" t="str">
        <f>IF(AND(AND(AND(J$4&gt;='2025'!$L121,J$4&lt;='2025'!$M121), J$4&lt;&gt;DATE(2025,7,4)), (SWITCH(weekday(J$4), 1, 0, 2, if(ISBLANK('2025'!$P121), 0, 1), 3, if(ISBLANK('2025'!$Q121), 0, 1), 4, if(ISBLANK('2025'!$R121), 0, 1), 5, if(ISBLANK('2025'!$S121), 0, 1), 6, if(ISBLANK('2025'!$T121), 0, 1), 7, 0))), 1, "")</f>
        <v/>
      </c>
      <c r="K123" s="1" t="str">
        <f>IF(AND(AND(AND(K$4&gt;='2025'!$L121,K$4&lt;='2025'!$M121), K$4&lt;&gt;DATE(2025,7,4)), (SWITCH(weekday(K$4), 1, 0, 2, if(ISBLANK('2025'!$P121), 0, 1), 3, if(ISBLANK('2025'!$Q121), 0, 1), 4, if(ISBLANK('2025'!$R121), 0, 1), 5, if(ISBLANK('2025'!$S121), 0, 1), 6, if(ISBLANK('2025'!$T121), 0, 1), 7, 0))), 1, "")</f>
        <v/>
      </c>
      <c r="L123" s="1" t="str">
        <f>IF(AND(AND(AND(L$4&gt;='2025'!$L121,L$4&lt;='2025'!$M121), L$4&lt;&gt;DATE(2025,7,4)), (SWITCH(weekday(L$4), 1, 0, 2, if(ISBLANK('2025'!$P121), 0, 1), 3, if(ISBLANK('2025'!$Q121), 0, 1), 4, if(ISBLANK('2025'!$R121), 0, 1), 5, if(ISBLANK('2025'!$S121), 0, 1), 6, if(ISBLANK('2025'!$T121), 0, 1), 7, 0))), 1, "")</f>
        <v/>
      </c>
      <c r="M123" s="1" t="str">
        <f>IF(AND(AND(AND(M$4&gt;='2025'!$L121,M$4&lt;='2025'!$M121), M$4&lt;&gt;DATE(2025,7,4)), (SWITCH(weekday(M$4), 1, 0, 2, if(ISBLANK('2025'!$P121), 0, 1), 3, if(ISBLANK('2025'!$Q121), 0, 1), 4, if(ISBLANK('2025'!$R121), 0, 1), 5, if(ISBLANK('2025'!$S121), 0, 1), 6, if(ISBLANK('2025'!$T121), 0, 1), 7, 0))), 1, "")</f>
        <v/>
      </c>
      <c r="N123" s="1" t="str">
        <f>IF(AND(AND(AND(N$4&gt;='2025'!$L121,N$4&lt;='2025'!$M121), N$4&lt;&gt;DATE(2025,7,4)), (SWITCH(weekday(N$4), 1, 0, 2, if(ISBLANK('2025'!$P121), 0, 1), 3, if(ISBLANK('2025'!$Q121), 0, 1), 4, if(ISBLANK('2025'!$R121), 0, 1), 5, if(ISBLANK('2025'!$S121), 0, 1), 6, if(ISBLANK('2025'!$T121), 0, 1), 7, 0))), 1, "")</f>
        <v/>
      </c>
      <c r="O123" s="1" t="str">
        <f>IF(AND(AND(AND(O$4&gt;='2025'!$L121,O$4&lt;='2025'!$M121), O$4&lt;&gt;DATE(2025,7,4)), (SWITCH(weekday(O$4), 1, 0, 2, if(ISBLANK('2025'!$P121), 0, 1), 3, if(ISBLANK('2025'!$Q121), 0, 1), 4, if(ISBLANK('2025'!$R121), 0, 1), 5, if(ISBLANK('2025'!$S121), 0, 1), 6, if(ISBLANK('2025'!$T121), 0, 1), 7, 0))), 1, "")</f>
        <v/>
      </c>
      <c r="P123" s="1" t="str">
        <f>IF(AND(AND(AND(P$4&gt;='2025'!$L121,P$4&lt;='2025'!$M121), P$4&lt;&gt;DATE(2025,7,4)), (SWITCH(weekday(P$4), 1, 0, 2, if(ISBLANK('2025'!$P121), 0, 1), 3, if(ISBLANK('2025'!$Q121), 0, 1), 4, if(ISBLANK('2025'!$R121), 0, 1), 5, if(ISBLANK('2025'!$S121), 0, 1), 6, if(ISBLANK('2025'!$T121), 0, 1), 7, 0))), 1, "")</f>
        <v/>
      </c>
      <c r="Q123" s="1" t="str">
        <f>IF(AND(AND(AND(Q$4&gt;='2025'!$L121,Q$4&lt;='2025'!$M121), Q$4&lt;&gt;DATE(2025,7,4)), (SWITCH(weekday(Q$4), 1, 0, 2, if(ISBLANK('2025'!$P121), 0, 1), 3, if(ISBLANK('2025'!$Q121), 0, 1), 4, if(ISBLANK('2025'!$R121), 0, 1), 5, if(ISBLANK('2025'!$S121), 0, 1), 6, if(ISBLANK('2025'!$T121), 0, 1), 7, 0))), 1, "")</f>
        <v/>
      </c>
      <c r="R123" s="1" t="str">
        <f>IF(AND(AND(AND(R$4&gt;='2025'!$L121,R$4&lt;='2025'!$M121), R$4&lt;&gt;DATE(2025,7,4)), (SWITCH(weekday(R$4), 1, 0, 2, if(ISBLANK('2025'!$P121), 0, 1), 3, if(ISBLANK('2025'!$Q121), 0, 1), 4, if(ISBLANK('2025'!$R121), 0, 1), 5, if(ISBLANK('2025'!$S121), 0, 1), 6, if(ISBLANK('2025'!$T121), 0, 1), 7, 0))), 1, "")</f>
        <v/>
      </c>
      <c r="S123" s="1" t="str">
        <f>IF(AND(AND(AND(S$4&gt;='2025'!$L121,S$4&lt;='2025'!$M121), S$4&lt;&gt;DATE(2025,7,4)), (SWITCH(weekday(S$4), 1, 0, 2, if(ISBLANK('2025'!$P121), 0, 1), 3, if(ISBLANK('2025'!$Q121), 0, 1), 4, if(ISBLANK('2025'!$R121), 0, 1), 5, if(ISBLANK('2025'!$S121), 0, 1), 6, if(ISBLANK('2025'!$T121), 0, 1), 7, 0))), 1, "")</f>
        <v/>
      </c>
      <c r="T123" s="1" t="str">
        <f>IF(AND(AND(AND(T$4&gt;='2025'!$L121,T$4&lt;='2025'!$M121), T$4&lt;&gt;DATE(2025,7,4)), (SWITCH(weekday(T$4), 1, 0, 2, if(ISBLANK('2025'!$P121), 0, 1), 3, if(ISBLANK('2025'!$Q121), 0, 1), 4, if(ISBLANK('2025'!$R121), 0, 1), 5, if(ISBLANK('2025'!$S121), 0, 1), 6, if(ISBLANK('2025'!$T121), 0, 1), 7, 0))), 1, "")</f>
        <v/>
      </c>
      <c r="U123" s="1" t="str">
        <f>IF(AND(AND(AND(U$4&gt;='2025'!$L121,U$4&lt;='2025'!$M121), U$4&lt;&gt;DATE(2025,7,4)), (SWITCH(weekday(U$4), 1, 0, 2, if(ISBLANK('2025'!$P121), 0, 1), 3, if(ISBLANK('2025'!$Q121), 0, 1), 4, if(ISBLANK('2025'!$R121), 0, 1), 5, if(ISBLANK('2025'!$S121), 0, 1), 6, if(ISBLANK('2025'!$T121), 0, 1), 7, 0))), 1, "")</f>
        <v/>
      </c>
      <c r="V123" s="1" t="str">
        <f>IF(AND(AND(AND(V$4&gt;='2025'!$L121,V$4&lt;='2025'!$M121), V$4&lt;&gt;DATE(2025,7,4)), (SWITCH(weekday(V$4), 1, 0, 2, if(ISBLANK('2025'!$P121), 0, 1), 3, if(ISBLANK('2025'!$Q121), 0, 1), 4, if(ISBLANK('2025'!$R121), 0, 1), 5, if(ISBLANK('2025'!$S121), 0, 1), 6, if(ISBLANK('2025'!$T121), 0, 1), 7, 0))), 1, "")</f>
        <v/>
      </c>
      <c r="W123" s="1" t="str">
        <f>IF(AND(AND(AND(W$4&gt;='2025'!$L121,W$4&lt;='2025'!$M121), W$4&lt;&gt;DATE(2025,7,4)), (SWITCH(weekday(W$4), 1, 0, 2, if(ISBLANK('2025'!$P121), 0, 1), 3, if(ISBLANK('2025'!$Q121), 0, 1), 4, if(ISBLANK('2025'!$R121), 0, 1), 5, if(ISBLANK('2025'!$S121), 0, 1), 6, if(ISBLANK('2025'!$T121), 0, 1), 7, 0))), 1, "")</f>
        <v/>
      </c>
      <c r="X123" s="1" t="str">
        <f>IF(AND(AND(AND(X$4&gt;='2025'!$L121,X$4&lt;='2025'!$M121), X$4&lt;&gt;DATE(2025,7,4)), (SWITCH(weekday(X$4), 1, 0, 2, if(ISBLANK('2025'!$P121), 0, 1), 3, if(ISBLANK('2025'!$Q121), 0, 1), 4, if(ISBLANK('2025'!$R121), 0, 1), 5, if(ISBLANK('2025'!$S121), 0, 1), 6, if(ISBLANK('2025'!$T121), 0, 1), 7, 0))), 1, "")</f>
        <v/>
      </c>
      <c r="Y123" s="1" t="str">
        <f>IF(AND(AND(AND(Y$4&gt;='2025'!$L121,Y$4&lt;='2025'!$M121), Y$4&lt;&gt;DATE(2025,7,4)), (SWITCH(weekday(Y$4), 1, 0, 2, if(ISBLANK('2025'!$P121), 0, 1), 3, if(ISBLANK('2025'!$Q121), 0, 1), 4, if(ISBLANK('2025'!$R121), 0, 1), 5, if(ISBLANK('2025'!$S121), 0, 1), 6, if(ISBLANK('2025'!$T121), 0, 1), 7, 0))), 1, "")</f>
        <v/>
      </c>
      <c r="Z123" s="1" t="str">
        <f>IF(AND(AND(AND(Z$4&gt;='2025'!$L121,Z$4&lt;='2025'!$M121), Z$4&lt;&gt;DATE(2025,7,4)), (SWITCH(weekday(Z$4), 1, 0, 2, if(ISBLANK('2025'!$P121), 0, 1), 3, if(ISBLANK('2025'!$Q121), 0, 1), 4, if(ISBLANK('2025'!$R121), 0, 1), 5, if(ISBLANK('2025'!$S121), 0, 1), 6, if(ISBLANK('2025'!$T121), 0, 1), 7, 0))), 1, "")</f>
        <v/>
      </c>
      <c r="AA123" s="1" t="str">
        <f>IF(AND(AND(AND(AA$4&gt;='2025'!$L121,AA$4&lt;='2025'!$M121), AA$4&lt;&gt;DATE(2025,7,4)), (SWITCH(weekday(AA$4), 1, 0, 2, if(ISBLANK('2025'!$P121), 0, 1), 3, if(ISBLANK('2025'!$Q121), 0, 1), 4, if(ISBLANK('2025'!$R121), 0, 1), 5, if(ISBLANK('2025'!$S121), 0, 1), 6, if(ISBLANK('2025'!$T121), 0, 1), 7, 0))), 1, "")</f>
        <v/>
      </c>
      <c r="AB123" s="1" t="str">
        <f>IF(AND(AND(AND(AB$4&gt;='2025'!$L121,AB$4&lt;='2025'!$M121), AB$4&lt;&gt;DATE(2025,7,4)), (SWITCH(weekday(AB$4), 1, 0, 2, if(ISBLANK('2025'!$P121), 0, 1), 3, if(ISBLANK('2025'!$Q121), 0, 1), 4, if(ISBLANK('2025'!$R121), 0, 1), 5, if(ISBLANK('2025'!$S121), 0, 1), 6, if(ISBLANK('2025'!$T121), 0, 1), 7, 0))), 1, "")</f>
        <v/>
      </c>
      <c r="AC123" s="1" t="str">
        <f>IF(AND(AND(AND(AC$4&gt;='2025'!$L121,AC$4&lt;='2025'!$M121), AC$4&lt;&gt;DATE(2025,7,4)), (SWITCH(weekday(AC$4), 1, 0, 2, if(ISBLANK('2025'!$P121), 0, 1), 3, if(ISBLANK('2025'!$Q121), 0, 1), 4, if(ISBLANK('2025'!$R121), 0, 1), 5, if(ISBLANK('2025'!$S121), 0, 1), 6, if(ISBLANK('2025'!$T121), 0, 1), 7, 0))), 1, "")</f>
        <v/>
      </c>
      <c r="AD123" s="1" t="str">
        <f>IF(AND(AND(AND(AD$4&gt;='2025'!$L121,AD$4&lt;='2025'!$M121), AD$4&lt;&gt;DATE(2025,7,4)), (SWITCH(weekday(AD$4), 1, 0, 2, if(ISBLANK('2025'!$P121), 0, 1), 3, if(ISBLANK('2025'!$Q121), 0, 1), 4, if(ISBLANK('2025'!$R121), 0, 1), 5, if(ISBLANK('2025'!$S121), 0, 1), 6, if(ISBLANK('2025'!$T121), 0, 1), 7, 0))), 1, "")</f>
        <v/>
      </c>
      <c r="AE123" s="1" t="str">
        <f>IF(AND(AND(AND(AE$4&gt;='2025'!$L121,AE$4&lt;='2025'!$M121), AE$4&lt;&gt;DATE(2025,7,4)), (SWITCH(weekday(AE$4), 1, 0, 2, if(ISBLANK('2025'!$P121), 0, 1), 3, if(ISBLANK('2025'!$Q121), 0, 1), 4, if(ISBLANK('2025'!$R121), 0, 1), 5, if(ISBLANK('2025'!$S121), 0, 1), 6, if(ISBLANK('2025'!$T121), 0, 1), 7, 0))), 1, "")</f>
        <v/>
      </c>
      <c r="AF123" s="1" t="str">
        <f>IF(AND(AND(AND(AF$4&gt;='2025'!$L121,AF$4&lt;='2025'!$M121), AF$4&lt;&gt;DATE(2025,7,4)), (SWITCH(weekday(AF$4), 1, 0, 2, if(ISBLANK('2025'!$P121), 0, 1), 3, if(ISBLANK('2025'!$Q121), 0, 1), 4, if(ISBLANK('2025'!$R121), 0, 1), 5, if(ISBLANK('2025'!$S121), 0, 1), 6, if(ISBLANK('2025'!$T121), 0, 1), 7, 0))), 1, "")</f>
        <v/>
      </c>
      <c r="AG123" s="1" t="str">
        <f>IF(AND(AND(AND(AG$4&gt;='2025'!$L121,AG$4&lt;='2025'!$M121), AG$4&lt;&gt;DATE(2025,7,4)), (SWITCH(weekday(AG$4), 1, 0, 2, if(ISBLANK('2025'!$P121), 0, 1), 3, if(ISBLANK('2025'!$Q121), 0, 1), 4, if(ISBLANK('2025'!$R121), 0, 1), 5, if(ISBLANK('2025'!$S121), 0, 1), 6, if(ISBLANK('2025'!$T121), 0, 1), 7, 0))), 1, "")</f>
        <v/>
      </c>
      <c r="AH123" s="1" t="str">
        <f>IF(AND(AND(AND(AH$4&gt;='2025'!$L121,AH$4&lt;='2025'!$M121), AH$4&lt;&gt;DATE(2025,7,4)), (SWITCH(weekday(AH$4), 1, 0, 2, if(ISBLANK('2025'!$P121), 0, 1), 3, if(ISBLANK('2025'!$Q121), 0, 1), 4, if(ISBLANK('2025'!$R121), 0, 1), 5, if(ISBLANK('2025'!$S121), 0, 1), 6, if(ISBLANK('2025'!$T121), 0, 1), 7, 0))), 1, "")</f>
        <v/>
      </c>
      <c r="AI123" s="1" t="str">
        <f>IF(AND(AND(AND(AI$4&gt;='2025'!$L121,AI$4&lt;='2025'!$M121), AI$4&lt;&gt;DATE(2025,7,4)), (SWITCH(weekday(AI$4), 1, 0, 2, if(ISBLANK('2025'!$P121), 0, 1), 3, if(ISBLANK('2025'!$Q121), 0, 1), 4, if(ISBLANK('2025'!$R121), 0, 1), 5, if(ISBLANK('2025'!$S121), 0, 1), 6, if(ISBLANK('2025'!$T121), 0, 1), 7, 0))), 1, "")</f>
        <v/>
      </c>
      <c r="AJ123" s="1" t="str">
        <f>IF(AND(AND(AND(AJ$4&gt;='2025'!$L121,AJ$4&lt;='2025'!$M121), AJ$4&lt;&gt;DATE(2025,7,4)), (SWITCH(weekday(AJ$4), 1, 0, 2, if(ISBLANK('2025'!$P121), 0, 1), 3, if(ISBLANK('2025'!$Q121), 0, 1), 4, if(ISBLANK('2025'!$R121), 0, 1), 5, if(ISBLANK('2025'!$S121), 0, 1), 6, if(ISBLANK('2025'!$T121), 0, 1), 7, 0))), 1, "")</f>
        <v/>
      </c>
      <c r="AK123" s="1" t="str">
        <f>IF(AND(AND(AND(AK$4&gt;='2025'!$L121,AK$4&lt;='2025'!$M121), AK$4&lt;&gt;DATE(2025,7,4)), (SWITCH(weekday(AK$4), 1, 0, 2, if(ISBLANK('2025'!$P121), 0, 1), 3, if(ISBLANK('2025'!$Q121), 0, 1), 4, if(ISBLANK('2025'!$R121), 0, 1), 5, if(ISBLANK('2025'!$S121), 0, 1), 6, if(ISBLANK('2025'!$T121), 0, 1), 7, 0))), 1, "")</f>
        <v/>
      </c>
      <c r="AL123" s="1" t="str">
        <f>IF(AND(AND(AND(AL$4&gt;='2025'!$L121,AL$4&lt;='2025'!$M121), AL$4&lt;&gt;DATE(2025,7,4)), (SWITCH(weekday(AL$4), 1, 0, 2, if(ISBLANK('2025'!$P121), 0, 1), 3, if(ISBLANK('2025'!$Q121), 0, 1), 4, if(ISBLANK('2025'!$R121), 0, 1), 5, if(ISBLANK('2025'!$S121), 0, 1), 6, if(ISBLANK('2025'!$T121), 0, 1), 7, 0))), 1, "")</f>
        <v/>
      </c>
      <c r="AM123" s="1" t="str">
        <f>IF(AND(AND(AND(AM$4&gt;='2025'!$L121,AM$4&lt;='2025'!$M121), AM$4&lt;&gt;DATE(2025,7,4)), (SWITCH(weekday(AM$4), 1, 0, 2, if(ISBLANK('2025'!$P121), 0, 1), 3, if(ISBLANK('2025'!$Q121), 0, 1), 4, if(ISBLANK('2025'!$R121), 0, 1), 5, if(ISBLANK('2025'!$S121), 0, 1), 6, if(ISBLANK('2025'!$T121), 0, 1), 7, 0))), 1, "")</f>
        <v/>
      </c>
      <c r="AN123" s="1" t="str">
        <f>IF(AND(AND(AND(AN$4&gt;='2025'!$L121,AN$4&lt;='2025'!$M121), AN$4&lt;&gt;DATE(2025,7,4)), (SWITCH(weekday(AN$4), 1, 0, 2, if(ISBLANK('2025'!$P121), 0, 1), 3, if(ISBLANK('2025'!$Q121), 0, 1), 4, if(ISBLANK('2025'!$R121), 0, 1), 5, if(ISBLANK('2025'!$S121), 0, 1), 6, if(ISBLANK('2025'!$T121), 0, 1), 7, 0))), 1, "")</f>
        <v/>
      </c>
      <c r="AO123" s="1" t="str">
        <f>IF(AND(AND(AND(AO$4&gt;='2025'!$L121,AO$4&lt;='2025'!$M121), AO$4&lt;&gt;DATE(2025,7,4)), (SWITCH(weekday(AO$4), 1, 0, 2, if(ISBLANK('2025'!$P121), 0, 1), 3, if(ISBLANK('2025'!$Q121), 0, 1), 4, if(ISBLANK('2025'!$R121), 0, 1), 5, if(ISBLANK('2025'!$S121), 0, 1), 6, if(ISBLANK('2025'!$T121), 0, 1), 7, 0))), 1, "")</f>
        <v/>
      </c>
      <c r="AP123" s="1" t="str">
        <f>IF(AND(AND(AND(AP$4&gt;='2025'!$L121,AP$4&lt;='2025'!$M121), AP$4&lt;&gt;DATE(2025,7,4)), (SWITCH(weekday(AP$4), 1, 0, 2, if(ISBLANK('2025'!$P121), 0, 1), 3, if(ISBLANK('2025'!$Q121), 0, 1), 4, if(ISBLANK('2025'!$R121), 0, 1), 5, if(ISBLANK('2025'!$S121), 0, 1), 6, if(ISBLANK('2025'!$T121), 0, 1), 7, 0))), 1, "")</f>
        <v/>
      </c>
      <c r="AQ123" s="1" t="str">
        <f>IF(AND(AND(AND(AQ$4&gt;='2025'!$L121,AQ$4&lt;='2025'!$M121), AQ$4&lt;&gt;DATE(2025,7,4)), (SWITCH(weekday(AQ$4), 1, 0, 2, if(ISBLANK('2025'!$P121), 0, 1), 3, if(ISBLANK('2025'!$Q121), 0, 1), 4, if(ISBLANK('2025'!$R121), 0, 1), 5, if(ISBLANK('2025'!$S121), 0, 1), 6, if(ISBLANK('2025'!$T121), 0, 1), 7, 0))), 1, "")</f>
        <v/>
      </c>
      <c r="AR123" s="1" t="str">
        <f>IF(AND(AND(AND(AR$4&gt;='2025'!$L121,AR$4&lt;='2025'!$M121), AR$4&lt;&gt;DATE(2025,7,4)), (SWITCH(weekday(AR$4), 1, 0, 2, if(ISBLANK('2025'!$P121), 0, 1), 3, if(ISBLANK('2025'!$Q121), 0, 1), 4, if(ISBLANK('2025'!$R121), 0, 1), 5, if(ISBLANK('2025'!$S121), 0, 1), 6, if(ISBLANK('2025'!$T121), 0, 1), 7, 0))), 1, "")</f>
        <v/>
      </c>
      <c r="AS123" s="1" t="str">
        <f>IF(AND(AND(AND(AS$4&gt;='2025'!$L121,AS$4&lt;='2025'!$M121), AS$4&lt;&gt;DATE(2025,7,4)), (SWITCH(weekday(AS$4), 1, 0, 2, if(ISBLANK('2025'!$P121), 0, 1), 3, if(ISBLANK('2025'!$Q121), 0, 1), 4, if(ISBLANK('2025'!$R121), 0, 1), 5, if(ISBLANK('2025'!$S121), 0, 1), 6, if(ISBLANK('2025'!$T121), 0, 1), 7, 0))), 1, "")</f>
        <v/>
      </c>
      <c r="AT123" s="1" t="str">
        <f>IF(AND(AND(AND(AT$4&gt;='2025'!$L121,AT$4&lt;='2025'!$M121), AT$4&lt;&gt;DATE(2025,7,4)), (SWITCH(weekday(AT$4), 1, 0, 2, if(ISBLANK('2025'!$P121), 0, 1), 3, if(ISBLANK('2025'!$Q121), 0, 1), 4, if(ISBLANK('2025'!$R121), 0, 1), 5, if(ISBLANK('2025'!$S121), 0, 1), 6, if(ISBLANK('2025'!$T121), 0, 1), 7, 0))), 1, "")</f>
        <v/>
      </c>
      <c r="AU123" s="1" t="str">
        <f>IF(AND(AND(AND(AU$4&gt;='2025'!$L121,AU$4&lt;='2025'!$M121), AU$4&lt;&gt;DATE(2025,7,4)), (SWITCH(weekday(AU$4), 1, 0, 2, if(ISBLANK('2025'!$P121), 0, 1), 3, if(ISBLANK('2025'!$Q121), 0, 1), 4, if(ISBLANK('2025'!$R121), 0, 1), 5, if(ISBLANK('2025'!$S121), 0, 1), 6, if(ISBLANK('2025'!$T121), 0, 1), 7, 0))), 1, "")</f>
        <v/>
      </c>
      <c r="AV123" s="1" t="str">
        <f>IF(AND(AND(AND(AV$4&gt;='2025'!$L121,AV$4&lt;='2025'!$M121), AV$4&lt;&gt;DATE(2025,7,4)), (SWITCH(weekday(AV$4), 1, 0, 2, if(ISBLANK('2025'!$P121), 0, 1), 3, if(ISBLANK('2025'!$Q121), 0, 1), 4, if(ISBLANK('2025'!$R121), 0, 1), 5, if(ISBLANK('2025'!$S121), 0, 1), 6, if(ISBLANK('2025'!$T121), 0, 1), 7, 0))), 1, "")</f>
        <v/>
      </c>
      <c r="AW123" s="1" t="str">
        <f>IF(AND(AND(AND(AW$4&gt;='2025'!$L121,AW$4&lt;='2025'!$M121), AW$4&lt;&gt;DATE(2025,7,4)), (SWITCH(weekday(AW$4), 1, 0, 2, if(ISBLANK('2025'!$P121), 0, 1), 3, if(ISBLANK('2025'!$Q121), 0, 1), 4, if(ISBLANK('2025'!$R121), 0, 1), 5, if(ISBLANK('2025'!$S121), 0, 1), 6, if(ISBLANK('2025'!$T121), 0, 1), 7, 0))), 1, "")</f>
        <v/>
      </c>
      <c r="AX123" s="1" t="str">
        <f>IF(AND(AND(AND(AX$4&gt;='2025'!$L121,AX$4&lt;='2025'!$M121), AX$4&lt;&gt;DATE(2025,7,4)), (SWITCH(weekday(AX$4), 1, 0, 2, if(ISBLANK('2025'!$P121), 0, 1), 3, if(ISBLANK('2025'!$Q121), 0, 1), 4, if(ISBLANK('2025'!$R121), 0, 1), 5, if(ISBLANK('2025'!$S121), 0, 1), 6, if(ISBLANK('2025'!$T121), 0, 1), 7, 0))), 1, "")</f>
        <v/>
      </c>
      <c r="AY123" s="1" t="str">
        <f>IF(AND(AND(AND(AY$4&gt;='2025'!$L121,AY$4&lt;='2025'!$M121), AY$4&lt;&gt;DATE(2025,7,4)), (SWITCH(weekday(AY$4), 1, 0, 2, if(ISBLANK('2025'!$P121), 0, 1), 3, if(ISBLANK('2025'!$Q121), 0, 1), 4, if(ISBLANK('2025'!$R121), 0, 1), 5, if(ISBLANK('2025'!$S121), 0, 1), 6, if(ISBLANK('2025'!$T121), 0, 1), 7, 0))), 1, "")</f>
        <v/>
      </c>
      <c r="AZ123" s="1" t="str">
        <f>IF(AND(AND(AND(AZ$4&gt;='2025'!$L121,AZ$4&lt;='2025'!$M121), AZ$4&lt;&gt;DATE(2025,7,4)), (SWITCH(weekday(AZ$4), 1, 0, 2, if(ISBLANK('2025'!$P121), 0, 1), 3, if(ISBLANK('2025'!$Q121), 0, 1), 4, if(ISBLANK('2025'!$R121), 0, 1), 5, if(ISBLANK('2025'!$S121), 0, 1), 6, if(ISBLANK('2025'!$T121), 0, 1), 7, 0))), 1, "")</f>
        <v/>
      </c>
      <c r="BA123" s="1" t="str">
        <f>IF(AND(AND(AND(BA$4&gt;='2025'!$L121,BA$4&lt;='2025'!$M121), BA$4&lt;&gt;DATE(2025,7,4)), (SWITCH(weekday(BA$4), 1, 0, 2, if(ISBLANK('2025'!$P121), 0, 1), 3, if(ISBLANK('2025'!$Q121), 0, 1), 4, if(ISBLANK('2025'!$R121), 0, 1), 5, if(ISBLANK('2025'!$S121), 0, 1), 6, if(ISBLANK('2025'!$T121), 0, 1), 7, 0))), 1, "")</f>
        <v/>
      </c>
      <c r="BB123" s="1" t="str">
        <f>IF(AND(AND(AND(BB$4&gt;='2025'!$L121,BB$4&lt;='2025'!$M121), BB$4&lt;&gt;DATE(2025,7,4)), (SWITCH(weekday(BB$4), 1, 0, 2, if(ISBLANK('2025'!$P121), 0, 1), 3, if(ISBLANK('2025'!$Q121), 0, 1), 4, if(ISBLANK('2025'!$R121), 0, 1), 5, if(ISBLANK('2025'!$S121), 0, 1), 6, if(ISBLANK('2025'!$T121), 0, 1), 7, 0))), 1, "")</f>
        <v/>
      </c>
      <c r="BC123" s="1" t="str">
        <f>IF(AND(AND(AND(BC$4&gt;='2025'!$L121,BC$4&lt;='2025'!$M121), BC$4&lt;&gt;DATE(2025,7,4)), (SWITCH(weekday(BC$4), 1, 0, 2, if(ISBLANK('2025'!$P121), 0, 1), 3, if(ISBLANK('2025'!$Q121), 0, 1), 4, if(ISBLANK('2025'!$R121), 0, 1), 5, if(ISBLANK('2025'!$S121), 0, 1), 6, if(ISBLANK('2025'!$T121), 0, 1), 7, 0))), 1, "")</f>
        <v/>
      </c>
      <c r="BD123" s="1" t="str">
        <f>IF(AND(AND(AND(BD$4&gt;='2025'!$L121,BD$4&lt;='2025'!$M121), BD$4&lt;&gt;DATE(2025,7,4)), (SWITCH(weekday(BD$4), 1, 0, 2, if(ISBLANK('2025'!$P121), 0, 1), 3, if(ISBLANK('2025'!$Q121), 0, 1), 4, if(ISBLANK('2025'!$R121), 0, 1), 5, if(ISBLANK('2025'!$S121), 0, 1), 6, if(ISBLANK('2025'!$T121), 0, 1), 7, 0))), 1, "")</f>
        <v/>
      </c>
      <c r="BE123" s="1" t="str">
        <f>IF(AND(AND(AND(BE$4&gt;='2025'!$L121,BE$4&lt;='2025'!$M121), BE$4&lt;&gt;DATE(2025,7,4)), (SWITCH(weekday(BE$4), 1, 0, 2, if(ISBLANK('2025'!$P121), 0, 1), 3, if(ISBLANK('2025'!$Q121), 0, 1), 4, if(ISBLANK('2025'!$R121), 0, 1), 5, if(ISBLANK('2025'!$S121), 0, 1), 6, if(ISBLANK('2025'!$T121), 0, 1), 7, 0))), 1, "")</f>
        <v/>
      </c>
      <c r="BF123" s="1" t="str">
        <f>IF(AND(AND(AND(BF$4&gt;='2025'!$L121,BF$4&lt;='2025'!$M121), BF$4&lt;&gt;DATE(2025,7,4)), (SWITCH(weekday(BF$4), 1, 0, 2, if(ISBLANK('2025'!$P121), 0, 1), 3, if(ISBLANK('2025'!$Q121), 0, 1), 4, if(ISBLANK('2025'!$R121), 0, 1), 5, if(ISBLANK('2025'!$S121), 0, 1), 6, if(ISBLANK('2025'!$T121), 0, 1), 7, 0))), 1, "")</f>
        <v/>
      </c>
      <c r="BG123" s="1"/>
      <c r="BH123" s="1"/>
      <c r="BI123" s="1"/>
      <c r="BJ123" s="1"/>
      <c r="BK123" s="1"/>
      <c r="BL123" s="1"/>
    </row>
    <row r="124">
      <c r="A124" s="1">
        <f t="shared" si="3"/>
        <v>124</v>
      </c>
      <c r="B124" s="1" t="str">
        <f>'2025'!D88</f>
        <v>, </v>
      </c>
      <c r="C124" s="1" t="str">
        <f>'2025'!H88</f>
        <v/>
      </c>
      <c r="D124" s="1" t="str">
        <f>IF(AND(AND(AND(D$4&gt;='2025'!$L122,D$4&lt;='2025'!$M122), D$4&lt;&gt;DATE(2025,7,4)), (SWITCH(weekday(D$4), 1, 0, 2, if(ISBLANK('2025'!$P122), 0, 1), 3, if(ISBLANK('2025'!$Q122), 0, 1), 4, if(ISBLANK('2025'!$R122), 0, 1), 5, if(ISBLANK('2025'!$S122), 0, 1), 6, if(ISBLANK('2025'!$T122), 0, 1), 7, 0))), 1, "")</f>
        <v/>
      </c>
      <c r="E124" s="1" t="str">
        <f>IF(AND(AND(AND(E$4&gt;='2025'!$L122,E$4&lt;='2025'!$M122), E$4&lt;&gt;DATE(2025,7,4)), (SWITCH(weekday(E$4), 1, 0, 2, if(ISBLANK('2025'!$P122), 0, 1), 3, if(ISBLANK('2025'!$Q122), 0, 1), 4, if(ISBLANK('2025'!$R122), 0, 1), 5, if(ISBLANK('2025'!$S122), 0, 1), 6, if(ISBLANK('2025'!$T122), 0, 1), 7, 0))), 1, "")</f>
        <v/>
      </c>
      <c r="F124" s="1" t="str">
        <f>IF(AND(AND(AND(F$4&gt;='2025'!$L122,F$4&lt;='2025'!$M122), F$4&lt;&gt;DATE(2025,7,4)), (SWITCH(weekday(F$4), 1, 0, 2, if(ISBLANK('2025'!$P122), 0, 1), 3, if(ISBLANK('2025'!$Q122), 0, 1), 4, if(ISBLANK('2025'!$R122), 0, 1), 5, if(ISBLANK('2025'!$S122), 0, 1), 6, if(ISBLANK('2025'!$T122), 0, 1), 7, 0))), 1, "")</f>
        <v/>
      </c>
      <c r="G124" s="1" t="str">
        <f>IF(AND(AND(AND(G$4&gt;='2025'!$L122,G$4&lt;='2025'!$M122), G$4&lt;&gt;DATE(2025,7,4)), (SWITCH(weekday(G$4), 1, 0, 2, if(ISBLANK('2025'!$P122), 0, 1), 3, if(ISBLANK('2025'!$Q122), 0, 1), 4, if(ISBLANK('2025'!$R122), 0, 1), 5, if(ISBLANK('2025'!$S122), 0, 1), 6, if(ISBLANK('2025'!$T122), 0, 1), 7, 0))), 1, "")</f>
        <v/>
      </c>
      <c r="H124" s="1" t="str">
        <f>IF(AND(AND(AND(H$4&gt;='2025'!$L122,H$4&lt;='2025'!$M122), H$4&lt;&gt;DATE(2025,7,4)), (SWITCH(weekday(H$4), 1, 0, 2, if(ISBLANK('2025'!$P122), 0, 1), 3, if(ISBLANK('2025'!$Q122), 0, 1), 4, if(ISBLANK('2025'!$R122), 0, 1), 5, if(ISBLANK('2025'!$S122), 0, 1), 6, if(ISBLANK('2025'!$T122), 0, 1), 7, 0))), 1, "")</f>
        <v/>
      </c>
      <c r="I124" s="1" t="str">
        <f>IF(AND(AND(AND(I$4&gt;='2025'!$L122,I$4&lt;='2025'!$M122), I$4&lt;&gt;DATE(2025,7,4)), (SWITCH(weekday(I$4), 1, 0, 2, if(ISBLANK('2025'!$P122), 0, 1), 3, if(ISBLANK('2025'!$Q122), 0, 1), 4, if(ISBLANK('2025'!$R122), 0, 1), 5, if(ISBLANK('2025'!$S122), 0, 1), 6, if(ISBLANK('2025'!$T122), 0, 1), 7, 0))), 1, "")</f>
        <v/>
      </c>
      <c r="J124" s="1" t="str">
        <f>IF(AND(AND(AND(J$4&gt;='2025'!$L122,J$4&lt;='2025'!$M122), J$4&lt;&gt;DATE(2025,7,4)), (SWITCH(weekday(J$4), 1, 0, 2, if(ISBLANK('2025'!$P122), 0, 1), 3, if(ISBLANK('2025'!$Q122), 0, 1), 4, if(ISBLANK('2025'!$R122), 0, 1), 5, if(ISBLANK('2025'!$S122), 0, 1), 6, if(ISBLANK('2025'!$T122), 0, 1), 7, 0))), 1, "")</f>
        <v/>
      </c>
      <c r="K124" s="1" t="str">
        <f>IF(AND(AND(AND(K$4&gt;='2025'!$L122,K$4&lt;='2025'!$M122), K$4&lt;&gt;DATE(2025,7,4)), (SWITCH(weekday(K$4), 1, 0, 2, if(ISBLANK('2025'!$P122), 0, 1), 3, if(ISBLANK('2025'!$Q122), 0, 1), 4, if(ISBLANK('2025'!$R122), 0, 1), 5, if(ISBLANK('2025'!$S122), 0, 1), 6, if(ISBLANK('2025'!$T122), 0, 1), 7, 0))), 1, "")</f>
        <v/>
      </c>
      <c r="L124" s="1" t="str">
        <f>IF(AND(AND(AND(L$4&gt;='2025'!$L122,L$4&lt;='2025'!$M122), L$4&lt;&gt;DATE(2025,7,4)), (SWITCH(weekday(L$4), 1, 0, 2, if(ISBLANK('2025'!$P122), 0, 1), 3, if(ISBLANK('2025'!$Q122), 0, 1), 4, if(ISBLANK('2025'!$R122), 0, 1), 5, if(ISBLANK('2025'!$S122), 0, 1), 6, if(ISBLANK('2025'!$T122), 0, 1), 7, 0))), 1, "")</f>
        <v/>
      </c>
      <c r="M124" s="1" t="str">
        <f>IF(AND(AND(AND(M$4&gt;='2025'!$L122,M$4&lt;='2025'!$M122), M$4&lt;&gt;DATE(2025,7,4)), (SWITCH(weekday(M$4), 1, 0, 2, if(ISBLANK('2025'!$P122), 0, 1), 3, if(ISBLANK('2025'!$Q122), 0, 1), 4, if(ISBLANK('2025'!$R122), 0, 1), 5, if(ISBLANK('2025'!$S122), 0, 1), 6, if(ISBLANK('2025'!$T122), 0, 1), 7, 0))), 1, "")</f>
        <v/>
      </c>
      <c r="N124" s="1" t="str">
        <f>IF(AND(AND(AND(N$4&gt;='2025'!$L122,N$4&lt;='2025'!$M122), N$4&lt;&gt;DATE(2025,7,4)), (SWITCH(weekday(N$4), 1, 0, 2, if(ISBLANK('2025'!$P122), 0, 1), 3, if(ISBLANK('2025'!$Q122), 0, 1), 4, if(ISBLANK('2025'!$R122), 0, 1), 5, if(ISBLANK('2025'!$S122), 0, 1), 6, if(ISBLANK('2025'!$T122), 0, 1), 7, 0))), 1, "")</f>
        <v/>
      </c>
      <c r="O124" s="1" t="str">
        <f>IF(AND(AND(AND(O$4&gt;='2025'!$L122,O$4&lt;='2025'!$M122), O$4&lt;&gt;DATE(2025,7,4)), (SWITCH(weekday(O$4), 1, 0, 2, if(ISBLANK('2025'!$P122), 0, 1), 3, if(ISBLANK('2025'!$Q122), 0, 1), 4, if(ISBLANK('2025'!$R122), 0, 1), 5, if(ISBLANK('2025'!$S122), 0, 1), 6, if(ISBLANK('2025'!$T122), 0, 1), 7, 0))), 1, "")</f>
        <v/>
      </c>
      <c r="P124" s="1" t="str">
        <f>IF(AND(AND(AND(P$4&gt;='2025'!$L122,P$4&lt;='2025'!$M122), P$4&lt;&gt;DATE(2025,7,4)), (SWITCH(weekday(P$4), 1, 0, 2, if(ISBLANK('2025'!$P122), 0, 1), 3, if(ISBLANK('2025'!$Q122), 0, 1), 4, if(ISBLANK('2025'!$R122), 0, 1), 5, if(ISBLANK('2025'!$S122), 0, 1), 6, if(ISBLANK('2025'!$T122), 0, 1), 7, 0))), 1, "")</f>
        <v/>
      </c>
      <c r="Q124" s="1" t="str">
        <f>IF(AND(AND(AND(Q$4&gt;='2025'!$L122,Q$4&lt;='2025'!$M122), Q$4&lt;&gt;DATE(2025,7,4)), (SWITCH(weekday(Q$4), 1, 0, 2, if(ISBLANK('2025'!$P122), 0, 1), 3, if(ISBLANK('2025'!$Q122), 0, 1), 4, if(ISBLANK('2025'!$R122), 0, 1), 5, if(ISBLANK('2025'!$S122), 0, 1), 6, if(ISBLANK('2025'!$T122), 0, 1), 7, 0))), 1, "")</f>
        <v/>
      </c>
      <c r="R124" s="1" t="str">
        <f>IF(AND(AND(AND(R$4&gt;='2025'!$L122,R$4&lt;='2025'!$M122), R$4&lt;&gt;DATE(2025,7,4)), (SWITCH(weekday(R$4), 1, 0, 2, if(ISBLANK('2025'!$P122), 0, 1), 3, if(ISBLANK('2025'!$Q122), 0, 1), 4, if(ISBLANK('2025'!$R122), 0, 1), 5, if(ISBLANK('2025'!$S122), 0, 1), 6, if(ISBLANK('2025'!$T122), 0, 1), 7, 0))), 1, "")</f>
        <v/>
      </c>
      <c r="S124" s="1" t="str">
        <f>IF(AND(AND(AND(S$4&gt;='2025'!$L122,S$4&lt;='2025'!$M122), S$4&lt;&gt;DATE(2025,7,4)), (SWITCH(weekday(S$4), 1, 0, 2, if(ISBLANK('2025'!$P122), 0, 1), 3, if(ISBLANK('2025'!$Q122), 0, 1), 4, if(ISBLANK('2025'!$R122), 0, 1), 5, if(ISBLANK('2025'!$S122), 0, 1), 6, if(ISBLANK('2025'!$T122), 0, 1), 7, 0))), 1, "")</f>
        <v/>
      </c>
      <c r="T124" s="1" t="str">
        <f>IF(AND(AND(AND(T$4&gt;='2025'!$L122,T$4&lt;='2025'!$M122), T$4&lt;&gt;DATE(2025,7,4)), (SWITCH(weekday(T$4), 1, 0, 2, if(ISBLANK('2025'!$P122), 0, 1), 3, if(ISBLANK('2025'!$Q122), 0, 1), 4, if(ISBLANK('2025'!$R122), 0, 1), 5, if(ISBLANK('2025'!$S122), 0, 1), 6, if(ISBLANK('2025'!$T122), 0, 1), 7, 0))), 1, "")</f>
        <v/>
      </c>
      <c r="U124" s="1" t="str">
        <f>IF(AND(AND(AND(U$4&gt;='2025'!$L122,U$4&lt;='2025'!$M122), U$4&lt;&gt;DATE(2025,7,4)), (SWITCH(weekday(U$4), 1, 0, 2, if(ISBLANK('2025'!$P122), 0, 1), 3, if(ISBLANK('2025'!$Q122), 0, 1), 4, if(ISBLANK('2025'!$R122), 0, 1), 5, if(ISBLANK('2025'!$S122), 0, 1), 6, if(ISBLANK('2025'!$T122), 0, 1), 7, 0))), 1, "")</f>
        <v/>
      </c>
      <c r="V124" s="1" t="str">
        <f>IF(AND(AND(AND(V$4&gt;='2025'!$L122,V$4&lt;='2025'!$M122), V$4&lt;&gt;DATE(2025,7,4)), (SWITCH(weekday(V$4), 1, 0, 2, if(ISBLANK('2025'!$P122), 0, 1), 3, if(ISBLANK('2025'!$Q122), 0, 1), 4, if(ISBLANK('2025'!$R122), 0, 1), 5, if(ISBLANK('2025'!$S122), 0, 1), 6, if(ISBLANK('2025'!$T122), 0, 1), 7, 0))), 1, "")</f>
        <v/>
      </c>
      <c r="W124" s="1" t="str">
        <f>IF(AND(AND(AND(W$4&gt;='2025'!$L122,W$4&lt;='2025'!$M122), W$4&lt;&gt;DATE(2025,7,4)), (SWITCH(weekday(W$4), 1, 0, 2, if(ISBLANK('2025'!$P122), 0, 1), 3, if(ISBLANK('2025'!$Q122), 0, 1), 4, if(ISBLANK('2025'!$R122), 0, 1), 5, if(ISBLANK('2025'!$S122), 0, 1), 6, if(ISBLANK('2025'!$T122), 0, 1), 7, 0))), 1, "")</f>
        <v/>
      </c>
      <c r="X124" s="1" t="str">
        <f>IF(AND(AND(AND(X$4&gt;='2025'!$L122,X$4&lt;='2025'!$M122), X$4&lt;&gt;DATE(2025,7,4)), (SWITCH(weekday(X$4), 1, 0, 2, if(ISBLANK('2025'!$P122), 0, 1), 3, if(ISBLANK('2025'!$Q122), 0, 1), 4, if(ISBLANK('2025'!$R122), 0, 1), 5, if(ISBLANK('2025'!$S122), 0, 1), 6, if(ISBLANK('2025'!$T122), 0, 1), 7, 0))), 1, "")</f>
        <v/>
      </c>
      <c r="Y124" s="1" t="str">
        <f>IF(AND(AND(AND(Y$4&gt;='2025'!$L122,Y$4&lt;='2025'!$M122), Y$4&lt;&gt;DATE(2025,7,4)), (SWITCH(weekday(Y$4), 1, 0, 2, if(ISBLANK('2025'!$P122), 0, 1), 3, if(ISBLANK('2025'!$Q122), 0, 1), 4, if(ISBLANK('2025'!$R122), 0, 1), 5, if(ISBLANK('2025'!$S122), 0, 1), 6, if(ISBLANK('2025'!$T122), 0, 1), 7, 0))), 1, "")</f>
        <v/>
      </c>
      <c r="Z124" s="1" t="str">
        <f>IF(AND(AND(AND(Z$4&gt;='2025'!$L122,Z$4&lt;='2025'!$M122), Z$4&lt;&gt;DATE(2025,7,4)), (SWITCH(weekday(Z$4), 1, 0, 2, if(ISBLANK('2025'!$P122), 0, 1), 3, if(ISBLANK('2025'!$Q122), 0, 1), 4, if(ISBLANK('2025'!$R122), 0, 1), 5, if(ISBLANK('2025'!$S122), 0, 1), 6, if(ISBLANK('2025'!$T122), 0, 1), 7, 0))), 1, "")</f>
        <v/>
      </c>
      <c r="AA124" s="1" t="str">
        <f>IF(AND(AND(AND(AA$4&gt;='2025'!$L122,AA$4&lt;='2025'!$M122), AA$4&lt;&gt;DATE(2025,7,4)), (SWITCH(weekday(AA$4), 1, 0, 2, if(ISBLANK('2025'!$P122), 0, 1), 3, if(ISBLANK('2025'!$Q122), 0, 1), 4, if(ISBLANK('2025'!$R122), 0, 1), 5, if(ISBLANK('2025'!$S122), 0, 1), 6, if(ISBLANK('2025'!$T122), 0, 1), 7, 0))), 1, "")</f>
        <v/>
      </c>
      <c r="AB124" s="1" t="str">
        <f>IF(AND(AND(AND(AB$4&gt;='2025'!$L122,AB$4&lt;='2025'!$M122), AB$4&lt;&gt;DATE(2025,7,4)), (SWITCH(weekday(AB$4), 1, 0, 2, if(ISBLANK('2025'!$P122), 0, 1), 3, if(ISBLANK('2025'!$Q122), 0, 1), 4, if(ISBLANK('2025'!$R122), 0, 1), 5, if(ISBLANK('2025'!$S122), 0, 1), 6, if(ISBLANK('2025'!$T122), 0, 1), 7, 0))), 1, "")</f>
        <v/>
      </c>
      <c r="AC124" s="1" t="str">
        <f>IF(AND(AND(AND(AC$4&gt;='2025'!$L122,AC$4&lt;='2025'!$M122), AC$4&lt;&gt;DATE(2025,7,4)), (SWITCH(weekday(AC$4), 1, 0, 2, if(ISBLANK('2025'!$P122), 0, 1), 3, if(ISBLANK('2025'!$Q122), 0, 1), 4, if(ISBLANK('2025'!$R122), 0, 1), 5, if(ISBLANK('2025'!$S122), 0, 1), 6, if(ISBLANK('2025'!$T122), 0, 1), 7, 0))), 1, "")</f>
        <v/>
      </c>
      <c r="AD124" s="1" t="str">
        <f>IF(AND(AND(AND(AD$4&gt;='2025'!$L122,AD$4&lt;='2025'!$M122), AD$4&lt;&gt;DATE(2025,7,4)), (SWITCH(weekday(AD$4), 1, 0, 2, if(ISBLANK('2025'!$P122), 0, 1), 3, if(ISBLANK('2025'!$Q122), 0, 1), 4, if(ISBLANK('2025'!$R122), 0, 1), 5, if(ISBLANK('2025'!$S122), 0, 1), 6, if(ISBLANK('2025'!$T122), 0, 1), 7, 0))), 1, "")</f>
        <v/>
      </c>
      <c r="AE124" s="1" t="str">
        <f>IF(AND(AND(AND(AE$4&gt;='2025'!$L122,AE$4&lt;='2025'!$M122), AE$4&lt;&gt;DATE(2025,7,4)), (SWITCH(weekday(AE$4), 1, 0, 2, if(ISBLANK('2025'!$P122), 0, 1), 3, if(ISBLANK('2025'!$Q122), 0, 1), 4, if(ISBLANK('2025'!$R122), 0, 1), 5, if(ISBLANK('2025'!$S122), 0, 1), 6, if(ISBLANK('2025'!$T122), 0, 1), 7, 0))), 1, "")</f>
        <v/>
      </c>
      <c r="AF124" s="1" t="str">
        <f>IF(AND(AND(AND(AF$4&gt;='2025'!$L122,AF$4&lt;='2025'!$M122), AF$4&lt;&gt;DATE(2025,7,4)), (SWITCH(weekday(AF$4), 1, 0, 2, if(ISBLANK('2025'!$P122), 0, 1), 3, if(ISBLANK('2025'!$Q122), 0, 1), 4, if(ISBLANK('2025'!$R122), 0, 1), 5, if(ISBLANK('2025'!$S122), 0, 1), 6, if(ISBLANK('2025'!$T122), 0, 1), 7, 0))), 1, "")</f>
        <v/>
      </c>
      <c r="AG124" s="1" t="str">
        <f>IF(AND(AND(AND(AG$4&gt;='2025'!$L122,AG$4&lt;='2025'!$M122), AG$4&lt;&gt;DATE(2025,7,4)), (SWITCH(weekday(AG$4), 1, 0, 2, if(ISBLANK('2025'!$P122), 0, 1), 3, if(ISBLANK('2025'!$Q122), 0, 1), 4, if(ISBLANK('2025'!$R122), 0, 1), 5, if(ISBLANK('2025'!$S122), 0, 1), 6, if(ISBLANK('2025'!$T122), 0, 1), 7, 0))), 1, "")</f>
        <v/>
      </c>
      <c r="AH124" s="1" t="str">
        <f>IF(AND(AND(AND(AH$4&gt;='2025'!$L122,AH$4&lt;='2025'!$M122), AH$4&lt;&gt;DATE(2025,7,4)), (SWITCH(weekday(AH$4), 1, 0, 2, if(ISBLANK('2025'!$P122), 0, 1), 3, if(ISBLANK('2025'!$Q122), 0, 1), 4, if(ISBLANK('2025'!$R122), 0, 1), 5, if(ISBLANK('2025'!$S122), 0, 1), 6, if(ISBLANK('2025'!$T122), 0, 1), 7, 0))), 1, "")</f>
        <v/>
      </c>
      <c r="AI124" s="1" t="str">
        <f>IF(AND(AND(AND(AI$4&gt;='2025'!$L122,AI$4&lt;='2025'!$M122), AI$4&lt;&gt;DATE(2025,7,4)), (SWITCH(weekday(AI$4), 1, 0, 2, if(ISBLANK('2025'!$P122), 0, 1), 3, if(ISBLANK('2025'!$Q122), 0, 1), 4, if(ISBLANK('2025'!$R122), 0, 1), 5, if(ISBLANK('2025'!$S122), 0, 1), 6, if(ISBLANK('2025'!$T122), 0, 1), 7, 0))), 1, "")</f>
        <v/>
      </c>
      <c r="AJ124" s="1" t="str">
        <f>IF(AND(AND(AND(AJ$4&gt;='2025'!$L122,AJ$4&lt;='2025'!$M122), AJ$4&lt;&gt;DATE(2025,7,4)), (SWITCH(weekday(AJ$4), 1, 0, 2, if(ISBLANK('2025'!$P122), 0, 1), 3, if(ISBLANK('2025'!$Q122), 0, 1), 4, if(ISBLANK('2025'!$R122), 0, 1), 5, if(ISBLANK('2025'!$S122), 0, 1), 6, if(ISBLANK('2025'!$T122), 0, 1), 7, 0))), 1, "")</f>
        <v/>
      </c>
      <c r="AK124" s="1" t="str">
        <f>IF(AND(AND(AND(AK$4&gt;='2025'!$L122,AK$4&lt;='2025'!$M122), AK$4&lt;&gt;DATE(2025,7,4)), (SWITCH(weekday(AK$4), 1, 0, 2, if(ISBLANK('2025'!$P122), 0, 1), 3, if(ISBLANK('2025'!$Q122), 0, 1), 4, if(ISBLANK('2025'!$R122), 0, 1), 5, if(ISBLANK('2025'!$S122), 0, 1), 6, if(ISBLANK('2025'!$T122), 0, 1), 7, 0))), 1, "")</f>
        <v/>
      </c>
      <c r="AL124" s="1" t="str">
        <f>IF(AND(AND(AND(AL$4&gt;='2025'!$L122,AL$4&lt;='2025'!$M122), AL$4&lt;&gt;DATE(2025,7,4)), (SWITCH(weekday(AL$4), 1, 0, 2, if(ISBLANK('2025'!$P122), 0, 1), 3, if(ISBLANK('2025'!$Q122), 0, 1), 4, if(ISBLANK('2025'!$R122), 0, 1), 5, if(ISBLANK('2025'!$S122), 0, 1), 6, if(ISBLANK('2025'!$T122), 0, 1), 7, 0))), 1, "")</f>
        <v/>
      </c>
      <c r="AM124" s="1" t="str">
        <f>IF(AND(AND(AND(AM$4&gt;='2025'!$L122,AM$4&lt;='2025'!$M122), AM$4&lt;&gt;DATE(2025,7,4)), (SWITCH(weekday(AM$4), 1, 0, 2, if(ISBLANK('2025'!$P122), 0, 1), 3, if(ISBLANK('2025'!$Q122), 0, 1), 4, if(ISBLANK('2025'!$R122), 0, 1), 5, if(ISBLANK('2025'!$S122), 0, 1), 6, if(ISBLANK('2025'!$T122), 0, 1), 7, 0))), 1, "")</f>
        <v/>
      </c>
      <c r="AN124" s="1" t="str">
        <f>IF(AND(AND(AND(AN$4&gt;='2025'!$L122,AN$4&lt;='2025'!$M122), AN$4&lt;&gt;DATE(2025,7,4)), (SWITCH(weekday(AN$4), 1, 0, 2, if(ISBLANK('2025'!$P122), 0, 1), 3, if(ISBLANK('2025'!$Q122), 0, 1), 4, if(ISBLANK('2025'!$R122), 0, 1), 5, if(ISBLANK('2025'!$S122), 0, 1), 6, if(ISBLANK('2025'!$T122), 0, 1), 7, 0))), 1, "")</f>
        <v/>
      </c>
      <c r="AO124" s="1" t="str">
        <f>IF(AND(AND(AND(AO$4&gt;='2025'!$L122,AO$4&lt;='2025'!$M122), AO$4&lt;&gt;DATE(2025,7,4)), (SWITCH(weekday(AO$4), 1, 0, 2, if(ISBLANK('2025'!$P122), 0, 1), 3, if(ISBLANK('2025'!$Q122), 0, 1), 4, if(ISBLANK('2025'!$R122), 0, 1), 5, if(ISBLANK('2025'!$S122), 0, 1), 6, if(ISBLANK('2025'!$T122), 0, 1), 7, 0))), 1, "")</f>
        <v/>
      </c>
      <c r="AP124" s="1" t="str">
        <f>IF(AND(AND(AND(AP$4&gt;='2025'!$L122,AP$4&lt;='2025'!$M122), AP$4&lt;&gt;DATE(2025,7,4)), (SWITCH(weekday(AP$4), 1, 0, 2, if(ISBLANK('2025'!$P122), 0, 1), 3, if(ISBLANK('2025'!$Q122), 0, 1), 4, if(ISBLANK('2025'!$R122), 0, 1), 5, if(ISBLANK('2025'!$S122), 0, 1), 6, if(ISBLANK('2025'!$T122), 0, 1), 7, 0))), 1, "")</f>
        <v/>
      </c>
      <c r="AQ124" s="1" t="str">
        <f>IF(AND(AND(AND(AQ$4&gt;='2025'!$L122,AQ$4&lt;='2025'!$M122), AQ$4&lt;&gt;DATE(2025,7,4)), (SWITCH(weekday(AQ$4), 1, 0, 2, if(ISBLANK('2025'!$P122), 0, 1), 3, if(ISBLANK('2025'!$Q122), 0, 1), 4, if(ISBLANK('2025'!$R122), 0, 1), 5, if(ISBLANK('2025'!$S122), 0, 1), 6, if(ISBLANK('2025'!$T122), 0, 1), 7, 0))), 1, "")</f>
        <v/>
      </c>
      <c r="AR124" s="1" t="str">
        <f>IF(AND(AND(AND(AR$4&gt;='2025'!$L122,AR$4&lt;='2025'!$M122), AR$4&lt;&gt;DATE(2025,7,4)), (SWITCH(weekday(AR$4), 1, 0, 2, if(ISBLANK('2025'!$P122), 0, 1), 3, if(ISBLANK('2025'!$Q122), 0, 1), 4, if(ISBLANK('2025'!$R122), 0, 1), 5, if(ISBLANK('2025'!$S122), 0, 1), 6, if(ISBLANK('2025'!$T122), 0, 1), 7, 0))), 1, "")</f>
        <v/>
      </c>
      <c r="AS124" s="1" t="str">
        <f>IF(AND(AND(AND(AS$4&gt;='2025'!$L122,AS$4&lt;='2025'!$M122), AS$4&lt;&gt;DATE(2025,7,4)), (SWITCH(weekday(AS$4), 1, 0, 2, if(ISBLANK('2025'!$P122), 0, 1), 3, if(ISBLANK('2025'!$Q122), 0, 1), 4, if(ISBLANK('2025'!$R122), 0, 1), 5, if(ISBLANK('2025'!$S122), 0, 1), 6, if(ISBLANK('2025'!$T122), 0, 1), 7, 0))), 1, "")</f>
        <v/>
      </c>
      <c r="AT124" s="1" t="str">
        <f>IF(AND(AND(AND(AT$4&gt;='2025'!$L122,AT$4&lt;='2025'!$M122), AT$4&lt;&gt;DATE(2025,7,4)), (SWITCH(weekday(AT$4), 1, 0, 2, if(ISBLANK('2025'!$P122), 0, 1), 3, if(ISBLANK('2025'!$Q122), 0, 1), 4, if(ISBLANK('2025'!$R122), 0, 1), 5, if(ISBLANK('2025'!$S122), 0, 1), 6, if(ISBLANK('2025'!$T122), 0, 1), 7, 0))), 1, "")</f>
        <v/>
      </c>
      <c r="AU124" s="1" t="str">
        <f>IF(AND(AND(AND(AU$4&gt;='2025'!$L122,AU$4&lt;='2025'!$M122), AU$4&lt;&gt;DATE(2025,7,4)), (SWITCH(weekday(AU$4), 1, 0, 2, if(ISBLANK('2025'!$P122), 0, 1), 3, if(ISBLANK('2025'!$Q122), 0, 1), 4, if(ISBLANK('2025'!$R122), 0, 1), 5, if(ISBLANK('2025'!$S122), 0, 1), 6, if(ISBLANK('2025'!$T122), 0, 1), 7, 0))), 1, "")</f>
        <v/>
      </c>
      <c r="AV124" s="1" t="str">
        <f>IF(AND(AND(AND(AV$4&gt;='2025'!$L122,AV$4&lt;='2025'!$M122), AV$4&lt;&gt;DATE(2025,7,4)), (SWITCH(weekday(AV$4), 1, 0, 2, if(ISBLANK('2025'!$P122), 0, 1), 3, if(ISBLANK('2025'!$Q122), 0, 1), 4, if(ISBLANK('2025'!$R122), 0, 1), 5, if(ISBLANK('2025'!$S122), 0, 1), 6, if(ISBLANK('2025'!$T122), 0, 1), 7, 0))), 1, "")</f>
        <v/>
      </c>
      <c r="AW124" s="1" t="str">
        <f>IF(AND(AND(AND(AW$4&gt;='2025'!$L122,AW$4&lt;='2025'!$M122), AW$4&lt;&gt;DATE(2025,7,4)), (SWITCH(weekday(AW$4), 1, 0, 2, if(ISBLANK('2025'!$P122), 0, 1), 3, if(ISBLANK('2025'!$Q122), 0, 1), 4, if(ISBLANK('2025'!$R122), 0, 1), 5, if(ISBLANK('2025'!$S122), 0, 1), 6, if(ISBLANK('2025'!$T122), 0, 1), 7, 0))), 1, "")</f>
        <v/>
      </c>
      <c r="AX124" s="1" t="str">
        <f>IF(AND(AND(AND(AX$4&gt;='2025'!$L122,AX$4&lt;='2025'!$M122), AX$4&lt;&gt;DATE(2025,7,4)), (SWITCH(weekday(AX$4), 1, 0, 2, if(ISBLANK('2025'!$P122), 0, 1), 3, if(ISBLANK('2025'!$Q122), 0, 1), 4, if(ISBLANK('2025'!$R122), 0, 1), 5, if(ISBLANK('2025'!$S122), 0, 1), 6, if(ISBLANK('2025'!$T122), 0, 1), 7, 0))), 1, "")</f>
        <v/>
      </c>
      <c r="AY124" s="1" t="str">
        <f>IF(AND(AND(AND(AY$4&gt;='2025'!$L122,AY$4&lt;='2025'!$M122), AY$4&lt;&gt;DATE(2025,7,4)), (SWITCH(weekday(AY$4), 1, 0, 2, if(ISBLANK('2025'!$P122), 0, 1), 3, if(ISBLANK('2025'!$Q122), 0, 1), 4, if(ISBLANK('2025'!$R122), 0, 1), 5, if(ISBLANK('2025'!$S122), 0, 1), 6, if(ISBLANK('2025'!$T122), 0, 1), 7, 0))), 1, "")</f>
        <v/>
      </c>
      <c r="AZ124" s="1" t="str">
        <f>IF(AND(AND(AND(AZ$4&gt;='2025'!$L122,AZ$4&lt;='2025'!$M122), AZ$4&lt;&gt;DATE(2025,7,4)), (SWITCH(weekday(AZ$4), 1, 0, 2, if(ISBLANK('2025'!$P122), 0, 1), 3, if(ISBLANK('2025'!$Q122), 0, 1), 4, if(ISBLANK('2025'!$R122), 0, 1), 5, if(ISBLANK('2025'!$S122), 0, 1), 6, if(ISBLANK('2025'!$T122), 0, 1), 7, 0))), 1, "")</f>
        <v/>
      </c>
      <c r="BA124" s="1" t="str">
        <f>IF(AND(AND(AND(BA$4&gt;='2025'!$L122,BA$4&lt;='2025'!$M122), BA$4&lt;&gt;DATE(2025,7,4)), (SWITCH(weekday(BA$4), 1, 0, 2, if(ISBLANK('2025'!$P122), 0, 1), 3, if(ISBLANK('2025'!$Q122), 0, 1), 4, if(ISBLANK('2025'!$R122), 0, 1), 5, if(ISBLANK('2025'!$S122), 0, 1), 6, if(ISBLANK('2025'!$T122), 0, 1), 7, 0))), 1, "")</f>
        <v/>
      </c>
      <c r="BB124" s="1" t="str">
        <f>IF(AND(AND(AND(BB$4&gt;='2025'!$L122,BB$4&lt;='2025'!$M122), BB$4&lt;&gt;DATE(2025,7,4)), (SWITCH(weekday(BB$4), 1, 0, 2, if(ISBLANK('2025'!$P122), 0, 1), 3, if(ISBLANK('2025'!$Q122), 0, 1), 4, if(ISBLANK('2025'!$R122), 0, 1), 5, if(ISBLANK('2025'!$S122), 0, 1), 6, if(ISBLANK('2025'!$T122), 0, 1), 7, 0))), 1, "")</f>
        <v/>
      </c>
      <c r="BC124" s="1" t="str">
        <f>IF(AND(AND(AND(BC$4&gt;='2025'!$L122,BC$4&lt;='2025'!$M122), BC$4&lt;&gt;DATE(2025,7,4)), (SWITCH(weekday(BC$4), 1, 0, 2, if(ISBLANK('2025'!$P122), 0, 1), 3, if(ISBLANK('2025'!$Q122), 0, 1), 4, if(ISBLANK('2025'!$R122), 0, 1), 5, if(ISBLANK('2025'!$S122), 0, 1), 6, if(ISBLANK('2025'!$T122), 0, 1), 7, 0))), 1, "")</f>
        <v/>
      </c>
      <c r="BD124" s="1" t="str">
        <f>IF(AND(AND(AND(BD$4&gt;='2025'!$L122,BD$4&lt;='2025'!$M122), BD$4&lt;&gt;DATE(2025,7,4)), (SWITCH(weekday(BD$4), 1, 0, 2, if(ISBLANK('2025'!$P122), 0, 1), 3, if(ISBLANK('2025'!$Q122), 0, 1), 4, if(ISBLANK('2025'!$R122), 0, 1), 5, if(ISBLANK('2025'!$S122), 0, 1), 6, if(ISBLANK('2025'!$T122), 0, 1), 7, 0))), 1, "")</f>
        <v/>
      </c>
      <c r="BE124" s="1" t="str">
        <f>IF(AND(AND(AND(BE$4&gt;='2025'!$L122,BE$4&lt;='2025'!$M122), BE$4&lt;&gt;DATE(2025,7,4)), (SWITCH(weekday(BE$4), 1, 0, 2, if(ISBLANK('2025'!$P122), 0, 1), 3, if(ISBLANK('2025'!$Q122), 0, 1), 4, if(ISBLANK('2025'!$R122), 0, 1), 5, if(ISBLANK('2025'!$S122), 0, 1), 6, if(ISBLANK('2025'!$T122), 0, 1), 7, 0))), 1, "")</f>
        <v/>
      </c>
      <c r="BF124" s="1" t="str">
        <f>IF(AND(AND(AND(BF$4&gt;='2025'!$L122,BF$4&lt;='2025'!$M122), BF$4&lt;&gt;DATE(2025,7,4)), (SWITCH(weekday(BF$4), 1, 0, 2, if(ISBLANK('2025'!$P122), 0, 1), 3, if(ISBLANK('2025'!$Q122), 0, 1), 4, if(ISBLANK('2025'!$R122), 0, 1), 5, if(ISBLANK('2025'!$S122), 0, 1), 6, if(ISBLANK('2025'!$T122), 0, 1), 7, 0))), 1, "")</f>
        <v/>
      </c>
      <c r="BG124" s="1"/>
      <c r="BH124" s="1"/>
      <c r="BI124" s="1"/>
      <c r="BJ124" s="1"/>
      <c r="BK124" s="1"/>
      <c r="BL124" s="1"/>
    </row>
    <row r="125">
      <c r="A125" s="1">
        <f t="shared" si="3"/>
        <v>125</v>
      </c>
      <c r="B125" s="1" t="str">
        <f>'2025'!D89</f>
        <v>, </v>
      </c>
      <c r="C125" s="1" t="str">
        <f>'2025'!H89</f>
        <v/>
      </c>
      <c r="D125" s="1" t="str">
        <f>IF(AND(AND(AND(D$4&gt;='2025'!$L123,D$4&lt;='2025'!$M123), D$4&lt;&gt;DATE(2025,7,4)), (SWITCH(weekday(D$4), 1, 0, 2, if(ISBLANK('2025'!$P123), 0, 1), 3, if(ISBLANK('2025'!$Q123), 0, 1), 4, if(ISBLANK('2025'!$R123), 0, 1), 5, if(ISBLANK('2025'!$S123), 0, 1), 6, if(ISBLANK('2025'!$T123), 0, 1), 7, 0))), 1, "")</f>
        <v/>
      </c>
      <c r="E125" s="1" t="str">
        <f>IF(AND(AND(AND(E$4&gt;='2025'!$L123,E$4&lt;='2025'!$M123), E$4&lt;&gt;DATE(2025,7,4)), (SWITCH(weekday(E$4), 1, 0, 2, if(ISBLANK('2025'!$P123), 0, 1), 3, if(ISBLANK('2025'!$Q123), 0, 1), 4, if(ISBLANK('2025'!$R123), 0, 1), 5, if(ISBLANK('2025'!$S123), 0, 1), 6, if(ISBLANK('2025'!$T123), 0, 1), 7, 0))), 1, "")</f>
        <v/>
      </c>
      <c r="F125" s="1" t="str">
        <f>IF(AND(AND(AND(F$4&gt;='2025'!$L123,F$4&lt;='2025'!$M123), F$4&lt;&gt;DATE(2025,7,4)), (SWITCH(weekday(F$4), 1, 0, 2, if(ISBLANK('2025'!$P123), 0, 1), 3, if(ISBLANK('2025'!$Q123), 0, 1), 4, if(ISBLANK('2025'!$R123), 0, 1), 5, if(ISBLANK('2025'!$S123), 0, 1), 6, if(ISBLANK('2025'!$T123), 0, 1), 7, 0))), 1, "")</f>
        <v/>
      </c>
      <c r="G125" s="1" t="str">
        <f>IF(AND(AND(AND(G$4&gt;='2025'!$L123,G$4&lt;='2025'!$M123), G$4&lt;&gt;DATE(2025,7,4)), (SWITCH(weekday(G$4), 1, 0, 2, if(ISBLANK('2025'!$P123), 0, 1), 3, if(ISBLANK('2025'!$Q123), 0, 1), 4, if(ISBLANK('2025'!$R123), 0, 1), 5, if(ISBLANK('2025'!$S123), 0, 1), 6, if(ISBLANK('2025'!$T123), 0, 1), 7, 0))), 1, "")</f>
        <v/>
      </c>
      <c r="H125" s="1" t="str">
        <f>IF(AND(AND(AND(H$4&gt;='2025'!$L123,H$4&lt;='2025'!$M123), H$4&lt;&gt;DATE(2025,7,4)), (SWITCH(weekday(H$4), 1, 0, 2, if(ISBLANK('2025'!$P123), 0, 1), 3, if(ISBLANK('2025'!$Q123), 0, 1), 4, if(ISBLANK('2025'!$R123), 0, 1), 5, if(ISBLANK('2025'!$S123), 0, 1), 6, if(ISBLANK('2025'!$T123), 0, 1), 7, 0))), 1, "")</f>
        <v/>
      </c>
      <c r="I125" s="1" t="str">
        <f>IF(AND(AND(AND(I$4&gt;='2025'!$L123,I$4&lt;='2025'!$M123), I$4&lt;&gt;DATE(2025,7,4)), (SWITCH(weekday(I$4), 1, 0, 2, if(ISBLANK('2025'!$P123), 0, 1), 3, if(ISBLANK('2025'!$Q123), 0, 1), 4, if(ISBLANK('2025'!$R123), 0, 1), 5, if(ISBLANK('2025'!$S123), 0, 1), 6, if(ISBLANK('2025'!$T123), 0, 1), 7, 0))), 1, "")</f>
        <v/>
      </c>
      <c r="J125" s="1" t="str">
        <f>IF(AND(AND(AND(J$4&gt;='2025'!$L123,J$4&lt;='2025'!$M123), J$4&lt;&gt;DATE(2025,7,4)), (SWITCH(weekday(J$4), 1, 0, 2, if(ISBLANK('2025'!$P123), 0, 1), 3, if(ISBLANK('2025'!$Q123), 0, 1), 4, if(ISBLANK('2025'!$R123), 0, 1), 5, if(ISBLANK('2025'!$S123), 0, 1), 6, if(ISBLANK('2025'!$T123), 0, 1), 7, 0))), 1, "")</f>
        <v/>
      </c>
      <c r="K125" s="1" t="str">
        <f>IF(AND(AND(AND(K$4&gt;='2025'!$L123,K$4&lt;='2025'!$M123), K$4&lt;&gt;DATE(2025,7,4)), (SWITCH(weekday(K$4), 1, 0, 2, if(ISBLANK('2025'!$P123), 0, 1), 3, if(ISBLANK('2025'!$Q123), 0, 1), 4, if(ISBLANK('2025'!$R123), 0, 1), 5, if(ISBLANK('2025'!$S123), 0, 1), 6, if(ISBLANK('2025'!$T123), 0, 1), 7, 0))), 1, "")</f>
        <v/>
      </c>
      <c r="L125" s="1" t="str">
        <f>IF(AND(AND(AND(L$4&gt;='2025'!$L123,L$4&lt;='2025'!$M123), L$4&lt;&gt;DATE(2025,7,4)), (SWITCH(weekday(L$4), 1, 0, 2, if(ISBLANK('2025'!$P123), 0, 1), 3, if(ISBLANK('2025'!$Q123), 0, 1), 4, if(ISBLANK('2025'!$R123), 0, 1), 5, if(ISBLANK('2025'!$S123), 0, 1), 6, if(ISBLANK('2025'!$T123), 0, 1), 7, 0))), 1, "")</f>
        <v/>
      </c>
      <c r="M125" s="1" t="str">
        <f>IF(AND(AND(AND(M$4&gt;='2025'!$L123,M$4&lt;='2025'!$M123), M$4&lt;&gt;DATE(2025,7,4)), (SWITCH(weekday(M$4), 1, 0, 2, if(ISBLANK('2025'!$P123), 0, 1), 3, if(ISBLANK('2025'!$Q123), 0, 1), 4, if(ISBLANK('2025'!$R123), 0, 1), 5, if(ISBLANK('2025'!$S123), 0, 1), 6, if(ISBLANK('2025'!$T123), 0, 1), 7, 0))), 1, "")</f>
        <v/>
      </c>
      <c r="N125" s="1" t="str">
        <f>IF(AND(AND(AND(N$4&gt;='2025'!$L123,N$4&lt;='2025'!$M123), N$4&lt;&gt;DATE(2025,7,4)), (SWITCH(weekday(N$4), 1, 0, 2, if(ISBLANK('2025'!$P123), 0, 1), 3, if(ISBLANK('2025'!$Q123), 0, 1), 4, if(ISBLANK('2025'!$R123), 0, 1), 5, if(ISBLANK('2025'!$S123), 0, 1), 6, if(ISBLANK('2025'!$T123), 0, 1), 7, 0))), 1, "")</f>
        <v/>
      </c>
      <c r="O125" s="1" t="str">
        <f>IF(AND(AND(AND(O$4&gt;='2025'!$L123,O$4&lt;='2025'!$M123), O$4&lt;&gt;DATE(2025,7,4)), (SWITCH(weekday(O$4), 1, 0, 2, if(ISBLANK('2025'!$P123), 0, 1), 3, if(ISBLANK('2025'!$Q123), 0, 1), 4, if(ISBLANK('2025'!$R123), 0, 1), 5, if(ISBLANK('2025'!$S123), 0, 1), 6, if(ISBLANK('2025'!$T123), 0, 1), 7, 0))), 1, "")</f>
        <v/>
      </c>
      <c r="P125" s="1" t="str">
        <f>IF(AND(AND(AND(P$4&gt;='2025'!$L123,P$4&lt;='2025'!$M123), P$4&lt;&gt;DATE(2025,7,4)), (SWITCH(weekday(P$4), 1, 0, 2, if(ISBLANK('2025'!$P123), 0, 1), 3, if(ISBLANK('2025'!$Q123), 0, 1), 4, if(ISBLANK('2025'!$R123), 0, 1), 5, if(ISBLANK('2025'!$S123), 0, 1), 6, if(ISBLANK('2025'!$T123), 0, 1), 7, 0))), 1, "")</f>
        <v/>
      </c>
      <c r="Q125" s="1" t="str">
        <f>IF(AND(AND(AND(Q$4&gt;='2025'!$L123,Q$4&lt;='2025'!$M123), Q$4&lt;&gt;DATE(2025,7,4)), (SWITCH(weekday(Q$4), 1, 0, 2, if(ISBLANK('2025'!$P123), 0, 1), 3, if(ISBLANK('2025'!$Q123), 0, 1), 4, if(ISBLANK('2025'!$R123), 0, 1), 5, if(ISBLANK('2025'!$S123), 0, 1), 6, if(ISBLANK('2025'!$T123), 0, 1), 7, 0))), 1, "")</f>
        <v/>
      </c>
      <c r="R125" s="1" t="str">
        <f>IF(AND(AND(AND(R$4&gt;='2025'!$L123,R$4&lt;='2025'!$M123), R$4&lt;&gt;DATE(2025,7,4)), (SWITCH(weekday(R$4), 1, 0, 2, if(ISBLANK('2025'!$P123), 0, 1), 3, if(ISBLANK('2025'!$Q123), 0, 1), 4, if(ISBLANK('2025'!$R123), 0, 1), 5, if(ISBLANK('2025'!$S123), 0, 1), 6, if(ISBLANK('2025'!$T123), 0, 1), 7, 0))), 1, "")</f>
        <v/>
      </c>
      <c r="S125" s="1" t="str">
        <f>IF(AND(AND(AND(S$4&gt;='2025'!$L123,S$4&lt;='2025'!$M123), S$4&lt;&gt;DATE(2025,7,4)), (SWITCH(weekday(S$4), 1, 0, 2, if(ISBLANK('2025'!$P123), 0, 1), 3, if(ISBLANK('2025'!$Q123), 0, 1), 4, if(ISBLANK('2025'!$R123), 0, 1), 5, if(ISBLANK('2025'!$S123), 0, 1), 6, if(ISBLANK('2025'!$T123), 0, 1), 7, 0))), 1, "")</f>
        <v/>
      </c>
      <c r="T125" s="1" t="str">
        <f>IF(AND(AND(AND(T$4&gt;='2025'!$L123,T$4&lt;='2025'!$M123), T$4&lt;&gt;DATE(2025,7,4)), (SWITCH(weekday(T$4), 1, 0, 2, if(ISBLANK('2025'!$P123), 0, 1), 3, if(ISBLANK('2025'!$Q123), 0, 1), 4, if(ISBLANK('2025'!$R123), 0, 1), 5, if(ISBLANK('2025'!$S123), 0, 1), 6, if(ISBLANK('2025'!$T123), 0, 1), 7, 0))), 1, "")</f>
        <v/>
      </c>
      <c r="U125" s="1" t="str">
        <f>IF(AND(AND(AND(U$4&gt;='2025'!$L123,U$4&lt;='2025'!$M123), U$4&lt;&gt;DATE(2025,7,4)), (SWITCH(weekday(U$4), 1, 0, 2, if(ISBLANK('2025'!$P123), 0, 1), 3, if(ISBLANK('2025'!$Q123), 0, 1), 4, if(ISBLANK('2025'!$R123), 0, 1), 5, if(ISBLANK('2025'!$S123), 0, 1), 6, if(ISBLANK('2025'!$T123), 0, 1), 7, 0))), 1, "")</f>
        <v/>
      </c>
      <c r="V125" s="1" t="str">
        <f>IF(AND(AND(AND(V$4&gt;='2025'!$L123,V$4&lt;='2025'!$M123), V$4&lt;&gt;DATE(2025,7,4)), (SWITCH(weekday(V$4), 1, 0, 2, if(ISBLANK('2025'!$P123), 0, 1), 3, if(ISBLANK('2025'!$Q123), 0, 1), 4, if(ISBLANK('2025'!$R123), 0, 1), 5, if(ISBLANK('2025'!$S123), 0, 1), 6, if(ISBLANK('2025'!$T123), 0, 1), 7, 0))), 1, "")</f>
        <v/>
      </c>
      <c r="W125" s="1" t="str">
        <f>IF(AND(AND(AND(W$4&gt;='2025'!$L123,W$4&lt;='2025'!$M123), W$4&lt;&gt;DATE(2025,7,4)), (SWITCH(weekday(W$4), 1, 0, 2, if(ISBLANK('2025'!$P123), 0, 1), 3, if(ISBLANK('2025'!$Q123), 0, 1), 4, if(ISBLANK('2025'!$R123), 0, 1), 5, if(ISBLANK('2025'!$S123), 0, 1), 6, if(ISBLANK('2025'!$T123), 0, 1), 7, 0))), 1, "")</f>
        <v/>
      </c>
      <c r="X125" s="1" t="str">
        <f>IF(AND(AND(AND(X$4&gt;='2025'!$L123,X$4&lt;='2025'!$M123), X$4&lt;&gt;DATE(2025,7,4)), (SWITCH(weekday(X$4), 1, 0, 2, if(ISBLANK('2025'!$P123), 0, 1), 3, if(ISBLANK('2025'!$Q123), 0, 1), 4, if(ISBLANK('2025'!$R123), 0, 1), 5, if(ISBLANK('2025'!$S123), 0, 1), 6, if(ISBLANK('2025'!$T123), 0, 1), 7, 0))), 1, "")</f>
        <v/>
      </c>
      <c r="Y125" s="1" t="str">
        <f>IF(AND(AND(AND(Y$4&gt;='2025'!$L123,Y$4&lt;='2025'!$M123), Y$4&lt;&gt;DATE(2025,7,4)), (SWITCH(weekday(Y$4), 1, 0, 2, if(ISBLANK('2025'!$P123), 0, 1), 3, if(ISBLANK('2025'!$Q123), 0, 1), 4, if(ISBLANK('2025'!$R123), 0, 1), 5, if(ISBLANK('2025'!$S123), 0, 1), 6, if(ISBLANK('2025'!$T123), 0, 1), 7, 0))), 1, "")</f>
        <v/>
      </c>
      <c r="Z125" s="1" t="str">
        <f>IF(AND(AND(AND(Z$4&gt;='2025'!$L123,Z$4&lt;='2025'!$M123), Z$4&lt;&gt;DATE(2025,7,4)), (SWITCH(weekday(Z$4), 1, 0, 2, if(ISBLANK('2025'!$P123), 0, 1), 3, if(ISBLANK('2025'!$Q123), 0, 1), 4, if(ISBLANK('2025'!$R123), 0, 1), 5, if(ISBLANK('2025'!$S123), 0, 1), 6, if(ISBLANK('2025'!$T123), 0, 1), 7, 0))), 1, "")</f>
        <v/>
      </c>
      <c r="AA125" s="1" t="str">
        <f>IF(AND(AND(AND(AA$4&gt;='2025'!$L123,AA$4&lt;='2025'!$M123), AA$4&lt;&gt;DATE(2025,7,4)), (SWITCH(weekday(AA$4), 1, 0, 2, if(ISBLANK('2025'!$P123), 0, 1), 3, if(ISBLANK('2025'!$Q123), 0, 1), 4, if(ISBLANK('2025'!$R123), 0, 1), 5, if(ISBLANK('2025'!$S123), 0, 1), 6, if(ISBLANK('2025'!$T123), 0, 1), 7, 0))), 1, "")</f>
        <v/>
      </c>
      <c r="AB125" s="1" t="str">
        <f>IF(AND(AND(AND(AB$4&gt;='2025'!$L123,AB$4&lt;='2025'!$M123), AB$4&lt;&gt;DATE(2025,7,4)), (SWITCH(weekday(AB$4), 1, 0, 2, if(ISBLANK('2025'!$P123), 0, 1), 3, if(ISBLANK('2025'!$Q123), 0, 1), 4, if(ISBLANK('2025'!$R123), 0, 1), 5, if(ISBLANK('2025'!$S123), 0, 1), 6, if(ISBLANK('2025'!$T123), 0, 1), 7, 0))), 1, "")</f>
        <v/>
      </c>
      <c r="AC125" s="1" t="str">
        <f>IF(AND(AND(AND(AC$4&gt;='2025'!$L123,AC$4&lt;='2025'!$M123), AC$4&lt;&gt;DATE(2025,7,4)), (SWITCH(weekday(AC$4), 1, 0, 2, if(ISBLANK('2025'!$P123), 0, 1), 3, if(ISBLANK('2025'!$Q123), 0, 1), 4, if(ISBLANK('2025'!$R123), 0, 1), 5, if(ISBLANK('2025'!$S123), 0, 1), 6, if(ISBLANK('2025'!$T123), 0, 1), 7, 0))), 1, "")</f>
        <v/>
      </c>
      <c r="AD125" s="1" t="str">
        <f>IF(AND(AND(AND(AD$4&gt;='2025'!$L123,AD$4&lt;='2025'!$M123), AD$4&lt;&gt;DATE(2025,7,4)), (SWITCH(weekday(AD$4), 1, 0, 2, if(ISBLANK('2025'!$P123), 0, 1), 3, if(ISBLANK('2025'!$Q123), 0, 1), 4, if(ISBLANK('2025'!$R123), 0, 1), 5, if(ISBLANK('2025'!$S123), 0, 1), 6, if(ISBLANK('2025'!$T123), 0, 1), 7, 0))), 1, "")</f>
        <v/>
      </c>
      <c r="AE125" s="1" t="str">
        <f>IF(AND(AND(AND(AE$4&gt;='2025'!$L123,AE$4&lt;='2025'!$M123), AE$4&lt;&gt;DATE(2025,7,4)), (SWITCH(weekday(AE$4), 1, 0, 2, if(ISBLANK('2025'!$P123), 0, 1), 3, if(ISBLANK('2025'!$Q123), 0, 1), 4, if(ISBLANK('2025'!$R123), 0, 1), 5, if(ISBLANK('2025'!$S123), 0, 1), 6, if(ISBLANK('2025'!$T123), 0, 1), 7, 0))), 1, "")</f>
        <v/>
      </c>
      <c r="AF125" s="1" t="str">
        <f>IF(AND(AND(AND(AF$4&gt;='2025'!$L123,AF$4&lt;='2025'!$M123), AF$4&lt;&gt;DATE(2025,7,4)), (SWITCH(weekday(AF$4), 1, 0, 2, if(ISBLANK('2025'!$P123), 0, 1), 3, if(ISBLANK('2025'!$Q123), 0, 1), 4, if(ISBLANK('2025'!$R123), 0, 1), 5, if(ISBLANK('2025'!$S123), 0, 1), 6, if(ISBLANK('2025'!$T123), 0, 1), 7, 0))), 1, "")</f>
        <v/>
      </c>
      <c r="AG125" s="1" t="str">
        <f>IF(AND(AND(AND(AG$4&gt;='2025'!$L123,AG$4&lt;='2025'!$M123), AG$4&lt;&gt;DATE(2025,7,4)), (SWITCH(weekday(AG$4), 1, 0, 2, if(ISBLANK('2025'!$P123), 0, 1), 3, if(ISBLANK('2025'!$Q123), 0, 1), 4, if(ISBLANK('2025'!$R123), 0, 1), 5, if(ISBLANK('2025'!$S123), 0, 1), 6, if(ISBLANK('2025'!$T123), 0, 1), 7, 0))), 1, "")</f>
        <v/>
      </c>
      <c r="AH125" s="1" t="str">
        <f>IF(AND(AND(AND(AH$4&gt;='2025'!$L123,AH$4&lt;='2025'!$M123), AH$4&lt;&gt;DATE(2025,7,4)), (SWITCH(weekday(AH$4), 1, 0, 2, if(ISBLANK('2025'!$P123), 0, 1), 3, if(ISBLANK('2025'!$Q123), 0, 1), 4, if(ISBLANK('2025'!$R123), 0, 1), 5, if(ISBLANK('2025'!$S123), 0, 1), 6, if(ISBLANK('2025'!$T123), 0, 1), 7, 0))), 1, "")</f>
        <v/>
      </c>
      <c r="AI125" s="1" t="str">
        <f>IF(AND(AND(AND(AI$4&gt;='2025'!$L123,AI$4&lt;='2025'!$M123), AI$4&lt;&gt;DATE(2025,7,4)), (SWITCH(weekday(AI$4), 1, 0, 2, if(ISBLANK('2025'!$P123), 0, 1), 3, if(ISBLANK('2025'!$Q123), 0, 1), 4, if(ISBLANK('2025'!$R123), 0, 1), 5, if(ISBLANK('2025'!$S123), 0, 1), 6, if(ISBLANK('2025'!$T123), 0, 1), 7, 0))), 1, "")</f>
        <v/>
      </c>
      <c r="AJ125" s="1" t="str">
        <f>IF(AND(AND(AND(AJ$4&gt;='2025'!$L123,AJ$4&lt;='2025'!$M123), AJ$4&lt;&gt;DATE(2025,7,4)), (SWITCH(weekday(AJ$4), 1, 0, 2, if(ISBLANK('2025'!$P123), 0, 1), 3, if(ISBLANK('2025'!$Q123), 0, 1), 4, if(ISBLANK('2025'!$R123), 0, 1), 5, if(ISBLANK('2025'!$S123), 0, 1), 6, if(ISBLANK('2025'!$T123), 0, 1), 7, 0))), 1, "")</f>
        <v/>
      </c>
      <c r="AK125" s="1" t="str">
        <f>IF(AND(AND(AND(AK$4&gt;='2025'!$L123,AK$4&lt;='2025'!$M123), AK$4&lt;&gt;DATE(2025,7,4)), (SWITCH(weekday(AK$4), 1, 0, 2, if(ISBLANK('2025'!$P123), 0, 1), 3, if(ISBLANK('2025'!$Q123), 0, 1), 4, if(ISBLANK('2025'!$R123), 0, 1), 5, if(ISBLANK('2025'!$S123), 0, 1), 6, if(ISBLANK('2025'!$T123), 0, 1), 7, 0))), 1, "")</f>
        <v/>
      </c>
      <c r="AL125" s="1" t="str">
        <f>IF(AND(AND(AND(AL$4&gt;='2025'!$L123,AL$4&lt;='2025'!$M123), AL$4&lt;&gt;DATE(2025,7,4)), (SWITCH(weekday(AL$4), 1, 0, 2, if(ISBLANK('2025'!$P123), 0, 1), 3, if(ISBLANK('2025'!$Q123), 0, 1), 4, if(ISBLANK('2025'!$R123), 0, 1), 5, if(ISBLANK('2025'!$S123), 0, 1), 6, if(ISBLANK('2025'!$T123), 0, 1), 7, 0))), 1, "")</f>
        <v/>
      </c>
      <c r="AM125" s="1" t="str">
        <f>IF(AND(AND(AND(AM$4&gt;='2025'!$L123,AM$4&lt;='2025'!$M123), AM$4&lt;&gt;DATE(2025,7,4)), (SWITCH(weekday(AM$4), 1, 0, 2, if(ISBLANK('2025'!$P123), 0, 1), 3, if(ISBLANK('2025'!$Q123), 0, 1), 4, if(ISBLANK('2025'!$R123), 0, 1), 5, if(ISBLANK('2025'!$S123), 0, 1), 6, if(ISBLANK('2025'!$T123), 0, 1), 7, 0))), 1, "")</f>
        <v/>
      </c>
      <c r="AN125" s="1" t="str">
        <f>IF(AND(AND(AND(AN$4&gt;='2025'!$L123,AN$4&lt;='2025'!$M123), AN$4&lt;&gt;DATE(2025,7,4)), (SWITCH(weekday(AN$4), 1, 0, 2, if(ISBLANK('2025'!$P123), 0, 1), 3, if(ISBLANK('2025'!$Q123), 0, 1), 4, if(ISBLANK('2025'!$R123), 0, 1), 5, if(ISBLANK('2025'!$S123), 0, 1), 6, if(ISBLANK('2025'!$T123), 0, 1), 7, 0))), 1, "")</f>
        <v/>
      </c>
      <c r="AO125" s="1" t="str">
        <f>IF(AND(AND(AND(AO$4&gt;='2025'!$L123,AO$4&lt;='2025'!$M123), AO$4&lt;&gt;DATE(2025,7,4)), (SWITCH(weekday(AO$4), 1, 0, 2, if(ISBLANK('2025'!$P123), 0, 1), 3, if(ISBLANK('2025'!$Q123), 0, 1), 4, if(ISBLANK('2025'!$R123), 0, 1), 5, if(ISBLANK('2025'!$S123), 0, 1), 6, if(ISBLANK('2025'!$T123), 0, 1), 7, 0))), 1, "")</f>
        <v/>
      </c>
      <c r="AP125" s="1" t="str">
        <f>IF(AND(AND(AND(AP$4&gt;='2025'!$L123,AP$4&lt;='2025'!$M123), AP$4&lt;&gt;DATE(2025,7,4)), (SWITCH(weekday(AP$4), 1, 0, 2, if(ISBLANK('2025'!$P123), 0, 1), 3, if(ISBLANK('2025'!$Q123), 0, 1), 4, if(ISBLANK('2025'!$R123), 0, 1), 5, if(ISBLANK('2025'!$S123), 0, 1), 6, if(ISBLANK('2025'!$T123), 0, 1), 7, 0))), 1, "")</f>
        <v/>
      </c>
      <c r="AQ125" s="1" t="str">
        <f>IF(AND(AND(AND(AQ$4&gt;='2025'!$L123,AQ$4&lt;='2025'!$M123), AQ$4&lt;&gt;DATE(2025,7,4)), (SWITCH(weekday(AQ$4), 1, 0, 2, if(ISBLANK('2025'!$P123), 0, 1), 3, if(ISBLANK('2025'!$Q123), 0, 1), 4, if(ISBLANK('2025'!$R123), 0, 1), 5, if(ISBLANK('2025'!$S123), 0, 1), 6, if(ISBLANK('2025'!$T123), 0, 1), 7, 0))), 1, "")</f>
        <v/>
      </c>
      <c r="AR125" s="1" t="str">
        <f>IF(AND(AND(AND(AR$4&gt;='2025'!$L123,AR$4&lt;='2025'!$M123), AR$4&lt;&gt;DATE(2025,7,4)), (SWITCH(weekday(AR$4), 1, 0, 2, if(ISBLANK('2025'!$P123), 0, 1), 3, if(ISBLANK('2025'!$Q123), 0, 1), 4, if(ISBLANK('2025'!$R123), 0, 1), 5, if(ISBLANK('2025'!$S123), 0, 1), 6, if(ISBLANK('2025'!$T123), 0, 1), 7, 0))), 1, "")</f>
        <v/>
      </c>
      <c r="AS125" s="1" t="str">
        <f>IF(AND(AND(AND(AS$4&gt;='2025'!$L123,AS$4&lt;='2025'!$M123), AS$4&lt;&gt;DATE(2025,7,4)), (SWITCH(weekday(AS$4), 1, 0, 2, if(ISBLANK('2025'!$P123), 0, 1), 3, if(ISBLANK('2025'!$Q123), 0, 1), 4, if(ISBLANK('2025'!$R123), 0, 1), 5, if(ISBLANK('2025'!$S123), 0, 1), 6, if(ISBLANK('2025'!$T123), 0, 1), 7, 0))), 1, "")</f>
        <v/>
      </c>
      <c r="AT125" s="1" t="str">
        <f>IF(AND(AND(AND(AT$4&gt;='2025'!$L123,AT$4&lt;='2025'!$M123), AT$4&lt;&gt;DATE(2025,7,4)), (SWITCH(weekday(AT$4), 1, 0, 2, if(ISBLANK('2025'!$P123), 0, 1), 3, if(ISBLANK('2025'!$Q123), 0, 1), 4, if(ISBLANK('2025'!$R123), 0, 1), 5, if(ISBLANK('2025'!$S123), 0, 1), 6, if(ISBLANK('2025'!$T123), 0, 1), 7, 0))), 1, "")</f>
        <v/>
      </c>
      <c r="AU125" s="1" t="str">
        <f>IF(AND(AND(AND(AU$4&gt;='2025'!$L123,AU$4&lt;='2025'!$M123), AU$4&lt;&gt;DATE(2025,7,4)), (SWITCH(weekday(AU$4), 1, 0, 2, if(ISBLANK('2025'!$P123), 0, 1), 3, if(ISBLANK('2025'!$Q123), 0, 1), 4, if(ISBLANK('2025'!$R123), 0, 1), 5, if(ISBLANK('2025'!$S123), 0, 1), 6, if(ISBLANK('2025'!$T123), 0, 1), 7, 0))), 1, "")</f>
        <v/>
      </c>
      <c r="AV125" s="1" t="str">
        <f>IF(AND(AND(AND(AV$4&gt;='2025'!$L123,AV$4&lt;='2025'!$M123), AV$4&lt;&gt;DATE(2025,7,4)), (SWITCH(weekday(AV$4), 1, 0, 2, if(ISBLANK('2025'!$P123), 0, 1), 3, if(ISBLANK('2025'!$Q123), 0, 1), 4, if(ISBLANK('2025'!$R123), 0, 1), 5, if(ISBLANK('2025'!$S123), 0, 1), 6, if(ISBLANK('2025'!$T123), 0, 1), 7, 0))), 1, "")</f>
        <v/>
      </c>
      <c r="AW125" s="1" t="str">
        <f>IF(AND(AND(AND(AW$4&gt;='2025'!$L123,AW$4&lt;='2025'!$M123), AW$4&lt;&gt;DATE(2025,7,4)), (SWITCH(weekday(AW$4), 1, 0, 2, if(ISBLANK('2025'!$P123), 0, 1), 3, if(ISBLANK('2025'!$Q123), 0, 1), 4, if(ISBLANK('2025'!$R123), 0, 1), 5, if(ISBLANK('2025'!$S123), 0, 1), 6, if(ISBLANK('2025'!$T123), 0, 1), 7, 0))), 1, "")</f>
        <v/>
      </c>
      <c r="AX125" s="1" t="str">
        <f>IF(AND(AND(AND(AX$4&gt;='2025'!$L123,AX$4&lt;='2025'!$M123), AX$4&lt;&gt;DATE(2025,7,4)), (SWITCH(weekday(AX$4), 1, 0, 2, if(ISBLANK('2025'!$P123), 0, 1), 3, if(ISBLANK('2025'!$Q123), 0, 1), 4, if(ISBLANK('2025'!$R123), 0, 1), 5, if(ISBLANK('2025'!$S123), 0, 1), 6, if(ISBLANK('2025'!$T123), 0, 1), 7, 0))), 1, "")</f>
        <v/>
      </c>
      <c r="AY125" s="1" t="str">
        <f>IF(AND(AND(AND(AY$4&gt;='2025'!$L123,AY$4&lt;='2025'!$M123), AY$4&lt;&gt;DATE(2025,7,4)), (SWITCH(weekday(AY$4), 1, 0, 2, if(ISBLANK('2025'!$P123), 0, 1), 3, if(ISBLANK('2025'!$Q123), 0, 1), 4, if(ISBLANK('2025'!$R123), 0, 1), 5, if(ISBLANK('2025'!$S123), 0, 1), 6, if(ISBLANK('2025'!$T123), 0, 1), 7, 0))), 1, "")</f>
        <v/>
      </c>
      <c r="AZ125" s="1" t="str">
        <f>IF(AND(AND(AND(AZ$4&gt;='2025'!$L123,AZ$4&lt;='2025'!$M123), AZ$4&lt;&gt;DATE(2025,7,4)), (SWITCH(weekday(AZ$4), 1, 0, 2, if(ISBLANK('2025'!$P123), 0, 1), 3, if(ISBLANK('2025'!$Q123), 0, 1), 4, if(ISBLANK('2025'!$R123), 0, 1), 5, if(ISBLANK('2025'!$S123), 0, 1), 6, if(ISBLANK('2025'!$T123), 0, 1), 7, 0))), 1, "")</f>
        <v/>
      </c>
      <c r="BA125" s="1" t="str">
        <f>IF(AND(AND(AND(BA$4&gt;='2025'!$L123,BA$4&lt;='2025'!$M123), BA$4&lt;&gt;DATE(2025,7,4)), (SWITCH(weekday(BA$4), 1, 0, 2, if(ISBLANK('2025'!$P123), 0, 1), 3, if(ISBLANK('2025'!$Q123), 0, 1), 4, if(ISBLANK('2025'!$R123), 0, 1), 5, if(ISBLANK('2025'!$S123), 0, 1), 6, if(ISBLANK('2025'!$T123), 0, 1), 7, 0))), 1, "")</f>
        <v/>
      </c>
      <c r="BB125" s="1" t="str">
        <f>IF(AND(AND(AND(BB$4&gt;='2025'!$L123,BB$4&lt;='2025'!$M123), BB$4&lt;&gt;DATE(2025,7,4)), (SWITCH(weekday(BB$4), 1, 0, 2, if(ISBLANK('2025'!$P123), 0, 1), 3, if(ISBLANK('2025'!$Q123), 0, 1), 4, if(ISBLANK('2025'!$R123), 0, 1), 5, if(ISBLANK('2025'!$S123), 0, 1), 6, if(ISBLANK('2025'!$T123), 0, 1), 7, 0))), 1, "")</f>
        <v/>
      </c>
      <c r="BC125" s="1" t="str">
        <f>IF(AND(AND(AND(BC$4&gt;='2025'!$L123,BC$4&lt;='2025'!$M123), BC$4&lt;&gt;DATE(2025,7,4)), (SWITCH(weekday(BC$4), 1, 0, 2, if(ISBLANK('2025'!$P123), 0, 1), 3, if(ISBLANK('2025'!$Q123), 0, 1), 4, if(ISBLANK('2025'!$R123), 0, 1), 5, if(ISBLANK('2025'!$S123), 0, 1), 6, if(ISBLANK('2025'!$T123), 0, 1), 7, 0))), 1, "")</f>
        <v/>
      </c>
      <c r="BD125" s="1" t="str">
        <f>IF(AND(AND(AND(BD$4&gt;='2025'!$L123,BD$4&lt;='2025'!$M123), BD$4&lt;&gt;DATE(2025,7,4)), (SWITCH(weekday(BD$4), 1, 0, 2, if(ISBLANK('2025'!$P123), 0, 1), 3, if(ISBLANK('2025'!$Q123), 0, 1), 4, if(ISBLANK('2025'!$R123), 0, 1), 5, if(ISBLANK('2025'!$S123), 0, 1), 6, if(ISBLANK('2025'!$T123), 0, 1), 7, 0))), 1, "")</f>
        <v/>
      </c>
      <c r="BE125" s="1" t="str">
        <f>IF(AND(AND(AND(BE$4&gt;='2025'!$L123,BE$4&lt;='2025'!$M123), BE$4&lt;&gt;DATE(2025,7,4)), (SWITCH(weekday(BE$4), 1, 0, 2, if(ISBLANK('2025'!$P123), 0, 1), 3, if(ISBLANK('2025'!$Q123), 0, 1), 4, if(ISBLANK('2025'!$R123), 0, 1), 5, if(ISBLANK('2025'!$S123), 0, 1), 6, if(ISBLANK('2025'!$T123), 0, 1), 7, 0))), 1, "")</f>
        <v/>
      </c>
      <c r="BF125" s="1" t="str">
        <f>IF(AND(AND(AND(BF$4&gt;='2025'!$L123,BF$4&lt;='2025'!$M123), BF$4&lt;&gt;DATE(2025,7,4)), (SWITCH(weekday(BF$4), 1, 0, 2, if(ISBLANK('2025'!$P123), 0, 1), 3, if(ISBLANK('2025'!$Q123), 0, 1), 4, if(ISBLANK('2025'!$R123), 0, 1), 5, if(ISBLANK('2025'!$S123), 0, 1), 6, if(ISBLANK('2025'!$T123), 0, 1), 7, 0))), 1, "")</f>
        <v/>
      </c>
      <c r="BG125" s="1"/>
      <c r="BH125" s="1"/>
      <c r="BI125" s="1"/>
      <c r="BJ125" s="1"/>
      <c r="BK125" s="1"/>
      <c r="BL125" s="1"/>
    </row>
    <row r="126">
      <c r="A126" s="1">
        <f t="shared" si="3"/>
        <v>126</v>
      </c>
      <c r="B126" s="1" t="str">
        <f>'2025'!D90</f>
        <v>, </v>
      </c>
      <c r="C126" s="1" t="str">
        <f>'2025'!H90</f>
        <v/>
      </c>
      <c r="D126" s="1" t="str">
        <f>IF(AND(AND(AND(D$4&gt;='2025'!$L124,D$4&lt;='2025'!$M124), D$4&lt;&gt;DATE(2025,7,4)), (SWITCH(weekday(D$4), 1, 0, 2, if(ISBLANK('2025'!$P124), 0, 1), 3, if(ISBLANK('2025'!$Q124), 0, 1), 4, if(ISBLANK('2025'!$R124), 0, 1), 5, if(ISBLANK('2025'!$S124), 0, 1), 6, if(ISBLANK('2025'!$T124), 0, 1), 7, 0))), 1, "")</f>
        <v/>
      </c>
      <c r="E126" s="1" t="str">
        <f>IF(AND(AND(AND(E$4&gt;='2025'!$L124,E$4&lt;='2025'!$M124), E$4&lt;&gt;DATE(2025,7,4)), (SWITCH(weekday(E$4), 1, 0, 2, if(ISBLANK('2025'!$P124), 0, 1), 3, if(ISBLANK('2025'!$Q124), 0, 1), 4, if(ISBLANK('2025'!$R124), 0, 1), 5, if(ISBLANK('2025'!$S124), 0, 1), 6, if(ISBLANK('2025'!$T124), 0, 1), 7, 0))), 1, "")</f>
        <v/>
      </c>
      <c r="F126" s="1" t="str">
        <f>IF(AND(AND(AND(F$4&gt;='2025'!$L124,F$4&lt;='2025'!$M124), F$4&lt;&gt;DATE(2025,7,4)), (SWITCH(weekday(F$4), 1, 0, 2, if(ISBLANK('2025'!$P124), 0, 1), 3, if(ISBLANK('2025'!$Q124), 0, 1), 4, if(ISBLANK('2025'!$R124), 0, 1), 5, if(ISBLANK('2025'!$S124), 0, 1), 6, if(ISBLANK('2025'!$T124), 0, 1), 7, 0))), 1, "")</f>
        <v/>
      </c>
      <c r="G126" s="1" t="str">
        <f>IF(AND(AND(AND(G$4&gt;='2025'!$L124,G$4&lt;='2025'!$M124), G$4&lt;&gt;DATE(2025,7,4)), (SWITCH(weekday(G$4), 1, 0, 2, if(ISBLANK('2025'!$P124), 0, 1), 3, if(ISBLANK('2025'!$Q124), 0, 1), 4, if(ISBLANK('2025'!$R124), 0, 1), 5, if(ISBLANK('2025'!$S124), 0, 1), 6, if(ISBLANK('2025'!$T124), 0, 1), 7, 0))), 1, "")</f>
        <v/>
      </c>
      <c r="H126" s="1" t="str">
        <f>IF(AND(AND(AND(H$4&gt;='2025'!$L124,H$4&lt;='2025'!$M124), H$4&lt;&gt;DATE(2025,7,4)), (SWITCH(weekday(H$4), 1, 0, 2, if(ISBLANK('2025'!$P124), 0, 1), 3, if(ISBLANK('2025'!$Q124), 0, 1), 4, if(ISBLANK('2025'!$R124), 0, 1), 5, if(ISBLANK('2025'!$S124), 0, 1), 6, if(ISBLANK('2025'!$T124), 0, 1), 7, 0))), 1, "")</f>
        <v/>
      </c>
      <c r="I126" s="1" t="str">
        <f>IF(AND(AND(AND(I$4&gt;='2025'!$L124,I$4&lt;='2025'!$M124), I$4&lt;&gt;DATE(2025,7,4)), (SWITCH(weekday(I$4), 1, 0, 2, if(ISBLANK('2025'!$P124), 0, 1), 3, if(ISBLANK('2025'!$Q124), 0, 1), 4, if(ISBLANK('2025'!$R124), 0, 1), 5, if(ISBLANK('2025'!$S124), 0, 1), 6, if(ISBLANK('2025'!$T124), 0, 1), 7, 0))), 1, "")</f>
        <v/>
      </c>
      <c r="J126" s="1" t="str">
        <f>IF(AND(AND(AND(J$4&gt;='2025'!$L124,J$4&lt;='2025'!$M124), J$4&lt;&gt;DATE(2025,7,4)), (SWITCH(weekday(J$4), 1, 0, 2, if(ISBLANK('2025'!$P124), 0, 1), 3, if(ISBLANK('2025'!$Q124), 0, 1), 4, if(ISBLANK('2025'!$R124), 0, 1), 5, if(ISBLANK('2025'!$S124), 0, 1), 6, if(ISBLANK('2025'!$T124), 0, 1), 7, 0))), 1, "")</f>
        <v/>
      </c>
      <c r="K126" s="1" t="str">
        <f>IF(AND(AND(AND(K$4&gt;='2025'!$L124,K$4&lt;='2025'!$M124), K$4&lt;&gt;DATE(2025,7,4)), (SWITCH(weekday(K$4), 1, 0, 2, if(ISBLANK('2025'!$P124), 0, 1), 3, if(ISBLANK('2025'!$Q124), 0, 1), 4, if(ISBLANK('2025'!$R124), 0, 1), 5, if(ISBLANK('2025'!$S124), 0, 1), 6, if(ISBLANK('2025'!$T124), 0, 1), 7, 0))), 1, "")</f>
        <v/>
      </c>
      <c r="L126" s="1" t="str">
        <f>IF(AND(AND(AND(L$4&gt;='2025'!$L124,L$4&lt;='2025'!$M124), L$4&lt;&gt;DATE(2025,7,4)), (SWITCH(weekday(L$4), 1, 0, 2, if(ISBLANK('2025'!$P124), 0, 1), 3, if(ISBLANK('2025'!$Q124), 0, 1), 4, if(ISBLANK('2025'!$R124), 0, 1), 5, if(ISBLANK('2025'!$S124), 0, 1), 6, if(ISBLANK('2025'!$T124), 0, 1), 7, 0))), 1, "")</f>
        <v/>
      </c>
      <c r="M126" s="1" t="str">
        <f>IF(AND(AND(AND(M$4&gt;='2025'!$L124,M$4&lt;='2025'!$M124), M$4&lt;&gt;DATE(2025,7,4)), (SWITCH(weekday(M$4), 1, 0, 2, if(ISBLANK('2025'!$P124), 0, 1), 3, if(ISBLANK('2025'!$Q124), 0, 1), 4, if(ISBLANK('2025'!$R124), 0, 1), 5, if(ISBLANK('2025'!$S124), 0, 1), 6, if(ISBLANK('2025'!$T124), 0, 1), 7, 0))), 1, "")</f>
        <v/>
      </c>
      <c r="N126" s="1" t="str">
        <f>IF(AND(AND(AND(N$4&gt;='2025'!$L124,N$4&lt;='2025'!$M124), N$4&lt;&gt;DATE(2025,7,4)), (SWITCH(weekday(N$4), 1, 0, 2, if(ISBLANK('2025'!$P124), 0, 1), 3, if(ISBLANK('2025'!$Q124), 0, 1), 4, if(ISBLANK('2025'!$R124), 0, 1), 5, if(ISBLANK('2025'!$S124), 0, 1), 6, if(ISBLANK('2025'!$T124), 0, 1), 7, 0))), 1, "")</f>
        <v/>
      </c>
      <c r="O126" s="1" t="str">
        <f>IF(AND(AND(AND(O$4&gt;='2025'!$L124,O$4&lt;='2025'!$M124), O$4&lt;&gt;DATE(2025,7,4)), (SWITCH(weekday(O$4), 1, 0, 2, if(ISBLANK('2025'!$P124), 0, 1), 3, if(ISBLANK('2025'!$Q124), 0, 1), 4, if(ISBLANK('2025'!$R124), 0, 1), 5, if(ISBLANK('2025'!$S124), 0, 1), 6, if(ISBLANK('2025'!$T124), 0, 1), 7, 0))), 1, "")</f>
        <v/>
      </c>
      <c r="P126" s="1" t="str">
        <f>IF(AND(AND(AND(P$4&gt;='2025'!$L124,P$4&lt;='2025'!$M124), P$4&lt;&gt;DATE(2025,7,4)), (SWITCH(weekday(P$4), 1, 0, 2, if(ISBLANK('2025'!$P124), 0, 1), 3, if(ISBLANK('2025'!$Q124), 0, 1), 4, if(ISBLANK('2025'!$R124), 0, 1), 5, if(ISBLANK('2025'!$S124), 0, 1), 6, if(ISBLANK('2025'!$T124), 0, 1), 7, 0))), 1, "")</f>
        <v/>
      </c>
      <c r="Q126" s="1" t="str">
        <f>IF(AND(AND(AND(Q$4&gt;='2025'!$L124,Q$4&lt;='2025'!$M124), Q$4&lt;&gt;DATE(2025,7,4)), (SWITCH(weekday(Q$4), 1, 0, 2, if(ISBLANK('2025'!$P124), 0, 1), 3, if(ISBLANK('2025'!$Q124), 0, 1), 4, if(ISBLANK('2025'!$R124), 0, 1), 5, if(ISBLANK('2025'!$S124), 0, 1), 6, if(ISBLANK('2025'!$T124), 0, 1), 7, 0))), 1, "")</f>
        <v/>
      </c>
      <c r="R126" s="1" t="str">
        <f>IF(AND(AND(AND(R$4&gt;='2025'!$L124,R$4&lt;='2025'!$M124), R$4&lt;&gt;DATE(2025,7,4)), (SWITCH(weekday(R$4), 1, 0, 2, if(ISBLANK('2025'!$P124), 0, 1), 3, if(ISBLANK('2025'!$Q124), 0, 1), 4, if(ISBLANK('2025'!$R124), 0, 1), 5, if(ISBLANK('2025'!$S124), 0, 1), 6, if(ISBLANK('2025'!$T124), 0, 1), 7, 0))), 1, "")</f>
        <v/>
      </c>
      <c r="S126" s="1" t="str">
        <f>IF(AND(AND(AND(S$4&gt;='2025'!$L124,S$4&lt;='2025'!$M124), S$4&lt;&gt;DATE(2025,7,4)), (SWITCH(weekday(S$4), 1, 0, 2, if(ISBLANK('2025'!$P124), 0, 1), 3, if(ISBLANK('2025'!$Q124), 0, 1), 4, if(ISBLANK('2025'!$R124), 0, 1), 5, if(ISBLANK('2025'!$S124), 0, 1), 6, if(ISBLANK('2025'!$T124), 0, 1), 7, 0))), 1, "")</f>
        <v/>
      </c>
      <c r="T126" s="1" t="str">
        <f>IF(AND(AND(AND(T$4&gt;='2025'!$L124,T$4&lt;='2025'!$M124), T$4&lt;&gt;DATE(2025,7,4)), (SWITCH(weekday(T$4), 1, 0, 2, if(ISBLANK('2025'!$P124), 0, 1), 3, if(ISBLANK('2025'!$Q124), 0, 1), 4, if(ISBLANK('2025'!$R124), 0, 1), 5, if(ISBLANK('2025'!$S124), 0, 1), 6, if(ISBLANK('2025'!$T124), 0, 1), 7, 0))), 1, "")</f>
        <v/>
      </c>
      <c r="U126" s="1" t="str">
        <f>IF(AND(AND(AND(U$4&gt;='2025'!$L124,U$4&lt;='2025'!$M124), U$4&lt;&gt;DATE(2025,7,4)), (SWITCH(weekday(U$4), 1, 0, 2, if(ISBLANK('2025'!$P124), 0, 1), 3, if(ISBLANK('2025'!$Q124), 0, 1), 4, if(ISBLANK('2025'!$R124), 0, 1), 5, if(ISBLANK('2025'!$S124), 0, 1), 6, if(ISBLANK('2025'!$T124), 0, 1), 7, 0))), 1, "")</f>
        <v/>
      </c>
      <c r="V126" s="1" t="str">
        <f>IF(AND(AND(AND(V$4&gt;='2025'!$L124,V$4&lt;='2025'!$M124), V$4&lt;&gt;DATE(2025,7,4)), (SWITCH(weekday(V$4), 1, 0, 2, if(ISBLANK('2025'!$P124), 0, 1), 3, if(ISBLANK('2025'!$Q124), 0, 1), 4, if(ISBLANK('2025'!$R124), 0, 1), 5, if(ISBLANK('2025'!$S124), 0, 1), 6, if(ISBLANK('2025'!$T124), 0, 1), 7, 0))), 1, "")</f>
        <v/>
      </c>
      <c r="W126" s="1" t="str">
        <f>IF(AND(AND(AND(W$4&gt;='2025'!$L124,W$4&lt;='2025'!$M124), W$4&lt;&gt;DATE(2025,7,4)), (SWITCH(weekday(W$4), 1, 0, 2, if(ISBLANK('2025'!$P124), 0, 1), 3, if(ISBLANK('2025'!$Q124), 0, 1), 4, if(ISBLANK('2025'!$R124), 0, 1), 5, if(ISBLANK('2025'!$S124), 0, 1), 6, if(ISBLANK('2025'!$T124), 0, 1), 7, 0))), 1, "")</f>
        <v/>
      </c>
      <c r="X126" s="1" t="str">
        <f>IF(AND(AND(AND(X$4&gt;='2025'!$L124,X$4&lt;='2025'!$M124), X$4&lt;&gt;DATE(2025,7,4)), (SWITCH(weekday(X$4), 1, 0, 2, if(ISBLANK('2025'!$P124), 0, 1), 3, if(ISBLANK('2025'!$Q124), 0, 1), 4, if(ISBLANK('2025'!$R124), 0, 1), 5, if(ISBLANK('2025'!$S124), 0, 1), 6, if(ISBLANK('2025'!$T124), 0, 1), 7, 0))), 1, "")</f>
        <v/>
      </c>
      <c r="Y126" s="1" t="str">
        <f>IF(AND(AND(AND(Y$4&gt;='2025'!$L124,Y$4&lt;='2025'!$M124), Y$4&lt;&gt;DATE(2025,7,4)), (SWITCH(weekday(Y$4), 1, 0, 2, if(ISBLANK('2025'!$P124), 0, 1), 3, if(ISBLANK('2025'!$Q124), 0, 1), 4, if(ISBLANK('2025'!$R124), 0, 1), 5, if(ISBLANK('2025'!$S124), 0, 1), 6, if(ISBLANK('2025'!$T124), 0, 1), 7, 0))), 1, "")</f>
        <v/>
      </c>
      <c r="Z126" s="1" t="str">
        <f>IF(AND(AND(AND(Z$4&gt;='2025'!$L124,Z$4&lt;='2025'!$M124), Z$4&lt;&gt;DATE(2025,7,4)), (SWITCH(weekday(Z$4), 1, 0, 2, if(ISBLANK('2025'!$P124), 0, 1), 3, if(ISBLANK('2025'!$Q124), 0, 1), 4, if(ISBLANK('2025'!$R124), 0, 1), 5, if(ISBLANK('2025'!$S124), 0, 1), 6, if(ISBLANK('2025'!$T124), 0, 1), 7, 0))), 1, "")</f>
        <v/>
      </c>
      <c r="AA126" s="1" t="str">
        <f>IF(AND(AND(AND(AA$4&gt;='2025'!$L124,AA$4&lt;='2025'!$M124), AA$4&lt;&gt;DATE(2025,7,4)), (SWITCH(weekday(AA$4), 1, 0, 2, if(ISBLANK('2025'!$P124), 0, 1), 3, if(ISBLANK('2025'!$Q124), 0, 1), 4, if(ISBLANK('2025'!$R124), 0, 1), 5, if(ISBLANK('2025'!$S124), 0, 1), 6, if(ISBLANK('2025'!$T124), 0, 1), 7, 0))), 1, "")</f>
        <v/>
      </c>
      <c r="AB126" s="1" t="str">
        <f>IF(AND(AND(AND(AB$4&gt;='2025'!$L124,AB$4&lt;='2025'!$M124), AB$4&lt;&gt;DATE(2025,7,4)), (SWITCH(weekday(AB$4), 1, 0, 2, if(ISBLANK('2025'!$P124), 0, 1), 3, if(ISBLANK('2025'!$Q124), 0, 1), 4, if(ISBLANK('2025'!$R124), 0, 1), 5, if(ISBLANK('2025'!$S124), 0, 1), 6, if(ISBLANK('2025'!$T124), 0, 1), 7, 0))), 1, "")</f>
        <v/>
      </c>
      <c r="AC126" s="1" t="str">
        <f>IF(AND(AND(AND(AC$4&gt;='2025'!$L124,AC$4&lt;='2025'!$M124), AC$4&lt;&gt;DATE(2025,7,4)), (SWITCH(weekday(AC$4), 1, 0, 2, if(ISBLANK('2025'!$P124), 0, 1), 3, if(ISBLANK('2025'!$Q124), 0, 1), 4, if(ISBLANK('2025'!$R124), 0, 1), 5, if(ISBLANK('2025'!$S124), 0, 1), 6, if(ISBLANK('2025'!$T124), 0, 1), 7, 0))), 1, "")</f>
        <v/>
      </c>
      <c r="AD126" s="1" t="str">
        <f>IF(AND(AND(AND(AD$4&gt;='2025'!$L124,AD$4&lt;='2025'!$M124), AD$4&lt;&gt;DATE(2025,7,4)), (SWITCH(weekday(AD$4), 1, 0, 2, if(ISBLANK('2025'!$P124), 0, 1), 3, if(ISBLANK('2025'!$Q124), 0, 1), 4, if(ISBLANK('2025'!$R124), 0, 1), 5, if(ISBLANK('2025'!$S124), 0, 1), 6, if(ISBLANK('2025'!$T124), 0, 1), 7, 0))), 1, "")</f>
        <v/>
      </c>
      <c r="AE126" s="1" t="str">
        <f>IF(AND(AND(AND(AE$4&gt;='2025'!$L124,AE$4&lt;='2025'!$M124), AE$4&lt;&gt;DATE(2025,7,4)), (SWITCH(weekday(AE$4), 1, 0, 2, if(ISBLANK('2025'!$P124), 0, 1), 3, if(ISBLANK('2025'!$Q124), 0, 1), 4, if(ISBLANK('2025'!$R124), 0, 1), 5, if(ISBLANK('2025'!$S124), 0, 1), 6, if(ISBLANK('2025'!$T124), 0, 1), 7, 0))), 1, "")</f>
        <v/>
      </c>
      <c r="AF126" s="1" t="str">
        <f>IF(AND(AND(AND(AF$4&gt;='2025'!$L124,AF$4&lt;='2025'!$M124), AF$4&lt;&gt;DATE(2025,7,4)), (SWITCH(weekday(AF$4), 1, 0, 2, if(ISBLANK('2025'!$P124), 0, 1), 3, if(ISBLANK('2025'!$Q124), 0, 1), 4, if(ISBLANK('2025'!$R124), 0, 1), 5, if(ISBLANK('2025'!$S124), 0, 1), 6, if(ISBLANK('2025'!$T124), 0, 1), 7, 0))), 1, "")</f>
        <v/>
      </c>
      <c r="AG126" s="1" t="str">
        <f>IF(AND(AND(AND(AG$4&gt;='2025'!$L124,AG$4&lt;='2025'!$M124), AG$4&lt;&gt;DATE(2025,7,4)), (SWITCH(weekday(AG$4), 1, 0, 2, if(ISBLANK('2025'!$P124), 0, 1), 3, if(ISBLANK('2025'!$Q124), 0, 1), 4, if(ISBLANK('2025'!$R124), 0, 1), 5, if(ISBLANK('2025'!$S124), 0, 1), 6, if(ISBLANK('2025'!$T124), 0, 1), 7, 0))), 1, "")</f>
        <v/>
      </c>
      <c r="AH126" s="1" t="str">
        <f>IF(AND(AND(AND(AH$4&gt;='2025'!$L124,AH$4&lt;='2025'!$M124), AH$4&lt;&gt;DATE(2025,7,4)), (SWITCH(weekday(AH$4), 1, 0, 2, if(ISBLANK('2025'!$P124), 0, 1), 3, if(ISBLANK('2025'!$Q124), 0, 1), 4, if(ISBLANK('2025'!$R124), 0, 1), 5, if(ISBLANK('2025'!$S124), 0, 1), 6, if(ISBLANK('2025'!$T124), 0, 1), 7, 0))), 1, "")</f>
        <v/>
      </c>
      <c r="AI126" s="1" t="str">
        <f>IF(AND(AND(AND(AI$4&gt;='2025'!$L124,AI$4&lt;='2025'!$M124), AI$4&lt;&gt;DATE(2025,7,4)), (SWITCH(weekday(AI$4), 1, 0, 2, if(ISBLANK('2025'!$P124), 0, 1), 3, if(ISBLANK('2025'!$Q124), 0, 1), 4, if(ISBLANK('2025'!$R124), 0, 1), 5, if(ISBLANK('2025'!$S124), 0, 1), 6, if(ISBLANK('2025'!$T124), 0, 1), 7, 0))), 1, "")</f>
        <v/>
      </c>
      <c r="AJ126" s="1" t="str">
        <f>IF(AND(AND(AND(AJ$4&gt;='2025'!$L124,AJ$4&lt;='2025'!$M124), AJ$4&lt;&gt;DATE(2025,7,4)), (SWITCH(weekday(AJ$4), 1, 0, 2, if(ISBLANK('2025'!$P124), 0, 1), 3, if(ISBLANK('2025'!$Q124), 0, 1), 4, if(ISBLANK('2025'!$R124), 0, 1), 5, if(ISBLANK('2025'!$S124), 0, 1), 6, if(ISBLANK('2025'!$T124), 0, 1), 7, 0))), 1, "")</f>
        <v/>
      </c>
      <c r="AK126" s="1" t="str">
        <f>IF(AND(AND(AND(AK$4&gt;='2025'!$L124,AK$4&lt;='2025'!$M124), AK$4&lt;&gt;DATE(2025,7,4)), (SWITCH(weekday(AK$4), 1, 0, 2, if(ISBLANK('2025'!$P124), 0, 1), 3, if(ISBLANK('2025'!$Q124), 0, 1), 4, if(ISBLANK('2025'!$R124), 0, 1), 5, if(ISBLANK('2025'!$S124), 0, 1), 6, if(ISBLANK('2025'!$T124), 0, 1), 7, 0))), 1, "")</f>
        <v/>
      </c>
      <c r="AL126" s="1" t="str">
        <f>IF(AND(AND(AND(AL$4&gt;='2025'!$L124,AL$4&lt;='2025'!$M124), AL$4&lt;&gt;DATE(2025,7,4)), (SWITCH(weekday(AL$4), 1, 0, 2, if(ISBLANK('2025'!$P124), 0, 1), 3, if(ISBLANK('2025'!$Q124), 0, 1), 4, if(ISBLANK('2025'!$R124), 0, 1), 5, if(ISBLANK('2025'!$S124), 0, 1), 6, if(ISBLANK('2025'!$T124), 0, 1), 7, 0))), 1, "")</f>
        <v/>
      </c>
      <c r="AM126" s="1" t="str">
        <f>IF(AND(AND(AND(AM$4&gt;='2025'!$L124,AM$4&lt;='2025'!$M124), AM$4&lt;&gt;DATE(2025,7,4)), (SWITCH(weekday(AM$4), 1, 0, 2, if(ISBLANK('2025'!$P124), 0, 1), 3, if(ISBLANK('2025'!$Q124), 0, 1), 4, if(ISBLANK('2025'!$R124), 0, 1), 5, if(ISBLANK('2025'!$S124), 0, 1), 6, if(ISBLANK('2025'!$T124), 0, 1), 7, 0))), 1, "")</f>
        <v/>
      </c>
      <c r="AN126" s="1" t="str">
        <f>IF(AND(AND(AND(AN$4&gt;='2025'!$L124,AN$4&lt;='2025'!$M124), AN$4&lt;&gt;DATE(2025,7,4)), (SWITCH(weekday(AN$4), 1, 0, 2, if(ISBLANK('2025'!$P124), 0, 1), 3, if(ISBLANK('2025'!$Q124), 0, 1), 4, if(ISBLANK('2025'!$R124), 0, 1), 5, if(ISBLANK('2025'!$S124), 0, 1), 6, if(ISBLANK('2025'!$T124), 0, 1), 7, 0))), 1, "")</f>
        <v/>
      </c>
      <c r="AO126" s="1" t="str">
        <f>IF(AND(AND(AND(AO$4&gt;='2025'!$L124,AO$4&lt;='2025'!$M124), AO$4&lt;&gt;DATE(2025,7,4)), (SWITCH(weekday(AO$4), 1, 0, 2, if(ISBLANK('2025'!$P124), 0, 1), 3, if(ISBLANK('2025'!$Q124), 0, 1), 4, if(ISBLANK('2025'!$R124), 0, 1), 5, if(ISBLANK('2025'!$S124), 0, 1), 6, if(ISBLANK('2025'!$T124), 0, 1), 7, 0))), 1, "")</f>
        <v/>
      </c>
      <c r="AP126" s="1" t="str">
        <f>IF(AND(AND(AND(AP$4&gt;='2025'!$L124,AP$4&lt;='2025'!$M124), AP$4&lt;&gt;DATE(2025,7,4)), (SWITCH(weekday(AP$4), 1, 0, 2, if(ISBLANK('2025'!$P124), 0, 1), 3, if(ISBLANK('2025'!$Q124), 0, 1), 4, if(ISBLANK('2025'!$R124), 0, 1), 5, if(ISBLANK('2025'!$S124), 0, 1), 6, if(ISBLANK('2025'!$T124), 0, 1), 7, 0))), 1, "")</f>
        <v/>
      </c>
      <c r="AQ126" s="1" t="str">
        <f>IF(AND(AND(AND(AQ$4&gt;='2025'!$L124,AQ$4&lt;='2025'!$M124), AQ$4&lt;&gt;DATE(2025,7,4)), (SWITCH(weekday(AQ$4), 1, 0, 2, if(ISBLANK('2025'!$P124), 0, 1), 3, if(ISBLANK('2025'!$Q124), 0, 1), 4, if(ISBLANK('2025'!$R124), 0, 1), 5, if(ISBLANK('2025'!$S124), 0, 1), 6, if(ISBLANK('2025'!$T124), 0, 1), 7, 0))), 1, "")</f>
        <v/>
      </c>
      <c r="AR126" s="1" t="str">
        <f>IF(AND(AND(AND(AR$4&gt;='2025'!$L124,AR$4&lt;='2025'!$M124), AR$4&lt;&gt;DATE(2025,7,4)), (SWITCH(weekday(AR$4), 1, 0, 2, if(ISBLANK('2025'!$P124), 0, 1), 3, if(ISBLANK('2025'!$Q124), 0, 1), 4, if(ISBLANK('2025'!$R124), 0, 1), 5, if(ISBLANK('2025'!$S124), 0, 1), 6, if(ISBLANK('2025'!$T124), 0, 1), 7, 0))), 1, "")</f>
        <v/>
      </c>
      <c r="AS126" s="1" t="str">
        <f>IF(AND(AND(AND(AS$4&gt;='2025'!$L124,AS$4&lt;='2025'!$M124), AS$4&lt;&gt;DATE(2025,7,4)), (SWITCH(weekday(AS$4), 1, 0, 2, if(ISBLANK('2025'!$P124), 0, 1), 3, if(ISBLANK('2025'!$Q124), 0, 1), 4, if(ISBLANK('2025'!$R124), 0, 1), 5, if(ISBLANK('2025'!$S124), 0, 1), 6, if(ISBLANK('2025'!$T124), 0, 1), 7, 0))), 1, "")</f>
        <v/>
      </c>
      <c r="AT126" s="1" t="str">
        <f>IF(AND(AND(AND(AT$4&gt;='2025'!$L124,AT$4&lt;='2025'!$M124), AT$4&lt;&gt;DATE(2025,7,4)), (SWITCH(weekday(AT$4), 1, 0, 2, if(ISBLANK('2025'!$P124), 0, 1), 3, if(ISBLANK('2025'!$Q124), 0, 1), 4, if(ISBLANK('2025'!$R124), 0, 1), 5, if(ISBLANK('2025'!$S124), 0, 1), 6, if(ISBLANK('2025'!$T124), 0, 1), 7, 0))), 1, "")</f>
        <v/>
      </c>
      <c r="AU126" s="1" t="str">
        <f>IF(AND(AND(AND(AU$4&gt;='2025'!$L124,AU$4&lt;='2025'!$M124), AU$4&lt;&gt;DATE(2025,7,4)), (SWITCH(weekday(AU$4), 1, 0, 2, if(ISBLANK('2025'!$P124), 0, 1), 3, if(ISBLANK('2025'!$Q124), 0, 1), 4, if(ISBLANK('2025'!$R124), 0, 1), 5, if(ISBLANK('2025'!$S124), 0, 1), 6, if(ISBLANK('2025'!$T124), 0, 1), 7, 0))), 1, "")</f>
        <v/>
      </c>
      <c r="AV126" s="1" t="str">
        <f>IF(AND(AND(AND(AV$4&gt;='2025'!$L124,AV$4&lt;='2025'!$M124), AV$4&lt;&gt;DATE(2025,7,4)), (SWITCH(weekday(AV$4), 1, 0, 2, if(ISBLANK('2025'!$P124), 0, 1), 3, if(ISBLANK('2025'!$Q124), 0, 1), 4, if(ISBLANK('2025'!$R124), 0, 1), 5, if(ISBLANK('2025'!$S124), 0, 1), 6, if(ISBLANK('2025'!$T124), 0, 1), 7, 0))), 1, "")</f>
        <v/>
      </c>
      <c r="AW126" s="1" t="str">
        <f>IF(AND(AND(AND(AW$4&gt;='2025'!$L124,AW$4&lt;='2025'!$M124), AW$4&lt;&gt;DATE(2025,7,4)), (SWITCH(weekday(AW$4), 1, 0, 2, if(ISBLANK('2025'!$P124), 0, 1), 3, if(ISBLANK('2025'!$Q124), 0, 1), 4, if(ISBLANK('2025'!$R124), 0, 1), 5, if(ISBLANK('2025'!$S124), 0, 1), 6, if(ISBLANK('2025'!$T124), 0, 1), 7, 0))), 1, "")</f>
        <v/>
      </c>
      <c r="AX126" s="1" t="str">
        <f>IF(AND(AND(AND(AX$4&gt;='2025'!$L124,AX$4&lt;='2025'!$M124), AX$4&lt;&gt;DATE(2025,7,4)), (SWITCH(weekday(AX$4), 1, 0, 2, if(ISBLANK('2025'!$P124), 0, 1), 3, if(ISBLANK('2025'!$Q124), 0, 1), 4, if(ISBLANK('2025'!$R124), 0, 1), 5, if(ISBLANK('2025'!$S124), 0, 1), 6, if(ISBLANK('2025'!$T124), 0, 1), 7, 0))), 1, "")</f>
        <v/>
      </c>
      <c r="AY126" s="1" t="str">
        <f>IF(AND(AND(AND(AY$4&gt;='2025'!$L124,AY$4&lt;='2025'!$M124), AY$4&lt;&gt;DATE(2025,7,4)), (SWITCH(weekday(AY$4), 1, 0, 2, if(ISBLANK('2025'!$P124), 0, 1), 3, if(ISBLANK('2025'!$Q124), 0, 1), 4, if(ISBLANK('2025'!$R124), 0, 1), 5, if(ISBLANK('2025'!$S124), 0, 1), 6, if(ISBLANK('2025'!$T124), 0, 1), 7, 0))), 1, "")</f>
        <v/>
      </c>
      <c r="AZ126" s="1" t="str">
        <f>IF(AND(AND(AND(AZ$4&gt;='2025'!$L124,AZ$4&lt;='2025'!$M124), AZ$4&lt;&gt;DATE(2025,7,4)), (SWITCH(weekday(AZ$4), 1, 0, 2, if(ISBLANK('2025'!$P124), 0, 1), 3, if(ISBLANK('2025'!$Q124), 0, 1), 4, if(ISBLANK('2025'!$R124), 0, 1), 5, if(ISBLANK('2025'!$S124), 0, 1), 6, if(ISBLANK('2025'!$T124), 0, 1), 7, 0))), 1, "")</f>
        <v/>
      </c>
      <c r="BA126" s="1" t="str">
        <f>IF(AND(AND(AND(BA$4&gt;='2025'!$L124,BA$4&lt;='2025'!$M124), BA$4&lt;&gt;DATE(2025,7,4)), (SWITCH(weekday(BA$4), 1, 0, 2, if(ISBLANK('2025'!$P124), 0, 1), 3, if(ISBLANK('2025'!$Q124), 0, 1), 4, if(ISBLANK('2025'!$R124), 0, 1), 5, if(ISBLANK('2025'!$S124), 0, 1), 6, if(ISBLANK('2025'!$T124), 0, 1), 7, 0))), 1, "")</f>
        <v/>
      </c>
      <c r="BB126" s="1" t="str">
        <f>IF(AND(AND(AND(BB$4&gt;='2025'!$L124,BB$4&lt;='2025'!$M124), BB$4&lt;&gt;DATE(2025,7,4)), (SWITCH(weekday(BB$4), 1, 0, 2, if(ISBLANK('2025'!$P124), 0, 1), 3, if(ISBLANK('2025'!$Q124), 0, 1), 4, if(ISBLANK('2025'!$R124), 0, 1), 5, if(ISBLANK('2025'!$S124), 0, 1), 6, if(ISBLANK('2025'!$T124), 0, 1), 7, 0))), 1, "")</f>
        <v/>
      </c>
      <c r="BC126" s="1" t="str">
        <f>IF(AND(AND(AND(BC$4&gt;='2025'!$L124,BC$4&lt;='2025'!$M124), BC$4&lt;&gt;DATE(2025,7,4)), (SWITCH(weekday(BC$4), 1, 0, 2, if(ISBLANK('2025'!$P124), 0, 1), 3, if(ISBLANK('2025'!$Q124), 0, 1), 4, if(ISBLANK('2025'!$R124), 0, 1), 5, if(ISBLANK('2025'!$S124), 0, 1), 6, if(ISBLANK('2025'!$T124), 0, 1), 7, 0))), 1, "")</f>
        <v/>
      </c>
      <c r="BD126" s="1" t="str">
        <f>IF(AND(AND(AND(BD$4&gt;='2025'!$L124,BD$4&lt;='2025'!$M124), BD$4&lt;&gt;DATE(2025,7,4)), (SWITCH(weekday(BD$4), 1, 0, 2, if(ISBLANK('2025'!$P124), 0, 1), 3, if(ISBLANK('2025'!$Q124), 0, 1), 4, if(ISBLANK('2025'!$R124), 0, 1), 5, if(ISBLANK('2025'!$S124), 0, 1), 6, if(ISBLANK('2025'!$T124), 0, 1), 7, 0))), 1, "")</f>
        <v/>
      </c>
      <c r="BE126" s="1" t="str">
        <f>IF(AND(AND(AND(BE$4&gt;='2025'!$L124,BE$4&lt;='2025'!$M124), BE$4&lt;&gt;DATE(2025,7,4)), (SWITCH(weekday(BE$4), 1, 0, 2, if(ISBLANK('2025'!$P124), 0, 1), 3, if(ISBLANK('2025'!$Q124), 0, 1), 4, if(ISBLANK('2025'!$R124), 0, 1), 5, if(ISBLANK('2025'!$S124), 0, 1), 6, if(ISBLANK('2025'!$T124), 0, 1), 7, 0))), 1, "")</f>
        <v/>
      </c>
      <c r="BF126" s="1" t="str">
        <f>IF(AND(AND(AND(BF$4&gt;='2025'!$L124,BF$4&lt;='2025'!$M124), BF$4&lt;&gt;DATE(2025,7,4)), (SWITCH(weekday(BF$4), 1, 0, 2, if(ISBLANK('2025'!$P124), 0, 1), 3, if(ISBLANK('2025'!$Q124), 0, 1), 4, if(ISBLANK('2025'!$R124), 0, 1), 5, if(ISBLANK('2025'!$S124), 0, 1), 6, if(ISBLANK('2025'!$T124), 0, 1), 7, 0))), 1, "")</f>
        <v/>
      </c>
      <c r="BG126" s="1"/>
      <c r="BH126" s="1"/>
      <c r="BI126" s="1"/>
      <c r="BJ126" s="1"/>
      <c r="BK126" s="1"/>
      <c r="BL126" s="1"/>
    </row>
    <row r="127">
      <c r="A127" s="1">
        <f t="shared" si="3"/>
        <v>127</v>
      </c>
      <c r="B127" s="1" t="str">
        <f>'2025'!D91</f>
        <v>, </v>
      </c>
      <c r="C127" s="1" t="str">
        <f>'2025'!H91</f>
        <v/>
      </c>
      <c r="D127" s="1" t="str">
        <f>IF(AND(AND(AND(D$4&gt;='2025'!$L125,D$4&lt;='2025'!$M125), D$4&lt;&gt;DATE(2025,7,4)), (SWITCH(weekday(D$4), 1, 0, 2, if(ISBLANK('2025'!$P125), 0, 1), 3, if(ISBLANK('2025'!$Q125), 0, 1), 4, if(ISBLANK('2025'!$R125), 0, 1), 5, if(ISBLANK('2025'!$S125), 0, 1), 6, if(ISBLANK('2025'!$T125), 0, 1), 7, 0))), 1, "")</f>
        <v/>
      </c>
      <c r="E127" s="1" t="str">
        <f>IF(AND(AND(AND(E$4&gt;='2025'!$L125,E$4&lt;='2025'!$M125), E$4&lt;&gt;DATE(2025,7,4)), (SWITCH(weekday(E$4), 1, 0, 2, if(ISBLANK('2025'!$P125), 0, 1), 3, if(ISBLANK('2025'!$Q125), 0, 1), 4, if(ISBLANK('2025'!$R125), 0, 1), 5, if(ISBLANK('2025'!$S125), 0, 1), 6, if(ISBLANK('2025'!$T125), 0, 1), 7, 0))), 1, "")</f>
        <v/>
      </c>
      <c r="F127" s="1" t="str">
        <f>IF(AND(AND(AND(F$4&gt;='2025'!$L125,F$4&lt;='2025'!$M125), F$4&lt;&gt;DATE(2025,7,4)), (SWITCH(weekday(F$4), 1, 0, 2, if(ISBLANK('2025'!$P125), 0, 1), 3, if(ISBLANK('2025'!$Q125), 0, 1), 4, if(ISBLANK('2025'!$R125), 0, 1), 5, if(ISBLANK('2025'!$S125), 0, 1), 6, if(ISBLANK('2025'!$T125), 0, 1), 7, 0))), 1, "")</f>
        <v/>
      </c>
      <c r="G127" s="1" t="str">
        <f>IF(AND(AND(AND(G$4&gt;='2025'!$L125,G$4&lt;='2025'!$M125), G$4&lt;&gt;DATE(2025,7,4)), (SWITCH(weekday(G$4), 1, 0, 2, if(ISBLANK('2025'!$P125), 0, 1), 3, if(ISBLANK('2025'!$Q125), 0, 1), 4, if(ISBLANK('2025'!$R125), 0, 1), 5, if(ISBLANK('2025'!$S125), 0, 1), 6, if(ISBLANK('2025'!$T125), 0, 1), 7, 0))), 1, "")</f>
        <v/>
      </c>
      <c r="H127" s="1" t="str">
        <f>IF(AND(AND(AND(H$4&gt;='2025'!$L125,H$4&lt;='2025'!$M125), H$4&lt;&gt;DATE(2025,7,4)), (SWITCH(weekday(H$4), 1, 0, 2, if(ISBLANK('2025'!$P125), 0, 1), 3, if(ISBLANK('2025'!$Q125), 0, 1), 4, if(ISBLANK('2025'!$R125), 0, 1), 5, if(ISBLANK('2025'!$S125), 0, 1), 6, if(ISBLANK('2025'!$T125), 0, 1), 7, 0))), 1, "")</f>
        <v/>
      </c>
      <c r="I127" s="1" t="str">
        <f>IF(AND(AND(AND(I$4&gt;='2025'!$L125,I$4&lt;='2025'!$M125), I$4&lt;&gt;DATE(2025,7,4)), (SWITCH(weekday(I$4), 1, 0, 2, if(ISBLANK('2025'!$P125), 0, 1), 3, if(ISBLANK('2025'!$Q125), 0, 1), 4, if(ISBLANK('2025'!$R125), 0, 1), 5, if(ISBLANK('2025'!$S125), 0, 1), 6, if(ISBLANK('2025'!$T125), 0, 1), 7, 0))), 1, "")</f>
        <v/>
      </c>
      <c r="J127" s="1" t="str">
        <f>IF(AND(AND(AND(J$4&gt;='2025'!$L125,J$4&lt;='2025'!$M125), J$4&lt;&gt;DATE(2025,7,4)), (SWITCH(weekday(J$4), 1, 0, 2, if(ISBLANK('2025'!$P125), 0, 1), 3, if(ISBLANK('2025'!$Q125), 0, 1), 4, if(ISBLANK('2025'!$R125), 0, 1), 5, if(ISBLANK('2025'!$S125), 0, 1), 6, if(ISBLANK('2025'!$T125), 0, 1), 7, 0))), 1, "")</f>
        <v/>
      </c>
      <c r="K127" s="1" t="str">
        <f>IF(AND(AND(AND(K$4&gt;='2025'!$L125,K$4&lt;='2025'!$M125), K$4&lt;&gt;DATE(2025,7,4)), (SWITCH(weekday(K$4), 1, 0, 2, if(ISBLANK('2025'!$P125), 0, 1), 3, if(ISBLANK('2025'!$Q125), 0, 1), 4, if(ISBLANK('2025'!$R125), 0, 1), 5, if(ISBLANK('2025'!$S125), 0, 1), 6, if(ISBLANK('2025'!$T125), 0, 1), 7, 0))), 1, "")</f>
        <v/>
      </c>
      <c r="L127" s="1" t="str">
        <f>IF(AND(AND(AND(L$4&gt;='2025'!$L125,L$4&lt;='2025'!$M125), L$4&lt;&gt;DATE(2025,7,4)), (SWITCH(weekday(L$4), 1, 0, 2, if(ISBLANK('2025'!$P125), 0, 1), 3, if(ISBLANK('2025'!$Q125), 0, 1), 4, if(ISBLANK('2025'!$R125), 0, 1), 5, if(ISBLANK('2025'!$S125), 0, 1), 6, if(ISBLANK('2025'!$T125), 0, 1), 7, 0))), 1, "")</f>
        <v/>
      </c>
      <c r="M127" s="1" t="str">
        <f>IF(AND(AND(AND(M$4&gt;='2025'!$L125,M$4&lt;='2025'!$M125), M$4&lt;&gt;DATE(2025,7,4)), (SWITCH(weekday(M$4), 1, 0, 2, if(ISBLANK('2025'!$P125), 0, 1), 3, if(ISBLANK('2025'!$Q125), 0, 1), 4, if(ISBLANK('2025'!$R125), 0, 1), 5, if(ISBLANK('2025'!$S125), 0, 1), 6, if(ISBLANK('2025'!$T125), 0, 1), 7, 0))), 1, "")</f>
        <v/>
      </c>
      <c r="N127" s="1" t="str">
        <f>IF(AND(AND(AND(N$4&gt;='2025'!$L125,N$4&lt;='2025'!$M125), N$4&lt;&gt;DATE(2025,7,4)), (SWITCH(weekday(N$4), 1, 0, 2, if(ISBLANK('2025'!$P125), 0, 1), 3, if(ISBLANK('2025'!$Q125), 0, 1), 4, if(ISBLANK('2025'!$R125), 0, 1), 5, if(ISBLANK('2025'!$S125), 0, 1), 6, if(ISBLANK('2025'!$T125), 0, 1), 7, 0))), 1, "")</f>
        <v/>
      </c>
      <c r="O127" s="1" t="str">
        <f>IF(AND(AND(AND(O$4&gt;='2025'!$L125,O$4&lt;='2025'!$M125), O$4&lt;&gt;DATE(2025,7,4)), (SWITCH(weekday(O$4), 1, 0, 2, if(ISBLANK('2025'!$P125), 0, 1), 3, if(ISBLANK('2025'!$Q125), 0, 1), 4, if(ISBLANK('2025'!$R125), 0, 1), 5, if(ISBLANK('2025'!$S125), 0, 1), 6, if(ISBLANK('2025'!$T125), 0, 1), 7, 0))), 1, "")</f>
        <v/>
      </c>
      <c r="P127" s="1" t="str">
        <f>IF(AND(AND(AND(P$4&gt;='2025'!$L125,P$4&lt;='2025'!$M125), P$4&lt;&gt;DATE(2025,7,4)), (SWITCH(weekday(P$4), 1, 0, 2, if(ISBLANK('2025'!$P125), 0, 1), 3, if(ISBLANK('2025'!$Q125), 0, 1), 4, if(ISBLANK('2025'!$R125), 0, 1), 5, if(ISBLANK('2025'!$S125), 0, 1), 6, if(ISBLANK('2025'!$T125), 0, 1), 7, 0))), 1, "")</f>
        <v/>
      </c>
      <c r="Q127" s="1" t="str">
        <f>IF(AND(AND(AND(Q$4&gt;='2025'!$L125,Q$4&lt;='2025'!$M125), Q$4&lt;&gt;DATE(2025,7,4)), (SWITCH(weekday(Q$4), 1, 0, 2, if(ISBLANK('2025'!$P125), 0, 1), 3, if(ISBLANK('2025'!$Q125), 0, 1), 4, if(ISBLANK('2025'!$R125), 0, 1), 5, if(ISBLANK('2025'!$S125), 0, 1), 6, if(ISBLANK('2025'!$T125), 0, 1), 7, 0))), 1, "")</f>
        <v/>
      </c>
      <c r="R127" s="1" t="str">
        <f>IF(AND(AND(AND(R$4&gt;='2025'!$L125,R$4&lt;='2025'!$M125), R$4&lt;&gt;DATE(2025,7,4)), (SWITCH(weekday(R$4), 1, 0, 2, if(ISBLANK('2025'!$P125), 0, 1), 3, if(ISBLANK('2025'!$Q125), 0, 1), 4, if(ISBLANK('2025'!$R125), 0, 1), 5, if(ISBLANK('2025'!$S125), 0, 1), 6, if(ISBLANK('2025'!$T125), 0, 1), 7, 0))), 1, "")</f>
        <v/>
      </c>
      <c r="S127" s="1" t="str">
        <f>IF(AND(AND(AND(S$4&gt;='2025'!$L125,S$4&lt;='2025'!$M125), S$4&lt;&gt;DATE(2025,7,4)), (SWITCH(weekday(S$4), 1, 0, 2, if(ISBLANK('2025'!$P125), 0, 1), 3, if(ISBLANK('2025'!$Q125), 0, 1), 4, if(ISBLANK('2025'!$R125), 0, 1), 5, if(ISBLANK('2025'!$S125), 0, 1), 6, if(ISBLANK('2025'!$T125), 0, 1), 7, 0))), 1, "")</f>
        <v/>
      </c>
      <c r="T127" s="1" t="str">
        <f>IF(AND(AND(AND(T$4&gt;='2025'!$L125,T$4&lt;='2025'!$M125), T$4&lt;&gt;DATE(2025,7,4)), (SWITCH(weekday(T$4), 1, 0, 2, if(ISBLANK('2025'!$P125), 0, 1), 3, if(ISBLANK('2025'!$Q125), 0, 1), 4, if(ISBLANK('2025'!$R125), 0, 1), 5, if(ISBLANK('2025'!$S125), 0, 1), 6, if(ISBLANK('2025'!$T125), 0, 1), 7, 0))), 1, "")</f>
        <v/>
      </c>
      <c r="U127" s="1" t="str">
        <f>IF(AND(AND(AND(U$4&gt;='2025'!$L125,U$4&lt;='2025'!$M125), U$4&lt;&gt;DATE(2025,7,4)), (SWITCH(weekday(U$4), 1, 0, 2, if(ISBLANK('2025'!$P125), 0, 1), 3, if(ISBLANK('2025'!$Q125), 0, 1), 4, if(ISBLANK('2025'!$R125), 0, 1), 5, if(ISBLANK('2025'!$S125), 0, 1), 6, if(ISBLANK('2025'!$T125), 0, 1), 7, 0))), 1, "")</f>
        <v/>
      </c>
      <c r="V127" s="1" t="str">
        <f>IF(AND(AND(AND(V$4&gt;='2025'!$L125,V$4&lt;='2025'!$M125), V$4&lt;&gt;DATE(2025,7,4)), (SWITCH(weekday(V$4), 1, 0, 2, if(ISBLANK('2025'!$P125), 0, 1), 3, if(ISBLANK('2025'!$Q125), 0, 1), 4, if(ISBLANK('2025'!$R125), 0, 1), 5, if(ISBLANK('2025'!$S125), 0, 1), 6, if(ISBLANK('2025'!$T125), 0, 1), 7, 0))), 1, "")</f>
        <v/>
      </c>
      <c r="W127" s="1" t="str">
        <f>IF(AND(AND(AND(W$4&gt;='2025'!$L125,W$4&lt;='2025'!$M125), W$4&lt;&gt;DATE(2025,7,4)), (SWITCH(weekday(W$4), 1, 0, 2, if(ISBLANK('2025'!$P125), 0, 1), 3, if(ISBLANK('2025'!$Q125), 0, 1), 4, if(ISBLANK('2025'!$R125), 0, 1), 5, if(ISBLANK('2025'!$S125), 0, 1), 6, if(ISBLANK('2025'!$T125), 0, 1), 7, 0))), 1, "")</f>
        <v/>
      </c>
      <c r="X127" s="1" t="str">
        <f>IF(AND(AND(AND(X$4&gt;='2025'!$L125,X$4&lt;='2025'!$M125), X$4&lt;&gt;DATE(2025,7,4)), (SWITCH(weekday(X$4), 1, 0, 2, if(ISBLANK('2025'!$P125), 0, 1), 3, if(ISBLANK('2025'!$Q125), 0, 1), 4, if(ISBLANK('2025'!$R125), 0, 1), 5, if(ISBLANK('2025'!$S125), 0, 1), 6, if(ISBLANK('2025'!$T125), 0, 1), 7, 0))), 1, "")</f>
        <v/>
      </c>
      <c r="Y127" s="1" t="str">
        <f>IF(AND(AND(AND(Y$4&gt;='2025'!$L125,Y$4&lt;='2025'!$M125), Y$4&lt;&gt;DATE(2025,7,4)), (SWITCH(weekday(Y$4), 1, 0, 2, if(ISBLANK('2025'!$P125), 0, 1), 3, if(ISBLANK('2025'!$Q125), 0, 1), 4, if(ISBLANK('2025'!$R125), 0, 1), 5, if(ISBLANK('2025'!$S125), 0, 1), 6, if(ISBLANK('2025'!$T125), 0, 1), 7, 0))), 1, "")</f>
        <v/>
      </c>
      <c r="Z127" s="1" t="str">
        <f>IF(AND(AND(AND(Z$4&gt;='2025'!$L125,Z$4&lt;='2025'!$M125), Z$4&lt;&gt;DATE(2025,7,4)), (SWITCH(weekday(Z$4), 1, 0, 2, if(ISBLANK('2025'!$P125), 0, 1), 3, if(ISBLANK('2025'!$Q125), 0, 1), 4, if(ISBLANK('2025'!$R125), 0, 1), 5, if(ISBLANK('2025'!$S125), 0, 1), 6, if(ISBLANK('2025'!$T125), 0, 1), 7, 0))), 1, "")</f>
        <v/>
      </c>
      <c r="AA127" s="1" t="str">
        <f>IF(AND(AND(AND(AA$4&gt;='2025'!$L125,AA$4&lt;='2025'!$M125), AA$4&lt;&gt;DATE(2025,7,4)), (SWITCH(weekday(AA$4), 1, 0, 2, if(ISBLANK('2025'!$P125), 0, 1), 3, if(ISBLANK('2025'!$Q125), 0, 1), 4, if(ISBLANK('2025'!$R125), 0, 1), 5, if(ISBLANK('2025'!$S125), 0, 1), 6, if(ISBLANK('2025'!$T125), 0, 1), 7, 0))), 1, "")</f>
        <v/>
      </c>
      <c r="AB127" s="1" t="str">
        <f>IF(AND(AND(AND(AB$4&gt;='2025'!$L125,AB$4&lt;='2025'!$M125), AB$4&lt;&gt;DATE(2025,7,4)), (SWITCH(weekday(AB$4), 1, 0, 2, if(ISBLANK('2025'!$P125), 0, 1), 3, if(ISBLANK('2025'!$Q125), 0, 1), 4, if(ISBLANK('2025'!$R125), 0, 1), 5, if(ISBLANK('2025'!$S125), 0, 1), 6, if(ISBLANK('2025'!$T125), 0, 1), 7, 0))), 1, "")</f>
        <v/>
      </c>
      <c r="AC127" s="1" t="str">
        <f>IF(AND(AND(AND(AC$4&gt;='2025'!$L125,AC$4&lt;='2025'!$M125), AC$4&lt;&gt;DATE(2025,7,4)), (SWITCH(weekday(AC$4), 1, 0, 2, if(ISBLANK('2025'!$P125), 0, 1), 3, if(ISBLANK('2025'!$Q125), 0, 1), 4, if(ISBLANK('2025'!$R125), 0, 1), 5, if(ISBLANK('2025'!$S125), 0, 1), 6, if(ISBLANK('2025'!$T125), 0, 1), 7, 0))), 1, "")</f>
        <v/>
      </c>
      <c r="AD127" s="1" t="str">
        <f>IF(AND(AND(AND(AD$4&gt;='2025'!$L125,AD$4&lt;='2025'!$M125), AD$4&lt;&gt;DATE(2025,7,4)), (SWITCH(weekday(AD$4), 1, 0, 2, if(ISBLANK('2025'!$P125), 0, 1), 3, if(ISBLANK('2025'!$Q125), 0, 1), 4, if(ISBLANK('2025'!$R125), 0, 1), 5, if(ISBLANK('2025'!$S125), 0, 1), 6, if(ISBLANK('2025'!$T125), 0, 1), 7, 0))), 1, "")</f>
        <v/>
      </c>
      <c r="AE127" s="1" t="str">
        <f>IF(AND(AND(AND(AE$4&gt;='2025'!$L125,AE$4&lt;='2025'!$M125), AE$4&lt;&gt;DATE(2025,7,4)), (SWITCH(weekday(AE$4), 1, 0, 2, if(ISBLANK('2025'!$P125), 0, 1), 3, if(ISBLANK('2025'!$Q125), 0, 1), 4, if(ISBLANK('2025'!$R125), 0, 1), 5, if(ISBLANK('2025'!$S125), 0, 1), 6, if(ISBLANK('2025'!$T125), 0, 1), 7, 0))), 1, "")</f>
        <v/>
      </c>
      <c r="AF127" s="1" t="str">
        <f>IF(AND(AND(AND(AF$4&gt;='2025'!$L125,AF$4&lt;='2025'!$M125), AF$4&lt;&gt;DATE(2025,7,4)), (SWITCH(weekday(AF$4), 1, 0, 2, if(ISBLANK('2025'!$P125), 0, 1), 3, if(ISBLANK('2025'!$Q125), 0, 1), 4, if(ISBLANK('2025'!$R125), 0, 1), 5, if(ISBLANK('2025'!$S125), 0, 1), 6, if(ISBLANK('2025'!$T125), 0, 1), 7, 0))), 1, "")</f>
        <v/>
      </c>
      <c r="AG127" s="1" t="str">
        <f>IF(AND(AND(AND(AG$4&gt;='2025'!$L125,AG$4&lt;='2025'!$M125), AG$4&lt;&gt;DATE(2025,7,4)), (SWITCH(weekday(AG$4), 1, 0, 2, if(ISBLANK('2025'!$P125), 0, 1), 3, if(ISBLANK('2025'!$Q125), 0, 1), 4, if(ISBLANK('2025'!$R125), 0, 1), 5, if(ISBLANK('2025'!$S125), 0, 1), 6, if(ISBLANK('2025'!$T125), 0, 1), 7, 0))), 1, "")</f>
        <v/>
      </c>
      <c r="AH127" s="1" t="str">
        <f>IF(AND(AND(AND(AH$4&gt;='2025'!$L125,AH$4&lt;='2025'!$M125), AH$4&lt;&gt;DATE(2025,7,4)), (SWITCH(weekday(AH$4), 1, 0, 2, if(ISBLANK('2025'!$P125), 0, 1), 3, if(ISBLANK('2025'!$Q125), 0, 1), 4, if(ISBLANK('2025'!$R125), 0, 1), 5, if(ISBLANK('2025'!$S125), 0, 1), 6, if(ISBLANK('2025'!$T125), 0, 1), 7, 0))), 1, "")</f>
        <v/>
      </c>
      <c r="AI127" s="1" t="str">
        <f>IF(AND(AND(AND(AI$4&gt;='2025'!$L125,AI$4&lt;='2025'!$M125), AI$4&lt;&gt;DATE(2025,7,4)), (SWITCH(weekday(AI$4), 1, 0, 2, if(ISBLANK('2025'!$P125), 0, 1), 3, if(ISBLANK('2025'!$Q125), 0, 1), 4, if(ISBLANK('2025'!$R125), 0, 1), 5, if(ISBLANK('2025'!$S125), 0, 1), 6, if(ISBLANK('2025'!$T125), 0, 1), 7, 0))), 1, "")</f>
        <v/>
      </c>
      <c r="AJ127" s="1" t="str">
        <f>IF(AND(AND(AND(AJ$4&gt;='2025'!$L125,AJ$4&lt;='2025'!$M125), AJ$4&lt;&gt;DATE(2025,7,4)), (SWITCH(weekday(AJ$4), 1, 0, 2, if(ISBLANK('2025'!$P125), 0, 1), 3, if(ISBLANK('2025'!$Q125), 0, 1), 4, if(ISBLANK('2025'!$R125), 0, 1), 5, if(ISBLANK('2025'!$S125), 0, 1), 6, if(ISBLANK('2025'!$T125), 0, 1), 7, 0))), 1, "")</f>
        <v/>
      </c>
      <c r="AK127" s="1" t="str">
        <f>IF(AND(AND(AND(AK$4&gt;='2025'!$L125,AK$4&lt;='2025'!$M125), AK$4&lt;&gt;DATE(2025,7,4)), (SWITCH(weekday(AK$4), 1, 0, 2, if(ISBLANK('2025'!$P125), 0, 1), 3, if(ISBLANK('2025'!$Q125), 0, 1), 4, if(ISBLANK('2025'!$R125), 0, 1), 5, if(ISBLANK('2025'!$S125), 0, 1), 6, if(ISBLANK('2025'!$T125), 0, 1), 7, 0))), 1, "")</f>
        <v/>
      </c>
      <c r="AL127" s="1" t="str">
        <f>IF(AND(AND(AND(AL$4&gt;='2025'!$L125,AL$4&lt;='2025'!$M125), AL$4&lt;&gt;DATE(2025,7,4)), (SWITCH(weekday(AL$4), 1, 0, 2, if(ISBLANK('2025'!$P125), 0, 1), 3, if(ISBLANK('2025'!$Q125), 0, 1), 4, if(ISBLANK('2025'!$R125), 0, 1), 5, if(ISBLANK('2025'!$S125), 0, 1), 6, if(ISBLANK('2025'!$T125), 0, 1), 7, 0))), 1, "")</f>
        <v/>
      </c>
      <c r="AM127" s="1" t="str">
        <f>IF(AND(AND(AND(AM$4&gt;='2025'!$L125,AM$4&lt;='2025'!$M125), AM$4&lt;&gt;DATE(2025,7,4)), (SWITCH(weekday(AM$4), 1, 0, 2, if(ISBLANK('2025'!$P125), 0, 1), 3, if(ISBLANK('2025'!$Q125), 0, 1), 4, if(ISBLANK('2025'!$R125), 0, 1), 5, if(ISBLANK('2025'!$S125), 0, 1), 6, if(ISBLANK('2025'!$T125), 0, 1), 7, 0))), 1, "")</f>
        <v/>
      </c>
      <c r="AN127" s="1" t="str">
        <f>IF(AND(AND(AND(AN$4&gt;='2025'!$L125,AN$4&lt;='2025'!$M125), AN$4&lt;&gt;DATE(2025,7,4)), (SWITCH(weekday(AN$4), 1, 0, 2, if(ISBLANK('2025'!$P125), 0, 1), 3, if(ISBLANK('2025'!$Q125), 0, 1), 4, if(ISBLANK('2025'!$R125), 0, 1), 5, if(ISBLANK('2025'!$S125), 0, 1), 6, if(ISBLANK('2025'!$T125), 0, 1), 7, 0))), 1, "")</f>
        <v/>
      </c>
      <c r="AO127" s="1" t="str">
        <f>IF(AND(AND(AND(AO$4&gt;='2025'!$L125,AO$4&lt;='2025'!$M125), AO$4&lt;&gt;DATE(2025,7,4)), (SWITCH(weekday(AO$4), 1, 0, 2, if(ISBLANK('2025'!$P125), 0, 1), 3, if(ISBLANK('2025'!$Q125), 0, 1), 4, if(ISBLANK('2025'!$R125), 0, 1), 5, if(ISBLANK('2025'!$S125), 0, 1), 6, if(ISBLANK('2025'!$T125), 0, 1), 7, 0))), 1, "")</f>
        <v/>
      </c>
      <c r="AP127" s="1" t="str">
        <f>IF(AND(AND(AND(AP$4&gt;='2025'!$L125,AP$4&lt;='2025'!$M125), AP$4&lt;&gt;DATE(2025,7,4)), (SWITCH(weekday(AP$4), 1, 0, 2, if(ISBLANK('2025'!$P125), 0, 1), 3, if(ISBLANK('2025'!$Q125), 0, 1), 4, if(ISBLANK('2025'!$R125), 0, 1), 5, if(ISBLANK('2025'!$S125), 0, 1), 6, if(ISBLANK('2025'!$T125), 0, 1), 7, 0))), 1, "")</f>
        <v/>
      </c>
      <c r="AQ127" s="1" t="str">
        <f>IF(AND(AND(AND(AQ$4&gt;='2025'!$L125,AQ$4&lt;='2025'!$M125), AQ$4&lt;&gt;DATE(2025,7,4)), (SWITCH(weekday(AQ$4), 1, 0, 2, if(ISBLANK('2025'!$P125), 0, 1), 3, if(ISBLANK('2025'!$Q125), 0, 1), 4, if(ISBLANK('2025'!$R125), 0, 1), 5, if(ISBLANK('2025'!$S125), 0, 1), 6, if(ISBLANK('2025'!$T125), 0, 1), 7, 0))), 1, "")</f>
        <v/>
      </c>
      <c r="AR127" s="1" t="str">
        <f>IF(AND(AND(AND(AR$4&gt;='2025'!$L125,AR$4&lt;='2025'!$M125), AR$4&lt;&gt;DATE(2025,7,4)), (SWITCH(weekday(AR$4), 1, 0, 2, if(ISBLANK('2025'!$P125), 0, 1), 3, if(ISBLANK('2025'!$Q125), 0, 1), 4, if(ISBLANK('2025'!$R125), 0, 1), 5, if(ISBLANK('2025'!$S125), 0, 1), 6, if(ISBLANK('2025'!$T125), 0, 1), 7, 0))), 1, "")</f>
        <v/>
      </c>
      <c r="AS127" s="1" t="str">
        <f>IF(AND(AND(AND(AS$4&gt;='2025'!$L125,AS$4&lt;='2025'!$M125), AS$4&lt;&gt;DATE(2025,7,4)), (SWITCH(weekday(AS$4), 1, 0, 2, if(ISBLANK('2025'!$P125), 0, 1), 3, if(ISBLANK('2025'!$Q125), 0, 1), 4, if(ISBLANK('2025'!$R125), 0, 1), 5, if(ISBLANK('2025'!$S125), 0, 1), 6, if(ISBLANK('2025'!$T125), 0, 1), 7, 0))), 1, "")</f>
        <v/>
      </c>
      <c r="AT127" s="1" t="str">
        <f>IF(AND(AND(AND(AT$4&gt;='2025'!$L125,AT$4&lt;='2025'!$M125), AT$4&lt;&gt;DATE(2025,7,4)), (SWITCH(weekday(AT$4), 1, 0, 2, if(ISBLANK('2025'!$P125), 0, 1), 3, if(ISBLANK('2025'!$Q125), 0, 1), 4, if(ISBLANK('2025'!$R125), 0, 1), 5, if(ISBLANK('2025'!$S125), 0, 1), 6, if(ISBLANK('2025'!$T125), 0, 1), 7, 0))), 1, "")</f>
        <v/>
      </c>
      <c r="AU127" s="1" t="str">
        <f>IF(AND(AND(AND(AU$4&gt;='2025'!$L125,AU$4&lt;='2025'!$M125), AU$4&lt;&gt;DATE(2025,7,4)), (SWITCH(weekday(AU$4), 1, 0, 2, if(ISBLANK('2025'!$P125), 0, 1), 3, if(ISBLANK('2025'!$Q125), 0, 1), 4, if(ISBLANK('2025'!$R125), 0, 1), 5, if(ISBLANK('2025'!$S125), 0, 1), 6, if(ISBLANK('2025'!$T125), 0, 1), 7, 0))), 1, "")</f>
        <v/>
      </c>
      <c r="AV127" s="1" t="str">
        <f>IF(AND(AND(AND(AV$4&gt;='2025'!$L125,AV$4&lt;='2025'!$M125), AV$4&lt;&gt;DATE(2025,7,4)), (SWITCH(weekday(AV$4), 1, 0, 2, if(ISBLANK('2025'!$P125), 0, 1), 3, if(ISBLANK('2025'!$Q125), 0, 1), 4, if(ISBLANK('2025'!$R125), 0, 1), 5, if(ISBLANK('2025'!$S125), 0, 1), 6, if(ISBLANK('2025'!$T125), 0, 1), 7, 0))), 1, "")</f>
        <v/>
      </c>
      <c r="AW127" s="1" t="str">
        <f>IF(AND(AND(AND(AW$4&gt;='2025'!$L125,AW$4&lt;='2025'!$M125), AW$4&lt;&gt;DATE(2025,7,4)), (SWITCH(weekday(AW$4), 1, 0, 2, if(ISBLANK('2025'!$P125), 0, 1), 3, if(ISBLANK('2025'!$Q125), 0, 1), 4, if(ISBLANK('2025'!$R125), 0, 1), 5, if(ISBLANK('2025'!$S125), 0, 1), 6, if(ISBLANK('2025'!$T125), 0, 1), 7, 0))), 1, "")</f>
        <v/>
      </c>
      <c r="AX127" s="1" t="str">
        <f>IF(AND(AND(AND(AX$4&gt;='2025'!$L125,AX$4&lt;='2025'!$M125), AX$4&lt;&gt;DATE(2025,7,4)), (SWITCH(weekday(AX$4), 1, 0, 2, if(ISBLANK('2025'!$P125), 0, 1), 3, if(ISBLANK('2025'!$Q125), 0, 1), 4, if(ISBLANK('2025'!$R125), 0, 1), 5, if(ISBLANK('2025'!$S125), 0, 1), 6, if(ISBLANK('2025'!$T125), 0, 1), 7, 0))), 1, "")</f>
        <v/>
      </c>
      <c r="AY127" s="1" t="str">
        <f>IF(AND(AND(AND(AY$4&gt;='2025'!$L125,AY$4&lt;='2025'!$M125), AY$4&lt;&gt;DATE(2025,7,4)), (SWITCH(weekday(AY$4), 1, 0, 2, if(ISBLANK('2025'!$P125), 0, 1), 3, if(ISBLANK('2025'!$Q125), 0, 1), 4, if(ISBLANK('2025'!$R125), 0, 1), 5, if(ISBLANK('2025'!$S125), 0, 1), 6, if(ISBLANK('2025'!$T125), 0, 1), 7, 0))), 1, "")</f>
        <v/>
      </c>
      <c r="AZ127" s="1" t="str">
        <f>IF(AND(AND(AND(AZ$4&gt;='2025'!$L125,AZ$4&lt;='2025'!$M125), AZ$4&lt;&gt;DATE(2025,7,4)), (SWITCH(weekday(AZ$4), 1, 0, 2, if(ISBLANK('2025'!$P125), 0, 1), 3, if(ISBLANK('2025'!$Q125), 0, 1), 4, if(ISBLANK('2025'!$R125), 0, 1), 5, if(ISBLANK('2025'!$S125), 0, 1), 6, if(ISBLANK('2025'!$T125), 0, 1), 7, 0))), 1, "")</f>
        <v/>
      </c>
      <c r="BA127" s="1" t="str">
        <f>IF(AND(AND(AND(BA$4&gt;='2025'!$L125,BA$4&lt;='2025'!$M125), BA$4&lt;&gt;DATE(2025,7,4)), (SWITCH(weekday(BA$4), 1, 0, 2, if(ISBLANK('2025'!$P125), 0, 1), 3, if(ISBLANK('2025'!$Q125), 0, 1), 4, if(ISBLANK('2025'!$R125), 0, 1), 5, if(ISBLANK('2025'!$S125), 0, 1), 6, if(ISBLANK('2025'!$T125), 0, 1), 7, 0))), 1, "")</f>
        <v/>
      </c>
      <c r="BB127" s="1" t="str">
        <f>IF(AND(AND(AND(BB$4&gt;='2025'!$L125,BB$4&lt;='2025'!$M125), BB$4&lt;&gt;DATE(2025,7,4)), (SWITCH(weekday(BB$4), 1, 0, 2, if(ISBLANK('2025'!$P125), 0, 1), 3, if(ISBLANK('2025'!$Q125), 0, 1), 4, if(ISBLANK('2025'!$R125), 0, 1), 5, if(ISBLANK('2025'!$S125), 0, 1), 6, if(ISBLANK('2025'!$T125), 0, 1), 7, 0))), 1, "")</f>
        <v/>
      </c>
      <c r="BC127" s="1" t="str">
        <f>IF(AND(AND(AND(BC$4&gt;='2025'!$L125,BC$4&lt;='2025'!$M125), BC$4&lt;&gt;DATE(2025,7,4)), (SWITCH(weekday(BC$4), 1, 0, 2, if(ISBLANK('2025'!$P125), 0, 1), 3, if(ISBLANK('2025'!$Q125), 0, 1), 4, if(ISBLANK('2025'!$R125), 0, 1), 5, if(ISBLANK('2025'!$S125), 0, 1), 6, if(ISBLANK('2025'!$T125), 0, 1), 7, 0))), 1, "")</f>
        <v/>
      </c>
      <c r="BD127" s="1" t="str">
        <f>IF(AND(AND(AND(BD$4&gt;='2025'!$L125,BD$4&lt;='2025'!$M125), BD$4&lt;&gt;DATE(2025,7,4)), (SWITCH(weekday(BD$4), 1, 0, 2, if(ISBLANK('2025'!$P125), 0, 1), 3, if(ISBLANK('2025'!$Q125), 0, 1), 4, if(ISBLANK('2025'!$R125), 0, 1), 5, if(ISBLANK('2025'!$S125), 0, 1), 6, if(ISBLANK('2025'!$T125), 0, 1), 7, 0))), 1, "")</f>
        <v/>
      </c>
      <c r="BE127" s="1" t="str">
        <f>IF(AND(AND(AND(BE$4&gt;='2025'!$L125,BE$4&lt;='2025'!$M125), BE$4&lt;&gt;DATE(2025,7,4)), (SWITCH(weekday(BE$4), 1, 0, 2, if(ISBLANK('2025'!$P125), 0, 1), 3, if(ISBLANK('2025'!$Q125), 0, 1), 4, if(ISBLANK('2025'!$R125), 0, 1), 5, if(ISBLANK('2025'!$S125), 0, 1), 6, if(ISBLANK('2025'!$T125), 0, 1), 7, 0))), 1, "")</f>
        <v/>
      </c>
      <c r="BF127" s="1" t="str">
        <f>IF(AND(AND(AND(BF$4&gt;='2025'!$L125,BF$4&lt;='2025'!$M125), BF$4&lt;&gt;DATE(2025,7,4)), (SWITCH(weekday(BF$4), 1, 0, 2, if(ISBLANK('2025'!$P125), 0, 1), 3, if(ISBLANK('2025'!$Q125), 0, 1), 4, if(ISBLANK('2025'!$R125), 0, 1), 5, if(ISBLANK('2025'!$S125), 0, 1), 6, if(ISBLANK('2025'!$T125), 0, 1), 7, 0))), 1, "")</f>
        <v/>
      </c>
      <c r="BG127" s="1"/>
      <c r="BH127" s="1"/>
      <c r="BI127" s="1"/>
      <c r="BJ127" s="1"/>
      <c r="BK127" s="1"/>
      <c r="BL127" s="1"/>
    </row>
    <row r="128">
      <c r="A128" s="1">
        <f t="shared" si="3"/>
        <v>128</v>
      </c>
      <c r="B128" s="1" t="str">
        <f>'2025'!D92</f>
        <v>, </v>
      </c>
      <c r="C128" s="1" t="str">
        <f>'2025'!H92</f>
        <v/>
      </c>
      <c r="D128" s="1" t="str">
        <f>IF(AND(AND(AND(D$4&gt;='2025'!$L126,D$4&lt;='2025'!$M126), D$4&lt;&gt;DATE(2025,7,4)), (SWITCH(weekday(D$4), 1, 0, 2, if(ISBLANK('2025'!$P126), 0, 1), 3, if(ISBLANK('2025'!$Q126), 0, 1), 4, if(ISBLANK('2025'!$R126), 0, 1), 5, if(ISBLANK('2025'!$S126), 0, 1), 6, if(ISBLANK('2025'!$T126), 0, 1), 7, 0))), 1, "")</f>
        <v/>
      </c>
      <c r="E128" s="1" t="str">
        <f>IF(AND(AND(AND(E$4&gt;='2025'!$L126,E$4&lt;='2025'!$M126), E$4&lt;&gt;DATE(2025,7,4)), (SWITCH(weekday(E$4), 1, 0, 2, if(ISBLANK('2025'!$P126), 0, 1), 3, if(ISBLANK('2025'!$Q126), 0, 1), 4, if(ISBLANK('2025'!$R126), 0, 1), 5, if(ISBLANK('2025'!$S126), 0, 1), 6, if(ISBLANK('2025'!$T126), 0, 1), 7, 0))), 1, "")</f>
        <v/>
      </c>
      <c r="F128" s="1" t="str">
        <f>IF(AND(AND(AND(F$4&gt;='2025'!$L126,F$4&lt;='2025'!$M126), F$4&lt;&gt;DATE(2025,7,4)), (SWITCH(weekday(F$4), 1, 0, 2, if(ISBLANK('2025'!$P126), 0, 1), 3, if(ISBLANK('2025'!$Q126), 0, 1), 4, if(ISBLANK('2025'!$R126), 0, 1), 5, if(ISBLANK('2025'!$S126), 0, 1), 6, if(ISBLANK('2025'!$T126), 0, 1), 7, 0))), 1, "")</f>
        <v/>
      </c>
      <c r="G128" s="1" t="str">
        <f>IF(AND(AND(AND(G$4&gt;='2025'!$L126,G$4&lt;='2025'!$M126), G$4&lt;&gt;DATE(2025,7,4)), (SWITCH(weekday(G$4), 1, 0, 2, if(ISBLANK('2025'!$P126), 0, 1), 3, if(ISBLANK('2025'!$Q126), 0, 1), 4, if(ISBLANK('2025'!$R126), 0, 1), 5, if(ISBLANK('2025'!$S126), 0, 1), 6, if(ISBLANK('2025'!$T126), 0, 1), 7, 0))), 1, "")</f>
        <v/>
      </c>
      <c r="H128" s="1" t="str">
        <f>IF(AND(AND(AND(H$4&gt;='2025'!$L126,H$4&lt;='2025'!$M126), H$4&lt;&gt;DATE(2025,7,4)), (SWITCH(weekday(H$4), 1, 0, 2, if(ISBLANK('2025'!$P126), 0, 1), 3, if(ISBLANK('2025'!$Q126), 0, 1), 4, if(ISBLANK('2025'!$R126), 0, 1), 5, if(ISBLANK('2025'!$S126), 0, 1), 6, if(ISBLANK('2025'!$T126), 0, 1), 7, 0))), 1, "")</f>
        <v/>
      </c>
      <c r="I128" s="1" t="str">
        <f>IF(AND(AND(AND(I$4&gt;='2025'!$L126,I$4&lt;='2025'!$M126), I$4&lt;&gt;DATE(2025,7,4)), (SWITCH(weekday(I$4), 1, 0, 2, if(ISBLANK('2025'!$P126), 0, 1), 3, if(ISBLANK('2025'!$Q126), 0, 1), 4, if(ISBLANK('2025'!$R126), 0, 1), 5, if(ISBLANK('2025'!$S126), 0, 1), 6, if(ISBLANK('2025'!$T126), 0, 1), 7, 0))), 1, "")</f>
        <v/>
      </c>
      <c r="J128" s="1" t="str">
        <f>IF(AND(AND(AND(J$4&gt;='2025'!$L126,J$4&lt;='2025'!$M126), J$4&lt;&gt;DATE(2025,7,4)), (SWITCH(weekday(J$4), 1, 0, 2, if(ISBLANK('2025'!$P126), 0, 1), 3, if(ISBLANK('2025'!$Q126), 0, 1), 4, if(ISBLANK('2025'!$R126), 0, 1), 5, if(ISBLANK('2025'!$S126), 0, 1), 6, if(ISBLANK('2025'!$T126), 0, 1), 7, 0))), 1, "")</f>
        <v/>
      </c>
      <c r="K128" s="1" t="str">
        <f>IF(AND(AND(AND(K$4&gt;='2025'!$L126,K$4&lt;='2025'!$M126), K$4&lt;&gt;DATE(2025,7,4)), (SWITCH(weekday(K$4), 1, 0, 2, if(ISBLANK('2025'!$P126), 0, 1), 3, if(ISBLANK('2025'!$Q126), 0, 1), 4, if(ISBLANK('2025'!$R126), 0, 1), 5, if(ISBLANK('2025'!$S126), 0, 1), 6, if(ISBLANK('2025'!$T126), 0, 1), 7, 0))), 1, "")</f>
        <v/>
      </c>
      <c r="L128" s="1" t="str">
        <f>IF(AND(AND(AND(L$4&gt;='2025'!$L126,L$4&lt;='2025'!$M126), L$4&lt;&gt;DATE(2025,7,4)), (SWITCH(weekday(L$4), 1, 0, 2, if(ISBLANK('2025'!$P126), 0, 1), 3, if(ISBLANK('2025'!$Q126), 0, 1), 4, if(ISBLANK('2025'!$R126), 0, 1), 5, if(ISBLANK('2025'!$S126), 0, 1), 6, if(ISBLANK('2025'!$T126), 0, 1), 7, 0))), 1, "")</f>
        <v/>
      </c>
      <c r="M128" s="1" t="str">
        <f>IF(AND(AND(AND(M$4&gt;='2025'!$L126,M$4&lt;='2025'!$M126), M$4&lt;&gt;DATE(2025,7,4)), (SWITCH(weekday(M$4), 1, 0, 2, if(ISBLANK('2025'!$P126), 0, 1), 3, if(ISBLANK('2025'!$Q126), 0, 1), 4, if(ISBLANK('2025'!$R126), 0, 1), 5, if(ISBLANK('2025'!$S126), 0, 1), 6, if(ISBLANK('2025'!$T126), 0, 1), 7, 0))), 1, "")</f>
        <v/>
      </c>
      <c r="N128" s="1" t="str">
        <f>IF(AND(AND(AND(N$4&gt;='2025'!$L126,N$4&lt;='2025'!$M126), N$4&lt;&gt;DATE(2025,7,4)), (SWITCH(weekday(N$4), 1, 0, 2, if(ISBLANK('2025'!$P126), 0, 1), 3, if(ISBLANK('2025'!$Q126), 0, 1), 4, if(ISBLANK('2025'!$R126), 0, 1), 5, if(ISBLANK('2025'!$S126), 0, 1), 6, if(ISBLANK('2025'!$T126), 0, 1), 7, 0))), 1, "")</f>
        <v/>
      </c>
      <c r="O128" s="1" t="str">
        <f>IF(AND(AND(AND(O$4&gt;='2025'!$L126,O$4&lt;='2025'!$M126), O$4&lt;&gt;DATE(2025,7,4)), (SWITCH(weekday(O$4), 1, 0, 2, if(ISBLANK('2025'!$P126), 0, 1), 3, if(ISBLANK('2025'!$Q126), 0, 1), 4, if(ISBLANK('2025'!$R126), 0, 1), 5, if(ISBLANK('2025'!$S126), 0, 1), 6, if(ISBLANK('2025'!$T126), 0, 1), 7, 0))), 1, "")</f>
        <v/>
      </c>
      <c r="P128" s="1" t="str">
        <f>IF(AND(AND(AND(P$4&gt;='2025'!$L126,P$4&lt;='2025'!$M126), P$4&lt;&gt;DATE(2025,7,4)), (SWITCH(weekday(P$4), 1, 0, 2, if(ISBLANK('2025'!$P126), 0, 1), 3, if(ISBLANK('2025'!$Q126), 0, 1), 4, if(ISBLANK('2025'!$R126), 0, 1), 5, if(ISBLANK('2025'!$S126), 0, 1), 6, if(ISBLANK('2025'!$T126), 0, 1), 7, 0))), 1, "")</f>
        <v/>
      </c>
      <c r="Q128" s="1" t="str">
        <f>IF(AND(AND(AND(Q$4&gt;='2025'!$L126,Q$4&lt;='2025'!$M126), Q$4&lt;&gt;DATE(2025,7,4)), (SWITCH(weekday(Q$4), 1, 0, 2, if(ISBLANK('2025'!$P126), 0, 1), 3, if(ISBLANK('2025'!$Q126), 0, 1), 4, if(ISBLANK('2025'!$R126), 0, 1), 5, if(ISBLANK('2025'!$S126), 0, 1), 6, if(ISBLANK('2025'!$T126), 0, 1), 7, 0))), 1, "")</f>
        <v/>
      </c>
      <c r="R128" s="1" t="str">
        <f>IF(AND(AND(AND(R$4&gt;='2025'!$L126,R$4&lt;='2025'!$M126), R$4&lt;&gt;DATE(2025,7,4)), (SWITCH(weekday(R$4), 1, 0, 2, if(ISBLANK('2025'!$P126), 0, 1), 3, if(ISBLANK('2025'!$Q126), 0, 1), 4, if(ISBLANK('2025'!$R126), 0, 1), 5, if(ISBLANK('2025'!$S126), 0, 1), 6, if(ISBLANK('2025'!$T126), 0, 1), 7, 0))), 1, "")</f>
        <v/>
      </c>
      <c r="S128" s="1" t="str">
        <f>IF(AND(AND(AND(S$4&gt;='2025'!$L126,S$4&lt;='2025'!$M126), S$4&lt;&gt;DATE(2025,7,4)), (SWITCH(weekday(S$4), 1, 0, 2, if(ISBLANK('2025'!$P126), 0, 1), 3, if(ISBLANK('2025'!$Q126), 0, 1), 4, if(ISBLANK('2025'!$R126), 0, 1), 5, if(ISBLANK('2025'!$S126), 0, 1), 6, if(ISBLANK('2025'!$T126), 0, 1), 7, 0))), 1, "")</f>
        <v/>
      </c>
      <c r="T128" s="1" t="str">
        <f>IF(AND(AND(AND(T$4&gt;='2025'!$L126,T$4&lt;='2025'!$M126), T$4&lt;&gt;DATE(2025,7,4)), (SWITCH(weekday(T$4), 1, 0, 2, if(ISBLANK('2025'!$P126), 0, 1), 3, if(ISBLANK('2025'!$Q126), 0, 1), 4, if(ISBLANK('2025'!$R126), 0, 1), 5, if(ISBLANK('2025'!$S126), 0, 1), 6, if(ISBLANK('2025'!$T126), 0, 1), 7, 0))), 1, "")</f>
        <v/>
      </c>
      <c r="U128" s="1" t="str">
        <f>IF(AND(AND(AND(U$4&gt;='2025'!$L126,U$4&lt;='2025'!$M126), U$4&lt;&gt;DATE(2025,7,4)), (SWITCH(weekday(U$4), 1, 0, 2, if(ISBLANK('2025'!$P126), 0, 1), 3, if(ISBLANK('2025'!$Q126), 0, 1), 4, if(ISBLANK('2025'!$R126), 0, 1), 5, if(ISBLANK('2025'!$S126), 0, 1), 6, if(ISBLANK('2025'!$T126), 0, 1), 7, 0))), 1, "")</f>
        <v/>
      </c>
      <c r="V128" s="1" t="str">
        <f>IF(AND(AND(AND(V$4&gt;='2025'!$L126,V$4&lt;='2025'!$M126), V$4&lt;&gt;DATE(2025,7,4)), (SWITCH(weekday(V$4), 1, 0, 2, if(ISBLANK('2025'!$P126), 0, 1), 3, if(ISBLANK('2025'!$Q126), 0, 1), 4, if(ISBLANK('2025'!$R126), 0, 1), 5, if(ISBLANK('2025'!$S126), 0, 1), 6, if(ISBLANK('2025'!$T126), 0, 1), 7, 0))), 1, "")</f>
        <v/>
      </c>
      <c r="W128" s="1" t="str">
        <f>IF(AND(AND(AND(W$4&gt;='2025'!$L126,W$4&lt;='2025'!$M126), W$4&lt;&gt;DATE(2025,7,4)), (SWITCH(weekday(W$4), 1, 0, 2, if(ISBLANK('2025'!$P126), 0, 1), 3, if(ISBLANK('2025'!$Q126), 0, 1), 4, if(ISBLANK('2025'!$R126), 0, 1), 5, if(ISBLANK('2025'!$S126), 0, 1), 6, if(ISBLANK('2025'!$T126), 0, 1), 7, 0))), 1, "")</f>
        <v/>
      </c>
      <c r="X128" s="1" t="str">
        <f>IF(AND(AND(AND(X$4&gt;='2025'!$L126,X$4&lt;='2025'!$M126), X$4&lt;&gt;DATE(2025,7,4)), (SWITCH(weekday(X$4), 1, 0, 2, if(ISBLANK('2025'!$P126), 0, 1), 3, if(ISBLANK('2025'!$Q126), 0, 1), 4, if(ISBLANK('2025'!$R126), 0, 1), 5, if(ISBLANK('2025'!$S126), 0, 1), 6, if(ISBLANK('2025'!$T126), 0, 1), 7, 0))), 1, "")</f>
        <v/>
      </c>
      <c r="Y128" s="1" t="str">
        <f>IF(AND(AND(AND(Y$4&gt;='2025'!$L126,Y$4&lt;='2025'!$M126), Y$4&lt;&gt;DATE(2025,7,4)), (SWITCH(weekday(Y$4), 1, 0, 2, if(ISBLANK('2025'!$P126), 0, 1), 3, if(ISBLANK('2025'!$Q126), 0, 1), 4, if(ISBLANK('2025'!$R126), 0, 1), 5, if(ISBLANK('2025'!$S126), 0, 1), 6, if(ISBLANK('2025'!$T126), 0, 1), 7, 0))), 1, "")</f>
        <v/>
      </c>
      <c r="Z128" s="1" t="str">
        <f>IF(AND(AND(AND(Z$4&gt;='2025'!$L126,Z$4&lt;='2025'!$M126), Z$4&lt;&gt;DATE(2025,7,4)), (SWITCH(weekday(Z$4), 1, 0, 2, if(ISBLANK('2025'!$P126), 0, 1), 3, if(ISBLANK('2025'!$Q126), 0, 1), 4, if(ISBLANK('2025'!$R126), 0, 1), 5, if(ISBLANK('2025'!$S126), 0, 1), 6, if(ISBLANK('2025'!$T126), 0, 1), 7, 0))), 1, "")</f>
        <v/>
      </c>
      <c r="AA128" s="1" t="str">
        <f>IF(AND(AND(AND(AA$4&gt;='2025'!$L126,AA$4&lt;='2025'!$M126), AA$4&lt;&gt;DATE(2025,7,4)), (SWITCH(weekday(AA$4), 1, 0, 2, if(ISBLANK('2025'!$P126), 0, 1), 3, if(ISBLANK('2025'!$Q126), 0, 1), 4, if(ISBLANK('2025'!$R126), 0, 1), 5, if(ISBLANK('2025'!$S126), 0, 1), 6, if(ISBLANK('2025'!$T126), 0, 1), 7, 0))), 1, "")</f>
        <v/>
      </c>
      <c r="AB128" s="1" t="str">
        <f>IF(AND(AND(AND(AB$4&gt;='2025'!$L126,AB$4&lt;='2025'!$M126), AB$4&lt;&gt;DATE(2025,7,4)), (SWITCH(weekday(AB$4), 1, 0, 2, if(ISBLANK('2025'!$P126), 0, 1), 3, if(ISBLANK('2025'!$Q126), 0, 1), 4, if(ISBLANK('2025'!$R126), 0, 1), 5, if(ISBLANK('2025'!$S126), 0, 1), 6, if(ISBLANK('2025'!$T126), 0, 1), 7, 0))), 1, "")</f>
        <v/>
      </c>
      <c r="AC128" s="1" t="str">
        <f>IF(AND(AND(AND(AC$4&gt;='2025'!$L126,AC$4&lt;='2025'!$M126), AC$4&lt;&gt;DATE(2025,7,4)), (SWITCH(weekday(AC$4), 1, 0, 2, if(ISBLANK('2025'!$P126), 0, 1), 3, if(ISBLANK('2025'!$Q126), 0, 1), 4, if(ISBLANK('2025'!$R126), 0, 1), 5, if(ISBLANK('2025'!$S126), 0, 1), 6, if(ISBLANK('2025'!$T126), 0, 1), 7, 0))), 1, "")</f>
        <v/>
      </c>
      <c r="AD128" s="1" t="str">
        <f>IF(AND(AND(AND(AD$4&gt;='2025'!$L126,AD$4&lt;='2025'!$M126), AD$4&lt;&gt;DATE(2025,7,4)), (SWITCH(weekday(AD$4), 1, 0, 2, if(ISBLANK('2025'!$P126), 0, 1), 3, if(ISBLANK('2025'!$Q126), 0, 1), 4, if(ISBLANK('2025'!$R126), 0, 1), 5, if(ISBLANK('2025'!$S126), 0, 1), 6, if(ISBLANK('2025'!$T126), 0, 1), 7, 0))), 1, "")</f>
        <v/>
      </c>
      <c r="AE128" s="1" t="str">
        <f>IF(AND(AND(AND(AE$4&gt;='2025'!$L126,AE$4&lt;='2025'!$M126), AE$4&lt;&gt;DATE(2025,7,4)), (SWITCH(weekday(AE$4), 1, 0, 2, if(ISBLANK('2025'!$P126), 0, 1), 3, if(ISBLANK('2025'!$Q126), 0, 1), 4, if(ISBLANK('2025'!$R126), 0, 1), 5, if(ISBLANK('2025'!$S126), 0, 1), 6, if(ISBLANK('2025'!$T126), 0, 1), 7, 0))), 1, "")</f>
        <v/>
      </c>
      <c r="AF128" s="1" t="str">
        <f>IF(AND(AND(AND(AF$4&gt;='2025'!$L126,AF$4&lt;='2025'!$M126), AF$4&lt;&gt;DATE(2025,7,4)), (SWITCH(weekday(AF$4), 1, 0, 2, if(ISBLANK('2025'!$P126), 0, 1), 3, if(ISBLANK('2025'!$Q126), 0, 1), 4, if(ISBLANK('2025'!$R126), 0, 1), 5, if(ISBLANK('2025'!$S126), 0, 1), 6, if(ISBLANK('2025'!$T126), 0, 1), 7, 0))), 1, "")</f>
        <v/>
      </c>
      <c r="AG128" s="1" t="str">
        <f>IF(AND(AND(AND(AG$4&gt;='2025'!$L126,AG$4&lt;='2025'!$M126), AG$4&lt;&gt;DATE(2025,7,4)), (SWITCH(weekday(AG$4), 1, 0, 2, if(ISBLANK('2025'!$P126), 0, 1), 3, if(ISBLANK('2025'!$Q126), 0, 1), 4, if(ISBLANK('2025'!$R126), 0, 1), 5, if(ISBLANK('2025'!$S126), 0, 1), 6, if(ISBLANK('2025'!$T126), 0, 1), 7, 0))), 1, "")</f>
        <v/>
      </c>
      <c r="AH128" s="1" t="str">
        <f>IF(AND(AND(AND(AH$4&gt;='2025'!$L126,AH$4&lt;='2025'!$M126), AH$4&lt;&gt;DATE(2025,7,4)), (SWITCH(weekday(AH$4), 1, 0, 2, if(ISBLANK('2025'!$P126), 0, 1), 3, if(ISBLANK('2025'!$Q126), 0, 1), 4, if(ISBLANK('2025'!$R126), 0, 1), 5, if(ISBLANK('2025'!$S126), 0, 1), 6, if(ISBLANK('2025'!$T126), 0, 1), 7, 0))), 1, "")</f>
        <v/>
      </c>
      <c r="AI128" s="1" t="str">
        <f>IF(AND(AND(AND(AI$4&gt;='2025'!$L126,AI$4&lt;='2025'!$M126), AI$4&lt;&gt;DATE(2025,7,4)), (SWITCH(weekday(AI$4), 1, 0, 2, if(ISBLANK('2025'!$P126), 0, 1), 3, if(ISBLANK('2025'!$Q126), 0, 1), 4, if(ISBLANK('2025'!$R126), 0, 1), 5, if(ISBLANK('2025'!$S126), 0, 1), 6, if(ISBLANK('2025'!$T126), 0, 1), 7, 0))), 1, "")</f>
        <v/>
      </c>
      <c r="AJ128" s="1" t="str">
        <f>IF(AND(AND(AND(AJ$4&gt;='2025'!$L126,AJ$4&lt;='2025'!$M126), AJ$4&lt;&gt;DATE(2025,7,4)), (SWITCH(weekday(AJ$4), 1, 0, 2, if(ISBLANK('2025'!$P126), 0, 1), 3, if(ISBLANK('2025'!$Q126), 0, 1), 4, if(ISBLANK('2025'!$R126), 0, 1), 5, if(ISBLANK('2025'!$S126), 0, 1), 6, if(ISBLANK('2025'!$T126), 0, 1), 7, 0))), 1, "")</f>
        <v/>
      </c>
      <c r="AK128" s="1" t="str">
        <f>IF(AND(AND(AND(AK$4&gt;='2025'!$L126,AK$4&lt;='2025'!$M126), AK$4&lt;&gt;DATE(2025,7,4)), (SWITCH(weekday(AK$4), 1, 0, 2, if(ISBLANK('2025'!$P126), 0, 1), 3, if(ISBLANK('2025'!$Q126), 0, 1), 4, if(ISBLANK('2025'!$R126), 0, 1), 5, if(ISBLANK('2025'!$S126), 0, 1), 6, if(ISBLANK('2025'!$T126), 0, 1), 7, 0))), 1, "")</f>
        <v/>
      </c>
      <c r="AL128" s="1" t="str">
        <f>IF(AND(AND(AND(AL$4&gt;='2025'!$L126,AL$4&lt;='2025'!$M126), AL$4&lt;&gt;DATE(2025,7,4)), (SWITCH(weekday(AL$4), 1, 0, 2, if(ISBLANK('2025'!$P126), 0, 1), 3, if(ISBLANK('2025'!$Q126), 0, 1), 4, if(ISBLANK('2025'!$R126), 0, 1), 5, if(ISBLANK('2025'!$S126), 0, 1), 6, if(ISBLANK('2025'!$T126), 0, 1), 7, 0))), 1, "")</f>
        <v/>
      </c>
      <c r="AM128" s="1" t="str">
        <f>IF(AND(AND(AND(AM$4&gt;='2025'!$L126,AM$4&lt;='2025'!$M126), AM$4&lt;&gt;DATE(2025,7,4)), (SWITCH(weekday(AM$4), 1, 0, 2, if(ISBLANK('2025'!$P126), 0, 1), 3, if(ISBLANK('2025'!$Q126), 0, 1), 4, if(ISBLANK('2025'!$R126), 0, 1), 5, if(ISBLANK('2025'!$S126), 0, 1), 6, if(ISBLANK('2025'!$T126), 0, 1), 7, 0))), 1, "")</f>
        <v/>
      </c>
      <c r="AN128" s="1" t="str">
        <f>IF(AND(AND(AND(AN$4&gt;='2025'!$L126,AN$4&lt;='2025'!$M126), AN$4&lt;&gt;DATE(2025,7,4)), (SWITCH(weekday(AN$4), 1, 0, 2, if(ISBLANK('2025'!$P126), 0, 1), 3, if(ISBLANK('2025'!$Q126), 0, 1), 4, if(ISBLANK('2025'!$R126), 0, 1), 5, if(ISBLANK('2025'!$S126), 0, 1), 6, if(ISBLANK('2025'!$T126), 0, 1), 7, 0))), 1, "")</f>
        <v/>
      </c>
      <c r="AO128" s="1" t="str">
        <f>IF(AND(AND(AND(AO$4&gt;='2025'!$L126,AO$4&lt;='2025'!$M126), AO$4&lt;&gt;DATE(2025,7,4)), (SWITCH(weekday(AO$4), 1, 0, 2, if(ISBLANK('2025'!$P126), 0, 1), 3, if(ISBLANK('2025'!$Q126), 0, 1), 4, if(ISBLANK('2025'!$R126), 0, 1), 5, if(ISBLANK('2025'!$S126), 0, 1), 6, if(ISBLANK('2025'!$T126), 0, 1), 7, 0))), 1, "")</f>
        <v/>
      </c>
      <c r="AP128" s="1" t="str">
        <f>IF(AND(AND(AND(AP$4&gt;='2025'!$L126,AP$4&lt;='2025'!$M126), AP$4&lt;&gt;DATE(2025,7,4)), (SWITCH(weekday(AP$4), 1, 0, 2, if(ISBLANK('2025'!$P126), 0, 1), 3, if(ISBLANK('2025'!$Q126), 0, 1), 4, if(ISBLANK('2025'!$R126), 0, 1), 5, if(ISBLANK('2025'!$S126), 0, 1), 6, if(ISBLANK('2025'!$T126), 0, 1), 7, 0))), 1, "")</f>
        <v/>
      </c>
      <c r="AQ128" s="1" t="str">
        <f>IF(AND(AND(AND(AQ$4&gt;='2025'!$L126,AQ$4&lt;='2025'!$M126), AQ$4&lt;&gt;DATE(2025,7,4)), (SWITCH(weekday(AQ$4), 1, 0, 2, if(ISBLANK('2025'!$P126), 0, 1), 3, if(ISBLANK('2025'!$Q126), 0, 1), 4, if(ISBLANK('2025'!$R126), 0, 1), 5, if(ISBLANK('2025'!$S126), 0, 1), 6, if(ISBLANK('2025'!$T126), 0, 1), 7, 0))), 1, "")</f>
        <v/>
      </c>
      <c r="AR128" s="1" t="str">
        <f>IF(AND(AND(AND(AR$4&gt;='2025'!$L126,AR$4&lt;='2025'!$M126), AR$4&lt;&gt;DATE(2025,7,4)), (SWITCH(weekday(AR$4), 1, 0, 2, if(ISBLANK('2025'!$P126), 0, 1), 3, if(ISBLANK('2025'!$Q126), 0, 1), 4, if(ISBLANK('2025'!$R126), 0, 1), 5, if(ISBLANK('2025'!$S126), 0, 1), 6, if(ISBLANK('2025'!$T126), 0, 1), 7, 0))), 1, "")</f>
        <v/>
      </c>
      <c r="AS128" s="1" t="str">
        <f>IF(AND(AND(AND(AS$4&gt;='2025'!$L126,AS$4&lt;='2025'!$M126), AS$4&lt;&gt;DATE(2025,7,4)), (SWITCH(weekday(AS$4), 1, 0, 2, if(ISBLANK('2025'!$P126), 0, 1), 3, if(ISBLANK('2025'!$Q126), 0, 1), 4, if(ISBLANK('2025'!$R126), 0, 1), 5, if(ISBLANK('2025'!$S126), 0, 1), 6, if(ISBLANK('2025'!$T126), 0, 1), 7, 0))), 1, "")</f>
        <v/>
      </c>
      <c r="AT128" s="1" t="str">
        <f>IF(AND(AND(AND(AT$4&gt;='2025'!$L126,AT$4&lt;='2025'!$M126), AT$4&lt;&gt;DATE(2025,7,4)), (SWITCH(weekday(AT$4), 1, 0, 2, if(ISBLANK('2025'!$P126), 0, 1), 3, if(ISBLANK('2025'!$Q126), 0, 1), 4, if(ISBLANK('2025'!$R126), 0, 1), 5, if(ISBLANK('2025'!$S126), 0, 1), 6, if(ISBLANK('2025'!$T126), 0, 1), 7, 0))), 1, "")</f>
        <v/>
      </c>
      <c r="AU128" s="1" t="str">
        <f>IF(AND(AND(AND(AU$4&gt;='2025'!$L126,AU$4&lt;='2025'!$M126), AU$4&lt;&gt;DATE(2025,7,4)), (SWITCH(weekday(AU$4), 1, 0, 2, if(ISBLANK('2025'!$P126), 0, 1), 3, if(ISBLANK('2025'!$Q126), 0, 1), 4, if(ISBLANK('2025'!$R126), 0, 1), 5, if(ISBLANK('2025'!$S126), 0, 1), 6, if(ISBLANK('2025'!$T126), 0, 1), 7, 0))), 1, "")</f>
        <v/>
      </c>
      <c r="AV128" s="1" t="str">
        <f>IF(AND(AND(AND(AV$4&gt;='2025'!$L126,AV$4&lt;='2025'!$M126), AV$4&lt;&gt;DATE(2025,7,4)), (SWITCH(weekday(AV$4), 1, 0, 2, if(ISBLANK('2025'!$P126), 0, 1), 3, if(ISBLANK('2025'!$Q126), 0, 1), 4, if(ISBLANK('2025'!$R126), 0, 1), 5, if(ISBLANK('2025'!$S126), 0, 1), 6, if(ISBLANK('2025'!$T126), 0, 1), 7, 0))), 1, "")</f>
        <v/>
      </c>
      <c r="AW128" s="1" t="str">
        <f>IF(AND(AND(AND(AW$4&gt;='2025'!$L126,AW$4&lt;='2025'!$M126), AW$4&lt;&gt;DATE(2025,7,4)), (SWITCH(weekday(AW$4), 1, 0, 2, if(ISBLANK('2025'!$P126), 0, 1), 3, if(ISBLANK('2025'!$Q126), 0, 1), 4, if(ISBLANK('2025'!$R126), 0, 1), 5, if(ISBLANK('2025'!$S126), 0, 1), 6, if(ISBLANK('2025'!$T126), 0, 1), 7, 0))), 1, "")</f>
        <v/>
      </c>
      <c r="AX128" s="1" t="str">
        <f>IF(AND(AND(AND(AX$4&gt;='2025'!$L126,AX$4&lt;='2025'!$M126), AX$4&lt;&gt;DATE(2025,7,4)), (SWITCH(weekday(AX$4), 1, 0, 2, if(ISBLANK('2025'!$P126), 0, 1), 3, if(ISBLANK('2025'!$Q126), 0, 1), 4, if(ISBLANK('2025'!$R126), 0, 1), 5, if(ISBLANK('2025'!$S126), 0, 1), 6, if(ISBLANK('2025'!$T126), 0, 1), 7, 0))), 1, "")</f>
        <v/>
      </c>
      <c r="AY128" s="1" t="str">
        <f>IF(AND(AND(AND(AY$4&gt;='2025'!$L126,AY$4&lt;='2025'!$M126), AY$4&lt;&gt;DATE(2025,7,4)), (SWITCH(weekday(AY$4), 1, 0, 2, if(ISBLANK('2025'!$P126), 0, 1), 3, if(ISBLANK('2025'!$Q126), 0, 1), 4, if(ISBLANK('2025'!$R126), 0, 1), 5, if(ISBLANK('2025'!$S126), 0, 1), 6, if(ISBLANK('2025'!$T126), 0, 1), 7, 0))), 1, "")</f>
        <v/>
      </c>
      <c r="AZ128" s="1" t="str">
        <f>IF(AND(AND(AND(AZ$4&gt;='2025'!$L126,AZ$4&lt;='2025'!$M126), AZ$4&lt;&gt;DATE(2025,7,4)), (SWITCH(weekday(AZ$4), 1, 0, 2, if(ISBLANK('2025'!$P126), 0, 1), 3, if(ISBLANK('2025'!$Q126), 0, 1), 4, if(ISBLANK('2025'!$R126), 0, 1), 5, if(ISBLANK('2025'!$S126), 0, 1), 6, if(ISBLANK('2025'!$T126), 0, 1), 7, 0))), 1, "")</f>
        <v/>
      </c>
      <c r="BA128" s="1" t="str">
        <f>IF(AND(AND(AND(BA$4&gt;='2025'!$L126,BA$4&lt;='2025'!$M126), BA$4&lt;&gt;DATE(2025,7,4)), (SWITCH(weekday(BA$4), 1, 0, 2, if(ISBLANK('2025'!$P126), 0, 1), 3, if(ISBLANK('2025'!$Q126), 0, 1), 4, if(ISBLANK('2025'!$R126), 0, 1), 5, if(ISBLANK('2025'!$S126), 0, 1), 6, if(ISBLANK('2025'!$T126), 0, 1), 7, 0))), 1, "")</f>
        <v/>
      </c>
      <c r="BB128" s="1" t="str">
        <f>IF(AND(AND(AND(BB$4&gt;='2025'!$L126,BB$4&lt;='2025'!$M126), BB$4&lt;&gt;DATE(2025,7,4)), (SWITCH(weekday(BB$4), 1, 0, 2, if(ISBLANK('2025'!$P126), 0, 1), 3, if(ISBLANK('2025'!$Q126), 0, 1), 4, if(ISBLANK('2025'!$R126), 0, 1), 5, if(ISBLANK('2025'!$S126), 0, 1), 6, if(ISBLANK('2025'!$T126), 0, 1), 7, 0))), 1, "")</f>
        <v/>
      </c>
      <c r="BC128" s="1" t="str">
        <f>IF(AND(AND(AND(BC$4&gt;='2025'!$L126,BC$4&lt;='2025'!$M126), BC$4&lt;&gt;DATE(2025,7,4)), (SWITCH(weekday(BC$4), 1, 0, 2, if(ISBLANK('2025'!$P126), 0, 1), 3, if(ISBLANK('2025'!$Q126), 0, 1), 4, if(ISBLANK('2025'!$R126), 0, 1), 5, if(ISBLANK('2025'!$S126), 0, 1), 6, if(ISBLANK('2025'!$T126), 0, 1), 7, 0))), 1, "")</f>
        <v/>
      </c>
      <c r="BD128" s="1" t="str">
        <f>IF(AND(AND(AND(BD$4&gt;='2025'!$L126,BD$4&lt;='2025'!$M126), BD$4&lt;&gt;DATE(2025,7,4)), (SWITCH(weekday(BD$4), 1, 0, 2, if(ISBLANK('2025'!$P126), 0, 1), 3, if(ISBLANK('2025'!$Q126), 0, 1), 4, if(ISBLANK('2025'!$R126), 0, 1), 5, if(ISBLANK('2025'!$S126), 0, 1), 6, if(ISBLANK('2025'!$T126), 0, 1), 7, 0))), 1, "")</f>
        <v/>
      </c>
      <c r="BE128" s="1" t="str">
        <f>IF(AND(AND(AND(BE$4&gt;='2025'!$L126,BE$4&lt;='2025'!$M126), BE$4&lt;&gt;DATE(2025,7,4)), (SWITCH(weekday(BE$4), 1, 0, 2, if(ISBLANK('2025'!$P126), 0, 1), 3, if(ISBLANK('2025'!$Q126), 0, 1), 4, if(ISBLANK('2025'!$R126), 0, 1), 5, if(ISBLANK('2025'!$S126), 0, 1), 6, if(ISBLANK('2025'!$T126), 0, 1), 7, 0))), 1, "")</f>
        <v/>
      </c>
      <c r="BF128" s="1" t="str">
        <f>IF(AND(AND(AND(BF$4&gt;='2025'!$L126,BF$4&lt;='2025'!$M126), BF$4&lt;&gt;DATE(2025,7,4)), (SWITCH(weekday(BF$4), 1, 0, 2, if(ISBLANK('2025'!$P126), 0, 1), 3, if(ISBLANK('2025'!$Q126), 0, 1), 4, if(ISBLANK('2025'!$R126), 0, 1), 5, if(ISBLANK('2025'!$S126), 0, 1), 6, if(ISBLANK('2025'!$T126), 0, 1), 7, 0))), 1, "")</f>
        <v/>
      </c>
      <c r="BG128" s="1"/>
      <c r="BH128" s="1"/>
      <c r="BI128" s="1"/>
      <c r="BJ128" s="1"/>
      <c r="BK128" s="1"/>
      <c r="BL128" s="1"/>
    </row>
    <row r="129">
      <c r="A129" s="1">
        <f t="shared" si="3"/>
        <v>129</v>
      </c>
      <c r="B129" s="1" t="str">
        <f>'2025'!D93</f>
        <v>, </v>
      </c>
      <c r="C129" s="1" t="str">
        <f>'2025'!H93</f>
        <v/>
      </c>
      <c r="D129" s="1" t="str">
        <f>IF(AND(AND(AND(D$4&gt;='2025'!$L127,D$4&lt;='2025'!$M127), D$4&lt;&gt;DATE(2025,7,4)), (SWITCH(weekday(D$4), 1, 0, 2, if(ISBLANK('2025'!$P127), 0, 1), 3, if(ISBLANK('2025'!$Q127), 0, 1), 4, if(ISBLANK('2025'!$R127), 0, 1), 5, if(ISBLANK('2025'!$S127), 0, 1), 6, if(ISBLANK('2025'!$T127), 0, 1), 7, 0))), 1, "")</f>
        <v/>
      </c>
      <c r="E129" s="1" t="str">
        <f>IF(AND(AND(AND(E$4&gt;='2025'!$L127,E$4&lt;='2025'!$M127), E$4&lt;&gt;DATE(2025,7,4)), (SWITCH(weekday(E$4), 1, 0, 2, if(ISBLANK('2025'!$P127), 0, 1), 3, if(ISBLANK('2025'!$Q127), 0, 1), 4, if(ISBLANK('2025'!$R127), 0, 1), 5, if(ISBLANK('2025'!$S127), 0, 1), 6, if(ISBLANK('2025'!$T127), 0, 1), 7, 0))), 1, "")</f>
        <v/>
      </c>
      <c r="F129" s="1" t="str">
        <f>IF(AND(AND(AND(F$4&gt;='2025'!$L127,F$4&lt;='2025'!$M127), F$4&lt;&gt;DATE(2025,7,4)), (SWITCH(weekday(F$4), 1, 0, 2, if(ISBLANK('2025'!$P127), 0, 1), 3, if(ISBLANK('2025'!$Q127), 0, 1), 4, if(ISBLANK('2025'!$R127), 0, 1), 5, if(ISBLANK('2025'!$S127), 0, 1), 6, if(ISBLANK('2025'!$T127), 0, 1), 7, 0))), 1, "")</f>
        <v/>
      </c>
      <c r="G129" s="1" t="str">
        <f>IF(AND(AND(AND(G$4&gt;='2025'!$L127,G$4&lt;='2025'!$M127), G$4&lt;&gt;DATE(2025,7,4)), (SWITCH(weekday(G$4), 1, 0, 2, if(ISBLANK('2025'!$P127), 0, 1), 3, if(ISBLANK('2025'!$Q127), 0, 1), 4, if(ISBLANK('2025'!$R127), 0, 1), 5, if(ISBLANK('2025'!$S127), 0, 1), 6, if(ISBLANK('2025'!$T127), 0, 1), 7, 0))), 1, "")</f>
        <v/>
      </c>
      <c r="H129" s="1" t="str">
        <f>IF(AND(AND(AND(H$4&gt;='2025'!$L127,H$4&lt;='2025'!$M127), H$4&lt;&gt;DATE(2025,7,4)), (SWITCH(weekday(H$4), 1, 0, 2, if(ISBLANK('2025'!$P127), 0, 1), 3, if(ISBLANK('2025'!$Q127), 0, 1), 4, if(ISBLANK('2025'!$R127), 0, 1), 5, if(ISBLANK('2025'!$S127), 0, 1), 6, if(ISBLANK('2025'!$T127), 0, 1), 7, 0))), 1, "")</f>
        <v/>
      </c>
      <c r="I129" s="1" t="str">
        <f>IF(AND(AND(AND(I$4&gt;='2025'!$L127,I$4&lt;='2025'!$M127), I$4&lt;&gt;DATE(2025,7,4)), (SWITCH(weekday(I$4), 1, 0, 2, if(ISBLANK('2025'!$P127), 0, 1), 3, if(ISBLANK('2025'!$Q127), 0, 1), 4, if(ISBLANK('2025'!$R127), 0, 1), 5, if(ISBLANK('2025'!$S127), 0, 1), 6, if(ISBLANK('2025'!$T127), 0, 1), 7, 0))), 1, "")</f>
        <v/>
      </c>
      <c r="J129" s="1" t="str">
        <f>IF(AND(AND(AND(J$4&gt;='2025'!$L127,J$4&lt;='2025'!$M127), J$4&lt;&gt;DATE(2025,7,4)), (SWITCH(weekday(J$4), 1, 0, 2, if(ISBLANK('2025'!$P127), 0, 1), 3, if(ISBLANK('2025'!$Q127), 0, 1), 4, if(ISBLANK('2025'!$R127), 0, 1), 5, if(ISBLANK('2025'!$S127), 0, 1), 6, if(ISBLANK('2025'!$T127), 0, 1), 7, 0))), 1, "")</f>
        <v/>
      </c>
      <c r="K129" s="1" t="str">
        <f>IF(AND(AND(AND(K$4&gt;='2025'!$L127,K$4&lt;='2025'!$M127), K$4&lt;&gt;DATE(2025,7,4)), (SWITCH(weekday(K$4), 1, 0, 2, if(ISBLANK('2025'!$P127), 0, 1), 3, if(ISBLANK('2025'!$Q127), 0, 1), 4, if(ISBLANK('2025'!$R127), 0, 1), 5, if(ISBLANK('2025'!$S127), 0, 1), 6, if(ISBLANK('2025'!$T127), 0, 1), 7, 0))), 1, "")</f>
        <v/>
      </c>
      <c r="L129" s="1" t="str">
        <f>IF(AND(AND(AND(L$4&gt;='2025'!$L127,L$4&lt;='2025'!$M127), L$4&lt;&gt;DATE(2025,7,4)), (SWITCH(weekday(L$4), 1, 0, 2, if(ISBLANK('2025'!$P127), 0, 1), 3, if(ISBLANK('2025'!$Q127), 0, 1), 4, if(ISBLANK('2025'!$R127), 0, 1), 5, if(ISBLANK('2025'!$S127), 0, 1), 6, if(ISBLANK('2025'!$T127), 0, 1), 7, 0))), 1, "")</f>
        <v/>
      </c>
      <c r="M129" s="1" t="str">
        <f>IF(AND(AND(AND(M$4&gt;='2025'!$L127,M$4&lt;='2025'!$M127), M$4&lt;&gt;DATE(2025,7,4)), (SWITCH(weekday(M$4), 1, 0, 2, if(ISBLANK('2025'!$P127), 0, 1), 3, if(ISBLANK('2025'!$Q127), 0, 1), 4, if(ISBLANK('2025'!$R127), 0, 1), 5, if(ISBLANK('2025'!$S127), 0, 1), 6, if(ISBLANK('2025'!$T127), 0, 1), 7, 0))), 1, "")</f>
        <v/>
      </c>
      <c r="N129" s="1" t="str">
        <f>IF(AND(AND(AND(N$4&gt;='2025'!$L127,N$4&lt;='2025'!$M127), N$4&lt;&gt;DATE(2025,7,4)), (SWITCH(weekday(N$4), 1, 0, 2, if(ISBLANK('2025'!$P127), 0, 1), 3, if(ISBLANK('2025'!$Q127), 0, 1), 4, if(ISBLANK('2025'!$R127), 0, 1), 5, if(ISBLANK('2025'!$S127), 0, 1), 6, if(ISBLANK('2025'!$T127), 0, 1), 7, 0))), 1, "")</f>
        <v/>
      </c>
      <c r="O129" s="1" t="str">
        <f>IF(AND(AND(AND(O$4&gt;='2025'!$L127,O$4&lt;='2025'!$M127), O$4&lt;&gt;DATE(2025,7,4)), (SWITCH(weekday(O$4), 1, 0, 2, if(ISBLANK('2025'!$P127), 0, 1), 3, if(ISBLANK('2025'!$Q127), 0, 1), 4, if(ISBLANK('2025'!$R127), 0, 1), 5, if(ISBLANK('2025'!$S127), 0, 1), 6, if(ISBLANK('2025'!$T127), 0, 1), 7, 0))), 1, "")</f>
        <v/>
      </c>
      <c r="P129" s="1" t="str">
        <f>IF(AND(AND(AND(P$4&gt;='2025'!$L127,P$4&lt;='2025'!$M127), P$4&lt;&gt;DATE(2025,7,4)), (SWITCH(weekday(P$4), 1, 0, 2, if(ISBLANK('2025'!$P127), 0, 1), 3, if(ISBLANK('2025'!$Q127), 0, 1), 4, if(ISBLANK('2025'!$R127), 0, 1), 5, if(ISBLANK('2025'!$S127), 0, 1), 6, if(ISBLANK('2025'!$T127), 0, 1), 7, 0))), 1, "")</f>
        <v/>
      </c>
      <c r="Q129" s="1" t="str">
        <f>IF(AND(AND(AND(Q$4&gt;='2025'!$L127,Q$4&lt;='2025'!$M127), Q$4&lt;&gt;DATE(2025,7,4)), (SWITCH(weekday(Q$4), 1, 0, 2, if(ISBLANK('2025'!$P127), 0, 1), 3, if(ISBLANK('2025'!$Q127), 0, 1), 4, if(ISBLANK('2025'!$R127), 0, 1), 5, if(ISBLANK('2025'!$S127), 0, 1), 6, if(ISBLANK('2025'!$T127), 0, 1), 7, 0))), 1, "")</f>
        <v/>
      </c>
      <c r="R129" s="1" t="str">
        <f>IF(AND(AND(AND(R$4&gt;='2025'!$L127,R$4&lt;='2025'!$M127), R$4&lt;&gt;DATE(2025,7,4)), (SWITCH(weekday(R$4), 1, 0, 2, if(ISBLANK('2025'!$P127), 0, 1), 3, if(ISBLANK('2025'!$Q127), 0, 1), 4, if(ISBLANK('2025'!$R127), 0, 1), 5, if(ISBLANK('2025'!$S127), 0, 1), 6, if(ISBLANK('2025'!$T127), 0, 1), 7, 0))), 1, "")</f>
        <v/>
      </c>
      <c r="S129" s="1" t="str">
        <f>IF(AND(AND(AND(S$4&gt;='2025'!$L127,S$4&lt;='2025'!$M127), S$4&lt;&gt;DATE(2025,7,4)), (SWITCH(weekday(S$4), 1, 0, 2, if(ISBLANK('2025'!$P127), 0, 1), 3, if(ISBLANK('2025'!$Q127), 0, 1), 4, if(ISBLANK('2025'!$R127), 0, 1), 5, if(ISBLANK('2025'!$S127), 0, 1), 6, if(ISBLANK('2025'!$T127), 0, 1), 7, 0))), 1, "")</f>
        <v/>
      </c>
      <c r="T129" s="1" t="str">
        <f>IF(AND(AND(AND(T$4&gt;='2025'!$L127,T$4&lt;='2025'!$M127), T$4&lt;&gt;DATE(2025,7,4)), (SWITCH(weekday(T$4), 1, 0, 2, if(ISBLANK('2025'!$P127), 0, 1), 3, if(ISBLANK('2025'!$Q127), 0, 1), 4, if(ISBLANK('2025'!$R127), 0, 1), 5, if(ISBLANK('2025'!$S127), 0, 1), 6, if(ISBLANK('2025'!$T127), 0, 1), 7, 0))), 1, "")</f>
        <v/>
      </c>
      <c r="U129" s="1" t="str">
        <f>IF(AND(AND(AND(U$4&gt;='2025'!$L127,U$4&lt;='2025'!$M127), U$4&lt;&gt;DATE(2025,7,4)), (SWITCH(weekday(U$4), 1, 0, 2, if(ISBLANK('2025'!$P127), 0, 1), 3, if(ISBLANK('2025'!$Q127), 0, 1), 4, if(ISBLANK('2025'!$R127), 0, 1), 5, if(ISBLANK('2025'!$S127), 0, 1), 6, if(ISBLANK('2025'!$T127), 0, 1), 7, 0))), 1, "")</f>
        <v/>
      </c>
      <c r="V129" s="1" t="str">
        <f>IF(AND(AND(AND(V$4&gt;='2025'!$L127,V$4&lt;='2025'!$M127), V$4&lt;&gt;DATE(2025,7,4)), (SWITCH(weekday(V$4), 1, 0, 2, if(ISBLANK('2025'!$P127), 0, 1), 3, if(ISBLANK('2025'!$Q127), 0, 1), 4, if(ISBLANK('2025'!$R127), 0, 1), 5, if(ISBLANK('2025'!$S127), 0, 1), 6, if(ISBLANK('2025'!$T127), 0, 1), 7, 0))), 1, "")</f>
        <v/>
      </c>
      <c r="W129" s="1" t="str">
        <f>IF(AND(AND(AND(W$4&gt;='2025'!$L127,W$4&lt;='2025'!$M127), W$4&lt;&gt;DATE(2025,7,4)), (SWITCH(weekday(W$4), 1, 0, 2, if(ISBLANK('2025'!$P127), 0, 1), 3, if(ISBLANK('2025'!$Q127), 0, 1), 4, if(ISBLANK('2025'!$R127), 0, 1), 5, if(ISBLANK('2025'!$S127), 0, 1), 6, if(ISBLANK('2025'!$T127), 0, 1), 7, 0))), 1, "")</f>
        <v/>
      </c>
      <c r="X129" s="1" t="str">
        <f>IF(AND(AND(AND(X$4&gt;='2025'!$L127,X$4&lt;='2025'!$M127), X$4&lt;&gt;DATE(2025,7,4)), (SWITCH(weekday(X$4), 1, 0, 2, if(ISBLANK('2025'!$P127), 0, 1), 3, if(ISBLANK('2025'!$Q127), 0, 1), 4, if(ISBLANK('2025'!$R127), 0, 1), 5, if(ISBLANK('2025'!$S127), 0, 1), 6, if(ISBLANK('2025'!$T127), 0, 1), 7, 0))), 1, "")</f>
        <v/>
      </c>
      <c r="Y129" s="1" t="str">
        <f>IF(AND(AND(AND(Y$4&gt;='2025'!$L127,Y$4&lt;='2025'!$M127), Y$4&lt;&gt;DATE(2025,7,4)), (SWITCH(weekday(Y$4), 1, 0, 2, if(ISBLANK('2025'!$P127), 0, 1), 3, if(ISBLANK('2025'!$Q127), 0, 1), 4, if(ISBLANK('2025'!$R127), 0, 1), 5, if(ISBLANK('2025'!$S127), 0, 1), 6, if(ISBLANK('2025'!$T127), 0, 1), 7, 0))), 1, "")</f>
        <v/>
      </c>
      <c r="Z129" s="1" t="str">
        <f>IF(AND(AND(AND(Z$4&gt;='2025'!$L127,Z$4&lt;='2025'!$M127), Z$4&lt;&gt;DATE(2025,7,4)), (SWITCH(weekday(Z$4), 1, 0, 2, if(ISBLANK('2025'!$P127), 0, 1), 3, if(ISBLANK('2025'!$Q127), 0, 1), 4, if(ISBLANK('2025'!$R127), 0, 1), 5, if(ISBLANK('2025'!$S127), 0, 1), 6, if(ISBLANK('2025'!$T127), 0, 1), 7, 0))), 1, "")</f>
        <v/>
      </c>
      <c r="AA129" s="1" t="str">
        <f>IF(AND(AND(AND(AA$4&gt;='2025'!$L127,AA$4&lt;='2025'!$M127), AA$4&lt;&gt;DATE(2025,7,4)), (SWITCH(weekday(AA$4), 1, 0, 2, if(ISBLANK('2025'!$P127), 0, 1), 3, if(ISBLANK('2025'!$Q127), 0, 1), 4, if(ISBLANK('2025'!$R127), 0, 1), 5, if(ISBLANK('2025'!$S127), 0, 1), 6, if(ISBLANK('2025'!$T127), 0, 1), 7, 0))), 1, "")</f>
        <v/>
      </c>
      <c r="AB129" s="1" t="str">
        <f>IF(AND(AND(AND(AB$4&gt;='2025'!$L127,AB$4&lt;='2025'!$M127), AB$4&lt;&gt;DATE(2025,7,4)), (SWITCH(weekday(AB$4), 1, 0, 2, if(ISBLANK('2025'!$P127), 0, 1), 3, if(ISBLANK('2025'!$Q127), 0, 1), 4, if(ISBLANK('2025'!$R127), 0, 1), 5, if(ISBLANK('2025'!$S127), 0, 1), 6, if(ISBLANK('2025'!$T127), 0, 1), 7, 0))), 1, "")</f>
        <v/>
      </c>
      <c r="AC129" s="1" t="str">
        <f>IF(AND(AND(AND(AC$4&gt;='2025'!$L127,AC$4&lt;='2025'!$M127), AC$4&lt;&gt;DATE(2025,7,4)), (SWITCH(weekday(AC$4), 1, 0, 2, if(ISBLANK('2025'!$P127), 0, 1), 3, if(ISBLANK('2025'!$Q127), 0, 1), 4, if(ISBLANK('2025'!$R127), 0, 1), 5, if(ISBLANK('2025'!$S127), 0, 1), 6, if(ISBLANK('2025'!$T127), 0, 1), 7, 0))), 1, "")</f>
        <v/>
      </c>
      <c r="AD129" s="1" t="str">
        <f>IF(AND(AND(AND(AD$4&gt;='2025'!$L127,AD$4&lt;='2025'!$M127), AD$4&lt;&gt;DATE(2025,7,4)), (SWITCH(weekday(AD$4), 1, 0, 2, if(ISBLANK('2025'!$P127), 0, 1), 3, if(ISBLANK('2025'!$Q127), 0, 1), 4, if(ISBLANK('2025'!$R127), 0, 1), 5, if(ISBLANK('2025'!$S127), 0, 1), 6, if(ISBLANK('2025'!$T127), 0, 1), 7, 0))), 1, "")</f>
        <v/>
      </c>
      <c r="AE129" s="1" t="str">
        <f>IF(AND(AND(AND(AE$4&gt;='2025'!$L127,AE$4&lt;='2025'!$M127), AE$4&lt;&gt;DATE(2025,7,4)), (SWITCH(weekday(AE$4), 1, 0, 2, if(ISBLANK('2025'!$P127), 0, 1), 3, if(ISBLANK('2025'!$Q127), 0, 1), 4, if(ISBLANK('2025'!$R127), 0, 1), 5, if(ISBLANK('2025'!$S127), 0, 1), 6, if(ISBLANK('2025'!$T127), 0, 1), 7, 0))), 1, "")</f>
        <v/>
      </c>
      <c r="AF129" s="1" t="str">
        <f>IF(AND(AND(AND(AF$4&gt;='2025'!$L127,AF$4&lt;='2025'!$M127), AF$4&lt;&gt;DATE(2025,7,4)), (SWITCH(weekday(AF$4), 1, 0, 2, if(ISBLANK('2025'!$P127), 0, 1), 3, if(ISBLANK('2025'!$Q127), 0, 1), 4, if(ISBLANK('2025'!$R127), 0, 1), 5, if(ISBLANK('2025'!$S127), 0, 1), 6, if(ISBLANK('2025'!$T127), 0, 1), 7, 0))), 1, "")</f>
        <v/>
      </c>
      <c r="AG129" s="1" t="str">
        <f>IF(AND(AND(AND(AG$4&gt;='2025'!$L127,AG$4&lt;='2025'!$M127), AG$4&lt;&gt;DATE(2025,7,4)), (SWITCH(weekday(AG$4), 1, 0, 2, if(ISBLANK('2025'!$P127), 0, 1), 3, if(ISBLANK('2025'!$Q127), 0, 1), 4, if(ISBLANK('2025'!$R127), 0, 1), 5, if(ISBLANK('2025'!$S127), 0, 1), 6, if(ISBLANK('2025'!$T127), 0, 1), 7, 0))), 1, "")</f>
        <v/>
      </c>
      <c r="AH129" s="1" t="str">
        <f>IF(AND(AND(AND(AH$4&gt;='2025'!$L127,AH$4&lt;='2025'!$M127), AH$4&lt;&gt;DATE(2025,7,4)), (SWITCH(weekday(AH$4), 1, 0, 2, if(ISBLANK('2025'!$P127), 0, 1), 3, if(ISBLANK('2025'!$Q127), 0, 1), 4, if(ISBLANK('2025'!$R127), 0, 1), 5, if(ISBLANK('2025'!$S127), 0, 1), 6, if(ISBLANK('2025'!$T127), 0, 1), 7, 0))), 1, "")</f>
        <v/>
      </c>
      <c r="AI129" s="1" t="str">
        <f>IF(AND(AND(AND(AI$4&gt;='2025'!$L127,AI$4&lt;='2025'!$M127), AI$4&lt;&gt;DATE(2025,7,4)), (SWITCH(weekday(AI$4), 1, 0, 2, if(ISBLANK('2025'!$P127), 0, 1), 3, if(ISBLANK('2025'!$Q127), 0, 1), 4, if(ISBLANK('2025'!$R127), 0, 1), 5, if(ISBLANK('2025'!$S127), 0, 1), 6, if(ISBLANK('2025'!$T127), 0, 1), 7, 0))), 1, "")</f>
        <v/>
      </c>
      <c r="AJ129" s="1" t="str">
        <f>IF(AND(AND(AND(AJ$4&gt;='2025'!$L127,AJ$4&lt;='2025'!$M127), AJ$4&lt;&gt;DATE(2025,7,4)), (SWITCH(weekday(AJ$4), 1, 0, 2, if(ISBLANK('2025'!$P127), 0, 1), 3, if(ISBLANK('2025'!$Q127), 0, 1), 4, if(ISBLANK('2025'!$R127), 0, 1), 5, if(ISBLANK('2025'!$S127), 0, 1), 6, if(ISBLANK('2025'!$T127), 0, 1), 7, 0))), 1, "")</f>
        <v/>
      </c>
      <c r="AK129" s="1" t="str">
        <f>IF(AND(AND(AND(AK$4&gt;='2025'!$L127,AK$4&lt;='2025'!$M127), AK$4&lt;&gt;DATE(2025,7,4)), (SWITCH(weekday(AK$4), 1, 0, 2, if(ISBLANK('2025'!$P127), 0, 1), 3, if(ISBLANK('2025'!$Q127), 0, 1), 4, if(ISBLANK('2025'!$R127), 0, 1), 5, if(ISBLANK('2025'!$S127), 0, 1), 6, if(ISBLANK('2025'!$T127), 0, 1), 7, 0))), 1, "")</f>
        <v/>
      </c>
      <c r="AL129" s="1" t="str">
        <f>IF(AND(AND(AND(AL$4&gt;='2025'!$L127,AL$4&lt;='2025'!$M127), AL$4&lt;&gt;DATE(2025,7,4)), (SWITCH(weekday(AL$4), 1, 0, 2, if(ISBLANK('2025'!$P127), 0, 1), 3, if(ISBLANK('2025'!$Q127), 0, 1), 4, if(ISBLANK('2025'!$R127), 0, 1), 5, if(ISBLANK('2025'!$S127), 0, 1), 6, if(ISBLANK('2025'!$T127), 0, 1), 7, 0))), 1, "")</f>
        <v/>
      </c>
      <c r="AM129" s="1" t="str">
        <f>IF(AND(AND(AND(AM$4&gt;='2025'!$L127,AM$4&lt;='2025'!$M127), AM$4&lt;&gt;DATE(2025,7,4)), (SWITCH(weekday(AM$4), 1, 0, 2, if(ISBLANK('2025'!$P127), 0, 1), 3, if(ISBLANK('2025'!$Q127), 0, 1), 4, if(ISBLANK('2025'!$R127), 0, 1), 5, if(ISBLANK('2025'!$S127), 0, 1), 6, if(ISBLANK('2025'!$T127), 0, 1), 7, 0))), 1, "")</f>
        <v/>
      </c>
      <c r="AN129" s="1" t="str">
        <f>IF(AND(AND(AND(AN$4&gt;='2025'!$L127,AN$4&lt;='2025'!$M127), AN$4&lt;&gt;DATE(2025,7,4)), (SWITCH(weekday(AN$4), 1, 0, 2, if(ISBLANK('2025'!$P127), 0, 1), 3, if(ISBLANK('2025'!$Q127), 0, 1), 4, if(ISBLANK('2025'!$R127), 0, 1), 5, if(ISBLANK('2025'!$S127), 0, 1), 6, if(ISBLANK('2025'!$T127), 0, 1), 7, 0))), 1, "")</f>
        <v/>
      </c>
      <c r="AO129" s="1" t="str">
        <f>IF(AND(AND(AND(AO$4&gt;='2025'!$L127,AO$4&lt;='2025'!$M127), AO$4&lt;&gt;DATE(2025,7,4)), (SWITCH(weekday(AO$4), 1, 0, 2, if(ISBLANK('2025'!$P127), 0, 1), 3, if(ISBLANK('2025'!$Q127), 0, 1), 4, if(ISBLANK('2025'!$R127), 0, 1), 5, if(ISBLANK('2025'!$S127), 0, 1), 6, if(ISBLANK('2025'!$T127), 0, 1), 7, 0))), 1, "")</f>
        <v/>
      </c>
      <c r="AP129" s="1" t="str">
        <f>IF(AND(AND(AND(AP$4&gt;='2025'!$L127,AP$4&lt;='2025'!$M127), AP$4&lt;&gt;DATE(2025,7,4)), (SWITCH(weekday(AP$4), 1, 0, 2, if(ISBLANK('2025'!$P127), 0, 1), 3, if(ISBLANK('2025'!$Q127), 0, 1), 4, if(ISBLANK('2025'!$R127), 0, 1), 5, if(ISBLANK('2025'!$S127), 0, 1), 6, if(ISBLANK('2025'!$T127), 0, 1), 7, 0))), 1, "")</f>
        <v/>
      </c>
      <c r="AQ129" s="1" t="str">
        <f>IF(AND(AND(AND(AQ$4&gt;='2025'!$L127,AQ$4&lt;='2025'!$M127), AQ$4&lt;&gt;DATE(2025,7,4)), (SWITCH(weekday(AQ$4), 1, 0, 2, if(ISBLANK('2025'!$P127), 0, 1), 3, if(ISBLANK('2025'!$Q127), 0, 1), 4, if(ISBLANK('2025'!$R127), 0, 1), 5, if(ISBLANK('2025'!$S127), 0, 1), 6, if(ISBLANK('2025'!$T127), 0, 1), 7, 0))), 1, "")</f>
        <v/>
      </c>
      <c r="AR129" s="1" t="str">
        <f>IF(AND(AND(AND(AR$4&gt;='2025'!$L127,AR$4&lt;='2025'!$M127), AR$4&lt;&gt;DATE(2025,7,4)), (SWITCH(weekday(AR$4), 1, 0, 2, if(ISBLANK('2025'!$P127), 0, 1), 3, if(ISBLANK('2025'!$Q127), 0, 1), 4, if(ISBLANK('2025'!$R127), 0, 1), 5, if(ISBLANK('2025'!$S127), 0, 1), 6, if(ISBLANK('2025'!$T127), 0, 1), 7, 0))), 1, "")</f>
        <v/>
      </c>
      <c r="AS129" s="1" t="str">
        <f>IF(AND(AND(AND(AS$4&gt;='2025'!$L127,AS$4&lt;='2025'!$M127), AS$4&lt;&gt;DATE(2025,7,4)), (SWITCH(weekday(AS$4), 1, 0, 2, if(ISBLANK('2025'!$P127), 0, 1), 3, if(ISBLANK('2025'!$Q127), 0, 1), 4, if(ISBLANK('2025'!$R127), 0, 1), 5, if(ISBLANK('2025'!$S127), 0, 1), 6, if(ISBLANK('2025'!$T127), 0, 1), 7, 0))), 1, "")</f>
        <v/>
      </c>
      <c r="AT129" s="1" t="str">
        <f>IF(AND(AND(AND(AT$4&gt;='2025'!$L127,AT$4&lt;='2025'!$M127), AT$4&lt;&gt;DATE(2025,7,4)), (SWITCH(weekday(AT$4), 1, 0, 2, if(ISBLANK('2025'!$P127), 0, 1), 3, if(ISBLANK('2025'!$Q127), 0, 1), 4, if(ISBLANK('2025'!$R127), 0, 1), 5, if(ISBLANK('2025'!$S127), 0, 1), 6, if(ISBLANK('2025'!$T127), 0, 1), 7, 0))), 1, "")</f>
        <v/>
      </c>
      <c r="AU129" s="1" t="str">
        <f>IF(AND(AND(AND(AU$4&gt;='2025'!$L127,AU$4&lt;='2025'!$M127), AU$4&lt;&gt;DATE(2025,7,4)), (SWITCH(weekday(AU$4), 1, 0, 2, if(ISBLANK('2025'!$P127), 0, 1), 3, if(ISBLANK('2025'!$Q127), 0, 1), 4, if(ISBLANK('2025'!$R127), 0, 1), 5, if(ISBLANK('2025'!$S127), 0, 1), 6, if(ISBLANK('2025'!$T127), 0, 1), 7, 0))), 1, "")</f>
        <v/>
      </c>
      <c r="AV129" s="1" t="str">
        <f>IF(AND(AND(AND(AV$4&gt;='2025'!$L127,AV$4&lt;='2025'!$M127), AV$4&lt;&gt;DATE(2025,7,4)), (SWITCH(weekday(AV$4), 1, 0, 2, if(ISBLANK('2025'!$P127), 0, 1), 3, if(ISBLANK('2025'!$Q127), 0, 1), 4, if(ISBLANK('2025'!$R127), 0, 1), 5, if(ISBLANK('2025'!$S127), 0, 1), 6, if(ISBLANK('2025'!$T127), 0, 1), 7, 0))), 1, "")</f>
        <v/>
      </c>
      <c r="AW129" s="1" t="str">
        <f>IF(AND(AND(AND(AW$4&gt;='2025'!$L127,AW$4&lt;='2025'!$M127), AW$4&lt;&gt;DATE(2025,7,4)), (SWITCH(weekday(AW$4), 1, 0, 2, if(ISBLANK('2025'!$P127), 0, 1), 3, if(ISBLANK('2025'!$Q127), 0, 1), 4, if(ISBLANK('2025'!$R127), 0, 1), 5, if(ISBLANK('2025'!$S127), 0, 1), 6, if(ISBLANK('2025'!$T127), 0, 1), 7, 0))), 1, "")</f>
        <v/>
      </c>
      <c r="AX129" s="1" t="str">
        <f>IF(AND(AND(AND(AX$4&gt;='2025'!$L127,AX$4&lt;='2025'!$M127), AX$4&lt;&gt;DATE(2025,7,4)), (SWITCH(weekday(AX$4), 1, 0, 2, if(ISBLANK('2025'!$P127), 0, 1), 3, if(ISBLANK('2025'!$Q127), 0, 1), 4, if(ISBLANK('2025'!$R127), 0, 1), 5, if(ISBLANK('2025'!$S127), 0, 1), 6, if(ISBLANK('2025'!$T127), 0, 1), 7, 0))), 1, "")</f>
        <v/>
      </c>
      <c r="AY129" s="1" t="str">
        <f>IF(AND(AND(AND(AY$4&gt;='2025'!$L127,AY$4&lt;='2025'!$M127), AY$4&lt;&gt;DATE(2025,7,4)), (SWITCH(weekday(AY$4), 1, 0, 2, if(ISBLANK('2025'!$P127), 0, 1), 3, if(ISBLANK('2025'!$Q127), 0, 1), 4, if(ISBLANK('2025'!$R127), 0, 1), 5, if(ISBLANK('2025'!$S127), 0, 1), 6, if(ISBLANK('2025'!$T127), 0, 1), 7, 0))), 1, "")</f>
        <v/>
      </c>
      <c r="AZ129" s="1" t="str">
        <f>IF(AND(AND(AND(AZ$4&gt;='2025'!$L127,AZ$4&lt;='2025'!$M127), AZ$4&lt;&gt;DATE(2025,7,4)), (SWITCH(weekday(AZ$4), 1, 0, 2, if(ISBLANK('2025'!$P127), 0, 1), 3, if(ISBLANK('2025'!$Q127), 0, 1), 4, if(ISBLANK('2025'!$R127), 0, 1), 5, if(ISBLANK('2025'!$S127), 0, 1), 6, if(ISBLANK('2025'!$T127), 0, 1), 7, 0))), 1, "")</f>
        <v/>
      </c>
      <c r="BA129" s="1" t="str">
        <f>IF(AND(AND(AND(BA$4&gt;='2025'!$L127,BA$4&lt;='2025'!$M127), BA$4&lt;&gt;DATE(2025,7,4)), (SWITCH(weekday(BA$4), 1, 0, 2, if(ISBLANK('2025'!$P127), 0, 1), 3, if(ISBLANK('2025'!$Q127), 0, 1), 4, if(ISBLANK('2025'!$R127), 0, 1), 5, if(ISBLANK('2025'!$S127), 0, 1), 6, if(ISBLANK('2025'!$T127), 0, 1), 7, 0))), 1, "")</f>
        <v/>
      </c>
      <c r="BB129" s="1" t="str">
        <f>IF(AND(AND(AND(BB$4&gt;='2025'!$L127,BB$4&lt;='2025'!$M127), BB$4&lt;&gt;DATE(2025,7,4)), (SWITCH(weekday(BB$4), 1, 0, 2, if(ISBLANK('2025'!$P127), 0, 1), 3, if(ISBLANK('2025'!$Q127), 0, 1), 4, if(ISBLANK('2025'!$R127), 0, 1), 5, if(ISBLANK('2025'!$S127), 0, 1), 6, if(ISBLANK('2025'!$T127), 0, 1), 7, 0))), 1, "")</f>
        <v/>
      </c>
      <c r="BC129" s="1" t="str">
        <f>IF(AND(AND(AND(BC$4&gt;='2025'!$L127,BC$4&lt;='2025'!$M127), BC$4&lt;&gt;DATE(2025,7,4)), (SWITCH(weekday(BC$4), 1, 0, 2, if(ISBLANK('2025'!$P127), 0, 1), 3, if(ISBLANK('2025'!$Q127), 0, 1), 4, if(ISBLANK('2025'!$R127), 0, 1), 5, if(ISBLANK('2025'!$S127), 0, 1), 6, if(ISBLANK('2025'!$T127), 0, 1), 7, 0))), 1, "")</f>
        <v/>
      </c>
      <c r="BD129" s="1" t="str">
        <f>IF(AND(AND(AND(BD$4&gt;='2025'!$L127,BD$4&lt;='2025'!$M127), BD$4&lt;&gt;DATE(2025,7,4)), (SWITCH(weekday(BD$4), 1, 0, 2, if(ISBLANK('2025'!$P127), 0, 1), 3, if(ISBLANK('2025'!$Q127), 0, 1), 4, if(ISBLANK('2025'!$R127), 0, 1), 5, if(ISBLANK('2025'!$S127), 0, 1), 6, if(ISBLANK('2025'!$T127), 0, 1), 7, 0))), 1, "")</f>
        <v/>
      </c>
      <c r="BE129" s="1" t="str">
        <f>IF(AND(AND(AND(BE$4&gt;='2025'!$L127,BE$4&lt;='2025'!$M127), BE$4&lt;&gt;DATE(2025,7,4)), (SWITCH(weekday(BE$4), 1, 0, 2, if(ISBLANK('2025'!$P127), 0, 1), 3, if(ISBLANK('2025'!$Q127), 0, 1), 4, if(ISBLANK('2025'!$R127), 0, 1), 5, if(ISBLANK('2025'!$S127), 0, 1), 6, if(ISBLANK('2025'!$T127), 0, 1), 7, 0))), 1, "")</f>
        <v/>
      </c>
      <c r="BF129" s="1" t="str">
        <f>IF(AND(AND(AND(BF$4&gt;='2025'!$L127,BF$4&lt;='2025'!$M127), BF$4&lt;&gt;DATE(2025,7,4)), (SWITCH(weekday(BF$4), 1, 0, 2, if(ISBLANK('2025'!$P127), 0, 1), 3, if(ISBLANK('2025'!$Q127), 0, 1), 4, if(ISBLANK('2025'!$R127), 0, 1), 5, if(ISBLANK('2025'!$S127), 0, 1), 6, if(ISBLANK('2025'!$T127), 0, 1), 7, 0))), 1, "")</f>
        <v/>
      </c>
      <c r="BG129" s="1"/>
      <c r="BH129" s="1"/>
      <c r="BI129" s="1"/>
      <c r="BJ129" s="1"/>
      <c r="BK129" s="1"/>
      <c r="BL129" s="1"/>
    </row>
    <row r="130">
      <c r="A130" s="1">
        <f t="shared" si="3"/>
        <v>130</v>
      </c>
      <c r="B130" s="1" t="str">
        <f>'2025'!D94</f>
        <v>, </v>
      </c>
      <c r="C130" s="1" t="str">
        <f>'2025'!H94</f>
        <v/>
      </c>
      <c r="D130" s="1" t="str">
        <f>IF(AND(AND(AND(D$4&gt;='2025'!$L128,D$4&lt;='2025'!$M128), D$4&lt;&gt;DATE(2025,7,4)), (SWITCH(weekday(D$4), 1, 0, 2, if(ISBLANK('2025'!$P128), 0, 1), 3, if(ISBLANK('2025'!$Q128), 0, 1), 4, if(ISBLANK('2025'!$R128), 0, 1), 5, if(ISBLANK('2025'!$S128), 0, 1), 6, if(ISBLANK('2025'!$T128), 0, 1), 7, 0))), 1, "")</f>
        <v/>
      </c>
      <c r="E130" s="1" t="str">
        <f>IF(AND(AND(AND(E$4&gt;='2025'!$L128,E$4&lt;='2025'!$M128), E$4&lt;&gt;DATE(2025,7,4)), (SWITCH(weekday(E$4), 1, 0, 2, if(ISBLANK('2025'!$P128), 0, 1), 3, if(ISBLANK('2025'!$Q128), 0, 1), 4, if(ISBLANK('2025'!$R128), 0, 1), 5, if(ISBLANK('2025'!$S128), 0, 1), 6, if(ISBLANK('2025'!$T128), 0, 1), 7, 0))), 1, "")</f>
        <v/>
      </c>
      <c r="F130" s="1" t="str">
        <f>IF(AND(AND(AND(F$4&gt;='2025'!$L128,F$4&lt;='2025'!$M128), F$4&lt;&gt;DATE(2025,7,4)), (SWITCH(weekday(F$4), 1, 0, 2, if(ISBLANK('2025'!$P128), 0, 1), 3, if(ISBLANK('2025'!$Q128), 0, 1), 4, if(ISBLANK('2025'!$R128), 0, 1), 5, if(ISBLANK('2025'!$S128), 0, 1), 6, if(ISBLANK('2025'!$T128), 0, 1), 7, 0))), 1, "")</f>
        <v/>
      </c>
      <c r="G130" s="1" t="str">
        <f>IF(AND(AND(AND(G$4&gt;='2025'!$L128,G$4&lt;='2025'!$M128), G$4&lt;&gt;DATE(2025,7,4)), (SWITCH(weekday(G$4), 1, 0, 2, if(ISBLANK('2025'!$P128), 0, 1), 3, if(ISBLANK('2025'!$Q128), 0, 1), 4, if(ISBLANK('2025'!$R128), 0, 1), 5, if(ISBLANK('2025'!$S128), 0, 1), 6, if(ISBLANK('2025'!$T128), 0, 1), 7, 0))), 1, "")</f>
        <v/>
      </c>
      <c r="H130" s="1" t="str">
        <f>IF(AND(AND(AND(H$4&gt;='2025'!$L128,H$4&lt;='2025'!$M128), H$4&lt;&gt;DATE(2025,7,4)), (SWITCH(weekday(H$4), 1, 0, 2, if(ISBLANK('2025'!$P128), 0, 1), 3, if(ISBLANK('2025'!$Q128), 0, 1), 4, if(ISBLANK('2025'!$R128), 0, 1), 5, if(ISBLANK('2025'!$S128), 0, 1), 6, if(ISBLANK('2025'!$T128), 0, 1), 7, 0))), 1, "")</f>
        <v/>
      </c>
      <c r="I130" s="1" t="str">
        <f>IF(AND(AND(AND(I$4&gt;='2025'!$L128,I$4&lt;='2025'!$M128), I$4&lt;&gt;DATE(2025,7,4)), (SWITCH(weekday(I$4), 1, 0, 2, if(ISBLANK('2025'!$P128), 0, 1), 3, if(ISBLANK('2025'!$Q128), 0, 1), 4, if(ISBLANK('2025'!$R128), 0, 1), 5, if(ISBLANK('2025'!$S128), 0, 1), 6, if(ISBLANK('2025'!$T128), 0, 1), 7, 0))), 1, "")</f>
        <v/>
      </c>
      <c r="J130" s="1" t="str">
        <f>IF(AND(AND(AND(J$4&gt;='2025'!$L128,J$4&lt;='2025'!$M128), J$4&lt;&gt;DATE(2025,7,4)), (SWITCH(weekday(J$4), 1, 0, 2, if(ISBLANK('2025'!$P128), 0, 1), 3, if(ISBLANK('2025'!$Q128), 0, 1), 4, if(ISBLANK('2025'!$R128), 0, 1), 5, if(ISBLANK('2025'!$S128), 0, 1), 6, if(ISBLANK('2025'!$T128), 0, 1), 7, 0))), 1, "")</f>
        <v/>
      </c>
      <c r="K130" s="1" t="str">
        <f>IF(AND(AND(AND(K$4&gt;='2025'!$L128,K$4&lt;='2025'!$M128), K$4&lt;&gt;DATE(2025,7,4)), (SWITCH(weekday(K$4), 1, 0, 2, if(ISBLANK('2025'!$P128), 0, 1), 3, if(ISBLANK('2025'!$Q128), 0, 1), 4, if(ISBLANK('2025'!$R128), 0, 1), 5, if(ISBLANK('2025'!$S128), 0, 1), 6, if(ISBLANK('2025'!$T128), 0, 1), 7, 0))), 1, "")</f>
        <v/>
      </c>
      <c r="L130" s="1" t="str">
        <f>IF(AND(AND(AND(L$4&gt;='2025'!$L128,L$4&lt;='2025'!$M128), L$4&lt;&gt;DATE(2025,7,4)), (SWITCH(weekday(L$4), 1, 0, 2, if(ISBLANK('2025'!$P128), 0, 1), 3, if(ISBLANK('2025'!$Q128), 0, 1), 4, if(ISBLANK('2025'!$R128), 0, 1), 5, if(ISBLANK('2025'!$S128), 0, 1), 6, if(ISBLANK('2025'!$T128), 0, 1), 7, 0))), 1, "")</f>
        <v/>
      </c>
      <c r="M130" s="1" t="str">
        <f>IF(AND(AND(AND(M$4&gt;='2025'!$L128,M$4&lt;='2025'!$M128), M$4&lt;&gt;DATE(2025,7,4)), (SWITCH(weekday(M$4), 1, 0, 2, if(ISBLANK('2025'!$P128), 0, 1), 3, if(ISBLANK('2025'!$Q128), 0, 1), 4, if(ISBLANK('2025'!$R128), 0, 1), 5, if(ISBLANK('2025'!$S128), 0, 1), 6, if(ISBLANK('2025'!$T128), 0, 1), 7, 0))), 1, "")</f>
        <v/>
      </c>
      <c r="N130" s="1" t="str">
        <f>IF(AND(AND(AND(N$4&gt;='2025'!$L128,N$4&lt;='2025'!$M128), N$4&lt;&gt;DATE(2025,7,4)), (SWITCH(weekday(N$4), 1, 0, 2, if(ISBLANK('2025'!$P128), 0, 1), 3, if(ISBLANK('2025'!$Q128), 0, 1), 4, if(ISBLANK('2025'!$R128), 0, 1), 5, if(ISBLANK('2025'!$S128), 0, 1), 6, if(ISBLANK('2025'!$T128), 0, 1), 7, 0))), 1, "")</f>
        <v/>
      </c>
      <c r="O130" s="1" t="str">
        <f>IF(AND(AND(AND(O$4&gt;='2025'!$L128,O$4&lt;='2025'!$M128), O$4&lt;&gt;DATE(2025,7,4)), (SWITCH(weekday(O$4), 1, 0, 2, if(ISBLANK('2025'!$P128), 0, 1), 3, if(ISBLANK('2025'!$Q128), 0, 1), 4, if(ISBLANK('2025'!$R128), 0, 1), 5, if(ISBLANK('2025'!$S128), 0, 1), 6, if(ISBLANK('2025'!$T128), 0, 1), 7, 0))), 1, "")</f>
        <v/>
      </c>
      <c r="P130" s="1" t="str">
        <f>IF(AND(AND(AND(P$4&gt;='2025'!$L128,P$4&lt;='2025'!$M128), P$4&lt;&gt;DATE(2025,7,4)), (SWITCH(weekday(P$4), 1, 0, 2, if(ISBLANK('2025'!$P128), 0, 1), 3, if(ISBLANK('2025'!$Q128), 0, 1), 4, if(ISBLANK('2025'!$R128), 0, 1), 5, if(ISBLANK('2025'!$S128), 0, 1), 6, if(ISBLANK('2025'!$T128), 0, 1), 7, 0))), 1, "")</f>
        <v/>
      </c>
      <c r="Q130" s="1" t="str">
        <f>IF(AND(AND(AND(Q$4&gt;='2025'!$L128,Q$4&lt;='2025'!$M128), Q$4&lt;&gt;DATE(2025,7,4)), (SWITCH(weekday(Q$4), 1, 0, 2, if(ISBLANK('2025'!$P128), 0, 1), 3, if(ISBLANK('2025'!$Q128), 0, 1), 4, if(ISBLANK('2025'!$R128), 0, 1), 5, if(ISBLANK('2025'!$S128), 0, 1), 6, if(ISBLANK('2025'!$T128), 0, 1), 7, 0))), 1, "")</f>
        <v/>
      </c>
      <c r="R130" s="1" t="str">
        <f>IF(AND(AND(AND(R$4&gt;='2025'!$L128,R$4&lt;='2025'!$M128), R$4&lt;&gt;DATE(2025,7,4)), (SWITCH(weekday(R$4), 1, 0, 2, if(ISBLANK('2025'!$P128), 0, 1), 3, if(ISBLANK('2025'!$Q128), 0, 1), 4, if(ISBLANK('2025'!$R128), 0, 1), 5, if(ISBLANK('2025'!$S128), 0, 1), 6, if(ISBLANK('2025'!$T128), 0, 1), 7, 0))), 1, "")</f>
        <v/>
      </c>
      <c r="S130" s="1" t="str">
        <f>IF(AND(AND(AND(S$4&gt;='2025'!$L128,S$4&lt;='2025'!$M128), S$4&lt;&gt;DATE(2025,7,4)), (SWITCH(weekday(S$4), 1, 0, 2, if(ISBLANK('2025'!$P128), 0, 1), 3, if(ISBLANK('2025'!$Q128), 0, 1), 4, if(ISBLANK('2025'!$R128), 0, 1), 5, if(ISBLANK('2025'!$S128), 0, 1), 6, if(ISBLANK('2025'!$T128), 0, 1), 7, 0))), 1, "")</f>
        <v/>
      </c>
      <c r="T130" s="1" t="str">
        <f>IF(AND(AND(AND(T$4&gt;='2025'!$L128,T$4&lt;='2025'!$M128), T$4&lt;&gt;DATE(2025,7,4)), (SWITCH(weekday(T$4), 1, 0, 2, if(ISBLANK('2025'!$P128), 0, 1), 3, if(ISBLANK('2025'!$Q128), 0, 1), 4, if(ISBLANK('2025'!$R128), 0, 1), 5, if(ISBLANK('2025'!$S128), 0, 1), 6, if(ISBLANK('2025'!$T128), 0, 1), 7, 0))), 1, "")</f>
        <v/>
      </c>
      <c r="U130" s="1" t="str">
        <f>IF(AND(AND(AND(U$4&gt;='2025'!$L128,U$4&lt;='2025'!$M128), U$4&lt;&gt;DATE(2025,7,4)), (SWITCH(weekday(U$4), 1, 0, 2, if(ISBLANK('2025'!$P128), 0, 1), 3, if(ISBLANK('2025'!$Q128), 0, 1), 4, if(ISBLANK('2025'!$R128), 0, 1), 5, if(ISBLANK('2025'!$S128), 0, 1), 6, if(ISBLANK('2025'!$T128), 0, 1), 7, 0))), 1, "")</f>
        <v/>
      </c>
      <c r="V130" s="1" t="str">
        <f>IF(AND(AND(AND(V$4&gt;='2025'!$L128,V$4&lt;='2025'!$M128), V$4&lt;&gt;DATE(2025,7,4)), (SWITCH(weekday(V$4), 1, 0, 2, if(ISBLANK('2025'!$P128), 0, 1), 3, if(ISBLANK('2025'!$Q128), 0, 1), 4, if(ISBLANK('2025'!$R128), 0, 1), 5, if(ISBLANK('2025'!$S128), 0, 1), 6, if(ISBLANK('2025'!$T128), 0, 1), 7, 0))), 1, "")</f>
        <v/>
      </c>
      <c r="W130" s="1" t="str">
        <f>IF(AND(AND(AND(W$4&gt;='2025'!$L128,W$4&lt;='2025'!$M128), W$4&lt;&gt;DATE(2025,7,4)), (SWITCH(weekday(W$4), 1, 0, 2, if(ISBLANK('2025'!$P128), 0, 1), 3, if(ISBLANK('2025'!$Q128), 0, 1), 4, if(ISBLANK('2025'!$R128), 0, 1), 5, if(ISBLANK('2025'!$S128), 0, 1), 6, if(ISBLANK('2025'!$T128), 0, 1), 7, 0))), 1, "")</f>
        <v/>
      </c>
      <c r="X130" s="1" t="str">
        <f>IF(AND(AND(AND(X$4&gt;='2025'!$L128,X$4&lt;='2025'!$M128), X$4&lt;&gt;DATE(2025,7,4)), (SWITCH(weekday(X$4), 1, 0, 2, if(ISBLANK('2025'!$P128), 0, 1), 3, if(ISBLANK('2025'!$Q128), 0, 1), 4, if(ISBLANK('2025'!$R128), 0, 1), 5, if(ISBLANK('2025'!$S128), 0, 1), 6, if(ISBLANK('2025'!$T128), 0, 1), 7, 0))), 1, "")</f>
        <v/>
      </c>
      <c r="Y130" s="1" t="str">
        <f>IF(AND(AND(AND(Y$4&gt;='2025'!$L128,Y$4&lt;='2025'!$M128), Y$4&lt;&gt;DATE(2025,7,4)), (SWITCH(weekday(Y$4), 1, 0, 2, if(ISBLANK('2025'!$P128), 0, 1), 3, if(ISBLANK('2025'!$Q128), 0, 1), 4, if(ISBLANK('2025'!$R128), 0, 1), 5, if(ISBLANK('2025'!$S128), 0, 1), 6, if(ISBLANK('2025'!$T128), 0, 1), 7, 0))), 1, "")</f>
        <v/>
      </c>
      <c r="Z130" s="1" t="str">
        <f>IF(AND(AND(AND(Z$4&gt;='2025'!$L128,Z$4&lt;='2025'!$M128), Z$4&lt;&gt;DATE(2025,7,4)), (SWITCH(weekday(Z$4), 1, 0, 2, if(ISBLANK('2025'!$P128), 0, 1), 3, if(ISBLANK('2025'!$Q128), 0, 1), 4, if(ISBLANK('2025'!$R128), 0, 1), 5, if(ISBLANK('2025'!$S128), 0, 1), 6, if(ISBLANK('2025'!$T128), 0, 1), 7, 0))), 1, "")</f>
        <v/>
      </c>
      <c r="AA130" s="1" t="str">
        <f>IF(AND(AND(AND(AA$4&gt;='2025'!$L128,AA$4&lt;='2025'!$M128), AA$4&lt;&gt;DATE(2025,7,4)), (SWITCH(weekday(AA$4), 1, 0, 2, if(ISBLANK('2025'!$P128), 0, 1), 3, if(ISBLANK('2025'!$Q128), 0, 1), 4, if(ISBLANK('2025'!$R128), 0, 1), 5, if(ISBLANK('2025'!$S128), 0, 1), 6, if(ISBLANK('2025'!$T128), 0, 1), 7, 0))), 1, "")</f>
        <v/>
      </c>
      <c r="AB130" s="1" t="str">
        <f>IF(AND(AND(AND(AB$4&gt;='2025'!$L128,AB$4&lt;='2025'!$M128), AB$4&lt;&gt;DATE(2025,7,4)), (SWITCH(weekday(AB$4), 1, 0, 2, if(ISBLANK('2025'!$P128), 0, 1), 3, if(ISBLANK('2025'!$Q128), 0, 1), 4, if(ISBLANK('2025'!$R128), 0, 1), 5, if(ISBLANK('2025'!$S128), 0, 1), 6, if(ISBLANK('2025'!$T128), 0, 1), 7, 0))), 1, "")</f>
        <v/>
      </c>
      <c r="AC130" s="1" t="str">
        <f>IF(AND(AND(AND(AC$4&gt;='2025'!$L128,AC$4&lt;='2025'!$M128), AC$4&lt;&gt;DATE(2025,7,4)), (SWITCH(weekday(AC$4), 1, 0, 2, if(ISBLANK('2025'!$P128), 0, 1), 3, if(ISBLANK('2025'!$Q128), 0, 1), 4, if(ISBLANK('2025'!$R128), 0, 1), 5, if(ISBLANK('2025'!$S128), 0, 1), 6, if(ISBLANK('2025'!$T128), 0, 1), 7, 0))), 1, "")</f>
        <v/>
      </c>
      <c r="AD130" s="1" t="str">
        <f>IF(AND(AND(AND(AD$4&gt;='2025'!$L128,AD$4&lt;='2025'!$M128), AD$4&lt;&gt;DATE(2025,7,4)), (SWITCH(weekday(AD$4), 1, 0, 2, if(ISBLANK('2025'!$P128), 0, 1), 3, if(ISBLANK('2025'!$Q128), 0, 1), 4, if(ISBLANK('2025'!$R128), 0, 1), 5, if(ISBLANK('2025'!$S128), 0, 1), 6, if(ISBLANK('2025'!$T128), 0, 1), 7, 0))), 1, "")</f>
        <v/>
      </c>
      <c r="AE130" s="1" t="str">
        <f>IF(AND(AND(AND(AE$4&gt;='2025'!$L128,AE$4&lt;='2025'!$M128), AE$4&lt;&gt;DATE(2025,7,4)), (SWITCH(weekday(AE$4), 1, 0, 2, if(ISBLANK('2025'!$P128), 0, 1), 3, if(ISBLANK('2025'!$Q128), 0, 1), 4, if(ISBLANK('2025'!$R128), 0, 1), 5, if(ISBLANK('2025'!$S128), 0, 1), 6, if(ISBLANK('2025'!$T128), 0, 1), 7, 0))), 1, "")</f>
        <v/>
      </c>
      <c r="AF130" s="1" t="str">
        <f>IF(AND(AND(AND(AF$4&gt;='2025'!$L128,AF$4&lt;='2025'!$M128), AF$4&lt;&gt;DATE(2025,7,4)), (SWITCH(weekday(AF$4), 1, 0, 2, if(ISBLANK('2025'!$P128), 0, 1), 3, if(ISBLANK('2025'!$Q128), 0, 1), 4, if(ISBLANK('2025'!$R128), 0, 1), 5, if(ISBLANK('2025'!$S128), 0, 1), 6, if(ISBLANK('2025'!$T128), 0, 1), 7, 0))), 1, "")</f>
        <v/>
      </c>
      <c r="AG130" s="1" t="str">
        <f>IF(AND(AND(AND(AG$4&gt;='2025'!$L128,AG$4&lt;='2025'!$M128), AG$4&lt;&gt;DATE(2025,7,4)), (SWITCH(weekday(AG$4), 1, 0, 2, if(ISBLANK('2025'!$P128), 0, 1), 3, if(ISBLANK('2025'!$Q128), 0, 1), 4, if(ISBLANK('2025'!$R128), 0, 1), 5, if(ISBLANK('2025'!$S128), 0, 1), 6, if(ISBLANK('2025'!$T128), 0, 1), 7, 0))), 1, "")</f>
        <v/>
      </c>
      <c r="AH130" s="1" t="str">
        <f>IF(AND(AND(AND(AH$4&gt;='2025'!$L128,AH$4&lt;='2025'!$M128), AH$4&lt;&gt;DATE(2025,7,4)), (SWITCH(weekday(AH$4), 1, 0, 2, if(ISBLANK('2025'!$P128), 0, 1), 3, if(ISBLANK('2025'!$Q128), 0, 1), 4, if(ISBLANK('2025'!$R128), 0, 1), 5, if(ISBLANK('2025'!$S128), 0, 1), 6, if(ISBLANK('2025'!$T128), 0, 1), 7, 0))), 1, "")</f>
        <v/>
      </c>
      <c r="AI130" s="1" t="str">
        <f>IF(AND(AND(AND(AI$4&gt;='2025'!$L128,AI$4&lt;='2025'!$M128), AI$4&lt;&gt;DATE(2025,7,4)), (SWITCH(weekday(AI$4), 1, 0, 2, if(ISBLANK('2025'!$P128), 0, 1), 3, if(ISBLANK('2025'!$Q128), 0, 1), 4, if(ISBLANK('2025'!$R128), 0, 1), 5, if(ISBLANK('2025'!$S128), 0, 1), 6, if(ISBLANK('2025'!$T128), 0, 1), 7, 0))), 1, "")</f>
        <v/>
      </c>
      <c r="AJ130" s="1" t="str">
        <f>IF(AND(AND(AND(AJ$4&gt;='2025'!$L128,AJ$4&lt;='2025'!$M128), AJ$4&lt;&gt;DATE(2025,7,4)), (SWITCH(weekday(AJ$4), 1, 0, 2, if(ISBLANK('2025'!$P128), 0, 1), 3, if(ISBLANK('2025'!$Q128), 0, 1), 4, if(ISBLANK('2025'!$R128), 0, 1), 5, if(ISBLANK('2025'!$S128), 0, 1), 6, if(ISBLANK('2025'!$T128), 0, 1), 7, 0))), 1, "")</f>
        <v/>
      </c>
      <c r="AK130" s="1" t="str">
        <f>IF(AND(AND(AND(AK$4&gt;='2025'!$L128,AK$4&lt;='2025'!$M128), AK$4&lt;&gt;DATE(2025,7,4)), (SWITCH(weekday(AK$4), 1, 0, 2, if(ISBLANK('2025'!$P128), 0, 1), 3, if(ISBLANK('2025'!$Q128), 0, 1), 4, if(ISBLANK('2025'!$R128), 0, 1), 5, if(ISBLANK('2025'!$S128), 0, 1), 6, if(ISBLANK('2025'!$T128), 0, 1), 7, 0))), 1, "")</f>
        <v/>
      </c>
      <c r="AL130" s="1" t="str">
        <f>IF(AND(AND(AND(AL$4&gt;='2025'!$L128,AL$4&lt;='2025'!$M128), AL$4&lt;&gt;DATE(2025,7,4)), (SWITCH(weekday(AL$4), 1, 0, 2, if(ISBLANK('2025'!$P128), 0, 1), 3, if(ISBLANK('2025'!$Q128), 0, 1), 4, if(ISBLANK('2025'!$R128), 0, 1), 5, if(ISBLANK('2025'!$S128), 0, 1), 6, if(ISBLANK('2025'!$T128), 0, 1), 7, 0))), 1, "")</f>
        <v/>
      </c>
      <c r="AM130" s="1" t="str">
        <f>IF(AND(AND(AND(AM$4&gt;='2025'!$L128,AM$4&lt;='2025'!$M128), AM$4&lt;&gt;DATE(2025,7,4)), (SWITCH(weekday(AM$4), 1, 0, 2, if(ISBLANK('2025'!$P128), 0, 1), 3, if(ISBLANK('2025'!$Q128), 0, 1), 4, if(ISBLANK('2025'!$R128), 0, 1), 5, if(ISBLANK('2025'!$S128), 0, 1), 6, if(ISBLANK('2025'!$T128), 0, 1), 7, 0))), 1, "")</f>
        <v/>
      </c>
      <c r="AN130" s="1" t="str">
        <f>IF(AND(AND(AND(AN$4&gt;='2025'!$L128,AN$4&lt;='2025'!$M128), AN$4&lt;&gt;DATE(2025,7,4)), (SWITCH(weekday(AN$4), 1, 0, 2, if(ISBLANK('2025'!$P128), 0, 1), 3, if(ISBLANK('2025'!$Q128), 0, 1), 4, if(ISBLANK('2025'!$R128), 0, 1), 5, if(ISBLANK('2025'!$S128), 0, 1), 6, if(ISBLANK('2025'!$T128), 0, 1), 7, 0))), 1, "")</f>
        <v/>
      </c>
      <c r="AO130" s="1" t="str">
        <f>IF(AND(AND(AND(AO$4&gt;='2025'!$L128,AO$4&lt;='2025'!$M128), AO$4&lt;&gt;DATE(2025,7,4)), (SWITCH(weekday(AO$4), 1, 0, 2, if(ISBLANK('2025'!$P128), 0, 1), 3, if(ISBLANK('2025'!$Q128), 0, 1), 4, if(ISBLANK('2025'!$R128), 0, 1), 5, if(ISBLANK('2025'!$S128), 0, 1), 6, if(ISBLANK('2025'!$T128), 0, 1), 7, 0))), 1, "")</f>
        <v/>
      </c>
      <c r="AP130" s="1" t="str">
        <f>IF(AND(AND(AND(AP$4&gt;='2025'!$L128,AP$4&lt;='2025'!$M128), AP$4&lt;&gt;DATE(2025,7,4)), (SWITCH(weekday(AP$4), 1, 0, 2, if(ISBLANK('2025'!$P128), 0, 1), 3, if(ISBLANK('2025'!$Q128), 0, 1), 4, if(ISBLANK('2025'!$R128), 0, 1), 5, if(ISBLANK('2025'!$S128), 0, 1), 6, if(ISBLANK('2025'!$T128), 0, 1), 7, 0))), 1, "")</f>
        <v/>
      </c>
      <c r="AQ130" s="1" t="str">
        <f>IF(AND(AND(AND(AQ$4&gt;='2025'!$L128,AQ$4&lt;='2025'!$M128), AQ$4&lt;&gt;DATE(2025,7,4)), (SWITCH(weekday(AQ$4), 1, 0, 2, if(ISBLANK('2025'!$P128), 0, 1), 3, if(ISBLANK('2025'!$Q128), 0, 1), 4, if(ISBLANK('2025'!$R128), 0, 1), 5, if(ISBLANK('2025'!$S128), 0, 1), 6, if(ISBLANK('2025'!$T128), 0, 1), 7, 0))), 1, "")</f>
        <v/>
      </c>
      <c r="AR130" s="1" t="str">
        <f>IF(AND(AND(AND(AR$4&gt;='2025'!$L128,AR$4&lt;='2025'!$M128), AR$4&lt;&gt;DATE(2025,7,4)), (SWITCH(weekday(AR$4), 1, 0, 2, if(ISBLANK('2025'!$P128), 0, 1), 3, if(ISBLANK('2025'!$Q128), 0, 1), 4, if(ISBLANK('2025'!$R128), 0, 1), 5, if(ISBLANK('2025'!$S128), 0, 1), 6, if(ISBLANK('2025'!$T128), 0, 1), 7, 0))), 1, "")</f>
        <v/>
      </c>
      <c r="AS130" s="1" t="str">
        <f>IF(AND(AND(AND(AS$4&gt;='2025'!$L128,AS$4&lt;='2025'!$M128), AS$4&lt;&gt;DATE(2025,7,4)), (SWITCH(weekday(AS$4), 1, 0, 2, if(ISBLANK('2025'!$P128), 0, 1), 3, if(ISBLANK('2025'!$Q128), 0, 1), 4, if(ISBLANK('2025'!$R128), 0, 1), 5, if(ISBLANK('2025'!$S128), 0, 1), 6, if(ISBLANK('2025'!$T128), 0, 1), 7, 0))), 1, "")</f>
        <v/>
      </c>
      <c r="AT130" s="1" t="str">
        <f>IF(AND(AND(AND(AT$4&gt;='2025'!$L128,AT$4&lt;='2025'!$M128), AT$4&lt;&gt;DATE(2025,7,4)), (SWITCH(weekday(AT$4), 1, 0, 2, if(ISBLANK('2025'!$P128), 0, 1), 3, if(ISBLANK('2025'!$Q128), 0, 1), 4, if(ISBLANK('2025'!$R128), 0, 1), 5, if(ISBLANK('2025'!$S128), 0, 1), 6, if(ISBLANK('2025'!$T128), 0, 1), 7, 0))), 1, "")</f>
        <v/>
      </c>
      <c r="AU130" s="1" t="str">
        <f>IF(AND(AND(AND(AU$4&gt;='2025'!$L128,AU$4&lt;='2025'!$M128), AU$4&lt;&gt;DATE(2025,7,4)), (SWITCH(weekday(AU$4), 1, 0, 2, if(ISBLANK('2025'!$P128), 0, 1), 3, if(ISBLANK('2025'!$Q128), 0, 1), 4, if(ISBLANK('2025'!$R128), 0, 1), 5, if(ISBLANK('2025'!$S128), 0, 1), 6, if(ISBLANK('2025'!$T128), 0, 1), 7, 0))), 1, "")</f>
        <v/>
      </c>
      <c r="AV130" s="1" t="str">
        <f>IF(AND(AND(AND(AV$4&gt;='2025'!$L128,AV$4&lt;='2025'!$M128), AV$4&lt;&gt;DATE(2025,7,4)), (SWITCH(weekday(AV$4), 1, 0, 2, if(ISBLANK('2025'!$P128), 0, 1), 3, if(ISBLANK('2025'!$Q128), 0, 1), 4, if(ISBLANK('2025'!$R128), 0, 1), 5, if(ISBLANK('2025'!$S128), 0, 1), 6, if(ISBLANK('2025'!$T128), 0, 1), 7, 0))), 1, "")</f>
        <v/>
      </c>
      <c r="AW130" s="1" t="str">
        <f>IF(AND(AND(AND(AW$4&gt;='2025'!$L128,AW$4&lt;='2025'!$M128), AW$4&lt;&gt;DATE(2025,7,4)), (SWITCH(weekday(AW$4), 1, 0, 2, if(ISBLANK('2025'!$P128), 0, 1), 3, if(ISBLANK('2025'!$Q128), 0, 1), 4, if(ISBLANK('2025'!$R128), 0, 1), 5, if(ISBLANK('2025'!$S128), 0, 1), 6, if(ISBLANK('2025'!$T128), 0, 1), 7, 0))), 1, "")</f>
        <v/>
      </c>
      <c r="AX130" s="1" t="str">
        <f>IF(AND(AND(AND(AX$4&gt;='2025'!$L128,AX$4&lt;='2025'!$M128), AX$4&lt;&gt;DATE(2025,7,4)), (SWITCH(weekday(AX$4), 1, 0, 2, if(ISBLANK('2025'!$P128), 0, 1), 3, if(ISBLANK('2025'!$Q128), 0, 1), 4, if(ISBLANK('2025'!$R128), 0, 1), 5, if(ISBLANK('2025'!$S128), 0, 1), 6, if(ISBLANK('2025'!$T128), 0, 1), 7, 0))), 1, "")</f>
        <v/>
      </c>
      <c r="AY130" s="1" t="str">
        <f>IF(AND(AND(AND(AY$4&gt;='2025'!$L128,AY$4&lt;='2025'!$M128), AY$4&lt;&gt;DATE(2025,7,4)), (SWITCH(weekday(AY$4), 1, 0, 2, if(ISBLANK('2025'!$P128), 0, 1), 3, if(ISBLANK('2025'!$Q128), 0, 1), 4, if(ISBLANK('2025'!$R128), 0, 1), 5, if(ISBLANK('2025'!$S128), 0, 1), 6, if(ISBLANK('2025'!$T128), 0, 1), 7, 0))), 1, "")</f>
        <v/>
      </c>
      <c r="AZ130" s="1" t="str">
        <f>IF(AND(AND(AND(AZ$4&gt;='2025'!$L128,AZ$4&lt;='2025'!$M128), AZ$4&lt;&gt;DATE(2025,7,4)), (SWITCH(weekday(AZ$4), 1, 0, 2, if(ISBLANK('2025'!$P128), 0, 1), 3, if(ISBLANK('2025'!$Q128), 0, 1), 4, if(ISBLANK('2025'!$R128), 0, 1), 5, if(ISBLANK('2025'!$S128), 0, 1), 6, if(ISBLANK('2025'!$T128), 0, 1), 7, 0))), 1, "")</f>
        <v/>
      </c>
      <c r="BA130" s="1" t="str">
        <f>IF(AND(AND(AND(BA$4&gt;='2025'!$L128,BA$4&lt;='2025'!$M128), BA$4&lt;&gt;DATE(2025,7,4)), (SWITCH(weekday(BA$4), 1, 0, 2, if(ISBLANK('2025'!$P128), 0, 1), 3, if(ISBLANK('2025'!$Q128), 0, 1), 4, if(ISBLANK('2025'!$R128), 0, 1), 5, if(ISBLANK('2025'!$S128), 0, 1), 6, if(ISBLANK('2025'!$T128), 0, 1), 7, 0))), 1, "")</f>
        <v/>
      </c>
      <c r="BB130" s="1" t="str">
        <f>IF(AND(AND(AND(BB$4&gt;='2025'!$L128,BB$4&lt;='2025'!$M128), BB$4&lt;&gt;DATE(2025,7,4)), (SWITCH(weekday(BB$4), 1, 0, 2, if(ISBLANK('2025'!$P128), 0, 1), 3, if(ISBLANK('2025'!$Q128), 0, 1), 4, if(ISBLANK('2025'!$R128), 0, 1), 5, if(ISBLANK('2025'!$S128), 0, 1), 6, if(ISBLANK('2025'!$T128), 0, 1), 7, 0))), 1, "")</f>
        <v/>
      </c>
      <c r="BC130" s="1" t="str">
        <f>IF(AND(AND(AND(BC$4&gt;='2025'!$L128,BC$4&lt;='2025'!$M128), BC$4&lt;&gt;DATE(2025,7,4)), (SWITCH(weekday(BC$4), 1, 0, 2, if(ISBLANK('2025'!$P128), 0, 1), 3, if(ISBLANK('2025'!$Q128), 0, 1), 4, if(ISBLANK('2025'!$R128), 0, 1), 5, if(ISBLANK('2025'!$S128), 0, 1), 6, if(ISBLANK('2025'!$T128), 0, 1), 7, 0))), 1, "")</f>
        <v/>
      </c>
      <c r="BD130" s="1" t="str">
        <f>IF(AND(AND(AND(BD$4&gt;='2025'!$L128,BD$4&lt;='2025'!$M128), BD$4&lt;&gt;DATE(2025,7,4)), (SWITCH(weekday(BD$4), 1, 0, 2, if(ISBLANK('2025'!$P128), 0, 1), 3, if(ISBLANK('2025'!$Q128), 0, 1), 4, if(ISBLANK('2025'!$R128), 0, 1), 5, if(ISBLANK('2025'!$S128), 0, 1), 6, if(ISBLANK('2025'!$T128), 0, 1), 7, 0))), 1, "")</f>
        <v/>
      </c>
      <c r="BE130" s="1" t="str">
        <f>IF(AND(AND(AND(BE$4&gt;='2025'!$L128,BE$4&lt;='2025'!$M128), BE$4&lt;&gt;DATE(2025,7,4)), (SWITCH(weekday(BE$4), 1, 0, 2, if(ISBLANK('2025'!$P128), 0, 1), 3, if(ISBLANK('2025'!$Q128), 0, 1), 4, if(ISBLANK('2025'!$R128), 0, 1), 5, if(ISBLANK('2025'!$S128), 0, 1), 6, if(ISBLANK('2025'!$T128), 0, 1), 7, 0))), 1, "")</f>
        <v/>
      </c>
      <c r="BF130" s="1" t="str">
        <f>IF(AND(AND(AND(BF$4&gt;='2025'!$L128,BF$4&lt;='2025'!$M128), BF$4&lt;&gt;DATE(2025,7,4)), (SWITCH(weekday(BF$4), 1, 0, 2, if(ISBLANK('2025'!$P128), 0, 1), 3, if(ISBLANK('2025'!$Q128), 0, 1), 4, if(ISBLANK('2025'!$R128), 0, 1), 5, if(ISBLANK('2025'!$S128), 0, 1), 6, if(ISBLANK('2025'!$T128), 0, 1), 7, 0))), 1, "")</f>
        <v/>
      </c>
      <c r="BG130" s="1"/>
      <c r="BH130" s="1"/>
      <c r="BI130" s="1"/>
      <c r="BJ130" s="1"/>
      <c r="BK130" s="1"/>
      <c r="BL130" s="1"/>
    </row>
    <row r="131">
      <c r="A131" s="1">
        <f t="shared" si="3"/>
        <v>131</v>
      </c>
      <c r="B131" s="1" t="str">
        <f>'2025'!D95</f>
        <v>, </v>
      </c>
      <c r="C131" s="1" t="str">
        <f>'2025'!H95</f>
        <v/>
      </c>
      <c r="D131" s="1" t="str">
        <f>IF(AND(AND(AND(D$4&gt;='2025'!$L129,D$4&lt;='2025'!$M129), D$4&lt;&gt;DATE(2025,7,4)), (SWITCH(weekday(D$4), 1, 0, 2, if(ISBLANK('2025'!$P129), 0, 1), 3, if(ISBLANK('2025'!$Q129), 0, 1), 4, if(ISBLANK('2025'!$R129), 0, 1), 5, if(ISBLANK('2025'!$S129), 0, 1), 6, if(ISBLANK('2025'!$T129), 0, 1), 7, 0))), 1, "")</f>
        <v/>
      </c>
      <c r="E131" s="1" t="str">
        <f>IF(AND(AND(AND(E$4&gt;='2025'!$L129,E$4&lt;='2025'!$M129), E$4&lt;&gt;DATE(2025,7,4)), (SWITCH(weekday(E$4), 1, 0, 2, if(ISBLANK('2025'!$P129), 0, 1), 3, if(ISBLANK('2025'!$Q129), 0, 1), 4, if(ISBLANK('2025'!$R129), 0, 1), 5, if(ISBLANK('2025'!$S129), 0, 1), 6, if(ISBLANK('2025'!$T129), 0, 1), 7, 0))), 1, "")</f>
        <v/>
      </c>
      <c r="F131" s="1" t="str">
        <f>IF(AND(AND(AND(F$4&gt;='2025'!$L129,F$4&lt;='2025'!$M129), F$4&lt;&gt;DATE(2025,7,4)), (SWITCH(weekday(F$4), 1, 0, 2, if(ISBLANK('2025'!$P129), 0, 1), 3, if(ISBLANK('2025'!$Q129), 0, 1), 4, if(ISBLANK('2025'!$R129), 0, 1), 5, if(ISBLANK('2025'!$S129), 0, 1), 6, if(ISBLANK('2025'!$T129), 0, 1), 7, 0))), 1, "")</f>
        <v/>
      </c>
      <c r="G131" s="1" t="str">
        <f>IF(AND(AND(AND(G$4&gt;='2025'!$L129,G$4&lt;='2025'!$M129), G$4&lt;&gt;DATE(2025,7,4)), (SWITCH(weekday(G$4), 1, 0, 2, if(ISBLANK('2025'!$P129), 0, 1), 3, if(ISBLANK('2025'!$Q129), 0, 1), 4, if(ISBLANK('2025'!$R129), 0, 1), 5, if(ISBLANK('2025'!$S129), 0, 1), 6, if(ISBLANK('2025'!$T129), 0, 1), 7, 0))), 1, "")</f>
        <v/>
      </c>
      <c r="H131" s="1" t="str">
        <f>IF(AND(AND(AND(H$4&gt;='2025'!$L129,H$4&lt;='2025'!$M129), H$4&lt;&gt;DATE(2025,7,4)), (SWITCH(weekday(H$4), 1, 0, 2, if(ISBLANK('2025'!$P129), 0, 1), 3, if(ISBLANK('2025'!$Q129), 0, 1), 4, if(ISBLANK('2025'!$R129), 0, 1), 5, if(ISBLANK('2025'!$S129), 0, 1), 6, if(ISBLANK('2025'!$T129), 0, 1), 7, 0))), 1, "")</f>
        <v/>
      </c>
      <c r="I131" s="1" t="str">
        <f>IF(AND(AND(AND(I$4&gt;='2025'!$L129,I$4&lt;='2025'!$M129), I$4&lt;&gt;DATE(2025,7,4)), (SWITCH(weekday(I$4), 1, 0, 2, if(ISBLANK('2025'!$P129), 0, 1), 3, if(ISBLANK('2025'!$Q129), 0, 1), 4, if(ISBLANK('2025'!$R129), 0, 1), 5, if(ISBLANK('2025'!$S129), 0, 1), 6, if(ISBLANK('2025'!$T129), 0, 1), 7, 0))), 1, "")</f>
        <v/>
      </c>
      <c r="J131" s="1" t="str">
        <f>IF(AND(AND(AND(J$4&gt;='2025'!$L129,J$4&lt;='2025'!$M129), J$4&lt;&gt;DATE(2025,7,4)), (SWITCH(weekday(J$4), 1, 0, 2, if(ISBLANK('2025'!$P129), 0, 1), 3, if(ISBLANK('2025'!$Q129), 0, 1), 4, if(ISBLANK('2025'!$R129), 0, 1), 5, if(ISBLANK('2025'!$S129), 0, 1), 6, if(ISBLANK('2025'!$T129), 0, 1), 7, 0))), 1, "")</f>
        <v/>
      </c>
      <c r="K131" s="1" t="str">
        <f>IF(AND(AND(AND(K$4&gt;='2025'!$L129,K$4&lt;='2025'!$M129), K$4&lt;&gt;DATE(2025,7,4)), (SWITCH(weekday(K$4), 1, 0, 2, if(ISBLANK('2025'!$P129), 0, 1), 3, if(ISBLANK('2025'!$Q129), 0, 1), 4, if(ISBLANK('2025'!$R129), 0, 1), 5, if(ISBLANK('2025'!$S129), 0, 1), 6, if(ISBLANK('2025'!$T129), 0, 1), 7, 0))), 1, "")</f>
        <v/>
      </c>
      <c r="L131" s="1" t="str">
        <f>IF(AND(AND(AND(L$4&gt;='2025'!$L129,L$4&lt;='2025'!$M129), L$4&lt;&gt;DATE(2025,7,4)), (SWITCH(weekday(L$4), 1, 0, 2, if(ISBLANK('2025'!$P129), 0, 1), 3, if(ISBLANK('2025'!$Q129), 0, 1), 4, if(ISBLANK('2025'!$R129), 0, 1), 5, if(ISBLANK('2025'!$S129), 0, 1), 6, if(ISBLANK('2025'!$T129), 0, 1), 7, 0))), 1, "")</f>
        <v/>
      </c>
      <c r="M131" s="1" t="str">
        <f>IF(AND(AND(AND(M$4&gt;='2025'!$L129,M$4&lt;='2025'!$M129), M$4&lt;&gt;DATE(2025,7,4)), (SWITCH(weekday(M$4), 1, 0, 2, if(ISBLANK('2025'!$P129), 0, 1), 3, if(ISBLANK('2025'!$Q129), 0, 1), 4, if(ISBLANK('2025'!$R129), 0, 1), 5, if(ISBLANK('2025'!$S129), 0, 1), 6, if(ISBLANK('2025'!$T129), 0, 1), 7, 0))), 1, "")</f>
        <v/>
      </c>
      <c r="N131" s="1" t="str">
        <f>IF(AND(AND(AND(N$4&gt;='2025'!$L129,N$4&lt;='2025'!$M129), N$4&lt;&gt;DATE(2025,7,4)), (SWITCH(weekday(N$4), 1, 0, 2, if(ISBLANK('2025'!$P129), 0, 1), 3, if(ISBLANK('2025'!$Q129), 0, 1), 4, if(ISBLANK('2025'!$R129), 0, 1), 5, if(ISBLANK('2025'!$S129), 0, 1), 6, if(ISBLANK('2025'!$T129), 0, 1), 7, 0))), 1, "")</f>
        <v/>
      </c>
      <c r="O131" s="1" t="str">
        <f>IF(AND(AND(AND(O$4&gt;='2025'!$L129,O$4&lt;='2025'!$M129), O$4&lt;&gt;DATE(2025,7,4)), (SWITCH(weekday(O$4), 1, 0, 2, if(ISBLANK('2025'!$P129), 0, 1), 3, if(ISBLANK('2025'!$Q129), 0, 1), 4, if(ISBLANK('2025'!$R129), 0, 1), 5, if(ISBLANK('2025'!$S129), 0, 1), 6, if(ISBLANK('2025'!$T129), 0, 1), 7, 0))), 1, "")</f>
        <v/>
      </c>
      <c r="P131" s="1" t="str">
        <f>IF(AND(AND(AND(P$4&gt;='2025'!$L129,P$4&lt;='2025'!$M129), P$4&lt;&gt;DATE(2025,7,4)), (SWITCH(weekday(P$4), 1, 0, 2, if(ISBLANK('2025'!$P129), 0, 1), 3, if(ISBLANK('2025'!$Q129), 0, 1), 4, if(ISBLANK('2025'!$R129), 0, 1), 5, if(ISBLANK('2025'!$S129), 0, 1), 6, if(ISBLANK('2025'!$T129), 0, 1), 7, 0))), 1, "")</f>
        <v/>
      </c>
      <c r="Q131" s="1" t="str">
        <f>IF(AND(AND(AND(Q$4&gt;='2025'!$L129,Q$4&lt;='2025'!$M129), Q$4&lt;&gt;DATE(2025,7,4)), (SWITCH(weekday(Q$4), 1, 0, 2, if(ISBLANK('2025'!$P129), 0, 1), 3, if(ISBLANK('2025'!$Q129), 0, 1), 4, if(ISBLANK('2025'!$R129), 0, 1), 5, if(ISBLANK('2025'!$S129), 0, 1), 6, if(ISBLANK('2025'!$T129), 0, 1), 7, 0))), 1, "")</f>
        <v/>
      </c>
      <c r="R131" s="1" t="str">
        <f>IF(AND(AND(AND(R$4&gt;='2025'!$L129,R$4&lt;='2025'!$M129), R$4&lt;&gt;DATE(2025,7,4)), (SWITCH(weekday(R$4), 1, 0, 2, if(ISBLANK('2025'!$P129), 0, 1), 3, if(ISBLANK('2025'!$Q129), 0, 1), 4, if(ISBLANK('2025'!$R129), 0, 1), 5, if(ISBLANK('2025'!$S129), 0, 1), 6, if(ISBLANK('2025'!$T129), 0, 1), 7, 0))), 1, "")</f>
        <v/>
      </c>
      <c r="S131" s="1" t="str">
        <f>IF(AND(AND(AND(S$4&gt;='2025'!$L129,S$4&lt;='2025'!$M129), S$4&lt;&gt;DATE(2025,7,4)), (SWITCH(weekday(S$4), 1, 0, 2, if(ISBLANK('2025'!$P129), 0, 1), 3, if(ISBLANK('2025'!$Q129), 0, 1), 4, if(ISBLANK('2025'!$R129), 0, 1), 5, if(ISBLANK('2025'!$S129), 0, 1), 6, if(ISBLANK('2025'!$T129), 0, 1), 7, 0))), 1, "")</f>
        <v/>
      </c>
      <c r="T131" s="1" t="str">
        <f>IF(AND(AND(AND(T$4&gt;='2025'!$L129,T$4&lt;='2025'!$M129), T$4&lt;&gt;DATE(2025,7,4)), (SWITCH(weekday(T$4), 1, 0, 2, if(ISBLANK('2025'!$P129), 0, 1), 3, if(ISBLANK('2025'!$Q129), 0, 1), 4, if(ISBLANK('2025'!$R129), 0, 1), 5, if(ISBLANK('2025'!$S129), 0, 1), 6, if(ISBLANK('2025'!$T129), 0, 1), 7, 0))), 1, "")</f>
        <v/>
      </c>
      <c r="U131" s="1" t="str">
        <f>IF(AND(AND(AND(U$4&gt;='2025'!$L129,U$4&lt;='2025'!$M129), U$4&lt;&gt;DATE(2025,7,4)), (SWITCH(weekday(U$4), 1, 0, 2, if(ISBLANK('2025'!$P129), 0, 1), 3, if(ISBLANK('2025'!$Q129), 0, 1), 4, if(ISBLANK('2025'!$R129), 0, 1), 5, if(ISBLANK('2025'!$S129), 0, 1), 6, if(ISBLANK('2025'!$T129), 0, 1), 7, 0))), 1, "")</f>
        <v/>
      </c>
      <c r="V131" s="1" t="str">
        <f>IF(AND(AND(AND(V$4&gt;='2025'!$L129,V$4&lt;='2025'!$M129), V$4&lt;&gt;DATE(2025,7,4)), (SWITCH(weekday(V$4), 1, 0, 2, if(ISBLANK('2025'!$P129), 0, 1), 3, if(ISBLANK('2025'!$Q129), 0, 1), 4, if(ISBLANK('2025'!$R129), 0, 1), 5, if(ISBLANK('2025'!$S129), 0, 1), 6, if(ISBLANK('2025'!$T129), 0, 1), 7, 0))), 1, "")</f>
        <v/>
      </c>
      <c r="W131" s="1" t="str">
        <f>IF(AND(AND(AND(W$4&gt;='2025'!$L129,W$4&lt;='2025'!$M129), W$4&lt;&gt;DATE(2025,7,4)), (SWITCH(weekday(W$4), 1, 0, 2, if(ISBLANK('2025'!$P129), 0, 1), 3, if(ISBLANK('2025'!$Q129), 0, 1), 4, if(ISBLANK('2025'!$R129), 0, 1), 5, if(ISBLANK('2025'!$S129), 0, 1), 6, if(ISBLANK('2025'!$T129), 0, 1), 7, 0))), 1, "")</f>
        <v/>
      </c>
      <c r="X131" s="1" t="str">
        <f>IF(AND(AND(AND(X$4&gt;='2025'!$L129,X$4&lt;='2025'!$M129), X$4&lt;&gt;DATE(2025,7,4)), (SWITCH(weekday(X$4), 1, 0, 2, if(ISBLANK('2025'!$P129), 0, 1), 3, if(ISBLANK('2025'!$Q129), 0, 1), 4, if(ISBLANK('2025'!$R129), 0, 1), 5, if(ISBLANK('2025'!$S129), 0, 1), 6, if(ISBLANK('2025'!$T129), 0, 1), 7, 0))), 1, "")</f>
        <v/>
      </c>
      <c r="Y131" s="1" t="str">
        <f>IF(AND(AND(AND(Y$4&gt;='2025'!$L129,Y$4&lt;='2025'!$M129), Y$4&lt;&gt;DATE(2025,7,4)), (SWITCH(weekday(Y$4), 1, 0, 2, if(ISBLANK('2025'!$P129), 0, 1), 3, if(ISBLANK('2025'!$Q129), 0, 1), 4, if(ISBLANK('2025'!$R129), 0, 1), 5, if(ISBLANK('2025'!$S129), 0, 1), 6, if(ISBLANK('2025'!$T129), 0, 1), 7, 0))), 1, "")</f>
        <v/>
      </c>
      <c r="Z131" s="1" t="str">
        <f>IF(AND(AND(AND(Z$4&gt;='2025'!$L129,Z$4&lt;='2025'!$M129), Z$4&lt;&gt;DATE(2025,7,4)), (SWITCH(weekday(Z$4), 1, 0, 2, if(ISBLANK('2025'!$P129), 0, 1), 3, if(ISBLANK('2025'!$Q129), 0, 1), 4, if(ISBLANK('2025'!$R129), 0, 1), 5, if(ISBLANK('2025'!$S129), 0, 1), 6, if(ISBLANK('2025'!$T129), 0, 1), 7, 0))), 1, "")</f>
        <v/>
      </c>
      <c r="AA131" s="1" t="str">
        <f>IF(AND(AND(AND(AA$4&gt;='2025'!$L129,AA$4&lt;='2025'!$M129), AA$4&lt;&gt;DATE(2025,7,4)), (SWITCH(weekday(AA$4), 1, 0, 2, if(ISBLANK('2025'!$P129), 0, 1), 3, if(ISBLANK('2025'!$Q129), 0, 1), 4, if(ISBLANK('2025'!$R129), 0, 1), 5, if(ISBLANK('2025'!$S129), 0, 1), 6, if(ISBLANK('2025'!$T129), 0, 1), 7, 0))), 1, "")</f>
        <v/>
      </c>
      <c r="AB131" s="1" t="str">
        <f>IF(AND(AND(AND(AB$4&gt;='2025'!$L129,AB$4&lt;='2025'!$M129), AB$4&lt;&gt;DATE(2025,7,4)), (SWITCH(weekday(AB$4), 1, 0, 2, if(ISBLANK('2025'!$P129), 0, 1), 3, if(ISBLANK('2025'!$Q129), 0, 1), 4, if(ISBLANK('2025'!$R129), 0, 1), 5, if(ISBLANK('2025'!$S129), 0, 1), 6, if(ISBLANK('2025'!$T129), 0, 1), 7, 0))), 1, "")</f>
        <v/>
      </c>
      <c r="AC131" s="1" t="str">
        <f>IF(AND(AND(AND(AC$4&gt;='2025'!$L129,AC$4&lt;='2025'!$M129), AC$4&lt;&gt;DATE(2025,7,4)), (SWITCH(weekday(AC$4), 1, 0, 2, if(ISBLANK('2025'!$P129), 0, 1), 3, if(ISBLANK('2025'!$Q129), 0, 1), 4, if(ISBLANK('2025'!$R129), 0, 1), 5, if(ISBLANK('2025'!$S129), 0, 1), 6, if(ISBLANK('2025'!$T129), 0, 1), 7, 0))), 1, "")</f>
        <v/>
      </c>
      <c r="AD131" s="1" t="str">
        <f>IF(AND(AND(AND(AD$4&gt;='2025'!$L129,AD$4&lt;='2025'!$M129), AD$4&lt;&gt;DATE(2025,7,4)), (SWITCH(weekday(AD$4), 1, 0, 2, if(ISBLANK('2025'!$P129), 0, 1), 3, if(ISBLANK('2025'!$Q129), 0, 1), 4, if(ISBLANK('2025'!$R129), 0, 1), 5, if(ISBLANK('2025'!$S129), 0, 1), 6, if(ISBLANK('2025'!$T129), 0, 1), 7, 0))), 1, "")</f>
        <v/>
      </c>
      <c r="AE131" s="1" t="str">
        <f>IF(AND(AND(AND(AE$4&gt;='2025'!$L129,AE$4&lt;='2025'!$M129), AE$4&lt;&gt;DATE(2025,7,4)), (SWITCH(weekday(AE$4), 1, 0, 2, if(ISBLANK('2025'!$P129), 0, 1), 3, if(ISBLANK('2025'!$Q129), 0, 1), 4, if(ISBLANK('2025'!$R129), 0, 1), 5, if(ISBLANK('2025'!$S129), 0, 1), 6, if(ISBLANK('2025'!$T129), 0, 1), 7, 0))), 1, "")</f>
        <v/>
      </c>
      <c r="AF131" s="1" t="str">
        <f>IF(AND(AND(AND(AF$4&gt;='2025'!$L129,AF$4&lt;='2025'!$M129), AF$4&lt;&gt;DATE(2025,7,4)), (SWITCH(weekday(AF$4), 1, 0, 2, if(ISBLANK('2025'!$P129), 0, 1), 3, if(ISBLANK('2025'!$Q129), 0, 1), 4, if(ISBLANK('2025'!$R129), 0, 1), 5, if(ISBLANK('2025'!$S129), 0, 1), 6, if(ISBLANK('2025'!$T129), 0, 1), 7, 0))), 1, "")</f>
        <v/>
      </c>
      <c r="AG131" s="1" t="str">
        <f>IF(AND(AND(AND(AG$4&gt;='2025'!$L129,AG$4&lt;='2025'!$M129), AG$4&lt;&gt;DATE(2025,7,4)), (SWITCH(weekday(AG$4), 1, 0, 2, if(ISBLANK('2025'!$P129), 0, 1), 3, if(ISBLANK('2025'!$Q129), 0, 1), 4, if(ISBLANK('2025'!$R129), 0, 1), 5, if(ISBLANK('2025'!$S129), 0, 1), 6, if(ISBLANK('2025'!$T129), 0, 1), 7, 0))), 1, "")</f>
        <v/>
      </c>
      <c r="AH131" s="1" t="str">
        <f>IF(AND(AND(AND(AH$4&gt;='2025'!$L129,AH$4&lt;='2025'!$M129), AH$4&lt;&gt;DATE(2025,7,4)), (SWITCH(weekday(AH$4), 1, 0, 2, if(ISBLANK('2025'!$P129), 0, 1), 3, if(ISBLANK('2025'!$Q129), 0, 1), 4, if(ISBLANK('2025'!$R129), 0, 1), 5, if(ISBLANK('2025'!$S129), 0, 1), 6, if(ISBLANK('2025'!$T129), 0, 1), 7, 0))), 1, "")</f>
        <v/>
      </c>
      <c r="AI131" s="1" t="str">
        <f>IF(AND(AND(AND(AI$4&gt;='2025'!$L129,AI$4&lt;='2025'!$M129), AI$4&lt;&gt;DATE(2025,7,4)), (SWITCH(weekday(AI$4), 1, 0, 2, if(ISBLANK('2025'!$P129), 0, 1), 3, if(ISBLANK('2025'!$Q129), 0, 1), 4, if(ISBLANK('2025'!$R129), 0, 1), 5, if(ISBLANK('2025'!$S129), 0, 1), 6, if(ISBLANK('2025'!$T129), 0, 1), 7, 0))), 1, "")</f>
        <v/>
      </c>
      <c r="AJ131" s="1" t="str">
        <f>IF(AND(AND(AND(AJ$4&gt;='2025'!$L129,AJ$4&lt;='2025'!$M129), AJ$4&lt;&gt;DATE(2025,7,4)), (SWITCH(weekday(AJ$4), 1, 0, 2, if(ISBLANK('2025'!$P129), 0, 1), 3, if(ISBLANK('2025'!$Q129), 0, 1), 4, if(ISBLANK('2025'!$R129), 0, 1), 5, if(ISBLANK('2025'!$S129), 0, 1), 6, if(ISBLANK('2025'!$T129), 0, 1), 7, 0))), 1, "")</f>
        <v/>
      </c>
      <c r="AK131" s="1" t="str">
        <f>IF(AND(AND(AND(AK$4&gt;='2025'!$L129,AK$4&lt;='2025'!$M129), AK$4&lt;&gt;DATE(2025,7,4)), (SWITCH(weekday(AK$4), 1, 0, 2, if(ISBLANK('2025'!$P129), 0, 1), 3, if(ISBLANK('2025'!$Q129), 0, 1), 4, if(ISBLANK('2025'!$R129), 0, 1), 5, if(ISBLANK('2025'!$S129), 0, 1), 6, if(ISBLANK('2025'!$T129), 0, 1), 7, 0))), 1, "")</f>
        <v/>
      </c>
      <c r="AL131" s="1" t="str">
        <f>IF(AND(AND(AND(AL$4&gt;='2025'!$L129,AL$4&lt;='2025'!$M129), AL$4&lt;&gt;DATE(2025,7,4)), (SWITCH(weekday(AL$4), 1, 0, 2, if(ISBLANK('2025'!$P129), 0, 1), 3, if(ISBLANK('2025'!$Q129), 0, 1), 4, if(ISBLANK('2025'!$R129), 0, 1), 5, if(ISBLANK('2025'!$S129), 0, 1), 6, if(ISBLANK('2025'!$T129), 0, 1), 7, 0))), 1, "")</f>
        <v/>
      </c>
      <c r="AM131" s="1" t="str">
        <f>IF(AND(AND(AND(AM$4&gt;='2025'!$L129,AM$4&lt;='2025'!$M129), AM$4&lt;&gt;DATE(2025,7,4)), (SWITCH(weekday(AM$4), 1, 0, 2, if(ISBLANK('2025'!$P129), 0, 1), 3, if(ISBLANK('2025'!$Q129), 0, 1), 4, if(ISBLANK('2025'!$R129), 0, 1), 5, if(ISBLANK('2025'!$S129), 0, 1), 6, if(ISBLANK('2025'!$T129), 0, 1), 7, 0))), 1, "")</f>
        <v/>
      </c>
      <c r="AN131" s="1" t="str">
        <f>IF(AND(AND(AND(AN$4&gt;='2025'!$L129,AN$4&lt;='2025'!$M129), AN$4&lt;&gt;DATE(2025,7,4)), (SWITCH(weekday(AN$4), 1, 0, 2, if(ISBLANK('2025'!$P129), 0, 1), 3, if(ISBLANK('2025'!$Q129), 0, 1), 4, if(ISBLANK('2025'!$R129), 0, 1), 5, if(ISBLANK('2025'!$S129), 0, 1), 6, if(ISBLANK('2025'!$T129), 0, 1), 7, 0))), 1, "")</f>
        <v/>
      </c>
      <c r="AO131" s="1" t="str">
        <f>IF(AND(AND(AND(AO$4&gt;='2025'!$L129,AO$4&lt;='2025'!$M129), AO$4&lt;&gt;DATE(2025,7,4)), (SWITCH(weekday(AO$4), 1, 0, 2, if(ISBLANK('2025'!$P129), 0, 1), 3, if(ISBLANK('2025'!$Q129), 0, 1), 4, if(ISBLANK('2025'!$R129), 0, 1), 5, if(ISBLANK('2025'!$S129), 0, 1), 6, if(ISBLANK('2025'!$T129), 0, 1), 7, 0))), 1, "")</f>
        <v/>
      </c>
      <c r="AP131" s="1" t="str">
        <f>IF(AND(AND(AND(AP$4&gt;='2025'!$L129,AP$4&lt;='2025'!$M129), AP$4&lt;&gt;DATE(2025,7,4)), (SWITCH(weekday(AP$4), 1, 0, 2, if(ISBLANK('2025'!$P129), 0, 1), 3, if(ISBLANK('2025'!$Q129), 0, 1), 4, if(ISBLANK('2025'!$R129), 0, 1), 5, if(ISBLANK('2025'!$S129), 0, 1), 6, if(ISBLANK('2025'!$T129), 0, 1), 7, 0))), 1, "")</f>
        <v/>
      </c>
      <c r="AQ131" s="1" t="str">
        <f>IF(AND(AND(AND(AQ$4&gt;='2025'!$L129,AQ$4&lt;='2025'!$M129), AQ$4&lt;&gt;DATE(2025,7,4)), (SWITCH(weekday(AQ$4), 1, 0, 2, if(ISBLANK('2025'!$P129), 0, 1), 3, if(ISBLANK('2025'!$Q129), 0, 1), 4, if(ISBLANK('2025'!$R129), 0, 1), 5, if(ISBLANK('2025'!$S129), 0, 1), 6, if(ISBLANK('2025'!$T129), 0, 1), 7, 0))), 1, "")</f>
        <v/>
      </c>
      <c r="AR131" s="1" t="str">
        <f>IF(AND(AND(AND(AR$4&gt;='2025'!$L129,AR$4&lt;='2025'!$M129), AR$4&lt;&gt;DATE(2025,7,4)), (SWITCH(weekday(AR$4), 1, 0, 2, if(ISBLANK('2025'!$P129), 0, 1), 3, if(ISBLANK('2025'!$Q129), 0, 1), 4, if(ISBLANK('2025'!$R129), 0, 1), 5, if(ISBLANK('2025'!$S129), 0, 1), 6, if(ISBLANK('2025'!$T129), 0, 1), 7, 0))), 1, "")</f>
        <v/>
      </c>
      <c r="AS131" s="1" t="str">
        <f>IF(AND(AND(AND(AS$4&gt;='2025'!$L129,AS$4&lt;='2025'!$M129), AS$4&lt;&gt;DATE(2025,7,4)), (SWITCH(weekday(AS$4), 1, 0, 2, if(ISBLANK('2025'!$P129), 0, 1), 3, if(ISBLANK('2025'!$Q129), 0, 1), 4, if(ISBLANK('2025'!$R129), 0, 1), 5, if(ISBLANK('2025'!$S129), 0, 1), 6, if(ISBLANK('2025'!$T129), 0, 1), 7, 0))), 1, "")</f>
        <v/>
      </c>
      <c r="AT131" s="1" t="str">
        <f>IF(AND(AND(AND(AT$4&gt;='2025'!$L129,AT$4&lt;='2025'!$M129), AT$4&lt;&gt;DATE(2025,7,4)), (SWITCH(weekday(AT$4), 1, 0, 2, if(ISBLANK('2025'!$P129), 0, 1), 3, if(ISBLANK('2025'!$Q129), 0, 1), 4, if(ISBLANK('2025'!$R129), 0, 1), 5, if(ISBLANK('2025'!$S129), 0, 1), 6, if(ISBLANK('2025'!$T129), 0, 1), 7, 0))), 1, "")</f>
        <v/>
      </c>
      <c r="AU131" s="1" t="str">
        <f>IF(AND(AND(AND(AU$4&gt;='2025'!$L129,AU$4&lt;='2025'!$M129), AU$4&lt;&gt;DATE(2025,7,4)), (SWITCH(weekday(AU$4), 1, 0, 2, if(ISBLANK('2025'!$P129), 0, 1), 3, if(ISBLANK('2025'!$Q129), 0, 1), 4, if(ISBLANK('2025'!$R129), 0, 1), 5, if(ISBLANK('2025'!$S129), 0, 1), 6, if(ISBLANK('2025'!$T129), 0, 1), 7, 0))), 1, "")</f>
        <v/>
      </c>
      <c r="AV131" s="1" t="str">
        <f>IF(AND(AND(AND(AV$4&gt;='2025'!$L129,AV$4&lt;='2025'!$M129), AV$4&lt;&gt;DATE(2025,7,4)), (SWITCH(weekday(AV$4), 1, 0, 2, if(ISBLANK('2025'!$P129), 0, 1), 3, if(ISBLANK('2025'!$Q129), 0, 1), 4, if(ISBLANK('2025'!$R129), 0, 1), 5, if(ISBLANK('2025'!$S129), 0, 1), 6, if(ISBLANK('2025'!$T129), 0, 1), 7, 0))), 1, "")</f>
        <v/>
      </c>
      <c r="AW131" s="1" t="str">
        <f>IF(AND(AND(AND(AW$4&gt;='2025'!$L129,AW$4&lt;='2025'!$M129), AW$4&lt;&gt;DATE(2025,7,4)), (SWITCH(weekday(AW$4), 1, 0, 2, if(ISBLANK('2025'!$P129), 0, 1), 3, if(ISBLANK('2025'!$Q129), 0, 1), 4, if(ISBLANK('2025'!$R129), 0, 1), 5, if(ISBLANK('2025'!$S129), 0, 1), 6, if(ISBLANK('2025'!$T129), 0, 1), 7, 0))), 1, "")</f>
        <v/>
      </c>
      <c r="AX131" s="1" t="str">
        <f>IF(AND(AND(AND(AX$4&gt;='2025'!$L129,AX$4&lt;='2025'!$M129), AX$4&lt;&gt;DATE(2025,7,4)), (SWITCH(weekday(AX$4), 1, 0, 2, if(ISBLANK('2025'!$P129), 0, 1), 3, if(ISBLANK('2025'!$Q129), 0, 1), 4, if(ISBLANK('2025'!$R129), 0, 1), 5, if(ISBLANK('2025'!$S129), 0, 1), 6, if(ISBLANK('2025'!$T129), 0, 1), 7, 0))), 1, "")</f>
        <v/>
      </c>
      <c r="AY131" s="1" t="str">
        <f>IF(AND(AND(AND(AY$4&gt;='2025'!$L129,AY$4&lt;='2025'!$M129), AY$4&lt;&gt;DATE(2025,7,4)), (SWITCH(weekday(AY$4), 1, 0, 2, if(ISBLANK('2025'!$P129), 0, 1), 3, if(ISBLANK('2025'!$Q129), 0, 1), 4, if(ISBLANK('2025'!$R129), 0, 1), 5, if(ISBLANK('2025'!$S129), 0, 1), 6, if(ISBLANK('2025'!$T129), 0, 1), 7, 0))), 1, "")</f>
        <v/>
      </c>
      <c r="AZ131" s="1" t="str">
        <f>IF(AND(AND(AND(AZ$4&gt;='2025'!$L129,AZ$4&lt;='2025'!$M129), AZ$4&lt;&gt;DATE(2025,7,4)), (SWITCH(weekday(AZ$4), 1, 0, 2, if(ISBLANK('2025'!$P129), 0, 1), 3, if(ISBLANK('2025'!$Q129), 0, 1), 4, if(ISBLANK('2025'!$R129), 0, 1), 5, if(ISBLANK('2025'!$S129), 0, 1), 6, if(ISBLANK('2025'!$T129), 0, 1), 7, 0))), 1, "")</f>
        <v/>
      </c>
      <c r="BA131" s="1" t="str">
        <f>IF(AND(AND(AND(BA$4&gt;='2025'!$L129,BA$4&lt;='2025'!$M129), BA$4&lt;&gt;DATE(2025,7,4)), (SWITCH(weekday(BA$4), 1, 0, 2, if(ISBLANK('2025'!$P129), 0, 1), 3, if(ISBLANK('2025'!$Q129), 0, 1), 4, if(ISBLANK('2025'!$R129), 0, 1), 5, if(ISBLANK('2025'!$S129), 0, 1), 6, if(ISBLANK('2025'!$T129), 0, 1), 7, 0))), 1, "")</f>
        <v/>
      </c>
      <c r="BB131" s="1" t="str">
        <f>IF(AND(AND(AND(BB$4&gt;='2025'!$L129,BB$4&lt;='2025'!$M129), BB$4&lt;&gt;DATE(2025,7,4)), (SWITCH(weekday(BB$4), 1, 0, 2, if(ISBLANK('2025'!$P129), 0, 1), 3, if(ISBLANK('2025'!$Q129), 0, 1), 4, if(ISBLANK('2025'!$R129), 0, 1), 5, if(ISBLANK('2025'!$S129), 0, 1), 6, if(ISBLANK('2025'!$T129), 0, 1), 7, 0))), 1, "")</f>
        <v/>
      </c>
      <c r="BC131" s="1" t="str">
        <f>IF(AND(AND(AND(BC$4&gt;='2025'!$L129,BC$4&lt;='2025'!$M129), BC$4&lt;&gt;DATE(2025,7,4)), (SWITCH(weekday(BC$4), 1, 0, 2, if(ISBLANK('2025'!$P129), 0, 1), 3, if(ISBLANK('2025'!$Q129), 0, 1), 4, if(ISBLANK('2025'!$R129), 0, 1), 5, if(ISBLANK('2025'!$S129), 0, 1), 6, if(ISBLANK('2025'!$T129), 0, 1), 7, 0))), 1, "")</f>
        <v/>
      </c>
      <c r="BD131" s="1" t="str">
        <f>IF(AND(AND(AND(BD$4&gt;='2025'!$L129,BD$4&lt;='2025'!$M129), BD$4&lt;&gt;DATE(2025,7,4)), (SWITCH(weekday(BD$4), 1, 0, 2, if(ISBLANK('2025'!$P129), 0, 1), 3, if(ISBLANK('2025'!$Q129), 0, 1), 4, if(ISBLANK('2025'!$R129), 0, 1), 5, if(ISBLANK('2025'!$S129), 0, 1), 6, if(ISBLANK('2025'!$T129), 0, 1), 7, 0))), 1, "")</f>
        <v/>
      </c>
      <c r="BE131" s="1" t="str">
        <f>IF(AND(AND(AND(BE$4&gt;='2025'!$L129,BE$4&lt;='2025'!$M129), BE$4&lt;&gt;DATE(2025,7,4)), (SWITCH(weekday(BE$4), 1, 0, 2, if(ISBLANK('2025'!$P129), 0, 1), 3, if(ISBLANK('2025'!$Q129), 0, 1), 4, if(ISBLANK('2025'!$R129), 0, 1), 5, if(ISBLANK('2025'!$S129), 0, 1), 6, if(ISBLANK('2025'!$T129), 0, 1), 7, 0))), 1, "")</f>
        <v/>
      </c>
      <c r="BF131" s="1" t="str">
        <f>IF(AND(AND(AND(BF$4&gt;='2025'!$L129,BF$4&lt;='2025'!$M129), BF$4&lt;&gt;DATE(2025,7,4)), (SWITCH(weekday(BF$4), 1, 0, 2, if(ISBLANK('2025'!$P129), 0, 1), 3, if(ISBLANK('2025'!$Q129), 0, 1), 4, if(ISBLANK('2025'!$R129), 0, 1), 5, if(ISBLANK('2025'!$S129), 0, 1), 6, if(ISBLANK('2025'!$T129), 0, 1), 7, 0))), 1, "")</f>
        <v/>
      </c>
      <c r="BG131" s="1"/>
      <c r="BH131" s="1"/>
      <c r="BI131" s="1"/>
      <c r="BJ131" s="1"/>
      <c r="BK131" s="1"/>
      <c r="BL131" s="1"/>
    </row>
    <row r="132">
      <c r="A132" s="1">
        <f t="shared" si="3"/>
        <v>132</v>
      </c>
      <c r="B132" s="1" t="str">
        <f>'2025'!D96</f>
        <v>, </v>
      </c>
      <c r="C132" s="1" t="str">
        <f>'2025'!H96</f>
        <v/>
      </c>
      <c r="D132" s="1" t="str">
        <f>IF(AND(AND(AND(D$4&gt;='2025'!$L130,D$4&lt;='2025'!$M130), D$4&lt;&gt;DATE(2025,7,4)), (SWITCH(weekday(D$4), 1, 0, 2, if(ISBLANK('2025'!$P130), 0, 1), 3, if(ISBLANK('2025'!$Q130), 0, 1), 4, if(ISBLANK('2025'!$R130), 0, 1), 5, if(ISBLANK('2025'!$S130), 0, 1), 6, if(ISBLANK('2025'!$T130), 0, 1), 7, 0))), 1, "")</f>
        <v/>
      </c>
      <c r="E132" s="1" t="str">
        <f>IF(AND(AND(AND(E$4&gt;='2025'!$L130,E$4&lt;='2025'!$M130), E$4&lt;&gt;DATE(2025,7,4)), (SWITCH(weekday(E$4), 1, 0, 2, if(ISBLANK('2025'!$P130), 0, 1), 3, if(ISBLANK('2025'!$Q130), 0, 1), 4, if(ISBLANK('2025'!$R130), 0, 1), 5, if(ISBLANK('2025'!$S130), 0, 1), 6, if(ISBLANK('2025'!$T130), 0, 1), 7, 0))), 1, "")</f>
        <v/>
      </c>
      <c r="F132" s="1" t="str">
        <f>IF(AND(AND(AND(F$4&gt;='2025'!$L130,F$4&lt;='2025'!$M130), F$4&lt;&gt;DATE(2025,7,4)), (SWITCH(weekday(F$4), 1, 0, 2, if(ISBLANK('2025'!$P130), 0, 1), 3, if(ISBLANK('2025'!$Q130), 0, 1), 4, if(ISBLANK('2025'!$R130), 0, 1), 5, if(ISBLANK('2025'!$S130), 0, 1), 6, if(ISBLANK('2025'!$T130), 0, 1), 7, 0))), 1, "")</f>
        <v/>
      </c>
      <c r="G132" s="1" t="str">
        <f>IF(AND(AND(AND(G$4&gt;='2025'!$L130,G$4&lt;='2025'!$M130), G$4&lt;&gt;DATE(2025,7,4)), (SWITCH(weekday(G$4), 1, 0, 2, if(ISBLANK('2025'!$P130), 0, 1), 3, if(ISBLANK('2025'!$Q130), 0, 1), 4, if(ISBLANK('2025'!$R130), 0, 1), 5, if(ISBLANK('2025'!$S130), 0, 1), 6, if(ISBLANK('2025'!$T130), 0, 1), 7, 0))), 1, "")</f>
        <v/>
      </c>
      <c r="H132" s="1" t="str">
        <f>IF(AND(AND(AND(H$4&gt;='2025'!$L130,H$4&lt;='2025'!$M130), H$4&lt;&gt;DATE(2025,7,4)), (SWITCH(weekday(H$4), 1, 0, 2, if(ISBLANK('2025'!$P130), 0, 1), 3, if(ISBLANK('2025'!$Q130), 0, 1), 4, if(ISBLANK('2025'!$R130), 0, 1), 5, if(ISBLANK('2025'!$S130), 0, 1), 6, if(ISBLANK('2025'!$T130), 0, 1), 7, 0))), 1, "")</f>
        <v/>
      </c>
      <c r="I132" s="1" t="str">
        <f>IF(AND(AND(AND(I$4&gt;='2025'!$L130,I$4&lt;='2025'!$M130), I$4&lt;&gt;DATE(2025,7,4)), (SWITCH(weekday(I$4), 1, 0, 2, if(ISBLANK('2025'!$P130), 0, 1), 3, if(ISBLANK('2025'!$Q130), 0, 1), 4, if(ISBLANK('2025'!$R130), 0, 1), 5, if(ISBLANK('2025'!$S130), 0, 1), 6, if(ISBLANK('2025'!$T130), 0, 1), 7, 0))), 1, "")</f>
        <v/>
      </c>
      <c r="J132" s="1" t="str">
        <f>IF(AND(AND(AND(J$4&gt;='2025'!$L130,J$4&lt;='2025'!$M130), J$4&lt;&gt;DATE(2025,7,4)), (SWITCH(weekday(J$4), 1, 0, 2, if(ISBLANK('2025'!$P130), 0, 1), 3, if(ISBLANK('2025'!$Q130), 0, 1), 4, if(ISBLANK('2025'!$R130), 0, 1), 5, if(ISBLANK('2025'!$S130), 0, 1), 6, if(ISBLANK('2025'!$T130), 0, 1), 7, 0))), 1, "")</f>
        <v/>
      </c>
      <c r="K132" s="1" t="str">
        <f>IF(AND(AND(AND(K$4&gt;='2025'!$L130,K$4&lt;='2025'!$M130), K$4&lt;&gt;DATE(2025,7,4)), (SWITCH(weekday(K$4), 1, 0, 2, if(ISBLANK('2025'!$P130), 0, 1), 3, if(ISBLANK('2025'!$Q130), 0, 1), 4, if(ISBLANK('2025'!$R130), 0, 1), 5, if(ISBLANK('2025'!$S130), 0, 1), 6, if(ISBLANK('2025'!$T130), 0, 1), 7, 0))), 1, "")</f>
        <v/>
      </c>
      <c r="L132" s="1" t="str">
        <f>IF(AND(AND(AND(L$4&gt;='2025'!$L130,L$4&lt;='2025'!$M130), L$4&lt;&gt;DATE(2025,7,4)), (SWITCH(weekday(L$4), 1, 0, 2, if(ISBLANK('2025'!$P130), 0, 1), 3, if(ISBLANK('2025'!$Q130), 0, 1), 4, if(ISBLANK('2025'!$R130), 0, 1), 5, if(ISBLANK('2025'!$S130), 0, 1), 6, if(ISBLANK('2025'!$T130), 0, 1), 7, 0))), 1, "")</f>
        <v/>
      </c>
      <c r="M132" s="1" t="str">
        <f>IF(AND(AND(AND(M$4&gt;='2025'!$L130,M$4&lt;='2025'!$M130), M$4&lt;&gt;DATE(2025,7,4)), (SWITCH(weekday(M$4), 1, 0, 2, if(ISBLANK('2025'!$P130), 0, 1), 3, if(ISBLANK('2025'!$Q130), 0, 1), 4, if(ISBLANK('2025'!$R130), 0, 1), 5, if(ISBLANK('2025'!$S130), 0, 1), 6, if(ISBLANK('2025'!$T130), 0, 1), 7, 0))), 1, "")</f>
        <v/>
      </c>
      <c r="N132" s="1" t="str">
        <f>IF(AND(AND(AND(N$4&gt;='2025'!$L130,N$4&lt;='2025'!$M130), N$4&lt;&gt;DATE(2025,7,4)), (SWITCH(weekday(N$4), 1, 0, 2, if(ISBLANK('2025'!$P130), 0, 1), 3, if(ISBLANK('2025'!$Q130), 0, 1), 4, if(ISBLANK('2025'!$R130), 0, 1), 5, if(ISBLANK('2025'!$S130), 0, 1), 6, if(ISBLANK('2025'!$T130), 0, 1), 7, 0))), 1, "")</f>
        <v/>
      </c>
      <c r="O132" s="1" t="str">
        <f>IF(AND(AND(AND(O$4&gt;='2025'!$L130,O$4&lt;='2025'!$M130), O$4&lt;&gt;DATE(2025,7,4)), (SWITCH(weekday(O$4), 1, 0, 2, if(ISBLANK('2025'!$P130), 0, 1), 3, if(ISBLANK('2025'!$Q130), 0, 1), 4, if(ISBLANK('2025'!$R130), 0, 1), 5, if(ISBLANK('2025'!$S130), 0, 1), 6, if(ISBLANK('2025'!$T130), 0, 1), 7, 0))), 1, "")</f>
        <v/>
      </c>
      <c r="P132" s="1" t="str">
        <f>IF(AND(AND(AND(P$4&gt;='2025'!$L130,P$4&lt;='2025'!$M130), P$4&lt;&gt;DATE(2025,7,4)), (SWITCH(weekday(P$4), 1, 0, 2, if(ISBLANK('2025'!$P130), 0, 1), 3, if(ISBLANK('2025'!$Q130), 0, 1), 4, if(ISBLANK('2025'!$R130), 0, 1), 5, if(ISBLANK('2025'!$S130), 0, 1), 6, if(ISBLANK('2025'!$T130), 0, 1), 7, 0))), 1, "")</f>
        <v/>
      </c>
      <c r="Q132" s="1" t="str">
        <f>IF(AND(AND(AND(Q$4&gt;='2025'!$L130,Q$4&lt;='2025'!$M130), Q$4&lt;&gt;DATE(2025,7,4)), (SWITCH(weekday(Q$4), 1, 0, 2, if(ISBLANK('2025'!$P130), 0, 1), 3, if(ISBLANK('2025'!$Q130), 0, 1), 4, if(ISBLANK('2025'!$R130), 0, 1), 5, if(ISBLANK('2025'!$S130), 0, 1), 6, if(ISBLANK('2025'!$T130), 0, 1), 7, 0))), 1, "")</f>
        <v/>
      </c>
      <c r="R132" s="1" t="str">
        <f>IF(AND(AND(AND(R$4&gt;='2025'!$L130,R$4&lt;='2025'!$M130), R$4&lt;&gt;DATE(2025,7,4)), (SWITCH(weekday(R$4), 1, 0, 2, if(ISBLANK('2025'!$P130), 0, 1), 3, if(ISBLANK('2025'!$Q130), 0, 1), 4, if(ISBLANK('2025'!$R130), 0, 1), 5, if(ISBLANK('2025'!$S130), 0, 1), 6, if(ISBLANK('2025'!$T130), 0, 1), 7, 0))), 1, "")</f>
        <v/>
      </c>
      <c r="S132" s="1" t="str">
        <f>IF(AND(AND(AND(S$4&gt;='2025'!$L130,S$4&lt;='2025'!$M130), S$4&lt;&gt;DATE(2025,7,4)), (SWITCH(weekday(S$4), 1, 0, 2, if(ISBLANK('2025'!$P130), 0, 1), 3, if(ISBLANK('2025'!$Q130), 0, 1), 4, if(ISBLANK('2025'!$R130), 0, 1), 5, if(ISBLANK('2025'!$S130), 0, 1), 6, if(ISBLANK('2025'!$T130), 0, 1), 7, 0))), 1, "")</f>
        <v/>
      </c>
      <c r="T132" s="1" t="str">
        <f>IF(AND(AND(AND(T$4&gt;='2025'!$L130,T$4&lt;='2025'!$M130), T$4&lt;&gt;DATE(2025,7,4)), (SWITCH(weekday(T$4), 1, 0, 2, if(ISBLANK('2025'!$P130), 0, 1), 3, if(ISBLANK('2025'!$Q130), 0, 1), 4, if(ISBLANK('2025'!$R130), 0, 1), 5, if(ISBLANK('2025'!$S130), 0, 1), 6, if(ISBLANK('2025'!$T130), 0, 1), 7, 0))), 1, "")</f>
        <v/>
      </c>
      <c r="U132" s="1" t="str">
        <f>IF(AND(AND(AND(U$4&gt;='2025'!$L130,U$4&lt;='2025'!$M130), U$4&lt;&gt;DATE(2025,7,4)), (SWITCH(weekday(U$4), 1, 0, 2, if(ISBLANK('2025'!$P130), 0, 1), 3, if(ISBLANK('2025'!$Q130), 0, 1), 4, if(ISBLANK('2025'!$R130), 0, 1), 5, if(ISBLANK('2025'!$S130), 0, 1), 6, if(ISBLANK('2025'!$T130), 0, 1), 7, 0))), 1, "")</f>
        <v/>
      </c>
      <c r="V132" s="1" t="str">
        <f>IF(AND(AND(AND(V$4&gt;='2025'!$L130,V$4&lt;='2025'!$M130), V$4&lt;&gt;DATE(2025,7,4)), (SWITCH(weekday(V$4), 1, 0, 2, if(ISBLANK('2025'!$P130), 0, 1), 3, if(ISBLANK('2025'!$Q130), 0, 1), 4, if(ISBLANK('2025'!$R130), 0, 1), 5, if(ISBLANK('2025'!$S130), 0, 1), 6, if(ISBLANK('2025'!$T130), 0, 1), 7, 0))), 1, "")</f>
        <v/>
      </c>
      <c r="W132" s="1" t="str">
        <f>IF(AND(AND(AND(W$4&gt;='2025'!$L130,W$4&lt;='2025'!$M130), W$4&lt;&gt;DATE(2025,7,4)), (SWITCH(weekday(W$4), 1, 0, 2, if(ISBLANK('2025'!$P130), 0, 1), 3, if(ISBLANK('2025'!$Q130), 0, 1), 4, if(ISBLANK('2025'!$R130), 0, 1), 5, if(ISBLANK('2025'!$S130), 0, 1), 6, if(ISBLANK('2025'!$T130), 0, 1), 7, 0))), 1, "")</f>
        <v/>
      </c>
      <c r="X132" s="1" t="str">
        <f>IF(AND(AND(AND(X$4&gt;='2025'!$L130,X$4&lt;='2025'!$M130), X$4&lt;&gt;DATE(2025,7,4)), (SWITCH(weekday(X$4), 1, 0, 2, if(ISBLANK('2025'!$P130), 0, 1), 3, if(ISBLANK('2025'!$Q130), 0, 1), 4, if(ISBLANK('2025'!$R130), 0, 1), 5, if(ISBLANK('2025'!$S130), 0, 1), 6, if(ISBLANK('2025'!$T130), 0, 1), 7, 0))), 1, "")</f>
        <v/>
      </c>
      <c r="Y132" s="1" t="str">
        <f>IF(AND(AND(AND(Y$4&gt;='2025'!$L130,Y$4&lt;='2025'!$M130), Y$4&lt;&gt;DATE(2025,7,4)), (SWITCH(weekday(Y$4), 1, 0, 2, if(ISBLANK('2025'!$P130), 0, 1), 3, if(ISBLANK('2025'!$Q130), 0, 1), 4, if(ISBLANK('2025'!$R130), 0, 1), 5, if(ISBLANK('2025'!$S130), 0, 1), 6, if(ISBLANK('2025'!$T130), 0, 1), 7, 0))), 1, "")</f>
        <v/>
      </c>
      <c r="Z132" s="1" t="str">
        <f>IF(AND(AND(AND(Z$4&gt;='2025'!$L130,Z$4&lt;='2025'!$M130), Z$4&lt;&gt;DATE(2025,7,4)), (SWITCH(weekday(Z$4), 1, 0, 2, if(ISBLANK('2025'!$P130), 0, 1), 3, if(ISBLANK('2025'!$Q130), 0, 1), 4, if(ISBLANK('2025'!$R130), 0, 1), 5, if(ISBLANK('2025'!$S130), 0, 1), 6, if(ISBLANK('2025'!$T130), 0, 1), 7, 0))), 1, "")</f>
        <v/>
      </c>
      <c r="AA132" s="1" t="str">
        <f>IF(AND(AND(AND(AA$4&gt;='2025'!$L130,AA$4&lt;='2025'!$M130), AA$4&lt;&gt;DATE(2025,7,4)), (SWITCH(weekday(AA$4), 1, 0, 2, if(ISBLANK('2025'!$P130), 0, 1), 3, if(ISBLANK('2025'!$Q130), 0, 1), 4, if(ISBLANK('2025'!$R130), 0, 1), 5, if(ISBLANK('2025'!$S130), 0, 1), 6, if(ISBLANK('2025'!$T130), 0, 1), 7, 0))), 1, "")</f>
        <v/>
      </c>
      <c r="AB132" s="1" t="str">
        <f>IF(AND(AND(AND(AB$4&gt;='2025'!$L130,AB$4&lt;='2025'!$M130), AB$4&lt;&gt;DATE(2025,7,4)), (SWITCH(weekday(AB$4), 1, 0, 2, if(ISBLANK('2025'!$P130), 0, 1), 3, if(ISBLANK('2025'!$Q130), 0, 1), 4, if(ISBLANK('2025'!$R130), 0, 1), 5, if(ISBLANK('2025'!$S130), 0, 1), 6, if(ISBLANK('2025'!$T130), 0, 1), 7, 0))), 1, "")</f>
        <v/>
      </c>
      <c r="AC132" s="1" t="str">
        <f>IF(AND(AND(AND(AC$4&gt;='2025'!$L130,AC$4&lt;='2025'!$M130), AC$4&lt;&gt;DATE(2025,7,4)), (SWITCH(weekday(AC$4), 1, 0, 2, if(ISBLANK('2025'!$P130), 0, 1), 3, if(ISBLANK('2025'!$Q130), 0, 1), 4, if(ISBLANK('2025'!$R130), 0, 1), 5, if(ISBLANK('2025'!$S130), 0, 1), 6, if(ISBLANK('2025'!$T130), 0, 1), 7, 0))), 1, "")</f>
        <v/>
      </c>
      <c r="AD132" s="1" t="str">
        <f>IF(AND(AND(AND(AD$4&gt;='2025'!$L130,AD$4&lt;='2025'!$M130), AD$4&lt;&gt;DATE(2025,7,4)), (SWITCH(weekday(AD$4), 1, 0, 2, if(ISBLANK('2025'!$P130), 0, 1), 3, if(ISBLANK('2025'!$Q130), 0, 1), 4, if(ISBLANK('2025'!$R130), 0, 1), 5, if(ISBLANK('2025'!$S130), 0, 1), 6, if(ISBLANK('2025'!$T130), 0, 1), 7, 0))), 1, "")</f>
        <v/>
      </c>
      <c r="AE132" s="1" t="str">
        <f>IF(AND(AND(AND(AE$4&gt;='2025'!$L130,AE$4&lt;='2025'!$M130), AE$4&lt;&gt;DATE(2025,7,4)), (SWITCH(weekday(AE$4), 1, 0, 2, if(ISBLANK('2025'!$P130), 0, 1), 3, if(ISBLANK('2025'!$Q130), 0, 1), 4, if(ISBLANK('2025'!$R130), 0, 1), 5, if(ISBLANK('2025'!$S130), 0, 1), 6, if(ISBLANK('2025'!$T130), 0, 1), 7, 0))), 1, "")</f>
        <v/>
      </c>
      <c r="AF132" s="1" t="str">
        <f>IF(AND(AND(AND(AF$4&gt;='2025'!$L130,AF$4&lt;='2025'!$M130), AF$4&lt;&gt;DATE(2025,7,4)), (SWITCH(weekday(AF$4), 1, 0, 2, if(ISBLANK('2025'!$P130), 0, 1), 3, if(ISBLANK('2025'!$Q130), 0, 1), 4, if(ISBLANK('2025'!$R130), 0, 1), 5, if(ISBLANK('2025'!$S130), 0, 1), 6, if(ISBLANK('2025'!$T130), 0, 1), 7, 0))), 1, "")</f>
        <v/>
      </c>
      <c r="AG132" s="1" t="str">
        <f>IF(AND(AND(AND(AG$4&gt;='2025'!$L130,AG$4&lt;='2025'!$M130), AG$4&lt;&gt;DATE(2025,7,4)), (SWITCH(weekday(AG$4), 1, 0, 2, if(ISBLANK('2025'!$P130), 0, 1), 3, if(ISBLANK('2025'!$Q130), 0, 1), 4, if(ISBLANK('2025'!$R130), 0, 1), 5, if(ISBLANK('2025'!$S130), 0, 1), 6, if(ISBLANK('2025'!$T130), 0, 1), 7, 0))), 1, "")</f>
        <v/>
      </c>
      <c r="AH132" s="1" t="str">
        <f>IF(AND(AND(AND(AH$4&gt;='2025'!$L130,AH$4&lt;='2025'!$M130), AH$4&lt;&gt;DATE(2025,7,4)), (SWITCH(weekday(AH$4), 1, 0, 2, if(ISBLANK('2025'!$P130), 0, 1), 3, if(ISBLANK('2025'!$Q130), 0, 1), 4, if(ISBLANK('2025'!$R130), 0, 1), 5, if(ISBLANK('2025'!$S130), 0, 1), 6, if(ISBLANK('2025'!$T130), 0, 1), 7, 0))), 1, "")</f>
        <v/>
      </c>
      <c r="AI132" s="1" t="str">
        <f>IF(AND(AND(AND(AI$4&gt;='2025'!$L130,AI$4&lt;='2025'!$M130), AI$4&lt;&gt;DATE(2025,7,4)), (SWITCH(weekday(AI$4), 1, 0, 2, if(ISBLANK('2025'!$P130), 0, 1), 3, if(ISBLANK('2025'!$Q130), 0, 1), 4, if(ISBLANK('2025'!$R130), 0, 1), 5, if(ISBLANK('2025'!$S130), 0, 1), 6, if(ISBLANK('2025'!$T130), 0, 1), 7, 0))), 1, "")</f>
        <v/>
      </c>
      <c r="AJ132" s="1" t="str">
        <f>IF(AND(AND(AND(AJ$4&gt;='2025'!$L130,AJ$4&lt;='2025'!$M130), AJ$4&lt;&gt;DATE(2025,7,4)), (SWITCH(weekday(AJ$4), 1, 0, 2, if(ISBLANK('2025'!$P130), 0, 1), 3, if(ISBLANK('2025'!$Q130), 0, 1), 4, if(ISBLANK('2025'!$R130), 0, 1), 5, if(ISBLANK('2025'!$S130), 0, 1), 6, if(ISBLANK('2025'!$T130), 0, 1), 7, 0))), 1, "")</f>
        <v/>
      </c>
      <c r="AK132" s="1" t="str">
        <f>IF(AND(AND(AND(AK$4&gt;='2025'!$L130,AK$4&lt;='2025'!$M130), AK$4&lt;&gt;DATE(2025,7,4)), (SWITCH(weekday(AK$4), 1, 0, 2, if(ISBLANK('2025'!$P130), 0, 1), 3, if(ISBLANK('2025'!$Q130), 0, 1), 4, if(ISBLANK('2025'!$R130), 0, 1), 5, if(ISBLANK('2025'!$S130), 0, 1), 6, if(ISBLANK('2025'!$T130), 0, 1), 7, 0))), 1, "")</f>
        <v/>
      </c>
      <c r="AL132" s="1" t="str">
        <f>IF(AND(AND(AND(AL$4&gt;='2025'!$L130,AL$4&lt;='2025'!$M130), AL$4&lt;&gt;DATE(2025,7,4)), (SWITCH(weekday(AL$4), 1, 0, 2, if(ISBLANK('2025'!$P130), 0, 1), 3, if(ISBLANK('2025'!$Q130), 0, 1), 4, if(ISBLANK('2025'!$R130), 0, 1), 5, if(ISBLANK('2025'!$S130), 0, 1), 6, if(ISBLANK('2025'!$T130), 0, 1), 7, 0))), 1, "")</f>
        <v/>
      </c>
      <c r="AM132" s="1" t="str">
        <f>IF(AND(AND(AND(AM$4&gt;='2025'!$L130,AM$4&lt;='2025'!$M130), AM$4&lt;&gt;DATE(2025,7,4)), (SWITCH(weekday(AM$4), 1, 0, 2, if(ISBLANK('2025'!$P130), 0, 1), 3, if(ISBLANK('2025'!$Q130), 0, 1), 4, if(ISBLANK('2025'!$R130), 0, 1), 5, if(ISBLANK('2025'!$S130), 0, 1), 6, if(ISBLANK('2025'!$T130), 0, 1), 7, 0))), 1, "")</f>
        <v/>
      </c>
      <c r="AN132" s="1" t="str">
        <f>IF(AND(AND(AND(AN$4&gt;='2025'!$L130,AN$4&lt;='2025'!$M130), AN$4&lt;&gt;DATE(2025,7,4)), (SWITCH(weekday(AN$4), 1, 0, 2, if(ISBLANK('2025'!$P130), 0, 1), 3, if(ISBLANK('2025'!$Q130), 0, 1), 4, if(ISBLANK('2025'!$R130), 0, 1), 5, if(ISBLANK('2025'!$S130), 0, 1), 6, if(ISBLANK('2025'!$T130), 0, 1), 7, 0))), 1, "")</f>
        <v/>
      </c>
      <c r="AO132" s="1" t="str">
        <f>IF(AND(AND(AND(AO$4&gt;='2025'!$L130,AO$4&lt;='2025'!$M130), AO$4&lt;&gt;DATE(2025,7,4)), (SWITCH(weekday(AO$4), 1, 0, 2, if(ISBLANK('2025'!$P130), 0, 1), 3, if(ISBLANK('2025'!$Q130), 0, 1), 4, if(ISBLANK('2025'!$R130), 0, 1), 5, if(ISBLANK('2025'!$S130), 0, 1), 6, if(ISBLANK('2025'!$T130), 0, 1), 7, 0))), 1, "")</f>
        <v/>
      </c>
      <c r="AP132" s="1" t="str">
        <f>IF(AND(AND(AND(AP$4&gt;='2025'!$L130,AP$4&lt;='2025'!$M130), AP$4&lt;&gt;DATE(2025,7,4)), (SWITCH(weekday(AP$4), 1, 0, 2, if(ISBLANK('2025'!$P130), 0, 1), 3, if(ISBLANK('2025'!$Q130), 0, 1), 4, if(ISBLANK('2025'!$R130), 0, 1), 5, if(ISBLANK('2025'!$S130), 0, 1), 6, if(ISBLANK('2025'!$T130), 0, 1), 7, 0))), 1, "")</f>
        <v/>
      </c>
      <c r="AQ132" s="1" t="str">
        <f>IF(AND(AND(AND(AQ$4&gt;='2025'!$L130,AQ$4&lt;='2025'!$M130), AQ$4&lt;&gt;DATE(2025,7,4)), (SWITCH(weekday(AQ$4), 1, 0, 2, if(ISBLANK('2025'!$P130), 0, 1), 3, if(ISBLANK('2025'!$Q130), 0, 1), 4, if(ISBLANK('2025'!$R130), 0, 1), 5, if(ISBLANK('2025'!$S130), 0, 1), 6, if(ISBLANK('2025'!$T130), 0, 1), 7, 0))), 1, "")</f>
        <v/>
      </c>
      <c r="AR132" s="1" t="str">
        <f>IF(AND(AND(AND(AR$4&gt;='2025'!$L130,AR$4&lt;='2025'!$M130), AR$4&lt;&gt;DATE(2025,7,4)), (SWITCH(weekday(AR$4), 1, 0, 2, if(ISBLANK('2025'!$P130), 0, 1), 3, if(ISBLANK('2025'!$Q130), 0, 1), 4, if(ISBLANK('2025'!$R130), 0, 1), 5, if(ISBLANK('2025'!$S130), 0, 1), 6, if(ISBLANK('2025'!$T130), 0, 1), 7, 0))), 1, "")</f>
        <v/>
      </c>
      <c r="AS132" s="1" t="str">
        <f>IF(AND(AND(AND(AS$4&gt;='2025'!$L130,AS$4&lt;='2025'!$M130), AS$4&lt;&gt;DATE(2025,7,4)), (SWITCH(weekday(AS$4), 1, 0, 2, if(ISBLANK('2025'!$P130), 0, 1), 3, if(ISBLANK('2025'!$Q130), 0, 1), 4, if(ISBLANK('2025'!$R130), 0, 1), 5, if(ISBLANK('2025'!$S130), 0, 1), 6, if(ISBLANK('2025'!$T130), 0, 1), 7, 0))), 1, "")</f>
        <v/>
      </c>
      <c r="AT132" s="1" t="str">
        <f>IF(AND(AND(AND(AT$4&gt;='2025'!$L130,AT$4&lt;='2025'!$M130), AT$4&lt;&gt;DATE(2025,7,4)), (SWITCH(weekday(AT$4), 1, 0, 2, if(ISBLANK('2025'!$P130), 0, 1), 3, if(ISBLANK('2025'!$Q130), 0, 1), 4, if(ISBLANK('2025'!$R130), 0, 1), 5, if(ISBLANK('2025'!$S130), 0, 1), 6, if(ISBLANK('2025'!$T130), 0, 1), 7, 0))), 1, "")</f>
        <v/>
      </c>
      <c r="AU132" s="1" t="str">
        <f>IF(AND(AND(AND(AU$4&gt;='2025'!$L130,AU$4&lt;='2025'!$M130), AU$4&lt;&gt;DATE(2025,7,4)), (SWITCH(weekday(AU$4), 1, 0, 2, if(ISBLANK('2025'!$P130), 0, 1), 3, if(ISBLANK('2025'!$Q130), 0, 1), 4, if(ISBLANK('2025'!$R130), 0, 1), 5, if(ISBLANK('2025'!$S130), 0, 1), 6, if(ISBLANK('2025'!$T130), 0, 1), 7, 0))), 1, "")</f>
        <v/>
      </c>
      <c r="AV132" s="1" t="str">
        <f>IF(AND(AND(AND(AV$4&gt;='2025'!$L130,AV$4&lt;='2025'!$M130), AV$4&lt;&gt;DATE(2025,7,4)), (SWITCH(weekday(AV$4), 1, 0, 2, if(ISBLANK('2025'!$P130), 0, 1), 3, if(ISBLANK('2025'!$Q130), 0, 1), 4, if(ISBLANK('2025'!$R130), 0, 1), 5, if(ISBLANK('2025'!$S130), 0, 1), 6, if(ISBLANK('2025'!$T130), 0, 1), 7, 0))), 1, "")</f>
        <v/>
      </c>
      <c r="AW132" s="1" t="str">
        <f>IF(AND(AND(AND(AW$4&gt;='2025'!$L130,AW$4&lt;='2025'!$M130), AW$4&lt;&gt;DATE(2025,7,4)), (SWITCH(weekday(AW$4), 1, 0, 2, if(ISBLANK('2025'!$P130), 0, 1), 3, if(ISBLANK('2025'!$Q130), 0, 1), 4, if(ISBLANK('2025'!$R130), 0, 1), 5, if(ISBLANK('2025'!$S130), 0, 1), 6, if(ISBLANK('2025'!$T130), 0, 1), 7, 0))), 1, "")</f>
        <v/>
      </c>
      <c r="AX132" s="1" t="str">
        <f>IF(AND(AND(AND(AX$4&gt;='2025'!$L130,AX$4&lt;='2025'!$M130), AX$4&lt;&gt;DATE(2025,7,4)), (SWITCH(weekday(AX$4), 1, 0, 2, if(ISBLANK('2025'!$P130), 0, 1), 3, if(ISBLANK('2025'!$Q130), 0, 1), 4, if(ISBLANK('2025'!$R130), 0, 1), 5, if(ISBLANK('2025'!$S130), 0, 1), 6, if(ISBLANK('2025'!$T130), 0, 1), 7, 0))), 1, "")</f>
        <v/>
      </c>
      <c r="AY132" s="1" t="str">
        <f>IF(AND(AND(AND(AY$4&gt;='2025'!$L130,AY$4&lt;='2025'!$M130), AY$4&lt;&gt;DATE(2025,7,4)), (SWITCH(weekday(AY$4), 1, 0, 2, if(ISBLANK('2025'!$P130), 0, 1), 3, if(ISBLANK('2025'!$Q130), 0, 1), 4, if(ISBLANK('2025'!$R130), 0, 1), 5, if(ISBLANK('2025'!$S130), 0, 1), 6, if(ISBLANK('2025'!$T130), 0, 1), 7, 0))), 1, "")</f>
        <v/>
      </c>
      <c r="AZ132" s="1" t="str">
        <f>IF(AND(AND(AND(AZ$4&gt;='2025'!$L130,AZ$4&lt;='2025'!$M130), AZ$4&lt;&gt;DATE(2025,7,4)), (SWITCH(weekday(AZ$4), 1, 0, 2, if(ISBLANK('2025'!$P130), 0, 1), 3, if(ISBLANK('2025'!$Q130), 0, 1), 4, if(ISBLANK('2025'!$R130), 0, 1), 5, if(ISBLANK('2025'!$S130), 0, 1), 6, if(ISBLANK('2025'!$T130), 0, 1), 7, 0))), 1, "")</f>
        <v/>
      </c>
      <c r="BA132" s="1" t="str">
        <f>IF(AND(AND(AND(BA$4&gt;='2025'!$L130,BA$4&lt;='2025'!$M130), BA$4&lt;&gt;DATE(2025,7,4)), (SWITCH(weekday(BA$4), 1, 0, 2, if(ISBLANK('2025'!$P130), 0, 1), 3, if(ISBLANK('2025'!$Q130), 0, 1), 4, if(ISBLANK('2025'!$R130), 0, 1), 5, if(ISBLANK('2025'!$S130), 0, 1), 6, if(ISBLANK('2025'!$T130), 0, 1), 7, 0))), 1, "")</f>
        <v/>
      </c>
      <c r="BB132" s="1" t="str">
        <f>IF(AND(AND(AND(BB$4&gt;='2025'!$L130,BB$4&lt;='2025'!$M130), BB$4&lt;&gt;DATE(2025,7,4)), (SWITCH(weekday(BB$4), 1, 0, 2, if(ISBLANK('2025'!$P130), 0, 1), 3, if(ISBLANK('2025'!$Q130), 0, 1), 4, if(ISBLANK('2025'!$R130), 0, 1), 5, if(ISBLANK('2025'!$S130), 0, 1), 6, if(ISBLANK('2025'!$T130), 0, 1), 7, 0))), 1, "")</f>
        <v/>
      </c>
      <c r="BC132" s="1" t="str">
        <f>IF(AND(AND(AND(BC$4&gt;='2025'!$L130,BC$4&lt;='2025'!$M130), BC$4&lt;&gt;DATE(2025,7,4)), (SWITCH(weekday(BC$4), 1, 0, 2, if(ISBLANK('2025'!$P130), 0, 1), 3, if(ISBLANK('2025'!$Q130), 0, 1), 4, if(ISBLANK('2025'!$R130), 0, 1), 5, if(ISBLANK('2025'!$S130), 0, 1), 6, if(ISBLANK('2025'!$T130), 0, 1), 7, 0))), 1, "")</f>
        <v/>
      </c>
      <c r="BD132" s="1" t="str">
        <f>IF(AND(AND(AND(BD$4&gt;='2025'!$L130,BD$4&lt;='2025'!$M130), BD$4&lt;&gt;DATE(2025,7,4)), (SWITCH(weekday(BD$4), 1, 0, 2, if(ISBLANK('2025'!$P130), 0, 1), 3, if(ISBLANK('2025'!$Q130), 0, 1), 4, if(ISBLANK('2025'!$R130), 0, 1), 5, if(ISBLANK('2025'!$S130), 0, 1), 6, if(ISBLANK('2025'!$T130), 0, 1), 7, 0))), 1, "")</f>
        <v/>
      </c>
      <c r="BE132" s="1" t="str">
        <f>IF(AND(AND(AND(BE$4&gt;='2025'!$L130,BE$4&lt;='2025'!$M130), BE$4&lt;&gt;DATE(2025,7,4)), (SWITCH(weekday(BE$4), 1, 0, 2, if(ISBLANK('2025'!$P130), 0, 1), 3, if(ISBLANK('2025'!$Q130), 0, 1), 4, if(ISBLANK('2025'!$R130), 0, 1), 5, if(ISBLANK('2025'!$S130), 0, 1), 6, if(ISBLANK('2025'!$T130), 0, 1), 7, 0))), 1, "")</f>
        <v/>
      </c>
      <c r="BF132" s="1" t="str">
        <f>IF(AND(AND(AND(BF$4&gt;='2025'!$L130,BF$4&lt;='2025'!$M130), BF$4&lt;&gt;DATE(2025,7,4)), (SWITCH(weekday(BF$4), 1, 0, 2, if(ISBLANK('2025'!$P130), 0, 1), 3, if(ISBLANK('2025'!$Q130), 0, 1), 4, if(ISBLANK('2025'!$R130), 0, 1), 5, if(ISBLANK('2025'!$S130), 0, 1), 6, if(ISBLANK('2025'!$T130), 0, 1), 7, 0))), 1, "")</f>
        <v/>
      </c>
      <c r="BG132" s="1"/>
      <c r="BH132" s="1"/>
      <c r="BI132" s="1"/>
      <c r="BJ132" s="1"/>
      <c r="BK132" s="1"/>
      <c r="BL132" s="1"/>
    </row>
    <row r="133">
      <c r="A133" s="1">
        <f t="shared" si="3"/>
        <v>133</v>
      </c>
      <c r="B133" s="1" t="str">
        <f>'2025'!D97</f>
        <v>, </v>
      </c>
      <c r="C133" s="1" t="str">
        <f>'2025'!H97</f>
        <v/>
      </c>
      <c r="D133" s="1" t="str">
        <f>IF(AND(AND(AND(D$4&gt;='2025'!$L131,D$4&lt;='2025'!$M131), D$4&lt;&gt;DATE(2025,7,4)), (SWITCH(weekday(D$4), 1, 0, 2, if(ISBLANK('2025'!$P131), 0, 1), 3, if(ISBLANK('2025'!$Q131), 0, 1), 4, if(ISBLANK('2025'!$R131), 0, 1), 5, if(ISBLANK('2025'!$S131), 0, 1), 6, if(ISBLANK('2025'!$T131), 0, 1), 7, 0))), 1, "")</f>
        <v/>
      </c>
      <c r="E133" s="1" t="str">
        <f>IF(AND(AND(AND(E$4&gt;='2025'!$L131,E$4&lt;='2025'!$M131), E$4&lt;&gt;DATE(2025,7,4)), (SWITCH(weekday(E$4), 1, 0, 2, if(ISBLANK('2025'!$P131), 0, 1), 3, if(ISBLANK('2025'!$Q131), 0, 1), 4, if(ISBLANK('2025'!$R131), 0, 1), 5, if(ISBLANK('2025'!$S131), 0, 1), 6, if(ISBLANK('2025'!$T131), 0, 1), 7, 0))), 1, "")</f>
        <v/>
      </c>
      <c r="F133" s="1" t="str">
        <f>IF(AND(AND(AND(F$4&gt;='2025'!$L131,F$4&lt;='2025'!$M131), F$4&lt;&gt;DATE(2025,7,4)), (SWITCH(weekday(F$4), 1, 0, 2, if(ISBLANK('2025'!$P131), 0, 1), 3, if(ISBLANK('2025'!$Q131), 0, 1), 4, if(ISBLANK('2025'!$R131), 0, 1), 5, if(ISBLANK('2025'!$S131), 0, 1), 6, if(ISBLANK('2025'!$T131), 0, 1), 7, 0))), 1, "")</f>
        <v/>
      </c>
      <c r="G133" s="1" t="str">
        <f>IF(AND(AND(AND(G$4&gt;='2025'!$L131,G$4&lt;='2025'!$M131), G$4&lt;&gt;DATE(2025,7,4)), (SWITCH(weekday(G$4), 1, 0, 2, if(ISBLANK('2025'!$P131), 0, 1), 3, if(ISBLANK('2025'!$Q131), 0, 1), 4, if(ISBLANK('2025'!$R131), 0, 1), 5, if(ISBLANK('2025'!$S131), 0, 1), 6, if(ISBLANK('2025'!$T131), 0, 1), 7, 0))), 1, "")</f>
        <v/>
      </c>
      <c r="H133" s="1" t="str">
        <f>IF(AND(AND(AND(H$4&gt;='2025'!$L131,H$4&lt;='2025'!$M131), H$4&lt;&gt;DATE(2025,7,4)), (SWITCH(weekday(H$4), 1, 0, 2, if(ISBLANK('2025'!$P131), 0, 1), 3, if(ISBLANK('2025'!$Q131), 0, 1), 4, if(ISBLANK('2025'!$R131), 0, 1), 5, if(ISBLANK('2025'!$S131), 0, 1), 6, if(ISBLANK('2025'!$T131), 0, 1), 7, 0))), 1, "")</f>
        <v/>
      </c>
      <c r="I133" s="1" t="str">
        <f>IF(AND(AND(AND(I$4&gt;='2025'!$L131,I$4&lt;='2025'!$M131), I$4&lt;&gt;DATE(2025,7,4)), (SWITCH(weekday(I$4), 1, 0, 2, if(ISBLANK('2025'!$P131), 0, 1), 3, if(ISBLANK('2025'!$Q131), 0, 1), 4, if(ISBLANK('2025'!$R131), 0, 1), 5, if(ISBLANK('2025'!$S131), 0, 1), 6, if(ISBLANK('2025'!$T131), 0, 1), 7, 0))), 1, "")</f>
        <v/>
      </c>
      <c r="J133" s="1" t="str">
        <f>IF(AND(AND(AND(J$4&gt;='2025'!$L131,J$4&lt;='2025'!$M131), J$4&lt;&gt;DATE(2025,7,4)), (SWITCH(weekday(J$4), 1, 0, 2, if(ISBLANK('2025'!$P131), 0, 1), 3, if(ISBLANK('2025'!$Q131), 0, 1), 4, if(ISBLANK('2025'!$R131), 0, 1), 5, if(ISBLANK('2025'!$S131), 0, 1), 6, if(ISBLANK('2025'!$T131), 0, 1), 7, 0))), 1, "")</f>
        <v/>
      </c>
      <c r="K133" s="1" t="str">
        <f>IF(AND(AND(AND(K$4&gt;='2025'!$L131,K$4&lt;='2025'!$M131), K$4&lt;&gt;DATE(2025,7,4)), (SWITCH(weekday(K$4), 1, 0, 2, if(ISBLANK('2025'!$P131), 0, 1), 3, if(ISBLANK('2025'!$Q131), 0, 1), 4, if(ISBLANK('2025'!$R131), 0, 1), 5, if(ISBLANK('2025'!$S131), 0, 1), 6, if(ISBLANK('2025'!$T131), 0, 1), 7, 0))), 1, "")</f>
        <v/>
      </c>
      <c r="L133" s="1" t="str">
        <f>IF(AND(AND(AND(L$4&gt;='2025'!$L131,L$4&lt;='2025'!$M131), L$4&lt;&gt;DATE(2025,7,4)), (SWITCH(weekday(L$4), 1, 0, 2, if(ISBLANK('2025'!$P131), 0, 1), 3, if(ISBLANK('2025'!$Q131), 0, 1), 4, if(ISBLANK('2025'!$R131), 0, 1), 5, if(ISBLANK('2025'!$S131), 0, 1), 6, if(ISBLANK('2025'!$T131), 0, 1), 7, 0))), 1, "")</f>
        <v/>
      </c>
      <c r="M133" s="1" t="str">
        <f>IF(AND(AND(AND(M$4&gt;='2025'!$L131,M$4&lt;='2025'!$M131), M$4&lt;&gt;DATE(2025,7,4)), (SWITCH(weekday(M$4), 1, 0, 2, if(ISBLANK('2025'!$P131), 0, 1), 3, if(ISBLANK('2025'!$Q131), 0, 1), 4, if(ISBLANK('2025'!$R131), 0, 1), 5, if(ISBLANK('2025'!$S131), 0, 1), 6, if(ISBLANK('2025'!$T131), 0, 1), 7, 0))), 1, "")</f>
        <v/>
      </c>
      <c r="N133" s="1" t="str">
        <f>IF(AND(AND(AND(N$4&gt;='2025'!$L131,N$4&lt;='2025'!$M131), N$4&lt;&gt;DATE(2025,7,4)), (SWITCH(weekday(N$4), 1, 0, 2, if(ISBLANK('2025'!$P131), 0, 1), 3, if(ISBLANK('2025'!$Q131), 0, 1), 4, if(ISBLANK('2025'!$R131), 0, 1), 5, if(ISBLANK('2025'!$S131), 0, 1), 6, if(ISBLANK('2025'!$T131), 0, 1), 7, 0))), 1, "")</f>
        <v/>
      </c>
      <c r="O133" s="1" t="str">
        <f>IF(AND(AND(AND(O$4&gt;='2025'!$L131,O$4&lt;='2025'!$M131), O$4&lt;&gt;DATE(2025,7,4)), (SWITCH(weekday(O$4), 1, 0, 2, if(ISBLANK('2025'!$P131), 0, 1), 3, if(ISBLANK('2025'!$Q131), 0, 1), 4, if(ISBLANK('2025'!$R131), 0, 1), 5, if(ISBLANK('2025'!$S131), 0, 1), 6, if(ISBLANK('2025'!$T131), 0, 1), 7, 0))), 1, "")</f>
        <v/>
      </c>
      <c r="P133" s="1" t="str">
        <f>IF(AND(AND(AND(P$4&gt;='2025'!$L131,P$4&lt;='2025'!$M131), P$4&lt;&gt;DATE(2025,7,4)), (SWITCH(weekday(P$4), 1, 0, 2, if(ISBLANK('2025'!$P131), 0, 1), 3, if(ISBLANK('2025'!$Q131), 0, 1), 4, if(ISBLANK('2025'!$R131), 0, 1), 5, if(ISBLANK('2025'!$S131), 0, 1), 6, if(ISBLANK('2025'!$T131), 0, 1), 7, 0))), 1, "")</f>
        <v/>
      </c>
      <c r="Q133" s="1" t="str">
        <f>IF(AND(AND(AND(Q$4&gt;='2025'!$L131,Q$4&lt;='2025'!$M131), Q$4&lt;&gt;DATE(2025,7,4)), (SWITCH(weekday(Q$4), 1, 0, 2, if(ISBLANK('2025'!$P131), 0, 1), 3, if(ISBLANK('2025'!$Q131), 0, 1), 4, if(ISBLANK('2025'!$R131), 0, 1), 5, if(ISBLANK('2025'!$S131), 0, 1), 6, if(ISBLANK('2025'!$T131), 0, 1), 7, 0))), 1, "")</f>
        <v/>
      </c>
      <c r="R133" s="1" t="str">
        <f>IF(AND(AND(AND(R$4&gt;='2025'!$L131,R$4&lt;='2025'!$M131), R$4&lt;&gt;DATE(2025,7,4)), (SWITCH(weekday(R$4), 1, 0, 2, if(ISBLANK('2025'!$P131), 0, 1), 3, if(ISBLANK('2025'!$Q131), 0, 1), 4, if(ISBLANK('2025'!$R131), 0, 1), 5, if(ISBLANK('2025'!$S131), 0, 1), 6, if(ISBLANK('2025'!$T131), 0, 1), 7, 0))), 1, "")</f>
        <v/>
      </c>
      <c r="S133" s="1" t="str">
        <f>IF(AND(AND(AND(S$4&gt;='2025'!$L131,S$4&lt;='2025'!$M131), S$4&lt;&gt;DATE(2025,7,4)), (SWITCH(weekday(S$4), 1, 0, 2, if(ISBLANK('2025'!$P131), 0, 1), 3, if(ISBLANK('2025'!$Q131), 0, 1), 4, if(ISBLANK('2025'!$R131), 0, 1), 5, if(ISBLANK('2025'!$S131), 0, 1), 6, if(ISBLANK('2025'!$T131), 0, 1), 7, 0))), 1, "")</f>
        <v/>
      </c>
      <c r="T133" s="1" t="str">
        <f>IF(AND(AND(AND(T$4&gt;='2025'!$L131,T$4&lt;='2025'!$M131), T$4&lt;&gt;DATE(2025,7,4)), (SWITCH(weekday(T$4), 1, 0, 2, if(ISBLANK('2025'!$P131), 0, 1), 3, if(ISBLANK('2025'!$Q131), 0, 1), 4, if(ISBLANK('2025'!$R131), 0, 1), 5, if(ISBLANK('2025'!$S131), 0, 1), 6, if(ISBLANK('2025'!$T131), 0, 1), 7, 0))), 1, "")</f>
        <v/>
      </c>
      <c r="U133" s="1" t="str">
        <f>IF(AND(AND(AND(U$4&gt;='2025'!$L131,U$4&lt;='2025'!$M131), U$4&lt;&gt;DATE(2025,7,4)), (SWITCH(weekday(U$4), 1, 0, 2, if(ISBLANK('2025'!$P131), 0, 1), 3, if(ISBLANK('2025'!$Q131), 0, 1), 4, if(ISBLANK('2025'!$R131), 0, 1), 5, if(ISBLANK('2025'!$S131), 0, 1), 6, if(ISBLANK('2025'!$T131), 0, 1), 7, 0))), 1, "")</f>
        <v/>
      </c>
      <c r="V133" s="1" t="str">
        <f>IF(AND(AND(AND(V$4&gt;='2025'!$L131,V$4&lt;='2025'!$M131), V$4&lt;&gt;DATE(2025,7,4)), (SWITCH(weekday(V$4), 1, 0, 2, if(ISBLANK('2025'!$P131), 0, 1), 3, if(ISBLANK('2025'!$Q131), 0, 1), 4, if(ISBLANK('2025'!$R131), 0, 1), 5, if(ISBLANK('2025'!$S131), 0, 1), 6, if(ISBLANK('2025'!$T131), 0, 1), 7, 0))), 1, "")</f>
        <v/>
      </c>
      <c r="W133" s="1" t="str">
        <f>IF(AND(AND(AND(W$4&gt;='2025'!$L131,W$4&lt;='2025'!$M131), W$4&lt;&gt;DATE(2025,7,4)), (SWITCH(weekday(W$4), 1, 0, 2, if(ISBLANK('2025'!$P131), 0, 1), 3, if(ISBLANK('2025'!$Q131), 0, 1), 4, if(ISBLANK('2025'!$R131), 0, 1), 5, if(ISBLANK('2025'!$S131), 0, 1), 6, if(ISBLANK('2025'!$T131), 0, 1), 7, 0))), 1, "")</f>
        <v/>
      </c>
      <c r="X133" s="1" t="str">
        <f>IF(AND(AND(AND(X$4&gt;='2025'!$L131,X$4&lt;='2025'!$M131), X$4&lt;&gt;DATE(2025,7,4)), (SWITCH(weekday(X$4), 1, 0, 2, if(ISBLANK('2025'!$P131), 0, 1), 3, if(ISBLANK('2025'!$Q131), 0, 1), 4, if(ISBLANK('2025'!$R131), 0, 1), 5, if(ISBLANK('2025'!$S131), 0, 1), 6, if(ISBLANK('2025'!$T131), 0, 1), 7, 0))), 1, "")</f>
        <v/>
      </c>
      <c r="Y133" s="1" t="str">
        <f>IF(AND(AND(AND(Y$4&gt;='2025'!$L131,Y$4&lt;='2025'!$M131), Y$4&lt;&gt;DATE(2025,7,4)), (SWITCH(weekday(Y$4), 1, 0, 2, if(ISBLANK('2025'!$P131), 0, 1), 3, if(ISBLANK('2025'!$Q131), 0, 1), 4, if(ISBLANK('2025'!$R131), 0, 1), 5, if(ISBLANK('2025'!$S131), 0, 1), 6, if(ISBLANK('2025'!$T131), 0, 1), 7, 0))), 1, "")</f>
        <v/>
      </c>
      <c r="Z133" s="1" t="str">
        <f>IF(AND(AND(AND(Z$4&gt;='2025'!$L131,Z$4&lt;='2025'!$M131), Z$4&lt;&gt;DATE(2025,7,4)), (SWITCH(weekday(Z$4), 1, 0, 2, if(ISBLANK('2025'!$P131), 0, 1), 3, if(ISBLANK('2025'!$Q131), 0, 1), 4, if(ISBLANK('2025'!$R131), 0, 1), 5, if(ISBLANK('2025'!$S131), 0, 1), 6, if(ISBLANK('2025'!$T131), 0, 1), 7, 0))), 1, "")</f>
        <v/>
      </c>
      <c r="AA133" s="1" t="str">
        <f>IF(AND(AND(AND(AA$4&gt;='2025'!$L131,AA$4&lt;='2025'!$M131), AA$4&lt;&gt;DATE(2025,7,4)), (SWITCH(weekday(AA$4), 1, 0, 2, if(ISBLANK('2025'!$P131), 0, 1), 3, if(ISBLANK('2025'!$Q131), 0, 1), 4, if(ISBLANK('2025'!$R131), 0, 1), 5, if(ISBLANK('2025'!$S131), 0, 1), 6, if(ISBLANK('2025'!$T131), 0, 1), 7, 0))), 1, "")</f>
        <v/>
      </c>
      <c r="AB133" s="1" t="str">
        <f>IF(AND(AND(AND(AB$4&gt;='2025'!$L131,AB$4&lt;='2025'!$M131), AB$4&lt;&gt;DATE(2025,7,4)), (SWITCH(weekday(AB$4), 1, 0, 2, if(ISBLANK('2025'!$P131), 0, 1), 3, if(ISBLANK('2025'!$Q131), 0, 1), 4, if(ISBLANK('2025'!$R131), 0, 1), 5, if(ISBLANK('2025'!$S131), 0, 1), 6, if(ISBLANK('2025'!$T131), 0, 1), 7, 0))), 1, "")</f>
        <v/>
      </c>
      <c r="AC133" s="1" t="str">
        <f>IF(AND(AND(AND(AC$4&gt;='2025'!$L131,AC$4&lt;='2025'!$M131), AC$4&lt;&gt;DATE(2025,7,4)), (SWITCH(weekday(AC$4), 1, 0, 2, if(ISBLANK('2025'!$P131), 0, 1), 3, if(ISBLANK('2025'!$Q131), 0, 1), 4, if(ISBLANK('2025'!$R131), 0, 1), 5, if(ISBLANK('2025'!$S131), 0, 1), 6, if(ISBLANK('2025'!$T131), 0, 1), 7, 0))), 1, "")</f>
        <v/>
      </c>
      <c r="AD133" s="1" t="str">
        <f>IF(AND(AND(AND(AD$4&gt;='2025'!$L131,AD$4&lt;='2025'!$M131), AD$4&lt;&gt;DATE(2025,7,4)), (SWITCH(weekday(AD$4), 1, 0, 2, if(ISBLANK('2025'!$P131), 0, 1), 3, if(ISBLANK('2025'!$Q131), 0, 1), 4, if(ISBLANK('2025'!$R131), 0, 1), 5, if(ISBLANK('2025'!$S131), 0, 1), 6, if(ISBLANK('2025'!$T131), 0, 1), 7, 0))), 1, "")</f>
        <v/>
      </c>
      <c r="AE133" s="1" t="str">
        <f>IF(AND(AND(AND(AE$4&gt;='2025'!$L131,AE$4&lt;='2025'!$M131), AE$4&lt;&gt;DATE(2025,7,4)), (SWITCH(weekday(AE$4), 1, 0, 2, if(ISBLANK('2025'!$P131), 0, 1), 3, if(ISBLANK('2025'!$Q131), 0, 1), 4, if(ISBLANK('2025'!$R131), 0, 1), 5, if(ISBLANK('2025'!$S131), 0, 1), 6, if(ISBLANK('2025'!$T131), 0, 1), 7, 0))), 1, "")</f>
        <v/>
      </c>
      <c r="AF133" s="1" t="str">
        <f>IF(AND(AND(AND(AF$4&gt;='2025'!$L131,AF$4&lt;='2025'!$M131), AF$4&lt;&gt;DATE(2025,7,4)), (SWITCH(weekday(AF$4), 1, 0, 2, if(ISBLANK('2025'!$P131), 0, 1), 3, if(ISBLANK('2025'!$Q131), 0, 1), 4, if(ISBLANK('2025'!$R131), 0, 1), 5, if(ISBLANK('2025'!$S131), 0, 1), 6, if(ISBLANK('2025'!$T131), 0, 1), 7, 0))), 1, "")</f>
        <v/>
      </c>
      <c r="AG133" s="1" t="str">
        <f>IF(AND(AND(AND(AG$4&gt;='2025'!$L131,AG$4&lt;='2025'!$M131), AG$4&lt;&gt;DATE(2025,7,4)), (SWITCH(weekday(AG$4), 1, 0, 2, if(ISBLANK('2025'!$P131), 0, 1), 3, if(ISBLANK('2025'!$Q131), 0, 1), 4, if(ISBLANK('2025'!$R131), 0, 1), 5, if(ISBLANK('2025'!$S131), 0, 1), 6, if(ISBLANK('2025'!$T131), 0, 1), 7, 0))), 1, "")</f>
        <v/>
      </c>
      <c r="AH133" s="1" t="str">
        <f>IF(AND(AND(AND(AH$4&gt;='2025'!$L131,AH$4&lt;='2025'!$M131), AH$4&lt;&gt;DATE(2025,7,4)), (SWITCH(weekday(AH$4), 1, 0, 2, if(ISBLANK('2025'!$P131), 0, 1), 3, if(ISBLANK('2025'!$Q131), 0, 1), 4, if(ISBLANK('2025'!$R131), 0, 1), 5, if(ISBLANK('2025'!$S131), 0, 1), 6, if(ISBLANK('2025'!$T131), 0, 1), 7, 0))), 1, "")</f>
        <v/>
      </c>
      <c r="AI133" s="1" t="str">
        <f>IF(AND(AND(AND(AI$4&gt;='2025'!$L131,AI$4&lt;='2025'!$M131), AI$4&lt;&gt;DATE(2025,7,4)), (SWITCH(weekday(AI$4), 1, 0, 2, if(ISBLANK('2025'!$P131), 0, 1), 3, if(ISBLANK('2025'!$Q131), 0, 1), 4, if(ISBLANK('2025'!$R131), 0, 1), 5, if(ISBLANK('2025'!$S131), 0, 1), 6, if(ISBLANK('2025'!$T131), 0, 1), 7, 0))), 1, "")</f>
        <v/>
      </c>
      <c r="AJ133" s="1" t="str">
        <f>IF(AND(AND(AND(AJ$4&gt;='2025'!$L131,AJ$4&lt;='2025'!$M131), AJ$4&lt;&gt;DATE(2025,7,4)), (SWITCH(weekday(AJ$4), 1, 0, 2, if(ISBLANK('2025'!$P131), 0, 1), 3, if(ISBLANK('2025'!$Q131), 0, 1), 4, if(ISBLANK('2025'!$R131), 0, 1), 5, if(ISBLANK('2025'!$S131), 0, 1), 6, if(ISBLANK('2025'!$T131), 0, 1), 7, 0))), 1, "")</f>
        <v/>
      </c>
      <c r="AK133" s="1" t="str">
        <f>IF(AND(AND(AND(AK$4&gt;='2025'!$L131,AK$4&lt;='2025'!$M131), AK$4&lt;&gt;DATE(2025,7,4)), (SWITCH(weekday(AK$4), 1, 0, 2, if(ISBLANK('2025'!$P131), 0, 1), 3, if(ISBLANK('2025'!$Q131), 0, 1), 4, if(ISBLANK('2025'!$R131), 0, 1), 5, if(ISBLANK('2025'!$S131), 0, 1), 6, if(ISBLANK('2025'!$T131), 0, 1), 7, 0))), 1, "")</f>
        <v/>
      </c>
      <c r="AL133" s="1" t="str">
        <f>IF(AND(AND(AND(AL$4&gt;='2025'!$L131,AL$4&lt;='2025'!$M131), AL$4&lt;&gt;DATE(2025,7,4)), (SWITCH(weekday(AL$4), 1, 0, 2, if(ISBLANK('2025'!$P131), 0, 1), 3, if(ISBLANK('2025'!$Q131), 0, 1), 4, if(ISBLANK('2025'!$R131), 0, 1), 5, if(ISBLANK('2025'!$S131), 0, 1), 6, if(ISBLANK('2025'!$T131), 0, 1), 7, 0))), 1, "")</f>
        <v/>
      </c>
      <c r="AM133" s="1" t="str">
        <f>IF(AND(AND(AND(AM$4&gt;='2025'!$L131,AM$4&lt;='2025'!$M131), AM$4&lt;&gt;DATE(2025,7,4)), (SWITCH(weekday(AM$4), 1, 0, 2, if(ISBLANK('2025'!$P131), 0, 1), 3, if(ISBLANK('2025'!$Q131), 0, 1), 4, if(ISBLANK('2025'!$R131), 0, 1), 5, if(ISBLANK('2025'!$S131), 0, 1), 6, if(ISBLANK('2025'!$T131), 0, 1), 7, 0))), 1, "")</f>
        <v/>
      </c>
      <c r="AN133" s="1" t="str">
        <f>IF(AND(AND(AND(AN$4&gt;='2025'!$L131,AN$4&lt;='2025'!$M131), AN$4&lt;&gt;DATE(2025,7,4)), (SWITCH(weekday(AN$4), 1, 0, 2, if(ISBLANK('2025'!$P131), 0, 1), 3, if(ISBLANK('2025'!$Q131), 0, 1), 4, if(ISBLANK('2025'!$R131), 0, 1), 5, if(ISBLANK('2025'!$S131), 0, 1), 6, if(ISBLANK('2025'!$T131), 0, 1), 7, 0))), 1, "")</f>
        <v/>
      </c>
      <c r="AO133" s="1" t="str">
        <f>IF(AND(AND(AND(AO$4&gt;='2025'!$L131,AO$4&lt;='2025'!$M131), AO$4&lt;&gt;DATE(2025,7,4)), (SWITCH(weekday(AO$4), 1, 0, 2, if(ISBLANK('2025'!$P131), 0, 1), 3, if(ISBLANK('2025'!$Q131), 0, 1), 4, if(ISBLANK('2025'!$R131), 0, 1), 5, if(ISBLANK('2025'!$S131), 0, 1), 6, if(ISBLANK('2025'!$T131), 0, 1), 7, 0))), 1, "")</f>
        <v/>
      </c>
      <c r="AP133" s="1" t="str">
        <f>IF(AND(AND(AND(AP$4&gt;='2025'!$L131,AP$4&lt;='2025'!$M131), AP$4&lt;&gt;DATE(2025,7,4)), (SWITCH(weekday(AP$4), 1, 0, 2, if(ISBLANK('2025'!$P131), 0, 1), 3, if(ISBLANK('2025'!$Q131), 0, 1), 4, if(ISBLANK('2025'!$R131), 0, 1), 5, if(ISBLANK('2025'!$S131), 0, 1), 6, if(ISBLANK('2025'!$T131), 0, 1), 7, 0))), 1, "")</f>
        <v/>
      </c>
      <c r="AQ133" s="1" t="str">
        <f>IF(AND(AND(AND(AQ$4&gt;='2025'!$L131,AQ$4&lt;='2025'!$M131), AQ$4&lt;&gt;DATE(2025,7,4)), (SWITCH(weekday(AQ$4), 1, 0, 2, if(ISBLANK('2025'!$P131), 0, 1), 3, if(ISBLANK('2025'!$Q131), 0, 1), 4, if(ISBLANK('2025'!$R131), 0, 1), 5, if(ISBLANK('2025'!$S131), 0, 1), 6, if(ISBLANK('2025'!$T131), 0, 1), 7, 0))), 1, "")</f>
        <v/>
      </c>
      <c r="AR133" s="1" t="str">
        <f>IF(AND(AND(AND(AR$4&gt;='2025'!$L131,AR$4&lt;='2025'!$M131), AR$4&lt;&gt;DATE(2025,7,4)), (SWITCH(weekday(AR$4), 1, 0, 2, if(ISBLANK('2025'!$P131), 0, 1), 3, if(ISBLANK('2025'!$Q131), 0, 1), 4, if(ISBLANK('2025'!$R131), 0, 1), 5, if(ISBLANK('2025'!$S131), 0, 1), 6, if(ISBLANK('2025'!$T131), 0, 1), 7, 0))), 1, "")</f>
        <v/>
      </c>
      <c r="AS133" s="1" t="str">
        <f>IF(AND(AND(AND(AS$4&gt;='2025'!$L131,AS$4&lt;='2025'!$M131), AS$4&lt;&gt;DATE(2025,7,4)), (SWITCH(weekday(AS$4), 1, 0, 2, if(ISBLANK('2025'!$P131), 0, 1), 3, if(ISBLANK('2025'!$Q131), 0, 1), 4, if(ISBLANK('2025'!$R131), 0, 1), 5, if(ISBLANK('2025'!$S131), 0, 1), 6, if(ISBLANK('2025'!$T131), 0, 1), 7, 0))), 1, "")</f>
        <v/>
      </c>
      <c r="AT133" s="1" t="str">
        <f>IF(AND(AND(AND(AT$4&gt;='2025'!$L131,AT$4&lt;='2025'!$M131), AT$4&lt;&gt;DATE(2025,7,4)), (SWITCH(weekday(AT$4), 1, 0, 2, if(ISBLANK('2025'!$P131), 0, 1), 3, if(ISBLANK('2025'!$Q131), 0, 1), 4, if(ISBLANK('2025'!$R131), 0, 1), 5, if(ISBLANK('2025'!$S131), 0, 1), 6, if(ISBLANK('2025'!$T131), 0, 1), 7, 0))), 1, "")</f>
        <v/>
      </c>
      <c r="AU133" s="1" t="str">
        <f>IF(AND(AND(AND(AU$4&gt;='2025'!$L131,AU$4&lt;='2025'!$M131), AU$4&lt;&gt;DATE(2025,7,4)), (SWITCH(weekday(AU$4), 1, 0, 2, if(ISBLANK('2025'!$P131), 0, 1), 3, if(ISBLANK('2025'!$Q131), 0, 1), 4, if(ISBLANK('2025'!$R131), 0, 1), 5, if(ISBLANK('2025'!$S131), 0, 1), 6, if(ISBLANK('2025'!$T131), 0, 1), 7, 0))), 1, "")</f>
        <v/>
      </c>
      <c r="AV133" s="1" t="str">
        <f>IF(AND(AND(AND(AV$4&gt;='2025'!$L131,AV$4&lt;='2025'!$M131), AV$4&lt;&gt;DATE(2025,7,4)), (SWITCH(weekday(AV$4), 1, 0, 2, if(ISBLANK('2025'!$P131), 0, 1), 3, if(ISBLANK('2025'!$Q131), 0, 1), 4, if(ISBLANK('2025'!$R131), 0, 1), 5, if(ISBLANK('2025'!$S131), 0, 1), 6, if(ISBLANK('2025'!$T131), 0, 1), 7, 0))), 1, "")</f>
        <v/>
      </c>
      <c r="AW133" s="1" t="str">
        <f>IF(AND(AND(AND(AW$4&gt;='2025'!$L131,AW$4&lt;='2025'!$M131), AW$4&lt;&gt;DATE(2025,7,4)), (SWITCH(weekday(AW$4), 1, 0, 2, if(ISBLANK('2025'!$P131), 0, 1), 3, if(ISBLANK('2025'!$Q131), 0, 1), 4, if(ISBLANK('2025'!$R131), 0, 1), 5, if(ISBLANK('2025'!$S131), 0, 1), 6, if(ISBLANK('2025'!$T131), 0, 1), 7, 0))), 1, "")</f>
        <v/>
      </c>
      <c r="AX133" s="1" t="str">
        <f>IF(AND(AND(AND(AX$4&gt;='2025'!$L131,AX$4&lt;='2025'!$M131), AX$4&lt;&gt;DATE(2025,7,4)), (SWITCH(weekday(AX$4), 1, 0, 2, if(ISBLANK('2025'!$P131), 0, 1), 3, if(ISBLANK('2025'!$Q131), 0, 1), 4, if(ISBLANK('2025'!$R131), 0, 1), 5, if(ISBLANK('2025'!$S131), 0, 1), 6, if(ISBLANK('2025'!$T131), 0, 1), 7, 0))), 1, "")</f>
        <v/>
      </c>
      <c r="AY133" s="1" t="str">
        <f>IF(AND(AND(AND(AY$4&gt;='2025'!$L131,AY$4&lt;='2025'!$M131), AY$4&lt;&gt;DATE(2025,7,4)), (SWITCH(weekday(AY$4), 1, 0, 2, if(ISBLANK('2025'!$P131), 0, 1), 3, if(ISBLANK('2025'!$Q131), 0, 1), 4, if(ISBLANK('2025'!$R131), 0, 1), 5, if(ISBLANK('2025'!$S131), 0, 1), 6, if(ISBLANK('2025'!$T131), 0, 1), 7, 0))), 1, "")</f>
        <v/>
      </c>
      <c r="AZ133" s="1" t="str">
        <f>IF(AND(AND(AND(AZ$4&gt;='2025'!$L131,AZ$4&lt;='2025'!$M131), AZ$4&lt;&gt;DATE(2025,7,4)), (SWITCH(weekday(AZ$4), 1, 0, 2, if(ISBLANK('2025'!$P131), 0, 1), 3, if(ISBLANK('2025'!$Q131), 0, 1), 4, if(ISBLANK('2025'!$R131), 0, 1), 5, if(ISBLANK('2025'!$S131), 0, 1), 6, if(ISBLANK('2025'!$T131), 0, 1), 7, 0))), 1, "")</f>
        <v/>
      </c>
      <c r="BA133" s="1" t="str">
        <f>IF(AND(AND(AND(BA$4&gt;='2025'!$L131,BA$4&lt;='2025'!$M131), BA$4&lt;&gt;DATE(2025,7,4)), (SWITCH(weekday(BA$4), 1, 0, 2, if(ISBLANK('2025'!$P131), 0, 1), 3, if(ISBLANK('2025'!$Q131), 0, 1), 4, if(ISBLANK('2025'!$R131), 0, 1), 5, if(ISBLANK('2025'!$S131), 0, 1), 6, if(ISBLANK('2025'!$T131), 0, 1), 7, 0))), 1, "")</f>
        <v/>
      </c>
      <c r="BB133" s="1" t="str">
        <f>IF(AND(AND(AND(BB$4&gt;='2025'!$L131,BB$4&lt;='2025'!$M131), BB$4&lt;&gt;DATE(2025,7,4)), (SWITCH(weekday(BB$4), 1, 0, 2, if(ISBLANK('2025'!$P131), 0, 1), 3, if(ISBLANK('2025'!$Q131), 0, 1), 4, if(ISBLANK('2025'!$R131), 0, 1), 5, if(ISBLANK('2025'!$S131), 0, 1), 6, if(ISBLANK('2025'!$T131), 0, 1), 7, 0))), 1, "")</f>
        <v/>
      </c>
      <c r="BC133" s="1" t="str">
        <f>IF(AND(AND(AND(BC$4&gt;='2025'!$L131,BC$4&lt;='2025'!$M131), BC$4&lt;&gt;DATE(2025,7,4)), (SWITCH(weekday(BC$4), 1, 0, 2, if(ISBLANK('2025'!$P131), 0, 1), 3, if(ISBLANK('2025'!$Q131), 0, 1), 4, if(ISBLANK('2025'!$R131), 0, 1), 5, if(ISBLANK('2025'!$S131), 0, 1), 6, if(ISBLANK('2025'!$T131), 0, 1), 7, 0))), 1, "")</f>
        <v/>
      </c>
      <c r="BD133" s="1" t="str">
        <f>IF(AND(AND(AND(BD$4&gt;='2025'!$L131,BD$4&lt;='2025'!$M131), BD$4&lt;&gt;DATE(2025,7,4)), (SWITCH(weekday(BD$4), 1, 0, 2, if(ISBLANK('2025'!$P131), 0, 1), 3, if(ISBLANK('2025'!$Q131), 0, 1), 4, if(ISBLANK('2025'!$R131), 0, 1), 5, if(ISBLANK('2025'!$S131), 0, 1), 6, if(ISBLANK('2025'!$T131), 0, 1), 7, 0))), 1, "")</f>
        <v/>
      </c>
      <c r="BE133" s="1" t="str">
        <f>IF(AND(AND(AND(BE$4&gt;='2025'!$L131,BE$4&lt;='2025'!$M131), BE$4&lt;&gt;DATE(2025,7,4)), (SWITCH(weekday(BE$4), 1, 0, 2, if(ISBLANK('2025'!$P131), 0, 1), 3, if(ISBLANK('2025'!$Q131), 0, 1), 4, if(ISBLANK('2025'!$R131), 0, 1), 5, if(ISBLANK('2025'!$S131), 0, 1), 6, if(ISBLANK('2025'!$T131), 0, 1), 7, 0))), 1, "")</f>
        <v/>
      </c>
      <c r="BF133" s="1" t="str">
        <f>IF(AND(AND(AND(BF$4&gt;='2025'!$L131,BF$4&lt;='2025'!$M131), BF$4&lt;&gt;DATE(2025,7,4)), (SWITCH(weekday(BF$4), 1, 0, 2, if(ISBLANK('2025'!$P131), 0, 1), 3, if(ISBLANK('2025'!$Q131), 0, 1), 4, if(ISBLANK('2025'!$R131), 0, 1), 5, if(ISBLANK('2025'!$S131), 0, 1), 6, if(ISBLANK('2025'!$T131), 0, 1), 7, 0))), 1, "")</f>
        <v/>
      </c>
      <c r="BG133" s="1"/>
      <c r="BH133" s="1"/>
      <c r="BI133" s="1"/>
      <c r="BJ133" s="1"/>
      <c r="BK133" s="1"/>
      <c r="BL133" s="1"/>
    </row>
    <row r="134">
      <c r="A134" s="1">
        <f t="shared" si="3"/>
        <v>134</v>
      </c>
      <c r="B134" s="1" t="str">
        <f>'2025'!D98</f>
        <v>, </v>
      </c>
      <c r="C134" s="1" t="str">
        <f>'2025'!H98</f>
        <v/>
      </c>
      <c r="D134" s="1" t="str">
        <f>IF(AND(AND(AND(D$4&gt;='2025'!$L132,D$4&lt;='2025'!$M132), D$4&lt;&gt;DATE(2025,7,4)), (SWITCH(weekday(D$4), 1, 0, 2, if(ISBLANK('2025'!$P132), 0, 1), 3, if(ISBLANK('2025'!$Q132), 0, 1), 4, if(ISBLANK('2025'!$R132), 0, 1), 5, if(ISBLANK('2025'!$S132), 0, 1), 6, if(ISBLANK('2025'!$T132), 0, 1), 7, 0))), 1, "")</f>
        <v/>
      </c>
      <c r="E134" s="1" t="str">
        <f>IF(AND(AND(AND(E$4&gt;='2025'!$L132,E$4&lt;='2025'!$M132), E$4&lt;&gt;DATE(2025,7,4)), (SWITCH(weekday(E$4), 1, 0, 2, if(ISBLANK('2025'!$P132), 0, 1), 3, if(ISBLANK('2025'!$Q132), 0, 1), 4, if(ISBLANK('2025'!$R132), 0, 1), 5, if(ISBLANK('2025'!$S132), 0, 1), 6, if(ISBLANK('2025'!$T132), 0, 1), 7, 0))), 1, "")</f>
        <v/>
      </c>
      <c r="F134" s="1" t="str">
        <f>IF(AND(AND(AND(F$4&gt;='2025'!$L132,F$4&lt;='2025'!$M132), F$4&lt;&gt;DATE(2025,7,4)), (SWITCH(weekday(F$4), 1, 0, 2, if(ISBLANK('2025'!$P132), 0, 1), 3, if(ISBLANK('2025'!$Q132), 0, 1), 4, if(ISBLANK('2025'!$R132), 0, 1), 5, if(ISBLANK('2025'!$S132), 0, 1), 6, if(ISBLANK('2025'!$T132), 0, 1), 7, 0))), 1, "")</f>
        <v/>
      </c>
      <c r="G134" s="1" t="str">
        <f>IF(AND(AND(AND(G$4&gt;='2025'!$L132,G$4&lt;='2025'!$M132), G$4&lt;&gt;DATE(2025,7,4)), (SWITCH(weekday(G$4), 1, 0, 2, if(ISBLANK('2025'!$P132), 0, 1), 3, if(ISBLANK('2025'!$Q132), 0, 1), 4, if(ISBLANK('2025'!$R132), 0, 1), 5, if(ISBLANK('2025'!$S132), 0, 1), 6, if(ISBLANK('2025'!$T132), 0, 1), 7, 0))), 1, "")</f>
        <v/>
      </c>
      <c r="H134" s="1" t="str">
        <f>IF(AND(AND(AND(H$4&gt;='2025'!$L132,H$4&lt;='2025'!$M132), H$4&lt;&gt;DATE(2025,7,4)), (SWITCH(weekday(H$4), 1, 0, 2, if(ISBLANK('2025'!$P132), 0, 1), 3, if(ISBLANK('2025'!$Q132), 0, 1), 4, if(ISBLANK('2025'!$R132), 0, 1), 5, if(ISBLANK('2025'!$S132), 0, 1), 6, if(ISBLANK('2025'!$T132), 0, 1), 7, 0))), 1, "")</f>
        <v/>
      </c>
      <c r="I134" s="1" t="str">
        <f>IF(AND(AND(AND(I$4&gt;='2025'!$L132,I$4&lt;='2025'!$M132), I$4&lt;&gt;DATE(2025,7,4)), (SWITCH(weekday(I$4), 1, 0, 2, if(ISBLANK('2025'!$P132), 0, 1), 3, if(ISBLANK('2025'!$Q132), 0, 1), 4, if(ISBLANK('2025'!$R132), 0, 1), 5, if(ISBLANK('2025'!$S132), 0, 1), 6, if(ISBLANK('2025'!$T132), 0, 1), 7, 0))), 1, "")</f>
        <v/>
      </c>
      <c r="J134" s="1" t="str">
        <f>IF(AND(AND(AND(J$4&gt;='2025'!$L132,J$4&lt;='2025'!$M132), J$4&lt;&gt;DATE(2025,7,4)), (SWITCH(weekday(J$4), 1, 0, 2, if(ISBLANK('2025'!$P132), 0, 1), 3, if(ISBLANK('2025'!$Q132), 0, 1), 4, if(ISBLANK('2025'!$R132), 0, 1), 5, if(ISBLANK('2025'!$S132), 0, 1), 6, if(ISBLANK('2025'!$T132), 0, 1), 7, 0))), 1, "")</f>
        <v/>
      </c>
      <c r="K134" s="1" t="str">
        <f>IF(AND(AND(AND(K$4&gt;='2025'!$L132,K$4&lt;='2025'!$M132), K$4&lt;&gt;DATE(2025,7,4)), (SWITCH(weekday(K$4), 1, 0, 2, if(ISBLANK('2025'!$P132), 0, 1), 3, if(ISBLANK('2025'!$Q132), 0, 1), 4, if(ISBLANK('2025'!$R132), 0, 1), 5, if(ISBLANK('2025'!$S132), 0, 1), 6, if(ISBLANK('2025'!$T132), 0, 1), 7, 0))), 1, "")</f>
        <v/>
      </c>
      <c r="L134" s="1" t="str">
        <f>IF(AND(AND(AND(L$4&gt;='2025'!$L132,L$4&lt;='2025'!$M132), L$4&lt;&gt;DATE(2025,7,4)), (SWITCH(weekday(L$4), 1, 0, 2, if(ISBLANK('2025'!$P132), 0, 1), 3, if(ISBLANK('2025'!$Q132), 0, 1), 4, if(ISBLANK('2025'!$R132), 0, 1), 5, if(ISBLANK('2025'!$S132), 0, 1), 6, if(ISBLANK('2025'!$T132), 0, 1), 7, 0))), 1, "")</f>
        <v/>
      </c>
      <c r="M134" s="1" t="str">
        <f>IF(AND(AND(AND(M$4&gt;='2025'!$L132,M$4&lt;='2025'!$M132), M$4&lt;&gt;DATE(2025,7,4)), (SWITCH(weekday(M$4), 1, 0, 2, if(ISBLANK('2025'!$P132), 0, 1), 3, if(ISBLANK('2025'!$Q132), 0, 1), 4, if(ISBLANK('2025'!$R132), 0, 1), 5, if(ISBLANK('2025'!$S132), 0, 1), 6, if(ISBLANK('2025'!$T132), 0, 1), 7, 0))), 1, "")</f>
        <v/>
      </c>
      <c r="N134" s="1" t="str">
        <f>IF(AND(AND(AND(N$4&gt;='2025'!$L132,N$4&lt;='2025'!$M132), N$4&lt;&gt;DATE(2025,7,4)), (SWITCH(weekday(N$4), 1, 0, 2, if(ISBLANK('2025'!$P132), 0, 1), 3, if(ISBLANK('2025'!$Q132), 0, 1), 4, if(ISBLANK('2025'!$R132), 0, 1), 5, if(ISBLANK('2025'!$S132), 0, 1), 6, if(ISBLANK('2025'!$T132), 0, 1), 7, 0))), 1, "")</f>
        <v/>
      </c>
      <c r="O134" s="1" t="str">
        <f>IF(AND(AND(AND(O$4&gt;='2025'!$L132,O$4&lt;='2025'!$M132), O$4&lt;&gt;DATE(2025,7,4)), (SWITCH(weekday(O$4), 1, 0, 2, if(ISBLANK('2025'!$P132), 0, 1), 3, if(ISBLANK('2025'!$Q132), 0, 1), 4, if(ISBLANK('2025'!$R132), 0, 1), 5, if(ISBLANK('2025'!$S132), 0, 1), 6, if(ISBLANK('2025'!$T132), 0, 1), 7, 0))), 1, "")</f>
        <v/>
      </c>
      <c r="P134" s="1" t="str">
        <f>IF(AND(AND(AND(P$4&gt;='2025'!$L132,P$4&lt;='2025'!$M132), P$4&lt;&gt;DATE(2025,7,4)), (SWITCH(weekday(P$4), 1, 0, 2, if(ISBLANK('2025'!$P132), 0, 1), 3, if(ISBLANK('2025'!$Q132), 0, 1), 4, if(ISBLANK('2025'!$R132), 0, 1), 5, if(ISBLANK('2025'!$S132), 0, 1), 6, if(ISBLANK('2025'!$T132), 0, 1), 7, 0))), 1, "")</f>
        <v/>
      </c>
      <c r="Q134" s="1" t="str">
        <f>IF(AND(AND(AND(Q$4&gt;='2025'!$L132,Q$4&lt;='2025'!$M132), Q$4&lt;&gt;DATE(2025,7,4)), (SWITCH(weekday(Q$4), 1, 0, 2, if(ISBLANK('2025'!$P132), 0, 1), 3, if(ISBLANK('2025'!$Q132), 0, 1), 4, if(ISBLANK('2025'!$R132), 0, 1), 5, if(ISBLANK('2025'!$S132), 0, 1), 6, if(ISBLANK('2025'!$T132), 0, 1), 7, 0))), 1, "")</f>
        <v/>
      </c>
      <c r="R134" s="1" t="str">
        <f>IF(AND(AND(AND(R$4&gt;='2025'!$L132,R$4&lt;='2025'!$M132), R$4&lt;&gt;DATE(2025,7,4)), (SWITCH(weekday(R$4), 1, 0, 2, if(ISBLANK('2025'!$P132), 0, 1), 3, if(ISBLANK('2025'!$Q132), 0, 1), 4, if(ISBLANK('2025'!$R132), 0, 1), 5, if(ISBLANK('2025'!$S132), 0, 1), 6, if(ISBLANK('2025'!$T132), 0, 1), 7, 0))), 1, "")</f>
        <v/>
      </c>
      <c r="S134" s="1" t="str">
        <f>IF(AND(AND(AND(S$4&gt;='2025'!$L132,S$4&lt;='2025'!$M132), S$4&lt;&gt;DATE(2025,7,4)), (SWITCH(weekday(S$4), 1, 0, 2, if(ISBLANK('2025'!$P132), 0, 1), 3, if(ISBLANK('2025'!$Q132), 0, 1), 4, if(ISBLANK('2025'!$R132), 0, 1), 5, if(ISBLANK('2025'!$S132), 0, 1), 6, if(ISBLANK('2025'!$T132), 0, 1), 7, 0))), 1, "")</f>
        <v/>
      </c>
      <c r="T134" s="1" t="str">
        <f>IF(AND(AND(AND(T$4&gt;='2025'!$L132,T$4&lt;='2025'!$M132), T$4&lt;&gt;DATE(2025,7,4)), (SWITCH(weekday(T$4), 1, 0, 2, if(ISBLANK('2025'!$P132), 0, 1), 3, if(ISBLANK('2025'!$Q132), 0, 1), 4, if(ISBLANK('2025'!$R132), 0, 1), 5, if(ISBLANK('2025'!$S132), 0, 1), 6, if(ISBLANK('2025'!$T132), 0, 1), 7, 0))), 1, "")</f>
        <v/>
      </c>
      <c r="U134" s="1" t="str">
        <f>IF(AND(AND(AND(U$4&gt;='2025'!$L132,U$4&lt;='2025'!$M132), U$4&lt;&gt;DATE(2025,7,4)), (SWITCH(weekday(U$4), 1, 0, 2, if(ISBLANK('2025'!$P132), 0, 1), 3, if(ISBLANK('2025'!$Q132), 0, 1), 4, if(ISBLANK('2025'!$R132), 0, 1), 5, if(ISBLANK('2025'!$S132), 0, 1), 6, if(ISBLANK('2025'!$T132), 0, 1), 7, 0))), 1, "")</f>
        <v/>
      </c>
      <c r="V134" s="1" t="str">
        <f>IF(AND(AND(AND(V$4&gt;='2025'!$L132,V$4&lt;='2025'!$M132), V$4&lt;&gt;DATE(2025,7,4)), (SWITCH(weekday(V$4), 1, 0, 2, if(ISBLANK('2025'!$P132), 0, 1), 3, if(ISBLANK('2025'!$Q132), 0, 1), 4, if(ISBLANK('2025'!$R132), 0, 1), 5, if(ISBLANK('2025'!$S132), 0, 1), 6, if(ISBLANK('2025'!$T132), 0, 1), 7, 0))), 1, "")</f>
        <v/>
      </c>
      <c r="W134" s="1" t="str">
        <f>IF(AND(AND(AND(W$4&gt;='2025'!$L132,W$4&lt;='2025'!$M132), W$4&lt;&gt;DATE(2025,7,4)), (SWITCH(weekday(W$4), 1, 0, 2, if(ISBLANK('2025'!$P132), 0, 1), 3, if(ISBLANK('2025'!$Q132), 0, 1), 4, if(ISBLANK('2025'!$R132), 0, 1), 5, if(ISBLANK('2025'!$S132), 0, 1), 6, if(ISBLANK('2025'!$T132), 0, 1), 7, 0))), 1, "")</f>
        <v/>
      </c>
      <c r="X134" s="1" t="str">
        <f>IF(AND(AND(AND(X$4&gt;='2025'!$L132,X$4&lt;='2025'!$M132), X$4&lt;&gt;DATE(2025,7,4)), (SWITCH(weekday(X$4), 1, 0, 2, if(ISBLANK('2025'!$P132), 0, 1), 3, if(ISBLANK('2025'!$Q132), 0, 1), 4, if(ISBLANK('2025'!$R132), 0, 1), 5, if(ISBLANK('2025'!$S132), 0, 1), 6, if(ISBLANK('2025'!$T132), 0, 1), 7, 0))), 1, "")</f>
        <v/>
      </c>
      <c r="Y134" s="1" t="str">
        <f>IF(AND(AND(AND(Y$4&gt;='2025'!$L132,Y$4&lt;='2025'!$M132), Y$4&lt;&gt;DATE(2025,7,4)), (SWITCH(weekday(Y$4), 1, 0, 2, if(ISBLANK('2025'!$P132), 0, 1), 3, if(ISBLANK('2025'!$Q132), 0, 1), 4, if(ISBLANK('2025'!$R132), 0, 1), 5, if(ISBLANK('2025'!$S132), 0, 1), 6, if(ISBLANK('2025'!$T132), 0, 1), 7, 0))), 1, "")</f>
        <v/>
      </c>
      <c r="Z134" s="1" t="str">
        <f>IF(AND(AND(AND(Z$4&gt;='2025'!$L132,Z$4&lt;='2025'!$M132), Z$4&lt;&gt;DATE(2025,7,4)), (SWITCH(weekday(Z$4), 1, 0, 2, if(ISBLANK('2025'!$P132), 0, 1), 3, if(ISBLANK('2025'!$Q132), 0, 1), 4, if(ISBLANK('2025'!$R132), 0, 1), 5, if(ISBLANK('2025'!$S132), 0, 1), 6, if(ISBLANK('2025'!$T132), 0, 1), 7, 0))), 1, "")</f>
        <v/>
      </c>
      <c r="AA134" s="1" t="str">
        <f>IF(AND(AND(AND(AA$4&gt;='2025'!$L132,AA$4&lt;='2025'!$M132), AA$4&lt;&gt;DATE(2025,7,4)), (SWITCH(weekday(AA$4), 1, 0, 2, if(ISBLANK('2025'!$P132), 0, 1), 3, if(ISBLANK('2025'!$Q132), 0, 1), 4, if(ISBLANK('2025'!$R132), 0, 1), 5, if(ISBLANK('2025'!$S132), 0, 1), 6, if(ISBLANK('2025'!$T132), 0, 1), 7, 0))), 1, "")</f>
        <v/>
      </c>
      <c r="AB134" s="1" t="str">
        <f>IF(AND(AND(AND(AB$4&gt;='2025'!$L132,AB$4&lt;='2025'!$M132), AB$4&lt;&gt;DATE(2025,7,4)), (SWITCH(weekday(AB$4), 1, 0, 2, if(ISBLANK('2025'!$P132), 0, 1), 3, if(ISBLANK('2025'!$Q132), 0, 1), 4, if(ISBLANK('2025'!$R132), 0, 1), 5, if(ISBLANK('2025'!$S132), 0, 1), 6, if(ISBLANK('2025'!$T132), 0, 1), 7, 0))), 1, "")</f>
        <v/>
      </c>
      <c r="AC134" s="1" t="str">
        <f>IF(AND(AND(AND(AC$4&gt;='2025'!$L132,AC$4&lt;='2025'!$M132), AC$4&lt;&gt;DATE(2025,7,4)), (SWITCH(weekday(AC$4), 1, 0, 2, if(ISBLANK('2025'!$P132), 0, 1), 3, if(ISBLANK('2025'!$Q132), 0, 1), 4, if(ISBLANK('2025'!$R132), 0, 1), 5, if(ISBLANK('2025'!$S132), 0, 1), 6, if(ISBLANK('2025'!$T132), 0, 1), 7, 0))), 1, "")</f>
        <v/>
      </c>
      <c r="AD134" s="1" t="str">
        <f>IF(AND(AND(AND(AD$4&gt;='2025'!$L132,AD$4&lt;='2025'!$M132), AD$4&lt;&gt;DATE(2025,7,4)), (SWITCH(weekday(AD$4), 1, 0, 2, if(ISBLANK('2025'!$P132), 0, 1), 3, if(ISBLANK('2025'!$Q132), 0, 1), 4, if(ISBLANK('2025'!$R132), 0, 1), 5, if(ISBLANK('2025'!$S132), 0, 1), 6, if(ISBLANK('2025'!$T132), 0, 1), 7, 0))), 1, "")</f>
        <v/>
      </c>
      <c r="AE134" s="1" t="str">
        <f>IF(AND(AND(AND(AE$4&gt;='2025'!$L132,AE$4&lt;='2025'!$M132), AE$4&lt;&gt;DATE(2025,7,4)), (SWITCH(weekday(AE$4), 1, 0, 2, if(ISBLANK('2025'!$P132), 0, 1), 3, if(ISBLANK('2025'!$Q132), 0, 1), 4, if(ISBLANK('2025'!$R132), 0, 1), 5, if(ISBLANK('2025'!$S132), 0, 1), 6, if(ISBLANK('2025'!$T132), 0, 1), 7, 0))), 1, "")</f>
        <v/>
      </c>
      <c r="AF134" s="1" t="str">
        <f>IF(AND(AND(AND(AF$4&gt;='2025'!$L132,AF$4&lt;='2025'!$M132), AF$4&lt;&gt;DATE(2025,7,4)), (SWITCH(weekday(AF$4), 1, 0, 2, if(ISBLANK('2025'!$P132), 0, 1), 3, if(ISBLANK('2025'!$Q132), 0, 1), 4, if(ISBLANK('2025'!$R132), 0, 1), 5, if(ISBLANK('2025'!$S132), 0, 1), 6, if(ISBLANK('2025'!$T132), 0, 1), 7, 0))), 1, "")</f>
        <v/>
      </c>
      <c r="AG134" s="1" t="str">
        <f>IF(AND(AND(AND(AG$4&gt;='2025'!$L132,AG$4&lt;='2025'!$M132), AG$4&lt;&gt;DATE(2025,7,4)), (SWITCH(weekday(AG$4), 1, 0, 2, if(ISBLANK('2025'!$P132), 0, 1), 3, if(ISBLANK('2025'!$Q132), 0, 1), 4, if(ISBLANK('2025'!$R132), 0, 1), 5, if(ISBLANK('2025'!$S132), 0, 1), 6, if(ISBLANK('2025'!$T132), 0, 1), 7, 0))), 1, "")</f>
        <v/>
      </c>
      <c r="AH134" s="1" t="str">
        <f>IF(AND(AND(AND(AH$4&gt;='2025'!$L132,AH$4&lt;='2025'!$M132), AH$4&lt;&gt;DATE(2025,7,4)), (SWITCH(weekday(AH$4), 1, 0, 2, if(ISBLANK('2025'!$P132), 0, 1), 3, if(ISBLANK('2025'!$Q132), 0, 1), 4, if(ISBLANK('2025'!$R132), 0, 1), 5, if(ISBLANK('2025'!$S132), 0, 1), 6, if(ISBLANK('2025'!$T132), 0, 1), 7, 0))), 1, "")</f>
        <v/>
      </c>
      <c r="AI134" s="1" t="str">
        <f>IF(AND(AND(AND(AI$4&gt;='2025'!$L132,AI$4&lt;='2025'!$M132), AI$4&lt;&gt;DATE(2025,7,4)), (SWITCH(weekday(AI$4), 1, 0, 2, if(ISBLANK('2025'!$P132), 0, 1), 3, if(ISBLANK('2025'!$Q132), 0, 1), 4, if(ISBLANK('2025'!$R132), 0, 1), 5, if(ISBLANK('2025'!$S132), 0, 1), 6, if(ISBLANK('2025'!$T132), 0, 1), 7, 0))), 1, "")</f>
        <v/>
      </c>
      <c r="AJ134" s="1" t="str">
        <f>IF(AND(AND(AND(AJ$4&gt;='2025'!$L132,AJ$4&lt;='2025'!$M132), AJ$4&lt;&gt;DATE(2025,7,4)), (SWITCH(weekday(AJ$4), 1, 0, 2, if(ISBLANK('2025'!$P132), 0, 1), 3, if(ISBLANK('2025'!$Q132), 0, 1), 4, if(ISBLANK('2025'!$R132), 0, 1), 5, if(ISBLANK('2025'!$S132), 0, 1), 6, if(ISBLANK('2025'!$T132), 0, 1), 7, 0))), 1, "")</f>
        <v/>
      </c>
      <c r="AK134" s="1" t="str">
        <f>IF(AND(AND(AND(AK$4&gt;='2025'!$L132,AK$4&lt;='2025'!$M132), AK$4&lt;&gt;DATE(2025,7,4)), (SWITCH(weekday(AK$4), 1, 0, 2, if(ISBLANK('2025'!$P132), 0, 1), 3, if(ISBLANK('2025'!$Q132), 0, 1), 4, if(ISBLANK('2025'!$R132), 0, 1), 5, if(ISBLANK('2025'!$S132), 0, 1), 6, if(ISBLANK('2025'!$T132), 0, 1), 7, 0))), 1, "")</f>
        <v/>
      </c>
      <c r="AL134" s="1" t="str">
        <f>IF(AND(AND(AND(AL$4&gt;='2025'!$L132,AL$4&lt;='2025'!$M132), AL$4&lt;&gt;DATE(2025,7,4)), (SWITCH(weekday(AL$4), 1, 0, 2, if(ISBLANK('2025'!$P132), 0, 1), 3, if(ISBLANK('2025'!$Q132), 0, 1), 4, if(ISBLANK('2025'!$R132), 0, 1), 5, if(ISBLANK('2025'!$S132), 0, 1), 6, if(ISBLANK('2025'!$T132), 0, 1), 7, 0))), 1, "")</f>
        <v/>
      </c>
      <c r="AM134" s="1" t="str">
        <f>IF(AND(AND(AND(AM$4&gt;='2025'!$L132,AM$4&lt;='2025'!$M132), AM$4&lt;&gt;DATE(2025,7,4)), (SWITCH(weekday(AM$4), 1, 0, 2, if(ISBLANK('2025'!$P132), 0, 1), 3, if(ISBLANK('2025'!$Q132), 0, 1), 4, if(ISBLANK('2025'!$R132), 0, 1), 5, if(ISBLANK('2025'!$S132), 0, 1), 6, if(ISBLANK('2025'!$T132), 0, 1), 7, 0))), 1, "")</f>
        <v/>
      </c>
      <c r="AN134" s="1" t="str">
        <f>IF(AND(AND(AND(AN$4&gt;='2025'!$L132,AN$4&lt;='2025'!$M132), AN$4&lt;&gt;DATE(2025,7,4)), (SWITCH(weekday(AN$4), 1, 0, 2, if(ISBLANK('2025'!$P132), 0, 1), 3, if(ISBLANK('2025'!$Q132), 0, 1), 4, if(ISBLANK('2025'!$R132), 0, 1), 5, if(ISBLANK('2025'!$S132), 0, 1), 6, if(ISBLANK('2025'!$T132), 0, 1), 7, 0))), 1, "")</f>
        <v/>
      </c>
      <c r="AO134" s="1" t="str">
        <f>IF(AND(AND(AND(AO$4&gt;='2025'!$L132,AO$4&lt;='2025'!$M132), AO$4&lt;&gt;DATE(2025,7,4)), (SWITCH(weekday(AO$4), 1, 0, 2, if(ISBLANK('2025'!$P132), 0, 1), 3, if(ISBLANK('2025'!$Q132), 0, 1), 4, if(ISBLANK('2025'!$R132), 0, 1), 5, if(ISBLANK('2025'!$S132), 0, 1), 6, if(ISBLANK('2025'!$T132), 0, 1), 7, 0))), 1, "")</f>
        <v/>
      </c>
      <c r="AP134" s="1" t="str">
        <f>IF(AND(AND(AND(AP$4&gt;='2025'!$L132,AP$4&lt;='2025'!$M132), AP$4&lt;&gt;DATE(2025,7,4)), (SWITCH(weekday(AP$4), 1, 0, 2, if(ISBLANK('2025'!$P132), 0, 1), 3, if(ISBLANK('2025'!$Q132), 0, 1), 4, if(ISBLANK('2025'!$R132), 0, 1), 5, if(ISBLANK('2025'!$S132), 0, 1), 6, if(ISBLANK('2025'!$T132), 0, 1), 7, 0))), 1, "")</f>
        <v/>
      </c>
      <c r="AQ134" s="1" t="str">
        <f>IF(AND(AND(AND(AQ$4&gt;='2025'!$L132,AQ$4&lt;='2025'!$M132), AQ$4&lt;&gt;DATE(2025,7,4)), (SWITCH(weekday(AQ$4), 1, 0, 2, if(ISBLANK('2025'!$P132), 0, 1), 3, if(ISBLANK('2025'!$Q132), 0, 1), 4, if(ISBLANK('2025'!$R132), 0, 1), 5, if(ISBLANK('2025'!$S132), 0, 1), 6, if(ISBLANK('2025'!$T132), 0, 1), 7, 0))), 1, "")</f>
        <v/>
      </c>
      <c r="AR134" s="1" t="str">
        <f>IF(AND(AND(AND(AR$4&gt;='2025'!$L132,AR$4&lt;='2025'!$M132), AR$4&lt;&gt;DATE(2025,7,4)), (SWITCH(weekday(AR$4), 1, 0, 2, if(ISBLANK('2025'!$P132), 0, 1), 3, if(ISBLANK('2025'!$Q132), 0, 1), 4, if(ISBLANK('2025'!$R132), 0, 1), 5, if(ISBLANK('2025'!$S132), 0, 1), 6, if(ISBLANK('2025'!$T132), 0, 1), 7, 0))), 1, "")</f>
        <v/>
      </c>
      <c r="AS134" s="1" t="str">
        <f>IF(AND(AND(AND(AS$4&gt;='2025'!$L132,AS$4&lt;='2025'!$M132), AS$4&lt;&gt;DATE(2025,7,4)), (SWITCH(weekday(AS$4), 1, 0, 2, if(ISBLANK('2025'!$P132), 0, 1), 3, if(ISBLANK('2025'!$Q132), 0, 1), 4, if(ISBLANK('2025'!$R132), 0, 1), 5, if(ISBLANK('2025'!$S132), 0, 1), 6, if(ISBLANK('2025'!$T132), 0, 1), 7, 0))), 1, "")</f>
        <v/>
      </c>
      <c r="AT134" s="1" t="str">
        <f>IF(AND(AND(AND(AT$4&gt;='2025'!$L132,AT$4&lt;='2025'!$M132), AT$4&lt;&gt;DATE(2025,7,4)), (SWITCH(weekday(AT$4), 1, 0, 2, if(ISBLANK('2025'!$P132), 0, 1), 3, if(ISBLANK('2025'!$Q132), 0, 1), 4, if(ISBLANK('2025'!$R132), 0, 1), 5, if(ISBLANK('2025'!$S132), 0, 1), 6, if(ISBLANK('2025'!$T132), 0, 1), 7, 0))), 1, "")</f>
        <v/>
      </c>
      <c r="AU134" s="1" t="str">
        <f>IF(AND(AND(AND(AU$4&gt;='2025'!$L132,AU$4&lt;='2025'!$M132), AU$4&lt;&gt;DATE(2025,7,4)), (SWITCH(weekday(AU$4), 1, 0, 2, if(ISBLANK('2025'!$P132), 0, 1), 3, if(ISBLANK('2025'!$Q132), 0, 1), 4, if(ISBLANK('2025'!$R132), 0, 1), 5, if(ISBLANK('2025'!$S132), 0, 1), 6, if(ISBLANK('2025'!$T132), 0, 1), 7, 0))), 1, "")</f>
        <v/>
      </c>
      <c r="AV134" s="1" t="str">
        <f>IF(AND(AND(AND(AV$4&gt;='2025'!$L132,AV$4&lt;='2025'!$M132), AV$4&lt;&gt;DATE(2025,7,4)), (SWITCH(weekday(AV$4), 1, 0, 2, if(ISBLANK('2025'!$P132), 0, 1), 3, if(ISBLANK('2025'!$Q132), 0, 1), 4, if(ISBLANK('2025'!$R132), 0, 1), 5, if(ISBLANK('2025'!$S132), 0, 1), 6, if(ISBLANK('2025'!$T132), 0, 1), 7, 0))), 1, "")</f>
        <v/>
      </c>
      <c r="AW134" s="1" t="str">
        <f>IF(AND(AND(AND(AW$4&gt;='2025'!$L132,AW$4&lt;='2025'!$M132), AW$4&lt;&gt;DATE(2025,7,4)), (SWITCH(weekday(AW$4), 1, 0, 2, if(ISBLANK('2025'!$P132), 0, 1), 3, if(ISBLANK('2025'!$Q132), 0, 1), 4, if(ISBLANK('2025'!$R132), 0, 1), 5, if(ISBLANK('2025'!$S132), 0, 1), 6, if(ISBLANK('2025'!$T132), 0, 1), 7, 0))), 1, "")</f>
        <v/>
      </c>
      <c r="AX134" s="1" t="str">
        <f>IF(AND(AND(AND(AX$4&gt;='2025'!$L132,AX$4&lt;='2025'!$M132), AX$4&lt;&gt;DATE(2025,7,4)), (SWITCH(weekday(AX$4), 1, 0, 2, if(ISBLANK('2025'!$P132), 0, 1), 3, if(ISBLANK('2025'!$Q132), 0, 1), 4, if(ISBLANK('2025'!$R132), 0, 1), 5, if(ISBLANK('2025'!$S132), 0, 1), 6, if(ISBLANK('2025'!$T132), 0, 1), 7, 0))), 1, "")</f>
        <v/>
      </c>
      <c r="AY134" s="1" t="str">
        <f>IF(AND(AND(AND(AY$4&gt;='2025'!$L132,AY$4&lt;='2025'!$M132), AY$4&lt;&gt;DATE(2025,7,4)), (SWITCH(weekday(AY$4), 1, 0, 2, if(ISBLANK('2025'!$P132), 0, 1), 3, if(ISBLANK('2025'!$Q132), 0, 1), 4, if(ISBLANK('2025'!$R132), 0, 1), 5, if(ISBLANK('2025'!$S132), 0, 1), 6, if(ISBLANK('2025'!$T132), 0, 1), 7, 0))), 1, "")</f>
        <v/>
      </c>
      <c r="AZ134" s="1" t="str">
        <f>IF(AND(AND(AND(AZ$4&gt;='2025'!$L132,AZ$4&lt;='2025'!$M132), AZ$4&lt;&gt;DATE(2025,7,4)), (SWITCH(weekday(AZ$4), 1, 0, 2, if(ISBLANK('2025'!$P132), 0, 1), 3, if(ISBLANK('2025'!$Q132), 0, 1), 4, if(ISBLANK('2025'!$R132), 0, 1), 5, if(ISBLANK('2025'!$S132), 0, 1), 6, if(ISBLANK('2025'!$T132), 0, 1), 7, 0))), 1, "")</f>
        <v/>
      </c>
      <c r="BA134" s="1" t="str">
        <f>IF(AND(AND(AND(BA$4&gt;='2025'!$L132,BA$4&lt;='2025'!$M132), BA$4&lt;&gt;DATE(2025,7,4)), (SWITCH(weekday(BA$4), 1, 0, 2, if(ISBLANK('2025'!$P132), 0, 1), 3, if(ISBLANK('2025'!$Q132), 0, 1), 4, if(ISBLANK('2025'!$R132), 0, 1), 5, if(ISBLANK('2025'!$S132), 0, 1), 6, if(ISBLANK('2025'!$T132), 0, 1), 7, 0))), 1, "")</f>
        <v/>
      </c>
      <c r="BB134" s="1" t="str">
        <f>IF(AND(AND(AND(BB$4&gt;='2025'!$L132,BB$4&lt;='2025'!$M132), BB$4&lt;&gt;DATE(2025,7,4)), (SWITCH(weekday(BB$4), 1, 0, 2, if(ISBLANK('2025'!$P132), 0, 1), 3, if(ISBLANK('2025'!$Q132), 0, 1), 4, if(ISBLANK('2025'!$R132), 0, 1), 5, if(ISBLANK('2025'!$S132), 0, 1), 6, if(ISBLANK('2025'!$T132), 0, 1), 7, 0))), 1, "")</f>
        <v/>
      </c>
      <c r="BC134" s="1" t="str">
        <f>IF(AND(AND(AND(BC$4&gt;='2025'!$L132,BC$4&lt;='2025'!$M132), BC$4&lt;&gt;DATE(2025,7,4)), (SWITCH(weekday(BC$4), 1, 0, 2, if(ISBLANK('2025'!$P132), 0, 1), 3, if(ISBLANK('2025'!$Q132), 0, 1), 4, if(ISBLANK('2025'!$R132), 0, 1), 5, if(ISBLANK('2025'!$S132), 0, 1), 6, if(ISBLANK('2025'!$T132), 0, 1), 7, 0))), 1, "")</f>
        <v/>
      </c>
      <c r="BD134" s="1" t="str">
        <f>IF(AND(AND(AND(BD$4&gt;='2025'!$L132,BD$4&lt;='2025'!$M132), BD$4&lt;&gt;DATE(2025,7,4)), (SWITCH(weekday(BD$4), 1, 0, 2, if(ISBLANK('2025'!$P132), 0, 1), 3, if(ISBLANK('2025'!$Q132), 0, 1), 4, if(ISBLANK('2025'!$R132), 0, 1), 5, if(ISBLANK('2025'!$S132), 0, 1), 6, if(ISBLANK('2025'!$T132), 0, 1), 7, 0))), 1, "")</f>
        <v/>
      </c>
      <c r="BE134" s="1" t="str">
        <f>IF(AND(AND(AND(BE$4&gt;='2025'!$L132,BE$4&lt;='2025'!$M132), BE$4&lt;&gt;DATE(2025,7,4)), (SWITCH(weekday(BE$4), 1, 0, 2, if(ISBLANK('2025'!$P132), 0, 1), 3, if(ISBLANK('2025'!$Q132), 0, 1), 4, if(ISBLANK('2025'!$R132), 0, 1), 5, if(ISBLANK('2025'!$S132), 0, 1), 6, if(ISBLANK('2025'!$T132), 0, 1), 7, 0))), 1, "")</f>
        <v/>
      </c>
      <c r="BF134" s="1" t="str">
        <f>IF(AND(AND(AND(BF$4&gt;='2025'!$L132,BF$4&lt;='2025'!$M132), BF$4&lt;&gt;DATE(2025,7,4)), (SWITCH(weekday(BF$4), 1, 0, 2, if(ISBLANK('2025'!$P132), 0, 1), 3, if(ISBLANK('2025'!$Q132), 0, 1), 4, if(ISBLANK('2025'!$R132), 0, 1), 5, if(ISBLANK('2025'!$S132), 0, 1), 6, if(ISBLANK('2025'!$T132), 0, 1), 7, 0))), 1, "")</f>
        <v/>
      </c>
      <c r="BG134" s="1"/>
      <c r="BH134" s="1"/>
      <c r="BI134" s="1"/>
      <c r="BJ134" s="1"/>
      <c r="BK134" s="1"/>
      <c r="BL134" s="1"/>
    </row>
    <row r="135">
      <c r="A135" s="1">
        <f t="shared" si="3"/>
        <v>135</v>
      </c>
      <c r="B135" s="1" t="str">
        <f>'2025'!D99</f>
        <v>, </v>
      </c>
      <c r="C135" s="1" t="str">
        <f>'2025'!H99</f>
        <v/>
      </c>
      <c r="D135" s="1" t="str">
        <f>IF(AND(AND(AND(D$4&gt;='2025'!$L133,D$4&lt;='2025'!$M133), D$4&lt;&gt;DATE(2025,7,4)), (SWITCH(weekday(D$4), 1, 0, 2, if(ISBLANK('2025'!$P133), 0, 1), 3, if(ISBLANK('2025'!$Q133), 0, 1), 4, if(ISBLANK('2025'!$R133), 0, 1), 5, if(ISBLANK('2025'!$S133), 0, 1), 6, if(ISBLANK('2025'!$T133), 0, 1), 7, 0))), 1, "")</f>
        <v/>
      </c>
      <c r="E135" s="1" t="str">
        <f>IF(AND(AND(AND(E$4&gt;='2025'!$L133,E$4&lt;='2025'!$M133), E$4&lt;&gt;DATE(2025,7,4)), (SWITCH(weekday(E$4), 1, 0, 2, if(ISBLANK('2025'!$P133), 0, 1), 3, if(ISBLANK('2025'!$Q133), 0, 1), 4, if(ISBLANK('2025'!$R133), 0, 1), 5, if(ISBLANK('2025'!$S133), 0, 1), 6, if(ISBLANK('2025'!$T133), 0, 1), 7, 0))), 1, "")</f>
        <v/>
      </c>
      <c r="F135" s="1" t="str">
        <f>IF(AND(AND(AND(F$4&gt;='2025'!$L133,F$4&lt;='2025'!$M133), F$4&lt;&gt;DATE(2025,7,4)), (SWITCH(weekday(F$4), 1, 0, 2, if(ISBLANK('2025'!$P133), 0, 1), 3, if(ISBLANK('2025'!$Q133), 0, 1), 4, if(ISBLANK('2025'!$R133), 0, 1), 5, if(ISBLANK('2025'!$S133), 0, 1), 6, if(ISBLANK('2025'!$T133), 0, 1), 7, 0))), 1, "")</f>
        <v/>
      </c>
      <c r="G135" s="1" t="str">
        <f>IF(AND(AND(AND(G$4&gt;='2025'!$L133,G$4&lt;='2025'!$M133), G$4&lt;&gt;DATE(2025,7,4)), (SWITCH(weekday(G$4), 1, 0, 2, if(ISBLANK('2025'!$P133), 0, 1), 3, if(ISBLANK('2025'!$Q133), 0, 1), 4, if(ISBLANK('2025'!$R133), 0, 1), 5, if(ISBLANK('2025'!$S133), 0, 1), 6, if(ISBLANK('2025'!$T133), 0, 1), 7, 0))), 1, "")</f>
        <v/>
      </c>
      <c r="H135" s="1" t="str">
        <f>IF(AND(AND(AND(H$4&gt;='2025'!$L133,H$4&lt;='2025'!$M133), H$4&lt;&gt;DATE(2025,7,4)), (SWITCH(weekday(H$4), 1, 0, 2, if(ISBLANK('2025'!$P133), 0, 1), 3, if(ISBLANK('2025'!$Q133), 0, 1), 4, if(ISBLANK('2025'!$R133), 0, 1), 5, if(ISBLANK('2025'!$S133), 0, 1), 6, if(ISBLANK('2025'!$T133), 0, 1), 7, 0))), 1, "")</f>
        <v/>
      </c>
      <c r="I135" s="1" t="str">
        <f>IF(AND(AND(AND(I$4&gt;='2025'!$L133,I$4&lt;='2025'!$M133), I$4&lt;&gt;DATE(2025,7,4)), (SWITCH(weekday(I$4), 1, 0, 2, if(ISBLANK('2025'!$P133), 0, 1), 3, if(ISBLANK('2025'!$Q133), 0, 1), 4, if(ISBLANK('2025'!$R133), 0, 1), 5, if(ISBLANK('2025'!$S133), 0, 1), 6, if(ISBLANK('2025'!$T133), 0, 1), 7, 0))), 1, "")</f>
        <v/>
      </c>
      <c r="J135" s="1" t="str">
        <f>IF(AND(AND(AND(J$4&gt;='2025'!$L133,J$4&lt;='2025'!$M133), J$4&lt;&gt;DATE(2025,7,4)), (SWITCH(weekday(J$4), 1, 0, 2, if(ISBLANK('2025'!$P133), 0, 1), 3, if(ISBLANK('2025'!$Q133), 0, 1), 4, if(ISBLANK('2025'!$R133), 0, 1), 5, if(ISBLANK('2025'!$S133), 0, 1), 6, if(ISBLANK('2025'!$T133), 0, 1), 7, 0))), 1, "")</f>
        <v/>
      </c>
      <c r="K135" s="1" t="str">
        <f>IF(AND(AND(AND(K$4&gt;='2025'!$L133,K$4&lt;='2025'!$M133), K$4&lt;&gt;DATE(2025,7,4)), (SWITCH(weekday(K$4), 1, 0, 2, if(ISBLANK('2025'!$P133), 0, 1), 3, if(ISBLANK('2025'!$Q133), 0, 1), 4, if(ISBLANK('2025'!$R133), 0, 1), 5, if(ISBLANK('2025'!$S133), 0, 1), 6, if(ISBLANK('2025'!$T133), 0, 1), 7, 0))), 1, "")</f>
        <v/>
      </c>
      <c r="L135" s="1" t="str">
        <f>IF(AND(AND(AND(L$4&gt;='2025'!$L133,L$4&lt;='2025'!$M133), L$4&lt;&gt;DATE(2025,7,4)), (SWITCH(weekday(L$4), 1, 0, 2, if(ISBLANK('2025'!$P133), 0, 1), 3, if(ISBLANK('2025'!$Q133), 0, 1), 4, if(ISBLANK('2025'!$R133), 0, 1), 5, if(ISBLANK('2025'!$S133), 0, 1), 6, if(ISBLANK('2025'!$T133), 0, 1), 7, 0))), 1, "")</f>
        <v/>
      </c>
      <c r="M135" s="1" t="str">
        <f>IF(AND(AND(AND(M$4&gt;='2025'!$L133,M$4&lt;='2025'!$M133), M$4&lt;&gt;DATE(2025,7,4)), (SWITCH(weekday(M$4), 1, 0, 2, if(ISBLANK('2025'!$P133), 0, 1), 3, if(ISBLANK('2025'!$Q133), 0, 1), 4, if(ISBLANK('2025'!$R133), 0, 1), 5, if(ISBLANK('2025'!$S133), 0, 1), 6, if(ISBLANK('2025'!$T133), 0, 1), 7, 0))), 1, "")</f>
        <v/>
      </c>
      <c r="N135" s="1" t="str">
        <f>IF(AND(AND(AND(N$4&gt;='2025'!$L133,N$4&lt;='2025'!$M133), N$4&lt;&gt;DATE(2025,7,4)), (SWITCH(weekday(N$4), 1, 0, 2, if(ISBLANK('2025'!$P133), 0, 1), 3, if(ISBLANK('2025'!$Q133), 0, 1), 4, if(ISBLANK('2025'!$R133), 0, 1), 5, if(ISBLANK('2025'!$S133), 0, 1), 6, if(ISBLANK('2025'!$T133), 0, 1), 7, 0))), 1, "")</f>
        <v/>
      </c>
      <c r="O135" s="1" t="str">
        <f>IF(AND(AND(AND(O$4&gt;='2025'!$L133,O$4&lt;='2025'!$M133), O$4&lt;&gt;DATE(2025,7,4)), (SWITCH(weekday(O$4), 1, 0, 2, if(ISBLANK('2025'!$P133), 0, 1), 3, if(ISBLANK('2025'!$Q133), 0, 1), 4, if(ISBLANK('2025'!$R133), 0, 1), 5, if(ISBLANK('2025'!$S133), 0, 1), 6, if(ISBLANK('2025'!$T133), 0, 1), 7, 0))), 1, "")</f>
        <v/>
      </c>
      <c r="P135" s="1" t="str">
        <f>IF(AND(AND(AND(P$4&gt;='2025'!$L133,P$4&lt;='2025'!$M133), P$4&lt;&gt;DATE(2025,7,4)), (SWITCH(weekday(P$4), 1, 0, 2, if(ISBLANK('2025'!$P133), 0, 1), 3, if(ISBLANK('2025'!$Q133), 0, 1), 4, if(ISBLANK('2025'!$R133), 0, 1), 5, if(ISBLANK('2025'!$S133), 0, 1), 6, if(ISBLANK('2025'!$T133), 0, 1), 7, 0))), 1, "")</f>
        <v/>
      </c>
      <c r="Q135" s="1" t="str">
        <f>IF(AND(AND(AND(Q$4&gt;='2025'!$L133,Q$4&lt;='2025'!$M133), Q$4&lt;&gt;DATE(2025,7,4)), (SWITCH(weekday(Q$4), 1, 0, 2, if(ISBLANK('2025'!$P133), 0, 1), 3, if(ISBLANK('2025'!$Q133), 0, 1), 4, if(ISBLANK('2025'!$R133), 0, 1), 5, if(ISBLANK('2025'!$S133), 0, 1), 6, if(ISBLANK('2025'!$T133), 0, 1), 7, 0))), 1, "")</f>
        <v/>
      </c>
      <c r="R135" s="1" t="str">
        <f>IF(AND(AND(AND(R$4&gt;='2025'!$L133,R$4&lt;='2025'!$M133), R$4&lt;&gt;DATE(2025,7,4)), (SWITCH(weekday(R$4), 1, 0, 2, if(ISBLANK('2025'!$P133), 0, 1), 3, if(ISBLANK('2025'!$Q133), 0, 1), 4, if(ISBLANK('2025'!$R133), 0, 1), 5, if(ISBLANK('2025'!$S133), 0, 1), 6, if(ISBLANK('2025'!$T133), 0, 1), 7, 0))), 1, "")</f>
        <v/>
      </c>
      <c r="S135" s="1" t="str">
        <f>IF(AND(AND(AND(S$4&gt;='2025'!$L133,S$4&lt;='2025'!$M133), S$4&lt;&gt;DATE(2025,7,4)), (SWITCH(weekday(S$4), 1, 0, 2, if(ISBLANK('2025'!$P133), 0, 1), 3, if(ISBLANK('2025'!$Q133), 0, 1), 4, if(ISBLANK('2025'!$R133), 0, 1), 5, if(ISBLANK('2025'!$S133), 0, 1), 6, if(ISBLANK('2025'!$T133), 0, 1), 7, 0))), 1, "")</f>
        <v/>
      </c>
      <c r="T135" s="1" t="str">
        <f>IF(AND(AND(AND(T$4&gt;='2025'!$L133,T$4&lt;='2025'!$M133), T$4&lt;&gt;DATE(2025,7,4)), (SWITCH(weekday(T$4), 1, 0, 2, if(ISBLANK('2025'!$P133), 0, 1), 3, if(ISBLANK('2025'!$Q133), 0, 1), 4, if(ISBLANK('2025'!$R133), 0, 1), 5, if(ISBLANK('2025'!$S133), 0, 1), 6, if(ISBLANK('2025'!$T133), 0, 1), 7, 0))), 1, "")</f>
        <v/>
      </c>
      <c r="U135" s="1" t="str">
        <f>IF(AND(AND(AND(U$4&gt;='2025'!$L133,U$4&lt;='2025'!$M133), U$4&lt;&gt;DATE(2025,7,4)), (SWITCH(weekday(U$4), 1, 0, 2, if(ISBLANK('2025'!$P133), 0, 1), 3, if(ISBLANK('2025'!$Q133), 0, 1), 4, if(ISBLANK('2025'!$R133), 0, 1), 5, if(ISBLANK('2025'!$S133), 0, 1), 6, if(ISBLANK('2025'!$T133), 0, 1), 7, 0))), 1, "")</f>
        <v/>
      </c>
      <c r="V135" s="1" t="str">
        <f>IF(AND(AND(AND(V$4&gt;='2025'!$L133,V$4&lt;='2025'!$M133), V$4&lt;&gt;DATE(2025,7,4)), (SWITCH(weekday(V$4), 1, 0, 2, if(ISBLANK('2025'!$P133), 0, 1), 3, if(ISBLANK('2025'!$Q133), 0, 1), 4, if(ISBLANK('2025'!$R133), 0, 1), 5, if(ISBLANK('2025'!$S133), 0, 1), 6, if(ISBLANK('2025'!$T133), 0, 1), 7, 0))), 1, "")</f>
        <v/>
      </c>
      <c r="W135" s="1" t="str">
        <f>IF(AND(AND(AND(W$4&gt;='2025'!$L133,W$4&lt;='2025'!$M133), W$4&lt;&gt;DATE(2025,7,4)), (SWITCH(weekday(W$4), 1, 0, 2, if(ISBLANK('2025'!$P133), 0, 1), 3, if(ISBLANK('2025'!$Q133), 0, 1), 4, if(ISBLANK('2025'!$R133), 0, 1), 5, if(ISBLANK('2025'!$S133), 0, 1), 6, if(ISBLANK('2025'!$T133), 0, 1), 7, 0))), 1, "")</f>
        <v/>
      </c>
      <c r="X135" s="1" t="str">
        <f>IF(AND(AND(AND(X$4&gt;='2025'!$L133,X$4&lt;='2025'!$M133), X$4&lt;&gt;DATE(2025,7,4)), (SWITCH(weekday(X$4), 1, 0, 2, if(ISBLANK('2025'!$P133), 0, 1), 3, if(ISBLANK('2025'!$Q133), 0, 1), 4, if(ISBLANK('2025'!$R133), 0, 1), 5, if(ISBLANK('2025'!$S133), 0, 1), 6, if(ISBLANK('2025'!$T133), 0, 1), 7, 0))), 1, "")</f>
        <v/>
      </c>
      <c r="Y135" s="1" t="str">
        <f>IF(AND(AND(AND(Y$4&gt;='2025'!$L133,Y$4&lt;='2025'!$M133), Y$4&lt;&gt;DATE(2025,7,4)), (SWITCH(weekday(Y$4), 1, 0, 2, if(ISBLANK('2025'!$P133), 0, 1), 3, if(ISBLANK('2025'!$Q133), 0, 1), 4, if(ISBLANK('2025'!$R133), 0, 1), 5, if(ISBLANK('2025'!$S133), 0, 1), 6, if(ISBLANK('2025'!$T133), 0, 1), 7, 0))), 1, "")</f>
        <v/>
      </c>
      <c r="Z135" s="1" t="str">
        <f>IF(AND(AND(AND(Z$4&gt;='2025'!$L133,Z$4&lt;='2025'!$M133), Z$4&lt;&gt;DATE(2025,7,4)), (SWITCH(weekday(Z$4), 1, 0, 2, if(ISBLANK('2025'!$P133), 0, 1), 3, if(ISBLANK('2025'!$Q133), 0, 1), 4, if(ISBLANK('2025'!$R133), 0, 1), 5, if(ISBLANK('2025'!$S133), 0, 1), 6, if(ISBLANK('2025'!$T133), 0, 1), 7, 0))), 1, "")</f>
        <v/>
      </c>
      <c r="AA135" s="1" t="str">
        <f>IF(AND(AND(AND(AA$4&gt;='2025'!$L133,AA$4&lt;='2025'!$M133), AA$4&lt;&gt;DATE(2025,7,4)), (SWITCH(weekday(AA$4), 1, 0, 2, if(ISBLANK('2025'!$P133), 0, 1), 3, if(ISBLANK('2025'!$Q133), 0, 1), 4, if(ISBLANK('2025'!$R133), 0, 1), 5, if(ISBLANK('2025'!$S133), 0, 1), 6, if(ISBLANK('2025'!$T133), 0, 1), 7, 0))), 1, "")</f>
        <v/>
      </c>
      <c r="AB135" s="1" t="str">
        <f>IF(AND(AND(AND(AB$4&gt;='2025'!$L133,AB$4&lt;='2025'!$M133), AB$4&lt;&gt;DATE(2025,7,4)), (SWITCH(weekday(AB$4), 1, 0, 2, if(ISBLANK('2025'!$P133), 0, 1), 3, if(ISBLANK('2025'!$Q133), 0, 1), 4, if(ISBLANK('2025'!$R133), 0, 1), 5, if(ISBLANK('2025'!$S133), 0, 1), 6, if(ISBLANK('2025'!$T133), 0, 1), 7, 0))), 1, "")</f>
        <v/>
      </c>
      <c r="AC135" s="1" t="str">
        <f>IF(AND(AND(AND(AC$4&gt;='2025'!$L133,AC$4&lt;='2025'!$M133), AC$4&lt;&gt;DATE(2025,7,4)), (SWITCH(weekday(AC$4), 1, 0, 2, if(ISBLANK('2025'!$P133), 0, 1), 3, if(ISBLANK('2025'!$Q133), 0, 1), 4, if(ISBLANK('2025'!$R133), 0, 1), 5, if(ISBLANK('2025'!$S133), 0, 1), 6, if(ISBLANK('2025'!$T133), 0, 1), 7, 0))), 1, "")</f>
        <v/>
      </c>
      <c r="AD135" s="1" t="str">
        <f>IF(AND(AND(AND(AD$4&gt;='2025'!$L133,AD$4&lt;='2025'!$M133), AD$4&lt;&gt;DATE(2025,7,4)), (SWITCH(weekday(AD$4), 1, 0, 2, if(ISBLANK('2025'!$P133), 0, 1), 3, if(ISBLANK('2025'!$Q133), 0, 1), 4, if(ISBLANK('2025'!$R133), 0, 1), 5, if(ISBLANK('2025'!$S133), 0, 1), 6, if(ISBLANK('2025'!$T133), 0, 1), 7, 0))), 1, "")</f>
        <v/>
      </c>
      <c r="AE135" s="1" t="str">
        <f>IF(AND(AND(AND(AE$4&gt;='2025'!$L133,AE$4&lt;='2025'!$M133), AE$4&lt;&gt;DATE(2025,7,4)), (SWITCH(weekday(AE$4), 1, 0, 2, if(ISBLANK('2025'!$P133), 0, 1), 3, if(ISBLANK('2025'!$Q133), 0, 1), 4, if(ISBLANK('2025'!$R133), 0, 1), 5, if(ISBLANK('2025'!$S133), 0, 1), 6, if(ISBLANK('2025'!$T133), 0, 1), 7, 0))), 1, "")</f>
        <v/>
      </c>
      <c r="AF135" s="1" t="str">
        <f>IF(AND(AND(AND(AF$4&gt;='2025'!$L133,AF$4&lt;='2025'!$M133), AF$4&lt;&gt;DATE(2025,7,4)), (SWITCH(weekday(AF$4), 1, 0, 2, if(ISBLANK('2025'!$P133), 0, 1), 3, if(ISBLANK('2025'!$Q133), 0, 1), 4, if(ISBLANK('2025'!$R133), 0, 1), 5, if(ISBLANK('2025'!$S133), 0, 1), 6, if(ISBLANK('2025'!$T133), 0, 1), 7, 0))), 1, "")</f>
        <v/>
      </c>
      <c r="AG135" s="1" t="str">
        <f>IF(AND(AND(AND(AG$4&gt;='2025'!$L133,AG$4&lt;='2025'!$M133), AG$4&lt;&gt;DATE(2025,7,4)), (SWITCH(weekday(AG$4), 1, 0, 2, if(ISBLANK('2025'!$P133), 0, 1), 3, if(ISBLANK('2025'!$Q133), 0, 1), 4, if(ISBLANK('2025'!$R133), 0, 1), 5, if(ISBLANK('2025'!$S133), 0, 1), 6, if(ISBLANK('2025'!$T133), 0, 1), 7, 0))), 1, "")</f>
        <v/>
      </c>
      <c r="AH135" s="1" t="str">
        <f>IF(AND(AND(AND(AH$4&gt;='2025'!$L133,AH$4&lt;='2025'!$M133), AH$4&lt;&gt;DATE(2025,7,4)), (SWITCH(weekday(AH$4), 1, 0, 2, if(ISBLANK('2025'!$P133), 0, 1), 3, if(ISBLANK('2025'!$Q133), 0, 1), 4, if(ISBLANK('2025'!$R133), 0, 1), 5, if(ISBLANK('2025'!$S133), 0, 1), 6, if(ISBLANK('2025'!$T133), 0, 1), 7, 0))), 1, "")</f>
        <v/>
      </c>
      <c r="AI135" s="1" t="str">
        <f>IF(AND(AND(AND(AI$4&gt;='2025'!$L133,AI$4&lt;='2025'!$M133), AI$4&lt;&gt;DATE(2025,7,4)), (SWITCH(weekday(AI$4), 1, 0, 2, if(ISBLANK('2025'!$P133), 0, 1), 3, if(ISBLANK('2025'!$Q133), 0, 1), 4, if(ISBLANK('2025'!$R133), 0, 1), 5, if(ISBLANK('2025'!$S133), 0, 1), 6, if(ISBLANK('2025'!$T133), 0, 1), 7, 0))), 1, "")</f>
        <v/>
      </c>
      <c r="AJ135" s="1" t="str">
        <f>IF(AND(AND(AND(AJ$4&gt;='2025'!$L133,AJ$4&lt;='2025'!$M133), AJ$4&lt;&gt;DATE(2025,7,4)), (SWITCH(weekday(AJ$4), 1, 0, 2, if(ISBLANK('2025'!$P133), 0, 1), 3, if(ISBLANK('2025'!$Q133), 0, 1), 4, if(ISBLANK('2025'!$R133), 0, 1), 5, if(ISBLANK('2025'!$S133), 0, 1), 6, if(ISBLANK('2025'!$T133), 0, 1), 7, 0))), 1, "")</f>
        <v/>
      </c>
      <c r="AK135" s="1" t="str">
        <f>IF(AND(AND(AND(AK$4&gt;='2025'!$L133,AK$4&lt;='2025'!$M133), AK$4&lt;&gt;DATE(2025,7,4)), (SWITCH(weekday(AK$4), 1, 0, 2, if(ISBLANK('2025'!$P133), 0, 1), 3, if(ISBLANK('2025'!$Q133), 0, 1), 4, if(ISBLANK('2025'!$R133), 0, 1), 5, if(ISBLANK('2025'!$S133), 0, 1), 6, if(ISBLANK('2025'!$T133), 0, 1), 7, 0))), 1, "")</f>
        <v/>
      </c>
      <c r="AL135" s="1" t="str">
        <f>IF(AND(AND(AND(AL$4&gt;='2025'!$L133,AL$4&lt;='2025'!$M133), AL$4&lt;&gt;DATE(2025,7,4)), (SWITCH(weekday(AL$4), 1, 0, 2, if(ISBLANK('2025'!$P133), 0, 1), 3, if(ISBLANK('2025'!$Q133), 0, 1), 4, if(ISBLANK('2025'!$R133), 0, 1), 5, if(ISBLANK('2025'!$S133), 0, 1), 6, if(ISBLANK('2025'!$T133), 0, 1), 7, 0))), 1, "")</f>
        <v/>
      </c>
      <c r="AM135" s="1" t="str">
        <f>IF(AND(AND(AND(AM$4&gt;='2025'!$L133,AM$4&lt;='2025'!$M133), AM$4&lt;&gt;DATE(2025,7,4)), (SWITCH(weekday(AM$4), 1, 0, 2, if(ISBLANK('2025'!$P133), 0, 1), 3, if(ISBLANK('2025'!$Q133), 0, 1), 4, if(ISBLANK('2025'!$R133), 0, 1), 5, if(ISBLANK('2025'!$S133), 0, 1), 6, if(ISBLANK('2025'!$T133), 0, 1), 7, 0))), 1, "")</f>
        <v/>
      </c>
      <c r="AN135" s="1" t="str">
        <f>IF(AND(AND(AND(AN$4&gt;='2025'!$L133,AN$4&lt;='2025'!$M133), AN$4&lt;&gt;DATE(2025,7,4)), (SWITCH(weekday(AN$4), 1, 0, 2, if(ISBLANK('2025'!$P133), 0, 1), 3, if(ISBLANK('2025'!$Q133), 0, 1), 4, if(ISBLANK('2025'!$R133), 0, 1), 5, if(ISBLANK('2025'!$S133), 0, 1), 6, if(ISBLANK('2025'!$T133), 0, 1), 7, 0))), 1, "")</f>
        <v/>
      </c>
      <c r="AO135" s="1" t="str">
        <f>IF(AND(AND(AND(AO$4&gt;='2025'!$L133,AO$4&lt;='2025'!$M133), AO$4&lt;&gt;DATE(2025,7,4)), (SWITCH(weekday(AO$4), 1, 0, 2, if(ISBLANK('2025'!$P133), 0, 1), 3, if(ISBLANK('2025'!$Q133), 0, 1), 4, if(ISBLANK('2025'!$R133), 0, 1), 5, if(ISBLANK('2025'!$S133), 0, 1), 6, if(ISBLANK('2025'!$T133), 0, 1), 7, 0))), 1, "")</f>
        <v/>
      </c>
      <c r="AP135" s="1" t="str">
        <f>IF(AND(AND(AND(AP$4&gt;='2025'!$L133,AP$4&lt;='2025'!$M133), AP$4&lt;&gt;DATE(2025,7,4)), (SWITCH(weekday(AP$4), 1, 0, 2, if(ISBLANK('2025'!$P133), 0, 1), 3, if(ISBLANK('2025'!$Q133), 0, 1), 4, if(ISBLANK('2025'!$R133), 0, 1), 5, if(ISBLANK('2025'!$S133), 0, 1), 6, if(ISBLANK('2025'!$T133), 0, 1), 7, 0))), 1, "")</f>
        <v/>
      </c>
      <c r="AQ135" s="1" t="str">
        <f>IF(AND(AND(AND(AQ$4&gt;='2025'!$L133,AQ$4&lt;='2025'!$M133), AQ$4&lt;&gt;DATE(2025,7,4)), (SWITCH(weekday(AQ$4), 1, 0, 2, if(ISBLANK('2025'!$P133), 0, 1), 3, if(ISBLANK('2025'!$Q133), 0, 1), 4, if(ISBLANK('2025'!$R133), 0, 1), 5, if(ISBLANK('2025'!$S133), 0, 1), 6, if(ISBLANK('2025'!$T133), 0, 1), 7, 0))), 1, "")</f>
        <v/>
      </c>
      <c r="AR135" s="1" t="str">
        <f>IF(AND(AND(AND(AR$4&gt;='2025'!$L133,AR$4&lt;='2025'!$M133), AR$4&lt;&gt;DATE(2025,7,4)), (SWITCH(weekday(AR$4), 1, 0, 2, if(ISBLANK('2025'!$P133), 0, 1), 3, if(ISBLANK('2025'!$Q133), 0, 1), 4, if(ISBLANK('2025'!$R133), 0, 1), 5, if(ISBLANK('2025'!$S133), 0, 1), 6, if(ISBLANK('2025'!$T133), 0, 1), 7, 0))), 1, "")</f>
        <v/>
      </c>
      <c r="AS135" s="1" t="str">
        <f>IF(AND(AND(AND(AS$4&gt;='2025'!$L133,AS$4&lt;='2025'!$M133), AS$4&lt;&gt;DATE(2025,7,4)), (SWITCH(weekday(AS$4), 1, 0, 2, if(ISBLANK('2025'!$P133), 0, 1), 3, if(ISBLANK('2025'!$Q133), 0, 1), 4, if(ISBLANK('2025'!$R133), 0, 1), 5, if(ISBLANK('2025'!$S133), 0, 1), 6, if(ISBLANK('2025'!$T133), 0, 1), 7, 0))), 1, "")</f>
        <v/>
      </c>
      <c r="AT135" s="1" t="str">
        <f>IF(AND(AND(AND(AT$4&gt;='2025'!$L133,AT$4&lt;='2025'!$M133), AT$4&lt;&gt;DATE(2025,7,4)), (SWITCH(weekday(AT$4), 1, 0, 2, if(ISBLANK('2025'!$P133), 0, 1), 3, if(ISBLANK('2025'!$Q133), 0, 1), 4, if(ISBLANK('2025'!$R133), 0, 1), 5, if(ISBLANK('2025'!$S133), 0, 1), 6, if(ISBLANK('2025'!$T133), 0, 1), 7, 0))), 1, "")</f>
        <v/>
      </c>
      <c r="AU135" s="1" t="str">
        <f>IF(AND(AND(AND(AU$4&gt;='2025'!$L133,AU$4&lt;='2025'!$M133), AU$4&lt;&gt;DATE(2025,7,4)), (SWITCH(weekday(AU$4), 1, 0, 2, if(ISBLANK('2025'!$P133), 0, 1), 3, if(ISBLANK('2025'!$Q133), 0, 1), 4, if(ISBLANK('2025'!$R133), 0, 1), 5, if(ISBLANK('2025'!$S133), 0, 1), 6, if(ISBLANK('2025'!$T133), 0, 1), 7, 0))), 1, "")</f>
        <v/>
      </c>
      <c r="AV135" s="1" t="str">
        <f>IF(AND(AND(AND(AV$4&gt;='2025'!$L133,AV$4&lt;='2025'!$M133), AV$4&lt;&gt;DATE(2025,7,4)), (SWITCH(weekday(AV$4), 1, 0, 2, if(ISBLANK('2025'!$P133), 0, 1), 3, if(ISBLANK('2025'!$Q133), 0, 1), 4, if(ISBLANK('2025'!$R133), 0, 1), 5, if(ISBLANK('2025'!$S133), 0, 1), 6, if(ISBLANK('2025'!$T133), 0, 1), 7, 0))), 1, "")</f>
        <v/>
      </c>
      <c r="AW135" s="1" t="str">
        <f>IF(AND(AND(AND(AW$4&gt;='2025'!$L133,AW$4&lt;='2025'!$M133), AW$4&lt;&gt;DATE(2025,7,4)), (SWITCH(weekday(AW$4), 1, 0, 2, if(ISBLANK('2025'!$P133), 0, 1), 3, if(ISBLANK('2025'!$Q133), 0, 1), 4, if(ISBLANK('2025'!$R133), 0, 1), 5, if(ISBLANK('2025'!$S133), 0, 1), 6, if(ISBLANK('2025'!$T133), 0, 1), 7, 0))), 1, "")</f>
        <v/>
      </c>
      <c r="AX135" s="1" t="str">
        <f>IF(AND(AND(AND(AX$4&gt;='2025'!$L133,AX$4&lt;='2025'!$M133), AX$4&lt;&gt;DATE(2025,7,4)), (SWITCH(weekday(AX$4), 1, 0, 2, if(ISBLANK('2025'!$P133), 0, 1), 3, if(ISBLANK('2025'!$Q133), 0, 1), 4, if(ISBLANK('2025'!$R133), 0, 1), 5, if(ISBLANK('2025'!$S133), 0, 1), 6, if(ISBLANK('2025'!$T133), 0, 1), 7, 0))), 1, "")</f>
        <v/>
      </c>
      <c r="AY135" s="1" t="str">
        <f>IF(AND(AND(AND(AY$4&gt;='2025'!$L133,AY$4&lt;='2025'!$M133), AY$4&lt;&gt;DATE(2025,7,4)), (SWITCH(weekday(AY$4), 1, 0, 2, if(ISBLANK('2025'!$P133), 0, 1), 3, if(ISBLANK('2025'!$Q133), 0, 1), 4, if(ISBLANK('2025'!$R133), 0, 1), 5, if(ISBLANK('2025'!$S133), 0, 1), 6, if(ISBLANK('2025'!$T133), 0, 1), 7, 0))), 1, "")</f>
        <v/>
      </c>
      <c r="AZ135" s="1" t="str">
        <f>IF(AND(AND(AND(AZ$4&gt;='2025'!$L133,AZ$4&lt;='2025'!$M133), AZ$4&lt;&gt;DATE(2025,7,4)), (SWITCH(weekday(AZ$4), 1, 0, 2, if(ISBLANK('2025'!$P133), 0, 1), 3, if(ISBLANK('2025'!$Q133), 0, 1), 4, if(ISBLANK('2025'!$R133), 0, 1), 5, if(ISBLANK('2025'!$S133), 0, 1), 6, if(ISBLANK('2025'!$T133), 0, 1), 7, 0))), 1, "")</f>
        <v/>
      </c>
      <c r="BA135" s="1" t="str">
        <f>IF(AND(AND(AND(BA$4&gt;='2025'!$L133,BA$4&lt;='2025'!$M133), BA$4&lt;&gt;DATE(2025,7,4)), (SWITCH(weekday(BA$4), 1, 0, 2, if(ISBLANK('2025'!$P133), 0, 1), 3, if(ISBLANK('2025'!$Q133), 0, 1), 4, if(ISBLANK('2025'!$R133), 0, 1), 5, if(ISBLANK('2025'!$S133), 0, 1), 6, if(ISBLANK('2025'!$T133), 0, 1), 7, 0))), 1, "")</f>
        <v/>
      </c>
      <c r="BB135" s="1" t="str">
        <f>IF(AND(AND(AND(BB$4&gt;='2025'!$L133,BB$4&lt;='2025'!$M133), BB$4&lt;&gt;DATE(2025,7,4)), (SWITCH(weekday(BB$4), 1, 0, 2, if(ISBLANK('2025'!$P133), 0, 1), 3, if(ISBLANK('2025'!$Q133), 0, 1), 4, if(ISBLANK('2025'!$R133), 0, 1), 5, if(ISBLANK('2025'!$S133), 0, 1), 6, if(ISBLANK('2025'!$T133), 0, 1), 7, 0))), 1, "")</f>
        <v/>
      </c>
      <c r="BC135" s="1" t="str">
        <f>IF(AND(AND(AND(BC$4&gt;='2025'!$L133,BC$4&lt;='2025'!$M133), BC$4&lt;&gt;DATE(2025,7,4)), (SWITCH(weekday(BC$4), 1, 0, 2, if(ISBLANK('2025'!$P133), 0, 1), 3, if(ISBLANK('2025'!$Q133), 0, 1), 4, if(ISBLANK('2025'!$R133), 0, 1), 5, if(ISBLANK('2025'!$S133), 0, 1), 6, if(ISBLANK('2025'!$T133), 0, 1), 7, 0))), 1, "")</f>
        <v/>
      </c>
      <c r="BD135" s="1" t="str">
        <f>IF(AND(AND(AND(BD$4&gt;='2025'!$L133,BD$4&lt;='2025'!$M133), BD$4&lt;&gt;DATE(2025,7,4)), (SWITCH(weekday(BD$4), 1, 0, 2, if(ISBLANK('2025'!$P133), 0, 1), 3, if(ISBLANK('2025'!$Q133), 0, 1), 4, if(ISBLANK('2025'!$R133), 0, 1), 5, if(ISBLANK('2025'!$S133), 0, 1), 6, if(ISBLANK('2025'!$T133), 0, 1), 7, 0))), 1, "")</f>
        <v/>
      </c>
      <c r="BE135" s="1" t="str">
        <f>IF(AND(AND(AND(BE$4&gt;='2025'!$L133,BE$4&lt;='2025'!$M133), BE$4&lt;&gt;DATE(2025,7,4)), (SWITCH(weekday(BE$4), 1, 0, 2, if(ISBLANK('2025'!$P133), 0, 1), 3, if(ISBLANK('2025'!$Q133), 0, 1), 4, if(ISBLANK('2025'!$R133), 0, 1), 5, if(ISBLANK('2025'!$S133), 0, 1), 6, if(ISBLANK('2025'!$T133), 0, 1), 7, 0))), 1, "")</f>
        <v/>
      </c>
      <c r="BF135" s="1" t="str">
        <f>IF(AND(AND(AND(BF$4&gt;='2025'!$L133,BF$4&lt;='2025'!$M133), BF$4&lt;&gt;DATE(2025,7,4)), (SWITCH(weekday(BF$4), 1, 0, 2, if(ISBLANK('2025'!$P133), 0, 1), 3, if(ISBLANK('2025'!$Q133), 0, 1), 4, if(ISBLANK('2025'!$R133), 0, 1), 5, if(ISBLANK('2025'!$S133), 0, 1), 6, if(ISBLANK('2025'!$T133), 0, 1), 7, 0))), 1, "")</f>
        <v/>
      </c>
      <c r="BG135" s="1"/>
      <c r="BH135" s="1"/>
      <c r="BI135" s="1"/>
      <c r="BJ135" s="1"/>
      <c r="BK135" s="1"/>
      <c r="BL135" s="1"/>
    </row>
    <row r="136">
      <c r="A136" s="1">
        <f t="shared" si="3"/>
        <v>136</v>
      </c>
      <c r="B136" s="1" t="str">
        <f>'2025'!D100</f>
        <v>, </v>
      </c>
      <c r="C136" s="1" t="str">
        <f>'2025'!H100</f>
        <v/>
      </c>
      <c r="D136" s="1" t="str">
        <f>IF(AND(AND(AND(D$4&gt;='2025'!$L134,D$4&lt;='2025'!$M134), D$4&lt;&gt;DATE(2025,7,4)), (SWITCH(weekday(D$4), 1, 0, 2, if(ISBLANK('2025'!$P134), 0, 1), 3, if(ISBLANK('2025'!$Q134), 0, 1), 4, if(ISBLANK('2025'!$R134), 0, 1), 5, if(ISBLANK('2025'!$S134), 0, 1), 6, if(ISBLANK('2025'!$T134), 0, 1), 7, 0))), 1, "")</f>
        <v/>
      </c>
      <c r="E136" s="1" t="str">
        <f>IF(AND(AND(AND(E$4&gt;='2025'!$L134,E$4&lt;='2025'!$M134), E$4&lt;&gt;DATE(2025,7,4)), (SWITCH(weekday(E$4), 1, 0, 2, if(ISBLANK('2025'!$P134), 0, 1), 3, if(ISBLANK('2025'!$Q134), 0, 1), 4, if(ISBLANK('2025'!$R134), 0, 1), 5, if(ISBLANK('2025'!$S134), 0, 1), 6, if(ISBLANK('2025'!$T134), 0, 1), 7, 0))), 1, "")</f>
        <v/>
      </c>
      <c r="F136" s="1" t="str">
        <f>IF(AND(AND(AND(F$4&gt;='2025'!$L134,F$4&lt;='2025'!$M134), F$4&lt;&gt;DATE(2025,7,4)), (SWITCH(weekday(F$4), 1, 0, 2, if(ISBLANK('2025'!$P134), 0, 1), 3, if(ISBLANK('2025'!$Q134), 0, 1), 4, if(ISBLANK('2025'!$R134), 0, 1), 5, if(ISBLANK('2025'!$S134), 0, 1), 6, if(ISBLANK('2025'!$T134), 0, 1), 7, 0))), 1, "")</f>
        <v/>
      </c>
      <c r="G136" s="1" t="str">
        <f>IF(AND(AND(AND(G$4&gt;='2025'!$L134,G$4&lt;='2025'!$M134), G$4&lt;&gt;DATE(2025,7,4)), (SWITCH(weekday(G$4), 1, 0, 2, if(ISBLANK('2025'!$P134), 0, 1), 3, if(ISBLANK('2025'!$Q134), 0, 1), 4, if(ISBLANK('2025'!$R134), 0, 1), 5, if(ISBLANK('2025'!$S134), 0, 1), 6, if(ISBLANK('2025'!$T134), 0, 1), 7, 0))), 1, "")</f>
        <v/>
      </c>
      <c r="H136" s="1" t="str">
        <f>IF(AND(AND(AND(H$4&gt;='2025'!$L134,H$4&lt;='2025'!$M134), H$4&lt;&gt;DATE(2025,7,4)), (SWITCH(weekday(H$4), 1, 0, 2, if(ISBLANK('2025'!$P134), 0, 1), 3, if(ISBLANK('2025'!$Q134), 0, 1), 4, if(ISBLANK('2025'!$R134), 0, 1), 5, if(ISBLANK('2025'!$S134), 0, 1), 6, if(ISBLANK('2025'!$T134), 0, 1), 7, 0))), 1, "")</f>
        <v/>
      </c>
      <c r="I136" s="1" t="str">
        <f>IF(AND(AND(AND(I$4&gt;='2025'!$L134,I$4&lt;='2025'!$M134), I$4&lt;&gt;DATE(2025,7,4)), (SWITCH(weekday(I$4), 1, 0, 2, if(ISBLANK('2025'!$P134), 0, 1), 3, if(ISBLANK('2025'!$Q134), 0, 1), 4, if(ISBLANK('2025'!$R134), 0, 1), 5, if(ISBLANK('2025'!$S134), 0, 1), 6, if(ISBLANK('2025'!$T134), 0, 1), 7, 0))), 1, "")</f>
        <v/>
      </c>
      <c r="J136" s="1" t="str">
        <f>IF(AND(AND(AND(J$4&gt;='2025'!$L134,J$4&lt;='2025'!$M134), J$4&lt;&gt;DATE(2025,7,4)), (SWITCH(weekday(J$4), 1, 0, 2, if(ISBLANK('2025'!$P134), 0, 1), 3, if(ISBLANK('2025'!$Q134), 0, 1), 4, if(ISBLANK('2025'!$R134), 0, 1), 5, if(ISBLANK('2025'!$S134), 0, 1), 6, if(ISBLANK('2025'!$T134), 0, 1), 7, 0))), 1, "")</f>
        <v/>
      </c>
      <c r="K136" s="1" t="str">
        <f>IF(AND(AND(AND(K$4&gt;='2025'!$L134,K$4&lt;='2025'!$M134), K$4&lt;&gt;DATE(2025,7,4)), (SWITCH(weekday(K$4), 1, 0, 2, if(ISBLANK('2025'!$P134), 0, 1), 3, if(ISBLANK('2025'!$Q134), 0, 1), 4, if(ISBLANK('2025'!$R134), 0, 1), 5, if(ISBLANK('2025'!$S134), 0, 1), 6, if(ISBLANK('2025'!$T134), 0, 1), 7, 0))), 1, "")</f>
        <v/>
      </c>
      <c r="L136" s="1" t="str">
        <f>IF(AND(AND(AND(L$4&gt;='2025'!$L134,L$4&lt;='2025'!$M134), L$4&lt;&gt;DATE(2025,7,4)), (SWITCH(weekday(L$4), 1, 0, 2, if(ISBLANK('2025'!$P134), 0, 1), 3, if(ISBLANK('2025'!$Q134), 0, 1), 4, if(ISBLANK('2025'!$R134), 0, 1), 5, if(ISBLANK('2025'!$S134), 0, 1), 6, if(ISBLANK('2025'!$T134), 0, 1), 7, 0))), 1, "")</f>
        <v/>
      </c>
      <c r="M136" s="1" t="str">
        <f>IF(AND(AND(AND(M$4&gt;='2025'!$L134,M$4&lt;='2025'!$M134), M$4&lt;&gt;DATE(2025,7,4)), (SWITCH(weekday(M$4), 1, 0, 2, if(ISBLANK('2025'!$P134), 0, 1), 3, if(ISBLANK('2025'!$Q134), 0, 1), 4, if(ISBLANK('2025'!$R134), 0, 1), 5, if(ISBLANK('2025'!$S134), 0, 1), 6, if(ISBLANK('2025'!$T134), 0, 1), 7, 0))), 1, "")</f>
        <v/>
      </c>
      <c r="N136" s="1" t="str">
        <f>IF(AND(AND(AND(N$4&gt;='2025'!$L134,N$4&lt;='2025'!$M134), N$4&lt;&gt;DATE(2025,7,4)), (SWITCH(weekday(N$4), 1, 0, 2, if(ISBLANK('2025'!$P134), 0, 1), 3, if(ISBLANK('2025'!$Q134), 0, 1), 4, if(ISBLANK('2025'!$R134), 0, 1), 5, if(ISBLANK('2025'!$S134), 0, 1), 6, if(ISBLANK('2025'!$T134), 0, 1), 7, 0))), 1, "")</f>
        <v/>
      </c>
      <c r="O136" s="1" t="str">
        <f>IF(AND(AND(AND(O$4&gt;='2025'!$L134,O$4&lt;='2025'!$M134), O$4&lt;&gt;DATE(2025,7,4)), (SWITCH(weekday(O$4), 1, 0, 2, if(ISBLANK('2025'!$P134), 0, 1), 3, if(ISBLANK('2025'!$Q134), 0, 1), 4, if(ISBLANK('2025'!$R134), 0, 1), 5, if(ISBLANK('2025'!$S134), 0, 1), 6, if(ISBLANK('2025'!$T134), 0, 1), 7, 0))), 1, "")</f>
        <v/>
      </c>
      <c r="P136" s="1" t="str">
        <f>IF(AND(AND(AND(P$4&gt;='2025'!$L134,P$4&lt;='2025'!$M134), P$4&lt;&gt;DATE(2025,7,4)), (SWITCH(weekday(P$4), 1, 0, 2, if(ISBLANK('2025'!$P134), 0, 1), 3, if(ISBLANK('2025'!$Q134), 0, 1), 4, if(ISBLANK('2025'!$R134), 0, 1), 5, if(ISBLANK('2025'!$S134), 0, 1), 6, if(ISBLANK('2025'!$T134), 0, 1), 7, 0))), 1, "")</f>
        <v/>
      </c>
      <c r="Q136" s="1" t="str">
        <f>IF(AND(AND(AND(Q$4&gt;='2025'!$L134,Q$4&lt;='2025'!$M134), Q$4&lt;&gt;DATE(2025,7,4)), (SWITCH(weekday(Q$4), 1, 0, 2, if(ISBLANK('2025'!$P134), 0, 1), 3, if(ISBLANK('2025'!$Q134), 0, 1), 4, if(ISBLANK('2025'!$R134), 0, 1), 5, if(ISBLANK('2025'!$S134), 0, 1), 6, if(ISBLANK('2025'!$T134), 0, 1), 7, 0))), 1, "")</f>
        <v/>
      </c>
      <c r="R136" s="1" t="str">
        <f>IF(AND(AND(AND(R$4&gt;='2025'!$L134,R$4&lt;='2025'!$M134), R$4&lt;&gt;DATE(2025,7,4)), (SWITCH(weekday(R$4), 1, 0, 2, if(ISBLANK('2025'!$P134), 0, 1), 3, if(ISBLANK('2025'!$Q134), 0, 1), 4, if(ISBLANK('2025'!$R134), 0, 1), 5, if(ISBLANK('2025'!$S134), 0, 1), 6, if(ISBLANK('2025'!$T134), 0, 1), 7, 0))), 1, "")</f>
        <v/>
      </c>
      <c r="S136" s="1" t="str">
        <f>IF(AND(AND(AND(S$4&gt;='2025'!$L134,S$4&lt;='2025'!$M134), S$4&lt;&gt;DATE(2025,7,4)), (SWITCH(weekday(S$4), 1, 0, 2, if(ISBLANK('2025'!$P134), 0, 1), 3, if(ISBLANK('2025'!$Q134), 0, 1), 4, if(ISBLANK('2025'!$R134), 0, 1), 5, if(ISBLANK('2025'!$S134), 0, 1), 6, if(ISBLANK('2025'!$T134), 0, 1), 7, 0))), 1, "")</f>
        <v/>
      </c>
      <c r="T136" s="1" t="str">
        <f>IF(AND(AND(AND(T$4&gt;='2025'!$L134,T$4&lt;='2025'!$M134), T$4&lt;&gt;DATE(2025,7,4)), (SWITCH(weekday(T$4), 1, 0, 2, if(ISBLANK('2025'!$P134), 0, 1), 3, if(ISBLANK('2025'!$Q134), 0, 1), 4, if(ISBLANK('2025'!$R134), 0, 1), 5, if(ISBLANK('2025'!$S134), 0, 1), 6, if(ISBLANK('2025'!$T134), 0, 1), 7, 0))), 1, "")</f>
        <v/>
      </c>
      <c r="U136" s="1" t="str">
        <f>IF(AND(AND(AND(U$4&gt;='2025'!$L134,U$4&lt;='2025'!$M134), U$4&lt;&gt;DATE(2025,7,4)), (SWITCH(weekday(U$4), 1, 0, 2, if(ISBLANK('2025'!$P134), 0, 1), 3, if(ISBLANK('2025'!$Q134), 0, 1), 4, if(ISBLANK('2025'!$R134), 0, 1), 5, if(ISBLANK('2025'!$S134), 0, 1), 6, if(ISBLANK('2025'!$T134), 0, 1), 7, 0))), 1, "")</f>
        <v/>
      </c>
      <c r="V136" s="1" t="str">
        <f>IF(AND(AND(AND(V$4&gt;='2025'!$L134,V$4&lt;='2025'!$M134), V$4&lt;&gt;DATE(2025,7,4)), (SWITCH(weekday(V$4), 1, 0, 2, if(ISBLANK('2025'!$P134), 0, 1), 3, if(ISBLANK('2025'!$Q134), 0, 1), 4, if(ISBLANK('2025'!$R134), 0, 1), 5, if(ISBLANK('2025'!$S134), 0, 1), 6, if(ISBLANK('2025'!$T134), 0, 1), 7, 0))), 1, "")</f>
        <v/>
      </c>
      <c r="W136" s="1" t="str">
        <f>IF(AND(AND(AND(W$4&gt;='2025'!$L134,W$4&lt;='2025'!$M134), W$4&lt;&gt;DATE(2025,7,4)), (SWITCH(weekday(W$4), 1, 0, 2, if(ISBLANK('2025'!$P134), 0, 1), 3, if(ISBLANK('2025'!$Q134), 0, 1), 4, if(ISBLANK('2025'!$R134), 0, 1), 5, if(ISBLANK('2025'!$S134), 0, 1), 6, if(ISBLANK('2025'!$T134), 0, 1), 7, 0))), 1, "")</f>
        <v/>
      </c>
      <c r="X136" s="1" t="str">
        <f>IF(AND(AND(AND(X$4&gt;='2025'!$L134,X$4&lt;='2025'!$M134), X$4&lt;&gt;DATE(2025,7,4)), (SWITCH(weekday(X$4), 1, 0, 2, if(ISBLANK('2025'!$P134), 0, 1), 3, if(ISBLANK('2025'!$Q134), 0, 1), 4, if(ISBLANK('2025'!$R134), 0, 1), 5, if(ISBLANK('2025'!$S134), 0, 1), 6, if(ISBLANK('2025'!$T134), 0, 1), 7, 0))), 1, "")</f>
        <v/>
      </c>
      <c r="Y136" s="1" t="str">
        <f>IF(AND(AND(AND(Y$4&gt;='2025'!$L134,Y$4&lt;='2025'!$M134), Y$4&lt;&gt;DATE(2025,7,4)), (SWITCH(weekday(Y$4), 1, 0, 2, if(ISBLANK('2025'!$P134), 0, 1), 3, if(ISBLANK('2025'!$Q134), 0, 1), 4, if(ISBLANK('2025'!$R134), 0, 1), 5, if(ISBLANK('2025'!$S134), 0, 1), 6, if(ISBLANK('2025'!$T134), 0, 1), 7, 0))), 1, "")</f>
        <v/>
      </c>
      <c r="Z136" s="1" t="str">
        <f>IF(AND(AND(AND(Z$4&gt;='2025'!$L134,Z$4&lt;='2025'!$M134), Z$4&lt;&gt;DATE(2025,7,4)), (SWITCH(weekday(Z$4), 1, 0, 2, if(ISBLANK('2025'!$P134), 0, 1), 3, if(ISBLANK('2025'!$Q134), 0, 1), 4, if(ISBLANK('2025'!$R134), 0, 1), 5, if(ISBLANK('2025'!$S134), 0, 1), 6, if(ISBLANK('2025'!$T134), 0, 1), 7, 0))), 1, "")</f>
        <v/>
      </c>
      <c r="AA136" s="1" t="str">
        <f>IF(AND(AND(AND(AA$4&gt;='2025'!$L134,AA$4&lt;='2025'!$M134), AA$4&lt;&gt;DATE(2025,7,4)), (SWITCH(weekday(AA$4), 1, 0, 2, if(ISBLANK('2025'!$P134), 0, 1), 3, if(ISBLANK('2025'!$Q134), 0, 1), 4, if(ISBLANK('2025'!$R134), 0, 1), 5, if(ISBLANK('2025'!$S134), 0, 1), 6, if(ISBLANK('2025'!$T134), 0, 1), 7, 0))), 1, "")</f>
        <v/>
      </c>
      <c r="AB136" s="1" t="str">
        <f>IF(AND(AND(AND(AB$4&gt;='2025'!$L134,AB$4&lt;='2025'!$M134), AB$4&lt;&gt;DATE(2025,7,4)), (SWITCH(weekday(AB$4), 1, 0, 2, if(ISBLANK('2025'!$P134), 0, 1), 3, if(ISBLANK('2025'!$Q134), 0, 1), 4, if(ISBLANK('2025'!$R134), 0, 1), 5, if(ISBLANK('2025'!$S134), 0, 1), 6, if(ISBLANK('2025'!$T134), 0, 1), 7, 0))), 1, "")</f>
        <v/>
      </c>
      <c r="AC136" s="1" t="str">
        <f>IF(AND(AND(AND(AC$4&gt;='2025'!$L134,AC$4&lt;='2025'!$M134), AC$4&lt;&gt;DATE(2025,7,4)), (SWITCH(weekday(AC$4), 1, 0, 2, if(ISBLANK('2025'!$P134), 0, 1), 3, if(ISBLANK('2025'!$Q134), 0, 1), 4, if(ISBLANK('2025'!$R134), 0, 1), 5, if(ISBLANK('2025'!$S134), 0, 1), 6, if(ISBLANK('2025'!$T134), 0, 1), 7, 0))), 1, "")</f>
        <v/>
      </c>
      <c r="AD136" s="1" t="str">
        <f>IF(AND(AND(AND(AD$4&gt;='2025'!$L134,AD$4&lt;='2025'!$M134), AD$4&lt;&gt;DATE(2025,7,4)), (SWITCH(weekday(AD$4), 1, 0, 2, if(ISBLANK('2025'!$P134), 0, 1), 3, if(ISBLANK('2025'!$Q134), 0, 1), 4, if(ISBLANK('2025'!$R134), 0, 1), 5, if(ISBLANK('2025'!$S134), 0, 1), 6, if(ISBLANK('2025'!$T134), 0, 1), 7, 0))), 1, "")</f>
        <v/>
      </c>
      <c r="AE136" s="1" t="str">
        <f>IF(AND(AND(AND(AE$4&gt;='2025'!$L134,AE$4&lt;='2025'!$M134), AE$4&lt;&gt;DATE(2025,7,4)), (SWITCH(weekday(AE$4), 1, 0, 2, if(ISBLANK('2025'!$P134), 0, 1), 3, if(ISBLANK('2025'!$Q134), 0, 1), 4, if(ISBLANK('2025'!$R134), 0, 1), 5, if(ISBLANK('2025'!$S134), 0, 1), 6, if(ISBLANK('2025'!$T134), 0, 1), 7, 0))), 1, "")</f>
        <v/>
      </c>
      <c r="AF136" s="1" t="str">
        <f>IF(AND(AND(AND(AF$4&gt;='2025'!$L134,AF$4&lt;='2025'!$M134), AF$4&lt;&gt;DATE(2025,7,4)), (SWITCH(weekday(AF$4), 1, 0, 2, if(ISBLANK('2025'!$P134), 0, 1), 3, if(ISBLANK('2025'!$Q134), 0, 1), 4, if(ISBLANK('2025'!$R134), 0, 1), 5, if(ISBLANK('2025'!$S134), 0, 1), 6, if(ISBLANK('2025'!$T134), 0, 1), 7, 0))), 1, "")</f>
        <v/>
      </c>
      <c r="AG136" s="1" t="str">
        <f>IF(AND(AND(AND(AG$4&gt;='2025'!$L134,AG$4&lt;='2025'!$M134), AG$4&lt;&gt;DATE(2025,7,4)), (SWITCH(weekday(AG$4), 1, 0, 2, if(ISBLANK('2025'!$P134), 0, 1), 3, if(ISBLANK('2025'!$Q134), 0, 1), 4, if(ISBLANK('2025'!$R134), 0, 1), 5, if(ISBLANK('2025'!$S134), 0, 1), 6, if(ISBLANK('2025'!$T134), 0, 1), 7, 0))), 1, "")</f>
        <v/>
      </c>
      <c r="AH136" s="1" t="str">
        <f>IF(AND(AND(AND(AH$4&gt;='2025'!$L134,AH$4&lt;='2025'!$M134), AH$4&lt;&gt;DATE(2025,7,4)), (SWITCH(weekday(AH$4), 1, 0, 2, if(ISBLANK('2025'!$P134), 0, 1), 3, if(ISBLANK('2025'!$Q134), 0, 1), 4, if(ISBLANK('2025'!$R134), 0, 1), 5, if(ISBLANK('2025'!$S134), 0, 1), 6, if(ISBLANK('2025'!$T134), 0, 1), 7, 0))), 1, "")</f>
        <v/>
      </c>
      <c r="AI136" s="1" t="str">
        <f>IF(AND(AND(AND(AI$4&gt;='2025'!$L134,AI$4&lt;='2025'!$M134), AI$4&lt;&gt;DATE(2025,7,4)), (SWITCH(weekday(AI$4), 1, 0, 2, if(ISBLANK('2025'!$P134), 0, 1), 3, if(ISBLANK('2025'!$Q134), 0, 1), 4, if(ISBLANK('2025'!$R134), 0, 1), 5, if(ISBLANK('2025'!$S134), 0, 1), 6, if(ISBLANK('2025'!$T134), 0, 1), 7, 0))), 1, "")</f>
        <v/>
      </c>
      <c r="AJ136" s="1" t="str">
        <f>IF(AND(AND(AND(AJ$4&gt;='2025'!$L134,AJ$4&lt;='2025'!$M134), AJ$4&lt;&gt;DATE(2025,7,4)), (SWITCH(weekday(AJ$4), 1, 0, 2, if(ISBLANK('2025'!$P134), 0, 1), 3, if(ISBLANK('2025'!$Q134), 0, 1), 4, if(ISBLANK('2025'!$R134), 0, 1), 5, if(ISBLANK('2025'!$S134), 0, 1), 6, if(ISBLANK('2025'!$T134), 0, 1), 7, 0))), 1, "")</f>
        <v/>
      </c>
      <c r="AK136" s="1" t="str">
        <f>IF(AND(AND(AND(AK$4&gt;='2025'!$L134,AK$4&lt;='2025'!$M134), AK$4&lt;&gt;DATE(2025,7,4)), (SWITCH(weekday(AK$4), 1, 0, 2, if(ISBLANK('2025'!$P134), 0, 1), 3, if(ISBLANK('2025'!$Q134), 0, 1), 4, if(ISBLANK('2025'!$R134), 0, 1), 5, if(ISBLANK('2025'!$S134), 0, 1), 6, if(ISBLANK('2025'!$T134), 0, 1), 7, 0))), 1, "")</f>
        <v/>
      </c>
      <c r="AL136" s="1" t="str">
        <f>IF(AND(AND(AND(AL$4&gt;='2025'!$L134,AL$4&lt;='2025'!$M134), AL$4&lt;&gt;DATE(2025,7,4)), (SWITCH(weekday(AL$4), 1, 0, 2, if(ISBLANK('2025'!$P134), 0, 1), 3, if(ISBLANK('2025'!$Q134), 0, 1), 4, if(ISBLANK('2025'!$R134), 0, 1), 5, if(ISBLANK('2025'!$S134), 0, 1), 6, if(ISBLANK('2025'!$T134), 0, 1), 7, 0))), 1, "")</f>
        <v/>
      </c>
      <c r="AM136" s="1" t="str">
        <f>IF(AND(AND(AND(AM$4&gt;='2025'!$L134,AM$4&lt;='2025'!$M134), AM$4&lt;&gt;DATE(2025,7,4)), (SWITCH(weekday(AM$4), 1, 0, 2, if(ISBLANK('2025'!$P134), 0, 1), 3, if(ISBLANK('2025'!$Q134), 0, 1), 4, if(ISBLANK('2025'!$R134), 0, 1), 5, if(ISBLANK('2025'!$S134), 0, 1), 6, if(ISBLANK('2025'!$T134), 0, 1), 7, 0))), 1, "")</f>
        <v/>
      </c>
      <c r="AN136" s="1" t="str">
        <f>IF(AND(AND(AND(AN$4&gt;='2025'!$L134,AN$4&lt;='2025'!$M134), AN$4&lt;&gt;DATE(2025,7,4)), (SWITCH(weekday(AN$4), 1, 0, 2, if(ISBLANK('2025'!$P134), 0, 1), 3, if(ISBLANK('2025'!$Q134), 0, 1), 4, if(ISBLANK('2025'!$R134), 0, 1), 5, if(ISBLANK('2025'!$S134), 0, 1), 6, if(ISBLANK('2025'!$T134), 0, 1), 7, 0))), 1, "")</f>
        <v/>
      </c>
      <c r="AO136" s="1" t="str">
        <f>IF(AND(AND(AND(AO$4&gt;='2025'!$L134,AO$4&lt;='2025'!$M134), AO$4&lt;&gt;DATE(2025,7,4)), (SWITCH(weekday(AO$4), 1, 0, 2, if(ISBLANK('2025'!$P134), 0, 1), 3, if(ISBLANK('2025'!$Q134), 0, 1), 4, if(ISBLANK('2025'!$R134), 0, 1), 5, if(ISBLANK('2025'!$S134), 0, 1), 6, if(ISBLANK('2025'!$T134), 0, 1), 7, 0))), 1, "")</f>
        <v/>
      </c>
      <c r="AP136" s="1" t="str">
        <f>IF(AND(AND(AND(AP$4&gt;='2025'!$L134,AP$4&lt;='2025'!$M134), AP$4&lt;&gt;DATE(2025,7,4)), (SWITCH(weekday(AP$4), 1, 0, 2, if(ISBLANK('2025'!$P134), 0, 1), 3, if(ISBLANK('2025'!$Q134), 0, 1), 4, if(ISBLANK('2025'!$R134), 0, 1), 5, if(ISBLANK('2025'!$S134), 0, 1), 6, if(ISBLANK('2025'!$T134), 0, 1), 7, 0))), 1, "")</f>
        <v/>
      </c>
      <c r="AQ136" s="1" t="str">
        <f>IF(AND(AND(AND(AQ$4&gt;='2025'!$L134,AQ$4&lt;='2025'!$M134), AQ$4&lt;&gt;DATE(2025,7,4)), (SWITCH(weekday(AQ$4), 1, 0, 2, if(ISBLANK('2025'!$P134), 0, 1), 3, if(ISBLANK('2025'!$Q134), 0, 1), 4, if(ISBLANK('2025'!$R134), 0, 1), 5, if(ISBLANK('2025'!$S134), 0, 1), 6, if(ISBLANK('2025'!$T134), 0, 1), 7, 0))), 1, "")</f>
        <v/>
      </c>
      <c r="AR136" s="1" t="str">
        <f>IF(AND(AND(AND(AR$4&gt;='2025'!$L134,AR$4&lt;='2025'!$M134), AR$4&lt;&gt;DATE(2025,7,4)), (SWITCH(weekday(AR$4), 1, 0, 2, if(ISBLANK('2025'!$P134), 0, 1), 3, if(ISBLANK('2025'!$Q134), 0, 1), 4, if(ISBLANK('2025'!$R134), 0, 1), 5, if(ISBLANK('2025'!$S134), 0, 1), 6, if(ISBLANK('2025'!$T134), 0, 1), 7, 0))), 1, "")</f>
        <v/>
      </c>
      <c r="AS136" s="1" t="str">
        <f>IF(AND(AND(AND(AS$4&gt;='2025'!$L134,AS$4&lt;='2025'!$M134), AS$4&lt;&gt;DATE(2025,7,4)), (SWITCH(weekday(AS$4), 1, 0, 2, if(ISBLANK('2025'!$P134), 0, 1), 3, if(ISBLANK('2025'!$Q134), 0, 1), 4, if(ISBLANK('2025'!$R134), 0, 1), 5, if(ISBLANK('2025'!$S134), 0, 1), 6, if(ISBLANK('2025'!$T134), 0, 1), 7, 0))), 1, "")</f>
        <v/>
      </c>
      <c r="AT136" s="1" t="str">
        <f>IF(AND(AND(AND(AT$4&gt;='2025'!$L134,AT$4&lt;='2025'!$M134), AT$4&lt;&gt;DATE(2025,7,4)), (SWITCH(weekday(AT$4), 1, 0, 2, if(ISBLANK('2025'!$P134), 0, 1), 3, if(ISBLANK('2025'!$Q134), 0, 1), 4, if(ISBLANK('2025'!$R134), 0, 1), 5, if(ISBLANK('2025'!$S134), 0, 1), 6, if(ISBLANK('2025'!$T134), 0, 1), 7, 0))), 1, "")</f>
        <v/>
      </c>
      <c r="AU136" s="1" t="str">
        <f>IF(AND(AND(AND(AU$4&gt;='2025'!$L134,AU$4&lt;='2025'!$M134), AU$4&lt;&gt;DATE(2025,7,4)), (SWITCH(weekday(AU$4), 1, 0, 2, if(ISBLANK('2025'!$P134), 0, 1), 3, if(ISBLANK('2025'!$Q134), 0, 1), 4, if(ISBLANK('2025'!$R134), 0, 1), 5, if(ISBLANK('2025'!$S134), 0, 1), 6, if(ISBLANK('2025'!$T134), 0, 1), 7, 0))), 1, "")</f>
        <v/>
      </c>
      <c r="AV136" s="1" t="str">
        <f>IF(AND(AND(AND(AV$4&gt;='2025'!$L134,AV$4&lt;='2025'!$M134), AV$4&lt;&gt;DATE(2025,7,4)), (SWITCH(weekday(AV$4), 1, 0, 2, if(ISBLANK('2025'!$P134), 0, 1), 3, if(ISBLANK('2025'!$Q134), 0, 1), 4, if(ISBLANK('2025'!$R134), 0, 1), 5, if(ISBLANK('2025'!$S134), 0, 1), 6, if(ISBLANK('2025'!$T134), 0, 1), 7, 0))), 1, "")</f>
        <v/>
      </c>
      <c r="AW136" s="1" t="str">
        <f>IF(AND(AND(AND(AW$4&gt;='2025'!$L134,AW$4&lt;='2025'!$M134), AW$4&lt;&gt;DATE(2025,7,4)), (SWITCH(weekday(AW$4), 1, 0, 2, if(ISBLANK('2025'!$P134), 0, 1), 3, if(ISBLANK('2025'!$Q134), 0, 1), 4, if(ISBLANK('2025'!$R134), 0, 1), 5, if(ISBLANK('2025'!$S134), 0, 1), 6, if(ISBLANK('2025'!$T134), 0, 1), 7, 0))), 1, "")</f>
        <v/>
      </c>
      <c r="AX136" s="1" t="str">
        <f>IF(AND(AND(AND(AX$4&gt;='2025'!$L134,AX$4&lt;='2025'!$M134), AX$4&lt;&gt;DATE(2025,7,4)), (SWITCH(weekday(AX$4), 1, 0, 2, if(ISBLANK('2025'!$P134), 0, 1), 3, if(ISBLANK('2025'!$Q134), 0, 1), 4, if(ISBLANK('2025'!$R134), 0, 1), 5, if(ISBLANK('2025'!$S134), 0, 1), 6, if(ISBLANK('2025'!$T134), 0, 1), 7, 0))), 1, "")</f>
        <v/>
      </c>
      <c r="AY136" s="1" t="str">
        <f>IF(AND(AND(AND(AY$4&gt;='2025'!$L134,AY$4&lt;='2025'!$M134), AY$4&lt;&gt;DATE(2025,7,4)), (SWITCH(weekday(AY$4), 1, 0, 2, if(ISBLANK('2025'!$P134), 0, 1), 3, if(ISBLANK('2025'!$Q134), 0, 1), 4, if(ISBLANK('2025'!$R134), 0, 1), 5, if(ISBLANK('2025'!$S134), 0, 1), 6, if(ISBLANK('2025'!$T134), 0, 1), 7, 0))), 1, "")</f>
        <v/>
      </c>
      <c r="AZ136" s="1" t="str">
        <f>IF(AND(AND(AND(AZ$4&gt;='2025'!$L134,AZ$4&lt;='2025'!$M134), AZ$4&lt;&gt;DATE(2025,7,4)), (SWITCH(weekday(AZ$4), 1, 0, 2, if(ISBLANK('2025'!$P134), 0, 1), 3, if(ISBLANK('2025'!$Q134), 0, 1), 4, if(ISBLANK('2025'!$R134), 0, 1), 5, if(ISBLANK('2025'!$S134), 0, 1), 6, if(ISBLANK('2025'!$T134), 0, 1), 7, 0))), 1, "")</f>
        <v/>
      </c>
      <c r="BA136" s="1" t="str">
        <f>IF(AND(AND(AND(BA$4&gt;='2025'!$L134,BA$4&lt;='2025'!$M134), BA$4&lt;&gt;DATE(2025,7,4)), (SWITCH(weekday(BA$4), 1, 0, 2, if(ISBLANK('2025'!$P134), 0, 1), 3, if(ISBLANK('2025'!$Q134), 0, 1), 4, if(ISBLANK('2025'!$R134), 0, 1), 5, if(ISBLANK('2025'!$S134), 0, 1), 6, if(ISBLANK('2025'!$T134), 0, 1), 7, 0))), 1, "")</f>
        <v/>
      </c>
      <c r="BB136" s="1" t="str">
        <f>IF(AND(AND(AND(BB$4&gt;='2025'!$L134,BB$4&lt;='2025'!$M134), BB$4&lt;&gt;DATE(2025,7,4)), (SWITCH(weekday(BB$4), 1, 0, 2, if(ISBLANK('2025'!$P134), 0, 1), 3, if(ISBLANK('2025'!$Q134), 0, 1), 4, if(ISBLANK('2025'!$R134), 0, 1), 5, if(ISBLANK('2025'!$S134), 0, 1), 6, if(ISBLANK('2025'!$T134), 0, 1), 7, 0))), 1, "")</f>
        <v/>
      </c>
      <c r="BC136" s="1" t="str">
        <f>IF(AND(AND(AND(BC$4&gt;='2025'!$L134,BC$4&lt;='2025'!$M134), BC$4&lt;&gt;DATE(2025,7,4)), (SWITCH(weekday(BC$4), 1, 0, 2, if(ISBLANK('2025'!$P134), 0, 1), 3, if(ISBLANK('2025'!$Q134), 0, 1), 4, if(ISBLANK('2025'!$R134), 0, 1), 5, if(ISBLANK('2025'!$S134), 0, 1), 6, if(ISBLANK('2025'!$T134), 0, 1), 7, 0))), 1, "")</f>
        <v/>
      </c>
      <c r="BD136" s="1" t="str">
        <f>IF(AND(AND(AND(BD$4&gt;='2025'!$L134,BD$4&lt;='2025'!$M134), BD$4&lt;&gt;DATE(2025,7,4)), (SWITCH(weekday(BD$4), 1, 0, 2, if(ISBLANK('2025'!$P134), 0, 1), 3, if(ISBLANK('2025'!$Q134), 0, 1), 4, if(ISBLANK('2025'!$R134), 0, 1), 5, if(ISBLANK('2025'!$S134), 0, 1), 6, if(ISBLANK('2025'!$T134), 0, 1), 7, 0))), 1, "")</f>
        <v/>
      </c>
      <c r="BE136" s="1" t="str">
        <f>IF(AND(AND(AND(BE$4&gt;='2025'!$L134,BE$4&lt;='2025'!$M134), BE$4&lt;&gt;DATE(2025,7,4)), (SWITCH(weekday(BE$4), 1, 0, 2, if(ISBLANK('2025'!$P134), 0, 1), 3, if(ISBLANK('2025'!$Q134), 0, 1), 4, if(ISBLANK('2025'!$R134), 0, 1), 5, if(ISBLANK('2025'!$S134), 0, 1), 6, if(ISBLANK('2025'!$T134), 0, 1), 7, 0))), 1, "")</f>
        <v/>
      </c>
      <c r="BF136" s="1" t="str">
        <f>IF(AND(AND(AND(BF$4&gt;='2025'!$L134,BF$4&lt;='2025'!$M134), BF$4&lt;&gt;DATE(2025,7,4)), (SWITCH(weekday(BF$4), 1, 0, 2, if(ISBLANK('2025'!$P134), 0, 1), 3, if(ISBLANK('2025'!$Q134), 0, 1), 4, if(ISBLANK('2025'!$R134), 0, 1), 5, if(ISBLANK('2025'!$S134), 0, 1), 6, if(ISBLANK('2025'!$T134), 0, 1), 7, 0))), 1, "")</f>
        <v/>
      </c>
      <c r="BG136" s="1"/>
      <c r="BH136" s="1"/>
      <c r="BI136" s="1"/>
      <c r="BJ136" s="1"/>
      <c r="BK136" s="1"/>
      <c r="BL136" s="1"/>
    </row>
    <row r="137">
      <c r="A137" s="1">
        <f t="shared" si="3"/>
        <v>137</v>
      </c>
      <c r="B137" s="1" t="str">
        <f>'2025'!D101</f>
        <v>, </v>
      </c>
      <c r="C137" s="1" t="str">
        <f>'2025'!H101</f>
        <v/>
      </c>
      <c r="D137" s="1" t="str">
        <f>IF(AND(AND(AND(D$4&gt;='2025'!$L135,D$4&lt;='2025'!$M135), D$4&lt;&gt;DATE(2025,7,4)), (SWITCH(weekday(D$4), 1, 0, 2, if(ISBLANK('2025'!$P135), 0, 1), 3, if(ISBLANK('2025'!$Q135), 0, 1), 4, if(ISBLANK('2025'!$R135), 0, 1), 5, if(ISBLANK('2025'!$S135), 0, 1), 6, if(ISBLANK('2025'!$T135), 0, 1), 7, 0))), 1, "")</f>
        <v/>
      </c>
      <c r="E137" s="1" t="str">
        <f>IF(AND(AND(AND(E$4&gt;='2025'!$L135,E$4&lt;='2025'!$M135), E$4&lt;&gt;DATE(2025,7,4)), (SWITCH(weekday(E$4), 1, 0, 2, if(ISBLANK('2025'!$P135), 0, 1), 3, if(ISBLANK('2025'!$Q135), 0, 1), 4, if(ISBLANK('2025'!$R135), 0, 1), 5, if(ISBLANK('2025'!$S135), 0, 1), 6, if(ISBLANK('2025'!$T135), 0, 1), 7, 0))), 1, "")</f>
        <v/>
      </c>
      <c r="F137" s="1" t="str">
        <f>IF(AND(AND(AND(F$4&gt;='2025'!$L135,F$4&lt;='2025'!$M135), F$4&lt;&gt;DATE(2025,7,4)), (SWITCH(weekday(F$4), 1, 0, 2, if(ISBLANK('2025'!$P135), 0, 1), 3, if(ISBLANK('2025'!$Q135), 0, 1), 4, if(ISBLANK('2025'!$R135), 0, 1), 5, if(ISBLANK('2025'!$S135), 0, 1), 6, if(ISBLANK('2025'!$T135), 0, 1), 7, 0))), 1, "")</f>
        <v/>
      </c>
      <c r="G137" s="1" t="str">
        <f>IF(AND(AND(AND(G$4&gt;='2025'!$L135,G$4&lt;='2025'!$M135), G$4&lt;&gt;DATE(2025,7,4)), (SWITCH(weekday(G$4), 1, 0, 2, if(ISBLANK('2025'!$P135), 0, 1), 3, if(ISBLANK('2025'!$Q135), 0, 1), 4, if(ISBLANK('2025'!$R135), 0, 1), 5, if(ISBLANK('2025'!$S135), 0, 1), 6, if(ISBLANK('2025'!$T135), 0, 1), 7, 0))), 1, "")</f>
        <v/>
      </c>
      <c r="H137" s="1" t="str">
        <f>IF(AND(AND(AND(H$4&gt;='2025'!$L135,H$4&lt;='2025'!$M135), H$4&lt;&gt;DATE(2025,7,4)), (SWITCH(weekday(H$4), 1, 0, 2, if(ISBLANK('2025'!$P135), 0, 1), 3, if(ISBLANK('2025'!$Q135), 0, 1), 4, if(ISBLANK('2025'!$R135), 0, 1), 5, if(ISBLANK('2025'!$S135), 0, 1), 6, if(ISBLANK('2025'!$T135), 0, 1), 7, 0))), 1, "")</f>
        <v/>
      </c>
      <c r="I137" s="1" t="str">
        <f>IF(AND(AND(AND(I$4&gt;='2025'!$L135,I$4&lt;='2025'!$M135), I$4&lt;&gt;DATE(2025,7,4)), (SWITCH(weekday(I$4), 1, 0, 2, if(ISBLANK('2025'!$P135), 0, 1), 3, if(ISBLANK('2025'!$Q135), 0, 1), 4, if(ISBLANK('2025'!$R135), 0, 1), 5, if(ISBLANK('2025'!$S135), 0, 1), 6, if(ISBLANK('2025'!$T135), 0, 1), 7, 0))), 1, "")</f>
        <v/>
      </c>
      <c r="J137" s="1" t="str">
        <f>IF(AND(AND(AND(J$4&gt;='2025'!$L135,J$4&lt;='2025'!$M135), J$4&lt;&gt;DATE(2025,7,4)), (SWITCH(weekday(J$4), 1, 0, 2, if(ISBLANK('2025'!$P135), 0, 1), 3, if(ISBLANK('2025'!$Q135), 0, 1), 4, if(ISBLANK('2025'!$R135), 0, 1), 5, if(ISBLANK('2025'!$S135), 0, 1), 6, if(ISBLANK('2025'!$T135), 0, 1), 7, 0))), 1, "")</f>
        <v/>
      </c>
      <c r="K137" s="1" t="str">
        <f>IF(AND(AND(AND(K$4&gt;='2025'!$L135,K$4&lt;='2025'!$M135), K$4&lt;&gt;DATE(2025,7,4)), (SWITCH(weekday(K$4), 1, 0, 2, if(ISBLANK('2025'!$P135), 0, 1), 3, if(ISBLANK('2025'!$Q135), 0, 1), 4, if(ISBLANK('2025'!$R135), 0, 1), 5, if(ISBLANK('2025'!$S135), 0, 1), 6, if(ISBLANK('2025'!$T135), 0, 1), 7, 0))), 1, "")</f>
        <v/>
      </c>
      <c r="L137" s="1" t="str">
        <f>IF(AND(AND(AND(L$4&gt;='2025'!$L135,L$4&lt;='2025'!$M135), L$4&lt;&gt;DATE(2025,7,4)), (SWITCH(weekday(L$4), 1, 0, 2, if(ISBLANK('2025'!$P135), 0, 1), 3, if(ISBLANK('2025'!$Q135), 0, 1), 4, if(ISBLANK('2025'!$R135), 0, 1), 5, if(ISBLANK('2025'!$S135), 0, 1), 6, if(ISBLANK('2025'!$T135), 0, 1), 7, 0))), 1, "")</f>
        <v/>
      </c>
      <c r="M137" s="1" t="str">
        <f>IF(AND(AND(AND(M$4&gt;='2025'!$L135,M$4&lt;='2025'!$M135), M$4&lt;&gt;DATE(2025,7,4)), (SWITCH(weekday(M$4), 1, 0, 2, if(ISBLANK('2025'!$P135), 0, 1), 3, if(ISBLANK('2025'!$Q135), 0, 1), 4, if(ISBLANK('2025'!$R135), 0, 1), 5, if(ISBLANK('2025'!$S135), 0, 1), 6, if(ISBLANK('2025'!$T135), 0, 1), 7, 0))), 1, "")</f>
        <v/>
      </c>
      <c r="N137" s="1" t="str">
        <f>IF(AND(AND(AND(N$4&gt;='2025'!$L135,N$4&lt;='2025'!$M135), N$4&lt;&gt;DATE(2025,7,4)), (SWITCH(weekday(N$4), 1, 0, 2, if(ISBLANK('2025'!$P135), 0, 1), 3, if(ISBLANK('2025'!$Q135), 0, 1), 4, if(ISBLANK('2025'!$R135), 0, 1), 5, if(ISBLANK('2025'!$S135), 0, 1), 6, if(ISBLANK('2025'!$T135), 0, 1), 7, 0))), 1, "")</f>
        <v/>
      </c>
      <c r="O137" s="1" t="str">
        <f>IF(AND(AND(AND(O$4&gt;='2025'!$L135,O$4&lt;='2025'!$M135), O$4&lt;&gt;DATE(2025,7,4)), (SWITCH(weekday(O$4), 1, 0, 2, if(ISBLANK('2025'!$P135), 0, 1), 3, if(ISBLANK('2025'!$Q135), 0, 1), 4, if(ISBLANK('2025'!$R135), 0, 1), 5, if(ISBLANK('2025'!$S135), 0, 1), 6, if(ISBLANK('2025'!$T135), 0, 1), 7, 0))), 1, "")</f>
        <v/>
      </c>
      <c r="P137" s="1" t="str">
        <f>IF(AND(AND(AND(P$4&gt;='2025'!$L135,P$4&lt;='2025'!$M135), P$4&lt;&gt;DATE(2025,7,4)), (SWITCH(weekday(P$4), 1, 0, 2, if(ISBLANK('2025'!$P135), 0, 1), 3, if(ISBLANK('2025'!$Q135), 0, 1), 4, if(ISBLANK('2025'!$R135), 0, 1), 5, if(ISBLANK('2025'!$S135), 0, 1), 6, if(ISBLANK('2025'!$T135), 0, 1), 7, 0))), 1, "")</f>
        <v/>
      </c>
      <c r="Q137" s="1" t="str">
        <f>IF(AND(AND(AND(Q$4&gt;='2025'!$L135,Q$4&lt;='2025'!$M135), Q$4&lt;&gt;DATE(2025,7,4)), (SWITCH(weekday(Q$4), 1, 0, 2, if(ISBLANK('2025'!$P135), 0, 1), 3, if(ISBLANK('2025'!$Q135), 0, 1), 4, if(ISBLANK('2025'!$R135), 0, 1), 5, if(ISBLANK('2025'!$S135), 0, 1), 6, if(ISBLANK('2025'!$T135), 0, 1), 7, 0))), 1, "")</f>
        <v/>
      </c>
      <c r="R137" s="1" t="str">
        <f>IF(AND(AND(AND(R$4&gt;='2025'!$L135,R$4&lt;='2025'!$M135), R$4&lt;&gt;DATE(2025,7,4)), (SWITCH(weekday(R$4), 1, 0, 2, if(ISBLANK('2025'!$P135), 0, 1), 3, if(ISBLANK('2025'!$Q135), 0, 1), 4, if(ISBLANK('2025'!$R135), 0, 1), 5, if(ISBLANK('2025'!$S135), 0, 1), 6, if(ISBLANK('2025'!$T135), 0, 1), 7, 0))), 1, "")</f>
        <v/>
      </c>
      <c r="S137" s="1" t="str">
        <f>IF(AND(AND(AND(S$4&gt;='2025'!$L135,S$4&lt;='2025'!$M135), S$4&lt;&gt;DATE(2025,7,4)), (SWITCH(weekday(S$4), 1, 0, 2, if(ISBLANK('2025'!$P135), 0, 1), 3, if(ISBLANK('2025'!$Q135), 0, 1), 4, if(ISBLANK('2025'!$R135), 0, 1), 5, if(ISBLANK('2025'!$S135), 0, 1), 6, if(ISBLANK('2025'!$T135), 0, 1), 7, 0))), 1, "")</f>
        <v/>
      </c>
      <c r="T137" s="1" t="str">
        <f>IF(AND(AND(AND(T$4&gt;='2025'!$L135,T$4&lt;='2025'!$M135), T$4&lt;&gt;DATE(2025,7,4)), (SWITCH(weekday(T$4), 1, 0, 2, if(ISBLANK('2025'!$P135), 0, 1), 3, if(ISBLANK('2025'!$Q135), 0, 1), 4, if(ISBLANK('2025'!$R135), 0, 1), 5, if(ISBLANK('2025'!$S135), 0, 1), 6, if(ISBLANK('2025'!$T135), 0, 1), 7, 0))), 1, "")</f>
        <v/>
      </c>
      <c r="U137" s="1" t="str">
        <f>IF(AND(AND(AND(U$4&gt;='2025'!$L135,U$4&lt;='2025'!$M135), U$4&lt;&gt;DATE(2025,7,4)), (SWITCH(weekday(U$4), 1, 0, 2, if(ISBLANK('2025'!$P135), 0, 1), 3, if(ISBLANK('2025'!$Q135), 0, 1), 4, if(ISBLANK('2025'!$R135), 0, 1), 5, if(ISBLANK('2025'!$S135), 0, 1), 6, if(ISBLANK('2025'!$T135), 0, 1), 7, 0))), 1, "")</f>
        <v/>
      </c>
      <c r="V137" s="1" t="str">
        <f>IF(AND(AND(AND(V$4&gt;='2025'!$L135,V$4&lt;='2025'!$M135), V$4&lt;&gt;DATE(2025,7,4)), (SWITCH(weekday(V$4), 1, 0, 2, if(ISBLANK('2025'!$P135), 0, 1), 3, if(ISBLANK('2025'!$Q135), 0, 1), 4, if(ISBLANK('2025'!$R135), 0, 1), 5, if(ISBLANK('2025'!$S135), 0, 1), 6, if(ISBLANK('2025'!$T135), 0, 1), 7, 0))), 1, "")</f>
        <v/>
      </c>
      <c r="W137" s="1" t="str">
        <f>IF(AND(AND(AND(W$4&gt;='2025'!$L135,W$4&lt;='2025'!$M135), W$4&lt;&gt;DATE(2025,7,4)), (SWITCH(weekday(W$4), 1, 0, 2, if(ISBLANK('2025'!$P135), 0, 1), 3, if(ISBLANK('2025'!$Q135), 0, 1), 4, if(ISBLANK('2025'!$R135), 0, 1), 5, if(ISBLANK('2025'!$S135), 0, 1), 6, if(ISBLANK('2025'!$T135), 0, 1), 7, 0))), 1, "")</f>
        <v/>
      </c>
      <c r="X137" s="1" t="str">
        <f>IF(AND(AND(AND(X$4&gt;='2025'!$L135,X$4&lt;='2025'!$M135), X$4&lt;&gt;DATE(2025,7,4)), (SWITCH(weekday(X$4), 1, 0, 2, if(ISBLANK('2025'!$P135), 0, 1), 3, if(ISBLANK('2025'!$Q135), 0, 1), 4, if(ISBLANK('2025'!$R135), 0, 1), 5, if(ISBLANK('2025'!$S135), 0, 1), 6, if(ISBLANK('2025'!$T135), 0, 1), 7, 0))), 1, "")</f>
        <v/>
      </c>
      <c r="Y137" s="1" t="str">
        <f>IF(AND(AND(AND(Y$4&gt;='2025'!$L135,Y$4&lt;='2025'!$M135), Y$4&lt;&gt;DATE(2025,7,4)), (SWITCH(weekday(Y$4), 1, 0, 2, if(ISBLANK('2025'!$P135), 0, 1), 3, if(ISBLANK('2025'!$Q135), 0, 1), 4, if(ISBLANK('2025'!$R135), 0, 1), 5, if(ISBLANK('2025'!$S135), 0, 1), 6, if(ISBLANK('2025'!$T135), 0, 1), 7, 0))), 1, "")</f>
        <v/>
      </c>
      <c r="Z137" s="1" t="str">
        <f>IF(AND(AND(AND(Z$4&gt;='2025'!$L135,Z$4&lt;='2025'!$M135), Z$4&lt;&gt;DATE(2025,7,4)), (SWITCH(weekday(Z$4), 1, 0, 2, if(ISBLANK('2025'!$P135), 0, 1), 3, if(ISBLANK('2025'!$Q135), 0, 1), 4, if(ISBLANK('2025'!$R135), 0, 1), 5, if(ISBLANK('2025'!$S135), 0, 1), 6, if(ISBLANK('2025'!$T135), 0, 1), 7, 0))), 1, "")</f>
        <v/>
      </c>
      <c r="AA137" s="1" t="str">
        <f>IF(AND(AND(AND(AA$4&gt;='2025'!$L135,AA$4&lt;='2025'!$M135), AA$4&lt;&gt;DATE(2025,7,4)), (SWITCH(weekday(AA$4), 1, 0, 2, if(ISBLANK('2025'!$P135), 0, 1), 3, if(ISBLANK('2025'!$Q135), 0, 1), 4, if(ISBLANK('2025'!$R135), 0, 1), 5, if(ISBLANK('2025'!$S135), 0, 1), 6, if(ISBLANK('2025'!$T135), 0, 1), 7, 0))), 1, "")</f>
        <v/>
      </c>
      <c r="AB137" s="1" t="str">
        <f>IF(AND(AND(AND(AB$4&gt;='2025'!$L135,AB$4&lt;='2025'!$M135), AB$4&lt;&gt;DATE(2025,7,4)), (SWITCH(weekday(AB$4), 1, 0, 2, if(ISBLANK('2025'!$P135), 0, 1), 3, if(ISBLANK('2025'!$Q135), 0, 1), 4, if(ISBLANK('2025'!$R135), 0, 1), 5, if(ISBLANK('2025'!$S135), 0, 1), 6, if(ISBLANK('2025'!$T135), 0, 1), 7, 0))), 1, "")</f>
        <v/>
      </c>
      <c r="AC137" s="1" t="str">
        <f>IF(AND(AND(AND(AC$4&gt;='2025'!$L135,AC$4&lt;='2025'!$M135), AC$4&lt;&gt;DATE(2025,7,4)), (SWITCH(weekday(AC$4), 1, 0, 2, if(ISBLANK('2025'!$P135), 0, 1), 3, if(ISBLANK('2025'!$Q135), 0, 1), 4, if(ISBLANK('2025'!$R135), 0, 1), 5, if(ISBLANK('2025'!$S135), 0, 1), 6, if(ISBLANK('2025'!$T135), 0, 1), 7, 0))), 1, "")</f>
        <v/>
      </c>
      <c r="AD137" s="1" t="str">
        <f>IF(AND(AND(AND(AD$4&gt;='2025'!$L135,AD$4&lt;='2025'!$M135), AD$4&lt;&gt;DATE(2025,7,4)), (SWITCH(weekday(AD$4), 1, 0, 2, if(ISBLANK('2025'!$P135), 0, 1), 3, if(ISBLANK('2025'!$Q135), 0, 1), 4, if(ISBLANK('2025'!$R135), 0, 1), 5, if(ISBLANK('2025'!$S135), 0, 1), 6, if(ISBLANK('2025'!$T135), 0, 1), 7, 0))), 1, "")</f>
        <v/>
      </c>
      <c r="AE137" s="1" t="str">
        <f>IF(AND(AND(AND(AE$4&gt;='2025'!$L135,AE$4&lt;='2025'!$M135), AE$4&lt;&gt;DATE(2025,7,4)), (SWITCH(weekday(AE$4), 1, 0, 2, if(ISBLANK('2025'!$P135), 0, 1), 3, if(ISBLANK('2025'!$Q135), 0, 1), 4, if(ISBLANK('2025'!$R135), 0, 1), 5, if(ISBLANK('2025'!$S135), 0, 1), 6, if(ISBLANK('2025'!$T135), 0, 1), 7, 0))), 1, "")</f>
        <v/>
      </c>
      <c r="AF137" s="1" t="str">
        <f>IF(AND(AND(AND(AF$4&gt;='2025'!$L135,AF$4&lt;='2025'!$M135), AF$4&lt;&gt;DATE(2025,7,4)), (SWITCH(weekday(AF$4), 1, 0, 2, if(ISBLANK('2025'!$P135), 0, 1), 3, if(ISBLANK('2025'!$Q135), 0, 1), 4, if(ISBLANK('2025'!$R135), 0, 1), 5, if(ISBLANK('2025'!$S135), 0, 1), 6, if(ISBLANK('2025'!$T135), 0, 1), 7, 0))), 1, "")</f>
        <v/>
      </c>
      <c r="AG137" s="1" t="str">
        <f>IF(AND(AND(AND(AG$4&gt;='2025'!$L135,AG$4&lt;='2025'!$M135), AG$4&lt;&gt;DATE(2025,7,4)), (SWITCH(weekday(AG$4), 1, 0, 2, if(ISBLANK('2025'!$P135), 0, 1), 3, if(ISBLANK('2025'!$Q135), 0, 1), 4, if(ISBLANK('2025'!$R135), 0, 1), 5, if(ISBLANK('2025'!$S135), 0, 1), 6, if(ISBLANK('2025'!$T135), 0, 1), 7, 0))), 1, "")</f>
        <v/>
      </c>
      <c r="AH137" s="1" t="str">
        <f>IF(AND(AND(AND(AH$4&gt;='2025'!$L135,AH$4&lt;='2025'!$M135), AH$4&lt;&gt;DATE(2025,7,4)), (SWITCH(weekday(AH$4), 1, 0, 2, if(ISBLANK('2025'!$P135), 0, 1), 3, if(ISBLANK('2025'!$Q135), 0, 1), 4, if(ISBLANK('2025'!$R135), 0, 1), 5, if(ISBLANK('2025'!$S135), 0, 1), 6, if(ISBLANK('2025'!$T135), 0, 1), 7, 0))), 1, "")</f>
        <v/>
      </c>
      <c r="AI137" s="1" t="str">
        <f>IF(AND(AND(AND(AI$4&gt;='2025'!$L135,AI$4&lt;='2025'!$M135), AI$4&lt;&gt;DATE(2025,7,4)), (SWITCH(weekday(AI$4), 1, 0, 2, if(ISBLANK('2025'!$P135), 0, 1), 3, if(ISBLANK('2025'!$Q135), 0, 1), 4, if(ISBLANK('2025'!$R135), 0, 1), 5, if(ISBLANK('2025'!$S135), 0, 1), 6, if(ISBLANK('2025'!$T135), 0, 1), 7, 0))), 1, "")</f>
        <v/>
      </c>
      <c r="AJ137" s="1" t="str">
        <f>IF(AND(AND(AND(AJ$4&gt;='2025'!$L135,AJ$4&lt;='2025'!$M135), AJ$4&lt;&gt;DATE(2025,7,4)), (SWITCH(weekday(AJ$4), 1, 0, 2, if(ISBLANK('2025'!$P135), 0, 1), 3, if(ISBLANK('2025'!$Q135), 0, 1), 4, if(ISBLANK('2025'!$R135), 0, 1), 5, if(ISBLANK('2025'!$S135), 0, 1), 6, if(ISBLANK('2025'!$T135), 0, 1), 7, 0))), 1, "")</f>
        <v/>
      </c>
      <c r="AK137" s="1" t="str">
        <f>IF(AND(AND(AND(AK$4&gt;='2025'!$L135,AK$4&lt;='2025'!$M135), AK$4&lt;&gt;DATE(2025,7,4)), (SWITCH(weekday(AK$4), 1, 0, 2, if(ISBLANK('2025'!$P135), 0, 1), 3, if(ISBLANK('2025'!$Q135), 0, 1), 4, if(ISBLANK('2025'!$R135), 0, 1), 5, if(ISBLANK('2025'!$S135), 0, 1), 6, if(ISBLANK('2025'!$T135), 0, 1), 7, 0))), 1, "")</f>
        <v/>
      </c>
      <c r="AL137" s="1" t="str">
        <f>IF(AND(AND(AND(AL$4&gt;='2025'!$L135,AL$4&lt;='2025'!$M135), AL$4&lt;&gt;DATE(2025,7,4)), (SWITCH(weekday(AL$4), 1, 0, 2, if(ISBLANK('2025'!$P135), 0, 1), 3, if(ISBLANK('2025'!$Q135), 0, 1), 4, if(ISBLANK('2025'!$R135), 0, 1), 5, if(ISBLANK('2025'!$S135), 0, 1), 6, if(ISBLANK('2025'!$T135), 0, 1), 7, 0))), 1, "")</f>
        <v/>
      </c>
      <c r="AM137" s="1" t="str">
        <f>IF(AND(AND(AND(AM$4&gt;='2025'!$L135,AM$4&lt;='2025'!$M135), AM$4&lt;&gt;DATE(2025,7,4)), (SWITCH(weekday(AM$4), 1, 0, 2, if(ISBLANK('2025'!$P135), 0, 1), 3, if(ISBLANK('2025'!$Q135), 0, 1), 4, if(ISBLANK('2025'!$R135), 0, 1), 5, if(ISBLANK('2025'!$S135), 0, 1), 6, if(ISBLANK('2025'!$T135), 0, 1), 7, 0))), 1, "")</f>
        <v/>
      </c>
      <c r="AN137" s="1" t="str">
        <f>IF(AND(AND(AND(AN$4&gt;='2025'!$L135,AN$4&lt;='2025'!$M135), AN$4&lt;&gt;DATE(2025,7,4)), (SWITCH(weekday(AN$4), 1, 0, 2, if(ISBLANK('2025'!$P135), 0, 1), 3, if(ISBLANK('2025'!$Q135), 0, 1), 4, if(ISBLANK('2025'!$R135), 0, 1), 5, if(ISBLANK('2025'!$S135), 0, 1), 6, if(ISBLANK('2025'!$T135), 0, 1), 7, 0))), 1, "")</f>
        <v/>
      </c>
      <c r="AO137" s="1" t="str">
        <f>IF(AND(AND(AND(AO$4&gt;='2025'!$L135,AO$4&lt;='2025'!$M135), AO$4&lt;&gt;DATE(2025,7,4)), (SWITCH(weekday(AO$4), 1, 0, 2, if(ISBLANK('2025'!$P135), 0, 1), 3, if(ISBLANK('2025'!$Q135), 0, 1), 4, if(ISBLANK('2025'!$R135), 0, 1), 5, if(ISBLANK('2025'!$S135), 0, 1), 6, if(ISBLANK('2025'!$T135), 0, 1), 7, 0))), 1, "")</f>
        <v/>
      </c>
      <c r="AP137" s="1" t="str">
        <f>IF(AND(AND(AND(AP$4&gt;='2025'!$L135,AP$4&lt;='2025'!$M135), AP$4&lt;&gt;DATE(2025,7,4)), (SWITCH(weekday(AP$4), 1, 0, 2, if(ISBLANK('2025'!$P135), 0, 1), 3, if(ISBLANK('2025'!$Q135), 0, 1), 4, if(ISBLANK('2025'!$R135), 0, 1), 5, if(ISBLANK('2025'!$S135), 0, 1), 6, if(ISBLANK('2025'!$T135), 0, 1), 7, 0))), 1, "")</f>
        <v/>
      </c>
      <c r="AQ137" s="1" t="str">
        <f>IF(AND(AND(AND(AQ$4&gt;='2025'!$L135,AQ$4&lt;='2025'!$M135), AQ$4&lt;&gt;DATE(2025,7,4)), (SWITCH(weekday(AQ$4), 1, 0, 2, if(ISBLANK('2025'!$P135), 0, 1), 3, if(ISBLANK('2025'!$Q135), 0, 1), 4, if(ISBLANK('2025'!$R135), 0, 1), 5, if(ISBLANK('2025'!$S135), 0, 1), 6, if(ISBLANK('2025'!$T135), 0, 1), 7, 0))), 1, "")</f>
        <v/>
      </c>
      <c r="AR137" s="1" t="str">
        <f>IF(AND(AND(AND(AR$4&gt;='2025'!$L135,AR$4&lt;='2025'!$M135), AR$4&lt;&gt;DATE(2025,7,4)), (SWITCH(weekday(AR$4), 1, 0, 2, if(ISBLANK('2025'!$P135), 0, 1), 3, if(ISBLANK('2025'!$Q135), 0, 1), 4, if(ISBLANK('2025'!$R135), 0, 1), 5, if(ISBLANK('2025'!$S135), 0, 1), 6, if(ISBLANK('2025'!$T135), 0, 1), 7, 0))), 1, "")</f>
        <v/>
      </c>
      <c r="AS137" s="1" t="str">
        <f>IF(AND(AND(AND(AS$4&gt;='2025'!$L135,AS$4&lt;='2025'!$M135), AS$4&lt;&gt;DATE(2025,7,4)), (SWITCH(weekday(AS$4), 1, 0, 2, if(ISBLANK('2025'!$P135), 0, 1), 3, if(ISBLANK('2025'!$Q135), 0, 1), 4, if(ISBLANK('2025'!$R135), 0, 1), 5, if(ISBLANK('2025'!$S135), 0, 1), 6, if(ISBLANK('2025'!$T135), 0, 1), 7, 0))), 1, "")</f>
        <v/>
      </c>
      <c r="AT137" s="1" t="str">
        <f>IF(AND(AND(AND(AT$4&gt;='2025'!$L135,AT$4&lt;='2025'!$M135), AT$4&lt;&gt;DATE(2025,7,4)), (SWITCH(weekday(AT$4), 1, 0, 2, if(ISBLANK('2025'!$P135), 0, 1), 3, if(ISBLANK('2025'!$Q135), 0, 1), 4, if(ISBLANK('2025'!$R135), 0, 1), 5, if(ISBLANK('2025'!$S135), 0, 1), 6, if(ISBLANK('2025'!$T135), 0, 1), 7, 0))), 1, "")</f>
        <v/>
      </c>
      <c r="AU137" s="1" t="str">
        <f>IF(AND(AND(AND(AU$4&gt;='2025'!$L135,AU$4&lt;='2025'!$M135), AU$4&lt;&gt;DATE(2025,7,4)), (SWITCH(weekday(AU$4), 1, 0, 2, if(ISBLANK('2025'!$P135), 0, 1), 3, if(ISBLANK('2025'!$Q135), 0, 1), 4, if(ISBLANK('2025'!$R135), 0, 1), 5, if(ISBLANK('2025'!$S135), 0, 1), 6, if(ISBLANK('2025'!$T135), 0, 1), 7, 0))), 1, "")</f>
        <v/>
      </c>
      <c r="AV137" s="1" t="str">
        <f>IF(AND(AND(AND(AV$4&gt;='2025'!$L135,AV$4&lt;='2025'!$M135), AV$4&lt;&gt;DATE(2025,7,4)), (SWITCH(weekday(AV$4), 1, 0, 2, if(ISBLANK('2025'!$P135), 0, 1), 3, if(ISBLANK('2025'!$Q135), 0, 1), 4, if(ISBLANK('2025'!$R135), 0, 1), 5, if(ISBLANK('2025'!$S135), 0, 1), 6, if(ISBLANK('2025'!$T135), 0, 1), 7, 0))), 1, "")</f>
        <v/>
      </c>
      <c r="AW137" s="1" t="str">
        <f>IF(AND(AND(AND(AW$4&gt;='2025'!$L135,AW$4&lt;='2025'!$M135), AW$4&lt;&gt;DATE(2025,7,4)), (SWITCH(weekday(AW$4), 1, 0, 2, if(ISBLANK('2025'!$P135), 0, 1), 3, if(ISBLANK('2025'!$Q135), 0, 1), 4, if(ISBLANK('2025'!$R135), 0, 1), 5, if(ISBLANK('2025'!$S135), 0, 1), 6, if(ISBLANK('2025'!$T135), 0, 1), 7, 0))), 1, "")</f>
        <v/>
      </c>
      <c r="AX137" s="1" t="str">
        <f>IF(AND(AND(AND(AX$4&gt;='2025'!$L135,AX$4&lt;='2025'!$M135), AX$4&lt;&gt;DATE(2025,7,4)), (SWITCH(weekday(AX$4), 1, 0, 2, if(ISBLANK('2025'!$P135), 0, 1), 3, if(ISBLANK('2025'!$Q135), 0, 1), 4, if(ISBLANK('2025'!$R135), 0, 1), 5, if(ISBLANK('2025'!$S135), 0, 1), 6, if(ISBLANK('2025'!$T135), 0, 1), 7, 0))), 1, "")</f>
        <v/>
      </c>
      <c r="AY137" s="1" t="str">
        <f>IF(AND(AND(AND(AY$4&gt;='2025'!$L135,AY$4&lt;='2025'!$M135), AY$4&lt;&gt;DATE(2025,7,4)), (SWITCH(weekday(AY$4), 1, 0, 2, if(ISBLANK('2025'!$P135), 0, 1), 3, if(ISBLANK('2025'!$Q135), 0, 1), 4, if(ISBLANK('2025'!$R135), 0, 1), 5, if(ISBLANK('2025'!$S135), 0, 1), 6, if(ISBLANK('2025'!$T135), 0, 1), 7, 0))), 1, "")</f>
        <v/>
      </c>
      <c r="AZ137" s="1" t="str">
        <f>IF(AND(AND(AND(AZ$4&gt;='2025'!$L135,AZ$4&lt;='2025'!$M135), AZ$4&lt;&gt;DATE(2025,7,4)), (SWITCH(weekday(AZ$4), 1, 0, 2, if(ISBLANK('2025'!$P135), 0, 1), 3, if(ISBLANK('2025'!$Q135), 0, 1), 4, if(ISBLANK('2025'!$R135), 0, 1), 5, if(ISBLANK('2025'!$S135), 0, 1), 6, if(ISBLANK('2025'!$T135), 0, 1), 7, 0))), 1, "")</f>
        <v/>
      </c>
      <c r="BA137" s="1" t="str">
        <f>IF(AND(AND(AND(BA$4&gt;='2025'!$L135,BA$4&lt;='2025'!$M135), BA$4&lt;&gt;DATE(2025,7,4)), (SWITCH(weekday(BA$4), 1, 0, 2, if(ISBLANK('2025'!$P135), 0, 1), 3, if(ISBLANK('2025'!$Q135), 0, 1), 4, if(ISBLANK('2025'!$R135), 0, 1), 5, if(ISBLANK('2025'!$S135), 0, 1), 6, if(ISBLANK('2025'!$T135), 0, 1), 7, 0))), 1, "")</f>
        <v/>
      </c>
      <c r="BB137" s="1" t="str">
        <f>IF(AND(AND(AND(BB$4&gt;='2025'!$L135,BB$4&lt;='2025'!$M135), BB$4&lt;&gt;DATE(2025,7,4)), (SWITCH(weekday(BB$4), 1, 0, 2, if(ISBLANK('2025'!$P135), 0, 1), 3, if(ISBLANK('2025'!$Q135), 0, 1), 4, if(ISBLANK('2025'!$R135), 0, 1), 5, if(ISBLANK('2025'!$S135), 0, 1), 6, if(ISBLANK('2025'!$T135), 0, 1), 7, 0))), 1, "")</f>
        <v/>
      </c>
      <c r="BC137" s="1" t="str">
        <f>IF(AND(AND(AND(BC$4&gt;='2025'!$L135,BC$4&lt;='2025'!$M135), BC$4&lt;&gt;DATE(2025,7,4)), (SWITCH(weekday(BC$4), 1, 0, 2, if(ISBLANK('2025'!$P135), 0, 1), 3, if(ISBLANK('2025'!$Q135), 0, 1), 4, if(ISBLANK('2025'!$R135), 0, 1), 5, if(ISBLANK('2025'!$S135), 0, 1), 6, if(ISBLANK('2025'!$T135), 0, 1), 7, 0))), 1, "")</f>
        <v/>
      </c>
      <c r="BD137" s="1" t="str">
        <f>IF(AND(AND(AND(BD$4&gt;='2025'!$L135,BD$4&lt;='2025'!$M135), BD$4&lt;&gt;DATE(2025,7,4)), (SWITCH(weekday(BD$4), 1, 0, 2, if(ISBLANK('2025'!$P135), 0, 1), 3, if(ISBLANK('2025'!$Q135), 0, 1), 4, if(ISBLANK('2025'!$R135), 0, 1), 5, if(ISBLANK('2025'!$S135), 0, 1), 6, if(ISBLANK('2025'!$T135), 0, 1), 7, 0))), 1, "")</f>
        <v/>
      </c>
      <c r="BE137" s="1" t="str">
        <f>IF(AND(AND(AND(BE$4&gt;='2025'!$L135,BE$4&lt;='2025'!$M135), BE$4&lt;&gt;DATE(2025,7,4)), (SWITCH(weekday(BE$4), 1, 0, 2, if(ISBLANK('2025'!$P135), 0, 1), 3, if(ISBLANK('2025'!$Q135), 0, 1), 4, if(ISBLANK('2025'!$R135), 0, 1), 5, if(ISBLANK('2025'!$S135), 0, 1), 6, if(ISBLANK('2025'!$T135), 0, 1), 7, 0))), 1, "")</f>
        <v/>
      </c>
      <c r="BF137" s="1" t="str">
        <f>IF(AND(AND(AND(BF$4&gt;='2025'!$L135,BF$4&lt;='2025'!$M135), BF$4&lt;&gt;DATE(2025,7,4)), (SWITCH(weekday(BF$4), 1, 0, 2, if(ISBLANK('2025'!$P135), 0, 1), 3, if(ISBLANK('2025'!$Q135), 0, 1), 4, if(ISBLANK('2025'!$R135), 0, 1), 5, if(ISBLANK('2025'!$S135), 0, 1), 6, if(ISBLANK('2025'!$T135), 0, 1), 7, 0))), 1, "")</f>
        <v/>
      </c>
      <c r="BG137" s="1"/>
      <c r="BH137" s="1"/>
      <c r="BI137" s="1"/>
      <c r="BJ137" s="1"/>
      <c r="BK137" s="1"/>
      <c r="BL137" s="1"/>
    </row>
    <row r="138">
      <c r="A138" s="1">
        <f t="shared" si="3"/>
        <v>138</v>
      </c>
      <c r="B138" s="1" t="str">
        <f>'2025'!D102</f>
        <v>, </v>
      </c>
      <c r="C138" s="1" t="str">
        <f>'2025'!H102</f>
        <v/>
      </c>
      <c r="D138" s="1" t="str">
        <f>IF(AND(AND(AND(D$4&gt;='2025'!$L136,D$4&lt;='2025'!$M136), D$4&lt;&gt;DATE(2025,7,4)), (SWITCH(weekday(D$4), 1, 0, 2, if(ISBLANK('2025'!$P136), 0, 1), 3, if(ISBLANK('2025'!$Q136), 0, 1), 4, if(ISBLANK('2025'!$R136), 0, 1), 5, if(ISBLANK('2025'!$S136), 0, 1), 6, if(ISBLANK('2025'!$T136), 0, 1), 7, 0))), 1, "")</f>
        <v/>
      </c>
      <c r="E138" s="1" t="str">
        <f>IF(AND(AND(AND(E$4&gt;='2025'!$L136,E$4&lt;='2025'!$M136), E$4&lt;&gt;DATE(2025,7,4)), (SWITCH(weekday(E$4), 1, 0, 2, if(ISBLANK('2025'!$P136), 0, 1), 3, if(ISBLANK('2025'!$Q136), 0, 1), 4, if(ISBLANK('2025'!$R136), 0, 1), 5, if(ISBLANK('2025'!$S136), 0, 1), 6, if(ISBLANK('2025'!$T136), 0, 1), 7, 0))), 1, "")</f>
        <v/>
      </c>
      <c r="F138" s="1" t="str">
        <f>IF(AND(AND(AND(F$4&gt;='2025'!$L136,F$4&lt;='2025'!$M136), F$4&lt;&gt;DATE(2025,7,4)), (SWITCH(weekday(F$4), 1, 0, 2, if(ISBLANK('2025'!$P136), 0, 1), 3, if(ISBLANK('2025'!$Q136), 0, 1), 4, if(ISBLANK('2025'!$R136), 0, 1), 5, if(ISBLANK('2025'!$S136), 0, 1), 6, if(ISBLANK('2025'!$T136), 0, 1), 7, 0))), 1, "")</f>
        <v/>
      </c>
      <c r="G138" s="1" t="str">
        <f>IF(AND(AND(AND(G$4&gt;='2025'!$L136,G$4&lt;='2025'!$M136), G$4&lt;&gt;DATE(2025,7,4)), (SWITCH(weekday(G$4), 1, 0, 2, if(ISBLANK('2025'!$P136), 0, 1), 3, if(ISBLANK('2025'!$Q136), 0, 1), 4, if(ISBLANK('2025'!$R136), 0, 1), 5, if(ISBLANK('2025'!$S136), 0, 1), 6, if(ISBLANK('2025'!$T136), 0, 1), 7, 0))), 1, "")</f>
        <v/>
      </c>
      <c r="H138" s="1" t="str">
        <f>IF(AND(AND(AND(H$4&gt;='2025'!$L136,H$4&lt;='2025'!$M136), H$4&lt;&gt;DATE(2025,7,4)), (SWITCH(weekday(H$4), 1, 0, 2, if(ISBLANK('2025'!$P136), 0, 1), 3, if(ISBLANK('2025'!$Q136), 0, 1), 4, if(ISBLANK('2025'!$R136), 0, 1), 5, if(ISBLANK('2025'!$S136), 0, 1), 6, if(ISBLANK('2025'!$T136), 0, 1), 7, 0))), 1, "")</f>
        <v/>
      </c>
      <c r="I138" s="1" t="str">
        <f>IF(AND(AND(AND(I$4&gt;='2025'!$L136,I$4&lt;='2025'!$M136), I$4&lt;&gt;DATE(2025,7,4)), (SWITCH(weekday(I$4), 1, 0, 2, if(ISBLANK('2025'!$P136), 0, 1), 3, if(ISBLANK('2025'!$Q136), 0, 1), 4, if(ISBLANK('2025'!$R136), 0, 1), 5, if(ISBLANK('2025'!$S136), 0, 1), 6, if(ISBLANK('2025'!$T136), 0, 1), 7, 0))), 1, "")</f>
        <v/>
      </c>
      <c r="J138" s="1" t="str">
        <f>IF(AND(AND(AND(J$4&gt;='2025'!$L136,J$4&lt;='2025'!$M136), J$4&lt;&gt;DATE(2025,7,4)), (SWITCH(weekday(J$4), 1, 0, 2, if(ISBLANK('2025'!$P136), 0, 1), 3, if(ISBLANK('2025'!$Q136), 0, 1), 4, if(ISBLANK('2025'!$R136), 0, 1), 5, if(ISBLANK('2025'!$S136), 0, 1), 6, if(ISBLANK('2025'!$T136), 0, 1), 7, 0))), 1, "")</f>
        <v/>
      </c>
      <c r="K138" s="1" t="str">
        <f>IF(AND(AND(AND(K$4&gt;='2025'!$L136,K$4&lt;='2025'!$M136), K$4&lt;&gt;DATE(2025,7,4)), (SWITCH(weekday(K$4), 1, 0, 2, if(ISBLANK('2025'!$P136), 0, 1), 3, if(ISBLANK('2025'!$Q136), 0, 1), 4, if(ISBLANK('2025'!$R136), 0, 1), 5, if(ISBLANK('2025'!$S136), 0, 1), 6, if(ISBLANK('2025'!$T136), 0, 1), 7, 0))), 1, "")</f>
        <v/>
      </c>
      <c r="L138" s="1" t="str">
        <f>IF(AND(AND(AND(L$4&gt;='2025'!$L136,L$4&lt;='2025'!$M136), L$4&lt;&gt;DATE(2025,7,4)), (SWITCH(weekday(L$4), 1, 0, 2, if(ISBLANK('2025'!$P136), 0, 1), 3, if(ISBLANK('2025'!$Q136), 0, 1), 4, if(ISBLANK('2025'!$R136), 0, 1), 5, if(ISBLANK('2025'!$S136), 0, 1), 6, if(ISBLANK('2025'!$T136), 0, 1), 7, 0))), 1, "")</f>
        <v/>
      </c>
      <c r="M138" s="1" t="str">
        <f>IF(AND(AND(AND(M$4&gt;='2025'!$L136,M$4&lt;='2025'!$M136), M$4&lt;&gt;DATE(2025,7,4)), (SWITCH(weekday(M$4), 1, 0, 2, if(ISBLANK('2025'!$P136), 0, 1), 3, if(ISBLANK('2025'!$Q136), 0, 1), 4, if(ISBLANK('2025'!$R136), 0, 1), 5, if(ISBLANK('2025'!$S136), 0, 1), 6, if(ISBLANK('2025'!$T136), 0, 1), 7, 0))), 1, "")</f>
        <v/>
      </c>
      <c r="N138" s="1" t="str">
        <f>IF(AND(AND(AND(N$4&gt;='2025'!$L136,N$4&lt;='2025'!$M136), N$4&lt;&gt;DATE(2025,7,4)), (SWITCH(weekday(N$4), 1, 0, 2, if(ISBLANK('2025'!$P136), 0, 1), 3, if(ISBLANK('2025'!$Q136), 0, 1), 4, if(ISBLANK('2025'!$R136), 0, 1), 5, if(ISBLANK('2025'!$S136), 0, 1), 6, if(ISBLANK('2025'!$T136), 0, 1), 7, 0))), 1, "")</f>
        <v/>
      </c>
      <c r="O138" s="1" t="str">
        <f>IF(AND(AND(AND(O$4&gt;='2025'!$L136,O$4&lt;='2025'!$M136), O$4&lt;&gt;DATE(2025,7,4)), (SWITCH(weekday(O$4), 1, 0, 2, if(ISBLANK('2025'!$P136), 0, 1), 3, if(ISBLANK('2025'!$Q136), 0, 1), 4, if(ISBLANK('2025'!$R136), 0, 1), 5, if(ISBLANK('2025'!$S136), 0, 1), 6, if(ISBLANK('2025'!$T136), 0, 1), 7, 0))), 1, "")</f>
        <v/>
      </c>
      <c r="P138" s="1" t="str">
        <f>IF(AND(AND(AND(P$4&gt;='2025'!$L136,P$4&lt;='2025'!$M136), P$4&lt;&gt;DATE(2025,7,4)), (SWITCH(weekday(P$4), 1, 0, 2, if(ISBLANK('2025'!$P136), 0, 1), 3, if(ISBLANK('2025'!$Q136), 0, 1), 4, if(ISBLANK('2025'!$R136), 0, 1), 5, if(ISBLANK('2025'!$S136), 0, 1), 6, if(ISBLANK('2025'!$T136), 0, 1), 7, 0))), 1, "")</f>
        <v/>
      </c>
      <c r="Q138" s="1" t="str">
        <f>IF(AND(AND(AND(Q$4&gt;='2025'!$L136,Q$4&lt;='2025'!$M136), Q$4&lt;&gt;DATE(2025,7,4)), (SWITCH(weekday(Q$4), 1, 0, 2, if(ISBLANK('2025'!$P136), 0, 1), 3, if(ISBLANK('2025'!$Q136), 0, 1), 4, if(ISBLANK('2025'!$R136), 0, 1), 5, if(ISBLANK('2025'!$S136), 0, 1), 6, if(ISBLANK('2025'!$T136), 0, 1), 7, 0))), 1, "")</f>
        <v/>
      </c>
      <c r="R138" s="1" t="str">
        <f>IF(AND(AND(AND(R$4&gt;='2025'!$L136,R$4&lt;='2025'!$M136), R$4&lt;&gt;DATE(2025,7,4)), (SWITCH(weekday(R$4), 1, 0, 2, if(ISBLANK('2025'!$P136), 0, 1), 3, if(ISBLANK('2025'!$Q136), 0, 1), 4, if(ISBLANK('2025'!$R136), 0, 1), 5, if(ISBLANK('2025'!$S136), 0, 1), 6, if(ISBLANK('2025'!$T136), 0, 1), 7, 0))), 1, "")</f>
        <v/>
      </c>
      <c r="S138" s="1" t="str">
        <f>IF(AND(AND(AND(S$4&gt;='2025'!$L136,S$4&lt;='2025'!$M136), S$4&lt;&gt;DATE(2025,7,4)), (SWITCH(weekday(S$4), 1, 0, 2, if(ISBLANK('2025'!$P136), 0, 1), 3, if(ISBLANK('2025'!$Q136), 0, 1), 4, if(ISBLANK('2025'!$R136), 0, 1), 5, if(ISBLANK('2025'!$S136), 0, 1), 6, if(ISBLANK('2025'!$T136), 0, 1), 7, 0))), 1, "")</f>
        <v/>
      </c>
      <c r="T138" s="1" t="str">
        <f>IF(AND(AND(AND(T$4&gt;='2025'!$L136,T$4&lt;='2025'!$M136), T$4&lt;&gt;DATE(2025,7,4)), (SWITCH(weekday(T$4), 1, 0, 2, if(ISBLANK('2025'!$P136), 0, 1), 3, if(ISBLANK('2025'!$Q136), 0, 1), 4, if(ISBLANK('2025'!$R136), 0, 1), 5, if(ISBLANK('2025'!$S136), 0, 1), 6, if(ISBLANK('2025'!$T136), 0, 1), 7, 0))), 1, "")</f>
        <v/>
      </c>
      <c r="U138" s="1" t="str">
        <f>IF(AND(AND(AND(U$4&gt;='2025'!$L136,U$4&lt;='2025'!$M136), U$4&lt;&gt;DATE(2025,7,4)), (SWITCH(weekday(U$4), 1, 0, 2, if(ISBLANK('2025'!$P136), 0, 1), 3, if(ISBLANK('2025'!$Q136), 0, 1), 4, if(ISBLANK('2025'!$R136), 0, 1), 5, if(ISBLANK('2025'!$S136), 0, 1), 6, if(ISBLANK('2025'!$T136), 0, 1), 7, 0))), 1, "")</f>
        <v/>
      </c>
      <c r="V138" s="1" t="str">
        <f>IF(AND(AND(AND(V$4&gt;='2025'!$L136,V$4&lt;='2025'!$M136), V$4&lt;&gt;DATE(2025,7,4)), (SWITCH(weekday(V$4), 1, 0, 2, if(ISBLANK('2025'!$P136), 0, 1), 3, if(ISBLANK('2025'!$Q136), 0, 1), 4, if(ISBLANK('2025'!$R136), 0, 1), 5, if(ISBLANK('2025'!$S136), 0, 1), 6, if(ISBLANK('2025'!$T136), 0, 1), 7, 0))), 1, "")</f>
        <v/>
      </c>
      <c r="W138" s="1" t="str">
        <f>IF(AND(AND(AND(W$4&gt;='2025'!$L136,W$4&lt;='2025'!$M136), W$4&lt;&gt;DATE(2025,7,4)), (SWITCH(weekday(W$4), 1, 0, 2, if(ISBLANK('2025'!$P136), 0, 1), 3, if(ISBLANK('2025'!$Q136), 0, 1), 4, if(ISBLANK('2025'!$R136), 0, 1), 5, if(ISBLANK('2025'!$S136), 0, 1), 6, if(ISBLANK('2025'!$T136), 0, 1), 7, 0))), 1, "")</f>
        <v/>
      </c>
      <c r="X138" s="1" t="str">
        <f>IF(AND(AND(AND(X$4&gt;='2025'!$L136,X$4&lt;='2025'!$M136), X$4&lt;&gt;DATE(2025,7,4)), (SWITCH(weekday(X$4), 1, 0, 2, if(ISBLANK('2025'!$P136), 0, 1), 3, if(ISBLANK('2025'!$Q136), 0, 1), 4, if(ISBLANK('2025'!$R136), 0, 1), 5, if(ISBLANK('2025'!$S136), 0, 1), 6, if(ISBLANK('2025'!$T136), 0, 1), 7, 0))), 1, "")</f>
        <v/>
      </c>
      <c r="Y138" s="1" t="str">
        <f>IF(AND(AND(AND(Y$4&gt;='2025'!$L136,Y$4&lt;='2025'!$M136), Y$4&lt;&gt;DATE(2025,7,4)), (SWITCH(weekday(Y$4), 1, 0, 2, if(ISBLANK('2025'!$P136), 0, 1), 3, if(ISBLANK('2025'!$Q136), 0, 1), 4, if(ISBLANK('2025'!$R136), 0, 1), 5, if(ISBLANK('2025'!$S136), 0, 1), 6, if(ISBLANK('2025'!$T136), 0, 1), 7, 0))), 1, "")</f>
        <v/>
      </c>
      <c r="Z138" s="1" t="str">
        <f>IF(AND(AND(AND(Z$4&gt;='2025'!$L136,Z$4&lt;='2025'!$M136), Z$4&lt;&gt;DATE(2025,7,4)), (SWITCH(weekday(Z$4), 1, 0, 2, if(ISBLANK('2025'!$P136), 0, 1), 3, if(ISBLANK('2025'!$Q136), 0, 1), 4, if(ISBLANK('2025'!$R136), 0, 1), 5, if(ISBLANK('2025'!$S136), 0, 1), 6, if(ISBLANK('2025'!$T136), 0, 1), 7, 0))), 1, "")</f>
        <v/>
      </c>
      <c r="AA138" s="1" t="str">
        <f>IF(AND(AND(AND(AA$4&gt;='2025'!$L136,AA$4&lt;='2025'!$M136), AA$4&lt;&gt;DATE(2025,7,4)), (SWITCH(weekday(AA$4), 1, 0, 2, if(ISBLANK('2025'!$P136), 0, 1), 3, if(ISBLANK('2025'!$Q136), 0, 1), 4, if(ISBLANK('2025'!$R136), 0, 1), 5, if(ISBLANK('2025'!$S136), 0, 1), 6, if(ISBLANK('2025'!$T136), 0, 1), 7, 0))), 1, "")</f>
        <v/>
      </c>
      <c r="AB138" s="1" t="str">
        <f>IF(AND(AND(AND(AB$4&gt;='2025'!$L136,AB$4&lt;='2025'!$M136), AB$4&lt;&gt;DATE(2025,7,4)), (SWITCH(weekday(AB$4), 1, 0, 2, if(ISBLANK('2025'!$P136), 0, 1), 3, if(ISBLANK('2025'!$Q136), 0, 1), 4, if(ISBLANK('2025'!$R136), 0, 1), 5, if(ISBLANK('2025'!$S136), 0, 1), 6, if(ISBLANK('2025'!$T136), 0, 1), 7, 0))), 1, "")</f>
        <v/>
      </c>
      <c r="AC138" s="1" t="str">
        <f>IF(AND(AND(AND(AC$4&gt;='2025'!$L136,AC$4&lt;='2025'!$M136), AC$4&lt;&gt;DATE(2025,7,4)), (SWITCH(weekday(AC$4), 1, 0, 2, if(ISBLANK('2025'!$P136), 0, 1), 3, if(ISBLANK('2025'!$Q136), 0, 1), 4, if(ISBLANK('2025'!$R136), 0, 1), 5, if(ISBLANK('2025'!$S136), 0, 1), 6, if(ISBLANK('2025'!$T136), 0, 1), 7, 0))), 1, "")</f>
        <v/>
      </c>
      <c r="AD138" s="1" t="str">
        <f>IF(AND(AND(AND(AD$4&gt;='2025'!$L136,AD$4&lt;='2025'!$M136), AD$4&lt;&gt;DATE(2025,7,4)), (SWITCH(weekday(AD$4), 1, 0, 2, if(ISBLANK('2025'!$P136), 0, 1), 3, if(ISBLANK('2025'!$Q136), 0, 1), 4, if(ISBLANK('2025'!$R136), 0, 1), 5, if(ISBLANK('2025'!$S136), 0, 1), 6, if(ISBLANK('2025'!$T136), 0, 1), 7, 0))), 1, "")</f>
        <v/>
      </c>
      <c r="AE138" s="1" t="str">
        <f>IF(AND(AND(AND(AE$4&gt;='2025'!$L136,AE$4&lt;='2025'!$M136), AE$4&lt;&gt;DATE(2025,7,4)), (SWITCH(weekday(AE$4), 1, 0, 2, if(ISBLANK('2025'!$P136), 0, 1), 3, if(ISBLANK('2025'!$Q136), 0, 1), 4, if(ISBLANK('2025'!$R136), 0, 1), 5, if(ISBLANK('2025'!$S136), 0, 1), 6, if(ISBLANK('2025'!$T136), 0, 1), 7, 0))), 1, "")</f>
        <v/>
      </c>
      <c r="AF138" s="1" t="str">
        <f>IF(AND(AND(AND(AF$4&gt;='2025'!$L136,AF$4&lt;='2025'!$M136), AF$4&lt;&gt;DATE(2025,7,4)), (SWITCH(weekday(AF$4), 1, 0, 2, if(ISBLANK('2025'!$P136), 0, 1), 3, if(ISBLANK('2025'!$Q136), 0, 1), 4, if(ISBLANK('2025'!$R136), 0, 1), 5, if(ISBLANK('2025'!$S136), 0, 1), 6, if(ISBLANK('2025'!$T136), 0, 1), 7, 0))), 1, "")</f>
        <v/>
      </c>
      <c r="AG138" s="1" t="str">
        <f>IF(AND(AND(AND(AG$4&gt;='2025'!$L136,AG$4&lt;='2025'!$M136), AG$4&lt;&gt;DATE(2025,7,4)), (SWITCH(weekday(AG$4), 1, 0, 2, if(ISBLANK('2025'!$P136), 0, 1), 3, if(ISBLANK('2025'!$Q136), 0, 1), 4, if(ISBLANK('2025'!$R136), 0, 1), 5, if(ISBLANK('2025'!$S136), 0, 1), 6, if(ISBLANK('2025'!$T136), 0, 1), 7, 0))), 1, "")</f>
        <v/>
      </c>
      <c r="AH138" s="1" t="str">
        <f>IF(AND(AND(AND(AH$4&gt;='2025'!$L136,AH$4&lt;='2025'!$M136), AH$4&lt;&gt;DATE(2025,7,4)), (SWITCH(weekday(AH$4), 1, 0, 2, if(ISBLANK('2025'!$P136), 0, 1), 3, if(ISBLANK('2025'!$Q136), 0, 1), 4, if(ISBLANK('2025'!$R136), 0, 1), 5, if(ISBLANK('2025'!$S136), 0, 1), 6, if(ISBLANK('2025'!$T136), 0, 1), 7, 0))), 1, "")</f>
        <v/>
      </c>
      <c r="AI138" s="1" t="str">
        <f>IF(AND(AND(AND(AI$4&gt;='2025'!$L136,AI$4&lt;='2025'!$M136), AI$4&lt;&gt;DATE(2025,7,4)), (SWITCH(weekday(AI$4), 1, 0, 2, if(ISBLANK('2025'!$P136), 0, 1), 3, if(ISBLANK('2025'!$Q136), 0, 1), 4, if(ISBLANK('2025'!$R136), 0, 1), 5, if(ISBLANK('2025'!$S136), 0, 1), 6, if(ISBLANK('2025'!$T136), 0, 1), 7, 0))), 1, "")</f>
        <v/>
      </c>
      <c r="AJ138" s="1" t="str">
        <f>IF(AND(AND(AND(AJ$4&gt;='2025'!$L136,AJ$4&lt;='2025'!$M136), AJ$4&lt;&gt;DATE(2025,7,4)), (SWITCH(weekday(AJ$4), 1, 0, 2, if(ISBLANK('2025'!$P136), 0, 1), 3, if(ISBLANK('2025'!$Q136), 0, 1), 4, if(ISBLANK('2025'!$R136), 0, 1), 5, if(ISBLANK('2025'!$S136), 0, 1), 6, if(ISBLANK('2025'!$T136), 0, 1), 7, 0))), 1, "")</f>
        <v/>
      </c>
      <c r="AK138" s="1" t="str">
        <f>IF(AND(AND(AND(AK$4&gt;='2025'!$L136,AK$4&lt;='2025'!$M136), AK$4&lt;&gt;DATE(2025,7,4)), (SWITCH(weekday(AK$4), 1, 0, 2, if(ISBLANK('2025'!$P136), 0, 1), 3, if(ISBLANK('2025'!$Q136), 0, 1), 4, if(ISBLANK('2025'!$R136), 0, 1), 5, if(ISBLANK('2025'!$S136), 0, 1), 6, if(ISBLANK('2025'!$T136), 0, 1), 7, 0))), 1, "")</f>
        <v/>
      </c>
      <c r="AL138" s="1" t="str">
        <f>IF(AND(AND(AND(AL$4&gt;='2025'!$L136,AL$4&lt;='2025'!$M136), AL$4&lt;&gt;DATE(2025,7,4)), (SWITCH(weekday(AL$4), 1, 0, 2, if(ISBLANK('2025'!$P136), 0, 1), 3, if(ISBLANK('2025'!$Q136), 0, 1), 4, if(ISBLANK('2025'!$R136), 0, 1), 5, if(ISBLANK('2025'!$S136), 0, 1), 6, if(ISBLANK('2025'!$T136), 0, 1), 7, 0))), 1, "")</f>
        <v/>
      </c>
      <c r="AM138" s="1" t="str">
        <f>IF(AND(AND(AND(AM$4&gt;='2025'!$L136,AM$4&lt;='2025'!$M136), AM$4&lt;&gt;DATE(2025,7,4)), (SWITCH(weekday(AM$4), 1, 0, 2, if(ISBLANK('2025'!$P136), 0, 1), 3, if(ISBLANK('2025'!$Q136), 0, 1), 4, if(ISBLANK('2025'!$R136), 0, 1), 5, if(ISBLANK('2025'!$S136), 0, 1), 6, if(ISBLANK('2025'!$T136), 0, 1), 7, 0))), 1, "")</f>
        <v/>
      </c>
      <c r="AN138" s="1" t="str">
        <f>IF(AND(AND(AND(AN$4&gt;='2025'!$L136,AN$4&lt;='2025'!$M136), AN$4&lt;&gt;DATE(2025,7,4)), (SWITCH(weekday(AN$4), 1, 0, 2, if(ISBLANK('2025'!$P136), 0, 1), 3, if(ISBLANK('2025'!$Q136), 0, 1), 4, if(ISBLANK('2025'!$R136), 0, 1), 5, if(ISBLANK('2025'!$S136), 0, 1), 6, if(ISBLANK('2025'!$T136), 0, 1), 7, 0))), 1, "")</f>
        <v/>
      </c>
      <c r="AO138" s="1" t="str">
        <f>IF(AND(AND(AND(AO$4&gt;='2025'!$L136,AO$4&lt;='2025'!$M136), AO$4&lt;&gt;DATE(2025,7,4)), (SWITCH(weekday(AO$4), 1, 0, 2, if(ISBLANK('2025'!$P136), 0, 1), 3, if(ISBLANK('2025'!$Q136), 0, 1), 4, if(ISBLANK('2025'!$R136), 0, 1), 5, if(ISBLANK('2025'!$S136), 0, 1), 6, if(ISBLANK('2025'!$T136), 0, 1), 7, 0))), 1, "")</f>
        <v/>
      </c>
      <c r="AP138" s="1" t="str">
        <f>IF(AND(AND(AND(AP$4&gt;='2025'!$L136,AP$4&lt;='2025'!$M136), AP$4&lt;&gt;DATE(2025,7,4)), (SWITCH(weekday(AP$4), 1, 0, 2, if(ISBLANK('2025'!$P136), 0, 1), 3, if(ISBLANK('2025'!$Q136), 0, 1), 4, if(ISBLANK('2025'!$R136), 0, 1), 5, if(ISBLANK('2025'!$S136), 0, 1), 6, if(ISBLANK('2025'!$T136), 0, 1), 7, 0))), 1, "")</f>
        <v/>
      </c>
      <c r="AQ138" s="1" t="str">
        <f>IF(AND(AND(AND(AQ$4&gt;='2025'!$L136,AQ$4&lt;='2025'!$M136), AQ$4&lt;&gt;DATE(2025,7,4)), (SWITCH(weekday(AQ$4), 1, 0, 2, if(ISBLANK('2025'!$P136), 0, 1), 3, if(ISBLANK('2025'!$Q136), 0, 1), 4, if(ISBLANK('2025'!$R136), 0, 1), 5, if(ISBLANK('2025'!$S136), 0, 1), 6, if(ISBLANK('2025'!$T136), 0, 1), 7, 0))), 1, "")</f>
        <v/>
      </c>
      <c r="AR138" s="1" t="str">
        <f>IF(AND(AND(AND(AR$4&gt;='2025'!$L136,AR$4&lt;='2025'!$M136), AR$4&lt;&gt;DATE(2025,7,4)), (SWITCH(weekday(AR$4), 1, 0, 2, if(ISBLANK('2025'!$P136), 0, 1), 3, if(ISBLANK('2025'!$Q136), 0, 1), 4, if(ISBLANK('2025'!$R136), 0, 1), 5, if(ISBLANK('2025'!$S136), 0, 1), 6, if(ISBLANK('2025'!$T136), 0, 1), 7, 0))), 1, "")</f>
        <v/>
      </c>
      <c r="AS138" s="1" t="str">
        <f>IF(AND(AND(AND(AS$4&gt;='2025'!$L136,AS$4&lt;='2025'!$M136), AS$4&lt;&gt;DATE(2025,7,4)), (SWITCH(weekday(AS$4), 1, 0, 2, if(ISBLANK('2025'!$P136), 0, 1), 3, if(ISBLANK('2025'!$Q136), 0, 1), 4, if(ISBLANK('2025'!$R136), 0, 1), 5, if(ISBLANK('2025'!$S136), 0, 1), 6, if(ISBLANK('2025'!$T136), 0, 1), 7, 0))), 1, "")</f>
        <v/>
      </c>
      <c r="AT138" s="1" t="str">
        <f>IF(AND(AND(AND(AT$4&gt;='2025'!$L136,AT$4&lt;='2025'!$M136), AT$4&lt;&gt;DATE(2025,7,4)), (SWITCH(weekday(AT$4), 1, 0, 2, if(ISBLANK('2025'!$P136), 0, 1), 3, if(ISBLANK('2025'!$Q136), 0, 1), 4, if(ISBLANK('2025'!$R136), 0, 1), 5, if(ISBLANK('2025'!$S136), 0, 1), 6, if(ISBLANK('2025'!$T136), 0, 1), 7, 0))), 1, "")</f>
        <v/>
      </c>
      <c r="AU138" s="1" t="str">
        <f>IF(AND(AND(AND(AU$4&gt;='2025'!$L136,AU$4&lt;='2025'!$M136), AU$4&lt;&gt;DATE(2025,7,4)), (SWITCH(weekday(AU$4), 1, 0, 2, if(ISBLANK('2025'!$P136), 0, 1), 3, if(ISBLANK('2025'!$Q136), 0, 1), 4, if(ISBLANK('2025'!$R136), 0, 1), 5, if(ISBLANK('2025'!$S136), 0, 1), 6, if(ISBLANK('2025'!$T136), 0, 1), 7, 0))), 1, "")</f>
        <v/>
      </c>
      <c r="AV138" s="1" t="str">
        <f>IF(AND(AND(AND(AV$4&gt;='2025'!$L136,AV$4&lt;='2025'!$M136), AV$4&lt;&gt;DATE(2025,7,4)), (SWITCH(weekday(AV$4), 1, 0, 2, if(ISBLANK('2025'!$P136), 0, 1), 3, if(ISBLANK('2025'!$Q136), 0, 1), 4, if(ISBLANK('2025'!$R136), 0, 1), 5, if(ISBLANK('2025'!$S136), 0, 1), 6, if(ISBLANK('2025'!$T136), 0, 1), 7, 0))), 1, "")</f>
        <v/>
      </c>
      <c r="AW138" s="1" t="str">
        <f>IF(AND(AND(AND(AW$4&gt;='2025'!$L136,AW$4&lt;='2025'!$M136), AW$4&lt;&gt;DATE(2025,7,4)), (SWITCH(weekday(AW$4), 1, 0, 2, if(ISBLANK('2025'!$P136), 0, 1), 3, if(ISBLANK('2025'!$Q136), 0, 1), 4, if(ISBLANK('2025'!$R136), 0, 1), 5, if(ISBLANK('2025'!$S136), 0, 1), 6, if(ISBLANK('2025'!$T136), 0, 1), 7, 0))), 1, "")</f>
        <v/>
      </c>
      <c r="AX138" s="1" t="str">
        <f>IF(AND(AND(AND(AX$4&gt;='2025'!$L136,AX$4&lt;='2025'!$M136), AX$4&lt;&gt;DATE(2025,7,4)), (SWITCH(weekday(AX$4), 1, 0, 2, if(ISBLANK('2025'!$P136), 0, 1), 3, if(ISBLANK('2025'!$Q136), 0, 1), 4, if(ISBLANK('2025'!$R136), 0, 1), 5, if(ISBLANK('2025'!$S136), 0, 1), 6, if(ISBLANK('2025'!$T136), 0, 1), 7, 0))), 1, "")</f>
        <v/>
      </c>
      <c r="AY138" s="1" t="str">
        <f>IF(AND(AND(AND(AY$4&gt;='2025'!$L136,AY$4&lt;='2025'!$M136), AY$4&lt;&gt;DATE(2025,7,4)), (SWITCH(weekday(AY$4), 1, 0, 2, if(ISBLANK('2025'!$P136), 0, 1), 3, if(ISBLANK('2025'!$Q136), 0, 1), 4, if(ISBLANK('2025'!$R136), 0, 1), 5, if(ISBLANK('2025'!$S136), 0, 1), 6, if(ISBLANK('2025'!$T136), 0, 1), 7, 0))), 1, "")</f>
        <v/>
      </c>
      <c r="AZ138" s="1" t="str">
        <f>IF(AND(AND(AND(AZ$4&gt;='2025'!$L136,AZ$4&lt;='2025'!$M136), AZ$4&lt;&gt;DATE(2025,7,4)), (SWITCH(weekday(AZ$4), 1, 0, 2, if(ISBLANK('2025'!$P136), 0, 1), 3, if(ISBLANK('2025'!$Q136), 0, 1), 4, if(ISBLANK('2025'!$R136), 0, 1), 5, if(ISBLANK('2025'!$S136), 0, 1), 6, if(ISBLANK('2025'!$T136), 0, 1), 7, 0))), 1, "")</f>
        <v/>
      </c>
      <c r="BA138" s="1" t="str">
        <f>IF(AND(AND(AND(BA$4&gt;='2025'!$L136,BA$4&lt;='2025'!$M136), BA$4&lt;&gt;DATE(2025,7,4)), (SWITCH(weekday(BA$4), 1, 0, 2, if(ISBLANK('2025'!$P136), 0, 1), 3, if(ISBLANK('2025'!$Q136), 0, 1), 4, if(ISBLANK('2025'!$R136), 0, 1), 5, if(ISBLANK('2025'!$S136), 0, 1), 6, if(ISBLANK('2025'!$T136), 0, 1), 7, 0))), 1, "")</f>
        <v/>
      </c>
      <c r="BB138" s="1" t="str">
        <f>IF(AND(AND(AND(BB$4&gt;='2025'!$L136,BB$4&lt;='2025'!$M136), BB$4&lt;&gt;DATE(2025,7,4)), (SWITCH(weekday(BB$4), 1, 0, 2, if(ISBLANK('2025'!$P136), 0, 1), 3, if(ISBLANK('2025'!$Q136), 0, 1), 4, if(ISBLANK('2025'!$R136), 0, 1), 5, if(ISBLANK('2025'!$S136), 0, 1), 6, if(ISBLANK('2025'!$T136), 0, 1), 7, 0))), 1, "")</f>
        <v/>
      </c>
      <c r="BC138" s="1" t="str">
        <f>IF(AND(AND(AND(BC$4&gt;='2025'!$L136,BC$4&lt;='2025'!$M136), BC$4&lt;&gt;DATE(2025,7,4)), (SWITCH(weekday(BC$4), 1, 0, 2, if(ISBLANK('2025'!$P136), 0, 1), 3, if(ISBLANK('2025'!$Q136), 0, 1), 4, if(ISBLANK('2025'!$R136), 0, 1), 5, if(ISBLANK('2025'!$S136), 0, 1), 6, if(ISBLANK('2025'!$T136), 0, 1), 7, 0))), 1, "")</f>
        <v/>
      </c>
      <c r="BD138" s="1" t="str">
        <f>IF(AND(AND(AND(BD$4&gt;='2025'!$L136,BD$4&lt;='2025'!$M136), BD$4&lt;&gt;DATE(2025,7,4)), (SWITCH(weekday(BD$4), 1, 0, 2, if(ISBLANK('2025'!$P136), 0, 1), 3, if(ISBLANK('2025'!$Q136), 0, 1), 4, if(ISBLANK('2025'!$R136), 0, 1), 5, if(ISBLANK('2025'!$S136), 0, 1), 6, if(ISBLANK('2025'!$T136), 0, 1), 7, 0))), 1, "")</f>
        <v/>
      </c>
      <c r="BE138" s="1" t="str">
        <f>IF(AND(AND(AND(BE$4&gt;='2025'!$L136,BE$4&lt;='2025'!$M136), BE$4&lt;&gt;DATE(2025,7,4)), (SWITCH(weekday(BE$4), 1, 0, 2, if(ISBLANK('2025'!$P136), 0, 1), 3, if(ISBLANK('2025'!$Q136), 0, 1), 4, if(ISBLANK('2025'!$R136), 0, 1), 5, if(ISBLANK('2025'!$S136), 0, 1), 6, if(ISBLANK('2025'!$T136), 0, 1), 7, 0))), 1, "")</f>
        <v/>
      </c>
      <c r="BF138" s="1" t="str">
        <f>IF(AND(AND(AND(BF$4&gt;='2025'!$L136,BF$4&lt;='2025'!$M136), BF$4&lt;&gt;DATE(2025,7,4)), (SWITCH(weekday(BF$4), 1, 0, 2, if(ISBLANK('2025'!$P136), 0, 1), 3, if(ISBLANK('2025'!$Q136), 0, 1), 4, if(ISBLANK('2025'!$R136), 0, 1), 5, if(ISBLANK('2025'!$S136), 0, 1), 6, if(ISBLANK('2025'!$T136), 0, 1), 7, 0))), 1, "")</f>
        <v/>
      </c>
      <c r="BG138" s="1"/>
      <c r="BH138" s="1"/>
      <c r="BI138" s="1"/>
      <c r="BJ138" s="1"/>
      <c r="BK138" s="1"/>
      <c r="BL138" s="1"/>
    </row>
    <row r="139">
      <c r="A139" s="1">
        <f t="shared" si="3"/>
        <v>139</v>
      </c>
      <c r="B139" s="1" t="str">
        <f>'2025'!D103</f>
        <v>, </v>
      </c>
      <c r="C139" s="1" t="str">
        <f>'2025'!H103</f>
        <v/>
      </c>
      <c r="D139" s="1" t="str">
        <f>IF(AND(AND(AND(D$4&gt;='2025'!$L137,D$4&lt;='2025'!$M137), D$4&lt;&gt;DATE(2025,7,4)), (SWITCH(weekday(D$4), 1, 0, 2, if(ISBLANK('2025'!$P137), 0, 1), 3, if(ISBLANK('2025'!$Q137), 0, 1), 4, if(ISBLANK('2025'!$R137), 0, 1), 5, if(ISBLANK('2025'!$S137), 0, 1), 6, if(ISBLANK('2025'!$T137), 0, 1), 7, 0))), 1, "")</f>
        <v/>
      </c>
      <c r="E139" s="1" t="str">
        <f>IF(AND(AND(AND(E$4&gt;='2025'!$L137,E$4&lt;='2025'!$M137), E$4&lt;&gt;DATE(2025,7,4)), (SWITCH(weekday(E$4), 1, 0, 2, if(ISBLANK('2025'!$P137), 0, 1), 3, if(ISBLANK('2025'!$Q137), 0, 1), 4, if(ISBLANK('2025'!$R137), 0, 1), 5, if(ISBLANK('2025'!$S137), 0, 1), 6, if(ISBLANK('2025'!$T137), 0, 1), 7, 0))), 1, "")</f>
        <v/>
      </c>
      <c r="F139" s="1" t="str">
        <f>IF(AND(AND(AND(F$4&gt;='2025'!$L137,F$4&lt;='2025'!$M137), F$4&lt;&gt;DATE(2025,7,4)), (SWITCH(weekday(F$4), 1, 0, 2, if(ISBLANK('2025'!$P137), 0, 1), 3, if(ISBLANK('2025'!$Q137), 0, 1), 4, if(ISBLANK('2025'!$R137), 0, 1), 5, if(ISBLANK('2025'!$S137), 0, 1), 6, if(ISBLANK('2025'!$T137), 0, 1), 7, 0))), 1, "")</f>
        <v/>
      </c>
      <c r="G139" s="1" t="str">
        <f>IF(AND(AND(AND(G$4&gt;='2025'!$L137,G$4&lt;='2025'!$M137), G$4&lt;&gt;DATE(2025,7,4)), (SWITCH(weekday(G$4), 1, 0, 2, if(ISBLANK('2025'!$P137), 0, 1), 3, if(ISBLANK('2025'!$Q137), 0, 1), 4, if(ISBLANK('2025'!$R137), 0, 1), 5, if(ISBLANK('2025'!$S137), 0, 1), 6, if(ISBLANK('2025'!$T137), 0, 1), 7, 0))), 1, "")</f>
        <v/>
      </c>
      <c r="H139" s="1" t="str">
        <f>IF(AND(AND(AND(H$4&gt;='2025'!$L137,H$4&lt;='2025'!$M137), H$4&lt;&gt;DATE(2025,7,4)), (SWITCH(weekday(H$4), 1, 0, 2, if(ISBLANK('2025'!$P137), 0, 1), 3, if(ISBLANK('2025'!$Q137), 0, 1), 4, if(ISBLANK('2025'!$R137), 0, 1), 5, if(ISBLANK('2025'!$S137), 0, 1), 6, if(ISBLANK('2025'!$T137), 0, 1), 7, 0))), 1, "")</f>
        <v/>
      </c>
      <c r="I139" s="1" t="str">
        <f>IF(AND(AND(AND(I$4&gt;='2025'!$L137,I$4&lt;='2025'!$M137), I$4&lt;&gt;DATE(2025,7,4)), (SWITCH(weekday(I$4), 1, 0, 2, if(ISBLANK('2025'!$P137), 0, 1), 3, if(ISBLANK('2025'!$Q137), 0, 1), 4, if(ISBLANK('2025'!$R137), 0, 1), 5, if(ISBLANK('2025'!$S137), 0, 1), 6, if(ISBLANK('2025'!$T137), 0, 1), 7, 0))), 1, "")</f>
        <v/>
      </c>
      <c r="J139" s="1" t="str">
        <f>IF(AND(AND(AND(J$4&gt;='2025'!$L137,J$4&lt;='2025'!$M137), J$4&lt;&gt;DATE(2025,7,4)), (SWITCH(weekday(J$4), 1, 0, 2, if(ISBLANK('2025'!$P137), 0, 1), 3, if(ISBLANK('2025'!$Q137), 0, 1), 4, if(ISBLANK('2025'!$R137), 0, 1), 5, if(ISBLANK('2025'!$S137), 0, 1), 6, if(ISBLANK('2025'!$T137), 0, 1), 7, 0))), 1, "")</f>
        <v/>
      </c>
      <c r="K139" s="1" t="str">
        <f>IF(AND(AND(AND(K$4&gt;='2025'!$L137,K$4&lt;='2025'!$M137), K$4&lt;&gt;DATE(2025,7,4)), (SWITCH(weekday(K$4), 1, 0, 2, if(ISBLANK('2025'!$P137), 0, 1), 3, if(ISBLANK('2025'!$Q137), 0, 1), 4, if(ISBLANK('2025'!$R137), 0, 1), 5, if(ISBLANK('2025'!$S137), 0, 1), 6, if(ISBLANK('2025'!$T137), 0, 1), 7, 0))), 1, "")</f>
        <v/>
      </c>
      <c r="L139" s="1" t="str">
        <f>IF(AND(AND(AND(L$4&gt;='2025'!$L137,L$4&lt;='2025'!$M137), L$4&lt;&gt;DATE(2025,7,4)), (SWITCH(weekday(L$4), 1, 0, 2, if(ISBLANK('2025'!$P137), 0, 1), 3, if(ISBLANK('2025'!$Q137), 0, 1), 4, if(ISBLANK('2025'!$R137), 0, 1), 5, if(ISBLANK('2025'!$S137), 0, 1), 6, if(ISBLANK('2025'!$T137), 0, 1), 7, 0))), 1, "")</f>
        <v/>
      </c>
      <c r="M139" s="1" t="str">
        <f>IF(AND(AND(AND(M$4&gt;='2025'!$L137,M$4&lt;='2025'!$M137), M$4&lt;&gt;DATE(2025,7,4)), (SWITCH(weekday(M$4), 1, 0, 2, if(ISBLANK('2025'!$P137), 0, 1), 3, if(ISBLANK('2025'!$Q137), 0, 1), 4, if(ISBLANK('2025'!$R137), 0, 1), 5, if(ISBLANK('2025'!$S137), 0, 1), 6, if(ISBLANK('2025'!$T137), 0, 1), 7, 0))), 1, "")</f>
        <v/>
      </c>
      <c r="N139" s="1" t="str">
        <f>IF(AND(AND(AND(N$4&gt;='2025'!$L137,N$4&lt;='2025'!$M137), N$4&lt;&gt;DATE(2025,7,4)), (SWITCH(weekday(N$4), 1, 0, 2, if(ISBLANK('2025'!$P137), 0, 1), 3, if(ISBLANK('2025'!$Q137), 0, 1), 4, if(ISBLANK('2025'!$R137), 0, 1), 5, if(ISBLANK('2025'!$S137), 0, 1), 6, if(ISBLANK('2025'!$T137), 0, 1), 7, 0))), 1, "")</f>
        <v/>
      </c>
      <c r="O139" s="1" t="str">
        <f>IF(AND(AND(AND(O$4&gt;='2025'!$L137,O$4&lt;='2025'!$M137), O$4&lt;&gt;DATE(2025,7,4)), (SWITCH(weekday(O$4), 1, 0, 2, if(ISBLANK('2025'!$P137), 0, 1), 3, if(ISBLANK('2025'!$Q137), 0, 1), 4, if(ISBLANK('2025'!$R137), 0, 1), 5, if(ISBLANK('2025'!$S137), 0, 1), 6, if(ISBLANK('2025'!$T137), 0, 1), 7, 0))), 1, "")</f>
        <v/>
      </c>
      <c r="P139" s="1" t="str">
        <f>IF(AND(AND(AND(P$4&gt;='2025'!$L137,P$4&lt;='2025'!$M137), P$4&lt;&gt;DATE(2025,7,4)), (SWITCH(weekday(P$4), 1, 0, 2, if(ISBLANK('2025'!$P137), 0, 1), 3, if(ISBLANK('2025'!$Q137), 0, 1), 4, if(ISBLANK('2025'!$R137), 0, 1), 5, if(ISBLANK('2025'!$S137), 0, 1), 6, if(ISBLANK('2025'!$T137), 0, 1), 7, 0))), 1, "")</f>
        <v/>
      </c>
      <c r="Q139" s="1" t="str">
        <f>IF(AND(AND(AND(Q$4&gt;='2025'!$L137,Q$4&lt;='2025'!$M137), Q$4&lt;&gt;DATE(2025,7,4)), (SWITCH(weekday(Q$4), 1, 0, 2, if(ISBLANK('2025'!$P137), 0, 1), 3, if(ISBLANK('2025'!$Q137), 0, 1), 4, if(ISBLANK('2025'!$R137), 0, 1), 5, if(ISBLANK('2025'!$S137), 0, 1), 6, if(ISBLANK('2025'!$T137), 0, 1), 7, 0))), 1, "")</f>
        <v/>
      </c>
      <c r="R139" s="1" t="str">
        <f>IF(AND(AND(AND(R$4&gt;='2025'!$L137,R$4&lt;='2025'!$M137), R$4&lt;&gt;DATE(2025,7,4)), (SWITCH(weekday(R$4), 1, 0, 2, if(ISBLANK('2025'!$P137), 0, 1), 3, if(ISBLANK('2025'!$Q137), 0, 1), 4, if(ISBLANK('2025'!$R137), 0, 1), 5, if(ISBLANK('2025'!$S137), 0, 1), 6, if(ISBLANK('2025'!$T137), 0, 1), 7, 0))), 1, "")</f>
        <v/>
      </c>
      <c r="S139" s="1" t="str">
        <f>IF(AND(AND(AND(S$4&gt;='2025'!$L137,S$4&lt;='2025'!$M137), S$4&lt;&gt;DATE(2025,7,4)), (SWITCH(weekday(S$4), 1, 0, 2, if(ISBLANK('2025'!$P137), 0, 1), 3, if(ISBLANK('2025'!$Q137), 0, 1), 4, if(ISBLANK('2025'!$R137), 0, 1), 5, if(ISBLANK('2025'!$S137), 0, 1), 6, if(ISBLANK('2025'!$T137), 0, 1), 7, 0))), 1, "")</f>
        <v/>
      </c>
      <c r="T139" s="1" t="str">
        <f>IF(AND(AND(AND(T$4&gt;='2025'!$L137,T$4&lt;='2025'!$M137), T$4&lt;&gt;DATE(2025,7,4)), (SWITCH(weekday(T$4), 1, 0, 2, if(ISBLANK('2025'!$P137), 0, 1), 3, if(ISBLANK('2025'!$Q137), 0, 1), 4, if(ISBLANK('2025'!$R137), 0, 1), 5, if(ISBLANK('2025'!$S137), 0, 1), 6, if(ISBLANK('2025'!$T137), 0, 1), 7, 0))), 1, "")</f>
        <v/>
      </c>
      <c r="U139" s="1" t="str">
        <f>IF(AND(AND(AND(U$4&gt;='2025'!$L137,U$4&lt;='2025'!$M137), U$4&lt;&gt;DATE(2025,7,4)), (SWITCH(weekday(U$4), 1, 0, 2, if(ISBLANK('2025'!$P137), 0, 1), 3, if(ISBLANK('2025'!$Q137), 0, 1), 4, if(ISBLANK('2025'!$R137), 0, 1), 5, if(ISBLANK('2025'!$S137), 0, 1), 6, if(ISBLANK('2025'!$T137), 0, 1), 7, 0))), 1, "")</f>
        <v/>
      </c>
      <c r="V139" s="1" t="str">
        <f>IF(AND(AND(AND(V$4&gt;='2025'!$L137,V$4&lt;='2025'!$M137), V$4&lt;&gt;DATE(2025,7,4)), (SWITCH(weekday(V$4), 1, 0, 2, if(ISBLANK('2025'!$P137), 0, 1), 3, if(ISBLANK('2025'!$Q137), 0, 1), 4, if(ISBLANK('2025'!$R137), 0, 1), 5, if(ISBLANK('2025'!$S137), 0, 1), 6, if(ISBLANK('2025'!$T137), 0, 1), 7, 0))), 1, "")</f>
        <v/>
      </c>
      <c r="W139" s="1" t="str">
        <f>IF(AND(AND(AND(W$4&gt;='2025'!$L137,W$4&lt;='2025'!$M137), W$4&lt;&gt;DATE(2025,7,4)), (SWITCH(weekday(W$4), 1, 0, 2, if(ISBLANK('2025'!$P137), 0, 1), 3, if(ISBLANK('2025'!$Q137), 0, 1), 4, if(ISBLANK('2025'!$R137), 0, 1), 5, if(ISBLANK('2025'!$S137), 0, 1), 6, if(ISBLANK('2025'!$T137), 0, 1), 7, 0))), 1, "")</f>
        <v/>
      </c>
      <c r="X139" s="1" t="str">
        <f>IF(AND(AND(AND(X$4&gt;='2025'!$L137,X$4&lt;='2025'!$M137), X$4&lt;&gt;DATE(2025,7,4)), (SWITCH(weekday(X$4), 1, 0, 2, if(ISBLANK('2025'!$P137), 0, 1), 3, if(ISBLANK('2025'!$Q137), 0, 1), 4, if(ISBLANK('2025'!$R137), 0, 1), 5, if(ISBLANK('2025'!$S137), 0, 1), 6, if(ISBLANK('2025'!$T137), 0, 1), 7, 0))), 1, "")</f>
        <v/>
      </c>
      <c r="Y139" s="1" t="str">
        <f>IF(AND(AND(AND(Y$4&gt;='2025'!$L137,Y$4&lt;='2025'!$M137), Y$4&lt;&gt;DATE(2025,7,4)), (SWITCH(weekday(Y$4), 1, 0, 2, if(ISBLANK('2025'!$P137), 0, 1), 3, if(ISBLANK('2025'!$Q137), 0, 1), 4, if(ISBLANK('2025'!$R137), 0, 1), 5, if(ISBLANK('2025'!$S137), 0, 1), 6, if(ISBLANK('2025'!$T137), 0, 1), 7, 0))), 1, "")</f>
        <v/>
      </c>
      <c r="Z139" s="1" t="str">
        <f>IF(AND(AND(AND(Z$4&gt;='2025'!$L137,Z$4&lt;='2025'!$M137), Z$4&lt;&gt;DATE(2025,7,4)), (SWITCH(weekday(Z$4), 1, 0, 2, if(ISBLANK('2025'!$P137), 0, 1), 3, if(ISBLANK('2025'!$Q137), 0, 1), 4, if(ISBLANK('2025'!$R137), 0, 1), 5, if(ISBLANK('2025'!$S137), 0, 1), 6, if(ISBLANK('2025'!$T137), 0, 1), 7, 0))), 1, "")</f>
        <v/>
      </c>
      <c r="AA139" s="1" t="str">
        <f>IF(AND(AND(AND(AA$4&gt;='2025'!$L137,AA$4&lt;='2025'!$M137), AA$4&lt;&gt;DATE(2025,7,4)), (SWITCH(weekday(AA$4), 1, 0, 2, if(ISBLANK('2025'!$P137), 0, 1), 3, if(ISBLANK('2025'!$Q137), 0, 1), 4, if(ISBLANK('2025'!$R137), 0, 1), 5, if(ISBLANK('2025'!$S137), 0, 1), 6, if(ISBLANK('2025'!$T137), 0, 1), 7, 0))), 1, "")</f>
        <v/>
      </c>
      <c r="AB139" s="1" t="str">
        <f>IF(AND(AND(AND(AB$4&gt;='2025'!$L137,AB$4&lt;='2025'!$M137), AB$4&lt;&gt;DATE(2025,7,4)), (SWITCH(weekday(AB$4), 1, 0, 2, if(ISBLANK('2025'!$P137), 0, 1), 3, if(ISBLANK('2025'!$Q137), 0, 1), 4, if(ISBLANK('2025'!$R137), 0, 1), 5, if(ISBLANK('2025'!$S137), 0, 1), 6, if(ISBLANK('2025'!$T137), 0, 1), 7, 0))), 1, "")</f>
        <v/>
      </c>
      <c r="AC139" s="1" t="str">
        <f>IF(AND(AND(AND(AC$4&gt;='2025'!$L137,AC$4&lt;='2025'!$M137), AC$4&lt;&gt;DATE(2025,7,4)), (SWITCH(weekday(AC$4), 1, 0, 2, if(ISBLANK('2025'!$P137), 0, 1), 3, if(ISBLANK('2025'!$Q137), 0, 1), 4, if(ISBLANK('2025'!$R137), 0, 1), 5, if(ISBLANK('2025'!$S137), 0, 1), 6, if(ISBLANK('2025'!$T137), 0, 1), 7, 0))), 1, "")</f>
        <v/>
      </c>
      <c r="AD139" s="1" t="str">
        <f>IF(AND(AND(AND(AD$4&gt;='2025'!$L137,AD$4&lt;='2025'!$M137), AD$4&lt;&gt;DATE(2025,7,4)), (SWITCH(weekday(AD$4), 1, 0, 2, if(ISBLANK('2025'!$P137), 0, 1), 3, if(ISBLANK('2025'!$Q137), 0, 1), 4, if(ISBLANK('2025'!$R137), 0, 1), 5, if(ISBLANK('2025'!$S137), 0, 1), 6, if(ISBLANK('2025'!$T137), 0, 1), 7, 0))), 1, "")</f>
        <v/>
      </c>
      <c r="AE139" s="1" t="str">
        <f>IF(AND(AND(AND(AE$4&gt;='2025'!$L137,AE$4&lt;='2025'!$M137), AE$4&lt;&gt;DATE(2025,7,4)), (SWITCH(weekday(AE$4), 1, 0, 2, if(ISBLANK('2025'!$P137), 0, 1), 3, if(ISBLANK('2025'!$Q137), 0, 1), 4, if(ISBLANK('2025'!$R137), 0, 1), 5, if(ISBLANK('2025'!$S137), 0, 1), 6, if(ISBLANK('2025'!$T137), 0, 1), 7, 0))), 1, "")</f>
        <v/>
      </c>
      <c r="AF139" s="1" t="str">
        <f>IF(AND(AND(AND(AF$4&gt;='2025'!$L137,AF$4&lt;='2025'!$M137), AF$4&lt;&gt;DATE(2025,7,4)), (SWITCH(weekday(AF$4), 1, 0, 2, if(ISBLANK('2025'!$P137), 0, 1), 3, if(ISBLANK('2025'!$Q137), 0, 1), 4, if(ISBLANK('2025'!$R137), 0, 1), 5, if(ISBLANK('2025'!$S137), 0, 1), 6, if(ISBLANK('2025'!$T137), 0, 1), 7, 0))), 1, "")</f>
        <v/>
      </c>
      <c r="AG139" s="1" t="str">
        <f>IF(AND(AND(AND(AG$4&gt;='2025'!$L137,AG$4&lt;='2025'!$M137), AG$4&lt;&gt;DATE(2025,7,4)), (SWITCH(weekday(AG$4), 1, 0, 2, if(ISBLANK('2025'!$P137), 0, 1), 3, if(ISBLANK('2025'!$Q137), 0, 1), 4, if(ISBLANK('2025'!$R137), 0, 1), 5, if(ISBLANK('2025'!$S137), 0, 1), 6, if(ISBLANK('2025'!$T137), 0, 1), 7, 0))), 1, "")</f>
        <v/>
      </c>
      <c r="AH139" s="1" t="str">
        <f>IF(AND(AND(AND(AH$4&gt;='2025'!$L137,AH$4&lt;='2025'!$M137), AH$4&lt;&gt;DATE(2025,7,4)), (SWITCH(weekday(AH$4), 1, 0, 2, if(ISBLANK('2025'!$P137), 0, 1), 3, if(ISBLANK('2025'!$Q137), 0, 1), 4, if(ISBLANK('2025'!$R137), 0, 1), 5, if(ISBLANK('2025'!$S137), 0, 1), 6, if(ISBLANK('2025'!$T137), 0, 1), 7, 0))), 1, "")</f>
        <v/>
      </c>
      <c r="AI139" s="1" t="str">
        <f>IF(AND(AND(AND(AI$4&gt;='2025'!$L137,AI$4&lt;='2025'!$M137), AI$4&lt;&gt;DATE(2025,7,4)), (SWITCH(weekday(AI$4), 1, 0, 2, if(ISBLANK('2025'!$P137), 0, 1), 3, if(ISBLANK('2025'!$Q137), 0, 1), 4, if(ISBLANK('2025'!$R137), 0, 1), 5, if(ISBLANK('2025'!$S137), 0, 1), 6, if(ISBLANK('2025'!$T137), 0, 1), 7, 0))), 1, "")</f>
        <v/>
      </c>
      <c r="AJ139" s="1" t="str">
        <f>IF(AND(AND(AND(AJ$4&gt;='2025'!$L137,AJ$4&lt;='2025'!$M137), AJ$4&lt;&gt;DATE(2025,7,4)), (SWITCH(weekday(AJ$4), 1, 0, 2, if(ISBLANK('2025'!$P137), 0, 1), 3, if(ISBLANK('2025'!$Q137), 0, 1), 4, if(ISBLANK('2025'!$R137), 0, 1), 5, if(ISBLANK('2025'!$S137), 0, 1), 6, if(ISBLANK('2025'!$T137), 0, 1), 7, 0))), 1, "")</f>
        <v/>
      </c>
      <c r="AK139" s="1" t="str">
        <f>IF(AND(AND(AND(AK$4&gt;='2025'!$L137,AK$4&lt;='2025'!$M137), AK$4&lt;&gt;DATE(2025,7,4)), (SWITCH(weekday(AK$4), 1, 0, 2, if(ISBLANK('2025'!$P137), 0, 1), 3, if(ISBLANK('2025'!$Q137), 0, 1), 4, if(ISBLANK('2025'!$R137), 0, 1), 5, if(ISBLANK('2025'!$S137), 0, 1), 6, if(ISBLANK('2025'!$T137), 0, 1), 7, 0))), 1, "")</f>
        <v/>
      </c>
      <c r="AL139" s="1" t="str">
        <f>IF(AND(AND(AND(AL$4&gt;='2025'!$L137,AL$4&lt;='2025'!$M137), AL$4&lt;&gt;DATE(2025,7,4)), (SWITCH(weekday(AL$4), 1, 0, 2, if(ISBLANK('2025'!$P137), 0, 1), 3, if(ISBLANK('2025'!$Q137), 0, 1), 4, if(ISBLANK('2025'!$R137), 0, 1), 5, if(ISBLANK('2025'!$S137), 0, 1), 6, if(ISBLANK('2025'!$T137), 0, 1), 7, 0))), 1, "")</f>
        <v/>
      </c>
      <c r="AM139" s="1" t="str">
        <f>IF(AND(AND(AND(AM$4&gt;='2025'!$L137,AM$4&lt;='2025'!$M137), AM$4&lt;&gt;DATE(2025,7,4)), (SWITCH(weekday(AM$4), 1, 0, 2, if(ISBLANK('2025'!$P137), 0, 1), 3, if(ISBLANK('2025'!$Q137), 0, 1), 4, if(ISBLANK('2025'!$R137), 0, 1), 5, if(ISBLANK('2025'!$S137), 0, 1), 6, if(ISBLANK('2025'!$T137), 0, 1), 7, 0))), 1, "")</f>
        <v/>
      </c>
      <c r="AN139" s="1" t="str">
        <f>IF(AND(AND(AND(AN$4&gt;='2025'!$L137,AN$4&lt;='2025'!$M137), AN$4&lt;&gt;DATE(2025,7,4)), (SWITCH(weekday(AN$4), 1, 0, 2, if(ISBLANK('2025'!$P137), 0, 1), 3, if(ISBLANK('2025'!$Q137), 0, 1), 4, if(ISBLANK('2025'!$R137), 0, 1), 5, if(ISBLANK('2025'!$S137), 0, 1), 6, if(ISBLANK('2025'!$T137), 0, 1), 7, 0))), 1, "")</f>
        <v/>
      </c>
      <c r="AO139" s="1" t="str">
        <f>IF(AND(AND(AND(AO$4&gt;='2025'!$L137,AO$4&lt;='2025'!$M137), AO$4&lt;&gt;DATE(2025,7,4)), (SWITCH(weekday(AO$4), 1, 0, 2, if(ISBLANK('2025'!$P137), 0, 1), 3, if(ISBLANK('2025'!$Q137), 0, 1), 4, if(ISBLANK('2025'!$R137), 0, 1), 5, if(ISBLANK('2025'!$S137), 0, 1), 6, if(ISBLANK('2025'!$T137), 0, 1), 7, 0))), 1, "")</f>
        <v/>
      </c>
      <c r="AP139" s="1" t="str">
        <f>IF(AND(AND(AND(AP$4&gt;='2025'!$L137,AP$4&lt;='2025'!$M137), AP$4&lt;&gt;DATE(2025,7,4)), (SWITCH(weekday(AP$4), 1, 0, 2, if(ISBLANK('2025'!$P137), 0, 1), 3, if(ISBLANK('2025'!$Q137), 0, 1), 4, if(ISBLANK('2025'!$R137), 0, 1), 5, if(ISBLANK('2025'!$S137), 0, 1), 6, if(ISBLANK('2025'!$T137), 0, 1), 7, 0))), 1, "")</f>
        <v/>
      </c>
      <c r="AQ139" s="1" t="str">
        <f>IF(AND(AND(AND(AQ$4&gt;='2025'!$L137,AQ$4&lt;='2025'!$M137), AQ$4&lt;&gt;DATE(2025,7,4)), (SWITCH(weekday(AQ$4), 1, 0, 2, if(ISBLANK('2025'!$P137), 0, 1), 3, if(ISBLANK('2025'!$Q137), 0, 1), 4, if(ISBLANK('2025'!$R137), 0, 1), 5, if(ISBLANK('2025'!$S137), 0, 1), 6, if(ISBLANK('2025'!$T137), 0, 1), 7, 0))), 1, "")</f>
        <v/>
      </c>
      <c r="AR139" s="1" t="str">
        <f>IF(AND(AND(AND(AR$4&gt;='2025'!$L137,AR$4&lt;='2025'!$M137), AR$4&lt;&gt;DATE(2025,7,4)), (SWITCH(weekday(AR$4), 1, 0, 2, if(ISBLANK('2025'!$P137), 0, 1), 3, if(ISBLANK('2025'!$Q137), 0, 1), 4, if(ISBLANK('2025'!$R137), 0, 1), 5, if(ISBLANK('2025'!$S137), 0, 1), 6, if(ISBLANK('2025'!$T137), 0, 1), 7, 0))), 1, "")</f>
        <v/>
      </c>
      <c r="AS139" s="1" t="str">
        <f>IF(AND(AND(AND(AS$4&gt;='2025'!$L137,AS$4&lt;='2025'!$M137), AS$4&lt;&gt;DATE(2025,7,4)), (SWITCH(weekday(AS$4), 1, 0, 2, if(ISBLANK('2025'!$P137), 0, 1), 3, if(ISBLANK('2025'!$Q137), 0, 1), 4, if(ISBLANK('2025'!$R137), 0, 1), 5, if(ISBLANK('2025'!$S137), 0, 1), 6, if(ISBLANK('2025'!$T137), 0, 1), 7, 0))), 1, "")</f>
        <v/>
      </c>
      <c r="AT139" s="1" t="str">
        <f>IF(AND(AND(AND(AT$4&gt;='2025'!$L137,AT$4&lt;='2025'!$M137), AT$4&lt;&gt;DATE(2025,7,4)), (SWITCH(weekday(AT$4), 1, 0, 2, if(ISBLANK('2025'!$P137), 0, 1), 3, if(ISBLANK('2025'!$Q137), 0, 1), 4, if(ISBLANK('2025'!$R137), 0, 1), 5, if(ISBLANK('2025'!$S137), 0, 1), 6, if(ISBLANK('2025'!$T137), 0, 1), 7, 0))), 1, "")</f>
        <v/>
      </c>
      <c r="AU139" s="1" t="str">
        <f>IF(AND(AND(AND(AU$4&gt;='2025'!$L137,AU$4&lt;='2025'!$M137), AU$4&lt;&gt;DATE(2025,7,4)), (SWITCH(weekday(AU$4), 1, 0, 2, if(ISBLANK('2025'!$P137), 0, 1), 3, if(ISBLANK('2025'!$Q137), 0, 1), 4, if(ISBLANK('2025'!$R137), 0, 1), 5, if(ISBLANK('2025'!$S137), 0, 1), 6, if(ISBLANK('2025'!$T137), 0, 1), 7, 0))), 1, "")</f>
        <v/>
      </c>
      <c r="AV139" s="1" t="str">
        <f>IF(AND(AND(AND(AV$4&gt;='2025'!$L137,AV$4&lt;='2025'!$M137), AV$4&lt;&gt;DATE(2025,7,4)), (SWITCH(weekday(AV$4), 1, 0, 2, if(ISBLANK('2025'!$P137), 0, 1), 3, if(ISBLANK('2025'!$Q137), 0, 1), 4, if(ISBLANK('2025'!$R137), 0, 1), 5, if(ISBLANK('2025'!$S137), 0, 1), 6, if(ISBLANK('2025'!$T137), 0, 1), 7, 0))), 1, "")</f>
        <v/>
      </c>
      <c r="AW139" s="1" t="str">
        <f>IF(AND(AND(AND(AW$4&gt;='2025'!$L137,AW$4&lt;='2025'!$M137), AW$4&lt;&gt;DATE(2025,7,4)), (SWITCH(weekday(AW$4), 1, 0, 2, if(ISBLANK('2025'!$P137), 0, 1), 3, if(ISBLANK('2025'!$Q137), 0, 1), 4, if(ISBLANK('2025'!$R137), 0, 1), 5, if(ISBLANK('2025'!$S137), 0, 1), 6, if(ISBLANK('2025'!$T137), 0, 1), 7, 0))), 1, "")</f>
        <v/>
      </c>
      <c r="AX139" s="1" t="str">
        <f>IF(AND(AND(AND(AX$4&gt;='2025'!$L137,AX$4&lt;='2025'!$M137), AX$4&lt;&gt;DATE(2025,7,4)), (SWITCH(weekday(AX$4), 1, 0, 2, if(ISBLANK('2025'!$P137), 0, 1), 3, if(ISBLANK('2025'!$Q137), 0, 1), 4, if(ISBLANK('2025'!$R137), 0, 1), 5, if(ISBLANK('2025'!$S137), 0, 1), 6, if(ISBLANK('2025'!$T137), 0, 1), 7, 0))), 1, "")</f>
        <v/>
      </c>
      <c r="AY139" s="1" t="str">
        <f>IF(AND(AND(AND(AY$4&gt;='2025'!$L137,AY$4&lt;='2025'!$M137), AY$4&lt;&gt;DATE(2025,7,4)), (SWITCH(weekday(AY$4), 1, 0, 2, if(ISBLANK('2025'!$P137), 0, 1), 3, if(ISBLANK('2025'!$Q137), 0, 1), 4, if(ISBLANK('2025'!$R137), 0, 1), 5, if(ISBLANK('2025'!$S137), 0, 1), 6, if(ISBLANK('2025'!$T137), 0, 1), 7, 0))), 1, "")</f>
        <v/>
      </c>
      <c r="AZ139" s="1" t="str">
        <f>IF(AND(AND(AND(AZ$4&gt;='2025'!$L137,AZ$4&lt;='2025'!$M137), AZ$4&lt;&gt;DATE(2025,7,4)), (SWITCH(weekday(AZ$4), 1, 0, 2, if(ISBLANK('2025'!$P137), 0, 1), 3, if(ISBLANK('2025'!$Q137), 0, 1), 4, if(ISBLANK('2025'!$R137), 0, 1), 5, if(ISBLANK('2025'!$S137), 0, 1), 6, if(ISBLANK('2025'!$T137), 0, 1), 7, 0))), 1, "")</f>
        <v/>
      </c>
      <c r="BA139" s="1" t="str">
        <f>IF(AND(AND(AND(BA$4&gt;='2025'!$L137,BA$4&lt;='2025'!$M137), BA$4&lt;&gt;DATE(2025,7,4)), (SWITCH(weekday(BA$4), 1, 0, 2, if(ISBLANK('2025'!$P137), 0, 1), 3, if(ISBLANK('2025'!$Q137), 0, 1), 4, if(ISBLANK('2025'!$R137), 0, 1), 5, if(ISBLANK('2025'!$S137), 0, 1), 6, if(ISBLANK('2025'!$T137), 0, 1), 7, 0))), 1, "")</f>
        <v/>
      </c>
      <c r="BB139" s="1" t="str">
        <f>IF(AND(AND(AND(BB$4&gt;='2025'!$L137,BB$4&lt;='2025'!$M137), BB$4&lt;&gt;DATE(2025,7,4)), (SWITCH(weekday(BB$4), 1, 0, 2, if(ISBLANK('2025'!$P137), 0, 1), 3, if(ISBLANK('2025'!$Q137), 0, 1), 4, if(ISBLANK('2025'!$R137), 0, 1), 5, if(ISBLANK('2025'!$S137), 0, 1), 6, if(ISBLANK('2025'!$T137), 0, 1), 7, 0))), 1, "")</f>
        <v/>
      </c>
      <c r="BC139" s="1" t="str">
        <f>IF(AND(AND(AND(BC$4&gt;='2025'!$L137,BC$4&lt;='2025'!$M137), BC$4&lt;&gt;DATE(2025,7,4)), (SWITCH(weekday(BC$4), 1, 0, 2, if(ISBLANK('2025'!$P137), 0, 1), 3, if(ISBLANK('2025'!$Q137), 0, 1), 4, if(ISBLANK('2025'!$R137), 0, 1), 5, if(ISBLANK('2025'!$S137), 0, 1), 6, if(ISBLANK('2025'!$T137), 0, 1), 7, 0))), 1, "")</f>
        <v/>
      </c>
      <c r="BD139" s="1" t="str">
        <f>IF(AND(AND(AND(BD$4&gt;='2025'!$L137,BD$4&lt;='2025'!$M137), BD$4&lt;&gt;DATE(2025,7,4)), (SWITCH(weekday(BD$4), 1, 0, 2, if(ISBLANK('2025'!$P137), 0, 1), 3, if(ISBLANK('2025'!$Q137), 0, 1), 4, if(ISBLANK('2025'!$R137), 0, 1), 5, if(ISBLANK('2025'!$S137), 0, 1), 6, if(ISBLANK('2025'!$T137), 0, 1), 7, 0))), 1, "")</f>
        <v/>
      </c>
      <c r="BE139" s="1" t="str">
        <f>IF(AND(AND(AND(BE$4&gt;='2025'!$L137,BE$4&lt;='2025'!$M137), BE$4&lt;&gt;DATE(2025,7,4)), (SWITCH(weekday(BE$4), 1, 0, 2, if(ISBLANK('2025'!$P137), 0, 1), 3, if(ISBLANK('2025'!$Q137), 0, 1), 4, if(ISBLANK('2025'!$R137), 0, 1), 5, if(ISBLANK('2025'!$S137), 0, 1), 6, if(ISBLANK('2025'!$T137), 0, 1), 7, 0))), 1, "")</f>
        <v/>
      </c>
      <c r="BF139" s="1" t="str">
        <f>IF(AND(AND(AND(BF$4&gt;='2025'!$L137,BF$4&lt;='2025'!$M137), BF$4&lt;&gt;DATE(2025,7,4)), (SWITCH(weekday(BF$4), 1, 0, 2, if(ISBLANK('2025'!$P137), 0, 1), 3, if(ISBLANK('2025'!$Q137), 0, 1), 4, if(ISBLANK('2025'!$R137), 0, 1), 5, if(ISBLANK('2025'!$S137), 0, 1), 6, if(ISBLANK('2025'!$T137), 0, 1), 7, 0))), 1, "")</f>
        <v/>
      </c>
      <c r="BG139" s="1"/>
      <c r="BH139" s="1"/>
      <c r="BI139" s="1"/>
      <c r="BJ139" s="1"/>
      <c r="BK139" s="1"/>
      <c r="BL139" s="1"/>
    </row>
    <row r="140">
      <c r="A140" s="1">
        <f t="shared" si="3"/>
        <v>140</v>
      </c>
      <c r="B140" s="1" t="str">
        <f>'2025'!D104</f>
        <v>, </v>
      </c>
      <c r="C140" s="1" t="str">
        <f>'2025'!H104</f>
        <v/>
      </c>
      <c r="D140" s="1" t="str">
        <f>IF(AND(AND(AND(D$4&gt;='2025'!$L138,D$4&lt;='2025'!$M138), D$4&lt;&gt;DATE(2025,7,4)), (SWITCH(weekday(D$4), 1, 0, 2, if(ISBLANK('2025'!$P138), 0, 1), 3, if(ISBLANK('2025'!$Q138), 0, 1), 4, if(ISBLANK('2025'!$R138), 0, 1), 5, if(ISBLANK('2025'!$S138), 0, 1), 6, if(ISBLANK('2025'!$T138), 0, 1), 7, 0))), 1, "")</f>
        <v/>
      </c>
      <c r="E140" s="1" t="str">
        <f>IF(AND(AND(AND(E$4&gt;='2025'!$L138,E$4&lt;='2025'!$M138), E$4&lt;&gt;DATE(2025,7,4)), (SWITCH(weekday(E$4), 1, 0, 2, if(ISBLANK('2025'!$P138), 0, 1), 3, if(ISBLANK('2025'!$Q138), 0, 1), 4, if(ISBLANK('2025'!$R138), 0, 1), 5, if(ISBLANK('2025'!$S138), 0, 1), 6, if(ISBLANK('2025'!$T138), 0, 1), 7, 0))), 1, "")</f>
        <v/>
      </c>
      <c r="F140" s="1" t="str">
        <f>IF(AND(AND(AND(F$4&gt;='2025'!$L138,F$4&lt;='2025'!$M138), F$4&lt;&gt;DATE(2025,7,4)), (SWITCH(weekday(F$4), 1, 0, 2, if(ISBLANK('2025'!$P138), 0, 1), 3, if(ISBLANK('2025'!$Q138), 0, 1), 4, if(ISBLANK('2025'!$R138), 0, 1), 5, if(ISBLANK('2025'!$S138), 0, 1), 6, if(ISBLANK('2025'!$T138), 0, 1), 7, 0))), 1, "")</f>
        <v/>
      </c>
      <c r="G140" s="1" t="str">
        <f>IF(AND(AND(AND(G$4&gt;='2025'!$L138,G$4&lt;='2025'!$M138), G$4&lt;&gt;DATE(2025,7,4)), (SWITCH(weekday(G$4), 1, 0, 2, if(ISBLANK('2025'!$P138), 0, 1), 3, if(ISBLANK('2025'!$Q138), 0, 1), 4, if(ISBLANK('2025'!$R138), 0, 1), 5, if(ISBLANK('2025'!$S138), 0, 1), 6, if(ISBLANK('2025'!$T138), 0, 1), 7, 0))), 1, "")</f>
        <v/>
      </c>
      <c r="H140" s="1" t="str">
        <f>IF(AND(AND(AND(H$4&gt;='2025'!$L138,H$4&lt;='2025'!$M138), H$4&lt;&gt;DATE(2025,7,4)), (SWITCH(weekday(H$4), 1, 0, 2, if(ISBLANK('2025'!$P138), 0, 1), 3, if(ISBLANK('2025'!$Q138), 0, 1), 4, if(ISBLANK('2025'!$R138), 0, 1), 5, if(ISBLANK('2025'!$S138), 0, 1), 6, if(ISBLANK('2025'!$T138), 0, 1), 7, 0))), 1, "")</f>
        <v/>
      </c>
      <c r="I140" s="1" t="str">
        <f>IF(AND(AND(AND(I$4&gt;='2025'!$L138,I$4&lt;='2025'!$M138), I$4&lt;&gt;DATE(2025,7,4)), (SWITCH(weekday(I$4), 1, 0, 2, if(ISBLANK('2025'!$P138), 0, 1), 3, if(ISBLANK('2025'!$Q138), 0, 1), 4, if(ISBLANK('2025'!$R138), 0, 1), 5, if(ISBLANK('2025'!$S138), 0, 1), 6, if(ISBLANK('2025'!$T138), 0, 1), 7, 0))), 1, "")</f>
        <v/>
      </c>
      <c r="J140" s="1" t="str">
        <f>IF(AND(AND(AND(J$4&gt;='2025'!$L138,J$4&lt;='2025'!$M138), J$4&lt;&gt;DATE(2025,7,4)), (SWITCH(weekday(J$4), 1, 0, 2, if(ISBLANK('2025'!$P138), 0, 1), 3, if(ISBLANK('2025'!$Q138), 0, 1), 4, if(ISBLANK('2025'!$R138), 0, 1), 5, if(ISBLANK('2025'!$S138), 0, 1), 6, if(ISBLANK('2025'!$T138), 0, 1), 7, 0))), 1, "")</f>
        <v/>
      </c>
      <c r="K140" s="1" t="str">
        <f>IF(AND(AND(AND(K$4&gt;='2025'!$L138,K$4&lt;='2025'!$M138), K$4&lt;&gt;DATE(2025,7,4)), (SWITCH(weekday(K$4), 1, 0, 2, if(ISBLANK('2025'!$P138), 0, 1), 3, if(ISBLANK('2025'!$Q138), 0, 1), 4, if(ISBLANK('2025'!$R138), 0, 1), 5, if(ISBLANK('2025'!$S138), 0, 1), 6, if(ISBLANK('2025'!$T138), 0, 1), 7, 0))), 1, "")</f>
        <v/>
      </c>
      <c r="L140" s="1" t="str">
        <f>IF(AND(AND(AND(L$4&gt;='2025'!$L138,L$4&lt;='2025'!$M138), L$4&lt;&gt;DATE(2025,7,4)), (SWITCH(weekday(L$4), 1, 0, 2, if(ISBLANK('2025'!$P138), 0, 1), 3, if(ISBLANK('2025'!$Q138), 0, 1), 4, if(ISBLANK('2025'!$R138), 0, 1), 5, if(ISBLANK('2025'!$S138), 0, 1), 6, if(ISBLANK('2025'!$T138), 0, 1), 7, 0))), 1, "")</f>
        <v/>
      </c>
      <c r="M140" s="1" t="str">
        <f>IF(AND(AND(AND(M$4&gt;='2025'!$L138,M$4&lt;='2025'!$M138), M$4&lt;&gt;DATE(2025,7,4)), (SWITCH(weekday(M$4), 1, 0, 2, if(ISBLANK('2025'!$P138), 0, 1), 3, if(ISBLANK('2025'!$Q138), 0, 1), 4, if(ISBLANK('2025'!$R138), 0, 1), 5, if(ISBLANK('2025'!$S138), 0, 1), 6, if(ISBLANK('2025'!$T138), 0, 1), 7, 0))), 1, "")</f>
        <v/>
      </c>
      <c r="N140" s="1" t="str">
        <f>IF(AND(AND(AND(N$4&gt;='2025'!$L138,N$4&lt;='2025'!$M138), N$4&lt;&gt;DATE(2025,7,4)), (SWITCH(weekday(N$4), 1, 0, 2, if(ISBLANK('2025'!$P138), 0, 1), 3, if(ISBLANK('2025'!$Q138), 0, 1), 4, if(ISBLANK('2025'!$R138), 0, 1), 5, if(ISBLANK('2025'!$S138), 0, 1), 6, if(ISBLANK('2025'!$T138), 0, 1), 7, 0))), 1, "")</f>
        <v/>
      </c>
      <c r="O140" s="1" t="str">
        <f>IF(AND(AND(AND(O$4&gt;='2025'!$L138,O$4&lt;='2025'!$M138), O$4&lt;&gt;DATE(2025,7,4)), (SWITCH(weekday(O$4), 1, 0, 2, if(ISBLANK('2025'!$P138), 0, 1), 3, if(ISBLANK('2025'!$Q138), 0, 1), 4, if(ISBLANK('2025'!$R138), 0, 1), 5, if(ISBLANK('2025'!$S138), 0, 1), 6, if(ISBLANK('2025'!$T138), 0, 1), 7, 0))), 1, "")</f>
        <v/>
      </c>
      <c r="P140" s="1" t="str">
        <f>IF(AND(AND(AND(P$4&gt;='2025'!$L138,P$4&lt;='2025'!$M138), P$4&lt;&gt;DATE(2025,7,4)), (SWITCH(weekday(P$4), 1, 0, 2, if(ISBLANK('2025'!$P138), 0, 1), 3, if(ISBLANK('2025'!$Q138), 0, 1), 4, if(ISBLANK('2025'!$R138), 0, 1), 5, if(ISBLANK('2025'!$S138), 0, 1), 6, if(ISBLANK('2025'!$T138), 0, 1), 7, 0))), 1, "")</f>
        <v/>
      </c>
      <c r="Q140" s="1" t="str">
        <f>IF(AND(AND(AND(Q$4&gt;='2025'!$L138,Q$4&lt;='2025'!$M138), Q$4&lt;&gt;DATE(2025,7,4)), (SWITCH(weekday(Q$4), 1, 0, 2, if(ISBLANK('2025'!$P138), 0, 1), 3, if(ISBLANK('2025'!$Q138), 0, 1), 4, if(ISBLANK('2025'!$R138), 0, 1), 5, if(ISBLANK('2025'!$S138), 0, 1), 6, if(ISBLANK('2025'!$T138), 0, 1), 7, 0))), 1, "")</f>
        <v/>
      </c>
      <c r="R140" s="1" t="str">
        <f>IF(AND(AND(AND(R$4&gt;='2025'!$L138,R$4&lt;='2025'!$M138), R$4&lt;&gt;DATE(2025,7,4)), (SWITCH(weekday(R$4), 1, 0, 2, if(ISBLANK('2025'!$P138), 0, 1), 3, if(ISBLANK('2025'!$Q138), 0, 1), 4, if(ISBLANK('2025'!$R138), 0, 1), 5, if(ISBLANK('2025'!$S138), 0, 1), 6, if(ISBLANK('2025'!$T138), 0, 1), 7, 0))), 1, "")</f>
        <v/>
      </c>
      <c r="S140" s="1" t="str">
        <f>IF(AND(AND(AND(S$4&gt;='2025'!$L138,S$4&lt;='2025'!$M138), S$4&lt;&gt;DATE(2025,7,4)), (SWITCH(weekday(S$4), 1, 0, 2, if(ISBLANK('2025'!$P138), 0, 1), 3, if(ISBLANK('2025'!$Q138), 0, 1), 4, if(ISBLANK('2025'!$R138), 0, 1), 5, if(ISBLANK('2025'!$S138), 0, 1), 6, if(ISBLANK('2025'!$T138), 0, 1), 7, 0))), 1, "")</f>
        <v/>
      </c>
      <c r="T140" s="1" t="str">
        <f>IF(AND(AND(AND(T$4&gt;='2025'!$L138,T$4&lt;='2025'!$M138), T$4&lt;&gt;DATE(2025,7,4)), (SWITCH(weekday(T$4), 1, 0, 2, if(ISBLANK('2025'!$P138), 0, 1), 3, if(ISBLANK('2025'!$Q138), 0, 1), 4, if(ISBLANK('2025'!$R138), 0, 1), 5, if(ISBLANK('2025'!$S138), 0, 1), 6, if(ISBLANK('2025'!$T138), 0, 1), 7, 0))), 1, "")</f>
        <v/>
      </c>
      <c r="U140" s="1" t="str">
        <f>IF(AND(AND(AND(U$4&gt;='2025'!$L138,U$4&lt;='2025'!$M138), U$4&lt;&gt;DATE(2025,7,4)), (SWITCH(weekday(U$4), 1, 0, 2, if(ISBLANK('2025'!$P138), 0, 1), 3, if(ISBLANK('2025'!$Q138), 0, 1), 4, if(ISBLANK('2025'!$R138), 0, 1), 5, if(ISBLANK('2025'!$S138), 0, 1), 6, if(ISBLANK('2025'!$T138), 0, 1), 7, 0))), 1, "")</f>
        <v/>
      </c>
      <c r="V140" s="1" t="str">
        <f>IF(AND(AND(AND(V$4&gt;='2025'!$L138,V$4&lt;='2025'!$M138), V$4&lt;&gt;DATE(2025,7,4)), (SWITCH(weekday(V$4), 1, 0, 2, if(ISBLANK('2025'!$P138), 0, 1), 3, if(ISBLANK('2025'!$Q138), 0, 1), 4, if(ISBLANK('2025'!$R138), 0, 1), 5, if(ISBLANK('2025'!$S138), 0, 1), 6, if(ISBLANK('2025'!$T138), 0, 1), 7, 0))), 1, "")</f>
        <v/>
      </c>
      <c r="W140" s="1" t="str">
        <f>IF(AND(AND(AND(W$4&gt;='2025'!$L138,W$4&lt;='2025'!$M138), W$4&lt;&gt;DATE(2025,7,4)), (SWITCH(weekday(W$4), 1, 0, 2, if(ISBLANK('2025'!$P138), 0, 1), 3, if(ISBLANK('2025'!$Q138), 0, 1), 4, if(ISBLANK('2025'!$R138), 0, 1), 5, if(ISBLANK('2025'!$S138), 0, 1), 6, if(ISBLANK('2025'!$T138), 0, 1), 7, 0))), 1, "")</f>
        <v/>
      </c>
      <c r="X140" s="1" t="str">
        <f>IF(AND(AND(AND(X$4&gt;='2025'!$L138,X$4&lt;='2025'!$M138), X$4&lt;&gt;DATE(2025,7,4)), (SWITCH(weekday(X$4), 1, 0, 2, if(ISBLANK('2025'!$P138), 0, 1), 3, if(ISBLANK('2025'!$Q138), 0, 1), 4, if(ISBLANK('2025'!$R138), 0, 1), 5, if(ISBLANK('2025'!$S138), 0, 1), 6, if(ISBLANK('2025'!$T138), 0, 1), 7, 0))), 1, "")</f>
        <v/>
      </c>
      <c r="Y140" s="1" t="str">
        <f>IF(AND(AND(AND(Y$4&gt;='2025'!$L138,Y$4&lt;='2025'!$M138), Y$4&lt;&gt;DATE(2025,7,4)), (SWITCH(weekday(Y$4), 1, 0, 2, if(ISBLANK('2025'!$P138), 0, 1), 3, if(ISBLANK('2025'!$Q138), 0, 1), 4, if(ISBLANK('2025'!$R138), 0, 1), 5, if(ISBLANK('2025'!$S138), 0, 1), 6, if(ISBLANK('2025'!$T138), 0, 1), 7, 0))), 1, "")</f>
        <v/>
      </c>
      <c r="Z140" s="1" t="str">
        <f>IF(AND(AND(AND(Z$4&gt;='2025'!$L138,Z$4&lt;='2025'!$M138), Z$4&lt;&gt;DATE(2025,7,4)), (SWITCH(weekday(Z$4), 1, 0, 2, if(ISBLANK('2025'!$P138), 0, 1), 3, if(ISBLANK('2025'!$Q138), 0, 1), 4, if(ISBLANK('2025'!$R138), 0, 1), 5, if(ISBLANK('2025'!$S138), 0, 1), 6, if(ISBLANK('2025'!$T138), 0, 1), 7, 0))), 1, "")</f>
        <v/>
      </c>
      <c r="AA140" s="1" t="str">
        <f>IF(AND(AND(AND(AA$4&gt;='2025'!$L138,AA$4&lt;='2025'!$M138), AA$4&lt;&gt;DATE(2025,7,4)), (SWITCH(weekday(AA$4), 1, 0, 2, if(ISBLANK('2025'!$P138), 0, 1), 3, if(ISBLANK('2025'!$Q138), 0, 1), 4, if(ISBLANK('2025'!$R138), 0, 1), 5, if(ISBLANK('2025'!$S138), 0, 1), 6, if(ISBLANK('2025'!$T138), 0, 1), 7, 0))), 1, "")</f>
        <v/>
      </c>
      <c r="AB140" s="1" t="str">
        <f>IF(AND(AND(AND(AB$4&gt;='2025'!$L138,AB$4&lt;='2025'!$M138), AB$4&lt;&gt;DATE(2025,7,4)), (SWITCH(weekday(AB$4), 1, 0, 2, if(ISBLANK('2025'!$P138), 0, 1), 3, if(ISBLANK('2025'!$Q138), 0, 1), 4, if(ISBLANK('2025'!$R138), 0, 1), 5, if(ISBLANK('2025'!$S138), 0, 1), 6, if(ISBLANK('2025'!$T138), 0, 1), 7, 0))), 1, "")</f>
        <v/>
      </c>
      <c r="AC140" s="1" t="str">
        <f>IF(AND(AND(AND(AC$4&gt;='2025'!$L138,AC$4&lt;='2025'!$M138), AC$4&lt;&gt;DATE(2025,7,4)), (SWITCH(weekday(AC$4), 1, 0, 2, if(ISBLANK('2025'!$P138), 0, 1), 3, if(ISBLANK('2025'!$Q138), 0, 1), 4, if(ISBLANK('2025'!$R138), 0, 1), 5, if(ISBLANK('2025'!$S138), 0, 1), 6, if(ISBLANK('2025'!$T138), 0, 1), 7, 0))), 1, "")</f>
        <v/>
      </c>
      <c r="AD140" s="1" t="str">
        <f>IF(AND(AND(AND(AD$4&gt;='2025'!$L138,AD$4&lt;='2025'!$M138), AD$4&lt;&gt;DATE(2025,7,4)), (SWITCH(weekday(AD$4), 1, 0, 2, if(ISBLANK('2025'!$P138), 0, 1), 3, if(ISBLANK('2025'!$Q138), 0, 1), 4, if(ISBLANK('2025'!$R138), 0, 1), 5, if(ISBLANK('2025'!$S138), 0, 1), 6, if(ISBLANK('2025'!$T138), 0, 1), 7, 0))), 1, "")</f>
        <v/>
      </c>
      <c r="AE140" s="1" t="str">
        <f>IF(AND(AND(AND(AE$4&gt;='2025'!$L138,AE$4&lt;='2025'!$M138), AE$4&lt;&gt;DATE(2025,7,4)), (SWITCH(weekday(AE$4), 1, 0, 2, if(ISBLANK('2025'!$P138), 0, 1), 3, if(ISBLANK('2025'!$Q138), 0, 1), 4, if(ISBLANK('2025'!$R138), 0, 1), 5, if(ISBLANK('2025'!$S138), 0, 1), 6, if(ISBLANK('2025'!$T138), 0, 1), 7, 0))), 1, "")</f>
        <v/>
      </c>
      <c r="AF140" s="1" t="str">
        <f>IF(AND(AND(AND(AF$4&gt;='2025'!$L138,AF$4&lt;='2025'!$M138), AF$4&lt;&gt;DATE(2025,7,4)), (SWITCH(weekday(AF$4), 1, 0, 2, if(ISBLANK('2025'!$P138), 0, 1), 3, if(ISBLANK('2025'!$Q138), 0, 1), 4, if(ISBLANK('2025'!$R138), 0, 1), 5, if(ISBLANK('2025'!$S138), 0, 1), 6, if(ISBLANK('2025'!$T138), 0, 1), 7, 0))), 1, "")</f>
        <v/>
      </c>
      <c r="AG140" s="1" t="str">
        <f>IF(AND(AND(AND(AG$4&gt;='2025'!$L138,AG$4&lt;='2025'!$M138), AG$4&lt;&gt;DATE(2025,7,4)), (SWITCH(weekday(AG$4), 1, 0, 2, if(ISBLANK('2025'!$P138), 0, 1), 3, if(ISBLANK('2025'!$Q138), 0, 1), 4, if(ISBLANK('2025'!$R138), 0, 1), 5, if(ISBLANK('2025'!$S138), 0, 1), 6, if(ISBLANK('2025'!$T138), 0, 1), 7, 0))), 1, "")</f>
        <v/>
      </c>
      <c r="AH140" s="1" t="str">
        <f>IF(AND(AND(AND(AH$4&gt;='2025'!$L138,AH$4&lt;='2025'!$M138), AH$4&lt;&gt;DATE(2025,7,4)), (SWITCH(weekday(AH$4), 1, 0, 2, if(ISBLANK('2025'!$P138), 0, 1), 3, if(ISBLANK('2025'!$Q138), 0, 1), 4, if(ISBLANK('2025'!$R138), 0, 1), 5, if(ISBLANK('2025'!$S138), 0, 1), 6, if(ISBLANK('2025'!$T138), 0, 1), 7, 0))), 1, "")</f>
        <v/>
      </c>
      <c r="AI140" s="1" t="str">
        <f>IF(AND(AND(AND(AI$4&gt;='2025'!$L138,AI$4&lt;='2025'!$M138), AI$4&lt;&gt;DATE(2025,7,4)), (SWITCH(weekday(AI$4), 1, 0, 2, if(ISBLANK('2025'!$P138), 0, 1), 3, if(ISBLANK('2025'!$Q138), 0, 1), 4, if(ISBLANK('2025'!$R138), 0, 1), 5, if(ISBLANK('2025'!$S138), 0, 1), 6, if(ISBLANK('2025'!$T138), 0, 1), 7, 0))), 1, "")</f>
        <v/>
      </c>
      <c r="AJ140" s="1" t="str">
        <f>IF(AND(AND(AND(AJ$4&gt;='2025'!$L138,AJ$4&lt;='2025'!$M138), AJ$4&lt;&gt;DATE(2025,7,4)), (SWITCH(weekday(AJ$4), 1, 0, 2, if(ISBLANK('2025'!$P138), 0, 1), 3, if(ISBLANK('2025'!$Q138), 0, 1), 4, if(ISBLANK('2025'!$R138), 0, 1), 5, if(ISBLANK('2025'!$S138), 0, 1), 6, if(ISBLANK('2025'!$T138), 0, 1), 7, 0))), 1, "")</f>
        <v/>
      </c>
      <c r="AK140" s="1" t="str">
        <f>IF(AND(AND(AND(AK$4&gt;='2025'!$L138,AK$4&lt;='2025'!$M138), AK$4&lt;&gt;DATE(2025,7,4)), (SWITCH(weekday(AK$4), 1, 0, 2, if(ISBLANK('2025'!$P138), 0, 1), 3, if(ISBLANK('2025'!$Q138), 0, 1), 4, if(ISBLANK('2025'!$R138), 0, 1), 5, if(ISBLANK('2025'!$S138), 0, 1), 6, if(ISBLANK('2025'!$T138), 0, 1), 7, 0))), 1, "")</f>
        <v/>
      </c>
      <c r="AL140" s="1" t="str">
        <f>IF(AND(AND(AND(AL$4&gt;='2025'!$L138,AL$4&lt;='2025'!$M138), AL$4&lt;&gt;DATE(2025,7,4)), (SWITCH(weekday(AL$4), 1, 0, 2, if(ISBLANK('2025'!$P138), 0, 1), 3, if(ISBLANK('2025'!$Q138), 0, 1), 4, if(ISBLANK('2025'!$R138), 0, 1), 5, if(ISBLANK('2025'!$S138), 0, 1), 6, if(ISBLANK('2025'!$T138), 0, 1), 7, 0))), 1, "")</f>
        <v/>
      </c>
      <c r="AM140" s="1" t="str">
        <f>IF(AND(AND(AND(AM$4&gt;='2025'!$L138,AM$4&lt;='2025'!$M138), AM$4&lt;&gt;DATE(2025,7,4)), (SWITCH(weekday(AM$4), 1, 0, 2, if(ISBLANK('2025'!$P138), 0, 1), 3, if(ISBLANK('2025'!$Q138), 0, 1), 4, if(ISBLANK('2025'!$R138), 0, 1), 5, if(ISBLANK('2025'!$S138), 0, 1), 6, if(ISBLANK('2025'!$T138), 0, 1), 7, 0))), 1, "")</f>
        <v/>
      </c>
      <c r="AN140" s="1" t="str">
        <f>IF(AND(AND(AND(AN$4&gt;='2025'!$L138,AN$4&lt;='2025'!$M138), AN$4&lt;&gt;DATE(2025,7,4)), (SWITCH(weekday(AN$4), 1, 0, 2, if(ISBLANK('2025'!$P138), 0, 1), 3, if(ISBLANK('2025'!$Q138), 0, 1), 4, if(ISBLANK('2025'!$R138), 0, 1), 5, if(ISBLANK('2025'!$S138), 0, 1), 6, if(ISBLANK('2025'!$T138), 0, 1), 7, 0))), 1, "")</f>
        <v/>
      </c>
      <c r="AO140" s="1" t="str">
        <f>IF(AND(AND(AND(AO$4&gt;='2025'!$L138,AO$4&lt;='2025'!$M138), AO$4&lt;&gt;DATE(2025,7,4)), (SWITCH(weekday(AO$4), 1, 0, 2, if(ISBLANK('2025'!$P138), 0, 1), 3, if(ISBLANK('2025'!$Q138), 0, 1), 4, if(ISBLANK('2025'!$R138), 0, 1), 5, if(ISBLANK('2025'!$S138), 0, 1), 6, if(ISBLANK('2025'!$T138), 0, 1), 7, 0))), 1, "")</f>
        <v/>
      </c>
      <c r="AP140" s="1" t="str">
        <f>IF(AND(AND(AND(AP$4&gt;='2025'!$L138,AP$4&lt;='2025'!$M138), AP$4&lt;&gt;DATE(2025,7,4)), (SWITCH(weekday(AP$4), 1, 0, 2, if(ISBLANK('2025'!$P138), 0, 1), 3, if(ISBLANK('2025'!$Q138), 0, 1), 4, if(ISBLANK('2025'!$R138), 0, 1), 5, if(ISBLANK('2025'!$S138), 0, 1), 6, if(ISBLANK('2025'!$T138), 0, 1), 7, 0))), 1, "")</f>
        <v/>
      </c>
      <c r="AQ140" s="1" t="str">
        <f>IF(AND(AND(AND(AQ$4&gt;='2025'!$L138,AQ$4&lt;='2025'!$M138), AQ$4&lt;&gt;DATE(2025,7,4)), (SWITCH(weekday(AQ$4), 1, 0, 2, if(ISBLANK('2025'!$P138), 0, 1), 3, if(ISBLANK('2025'!$Q138), 0, 1), 4, if(ISBLANK('2025'!$R138), 0, 1), 5, if(ISBLANK('2025'!$S138), 0, 1), 6, if(ISBLANK('2025'!$T138), 0, 1), 7, 0))), 1, "")</f>
        <v/>
      </c>
      <c r="AR140" s="1" t="str">
        <f>IF(AND(AND(AND(AR$4&gt;='2025'!$L138,AR$4&lt;='2025'!$M138), AR$4&lt;&gt;DATE(2025,7,4)), (SWITCH(weekday(AR$4), 1, 0, 2, if(ISBLANK('2025'!$P138), 0, 1), 3, if(ISBLANK('2025'!$Q138), 0, 1), 4, if(ISBLANK('2025'!$R138), 0, 1), 5, if(ISBLANK('2025'!$S138), 0, 1), 6, if(ISBLANK('2025'!$T138), 0, 1), 7, 0))), 1, "")</f>
        <v/>
      </c>
      <c r="AS140" s="1" t="str">
        <f>IF(AND(AND(AND(AS$4&gt;='2025'!$L138,AS$4&lt;='2025'!$M138), AS$4&lt;&gt;DATE(2025,7,4)), (SWITCH(weekday(AS$4), 1, 0, 2, if(ISBLANK('2025'!$P138), 0, 1), 3, if(ISBLANK('2025'!$Q138), 0, 1), 4, if(ISBLANK('2025'!$R138), 0, 1), 5, if(ISBLANK('2025'!$S138), 0, 1), 6, if(ISBLANK('2025'!$T138), 0, 1), 7, 0))), 1, "")</f>
        <v/>
      </c>
      <c r="AT140" s="1" t="str">
        <f>IF(AND(AND(AND(AT$4&gt;='2025'!$L138,AT$4&lt;='2025'!$M138), AT$4&lt;&gt;DATE(2025,7,4)), (SWITCH(weekday(AT$4), 1, 0, 2, if(ISBLANK('2025'!$P138), 0, 1), 3, if(ISBLANK('2025'!$Q138), 0, 1), 4, if(ISBLANK('2025'!$R138), 0, 1), 5, if(ISBLANK('2025'!$S138), 0, 1), 6, if(ISBLANK('2025'!$T138), 0, 1), 7, 0))), 1, "")</f>
        <v/>
      </c>
      <c r="AU140" s="1" t="str">
        <f>IF(AND(AND(AND(AU$4&gt;='2025'!$L138,AU$4&lt;='2025'!$M138), AU$4&lt;&gt;DATE(2025,7,4)), (SWITCH(weekday(AU$4), 1, 0, 2, if(ISBLANK('2025'!$P138), 0, 1), 3, if(ISBLANK('2025'!$Q138), 0, 1), 4, if(ISBLANK('2025'!$R138), 0, 1), 5, if(ISBLANK('2025'!$S138), 0, 1), 6, if(ISBLANK('2025'!$T138), 0, 1), 7, 0))), 1, "")</f>
        <v/>
      </c>
      <c r="AV140" s="1" t="str">
        <f>IF(AND(AND(AND(AV$4&gt;='2025'!$L138,AV$4&lt;='2025'!$M138), AV$4&lt;&gt;DATE(2025,7,4)), (SWITCH(weekday(AV$4), 1, 0, 2, if(ISBLANK('2025'!$P138), 0, 1), 3, if(ISBLANK('2025'!$Q138), 0, 1), 4, if(ISBLANK('2025'!$R138), 0, 1), 5, if(ISBLANK('2025'!$S138), 0, 1), 6, if(ISBLANK('2025'!$T138), 0, 1), 7, 0))), 1, "")</f>
        <v/>
      </c>
      <c r="AW140" s="1" t="str">
        <f>IF(AND(AND(AND(AW$4&gt;='2025'!$L138,AW$4&lt;='2025'!$M138), AW$4&lt;&gt;DATE(2025,7,4)), (SWITCH(weekday(AW$4), 1, 0, 2, if(ISBLANK('2025'!$P138), 0, 1), 3, if(ISBLANK('2025'!$Q138), 0, 1), 4, if(ISBLANK('2025'!$R138), 0, 1), 5, if(ISBLANK('2025'!$S138), 0, 1), 6, if(ISBLANK('2025'!$T138), 0, 1), 7, 0))), 1, "")</f>
        <v/>
      </c>
      <c r="AX140" s="1" t="str">
        <f>IF(AND(AND(AND(AX$4&gt;='2025'!$L138,AX$4&lt;='2025'!$M138), AX$4&lt;&gt;DATE(2025,7,4)), (SWITCH(weekday(AX$4), 1, 0, 2, if(ISBLANK('2025'!$P138), 0, 1), 3, if(ISBLANK('2025'!$Q138), 0, 1), 4, if(ISBLANK('2025'!$R138), 0, 1), 5, if(ISBLANK('2025'!$S138), 0, 1), 6, if(ISBLANK('2025'!$T138), 0, 1), 7, 0))), 1, "")</f>
        <v/>
      </c>
      <c r="AY140" s="1" t="str">
        <f>IF(AND(AND(AND(AY$4&gt;='2025'!$L138,AY$4&lt;='2025'!$M138), AY$4&lt;&gt;DATE(2025,7,4)), (SWITCH(weekday(AY$4), 1, 0, 2, if(ISBLANK('2025'!$P138), 0, 1), 3, if(ISBLANK('2025'!$Q138), 0, 1), 4, if(ISBLANK('2025'!$R138), 0, 1), 5, if(ISBLANK('2025'!$S138), 0, 1), 6, if(ISBLANK('2025'!$T138), 0, 1), 7, 0))), 1, "")</f>
        <v/>
      </c>
      <c r="AZ140" s="1" t="str">
        <f>IF(AND(AND(AND(AZ$4&gt;='2025'!$L138,AZ$4&lt;='2025'!$M138), AZ$4&lt;&gt;DATE(2025,7,4)), (SWITCH(weekday(AZ$4), 1, 0, 2, if(ISBLANK('2025'!$P138), 0, 1), 3, if(ISBLANK('2025'!$Q138), 0, 1), 4, if(ISBLANK('2025'!$R138), 0, 1), 5, if(ISBLANK('2025'!$S138), 0, 1), 6, if(ISBLANK('2025'!$T138), 0, 1), 7, 0))), 1, "")</f>
        <v/>
      </c>
      <c r="BA140" s="1" t="str">
        <f>IF(AND(AND(AND(BA$4&gt;='2025'!$L138,BA$4&lt;='2025'!$M138), BA$4&lt;&gt;DATE(2025,7,4)), (SWITCH(weekday(BA$4), 1, 0, 2, if(ISBLANK('2025'!$P138), 0, 1), 3, if(ISBLANK('2025'!$Q138), 0, 1), 4, if(ISBLANK('2025'!$R138), 0, 1), 5, if(ISBLANK('2025'!$S138), 0, 1), 6, if(ISBLANK('2025'!$T138), 0, 1), 7, 0))), 1, "")</f>
        <v/>
      </c>
      <c r="BB140" s="1" t="str">
        <f>IF(AND(AND(AND(BB$4&gt;='2025'!$L138,BB$4&lt;='2025'!$M138), BB$4&lt;&gt;DATE(2025,7,4)), (SWITCH(weekday(BB$4), 1, 0, 2, if(ISBLANK('2025'!$P138), 0, 1), 3, if(ISBLANK('2025'!$Q138), 0, 1), 4, if(ISBLANK('2025'!$R138), 0, 1), 5, if(ISBLANK('2025'!$S138), 0, 1), 6, if(ISBLANK('2025'!$T138), 0, 1), 7, 0))), 1, "")</f>
        <v/>
      </c>
      <c r="BC140" s="1" t="str">
        <f>IF(AND(AND(AND(BC$4&gt;='2025'!$L138,BC$4&lt;='2025'!$M138), BC$4&lt;&gt;DATE(2025,7,4)), (SWITCH(weekday(BC$4), 1, 0, 2, if(ISBLANK('2025'!$P138), 0, 1), 3, if(ISBLANK('2025'!$Q138), 0, 1), 4, if(ISBLANK('2025'!$R138), 0, 1), 5, if(ISBLANK('2025'!$S138), 0, 1), 6, if(ISBLANK('2025'!$T138), 0, 1), 7, 0))), 1, "")</f>
        <v/>
      </c>
      <c r="BD140" s="1" t="str">
        <f>IF(AND(AND(AND(BD$4&gt;='2025'!$L138,BD$4&lt;='2025'!$M138), BD$4&lt;&gt;DATE(2025,7,4)), (SWITCH(weekday(BD$4), 1, 0, 2, if(ISBLANK('2025'!$P138), 0, 1), 3, if(ISBLANK('2025'!$Q138), 0, 1), 4, if(ISBLANK('2025'!$R138), 0, 1), 5, if(ISBLANK('2025'!$S138), 0, 1), 6, if(ISBLANK('2025'!$T138), 0, 1), 7, 0))), 1, "")</f>
        <v/>
      </c>
      <c r="BE140" s="1" t="str">
        <f>IF(AND(AND(AND(BE$4&gt;='2025'!$L138,BE$4&lt;='2025'!$M138), BE$4&lt;&gt;DATE(2025,7,4)), (SWITCH(weekday(BE$4), 1, 0, 2, if(ISBLANK('2025'!$P138), 0, 1), 3, if(ISBLANK('2025'!$Q138), 0, 1), 4, if(ISBLANK('2025'!$R138), 0, 1), 5, if(ISBLANK('2025'!$S138), 0, 1), 6, if(ISBLANK('2025'!$T138), 0, 1), 7, 0))), 1, "")</f>
        <v/>
      </c>
      <c r="BF140" s="1" t="str">
        <f>IF(AND(AND(AND(BF$4&gt;='2025'!$L138,BF$4&lt;='2025'!$M138), BF$4&lt;&gt;DATE(2025,7,4)), (SWITCH(weekday(BF$4), 1, 0, 2, if(ISBLANK('2025'!$P138), 0, 1), 3, if(ISBLANK('2025'!$Q138), 0, 1), 4, if(ISBLANK('2025'!$R138), 0, 1), 5, if(ISBLANK('2025'!$S138), 0, 1), 6, if(ISBLANK('2025'!$T138), 0, 1), 7, 0))), 1, "")</f>
        <v/>
      </c>
      <c r="BG140" s="1"/>
      <c r="BH140" s="1"/>
      <c r="BI140" s="1"/>
      <c r="BJ140" s="1"/>
      <c r="BK140" s="1"/>
      <c r="BL140" s="1"/>
    </row>
    <row r="141">
      <c r="A141" s="1">
        <f t="shared" si="3"/>
        <v>141</v>
      </c>
      <c r="B141" s="1" t="str">
        <f>'2025'!D105</f>
        <v>, </v>
      </c>
      <c r="C141" s="1" t="str">
        <f>'2025'!H105</f>
        <v/>
      </c>
      <c r="D141" s="1" t="str">
        <f>IF(AND(AND(AND(D$4&gt;='2025'!$L139,D$4&lt;='2025'!$M139), D$4&lt;&gt;DATE(2025,7,4)), (SWITCH(weekday(D$4), 1, 0, 2, if(ISBLANK('2025'!$P139), 0, 1), 3, if(ISBLANK('2025'!$Q139), 0, 1), 4, if(ISBLANK('2025'!$R139), 0, 1), 5, if(ISBLANK('2025'!$S139), 0, 1), 6, if(ISBLANK('2025'!$T139), 0, 1), 7, 0))), 1, "")</f>
        <v/>
      </c>
      <c r="E141" s="1" t="str">
        <f>IF(AND(AND(AND(E$4&gt;='2025'!$L139,E$4&lt;='2025'!$M139), E$4&lt;&gt;DATE(2025,7,4)), (SWITCH(weekday(E$4), 1, 0, 2, if(ISBLANK('2025'!$P139), 0, 1), 3, if(ISBLANK('2025'!$Q139), 0, 1), 4, if(ISBLANK('2025'!$R139), 0, 1), 5, if(ISBLANK('2025'!$S139), 0, 1), 6, if(ISBLANK('2025'!$T139), 0, 1), 7, 0))), 1, "")</f>
        <v/>
      </c>
      <c r="F141" s="1" t="str">
        <f>IF(AND(AND(AND(F$4&gt;='2025'!$L139,F$4&lt;='2025'!$M139), F$4&lt;&gt;DATE(2025,7,4)), (SWITCH(weekday(F$4), 1, 0, 2, if(ISBLANK('2025'!$P139), 0, 1), 3, if(ISBLANK('2025'!$Q139), 0, 1), 4, if(ISBLANK('2025'!$R139), 0, 1), 5, if(ISBLANK('2025'!$S139), 0, 1), 6, if(ISBLANK('2025'!$T139), 0, 1), 7, 0))), 1, "")</f>
        <v/>
      </c>
      <c r="G141" s="1" t="str">
        <f>IF(AND(AND(AND(G$4&gt;='2025'!$L139,G$4&lt;='2025'!$M139), G$4&lt;&gt;DATE(2025,7,4)), (SWITCH(weekday(G$4), 1, 0, 2, if(ISBLANK('2025'!$P139), 0, 1), 3, if(ISBLANK('2025'!$Q139), 0, 1), 4, if(ISBLANK('2025'!$R139), 0, 1), 5, if(ISBLANK('2025'!$S139), 0, 1), 6, if(ISBLANK('2025'!$T139), 0, 1), 7, 0))), 1, "")</f>
        <v/>
      </c>
      <c r="H141" s="1" t="str">
        <f>IF(AND(AND(AND(H$4&gt;='2025'!$L139,H$4&lt;='2025'!$M139), H$4&lt;&gt;DATE(2025,7,4)), (SWITCH(weekday(H$4), 1, 0, 2, if(ISBLANK('2025'!$P139), 0, 1), 3, if(ISBLANK('2025'!$Q139), 0, 1), 4, if(ISBLANK('2025'!$R139), 0, 1), 5, if(ISBLANK('2025'!$S139), 0, 1), 6, if(ISBLANK('2025'!$T139), 0, 1), 7, 0))), 1, "")</f>
        <v/>
      </c>
      <c r="I141" s="1" t="str">
        <f>IF(AND(AND(AND(I$4&gt;='2025'!$L139,I$4&lt;='2025'!$M139), I$4&lt;&gt;DATE(2025,7,4)), (SWITCH(weekday(I$4), 1, 0, 2, if(ISBLANK('2025'!$P139), 0, 1), 3, if(ISBLANK('2025'!$Q139), 0, 1), 4, if(ISBLANK('2025'!$R139), 0, 1), 5, if(ISBLANK('2025'!$S139), 0, 1), 6, if(ISBLANK('2025'!$T139), 0, 1), 7, 0))), 1, "")</f>
        <v/>
      </c>
      <c r="J141" s="1" t="str">
        <f>IF(AND(AND(AND(J$4&gt;='2025'!$L139,J$4&lt;='2025'!$M139), J$4&lt;&gt;DATE(2025,7,4)), (SWITCH(weekday(J$4), 1, 0, 2, if(ISBLANK('2025'!$P139), 0, 1), 3, if(ISBLANK('2025'!$Q139), 0, 1), 4, if(ISBLANK('2025'!$R139), 0, 1), 5, if(ISBLANK('2025'!$S139), 0, 1), 6, if(ISBLANK('2025'!$T139), 0, 1), 7, 0))), 1, "")</f>
        <v/>
      </c>
      <c r="K141" s="1" t="str">
        <f>IF(AND(AND(AND(K$4&gt;='2025'!$L139,K$4&lt;='2025'!$M139), K$4&lt;&gt;DATE(2025,7,4)), (SWITCH(weekday(K$4), 1, 0, 2, if(ISBLANK('2025'!$P139), 0, 1), 3, if(ISBLANK('2025'!$Q139), 0, 1), 4, if(ISBLANK('2025'!$R139), 0, 1), 5, if(ISBLANK('2025'!$S139), 0, 1), 6, if(ISBLANK('2025'!$T139), 0, 1), 7, 0))), 1, "")</f>
        <v/>
      </c>
      <c r="L141" s="1" t="str">
        <f>IF(AND(AND(AND(L$4&gt;='2025'!$L139,L$4&lt;='2025'!$M139), L$4&lt;&gt;DATE(2025,7,4)), (SWITCH(weekday(L$4), 1, 0, 2, if(ISBLANK('2025'!$P139), 0, 1), 3, if(ISBLANK('2025'!$Q139), 0, 1), 4, if(ISBLANK('2025'!$R139), 0, 1), 5, if(ISBLANK('2025'!$S139), 0, 1), 6, if(ISBLANK('2025'!$T139), 0, 1), 7, 0))), 1, "")</f>
        <v/>
      </c>
      <c r="M141" s="1" t="str">
        <f>IF(AND(AND(AND(M$4&gt;='2025'!$L139,M$4&lt;='2025'!$M139), M$4&lt;&gt;DATE(2025,7,4)), (SWITCH(weekday(M$4), 1, 0, 2, if(ISBLANK('2025'!$P139), 0, 1), 3, if(ISBLANK('2025'!$Q139), 0, 1), 4, if(ISBLANK('2025'!$R139), 0, 1), 5, if(ISBLANK('2025'!$S139), 0, 1), 6, if(ISBLANK('2025'!$T139), 0, 1), 7, 0))), 1, "")</f>
        <v/>
      </c>
      <c r="N141" s="1" t="str">
        <f>IF(AND(AND(AND(N$4&gt;='2025'!$L139,N$4&lt;='2025'!$M139), N$4&lt;&gt;DATE(2025,7,4)), (SWITCH(weekday(N$4), 1, 0, 2, if(ISBLANK('2025'!$P139), 0, 1), 3, if(ISBLANK('2025'!$Q139), 0, 1), 4, if(ISBLANK('2025'!$R139), 0, 1), 5, if(ISBLANK('2025'!$S139), 0, 1), 6, if(ISBLANK('2025'!$T139), 0, 1), 7, 0))), 1, "")</f>
        <v/>
      </c>
      <c r="O141" s="1" t="str">
        <f>IF(AND(AND(AND(O$4&gt;='2025'!$L139,O$4&lt;='2025'!$M139), O$4&lt;&gt;DATE(2025,7,4)), (SWITCH(weekday(O$4), 1, 0, 2, if(ISBLANK('2025'!$P139), 0, 1), 3, if(ISBLANK('2025'!$Q139), 0, 1), 4, if(ISBLANK('2025'!$R139), 0, 1), 5, if(ISBLANK('2025'!$S139), 0, 1), 6, if(ISBLANK('2025'!$T139), 0, 1), 7, 0))), 1, "")</f>
        <v/>
      </c>
      <c r="P141" s="1" t="str">
        <f>IF(AND(AND(AND(P$4&gt;='2025'!$L139,P$4&lt;='2025'!$M139), P$4&lt;&gt;DATE(2025,7,4)), (SWITCH(weekday(P$4), 1, 0, 2, if(ISBLANK('2025'!$P139), 0, 1), 3, if(ISBLANK('2025'!$Q139), 0, 1), 4, if(ISBLANK('2025'!$R139), 0, 1), 5, if(ISBLANK('2025'!$S139), 0, 1), 6, if(ISBLANK('2025'!$T139), 0, 1), 7, 0))), 1, "")</f>
        <v/>
      </c>
      <c r="Q141" s="1" t="str">
        <f>IF(AND(AND(AND(Q$4&gt;='2025'!$L139,Q$4&lt;='2025'!$M139), Q$4&lt;&gt;DATE(2025,7,4)), (SWITCH(weekday(Q$4), 1, 0, 2, if(ISBLANK('2025'!$P139), 0, 1), 3, if(ISBLANK('2025'!$Q139), 0, 1), 4, if(ISBLANK('2025'!$R139), 0, 1), 5, if(ISBLANK('2025'!$S139), 0, 1), 6, if(ISBLANK('2025'!$T139), 0, 1), 7, 0))), 1, "")</f>
        <v/>
      </c>
      <c r="R141" s="1" t="str">
        <f>IF(AND(AND(AND(R$4&gt;='2025'!$L139,R$4&lt;='2025'!$M139), R$4&lt;&gt;DATE(2025,7,4)), (SWITCH(weekday(R$4), 1, 0, 2, if(ISBLANK('2025'!$P139), 0, 1), 3, if(ISBLANK('2025'!$Q139), 0, 1), 4, if(ISBLANK('2025'!$R139), 0, 1), 5, if(ISBLANK('2025'!$S139), 0, 1), 6, if(ISBLANK('2025'!$T139), 0, 1), 7, 0))), 1, "")</f>
        <v/>
      </c>
      <c r="S141" s="1" t="str">
        <f>IF(AND(AND(AND(S$4&gt;='2025'!$L139,S$4&lt;='2025'!$M139), S$4&lt;&gt;DATE(2025,7,4)), (SWITCH(weekday(S$4), 1, 0, 2, if(ISBLANK('2025'!$P139), 0, 1), 3, if(ISBLANK('2025'!$Q139), 0, 1), 4, if(ISBLANK('2025'!$R139), 0, 1), 5, if(ISBLANK('2025'!$S139), 0, 1), 6, if(ISBLANK('2025'!$T139), 0, 1), 7, 0))), 1, "")</f>
        <v/>
      </c>
      <c r="T141" s="1" t="str">
        <f>IF(AND(AND(AND(T$4&gt;='2025'!$L139,T$4&lt;='2025'!$M139), T$4&lt;&gt;DATE(2025,7,4)), (SWITCH(weekday(T$4), 1, 0, 2, if(ISBLANK('2025'!$P139), 0, 1), 3, if(ISBLANK('2025'!$Q139), 0, 1), 4, if(ISBLANK('2025'!$R139), 0, 1), 5, if(ISBLANK('2025'!$S139), 0, 1), 6, if(ISBLANK('2025'!$T139), 0, 1), 7, 0))), 1, "")</f>
        <v/>
      </c>
      <c r="U141" s="1" t="str">
        <f>IF(AND(AND(AND(U$4&gt;='2025'!$L139,U$4&lt;='2025'!$M139), U$4&lt;&gt;DATE(2025,7,4)), (SWITCH(weekday(U$4), 1, 0, 2, if(ISBLANK('2025'!$P139), 0, 1), 3, if(ISBLANK('2025'!$Q139), 0, 1), 4, if(ISBLANK('2025'!$R139), 0, 1), 5, if(ISBLANK('2025'!$S139), 0, 1), 6, if(ISBLANK('2025'!$T139), 0, 1), 7, 0))), 1, "")</f>
        <v/>
      </c>
      <c r="V141" s="1" t="str">
        <f>IF(AND(AND(AND(V$4&gt;='2025'!$L139,V$4&lt;='2025'!$M139), V$4&lt;&gt;DATE(2025,7,4)), (SWITCH(weekday(V$4), 1, 0, 2, if(ISBLANK('2025'!$P139), 0, 1), 3, if(ISBLANK('2025'!$Q139), 0, 1), 4, if(ISBLANK('2025'!$R139), 0, 1), 5, if(ISBLANK('2025'!$S139), 0, 1), 6, if(ISBLANK('2025'!$T139), 0, 1), 7, 0))), 1, "")</f>
        <v/>
      </c>
      <c r="W141" s="1" t="str">
        <f>IF(AND(AND(AND(W$4&gt;='2025'!$L139,W$4&lt;='2025'!$M139), W$4&lt;&gt;DATE(2025,7,4)), (SWITCH(weekday(W$4), 1, 0, 2, if(ISBLANK('2025'!$P139), 0, 1), 3, if(ISBLANK('2025'!$Q139), 0, 1), 4, if(ISBLANK('2025'!$R139), 0, 1), 5, if(ISBLANK('2025'!$S139), 0, 1), 6, if(ISBLANK('2025'!$T139), 0, 1), 7, 0))), 1, "")</f>
        <v/>
      </c>
      <c r="X141" s="1" t="str">
        <f>IF(AND(AND(AND(X$4&gt;='2025'!$L139,X$4&lt;='2025'!$M139), X$4&lt;&gt;DATE(2025,7,4)), (SWITCH(weekday(X$4), 1, 0, 2, if(ISBLANK('2025'!$P139), 0, 1), 3, if(ISBLANK('2025'!$Q139), 0, 1), 4, if(ISBLANK('2025'!$R139), 0, 1), 5, if(ISBLANK('2025'!$S139), 0, 1), 6, if(ISBLANK('2025'!$T139), 0, 1), 7, 0))), 1, "")</f>
        <v/>
      </c>
      <c r="Y141" s="1" t="str">
        <f>IF(AND(AND(AND(Y$4&gt;='2025'!$L139,Y$4&lt;='2025'!$M139), Y$4&lt;&gt;DATE(2025,7,4)), (SWITCH(weekday(Y$4), 1, 0, 2, if(ISBLANK('2025'!$P139), 0, 1), 3, if(ISBLANK('2025'!$Q139), 0, 1), 4, if(ISBLANK('2025'!$R139), 0, 1), 5, if(ISBLANK('2025'!$S139), 0, 1), 6, if(ISBLANK('2025'!$T139), 0, 1), 7, 0))), 1, "")</f>
        <v/>
      </c>
      <c r="Z141" s="1" t="str">
        <f>IF(AND(AND(AND(Z$4&gt;='2025'!$L139,Z$4&lt;='2025'!$M139), Z$4&lt;&gt;DATE(2025,7,4)), (SWITCH(weekday(Z$4), 1, 0, 2, if(ISBLANK('2025'!$P139), 0, 1), 3, if(ISBLANK('2025'!$Q139), 0, 1), 4, if(ISBLANK('2025'!$R139), 0, 1), 5, if(ISBLANK('2025'!$S139), 0, 1), 6, if(ISBLANK('2025'!$T139), 0, 1), 7, 0))), 1, "")</f>
        <v/>
      </c>
      <c r="AA141" s="1" t="str">
        <f>IF(AND(AND(AND(AA$4&gt;='2025'!$L139,AA$4&lt;='2025'!$M139), AA$4&lt;&gt;DATE(2025,7,4)), (SWITCH(weekday(AA$4), 1, 0, 2, if(ISBLANK('2025'!$P139), 0, 1), 3, if(ISBLANK('2025'!$Q139), 0, 1), 4, if(ISBLANK('2025'!$R139), 0, 1), 5, if(ISBLANK('2025'!$S139), 0, 1), 6, if(ISBLANK('2025'!$T139), 0, 1), 7, 0))), 1, "")</f>
        <v/>
      </c>
      <c r="AB141" s="1" t="str">
        <f>IF(AND(AND(AND(AB$4&gt;='2025'!$L139,AB$4&lt;='2025'!$M139), AB$4&lt;&gt;DATE(2025,7,4)), (SWITCH(weekday(AB$4), 1, 0, 2, if(ISBLANK('2025'!$P139), 0, 1), 3, if(ISBLANK('2025'!$Q139), 0, 1), 4, if(ISBLANK('2025'!$R139), 0, 1), 5, if(ISBLANK('2025'!$S139), 0, 1), 6, if(ISBLANK('2025'!$T139), 0, 1), 7, 0))), 1, "")</f>
        <v/>
      </c>
      <c r="AC141" s="1" t="str">
        <f>IF(AND(AND(AND(AC$4&gt;='2025'!$L139,AC$4&lt;='2025'!$M139), AC$4&lt;&gt;DATE(2025,7,4)), (SWITCH(weekday(AC$4), 1, 0, 2, if(ISBLANK('2025'!$P139), 0, 1), 3, if(ISBLANK('2025'!$Q139), 0, 1), 4, if(ISBLANK('2025'!$R139), 0, 1), 5, if(ISBLANK('2025'!$S139), 0, 1), 6, if(ISBLANK('2025'!$T139), 0, 1), 7, 0))), 1, "")</f>
        <v/>
      </c>
      <c r="AD141" s="1" t="str">
        <f>IF(AND(AND(AND(AD$4&gt;='2025'!$L139,AD$4&lt;='2025'!$M139), AD$4&lt;&gt;DATE(2025,7,4)), (SWITCH(weekday(AD$4), 1, 0, 2, if(ISBLANK('2025'!$P139), 0, 1), 3, if(ISBLANK('2025'!$Q139), 0, 1), 4, if(ISBLANK('2025'!$R139), 0, 1), 5, if(ISBLANK('2025'!$S139), 0, 1), 6, if(ISBLANK('2025'!$T139), 0, 1), 7, 0))), 1, "")</f>
        <v/>
      </c>
      <c r="AE141" s="1" t="str">
        <f>IF(AND(AND(AND(AE$4&gt;='2025'!$L139,AE$4&lt;='2025'!$M139), AE$4&lt;&gt;DATE(2025,7,4)), (SWITCH(weekday(AE$4), 1, 0, 2, if(ISBLANK('2025'!$P139), 0, 1), 3, if(ISBLANK('2025'!$Q139), 0, 1), 4, if(ISBLANK('2025'!$R139), 0, 1), 5, if(ISBLANK('2025'!$S139), 0, 1), 6, if(ISBLANK('2025'!$T139), 0, 1), 7, 0))), 1, "")</f>
        <v/>
      </c>
      <c r="AF141" s="1" t="str">
        <f>IF(AND(AND(AND(AF$4&gt;='2025'!$L139,AF$4&lt;='2025'!$M139), AF$4&lt;&gt;DATE(2025,7,4)), (SWITCH(weekday(AF$4), 1, 0, 2, if(ISBLANK('2025'!$P139), 0, 1), 3, if(ISBLANK('2025'!$Q139), 0, 1), 4, if(ISBLANK('2025'!$R139), 0, 1), 5, if(ISBLANK('2025'!$S139), 0, 1), 6, if(ISBLANK('2025'!$T139), 0, 1), 7, 0))), 1, "")</f>
        <v/>
      </c>
      <c r="AG141" s="1" t="str">
        <f>IF(AND(AND(AND(AG$4&gt;='2025'!$L139,AG$4&lt;='2025'!$M139), AG$4&lt;&gt;DATE(2025,7,4)), (SWITCH(weekday(AG$4), 1, 0, 2, if(ISBLANK('2025'!$P139), 0, 1), 3, if(ISBLANK('2025'!$Q139), 0, 1), 4, if(ISBLANK('2025'!$R139), 0, 1), 5, if(ISBLANK('2025'!$S139), 0, 1), 6, if(ISBLANK('2025'!$T139), 0, 1), 7, 0))), 1, "")</f>
        <v/>
      </c>
      <c r="AH141" s="1" t="str">
        <f>IF(AND(AND(AND(AH$4&gt;='2025'!$L139,AH$4&lt;='2025'!$M139), AH$4&lt;&gt;DATE(2025,7,4)), (SWITCH(weekday(AH$4), 1, 0, 2, if(ISBLANK('2025'!$P139), 0, 1), 3, if(ISBLANK('2025'!$Q139), 0, 1), 4, if(ISBLANK('2025'!$R139), 0, 1), 5, if(ISBLANK('2025'!$S139), 0, 1), 6, if(ISBLANK('2025'!$T139), 0, 1), 7, 0))), 1, "")</f>
        <v/>
      </c>
      <c r="AI141" s="1" t="str">
        <f>IF(AND(AND(AND(AI$4&gt;='2025'!$L139,AI$4&lt;='2025'!$M139), AI$4&lt;&gt;DATE(2025,7,4)), (SWITCH(weekday(AI$4), 1, 0, 2, if(ISBLANK('2025'!$P139), 0, 1), 3, if(ISBLANK('2025'!$Q139), 0, 1), 4, if(ISBLANK('2025'!$R139), 0, 1), 5, if(ISBLANK('2025'!$S139), 0, 1), 6, if(ISBLANK('2025'!$T139), 0, 1), 7, 0))), 1, "")</f>
        <v/>
      </c>
      <c r="AJ141" s="1" t="str">
        <f>IF(AND(AND(AND(AJ$4&gt;='2025'!$L139,AJ$4&lt;='2025'!$M139), AJ$4&lt;&gt;DATE(2025,7,4)), (SWITCH(weekday(AJ$4), 1, 0, 2, if(ISBLANK('2025'!$P139), 0, 1), 3, if(ISBLANK('2025'!$Q139), 0, 1), 4, if(ISBLANK('2025'!$R139), 0, 1), 5, if(ISBLANK('2025'!$S139), 0, 1), 6, if(ISBLANK('2025'!$T139), 0, 1), 7, 0))), 1, "")</f>
        <v/>
      </c>
      <c r="AK141" s="1" t="str">
        <f>IF(AND(AND(AND(AK$4&gt;='2025'!$L139,AK$4&lt;='2025'!$M139), AK$4&lt;&gt;DATE(2025,7,4)), (SWITCH(weekday(AK$4), 1, 0, 2, if(ISBLANK('2025'!$P139), 0, 1), 3, if(ISBLANK('2025'!$Q139), 0, 1), 4, if(ISBLANK('2025'!$R139), 0, 1), 5, if(ISBLANK('2025'!$S139), 0, 1), 6, if(ISBLANK('2025'!$T139), 0, 1), 7, 0))), 1, "")</f>
        <v/>
      </c>
      <c r="AL141" s="1" t="str">
        <f>IF(AND(AND(AND(AL$4&gt;='2025'!$L139,AL$4&lt;='2025'!$M139), AL$4&lt;&gt;DATE(2025,7,4)), (SWITCH(weekday(AL$4), 1, 0, 2, if(ISBLANK('2025'!$P139), 0, 1), 3, if(ISBLANK('2025'!$Q139), 0, 1), 4, if(ISBLANK('2025'!$R139), 0, 1), 5, if(ISBLANK('2025'!$S139), 0, 1), 6, if(ISBLANK('2025'!$T139), 0, 1), 7, 0))), 1, "")</f>
        <v/>
      </c>
      <c r="AM141" s="1" t="str">
        <f>IF(AND(AND(AND(AM$4&gt;='2025'!$L139,AM$4&lt;='2025'!$M139), AM$4&lt;&gt;DATE(2025,7,4)), (SWITCH(weekday(AM$4), 1, 0, 2, if(ISBLANK('2025'!$P139), 0, 1), 3, if(ISBLANK('2025'!$Q139), 0, 1), 4, if(ISBLANK('2025'!$R139), 0, 1), 5, if(ISBLANK('2025'!$S139), 0, 1), 6, if(ISBLANK('2025'!$T139), 0, 1), 7, 0))), 1, "")</f>
        <v/>
      </c>
      <c r="AN141" s="1" t="str">
        <f>IF(AND(AND(AND(AN$4&gt;='2025'!$L139,AN$4&lt;='2025'!$M139), AN$4&lt;&gt;DATE(2025,7,4)), (SWITCH(weekday(AN$4), 1, 0, 2, if(ISBLANK('2025'!$P139), 0, 1), 3, if(ISBLANK('2025'!$Q139), 0, 1), 4, if(ISBLANK('2025'!$R139), 0, 1), 5, if(ISBLANK('2025'!$S139), 0, 1), 6, if(ISBLANK('2025'!$T139), 0, 1), 7, 0))), 1, "")</f>
        <v/>
      </c>
      <c r="AO141" s="1" t="str">
        <f>IF(AND(AND(AND(AO$4&gt;='2025'!$L139,AO$4&lt;='2025'!$M139), AO$4&lt;&gt;DATE(2025,7,4)), (SWITCH(weekday(AO$4), 1, 0, 2, if(ISBLANK('2025'!$P139), 0, 1), 3, if(ISBLANK('2025'!$Q139), 0, 1), 4, if(ISBLANK('2025'!$R139), 0, 1), 5, if(ISBLANK('2025'!$S139), 0, 1), 6, if(ISBLANK('2025'!$T139), 0, 1), 7, 0))), 1, "")</f>
        <v/>
      </c>
      <c r="AP141" s="1" t="str">
        <f>IF(AND(AND(AND(AP$4&gt;='2025'!$L139,AP$4&lt;='2025'!$M139), AP$4&lt;&gt;DATE(2025,7,4)), (SWITCH(weekday(AP$4), 1, 0, 2, if(ISBLANK('2025'!$P139), 0, 1), 3, if(ISBLANK('2025'!$Q139), 0, 1), 4, if(ISBLANK('2025'!$R139), 0, 1), 5, if(ISBLANK('2025'!$S139), 0, 1), 6, if(ISBLANK('2025'!$T139), 0, 1), 7, 0))), 1, "")</f>
        <v/>
      </c>
      <c r="AQ141" s="1" t="str">
        <f>IF(AND(AND(AND(AQ$4&gt;='2025'!$L139,AQ$4&lt;='2025'!$M139), AQ$4&lt;&gt;DATE(2025,7,4)), (SWITCH(weekday(AQ$4), 1, 0, 2, if(ISBLANK('2025'!$P139), 0, 1), 3, if(ISBLANK('2025'!$Q139), 0, 1), 4, if(ISBLANK('2025'!$R139), 0, 1), 5, if(ISBLANK('2025'!$S139), 0, 1), 6, if(ISBLANK('2025'!$T139), 0, 1), 7, 0))), 1, "")</f>
        <v/>
      </c>
      <c r="AR141" s="1" t="str">
        <f>IF(AND(AND(AND(AR$4&gt;='2025'!$L139,AR$4&lt;='2025'!$M139), AR$4&lt;&gt;DATE(2025,7,4)), (SWITCH(weekday(AR$4), 1, 0, 2, if(ISBLANK('2025'!$P139), 0, 1), 3, if(ISBLANK('2025'!$Q139), 0, 1), 4, if(ISBLANK('2025'!$R139), 0, 1), 5, if(ISBLANK('2025'!$S139), 0, 1), 6, if(ISBLANK('2025'!$T139), 0, 1), 7, 0))), 1, "")</f>
        <v/>
      </c>
      <c r="AS141" s="1" t="str">
        <f>IF(AND(AND(AND(AS$4&gt;='2025'!$L139,AS$4&lt;='2025'!$M139), AS$4&lt;&gt;DATE(2025,7,4)), (SWITCH(weekday(AS$4), 1, 0, 2, if(ISBLANK('2025'!$P139), 0, 1), 3, if(ISBLANK('2025'!$Q139), 0, 1), 4, if(ISBLANK('2025'!$R139), 0, 1), 5, if(ISBLANK('2025'!$S139), 0, 1), 6, if(ISBLANK('2025'!$T139), 0, 1), 7, 0))), 1, "")</f>
        <v/>
      </c>
      <c r="AT141" s="1" t="str">
        <f>IF(AND(AND(AND(AT$4&gt;='2025'!$L139,AT$4&lt;='2025'!$M139), AT$4&lt;&gt;DATE(2025,7,4)), (SWITCH(weekday(AT$4), 1, 0, 2, if(ISBLANK('2025'!$P139), 0, 1), 3, if(ISBLANK('2025'!$Q139), 0, 1), 4, if(ISBLANK('2025'!$R139), 0, 1), 5, if(ISBLANK('2025'!$S139), 0, 1), 6, if(ISBLANK('2025'!$T139), 0, 1), 7, 0))), 1, "")</f>
        <v/>
      </c>
      <c r="AU141" s="1" t="str">
        <f>IF(AND(AND(AND(AU$4&gt;='2025'!$L139,AU$4&lt;='2025'!$M139), AU$4&lt;&gt;DATE(2025,7,4)), (SWITCH(weekday(AU$4), 1, 0, 2, if(ISBLANK('2025'!$P139), 0, 1), 3, if(ISBLANK('2025'!$Q139), 0, 1), 4, if(ISBLANK('2025'!$R139), 0, 1), 5, if(ISBLANK('2025'!$S139), 0, 1), 6, if(ISBLANK('2025'!$T139), 0, 1), 7, 0))), 1, "")</f>
        <v/>
      </c>
      <c r="AV141" s="1" t="str">
        <f>IF(AND(AND(AND(AV$4&gt;='2025'!$L139,AV$4&lt;='2025'!$M139), AV$4&lt;&gt;DATE(2025,7,4)), (SWITCH(weekday(AV$4), 1, 0, 2, if(ISBLANK('2025'!$P139), 0, 1), 3, if(ISBLANK('2025'!$Q139), 0, 1), 4, if(ISBLANK('2025'!$R139), 0, 1), 5, if(ISBLANK('2025'!$S139), 0, 1), 6, if(ISBLANK('2025'!$T139), 0, 1), 7, 0))), 1, "")</f>
        <v/>
      </c>
      <c r="AW141" s="1" t="str">
        <f>IF(AND(AND(AND(AW$4&gt;='2025'!$L139,AW$4&lt;='2025'!$M139), AW$4&lt;&gt;DATE(2025,7,4)), (SWITCH(weekday(AW$4), 1, 0, 2, if(ISBLANK('2025'!$P139), 0, 1), 3, if(ISBLANK('2025'!$Q139), 0, 1), 4, if(ISBLANK('2025'!$R139), 0, 1), 5, if(ISBLANK('2025'!$S139), 0, 1), 6, if(ISBLANK('2025'!$T139), 0, 1), 7, 0))), 1, "")</f>
        <v/>
      </c>
      <c r="AX141" s="1" t="str">
        <f>IF(AND(AND(AND(AX$4&gt;='2025'!$L139,AX$4&lt;='2025'!$M139), AX$4&lt;&gt;DATE(2025,7,4)), (SWITCH(weekday(AX$4), 1, 0, 2, if(ISBLANK('2025'!$P139), 0, 1), 3, if(ISBLANK('2025'!$Q139), 0, 1), 4, if(ISBLANK('2025'!$R139), 0, 1), 5, if(ISBLANK('2025'!$S139), 0, 1), 6, if(ISBLANK('2025'!$T139), 0, 1), 7, 0))), 1, "")</f>
        <v/>
      </c>
      <c r="AY141" s="1" t="str">
        <f>IF(AND(AND(AND(AY$4&gt;='2025'!$L139,AY$4&lt;='2025'!$M139), AY$4&lt;&gt;DATE(2025,7,4)), (SWITCH(weekday(AY$4), 1, 0, 2, if(ISBLANK('2025'!$P139), 0, 1), 3, if(ISBLANK('2025'!$Q139), 0, 1), 4, if(ISBLANK('2025'!$R139), 0, 1), 5, if(ISBLANK('2025'!$S139), 0, 1), 6, if(ISBLANK('2025'!$T139), 0, 1), 7, 0))), 1, "")</f>
        <v/>
      </c>
      <c r="AZ141" s="1" t="str">
        <f>IF(AND(AND(AND(AZ$4&gt;='2025'!$L139,AZ$4&lt;='2025'!$M139), AZ$4&lt;&gt;DATE(2025,7,4)), (SWITCH(weekday(AZ$4), 1, 0, 2, if(ISBLANK('2025'!$P139), 0, 1), 3, if(ISBLANK('2025'!$Q139), 0, 1), 4, if(ISBLANK('2025'!$R139), 0, 1), 5, if(ISBLANK('2025'!$S139), 0, 1), 6, if(ISBLANK('2025'!$T139), 0, 1), 7, 0))), 1, "")</f>
        <v/>
      </c>
      <c r="BA141" s="1" t="str">
        <f>IF(AND(AND(AND(BA$4&gt;='2025'!$L139,BA$4&lt;='2025'!$M139), BA$4&lt;&gt;DATE(2025,7,4)), (SWITCH(weekday(BA$4), 1, 0, 2, if(ISBLANK('2025'!$P139), 0, 1), 3, if(ISBLANK('2025'!$Q139), 0, 1), 4, if(ISBLANK('2025'!$R139), 0, 1), 5, if(ISBLANK('2025'!$S139), 0, 1), 6, if(ISBLANK('2025'!$T139), 0, 1), 7, 0))), 1, "")</f>
        <v/>
      </c>
      <c r="BB141" s="1" t="str">
        <f>IF(AND(AND(AND(BB$4&gt;='2025'!$L139,BB$4&lt;='2025'!$M139), BB$4&lt;&gt;DATE(2025,7,4)), (SWITCH(weekday(BB$4), 1, 0, 2, if(ISBLANK('2025'!$P139), 0, 1), 3, if(ISBLANK('2025'!$Q139), 0, 1), 4, if(ISBLANK('2025'!$R139), 0, 1), 5, if(ISBLANK('2025'!$S139), 0, 1), 6, if(ISBLANK('2025'!$T139), 0, 1), 7, 0))), 1, "")</f>
        <v/>
      </c>
      <c r="BC141" s="1" t="str">
        <f>IF(AND(AND(AND(BC$4&gt;='2025'!$L139,BC$4&lt;='2025'!$M139), BC$4&lt;&gt;DATE(2025,7,4)), (SWITCH(weekday(BC$4), 1, 0, 2, if(ISBLANK('2025'!$P139), 0, 1), 3, if(ISBLANK('2025'!$Q139), 0, 1), 4, if(ISBLANK('2025'!$R139), 0, 1), 5, if(ISBLANK('2025'!$S139), 0, 1), 6, if(ISBLANK('2025'!$T139), 0, 1), 7, 0))), 1, "")</f>
        <v/>
      </c>
      <c r="BD141" s="1" t="str">
        <f>IF(AND(AND(AND(BD$4&gt;='2025'!$L139,BD$4&lt;='2025'!$M139), BD$4&lt;&gt;DATE(2025,7,4)), (SWITCH(weekday(BD$4), 1, 0, 2, if(ISBLANK('2025'!$P139), 0, 1), 3, if(ISBLANK('2025'!$Q139), 0, 1), 4, if(ISBLANK('2025'!$R139), 0, 1), 5, if(ISBLANK('2025'!$S139), 0, 1), 6, if(ISBLANK('2025'!$T139), 0, 1), 7, 0))), 1, "")</f>
        <v/>
      </c>
      <c r="BE141" s="1" t="str">
        <f>IF(AND(AND(AND(BE$4&gt;='2025'!$L139,BE$4&lt;='2025'!$M139), BE$4&lt;&gt;DATE(2025,7,4)), (SWITCH(weekday(BE$4), 1, 0, 2, if(ISBLANK('2025'!$P139), 0, 1), 3, if(ISBLANK('2025'!$Q139), 0, 1), 4, if(ISBLANK('2025'!$R139), 0, 1), 5, if(ISBLANK('2025'!$S139), 0, 1), 6, if(ISBLANK('2025'!$T139), 0, 1), 7, 0))), 1, "")</f>
        <v/>
      </c>
      <c r="BF141" s="1" t="str">
        <f>IF(AND(AND(AND(BF$4&gt;='2025'!$L139,BF$4&lt;='2025'!$M139), BF$4&lt;&gt;DATE(2025,7,4)), (SWITCH(weekday(BF$4), 1, 0, 2, if(ISBLANK('2025'!$P139), 0, 1), 3, if(ISBLANK('2025'!$Q139), 0, 1), 4, if(ISBLANK('2025'!$R139), 0, 1), 5, if(ISBLANK('2025'!$S139), 0, 1), 6, if(ISBLANK('2025'!$T139), 0, 1), 7, 0))), 1, "")</f>
        <v/>
      </c>
      <c r="BG141" s="1"/>
      <c r="BH141" s="1"/>
      <c r="BI141" s="1"/>
      <c r="BJ141" s="1"/>
      <c r="BK141" s="1"/>
      <c r="BL141" s="1"/>
    </row>
    <row r="142">
      <c r="A142" s="1">
        <f t="shared" si="3"/>
        <v>142</v>
      </c>
      <c r="B142" s="1" t="str">
        <f>'2025'!D106</f>
        <v>, </v>
      </c>
      <c r="C142" s="1" t="str">
        <f>'2025'!H106</f>
        <v/>
      </c>
      <c r="D142" s="1" t="str">
        <f>IF(AND(AND(AND(D$4&gt;='2025'!$L140,D$4&lt;='2025'!$M140), D$4&lt;&gt;DATE(2025,7,4)), (SWITCH(weekday(D$4), 1, 0, 2, if(ISBLANK('2025'!$P140), 0, 1), 3, if(ISBLANK('2025'!$Q140), 0, 1), 4, if(ISBLANK('2025'!$R140), 0, 1), 5, if(ISBLANK('2025'!$S140), 0, 1), 6, if(ISBLANK('2025'!$T140), 0, 1), 7, 0))), 1, "")</f>
        <v/>
      </c>
      <c r="E142" s="1" t="str">
        <f>IF(AND(AND(AND(E$4&gt;='2025'!$L140,E$4&lt;='2025'!$M140), E$4&lt;&gt;DATE(2025,7,4)), (SWITCH(weekday(E$4), 1, 0, 2, if(ISBLANK('2025'!$P140), 0, 1), 3, if(ISBLANK('2025'!$Q140), 0, 1), 4, if(ISBLANK('2025'!$R140), 0, 1), 5, if(ISBLANK('2025'!$S140), 0, 1), 6, if(ISBLANK('2025'!$T140), 0, 1), 7, 0))), 1, "")</f>
        <v/>
      </c>
      <c r="F142" s="1" t="str">
        <f>IF(AND(AND(AND(F$4&gt;='2025'!$L140,F$4&lt;='2025'!$M140), F$4&lt;&gt;DATE(2025,7,4)), (SWITCH(weekday(F$4), 1, 0, 2, if(ISBLANK('2025'!$P140), 0, 1), 3, if(ISBLANK('2025'!$Q140), 0, 1), 4, if(ISBLANK('2025'!$R140), 0, 1), 5, if(ISBLANK('2025'!$S140), 0, 1), 6, if(ISBLANK('2025'!$T140), 0, 1), 7, 0))), 1, "")</f>
        <v/>
      </c>
      <c r="G142" s="1" t="str">
        <f>IF(AND(AND(AND(G$4&gt;='2025'!$L140,G$4&lt;='2025'!$M140), G$4&lt;&gt;DATE(2025,7,4)), (SWITCH(weekday(G$4), 1, 0, 2, if(ISBLANK('2025'!$P140), 0, 1), 3, if(ISBLANK('2025'!$Q140), 0, 1), 4, if(ISBLANK('2025'!$R140), 0, 1), 5, if(ISBLANK('2025'!$S140), 0, 1), 6, if(ISBLANK('2025'!$T140), 0, 1), 7, 0))), 1, "")</f>
        <v/>
      </c>
      <c r="H142" s="1" t="str">
        <f>IF(AND(AND(AND(H$4&gt;='2025'!$L140,H$4&lt;='2025'!$M140), H$4&lt;&gt;DATE(2025,7,4)), (SWITCH(weekday(H$4), 1, 0, 2, if(ISBLANK('2025'!$P140), 0, 1), 3, if(ISBLANK('2025'!$Q140), 0, 1), 4, if(ISBLANK('2025'!$R140), 0, 1), 5, if(ISBLANK('2025'!$S140), 0, 1), 6, if(ISBLANK('2025'!$T140), 0, 1), 7, 0))), 1, "")</f>
        <v/>
      </c>
      <c r="I142" s="1" t="str">
        <f>IF(AND(AND(AND(I$4&gt;='2025'!$L140,I$4&lt;='2025'!$M140), I$4&lt;&gt;DATE(2025,7,4)), (SWITCH(weekday(I$4), 1, 0, 2, if(ISBLANK('2025'!$P140), 0, 1), 3, if(ISBLANK('2025'!$Q140), 0, 1), 4, if(ISBLANK('2025'!$R140), 0, 1), 5, if(ISBLANK('2025'!$S140), 0, 1), 6, if(ISBLANK('2025'!$T140), 0, 1), 7, 0))), 1, "")</f>
        <v/>
      </c>
      <c r="J142" s="1" t="str">
        <f>IF(AND(AND(AND(J$4&gt;='2025'!$L140,J$4&lt;='2025'!$M140), J$4&lt;&gt;DATE(2025,7,4)), (SWITCH(weekday(J$4), 1, 0, 2, if(ISBLANK('2025'!$P140), 0, 1), 3, if(ISBLANK('2025'!$Q140), 0, 1), 4, if(ISBLANK('2025'!$R140), 0, 1), 5, if(ISBLANK('2025'!$S140), 0, 1), 6, if(ISBLANK('2025'!$T140), 0, 1), 7, 0))), 1, "")</f>
        <v/>
      </c>
      <c r="K142" s="1" t="str">
        <f>IF(AND(AND(AND(K$4&gt;='2025'!$L140,K$4&lt;='2025'!$M140), K$4&lt;&gt;DATE(2025,7,4)), (SWITCH(weekday(K$4), 1, 0, 2, if(ISBLANK('2025'!$P140), 0, 1), 3, if(ISBLANK('2025'!$Q140), 0, 1), 4, if(ISBLANK('2025'!$R140), 0, 1), 5, if(ISBLANK('2025'!$S140), 0, 1), 6, if(ISBLANK('2025'!$T140), 0, 1), 7, 0))), 1, "")</f>
        <v/>
      </c>
      <c r="L142" s="1" t="str">
        <f>IF(AND(AND(AND(L$4&gt;='2025'!$L140,L$4&lt;='2025'!$M140), L$4&lt;&gt;DATE(2025,7,4)), (SWITCH(weekday(L$4), 1, 0, 2, if(ISBLANK('2025'!$P140), 0, 1), 3, if(ISBLANK('2025'!$Q140), 0, 1), 4, if(ISBLANK('2025'!$R140), 0, 1), 5, if(ISBLANK('2025'!$S140), 0, 1), 6, if(ISBLANK('2025'!$T140), 0, 1), 7, 0))), 1, "")</f>
        <v/>
      </c>
      <c r="M142" s="1" t="str">
        <f>IF(AND(AND(AND(M$4&gt;='2025'!$L140,M$4&lt;='2025'!$M140), M$4&lt;&gt;DATE(2025,7,4)), (SWITCH(weekday(M$4), 1, 0, 2, if(ISBLANK('2025'!$P140), 0, 1), 3, if(ISBLANK('2025'!$Q140), 0, 1), 4, if(ISBLANK('2025'!$R140), 0, 1), 5, if(ISBLANK('2025'!$S140), 0, 1), 6, if(ISBLANK('2025'!$T140), 0, 1), 7, 0))), 1, "")</f>
        <v/>
      </c>
      <c r="N142" s="1" t="str">
        <f>IF(AND(AND(AND(N$4&gt;='2025'!$L140,N$4&lt;='2025'!$M140), N$4&lt;&gt;DATE(2025,7,4)), (SWITCH(weekday(N$4), 1, 0, 2, if(ISBLANK('2025'!$P140), 0, 1), 3, if(ISBLANK('2025'!$Q140), 0, 1), 4, if(ISBLANK('2025'!$R140), 0, 1), 5, if(ISBLANK('2025'!$S140), 0, 1), 6, if(ISBLANK('2025'!$T140), 0, 1), 7, 0))), 1, "")</f>
        <v/>
      </c>
      <c r="O142" s="1" t="str">
        <f>IF(AND(AND(AND(O$4&gt;='2025'!$L140,O$4&lt;='2025'!$M140), O$4&lt;&gt;DATE(2025,7,4)), (SWITCH(weekday(O$4), 1, 0, 2, if(ISBLANK('2025'!$P140), 0, 1), 3, if(ISBLANK('2025'!$Q140), 0, 1), 4, if(ISBLANK('2025'!$R140), 0, 1), 5, if(ISBLANK('2025'!$S140), 0, 1), 6, if(ISBLANK('2025'!$T140), 0, 1), 7, 0))), 1, "")</f>
        <v/>
      </c>
      <c r="P142" s="1" t="str">
        <f>IF(AND(AND(AND(P$4&gt;='2025'!$L140,P$4&lt;='2025'!$M140), P$4&lt;&gt;DATE(2025,7,4)), (SWITCH(weekday(P$4), 1, 0, 2, if(ISBLANK('2025'!$P140), 0, 1), 3, if(ISBLANK('2025'!$Q140), 0, 1), 4, if(ISBLANK('2025'!$R140), 0, 1), 5, if(ISBLANK('2025'!$S140), 0, 1), 6, if(ISBLANK('2025'!$T140), 0, 1), 7, 0))), 1, "")</f>
        <v/>
      </c>
      <c r="Q142" s="1" t="str">
        <f>IF(AND(AND(AND(Q$4&gt;='2025'!$L140,Q$4&lt;='2025'!$M140), Q$4&lt;&gt;DATE(2025,7,4)), (SWITCH(weekday(Q$4), 1, 0, 2, if(ISBLANK('2025'!$P140), 0, 1), 3, if(ISBLANK('2025'!$Q140), 0, 1), 4, if(ISBLANK('2025'!$R140), 0, 1), 5, if(ISBLANK('2025'!$S140), 0, 1), 6, if(ISBLANK('2025'!$T140), 0, 1), 7, 0))), 1, "")</f>
        <v/>
      </c>
      <c r="R142" s="1" t="str">
        <f>IF(AND(AND(AND(R$4&gt;='2025'!$L140,R$4&lt;='2025'!$M140), R$4&lt;&gt;DATE(2025,7,4)), (SWITCH(weekday(R$4), 1, 0, 2, if(ISBLANK('2025'!$P140), 0, 1), 3, if(ISBLANK('2025'!$Q140), 0, 1), 4, if(ISBLANK('2025'!$R140), 0, 1), 5, if(ISBLANK('2025'!$S140), 0, 1), 6, if(ISBLANK('2025'!$T140), 0, 1), 7, 0))), 1, "")</f>
        <v/>
      </c>
      <c r="S142" s="1" t="str">
        <f>IF(AND(AND(AND(S$4&gt;='2025'!$L140,S$4&lt;='2025'!$M140), S$4&lt;&gt;DATE(2025,7,4)), (SWITCH(weekday(S$4), 1, 0, 2, if(ISBLANK('2025'!$P140), 0, 1), 3, if(ISBLANK('2025'!$Q140), 0, 1), 4, if(ISBLANK('2025'!$R140), 0, 1), 5, if(ISBLANK('2025'!$S140), 0, 1), 6, if(ISBLANK('2025'!$T140), 0, 1), 7, 0))), 1, "")</f>
        <v/>
      </c>
      <c r="T142" s="1" t="str">
        <f>IF(AND(AND(AND(T$4&gt;='2025'!$L140,T$4&lt;='2025'!$M140), T$4&lt;&gt;DATE(2025,7,4)), (SWITCH(weekday(T$4), 1, 0, 2, if(ISBLANK('2025'!$P140), 0, 1), 3, if(ISBLANK('2025'!$Q140), 0, 1), 4, if(ISBLANK('2025'!$R140), 0, 1), 5, if(ISBLANK('2025'!$S140), 0, 1), 6, if(ISBLANK('2025'!$T140), 0, 1), 7, 0))), 1, "")</f>
        <v/>
      </c>
      <c r="U142" s="1" t="str">
        <f>IF(AND(AND(AND(U$4&gt;='2025'!$L140,U$4&lt;='2025'!$M140), U$4&lt;&gt;DATE(2025,7,4)), (SWITCH(weekday(U$4), 1, 0, 2, if(ISBLANK('2025'!$P140), 0, 1), 3, if(ISBLANK('2025'!$Q140), 0, 1), 4, if(ISBLANK('2025'!$R140), 0, 1), 5, if(ISBLANK('2025'!$S140), 0, 1), 6, if(ISBLANK('2025'!$T140), 0, 1), 7, 0))), 1, "")</f>
        <v/>
      </c>
      <c r="V142" s="1" t="str">
        <f>IF(AND(AND(AND(V$4&gt;='2025'!$L140,V$4&lt;='2025'!$M140), V$4&lt;&gt;DATE(2025,7,4)), (SWITCH(weekday(V$4), 1, 0, 2, if(ISBLANK('2025'!$P140), 0, 1), 3, if(ISBLANK('2025'!$Q140), 0, 1), 4, if(ISBLANK('2025'!$R140), 0, 1), 5, if(ISBLANK('2025'!$S140), 0, 1), 6, if(ISBLANK('2025'!$T140), 0, 1), 7, 0))), 1, "")</f>
        <v/>
      </c>
      <c r="W142" s="1" t="str">
        <f>IF(AND(AND(AND(W$4&gt;='2025'!$L140,W$4&lt;='2025'!$M140), W$4&lt;&gt;DATE(2025,7,4)), (SWITCH(weekday(W$4), 1, 0, 2, if(ISBLANK('2025'!$P140), 0, 1), 3, if(ISBLANK('2025'!$Q140), 0, 1), 4, if(ISBLANK('2025'!$R140), 0, 1), 5, if(ISBLANK('2025'!$S140), 0, 1), 6, if(ISBLANK('2025'!$T140), 0, 1), 7, 0))), 1, "")</f>
        <v/>
      </c>
      <c r="X142" s="1" t="str">
        <f>IF(AND(AND(AND(X$4&gt;='2025'!$L140,X$4&lt;='2025'!$M140), X$4&lt;&gt;DATE(2025,7,4)), (SWITCH(weekday(X$4), 1, 0, 2, if(ISBLANK('2025'!$P140), 0, 1), 3, if(ISBLANK('2025'!$Q140), 0, 1), 4, if(ISBLANK('2025'!$R140), 0, 1), 5, if(ISBLANK('2025'!$S140), 0, 1), 6, if(ISBLANK('2025'!$T140), 0, 1), 7, 0))), 1, "")</f>
        <v/>
      </c>
      <c r="Y142" s="1" t="str">
        <f>IF(AND(AND(AND(Y$4&gt;='2025'!$L140,Y$4&lt;='2025'!$M140), Y$4&lt;&gt;DATE(2025,7,4)), (SWITCH(weekday(Y$4), 1, 0, 2, if(ISBLANK('2025'!$P140), 0, 1), 3, if(ISBLANK('2025'!$Q140), 0, 1), 4, if(ISBLANK('2025'!$R140), 0, 1), 5, if(ISBLANK('2025'!$S140), 0, 1), 6, if(ISBLANK('2025'!$T140), 0, 1), 7, 0))), 1, "")</f>
        <v/>
      </c>
      <c r="Z142" s="1" t="str">
        <f>IF(AND(AND(AND(Z$4&gt;='2025'!$L140,Z$4&lt;='2025'!$M140), Z$4&lt;&gt;DATE(2025,7,4)), (SWITCH(weekday(Z$4), 1, 0, 2, if(ISBLANK('2025'!$P140), 0, 1), 3, if(ISBLANK('2025'!$Q140), 0, 1), 4, if(ISBLANK('2025'!$R140), 0, 1), 5, if(ISBLANK('2025'!$S140), 0, 1), 6, if(ISBLANK('2025'!$T140), 0, 1), 7, 0))), 1, "")</f>
        <v/>
      </c>
      <c r="AA142" s="1" t="str">
        <f>IF(AND(AND(AND(AA$4&gt;='2025'!$L140,AA$4&lt;='2025'!$M140), AA$4&lt;&gt;DATE(2025,7,4)), (SWITCH(weekday(AA$4), 1, 0, 2, if(ISBLANK('2025'!$P140), 0, 1), 3, if(ISBLANK('2025'!$Q140), 0, 1), 4, if(ISBLANK('2025'!$R140), 0, 1), 5, if(ISBLANK('2025'!$S140), 0, 1), 6, if(ISBLANK('2025'!$T140), 0, 1), 7, 0))), 1, "")</f>
        <v/>
      </c>
      <c r="AB142" s="1" t="str">
        <f>IF(AND(AND(AND(AB$4&gt;='2025'!$L140,AB$4&lt;='2025'!$M140), AB$4&lt;&gt;DATE(2025,7,4)), (SWITCH(weekday(AB$4), 1, 0, 2, if(ISBLANK('2025'!$P140), 0, 1), 3, if(ISBLANK('2025'!$Q140), 0, 1), 4, if(ISBLANK('2025'!$R140), 0, 1), 5, if(ISBLANK('2025'!$S140), 0, 1), 6, if(ISBLANK('2025'!$T140), 0, 1), 7, 0))), 1, "")</f>
        <v/>
      </c>
      <c r="AC142" s="1" t="str">
        <f>IF(AND(AND(AND(AC$4&gt;='2025'!$L140,AC$4&lt;='2025'!$M140), AC$4&lt;&gt;DATE(2025,7,4)), (SWITCH(weekday(AC$4), 1, 0, 2, if(ISBLANK('2025'!$P140), 0, 1), 3, if(ISBLANK('2025'!$Q140), 0, 1), 4, if(ISBLANK('2025'!$R140), 0, 1), 5, if(ISBLANK('2025'!$S140), 0, 1), 6, if(ISBLANK('2025'!$T140), 0, 1), 7, 0))), 1, "")</f>
        <v/>
      </c>
      <c r="AD142" s="1" t="str">
        <f>IF(AND(AND(AND(AD$4&gt;='2025'!$L140,AD$4&lt;='2025'!$M140), AD$4&lt;&gt;DATE(2025,7,4)), (SWITCH(weekday(AD$4), 1, 0, 2, if(ISBLANK('2025'!$P140), 0, 1), 3, if(ISBLANK('2025'!$Q140), 0, 1), 4, if(ISBLANK('2025'!$R140), 0, 1), 5, if(ISBLANK('2025'!$S140), 0, 1), 6, if(ISBLANK('2025'!$T140), 0, 1), 7, 0))), 1, "")</f>
        <v/>
      </c>
      <c r="AE142" s="1" t="str">
        <f>IF(AND(AND(AND(AE$4&gt;='2025'!$L140,AE$4&lt;='2025'!$M140), AE$4&lt;&gt;DATE(2025,7,4)), (SWITCH(weekday(AE$4), 1, 0, 2, if(ISBLANK('2025'!$P140), 0, 1), 3, if(ISBLANK('2025'!$Q140), 0, 1), 4, if(ISBLANK('2025'!$R140), 0, 1), 5, if(ISBLANK('2025'!$S140), 0, 1), 6, if(ISBLANK('2025'!$T140), 0, 1), 7, 0))), 1, "")</f>
        <v/>
      </c>
      <c r="AF142" s="1" t="str">
        <f>IF(AND(AND(AND(AF$4&gt;='2025'!$L140,AF$4&lt;='2025'!$M140), AF$4&lt;&gt;DATE(2025,7,4)), (SWITCH(weekday(AF$4), 1, 0, 2, if(ISBLANK('2025'!$P140), 0, 1), 3, if(ISBLANK('2025'!$Q140), 0, 1), 4, if(ISBLANK('2025'!$R140), 0, 1), 5, if(ISBLANK('2025'!$S140), 0, 1), 6, if(ISBLANK('2025'!$T140), 0, 1), 7, 0))), 1, "")</f>
        <v/>
      </c>
      <c r="AG142" s="1" t="str">
        <f>IF(AND(AND(AND(AG$4&gt;='2025'!$L140,AG$4&lt;='2025'!$M140), AG$4&lt;&gt;DATE(2025,7,4)), (SWITCH(weekday(AG$4), 1, 0, 2, if(ISBLANK('2025'!$P140), 0, 1), 3, if(ISBLANK('2025'!$Q140), 0, 1), 4, if(ISBLANK('2025'!$R140), 0, 1), 5, if(ISBLANK('2025'!$S140), 0, 1), 6, if(ISBLANK('2025'!$T140), 0, 1), 7, 0))), 1, "")</f>
        <v/>
      </c>
      <c r="AH142" s="1" t="str">
        <f>IF(AND(AND(AND(AH$4&gt;='2025'!$L140,AH$4&lt;='2025'!$M140), AH$4&lt;&gt;DATE(2025,7,4)), (SWITCH(weekday(AH$4), 1, 0, 2, if(ISBLANK('2025'!$P140), 0, 1), 3, if(ISBLANK('2025'!$Q140), 0, 1), 4, if(ISBLANK('2025'!$R140), 0, 1), 5, if(ISBLANK('2025'!$S140), 0, 1), 6, if(ISBLANK('2025'!$T140), 0, 1), 7, 0))), 1, "")</f>
        <v/>
      </c>
      <c r="AI142" s="1" t="str">
        <f>IF(AND(AND(AND(AI$4&gt;='2025'!$L140,AI$4&lt;='2025'!$M140), AI$4&lt;&gt;DATE(2025,7,4)), (SWITCH(weekday(AI$4), 1, 0, 2, if(ISBLANK('2025'!$P140), 0, 1), 3, if(ISBLANK('2025'!$Q140), 0, 1), 4, if(ISBLANK('2025'!$R140), 0, 1), 5, if(ISBLANK('2025'!$S140), 0, 1), 6, if(ISBLANK('2025'!$T140), 0, 1), 7, 0))), 1, "")</f>
        <v/>
      </c>
      <c r="AJ142" s="1" t="str">
        <f>IF(AND(AND(AND(AJ$4&gt;='2025'!$L140,AJ$4&lt;='2025'!$M140), AJ$4&lt;&gt;DATE(2025,7,4)), (SWITCH(weekday(AJ$4), 1, 0, 2, if(ISBLANK('2025'!$P140), 0, 1), 3, if(ISBLANK('2025'!$Q140), 0, 1), 4, if(ISBLANK('2025'!$R140), 0, 1), 5, if(ISBLANK('2025'!$S140), 0, 1), 6, if(ISBLANK('2025'!$T140), 0, 1), 7, 0))), 1, "")</f>
        <v/>
      </c>
      <c r="AK142" s="1" t="str">
        <f>IF(AND(AND(AND(AK$4&gt;='2025'!$L140,AK$4&lt;='2025'!$M140), AK$4&lt;&gt;DATE(2025,7,4)), (SWITCH(weekday(AK$4), 1, 0, 2, if(ISBLANK('2025'!$P140), 0, 1), 3, if(ISBLANK('2025'!$Q140), 0, 1), 4, if(ISBLANK('2025'!$R140), 0, 1), 5, if(ISBLANK('2025'!$S140), 0, 1), 6, if(ISBLANK('2025'!$T140), 0, 1), 7, 0))), 1, "")</f>
        <v/>
      </c>
      <c r="AL142" s="1" t="str">
        <f>IF(AND(AND(AND(AL$4&gt;='2025'!$L140,AL$4&lt;='2025'!$M140), AL$4&lt;&gt;DATE(2025,7,4)), (SWITCH(weekday(AL$4), 1, 0, 2, if(ISBLANK('2025'!$P140), 0, 1), 3, if(ISBLANK('2025'!$Q140), 0, 1), 4, if(ISBLANK('2025'!$R140), 0, 1), 5, if(ISBLANK('2025'!$S140), 0, 1), 6, if(ISBLANK('2025'!$T140), 0, 1), 7, 0))), 1, "")</f>
        <v/>
      </c>
      <c r="AM142" s="1" t="str">
        <f>IF(AND(AND(AND(AM$4&gt;='2025'!$L140,AM$4&lt;='2025'!$M140), AM$4&lt;&gt;DATE(2025,7,4)), (SWITCH(weekday(AM$4), 1, 0, 2, if(ISBLANK('2025'!$P140), 0, 1), 3, if(ISBLANK('2025'!$Q140), 0, 1), 4, if(ISBLANK('2025'!$R140), 0, 1), 5, if(ISBLANK('2025'!$S140), 0, 1), 6, if(ISBLANK('2025'!$T140), 0, 1), 7, 0))), 1, "")</f>
        <v/>
      </c>
      <c r="AN142" s="1" t="str">
        <f>IF(AND(AND(AND(AN$4&gt;='2025'!$L140,AN$4&lt;='2025'!$M140), AN$4&lt;&gt;DATE(2025,7,4)), (SWITCH(weekday(AN$4), 1, 0, 2, if(ISBLANK('2025'!$P140), 0, 1), 3, if(ISBLANK('2025'!$Q140), 0, 1), 4, if(ISBLANK('2025'!$R140), 0, 1), 5, if(ISBLANK('2025'!$S140), 0, 1), 6, if(ISBLANK('2025'!$T140), 0, 1), 7, 0))), 1, "")</f>
        <v/>
      </c>
      <c r="AO142" s="1" t="str">
        <f>IF(AND(AND(AND(AO$4&gt;='2025'!$L140,AO$4&lt;='2025'!$M140), AO$4&lt;&gt;DATE(2025,7,4)), (SWITCH(weekday(AO$4), 1, 0, 2, if(ISBLANK('2025'!$P140), 0, 1), 3, if(ISBLANK('2025'!$Q140), 0, 1), 4, if(ISBLANK('2025'!$R140), 0, 1), 5, if(ISBLANK('2025'!$S140), 0, 1), 6, if(ISBLANK('2025'!$T140), 0, 1), 7, 0))), 1, "")</f>
        <v/>
      </c>
      <c r="AP142" s="1" t="str">
        <f>IF(AND(AND(AND(AP$4&gt;='2025'!$L140,AP$4&lt;='2025'!$M140), AP$4&lt;&gt;DATE(2025,7,4)), (SWITCH(weekday(AP$4), 1, 0, 2, if(ISBLANK('2025'!$P140), 0, 1), 3, if(ISBLANK('2025'!$Q140), 0, 1), 4, if(ISBLANK('2025'!$R140), 0, 1), 5, if(ISBLANK('2025'!$S140), 0, 1), 6, if(ISBLANK('2025'!$T140), 0, 1), 7, 0))), 1, "")</f>
        <v/>
      </c>
      <c r="AQ142" s="1" t="str">
        <f>IF(AND(AND(AND(AQ$4&gt;='2025'!$L140,AQ$4&lt;='2025'!$M140), AQ$4&lt;&gt;DATE(2025,7,4)), (SWITCH(weekday(AQ$4), 1, 0, 2, if(ISBLANK('2025'!$P140), 0, 1), 3, if(ISBLANK('2025'!$Q140), 0, 1), 4, if(ISBLANK('2025'!$R140), 0, 1), 5, if(ISBLANK('2025'!$S140), 0, 1), 6, if(ISBLANK('2025'!$T140), 0, 1), 7, 0))), 1, "")</f>
        <v/>
      </c>
      <c r="AR142" s="1" t="str">
        <f>IF(AND(AND(AND(AR$4&gt;='2025'!$L140,AR$4&lt;='2025'!$M140), AR$4&lt;&gt;DATE(2025,7,4)), (SWITCH(weekday(AR$4), 1, 0, 2, if(ISBLANK('2025'!$P140), 0, 1), 3, if(ISBLANK('2025'!$Q140), 0, 1), 4, if(ISBLANK('2025'!$R140), 0, 1), 5, if(ISBLANK('2025'!$S140), 0, 1), 6, if(ISBLANK('2025'!$T140), 0, 1), 7, 0))), 1, "")</f>
        <v/>
      </c>
      <c r="AS142" s="1" t="str">
        <f>IF(AND(AND(AND(AS$4&gt;='2025'!$L140,AS$4&lt;='2025'!$M140), AS$4&lt;&gt;DATE(2025,7,4)), (SWITCH(weekday(AS$4), 1, 0, 2, if(ISBLANK('2025'!$P140), 0, 1), 3, if(ISBLANK('2025'!$Q140), 0, 1), 4, if(ISBLANK('2025'!$R140), 0, 1), 5, if(ISBLANK('2025'!$S140), 0, 1), 6, if(ISBLANK('2025'!$T140), 0, 1), 7, 0))), 1, "")</f>
        <v/>
      </c>
      <c r="AT142" s="1" t="str">
        <f>IF(AND(AND(AND(AT$4&gt;='2025'!$L140,AT$4&lt;='2025'!$M140), AT$4&lt;&gt;DATE(2025,7,4)), (SWITCH(weekday(AT$4), 1, 0, 2, if(ISBLANK('2025'!$P140), 0, 1), 3, if(ISBLANK('2025'!$Q140), 0, 1), 4, if(ISBLANK('2025'!$R140), 0, 1), 5, if(ISBLANK('2025'!$S140), 0, 1), 6, if(ISBLANK('2025'!$T140), 0, 1), 7, 0))), 1, "")</f>
        <v/>
      </c>
      <c r="AU142" s="1" t="str">
        <f>IF(AND(AND(AND(AU$4&gt;='2025'!$L140,AU$4&lt;='2025'!$M140), AU$4&lt;&gt;DATE(2025,7,4)), (SWITCH(weekday(AU$4), 1, 0, 2, if(ISBLANK('2025'!$P140), 0, 1), 3, if(ISBLANK('2025'!$Q140), 0, 1), 4, if(ISBLANK('2025'!$R140), 0, 1), 5, if(ISBLANK('2025'!$S140), 0, 1), 6, if(ISBLANK('2025'!$T140), 0, 1), 7, 0))), 1, "")</f>
        <v/>
      </c>
      <c r="AV142" s="1" t="str">
        <f>IF(AND(AND(AND(AV$4&gt;='2025'!$L140,AV$4&lt;='2025'!$M140), AV$4&lt;&gt;DATE(2025,7,4)), (SWITCH(weekday(AV$4), 1, 0, 2, if(ISBLANK('2025'!$P140), 0, 1), 3, if(ISBLANK('2025'!$Q140), 0, 1), 4, if(ISBLANK('2025'!$R140), 0, 1), 5, if(ISBLANK('2025'!$S140), 0, 1), 6, if(ISBLANK('2025'!$T140), 0, 1), 7, 0))), 1, "")</f>
        <v/>
      </c>
      <c r="AW142" s="1" t="str">
        <f>IF(AND(AND(AND(AW$4&gt;='2025'!$L140,AW$4&lt;='2025'!$M140), AW$4&lt;&gt;DATE(2025,7,4)), (SWITCH(weekday(AW$4), 1, 0, 2, if(ISBLANK('2025'!$P140), 0, 1), 3, if(ISBLANK('2025'!$Q140), 0, 1), 4, if(ISBLANK('2025'!$R140), 0, 1), 5, if(ISBLANK('2025'!$S140), 0, 1), 6, if(ISBLANK('2025'!$T140), 0, 1), 7, 0))), 1, "")</f>
        <v/>
      </c>
      <c r="AX142" s="1" t="str">
        <f>IF(AND(AND(AND(AX$4&gt;='2025'!$L140,AX$4&lt;='2025'!$M140), AX$4&lt;&gt;DATE(2025,7,4)), (SWITCH(weekday(AX$4), 1, 0, 2, if(ISBLANK('2025'!$P140), 0, 1), 3, if(ISBLANK('2025'!$Q140), 0, 1), 4, if(ISBLANK('2025'!$R140), 0, 1), 5, if(ISBLANK('2025'!$S140), 0, 1), 6, if(ISBLANK('2025'!$T140), 0, 1), 7, 0))), 1, "")</f>
        <v/>
      </c>
      <c r="AY142" s="1" t="str">
        <f>IF(AND(AND(AND(AY$4&gt;='2025'!$L140,AY$4&lt;='2025'!$M140), AY$4&lt;&gt;DATE(2025,7,4)), (SWITCH(weekday(AY$4), 1, 0, 2, if(ISBLANK('2025'!$P140), 0, 1), 3, if(ISBLANK('2025'!$Q140), 0, 1), 4, if(ISBLANK('2025'!$R140), 0, 1), 5, if(ISBLANK('2025'!$S140), 0, 1), 6, if(ISBLANK('2025'!$T140), 0, 1), 7, 0))), 1, "")</f>
        <v/>
      </c>
      <c r="AZ142" s="1" t="str">
        <f>IF(AND(AND(AND(AZ$4&gt;='2025'!$L140,AZ$4&lt;='2025'!$M140), AZ$4&lt;&gt;DATE(2025,7,4)), (SWITCH(weekday(AZ$4), 1, 0, 2, if(ISBLANK('2025'!$P140), 0, 1), 3, if(ISBLANK('2025'!$Q140), 0, 1), 4, if(ISBLANK('2025'!$R140), 0, 1), 5, if(ISBLANK('2025'!$S140), 0, 1), 6, if(ISBLANK('2025'!$T140), 0, 1), 7, 0))), 1, "")</f>
        <v/>
      </c>
      <c r="BA142" s="1" t="str">
        <f>IF(AND(AND(AND(BA$4&gt;='2025'!$L140,BA$4&lt;='2025'!$M140), BA$4&lt;&gt;DATE(2025,7,4)), (SWITCH(weekday(BA$4), 1, 0, 2, if(ISBLANK('2025'!$P140), 0, 1), 3, if(ISBLANK('2025'!$Q140), 0, 1), 4, if(ISBLANK('2025'!$R140), 0, 1), 5, if(ISBLANK('2025'!$S140), 0, 1), 6, if(ISBLANK('2025'!$T140), 0, 1), 7, 0))), 1, "")</f>
        <v/>
      </c>
      <c r="BB142" s="1" t="str">
        <f>IF(AND(AND(AND(BB$4&gt;='2025'!$L140,BB$4&lt;='2025'!$M140), BB$4&lt;&gt;DATE(2025,7,4)), (SWITCH(weekday(BB$4), 1, 0, 2, if(ISBLANK('2025'!$P140), 0, 1), 3, if(ISBLANK('2025'!$Q140), 0, 1), 4, if(ISBLANK('2025'!$R140), 0, 1), 5, if(ISBLANK('2025'!$S140), 0, 1), 6, if(ISBLANK('2025'!$T140), 0, 1), 7, 0))), 1, "")</f>
        <v/>
      </c>
      <c r="BC142" s="1" t="str">
        <f>IF(AND(AND(AND(BC$4&gt;='2025'!$L140,BC$4&lt;='2025'!$M140), BC$4&lt;&gt;DATE(2025,7,4)), (SWITCH(weekday(BC$4), 1, 0, 2, if(ISBLANK('2025'!$P140), 0, 1), 3, if(ISBLANK('2025'!$Q140), 0, 1), 4, if(ISBLANK('2025'!$R140), 0, 1), 5, if(ISBLANK('2025'!$S140), 0, 1), 6, if(ISBLANK('2025'!$T140), 0, 1), 7, 0))), 1, "")</f>
        <v/>
      </c>
      <c r="BD142" s="1" t="str">
        <f>IF(AND(AND(AND(BD$4&gt;='2025'!$L140,BD$4&lt;='2025'!$M140), BD$4&lt;&gt;DATE(2025,7,4)), (SWITCH(weekday(BD$4), 1, 0, 2, if(ISBLANK('2025'!$P140), 0, 1), 3, if(ISBLANK('2025'!$Q140), 0, 1), 4, if(ISBLANK('2025'!$R140), 0, 1), 5, if(ISBLANK('2025'!$S140), 0, 1), 6, if(ISBLANK('2025'!$T140), 0, 1), 7, 0))), 1, "")</f>
        <v/>
      </c>
      <c r="BE142" s="1" t="str">
        <f>IF(AND(AND(AND(BE$4&gt;='2025'!$L140,BE$4&lt;='2025'!$M140), BE$4&lt;&gt;DATE(2025,7,4)), (SWITCH(weekday(BE$4), 1, 0, 2, if(ISBLANK('2025'!$P140), 0, 1), 3, if(ISBLANK('2025'!$Q140), 0, 1), 4, if(ISBLANK('2025'!$R140), 0, 1), 5, if(ISBLANK('2025'!$S140), 0, 1), 6, if(ISBLANK('2025'!$T140), 0, 1), 7, 0))), 1, "")</f>
        <v/>
      </c>
      <c r="BF142" s="1" t="str">
        <f>IF(AND(AND(AND(BF$4&gt;='2025'!$L140,BF$4&lt;='2025'!$M140), BF$4&lt;&gt;DATE(2025,7,4)), (SWITCH(weekday(BF$4), 1, 0, 2, if(ISBLANK('2025'!$P140), 0, 1), 3, if(ISBLANK('2025'!$Q140), 0, 1), 4, if(ISBLANK('2025'!$R140), 0, 1), 5, if(ISBLANK('2025'!$S140), 0, 1), 6, if(ISBLANK('2025'!$T140), 0, 1), 7, 0))), 1, "")</f>
        <v/>
      </c>
      <c r="BG142" s="1"/>
      <c r="BH142" s="1"/>
      <c r="BI142" s="1"/>
      <c r="BJ142" s="1"/>
      <c r="BK142" s="1"/>
      <c r="BL142" s="1"/>
    </row>
    <row r="143">
      <c r="A143" s="1">
        <f t="shared" si="3"/>
        <v>143</v>
      </c>
      <c r="B143" s="1" t="str">
        <f>'2025'!D107</f>
        <v>, </v>
      </c>
      <c r="C143" s="1" t="str">
        <f>'2025'!H107</f>
        <v/>
      </c>
      <c r="D143" s="1" t="str">
        <f>IF(AND(AND(AND(D$4&gt;='2025'!$L141,D$4&lt;='2025'!$M141), D$4&lt;&gt;DATE(2025,7,4)), (SWITCH(weekday(D$4), 1, 0, 2, if(ISBLANK('2025'!$P141), 0, 1), 3, if(ISBLANK('2025'!$Q141), 0, 1), 4, if(ISBLANK('2025'!$R141), 0, 1), 5, if(ISBLANK('2025'!$S141), 0, 1), 6, if(ISBLANK('2025'!$T141), 0, 1), 7, 0))), 1, "")</f>
        <v/>
      </c>
      <c r="E143" s="1" t="str">
        <f>IF(AND(AND(AND(E$4&gt;='2025'!$L141,E$4&lt;='2025'!$M141), E$4&lt;&gt;DATE(2025,7,4)), (SWITCH(weekday(E$4), 1, 0, 2, if(ISBLANK('2025'!$P141), 0, 1), 3, if(ISBLANK('2025'!$Q141), 0, 1), 4, if(ISBLANK('2025'!$R141), 0, 1), 5, if(ISBLANK('2025'!$S141), 0, 1), 6, if(ISBLANK('2025'!$T141), 0, 1), 7, 0))), 1, "")</f>
        <v/>
      </c>
      <c r="F143" s="1" t="str">
        <f>IF(AND(AND(AND(F$4&gt;='2025'!$L141,F$4&lt;='2025'!$M141), F$4&lt;&gt;DATE(2025,7,4)), (SWITCH(weekday(F$4), 1, 0, 2, if(ISBLANK('2025'!$P141), 0, 1), 3, if(ISBLANK('2025'!$Q141), 0, 1), 4, if(ISBLANK('2025'!$R141), 0, 1), 5, if(ISBLANK('2025'!$S141), 0, 1), 6, if(ISBLANK('2025'!$T141), 0, 1), 7, 0))), 1, "")</f>
        <v/>
      </c>
      <c r="G143" s="1" t="str">
        <f>IF(AND(AND(AND(G$4&gt;='2025'!$L141,G$4&lt;='2025'!$M141), G$4&lt;&gt;DATE(2025,7,4)), (SWITCH(weekday(G$4), 1, 0, 2, if(ISBLANK('2025'!$P141), 0, 1), 3, if(ISBLANK('2025'!$Q141), 0, 1), 4, if(ISBLANK('2025'!$R141), 0, 1), 5, if(ISBLANK('2025'!$S141), 0, 1), 6, if(ISBLANK('2025'!$T141), 0, 1), 7, 0))), 1, "")</f>
        <v/>
      </c>
      <c r="H143" s="1" t="str">
        <f>IF(AND(AND(AND(H$4&gt;='2025'!$L141,H$4&lt;='2025'!$M141), H$4&lt;&gt;DATE(2025,7,4)), (SWITCH(weekday(H$4), 1, 0, 2, if(ISBLANK('2025'!$P141), 0, 1), 3, if(ISBLANK('2025'!$Q141), 0, 1), 4, if(ISBLANK('2025'!$R141), 0, 1), 5, if(ISBLANK('2025'!$S141), 0, 1), 6, if(ISBLANK('2025'!$T141), 0, 1), 7, 0))), 1, "")</f>
        <v/>
      </c>
      <c r="I143" s="1" t="str">
        <f>IF(AND(AND(AND(I$4&gt;='2025'!$L141,I$4&lt;='2025'!$M141), I$4&lt;&gt;DATE(2025,7,4)), (SWITCH(weekday(I$4), 1, 0, 2, if(ISBLANK('2025'!$P141), 0, 1), 3, if(ISBLANK('2025'!$Q141), 0, 1), 4, if(ISBLANK('2025'!$R141), 0, 1), 5, if(ISBLANK('2025'!$S141), 0, 1), 6, if(ISBLANK('2025'!$T141), 0, 1), 7, 0))), 1, "")</f>
        <v/>
      </c>
      <c r="J143" s="1" t="str">
        <f>IF(AND(AND(AND(J$4&gt;='2025'!$L141,J$4&lt;='2025'!$M141), J$4&lt;&gt;DATE(2025,7,4)), (SWITCH(weekday(J$4), 1, 0, 2, if(ISBLANK('2025'!$P141), 0, 1), 3, if(ISBLANK('2025'!$Q141), 0, 1), 4, if(ISBLANK('2025'!$R141), 0, 1), 5, if(ISBLANK('2025'!$S141), 0, 1), 6, if(ISBLANK('2025'!$T141), 0, 1), 7, 0))), 1, "")</f>
        <v/>
      </c>
      <c r="K143" s="1" t="str">
        <f>IF(AND(AND(AND(K$4&gt;='2025'!$L141,K$4&lt;='2025'!$M141), K$4&lt;&gt;DATE(2025,7,4)), (SWITCH(weekday(K$4), 1, 0, 2, if(ISBLANK('2025'!$P141), 0, 1), 3, if(ISBLANK('2025'!$Q141), 0, 1), 4, if(ISBLANK('2025'!$R141), 0, 1), 5, if(ISBLANK('2025'!$S141), 0, 1), 6, if(ISBLANK('2025'!$T141), 0, 1), 7, 0))), 1, "")</f>
        <v/>
      </c>
      <c r="L143" s="1" t="str">
        <f>IF(AND(AND(AND(L$4&gt;='2025'!$L141,L$4&lt;='2025'!$M141), L$4&lt;&gt;DATE(2025,7,4)), (SWITCH(weekday(L$4), 1, 0, 2, if(ISBLANK('2025'!$P141), 0, 1), 3, if(ISBLANK('2025'!$Q141), 0, 1), 4, if(ISBLANK('2025'!$R141), 0, 1), 5, if(ISBLANK('2025'!$S141), 0, 1), 6, if(ISBLANK('2025'!$T141), 0, 1), 7, 0))), 1, "")</f>
        <v/>
      </c>
      <c r="M143" s="1" t="str">
        <f>IF(AND(AND(AND(M$4&gt;='2025'!$L141,M$4&lt;='2025'!$M141), M$4&lt;&gt;DATE(2025,7,4)), (SWITCH(weekday(M$4), 1, 0, 2, if(ISBLANK('2025'!$P141), 0, 1), 3, if(ISBLANK('2025'!$Q141), 0, 1), 4, if(ISBLANK('2025'!$R141), 0, 1), 5, if(ISBLANK('2025'!$S141), 0, 1), 6, if(ISBLANK('2025'!$T141), 0, 1), 7, 0))), 1, "")</f>
        <v/>
      </c>
      <c r="N143" s="1" t="str">
        <f>IF(AND(AND(AND(N$4&gt;='2025'!$L141,N$4&lt;='2025'!$M141), N$4&lt;&gt;DATE(2025,7,4)), (SWITCH(weekday(N$4), 1, 0, 2, if(ISBLANK('2025'!$P141), 0, 1), 3, if(ISBLANK('2025'!$Q141), 0, 1), 4, if(ISBLANK('2025'!$R141), 0, 1), 5, if(ISBLANK('2025'!$S141), 0, 1), 6, if(ISBLANK('2025'!$T141), 0, 1), 7, 0))), 1, "")</f>
        <v/>
      </c>
      <c r="O143" s="1" t="str">
        <f>IF(AND(AND(AND(O$4&gt;='2025'!$L141,O$4&lt;='2025'!$M141), O$4&lt;&gt;DATE(2025,7,4)), (SWITCH(weekday(O$4), 1, 0, 2, if(ISBLANK('2025'!$P141), 0, 1), 3, if(ISBLANK('2025'!$Q141), 0, 1), 4, if(ISBLANK('2025'!$R141), 0, 1), 5, if(ISBLANK('2025'!$S141), 0, 1), 6, if(ISBLANK('2025'!$T141), 0, 1), 7, 0))), 1, "")</f>
        <v/>
      </c>
      <c r="P143" s="1" t="str">
        <f>IF(AND(AND(AND(P$4&gt;='2025'!$L141,P$4&lt;='2025'!$M141), P$4&lt;&gt;DATE(2025,7,4)), (SWITCH(weekday(P$4), 1, 0, 2, if(ISBLANK('2025'!$P141), 0, 1), 3, if(ISBLANK('2025'!$Q141), 0, 1), 4, if(ISBLANK('2025'!$R141), 0, 1), 5, if(ISBLANK('2025'!$S141), 0, 1), 6, if(ISBLANK('2025'!$T141), 0, 1), 7, 0))), 1, "")</f>
        <v/>
      </c>
      <c r="Q143" s="1" t="str">
        <f>IF(AND(AND(AND(Q$4&gt;='2025'!$L141,Q$4&lt;='2025'!$M141), Q$4&lt;&gt;DATE(2025,7,4)), (SWITCH(weekday(Q$4), 1, 0, 2, if(ISBLANK('2025'!$P141), 0, 1), 3, if(ISBLANK('2025'!$Q141), 0, 1), 4, if(ISBLANK('2025'!$R141), 0, 1), 5, if(ISBLANK('2025'!$S141), 0, 1), 6, if(ISBLANK('2025'!$T141), 0, 1), 7, 0))), 1, "")</f>
        <v/>
      </c>
      <c r="R143" s="1" t="str">
        <f>IF(AND(AND(AND(R$4&gt;='2025'!$L141,R$4&lt;='2025'!$M141), R$4&lt;&gt;DATE(2025,7,4)), (SWITCH(weekday(R$4), 1, 0, 2, if(ISBLANK('2025'!$P141), 0, 1), 3, if(ISBLANK('2025'!$Q141), 0, 1), 4, if(ISBLANK('2025'!$R141), 0, 1), 5, if(ISBLANK('2025'!$S141), 0, 1), 6, if(ISBLANK('2025'!$T141), 0, 1), 7, 0))), 1, "")</f>
        <v/>
      </c>
      <c r="S143" s="1" t="str">
        <f>IF(AND(AND(AND(S$4&gt;='2025'!$L141,S$4&lt;='2025'!$M141), S$4&lt;&gt;DATE(2025,7,4)), (SWITCH(weekday(S$4), 1, 0, 2, if(ISBLANK('2025'!$P141), 0, 1), 3, if(ISBLANK('2025'!$Q141), 0, 1), 4, if(ISBLANK('2025'!$R141), 0, 1), 5, if(ISBLANK('2025'!$S141), 0, 1), 6, if(ISBLANK('2025'!$T141), 0, 1), 7, 0))), 1, "")</f>
        <v/>
      </c>
      <c r="T143" s="1" t="str">
        <f>IF(AND(AND(AND(T$4&gt;='2025'!$L141,T$4&lt;='2025'!$M141), T$4&lt;&gt;DATE(2025,7,4)), (SWITCH(weekday(T$4), 1, 0, 2, if(ISBLANK('2025'!$P141), 0, 1), 3, if(ISBLANK('2025'!$Q141), 0, 1), 4, if(ISBLANK('2025'!$R141), 0, 1), 5, if(ISBLANK('2025'!$S141), 0, 1), 6, if(ISBLANK('2025'!$T141), 0, 1), 7, 0))), 1, "")</f>
        <v/>
      </c>
      <c r="U143" s="1" t="str">
        <f>IF(AND(AND(AND(U$4&gt;='2025'!$L141,U$4&lt;='2025'!$M141), U$4&lt;&gt;DATE(2025,7,4)), (SWITCH(weekday(U$4), 1, 0, 2, if(ISBLANK('2025'!$P141), 0, 1), 3, if(ISBLANK('2025'!$Q141), 0, 1), 4, if(ISBLANK('2025'!$R141), 0, 1), 5, if(ISBLANK('2025'!$S141), 0, 1), 6, if(ISBLANK('2025'!$T141), 0, 1), 7, 0))), 1, "")</f>
        <v/>
      </c>
      <c r="V143" s="1" t="str">
        <f>IF(AND(AND(AND(V$4&gt;='2025'!$L141,V$4&lt;='2025'!$M141), V$4&lt;&gt;DATE(2025,7,4)), (SWITCH(weekday(V$4), 1, 0, 2, if(ISBLANK('2025'!$P141), 0, 1), 3, if(ISBLANK('2025'!$Q141), 0, 1), 4, if(ISBLANK('2025'!$R141), 0, 1), 5, if(ISBLANK('2025'!$S141), 0, 1), 6, if(ISBLANK('2025'!$T141), 0, 1), 7, 0))), 1, "")</f>
        <v/>
      </c>
      <c r="W143" s="1" t="str">
        <f>IF(AND(AND(AND(W$4&gt;='2025'!$L141,W$4&lt;='2025'!$M141), W$4&lt;&gt;DATE(2025,7,4)), (SWITCH(weekday(W$4), 1, 0, 2, if(ISBLANK('2025'!$P141), 0, 1), 3, if(ISBLANK('2025'!$Q141), 0, 1), 4, if(ISBLANK('2025'!$R141), 0, 1), 5, if(ISBLANK('2025'!$S141), 0, 1), 6, if(ISBLANK('2025'!$T141), 0, 1), 7, 0))), 1, "")</f>
        <v/>
      </c>
      <c r="X143" s="1" t="str">
        <f>IF(AND(AND(AND(X$4&gt;='2025'!$L141,X$4&lt;='2025'!$M141), X$4&lt;&gt;DATE(2025,7,4)), (SWITCH(weekday(X$4), 1, 0, 2, if(ISBLANK('2025'!$P141), 0, 1), 3, if(ISBLANK('2025'!$Q141), 0, 1), 4, if(ISBLANK('2025'!$R141), 0, 1), 5, if(ISBLANK('2025'!$S141), 0, 1), 6, if(ISBLANK('2025'!$T141), 0, 1), 7, 0))), 1, "")</f>
        <v/>
      </c>
      <c r="Y143" s="1" t="str">
        <f>IF(AND(AND(AND(Y$4&gt;='2025'!$L141,Y$4&lt;='2025'!$M141), Y$4&lt;&gt;DATE(2025,7,4)), (SWITCH(weekday(Y$4), 1, 0, 2, if(ISBLANK('2025'!$P141), 0, 1), 3, if(ISBLANK('2025'!$Q141), 0, 1), 4, if(ISBLANK('2025'!$R141), 0, 1), 5, if(ISBLANK('2025'!$S141), 0, 1), 6, if(ISBLANK('2025'!$T141), 0, 1), 7, 0))), 1, "")</f>
        <v/>
      </c>
      <c r="Z143" s="1" t="str">
        <f>IF(AND(AND(AND(Z$4&gt;='2025'!$L141,Z$4&lt;='2025'!$M141), Z$4&lt;&gt;DATE(2025,7,4)), (SWITCH(weekday(Z$4), 1, 0, 2, if(ISBLANK('2025'!$P141), 0, 1), 3, if(ISBLANK('2025'!$Q141), 0, 1), 4, if(ISBLANK('2025'!$R141), 0, 1), 5, if(ISBLANK('2025'!$S141), 0, 1), 6, if(ISBLANK('2025'!$T141), 0, 1), 7, 0))), 1, "")</f>
        <v/>
      </c>
      <c r="AA143" s="1" t="str">
        <f>IF(AND(AND(AND(AA$4&gt;='2025'!$L141,AA$4&lt;='2025'!$M141), AA$4&lt;&gt;DATE(2025,7,4)), (SWITCH(weekday(AA$4), 1, 0, 2, if(ISBLANK('2025'!$P141), 0, 1), 3, if(ISBLANK('2025'!$Q141), 0, 1), 4, if(ISBLANK('2025'!$R141), 0, 1), 5, if(ISBLANK('2025'!$S141), 0, 1), 6, if(ISBLANK('2025'!$T141), 0, 1), 7, 0))), 1, "")</f>
        <v/>
      </c>
      <c r="AB143" s="1" t="str">
        <f>IF(AND(AND(AND(AB$4&gt;='2025'!$L141,AB$4&lt;='2025'!$M141), AB$4&lt;&gt;DATE(2025,7,4)), (SWITCH(weekday(AB$4), 1, 0, 2, if(ISBLANK('2025'!$P141), 0, 1), 3, if(ISBLANK('2025'!$Q141), 0, 1), 4, if(ISBLANK('2025'!$R141), 0, 1), 5, if(ISBLANK('2025'!$S141), 0, 1), 6, if(ISBLANK('2025'!$T141), 0, 1), 7, 0))), 1, "")</f>
        <v/>
      </c>
      <c r="AC143" s="1" t="str">
        <f>IF(AND(AND(AND(AC$4&gt;='2025'!$L141,AC$4&lt;='2025'!$M141), AC$4&lt;&gt;DATE(2025,7,4)), (SWITCH(weekday(AC$4), 1, 0, 2, if(ISBLANK('2025'!$P141), 0, 1), 3, if(ISBLANK('2025'!$Q141), 0, 1), 4, if(ISBLANK('2025'!$R141), 0, 1), 5, if(ISBLANK('2025'!$S141), 0, 1), 6, if(ISBLANK('2025'!$T141), 0, 1), 7, 0))), 1, "")</f>
        <v/>
      </c>
      <c r="AD143" s="1" t="str">
        <f>IF(AND(AND(AND(AD$4&gt;='2025'!$L141,AD$4&lt;='2025'!$M141), AD$4&lt;&gt;DATE(2025,7,4)), (SWITCH(weekday(AD$4), 1, 0, 2, if(ISBLANK('2025'!$P141), 0, 1), 3, if(ISBLANK('2025'!$Q141), 0, 1), 4, if(ISBLANK('2025'!$R141), 0, 1), 5, if(ISBLANK('2025'!$S141), 0, 1), 6, if(ISBLANK('2025'!$T141), 0, 1), 7, 0))), 1, "")</f>
        <v/>
      </c>
      <c r="AE143" s="1" t="str">
        <f>IF(AND(AND(AND(AE$4&gt;='2025'!$L141,AE$4&lt;='2025'!$M141), AE$4&lt;&gt;DATE(2025,7,4)), (SWITCH(weekday(AE$4), 1, 0, 2, if(ISBLANK('2025'!$P141), 0, 1), 3, if(ISBLANK('2025'!$Q141), 0, 1), 4, if(ISBLANK('2025'!$R141), 0, 1), 5, if(ISBLANK('2025'!$S141), 0, 1), 6, if(ISBLANK('2025'!$T141), 0, 1), 7, 0))), 1, "")</f>
        <v/>
      </c>
      <c r="AF143" s="1" t="str">
        <f>IF(AND(AND(AND(AF$4&gt;='2025'!$L141,AF$4&lt;='2025'!$M141), AF$4&lt;&gt;DATE(2025,7,4)), (SWITCH(weekday(AF$4), 1, 0, 2, if(ISBLANK('2025'!$P141), 0, 1), 3, if(ISBLANK('2025'!$Q141), 0, 1), 4, if(ISBLANK('2025'!$R141), 0, 1), 5, if(ISBLANK('2025'!$S141), 0, 1), 6, if(ISBLANK('2025'!$T141), 0, 1), 7, 0))), 1, "")</f>
        <v/>
      </c>
      <c r="AG143" s="1" t="str">
        <f>IF(AND(AND(AND(AG$4&gt;='2025'!$L141,AG$4&lt;='2025'!$M141), AG$4&lt;&gt;DATE(2025,7,4)), (SWITCH(weekday(AG$4), 1, 0, 2, if(ISBLANK('2025'!$P141), 0, 1), 3, if(ISBLANK('2025'!$Q141), 0, 1), 4, if(ISBLANK('2025'!$R141), 0, 1), 5, if(ISBLANK('2025'!$S141), 0, 1), 6, if(ISBLANK('2025'!$T141), 0, 1), 7, 0))), 1, "")</f>
        <v/>
      </c>
      <c r="AH143" s="1" t="str">
        <f>IF(AND(AND(AND(AH$4&gt;='2025'!$L141,AH$4&lt;='2025'!$M141), AH$4&lt;&gt;DATE(2025,7,4)), (SWITCH(weekday(AH$4), 1, 0, 2, if(ISBLANK('2025'!$P141), 0, 1), 3, if(ISBLANK('2025'!$Q141), 0, 1), 4, if(ISBLANK('2025'!$R141), 0, 1), 5, if(ISBLANK('2025'!$S141), 0, 1), 6, if(ISBLANK('2025'!$T141), 0, 1), 7, 0))), 1, "")</f>
        <v/>
      </c>
      <c r="AI143" s="1" t="str">
        <f>IF(AND(AND(AND(AI$4&gt;='2025'!$L141,AI$4&lt;='2025'!$M141), AI$4&lt;&gt;DATE(2025,7,4)), (SWITCH(weekday(AI$4), 1, 0, 2, if(ISBLANK('2025'!$P141), 0, 1), 3, if(ISBLANK('2025'!$Q141), 0, 1), 4, if(ISBLANK('2025'!$R141), 0, 1), 5, if(ISBLANK('2025'!$S141), 0, 1), 6, if(ISBLANK('2025'!$T141), 0, 1), 7, 0))), 1, "")</f>
        <v/>
      </c>
      <c r="AJ143" s="1" t="str">
        <f>IF(AND(AND(AND(AJ$4&gt;='2025'!$L141,AJ$4&lt;='2025'!$M141), AJ$4&lt;&gt;DATE(2025,7,4)), (SWITCH(weekday(AJ$4), 1, 0, 2, if(ISBLANK('2025'!$P141), 0, 1), 3, if(ISBLANK('2025'!$Q141), 0, 1), 4, if(ISBLANK('2025'!$R141), 0, 1), 5, if(ISBLANK('2025'!$S141), 0, 1), 6, if(ISBLANK('2025'!$T141), 0, 1), 7, 0))), 1, "")</f>
        <v/>
      </c>
      <c r="AK143" s="1" t="str">
        <f>IF(AND(AND(AND(AK$4&gt;='2025'!$L141,AK$4&lt;='2025'!$M141), AK$4&lt;&gt;DATE(2025,7,4)), (SWITCH(weekday(AK$4), 1, 0, 2, if(ISBLANK('2025'!$P141), 0, 1), 3, if(ISBLANK('2025'!$Q141), 0, 1), 4, if(ISBLANK('2025'!$R141), 0, 1), 5, if(ISBLANK('2025'!$S141), 0, 1), 6, if(ISBLANK('2025'!$T141), 0, 1), 7, 0))), 1, "")</f>
        <v/>
      </c>
      <c r="AL143" s="1" t="str">
        <f>IF(AND(AND(AND(AL$4&gt;='2025'!$L141,AL$4&lt;='2025'!$M141), AL$4&lt;&gt;DATE(2025,7,4)), (SWITCH(weekday(AL$4), 1, 0, 2, if(ISBLANK('2025'!$P141), 0, 1), 3, if(ISBLANK('2025'!$Q141), 0, 1), 4, if(ISBLANK('2025'!$R141), 0, 1), 5, if(ISBLANK('2025'!$S141), 0, 1), 6, if(ISBLANK('2025'!$T141), 0, 1), 7, 0))), 1, "")</f>
        <v/>
      </c>
      <c r="AM143" s="1" t="str">
        <f>IF(AND(AND(AND(AM$4&gt;='2025'!$L141,AM$4&lt;='2025'!$M141), AM$4&lt;&gt;DATE(2025,7,4)), (SWITCH(weekday(AM$4), 1, 0, 2, if(ISBLANK('2025'!$P141), 0, 1), 3, if(ISBLANK('2025'!$Q141), 0, 1), 4, if(ISBLANK('2025'!$R141), 0, 1), 5, if(ISBLANK('2025'!$S141), 0, 1), 6, if(ISBLANK('2025'!$T141), 0, 1), 7, 0))), 1, "")</f>
        <v/>
      </c>
      <c r="AN143" s="1" t="str">
        <f>IF(AND(AND(AND(AN$4&gt;='2025'!$L141,AN$4&lt;='2025'!$M141), AN$4&lt;&gt;DATE(2025,7,4)), (SWITCH(weekday(AN$4), 1, 0, 2, if(ISBLANK('2025'!$P141), 0, 1), 3, if(ISBLANK('2025'!$Q141), 0, 1), 4, if(ISBLANK('2025'!$R141), 0, 1), 5, if(ISBLANK('2025'!$S141), 0, 1), 6, if(ISBLANK('2025'!$T141), 0, 1), 7, 0))), 1, "")</f>
        <v/>
      </c>
      <c r="AO143" s="1" t="str">
        <f>IF(AND(AND(AND(AO$4&gt;='2025'!$L141,AO$4&lt;='2025'!$M141), AO$4&lt;&gt;DATE(2025,7,4)), (SWITCH(weekday(AO$4), 1, 0, 2, if(ISBLANK('2025'!$P141), 0, 1), 3, if(ISBLANK('2025'!$Q141), 0, 1), 4, if(ISBLANK('2025'!$R141), 0, 1), 5, if(ISBLANK('2025'!$S141), 0, 1), 6, if(ISBLANK('2025'!$T141), 0, 1), 7, 0))), 1, "")</f>
        <v/>
      </c>
      <c r="AP143" s="1" t="str">
        <f>IF(AND(AND(AND(AP$4&gt;='2025'!$L141,AP$4&lt;='2025'!$M141), AP$4&lt;&gt;DATE(2025,7,4)), (SWITCH(weekday(AP$4), 1, 0, 2, if(ISBLANK('2025'!$P141), 0, 1), 3, if(ISBLANK('2025'!$Q141), 0, 1), 4, if(ISBLANK('2025'!$R141), 0, 1), 5, if(ISBLANK('2025'!$S141), 0, 1), 6, if(ISBLANK('2025'!$T141), 0, 1), 7, 0))), 1, "")</f>
        <v/>
      </c>
      <c r="AQ143" s="1" t="str">
        <f>IF(AND(AND(AND(AQ$4&gt;='2025'!$L141,AQ$4&lt;='2025'!$M141), AQ$4&lt;&gt;DATE(2025,7,4)), (SWITCH(weekday(AQ$4), 1, 0, 2, if(ISBLANK('2025'!$P141), 0, 1), 3, if(ISBLANK('2025'!$Q141), 0, 1), 4, if(ISBLANK('2025'!$R141), 0, 1), 5, if(ISBLANK('2025'!$S141), 0, 1), 6, if(ISBLANK('2025'!$T141), 0, 1), 7, 0))), 1, "")</f>
        <v/>
      </c>
      <c r="AR143" s="1" t="str">
        <f>IF(AND(AND(AND(AR$4&gt;='2025'!$L141,AR$4&lt;='2025'!$M141), AR$4&lt;&gt;DATE(2025,7,4)), (SWITCH(weekday(AR$4), 1, 0, 2, if(ISBLANK('2025'!$P141), 0, 1), 3, if(ISBLANK('2025'!$Q141), 0, 1), 4, if(ISBLANK('2025'!$R141), 0, 1), 5, if(ISBLANK('2025'!$S141), 0, 1), 6, if(ISBLANK('2025'!$T141), 0, 1), 7, 0))), 1, "")</f>
        <v/>
      </c>
      <c r="AS143" s="1" t="str">
        <f>IF(AND(AND(AND(AS$4&gt;='2025'!$L141,AS$4&lt;='2025'!$M141), AS$4&lt;&gt;DATE(2025,7,4)), (SWITCH(weekday(AS$4), 1, 0, 2, if(ISBLANK('2025'!$P141), 0, 1), 3, if(ISBLANK('2025'!$Q141), 0, 1), 4, if(ISBLANK('2025'!$R141), 0, 1), 5, if(ISBLANK('2025'!$S141), 0, 1), 6, if(ISBLANK('2025'!$T141), 0, 1), 7, 0))), 1, "")</f>
        <v/>
      </c>
      <c r="AT143" s="1" t="str">
        <f>IF(AND(AND(AND(AT$4&gt;='2025'!$L141,AT$4&lt;='2025'!$M141), AT$4&lt;&gt;DATE(2025,7,4)), (SWITCH(weekday(AT$4), 1, 0, 2, if(ISBLANK('2025'!$P141), 0, 1), 3, if(ISBLANK('2025'!$Q141), 0, 1), 4, if(ISBLANK('2025'!$R141), 0, 1), 5, if(ISBLANK('2025'!$S141), 0, 1), 6, if(ISBLANK('2025'!$T141), 0, 1), 7, 0))), 1, "")</f>
        <v/>
      </c>
      <c r="AU143" s="1" t="str">
        <f>IF(AND(AND(AND(AU$4&gt;='2025'!$L141,AU$4&lt;='2025'!$M141), AU$4&lt;&gt;DATE(2025,7,4)), (SWITCH(weekday(AU$4), 1, 0, 2, if(ISBLANK('2025'!$P141), 0, 1), 3, if(ISBLANK('2025'!$Q141), 0, 1), 4, if(ISBLANK('2025'!$R141), 0, 1), 5, if(ISBLANK('2025'!$S141), 0, 1), 6, if(ISBLANK('2025'!$T141), 0, 1), 7, 0))), 1, "")</f>
        <v/>
      </c>
      <c r="AV143" s="1" t="str">
        <f>IF(AND(AND(AND(AV$4&gt;='2025'!$L141,AV$4&lt;='2025'!$M141), AV$4&lt;&gt;DATE(2025,7,4)), (SWITCH(weekday(AV$4), 1, 0, 2, if(ISBLANK('2025'!$P141), 0, 1), 3, if(ISBLANK('2025'!$Q141), 0, 1), 4, if(ISBLANK('2025'!$R141), 0, 1), 5, if(ISBLANK('2025'!$S141), 0, 1), 6, if(ISBLANK('2025'!$T141), 0, 1), 7, 0))), 1, "")</f>
        <v/>
      </c>
      <c r="AW143" s="1" t="str">
        <f>IF(AND(AND(AND(AW$4&gt;='2025'!$L141,AW$4&lt;='2025'!$M141), AW$4&lt;&gt;DATE(2025,7,4)), (SWITCH(weekday(AW$4), 1, 0, 2, if(ISBLANK('2025'!$P141), 0, 1), 3, if(ISBLANK('2025'!$Q141), 0, 1), 4, if(ISBLANK('2025'!$R141), 0, 1), 5, if(ISBLANK('2025'!$S141), 0, 1), 6, if(ISBLANK('2025'!$T141), 0, 1), 7, 0))), 1, "")</f>
        <v/>
      </c>
      <c r="AX143" s="1" t="str">
        <f>IF(AND(AND(AND(AX$4&gt;='2025'!$L141,AX$4&lt;='2025'!$M141), AX$4&lt;&gt;DATE(2025,7,4)), (SWITCH(weekday(AX$4), 1, 0, 2, if(ISBLANK('2025'!$P141), 0, 1), 3, if(ISBLANK('2025'!$Q141), 0, 1), 4, if(ISBLANK('2025'!$R141), 0, 1), 5, if(ISBLANK('2025'!$S141), 0, 1), 6, if(ISBLANK('2025'!$T141), 0, 1), 7, 0))), 1, "")</f>
        <v/>
      </c>
      <c r="AY143" s="1" t="str">
        <f>IF(AND(AND(AND(AY$4&gt;='2025'!$L141,AY$4&lt;='2025'!$M141), AY$4&lt;&gt;DATE(2025,7,4)), (SWITCH(weekday(AY$4), 1, 0, 2, if(ISBLANK('2025'!$P141), 0, 1), 3, if(ISBLANK('2025'!$Q141), 0, 1), 4, if(ISBLANK('2025'!$R141), 0, 1), 5, if(ISBLANK('2025'!$S141), 0, 1), 6, if(ISBLANK('2025'!$T141), 0, 1), 7, 0))), 1, "")</f>
        <v/>
      </c>
      <c r="AZ143" s="1" t="str">
        <f>IF(AND(AND(AND(AZ$4&gt;='2025'!$L141,AZ$4&lt;='2025'!$M141), AZ$4&lt;&gt;DATE(2025,7,4)), (SWITCH(weekday(AZ$4), 1, 0, 2, if(ISBLANK('2025'!$P141), 0, 1), 3, if(ISBLANK('2025'!$Q141), 0, 1), 4, if(ISBLANK('2025'!$R141), 0, 1), 5, if(ISBLANK('2025'!$S141), 0, 1), 6, if(ISBLANK('2025'!$T141), 0, 1), 7, 0))), 1, "")</f>
        <v/>
      </c>
      <c r="BA143" s="1" t="str">
        <f>IF(AND(AND(AND(BA$4&gt;='2025'!$L141,BA$4&lt;='2025'!$M141), BA$4&lt;&gt;DATE(2025,7,4)), (SWITCH(weekday(BA$4), 1, 0, 2, if(ISBLANK('2025'!$P141), 0, 1), 3, if(ISBLANK('2025'!$Q141), 0, 1), 4, if(ISBLANK('2025'!$R141), 0, 1), 5, if(ISBLANK('2025'!$S141), 0, 1), 6, if(ISBLANK('2025'!$T141), 0, 1), 7, 0))), 1, "")</f>
        <v/>
      </c>
      <c r="BB143" s="1" t="str">
        <f>IF(AND(AND(AND(BB$4&gt;='2025'!$L141,BB$4&lt;='2025'!$M141), BB$4&lt;&gt;DATE(2025,7,4)), (SWITCH(weekday(BB$4), 1, 0, 2, if(ISBLANK('2025'!$P141), 0, 1), 3, if(ISBLANK('2025'!$Q141), 0, 1), 4, if(ISBLANK('2025'!$R141), 0, 1), 5, if(ISBLANK('2025'!$S141), 0, 1), 6, if(ISBLANK('2025'!$T141), 0, 1), 7, 0))), 1, "")</f>
        <v/>
      </c>
      <c r="BC143" s="1" t="str">
        <f>IF(AND(AND(AND(BC$4&gt;='2025'!$L141,BC$4&lt;='2025'!$M141), BC$4&lt;&gt;DATE(2025,7,4)), (SWITCH(weekday(BC$4), 1, 0, 2, if(ISBLANK('2025'!$P141), 0, 1), 3, if(ISBLANK('2025'!$Q141), 0, 1), 4, if(ISBLANK('2025'!$R141), 0, 1), 5, if(ISBLANK('2025'!$S141), 0, 1), 6, if(ISBLANK('2025'!$T141), 0, 1), 7, 0))), 1, "")</f>
        <v/>
      </c>
      <c r="BD143" s="1" t="str">
        <f>IF(AND(AND(AND(BD$4&gt;='2025'!$L141,BD$4&lt;='2025'!$M141), BD$4&lt;&gt;DATE(2025,7,4)), (SWITCH(weekday(BD$4), 1, 0, 2, if(ISBLANK('2025'!$P141), 0, 1), 3, if(ISBLANK('2025'!$Q141), 0, 1), 4, if(ISBLANK('2025'!$R141), 0, 1), 5, if(ISBLANK('2025'!$S141), 0, 1), 6, if(ISBLANK('2025'!$T141), 0, 1), 7, 0))), 1, "")</f>
        <v/>
      </c>
      <c r="BE143" s="1" t="str">
        <f>IF(AND(AND(AND(BE$4&gt;='2025'!$L141,BE$4&lt;='2025'!$M141), BE$4&lt;&gt;DATE(2025,7,4)), (SWITCH(weekday(BE$4), 1, 0, 2, if(ISBLANK('2025'!$P141), 0, 1), 3, if(ISBLANK('2025'!$Q141), 0, 1), 4, if(ISBLANK('2025'!$R141), 0, 1), 5, if(ISBLANK('2025'!$S141), 0, 1), 6, if(ISBLANK('2025'!$T141), 0, 1), 7, 0))), 1, "")</f>
        <v/>
      </c>
      <c r="BF143" s="1" t="str">
        <f>IF(AND(AND(AND(BF$4&gt;='2025'!$L141,BF$4&lt;='2025'!$M141), BF$4&lt;&gt;DATE(2025,7,4)), (SWITCH(weekday(BF$4), 1, 0, 2, if(ISBLANK('2025'!$P141), 0, 1), 3, if(ISBLANK('2025'!$Q141), 0, 1), 4, if(ISBLANK('2025'!$R141), 0, 1), 5, if(ISBLANK('2025'!$S141), 0, 1), 6, if(ISBLANK('2025'!$T141), 0, 1), 7, 0))), 1, "")</f>
        <v/>
      </c>
      <c r="BG143" s="1"/>
      <c r="BH143" s="1"/>
      <c r="BI143" s="1"/>
      <c r="BJ143" s="1"/>
      <c r="BK143" s="1"/>
      <c r="BL143" s="1"/>
    </row>
    <row r="144">
      <c r="A144" s="1">
        <f t="shared" si="3"/>
        <v>144</v>
      </c>
      <c r="B144" s="1" t="str">
        <f>'2025'!D108</f>
        <v>, </v>
      </c>
      <c r="C144" s="1" t="str">
        <f>'2025'!H108</f>
        <v/>
      </c>
      <c r="D144" s="1" t="str">
        <f>IF(AND(AND(AND(D$4&gt;='2025'!$L142,D$4&lt;='2025'!$M142), D$4&lt;&gt;DATE(2025,7,4)), (SWITCH(weekday(D$4), 1, 0, 2, if(ISBLANK('2025'!$P142), 0, 1), 3, if(ISBLANK('2025'!$Q142), 0, 1), 4, if(ISBLANK('2025'!$R142), 0, 1), 5, if(ISBLANK('2025'!$S142), 0, 1), 6, if(ISBLANK('2025'!$T142), 0, 1), 7, 0))), 1, "")</f>
        <v/>
      </c>
      <c r="E144" s="1" t="str">
        <f>IF(AND(AND(AND(E$4&gt;='2025'!$L142,E$4&lt;='2025'!$M142), E$4&lt;&gt;DATE(2025,7,4)), (SWITCH(weekday(E$4), 1, 0, 2, if(ISBLANK('2025'!$P142), 0, 1), 3, if(ISBLANK('2025'!$Q142), 0, 1), 4, if(ISBLANK('2025'!$R142), 0, 1), 5, if(ISBLANK('2025'!$S142), 0, 1), 6, if(ISBLANK('2025'!$T142), 0, 1), 7, 0))), 1, "")</f>
        <v/>
      </c>
      <c r="F144" s="1" t="str">
        <f>IF(AND(AND(AND(F$4&gt;='2025'!$L142,F$4&lt;='2025'!$M142), F$4&lt;&gt;DATE(2025,7,4)), (SWITCH(weekday(F$4), 1, 0, 2, if(ISBLANK('2025'!$P142), 0, 1), 3, if(ISBLANK('2025'!$Q142), 0, 1), 4, if(ISBLANK('2025'!$R142), 0, 1), 5, if(ISBLANK('2025'!$S142), 0, 1), 6, if(ISBLANK('2025'!$T142), 0, 1), 7, 0))), 1, "")</f>
        <v/>
      </c>
      <c r="G144" s="1" t="str">
        <f>IF(AND(AND(AND(G$4&gt;='2025'!$L142,G$4&lt;='2025'!$M142), G$4&lt;&gt;DATE(2025,7,4)), (SWITCH(weekday(G$4), 1, 0, 2, if(ISBLANK('2025'!$P142), 0, 1), 3, if(ISBLANK('2025'!$Q142), 0, 1), 4, if(ISBLANK('2025'!$R142), 0, 1), 5, if(ISBLANK('2025'!$S142), 0, 1), 6, if(ISBLANK('2025'!$T142), 0, 1), 7, 0))), 1, "")</f>
        <v/>
      </c>
      <c r="H144" s="1" t="str">
        <f>IF(AND(AND(AND(H$4&gt;='2025'!$L142,H$4&lt;='2025'!$M142), H$4&lt;&gt;DATE(2025,7,4)), (SWITCH(weekday(H$4), 1, 0, 2, if(ISBLANK('2025'!$P142), 0, 1), 3, if(ISBLANK('2025'!$Q142), 0, 1), 4, if(ISBLANK('2025'!$R142), 0, 1), 5, if(ISBLANK('2025'!$S142), 0, 1), 6, if(ISBLANK('2025'!$T142), 0, 1), 7, 0))), 1, "")</f>
        <v/>
      </c>
      <c r="I144" s="1" t="str">
        <f>IF(AND(AND(AND(I$4&gt;='2025'!$L142,I$4&lt;='2025'!$M142), I$4&lt;&gt;DATE(2025,7,4)), (SWITCH(weekday(I$4), 1, 0, 2, if(ISBLANK('2025'!$P142), 0, 1), 3, if(ISBLANK('2025'!$Q142), 0, 1), 4, if(ISBLANK('2025'!$R142), 0, 1), 5, if(ISBLANK('2025'!$S142), 0, 1), 6, if(ISBLANK('2025'!$T142), 0, 1), 7, 0))), 1, "")</f>
        <v/>
      </c>
      <c r="J144" s="1" t="str">
        <f>IF(AND(AND(AND(J$4&gt;='2025'!$L142,J$4&lt;='2025'!$M142), J$4&lt;&gt;DATE(2025,7,4)), (SWITCH(weekday(J$4), 1, 0, 2, if(ISBLANK('2025'!$P142), 0, 1), 3, if(ISBLANK('2025'!$Q142), 0, 1), 4, if(ISBLANK('2025'!$R142), 0, 1), 5, if(ISBLANK('2025'!$S142), 0, 1), 6, if(ISBLANK('2025'!$T142), 0, 1), 7, 0))), 1, "")</f>
        <v/>
      </c>
      <c r="K144" s="1" t="str">
        <f>IF(AND(AND(AND(K$4&gt;='2025'!$L142,K$4&lt;='2025'!$M142), K$4&lt;&gt;DATE(2025,7,4)), (SWITCH(weekday(K$4), 1, 0, 2, if(ISBLANK('2025'!$P142), 0, 1), 3, if(ISBLANK('2025'!$Q142), 0, 1), 4, if(ISBLANK('2025'!$R142), 0, 1), 5, if(ISBLANK('2025'!$S142), 0, 1), 6, if(ISBLANK('2025'!$T142), 0, 1), 7, 0))), 1, "")</f>
        <v/>
      </c>
      <c r="L144" s="1" t="str">
        <f>IF(AND(AND(AND(L$4&gt;='2025'!$L142,L$4&lt;='2025'!$M142), L$4&lt;&gt;DATE(2025,7,4)), (SWITCH(weekday(L$4), 1, 0, 2, if(ISBLANK('2025'!$P142), 0, 1), 3, if(ISBLANK('2025'!$Q142), 0, 1), 4, if(ISBLANK('2025'!$R142), 0, 1), 5, if(ISBLANK('2025'!$S142), 0, 1), 6, if(ISBLANK('2025'!$T142), 0, 1), 7, 0))), 1, "")</f>
        <v/>
      </c>
      <c r="M144" s="1" t="str">
        <f>IF(AND(AND(AND(M$4&gt;='2025'!$L142,M$4&lt;='2025'!$M142), M$4&lt;&gt;DATE(2025,7,4)), (SWITCH(weekday(M$4), 1, 0, 2, if(ISBLANK('2025'!$P142), 0, 1), 3, if(ISBLANK('2025'!$Q142), 0, 1), 4, if(ISBLANK('2025'!$R142), 0, 1), 5, if(ISBLANK('2025'!$S142), 0, 1), 6, if(ISBLANK('2025'!$T142), 0, 1), 7, 0))), 1, "")</f>
        <v/>
      </c>
      <c r="N144" s="1" t="str">
        <f>IF(AND(AND(AND(N$4&gt;='2025'!$L142,N$4&lt;='2025'!$M142), N$4&lt;&gt;DATE(2025,7,4)), (SWITCH(weekday(N$4), 1, 0, 2, if(ISBLANK('2025'!$P142), 0, 1), 3, if(ISBLANK('2025'!$Q142), 0, 1), 4, if(ISBLANK('2025'!$R142), 0, 1), 5, if(ISBLANK('2025'!$S142), 0, 1), 6, if(ISBLANK('2025'!$T142), 0, 1), 7, 0))), 1, "")</f>
        <v/>
      </c>
      <c r="O144" s="1" t="str">
        <f>IF(AND(AND(AND(O$4&gt;='2025'!$L142,O$4&lt;='2025'!$M142), O$4&lt;&gt;DATE(2025,7,4)), (SWITCH(weekday(O$4), 1, 0, 2, if(ISBLANK('2025'!$P142), 0, 1), 3, if(ISBLANK('2025'!$Q142), 0, 1), 4, if(ISBLANK('2025'!$R142), 0, 1), 5, if(ISBLANK('2025'!$S142), 0, 1), 6, if(ISBLANK('2025'!$T142), 0, 1), 7, 0))), 1, "")</f>
        <v/>
      </c>
      <c r="P144" s="1" t="str">
        <f>IF(AND(AND(AND(P$4&gt;='2025'!$L142,P$4&lt;='2025'!$M142), P$4&lt;&gt;DATE(2025,7,4)), (SWITCH(weekday(P$4), 1, 0, 2, if(ISBLANK('2025'!$P142), 0, 1), 3, if(ISBLANK('2025'!$Q142), 0, 1), 4, if(ISBLANK('2025'!$R142), 0, 1), 5, if(ISBLANK('2025'!$S142), 0, 1), 6, if(ISBLANK('2025'!$T142), 0, 1), 7, 0))), 1, "")</f>
        <v/>
      </c>
      <c r="Q144" s="1" t="str">
        <f>IF(AND(AND(AND(Q$4&gt;='2025'!$L142,Q$4&lt;='2025'!$M142), Q$4&lt;&gt;DATE(2025,7,4)), (SWITCH(weekday(Q$4), 1, 0, 2, if(ISBLANK('2025'!$P142), 0, 1), 3, if(ISBLANK('2025'!$Q142), 0, 1), 4, if(ISBLANK('2025'!$R142), 0, 1), 5, if(ISBLANK('2025'!$S142), 0, 1), 6, if(ISBLANK('2025'!$T142), 0, 1), 7, 0))), 1, "")</f>
        <v/>
      </c>
      <c r="R144" s="1" t="str">
        <f>IF(AND(AND(AND(R$4&gt;='2025'!$L142,R$4&lt;='2025'!$M142), R$4&lt;&gt;DATE(2025,7,4)), (SWITCH(weekday(R$4), 1, 0, 2, if(ISBLANK('2025'!$P142), 0, 1), 3, if(ISBLANK('2025'!$Q142), 0, 1), 4, if(ISBLANK('2025'!$R142), 0, 1), 5, if(ISBLANK('2025'!$S142), 0, 1), 6, if(ISBLANK('2025'!$T142), 0, 1), 7, 0))), 1, "")</f>
        <v/>
      </c>
      <c r="S144" s="1" t="str">
        <f>IF(AND(AND(AND(S$4&gt;='2025'!$L142,S$4&lt;='2025'!$M142), S$4&lt;&gt;DATE(2025,7,4)), (SWITCH(weekday(S$4), 1, 0, 2, if(ISBLANK('2025'!$P142), 0, 1), 3, if(ISBLANK('2025'!$Q142), 0, 1), 4, if(ISBLANK('2025'!$R142), 0, 1), 5, if(ISBLANK('2025'!$S142), 0, 1), 6, if(ISBLANK('2025'!$T142), 0, 1), 7, 0))), 1, "")</f>
        <v/>
      </c>
      <c r="T144" s="1" t="str">
        <f>IF(AND(AND(AND(T$4&gt;='2025'!$L142,T$4&lt;='2025'!$M142), T$4&lt;&gt;DATE(2025,7,4)), (SWITCH(weekday(T$4), 1, 0, 2, if(ISBLANK('2025'!$P142), 0, 1), 3, if(ISBLANK('2025'!$Q142), 0, 1), 4, if(ISBLANK('2025'!$R142), 0, 1), 5, if(ISBLANK('2025'!$S142), 0, 1), 6, if(ISBLANK('2025'!$T142), 0, 1), 7, 0))), 1, "")</f>
        <v/>
      </c>
      <c r="U144" s="1" t="str">
        <f>IF(AND(AND(AND(U$4&gt;='2025'!$L142,U$4&lt;='2025'!$M142), U$4&lt;&gt;DATE(2025,7,4)), (SWITCH(weekday(U$4), 1, 0, 2, if(ISBLANK('2025'!$P142), 0, 1), 3, if(ISBLANK('2025'!$Q142), 0, 1), 4, if(ISBLANK('2025'!$R142), 0, 1), 5, if(ISBLANK('2025'!$S142), 0, 1), 6, if(ISBLANK('2025'!$T142), 0, 1), 7, 0))), 1, "")</f>
        <v/>
      </c>
      <c r="V144" s="1" t="str">
        <f>IF(AND(AND(AND(V$4&gt;='2025'!$L142,V$4&lt;='2025'!$M142), V$4&lt;&gt;DATE(2025,7,4)), (SWITCH(weekday(V$4), 1, 0, 2, if(ISBLANK('2025'!$P142), 0, 1), 3, if(ISBLANK('2025'!$Q142), 0, 1), 4, if(ISBLANK('2025'!$R142), 0, 1), 5, if(ISBLANK('2025'!$S142), 0, 1), 6, if(ISBLANK('2025'!$T142), 0, 1), 7, 0))), 1, "")</f>
        <v/>
      </c>
      <c r="W144" s="1" t="str">
        <f>IF(AND(AND(AND(W$4&gt;='2025'!$L142,W$4&lt;='2025'!$M142), W$4&lt;&gt;DATE(2025,7,4)), (SWITCH(weekday(W$4), 1, 0, 2, if(ISBLANK('2025'!$P142), 0, 1), 3, if(ISBLANK('2025'!$Q142), 0, 1), 4, if(ISBLANK('2025'!$R142), 0, 1), 5, if(ISBLANK('2025'!$S142), 0, 1), 6, if(ISBLANK('2025'!$T142), 0, 1), 7, 0))), 1, "")</f>
        <v/>
      </c>
      <c r="X144" s="1" t="str">
        <f>IF(AND(AND(AND(X$4&gt;='2025'!$L142,X$4&lt;='2025'!$M142), X$4&lt;&gt;DATE(2025,7,4)), (SWITCH(weekday(X$4), 1, 0, 2, if(ISBLANK('2025'!$P142), 0, 1), 3, if(ISBLANK('2025'!$Q142), 0, 1), 4, if(ISBLANK('2025'!$R142), 0, 1), 5, if(ISBLANK('2025'!$S142), 0, 1), 6, if(ISBLANK('2025'!$T142), 0, 1), 7, 0))), 1, "")</f>
        <v/>
      </c>
      <c r="Y144" s="1" t="str">
        <f>IF(AND(AND(AND(Y$4&gt;='2025'!$L142,Y$4&lt;='2025'!$M142), Y$4&lt;&gt;DATE(2025,7,4)), (SWITCH(weekday(Y$4), 1, 0, 2, if(ISBLANK('2025'!$P142), 0, 1), 3, if(ISBLANK('2025'!$Q142), 0, 1), 4, if(ISBLANK('2025'!$R142), 0, 1), 5, if(ISBLANK('2025'!$S142), 0, 1), 6, if(ISBLANK('2025'!$T142), 0, 1), 7, 0))), 1, "")</f>
        <v/>
      </c>
      <c r="Z144" s="1" t="str">
        <f>IF(AND(AND(AND(Z$4&gt;='2025'!$L142,Z$4&lt;='2025'!$M142), Z$4&lt;&gt;DATE(2025,7,4)), (SWITCH(weekday(Z$4), 1, 0, 2, if(ISBLANK('2025'!$P142), 0, 1), 3, if(ISBLANK('2025'!$Q142), 0, 1), 4, if(ISBLANK('2025'!$R142), 0, 1), 5, if(ISBLANK('2025'!$S142), 0, 1), 6, if(ISBLANK('2025'!$T142), 0, 1), 7, 0))), 1, "")</f>
        <v/>
      </c>
      <c r="AA144" s="1" t="str">
        <f>IF(AND(AND(AND(AA$4&gt;='2025'!$L142,AA$4&lt;='2025'!$M142), AA$4&lt;&gt;DATE(2025,7,4)), (SWITCH(weekday(AA$4), 1, 0, 2, if(ISBLANK('2025'!$P142), 0, 1), 3, if(ISBLANK('2025'!$Q142), 0, 1), 4, if(ISBLANK('2025'!$R142), 0, 1), 5, if(ISBLANK('2025'!$S142), 0, 1), 6, if(ISBLANK('2025'!$T142), 0, 1), 7, 0))), 1, "")</f>
        <v/>
      </c>
      <c r="AB144" s="1" t="str">
        <f>IF(AND(AND(AND(AB$4&gt;='2025'!$L142,AB$4&lt;='2025'!$M142), AB$4&lt;&gt;DATE(2025,7,4)), (SWITCH(weekday(AB$4), 1, 0, 2, if(ISBLANK('2025'!$P142), 0, 1), 3, if(ISBLANK('2025'!$Q142), 0, 1), 4, if(ISBLANK('2025'!$R142), 0, 1), 5, if(ISBLANK('2025'!$S142), 0, 1), 6, if(ISBLANK('2025'!$T142), 0, 1), 7, 0))), 1, "")</f>
        <v/>
      </c>
      <c r="AC144" s="1" t="str">
        <f>IF(AND(AND(AND(AC$4&gt;='2025'!$L142,AC$4&lt;='2025'!$M142), AC$4&lt;&gt;DATE(2025,7,4)), (SWITCH(weekday(AC$4), 1, 0, 2, if(ISBLANK('2025'!$P142), 0, 1), 3, if(ISBLANK('2025'!$Q142), 0, 1), 4, if(ISBLANK('2025'!$R142), 0, 1), 5, if(ISBLANK('2025'!$S142), 0, 1), 6, if(ISBLANK('2025'!$T142), 0, 1), 7, 0))), 1, "")</f>
        <v/>
      </c>
      <c r="AD144" s="1" t="str">
        <f>IF(AND(AND(AND(AD$4&gt;='2025'!$L142,AD$4&lt;='2025'!$M142), AD$4&lt;&gt;DATE(2025,7,4)), (SWITCH(weekday(AD$4), 1, 0, 2, if(ISBLANK('2025'!$P142), 0, 1), 3, if(ISBLANK('2025'!$Q142), 0, 1), 4, if(ISBLANK('2025'!$R142), 0, 1), 5, if(ISBLANK('2025'!$S142), 0, 1), 6, if(ISBLANK('2025'!$T142), 0, 1), 7, 0))), 1, "")</f>
        <v/>
      </c>
      <c r="AE144" s="1" t="str">
        <f>IF(AND(AND(AND(AE$4&gt;='2025'!$L142,AE$4&lt;='2025'!$M142), AE$4&lt;&gt;DATE(2025,7,4)), (SWITCH(weekday(AE$4), 1, 0, 2, if(ISBLANK('2025'!$P142), 0, 1), 3, if(ISBLANK('2025'!$Q142), 0, 1), 4, if(ISBLANK('2025'!$R142), 0, 1), 5, if(ISBLANK('2025'!$S142), 0, 1), 6, if(ISBLANK('2025'!$T142), 0, 1), 7, 0))), 1, "")</f>
        <v/>
      </c>
      <c r="AF144" s="1" t="str">
        <f>IF(AND(AND(AND(AF$4&gt;='2025'!$L142,AF$4&lt;='2025'!$M142), AF$4&lt;&gt;DATE(2025,7,4)), (SWITCH(weekday(AF$4), 1, 0, 2, if(ISBLANK('2025'!$P142), 0, 1), 3, if(ISBLANK('2025'!$Q142), 0, 1), 4, if(ISBLANK('2025'!$R142), 0, 1), 5, if(ISBLANK('2025'!$S142), 0, 1), 6, if(ISBLANK('2025'!$T142), 0, 1), 7, 0))), 1, "")</f>
        <v/>
      </c>
      <c r="AG144" s="1" t="str">
        <f>IF(AND(AND(AND(AG$4&gt;='2025'!$L142,AG$4&lt;='2025'!$M142), AG$4&lt;&gt;DATE(2025,7,4)), (SWITCH(weekday(AG$4), 1, 0, 2, if(ISBLANK('2025'!$P142), 0, 1), 3, if(ISBLANK('2025'!$Q142), 0, 1), 4, if(ISBLANK('2025'!$R142), 0, 1), 5, if(ISBLANK('2025'!$S142), 0, 1), 6, if(ISBLANK('2025'!$T142), 0, 1), 7, 0))), 1, "")</f>
        <v/>
      </c>
      <c r="AH144" s="1" t="str">
        <f>IF(AND(AND(AND(AH$4&gt;='2025'!$L142,AH$4&lt;='2025'!$M142), AH$4&lt;&gt;DATE(2025,7,4)), (SWITCH(weekday(AH$4), 1, 0, 2, if(ISBLANK('2025'!$P142), 0, 1), 3, if(ISBLANK('2025'!$Q142), 0, 1), 4, if(ISBLANK('2025'!$R142), 0, 1), 5, if(ISBLANK('2025'!$S142), 0, 1), 6, if(ISBLANK('2025'!$T142), 0, 1), 7, 0))), 1, "")</f>
        <v/>
      </c>
      <c r="AI144" s="1" t="str">
        <f>IF(AND(AND(AND(AI$4&gt;='2025'!$L142,AI$4&lt;='2025'!$M142), AI$4&lt;&gt;DATE(2025,7,4)), (SWITCH(weekday(AI$4), 1, 0, 2, if(ISBLANK('2025'!$P142), 0, 1), 3, if(ISBLANK('2025'!$Q142), 0, 1), 4, if(ISBLANK('2025'!$R142), 0, 1), 5, if(ISBLANK('2025'!$S142), 0, 1), 6, if(ISBLANK('2025'!$T142), 0, 1), 7, 0))), 1, "")</f>
        <v/>
      </c>
      <c r="AJ144" s="1" t="str">
        <f>IF(AND(AND(AND(AJ$4&gt;='2025'!$L142,AJ$4&lt;='2025'!$M142), AJ$4&lt;&gt;DATE(2025,7,4)), (SWITCH(weekday(AJ$4), 1, 0, 2, if(ISBLANK('2025'!$P142), 0, 1), 3, if(ISBLANK('2025'!$Q142), 0, 1), 4, if(ISBLANK('2025'!$R142), 0, 1), 5, if(ISBLANK('2025'!$S142), 0, 1), 6, if(ISBLANK('2025'!$T142), 0, 1), 7, 0))), 1, "")</f>
        <v/>
      </c>
      <c r="AK144" s="1" t="str">
        <f>IF(AND(AND(AND(AK$4&gt;='2025'!$L142,AK$4&lt;='2025'!$M142), AK$4&lt;&gt;DATE(2025,7,4)), (SWITCH(weekday(AK$4), 1, 0, 2, if(ISBLANK('2025'!$P142), 0, 1), 3, if(ISBLANK('2025'!$Q142), 0, 1), 4, if(ISBLANK('2025'!$R142), 0, 1), 5, if(ISBLANK('2025'!$S142), 0, 1), 6, if(ISBLANK('2025'!$T142), 0, 1), 7, 0))), 1, "")</f>
        <v/>
      </c>
      <c r="AL144" s="1" t="str">
        <f>IF(AND(AND(AND(AL$4&gt;='2025'!$L142,AL$4&lt;='2025'!$M142), AL$4&lt;&gt;DATE(2025,7,4)), (SWITCH(weekday(AL$4), 1, 0, 2, if(ISBLANK('2025'!$P142), 0, 1), 3, if(ISBLANK('2025'!$Q142), 0, 1), 4, if(ISBLANK('2025'!$R142), 0, 1), 5, if(ISBLANK('2025'!$S142), 0, 1), 6, if(ISBLANK('2025'!$T142), 0, 1), 7, 0))), 1, "")</f>
        <v/>
      </c>
      <c r="AM144" s="1" t="str">
        <f>IF(AND(AND(AND(AM$4&gt;='2025'!$L142,AM$4&lt;='2025'!$M142), AM$4&lt;&gt;DATE(2025,7,4)), (SWITCH(weekday(AM$4), 1, 0, 2, if(ISBLANK('2025'!$P142), 0, 1), 3, if(ISBLANK('2025'!$Q142), 0, 1), 4, if(ISBLANK('2025'!$R142), 0, 1), 5, if(ISBLANK('2025'!$S142), 0, 1), 6, if(ISBLANK('2025'!$T142), 0, 1), 7, 0))), 1, "")</f>
        <v/>
      </c>
      <c r="AN144" s="1" t="str">
        <f>IF(AND(AND(AND(AN$4&gt;='2025'!$L142,AN$4&lt;='2025'!$M142), AN$4&lt;&gt;DATE(2025,7,4)), (SWITCH(weekday(AN$4), 1, 0, 2, if(ISBLANK('2025'!$P142), 0, 1), 3, if(ISBLANK('2025'!$Q142), 0, 1), 4, if(ISBLANK('2025'!$R142), 0, 1), 5, if(ISBLANK('2025'!$S142), 0, 1), 6, if(ISBLANK('2025'!$T142), 0, 1), 7, 0))), 1, "")</f>
        <v/>
      </c>
      <c r="AO144" s="1" t="str">
        <f>IF(AND(AND(AND(AO$4&gt;='2025'!$L142,AO$4&lt;='2025'!$M142), AO$4&lt;&gt;DATE(2025,7,4)), (SWITCH(weekday(AO$4), 1, 0, 2, if(ISBLANK('2025'!$P142), 0, 1), 3, if(ISBLANK('2025'!$Q142), 0, 1), 4, if(ISBLANK('2025'!$R142), 0, 1), 5, if(ISBLANK('2025'!$S142), 0, 1), 6, if(ISBLANK('2025'!$T142), 0, 1), 7, 0))), 1, "")</f>
        <v/>
      </c>
      <c r="AP144" s="1" t="str">
        <f>IF(AND(AND(AND(AP$4&gt;='2025'!$L142,AP$4&lt;='2025'!$M142), AP$4&lt;&gt;DATE(2025,7,4)), (SWITCH(weekday(AP$4), 1, 0, 2, if(ISBLANK('2025'!$P142), 0, 1), 3, if(ISBLANK('2025'!$Q142), 0, 1), 4, if(ISBLANK('2025'!$R142), 0, 1), 5, if(ISBLANK('2025'!$S142), 0, 1), 6, if(ISBLANK('2025'!$T142), 0, 1), 7, 0))), 1, "")</f>
        <v/>
      </c>
      <c r="AQ144" s="1" t="str">
        <f>IF(AND(AND(AND(AQ$4&gt;='2025'!$L142,AQ$4&lt;='2025'!$M142), AQ$4&lt;&gt;DATE(2025,7,4)), (SWITCH(weekday(AQ$4), 1, 0, 2, if(ISBLANK('2025'!$P142), 0, 1), 3, if(ISBLANK('2025'!$Q142), 0, 1), 4, if(ISBLANK('2025'!$R142), 0, 1), 5, if(ISBLANK('2025'!$S142), 0, 1), 6, if(ISBLANK('2025'!$T142), 0, 1), 7, 0))), 1, "")</f>
        <v/>
      </c>
      <c r="AR144" s="1" t="str">
        <f>IF(AND(AND(AND(AR$4&gt;='2025'!$L142,AR$4&lt;='2025'!$M142), AR$4&lt;&gt;DATE(2025,7,4)), (SWITCH(weekday(AR$4), 1, 0, 2, if(ISBLANK('2025'!$P142), 0, 1), 3, if(ISBLANK('2025'!$Q142), 0, 1), 4, if(ISBLANK('2025'!$R142), 0, 1), 5, if(ISBLANK('2025'!$S142), 0, 1), 6, if(ISBLANK('2025'!$T142), 0, 1), 7, 0))), 1, "")</f>
        <v/>
      </c>
      <c r="AS144" s="1" t="str">
        <f>IF(AND(AND(AND(AS$4&gt;='2025'!$L142,AS$4&lt;='2025'!$M142), AS$4&lt;&gt;DATE(2025,7,4)), (SWITCH(weekday(AS$4), 1, 0, 2, if(ISBLANK('2025'!$P142), 0, 1), 3, if(ISBLANK('2025'!$Q142), 0, 1), 4, if(ISBLANK('2025'!$R142), 0, 1), 5, if(ISBLANK('2025'!$S142), 0, 1), 6, if(ISBLANK('2025'!$T142), 0, 1), 7, 0))), 1, "")</f>
        <v/>
      </c>
      <c r="AT144" s="1" t="str">
        <f>IF(AND(AND(AND(AT$4&gt;='2025'!$L142,AT$4&lt;='2025'!$M142), AT$4&lt;&gt;DATE(2025,7,4)), (SWITCH(weekday(AT$4), 1, 0, 2, if(ISBLANK('2025'!$P142), 0, 1), 3, if(ISBLANK('2025'!$Q142), 0, 1), 4, if(ISBLANK('2025'!$R142), 0, 1), 5, if(ISBLANK('2025'!$S142), 0, 1), 6, if(ISBLANK('2025'!$T142), 0, 1), 7, 0))), 1, "")</f>
        <v/>
      </c>
      <c r="AU144" s="1" t="str">
        <f>IF(AND(AND(AND(AU$4&gt;='2025'!$L142,AU$4&lt;='2025'!$M142), AU$4&lt;&gt;DATE(2025,7,4)), (SWITCH(weekday(AU$4), 1, 0, 2, if(ISBLANK('2025'!$P142), 0, 1), 3, if(ISBLANK('2025'!$Q142), 0, 1), 4, if(ISBLANK('2025'!$R142), 0, 1), 5, if(ISBLANK('2025'!$S142), 0, 1), 6, if(ISBLANK('2025'!$T142), 0, 1), 7, 0))), 1, "")</f>
        <v/>
      </c>
      <c r="AV144" s="1" t="str">
        <f>IF(AND(AND(AND(AV$4&gt;='2025'!$L142,AV$4&lt;='2025'!$M142), AV$4&lt;&gt;DATE(2025,7,4)), (SWITCH(weekday(AV$4), 1, 0, 2, if(ISBLANK('2025'!$P142), 0, 1), 3, if(ISBLANK('2025'!$Q142), 0, 1), 4, if(ISBLANK('2025'!$R142), 0, 1), 5, if(ISBLANK('2025'!$S142), 0, 1), 6, if(ISBLANK('2025'!$T142), 0, 1), 7, 0))), 1, "")</f>
        <v/>
      </c>
      <c r="AW144" s="1" t="str">
        <f>IF(AND(AND(AND(AW$4&gt;='2025'!$L142,AW$4&lt;='2025'!$M142), AW$4&lt;&gt;DATE(2025,7,4)), (SWITCH(weekday(AW$4), 1, 0, 2, if(ISBLANK('2025'!$P142), 0, 1), 3, if(ISBLANK('2025'!$Q142), 0, 1), 4, if(ISBLANK('2025'!$R142), 0, 1), 5, if(ISBLANK('2025'!$S142), 0, 1), 6, if(ISBLANK('2025'!$T142), 0, 1), 7, 0))), 1, "")</f>
        <v/>
      </c>
      <c r="AX144" s="1" t="str">
        <f>IF(AND(AND(AND(AX$4&gt;='2025'!$L142,AX$4&lt;='2025'!$M142), AX$4&lt;&gt;DATE(2025,7,4)), (SWITCH(weekday(AX$4), 1, 0, 2, if(ISBLANK('2025'!$P142), 0, 1), 3, if(ISBLANK('2025'!$Q142), 0, 1), 4, if(ISBLANK('2025'!$R142), 0, 1), 5, if(ISBLANK('2025'!$S142), 0, 1), 6, if(ISBLANK('2025'!$T142), 0, 1), 7, 0))), 1, "")</f>
        <v/>
      </c>
      <c r="AY144" s="1" t="str">
        <f>IF(AND(AND(AND(AY$4&gt;='2025'!$L142,AY$4&lt;='2025'!$M142), AY$4&lt;&gt;DATE(2025,7,4)), (SWITCH(weekday(AY$4), 1, 0, 2, if(ISBLANK('2025'!$P142), 0, 1), 3, if(ISBLANK('2025'!$Q142), 0, 1), 4, if(ISBLANK('2025'!$R142), 0, 1), 5, if(ISBLANK('2025'!$S142), 0, 1), 6, if(ISBLANK('2025'!$T142), 0, 1), 7, 0))), 1, "")</f>
        <v/>
      </c>
      <c r="AZ144" s="1" t="str">
        <f>IF(AND(AND(AND(AZ$4&gt;='2025'!$L142,AZ$4&lt;='2025'!$M142), AZ$4&lt;&gt;DATE(2025,7,4)), (SWITCH(weekday(AZ$4), 1, 0, 2, if(ISBLANK('2025'!$P142), 0, 1), 3, if(ISBLANK('2025'!$Q142), 0, 1), 4, if(ISBLANK('2025'!$R142), 0, 1), 5, if(ISBLANK('2025'!$S142), 0, 1), 6, if(ISBLANK('2025'!$T142), 0, 1), 7, 0))), 1, "")</f>
        <v/>
      </c>
      <c r="BA144" s="1" t="str">
        <f>IF(AND(AND(AND(BA$4&gt;='2025'!$L142,BA$4&lt;='2025'!$M142), BA$4&lt;&gt;DATE(2025,7,4)), (SWITCH(weekday(BA$4), 1, 0, 2, if(ISBLANK('2025'!$P142), 0, 1), 3, if(ISBLANK('2025'!$Q142), 0, 1), 4, if(ISBLANK('2025'!$R142), 0, 1), 5, if(ISBLANK('2025'!$S142), 0, 1), 6, if(ISBLANK('2025'!$T142), 0, 1), 7, 0))), 1, "")</f>
        <v/>
      </c>
      <c r="BB144" s="1" t="str">
        <f>IF(AND(AND(AND(BB$4&gt;='2025'!$L142,BB$4&lt;='2025'!$M142), BB$4&lt;&gt;DATE(2025,7,4)), (SWITCH(weekday(BB$4), 1, 0, 2, if(ISBLANK('2025'!$P142), 0, 1), 3, if(ISBLANK('2025'!$Q142), 0, 1), 4, if(ISBLANK('2025'!$R142), 0, 1), 5, if(ISBLANK('2025'!$S142), 0, 1), 6, if(ISBLANK('2025'!$T142), 0, 1), 7, 0))), 1, "")</f>
        <v/>
      </c>
      <c r="BC144" s="1" t="str">
        <f>IF(AND(AND(AND(BC$4&gt;='2025'!$L142,BC$4&lt;='2025'!$M142), BC$4&lt;&gt;DATE(2025,7,4)), (SWITCH(weekday(BC$4), 1, 0, 2, if(ISBLANK('2025'!$P142), 0, 1), 3, if(ISBLANK('2025'!$Q142), 0, 1), 4, if(ISBLANK('2025'!$R142), 0, 1), 5, if(ISBLANK('2025'!$S142), 0, 1), 6, if(ISBLANK('2025'!$T142), 0, 1), 7, 0))), 1, "")</f>
        <v/>
      </c>
      <c r="BD144" s="1" t="str">
        <f>IF(AND(AND(AND(BD$4&gt;='2025'!$L142,BD$4&lt;='2025'!$M142), BD$4&lt;&gt;DATE(2025,7,4)), (SWITCH(weekday(BD$4), 1, 0, 2, if(ISBLANK('2025'!$P142), 0, 1), 3, if(ISBLANK('2025'!$Q142), 0, 1), 4, if(ISBLANK('2025'!$R142), 0, 1), 5, if(ISBLANK('2025'!$S142), 0, 1), 6, if(ISBLANK('2025'!$T142), 0, 1), 7, 0))), 1, "")</f>
        <v/>
      </c>
      <c r="BE144" s="1" t="str">
        <f>IF(AND(AND(AND(BE$4&gt;='2025'!$L142,BE$4&lt;='2025'!$M142), BE$4&lt;&gt;DATE(2025,7,4)), (SWITCH(weekday(BE$4), 1, 0, 2, if(ISBLANK('2025'!$P142), 0, 1), 3, if(ISBLANK('2025'!$Q142), 0, 1), 4, if(ISBLANK('2025'!$R142), 0, 1), 5, if(ISBLANK('2025'!$S142), 0, 1), 6, if(ISBLANK('2025'!$T142), 0, 1), 7, 0))), 1, "")</f>
        <v/>
      </c>
      <c r="BF144" s="1" t="str">
        <f>IF(AND(AND(AND(BF$4&gt;='2025'!$L142,BF$4&lt;='2025'!$M142), BF$4&lt;&gt;DATE(2025,7,4)), (SWITCH(weekday(BF$4), 1, 0, 2, if(ISBLANK('2025'!$P142), 0, 1), 3, if(ISBLANK('2025'!$Q142), 0, 1), 4, if(ISBLANK('2025'!$R142), 0, 1), 5, if(ISBLANK('2025'!$S142), 0, 1), 6, if(ISBLANK('2025'!$T142), 0, 1), 7, 0))), 1, "")</f>
        <v/>
      </c>
      <c r="BG144" s="1"/>
      <c r="BH144" s="1"/>
      <c r="BI144" s="1"/>
      <c r="BJ144" s="1"/>
      <c r="BK144" s="1"/>
      <c r="BL144" s="1"/>
    </row>
    <row r="145">
      <c r="A145" s="1">
        <f t="shared" si="3"/>
        <v>145</v>
      </c>
      <c r="B145" s="1" t="str">
        <f>'2025'!D109</f>
        <v>, </v>
      </c>
      <c r="C145" s="1" t="str">
        <f>'2025'!H109</f>
        <v/>
      </c>
      <c r="D145" s="1" t="str">
        <f>IF(AND(AND(AND(D$4&gt;='2025'!$L143,D$4&lt;='2025'!$M143), D$4&lt;&gt;DATE(2025,7,4)), (SWITCH(weekday(D$4), 1, 0, 2, if(ISBLANK('2025'!$P143), 0, 1), 3, if(ISBLANK('2025'!$Q143), 0, 1), 4, if(ISBLANK('2025'!$R143), 0, 1), 5, if(ISBLANK('2025'!$S143), 0, 1), 6, if(ISBLANK('2025'!$T143), 0, 1), 7, 0))), 1, "")</f>
        <v/>
      </c>
      <c r="E145" s="1" t="str">
        <f>IF(AND(AND(AND(E$4&gt;='2025'!$L143,E$4&lt;='2025'!$M143), E$4&lt;&gt;DATE(2025,7,4)), (SWITCH(weekday(E$4), 1, 0, 2, if(ISBLANK('2025'!$P143), 0, 1), 3, if(ISBLANK('2025'!$Q143), 0, 1), 4, if(ISBLANK('2025'!$R143), 0, 1), 5, if(ISBLANK('2025'!$S143), 0, 1), 6, if(ISBLANK('2025'!$T143), 0, 1), 7, 0))), 1, "")</f>
        <v/>
      </c>
      <c r="F145" s="1" t="str">
        <f>IF(AND(AND(AND(F$4&gt;='2025'!$L143,F$4&lt;='2025'!$M143), F$4&lt;&gt;DATE(2025,7,4)), (SWITCH(weekday(F$4), 1, 0, 2, if(ISBLANK('2025'!$P143), 0, 1), 3, if(ISBLANK('2025'!$Q143), 0, 1), 4, if(ISBLANK('2025'!$R143), 0, 1), 5, if(ISBLANK('2025'!$S143), 0, 1), 6, if(ISBLANK('2025'!$T143), 0, 1), 7, 0))), 1, "")</f>
        <v/>
      </c>
      <c r="G145" s="1" t="str">
        <f>IF(AND(AND(AND(G$4&gt;='2025'!$L143,G$4&lt;='2025'!$M143), G$4&lt;&gt;DATE(2025,7,4)), (SWITCH(weekday(G$4), 1, 0, 2, if(ISBLANK('2025'!$P143), 0, 1), 3, if(ISBLANK('2025'!$Q143), 0, 1), 4, if(ISBLANK('2025'!$R143), 0, 1), 5, if(ISBLANK('2025'!$S143), 0, 1), 6, if(ISBLANK('2025'!$T143), 0, 1), 7, 0))), 1, "")</f>
        <v/>
      </c>
      <c r="H145" s="1" t="str">
        <f>IF(AND(AND(AND(H$4&gt;='2025'!$L143,H$4&lt;='2025'!$M143), H$4&lt;&gt;DATE(2025,7,4)), (SWITCH(weekday(H$4), 1, 0, 2, if(ISBLANK('2025'!$P143), 0, 1), 3, if(ISBLANK('2025'!$Q143), 0, 1), 4, if(ISBLANK('2025'!$R143), 0, 1), 5, if(ISBLANK('2025'!$S143), 0, 1), 6, if(ISBLANK('2025'!$T143), 0, 1), 7, 0))), 1, "")</f>
        <v/>
      </c>
      <c r="I145" s="1" t="str">
        <f>IF(AND(AND(AND(I$4&gt;='2025'!$L143,I$4&lt;='2025'!$M143), I$4&lt;&gt;DATE(2025,7,4)), (SWITCH(weekday(I$4), 1, 0, 2, if(ISBLANK('2025'!$P143), 0, 1), 3, if(ISBLANK('2025'!$Q143), 0, 1), 4, if(ISBLANK('2025'!$R143), 0, 1), 5, if(ISBLANK('2025'!$S143), 0, 1), 6, if(ISBLANK('2025'!$T143), 0, 1), 7, 0))), 1, "")</f>
        <v/>
      </c>
      <c r="J145" s="1" t="str">
        <f>IF(AND(AND(AND(J$4&gt;='2025'!$L143,J$4&lt;='2025'!$M143), J$4&lt;&gt;DATE(2025,7,4)), (SWITCH(weekday(J$4), 1, 0, 2, if(ISBLANK('2025'!$P143), 0, 1), 3, if(ISBLANK('2025'!$Q143), 0, 1), 4, if(ISBLANK('2025'!$R143), 0, 1), 5, if(ISBLANK('2025'!$S143), 0, 1), 6, if(ISBLANK('2025'!$T143), 0, 1), 7, 0))), 1, "")</f>
        <v/>
      </c>
      <c r="K145" s="1" t="str">
        <f>IF(AND(AND(AND(K$4&gt;='2025'!$L143,K$4&lt;='2025'!$M143), K$4&lt;&gt;DATE(2025,7,4)), (SWITCH(weekday(K$4), 1, 0, 2, if(ISBLANK('2025'!$P143), 0, 1), 3, if(ISBLANK('2025'!$Q143), 0, 1), 4, if(ISBLANK('2025'!$R143), 0, 1), 5, if(ISBLANK('2025'!$S143), 0, 1), 6, if(ISBLANK('2025'!$T143), 0, 1), 7, 0))), 1, "")</f>
        <v/>
      </c>
      <c r="L145" s="1" t="str">
        <f>IF(AND(AND(AND(L$4&gt;='2025'!$L143,L$4&lt;='2025'!$M143), L$4&lt;&gt;DATE(2025,7,4)), (SWITCH(weekday(L$4), 1, 0, 2, if(ISBLANK('2025'!$P143), 0, 1), 3, if(ISBLANK('2025'!$Q143), 0, 1), 4, if(ISBLANK('2025'!$R143), 0, 1), 5, if(ISBLANK('2025'!$S143), 0, 1), 6, if(ISBLANK('2025'!$T143), 0, 1), 7, 0))), 1, "")</f>
        <v/>
      </c>
      <c r="M145" s="1" t="str">
        <f>IF(AND(AND(AND(M$4&gt;='2025'!$L143,M$4&lt;='2025'!$M143), M$4&lt;&gt;DATE(2025,7,4)), (SWITCH(weekday(M$4), 1, 0, 2, if(ISBLANK('2025'!$P143), 0, 1), 3, if(ISBLANK('2025'!$Q143), 0, 1), 4, if(ISBLANK('2025'!$R143), 0, 1), 5, if(ISBLANK('2025'!$S143), 0, 1), 6, if(ISBLANK('2025'!$T143), 0, 1), 7, 0))), 1, "")</f>
        <v/>
      </c>
      <c r="N145" s="1" t="str">
        <f>IF(AND(AND(AND(N$4&gt;='2025'!$L143,N$4&lt;='2025'!$M143), N$4&lt;&gt;DATE(2025,7,4)), (SWITCH(weekday(N$4), 1, 0, 2, if(ISBLANK('2025'!$P143), 0, 1), 3, if(ISBLANK('2025'!$Q143), 0, 1), 4, if(ISBLANK('2025'!$R143), 0, 1), 5, if(ISBLANK('2025'!$S143), 0, 1), 6, if(ISBLANK('2025'!$T143), 0, 1), 7, 0))), 1, "")</f>
        <v/>
      </c>
      <c r="O145" s="1" t="str">
        <f>IF(AND(AND(AND(O$4&gt;='2025'!$L143,O$4&lt;='2025'!$M143), O$4&lt;&gt;DATE(2025,7,4)), (SWITCH(weekday(O$4), 1, 0, 2, if(ISBLANK('2025'!$P143), 0, 1), 3, if(ISBLANK('2025'!$Q143), 0, 1), 4, if(ISBLANK('2025'!$R143), 0, 1), 5, if(ISBLANK('2025'!$S143), 0, 1), 6, if(ISBLANK('2025'!$T143), 0, 1), 7, 0))), 1, "")</f>
        <v/>
      </c>
      <c r="P145" s="1" t="str">
        <f>IF(AND(AND(AND(P$4&gt;='2025'!$L143,P$4&lt;='2025'!$M143), P$4&lt;&gt;DATE(2025,7,4)), (SWITCH(weekday(P$4), 1, 0, 2, if(ISBLANK('2025'!$P143), 0, 1), 3, if(ISBLANK('2025'!$Q143), 0, 1), 4, if(ISBLANK('2025'!$R143), 0, 1), 5, if(ISBLANK('2025'!$S143), 0, 1), 6, if(ISBLANK('2025'!$T143), 0, 1), 7, 0))), 1, "")</f>
        <v/>
      </c>
      <c r="Q145" s="1" t="str">
        <f>IF(AND(AND(AND(Q$4&gt;='2025'!$L143,Q$4&lt;='2025'!$M143), Q$4&lt;&gt;DATE(2025,7,4)), (SWITCH(weekday(Q$4), 1, 0, 2, if(ISBLANK('2025'!$P143), 0, 1), 3, if(ISBLANK('2025'!$Q143), 0, 1), 4, if(ISBLANK('2025'!$R143), 0, 1), 5, if(ISBLANK('2025'!$S143), 0, 1), 6, if(ISBLANK('2025'!$T143), 0, 1), 7, 0))), 1, "")</f>
        <v/>
      </c>
      <c r="R145" s="1" t="str">
        <f>IF(AND(AND(AND(R$4&gt;='2025'!$L143,R$4&lt;='2025'!$M143), R$4&lt;&gt;DATE(2025,7,4)), (SWITCH(weekday(R$4), 1, 0, 2, if(ISBLANK('2025'!$P143), 0, 1), 3, if(ISBLANK('2025'!$Q143), 0, 1), 4, if(ISBLANK('2025'!$R143), 0, 1), 5, if(ISBLANK('2025'!$S143), 0, 1), 6, if(ISBLANK('2025'!$T143), 0, 1), 7, 0))), 1, "")</f>
        <v/>
      </c>
      <c r="S145" s="1" t="str">
        <f>IF(AND(AND(AND(S$4&gt;='2025'!$L143,S$4&lt;='2025'!$M143), S$4&lt;&gt;DATE(2025,7,4)), (SWITCH(weekday(S$4), 1, 0, 2, if(ISBLANK('2025'!$P143), 0, 1), 3, if(ISBLANK('2025'!$Q143), 0, 1), 4, if(ISBLANK('2025'!$R143), 0, 1), 5, if(ISBLANK('2025'!$S143), 0, 1), 6, if(ISBLANK('2025'!$T143), 0, 1), 7, 0))), 1, "")</f>
        <v/>
      </c>
      <c r="T145" s="1" t="str">
        <f>IF(AND(AND(AND(T$4&gt;='2025'!$L143,T$4&lt;='2025'!$M143), T$4&lt;&gt;DATE(2025,7,4)), (SWITCH(weekday(T$4), 1, 0, 2, if(ISBLANK('2025'!$P143), 0, 1), 3, if(ISBLANK('2025'!$Q143), 0, 1), 4, if(ISBLANK('2025'!$R143), 0, 1), 5, if(ISBLANK('2025'!$S143), 0, 1), 6, if(ISBLANK('2025'!$T143), 0, 1), 7, 0))), 1, "")</f>
        <v/>
      </c>
      <c r="U145" s="1" t="str">
        <f>IF(AND(AND(AND(U$4&gt;='2025'!$L143,U$4&lt;='2025'!$M143), U$4&lt;&gt;DATE(2025,7,4)), (SWITCH(weekday(U$4), 1, 0, 2, if(ISBLANK('2025'!$P143), 0, 1), 3, if(ISBLANK('2025'!$Q143), 0, 1), 4, if(ISBLANK('2025'!$R143), 0, 1), 5, if(ISBLANK('2025'!$S143), 0, 1), 6, if(ISBLANK('2025'!$T143), 0, 1), 7, 0))), 1, "")</f>
        <v/>
      </c>
      <c r="V145" s="1" t="str">
        <f>IF(AND(AND(AND(V$4&gt;='2025'!$L143,V$4&lt;='2025'!$M143), V$4&lt;&gt;DATE(2025,7,4)), (SWITCH(weekday(V$4), 1, 0, 2, if(ISBLANK('2025'!$P143), 0, 1), 3, if(ISBLANK('2025'!$Q143), 0, 1), 4, if(ISBLANK('2025'!$R143), 0, 1), 5, if(ISBLANK('2025'!$S143), 0, 1), 6, if(ISBLANK('2025'!$T143), 0, 1), 7, 0))), 1, "")</f>
        <v/>
      </c>
      <c r="W145" s="1" t="str">
        <f>IF(AND(AND(AND(W$4&gt;='2025'!$L143,W$4&lt;='2025'!$M143), W$4&lt;&gt;DATE(2025,7,4)), (SWITCH(weekday(W$4), 1, 0, 2, if(ISBLANK('2025'!$P143), 0, 1), 3, if(ISBLANK('2025'!$Q143), 0, 1), 4, if(ISBLANK('2025'!$R143), 0, 1), 5, if(ISBLANK('2025'!$S143), 0, 1), 6, if(ISBLANK('2025'!$T143), 0, 1), 7, 0))), 1, "")</f>
        <v/>
      </c>
      <c r="X145" s="1" t="str">
        <f>IF(AND(AND(AND(X$4&gt;='2025'!$L143,X$4&lt;='2025'!$M143), X$4&lt;&gt;DATE(2025,7,4)), (SWITCH(weekday(X$4), 1, 0, 2, if(ISBLANK('2025'!$P143), 0, 1), 3, if(ISBLANK('2025'!$Q143), 0, 1), 4, if(ISBLANK('2025'!$R143), 0, 1), 5, if(ISBLANK('2025'!$S143), 0, 1), 6, if(ISBLANK('2025'!$T143), 0, 1), 7, 0))), 1, "")</f>
        <v/>
      </c>
      <c r="Y145" s="1" t="str">
        <f>IF(AND(AND(AND(Y$4&gt;='2025'!$L143,Y$4&lt;='2025'!$M143), Y$4&lt;&gt;DATE(2025,7,4)), (SWITCH(weekday(Y$4), 1, 0, 2, if(ISBLANK('2025'!$P143), 0, 1), 3, if(ISBLANK('2025'!$Q143), 0, 1), 4, if(ISBLANK('2025'!$R143), 0, 1), 5, if(ISBLANK('2025'!$S143), 0, 1), 6, if(ISBLANK('2025'!$T143), 0, 1), 7, 0))), 1, "")</f>
        <v/>
      </c>
      <c r="Z145" s="1" t="str">
        <f>IF(AND(AND(AND(Z$4&gt;='2025'!$L143,Z$4&lt;='2025'!$M143), Z$4&lt;&gt;DATE(2025,7,4)), (SWITCH(weekday(Z$4), 1, 0, 2, if(ISBLANK('2025'!$P143), 0, 1), 3, if(ISBLANK('2025'!$Q143), 0, 1), 4, if(ISBLANK('2025'!$R143), 0, 1), 5, if(ISBLANK('2025'!$S143), 0, 1), 6, if(ISBLANK('2025'!$T143), 0, 1), 7, 0))), 1, "")</f>
        <v/>
      </c>
      <c r="AA145" s="1" t="str">
        <f>IF(AND(AND(AND(AA$4&gt;='2025'!$L143,AA$4&lt;='2025'!$M143), AA$4&lt;&gt;DATE(2025,7,4)), (SWITCH(weekday(AA$4), 1, 0, 2, if(ISBLANK('2025'!$P143), 0, 1), 3, if(ISBLANK('2025'!$Q143), 0, 1), 4, if(ISBLANK('2025'!$R143), 0, 1), 5, if(ISBLANK('2025'!$S143), 0, 1), 6, if(ISBLANK('2025'!$T143), 0, 1), 7, 0))), 1, "")</f>
        <v/>
      </c>
      <c r="AB145" s="1" t="str">
        <f>IF(AND(AND(AND(AB$4&gt;='2025'!$L143,AB$4&lt;='2025'!$M143), AB$4&lt;&gt;DATE(2025,7,4)), (SWITCH(weekday(AB$4), 1, 0, 2, if(ISBLANK('2025'!$P143), 0, 1), 3, if(ISBLANK('2025'!$Q143), 0, 1), 4, if(ISBLANK('2025'!$R143), 0, 1), 5, if(ISBLANK('2025'!$S143), 0, 1), 6, if(ISBLANK('2025'!$T143), 0, 1), 7, 0))), 1, "")</f>
        <v/>
      </c>
      <c r="AC145" s="1" t="str">
        <f>IF(AND(AND(AND(AC$4&gt;='2025'!$L143,AC$4&lt;='2025'!$M143), AC$4&lt;&gt;DATE(2025,7,4)), (SWITCH(weekday(AC$4), 1, 0, 2, if(ISBLANK('2025'!$P143), 0, 1), 3, if(ISBLANK('2025'!$Q143), 0, 1), 4, if(ISBLANK('2025'!$R143), 0, 1), 5, if(ISBLANK('2025'!$S143), 0, 1), 6, if(ISBLANK('2025'!$T143), 0, 1), 7, 0))), 1, "")</f>
        <v/>
      </c>
      <c r="AD145" s="1" t="str">
        <f>IF(AND(AND(AND(AD$4&gt;='2025'!$L143,AD$4&lt;='2025'!$M143), AD$4&lt;&gt;DATE(2025,7,4)), (SWITCH(weekday(AD$4), 1, 0, 2, if(ISBLANK('2025'!$P143), 0, 1), 3, if(ISBLANK('2025'!$Q143), 0, 1), 4, if(ISBLANK('2025'!$R143), 0, 1), 5, if(ISBLANK('2025'!$S143), 0, 1), 6, if(ISBLANK('2025'!$T143), 0, 1), 7, 0))), 1, "")</f>
        <v/>
      </c>
      <c r="AE145" s="1" t="str">
        <f>IF(AND(AND(AND(AE$4&gt;='2025'!$L143,AE$4&lt;='2025'!$M143), AE$4&lt;&gt;DATE(2025,7,4)), (SWITCH(weekday(AE$4), 1, 0, 2, if(ISBLANK('2025'!$P143), 0, 1), 3, if(ISBLANK('2025'!$Q143), 0, 1), 4, if(ISBLANK('2025'!$R143), 0, 1), 5, if(ISBLANK('2025'!$S143), 0, 1), 6, if(ISBLANK('2025'!$T143), 0, 1), 7, 0))), 1, "")</f>
        <v/>
      </c>
      <c r="AF145" s="1" t="str">
        <f>IF(AND(AND(AND(AF$4&gt;='2025'!$L143,AF$4&lt;='2025'!$M143), AF$4&lt;&gt;DATE(2025,7,4)), (SWITCH(weekday(AF$4), 1, 0, 2, if(ISBLANK('2025'!$P143), 0, 1), 3, if(ISBLANK('2025'!$Q143), 0, 1), 4, if(ISBLANK('2025'!$R143), 0, 1), 5, if(ISBLANK('2025'!$S143), 0, 1), 6, if(ISBLANK('2025'!$T143), 0, 1), 7, 0))), 1, "")</f>
        <v/>
      </c>
      <c r="AG145" s="1" t="str">
        <f>IF(AND(AND(AND(AG$4&gt;='2025'!$L143,AG$4&lt;='2025'!$M143), AG$4&lt;&gt;DATE(2025,7,4)), (SWITCH(weekday(AG$4), 1, 0, 2, if(ISBLANK('2025'!$P143), 0, 1), 3, if(ISBLANK('2025'!$Q143), 0, 1), 4, if(ISBLANK('2025'!$R143), 0, 1), 5, if(ISBLANK('2025'!$S143), 0, 1), 6, if(ISBLANK('2025'!$T143), 0, 1), 7, 0))), 1, "")</f>
        <v/>
      </c>
      <c r="AH145" s="1" t="str">
        <f>IF(AND(AND(AND(AH$4&gt;='2025'!$L143,AH$4&lt;='2025'!$M143), AH$4&lt;&gt;DATE(2025,7,4)), (SWITCH(weekday(AH$4), 1, 0, 2, if(ISBLANK('2025'!$P143), 0, 1), 3, if(ISBLANK('2025'!$Q143), 0, 1), 4, if(ISBLANK('2025'!$R143), 0, 1), 5, if(ISBLANK('2025'!$S143), 0, 1), 6, if(ISBLANK('2025'!$T143), 0, 1), 7, 0))), 1, "")</f>
        <v/>
      </c>
      <c r="AI145" s="1" t="str">
        <f>IF(AND(AND(AND(AI$4&gt;='2025'!$L143,AI$4&lt;='2025'!$M143), AI$4&lt;&gt;DATE(2025,7,4)), (SWITCH(weekday(AI$4), 1, 0, 2, if(ISBLANK('2025'!$P143), 0, 1), 3, if(ISBLANK('2025'!$Q143), 0, 1), 4, if(ISBLANK('2025'!$R143), 0, 1), 5, if(ISBLANK('2025'!$S143), 0, 1), 6, if(ISBLANK('2025'!$T143), 0, 1), 7, 0))), 1, "")</f>
        <v/>
      </c>
      <c r="AJ145" s="1" t="str">
        <f>IF(AND(AND(AND(AJ$4&gt;='2025'!$L143,AJ$4&lt;='2025'!$M143), AJ$4&lt;&gt;DATE(2025,7,4)), (SWITCH(weekday(AJ$4), 1, 0, 2, if(ISBLANK('2025'!$P143), 0, 1), 3, if(ISBLANK('2025'!$Q143), 0, 1), 4, if(ISBLANK('2025'!$R143), 0, 1), 5, if(ISBLANK('2025'!$S143), 0, 1), 6, if(ISBLANK('2025'!$T143), 0, 1), 7, 0))), 1, "")</f>
        <v/>
      </c>
      <c r="AK145" s="1" t="str">
        <f>IF(AND(AND(AND(AK$4&gt;='2025'!$L143,AK$4&lt;='2025'!$M143), AK$4&lt;&gt;DATE(2025,7,4)), (SWITCH(weekday(AK$4), 1, 0, 2, if(ISBLANK('2025'!$P143), 0, 1), 3, if(ISBLANK('2025'!$Q143), 0, 1), 4, if(ISBLANK('2025'!$R143), 0, 1), 5, if(ISBLANK('2025'!$S143), 0, 1), 6, if(ISBLANK('2025'!$T143), 0, 1), 7, 0))), 1, "")</f>
        <v/>
      </c>
      <c r="AL145" s="1" t="str">
        <f>IF(AND(AND(AND(AL$4&gt;='2025'!$L143,AL$4&lt;='2025'!$M143), AL$4&lt;&gt;DATE(2025,7,4)), (SWITCH(weekday(AL$4), 1, 0, 2, if(ISBLANK('2025'!$P143), 0, 1), 3, if(ISBLANK('2025'!$Q143), 0, 1), 4, if(ISBLANK('2025'!$R143), 0, 1), 5, if(ISBLANK('2025'!$S143), 0, 1), 6, if(ISBLANK('2025'!$T143), 0, 1), 7, 0))), 1, "")</f>
        <v/>
      </c>
      <c r="AM145" s="1" t="str">
        <f>IF(AND(AND(AND(AM$4&gt;='2025'!$L143,AM$4&lt;='2025'!$M143), AM$4&lt;&gt;DATE(2025,7,4)), (SWITCH(weekday(AM$4), 1, 0, 2, if(ISBLANK('2025'!$P143), 0, 1), 3, if(ISBLANK('2025'!$Q143), 0, 1), 4, if(ISBLANK('2025'!$R143), 0, 1), 5, if(ISBLANK('2025'!$S143), 0, 1), 6, if(ISBLANK('2025'!$T143), 0, 1), 7, 0))), 1, "")</f>
        <v/>
      </c>
      <c r="AN145" s="1" t="str">
        <f>IF(AND(AND(AND(AN$4&gt;='2025'!$L143,AN$4&lt;='2025'!$M143), AN$4&lt;&gt;DATE(2025,7,4)), (SWITCH(weekday(AN$4), 1, 0, 2, if(ISBLANK('2025'!$P143), 0, 1), 3, if(ISBLANK('2025'!$Q143), 0, 1), 4, if(ISBLANK('2025'!$R143), 0, 1), 5, if(ISBLANK('2025'!$S143), 0, 1), 6, if(ISBLANK('2025'!$T143), 0, 1), 7, 0))), 1, "")</f>
        <v/>
      </c>
      <c r="AO145" s="1" t="str">
        <f>IF(AND(AND(AND(AO$4&gt;='2025'!$L143,AO$4&lt;='2025'!$M143), AO$4&lt;&gt;DATE(2025,7,4)), (SWITCH(weekday(AO$4), 1, 0, 2, if(ISBLANK('2025'!$P143), 0, 1), 3, if(ISBLANK('2025'!$Q143), 0, 1), 4, if(ISBLANK('2025'!$R143), 0, 1), 5, if(ISBLANK('2025'!$S143), 0, 1), 6, if(ISBLANK('2025'!$T143), 0, 1), 7, 0))), 1, "")</f>
        <v/>
      </c>
      <c r="AP145" s="1" t="str">
        <f>IF(AND(AND(AND(AP$4&gt;='2025'!$L143,AP$4&lt;='2025'!$M143), AP$4&lt;&gt;DATE(2025,7,4)), (SWITCH(weekday(AP$4), 1, 0, 2, if(ISBLANK('2025'!$P143), 0, 1), 3, if(ISBLANK('2025'!$Q143), 0, 1), 4, if(ISBLANK('2025'!$R143), 0, 1), 5, if(ISBLANK('2025'!$S143), 0, 1), 6, if(ISBLANK('2025'!$T143), 0, 1), 7, 0))), 1, "")</f>
        <v/>
      </c>
      <c r="AQ145" s="1" t="str">
        <f>IF(AND(AND(AND(AQ$4&gt;='2025'!$L143,AQ$4&lt;='2025'!$M143), AQ$4&lt;&gt;DATE(2025,7,4)), (SWITCH(weekday(AQ$4), 1, 0, 2, if(ISBLANK('2025'!$P143), 0, 1), 3, if(ISBLANK('2025'!$Q143), 0, 1), 4, if(ISBLANK('2025'!$R143), 0, 1), 5, if(ISBLANK('2025'!$S143), 0, 1), 6, if(ISBLANK('2025'!$T143), 0, 1), 7, 0))), 1, "")</f>
        <v/>
      </c>
      <c r="AR145" s="1" t="str">
        <f>IF(AND(AND(AND(AR$4&gt;='2025'!$L143,AR$4&lt;='2025'!$M143), AR$4&lt;&gt;DATE(2025,7,4)), (SWITCH(weekday(AR$4), 1, 0, 2, if(ISBLANK('2025'!$P143), 0, 1), 3, if(ISBLANK('2025'!$Q143), 0, 1), 4, if(ISBLANK('2025'!$R143), 0, 1), 5, if(ISBLANK('2025'!$S143), 0, 1), 6, if(ISBLANK('2025'!$T143), 0, 1), 7, 0))), 1, "")</f>
        <v/>
      </c>
      <c r="AS145" s="1" t="str">
        <f>IF(AND(AND(AND(AS$4&gt;='2025'!$L143,AS$4&lt;='2025'!$M143), AS$4&lt;&gt;DATE(2025,7,4)), (SWITCH(weekday(AS$4), 1, 0, 2, if(ISBLANK('2025'!$P143), 0, 1), 3, if(ISBLANK('2025'!$Q143), 0, 1), 4, if(ISBLANK('2025'!$R143), 0, 1), 5, if(ISBLANK('2025'!$S143), 0, 1), 6, if(ISBLANK('2025'!$T143), 0, 1), 7, 0))), 1, "")</f>
        <v/>
      </c>
      <c r="AT145" s="1" t="str">
        <f>IF(AND(AND(AND(AT$4&gt;='2025'!$L143,AT$4&lt;='2025'!$M143), AT$4&lt;&gt;DATE(2025,7,4)), (SWITCH(weekday(AT$4), 1, 0, 2, if(ISBLANK('2025'!$P143), 0, 1), 3, if(ISBLANK('2025'!$Q143), 0, 1), 4, if(ISBLANK('2025'!$R143), 0, 1), 5, if(ISBLANK('2025'!$S143), 0, 1), 6, if(ISBLANK('2025'!$T143), 0, 1), 7, 0))), 1, "")</f>
        <v/>
      </c>
      <c r="AU145" s="1" t="str">
        <f>IF(AND(AND(AND(AU$4&gt;='2025'!$L143,AU$4&lt;='2025'!$M143), AU$4&lt;&gt;DATE(2025,7,4)), (SWITCH(weekday(AU$4), 1, 0, 2, if(ISBLANK('2025'!$P143), 0, 1), 3, if(ISBLANK('2025'!$Q143), 0, 1), 4, if(ISBLANK('2025'!$R143), 0, 1), 5, if(ISBLANK('2025'!$S143), 0, 1), 6, if(ISBLANK('2025'!$T143), 0, 1), 7, 0))), 1, "")</f>
        <v/>
      </c>
      <c r="AV145" s="1" t="str">
        <f>IF(AND(AND(AND(AV$4&gt;='2025'!$L143,AV$4&lt;='2025'!$M143), AV$4&lt;&gt;DATE(2025,7,4)), (SWITCH(weekday(AV$4), 1, 0, 2, if(ISBLANK('2025'!$P143), 0, 1), 3, if(ISBLANK('2025'!$Q143), 0, 1), 4, if(ISBLANK('2025'!$R143), 0, 1), 5, if(ISBLANK('2025'!$S143), 0, 1), 6, if(ISBLANK('2025'!$T143), 0, 1), 7, 0))), 1, "")</f>
        <v/>
      </c>
      <c r="AW145" s="1" t="str">
        <f>IF(AND(AND(AND(AW$4&gt;='2025'!$L143,AW$4&lt;='2025'!$M143), AW$4&lt;&gt;DATE(2025,7,4)), (SWITCH(weekday(AW$4), 1, 0, 2, if(ISBLANK('2025'!$P143), 0, 1), 3, if(ISBLANK('2025'!$Q143), 0, 1), 4, if(ISBLANK('2025'!$R143), 0, 1), 5, if(ISBLANK('2025'!$S143), 0, 1), 6, if(ISBLANK('2025'!$T143), 0, 1), 7, 0))), 1, "")</f>
        <v/>
      </c>
      <c r="AX145" s="1" t="str">
        <f>IF(AND(AND(AND(AX$4&gt;='2025'!$L143,AX$4&lt;='2025'!$M143), AX$4&lt;&gt;DATE(2025,7,4)), (SWITCH(weekday(AX$4), 1, 0, 2, if(ISBLANK('2025'!$P143), 0, 1), 3, if(ISBLANK('2025'!$Q143), 0, 1), 4, if(ISBLANK('2025'!$R143), 0, 1), 5, if(ISBLANK('2025'!$S143), 0, 1), 6, if(ISBLANK('2025'!$T143), 0, 1), 7, 0))), 1, "")</f>
        <v/>
      </c>
      <c r="AY145" s="1" t="str">
        <f>IF(AND(AND(AND(AY$4&gt;='2025'!$L143,AY$4&lt;='2025'!$M143), AY$4&lt;&gt;DATE(2025,7,4)), (SWITCH(weekday(AY$4), 1, 0, 2, if(ISBLANK('2025'!$P143), 0, 1), 3, if(ISBLANK('2025'!$Q143), 0, 1), 4, if(ISBLANK('2025'!$R143), 0, 1), 5, if(ISBLANK('2025'!$S143), 0, 1), 6, if(ISBLANK('2025'!$T143), 0, 1), 7, 0))), 1, "")</f>
        <v/>
      </c>
      <c r="AZ145" s="1" t="str">
        <f>IF(AND(AND(AND(AZ$4&gt;='2025'!$L143,AZ$4&lt;='2025'!$M143), AZ$4&lt;&gt;DATE(2025,7,4)), (SWITCH(weekday(AZ$4), 1, 0, 2, if(ISBLANK('2025'!$P143), 0, 1), 3, if(ISBLANK('2025'!$Q143), 0, 1), 4, if(ISBLANK('2025'!$R143), 0, 1), 5, if(ISBLANK('2025'!$S143), 0, 1), 6, if(ISBLANK('2025'!$T143), 0, 1), 7, 0))), 1, "")</f>
        <v/>
      </c>
      <c r="BA145" s="1" t="str">
        <f>IF(AND(AND(AND(BA$4&gt;='2025'!$L143,BA$4&lt;='2025'!$M143), BA$4&lt;&gt;DATE(2025,7,4)), (SWITCH(weekday(BA$4), 1, 0, 2, if(ISBLANK('2025'!$P143), 0, 1), 3, if(ISBLANK('2025'!$Q143), 0, 1), 4, if(ISBLANK('2025'!$R143), 0, 1), 5, if(ISBLANK('2025'!$S143), 0, 1), 6, if(ISBLANK('2025'!$T143), 0, 1), 7, 0))), 1, "")</f>
        <v/>
      </c>
      <c r="BB145" s="1" t="str">
        <f>IF(AND(AND(AND(BB$4&gt;='2025'!$L143,BB$4&lt;='2025'!$M143), BB$4&lt;&gt;DATE(2025,7,4)), (SWITCH(weekday(BB$4), 1, 0, 2, if(ISBLANK('2025'!$P143), 0, 1), 3, if(ISBLANK('2025'!$Q143), 0, 1), 4, if(ISBLANK('2025'!$R143), 0, 1), 5, if(ISBLANK('2025'!$S143), 0, 1), 6, if(ISBLANK('2025'!$T143), 0, 1), 7, 0))), 1, "")</f>
        <v/>
      </c>
      <c r="BC145" s="1" t="str">
        <f>IF(AND(AND(AND(BC$4&gt;='2025'!$L143,BC$4&lt;='2025'!$M143), BC$4&lt;&gt;DATE(2025,7,4)), (SWITCH(weekday(BC$4), 1, 0, 2, if(ISBLANK('2025'!$P143), 0, 1), 3, if(ISBLANK('2025'!$Q143), 0, 1), 4, if(ISBLANK('2025'!$R143), 0, 1), 5, if(ISBLANK('2025'!$S143), 0, 1), 6, if(ISBLANK('2025'!$T143), 0, 1), 7, 0))), 1, "")</f>
        <v/>
      </c>
      <c r="BD145" s="1" t="str">
        <f>IF(AND(AND(AND(BD$4&gt;='2025'!$L143,BD$4&lt;='2025'!$M143), BD$4&lt;&gt;DATE(2025,7,4)), (SWITCH(weekday(BD$4), 1, 0, 2, if(ISBLANK('2025'!$P143), 0, 1), 3, if(ISBLANK('2025'!$Q143), 0, 1), 4, if(ISBLANK('2025'!$R143), 0, 1), 5, if(ISBLANK('2025'!$S143), 0, 1), 6, if(ISBLANK('2025'!$T143), 0, 1), 7, 0))), 1, "")</f>
        <v/>
      </c>
      <c r="BE145" s="1" t="str">
        <f>IF(AND(AND(AND(BE$4&gt;='2025'!$L143,BE$4&lt;='2025'!$M143), BE$4&lt;&gt;DATE(2025,7,4)), (SWITCH(weekday(BE$4), 1, 0, 2, if(ISBLANK('2025'!$P143), 0, 1), 3, if(ISBLANK('2025'!$Q143), 0, 1), 4, if(ISBLANK('2025'!$R143), 0, 1), 5, if(ISBLANK('2025'!$S143), 0, 1), 6, if(ISBLANK('2025'!$T143), 0, 1), 7, 0))), 1, "")</f>
        <v/>
      </c>
      <c r="BF145" s="1" t="str">
        <f>IF(AND(AND(AND(BF$4&gt;='2025'!$L143,BF$4&lt;='2025'!$M143), BF$4&lt;&gt;DATE(2025,7,4)), (SWITCH(weekday(BF$4), 1, 0, 2, if(ISBLANK('2025'!$P143), 0, 1), 3, if(ISBLANK('2025'!$Q143), 0, 1), 4, if(ISBLANK('2025'!$R143), 0, 1), 5, if(ISBLANK('2025'!$S143), 0, 1), 6, if(ISBLANK('2025'!$T143), 0, 1), 7, 0))), 1, "")</f>
        <v/>
      </c>
      <c r="BG145" s="1"/>
      <c r="BH145" s="1"/>
      <c r="BI145" s="1"/>
      <c r="BJ145" s="1"/>
      <c r="BK145" s="1"/>
      <c r="BL145" s="1"/>
    </row>
    <row r="146">
      <c r="A146" s="1">
        <f t="shared" si="3"/>
        <v>146</v>
      </c>
      <c r="B146" s="1" t="str">
        <f>'2025'!D110</f>
        <v>, </v>
      </c>
      <c r="C146" s="1" t="str">
        <f>'2025'!H110</f>
        <v/>
      </c>
      <c r="D146" s="1" t="str">
        <f>IF(AND(AND(AND(D$4&gt;='2025'!$L144,D$4&lt;='2025'!$M144), D$4&lt;&gt;DATE(2025,7,4)), (SWITCH(weekday(D$4), 1, 0, 2, if(ISBLANK('2025'!$P144), 0, 1), 3, if(ISBLANK('2025'!$Q144), 0, 1), 4, if(ISBLANK('2025'!$R144), 0, 1), 5, if(ISBLANK('2025'!$S144), 0, 1), 6, if(ISBLANK('2025'!$T144), 0, 1), 7, 0))), 1, "")</f>
        <v/>
      </c>
      <c r="E146" s="1" t="str">
        <f>IF(AND(AND(AND(E$4&gt;='2025'!$L144,E$4&lt;='2025'!$M144), E$4&lt;&gt;DATE(2025,7,4)), (SWITCH(weekday(E$4), 1, 0, 2, if(ISBLANK('2025'!$P144), 0, 1), 3, if(ISBLANK('2025'!$Q144), 0, 1), 4, if(ISBLANK('2025'!$R144), 0, 1), 5, if(ISBLANK('2025'!$S144), 0, 1), 6, if(ISBLANK('2025'!$T144), 0, 1), 7, 0))), 1, "")</f>
        <v/>
      </c>
      <c r="F146" s="1" t="str">
        <f>IF(AND(AND(AND(F$4&gt;='2025'!$L144,F$4&lt;='2025'!$M144), F$4&lt;&gt;DATE(2025,7,4)), (SWITCH(weekday(F$4), 1, 0, 2, if(ISBLANK('2025'!$P144), 0, 1), 3, if(ISBLANK('2025'!$Q144), 0, 1), 4, if(ISBLANK('2025'!$R144), 0, 1), 5, if(ISBLANK('2025'!$S144), 0, 1), 6, if(ISBLANK('2025'!$T144), 0, 1), 7, 0))), 1, "")</f>
        <v/>
      </c>
      <c r="G146" s="1" t="str">
        <f>IF(AND(AND(AND(G$4&gt;='2025'!$L144,G$4&lt;='2025'!$M144), G$4&lt;&gt;DATE(2025,7,4)), (SWITCH(weekday(G$4), 1, 0, 2, if(ISBLANK('2025'!$P144), 0, 1), 3, if(ISBLANK('2025'!$Q144), 0, 1), 4, if(ISBLANK('2025'!$R144), 0, 1), 5, if(ISBLANK('2025'!$S144), 0, 1), 6, if(ISBLANK('2025'!$T144), 0, 1), 7, 0))), 1, "")</f>
        <v/>
      </c>
      <c r="H146" s="1" t="str">
        <f>IF(AND(AND(AND(H$4&gt;='2025'!$L144,H$4&lt;='2025'!$M144), H$4&lt;&gt;DATE(2025,7,4)), (SWITCH(weekday(H$4), 1, 0, 2, if(ISBLANK('2025'!$P144), 0, 1), 3, if(ISBLANK('2025'!$Q144), 0, 1), 4, if(ISBLANK('2025'!$R144), 0, 1), 5, if(ISBLANK('2025'!$S144), 0, 1), 6, if(ISBLANK('2025'!$T144), 0, 1), 7, 0))), 1, "")</f>
        <v/>
      </c>
      <c r="I146" s="1" t="str">
        <f>IF(AND(AND(AND(I$4&gt;='2025'!$L144,I$4&lt;='2025'!$M144), I$4&lt;&gt;DATE(2025,7,4)), (SWITCH(weekday(I$4), 1, 0, 2, if(ISBLANK('2025'!$P144), 0, 1), 3, if(ISBLANK('2025'!$Q144), 0, 1), 4, if(ISBLANK('2025'!$R144), 0, 1), 5, if(ISBLANK('2025'!$S144), 0, 1), 6, if(ISBLANK('2025'!$T144), 0, 1), 7, 0))), 1, "")</f>
        <v/>
      </c>
      <c r="J146" s="1" t="str">
        <f>IF(AND(AND(AND(J$4&gt;='2025'!$L144,J$4&lt;='2025'!$M144), J$4&lt;&gt;DATE(2025,7,4)), (SWITCH(weekday(J$4), 1, 0, 2, if(ISBLANK('2025'!$P144), 0, 1), 3, if(ISBLANK('2025'!$Q144), 0, 1), 4, if(ISBLANK('2025'!$R144), 0, 1), 5, if(ISBLANK('2025'!$S144), 0, 1), 6, if(ISBLANK('2025'!$T144), 0, 1), 7, 0))), 1, "")</f>
        <v/>
      </c>
      <c r="K146" s="1" t="str">
        <f>IF(AND(AND(AND(K$4&gt;='2025'!$L144,K$4&lt;='2025'!$M144), K$4&lt;&gt;DATE(2025,7,4)), (SWITCH(weekday(K$4), 1, 0, 2, if(ISBLANK('2025'!$P144), 0, 1), 3, if(ISBLANK('2025'!$Q144), 0, 1), 4, if(ISBLANK('2025'!$R144), 0, 1), 5, if(ISBLANK('2025'!$S144), 0, 1), 6, if(ISBLANK('2025'!$T144), 0, 1), 7, 0))), 1, "")</f>
        <v/>
      </c>
      <c r="L146" s="1" t="str">
        <f>IF(AND(AND(AND(L$4&gt;='2025'!$L144,L$4&lt;='2025'!$M144), L$4&lt;&gt;DATE(2025,7,4)), (SWITCH(weekday(L$4), 1, 0, 2, if(ISBLANK('2025'!$P144), 0, 1), 3, if(ISBLANK('2025'!$Q144), 0, 1), 4, if(ISBLANK('2025'!$R144), 0, 1), 5, if(ISBLANK('2025'!$S144), 0, 1), 6, if(ISBLANK('2025'!$T144), 0, 1), 7, 0))), 1, "")</f>
        <v/>
      </c>
      <c r="M146" s="1" t="str">
        <f>IF(AND(AND(AND(M$4&gt;='2025'!$L144,M$4&lt;='2025'!$M144), M$4&lt;&gt;DATE(2025,7,4)), (SWITCH(weekday(M$4), 1, 0, 2, if(ISBLANK('2025'!$P144), 0, 1), 3, if(ISBLANK('2025'!$Q144), 0, 1), 4, if(ISBLANK('2025'!$R144), 0, 1), 5, if(ISBLANK('2025'!$S144), 0, 1), 6, if(ISBLANK('2025'!$T144), 0, 1), 7, 0))), 1, "")</f>
        <v/>
      </c>
      <c r="N146" s="1" t="str">
        <f>IF(AND(AND(AND(N$4&gt;='2025'!$L144,N$4&lt;='2025'!$M144), N$4&lt;&gt;DATE(2025,7,4)), (SWITCH(weekday(N$4), 1, 0, 2, if(ISBLANK('2025'!$P144), 0, 1), 3, if(ISBLANK('2025'!$Q144), 0, 1), 4, if(ISBLANK('2025'!$R144), 0, 1), 5, if(ISBLANK('2025'!$S144), 0, 1), 6, if(ISBLANK('2025'!$T144), 0, 1), 7, 0))), 1, "")</f>
        <v/>
      </c>
      <c r="O146" s="1" t="str">
        <f>IF(AND(AND(AND(O$4&gt;='2025'!$L144,O$4&lt;='2025'!$M144), O$4&lt;&gt;DATE(2025,7,4)), (SWITCH(weekday(O$4), 1, 0, 2, if(ISBLANK('2025'!$P144), 0, 1), 3, if(ISBLANK('2025'!$Q144), 0, 1), 4, if(ISBLANK('2025'!$R144), 0, 1), 5, if(ISBLANK('2025'!$S144), 0, 1), 6, if(ISBLANK('2025'!$T144), 0, 1), 7, 0))), 1, "")</f>
        <v/>
      </c>
      <c r="P146" s="1" t="str">
        <f>IF(AND(AND(AND(P$4&gt;='2025'!$L144,P$4&lt;='2025'!$M144), P$4&lt;&gt;DATE(2025,7,4)), (SWITCH(weekday(P$4), 1, 0, 2, if(ISBLANK('2025'!$P144), 0, 1), 3, if(ISBLANK('2025'!$Q144), 0, 1), 4, if(ISBLANK('2025'!$R144), 0, 1), 5, if(ISBLANK('2025'!$S144), 0, 1), 6, if(ISBLANK('2025'!$T144), 0, 1), 7, 0))), 1, "")</f>
        <v/>
      </c>
      <c r="Q146" s="1" t="str">
        <f>IF(AND(AND(AND(Q$4&gt;='2025'!$L144,Q$4&lt;='2025'!$M144), Q$4&lt;&gt;DATE(2025,7,4)), (SWITCH(weekday(Q$4), 1, 0, 2, if(ISBLANK('2025'!$P144), 0, 1), 3, if(ISBLANK('2025'!$Q144), 0, 1), 4, if(ISBLANK('2025'!$R144), 0, 1), 5, if(ISBLANK('2025'!$S144), 0, 1), 6, if(ISBLANK('2025'!$T144), 0, 1), 7, 0))), 1, "")</f>
        <v/>
      </c>
      <c r="R146" s="1" t="str">
        <f>IF(AND(AND(AND(R$4&gt;='2025'!$L144,R$4&lt;='2025'!$M144), R$4&lt;&gt;DATE(2025,7,4)), (SWITCH(weekday(R$4), 1, 0, 2, if(ISBLANK('2025'!$P144), 0, 1), 3, if(ISBLANK('2025'!$Q144), 0, 1), 4, if(ISBLANK('2025'!$R144), 0, 1), 5, if(ISBLANK('2025'!$S144), 0, 1), 6, if(ISBLANK('2025'!$T144), 0, 1), 7, 0))), 1, "")</f>
        <v/>
      </c>
      <c r="S146" s="1" t="str">
        <f>IF(AND(AND(AND(S$4&gt;='2025'!$L144,S$4&lt;='2025'!$M144), S$4&lt;&gt;DATE(2025,7,4)), (SWITCH(weekday(S$4), 1, 0, 2, if(ISBLANK('2025'!$P144), 0, 1), 3, if(ISBLANK('2025'!$Q144), 0, 1), 4, if(ISBLANK('2025'!$R144), 0, 1), 5, if(ISBLANK('2025'!$S144), 0, 1), 6, if(ISBLANK('2025'!$T144), 0, 1), 7, 0))), 1, "")</f>
        <v/>
      </c>
      <c r="T146" s="1" t="str">
        <f>IF(AND(AND(AND(T$4&gt;='2025'!$L144,T$4&lt;='2025'!$M144), T$4&lt;&gt;DATE(2025,7,4)), (SWITCH(weekday(T$4), 1, 0, 2, if(ISBLANK('2025'!$P144), 0, 1), 3, if(ISBLANK('2025'!$Q144), 0, 1), 4, if(ISBLANK('2025'!$R144), 0, 1), 5, if(ISBLANK('2025'!$S144), 0, 1), 6, if(ISBLANK('2025'!$T144), 0, 1), 7, 0))), 1, "")</f>
        <v/>
      </c>
      <c r="U146" s="1" t="str">
        <f>IF(AND(AND(AND(U$4&gt;='2025'!$L144,U$4&lt;='2025'!$M144), U$4&lt;&gt;DATE(2025,7,4)), (SWITCH(weekday(U$4), 1, 0, 2, if(ISBLANK('2025'!$P144), 0, 1), 3, if(ISBLANK('2025'!$Q144), 0, 1), 4, if(ISBLANK('2025'!$R144), 0, 1), 5, if(ISBLANK('2025'!$S144), 0, 1), 6, if(ISBLANK('2025'!$T144), 0, 1), 7, 0))), 1, "")</f>
        <v/>
      </c>
      <c r="V146" s="1" t="str">
        <f>IF(AND(AND(AND(V$4&gt;='2025'!$L144,V$4&lt;='2025'!$M144), V$4&lt;&gt;DATE(2025,7,4)), (SWITCH(weekday(V$4), 1, 0, 2, if(ISBLANK('2025'!$P144), 0, 1), 3, if(ISBLANK('2025'!$Q144), 0, 1), 4, if(ISBLANK('2025'!$R144), 0, 1), 5, if(ISBLANK('2025'!$S144), 0, 1), 6, if(ISBLANK('2025'!$T144), 0, 1), 7, 0))), 1, "")</f>
        <v/>
      </c>
      <c r="W146" s="1" t="str">
        <f>IF(AND(AND(AND(W$4&gt;='2025'!$L144,W$4&lt;='2025'!$M144), W$4&lt;&gt;DATE(2025,7,4)), (SWITCH(weekday(W$4), 1, 0, 2, if(ISBLANK('2025'!$P144), 0, 1), 3, if(ISBLANK('2025'!$Q144), 0, 1), 4, if(ISBLANK('2025'!$R144), 0, 1), 5, if(ISBLANK('2025'!$S144), 0, 1), 6, if(ISBLANK('2025'!$T144), 0, 1), 7, 0))), 1, "")</f>
        <v/>
      </c>
      <c r="X146" s="1" t="str">
        <f>IF(AND(AND(AND(X$4&gt;='2025'!$L144,X$4&lt;='2025'!$M144), X$4&lt;&gt;DATE(2025,7,4)), (SWITCH(weekday(X$4), 1, 0, 2, if(ISBLANK('2025'!$P144), 0, 1), 3, if(ISBLANK('2025'!$Q144), 0, 1), 4, if(ISBLANK('2025'!$R144), 0, 1), 5, if(ISBLANK('2025'!$S144), 0, 1), 6, if(ISBLANK('2025'!$T144), 0, 1), 7, 0))), 1, "")</f>
        <v/>
      </c>
      <c r="Y146" s="1" t="str">
        <f>IF(AND(AND(AND(Y$4&gt;='2025'!$L144,Y$4&lt;='2025'!$M144), Y$4&lt;&gt;DATE(2025,7,4)), (SWITCH(weekday(Y$4), 1, 0, 2, if(ISBLANK('2025'!$P144), 0, 1), 3, if(ISBLANK('2025'!$Q144), 0, 1), 4, if(ISBLANK('2025'!$R144), 0, 1), 5, if(ISBLANK('2025'!$S144), 0, 1), 6, if(ISBLANK('2025'!$T144), 0, 1), 7, 0))), 1, "")</f>
        <v/>
      </c>
      <c r="Z146" s="1" t="str">
        <f>IF(AND(AND(AND(Z$4&gt;='2025'!$L144,Z$4&lt;='2025'!$M144), Z$4&lt;&gt;DATE(2025,7,4)), (SWITCH(weekday(Z$4), 1, 0, 2, if(ISBLANK('2025'!$P144), 0, 1), 3, if(ISBLANK('2025'!$Q144), 0, 1), 4, if(ISBLANK('2025'!$R144), 0, 1), 5, if(ISBLANK('2025'!$S144), 0, 1), 6, if(ISBLANK('2025'!$T144), 0, 1), 7, 0))), 1, "")</f>
        <v/>
      </c>
      <c r="AA146" s="1" t="str">
        <f>IF(AND(AND(AND(AA$4&gt;='2025'!$L144,AA$4&lt;='2025'!$M144), AA$4&lt;&gt;DATE(2025,7,4)), (SWITCH(weekday(AA$4), 1, 0, 2, if(ISBLANK('2025'!$P144), 0, 1), 3, if(ISBLANK('2025'!$Q144), 0, 1), 4, if(ISBLANK('2025'!$R144), 0, 1), 5, if(ISBLANK('2025'!$S144), 0, 1), 6, if(ISBLANK('2025'!$T144), 0, 1), 7, 0))), 1, "")</f>
        <v/>
      </c>
      <c r="AB146" s="1" t="str">
        <f>IF(AND(AND(AND(AB$4&gt;='2025'!$L144,AB$4&lt;='2025'!$M144), AB$4&lt;&gt;DATE(2025,7,4)), (SWITCH(weekday(AB$4), 1, 0, 2, if(ISBLANK('2025'!$P144), 0, 1), 3, if(ISBLANK('2025'!$Q144), 0, 1), 4, if(ISBLANK('2025'!$R144), 0, 1), 5, if(ISBLANK('2025'!$S144), 0, 1), 6, if(ISBLANK('2025'!$T144), 0, 1), 7, 0))), 1, "")</f>
        <v/>
      </c>
      <c r="AC146" s="1" t="str">
        <f>IF(AND(AND(AND(AC$4&gt;='2025'!$L144,AC$4&lt;='2025'!$M144), AC$4&lt;&gt;DATE(2025,7,4)), (SWITCH(weekday(AC$4), 1, 0, 2, if(ISBLANK('2025'!$P144), 0, 1), 3, if(ISBLANK('2025'!$Q144), 0, 1), 4, if(ISBLANK('2025'!$R144), 0, 1), 5, if(ISBLANK('2025'!$S144), 0, 1), 6, if(ISBLANK('2025'!$T144), 0, 1), 7, 0))), 1, "")</f>
        <v/>
      </c>
      <c r="AD146" s="1" t="str">
        <f>IF(AND(AND(AND(AD$4&gt;='2025'!$L144,AD$4&lt;='2025'!$M144), AD$4&lt;&gt;DATE(2025,7,4)), (SWITCH(weekday(AD$4), 1, 0, 2, if(ISBLANK('2025'!$P144), 0, 1), 3, if(ISBLANK('2025'!$Q144), 0, 1), 4, if(ISBLANK('2025'!$R144), 0, 1), 5, if(ISBLANK('2025'!$S144), 0, 1), 6, if(ISBLANK('2025'!$T144), 0, 1), 7, 0))), 1, "")</f>
        <v/>
      </c>
      <c r="AE146" s="1" t="str">
        <f>IF(AND(AND(AND(AE$4&gt;='2025'!$L144,AE$4&lt;='2025'!$M144), AE$4&lt;&gt;DATE(2025,7,4)), (SWITCH(weekday(AE$4), 1, 0, 2, if(ISBLANK('2025'!$P144), 0, 1), 3, if(ISBLANK('2025'!$Q144), 0, 1), 4, if(ISBLANK('2025'!$R144), 0, 1), 5, if(ISBLANK('2025'!$S144), 0, 1), 6, if(ISBLANK('2025'!$T144), 0, 1), 7, 0))), 1, "")</f>
        <v/>
      </c>
      <c r="AF146" s="1" t="str">
        <f>IF(AND(AND(AND(AF$4&gt;='2025'!$L144,AF$4&lt;='2025'!$M144), AF$4&lt;&gt;DATE(2025,7,4)), (SWITCH(weekday(AF$4), 1, 0, 2, if(ISBLANK('2025'!$P144), 0, 1), 3, if(ISBLANK('2025'!$Q144), 0, 1), 4, if(ISBLANK('2025'!$R144), 0, 1), 5, if(ISBLANK('2025'!$S144), 0, 1), 6, if(ISBLANK('2025'!$T144), 0, 1), 7, 0))), 1, "")</f>
        <v/>
      </c>
      <c r="AG146" s="1" t="str">
        <f>IF(AND(AND(AND(AG$4&gt;='2025'!$L144,AG$4&lt;='2025'!$M144), AG$4&lt;&gt;DATE(2025,7,4)), (SWITCH(weekday(AG$4), 1, 0, 2, if(ISBLANK('2025'!$P144), 0, 1), 3, if(ISBLANK('2025'!$Q144), 0, 1), 4, if(ISBLANK('2025'!$R144), 0, 1), 5, if(ISBLANK('2025'!$S144), 0, 1), 6, if(ISBLANK('2025'!$T144), 0, 1), 7, 0))), 1, "")</f>
        <v/>
      </c>
      <c r="AH146" s="1" t="str">
        <f>IF(AND(AND(AND(AH$4&gt;='2025'!$L144,AH$4&lt;='2025'!$M144), AH$4&lt;&gt;DATE(2025,7,4)), (SWITCH(weekday(AH$4), 1, 0, 2, if(ISBLANK('2025'!$P144), 0, 1), 3, if(ISBLANK('2025'!$Q144), 0, 1), 4, if(ISBLANK('2025'!$R144), 0, 1), 5, if(ISBLANK('2025'!$S144), 0, 1), 6, if(ISBLANK('2025'!$T144), 0, 1), 7, 0))), 1, "")</f>
        <v/>
      </c>
      <c r="AI146" s="1" t="str">
        <f>IF(AND(AND(AND(AI$4&gt;='2025'!$L144,AI$4&lt;='2025'!$M144), AI$4&lt;&gt;DATE(2025,7,4)), (SWITCH(weekday(AI$4), 1, 0, 2, if(ISBLANK('2025'!$P144), 0, 1), 3, if(ISBLANK('2025'!$Q144), 0, 1), 4, if(ISBLANK('2025'!$R144), 0, 1), 5, if(ISBLANK('2025'!$S144), 0, 1), 6, if(ISBLANK('2025'!$T144), 0, 1), 7, 0))), 1, "")</f>
        <v/>
      </c>
      <c r="AJ146" s="1" t="str">
        <f>IF(AND(AND(AND(AJ$4&gt;='2025'!$L144,AJ$4&lt;='2025'!$M144), AJ$4&lt;&gt;DATE(2025,7,4)), (SWITCH(weekday(AJ$4), 1, 0, 2, if(ISBLANK('2025'!$P144), 0, 1), 3, if(ISBLANK('2025'!$Q144), 0, 1), 4, if(ISBLANK('2025'!$R144), 0, 1), 5, if(ISBLANK('2025'!$S144), 0, 1), 6, if(ISBLANK('2025'!$T144), 0, 1), 7, 0))), 1, "")</f>
        <v/>
      </c>
      <c r="AK146" s="1" t="str">
        <f>IF(AND(AND(AND(AK$4&gt;='2025'!$L144,AK$4&lt;='2025'!$M144), AK$4&lt;&gt;DATE(2025,7,4)), (SWITCH(weekday(AK$4), 1, 0, 2, if(ISBLANK('2025'!$P144), 0, 1), 3, if(ISBLANK('2025'!$Q144), 0, 1), 4, if(ISBLANK('2025'!$R144), 0, 1), 5, if(ISBLANK('2025'!$S144), 0, 1), 6, if(ISBLANK('2025'!$T144), 0, 1), 7, 0))), 1, "")</f>
        <v/>
      </c>
      <c r="AL146" s="1" t="str">
        <f>IF(AND(AND(AND(AL$4&gt;='2025'!$L144,AL$4&lt;='2025'!$M144), AL$4&lt;&gt;DATE(2025,7,4)), (SWITCH(weekday(AL$4), 1, 0, 2, if(ISBLANK('2025'!$P144), 0, 1), 3, if(ISBLANK('2025'!$Q144), 0, 1), 4, if(ISBLANK('2025'!$R144), 0, 1), 5, if(ISBLANK('2025'!$S144), 0, 1), 6, if(ISBLANK('2025'!$T144), 0, 1), 7, 0))), 1, "")</f>
        <v/>
      </c>
      <c r="AM146" s="1" t="str">
        <f>IF(AND(AND(AND(AM$4&gt;='2025'!$L144,AM$4&lt;='2025'!$M144), AM$4&lt;&gt;DATE(2025,7,4)), (SWITCH(weekday(AM$4), 1, 0, 2, if(ISBLANK('2025'!$P144), 0, 1), 3, if(ISBLANK('2025'!$Q144), 0, 1), 4, if(ISBLANK('2025'!$R144), 0, 1), 5, if(ISBLANK('2025'!$S144), 0, 1), 6, if(ISBLANK('2025'!$T144), 0, 1), 7, 0))), 1, "")</f>
        <v/>
      </c>
      <c r="AN146" s="1" t="str">
        <f>IF(AND(AND(AND(AN$4&gt;='2025'!$L144,AN$4&lt;='2025'!$M144), AN$4&lt;&gt;DATE(2025,7,4)), (SWITCH(weekday(AN$4), 1, 0, 2, if(ISBLANK('2025'!$P144), 0, 1), 3, if(ISBLANK('2025'!$Q144), 0, 1), 4, if(ISBLANK('2025'!$R144), 0, 1), 5, if(ISBLANK('2025'!$S144), 0, 1), 6, if(ISBLANK('2025'!$T144), 0, 1), 7, 0))), 1, "")</f>
        <v/>
      </c>
      <c r="AO146" s="1" t="str">
        <f>IF(AND(AND(AND(AO$4&gt;='2025'!$L144,AO$4&lt;='2025'!$M144), AO$4&lt;&gt;DATE(2025,7,4)), (SWITCH(weekday(AO$4), 1, 0, 2, if(ISBLANK('2025'!$P144), 0, 1), 3, if(ISBLANK('2025'!$Q144), 0, 1), 4, if(ISBLANK('2025'!$R144), 0, 1), 5, if(ISBLANK('2025'!$S144), 0, 1), 6, if(ISBLANK('2025'!$T144), 0, 1), 7, 0))), 1, "")</f>
        <v/>
      </c>
      <c r="AP146" s="1" t="str">
        <f>IF(AND(AND(AND(AP$4&gt;='2025'!$L144,AP$4&lt;='2025'!$M144), AP$4&lt;&gt;DATE(2025,7,4)), (SWITCH(weekday(AP$4), 1, 0, 2, if(ISBLANK('2025'!$P144), 0, 1), 3, if(ISBLANK('2025'!$Q144), 0, 1), 4, if(ISBLANK('2025'!$R144), 0, 1), 5, if(ISBLANK('2025'!$S144), 0, 1), 6, if(ISBLANK('2025'!$T144), 0, 1), 7, 0))), 1, "")</f>
        <v/>
      </c>
      <c r="AQ146" s="1" t="str">
        <f>IF(AND(AND(AND(AQ$4&gt;='2025'!$L144,AQ$4&lt;='2025'!$M144), AQ$4&lt;&gt;DATE(2025,7,4)), (SWITCH(weekday(AQ$4), 1, 0, 2, if(ISBLANK('2025'!$P144), 0, 1), 3, if(ISBLANK('2025'!$Q144), 0, 1), 4, if(ISBLANK('2025'!$R144), 0, 1), 5, if(ISBLANK('2025'!$S144), 0, 1), 6, if(ISBLANK('2025'!$T144), 0, 1), 7, 0))), 1, "")</f>
        <v/>
      </c>
      <c r="AR146" s="1" t="str">
        <f>IF(AND(AND(AND(AR$4&gt;='2025'!$L144,AR$4&lt;='2025'!$M144), AR$4&lt;&gt;DATE(2025,7,4)), (SWITCH(weekday(AR$4), 1, 0, 2, if(ISBLANK('2025'!$P144), 0, 1), 3, if(ISBLANK('2025'!$Q144), 0, 1), 4, if(ISBLANK('2025'!$R144), 0, 1), 5, if(ISBLANK('2025'!$S144), 0, 1), 6, if(ISBLANK('2025'!$T144), 0, 1), 7, 0))), 1, "")</f>
        <v/>
      </c>
      <c r="AS146" s="1" t="str">
        <f>IF(AND(AND(AND(AS$4&gt;='2025'!$L144,AS$4&lt;='2025'!$M144), AS$4&lt;&gt;DATE(2025,7,4)), (SWITCH(weekday(AS$4), 1, 0, 2, if(ISBLANK('2025'!$P144), 0, 1), 3, if(ISBLANK('2025'!$Q144), 0, 1), 4, if(ISBLANK('2025'!$R144), 0, 1), 5, if(ISBLANK('2025'!$S144), 0, 1), 6, if(ISBLANK('2025'!$T144), 0, 1), 7, 0))), 1, "")</f>
        <v/>
      </c>
      <c r="AT146" s="1" t="str">
        <f>IF(AND(AND(AND(AT$4&gt;='2025'!$L144,AT$4&lt;='2025'!$M144), AT$4&lt;&gt;DATE(2025,7,4)), (SWITCH(weekday(AT$4), 1, 0, 2, if(ISBLANK('2025'!$P144), 0, 1), 3, if(ISBLANK('2025'!$Q144), 0, 1), 4, if(ISBLANK('2025'!$R144), 0, 1), 5, if(ISBLANK('2025'!$S144), 0, 1), 6, if(ISBLANK('2025'!$T144), 0, 1), 7, 0))), 1, "")</f>
        <v/>
      </c>
      <c r="AU146" s="1" t="str">
        <f>IF(AND(AND(AND(AU$4&gt;='2025'!$L144,AU$4&lt;='2025'!$M144), AU$4&lt;&gt;DATE(2025,7,4)), (SWITCH(weekday(AU$4), 1, 0, 2, if(ISBLANK('2025'!$P144), 0, 1), 3, if(ISBLANK('2025'!$Q144), 0, 1), 4, if(ISBLANK('2025'!$R144), 0, 1), 5, if(ISBLANK('2025'!$S144), 0, 1), 6, if(ISBLANK('2025'!$T144), 0, 1), 7, 0))), 1, "")</f>
        <v/>
      </c>
      <c r="AV146" s="1" t="str">
        <f>IF(AND(AND(AND(AV$4&gt;='2025'!$L144,AV$4&lt;='2025'!$M144), AV$4&lt;&gt;DATE(2025,7,4)), (SWITCH(weekday(AV$4), 1, 0, 2, if(ISBLANK('2025'!$P144), 0, 1), 3, if(ISBLANK('2025'!$Q144), 0, 1), 4, if(ISBLANK('2025'!$R144), 0, 1), 5, if(ISBLANK('2025'!$S144), 0, 1), 6, if(ISBLANK('2025'!$T144), 0, 1), 7, 0))), 1, "")</f>
        <v/>
      </c>
      <c r="AW146" s="1" t="str">
        <f>IF(AND(AND(AND(AW$4&gt;='2025'!$L144,AW$4&lt;='2025'!$M144), AW$4&lt;&gt;DATE(2025,7,4)), (SWITCH(weekday(AW$4), 1, 0, 2, if(ISBLANK('2025'!$P144), 0, 1), 3, if(ISBLANK('2025'!$Q144), 0, 1), 4, if(ISBLANK('2025'!$R144), 0, 1), 5, if(ISBLANK('2025'!$S144), 0, 1), 6, if(ISBLANK('2025'!$T144), 0, 1), 7, 0))), 1, "")</f>
        <v/>
      </c>
      <c r="AX146" s="1" t="str">
        <f>IF(AND(AND(AND(AX$4&gt;='2025'!$L144,AX$4&lt;='2025'!$M144), AX$4&lt;&gt;DATE(2025,7,4)), (SWITCH(weekday(AX$4), 1, 0, 2, if(ISBLANK('2025'!$P144), 0, 1), 3, if(ISBLANK('2025'!$Q144), 0, 1), 4, if(ISBLANK('2025'!$R144), 0, 1), 5, if(ISBLANK('2025'!$S144), 0, 1), 6, if(ISBLANK('2025'!$T144), 0, 1), 7, 0))), 1, "")</f>
        <v/>
      </c>
      <c r="AY146" s="1" t="str">
        <f>IF(AND(AND(AND(AY$4&gt;='2025'!$L144,AY$4&lt;='2025'!$M144), AY$4&lt;&gt;DATE(2025,7,4)), (SWITCH(weekday(AY$4), 1, 0, 2, if(ISBLANK('2025'!$P144), 0, 1), 3, if(ISBLANK('2025'!$Q144), 0, 1), 4, if(ISBLANK('2025'!$R144), 0, 1), 5, if(ISBLANK('2025'!$S144), 0, 1), 6, if(ISBLANK('2025'!$T144), 0, 1), 7, 0))), 1, "")</f>
        <v/>
      </c>
      <c r="AZ146" s="1" t="str">
        <f>IF(AND(AND(AND(AZ$4&gt;='2025'!$L144,AZ$4&lt;='2025'!$M144), AZ$4&lt;&gt;DATE(2025,7,4)), (SWITCH(weekday(AZ$4), 1, 0, 2, if(ISBLANK('2025'!$P144), 0, 1), 3, if(ISBLANK('2025'!$Q144), 0, 1), 4, if(ISBLANK('2025'!$R144), 0, 1), 5, if(ISBLANK('2025'!$S144), 0, 1), 6, if(ISBLANK('2025'!$T144), 0, 1), 7, 0))), 1, "")</f>
        <v/>
      </c>
      <c r="BA146" s="1" t="str">
        <f>IF(AND(AND(AND(BA$4&gt;='2025'!$L144,BA$4&lt;='2025'!$M144), BA$4&lt;&gt;DATE(2025,7,4)), (SWITCH(weekday(BA$4), 1, 0, 2, if(ISBLANK('2025'!$P144), 0, 1), 3, if(ISBLANK('2025'!$Q144), 0, 1), 4, if(ISBLANK('2025'!$R144), 0, 1), 5, if(ISBLANK('2025'!$S144), 0, 1), 6, if(ISBLANK('2025'!$T144), 0, 1), 7, 0))), 1, "")</f>
        <v/>
      </c>
      <c r="BB146" s="1" t="str">
        <f>IF(AND(AND(AND(BB$4&gt;='2025'!$L144,BB$4&lt;='2025'!$M144), BB$4&lt;&gt;DATE(2025,7,4)), (SWITCH(weekday(BB$4), 1, 0, 2, if(ISBLANK('2025'!$P144), 0, 1), 3, if(ISBLANK('2025'!$Q144), 0, 1), 4, if(ISBLANK('2025'!$R144), 0, 1), 5, if(ISBLANK('2025'!$S144), 0, 1), 6, if(ISBLANK('2025'!$T144), 0, 1), 7, 0))), 1, "")</f>
        <v/>
      </c>
      <c r="BC146" s="1" t="str">
        <f>IF(AND(AND(AND(BC$4&gt;='2025'!$L144,BC$4&lt;='2025'!$M144), BC$4&lt;&gt;DATE(2025,7,4)), (SWITCH(weekday(BC$4), 1, 0, 2, if(ISBLANK('2025'!$P144), 0, 1), 3, if(ISBLANK('2025'!$Q144), 0, 1), 4, if(ISBLANK('2025'!$R144), 0, 1), 5, if(ISBLANK('2025'!$S144), 0, 1), 6, if(ISBLANK('2025'!$T144), 0, 1), 7, 0))), 1, "")</f>
        <v/>
      </c>
      <c r="BD146" s="1" t="str">
        <f>IF(AND(AND(AND(BD$4&gt;='2025'!$L144,BD$4&lt;='2025'!$M144), BD$4&lt;&gt;DATE(2025,7,4)), (SWITCH(weekday(BD$4), 1, 0, 2, if(ISBLANK('2025'!$P144), 0, 1), 3, if(ISBLANK('2025'!$Q144), 0, 1), 4, if(ISBLANK('2025'!$R144), 0, 1), 5, if(ISBLANK('2025'!$S144), 0, 1), 6, if(ISBLANK('2025'!$T144), 0, 1), 7, 0))), 1, "")</f>
        <v/>
      </c>
      <c r="BE146" s="1" t="str">
        <f>IF(AND(AND(AND(BE$4&gt;='2025'!$L144,BE$4&lt;='2025'!$M144), BE$4&lt;&gt;DATE(2025,7,4)), (SWITCH(weekday(BE$4), 1, 0, 2, if(ISBLANK('2025'!$P144), 0, 1), 3, if(ISBLANK('2025'!$Q144), 0, 1), 4, if(ISBLANK('2025'!$R144), 0, 1), 5, if(ISBLANK('2025'!$S144), 0, 1), 6, if(ISBLANK('2025'!$T144), 0, 1), 7, 0))), 1, "")</f>
        <v/>
      </c>
      <c r="BF146" s="1" t="str">
        <f>IF(AND(AND(AND(BF$4&gt;='2025'!$L144,BF$4&lt;='2025'!$M144), BF$4&lt;&gt;DATE(2025,7,4)), (SWITCH(weekday(BF$4), 1, 0, 2, if(ISBLANK('2025'!$P144), 0, 1), 3, if(ISBLANK('2025'!$Q144), 0, 1), 4, if(ISBLANK('2025'!$R144), 0, 1), 5, if(ISBLANK('2025'!$S144), 0, 1), 6, if(ISBLANK('2025'!$T144), 0, 1), 7, 0))), 1, "")</f>
        <v/>
      </c>
      <c r="BG146" s="1"/>
      <c r="BH146" s="1"/>
      <c r="BI146" s="1"/>
      <c r="BJ146" s="1"/>
      <c r="BK146" s="1"/>
      <c r="BL146" s="1"/>
    </row>
    <row r="147">
      <c r="A147" s="1">
        <f t="shared" si="3"/>
        <v>147</v>
      </c>
      <c r="B147" s="1" t="str">
        <f>'2025'!D111</f>
        <v>, </v>
      </c>
      <c r="C147" s="1" t="str">
        <f>'2025'!H111</f>
        <v/>
      </c>
      <c r="D147" s="1" t="str">
        <f>IF(AND(AND(AND(D$4&gt;='2025'!$L145,D$4&lt;='2025'!$M145), D$4&lt;&gt;DATE(2025,7,4)), (SWITCH(weekday(D$4), 1, 0, 2, if(ISBLANK('2025'!$P145), 0, 1), 3, if(ISBLANK('2025'!$Q145), 0, 1), 4, if(ISBLANK('2025'!$R145), 0, 1), 5, if(ISBLANK('2025'!$S145), 0, 1), 6, if(ISBLANK('2025'!$T145), 0, 1), 7, 0))), 1, "")</f>
        <v/>
      </c>
      <c r="E147" s="1" t="str">
        <f>IF(AND(AND(AND(E$4&gt;='2025'!$L145,E$4&lt;='2025'!$M145), E$4&lt;&gt;DATE(2025,7,4)), (SWITCH(weekday(E$4), 1, 0, 2, if(ISBLANK('2025'!$P145), 0, 1), 3, if(ISBLANK('2025'!$Q145), 0, 1), 4, if(ISBLANK('2025'!$R145), 0, 1), 5, if(ISBLANK('2025'!$S145), 0, 1), 6, if(ISBLANK('2025'!$T145), 0, 1), 7, 0))), 1, "")</f>
        <v/>
      </c>
      <c r="F147" s="1" t="str">
        <f>IF(AND(AND(AND(F$4&gt;='2025'!$L145,F$4&lt;='2025'!$M145), F$4&lt;&gt;DATE(2025,7,4)), (SWITCH(weekday(F$4), 1, 0, 2, if(ISBLANK('2025'!$P145), 0, 1), 3, if(ISBLANK('2025'!$Q145), 0, 1), 4, if(ISBLANK('2025'!$R145), 0, 1), 5, if(ISBLANK('2025'!$S145), 0, 1), 6, if(ISBLANK('2025'!$T145), 0, 1), 7, 0))), 1, "")</f>
        <v/>
      </c>
      <c r="G147" s="1" t="str">
        <f>IF(AND(AND(AND(G$4&gt;='2025'!$L145,G$4&lt;='2025'!$M145), G$4&lt;&gt;DATE(2025,7,4)), (SWITCH(weekday(G$4), 1, 0, 2, if(ISBLANK('2025'!$P145), 0, 1), 3, if(ISBLANK('2025'!$Q145), 0, 1), 4, if(ISBLANK('2025'!$R145), 0, 1), 5, if(ISBLANK('2025'!$S145), 0, 1), 6, if(ISBLANK('2025'!$T145), 0, 1), 7, 0))), 1, "")</f>
        <v/>
      </c>
      <c r="H147" s="1" t="str">
        <f>IF(AND(AND(AND(H$4&gt;='2025'!$L145,H$4&lt;='2025'!$M145), H$4&lt;&gt;DATE(2025,7,4)), (SWITCH(weekday(H$4), 1, 0, 2, if(ISBLANK('2025'!$P145), 0, 1), 3, if(ISBLANK('2025'!$Q145), 0, 1), 4, if(ISBLANK('2025'!$R145), 0, 1), 5, if(ISBLANK('2025'!$S145), 0, 1), 6, if(ISBLANK('2025'!$T145), 0, 1), 7, 0))), 1, "")</f>
        <v/>
      </c>
      <c r="I147" s="1" t="str">
        <f>IF(AND(AND(AND(I$4&gt;='2025'!$L145,I$4&lt;='2025'!$M145), I$4&lt;&gt;DATE(2025,7,4)), (SWITCH(weekday(I$4), 1, 0, 2, if(ISBLANK('2025'!$P145), 0, 1), 3, if(ISBLANK('2025'!$Q145), 0, 1), 4, if(ISBLANK('2025'!$R145), 0, 1), 5, if(ISBLANK('2025'!$S145), 0, 1), 6, if(ISBLANK('2025'!$T145), 0, 1), 7, 0))), 1, "")</f>
        <v/>
      </c>
      <c r="J147" s="1" t="str">
        <f>IF(AND(AND(AND(J$4&gt;='2025'!$L145,J$4&lt;='2025'!$M145), J$4&lt;&gt;DATE(2025,7,4)), (SWITCH(weekday(J$4), 1, 0, 2, if(ISBLANK('2025'!$P145), 0, 1), 3, if(ISBLANK('2025'!$Q145), 0, 1), 4, if(ISBLANK('2025'!$R145), 0, 1), 5, if(ISBLANK('2025'!$S145), 0, 1), 6, if(ISBLANK('2025'!$T145), 0, 1), 7, 0))), 1, "")</f>
        <v/>
      </c>
      <c r="K147" s="1" t="str">
        <f>IF(AND(AND(AND(K$4&gt;='2025'!$L145,K$4&lt;='2025'!$M145), K$4&lt;&gt;DATE(2025,7,4)), (SWITCH(weekday(K$4), 1, 0, 2, if(ISBLANK('2025'!$P145), 0, 1), 3, if(ISBLANK('2025'!$Q145), 0, 1), 4, if(ISBLANK('2025'!$R145), 0, 1), 5, if(ISBLANK('2025'!$S145), 0, 1), 6, if(ISBLANK('2025'!$T145), 0, 1), 7, 0))), 1, "")</f>
        <v/>
      </c>
      <c r="L147" s="1" t="str">
        <f>IF(AND(AND(AND(L$4&gt;='2025'!$L145,L$4&lt;='2025'!$M145), L$4&lt;&gt;DATE(2025,7,4)), (SWITCH(weekday(L$4), 1, 0, 2, if(ISBLANK('2025'!$P145), 0, 1), 3, if(ISBLANK('2025'!$Q145), 0, 1), 4, if(ISBLANK('2025'!$R145), 0, 1), 5, if(ISBLANK('2025'!$S145), 0, 1), 6, if(ISBLANK('2025'!$T145), 0, 1), 7, 0))), 1, "")</f>
        <v/>
      </c>
      <c r="M147" s="1" t="str">
        <f>IF(AND(AND(AND(M$4&gt;='2025'!$L145,M$4&lt;='2025'!$M145), M$4&lt;&gt;DATE(2025,7,4)), (SWITCH(weekday(M$4), 1, 0, 2, if(ISBLANK('2025'!$P145), 0, 1), 3, if(ISBLANK('2025'!$Q145), 0, 1), 4, if(ISBLANK('2025'!$R145), 0, 1), 5, if(ISBLANK('2025'!$S145), 0, 1), 6, if(ISBLANK('2025'!$T145), 0, 1), 7, 0))), 1, "")</f>
        <v/>
      </c>
      <c r="N147" s="1" t="str">
        <f>IF(AND(AND(AND(N$4&gt;='2025'!$L145,N$4&lt;='2025'!$M145), N$4&lt;&gt;DATE(2025,7,4)), (SWITCH(weekday(N$4), 1, 0, 2, if(ISBLANK('2025'!$P145), 0, 1), 3, if(ISBLANK('2025'!$Q145), 0, 1), 4, if(ISBLANK('2025'!$R145), 0, 1), 5, if(ISBLANK('2025'!$S145), 0, 1), 6, if(ISBLANK('2025'!$T145), 0, 1), 7, 0))), 1, "")</f>
        <v/>
      </c>
      <c r="O147" s="1" t="str">
        <f>IF(AND(AND(AND(O$4&gt;='2025'!$L145,O$4&lt;='2025'!$M145), O$4&lt;&gt;DATE(2025,7,4)), (SWITCH(weekday(O$4), 1, 0, 2, if(ISBLANK('2025'!$P145), 0, 1), 3, if(ISBLANK('2025'!$Q145), 0, 1), 4, if(ISBLANK('2025'!$R145), 0, 1), 5, if(ISBLANK('2025'!$S145), 0, 1), 6, if(ISBLANK('2025'!$T145), 0, 1), 7, 0))), 1, "")</f>
        <v/>
      </c>
      <c r="P147" s="1" t="str">
        <f>IF(AND(AND(AND(P$4&gt;='2025'!$L145,P$4&lt;='2025'!$M145), P$4&lt;&gt;DATE(2025,7,4)), (SWITCH(weekday(P$4), 1, 0, 2, if(ISBLANK('2025'!$P145), 0, 1), 3, if(ISBLANK('2025'!$Q145), 0, 1), 4, if(ISBLANK('2025'!$R145), 0, 1), 5, if(ISBLANK('2025'!$S145), 0, 1), 6, if(ISBLANK('2025'!$T145), 0, 1), 7, 0))), 1, "")</f>
        <v/>
      </c>
      <c r="Q147" s="1" t="str">
        <f>IF(AND(AND(AND(Q$4&gt;='2025'!$L145,Q$4&lt;='2025'!$M145), Q$4&lt;&gt;DATE(2025,7,4)), (SWITCH(weekday(Q$4), 1, 0, 2, if(ISBLANK('2025'!$P145), 0, 1), 3, if(ISBLANK('2025'!$Q145), 0, 1), 4, if(ISBLANK('2025'!$R145), 0, 1), 5, if(ISBLANK('2025'!$S145), 0, 1), 6, if(ISBLANK('2025'!$T145), 0, 1), 7, 0))), 1, "")</f>
        <v/>
      </c>
      <c r="R147" s="1" t="str">
        <f>IF(AND(AND(AND(R$4&gt;='2025'!$L145,R$4&lt;='2025'!$M145), R$4&lt;&gt;DATE(2025,7,4)), (SWITCH(weekday(R$4), 1, 0, 2, if(ISBLANK('2025'!$P145), 0, 1), 3, if(ISBLANK('2025'!$Q145), 0, 1), 4, if(ISBLANK('2025'!$R145), 0, 1), 5, if(ISBLANK('2025'!$S145), 0, 1), 6, if(ISBLANK('2025'!$T145), 0, 1), 7, 0))), 1, "")</f>
        <v/>
      </c>
      <c r="S147" s="1" t="str">
        <f>IF(AND(AND(AND(S$4&gt;='2025'!$L145,S$4&lt;='2025'!$M145), S$4&lt;&gt;DATE(2025,7,4)), (SWITCH(weekday(S$4), 1, 0, 2, if(ISBLANK('2025'!$P145), 0, 1), 3, if(ISBLANK('2025'!$Q145), 0, 1), 4, if(ISBLANK('2025'!$R145), 0, 1), 5, if(ISBLANK('2025'!$S145), 0, 1), 6, if(ISBLANK('2025'!$T145), 0, 1), 7, 0))), 1, "")</f>
        <v/>
      </c>
      <c r="T147" s="1" t="str">
        <f>IF(AND(AND(AND(T$4&gt;='2025'!$L145,T$4&lt;='2025'!$M145), T$4&lt;&gt;DATE(2025,7,4)), (SWITCH(weekday(T$4), 1, 0, 2, if(ISBLANK('2025'!$P145), 0, 1), 3, if(ISBLANK('2025'!$Q145), 0, 1), 4, if(ISBLANK('2025'!$R145), 0, 1), 5, if(ISBLANK('2025'!$S145), 0, 1), 6, if(ISBLANK('2025'!$T145), 0, 1), 7, 0))), 1, "")</f>
        <v/>
      </c>
      <c r="U147" s="1" t="str">
        <f>IF(AND(AND(AND(U$4&gt;='2025'!$L145,U$4&lt;='2025'!$M145), U$4&lt;&gt;DATE(2025,7,4)), (SWITCH(weekday(U$4), 1, 0, 2, if(ISBLANK('2025'!$P145), 0, 1), 3, if(ISBLANK('2025'!$Q145), 0, 1), 4, if(ISBLANK('2025'!$R145), 0, 1), 5, if(ISBLANK('2025'!$S145), 0, 1), 6, if(ISBLANK('2025'!$T145), 0, 1), 7, 0))), 1, "")</f>
        <v/>
      </c>
      <c r="V147" s="1" t="str">
        <f>IF(AND(AND(AND(V$4&gt;='2025'!$L145,V$4&lt;='2025'!$M145), V$4&lt;&gt;DATE(2025,7,4)), (SWITCH(weekday(V$4), 1, 0, 2, if(ISBLANK('2025'!$P145), 0, 1), 3, if(ISBLANK('2025'!$Q145), 0, 1), 4, if(ISBLANK('2025'!$R145), 0, 1), 5, if(ISBLANK('2025'!$S145), 0, 1), 6, if(ISBLANK('2025'!$T145), 0, 1), 7, 0))), 1, "")</f>
        <v/>
      </c>
      <c r="W147" s="1" t="str">
        <f>IF(AND(AND(AND(W$4&gt;='2025'!$L145,W$4&lt;='2025'!$M145), W$4&lt;&gt;DATE(2025,7,4)), (SWITCH(weekday(W$4), 1, 0, 2, if(ISBLANK('2025'!$P145), 0, 1), 3, if(ISBLANK('2025'!$Q145), 0, 1), 4, if(ISBLANK('2025'!$R145), 0, 1), 5, if(ISBLANK('2025'!$S145), 0, 1), 6, if(ISBLANK('2025'!$T145), 0, 1), 7, 0))), 1, "")</f>
        <v/>
      </c>
      <c r="X147" s="1" t="str">
        <f>IF(AND(AND(AND(X$4&gt;='2025'!$L145,X$4&lt;='2025'!$M145), X$4&lt;&gt;DATE(2025,7,4)), (SWITCH(weekday(X$4), 1, 0, 2, if(ISBLANK('2025'!$P145), 0, 1), 3, if(ISBLANK('2025'!$Q145), 0, 1), 4, if(ISBLANK('2025'!$R145), 0, 1), 5, if(ISBLANK('2025'!$S145), 0, 1), 6, if(ISBLANK('2025'!$T145), 0, 1), 7, 0))), 1, "")</f>
        <v/>
      </c>
      <c r="Y147" s="1" t="str">
        <f>IF(AND(AND(AND(Y$4&gt;='2025'!$L145,Y$4&lt;='2025'!$M145), Y$4&lt;&gt;DATE(2025,7,4)), (SWITCH(weekday(Y$4), 1, 0, 2, if(ISBLANK('2025'!$P145), 0, 1), 3, if(ISBLANK('2025'!$Q145), 0, 1), 4, if(ISBLANK('2025'!$R145), 0, 1), 5, if(ISBLANK('2025'!$S145), 0, 1), 6, if(ISBLANK('2025'!$T145), 0, 1), 7, 0))), 1, "")</f>
        <v/>
      </c>
      <c r="Z147" s="1" t="str">
        <f>IF(AND(AND(AND(Z$4&gt;='2025'!$L145,Z$4&lt;='2025'!$M145), Z$4&lt;&gt;DATE(2025,7,4)), (SWITCH(weekday(Z$4), 1, 0, 2, if(ISBLANK('2025'!$P145), 0, 1), 3, if(ISBLANK('2025'!$Q145), 0, 1), 4, if(ISBLANK('2025'!$R145), 0, 1), 5, if(ISBLANK('2025'!$S145), 0, 1), 6, if(ISBLANK('2025'!$T145), 0, 1), 7, 0))), 1, "")</f>
        <v/>
      </c>
      <c r="AA147" s="1" t="str">
        <f>IF(AND(AND(AND(AA$4&gt;='2025'!$L145,AA$4&lt;='2025'!$M145), AA$4&lt;&gt;DATE(2025,7,4)), (SWITCH(weekday(AA$4), 1, 0, 2, if(ISBLANK('2025'!$P145), 0, 1), 3, if(ISBLANK('2025'!$Q145), 0, 1), 4, if(ISBLANK('2025'!$R145), 0, 1), 5, if(ISBLANK('2025'!$S145), 0, 1), 6, if(ISBLANK('2025'!$T145), 0, 1), 7, 0))), 1, "")</f>
        <v/>
      </c>
      <c r="AB147" s="1" t="str">
        <f>IF(AND(AND(AND(AB$4&gt;='2025'!$L145,AB$4&lt;='2025'!$M145), AB$4&lt;&gt;DATE(2025,7,4)), (SWITCH(weekday(AB$4), 1, 0, 2, if(ISBLANK('2025'!$P145), 0, 1), 3, if(ISBLANK('2025'!$Q145), 0, 1), 4, if(ISBLANK('2025'!$R145), 0, 1), 5, if(ISBLANK('2025'!$S145), 0, 1), 6, if(ISBLANK('2025'!$T145), 0, 1), 7, 0))), 1, "")</f>
        <v/>
      </c>
      <c r="AC147" s="1" t="str">
        <f>IF(AND(AND(AND(AC$4&gt;='2025'!$L145,AC$4&lt;='2025'!$M145), AC$4&lt;&gt;DATE(2025,7,4)), (SWITCH(weekday(AC$4), 1, 0, 2, if(ISBLANK('2025'!$P145), 0, 1), 3, if(ISBLANK('2025'!$Q145), 0, 1), 4, if(ISBLANK('2025'!$R145), 0, 1), 5, if(ISBLANK('2025'!$S145), 0, 1), 6, if(ISBLANK('2025'!$T145), 0, 1), 7, 0))), 1, "")</f>
        <v/>
      </c>
      <c r="AD147" s="1" t="str">
        <f>IF(AND(AND(AND(AD$4&gt;='2025'!$L145,AD$4&lt;='2025'!$M145), AD$4&lt;&gt;DATE(2025,7,4)), (SWITCH(weekday(AD$4), 1, 0, 2, if(ISBLANK('2025'!$P145), 0, 1), 3, if(ISBLANK('2025'!$Q145), 0, 1), 4, if(ISBLANK('2025'!$R145), 0, 1), 5, if(ISBLANK('2025'!$S145), 0, 1), 6, if(ISBLANK('2025'!$T145), 0, 1), 7, 0))), 1, "")</f>
        <v/>
      </c>
      <c r="AE147" s="1" t="str">
        <f>IF(AND(AND(AND(AE$4&gt;='2025'!$L145,AE$4&lt;='2025'!$M145), AE$4&lt;&gt;DATE(2025,7,4)), (SWITCH(weekday(AE$4), 1, 0, 2, if(ISBLANK('2025'!$P145), 0, 1), 3, if(ISBLANK('2025'!$Q145), 0, 1), 4, if(ISBLANK('2025'!$R145), 0, 1), 5, if(ISBLANK('2025'!$S145), 0, 1), 6, if(ISBLANK('2025'!$T145), 0, 1), 7, 0))), 1, "")</f>
        <v/>
      </c>
      <c r="AF147" s="1" t="str">
        <f>IF(AND(AND(AND(AF$4&gt;='2025'!$L145,AF$4&lt;='2025'!$M145), AF$4&lt;&gt;DATE(2025,7,4)), (SWITCH(weekday(AF$4), 1, 0, 2, if(ISBLANK('2025'!$P145), 0, 1), 3, if(ISBLANK('2025'!$Q145), 0, 1), 4, if(ISBLANK('2025'!$R145), 0, 1), 5, if(ISBLANK('2025'!$S145), 0, 1), 6, if(ISBLANK('2025'!$T145), 0, 1), 7, 0))), 1, "")</f>
        <v/>
      </c>
      <c r="AG147" s="1" t="str">
        <f>IF(AND(AND(AND(AG$4&gt;='2025'!$L145,AG$4&lt;='2025'!$M145), AG$4&lt;&gt;DATE(2025,7,4)), (SWITCH(weekday(AG$4), 1, 0, 2, if(ISBLANK('2025'!$P145), 0, 1), 3, if(ISBLANK('2025'!$Q145), 0, 1), 4, if(ISBLANK('2025'!$R145), 0, 1), 5, if(ISBLANK('2025'!$S145), 0, 1), 6, if(ISBLANK('2025'!$T145), 0, 1), 7, 0))), 1, "")</f>
        <v/>
      </c>
      <c r="AH147" s="1" t="str">
        <f>IF(AND(AND(AND(AH$4&gt;='2025'!$L145,AH$4&lt;='2025'!$M145), AH$4&lt;&gt;DATE(2025,7,4)), (SWITCH(weekday(AH$4), 1, 0, 2, if(ISBLANK('2025'!$P145), 0, 1), 3, if(ISBLANK('2025'!$Q145), 0, 1), 4, if(ISBLANK('2025'!$R145), 0, 1), 5, if(ISBLANK('2025'!$S145), 0, 1), 6, if(ISBLANK('2025'!$T145), 0, 1), 7, 0))), 1, "")</f>
        <v/>
      </c>
      <c r="AI147" s="1" t="str">
        <f>IF(AND(AND(AND(AI$4&gt;='2025'!$L145,AI$4&lt;='2025'!$M145), AI$4&lt;&gt;DATE(2025,7,4)), (SWITCH(weekday(AI$4), 1, 0, 2, if(ISBLANK('2025'!$P145), 0, 1), 3, if(ISBLANK('2025'!$Q145), 0, 1), 4, if(ISBLANK('2025'!$R145), 0, 1), 5, if(ISBLANK('2025'!$S145), 0, 1), 6, if(ISBLANK('2025'!$T145), 0, 1), 7, 0))), 1, "")</f>
        <v/>
      </c>
      <c r="AJ147" s="1" t="str">
        <f>IF(AND(AND(AND(AJ$4&gt;='2025'!$L145,AJ$4&lt;='2025'!$M145), AJ$4&lt;&gt;DATE(2025,7,4)), (SWITCH(weekday(AJ$4), 1, 0, 2, if(ISBLANK('2025'!$P145), 0, 1), 3, if(ISBLANK('2025'!$Q145), 0, 1), 4, if(ISBLANK('2025'!$R145), 0, 1), 5, if(ISBLANK('2025'!$S145), 0, 1), 6, if(ISBLANK('2025'!$T145), 0, 1), 7, 0))), 1, "")</f>
        <v/>
      </c>
      <c r="AK147" s="1" t="str">
        <f>IF(AND(AND(AND(AK$4&gt;='2025'!$L145,AK$4&lt;='2025'!$M145), AK$4&lt;&gt;DATE(2025,7,4)), (SWITCH(weekday(AK$4), 1, 0, 2, if(ISBLANK('2025'!$P145), 0, 1), 3, if(ISBLANK('2025'!$Q145), 0, 1), 4, if(ISBLANK('2025'!$R145), 0, 1), 5, if(ISBLANK('2025'!$S145), 0, 1), 6, if(ISBLANK('2025'!$T145), 0, 1), 7, 0))), 1, "")</f>
        <v/>
      </c>
      <c r="AL147" s="1" t="str">
        <f>IF(AND(AND(AND(AL$4&gt;='2025'!$L145,AL$4&lt;='2025'!$M145), AL$4&lt;&gt;DATE(2025,7,4)), (SWITCH(weekday(AL$4), 1, 0, 2, if(ISBLANK('2025'!$P145), 0, 1), 3, if(ISBLANK('2025'!$Q145), 0, 1), 4, if(ISBLANK('2025'!$R145), 0, 1), 5, if(ISBLANK('2025'!$S145), 0, 1), 6, if(ISBLANK('2025'!$T145), 0, 1), 7, 0))), 1, "")</f>
        <v/>
      </c>
      <c r="AM147" s="1" t="str">
        <f>IF(AND(AND(AND(AM$4&gt;='2025'!$L145,AM$4&lt;='2025'!$M145), AM$4&lt;&gt;DATE(2025,7,4)), (SWITCH(weekday(AM$4), 1, 0, 2, if(ISBLANK('2025'!$P145), 0, 1), 3, if(ISBLANK('2025'!$Q145), 0, 1), 4, if(ISBLANK('2025'!$R145), 0, 1), 5, if(ISBLANK('2025'!$S145), 0, 1), 6, if(ISBLANK('2025'!$T145), 0, 1), 7, 0))), 1, "")</f>
        <v/>
      </c>
      <c r="AN147" s="1" t="str">
        <f>IF(AND(AND(AND(AN$4&gt;='2025'!$L145,AN$4&lt;='2025'!$M145), AN$4&lt;&gt;DATE(2025,7,4)), (SWITCH(weekday(AN$4), 1, 0, 2, if(ISBLANK('2025'!$P145), 0, 1), 3, if(ISBLANK('2025'!$Q145), 0, 1), 4, if(ISBLANK('2025'!$R145), 0, 1), 5, if(ISBLANK('2025'!$S145), 0, 1), 6, if(ISBLANK('2025'!$T145), 0, 1), 7, 0))), 1, "")</f>
        <v/>
      </c>
      <c r="AO147" s="1" t="str">
        <f>IF(AND(AND(AND(AO$4&gt;='2025'!$L145,AO$4&lt;='2025'!$M145), AO$4&lt;&gt;DATE(2025,7,4)), (SWITCH(weekday(AO$4), 1, 0, 2, if(ISBLANK('2025'!$P145), 0, 1), 3, if(ISBLANK('2025'!$Q145), 0, 1), 4, if(ISBLANK('2025'!$R145), 0, 1), 5, if(ISBLANK('2025'!$S145), 0, 1), 6, if(ISBLANK('2025'!$T145), 0, 1), 7, 0))), 1, "")</f>
        <v/>
      </c>
      <c r="AP147" s="1" t="str">
        <f>IF(AND(AND(AND(AP$4&gt;='2025'!$L145,AP$4&lt;='2025'!$M145), AP$4&lt;&gt;DATE(2025,7,4)), (SWITCH(weekday(AP$4), 1, 0, 2, if(ISBLANK('2025'!$P145), 0, 1), 3, if(ISBLANK('2025'!$Q145), 0, 1), 4, if(ISBLANK('2025'!$R145), 0, 1), 5, if(ISBLANK('2025'!$S145), 0, 1), 6, if(ISBLANK('2025'!$T145), 0, 1), 7, 0))), 1, "")</f>
        <v/>
      </c>
      <c r="AQ147" s="1" t="str">
        <f>IF(AND(AND(AND(AQ$4&gt;='2025'!$L145,AQ$4&lt;='2025'!$M145), AQ$4&lt;&gt;DATE(2025,7,4)), (SWITCH(weekday(AQ$4), 1, 0, 2, if(ISBLANK('2025'!$P145), 0, 1), 3, if(ISBLANK('2025'!$Q145), 0, 1), 4, if(ISBLANK('2025'!$R145), 0, 1), 5, if(ISBLANK('2025'!$S145), 0, 1), 6, if(ISBLANK('2025'!$T145), 0, 1), 7, 0))), 1, "")</f>
        <v/>
      </c>
      <c r="AR147" s="1" t="str">
        <f>IF(AND(AND(AND(AR$4&gt;='2025'!$L145,AR$4&lt;='2025'!$M145), AR$4&lt;&gt;DATE(2025,7,4)), (SWITCH(weekday(AR$4), 1, 0, 2, if(ISBLANK('2025'!$P145), 0, 1), 3, if(ISBLANK('2025'!$Q145), 0, 1), 4, if(ISBLANK('2025'!$R145), 0, 1), 5, if(ISBLANK('2025'!$S145), 0, 1), 6, if(ISBLANK('2025'!$T145), 0, 1), 7, 0))), 1, "")</f>
        <v/>
      </c>
      <c r="AS147" s="1" t="str">
        <f>IF(AND(AND(AND(AS$4&gt;='2025'!$L145,AS$4&lt;='2025'!$M145), AS$4&lt;&gt;DATE(2025,7,4)), (SWITCH(weekday(AS$4), 1, 0, 2, if(ISBLANK('2025'!$P145), 0, 1), 3, if(ISBLANK('2025'!$Q145), 0, 1), 4, if(ISBLANK('2025'!$R145), 0, 1), 5, if(ISBLANK('2025'!$S145), 0, 1), 6, if(ISBLANK('2025'!$T145), 0, 1), 7, 0))), 1, "")</f>
        <v/>
      </c>
      <c r="AT147" s="1" t="str">
        <f>IF(AND(AND(AND(AT$4&gt;='2025'!$L145,AT$4&lt;='2025'!$M145), AT$4&lt;&gt;DATE(2025,7,4)), (SWITCH(weekday(AT$4), 1, 0, 2, if(ISBLANK('2025'!$P145), 0, 1), 3, if(ISBLANK('2025'!$Q145), 0, 1), 4, if(ISBLANK('2025'!$R145), 0, 1), 5, if(ISBLANK('2025'!$S145), 0, 1), 6, if(ISBLANK('2025'!$T145), 0, 1), 7, 0))), 1, "")</f>
        <v/>
      </c>
      <c r="AU147" s="1" t="str">
        <f>IF(AND(AND(AND(AU$4&gt;='2025'!$L145,AU$4&lt;='2025'!$M145), AU$4&lt;&gt;DATE(2025,7,4)), (SWITCH(weekday(AU$4), 1, 0, 2, if(ISBLANK('2025'!$P145), 0, 1), 3, if(ISBLANK('2025'!$Q145), 0, 1), 4, if(ISBLANK('2025'!$R145), 0, 1), 5, if(ISBLANK('2025'!$S145), 0, 1), 6, if(ISBLANK('2025'!$T145), 0, 1), 7, 0))), 1, "")</f>
        <v/>
      </c>
      <c r="AV147" s="1" t="str">
        <f>IF(AND(AND(AND(AV$4&gt;='2025'!$L145,AV$4&lt;='2025'!$M145), AV$4&lt;&gt;DATE(2025,7,4)), (SWITCH(weekday(AV$4), 1, 0, 2, if(ISBLANK('2025'!$P145), 0, 1), 3, if(ISBLANK('2025'!$Q145), 0, 1), 4, if(ISBLANK('2025'!$R145), 0, 1), 5, if(ISBLANK('2025'!$S145), 0, 1), 6, if(ISBLANK('2025'!$T145), 0, 1), 7, 0))), 1, "")</f>
        <v/>
      </c>
      <c r="AW147" s="1" t="str">
        <f>IF(AND(AND(AND(AW$4&gt;='2025'!$L145,AW$4&lt;='2025'!$M145), AW$4&lt;&gt;DATE(2025,7,4)), (SWITCH(weekday(AW$4), 1, 0, 2, if(ISBLANK('2025'!$P145), 0, 1), 3, if(ISBLANK('2025'!$Q145), 0, 1), 4, if(ISBLANK('2025'!$R145), 0, 1), 5, if(ISBLANK('2025'!$S145), 0, 1), 6, if(ISBLANK('2025'!$T145), 0, 1), 7, 0))), 1, "")</f>
        <v/>
      </c>
      <c r="AX147" s="1" t="str">
        <f>IF(AND(AND(AND(AX$4&gt;='2025'!$L145,AX$4&lt;='2025'!$M145), AX$4&lt;&gt;DATE(2025,7,4)), (SWITCH(weekday(AX$4), 1, 0, 2, if(ISBLANK('2025'!$P145), 0, 1), 3, if(ISBLANK('2025'!$Q145), 0, 1), 4, if(ISBLANK('2025'!$R145), 0, 1), 5, if(ISBLANK('2025'!$S145), 0, 1), 6, if(ISBLANK('2025'!$T145), 0, 1), 7, 0))), 1, "")</f>
        <v/>
      </c>
      <c r="AY147" s="1" t="str">
        <f>IF(AND(AND(AND(AY$4&gt;='2025'!$L145,AY$4&lt;='2025'!$M145), AY$4&lt;&gt;DATE(2025,7,4)), (SWITCH(weekday(AY$4), 1, 0, 2, if(ISBLANK('2025'!$P145), 0, 1), 3, if(ISBLANK('2025'!$Q145), 0, 1), 4, if(ISBLANK('2025'!$R145), 0, 1), 5, if(ISBLANK('2025'!$S145), 0, 1), 6, if(ISBLANK('2025'!$T145), 0, 1), 7, 0))), 1, "")</f>
        <v/>
      </c>
      <c r="AZ147" s="1" t="str">
        <f>IF(AND(AND(AND(AZ$4&gt;='2025'!$L145,AZ$4&lt;='2025'!$M145), AZ$4&lt;&gt;DATE(2025,7,4)), (SWITCH(weekday(AZ$4), 1, 0, 2, if(ISBLANK('2025'!$P145), 0, 1), 3, if(ISBLANK('2025'!$Q145), 0, 1), 4, if(ISBLANK('2025'!$R145), 0, 1), 5, if(ISBLANK('2025'!$S145), 0, 1), 6, if(ISBLANK('2025'!$T145), 0, 1), 7, 0))), 1, "")</f>
        <v/>
      </c>
      <c r="BA147" s="1" t="str">
        <f>IF(AND(AND(AND(BA$4&gt;='2025'!$L145,BA$4&lt;='2025'!$M145), BA$4&lt;&gt;DATE(2025,7,4)), (SWITCH(weekday(BA$4), 1, 0, 2, if(ISBLANK('2025'!$P145), 0, 1), 3, if(ISBLANK('2025'!$Q145), 0, 1), 4, if(ISBLANK('2025'!$R145), 0, 1), 5, if(ISBLANK('2025'!$S145), 0, 1), 6, if(ISBLANK('2025'!$T145), 0, 1), 7, 0))), 1, "")</f>
        <v/>
      </c>
      <c r="BB147" s="1" t="str">
        <f>IF(AND(AND(AND(BB$4&gt;='2025'!$L145,BB$4&lt;='2025'!$M145), BB$4&lt;&gt;DATE(2025,7,4)), (SWITCH(weekday(BB$4), 1, 0, 2, if(ISBLANK('2025'!$P145), 0, 1), 3, if(ISBLANK('2025'!$Q145), 0, 1), 4, if(ISBLANK('2025'!$R145), 0, 1), 5, if(ISBLANK('2025'!$S145), 0, 1), 6, if(ISBLANK('2025'!$T145), 0, 1), 7, 0))), 1, "")</f>
        <v/>
      </c>
      <c r="BC147" s="1" t="str">
        <f>IF(AND(AND(AND(BC$4&gt;='2025'!$L145,BC$4&lt;='2025'!$M145), BC$4&lt;&gt;DATE(2025,7,4)), (SWITCH(weekday(BC$4), 1, 0, 2, if(ISBLANK('2025'!$P145), 0, 1), 3, if(ISBLANK('2025'!$Q145), 0, 1), 4, if(ISBLANK('2025'!$R145), 0, 1), 5, if(ISBLANK('2025'!$S145), 0, 1), 6, if(ISBLANK('2025'!$T145), 0, 1), 7, 0))), 1, "")</f>
        <v/>
      </c>
      <c r="BD147" s="1" t="str">
        <f>IF(AND(AND(AND(BD$4&gt;='2025'!$L145,BD$4&lt;='2025'!$M145), BD$4&lt;&gt;DATE(2025,7,4)), (SWITCH(weekday(BD$4), 1, 0, 2, if(ISBLANK('2025'!$P145), 0, 1), 3, if(ISBLANK('2025'!$Q145), 0, 1), 4, if(ISBLANK('2025'!$R145), 0, 1), 5, if(ISBLANK('2025'!$S145), 0, 1), 6, if(ISBLANK('2025'!$T145), 0, 1), 7, 0))), 1, "")</f>
        <v/>
      </c>
      <c r="BE147" s="1" t="str">
        <f>IF(AND(AND(AND(BE$4&gt;='2025'!$L145,BE$4&lt;='2025'!$M145), BE$4&lt;&gt;DATE(2025,7,4)), (SWITCH(weekday(BE$4), 1, 0, 2, if(ISBLANK('2025'!$P145), 0, 1), 3, if(ISBLANK('2025'!$Q145), 0, 1), 4, if(ISBLANK('2025'!$R145), 0, 1), 5, if(ISBLANK('2025'!$S145), 0, 1), 6, if(ISBLANK('2025'!$T145), 0, 1), 7, 0))), 1, "")</f>
        <v/>
      </c>
      <c r="BF147" s="1" t="str">
        <f>IF(AND(AND(AND(BF$4&gt;='2025'!$L145,BF$4&lt;='2025'!$M145), BF$4&lt;&gt;DATE(2025,7,4)), (SWITCH(weekday(BF$4), 1, 0, 2, if(ISBLANK('2025'!$P145), 0, 1), 3, if(ISBLANK('2025'!$Q145), 0, 1), 4, if(ISBLANK('2025'!$R145), 0, 1), 5, if(ISBLANK('2025'!$S145), 0, 1), 6, if(ISBLANK('2025'!$T145), 0, 1), 7, 0))), 1, "")</f>
        <v/>
      </c>
      <c r="BG147" s="1"/>
      <c r="BH147" s="1"/>
      <c r="BI147" s="1"/>
      <c r="BJ147" s="1"/>
      <c r="BK147" s="1"/>
      <c r="BL147" s="1"/>
    </row>
    <row r="148">
      <c r="A148" s="1">
        <f t="shared" si="3"/>
        <v>148</v>
      </c>
      <c r="B148" s="1" t="str">
        <f>'2025'!D112</f>
        <v>, </v>
      </c>
      <c r="C148" s="1" t="str">
        <f>'2025'!H112</f>
        <v/>
      </c>
      <c r="D148" s="1" t="str">
        <f>IF(AND(AND(AND(D$4&gt;='2025'!$L146,D$4&lt;='2025'!$M146), D$4&lt;&gt;DATE(2025,7,4)), (SWITCH(weekday(D$4), 1, 0, 2, if(ISBLANK('2025'!$P146), 0, 1), 3, if(ISBLANK('2025'!$Q146), 0, 1), 4, if(ISBLANK('2025'!$R146), 0, 1), 5, if(ISBLANK('2025'!$S146), 0, 1), 6, if(ISBLANK('2025'!$T146), 0, 1), 7, 0))), 1, "")</f>
        <v/>
      </c>
      <c r="E148" s="1" t="str">
        <f>IF(AND(AND(AND(E$4&gt;='2025'!$L146,E$4&lt;='2025'!$M146), E$4&lt;&gt;DATE(2025,7,4)), (SWITCH(weekday(E$4), 1, 0, 2, if(ISBLANK('2025'!$P146), 0, 1), 3, if(ISBLANK('2025'!$Q146), 0, 1), 4, if(ISBLANK('2025'!$R146), 0, 1), 5, if(ISBLANK('2025'!$S146), 0, 1), 6, if(ISBLANK('2025'!$T146), 0, 1), 7, 0))), 1, "")</f>
        <v/>
      </c>
      <c r="F148" s="1" t="str">
        <f>IF(AND(AND(AND(F$4&gt;='2025'!$L146,F$4&lt;='2025'!$M146), F$4&lt;&gt;DATE(2025,7,4)), (SWITCH(weekday(F$4), 1, 0, 2, if(ISBLANK('2025'!$P146), 0, 1), 3, if(ISBLANK('2025'!$Q146), 0, 1), 4, if(ISBLANK('2025'!$R146), 0, 1), 5, if(ISBLANK('2025'!$S146), 0, 1), 6, if(ISBLANK('2025'!$T146), 0, 1), 7, 0))), 1, "")</f>
        <v/>
      </c>
      <c r="G148" s="1" t="str">
        <f>IF(AND(AND(AND(G$4&gt;='2025'!$L146,G$4&lt;='2025'!$M146), G$4&lt;&gt;DATE(2025,7,4)), (SWITCH(weekday(G$4), 1, 0, 2, if(ISBLANK('2025'!$P146), 0, 1), 3, if(ISBLANK('2025'!$Q146), 0, 1), 4, if(ISBLANK('2025'!$R146), 0, 1), 5, if(ISBLANK('2025'!$S146), 0, 1), 6, if(ISBLANK('2025'!$T146), 0, 1), 7, 0))), 1, "")</f>
        <v/>
      </c>
      <c r="H148" s="1" t="str">
        <f>IF(AND(AND(AND(H$4&gt;='2025'!$L146,H$4&lt;='2025'!$M146), H$4&lt;&gt;DATE(2025,7,4)), (SWITCH(weekday(H$4), 1, 0, 2, if(ISBLANK('2025'!$P146), 0, 1), 3, if(ISBLANK('2025'!$Q146), 0, 1), 4, if(ISBLANK('2025'!$R146), 0, 1), 5, if(ISBLANK('2025'!$S146), 0, 1), 6, if(ISBLANK('2025'!$T146), 0, 1), 7, 0))), 1, "")</f>
        <v/>
      </c>
      <c r="I148" s="1" t="str">
        <f>IF(AND(AND(AND(I$4&gt;='2025'!$L146,I$4&lt;='2025'!$M146), I$4&lt;&gt;DATE(2025,7,4)), (SWITCH(weekday(I$4), 1, 0, 2, if(ISBLANK('2025'!$P146), 0, 1), 3, if(ISBLANK('2025'!$Q146), 0, 1), 4, if(ISBLANK('2025'!$R146), 0, 1), 5, if(ISBLANK('2025'!$S146), 0, 1), 6, if(ISBLANK('2025'!$T146), 0, 1), 7, 0))), 1, "")</f>
        <v/>
      </c>
      <c r="J148" s="1" t="str">
        <f>IF(AND(AND(AND(J$4&gt;='2025'!$L146,J$4&lt;='2025'!$M146), J$4&lt;&gt;DATE(2025,7,4)), (SWITCH(weekday(J$4), 1, 0, 2, if(ISBLANK('2025'!$P146), 0, 1), 3, if(ISBLANK('2025'!$Q146), 0, 1), 4, if(ISBLANK('2025'!$R146), 0, 1), 5, if(ISBLANK('2025'!$S146), 0, 1), 6, if(ISBLANK('2025'!$T146), 0, 1), 7, 0))), 1, "")</f>
        <v/>
      </c>
      <c r="K148" s="1" t="str">
        <f>IF(AND(AND(AND(K$4&gt;='2025'!$L146,K$4&lt;='2025'!$M146), K$4&lt;&gt;DATE(2025,7,4)), (SWITCH(weekday(K$4), 1, 0, 2, if(ISBLANK('2025'!$P146), 0, 1), 3, if(ISBLANK('2025'!$Q146), 0, 1), 4, if(ISBLANK('2025'!$R146), 0, 1), 5, if(ISBLANK('2025'!$S146), 0, 1), 6, if(ISBLANK('2025'!$T146), 0, 1), 7, 0))), 1, "")</f>
        <v/>
      </c>
      <c r="L148" s="1" t="str">
        <f>IF(AND(AND(AND(L$4&gt;='2025'!$L146,L$4&lt;='2025'!$M146), L$4&lt;&gt;DATE(2025,7,4)), (SWITCH(weekday(L$4), 1, 0, 2, if(ISBLANK('2025'!$P146), 0, 1), 3, if(ISBLANK('2025'!$Q146), 0, 1), 4, if(ISBLANK('2025'!$R146), 0, 1), 5, if(ISBLANK('2025'!$S146), 0, 1), 6, if(ISBLANK('2025'!$T146), 0, 1), 7, 0))), 1, "")</f>
        <v/>
      </c>
      <c r="M148" s="1" t="str">
        <f>IF(AND(AND(AND(M$4&gt;='2025'!$L146,M$4&lt;='2025'!$M146), M$4&lt;&gt;DATE(2025,7,4)), (SWITCH(weekday(M$4), 1, 0, 2, if(ISBLANK('2025'!$P146), 0, 1), 3, if(ISBLANK('2025'!$Q146), 0, 1), 4, if(ISBLANK('2025'!$R146), 0, 1), 5, if(ISBLANK('2025'!$S146), 0, 1), 6, if(ISBLANK('2025'!$T146), 0, 1), 7, 0))), 1, "")</f>
        <v/>
      </c>
      <c r="N148" s="1" t="str">
        <f>IF(AND(AND(AND(N$4&gt;='2025'!$L146,N$4&lt;='2025'!$M146), N$4&lt;&gt;DATE(2025,7,4)), (SWITCH(weekday(N$4), 1, 0, 2, if(ISBLANK('2025'!$P146), 0, 1), 3, if(ISBLANK('2025'!$Q146), 0, 1), 4, if(ISBLANK('2025'!$R146), 0, 1), 5, if(ISBLANK('2025'!$S146), 0, 1), 6, if(ISBLANK('2025'!$T146), 0, 1), 7, 0))), 1, "")</f>
        <v/>
      </c>
      <c r="O148" s="1" t="str">
        <f>IF(AND(AND(AND(O$4&gt;='2025'!$L146,O$4&lt;='2025'!$M146), O$4&lt;&gt;DATE(2025,7,4)), (SWITCH(weekday(O$4), 1, 0, 2, if(ISBLANK('2025'!$P146), 0, 1), 3, if(ISBLANK('2025'!$Q146), 0, 1), 4, if(ISBLANK('2025'!$R146), 0, 1), 5, if(ISBLANK('2025'!$S146), 0, 1), 6, if(ISBLANK('2025'!$T146), 0, 1), 7, 0))), 1, "")</f>
        <v/>
      </c>
      <c r="P148" s="1" t="str">
        <f>IF(AND(AND(AND(P$4&gt;='2025'!$L146,P$4&lt;='2025'!$M146), P$4&lt;&gt;DATE(2025,7,4)), (SWITCH(weekday(P$4), 1, 0, 2, if(ISBLANK('2025'!$P146), 0, 1), 3, if(ISBLANK('2025'!$Q146), 0, 1), 4, if(ISBLANK('2025'!$R146), 0, 1), 5, if(ISBLANK('2025'!$S146), 0, 1), 6, if(ISBLANK('2025'!$T146), 0, 1), 7, 0))), 1, "")</f>
        <v/>
      </c>
      <c r="Q148" s="1" t="str">
        <f>IF(AND(AND(AND(Q$4&gt;='2025'!$L146,Q$4&lt;='2025'!$M146), Q$4&lt;&gt;DATE(2025,7,4)), (SWITCH(weekday(Q$4), 1, 0, 2, if(ISBLANK('2025'!$P146), 0, 1), 3, if(ISBLANK('2025'!$Q146), 0, 1), 4, if(ISBLANK('2025'!$R146), 0, 1), 5, if(ISBLANK('2025'!$S146), 0, 1), 6, if(ISBLANK('2025'!$T146), 0, 1), 7, 0))), 1, "")</f>
        <v/>
      </c>
      <c r="R148" s="1" t="str">
        <f>IF(AND(AND(AND(R$4&gt;='2025'!$L146,R$4&lt;='2025'!$M146), R$4&lt;&gt;DATE(2025,7,4)), (SWITCH(weekday(R$4), 1, 0, 2, if(ISBLANK('2025'!$P146), 0, 1), 3, if(ISBLANK('2025'!$Q146), 0, 1), 4, if(ISBLANK('2025'!$R146), 0, 1), 5, if(ISBLANK('2025'!$S146), 0, 1), 6, if(ISBLANK('2025'!$T146), 0, 1), 7, 0))), 1, "")</f>
        <v/>
      </c>
      <c r="S148" s="1" t="str">
        <f>IF(AND(AND(AND(S$4&gt;='2025'!$L146,S$4&lt;='2025'!$M146), S$4&lt;&gt;DATE(2025,7,4)), (SWITCH(weekday(S$4), 1, 0, 2, if(ISBLANK('2025'!$P146), 0, 1), 3, if(ISBLANK('2025'!$Q146), 0, 1), 4, if(ISBLANK('2025'!$R146), 0, 1), 5, if(ISBLANK('2025'!$S146), 0, 1), 6, if(ISBLANK('2025'!$T146), 0, 1), 7, 0))), 1, "")</f>
        <v/>
      </c>
      <c r="T148" s="1" t="str">
        <f>IF(AND(AND(AND(T$4&gt;='2025'!$L146,T$4&lt;='2025'!$M146), T$4&lt;&gt;DATE(2025,7,4)), (SWITCH(weekday(T$4), 1, 0, 2, if(ISBLANK('2025'!$P146), 0, 1), 3, if(ISBLANK('2025'!$Q146), 0, 1), 4, if(ISBLANK('2025'!$R146), 0, 1), 5, if(ISBLANK('2025'!$S146), 0, 1), 6, if(ISBLANK('2025'!$T146), 0, 1), 7, 0))), 1, "")</f>
        <v/>
      </c>
      <c r="U148" s="1" t="str">
        <f>IF(AND(AND(AND(U$4&gt;='2025'!$L146,U$4&lt;='2025'!$M146), U$4&lt;&gt;DATE(2025,7,4)), (SWITCH(weekday(U$4), 1, 0, 2, if(ISBLANK('2025'!$P146), 0, 1), 3, if(ISBLANK('2025'!$Q146), 0, 1), 4, if(ISBLANK('2025'!$R146), 0, 1), 5, if(ISBLANK('2025'!$S146), 0, 1), 6, if(ISBLANK('2025'!$T146), 0, 1), 7, 0))), 1, "")</f>
        <v/>
      </c>
      <c r="V148" s="1" t="str">
        <f>IF(AND(AND(AND(V$4&gt;='2025'!$L146,V$4&lt;='2025'!$M146), V$4&lt;&gt;DATE(2025,7,4)), (SWITCH(weekday(V$4), 1, 0, 2, if(ISBLANK('2025'!$P146), 0, 1), 3, if(ISBLANK('2025'!$Q146), 0, 1), 4, if(ISBLANK('2025'!$R146), 0, 1), 5, if(ISBLANK('2025'!$S146), 0, 1), 6, if(ISBLANK('2025'!$T146), 0, 1), 7, 0))), 1, "")</f>
        <v/>
      </c>
      <c r="W148" s="1" t="str">
        <f>IF(AND(AND(AND(W$4&gt;='2025'!$L146,W$4&lt;='2025'!$M146), W$4&lt;&gt;DATE(2025,7,4)), (SWITCH(weekday(W$4), 1, 0, 2, if(ISBLANK('2025'!$P146), 0, 1), 3, if(ISBLANK('2025'!$Q146), 0, 1), 4, if(ISBLANK('2025'!$R146), 0, 1), 5, if(ISBLANK('2025'!$S146), 0, 1), 6, if(ISBLANK('2025'!$T146), 0, 1), 7, 0))), 1, "")</f>
        <v/>
      </c>
      <c r="X148" s="1" t="str">
        <f>IF(AND(AND(AND(X$4&gt;='2025'!$L146,X$4&lt;='2025'!$M146), X$4&lt;&gt;DATE(2025,7,4)), (SWITCH(weekday(X$4), 1, 0, 2, if(ISBLANK('2025'!$P146), 0, 1), 3, if(ISBLANK('2025'!$Q146), 0, 1), 4, if(ISBLANK('2025'!$R146), 0, 1), 5, if(ISBLANK('2025'!$S146), 0, 1), 6, if(ISBLANK('2025'!$T146), 0, 1), 7, 0))), 1, "")</f>
        <v/>
      </c>
      <c r="Y148" s="1" t="str">
        <f>IF(AND(AND(AND(Y$4&gt;='2025'!$L146,Y$4&lt;='2025'!$M146), Y$4&lt;&gt;DATE(2025,7,4)), (SWITCH(weekday(Y$4), 1, 0, 2, if(ISBLANK('2025'!$P146), 0, 1), 3, if(ISBLANK('2025'!$Q146), 0, 1), 4, if(ISBLANK('2025'!$R146), 0, 1), 5, if(ISBLANK('2025'!$S146), 0, 1), 6, if(ISBLANK('2025'!$T146), 0, 1), 7, 0))), 1, "")</f>
        <v/>
      </c>
      <c r="Z148" s="1" t="str">
        <f>IF(AND(AND(AND(Z$4&gt;='2025'!$L146,Z$4&lt;='2025'!$M146), Z$4&lt;&gt;DATE(2025,7,4)), (SWITCH(weekday(Z$4), 1, 0, 2, if(ISBLANK('2025'!$P146), 0, 1), 3, if(ISBLANK('2025'!$Q146), 0, 1), 4, if(ISBLANK('2025'!$R146), 0, 1), 5, if(ISBLANK('2025'!$S146), 0, 1), 6, if(ISBLANK('2025'!$T146), 0, 1), 7, 0))), 1, "")</f>
        <v/>
      </c>
      <c r="AA148" s="1" t="str">
        <f>IF(AND(AND(AND(AA$4&gt;='2025'!$L146,AA$4&lt;='2025'!$M146), AA$4&lt;&gt;DATE(2025,7,4)), (SWITCH(weekday(AA$4), 1, 0, 2, if(ISBLANK('2025'!$P146), 0, 1), 3, if(ISBLANK('2025'!$Q146), 0, 1), 4, if(ISBLANK('2025'!$R146), 0, 1), 5, if(ISBLANK('2025'!$S146), 0, 1), 6, if(ISBLANK('2025'!$T146), 0, 1), 7, 0))), 1, "")</f>
        <v/>
      </c>
      <c r="AB148" s="1" t="str">
        <f>IF(AND(AND(AND(AB$4&gt;='2025'!$L146,AB$4&lt;='2025'!$M146), AB$4&lt;&gt;DATE(2025,7,4)), (SWITCH(weekday(AB$4), 1, 0, 2, if(ISBLANK('2025'!$P146), 0, 1), 3, if(ISBLANK('2025'!$Q146), 0, 1), 4, if(ISBLANK('2025'!$R146), 0, 1), 5, if(ISBLANK('2025'!$S146), 0, 1), 6, if(ISBLANK('2025'!$T146), 0, 1), 7, 0))), 1, "")</f>
        <v/>
      </c>
      <c r="AC148" s="1" t="str">
        <f>IF(AND(AND(AND(AC$4&gt;='2025'!$L146,AC$4&lt;='2025'!$M146), AC$4&lt;&gt;DATE(2025,7,4)), (SWITCH(weekday(AC$4), 1, 0, 2, if(ISBLANK('2025'!$P146), 0, 1), 3, if(ISBLANK('2025'!$Q146), 0, 1), 4, if(ISBLANK('2025'!$R146), 0, 1), 5, if(ISBLANK('2025'!$S146), 0, 1), 6, if(ISBLANK('2025'!$T146), 0, 1), 7, 0))), 1, "")</f>
        <v/>
      </c>
      <c r="AD148" s="1" t="str">
        <f>IF(AND(AND(AND(AD$4&gt;='2025'!$L146,AD$4&lt;='2025'!$M146), AD$4&lt;&gt;DATE(2025,7,4)), (SWITCH(weekday(AD$4), 1, 0, 2, if(ISBLANK('2025'!$P146), 0, 1), 3, if(ISBLANK('2025'!$Q146), 0, 1), 4, if(ISBLANK('2025'!$R146), 0, 1), 5, if(ISBLANK('2025'!$S146), 0, 1), 6, if(ISBLANK('2025'!$T146), 0, 1), 7, 0))), 1, "")</f>
        <v/>
      </c>
      <c r="AE148" s="1" t="str">
        <f>IF(AND(AND(AND(AE$4&gt;='2025'!$L146,AE$4&lt;='2025'!$M146), AE$4&lt;&gt;DATE(2025,7,4)), (SWITCH(weekday(AE$4), 1, 0, 2, if(ISBLANK('2025'!$P146), 0, 1), 3, if(ISBLANK('2025'!$Q146), 0, 1), 4, if(ISBLANK('2025'!$R146), 0, 1), 5, if(ISBLANK('2025'!$S146), 0, 1), 6, if(ISBLANK('2025'!$T146), 0, 1), 7, 0))), 1, "")</f>
        <v/>
      </c>
      <c r="AF148" s="1" t="str">
        <f>IF(AND(AND(AND(AF$4&gt;='2025'!$L146,AF$4&lt;='2025'!$M146), AF$4&lt;&gt;DATE(2025,7,4)), (SWITCH(weekday(AF$4), 1, 0, 2, if(ISBLANK('2025'!$P146), 0, 1), 3, if(ISBLANK('2025'!$Q146), 0, 1), 4, if(ISBLANK('2025'!$R146), 0, 1), 5, if(ISBLANK('2025'!$S146), 0, 1), 6, if(ISBLANK('2025'!$T146), 0, 1), 7, 0))), 1, "")</f>
        <v/>
      </c>
      <c r="AG148" s="1" t="str">
        <f>IF(AND(AND(AND(AG$4&gt;='2025'!$L146,AG$4&lt;='2025'!$M146), AG$4&lt;&gt;DATE(2025,7,4)), (SWITCH(weekday(AG$4), 1, 0, 2, if(ISBLANK('2025'!$P146), 0, 1), 3, if(ISBLANK('2025'!$Q146), 0, 1), 4, if(ISBLANK('2025'!$R146), 0, 1), 5, if(ISBLANK('2025'!$S146), 0, 1), 6, if(ISBLANK('2025'!$T146), 0, 1), 7, 0))), 1, "")</f>
        <v/>
      </c>
      <c r="AH148" s="1" t="str">
        <f>IF(AND(AND(AND(AH$4&gt;='2025'!$L146,AH$4&lt;='2025'!$M146), AH$4&lt;&gt;DATE(2025,7,4)), (SWITCH(weekday(AH$4), 1, 0, 2, if(ISBLANK('2025'!$P146), 0, 1), 3, if(ISBLANK('2025'!$Q146), 0, 1), 4, if(ISBLANK('2025'!$R146), 0, 1), 5, if(ISBLANK('2025'!$S146), 0, 1), 6, if(ISBLANK('2025'!$T146), 0, 1), 7, 0))), 1, "")</f>
        <v/>
      </c>
      <c r="AI148" s="1" t="str">
        <f>IF(AND(AND(AND(AI$4&gt;='2025'!$L146,AI$4&lt;='2025'!$M146), AI$4&lt;&gt;DATE(2025,7,4)), (SWITCH(weekday(AI$4), 1, 0, 2, if(ISBLANK('2025'!$P146), 0, 1), 3, if(ISBLANK('2025'!$Q146), 0, 1), 4, if(ISBLANK('2025'!$R146), 0, 1), 5, if(ISBLANK('2025'!$S146), 0, 1), 6, if(ISBLANK('2025'!$T146), 0, 1), 7, 0))), 1, "")</f>
        <v/>
      </c>
      <c r="AJ148" s="1" t="str">
        <f>IF(AND(AND(AND(AJ$4&gt;='2025'!$L146,AJ$4&lt;='2025'!$M146), AJ$4&lt;&gt;DATE(2025,7,4)), (SWITCH(weekday(AJ$4), 1, 0, 2, if(ISBLANK('2025'!$P146), 0, 1), 3, if(ISBLANK('2025'!$Q146), 0, 1), 4, if(ISBLANK('2025'!$R146), 0, 1), 5, if(ISBLANK('2025'!$S146), 0, 1), 6, if(ISBLANK('2025'!$T146), 0, 1), 7, 0))), 1, "")</f>
        <v/>
      </c>
      <c r="AK148" s="1" t="str">
        <f>IF(AND(AND(AND(AK$4&gt;='2025'!$L146,AK$4&lt;='2025'!$M146), AK$4&lt;&gt;DATE(2025,7,4)), (SWITCH(weekday(AK$4), 1, 0, 2, if(ISBLANK('2025'!$P146), 0, 1), 3, if(ISBLANK('2025'!$Q146), 0, 1), 4, if(ISBLANK('2025'!$R146), 0, 1), 5, if(ISBLANK('2025'!$S146), 0, 1), 6, if(ISBLANK('2025'!$T146), 0, 1), 7, 0))), 1, "")</f>
        <v/>
      </c>
      <c r="AL148" s="1" t="str">
        <f>IF(AND(AND(AND(AL$4&gt;='2025'!$L146,AL$4&lt;='2025'!$M146), AL$4&lt;&gt;DATE(2025,7,4)), (SWITCH(weekday(AL$4), 1, 0, 2, if(ISBLANK('2025'!$P146), 0, 1), 3, if(ISBLANK('2025'!$Q146), 0, 1), 4, if(ISBLANK('2025'!$R146), 0, 1), 5, if(ISBLANK('2025'!$S146), 0, 1), 6, if(ISBLANK('2025'!$T146), 0, 1), 7, 0))), 1, "")</f>
        <v/>
      </c>
      <c r="AM148" s="1" t="str">
        <f>IF(AND(AND(AND(AM$4&gt;='2025'!$L146,AM$4&lt;='2025'!$M146), AM$4&lt;&gt;DATE(2025,7,4)), (SWITCH(weekday(AM$4), 1, 0, 2, if(ISBLANK('2025'!$P146), 0, 1), 3, if(ISBLANK('2025'!$Q146), 0, 1), 4, if(ISBLANK('2025'!$R146), 0, 1), 5, if(ISBLANK('2025'!$S146), 0, 1), 6, if(ISBLANK('2025'!$T146), 0, 1), 7, 0))), 1, "")</f>
        <v/>
      </c>
      <c r="AN148" s="1" t="str">
        <f>IF(AND(AND(AND(AN$4&gt;='2025'!$L146,AN$4&lt;='2025'!$M146), AN$4&lt;&gt;DATE(2025,7,4)), (SWITCH(weekday(AN$4), 1, 0, 2, if(ISBLANK('2025'!$P146), 0, 1), 3, if(ISBLANK('2025'!$Q146), 0, 1), 4, if(ISBLANK('2025'!$R146), 0, 1), 5, if(ISBLANK('2025'!$S146), 0, 1), 6, if(ISBLANK('2025'!$T146), 0, 1), 7, 0))), 1, "")</f>
        <v/>
      </c>
      <c r="AO148" s="1" t="str">
        <f>IF(AND(AND(AND(AO$4&gt;='2025'!$L146,AO$4&lt;='2025'!$M146), AO$4&lt;&gt;DATE(2025,7,4)), (SWITCH(weekday(AO$4), 1, 0, 2, if(ISBLANK('2025'!$P146), 0, 1), 3, if(ISBLANK('2025'!$Q146), 0, 1), 4, if(ISBLANK('2025'!$R146), 0, 1), 5, if(ISBLANK('2025'!$S146), 0, 1), 6, if(ISBLANK('2025'!$T146), 0, 1), 7, 0))), 1, "")</f>
        <v/>
      </c>
      <c r="AP148" s="1" t="str">
        <f>IF(AND(AND(AND(AP$4&gt;='2025'!$L146,AP$4&lt;='2025'!$M146), AP$4&lt;&gt;DATE(2025,7,4)), (SWITCH(weekday(AP$4), 1, 0, 2, if(ISBLANK('2025'!$P146), 0, 1), 3, if(ISBLANK('2025'!$Q146), 0, 1), 4, if(ISBLANK('2025'!$R146), 0, 1), 5, if(ISBLANK('2025'!$S146), 0, 1), 6, if(ISBLANK('2025'!$T146), 0, 1), 7, 0))), 1, "")</f>
        <v/>
      </c>
      <c r="AQ148" s="1" t="str">
        <f>IF(AND(AND(AND(AQ$4&gt;='2025'!$L146,AQ$4&lt;='2025'!$M146), AQ$4&lt;&gt;DATE(2025,7,4)), (SWITCH(weekday(AQ$4), 1, 0, 2, if(ISBLANK('2025'!$P146), 0, 1), 3, if(ISBLANK('2025'!$Q146), 0, 1), 4, if(ISBLANK('2025'!$R146), 0, 1), 5, if(ISBLANK('2025'!$S146), 0, 1), 6, if(ISBLANK('2025'!$T146), 0, 1), 7, 0))), 1, "")</f>
        <v/>
      </c>
      <c r="AR148" s="1" t="str">
        <f>IF(AND(AND(AND(AR$4&gt;='2025'!$L146,AR$4&lt;='2025'!$M146), AR$4&lt;&gt;DATE(2025,7,4)), (SWITCH(weekday(AR$4), 1, 0, 2, if(ISBLANK('2025'!$P146), 0, 1), 3, if(ISBLANK('2025'!$Q146), 0, 1), 4, if(ISBLANK('2025'!$R146), 0, 1), 5, if(ISBLANK('2025'!$S146), 0, 1), 6, if(ISBLANK('2025'!$T146), 0, 1), 7, 0))), 1, "")</f>
        <v/>
      </c>
      <c r="AS148" s="1" t="str">
        <f>IF(AND(AND(AND(AS$4&gt;='2025'!$L146,AS$4&lt;='2025'!$M146), AS$4&lt;&gt;DATE(2025,7,4)), (SWITCH(weekday(AS$4), 1, 0, 2, if(ISBLANK('2025'!$P146), 0, 1), 3, if(ISBLANK('2025'!$Q146), 0, 1), 4, if(ISBLANK('2025'!$R146), 0, 1), 5, if(ISBLANK('2025'!$S146), 0, 1), 6, if(ISBLANK('2025'!$T146), 0, 1), 7, 0))), 1, "")</f>
        <v/>
      </c>
      <c r="AT148" s="1" t="str">
        <f>IF(AND(AND(AND(AT$4&gt;='2025'!$L146,AT$4&lt;='2025'!$M146), AT$4&lt;&gt;DATE(2025,7,4)), (SWITCH(weekday(AT$4), 1, 0, 2, if(ISBLANK('2025'!$P146), 0, 1), 3, if(ISBLANK('2025'!$Q146), 0, 1), 4, if(ISBLANK('2025'!$R146), 0, 1), 5, if(ISBLANK('2025'!$S146), 0, 1), 6, if(ISBLANK('2025'!$T146), 0, 1), 7, 0))), 1, "")</f>
        <v/>
      </c>
      <c r="AU148" s="1" t="str">
        <f>IF(AND(AND(AND(AU$4&gt;='2025'!$L146,AU$4&lt;='2025'!$M146), AU$4&lt;&gt;DATE(2025,7,4)), (SWITCH(weekday(AU$4), 1, 0, 2, if(ISBLANK('2025'!$P146), 0, 1), 3, if(ISBLANK('2025'!$Q146), 0, 1), 4, if(ISBLANK('2025'!$R146), 0, 1), 5, if(ISBLANK('2025'!$S146), 0, 1), 6, if(ISBLANK('2025'!$T146), 0, 1), 7, 0))), 1, "")</f>
        <v/>
      </c>
      <c r="AV148" s="1" t="str">
        <f>IF(AND(AND(AND(AV$4&gt;='2025'!$L146,AV$4&lt;='2025'!$M146), AV$4&lt;&gt;DATE(2025,7,4)), (SWITCH(weekday(AV$4), 1, 0, 2, if(ISBLANK('2025'!$P146), 0, 1), 3, if(ISBLANK('2025'!$Q146), 0, 1), 4, if(ISBLANK('2025'!$R146), 0, 1), 5, if(ISBLANK('2025'!$S146), 0, 1), 6, if(ISBLANK('2025'!$T146), 0, 1), 7, 0))), 1, "")</f>
        <v/>
      </c>
      <c r="AW148" s="1" t="str">
        <f>IF(AND(AND(AND(AW$4&gt;='2025'!$L146,AW$4&lt;='2025'!$M146), AW$4&lt;&gt;DATE(2025,7,4)), (SWITCH(weekday(AW$4), 1, 0, 2, if(ISBLANK('2025'!$P146), 0, 1), 3, if(ISBLANK('2025'!$Q146), 0, 1), 4, if(ISBLANK('2025'!$R146), 0, 1), 5, if(ISBLANK('2025'!$S146), 0, 1), 6, if(ISBLANK('2025'!$T146), 0, 1), 7, 0))), 1, "")</f>
        <v/>
      </c>
      <c r="AX148" s="1" t="str">
        <f>IF(AND(AND(AND(AX$4&gt;='2025'!$L146,AX$4&lt;='2025'!$M146), AX$4&lt;&gt;DATE(2025,7,4)), (SWITCH(weekday(AX$4), 1, 0, 2, if(ISBLANK('2025'!$P146), 0, 1), 3, if(ISBLANK('2025'!$Q146), 0, 1), 4, if(ISBLANK('2025'!$R146), 0, 1), 5, if(ISBLANK('2025'!$S146), 0, 1), 6, if(ISBLANK('2025'!$T146), 0, 1), 7, 0))), 1, "")</f>
        <v/>
      </c>
      <c r="AY148" s="1" t="str">
        <f>IF(AND(AND(AND(AY$4&gt;='2025'!$L146,AY$4&lt;='2025'!$M146), AY$4&lt;&gt;DATE(2025,7,4)), (SWITCH(weekday(AY$4), 1, 0, 2, if(ISBLANK('2025'!$P146), 0, 1), 3, if(ISBLANK('2025'!$Q146), 0, 1), 4, if(ISBLANK('2025'!$R146), 0, 1), 5, if(ISBLANK('2025'!$S146), 0, 1), 6, if(ISBLANK('2025'!$T146), 0, 1), 7, 0))), 1, "")</f>
        <v/>
      </c>
      <c r="AZ148" s="1" t="str">
        <f>IF(AND(AND(AND(AZ$4&gt;='2025'!$L146,AZ$4&lt;='2025'!$M146), AZ$4&lt;&gt;DATE(2025,7,4)), (SWITCH(weekday(AZ$4), 1, 0, 2, if(ISBLANK('2025'!$P146), 0, 1), 3, if(ISBLANK('2025'!$Q146), 0, 1), 4, if(ISBLANK('2025'!$R146), 0, 1), 5, if(ISBLANK('2025'!$S146), 0, 1), 6, if(ISBLANK('2025'!$T146), 0, 1), 7, 0))), 1, "")</f>
        <v/>
      </c>
      <c r="BA148" s="1" t="str">
        <f>IF(AND(AND(AND(BA$4&gt;='2025'!$L146,BA$4&lt;='2025'!$M146), BA$4&lt;&gt;DATE(2025,7,4)), (SWITCH(weekday(BA$4), 1, 0, 2, if(ISBLANK('2025'!$P146), 0, 1), 3, if(ISBLANK('2025'!$Q146), 0, 1), 4, if(ISBLANK('2025'!$R146), 0, 1), 5, if(ISBLANK('2025'!$S146), 0, 1), 6, if(ISBLANK('2025'!$T146), 0, 1), 7, 0))), 1, "")</f>
        <v/>
      </c>
      <c r="BB148" s="1" t="str">
        <f>IF(AND(AND(AND(BB$4&gt;='2025'!$L146,BB$4&lt;='2025'!$M146), BB$4&lt;&gt;DATE(2025,7,4)), (SWITCH(weekday(BB$4), 1, 0, 2, if(ISBLANK('2025'!$P146), 0, 1), 3, if(ISBLANK('2025'!$Q146), 0, 1), 4, if(ISBLANK('2025'!$R146), 0, 1), 5, if(ISBLANK('2025'!$S146), 0, 1), 6, if(ISBLANK('2025'!$T146), 0, 1), 7, 0))), 1, "")</f>
        <v/>
      </c>
      <c r="BC148" s="1" t="str">
        <f>IF(AND(AND(AND(BC$4&gt;='2025'!$L146,BC$4&lt;='2025'!$M146), BC$4&lt;&gt;DATE(2025,7,4)), (SWITCH(weekday(BC$4), 1, 0, 2, if(ISBLANK('2025'!$P146), 0, 1), 3, if(ISBLANK('2025'!$Q146), 0, 1), 4, if(ISBLANK('2025'!$R146), 0, 1), 5, if(ISBLANK('2025'!$S146), 0, 1), 6, if(ISBLANK('2025'!$T146), 0, 1), 7, 0))), 1, "")</f>
        <v/>
      </c>
      <c r="BD148" s="1" t="str">
        <f>IF(AND(AND(AND(BD$4&gt;='2025'!$L146,BD$4&lt;='2025'!$M146), BD$4&lt;&gt;DATE(2025,7,4)), (SWITCH(weekday(BD$4), 1, 0, 2, if(ISBLANK('2025'!$P146), 0, 1), 3, if(ISBLANK('2025'!$Q146), 0, 1), 4, if(ISBLANK('2025'!$R146), 0, 1), 5, if(ISBLANK('2025'!$S146), 0, 1), 6, if(ISBLANK('2025'!$T146), 0, 1), 7, 0))), 1, "")</f>
        <v/>
      </c>
      <c r="BE148" s="1" t="str">
        <f>IF(AND(AND(AND(BE$4&gt;='2025'!$L146,BE$4&lt;='2025'!$M146), BE$4&lt;&gt;DATE(2025,7,4)), (SWITCH(weekday(BE$4), 1, 0, 2, if(ISBLANK('2025'!$P146), 0, 1), 3, if(ISBLANK('2025'!$Q146), 0, 1), 4, if(ISBLANK('2025'!$R146), 0, 1), 5, if(ISBLANK('2025'!$S146), 0, 1), 6, if(ISBLANK('2025'!$T146), 0, 1), 7, 0))), 1, "")</f>
        <v/>
      </c>
      <c r="BF148" s="1" t="str">
        <f>IF(AND(AND(AND(BF$4&gt;='2025'!$L146,BF$4&lt;='2025'!$M146), BF$4&lt;&gt;DATE(2025,7,4)), (SWITCH(weekday(BF$4), 1, 0, 2, if(ISBLANK('2025'!$P146), 0, 1), 3, if(ISBLANK('2025'!$Q146), 0, 1), 4, if(ISBLANK('2025'!$R146), 0, 1), 5, if(ISBLANK('2025'!$S146), 0, 1), 6, if(ISBLANK('2025'!$T146), 0, 1), 7, 0))), 1, "")</f>
        <v/>
      </c>
      <c r="BG148" s="1"/>
      <c r="BH148" s="1"/>
      <c r="BI148" s="1"/>
      <c r="BJ148" s="1"/>
      <c r="BK148" s="1"/>
      <c r="BL148" s="1"/>
    </row>
    <row r="149">
      <c r="A149" s="1">
        <f t="shared" si="3"/>
        <v>149</v>
      </c>
      <c r="B149" s="1" t="str">
        <f>'2025'!D113</f>
        <v>, </v>
      </c>
      <c r="C149" s="1" t="str">
        <f>'2025'!H113</f>
        <v/>
      </c>
      <c r="D149" s="1" t="str">
        <f>IF(AND(AND(AND(D$4&gt;='2025'!$L147,D$4&lt;='2025'!$M147), D$4&lt;&gt;DATE(2025,7,4)), (SWITCH(weekday(D$4), 1, 0, 2, if(ISBLANK('2025'!$P147), 0, 1), 3, if(ISBLANK('2025'!$Q147), 0, 1), 4, if(ISBLANK('2025'!$R147), 0, 1), 5, if(ISBLANK('2025'!$S147), 0, 1), 6, if(ISBLANK('2025'!$T147), 0, 1), 7, 0))), 1, "")</f>
        <v/>
      </c>
      <c r="E149" s="1" t="str">
        <f>IF(AND(AND(AND(E$4&gt;='2025'!$L147,E$4&lt;='2025'!$M147), E$4&lt;&gt;DATE(2025,7,4)), (SWITCH(weekday(E$4), 1, 0, 2, if(ISBLANK('2025'!$P147), 0, 1), 3, if(ISBLANK('2025'!$Q147), 0, 1), 4, if(ISBLANK('2025'!$R147), 0, 1), 5, if(ISBLANK('2025'!$S147), 0, 1), 6, if(ISBLANK('2025'!$T147), 0, 1), 7, 0))), 1, "")</f>
        <v/>
      </c>
      <c r="F149" s="1" t="str">
        <f>IF(AND(AND(AND(F$4&gt;='2025'!$L147,F$4&lt;='2025'!$M147), F$4&lt;&gt;DATE(2025,7,4)), (SWITCH(weekday(F$4), 1, 0, 2, if(ISBLANK('2025'!$P147), 0, 1), 3, if(ISBLANK('2025'!$Q147), 0, 1), 4, if(ISBLANK('2025'!$R147), 0, 1), 5, if(ISBLANK('2025'!$S147), 0, 1), 6, if(ISBLANK('2025'!$T147), 0, 1), 7, 0))), 1, "")</f>
        <v/>
      </c>
      <c r="G149" s="1" t="str">
        <f>IF(AND(AND(AND(G$4&gt;='2025'!$L147,G$4&lt;='2025'!$M147), G$4&lt;&gt;DATE(2025,7,4)), (SWITCH(weekday(G$4), 1, 0, 2, if(ISBLANK('2025'!$P147), 0, 1), 3, if(ISBLANK('2025'!$Q147), 0, 1), 4, if(ISBLANK('2025'!$R147), 0, 1), 5, if(ISBLANK('2025'!$S147), 0, 1), 6, if(ISBLANK('2025'!$T147), 0, 1), 7, 0))), 1, "")</f>
        <v/>
      </c>
      <c r="H149" s="1" t="str">
        <f>IF(AND(AND(AND(H$4&gt;='2025'!$L147,H$4&lt;='2025'!$M147), H$4&lt;&gt;DATE(2025,7,4)), (SWITCH(weekday(H$4), 1, 0, 2, if(ISBLANK('2025'!$P147), 0, 1), 3, if(ISBLANK('2025'!$Q147), 0, 1), 4, if(ISBLANK('2025'!$R147), 0, 1), 5, if(ISBLANK('2025'!$S147), 0, 1), 6, if(ISBLANK('2025'!$T147), 0, 1), 7, 0))), 1, "")</f>
        <v/>
      </c>
      <c r="I149" s="1" t="str">
        <f>IF(AND(AND(AND(I$4&gt;='2025'!$L147,I$4&lt;='2025'!$M147), I$4&lt;&gt;DATE(2025,7,4)), (SWITCH(weekday(I$4), 1, 0, 2, if(ISBLANK('2025'!$P147), 0, 1), 3, if(ISBLANK('2025'!$Q147), 0, 1), 4, if(ISBLANK('2025'!$R147), 0, 1), 5, if(ISBLANK('2025'!$S147), 0, 1), 6, if(ISBLANK('2025'!$T147), 0, 1), 7, 0))), 1, "")</f>
        <v/>
      </c>
      <c r="J149" s="1" t="str">
        <f>IF(AND(AND(AND(J$4&gt;='2025'!$L147,J$4&lt;='2025'!$M147), J$4&lt;&gt;DATE(2025,7,4)), (SWITCH(weekday(J$4), 1, 0, 2, if(ISBLANK('2025'!$P147), 0, 1), 3, if(ISBLANK('2025'!$Q147), 0, 1), 4, if(ISBLANK('2025'!$R147), 0, 1), 5, if(ISBLANK('2025'!$S147), 0, 1), 6, if(ISBLANK('2025'!$T147), 0, 1), 7, 0))), 1, "")</f>
        <v/>
      </c>
      <c r="K149" s="1" t="str">
        <f>IF(AND(AND(AND(K$4&gt;='2025'!$L147,K$4&lt;='2025'!$M147), K$4&lt;&gt;DATE(2025,7,4)), (SWITCH(weekday(K$4), 1, 0, 2, if(ISBLANK('2025'!$P147), 0, 1), 3, if(ISBLANK('2025'!$Q147), 0, 1), 4, if(ISBLANK('2025'!$R147), 0, 1), 5, if(ISBLANK('2025'!$S147), 0, 1), 6, if(ISBLANK('2025'!$T147), 0, 1), 7, 0))), 1, "")</f>
        <v/>
      </c>
      <c r="L149" s="1" t="str">
        <f>IF(AND(AND(AND(L$4&gt;='2025'!$L147,L$4&lt;='2025'!$M147), L$4&lt;&gt;DATE(2025,7,4)), (SWITCH(weekday(L$4), 1, 0, 2, if(ISBLANK('2025'!$P147), 0, 1), 3, if(ISBLANK('2025'!$Q147), 0, 1), 4, if(ISBLANK('2025'!$R147), 0, 1), 5, if(ISBLANK('2025'!$S147), 0, 1), 6, if(ISBLANK('2025'!$T147), 0, 1), 7, 0))), 1, "")</f>
        <v/>
      </c>
      <c r="M149" s="1" t="str">
        <f>IF(AND(AND(AND(M$4&gt;='2025'!$L147,M$4&lt;='2025'!$M147), M$4&lt;&gt;DATE(2025,7,4)), (SWITCH(weekday(M$4), 1, 0, 2, if(ISBLANK('2025'!$P147), 0, 1), 3, if(ISBLANK('2025'!$Q147), 0, 1), 4, if(ISBLANK('2025'!$R147), 0, 1), 5, if(ISBLANK('2025'!$S147), 0, 1), 6, if(ISBLANK('2025'!$T147), 0, 1), 7, 0))), 1, "")</f>
        <v/>
      </c>
      <c r="N149" s="1" t="str">
        <f>IF(AND(AND(AND(N$4&gt;='2025'!$L147,N$4&lt;='2025'!$M147), N$4&lt;&gt;DATE(2025,7,4)), (SWITCH(weekday(N$4), 1, 0, 2, if(ISBLANK('2025'!$P147), 0, 1), 3, if(ISBLANK('2025'!$Q147), 0, 1), 4, if(ISBLANK('2025'!$R147), 0, 1), 5, if(ISBLANK('2025'!$S147), 0, 1), 6, if(ISBLANK('2025'!$T147), 0, 1), 7, 0))), 1, "")</f>
        <v/>
      </c>
      <c r="O149" s="1" t="str">
        <f>IF(AND(AND(AND(O$4&gt;='2025'!$L147,O$4&lt;='2025'!$M147), O$4&lt;&gt;DATE(2025,7,4)), (SWITCH(weekday(O$4), 1, 0, 2, if(ISBLANK('2025'!$P147), 0, 1), 3, if(ISBLANK('2025'!$Q147), 0, 1), 4, if(ISBLANK('2025'!$R147), 0, 1), 5, if(ISBLANK('2025'!$S147), 0, 1), 6, if(ISBLANK('2025'!$T147), 0, 1), 7, 0))), 1, "")</f>
        <v/>
      </c>
      <c r="P149" s="1" t="str">
        <f>IF(AND(AND(AND(P$4&gt;='2025'!$L147,P$4&lt;='2025'!$M147), P$4&lt;&gt;DATE(2025,7,4)), (SWITCH(weekday(P$4), 1, 0, 2, if(ISBLANK('2025'!$P147), 0, 1), 3, if(ISBLANK('2025'!$Q147), 0, 1), 4, if(ISBLANK('2025'!$R147), 0, 1), 5, if(ISBLANK('2025'!$S147), 0, 1), 6, if(ISBLANK('2025'!$T147), 0, 1), 7, 0))), 1, "")</f>
        <v/>
      </c>
      <c r="Q149" s="1" t="str">
        <f>IF(AND(AND(AND(Q$4&gt;='2025'!$L147,Q$4&lt;='2025'!$M147), Q$4&lt;&gt;DATE(2025,7,4)), (SWITCH(weekday(Q$4), 1, 0, 2, if(ISBLANK('2025'!$P147), 0, 1), 3, if(ISBLANK('2025'!$Q147), 0, 1), 4, if(ISBLANK('2025'!$R147), 0, 1), 5, if(ISBLANK('2025'!$S147), 0, 1), 6, if(ISBLANK('2025'!$T147), 0, 1), 7, 0))), 1, "")</f>
        <v/>
      </c>
      <c r="R149" s="1" t="str">
        <f>IF(AND(AND(AND(R$4&gt;='2025'!$L147,R$4&lt;='2025'!$M147), R$4&lt;&gt;DATE(2025,7,4)), (SWITCH(weekday(R$4), 1, 0, 2, if(ISBLANK('2025'!$P147), 0, 1), 3, if(ISBLANK('2025'!$Q147), 0, 1), 4, if(ISBLANK('2025'!$R147), 0, 1), 5, if(ISBLANK('2025'!$S147), 0, 1), 6, if(ISBLANK('2025'!$T147), 0, 1), 7, 0))), 1, "")</f>
        <v/>
      </c>
      <c r="S149" s="1" t="str">
        <f>IF(AND(AND(AND(S$4&gt;='2025'!$L147,S$4&lt;='2025'!$M147), S$4&lt;&gt;DATE(2025,7,4)), (SWITCH(weekday(S$4), 1, 0, 2, if(ISBLANK('2025'!$P147), 0, 1), 3, if(ISBLANK('2025'!$Q147), 0, 1), 4, if(ISBLANK('2025'!$R147), 0, 1), 5, if(ISBLANK('2025'!$S147), 0, 1), 6, if(ISBLANK('2025'!$T147), 0, 1), 7, 0))), 1, "")</f>
        <v/>
      </c>
      <c r="T149" s="1" t="str">
        <f>IF(AND(AND(AND(T$4&gt;='2025'!$L147,T$4&lt;='2025'!$M147), T$4&lt;&gt;DATE(2025,7,4)), (SWITCH(weekday(T$4), 1, 0, 2, if(ISBLANK('2025'!$P147), 0, 1), 3, if(ISBLANK('2025'!$Q147), 0, 1), 4, if(ISBLANK('2025'!$R147), 0, 1), 5, if(ISBLANK('2025'!$S147), 0, 1), 6, if(ISBLANK('2025'!$T147), 0, 1), 7, 0))), 1, "")</f>
        <v/>
      </c>
      <c r="U149" s="1" t="str">
        <f>IF(AND(AND(AND(U$4&gt;='2025'!$L147,U$4&lt;='2025'!$M147), U$4&lt;&gt;DATE(2025,7,4)), (SWITCH(weekday(U$4), 1, 0, 2, if(ISBLANK('2025'!$P147), 0, 1), 3, if(ISBLANK('2025'!$Q147), 0, 1), 4, if(ISBLANK('2025'!$R147), 0, 1), 5, if(ISBLANK('2025'!$S147), 0, 1), 6, if(ISBLANK('2025'!$T147), 0, 1), 7, 0))), 1, "")</f>
        <v/>
      </c>
      <c r="V149" s="1" t="str">
        <f>IF(AND(AND(AND(V$4&gt;='2025'!$L147,V$4&lt;='2025'!$M147), V$4&lt;&gt;DATE(2025,7,4)), (SWITCH(weekday(V$4), 1, 0, 2, if(ISBLANK('2025'!$P147), 0, 1), 3, if(ISBLANK('2025'!$Q147), 0, 1), 4, if(ISBLANK('2025'!$R147), 0, 1), 5, if(ISBLANK('2025'!$S147), 0, 1), 6, if(ISBLANK('2025'!$T147), 0, 1), 7, 0))), 1, "")</f>
        <v/>
      </c>
      <c r="W149" s="1" t="str">
        <f>IF(AND(AND(AND(W$4&gt;='2025'!$L147,W$4&lt;='2025'!$M147), W$4&lt;&gt;DATE(2025,7,4)), (SWITCH(weekday(W$4), 1, 0, 2, if(ISBLANK('2025'!$P147), 0, 1), 3, if(ISBLANK('2025'!$Q147), 0, 1), 4, if(ISBLANK('2025'!$R147), 0, 1), 5, if(ISBLANK('2025'!$S147), 0, 1), 6, if(ISBLANK('2025'!$T147), 0, 1), 7, 0))), 1, "")</f>
        <v/>
      </c>
      <c r="X149" s="1" t="str">
        <f>IF(AND(AND(AND(X$4&gt;='2025'!$L147,X$4&lt;='2025'!$M147), X$4&lt;&gt;DATE(2025,7,4)), (SWITCH(weekday(X$4), 1, 0, 2, if(ISBLANK('2025'!$P147), 0, 1), 3, if(ISBLANK('2025'!$Q147), 0, 1), 4, if(ISBLANK('2025'!$R147), 0, 1), 5, if(ISBLANK('2025'!$S147), 0, 1), 6, if(ISBLANK('2025'!$T147), 0, 1), 7, 0))), 1, "")</f>
        <v/>
      </c>
      <c r="Y149" s="1" t="str">
        <f>IF(AND(AND(AND(Y$4&gt;='2025'!$L147,Y$4&lt;='2025'!$M147), Y$4&lt;&gt;DATE(2025,7,4)), (SWITCH(weekday(Y$4), 1, 0, 2, if(ISBLANK('2025'!$P147), 0, 1), 3, if(ISBLANK('2025'!$Q147), 0, 1), 4, if(ISBLANK('2025'!$R147), 0, 1), 5, if(ISBLANK('2025'!$S147), 0, 1), 6, if(ISBLANK('2025'!$T147), 0, 1), 7, 0))), 1, "")</f>
        <v/>
      </c>
      <c r="Z149" s="1" t="str">
        <f>IF(AND(AND(AND(Z$4&gt;='2025'!$L147,Z$4&lt;='2025'!$M147), Z$4&lt;&gt;DATE(2025,7,4)), (SWITCH(weekday(Z$4), 1, 0, 2, if(ISBLANK('2025'!$P147), 0, 1), 3, if(ISBLANK('2025'!$Q147), 0, 1), 4, if(ISBLANK('2025'!$R147), 0, 1), 5, if(ISBLANK('2025'!$S147), 0, 1), 6, if(ISBLANK('2025'!$T147), 0, 1), 7, 0))), 1, "")</f>
        <v/>
      </c>
      <c r="AA149" s="1" t="str">
        <f>IF(AND(AND(AND(AA$4&gt;='2025'!$L147,AA$4&lt;='2025'!$M147), AA$4&lt;&gt;DATE(2025,7,4)), (SWITCH(weekday(AA$4), 1, 0, 2, if(ISBLANK('2025'!$P147), 0, 1), 3, if(ISBLANK('2025'!$Q147), 0, 1), 4, if(ISBLANK('2025'!$R147), 0, 1), 5, if(ISBLANK('2025'!$S147), 0, 1), 6, if(ISBLANK('2025'!$T147), 0, 1), 7, 0))), 1, "")</f>
        <v/>
      </c>
      <c r="AB149" s="1" t="str">
        <f>IF(AND(AND(AND(AB$4&gt;='2025'!$L147,AB$4&lt;='2025'!$M147), AB$4&lt;&gt;DATE(2025,7,4)), (SWITCH(weekday(AB$4), 1, 0, 2, if(ISBLANK('2025'!$P147), 0, 1), 3, if(ISBLANK('2025'!$Q147), 0, 1), 4, if(ISBLANK('2025'!$R147), 0, 1), 5, if(ISBLANK('2025'!$S147), 0, 1), 6, if(ISBLANK('2025'!$T147), 0, 1), 7, 0))), 1, "")</f>
        <v/>
      </c>
      <c r="AC149" s="1" t="str">
        <f>IF(AND(AND(AND(AC$4&gt;='2025'!$L147,AC$4&lt;='2025'!$M147), AC$4&lt;&gt;DATE(2025,7,4)), (SWITCH(weekday(AC$4), 1, 0, 2, if(ISBLANK('2025'!$P147), 0, 1), 3, if(ISBLANK('2025'!$Q147), 0, 1), 4, if(ISBLANK('2025'!$R147), 0, 1), 5, if(ISBLANK('2025'!$S147), 0, 1), 6, if(ISBLANK('2025'!$T147), 0, 1), 7, 0))), 1, "")</f>
        <v/>
      </c>
      <c r="AD149" s="1" t="str">
        <f>IF(AND(AND(AND(AD$4&gt;='2025'!$L147,AD$4&lt;='2025'!$M147), AD$4&lt;&gt;DATE(2025,7,4)), (SWITCH(weekday(AD$4), 1, 0, 2, if(ISBLANK('2025'!$P147), 0, 1), 3, if(ISBLANK('2025'!$Q147), 0, 1), 4, if(ISBLANK('2025'!$R147), 0, 1), 5, if(ISBLANK('2025'!$S147), 0, 1), 6, if(ISBLANK('2025'!$T147), 0, 1), 7, 0))), 1, "")</f>
        <v/>
      </c>
      <c r="AE149" s="1" t="str">
        <f>IF(AND(AND(AND(AE$4&gt;='2025'!$L147,AE$4&lt;='2025'!$M147), AE$4&lt;&gt;DATE(2025,7,4)), (SWITCH(weekday(AE$4), 1, 0, 2, if(ISBLANK('2025'!$P147), 0, 1), 3, if(ISBLANK('2025'!$Q147), 0, 1), 4, if(ISBLANK('2025'!$R147), 0, 1), 5, if(ISBLANK('2025'!$S147), 0, 1), 6, if(ISBLANK('2025'!$T147), 0, 1), 7, 0))), 1, "")</f>
        <v/>
      </c>
      <c r="AF149" s="1" t="str">
        <f>IF(AND(AND(AND(AF$4&gt;='2025'!$L147,AF$4&lt;='2025'!$M147), AF$4&lt;&gt;DATE(2025,7,4)), (SWITCH(weekday(AF$4), 1, 0, 2, if(ISBLANK('2025'!$P147), 0, 1), 3, if(ISBLANK('2025'!$Q147), 0, 1), 4, if(ISBLANK('2025'!$R147), 0, 1), 5, if(ISBLANK('2025'!$S147), 0, 1), 6, if(ISBLANK('2025'!$T147), 0, 1), 7, 0))), 1, "")</f>
        <v/>
      </c>
      <c r="AG149" s="1" t="str">
        <f>IF(AND(AND(AND(AG$4&gt;='2025'!$L147,AG$4&lt;='2025'!$M147), AG$4&lt;&gt;DATE(2025,7,4)), (SWITCH(weekday(AG$4), 1, 0, 2, if(ISBLANK('2025'!$P147), 0, 1), 3, if(ISBLANK('2025'!$Q147), 0, 1), 4, if(ISBLANK('2025'!$R147), 0, 1), 5, if(ISBLANK('2025'!$S147), 0, 1), 6, if(ISBLANK('2025'!$T147), 0, 1), 7, 0))), 1, "")</f>
        <v/>
      </c>
      <c r="AH149" s="1" t="str">
        <f>IF(AND(AND(AND(AH$4&gt;='2025'!$L147,AH$4&lt;='2025'!$M147), AH$4&lt;&gt;DATE(2025,7,4)), (SWITCH(weekday(AH$4), 1, 0, 2, if(ISBLANK('2025'!$P147), 0, 1), 3, if(ISBLANK('2025'!$Q147), 0, 1), 4, if(ISBLANK('2025'!$R147), 0, 1), 5, if(ISBLANK('2025'!$S147), 0, 1), 6, if(ISBLANK('2025'!$T147), 0, 1), 7, 0))), 1, "")</f>
        <v/>
      </c>
      <c r="AI149" s="1" t="str">
        <f>IF(AND(AND(AND(AI$4&gt;='2025'!$L147,AI$4&lt;='2025'!$M147), AI$4&lt;&gt;DATE(2025,7,4)), (SWITCH(weekday(AI$4), 1, 0, 2, if(ISBLANK('2025'!$P147), 0, 1), 3, if(ISBLANK('2025'!$Q147), 0, 1), 4, if(ISBLANK('2025'!$R147), 0, 1), 5, if(ISBLANK('2025'!$S147), 0, 1), 6, if(ISBLANK('2025'!$T147), 0, 1), 7, 0))), 1, "")</f>
        <v/>
      </c>
      <c r="AJ149" s="1" t="str">
        <f>IF(AND(AND(AND(AJ$4&gt;='2025'!$L147,AJ$4&lt;='2025'!$M147), AJ$4&lt;&gt;DATE(2025,7,4)), (SWITCH(weekday(AJ$4), 1, 0, 2, if(ISBLANK('2025'!$P147), 0, 1), 3, if(ISBLANK('2025'!$Q147), 0, 1), 4, if(ISBLANK('2025'!$R147), 0, 1), 5, if(ISBLANK('2025'!$S147), 0, 1), 6, if(ISBLANK('2025'!$T147), 0, 1), 7, 0))), 1, "")</f>
        <v/>
      </c>
      <c r="AK149" s="1" t="str">
        <f>IF(AND(AND(AND(AK$4&gt;='2025'!$L147,AK$4&lt;='2025'!$M147), AK$4&lt;&gt;DATE(2025,7,4)), (SWITCH(weekday(AK$4), 1, 0, 2, if(ISBLANK('2025'!$P147), 0, 1), 3, if(ISBLANK('2025'!$Q147), 0, 1), 4, if(ISBLANK('2025'!$R147), 0, 1), 5, if(ISBLANK('2025'!$S147), 0, 1), 6, if(ISBLANK('2025'!$T147), 0, 1), 7, 0))), 1, "")</f>
        <v/>
      </c>
      <c r="AL149" s="1" t="str">
        <f>IF(AND(AND(AND(AL$4&gt;='2025'!$L147,AL$4&lt;='2025'!$M147), AL$4&lt;&gt;DATE(2025,7,4)), (SWITCH(weekday(AL$4), 1, 0, 2, if(ISBLANK('2025'!$P147), 0, 1), 3, if(ISBLANK('2025'!$Q147), 0, 1), 4, if(ISBLANK('2025'!$R147), 0, 1), 5, if(ISBLANK('2025'!$S147), 0, 1), 6, if(ISBLANK('2025'!$T147), 0, 1), 7, 0))), 1, "")</f>
        <v/>
      </c>
      <c r="AM149" s="1" t="str">
        <f>IF(AND(AND(AND(AM$4&gt;='2025'!$L147,AM$4&lt;='2025'!$M147), AM$4&lt;&gt;DATE(2025,7,4)), (SWITCH(weekday(AM$4), 1, 0, 2, if(ISBLANK('2025'!$P147), 0, 1), 3, if(ISBLANK('2025'!$Q147), 0, 1), 4, if(ISBLANK('2025'!$R147), 0, 1), 5, if(ISBLANK('2025'!$S147), 0, 1), 6, if(ISBLANK('2025'!$T147), 0, 1), 7, 0))), 1, "")</f>
        <v/>
      </c>
      <c r="AN149" s="1" t="str">
        <f>IF(AND(AND(AND(AN$4&gt;='2025'!$L147,AN$4&lt;='2025'!$M147), AN$4&lt;&gt;DATE(2025,7,4)), (SWITCH(weekday(AN$4), 1, 0, 2, if(ISBLANK('2025'!$P147), 0, 1), 3, if(ISBLANK('2025'!$Q147), 0, 1), 4, if(ISBLANK('2025'!$R147), 0, 1), 5, if(ISBLANK('2025'!$S147), 0, 1), 6, if(ISBLANK('2025'!$T147), 0, 1), 7, 0))), 1, "")</f>
        <v/>
      </c>
      <c r="AO149" s="1" t="str">
        <f>IF(AND(AND(AND(AO$4&gt;='2025'!$L147,AO$4&lt;='2025'!$M147), AO$4&lt;&gt;DATE(2025,7,4)), (SWITCH(weekday(AO$4), 1, 0, 2, if(ISBLANK('2025'!$P147), 0, 1), 3, if(ISBLANK('2025'!$Q147), 0, 1), 4, if(ISBLANK('2025'!$R147), 0, 1), 5, if(ISBLANK('2025'!$S147), 0, 1), 6, if(ISBLANK('2025'!$T147), 0, 1), 7, 0))), 1, "")</f>
        <v/>
      </c>
      <c r="AP149" s="1" t="str">
        <f>IF(AND(AND(AND(AP$4&gt;='2025'!$L147,AP$4&lt;='2025'!$M147), AP$4&lt;&gt;DATE(2025,7,4)), (SWITCH(weekday(AP$4), 1, 0, 2, if(ISBLANK('2025'!$P147), 0, 1), 3, if(ISBLANK('2025'!$Q147), 0, 1), 4, if(ISBLANK('2025'!$R147), 0, 1), 5, if(ISBLANK('2025'!$S147), 0, 1), 6, if(ISBLANK('2025'!$T147), 0, 1), 7, 0))), 1, "")</f>
        <v/>
      </c>
      <c r="AQ149" s="1" t="str">
        <f>IF(AND(AND(AND(AQ$4&gt;='2025'!$L147,AQ$4&lt;='2025'!$M147), AQ$4&lt;&gt;DATE(2025,7,4)), (SWITCH(weekday(AQ$4), 1, 0, 2, if(ISBLANK('2025'!$P147), 0, 1), 3, if(ISBLANK('2025'!$Q147), 0, 1), 4, if(ISBLANK('2025'!$R147), 0, 1), 5, if(ISBLANK('2025'!$S147), 0, 1), 6, if(ISBLANK('2025'!$T147), 0, 1), 7, 0))), 1, "")</f>
        <v/>
      </c>
      <c r="AR149" s="1" t="str">
        <f>IF(AND(AND(AND(AR$4&gt;='2025'!$L147,AR$4&lt;='2025'!$M147), AR$4&lt;&gt;DATE(2025,7,4)), (SWITCH(weekday(AR$4), 1, 0, 2, if(ISBLANK('2025'!$P147), 0, 1), 3, if(ISBLANK('2025'!$Q147), 0, 1), 4, if(ISBLANK('2025'!$R147), 0, 1), 5, if(ISBLANK('2025'!$S147), 0, 1), 6, if(ISBLANK('2025'!$T147), 0, 1), 7, 0))), 1, "")</f>
        <v/>
      </c>
      <c r="AS149" s="1" t="str">
        <f>IF(AND(AND(AND(AS$4&gt;='2025'!$L147,AS$4&lt;='2025'!$M147), AS$4&lt;&gt;DATE(2025,7,4)), (SWITCH(weekday(AS$4), 1, 0, 2, if(ISBLANK('2025'!$P147), 0, 1), 3, if(ISBLANK('2025'!$Q147), 0, 1), 4, if(ISBLANK('2025'!$R147), 0, 1), 5, if(ISBLANK('2025'!$S147), 0, 1), 6, if(ISBLANK('2025'!$T147), 0, 1), 7, 0))), 1, "")</f>
        <v/>
      </c>
      <c r="AT149" s="1" t="str">
        <f>IF(AND(AND(AND(AT$4&gt;='2025'!$L147,AT$4&lt;='2025'!$M147), AT$4&lt;&gt;DATE(2025,7,4)), (SWITCH(weekday(AT$4), 1, 0, 2, if(ISBLANK('2025'!$P147), 0, 1), 3, if(ISBLANK('2025'!$Q147), 0, 1), 4, if(ISBLANK('2025'!$R147), 0, 1), 5, if(ISBLANK('2025'!$S147), 0, 1), 6, if(ISBLANK('2025'!$T147), 0, 1), 7, 0))), 1, "")</f>
        <v/>
      </c>
      <c r="AU149" s="1" t="str">
        <f>IF(AND(AND(AND(AU$4&gt;='2025'!$L147,AU$4&lt;='2025'!$M147), AU$4&lt;&gt;DATE(2025,7,4)), (SWITCH(weekday(AU$4), 1, 0, 2, if(ISBLANK('2025'!$P147), 0, 1), 3, if(ISBLANK('2025'!$Q147), 0, 1), 4, if(ISBLANK('2025'!$R147), 0, 1), 5, if(ISBLANK('2025'!$S147), 0, 1), 6, if(ISBLANK('2025'!$T147), 0, 1), 7, 0))), 1, "")</f>
        <v/>
      </c>
      <c r="AV149" s="1" t="str">
        <f>IF(AND(AND(AND(AV$4&gt;='2025'!$L147,AV$4&lt;='2025'!$M147), AV$4&lt;&gt;DATE(2025,7,4)), (SWITCH(weekday(AV$4), 1, 0, 2, if(ISBLANK('2025'!$P147), 0, 1), 3, if(ISBLANK('2025'!$Q147), 0, 1), 4, if(ISBLANK('2025'!$R147), 0, 1), 5, if(ISBLANK('2025'!$S147), 0, 1), 6, if(ISBLANK('2025'!$T147), 0, 1), 7, 0))), 1, "")</f>
        <v/>
      </c>
      <c r="AW149" s="1" t="str">
        <f>IF(AND(AND(AND(AW$4&gt;='2025'!$L147,AW$4&lt;='2025'!$M147), AW$4&lt;&gt;DATE(2025,7,4)), (SWITCH(weekday(AW$4), 1, 0, 2, if(ISBLANK('2025'!$P147), 0, 1), 3, if(ISBLANK('2025'!$Q147), 0, 1), 4, if(ISBLANK('2025'!$R147), 0, 1), 5, if(ISBLANK('2025'!$S147), 0, 1), 6, if(ISBLANK('2025'!$T147), 0, 1), 7, 0))), 1, "")</f>
        <v/>
      </c>
      <c r="AX149" s="1" t="str">
        <f>IF(AND(AND(AND(AX$4&gt;='2025'!$L147,AX$4&lt;='2025'!$M147), AX$4&lt;&gt;DATE(2025,7,4)), (SWITCH(weekday(AX$4), 1, 0, 2, if(ISBLANK('2025'!$P147), 0, 1), 3, if(ISBLANK('2025'!$Q147), 0, 1), 4, if(ISBLANK('2025'!$R147), 0, 1), 5, if(ISBLANK('2025'!$S147), 0, 1), 6, if(ISBLANK('2025'!$T147), 0, 1), 7, 0))), 1, "")</f>
        <v/>
      </c>
      <c r="AY149" s="1" t="str">
        <f>IF(AND(AND(AND(AY$4&gt;='2025'!$L147,AY$4&lt;='2025'!$M147), AY$4&lt;&gt;DATE(2025,7,4)), (SWITCH(weekday(AY$4), 1, 0, 2, if(ISBLANK('2025'!$P147), 0, 1), 3, if(ISBLANK('2025'!$Q147), 0, 1), 4, if(ISBLANK('2025'!$R147), 0, 1), 5, if(ISBLANK('2025'!$S147), 0, 1), 6, if(ISBLANK('2025'!$T147), 0, 1), 7, 0))), 1, "")</f>
        <v/>
      </c>
      <c r="AZ149" s="1" t="str">
        <f>IF(AND(AND(AND(AZ$4&gt;='2025'!$L147,AZ$4&lt;='2025'!$M147), AZ$4&lt;&gt;DATE(2025,7,4)), (SWITCH(weekday(AZ$4), 1, 0, 2, if(ISBLANK('2025'!$P147), 0, 1), 3, if(ISBLANK('2025'!$Q147), 0, 1), 4, if(ISBLANK('2025'!$R147), 0, 1), 5, if(ISBLANK('2025'!$S147), 0, 1), 6, if(ISBLANK('2025'!$T147), 0, 1), 7, 0))), 1, "")</f>
        <v/>
      </c>
      <c r="BA149" s="1" t="str">
        <f>IF(AND(AND(AND(BA$4&gt;='2025'!$L147,BA$4&lt;='2025'!$M147), BA$4&lt;&gt;DATE(2025,7,4)), (SWITCH(weekday(BA$4), 1, 0, 2, if(ISBLANK('2025'!$P147), 0, 1), 3, if(ISBLANK('2025'!$Q147), 0, 1), 4, if(ISBLANK('2025'!$R147), 0, 1), 5, if(ISBLANK('2025'!$S147), 0, 1), 6, if(ISBLANK('2025'!$T147), 0, 1), 7, 0))), 1, "")</f>
        <v/>
      </c>
      <c r="BB149" s="1" t="str">
        <f>IF(AND(AND(AND(BB$4&gt;='2025'!$L147,BB$4&lt;='2025'!$M147), BB$4&lt;&gt;DATE(2025,7,4)), (SWITCH(weekday(BB$4), 1, 0, 2, if(ISBLANK('2025'!$P147), 0, 1), 3, if(ISBLANK('2025'!$Q147), 0, 1), 4, if(ISBLANK('2025'!$R147), 0, 1), 5, if(ISBLANK('2025'!$S147), 0, 1), 6, if(ISBLANK('2025'!$T147), 0, 1), 7, 0))), 1, "")</f>
        <v/>
      </c>
      <c r="BC149" s="1" t="str">
        <f>IF(AND(AND(AND(BC$4&gt;='2025'!$L147,BC$4&lt;='2025'!$M147), BC$4&lt;&gt;DATE(2025,7,4)), (SWITCH(weekday(BC$4), 1, 0, 2, if(ISBLANK('2025'!$P147), 0, 1), 3, if(ISBLANK('2025'!$Q147), 0, 1), 4, if(ISBLANK('2025'!$R147), 0, 1), 5, if(ISBLANK('2025'!$S147), 0, 1), 6, if(ISBLANK('2025'!$T147), 0, 1), 7, 0))), 1, "")</f>
        <v/>
      </c>
      <c r="BD149" s="1" t="str">
        <f>IF(AND(AND(AND(BD$4&gt;='2025'!$L147,BD$4&lt;='2025'!$M147), BD$4&lt;&gt;DATE(2025,7,4)), (SWITCH(weekday(BD$4), 1, 0, 2, if(ISBLANK('2025'!$P147), 0, 1), 3, if(ISBLANK('2025'!$Q147), 0, 1), 4, if(ISBLANK('2025'!$R147), 0, 1), 5, if(ISBLANK('2025'!$S147), 0, 1), 6, if(ISBLANK('2025'!$T147), 0, 1), 7, 0))), 1, "")</f>
        <v/>
      </c>
      <c r="BE149" s="1" t="str">
        <f>IF(AND(AND(AND(BE$4&gt;='2025'!$L147,BE$4&lt;='2025'!$M147), BE$4&lt;&gt;DATE(2025,7,4)), (SWITCH(weekday(BE$4), 1, 0, 2, if(ISBLANK('2025'!$P147), 0, 1), 3, if(ISBLANK('2025'!$Q147), 0, 1), 4, if(ISBLANK('2025'!$R147), 0, 1), 5, if(ISBLANK('2025'!$S147), 0, 1), 6, if(ISBLANK('2025'!$T147), 0, 1), 7, 0))), 1, "")</f>
        <v/>
      </c>
      <c r="BF149" s="1" t="str">
        <f>IF(AND(AND(AND(BF$4&gt;='2025'!$L147,BF$4&lt;='2025'!$M147), BF$4&lt;&gt;DATE(2025,7,4)), (SWITCH(weekday(BF$4), 1, 0, 2, if(ISBLANK('2025'!$P147), 0, 1), 3, if(ISBLANK('2025'!$Q147), 0, 1), 4, if(ISBLANK('2025'!$R147), 0, 1), 5, if(ISBLANK('2025'!$S147), 0, 1), 6, if(ISBLANK('2025'!$T147), 0, 1), 7, 0))), 1, "")</f>
        <v/>
      </c>
      <c r="BG149" s="1"/>
      <c r="BH149" s="1"/>
      <c r="BI149" s="1"/>
      <c r="BJ149" s="1"/>
      <c r="BK149" s="1"/>
      <c r="BL149" s="1"/>
    </row>
    <row r="150">
      <c r="A150" s="1">
        <f t="shared" si="3"/>
        <v>150</v>
      </c>
      <c r="B150" s="1" t="str">
        <f>'2025'!D114</f>
        <v>, </v>
      </c>
      <c r="C150" s="1" t="str">
        <f>'2025'!H114</f>
        <v/>
      </c>
      <c r="D150" s="1" t="str">
        <f>IF(AND(AND(AND(D$4&gt;='2025'!$L148,D$4&lt;='2025'!$M148), D$4&lt;&gt;DATE(2025,7,4)), (SWITCH(weekday(D$4), 1, 0, 2, if(ISBLANK('2025'!$P148), 0, 1), 3, if(ISBLANK('2025'!$Q148), 0, 1), 4, if(ISBLANK('2025'!$R148), 0, 1), 5, if(ISBLANK('2025'!$S148), 0, 1), 6, if(ISBLANK('2025'!$T148), 0, 1), 7, 0))), 1, "")</f>
        <v/>
      </c>
      <c r="E150" s="1" t="str">
        <f>IF(AND(AND(AND(E$4&gt;='2025'!$L148,E$4&lt;='2025'!$M148), E$4&lt;&gt;DATE(2025,7,4)), (SWITCH(weekday(E$4), 1, 0, 2, if(ISBLANK('2025'!$P148), 0, 1), 3, if(ISBLANK('2025'!$Q148), 0, 1), 4, if(ISBLANK('2025'!$R148), 0, 1), 5, if(ISBLANK('2025'!$S148), 0, 1), 6, if(ISBLANK('2025'!$T148), 0, 1), 7, 0))), 1, "")</f>
        <v/>
      </c>
      <c r="F150" s="1" t="str">
        <f>IF(AND(AND(AND(F$4&gt;='2025'!$L148,F$4&lt;='2025'!$M148), F$4&lt;&gt;DATE(2025,7,4)), (SWITCH(weekday(F$4), 1, 0, 2, if(ISBLANK('2025'!$P148), 0, 1), 3, if(ISBLANK('2025'!$Q148), 0, 1), 4, if(ISBLANK('2025'!$R148), 0, 1), 5, if(ISBLANK('2025'!$S148), 0, 1), 6, if(ISBLANK('2025'!$T148), 0, 1), 7, 0))), 1, "")</f>
        <v/>
      </c>
      <c r="G150" s="1" t="str">
        <f>IF(AND(AND(AND(G$4&gt;='2025'!$L148,G$4&lt;='2025'!$M148), G$4&lt;&gt;DATE(2025,7,4)), (SWITCH(weekday(G$4), 1, 0, 2, if(ISBLANK('2025'!$P148), 0, 1), 3, if(ISBLANK('2025'!$Q148), 0, 1), 4, if(ISBLANK('2025'!$R148), 0, 1), 5, if(ISBLANK('2025'!$S148), 0, 1), 6, if(ISBLANK('2025'!$T148), 0, 1), 7, 0))), 1, "")</f>
        <v/>
      </c>
      <c r="H150" s="1" t="str">
        <f>IF(AND(AND(AND(H$4&gt;='2025'!$L148,H$4&lt;='2025'!$M148), H$4&lt;&gt;DATE(2025,7,4)), (SWITCH(weekday(H$4), 1, 0, 2, if(ISBLANK('2025'!$P148), 0, 1), 3, if(ISBLANK('2025'!$Q148), 0, 1), 4, if(ISBLANK('2025'!$R148), 0, 1), 5, if(ISBLANK('2025'!$S148), 0, 1), 6, if(ISBLANK('2025'!$T148), 0, 1), 7, 0))), 1, "")</f>
        <v/>
      </c>
      <c r="I150" s="1" t="str">
        <f>IF(AND(AND(AND(I$4&gt;='2025'!$L148,I$4&lt;='2025'!$M148), I$4&lt;&gt;DATE(2025,7,4)), (SWITCH(weekday(I$4), 1, 0, 2, if(ISBLANK('2025'!$P148), 0, 1), 3, if(ISBLANK('2025'!$Q148), 0, 1), 4, if(ISBLANK('2025'!$R148), 0, 1), 5, if(ISBLANK('2025'!$S148), 0, 1), 6, if(ISBLANK('2025'!$T148), 0, 1), 7, 0))), 1, "")</f>
        <v/>
      </c>
      <c r="J150" s="1" t="str">
        <f>IF(AND(AND(AND(J$4&gt;='2025'!$L148,J$4&lt;='2025'!$M148), J$4&lt;&gt;DATE(2025,7,4)), (SWITCH(weekday(J$4), 1, 0, 2, if(ISBLANK('2025'!$P148), 0, 1), 3, if(ISBLANK('2025'!$Q148), 0, 1), 4, if(ISBLANK('2025'!$R148), 0, 1), 5, if(ISBLANK('2025'!$S148), 0, 1), 6, if(ISBLANK('2025'!$T148), 0, 1), 7, 0))), 1, "")</f>
        <v/>
      </c>
      <c r="K150" s="1" t="str">
        <f>IF(AND(AND(AND(K$4&gt;='2025'!$L148,K$4&lt;='2025'!$M148), K$4&lt;&gt;DATE(2025,7,4)), (SWITCH(weekday(K$4), 1, 0, 2, if(ISBLANK('2025'!$P148), 0, 1), 3, if(ISBLANK('2025'!$Q148), 0, 1), 4, if(ISBLANK('2025'!$R148), 0, 1), 5, if(ISBLANK('2025'!$S148), 0, 1), 6, if(ISBLANK('2025'!$T148), 0, 1), 7, 0))), 1, "")</f>
        <v/>
      </c>
      <c r="L150" s="1" t="str">
        <f>IF(AND(AND(AND(L$4&gt;='2025'!$L148,L$4&lt;='2025'!$M148), L$4&lt;&gt;DATE(2025,7,4)), (SWITCH(weekday(L$4), 1, 0, 2, if(ISBLANK('2025'!$P148), 0, 1), 3, if(ISBLANK('2025'!$Q148), 0, 1), 4, if(ISBLANK('2025'!$R148), 0, 1), 5, if(ISBLANK('2025'!$S148), 0, 1), 6, if(ISBLANK('2025'!$T148), 0, 1), 7, 0))), 1, "")</f>
        <v/>
      </c>
      <c r="M150" s="1" t="str">
        <f>IF(AND(AND(AND(M$4&gt;='2025'!$L148,M$4&lt;='2025'!$M148), M$4&lt;&gt;DATE(2025,7,4)), (SWITCH(weekday(M$4), 1, 0, 2, if(ISBLANK('2025'!$P148), 0, 1), 3, if(ISBLANK('2025'!$Q148), 0, 1), 4, if(ISBLANK('2025'!$R148), 0, 1), 5, if(ISBLANK('2025'!$S148), 0, 1), 6, if(ISBLANK('2025'!$T148), 0, 1), 7, 0))), 1, "")</f>
        <v/>
      </c>
      <c r="N150" s="1" t="str">
        <f>IF(AND(AND(AND(N$4&gt;='2025'!$L148,N$4&lt;='2025'!$M148), N$4&lt;&gt;DATE(2025,7,4)), (SWITCH(weekday(N$4), 1, 0, 2, if(ISBLANK('2025'!$P148), 0, 1), 3, if(ISBLANK('2025'!$Q148), 0, 1), 4, if(ISBLANK('2025'!$R148), 0, 1), 5, if(ISBLANK('2025'!$S148), 0, 1), 6, if(ISBLANK('2025'!$T148), 0, 1), 7, 0))), 1, "")</f>
        <v/>
      </c>
      <c r="O150" s="1" t="str">
        <f>IF(AND(AND(AND(O$4&gt;='2025'!$L148,O$4&lt;='2025'!$M148), O$4&lt;&gt;DATE(2025,7,4)), (SWITCH(weekday(O$4), 1, 0, 2, if(ISBLANK('2025'!$P148), 0, 1), 3, if(ISBLANK('2025'!$Q148), 0, 1), 4, if(ISBLANK('2025'!$R148), 0, 1), 5, if(ISBLANK('2025'!$S148), 0, 1), 6, if(ISBLANK('2025'!$T148), 0, 1), 7, 0))), 1, "")</f>
        <v/>
      </c>
      <c r="P150" s="1" t="str">
        <f>IF(AND(AND(AND(P$4&gt;='2025'!$L148,P$4&lt;='2025'!$M148), P$4&lt;&gt;DATE(2025,7,4)), (SWITCH(weekday(P$4), 1, 0, 2, if(ISBLANK('2025'!$P148), 0, 1), 3, if(ISBLANK('2025'!$Q148), 0, 1), 4, if(ISBLANK('2025'!$R148), 0, 1), 5, if(ISBLANK('2025'!$S148), 0, 1), 6, if(ISBLANK('2025'!$T148), 0, 1), 7, 0))), 1, "")</f>
        <v/>
      </c>
      <c r="Q150" s="1" t="str">
        <f>IF(AND(AND(AND(Q$4&gt;='2025'!$L148,Q$4&lt;='2025'!$M148), Q$4&lt;&gt;DATE(2025,7,4)), (SWITCH(weekday(Q$4), 1, 0, 2, if(ISBLANK('2025'!$P148), 0, 1), 3, if(ISBLANK('2025'!$Q148), 0, 1), 4, if(ISBLANK('2025'!$R148), 0, 1), 5, if(ISBLANK('2025'!$S148), 0, 1), 6, if(ISBLANK('2025'!$T148), 0, 1), 7, 0))), 1, "")</f>
        <v/>
      </c>
      <c r="R150" s="1" t="str">
        <f>IF(AND(AND(AND(R$4&gt;='2025'!$L148,R$4&lt;='2025'!$M148), R$4&lt;&gt;DATE(2025,7,4)), (SWITCH(weekday(R$4), 1, 0, 2, if(ISBLANK('2025'!$P148), 0, 1), 3, if(ISBLANK('2025'!$Q148), 0, 1), 4, if(ISBLANK('2025'!$R148), 0, 1), 5, if(ISBLANK('2025'!$S148), 0, 1), 6, if(ISBLANK('2025'!$T148), 0, 1), 7, 0))), 1, "")</f>
        <v/>
      </c>
      <c r="S150" s="1" t="str">
        <f>IF(AND(AND(AND(S$4&gt;='2025'!$L148,S$4&lt;='2025'!$M148), S$4&lt;&gt;DATE(2025,7,4)), (SWITCH(weekday(S$4), 1, 0, 2, if(ISBLANK('2025'!$P148), 0, 1), 3, if(ISBLANK('2025'!$Q148), 0, 1), 4, if(ISBLANK('2025'!$R148), 0, 1), 5, if(ISBLANK('2025'!$S148), 0, 1), 6, if(ISBLANK('2025'!$T148), 0, 1), 7, 0))), 1, "")</f>
        <v/>
      </c>
      <c r="T150" s="1" t="str">
        <f>IF(AND(AND(AND(T$4&gt;='2025'!$L148,T$4&lt;='2025'!$M148), T$4&lt;&gt;DATE(2025,7,4)), (SWITCH(weekday(T$4), 1, 0, 2, if(ISBLANK('2025'!$P148), 0, 1), 3, if(ISBLANK('2025'!$Q148), 0, 1), 4, if(ISBLANK('2025'!$R148), 0, 1), 5, if(ISBLANK('2025'!$S148), 0, 1), 6, if(ISBLANK('2025'!$T148), 0, 1), 7, 0))), 1, "")</f>
        <v/>
      </c>
      <c r="U150" s="1" t="str">
        <f>IF(AND(AND(AND(U$4&gt;='2025'!$L148,U$4&lt;='2025'!$M148), U$4&lt;&gt;DATE(2025,7,4)), (SWITCH(weekday(U$4), 1, 0, 2, if(ISBLANK('2025'!$P148), 0, 1), 3, if(ISBLANK('2025'!$Q148), 0, 1), 4, if(ISBLANK('2025'!$R148), 0, 1), 5, if(ISBLANK('2025'!$S148), 0, 1), 6, if(ISBLANK('2025'!$T148), 0, 1), 7, 0))), 1, "")</f>
        <v/>
      </c>
      <c r="V150" s="1" t="str">
        <f>IF(AND(AND(AND(V$4&gt;='2025'!$L148,V$4&lt;='2025'!$M148), V$4&lt;&gt;DATE(2025,7,4)), (SWITCH(weekday(V$4), 1, 0, 2, if(ISBLANK('2025'!$P148), 0, 1), 3, if(ISBLANK('2025'!$Q148), 0, 1), 4, if(ISBLANK('2025'!$R148), 0, 1), 5, if(ISBLANK('2025'!$S148), 0, 1), 6, if(ISBLANK('2025'!$T148), 0, 1), 7, 0))), 1, "")</f>
        <v/>
      </c>
      <c r="W150" s="1" t="str">
        <f>IF(AND(AND(AND(W$4&gt;='2025'!$L148,W$4&lt;='2025'!$M148), W$4&lt;&gt;DATE(2025,7,4)), (SWITCH(weekday(W$4), 1, 0, 2, if(ISBLANK('2025'!$P148), 0, 1), 3, if(ISBLANK('2025'!$Q148), 0, 1), 4, if(ISBLANK('2025'!$R148), 0, 1), 5, if(ISBLANK('2025'!$S148), 0, 1), 6, if(ISBLANK('2025'!$T148), 0, 1), 7, 0))), 1, "")</f>
        <v/>
      </c>
      <c r="X150" s="1" t="str">
        <f>IF(AND(AND(AND(X$4&gt;='2025'!$L148,X$4&lt;='2025'!$M148), X$4&lt;&gt;DATE(2025,7,4)), (SWITCH(weekday(X$4), 1, 0, 2, if(ISBLANK('2025'!$P148), 0, 1), 3, if(ISBLANK('2025'!$Q148), 0, 1), 4, if(ISBLANK('2025'!$R148), 0, 1), 5, if(ISBLANK('2025'!$S148), 0, 1), 6, if(ISBLANK('2025'!$T148), 0, 1), 7, 0))), 1, "")</f>
        <v/>
      </c>
      <c r="Y150" s="1" t="str">
        <f>IF(AND(AND(AND(Y$4&gt;='2025'!$L148,Y$4&lt;='2025'!$M148), Y$4&lt;&gt;DATE(2025,7,4)), (SWITCH(weekday(Y$4), 1, 0, 2, if(ISBLANK('2025'!$P148), 0, 1), 3, if(ISBLANK('2025'!$Q148), 0, 1), 4, if(ISBLANK('2025'!$R148), 0, 1), 5, if(ISBLANK('2025'!$S148), 0, 1), 6, if(ISBLANK('2025'!$T148), 0, 1), 7, 0))), 1, "")</f>
        <v/>
      </c>
      <c r="Z150" s="1" t="str">
        <f>IF(AND(AND(AND(Z$4&gt;='2025'!$L148,Z$4&lt;='2025'!$M148), Z$4&lt;&gt;DATE(2025,7,4)), (SWITCH(weekday(Z$4), 1, 0, 2, if(ISBLANK('2025'!$P148), 0, 1), 3, if(ISBLANK('2025'!$Q148), 0, 1), 4, if(ISBLANK('2025'!$R148), 0, 1), 5, if(ISBLANK('2025'!$S148), 0, 1), 6, if(ISBLANK('2025'!$T148), 0, 1), 7, 0))), 1, "")</f>
        <v/>
      </c>
      <c r="AA150" s="1" t="str">
        <f>IF(AND(AND(AND(AA$4&gt;='2025'!$L148,AA$4&lt;='2025'!$M148), AA$4&lt;&gt;DATE(2025,7,4)), (SWITCH(weekday(AA$4), 1, 0, 2, if(ISBLANK('2025'!$P148), 0, 1), 3, if(ISBLANK('2025'!$Q148), 0, 1), 4, if(ISBLANK('2025'!$R148), 0, 1), 5, if(ISBLANK('2025'!$S148), 0, 1), 6, if(ISBLANK('2025'!$T148), 0, 1), 7, 0))), 1, "")</f>
        <v/>
      </c>
      <c r="AB150" s="1" t="str">
        <f>IF(AND(AND(AND(AB$4&gt;='2025'!$L148,AB$4&lt;='2025'!$M148), AB$4&lt;&gt;DATE(2025,7,4)), (SWITCH(weekday(AB$4), 1, 0, 2, if(ISBLANK('2025'!$P148), 0, 1), 3, if(ISBLANK('2025'!$Q148), 0, 1), 4, if(ISBLANK('2025'!$R148), 0, 1), 5, if(ISBLANK('2025'!$S148), 0, 1), 6, if(ISBLANK('2025'!$T148), 0, 1), 7, 0))), 1, "")</f>
        <v/>
      </c>
      <c r="AC150" s="1" t="str">
        <f>IF(AND(AND(AND(AC$4&gt;='2025'!$L148,AC$4&lt;='2025'!$M148), AC$4&lt;&gt;DATE(2025,7,4)), (SWITCH(weekday(AC$4), 1, 0, 2, if(ISBLANK('2025'!$P148), 0, 1), 3, if(ISBLANK('2025'!$Q148), 0, 1), 4, if(ISBLANK('2025'!$R148), 0, 1), 5, if(ISBLANK('2025'!$S148), 0, 1), 6, if(ISBLANK('2025'!$T148), 0, 1), 7, 0))), 1, "")</f>
        <v/>
      </c>
      <c r="AD150" s="1" t="str">
        <f>IF(AND(AND(AND(AD$4&gt;='2025'!$L148,AD$4&lt;='2025'!$M148), AD$4&lt;&gt;DATE(2025,7,4)), (SWITCH(weekday(AD$4), 1, 0, 2, if(ISBLANK('2025'!$P148), 0, 1), 3, if(ISBLANK('2025'!$Q148), 0, 1), 4, if(ISBLANK('2025'!$R148), 0, 1), 5, if(ISBLANK('2025'!$S148), 0, 1), 6, if(ISBLANK('2025'!$T148), 0, 1), 7, 0))), 1, "")</f>
        <v/>
      </c>
      <c r="AE150" s="1" t="str">
        <f>IF(AND(AND(AND(AE$4&gt;='2025'!$L148,AE$4&lt;='2025'!$M148), AE$4&lt;&gt;DATE(2025,7,4)), (SWITCH(weekday(AE$4), 1, 0, 2, if(ISBLANK('2025'!$P148), 0, 1), 3, if(ISBLANK('2025'!$Q148), 0, 1), 4, if(ISBLANK('2025'!$R148), 0, 1), 5, if(ISBLANK('2025'!$S148), 0, 1), 6, if(ISBLANK('2025'!$T148), 0, 1), 7, 0))), 1, "")</f>
        <v/>
      </c>
      <c r="AF150" s="1" t="str">
        <f>IF(AND(AND(AND(AF$4&gt;='2025'!$L148,AF$4&lt;='2025'!$M148), AF$4&lt;&gt;DATE(2025,7,4)), (SWITCH(weekday(AF$4), 1, 0, 2, if(ISBLANK('2025'!$P148), 0, 1), 3, if(ISBLANK('2025'!$Q148), 0, 1), 4, if(ISBLANK('2025'!$R148), 0, 1), 5, if(ISBLANK('2025'!$S148), 0, 1), 6, if(ISBLANK('2025'!$T148), 0, 1), 7, 0))), 1, "")</f>
        <v/>
      </c>
      <c r="AG150" s="1" t="str">
        <f>IF(AND(AND(AND(AG$4&gt;='2025'!$L148,AG$4&lt;='2025'!$M148), AG$4&lt;&gt;DATE(2025,7,4)), (SWITCH(weekday(AG$4), 1, 0, 2, if(ISBLANK('2025'!$P148), 0, 1), 3, if(ISBLANK('2025'!$Q148), 0, 1), 4, if(ISBLANK('2025'!$R148), 0, 1), 5, if(ISBLANK('2025'!$S148), 0, 1), 6, if(ISBLANK('2025'!$T148), 0, 1), 7, 0))), 1, "")</f>
        <v/>
      </c>
      <c r="AH150" s="1" t="str">
        <f>IF(AND(AND(AND(AH$4&gt;='2025'!$L148,AH$4&lt;='2025'!$M148), AH$4&lt;&gt;DATE(2025,7,4)), (SWITCH(weekday(AH$4), 1, 0, 2, if(ISBLANK('2025'!$P148), 0, 1), 3, if(ISBLANK('2025'!$Q148), 0, 1), 4, if(ISBLANK('2025'!$R148), 0, 1), 5, if(ISBLANK('2025'!$S148), 0, 1), 6, if(ISBLANK('2025'!$T148), 0, 1), 7, 0))), 1, "")</f>
        <v/>
      </c>
      <c r="AI150" s="1" t="str">
        <f>IF(AND(AND(AND(AI$4&gt;='2025'!$L148,AI$4&lt;='2025'!$M148), AI$4&lt;&gt;DATE(2025,7,4)), (SWITCH(weekday(AI$4), 1, 0, 2, if(ISBLANK('2025'!$P148), 0, 1), 3, if(ISBLANK('2025'!$Q148), 0, 1), 4, if(ISBLANK('2025'!$R148), 0, 1), 5, if(ISBLANK('2025'!$S148), 0, 1), 6, if(ISBLANK('2025'!$T148), 0, 1), 7, 0))), 1, "")</f>
        <v/>
      </c>
      <c r="AJ150" s="1" t="str">
        <f>IF(AND(AND(AND(AJ$4&gt;='2025'!$L148,AJ$4&lt;='2025'!$M148), AJ$4&lt;&gt;DATE(2025,7,4)), (SWITCH(weekday(AJ$4), 1, 0, 2, if(ISBLANK('2025'!$P148), 0, 1), 3, if(ISBLANK('2025'!$Q148), 0, 1), 4, if(ISBLANK('2025'!$R148), 0, 1), 5, if(ISBLANK('2025'!$S148), 0, 1), 6, if(ISBLANK('2025'!$T148), 0, 1), 7, 0))), 1, "")</f>
        <v/>
      </c>
      <c r="AK150" s="1" t="str">
        <f>IF(AND(AND(AND(AK$4&gt;='2025'!$L148,AK$4&lt;='2025'!$M148), AK$4&lt;&gt;DATE(2025,7,4)), (SWITCH(weekday(AK$4), 1, 0, 2, if(ISBLANK('2025'!$P148), 0, 1), 3, if(ISBLANK('2025'!$Q148), 0, 1), 4, if(ISBLANK('2025'!$R148), 0, 1), 5, if(ISBLANK('2025'!$S148), 0, 1), 6, if(ISBLANK('2025'!$T148), 0, 1), 7, 0))), 1, "")</f>
        <v/>
      </c>
      <c r="AL150" s="1" t="str">
        <f>IF(AND(AND(AND(AL$4&gt;='2025'!$L148,AL$4&lt;='2025'!$M148), AL$4&lt;&gt;DATE(2025,7,4)), (SWITCH(weekday(AL$4), 1, 0, 2, if(ISBLANK('2025'!$P148), 0, 1), 3, if(ISBLANK('2025'!$Q148), 0, 1), 4, if(ISBLANK('2025'!$R148), 0, 1), 5, if(ISBLANK('2025'!$S148), 0, 1), 6, if(ISBLANK('2025'!$T148), 0, 1), 7, 0))), 1, "")</f>
        <v/>
      </c>
      <c r="AM150" s="1" t="str">
        <f>IF(AND(AND(AND(AM$4&gt;='2025'!$L148,AM$4&lt;='2025'!$M148), AM$4&lt;&gt;DATE(2025,7,4)), (SWITCH(weekday(AM$4), 1, 0, 2, if(ISBLANK('2025'!$P148), 0, 1), 3, if(ISBLANK('2025'!$Q148), 0, 1), 4, if(ISBLANK('2025'!$R148), 0, 1), 5, if(ISBLANK('2025'!$S148), 0, 1), 6, if(ISBLANK('2025'!$T148), 0, 1), 7, 0))), 1, "")</f>
        <v/>
      </c>
      <c r="AN150" s="1" t="str">
        <f>IF(AND(AND(AND(AN$4&gt;='2025'!$L148,AN$4&lt;='2025'!$M148), AN$4&lt;&gt;DATE(2025,7,4)), (SWITCH(weekday(AN$4), 1, 0, 2, if(ISBLANK('2025'!$P148), 0, 1), 3, if(ISBLANK('2025'!$Q148), 0, 1), 4, if(ISBLANK('2025'!$R148), 0, 1), 5, if(ISBLANK('2025'!$S148), 0, 1), 6, if(ISBLANK('2025'!$T148), 0, 1), 7, 0))), 1, "")</f>
        <v/>
      </c>
      <c r="AO150" s="1" t="str">
        <f>IF(AND(AND(AND(AO$4&gt;='2025'!$L148,AO$4&lt;='2025'!$M148), AO$4&lt;&gt;DATE(2025,7,4)), (SWITCH(weekday(AO$4), 1, 0, 2, if(ISBLANK('2025'!$P148), 0, 1), 3, if(ISBLANK('2025'!$Q148), 0, 1), 4, if(ISBLANK('2025'!$R148), 0, 1), 5, if(ISBLANK('2025'!$S148), 0, 1), 6, if(ISBLANK('2025'!$T148), 0, 1), 7, 0))), 1, "")</f>
        <v/>
      </c>
      <c r="AP150" s="1" t="str">
        <f>IF(AND(AND(AND(AP$4&gt;='2025'!$L148,AP$4&lt;='2025'!$M148), AP$4&lt;&gt;DATE(2025,7,4)), (SWITCH(weekday(AP$4), 1, 0, 2, if(ISBLANK('2025'!$P148), 0, 1), 3, if(ISBLANK('2025'!$Q148), 0, 1), 4, if(ISBLANK('2025'!$R148), 0, 1), 5, if(ISBLANK('2025'!$S148), 0, 1), 6, if(ISBLANK('2025'!$T148), 0, 1), 7, 0))), 1, "")</f>
        <v/>
      </c>
      <c r="AQ150" s="1" t="str">
        <f>IF(AND(AND(AND(AQ$4&gt;='2025'!$L148,AQ$4&lt;='2025'!$M148), AQ$4&lt;&gt;DATE(2025,7,4)), (SWITCH(weekday(AQ$4), 1, 0, 2, if(ISBLANK('2025'!$P148), 0, 1), 3, if(ISBLANK('2025'!$Q148), 0, 1), 4, if(ISBLANK('2025'!$R148), 0, 1), 5, if(ISBLANK('2025'!$S148), 0, 1), 6, if(ISBLANK('2025'!$T148), 0, 1), 7, 0))), 1, "")</f>
        <v/>
      </c>
      <c r="AR150" s="1" t="str">
        <f>IF(AND(AND(AND(AR$4&gt;='2025'!$L148,AR$4&lt;='2025'!$M148), AR$4&lt;&gt;DATE(2025,7,4)), (SWITCH(weekday(AR$4), 1, 0, 2, if(ISBLANK('2025'!$P148), 0, 1), 3, if(ISBLANK('2025'!$Q148), 0, 1), 4, if(ISBLANK('2025'!$R148), 0, 1), 5, if(ISBLANK('2025'!$S148), 0, 1), 6, if(ISBLANK('2025'!$T148), 0, 1), 7, 0))), 1, "")</f>
        <v/>
      </c>
      <c r="AS150" s="1" t="str">
        <f>IF(AND(AND(AND(AS$4&gt;='2025'!$L148,AS$4&lt;='2025'!$M148), AS$4&lt;&gt;DATE(2025,7,4)), (SWITCH(weekday(AS$4), 1, 0, 2, if(ISBLANK('2025'!$P148), 0, 1), 3, if(ISBLANK('2025'!$Q148), 0, 1), 4, if(ISBLANK('2025'!$R148), 0, 1), 5, if(ISBLANK('2025'!$S148), 0, 1), 6, if(ISBLANK('2025'!$T148), 0, 1), 7, 0))), 1, "")</f>
        <v/>
      </c>
      <c r="AT150" s="1" t="str">
        <f>IF(AND(AND(AND(AT$4&gt;='2025'!$L148,AT$4&lt;='2025'!$M148), AT$4&lt;&gt;DATE(2025,7,4)), (SWITCH(weekday(AT$4), 1, 0, 2, if(ISBLANK('2025'!$P148), 0, 1), 3, if(ISBLANK('2025'!$Q148), 0, 1), 4, if(ISBLANK('2025'!$R148), 0, 1), 5, if(ISBLANK('2025'!$S148), 0, 1), 6, if(ISBLANK('2025'!$T148), 0, 1), 7, 0))), 1, "")</f>
        <v/>
      </c>
      <c r="AU150" s="1" t="str">
        <f>IF(AND(AND(AND(AU$4&gt;='2025'!$L148,AU$4&lt;='2025'!$M148), AU$4&lt;&gt;DATE(2025,7,4)), (SWITCH(weekday(AU$4), 1, 0, 2, if(ISBLANK('2025'!$P148), 0, 1), 3, if(ISBLANK('2025'!$Q148), 0, 1), 4, if(ISBLANK('2025'!$R148), 0, 1), 5, if(ISBLANK('2025'!$S148), 0, 1), 6, if(ISBLANK('2025'!$T148), 0, 1), 7, 0))), 1, "")</f>
        <v/>
      </c>
      <c r="AV150" s="1" t="str">
        <f>IF(AND(AND(AND(AV$4&gt;='2025'!$L148,AV$4&lt;='2025'!$M148), AV$4&lt;&gt;DATE(2025,7,4)), (SWITCH(weekday(AV$4), 1, 0, 2, if(ISBLANK('2025'!$P148), 0, 1), 3, if(ISBLANK('2025'!$Q148), 0, 1), 4, if(ISBLANK('2025'!$R148), 0, 1), 5, if(ISBLANK('2025'!$S148), 0, 1), 6, if(ISBLANK('2025'!$T148), 0, 1), 7, 0))), 1, "")</f>
        <v/>
      </c>
      <c r="AW150" s="1" t="str">
        <f>IF(AND(AND(AND(AW$4&gt;='2025'!$L148,AW$4&lt;='2025'!$M148), AW$4&lt;&gt;DATE(2025,7,4)), (SWITCH(weekday(AW$4), 1, 0, 2, if(ISBLANK('2025'!$P148), 0, 1), 3, if(ISBLANK('2025'!$Q148), 0, 1), 4, if(ISBLANK('2025'!$R148), 0, 1), 5, if(ISBLANK('2025'!$S148), 0, 1), 6, if(ISBLANK('2025'!$T148), 0, 1), 7, 0))), 1, "")</f>
        <v/>
      </c>
      <c r="AX150" s="1" t="str">
        <f>IF(AND(AND(AND(AX$4&gt;='2025'!$L148,AX$4&lt;='2025'!$M148), AX$4&lt;&gt;DATE(2025,7,4)), (SWITCH(weekday(AX$4), 1, 0, 2, if(ISBLANK('2025'!$P148), 0, 1), 3, if(ISBLANK('2025'!$Q148), 0, 1), 4, if(ISBLANK('2025'!$R148), 0, 1), 5, if(ISBLANK('2025'!$S148), 0, 1), 6, if(ISBLANK('2025'!$T148), 0, 1), 7, 0))), 1, "")</f>
        <v/>
      </c>
      <c r="AY150" s="1" t="str">
        <f>IF(AND(AND(AND(AY$4&gt;='2025'!$L148,AY$4&lt;='2025'!$M148), AY$4&lt;&gt;DATE(2025,7,4)), (SWITCH(weekday(AY$4), 1, 0, 2, if(ISBLANK('2025'!$P148), 0, 1), 3, if(ISBLANK('2025'!$Q148), 0, 1), 4, if(ISBLANK('2025'!$R148), 0, 1), 5, if(ISBLANK('2025'!$S148), 0, 1), 6, if(ISBLANK('2025'!$T148), 0, 1), 7, 0))), 1, "")</f>
        <v/>
      </c>
      <c r="AZ150" s="1" t="str">
        <f>IF(AND(AND(AND(AZ$4&gt;='2025'!$L148,AZ$4&lt;='2025'!$M148), AZ$4&lt;&gt;DATE(2025,7,4)), (SWITCH(weekday(AZ$4), 1, 0, 2, if(ISBLANK('2025'!$P148), 0, 1), 3, if(ISBLANK('2025'!$Q148), 0, 1), 4, if(ISBLANK('2025'!$R148), 0, 1), 5, if(ISBLANK('2025'!$S148), 0, 1), 6, if(ISBLANK('2025'!$T148), 0, 1), 7, 0))), 1, "")</f>
        <v/>
      </c>
      <c r="BA150" s="1" t="str">
        <f>IF(AND(AND(AND(BA$4&gt;='2025'!$L148,BA$4&lt;='2025'!$M148), BA$4&lt;&gt;DATE(2025,7,4)), (SWITCH(weekday(BA$4), 1, 0, 2, if(ISBLANK('2025'!$P148), 0, 1), 3, if(ISBLANK('2025'!$Q148), 0, 1), 4, if(ISBLANK('2025'!$R148), 0, 1), 5, if(ISBLANK('2025'!$S148), 0, 1), 6, if(ISBLANK('2025'!$T148), 0, 1), 7, 0))), 1, "")</f>
        <v/>
      </c>
      <c r="BB150" s="1" t="str">
        <f>IF(AND(AND(AND(BB$4&gt;='2025'!$L148,BB$4&lt;='2025'!$M148), BB$4&lt;&gt;DATE(2025,7,4)), (SWITCH(weekday(BB$4), 1, 0, 2, if(ISBLANK('2025'!$P148), 0, 1), 3, if(ISBLANK('2025'!$Q148), 0, 1), 4, if(ISBLANK('2025'!$R148), 0, 1), 5, if(ISBLANK('2025'!$S148), 0, 1), 6, if(ISBLANK('2025'!$T148), 0, 1), 7, 0))), 1, "")</f>
        <v/>
      </c>
      <c r="BC150" s="1" t="str">
        <f>IF(AND(AND(AND(BC$4&gt;='2025'!$L148,BC$4&lt;='2025'!$M148), BC$4&lt;&gt;DATE(2025,7,4)), (SWITCH(weekday(BC$4), 1, 0, 2, if(ISBLANK('2025'!$P148), 0, 1), 3, if(ISBLANK('2025'!$Q148), 0, 1), 4, if(ISBLANK('2025'!$R148), 0, 1), 5, if(ISBLANK('2025'!$S148), 0, 1), 6, if(ISBLANK('2025'!$T148), 0, 1), 7, 0))), 1, "")</f>
        <v/>
      </c>
      <c r="BD150" s="1" t="str">
        <f>IF(AND(AND(AND(BD$4&gt;='2025'!$L148,BD$4&lt;='2025'!$M148), BD$4&lt;&gt;DATE(2025,7,4)), (SWITCH(weekday(BD$4), 1, 0, 2, if(ISBLANK('2025'!$P148), 0, 1), 3, if(ISBLANK('2025'!$Q148), 0, 1), 4, if(ISBLANK('2025'!$R148), 0, 1), 5, if(ISBLANK('2025'!$S148), 0, 1), 6, if(ISBLANK('2025'!$T148), 0, 1), 7, 0))), 1, "")</f>
        <v/>
      </c>
      <c r="BE150" s="1" t="str">
        <f>IF(AND(AND(AND(BE$4&gt;='2025'!$L148,BE$4&lt;='2025'!$M148), BE$4&lt;&gt;DATE(2025,7,4)), (SWITCH(weekday(BE$4), 1, 0, 2, if(ISBLANK('2025'!$P148), 0, 1), 3, if(ISBLANK('2025'!$Q148), 0, 1), 4, if(ISBLANK('2025'!$R148), 0, 1), 5, if(ISBLANK('2025'!$S148), 0, 1), 6, if(ISBLANK('2025'!$T148), 0, 1), 7, 0))), 1, "")</f>
        <v/>
      </c>
      <c r="BF150" s="1" t="str">
        <f>IF(AND(AND(AND(BF$4&gt;='2025'!$L148,BF$4&lt;='2025'!$M148), BF$4&lt;&gt;DATE(2025,7,4)), (SWITCH(weekday(BF$4), 1, 0, 2, if(ISBLANK('2025'!$P148), 0, 1), 3, if(ISBLANK('2025'!$Q148), 0, 1), 4, if(ISBLANK('2025'!$R148), 0, 1), 5, if(ISBLANK('2025'!$S148), 0, 1), 6, if(ISBLANK('2025'!$T148), 0, 1), 7, 0))), 1, "")</f>
        <v/>
      </c>
      <c r="BG150" s="1"/>
      <c r="BH150" s="1"/>
      <c r="BI150" s="1"/>
      <c r="BJ150" s="1"/>
      <c r="BK150" s="1"/>
      <c r="BL150" s="1"/>
    </row>
    <row r="151">
      <c r="A151" s="1">
        <f t="shared" si="3"/>
        <v>151</v>
      </c>
      <c r="B151" s="1" t="str">
        <f>'2025'!D115</f>
        <v>, </v>
      </c>
      <c r="C151" s="1" t="str">
        <f>'2025'!H115</f>
        <v/>
      </c>
      <c r="D151" s="1" t="str">
        <f>IF(AND(AND(AND(D$4&gt;='2025'!$L149,D$4&lt;='2025'!$M149), D$4&lt;&gt;DATE(2025,7,4)), (SWITCH(weekday(D$4), 1, 0, 2, if(ISBLANK('2025'!$P149), 0, 1), 3, if(ISBLANK('2025'!$Q149), 0, 1), 4, if(ISBLANK('2025'!$R149), 0, 1), 5, if(ISBLANK('2025'!$S149), 0, 1), 6, if(ISBLANK('2025'!$T149), 0, 1), 7, 0))), 1, "")</f>
        <v/>
      </c>
      <c r="E151" s="1" t="str">
        <f>IF(AND(AND(AND(E$4&gt;='2025'!$L149,E$4&lt;='2025'!$M149), E$4&lt;&gt;DATE(2025,7,4)), (SWITCH(weekday(E$4), 1, 0, 2, if(ISBLANK('2025'!$P149), 0, 1), 3, if(ISBLANK('2025'!$Q149), 0, 1), 4, if(ISBLANK('2025'!$R149), 0, 1), 5, if(ISBLANK('2025'!$S149), 0, 1), 6, if(ISBLANK('2025'!$T149), 0, 1), 7, 0))), 1, "")</f>
        <v/>
      </c>
      <c r="F151" s="1" t="str">
        <f>IF(AND(AND(AND(F$4&gt;='2025'!$L149,F$4&lt;='2025'!$M149), F$4&lt;&gt;DATE(2025,7,4)), (SWITCH(weekday(F$4), 1, 0, 2, if(ISBLANK('2025'!$P149), 0, 1), 3, if(ISBLANK('2025'!$Q149), 0, 1), 4, if(ISBLANK('2025'!$R149), 0, 1), 5, if(ISBLANK('2025'!$S149), 0, 1), 6, if(ISBLANK('2025'!$T149), 0, 1), 7, 0))), 1, "")</f>
        <v/>
      </c>
      <c r="G151" s="1" t="str">
        <f>IF(AND(AND(AND(G$4&gt;='2025'!$L149,G$4&lt;='2025'!$M149), G$4&lt;&gt;DATE(2025,7,4)), (SWITCH(weekday(G$4), 1, 0, 2, if(ISBLANK('2025'!$P149), 0, 1), 3, if(ISBLANK('2025'!$Q149), 0, 1), 4, if(ISBLANK('2025'!$R149), 0, 1), 5, if(ISBLANK('2025'!$S149), 0, 1), 6, if(ISBLANK('2025'!$T149), 0, 1), 7, 0))), 1, "")</f>
        <v/>
      </c>
      <c r="H151" s="1" t="str">
        <f>IF(AND(AND(AND(H$4&gt;='2025'!$L149,H$4&lt;='2025'!$M149), H$4&lt;&gt;DATE(2025,7,4)), (SWITCH(weekday(H$4), 1, 0, 2, if(ISBLANK('2025'!$P149), 0, 1), 3, if(ISBLANK('2025'!$Q149), 0, 1), 4, if(ISBLANK('2025'!$R149), 0, 1), 5, if(ISBLANK('2025'!$S149), 0, 1), 6, if(ISBLANK('2025'!$T149), 0, 1), 7, 0))), 1, "")</f>
        <v/>
      </c>
      <c r="I151" s="1" t="str">
        <f>IF(AND(AND(AND(I$4&gt;='2025'!$L149,I$4&lt;='2025'!$M149), I$4&lt;&gt;DATE(2025,7,4)), (SWITCH(weekday(I$4), 1, 0, 2, if(ISBLANK('2025'!$P149), 0, 1), 3, if(ISBLANK('2025'!$Q149), 0, 1), 4, if(ISBLANK('2025'!$R149), 0, 1), 5, if(ISBLANK('2025'!$S149), 0, 1), 6, if(ISBLANK('2025'!$T149), 0, 1), 7, 0))), 1, "")</f>
        <v/>
      </c>
      <c r="J151" s="1" t="str">
        <f>IF(AND(AND(AND(J$4&gt;='2025'!$L149,J$4&lt;='2025'!$M149), J$4&lt;&gt;DATE(2025,7,4)), (SWITCH(weekday(J$4), 1, 0, 2, if(ISBLANK('2025'!$P149), 0, 1), 3, if(ISBLANK('2025'!$Q149), 0, 1), 4, if(ISBLANK('2025'!$R149), 0, 1), 5, if(ISBLANK('2025'!$S149), 0, 1), 6, if(ISBLANK('2025'!$T149), 0, 1), 7, 0))), 1, "")</f>
        <v/>
      </c>
      <c r="K151" s="1" t="str">
        <f>IF(AND(AND(AND(K$4&gt;='2025'!$L149,K$4&lt;='2025'!$M149), K$4&lt;&gt;DATE(2025,7,4)), (SWITCH(weekday(K$4), 1, 0, 2, if(ISBLANK('2025'!$P149), 0, 1), 3, if(ISBLANK('2025'!$Q149), 0, 1), 4, if(ISBLANK('2025'!$R149), 0, 1), 5, if(ISBLANK('2025'!$S149), 0, 1), 6, if(ISBLANK('2025'!$T149), 0, 1), 7, 0))), 1, "")</f>
        <v/>
      </c>
      <c r="L151" s="1" t="str">
        <f>IF(AND(AND(AND(L$4&gt;='2025'!$L149,L$4&lt;='2025'!$M149), L$4&lt;&gt;DATE(2025,7,4)), (SWITCH(weekday(L$4), 1, 0, 2, if(ISBLANK('2025'!$P149), 0, 1), 3, if(ISBLANK('2025'!$Q149), 0, 1), 4, if(ISBLANK('2025'!$R149), 0, 1), 5, if(ISBLANK('2025'!$S149), 0, 1), 6, if(ISBLANK('2025'!$T149), 0, 1), 7, 0))), 1, "")</f>
        <v/>
      </c>
      <c r="M151" s="1" t="str">
        <f>IF(AND(AND(AND(M$4&gt;='2025'!$L149,M$4&lt;='2025'!$M149), M$4&lt;&gt;DATE(2025,7,4)), (SWITCH(weekday(M$4), 1, 0, 2, if(ISBLANK('2025'!$P149), 0, 1), 3, if(ISBLANK('2025'!$Q149), 0, 1), 4, if(ISBLANK('2025'!$R149), 0, 1), 5, if(ISBLANK('2025'!$S149), 0, 1), 6, if(ISBLANK('2025'!$T149), 0, 1), 7, 0))), 1, "")</f>
        <v/>
      </c>
      <c r="N151" s="1" t="str">
        <f>IF(AND(AND(AND(N$4&gt;='2025'!$L149,N$4&lt;='2025'!$M149), N$4&lt;&gt;DATE(2025,7,4)), (SWITCH(weekday(N$4), 1, 0, 2, if(ISBLANK('2025'!$P149), 0, 1), 3, if(ISBLANK('2025'!$Q149), 0, 1), 4, if(ISBLANK('2025'!$R149), 0, 1), 5, if(ISBLANK('2025'!$S149), 0, 1), 6, if(ISBLANK('2025'!$T149), 0, 1), 7, 0))), 1, "")</f>
        <v/>
      </c>
      <c r="O151" s="1" t="str">
        <f>IF(AND(AND(AND(O$4&gt;='2025'!$L149,O$4&lt;='2025'!$M149), O$4&lt;&gt;DATE(2025,7,4)), (SWITCH(weekday(O$4), 1, 0, 2, if(ISBLANK('2025'!$P149), 0, 1), 3, if(ISBLANK('2025'!$Q149), 0, 1), 4, if(ISBLANK('2025'!$R149), 0, 1), 5, if(ISBLANK('2025'!$S149), 0, 1), 6, if(ISBLANK('2025'!$T149), 0, 1), 7, 0))), 1, "")</f>
        <v/>
      </c>
      <c r="P151" s="1" t="str">
        <f>IF(AND(AND(AND(P$4&gt;='2025'!$L149,P$4&lt;='2025'!$M149), P$4&lt;&gt;DATE(2025,7,4)), (SWITCH(weekday(P$4), 1, 0, 2, if(ISBLANK('2025'!$P149), 0, 1), 3, if(ISBLANK('2025'!$Q149), 0, 1), 4, if(ISBLANK('2025'!$R149), 0, 1), 5, if(ISBLANK('2025'!$S149), 0, 1), 6, if(ISBLANK('2025'!$T149), 0, 1), 7, 0))), 1, "")</f>
        <v/>
      </c>
      <c r="Q151" s="1" t="str">
        <f>IF(AND(AND(AND(Q$4&gt;='2025'!$L149,Q$4&lt;='2025'!$M149), Q$4&lt;&gt;DATE(2025,7,4)), (SWITCH(weekday(Q$4), 1, 0, 2, if(ISBLANK('2025'!$P149), 0, 1), 3, if(ISBLANK('2025'!$Q149), 0, 1), 4, if(ISBLANK('2025'!$R149), 0, 1), 5, if(ISBLANK('2025'!$S149), 0, 1), 6, if(ISBLANK('2025'!$T149), 0, 1), 7, 0))), 1, "")</f>
        <v/>
      </c>
      <c r="R151" s="1" t="str">
        <f>IF(AND(AND(AND(R$4&gt;='2025'!$L149,R$4&lt;='2025'!$M149), R$4&lt;&gt;DATE(2025,7,4)), (SWITCH(weekday(R$4), 1, 0, 2, if(ISBLANK('2025'!$P149), 0, 1), 3, if(ISBLANK('2025'!$Q149), 0, 1), 4, if(ISBLANK('2025'!$R149), 0, 1), 5, if(ISBLANK('2025'!$S149), 0, 1), 6, if(ISBLANK('2025'!$T149), 0, 1), 7, 0))), 1, "")</f>
        <v/>
      </c>
      <c r="S151" s="1" t="str">
        <f>IF(AND(AND(AND(S$4&gt;='2025'!$L149,S$4&lt;='2025'!$M149), S$4&lt;&gt;DATE(2025,7,4)), (SWITCH(weekday(S$4), 1, 0, 2, if(ISBLANK('2025'!$P149), 0, 1), 3, if(ISBLANK('2025'!$Q149), 0, 1), 4, if(ISBLANK('2025'!$R149), 0, 1), 5, if(ISBLANK('2025'!$S149), 0, 1), 6, if(ISBLANK('2025'!$T149), 0, 1), 7, 0))), 1, "")</f>
        <v/>
      </c>
      <c r="T151" s="1" t="str">
        <f>IF(AND(AND(AND(T$4&gt;='2025'!$L149,T$4&lt;='2025'!$M149), T$4&lt;&gt;DATE(2025,7,4)), (SWITCH(weekday(T$4), 1, 0, 2, if(ISBLANK('2025'!$P149), 0, 1), 3, if(ISBLANK('2025'!$Q149), 0, 1), 4, if(ISBLANK('2025'!$R149), 0, 1), 5, if(ISBLANK('2025'!$S149), 0, 1), 6, if(ISBLANK('2025'!$T149), 0, 1), 7, 0))), 1, "")</f>
        <v/>
      </c>
      <c r="U151" s="1" t="str">
        <f>IF(AND(AND(AND(U$4&gt;='2025'!$L149,U$4&lt;='2025'!$M149), U$4&lt;&gt;DATE(2025,7,4)), (SWITCH(weekday(U$4), 1, 0, 2, if(ISBLANK('2025'!$P149), 0, 1), 3, if(ISBLANK('2025'!$Q149), 0, 1), 4, if(ISBLANK('2025'!$R149), 0, 1), 5, if(ISBLANK('2025'!$S149), 0, 1), 6, if(ISBLANK('2025'!$T149), 0, 1), 7, 0))), 1, "")</f>
        <v/>
      </c>
      <c r="V151" s="1" t="str">
        <f>IF(AND(AND(AND(V$4&gt;='2025'!$L149,V$4&lt;='2025'!$M149), V$4&lt;&gt;DATE(2025,7,4)), (SWITCH(weekday(V$4), 1, 0, 2, if(ISBLANK('2025'!$P149), 0, 1), 3, if(ISBLANK('2025'!$Q149), 0, 1), 4, if(ISBLANK('2025'!$R149), 0, 1), 5, if(ISBLANK('2025'!$S149), 0, 1), 6, if(ISBLANK('2025'!$T149), 0, 1), 7, 0))), 1, "")</f>
        <v/>
      </c>
      <c r="W151" s="1" t="str">
        <f>IF(AND(AND(AND(W$4&gt;='2025'!$L149,W$4&lt;='2025'!$M149), W$4&lt;&gt;DATE(2025,7,4)), (SWITCH(weekday(W$4), 1, 0, 2, if(ISBLANK('2025'!$P149), 0, 1), 3, if(ISBLANK('2025'!$Q149), 0, 1), 4, if(ISBLANK('2025'!$R149), 0, 1), 5, if(ISBLANK('2025'!$S149), 0, 1), 6, if(ISBLANK('2025'!$T149), 0, 1), 7, 0))), 1, "")</f>
        <v/>
      </c>
      <c r="X151" s="1" t="str">
        <f>IF(AND(AND(AND(X$4&gt;='2025'!$L149,X$4&lt;='2025'!$M149), X$4&lt;&gt;DATE(2025,7,4)), (SWITCH(weekday(X$4), 1, 0, 2, if(ISBLANK('2025'!$P149), 0, 1), 3, if(ISBLANK('2025'!$Q149), 0, 1), 4, if(ISBLANK('2025'!$R149), 0, 1), 5, if(ISBLANK('2025'!$S149), 0, 1), 6, if(ISBLANK('2025'!$T149), 0, 1), 7, 0))), 1, "")</f>
        <v/>
      </c>
      <c r="Y151" s="1" t="str">
        <f>IF(AND(AND(AND(Y$4&gt;='2025'!$L149,Y$4&lt;='2025'!$M149), Y$4&lt;&gt;DATE(2025,7,4)), (SWITCH(weekday(Y$4), 1, 0, 2, if(ISBLANK('2025'!$P149), 0, 1), 3, if(ISBLANK('2025'!$Q149), 0, 1), 4, if(ISBLANK('2025'!$R149), 0, 1), 5, if(ISBLANK('2025'!$S149), 0, 1), 6, if(ISBLANK('2025'!$T149), 0, 1), 7, 0))), 1, "")</f>
        <v/>
      </c>
      <c r="Z151" s="1" t="str">
        <f>IF(AND(AND(AND(Z$4&gt;='2025'!$L149,Z$4&lt;='2025'!$M149), Z$4&lt;&gt;DATE(2025,7,4)), (SWITCH(weekday(Z$4), 1, 0, 2, if(ISBLANK('2025'!$P149), 0, 1), 3, if(ISBLANK('2025'!$Q149), 0, 1), 4, if(ISBLANK('2025'!$R149), 0, 1), 5, if(ISBLANK('2025'!$S149), 0, 1), 6, if(ISBLANK('2025'!$T149), 0, 1), 7, 0))), 1, "")</f>
        <v/>
      </c>
      <c r="AA151" s="1" t="str">
        <f>IF(AND(AND(AND(AA$4&gt;='2025'!$L149,AA$4&lt;='2025'!$M149), AA$4&lt;&gt;DATE(2025,7,4)), (SWITCH(weekday(AA$4), 1, 0, 2, if(ISBLANK('2025'!$P149), 0, 1), 3, if(ISBLANK('2025'!$Q149), 0, 1), 4, if(ISBLANK('2025'!$R149), 0, 1), 5, if(ISBLANK('2025'!$S149), 0, 1), 6, if(ISBLANK('2025'!$T149), 0, 1), 7, 0))), 1, "")</f>
        <v/>
      </c>
      <c r="AB151" s="1" t="str">
        <f>IF(AND(AND(AND(AB$4&gt;='2025'!$L149,AB$4&lt;='2025'!$M149), AB$4&lt;&gt;DATE(2025,7,4)), (SWITCH(weekday(AB$4), 1, 0, 2, if(ISBLANK('2025'!$P149), 0, 1), 3, if(ISBLANK('2025'!$Q149), 0, 1), 4, if(ISBLANK('2025'!$R149), 0, 1), 5, if(ISBLANK('2025'!$S149), 0, 1), 6, if(ISBLANK('2025'!$T149), 0, 1), 7, 0))), 1, "")</f>
        <v/>
      </c>
      <c r="AC151" s="1" t="str">
        <f>IF(AND(AND(AND(AC$4&gt;='2025'!$L149,AC$4&lt;='2025'!$M149), AC$4&lt;&gt;DATE(2025,7,4)), (SWITCH(weekday(AC$4), 1, 0, 2, if(ISBLANK('2025'!$P149), 0, 1), 3, if(ISBLANK('2025'!$Q149), 0, 1), 4, if(ISBLANK('2025'!$R149), 0, 1), 5, if(ISBLANK('2025'!$S149), 0, 1), 6, if(ISBLANK('2025'!$T149), 0, 1), 7, 0))), 1, "")</f>
        <v/>
      </c>
      <c r="AD151" s="1" t="str">
        <f>IF(AND(AND(AND(AD$4&gt;='2025'!$L149,AD$4&lt;='2025'!$M149), AD$4&lt;&gt;DATE(2025,7,4)), (SWITCH(weekday(AD$4), 1, 0, 2, if(ISBLANK('2025'!$P149), 0, 1), 3, if(ISBLANK('2025'!$Q149), 0, 1), 4, if(ISBLANK('2025'!$R149), 0, 1), 5, if(ISBLANK('2025'!$S149), 0, 1), 6, if(ISBLANK('2025'!$T149), 0, 1), 7, 0))), 1, "")</f>
        <v/>
      </c>
      <c r="AE151" s="1" t="str">
        <f>IF(AND(AND(AND(AE$4&gt;='2025'!$L149,AE$4&lt;='2025'!$M149), AE$4&lt;&gt;DATE(2025,7,4)), (SWITCH(weekday(AE$4), 1, 0, 2, if(ISBLANK('2025'!$P149), 0, 1), 3, if(ISBLANK('2025'!$Q149), 0, 1), 4, if(ISBLANK('2025'!$R149), 0, 1), 5, if(ISBLANK('2025'!$S149), 0, 1), 6, if(ISBLANK('2025'!$T149), 0, 1), 7, 0))), 1, "")</f>
        <v/>
      </c>
      <c r="AF151" s="1" t="str">
        <f>IF(AND(AND(AND(AF$4&gt;='2025'!$L149,AF$4&lt;='2025'!$M149), AF$4&lt;&gt;DATE(2025,7,4)), (SWITCH(weekday(AF$4), 1, 0, 2, if(ISBLANK('2025'!$P149), 0, 1), 3, if(ISBLANK('2025'!$Q149), 0, 1), 4, if(ISBLANK('2025'!$R149), 0, 1), 5, if(ISBLANK('2025'!$S149), 0, 1), 6, if(ISBLANK('2025'!$T149), 0, 1), 7, 0))), 1, "")</f>
        <v/>
      </c>
      <c r="AG151" s="1" t="str">
        <f>IF(AND(AND(AND(AG$4&gt;='2025'!$L149,AG$4&lt;='2025'!$M149), AG$4&lt;&gt;DATE(2025,7,4)), (SWITCH(weekday(AG$4), 1, 0, 2, if(ISBLANK('2025'!$P149), 0, 1), 3, if(ISBLANK('2025'!$Q149), 0, 1), 4, if(ISBLANK('2025'!$R149), 0, 1), 5, if(ISBLANK('2025'!$S149), 0, 1), 6, if(ISBLANK('2025'!$T149), 0, 1), 7, 0))), 1, "")</f>
        <v/>
      </c>
      <c r="AH151" s="1" t="str">
        <f>IF(AND(AND(AND(AH$4&gt;='2025'!$L149,AH$4&lt;='2025'!$M149), AH$4&lt;&gt;DATE(2025,7,4)), (SWITCH(weekday(AH$4), 1, 0, 2, if(ISBLANK('2025'!$P149), 0, 1), 3, if(ISBLANK('2025'!$Q149), 0, 1), 4, if(ISBLANK('2025'!$R149), 0, 1), 5, if(ISBLANK('2025'!$S149), 0, 1), 6, if(ISBLANK('2025'!$T149), 0, 1), 7, 0))), 1, "")</f>
        <v/>
      </c>
      <c r="AI151" s="1" t="str">
        <f>IF(AND(AND(AND(AI$4&gt;='2025'!$L149,AI$4&lt;='2025'!$M149), AI$4&lt;&gt;DATE(2025,7,4)), (SWITCH(weekday(AI$4), 1, 0, 2, if(ISBLANK('2025'!$P149), 0, 1), 3, if(ISBLANK('2025'!$Q149), 0, 1), 4, if(ISBLANK('2025'!$R149), 0, 1), 5, if(ISBLANK('2025'!$S149), 0, 1), 6, if(ISBLANK('2025'!$T149), 0, 1), 7, 0))), 1, "")</f>
        <v/>
      </c>
      <c r="AJ151" s="1" t="str">
        <f>IF(AND(AND(AND(AJ$4&gt;='2025'!$L149,AJ$4&lt;='2025'!$M149), AJ$4&lt;&gt;DATE(2025,7,4)), (SWITCH(weekday(AJ$4), 1, 0, 2, if(ISBLANK('2025'!$P149), 0, 1), 3, if(ISBLANK('2025'!$Q149), 0, 1), 4, if(ISBLANK('2025'!$R149), 0, 1), 5, if(ISBLANK('2025'!$S149), 0, 1), 6, if(ISBLANK('2025'!$T149), 0, 1), 7, 0))), 1, "")</f>
        <v/>
      </c>
      <c r="AK151" s="1" t="str">
        <f>IF(AND(AND(AND(AK$4&gt;='2025'!$L149,AK$4&lt;='2025'!$M149), AK$4&lt;&gt;DATE(2025,7,4)), (SWITCH(weekday(AK$4), 1, 0, 2, if(ISBLANK('2025'!$P149), 0, 1), 3, if(ISBLANK('2025'!$Q149), 0, 1), 4, if(ISBLANK('2025'!$R149), 0, 1), 5, if(ISBLANK('2025'!$S149), 0, 1), 6, if(ISBLANK('2025'!$T149), 0, 1), 7, 0))), 1, "")</f>
        <v/>
      </c>
      <c r="AL151" s="1" t="str">
        <f>IF(AND(AND(AND(AL$4&gt;='2025'!$L149,AL$4&lt;='2025'!$M149), AL$4&lt;&gt;DATE(2025,7,4)), (SWITCH(weekday(AL$4), 1, 0, 2, if(ISBLANK('2025'!$P149), 0, 1), 3, if(ISBLANK('2025'!$Q149), 0, 1), 4, if(ISBLANK('2025'!$R149), 0, 1), 5, if(ISBLANK('2025'!$S149), 0, 1), 6, if(ISBLANK('2025'!$T149), 0, 1), 7, 0))), 1, "")</f>
        <v/>
      </c>
      <c r="AM151" s="1" t="str">
        <f>IF(AND(AND(AND(AM$4&gt;='2025'!$L149,AM$4&lt;='2025'!$M149), AM$4&lt;&gt;DATE(2025,7,4)), (SWITCH(weekday(AM$4), 1, 0, 2, if(ISBLANK('2025'!$P149), 0, 1), 3, if(ISBLANK('2025'!$Q149), 0, 1), 4, if(ISBLANK('2025'!$R149), 0, 1), 5, if(ISBLANK('2025'!$S149), 0, 1), 6, if(ISBLANK('2025'!$T149), 0, 1), 7, 0))), 1, "")</f>
        <v/>
      </c>
      <c r="AN151" s="1" t="str">
        <f>IF(AND(AND(AND(AN$4&gt;='2025'!$L149,AN$4&lt;='2025'!$M149), AN$4&lt;&gt;DATE(2025,7,4)), (SWITCH(weekday(AN$4), 1, 0, 2, if(ISBLANK('2025'!$P149), 0, 1), 3, if(ISBLANK('2025'!$Q149), 0, 1), 4, if(ISBLANK('2025'!$R149), 0, 1), 5, if(ISBLANK('2025'!$S149), 0, 1), 6, if(ISBLANK('2025'!$T149), 0, 1), 7, 0))), 1, "")</f>
        <v/>
      </c>
      <c r="AO151" s="1" t="str">
        <f>IF(AND(AND(AND(AO$4&gt;='2025'!$L149,AO$4&lt;='2025'!$M149), AO$4&lt;&gt;DATE(2025,7,4)), (SWITCH(weekday(AO$4), 1, 0, 2, if(ISBLANK('2025'!$P149), 0, 1), 3, if(ISBLANK('2025'!$Q149), 0, 1), 4, if(ISBLANK('2025'!$R149), 0, 1), 5, if(ISBLANK('2025'!$S149), 0, 1), 6, if(ISBLANK('2025'!$T149), 0, 1), 7, 0))), 1, "")</f>
        <v/>
      </c>
      <c r="AP151" s="1" t="str">
        <f>IF(AND(AND(AND(AP$4&gt;='2025'!$L149,AP$4&lt;='2025'!$M149), AP$4&lt;&gt;DATE(2025,7,4)), (SWITCH(weekday(AP$4), 1, 0, 2, if(ISBLANK('2025'!$P149), 0, 1), 3, if(ISBLANK('2025'!$Q149), 0, 1), 4, if(ISBLANK('2025'!$R149), 0, 1), 5, if(ISBLANK('2025'!$S149), 0, 1), 6, if(ISBLANK('2025'!$T149), 0, 1), 7, 0))), 1, "")</f>
        <v/>
      </c>
      <c r="AQ151" s="1" t="str">
        <f>IF(AND(AND(AND(AQ$4&gt;='2025'!$L149,AQ$4&lt;='2025'!$M149), AQ$4&lt;&gt;DATE(2025,7,4)), (SWITCH(weekday(AQ$4), 1, 0, 2, if(ISBLANK('2025'!$P149), 0, 1), 3, if(ISBLANK('2025'!$Q149), 0, 1), 4, if(ISBLANK('2025'!$R149), 0, 1), 5, if(ISBLANK('2025'!$S149), 0, 1), 6, if(ISBLANK('2025'!$T149), 0, 1), 7, 0))), 1, "")</f>
        <v/>
      </c>
      <c r="AR151" s="1" t="str">
        <f>IF(AND(AND(AND(AR$4&gt;='2025'!$L149,AR$4&lt;='2025'!$M149), AR$4&lt;&gt;DATE(2025,7,4)), (SWITCH(weekday(AR$4), 1, 0, 2, if(ISBLANK('2025'!$P149), 0, 1), 3, if(ISBLANK('2025'!$Q149), 0, 1), 4, if(ISBLANK('2025'!$R149), 0, 1), 5, if(ISBLANK('2025'!$S149), 0, 1), 6, if(ISBLANK('2025'!$T149), 0, 1), 7, 0))), 1, "")</f>
        <v/>
      </c>
      <c r="AS151" s="1" t="str">
        <f>IF(AND(AND(AND(AS$4&gt;='2025'!$L149,AS$4&lt;='2025'!$M149), AS$4&lt;&gt;DATE(2025,7,4)), (SWITCH(weekday(AS$4), 1, 0, 2, if(ISBLANK('2025'!$P149), 0, 1), 3, if(ISBLANK('2025'!$Q149), 0, 1), 4, if(ISBLANK('2025'!$R149), 0, 1), 5, if(ISBLANK('2025'!$S149), 0, 1), 6, if(ISBLANK('2025'!$T149), 0, 1), 7, 0))), 1, "")</f>
        <v/>
      </c>
      <c r="AT151" s="1" t="str">
        <f>IF(AND(AND(AND(AT$4&gt;='2025'!$L149,AT$4&lt;='2025'!$M149), AT$4&lt;&gt;DATE(2025,7,4)), (SWITCH(weekday(AT$4), 1, 0, 2, if(ISBLANK('2025'!$P149), 0, 1), 3, if(ISBLANK('2025'!$Q149), 0, 1), 4, if(ISBLANK('2025'!$R149), 0, 1), 5, if(ISBLANK('2025'!$S149), 0, 1), 6, if(ISBLANK('2025'!$T149), 0, 1), 7, 0))), 1, "")</f>
        <v/>
      </c>
      <c r="AU151" s="1" t="str">
        <f>IF(AND(AND(AND(AU$4&gt;='2025'!$L149,AU$4&lt;='2025'!$M149), AU$4&lt;&gt;DATE(2025,7,4)), (SWITCH(weekday(AU$4), 1, 0, 2, if(ISBLANK('2025'!$P149), 0, 1), 3, if(ISBLANK('2025'!$Q149), 0, 1), 4, if(ISBLANK('2025'!$R149), 0, 1), 5, if(ISBLANK('2025'!$S149), 0, 1), 6, if(ISBLANK('2025'!$T149), 0, 1), 7, 0))), 1, "")</f>
        <v/>
      </c>
      <c r="AV151" s="1" t="str">
        <f>IF(AND(AND(AND(AV$4&gt;='2025'!$L149,AV$4&lt;='2025'!$M149), AV$4&lt;&gt;DATE(2025,7,4)), (SWITCH(weekday(AV$4), 1, 0, 2, if(ISBLANK('2025'!$P149), 0, 1), 3, if(ISBLANK('2025'!$Q149), 0, 1), 4, if(ISBLANK('2025'!$R149), 0, 1), 5, if(ISBLANK('2025'!$S149), 0, 1), 6, if(ISBLANK('2025'!$T149), 0, 1), 7, 0))), 1, "")</f>
        <v/>
      </c>
      <c r="AW151" s="1" t="str">
        <f>IF(AND(AND(AND(AW$4&gt;='2025'!$L149,AW$4&lt;='2025'!$M149), AW$4&lt;&gt;DATE(2025,7,4)), (SWITCH(weekday(AW$4), 1, 0, 2, if(ISBLANK('2025'!$P149), 0, 1), 3, if(ISBLANK('2025'!$Q149), 0, 1), 4, if(ISBLANK('2025'!$R149), 0, 1), 5, if(ISBLANK('2025'!$S149), 0, 1), 6, if(ISBLANK('2025'!$T149), 0, 1), 7, 0))), 1, "")</f>
        <v/>
      </c>
      <c r="AX151" s="1" t="str">
        <f>IF(AND(AND(AND(AX$4&gt;='2025'!$L149,AX$4&lt;='2025'!$M149), AX$4&lt;&gt;DATE(2025,7,4)), (SWITCH(weekday(AX$4), 1, 0, 2, if(ISBLANK('2025'!$P149), 0, 1), 3, if(ISBLANK('2025'!$Q149), 0, 1), 4, if(ISBLANK('2025'!$R149), 0, 1), 5, if(ISBLANK('2025'!$S149), 0, 1), 6, if(ISBLANK('2025'!$T149), 0, 1), 7, 0))), 1, "")</f>
        <v/>
      </c>
      <c r="AY151" s="1" t="str">
        <f>IF(AND(AND(AND(AY$4&gt;='2025'!$L149,AY$4&lt;='2025'!$M149), AY$4&lt;&gt;DATE(2025,7,4)), (SWITCH(weekday(AY$4), 1, 0, 2, if(ISBLANK('2025'!$P149), 0, 1), 3, if(ISBLANK('2025'!$Q149), 0, 1), 4, if(ISBLANK('2025'!$R149), 0, 1), 5, if(ISBLANK('2025'!$S149), 0, 1), 6, if(ISBLANK('2025'!$T149), 0, 1), 7, 0))), 1, "")</f>
        <v/>
      </c>
      <c r="AZ151" s="1" t="str">
        <f>IF(AND(AND(AND(AZ$4&gt;='2025'!$L149,AZ$4&lt;='2025'!$M149), AZ$4&lt;&gt;DATE(2025,7,4)), (SWITCH(weekday(AZ$4), 1, 0, 2, if(ISBLANK('2025'!$P149), 0, 1), 3, if(ISBLANK('2025'!$Q149), 0, 1), 4, if(ISBLANK('2025'!$R149), 0, 1), 5, if(ISBLANK('2025'!$S149), 0, 1), 6, if(ISBLANK('2025'!$T149), 0, 1), 7, 0))), 1, "")</f>
        <v/>
      </c>
      <c r="BA151" s="1" t="str">
        <f>IF(AND(AND(AND(BA$4&gt;='2025'!$L149,BA$4&lt;='2025'!$M149), BA$4&lt;&gt;DATE(2025,7,4)), (SWITCH(weekday(BA$4), 1, 0, 2, if(ISBLANK('2025'!$P149), 0, 1), 3, if(ISBLANK('2025'!$Q149), 0, 1), 4, if(ISBLANK('2025'!$R149), 0, 1), 5, if(ISBLANK('2025'!$S149), 0, 1), 6, if(ISBLANK('2025'!$T149), 0, 1), 7, 0))), 1, "")</f>
        <v/>
      </c>
      <c r="BB151" s="1" t="str">
        <f>IF(AND(AND(AND(BB$4&gt;='2025'!$L149,BB$4&lt;='2025'!$M149), BB$4&lt;&gt;DATE(2025,7,4)), (SWITCH(weekday(BB$4), 1, 0, 2, if(ISBLANK('2025'!$P149), 0, 1), 3, if(ISBLANK('2025'!$Q149), 0, 1), 4, if(ISBLANK('2025'!$R149), 0, 1), 5, if(ISBLANK('2025'!$S149), 0, 1), 6, if(ISBLANK('2025'!$T149), 0, 1), 7, 0))), 1, "")</f>
        <v/>
      </c>
      <c r="BC151" s="1" t="str">
        <f>IF(AND(AND(AND(BC$4&gt;='2025'!$L149,BC$4&lt;='2025'!$M149), BC$4&lt;&gt;DATE(2025,7,4)), (SWITCH(weekday(BC$4), 1, 0, 2, if(ISBLANK('2025'!$P149), 0, 1), 3, if(ISBLANK('2025'!$Q149), 0, 1), 4, if(ISBLANK('2025'!$R149), 0, 1), 5, if(ISBLANK('2025'!$S149), 0, 1), 6, if(ISBLANK('2025'!$T149), 0, 1), 7, 0))), 1, "")</f>
        <v/>
      </c>
      <c r="BD151" s="1" t="str">
        <f>IF(AND(AND(AND(BD$4&gt;='2025'!$L149,BD$4&lt;='2025'!$M149), BD$4&lt;&gt;DATE(2025,7,4)), (SWITCH(weekday(BD$4), 1, 0, 2, if(ISBLANK('2025'!$P149), 0, 1), 3, if(ISBLANK('2025'!$Q149), 0, 1), 4, if(ISBLANK('2025'!$R149), 0, 1), 5, if(ISBLANK('2025'!$S149), 0, 1), 6, if(ISBLANK('2025'!$T149), 0, 1), 7, 0))), 1, "")</f>
        <v/>
      </c>
      <c r="BE151" s="1" t="str">
        <f>IF(AND(AND(AND(BE$4&gt;='2025'!$L149,BE$4&lt;='2025'!$M149), BE$4&lt;&gt;DATE(2025,7,4)), (SWITCH(weekday(BE$4), 1, 0, 2, if(ISBLANK('2025'!$P149), 0, 1), 3, if(ISBLANK('2025'!$Q149), 0, 1), 4, if(ISBLANK('2025'!$R149), 0, 1), 5, if(ISBLANK('2025'!$S149), 0, 1), 6, if(ISBLANK('2025'!$T149), 0, 1), 7, 0))), 1, "")</f>
        <v/>
      </c>
      <c r="BF151" s="1" t="str">
        <f>IF(AND(AND(AND(BF$4&gt;='2025'!$L149,BF$4&lt;='2025'!$M149), BF$4&lt;&gt;DATE(2025,7,4)), (SWITCH(weekday(BF$4), 1, 0, 2, if(ISBLANK('2025'!$P149), 0, 1), 3, if(ISBLANK('2025'!$Q149), 0, 1), 4, if(ISBLANK('2025'!$R149), 0, 1), 5, if(ISBLANK('2025'!$S149), 0, 1), 6, if(ISBLANK('2025'!$T149), 0, 1), 7, 0))), 1, "")</f>
        <v/>
      </c>
      <c r="BG151" s="1"/>
      <c r="BH151" s="1"/>
      <c r="BI151" s="1"/>
      <c r="BJ151" s="1"/>
      <c r="BK151" s="1"/>
      <c r="BL151" s="1"/>
    </row>
    <row r="152">
      <c r="A152" s="1">
        <f t="shared" si="3"/>
        <v>152</v>
      </c>
      <c r="B152" s="1" t="str">
        <f>'2025'!D116</f>
        <v>, </v>
      </c>
      <c r="C152" s="1" t="str">
        <f>'2025'!H116</f>
        <v/>
      </c>
      <c r="D152" s="1" t="str">
        <f>IF(AND(AND(AND(D$4&gt;='2025'!$L150,D$4&lt;='2025'!$M150), D$4&lt;&gt;DATE(2025,7,4)), (SWITCH(weekday(D$4), 1, 0, 2, if(ISBLANK('2025'!$P150), 0, 1), 3, if(ISBLANK('2025'!$Q150), 0, 1), 4, if(ISBLANK('2025'!$R150), 0, 1), 5, if(ISBLANK('2025'!$S150), 0, 1), 6, if(ISBLANK('2025'!$T150), 0, 1), 7, 0))), 1, "")</f>
        <v/>
      </c>
      <c r="E152" s="1" t="str">
        <f>IF(AND(AND(AND(E$4&gt;='2025'!$L150,E$4&lt;='2025'!$M150), E$4&lt;&gt;DATE(2025,7,4)), (SWITCH(weekday(E$4), 1, 0, 2, if(ISBLANK('2025'!$P150), 0, 1), 3, if(ISBLANK('2025'!$Q150), 0, 1), 4, if(ISBLANK('2025'!$R150), 0, 1), 5, if(ISBLANK('2025'!$S150), 0, 1), 6, if(ISBLANK('2025'!$T150), 0, 1), 7, 0))), 1, "")</f>
        <v/>
      </c>
      <c r="F152" s="1" t="str">
        <f>IF(AND(AND(AND(F$4&gt;='2025'!$L150,F$4&lt;='2025'!$M150), F$4&lt;&gt;DATE(2025,7,4)), (SWITCH(weekday(F$4), 1, 0, 2, if(ISBLANK('2025'!$P150), 0, 1), 3, if(ISBLANK('2025'!$Q150), 0, 1), 4, if(ISBLANK('2025'!$R150), 0, 1), 5, if(ISBLANK('2025'!$S150), 0, 1), 6, if(ISBLANK('2025'!$T150), 0, 1), 7, 0))), 1, "")</f>
        <v/>
      </c>
      <c r="G152" s="1" t="str">
        <f>IF(AND(AND(AND(G$4&gt;='2025'!$L150,G$4&lt;='2025'!$M150), G$4&lt;&gt;DATE(2025,7,4)), (SWITCH(weekday(G$4), 1, 0, 2, if(ISBLANK('2025'!$P150), 0, 1), 3, if(ISBLANK('2025'!$Q150), 0, 1), 4, if(ISBLANK('2025'!$R150), 0, 1), 5, if(ISBLANK('2025'!$S150), 0, 1), 6, if(ISBLANK('2025'!$T150), 0, 1), 7, 0))), 1, "")</f>
        <v/>
      </c>
      <c r="H152" s="1" t="str">
        <f>IF(AND(AND(AND(H$4&gt;='2025'!$L150,H$4&lt;='2025'!$M150), H$4&lt;&gt;DATE(2025,7,4)), (SWITCH(weekday(H$4), 1, 0, 2, if(ISBLANK('2025'!$P150), 0, 1), 3, if(ISBLANK('2025'!$Q150), 0, 1), 4, if(ISBLANK('2025'!$R150), 0, 1), 5, if(ISBLANK('2025'!$S150), 0, 1), 6, if(ISBLANK('2025'!$T150), 0, 1), 7, 0))), 1, "")</f>
        <v/>
      </c>
      <c r="I152" s="1" t="str">
        <f>IF(AND(AND(AND(I$4&gt;='2025'!$L150,I$4&lt;='2025'!$M150), I$4&lt;&gt;DATE(2025,7,4)), (SWITCH(weekday(I$4), 1, 0, 2, if(ISBLANK('2025'!$P150), 0, 1), 3, if(ISBLANK('2025'!$Q150), 0, 1), 4, if(ISBLANK('2025'!$R150), 0, 1), 5, if(ISBLANK('2025'!$S150), 0, 1), 6, if(ISBLANK('2025'!$T150), 0, 1), 7, 0))), 1, "")</f>
        <v/>
      </c>
      <c r="J152" s="1" t="str">
        <f>IF(AND(AND(AND(J$4&gt;='2025'!$L150,J$4&lt;='2025'!$M150), J$4&lt;&gt;DATE(2025,7,4)), (SWITCH(weekday(J$4), 1, 0, 2, if(ISBLANK('2025'!$P150), 0, 1), 3, if(ISBLANK('2025'!$Q150), 0, 1), 4, if(ISBLANK('2025'!$R150), 0, 1), 5, if(ISBLANK('2025'!$S150), 0, 1), 6, if(ISBLANK('2025'!$T150), 0, 1), 7, 0))), 1, "")</f>
        <v/>
      </c>
      <c r="K152" s="1" t="str">
        <f>IF(AND(AND(AND(K$4&gt;='2025'!$L150,K$4&lt;='2025'!$M150), K$4&lt;&gt;DATE(2025,7,4)), (SWITCH(weekday(K$4), 1, 0, 2, if(ISBLANK('2025'!$P150), 0, 1), 3, if(ISBLANK('2025'!$Q150), 0, 1), 4, if(ISBLANK('2025'!$R150), 0, 1), 5, if(ISBLANK('2025'!$S150), 0, 1), 6, if(ISBLANK('2025'!$T150), 0, 1), 7, 0))), 1, "")</f>
        <v/>
      </c>
      <c r="L152" s="1" t="str">
        <f>IF(AND(AND(AND(L$4&gt;='2025'!$L150,L$4&lt;='2025'!$M150), L$4&lt;&gt;DATE(2025,7,4)), (SWITCH(weekday(L$4), 1, 0, 2, if(ISBLANK('2025'!$P150), 0, 1), 3, if(ISBLANK('2025'!$Q150), 0, 1), 4, if(ISBLANK('2025'!$R150), 0, 1), 5, if(ISBLANK('2025'!$S150), 0, 1), 6, if(ISBLANK('2025'!$T150), 0, 1), 7, 0))), 1, "")</f>
        <v/>
      </c>
      <c r="M152" s="1" t="str">
        <f>IF(AND(AND(AND(M$4&gt;='2025'!$L150,M$4&lt;='2025'!$M150), M$4&lt;&gt;DATE(2025,7,4)), (SWITCH(weekday(M$4), 1, 0, 2, if(ISBLANK('2025'!$P150), 0, 1), 3, if(ISBLANK('2025'!$Q150), 0, 1), 4, if(ISBLANK('2025'!$R150), 0, 1), 5, if(ISBLANK('2025'!$S150), 0, 1), 6, if(ISBLANK('2025'!$T150), 0, 1), 7, 0))), 1, "")</f>
        <v/>
      </c>
      <c r="N152" s="1" t="str">
        <f>IF(AND(AND(AND(N$4&gt;='2025'!$L150,N$4&lt;='2025'!$M150), N$4&lt;&gt;DATE(2025,7,4)), (SWITCH(weekday(N$4), 1, 0, 2, if(ISBLANK('2025'!$P150), 0, 1), 3, if(ISBLANK('2025'!$Q150), 0, 1), 4, if(ISBLANK('2025'!$R150), 0, 1), 5, if(ISBLANK('2025'!$S150), 0, 1), 6, if(ISBLANK('2025'!$T150), 0, 1), 7, 0))), 1, "")</f>
        <v/>
      </c>
      <c r="O152" s="1" t="str">
        <f>IF(AND(AND(AND(O$4&gt;='2025'!$L150,O$4&lt;='2025'!$M150), O$4&lt;&gt;DATE(2025,7,4)), (SWITCH(weekday(O$4), 1, 0, 2, if(ISBLANK('2025'!$P150), 0, 1), 3, if(ISBLANK('2025'!$Q150), 0, 1), 4, if(ISBLANK('2025'!$R150), 0, 1), 5, if(ISBLANK('2025'!$S150), 0, 1), 6, if(ISBLANK('2025'!$T150), 0, 1), 7, 0))), 1, "")</f>
        <v/>
      </c>
      <c r="P152" s="1" t="str">
        <f>IF(AND(AND(AND(P$4&gt;='2025'!$L150,P$4&lt;='2025'!$M150), P$4&lt;&gt;DATE(2025,7,4)), (SWITCH(weekday(P$4), 1, 0, 2, if(ISBLANK('2025'!$P150), 0, 1), 3, if(ISBLANK('2025'!$Q150), 0, 1), 4, if(ISBLANK('2025'!$R150), 0, 1), 5, if(ISBLANK('2025'!$S150), 0, 1), 6, if(ISBLANK('2025'!$T150), 0, 1), 7, 0))), 1, "")</f>
        <v/>
      </c>
      <c r="Q152" s="1" t="str">
        <f>IF(AND(AND(AND(Q$4&gt;='2025'!$L150,Q$4&lt;='2025'!$M150), Q$4&lt;&gt;DATE(2025,7,4)), (SWITCH(weekday(Q$4), 1, 0, 2, if(ISBLANK('2025'!$P150), 0, 1), 3, if(ISBLANK('2025'!$Q150), 0, 1), 4, if(ISBLANK('2025'!$R150), 0, 1), 5, if(ISBLANK('2025'!$S150), 0, 1), 6, if(ISBLANK('2025'!$T150), 0, 1), 7, 0))), 1, "")</f>
        <v/>
      </c>
      <c r="R152" s="1" t="str">
        <f>IF(AND(AND(AND(R$4&gt;='2025'!$L150,R$4&lt;='2025'!$M150), R$4&lt;&gt;DATE(2025,7,4)), (SWITCH(weekday(R$4), 1, 0, 2, if(ISBLANK('2025'!$P150), 0, 1), 3, if(ISBLANK('2025'!$Q150), 0, 1), 4, if(ISBLANK('2025'!$R150), 0, 1), 5, if(ISBLANK('2025'!$S150), 0, 1), 6, if(ISBLANK('2025'!$T150), 0, 1), 7, 0))), 1, "")</f>
        <v/>
      </c>
      <c r="S152" s="1" t="str">
        <f>IF(AND(AND(AND(S$4&gt;='2025'!$L150,S$4&lt;='2025'!$M150), S$4&lt;&gt;DATE(2025,7,4)), (SWITCH(weekday(S$4), 1, 0, 2, if(ISBLANK('2025'!$P150), 0, 1), 3, if(ISBLANK('2025'!$Q150), 0, 1), 4, if(ISBLANK('2025'!$R150), 0, 1), 5, if(ISBLANK('2025'!$S150), 0, 1), 6, if(ISBLANK('2025'!$T150), 0, 1), 7, 0))), 1, "")</f>
        <v/>
      </c>
      <c r="T152" s="1" t="str">
        <f>IF(AND(AND(AND(T$4&gt;='2025'!$L150,T$4&lt;='2025'!$M150), T$4&lt;&gt;DATE(2025,7,4)), (SWITCH(weekday(T$4), 1, 0, 2, if(ISBLANK('2025'!$P150), 0, 1), 3, if(ISBLANK('2025'!$Q150), 0, 1), 4, if(ISBLANK('2025'!$R150), 0, 1), 5, if(ISBLANK('2025'!$S150), 0, 1), 6, if(ISBLANK('2025'!$T150), 0, 1), 7, 0))), 1, "")</f>
        <v/>
      </c>
      <c r="U152" s="1" t="str">
        <f>IF(AND(AND(AND(U$4&gt;='2025'!$L150,U$4&lt;='2025'!$M150), U$4&lt;&gt;DATE(2025,7,4)), (SWITCH(weekday(U$4), 1, 0, 2, if(ISBLANK('2025'!$P150), 0, 1), 3, if(ISBLANK('2025'!$Q150), 0, 1), 4, if(ISBLANK('2025'!$R150), 0, 1), 5, if(ISBLANK('2025'!$S150), 0, 1), 6, if(ISBLANK('2025'!$T150), 0, 1), 7, 0))), 1, "")</f>
        <v/>
      </c>
      <c r="V152" s="1" t="str">
        <f>IF(AND(AND(AND(V$4&gt;='2025'!$L150,V$4&lt;='2025'!$M150), V$4&lt;&gt;DATE(2025,7,4)), (SWITCH(weekday(V$4), 1, 0, 2, if(ISBLANK('2025'!$P150), 0, 1), 3, if(ISBLANK('2025'!$Q150), 0, 1), 4, if(ISBLANK('2025'!$R150), 0, 1), 5, if(ISBLANK('2025'!$S150), 0, 1), 6, if(ISBLANK('2025'!$T150), 0, 1), 7, 0))), 1, "")</f>
        <v/>
      </c>
      <c r="W152" s="1" t="str">
        <f>IF(AND(AND(AND(W$4&gt;='2025'!$L150,W$4&lt;='2025'!$M150), W$4&lt;&gt;DATE(2025,7,4)), (SWITCH(weekday(W$4), 1, 0, 2, if(ISBLANK('2025'!$P150), 0, 1), 3, if(ISBLANK('2025'!$Q150), 0, 1), 4, if(ISBLANK('2025'!$R150), 0, 1), 5, if(ISBLANK('2025'!$S150), 0, 1), 6, if(ISBLANK('2025'!$T150), 0, 1), 7, 0))), 1, "")</f>
        <v/>
      </c>
      <c r="X152" s="1" t="str">
        <f>IF(AND(AND(AND(X$4&gt;='2025'!$L150,X$4&lt;='2025'!$M150), X$4&lt;&gt;DATE(2025,7,4)), (SWITCH(weekday(X$4), 1, 0, 2, if(ISBLANK('2025'!$P150), 0, 1), 3, if(ISBLANK('2025'!$Q150), 0, 1), 4, if(ISBLANK('2025'!$R150), 0, 1), 5, if(ISBLANK('2025'!$S150), 0, 1), 6, if(ISBLANK('2025'!$T150), 0, 1), 7, 0))), 1, "")</f>
        <v/>
      </c>
      <c r="Y152" s="1" t="str">
        <f>IF(AND(AND(AND(Y$4&gt;='2025'!$L150,Y$4&lt;='2025'!$M150), Y$4&lt;&gt;DATE(2025,7,4)), (SWITCH(weekday(Y$4), 1, 0, 2, if(ISBLANK('2025'!$P150), 0, 1), 3, if(ISBLANK('2025'!$Q150), 0, 1), 4, if(ISBLANK('2025'!$R150), 0, 1), 5, if(ISBLANK('2025'!$S150), 0, 1), 6, if(ISBLANK('2025'!$T150), 0, 1), 7, 0))), 1, "")</f>
        <v/>
      </c>
      <c r="Z152" s="1" t="str">
        <f>IF(AND(AND(AND(Z$4&gt;='2025'!$L150,Z$4&lt;='2025'!$M150), Z$4&lt;&gt;DATE(2025,7,4)), (SWITCH(weekday(Z$4), 1, 0, 2, if(ISBLANK('2025'!$P150), 0, 1), 3, if(ISBLANK('2025'!$Q150), 0, 1), 4, if(ISBLANK('2025'!$R150), 0, 1), 5, if(ISBLANK('2025'!$S150), 0, 1), 6, if(ISBLANK('2025'!$T150), 0, 1), 7, 0))), 1, "")</f>
        <v/>
      </c>
      <c r="AA152" s="1" t="str">
        <f>IF(AND(AND(AND(AA$4&gt;='2025'!$L150,AA$4&lt;='2025'!$M150), AA$4&lt;&gt;DATE(2025,7,4)), (SWITCH(weekday(AA$4), 1, 0, 2, if(ISBLANK('2025'!$P150), 0, 1), 3, if(ISBLANK('2025'!$Q150), 0, 1), 4, if(ISBLANK('2025'!$R150), 0, 1), 5, if(ISBLANK('2025'!$S150), 0, 1), 6, if(ISBLANK('2025'!$T150), 0, 1), 7, 0))), 1, "")</f>
        <v/>
      </c>
      <c r="AB152" s="1" t="str">
        <f>IF(AND(AND(AND(AB$4&gt;='2025'!$L150,AB$4&lt;='2025'!$M150), AB$4&lt;&gt;DATE(2025,7,4)), (SWITCH(weekday(AB$4), 1, 0, 2, if(ISBLANK('2025'!$P150), 0, 1), 3, if(ISBLANK('2025'!$Q150), 0, 1), 4, if(ISBLANK('2025'!$R150), 0, 1), 5, if(ISBLANK('2025'!$S150), 0, 1), 6, if(ISBLANK('2025'!$T150), 0, 1), 7, 0))), 1, "")</f>
        <v/>
      </c>
      <c r="AC152" s="1" t="str">
        <f>IF(AND(AND(AND(AC$4&gt;='2025'!$L150,AC$4&lt;='2025'!$M150), AC$4&lt;&gt;DATE(2025,7,4)), (SWITCH(weekday(AC$4), 1, 0, 2, if(ISBLANK('2025'!$P150), 0, 1), 3, if(ISBLANK('2025'!$Q150), 0, 1), 4, if(ISBLANK('2025'!$R150), 0, 1), 5, if(ISBLANK('2025'!$S150), 0, 1), 6, if(ISBLANK('2025'!$T150), 0, 1), 7, 0))), 1, "")</f>
        <v/>
      </c>
      <c r="AD152" s="1" t="str">
        <f>IF(AND(AND(AND(AD$4&gt;='2025'!$L150,AD$4&lt;='2025'!$M150), AD$4&lt;&gt;DATE(2025,7,4)), (SWITCH(weekday(AD$4), 1, 0, 2, if(ISBLANK('2025'!$P150), 0, 1), 3, if(ISBLANK('2025'!$Q150), 0, 1), 4, if(ISBLANK('2025'!$R150), 0, 1), 5, if(ISBLANK('2025'!$S150), 0, 1), 6, if(ISBLANK('2025'!$T150), 0, 1), 7, 0))), 1, "")</f>
        <v/>
      </c>
      <c r="AE152" s="1" t="str">
        <f>IF(AND(AND(AND(AE$4&gt;='2025'!$L150,AE$4&lt;='2025'!$M150), AE$4&lt;&gt;DATE(2025,7,4)), (SWITCH(weekday(AE$4), 1, 0, 2, if(ISBLANK('2025'!$P150), 0, 1), 3, if(ISBLANK('2025'!$Q150), 0, 1), 4, if(ISBLANK('2025'!$R150), 0, 1), 5, if(ISBLANK('2025'!$S150), 0, 1), 6, if(ISBLANK('2025'!$T150), 0, 1), 7, 0))), 1, "")</f>
        <v/>
      </c>
      <c r="AF152" s="1" t="str">
        <f>IF(AND(AND(AND(AF$4&gt;='2025'!$L150,AF$4&lt;='2025'!$M150), AF$4&lt;&gt;DATE(2025,7,4)), (SWITCH(weekday(AF$4), 1, 0, 2, if(ISBLANK('2025'!$P150), 0, 1), 3, if(ISBLANK('2025'!$Q150), 0, 1), 4, if(ISBLANK('2025'!$R150), 0, 1), 5, if(ISBLANK('2025'!$S150), 0, 1), 6, if(ISBLANK('2025'!$T150), 0, 1), 7, 0))), 1, "")</f>
        <v/>
      </c>
      <c r="AG152" s="1" t="str">
        <f>IF(AND(AND(AND(AG$4&gt;='2025'!$L150,AG$4&lt;='2025'!$M150), AG$4&lt;&gt;DATE(2025,7,4)), (SWITCH(weekday(AG$4), 1, 0, 2, if(ISBLANK('2025'!$P150), 0, 1), 3, if(ISBLANK('2025'!$Q150), 0, 1), 4, if(ISBLANK('2025'!$R150), 0, 1), 5, if(ISBLANK('2025'!$S150), 0, 1), 6, if(ISBLANK('2025'!$T150), 0, 1), 7, 0))), 1, "")</f>
        <v/>
      </c>
      <c r="AH152" s="1" t="str">
        <f>IF(AND(AND(AND(AH$4&gt;='2025'!$L150,AH$4&lt;='2025'!$M150), AH$4&lt;&gt;DATE(2025,7,4)), (SWITCH(weekday(AH$4), 1, 0, 2, if(ISBLANK('2025'!$P150), 0, 1), 3, if(ISBLANK('2025'!$Q150), 0, 1), 4, if(ISBLANK('2025'!$R150), 0, 1), 5, if(ISBLANK('2025'!$S150), 0, 1), 6, if(ISBLANK('2025'!$T150), 0, 1), 7, 0))), 1, "")</f>
        <v/>
      </c>
      <c r="AI152" s="1" t="str">
        <f>IF(AND(AND(AND(AI$4&gt;='2025'!$L150,AI$4&lt;='2025'!$M150), AI$4&lt;&gt;DATE(2025,7,4)), (SWITCH(weekday(AI$4), 1, 0, 2, if(ISBLANK('2025'!$P150), 0, 1), 3, if(ISBLANK('2025'!$Q150), 0, 1), 4, if(ISBLANK('2025'!$R150), 0, 1), 5, if(ISBLANK('2025'!$S150), 0, 1), 6, if(ISBLANK('2025'!$T150), 0, 1), 7, 0))), 1, "")</f>
        <v/>
      </c>
      <c r="AJ152" s="1" t="str">
        <f>IF(AND(AND(AND(AJ$4&gt;='2025'!$L150,AJ$4&lt;='2025'!$M150), AJ$4&lt;&gt;DATE(2025,7,4)), (SWITCH(weekday(AJ$4), 1, 0, 2, if(ISBLANK('2025'!$P150), 0, 1), 3, if(ISBLANK('2025'!$Q150), 0, 1), 4, if(ISBLANK('2025'!$R150), 0, 1), 5, if(ISBLANK('2025'!$S150), 0, 1), 6, if(ISBLANK('2025'!$T150), 0, 1), 7, 0))), 1, "")</f>
        <v/>
      </c>
      <c r="AK152" s="1" t="str">
        <f>IF(AND(AND(AND(AK$4&gt;='2025'!$L150,AK$4&lt;='2025'!$M150), AK$4&lt;&gt;DATE(2025,7,4)), (SWITCH(weekday(AK$4), 1, 0, 2, if(ISBLANK('2025'!$P150), 0, 1), 3, if(ISBLANK('2025'!$Q150), 0, 1), 4, if(ISBLANK('2025'!$R150), 0, 1), 5, if(ISBLANK('2025'!$S150), 0, 1), 6, if(ISBLANK('2025'!$T150), 0, 1), 7, 0))), 1, "")</f>
        <v/>
      </c>
      <c r="AL152" s="1" t="str">
        <f>IF(AND(AND(AND(AL$4&gt;='2025'!$L150,AL$4&lt;='2025'!$M150), AL$4&lt;&gt;DATE(2025,7,4)), (SWITCH(weekday(AL$4), 1, 0, 2, if(ISBLANK('2025'!$P150), 0, 1), 3, if(ISBLANK('2025'!$Q150), 0, 1), 4, if(ISBLANK('2025'!$R150), 0, 1), 5, if(ISBLANK('2025'!$S150), 0, 1), 6, if(ISBLANK('2025'!$T150), 0, 1), 7, 0))), 1, "")</f>
        <v/>
      </c>
      <c r="AM152" s="1" t="str">
        <f>IF(AND(AND(AND(AM$4&gt;='2025'!$L150,AM$4&lt;='2025'!$M150), AM$4&lt;&gt;DATE(2025,7,4)), (SWITCH(weekday(AM$4), 1, 0, 2, if(ISBLANK('2025'!$P150), 0, 1), 3, if(ISBLANK('2025'!$Q150), 0, 1), 4, if(ISBLANK('2025'!$R150), 0, 1), 5, if(ISBLANK('2025'!$S150), 0, 1), 6, if(ISBLANK('2025'!$T150), 0, 1), 7, 0))), 1, "")</f>
        <v/>
      </c>
      <c r="AN152" s="1" t="str">
        <f>IF(AND(AND(AND(AN$4&gt;='2025'!$L150,AN$4&lt;='2025'!$M150), AN$4&lt;&gt;DATE(2025,7,4)), (SWITCH(weekday(AN$4), 1, 0, 2, if(ISBLANK('2025'!$P150), 0, 1), 3, if(ISBLANK('2025'!$Q150), 0, 1), 4, if(ISBLANK('2025'!$R150), 0, 1), 5, if(ISBLANK('2025'!$S150), 0, 1), 6, if(ISBLANK('2025'!$T150), 0, 1), 7, 0))), 1, "")</f>
        <v/>
      </c>
      <c r="AO152" s="1" t="str">
        <f>IF(AND(AND(AND(AO$4&gt;='2025'!$L150,AO$4&lt;='2025'!$M150), AO$4&lt;&gt;DATE(2025,7,4)), (SWITCH(weekday(AO$4), 1, 0, 2, if(ISBLANK('2025'!$P150), 0, 1), 3, if(ISBLANK('2025'!$Q150), 0, 1), 4, if(ISBLANK('2025'!$R150), 0, 1), 5, if(ISBLANK('2025'!$S150), 0, 1), 6, if(ISBLANK('2025'!$T150), 0, 1), 7, 0))), 1, "")</f>
        <v/>
      </c>
      <c r="AP152" s="1" t="str">
        <f>IF(AND(AND(AND(AP$4&gt;='2025'!$L150,AP$4&lt;='2025'!$M150), AP$4&lt;&gt;DATE(2025,7,4)), (SWITCH(weekday(AP$4), 1, 0, 2, if(ISBLANK('2025'!$P150), 0, 1), 3, if(ISBLANK('2025'!$Q150), 0, 1), 4, if(ISBLANK('2025'!$R150), 0, 1), 5, if(ISBLANK('2025'!$S150), 0, 1), 6, if(ISBLANK('2025'!$T150), 0, 1), 7, 0))), 1, "")</f>
        <v/>
      </c>
      <c r="AQ152" s="1" t="str">
        <f>IF(AND(AND(AND(AQ$4&gt;='2025'!$L150,AQ$4&lt;='2025'!$M150), AQ$4&lt;&gt;DATE(2025,7,4)), (SWITCH(weekday(AQ$4), 1, 0, 2, if(ISBLANK('2025'!$P150), 0, 1), 3, if(ISBLANK('2025'!$Q150), 0, 1), 4, if(ISBLANK('2025'!$R150), 0, 1), 5, if(ISBLANK('2025'!$S150), 0, 1), 6, if(ISBLANK('2025'!$T150), 0, 1), 7, 0))), 1, "")</f>
        <v/>
      </c>
      <c r="AR152" s="1" t="str">
        <f>IF(AND(AND(AND(AR$4&gt;='2025'!$L150,AR$4&lt;='2025'!$M150), AR$4&lt;&gt;DATE(2025,7,4)), (SWITCH(weekday(AR$4), 1, 0, 2, if(ISBLANK('2025'!$P150), 0, 1), 3, if(ISBLANK('2025'!$Q150), 0, 1), 4, if(ISBLANK('2025'!$R150), 0, 1), 5, if(ISBLANK('2025'!$S150), 0, 1), 6, if(ISBLANK('2025'!$T150), 0, 1), 7, 0))), 1, "")</f>
        <v/>
      </c>
      <c r="AS152" s="1" t="str">
        <f>IF(AND(AND(AND(AS$4&gt;='2025'!$L150,AS$4&lt;='2025'!$M150), AS$4&lt;&gt;DATE(2025,7,4)), (SWITCH(weekday(AS$4), 1, 0, 2, if(ISBLANK('2025'!$P150), 0, 1), 3, if(ISBLANK('2025'!$Q150), 0, 1), 4, if(ISBLANK('2025'!$R150), 0, 1), 5, if(ISBLANK('2025'!$S150), 0, 1), 6, if(ISBLANK('2025'!$T150), 0, 1), 7, 0))), 1, "")</f>
        <v/>
      </c>
      <c r="AT152" s="1" t="str">
        <f>IF(AND(AND(AND(AT$4&gt;='2025'!$L150,AT$4&lt;='2025'!$M150), AT$4&lt;&gt;DATE(2025,7,4)), (SWITCH(weekday(AT$4), 1, 0, 2, if(ISBLANK('2025'!$P150), 0, 1), 3, if(ISBLANK('2025'!$Q150), 0, 1), 4, if(ISBLANK('2025'!$R150), 0, 1), 5, if(ISBLANK('2025'!$S150), 0, 1), 6, if(ISBLANK('2025'!$T150), 0, 1), 7, 0))), 1, "")</f>
        <v/>
      </c>
      <c r="AU152" s="1" t="str">
        <f>IF(AND(AND(AND(AU$4&gt;='2025'!$L150,AU$4&lt;='2025'!$M150), AU$4&lt;&gt;DATE(2025,7,4)), (SWITCH(weekday(AU$4), 1, 0, 2, if(ISBLANK('2025'!$P150), 0, 1), 3, if(ISBLANK('2025'!$Q150), 0, 1), 4, if(ISBLANK('2025'!$R150), 0, 1), 5, if(ISBLANK('2025'!$S150), 0, 1), 6, if(ISBLANK('2025'!$T150), 0, 1), 7, 0))), 1, "")</f>
        <v/>
      </c>
      <c r="AV152" s="1" t="str">
        <f>IF(AND(AND(AND(AV$4&gt;='2025'!$L150,AV$4&lt;='2025'!$M150), AV$4&lt;&gt;DATE(2025,7,4)), (SWITCH(weekday(AV$4), 1, 0, 2, if(ISBLANK('2025'!$P150), 0, 1), 3, if(ISBLANK('2025'!$Q150), 0, 1), 4, if(ISBLANK('2025'!$R150), 0, 1), 5, if(ISBLANK('2025'!$S150), 0, 1), 6, if(ISBLANK('2025'!$T150), 0, 1), 7, 0))), 1, "")</f>
        <v/>
      </c>
      <c r="AW152" s="1" t="str">
        <f>IF(AND(AND(AND(AW$4&gt;='2025'!$L150,AW$4&lt;='2025'!$M150), AW$4&lt;&gt;DATE(2025,7,4)), (SWITCH(weekday(AW$4), 1, 0, 2, if(ISBLANK('2025'!$P150), 0, 1), 3, if(ISBLANK('2025'!$Q150), 0, 1), 4, if(ISBLANK('2025'!$R150), 0, 1), 5, if(ISBLANK('2025'!$S150), 0, 1), 6, if(ISBLANK('2025'!$T150), 0, 1), 7, 0))), 1, "")</f>
        <v/>
      </c>
      <c r="AX152" s="1" t="str">
        <f>IF(AND(AND(AND(AX$4&gt;='2025'!$L150,AX$4&lt;='2025'!$M150), AX$4&lt;&gt;DATE(2025,7,4)), (SWITCH(weekday(AX$4), 1, 0, 2, if(ISBLANK('2025'!$P150), 0, 1), 3, if(ISBLANK('2025'!$Q150), 0, 1), 4, if(ISBLANK('2025'!$R150), 0, 1), 5, if(ISBLANK('2025'!$S150), 0, 1), 6, if(ISBLANK('2025'!$T150), 0, 1), 7, 0))), 1, "")</f>
        <v/>
      </c>
      <c r="AY152" s="1" t="str">
        <f>IF(AND(AND(AND(AY$4&gt;='2025'!$L150,AY$4&lt;='2025'!$M150), AY$4&lt;&gt;DATE(2025,7,4)), (SWITCH(weekday(AY$4), 1, 0, 2, if(ISBLANK('2025'!$P150), 0, 1), 3, if(ISBLANK('2025'!$Q150), 0, 1), 4, if(ISBLANK('2025'!$R150), 0, 1), 5, if(ISBLANK('2025'!$S150), 0, 1), 6, if(ISBLANK('2025'!$T150), 0, 1), 7, 0))), 1, "")</f>
        <v/>
      </c>
      <c r="AZ152" s="1" t="str">
        <f>IF(AND(AND(AND(AZ$4&gt;='2025'!$L150,AZ$4&lt;='2025'!$M150), AZ$4&lt;&gt;DATE(2025,7,4)), (SWITCH(weekday(AZ$4), 1, 0, 2, if(ISBLANK('2025'!$P150), 0, 1), 3, if(ISBLANK('2025'!$Q150), 0, 1), 4, if(ISBLANK('2025'!$R150), 0, 1), 5, if(ISBLANK('2025'!$S150), 0, 1), 6, if(ISBLANK('2025'!$T150), 0, 1), 7, 0))), 1, "")</f>
        <v/>
      </c>
      <c r="BA152" s="1" t="str">
        <f>IF(AND(AND(AND(BA$4&gt;='2025'!$L150,BA$4&lt;='2025'!$M150), BA$4&lt;&gt;DATE(2025,7,4)), (SWITCH(weekday(BA$4), 1, 0, 2, if(ISBLANK('2025'!$P150), 0, 1), 3, if(ISBLANK('2025'!$Q150), 0, 1), 4, if(ISBLANK('2025'!$R150), 0, 1), 5, if(ISBLANK('2025'!$S150), 0, 1), 6, if(ISBLANK('2025'!$T150), 0, 1), 7, 0))), 1, "")</f>
        <v/>
      </c>
      <c r="BB152" s="1" t="str">
        <f>IF(AND(AND(AND(BB$4&gt;='2025'!$L150,BB$4&lt;='2025'!$M150), BB$4&lt;&gt;DATE(2025,7,4)), (SWITCH(weekday(BB$4), 1, 0, 2, if(ISBLANK('2025'!$P150), 0, 1), 3, if(ISBLANK('2025'!$Q150), 0, 1), 4, if(ISBLANK('2025'!$R150), 0, 1), 5, if(ISBLANK('2025'!$S150), 0, 1), 6, if(ISBLANK('2025'!$T150), 0, 1), 7, 0))), 1, "")</f>
        <v/>
      </c>
      <c r="BC152" s="1" t="str">
        <f>IF(AND(AND(AND(BC$4&gt;='2025'!$L150,BC$4&lt;='2025'!$M150), BC$4&lt;&gt;DATE(2025,7,4)), (SWITCH(weekday(BC$4), 1, 0, 2, if(ISBLANK('2025'!$P150), 0, 1), 3, if(ISBLANK('2025'!$Q150), 0, 1), 4, if(ISBLANK('2025'!$R150), 0, 1), 5, if(ISBLANK('2025'!$S150), 0, 1), 6, if(ISBLANK('2025'!$T150), 0, 1), 7, 0))), 1, "")</f>
        <v/>
      </c>
      <c r="BD152" s="1" t="str">
        <f>IF(AND(AND(AND(BD$4&gt;='2025'!$L150,BD$4&lt;='2025'!$M150), BD$4&lt;&gt;DATE(2025,7,4)), (SWITCH(weekday(BD$4), 1, 0, 2, if(ISBLANK('2025'!$P150), 0, 1), 3, if(ISBLANK('2025'!$Q150), 0, 1), 4, if(ISBLANK('2025'!$R150), 0, 1), 5, if(ISBLANK('2025'!$S150), 0, 1), 6, if(ISBLANK('2025'!$T150), 0, 1), 7, 0))), 1, "")</f>
        <v/>
      </c>
      <c r="BE152" s="1" t="str">
        <f>IF(AND(AND(AND(BE$4&gt;='2025'!$L150,BE$4&lt;='2025'!$M150), BE$4&lt;&gt;DATE(2025,7,4)), (SWITCH(weekday(BE$4), 1, 0, 2, if(ISBLANK('2025'!$P150), 0, 1), 3, if(ISBLANK('2025'!$Q150), 0, 1), 4, if(ISBLANK('2025'!$R150), 0, 1), 5, if(ISBLANK('2025'!$S150), 0, 1), 6, if(ISBLANK('2025'!$T150), 0, 1), 7, 0))), 1, "")</f>
        <v/>
      </c>
      <c r="BF152" s="1" t="str">
        <f>IF(AND(AND(AND(BF$4&gt;='2025'!$L150,BF$4&lt;='2025'!$M150), BF$4&lt;&gt;DATE(2025,7,4)), (SWITCH(weekday(BF$4), 1, 0, 2, if(ISBLANK('2025'!$P150), 0, 1), 3, if(ISBLANK('2025'!$Q150), 0, 1), 4, if(ISBLANK('2025'!$R150), 0, 1), 5, if(ISBLANK('2025'!$S150), 0, 1), 6, if(ISBLANK('2025'!$T150), 0, 1), 7, 0))), 1, "")</f>
        <v/>
      </c>
      <c r="BG152" s="1"/>
      <c r="BH152" s="1"/>
      <c r="BI152" s="1"/>
      <c r="BJ152" s="1"/>
      <c r="BK152" s="1"/>
      <c r="BL152" s="1"/>
    </row>
    <row r="153">
      <c r="A153" s="1">
        <f t="shared" si="3"/>
        <v>153</v>
      </c>
      <c r="B153" s="1" t="str">
        <f>'2025'!D117</f>
        <v>, </v>
      </c>
      <c r="C153" s="1" t="str">
        <f>'2025'!H117</f>
        <v/>
      </c>
      <c r="D153" s="1" t="str">
        <f>IF(AND(AND(AND(D$4&gt;='2025'!$L151,D$4&lt;='2025'!$M151), D$4&lt;&gt;DATE(2025,7,4)), (SWITCH(weekday(D$4), 1, 0, 2, if(ISBLANK('2025'!$P151), 0, 1), 3, if(ISBLANK('2025'!$Q151), 0, 1), 4, if(ISBLANK('2025'!$R151), 0, 1), 5, if(ISBLANK('2025'!$S151), 0, 1), 6, if(ISBLANK('2025'!$T151), 0, 1), 7, 0))), 1, "")</f>
        <v/>
      </c>
      <c r="E153" s="1" t="str">
        <f>IF(AND(AND(AND(E$4&gt;='2025'!$L151,E$4&lt;='2025'!$M151), E$4&lt;&gt;DATE(2025,7,4)), (SWITCH(weekday(E$4), 1, 0, 2, if(ISBLANK('2025'!$P151), 0, 1), 3, if(ISBLANK('2025'!$Q151), 0, 1), 4, if(ISBLANK('2025'!$R151), 0, 1), 5, if(ISBLANK('2025'!$S151), 0, 1), 6, if(ISBLANK('2025'!$T151), 0, 1), 7, 0))), 1, "")</f>
        <v/>
      </c>
      <c r="F153" s="1" t="str">
        <f>IF(AND(AND(AND(F$4&gt;='2025'!$L151,F$4&lt;='2025'!$M151), F$4&lt;&gt;DATE(2025,7,4)), (SWITCH(weekday(F$4), 1, 0, 2, if(ISBLANK('2025'!$P151), 0, 1), 3, if(ISBLANK('2025'!$Q151), 0, 1), 4, if(ISBLANK('2025'!$R151), 0, 1), 5, if(ISBLANK('2025'!$S151), 0, 1), 6, if(ISBLANK('2025'!$T151), 0, 1), 7, 0))), 1, "")</f>
        <v/>
      </c>
      <c r="G153" s="1" t="str">
        <f>IF(AND(AND(AND(G$4&gt;='2025'!$L151,G$4&lt;='2025'!$M151), G$4&lt;&gt;DATE(2025,7,4)), (SWITCH(weekday(G$4), 1, 0, 2, if(ISBLANK('2025'!$P151), 0, 1), 3, if(ISBLANK('2025'!$Q151), 0, 1), 4, if(ISBLANK('2025'!$R151), 0, 1), 5, if(ISBLANK('2025'!$S151), 0, 1), 6, if(ISBLANK('2025'!$T151), 0, 1), 7, 0))), 1, "")</f>
        <v/>
      </c>
      <c r="H153" s="1" t="str">
        <f>IF(AND(AND(AND(H$4&gt;='2025'!$L151,H$4&lt;='2025'!$M151), H$4&lt;&gt;DATE(2025,7,4)), (SWITCH(weekday(H$4), 1, 0, 2, if(ISBLANK('2025'!$P151), 0, 1), 3, if(ISBLANK('2025'!$Q151), 0, 1), 4, if(ISBLANK('2025'!$R151), 0, 1), 5, if(ISBLANK('2025'!$S151), 0, 1), 6, if(ISBLANK('2025'!$T151), 0, 1), 7, 0))), 1, "")</f>
        <v/>
      </c>
      <c r="I153" s="1" t="str">
        <f>IF(AND(AND(AND(I$4&gt;='2025'!$L151,I$4&lt;='2025'!$M151), I$4&lt;&gt;DATE(2025,7,4)), (SWITCH(weekday(I$4), 1, 0, 2, if(ISBLANK('2025'!$P151), 0, 1), 3, if(ISBLANK('2025'!$Q151), 0, 1), 4, if(ISBLANK('2025'!$R151), 0, 1), 5, if(ISBLANK('2025'!$S151), 0, 1), 6, if(ISBLANK('2025'!$T151), 0, 1), 7, 0))), 1, "")</f>
        <v/>
      </c>
      <c r="J153" s="1" t="str">
        <f>IF(AND(AND(AND(J$4&gt;='2025'!$L151,J$4&lt;='2025'!$M151), J$4&lt;&gt;DATE(2025,7,4)), (SWITCH(weekday(J$4), 1, 0, 2, if(ISBLANK('2025'!$P151), 0, 1), 3, if(ISBLANK('2025'!$Q151), 0, 1), 4, if(ISBLANK('2025'!$R151), 0, 1), 5, if(ISBLANK('2025'!$S151), 0, 1), 6, if(ISBLANK('2025'!$T151), 0, 1), 7, 0))), 1, "")</f>
        <v/>
      </c>
      <c r="K153" s="1" t="str">
        <f>IF(AND(AND(AND(K$4&gt;='2025'!$L151,K$4&lt;='2025'!$M151), K$4&lt;&gt;DATE(2025,7,4)), (SWITCH(weekday(K$4), 1, 0, 2, if(ISBLANK('2025'!$P151), 0, 1), 3, if(ISBLANK('2025'!$Q151), 0, 1), 4, if(ISBLANK('2025'!$R151), 0, 1), 5, if(ISBLANK('2025'!$S151), 0, 1), 6, if(ISBLANK('2025'!$T151), 0, 1), 7, 0))), 1, "")</f>
        <v/>
      </c>
      <c r="L153" s="1" t="str">
        <f>IF(AND(AND(AND(L$4&gt;='2025'!$L151,L$4&lt;='2025'!$M151), L$4&lt;&gt;DATE(2025,7,4)), (SWITCH(weekday(L$4), 1, 0, 2, if(ISBLANK('2025'!$P151), 0, 1), 3, if(ISBLANK('2025'!$Q151), 0, 1), 4, if(ISBLANK('2025'!$R151), 0, 1), 5, if(ISBLANK('2025'!$S151), 0, 1), 6, if(ISBLANK('2025'!$T151), 0, 1), 7, 0))), 1, "")</f>
        <v/>
      </c>
      <c r="M153" s="1" t="str">
        <f>IF(AND(AND(AND(M$4&gt;='2025'!$L151,M$4&lt;='2025'!$M151), M$4&lt;&gt;DATE(2025,7,4)), (SWITCH(weekday(M$4), 1, 0, 2, if(ISBLANK('2025'!$P151), 0, 1), 3, if(ISBLANK('2025'!$Q151), 0, 1), 4, if(ISBLANK('2025'!$R151), 0, 1), 5, if(ISBLANK('2025'!$S151), 0, 1), 6, if(ISBLANK('2025'!$T151), 0, 1), 7, 0))), 1, "")</f>
        <v/>
      </c>
      <c r="N153" s="1" t="str">
        <f>IF(AND(AND(AND(N$4&gt;='2025'!$L151,N$4&lt;='2025'!$M151), N$4&lt;&gt;DATE(2025,7,4)), (SWITCH(weekday(N$4), 1, 0, 2, if(ISBLANK('2025'!$P151), 0, 1), 3, if(ISBLANK('2025'!$Q151), 0, 1), 4, if(ISBLANK('2025'!$R151), 0, 1), 5, if(ISBLANK('2025'!$S151), 0, 1), 6, if(ISBLANK('2025'!$T151), 0, 1), 7, 0))), 1, "")</f>
        <v/>
      </c>
      <c r="O153" s="1" t="str">
        <f>IF(AND(AND(AND(O$4&gt;='2025'!$L151,O$4&lt;='2025'!$M151), O$4&lt;&gt;DATE(2025,7,4)), (SWITCH(weekday(O$4), 1, 0, 2, if(ISBLANK('2025'!$P151), 0, 1), 3, if(ISBLANK('2025'!$Q151), 0, 1), 4, if(ISBLANK('2025'!$R151), 0, 1), 5, if(ISBLANK('2025'!$S151), 0, 1), 6, if(ISBLANK('2025'!$T151), 0, 1), 7, 0))), 1, "")</f>
        <v/>
      </c>
      <c r="P153" s="1" t="str">
        <f>IF(AND(AND(AND(P$4&gt;='2025'!$L151,P$4&lt;='2025'!$M151), P$4&lt;&gt;DATE(2025,7,4)), (SWITCH(weekday(P$4), 1, 0, 2, if(ISBLANK('2025'!$P151), 0, 1), 3, if(ISBLANK('2025'!$Q151), 0, 1), 4, if(ISBLANK('2025'!$R151), 0, 1), 5, if(ISBLANK('2025'!$S151), 0, 1), 6, if(ISBLANK('2025'!$T151), 0, 1), 7, 0))), 1, "")</f>
        <v/>
      </c>
      <c r="Q153" s="1" t="str">
        <f>IF(AND(AND(AND(Q$4&gt;='2025'!$L151,Q$4&lt;='2025'!$M151), Q$4&lt;&gt;DATE(2025,7,4)), (SWITCH(weekday(Q$4), 1, 0, 2, if(ISBLANK('2025'!$P151), 0, 1), 3, if(ISBLANK('2025'!$Q151), 0, 1), 4, if(ISBLANK('2025'!$R151), 0, 1), 5, if(ISBLANK('2025'!$S151), 0, 1), 6, if(ISBLANK('2025'!$T151), 0, 1), 7, 0))), 1, "")</f>
        <v/>
      </c>
      <c r="R153" s="1" t="str">
        <f>IF(AND(AND(AND(R$4&gt;='2025'!$L151,R$4&lt;='2025'!$M151), R$4&lt;&gt;DATE(2025,7,4)), (SWITCH(weekday(R$4), 1, 0, 2, if(ISBLANK('2025'!$P151), 0, 1), 3, if(ISBLANK('2025'!$Q151), 0, 1), 4, if(ISBLANK('2025'!$R151), 0, 1), 5, if(ISBLANK('2025'!$S151), 0, 1), 6, if(ISBLANK('2025'!$T151), 0, 1), 7, 0))), 1, "")</f>
        <v/>
      </c>
      <c r="S153" s="1" t="str">
        <f>IF(AND(AND(AND(S$4&gt;='2025'!$L151,S$4&lt;='2025'!$M151), S$4&lt;&gt;DATE(2025,7,4)), (SWITCH(weekday(S$4), 1, 0, 2, if(ISBLANK('2025'!$P151), 0, 1), 3, if(ISBLANK('2025'!$Q151), 0, 1), 4, if(ISBLANK('2025'!$R151), 0, 1), 5, if(ISBLANK('2025'!$S151), 0, 1), 6, if(ISBLANK('2025'!$T151), 0, 1), 7, 0))), 1, "")</f>
        <v/>
      </c>
      <c r="T153" s="1" t="str">
        <f>IF(AND(AND(AND(T$4&gt;='2025'!$L151,T$4&lt;='2025'!$M151), T$4&lt;&gt;DATE(2025,7,4)), (SWITCH(weekday(T$4), 1, 0, 2, if(ISBLANK('2025'!$P151), 0, 1), 3, if(ISBLANK('2025'!$Q151), 0, 1), 4, if(ISBLANK('2025'!$R151), 0, 1), 5, if(ISBLANK('2025'!$S151), 0, 1), 6, if(ISBLANK('2025'!$T151), 0, 1), 7, 0))), 1, "")</f>
        <v/>
      </c>
      <c r="U153" s="1" t="str">
        <f>IF(AND(AND(AND(U$4&gt;='2025'!$L151,U$4&lt;='2025'!$M151), U$4&lt;&gt;DATE(2025,7,4)), (SWITCH(weekday(U$4), 1, 0, 2, if(ISBLANK('2025'!$P151), 0, 1), 3, if(ISBLANK('2025'!$Q151), 0, 1), 4, if(ISBLANK('2025'!$R151), 0, 1), 5, if(ISBLANK('2025'!$S151), 0, 1), 6, if(ISBLANK('2025'!$T151), 0, 1), 7, 0))), 1, "")</f>
        <v/>
      </c>
      <c r="V153" s="1" t="str">
        <f>IF(AND(AND(AND(V$4&gt;='2025'!$L151,V$4&lt;='2025'!$M151), V$4&lt;&gt;DATE(2025,7,4)), (SWITCH(weekday(V$4), 1, 0, 2, if(ISBLANK('2025'!$P151), 0, 1), 3, if(ISBLANK('2025'!$Q151), 0, 1), 4, if(ISBLANK('2025'!$R151), 0, 1), 5, if(ISBLANK('2025'!$S151), 0, 1), 6, if(ISBLANK('2025'!$T151), 0, 1), 7, 0))), 1, "")</f>
        <v/>
      </c>
      <c r="W153" s="1" t="str">
        <f>IF(AND(AND(AND(W$4&gt;='2025'!$L151,W$4&lt;='2025'!$M151), W$4&lt;&gt;DATE(2025,7,4)), (SWITCH(weekday(W$4), 1, 0, 2, if(ISBLANK('2025'!$P151), 0, 1), 3, if(ISBLANK('2025'!$Q151), 0, 1), 4, if(ISBLANK('2025'!$R151), 0, 1), 5, if(ISBLANK('2025'!$S151), 0, 1), 6, if(ISBLANK('2025'!$T151), 0, 1), 7, 0))), 1, "")</f>
        <v/>
      </c>
      <c r="X153" s="1" t="str">
        <f>IF(AND(AND(AND(X$4&gt;='2025'!$L151,X$4&lt;='2025'!$M151), X$4&lt;&gt;DATE(2025,7,4)), (SWITCH(weekday(X$4), 1, 0, 2, if(ISBLANK('2025'!$P151), 0, 1), 3, if(ISBLANK('2025'!$Q151), 0, 1), 4, if(ISBLANK('2025'!$R151), 0, 1), 5, if(ISBLANK('2025'!$S151), 0, 1), 6, if(ISBLANK('2025'!$T151), 0, 1), 7, 0))), 1, "")</f>
        <v/>
      </c>
      <c r="Y153" s="1" t="str">
        <f>IF(AND(AND(AND(Y$4&gt;='2025'!$L151,Y$4&lt;='2025'!$M151), Y$4&lt;&gt;DATE(2025,7,4)), (SWITCH(weekday(Y$4), 1, 0, 2, if(ISBLANK('2025'!$P151), 0, 1), 3, if(ISBLANK('2025'!$Q151), 0, 1), 4, if(ISBLANK('2025'!$R151), 0, 1), 5, if(ISBLANK('2025'!$S151), 0, 1), 6, if(ISBLANK('2025'!$T151), 0, 1), 7, 0))), 1, "")</f>
        <v/>
      </c>
      <c r="Z153" s="1" t="str">
        <f>IF(AND(AND(AND(Z$4&gt;='2025'!$L151,Z$4&lt;='2025'!$M151), Z$4&lt;&gt;DATE(2025,7,4)), (SWITCH(weekday(Z$4), 1, 0, 2, if(ISBLANK('2025'!$P151), 0, 1), 3, if(ISBLANK('2025'!$Q151), 0, 1), 4, if(ISBLANK('2025'!$R151), 0, 1), 5, if(ISBLANK('2025'!$S151), 0, 1), 6, if(ISBLANK('2025'!$T151), 0, 1), 7, 0))), 1, "")</f>
        <v/>
      </c>
      <c r="AA153" s="1" t="str">
        <f>IF(AND(AND(AND(AA$4&gt;='2025'!$L151,AA$4&lt;='2025'!$M151), AA$4&lt;&gt;DATE(2025,7,4)), (SWITCH(weekday(AA$4), 1, 0, 2, if(ISBLANK('2025'!$P151), 0, 1), 3, if(ISBLANK('2025'!$Q151), 0, 1), 4, if(ISBLANK('2025'!$R151), 0, 1), 5, if(ISBLANK('2025'!$S151), 0, 1), 6, if(ISBLANK('2025'!$T151), 0, 1), 7, 0))), 1, "")</f>
        <v/>
      </c>
      <c r="AB153" s="1" t="str">
        <f>IF(AND(AND(AND(AB$4&gt;='2025'!$L151,AB$4&lt;='2025'!$M151), AB$4&lt;&gt;DATE(2025,7,4)), (SWITCH(weekday(AB$4), 1, 0, 2, if(ISBLANK('2025'!$P151), 0, 1), 3, if(ISBLANK('2025'!$Q151), 0, 1), 4, if(ISBLANK('2025'!$R151), 0, 1), 5, if(ISBLANK('2025'!$S151), 0, 1), 6, if(ISBLANK('2025'!$T151), 0, 1), 7, 0))), 1, "")</f>
        <v/>
      </c>
      <c r="AC153" s="1" t="str">
        <f>IF(AND(AND(AND(AC$4&gt;='2025'!$L151,AC$4&lt;='2025'!$M151), AC$4&lt;&gt;DATE(2025,7,4)), (SWITCH(weekday(AC$4), 1, 0, 2, if(ISBLANK('2025'!$P151), 0, 1), 3, if(ISBLANK('2025'!$Q151), 0, 1), 4, if(ISBLANK('2025'!$R151), 0, 1), 5, if(ISBLANK('2025'!$S151), 0, 1), 6, if(ISBLANK('2025'!$T151), 0, 1), 7, 0))), 1, "")</f>
        <v/>
      </c>
      <c r="AD153" s="1" t="str">
        <f>IF(AND(AND(AND(AD$4&gt;='2025'!$L151,AD$4&lt;='2025'!$M151), AD$4&lt;&gt;DATE(2025,7,4)), (SWITCH(weekday(AD$4), 1, 0, 2, if(ISBLANK('2025'!$P151), 0, 1), 3, if(ISBLANK('2025'!$Q151), 0, 1), 4, if(ISBLANK('2025'!$R151), 0, 1), 5, if(ISBLANK('2025'!$S151), 0, 1), 6, if(ISBLANK('2025'!$T151), 0, 1), 7, 0))), 1, "")</f>
        <v/>
      </c>
      <c r="AE153" s="1" t="str">
        <f>IF(AND(AND(AND(AE$4&gt;='2025'!$L151,AE$4&lt;='2025'!$M151), AE$4&lt;&gt;DATE(2025,7,4)), (SWITCH(weekday(AE$4), 1, 0, 2, if(ISBLANK('2025'!$P151), 0, 1), 3, if(ISBLANK('2025'!$Q151), 0, 1), 4, if(ISBLANK('2025'!$R151), 0, 1), 5, if(ISBLANK('2025'!$S151), 0, 1), 6, if(ISBLANK('2025'!$T151), 0, 1), 7, 0))), 1, "")</f>
        <v/>
      </c>
      <c r="AF153" s="1" t="str">
        <f>IF(AND(AND(AND(AF$4&gt;='2025'!$L151,AF$4&lt;='2025'!$M151), AF$4&lt;&gt;DATE(2025,7,4)), (SWITCH(weekday(AF$4), 1, 0, 2, if(ISBLANK('2025'!$P151), 0, 1), 3, if(ISBLANK('2025'!$Q151), 0, 1), 4, if(ISBLANK('2025'!$R151), 0, 1), 5, if(ISBLANK('2025'!$S151), 0, 1), 6, if(ISBLANK('2025'!$T151), 0, 1), 7, 0))), 1, "")</f>
        <v/>
      </c>
      <c r="AG153" s="1" t="str">
        <f>IF(AND(AND(AND(AG$4&gt;='2025'!$L151,AG$4&lt;='2025'!$M151), AG$4&lt;&gt;DATE(2025,7,4)), (SWITCH(weekday(AG$4), 1, 0, 2, if(ISBLANK('2025'!$P151), 0, 1), 3, if(ISBLANK('2025'!$Q151), 0, 1), 4, if(ISBLANK('2025'!$R151), 0, 1), 5, if(ISBLANK('2025'!$S151), 0, 1), 6, if(ISBLANK('2025'!$T151), 0, 1), 7, 0))), 1, "")</f>
        <v/>
      </c>
      <c r="AH153" s="1" t="str">
        <f>IF(AND(AND(AND(AH$4&gt;='2025'!$L151,AH$4&lt;='2025'!$M151), AH$4&lt;&gt;DATE(2025,7,4)), (SWITCH(weekday(AH$4), 1, 0, 2, if(ISBLANK('2025'!$P151), 0, 1), 3, if(ISBLANK('2025'!$Q151), 0, 1), 4, if(ISBLANK('2025'!$R151), 0, 1), 5, if(ISBLANK('2025'!$S151), 0, 1), 6, if(ISBLANK('2025'!$T151), 0, 1), 7, 0))), 1, "")</f>
        <v/>
      </c>
      <c r="AI153" s="1" t="str">
        <f>IF(AND(AND(AND(AI$4&gt;='2025'!$L151,AI$4&lt;='2025'!$M151), AI$4&lt;&gt;DATE(2025,7,4)), (SWITCH(weekday(AI$4), 1, 0, 2, if(ISBLANK('2025'!$P151), 0, 1), 3, if(ISBLANK('2025'!$Q151), 0, 1), 4, if(ISBLANK('2025'!$R151), 0, 1), 5, if(ISBLANK('2025'!$S151), 0, 1), 6, if(ISBLANK('2025'!$T151), 0, 1), 7, 0))), 1, "")</f>
        <v/>
      </c>
      <c r="AJ153" s="1" t="str">
        <f>IF(AND(AND(AND(AJ$4&gt;='2025'!$L151,AJ$4&lt;='2025'!$M151), AJ$4&lt;&gt;DATE(2025,7,4)), (SWITCH(weekday(AJ$4), 1, 0, 2, if(ISBLANK('2025'!$P151), 0, 1), 3, if(ISBLANK('2025'!$Q151), 0, 1), 4, if(ISBLANK('2025'!$R151), 0, 1), 5, if(ISBLANK('2025'!$S151), 0, 1), 6, if(ISBLANK('2025'!$T151), 0, 1), 7, 0))), 1, "")</f>
        <v/>
      </c>
      <c r="AK153" s="1" t="str">
        <f>IF(AND(AND(AND(AK$4&gt;='2025'!$L151,AK$4&lt;='2025'!$M151), AK$4&lt;&gt;DATE(2025,7,4)), (SWITCH(weekday(AK$4), 1, 0, 2, if(ISBLANK('2025'!$P151), 0, 1), 3, if(ISBLANK('2025'!$Q151), 0, 1), 4, if(ISBLANK('2025'!$R151), 0, 1), 5, if(ISBLANK('2025'!$S151), 0, 1), 6, if(ISBLANK('2025'!$T151), 0, 1), 7, 0))), 1, "")</f>
        <v/>
      </c>
      <c r="AL153" s="1" t="str">
        <f>IF(AND(AND(AND(AL$4&gt;='2025'!$L151,AL$4&lt;='2025'!$M151), AL$4&lt;&gt;DATE(2025,7,4)), (SWITCH(weekday(AL$4), 1, 0, 2, if(ISBLANK('2025'!$P151), 0, 1), 3, if(ISBLANK('2025'!$Q151), 0, 1), 4, if(ISBLANK('2025'!$R151), 0, 1), 5, if(ISBLANK('2025'!$S151), 0, 1), 6, if(ISBLANK('2025'!$T151), 0, 1), 7, 0))), 1, "")</f>
        <v/>
      </c>
      <c r="AM153" s="1" t="str">
        <f>IF(AND(AND(AND(AM$4&gt;='2025'!$L151,AM$4&lt;='2025'!$M151), AM$4&lt;&gt;DATE(2025,7,4)), (SWITCH(weekday(AM$4), 1, 0, 2, if(ISBLANK('2025'!$P151), 0, 1), 3, if(ISBLANK('2025'!$Q151), 0, 1), 4, if(ISBLANK('2025'!$R151), 0, 1), 5, if(ISBLANK('2025'!$S151), 0, 1), 6, if(ISBLANK('2025'!$T151), 0, 1), 7, 0))), 1, "")</f>
        <v/>
      </c>
      <c r="AN153" s="1" t="str">
        <f>IF(AND(AND(AND(AN$4&gt;='2025'!$L151,AN$4&lt;='2025'!$M151), AN$4&lt;&gt;DATE(2025,7,4)), (SWITCH(weekday(AN$4), 1, 0, 2, if(ISBLANK('2025'!$P151), 0, 1), 3, if(ISBLANK('2025'!$Q151), 0, 1), 4, if(ISBLANK('2025'!$R151), 0, 1), 5, if(ISBLANK('2025'!$S151), 0, 1), 6, if(ISBLANK('2025'!$T151), 0, 1), 7, 0))), 1, "")</f>
        <v/>
      </c>
      <c r="AO153" s="1" t="str">
        <f>IF(AND(AND(AND(AO$4&gt;='2025'!$L151,AO$4&lt;='2025'!$M151), AO$4&lt;&gt;DATE(2025,7,4)), (SWITCH(weekday(AO$4), 1, 0, 2, if(ISBLANK('2025'!$P151), 0, 1), 3, if(ISBLANK('2025'!$Q151), 0, 1), 4, if(ISBLANK('2025'!$R151), 0, 1), 5, if(ISBLANK('2025'!$S151), 0, 1), 6, if(ISBLANK('2025'!$T151), 0, 1), 7, 0))), 1, "")</f>
        <v/>
      </c>
      <c r="AP153" s="1" t="str">
        <f>IF(AND(AND(AND(AP$4&gt;='2025'!$L151,AP$4&lt;='2025'!$M151), AP$4&lt;&gt;DATE(2025,7,4)), (SWITCH(weekday(AP$4), 1, 0, 2, if(ISBLANK('2025'!$P151), 0, 1), 3, if(ISBLANK('2025'!$Q151), 0, 1), 4, if(ISBLANK('2025'!$R151), 0, 1), 5, if(ISBLANK('2025'!$S151), 0, 1), 6, if(ISBLANK('2025'!$T151), 0, 1), 7, 0))), 1, "")</f>
        <v/>
      </c>
      <c r="AQ153" s="1" t="str">
        <f>IF(AND(AND(AND(AQ$4&gt;='2025'!$L151,AQ$4&lt;='2025'!$M151), AQ$4&lt;&gt;DATE(2025,7,4)), (SWITCH(weekday(AQ$4), 1, 0, 2, if(ISBLANK('2025'!$P151), 0, 1), 3, if(ISBLANK('2025'!$Q151), 0, 1), 4, if(ISBLANK('2025'!$R151), 0, 1), 5, if(ISBLANK('2025'!$S151), 0, 1), 6, if(ISBLANK('2025'!$T151), 0, 1), 7, 0))), 1, "")</f>
        <v/>
      </c>
      <c r="AR153" s="1" t="str">
        <f>IF(AND(AND(AND(AR$4&gt;='2025'!$L151,AR$4&lt;='2025'!$M151), AR$4&lt;&gt;DATE(2025,7,4)), (SWITCH(weekday(AR$4), 1, 0, 2, if(ISBLANK('2025'!$P151), 0, 1), 3, if(ISBLANK('2025'!$Q151), 0, 1), 4, if(ISBLANK('2025'!$R151), 0, 1), 5, if(ISBLANK('2025'!$S151), 0, 1), 6, if(ISBLANK('2025'!$T151), 0, 1), 7, 0))), 1, "")</f>
        <v/>
      </c>
      <c r="AS153" s="1" t="str">
        <f>IF(AND(AND(AND(AS$4&gt;='2025'!$L151,AS$4&lt;='2025'!$M151), AS$4&lt;&gt;DATE(2025,7,4)), (SWITCH(weekday(AS$4), 1, 0, 2, if(ISBLANK('2025'!$P151), 0, 1), 3, if(ISBLANK('2025'!$Q151), 0, 1), 4, if(ISBLANK('2025'!$R151), 0, 1), 5, if(ISBLANK('2025'!$S151), 0, 1), 6, if(ISBLANK('2025'!$T151), 0, 1), 7, 0))), 1, "")</f>
        <v/>
      </c>
      <c r="AT153" s="1" t="str">
        <f>IF(AND(AND(AND(AT$4&gt;='2025'!$L151,AT$4&lt;='2025'!$M151), AT$4&lt;&gt;DATE(2025,7,4)), (SWITCH(weekday(AT$4), 1, 0, 2, if(ISBLANK('2025'!$P151), 0, 1), 3, if(ISBLANK('2025'!$Q151), 0, 1), 4, if(ISBLANK('2025'!$R151), 0, 1), 5, if(ISBLANK('2025'!$S151), 0, 1), 6, if(ISBLANK('2025'!$T151), 0, 1), 7, 0))), 1, "")</f>
        <v/>
      </c>
      <c r="AU153" s="1" t="str">
        <f>IF(AND(AND(AND(AU$4&gt;='2025'!$L151,AU$4&lt;='2025'!$M151), AU$4&lt;&gt;DATE(2025,7,4)), (SWITCH(weekday(AU$4), 1, 0, 2, if(ISBLANK('2025'!$P151), 0, 1), 3, if(ISBLANK('2025'!$Q151), 0, 1), 4, if(ISBLANK('2025'!$R151), 0, 1), 5, if(ISBLANK('2025'!$S151), 0, 1), 6, if(ISBLANK('2025'!$T151), 0, 1), 7, 0))), 1, "")</f>
        <v/>
      </c>
      <c r="AV153" s="1" t="str">
        <f>IF(AND(AND(AND(AV$4&gt;='2025'!$L151,AV$4&lt;='2025'!$M151), AV$4&lt;&gt;DATE(2025,7,4)), (SWITCH(weekday(AV$4), 1, 0, 2, if(ISBLANK('2025'!$P151), 0, 1), 3, if(ISBLANK('2025'!$Q151), 0, 1), 4, if(ISBLANK('2025'!$R151), 0, 1), 5, if(ISBLANK('2025'!$S151), 0, 1), 6, if(ISBLANK('2025'!$T151), 0, 1), 7, 0))), 1, "")</f>
        <v/>
      </c>
      <c r="AW153" s="1" t="str">
        <f>IF(AND(AND(AND(AW$4&gt;='2025'!$L151,AW$4&lt;='2025'!$M151), AW$4&lt;&gt;DATE(2025,7,4)), (SWITCH(weekday(AW$4), 1, 0, 2, if(ISBLANK('2025'!$P151), 0, 1), 3, if(ISBLANK('2025'!$Q151), 0, 1), 4, if(ISBLANK('2025'!$R151), 0, 1), 5, if(ISBLANK('2025'!$S151), 0, 1), 6, if(ISBLANK('2025'!$T151), 0, 1), 7, 0))), 1, "")</f>
        <v/>
      </c>
      <c r="AX153" s="1" t="str">
        <f>IF(AND(AND(AND(AX$4&gt;='2025'!$L151,AX$4&lt;='2025'!$M151), AX$4&lt;&gt;DATE(2025,7,4)), (SWITCH(weekday(AX$4), 1, 0, 2, if(ISBLANK('2025'!$P151), 0, 1), 3, if(ISBLANK('2025'!$Q151), 0, 1), 4, if(ISBLANK('2025'!$R151), 0, 1), 5, if(ISBLANK('2025'!$S151), 0, 1), 6, if(ISBLANK('2025'!$T151), 0, 1), 7, 0))), 1, "")</f>
        <v/>
      </c>
      <c r="AY153" s="1" t="str">
        <f>IF(AND(AND(AND(AY$4&gt;='2025'!$L151,AY$4&lt;='2025'!$M151), AY$4&lt;&gt;DATE(2025,7,4)), (SWITCH(weekday(AY$4), 1, 0, 2, if(ISBLANK('2025'!$P151), 0, 1), 3, if(ISBLANK('2025'!$Q151), 0, 1), 4, if(ISBLANK('2025'!$R151), 0, 1), 5, if(ISBLANK('2025'!$S151), 0, 1), 6, if(ISBLANK('2025'!$T151), 0, 1), 7, 0))), 1, "")</f>
        <v/>
      </c>
      <c r="AZ153" s="1" t="str">
        <f>IF(AND(AND(AND(AZ$4&gt;='2025'!$L151,AZ$4&lt;='2025'!$M151), AZ$4&lt;&gt;DATE(2025,7,4)), (SWITCH(weekday(AZ$4), 1, 0, 2, if(ISBLANK('2025'!$P151), 0, 1), 3, if(ISBLANK('2025'!$Q151), 0, 1), 4, if(ISBLANK('2025'!$R151), 0, 1), 5, if(ISBLANK('2025'!$S151), 0, 1), 6, if(ISBLANK('2025'!$T151), 0, 1), 7, 0))), 1, "")</f>
        <v/>
      </c>
      <c r="BA153" s="1" t="str">
        <f>IF(AND(AND(AND(BA$4&gt;='2025'!$L151,BA$4&lt;='2025'!$M151), BA$4&lt;&gt;DATE(2025,7,4)), (SWITCH(weekday(BA$4), 1, 0, 2, if(ISBLANK('2025'!$P151), 0, 1), 3, if(ISBLANK('2025'!$Q151), 0, 1), 4, if(ISBLANK('2025'!$R151), 0, 1), 5, if(ISBLANK('2025'!$S151), 0, 1), 6, if(ISBLANK('2025'!$T151), 0, 1), 7, 0))), 1, "")</f>
        <v/>
      </c>
      <c r="BB153" s="1" t="str">
        <f>IF(AND(AND(AND(BB$4&gt;='2025'!$L151,BB$4&lt;='2025'!$M151), BB$4&lt;&gt;DATE(2025,7,4)), (SWITCH(weekday(BB$4), 1, 0, 2, if(ISBLANK('2025'!$P151), 0, 1), 3, if(ISBLANK('2025'!$Q151), 0, 1), 4, if(ISBLANK('2025'!$R151), 0, 1), 5, if(ISBLANK('2025'!$S151), 0, 1), 6, if(ISBLANK('2025'!$T151), 0, 1), 7, 0))), 1, "")</f>
        <v/>
      </c>
      <c r="BC153" s="1" t="str">
        <f>IF(AND(AND(AND(BC$4&gt;='2025'!$L151,BC$4&lt;='2025'!$M151), BC$4&lt;&gt;DATE(2025,7,4)), (SWITCH(weekday(BC$4), 1, 0, 2, if(ISBLANK('2025'!$P151), 0, 1), 3, if(ISBLANK('2025'!$Q151), 0, 1), 4, if(ISBLANK('2025'!$R151), 0, 1), 5, if(ISBLANK('2025'!$S151), 0, 1), 6, if(ISBLANK('2025'!$T151), 0, 1), 7, 0))), 1, "")</f>
        <v/>
      </c>
      <c r="BD153" s="1" t="str">
        <f>IF(AND(AND(AND(BD$4&gt;='2025'!$L151,BD$4&lt;='2025'!$M151), BD$4&lt;&gt;DATE(2025,7,4)), (SWITCH(weekday(BD$4), 1, 0, 2, if(ISBLANK('2025'!$P151), 0, 1), 3, if(ISBLANK('2025'!$Q151), 0, 1), 4, if(ISBLANK('2025'!$R151), 0, 1), 5, if(ISBLANK('2025'!$S151), 0, 1), 6, if(ISBLANK('2025'!$T151), 0, 1), 7, 0))), 1, "")</f>
        <v/>
      </c>
      <c r="BE153" s="1" t="str">
        <f>IF(AND(AND(AND(BE$4&gt;='2025'!$L151,BE$4&lt;='2025'!$M151), BE$4&lt;&gt;DATE(2025,7,4)), (SWITCH(weekday(BE$4), 1, 0, 2, if(ISBLANK('2025'!$P151), 0, 1), 3, if(ISBLANK('2025'!$Q151), 0, 1), 4, if(ISBLANK('2025'!$R151), 0, 1), 5, if(ISBLANK('2025'!$S151), 0, 1), 6, if(ISBLANK('2025'!$T151), 0, 1), 7, 0))), 1, "")</f>
        <v/>
      </c>
      <c r="BF153" s="1" t="str">
        <f>IF(AND(AND(AND(BF$4&gt;='2025'!$L151,BF$4&lt;='2025'!$M151), BF$4&lt;&gt;DATE(2025,7,4)), (SWITCH(weekday(BF$4), 1, 0, 2, if(ISBLANK('2025'!$P151), 0, 1), 3, if(ISBLANK('2025'!$Q151), 0, 1), 4, if(ISBLANK('2025'!$R151), 0, 1), 5, if(ISBLANK('2025'!$S151), 0, 1), 6, if(ISBLANK('2025'!$T151), 0, 1), 7, 0))), 1, "")</f>
        <v/>
      </c>
      <c r="BG153" s="1"/>
      <c r="BH153" s="1"/>
      <c r="BI153" s="1"/>
      <c r="BJ153" s="1"/>
      <c r="BK153" s="1"/>
      <c r="BL153" s="1"/>
    </row>
    <row r="154">
      <c r="A154" s="1">
        <f t="shared" si="3"/>
        <v>154</v>
      </c>
      <c r="B154" s="1" t="str">
        <f>'2025'!D118</f>
        <v>, </v>
      </c>
      <c r="C154" s="1" t="str">
        <f>'2025'!H118</f>
        <v/>
      </c>
      <c r="D154" s="1" t="str">
        <f>IF(AND(AND(AND(D$4&gt;='2025'!$L152,D$4&lt;='2025'!$M152), D$4&lt;&gt;DATE(2025,7,4)), (SWITCH(weekday(D$4), 1, 0, 2, if(ISBLANK('2025'!$P152), 0, 1), 3, if(ISBLANK('2025'!$Q152), 0, 1), 4, if(ISBLANK('2025'!$R152), 0, 1), 5, if(ISBLANK('2025'!$S152), 0, 1), 6, if(ISBLANK('2025'!$T152), 0, 1), 7, 0))), 1, "")</f>
        <v/>
      </c>
      <c r="E154" s="1" t="str">
        <f>IF(AND(AND(AND(E$4&gt;='2025'!$L152,E$4&lt;='2025'!$M152), E$4&lt;&gt;DATE(2025,7,4)), (SWITCH(weekday(E$4), 1, 0, 2, if(ISBLANK('2025'!$P152), 0, 1), 3, if(ISBLANK('2025'!$Q152), 0, 1), 4, if(ISBLANK('2025'!$R152), 0, 1), 5, if(ISBLANK('2025'!$S152), 0, 1), 6, if(ISBLANK('2025'!$T152), 0, 1), 7, 0))), 1, "")</f>
        <v/>
      </c>
      <c r="F154" s="1" t="str">
        <f>IF(AND(AND(AND(F$4&gt;='2025'!$L152,F$4&lt;='2025'!$M152), F$4&lt;&gt;DATE(2025,7,4)), (SWITCH(weekday(F$4), 1, 0, 2, if(ISBLANK('2025'!$P152), 0, 1), 3, if(ISBLANK('2025'!$Q152), 0, 1), 4, if(ISBLANK('2025'!$R152), 0, 1), 5, if(ISBLANK('2025'!$S152), 0, 1), 6, if(ISBLANK('2025'!$T152), 0, 1), 7, 0))), 1, "")</f>
        <v/>
      </c>
      <c r="G154" s="1" t="str">
        <f>IF(AND(AND(AND(G$4&gt;='2025'!$L152,G$4&lt;='2025'!$M152), G$4&lt;&gt;DATE(2025,7,4)), (SWITCH(weekday(G$4), 1, 0, 2, if(ISBLANK('2025'!$P152), 0, 1), 3, if(ISBLANK('2025'!$Q152), 0, 1), 4, if(ISBLANK('2025'!$R152), 0, 1), 5, if(ISBLANK('2025'!$S152), 0, 1), 6, if(ISBLANK('2025'!$T152), 0, 1), 7, 0))), 1, "")</f>
        <v/>
      </c>
      <c r="H154" s="1" t="str">
        <f>IF(AND(AND(AND(H$4&gt;='2025'!$L152,H$4&lt;='2025'!$M152), H$4&lt;&gt;DATE(2025,7,4)), (SWITCH(weekday(H$4), 1, 0, 2, if(ISBLANK('2025'!$P152), 0, 1), 3, if(ISBLANK('2025'!$Q152), 0, 1), 4, if(ISBLANK('2025'!$R152), 0, 1), 5, if(ISBLANK('2025'!$S152), 0, 1), 6, if(ISBLANK('2025'!$T152), 0, 1), 7, 0))), 1, "")</f>
        <v/>
      </c>
      <c r="I154" s="1" t="str">
        <f>IF(AND(AND(AND(I$4&gt;='2025'!$L152,I$4&lt;='2025'!$M152), I$4&lt;&gt;DATE(2025,7,4)), (SWITCH(weekday(I$4), 1, 0, 2, if(ISBLANK('2025'!$P152), 0, 1), 3, if(ISBLANK('2025'!$Q152), 0, 1), 4, if(ISBLANK('2025'!$R152), 0, 1), 5, if(ISBLANK('2025'!$S152), 0, 1), 6, if(ISBLANK('2025'!$T152), 0, 1), 7, 0))), 1, "")</f>
        <v/>
      </c>
      <c r="J154" s="1" t="str">
        <f>IF(AND(AND(AND(J$4&gt;='2025'!$L152,J$4&lt;='2025'!$M152), J$4&lt;&gt;DATE(2025,7,4)), (SWITCH(weekday(J$4), 1, 0, 2, if(ISBLANK('2025'!$P152), 0, 1), 3, if(ISBLANK('2025'!$Q152), 0, 1), 4, if(ISBLANK('2025'!$R152), 0, 1), 5, if(ISBLANK('2025'!$S152), 0, 1), 6, if(ISBLANK('2025'!$T152), 0, 1), 7, 0))), 1, "")</f>
        <v/>
      </c>
      <c r="K154" s="1" t="str">
        <f>IF(AND(AND(AND(K$4&gt;='2025'!$L152,K$4&lt;='2025'!$M152), K$4&lt;&gt;DATE(2025,7,4)), (SWITCH(weekday(K$4), 1, 0, 2, if(ISBLANK('2025'!$P152), 0, 1), 3, if(ISBLANK('2025'!$Q152), 0, 1), 4, if(ISBLANK('2025'!$R152), 0, 1), 5, if(ISBLANK('2025'!$S152), 0, 1), 6, if(ISBLANK('2025'!$T152), 0, 1), 7, 0))), 1, "")</f>
        <v/>
      </c>
      <c r="L154" s="1" t="str">
        <f>IF(AND(AND(AND(L$4&gt;='2025'!$L152,L$4&lt;='2025'!$M152), L$4&lt;&gt;DATE(2025,7,4)), (SWITCH(weekday(L$4), 1, 0, 2, if(ISBLANK('2025'!$P152), 0, 1), 3, if(ISBLANK('2025'!$Q152), 0, 1), 4, if(ISBLANK('2025'!$R152), 0, 1), 5, if(ISBLANK('2025'!$S152), 0, 1), 6, if(ISBLANK('2025'!$T152), 0, 1), 7, 0))), 1, "")</f>
        <v/>
      </c>
      <c r="M154" s="1" t="str">
        <f>IF(AND(AND(AND(M$4&gt;='2025'!$L152,M$4&lt;='2025'!$M152), M$4&lt;&gt;DATE(2025,7,4)), (SWITCH(weekday(M$4), 1, 0, 2, if(ISBLANK('2025'!$P152), 0, 1), 3, if(ISBLANK('2025'!$Q152), 0, 1), 4, if(ISBLANK('2025'!$R152), 0, 1), 5, if(ISBLANK('2025'!$S152), 0, 1), 6, if(ISBLANK('2025'!$T152), 0, 1), 7, 0))), 1, "")</f>
        <v/>
      </c>
      <c r="N154" s="1" t="str">
        <f>IF(AND(AND(AND(N$4&gt;='2025'!$L152,N$4&lt;='2025'!$M152), N$4&lt;&gt;DATE(2025,7,4)), (SWITCH(weekday(N$4), 1, 0, 2, if(ISBLANK('2025'!$P152), 0, 1), 3, if(ISBLANK('2025'!$Q152), 0, 1), 4, if(ISBLANK('2025'!$R152), 0, 1), 5, if(ISBLANK('2025'!$S152), 0, 1), 6, if(ISBLANK('2025'!$T152), 0, 1), 7, 0))), 1, "")</f>
        <v/>
      </c>
      <c r="O154" s="1" t="str">
        <f>IF(AND(AND(AND(O$4&gt;='2025'!$L152,O$4&lt;='2025'!$M152), O$4&lt;&gt;DATE(2025,7,4)), (SWITCH(weekday(O$4), 1, 0, 2, if(ISBLANK('2025'!$P152), 0, 1), 3, if(ISBLANK('2025'!$Q152), 0, 1), 4, if(ISBLANK('2025'!$R152), 0, 1), 5, if(ISBLANK('2025'!$S152), 0, 1), 6, if(ISBLANK('2025'!$T152), 0, 1), 7, 0))), 1, "")</f>
        <v/>
      </c>
      <c r="P154" s="1" t="str">
        <f>IF(AND(AND(AND(P$4&gt;='2025'!$L152,P$4&lt;='2025'!$M152), P$4&lt;&gt;DATE(2025,7,4)), (SWITCH(weekday(P$4), 1, 0, 2, if(ISBLANK('2025'!$P152), 0, 1), 3, if(ISBLANK('2025'!$Q152), 0, 1), 4, if(ISBLANK('2025'!$R152), 0, 1), 5, if(ISBLANK('2025'!$S152), 0, 1), 6, if(ISBLANK('2025'!$T152), 0, 1), 7, 0))), 1, "")</f>
        <v/>
      </c>
      <c r="Q154" s="1" t="str">
        <f>IF(AND(AND(AND(Q$4&gt;='2025'!$L152,Q$4&lt;='2025'!$M152), Q$4&lt;&gt;DATE(2025,7,4)), (SWITCH(weekday(Q$4), 1, 0, 2, if(ISBLANK('2025'!$P152), 0, 1), 3, if(ISBLANK('2025'!$Q152), 0, 1), 4, if(ISBLANK('2025'!$R152), 0, 1), 5, if(ISBLANK('2025'!$S152), 0, 1), 6, if(ISBLANK('2025'!$T152), 0, 1), 7, 0))), 1, "")</f>
        <v/>
      </c>
      <c r="R154" s="1" t="str">
        <f>IF(AND(AND(AND(R$4&gt;='2025'!$L152,R$4&lt;='2025'!$M152), R$4&lt;&gt;DATE(2025,7,4)), (SWITCH(weekday(R$4), 1, 0, 2, if(ISBLANK('2025'!$P152), 0, 1), 3, if(ISBLANK('2025'!$Q152), 0, 1), 4, if(ISBLANK('2025'!$R152), 0, 1), 5, if(ISBLANK('2025'!$S152), 0, 1), 6, if(ISBLANK('2025'!$T152), 0, 1), 7, 0))), 1, "")</f>
        <v/>
      </c>
      <c r="S154" s="1" t="str">
        <f>IF(AND(AND(AND(S$4&gt;='2025'!$L152,S$4&lt;='2025'!$M152), S$4&lt;&gt;DATE(2025,7,4)), (SWITCH(weekday(S$4), 1, 0, 2, if(ISBLANK('2025'!$P152), 0, 1), 3, if(ISBLANK('2025'!$Q152), 0, 1), 4, if(ISBLANK('2025'!$R152), 0, 1), 5, if(ISBLANK('2025'!$S152), 0, 1), 6, if(ISBLANK('2025'!$T152), 0, 1), 7, 0))), 1, "")</f>
        <v/>
      </c>
      <c r="T154" s="1" t="str">
        <f>IF(AND(AND(AND(T$4&gt;='2025'!$L152,T$4&lt;='2025'!$M152), T$4&lt;&gt;DATE(2025,7,4)), (SWITCH(weekday(T$4), 1, 0, 2, if(ISBLANK('2025'!$P152), 0, 1), 3, if(ISBLANK('2025'!$Q152), 0, 1), 4, if(ISBLANK('2025'!$R152), 0, 1), 5, if(ISBLANK('2025'!$S152), 0, 1), 6, if(ISBLANK('2025'!$T152), 0, 1), 7, 0))), 1, "")</f>
        <v/>
      </c>
      <c r="U154" s="1" t="str">
        <f>IF(AND(AND(AND(U$4&gt;='2025'!$L152,U$4&lt;='2025'!$M152), U$4&lt;&gt;DATE(2025,7,4)), (SWITCH(weekday(U$4), 1, 0, 2, if(ISBLANK('2025'!$P152), 0, 1), 3, if(ISBLANK('2025'!$Q152), 0, 1), 4, if(ISBLANK('2025'!$R152), 0, 1), 5, if(ISBLANK('2025'!$S152), 0, 1), 6, if(ISBLANK('2025'!$T152), 0, 1), 7, 0))), 1, "")</f>
        <v/>
      </c>
      <c r="V154" s="1" t="str">
        <f>IF(AND(AND(AND(V$4&gt;='2025'!$L152,V$4&lt;='2025'!$M152), V$4&lt;&gt;DATE(2025,7,4)), (SWITCH(weekday(V$4), 1, 0, 2, if(ISBLANK('2025'!$P152), 0, 1), 3, if(ISBLANK('2025'!$Q152), 0, 1), 4, if(ISBLANK('2025'!$R152), 0, 1), 5, if(ISBLANK('2025'!$S152), 0, 1), 6, if(ISBLANK('2025'!$T152), 0, 1), 7, 0))), 1, "")</f>
        <v/>
      </c>
      <c r="W154" s="1" t="str">
        <f>IF(AND(AND(AND(W$4&gt;='2025'!$L152,W$4&lt;='2025'!$M152), W$4&lt;&gt;DATE(2025,7,4)), (SWITCH(weekday(W$4), 1, 0, 2, if(ISBLANK('2025'!$P152), 0, 1), 3, if(ISBLANK('2025'!$Q152), 0, 1), 4, if(ISBLANK('2025'!$R152), 0, 1), 5, if(ISBLANK('2025'!$S152), 0, 1), 6, if(ISBLANK('2025'!$T152), 0, 1), 7, 0))), 1, "")</f>
        <v/>
      </c>
      <c r="X154" s="1" t="str">
        <f>IF(AND(AND(AND(X$4&gt;='2025'!$L152,X$4&lt;='2025'!$M152), X$4&lt;&gt;DATE(2025,7,4)), (SWITCH(weekday(X$4), 1, 0, 2, if(ISBLANK('2025'!$P152), 0, 1), 3, if(ISBLANK('2025'!$Q152), 0, 1), 4, if(ISBLANK('2025'!$R152), 0, 1), 5, if(ISBLANK('2025'!$S152), 0, 1), 6, if(ISBLANK('2025'!$T152), 0, 1), 7, 0))), 1, "")</f>
        <v/>
      </c>
      <c r="Y154" s="1" t="str">
        <f>IF(AND(AND(AND(Y$4&gt;='2025'!$L152,Y$4&lt;='2025'!$M152), Y$4&lt;&gt;DATE(2025,7,4)), (SWITCH(weekday(Y$4), 1, 0, 2, if(ISBLANK('2025'!$P152), 0, 1), 3, if(ISBLANK('2025'!$Q152), 0, 1), 4, if(ISBLANK('2025'!$R152), 0, 1), 5, if(ISBLANK('2025'!$S152), 0, 1), 6, if(ISBLANK('2025'!$T152), 0, 1), 7, 0))), 1, "")</f>
        <v/>
      </c>
      <c r="Z154" s="1" t="str">
        <f>IF(AND(AND(AND(Z$4&gt;='2025'!$L152,Z$4&lt;='2025'!$M152), Z$4&lt;&gt;DATE(2025,7,4)), (SWITCH(weekday(Z$4), 1, 0, 2, if(ISBLANK('2025'!$P152), 0, 1), 3, if(ISBLANK('2025'!$Q152), 0, 1), 4, if(ISBLANK('2025'!$R152), 0, 1), 5, if(ISBLANK('2025'!$S152), 0, 1), 6, if(ISBLANK('2025'!$T152), 0, 1), 7, 0))), 1, "")</f>
        <v/>
      </c>
      <c r="AA154" s="1" t="str">
        <f>IF(AND(AND(AND(AA$4&gt;='2025'!$L152,AA$4&lt;='2025'!$M152), AA$4&lt;&gt;DATE(2025,7,4)), (SWITCH(weekday(AA$4), 1, 0, 2, if(ISBLANK('2025'!$P152), 0, 1), 3, if(ISBLANK('2025'!$Q152), 0, 1), 4, if(ISBLANK('2025'!$R152), 0, 1), 5, if(ISBLANK('2025'!$S152), 0, 1), 6, if(ISBLANK('2025'!$T152), 0, 1), 7, 0))), 1, "")</f>
        <v/>
      </c>
      <c r="AB154" s="1" t="str">
        <f>IF(AND(AND(AND(AB$4&gt;='2025'!$L152,AB$4&lt;='2025'!$M152), AB$4&lt;&gt;DATE(2025,7,4)), (SWITCH(weekday(AB$4), 1, 0, 2, if(ISBLANK('2025'!$P152), 0, 1), 3, if(ISBLANK('2025'!$Q152), 0, 1), 4, if(ISBLANK('2025'!$R152), 0, 1), 5, if(ISBLANK('2025'!$S152), 0, 1), 6, if(ISBLANK('2025'!$T152), 0, 1), 7, 0))), 1, "")</f>
        <v/>
      </c>
      <c r="AC154" s="1" t="str">
        <f>IF(AND(AND(AND(AC$4&gt;='2025'!$L152,AC$4&lt;='2025'!$M152), AC$4&lt;&gt;DATE(2025,7,4)), (SWITCH(weekday(AC$4), 1, 0, 2, if(ISBLANK('2025'!$P152), 0, 1), 3, if(ISBLANK('2025'!$Q152), 0, 1), 4, if(ISBLANK('2025'!$R152), 0, 1), 5, if(ISBLANK('2025'!$S152), 0, 1), 6, if(ISBLANK('2025'!$T152), 0, 1), 7, 0))), 1, "")</f>
        <v/>
      </c>
      <c r="AD154" s="1" t="str">
        <f>IF(AND(AND(AND(AD$4&gt;='2025'!$L152,AD$4&lt;='2025'!$M152), AD$4&lt;&gt;DATE(2025,7,4)), (SWITCH(weekday(AD$4), 1, 0, 2, if(ISBLANK('2025'!$P152), 0, 1), 3, if(ISBLANK('2025'!$Q152), 0, 1), 4, if(ISBLANK('2025'!$R152), 0, 1), 5, if(ISBLANK('2025'!$S152), 0, 1), 6, if(ISBLANK('2025'!$T152), 0, 1), 7, 0))), 1, "")</f>
        <v/>
      </c>
      <c r="AE154" s="1" t="str">
        <f>IF(AND(AND(AND(AE$4&gt;='2025'!$L152,AE$4&lt;='2025'!$M152), AE$4&lt;&gt;DATE(2025,7,4)), (SWITCH(weekday(AE$4), 1, 0, 2, if(ISBLANK('2025'!$P152), 0, 1), 3, if(ISBLANK('2025'!$Q152), 0, 1), 4, if(ISBLANK('2025'!$R152), 0, 1), 5, if(ISBLANK('2025'!$S152), 0, 1), 6, if(ISBLANK('2025'!$T152), 0, 1), 7, 0))), 1, "")</f>
        <v/>
      </c>
      <c r="AF154" s="1" t="str">
        <f>IF(AND(AND(AND(AF$4&gt;='2025'!$L152,AF$4&lt;='2025'!$M152), AF$4&lt;&gt;DATE(2025,7,4)), (SWITCH(weekday(AF$4), 1, 0, 2, if(ISBLANK('2025'!$P152), 0, 1), 3, if(ISBLANK('2025'!$Q152), 0, 1), 4, if(ISBLANK('2025'!$R152), 0, 1), 5, if(ISBLANK('2025'!$S152), 0, 1), 6, if(ISBLANK('2025'!$T152), 0, 1), 7, 0))), 1, "")</f>
        <v/>
      </c>
      <c r="AG154" s="1" t="str">
        <f>IF(AND(AND(AND(AG$4&gt;='2025'!$L152,AG$4&lt;='2025'!$M152), AG$4&lt;&gt;DATE(2025,7,4)), (SWITCH(weekday(AG$4), 1, 0, 2, if(ISBLANK('2025'!$P152), 0, 1), 3, if(ISBLANK('2025'!$Q152), 0, 1), 4, if(ISBLANK('2025'!$R152), 0, 1), 5, if(ISBLANK('2025'!$S152), 0, 1), 6, if(ISBLANK('2025'!$T152), 0, 1), 7, 0))), 1, "")</f>
        <v/>
      </c>
      <c r="AH154" s="1" t="str">
        <f>IF(AND(AND(AND(AH$4&gt;='2025'!$L152,AH$4&lt;='2025'!$M152), AH$4&lt;&gt;DATE(2025,7,4)), (SWITCH(weekday(AH$4), 1, 0, 2, if(ISBLANK('2025'!$P152), 0, 1), 3, if(ISBLANK('2025'!$Q152), 0, 1), 4, if(ISBLANK('2025'!$R152), 0, 1), 5, if(ISBLANK('2025'!$S152), 0, 1), 6, if(ISBLANK('2025'!$T152), 0, 1), 7, 0))), 1, "")</f>
        <v/>
      </c>
      <c r="AI154" s="1" t="str">
        <f>IF(AND(AND(AND(AI$4&gt;='2025'!$L152,AI$4&lt;='2025'!$M152), AI$4&lt;&gt;DATE(2025,7,4)), (SWITCH(weekday(AI$4), 1, 0, 2, if(ISBLANK('2025'!$P152), 0, 1), 3, if(ISBLANK('2025'!$Q152), 0, 1), 4, if(ISBLANK('2025'!$R152), 0, 1), 5, if(ISBLANK('2025'!$S152), 0, 1), 6, if(ISBLANK('2025'!$T152), 0, 1), 7, 0))), 1, "")</f>
        <v/>
      </c>
      <c r="AJ154" s="1" t="str">
        <f>IF(AND(AND(AND(AJ$4&gt;='2025'!$L152,AJ$4&lt;='2025'!$M152), AJ$4&lt;&gt;DATE(2025,7,4)), (SWITCH(weekday(AJ$4), 1, 0, 2, if(ISBLANK('2025'!$P152), 0, 1), 3, if(ISBLANK('2025'!$Q152), 0, 1), 4, if(ISBLANK('2025'!$R152), 0, 1), 5, if(ISBLANK('2025'!$S152), 0, 1), 6, if(ISBLANK('2025'!$T152), 0, 1), 7, 0))), 1, "")</f>
        <v/>
      </c>
      <c r="AK154" s="1" t="str">
        <f>IF(AND(AND(AND(AK$4&gt;='2025'!$L152,AK$4&lt;='2025'!$M152), AK$4&lt;&gt;DATE(2025,7,4)), (SWITCH(weekday(AK$4), 1, 0, 2, if(ISBLANK('2025'!$P152), 0, 1), 3, if(ISBLANK('2025'!$Q152), 0, 1), 4, if(ISBLANK('2025'!$R152), 0, 1), 5, if(ISBLANK('2025'!$S152), 0, 1), 6, if(ISBLANK('2025'!$T152), 0, 1), 7, 0))), 1, "")</f>
        <v/>
      </c>
      <c r="AL154" s="1" t="str">
        <f>IF(AND(AND(AND(AL$4&gt;='2025'!$L152,AL$4&lt;='2025'!$M152), AL$4&lt;&gt;DATE(2025,7,4)), (SWITCH(weekday(AL$4), 1, 0, 2, if(ISBLANK('2025'!$P152), 0, 1), 3, if(ISBLANK('2025'!$Q152), 0, 1), 4, if(ISBLANK('2025'!$R152), 0, 1), 5, if(ISBLANK('2025'!$S152), 0, 1), 6, if(ISBLANK('2025'!$T152), 0, 1), 7, 0))), 1, "")</f>
        <v/>
      </c>
      <c r="AM154" s="1" t="str">
        <f>IF(AND(AND(AND(AM$4&gt;='2025'!$L152,AM$4&lt;='2025'!$M152), AM$4&lt;&gt;DATE(2025,7,4)), (SWITCH(weekday(AM$4), 1, 0, 2, if(ISBLANK('2025'!$P152), 0, 1), 3, if(ISBLANK('2025'!$Q152), 0, 1), 4, if(ISBLANK('2025'!$R152), 0, 1), 5, if(ISBLANK('2025'!$S152), 0, 1), 6, if(ISBLANK('2025'!$T152), 0, 1), 7, 0))), 1, "")</f>
        <v/>
      </c>
      <c r="AN154" s="1" t="str">
        <f>IF(AND(AND(AND(AN$4&gt;='2025'!$L152,AN$4&lt;='2025'!$M152), AN$4&lt;&gt;DATE(2025,7,4)), (SWITCH(weekday(AN$4), 1, 0, 2, if(ISBLANK('2025'!$P152), 0, 1), 3, if(ISBLANK('2025'!$Q152), 0, 1), 4, if(ISBLANK('2025'!$R152), 0, 1), 5, if(ISBLANK('2025'!$S152), 0, 1), 6, if(ISBLANK('2025'!$T152), 0, 1), 7, 0))), 1, "")</f>
        <v/>
      </c>
      <c r="AO154" s="1" t="str">
        <f>IF(AND(AND(AND(AO$4&gt;='2025'!$L152,AO$4&lt;='2025'!$M152), AO$4&lt;&gt;DATE(2025,7,4)), (SWITCH(weekday(AO$4), 1, 0, 2, if(ISBLANK('2025'!$P152), 0, 1), 3, if(ISBLANK('2025'!$Q152), 0, 1), 4, if(ISBLANK('2025'!$R152), 0, 1), 5, if(ISBLANK('2025'!$S152), 0, 1), 6, if(ISBLANK('2025'!$T152), 0, 1), 7, 0))), 1, "")</f>
        <v/>
      </c>
      <c r="AP154" s="1" t="str">
        <f>IF(AND(AND(AND(AP$4&gt;='2025'!$L152,AP$4&lt;='2025'!$M152), AP$4&lt;&gt;DATE(2025,7,4)), (SWITCH(weekday(AP$4), 1, 0, 2, if(ISBLANK('2025'!$P152), 0, 1), 3, if(ISBLANK('2025'!$Q152), 0, 1), 4, if(ISBLANK('2025'!$R152), 0, 1), 5, if(ISBLANK('2025'!$S152), 0, 1), 6, if(ISBLANK('2025'!$T152), 0, 1), 7, 0))), 1, "")</f>
        <v/>
      </c>
      <c r="AQ154" s="1" t="str">
        <f>IF(AND(AND(AND(AQ$4&gt;='2025'!$L152,AQ$4&lt;='2025'!$M152), AQ$4&lt;&gt;DATE(2025,7,4)), (SWITCH(weekday(AQ$4), 1, 0, 2, if(ISBLANK('2025'!$P152), 0, 1), 3, if(ISBLANK('2025'!$Q152), 0, 1), 4, if(ISBLANK('2025'!$R152), 0, 1), 5, if(ISBLANK('2025'!$S152), 0, 1), 6, if(ISBLANK('2025'!$T152), 0, 1), 7, 0))), 1, "")</f>
        <v/>
      </c>
      <c r="AR154" s="1" t="str">
        <f>IF(AND(AND(AND(AR$4&gt;='2025'!$L152,AR$4&lt;='2025'!$M152), AR$4&lt;&gt;DATE(2025,7,4)), (SWITCH(weekday(AR$4), 1, 0, 2, if(ISBLANK('2025'!$P152), 0, 1), 3, if(ISBLANK('2025'!$Q152), 0, 1), 4, if(ISBLANK('2025'!$R152), 0, 1), 5, if(ISBLANK('2025'!$S152), 0, 1), 6, if(ISBLANK('2025'!$T152), 0, 1), 7, 0))), 1, "")</f>
        <v/>
      </c>
      <c r="AS154" s="1" t="str">
        <f>IF(AND(AND(AND(AS$4&gt;='2025'!$L152,AS$4&lt;='2025'!$M152), AS$4&lt;&gt;DATE(2025,7,4)), (SWITCH(weekday(AS$4), 1, 0, 2, if(ISBLANK('2025'!$P152), 0, 1), 3, if(ISBLANK('2025'!$Q152), 0, 1), 4, if(ISBLANK('2025'!$R152), 0, 1), 5, if(ISBLANK('2025'!$S152), 0, 1), 6, if(ISBLANK('2025'!$T152), 0, 1), 7, 0))), 1, "")</f>
        <v/>
      </c>
      <c r="AT154" s="1" t="str">
        <f>IF(AND(AND(AND(AT$4&gt;='2025'!$L152,AT$4&lt;='2025'!$M152), AT$4&lt;&gt;DATE(2025,7,4)), (SWITCH(weekday(AT$4), 1, 0, 2, if(ISBLANK('2025'!$P152), 0, 1), 3, if(ISBLANK('2025'!$Q152), 0, 1), 4, if(ISBLANK('2025'!$R152), 0, 1), 5, if(ISBLANK('2025'!$S152), 0, 1), 6, if(ISBLANK('2025'!$T152), 0, 1), 7, 0))), 1, "")</f>
        <v/>
      </c>
      <c r="AU154" s="1" t="str">
        <f>IF(AND(AND(AND(AU$4&gt;='2025'!$L152,AU$4&lt;='2025'!$M152), AU$4&lt;&gt;DATE(2025,7,4)), (SWITCH(weekday(AU$4), 1, 0, 2, if(ISBLANK('2025'!$P152), 0, 1), 3, if(ISBLANK('2025'!$Q152), 0, 1), 4, if(ISBLANK('2025'!$R152), 0, 1), 5, if(ISBLANK('2025'!$S152), 0, 1), 6, if(ISBLANK('2025'!$T152), 0, 1), 7, 0))), 1, "")</f>
        <v/>
      </c>
      <c r="AV154" s="1" t="str">
        <f>IF(AND(AND(AND(AV$4&gt;='2025'!$L152,AV$4&lt;='2025'!$M152), AV$4&lt;&gt;DATE(2025,7,4)), (SWITCH(weekday(AV$4), 1, 0, 2, if(ISBLANK('2025'!$P152), 0, 1), 3, if(ISBLANK('2025'!$Q152), 0, 1), 4, if(ISBLANK('2025'!$R152), 0, 1), 5, if(ISBLANK('2025'!$S152), 0, 1), 6, if(ISBLANK('2025'!$T152), 0, 1), 7, 0))), 1, "")</f>
        <v/>
      </c>
      <c r="AW154" s="1" t="str">
        <f>IF(AND(AND(AND(AW$4&gt;='2025'!$L152,AW$4&lt;='2025'!$M152), AW$4&lt;&gt;DATE(2025,7,4)), (SWITCH(weekday(AW$4), 1, 0, 2, if(ISBLANK('2025'!$P152), 0, 1), 3, if(ISBLANK('2025'!$Q152), 0, 1), 4, if(ISBLANK('2025'!$R152), 0, 1), 5, if(ISBLANK('2025'!$S152), 0, 1), 6, if(ISBLANK('2025'!$T152), 0, 1), 7, 0))), 1, "")</f>
        <v/>
      </c>
      <c r="AX154" s="1" t="str">
        <f>IF(AND(AND(AND(AX$4&gt;='2025'!$L152,AX$4&lt;='2025'!$M152), AX$4&lt;&gt;DATE(2025,7,4)), (SWITCH(weekday(AX$4), 1, 0, 2, if(ISBLANK('2025'!$P152), 0, 1), 3, if(ISBLANK('2025'!$Q152), 0, 1), 4, if(ISBLANK('2025'!$R152), 0, 1), 5, if(ISBLANK('2025'!$S152), 0, 1), 6, if(ISBLANK('2025'!$T152), 0, 1), 7, 0))), 1, "")</f>
        <v/>
      </c>
      <c r="AY154" s="1" t="str">
        <f>IF(AND(AND(AND(AY$4&gt;='2025'!$L152,AY$4&lt;='2025'!$M152), AY$4&lt;&gt;DATE(2025,7,4)), (SWITCH(weekday(AY$4), 1, 0, 2, if(ISBLANK('2025'!$P152), 0, 1), 3, if(ISBLANK('2025'!$Q152), 0, 1), 4, if(ISBLANK('2025'!$R152), 0, 1), 5, if(ISBLANK('2025'!$S152), 0, 1), 6, if(ISBLANK('2025'!$T152), 0, 1), 7, 0))), 1, "")</f>
        <v/>
      </c>
      <c r="AZ154" s="1" t="str">
        <f>IF(AND(AND(AND(AZ$4&gt;='2025'!$L152,AZ$4&lt;='2025'!$M152), AZ$4&lt;&gt;DATE(2025,7,4)), (SWITCH(weekday(AZ$4), 1, 0, 2, if(ISBLANK('2025'!$P152), 0, 1), 3, if(ISBLANK('2025'!$Q152), 0, 1), 4, if(ISBLANK('2025'!$R152), 0, 1), 5, if(ISBLANK('2025'!$S152), 0, 1), 6, if(ISBLANK('2025'!$T152), 0, 1), 7, 0))), 1, "")</f>
        <v/>
      </c>
      <c r="BA154" s="1" t="str">
        <f>IF(AND(AND(AND(BA$4&gt;='2025'!$L152,BA$4&lt;='2025'!$M152), BA$4&lt;&gt;DATE(2025,7,4)), (SWITCH(weekday(BA$4), 1, 0, 2, if(ISBLANK('2025'!$P152), 0, 1), 3, if(ISBLANK('2025'!$Q152), 0, 1), 4, if(ISBLANK('2025'!$R152), 0, 1), 5, if(ISBLANK('2025'!$S152), 0, 1), 6, if(ISBLANK('2025'!$T152), 0, 1), 7, 0))), 1, "")</f>
        <v/>
      </c>
      <c r="BB154" s="1" t="str">
        <f>IF(AND(AND(AND(BB$4&gt;='2025'!$L152,BB$4&lt;='2025'!$M152), BB$4&lt;&gt;DATE(2025,7,4)), (SWITCH(weekday(BB$4), 1, 0, 2, if(ISBLANK('2025'!$P152), 0, 1), 3, if(ISBLANK('2025'!$Q152), 0, 1), 4, if(ISBLANK('2025'!$R152), 0, 1), 5, if(ISBLANK('2025'!$S152), 0, 1), 6, if(ISBLANK('2025'!$T152), 0, 1), 7, 0))), 1, "")</f>
        <v/>
      </c>
      <c r="BC154" s="1" t="str">
        <f>IF(AND(AND(AND(BC$4&gt;='2025'!$L152,BC$4&lt;='2025'!$M152), BC$4&lt;&gt;DATE(2025,7,4)), (SWITCH(weekday(BC$4), 1, 0, 2, if(ISBLANK('2025'!$P152), 0, 1), 3, if(ISBLANK('2025'!$Q152), 0, 1), 4, if(ISBLANK('2025'!$R152), 0, 1), 5, if(ISBLANK('2025'!$S152), 0, 1), 6, if(ISBLANK('2025'!$T152), 0, 1), 7, 0))), 1, "")</f>
        <v/>
      </c>
      <c r="BD154" s="1" t="str">
        <f>IF(AND(AND(AND(BD$4&gt;='2025'!$L152,BD$4&lt;='2025'!$M152), BD$4&lt;&gt;DATE(2025,7,4)), (SWITCH(weekday(BD$4), 1, 0, 2, if(ISBLANK('2025'!$P152), 0, 1), 3, if(ISBLANK('2025'!$Q152), 0, 1), 4, if(ISBLANK('2025'!$R152), 0, 1), 5, if(ISBLANK('2025'!$S152), 0, 1), 6, if(ISBLANK('2025'!$T152), 0, 1), 7, 0))), 1, "")</f>
        <v/>
      </c>
      <c r="BE154" s="1" t="str">
        <f>IF(AND(AND(AND(BE$4&gt;='2025'!$L152,BE$4&lt;='2025'!$M152), BE$4&lt;&gt;DATE(2025,7,4)), (SWITCH(weekday(BE$4), 1, 0, 2, if(ISBLANK('2025'!$P152), 0, 1), 3, if(ISBLANK('2025'!$Q152), 0, 1), 4, if(ISBLANK('2025'!$R152), 0, 1), 5, if(ISBLANK('2025'!$S152), 0, 1), 6, if(ISBLANK('2025'!$T152), 0, 1), 7, 0))), 1, "")</f>
        <v/>
      </c>
      <c r="BF154" s="1" t="str">
        <f>IF(AND(AND(AND(BF$4&gt;='2025'!$L152,BF$4&lt;='2025'!$M152), BF$4&lt;&gt;DATE(2025,7,4)), (SWITCH(weekday(BF$4), 1, 0, 2, if(ISBLANK('2025'!$P152), 0, 1), 3, if(ISBLANK('2025'!$Q152), 0, 1), 4, if(ISBLANK('2025'!$R152), 0, 1), 5, if(ISBLANK('2025'!$S152), 0, 1), 6, if(ISBLANK('2025'!$T152), 0, 1), 7, 0))), 1, "")</f>
        <v/>
      </c>
      <c r="BG154" s="1"/>
      <c r="BH154" s="1"/>
      <c r="BI154" s="1"/>
      <c r="BJ154" s="1"/>
      <c r="BK154" s="1"/>
      <c r="BL154" s="1"/>
    </row>
    <row r="155">
      <c r="A155" s="1">
        <f t="shared" si="3"/>
        <v>155</v>
      </c>
      <c r="B155" s="1" t="str">
        <f>'2025'!D119</f>
        <v>, </v>
      </c>
      <c r="C155" s="1" t="str">
        <f>'2025'!H119</f>
        <v/>
      </c>
      <c r="D155" s="1" t="str">
        <f>IF(AND(AND(AND(D$4&gt;='2025'!$L153,D$4&lt;='2025'!$M153), D$4&lt;&gt;DATE(2025,7,4)), (SWITCH(weekday(D$4), 1, 0, 2, if(ISBLANK('2025'!$P153), 0, 1), 3, if(ISBLANK('2025'!$Q153), 0, 1), 4, if(ISBLANK('2025'!$R153), 0, 1), 5, if(ISBLANK('2025'!$S153), 0, 1), 6, if(ISBLANK('2025'!$T153), 0, 1), 7, 0))), 1, "")</f>
        <v/>
      </c>
      <c r="E155" s="1" t="str">
        <f>IF(AND(AND(AND(E$4&gt;='2025'!$L153,E$4&lt;='2025'!$M153), E$4&lt;&gt;DATE(2025,7,4)), (SWITCH(weekday(E$4), 1, 0, 2, if(ISBLANK('2025'!$P153), 0, 1), 3, if(ISBLANK('2025'!$Q153), 0, 1), 4, if(ISBLANK('2025'!$R153), 0, 1), 5, if(ISBLANK('2025'!$S153), 0, 1), 6, if(ISBLANK('2025'!$T153), 0, 1), 7, 0))), 1, "")</f>
        <v/>
      </c>
      <c r="F155" s="1" t="str">
        <f>IF(AND(AND(AND(F$4&gt;='2025'!$L153,F$4&lt;='2025'!$M153), F$4&lt;&gt;DATE(2025,7,4)), (SWITCH(weekday(F$4), 1, 0, 2, if(ISBLANK('2025'!$P153), 0, 1), 3, if(ISBLANK('2025'!$Q153), 0, 1), 4, if(ISBLANK('2025'!$R153), 0, 1), 5, if(ISBLANK('2025'!$S153), 0, 1), 6, if(ISBLANK('2025'!$T153), 0, 1), 7, 0))), 1, "")</f>
        <v/>
      </c>
      <c r="G155" s="1" t="str">
        <f>IF(AND(AND(AND(G$4&gt;='2025'!$L153,G$4&lt;='2025'!$M153), G$4&lt;&gt;DATE(2025,7,4)), (SWITCH(weekday(G$4), 1, 0, 2, if(ISBLANK('2025'!$P153), 0, 1), 3, if(ISBLANK('2025'!$Q153), 0, 1), 4, if(ISBLANK('2025'!$R153), 0, 1), 5, if(ISBLANK('2025'!$S153), 0, 1), 6, if(ISBLANK('2025'!$T153), 0, 1), 7, 0))), 1, "")</f>
        <v/>
      </c>
      <c r="H155" s="1" t="str">
        <f>IF(AND(AND(AND(H$4&gt;='2025'!$L153,H$4&lt;='2025'!$M153), H$4&lt;&gt;DATE(2025,7,4)), (SWITCH(weekday(H$4), 1, 0, 2, if(ISBLANK('2025'!$P153), 0, 1), 3, if(ISBLANK('2025'!$Q153), 0, 1), 4, if(ISBLANK('2025'!$R153), 0, 1), 5, if(ISBLANK('2025'!$S153), 0, 1), 6, if(ISBLANK('2025'!$T153), 0, 1), 7, 0))), 1, "")</f>
        <v/>
      </c>
      <c r="I155" s="1" t="str">
        <f>IF(AND(AND(AND(I$4&gt;='2025'!$L153,I$4&lt;='2025'!$M153), I$4&lt;&gt;DATE(2025,7,4)), (SWITCH(weekday(I$4), 1, 0, 2, if(ISBLANK('2025'!$P153), 0, 1), 3, if(ISBLANK('2025'!$Q153), 0, 1), 4, if(ISBLANK('2025'!$R153), 0, 1), 5, if(ISBLANK('2025'!$S153), 0, 1), 6, if(ISBLANK('2025'!$T153), 0, 1), 7, 0))), 1, "")</f>
        <v/>
      </c>
      <c r="J155" s="1" t="str">
        <f>IF(AND(AND(AND(J$4&gt;='2025'!$L153,J$4&lt;='2025'!$M153), J$4&lt;&gt;DATE(2025,7,4)), (SWITCH(weekday(J$4), 1, 0, 2, if(ISBLANK('2025'!$P153), 0, 1), 3, if(ISBLANK('2025'!$Q153), 0, 1), 4, if(ISBLANK('2025'!$R153), 0, 1), 5, if(ISBLANK('2025'!$S153), 0, 1), 6, if(ISBLANK('2025'!$T153), 0, 1), 7, 0))), 1, "")</f>
        <v/>
      </c>
      <c r="K155" s="1" t="str">
        <f>IF(AND(AND(AND(K$4&gt;='2025'!$L153,K$4&lt;='2025'!$M153), K$4&lt;&gt;DATE(2025,7,4)), (SWITCH(weekday(K$4), 1, 0, 2, if(ISBLANK('2025'!$P153), 0, 1), 3, if(ISBLANK('2025'!$Q153), 0, 1), 4, if(ISBLANK('2025'!$R153), 0, 1), 5, if(ISBLANK('2025'!$S153), 0, 1), 6, if(ISBLANK('2025'!$T153), 0, 1), 7, 0))), 1, "")</f>
        <v/>
      </c>
      <c r="L155" s="1" t="str">
        <f>IF(AND(AND(AND(L$4&gt;='2025'!$L153,L$4&lt;='2025'!$M153), L$4&lt;&gt;DATE(2025,7,4)), (SWITCH(weekday(L$4), 1, 0, 2, if(ISBLANK('2025'!$P153), 0, 1), 3, if(ISBLANK('2025'!$Q153), 0, 1), 4, if(ISBLANK('2025'!$R153), 0, 1), 5, if(ISBLANK('2025'!$S153), 0, 1), 6, if(ISBLANK('2025'!$T153), 0, 1), 7, 0))), 1, "")</f>
        <v/>
      </c>
      <c r="M155" s="1" t="str">
        <f>IF(AND(AND(AND(M$4&gt;='2025'!$L153,M$4&lt;='2025'!$M153), M$4&lt;&gt;DATE(2025,7,4)), (SWITCH(weekday(M$4), 1, 0, 2, if(ISBLANK('2025'!$P153), 0, 1), 3, if(ISBLANK('2025'!$Q153), 0, 1), 4, if(ISBLANK('2025'!$R153), 0, 1), 5, if(ISBLANK('2025'!$S153), 0, 1), 6, if(ISBLANK('2025'!$T153), 0, 1), 7, 0))), 1, "")</f>
        <v/>
      </c>
      <c r="N155" s="1" t="str">
        <f>IF(AND(AND(AND(N$4&gt;='2025'!$L153,N$4&lt;='2025'!$M153), N$4&lt;&gt;DATE(2025,7,4)), (SWITCH(weekday(N$4), 1, 0, 2, if(ISBLANK('2025'!$P153), 0, 1), 3, if(ISBLANK('2025'!$Q153), 0, 1), 4, if(ISBLANK('2025'!$R153), 0, 1), 5, if(ISBLANK('2025'!$S153), 0, 1), 6, if(ISBLANK('2025'!$T153), 0, 1), 7, 0))), 1, "")</f>
        <v/>
      </c>
      <c r="O155" s="1" t="str">
        <f>IF(AND(AND(AND(O$4&gt;='2025'!$L153,O$4&lt;='2025'!$M153), O$4&lt;&gt;DATE(2025,7,4)), (SWITCH(weekday(O$4), 1, 0, 2, if(ISBLANK('2025'!$P153), 0, 1), 3, if(ISBLANK('2025'!$Q153), 0, 1), 4, if(ISBLANK('2025'!$R153), 0, 1), 5, if(ISBLANK('2025'!$S153), 0, 1), 6, if(ISBLANK('2025'!$T153), 0, 1), 7, 0))), 1, "")</f>
        <v/>
      </c>
      <c r="P155" s="1" t="str">
        <f>IF(AND(AND(AND(P$4&gt;='2025'!$L153,P$4&lt;='2025'!$M153), P$4&lt;&gt;DATE(2025,7,4)), (SWITCH(weekday(P$4), 1, 0, 2, if(ISBLANK('2025'!$P153), 0, 1), 3, if(ISBLANK('2025'!$Q153), 0, 1), 4, if(ISBLANK('2025'!$R153), 0, 1), 5, if(ISBLANK('2025'!$S153), 0, 1), 6, if(ISBLANK('2025'!$T153), 0, 1), 7, 0))), 1, "")</f>
        <v/>
      </c>
      <c r="Q155" s="1" t="str">
        <f>IF(AND(AND(AND(Q$4&gt;='2025'!$L153,Q$4&lt;='2025'!$M153), Q$4&lt;&gt;DATE(2025,7,4)), (SWITCH(weekday(Q$4), 1, 0, 2, if(ISBLANK('2025'!$P153), 0, 1), 3, if(ISBLANK('2025'!$Q153), 0, 1), 4, if(ISBLANK('2025'!$R153), 0, 1), 5, if(ISBLANK('2025'!$S153), 0, 1), 6, if(ISBLANK('2025'!$T153), 0, 1), 7, 0))), 1, "")</f>
        <v/>
      </c>
      <c r="R155" s="1" t="str">
        <f>IF(AND(AND(AND(R$4&gt;='2025'!$L153,R$4&lt;='2025'!$M153), R$4&lt;&gt;DATE(2025,7,4)), (SWITCH(weekday(R$4), 1, 0, 2, if(ISBLANK('2025'!$P153), 0, 1), 3, if(ISBLANK('2025'!$Q153), 0, 1), 4, if(ISBLANK('2025'!$R153), 0, 1), 5, if(ISBLANK('2025'!$S153), 0, 1), 6, if(ISBLANK('2025'!$T153), 0, 1), 7, 0))), 1, "")</f>
        <v/>
      </c>
      <c r="S155" s="1" t="str">
        <f>IF(AND(AND(AND(S$4&gt;='2025'!$L153,S$4&lt;='2025'!$M153), S$4&lt;&gt;DATE(2025,7,4)), (SWITCH(weekday(S$4), 1, 0, 2, if(ISBLANK('2025'!$P153), 0, 1), 3, if(ISBLANK('2025'!$Q153), 0, 1), 4, if(ISBLANK('2025'!$R153), 0, 1), 5, if(ISBLANK('2025'!$S153), 0, 1), 6, if(ISBLANK('2025'!$T153), 0, 1), 7, 0))), 1, "")</f>
        <v/>
      </c>
      <c r="T155" s="1" t="str">
        <f>IF(AND(AND(AND(T$4&gt;='2025'!$L153,T$4&lt;='2025'!$M153), T$4&lt;&gt;DATE(2025,7,4)), (SWITCH(weekday(T$4), 1, 0, 2, if(ISBLANK('2025'!$P153), 0, 1), 3, if(ISBLANK('2025'!$Q153), 0, 1), 4, if(ISBLANK('2025'!$R153), 0, 1), 5, if(ISBLANK('2025'!$S153), 0, 1), 6, if(ISBLANK('2025'!$T153), 0, 1), 7, 0))), 1, "")</f>
        <v/>
      </c>
      <c r="U155" s="1" t="str">
        <f>IF(AND(AND(AND(U$4&gt;='2025'!$L153,U$4&lt;='2025'!$M153), U$4&lt;&gt;DATE(2025,7,4)), (SWITCH(weekday(U$4), 1, 0, 2, if(ISBLANK('2025'!$P153), 0, 1), 3, if(ISBLANK('2025'!$Q153), 0, 1), 4, if(ISBLANK('2025'!$R153), 0, 1), 5, if(ISBLANK('2025'!$S153), 0, 1), 6, if(ISBLANK('2025'!$T153), 0, 1), 7, 0))), 1, "")</f>
        <v/>
      </c>
      <c r="V155" s="1" t="str">
        <f>IF(AND(AND(AND(V$4&gt;='2025'!$L153,V$4&lt;='2025'!$M153), V$4&lt;&gt;DATE(2025,7,4)), (SWITCH(weekday(V$4), 1, 0, 2, if(ISBLANK('2025'!$P153), 0, 1), 3, if(ISBLANK('2025'!$Q153), 0, 1), 4, if(ISBLANK('2025'!$R153), 0, 1), 5, if(ISBLANK('2025'!$S153), 0, 1), 6, if(ISBLANK('2025'!$T153), 0, 1), 7, 0))), 1, "")</f>
        <v/>
      </c>
      <c r="W155" s="1" t="str">
        <f>IF(AND(AND(AND(W$4&gt;='2025'!$L153,W$4&lt;='2025'!$M153), W$4&lt;&gt;DATE(2025,7,4)), (SWITCH(weekday(W$4), 1, 0, 2, if(ISBLANK('2025'!$P153), 0, 1), 3, if(ISBLANK('2025'!$Q153), 0, 1), 4, if(ISBLANK('2025'!$R153), 0, 1), 5, if(ISBLANK('2025'!$S153), 0, 1), 6, if(ISBLANK('2025'!$T153), 0, 1), 7, 0))), 1, "")</f>
        <v/>
      </c>
      <c r="X155" s="1" t="str">
        <f>IF(AND(AND(AND(X$4&gt;='2025'!$L153,X$4&lt;='2025'!$M153), X$4&lt;&gt;DATE(2025,7,4)), (SWITCH(weekday(X$4), 1, 0, 2, if(ISBLANK('2025'!$P153), 0, 1), 3, if(ISBLANK('2025'!$Q153), 0, 1), 4, if(ISBLANK('2025'!$R153), 0, 1), 5, if(ISBLANK('2025'!$S153), 0, 1), 6, if(ISBLANK('2025'!$T153), 0, 1), 7, 0))), 1, "")</f>
        <v/>
      </c>
      <c r="Y155" s="1" t="str">
        <f>IF(AND(AND(AND(Y$4&gt;='2025'!$L153,Y$4&lt;='2025'!$M153), Y$4&lt;&gt;DATE(2025,7,4)), (SWITCH(weekday(Y$4), 1, 0, 2, if(ISBLANK('2025'!$P153), 0, 1), 3, if(ISBLANK('2025'!$Q153), 0, 1), 4, if(ISBLANK('2025'!$R153), 0, 1), 5, if(ISBLANK('2025'!$S153), 0, 1), 6, if(ISBLANK('2025'!$T153), 0, 1), 7, 0))), 1, "")</f>
        <v/>
      </c>
      <c r="Z155" s="1" t="str">
        <f>IF(AND(AND(AND(Z$4&gt;='2025'!$L153,Z$4&lt;='2025'!$M153), Z$4&lt;&gt;DATE(2025,7,4)), (SWITCH(weekday(Z$4), 1, 0, 2, if(ISBLANK('2025'!$P153), 0, 1), 3, if(ISBLANK('2025'!$Q153), 0, 1), 4, if(ISBLANK('2025'!$R153), 0, 1), 5, if(ISBLANK('2025'!$S153), 0, 1), 6, if(ISBLANK('2025'!$T153), 0, 1), 7, 0))), 1, "")</f>
        <v/>
      </c>
      <c r="AA155" s="1" t="str">
        <f>IF(AND(AND(AND(AA$4&gt;='2025'!$L153,AA$4&lt;='2025'!$M153), AA$4&lt;&gt;DATE(2025,7,4)), (SWITCH(weekday(AA$4), 1, 0, 2, if(ISBLANK('2025'!$P153), 0, 1), 3, if(ISBLANK('2025'!$Q153), 0, 1), 4, if(ISBLANK('2025'!$R153), 0, 1), 5, if(ISBLANK('2025'!$S153), 0, 1), 6, if(ISBLANK('2025'!$T153), 0, 1), 7, 0))), 1, "")</f>
        <v/>
      </c>
      <c r="AB155" s="1" t="str">
        <f>IF(AND(AND(AND(AB$4&gt;='2025'!$L153,AB$4&lt;='2025'!$M153), AB$4&lt;&gt;DATE(2025,7,4)), (SWITCH(weekday(AB$4), 1, 0, 2, if(ISBLANK('2025'!$P153), 0, 1), 3, if(ISBLANK('2025'!$Q153), 0, 1), 4, if(ISBLANK('2025'!$R153), 0, 1), 5, if(ISBLANK('2025'!$S153), 0, 1), 6, if(ISBLANK('2025'!$T153), 0, 1), 7, 0))), 1, "")</f>
        <v/>
      </c>
      <c r="AC155" s="1" t="str">
        <f>IF(AND(AND(AND(AC$4&gt;='2025'!$L153,AC$4&lt;='2025'!$M153), AC$4&lt;&gt;DATE(2025,7,4)), (SWITCH(weekday(AC$4), 1, 0, 2, if(ISBLANK('2025'!$P153), 0, 1), 3, if(ISBLANK('2025'!$Q153), 0, 1), 4, if(ISBLANK('2025'!$R153), 0, 1), 5, if(ISBLANK('2025'!$S153), 0, 1), 6, if(ISBLANK('2025'!$T153), 0, 1), 7, 0))), 1, "")</f>
        <v/>
      </c>
      <c r="AD155" s="1" t="str">
        <f>IF(AND(AND(AND(AD$4&gt;='2025'!$L153,AD$4&lt;='2025'!$M153), AD$4&lt;&gt;DATE(2025,7,4)), (SWITCH(weekday(AD$4), 1, 0, 2, if(ISBLANK('2025'!$P153), 0, 1), 3, if(ISBLANK('2025'!$Q153), 0, 1), 4, if(ISBLANK('2025'!$R153), 0, 1), 5, if(ISBLANK('2025'!$S153), 0, 1), 6, if(ISBLANK('2025'!$T153), 0, 1), 7, 0))), 1, "")</f>
        <v/>
      </c>
      <c r="AE155" s="1" t="str">
        <f>IF(AND(AND(AND(AE$4&gt;='2025'!$L153,AE$4&lt;='2025'!$M153), AE$4&lt;&gt;DATE(2025,7,4)), (SWITCH(weekday(AE$4), 1, 0, 2, if(ISBLANK('2025'!$P153), 0, 1), 3, if(ISBLANK('2025'!$Q153), 0, 1), 4, if(ISBLANK('2025'!$R153), 0, 1), 5, if(ISBLANK('2025'!$S153), 0, 1), 6, if(ISBLANK('2025'!$T153), 0, 1), 7, 0))), 1, "")</f>
        <v/>
      </c>
      <c r="AF155" s="1" t="str">
        <f>IF(AND(AND(AND(AF$4&gt;='2025'!$L153,AF$4&lt;='2025'!$M153), AF$4&lt;&gt;DATE(2025,7,4)), (SWITCH(weekday(AF$4), 1, 0, 2, if(ISBLANK('2025'!$P153), 0, 1), 3, if(ISBLANK('2025'!$Q153), 0, 1), 4, if(ISBLANK('2025'!$R153), 0, 1), 5, if(ISBLANK('2025'!$S153), 0, 1), 6, if(ISBLANK('2025'!$T153), 0, 1), 7, 0))), 1, "")</f>
        <v/>
      </c>
      <c r="AG155" s="1" t="str">
        <f>IF(AND(AND(AND(AG$4&gt;='2025'!$L153,AG$4&lt;='2025'!$M153), AG$4&lt;&gt;DATE(2025,7,4)), (SWITCH(weekday(AG$4), 1, 0, 2, if(ISBLANK('2025'!$P153), 0, 1), 3, if(ISBLANK('2025'!$Q153), 0, 1), 4, if(ISBLANK('2025'!$R153), 0, 1), 5, if(ISBLANK('2025'!$S153), 0, 1), 6, if(ISBLANK('2025'!$T153), 0, 1), 7, 0))), 1, "")</f>
        <v/>
      </c>
      <c r="AH155" s="1" t="str">
        <f>IF(AND(AND(AND(AH$4&gt;='2025'!$L153,AH$4&lt;='2025'!$M153), AH$4&lt;&gt;DATE(2025,7,4)), (SWITCH(weekday(AH$4), 1, 0, 2, if(ISBLANK('2025'!$P153), 0, 1), 3, if(ISBLANK('2025'!$Q153), 0, 1), 4, if(ISBLANK('2025'!$R153), 0, 1), 5, if(ISBLANK('2025'!$S153), 0, 1), 6, if(ISBLANK('2025'!$T153), 0, 1), 7, 0))), 1, "")</f>
        <v/>
      </c>
      <c r="AI155" s="1" t="str">
        <f>IF(AND(AND(AND(AI$4&gt;='2025'!$L153,AI$4&lt;='2025'!$M153), AI$4&lt;&gt;DATE(2025,7,4)), (SWITCH(weekday(AI$4), 1, 0, 2, if(ISBLANK('2025'!$P153), 0, 1), 3, if(ISBLANK('2025'!$Q153), 0, 1), 4, if(ISBLANK('2025'!$R153), 0, 1), 5, if(ISBLANK('2025'!$S153), 0, 1), 6, if(ISBLANK('2025'!$T153), 0, 1), 7, 0))), 1, "")</f>
        <v/>
      </c>
      <c r="AJ155" s="1" t="str">
        <f>IF(AND(AND(AND(AJ$4&gt;='2025'!$L153,AJ$4&lt;='2025'!$M153), AJ$4&lt;&gt;DATE(2025,7,4)), (SWITCH(weekday(AJ$4), 1, 0, 2, if(ISBLANK('2025'!$P153), 0, 1), 3, if(ISBLANK('2025'!$Q153), 0, 1), 4, if(ISBLANK('2025'!$R153), 0, 1), 5, if(ISBLANK('2025'!$S153), 0, 1), 6, if(ISBLANK('2025'!$T153), 0, 1), 7, 0))), 1, "")</f>
        <v/>
      </c>
      <c r="AK155" s="1" t="str">
        <f>IF(AND(AND(AND(AK$4&gt;='2025'!$L153,AK$4&lt;='2025'!$M153), AK$4&lt;&gt;DATE(2025,7,4)), (SWITCH(weekday(AK$4), 1, 0, 2, if(ISBLANK('2025'!$P153), 0, 1), 3, if(ISBLANK('2025'!$Q153), 0, 1), 4, if(ISBLANK('2025'!$R153), 0, 1), 5, if(ISBLANK('2025'!$S153), 0, 1), 6, if(ISBLANK('2025'!$T153), 0, 1), 7, 0))), 1, "")</f>
        <v/>
      </c>
      <c r="AL155" s="1" t="str">
        <f>IF(AND(AND(AND(AL$4&gt;='2025'!$L153,AL$4&lt;='2025'!$M153), AL$4&lt;&gt;DATE(2025,7,4)), (SWITCH(weekday(AL$4), 1, 0, 2, if(ISBLANK('2025'!$P153), 0, 1), 3, if(ISBLANK('2025'!$Q153), 0, 1), 4, if(ISBLANK('2025'!$R153), 0, 1), 5, if(ISBLANK('2025'!$S153), 0, 1), 6, if(ISBLANK('2025'!$T153), 0, 1), 7, 0))), 1, "")</f>
        <v/>
      </c>
      <c r="AM155" s="1" t="str">
        <f>IF(AND(AND(AND(AM$4&gt;='2025'!$L153,AM$4&lt;='2025'!$M153), AM$4&lt;&gt;DATE(2025,7,4)), (SWITCH(weekday(AM$4), 1, 0, 2, if(ISBLANK('2025'!$P153), 0, 1), 3, if(ISBLANK('2025'!$Q153), 0, 1), 4, if(ISBLANK('2025'!$R153), 0, 1), 5, if(ISBLANK('2025'!$S153), 0, 1), 6, if(ISBLANK('2025'!$T153), 0, 1), 7, 0))), 1, "")</f>
        <v/>
      </c>
      <c r="AN155" s="1" t="str">
        <f>IF(AND(AND(AND(AN$4&gt;='2025'!$L153,AN$4&lt;='2025'!$M153), AN$4&lt;&gt;DATE(2025,7,4)), (SWITCH(weekday(AN$4), 1, 0, 2, if(ISBLANK('2025'!$P153), 0, 1), 3, if(ISBLANK('2025'!$Q153), 0, 1), 4, if(ISBLANK('2025'!$R153), 0, 1), 5, if(ISBLANK('2025'!$S153), 0, 1), 6, if(ISBLANK('2025'!$T153), 0, 1), 7, 0))), 1, "")</f>
        <v/>
      </c>
      <c r="AO155" s="1" t="str">
        <f>IF(AND(AND(AND(AO$4&gt;='2025'!$L153,AO$4&lt;='2025'!$M153), AO$4&lt;&gt;DATE(2025,7,4)), (SWITCH(weekday(AO$4), 1, 0, 2, if(ISBLANK('2025'!$P153), 0, 1), 3, if(ISBLANK('2025'!$Q153), 0, 1), 4, if(ISBLANK('2025'!$R153), 0, 1), 5, if(ISBLANK('2025'!$S153), 0, 1), 6, if(ISBLANK('2025'!$T153), 0, 1), 7, 0))), 1, "")</f>
        <v/>
      </c>
      <c r="AP155" s="1" t="str">
        <f>IF(AND(AND(AND(AP$4&gt;='2025'!$L153,AP$4&lt;='2025'!$M153), AP$4&lt;&gt;DATE(2025,7,4)), (SWITCH(weekday(AP$4), 1, 0, 2, if(ISBLANK('2025'!$P153), 0, 1), 3, if(ISBLANK('2025'!$Q153), 0, 1), 4, if(ISBLANK('2025'!$R153), 0, 1), 5, if(ISBLANK('2025'!$S153), 0, 1), 6, if(ISBLANK('2025'!$T153), 0, 1), 7, 0))), 1, "")</f>
        <v/>
      </c>
      <c r="AQ155" s="1" t="str">
        <f>IF(AND(AND(AND(AQ$4&gt;='2025'!$L153,AQ$4&lt;='2025'!$M153), AQ$4&lt;&gt;DATE(2025,7,4)), (SWITCH(weekday(AQ$4), 1, 0, 2, if(ISBLANK('2025'!$P153), 0, 1), 3, if(ISBLANK('2025'!$Q153), 0, 1), 4, if(ISBLANK('2025'!$R153), 0, 1), 5, if(ISBLANK('2025'!$S153), 0, 1), 6, if(ISBLANK('2025'!$T153), 0, 1), 7, 0))), 1, "")</f>
        <v/>
      </c>
      <c r="AR155" s="1" t="str">
        <f>IF(AND(AND(AND(AR$4&gt;='2025'!$L153,AR$4&lt;='2025'!$M153), AR$4&lt;&gt;DATE(2025,7,4)), (SWITCH(weekday(AR$4), 1, 0, 2, if(ISBLANK('2025'!$P153), 0, 1), 3, if(ISBLANK('2025'!$Q153), 0, 1), 4, if(ISBLANK('2025'!$R153), 0, 1), 5, if(ISBLANK('2025'!$S153), 0, 1), 6, if(ISBLANK('2025'!$T153), 0, 1), 7, 0))), 1, "")</f>
        <v/>
      </c>
      <c r="AS155" s="1" t="str">
        <f>IF(AND(AND(AND(AS$4&gt;='2025'!$L153,AS$4&lt;='2025'!$M153), AS$4&lt;&gt;DATE(2025,7,4)), (SWITCH(weekday(AS$4), 1, 0, 2, if(ISBLANK('2025'!$P153), 0, 1), 3, if(ISBLANK('2025'!$Q153), 0, 1), 4, if(ISBLANK('2025'!$R153), 0, 1), 5, if(ISBLANK('2025'!$S153), 0, 1), 6, if(ISBLANK('2025'!$T153), 0, 1), 7, 0))), 1, "")</f>
        <v/>
      </c>
      <c r="AT155" s="1" t="str">
        <f>IF(AND(AND(AND(AT$4&gt;='2025'!$L153,AT$4&lt;='2025'!$M153), AT$4&lt;&gt;DATE(2025,7,4)), (SWITCH(weekday(AT$4), 1, 0, 2, if(ISBLANK('2025'!$P153), 0, 1), 3, if(ISBLANK('2025'!$Q153), 0, 1), 4, if(ISBLANK('2025'!$R153), 0, 1), 5, if(ISBLANK('2025'!$S153), 0, 1), 6, if(ISBLANK('2025'!$T153), 0, 1), 7, 0))), 1, "")</f>
        <v/>
      </c>
      <c r="AU155" s="1" t="str">
        <f>IF(AND(AND(AND(AU$4&gt;='2025'!$L153,AU$4&lt;='2025'!$M153), AU$4&lt;&gt;DATE(2025,7,4)), (SWITCH(weekday(AU$4), 1, 0, 2, if(ISBLANK('2025'!$P153), 0, 1), 3, if(ISBLANK('2025'!$Q153), 0, 1), 4, if(ISBLANK('2025'!$R153), 0, 1), 5, if(ISBLANK('2025'!$S153), 0, 1), 6, if(ISBLANK('2025'!$T153), 0, 1), 7, 0))), 1, "")</f>
        <v/>
      </c>
      <c r="AV155" s="1" t="str">
        <f>IF(AND(AND(AND(AV$4&gt;='2025'!$L153,AV$4&lt;='2025'!$M153), AV$4&lt;&gt;DATE(2025,7,4)), (SWITCH(weekday(AV$4), 1, 0, 2, if(ISBLANK('2025'!$P153), 0, 1), 3, if(ISBLANK('2025'!$Q153), 0, 1), 4, if(ISBLANK('2025'!$R153), 0, 1), 5, if(ISBLANK('2025'!$S153), 0, 1), 6, if(ISBLANK('2025'!$T153), 0, 1), 7, 0))), 1, "")</f>
        <v/>
      </c>
      <c r="AW155" s="1" t="str">
        <f>IF(AND(AND(AND(AW$4&gt;='2025'!$L153,AW$4&lt;='2025'!$M153), AW$4&lt;&gt;DATE(2025,7,4)), (SWITCH(weekday(AW$4), 1, 0, 2, if(ISBLANK('2025'!$P153), 0, 1), 3, if(ISBLANK('2025'!$Q153), 0, 1), 4, if(ISBLANK('2025'!$R153), 0, 1), 5, if(ISBLANK('2025'!$S153), 0, 1), 6, if(ISBLANK('2025'!$T153), 0, 1), 7, 0))), 1, "")</f>
        <v/>
      </c>
      <c r="AX155" s="1" t="str">
        <f>IF(AND(AND(AND(AX$4&gt;='2025'!$L153,AX$4&lt;='2025'!$M153), AX$4&lt;&gt;DATE(2025,7,4)), (SWITCH(weekday(AX$4), 1, 0, 2, if(ISBLANK('2025'!$P153), 0, 1), 3, if(ISBLANK('2025'!$Q153), 0, 1), 4, if(ISBLANK('2025'!$R153), 0, 1), 5, if(ISBLANK('2025'!$S153), 0, 1), 6, if(ISBLANK('2025'!$T153), 0, 1), 7, 0))), 1, "")</f>
        <v/>
      </c>
      <c r="AY155" s="1" t="str">
        <f>IF(AND(AND(AND(AY$4&gt;='2025'!$L153,AY$4&lt;='2025'!$M153), AY$4&lt;&gt;DATE(2025,7,4)), (SWITCH(weekday(AY$4), 1, 0, 2, if(ISBLANK('2025'!$P153), 0, 1), 3, if(ISBLANK('2025'!$Q153), 0, 1), 4, if(ISBLANK('2025'!$R153), 0, 1), 5, if(ISBLANK('2025'!$S153), 0, 1), 6, if(ISBLANK('2025'!$T153), 0, 1), 7, 0))), 1, "")</f>
        <v/>
      </c>
      <c r="AZ155" s="1" t="str">
        <f>IF(AND(AND(AND(AZ$4&gt;='2025'!$L153,AZ$4&lt;='2025'!$M153), AZ$4&lt;&gt;DATE(2025,7,4)), (SWITCH(weekday(AZ$4), 1, 0, 2, if(ISBLANK('2025'!$P153), 0, 1), 3, if(ISBLANK('2025'!$Q153), 0, 1), 4, if(ISBLANK('2025'!$R153), 0, 1), 5, if(ISBLANK('2025'!$S153), 0, 1), 6, if(ISBLANK('2025'!$T153), 0, 1), 7, 0))), 1, "")</f>
        <v/>
      </c>
      <c r="BA155" s="1" t="str">
        <f>IF(AND(AND(AND(BA$4&gt;='2025'!$L153,BA$4&lt;='2025'!$M153), BA$4&lt;&gt;DATE(2025,7,4)), (SWITCH(weekday(BA$4), 1, 0, 2, if(ISBLANK('2025'!$P153), 0, 1), 3, if(ISBLANK('2025'!$Q153), 0, 1), 4, if(ISBLANK('2025'!$R153), 0, 1), 5, if(ISBLANK('2025'!$S153), 0, 1), 6, if(ISBLANK('2025'!$T153), 0, 1), 7, 0))), 1, "")</f>
        <v/>
      </c>
      <c r="BB155" s="1" t="str">
        <f>IF(AND(AND(AND(BB$4&gt;='2025'!$L153,BB$4&lt;='2025'!$M153), BB$4&lt;&gt;DATE(2025,7,4)), (SWITCH(weekday(BB$4), 1, 0, 2, if(ISBLANK('2025'!$P153), 0, 1), 3, if(ISBLANK('2025'!$Q153), 0, 1), 4, if(ISBLANK('2025'!$R153), 0, 1), 5, if(ISBLANK('2025'!$S153), 0, 1), 6, if(ISBLANK('2025'!$T153), 0, 1), 7, 0))), 1, "")</f>
        <v/>
      </c>
      <c r="BC155" s="1" t="str">
        <f>IF(AND(AND(AND(BC$4&gt;='2025'!$L153,BC$4&lt;='2025'!$M153), BC$4&lt;&gt;DATE(2025,7,4)), (SWITCH(weekday(BC$4), 1, 0, 2, if(ISBLANK('2025'!$P153), 0, 1), 3, if(ISBLANK('2025'!$Q153), 0, 1), 4, if(ISBLANK('2025'!$R153), 0, 1), 5, if(ISBLANK('2025'!$S153), 0, 1), 6, if(ISBLANK('2025'!$T153), 0, 1), 7, 0))), 1, "")</f>
        <v/>
      </c>
      <c r="BD155" s="1" t="str">
        <f>IF(AND(AND(AND(BD$4&gt;='2025'!$L153,BD$4&lt;='2025'!$M153), BD$4&lt;&gt;DATE(2025,7,4)), (SWITCH(weekday(BD$4), 1, 0, 2, if(ISBLANK('2025'!$P153), 0, 1), 3, if(ISBLANK('2025'!$Q153), 0, 1), 4, if(ISBLANK('2025'!$R153), 0, 1), 5, if(ISBLANK('2025'!$S153), 0, 1), 6, if(ISBLANK('2025'!$T153), 0, 1), 7, 0))), 1, "")</f>
        <v/>
      </c>
      <c r="BE155" s="1" t="str">
        <f>IF(AND(AND(AND(BE$4&gt;='2025'!$L153,BE$4&lt;='2025'!$M153), BE$4&lt;&gt;DATE(2025,7,4)), (SWITCH(weekday(BE$4), 1, 0, 2, if(ISBLANK('2025'!$P153), 0, 1), 3, if(ISBLANK('2025'!$Q153), 0, 1), 4, if(ISBLANK('2025'!$R153), 0, 1), 5, if(ISBLANK('2025'!$S153), 0, 1), 6, if(ISBLANK('2025'!$T153), 0, 1), 7, 0))), 1, "")</f>
        <v/>
      </c>
      <c r="BF155" s="1" t="str">
        <f>IF(AND(AND(AND(BF$4&gt;='2025'!$L153,BF$4&lt;='2025'!$M153), BF$4&lt;&gt;DATE(2025,7,4)), (SWITCH(weekday(BF$4), 1, 0, 2, if(ISBLANK('2025'!$P153), 0, 1), 3, if(ISBLANK('2025'!$Q153), 0, 1), 4, if(ISBLANK('2025'!$R153), 0, 1), 5, if(ISBLANK('2025'!$S153), 0, 1), 6, if(ISBLANK('2025'!$T153), 0, 1), 7, 0))), 1, "")</f>
        <v/>
      </c>
      <c r="BG155" s="1"/>
      <c r="BH155" s="1"/>
      <c r="BI155" s="1"/>
      <c r="BJ155" s="1"/>
      <c r="BK155" s="1"/>
      <c r="BL155" s="1"/>
    </row>
    <row r="156">
      <c r="A156" s="1">
        <f t="shared" si="3"/>
        <v>156</v>
      </c>
      <c r="B156" s="1" t="str">
        <f>'2025'!D120</f>
        <v>, </v>
      </c>
      <c r="C156" s="1" t="str">
        <f>'2025'!H120</f>
        <v/>
      </c>
      <c r="D156" s="1" t="str">
        <f>IF(AND(AND(AND(D$4&gt;='2025'!$L154,D$4&lt;='2025'!$M154), D$4&lt;&gt;DATE(2025,7,4)), (SWITCH(weekday(D$4), 1, 0, 2, if(ISBLANK('2025'!$P154), 0, 1), 3, if(ISBLANK('2025'!$Q154), 0, 1), 4, if(ISBLANK('2025'!$R154), 0, 1), 5, if(ISBLANK('2025'!$S154), 0, 1), 6, if(ISBLANK('2025'!$T154), 0, 1), 7, 0))), 1, "")</f>
        <v/>
      </c>
      <c r="E156" s="1" t="str">
        <f>IF(AND(AND(AND(E$4&gt;='2025'!$L154,E$4&lt;='2025'!$M154), E$4&lt;&gt;DATE(2025,7,4)), (SWITCH(weekday(E$4), 1, 0, 2, if(ISBLANK('2025'!$P154), 0, 1), 3, if(ISBLANK('2025'!$Q154), 0, 1), 4, if(ISBLANK('2025'!$R154), 0, 1), 5, if(ISBLANK('2025'!$S154), 0, 1), 6, if(ISBLANK('2025'!$T154), 0, 1), 7, 0))), 1, "")</f>
        <v/>
      </c>
      <c r="F156" s="1" t="str">
        <f>IF(AND(AND(AND(F$4&gt;='2025'!$L154,F$4&lt;='2025'!$M154), F$4&lt;&gt;DATE(2025,7,4)), (SWITCH(weekday(F$4), 1, 0, 2, if(ISBLANK('2025'!$P154), 0, 1), 3, if(ISBLANK('2025'!$Q154), 0, 1), 4, if(ISBLANK('2025'!$R154), 0, 1), 5, if(ISBLANK('2025'!$S154), 0, 1), 6, if(ISBLANK('2025'!$T154), 0, 1), 7, 0))), 1, "")</f>
        <v/>
      </c>
      <c r="G156" s="1" t="str">
        <f>IF(AND(AND(AND(G$4&gt;='2025'!$L154,G$4&lt;='2025'!$M154), G$4&lt;&gt;DATE(2025,7,4)), (SWITCH(weekday(G$4), 1, 0, 2, if(ISBLANK('2025'!$P154), 0, 1), 3, if(ISBLANK('2025'!$Q154), 0, 1), 4, if(ISBLANK('2025'!$R154), 0, 1), 5, if(ISBLANK('2025'!$S154), 0, 1), 6, if(ISBLANK('2025'!$T154), 0, 1), 7, 0))), 1, "")</f>
        <v/>
      </c>
      <c r="H156" s="1" t="str">
        <f>IF(AND(AND(AND(H$4&gt;='2025'!$L154,H$4&lt;='2025'!$M154), H$4&lt;&gt;DATE(2025,7,4)), (SWITCH(weekday(H$4), 1, 0, 2, if(ISBLANK('2025'!$P154), 0, 1), 3, if(ISBLANK('2025'!$Q154), 0, 1), 4, if(ISBLANK('2025'!$R154), 0, 1), 5, if(ISBLANK('2025'!$S154), 0, 1), 6, if(ISBLANK('2025'!$T154), 0, 1), 7, 0))), 1, "")</f>
        <v/>
      </c>
      <c r="I156" s="1" t="str">
        <f>IF(AND(AND(AND(I$4&gt;='2025'!$L154,I$4&lt;='2025'!$M154), I$4&lt;&gt;DATE(2025,7,4)), (SWITCH(weekday(I$4), 1, 0, 2, if(ISBLANK('2025'!$P154), 0, 1), 3, if(ISBLANK('2025'!$Q154), 0, 1), 4, if(ISBLANK('2025'!$R154), 0, 1), 5, if(ISBLANK('2025'!$S154), 0, 1), 6, if(ISBLANK('2025'!$T154), 0, 1), 7, 0))), 1, "")</f>
        <v/>
      </c>
      <c r="J156" s="1" t="str">
        <f>IF(AND(AND(AND(J$4&gt;='2025'!$L154,J$4&lt;='2025'!$M154), J$4&lt;&gt;DATE(2025,7,4)), (SWITCH(weekday(J$4), 1, 0, 2, if(ISBLANK('2025'!$P154), 0, 1), 3, if(ISBLANK('2025'!$Q154), 0, 1), 4, if(ISBLANK('2025'!$R154), 0, 1), 5, if(ISBLANK('2025'!$S154), 0, 1), 6, if(ISBLANK('2025'!$T154), 0, 1), 7, 0))), 1, "")</f>
        <v/>
      </c>
      <c r="K156" s="1" t="str">
        <f>IF(AND(AND(AND(K$4&gt;='2025'!$L154,K$4&lt;='2025'!$M154), K$4&lt;&gt;DATE(2025,7,4)), (SWITCH(weekday(K$4), 1, 0, 2, if(ISBLANK('2025'!$P154), 0, 1), 3, if(ISBLANK('2025'!$Q154), 0, 1), 4, if(ISBLANK('2025'!$R154), 0, 1), 5, if(ISBLANK('2025'!$S154), 0, 1), 6, if(ISBLANK('2025'!$T154), 0, 1), 7, 0))), 1, "")</f>
        <v/>
      </c>
      <c r="L156" s="1" t="str">
        <f>IF(AND(AND(AND(L$4&gt;='2025'!$L154,L$4&lt;='2025'!$M154), L$4&lt;&gt;DATE(2025,7,4)), (SWITCH(weekday(L$4), 1, 0, 2, if(ISBLANK('2025'!$P154), 0, 1), 3, if(ISBLANK('2025'!$Q154), 0, 1), 4, if(ISBLANK('2025'!$R154), 0, 1), 5, if(ISBLANK('2025'!$S154), 0, 1), 6, if(ISBLANK('2025'!$T154), 0, 1), 7, 0))), 1, "")</f>
        <v/>
      </c>
      <c r="M156" s="1" t="str">
        <f>IF(AND(AND(AND(M$4&gt;='2025'!$L154,M$4&lt;='2025'!$M154), M$4&lt;&gt;DATE(2025,7,4)), (SWITCH(weekday(M$4), 1, 0, 2, if(ISBLANK('2025'!$P154), 0, 1), 3, if(ISBLANK('2025'!$Q154), 0, 1), 4, if(ISBLANK('2025'!$R154), 0, 1), 5, if(ISBLANK('2025'!$S154), 0, 1), 6, if(ISBLANK('2025'!$T154), 0, 1), 7, 0))), 1, "")</f>
        <v/>
      </c>
      <c r="N156" s="1" t="str">
        <f>IF(AND(AND(AND(N$4&gt;='2025'!$L154,N$4&lt;='2025'!$M154), N$4&lt;&gt;DATE(2025,7,4)), (SWITCH(weekday(N$4), 1, 0, 2, if(ISBLANK('2025'!$P154), 0, 1), 3, if(ISBLANK('2025'!$Q154), 0, 1), 4, if(ISBLANK('2025'!$R154), 0, 1), 5, if(ISBLANK('2025'!$S154), 0, 1), 6, if(ISBLANK('2025'!$T154), 0, 1), 7, 0))), 1, "")</f>
        <v/>
      </c>
      <c r="O156" s="1" t="str">
        <f>IF(AND(AND(AND(O$4&gt;='2025'!$L154,O$4&lt;='2025'!$M154), O$4&lt;&gt;DATE(2025,7,4)), (SWITCH(weekday(O$4), 1, 0, 2, if(ISBLANK('2025'!$P154), 0, 1), 3, if(ISBLANK('2025'!$Q154), 0, 1), 4, if(ISBLANK('2025'!$R154), 0, 1), 5, if(ISBLANK('2025'!$S154), 0, 1), 6, if(ISBLANK('2025'!$T154), 0, 1), 7, 0))), 1, "")</f>
        <v/>
      </c>
      <c r="P156" s="1" t="str">
        <f>IF(AND(AND(AND(P$4&gt;='2025'!$L154,P$4&lt;='2025'!$M154), P$4&lt;&gt;DATE(2025,7,4)), (SWITCH(weekday(P$4), 1, 0, 2, if(ISBLANK('2025'!$P154), 0, 1), 3, if(ISBLANK('2025'!$Q154), 0, 1), 4, if(ISBLANK('2025'!$R154), 0, 1), 5, if(ISBLANK('2025'!$S154), 0, 1), 6, if(ISBLANK('2025'!$T154), 0, 1), 7, 0))), 1, "")</f>
        <v/>
      </c>
      <c r="Q156" s="1" t="str">
        <f>IF(AND(AND(AND(Q$4&gt;='2025'!$L154,Q$4&lt;='2025'!$M154), Q$4&lt;&gt;DATE(2025,7,4)), (SWITCH(weekday(Q$4), 1, 0, 2, if(ISBLANK('2025'!$P154), 0, 1), 3, if(ISBLANK('2025'!$Q154), 0, 1), 4, if(ISBLANK('2025'!$R154), 0, 1), 5, if(ISBLANK('2025'!$S154), 0, 1), 6, if(ISBLANK('2025'!$T154), 0, 1), 7, 0))), 1, "")</f>
        <v/>
      </c>
      <c r="R156" s="1" t="str">
        <f>IF(AND(AND(AND(R$4&gt;='2025'!$L154,R$4&lt;='2025'!$M154), R$4&lt;&gt;DATE(2025,7,4)), (SWITCH(weekday(R$4), 1, 0, 2, if(ISBLANK('2025'!$P154), 0, 1), 3, if(ISBLANK('2025'!$Q154), 0, 1), 4, if(ISBLANK('2025'!$R154), 0, 1), 5, if(ISBLANK('2025'!$S154), 0, 1), 6, if(ISBLANK('2025'!$T154), 0, 1), 7, 0))), 1, "")</f>
        <v/>
      </c>
      <c r="S156" s="1" t="str">
        <f>IF(AND(AND(AND(S$4&gt;='2025'!$L154,S$4&lt;='2025'!$M154), S$4&lt;&gt;DATE(2025,7,4)), (SWITCH(weekday(S$4), 1, 0, 2, if(ISBLANK('2025'!$P154), 0, 1), 3, if(ISBLANK('2025'!$Q154), 0, 1), 4, if(ISBLANK('2025'!$R154), 0, 1), 5, if(ISBLANK('2025'!$S154), 0, 1), 6, if(ISBLANK('2025'!$T154), 0, 1), 7, 0))), 1, "")</f>
        <v/>
      </c>
      <c r="T156" s="1" t="str">
        <f>IF(AND(AND(AND(T$4&gt;='2025'!$L154,T$4&lt;='2025'!$M154), T$4&lt;&gt;DATE(2025,7,4)), (SWITCH(weekday(T$4), 1, 0, 2, if(ISBLANK('2025'!$P154), 0, 1), 3, if(ISBLANK('2025'!$Q154), 0, 1), 4, if(ISBLANK('2025'!$R154), 0, 1), 5, if(ISBLANK('2025'!$S154), 0, 1), 6, if(ISBLANK('2025'!$T154), 0, 1), 7, 0))), 1, "")</f>
        <v/>
      </c>
      <c r="U156" s="1" t="str">
        <f>IF(AND(AND(AND(U$4&gt;='2025'!$L154,U$4&lt;='2025'!$M154), U$4&lt;&gt;DATE(2025,7,4)), (SWITCH(weekday(U$4), 1, 0, 2, if(ISBLANK('2025'!$P154), 0, 1), 3, if(ISBLANK('2025'!$Q154), 0, 1), 4, if(ISBLANK('2025'!$R154), 0, 1), 5, if(ISBLANK('2025'!$S154), 0, 1), 6, if(ISBLANK('2025'!$T154), 0, 1), 7, 0))), 1, "")</f>
        <v/>
      </c>
      <c r="V156" s="1" t="str">
        <f>IF(AND(AND(AND(V$4&gt;='2025'!$L154,V$4&lt;='2025'!$M154), V$4&lt;&gt;DATE(2025,7,4)), (SWITCH(weekday(V$4), 1, 0, 2, if(ISBLANK('2025'!$P154), 0, 1), 3, if(ISBLANK('2025'!$Q154), 0, 1), 4, if(ISBLANK('2025'!$R154), 0, 1), 5, if(ISBLANK('2025'!$S154), 0, 1), 6, if(ISBLANK('2025'!$T154), 0, 1), 7, 0))), 1, "")</f>
        <v/>
      </c>
      <c r="W156" s="1" t="str">
        <f>IF(AND(AND(AND(W$4&gt;='2025'!$L154,W$4&lt;='2025'!$M154), W$4&lt;&gt;DATE(2025,7,4)), (SWITCH(weekday(W$4), 1, 0, 2, if(ISBLANK('2025'!$P154), 0, 1), 3, if(ISBLANK('2025'!$Q154), 0, 1), 4, if(ISBLANK('2025'!$R154), 0, 1), 5, if(ISBLANK('2025'!$S154), 0, 1), 6, if(ISBLANK('2025'!$T154), 0, 1), 7, 0))), 1, "")</f>
        <v/>
      </c>
      <c r="X156" s="1" t="str">
        <f>IF(AND(AND(AND(X$4&gt;='2025'!$L154,X$4&lt;='2025'!$M154), X$4&lt;&gt;DATE(2025,7,4)), (SWITCH(weekday(X$4), 1, 0, 2, if(ISBLANK('2025'!$P154), 0, 1), 3, if(ISBLANK('2025'!$Q154), 0, 1), 4, if(ISBLANK('2025'!$R154), 0, 1), 5, if(ISBLANK('2025'!$S154), 0, 1), 6, if(ISBLANK('2025'!$T154), 0, 1), 7, 0))), 1, "")</f>
        <v/>
      </c>
      <c r="Y156" s="1" t="str">
        <f>IF(AND(AND(AND(Y$4&gt;='2025'!$L154,Y$4&lt;='2025'!$M154), Y$4&lt;&gt;DATE(2025,7,4)), (SWITCH(weekday(Y$4), 1, 0, 2, if(ISBLANK('2025'!$P154), 0, 1), 3, if(ISBLANK('2025'!$Q154), 0, 1), 4, if(ISBLANK('2025'!$R154), 0, 1), 5, if(ISBLANK('2025'!$S154), 0, 1), 6, if(ISBLANK('2025'!$T154), 0, 1), 7, 0))), 1, "")</f>
        <v/>
      </c>
      <c r="Z156" s="1" t="str">
        <f>IF(AND(AND(AND(Z$4&gt;='2025'!$L154,Z$4&lt;='2025'!$M154), Z$4&lt;&gt;DATE(2025,7,4)), (SWITCH(weekday(Z$4), 1, 0, 2, if(ISBLANK('2025'!$P154), 0, 1), 3, if(ISBLANK('2025'!$Q154), 0, 1), 4, if(ISBLANK('2025'!$R154), 0, 1), 5, if(ISBLANK('2025'!$S154), 0, 1), 6, if(ISBLANK('2025'!$T154), 0, 1), 7, 0))), 1, "")</f>
        <v/>
      </c>
      <c r="AA156" s="1" t="str">
        <f>IF(AND(AND(AND(AA$4&gt;='2025'!$L154,AA$4&lt;='2025'!$M154), AA$4&lt;&gt;DATE(2025,7,4)), (SWITCH(weekday(AA$4), 1, 0, 2, if(ISBLANK('2025'!$P154), 0, 1), 3, if(ISBLANK('2025'!$Q154), 0, 1), 4, if(ISBLANK('2025'!$R154), 0, 1), 5, if(ISBLANK('2025'!$S154), 0, 1), 6, if(ISBLANK('2025'!$T154), 0, 1), 7, 0))), 1, "")</f>
        <v/>
      </c>
      <c r="AB156" s="1" t="str">
        <f>IF(AND(AND(AND(AB$4&gt;='2025'!$L154,AB$4&lt;='2025'!$M154), AB$4&lt;&gt;DATE(2025,7,4)), (SWITCH(weekday(AB$4), 1, 0, 2, if(ISBLANK('2025'!$P154), 0, 1), 3, if(ISBLANK('2025'!$Q154), 0, 1), 4, if(ISBLANK('2025'!$R154), 0, 1), 5, if(ISBLANK('2025'!$S154), 0, 1), 6, if(ISBLANK('2025'!$T154), 0, 1), 7, 0))), 1, "")</f>
        <v/>
      </c>
      <c r="AC156" s="1" t="str">
        <f>IF(AND(AND(AND(AC$4&gt;='2025'!$L154,AC$4&lt;='2025'!$M154), AC$4&lt;&gt;DATE(2025,7,4)), (SWITCH(weekday(AC$4), 1, 0, 2, if(ISBLANK('2025'!$P154), 0, 1), 3, if(ISBLANK('2025'!$Q154), 0, 1), 4, if(ISBLANK('2025'!$R154), 0, 1), 5, if(ISBLANK('2025'!$S154), 0, 1), 6, if(ISBLANK('2025'!$T154), 0, 1), 7, 0))), 1, "")</f>
        <v/>
      </c>
      <c r="AD156" s="1" t="str">
        <f>IF(AND(AND(AND(AD$4&gt;='2025'!$L154,AD$4&lt;='2025'!$M154), AD$4&lt;&gt;DATE(2025,7,4)), (SWITCH(weekday(AD$4), 1, 0, 2, if(ISBLANK('2025'!$P154), 0, 1), 3, if(ISBLANK('2025'!$Q154), 0, 1), 4, if(ISBLANK('2025'!$R154), 0, 1), 5, if(ISBLANK('2025'!$S154), 0, 1), 6, if(ISBLANK('2025'!$T154), 0, 1), 7, 0))), 1, "")</f>
        <v/>
      </c>
      <c r="AE156" s="1" t="str">
        <f>IF(AND(AND(AND(AE$4&gt;='2025'!$L154,AE$4&lt;='2025'!$M154), AE$4&lt;&gt;DATE(2025,7,4)), (SWITCH(weekday(AE$4), 1, 0, 2, if(ISBLANK('2025'!$P154), 0, 1), 3, if(ISBLANK('2025'!$Q154), 0, 1), 4, if(ISBLANK('2025'!$R154), 0, 1), 5, if(ISBLANK('2025'!$S154), 0, 1), 6, if(ISBLANK('2025'!$T154), 0, 1), 7, 0))), 1, "")</f>
        <v/>
      </c>
      <c r="AF156" s="1" t="str">
        <f>IF(AND(AND(AND(AF$4&gt;='2025'!$L154,AF$4&lt;='2025'!$M154), AF$4&lt;&gt;DATE(2025,7,4)), (SWITCH(weekday(AF$4), 1, 0, 2, if(ISBLANK('2025'!$P154), 0, 1), 3, if(ISBLANK('2025'!$Q154), 0, 1), 4, if(ISBLANK('2025'!$R154), 0, 1), 5, if(ISBLANK('2025'!$S154), 0, 1), 6, if(ISBLANK('2025'!$T154), 0, 1), 7, 0))), 1, "")</f>
        <v/>
      </c>
      <c r="AG156" s="1" t="str">
        <f>IF(AND(AND(AND(AG$4&gt;='2025'!$L154,AG$4&lt;='2025'!$M154), AG$4&lt;&gt;DATE(2025,7,4)), (SWITCH(weekday(AG$4), 1, 0, 2, if(ISBLANK('2025'!$P154), 0, 1), 3, if(ISBLANK('2025'!$Q154), 0, 1), 4, if(ISBLANK('2025'!$R154), 0, 1), 5, if(ISBLANK('2025'!$S154), 0, 1), 6, if(ISBLANK('2025'!$T154), 0, 1), 7, 0))), 1, "")</f>
        <v/>
      </c>
      <c r="AH156" s="1" t="str">
        <f>IF(AND(AND(AND(AH$4&gt;='2025'!$L154,AH$4&lt;='2025'!$M154), AH$4&lt;&gt;DATE(2025,7,4)), (SWITCH(weekday(AH$4), 1, 0, 2, if(ISBLANK('2025'!$P154), 0, 1), 3, if(ISBLANK('2025'!$Q154), 0, 1), 4, if(ISBLANK('2025'!$R154), 0, 1), 5, if(ISBLANK('2025'!$S154), 0, 1), 6, if(ISBLANK('2025'!$T154), 0, 1), 7, 0))), 1, "")</f>
        <v/>
      </c>
      <c r="AI156" s="1" t="str">
        <f>IF(AND(AND(AND(AI$4&gt;='2025'!$L154,AI$4&lt;='2025'!$M154), AI$4&lt;&gt;DATE(2025,7,4)), (SWITCH(weekday(AI$4), 1, 0, 2, if(ISBLANK('2025'!$P154), 0, 1), 3, if(ISBLANK('2025'!$Q154), 0, 1), 4, if(ISBLANK('2025'!$R154), 0, 1), 5, if(ISBLANK('2025'!$S154), 0, 1), 6, if(ISBLANK('2025'!$T154), 0, 1), 7, 0))), 1, "")</f>
        <v/>
      </c>
      <c r="AJ156" s="1" t="str">
        <f>IF(AND(AND(AND(AJ$4&gt;='2025'!$L154,AJ$4&lt;='2025'!$M154), AJ$4&lt;&gt;DATE(2025,7,4)), (SWITCH(weekday(AJ$4), 1, 0, 2, if(ISBLANK('2025'!$P154), 0, 1), 3, if(ISBLANK('2025'!$Q154), 0, 1), 4, if(ISBLANK('2025'!$R154), 0, 1), 5, if(ISBLANK('2025'!$S154), 0, 1), 6, if(ISBLANK('2025'!$T154), 0, 1), 7, 0))), 1, "")</f>
        <v/>
      </c>
      <c r="AK156" s="1" t="str">
        <f>IF(AND(AND(AND(AK$4&gt;='2025'!$L154,AK$4&lt;='2025'!$M154), AK$4&lt;&gt;DATE(2025,7,4)), (SWITCH(weekday(AK$4), 1, 0, 2, if(ISBLANK('2025'!$P154), 0, 1), 3, if(ISBLANK('2025'!$Q154), 0, 1), 4, if(ISBLANK('2025'!$R154), 0, 1), 5, if(ISBLANK('2025'!$S154), 0, 1), 6, if(ISBLANK('2025'!$T154), 0, 1), 7, 0))), 1, "")</f>
        <v/>
      </c>
      <c r="AL156" s="1" t="str">
        <f>IF(AND(AND(AND(AL$4&gt;='2025'!$L154,AL$4&lt;='2025'!$M154), AL$4&lt;&gt;DATE(2025,7,4)), (SWITCH(weekday(AL$4), 1, 0, 2, if(ISBLANK('2025'!$P154), 0, 1), 3, if(ISBLANK('2025'!$Q154), 0, 1), 4, if(ISBLANK('2025'!$R154), 0, 1), 5, if(ISBLANK('2025'!$S154), 0, 1), 6, if(ISBLANK('2025'!$T154), 0, 1), 7, 0))), 1, "")</f>
        <v/>
      </c>
      <c r="AM156" s="1" t="str">
        <f>IF(AND(AND(AND(AM$4&gt;='2025'!$L154,AM$4&lt;='2025'!$M154), AM$4&lt;&gt;DATE(2025,7,4)), (SWITCH(weekday(AM$4), 1, 0, 2, if(ISBLANK('2025'!$P154), 0, 1), 3, if(ISBLANK('2025'!$Q154), 0, 1), 4, if(ISBLANK('2025'!$R154), 0, 1), 5, if(ISBLANK('2025'!$S154), 0, 1), 6, if(ISBLANK('2025'!$T154), 0, 1), 7, 0))), 1, "")</f>
        <v/>
      </c>
      <c r="AN156" s="1" t="str">
        <f>IF(AND(AND(AND(AN$4&gt;='2025'!$L154,AN$4&lt;='2025'!$M154), AN$4&lt;&gt;DATE(2025,7,4)), (SWITCH(weekday(AN$4), 1, 0, 2, if(ISBLANK('2025'!$P154), 0, 1), 3, if(ISBLANK('2025'!$Q154), 0, 1), 4, if(ISBLANK('2025'!$R154), 0, 1), 5, if(ISBLANK('2025'!$S154), 0, 1), 6, if(ISBLANK('2025'!$T154), 0, 1), 7, 0))), 1, "")</f>
        <v/>
      </c>
      <c r="AO156" s="1" t="str">
        <f>IF(AND(AND(AND(AO$4&gt;='2025'!$L154,AO$4&lt;='2025'!$M154), AO$4&lt;&gt;DATE(2025,7,4)), (SWITCH(weekday(AO$4), 1, 0, 2, if(ISBLANK('2025'!$P154), 0, 1), 3, if(ISBLANK('2025'!$Q154), 0, 1), 4, if(ISBLANK('2025'!$R154), 0, 1), 5, if(ISBLANK('2025'!$S154), 0, 1), 6, if(ISBLANK('2025'!$T154), 0, 1), 7, 0))), 1, "")</f>
        <v/>
      </c>
      <c r="AP156" s="1" t="str">
        <f>IF(AND(AND(AND(AP$4&gt;='2025'!$L154,AP$4&lt;='2025'!$M154), AP$4&lt;&gt;DATE(2025,7,4)), (SWITCH(weekday(AP$4), 1, 0, 2, if(ISBLANK('2025'!$P154), 0, 1), 3, if(ISBLANK('2025'!$Q154), 0, 1), 4, if(ISBLANK('2025'!$R154), 0, 1), 5, if(ISBLANK('2025'!$S154), 0, 1), 6, if(ISBLANK('2025'!$T154), 0, 1), 7, 0))), 1, "")</f>
        <v/>
      </c>
      <c r="AQ156" s="1" t="str">
        <f>IF(AND(AND(AND(AQ$4&gt;='2025'!$L154,AQ$4&lt;='2025'!$M154), AQ$4&lt;&gt;DATE(2025,7,4)), (SWITCH(weekday(AQ$4), 1, 0, 2, if(ISBLANK('2025'!$P154), 0, 1), 3, if(ISBLANK('2025'!$Q154), 0, 1), 4, if(ISBLANK('2025'!$R154), 0, 1), 5, if(ISBLANK('2025'!$S154), 0, 1), 6, if(ISBLANK('2025'!$T154), 0, 1), 7, 0))), 1, "")</f>
        <v/>
      </c>
      <c r="AR156" s="1" t="str">
        <f>IF(AND(AND(AND(AR$4&gt;='2025'!$L154,AR$4&lt;='2025'!$M154), AR$4&lt;&gt;DATE(2025,7,4)), (SWITCH(weekday(AR$4), 1, 0, 2, if(ISBLANK('2025'!$P154), 0, 1), 3, if(ISBLANK('2025'!$Q154), 0, 1), 4, if(ISBLANK('2025'!$R154), 0, 1), 5, if(ISBLANK('2025'!$S154), 0, 1), 6, if(ISBLANK('2025'!$T154), 0, 1), 7, 0))), 1, "")</f>
        <v/>
      </c>
      <c r="AS156" s="1" t="str">
        <f>IF(AND(AND(AND(AS$4&gt;='2025'!$L154,AS$4&lt;='2025'!$M154), AS$4&lt;&gt;DATE(2025,7,4)), (SWITCH(weekday(AS$4), 1, 0, 2, if(ISBLANK('2025'!$P154), 0, 1), 3, if(ISBLANK('2025'!$Q154), 0, 1), 4, if(ISBLANK('2025'!$R154), 0, 1), 5, if(ISBLANK('2025'!$S154), 0, 1), 6, if(ISBLANK('2025'!$T154), 0, 1), 7, 0))), 1, "")</f>
        <v/>
      </c>
      <c r="AT156" s="1" t="str">
        <f>IF(AND(AND(AND(AT$4&gt;='2025'!$L154,AT$4&lt;='2025'!$M154), AT$4&lt;&gt;DATE(2025,7,4)), (SWITCH(weekday(AT$4), 1, 0, 2, if(ISBLANK('2025'!$P154), 0, 1), 3, if(ISBLANK('2025'!$Q154), 0, 1), 4, if(ISBLANK('2025'!$R154), 0, 1), 5, if(ISBLANK('2025'!$S154), 0, 1), 6, if(ISBLANK('2025'!$T154), 0, 1), 7, 0))), 1, "")</f>
        <v/>
      </c>
      <c r="AU156" s="1" t="str">
        <f>IF(AND(AND(AND(AU$4&gt;='2025'!$L154,AU$4&lt;='2025'!$M154), AU$4&lt;&gt;DATE(2025,7,4)), (SWITCH(weekday(AU$4), 1, 0, 2, if(ISBLANK('2025'!$P154), 0, 1), 3, if(ISBLANK('2025'!$Q154), 0, 1), 4, if(ISBLANK('2025'!$R154), 0, 1), 5, if(ISBLANK('2025'!$S154), 0, 1), 6, if(ISBLANK('2025'!$T154), 0, 1), 7, 0))), 1, "")</f>
        <v/>
      </c>
      <c r="AV156" s="1" t="str">
        <f>IF(AND(AND(AND(AV$4&gt;='2025'!$L154,AV$4&lt;='2025'!$M154), AV$4&lt;&gt;DATE(2025,7,4)), (SWITCH(weekday(AV$4), 1, 0, 2, if(ISBLANK('2025'!$P154), 0, 1), 3, if(ISBLANK('2025'!$Q154), 0, 1), 4, if(ISBLANK('2025'!$R154), 0, 1), 5, if(ISBLANK('2025'!$S154), 0, 1), 6, if(ISBLANK('2025'!$T154), 0, 1), 7, 0))), 1, "")</f>
        <v/>
      </c>
      <c r="AW156" s="1" t="str">
        <f>IF(AND(AND(AND(AW$4&gt;='2025'!$L154,AW$4&lt;='2025'!$M154), AW$4&lt;&gt;DATE(2025,7,4)), (SWITCH(weekday(AW$4), 1, 0, 2, if(ISBLANK('2025'!$P154), 0, 1), 3, if(ISBLANK('2025'!$Q154), 0, 1), 4, if(ISBLANK('2025'!$R154), 0, 1), 5, if(ISBLANK('2025'!$S154), 0, 1), 6, if(ISBLANK('2025'!$T154), 0, 1), 7, 0))), 1, "")</f>
        <v/>
      </c>
      <c r="AX156" s="1" t="str">
        <f>IF(AND(AND(AND(AX$4&gt;='2025'!$L154,AX$4&lt;='2025'!$M154), AX$4&lt;&gt;DATE(2025,7,4)), (SWITCH(weekday(AX$4), 1, 0, 2, if(ISBLANK('2025'!$P154), 0, 1), 3, if(ISBLANK('2025'!$Q154), 0, 1), 4, if(ISBLANK('2025'!$R154), 0, 1), 5, if(ISBLANK('2025'!$S154), 0, 1), 6, if(ISBLANK('2025'!$T154), 0, 1), 7, 0))), 1, "")</f>
        <v/>
      </c>
      <c r="AY156" s="1" t="str">
        <f>IF(AND(AND(AND(AY$4&gt;='2025'!$L154,AY$4&lt;='2025'!$M154), AY$4&lt;&gt;DATE(2025,7,4)), (SWITCH(weekday(AY$4), 1, 0, 2, if(ISBLANK('2025'!$P154), 0, 1), 3, if(ISBLANK('2025'!$Q154), 0, 1), 4, if(ISBLANK('2025'!$R154), 0, 1), 5, if(ISBLANK('2025'!$S154), 0, 1), 6, if(ISBLANK('2025'!$T154), 0, 1), 7, 0))), 1, "")</f>
        <v/>
      </c>
      <c r="AZ156" s="1" t="str">
        <f>IF(AND(AND(AND(AZ$4&gt;='2025'!$L154,AZ$4&lt;='2025'!$M154), AZ$4&lt;&gt;DATE(2025,7,4)), (SWITCH(weekday(AZ$4), 1, 0, 2, if(ISBLANK('2025'!$P154), 0, 1), 3, if(ISBLANK('2025'!$Q154), 0, 1), 4, if(ISBLANK('2025'!$R154), 0, 1), 5, if(ISBLANK('2025'!$S154), 0, 1), 6, if(ISBLANK('2025'!$T154), 0, 1), 7, 0))), 1, "")</f>
        <v/>
      </c>
      <c r="BA156" s="1" t="str">
        <f>IF(AND(AND(AND(BA$4&gt;='2025'!$L154,BA$4&lt;='2025'!$M154), BA$4&lt;&gt;DATE(2025,7,4)), (SWITCH(weekday(BA$4), 1, 0, 2, if(ISBLANK('2025'!$P154), 0, 1), 3, if(ISBLANK('2025'!$Q154), 0, 1), 4, if(ISBLANK('2025'!$R154), 0, 1), 5, if(ISBLANK('2025'!$S154), 0, 1), 6, if(ISBLANK('2025'!$T154), 0, 1), 7, 0))), 1, "")</f>
        <v/>
      </c>
      <c r="BB156" s="1" t="str">
        <f>IF(AND(AND(AND(BB$4&gt;='2025'!$L154,BB$4&lt;='2025'!$M154), BB$4&lt;&gt;DATE(2025,7,4)), (SWITCH(weekday(BB$4), 1, 0, 2, if(ISBLANK('2025'!$P154), 0, 1), 3, if(ISBLANK('2025'!$Q154), 0, 1), 4, if(ISBLANK('2025'!$R154), 0, 1), 5, if(ISBLANK('2025'!$S154), 0, 1), 6, if(ISBLANK('2025'!$T154), 0, 1), 7, 0))), 1, "")</f>
        <v/>
      </c>
      <c r="BC156" s="1" t="str">
        <f>IF(AND(AND(AND(BC$4&gt;='2025'!$L154,BC$4&lt;='2025'!$M154), BC$4&lt;&gt;DATE(2025,7,4)), (SWITCH(weekday(BC$4), 1, 0, 2, if(ISBLANK('2025'!$P154), 0, 1), 3, if(ISBLANK('2025'!$Q154), 0, 1), 4, if(ISBLANK('2025'!$R154), 0, 1), 5, if(ISBLANK('2025'!$S154), 0, 1), 6, if(ISBLANK('2025'!$T154), 0, 1), 7, 0))), 1, "")</f>
        <v/>
      </c>
      <c r="BD156" s="1" t="str">
        <f>IF(AND(AND(AND(BD$4&gt;='2025'!$L154,BD$4&lt;='2025'!$M154), BD$4&lt;&gt;DATE(2025,7,4)), (SWITCH(weekday(BD$4), 1, 0, 2, if(ISBLANK('2025'!$P154), 0, 1), 3, if(ISBLANK('2025'!$Q154), 0, 1), 4, if(ISBLANK('2025'!$R154), 0, 1), 5, if(ISBLANK('2025'!$S154), 0, 1), 6, if(ISBLANK('2025'!$T154), 0, 1), 7, 0))), 1, "")</f>
        <v/>
      </c>
      <c r="BE156" s="1" t="str">
        <f>IF(AND(AND(AND(BE$4&gt;='2025'!$L154,BE$4&lt;='2025'!$M154), BE$4&lt;&gt;DATE(2025,7,4)), (SWITCH(weekday(BE$4), 1, 0, 2, if(ISBLANK('2025'!$P154), 0, 1), 3, if(ISBLANK('2025'!$Q154), 0, 1), 4, if(ISBLANK('2025'!$R154), 0, 1), 5, if(ISBLANK('2025'!$S154), 0, 1), 6, if(ISBLANK('2025'!$T154), 0, 1), 7, 0))), 1, "")</f>
        <v/>
      </c>
      <c r="BF156" s="1" t="str">
        <f>IF(AND(AND(AND(BF$4&gt;='2025'!$L154,BF$4&lt;='2025'!$M154), BF$4&lt;&gt;DATE(2025,7,4)), (SWITCH(weekday(BF$4), 1, 0, 2, if(ISBLANK('2025'!$P154), 0, 1), 3, if(ISBLANK('2025'!$Q154), 0, 1), 4, if(ISBLANK('2025'!$R154), 0, 1), 5, if(ISBLANK('2025'!$S154), 0, 1), 6, if(ISBLANK('2025'!$T154), 0, 1), 7, 0))), 1, "")</f>
        <v/>
      </c>
      <c r="BG156" s="1"/>
      <c r="BH156" s="1"/>
      <c r="BI156" s="1"/>
      <c r="BJ156" s="1"/>
      <c r="BK156" s="1"/>
      <c r="BL156" s="1"/>
    </row>
    <row r="157">
      <c r="A157" s="1">
        <f t="shared" si="3"/>
        <v>157</v>
      </c>
      <c r="B157" s="1" t="str">
        <f>'2025'!D121</f>
        <v>, </v>
      </c>
      <c r="C157" s="1" t="str">
        <f>'2025'!H121</f>
        <v/>
      </c>
      <c r="D157" s="1" t="str">
        <f>IF(AND(AND(AND(D$4&gt;='2025'!$L155,D$4&lt;='2025'!$M155), D$4&lt;&gt;DATE(2025,7,4)), (SWITCH(weekday(D$4), 1, 0, 2, if(ISBLANK('2025'!$P155), 0, 1), 3, if(ISBLANK('2025'!$Q155), 0, 1), 4, if(ISBLANK('2025'!$R155), 0, 1), 5, if(ISBLANK('2025'!$S155), 0, 1), 6, if(ISBLANK('2025'!$T155), 0, 1), 7, 0))), 1, "")</f>
        <v/>
      </c>
      <c r="E157" s="1" t="str">
        <f>IF(AND(AND(AND(E$4&gt;='2025'!$L155,E$4&lt;='2025'!$M155), E$4&lt;&gt;DATE(2025,7,4)), (SWITCH(weekday(E$4), 1, 0, 2, if(ISBLANK('2025'!$P155), 0, 1), 3, if(ISBLANK('2025'!$Q155), 0, 1), 4, if(ISBLANK('2025'!$R155), 0, 1), 5, if(ISBLANK('2025'!$S155), 0, 1), 6, if(ISBLANK('2025'!$T155), 0, 1), 7, 0))), 1, "")</f>
        <v/>
      </c>
      <c r="F157" s="1" t="str">
        <f>IF(AND(AND(AND(F$4&gt;='2025'!$L155,F$4&lt;='2025'!$M155), F$4&lt;&gt;DATE(2025,7,4)), (SWITCH(weekday(F$4), 1, 0, 2, if(ISBLANK('2025'!$P155), 0, 1), 3, if(ISBLANK('2025'!$Q155), 0, 1), 4, if(ISBLANK('2025'!$R155), 0, 1), 5, if(ISBLANK('2025'!$S155), 0, 1), 6, if(ISBLANK('2025'!$T155), 0, 1), 7, 0))), 1, "")</f>
        <v/>
      </c>
      <c r="G157" s="1" t="str">
        <f>IF(AND(AND(AND(G$4&gt;='2025'!$L155,G$4&lt;='2025'!$M155), G$4&lt;&gt;DATE(2025,7,4)), (SWITCH(weekday(G$4), 1, 0, 2, if(ISBLANK('2025'!$P155), 0, 1), 3, if(ISBLANK('2025'!$Q155), 0, 1), 4, if(ISBLANK('2025'!$R155), 0, 1), 5, if(ISBLANK('2025'!$S155), 0, 1), 6, if(ISBLANK('2025'!$T155), 0, 1), 7, 0))), 1, "")</f>
        <v/>
      </c>
      <c r="H157" s="1" t="str">
        <f>IF(AND(AND(AND(H$4&gt;='2025'!$L155,H$4&lt;='2025'!$M155), H$4&lt;&gt;DATE(2025,7,4)), (SWITCH(weekday(H$4), 1, 0, 2, if(ISBLANK('2025'!$P155), 0, 1), 3, if(ISBLANK('2025'!$Q155), 0, 1), 4, if(ISBLANK('2025'!$R155), 0, 1), 5, if(ISBLANK('2025'!$S155), 0, 1), 6, if(ISBLANK('2025'!$T155), 0, 1), 7, 0))), 1, "")</f>
        <v/>
      </c>
      <c r="I157" s="1" t="str">
        <f>IF(AND(AND(AND(I$4&gt;='2025'!$L155,I$4&lt;='2025'!$M155), I$4&lt;&gt;DATE(2025,7,4)), (SWITCH(weekday(I$4), 1, 0, 2, if(ISBLANK('2025'!$P155), 0, 1), 3, if(ISBLANK('2025'!$Q155), 0, 1), 4, if(ISBLANK('2025'!$R155), 0, 1), 5, if(ISBLANK('2025'!$S155), 0, 1), 6, if(ISBLANK('2025'!$T155), 0, 1), 7, 0))), 1, "")</f>
        <v/>
      </c>
      <c r="J157" s="1" t="str">
        <f>IF(AND(AND(AND(J$4&gt;='2025'!$L155,J$4&lt;='2025'!$M155), J$4&lt;&gt;DATE(2025,7,4)), (SWITCH(weekday(J$4), 1, 0, 2, if(ISBLANK('2025'!$P155), 0, 1), 3, if(ISBLANK('2025'!$Q155), 0, 1), 4, if(ISBLANK('2025'!$R155), 0, 1), 5, if(ISBLANK('2025'!$S155), 0, 1), 6, if(ISBLANK('2025'!$T155), 0, 1), 7, 0))), 1, "")</f>
        <v/>
      </c>
      <c r="K157" s="1" t="str">
        <f>IF(AND(AND(AND(K$4&gt;='2025'!$L155,K$4&lt;='2025'!$M155), K$4&lt;&gt;DATE(2025,7,4)), (SWITCH(weekday(K$4), 1, 0, 2, if(ISBLANK('2025'!$P155), 0, 1), 3, if(ISBLANK('2025'!$Q155), 0, 1), 4, if(ISBLANK('2025'!$R155), 0, 1), 5, if(ISBLANK('2025'!$S155), 0, 1), 6, if(ISBLANK('2025'!$T155), 0, 1), 7, 0))), 1, "")</f>
        <v/>
      </c>
      <c r="L157" s="1" t="str">
        <f>IF(AND(AND(AND(L$4&gt;='2025'!$L155,L$4&lt;='2025'!$M155), L$4&lt;&gt;DATE(2025,7,4)), (SWITCH(weekday(L$4), 1, 0, 2, if(ISBLANK('2025'!$P155), 0, 1), 3, if(ISBLANK('2025'!$Q155), 0, 1), 4, if(ISBLANK('2025'!$R155), 0, 1), 5, if(ISBLANK('2025'!$S155), 0, 1), 6, if(ISBLANK('2025'!$T155), 0, 1), 7, 0))), 1, "")</f>
        <v/>
      </c>
      <c r="M157" s="1" t="str">
        <f>IF(AND(AND(AND(M$4&gt;='2025'!$L155,M$4&lt;='2025'!$M155), M$4&lt;&gt;DATE(2025,7,4)), (SWITCH(weekday(M$4), 1, 0, 2, if(ISBLANK('2025'!$P155), 0, 1), 3, if(ISBLANK('2025'!$Q155), 0, 1), 4, if(ISBLANK('2025'!$R155), 0, 1), 5, if(ISBLANK('2025'!$S155), 0, 1), 6, if(ISBLANK('2025'!$T155), 0, 1), 7, 0))), 1, "")</f>
        <v/>
      </c>
      <c r="N157" s="1" t="str">
        <f>IF(AND(AND(AND(N$4&gt;='2025'!$L155,N$4&lt;='2025'!$M155), N$4&lt;&gt;DATE(2025,7,4)), (SWITCH(weekday(N$4), 1, 0, 2, if(ISBLANK('2025'!$P155), 0, 1), 3, if(ISBLANK('2025'!$Q155), 0, 1), 4, if(ISBLANK('2025'!$R155), 0, 1), 5, if(ISBLANK('2025'!$S155), 0, 1), 6, if(ISBLANK('2025'!$T155), 0, 1), 7, 0))), 1, "")</f>
        <v/>
      </c>
      <c r="O157" s="1" t="str">
        <f>IF(AND(AND(AND(O$4&gt;='2025'!$L155,O$4&lt;='2025'!$M155), O$4&lt;&gt;DATE(2025,7,4)), (SWITCH(weekday(O$4), 1, 0, 2, if(ISBLANK('2025'!$P155), 0, 1), 3, if(ISBLANK('2025'!$Q155), 0, 1), 4, if(ISBLANK('2025'!$R155), 0, 1), 5, if(ISBLANK('2025'!$S155), 0, 1), 6, if(ISBLANK('2025'!$T155), 0, 1), 7, 0))), 1, "")</f>
        <v/>
      </c>
      <c r="P157" s="1" t="str">
        <f>IF(AND(AND(AND(P$4&gt;='2025'!$L155,P$4&lt;='2025'!$M155), P$4&lt;&gt;DATE(2025,7,4)), (SWITCH(weekday(P$4), 1, 0, 2, if(ISBLANK('2025'!$P155), 0, 1), 3, if(ISBLANK('2025'!$Q155), 0, 1), 4, if(ISBLANK('2025'!$R155), 0, 1), 5, if(ISBLANK('2025'!$S155), 0, 1), 6, if(ISBLANK('2025'!$T155), 0, 1), 7, 0))), 1, "")</f>
        <v/>
      </c>
      <c r="Q157" s="1" t="str">
        <f>IF(AND(AND(AND(Q$4&gt;='2025'!$L155,Q$4&lt;='2025'!$M155), Q$4&lt;&gt;DATE(2025,7,4)), (SWITCH(weekday(Q$4), 1, 0, 2, if(ISBLANK('2025'!$P155), 0, 1), 3, if(ISBLANK('2025'!$Q155), 0, 1), 4, if(ISBLANK('2025'!$R155), 0, 1), 5, if(ISBLANK('2025'!$S155), 0, 1), 6, if(ISBLANK('2025'!$T155), 0, 1), 7, 0))), 1, "")</f>
        <v/>
      </c>
      <c r="R157" s="1" t="str">
        <f>IF(AND(AND(AND(R$4&gt;='2025'!$L155,R$4&lt;='2025'!$M155), R$4&lt;&gt;DATE(2025,7,4)), (SWITCH(weekday(R$4), 1, 0, 2, if(ISBLANK('2025'!$P155), 0, 1), 3, if(ISBLANK('2025'!$Q155), 0, 1), 4, if(ISBLANK('2025'!$R155), 0, 1), 5, if(ISBLANK('2025'!$S155), 0, 1), 6, if(ISBLANK('2025'!$T155), 0, 1), 7, 0))), 1, "")</f>
        <v/>
      </c>
      <c r="S157" s="1" t="str">
        <f>IF(AND(AND(AND(S$4&gt;='2025'!$L155,S$4&lt;='2025'!$M155), S$4&lt;&gt;DATE(2025,7,4)), (SWITCH(weekday(S$4), 1, 0, 2, if(ISBLANK('2025'!$P155), 0, 1), 3, if(ISBLANK('2025'!$Q155), 0, 1), 4, if(ISBLANK('2025'!$R155), 0, 1), 5, if(ISBLANK('2025'!$S155), 0, 1), 6, if(ISBLANK('2025'!$T155), 0, 1), 7, 0))), 1, "")</f>
        <v/>
      </c>
      <c r="T157" s="1" t="str">
        <f>IF(AND(AND(AND(T$4&gt;='2025'!$L155,T$4&lt;='2025'!$M155), T$4&lt;&gt;DATE(2025,7,4)), (SWITCH(weekday(T$4), 1, 0, 2, if(ISBLANK('2025'!$P155), 0, 1), 3, if(ISBLANK('2025'!$Q155), 0, 1), 4, if(ISBLANK('2025'!$R155), 0, 1), 5, if(ISBLANK('2025'!$S155), 0, 1), 6, if(ISBLANK('2025'!$T155), 0, 1), 7, 0))), 1, "")</f>
        <v/>
      </c>
      <c r="U157" s="1" t="str">
        <f>IF(AND(AND(AND(U$4&gt;='2025'!$L155,U$4&lt;='2025'!$M155), U$4&lt;&gt;DATE(2025,7,4)), (SWITCH(weekday(U$4), 1, 0, 2, if(ISBLANK('2025'!$P155), 0, 1), 3, if(ISBLANK('2025'!$Q155), 0, 1), 4, if(ISBLANK('2025'!$R155), 0, 1), 5, if(ISBLANK('2025'!$S155), 0, 1), 6, if(ISBLANK('2025'!$T155), 0, 1), 7, 0))), 1, "")</f>
        <v/>
      </c>
      <c r="V157" s="1" t="str">
        <f>IF(AND(AND(AND(V$4&gt;='2025'!$L155,V$4&lt;='2025'!$M155), V$4&lt;&gt;DATE(2025,7,4)), (SWITCH(weekday(V$4), 1, 0, 2, if(ISBLANK('2025'!$P155), 0, 1), 3, if(ISBLANK('2025'!$Q155), 0, 1), 4, if(ISBLANK('2025'!$R155), 0, 1), 5, if(ISBLANK('2025'!$S155), 0, 1), 6, if(ISBLANK('2025'!$T155), 0, 1), 7, 0))), 1, "")</f>
        <v/>
      </c>
      <c r="W157" s="1" t="str">
        <f>IF(AND(AND(AND(W$4&gt;='2025'!$L155,W$4&lt;='2025'!$M155), W$4&lt;&gt;DATE(2025,7,4)), (SWITCH(weekday(W$4), 1, 0, 2, if(ISBLANK('2025'!$P155), 0, 1), 3, if(ISBLANK('2025'!$Q155), 0, 1), 4, if(ISBLANK('2025'!$R155), 0, 1), 5, if(ISBLANK('2025'!$S155), 0, 1), 6, if(ISBLANK('2025'!$T155), 0, 1), 7, 0))), 1, "")</f>
        <v/>
      </c>
      <c r="X157" s="1" t="str">
        <f>IF(AND(AND(AND(X$4&gt;='2025'!$L155,X$4&lt;='2025'!$M155), X$4&lt;&gt;DATE(2025,7,4)), (SWITCH(weekday(X$4), 1, 0, 2, if(ISBLANK('2025'!$P155), 0, 1), 3, if(ISBLANK('2025'!$Q155), 0, 1), 4, if(ISBLANK('2025'!$R155), 0, 1), 5, if(ISBLANK('2025'!$S155), 0, 1), 6, if(ISBLANK('2025'!$T155), 0, 1), 7, 0))), 1, "")</f>
        <v/>
      </c>
      <c r="Y157" s="1" t="str">
        <f>IF(AND(AND(AND(Y$4&gt;='2025'!$L155,Y$4&lt;='2025'!$M155), Y$4&lt;&gt;DATE(2025,7,4)), (SWITCH(weekday(Y$4), 1, 0, 2, if(ISBLANK('2025'!$P155), 0, 1), 3, if(ISBLANK('2025'!$Q155), 0, 1), 4, if(ISBLANK('2025'!$R155), 0, 1), 5, if(ISBLANK('2025'!$S155), 0, 1), 6, if(ISBLANK('2025'!$T155), 0, 1), 7, 0))), 1, "")</f>
        <v/>
      </c>
      <c r="Z157" s="1" t="str">
        <f>IF(AND(AND(AND(Z$4&gt;='2025'!$L155,Z$4&lt;='2025'!$M155), Z$4&lt;&gt;DATE(2025,7,4)), (SWITCH(weekday(Z$4), 1, 0, 2, if(ISBLANK('2025'!$P155), 0, 1), 3, if(ISBLANK('2025'!$Q155), 0, 1), 4, if(ISBLANK('2025'!$R155), 0, 1), 5, if(ISBLANK('2025'!$S155), 0, 1), 6, if(ISBLANK('2025'!$T155), 0, 1), 7, 0))), 1, "")</f>
        <v/>
      </c>
      <c r="AA157" s="1" t="str">
        <f>IF(AND(AND(AND(AA$4&gt;='2025'!$L155,AA$4&lt;='2025'!$M155), AA$4&lt;&gt;DATE(2025,7,4)), (SWITCH(weekday(AA$4), 1, 0, 2, if(ISBLANK('2025'!$P155), 0, 1), 3, if(ISBLANK('2025'!$Q155), 0, 1), 4, if(ISBLANK('2025'!$R155), 0, 1), 5, if(ISBLANK('2025'!$S155), 0, 1), 6, if(ISBLANK('2025'!$T155), 0, 1), 7, 0))), 1, "")</f>
        <v/>
      </c>
      <c r="AB157" s="1" t="str">
        <f>IF(AND(AND(AND(AB$4&gt;='2025'!$L155,AB$4&lt;='2025'!$M155), AB$4&lt;&gt;DATE(2025,7,4)), (SWITCH(weekday(AB$4), 1, 0, 2, if(ISBLANK('2025'!$P155), 0, 1), 3, if(ISBLANK('2025'!$Q155), 0, 1), 4, if(ISBLANK('2025'!$R155), 0, 1), 5, if(ISBLANK('2025'!$S155), 0, 1), 6, if(ISBLANK('2025'!$T155), 0, 1), 7, 0))), 1, "")</f>
        <v/>
      </c>
      <c r="AC157" s="1" t="str">
        <f>IF(AND(AND(AND(AC$4&gt;='2025'!$L155,AC$4&lt;='2025'!$M155), AC$4&lt;&gt;DATE(2025,7,4)), (SWITCH(weekday(AC$4), 1, 0, 2, if(ISBLANK('2025'!$P155), 0, 1), 3, if(ISBLANK('2025'!$Q155), 0, 1), 4, if(ISBLANK('2025'!$R155), 0, 1), 5, if(ISBLANK('2025'!$S155), 0, 1), 6, if(ISBLANK('2025'!$T155), 0, 1), 7, 0))), 1, "")</f>
        <v/>
      </c>
      <c r="AD157" s="1" t="str">
        <f>IF(AND(AND(AND(AD$4&gt;='2025'!$L155,AD$4&lt;='2025'!$M155), AD$4&lt;&gt;DATE(2025,7,4)), (SWITCH(weekday(AD$4), 1, 0, 2, if(ISBLANK('2025'!$P155), 0, 1), 3, if(ISBLANK('2025'!$Q155), 0, 1), 4, if(ISBLANK('2025'!$R155), 0, 1), 5, if(ISBLANK('2025'!$S155), 0, 1), 6, if(ISBLANK('2025'!$T155), 0, 1), 7, 0))), 1, "")</f>
        <v/>
      </c>
      <c r="AE157" s="1" t="str">
        <f>IF(AND(AND(AND(AE$4&gt;='2025'!$L155,AE$4&lt;='2025'!$M155), AE$4&lt;&gt;DATE(2025,7,4)), (SWITCH(weekday(AE$4), 1, 0, 2, if(ISBLANK('2025'!$P155), 0, 1), 3, if(ISBLANK('2025'!$Q155), 0, 1), 4, if(ISBLANK('2025'!$R155), 0, 1), 5, if(ISBLANK('2025'!$S155), 0, 1), 6, if(ISBLANK('2025'!$T155), 0, 1), 7, 0))), 1, "")</f>
        <v/>
      </c>
      <c r="AF157" s="1" t="str">
        <f>IF(AND(AND(AND(AF$4&gt;='2025'!$L155,AF$4&lt;='2025'!$M155), AF$4&lt;&gt;DATE(2025,7,4)), (SWITCH(weekday(AF$4), 1, 0, 2, if(ISBLANK('2025'!$P155), 0, 1), 3, if(ISBLANK('2025'!$Q155), 0, 1), 4, if(ISBLANK('2025'!$R155), 0, 1), 5, if(ISBLANK('2025'!$S155), 0, 1), 6, if(ISBLANK('2025'!$T155), 0, 1), 7, 0))), 1, "")</f>
        <v/>
      </c>
      <c r="AG157" s="1" t="str">
        <f>IF(AND(AND(AND(AG$4&gt;='2025'!$L155,AG$4&lt;='2025'!$M155), AG$4&lt;&gt;DATE(2025,7,4)), (SWITCH(weekday(AG$4), 1, 0, 2, if(ISBLANK('2025'!$P155), 0, 1), 3, if(ISBLANK('2025'!$Q155), 0, 1), 4, if(ISBLANK('2025'!$R155), 0, 1), 5, if(ISBLANK('2025'!$S155), 0, 1), 6, if(ISBLANK('2025'!$T155), 0, 1), 7, 0))), 1, "")</f>
        <v/>
      </c>
      <c r="AH157" s="1" t="str">
        <f>IF(AND(AND(AND(AH$4&gt;='2025'!$L155,AH$4&lt;='2025'!$M155), AH$4&lt;&gt;DATE(2025,7,4)), (SWITCH(weekday(AH$4), 1, 0, 2, if(ISBLANK('2025'!$P155), 0, 1), 3, if(ISBLANK('2025'!$Q155), 0, 1), 4, if(ISBLANK('2025'!$R155), 0, 1), 5, if(ISBLANK('2025'!$S155), 0, 1), 6, if(ISBLANK('2025'!$T155), 0, 1), 7, 0))), 1, "")</f>
        <v/>
      </c>
      <c r="AI157" s="1" t="str">
        <f>IF(AND(AND(AND(AI$4&gt;='2025'!$L155,AI$4&lt;='2025'!$M155), AI$4&lt;&gt;DATE(2025,7,4)), (SWITCH(weekday(AI$4), 1, 0, 2, if(ISBLANK('2025'!$P155), 0, 1), 3, if(ISBLANK('2025'!$Q155), 0, 1), 4, if(ISBLANK('2025'!$R155), 0, 1), 5, if(ISBLANK('2025'!$S155), 0, 1), 6, if(ISBLANK('2025'!$T155), 0, 1), 7, 0))), 1, "")</f>
        <v/>
      </c>
      <c r="AJ157" s="1" t="str">
        <f>IF(AND(AND(AND(AJ$4&gt;='2025'!$L155,AJ$4&lt;='2025'!$M155), AJ$4&lt;&gt;DATE(2025,7,4)), (SWITCH(weekday(AJ$4), 1, 0, 2, if(ISBLANK('2025'!$P155), 0, 1), 3, if(ISBLANK('2025'!$Q155), 0, 1), 4, if(ISBLANK('2025'!$R155), 0, 1), 5, if(ISBLANK('2025'!$S155), 0, 1), 6, if(ISBLANK('2025'!$T155), 0, 1), 7, 0))), 1, "")</f>
        <v/>
      </c>
      <c r="AK157" s="1" t="str">
        <f>IF(AND(AND(AND(AK$4&gt;='2025'!$L155,AK$4&lt;='2025'!$M155), AK$4&lt;&gt;DATE(2025,7,4)), (SWITCH(weekday(AK$4), 1, 0, 2, if(ISBLANK('2025'!$P155), 0, 1), 3, if(ISBLANK('2025'!$Q155), 0, 1), 4, if(ISBLANK('2025'!$R155), 0, 1), 5, if(ISBLANK('2025'!$S155), 0, 1), 6, if(ISBLANK('2025'!$T155), 0, 1), 7, 0))), 1, "")</f>
        <v/>
      </c>
      <c r="AL157" s="1" t="str">
        <f>IF(AND(AND(AND(AL$4&gt;='2025'!$L155,AL$4&lt;='2025'!$M155), AL$4&lt;&gt;DATE(2025,7,4)), (SWITCH(weekday(AL$4), 1, 0, 2, if(ISBLANK('2025'!$P155), 0, 1), 3, if(ISBLANK('2025'!$Q155), 0, 1), 4, if(ISBLANK('2025'!$R155), 0, 1), 5, if(ISBLANK('2025'!$S155), 0, 1), 6, if(ISBLANK('2025'!$T155), 0, 1), 7, 0))), 1, "")</f>
        <v/>
      </c>
      <c r="AM157" s="1" t="str">
        <f>IF(AND(AND(AND(AM$4&gt;='2025'!$L155,AM$4&lt;='2025'!$M155), AM$4&lt;&gt;DATE(2025,7,4)), (SWITCH(weekday(AM$4), 1, 0, 2, if(ISBLANK('2025'!$P155), 0, 1), 3, if(ISBLANK('2025'!$Q155), 0, 1), 4, if(ISBLANK('2025'!$R155), 0, 1), 5, if(ISBLANK('2025'!$S155), 0, 1), 6, if(ISBLANK('2025'!$T155), 0, 1), 7, 0))), 1, "")</f>
        <v/>
      </c>
      <c r="AN157" s="1" t="str">
        <f>IF(AND(AND(AND(AN$4&gt;='2025'!$L155,AN$4&lt;='2025'!$M155), AN$4&lt;&gt;DATE(2025,7,4)), (SWITCH(weekday(AN$4), 1, 0, 2, if(ISBLANK('2025'!$P155), 0, 1), 3, if(ISBLANK('2025'!$Q155), 0, 1), 4, if(ISBLANK('2025'!$R155), 0, 1), 5, if(ISBLANK('2025'!$S155), 0, 1), 6, if(ISBLANK('2025'!$T155), 0, 1), 7, 0))), 1, "")</f>
        <v/>
      </c>
      <c r="AO157" s="1" t="str">
        <f>IF(AND(AND(AND(AO$4&gt;='2025'!$L155,AO$4&lt;='2025'!$M155), AO$4&lt;&gt;DATE(2025,7,4)), (SWITCH(weekday(AO$4), 1, 0, 2, if(ISBLANK('2025'!$P155), 0, 1), 3, if(ISBLANK('2025'!$Q155), 0, 1), 4, if(ISBLANK('2025'!$R155), 0, 1), 5, if(ISBLANK('2025'!$S155), 0, 1), 6, if(ISBLANK('2025'!$T155), 0, 1), 7, 0))), 1, "")</f>
        <v/>
      </c>
      <c r="AP157" s="1" t="str">
        <f>IF(AND(AND(AND(AP$4&gt;='2025'!$L155,AP$4&lt;='2025'!$M155), AP$4&lt;&gt;DATE(2025,7,4)), (SWITCH(weekday(AP$4), 1, 0, 2, if(ISBLANK('2025'!$P155), 0, 1), 3, if(ISBLANK('2025'!$Q155), 0, 1), 4, if(ISBLANK('2025'!$R155), 0, 1), 5, if(ISBLANK('2025'!$S155), 0, 1), 6, if(ISBLANK('2025'!$T155), 0, 1), 7, 0))), 1, "")</f>
        <v/>
      </c>
      <c r="AQ157" s="1" t="str">
        <f>IF(AND(AND(AND(AQ$4&gt;='2025'!$L155,AQ$4&lt;='2025'!$M155), AQ$4&lt;&gt;DATE(2025,7,4)), (SWITCH(weekday(AQ$4), 1, 0, 2, if(ISBLANK('2025'!$P155), 0, 1), 3, if(ISBLANK('2025'!$Q155), 0, 1), 4, if(ISBLANK('2025'!$R155), 0, 1), 5, if(ISBLANK('2025'!$S155), 0, 1), 6, if(ISBLANK('2025'!$T155), 0, 1), 7, 0))), 1, "")</f>
        <v/>
      </c>
      <c r="AR157" s="1" t="str">
        <f>IF(AND(AND(AND(AR$4&gt;='2025'!$L155,AR$4&lt;='2025'!$M155), AR$4&lt;&gt;DATE(2025,7,4)), (SWITCH(weekday(AR$4), 1, 0, 2, if(ISBLANK('2025'!$P155), 0, 1), 3, if(ISBLANK('2025'!$Q155), 0, 1), 4, if(ISBLANK('2025'!$R155), 0, 1), 5, if(ISBLANK('2025'!$S155), 0, 1), 6, if(ISBLANK('2025'!$T155), 0, 1), 7, 0))), 1, "")</f>
        <v/>
      </c>
      <c r="AS157" s="1" t="str">
        <f>IF(AND(AND(AND(AS$4&gt;='2025'!$L155,AS$4&lt;='2025'!$M155), AS$4&lt;&gt;DATE(2025,7,4)), (SWITCH(weekday(AS$4), 1, 0, 2, if(ISBLANK('2025'!$P155), 0, 1), 3, if(ISBLANK('2025'!$Q155), 0, 1), 4, if(ISBLANK('2025'!$R155), 0, 1), 5, if(ISBLANK('2025'!$S155), 0, 1), 6, if(ISBLANK('2025'!$T155), 0, 1), 7, 0))), 1, "")</f>
        <v/>
      </c>
      <c r="AT157" s="1" t="str">
        <f>IF(AND(AND(AND(AT$4&gt;='2025'!$L155,AT$4&lt;='2025'!$M155), AT$4&lt;&gt;DATE(2025,7,4)), (SWITCH(weekday(AT$4), 1, 0, 2, if(ISBLANK('2025'!$P155), 0, 1), 3, if(ISBLANK('2025'!$Q155), 0, 1), 4, if(ISBLANK('2025'!$R155), 0, 1), 5, if(ISBLANK('2025'!$S155), 0, 1), 6, if(ISBLANK('2025'!$T155), 0, 1), 7, 0))), 1, "")</f>
        <v/>
      </c>
      <c r="AU157" s="1" t="str">
        <f>IF(AND(AND(AND(AU$4&gt;='2025'!$L155,AU$4&lt;='2025'!$M155), AU$4&lt;&gt;DATE(2025,7,4)), (SWITCH(weekday(AU$4), 1, 0, 2, if(ISBLANK('2025'!$P155), 0, 1), 3, if(ISBLANK('2025'!$Q155), 0, 1), 4, if(ISBLANK('2025'!$R155), 0, 1), 5, if(ISBLANK('2025'!$S155), 0, 1), 6, if(ISBLANK('2025'!$T155), 0, 1), 7, 0))), 1, "")</f>
        <v/>
      </c>
      <c r="AV157" s="1" t="str">
        <f>IF(AND(AND(AND(AV$4&gt;='2025'!$L155,AV$4&lt;='2025'!$M155), AV$4&lt;&gt;DATE(2025,7,4)), (SWITCH(weekday(AV$4), 1, 0, 2, if(ISBLANK('2025'!$P155), 0, 1), 3, if(ISBLANK('2025'!$Q155), 0, 1), 4, if(ISBLANK('2025'!$R155), 0, 1), 5, if(ISBLANK('2025'!$S155), 0, 1), 6, if(ISBLANK('2025'!$T155), 0, 1), 7, 0))), 1, "")</f>
        <v/>
      </c>
      <c r="AW157" s="1" t="str">
        <f>IF(AND(AND(AND(AW$4&gt;='2025'!$L155,AW$4&lt;='2025'!$M155), AW$4&lt;&gt;DATE(2025,7,4)), (SWITCH(weekday(AW$4), 1, 0, 2, if(ISBLANK('2025'!$P155), 0, 1), 3, if(ISBLANK('2025'!$Q155), 0, 1), 4, if(ISBLANK('2025'!$R155), 0, 1), 5, if(ISBLANK('2025'!$S155), 0, 1), 6, if(ISBLANK('2025'!$T155), 0, 1), 7, 0))), 1, "")</f>
        <v/>
      </c>
      <c r="AX157" s="1" t="str">
        <f>IF(AND(AND(AND(AX$4&gt;='2025'!$L155,AX$4&lt;='2025'!$M155), AX$4&lt;&gt;DATE(2025,7,4)), (SWITCH(weekday(AX$4), 1, 0, 2, if(ISBLANK('2025'!$P155), 0, 1), 3, if(ISBLANK('2025'!$Q155), 0, 1), 4, if(ISBLANK('2025'!$R155), 0, 1), 5, if(ISBLANK('2025'!$S155), 0, 1), 6, if(ISBLANK('2025'!$T155), 0, 1), 7, 0))), 1, "")</f>
        <v/>
      </c>
      <c r="AY157" s="1" t="str">
        <f>IF(AND(AND(AND(AY$4&gt;='2025'!$L155,AY$4&lt;='2025'!$M155), AY$4&lt;&gt;DATE(2025,7,4)), (SWITCH(weekday(AY$4), 1, 0, 2, if(ISBLANK('2025'!$P155), 0, 1), 3, if(ISBLANK('2025'!$Q155), 0, 1), 4, if(ISBLANK('2025'!$R155), 0, 1), 5, if(ISBLANK('2025'!$S155), 0, 1), 6, if(ISBLANK('2025'!$T155), 0, 1), 7, 0))), 1, "")</f>
        <v/>
      </c>
      <c r="AZ157" s="1" t="str">
        <f>IF(AND(AND(AND(AZ$4&gt;='2025'!$L155,AZ$4&lt;='2025'!$M155), AZ$4&lt;&gt;DATE(2025,7,4)), (SWITCH(weekday(AZ$4), 1, 0, 2, if(ISBLANK('2025'!$P155), 0, 1), 3, if(ISBLANK('2025'!$Q155), 0, 1), 4, if(ISBLANK('2025'!$R155), 0, 1), 5, if(ISBLANK('2025'!$S155), 0, 1), 6, if(ISBLANK('2025'!$T155), 0, 1), 7, 0))), 1, "")</f>
        <v/>
      </c>
      <c r="BA157" s="1" t="str">
        <f>IF(AND(AND(AND(BA$4&gt;='2025'!$L155,BA$4&lt;='2025'!$M155), BA$4&lt;&gt;DATE(2025,7,4)), (SWITCH(weekday(BA$4), 1, 0, 2, if(ISBLANK('2025'!$P155), 0, 1), 3, if(ISBLANK('2025'!$Q155), 0, 1), 4, if(ISBLANK('2025'!$R155), 0, 1), 5, if(ISBLANK('2025'!$S155), 0, 1), 6, if(ISBLANK('2025'!$T155), 0, 1), 7, 0))), 1, "")</f>
        <v/>
      </c>
      <c r="BB157" s="1" t="str">
        <f>IF(AND(AND(AND(BB$4&gt;='2025'!$L155,BB$4&lt;='2025'!$M155), BB$4&lt;&gt;DATE(2025,7,4)), (SWITCH(weekday(BB$4), 1, 0, 2, if(ISBLANK('2025'!$P155), 0, 1), 3, if(ISBLANK('2025'!$Q155), 0, 1), 4, if(ISBLANK('2025'!$R155), 0, 1), 5, if(ISBLANK('2025'!$S155), 0, 1), 6, if(ISBLANK('2025'!$T155), 0, 1), 7, 0))), 1, "")</f>
        <v/>
      </c>
      <c r="BC157" s="1" t="str">
        <f>IF(AND(AND(AND(BC$4&gt;='2025'!$L155,BC$4&lt;='2025'!$M155), BC$4&lt;&gt;DATE(2025,7,4)), (SWITCH(weekday(BC$4), 1, 0, 2, if(ISBLANK('2025'!$P155), 0, 1), 3, if(ISBLANK('2025'!$Q155), 0, 1), 4, if(ISBLANK('2025'!$R155), 0, 1), 5, if(ISBLANK('2025'!$S155), 0, 1), 6, if(ISBLANK('2025'!$T155), 0, 1), 7, 0))), 1, "")</f>
        <v/>
      </c>
      <c r="BD157" s="1" t="str">
        <f>IF(AND(AND(AND(BD$4&gt;='2025'!$L155,BD$4&lt;='2025'!$M155), BD$4&lt;&gt;DATE(2025,7,4)), (SWITCH(weekday(BD$4), 1, 0, 2, if(ISBLANK('2025'!$P155), 0, 1), 3, if(ISBLANK('2025'!$Q155), 0, 1), 4, if(ISBLANK('2025'!$R155), 0, 1), 5, if(ISBLANK('2025'!$S155), 0, 1), 6, if(ISBLANK('2025'!$T155), 0, 1), 7, 0))), 1, "")</f>
        <v/>
      </c>
      <c r="BE157" s="1" t="str">
        <f>IF(AND(AND(AND(BE$4&gt;='2025'!$L155,BE$4&lt;='2025'!$M155), BE$4&lt;&gt;DATE(2025,7,4)), (SWITCH(weekday(BE$4), 1, 0, 2, if(ISBLANK('2025'!$P155), 0, 1), 3, if(ISBLANK('2025'!$Q155), 0, 1), 4, if(ISBLANK('2025'!$R155), 0, 1), 5, if(ISBLANK('2025'!$S155), 0, 1), 6, if(ISBLANK('2025'!$T155), 0, 1), 7, 0))), 1, "")</f>
        <v/>
      </c>
      <c r="BF157" s="1" t="str">
        <f>IF(AND(AND(AND(BF$4&gt;='2025'!$L155,BF$4&lt;='2025'!$M155), BF$4&lt;&gt;DATE(2025,7,4)), (SWITCH(weekday(BF$4), 1, 0, 2, if(ISBLANK('2025'!$P155), 0, 1), 3, if(ISBLANK('2025'!$Q155), 0, 1), 4, if(ISBLANK('2025'!$R155), 0, 1), 5, if(ISBLANK('2025'!$S155), 0, 1), 6, if(ISBLANK('2025'!$T155), 0, 1), 7, 0))), 1, "")</f>
        <v/>
      </c>
      <c r="BG157" s="1"/>
      <c r="BH157" s="1"/>
      <c r="BI157" s="1"/>
      <c r="BJ157" s="1"/>
      <c r="BK157" s="1"/>
      <c r="BL157" s="1"/>
    </row>
    <row r="158">
      <c r="A158" s="1">
        <f t="shared" si="3"/>
        <v>158</v>
      </c>
      <c r="B158" s="1" t="str">
        <f>'2025'!D122</f>
        <v>, </v>
      </c>
      <c r="C158" s="1" t="str">
        <f>'2025'!H122</f>
        <v/>
      </c>
      <c r="D158" s="1" t="str">
        <f>IF(AND(AND(AND(D$4&gt;='2025'!$L156,D$4&lt;='2025'!$M156), D$4&lt;&gt;DATE(2025,7,4)), (SWITCH(weekday(D$4), 1, 0, 2, if(ISBLANK('2025'!$P156), 0, 1), 3, if(ISBLANK('2025'!$Q156), 0, 1), 4, if(ISBLANK('2025'!$R156), 0, 1), 5, if(ISBLANK('2025'!$S156), 0, 1), 6, if(ISBLANK('2025'!$T156), 0, 1), 7, 0))), 1, "")</f>
        <v/>
      </c>
      <c r="E158" s="1" t="str">
        <f>IF(AND(AND(AND(E$4&gt;='2025'!$L156,E$4&lt;='2025'!$M156), E$4&lt;&gt;DATE(2025,7,4)), (SWITCH(weekday(E$4), 1, 0, 2, if(ISBLANK('2025'!$P156), 0, 1), 3, if(ISBLANK('2025'!$Q156), 0, 1), 4, if(ISBLANK('2025'!$R156), 0, 1), 5, if(ISBLANK('2025'!$S156), 0, 1), 6, if(ISBLANK('2025'!$T156), 0, 1), 7, 0))), 1, "")</f>
        <v/>
      </c>
      <c r="F158" s="1" t="str">
        <f>IF(AND(AND(AND(F$4&gt;='2025'!$L156,F$4&lt;='2025'!$M156), F$4&lt;&gt;DATE(2025,7,4)), (SWITCH(weekday(F$4), 1, 0, 2, if(ISBLANK('2025'!$P156), 0, 1), 3, if(ISBLANK('2025'!$Q156), 0, 1), 4, if(ISBLANK('2025'!$R156), 0, 1), 5, if(ISBLANK('2025'!$S156), 0, 1), 6, if(ISBLANK('2025'!$T156), 0, 1), 7, 0))), 1, "")</f>
        <v/>
      </c>
      <c r="G158" s="1" t="str">
        <f>IF(AND(AND(AND(G$4&gt;='2025'!$L156,G$4&lt;='2025'!$M156), G$4&lt;&gt;DATE(2025,7,4)), (SWITCH(weekday(G$4), 1, 0, 2, if(ISBLANK('2025'!$P156), 0, 1), 3, if(ISBLANK('2025'!$Q156), 0, 1), 4, if(ISBLANK('2025'!$R156), 0, 1), 5, if(ISBLANK('2025'!$S156), 0, 1), 6, if(ISBLANK('2025'!$T156), 0, 1), 7, 0))), 1, "")</f>
        <v/>
      </c>
      <c r="H158" s="1" t="str">
        <f>IF(AND(AND(AND(H$4&gt;='2025'!$L156,H$4&lt;='2025'!$M156), H$4&lt;&gt;DATE(2025,7,4)), (SWITCH(weekday(H$4), 1, 0, 2, if(ISBLANK('2025'!$P156), 0, 1), 3, if(ISBLANK('2025'!$Q156), 0, 1), 4, if(ISBLANK('2025'!$R156), 0, 1), 5, if(ISBLANK('2025'!$S156), 0, 1), 6, if(ISBLANK('2025'!$T156), 0, 1), 7, 0))), 1, "")</f>
        <v/>
      </c>
      <c r="I158" s="1" t="str">
        <f>IF(AND(AND(AND(I$4&gt;='2025'!$L156,I$4&lt;='2025'!$M156), I$4&lt;&gt;DATE(2025,7,4)), (SWITCH(weekday(I$4), 1, 0, 2, if(ISBLANK('2025'!$P156), 0, 1), 3, if(ISBLANK('2025'!$Q156), 0, 1), 4, if(ISBLANK('2025'!$R156), 0, 1), 5, if(ISBLANK('2025'!$S156), 0, 1), 6, if(ISBLANK('2025'!$T156), 0, 1), 7, 0))), 1, "")</f>
        <v/>
      </c>
      <c r="J158" s="1" t="str">
        <f>IF(AND(AND(AND(J$4&gt;='2025'!$L156,J$4&lt;='2025'!$M156), J$4&lt;&gt;DATE(2025,7,4)), (SWITCH(weekday(J$4), 1, 0, 2, if(ISBLANK('2025'!$P156), 0, 1), 3, if(ISBLANK('2025'!$Q156), 0, 1), 4, if(ISBLANK('2025'!$R156), 0, 1), 5, if(ISBLANK('2025'!$S156), 0, 1), 6, if(ISBLANK('2025'!$T156), 0, 1), 7, 0))), 1, "")</f>
        <v/>
      </c>
      <c r="K158" s="1" t="str">
        <f>IF(AND(AND(AND(K$4&gt;='2025'!$L156,K$4&lt;='2025'!$M156), K$4&lt;&gt;DATE(2025,7,4)), (SWITCH(weekday(K$4), 1, 0, 2, if(ISBLANK('2025'!$P156), 0, 1), 3, if(ISBLANK('2025'!$Q156), 0, 1), 4, if(ISBLANK('2025'!$R156), 0, 1), 5, if(ISBLANK('2025'!$S156), 0, 1), 6, if(ISBLANK('2025'!$T156), 0, 1), 7, 0))), 1, "")</f>
        <v/>
      </c>
      <c r="L158" s="1" t="str">
        <f>IF(AND(AND(AND(L$4&gt;='2025'!$L156,L$4&lt;='2025'!$M156), L$4&lt;&gt;DATE(2025,7,4)), (SWITCH(weekday(L$4), 1, 0, 2, if(ISBLANK('2025'!$P156), 0, 1), 3, if(ISBLANK('2025'!$Q156), 0, 1), 4, if(ISBLANK('2025'!$R156), 0, 1), 5, if(ISBLANK('2025'!$S156), 0, 1), 6, if(ISBLANK('2025'!$T156), 0, 1), 7, 0))), 1, "")</f>
        <v/>
      </c>
      <c r="M158" s="1" t="str">
        <f>IF(AND(AND(AND(M$4&gt;='2025'!$L156,M$4&lt;='2025'!$M156), M$4&lt;&gt;DATE(2025,7,4)), (SWITCH(weekday(M$4), 1, 0, 2, if(ISBLANK('2025'!$P156), 0, 1), 3, if(ISBLANK('2025'!$Q156), 0, 1), 4, if(ISBLANK('2025'!$R156), 0, 1), 5, if(ISBLANK('2025'!$S156), 0, 1), 6, if(ISBLANK('2025'!$T156), 0, 1), 7, 0))), 1, "")</f>
        <v/>
      </c>
      <c r="N158" s="1" t="str">
        <f>IF(AND(AND(AND(N$4&gt;='2025'!$L156,N$4&lt;='2025'!$M156), N$4&lt;&gt;DATE(2025,7,4)), (SWITCH(weekday(N$4), 1, 0, 2, if(ISBLANK('2025'!$P156), 0, 1), 3, if(ISBLANK('2025'!$Q156), 0, 1), 4, if(ISBLANK('2025'!$R156), 0, 1), 5, if(ISBLANK('2025'!$S156), 0, 1), 6, if(ISBLANK('2025'!$T156), 0, 1), 7, 0))), 1, "")</f>
        <v/>
      </c>
      <c r="O158" s="1" t="str">
        <f>IF(AND(AND(AND(O$4&gt;='2025'!$L156,O$4&lt;='2025'!$M156), O$4&lt;&gt;DATE(2025,7,4)), (SWITCH(weekday(O$4), 1, 0, 2, if(ISBLANK('2025'!$P156), 0, 1), 3, if(ISBLANK('2025'!$Q156), 0, 1), 4, if(ISBLANK('2025'!$R156), 0, 1), 5, if(ISBLANK('2025'!$S156), 0, 1), 6, if(ISBLANK('2025'!$T156), 0, 1), 7, 0))), 1, "")</f>
        <v/>
      </c>
      <c r="P158" s="1" t="str">
        <f>IF(AND(AND(AND(P$4&gt;='2025'!$L156,P$4&lt;='2025'!$M156), P$4&lt;&gt;DATE(2025,7,4)), (SWITCH(weekday(P$4), 1, 0, 2, if(ISBLANK('2025'!$P156), 0, 1), 3, if(ISBLANK('2025'!$Q156), 0, 1), 4, if(ISBLANK('2025'!$R156), 0, 1), 5, if(ISBLANK('2025'!$S156), 0, 1), 6, if(ISBLANK('2025'!$T156), 0, 1), 7, 0))), 1, "")</f>
        <v/>
      </c>
      <c r="Q158" s="1" t="str">
        <f>IF(AND(AND(AND(Q$4&gt;='2025'!$L156,Q$4&lt;='2025'!$M156), Q$4&lt;&gt;DATE(2025,7,4)), (SWITCH(weekday(Q$4), 1, 0, 2, if(ISBLANK('2025'!$P156), 0, 1), 3, if(ISBLANK('2025'!$Q156), 0, 1), 4, if(ISBLANK('2025'!$R156), 0, 1), 5, if(ISBLANK('2025'!$S156), 0, 1), 6, if(ISBLANK('2025'!$T156), 0, 1), 7, 0))), 1, "")</f>
        <v/>
      </c>
      <c r="R158" s="1" t="str">
        <f>IF(AND(AND(AND(R$4&gt;='2025'!$L156,R$4&lt;='2025'!$M156), R$4&lt;&gt;DATE(2025,7,4)), (SWITCH(weekday(R$4), 1, 0, 2, if(ISBLANK('2025'!$P156), 0, 1), 3, if(ISBLANK('2025'!$Q156), 0, 1), 4, if(ISBLANK('2025'!$R156), 0, 1), 5, if(ISBLANK('2025'!$S156), 0, 1), 6, if(ISBLANK('2025'!$T156), 0, 1), 7, 0))), 1, "")</f>
        <v/>
      </c>
      <c r="S158" s="1" t="str">
        <f>IF(AND(AND(AND(S$4&gt;='2025'!$L156,S$4&lt;='2025'!$M156), S$4&lt;&gt;DATE(2025,7,4)), (SWITCH(weekday(S$4), 1, 0, 2, if(ISBLANK('2025'!$P156), 0, 1), 3, if(ISBLANK('2025'!$Q156), 0, 1), 4, if(ISBLANK('2025'!$R156), 0, 1), 5, if(ISBLANK('2025'!$S156), 0, 1), 6, if(ISBLANK('2025'!$T156), 0, 1), 7, 0))), 1, "")</f>
        <v/>
      </c>
      <c r="T158" s="1" t="str">
        <f>IF(AND(AND(AND(T$4&gt;='2025'!$L156,T$4&lt;='2025'!$M156), T$4&lt;&gt;DATE(2025,7,4)), (SWITCH(weekday(T$4), 1, 0, 2, if(ISBLANK('2025'!$P156), 0, 1), 3, if(ISBLANK('2025'!$Q156), 0, 1), 4, if(ISBLANK('2025'!$R156), 0, 1), 5, if(ISBLANK('2025'!$S156), 0, 1), 6, if(ISBLANK('2025'!$T156), 0, 1), 7, 0))), 1, "")</f>
        <v/>
      </c>
      <c r="U158" s="1" t="str">
        <f>IF(AND(AND(AND(U$4&gt;='2025'!$L156,U$4&lt;='2025'!$M156), U$4&lt;&gt;DATE(2025,7,4)), (SWITCH(weekday(U$4), 1, 0, 2, if(ISBLANK('2025'!$P156), 0, 1), 3, if(ISBLANK('2025'!$Q156), 0, 1), 4, if(ISBLANK('2025'!$R156), 0, 1), 5, if(ISBLANK('2025'!$S156), 0, 1), 6, if(ISBLANK('2025'!$T156), 0, 1), 7, 0))), 1, "")</f>
        <v/>
      </c>
      <c r="V158" s="1" t="str">
        <f>IF(AND(AND(AND(V$4&gt;='2025'!$L156,V$4&lt;='2025'!$M156), V$4&lt;&gt;DATE(2025,7,4)), (SWITCH(weekday(V$4), 1, 0, 2, if(ISBLANK('2025'!$P156), 0, 1), 3, if(ISBLANK('2025'!$Q156), 0, 1), 4, if(ISBLANK('2025'!$R156), 0, 1), 5, if(ISBLANK('2025'!$S156), 0, 1), 6, if(ISBLANK('2025'!$T156), 0, 1), 7, 0))), 1, "")</f>
        <v/>
      </c>
      <c r="W158" s="1" t="str">
        <f>IF(AND(AND(AND(W$4&gt;='2025'!$L156,W$4&lt;='2025'!$M156), W$4&lt;&gt;DATE(2025,7,4)), (SWITCH(weekday(W$4), 1, 0, 2, if(ISBLANK('2025'!$P156), 0, 1), 3, if(ISBLANK('2025'!$Q156), 0, 1), 4, if(ISBLANK('2025'!$R156), 0, 1), 5, if(ISBLANK('2025'!$S156), 0, 1), 6, if(ISBLANK('2025'!$T156), 0, 1), 7, 0))), 1, "")</f>
        <v/>
      </c>
      <c r="X158" s="1" t="str">
        <f>IF(AND(AND(AND(X$4&gt;='2025'!$L156,X$4&lt;='2025'!$M156), X$4&lt;&gt;DATE(2025,7,4)), (SWITCH(weekday(X$4), 1, 0, 2, if(ISBLANK('2025'!$P156), 0, 1), 3, if(ISBLANK('2025'!$Q156), 0, 1), 4, if(ISBLANK('2025'!$R156), 0, 1), 5, if(ISBLANK('2025'!$S156), 0, 1), 6, if(ISBLANK('2025'!$T156), 0, 1), 7, 0))), 1, "")</f>
        <v/>
      </c>
      <c r="Y158" s="1" t="str">
        <f>IF(AND(AND(AND(Y$4&gt;='2025'!$L156,Y$4&lt;='2025'!$M156), Y$4&lt;&gt;DATE(2025,7,4)), (SWITCH(weekday(Y$4), 1, 0, 2, if(ISBLANK('2025'!$P156), 0, 1), 3, if(ISBLANK('2025'!$Q156), 0, 1), 4, if(ISBLANK('2025'!$R156), 0, 1), 5, if(ISBLANK('2025'!$S156), 0, 1), 6, if(ISBLANK('2025'!$T156), 0, 1), 7, 0))), 1, "")</f>
        <v/>
      </c>
      <c r="Z158" s="1" t="str">
        <f>IF(AND(AND(AND(Z$4&gt;='2025'!$L156,Z$4&lt;='2025'!$M156), Z$4&lt;&gt;DATE(2025,7,4)), (SWITCH(weekday(Z$4), 1, 0, 2, if(ISBLANK('2025'!$P156), 0, 1), 3, if(ISBLANK('2025'!$Q156), 0, 1), 4, if(ISBLANK('2025'!$R156), 0, 1), 5, if(ISBLANK('2025'!$S156), 0, 1), 6, if(ISBLANK('2025'!$T156), 0, 1), 7, 0))), 1, "")</f>
        <v/>
      </c>
      <c r="AA158" s="1" t="str">
        <f>IF(AND(AND(AND(AA$4&gt;='2025'!$L156,AA$4&lt;='2025'!$M156), AA$4&lt;&gt;DATE(2025,7,4)), (SWITCH(weekday(AA$4), 1, 0, 2, if(ISBLANK('2025'!$P156), 0, 1), 3, if(ISBLANK('2025'!$Q156), 0, 1), 4, if(ISBLANK('2025'!$R156), 0, 1), 5, if(ISBLANK('2025'!$S156), 0, 1), 6, if(ISBLANK('2025'!$T156), 0, 1), 7, 0))), 1, "")</f>
        <v/>
      </c>
      <c r="AB158" s="1" t="str">
        <f>IF(AND(AND(AND(AB$4&gt;='2025'!$L156,AB$4&lt;='2025'!$M156), AB$4&lt;&gt;DATE(2025,7,4)), (SWITCH(weekday(AB$4), 1, 0, 2, if(ISBLANK('2025'!$P156), 0, 1), 3, if(ISBLANK('2025'!$Q156), 0, 1), 4, if(ISBLANK('2025'!$R156), 0, 1), 5, if(ISBLANK('2025'!$S156), 0, 1), 6, if(ISBLANK('2025'!$T156), 0, 1), 7, 0))), 1, "")</f>
        <v/>
      </c>
      <c r="AC158" s="1" t="str">
        <f>IF(AND(AND(AND(AC$4&gt;='2025'!$L156,AC$4&lt;='2025'!$M156), AC$4&lt;&gt;DATE(2025,7,4)), (SWITCH(weekday(AC$4), 1, 0, 2, if(ISBLANK('2025'!$P156), 0, 1), 3, if(ISBLANK('2025'!$Q156), 0, 1), 4, if(ISBLANK('2025'!$R156), 0, 1), 5, if(ISBLANK('2025'!$S156), 0, 1), 6, if(ISBLANK('2025'!$T156), 0, 1), 7, 0))), 1, "")</f>
        <v/>
      </c>
      <c r="AD158" s="1" t="str">
        <f>IF(AND(AND(AND(AD$4&gt;='2025'!$L156,AD$4&lt;='2025'!$M156), AD$4&lt;&gt;DATE(2025,7,4)), (SWITCH(weekday(AD$4), 1, 0, 2, if(ISBLANK('2025'!$P156), 0, 1), 3, if(ISBLANK('2025'!$Q156), 0, 1), 4, if(ISBLANK('2025'!$R156), 0, 1), 5, if(ISBLANK('2025'!$S156), 0, 1), 6, if(ISBLANK('2025'!$T156), 0, 1), 7, 0))), 1, "")</f>
        <v/>
      </c>
      <c r="AE158" s="1" t="str">
        <f>IF(AND(AND(AND(AE$4&gt;='2025'!$L156,AE$4&lt;='2025'!$M156), AE$4&lt;&gt;DATE(2025,7,4)), (SWITCH(weekday(AE$4), 1, 0, 2, if(ISBLANK('2025'!$P156), 0, 1), 3, if(ISBLANK('2025'!$Q156), 0, 1), 4, if(ISBLANK('2025'!$R156), 0, 1), 5, if(ISBLANK('2025'!$S156), 0, 1), 6, if(ISBLANK('2025'!$T156), 0, 1), 7, 0))), 1, "")</f>
        <v/>
      </c>
      <c r="AF158" s="1" t="str">
        <f>IF(AND(AND(AND(AF$4&gt;='2025'!$L156,AF$4&lt;='2025'!$M156), AF$4&lt;&gt;DATE(2025,7,4)), (SWITCH(weekday(AF$4), 1, 0, 2, if(ISBLANK('2025'!$P156), 0, 1), 3, if(ISBLANK('2025'!$Q156), 0, 1), 4, if(ISBLANK('2025'!$R156), 0, 1), 5, if(ISBLANK('2025'!$S156), 0, 1), 6, if(ISBLANK('2025'!$T156), 0, 1), 7, 0))), 1, "")</f>
        <v/>
      </c>
      <c r="AG158" s="1" t="str">
        <f>IF(AND(AND(AND(AG$4&gt;='2025'!$L156,AG$4&lt;='2025'!$M156), AG$4&lt;&gt;DATE(2025,7,4)), (SWITCH(weekday(AG$4), 1, 0, 2, if(ISBLANK('2025'!$P156), 0, 1), 3, if(ISBLANK('2025'!$Q156), 0, 1), 4, if(ISBLANK('2025'!$R156), 0, 1), 5, if(ISBLANK('2025'!$S156), 0, 1), 6, if(ISBLANK('2025'!$T156), 0, 1), 7, 0))), 1, "")</f>
        <v/>
      </c>
      <c r="AH158" s="1" t="str">
        <f>IF(AND(AND(AND(AH$4&gt;='2025'!$L156,AH$4&lt;='2025'!$M156), AH$4&lt;&gt;DATE(2025,7,4)), (SWITCH(weekday(AH$4), 1, 0, 2, if(ISBLANK('2025'!$P156), 0, 1), 3, if(ISBLANK('2025'!$Q156), 0, 1), 4, if(ISBLANK('2025'!$R156), 0, 1), 5, if(ISBLANK('2025'!$S156), 0, 1), 6, if(ISBLANK('2025'!$T156), 0, 1), 7, 0))), 1, "")</f>
        <v/>
      </c>
      <c r="AI158" s="1" t="str">
        <f>IF(AND(AND(AND(AI$4&gt;='2025'!$L156,AI$4&lt;='2025'!$M156), AI$4&lt;&gt;DATE(2025,7,4)), (SWITCH(weekday(AI$4), 1, 0, 2, if(ISBLANK('2025'!$P156), 0, 1), 3, if(ISBLANK('2025'!$Q156), 0, 1), 4, if(ISBLANK('2025'!$R156), 0, 1), 5, if(ISBLANK('2025'!$S156), 0, 1), 6, if(ISBLANK('2025'!$T156), 0, 1), 7, 0))), 1, "")</f>
        <v/>
      </c>
      <c r="AJ158" s="1" t="str">
        <f>IF(AND(AND(AND(AJ$4&gt;='2025'!$L156,AJ$4&lt;='2025'!$M156), AJ$4&lt;&gt;DATE(2025,7,4)), (SWITCH(weekday(AJ$4), 1, 0, 2, if(ISBLANK('2025'!$P156), 0, 1), 3, if(ISBLANK('2025'!$Q156), 0, 1), 4, if(ISBLANK('2025'!$R156), 0, 1), 5, if(ISBLANK('2025'!$S156), 0, 1), 6, if(ISBLANK('2025'!$T156), 0, 1), 7, 0))), 1, "")</f>
        <v/>
      </c>
      <c r="AK158" s="1" t="str">
        <f>IF(AND(AND(AND(AK$4&gt;='2025'!$L156,AK$4&lt;='2025'!$M156), AK$4&lt;&gt;DATE(2025,7,4)), (SWITCH(weekday(AK$4), 1, 0, 2, if(ISBLANK('2025'!$P156), 0, 1), 3, if(ISBLANK('2025'!$Q156), 0, 1), 4, if(ISBLANK('2025'!$R156), 0, 1), 5, if(ISBLANK('2025'!$S156), 0, 1), 6, if(ISBLANK('2025'!$T156), 0, 1), 7, 0))), 1, "")</f>
        <v/>
      </c>
      <c r="AL158" s="1" t="str">
        <f>IF(AND(AND(AND(AL$4&gt;='2025'!$L156,AL$4&lt;='2025'!$M156), AL$4&lt;&gt;DATE(2025,7,4)), (SWITCH(weekday(AL$4), 1, 0, 2, if(ISBLANK('2025'!$P156), 0, 1), 3, if(ISBLANK('2025'!$Q156), 0, 1), 4, if(ISBLANK('2025'!$R156), 0, 1), 5, if(ISBLANK('2025'!$S156), 0, 1), 6, if(ISBLANK('2025'!$T156), 0, 1), 7, 0))), 1, "")</f>
        <v/>
      </c>
      <c r="AM158" s="1" t="str">
        <f>IF(AND(AND(AND(AM$4&gt;='2025'!$L156,AM$4&lt;='2025'!$M156), AM$4&lt;&gt;DATE(2025,7,4)), (SWITCH(weekday(AM$4), 1, 0, 2, if(ISBLANK('2025'!$P156), 0, 1), 3, if(ISBLANK('2025'!$Q156), 0, 1), 4, if(ISBLANK('2025'!$R156), 0, 1), 5, if(ISBLANK('2025'!$S156), 0, 1), 6, if(ISBLANK('2025'!$T156), 0, 1), 7, 0))), 1, "")</f>
        <v/>
      </c>
      <c r="AN158" s="1" t="str">
        <f>IF(AND(AND(AND(AN$4&gt;='2025'!$L156,AN$4&lt;='2025'!$M156), AN$4&lt;&gt;DATE(2025,7,4)), (SWITCH(weekday(AN$4), 1, 0, 2, if(ISBLANK('2025'!$P156), 0, 1), 3, if(ISBLANK('2025'!$Q156), 0, 1), 4, if(ISBLANK('2025'!$R156), 0, 1), 5, if(ISBLANK('2025'!$S156), 0, 1), 6, if(ISBLANK('2025'!$T156), 0, 1), 7, 0))), 1, "")</f>
        <v/>
      </c>
      <c r="AO158" s="1" t="str">
        <f>IF(AND(AND(AND(AO$4&gt;='2025'!$L156,AO$4&lt;='2025'!$M156), AO$4&lt;&gt;DATE(2025,7,4)), (SWITCH(weekday(AO$4), 1, 0, 2, if(ISBLANK('2025'!$P156), 0, 1), 3, if(ISBLANK('2025'!$Q156), 0, 1), 4, if(ISBLANK('2025'!$R156), 0, 1), 5, if(ISBLANK('2025'!$S156), 0, 1), 6, if(ISBLANK('2025'!$T156), 0, 1), 7, 0))), 1, "")</f>
        <v/>
      </c>
      <c r="AP158" s="1" t="str">
        <f>IF(AND(AND(AND(AP$4&gt;='2025'!$L156,AP$4&lt;='2025'!$M156), AP$4&lt;&gt;DATE(2025,7,4)), (SWITCH(weekday(AP$4), 1, 0, 2, if(ISBLANK('2025'!$P156), 0, 1), 3, if(ISBLANK('2025'!$Q156), 0, 1), 4, if(ISBLANK('2025'!$R156), 0, 1), 5, if(ISBLANK('2025'!$S156), 0, 1), 6, if(ISBLANK('2025'!$T156), 0, 1), 7, 0))), 1, "")</f>
        <v/>
      </c>
      <c r="AQ158" s="1" t="str">
        <f>IF(AND(AND(AND(AQ$4&gt;='2025'!$L156,AQ$4&lt;='2025'!$M156), AQ$4&lt;&gt;DATE(2025,7,4)), (SWITCH(weekday(AQ$4), 1, 0, 2, if(ISBLANK('2025'!$P156), 0, 1), 3, if(ISBLANK('2025'!$Q156), 0, 1), 4, if(ISBLANK('2025'!$R156), 0, 1), 5, if(ISBLANK('2025'!$S156), 0, 1), 6, if(ISBLANK('2025'!$T156), 0, 1), 7, 0))), 1, "")</f>
        <v/>
      </c>
      <c r="AR158" s="1" t="str">
        <f>IF(AND(AND(AND(AR$4&gt;='2025'!$L156,AR$4&lt;='2025'!$M156), AR$4&lt;&gt;DATE(2025,7,4)), (SWITCH(weekday(AR$4), 1, 0, 2, if(ISBLANK('2025'!$P156), 0, 1), 3, if(ISBLANK('2025'!$Q156), 0, 1), 4, if(ISBLANK('2025'!$R156), 0, 1), 5, if(ISBLANK('2025'!$S156), 0, 1), 6, if(ISBLANK('2025'!$T156), 0, 1), 7, 0))), 1, "")</f>
        <v/>
      </c>
      <c r="AS158" s="1" t="str">
        <f>IF(AND(AND(AND(AS$4&gt;='2025'!$L156,AS$4&lt;='2025'!$M156), AS$4&lt;&gt;DATE(2025,7,4)), (SWITCH(weekday(AS$4), 1, 0, 2, if(ISBLANK('2025'!$P156), 0, 1), 3, if(ISBLANK('2025'!$Q156), 0, 1), 4, if(ISBLANK('2025'!$R156), 0, 1), 5, if(ISBLANK('2025'!$S156), 0, 1), 6, if(ISBLANK('2025'!$T156), 0, 1), 7, 0))), 1, "")</f>
        <v/>
      </c>
      <c r="AT158" s="1" t="str">
        <f>IF(AND(AND(AND(AT$4&gt;='2025'!$L156,AT$4&lt;='2025'!$M156), AT$4&lt;&gt;DATE(2025,7,4)), (SWITCH(weekday(AT$4), 1, 0, 2, if(ISBLANK('2025'!$P156), 0, 1), 3, if(ISBLANK('2025'!$Q156), 0, 1), 4, if(ISBLANK('2025'!$R156), 0, 1), 5, if(ISBLANK('2025'!$S156), 0, 1), 6, if(ISBLANK('2025'!$T156), 0, 1), 7, 0))), 1, "")</f>
        <v/>
      </c>
      <c r="AU158" s="1" t="str">
        <f>IF(AND(AND(AND(AU$4&gt;='2025'!$L156,AU$4&lt;='2025'!$M156), AU$4&lt;&gt;DATE(2025,7,4)), (SWITCH(weekday(AU$4), 1, 0, 2, if(ISBLANK('2025'!$P156), 0, 1), 3, if(ISBLANK('2025'!$Q156), 0, 1), 4, if(ISBLANK('2025'!$R156), 0, 1), 5, if(ISBLANK('2025'!$S156), 0, 1), 6, if(ISBLANK('2025'!$T156), 0, 1), 7, 0))), 1, "")</f>
        <v/>
      </c>
      <c r="AV158" s="1" t="str">
        <f>IF(AND(AND(AND(AV$4&gt;='2025'!$L156,AV$4&lt;='2025'!$M156), AV$4&lt;&gt;DATE(2025,7,4)), (SWITCH(weekday(AV$4), 1, 0, 2, if(ISBLANK('2025'!$P156), 0, 1), 3, if(ISBLANK('2025'!$Q156), 0, 1), 4, if(ISBLANK('2025'!$R156), 0, 1), 5, if(ISBLANK('2025'!$S156), 0, 1), 6, if(ISBLANK('2025'!$T156), 0, 1), 7, 0))), 1, "")</f>
        <v/>
      </c>
      <c r="AW158" s="1" t="str">
        <f>IF(AND(AND(AND(AW$4&gt;='2025'!$L156,AW$4&lt;='2025'!$M156), AW$4&lt;&gt;DATE(2025,7,4)), (SWITCH(weekday(AW$4), 1, 0, 2, if(ISBLANK('2025'!$P156), 0, 1), 3, if(ISBLANK('2025'!$Q156), 0, 1), 4, if(ISBLANK('2025'!$R156), 0, 1), 5, if(ISBLANK('2025'!$S156), 0, 1), 6, if(ISBLANK('2025'!$T156), 0, 1), 7, 0))), 1, "")</f>
        <v/>
      </c>
      <c r="AX158" s="1" t="str">
        <f>IF(AND(AND(AND(AX$4&gt;='2025'!$L156,AX$4&lt;='2025'!$M156), AX$4&lt;&gt;DATE(2025,7,4)), (SWITCH(weekday(AX$4), 1, 0, 2, if(ISBLANK('2025'!$P156), 0, 1), 3, if(ISBLANK('2025'!$Q156), 0, 1), 4, if(ISBLANK('2025'!$R156), 0, 1), 5, if(ISBLANK('2025'!$S156), 0, 1), 6, if(ISBLANK('2025'!$T156), 0, 1), 7, 0))), 1, "")</f>
        <v/>
      </c>
      <c r="AY158" s="1" t="str">
        <f>IF(AND(AND(AND(AY$4&gt;='2025'!$L156,AY$4&lt;='2025'!$M156), AY$4&lt;&gt;DATE(2025,7,4)), (SWITCH(weekday(AY$4), 1, 0, 2, if(ISBLANK('2025'!$P156), 0, 1), 3, if(ISBLANK('2025'!$Q156), 0, 1), 4, if(ISBLANK('2025'!$R156), 0, 1), 5, if(ISBLANK('2025'!$S156), 0, 1), 6, if(ISBLANK('2025'!$T156), 0, 1), 7, 0))), 1, "")</f>
        <v/>
      </c>
      <c r="AZ158" s="1" t="str">
        <f>IF(AND(AND(AND(AZ$4&gt;='2025'!$L156,AZ$4&lt;='2025'!$M156), AZ$4&lt;&gt;DATE(2025,7,4)), (SWITCH(weekday(AZ$4), 1, 0, 2, if(ISBLANK('2025'!$P156), 0, 1), 3, if(ISBLANK('2025'!$Q156), 0, 1), 4, if(ISBLANK('2025'!$R156), 0, 1), 5, if(ISBLANK('2025'!$S156), 0, 1), 6, if(ISBLANK('2025'!$T156), 0, 1), 7, 0))), 1, "")</f>
        <v/>
      </c>
      <c r="BA158" s="1" t="str">
        <f>IF(AND(AND(AND(BA$4&gt;='2025'!$L156,BA$4&lt;='2025'!$M156), BA$4&lt;&gt;DATE(2025,7,4)), (SWITCH(weekday(BA$4), 1, 0, 2, if(ISBLANK('2025'!$P156), 0, 1), 3, if(ISBLANK('2025'!$Q156), 0, 1), 4, if(ISBLANK('2025'!$R156), 0, 1), 5, if(ISBLANK('2025'!$S156), 0, 1), 6, if(ISBLANK('2025'!$T156), 0, 1), 7, 0))), 1, "")</f>
        <v/>
      </c>
      <c r="BB158" s="1" t="str">
        <f>IF(AND(AND(AND(BB$4&gt;='2025'!$L156,BB$4&lt;='2025'!$M156), BB$4&lt;&gt;DATE(2025,7,4)), (SWITCH(weekday(BB$4), 1, 0, 2, if(ISBLANK('2025'!$P156), 0, 1), 3, if(ISBLANK('2025'!$Q156), 0, 1), 4, if(ISBLANK('2025'!$R156), 0, 1), 5, if(ISBLANK('2025'!$S156), 0, 1), 6, if(ISBLANK('2025'!$T156), 0, 1), 7, 0))), 1, "")</f>
        <v/>
      </c>
      <c r="BC158" s="1" t="str">
        <f>IF(AND(AND(AND(BC$4&gt;='2025'!$L156,BC$4&lt;='2025'!$M156), BC$4&lt;&gt;DATE(2025,7,4)), (SWITCH(weekday(BC$4), 1, 0, 2, if(ISBLANK('2025'!$P156), 0, 1), 3, if(ISBLANK('2025'!$Q156), 0, 1), 4, if(ISBLANK('2025'!$R156), 0, 1), 5, if(ISBLANK('2025'!$S156), 0, 1), 6, if(ISBLANK('2025'!$T156), 0, 1), 7, 0))), 1, "")</f>
        <v/>
      </c>
      <c r="BD158" s="1" t="str">
        <f>IF(AND(AND(AND(BD$4&gt;='2025'!$L156,BD$4&lt;='2025'!$M156), BD$4&lt;&gt;DATE(2025,7,4)), (SWITCH(weekday(BD$4), 1, 0, 2, if(ISBLANK('2025'!$P156), 0, 1), 3, if(ISBLANK('2025'!$Q156), 0, 1), 4, if(ISBLANK('2025'!$R156), 0, 1), 5, if(ISBLANK('2025'!$S156), 0, 1), 6, if(ISBLANK('2025'!$T156), 0, 1), 7, 0))), 1, "")</f>
        <v/>
      </c>
      <c r="BE158" s="1" t="str">
        <f>IF(AND(AND(AND(BE$4&gt;='2025'!$L156,BE$4&lt;='2025'!$M156), BE$4&lt;&gt;DATE(2025,7,4)), (SWITCH(weekday(BE$4), 1, 0, 2, if(ISBLANK('2025'!$P156), 0, 1), 3, if(ISBLANK('2025'!$Q156), 0, 1), 4, if(ISBLANK('2025'!$R156), 0, 1), 5, if(ISBLANK('2025'!$S156), 0, 1), 6, if(ISBLANK('2025'!$T156), 0, 1), 7, 0))), 1, "")</f>
        <v/>
      </c>
      <c r="BF158" s="1" t="str">
        <f>IF(AND(AND(AND(BF$4&gt;='2025'!$L156,BF$4&lt;='2025'!$M156), BF$4&lt;&gt;DATE(2025,7,4)), (SWITCH(weekday(BF$4), 1, 0, 2, if(ISBLANK('2025'!$P156), 0, 1), 3, if(ISBLANK('2025'!$Q156), 0, 1), 4, if(ISBLANK('2025'!$R156), 0, 1), 5, if(ISBLANK('2025'!$S156), 0, 1), 6, if(ISBLANK('2025'!$T156), 0, 1), 7, 0))), 1, "")</f>
        <v/>
      </c>
      <c r="BG158" s="1"/>
      <c r="BH158" s="1"/>
      <c r="BI158" s="1"/>
      <c r="BJ158" s="1"/>
      <c r="BK158" s="1"/>
      <c r="BL158" s="1"/>
    </row>
    <row r="159">
      <c r="A159" s="1">
        <f t="shared" si="3"/>
        <v>159</v>
      </c>
      <c r="B159" s="1" t="str">
        <f>'2025'!D123</f>
        <v>, </v>
      </c>
      <c r="C159" s="1" t="str">
        <f>'2025'!H123</f>
        <v/>
      </c>
      <c r="D159" s="1" t="str">
        <f>IF(AND(AND(AND(D$4&gt;='2025'!$L157,D$4&lt;='2025'!$M157), D$4&lt;&gt;DATE(2025,7,4)), (SWITCH(weekday(D$4), 1, 0, 2, if(ISBLANK('2025'!$P157), 0, 1), 3, if(ISBLANK('2025'!$Q157), 0, 1), 4, if(ISBLANK('2025'!$R157), 0, 1), 5, if(ISBLANK('2025'!$S157), 0, 1), 6, if(ISBLANK('2025'!$T157), 0, 1), 7, 0))), 1, "")</f>
        <v/>
      </c>
      <c r="E159" s="1" t="str">
        <f>IF(AND(AND(AND(E$4&gt;='2025'!$L157,E$4&lt;='2025'!$M157), E$4&lt;&gt;DATE(2025,7,4)), (SWITCH(weekday(E$4), 1, 0, 2, if(ISBLANK('2025'!$P157), 0, 1), 3, if(ISBLANK('2025'!$Q157), 0, 1), 4, if(ISBLANK('2025'!$R157), 0, 1), 5, if(ISBLANK('2025'!$S157), 0, 1), 6, if(ISBLANK('2025'!$T157), 0, 1), 7, 0))), 1, "")</f>
        <v/>
      </c>
      <c r="F159" s="1" t="str">
        <f>IF(AND(AND(AND(F$4&gt;='2025'!$L157,F$4&lt;='2025'!$M157), F$4&lt;&gt;DATE(2025,7,4)), (SWITCH(weekday(F$4), 1, 0, 2, if(ISBLANK('2025'!$P157), 0, 1), 3, if(ISBLANK('2025'!$Q157), 0, 1), 4, if(ISBLANK('2025'!$R157), 0, 1), 5, if(ISBLANK('2025'!$S157), 0, 1), 6, if(ISBLANK('2025'!$T157), 0, 1), 7, 0))), 1, "")</f>
        <v/>
      </c>
      <c r="G159" s="1" t="str">
        <f>IF(AND(AND(AND(G$4&gt;='2025'!$L157,G$4&lt;='2025'!$M157), G$4&lt;&gt;DATE(2025,7,4)), (SWITCH(weekday(G$4), 1, 0, 2, if(ISBLANK('2025'!$P157), 0, 1), 3, if(ISBLANK('2025'!$Q157), 0, 1), 4, if(ISBLANK('2025'!$R157), 0, 1), 5, if(ISBLANK('2025'!$S157), 0, 1), 6, if(ISBLANK('2025'!$T157), 0, 1), 7, 0))), 1, "")</f>
        <v/>
      </c>
      <c r="H159" s="1" t="str">
        <f>IF(AND(AND(AND(H$4&gt;='2025'!$L157,H$4&lt;='2025'!$M157), H$4&lt;&gt;DATE(2025,7,4)), (SWITCH(weekday(H$4), 1, 0, 2, if(ISBLANK('2025'!$P157), 0, 1), 3, if(ISBLANK('2025'!$Q157), 0, 1), 4, if(ISBLANK('2025'!$R157), 0, 1), 5, if(ISBLANK('2025'!$S157), 0, 1), 6, if(ISBLANK('2025'!$T157), 0, 1), 7, 0))), 1, "")</f>
        <v/>
      </c>
      <c r="I159" s="1" t="str">
        <f>IF(AND(AND(AND(I$4&gt;='2025'!$L157,I$4&lt;='2025'!$M157), I$4&lt;&gt;DATE(2025,7,4)), (SWITCH(weekday(I$4), 1, 0, 2, if(ISBLANK('2025'!$P157), 0, 1), 3, if(ISBLANK('2025'!$Q157), 0, 1), 4, if(ISBLANK('2025'!$R157), 0, 1), 5, if(ISBLANK('2025'!$S157), 0, 1), 6, if(ISBLANK('2025'!$T157), 0, 1), 7, 0))), 1, "")</f>
        <v/>
      </c>
      <c r="J159" s="1" t="str">
        <f>IF(AND(AND(AND(J$4&gt;='2025'!$L157,J$4&lt;='2025'!$M157), J$4&lt;&gt;DATE(2025,7,4)), (SWITCH(weekday(J$4), 1, 0, 2, if(ISBLANK('2025'!$P157), 0, 1), 3, if(ISBLANK('2025'!$Q157), 0, 1), 4, if(ISBLANK('2025'!$R157), 0, 1), 5, if(ISBLANK('2025'!$S157), 0, 1), 6, if(ISBLANK('2025'!$T157), 0, 1), 7, 0))), 1, "")</f>
        <v/>
      </c>
      <c r="K159" s="1" t="str">
        <f>IF(AND(AND(AND(K$4&gt;='2025'!$L157,K$4&lt;='2025'!$M157), K$4&lt;&gt;DATE(2025,7,4)), (SWITCH(weekday(K$4), 1, 0, 2, if(ISBLANK('2025'!$P157), 0, 1), 3, if(ISBLANK('2025'!$Q157), 0, 1), 4, if(ISBLANK('2025'!$R157), 0, 1), 5, if(ISBLANK('2025'!$S157), 0, 1), 6, if(ISBLANK('2025'!$T157), 0, 1), 7, 0))), 1, "")</f>
        <v/>
      </c>
      <c r="L159" s="1" t="str">
        <f>IF(AND(AND(AND(L$4&gt;='2025'!$L157,L$4&lt;='2025'!$M157), L$4&lt;&gt;DATE(2025,7,4)), (SWITCH(weekday(L$4), 1, 0, 2, if(ISBLANK('2025'!$P157), 0, 1), 3, if(ISBLANK('2025'!$Q157), 0, 1), 4, if(ISBLANK('2025'!$R157), 0, 1), 5, if(ISBLANK('2025'!$S157), 0, 1), 6, if(ISBLANK('2025'!$T157), 0, 1), 7, 0))), 1, "")</f>
        <v/>
      </c>
      <c r="M159" s="1" t="str">
        <f>IF(AND(AND(AND(M$4&gt;='2025'!$L157,M$4&lt;='2025'!$M157), M$4&lt;&gt;DATE(2025,7,4)), (SWITCH(weekday(M$4), 1, 0, 2, if(ISBLANK('2025'!$P157), 0, 1), 3, if(ISBLANK('2025'!$Q157), 0, 1), 4, if(ISBLANK('2025'!$R157), 0, 1), 5, if(ISBLANK('2025'!$S157), 0, 1), 6, if(ISBLANK('2025'!$T157), 0, 1), 7, 0))), 1, "")</f>
        <v/>
      </c>
      <c r="N159" s="1" t="str">
        <f>IF(AND(AND(AND(N$4&gt;='2025'!$L157,N$4&lt;='2025'!$M157), N$4&lt;&gt;DATE(2025,7,4)), (SWITCH(weekday(N$4), 1, 0, 2, if(ISBLANK('2025'!$P157), 0, 1), 3, if(ISBLANK('2025'!$Q157), 0, 1), 4, if(ISBLANK('2025'!$R157), 0, 1), 5, if(ISBLANK('2025'!$S157), 0, 1), 6, if(ISBLANK('2025'!$T157), 0, 1), 7, 0))), 1, "")</f>
        <v/>
      </c>
      <c r="O159" s="1" t="str">
        <f>IF(AND(AND(AND(O$4&gt;='2025'!$L157,O$4&lt;='2025'!$M157), O$4&lt;&gt;DATE(2025,7,4)), (SWITCH(weekday(O$4), 1, 0, 2, if(ISBLANK('2025'!$P157), 0, 1), 3, if(ISBLANK('2025'!$Q157), 0, 1), 4, if(ISBLANK('2025'!$R157), 0, 1), 5, if(ISBLANK('2025'!$S157), 0, 1), 6, if(ISBLANK('2025'!$T157), 0, 1), 7, 0))), 1, "")</f>
        <v/>
      </c>
      <c r="P159" s="1" t="str">
        <f>IF(AND(AND(AND(P$4&gt;='2025'!$L157,P$4&lt;='2025'!$M157), P$4&lt;&gt;DATE(2025,7,4)), (SWITCH(weekday(P$4), 1, 0, 2, if(ISBLANK('2025'!$P157), 0, 1), 3, if(ISBLANK('2025'!$Q157), 0, 1), 4, if(ISBLANK('2025'!$R157), 0, 1), 5, if(ISBLANK('2025'!$S157), 0, 1), 6, if(ISBLANK('2025'!$T157), 0, 1), 7, 0))), 1, "")</f>
        <v/>
      </c>
      <c r="Q159" s="1" t="str">
        <f>IF(AND(AND(AND(Q$4&gt;='2025'!$L157,Q$4&lt;='2025'!$M157), Q$4&lt;&gt;DATE(2025,7,4)), (SWITCH(weekday(Q$4), 1, 0, 2, if(ISBLANK('2025'!$P157), 0, 1), 3, if(ISBLANK('2025'!$Q157), 0, 1), 4, if(ISBLANK('2025'!$R157), 0, 1), 5, if(ISBLANK('2025'!$S157), 0, 1), 6, if(ISBLANK('2025'!$T157), 0, 1), 7, 0))), 1, "")</f>
        <v/>
      </c>
      <c r="R159" s="1" t="str">
        <f>IF(AND(AND(AND(R$4&gt;='2025'!$L157,R$4&lt;='2025'!$M157), R$4&lt;&gt;DATE(2025,7,4)), (SWITCH(weekday(R$4), 1, 0, 2, if(ISBLANK('2025'!$P157), 0, 1), 3, if(ISBLANK('2025'!$Q157), 0, 1), 4, if(ISBLANK('2025'!$R157), 0, 1), 5, if(ISBLANK('2025'!$S157), 0, 1), 6, if(ISBLANK('2025'!$T157), 0, 1), 7, 0))), 1, "")</f>
        <v/>
      </c>
      <c r="S159" s="1" t="str">
        <f>IF(AND(AND(AND(S$4&gt;='2025'!$L157,S$4&lt;='2025'!$M157), S$4&lt;&gt;DATE(2025,7,4)), (SWITCH(weekday(S$4), 1, 0, 2, if(ISBLANK('2025'!$P157), 0, 1), 3, if(ISBLANK('2025'!$Q157), 0, 1), 4, if(ISBLANK('2025'!$R157), 0, 1), 5, if(ISBLANK('2025'!$S157), 0, 1), 6, if(ISBLANK('2025'!$T157), 0, 1), 7, 0))), 1, "")</f>
        <v/>
      </c>
      <c r="T159" s="1" t="str">
        <f>IF(AND(AND(AND(T$4&gt;='2025'!$L157,T$4&lt;='2025'!$M157), T$4&lt;&gt;DATE(2025,7,4)), (SWITCH(weekday(T$4), 1, 0, 2, if(ISBLANK('2025'!$P157), 0, 1), 3, if(ISBLANK('2025'!$Q157), 0, 1), 4, if(ISBLANK('2025'!$R157), 0, 1), 5, if(ISBLANK('2025'!$S157), 0, 1), 6, if(ISBLANK('2025'!$T157), 0, 1), 7, 0))), 1, "")</f>
        <v/>
      </c>
      <c r="U159" s="1" t="str">
        <f>IF(AND(AND(AND(U$4&gt;='2025'!$L157,U$4&lt;='2025'!$M157), U$4&lt;&gt;DATE(2025,7,4)), (SWITCH(weekday(U$4), 1, 0, 2, if(ISBLANK('2025'!$P157), 0, 1), 3, if(ISBLANK('2025'!$Q157), 0, 1), 4, if(ISBLANK('2025'!$R157), 0, 1), 5, if(ISBLANK('2025'!$S157), 0, 1), 6, if(ISBLANK('2025'!$T157), 0, 1), 7, 0))), 1, "")</f>
        <v/>
      </c>
      <c r="V159" s="1" t="str">
        <f>IF(AND(AND(AND(V$4&gt;='2025'!$L157,V$4&lt;='2025'!$M157), V$4&lt;&gt;DATE(2025,7,4)), (SWITCH(weekday(V$4), 1, 0, 2, if(ISBLANK('2025'!$P157), 0, 1), 3, if(ISBLANK('2025'!$Q157), 0, 1), 4, if(ISBLANK('2025'!$R157), 0, 1), 5, if(ISBLANK('2025'!$S157), 0, 1), 6, if(ISBLANK('2025'!$T157), 0, 1), 7, 0))), 1, "")</f>
        <v/>
      </c>
      <c r="W159" s="1" t="str">
        <f>IF(AND(AND(AND(W$4&gt;='2025'!$L157,W$4&lt;='2025'!$M157), W$4&lt;&gt;DATE(2025,7,4)), (SWITCH(weekday(W$4), 1, 0, 2, if(ISBLANK('2025'!$P157), 0, 1), 3, if(ISBLANK('2025'!$Q157), 0, 1), 4, if(ISBLANK('2025'!$R157), 0, 1), 5, if(ISBLANK('2025'!$S157), 0, 1), 6, if(ISBLANK('2025'!$T157), 0, 1), 7, 0))), 1, "")</f>
        <v/>
      </c>
      <c r="X159" s="1" t="str">
        <f>IF(AND(AND(AND(X$4&gt;='2025'!$L157,X$4&lt;='2025'!$M157), X$4&lt;&gt;DATE(2025,7,4)), (SWITCH(weekday(X$4), 1, 0, 2, if(ISBLANK('2025'!$P157), 0, 1), 3, if(ISBLANK('2025'!$Q157), 0, 1), 4, if(ISBLANK('2025'!$R157), 0, 1), 5, if(ISBLANK('2025'!$S157), 0, 1), 6, if(ISBLANK('2025'!$T157), 0, 1), 7, 0))), 1, "")</f>
        <v/>
      </c>
      <c r="Y159" s="1" t="str">
        <f>IF(AND(AND(AND(Y$4&gt;='2025'!$L157,Y$4&lt;='2025'!$M157), Y$4&lt;&gt;DATE(2025,7,4)), (SWITCH(weekday(Y$4), 1, 0, 2, if(ISBLANK('2025'!$P157), 0, 1), 3, if(ISBLANK('2025'!$Q157), 0, 1), 4, if(ISBLANK('2025'!$R157), 0, 1), 5, if(ISBLANK('2025'!$S157), 0, 1), 6, if(ISBLANK('2025'!$T157), 0, 1), 7, 0))), 1, "")</f>
        <v/>
      </c>
      <c r="Z159" s="1" t="str">
        <f>IF(AND(AND(AND(Z$4&gt;='2025'!$L157,Z$4&lt;='2025'!$M157), Z$4&lt;&gt;DATE(2025,7,4)), (SWITCH(weekday(Z$4), 1, 0, 2, if(ISBLANK('2025'!$P157), 0, 1), 3, if(ISBLANK('2025'!$Q157), 0, 1), 4, if(ISBLANK('2025'!$R157), 0, 1), 5, if(ISBLANK('2025'!$S157), 0, 1), 6, if(ISBLANK('2025'!$T157), 0, 1), 7, 0))), 1, "")</f>
        <v/>
      </c>
      <c r="AA159" s="1" t="str">
        <f>IF(AND(AND(AND(AA$4&gt;='2025'!$L157,AA$4&lt;='2025'!$M157), AA$4&lt;&gt;DATE(2025,7,4)), (SWITCH(weekday(AA$4), 1, 0, 2, if(ISBLANK('2025'!$P157), 0, 1), 3, if(ISBLANK('2025'!$Q157), 0, 1), 4, if(ISBLANK('2025'!$R157), 0, 1), 5, if(ISBLANK('2025'!$S157), 0, 1), 6, if(ISBLANK('2025'!$T157), 0, 1), 7, 0))), 1, "")</f>
        <v/>
      </c>
      <c r="AB159" s="1" t="str">
        <f>IF(AND(AND(AND(AB$4&gt;='2025'!$L157,AB$4&lt;='2025'!$M157), AB$4&lt;&gt;DATE(2025,7,4)), (SWITCH(weekday(AB$4), 1, 0, 2, if(ISBLANK('2025'!$P157), 0, 1), 3, if(ISBLANK('2025'!$Q157), 0, 1), 4, if(ISBLANK('2025'!$R157), 0, 1), 5, if(ISBLANK('2025'!$S157), 0, 1), 6, if(ISBLANK('2025'!$T157), 0, 1), 7, 0))), 1, "")</f>
        <v/>
      </c>
      <c r="AC159" s="1" t="str">
        <f>IF(AND(AND(AND(AC$4&gt;='2025'!$L157,AC$4&lt;='2025'!$M157), AC$4&lt;&gt;DATE(2025,7,4)), (SWITCH(weekday(AC$4), 1, 0, 2, if(ISBLANK('2025'!$P157), 0, 1), 3, if(ISBLANK('2025'!$Q157), 0, 1), 4, if(ISBLANK('2025'!$R157), 0, 1), 5, if(ISBLANK('2025'!$S157), 0, 1), 6, if(ISBLANK('2025'!$T157), 0, 1), 7, 0))), 1, "")</f>
        <v/>
      </c>
      <c r="AD159" s="1" t="str">
        <f>IF(AND(AND(AND(AD$4&gt;='2025'!$L157,AD$4&lt;='2025'!$M157), AD$4&lt;&gt;DATE(2025,7,4)), (SWITCH(weekday(AD$4), 1, 0, 2, if(ISBLANK('2025'!$P157), 0, 1), 3, if(ISBLANK('2025'!$Q157), 0, 1), 4, if(ISBLANK('2025'!$R157), 0, 1), 5, if(ISBLANK('2025'!$S157), 0, 1), 6, if(ISBLANK('2025'!$T157), 0, 1), 7, 0))), 1, "")</f>
        <v/>
      </c>
      <c r="AE159" s="1" t="str">
        <f>IF(AND(AND(AND(AE$4&gt;='2025'!$L157,AE$4&lt;='2025'!$M157), AE$4&lt;&gt;DATE(2025,7,4)), (SWITCH(weekday(AE$4), 1, 0, 2, if(ISBLANK('2025'!$P157), 0, 1), 3, if(ISBLANK('2025'!$Q157), 0, 1), 4, if(ISBLANK('2025'!$R157), 0, 1), 5, if(ISBLANK('2025'!$S157), 0, 1), 6, if(ISBLANK('2025'!$T157), 0, 1), 7, 0))), 1, "")</f>
        <v/>
      </c>
      <c r="AF159" s="1" t="str">
        <f>IF(AND(AND(AND(AF$4&gt;='2025'!$L157,AF$4&lt;='2025'!$M157), AF$4&lt;&gt;DATE(2025,7,4)), (SWITCH(weekday(AF$4), 1, 0, 2, if(ISBLANK('2025'!$P157), 0, 1), 3, if(ISBLANK('2025'!$Q157), 0, 1), 4, if(ISBLANK('2025'!$R157), 0, 1), 5, if(ISBLANK('2025'!$S157), 0, 1), 6, if(ISBLANK('2025'!$T157), 0, 1), 7, 0))), 1, "")</f>
        <v/>
      </c>
      <c r="AG159" s="1" t="str">
        <f>IF(AND(AND(AND(AG$4&gt;='2025'!$L157,AG$4&lt;='2025'!$M157), AG$4&lt;&gt;DATE(2025,7,4)), (SWITCH(weekday(AG$4), 1, 0, 2, if(ISBLANK('2025'!$P157), 0, 1), 3, if(ISBLANK('2025'!$Q157), 0, 1), 4, if(ISBLANK('2025'!$R157), 0, 1), 5, if(ISBLANK('2025'!$S157), 0, 1), 6, if(ISBLANK('2025'!$T157), 0, 1), 7, 0))), 1, "")</f>
        <v/>
      </c>
      <c r="AH159" s="1" t="str">
        <f>IF(AND(AND(AND(AH$4&gt;='2025'!$L157,AH$4&lt;='2025'!$M157), AH$4&lt;&gt;DATE(2025,7,4)), (SWITCH(weekday(AH$4), 1, 0, 2, if(ISBLANK('2025'!$P157), 0, 1), 3, if(ISBLANK('2025'!$Q157), 0, 1), 4, if(ISBLANK('2025'!$R157), 0, 1), 5, if(ISBLANK('2025'!$S157), 0, 1), 6, if(ISBLANK('2025'!$T157), 0, 1), 7, 0))), 1, "")</f>
        <v/>
      </c>
      <c r="AI159" s="1" t="str">
        <f>IF(AND(AND(AND(AI$4&gt;='2025'!$L157,AI$4&lt;='2025'!$M157), AI$4&lt;&gt;DATE(2025,7,4)), (SWITCH(weekday(AI$4), 1, 0, 2, if(ISBLANK('2025'!$P157), 0, 1), 3, if(ISBLANK('2025'!$Q157), 0, 1), 4, if(ISBLANK('2025'!$R157), 0, 1), 5, if(ISBLANK('2025'!$S157), 0, 1), 6, if(ISBLANK('2025'!$T157), 0, 1), 7, 0))), 1, "")</f>
        <v/>
      </c>
      <c r="AJ159" s="1" t="str">
        <f>IF(AND(AND(AND(AJ$4&gt;='2025'!$L157,AJ$4&lt;='2025'!$M157), AJ$4&lt;&gt;DATE(2025,7,4)), (SWITCH(weekday(AJ$4), 1, 0, 2, if(ISBLANK('2025'!$P157), 0, 1), 3, if(ISBLANK('2025'!$Q157), 0, 1), 4, if(ISBLANK('2025'!$R157), 0, 1), 5, if(ISBLANK('2025'!$S157), 0, 1), 6, if(ISBLANK('2025'!$T157), 0, 1), 7, 0))), 1, "")</f>
        <v/>
      </c>
      <c r="AK159" s="1" t="str">
        <f>IF(AND(AND(AND(AK$4&gt;='2025'!$L157,AK$4&lt;='2025'!$M157), AK$4&lt;&gt;DATE(2025,7,4)), (SWITCH(weekday(AK$4), 1, 0, 2, if(ISBLANK('2025'!$P157), 0, 1), 3, if(ISBLANK('2025'!$Q157), 0, 1), 4, if(ISBLANK('2025'!$R157), 0, 1), 5, if(ISBLANK('2025'!$S157), 0, 1), 6, if(ISBLANK('2025'!$T157), 0, 1), 7, 0))), 1, "")</f>
        <v/>
      </c>
      <c r="AL159" s="1" t="str">
        <f>IF(AND(AND(AND(AL$4&gt;='2025'!$L157,AL$4&lt;='2025'!$M157), AL$4&lt;&gt;DATE(2025,7,4)), (SWITCH(weekday(AL$4), 1, 0, 2, if(ISBLANK('2025'!$P157), 0, 1), 3, if(ISBLANK('2025'!$Q157), 0, 1), 4, if(ISBLANK('2025'!$R157), 0, 1), 5, if(ISBLANK('2025'!$S157), 0, 1), 6, if(ISBLANK('2025'!$T157), 0, 1), 7, 0))), 1, "")</f>
        <v/>
      </c>
      <c r="AM159" s="1" t="str">
        <f>IF(AND(AND(AND(AM$4&gt;='2025'!$L157,AM$4&lt;='2025'!$M157), AM$4&lt;&gt;DATE(2025,7,4)), (SWITCH(weekday(AM$4), 1, 0, 2, if(ISBLANK('2025'!$P157), 0, 1), 3, if(ISBLANK('2025'!$Q157), 0, 1), 4, if(ISBLANK('2025'!$R157), 0, 1), 5, if(ISBLANK('2025'!$S157), 0, 1), 6, if(ISBLANK('2025'!$T157), 0, 1), 7, 0))), 1, "")</f>
        <v/>
      </c>
      <c r="AN159" s="1" t="str">
        <f>IF(AND(AND(AND(AN$4&gt;='2025'!$L157,AN$4&lt;='2025'!$M157), AN$4&lt;&gt;DATE(2025,7,4)), (SWITCH(weekday(AN$4), 1, 0, 2, if(ISBLANK('2025'!$P157), 0, 1), 3, if(ISBLANK('2025'!$Q157), 0, 1), 4, if(ISBLANK('2025'!$R157), 0, 1), 5, if(ISBLANK('2025'!$S157), 0, 1), 6, if(ISBLANK('2025'!$T157), 0, 1), 7, 0))), 1, "")</f>
        <v/>
      </c>
      <c r="AO159" s="1" t="str">
        <f>IF(AND(AND(AND(AO$4&gt;='2025'!$L157,AO$4&lt;='2025'!$M157), AO$4&lt;&gt;DATE(2025,7,4)), (SWITCH(weekday(AO$4), 1, 0, 2, if(ISBLANK('2025'!$P157), 0, 1), 3, if(ISBLANK('2025'!$Q157), 0, 1), 4, if(ISBLANK('2025'!$R157), 0, 1), 5, if(ISBLANK('2025'!$S157), 0, 1), 6, if(ISBLANK('2025'!$T157), 0, 1), 7, 0))), 1, "")</f>
        <v/>
      </c>
      <c r="AP159" s="1" t="str">
        <f>IF(AND(AND(AND(AP$4&gt;='2025'!$L157,AP$4&lt;='2025'!$M157), AP$4&lt;&gt;DATE(2025,7,4)), (SWITCH(weekday(AP$4), 1, 0, 2, if(ISBLANK('2025'!$P157), 0, 1), 3, if(ISBLANK('2025'!$Q157), 0, 1), 4, if(ISBLANK('2025'!$R157), 0, 1), 5, if(ISBLANK('2025'!$S157), 0, 1), 6, if(ISBLANK('2025'!$T157), 0, 1), 7, 0))), 1, "")</f>
        <v/>
      </c>
      <c r="AQ159" s="1" t="str">
        <f>IF(AND(AND(AND(AQ$4&gt;='2025'!$L157,AQ$4&lt;='2025'!$M157), AQ$4&lt;&gt;DATE(2025,7,4)), (SWITCH(weekday(AQ$4), 1, 0, 2, if(ISBLANK('2025'!$P157), 0, 1), 3, if(ISBLANK('2025'!$Q157), 0, 1), 4, if(ISBLANK('2025'!$R157), 0, 1), 5, if(ISBLANK('2025'!$S157), 0, 1), 6, if(ISBLANK('2025'!$T157), 0, 1), 7, 0))), 1, "")</f>
        <v/>
      </c>
      <c r="AR159" s="1" t="str">
        <f>IF(AND(AND(AND(AR$4&gt;='2025'!$L157,AR$4&lt;='2025'!$M157), AR$4&lt;&gt;DATE(2025,7,4)), (SWITCH(weekday(AR$4), 1, 0, 2, if(ISBLANK('2025'!$P157), 0, 1), 3, if(ISBLANK('2025'!$Q157), 0, 1), 4, if(ISBLANK('2025'!$R157), 0, 1), 5, if(ISBLANK('2025'!$S157), 0, 1), 6, if(ISBLANK('2025'!$T157), 0, 1), 7, 0))), 1, "")</f>
        <v/>
      </c>
      <c r="AS159" s="1" t="str">
        <f>IF(AND(AND(AND(AS$4&gt;='2025'!$L157,AS$4&lt;='2025'!$M157), AS$4&lt;&gt;DATE(2025,7,4)), (SWITCH(weekday(AS$4), 1, 0, 2, if(ISBLANK('2025'!$P157), 0, 1), 3, if(ISBLANK('2025'!$Q157), 0, 1), 4, if(ISBLANK('2025'!$R157), 0, 1), 5, if(ISBLANK('2025'!$S157), 0, 1), 6, if(ISBLANK('2025'!$T157), 0, 1), 7, 0))), 1, "")</f>
        <v/>
      </c>
      <c r="AT159" s="1" t="str">
        <f>IF(AND(AND(AND(AT$4&gt;='2025'!$L157,AT$4&lt;='2025'!$M157), AT$4&lt;&gt;DATE(2025,7,4)), (SWITCH(weekday(AT$4), 1, 0, 2, if(ISBLANK('2025'!$P157), 0, 1), 3, if(ISBLANK('2025'!$Q157), 0, 1), 4, if(ISBLANK('2025'!$R157), 0, 1), 5, if(ISBLANK('2025'!$S157), 0, 1), 6, if(ISBLANK('2025'!$T157), 0, 1), 7, 0))), 1, "")</f>
        <v/>
      </c>
      <c r="AU159" s="1" t="str">
        <f>IF(AND(AND(AND(AU$4&gt;='2025'!$L157,AU$4&lt;='2025'!$M157), AU$4&lt;&gt;DATE(2025,7,4)), (SWITCH(weekday(AU$4), 1, 0, 2, if(ISBLANK('2025'!$P157), 0, 1), 3, if(ISBLANK('2025'!$Q157), 0, 1), 4, if(ISBLANK('2025'!$R157), 0, 1), 5, if(ISBLANK('2025'!$S157), 0, 1), 6, if(ISBLANK('2025'!$T157), 0, 1), 7, 0))), 1, "")</f>
        <v/>
      </c>
      <c r="AV159" s="1" t="str">
        <f>IF(AND(AND(AND(AV$4&gt;='2025'!$L157,AV$4&lt;='2025'!$M157), AV$4&lt;&gt;DATE(2025,7,4)), (SWITCH(weekday(AV$4), 1, 0, 2, if(ISBLANK('2025'!$P157), 0, 1), 3, if(ISBLANK('2025'!$Q157), 0, 1), 4, if(ISBLANK('2025'!$R157), 0, 1), 5, if(ISBLANK('2025'!$S157), 0, 1), 6, if(ISBLANK('2025'!$T157), 0, 1), 7, 0))), 1, "")</f>
        <v/>
      </c>
      <c r="AW159" s="1" t="str">
        <f>IF(AND(AND(AND(AW$4&gt;='2025'!$L157,AW$4&lt;='2025'!$M157), AW$4&lt;&gt;DATE(2025,7,4)), (SWITCH(weekday(AW$4), 1, 0, 2, if(ISBLANK('2025'!$P157), 0, 1), 3, if(ISBLANK('2025'!$Q157), 0, 1), 4, if(ISBLANK('2025'!$R157), 0, 1), 5, if(ISBLANK('2025'!$S157), 0, 1), 6, if(ISBLANK('2025'!$T157), 0, 1), 7, 0))), 1, "")</f>
        <v/>
      </c>
      <c r="AX159" s="1" t="str">
        <f>IF(AND(AND(AND(AX$4&gt;='2025'!$L157,AX$4&lt;='2025'!$M157), AX$4&lt;&gt;DATE(2025,7,4)), (SWITCH(weekday(AX$4), 1, 0, 2, if(ISBLANK('2025'!$P157), 0, 1), 3, if(ISBLANK('2025'!$Q157), 0, 1), 4, if(ISBLANK('2025'!$R157), 0, 1), 5, if(ISBLANK('2025'!$S157), 0, 1), 6, if(ISBLANK('2025'!$T157), 0, 1), 7, 0))), 1, "")</f>
        <v/>
      </c>
      <c r="AY159" s="1" t="str">
        <f>IF(AND(AND(AND(AY$4&gt;='2025'!$L157,AY$4&lt;='2025'!$M157), AY$4&lt;&gt;DATE(2025,7,4)), (SWITCH(weekday(AY$4), 1, 0, 2, if(ISBLANK('2025'!$P157), 0, 1), 3, if(ISBLANK('2025'!$Q157), 0, 1), 4, if(ISBLANK('2025'!$R157), 0, 1), 5, if(ISBLANK('2025'!$S157), 0, 1), 6, if(ISBLANK('2025'!$T157), 0, 1), 7, 0))), 1, "")</f>
        <v/>
      </c>
      <c r="AZ159" s="1" t="str">
        <f>IF(AND(AND(AND(AZ$4&gt;='2025'!$L157,AZ$4&lt;='2025'!$M157), AZ$4&lt;&gt;DATE(2025,7,4)), (SWITCH(weekday(AZ$4), 1, 0, 2, if(ISBLANK('2025'!$P157), 0, 1), 3, if(ISBLANK('2025'!$Q157), 0, 1), 4, if(ISBLANK('2025'!$R157), 0, 1), 5, if(ISBLANK('2025'!$S157), 0, 1), 6, if(ISBLANK('2025'!$T157), 0, 1), 7, 0))), 1, "")</f>
        <v/>
      </c>
      <c r="BA159" s="1" t="str">
        <f>IF(AND(AND(AND(BA$4&gt;='2025'!$L157,BA$4&lt;='2025'!$M157), BA$4&lt;&gt;DATE(2025,7,4)), (SWITCH(weekday(BA$4), 1, 0, 2, if(ISBLANK('2025'!$P157), 0, 1), 3, if(ISBLANK('2025'!$Q157), 0, 1), 4, if(ISBLANK('2025'!$R157), 0, 1), 5, if(ISBLANK('2025'!$S157), 0, 1), 6, if(ISBLANK('2025'!$T157), 0, 1), 7, 0))), 1, "")</f>
        <v/>
      </c>
      <c r="BB159" s="1" t="str">
        <f>IF(AND(AND(AND(BB$4&gt;='2025'!$L157,BB$4&lt;='2025'!$M157), BB$4&lt;&gt;DATE(2025,7,4)), (SWITCH(weekday(BB$4), 1, 0, 2, if(ISBLANK('2025'!$P157), 0, 1), 3, if(ISBLANK('2025'!$Q157), 0, 1), 4, if(ISBLANK('2025'!$R157), 0, 1), 5, if(ISBLANK('2025'!$S157), 0, 1), 6, if(ISBLANK('2025'!$T157), 0, 1), 7, 0))), 1, "")</f>
        <v/>
      </c>
      <c r="BC159" s="1" t="str">
        <f>IF(AND(AND(AND(BC$4&gt;='2025'!$L157,BC$4&lt;='2025'!$M157), BC$4&lt;&gt;DATE(2025,7,4)), (SWITCH(weekday(BC$4), 1, 0, 2, if(ISBLANK('2025'!$P157), 0, 1), 3, if(ISBLANK('2025'!$Q157), 0, 1), 4, if(ISBLANK('2025'!$R157), 0, 1), 5, if(ISBLANK('2025'!$S157), 0, 1), 6, if(ISBLANK('2025'!$T157), 0, 1), 7, 0))), 1, "")</f>
        <v/>
      </c>
      <c r="BD159" s="1" t="str">
        <f>IF(AND(AND(AND(BD$4&gt;='2025'!$L157,BD$4&lt;='2025'!$M157), BD$4&lt;&gt;DATE(2025,7,4)), (SWITCH(weekday(BD$4), 1, 0, 2, if(ISBLANK('2025'!$P157), 0, 1), 3, if(ISBLANK('2025'!$Q157), 0, 1), 4, if(ISBLANK('2025'!$R157), 0, 1), 5, if(ISBLANK('2025'!$S157), 0, 1), 6, if(ISBLANK('2025'!$T157), 0, 1), 7, 0))), 1, "")</f>
        <v/>
      </c>
      <c r="BE159" s="1" t="str">
        <f>IF(AND(AND(AND(BE$4&gt;='2025'!$L157,BE$4&lt;='2025'!$M157), BE$4&lt;&gt;DATE(2025,7,4)), (SWITCH(weekday(BE$4), 1, 0, 2, if(ISBLANK('2025'!$P157), 0, 1), 3, if(ISBLANK('2025'!$Q157), 0, 1), 4, if(ISBLANK('2025'!$R157), 0, 1), 5, if(ISBLANK('2025'!$S157), 0, 1), 6, if(ISBLANK('2025'!$T157), 0, 1), 7, 0))), 1, "")</f>
        <v/>
      </c>
      <c r="BF159" s="1" t="str">
        <f>IF(AND(AND(AND(BF$4&gt;='2025'!$L157,BF$4&lt;='2025'!$M157), BF$4&lt;&gt;DATE(2025,7,4)), (SWITCH(weekday(BF$4), 1, 0, 2, if(ISBLANK('2025'!$P157), 0, 1), 3, if(ISBLANK('2025'!$Q157), 0, 1), 4, if(ISBLANK('2025'!$R157), 0, 1), 5, if(ISBLANK('2025'!$S157), 0, 1), 6, if(ISBLANK('2025'!$T157), 0, 1), 7, 0))), 1, "")</f>
        <v/>
      </c>
      <c r="BG159" s="1"/>
      <c r="BH159" s="1"/>
      <c r="BI159" s="1"/>
      <c r="BJ159" s="1"/>
      <c r="BK159" s="1"/>
      <c r="BL159" s="1"/>
    </row>
    <row r="160">
      <c r="A160" s="1">
        <f t="shared" si="3"/>
        <v>160</v>
      </c>
      <c r="B160" s="1" t="str">
        <f>'2025'!D124</f>
        <v>, </v>
      </c>
      <c r="C160" s="1" t="str">
        <f>'2025'!H124</f>
        <v/>
      </c>
      <c r="D160" s="1" t="str">
        <f>IF(AND(AND(AND(D$4&gt;='2025'!$L158,D$4&lt;='2025'!$M158), D$4&lt;&gt;DATE(2025,7,4)), (SWITCH(weekday(D$4), 1, 0, 2, if(ISBLANK('2025'!$P158), 0, 1), 3, if(ISBLANK('2025'!$Q158), 0, 1), 4, if(ISBLANK('2025'!$R158), 0, 1), 5, if(ISBLANK('2025'!$S158), 0, 1), 6, if(ISBLANK('2025'!$T158), 0, 1), 7, 0))), 1, "")</f>
        <v/>
      </c>
      <c r="E160" s="1" t="str">
        <f>IF(AND(AND(AND(E$4&gt;='2025'!$L158,E$4&lt;='2025'!$M158), E$4&lt;&gt;DATE(2025,7,4)), (SWITCH(weekday(E$4), 1, 0, 2, if(ISBLANK('2025'!$P158), 0, 1), 3, if(ISBLANK('2025'!$Q158), 0, 1), 4, if(ISBLANK('2025'!$R158), 0, 1), 5, if(ISBLANK('2025'!$S158), 0, 1), 6, if(ISBLANK('2025'!$T158), 0, 1), 7, 0))), 1, "")</f>
        <v/>
      </c>
      <c r="F160" s="1" t="str">
        <f>IF(AND(AND(AND(F$4&gt;='2025'!$L158,F$4&lt;='2025'!$M158), F$4&lt;&gt;DATE(2025,7,4)), (SWITCH(weekday(F$4), 1, 0, 2, if(ISBLANK('2025'!$P158), 0, 1), 3, if(ISBLANK('2025'!$Q158), 0, 1), 4, if(ISBLANK('2025'!$R158), 0, 1), 5, if(ISBLANK('2025'!$S158), 0, 1), 6, if(ISBLANK('2025'!$T158), 0, 1), 7, 0))), 1, "")</f>
        <v/>
      </c>
      <c r="G160" s="1" t="str">
        <f>IF(AND(AND(AND(G$4&gt;='2025'!$L158,G$4&lt;='2025'!$M158), G$4&lt;&gt;DATE(2025,7,4)), (SWITCH(weekday(G$4), 1, 0, 2, if(ISBLANK('2025'!$P158), 0, 1), 3, if(ISBLANK('2025'!$Q158), 0, 1), 4, if(ISBLANK('2025'!$R158), 0, 1), 5, if(ISBLANK('2025'!$S158), 0, 1), 6, if(ISBLANK('2025'!$T158), 0, 1), 7, 0))), 1, "")</f>
        <v/>
      </c>
      <c r="H160" s="1" t="str">
        <f>IF(AND(AND(AND(H$4&gt;='2025'!$L158,H$4&lt;='2025'!$M158), H$4&lt;&gt;DATE(2025,7,4)), (SWITCH(weekday(H$4), 1, 0, 2, if(ISBLANK('2025'!$P158), 0, 1), 3, if(ISBLANK('2025'!$Q158), 0, 1), 4, if(ISBLANK('2025'!$R158), 0, 1), 5, if(ISBLANK('2025'!$S158), 0, 1), 6, if(ISBLANK('2025'!$T158), 0, 1), 7, 0))), 1, "")</f>
        <v/>
      </c>
      <c r="I160" s="1" t="str">
        <f>IF(AND(AND(AND(I$4&gt;='2025'!$L158,I$4&lt;='2025'!$M158), I$4&lt;&gt;DATE(2025,7,4)), (SWITCH(weekday(I$4), 1, 0, 2, if(ISBLANK('2025'!$P158), 0, 1), 3, if(ISBLANK('2025'!$Q158), 0, 1), 4, if(ISBLANK('2025'!$R158), 0, 1), 5, if(ISBLANK('2025'!$S158), 0, 1), 6, if(ISBLANK('2025'!$T158), 0, 1), 7, 0))), 1, "")</f>
        <v/>
      </c>
      <c r="J160" s="1" t="str">
        <f>IF(AND(AND(AND(J$4&gt;='2025'!$L158,J$4&lt;='2025'!$M158), J$4&lt;&gt;DATE(2025,7,4)), (SWITCH(weekday(J$4), 1, 0, 2, if(ISBLANK('2025'!$P158), 0, 1), 3, if(ISBLANK('2025'!$Q158), 0, 1), 4, if(ISBLANK('2025'!$R158), 0, 1), 5, if(ISBLANK('2025'!$S158), 0, 1), 6, if(ISBLANK('2025'!$T158), 0, 1), 7, 0))), 1, "")</f>
        <v/>
      </c>
      <c r="K160" s="1" t="str">
        <f>IF(AND(AND(AND(K$4&gt;='2025'!$L158,K$4&lt;='2025'!$M158), K$4&lt;&gt;DATE(2025,7,4)), (SWITCH(weekday(K$4), 1, 0, 2, if(ISBLANK('2025'!$P158), 0, 1), 3, if(ISBLANK('2025'!$Q158), 0, 1), 4, if(ISBLANK('2025'!$R158), 0, 1), 5, if(ISBLANK('2025'!$S158), 0, 1), 6, if(ISBLANK('2025'!$T158), 0, 1), 7, 0))), 1, "")</f>
        <v/>
      </c>
      <c r="L160" s="1" t="str">
        <f>IF(AND(AND(AND(L$4&gt;='2025'!$L158,L$4&lt;='2025'!$M158), L$4&lt;&gt;DATE(2025,7,4)), (SWITCH(weekday(L$4), 1, 0, 2, if(ISBLANK('2025'!$P158), 0, 1), 3, if(ISBLANK('2025'!$Q158), 0, 1), 4, if(ISBLANK('2025'!$R158), 0, 1), 5, if(ISBLANK('2025'!$S158), 0, 1), 6, if(ISBLANK('2025'!$T158), 0, 1), 7, 0))), 1, "")</f>
        <v/>
      </c>
      <c r="M160" s="1" t="str">
        <f>IF(AND(AND(AND(M$4&gt;='2025'!$L158,M$4&lt;='2025'!$M158), M$4&lt;&gt;DATE(2025,7,4)), (SWITCH(weekday(M$4), 1, 0, 2, if(ISBLANK('2025'!$P158), 0, 1), 3, if(ISBLANK('2025'!$Q158), 0, 1), 4, if(ISBLANK('2025'!$R158), 0, 1), 5, if(ISBLANK('2025'!$S158), 0, 1), 6, if(ISBLANK('2025'!$T158), 0, 1), 7, 0))), 1, "")</f>
        <v/>
      </c>
      <c r="N160" s="1" t="str">
        <f>IF(AND(AND(AND(N$4&gt;='2025'!$L158,N$4&lt;='2025'!$M158), N$4&lt;&gt;DATE(2025,7,4)), (SWITCH(weekday(N$4), 1, 0, 2, if(ISBLANK('2025'!$P158), 0, 1), 3, if(ISBLANK('2025'!$Q158), 0, 1), 4, if(ISBLANK('2025'!$R158), 0, 1), 5, if(ISBLANK('2025'!$S158), 0, 1), 6, if(ISBLANK('2025'!$T158), 0, 1), 7, 0))), 1, "")</f>
        <v/>
      </c>
      <c r="O160" s="1" t="str">
        <f>IF(AND(AND(AND(O$4&gt;='2025'!$L158,O$4&lt;='2025'!$M158), O$4&lt;&gt;DATE(2025,7,4)), (SWITCH(weekday(O$4), 1, 0, 2, if(ISBLANK('2025'!$P158), 0, 1), 3, if(ISBLANK('2025'!$Q158), 0, 1), 4, if(ISBLANK('2025'!$R158), 0, 1), 5, if(ISBLANK('2025'!$S158), 0, 1), 6, if(ISBLANK('2025'!$T158), 0, 1), 7, 0))), 1, "")</f>
        <v/>
      </c>
      <c r="P160" s="1" t="str">
        <f>IF(AND(AND(AND(P$4&gt;='2025'!$L158,P$4&lt;='2025'!$M158), P$4&lt;&gt;DATE(2025,7,4)), (SWITCH(weekday(P$4), 1, 0, 2, if(ISBLANK('2025'!$P158), 0, 1), 3, if(ISBLANK('2025'!$Q158), 0, 1), 4, if(ISBLANK('2025'!$R158), 0, 1), 5, if(ISBLANK('2025'!$S158), 0, 1), 6, if(ISBLANK('2025'!$T158), 0, 1), 7, 0))), 1, "")</f>
        <v/>
      </c>
      <c r="Q160" s="1" t="str">
        <f>IF(AND(AND(AND(Q$4&gt;='2025'!$L158,Q$4&lt;='2025'!$M158), Q$4&lt;&gt;DATE(2025,7,4)), (SWITCH(weekday(Q$4), 1, 0, 2, if(ISBLANK('2025'!$P158), 0, 1), 3, if(ISBLANK('2025'!$Q158), 0, 1), 4, if(ISBLANK('2025'!$R158), 0, 1), 5, if(ISBLANK('2025'!$S158), 0, 1), 6, if(ISBLANK('2025'!$T158), 0, 1), 7, 0))), 1, "")</f>
        <v/>
      </c>
      <c r="R160" s="1" t="str">
        <f>IF(AND(AND(AND(R$4&gt;='2025'!$L158,R$4&lt;='2025'!$M158), R$4&lt;&gt;DATE(2025,7,4)), (SWITCH(weekday(R$4), 1, 0, 2, if(ISBLANK('2025'!$P158), 0, 1), 3, if(ISBLANK('2025'!$Q158), 0, 1), 4, if(ISBLANK('2025'!$R158), 0, 1), 5, if(ISBLANK('2025'!$S158), 0, 1), 6, if(ISBLANK('2025'!$T158), 0, 1), 7, 0))), 1, "")</f>
        <v/>
      </c>
      <c r="S160" s="1" t="str">
        <f>IF(AND(AND(AND(S$4&gt;='2025'!$L158,S$4&lt;='2025'!$M158), S$4&lt;&gt;DATE(2025,7,4)), (SWITCH(weekday(S$4), 1, 0, 2, if(ISBLANK('2025'!$P158), 0, 1), 3, if(ISBLANK('2025'!$Q158), 0, 1), 4, if(ISBLANK('2025'!$R158), 0, 1), 5, if(ISBLANK('2025'!$S158), 0, 1), 6, if(ISBLANK('2025'!$T158), 0, 1), 7, 0))), 1, "")</f>
        <v/>
      </c>
      <c r="T160" s="1" t="str">
        <f>IF(AND(AND(AND(T$4&gt;='2025'!$L158,T$4&lt;='2025'!$M158), T$4&lt;&gt;DATE(2025,7,4)), (SWITCH(weekday(T$4), 1, 0, 2, if(ISBLANK('2025'!$P158), 0, 1), 3, if(ISBLANK('2025'!$Q158), 0, 1), 4, if(ISBLANK('2025'!$R158), 0, 1), 5, if(ISBLANK('2025'!$S158), 0, 1), 6, if(ISBLANK('2025'!$T158), 0, 1), 7, 0))), 1, "")</f>
        <v/>
      </c>
      <c r="U160" s="1" t="str">
        <f>IF(AND(AND(AND(U$4&gt;='2025'!$L158,U$4&lt;='2025'!$M158), U$4&lt;&gt;DATE(2025,7,4)), (SWITCH(weekday(U$4), 1, 0, 2, if(ISBLANK('2025'!$P158), 0, 1), 3, if(ISBLANK('2025'!$Q158), 0, 1), 4, if(ISBLANK('2025'!$R158), 0, 1), 5, if(ISBLANK('2025'!$S158), 0, 1), 6, if(ISBLANK('2025'!$T158), 0, 1), 7, 0))), 1, "")</f>
        <v/>
      </c>
      <c r="V160" s="1" t="str">
        <f>IF(AND(AND(AND(V$4&gt;='2025'!$L158,V$4&lt;='2025'!$M158), V$4&lt;&gt;DATE(2025,7,4)), (SWITCH(weekday(V$4), 1, 0, 2, if(ISBLANK('2025'!$P158), 0, 1), 3, if(ISBLANK('2025'!$Q158), 0, 1), 4, if(ISBLANK('2025'!$R158), 0, 1), 5, if(ISBLANK('2025'!$S158), 0, 1), 6, if(ISBLANK('2025'!$T158), 0, 1), 7, 0))), 1, "")</f>
        <v/>
      </c>
      <c r="W160" s="1" t="str">
        <f>IF(AND(AND(AND(W$4&gt;='2025'!$L158,W$4&lt;='2025'!$M158), W$4&lt;&gt;DATE(2025,7,4)), (SWITCH(weekday(W$4), 1, 0, 2, if(ISBLANK('2025'!$P158), 0, 1), 3, if(ISBLANK('2025'!$Q158), 0, 1), 4, if(ISBLANK('2025'!$R158), 0, 1), 5, if(ISBLANK('2025'!$S158), 0, 1), 6, if(ISBLANK('2025'!$T158), 0, 1), 7, 0))), 1, "")</f>
        <v/>
      </c>
      <c r="X160" s="1" t="str">
        <f>IF(AND(AND(AND(X$4&gt;='2025'!$L158,X$4&lt;='2025'!$M158), X$4&lt;&gt;DATE(2025,7,4)), (SWITCH(weekday(X$4), 1, 0, 2, if(ISBLANK('2025'!$P158), 0, 1), 3, if(ISBLANK('2025'!$Q158), 0, 1), 4, if(ISBLANK('2025'!$R158), 0, 1), 5, if(ISBLANK('2025'!$S158), 0, 1), 6, if(ISBLANK('2025'!$T158), 0, 1), 7, 0))), 1, "")</f>
        <v/>
      </c>
      <c r="Y160" s="1" t="str">
        <f>IF(AND(AND(AND(Y$4&gt;='2025'!$L158,Y$4&lt;='2025'!$M158), Y$4&lt;&gt;DATE(2025,7,4)), (SWITCH(weekday(Y$4), 1, 0, 2, if(ISBLANK('2025'!$P158), 0, 1), 3, if(ISBLANK('2025'!$Q158), 0, 1), 4, if(ISBLANK('2025'!$R158), 0, 1), 5, if(ISBLANK('2025'!$S158), 0, 1), 6, if(ISBLANK('2025'!$T158), 0, 1), 7, 0))), 1, "")</f>
        <v/>
      </c>
      <c r="Z160" s="1" t="str">
        <f>IF(AND(AND(AND(Z$4&gt;='2025'!$L158,Z$4&lt;='2025'!$M158), Z$4&lt;&gt;DATE(2025,7,4)), (SWITCH(weekday(Z$4), 1, 0, 2, if(ISBLANK('2025'!$P158), 0, 1), 3, if(ISBLANK('2025'!$Q158), 0, 1), 4, if(ISBLANK('2025'!$R158), 0, 1), 5, if(ISBLANK('2025'!$S158), 0, 1), 6, if(ISBLANK('2025'!$T158), 0, 1), 7, 0))), 1, "")</f>
        <v/>
      </c>
      <c r="AA160" s="1" t="str">
        <f>IF(AND(AND(AND(AA$4&gt;='2025'!$L158,AA$4&lt;='2025'!$M158), AA$4&lt;&gt;DATE(2025,7,4)), (SWITCH(weekday(AA$4), 1, 0, 2, if(ISBLANK('2025'!$P158), 0, 1), 3, if(ISBLANK('2025'!$Q158), 0, 1), 4, if(ISBLANK('2025'!$R158), 0, 1), 5, if(ISBLANK('2025'!$S158), 0, 1), 6, if(ISBLANK('2025'!$T158), 0, 1), 7, 0))), 1, "")</f>
        <v/>
      </c>
      <c r="AB160" s="1" t="str">
        <f>IF(AND(AND(AND(AB$4&gt;='2025'!$L158,AB$4&lt;='2025'!$M158), AB$4&lt;&gt;DATE(2025,7,4)), (SWITCH(weekday(AB$4), 1, 0, 2, if(ISBLANK('2025'!$P158), 0, 1), 3, if(ISBLANK('2025'!$Q158), 0, 1), 4, if(ISBLANK('2025'!$R158), 0, 1), 5, if(ISBLANK('2025'!$S158), 0, 1), 6, if(ISBLANK('2025'!$T158), 0, 1), 7, 0))), 1, "")</f>
        <v/>
      </c>
      <c r="AC160" s="1" t="str">
        <f>IF(AND(AND(AND(AC$4&gt;='2025'!$L158,AC$4&lt;='2025'!$M158), AC$4&lt;&gt;DATE(2025,7,4)), (SWITCH(weekday(AC$4), 1, 0, 2, if(ISBLANK('2025'!$P158), 0, 1), 3, if(ISBLANK('2025'!$Q158), 0, 1), 4, if(ISBLANK('2025'!$R158), 0, 1), 5, if(ISBLANK('2025'!$S158), 0, 1), 6, if(ISBLANK('2025'!$T158), 0, 1), 7, 0))), 1, "")</f>
        <v/>
      </c>
      <c r="AD160" s="1" t="str">
        <f>IF(AND(AND(AND(AD$4&gt;='2025'!$L158,AD$4&lt;='2025'!$M158), AD$4&lt;&gt;DATE(2025,7,4)), (SWITCH(weekday(AD$4), 1, 0, 2, if(ISBLANK('2025'!$P158), 0, 1), 3, if(ISBLANK('2025'!$Q158), 0, 1), 4, if(ISBLANK('2025'!$R158), 0, 1), 5, if(ISBLANK('2025'!$S158), 0, 1), 6, if(ISBLANK('2025'!$T158), 0, 1), 7, 0))), 1, "")</f>
        <v/>
      </c>
      <c r="AE160" s="1" t="str">
        <f>IF(AND(AND(AND(AE$4&gt;='2025'!$L158,AE$4&lt;='2025'!$M158), AE$4&lt;&gt;DATE(2025,7,4)), (SWITCH(weekday(AE$4), 1, 0, 2, if(ISBLANK('2025'!$P158), 0, 1), 3, if(ISBLANK('2025'!$Q158), 0, 1), 4, if(ISBLANK('2025'!$R158), 0, 1), 5, if(ISBLANK('2025'!$S158), 0, 1), 6, if(ISBLANK('2025'!$T158), 0, 1), 7, 0))), 1, "")</f>
        <v/>
      </c>
      <c r="AF160" s="1" t="str">
        <f>IF(AND(AND(AND(AF$4&gt;='2025'!$L158,AF$4&lt;='2025'!$M158), AF$4&lt;&gt;DATE(2025,7,4)), (SWITCH(weekday(AF$4), 1, 0, 2, if(ISBLANK('2025'!$P158), 0, 1), 3, if(ISBLANK('2025'!$Q158), 0, 1), 4, if(ISBLANK('2025'!$R158), 0, 1), 5, if(ISBLANK('2025'!$S158), 0, 1), 6, if(ISBLANK('2025'!$T158), 0, 1), 7, 0))), 1, "")</f>
        <v/>
      </c>
      <c r="AG160" s="1" t="str">
        <f>IF(AND(AND(AND(AG$4&gt;='2025'!$L158,AG$4&lt;='2025'!$M158), AG$4&lt;&gt;DATE(2025,7,4)), (SWITCH(weekday(AG$4), 1, 0, 2, if(ISBLANK('2025'!$P158), 0, 1), 3, if(ISBLANK('2025'!$Q158), 0, 1), 4, if(ISBLANK('2025'!$R158), 0, 1), 5, if(ISBLANK('2025'!$S158), 0, 1), 6, if(ISBLANK('2025'!$T158), 0, 1), 7, 0))), 1, "")</f>
        <v/>
      </c>
      <c r="AH160" s="1" t="str">
        <f>IF(AND(AND(AND(AH$4&gt;='2025'!$L158,AH$4&lt;='2025'!$M158), AH$4&lt;&gt;DATE(2025,7,4)), (SWITCH(weekday(AH$4), 1, 0, 2, if(ISBLANK('2025'!$P158), 0, 1), 3, if(ISBLANK('2025'!$Q158), 0, 1), 4, if(ISBLANK('2025'!$R158), 0, 1), 5, if(ISBLANK('2025'!$S158), 0, 1), 6, if(ISBLANK('2025'!$T158), 0, 1), 7, 0))), 1, "")</f>
        <v/>
      </c>
      <c r="AI160" s="1" t="str">
        <f>IF(AND(AND(AND(AI$4&gt;='2025'!$L158,AI$4&lt;='2025'!$M158), AI$4&lt;&gt;DATE(2025,7,4)), (SWITCH(weekday(AI$4), 1, 0, 2, if(ISBLANK('2025'!$P158), 0, 1), 3, if(ISBLANK('2025'!$Q158), 0, 1), 4, if(ISBLANK('2025'!$R158), 0, 1), 5, if(ISBLANK('2025'!$S158), 0, 1), 6, if(ISBLANK('2025'!$T158), 0, 1), 7, 0))), 1, "")</f>
        <v/>
      </c>
      <c r="AJ160" s="1" t="str">
        <f>IF(AND(AND(AND(AJ$4&gt;='2025'!$L158,AJ$4&lt;='2025'!$M158), AJ$4&lt;&gt;DATE(2025,7,4)), (SWITCH(weekday(AJ$4), 1, 0, 2, if(ISBLANK('2025'!$P158), 0, 1), 3, if(ISBLANK('2025'!$Q158), 0, 1), 4, if(ISBLANK('2025'!$R158), 0, 1), 5, if(ISBLANK('2025'!$S158), 0, 1), 6, if(ISBLANK('2025'!$T158), 0, 1), 7, 0))), 1, "")</f>
        <v/>
      </c>
      <c r="AK160" s="1" t="str">
        <f>IF(AND(AND(AND(AK$4&gt;='2025'!$L158,AK$4&lt;='2025'!$M158), AK$4&lt;&gt;DATE(2025,7,4)), (SWITCH(weekday(AK$4), 1, 0, 2, if(ISBLANK('2025'!$P158), 0, 1), 3, if(ISBLANK('2025'!$Q158), 0, 1), 4, if(ISBLANK('2025'!$R158), 0, 1), 5, if(ISBLANK('2025'!$S158), 0, 1), 6, if(ISBLANK('2025'!$T158), 0, 1), 7, 0))), 1, "")</f>
        <v/>
      </c>
      <c r="AL160" s="1" t="str">
        <f>IF(AND(AND(AND(AL$4&gt;='2025'!$L158,AL$4&lt;='2025'!$M158), AL$4&lt;&gt;DATE(2025,7,4)), (SWITCH(weekday(AL$4), 1, 0, 2, if(ISBLANK('2025'!$P158), 0, 1), 3, if(ISBLANK('2025'!$Q158), 0, 1), 4, if(ISBLANK('2025'!$R158), 0, 1), 5, if(ISBLANK('2025'!$S158), 0, 1), 6, if(ISBLANK('2025'!$T158), 0, 1), 7, 0))), 1, "")</f>
        <v/>
      </c>
      <c r="AM160" s="1" t="str">
        <f>IF(AND(AND(AND(AM$4&gt;='2025'!$L158,AM$4&lt;='2025'!$M158), AM$4&lt;&gt;DATE(2025,7,4)), (SWITCH(weekday(AM$4), 1, 0, 2, if(ISBLANK('2025'!$P158), 0, 1), 3, if(ISBLANK('2025'!$Q158), 0, 1), 4, if(ISBLANK('2025'!$R158), 0, 1), 5, if(ISBLANK('2025'!$S158), 0, 1), 6, if(ISBLANK('2025'!$T158), 0, 1), 7, 0))), 1, "")</f>
        <v/>
      </c>
      <c r="AN160" s="1" t="str">
        <f>IF(AND(AND(AND(AN$4&gt;='2025'!$L158,AN$4&lt;='2025'!$M158), AN$4&lt;&gt;DATE(2025,7,4)), (SWITCH(weekday(AN$4), 1, 0, 2, if(ISBLANK('2025'!$P158), 0, 1), 3, if(ISBLANK('2025'!$Q158), 0, 1), 4, if(ISBLANK('2025'!$R158), 0, 1), 5, if(ISBLANK('2025'!$S158), 0, 1), 6, if(ISBLANK('2025'!$T158), 0, 1), 7, 0))), 1, "")</f>
        <v/>
      </c>
      <c r="AO160" s="1" t="str">
        <f>IF(AND(AND(AND(AO$4&gt;='2025'!$L158,AO$4&lt;='2025'!$M158), AO$4&lt;&gt;DATE(2025,7,4)), (SWITCH(weekday(AO$4), 1, 0, 2, if(ISBLANK('2025'!$P158), 0, 1), 3, if(ISBLANK('2025'!$Q158), 0, 1), 4, if(ISBLANK('2025'!$R158), 0, 1), 5, if(ISBLANK('2025'!$S158), 0, 1), 6, if(ISBLANK('2025'!$T158), 0, 1), 7, 0))), 1, "")</f>
        <v/>
      </c>
      <c r="AP160" s="1" t="str">
        <f>IF(AND(AND(AND(AP$4&gt;='2025'!$L158,AP$4&lt;='2025'!$M158), AP$4&lt;&gt;DATE(2025,7,4)), (SWITCH(weekday(AP$4), 1, 0, 2, if(ISBLANK('2025'!$P158), 0, 1), 3, if(ISBLANK('2025'!$Q158), 0, 1), 4, if(ISBLANK('2025'!$R158), 0, 1), 5, if(ISBLANK('2025'!$S158), 0, 1), 6, if(ISBLANK('2025'!$T158), 0, 1), 7, 0))), 1, "")</f>
        <v/>
      </c>
      <c r="AQ160" s="1" t="str">
        <f>IF(AND(AND(AND(AQ$4&gt;='2025'!$L158,AQ$4&lt;='2025'!$M158), AQ$4&lt;&gt;DATE(2025,7,4)), (SWITCH(weekday(AQ$4), 1, 0, 2, if(ISBLANK('2025'!$P158), 0, 1), 3, if(ISBLANK('2025'!$Q158), 0, 1), 4, if(ISBLANK('2025'!$R158), 0, 1), 5, if(ISBLANK('2025'!$S158), 0, 1), 6, if(ISBLANK('2025'!$T158), 0, 1), 7, 0))), 1, "")</f>
        <v/>
      </c>
      <c r="AR160" s="1" t="str">
        <f>IF(AND(AND(AND(AR$4&gt;='2025'!$L158,AR$4&lt;='2025'!$M158), AR$4&lt;&gt;DATE(2025,7,4)), (SWITCH(weekday(AR$4), 1, 0, 2, if(ISBLANK('2025'!$P158), 0, 1), 3, if(ISBLANK('2025'!$Q158), 0, 1), 4, if(ISBLANK('2025'!$R158), 0, 1), 5, if(ISBLANK('2025'!$S158), 0, 1), 6, if(ISBLANK('2025'!$T158), 0, 1), 7, 0))), 1, "")</f>
        <v/>
      </c>
      <c r="AS160" s="1" t="str">
        <f>IF(AND(AND(AND(AS$4&gt;='2025'!$L158,AS$4&lt;='2025'!$M158), AS$4&lt;&gt;DATE(2025,7,4)), (SWITCH(weekday(AS$4), 1, 0, 2, if(ISBLANK('2025'!$P158), 0, 1), 3, if(ISBLANK('2025'!$Q158), 0, 1), 4, if(ISBLANK('2025'!$R158), 0, 1), 5, if(ISBLANK('2025'!$S158), 0, 1), 6, if(ISBLANK('2025'!$T158), 0, 1), 7, 0))), 1, "")</f>
        <v/>
      </c>
      <c r="AT160" s="1" t="str">
        <f>IF(AND(AND(AND(AT$4&gt;='2025'!$L158,AT$4&lt;='2025'!$M158), AT$4&lt;&gt;DATE(2025,7,4)), (SWITCH(weekday(AT$4), 1, 0, 2, if(ISBLANK('2025'!$P158), 0, 1), 3, if(ISBLANK('2025'!$Q158), 0, 1), 4, if(ISBLANK('2025'!$R158), 0, 1), 5, if(ISBLANK('2025'!$S158), 0, 1), 6, if(ISBLANK('2025'!$T158), 0, 1), 7, 0))), 1, "")</f>
        <v/>
      </c>
      <c r="AU160" s="1" t="str">
        <f>IF(AND(AND(AND(AU$4&gt;='2025'!$L158,AU$4&lt;='2025'!$M158), AU$4&lt;&gt;DATE(2025,7,4)), (SWITCH(weekday(AU$4), 1, 0, 2, if(ISBLANK('2025'!$P158), 0, 1), 3, if(ISBLANK('2025'!$Q158), 0, 1), 4, if(ISBLANK('2025'!$R158), 0, 1), 5, if(ISBLANK('2025'!$S158), 0, 1), 6, if(ISBLANK('2025'!$T158), 0, 1), 7, 0))), 1, "")</f>
        <v/>
      </c>
      <c r="AV160" s="1" t="str">
        <f>IF(AND(AND(AND(AV$4&gt;='2025'!$L158,AV$4&lt;='2025'!$M158), AV$4&lt;&gt;DATE(2025,7,4)), (SWITCH(weekday(AV$4), 1, 0, 2, if(ISBLANK('2025'!$P158), 0, 1), 3, if(ISBLANK('2025'!$Q158), 0, 1), 4, if(ISBLANK('2025'!$R158), 0, 1), 5, if(ISBLANK('2025'!$S158), 0, 1), 6, if(ISBLANK('2025'!$T158), 0, 1), 7, 0))), 1, "")</f>
        <v/>
      </c>
      <c r="AW160" s="1" t="str">
        <f>IF(AND(AND(AND(AW$4&gt;='2025'!$L158,AW$4&lt;='2025'!$M158), AW$4&lt;&gt;DATE(2025,7,4)), (SWITCH(weekday(AW$4), 1, 0, 2, if(ISBLANK('2025'!$P158), 0, 1), 3, if(ISBLANK('2025'!$Q158), 0, 1), 4, if(ISBLANK('2025'!$R158), 0, 1), 5, if(ISBLANK('2025'!$S158), 0, 1), 6, if(ISBLANK('2025'!$T158), 0, 1), 7, 0))), 1, "")</f>
        <v/>
      </c>
      <c r="AX160" s="1" t="str">
        <f>IF(AND(AND(AND(AX$4&gt;='2025'!$L158,AX$4&lt;='2025'!$M158), AX$4&lt;&gt;DATE(2025,7,4)), (SWITCH(weekday(AX$4), 1, 0, 2, if(ISBLANK('2025'!$P158), 0, 1), 3, if(ISBLANK('2025'!$Q158), 0, 1), 4, if(ISBLANK('2025'!$R158), 0, 1), 5, if(ISBLANK('2025'!$S158), 0, 1), 6, if(ISBLANK('2025'!$T158), 0, 1), 7, 0))), 1, "")</f>
        <v/>
      </c>
      <c r="AY160" s="1" t="str">
        <f>IF(AND(AND(AND(AY$4&gt;='2025'!$L158,AY$4&lt;='2025'!$M158), AY$4&lt;&gt;DATE(2025,7,4)), (SWITCH(weekday(AY$4), 1, 0, 2, if(ISBLANK('2025'!$P158), 0, 1), 3, if(ISBLANK('2025'!$Q158), 0, 1), 4, if(ISBLANK('2025'!$R158), 0, 1), 5, if(ISBLANK('2025'!$S158), 0, 1), 6, if(ISBLANK('2025'!$T158), 0, 1), 7, 0))), 1, "")</f>
        <v/>
      </c>
      <c r="AZ160" s="1" t="str">
        <f>IF(AND(AND(AND(AZ$4&gt;='2025'!$L158,AZ$4&lt;='2025'!$M158), AZ$4&lt;&gt;DATE(2025,7,4)), (SWITCH(weekday(AZ$4), 1, 0, 2, if(ISBLANK('2025'!$P158), 0, 1), 3, if(ISBLANK('2025'!$Q158), 0, 1), 4, if(ISBLANK('2025'!$R158), 0, 1), 5, if(ISBLANK('2025'!$S158), 0, 1), 6, if(ISBLANK('2025'!$T158), 0, 1), 7, 0))), 1, "")</f>
        <v/>
      </c>
      <c r="BA160" s="1" t="str">
        <f>IF(AND(AND(AND(BA$4&gt;='2025'!$L158,BA$4&lt;='2025'!$M158), BA$4&lt;&gt;DATE(2025,7,4)), (SWITCH(weekday(BA$4), 1, 0, 2, if(ISBLANK('2025'!$P158), 0, 1), 3, if(ISBLANK('2025'!$Q158), 0, 1), 4, if(ISBLANK('2025'!$R158), 0, 1), 5, if(ISBLANK('2025'!$S158), 0, 1), 6, if(ISBLANK('2025'!$T158), 0, 1), 7, 0))), 1, "")</f>
        <v/>
      </c>
      <c r="BB160" s="1" t="str">
        <f>IF(AND(AND(AND(BB$4&gt;='2025'!$L158,BB$4&lt;='2025'!$M158), BB$4&lt;&gt;DATE(2025,7,4)), (SWITCH(weekday(BB$4), 1, 0, 2, if(ISBLANK('2025'!$P158), 0, 1), 3, if(ISBLANK('2025'!$Q158), 0, 1), 4, if(ISBLANK('2025'!$R158), 0, 1), 5, if(ISBLANK('2025'!$S158), 0, 1), 6, if(ISBLANK('2025'!$T158), 0, 1), 7, 0))), 1, "")</f>
        <v/>
      </c>
      <c r="BC160" s="1" t="str">
        <f>IF(AND(AND(AND(BC$4&gt;='2025'!$L158,BC$4&lt;='2025'!$M158), BC$4&lt;&gt;DATE(2025,7,4)), (SWITCH(weekday(BC$4), 1, 0, 2, if(ISBLANK('2025'!$P158), 0, 1), 3, if(ISBLANK('2025'!$Q158), 0, 1), 4, if(ISBLANK('2025'!$R158), 0, 1), 5, if(ISBLANK('2025'!$S158), 0, 1), 6, if(ISBLANK('2025'!$T158), 0, 1), 7, 0))), 1, "")</f>
        <v/>
      </c>
      <c r="BD160" s="1" t="str">
        <f>IF(AND(AND(AND(BD$4&gt;='2025'!$L158,BD$4&lt;='2025'!$M158), BD$4&lt;&gt;DATE(2025,7,4)), (SWITCH(weekday(BD$4), 1, 0, 2, if(ISBLANK('2025'!$P158), 0, 1), 3, if(ISBLANK('2025'!$Q158), 0, 1), 4, if(ISBLANK('2025'!$R158), 0, 1), 5, if(ISBLANK('2025'!$S158), 0, 1), 6, if(ISBLANK('2025'!$T158), 0, 1), 7, 0))), 1, "")</f>
        <v/>
      </c>
      <c r="BE160" s="1" t="str">
        <f>IF(AND(AND(AND(BE$4&gt;='2025'!$L158,BE$4&lt;='2025'!$M158), BE$4&lt;&gt;DATE(2025,7,4)), (SWITCH(weekday(BE$4), 1, 0, 2, if(ISBLANK('2025'!$P158), 0, 1), 3, if(ISBLANK('2025'!$Q158), 0, 1), 4, if(ISBLANK('2025'!$R158), 0, 1), 5, if(ISBLANK('2025'!$S158), 0, 1), 6, if(ISBLANK('2025'!$T158), 0, 1), 7, 0))), 1, "")</f>
        <v/>
      </c>
      <c r="BF160" s="1" t="str">
        <f>IF(AND(AND(AND(BF$4&gt;='2025'!$L158,BF$4&lt;='2025'!$M158), BF$4&lt;&gt;DATE(2025,7,4)), (SWITCH(weekday(BF$4), 1, 0, 2, if(ISBLANK('2025'!$P158), 0, 1), 3, if(ISBLANK('2025'!$Q158), 0, 1), 4, if(ISBLANK('2025'!$R158), 0, 1), 5, if(ISBLANK('2025'!$S158), 0, 1), 6, if(ISBLANK('2025'!$T158), 0, 1), 7, 0))), 1, "")</f>
        <v/>
      </c>
      <c r="BG160" s="1"/>
      <c r="BH160" s="1"/>
      <c r="BI160" s="1"/>
      <c r="BJ160" s="1"/>
      <c r="BK160" s="1"/>
      <c r="BL160" s="1"/>
    </row>
    <row r="161">
      <c r="A161" s="1">
        <f t="shared" si="3"/>
        <v>161</v>
      </c>
      <c r="B161" s="1" t="str">
        <f>'2025'!D125</f>
        <v>, </v>
      </c>
      <c r="C161" s="1" t="str">
        <f>'2025'!H125</f>
        <v/>
      </c>
      <c r="D161" s="1" t="str">
        <f>IF(AND(AND(AND(D$4&gt;='2025'!$L159,D$4&lt;='2025'!$M159), D$4&lt;&gt;DATE(2025,7,4)), (SWITCH(weekday(D$4), 1, 0, 2, if(ISBLANK('2025'!$P159), 0, 1), 3, if(ISBLANK('2025'!$Q159), 0, 1), 4, if(ISBLANK('2025'!$R159), 0, 1), 5, if(ISBLANK('2025'!$S159), 0, 1), 6, if(ISBLANK('2025'!$T159), 0, 1), 7, 0))), 1, "")</f>
        <v/>
      </c>
      <c r="E161" s="1" t="str">
        <f>IF(AND(AND(AND(E$4&gt;='2025'!$L159,E$4&lt;='2025'!$M159), E$4&lt;&gt;DATE(2025,7,4)), (SWITCH(weekday(E$4), 1, 0, 2, if(ISBLANK('2025'!$P159), 0, 1), 3, if(ISBLANK('2025'!$Q159), 0, 1), 4, if(ISBLANK('2025'!$R159), 0, 1), 5, if(ISBLANK('2025'!$S159), 0, 1), 6, if(ISBLANK('2025'!$T159), 0, 1), 7, 0))), 1, "")</f>
        <v/>
      </c>
      <c r="F161" s="1" t="str">
        <f>IF(AND(AND(AND(F$4&gt;='2025'!$L159,F$4&lt;='2025'!$M159), F$4&lt;&gt;DATE(2025,7,4)), (SWITCH(weekday(F$4), 1, 0, 2, if(ISBLANK('2025'!$P159), 0, 1), 3, if(ISBLANK('2025'!$Q159), 0, 1), 4, if(ISBLANK('2025'!$R159), 0, 1), 5, if(ISBLANK('2025'!$S159), 0, 1), 6, if(ISBLANK('2025'!$T159), 0, 1), 7, 0))), 1, "")</f>
        <v/>
      </c>
      <c r="G161" s="1" t="str">
        <f>IF(AND(AND(AND(G$4&gt;='2025'!$L159,G$4&lt;='2025'!$M159), G$4&lt;&gt;DATE(2025,7,4)), (SWITCH(weekday(G$4), 1, 0, 2, if(ISBLANK('2025'!$P159), 0, 1), 3, if(ISBLANK('2025'!$Q159), 0, 1), 4, if(ISBLANK('2025'!$R159), 0, 1), 5, if(ISBLANK('2025'!$S159), 0, 1), 6, if(ISBLANK('2025'!$T159), 0, 1), 7, 0))), 1, "")</f>
        <v/>
      </c>
      <c r="H161" s="1" t="str">
        <f>IF(AND(AND(AND(H$4&gt;='2025'!$L159,H$4&lt;='2025'!$M159), H$4&lt;&gt;DATE(2025,7,4)), (SWITCH(weekday(H$4), 1, 0, 2, if(ISBLANK('2025'!$P159), 0, 1), 3, if(ISBLANK('2025'!$Q159), 0, 1), 4, if(ISBLANK('2025'!$R159), 0, 1), 5, if(ISBLANK('2025'!$S159), 0, 1), 6, if(ISBLANK('2025'!$T159), 0, 1), 7, 0))), 1, "")</f>
        <v/>
      </c>
      <c r="I161" s="1" t="str">
        <f>IF(AND(AND(AND(I$4&gt;='2025'!$L159,I$4&lt;='2025'!$M159), I$4&lt;&gt;DATE(2025,7,4)), (SWITCH(weekday(I$4), 1, 0, 2, if(ISBLANK('2025'!$P159), 0, 1), 3, if(ISBLANK('2025'!$Q159), 0, 1), 4, if(ISBLANK('2025'!$R159), 0, 1), 5, if(ISBLANK('2025'!$S159), 0, 1), 6, if(ISBLANK('2025'!$T159), 0, 1), 7, 0))), 1, "")</f>
        <v/>
      </c>
      <c r="J161" s="1" t="str">
        <f>IF(AND(AND(AND(J$4&gt;='2025'!$L159,J$4&lt;='2025'!$M159), J$4&lt;&gt;DATE(2025,7,4)), (SWITCH(weekday(J$4), 1, 0, 2, if(ISBLANK('2025'!$P159), 0, 1), 3, if(ISBLANK('2025'!$Q159), 0, 1), 4, if(ISBLANK('2025'!$R159), 0, 1), 5, if(ISBLANK('2025'!$S159), 0, 1), 6, if(ISBLANK('2025'!$T159), 0, 1), 7, 0))), 1, "")</f>
        <v/>
      </c>
      <c r="K161" s="1" t="str">
        <f>IF(AND(AND(AND(K$4&gt;='2025'!$L159,K$4&lt;='2025'!$M159), K$4&lt;&gt;DATE(2025,7,4)), (SWITCH(weekday(K$4), 1, 0, 2, if(ISBLANK('2025'!$P159), 0, 1), 3, if(ISBLANK('2025'!$Q159), 0, 1), 4, if(ISBLANK('2025'!$R159), 0, 1), 5, if(ISBLANK('2025'!$S159), 0, 1), 6, if(ISBLANK('2025'!$T159), 0, 1), 7, 0))), 1, "")</f>
        <v/>
      </c>
      <c r="L161" s="1" t="str">
        <f>IF(AND(AND(AND(L$4&gt;='2025'!$L159,L$4&lt;='2025'!$M159), L$4&lt;&gt;DATE(2025,7,4)), (SWITCH(weekday(L$4), 1, 0, 2, if(ISBLANK('2025'!$P159), 0, 1), 3, if(ISBLANK('2025'!$Q159), 0, 1), 4, if(ISBLANK('2025'!$R159), 0, 1), 5, if(ISBLANK('2025'!$S159), 0, 1), 6, if(ISBLANK('2025'!$T159), 0, 1), 7, 0))), 1, "")</f>
        <v/>
      </c>
      <c r="M161" s="1" t="str">
        <f>IF(AND(AND(AND(M$4&gt;='2025'!$L159,M$4&lt;='2025'!$M159), M$4&lt;&gt;DATE(2025,7,4)), (SWITCH(weekday(M$4), 1, 0, 2, if(ISBLANK('2025'!$P159), 0, 1), 3, if(ISBLANK('2025'!$Q159), 0, 1), 4, if(ISBLANK('2025'!$R159), 0, 1), 5, if(ISBLANK('2025'!$S159), 0, 1), 6, if(ISBLANK('2025'!$T159), 0, 1), 7, 0))), 1, "")</f>
        <v/>
      </c>
      <c r="N161" s="1" t="str">
        <f>IF(AND(AND(AND(N$4&gt;='2025'!$L159,N$4&lt;='2025'!$M159), N$4&lt;&gt;DATE(2025,7,4)), (SWITCH(weekday(N$4), 1, 0, 2, if(ISBLANK('2025'!$P159), 0, 1), 3, if(ISBLANK('2025'!$Q159), 0, 1), 4, if(ISBLANK('2025'!$R159), 0, 1), 5, if(ISBLANK('2025'!$S159), 0, 1), 6, if(ISBLANK('2025'!$T159), 0, 1), 7, 0))), 1, "")</f>
        <v/>
      </c>
      <c r="O161" s="1" t="str">
        <f>IF(AND(AND(AND(O$4&gt;='2025'!$L159,O$4&lt;='2025'!$M159), O$4&lt;&gt;DATE(2025,7,4)), (SWITCH(weekday(O$4), 1, 0, 2, if(ISBLANK('2025'!$P159), 0, 1), 3, if(ISBLANK('2025'!$Q159), 0, 1), 4, if(ISBLANK('2025'!$R159), 0, 1), 5, if(ISBLANK('2025'!$S159), 0, 1), 6, if(ISBLANK('2025'!$T159), 0, 1), 7, 0))), 1, "")</f>
        <v/>
      </c>
      <c r="P161" s="1" t="str">
        <f>IF(AND(AND(AND(P$4&gt;='2025'!$L159,P$4&lt;='2025'!$M159), P$4&lt;&gt;DATE(2025,7,4)), (SWITCH(weekday(P$4), 1, 0, 2, if(ISBLANK('2025'!$P159), 0, 1), 3, if(ISBLANK('2025'!$Q159), 0, 1), 4, if(ISBLANK('2025'!$R159), 0, 1), 5, if(ISBLANK('2025'!$S159), 0, 1), 6, if(ISBLANK('2025'!$T159), 0, 1), 7, 0))), 1, "")</f>
        <v/>
      </c>
      <c r="Q161" s="1" t="str">
        <f>IF(AND(AND(AND(Q$4&gt;='2025'!$L159,Q$4&lt;='2025'!$M159), Q$4&lt;&gt;DATE(2025,7,4)), (SWITCH(weekday(Q$4), 1, 0, 2, if(ISBLANK('2025'!$P159), 0, 1), 3, if(ISBLANK('2025'!$Q159), 0, 1), 4, if(ISBLANK('2025'!$R159), 0, 1), 5, if(ISBLANK('2025'!$S159), 0, 1), 6, if(ISBLANK('2025'!$T159), 0, 1), 7, 0))), 1, "")</f>
        <v/>
      </c>
      <c r="R161" s="1" t="str">
        <f>IF(AND(AND(AND(R$4&gt;='2025'!$L159,R$4&lt;='2025'!$M159), R$4&lt;&gt;DATE(2025,7,4)), (SWITCH(weekday(R$4), 1, 0, 2, if(ISBLANK('2025'!$P159), 0, 1), 3, if(ISBLANK('2025'!$Q159), 0, 1), 4, if(ISBLANK('2025'!$R159), 0, 1), 5, if(ISBLANK('2025'!$S159), 0, 1), 6, if(ISBLANK('2025'!$T159), 0, 1), 7, 0))), 1, "")</f>
        <v/>
      </c>
      <c r="S161" s="1" t="str">
        <f>IF(AND(AND(AND(S$4&gt;='2025'!$L159,S$4&lt;='2025'!$M159), S$4&lt;&gt;DATE(2025,7,4)), (SWITCH(weekday(S$4), 1, 0, 2, if(ISBLANK('2025'!$P159), 0, 1), 3, if(ISBLANK('2025'!$Q159), 0, 1), 4, if(ISBLANK('2025'!$R159), 0, 1), 5, if(ISBLANK('2025'!$S159), 0, 1), 6, if(ISBLANK('2025'!$T159), 0, 1), 7, 0))), 1, "")</f>
        <v/>
      </c>
      <c r="T161" s="1" t="str">
        <f>IF(AND(AND(AND(T$4&gt;='2025'!$L159,T$4&lt;='2025'!$M159), T$4&lt;&gt;DATE(2025,7,4)), (SWITCH(weekday(T$4), 1, 0, 2, if(ISBLANK('2025'!$P159), 0, 1), 3, if(ISBLANK('2025'!$Q159), 0, 1), 4, if(ISBLANK('2025'!$R159), 0, 1), 5, if(ISBLANK('2025'!$S159), 0, 1), 6, if(ISBLANK('2025'!$T159), 0, 1), 7, 0))), 1, "")</f>
        <v/>
      </c>
      <c r="U161" s="1" t="str">
        <f>IF(AND(AND(AND(U$4&gt;='2025'!$L159,U$4&lt;='2025'!$M159), U$4&lt;&gt;DATE(2025,7,4)), (SWITCH(weekday(U$4), 1, 0, 2, if(ISBLANK('2025'!$P159), 0, 1), 3, if(ISBLANK('2025'!$Q159), 0, 1), 4, if(ISBLANK('2025'!$R159), 0, 1), 5, if(ISBLANK('2025'!$S159), 0, 1), 6, if(ISBLANK('2025'!$T159), 0, 1), 7, 0))), 1, "")</f>
        <v/>
      </c>
      <c r="V161" s="1" t="str">
        <f>IF(AND(AND(AND(V$4&gt;='2025'!$L159,V$4&lt;='2025'!$M159), V$4&lt;&gt;DATE(2025,7,4)), (SWITCH(weekday(V$4), 1, 0, 2, if(ISBLANK('2025'!$P159), 0, 1), 3, if(ISBLANK('2025'!$Q159), 0, 1), 4, if(ISBLANK('2025'!$R159), 0, 1), 5, if(ISBLANK('2025'!$S159), 0, 1), 6, if(ISBLANK('2025'!$T159), 0, 1), 7, 0))), 1, "")</f>
        <v/>
      </c>
      <c r="W161" s="1" t="str">
        <f>IF(AND(AND(AND(W$4&gt;='2025'!$L159,W$4&lt;='2025'!$M159), W$4&lt;&gt;DATE(2025,7,4)), (SWITCH(weekday(W$4), 1, 0, 2, if(ISBLANK('2025'!$P159), 0, 1), 3, if(ISBLANK('2025'!$Q159), 0, 1), 4, if(ISBLANK('2025'!$R159), 0, 1), 5, if(ISBLANK('2025'!$S159), 0, 1), 6, if(ISBLANK('2025'!$T159), 0, 1), 7, 0))), 1, "")</f>
        <v/>
      </c>
      <c r="X161" s="1" t="str">
        <f>IF(AND(AND(AND(X$4&gt;='2025'!$L159,X$4&lt;='2025'!$M159), X$4&lt;&gt;DATE(2025,7,4)), (SWITCH(weekday(X$4), 1, 0, 2, if(ISBLANK('2025'!$P159), 0, 1), 3, if(ISBLANK('2025'!$Q159), 0, 1), 4, if(ISBLANK('2025'!$R159), 0, 1), 5, if(ISBLANK('2025'!$S159), 0, 1), 6, if(ISBLANK('2025'!$T159), 0, 1), 7, 0))), 1, "")</f>
        <v/>
      </c>
      <c r="Y161" s="1" t="str">
        <f>IF(AND(AND(AND(Y$4&gt;='2025'!$L159,Y$4&lt;='2025'!$M159), Y$4&lt;&gt;DATE(2025,7,4)), (SWITCH(weekday(Y$4), 1, 0, 2, if(ISBLANK('2025'!$P159), 0, 1), 3, if(ISBLANK('2025'!$Q159), 0, 1), 4, if(ISBLANK('2025'!$R159), 0, 1), 5, if(ISBLANK('2025'!$S159), 0, 1), 6, if(ISBLANK('2025'!$T159), 0, 1), 7, 0))), 1, "")</f>
        <v/>
      </c>
      <c r="Z161" s="1" t="str">
        <f>IF(AND(AND(AND(Z$4&gt;='2025'!$L159,Z$4&lt;='2025'!$M159), Z$4&lt;&gt;DATE(2025,7,4)), (SWITCH(weekday(Z$4), 1, 0, 2, if(ISBLANK('2025'!$P159), 0, 1), 3, if(ISBLANK('2025'!$Q159), 0, 1), 4, if(ISBLANK('2025'!$R159), 0, 1), 5, if(ISBLANK('2025'!$S159), 0, 1), 6, if(ISBLANK('2025'!$T159), 0, 1), 7, 0))), 1, "")</f>
        <v/>
      </c>
      <c r="AA161" s="1" t="str">
        <f>IF(AND(AND(AND(AA$4&gt;='2025'!$L159,AA$4&lt;='2025'!$M159), AA$4&lt;&gt;DATE(2025,7,4)), (SWITCH(weekday(AA$4), 1, 0, 2, if(ISBLANK('2025'!$P159), 0, 1), 3, if(ISBLANK('2025'!$Q159), 0, 1), 4, if(ISBLANK('2025'!$R159), 0, 1), 5, if(ISBLANK('2025'!$S159), 0, 1), 6, if(ISBLANK('2025'!$T159), 0, 1), 7, 0))), 1, "")</f>
        <v/>
      </c>
      <c r="AB161" s="1" t="str">
        <f>IF(AND(AND(AND(AB$4&gt;='2025'!$L159,AB$4&lt;='2025'!$M159), AB$4&lt;&gt;DATE(2025,7,4)), (SWITCH(weekday(AB$4), 1, 0, 2, if(ISBLANK('2025'!$P159), 0, 1), 3, if(ISBLANK('2025'!$Q159), 0, 1), 4, if(ISBLANK('2025'!$R159), 0, 1), 5, if(ISBLANK('2025'!$S159), 0, 1), 6, if(ISBLANK('2025'!$T159), 0, 1), 7, 0))), 1, "")</f>
        <v/>
      </c>
      <c r="AC161" s="1" t="str">
        <f>IF(AND(AND(AND(AC$4&gt;='2025'!$L159,AC$4&lt;='2025'!$M159), AC$4&lt;&gt;DATE(2025,7,4)), (SWITCH(weekday(AC$4), 1, 0, 2, if(ISBLANK('2025'!$P159), 0, 1), 3, if(ISBLANK('2025'!$Q159), 0, 1), 4, if(ISBLANK('2025'!$R159), 0, 1), 5, if(ISBLANK('2025'!$S159), 0, 1), 6, if(ISBLANK('2025'!$T159), 0, 1), 7, 0))), 1, "")</f>
        <v/>
      </c>
      <c r="AD161" s="1" t="str">
        <f>IF(AND(AND(AND(AD$4&gt;='2025'!$L159,AD$4&lt;='2025'!$M159), AD$4&lt;&gt;DATE(2025,7,4)), (SWITCH(weekday(AD$4), 1, 0, 2, if(ISBLANK('2025'!$P159), 0, 1), 3, if(ISBLANK('2025'!$Q159), 0, 1), 4, if(ISBLANK('2025'!$R159), 0, 1), 5, if(ISBLANK('2025'!$S159), 0, 1), 6, if(ISBLANK('2025'!$T159), 0, 1), 7, 0))), 1, "")</f>
        <v/>
      </c>
      <c r="AE161" s="1" t="str">
        <f>IF(AND(AND(AND(AE$4&gt;='2025'!$L159,AE$4&lt;='2025'!$M159), AE$4&lt;&gt;DATE(2025,7,4)), (SWITCH(weekday(AE$4), 1, 0, 2, if(ISBLANK('2025'!$P159), 0, 1), 3, if(ISBLANK('2025'!$Q159), 0, 1), 4, if(ISBLANK('2025'!$R159), 0, 1), 5, if(ISBLANK('2025'!$S159), 0, 1), 6, if(ISBLANK('2025'!$T159), 0, 1), 7, 0))), 1, "")</f>
        <v/>
      </c>
      <c r="AF161" s="1" t="str">
        <f>IF(AND(AND(AND(AF$4&gt;='2025'!$L159,AF$4&lt;='2025'!$M159), AF$4&lt;&gt;DATE(2025,7,4)), (SWITCH(weekday(AF$4), 1, 0, 2, if(ISBLANK('2025'!$P159), 0, 1), 3, if(ISBLANK('2025'!$Q159), 0, 1), 4, if(ISBLANK('2025'!$R159), 0, 1), 5, if(ISBLANK('2025'!$S159), 0, 1), 6, if(ISBLANK('2025'!$T159), 0, 1), 7, 0))), 1, "")</f>
        <v/>
      </c>
      <c r="AG161" s="1" t="str">
        <f>IF(AND(AND(AND(AG$4&gt;='2025'!$L159,AG$4&lt;='2025'!$M159), AG$4&lt;&gt;DATE(2025,7,4)), (SWITCH(weekday(AG$4), 1, 0, 2, if(ISBLANK('2025'!$P159), 0, 1), 3, if(ISBLANK('2025'!$Q159), 0, 1), 4, if(ISBLANK('2025'!$R159), 0, 1), 5, if(ISBLANK('2025'!$S159), 0, 1), 6, if(ISBLANK('2025'!$T159), 0, 1), 7, 0))), 1, "")</f>
        <v/>
      </c>
      <c r="AH161" s="1" t="str">
        <f>IF(AND(AND(AND(AH$4&gt;='2025'!$L159,AH$4&lt;='2025'!$M159), AH$4&lt;&gt;DATE(2025,7,4)), (SWITCH(weekday(AH$4), 1, 0, 2, if(ISBLANK('2025'!$P159), 0, 1), 3, if(ISBLANK('2025'!$Q159), 0, 1), 4, if(ISBLANK('2025'!$R159), 0, 1), 5, if(ISBLANK('2025'!$S159), 0, 1), 6, if(ISBLANK('2025'!$T159), 0, 1), 7, 0))), 1, "")</f>
        <v/>
      </c>
      <c r="AI161" s="1" t="str">
        <f>IF(AND(AND(AND(AI$4&gt;='2025'!$L159,AI$4&lt;='2025'!$M159), AI$4&lt;&gt;DATE(2025,7,4)), (SWITCH(weekday(AI$4), 1, 0, 2, if(ISBLANK('2025'!$P159), 0, 1), 3, if(ISBLANK('2025'!$Q159), 0, 1), 4, if(ISBLANK('2025'!$R159), 0, 1), 5, if(ISBLANK('2025'!$S159), 0, 1), 6, if(ISBLANK('2025'!$T159), 0, 1), 7, 0))), 1, "")</f>
        <v/>
      </c>
      <c r="AJ161" s="1" t="str">
        <f>IF(AND(AND(AND(AJ$4&gt;='2025'!$L159,AJ$4&lt;='2025'!$M159), AJ$4&lt;&gt;DATE(2025,7,4)), (SWITCH(weekday(AJ$4), 1, 0, 2, if(ISBLANK('2025'!$P159), 0, 1), 3, if(ISBLANK('2025'!$Q159), 0, 1), 4, if(ISBLANK('2025'!$R159), 0, 1), 5, if(ISBLANK('2025'!$S159), 0, 1), 6, if(ISBLANK('2025'!$T159), 0, 1), 7, 0))), 1, "")</f>
        <v/>
      </c>
      <c r="AK161" s="1" t="str">
        <f>IF(AND(AND(AND(AK$4&gt;='2025'!$L159,AK$4&lt;='2025'!$M159), AK$4&lt;&gt;DATE(2025,7,4)), (SWITCH(weekday(AK$4), 1, 0, 2, if(ISBLANK('2025'!$P159), 0, 1), 3, if(ISBLANK('2025'!$Q159), 0, 1), 4, if(ISBLANK('2025'!$R159), 0, 1), 5, if(ISBLANK('2025'!$S159), 0, 1), 6, if(ISBLANK('2025'!$T159), 0, 1), 7, 0))), 1, "")</f>
        <v/>
      </c>
      <c r="AL161" s="1" t="str">
        <f>IF(AND(AND(AND(AL$4&gt;='2025'!$L159,AL$4&lt;='2025'!$M159), AL$4&lt;&gt;DATE(2025,7,4)), (SWITCH(weekday(AL$4), 1, 0, 2, if(ISBLANK('2025'!$P159), 0, 1), 3, if(ISBLANK('2025'!$Q159), 0, 1), 4, if(ISBLANK('2025'!$R159), 0, 1), 5, if(ISBLANK('2025'!$S159), 0, 1), 6, if(ISBLANK('2025'!$T159), 0, 1), 7, 0))), 1, "")</f>
        <v/>
      </c>
      <c r="AM161" s="1" t="str">
        <f>IF(AND(AND(AND(AM$4&gt;='2025'!$L159,AM$4&lt;='2025'!$M159), AM$4&lt;&gt;DATE(2025,7,4)), (SWITCH(weekday(AM$4), 1, 0, 2, if(ISBLANK('2025'!$P159), 0, 1), 3, if(ISBLANK('2025'!$Q159), 0, 1), 4, if(ISBLANK('2025'!$R159), 0, 1), 5, if(ISBLANK('2025'!$S159), 0, 1), 6, if(ISBLANK('2025'!$T159), 0, 1), 7, 0))), 1, "")</f>
        <v/>
      </c>
      <c r="AN161" s="1" t="str">
        <f>IF(AND(AND(AND(AN$4&gt;='2025'!$L159,AN$4&lt;='2025'!$M159), AN$4&lt;&gt;DATE(2025,7,4)), (SWITCH(weekday(AN$4), 1, 0, 2, if(ISBLANK('2025'!$P159), 0, 1), 3, if(ISBLANK('2025'!$Q159), 0, 1), 4, if(ISBLANK('2025'!$R159), 0, 1), 5, if(ISBLANK('2025'!$S159), 0, 1), 6, if(ISBLANK('2025'!$T159), 0, 1), 7, 0))), 1, "")</f>
        <v/>
      </c>
      <c r="AO161" s="1" t="str">
        <f>IF(AND(AND(AND(AO$4&gt;='2025'!$L159,AO$4&lt;='2025'!$M159), AO$4&lt;&gt;DATE(2025,7,4)), (SWITCH(weekday(AO$4), 1, 0, 2, if(ISBLANK('2025'!$P159), 0, 1), 3, if(ISBLANK('2025'!$Q159), 0, 1), 4, if(ISBLANK('2025'!$R159), 0, 1), 5, if(ISBLANK('2025'!$S159), 0, 1), 6, if(ISBLANK('2025'!$T159), 0, 1), 7, 0))), 1, "")</f>
        <v/>
      </c>
      <c r="AP161" s="1" t="str">
        <f>IF(AND(AND(AND(AP$4&gt;='2025'!$L159,AP$4&lt;='2025'!$M159), AP$4&lt;&gt;DATE(2025,7,4)), (SWITCH(weekday(AP$4), 1, 0, 2, if(ISBLANK('2025'!$P159), 0, 1), 3, if(ISBLANK('2025'!$Q159), 0, 1), 4, if(ISBLANK('2025'!$R159), 0, 1), 5, if(ISBLANK('2025'!$S159), 0, 1), 6, if(ISBLANK('2025'!$T159), 0, 1), 7, 0))), 1, "")</f>
        <v/>
      </c>
      <c r="AQ161" s="1" t="str">
        <f>IF(AND(AND(AND(AQ$4&gt;='2025'!$L159,AQ$4&lt;='2025'!$M159), AQ$4&lt;&gt;DATE(2025,7,4)), (SWITCH(weekday(AQ$4), 1, 0, 2, if(ISBLANK('2025'!$P159), 0, 1), 3, if(ISBLANK('2025'!$Q159), 0, 1), 4, if(ISBLANK('2025'!$R159), 0, 1), 5, if(ISBLANK('2025'!$S159), 0, 1), 6, if(ISBLANK('2025'!$T159), 0, 1), 7, 0))), 1, "")</f>
        <v/>
      </c>
      <c r="AR161" s="1" t="str">
        <f>IF(AND(AND(AND(AR$4&gt;='2025'!$L159,AR$4&lt;='2025'!$M159), AR$4&lt;&gt;DATE(2025,7,4)), (SWITCH(weekday(AR$4), 1, 0, 2, if(ISBLANK('2025'!$P159), 0, 1), 3, if(ISBLANK('2025'!$Q159), 0, 1), 4, if(ISBLANK('2025'!$R159), 0, 1), 5, if(ISBLANK('2025'!$S159), 0, 1), 6, if(ISBLANK('2025'!$T159), 0, 1), 7, 0))), 1, "")</f>
        <v/>
      </c>
      <c r="AS161" s="1" t="str">
        <f>IF(AND(AND(AND(AS$4&gt;='2025'!$L159,AS$4&lt;='2025'!$M159), AS$4&lt;&gt;DATE(2025,7,4)), (SWITCH(weekday(AS$4), 1, 0, 2, if(ISBLANK('2025'!$P159), 0, 1), 3, if(ISBLANK('2025'!$Q159), 0, 1), 4, if(ISBLANK('2025'!$R159), 0, 1), 5, if(ISBLANK('2025'!$S159), 0, 1), 6, if(ISBLANK('2025'!$T159), 0, 1), 7, 0))), 1, "")</f>
        <v/>
      </c>
      <c r="AT161" s="1" t="str">
        <f>IF(AND(AND(AND(AT$4&gt;='2025'!$L159,AT$4&lt;='2025'!$M159), AT$4&lt;&gt;DATE(2025,7,4)), (SWITCH(weekday(AT$4), 1, 0, 2, if(ISBLANK('2025'!$P159), 0, 1), 3, if(ISBLANK('2025'!$Q159), 0, 1), 4, if(ISBLANK('2025'!$R159), 0, 1), 5, if(ISBLANK('2025'!$S159), 0, 1), 6, if(ISBLANK('2025'!$T159), 0, 1), 7, 0))), 1, "")</f>
        <v/>
      </c>
      <c r="AU161" s="1" t="str">
        <f>IF(AND(AND(AND(AU$4&gt;='2025'!$L159,AU$4&lt;='2025'!$M159), AU$4&lt;&gt;DATE(2025,7,4)), (SWITCH(weekday(AU$4), 1, 0, 2, if(ISBLANK('2025'!$P159), 0, 1), 3, if(ISBLANK('2025'!$Q159), 0, 1), 4, if(ISBLANK('2025'!$R159), 0, 1), 5, if(ISBLANK('2025'!$S159), 0, 1), 6, if(ISBLANK('2025'!$T159), 0, 1), 7, 0))), 1, "")</f>
        <v/>
      </c>
      <c r="AV161" s="1" t="str">
        <f>IF(AND(AND(AND(AV$4&gt;='2025'!$L159,AV$4&lt;='2025'!$M159), AV$4&lt;&gt;DATE(2025,7,4)), (SWITCH(weekday(AV$4), 1, 0, 2, if(ISBLANK('2025'!$P159), 0, 1), 3, if(ISBLANK('2025'!$Q159), 0, 1), 4, if(ISBLANK('2025'!$R159), 0, 1), 5, if(ISBLANK('2025'!$S159), 0, 1), 6, if(ISBLANK('2025'!$T159), 0, 1), 7, 0))), 1, "")</f>
        <v/>
      </c>
      <c r="AW161" s="1" t="str">
        <f>IF(AND(AND(AND(AW$4&gt;='2025'!$L159,AW$4&lt;='2025'!$M159), AW$4&lt;&gt;DATE(2025,7,4)), (SWITCH(weekday(AW$4), 1, 0, 2, if(ISBLANK('2025'!$P159), 0, 1), 3, if(ISBLANK('2025'!$Q159), 0, 1), 4, if(ISBLANK('2025'!$R159), 0, 1), 5, if(ISBLANK('2025'!$S159), 0, 1), 6, if(ISBLANK('2025'!$T159), 0, 1), 7, 0))), 1, "")</f>
        <v/>
      </c>
      <c r="AX161" s="1" t="str">
        <f>IF(AND(AND(AND(AX$4&gt;='2025'!$L159,AX$4&lt;='2025'!$M159), AX$4&lt;&gt;DATE(2025,7,4)), (SWITCH(weekday(AX$4), 1, 0, 2, if(ISBLANK('2025'!$P159), 0, 1), 3, if(ISBLANK('2025'!$Q159), 0, 1), 4, if(ISBLANK('2025'!$R159), 0, 1), 5, if(ISBLANK('2025'!$S159), 0, 1), 6, if(ISBLANK('2025'!$T159), 0, 1), 7, 0))), 1, "")</f>
        <v/>
      </c>
      <c r="AY161" s="1" t="str">
        <f>IF(AND(AND(AND(AY$4&gt;='2025'!$L159,AY$4&lt;='2025'!$M159), AY$4&lt;&gt;DATE(2025,7,4)), (SWITCH(weekday(AY$4), 1, 0, 2, if(ISBLANK('2025'!$P159), 0, 1), 3, if(ISBLANK('2025'!$Q159), 0, 1), 4, if(ISBLANK('2025'!$R159), 0, 1), 5, if(ISBLANK('2025'!$S159), 0, 1), 6, if(ISBLANK('2025'!$T159), 0, 1), 7, 0))), 1, "")</f>
        <v/>
      </c>
      <c r="AZ161" s="1" t="str">
        <f>IF(AND(AND(AND(AZ$4&gt;='2025'!$L159,AZ$4&lt;='2025'!$M159), AZ$4&lt;&gt;DATE(2025,7,4)), (SWITCH(weekday(AZ$4), 1, 0, 2, if(ISBLANK('2025'!$P159), 0, 1), 3, if(ISBLANK('2025'!$Q159), 0, 1), 4, if(ISBLANK('2025'!$R159), 0, 1), 5, if(ISBLANK('2025'!$S159), 0, 1), 6, if(ISBLANK('2025'!$T159), 0, 1), 7, 0))), 1, "")</f>
        <v/>
      </c>
      <c r="BA161" s="1" t="str">
        <f>IF(AND(AND(AND(BA$4&gt;='2025'!$L159,BA$4&lt;='2025'!$M159), BA$4&lt;&gt;DATE(2025,7,4)), (SWITCH(weekday(BA$4), 1, 0, 2, if(ISBLANK('2025'!$P159), 0, 1), 3, if(ISBLANK('2025'!$Q159), 0, 1), 4, if(ISBLANK('2025'!$R159), 0, 1), 5, if(ISBLANK('2025'!$S159), 0, 1), 6, if(ISBLANK('2025'!$T159), 0, 1), 7, 0))), 1, "")</f>
        <v/>
      </c>
      <c r="BB161" s="1" t="str">
        <f>IF(AND(AND(AND(BB$4&gt;='2025'!$L159,BB$4&lt;='2025'!$M159), BB$4&lt;&gt;DATE(2025,7,4)), (SWITCH(weekday(BB$4), 1, 0, 2, if(ISBLANK('2025'!$P159), 0, 1), 3, if(ISBLANK('2025'!$Q159), 0, 1), 4, if(ISBLANK('2025'!$R159), 0, 1), 5, if(ISBLANK('2025'!$S159), 0, 1), 6, if(ISBLANK('2025'!$T159), 0, 1), 7, 0))), 1, "")</f>
        <v/>
      </c>
      <c r="BC161" s="1" t="str">
        <f>IF(AND(AND(AND(BC$4&gt;='2025'!$L159,BC$4&lt;='2025'!$M159), BC$4&lt;&gt;DATE(2025,7,4)), (SWITCH(weekday(BC$4), 1, 0, 2, if(ISBLANK('2025'!$P159), 0, 1), 3, if(ISBLANK('2025'!$Q159), 0, 1), 4, if(ISBLANK('2025'!$R159), 0, 1), 5, if(ISBLANK('2025'!$S159), 0, 1), 6, if(ISBLANK('2025'!$T159), 0, 1), 7, 0))), 1, "")</f>
        <v/>
      </c>
      <c r="BD161" s="1" t="str">
        <f>IF(AND(AND(AND(BD$4&gt;='2025'!$L159,BD$4&lt;='2025'!$M159), BD$4&lt;&gt;DATE(2025,7,4)), (SWITCH(weekday(BD$4), 1, 0, 2, if(ISBLANK('2025'!$P159), 0, 1), 3, if(ISBLANK('2025'!$Q159), 0, 1), 4, if(ISBLANK('2025'!$R159), 0, 1), 5, if(ISBLANK('2025'!$S159), 0, 1), 6, if(ISBLANK('2025'!$T159), 0, 1), 7, 0))), 1, "")</f>
        <v/>
      </c>
      <c r="BE161" s="1" t="str">
        <f>IF(AND(AND(AND(BE$4&gt;='2025'!$L159,BE$4&lt;='2025'!$M159), BE$4&lt;&gt;DATE(2025,7,4)), (SWITCH(weekday(BE$4), 1, 0, 2, if(ISBLANK('2025'!$P159), 0, 1), 3, if(ISBLANK('2025'!$Q159), 0, 1), 4, if(ISBLANK('2025'!$R159), 0, 1), 5, if(ISBLANK('2025'!$S159), 0, 1), 6, if(ISBLANK('2025'!$T159), 0, 1), 7, 0))), 1, "")</f>
        <v/>
      </c>
      <c r="BF161" s="1" t="str">
        <f>IF(AND(AND(AND(BF$4&gt;='2025'!$L159,BF$4&lt;='2025'!$M159), BF$4&lt;&gt;DATE(2025,7,4)), (SWITCH(weekday(BF$4), 1, 0, 2, if(ISBLANK('2025'!$P159), 0, 1), 3, if(ISBLANK('2025'!$Q159), 0, 1), 4, if(ISBLANK('2025'!$R159), 0, 1), 5, if(ISBLANK('2025'!$S159), 0, 1), 6, if(ISBLANK('2025'!$T159), 0, 1), 7, 0))), 1, "")</f>
        <v/>
      </c>
      <c r="BG161" s="1"/>
      <c r="BH161" s="1"/>
      <c r="BI161" s="1"/>
      <c r="BJ161" s="1"/>
      <c r="BK161" s="1"/>
      <c r="BL161" s="1"/>
    </row>
    <row r="162">
      <c r="A162" s="1">
        <f t="shared" si="3"/>
        <v>162</v>
      </c>
      <c r="B162" s="1" t="str">
        <f>'2025'!D126</f>
        <v>, </v>
      </c>
      <c r="C162" s="1" t="str">
        <f>'2025'!H126</f>
        <v/>
      </c>
      <c r="D162" s="1" t="str">
        <f>IF(AND(AND(AND(D$4&gt;='2025'!$L160,D$4&lt;='2025'!$M160), D$4&lt;&gt;DATE(2025,7,4)), (SWITCH(weekday(D$4), 1, 0, 2, if(ISBLANK('2025'!$P160), 0, 1), 3, if(ISBLANK('2025'!$Q160), 0, 1), 4, if(ISBLANK('2025'!$R160), 0, 1), 5, if(ISBLANK('2025'!$S160), 0, 1), 6, if(ISBLANK('2025'!$T160), 0, 1), 7, 0))), 1, "")</f>
        <v/>
      </c>
      <c r="E162" s="1" t="str">
        <f>IF(AND(AND(AND(E$4&gt;='2025'!$L160,E$4&lt;='2025'!$M160), E$4&lt;&gt;DATE(2025,7,4)), (SWITCH(weekday(E$4), 1, 0, 2, if(ISBLANK('2025'!$P160), 0, 1), 3, if(ISBLANK('2025'!$Q160), 0, 1), 4, if(ISBLANK('2025'!$R160), 0, 1), 5, if(ISBLANK('2025'!$S160), 0, 1), 6, if(ISBLANK('2025'!$T160), 0, 1), 7, 0))), 1, "")</f>
        <v/>
      </c>
      <c r="F162" s="1" t="str">
        <f>IF(AND(AND(AND(F$4&gt;='2025'!$L160,F$4&lt;='2025'!$M160), F$4&lt;&gt;DATE(2025,7,4)), (SWITCH(weekday(F$4), 1, 0, 2, if(ISBLANK('2025'!$P160), 0, 1), 3, if(ISBLANK('2025'!$Q160), 0, 1), 4, if(ISBLANK('2025'!$R160), 0, 1), 5, if(ISBLANK('2025'!$S160), 0, 1), 6, if(ISBLANK('2025'!$T160), 0, 1), 7, 0))), 1, "")</f>
        <v/>
      </c>
      <c r="G162" s="1" t="str">
        <f>IF(AND(AND(AND(G$4&gt;='2025'!$L160,G$4&lt;='2025'!$M160), G$4&lt;&gt;DATE(2025,7,4)), (SWITCH(weekday(G$4), 1, 0, 2, if(ISBLANK('2025'!$P160), 0, 1), 3, if(ISBLANK('2025'!$Q160), 0, 1), 4, if(ISBLANK('2025'!$R160), 0, 1), 5, if(ISBLANK('2025'!$S160), 0, 1), 6, if(ISBLANK('2025'!$T160), 0, 1), 7, 0))), 1, "")</f>
        <v/>
      </c>
      <c r="H162" s="1" t="str">
        <f>IF(AND(AND(AND(H$4&gt;='2025'!$L160,H$4&lt;='2025'!$M160), H$4&lt;&gt;DATE(2025,7,4)), (SWITCH(weekday(H$4), 1, 0, 2, if(ISBLANK('2025'!$P160), 0, 1), 3, if(ISBLANK('2025'!$Q160), 0, 1), 4, if(ISBLANK('2025'!$R160), 0, 1), 5, if(ISBLANK('2025'!$S160), 0, 1), 6, if(ISBLANK('2025'!$T160), 0, 1), 7, 0))), 1, "")</f>
        <v/>
      </c>
      <c r="I162" s="1" t="str">
        <f>IF(AND(AND(AND(I$4&gt;='2025'!$L160,I$4&lt;='2025'!$M160), I$4&lt;&gt;DATE(2025,7,4)), (SWITCH(weekday(I$4), 1, 0, 2, if(ISBLANK('2025'!$P160), 0, 1), 3, if(ISBLANK('2025'!$Q160), 0, 1), 4, if(ISBLANK('2025'!$R160), 0, 1), 5, if(ISBLANK('2025'!$S160), 0, 1), 6, if(ISBLANK('2025'!$T160), 0, 1), 7, 0))), 1, "")</f>
        <v/>
      </c>
      <c r="J162" s="1" t="str">
        <f>IF(AND(AND(AND(J$4&gt;='2025'!$L160,J$4&lt;='2025'!$M160), J$4&lt;&gt;DATE(2025,7,4)), (SWITCH(weekday(J$4), 1, 0, 2, if(ISBLANK('2025'!$P160), 0, 1), 3, if(ISBLANK('2025'!$Q160), 0, 1), 4, if(ISBLANK('2025'!$R160), 0, 1), 5, if(ISBLANK('2025'!$S160), 0, 1), 6, if(ISBLANK('2025'!$T160), 0, 1), 7, 0))), 1, "")</f>
        <v/>
      </c>
      <c r="K162" s="1" t="str">
        <f>IF(AND(AND(AND(K$4&gt;='2025'!$L160,K$4&lt;='2025'!$M160), K$4&lt;&gt;DATE(2025,7,4)), (SWITCH(weekday(K$4), 1, 0, 2, if(ISBLANK('2025'!$P160), 0, 1), 3, if(ISBLANK('2025'!$Q160), 0, 1), 4, if(ISBLANK('2025'!$R160), 0, 1), 5, if(ISBLANK('2025'!$S160), 0, 1), 6, if(ISBLANK('2025'!$T160), 0, 1), 7, 0))), 1, "")</f>
        <v/>
      </c>
      <c r="L162" s="1" t="str">
        <f>IF(AND(AND(AND(L$4&gt;='2025'!$L160,L$4&lt;='2025'!$M160), L$4&lt;&gt;DATE(2025,7,4)), (SWITCH(weekday(L$4), 1, 0, 2, if(ISBLANK('2025'!$P160), 0, 1), 3, if(ISBLANK('2025'!$Q160), 0, 1), 4, if(ISBLANK('2025'!$R160), 0, 1), 5, if(ISBLANK('2025'!$S160), 0, 1), 6, if(ISBLANK('2025'!$T160), 0, 1), 7, 0))), 1, "")</f>
        <v/>
      </c>
      <c r="M162" s="1" t="str">
        <f>IF(AND(AND(AND(M$4&gt;='2025'!$L160,M$4&lt;='2025'!$M160), M$4&lt;&gt;DATE(2025,7,4)), (SWITCH(weekday(M$4), 1, 0, 2, if(ISBLANK('2025'!$P160), 0, 1), 3, if(ISBLANK('2025'!$Q160), 0, 1), 4, if(ISBLANK('2025'!$R160), 0, 1), 5, if(ISBLANK('2025'!$S160), 0, 1), 6, if(ISBLANK('2025'!$T160), 0, 1), 7, 0))), 1, "")</f>
        <v/>
      </c>
      <c r="N162" s="1" t="str">
        <f>IF(AND(AND(AND(N$4&gt;='2025'!$L160,N$4&lt;='2025'!$M160), N$4&lt;&gt;DATE(2025,7,4)), (SWITCH(weekday(N$4), 1, 0, 2, if(ISBLANK('2025'!$P160), 0, 1), 3, if(ISBLANK('2025'!$Q160), 0, 1), 4, if(ISBLANK('2025'!$R160), 0, 1), 5, if(ISBLANK('2025'!$S160), 0, 1), 6, if(ISBLANK('2025'!$T160), 0, 1), 7, 0))), 1, "")</f>
        <v/>
      </c>
      <c r="O162" s="1" t="str">
        <f>IF(AND(AND(AND(O$4&gt;='2025'!$L160,O$4&lt;='2025'!$M160), O$4&lt;&gt;DATE(2025,7,4)), (SWITCH(weekday(O$4), 1, 0, 2, if(ISBLANK('2025'!$P160), 0, 1), 3, if(ISBLANK('2025'!$Q160), 0, 1), 4, if(ISBLANK('2025'!$R160), 0, 1), 5, if(ISBLANK('2025'!$S160), 0, 1), 6, if(ISBLANK('2025'!$T160), 0, 1), 7, 0))), 1, "")</f>
        <v/>
      </c>
      <c r="P162" s="1" t="str">
        <f>IF(AND(AND(AND(P$4&gt;='2025'!$L160,P$4&lt;='2025'!$M160), P$4&lt;&gt;DATE(2025,7,4)), (SWITCH(weekday(P$4), 1, 0, 2, if(ISBLANK('2025'!$P160), 0, 1), 3, if(ISBLANK('2025'!$Q160), 0, 1), 4, if(ISBLANK('2025'!$R160), 0, 1), 5, if(ISBLANK('2025'!$S160), 0, 1), 6, if(ISBLANK('2025'!$T160), 0, 1), 7, 0))), 1, "")</f>
        <v/>
      </c>
      <c r="Q162" s="1" t="str">
        <f>IF(AND(AND(AND(Q$4&gt;='2025'!$L160,Q$4&lt;='2025'!$M160), Q$4&lt;&gt;DATE(2025,7,4)), (SWITCH(weekday(Q$4), 1, 0, 2, if(ISBLANK('2025'!$P160), 0, 1), 3, if(ISBLANK('2025'!$Q160), 0, 1), 4, if(ISBLANK('2025'!$R160), 0, 1), 5, if(ISBLANK('2025'!$S160), 0, 1), 6, if(ISBLANK('2025'!$T160), 0, 1), 7, 0))), 1, "")</f>
        <v/>
      </c>
      <c r="R162" s="1" t="str">
        <f>IF(AND(AND(AND(R$4&gt;='2025'!$L160,R$4&lt;='2025'!$M160), R$4&lt;&gt;DATE(2025,7,4)), (SWITCH(weekday(R$4), 1, 0, 2, if(ISBLANK('2025'!$P160), 0, 1), 3, if(ISBLANK('2025'!$Q160), 0, 1), 4, if(ISBLANK('2025'!$R160), 0, 1), 5, if(ISBLANK('2025'!$S160), 0, 1), 6, if(ISBLANK('2025'!$T160), 0, 1), 7, 0))), 1, "")</f>
        <v/>
      </c>
      <c r="S162" s="1" t="str">
        <f>IF(AND(AND(AND(S$4&gt;='2025'!$L160,S$4&lt;='2025'!$M160), S$4&lt;&gt;DATE(2025,7,4)), (SWITCH(weekday(S$4), 1, 0, 2, if(ISBLANK('2025'!$P160), 0, 1), 3, if(ISBLANK('2025'!$Q160), 0, 1), 4, if(ISBLANK('2025'!$R160), 0, 1), 5, if(ISBLANK('2025'!$S160), 0, 1), 6, if(ISBLANK('2025'!$T160), 0, 1), 7, 0))), 1, "")</f>
        <v/>
      </c>
      <c r="T162" s="1" t="str">
        <f>IF(AND(AND(AND(T$4&gt;='2025'!$L160,T$4&lt;='2025'!$M160), T$4&lt;&gt;DATE(2025,7,4)), (SWITCH(weekday(T$4), 1, 0, 2, if(ISBLANK('2025'!$P160), 0, 1), 3, if(ISBLANK('2025'!$Q160), 0, 1), 4, if(ISBLANK('2025'!$R160), 0, 1), 5, if(ISBLANK('2025'!$S160), 0, 1), 6, if(ISBLANK('2025'!$T160), 0, 1), 7, 0))), 1, "")</f>
        <v/>
      </c>
      <c r="U162" s="1" t="str">
        <f>IF(AND(AND(AND(U$4&gt;='2025'!$L160,U$4&lt;='2025'!$M160), U$4&lt;&gt;DATE(2025,7,4)), (SWITCH(weekday(U$4), 1, 0, 2, if(ISBLANK('2025'!$P160), 0, 1), 3, if(ISBLANK('2025'!$Q160), 0, 1), 4, if(ISBLANK('2025'!$R160), 0, 1), 5, if(ISBLANK('2025'!$S160), 0, 1), 6, if(ISBLANK('2025'!$T160), 0, 1), 7, 0))), 1, "")</f>
        <v/>
      </c>
      <c r="V162" s="1" t="str">
        <f>IF(AND(AND(AND(V$4&gt;='2025'!$L160,V$4&lt;='2025'!$M160), V$4&lt;&gt;DATE(2025,7,4)), (SWITCH(weekday(V$4), 1, 0, 2, if(ISBLANK('2025'!$P160), 0, 1), 3, if(ISBLANK('2025'!$Q160), 0, 1), 4, if(ISBLANK('2025'!$R160), 0, 1), 5, if(ISBLANK('2025'!$S160), 0, 1), 6, if(ISBLANK('2025'!$T160), 0, 1), 7, 0))), 1, "")</f>
        <v/>
      </c>
      <c r="W162" s="1" t="str">
        <f>IF(AND(AND(AND(W$4&gt;='2025'!$L160,W$4&lt;='2025'!$M160), W$4&lt;&gt;DATE(2025,7,4)), (SWITCH(weekday(W$4), 1, 0, 2, if(ISBLANK('2025'!$P160), 0, 1), 3, if(ISBLANK('2025'!$Q160), 0, 1), 4, if(ISBLANK('2025'!$R160), 0, 1), 5, if(ISBLANK('2025'!$S160), 0, 1), 6, if(ISBLANK('2025'!$T160), 0, 1), 7, 0))), 1, "")</f>
        <v/>
      </c>
      <c r="X162" s="1" t="str">
        <f>IF(AND(AND(AND(X$4&gt;='2025'!$L160,X$4&lt;='2025'!$M160), X$4&lt;&gt;DATE(2025,7,4)), (SWITCH(weekday(X$4), 1, 0, 2, if(ISBLANK('2025'!$P160), 0, 1), 3, if(ISBLANK('2025'!$Q160), 0, 1), 4, if(ISBLANK('2025'!$R160), 0, 1), 5, if(ISBLANK('2025'!$S160), 0, 1), 6, if(ISBLANK('2025'!$T160), 0, 1), 7, 0))), 1, "")</f>
        <v/>
      </c>
      <c r="Y162" s="1" t="str">
        <f>IF(AND(AND(AND(Y$4&gt;='2025'!$L160,Y$4&lt;='2025'!$M160), Y$4&lt;&gt;DATE(2025,7,4)), (SWITCH(weekday(Y$4), 1, 0, 2, if(ISBLANK('2025'!$P160), 0, 1), 3, if(ISBLANK('2025'!$Q160), 0, 1), 4, if(ISBLANK('2025'!$R160), 0, 1), 5, if(ISBLANK('2025'!$S160), 0, 1), 6, if(ISBLANK('2025'!$T160), 0, 1), 7, 0))), 1, "")</f>
        <v/>
      </c>
      <c r="Z162" s="1" t="str">
        <f>IF(AND(AND(AND(Z$4&gt;='2025'!$L160,Z$4&lt;='2025'!$M160), Z$4&lt;&gt;DATE(2025,7,4)), (SWITCH(weekday(Z$4), 1, 0, 2, if(ISBLANK('2025'!$P160), 0, 1), 3, if(ISBLANK('2025'!$Q160), 0, 1), 4, if(ISBLANK('2025'!$R160), 0, 1), 5, if(ISBLANK('2025'!$S160), 0, 1), 6, if(ISBLANK('2025'!$T160), 0, 1), 7, 0))), 1, "")</f>
        <v/>
      </c>
      <c r="AA162" s="1" t="str">
        <f>IF(AND(AND(AND(AA$4&gt;='2025'!$L160,AA$4&lt;='2025'!$M160), AA$4&lt;&gt;DATE(2025,7,4)), (SWITCH(weekday(AA$4), 1, 0, 2, if(ISBLANK('2025'!$P160), 0, 1), 3, if(ISBLANK('2025'!$Q160), 0, 1), 4, if(ISBLANK('2025'!$R160), 0, 1), 5, if(ISBLANK('2025'!$S160), 0, 1), 6, if(ISBLANK('2025'!$T160), 0, 1), 7, 0))), 1, "")</f>
        <v/>
      </c>
      <c r="AB162" s="1" t="str">
        <f>IF(AND(AND(AND(AB$4&gt;='2025'!$L160,AB$4&lt;='2025'!$M160), AB$4&lt;&gt;DATE(2025,7,4)), (SWITCH(weekday(AB$4), 1, 0, 2, if(ISBLANK('2025'!$P160), 0, 1), 3, if(ISBLANK('2025'!$Q160), 0, 1), 4, if(ISBLANK('2025'!$R160), 0, 1), 5, if(ISBLANK('2025'!$S160), 0, 1), 6, if(ISBLANK('2025'!$T160), 0, 1), 7, 0))), 1, "")</f>
        <v/>
      </c>
      <c r="AC162" s="1" t="str">
        <f>IF(AND(AND(AND(AC$4&gt;='2025'!$L160,AC$4&lt;='2025'!$M160), AC$4&lt;&gt;DATE(2025,7,4)), (SWITCH(weekday(AC$4), 1, 0, 2, if(ISBLANK('2025'!$P160), 0, 1), 3, if(ISBLANK('2025'!$Q160), 0, 1), 4, if(ISBLANK('2025'!$R160), 0, 1), 5, if(ISBLANK('2025'!$S160), 0, 1), 6, if(ISBLANK('2025'!$T160), 0, 1), 7, 0))), 1, "")</f>
        <v/>
      </c>
      <c r="AD162" s="1" t="str">
        <f>IF(AND(AND(AND(AD$4&gt;='2025'!$L160,AD$4&lt;='2025'!$M160), AD$4&lt;&gt;DATE(2025,7,4)), (SWITCH(weekday(AD$4), 1, 0, 2, if(ISBLANK('2025'!$P160), 0, 1), 3, if(ISBLANK('2025'!$Q160), 0, 1), 4, if(ISBLANK('2025'!$R160), 0, 1), 5, if(ISBLANK('2025'!$S160), 0, 1), 6, if(ISBLANK('2025'!$T160), 0, 1), 7, 0))), 1, "")</f>
        <v/>
      </c>
      <c r="AE162" s="1" t="str">
        <f>IF(AND(AND(AND(AE$4&gt;='2025'!$L160,AE$4&lt;='2025'!$M160), AE$4&lt;&gt;DATE(2025,7,4)), (SWITCH(weekday(AE$4), 1, 0, 2, if(ISBLANK('2025'!$P160), 0, 1), 3, if(ISBLANK('2025'!$Q160), 0, 1), 4, if(ISBLANK('2025'!$R160), 0, 1), 5, if(ISBLANK('2025'!$S160), 0, 1), 6, if(ISBLANK('2025'!$T160), 0, 1), 7, 0))), 1, "")</f>
        <v/>
      </c>
      <c r="AF162" s="1" t="str">
        <f>IF(AND(AND(AND(AF$4&gt;='2025'!$L160,AF$4&lt;='2025'!$M160), AF$4&lt;&gt;DATE(2025,7,4)), (SWITCH(weekday(AF$4), 1, 0, 2, if(ISBLANK('2025'!$P160), 0, 1), 3, if(ISBLANK('2025'!$Q160), 0, 1), 4, if(ISBLANK('2025'!$R160), 0, 1), 5, if(ISBLANK('2025'!$S160), 0, 1), 6, if(ISBLANK('2025'!$T160), 0, 1), 7, 0))), 1, "")</f>
        <v/>
      </c>
      <c r="AG162" s="1" t="str">
        <f>IF(AND(AND(AND(AG$4&gt;='2025'!$L160,AG$4&lt;='2025'!$M160), AG$4&lt;&gt;DATE(2025,7,4)), (SWITCH(weekday(AG$4), 1, 0, 2, if(ISBLANK('2025'!$P160), 0, 1), 3, if(ISBLANK('2025'!$Q160), 0, 1), 4, if(ISBLANK('2025'!$R160), 0, 1), 5, if(ISBLANK('2025'!$S160), 0, 1), 6, if(ISBLANK('2025'!$T160), 0, 1), 7, 0))), 1, "")</f>
        <v/>
      </c>
      <c r="AH162" s="1" t="str">
        <f>IF(AND(AND(AND(AH$4&gt;='2025'!$L160,AH$4&lt;='2025'!$M160), AH$4&lt;&gt;DATE(2025,7,4)), (SWITCH(weekday(AH$4), 1, 0, 2, if(ISBLANK('2025'!$P160), 0, 1), 3, if(ISBLANK('2025'!$Q160), 0, 1), 4, if(ISBLANK('2025'!$R160), 0, 1), 5, if(ISBLANK('2025'!$S160), 0, 1), 6, if(ISBLANK('2025'!$T160), 0, 1), 7, 0))), 1, "")</f>
        <v/>
      </c>
      <c r="AI162" s="1" t="str">
        <f>IF(AND(AND(AND(AI$4&gt;='2025'!$L160,AI$4&lt;='2025'!$M160), AI$4&lt;&gt;DATE(2025,7,4)), (SWITCH(weekday(AI$4), 1, 0, 2, if(ISBLANK('2025'!$P160), 0, 1), 3, if(ISBLANK('2025'!$Q160), 0, 1), 4, if(ISBLANK('2025'!$R160), 0, 1), 5, if(ISBLANK('2025'!$S160), 0, 1), 6, if(ISBLANK('2025'!$T160), 0, 1), 7, 0))), 1, "")</f>
        <v/>
      </c>
      <c r="AJ162" s="1" t="str">
        <f>IF(AND(AND(AND(AJ$4&gt;='2025'!$L160,AJ$4&lt;='2025'!$M160), AJ$4&lt;&gt;DATE(2025,7,4)), (SWITCH(weekday(AJ$4), 1, 0, 2, if(ISBLANK('2025'!$P160), 0, 1), 3, if(ISBLANK('2025'!$Q160), 0, 1), 4, if(ISBLANK('2025'!$R160), 0, 1), 5, if(ISBLANK('2025'!$S160), 0, 1), 6, if(ISBLANK('2025'!$T160), 0, 1), 7, 0))), 1, "")</f>
        <v/>
      </c>
      <c r="AK162" s="1" t="str">
        <f>IF(AND(AND(AND(AK$4&gt;='2025'!$L160,AK$4&lt;='2025'!$M160), AK$4&lt;&gt;DATE(2025,7,4)), (SWITCH(weekday(AK$4), 1, 0, 2, if(ISBLANK('2025'!$P160), 0, 1), 3, if(ISBLANK('2025'!$Q160), 0, 1), 4, if(ISBLANK('2025'!$R160), 0, 1), 5, if(ISBLANK('2025'!$S160), 0, 1), 6, if(ISBLANK('2025'!$T160), 0, 1), 7, 0))), 1, "")</f>
        <v/>
      </c>
      <c r="AL162" s="1" t="str">
        <f>IF(AND(AND(AND(AL$4&gt;='2025'!$L160,AL$4&lt;='2025'!$M160), AL$4&lt;&gt;DATE(2025,7,4)), (SWITCH(weekday(AL$4), 1, 0, 2, if(ISBLANK('2025'!$P160), 0, 1), 3, if(ISBLANK('2025'!$Q160), 0, 1), 4, if(ISBLANK('2025'!$R160), 0, 1), 5, if(ISBLANK('2025'!$S160), 0, 1), 6, if(ISBLANK('2025'!$T160), 0, 1), 7, 0))), 1, "")</f>
        <v/>
      </c>
      <c r="AM162" s="1" t="str">
        <f>IF(AND(AND(AND(AM$4&gt;='2025'!$L160,AM$4&lt;='2025'!$M160), AM$4&lt;&gt;DATE(2025,7,4)), (SWITCH(weekday(AM$4), 1, 0, 2, if(ISBLANK('2025'!$P160), 0, 1), 3, if(ISBLANK('2025'!$Q160), 0, 1), 4, if(ISBLANK('2025'!$R160), 0, 1), 5, if(ISBLANK('2025'!$S160), 0, 1), 6, if(ISBLANK('2025'!$T160), 0, 1), 7, 0))), 1, "")</f>
        <v/>
      </c>
      <c r="AN162" s="1" t="str">
        <f>IF(AND(AND(AND(AN$4&gt;='2025'!$L160,AN$4&lt;='2025'!$M160), AN$4&lt;&gt;DATE(2025,7,4)), (SWITCH(weekday(AN$4), 1, 0, 2, if(ISBLANK('2025'!$P160), 0, 1), 3, if(ISBLANK('2025'!$Q160), 0, 1), 4, if(ISBLANK('2025'!$R160), 0, 1), 5, if(ISBLANK('2025'!$S160), 0, 1), 6, if(ISBLANK('2025'!$T160), 0, 1), 7, 0))), 1, "")</f>
        <v/>
      </c>
      <c r="AO162" s="1" t="str">
        <f>IF(AND(AND(AND(AO$4&gt;='2025'!$L160,AO$4&lt;='2025'!$M160), AO$4&lt;&gt;DATE(2025,7,4)), (SWITCH(weekday(AO$4), 1, 0, 2, if(ISBLANK('2025'!$P160), 0, 1), 3, if(ISBLANK('2025'!$Q160), 0, 1), 4, if(ISBLANK('2025'!$R160), 0, 1), 5, if(ISBLANK('2025'!$S160), 0, 1), 6, if(ISBLANK('2025'!$T160), 0, 1), 7, 0))), 1, "")</f>
        <v/>
      </c>
      <c r="AP162" s="1" t="str">
        <f>IF(AND(AND(AND(AP$4&gt;='2025'!$L160,AP$4&lt;='2025'!$M160), AP$4&lt;&gt;DATE(2025,7,4)), (SWITCH(weekday(AP$4), 1, 0, 2, if(ISBLANK('2025'!$P160), 0, 1), 3, if(ISBLANK('2025'!$Q160), 0, 1), 4, if(ISBLANK('2025'!$R160), 0, 1), 5, if(ISBLANK('2025'!$S160), 0, 1), 6, if(ISBLANK('2025'!$T160), 0, 1), 7, 0))), 1, "")</f>
        <v/>
      </c>
      <c r="AQ162" s="1" t="str">
        <f>IF(AND(AND(AND(AQ$4&gt;='2025'!$L160,AQ$4&lt;='2025'!$M160), AQ$4&lt;&gt;DATE(2025,7,4)), (SWITCH(weekday(AQ$4), 1, 0, 2, if(ISBLANK('2025'!$P160), 0, 1), 3, if(ISBLANK('2025'!$Q160), 0, 1), 4, if(ISBLANK('2025'!$R160), 0, 1), 5, if(ISBLANK('2025'!$S160), 0, 1), 6, if(ISBLANK('2025'!$T160), 0, 1), 7, 0))), 1, "")</f>
        <v/>
      </c>
      <c r="AR162" s="1" t="str">
        <f>IF(AND(AND(AND(AR$4&gt;='2025'!$L160,AR$4&lt;='2025'!$M160), AR$4&lt;&gt;DATE(2025,7,4)), (SWITCH(weekday(AR$4), 1, 0, 2, if(ISBLANK('2025'!$P160), 0, 1), 3, if(ISBLANK('2025'!$Q160), 0, 1), 4, if(ISBLANK('2025'!$R160), 0, 1), 5, if(ISBLANK('2025'!$S160), 0, 1), 6, if(ISBLANK('2025'!$T160), 0, 1), 7, 0))), 1, "")</f>
        <v/>
      </c>
      <c r="AS162" s="1" t="str">
        <f>IF(AND(AND(AND(AS$4&gt;='2025'!$L160,AS$4&lt;='2025'!$M160), AS$4&lt;&gt;DATE(2025,7,4)), (SWITCH(weekday(AS$4), 1, 0, 2, if(ISBLANK('2025'!$P160), 0, 1), 3, if(ISBLANK('2025'!$Q160), 0, 1), 4, if(ISBLANK('2025'!$R160), 0, 1), 5, if(ISBLANK('2025'!$S160), 0, 1), 6, if(ISBLANK('2025'!$T160), 0, 1), 7, 0))), 1, "")</f>
        <v/>
      </c>
      <c r="AT162" s="1" t="str">
        <f>IF(AND(AND(AND(AT$4&gt;='2025'!$L160,AT$4&lt;='2025'!$M160), AT$4&lt;&gt;DATE(2025,7,4)), (SWITCH(weekday(AT$4), 1, 0, 2, if(ISBLANK('2025'!$P160), 0, 1), 3, if(ISBLANK('2025'!$Q160), 0, 1), 4, if(ISBLANK('2025'!$R160), 0, 1), 5, if(ISBLANK('2025'!$S160), 0, 1), 6, if(ISBLANK('2025'!$T160), 0, 1), 7, 0))), 1, "")</f>
        <v/>
      </c>
      <c r="AU162" s="1" t="str">
        <f>IF(AND(AND(AND(AU$4&gt;='2025'!$L160,AU$4&lt;='2025'!$M160), AU$4&lt;&gt;DATE(2025,7,4)), (SWITCH(weekday(AU$4), 1, 0, 2, if(ISBLANK('2025'!$P160), 0, 1), 3, if(ISBLANK('2025'!$Q160), 0, 1), 4, if(ISBLANK('2025'!$R160), 0, 1), 5, if(ISBLANK('2025'!$S160), 0, 1), 6, if(ISBLANK('2025'!$T160), 0, 1), 7, 0))), 1, "")</f>
        <v/>
      </c>
      <c r="AV162" s="1" t="str">
        <f>IF(AND(AND(AND(AV$4&gt;='2025'!$L160,AV$4&lt;='2025'!$M160), AV$4&lt;&gt;DATE(2025,7,4)), (SWITCH(weekday(AV$4), 1, 0, 2, if(ISBLANK('2025'!$P160), 0, 1), 3, if(ISBLANK('2025'!$Q160), 0, 1), 4, if(ISBLANK('2025'!$R160), 0, 1), 5, if(ISBLANK('2025'!$S160), 0, 1), 6, if(ISBLANK('2025'!$T160), 0, 1), 7, 0))), 1, "")</f>
        <v/>
      </c>
      <c r="AW162" s="1" t="str">
        <f>IF(AND(AND(AND(AW$4&gt;='2025'!$L160,AW$4&lt;='2025'!$M160), AW$4&lt;&gt;DATE(2025,7,4)), (SWITCH(weekday(AW$4), 1, 0, 2, if(ISBLANK('2025'!$P160), 0, 1), 3, if(ISBLANK('2025'!$Q160), 0, 1), 4, if(ISBLANK('2025'!$R160), 0, 1), 5, if(ISBLANK('2025'!$S160), 0, 1), 6, if(ISBLANK('2025'!$T160), 0, 1), 7, 0))), 1, "")</f>
        <v/>
      </c>
      <c r="AX162" s="1" t="str">
        <f>IF(AND(AND(AND(AX$4&gt;='2025'!$L160,AX$4&lt;='2025'!$M160), AX$4&lt;&gt;DATE(2025,7,4)), (SWITCH(weekday(AX$4), 1, 0, 2, if(ISBLANK('2025'!$P160), 0, 1), 3, if(ISBLANK('2025'!$Q160), 0, 1), 4, if(ISBLANK('2025'!$R160), 0, 1), 5, if(ISBLANK('2025'!$S160), 0, 1), 6, if(ISBLANK('2025'!$T160), 0, 1), 7, 0))), 1, "")</f>
        <v/>
      </c>
      <c r="AY162" s="1" t="str">
        <f>IF(AND(AND(AND(AY$4&gt;='2025'!$L160,AY$4&lt;='2025'!$M160), AY$4&lt;&gt;DATE(2025,7,4)), (SWITCH(weekday(AY$4), 1, 0, 2, if(ISBLANK('2025'!$P160), 0, 1), 3, if(ISBLANK('2025'!$Q160), 0, 1), 4, if(ISBLANK('2025'!$R160), 0, 1), 5, if(ISBLANK('2025'!$S160), 0, 1), 6, if(ISBLANK('2025'!$T160), 0, 1), 7, 0))), 1, "")</f>
        <v/>
      </c>
      <c r="AZ162" s="1" t="str">
        <f>IF(AND(AND(AND(AZ$4&gt;='2025'!$L160,AZ$4&lt;='2025'!$M160), AZ$4&lt;&gt;DATE(2025,7,4)), (SWITCH(weekday(AZ$4), 1, 0, 2, if(ISBLANK('2025'!$P160), 0, 1), 3, if(ISBLANK('2025'!$Q160), 0, 1), 4, if(ISBLANK('2025'!$R160), 0, 1), 5, if(ISBLANK('2025'!$S160), 0, 1), 6, if(ISBLANK('2025'!$T160), 0, 1), 7, 0))), 1, "")</f>
        <v/>
      </c>
      <c r="BA162" s="1" t="str">
        <f>IF(AND(AND(AND(BA$4&gt;='2025'!$L160,BA$4&lt;='2025'!$M160), BA$4&lt;&gt;DATE(2025,7,4)), (SWITCH(weekday(BA$4), 1, 0, 2, if(ISBLANK('2025'!$P160), 0, 1), 3, if(ISBLANK('2025'!$Q160), 0, 1), 4, if(ISBLANK('2025'!$R160), 0, 1), 5, if(ISBLANK('2025'!$S160), 0, 1), 6, if(ISBLANK('2025'!$T160), 0, 1), 7, 0))), 1, "")</f>
        <v/>
      </c>
      <c r="BB162" s="1" t="str">
        <f>IF(AND(AND(AND(BB$4&gt;='2025'!$L160,BB$4&lt;='2025'!$M160), BB$4&lt;&gt;DATE(2025,7,4)), (SWITCH(weekday(BB$4), 1, 0, 2, if(ISBLANK('2025'!$P160), 0, 1), 3, if(ISBLANK('2025'!$Q160), 0, 1), 4, if(ISBLANK('2025'!$R160), 0, 1), 5, if(ISBLANK('2025'!$S160), 0, 1), 6, if(ISBLANK('2025'!$T160), 0, 1), 7, 0))), 1, "")</f>
        <v/>
      </c>
      <c r="BC162" s="1" t="str">
        <f>IF(AND(AND(AND(BC$4&gt;='2025'!$L160,BC$4&lt;='2025'!$M160), BC$4&lt;&gt;DATE(2025,7,4)), (SWITCH(weekday(BC$4), 1, 0, 2, if(ISBLANK('2025'!$P160), 0, 1), 3, if(ISBLANK('2025'!$Q160), 0, 1), 4, if(ISBLANK('2025'!$R160), 0, 1), 5, if(ISBLANK('2025'!$S160), 0, 1), 6, if(ISBLANK('2025'!$T160), 0, 1), 7, 0))), 1, "")</f>
        <v/>
      </c>
      <c r="BD162" s="1" t="str">
        <f>IF(AND(AND(AND(BD$4&gt;='2025'!$L160,BD$4&lt;='2025'!$M160), BD$4&lt;&gt;DATE(2025,7,4)), (SWITCH(weekday(BD$4), 1, 0, 2, if(ISBLANK('2025'!$P160), 0, 1), 3, if(ISBLANK('2025'!$Q160), 0, 1), 4, if(ISBLANK('2025'!$R160), 0, 1), 5, if(ISBLANK('2025'!$S160), 0, 1), 6, if(ISBLANK('2025'!$T160), 0, 1), 7, 0))), 1, "")</f>
        <v/>
      </c>
      <c r="BE162" s="1" t="str">
        <f>IF(AND(AND(AND(BE$4&gt;='2025'!$L160,BE$4&lt;='2025'!$M160), BE$4&lt;&gt;DATE(2025,7,4)), (SWITCH(weekday(BE$4), 1, 0, 2, if(ISBLANK('2025'!$P160), 0, 1), 3, if(ISBLANK('2025'!$Q160), 0, 1), 4, if(ISBLANK('2025'!$R160), 0, 1), 5, if(ISBLANK('2025'!$S160), 0, 1), 6, if(ISBLANK('2025'!$T160), 0, 1), 7, 0))), 1, "")</f>
        <v/>
      </c>
      <c r="BF162" s="1" t="str">
        <f>IF(AND(AND(AND(BF$4&gt;='2025'!$L160,BF$4&lt;='2025'!$M160), BF$4&lt;&gt;DATE(2025,7,4)), (SWITCH(weekday(BF$4), 1, 0, 2, if(ISBLANK('2025'!$P160), 0, 1), 3, if(ISBLANK('2025'!$Q160), 0, 1), 4, if(ISBLANK('2025'!$R160), 0, 1), 5, if(ISBLANK('2025'!$S160), 0, 1), 6, if(ISBLANK('2025'!$T160), 0, 1), 7, 0))), 1, "")</f>
        <v/>
      </c>
      <c r="BG162" s="1"/>
      <c r="BH162" s="1"/>
      <c r="BI162" s="1"/>
      <c r="BJ162" s="1"/>
      <c r="BK162" s="1"/>
      <c r="BL162" s="1"/>
    </row>
    <row r="163">
      <c r="A163" s="1">
        <f t="shared" si="3"/>
        <v>163</v>
      </c>
      <c r="B163" s="1" t="str">
        <f>'2025'!D127</f>
        <v>, </v>
      </c>
      <c r="C163" s="1" t="str">
        <f>'2025'!H127</f>
        <v/>
      </c>
      <c r="D163" s="1" t="str">
        <f>IF(AND(AND(AND(D$4&gt;='2025'!$L161,D$4&lt;='2025'!$M161), D$4&lt;&gt;DATE(2025,7,4)), (SWITCH(weekday(D$4), 1, 0, 2, if(ISBLANK('2025'!$P161), 0, 1), 3, if(ISBLANK('2025'!$Q161), 0, 1), 4, if(ISBLANK('2025'!$R161), 0, 1), 5, if(ISBLANK('2025'!$S161), 0, 1), 6, if(ISBLANK('2025'!$T161), 0, 1), 7, 0))), 1, "")</f>
        <v/>
      </c>
      <c r="E163" s="1" t="str">
        <f>IF(AND(AND(AND(E$4&gt;='2025'!$L161,E$4&lt;='2025'!$M161), E$4&lt;&gt;DATE(2025,7,4)), (SWITCH(weekday(E$4), 1, 0, 2, if(ISBLANK('2025'!$P161), 0, 1), 3, if(ISBLANK('2025'!$Q161), 0, 1), 4, if(ISBLANK('2025'!$R161), 0, 1), 5, if(ISBLANK('2025'!$S161), 0, 1), 6, if(ISBLANK('2025'!$T161), 0, 1), 7, 0))), 1, "")</f>
        <v/>
      </c>
      <c r="F163" s="1" t="str">
        <f>IF(AND(AND(AND(F$4&gt;='2025'!$L161,F$4&lt;='2025'!$M161), F$4&lt;&gt;DATE(2025,7,4)), (SWITCH(weekday(F$4), 1, 0, 2, if(ISBLANK('2025'!$P161), 0, 1), 3, if(ISBLANK('2025'!$Q161), 0, 1), 4, if(ISBLANK('2025'!$R161), 0, 1), 5, if(ISBLANK('2025'!$S161), 0, 1), 6, if(ISBLANK('2025'!$T161), 0, 1), 7, 0))), 1, "")</f>
        <v/>
      </c>
      <c r="G163" s="1" t="str">
        <f>IF(AND(AND(AND(G$4&gt;='2025'!$L161,G$4&lt;='2025'!$M161), G$4&lt;&gt;DATE(2025,7,4)), (SWITCH(weekday(G$4), 1, 0, 2, if(ISBLANK('2025'!$P161), 0, 1), 3, if(ISBLANK('2025'!$Q161), 0, 1), 4, if(ISBLANK('2025'!$R161), 0, 1), 5, if(ISBLANK('2025'!$S161), 0, 1), 6, if(ISBLANK('2025'!$T161), 0, 1), 7, 0))), 1, "")</f>
        <v/>
      </c>
      <c r="H163" s="1" t="str">
        <f>IF(AND(AND(AND(H$4&gt;='2025'!$L161,H$4&lt;='2025'!$M161), H$4&lt;&gt;DATE(2025,7,4)), (SWITCH(weekday(H$4), 1, 0, 2, if(ISBLANK('2025'!$P161), 0, 1), 3, if(ISBLANK('2025'!$Q161), 0, 1), 4, if(ISBLANK('2025'!$R161), 0, 1), 5, if(ISBLANK('2025'!$S161), 0, 1), 6, if(ISBLANK('2025'!$T161), 0, 1), 7, 0))), 1, "")</f>
        <v/>
      </c>
      <c r="I163" s="1" t="str">
        <f>IF(AND(AND(AND(I$4&gt;='2025'!$L161,I$4&lt;='2025'!$M161), I$4&lt;&gt;DATE(2025,7,4)), (SWITCH(weekday(I$4), 1, 0, 2, if(ISBLANK('2025'!$P161), 0, 1), 3, if(ISBLANK('2025'!$Q161), 0, 1), 4, if(ISBLANK('2025'!$R161), 0, 1), 5, if(ISBLANK('2025'!$S161), 0, 1), 6, if(ISBLANK('2025'!$T161), 0, 1), 7, 0))), 1, "")</f>
        <v/>
      </c>
      <c r="J163" s="1" t="str">
        <f>IF(AND(AND(AND(J$4&gt;='2025'!$L161,J$4&lt;='2025'!$M161), J$4&lt;&gt;DATE(2025,7,4)), (SWITCH(weekday(J$4), 1, 0, 2, if(ISBLANK('2025'!$P161), 0, 1), 3, if(ISBLANK('2025'!$Q161), 0, 1), 4, if(ISBLANK('2025'!$R161), 0, 1), 5, if(ISBLANK('2025'!$S161), 0, 1), 6, if(ISBLANK('2025'!$T161), 0, 1), 7, 0))), 1, "")</f>
        <v/>
      </c>
      <c r="K163" s="1" t="str">
        <f>IF(AND(AND(AND(K$4&gt;='2025'!$L161,K$4&lt;='2025'!$M161), K$4&lt;&gt;DATE(2025,7,4)), (SWITCH(weekday(K$4), 1, 0, 2, if(ISBLANK('2025'!$P161), 0, 1), 3, if(ISBLANK('2025'!$Q161), 0, 1), 4, if(ISBLANK('2025'!$R161), 0, 1), 5, if(ISBLANK('2025'!$S161), 0, 1), 6, if(ISBLANK('2025'!$T161), 0, 1), 7, 0))), 1, "")</f>
        <v/>
      </c>
      <c r="L163" s="1" t="str">
        <f>IF(AND(AND(AND(L$4&gt;='2025'!$L161,L$4&lt;='2025'!$M161), L$4&lt;&gt;DATE(2025,7,4)), (SWITCH(weekday(L$4), 1, 0, 2, if(ISBLANK('2025'!$P161), 0, 1), 3, if(ISBLANK('2025'!$Q161), 0, 1), 4, if(ISBLANK('2025'!$R161), 0, 1), 5, if(ISBLANK('2025'!$S161), 0, 1), 6, if(ISBLANK('2025'!$T161), 0, 1), 7, 0))), 1, "")</f>
        <v/>
      </c>
      <c r="M163" s="1" t="str">
        <f>IF(AND(AND(AND(M$4&gt;='2025'!$L161,M$4&lt;='2025'!$M161), M$4&lt;&gt;DATE(2025,7,4)), (SWITCH(weekday(M$4), 1, 0, 2, if(ISBLANK('2025'!$P161), 0, 1), 3, if(ISBLANK('2025'!$Q161), 0, 1), 4, if(ISBLANK('2025'!$R161), 0, 1), 5, if(ISBLANK('2025'!$S161), 0, 1), 6, if(ISBLANK('2025'!$T161), 0, 1), 7, 0))), 1, "")</f>
        <v/>
      </c>
      <c r="N163" s="1" t="str">
        <f>IF(AND(AND(AND(N$4&gt;='2025'!$L161,N$4&lt;='2025'!$M161), N$4&lt;&gt;DATE(2025,7,4)), (SWITCH(weekday(N$4), 1, 0, 2, if(ISBLANK('2025'!$P161), 0, 1), 3, if(ISBLANK('2025'!$Q161), 0, 1), 4, if(ISBLANK('2025'!$R161), 0, 1), 5, if(ISBLANK('2025'!$S161), 0, 1), 6, if(ISBLANK('2025'!$T161), 0, 1), 7, 0))), 1, "")</f>
        <v/>
      </c>
      <c r="O163" s="1" t="str">
        <f>IF(AND(AND(AND(O$4&gt;='2025'!$L161,O$4&lt;='2025'!$M161), O$4&lt;&gt;DATE(2025,7,4)), (SWITCH(weekday(O$4), 1, 0, 2, if(ISBLANK('2025'!$P161), 0, 1), 3, if(ISBLANK('2025'!$Q161), 0, 1), 4, if(ISBLANK('2025'!$R161), 0, 1), 5, if(ISBLANK('2025'!$S161), 0, 1), 6, if(ISBLANK('2025'!$T161), 0, 1), 7, 0))), 1, "")</f>
        <v/>
      </c>
      <c r="P163" s="1" t="str">
        <f>IF(AND(AND(AND(P$4&gt;='2025'!$L161,P$4&lt;='2025'!$M161), P$4&lt;&gt;DATE(2025,7,4)), (SWITCH(weekday(P$4), 1, 0, 2, if(ISBLANK('2025'!$P161), 0, 1), 3, if(ISBLANK('2025'!$Q161), 0, 1), 4, if(ISBLANK('2025'!$R161), 0, 1), 5, if(ISBLANK('2025'!$S161), 0, 1), 6, if(ISBLANK('2025'!$T161), 0, 1), 7, 0))), 1, "")</f>
        <v/>
      </c>
      <c r="Q163" s="1" t="str">
        <f>IF(AND(AND(AND(Q$4&gt;='2025'!$L161,Q$4&lt;='2025'!$M161), Q$4&lt;&gt;DATE(2025,7,4)), (SWITCH(weekday(Q$4), 1, 0, 2, if(ISBLANK('2025'!$P161), 0, 1), 3, if(ISBLANK('2025'!$Q161), 0, 1), 4, if(ISBLANK('2025'!$R161), 0, 1), 5, if(ISBLANK('2025'!$S161), 0, 1), 6, if(ISBLANK('2025'!$T161), 0, 1), 7, 0))), 1, "")</f>
        <v/>
      </c>
      <c r="R163" s="1" t="str">
        <f>IF(AND(AND(AND(R$4&gt;='2025'!$L161,R$4&lt;='2025'!$M161), R$4&lt;&gt;DATE(2025,7,4)), (SWITCH(weekday(R$4), 1, 0, 2, if(ISBLANK('2025'!$P161), 0, 1), 3, if(ISBLANK('2025'!$Q161), 0, 1), 4, if(ISBLANK('2025'!$R161), 0, 1), 5, if(ISBLANK('2025'!$S161), 0, 1), 6, if(ISBLANK('2025'!$T161), 0, 1), 7, 0))), 1, "")</f>
        <v/>
      </c>
      <c r="S163" s="1" t="str">
        <f>IF(AND(AND(AND(S$4&gt;='2025'!$L161,S$4&lt;='2025'!$M161), S$4&lt;&gt;DATE(2025,7,4)), (SWITCH(weekday(S$4), 1, 0, 2, if(ISBLANK('2025'!$P161), 0, 1), 3, if(ISBLANK('2025'!$Q161), 0, 1), 4, if(ISBLANK('2025'!$R161), 0, 1), 5, if(ISBLANK('2025'!$S161), 0, 1), 6, if(ISBLANK('2025'!$T161), 0, 1), 7, 0))), 1, "")</f>
        <v/>
      </c>
      <c r="T163" s="1" t="str">
        <f>IF(AND(AND(AND(T$4&gt;='2025'!$L161,T$4&lt;='2025'!$M161), T$4&lt;&gt;DATE(2025,7,4)), (SWITCH(weekday(T$4), 1, 0, 2, if(ISBLANK('2025'!$P161), 0, 1), 3, if(ISBLANK('2025'!$Q161), 0, 1), 4, if(ISBLANK('2025'!$R161), 0, 1), 5, if(ISBLANK('2025'!$S161), 0, 1), 6, if(ISBLANK('2025'!$T161), 0, 1), 7, 0))), 1, "")</f>
        <v/>
      </c>
      <c r="U163" s="1" t="str">
        <f>IF(AND(AND(AND(U$4&gt;='2025'!$L161,U$4&lt;='2025'!$M161), U$4&lt;&gt;DATE(2025,7,4)), (SWITCH(weekday(U$4), 1, 0, 2, if(ISBLANK('2025'!$P161), 0, 1), 3, if(ISBLANK('2025'!$Q161), 0, 1), 4, if(ISBLANK('2025'!$R161), 0, 1), 5, if(ISBLANK('2025'!$S161), 0, 1), 6, if(ISBLANK('2025'!$T161), 0, 1), 7, 0))), 1, "")</f>
        <v/>
      </c>
      <c r="V163" s="1" t="str">
        <f>IF(AND(AND(AND(V$4&gt;='2025'!$L161,V$4&lt;='2025'!$M161), V$4&lt;&gt;DATE(2025,7,4)), (SWITCH(weekday(V$4), 1, 0, 2, if(ISBLANK('2025'!$P161), 0, 1), 3, if(ISBLANK('2025'!$Q161), 0, 1), 4, if(ISBLANK('2025'!$R161), 0, 1), 5, if(ISBLANK('2025'!$S161), 0, 1), 6, if(ISBLANK('2025'!$T161), 0, 1), 7, 0))), 1, "")</f>
        <v/>
      </c>
      <c r="W163" s="1" t="str">
        <f>IF(AND(AND(AND(W$4&gt;='2025'!$L161,W$4&lt;='2025'!$M161), W$4&lt;&gt;DATE(2025,7,4)), (SWITCH(weekday(W$4), 1, 0, 2, if(ISBLANK('2025'!$P161), 0, 1), 3, if(ISBLANK('2025'!$Q161), 0, 1), 4, if(ISBLANK('2025'!$R161), 0, 1), 5, if(ISBLANK('2025'!$S161), 0, 1), 6, if(ISBLANK('2025'!$T161), 0, 1), 7, 0))), 1, "")</f>
        <v/>
      </c>
      <c r="X163" s="1" t="str">
        <f>IF(AND(AND(AND(X$4&gt;='2025'!$L161,X$4&lt;='2025'!$M161), X$4&lt;&gt;DATE(2025,7,4)), (SWITCH(weekday(X$4), 1, 0, 2, if(ISBLANK('2025'!$P161), 0, 1), 3, if(ISBLANK('2025'!$Q161), 0, 1), 4, if(ISBLANK('2025'!$R161), 0, 1), 5, if(ISBLANK('2025'!$S161), 0, 1), 6, if(ISBLANK('2025'!$T161), 0, 1), 7, 0))), 1, "")</f>
        <v/>
      </c>
      <c r="Y163" s="1" t="str">
        <f>IF(AND(AND(AND(Y$4&gt;='2025'!$L161,Y$4&lt;='2025'!$M161), Y$4&lt;&gt;DATE(2025,7,4)), (SWITCH(weekday(Y$4), 1, 0, 2, if(ISBLANK('2025'!$P161), 0, 1), 3, if(ISBLANK('2025'!$Q161), 0, 1), 4, if(ISBLANK('2025'!$R161), 0, 1), 5, if(ISBLANK('2025'!$S161), 0, 1), 6, if(ISBLANK('2025'!$T161), 0, 1), 7, 0))), 1, "")</f>
        <v/>
      </c>
      <c r="Z163" s="1" t="str">
        <f>IF(AND(AND(AND(Z$4&gt;='2025'!$L161,Z$4&lt;='2025'!$M161), Z$4&lt;&gt;DATE(2025,7,4)), (SWITCH(weekday(Z$4), 1, 0, 2, if(ISBLANK('2025'!$P161), 0, 1), 3, if(ISBLANK('2025'!$Q161), 0, 1), 4, if(ISBLANK('2025'!$R161), 0, 1), 5, if(ISBLANK('2025'!$S161), 0, 1), 6, if(ISBLANK('2025'!$T161), 0, 1), 7, 0))), 1, "")</f>
        <v/>
      </c>
      <c r="AA163" s="1" t="str">
        <f>IF(AND(AND(AND(AA$4&gt;='2025'!$L161,AA$4&lt;='2025'!$M161), AA$4&lt;&gt;DATE(2025,7,4)), (SWITCH(weekday(AA$4), 1, 0, 2, if(ISBLANK('2025'!$P161), 0, 1), 3, if(ISBLANK('2025'!$Q161), 0, 1), 4, if(ISBLANK('2025'!$R161), 0, 1), 5, if(ISBLANK('2025'!$S161), 0, 1), 6, if(ISBLANK('2025'!$T161), 0, 1), 7, 0))), 1, "")</f>
        <v/>
      </c>
      <c r="AB163" s="1" t="str">
        <f>IF(AND(AND(AND(AB$4&gt;='2025'!$L161,AB$4&lt;='2025'!$M161), AB$4&lt;&gt;DATE(2025,7,4)), (SWITCH(weekday(AB$4), 1, 0, 2, if(ISBLANK('2025'!$P161), 0, 1), 3, if(ISBLANK('2025'!$Q161), 0, 1), 4, if(ISBLANK('2025'!$R161), 0, 1), 5, if(ISBLANK('2025'!$S161), 0, 1), 6, if(ISBLANK('2025'!$T161), 0, 1), 7, 0))), 1, "")</f>
        <v/>
      </c>
      <c r="AC163" s="1" t="str">
        <f>IF(AND(AND(AND(AC$4&gt;='2025'!$L161,AC$4&lt;='2025'!$M161), AC$4&lt;&gt;DATE(2025,7,4)), (SWITCH(weekday(AC$4), 1, 0, 2, if(ISBLANK('2025'!$P161), 0, 1), 3, if(ISBLANK('2025'!$Q161), 0, 1), 4, if(ISBLANK('2025'!$R161), 0, 1), 5, if(ISBLANK('2025'!$S161), 0, 1), 6, if(ISBLANK('2025'!$T161), 0, 1), 7, 0))), 1, "")</f>
        <v/>
      </c>
      <c r="AD163" s="1" t="str">
        <f>IF(AND(AND(AND(AD$4&gt;='2025'!$L161,AD$4&lt;='2025'!$M161), AD$4&lt;&gt;DATE(2025,7,4)), (SWITCH(weekday(AD$4), 1, 0, 2, if(ISBLANK('2025'!$P161), 0, 1), 3, if(ISBLANK('2025'!$Q161), 0, 1), 4, if(ISBLANK('2025'!$R161), 0, 1), 5, if(ISBLANK('2025'!$S161), 0, 1), 6, if(ISBLANK('2025'!$T161), 0, 1), 7, 0))), 1, "")</f>
        <v/>
      </c>
      <c r="AE163" s="1" t="str">
        <f>IF(AND(AND(AND(AE$4&gt;='2025'!$L161,AE$4&lt;='2025'!$M161), AE$4&lt;&gt;DATE(2025,7,4)), (SWITCH(weekday(AE$4), 1, 0, 2, if(ISBLANK('2025'!$P161), 0, 1), 3, if(ISBLANK('2025'!$Q161), 0, 1), 4, if(ISBLANK('2025'!$R161), 0, 1), 5, if(ISBLANK('2025'!$S161), 0, 1), 6, if(ISBLANK('2025'!$T161), 0, 1), 7, 0))), 1, "")</f>
        <v/>
      </c>
      <c r="AF163" s="1" t="str">
        <f>IF(AND(AND(AND(AF$4&gt;='2025'!$L161,AF$4&lt;='2025'!$M161), AF$4&lt;&gt;DATE(2025,7,4)), (SWITCH(weekday(AF$4), 1, 0, 2, if(ISBLANK('2025'!$P161), 0, 1), 3, if(ISBLANK('2025'!$Q161), 0, 1), 4, if(ISBLANK('2025'!$R161), 0, 1), 5, if(ISBLANK('2025'!$S161), 0, 1), 6, if(ISBLANK('2025'!$T161), 0, 1), 7, 0))), 1, "")</f>
        <v/>
      </c>
      <c r="AG163" s="1" t="str">
        <f>IF(AND(AND(AND(AG$4&gt;='2025'!$L161,AG$4&lt;='2025'!$M161), AG$4&lt;&gt;DATE(2025,7,4)), (SWITCH(weekday(AG$4), 1, 0, 2, if(ISBLANK('2025'!$P161), 0, 1), 3, if(ISBLANK('2025'!$Q161), 0, 1), 4, if(ISBLANK('2025'!$R161), 0, 1), 5, if(ISBLANK('2025'!$S161), 0, 1), 6, if(ISBLANK('2025'!$T161), 0, 1), 7, 0))), 1, "")</f>
        <v/>
      </c>
      <c r="AH163" s="1" t="str">
        <f>IF(AND(AND(AND(AH$4&gt;='2025'!$L161,AH$4&lt;='2025'!$M161), AH$4&lt;&gt;DATE(2025,7,4)), (SWITCH(weekday(AH$4), 1, 0, 2, if(ISBLANK('2025'!$P161), 0, 1), 3, if(ISBLANK('2025'!$Q161), 0, 1), 4, if(ISBLANK('2025'!$R161), 0, 1), 5, if(ISBLANK('2025'!$S161), 0, 1), 6, if(ISBLANK('2025'!$T161), 0, 1), 7, 0))), 1, "")</f>
        <v/>
      </c>
      <c r="AI163" s="1" t="str">
        <f>IF(AND(AND(AND(AI$4&gt;='2025'!$L161,AI$4&lt;='2025'!$M161), AI$4&lt;&gt;DATE(2025,7,4)), (SWITCH(weekday(AI$4), 1, 0, 2, if(ISBLANK('2025'!$P161), 0, 1), 3, if(ISBLANK('2025'!$Q161), 0, 1), 4, if(ISBLANK('2025'!$R161), 0, 1), 5, if(ISBLANK('2025'!$S161), 0, 1), 6, if(ISBLANK('2025'!$T161), 0, 1), 7, 0))), 1, "")</f>
        <v/>
      </c>
      <c r="AJ163" s="1" t="str">
        <f>IF(AND(AND(AND(AJ$4&gt;='2025'!$L161,AJ$4&lt;='2025'!$M161), AJ$4&lt;&gt;DATE(2025,7,4)), (SWITCH(weekday(AJ$4), 1, 0, 2, if(ISBLANK('2025'!$P161), 0, 1), 3, if(ISBLANK('2025'!$Q161), 0, 1), 4, if(ISBLANK('2025'!$R161), 0, 1), 5, if(ISBLANK('2025'!$S161), 0, 1), 6, if(ISBLANK('2025'!$T161), 0, 1), 7, 0))), 1, "")</f>
        <v/>
      </c>
      <c r="AK163" s="1" t="str">
        <f>IF(AND(AND(AND(AK$4&gt;='2025'!$L161,AK$4&lt;='2025'!$M161), AK$4&lt;&gt;DATE(2025,7,4)), (SWITCH(weekday(AK$4), 1, 0, 2, if(ISBLANK('2025'!$P161), 0, 1), 3, if(ISBLANK('2025'!$Q161), 0, 1), 4, if(ISBLANK('2025'!$R161), 0, 1), 5, if(ISBLANK('2025'!$S161), 0, 1), 6, if(ISBLANK('2025'!$T161), 0, 1), 7, 0))), 1, "")</f>
        <v/>
      </c>
      <c r="AL163" s="1" t="str">
        <f>IF(AND(AND(AND(AL$4&gt;='2025'!$L161,AL$4&lt;='2025'!$M161), AL$4&lt;&gt;DATE(2025,7,4)), (SWITCH(weekday(AL$4), 1, 0, 2, if(ISBLANK('2025'!$P161), 0, 1), 3, if(ISBLANK('2025'!$Q161), 0, 1), 4, if(ISBLANK('2025'!$R161), 0, 1), 5, if(ISBLANK('2025'!$S161), 0, 1), 6, if(ISBLANK('2025'!$T161), 0, 1), 7, 0))), 1, "")</f>
        <v/>
      </c>
      <c r="AM163" s="1" t="str">
        <f>IF(AND(AND(AND(AM$4&gt;='2025'!$L161,AM$4&lt;='2025'!$M161), AM$4&lt;&gt;DATE(2025,7,4)), (SWITCH(weekday(AM$4), 1, 0, 2, if(ISBLANK('2025'!$P161), 0, 1), 3, if(ISBLANK('2025'!$Q161), 0, 1), 4, if(ISBLANK('2025'!$R161), 0, 1), 5, if(ISBLANK('2025'!$S161), 0, 1), 6, if(ISBLANK('2025'!$T161), 0, 1), 7, 0))), 1, "")</f>
        <v/>
      </c>
      <c r="AN163" s="1" t="str">
        <f>IF(AND(AND(AND(AN$4&gt;='2025'!$L161,AN$4&lt;='2025'!$M161), AN$4&lt;&gt;DATE(2025,7,4)), (SWITCH(weekday(AN$4), 1, 0, 2, if(ISBLANK('2025'!$P161), 0, 1), 3, if(ISBLANK('2025'!$Q161), 0, 1), 4, if(ISBLANK('2025'!$R161), 0, 1), 5, if(ISBLANK('2025'!$S161), 0, 1), 6, if(ISBLANK('2025'!$T161), 0, 1), 7, 0))), 1, "")</f>
        <v/>
      </c>
      <c r="AO163" s="1" t="str">
        <f>IF(AND(AND(AND(AO$4&gt;='2025'!$L161,AO$4&lt;='2025'!$M161), AO$4&lt;&gt;DATE(2025,7,4)), (SWITCH(weekday(AO$4), 1, 0, 2, if(ISBLANK('2025'!$P161), 0, 1), 3, if(ISBLANK('2025'!$Q161), 0, 1), 4, if(ISBLANK('2025'!$R161), 0, 1), 5, if(ISBLANK('2025'!$S161), 0, 1), 6, if(ISBLANK('2025'!$T161), 0, 1), 7, 0))), 1, "")</f>
        <v/>
      </c>
      <c r="AP163" s="1" t="str">
        <f>IF(AND(AND(AND(AP$4&gt;='2025'!$L161,AP$4&lt;='2025'!$M161), AP$4&lt;&gt;DATE(2025,7,4)), (SWITCH(weekday(AP$4), 1, 0, 2, if(ISBLANK('2025'!$P161), 0, 1), 3, if(ISBLANK('2025'!$Q161), 0, 1), 4, if(ISBLANK('2025'!$R161), 0, 1), 5, if(ISBLANK('2025'!$S161), 0, 1), 6, if(ISBLANK('2025'!$T161), 0, 1), 7, 0))), 1, "")</f>
        <v/>
      </c>
      <c r="AQ163" s="1" t="str">
        <f>IF(AND(AND(AND(AQ$4&gt;='2025'!$L161,AQ$4&lt;='2025'!$M161), AQ$4&lt;&gt;DATE(2025,7,4)), (SWITCH(weekday(AQ$4), 1, 0, 2, if(ISBLANK('2025'!$P161), 0, 1), 3, if(ISBLANK('2025'!$Q161), 0, 1), 4, if(ISBLANK('2025'!$R161), 0, 1), 5, if(ISBLANK('2025'!$S161), 0, 1), 6, if(ISBLANK('2025'!$T161), 0, 1), 7, 0))), 1, "")</f>
        <v/>
      </c>
      <c r="AR163" s="1" t="str">
        <f>IF(AND(AND(AND(AR$4&gt;='2025'!$L161,AR$4&lt;='2025'!$M161), AR$4&lt;&gt;DATE(2025,7,4)), (SWITCH(weekday(AR$4), 1, 0, 2, if(ISBLANK('2025'!$P161), 0, 1), 3, if(ISBLANK('2025'!$Q161), 0, 1), 4, if(ISBLANK('2025'!$R161), 0, 1), 5, if(ISBLANK('2025'!$S161), 0, 1), 6, if(ISBLANK('2025'!$T161), 0, 1), 7, 0))), 1, "")</f>
        <v/>
      </c>
      <c r="AS163" s="1" t="str">
        <f>IF(AND(AND(AND(AS$4&gt;='2025'!$L161,AS$4&lt;='2025'!$M161), AS$4&lt;&gt;DATE(2025,7,4)), (SWITCH(weekday(AS$4), 1, 0, 2, if(ISBLANK('2025'!$P161), 0, 1), 3, if(ISBLANK('2025'!$Q161), 0, 1), 4, if(ISBLANK('2025'!$R161), 0, 1), 5, if(ISBLANK('2025'!$S161), 0, 1), 6, if(ISBLANK('2025'!$T161), 0, 1), 7, 0))), 1, "")</f>
        <v/>
      </c>
      <c r="AT163" s="1" t="str">
        <f>IF(AND(AND(AND(AT$4&gt;='2025'!$L161,AT$4&lt;='2025'!$M161), AT$4&lt;&gt;DATE(2025,7,4)), (SWITCH(weekday(AT$4), 1, 0, 2, if(ISBLANK('2025'!$P161), 0, 1), 3, if(ISBLANK('2025'!$Q161), 0, 1), 4, if(ISBLANK('2025'!$R161), 0, 1), 5, if(ISBLANK('2025'!$S161), 0, 1), 6, if(ISBLANK('2025'!$T161), 0, 1), 7, 0))), 1, "")</f>
        <v/>
      </c>
      <c r="AU163" s="1" t="str">
        <f>IF(AND(AND(AND(AU$4&gt;='2025'!$L161,AU$4&lt;='2025'!$M161), AU$4&lt;&gt;DATE(2025,7,4)), (SWITCH(weekday(AU$4), 1, 0, 2, if(ISBLANK('2025'!$P161), 0, 1), 3, if(ISBLANK('2025'!$Q161), 0, 1), 4, if(ISBLANK('2025'!$R161), 0, 1), 5, if(ISBLANK('2025'!$S161), 0, 1), 6, if(ISBLANK('2025'!$T161), 0, 1), 7, 0))), 1, "")</f>
        <v/>
      </c>
      <c r="AV163" s="1" t="str">
        <f>IF(AND(AND(AND(AV$4&gt;='2025'!$L161,AV$4&lt;='2025'!$M161), AV$4&lt;&gt;DATE(2025,7,4)), (SWITCH(weekday(AV$4), 1, 0, 2, if(ISBLANK('2025'!$P161), 0, 1), 3, if(ISBLANK('2025'!$Q161), 0, 1), 4, if(ISBLANK('2025'!$R161), 0, 1), 5, if(ISBLANK('2025'!$S161), 0, 1), 6, if(ISBLANK('2025'!$T161), 0, 1), 7, 0))), 1, "")</f>
        <v/>
      </c>
      <c r="AW163" s="1" t="str">
        <f>IF(AND(AND(AND(AW$4&gt;='2025'!$L161,AW$4&lt;='2025'!$M161), AW$4&lt;&gt;DATE(2025,7,4)), (SWITCH(weekday(AW$4), 1, 0, 2, if(ISBLANK('2025'!$P161), 0, 1), 3, if(ISBLANK('2025'!$Q161), 0, 1), 4, if(ISBLANK('2025'!$R161), 0, 1), 5, if(ISBLANK('2025'!$S161), 0, 1), 6, if(ISBLANK('2025'!$T161), 0, 1), 7, 0))), 1, "")</f>
        <v/>
      </c>
      <c r="AX163" s="1" t="str">
        <f>IF(AND(AND(AND(AX$4&gt;='2025'!$L161,AX$4&lt;='2025'!$M161), AX$4&lt;&gt;DATE(2025,7,4)), (SWITCH(weekday(AX$4), 1, 0, 2, if(ISBLANK('2025'!$P161), 0, 1), 3, if(ISBLANK('2025'!$Q161), 0, 1), 4, if(ISBLANK('2025'!$R161), 0, 1), 5, if(ISBLANK('2025'!$S161), 0, 1), 6, if(ISBLANK('2025'!$T161), 0, 1), 7, 0))), 1, "")</f>
        <v/>
      </c>
      <c r="AY163" s="1" t="str">
        <f>IF(AND(AND(AND(AY$4&gt;='2025'!$L161,AY$4&lt;='2025'!$M161), AY$4&lt;&gt;DATE(2025,7,4)), (SWITCH(weekday(AY$4), 1, 0, 2, if(ISBLANK('2025'!$P161), 0, 1), 3, if(ISBLANK('2025'!$Q161), 0, 1), 4, if(ISBLANK('2025'!$R161), 0, 1), 5, if(ISBLANK('2025'!$S161), 0, 1), 6, if(ISBLANK('2025'!$T161), 0, 1), 7, 0))), 1, "")</f>
        <v/>
      </c>
      <c r="AZ163" s="1" t="str">
        <f>IF(AND(AND(AND(AZ$4&gt;='2025'!$L161,AZ$4&lt;='2025'!$M161), AZ$4&lt;&gt;DATE(2025,7,4)), (SWITCH(weekday(AZ$4), 1, 0, 2, if(ISBLANK('2025'!$P161), 0, 1), 3, if(ISBLANK('2025'!$Q161), 0, 1), 4, if(ISBLANK('2025'!$R161), 0, 1), 5, if(ISBLANK('2025'!$S161), 0, 1), 6, if(ISBLANK('2025'!$T161), 0, 1), 7, 0))), 1, "")</f>
        <v/>
      </c>
      <c r="BA163" s="1" t="str">
        <f>IF(AND(AND(AND(BA$4&gt;='2025'!$L161,BA$4&lt;='2025'!$M161), BA$4&lt;&gt;DATE(2025,7,4)), (SWITCH(weekday(BA$4), 1, 0, 2, if(ISBLANK('2025'!$P161), 0, 1), 3, if(ISBLANK('2025'!$Q161), 0, 1), 4, if(ISBLANK('2025'!$R161), 0, 1), 5, if(ISBLANK('2025'!$S161), 0, 1), 6, if(ISBLANK('2025'!$T161), 0, 1), 7, 0))), 1, "")</f>
        <v/>
      </c>
      <c r="BB163" s="1" t="str">
        <f>IF(AND(AND(AND(BB$4&gt;='2025'!$L161,BB$4&lt;='2025'!$M161), BB$4&lt;&gt;DATE(2025,7,4)), (SWITCH(weekday(BB$4), 1, 0, 2, if(ISBLANK('2025'!$P161), 0, 1), 3, if(ISBLANK('2025'!$Q161), 0, 1), 4, if(ISBLANK('2025'!$R161), 0, 1), 5, if(ISBLANK('2025'!$S161), 0, 1), 6, if(ISBLANK('2025'!$T161), 0, 1), 7, 0))), 1, "")</f>
        <v/>
      </c>
      <c r="BC163" s="1" t="str">
        <f>IF(AND(AND(AND(BC$4&gt;='2025'!$L161,BC$4&lt;='2025'!$M161), BC$4&lt;&gt;DATE(2025,7,4)), (SWITCH(weekday(BC$4), 1, 0, 2, if(ISBLANK('2025'!$P161), 0, 1), 3, if(ISBLANK('2025'!$Q161), 0, 1), 4, if(ISBLANK('2025'!$R161), 0, 1), 5, if(ISBLANK('2025'!$S161), 0, 1), 6, if(ISBLANK('2025'!$T161), 0, 1), 7, 0))), 1, "")</f>
        <v/>
      </c>
      <c r="BD163" s="1" t="str">
        <f>IF(AND(AND(AND(BD$4&gt;='2025'!$L161,BD$4&lt;='2025'!$M161), BD$4&lt;&gt;DATE(2025,7,4)), (SWITCH(weekday(BD$4), 1, 0, 2, if(ISBLANK('2025'!$P161), 0, 1), 3, if(ISBLANK('2025'!$Q161), 0, 1), 4, if(ISBLANK('2025'!$R161), 0, 1), 5, if(ISBLANK('2025'!$S161), 0, 1), 6, if(ISBLANK('2025'!$T161), 0, 1), 7, 0))), 1, "")</f>
        <v/>
      </c>
      <c r="BE163" s="1" t="str">
        <f>IF(AND(AND(AND(BE$4&gt;='2025'!$L161,BE$4&lt;='2025'!$M161), BE$4&lt;&gt;DATE(2025,7,4)), (SWITCH(weekday(BE$4), 1, 0, 2, if(ISBLANK('2025'!$P161), 0, 1), 3, if(ISBLANK('2025'!$Q161), 0, 1), 4, if(ISBLANK('2025'!$R161), 0, 1), 5, if(ISBLANK('2025'!$S161), 0, 1), 6, if(ISBLANK('2025'!$T161), 0, 1), 7, 0))), 1, "")</f>
        <v/>
      </c>
      <c r="BF163" s="1" t="str">
        <f>IF(AND(AND(AND(BF$4&gt;='2025'!$L161,BF$4&lt;='2025'!$M161), BF$4&lt;&gt;DATE(2025,7,4)), (SWITCH(weekday(BF$4), 1, 0, 2, if(ISBLANK('2025'!$P161), 0, 1), 3, if(ISBLANK('2025'!$Q161), 0, 1), 4, if(ISBLANK('2025'!$R161), 0, 1), 5, if(ISBLANK('2025'!$S161), 0, 1), 6, if(ISBLANK('2025'!$T161), 0, 1), 7, 0))), 1, "")</f>
        <v/>
      </c>
      <c r="BG163" s="1"/>
      <c r="BH163" s="1"/>
      <c r="BI163" s="1"/>
      <c r="BJ163" s="1"/>
      <c r="BK163" s="1"/>
      <c r="BL163" s="1"/>
    </row>
    <row r="164">
      <c r="A164" s="1">
        <f t="shared" si="3"/>
        <v>164</v>
      </c>
      <c r="B164" s="1" t="str">
        <f>'2025'!D128</f>
        <v>, </v>
      </c>
      <c r="C164" s="1" t="str">
        <f>'2025'!H128</f>
        <v/>
      </c>
      <c r="D164" s="1" t="str">
        <f>IF(AND(AND(AND(D$4&gt;='2025'!$L162,D$4&lt;='2025'!$M162), D$4&lt;&gt;DATE(2025,7,4)), (SWITCH(weekday(D$4), 1, 0, 2, if(ISBLANK('2025'!$P162), 0, 1), 3, if(ISBLANK('2025'!$Q162), 0, 1), 4, if(ISBLANK('2025'!$R162), 0, 1), 5, if(ISBLANK('2025'!$S162), 0, 1), 6, if(ISBLANK('2025'!$T162), 0, 1), 7, 0))), 1, "")</f>
        <v/>
      </c>
      <c r="E164" s="1" t="str">
        <f>IF(AND(AND(AND(E$4&gt;='2025'!$L162,E$4&lt;='2025'!$M162), E$4&lt;&gt;DATE(2025,7,4)), (SWITCH(weekday(E$4), 1, 0, 2, if(ISBLANK('2025'!$P162), 0, 1), 3, if(ISBLANK('2025'!$Q162), 0, 1), 4, if(ISBLANK('2025'!$R162), 0, 1), 5, if(ISBLANK('2025'!$S162), 0, 1), 6, if(ISBLANK('2025'!$T162), 0, 1), 7, 0))), 1, "")</f>
        <v/>
      </c>
      <c r="F164" s="1" t="str">
        <f>IF(AND(AND(AND(F$4&gt;='2025'!$L162,F$4&lt;='2025'!$M162), F$4&lt;&gt;DATE(2025,7,4)), (SWITCH(weekday(F$4), 1, 0, 2, if(ISBLANK('2025'!$P162), 0, 1), 3, if(ISBLANK('2025'!$Q162), 0, 1), 4, if(ISBLANK('2025'!$R162), 0, 1), 5, if(ISBLANK('2025'!$S162), 0, 1), 6, if(ISBLANK('2025'!$T162), 0, 1), 7, 0))), 1, "")</f>
        <v/>
      </c>
      <c r="G164" s="1" t="str">
        <f>IF(AND(AND(AND(G$4&gt;='2025'!$L162,G$4&lt;='2025'!$M162), G$4&lt;&gt;DATE(2025,7,4)), (SWITCH(weekday(G$4), 1, 0, 2, if(ISBLANK('2025'!$P162), 0, 1), 3, if(ISBLANK('2025'!$Q162), 0, 1), 4, if(ISBLANK('2025'!$R162), 0, 1), 5, if(ISBLANK('2025'!$S162), 0, 1), 6, if(ISBLANK('2025'!$T162), 0, 1), 7, 0))), 1, "")</f>
        <v/>
      </c>
      <c r="H164" s="1" t="str">
        <f>IF(AND(AND(AND(H$4&gt;='2025'!$L162,H$4&lt;='2025'!$M162), H$4&lt;&gt;DATE(2025,7,4)), (SWITCH(weekday(H$4), 1, 0, 2, if(ISBLANK('2025'!$P162), 0, 1), 3, if(ISBLANK('2025'!$Q162), 0, 1), 4, if(ISBLANK('2025'!$R162), 0, 1), 5, if(ISBLANK('2025'!$S162), 0, 1), 6, if(ISBLANK('2025'!$T162), 0, 1), 7, 0))), 1, "")</f>
        <v/>
      </c>
      <c r="I164" s="1" t="str">
        <f>IF(AND(AND(AND(I$4&gt;='2025'!$L162,I$4&lt;='2025'!$M162), I$4&lt;&gt;DATE(2025,7,4)), (SWITCH(weekday(I$4), 1, 0, 2, if(ISBLANK('2025'!$P162), 0, 1), 3, if(ISBLANK('2025'!$Q162), 0, 1), 4, if(ISBLANK('2025'!$R162), 0, 1), 5, if(ISBLANK('2025'!$S162), 0, 1), 6, if(ISBLANK('2025'!$T162), 0, 1), 7, 0))), 1, "")</f>
        <v/>
      </c>
      <c r="J164" s="1" t="str">
        <f>IF(AND(AND(AND(J$4&gt;='2025'!$L162,J$4&lt;='2025'!$M162), J$4&lt;&gt;DATE(2025,7,4)), (SWITCH(weekday(J$4), 1, 0, 2, if(ISBLANK('2025'!$P162), 0, 1), 3, if(ISBLANK('2025'!$Q162), 0, 1), 4, if(ISBLANK('2025'!$R162), 0, 1), 5, if(ISBLANK('2025'!$S162), 0, 1), 6, if(ISBLANK('2025'!$T162), 0, 1), 7, 0))), 1, "")</f>
        <v/>
      </c>
      <c r="K164" s="1" t="str">
        <f>IF(AND(AND(AND(K$4&gt;='2025'!$L162,K$4&lt;='2025'!$M162), K$4&lt;&gt;DATE(2025,7,4)), (SWITCH(weekday(K$4), 1, 0, 2, if(ISBLANK('2025'!$P162), 0, 1), 3, if(ISBLANK('2025'!$Q162), 0, 1), 4, if(ISBLANK('2025'!$R162), 0, 1), 5, if(ISBLANK('2025'!$S162), 0, 1), 6, if(ISBLANK('2025'!$T162), 0, 1), 7, 0))), 1, "")</f>
        <v/>
      </c>
      <c r="L164" s="1" t="str">
        <f>IF(AND(AND(AND(L$4&gt;='2025'!$L162,L$4&lt;='2025'!$M162), L$4&lt;&gt;DATE(2025,7,4)), (SWITCH(weekday(L$4), 1, 0, 2, if(ISBLANK('2025'!$P162), 0, 1), 3, if(ISBLANK('2025'!$Q162), 0, 1), 4, if(ISBLANK('2025'!$R162), 0, 1), 5, if(ISBLANK('2025'!$S162), 0, 1), 6, if(ISBLANK('2025'!$T162), 0, 1), 7, 0))), 1, "")</f>
        <v/>
      </c>
      <c r="M164" s="1" t="str">
        <f>IF(AND(AND(AND(M$4&gt;='2025'!$L162,M$4&lt;='2025'!$M162), M$4&lt;&gt;DATE(2025,7,4)), (SWITCH(weekday(M$4), 1, 0, 2, if(ISBLANK('2025'!$P162), 0, 1), 3, if(ISBLANK('2025'!$Q162), 0, 1), 4, if(ISBLANK('2025'!$R162), 0, 1), 5, if(ISBLANK('2025'!$S162), 0, 1), 6, if(ISBLANK('2025'!$T162), 0, 1), 7, 0))), 1, "")</f>
        <v/>
      </c>
      <c r="N164" s="1" t="str">
        <f>IF(AND(AND(AND(N$4&gt;='2025'!$L162,N$4&lt;='2025'!$M162), N$4&lt;&gt;DATE(2025,7,4)), (SWITCH(weekday(N$4), 1, 0, 2, if(ISBLANK('2025'!$P162), 0, 1), 3, if(ISBLANK('2025'!$Q162), 0, 1), 4, if(ISBLANK('2025'!$R162), 0, 1), 5, if(ISBLANK('2025'!$S162), 0, 1), 6, if(ISBLANK('2025'!$T162), 0, 1), 7, 0))), 1, "")</f>
        <v/>
      </c>
      <c r="O164" s="1" t="str">
        <f>IF(AND(AND(AND(O$4&gt;='2025'!$L162,O$4&lt;='2025'!$M162), O$4&lt;&gt;DATE(2025,7,4)), (SWITCH(weekday(O$4), 1, 0, 2, if(ISBLANK('2025'!$P162), 0, 1), 3, if(ISBLANK('2025'!$Q162), 0, 1), 4, if(ISBLANK('2025'!$R162), 0, 1), 5, if(ISBLANK('2025'!$S162), 0, 1), 6, if(ISBLANK('2025'!$T162), 0, 1), 7, 0))), 1, "")</f>
        <v/>
      </c>
      <c r="P164" s="1" t="str">
        <f>IF(AND(AND(AND(P$4&gt;='2025'!$L162,P$4&lt;='2025'!$M162), P$4&lt;&gt;DATE(2025,7,4)), (SWITCH(weekday(P$4), 1, 0, 2, if(ISBLANK('2025'!$P162), 0, 1), 3, if(ISBLANK('2025'!$Q162), 0, 1), 4, if(ISBLANK('2025'!$R162), 0, 1), 5, if(ISBLANK('2025'!$S162), 0, 1), 6, if(ISBLANK('2025'!$T162), 0, 1), 7, 0))), 1, "")</f>
        <v/>
      </c>
      <c r="Q164" s="1" t="str">
        <f>IF(AND(AND(AND(Q$4&gt;='2025'!$L162,Q$4&lt;='2025'!$M162), Q$4&lt;&gt;DATE(2025,7,4)), (SWITCH(weekday(Q$4), 1, 0, 2, if(ISBLANK('2025'!$P162), 0, 1), 3, if(ISBLANK('2025'!$Q162), 0, 1), 4, if(ISBLANK('2025'!$R162), 0, 1), 5, if(ISBLANK('2025'!$S162), 0, 1), 6, if(ISBLANK('2025'!$T162), 0, 1), 7, 0))), 1, "")</f>
        <v/>
      </c>
      <c r="R164" s="1" t="str">
        <f>IF(AND(AND(AND(R$4&gt;='2025'!$L162,R$4&lt;='2025'!$M162), R$4&lt;&gt;DATE(2025,7,4)), (SWITCH(weekday(R$4), 1, 0, 2, if(ISBLANK('2025'!$P162), 0, 1), 3, if(ISBLANK('2025'!$Q162), 0, 1), 4, if(ISBLANK('2025'!$R162), 0, 1), 5, if(ISBLANK('2025'!$S162), 0, 1), 6, if(ISBLANK('2025'!$T162), 0, 1), 7, 0))), 1, "")</f>
        <v/>
      </c>
      <c r="S164" s="1" t="str">
        <f>IF(AND(AND(AND(S$4&gt;='2025'!$L162,S$4&lt;='2025'!$M162), S$4&lt;&gt;DATE(2025,7,4)), (SWITCH(weekday(S$4), 1, 0, 2, if(ISBLANK('2025'!$P162), 0, 1), 3, if(ISBLANK('2025'!$Q162), 0, 1), 4, if(ISBLANK('2025'!$R162), 0, 1), 5, if(ISBLANK('2025'!$S162), 0, 1), 6, if(ISBLANK('2025'!$T162), 0, 1), 7, 0))), 1, "")</f>
        <v/>
      </c>
      <c r="T164" s="1" t="str">
        <f>IF(AND(AND(AND(T$4&gt;='2025'!$L162,T$4&lt;='2025'!$M162), T$4&lt;&gt;DATE(2025,7,4)), (SWITCH(weekday(T$4), 1, 0, 2, if(ISBLANK('2025'!$P162), 0, 1), 3, if(ISBLANK('2025'!$Q162), 0, 1), 4, if(ISBLANK('2025'!$R162), 0, 1), 5, if(ISBLANK('2025'!$S162), 0, 1), 6, if(ISBLANK('2025'!$T162), 0, 1), 7, 0))), 1, "")</f>
        <v/>
      </c>
      <c r="U164" s="1" t="str">
        <f>IF(AND(AND(AND(U$4&gt;='2025'!$L162,U$4&lt;='2025'!$M162), U$4&lt;&gt;DATE(2025,7,4)), (SWITCH(weekday(U$4), 1, 0, 2, if(ISBLANK('2025'!$P162), 0, 1), 3, if(ISBLANK('2025'!$Q162), 0, 1), 4, if(ISBLANK('2025'!$R162), 0, 1), 5, if(ISBLANK('2025'!$S162), 0, 1), 6, if(ISBLANK('2025'!$T162), 0, 1), 7, 0))), 1, "")</f>
        <v/>
      </c>
      <c r="V164" s="1" t="str">
        <f>IF(AND(AND(AND(V$4&gt;='2025'!$L162,V$4&lt;='2025'!$M162), V$4&lt;&gt;DATE(2025,7,4)), (SWITCH(weekday(V$4), 1, 0, 2, if(ISBLANK('2025'!$P162), 0, 1), 3, if(ISBLANK('2025'!$Q162), 0, 1), 4, if(ISBLANK('2025'!$R162), 0, 1), 5, if(ISBLANK('2025'!$S162), 0, 1), 6, if(ISBLANK('2025'!$T162), 0, 1), 7, 0))), 1, "")</f>
        <v/>
      </c>
      <c r="W164" s="1" t="str">
        <f>IF(AND(AND(AND(W$4&gt;='2025'!$L162,W$4&lt;='2025'!$M162), W$4&lt;&gt;DATE(2025,7,4)), (SWITCH(weekday(W$4), 1, 0, 2, if(ISBLANK('2025'!$P162), 0, 1), 3, if(ISBLANK('2025'!$Q162), 0, 1), 4, if(ISBLANK('2025'!$R162), 0, 1), 5, if(ISBLANK('2025'!$S162), 0, 1), 6, if(ISBLANK('2025'!$T162), 0, 1), 7, 0))), 1, "")</f>
        <v/>
      </c>
      <c r="X164" s="1" t="str">
        <f>IF(AND(AND(AND(X$4&gt;='2025'!$L162,X$4&lt;='2025'!$M162), X$4&lt;&gt;DATE(2025,7,4)), (SWITCH(weekday(X$4), 1, 0, 2, if(ISBLANK('2025'!$P162), 0, 1), 3, if(ISBLANK('2025'!$Q162), 0, 1), 4, if(ISBLANK('2025'!$R162), 0, 1), 5, if(ISBLANK('2025'!$S162), 0, 1), 6, if(ISBLANK('2025'!$T162), 0, 1), 7, 0))), 1, "")</f>
        <v/>
      </c>
      <c r="Y164" s="1" t="str">
        <f>IF(AND(AND(AND(Y$4&gt;='2025'!$L162,Y$4&lt;='2025'!$M162), Y$4&lt;&gt;DATE(2025,7,4)), (SWITCH(weekday(Y$4), 1, 0, 2, if(ISBLANK('2025'!$P162), 0, 1), 3, if(ISBLANK('2025'!$Q162), 0, 1), 4, if(ISBLANK('2025'!$R162), 0, 1), 5, if(ISBLANK('2025'!$S162), 0, 1), 6, if(ISBLANK('2025'!$T162), 0, 1), 7, 0))), 1, "")</f>
        <v/>
      </c>
      <c r="Z164" s="1" t="str">
        <f>IF(AND(AND(AND(Z$4&gt;='2025'!$L162,Z$4&lt;='2025'!$M162), Z$4&lt;&gt;DATE(2025,7,4)), (SWITCH(weekday(Z$4), 1, 0, 2, if(ISBLANK('2025'!$P162), 0, 1), 3, if(ISBLANK('2025'!$Q162), 0, 1), 4, if(ISBLANK('2025'!$R162), 0, 1), 5, if(ISBLANK('2025'!$S162), 0, 1), 6, if(ISBLANK('2025'!$T162), 0, 1), 7, 0))), 1, "")</f>
        <v/>
      </c>
      <c r="AA164" s="1" t="str">
        <f>IF(AND(AND(AND(AA$4&gt;='2025'!$L162,AA$4&lt;='2025'!$M162), AA$4&lt;&gt;DATE(2025,7,4)), (SWITCH(weekday(AA$4), 1, 0, 2, if(ISBLANK('2025'!$P162), 0, 1), 3, if(ISBLANK('2025'!$Q162), 0, 1), 4, if(ISBLANK('2025'!$R162), 0, 1), 5, if(ISBLANK('2025'!$S162), 0, 1), 6, if(ISBLANK('2025'!$T162), 0, 1), 7, 0))), 1, "")</f>
        <v/>
      </c>
      <c r="AB164" s="1" t="str">
        <f>IF(AND(AND(AND(AB$4&gt;='2025'!$L162,AB$4&lt;='2025'!$M162), AB$4&lt;&gt;DATE(2025,7,4)), (SWITCH(weekday(AB$4), 1, 0, 2, if(ISBLANK('2025'!$P162), 0, 1), 3, if(ISBLANK('2025'!$Q162), 0, 1), 4, if(ISBLANK('2025'!$R162), 0, 1), 5, if(ISBLANK('2025'!$S162), 0, 1), 6, if(ISBLANK('2025'!$T162), 0, 1), 7, 0))), 1, "")</f>
        <v/>
      </c>
      <c r="AC164" s="1" t="str">
        <f>IF(AND(AND(AND(AC$4&gt;='2025'!$L162,AC$4&lt;='2025'!$M162), AC$4&lt;&gt;DATE(2025,7,4)), (SWITCH(weekday(AC$4), 1, 0, 2, if(ISBLANK('2025'!$P162), 0, 1), 3, if(ISBLANK('2025'!$Q162), 0, 1), 4, if(ISBLANK('2025'!$R162), 0, 1), 5, if(ISBLANK('2025'!$S162), 0, 1), 6, if(ISBLANK('2025'!$T162), 0, 1), 7, 0))), 1, "")</f>
        <v/>
      </c>
      <c r="AD164" s="1" t="str">
        <f>IF(AND(AND(AND(AD$4&gt;='2025'!$L162,AD$4&lt;='2025'!$M162), AD$4&lt;&gt;DATE(2025,7,4)), (SWITCH(weekday(AD$4), 1, 0, 2, if(ISBLANK('2025'!$P162), 0, 1), 3, if(ISBLANK('2025'!$Q162), 0, 1), 4, if(ISBLANK('2025'!$R162), 0, 1), 5, if(ISBLANK('2025'!$S162), 0, 1), 6, if(ISBLANK('2025'!$T162), 0, 1), 7, 0))), 1, "")</f>
        <v/>
      </c>
      <c r="AE164" s="1" t="str">
        <f>IF(AND(AND(AND(AE$4&gt;='2025'!$L162,AE$4&lt;='2025'!$M162), AE$4&lt;&gt;DATE(2025,7,4)), (SWITCH(weekday(AE$4), 1, 0, 2, if(ISBLANK('2025'!$P162), 0, 1), 3, if(ISBLANK('2025'!$Q162), 0, 1), 4, if(ISBLANK('2025'!$R162), 0, 1), 5, if(ISBLANK('2025'!$S162), 0, 1), 6, if(ISBLANK('2025'!$T162), 0, 1), 7, 0))), 1, "")</f>
        <v/>
      </c>
      <c r="AF164" s="1" t="str">
        <f>IF(AND(AND(AND(AF$4&gt;='2025'!$L162,AF$4&lt;='2025'!$M162), AF$4&lt;&gt;DATE(2025,7,4)), (SWITCH(weekday(AF$4), 1, 0, 2, if(ISBLANK('2025'!$P162), 0, 1), 3, if(ISBLANK('2025'!$Q162), 0, 1), 4, if(ISBLANK('2025'!$R162), 0, 1), 5, if(ISBLANK('2025'!$S162), 0, 1), 6, if(ISBLANK('2025'!$T162), 0, 1), 7, 0))), 1, "")</f>
        <v/>
      </c>
      <c r="AG164" s="1" t="str">
        <f>IF(AND(AND(AND(AG$4&gt;='2025'!$L162,AG$4&lt;='2025'!$M162), AG$4&lt;&gt;DATE(2025,7,4)), (SWITCH(weekday(AG$4), 1, 0, 2, if(ISBLANK('2025'!$P162), 0, 1), 3, if(ISBLANK('2025'!$Q162), 0, 1), 4, if(ISBLANK('2025'!$R162), 0, 1), 5, if(ISBLANK('2025'!$S162), 0, 1), 6, if(ISBLANK('2025'!$T162), 0, 1), 7, 0))), 1, "")</f>
        <v/>
      </c>
      <c r="AH164" s="1" t="str">
        <f>IF(AND(AND(AND(AH$4&gt;='2025'!$L162,AH$4&lt;='2025'!$M162), AH$4&lt;&gt;DATE(2025,7,4)), (SWITCH(weekday(AH$4), 1, 0, 2, if(ISBLANK('2025'!$P162), 0, 1), 3, if(ISBLANK('2025'!$Q162), 0, 1), 4, if(ISBLANK('2025'!$R162), 0, 1), 5, if(ISBLANK('2025'!$S162), 0, 1), 6, if(ISBLANK('2025'!$T162), 0, 1), 7, 0))), 1, "")</f>
        <v/>
      </c>
      <c r="AI164" s="1" t="str">
        <f>IF(AND(AND(AND(AI$4&gt;='2025'!$L162,AI$4&lt;='2025'!$M162), AI$4&lt;&gt;DATE(2025,7,4)), (SWITCH(weekday(AI$4), 1, 0, 2, if(ISBLANK('2025'!$P162), 0, 1), 3, if(ISBLANK('2025'!$Q162), 0, 1), 4, if(ISBLANK('2025'!$R162), 0, 1), 5, if(ISBLANK('2025'!$S162), 0, 1), 6, if(ISBLANK('2025'!$T162), 0, 1), 7, 0))), 1, "")</f>
        <v/>
      </c>
      <c r="AJ164" s="1" t="str">
        <f>IF(AND(AND(AND(AJ$4&gt;='2025'!$L162,AJ$4&lt;='2025'!$M162), AJ$4&lt;&gt;DATE(2025,7,4)), (SWITCH(weekday(AJ$4), 1, 0, 2, if(ISBLANK('2025'!$P162), 0, 1), 3, if(ISBLANK('2025'!$Q162), 0, 1), 4, if(ISBLANK('2025'!$R162), 0, 1), 5, if(ISBLANK('2025'!$S162), 0, 1), 6, if(ISBLANK('2025'!$T162), 0, 1), 7, 0))), 1, "")</f>
        <v/>
      </c>
      <c r="AK164" s="1" t="str">
        <f>IF(AND(AND(AND(AK$4&gt;='2025'!$L162,AK$4&lt;='2025'!$M162), AK$4&lt;&gt;DATE(2025,7,4)), (SWITCH(weekday(AK$4), 1, 0, 2, if(ISBLANK('2025'!$P162), 0, 1), 3, if(ISBLANK('2025'!$Q162), 0, 1), 4, if(ISBLANK('2025'!$R162), 0, 1), 5, if(ISBLANK('2025'!$S162), 0, 1), 6, if(ISBLANK('2025'!$T162), 0, 1), 7, 0))), 1, "")</f>
        <v/>
      </c>
      <c r="AL164" s="1" t="str">
        <f>IF(AND(AND(AND(AL$4&gt;='2025'!$L162,AL$4&lt;='2025'!$M162), AL$4&lt;&gt;DATE(2025,7,4)), (SWITCH(weekday(AL$4), 1, 0, 2, if(ISBLANK('2025'!$P162), 0, 1), 3, if(ISBLANK('2025'!$Q162), 0, 1), 4, if(ISBLANK('2025'!$R162), 0, 1), 5, if(ISBLANK('2025'!$S162), 0, 1), 6, if(ISBLANK('2025'!$T162), 0, 1), 7, 0))), 1, "")</f>
        <v/>
      </c>
      <c r="AM164" s="1" t="str">
        <f>IF(AND(AND(AND(AM$4&gt;='2025'!$L162,AM$4&lt;='2025'!$M162), AM$4&lt;&gt;DATE(2025,7,4)), (SWITCH(weekday(AM$4), 1, 0, 2, if(ISBLANK('2025'!$P162), 0, 1), 3, if(ISBLANK('2025'!$Q162), 0, 1), 4, if(ISBLANK('2025'!$R162), 0, 1), 5, if(ISBLANK('2025'!$S162), 0, 1), 6, if(ISBLANK('2025'!$T162), 0, 1), 7, 0))), 1, "")</f>
        <v/>
      </c>
      <c r="AN164" s="1" t="str">
        <f>IF(AND(AND(AND(AN$4&gt;='2025'!$L162,AN$4&lt;='2025'!$M162), AN$4&lt;&gt;DATE(2025,7,4)), (SWITCH(weekday(AN$4), 1, 0, 2, if(ISBLANK('2025'!$P162), 0, 1), 3, if(ISBLANK('2025'!$Q162), 0, 1), 4, if(ISBLANK('2025'!$R162), 0, 1), 5, if(ISBLANK('2025'!$S162), 0, 1), 6, if(ISBLANK('2025'!$T162), 0, 1), 7, 0))), 1, "")</f>
        <v/>
      </c>
      <c r="AO164" s="1" t="str">
        <f>IF(AND(AND(AND(AO$4&gt;='2025'!$L162,AO$4&lt;='2025'!$M162), AO$4&lt;&gt;DATE(2025,7,4)), (SWITCH(weekday(AO$4), 1, 0, 2, if(ISBLANK('2025'!$P162), 0, 1), 3, if(ISBLANK('2025'!$Q162), 0, 1), 4, if(ISBLANK('2025'!$R162), 0, 1), 5, if(ISBLANK('2025'!$S162), 0, 1), 6, if(ISBLANK('2025'!$T162), 0, 1), 7, 0))), 1, "")</f>
        <v/>
      </c>
      <c r="AP164" s="1" t="str">
        <f>IF(AND(AND(AND(AP$4&gt;='2025'!$L162,AP$4&lt;='2025'!$M162), AP$4&lt;&gt;DATE(2025,7,4)), (SWITCH(weekday(AP$4), 1, 0, 2, if(ISBLANK('2025'!$P162), 0, 1), 3, if(ISBLANK('2025'!$Q162), 0, 1), 4, if(ISBLANK('2025'!$R162), 0, 1), 5, if(ISBLANK('2025'!$S162), 0, 1), 6, if(ISBLANK('2025'!$T162), 0, 1), 7, 0))), 1, "")</f>
        <v/>
      </c>
      <c r="AQ164" s="1" t="str">
        <f>IF(AND(AND(AND(AQ$4&gt;='2025'!$L162,AQ$4&lt;='2025'!$M162), AQ$4&lt;&gt;DATE(2025,7,4)), (SWITCH(weekday(AQ$4), 1, 0, 2, if(ISBLANK('2025'!$P162), 0, 1), 3, if(ISBLANK('2025'!$Q162), 0, 1), 4, if(ISBLANK('2025'!$R162), 0, 1), 5, if(ISBLANK('2025'!$S162), 0, 1), 6, if(ISBLANK('2025'!$T162), 0, 1), 7, 0))), 1, "")</f>
        <v/>
      </c>
      <c r="AR164" s="1" t="str">
        <f>IF(AND(AND(AND(AR$4&gt;='2025'!$L162,AR$4&lt;='2025'!$M162), AR$4&lt;&gt;DATE(2025,7,4)), (SWITCH(weekday(AR$4), 1, 0, 2, if(ISBLANK('2025'!$P162), 0, 1), 3, if(ISBLANK('2025'!$Q162), 0, 1), 4, if(ISBLANK('2025'!$R162), 0, 1), 5, if(ISBLANK('2025'!$S162), 0, 1), 6, if(ISBLANK('2025'!$T162), 0, 1), 7, 0))), 1, "")</f>
        <v/>
      </c>
      <c r="AS164" s="1" t="str">
        <f>IF(AND(AND(AND(AS$4&gt;='2025'!$L162,AS$4&lt;='2025'!$M162), AS$4&lt;&gt;DATE(2025,7,4)), (SWITCH(weekday(AS$4), 1, 0, 2, if(ISBLANK('2025'!$P162), 0, 1), 3, if(ISBLANK('2025'!$Q162), 0, 1), 4, if(ISBLANK('2025'!$R162), 0, 1), 5, if(ISBLANK('2025'!$S162), 0, 1), 6, if(ISBLANK('2025'!$T162), 0, 1), 7, 0))), 1, "")</f>
        <v/>
      </c>
      <c r="AT164" s="1" t="str">
        <f>IF(AND(AND(AND(AT$4&gt;='2025'!$L162,AT$4&lt;='2025'!$M162), AT$4&lt;&gt;DATE(2025,7,4)), (SWITCH(weekday(AT$4), 1, 0, 2, if(ISBLANK('2025'!$P162), 0, 1), 3, if(ISBLANK('2025'!$Q162), 0, 1), 4, if(ISBLANK('2025'!$R162), 0, 1), 5, if(ISBLANK('2025'!$S162), 0, 1), 6, if(ISBLANK('2025'!$T162), 0, 1), 7, 0))), 1, "")</f>
        <v/>
      </c>
      <c r="AU164" s="1" t="str">
        <f>IF(AND(AND(AND(AU$4&gt;='2025'!$L162,AU$4&lt;='2025'!$M162), AU$4&lt;&gt;DATE(2025,7,4)), (SWITCH(weekday(AU$4), 1, 0, 2, if(ISBLANK('2025'!$P162), 0, 1), 3, if(ISBLANK('2025'!$Q162), 0, 1), 4, if(ISBLANK('2025'!$R162), 0, 1), 5, if(ISBLANK('2025'!$S162), 0, 1), 6, if(ISBLANK('2025'!$T162), 0, 1), 7, 0))), 1, "")</f>
        <v/>
      </c>
      <c r="AV164" s="1" t="str">
        <f>IF(AND(AND(AND(AV$4&gt;='2025'!$L162,AV$4&lt;='2025'!$M162), AV$4&lt;&gt;DATE(2025,7,4)), (SWITCH(weekday(AV$4), 1, 0, 2, if(ISBLANK('2025'!$P162), 0, 1), 3, if(ISBLANK('2025'!$Q162), 0, 1), 4, if(ISBLANK('2025'!$R162), 0, 1), 5, if(ISBLANK('2025'!$S162), 0, 1), 6, if(ISBLANK('2025'!$T162), 0, 1), 7, 0))), 1, "")</f>
        <v/>
      </c>
      <c r="AW164" s="1" t="str">
        <f>IF(AND(AND(AND(AW$4&gt;='2025'!$L162,AW$4&lt;='2025'!$M162), AW$4&lt;&gt;DATE(2025,7,4)), (SWITCH(weekday(AW$4), 1, 0, 2, if(ISBLANK('2025'!$P162), 0, 1), 3, if(ISBLANK('2025'!$Q162), 0, 1), 4, if(ISBLANK('2025'!$R162), 0, 1), 5, if(ISBLANK('2025'!$S162), 0, 1), 6, if(ISBLANK('2025'!$T162), 0, 1), 7, 0))), 1, "")</f>
        <v/>
      </c>
      <c r="AX164" s="1" t="str">
        <f>IF(AND(AND(AND(AX$4&gt;='2025'!$L162,AX$4&lt;='2025'!$M162), AX$4&lt;&gt;DATE(2025,7,4)), (SWITCH(weekday(AX$4), 1, 0, 2, if(ISBLANK('2025'!$P162), 0, 1), 3, if(ISBLANK('2025'!$Q162), 0, 1), 4, if(ISBLANK('2025'!$R162), 0, 1), 5, if(ISBLANK('2025'!$S162), 0, 1), 6, if(ISBLANK('2025'!$T162), 0, 1), 7, 0))), 1, "")</f>
        <v/>
      </c>
      <c r="AY164" s="1" t="str">
        <f>IF(AND(AND(AND(AY$4&gt;='2025'!$L162,AY$4&lt;='2025'!$M162), AY$4&lt;&gt;DATE(2025,7,4)), (SWITCH(weekday(AY$4), 1, 0, 2, if(ISBLANK('2025'!$P162), 0, 1), 3, if(ISBLANK('2025'!$Q162), 0, 1), 4, if(ISBLANK('2025'!$R162), 0, 1), 5, if(ISBLANK('2025'!$S162), 0, 1), 6, if(ISBLANK('2025'!$T162), 0, 1), 7, 0))), 1, "")</f>
        <v/>
      </c>
      <c r="AZ164" s="1" t="str">
        <f>IF(AND(AND(AND(AZ$4&gt;='2025'!$L162,AZ$4&lt;='2025'!$M162), AZ$4&lt;&gt;DATE(2025,7,4)), (SWITCH(weekday(AZ$4), 1, 0, 2, if(ISBLANK('2025'!$P162), 0, 1), 3, if(ISBLANK('2025'!$Q162), 0, 1), 4, if(ISBLANK('2025'!$R162), 0, 1), 5, if(ISBLANK('2025'!$S162), 0, 1), 6, if(ISBLANK('2025'!$T162), 0, 1), 7, 0))), 1, "")</f>
        <v/>
      </c>
      <c r="BA164" s="1" t="str">
        <f>IF(AND(AND(AND(BA$4&gt;='2025'!$L162,BA$4&lt;='2025'!$M162), BA$4&lt;&gt;DATE(2025,7,4)), (SWITCH(weekday(BA$4), 1, 0, 2, if(ISBLANK('2025'!$P162), 0, 1), 3, if(ISBLANK('2025'!$Q162), 0, 1), 4, if(ISBLANK('2025'!$R162), 0, 1), 5, if(ISBLANK('2025'!$S162), 0, 1), 6, if(ISBLANK('2025'!$T162), 0, 1), 7, 0))), 1, "")</f>
        <v/>
      </c>
      <c r="BB164" s="1" t="str">
        <f>IF(AND(AND(AND(BB$4&gt;='2025'!$L162,BB$4&lt;='2025'!$M162), BB$4&lt;&gt;DATE(2025,7,4)), (SWITCH(weekday(BB$4), 1, 0, 2, if(ISBLANK('2025'!$P162), 0, 1), 3, if(ISBLANK('2025'!$Q162), 0, 1), 4, if(ISBLANK('2025'!$R162), 0, 1), 5, if(ISBLANK('2025'!$S162), 0, 1), 6, if(ISBLANK('2025'!$T162), 0, 1), 7, 0))), 1, "")</f>
        <v/>
      </c>
      <c r="BC164" s="1" t="str">
        <f>IF(AND(AND(AND(BC$4&gt;='2025'!$L162,BC$4&lt;='2025'!$M162), BC$4&lt;&gt;DATE(2025,7,4)), (SWITCH(weekday(BC$4), 1, 0, 2, if(ISBLANK('2025'!$P162), 0, 1), 3, if(ISBLANK('2025'!$Q162), 0, 1), 4, if(ISBLANK('2025'!$R162), 0, 1), 5, if(ISBLANK('2025'!$S162), 0, 1), 6, if(ISBLANK('2025'!$T162), 0, 1), 7, 0))), 1, "")</f>
        <v/>
      </c>
      <c r="BD164" s="1" t="str">
        <f>IF(AND(AND(AND(BD$4&gt;='2025'!$L162,BD$4&lt;='2025'!$M162), BD$4&lt;&gt;DATE(2025,7,4)), (SWITCH(weekday(BD$4), 1, 0, 2, if(ISBLANK('2025'!$P162), 0, 1), 3, if(ISBLANK('2025'!$Q162), 0, 1), 4, if(ISBLANK('2025'!$R162), 0, 1), 5, if(ISBLANK('2025'!$S162), 0, 1), 6, if(ISBLANK('2025'!$T162), 0, 1), 7, 0))), 1, "")</f>
        <v/>
      </c>
      <c r="BE164" s="1" t="str">
        <f>IF(AND(AND(AND(BE$4&gt;='2025'!$L162,BE$4&lt;='2025'!$M162), BE$4&lt;&gt;DATE(2025,7,4)), (SWITCH(weekday(BE$4), 1, 0, 2, if(ISBLANK('2025'!$P162), 0, 1), 3, if(ISBLANK('2025'!$Q162), 0, 1), 4, if(ISBLANK('2025'!$R162), 0, 1), 5, if(ISBLANK('2025'!$S162), 0, 1), 6, if(ISBLANK('2025'!$T162), 0, 1), 7, 0))), 1, "")</f>
        <v/>
      </c>
      <c r="BF164" s="1" t="str">
        <f>IF(AND(AND(AND(BF$4&gt;='2025'!$L162,BF$4&lt;='2025'!$M162), BF$4&lt;&gt;DATE(2025,7,4)), (SWITCH(weekday(BF$4), 1, 0, 2, if(ISBLANK('2025'!$P162), 0, 1), 3, if(ISBLANK('2025'!$Q162), 0, 1), 4, if(ISBLANK('2025'!$R162), 0, 1), 5, if(ISBLANK('2025'!$S162), 0, 1), 6, if(ISBLANK('2025'!$T162), 0, 1), 7, 0))), 1, "")</f>
        <v/>
      </c>
      <c r="BG164" s="1"/>
      <c r="BH164" s="1"/>
      <c r="BI164" s="1"/>
      <c r="BJ164" s="1"/>
      <c r="BK164" s="1"/>
      <c r="BL164" s="1"/>
    </row>
    <row r="165">
      <c r="A165" s="1">
        <f t="shared" si="3"/>
        <v>165</v>
      </c>
      <c r="B165" s="1" t="str">
        <f>'2025'!D129</f>
        <v>, </v>
      </c>
      <c r="C165" s="1" t="str">
        <f>'2025'!H129</f>
        <v/>
      </c>
      <c r="D165" s="1" t="str">
        <f>IF(AND(AND(AND(D$4&gt;='2025'!$L163,D$4&lt;='2025'!$M163), D$4&lt;&gt;DATE(2025,7,4)), (SWITCH(weekday(D$4), 1, 0, 2, if(ISBLANK('2025'!$P163), 0, 1), 3, if(ISBLANK('2025'!$Q163), 0, 1), 4, if(ISBLANK('2025'!$R163), 0, 1), 5, if(ISBLANK('2025'!$S163), 0, 1), 6, if(ISBLANK('2025'!$T163), 0, 1), 7, 0))), 1, "")</f>
        <v/>
      </c>
      <c r="E165" s="1" t="str">
        <f>IF(AND(AND(AND(E$4&gt;='2025'!$L163,E$4&lt;='2025'!$M163), E$4&lt;&gt;DATE(2025,7,4)), (SWITCH(weekday(E$4), 1, 0, 2, if(ISBLANK('2025'!$P163), 0, 1), 3, if(ISBLANK('2025'!$Q163), 0, 1), 4, if(ISBLANK('2025'!$R163), 0, 1), 5, if(ISBLANK('2025'!$S163), 0, 1), 6, if(ISBLANK('2025'!$T163), 0, 1), 7, 0))), 1, "")</f>
        <v/>
      </c>
      <c r="F165" s="1" t="str">
        <f>IF(AND(AND(AND(F$4&gt;='2025'!$L163,F$4&lt;='2025'!$M163), F$4&lt;&gt;DATE(2025,7,4)), (SWITCH(weekday(F$4), 1, 0, 2, if(ISBLANK('2025'!$P163), 0, 1), 3, if(ISBLANK('2025'!$Q163), 0, 1), 4, if(ISBLANK('2025'!$R163), 0, 1), 5, if(ISBLANK('2025'!$S163), 0, 1), 6, if(ISBLANK('2025'!$T163), 0, 1), 7, 0))), 1, "")</f>
        <v/>
      </c>
      <c r="G165" s="1" t="str">
        <f>IF(AND(AND(AND(G$4&gt;='2025'!$L163,G$4&lt;='2025'!$M163), G$4&lt;&gt;DATE(2025,7,4)), (SWITCH(weekday(G$4), 1, 0, 2, if(ISBLANK('2025'!$P163), 0, 1), 3, if(ISBLANK('2025'!$Q163), 0, 1), 4, if(ISBLANK('2025'!$R163), 0, 1), 5, if(ISBLANK('2025'!$S163), 0, 1), 6, if(ISBLANK('2025'!$T163), 0, 1), 7, 0))), 1, "")</f>
        <v/>
      </c>
      <c r="H165" s="1" t="str">
        <f>IF(AND(AND(AND(H$4&gt;='2025'!$L163,H$4&lt;='2025'!$M163), H$4&lt;&gt;DATE(2025,7,4)), (SWITCH(weekday(H$4), 1, 0, 2, if(ISBLANK('2025'!$P163), 0, 1), 3, if(ISBLANK('2025'!$Q163), 0, 1), 4, if(ISBLANK('2025'!$R163), 0, 1), 5, if(ISBLANK('2025'!$S163), 0, 1), 6, if(ISBLANK('2025'!$T163), 0, 1), 7, 0))), 1, "")</f>
        <v/>
      </c>
      <c r="I165" s="1" t="str">
        <f>IF(AND(AND(AND(I$4&gt;='2025'!$L163,I$4&lt;='2025'!$M163), I$4&lt;&gt;DATE(2025,7,4)), (SWITCH(weekday(I$4), 1, 0, 2, if(ISBLANK('2025'!$P163), 0, 1), 3, if(ISBLANK('2025'!$Q163), 0, 1), 4, if(ISBLANK('2025'!$R163), 0, 1), 5, if(ISBLANK('2025'!$S163), 0, 1), 6, if(ISBLANK('2025'!$T163), 0, 1), 7, 0))), 1, "")</f>
        <v/>
      </c>
      <c r="J165" s="1" t="str">
        <f>IF(AND(AND(AND(J$4&gt;='2025'!$L163,J$4&lt;='2025'!$M163), J$4&lt;&gt;DATE(2025,7,4)), (SWITCH(weekday(J$4), 1, 0, 2, if(ISBLANK('2025'!$P163), 0, 1), 3, if(ISBLANK('2025'!$Q163), 0, 1), 4, if(ISBLANK('2025'!$R163), 0, 1), 5, if(ISBLANK('2025'!$S163), 0, 1), 6, if(ISBLANK('2025'!$T163), 0, 1), 7, 0))), 1, "")</f>
        <v/>
      </c>
      <c r="K165" s="1" t="str">
        <f>IF(AND(AND(AND(K$4&gt;='2025'!$L163,K$4&lt;='2025'!$M163), K$4&lt;&gt;DATE(2025,7,4)), (SWITCH(weekday(K$4), 1, 0, 2, if(ISBLANK('2025'!$P163), 0, 1), 3, if(ISBLANK('2025'!$Q163), 0, 1), 4, if(ISBLANK('2025'!$R163), 0, 1), 5, if(ISBLANK('2025'!$S163), 0, 1), 6, if(ISBLANK('2025'!$T163), 0, 1), 7, 0))), 1, "")</f>
        <v/>
      </c>
      <c r="L165" s="1" t="str">
        <f>IF(AND(AND(AND(L$4&gt;='2025'!$L163,L$4&lt;='2025'!$M163), L$4&lt;&gt;DATE(2025,7,4)), (SWITCH(weekday(L$4), 1, 0, 2, if(ISBLANK('2025'!$P163), 0, 1), 3, if(ISBLANK('2025'!$Q163), 0, 1), 4, if(ISBLANK('2025'!$R163), 0, 1), 5, if(ISBLANK('2025'!$S163), 0, 1), 6, if(ISBLANK('2025'!$T163), 0, 1), 7, 0))), 1, "")</f>
        <v/>
      </c>
      <c r="M165" s="1" t="str">
        <f>IF(AND(AND(AND(M$4&gt;='2025'!$L163,M$4&lt;='2025'!$M163), M$4&lt;&gt;DATE(2025,7,4)), (SWITCH(weekday(M$4), 1, 0, 2, if(ISBLANK('2025'!$P163), 0, 1), 3, if(ISBLANK('2025'!$Q163), 0, 1), 4, if(ISBLANK('2025'!$R163), 0, 1), 5, if(ISBLANK('2025'!$S163), 0, 1), 6, if(ISBLANK('2025'!$T163), 0, 1), 7, 0))), 1, "")</f>
        <v/>
      </c>
      <c r="N165" s="1" t="str">
        <f>IF(AND(AND(AND(N$4&gt;='2025'!$L163,N$4&lt;='2025'!$M163), N$4&lt;&gt;DATE(2025,7,4)), (SWITCH(weekday(N$4), 1, 0, 2, if(ISBLANK('2025'!$P163), 0, 1), 3, if(ISBLANK('2025'!$Q163), 0, 1), 4, if(ISBLANK('2025'!$R163), 0, 1), 5, if(ISBLANK('2025'!$S163), 0, 1), 6, if(ISBLANK('2025'!$T163), 0, 1), 7, 0))), 1, "")</f>
        <v/>
      </c>
      <c r="O165" s="1" t="str">
        <f>IF(AND(AND(AND(O$4&gt;='2025'!$L163,O$4&lt;='2025'!$M163), O$4&lt;&gt;DATE(2025,7,4)), (SWITCH(weekday(O$4), 1, 0, 2, if(ISBLANK('2025'!$P163), 0, 1), 3, if(ISBLANK('2025'!$Q163), 0, 1), 4, if(ISBLANK('2025'!$R163), 0, 1), 5, if(ISBLANK('2025'!$S163), 0, 1), 6, if(ISBLANK('2025'!$T163), 0, 1), 7, 0))), 1, "")</f>
        <v/>
      </c>
      <c r="P165" s="1" t="str">
        <f>IF(AND(AND(AND(P$4&gt;='2025'!$L163,P$4&lt;='2025'!$M163), P$4&lt;&gt;DATE(2025,7,4)), (SWITCH(weekday(P$4), 1, 0, 2, if(ISBLANK('2025'!$P163), 0, 1), 3, if(ISBLANK('2025'!$Q163), 0, 1), 4, if(ISBLANK('2025'!$R163), 0, 1), 5, if(ISBLANK('2025'!$S163), 0, 1), 6, if(ISBLANK('2025'!$T163), 0, 1), 7, 0))), 1, "")</f>
        <v/>
      </c>
      <c r="Q165" s="1" t="str">
        <f>IF(AND(AND(AND(Q$4&gt;='2025'!$L163,Q$4&lt;='2025'!$M163), Q$4&lt;&gt;DATE(2025,7,4)), (SWITCH(weekday(Q$4), 1, 0, 2, if(ISBLANK('2025'!$P163), 0, 1), 3, if(ISBLANK('2025'!$Q163), 0, 1), 4, if(ISBLANK('2025'!$R163), 0, 1), 5, if(ISBLANK('2025'!$S163), 0, 1), 6, if(ISBLANK('2025'!$T163), 0, 1), 7, 0))), 1, "")</f>
        <v/>
      </c>
      <c r="R165" s="1" t="str">
        <f>IF(AND(AND(AND(R$4&gt;='2025'!$L163,R$4&lt;='2025'!$M163), R$4&lt;&gt;DATE(2025,7,4)), (SWITCH(weekday(R$4), 1, 0, 2, if(ISBLANK('2025'!$P163), 0, 1), 3, if(ISBLANK('2025'!$Q163), 0, 1), 4, if(ISBLANK('2025'!$R163), 0, 1), 5, if(ISBLANK('2025'!$S163), 0, 1), 6, if(ISBLANK('2025'!$T163), 0, 1), 7, 0))), 1, "")</f>
        <v/>
      </c>
      <c r="S165" s="1" t="str">
        <f>IF(AND(AND(AND(S$4&gt;='2025'!$L163,S$4&lt;='2025'!$M163), S$4&lt;&gt;DATE(2025,7,4)), (SWITCH(weekday(S$4), 1, 0, 2, if(ISBLANK('2025'!$P163), 0, 1), 3, if(ISBLANK('2025'!$Q163), 0, 1), 4, if(ISBLANK('2025'!$R163), 0, 1), 5, if(ISBLANK('2025'!$S163), 0, 1), 6, if(ISBLANK('2025'!$T163), 0, 1), 7, 0))), 1, "")</f>
        <v/>
      </c>
      <c r="T165" s="1" t="str">
        <f>IF(AND(AND(AND(T$4&gt;='2025'!$L163,T$4&lt;='2025'!$M163), T$4&lt;&gt;DATE(2025,7,4)), (SWITCH(weekday(T$4), 1, 0, 2, if(ISBLANK('2025'!$P163), 0, 1), 3, if(ISBLANK('2025'!$Q163), 0, 1), 4, if(ISBLANK('2025'!$R163), 0, 1), 5, if(ISBLANK('2025'!$S163), 0, 1), 6, if(ISBLANK('2025'!$T163), 0, 1), 7, 0))), 1, "")</f>
        <v/>
      </c>
      <c r="U165" s="1" t="str">
        <f>IF(AND(AND(AND(U$4&gt;='2025'!$L163,U$4&lt;='2025'!$M163), U$4&lt;&gt;DATE(2025,7,4)), (SWITCH(weekday(U$4), 1, 0, 2, if(ISBLANK('2025'!$P163), 0, 1), 3, if(ISBLANK('2025'!$Q163), 0, 1), 4, if(ISBLANK('2025'!$R163), 0, 1), 5, if(ISBLANK('2025'!$S163), 0, 1), 6, if(ISBLANK('2025'!$T163), 0, 1), 7, 0))), 1, "")</f>
        <v/>
      </c>
      <c r="V165" s="1" t="str">
        <f>IF(AND(AND(AND(V$4&gt;='2025'!$L163,V$4&lt;='2025'!$M163), V$4&lt;&gt;DATE(2025,7,4)), (SWITCH(weekday(V$4), 1, 0, 2, if(ISBLANK('2025'!$P163), 0, 1), 3, if(ISBLANK('2025'!$Q163), 0, 1), 4, if(ISBLANK('2025'!$R163), 0, 1), 5, if(ISBLANK('2025'!$S163), 0, 1), 6, if(ISBLANK('2025'!$T163), 0, 1), 7, 0))), 1, "")</f>
        <v/>
      </c>
      <c r="W165" s="1" t="str">
        <f>IF(AND(AND(AND(W$4&gt;='2025'!$L163,W$4&lt;='2025'!$M163), W$4&lt;&gt;DATE(2025,7,4)), (SWITCH(weekday(W$4), 1, 0, 2, if(ISBLANK('2025'!$P163), 0, 1), 3, if(ISBLANK('2025'!$Q163), 0, 1), 4, if(ISBLANK('2025'!$R163), 0, 1), 5, if(ISBLANK('2025'!$S163), 0, 1), 6, if(ISBLANK('2025'!$T163), 0, 1), 7, 0))), 1, "")</f>
        <v/>
      </c>
      <c r="X165" s="1" t="str">
        <f>IF(AND(AND(AND(X$4&gt;='2025'!$L163,X$4&lt;='2025'!$M163), X$4&lt;&gt;DATE(2025,7,4)), (SWITCH(weekday(X$4), 1, 0, 2, if(ISBLANK('2025'!$P163), 0, 1), 3, if(ISBLANK('2025'!$Q163), 0, 1), 4, if(ISBLANK('2025'!$R163), 0, 1), 5, if(ISBLANK('2025'!$S163), 0, 1), 6, if(ISBLANK('2025'!$T163), 0, 1), 7, 0))), 1, "")</f>
        <v/>
      </c>
      <c r="Y165" s="1" t="str">
        <f>IF(AND(AND(AND(Y$4&gt;='2025'!$L163,Y$4&lt;='2025'!$M163), Y$4&lt;&gt;DATE(2025,7,4)), (SWITCH(weekday(Y$4), 1, 0, 2, if(ISBLANK('2025'!$P163), 0, 1), 3, if(ISBLANK('2025'!$Q163), 0, 1), 4, if(ISBLANK('2025'!$R163), 0, 1), 5, if(ISBLANK('2025'!$S163), 0, 1), 6, if(ISBLANK('2025'!$T163), 0, 1), 7, 0))), 1, "")</f>
        <v/>
      </c>
      <c r="Z165" s="1" t="str">
        <f>IF(AND(AND(AND(Z$4&gt;='2025'!$L163,Z$4&lt;='2025'!$M163), Z$4&lt;&gt;DATE(2025,7,4)), (SWITCH(weekday(Z$4), 1, 0, 2, if(ISBLANK('2025'!$P163), 0, 1), 3, if(ISBLANK('2025'!$Q163), 0, 1), 4, if(ISBLANK('2025'!$R163), 0, 1), 5, if(ISBLANK('2025'!$S163), 0, 1), 6, if(ISBLANK('2025'!$T163), 0, 1), 7, 0))), 1, "")</f>
        <v/>
      </c>
      <c r="AA165" s="1" t="str">
        <f>IF(AND(AND(AND(AA$4&gt;='2025'!$L163,AA$4&lt;='2025'!$M163), AA$4&lt;&gt;DATE(2025,7,4)), (SWITCH(weekday(AA$4), 1, 0, 2, if(ISBLANK('2025'!$P163), 0, 1), 3, if(ISBLANK('2025'!$Q163), 0, 1), 4, if(ISBLANK('2025'!$R163), 0, 1), 5, if(ISBLANK('2025'!$S163), 0, 1), 6, if(ISBLANK('2025'!$T163), 0, 1), 7, 0))), 1, "")</f>
        <v/>
      </c>
      <c r="AB165" s="1" t="str">
        <f>IF(AND(AND(AND(AB$4&gt;='2025'!$L163,AB$4&lt;='2025'!$M163), AB$4&lt;&gt;DATE(2025,7,4)), (SWITCH(weekday(AB$4), 1, 0, 2, if(ISBLANK('2025'!$P163), 0, 1), 3, if(ISBLANK('2025'!$Q163), 0, 1), 4, if(ISBLANK('2025'!$R163), 0, 1), 5, if(ISBLANK('2025'!$S163), 0, 1), 6, if(ISBLANK('2025'!$T163), 0, 1), 7, 0))), 1, "")</f>
        <v/>
      </c>
      <c r="AC165" s="1" t="str">
        <f>IF(AND(AND(AND(AC$4&gt;='2025'!$L163,AC$4&lt;='2025'!$M163), AC$4&lt;&gt;DATE(2025,7,4)), (SWITCH(weekday(AC$4), 1, 0, 2, if(ISBLANK('2025'!$P163), 0, 1), 3, if(ISBLANK('2025'!$Q163), 0, 1), 4, if(ISBLANK('2025'!$R163), 0, 1), 5, if(ISBLANK('2025'!$S163), 0, 1), 6, if(ISBLANK('2025'!$T163), 0, 1), 7, 0))), 1, "")</f>
        <v/>
      </c>
      <c r="AD165" s="1" t="str">
        <f>IF(AND(AND(AND(AD$4&gt;='2025'!$L163,AD$4&lt;='2025'!$M163), AD$4&lt;&gt;DATE(2025,7,4)), (SWITCH(weekday(AD$4), 1, 0, 2, if(ISBLANK('2025'!$P163), 0, 1), 3, if(ISBLANK('2025'!$Q163), 0, 1), 4, if(ISBLANK('2025'!$R163), 0, 1), 5, if(ISBLANK('2025'!$S163), 0, 1), 6, if(ISBLANK('2025'!$T163), 0, 1), 7, 0))), 1, "")</f>
        <v/>
      </c>
      <c r="AE165" s="1" t="str">
        <f>IF(AND(AND(AND(AE$4&gt;='2025'!$L163,AE$4&lt;='2025'!$M163), AE$4&lt;&gt;DATE(2025,7,4)), (SWITCH(weekday(AE$4), 1, 0, 2, if(ISBLANK('2025'!$P163), 0, 1), 3, if(ISBLANK('2025'!$Q163), 0, 1), 4, if(ISBLANK('2025'!$R163), 0, 1), 5, if(ISBLANK('2025'!$S163), 0, 1), 6, if(ISBLANK('2025'!$T163), 0, 1), 7, 0))), 1, "")</f>
        <v/>
      </c>
      <c r="AF165" s="1" t="str">
        <f>IF(AND(AND(AND(AF$4&gt;='2025'!$L163,AF$4&lt;='2025'!$M163), AF$4&lt;&gt;DATE(2025,7,4)), (SWITCH(weekday(AF$4), 1, 0, 2, if(ISBLANK('2025'!$P163), 0, 1), 3, if(ISBLANK('2025'!$Q163), 0, 1), 4, if(ISBLANK('2025'!$R163), 0, 1), 5, if(ISBLANK('2025'!$S163), 0, 1), 6, if(ISBLANK('2025'!$T163), 0, 1), 7, 0))), 1, "")</f>
        <v/>
      </c>
      <c r="AG165" s="1" t="str">
        <f>IF(AND(AND(AND(AG$4&gt;='2025'!$L163,AG$4&lt;='2025'!$M163), AG$4&lt;&gt;DATE(2025,7,4)), (SWITCH(weekday(AG$4), 1, 0, 2, if(ISBLANK('2025'!$P163), 0, 1), 3, if(ISBLANK('2025'!$Q163), 0, 1), 4, if(ISBLANK('2025'!$R163), 0, 1), 5, if(ISBLANK('2025'!$S163), 0, 1), 6, if(ISBLANK('2025'!$T163), 0, 1), 7, 0))), 1, "")</f>
        <v/>
      </c>
      <c r="AH165" s="1" t="str">
        <f>IF(AND(AND(AND(AH$4&gt;='2025'!$L163,AH$4&lt;='2025'!$M163), AH$4&lt;&gt;DATE(2025,7,4)), (SWITCH(weekday(AH$4), 1, 0, 2, if(ISBLANK('2025'!$P163), 0, 1), 3, if(ISBLANK('2025'!$Q163), 0, 1), 4, if(ISBLANK('2025'!$R163), 0, 1), 5, if(ISBLANK('2025'!$S163), 0, 1), 6, if(ISBLANK('2025'!$T163), 0, 1), 7, 0))), 1, "")</f>
        <v/>
      </c>
      <c r="AI165" s="1" t="str">
        <f>IF(AND(AND(AND(AI$4&gt;='2025'!$L163,AI$4&lt;='2025'!$M163), AI$4&lt;&gt;DATE(2025,7,4)), (SWITCH(weekday(AI$4), 1, 0, 2, if(ISBLANK('2025'!$P163), 0, 1), 3, if(ISBLANK('2025'!$Q163), 0, 1), 4, if(ISBLANK('2025'!$R163), 0, 1), 5, if(ISBLANK('2025'!$S163), 0, 1), 6, if(ISBLANK('2025'!$T163), 0, 1), 7, 0))), 1, "")</f>
        <v/>
      </c>
      <c r="AJ165" s="1" t="str">
        <f>IF(AND(AND(AND(AJ$4&gt;='2025'!$L163,AJ$4&lt;='2025'!$M163), AJ$4&lt;&gt;DATE(2025,7,4)), (SWITCH(weekday(AJ$4), 1, 0, 2, if(ISBLANK('2025'!$P163), 0, 1), 3, if(ISBLANK('2025'!$Q163), 0, 1), 4, if(ISBLANK('2025'!$R163), 0, 1), 5, if(ISBLANK('2025'!$S163), 0, 1), 6, if(ISBLANK('2025'!$T163), 0, 1), 7, 0))), 1, "")</f>
        <v/>
      </c>
      <c r="AK165" s="1" t="str">
        <f>IF(AND(AND(AND(AK$4&gt;='2025'!$L163,AK$4&lt;='2025'!$M163), AK$4&lt;&gt;DATE(2025,7,4)), (SWITCH(weekday(AK$4), 1, 0, 2, if(ISBLANK('2025'!$P163), 0, 1), 3, if(ISBLANK('2025'!$Q163), 0, 1), 4, if(ISBLANK('2025'!$R163), 0, 1), 5, if(ISBLANK('2025'!$S163), 0, 1), 6, if(ISBLANK('2025'!$T163), 0, 1), 7, 0))), 1, "")</f>
        <v/>
      </c>
      <c r="AL165" s="1" t="str">
        <f>IF(AND(AND(AND(AL$4&gt;='2025'!$L163,AL$4&lt;='2025'!$M163), AL$4&lt;&gt;DATE(2025,7,4)), (SWITCH(weekday(AL$4), 1, 0, 2, if(ISBLANK('2025'!$P163), 0, 1), 3, if(ISBLANK('2025'!$Q163), 0, 1), 4, if(ISBLANK('2025'!$R163), 0, 1), 5, if(ISBLANK('2025'!$S163), 0, 1), 6, if(ISBLANK('2025'!$T163), 0, 1), 7, 0))), 1, "")</f>
        <v/>
      </c>
      <c r="AM165" s="1" t="str">
        <f>IF(AND(AND(AND(AM$4&gt;='2025'!$L163,AM$4&lt;='2025'!$M163), AM$4&lt;&gt;DATE(2025,7,4)), (SWITCH(weekday(AM$4), 1, 0, 2, if(ISBLANK('2025'!$P163), 0, 1), 3, if(ISBLANK('2025'!$Q163), 0, 1), 4, if(ISBLANK('2025'!$R163), 0, 1), 5, if(ISBLANK('2025'!$S163), 0, 1), 6, if(ISBLANK('2025'!$T163), 0, 1), 7, 0))), 1, "")</f>
        <v/>
      </c>
      <c r="AN165" s="1" t="str">
        <f>IF(AND(AND(AND(AN$4&gt;='2025'!$L163,AN$4&lt;='2025'!$M163), AN$4&lt;&gt;DATE(2025,7,4)), (SWITCH(weekday(AN$4), 1, 0, 2, if(ISBLANK('2025'!$P163), 0, 1), 3, if(ISBLANK('2025'!$Q163), 0, 1), 4, if(ISBLANK('2025'!$R163), 0, 1), 5, if(ISBLANK('2025'!$S163), 0, 1), 6, if(ISBLANK('2025'!$T163), 0, 1), 7, 0))), 1, "")</f>
        <v/>
      </c>
      <c r="AO165" s="1" t="str">
        <f>IF(AND(AND(AND(AO$4&gt;='2025'!$L163,AO$4&lt;='2025'!$M163), AO$4&lt;&gt;DATE(2025,7,4)), (SWITCH(weekday(AO$4), 1, 0, 2, if(ISBLANK('2025'!$P163), 0, 1), 3, if(ISBLANK('2025'!$Q163), 0, 1), 4, if(ISBLANK('2025'!$R163), 0, 1), 5, if(ISBLANK('2025'!$S163), 0, 1), 6, if(ISBLANK('2025'!$T163), 0, 1), 7, 0))), 1, "")</f>
        <v/>
      </c>
      <c r="AP165" s="1" t="str">
        <f>IF(AND(AND(AND(AP$4&gt;='2025'!$L163,AP$4&lt;='2025'!$M163), AP$4&lt;&gt;DATE(2025,7,4)), (SWITCH(weekday(AP$4), 1, 0, 2, if(ISBLANK('2025'!$P163), 0, 1), 3, if(ISBLANK('2025'!$Q163), 0, 1), 4, if(ISBLANK('2025'!$R163), 0, 1), 5, if(ISBLANK('2025'!$S163), 0, 1), 6, if(ISBLANK('2025'!$T163), 0, 1), 7, 0))), 1, "")</f>
        <v/>
      </c>
      <c r="AQ165" s="1" t="str">
        <f>IF(AND(AND(AND(AQ$4&gt;='2025'!$L163,AQ$4&lt;='2025'!$M163), AQ$4&lt;&gt;DATE(2025,7,4)), (SWITCH(weekday(AQ$4), 1, 0, 2, if(ISBLANK('2025'!$P163), 0, 1), 3, if(ISBLANK('2025'!$Q163), 0, 1), 4, if(ISBLANK('2025'!$R163), 0, 1), 5, if(ISBLANK('2025'!$S163), 0, 1), 6, if(ISBLANK('2025'!$T163), 0, 1), 7, 0))), 1, "")</f>
        <v/>
      </c>
      <c r="AR165" s="1" t="str">
        <f>IF(AND(AND(AND(AR$4&gt;='2025'!$L163,AR$4&lt;='2025'!$M163), AR$4&lt;&gt;DATE(2025,7,4)), (SWITCH(weekday(AR$4), 1, 0, 2, if(ISBLANK('2025'!$P163), 0, 1), 3, if(ISBLANK('2025'!$Q163), 0, 1), 4, if(ISBLANK('2025'!$R163), 0, 1), 5, if(ISBLANK('2025'!$S163), 0, 1), 6, if(ISBLANK('2025'!$T163), 0, 1), 7, 0))), 1, "")</f>
        <v/>
      </c>
      <c r="AS165" s="1" t="str">
        <f>IF(AND(AND(AND(AS$4&gt;='2025'!$L163,AS$4&lt;='2025'!$M163), AS$4&lt;&gt;DATE(2025,7,4)), (SWITCH(weekday(AS$4), 1, 0, 2, if(ISBLANK('2025'!$P163), 0, 1), 3, if(ISBLANK('2025'!$Q163), 0, 1), 4, if(ISBLANK('2025'!$R163), 0, 1), 5, if(ISBLANK('2025'!$S163), 0, 1), 6, if(ISBLANK('2025'!$T163), 0, 1), 7, 0))), 1, "")</f>
        <v/>
      </c>
      <c r="AT165" s="1" t="str">
        <f>IF(AND(AND(AND(AT$4&gt;='2025'!$L163,AT$4&lt;='2025'!$M163), AT$4&lt;&gt;DATE(2025,7,4)), (SWITCH(weekday(AT$4), 1, 0, 2, if(ISBLANK('2025'!$P163), 0, 1), 3, if(ISBLANK('2025'!$Q163), 0, 1), 4, if(ISBLANK('2025'!$R163), 0, 1), 5, if(ISBLANK('2025'!$S163), 0, 1), 6, if(ISBLANK('2025'!$T163), 0, 1), 7, 0))), 1, "")</f>
        <v/>
      </c>
      <c r="AU165" s="1" t="str">
        <f>IF(AND(AND(AND(AU$4&gt;='2025'!$L163,AU$4&lt;='2025'!$M163), AU$4&lt;&gt;DATE(2025,7,4)), (SWITCH(weekday(AU$4), 1, 0, 2, if(ISBLANK('2025'!$P163), 0, 1), 3, if(ISBLANK('2025'!$Q163), 0, 1), 4, if(ISBLANK('2025'!$R163), 0, 1), 5, if(ISBLANK('2025'!$S163), 0, 1), 6, if(ISBLANK('2025'!$T163), 0, 1), 7, 0))), 1, "")</f>
        <v/>
      </c>
      <c r="AV165" s="1" t="str">
        <f>IF(AND(AND(AND(AV$4&gt;='2025'!$L163,AV$4&lt;='2025'!$M163), AV$4&lt;&gt;DATE(2025,7,4)), (SWITCH(weekday(AV$4), 1, 0, 2, if(ISBLANK('2025'!$P163), 0, 1), 3, if(ISBLANK('2025'!$Q163), 0, 1), 4, if(ISBLANK('2025'!$R163), 0, 1), 5, if(ISBLANK('2025'!$S163), 0, 1), 6, if(ISBLANK('2025'!$T163), 0, 1), 7, 0))), 1, "")</f>
        <v/>
      </c>
      <c r="AW165" s="1" t="str">
        <f>IF(AND(AND(AND(AW$4&gt;='2025'!$L163,AW$4&lt;='2025'!$M163), AW$4&lt;&gt;DATE(2025,7,4)), (SWITCH(weekday(AW$4), 1, 0, 2, if(ISBLANK('2025'!$P163), 0, 1), 3, if(ISBLANK('2025'!$Q163), 0, 1), 4, if(ISBLANK('2025'!$R163), 0, 1), 5, if(ISBLANK('2025'!$S163), 0, 1), 6, if(ISBLANK('2025'!$T163), 0, 1), 7, 0))), 1, "")</f>
        <v/>
      </c>
      <c r="AX165" s="1" t="str">
        <f>IF(AND(AND(AND(AX$4&gt;='2025'!$L163,AX$4&lt;='2025'!$M163), AX$4&lt;&gt;DATE(2025,7,4)), (SWITCH(weekday(AX$4), 1, 0, 2, if(ISBLANK('2025'!$P163), 0, 1), 3, if(ISBLANK('2025'!$Q163), 0, 1), 4, if(ISBLANK('2025'!$R163), 0, 1), 5, if(ISBLANK('2025'!$S163), 0, 1), 6, if(ISBLANK('2025'!$T163), 0, 1), 7, 0))), 1, "")</f>
        <v/>
      </c>
      <c r="AY165" s="1" t="str">
        <f>IF(AND(AND(AND(AY$4&gt;='2025'!$L163,AY$4&lt;='2025'!$M163), AY$4&lt;&gt;DATE(2025,7,4)), (SWITCH(weekday(AY$4), 1, 0, 2, if(ISBLANK('2025'!$P163), 0, 1), 3, if(ISBLANK('2025'!$Q163), 0, 1), 4, if(ISBLANK('2025'!$R163), 0, 1), 5, if(ISBLANK('2025'!$S163), 0, 1), 6, if(ISBLANK('2025'!$T163), 0, 1), 7, 0))), 1, "")</f>
        <v/>
      </c>
      <c r="AZ165" s="1" t="str">
        <f>IF(AND(AND(AND(AZ$4&gt;='2025'!$L163,AZ$4&lt;='2025'!$M163), AZ$4&lt;&gt;DATE(2025,7,4)), (SWITCH(weekday(AZ$4), 1, 0, 2, if(ISBLANK('2025'!$P163), 0, 1), 3, if(ISBLANK('2025'!$Q163), 0, 1), 4, if(ISBLANK('2025'!$R163), 0, 1), 5, if(ISBLANK('2025'!$S163), 0, 1), 6, if(ISBLANK('2025'!$T163), 0, 1), 7, 0))), 1, "")</f>
        <v/>
      </c>
      <c r="BA165" s="1" t="str">
        <f>IF(AND(AND(AND(BA$4&gt;='2025'!$L163,BA$4&lt;='2025'!$M163), BA$4&lt;&gt;DATE(2025,7,4)), (SWITCH(weekday(BA$4), 1, 0, 2, if(ISBLANK('2025'!$P163), 0, 1), 3, if(ISBLANK('2025'!$Q163), 0, 1), 4, if(ISBLANK('2025'!$R163), 0, 1), 5, if(ISBLANK('2025'!$S163), 0, 1), 6, if(ISBLANK('2025'!$T163), 0, 1), 7, 0))), 1, "")</f>
        <v/>
      </c>
      <c r="BB165" s="1" t="str">
        <f>IF(AND(AND(AND(BB$4&gt;='2025'!$L163,BB$4&lt;='2025'!$M163), BB$4&lt;&gt;DATE(2025,7,4)), (SWITCH(weekday(BB$4), 1, 0, 2, if(ISBLANK('2025'!$P163), 0, 1), 3, if(ISBLANK('2025'!$Q163), 0, 1), 4, if(ISBLANK('2025'!$R163), 0, 1), 5, if(ISBLANK('2025'!$S163), 0, 1), 6, if(ISBLANK('2025'!$T163), 0, 1), 7, 0))), 1, "")</f>
        <v/>
      </c>
      <c r="BC165" s="1" t="str">
        <f>IF(AND(AND(AND(BC$4&gt;='2025'!$L163,BC$4&lt;='2025'!$M163), BC$4&lt;&gt;DATE(2025,7,4)), (SWITCH(weekday(BC$4), 1, 0, 2, if(ISBLANK('2025'!$P163), 0, 1), 3, if(ISBLANK('2025'!$Q163), 0, 1), 4, if(ISBLANK('2025'!$R163), 0, 1), 5, if(ISBLANK('2025'!$S163), 0, 1), 6, if(ISBLANK('2025'!$T163), 0, 1), 7, 0))), 1, "")</f>
        <v/>
      </c>
      <c r="BD165" s="1" t="str">
        <f>IF(AND(AND(AND(BD$4&gt;='2025'!$L163,BD$4&lt;='2025'!$M163), BD$4&lt;&gt;DATE(2025,7,4)), (SWITCH(weekday(BD$4), 1, 0, 2, if(ISBLANK('2025'!$P163), 0, 1), 3, if(ISBLANK('2025'!$Q163), 0, 1), 4, if(ISBLANK('2025'!$R163), 0, 1), 5, if(ISBLANK('2025'!$S163), 0, 1), 6, if(ISBLANK('2025'!$T163), 0, 1), 7, 0))), 1, "")</f>
        <v/>
      </c>
      <c r="BE165" s="1" t="str">
        <f>IF(AND(AND(AND(BE$4&gt;='2025'!$L163,BE$4&lt;='2025'!$M163), BE$4&lt;&gt;DATE(2025,7,4)), (SWITCH(weekday(BE$4), 1, 0, 2, if(ISBLANK('2025'!$P163), 0, 1), 3, if(ISBLANK('2025'!$Q163), 0, 1), 4, if(ISBLANK('2025'!$R163), 0, 1), 5, if(ISBLANK('2025'!$S163), 0, 1), 6, if(ISBLANK('2025'!$T163), 0, 1), 7, 0))), 1, "")</f>
        <v/>
      </c>
      <c r="BF165" s="1" t="str">
        <f>IF(AND(AND(AND(BF$4&gt;='2025'!$L163,BF$4&lt;='2025'!$M163), BF$4&lt;&gt;DATE(2025,7,4)), (SWITCH(weekday(BF$4), 1, 0, 2, if(ISBLANK('2025'!$P163), 0, 1), 3, if(ISBLANK('2025'!$Q163), 0, 1), 4, if(ISBLANK('2025'!$R163), 0, 1), 5, if(ISBLANK('2025'!$S163), 0, 1), 6, if(ISBLANK('2025'!$T163), 0, 1), 7, 0))), 1, "")</f>
        <v/>
      </c>
      <c r="BG165" s="1"/>
      <c r="BH165" s="1"/>
      <c r="BI165" s="1"/>
      <c r="BJ165" s="1"/>
      <c r="BK165" s="1"/>
      <c r="BL165" s="1"/>
    </row>
    <row r="166">
      <c r="A166" s="1">
        <f t="shared" si="3"/>
        <v>166</v>
      </c>
      <c r="B166" s="1" t="str">
        <f>'2025'!D130</f>
        <v>, </v>
      </c>
      <c r="C166" s="1" t="str">
        <f>'2025'!H130</f>
        <v/>
      </c>
      <c r="D166" s="1" t="str">
        <f>IF(AND(AND(AND(D$4&gt;='2025'!$L164,D$4&lt;='2025'!$M164), D$4&lt;&gt;DATE(2025,7,4)), (SWITCH(weekday(D$4), 1, 0, 2, if(ISBLANK('2025'!$P164), 0, 1), 3, if(ISBLANK('2025'!$Q164), 0, 1), 4, if(ISBLANK('2025'!$R164), 0, 1), 5, if(ISBLANK('2025'!$S164), 0, 1), 6, if(ISBLANK('2025'!$T164), 0, 1), 7, 0))), 1, "")</f>
        <v/>
      </c>
      <c r="E166" s="1" t="str">
        <f>IF(AND(AND(AND(E$4&gt;='2025'!$L164,E$4&lt;='2025'!$M164), E$4&lt;&gt;DATE(2025,7,4)), (SWITCH(weekday(E$4), 1, 0, 2, if(ISBLANK('2025'!$P164), 0, 1), 3, if(ISBLANK('2025'!$Q164), 0, 1), 4, if(ISBLANK('2025'!$R164), 0, 1), 5, if(ISBLANK('2025'!$S164), 0, 1), 6, if(ISBLANK('2025'!$T164), 0, 1), 7, 0))), 1, "")</f>
        <v/>
      </c>
      <c r="F166" s="1" t="str">
        <f>IF(AND(AND(AND(F$4&gt;='2025'!$L164,F$4&lt;='2025'!$M164), F$4&lt;&gt;DATE(2025,7,4)), (SWITCH(weekday(F$4), 1, 0, 2, if(ISBLANK('2025'!$P164), 0, 1), 3, if(ISBLANK('2025'!$Q164), 0, 1), 4, if(ISBLANK('2025'!$R164), 0, 1), 5, if(ISBLANK('2025'!$S164), 0, 1), 6, if(ISBLANK('2025'!$T164), 0, 1), 7, 0))), 1, "")</f>
        <v/>
      </c>
      <c r="G166" s="1" t="str">
        <f>IF(AND(AND(AND(G$4&gt;='2025'!$L164,G$4&lt;='2025'!$M164), G$4&lt;&gt;DATE(2025,7,4)), (SWITCH(weekday(G$4), 1, 0, 2, if(ISBLANK('2025'!$P164), 0, 1), 3, if(ISBLANK('2025'!$Q164), 0, 1), 4, if(ISBLANK('2025'!$R164), 0, 1), 5, if(ISBLANK('2025'!$S164), 0, 1), 6, if(ISBLANK('2025'!$T164), 0, 1), 7, 0))), 1, "")</f>
        <v/>
      </c>
      <c r="H166" s="1" t="str">
        <f>IF(AND(AND(AND(H$4&gt;='2025'!$L164,H$4&lt;='2025'!$M164), H$4&lt;&gt;DATE(2025,7,4)), (SWITCH(weekday(H$4), 1, 0, 2, if(ISBLANK('2025'!$P164), 0, 1), 3, if(ISBLANK('2025'!$Q164), 0, 1), 4, if(ISBLANK('2025'!$R164), 0, 1), 5, if(ISBLANK('2025'!$S164), 0, 1), 6, if(ISBLANK('2025'!$T164), 0, 1), 7, 0))), 1, "")</f>
        <v/>
      </c>
      <c r="I166" s="1" t="str">
        <f>IF(AND(AND(AND(I$4&gt;='2025'!$L164,I$4&lt;='2025'!$M164), I$4&lt;&gt;DATE(2025,7,4)), (SWITCH(weekday(I$4), 1, 0, 2, if(ISBLANK('2025'!$P164), 0, 1), 3, if(ISBLANK('2025'!$Q164), 0, 1), 4, if(ISBLANK('2025'!$R164), 0, 1), 5, if(ISBLANK('2025'!$S164), 0, 1), 6, if(ISBLANK('2025'!$T164), 0, 1), 7, 0))), 1, "")</f>
        <v/>
      </c>
      <c r="J166" s="1" t="str">
        <f>IF(AND(AND(AND(J$4&gt;='2025'!$L164,J$4&lt;='2025'!$M164), J$4&lt;&gt;DATE(2025,7,4)), (SWITCH(weekday(J$4), 1, 0, 2, if(ISBLANK('2025'!$P164), 0, 1), 3, if(ISBLANK('2025'!$Q164), 0, 1), 4, if(ISBLANK('2025'!$R164), 0, 1), 5, if(ISBLANK('2025'!$S164), 0, 1), 6, if(ISBLANK('2025'!$T164), 0, 1), 7, 0))), 1, "")</f>
        <v/>
      </c>
      <c r="K166" s="1" t="str">
        <f>IF(AND(AND(AND(K$4&gt;='2025'!$L164,K$4&lt;='2025'!$M164), K$4&lt;&gt;DATE(2025,7,4)), (SWITCH(weekday(K$4), 1, 0, 2, if(ISBLANK('2025'!$P164), 0, 1), 3, if(ISBLANK('2025'!$Q164), 0, 1), 4, if(ISBLANK('2025'!$R164), 0, 1), 5, if(ISBLANK('2025'!$S164), 0, 1), 6, if(ISBLANK('2025'!$T164), 0, 1), 7, 0))), 1, "")</f>
        <v/>
      </c>
      <c r="L166" s="1" t="str">
        <f>IF(AND(AND(AND(L$4&gt;='2025'!$L164,L$4&lt;='2025'!$M164), L$4&lt;&gt;DATE(2025,7,4)), (SWITCH(weekday(L$4), 1, 0, 2, if(ISBLANK('2025'!$P164), 0, 1), 3, if(ISBLANK('2025'!$Q164), 0, 1), 4, if(ISBLANK('2025'!$R164), 0, 1), 5, if(ISBLANK('2025'!$S164), 0, 1), 6, if(ISBLANK('2025'!$T164), 0, 1), 7, 0))), 1, "")</f>
        <v/>
      </c>
      <c r="M166" s="1" t="str">
        <f>IF(AND(AND(AND(M$4&gt;='2025'!$L164,M$4&lt;='2025'!$M164), M$4&lt;&gt;DATE(2025,7,4)), (SWITCH(weekday(M$4), 1, 0, 2, if(ISBLANK('2025'!$P164), 0, 1), 3, if(ISBLANK('2025'!$Q164), 0, 1), 4, if(ISBLANK('2025'!$R164), 0, 1), 5, if(ISBLANK('2025'!$S164), 0, 1), 6, if(ISBLANK('2025'!$T164), 0, 1), 7, 0))), 1, "")</f>
        <v/>
      </c>
      <c r="N166" s="1" t="str">
        <f>IF(AND(AND(AND(N$4&gt;='2025'!$L164,N$4&lt;='2025'!$M164), N$4&lt;&gt;DATE(2025,7,4)), (SWITCH(weekday(N$4), 1, 0, 2, if(ISBLANK('2025'!$P164), 0, 1), 3, if(ISBLANK('2025'!$Q164), 0, 1), 4, if(ISBLANK('2025'!$R164), 0, 1), 5, if(ISBLANK('2025'!$S164), 0, 1), 6, if(ISBLANK('2025'!$T164), 0, 1), 7, 0))), 1, "")</f>
        <v/>
      </c>
      <c r="O166" s="1" t="str">
        <f>IF(AND(AND(AND(O$4&gt;='2025'!$L164,O$4&lt;='2025'!$M164), O$4&lt;&gt;DATE(2025,7,4)), (SWITCH(weekday(O$4), 1, 0, 2, if(ISBLANK('2025'!$P164), 0, 1), 3, if(ISBLANK('2025'!$Q164), 0, 1), 4, if(ISBLANK('2025'!$R164), 0, 1), 5, if(ISBLANK('2025'!$S164), 0, 1), 6, if(ISBLANK('2025'!$T164), 0, 1), 7, 0))), 1, "")</f>
        <v/>
      </c>
      <c r="P166" s="1" t="str">
        <f>IF(AND(AND(AND(P$4&gt;='2025'!$L164,P$4&lt;='2025'!$M164), P$4&lt;&gt;DATE(2025,7,4)), (SWITCH(weekday(P$4), 1, 0, 2, if(ISBLANK('2025'!$P164), 0, 1), 3, if(ISBLANK('2025'!$Q164), 0, 1), 4, if(ISBLANK('2025'!$R164), 0, 1), 5, if(ISBLANK('2025'!$S164), 0, 1), 6, if(ISBLANK('2025'!$T164), 0, 1), 7, 0))), 1, "")</f>
        <v/>
      </c>
      <c r="Q166" s="1" t="str">
        <f>IF(AND(AND(AND(Q$4&gt;='2025'!$L164,Q$4&lt;='2025'!$M164), Q$4&lt;&gt;DATE(2025,7,4)), (SWITCH(weekday(Q$4), 1, 0, 2, if(ISBLANK('2025'!$P164), 0, 1), 3, if(ISBLANK('2025'!$Q164), 0, 1), 4, if(ISBLANK('2025'!$R164), 0, 1), 5, if(ISBLANK('2025'!$S164), 0, 1), 6, if(ISBLANK('2025'!$T164), 0, 1), 7, 0))), 1, "")</f>
        <v/>
      </c>
      <c r="R166" s="1" t="str">
        <f>IF(AND(AND(AND(R$4&gt;='2025'!$L164,R$4&lt;='2025'!$M164), R$4&lt;&gt;DATE(2025,7,4)), (SWITCH(weekday(R$4), 1, 0, 2, if(ISBLANK('2025'!$P164), 0, 1), 3, if(ISBLANK('2025'!$Q164), 0, 1), 4, if(ISBLANK('2025'!$R164), 0, 1), 5, if(ISBLANK('2025'!$S164), 0, 1), 6, if(ISBLANK('2025'!$T164), 0, 1), 7, 0))), 1, "")</f>
        <v/>
      </c>
      <c r="S166" s="1" t="str">
        <f>IF(AND(AND(AND(S$4&gt;='2025'!$L164,S$4&lt;='2025'!$M164), S$4&lt;&gt;DATE(2025,7,4)), (SWITCH(weekday(S$4), 1, 0, 2, if(ISBLANK('2025'!$P164), 0, 1), 3, if(ISBLANK('2025'!$Q164), 0, 1), 4, if(ISBLANK('2025'!$R164), 0, 1), 5, if(ISBLANK('2025'!$S164), 0, 1), 6, if(ISBLANK('2025'!$T164), 0, 1), 7, 0))), 1, "")</f>
        <v/>
      </c>
      <c r="T166" s="1" t="str">
        <f>IF(AND(AND(AND(T$4&gt;='2025'!$L164,T$4&lt;='2025'!$M164), T$4&lt;&gt;DATE(2025,7,4)), (SWITCH(weekday(T$4), 1, 0, 2, if(ISBLANK('2025'!$P164), 0, 1), 3, if(ISBLANK('2025'!$Q164), 0, 1), 4, if(ISBLANK('2025'!$R164), 0, 1), 5, if(ISBLANK('2025'!$S164), 0, 1), 6, if(ISBLANK('2025'!$T164), 0, 1), 7, 0))), 1, "")</f>
        <v/>
      </c>
      <c r="U166" s="1" t="str">
        <f>IF(AND(AND(AND(U$4&gt;='2025'!$L164,U$4&lt;='2025'!$M164), U$4&lt;&gt;DATE(2025,7,4)), (SWITCH(weekday(U$4), 1, 0, 2, if(ISBLANK('2025'!$P164), 0, 1), 3, if(ISBLANK('2025'!$Q164), 0, 1), 4, if(ISBLANK('2025'!$R164), 0, 1), 5, if(ISBLANK('2025'!$S164), 0, 1), 6, if(ISBLANK('2025'!$T164), 0, 1), 7, 0))), 1, "")</f>
        <v/>
      </c>
      <c r="V166" s="1" t="str">
        <f>IF(AND(AND(AND(V$4&gt;='2025'!$L164,V$4&lt;='2025'!$M164), V$4&lt;&gt;DATE(2025,7,4)), (SWITCH(weekday(V$4), 1, 0, 2, if(ISBLANK('2025'!$P164), 0, 1), 3, if(ISBLANK('2025'!$Q164), 0, 1), 4, if(ISBLANK('2025'!$R164), 0, 1), 5, if(ISBLANK('2025'!$S164), 0, 1), 6, if(ISBLANK('2025'!$T164), 0, 1), 7, 0))), 1, "")</f>
        <v/>
      </c>
      <c r="W166" s="1" t="str">
        <f>IF(AND(AND(AND(W$4&gt;='2025'!$L164,W$4&lt;='2025'!$M164), W$4&lt;&gt;DATE(2025,7,4)), (SWITCH(weekday(W$4), 1, 0, 2, if(ISBLANK('2025'!$P164), 0, 1), 3, if(ISBLANK('2025'!$Q164), 0, 1), 4, if(ISBLANK('2025'!$R164), 0, 1), 5, if(ISBLANK('2025'!$S164), 0, 1), 6, if(ISBLANK('2025'!$T164), 0, 1), 7, 0))), 1, "")</f>
        <v/>
      </c>
      <c r="X166" s="1" t="str">
        <f>IF(AND(AND(AND(X$4&gt;='2025'!$L164,X$4&lt;='2025'!$M164), X$4&lt;&gt;DATE(2025,7,4)), (SWITCH(weekday(X$4), 1, 0, 2, if(ISBLANK('2025'!$P164), 0, 1), 3, if(ISBLANK('2025'!$Q164), 0, 1), 4, if(ISBLANK('2025'!$R164), 0, 1), 5, if(ISBLANK('2025'!$S164), 0, 1), 6, if(ISBLANK('2025'!$T164), 0, 1), 7, 0))), 1, "")</f>
        <v/>
      </c>
      <c r="Y166" s="1" t="str">
        <f>IF(AND(AND(AND(Y$4&gt;='2025'!$L164,Y$4&lt;='2025'!$M164), Y$4&lt;&gt;DATE(2025,7,4)), (SWITCH(weekday(Y$4), 1, 0, 2, if(ISBLANK('2025'!$P164), 0, 1), 3, if(ISBLANK('2025'!$Q164), 0, 1), 4, if(ISBLANK('2025'!$R164), 0, 1), 5, if(ISBLANK('2025'!$S164), 0, 1), 6, if(ISBLANK('2025'!$T164), 0, 1), 7, 0))), 1, "")</f>
        <v/>
      </c>
      <c r="Z166" s="1" t="str">
        <f>IF(AND(AND(AND(Z$4&gt;='2025'!$L164,Z$4&lt;='2025'!$M164), Z$4&lt;&gt;DATE(2025,7,4)), (SWITCH(weekday(Z$4), 1, 0, 2, if(ISBLANK('2025'!$P164), 0, 1), 3, if(ISBLANK('2025'!$Q164), 0, 1), 4, if(ISBLANK('2025'!$R164), 0, 1), 5, if(ISBLANK('2025'!$S164), 0, 1), 6, if(ISBLANK('2025'!$T164), 0, 1), 7, 0))), 1, "")</f>
        <v/>
      </c>
      <c r="AA166" s="1" t="str">
        <f>IF(AND(AND(AND(AA$4&gt;='2025'!$L164,AA$4&lt;='2025'!$M164), AA$4&lt;&gt;DATE(2025,7,4)), (SWITCH(weekday(AA$4), 1, 0, 2, if(ISBLANK('2025'!$P164), 0, 1), 3, if(ISBLANK('2025'!$Q164), 0, 1), 4, if(ISBLANK('2025'!$R164), 0, 1), 5, if(ISBLANK('2025'!$S164), 0, 1), 6, if(ISBLANK('2025'!$T164), 0, 1), 7, 0))), 1, "")</f>
        <v/>
      </c>
      <c r="AB166" s="1" t="str">
        <f>IF(AND(AND(AND(AB$4&gt;='2025'!$L164,AB$4&lt;='2025'!$M164), AB$4&lt;&gt;DATE(2025,7,4)), (SWITCH(weekday(AB$4), 1, 0, 2, if(ISBLANK('2025'!$P164), 0, 1), 3, if(ISBLANK('2025'!$Q164), 0, 1), 4, if(ISBLANK('2025'!$R164), 0, 1), 5, if(ISBLANK('2025'!$S164), 0, 1), 6, if(ISBLANK('2025'!$T164), 0, 1), 7, 0))), 1, "")</f>
        <v/>
      </c>
      <c r="AC166" s="1" t="str">
        <f>IF(AND(AND(AND(AC$4&gt;='2025'!$L164,AC$4&lt;='2025'!$M164), AC$4&lt;&gt;DATE(2025,7,4)), (SWITCH(weekday(AC$4), 1, 0, 2, if(ISBLANK('2025'!$P164), 0, 1), 3, if(ISBLANK('2025'!$Q164), 0, 1), 4, if(ISBLANK('2025'!$R164), 0, 1), 5, if(ISBLANK('2025'!$S164), 0, 1), 6, if(ISBLANK('2025'!$T164), 0, 1), 7, 0))), 1, "")</f>
        <v/>
      </c>
      <c r="AD166" s="1" t="str">
        <f>IF(AND(AND(AND(AD$4&gt;='2025'!$L164,AD$4&lt;='2025'!$M164), AD$4&lt;&gt;DATE(2025,7,4)), (SWITCH(weekday(AD$4), 1, 0, 2, if(ISBLANK('2025'!$P164), 0, 1), 3, if(ISBLANK('2025'!$Q164), 0, 1), 4, if(ISBLANK('2025'!$R164), 0, 1), 5, if(ISBLANK('2025'!$S164), 0, 1), 6, if(ISBLANK('2025'!$T164), 0, 1), 7, 0))), 1, "")</f>
        <v/>
      </c>
      <c r="AE166" s="1" t="str">
        <f>IF(AND(AND(AND(AE$4&gt;='2025'!$L164,AE$4&lt;='2025'!$M164), AE$4&lt;&gt;DATE(2025,7,4)), (SWITCH(weekday(AE$4), 1, 0, 2, if(ISBLANK('2025'!$P164), 0, 1), 3, if(ISBLANK('2025'!$Q164), 0, 1), 4, if(ISBLANK('2025'!$R164), 0, 1), 5, if(ISBLANK('2025'!$S164), 0, 1), 6, if(ISBLANK('2025'!$T164), 0, 1), 7, 0))), 1, "")</f>
        <v/>
      </c>
      <c r="AF166" s="1" t="str">
        <f>IF(AND(AND(AND(AF$4&gt;='2025'!$L164,AF$4&lt;='2025'!$M164), AF$4&lt;&gt;DATE(2025,7,4)), (SWITCH(weekday(AF$4), 1, 0, 2, if(ISBLANK('2025'!$P164), 0, 1), 3, if(ISBLANK('2025'!$Q164), 0, 1), 4, if(ISBLANK('2025'!$R164), 0, 1), 5, if(ISBLANK('2025'!$S164), 0, 1), 6, if(ISBLANK('2025'!$T164), 0, 1), 7, 0))), 1, "")</f>
        <v/>
      </c>
      <c r="AG166" s="1" t="str">
        <f>IF(AND(AND(AND(AG$4&gt;='2025'!$L164,AG$4&lt;='2025'!$M164), AG$4&lt;&gt;DATE(2025,7,4)), (SWITCH(weekday(AG$4), 1, 0, 2, if(ISBLANK('2025'!$P164), 0, 1), 3, if(ISBLANK('2025'!$Q164), 0, 1), 4, if(ISBLANK('2025'!$R164), 0, 1), 5, if(ISBLANK('2025'!$S164), 0, 1), 6, if(ISBLANK('2025'!$T164), 0, 1), 7, 0))), 1, "")</f>
        <v/>
      </c>
      <c r="AH166" s="1" t="str">
        <f>IF(AND(AND(AND(AH$4&gt;='2025'!$L164,AH$4&lt;='2025'!$M164), AH$4&lt;&gt;DATE(2025,7,4)), (SWITCH(weekday(AH$4), 1, 0, 2, if(ISBLANK('2025'!$P164), 0, 1), 3, if(ISBLANK('2025'!$Q164), 0, 1), 4, if(ISBLANK('2025'!$R164), 0, 1), 5, if(ISBLANK('2025'!$S164), 0, 1), 6, if(ISBLANK('2025'!$T164), 0, 1), 7, 0))), 1, "")</f>
        <v/>
      </c>
      <c r="AI166" s="1" t="str">
        <f>IF(AND(AND(AND(AI$4&gt;='2025'!$L164,AI$4&lt;='2025'!$M164), AI$4&lt;&gt;DATE(2025,7,4)), (SWITCH(weekday(AI$4), 1, 0, 2, if(ISBLANK('2025'!$P164), 0, 1), 3, if(ISBLANK('2025'!$Q164), 0, 1), 4, if(ISBLANK('2025'!$R164), 0, 1), 5, if(ISBLANK('2025'!$S164), 0, 1), 6, if(ISBLANK('2025'!$T164), 0, 1), 7, 0))), 1, "")</f>
        <v/>
      </c>
      <c r="AJ166" s="1" t="str">
        <f>IF(AND(AND(AND(AJ$4&gt;='2025'!$L164,AJ$4&lt;='2025'!$M164), AJ$4&lt;&gt;DATE(2025,7,4)), (SWITCH(weekday(AJ$4), 1, 0, 2, if(ISBLANK('2025'!$P164), 0, 1), 3, if(ISBLANK('2025'!$Q164), 0, 1), 4, if(ISBLANK('2025'!$R164), 0, 1), 5, if(ISBLANK('2025'!$S164), 0, 1), 6, if(ISBLANK('2025'!$T164), 0, 1), 7, 0))), 1, "")</f>
        <v/>
      </c>
      <c r="AK166" s="1" t="str">
        <f>IF(AND(AND(AND(AK$4&gt;='2025'!$L164,AK$4&lt;='2025'!$M164), AK$4&lt;&gt;DATE(2025,7,4)), (SWITCH(weekday(AK$4), 1, 0, 2, if(ISBLANK('2025'!$P164), 0, 1), 3, if(ISBLANK('2025'!$Q164), 0, 1), 4, if(ISBLANK('2025'!$R164), 0, 1), 5, if(ISBLANK('2025'!$S164), 0, 1), 6, if(ISBLANK('2025'!$T164), 0, 1), 7, 0))), 1, "")</f>
        <v/>
      </c>
      <c r="AL166" s="1" t="str">
        <f>IF(AND(AND(AND(AL$4&gt;='2025'!$L164,AL$4&lt;='2025'!$M164), AL$4&lt;&gt;DATE(2025,7,4)), (SWITCH(weekday(AL$4), 1, 0, 2, if(ISBLANK('2025'!$P164), 0, 1), 3, if(ISBLANK('2025'!$Q164), 0, 1), 4, if(ISBLANK('2025'!$R164), 0, 1), 5, if(ISBLANK('2025'!$S164), 0, 1), 6, if(ISBLANK('2025'!$T164), 0, 1), 7, 0))), 1, "")</f>
        <v/>
      </c>
      <c r="AM166" s="1" t="str">
        <f>IF(AND(AND(AND(AM$4&gt;='2025'!$L164,AM$4&lt;='2025'!$M164), AM$4&lt;&gt;DATE(2025,7,4)), (SWITCH(weekday(AM$4), 1, 0, 2, if(ISBLANK('2025'!$P164), 0, 1), 3, if(ISBLANK('2025'!$Q164), 0, 1), 4, if(ISBLANK('2025'!$R164), 0, 1), 5, if(ISBLANK('2025'!$S164), 0, 1), 6, if(ISBLANK('2025'!$T164), 0, 1), 7, 0))), 1, "")</f>
        <v/>
      </c>
      <c r="AN166" s="1" t="str">
        <f>IF(AND(AND(AND(AN$4&gt;='2025'!$L164,AN$4&lt;='2025'!$M164), AN$4&lt;&gt;DATE(2025,7,4)), (SWITCH(weekday(AN$4), 1, 0, 2, if(ISBLANK('2025'!$P164), 0, 1), 3, if(ISBLANK('2025'!$Q164), 0, 1), 4, if(ISBLANK('2025'!$R164), 0, 1), 5, if(ISBLANK('2025'!$S164), 0, 1), 6, if(ISBLANK('2025'!$T164), 0, 1), 7, 0))), 1, "")</f>
        <v/>
      </c>
      <c r="AO166" s="1" t="str">
        <f>IF(AND(AND(AND(AO$4&gt;='2025'!$L164,AO$4&lt;='2025'!$M164), AO$4&lt;&gt;DATE(2025,7,4)), (SWITCH(weekday(AO$4), 1, 0, 2, if(ISBLANK('2025'!$P164), 0, 1), 3, if(ISBLANK('2025'!$Q164), 0, 1), 4, if(ISBLANK('2025'!$R164), 0, 1), 5, if(ISBLANK('2025'!$S164), 0, 1), 6, if(ISBLANK('2025'!$T164), 0, 1), 7, 0))), 1, "")</f>
        <v/>
      </c>
      <c r="AP166" s="1" t="str">
        <f>IF(AND(AND(AND(AP$4&gt;='2025'!$L164,AP$4&lt;='2025'!$M164), AP$4&lt;&gt;DATE(2025,7,4)), (SWITCH(weekday(AP$4), 1, 0, 2, if(ISBLANK('2025'!$P164), 0, 1), 3, if(ISBLANK('2025'!$Q164), 0, 1), 4, if(ISBLANK('2025'!$R164), 0, 1), 5, if(ISBLANK('2025'!$S164), 0, 1), 6, if(ISBLANK('2025'!$T164), 0, 1), 7, 0))), 1, "")</f>
        <v/>
      </c>
      <c r="AQ166" s="1" t="str">
        <f>IF(AND(AND(AND(AQ$4&gt;='2025'!$L164,AQ$4&lt;='2025'!$M164), AQ$4&lt;&gt;DATE(2025,7,4)), (SWITCH(weekday(AQ$4), 1, 0, 2, if(ISBLANK('2025'!$P164), 0, 1), 3, if(ISBLANK('2025'!$Q164), 0, 1), 4, if(ISBLANK('2025'!$R164), 0, 1), 5, if(ISBLANK('2025'!$S164), 0, 1), 6, if(ISBLANK('2025'!$T164), 0, 1), 7, 0))), 1, "")</f>
        <v/>
      </c>
      <c r="AR166" s="1" t="str">
        <f>IF(AND(AND(AND(AR$4&gt;='2025'!$L164,AR$4&lt;='2025'!$M164), AR$4&lt;&gt;DATE(2025,7,4)), (SWITCH(weekday(AR$4), 1, 0, 2, if(ISBLANK('2025'!$P164), 0, 1), 3, if(ISBLANK('2025'!$Q164), 0, 1), 4, if(ISBLANK('2025'!$R164), 0, 1), 5, if(ISBLANK('2025'!$S164), 0, 1), 6, if(ISBLANK('2025'!$T164), 0, 1), 7, 0))), 1, "")</f>
        <v/>
      </c>
      <c r="AS166" s="1" t="str">
        <f>IF(AND(AND(AND(AS$4&gt;='2025'!$L164,AS$4&lt;='2025'!$M164), AS$4&lt;&gt;DATE(2025,7,4)), (SWITCH(weekday(AS$4), 1, 0, 2, if(ISBLANK('2025'!$P164), 0, 1), 3, if(ISBLANK('2025'!$Q164), 0, 1), 4, if(ISBLANK('2025'!$R164), 0, 1), 5, if(ISBLANK('2025'!$S164), 0, 1), 6, if(ISBLANK('2025'!$T164), 0, 1), 7, 0))), 1, "")</f>
        <v/>
      </c>
      <c r="AT166" s="1" t="str">
        <f>IF(AND(AND(AND(AT$4&gt;='2025'!$L164,AT$4&lt;='2025'!$M164), AT$4&lt;&gt;DATE(2025,7,4)), (SWITCH(weekday(AT$4), 1, 0, 2, if(ISBLANK('2025'!$P164), 0, 1), 3, if(ISBLANK('2025'!$Q164), 0, 1), 4, if(ISBLANK('2025'!$R164), 0, 1), 5, if(ISBLANK('2025'!$S164), 0, 1), 6, if(ISBLANK('2025'!$T164), 0, 1), 7, 0))), 1, "")</f>
        <v/>
      </c>
      <c r="AU166" s="1" t="str">
        <f>IF(AND(AND(AND(AU$4&gt;='2025'!$L164,AU$4&lt;='2025'!$M164), AU$4&lt;&gt;DATE(2025,7,4)), (SWITCH(weekday(AU$4), 1, 0, 2, if(ISBLANK('2025'!$P164), 0, 1), 3, if(ISBLANK('2025'!$Q164), 0, 1), 4, if(ISBLANK('2025'!$R164), 0, 1), 5, if(ISBLANK('2025'!$S164), 0, 1), 6, if(ISBLANK('2025'!$T164), 0, 1), 7, 0))), 1, "")</f>
        <v/>
      </c>
      <c r="AV166" s="1" t="str">
        <f>IF(AND(AND(AND(AV$4&gt;='2025'!$L164,AV$4&lt;='2025'!$M164), AV$4&lt;&gt;DATE(2025,7,4)), (SWITCH(weekday(AV$4), 1, 0, 2, if(ISBLANK('2025'!$P164), 0, 1), 3, if(ISBLANK('2025'!$Q164), 0, 1), 4, if(ISBLANK('2025'!$R164), 0, 1), 5, if(ISBLANK('2025'!$S164), 0, 1), 6, if(ISBLANK('2025'!$T164), 0, 1), 7, 0))), 1, "")</f>
        <v/>
      </c>
      <c r="AW166" s="1" t="str">
        <f>IF(AND(AND(AND(AW$4&gt;='2025'!$L164,AW$4&lt;='2025'!$M164), AW$4&lt;&gt;DATE(2025,7,4)), (SWITCH(weekday(AW$4), 1, 0, 2, if(ISBLANK('2025'!$P164), 0, 1), 3, if(ISBLANK('2025'!$Q164), 0, 1), 4, if(ISBLANK('2025'!$R164), 0, 1), 5, if(ISBLANK('2025'!$S164), 0, 1), 6, if(ISBLANK('2025'!$T164), 0, 1), 7, 0))), 1, "")</f>
        <v/>
      </c>
      <c r="AX166" s="1" t="str">
        <f>IF(AND(AND(AND(AX$4&gt;='2025'!$L164,AX$4&lt;='2025'!$M164), AX$4&lt;&gt;DATE(2025,7,4)), (SWITCH(weekday(AX$4), 1, 0, 2, if(ISBLANK('2025'!$P164), 0, 1), 3, if(ISBLANK('2025'!$Q164), 0, 1), 4, if(ISBLANK('2025'!$R164), 0, 1), 5, if(ISBLANK('2025'!$S164), 0, 1), 6, if(ISBLANK('2025'!$T164), 0, 1), 7, 0))), 1, "")</f>
        <v/>
      </c>
      <c r="AY166" s="1" t="str">
        <f>IF(AND(AND(AND(AY$4&gt;='2025'!$L164,AY$4&lt;='2025'!$M164), AY$4&lt;&gt;DATE(2025,7,4)), (SWITCH(weekday(AY$4), 1, 0, 2, if(ISBLANK('2025'!$P164), 0, 1), 3, if(ISBLANK('2025'!$Q164), 0, 1), 4, if(ISBLANK('2025'!$R164), 0, 1), 5, if(ISBLANK('2025'!$S164), 0, 1), 6, if(ISBLANK('2025'!$T164), 0, 1), 7, 0))), 1, "")</f>
        <v/>
      </c>
      <c r="AZ166" s="1" t="str">
        <f>IF(AND(AND(AND(AZ$4&gt;='2025'!$L164,AZ$4&lt;='2025'!$M164), AZ$4&lt;&gt;DATE(2025,7,4)), (SWITCH(weekday(AZ$4), 1, 0, 2, if(ISBLANK('2025'!$P164), 0, 1), 3, if(ISBLANK('2025'!$Q164), 0, 1), 4, if(ISBLANK('2025'!$R164), 0, 1), 5, if(ISBLANK('2025'!$S164), 0, 1), 6, if(ISBLANK('2025'!$T164), 0, 1), 7, 0))), 1, "")</f>
        <v/>
      </c>
      <c r="BA166" s="1" t="str">
        <f>IF(AND(AND(AND(BA$4&gt;='2025'!$L164,BA$4&lt;='2025'!$M164), BA$4&lt;&gt;DATE(2025,7,4)), (SWITCH(weekday(BA$4), 1, 0, 2, if(ISBLANK('2025'!$P164), 0, 1), 3, if(ISBLANK('2025'!$Q164), 0, 1), 4, if(ISBLANK('2025'!$R164), 0, 1), 5, if(ISBLANK('2025'!$S164), 0, 1), 6, if(ISBLANK('2025'!$T164), 0, 1), 7, 0))), 1, "")</f>
        <v/>
      </c>
      <c r="BB166" s="1" t="str">
        <f>IF(AND(AND(AND(BB$4&gt;='2025'!$L164,BB$4&lt;='2025'!$M164), BB$4&lt;&gt;DATE(2025,7,4)), (SWITCH(weekday(BB$4), 1, 0, 2, if(ISBLANK('2025'!$P164), 0, 1), 3, if(ISBLANK('2025'!$Q164), 0, 1), 4, if(ISBLANK('2025'!$R164), 0, 1), 5, if(ISBLANK('2025'!$S164), 0, 1), 6, if(ISBLANK('2025'!$T164), 0, 1), 7, 0))), 1, "")</f>
        <v/>
      </c>
      <c r="BC166" s="1" t="str">
        <f>IF(AND(AND(AND(BC$4&gt;='2025'!$L164,BC$4&lt;='2025'!$M164), BC$4&lt;&gt;DATE(2025,7,4)), (SWITCH(weekday(BC$4), 1, 0, 2, if(ISBLANK('2025'!$P164), 0, 1), 3, if(ISBLANK('2025'!$Q164), 0, 1), 4, if(ISBLANK('2025'!$R164), 0, 1), 5, if(ISBLANK('2025'!$S164), 0, 1), 6, if(ISBLANK('2025'!$T164), 0, 1), 7, 0))), 1, "")</f>
        <v/>
      </c>
      <c r="BD166" s="1" t="str">
        <f>IF(AND(AND(AND(BD$4&gt;='2025'!$L164,BD$4&lt;='2025'!$M164), BD$4&lt;&gt;DATE(2025,7,4)), (SWITCH(weekday(BD$4), 1, 0, 2, if(ISBLANK('2025'!$P164), 0, 1), 3, if(ISBLANK('2025'!$Q164), 0, 1), 4, if(ISBLANK('2025'!$R164), 0, 1), 5, if(ISBLANK('2025'!$S164), 0, 1), 6, if(ISBLANK('2025'!$T164), 0, 1), 7, 0))), 1, "")</f>
        <v/>
      </c>
      <c r="BE166" s="1" t="str">
        <f>IF(AND(AND(AND(BE$4&gt;='2025'!$L164,BE$4&lt;='2025'!$M164), BE$4&lt;&gt;DATE(2025,7,4)), (SWITCH(weekday(BE$4), 1, 0, 2, if(ISBLANK('2025'!$P164), 0, 1), 3, if(ISBLANK('2025'!$Q164), 0, 1), 4, if(ISBLANK('2025'!$R164), 0, 1), 5, if(ISBLANK('2025'!$S164), 0, 1), 6, if(ISBLANK('2025'!$T164), 0, 1), 7, 0))), 1, "")</f>
        <v/>
      </c>
      <c r="BF166" s="1" t="str">
        <f>IF(AND(AND(AND(BF$4&gt;='2025'!$L164,BF$4&lt;='2025'!$M164), BF$4&lt;&gt;DATE(2025,7,4)), (SWITCH(weekday(BF$4), 1, 0, 2, if(ISBLANK('2025'!$P164), 0, 1), 3, if(ISBLANK('2025'!$Q164), 0, 1), 4, if(ISBLANK('2025'!$R164), 0, 1), 5, if(ISBLANK('2025'!$S164), 0, 1), 6, if(ISBLANK('2025'!$T164), 0, 1), 7, 0))), 1, "")</f>
        <v/>
      </c>
      <c r="BG166" s="1"/>
      <c r="BH166" s="1"/>
      <c r="BI166" s="1"/>
      <c r="BJ166" s="1"/>
      <c r="BK166" s="1"/>
      <c r="BL166" s="1"/>
    </row>
    <row r="167">
      <c r="A167" s="1">
        <f t="shared" si="3"/>
        <v>167</v>
      </c>
      <c r="B167" s="1" t="str">
        <f>'2025'!D131</f>
        <v>, </v>
      </c>
      <c r="C167" s="1" t="str">
        <f>'2025'!H131</f>
        <v/>
      </c>
      <c r="D167" s="1" t="str">
        <f>IF(AND(AND(AND(D$4&gt;='2025'!$L165,D$4&lt;='2025'!$M165), D$4&lt;&gt;DATE(2025,7,4)), (SWITCH(weekday(D$4), 1, 0, 2, if(ISBLANK('2025'!$P165), 0, 1), 3, if(ISBLANK('2025'!$Q165), 0, 1), 4, if(ISBLANK('2025'!$R165), 0, 1), 5, if(ISBLANK('2025'!$S165), 0, 1), 6, if(ISBLANK('2025'!$T165), 0, 1), 7, 0))), 1, "")</f>
        <v/>
      </c>
      <c r="E167" s="1" t="str">
        <f>IF(AND(AND(AND(E$4&gt;='2025'!$L165,E$4&lt;='2025'!$M165), E$4&lt;&gt;DATE(2025,7,4)), (SWITCH(weekday(E$4), 1, 0, 2, if(ISBLANK('2025'!$P165), 0, 1), 3, if(ISBLANK('2025'!$Q165), 0, 1), 4, if(ISBLANK('2025'!$R165), 0, 1), 5, if(ISBLANK('2025'!$S165), 0, 1), 6, if(ISBLANK('2025'!$T165), 0, 1), 7, 0))), 1, "")</f>
        <v/>
      </c>
      <c r="F167" s="1" t="str">
        <f>IF(AND(AND(AND(F$4&gt;='2025'!$L165,F$4&lt;='2025'!$M165), F$4&lt;&gt;DATE(2025,7,4)), (SWITCH(weekday(F$4), 1, 0, 2, if(ISBLANK('2025'!$P165), 0, 1), 3, if(ISBLANK('2025'!$Q165), 0, 1), 4, if(ISBLANK('2025'!$R165), 0, 1), 5, if(ISBLANK('2025'!$S165), 0, 1), 6, if(ISBLANK('2025'!$T165), 0, 1), 7, 0))), 1, "")</f>
        <v/>
      </c>
      <c r="G167" s="1" t="str">
        <f>IF(AND(AND(AND(G$4&gt;='2025'!$L165,G$4&lt;='2025'!$M165), G$4&lt;&gt;DATE(2025,7,4)), (SWITCH(weekday(G$4), 1, 0, 2, if(ISBLANK('2025'!$P165), 0, 1), 3, if(ISBLANK('2025'!$Q165), 0, 1), 4, if(ISBLANK('2025'!$R165), 0, 1), 5, if(ISBLANK('2025'!$S165), 0, 1), 6, if(ISBLANK('2025'!$T165), 0, 1), 7, 0))), 1, "")</f>
        <v/>
      </c>
      <c r="H167" s="1" t="str">
        <f>IF(AND(AND(AND(H$4&gt;='2025'!$L165,H$4&lt;='2025'!$M165), H$4&lt;&gt;DATE(2025,7,4)), (SWITCH(weekday(H$4), 1, 0, 2, if(ISBLANK('2025'!$P165), 0, 1), 3, if(ISBLANK('2025'!$Q165), 0, 1), 4, if(ISBLANK('2025'!$R165), 0, 1), 5, if(ISBLANK('2025'!$S165), 0, 1), 6, if(ISBLANK('2025'!$T165), 0, 1), 7, 0))), 1, "")</f>
        <v/>
      </c>
      <c r="I167" s="1" t="str">
        <f>IF(AND(AND(AND(I$4&gt;='2025'!$L165,I$4&lt;='2025'!$M165), I$4&lt;&gt;DATE(2025,7,4)), (SWITCH(weekday(I$4), 1, 0, 2, if(ISBLANK('2025'!$P165), 0, 1), 3, if(ISBLANK('2025'!$Q165), 0, 1), 4, if(ISBLANK('2025'!$R165), 0, 1), 5, if(ISBLANK('2025'!$S165), 0, 1), 6, if(ISBLANK('2025'!$T165), 0, 1), 7, 0))), 1, "")</f>
        <v/>
      </c>
      <c r="J167" s="1" t="str">
        <f>IF(AND(AND(AND(J$4&gt;='2025'!$L165,J$4&lt;='2025'!$M165), J$4&lt;&gt;DATE(2025,7,4)), (SWITCH(weekday(J$4), 1, 0, 2, if(ISBLANK('2025'!$P165), 0, 1), 3, if(ISBLANK('2025'!$Q165), 0, 1), 4, if(ISBLANK('2025'!$R165), 0, 1), 5, if(ISBLANK('2025'!$S165), 0, 1), 6, if(ISBLANK('2025'!$T165), 0, 1), 7, 0))), 1, "")</f>
        <v/>
      </c>
      <c r="K167" s="1" t="str">
        <f>IF(AND(AND(AND(K$4&gt;='2025'!$L165,K$4&lt;='2025'!$M165), K$4&lt;&gt;DATE(2025,7,4)), (SWITCH(weekday(K$4), 1, 0, 2, if(ISBLANK('2025'!$P165), 0, 1), 3, if(ISBLANK('2025'!$Q165), 0, 1), 4, if(ISBLANK('2025'!$R165), 0, 1), 5, if(ISBLANK('2025'!$S165), 0, 1), 6, if(ISBLANK('2025'!$T165), 0, 1), 7, 0))), 1, "")</f>
        <v/>
      </c>
      <c r="L167" s="1" t="str">
        <f>IF(AND(AND(AND(L$4&gt;='2025'!$L165,L$4&lt;='2025'!$M165), L$4&lt;&gt;DATE(2025,7,4)), (SWITCH(weekday(L$4), 1, 0, 2, if(ISBLANK('2025'!$P165), 0, 1), 3, if(ISBLANK('2025'!$Q165), 0, 1), 4, if(ISBLANK('2025'!$R165), 0, 1), 5, if(ISBLANK('2025'!$S165), 0, 1), 6, if(ISBLANK('2025'!$T165), 0, 1), 7, 0))), 1, "")</f>
        <v/>
      </c>
      <c r="M167" s="1" t="str">
        <f>IF(AND(AND(AND(M$4&gt;='2025'!$L165,M$4&lt;='2025'!$M165), M$4&lt;&gt;DATE(2025,7,4)), (SWITCH(weekday(M$4), 1, 0, 2, if(ISBLANK('2025'!$P165), 0, 1), 3, if(ISBLANK('2025'!$Q165), 0, 1), 4, if(ISBLANK('2025'!$R165), 0, 1), 5, if(ISBLANK('2025'!$S165), 0, 1), 6, if(ISBLANK('2025'!$T165), 0, 1), 7, 0))), 1, "")</f>
        <v/>
      </c>
      <c r="N167" s="1" t="str">
        <f>IF(AND(AND(AND(N$4&gt;='2025'!$L165,N$4&lt;='2025'!$M165), N$4&lt;&gt;DATE(2025,7,4)), (SWITCH(weekday(N$4), 1, 0, 2, if(ISBLANK('2025'!$P165), 0, 1), 3, if(ISBLANK('2025'!$Q165), 0, 1), 4, if(ISBLANK('2025'!$R165), 0, 1), 5, if(ISBLANK('2025'!$S165), 0, 1), 6, if(ISBLANK('2025'!$T165), 0, 1), 7, 0))), 1, "")</f>
        <v/>
      </c>
      <c r="O167" s="1" t="str">
        <f>IF(AND(AND(AND(O$4&gt;='2025'!$L165,O$4&lt;='2025'!$M165), O$4&lt;&gt;DATE(2025,7,4)), (SWITCH(weekday(O$4), 1, 0, 2, if(ISBLANK('2025'!$P165), 0, 1), 3, if(ISBLANK('2025'!$Q165), 0, 1), 4, if(ISBLANK('2025'!$R165), 0, 1), 5, if(ISBLANK('2025'!$S165), 0, 1), 6, if(ISBLANK('2025'!$T165), 0, 1), 7, 0))), 1, "")</f>
        <v/>
      </c>
      <c r="P167" s="1" t="str">
        <f>IF(AND(AND(AND(P$4&gt;='2025'!$L165,P$4&lt;='2025'!$M165), P$4&lt;&gt;DATE(2025,7,4)), (SWITCH(weekday(P$4), 1, 0, 2, if(ISBLANK('2025'!$P165), 0, 1), 3, if(ISBLANK('2025'!$Q165), 0, 1), 4, if(ISBLANK('2025'!$R165), 0, 1), 5, if(ISBLANK('2025'!$S165), 0, 1), 6, if(ISBLANK('2025'!$T165), 0, 1), 7, 0))), 1, "")</f>
        <v/>
      </c>
      <c r="Q167" s="1" t="str">
        <f>IF(AND(AND(AND(Q$4&gt;='2025'!$L165,Q$4&lt;='2025'!$M165), Q$4&lt;&gt;DATE(2025,7,4)), (SWITCH(weekday(Q$4), 1, 0, 2, if(ISBLANK('2025'!$P165), 0, 1), 3, if(ISBLANK('2025'!$Q165), 0, 1), 4, if(ISBLANK('2025'!$R165), 0, 1), 5, if(ISBLANK('2025'!$S165), 0, 1), 6, if(ISBLANK('2025'!$T165), 0, 1), 7, 0))), 1, "")</f>
        <v/>
      </c>
      <c r="R167" s="1" t="str">
        <f>IF(AND(AND(AND(R$4&gt;='2025'!$L165,R$4&lt;='2025'!$M165), R$4&lt;&gt;DATE(2025,7,4)), (SWITCH(weekday(R$4), 1, 0, 2, if(ISBLANK('2025'!$P165), 0, 1), 3, if(ISBLANK('2025'!$Q165), 0, 1), 4, if(ISBLANK('2025'!$R165), 0, 1), 5, if(ISBLANK('2025'!$S165), 0, 1), 6, if(ISBLANK('2025'!$T165), 0, 1), 7, 0))), 1, "")</f>
        <v/>
      </c>
      <c r="S167" s="1" t="str">
        <f>IF(AND(AND(AND(S$4&gt;='2025'!$L165,S$4&lt;='2025'!$M165), S$4&lt;&gt;DATE(2025,7,4)), (SWITCH(weekday(S$4), 1, 0, 2, if(ISBLANK('2025'!$P165), 0, 1), 3, if(ISBLANK('2025'!$Q165), 0, 1), 4, if(ISBLANK('2025'!$R165), 0, 1), 5, if(ISBLANK('2025'!$S165), 0, 1), 6, if(ISBLANK('2025'!$T165), 0, 1), 7, 0))), 1, "")</f>
        <v/>
      </c>
      <c r="T167" s="1" t="str">
        <f>IF(AND(AND(AND(T$4&gt;='2025'!$L165,T$4&lt;='2025'!$M165), T$4&lt;&gt;DATE(2025,7,4)), (SWITCH(weekday(T$4), 1, 0, 2, if(ISBLANK('2025'!$P165), 0, 1), 3, if(ISBLANK('2025'!$Q165), 0, 1), 4, if(ISBLANK('2025'!$R165), 0, 1), 5, if(ISBLANK('2025'!$S165), 0, 1), 6, if(ISBLANK('2025'!$T165), 0, 1), 7, 0))), 1, "")</f>
        <v/>
      </c>
      <c r="U167" s="1" t="str">
        <f>IF(AND(AND(AND(U$4&gt;='2025'!$L165,U$4&lt;='2025'!$M165), U$4&lt;&gt;DATE(2025,7,4)), (SWITCH(weekday(U$4), 1, 0, 2, if(ISBLANK('2025'!$P165), 0, 1), 3, if(ISBLANK('2025'!$Q165), 0, 1), 4, if(ISBLANK('2025'!$R165), 0, 1), 5, if(ISBLANK('2025'!$S165), 0, 1), 6, if(ISBLANK('2025'!$T165), 0, 1), 7, 0))), 1, "")</f>
        <v/>
      </c>
      <c r="V167" s="1" t="str">
        <f>IF(AND(AND(AND(V$4&gt;='2025'!$L165,V$4&lt;='2025'!$M165), V$4&lt;&gt;DATE(2025,7,4)), (SWITCH(weekday(V$4), 1, 0, 2, if(ISBLANK('2025'!$P165), 0, 1), 3, if(ISBLANK('2025'!$Q165), 0, 1), 4, if(ISBLANK('2025'!$R165), 0, 1), 5, if(ISBLANK('2025'!$S165), 0, 1), 6, if(ISBLANK('2025'!$T165), 0, 1), 7, 0))), 1, "")</f>
        <v/>
      </c>
      <c r="W167" s="1" t="str">
        <f>IF(AND(AND(AND(W$4&gt;='2025'!$L165,W$4&lt;='2025'!$M165), W$4&lt;&gt;DATE(2025,7,4)), (SWITCH(weekday(W$4), 1, 0, 2, if(ISBLANK('2025'!$P165), 0, 1), 3, if(ISBLANK('2025'!$Q165), 0, 1), 4, if(ISBLANK('2025'!$R165), 0, 1), 5, if(ISBLANK('2025'!$S165), 0, 1), 6, if(ISBLANK('2025'!$T165), 0, 1), 7, 0))), 1, "")</f>
        <v/>
      </c>
      <c r="X167" s="1" t="str">
        <f>IF(AND(AND(AND(X$4&gt;='2025'!$L165,X$4&lt;='2025'!$M165), X$4&lt;&gt;DATE(2025,7,4)), (SWITCH(weekday(X$4), 1, 0, 2, if(ISBLANK('2025'!$P165), 0, 1), 3, if(ISBLANK('2025'!$Q165), 0, 1), 4, if(ISBLANK('2025'!$R165), 0, 1), 5, if(ISBLANK('2025'!$S165), 0, 1), 6, if(ISBLANK('2025'!$T165), 0, 1), 7, 0))), 1, "")</f>
        <v/>
      </c>
      <c r="Y167" s="1" t="str">
        <f>IF(AND(AND(AND(Y$4&gt;='2025'!$L165,Y$4&lt;='2025'!$M165), Y$4&lt;&gt;DATE(2025,7,4)), (SWITCH(weekday(Y$4), 1, 0, 2, if(ISBLANK('2025'!$P165), 0, 1), 3, if(ISBLANK('2025'!$Q165), 0, 1), 4, if(ISBLANK('2025'!$R165), 0, 1), 5, if(ISBLANK('2025'!$S165), 0, 1), 6, if(ISBLANK('2025'!$T165), 0, 1), 7, 0))), 1, "")</f>
        <v/>
      </c>
      <c r="Z167" s="1" t="str">
        <f>IF(AND(AND(AND(Z$4&gt;='2025'!$L165,Z$4&lt;='2025'!$M165), Z$4&lt;&gt;DATE(2025,7,4)), (SWITCH(weekday(Z$4), 1, 0, 2, if(ISBLANK('2025'!$P165), 0, 1), 3, if(ISBLANK('2025'!$Q165), 0, 1), 4, if(ISBLANK('2025'!$R165), 0, 1), 5, if(ISBLANK('2025'!$S165), 0, 1), 6, if(ISBLANK('2025'!$T165), 0, 1), 7, 0))), 1, "")</f>
        <v/>
      </c>
      <c r="AA167" s="1" t="str">
        <f>IF(AND(AND(AND(AA$4&gt;='2025'!$L165,AA$4&lt;='2025'!$M165), AA$4&lt;&gt;DATE(2025,7,4)), (SWITCH(weekday(AA$4), 1, 0, 2, if(ISBLANK('2025'!$P165), 0, 1), 3, if(ISBLANK('2025'!$Q165), 0, 1), 4, if(ISBLANK('2025'!$R165), 0, 1), 5, if(ISBLANK('2025'!$S165), 0, 1), 6, if(ISBLANK('2025'!$T165), 0, 1), 7, 0))), 1, "")</f>
        <v/>
      </c>
      <c r="AB167" s="1" t="str">
        <f>IF(AND(AND(AND(AB$4&gt;='2025'!$L165,AB$4&lt;='2025'!$M165), AB$4&lt;&gt;DATE(2025,7,4)), (SWITCH(weekday(AB$4), 1, 0, 2, if(ISBLANK('2025'!$P165), 0, 1), 3, if(ISBLANK('2025'!$Q165), 0, 1), 4, if(ISBLANK('2025'!$R165), 0, 1), 5, if(ISBLANK('2025'!$S165), 0, 1), 6, if(ISBLANK('2025'!$T165), 0, 1), 7, 0))), 1, "")</f>
        <v/>
      </c>
      <c r="AC167" s="1" t="str">
        <f>IF(AND(AND(AND(AC$4&gt;='2025'!$L165,AC$4&lt;='2025'!$M165), AC$4&lt;&gt;DATE(2025,7,4)), (SWITCH(weekday(AC$4), 1, 0, 2, if(ISBLANK('2025'!$P165), 0, 1), 3, if(ISBLANK('2025'!$Q165), 0, 1), 4, if(ISBLANK('2025'!$R165), 0, 1), 5, if(ISBLANK('2025'!$S165), 0, 1), 6, if(ISBLANK('2025'!$T165), 0, 1), 7, 0))), 1, "")</f>
        <v/>
      </c>
      <c r="AD167" s="1" t="str">
        <f>IF(AND(AND(AND(AD$4&gt;='2025'!$L165,AD$4&lt;='2025'!$M165), AD$4&lt;&gt;DATE(2025,7,4)), (SWITCH(weekday(AD$4), 1, 0, 2, if(ISBLANK('2025'!$P165), 0, 1), 3, if(ISBLANK('2025'!$Q165), 0, 1), 4, if(ISBLANK('2025'!$R165), 0, 1), 5, if(ISBLANK('2025'!$S165), 0, 1), 6, if(ISBLANK('2025'!$T165), 0, 1), 7, 0))), 1, "")</f>
        <v/>
      </c>
      <c r="AE167" s="1" t="str">
        <f>IF(AND(AND(AND(AE$4&gt;='2025'!$L165,AE$4&lt;='2025'!$M165), AE$4&lt;&gt;DATE(2025,7,4)), (SWITCH(weekday(AE$4), 1, 0, 2, if(ISBLANK('2025'!$P165), 0, 1), 3, if(ISBLANK('2025'!$Q165), 0, 1), 4, if(ISBLANK('2025'!$R165), 0, 1), 5, if(ISBLANK('2025'!$S165), 0, 1), 6, if(ISBLANK('2025'!$T165), 0, 1), 7, 0))), 1, "")</f>
        <v/>
      </c>
      <c r="AF167" s="1" t="str">
        <f>IF(AND(AND(AND(AF$4&gt;='2025'!$L165,AF$4&lt;='2025'!$M165), AF$4&lt;&gt;DATE(2025,7,4)), (SWITCH(weekday(AF$4), 1, 0, 2, if(ISBLANK('2025'!$P165), 0, 1), 3, if(ISBLANK('2025'!$Q165), 0, 1), 4, if(ISBLANK('2025'!$R165), 0, 1), 5, if(ISBLANK('2025'!$S165), 0, 1), 6, if(ISBLANK('2025'!$T165), 0, 1), 7, 0))), 1, "")</f>
        <v/>
      </c>
      <c r="AG167" s="1" t="str">
        <f>IF(AND(AND(AND(AG$4&gt;='2025'!$L165,AG$4&lt;='2025'!$M165), AG$4&lt;&gt;DATE(2025,7,4)), (SWITCH(weekday(AG$4), 1, 0, 2, if(ISBLANK('2025'!$P165), 0, 1), 3, if(ISBLANK('2025'!$Q165), 0, 1), 4, if(ISBLANK('2025'!$R165), 0, 1), 5, if(ISBLANK('2025'!$S165), 0, 1), 6, if(ISBLANK('2025'!$T165), 0, 1), 7, 0))), 1, "")</f>
        <v/>
      </c>
      <c r="AH167" s="1" t="str">
        <f>IF(AND(AND(AND(AH$4&gt;='2025'!$L165,AH$4&lt;='2025'!$M165), AH$4&lt;&gt;DATE(2025,7,4)), (SWITCH(weekday(AH$4), 1, 0, 2, if(ISBLANK('2025'!$P165), 0, 1), 3, if(ISBLANK('2025'!$Q165), 0, 1), 4, if(ISBLANK('2025'!$R165), 0, 1), 5, if(ISBLANK('2025'!$S165), 0, 1), 6, if(ISBLANK('2025'!$T165), 0, 1), 7, 0))), 1, "")</f>
        <v/>
      </c>
      <c r="AI167" s="1" t="str">
        <f>IF(AND(AND(AND(AI$4&gt;='2025'!$L165,AI$4&lt;='2025'!$M165), AI$4&lt;&gt;DATE(2025,7,4)), (SWITCH(weekday(AI$4), 1, 0, 2, if(ISBLANK('2025'!$P165), 0, 1), 3, if(ISBLANK('2025'!$Q165), 0, 1), 4, if(ISBLANK('2025'!$R165), 0, 1), 5, if(ISBLANK('2025'!$S165), 0, 1), 6, if(ISBLANK('2025'!$T165), 0, 1), 7, 0))), 1, "")</f>
        <v/>
      </c>
      <c r="AJ167" s="1" t="str">
        <f>IF(AND(AND(AND(AJ$4&gt;='2025'!$L165,AJ$4&lt;='2025'!$M165), AJ$4&lt;&gt;DATE(2025,7,4)), (SWITCH(weekday(AJ$4), 1, 0, 2, if(ISBLANK('2025'!$P165), 0, 1), 3, if(ISBLANK('2025'!$Q165), 0, 1), 4, if(ISBLANK('2025'!$R165), 0, 1), 5, if(ISBLANK('2025'!$S165), 0, 1), 6, if(ISBLANK('2025'!$T165), 0, 1), 7, 0))), 1, "")</f>
        <v/>
      </c>
      <c r="AK167" s="1" t="str">
        <f>IF(AND(AND(AND(AK$4&gt;='2025'!$L165,AK$4&lt;='2025'!$M165), AK$4&lt;&gt;DATE(2025,7,4)), (SWITCH(weekday(AK$4), 1, 0, 2, if(ISBLANK('2025'!$P165), 0, 1), 3, if(ISBLANK('2025'!$Q165), 0, 1), 4, if(ISBLANK('2025'!$R165), 0, 1), 5, if(ISBLANK('2025'!$S165), 0, 1), 6, if(ISBLANK('2025'!$T165), 0, 1), 7, 0))), 1, "")</f>
        <v/>
      </c>
      <c r="AL167" s="1" t="str">
        <f>IF(AND(AND(AND(AL$4&gt;='2025'!$L165,AL$4&lt;='2025'!$M165), AL$4&lt;&gt;DATE(2025,7,4)), (SWITCH(weekday(AL$4), 1, 0, 2, if(ISBLANK('2025'!$P165), 0, 1), 3, if(ISBLANK('2025'!$Q165), 0, 1), 4, if(ISBLANK('2025'!$R165), 0, 1), 5, if(ISBLANK('2025'!$S165), 0, 1), 6, if(ISBLANK('2025'!$T165), 0, 1), 7, 0))), 1, "")</f>
        <v/>
      </c>
      <c r="AM167" s="1" t="str">
        <f>IF(AND(AND(AND(AM$4&gt;='2025'!$L165,AM$4&lt;='2025'!$M165), AM$4&lt;&gt;DATE(2025,7,4)), (SWITCH(weekday(AM$4), 1, 0, 2, if(ISBLANK('2025'!$P165), 0, 1), 3, if(ISBLANK('2025'!$Q165), 0, 1), 4, if(ISBLANK('2025'!$R165), 0, 1), 5, if(ISBLANK('2025'!$S165), 0, 1), 6, if(ISBLANK('2025'!$T165), 0, 1), 7, 0))), 1, "")</f>
        <v/>
      </c>
      <c r="AN167" s="1" t="str">
        <f>IF(AND(AND(AND(AN$4&gt;='2025'!$L165,AN$4&lt;='2025'!$M165), AN$4&lt;&gt;DATE(2025,7,4)), (SWITCH(weekday(AN$4), 1, 0, 2, if(ISBLANK('2025'!$P165), 0, 1), 3, if(ISBLANK('2025'!$Q165), 0, 1), 4, if(ISBLANK('2025'!$R165), 0, 1), 5, if(ISBLANK('2025'!$S165), 0, 1), 6, if(ISBLANK('2025'!$T165), 0, 1), 7, 0))), 1, "")</f>
        <v/>
      </c>
      <c r="AO167" s="1" t="str">
        <f>IF(AND(AND(AND(AO$4&gt;='2025'!$L165,AO$4&lt;='2025'!$M165), AO$4&lt;&gt;DATE(2025,7,4)), (SWITCH(weekday(AO$4), 1, 0, 2, if(ISBLANK('2025'!$P165), 0, 1), 3, if(ISBLANK('2025'!$Q165), 0, 1), 4, if(ISBLANK('2025'!$R165), 0, 1), 5, if(ISBLANK('2025'!$S165), 0, 1), 6, if(ISBLANK('2025'!$T165), 0, 1), 7, 0))), 1, "")</f>
        <v/>
      </c>
      <c r="AP167" s="1" t="str">
        <f>IF(AND(AND(AND(AP$4&gt;='2025'!$L165,AP$4&lt;='2025'!$M165), AP$4&lt;&gt;DATE(2025,7,4)), (SWITCH(weekday(AP$4), 1, 0, 2, if(ISBLANK('2025'!$P165), 0, 1), 3, if(ISBLANK('2025'!$Q165), 0, 1), 4, if(ISBLANK('2025'!$R165), 0, 1), 5, if(ISBLANK('2025'!$S165), 0, 1), 6, if(ISBLANK('2025'!$T165), 0, 1), 7, 0))), 1, "")</f>
        <v/>
      </c>
      <c r="AQ167" s="1" t="str">
        <f>IF(AND(AND(AND(AQ$4&gt;='2025'!$L165,AQ$4&lt;='2025'!$M165), AQ$4&lt;&gt;DATE(2025,7,4)), (SWITCH(weekday(AQ$4), 1, 0, 2, if(ISBLANK('2025'!$P165), 0, 1), 3, if(ISBLANK('2025'!$Q165), 0, 1), 4, if(ISBLANK('2025'!$R165), 0, 1), 5, if(ISBLANK('2025'!$S165), 0, 1), 6, if(ISBLANK('2025'!$T165), 0, 1), 7, 0))), 1, "")</f>
        <v/>
      </c>
      <c r="AR167" s="1" t="str">
        <f>IF(AND(AND(AND(AR$4&gt;='2025'!$L165,AR$4&lt;='2025'!$M165), AR$4&lt;&gt;DATE(2025,7,4)), (SWITCH(weekday(AR$4), 1, 0, 2, if(ISBLANK('2025'!$P165), 0, 1), 3, if(ISBLANK('2025'!$Q165), 0, 1), 4, if(ISBLANK('2025'!$R165), 0, 1), 5, if(ISBLANK('2025'!$S165), 0, 1), 6, if(ISBLANK('2025'!$T165), 0, 1), 7, 0))), 1, "")</f>
        <v/>
      </c>
      <c r="AS167" s="1" t="str">
        <f>IF(AND(AND(AND(AS$4&gt;='2025'!$L165,AS$4&lt;='2025'!$M165), AS$4&lt;&gt;DATE(2025,7,4)), (SWITCH(weekday(AS$4), 1, 0, 2, if(ISBLANK('2025'!$P165), 0, 1), 3, if(ISBLANK('2025'!$Q165), 0, 1), 4, if(ISBLANK('2025'!$R165), 0, 1), 5, if(ISBLANK('2025'!$S165), 0, 1), 6, if(ISBLANK('2025'!$T165), 0, 1), 7, 0))), 1, "")</f>
        <v/>
      </c>
      <c r="AT167" s="1" t="str">
        <f>IF(AND(AND(AND(AT$4&gt;='2025'!$L165,AT$4&lt;='2025'!$M165), AT$4&lt;&gt;DATE(2025,7,4)), (SWITCH(weekday(AT$4), 1, 0, 2, if(ISBLANK('2025'!$P165), 0, 1), 3, if(ISBLANK('2025'!$Q165), 0, 1), 4, if(ISBLANK('2025'!$R165), 0, 1), 5, if(ISBLANK('2025'!$S165), 0, 1), 6, if(ISBLANK('2025'!$T165), 0, 1), 7, 0))), 1, "")</f>
        <v/>
      </c>
      <c r="AU167" s="1" t="str">
        <f>IF(AND(AND(AND(AU$4&gt;='2025'!$L165,AU$4&lt;='2025'!$M165), AU$4&lt;&gt;DATE(2025,7,4)), (SWITCH(weekday(AU$4), 1, 0, 2, if(ISBLANK('2025'!$P165), 0, 1), 3, if(ISBLANK('2025'!$Q165), 0, 1), 4, if(ISBLANK('2025'!$R165), 0, 1), 5, if(ISBLANK('2025'!$S165), 0, 1), 6, if(ISBLANK('2025'!$T165), 0, 1), 7, 0))), 1, "")</f>
        <v/>
      </c>
      <c r="AV167" s="1" t="str">
        <f>IF(AND(AND(AND(AV$4&gt;='2025'!$L165,AV$4&lt;='2025'!$M165), AV$4&lt;&gt;DATE(2025,7,4)), (SWITCH(weekday(AV$4), 1, 0, 2, if(ISBLANK('2025'!$P165), 0, 1), 3, if(ISBLANK('2025'!$Q165), 0, 1), 4, if(ISBLANK('2025'!$R165), 0, 1), 5, if(ISBLANK('2025'!$S165), 0, 1), 6, if(ISBLANK('2025'!$T165), 0, 1), 7, 0))), 1, "")</f>
        <v/>
      </c>
      <c r="AW167" s="1" t="str">
        <f>IF(AND(AND(AND(AW$4&gt;='2025'!$L165,AW$4&lt;='2025'!$M165), AW$4&lt;&gt;DATE(2025,7,4)), (SWITCH(weekday(AW$4), 1, 0, 2, if(ISBLANK('2025'!$P165), 0, 1), 3, if(ISBLANK('2025'!$Q165), 0, 1), 4, if(ISBLANK('2025'!$R165), 0, 1), 5, if(ISBLANK('2025'!$S165), 0, 1), 6, if(ISBLANK('2025'!$T165), 0, 1), 7, 0))), 1, "")</f>
        <v/>
      </c>
      <c r="AX167" s="1" t="str">
        <f>IF(AND(AND(AND(AX$4&gt;='2025'!$L165,AX$4&lt;='2025'!$M165), AX$4&lt;&gt;DATE(2025,7,4)), (SWITCH(weekday(AX$4), 1, 0, 2, if(ISBLANK('2025'!$P165), 0, 1), 3, if(ISBLANK('2025'!$Q165), 0, 1), 4, if(ISBLANK('2025'!$R165), 0, 1), 5, if(ISBLANK('2025'!$S165), 0, 1), 6, if(ISBLANK('2025'!$T165), 0, 1), 7, 0))), 1, "")</f>
        <v/>
      </c>
      <c r="AY167" s="1" t="str">
        <f>IF(AND(AND(AND(AY$4&gt;='2025'!$L165,AY$4&lt;='2025'!$M165), AY$4&lt;&gt;DATE(2025,7,4)), (SWITCH(weekday(AY$4), 1, 0, 2, if(ISBLANK('2025'!$P165), 0, 1), 3, if(ISBLANK('2025'!$Q165), 0, 1), 4, if(ISBLANK('2025'!$R165), 0, 1), 5, if(ISBLANK('2025'!$S165), 0, 1), 6, if(ISBLANK('2025'!$T165), 0, 1), 7, 0))), 1, "")</f>
        <v/>
      </c>
      <c r="AZ167" s="1" t="str">
        <f>IF(AND(AND(AND(AZ$4&gt;='2025'!$L165,AZ$4&lt;='2025'!$M165), AZ$4&lt;&gt;DATE(2025,7,4)), (SWITCH(weekday(AZ$4), 1, 0, 2, if(ISBLANK('2025'!$P165), 0, 1), 3, if(ISBLANK('2025'!$Q165), 0, 1), 4, if(ISBLANK('2025'!$R165), 0, 1), 5, if(ISBLANK('2025'!$S165), 0, 1), 6, if(ISBLANK('2025'!$T165), 0, 1), 7, 0))), 1, "")</f>
        <v/>
      </c>
      <c r="BA167" s="1" t="str">
        <f>IF(AND(AND(AND(BA$4&gt;='2025'!$L165,BA$4&lt;='2025'!$M165), BA$4&lt;&gt;DATE(2025,7,4)), (SWITCH(weekday(BA$4), 1, 0, 2, if(ISBLANK('2025'!$P165), 0, 1), 3, if(ISBLANK('2025'!$Q165), 0, 1), 4, if(ISBLANK('2025'!$R165), 0, 1), 5, if(ISBLANK('2025'!$S165), 0, 1), 6, if(ISBLANK('2025'!$T165), 0, 1), 7, 0))), 1, "")</f>
        <v/>
      </c>
      <c r="BB167" s="1" t="str">
        <f>IF(AND(AND(AND(BB$4&gt;='2025'!$L165,BB$4&lt;='2025'!$M165), BB$4&lt;&gt;DATE(2025,7,4)), (SWITCH(weekday(BB$4), 1, 0, 2, if(ISBLANK('2025'!$P165), 0, 1), 3, if(ISBLANK('2025'!$Q165), 0, 1), 4, if(ISBLANK('2025'!$R165), 0, 1), 5, if(ISBLANK('2025'!$S165), 0, 1), 6, if(ISBLANK('2025'!$T165), 0, 1), 7, 0))), 1, "")</f>
        <v/>
      </c>
      <c r="BC167" s="1" t="str">
        <f>IF(AND(AND(AND(BC$4&gt;='2025'!$L165,BC$4&lt;='2025'!$M165), BC$4&lt;&gt;DATE(2025,7,4)), (SWITCH(weekday(BC$4), 1, 0, 2, if(ISBLANK('2025'!$P165), 0, 1), 3, if(ISBLANK('2025'!$Q165), 0, 1), 4, if(ISBLANK('2025'!$R165), 0, 1), 5, if(ISBLANK('2025'!$S165), 0, 1), 6, if(ISBLANK('2025'!$T165), 0, 1), 7, 0))), 1, "")</f>
        <v/>
      </c>
      <c r="BD167" s="1" t="str">
        <f>IF(AND(AND(AND(BD$4&gt;='2025'!$L165,BD$4&lt;='2025'!$M165), BD$4&lt;&gt;DATE(2025,7,4)), (SWITCH(weekday(BD$4), 1, 0, 2, if(ISBLANK('2025'!$P165), 0, 1), 3, if(ISBLANK('2025'!$Q165), 0, 1), 4, if(ISBLANK('2025'!$R165), 0, 1), 5, if(ISBLANK('2025'!$S165), 0, 1), 6, if(ISBLANK('2025'!$T165), 0, 1), 7, 0))), 1, "")</f>
        <v/>
      </c>
      <c r="BE167" s="1" t="str">
        <f>IF(AND(AND(AND(BE$4&gt;='2025'!$L165,BE$4&lt;='2025'!$M165), BE$4&lt;&gt;DATE(2025,7,4)), (SWITCH(weekday(BE$4), 1, 0, 2, if(ISBLANK('2025'!$P165), 0, 1), 3, if(ISBLANK('2025'!$Q165), 0, 1), 4, if(ISBLANK('2025'!$R165), 0, 1), 5, if(ISBLANK('2025'!$S165), 0, 1), 6, if(ISBLANK('2025'!$T165), 0, 1), 7, 0))), 1, "")</f>
        <v/>
      </c>
      <c r="BF167" s="1" t="str">
        <f>IF(AND(AND(AND(BF$4&gt;='2025'!$L165,BF$4&lt;='2025'!$M165), BF$4&lt;&gt;DATE(2025,7,4)), (SWITCH(weekday(BF$4), 1, 0, 2, if(ISBLANK('2025'!$P165), 0, 1), 3, if(ISBLANK('2025'!$Q165), 0, 1), 4, if(ISBLANK('2025'!$R165), 0, 1), 5, if(ISBLANK('2025'!$S165), 0, 1), 6, if(ISBLANK('2025'!$T165), 0, 1), 7, 0))), 1, "")</f>
        <v/>
      </c>
      <c r="BG167" s="1"/>
      <c r="BH167" s="1"/>
      <c r="BI167" s="1"/>
      <c r="BJ167" s="1"/>
      <c r="BK167" s="1"/>
      <c r="BL167" s="1"/>
    </row>
    <row r="168">
      <c r="A168" s="1">
        <f t="shared" si="3"/>
        <v>168</v>
      </c>
      <c r="B168" s="1" t="str">
        <f>'2025'!D132</f>
        <v>, </v>
      </c>
      <c r="C168" s="1" t="str">
        <f>'2025'!H132</f>
        <v/>
      </c>
      <c r="D168" s="1" t="str">
        <f>IF(AND(AND(AND(D$4&gt;='2025'!$L166,D$4&lt;='2025'!$M166), D$4&lt;&gt;DATE(2025,7,4)), (SWITCH(weekday(D$4), 1, 0, 2, if(ISBLANK('2025'!$P166), 0, 1), 3, if(ISBLANK('2025'!$Q166), 0, 1), 4, if(ISBLANK('2025'!$R166), 0, 1), 5, if(ISBLANK('2025'!$S166), 0, 1), 6, if(ISBLANK('2025'!$T166), 0, 1), 7, 0))), 1, "")</f>
        <v/>
      </c>
      <c r="E168" s="1" t="str">
        <f>IF(AND(AND(AND(E$4&gt;='2025'!$L166,E$4&lt;='2025'!$M166), E$4&lt;&gt;DATE(2025,7,4)), (SWITCH(weekday(E$4), 1, 0, 2, if(ISBLANK('2025'!$P166), 0, 1), 3, if(ISBLANK('2025'!$Q166), 0, 1), 4, if(ISBLANK('2025'!$R166), 0, 1), 5, if(ISBLANK('2025'!$S166), 0, 1), 6, if(ISBLANK('2025'!$T166), 0, 1), 7, 0))), 1, "")</f>
        <v/>
      </c>
      <c r="F168" s="1" t="str">
        <f>IF(AND(AND(AND(F$4&gt;='2025'!$L166,F$4&lt;='2025'!$M166), F$4&lt;&gt;DATE(2025,7,4)), (SWITCH(weekday(F$4), 1, 0, 2, if(ISBLANK('2025'!$P166), 0, 1), 3, if(ISBLANK('2025'!$Q166), 0, 1), 4, if(ISBLANK('2025'!$R166), 0, 1), 5, if(ISBLANK('2025'!$S166), 0, 1), 6, if(ISBLANK('2025'!$T166), 0, 1), 7, 0))), 1, "")</f>
        <v/>
      </c>
      <c r="G168" s="1" t="str">
        <f>IF(AND(AND(AND(G$4&gt;='2025'!$L166,G$4&lt;='2025'!$M166), G$4&lt;&gt;DATE(2025,7,4)), (SWITCH(weekday(G$4), 1, 0, 2, if(ISBLANK('2025'!$P166), 0, 1), 3, if(ISBLANK('2025'!$Q166), 0, 1), 4, if(ISBLANK('2025'!$R166), 0, 1), 5, if(ISBLANK('2025'!$S166), 0, 1), 6, if(ISBLANK('2025'!$T166), 0, 1), 7, 0))), 1, "")</f>
        <v/>
      </c>
      <c r="H168" s="1" t="str">
        <f>IF(AND(AND(AND(H$4&gt;='2025'!$L166,H$4&lt;='2025'!$M166), H$4&lt;&gt;DATE(2025,7,4)), (SWITCH(weekday(H$4), 1, 0, 2, if(ISBLANK('2025'!$P166), 0, 1), 3, if(ISBLANK('2025'!$Q166), 0, 1), 4, if(ISBLANK('2025'!$R166), 0, 1), 5, if(ISBLANK('2025'!$S166), 0, 1), 6, if(ISBLANK('2025'!$T166), 0, 1), 7, 0))), 1, "")</f>
        <v/>
      </c>
      <c r="I168" s="1" t="str">
        <f>IF(AND(AND(AND(I$4&gt;='2025'!$L166,I$4&lt;='2025'!$M166), I$4&lt;&gt;DATE(2025,7,4)), (SWITCH(weekday(I$4), 1, 0, 2, if(ISBLANK('2025'!$P166), 0, 1), 3, if(ISBLANK('2025'!$Q166), 0, 1), 4, if(ISBLANK('2025'!$R166), 0, 1), 5, if(ISBLANK('2025'!$S166), 0, 1), 6, if(ISBLANK('2025'!$T166), 0, 1), 7, 0))), 1, "")</f>
        <v/>
      </c>
      <c r="J168" s="1" t="str">
        <f>IF(AND(AND(AND(J$4&gt;='2025'!$L166,J$4&lt;='2025'!$M166), J$4&lt;&gt;DATE(2025,7,4)), (SWITCH(weekday(J$4), 1, 0, 2, if(ISBLANK('2025'!$P166), 0, 1), 3, if(ISBLANK('2025'!$Q166), 0, 1), 4, if(ISBLANK('2025'!$R166), 0, 1), 5, if(ISBLANK('2025'!$S166), 0, 1), 6, if(ISBLANK('2025'!$T166), 0, 1), 7, 0))), 1, "")</f>
        <v/>
      </c>
      <c r="K168" s="1" t="str">
        <f>IF(AND(AND(AND(K$4&gt;='2025'!$L166,K$4&lt;='2025'!$M166), K$4&lt;&gt;DATE(2025,7,4)), (SWITCH(weekday(K$4), 1, 0, 2, if(ISBLANK('2025'!$P166), 0, 1), 3, if(ISBLANK('2025'!$Q166), 0, 1), 4, if(ISBLANK('2025'!$R166), 0, 1), 5, if(ISBLANK('2025'!$S166), 0, 1), 6, if(ISBLANK('2025'!$T166), 0, 1), 7, 0))), 1, "")</f>
        <v/>
      </c>
      <c r="L168" s="1" t="str">
        <f>IF(AND(AND(AND(L$4&gt;='2025'!$L166,L$4&lt;='2025'!$M166), L$4&lt;&gt;DATE(2025,7,4)), (SWITCH(weekday(L$4), 1, 0, 2, if(ISBLANK('2025'!$P166), 0, 1), 3, if(ISBLANK('2025'!$Q166), 0, 1), 4, if(ISBLANK('2025'!$R166), 0, 1), 5, if(ISBLANK('2025'!$S166), 0, 1), 6, if(ISBLANK('2025'!$T166), 0, 1), 7, 0))), 1, "")</f>
        <v/>
      </c>
      <c r="M168" s="1" t="str">
        <f>IF(AND(AND(AND(M$4&gt;='2025'!$L166,M$4&lt;='2025'!$M166), M$4&lt;&gt;DATE(2025,7,4)), (SWITCH(weekday(M$4), 1, 0, 2, if(ISBLANK('2025'!$P166), 0, 1), 3, if(ISBLANK('2025'!$Q166), 0, 1), 4, if(ISBLANK('2025'!$R166), 0, 1), 5, if(ISBLANK('2025'!$S166), 0, 1), 6, if(ISBLANK('2025'!$T166), 0, 1), 7, 0))), 1, "")</f>
        <v/>
      </c>
      <c r="N168" s="1" t="str">
        <f>IF(AND(AND(AND(N$4&gt;='2025'!$L166,N$4&lt;='2025'!$M166), N$4&lt;&gt;DATE(2025,7,4)), (SWITCH(weekday(N$4), 1, 0, 2, if(ISBLANK('2025'!$P166), 0, 1), 3, if(ISBLANK('2025'!$Q166), 0, 1), 4, if(ISBLANK('2025'!$R166), 0, 1), 5, if(ISBLANK('2025'!$S166), 0, 1), 6, if(ISBLANK('2025'!$T166), 0, 1), 7, 0))), 1, "")</f>
        <v/>
      </c>
      <c r="O168" s="1" t="str">
        <f>IF(AND(AND(AND(O$4&gt;='2025'!$L166,O$4&lt;='2025'!$M166), O$4&lt;&gt;DATE(2025,7,4)), (SWITCH(weekday(O$4), 1, 0, 2, if(ISBLANK('2025'!$P166), 0, 1), 3, if(ISBLANK('2025'!$Q166), 0, 1), 4, if(ISBLANK('2025'!$R166), 0, 1), 5, if(ISBLANK('2025'!$S166), 0, 1), 6, if(ISBLANK('2025'!$T166), 0, 1), 7, 0))), 1, "")</f>
        <v/>
      </c>
      <c r="P168" s="1" t="str">
        <f>IF(AND(AND(AND(P$4&gt;='2025'!$L166,P$4&lt;='2025'!$M166), P$4&lt;&gt;DATE(2025,7,4)), (SWITCH(weekday(P$4), 1, 0, 2, if(ISBLANK('2025'!$P166), 0, 1), 3, if(ISBLANK('2025'!$Q166), 0, 1), 4, if(ISBLANK('2025'!$R166), 0, 1), 5, if(ISBLANK('2025'!$S166), 0, 1), 6, if(ISBLANK('2025'!$T166), 0, 1), 7, 0))), 1, "")</f>
        <v/>
      </c>
      <c r="Q168" s="1" t="str">
        <f>IF(AND(AND(AND(Q$4&gt;='2025'!$L166,Q$4&lt;='2025'!$M166), Q$4&lt;&gt;DATE(2025,7,4)), (SWITCH(weekday(Q$4), 1, 0, 2, if(ISBLANK('2025'!$P166), 0, 1), 3, if(ISBLANK('2025'!$Q166), 0, 1), 4, if(ISBLANK('2025'!$R166), 0, 1), 5, if(ISBLANK('2025'!$S166), 0, 1), 6, if(ISBLANK('2025'!$T166), 0, 1), 7, 0))), 1, "")</f>
        <v/>
      </c>
      <c r="R168" s="1" t="str">
        <f>IF(AND(AND(AND(R$4&gt;='2025'!$L166,R$4&lt;='2025'!$M166), R$4&lt;&gt;DATE(2025,7,4)), (SWITCH(weekday(R$4), 1, 0, 2, if(ISBLANK('2025'!$P166), 0, 1), 3, if(ISBLANK('2025'!$Q166), 0, 1), 4, if(ISBLANK('2025'!$R166), 0, 1), 5, if(ISBLANK('2025'!$S166), 0, 1), 6, if(ISBLANK('2025'!$T166), 0, 1), 7, 0))), 1, "")</f>
        <v/>
      </c>
      <c r="S168" s="1" t="str">
        <f>IF(AND(AND(AND(S$4&gt;='2025'!$L166,S$4&lt;='2025'!$M166), S$4&lt;&gt;DATE(2025,7,4)), (SWITCH(weekday(S$4), 1, 0, 2, if(ISBLANK('2025'!$P166), 0, 1), 3, if(ISBLANK('2025'!$Q166), 0, 1), 4, if(ISBLANK('2025'!$R166), 0, 1), 5, if(ISBLANK('2025'!$S166), 0, 1), 6, if(ISBLANK('2025'!$T166), 0, 1), 7, 0))), 1, "")</f>
        <v/>
      </c>
      <c r="T168" s="1" t="str">
        <f>IF(AND(AND(AND(T$4&gt;='2025'!$L166,T$4&lt;='2025'!$M166), T$4&lt;&gt;DATE(2025,7,4)), (SWITCH(weekday(T$4), 1, 0, 2, if(ISBLANK('2025'!$P166), 0, 1), 3, if(ISBLANK('2025'!$Q166), 0, 1), 4, if(ISBLANK('2025'!$R166), 0, 1), 5, if(ISBLANK('2025'!$S166), 0, 1), 6, if(ISBLANK('2025'!$T166), 0, 1), 7, 0))), 1, "")</f>
        <v/>
      </c>
      <c r="U168" s="1" t="str">
        <f>IF(AND(AND(AND(U$4&gt;='2025'!$L166,U$4&lt;='2025'!$M166), U$4&lt;&gt;DATE(2025,7,4)), (SWITCH(weekday(U$4), 1, 0, 2, if(ISBLANK('2025'!$P166), 0, 1), 3, if(ISBLANK('2025'!$Q166), 0, 1), 4, if(ISBLANK('2025'!$R166), 0, 1), 5, if(ISBLANK('2025'!$S166), 0, 1), 6, if(ISBLANK('2025'!$T166), 0, 1), 7, 0))), 1, "")</f>
        <v/>
      </c>
      <c r="V168" s="1" t="str">
        <f>IF(AND(AND(AND(V$4&gt;='2025'!$L166,V$4&lt;='2025'!$M166), V$4&lt;&gt;DATE(2025,7,4)), (SWITCH(weekday(V$4), 1, 0, 2, if(ISBLANK('2025'!$P166), 0, 1), 3, if(ISBLANK('2025'!$Q166), 0, 1), 4, if(ISBLANK('2025'!$R166), 0, 1), 5, if(ISBLANK('2025'!$S166), 0, 1), 6, if(ISBLANK('2025'!$T166), 0, 1), 7, 0))), 1, "")</f>
        <v/>
      </c>
      <c r="W168" s="1" t="str">
        <f>IF(AND(AND(AND(W$4&gt;='2025'!$L166,W$4&lt;='2025'!$M166), W$4&lt;&gt;DATE(2025,7,4)), (SWITCH(weekday(W$4), 1, 0, 2, if(ISBLANK('2025'!$P166), 0, 1), 3, if(ISBLANK('2025'!$Q166), 0, 1), 4, if(ISBLANK('2025'!$R166), 0, 1), 5, if(ISBLANK('2025'!$S166), 0, 1), 6, if(ISBLANK('2025'!$T166), 0, 1), 7, 0))), 1, "")</f>
        <v/>
      </c>
      <c r="X168" s="1" t="str">
        <f>IF(AND(AND(AND(X$4&gt;='2025'!$L166,X$4&lt;='2025'!$M166), X$4&lt;&gt;DATE(2025,7,4)), (SWITCH(weekday(X$4), 1, 0, 2, if(ISBLANK('2025'!$P166), 0, 1), 3, if(ISBLANK('2025'!$Q166), 0, 1), 4, if(ISBLANK('2025'!$R166), 0, 1), 5, if(ISBLANK('2025'!$S166), 0, 1), 6, if(ISBLANK('2025'!$T166), 0, 1), 7, 0))), 1, "")</f>
        <v/>
      </c>
      <c r="Y168" s="1" t="str">
        <f>IF(AND(AND(AND(Y$4&gt;='2025'!$L166,Y$4&lt;='2025'!$M166), Y$4&lt;&gt;DATE(2025,7,4)), (SWITCH(weekday(Y$4), 1, 0, 2, if(ISBLANK('2025'!$P166), 0, 1), 3, if(ISBLANK('2025'!$Q166), 0, 1), 4, if(ISBLANK('2025'!$R166), 0, 1), 5, if(ISBLANK('2025'!$S166), 0, 1), 6, if(ISBLANK('2025'!$T166), 0, 1), 7, 0))), 1, "")</f>
        <v/>
      </c>
      <c r="Z168" s="1" t="str">
        <f>IF(AND(AND(AND(Z$4&gt;='2025'!$L166,Z$4&lt;='2025'!$M166), Z$4&lt;&gt;DATE(2025,7,4)), (SWITCH(weekday(Z$4), 1, 0, 2, if(ISBLANK('2025'!$P166), 0, 1), 3, if(ISBLANK('2025'!$Q166), 0, 1), 4, if(ISBLANK('2025'!$R166), 0, 1), 5, if(ISBLANK('2025'!$S166), 0, 1), 6, if(ISBLANK('2025'!$T166), 0, 1), 7, 0))), 1, "")</f>
        <v/>
      </c>
      <c r="AA168" s="1" t="str">
        <f>IF(AND(AND(AND(AA$4&gt;='2025'!$L166,AA$4&lt;='2025'!$M166), AA$4&lt;&gt;DATE(2025,7,4)), (SWITCH(weekday(AA$4), 1, 0, 2, if(ISBLANK('2025'!$P166), 0, 1), 3, if(ISBLANK('2025'!$Q166), 0, 1), 4, if(ISBLANK('2025'!$R166), 0, 1), 5, if(ISBLANK('2025'!$S166), 0, 1), 6, if(ISBLANK('2025'!$T166), 0, 1), 7, 0))), 1, "")</f>
        <v/>
      </c>
      <c r="AB168" s="1" t="str">
        <f>IF(AND(AND(AND(AB$4&gt;='2025'!$L166,AB$4&lt;='2025'!$M166), AB$4&lt;&gt;DATE(2025,7,4)), (SWITCH(weekday(AB$4), 1, 0, 2, if(ISBLANK('2025'!$P166), 0, 1), 3, if(ISBLANK('2025'!$Q166), 0, 1), 4, if(ISBLANK('2025'!$R166), 0, 1), 5, if(ISBLANK('2025'!$S166), 0, 1), 6, if(ISBLANK('2025'!$T166), 0, 1), 7, 0))), 1, "")</f>
        <v/>
      </c>
      <c r="AC168" s="1" t="str">
        <f>IF(AND(AND(AND(AC$4&gt;='2025'!$L166,AC$4&lt;='2025'!$M166), AC$4&lt;&gt;DATE(2025,7,4)), (SWITCH(weekday(AC$4), 1, 0, 2, if(ISBLANK('2025'!$P166), 0, 1), 3, if(ISBLANK('2025'!$Q166), 0, 1), 4, if(ISBLANK('2025'!$R166), 0, 1), 5, if(ISBLANK('2025'!$S166), 0, 1), 6, if(ISBLANK('2025'!$T166), 0, 1), 7, 0))), 1, "")</f>
        <v/>
      </c>
      <c r="AD168" s="1" t="str">
        <f>IF(AND(AND(AND(AD$4&gt;='2025'!$L166,AD$4&lt;='2025'!$M166), AD$4&lt;&gt;DATE(2025,7,4)), (SWITCH(weekday(AD$4), 1, 0, 2, if(ISBLANK('2025'!$P166), 0, 1), 3, if(ISBLANK('2025'!$Q166), 0, 1), 4, if(ISBLANK('2025'!$R166), 0, 1), 5, if(ISBLANK('2025'!$S166), 0, 1), 6, if(ISBLANK('2025'!$T166), 0, 1), 7, 0))), 1, "")</f>
        <v/>
      </c>
      <c r="AE168" s="1" t="str">
        <f>IF(AND(AND(AND(AE$4&gt;='2025'!$L166,AE$4&lt;='2025'!$M166), AE$4&lt;&gt;DATE(2025,7,4)), (SWITCH(weekday(AE$4), 1, 0, 2, if(ISBLANK('2025'!$P166), 0, 1), 3, if(ISBLANK('2025'!$Q166), 0, 1), 4, if(ISBLANK('2025'!$R166), 0, 1), 5, if(ISBLANK('2025'!$S166), 0, 1), 6, if(ISBLANK('2025'!$T166), 0, 1), 7, 0))), 1, "")</f>
        <v/>
      </c>
      <c r="AF168" s="1" t="str">
        <f>IF(AND(AND(AND(AF$4&gt;='2025'!$L166,AF$4&lt;='2025'!$M166), AF$4&lt;&gt;DATE(2025,7,4)), (SWITCH(weekday(AF$4), 1, 0, 2, if(ISBLANK('2025'!$P166), 0, 1), 3, if(ISBLANK('2025'!$Q166), 0, 1), 4, if(ISBLANK('2025'!$R166), 0, 1), 5, if(ISBLANK('2025'!$S166), 0, 1), 6, if(ISBLANK('2025'!$T166), 0, 1), 7, 0))), 1, "")</f>
        <v/>
      </c>
      <c r="AG168" s="1" t="str">
        <f>IF(AND(AND(AND(AG$4&gt;='2025'!$L166,AG$4&lt;='2025'!$M166), AG$4&lt;&gt;DATE(2025,7,4)), (SWITCH(weekday(AG$4), 1, 0, 2, if(ISBLANK('2025'!$P166), 0, 1), 3, if(ISBLANK('2025'!$Q166), 0, 1), 4, if(ISBLANK('2025'!$R166), 0, 1), 5, if(ISBLANK('2025'!$S166), 0, 1), 6, if(ISBLANK('2025'!$T166), 0, 1), 7, 0))), 1, "")</f>
        <v/>
      </c>
      <c r="AH168" s="1" t="str">
        <f>IF(AND(AND(AND(AH$4&gt;='2025'!$L166,AH$4&lt;='2025'!$M166), AH$4&lt;&gt;DATE(2025,7,4)), (SWITCH(weekday(AH$4), 1, 0, 2, if(ISBLANK('2025'!$P166), 0, 1), 3, if(ISBLANK('2025'!$Q166), 0, 1), 4, if(ISBLANK('2025'!$R166), 0, 1), 5, if(ISBLANK('2025'!$S166), 0, 1), 6, if(ISBLANK('2025'!$T166), 0, 1), 7, 0))), 1, "")</f>
        <v/>
      </c>
      <c r="AI168" s="1" t="str">
        <f>IF(AND(AND(AND(AI$4&gt;='2025'!$L166,AI$4&lt;='2025'!$M166), AI$4&lt;&gt;DATE(2025,7,4)), (SWITCH(weekday(AI$4), 1, 0, 2, if(ISBLANK('2025'!$P166), 0, 1), 3, if(ISBLANK('2025'!$Q166), 0, 1), 4, if(ISBLANK('2025'!$R166), 0, 1), 5, if(ISBLANK('2025'!$S166), 0, 1), 6, if(ISBLANK('2025'!$T166), 0, 1), 7, 0))), 1, "")</f>
        <v/>
      </c>
      <c r="AJ168" s="1" t="str">
        <f>IF(AND(AND(AND(AJ$4&gt;='2025'!$L166,AJ$4&lt;='2025'!$M166), AJ$4&lt;&gt;DATE(2025,7,4)), (SWITCH(weekday(AJ$4), 1, 0, 2, if(ISBLANK('2025'!$P166), 0, 1), 3, if(ISBLANK('2025'!$Q166), 0, 1), 4, if(ISBLANK('2025'!$R166), 0, 1), 5, if(ISBLANK('2025'!$S166), 0, 1), 6, if(ISBLANK('2025'!$T166), 0, 1), 7, 0))), 1, "")</f>
        <v/>
      </c>
      <c r="AK168" s="1" t="str">
        <f>IF(AND(AND(AND(AK$4&gt;='2025'!$L166,AK$4&lt;='2025'!$M166), AK$4&lt;&gt;DATE(2025,7,4)), (SWITCH(weekday(AK$4), 1, 0, 2, if(ISBLANK('2025'!$P166), 0, 1), 3, if(ISBLANK('2025'!$Q166), 0, 1), 4, if(ISBLANK('2025'!$R166), 0, 1), 5, if(ISBLANK('2025'!$S166), 0, 1), 6, if(ISBLANK('2025'!$T166), 0, 1), 7, 0))), 1, "")</f>
        <v/>
      </c>
      <c r="AL168" s="1" t="str">
        <f>IF(AND(AND(AND(AL$4&gt;='2025'!$L166,AL$4&lt;='2025'!$M166), AL$4&lt;&gt;DATE(2025,7,4)), (SWITCH(weekday(AL$4), 1, 0, 2, if(ISBLANK('2025'!$P166), 0, 1), 3, if(ISBLANK('2025'!$Q166), 0, 1), 4, if(ISBLANK('2025'!$R166), 0, 1), 5, if(ISBLANK('2025'!$S166), 0, 1), 6, if(ISBLANK('2025'!$T166), 0, 1), 7, 0))), 1, "")</f>
        <v/>
      </c>
      <c r="AM168" s="1" t="str">
        <f>IF(AND(AND(AND(AM$4&gt;='2025'!$L166,AM$4&lt;='2025'!$M166), AM$4&lt;&gt;DATE(2025,7,4)), (SWITCH(weekday(AM$4), 1, 0, 2, if(ISBLANK('2025'!$P166), 0, 1), 3, if(ISBLANK('2025'!$Q166), 0, 1), 4, if(ISBLANK('2025'!$R166), 0, 1), 5, if(ISBLANK('2025'!$S166), 0, 1), 6, if(ISBLANK('2025'!$T166), 0, 1), 7, 0))), 1, "")</f>
        <v/>
      </c>
      <c r="AN168" s="1" t="str">
        <f>IF(AND(AND(AND(AN$4&gt;='2025'!$L166,AN$4&lt;='2025'!$M166), AN$4&lt;&gt;DATE(2025,7,4)), (SWITCH(weekday(AN$4), 1, 0, 2, if(ISBLANK('2025'!$P166), 0, 1), 3, if(ISBLANK('2025'!$Q166), 0, 1), 4, if(ISBLANK('2025'!$R166), 0, 1), 5, if(ISBLANK('2025'!$S166), 0, 1), 6, if(ISBLANK('2025'!$T166), 0, 1), 7, 0))), 1, "")</f>
        <v/>
      </c>
      <c r="AO168" s="1" t="str">
        <f>IF(AND(AND(AND(AO$4&gt;='2025'!$L166,AO$4&lt;='2025'!$M166), AO$4&lt;&gt;DATE(2025,7,4)), (SWITCH(weekday(AO$4), 1, 0, 2, if(ISBLANK('2025'!$P166), 0, 1), 3, if(ISBLANK('2025'!$Q166), 0, 1), 4, if(ISBLANK('2025'!$R166), 0, 1), 5, if(ISBLANK('2025'!$S166), 0, 1), 6, if(ISBLANK('2025'!$T166), 0, 1), 7, 0))), 1, "")</f>
        <v/>
      </c>
      <c r="AP168" s="1" t="str">
        <f>IF(AND(AND(AND(AP$4&gt;='2025'!$L166,AP$4&lt;='2025'!$M166), AP$4&lt;&gt;DATE(2025,7,4)), (SWITCH(weekday(AP$4), 1, 0, 2, if(ISBLANK('2025'!$P166), 0, 1), 3, if(ISBLANK('2025'!$Q166), 0, 1), 4, if(ISBLANK('2025'!$R166), 0, 1), 5, if(ISBLANK('2025'!$S166), 0, 1), 6, if(ISBLANK('2025'!$T166), 0, 1), 7, 0))), 1, "")</f>
        <v/>
      </c>
      <c r="AQ168" s="1" t="str">
        <f>IF(AND(AND(AND(AQ$4&gt;='2025'!$L166,AQ$4&lt;='2025'!$M166), AQ$4&lt;&gt;DATE(2025,7,4)), (SWITCH(weekday(AQ$4), 1, 0, 2, if(ISBLANK('2025'!$P166), 0, 1), 3, if(ISBLANK('2025'!$Q166), 0, 1), 4, if(ISBLANK('2025'!$R166), 0, 1), 5, if(ISBLANK('2025'!$S166), 0, 1), 6, if(ISBLANK('2025'!$T166), 0, 1), 7, 0))), 1, "")</f>
        <v/>
      </c>
      <c r="AR168" s="1" t="str">
        <f>IF(AND(AND(AND(AR$4&gt;='2025'!$L166,AR$4&lt;='2025'!$M166), AR$4&lt;&gt;DATE(2025,7,4)), (SWITCH(weekday(AR$4), 1, 0, 2, if(ISBLANK('2025'!$P166), 0, 1), 3, if(ISBLANK('2025'!$Q166), 0, 1), 4, if(ISBLANK('2025'!$R166), 0, 1), 5, if(ISBLANK('2025'!$S166), 0, 1), 6, if(ISBLANK('2025'!$T166), 0, 1), 7, 0))), 1, "")</f>
        <v/>
      </c>
      <c r="AS168" s="1" t="str">
        <f>IF(AND(AND(AND(AS$4&gt;='2025'!$L166,AS$4&lt;='2025'!$M166), AS$4&lt;&gt;DATE(2025,7,4)), (SWITCH(weekday(AS$4), 1, 0, 2, if(ISBLANK('2025'!$P166), 0, 1), 3, if(ISBLANK('2025'!$Q166), 0, 1), 4, if(ISBLANK('2025'!$R166), 0, 1), 5, if(ISBLANK('2025'!$S166), 0, 1), 6, if(ISBLANK('2025'!$T166), 0, 1), 7, 0))), 1, "")</f>
        <v/>
      </c>
      <c r="AT168" s="1" t="str">
        <f>IF(AND(AND(AND(AT$4&gt;='2025'!$L166,AT$4&lt;='2025'!$M166), AT$4&lt;&gt;DATE(2025,7,4)), (SWITCH(weekday(AT$4), 1, 0, 2, if(ISBLANK('2025'!$P166), 0, 1), 3, if(ISBLANK('2025'!$Q166), 0, 1), 4, if(ISBLANK('2025'!$R166), 0, 1), 5, if(ISBLANK('2025'!$S166), 0, 1), 6, if(ISBLANK('2025'!$T166), 0, 1), 7, 0))), 1, "")</f>
        <v/>
      </c>
      <c r="AU168" s="1" t="str">
        <f>IF(AND(AND(AND(AU$4&gt;='2025'!$L166,AU$4&lt;='2025'!$M166), AU$4&lt;&gt;DATE(2025,7,4)), (SWITCH(weekday(AU$4), 1, 0, 2, if(ISBLANK('2025'!$P166), 0, 1), 3, if(ISBLANK('2025'!$Q166), 0, 1), 4, if(ISBLANK('2025'!$R166), 0, 1), 5, if(ISBLANK('2025'!$S166), 0, 1), 6, if(ISBLANK('2025'!$T166), 0, 1), 7, 0))), 1, "")</f>
        <v/>
      </c>
      <c r="AV168" s="1" t="str">
        <f>IF(AND(AND(AND(AV$4&gt;='2025'!$L166,AV$4&lt;='2025'!$M166), AV$4&lt;&gt;DATE(2025,7,4)), (SWITCH(weekday(AV$4), 1, 0, 2, if(ISBLANK('2025'!$P166), 0, 1), 3, if(ISBLANK('2025'!$Q166), 0, 1), 4, if(ISBLANK('2025'!$R166), 0, 1), 5, if(ISBLANK('2025'!$S166), 0, 1), 6, if(ISBLANK('2025'!$T166), 0, 1), 7, 0))), 1, "")</f>
        <v/>
      </c>
      <c r="AW168" s="1" t="str">
        <f>IF(AND(AND(AND(AW$4&gt;='2025'!$L166,AW$4&lt;='2025'!$M166), AW$4&lt;&gt;DATE(2025,7,4)), (SWITCH(weekday(AW$4), 1, 0, 2, if(ISBLANK('2025'!$P166), 0, 1), 3, if(ISBLANK('2025'!$Q166), 0, 1), 4, if(ISBLANK('2025'!$R166), 0, 1), 5, if(ISBLANK('2025'!$S166), 0, 1), 6, if(ISBLANK('2025'!$T166), 0, 1), 7, 0))), 1, "")</f>
        <v/>
      </c>
      <c r="AX168" s="1" t="str">
        <f>IF(AND(AND(AND(AX$4&gt;='2025'!$L166,AX$4&lt;='2025'!$M166), AX$4&lt;&gt;DATE(2025,7,4)), (SWITCH(weekday(AX$4), 1, 0, 2, if(ISBLANK('2025'!$P166), 0, 1), 3, if(ISBLANK('2025'!$Q166), 0, 1), 4, if(ISBLANK('2025'!$R166), 0, 1), 5, if(ISBLANK('2025'!$S166), 0, 1), 6, if(ISBLANK('2025'!$T166), 0, 1), 7, 0))), 1, "")</f>
        <v/>
      </c>
      <c r="AY168" s="1" t="str">
        <f>IF(AND(AND(AND(AY$4&gt;='2025'!$L166,AY$4&lt;='2025'!$M166), AY$4&lt;&gt;DATE(2025,7,4)), (SWITCH(weekday(AY$4), 1, 0, 2, if(ISBLANK('2025'!$P166), 0, 1), 3, if(ISBLANK('2025'!$Q166), 0, 1), 4, if(ISBLANK('2025'!$R166), 0, 1), 5, if(ISBLANK('2025'!$S166), 0, 1), 6, if(ISBLANK('2025'!$T166), 0, 1), 7, 0))), 1, "")</f>
        <v/>
      </c>
      <c r="AZ168" s="1" t="str">
        <f>IF(AND(AND(AND(AZ$4&gt;='2025'!$L166,AZ$4&lt;='2025'!$M166), AZ$4&lt;&gt;DATE(2025,7,4)), (SWITCH(weekday(AZ$4), 1, 0, 2, if(ISBLANK('2025'!$P166), 0, 1), 3, if(ISBLANK('2025'!$Q166), 0, 1), 4, if(ISBLANK('2025'!$R166), 0, 1), 5, if(ISBLANK('2025'!$S166), 0, 1), 6, if(ISBLANK('2025'!$T166), 0, 1), 7, 0))), 1, "")</f>
        <v/>
      </c>
      <c r="BA168" s="1" t="str">
        <f>IF(AND(AND(AND(BA$4&gt;='2025'!$L166,BA$4&lt;='2025'!$M166), BA$4&lt;&gt;DATE(2025,7,4)), (SWITCH(weekday(BA$4), 1, 0, 2, if(ISBLANK('2025'!$P166), 0, 1), 3, if(ISBLANK('2025'!$Q166), 0, 1), 4, if(ISBLANK('2025'!$R166), 0, 1), 5, if(ISBLANK('2025'!$S166), 0, 1), 6, if(ISBLANK('2025'!$T166), 0, 1), 7, 0))), 1, "")</f>
        <v/>
      </c>
      <c r="BB168" s="1" t="str">
        <f>IF(AND(AND(AND(BB$4&gt;='2025'!$L166,BB$4&lt;='2025'!$M166), BB$4&lt;&gt;DATE(2025,7,4)), (SWITCH(weekday(BB$4), 1, 0, 2, if(ISBLANK('2025'!$P166), 0, 1), 3, if(ISBLANK('2025'!$Q166), 0, 1), 4, if(ISBLANK('2025'!$R166), 0, 1), 5, if(ISBLANK('2025'!$S166), 0, 1), 6, if(ISBLANK('2025'!$T166), 0, 1), 7, 0))), 1, "")</f>
        <v/>
      </c>
      <c r="BC168" s="1" t="str">
        <f>IF(AND(AND(AND(BC$4&gt;='2025'!$L166,BC$4&lt;='2025'!$M166), BC$4&lt;&gt;DATE(2025,7,4)), (SWITCH(weekday(BC$4), 1, 0, 2, if(ISBLANK('2025'!$P166), 0, 1), 3, if(ISBLANK('2025'!$Q166), 0, 1), 4, if(ISBLANK('2025'!$R166), 0, 1), 5, if(ISBLANK('2025'!$S166), 0, 1), 6, if(ISBLANK('2025'!$T166), 0, 1), 7, 0))), 1, "")</f>
        <v/>
      </c>
      <c r="BD168" s="1" t="str">
        <f>IF(AND(AND(AND(BD$4&gt;='2025'!$L166,BD$4&lt;='2025'!$M166), BD$4&lt;&gt;DATE(2025,7,4)), (SWITCH(weekday(BD$4), 1, 0, 2, if(ISBLANK('2025'!$P166), 0, 1), 3, if(ISBLANK('2025'!$Q166), 0, 1), 4, if(ISBLANK('2025'!$R166), 0, 1), 5, if(ISBLANK('2025'!$S166), 0, 1), 6, if(ISBLANK('2025'!$T166), 0, 1), 7, 0))), 1, "")</f>
        <v/>
      </c>
      <c r="BE168" s="1" t="str">
        <f>IF(AND(AND(AND(BE$4&gt;='2025'!$L166,BE$4&lt;='2025'!$M166), BE$4&lt;&gt;DATE(2025,7,4)), (SWITCH(weekday(BE$4), 1, 0, 2, if(ISBLANK('2025'!$P166), 0, 1), 3, if(ISBLANK('2025'!$Q166), 0, 1), 4, if(ISBLANK('2025'!$R166), 0, 1), 5, if(ISBLANK('2025'!$S166), 0, 1), 6, if(ISBLANK('2025'!$T166), 0, 1), 7, 0))), 1, "")</f>
        <v/>
      </c>
      <c r="BF168" s="1" t="str">
        <f>IF(AND(AND(AND(BF$4&gt;='2025'!$L166,BF$4&lt;='2025'!$M166), BF$4&lt;&gt;DATE(2025,7,4)), (SWITCH(weekday(BF$4), 1, 0, 2, if(ISBLANK('2025'!$P166), 0, 1), 3, if(ISBLANK('2025'!$Q166), 0, 1), 4, if(ISBLANK('2025'!$R166), 0, 1), 5, if(ISBLANK('2025'!$S166), 0, 1), 6, if(ISBLANK('2025'!$T166), 0, 1), 7, 0))), 1, "")</f>
        <v/>
      </c>
      <c r="BG168" s="1"/>
      <c r="BH168" s="1"/>
      <c r="BI168" s="1"/>
      <c r="BJ168" s="1"/>
      <c r="BK168" s="1"/>
      <c r="BL168" s="1"/>
    </row>
    <row r="169">
      <c r="A169" s="1">
        <f t="shared" si="3"/>
        <v>169</v>
      </c>
      <c r="B169" s="1" t="str">
        <f>'2025'!D133</f>
        <v>, </v>
      </c>
      <c r="C169" s="1" t="str">
        <f>'2025'!H133</f>
        <v/>
      </c>
      <c r="D169" s="1" t="str">
        <f>IF(AND(AND(AND(D$4&gt;='2025'!$L167,D$4&lt;='2025'!$M167), D$4&lt;&gt;DATE(2025,7,4)), (SWITCH(weekday(D$4), 1, 0, 2, if(ISBLANK('2025'!$P167), 0, 1), 3, if(ISBLANK('2025'!$Q167), 0, 1), 4, if(ISBLANK('2025'!$R167), 0, 1), 5, if(ISBLANK('2025'!$S167), 0, 1), 6, if(ISBLANK('2025'!$T167), 0, 1), 7, 0))), 1, "")</f>
        <v/>
      </c>
      <c r="E169" s="1" t="str">
        <f>IF(AND(AND(AND(E$4&gt;='2025'!$L167,E$4&lt;='2025'!$M167), E$4&lt;&gt;DATE(2025,7,4)), (SWITCH(weekday(E$4), 1, 0, 2, if(ISBLANK('2025'!$P167), 0, 1), 3, if(ISBLANK('2025'!$Q167), 0, 1), 4, if(ISBLANK('2025'!$R167), 0, 1), 5, if(ISBLANK('2025'!$S167), 0, 1), 6, if(ISBLANK('2025'!$T167), 0, 1), 7, 0))), 1, "")</f>
        <v/>
      </c>
      <c r="F169" s="1" t="str">
        <f>IF(AND(AND(AND(F$4&gt;='2025'!$L167,F$4&lt;='2025'!$M167), F$4&lt;&gt;DATE(2025,7,4)), (SWITCH(weekday(F$4), 1, 0, 2, if(ISBLANK('2025'!$P167), 0, 1), 3, if(ISBLANK('2025'!$Q167), 0, 1), 4, if(ISBLANK('2025'!$R167), 0, 1), 5, if(ISBLANK('2025'!$S167), 0, 1), 6, if(ISBLANK('2025'!$T167), 0, 1), 7, 0))), 1, "")</f>
        <v/>
      </c>
      <c r="G169" s="1" t="str">
        <f>IF(AND(AND(AND(G$4&gt;='2025'!$L167,G$4&lt;='2025'!$M167), G$4&lt;&gt;DATE(2025,7,4)), (SWITCH(weekday(G$4), 1, 0, 2, if(ISBLANK('2025'!$P167), 0, 1), 3, if(ISBLANK('2025'!$Q167), 0, 1), 4, if(ISBLANK('2025'!$R167), 0, 1), 5, if(ISBLANK('2025'!$S167), 0, 1), 6, if(ISBLANK('2025'!$T167), 0, 1), 7, 0))), 1, "")</f>
        <v/>
      </c>
      <c r="H169" s="1" t="str">
        <f>IF(AND(AND(AND(H$4&gt;='2025'!$L167,H$4&lt;='2025'!$M167), H$4&lt;&gt;DATE(2025,7,4)), (SWITCH(weekday(H$4), 1, 0, 2, if(ISBLANK('2025'!$P167), 0, 1), 3, if(ISBLANK('2025'!$Q167), 0, 1), 4, if(ISBLANK('2025'!$R167), 0, 1), 5, if(ISBLANK('2025'!$S167), 0, 1), 6, if(ISBLANK('2025'!$T167), 0, 1), 7, 0))), 1, "")</f>
        <v/>
      </c>
      <c r="I169" s="1" t="str">
        <f>IF(AND(AND(AND(I$4&gt;='2025'!$L167,I$4&lt;='2025'!$M167), I$4&lt;&gt;DATE(2025,7,4)), (SWITCH(weekday(I$4), 1, 0, 2, if(ISBLANK('2025'!$P167), 0, 1), 3, if(ISBLANK('2025'!$Q167), 0, 1), 4, if(ISBLANK('2025'!$R167), 0, 1), 5, if(ISBLANK('2025'!$S167), 0, 1), 6, if(ISBLANK('2025'!$T167), 0, 1), 7, 0))), 1, "")</f>
        <v/>
      </c>
      <c r="J169" s="1" t="str">
        <f>IF(AND(AND(AND(J$4&gt;='2025'!$L167,J$4&lt;='2025'!$M167), J$4&lt;&gt;DATE(2025,7,4)), (SWITCH(weekday(J$4), 1, 0, 2, if(ISBLANK('2025'!$P167), 0, 1), 3, if(ISBLANK('2025'!$Q167), 0, 1), 4, if(ISBLANK('2025'!$R167), 0, 1), 5, if(ISBLANK('2025'!$S167), 0, 1), 6, if(ISBLANK('2025'!$T167), 0, 1), 7, 0))), 1, "")</f>
        <v/>
      </c>
      <c r="K169" s="1" t="str">
        <f>IF(AND(AND(AND(K$4&gt;='2025'!$L167,K$4&lt;='2025'!$M167), K$4&lt;&gt;DATE(2025,7,4)), (SWITCH(weekday(K$4), 1, 0, 2, if(ISBLANK('2025'!$P167), 0, 1), 3, if(ISBLANK('2025'!$Q167), 0, 1), 4, if(ISBLANK('2025'!$R167), 0, 1), 5, if(ISBLANK('2025'!$S167), 0, 1), 6, if(ISBLANK('2025'!$T167), 0, 1), 7, 0))), 1, "")</f>
        <v/>
      </c>
      <c r="L169" s="1" t="str">
        <f>IF(AND(AND(AND(L$4&gt;='2025'!$L167,L$4&lt;='2025'!$M167), L$4&lt;&gt;DATE(2025,7,4)), (SWITCH(weekday(L$4), 1, 0, 2, if(ISBLANK('2025'!$P167), 0, 1), 3, if(ISBLANK('2025'!$Q167), 0, 1), 4, if(ISBLANK('2025'!$R167), 0, 1), 5, if(ISBLANK('2025'!$S167), 0, 1), 6, if(ISBLANK('2025'!$T167), 0, 1), 7, 0))), 1, "")</f>
        <v/>
      </c>
      <c r="M169" s="1" t="str">
        <f>IF(AND(AND(AND(M$4&gt;='2025'!$L167,M$4&lt;='2025'!$M167), M$4&lt;&gt;DATE(2025,7,4)), (SWITCH(weekday(M$4), 1, 0, 2, if(ISBLANK('2025'!$P167), 0, 1), 3, if(ISBLANK('2025'!$Q167), 0, 1), 4, if(ISBLANK('2025'!$R167), 0, 1), 5, if(ISBLANK('2025'!$S167), 0, 1), 6, if(ISBLANK('2025'!$T167), 0, 1), 7, 0))), 1, "")</f>
        <v/>
      </c>
      <c r="N169" s="1" t="str">
        <f>IF(AND(AND(AND(N$4&gt;='2025'!$L167,N$4&lt;='2025'!$M167), N$4&lt;&gt;DATE(2025,7,4)), (SWITCH(weekday(N$4), 1, 0, 2, if(ISBLANK('2025'!$P167), 0, 1), 3, if(ISBLANK('2025'!$Q167), 0, 1), 4, if(ISBLANK('2025'!$R167), 0, 1), 5, if(ISBLANK('2025'!$S167), 0, 1), 6, if(ISBLANK('2025'!$T167), 0, 1), 7, 0))), 1, "")</f>
        <v/>
      </c>
      <c r="O169" s="1" t="str">
        <f>IF(AND(AND(AND(O$4&gt;='2025'!$L167,O$4&lt;='2025'!$M167), O$4&lt;&gt;DATE(2025,7,4)), (SWITCH(weekday(O$4), 1, 0, 2, if(ISBLANK('2025'!$P167), 0, 1), 3, if(ISBLANK('2025'!$Q167), 0, 1), 4, if(ISBLANK('2025'!$R167), 0, 1), 5, if(ISBLANK('2025'!$S167), 0, 1), 6, if(ISBLANK('2025'!$T167), 0, 1), 7, 0))), 1, "")</f>
        <v/>
      </c>
      <c r="P169" s="1" t="str">
        <f>IF(AND(AND(AND(P$4&gt;='2025'!$L167,P$4&lt;='2025'!$M167), P$4&lt;&gt;DATE(2025,7,4)), (SWITCH(weekday(P$4), 1, 0, 2, if(ISBLANK('2025'!$P167), 0, 1), 3, if(ISBLANK('2025'!$Q167), 0, 1), 4, if(ISBLANK('2025'!$R167), 0, 1), 5, if(ISBLANK('2025'!$S167), 0, 1), 6, if(ISBLANK('2025'!$T167), 0, 1), 7, 0))), 1, "")</f>
        <v/>
      </c>
      <c r="Q169" s="1" t="str">
        <f>IF(AND(AND(AND(Q$4&gt;='2025'!$L167,Q$4&lt;='2025'!$M167), Q$4&lt;&gt;DATE(2025,7,4)), (SWITCH(weekday(Q$4), 1, 0, 2, if(ISBLANK('2025'!$P167), 0, 1), 3, if(ISBLANK('2025'!$Q167), 0, 1), 4, if(ISBLANK('2025'!$R167), 0, 1), 5, if(ISBLANK('2025'!$S167), 0, 1), 6, if(ISBLANK('2025'!$T167), 0, 1), 7, 0))), 1, "")</f>
        <v/>
      </c>
      <c r="R169" s="1" t="str">
        <f>IF(AND(AND(AND(R$4&gt;='2025'!$L167,R$4&lt;='2025'!$M167), R$4&lt;&gt;DATE(2025,7,4)), (SWITCH(weekday(R$4), 1, 0, 2, if(ISBLANK('2025'!$P167), 0, 1), 3, if(ISBLANK('2025'!$Q167), 0, 1), 4, if(ISBLANK('2025'!$R167), 0, 1), 5, if(ISBLANK('2025'!$S167), 0, 1), 6, if(ISBLANK('2025'!$T167), 0, 1), 7, 0))), 1, "")</f>
        <v/>
      </c>
      <c r="S169" s="1" t="str">
        <f>IF(AND(AND(AND(S$4&gt;='2025'!$L167,S$4&lt;='2025'!$M167), S$4&lt;&gt;DATE(2025,7,4)), (SWITCH(weekday(S$4), 1, 0, 2, if(ISBLANK('2025'!$P167), 0, 1), 3, if(ISBLANK('2025'!$Q167), 0, 1), 4, if(ISBLANK('2025'!$R167), 0, 1), 5, if(ISBLANK('2025'!$S167), 0, 1), 6, if(ISBLANK('2025'!$T167), 0, 1), 7, 0))), 1, "")</f>
        <v/>
      </c>
      <c r="T169" s="1" t="str">
        <f>IF(AND(AND(AND(T$4&gt;='2025'!$L167,T$4&lt;='2025'!$M167), T$4&lt;&gt;DATE(2025,7,4)), (SWITCH(weekday(T$4), 1, 0, 2, if(ISBLANK('2025'!$P167), 0, 1), 3, if(ISBLANK('2025'!$Q167), 0, 1), 4, if(ISBLANK('2025'!$R167), 0, 1), 5, if(ISBLANK('2025'!$S167), 0, 1), 6, if(ISBLANK('2025'!$T167), 0, 1), 7, 0))), 1, "")</f>
        <v/>
      </c>
      <c r="U169" s="1" t="str">
        <f>IF(AND(AND(AND(U$4&gt;='2025'!$L167,U$4&lt;='2025'!$M167), U$4&lt;&gt;DATE(2025,7,4)), (SWITCH(weekday(U$4), 1, 0, 2, if(ISBLANK('2025'!$P167), 0, 1), 3, if(ISBLANK('2025'!$Q167), 0, 1), 4, if(ISBLANK('2025'!$R167), 0, 1), 5, if(ISBLANK('2025'!$S167), 0, 1), 6, if(ISBLANK('2025'!$T167), 0, 1), 7, 0))), 1, "")</f>
        <v/>
      </c>
      <c r="V169" s="1" t="str">
        <f>IF(AND(AND(AND(V$4&gt;='2025'!$L167,V$4&lt;='2025'!$M167), V$4&lt;&gt;DATE(2025,7,4)), (SWITCH(weekday(V$4), 1, 0, 2, if(ISBLANK('2025'!$P167), 0, 1), 3, if(ISBLANK('2025'!$Q167), 0, 1), 4, if(ISBLANK('2025'!$R167), 0, 1), 5, if(ISBLANK('2025'!$S167), 0, 1), 6, if(ISBLANK('2025'!$T167), 0, 1), 7, 0))), 1, "")</f>
        <v/>
      </c>
      <c r="W169" s="1" t="str">
        <f>IF(AND(AND(AND(W$4&gt;='2025'!$L167,W$4&lt;='2025'!$M167), W$4&lt;&gt;DATE(2025,7,4)), (SWITCH(weekday(W$4), 1, 0, 2, if(ISBLANK('2025'!$P167), 0, 1), 3, if(ISBLANK('2025'!$Q167), 0, 1), 4, if(ISBLANK('2025'!$R167), 0, 1), 5, if(ISBLANK('2025'!$S167), 0, 1), 6, if(ISBLANK('2025'!$T167), 0, 1), 7, 0))), 1, "")</f>
        <v/>
      </c>
      <c r="X169" s="1" t="str">
        <f>IF(AND(AND(AND(X$4&gt;='2025'!$L167,X$4&lt;='2025'!$M167), X$4&lt;&gt;DATE(2025,7,4)), (SWITCH(weekday(X$4), 1, 0, 2, if(ISBLANK('2025'!$P167), 0, 1), 3, if(ISBLANK('2025'!$Q167), 0, 1), 4, if(ISBLANK('2025'!$R167), 0, 1), 5, if(ISBLANK('2025'!$S167), 0, 1), 6, if(ISBLANK('2025'!$T167), 0, 1), 7, 0))), 1, "")</f>
        <v/>
      </c>
      <c r="Y169" s="1" t="str">
        <f>IF(AND(AND(AND(Y$4&gt;='2025'!$L167,Y$4&lt;='2025'!$M167), Y$4&lt;&gt;DATE(2025,7,4)), (SWITCH(weekday(Y$4), 1, 0, 2, if(ISBLANK('2025'!$P167), 0, 1), 3, if(ISBLANK('2025'!$Q167), 0, 1), 4, if(ISBLANK('2025'!$R167), 0, 1), 5, if(ISBLANK('2025'!$S167), 0, 1), 6, if(ISBLANK('2025'!$T167), 0, 1), 7, 0))), 1, "")</f>
        <v/>
      </c>
      <c r="Z169" s="1" t="str">
        <f>IF(AND(AND(AND(Z$4&gt;='2025'!$L167,Z$4&lt;='2025'!$M167), Z$4&lt;&gt;DATE(2025,7,4)), (SWITCH(weekday(Z$4), 1, 0, 2, if(ISBLANK('2025'!$P167), 0, 1), 3, if(ISBLANK('2025'!$Q167), 0, 1), 4, if(ISBLANK('2025'!$R167), 0, 1), 5, if(ISBLANK('2025'!$S167), 0, 1), 6, if(ISBLANK('2025'!$T167), 0, 1), 7, 0))), 1, "")</f>
        <v/>
      </c>
      <c r="AA169" s="1" t="str">
        <f>IF(AND(AND(AND(AA$4&gt;='2025'!$L167,AA$4&lt;='2025'!$M167), AA$4&lt;&gt;DATE(2025,7,4)), (SWITCH(weekday(AA$4), 1, 0, 2, if(ISBLANK('2025'!$P167), 0, 1), 3, if(ISBLANK('2025'!$Q167), 0, 1), 4, if(ISBLANK('2025'!$R167), 0, 1), 5, if(ISBLANK('2025'!$S167), 0, 1), 6, if(ISBLANK('2025'!$T167), 0, 1), 7, 0))), 1, "")</f>
        <v/>
      </c>
      <c r="AB169" s="1" t="str">
        <f>IF(AND(AND(AND(AB$4&gt;='2025'!$L167,AB$4&lt;='2025'!$M167), AB$4&lt;&gt;DATE(2025,7,4)), (SWITCH(weekday(AB$4), 1, 0, 2, if(ISBLANK('2025'!$P167), 0, 1), 3, if(ISBLANK('2025'!$Q167), 0, 1), 4, if(ISBLANK('2025'!$R167), 0, 1), 5, if(ISBLANK('2025'!$S167), 0, 1), 6, if(ISBLANK('2025'!$T167), 0, 1), 7, 0))), 1, "")</f>
        <v/>
      </c>
      <c r="AC169" s="1" t="str">
        <f>IF(AND(AND(AND(AC$4&gt;='2025'!$L167,AC$4&lt;='2025'!$M167), AC$4&lt;&gt;DATE(2025,7,4)), (SWITCH(weekday(AC$4), 1, 0, 2, if(ISBLANK('2025'!$P167), 0, 1), 3, if(ISBLANK('2025'!$Q167), 0, 1), 4, if(ISBLANK('2025'!$R167), 0, 1), 5, if(ISBLANK('2025'!$S167), 0, 1), 6, if(ISBLANK('2025'!$T167), 0, 1), 7, 0))), 1, "")</f>
        <v/>
      </c>
      <c r="AD169" s="1" t="str">
        <f>IF(AND(AND(AND(AD$4&gt;='2025'!$L167,AD$4&lt;='2025'!$M167), AD$4&lt;&gt;DATE(2025,7,4)), (SWITCH(weekday(AD$4), 1, 0, 2, if(ISBLANK('2025'!$P167), 0, 1), 3, if(ISBLANK('2025'!$Q167), 0, 1), 4, if(ISBLANK('2025'!$R167), 0, 1), 5, if(ISBLANK('2025'!$S167), 0, 1), 6, if(ISBLANK('2025'!$T167), 0, 1), 7, 0))), 1, "")</f>
        <v/>
      </c>
      <c r="AE169" s="1" t="str">
        <f>IF(AND(AND(AND(AE$4&gt;='2025'!$L167,AE$4&lt;='2025'!$M167), AE$4&lt;&gt;DATE(2025,7,4)), (SWITCH(weekday(AE$4), 1, 0, 2, if(ISBLANK('2025'!$P167), 0, 1), 3, if(ISBLANK('2025'!$Q167), 0, 1), 4, if(ISBLANK('2025'!$R167), 0, 1), 5, if(ISBLANK('2025'!$S167), 0, 1), 6, if(ISBLANK('2025'!$T167), 0, 1), 7, 0))), 1, "")</f>
        <v/>
      </c>
      <c r="AF169" s="1" t="str">
        <f>IF(AND(AND(AND(AF$4&gt;='2025'!$L167,AF$4&lt;='2025'!$M167), AF$4&lt;&gt;DATE(2025,7,4)), (SWITCH(weekday(AF$4), 1, 0, 2, if(ISBLANK('2025'!$P167), 0, 1), 3, if(ISBLANK('2025'!$Q167), 0, 1), 4, if(ISBLANK('2025'!$R167), 0, 1), 5, if(ISBLANK('2025'!$S167), 0, 1), 6, if(ISBLANK('2025'!$T167), 0, 1), 7, 0))), 1, "")</f>
        <v/>
      </c>
      <c r="AG169" s="1" t="str">
        <f>IF(AND(AND(AND(AG$4&gt;='2025'!$L167,AG$4&lt;='2025'!$M167), AG$4&lt;&gt;DATE(2025,7,4)), (SWITCH(weekday(AG$4), 1, 0, 2, if(ISBLANK('2025'!$P167), 0, 1), 3, if(ISBLANK('2025'!$Q167), 0, 1), 4, if(ISBLANK('2025'!$R167), 0, 1), 5, if(ISBLANK('2025'!$S167), 0, 1), 6, if(ISBLANK('2025'!$T167), 0, 1), 7, 0))), 1, "")</f>
        <v/>
      </c>
      <c r="AH169" s="1" t="str">
        <f>IF(AND(AND(AND(AH$4&gt;='2025'!$L167,AH$4&lt;='2025'!$M167), AH$4&lt;&gt;DATE(2025,7,4)), (SWITCH(weekday(AH$4), 1, 0, 2, if(ISBLANK('2025'!$P167), 0, 1), 3, if(ISBLANK('2025'!$Q167), 0, 1), 4, if(ISBLANK('2025'!$R167), 0, 1), 5, if(ISBLANK('2025'!$S167), 0, 1), 6, if(ISBLANK('2025'!$T167), 0, 1), 7, 0))), 1, "")</f>
        <v/>
      </c>
      <c r="AI169" s="1" t="str">
        <f>IF(AND(AND(AND(AI$4&gt;='2025'!$L167,AI$4&lt;='2025'!$M167), AI$4&lt;&gt;DATE(2025,7,4)), (SWITCH(weekday(AI$4), 1, 0, 2, if(ISBLANK('2025'!$P167), 0, 1), 3, if(ISBLANK('2025'!$Q167), 0, 1), 4, if(ISBLANK('2025'!$R167), 0, 1), 5, if(ISBLANK('2025'!$S167), 0, 1), 6, if(ISBLANK('2025'!$T167), 0, 1), 7, 0))), 1, "")</f>
        <v/>
      </c>
      <c r="AJ169" s="1" t="str">
        <f>IF(AND(AND(AND(AJ$4&gt;='2025'!$L167,AJ$4&lt;='2025'!$M167), AJ$4&lt;&gt;DATE(2025,7,4)), (SWITCH(weekday(AJ$4), 1, 0, 2, if(ISBLANK('2025'!$P167), 0, 1), 3, if(ISBLANK('2025'!$Q167), 0, 1), 4, if(ISBLANK('2025'!$R167), 0, 1), 5, if(ISBLANK('2025'!$S167), 0, 1), 6, if(ISBLANK('2025'!$T167), 0, 1), 7, 0))), 1, "")</f>
        <v/>
      </c>
      <c r="AK169" s="1" t="str">
        <f>IF(AND(AND(AND(AK$4&gt;='2025'!$L167,AK$4&lt;='2025'!$M167), AK$4&lt;&gt;DATE(2025,7,4)), (SWITCH(weekday(AK$4), 1, 0, 2, if(ISBLANK('2025'!$P167), 0, 1), 3, if(ISBLANK('2025'!$Q167), 0, 1), 4, if(ISBLANK('2025'!$R167), 0, 1), 5, if(ISBLANK('2025'!$S167), 0, 1), 6, if(ISBLANK('2025'!$T167), 0, 1), 7, 0))), 1, "")</f>
        <v/>
      </c>
      <c r="AL169" s="1" t="str">
        <f>IF(AND(AND(AND(AL$4&gt;='2025'!$L167,AL$4&lt;='2025'!$M167), AL$4&lt;&gt;DATE(2025,7,4)), (SWITCH(weekday(AL$4), 1, 0, 2, if(ISBLANK('2025'!$P167), 0, 1), 3, if(ISBLANK('2025'!$Q167), 0, 1), 4, if(ISBLANK('2025'!$R167), 0, 1), 5, if(ISBLANK('2025'!$S167), 0, 1), 6, if(ISBLANK('2025'!$T167), 0, 1), 7, 0))), 1, "")</f>
        <v/>
      </c>
      <c r="AM169" s="1" t="str">
        <f>IF(AND(AND(AND(AM$4&gt;='2025'!$L167,AM$4&lt;='2025'!$M167), AM$4&lt;&gt;DATE(2025,7,4)), (SWITCH(weekday(AM$4), 1, 0, 2, if(ISBLANK('2025'!$P167), 0, 1), 3, if(ISBLANK('2025'!$Q167), 0, 1), 4, if(ISBLANK('2025'!$R167), 0, 1), 5, if(ISBLANK('2025'!$S167), 0, 1), 6, if(ISBLANK('2025'!$T167), 0, 1), 7, 0))), 1, "")</f>
        <v/>
      </c>
      <c r="AN169" s="1" t="str">
        <f>IF(AND(AND(AND(AN$4&gt;='2025'!$L167,AN$4&lt;='2025'!$M167), AN$4&lt;&gt;DATE(2025,7,4)), (SWITCH(weekday(AN$4), 1, 0, 2, if(ISBLANK('2025'!$P167), 0, 1), 3, if(ISBLANK('2025'!$Q167), 0, 1), 4, if(ISBLANK('2025'!$R167), 0, 1), 5, if(ISBLANK('2025'!$S167), 0, 1), 6, if(ISBLANK('2025'!$T167), 0, 1), 7, 0))), 1, "")</f>
        <v/>
      </c>
      <c r="AO169" s="1" t="str">
        <f>IF(AND(AND(AND(AO$4&gt;='2025'!$L167,AO$4&lt;='2025'!$M167), AO$4&lt;&gt;DATE(2025,7,4)), (SWITCH(weekday(AO$4), 1, 0, 2, if(ISBLANK('2025'!$P167), 0, 1), 3, if(ISBLANK('2025'!$Q167), 0, 1), 4, if(ISBLANK('2025'!$R167), 0, 1), 5, if(ISBLANK('2025'!$S167), 0, 1), 6, if(ISBLANK('2025'!$T167), 0, 1), 7, 0))), 1, "")</f>
        <v/>
      </c>
      <c r="AP169" s="1" t="str">
        <f>IF(AND(AND(AND(AP$4&gt;='2025'!$L167,AP$4&lt;='2025'!$M167), AP$4&lt;&gt;DATE(2025,7,4)), (SWITCH(weekday(AP$4), 1, 0, 2, if(ISBLANK('2025'!$P167), 0, 1), 3, if(ISBLANK('2025'!$Q167), 0, 1), 4, if(ISBLANK('2025'!$R167), 0, 1), 5, if(ISBLANK('2025'!$S167), 0, 1), 6, if(ISBLANK('2025'!$T167), 0, 1), 7, 0))), 1, "")</f>
        <v/>
      </c>
      <c r="AQ169" s="1" t="str">
        <f>IF(AND(AND(AND(AQ$4&gt;='2025'!$L167,AQ$4&lt;='2025'!$M167), AQ$4&lt;&gt;DATE(2025,7,4)), (SWITCH(weekday(AQ$4), 1, 0, 2, if(ISBLANK('2025'!$P167), 0, 1), 3, if(ISBLANK('2025'!$Q167), 0, 1), 4, if(ISBLANK('2025'!$R167), 0, 1), 5, if(ISBLANK('2025'!$S167), 0, 1), 6, if(ISBLANK('2025'!$T167), 0, 1), 7, 0))), 1, "")</f>
        <v/>
      </c>
      <c r="AR169" s="1" t="str">
        <f>IF(AND(AND(AND(AR$4&gt;='2025'!$L167,AR$4&lt;='2025'!$M167), AR$4&lt;&gt;DATE(2025,7,4)), (SWITCH(weekday(AR$4), 1, 0, 2, if(ISBLANK('2025'!$P167), 0, 1), 3, if(ISBLANK('2025'!$Q167), 0, 1), 4, if(ISBLANK('2025'!$R167), 0, 1), 5, if(ISBLANK('2025'!$S167), 0, 1), 6, if(ISBLANK('2025'!$T167), 0, 1), 7, 0))), 1, "")</f>
        <v/>
      </c>
      <c r="AS169" s="1" t="str">
        <f>IF(AND(AND(AND(AS$4&gt;='2025'!$L167,AS$4&lt;='2025'!$M167), AS$4&lt;&gt;DATE(2025,7,4)), (SWITCH(weekday(AS$4), 1, 0, 2, if(ISBLANK('2025'!$P167), 0, 1), 3, if(ISBLANK('2025'!$Q167), 0, 1), 4, if(ISBLANK('2025'!$R167), 0, 1), 5, if(ISBLANK('2025'!$S167), 0, 1), 6, if(ISBLANK('2025'!$T167), 0, 1), 7, 0))), 1, "")</f>
        <v/>
      </c>
      <c r="AT169" s="1" t="str">
        <f>IF(AND(AND(AND(AT$4&gt;='2025'!$L167,AT$4&lt;='2025'!$M167), AT$4&lt;&gt;DATE(2025,7,4)), (SWITCH(weekday(AT$4), 1, 0, 2, if(ISBLANK('2025'!$P167), 0, 1), 3, if(ISBLANK('2025'!$Q167), 0, 1), 4, if(ISBLANK('2025'!$R167), 0, 1), 5, if(ISBLANK('2025'!$S167), 0, 1), 6, if(ISBLANK('2025'!$T167), 0, 1), 7, 0))), 1, "")</f>
        <v/>
      </c>
      <c r="AU169" s="1" t="str">
        <f>IF(AND(AND(AND(AU$4&gt;='2025'!$L167,AU$4&lt;='2025'!$M167), AU$4&lt;&gt;DATE(2025,7,4)), (SWITCH(weekday(AU$4), 1, 0, 2, if(ISBLANK('2025'!$P167), 0, 1), 3, if(ISBLANK('2025'!$Q167), 0, 1), 4, if(ISBLANK('2025'!$R167), 0, 1), 5, if(ISBLANK('2025'!$S167), 0, 1), 6, if(ISBLANK('2025'!$T167), 0, 1), 7, 0))), 1, "")</f>
        <v/>
      </c>
      <c r="AV169" s="1" t="str">
        <f>IF(AND(AND(AND(AV$4&gt;='2025'!$L167,AV$4&lt;='2025'!$M167), AV$4&lt;&gt;DATE(2025,7,4)), (SWITCH(weekday(AV$4), 1, 0, 2, if(ISBLANK('2025'!$P167), 0, 1), 3, if(ISBLANK('2025'!$Q167), 0, 1), 4, if(ISBLANK('2025'!$R167), 0, 1), 5, if(ISBLANK('2025'!$S167), 0, 1), 6, if(ISBLANK('2025'!$T167), 0, 1), 7, 0))), 1, "")</f>
        <v/>
      </c>
      <c r="AW169" s="1" t="str">
        <f>IF(AND(AND(AND(AW$4&gt;='2025'!$L167,AW$4&lt;='2025'!$M167), AW$4&lt;&gt;DATE(2025,7,4)), (SWITCH(weekday(AW$4), 1, 0, 2, if(ISBLANK('2025'!$P167), 0, 1), 3, if(ISBLANK('2025'!$Q167), 0, 1), 4, if(ISBLANK('2025'!$R167), 0, 1), 5, if(ISBLANK('2025'!$S167), 0, 1), 6, if(ISBLANK('2025'!$T167), 0, 1), 7, 0))), 1, "")</f>
        <v/>
      </c>
      <c r="AX169" s="1" t="str">
        <f>IF(AND(AND(AND(AX$4&gt;='2025'!$L167,AX$4&lt;='2025'!$M167), AX$4&lt;&gt;DATE(2025,7,4)), (SWITCH(weekday(AX$4), 1, 0, 2, if(ISBLANK('2025'!$P167), 0, 1), 3, if(ISBLANK('2025'!$Q167), 0, 1), 4, if(ISBLANK('2025'!$R167), 0, 1), 5, if(ISBLANK('2025'!$S167), 0, 1), 6, if(ISBLANK('2025'!$T167), 0, 1), 7, 0))), 1, "")</f>
        <v/>
      </c>
      <c r="AY169" s="1" t="str">
        <f>IF(AND(AND(AND(AY$4&gt;='2025'!$L167,AY$4&lt;='2025'!$M167), AY$4&lt;&gt;DATE(2025,7,4)), (SWITCH(weekday(AY$4), 1, 0, 2, if(ISBLANK('2025'!$P167), 0, 1), 3, if(ISBLANK('2025'!$Q167), 0, 1), 4, if(ISBLANK('2025'!$R167), 0, 1), 5, if(ISBLANK('2025'!$S167), 0, 1), 6, if(ISBLANK('2025'!$T167), 0, 1), 7, 0))), 1, "")</f>
        <v/>
      </c>
      <c r="AZ169" s="1" t="str">
        <f>IF(AND(AND(AND(AZ$4&gt;='2025'!$L167,AZ$4&lt;='2025'!$M167), AZ$4&lt;&gt;DATE(2025,7,4)), (SWITCH(weekday(AZ$4), 1, 0, 2, if(ISBLANK('2025'!$P167), 0, 1), 3, if(ISBLANK('2025'!$Q167), 0, 1), 4, if(ISBLANK('2025'!$R167), 0, 1), 5, if(ISBLANK('2025'!$S167), 0, 1), 6, if(ISBLANK('2025'!$T167), 0, 1), 7, 0))), 1, "")</f>
        <v/>
      </c>
      <c r="BA169" s="1" t="str">
        <f>IF(AND(AND(AND(BA$4&gt;='2025'!$L167,BA$4&lt;='2025'!$M167), BA$4&lt;&gt;DATE(2025,7,4)), (SWITCH(weekday(BA$4), 1, 0, 2, if(ISBLANK('2025'!$P167), 0, 1), 3, if(ISBLANK('2025'!$Q167), 0, 1), 4, if(ISBLANK('2025'!$R167), 0, 1), 5, if(ISBLANK('2025'!$S167), 0, 1), 6, if(ISBLANK('2025'!$T167), 0, 1), 7, 0))), 1, "")</f>
        <v/>
      </c>
      <c r="BB169" s="1" t="str">
        <f>IF(AND(AND(AND(BB$4&gt;='2025'!$L167,BB$4&lt;='2025'!$M167), BB$4&lt;&gt;DATE(2025,7,4)), (SWITCH(weekday(BB$4), 1, 0, 2, if(ISBLANK('2025'!$P167), 0, 1), 3, if(ISBLANK('2025'!$Q167), 0, 1), 4, if(ISBLANK('2025'!$R167), 0, 1), 5, if(ISBLANK('2025'!$S167), 0, 1), 6, if(ISBLANK('2025'!$T167), 0, 1), 7, 0))), 1, "")</f>
        <v/>
      </c>
      <c r="BC169" s="1" t="str">
        <f>IF(AND(AND(AND(BC$4&gt;='2025'!$L167,BC$4&lt;='2025'!$M167), BC$4&lt;&gt;DATE(2025,7,4)), (SWITCH(weekday(BC$4), 1, 0, 2, if(ISBLANK('2025'!$P167), 0, 1), 3, if(ISBLANK('2025'!$Q167), 0, 1), 4, if(ISBLANK('2025'!$R167), 0, 1), 5, if(ISBLANK('2025'!$S167), 0, 1), 6, if(ISBLANK('2025'!$T167), 0, 1), 7, 0))), 1, "")</f>
        <v/>
      </c>
      <c r="BD169" s="1" t="str">
        <f>IF(AND(AND(AND(BD$4&gt;='2025'!$L167,BD$4&lt;='2025'!$M167), BD$4&lt;&gt;DATE(2025,7,4)), (SWITCH(weekday(BD$4), 1, 0, 2, if(ISBLANK('2025'!$P167), 0, 1), 3, if(ISBLANK('2025'!$Q167), 0, 1), 4, if(ISBLANK('2025'!$R167), 0, 1), 5, if(ISBLANK('2025'!$S167), 0, 1), 6, if(ISBLANK('2025'!$T167), 0, 1), 7, 0))), 1, "")</f>
        <v/>
      </c>
      <c r="BE169" s="1" t="str">
        <f>IF(AND(AND(AND(BE$4&gt;='2025'!$L167,BE$4&lt;='2025'!$M167), BE$4&lt;&gt;DATE(2025,7,4)), (SWITCH(weekday(BE$4), 1, 0, 2, if(ISBLANK('2025'!$P167), 0, 1), 3, if(ISBLANK('2025'!$Q167), 0, 1), 4, if(ISBLANK('2025'!$R167), 0, 1), 5, if(ISBLANK('2025'!$S167), 0, 1), 6, if(ISBLANK('2025'!$T167), 0, 1), 7, 0))), 1, "")</f>
        <v/>
      </c>
      <c r="BF169" s="1" t="str">
        <f>IF(AND(AND(AND(BF$4&gt;='2025'!$L167,BF$4&lt;='2025'!$M167), BF$4&lt;&gt;DATE(2025,7,4)), (SWITCH(weekday(BF$4), 1, 0, 2, if(ISBLANK('2025'!$P167), 0, 1), 3, if(ISBLANK('2025'!$Q167), 0, 1), 4, if(ISBLANK('2025'!$R167), 0, 1), 5, if(ISBLANK('2025'!$S167), 0, 1), 6, if(ISBLANK('2025'!$T167), 0, 1), 7, 0))), 1, "")</f>
        <v/>
      </c>
      <c r="BG169" s="1"/>
      <c r="BH169" s="1"/>
      <c r="BI169" s="1"/>
      <c r="BJ169" s="1"/>
      <c r="BK169" s="1"/>
      <c r="BL169" s="1"/>
    </row>
    <row r="170">
      <c r="A170" s="1">
        <f t="shared" si="3"/>
        <v>170</v>
      </c>
      <c r="B170" s="1" t="str">
        <f>'2025'!D134</f>
        <v>, </v>
      </c>
      <c r="C170" s="1" t="str">
        <f>'2025'!H134</f>
        <v/>
      </c>
      <c r="D170" s="1" t="str">
        <f>IF(AND(AND(AND(D$4&gt;='2025'!$L168,D$4&lt;='2025'!$M168), D$4&lt;&gt;DATE(2025,7,4)), (SWITCH(weekday(D$4), 1, 0, 2, if(ISBLANK('2025'!$P168), 0, 1), 3, if(ISBLANK('2025'!$Q168), 0, 1), 4, if(ISBLANK('2025'!$R168), 0, 1), 5, if(ISBLANK('2025'!$S168), 0, 1), 6, if(ISBLANK('2025'!$T168), 0, 1), 7, 0))), 1, "")</f>
        <v/>
      </c>
      <c r="E170" s="1" t="str">
        <f>IF(AND(AND(AND(E$4&gt;='2025'!$L168,E$4&lt;='2025'!$M168), E$4&lt;&gt;DATE(2025,7,4)), (SWITCH(weekday(E$4), 1, 0, 2, if(ISBLANK('2025'!$P168), 0, 1), 3, if(ISBLANK('2025'!$Q168), 0, 1), 4, if(ISBLANK('2025'!$R168), 0, 1), 5, if(ISBLANK('2025'!$S168), 0, 1), 6, if(ISBLANK('2025'!$T168), 0, 1), 7, 0))), 1, "")</f>
        <v/>
      </c>
      <c r="F170" s="1" t="str">
        <f>IF(AND(AND(AND(F$4&gt;='2025'!$L168,F$4&lt;='2025'!$M168), F$4&lt;&gt;DATE(2025,7,4)), (SWITCH(weekday(F$4), 1, 0, 2, if(ISBLANK('2025'!$P168), 0, 1), 3, if(ISBLANK('2025'!$Q168), 0, 1), 4, if(ISBLANK('2025'!$R168), 0, 1), 5, if(ISBLANK('2025'!$S168), 0, 1), 6, if(ISBLANK('2025'!$T168), 0, 1), 7, 0))), 1, "")</f>
        <v/>
      </c>
      <c r="G170" s="1" t="str">
        <f>IF(AND(AND(AND(G$4&gt;='2025'!$L168,G$4&lt;='2025'!$M168), G$4&lt;&gt;DATE(2025,7,4)), (SWITCH(weekday(G$4), 1, 0, 2, if(ISBLANK('2025'!$P168), 0, 1), 3, if(ISBLANK('2025'!$Q168), 0, 1), 4, if(ISBLANK('2025'!$R168), 0, 1), 5, if(ISBLANK('2025'!$S168), 0, 1), 6, if(ISBLANK('2025'!$T168), 0, 1), 7, 0))), 1, "")</f>
        <v/>
      </c>
      <c r="H170" s="1" t="str">
        <f>IF(AND(AND(AND(H$4&gt;='2025'!$L168,H$4&lt;='2025'!$M168), H$4&lt;&gt;DATE(2025,7,4)), (SWITCH(weekday(H$4), 1, 0, 2, if(ISBLANK('2025'!$P168), 0, 1), 3, if(ISBLANK('2025'!$Q168), 0, 1), 4, if(ISBLANK('2025'!$R168), 0, 1), 5, if(ISBLANK('2025'!$S168), 0, 1), 6, if(ISBLANK('2025'!$T168), 0, 1), 7, 0))), 1, "")</f>
        <v/>
      </c>
      <c r="I170" s="1" t="str">
        <f>IF(AND(AND(AND(I$4&gt;='2025'!$L168,I$4&lt;='2025'!$M168), I$4&lt;&gt;DATE(2025,7,4)), (SWITCH(weekday(I$4), 1, 0, 2, if(ISBLANK('2025'!$P168), 0, 1), 3, if(ISBLANK('2025'!$Q168), 0, 1), 4, if(ISBLANK('2025'!$R168), 0, 1), 5, if(ISBLANK('2025'!$S168), 0, 1), 6, if(ISBLANK('2025'!$T168), 0, 1), 7, 0))), 1, "")</f>
        <v/>
      </c>
      <c r="J170" s="1" t="str">
        <f>IF(AND(AND(AND(J$4&gt;='2025'!$L168,J$4&lt;='2025'!$M168), J$4&lt;&gt;DATE(2025,7,4)), (SWITCH(weekday(J$4), 1, 0, 2, if(ISBLANK('2025'!$P168), 0, 1), 3, if(ISBLANK('2025'!$Q168), 0, 1), 4, if(ISBLANK('2025'!$R168), 0, 1), 5, if(ISBLANK('2025'!$S168), 0, 1), 6, if(ISBLANK('2025'!$T168), 0, 1), 7, 0))), 1, "")</f>
        <v/>
      </c>
      <c r="K170" s="1" t="str">
        <f>IF(AND(AND(AND(K$4&gt;='2025'!$L168,K$4&lt;='2025'!$M168), K$4&lt;&gt;DATE(2025,7,4)), (SWITCH(weekday(K$4), 1, 0, 2, if(ISBLANK('2025'!$P168), 0, 1), 3, if(ISBLANK('2025'!$Q168), 0, 1), 4, if(ISBLANK('2025'!$R168), 0, 1), 5, if(ISBLANK('2025'!$S168), 0, 1), 6, if(ISBLANK('2025'!$T168), 0, 1), 7, 0))), 1, "")</f>
        <v/>
      </c>
      <c r="L170" s="1" t="str">
        <f>IF(AND(AND(AND(L$4&gt;='2025'!$L168,L$4&lt;='2025'!$M168), L$4&lt;&gt;DATE(2025,7,4)), (SWITCH(weekday(L$4), 1, 0, 2, if(ISBLANK('2025'!$P168), 0, 1), 3, if(ISBLANK('2025'!$Q168), 0, 1), 4, if(ISBLANK('2025'!$R168), 0, 1), 5, if(ISBLANK('2025'!$S168), 0, 1), 6, if(ISBLANK('2025'!$T168), 0, 1), 7, 0))), 1, "")</f>
        <v/>
      </c>
      <c r="M170" s="1" t="str">
        <f>IF(AND(AND(AND(M$4&gt;='2025'!$L168,M$4&lt;='2025'!$M168), M$4&lt;&gt;DATE(2025,7,4)), (SWITCH(weekday(M$4), 1, 0, 2, if(ISBLANK('2025'!$P168), 0, 1), 3, if(ISBLANK('2025'!$Q168), 0, 1), 4, if(ISBLANK('2025'!$R168), 0, 1), 5, if(ISBLANK('2025'!$S168), 0, 1), 6, if(ISBLANK('2025'!$T168), 0, 1), 7, 0))), 1, "")</f>
        <v/>
      </c>
      <c r="N170" s="1" t="str">
        <f>IF(AND(AND(AND(N$4&gt;='2025'!$L168,N$4&lt;='2025'!$M168), N$4&lt;&gt;DATE(2025,7,4)), (SWITCH(weekday(N$4), 1, 0, 2, if(ISBLANK('2025'!$P168), 0, 1), 3, if(ISBLANK('2025'!$Q168), 0, 1), 4, if(ISBLANK('2025'!$R168), 0, 1), 5, if(ISBLANK('2025'!$S168), 0, 1), 6, if(ISBLANK('2025'!$T168), 0, 1), 7, 0))), 1, "")</f>
        <v/>
      </c>
      <c r="O170" s="1" t="str">
        <f>IF(AND(AND(AND(O$4&gt;='2025'!$L168,O$4&lt;='2025'!$M168), O$4&lt;&gt;DATE(2025,7,4)), (SWITCH(weekday(O$4), 1, 0, 2, if(ISBLANK('2025'!$P168), 0, 1), 3, if(ISBLANK('2025'!$Q168), 0, 1), 4, if(ISBLANK('2025'!$R168), 0, 1), 5, if(ISBLANK('2025'!$S168), 0, 1), 6, if(ISBLANK('2025'!$T168), 0, 1), 7, 0))), 1, "")</f>
        <v/>
      </c>
      <c r="P170" s="1" t="str">
        <f>IF(AND(AND(AND(P$4&gt;='2025'!$L168,P$4&lt;='2025'!$M168), P$4&lt;&gt;DATE(2025,7,4)), (SWITCH(weekday(P$4), 1, 0, 2, if(ISBLANK('2025'!$P168), 0, 1), 3, if(ISBLANK('2025'!$Q168), 0, 1), 4, if(ISBLANK('2025'!$R168), 0, 1), 5, if(ISBLANK('2025'!$S168), 0, 1), 6, if(ISBLANK('2025'!$T168), 0, 1), 7, 0))), 1, "")</f>
        <v/>
      </c>
      <c r="Q170" s="1" t="str">
        <f>IF(AND(AND(AND(Q$4&gt;='2025'!$L168,Q$4&lt;='2025'!$M168), Q$4&lt;&gt;DATE(2025,7,4)), (SWITCH(weekday(Q$4), 1, 0, 2, if(ISBLANK('2025'!$P168), 0, 1), 3, if(ISBLANK('2025'!$Q168), 0, 1), 4, if(ISBLANK('2025'!$R168), 0, 1), 5, if(ISBLANK('2025'!$S168), 0, 1), 6, if(ISBLANK('2025'!$T168), 0, 1), 7, 0))), 1, "")</f>
        <v/>
      </c>
      <c r="R170" s="1" t="str">
        <f>IF(AND(AND(AND(R$4&gt;='2025'!$L168,R$4&lt;='2025'!$M168), R$4&lt;&gt;DATE(2025,7,4)), (SWITCH(weekday(R$4), 1, 0, 2, if(ISBLANK('2025'!$P168), 0, 1), 3, if(ISBLANK('2025'!$Q168), 0, 1), 4, if(ISBLANK('2025'!$R168), 0, 1), 5, if(ISBLANK('2025'!$S168), 0, 1), 6, if(ISBLANK('2025'!$T168), 0, 1), 7, 0))), 1, "")</f>
        <v/>
      </c>
      <c r="S170" s="1" t="str">
        <f>IF(AND(AND(AND(S$4&gt;='2025'!$L168,S$4&lt;='2025'!$M168), S$4&lt;&gt;DATE(2025,7,4)), (SWITCH(weekday(S$4), 1, 0, 2, if(ISBLANK('2025'!$P168), 0, 1), 3, if(ISBLANK('2025'!$Q168), 0, 1), 4, if(ISBLANK('2025'!$R168), 0, 1), 5, if(ISBLANK('2025'!$S168), 0, 1), 6, if(ISBLANK('2025'!$T168), 0, 1), 7, 0))), 1, "")</f>
        <v/>
      </c>
      <c r="T170" s="1" t="str">
        <f>IF(AND(AND(AND(T$4&gt;='2025'!$L168,T$4&lt;='2025'!$M168), T$4&lt;&gt;DATE(2025,7,4)), (SWITCH(weekday(T$4), 1, 0, 2, if(ISBLANK('2025'!$P168), 0, 1), 3, if(ISBLANK('2025'!$Q168), 0, 1), 4, if(ISBLANK('2025'!$R168), 0, 1), 5, if(ISBLANK('2025'!$S168), 0, 1), 6, if(ISBLANK('2025'!$T168), 0, 1), 7, 0))), 1, "")</f>
        <v/>
      </c>
      <c r="U170" s="1" t="str">
        <f>IF(AND(AND(AND(U$4&gt;='2025'!$L168,U$4&lt;='2025'!$M168), U$4&lt;&gt;DATE(2025,7,4)), (SWITCH(weekday(U$4), 1, 0, 2, if(ISBLANK('2025'!$P168), 0, 1), 3, if(ISBLANK('2025'!$Q168), 0, 1), 4, if(ISBLANK('2025'!$R168), 0, 1), 5, if(ISBLANK('2025'!$S168), 0, 1), 6, if(ISBLANK('2025'!$T168), 0, 1), 7, 0))), 1, "")</f>
        <v/>
      </c>
      <c r="V170" s="1" t="str">
        <f>IF(AND(AND(AND(V$4&gt;='2025'!$L168,V$4&lt;='2025'!$M168), V$4&lt;&gt;DATE(2025,7,4)), (SWITCH(weekday(V$4), 1, 0, 2, if(ISBLANK('2025'!$P168), 0, 1), 3, if(ISBLANK('2025'!$Q168), 0, 1), 4, if(ISBLANK('2025'!$R168), 0, 1), 5, if(ISBLANK('2025'!$S168), 0, 1), 6, if(ISBLANK('2025'!$T168), 0, 1), 7, 0))), 1, "")</f>
        <v/>
      </c>
      <c r="W170" s="1" t="str">
        <f>IF(AND(AND(AND(W$4&gt;='2025'!$L168,W$4&lt;='2025'!$M168), W$4&lt;&gt;DATE(2025,7,4)), (SWITCH(weekday(W$4), 1, 0, 2, if(ISBLANK('2025'!$P168), 0, 1), 3, if(ISBLANK('2025'!$Q168), 0, 1), 4, if(ISBLANK('2025'!$R168), 0, 1), 5, if(ISBLANK('2025'!$S168), 0, 1), 6, if(ISBLANK('2025'!$T168), 0, 1), 7, 0))), 1, "")</f>
        <v/>
      </c>
      <c r="X170" s="1" t="str">
        <f>IF(AND(AND(AND(X$4&gt;='2025'!$L168,X$4&lt;='2025'!$M168), X$4&lt;&gt;DATE(2025,7,4)), (SWITCH(weekday(X$4), 1, 0, 2, if(ISBLANK('2025'!$P168), 0, 1), 3, if(ISBLANK('2025'!$Q168), 0, 1), 4, if(ISBLANK('2025'!$R168), 0, 1), 5, if(ISBLANK('2025'!$S168), 0, 1), 6, if(ISBLANK('2025'!$T168), 0, 1), 7, 0))), 1, "")</f>
        <v/>
      </c>
      <c r="Y170" s="1" t="str">
        <f>IF(AND(AND(AND(Y$4&gt;='2025'!$L168,Y$4&lt;='2025'!$M168), Y$4&lt;&gt;DATE(2025,7,4)), (SWITCH(weekday(Y$4), 1, 0, 2, if(ISBLANK('2025'!$P168), 0, 1), 3, if(ISBLANK('2025'!$Q168), 0, 1), 4, if(ISBLANK('2025'!$R168), 0, 1), 5, if(ISBLANK('2025'!$S168), 0, 1), 6, if(ISBLANK('2025'!$T168), 0, 1), 7, 0))), 1, "")</f>
        <v/>
      </c>
      <c r="Z170" s="1" t="str">
        <f>IF(AND(AND(AND(Z$4&gt;='2025'!$L168,Z$4&lt;='2025'!$M168), Z$4&lt;&gt;DATE(2025,7,4)), (SWITCH(weekday(Z$4), 1, 0, 2, if(ISBLANK('2025'!$P168), 0, 1), 3, if(ISBLANK('2025'!$Q168), 0, 1), 4, if(ISBLANK('2025'!$R168), 0, 1), 5, if(ISBLANK('2025'!$S168), 0, 1), 6, if(ISBLANK('2025'!$T168), 0, 1), 7, 0))), 1, "")</f>
        <v/>
      </c>
      <c r="AA170" s="1" t="str">
        <f>IF(AND(AND(AND(AA$4&gt;='2025'!$L168,AA$4&lt;='2025'!$M168), AA$4&lt;&gt;DATE(2025,7,4)), (SWITCH(weekday(AA$4), 1, 0, 2, if(ISBLANK('2025'!$P168), 0, 1), 3, if(ISBLANK('2025'!$Q168), 0, 1), 4, if(ISBLANK('2025'!$R168), 0, 1), 5, if(ISBLANK('2025'!$S168), 0, 1), 6, if(ISBLANK('2025'!$T168), 0, 1), 7, 0))), 1, "")</f>
        <v/>
      </c>
      <c r="AB170" s="1" t="str">
        <f>IF(AND(AND(AND(AB$4&gt;='2025'!$L168,AB$4&lt;='2025'!$M168), AB$4&lt;&gt;DATE(2025,7,4)), (SWITCH(weekday(AB$4), 1, 0, 2, if(ISBLANK('2025'!$P168), 0, 1), 3, if(ISBLANK('2025'!$Q168), 0, 1), 4, if(ISBLANK('2025'!$R168), 0, 1), 5, if(ISBLANK('2025'!$S168), 0, 1), 6, if(ISBLANK('2025'!$T168), 0, 1), 7, 0))), 1, "")</f>
        <v/>
      </c>
      <c r="AC170" s="1" t="str">
        <f>IF(AND(AND(AND(AC$4&gt;='2025'!$L168,AC$4&lt;='2025'!$M168), AC$4&lt;&gt;DATE(2025,7,4)), (SWITCH(weekday(AC$4), 1, 0, 2, if(ISBLANK('2025'!$P168), 0, 1), 3, if(ISBLANK('2025'!$Q168), 0, 1), 4, if(ISBLANK('2025'!$R168), 0, 1), 5, if(ISBLANK('2025'!$S168), 0, 1), 6, if(ISBLANK('2025'!$T168), 0, 1), 7, 0))), 1, "")</f>
        <v/>
      </c>
      <c r="AD170" s="1" t="str">
        <f>IF(AND(AND(AND(AD$4&gt;='2025'!$L168,AD$4&lt;='2025'!$M168), AD$4&lt;&gt;DATE(2025,7,4)), (SWITCH(weekday(AD$4), 1, 0, 2, if(ISBLANK('2025'!$P168), 0, 1), 3, if(ISBLANK('2025'!$Q168), 0, 1), 4, if(ISBLANK('2025'!$R168), 0, 1), 5, if(ISBLANK('2025'!$S168), 0, 1), 6, if(ISBLANK('2025'!$T168), 0, 1), 7, 0))), 1, "")</f>
        <v/>
      </c>
      <c r="AE170" s="1" t="str">
        <f>IF(AND(AND(AND(AE$4&gt;='2025'!$L168,AE$4&lt;='2025'!$M168), AE$4&lt;&gt;DATE(2025,7,4)), (SWITCH(weekday(AE$4), 1, 0, 2, if(ISBLANK('2025'!$P168), 0, 1), 3, if(ISBLANK('2025'!$Q168), 0, 1), 4, if(ISBLANK('2025'!$R168), 0, 1), 5, if(ISBLANK('2025'!$S168), 0, 1), 6, if(ISBLANK('2025'!$T168), 0, 1), 7, 0))), 1, "")</f>
        <v/>
      </c>
      <c r="AF170" s="1" t="str">
        <f>IF(AND(AND(AND(AF$4&gt;='2025'!$L168,AF$4&lt;='2025'!$M168), AF$4&lt;&gt;DATE(2025,7,4)), (SWITCH(weekday(AF$4), 1, 0, 2, if(ISBLANK('2025'!$P168), 0, 1), 3, if(ISBLANK('2025'!$Q168), 0, 1), 4, if(ISBLANK('2025'!$R168), 0, 1), 5, if(ISBLANK('2025'!$S168), 0, 1), 6, if(ISBLANK('2025'!$T168), 0, 1), 7, 0))), 1, "")</f>
        <v/>
      </c>
      <c r="AG170" s="1" t="str">
        <f>IF(AND(AND(AND(AG$4&gt;='2025'!$L168,AG$4&lt;='2025'!$M168), AG$4&lt;&gt;DATE(2025,7,4)), (SWITCH(weekday(AG$4), 1, 0, 2, if(ISBLANK('2025'!$P168), 0, 1), 3, if(ISBLANK('2025'!$Q168), 0, 1), 4, if(ISBLANK('2025'!$R168), 0, 1), 5, if(ISBLANK('2025'!$S168), 0, 1), 6, if(ISBLANK('2025'!$T168), 0, 1), 7, 0))), 1, "")</f>
        <v/>
      </c>
      <c r="AH170" s="1" t="str">
        <f>IF(AND(AND(AND(AH$4&gt;='2025'!$L168,AH$4&lt;='2025'!$M168), AH$4&lt;&gt;DATE(2025,7,4)), (SWITCH(weekday(AH$4), 1, 0, 2, if(ISBLANK('2025'!$P168), 0, 1), 3, if(ISBLANK('2025'!$Q168), 0, 1), 4, if(ISBLANK('2025'!$R168), 0, 1), 5, if(ISBLANK('2025'!$S168), 0, 1), 6, if(ISBLANK('2025'!$T168), 0, 1), 7, 0))), 1, "")</f>
        <v/>
      </c>
      <c r="AI170" s="1" t="str">
        <f>IF(AND(AND(AND(AI$4&gt;='2025'!$L168,AI$4&lt;='2025'!$M168), AI$4&lt;&gt;DATE(2025,7,4)), (SWITCH(weekday(AI$4), 1, 0, 2, if(ISBLANK('2025'!$P168), 0, 1), 3, if(ISBLANK('2025'!$Q168), 0, 1), 4, if(ISBLANK('2025'!$R168), 0, 1), 5, if(ISBLANK('2025'!$S168), 0, 1), 6, if(ISBLANK('2025'!$T168), 0, 1), 7, 0))), 1, "")</f>
        <v/>
      </c>
      <c r="AJ170" s="1" t="str">
        <f>IF(AND(AND(AND(AJ$4&gt;='2025'!$L168,AJ$4&lt;='2025'!$M168), AJ$4&lt;&gt;DATE(2025,7,4)), (SWITCH(weekday(AJ$4), 1, 0, 2, if(ISBLANK('2025'!$P168), 0, 1), 3, if(ISBLANK('2025'!$Q168), 0, 1), 4, if(ISBLANK('2025'!$R168), 0, 1), 5, if(ISBLANK('2025'!$S168), 0, 1), 6, if(ISBLANK('2025'!$T168), 0, 1), 7, 0))), 1, "")</f>
        <v/>
      </c>
      <c r="AK170" s="1" t="str">
        <f>IF(AND(AND(AND(AK$4&gt;='2025'!$L168,AK$4&lt;='2025'!$M168), AK$4&lt;&gt;DATE(2025,7,4)), (SWITCH(weekday(AK$4), 1, 0, 2, if(ISBLANK('2025'!$P168), 0, 1), 3, if(ISBLANK('2025'!$Q168), 0, 1), 4, if(ISBLANK('2025'!$R168), 0, 1), 5, if(ISBLANK('2025'!$S168), 0, 1), 6, if(ISBLANK('2025'!$T168), 0, 1), 7, 0))), 1, "")</f>
        <v/>
      </c>
      <c r="AL170" s="1" t="str">
        <f>IF(AND(AND(AND(AL$4&gt;='2025'!$L168,AL$4&lt;='2025'!$M168), AL$4&lt;&gt;DATE(2025,7,4)), (SWITCH(weekday(AL$4), 1, 0, 2, if(ISBLANK('2025'!$P168), 0, 1), 3, if(ISBLANK('2025'!$Q168), 0, 1), 4, if(ISBLANK('2025'!$R168), 0, 1), 5, if(ISBLANK('2025'!$S168), 0, 1), 6, if(ISBLANK('2025'!$T168), 0, 1), 7, 0))), 1, "")</f>
        <v/>
      </c>
      <c r="AM170" s="1" t="str">
        <f>IF(AND(AND(AND(AM$4&gt;='2025'!$L168,AM$4&lt;='2025'!$M168), AM$4&lt;&gt;DATE(2025,7,4)), (SWITCH(weekday(AM$4), 1, 0, 2, if(ISBLANK('2025'!$P168), 0, 1), 3, if(ISBLANK('2025'!$Q168), 0, 1), 4, if(ISBLANK('2025'!$R168), 0, 1), 5, if(ISBLANK('2025'!$S168), 0, 1), 6, if(ISBLANK('2025'!$T168), 0, 1), 7, 0))), 1, "")</f>
        <v/>
      </c>
      <c r="AN170" s="1" t="str">
        <f>IF(AND(AND(AND(AN$4&gt;='2025'!$L168,AN$4&lt;='2025'!$M168), AN$4&lt;&gt;DATE(2025,7,4)), (SWITCH(weekday(AN$4), 1, 0, 2, if(ISBLANK('2025'!$P168), 0, 1), 3, if(ISBLANK('2025'!$Q168), 0, 1), 4, if(ISBLANK('2025'!$R168), 0, 1), 5, if(ISBLANK('2025'!$S168), 0, 1), 6, if(ISBLANK('2025'!$T168), 0, 1), 7, 0))), 1, "")</f>
        <v/>
      </c>
      <c r="AO170" s="1" t="str">
        <f>IF(AND(AND(AND(AO$4&gt;='2025'!$L168,AO$4&lt;='2025'!$M168), AO$4&lt;&gt;DATE(2025,7,4)), (SWITCH(weekday(AO$4), 1, 0, 2, if(ISBLANK('2025'!$P168), 0, 1), 3, if(ISBLANK('2025'!$Q168), 0, 1), 4, if(ISBLANK('2025'!$R168), 0, 1), 5, if(ISBLANK('2025'!$S168), 0, 1), 6, if(ISBLANK('2025'!$T168), 0, 1), 7, 0))), 1, "")</f>
        <v/>
      </c>
      <c r="AP170" s="1" t="str">
        <f>IF(AND(AND(AND(AP$4&gt;='2025'!$L168,AP$4&lt;='2025'!$M168), AP$4&lt;&gt;DATE(2025,7,4)), (SWITCH(weekday(AP$4), 1, 0, 2, if(ISBLANK('2025'!$P168), 0, 1), 3, if(ISBLANK('2025'!$Q168), 0, 1), 4, if(ISBLANK('2025'!$R168), 0, 1), 5, if(ISBLANK('2025'!$S168), 0, 1), 6, if(ISBLANK('2025'!$T168), 0, 1), 7, 0))), 1, "")</f>
        <v/>
      </c>
      <c r="AQ170" s="1" t="str">
        <f>IF(AND(AND(AND(AQ$4&gt;='2025'!$L168,AQ$4&lt;='2025'!$M168), AQ$4&lt;&gt;DATE(2025,7,4)), (SWITCH(weekday(AQ$4), 1, 0, 2, if(ISBLANK('2025'!$P168), 0, 1), 3, if(ISBLANK('2025'!$Q168), 0, 1), 4, if(ISBLANK('2025'!$R168), 0, 1), 5, if(ISBLANK('2025'!$S168), 0, 1), 6, if(ISBLANK('2025'!$T168), 0, 1), 7, 0))), 1, "")</f>
        <v/>
      </c>
      <c r="AR170" s="1" t="str">
        <f>IF(AND(AND(AND(AR$4&gt;='2025'!$L168,AR$4&lt;='2025'!$M168), AR$4&lt;&gt;DATE(2025,7,4)), (SWITCH(weekday(AR$4), 1, 0, 2, if(ISBLANK('2025'!$P168), 0, 1), 3, if(ISBLANK('2025'!$Q168), 0, 1), 4, if(ISBLANK('2025'!$R168), 0, 1), 5, if(ISBLANK('2025'!$S168), 0, 1), 6, if(ISBLANK('2025'!$T168), 0, 1), 7, 0))), 1, "")</f>
        <v/>
      </c>
      <c r="AS170" s="1" t="str">
        <f>IF(AND(AND(AND(AS$4&gt;='2025'!$L168,AS$4&lt;='2025'!$M168), AS$4&lt;&gt;DATE(2025,7,4)), (SWITCH(weekday(AS$4), 1, 0, 2, if(ISBLANK('2025'!$P168), 0, 1), 3, if(ISBLANK('2025'!$Q168), 0, 1), 4, if(ISBLANK('2025'!$R168), 0, 1), 5, if(ISBLANK('2025'!$S168), 0, 1), 6, if(ISBLANK('2025'!$T168), 0, 1), 7, 0))), 1, "")</f>
        <v/>
      </c>
      <c r="AT170" s="1" t="str">
        <f>IF(AND(AND(AND(AT$4&gt;='2025'!$L168,AT$4&lt;='2025'!$M168), AT$4&lt;&gt;DATE(2025,7,4)), (SWITCH(weekday(AT$4), 1, 0, 2, if(ISBLANK('2025'!$P168), 0, 1), 3, if(ISBLANK('2025'!$Q168), 0, 1), 4, if(ISBLANK('2025'!$R168), 0, 1), 5, if(ISBLANK('2025'!$S168), 0, 1), 6, if(ISBLANK('2025'!$T168), 0, 1), 7, 0))), 1, "")</f>
        <v/>
      </c>
      <c r="AU170" s="1" t="str">
        <f>IF(AND(AND(AND(AU$4&gt;='2025'!$L168,AU$4&lt;='2025'!$M168), AU$4&lt;&gt;DATE(2025,7,4)), (SWITCH(weekday(AU$4), 1, 0, 2, if(ISBLANK('2025'!$P168), 0, 1), 3, if(ISBLANK('2025'!$Q168), 0, 1), 4, if(ISBLANK('2025'!$R168), 0, 1), 5, if(ISBLANK('2025'!$S168), 0, 1), 6, if(ISBLANK('2025'!$T168), 0, 1), 7, 0))), 1, "")</f>
        <v/>
      </c>
      <c r="AV170" s="1" t="str">
        <f>IF(AND(AND(AND(AV$4&gt;='2025'!$L168,AV$4&lt;='2025'!$M168), AV$4&lt;&gt;DATE(2025,7,4)), (SWITCH(weekday(AV$4), 1, 0, 2, if(ISBLANK('2025'!$P168), 0, 1), 3, if(ISBLANK('2025'!$Q168), 0, 1), 4, if(ISBLANK('2025'!$R168), 0, 1), 5, if(ISBLANK('2025'!$S168), 0, 1), 6, if(ISBLANK('2025'!$T168), 0, 1), 7, 0))), 1, "")</f>
        <v/>
      </c>
      <c r="AW170" s="1" t="str">
        <f>IF(AND(AND(AND(AW$4&gt;='2025'!$L168,AW$4&lt;='2025'!$M168), AW$4&lt;&gt;DATE(2025,7,4)), (SWITCH(weekday(AW$4), 1, 0, 2, if(ISBLANK('2025'!$P168), 0, 1), 3, if(ISBLANK('2025'!$Q168), 0, 1), 4, if(ISBLANK('2025'!$R168), 0, 1), 5, if(ISBLANK('2025'!$S168), 0, 1), 6, if(ISBLANK('2025'!$T168), 0, 1), 7, 0))), 1, "")</f>
        <v/>
      </c>
      <c r="AX170" s="1" t="str">
        <f>IF(AND(AND(AND(AX$4&gt;='2025'!$L168,AX$4&lt;='2025'!$M168), AX$4&lt;&gt;DATE(2025,7,4)), (SWITCH(weekday(AX$4), 1, 0, 2, if(ISBLANK('2025'!$P168), 0, 1), 3, if(ISBLANK('2025'!$Q168), 0, 1), 4, if(ISBLANK('2025'!$R168), 0, 1), 5, if(ISBLANK('2025'!$S168), 0, 1), 6, if(ISBLANK('2025'!$T168), 0, 1), 7, 0))), 1, "")</f>
        <v/>
      </c>
      <c r="AY170" s="1" t="str">
        <f>IF(AND(AND(AND(AY$4&gt;='2025'!$L168,AY$4&lt;='2025'!$M168), AY$4&lt;&gt;DATE(2025,7,4)), (SWITCH(weekday(AY$4), 1, 0, 2, if(ISBLANK('2025'!$P168), 0, 1), 3, if(ISBLANK('2025'!$Q168), 0, 1), 4, if(ISBLANK('2025'!$R168), 0, 1), 5, if(ISBLANK('2025'!$S168), 0, 1), 6, if(ISBLANK('2025'!$T168), 0, 1), 7, 0))), 1, "")</f>
        <v/>
      </c>
      <c r="AZ170" s="1" t="str">
        <f>IF(AND(AND(AND(AZ$4&gt;='2025'!$L168,AZ$4&lt;='2025'!$M168), AZ$4&lt;&gt;DATE(2025,7,4)), (SWITCH(weekday(AZ$4), 1, 0, 2, if(ISBLANK('2025'!$P168), 0, 1), 3, if(ISBLANK('2025'!$Q168), 0, 1), 4, if(ISBLANK('2025'!$R168), 0, 1), 5, if(ISBLANK('2025'!$S168), 0, 1), 6, if(ISBLANK('2025'!$T168), 0, 1), 7, 0))), 1, "")</f>
        <v/>
      </c>
      <c r="BA170" s="1" t="str">
        <f>IF(AND(AND(AND(BA$4&gt;='2025'!$L168,BA$4&lt;='2025'!$M168), BA$4&lt;&gt;DATE(2025,7,4)), (SWITCH(weekday(BA$4), 1, 0, 2, if(ISBLANK('2025'!$P168), 0, 1), 3, if(ISBLANK('2025'!$Q168), 0, 1), 4, if(ISBLANK('2025'!$R168), 0, 1), 5, if(ISBLANK('2025'!$S168), 0, 1), 6, if(ISBLANK('2025'!$T168), 0, 1), 7, 0))), 1, "")</f>
        <v/>
      </c>
      <c r="BB170" s="1" t="str">
        <f>IF(AND(AND(AND(BB$4&gt;='2025'!$L168,BB$4&lt;='2025'!$M168), BB$4&lt;&gt;DATE(2025,7,4)), (SWITCH(weekday(BB$4), 1, 0, 2, if(ISBLANK('2025'!$P168), 0, 1), 3, if(ISBLANK('2025'!$Q168), 0, 1), 4, if(ISBLANK('2025'!$R168), 0, 1), 5, if(ISBLANK('2025'!$S168), 0, 1), 6, if(ISBLANK('2025'!$T168), 0, 1), 7, 0))), 1, "")</f>
        <v/>
      </c>
      <c r="BC170" s="1" t="str">
        <f>IF(AND(AND(AND(BC$4&gt;='2025'!$L168,BC$4&lt;='2025'!$M168), BC$4&lt;&gt;DATE(2025,7,4)), (SWITCH(weekday(BC$4), 1, 0, 2, if(ISBLANK('2025'!$P168), 0, 1), 3, if(ISBLANK('2025'!$Q168), 0, 1), 4, if(ISBLANK('2025'!$R168), 0, 1), 5, if(ISBLANK('2025'!$S168), 0, 1), 6, if(ISBLANK('2025'!$T168), 0, 1), 7, 0))), 1, "")</f>
        <v/>
      </c>
      <c r="BD170" s="1" t="str">
        <f>IF(AND(AND(AND(BD$4&gt;='2025'!$L168,BD$4&lt;='2025'!$M168), BD$4&lt;&gt;DATE(2025,7,4)), (SWITCH(weekday(BD$4), 1, 0, 2, if(ISBLANK('2025'!$P168), 0, 1), 3, if(ISBLANK('2025'!$Q168), 0, 1), 4, if(ISBLANK('2025'!$R168), 0, 1), 5, if(ISBLANK('2025'!$S168), 0, 1), 6, if(ISBLANK('2025'!$T168), 0, 1), 7, 0))), 1, "")</f>
        <v/>
      </c>
      <c r="BE170" s="1" t="str">
        <f>IF(AND(AND(AND(BE$4&gt;='2025'!$L168,BE$4&lt;='2025'!$M168), BE$4&lt;&gt;DATE(2025,7,4)), (SWITCH(weekday(BE$4), 1, 0, 2, if(ISBLANK('2025'!$P168), 0, 1), 3, if(ISBLANK('2025'!$Q168), 0, 1), 4, if(ISBLANK('2025'!$R168), 0, 1), 5, if(ISBLANK('2025'!$S168), 0, 1), 6, if(ISBLANK('2025'!$T168), 0, 1), 7, 0))), 1, "")</f>
        <v/>
      </c>
      <c r="BF170" s="1" t="str">
        <f>IF(AND(AND(AND(BF$4&gt;='2025'!$L168,BF$4&lt;='2025'!$M168), BF$4&lt;&gt;DATE(2025,7,4)), (SWITCH(weekday(BF$4), 1, 0, 2, if(ISBLANK('2025'!$P168), 0, 1), 3, if(ISBLANK('2025'!$Q168), 0, 1), 4, if(ISBLANK('2025'!$R168), 0, 1), 5, if(ISBLANK('2025'!$S168), 0, 1), 6, if(ISBLANK('2025'!$T168), 0, 1), 7, 0))), 1, "")</f>
        <v/>
      </c>
      <c r="BG170" s="1"/>
      <c r="BH170" s="1"/>
      <c r="BI170" s="1"/>
      <c r="BJ170" s="1"/>
      <c r="BK170" s="1"/>
      <c r="BL170" s="1"/>
    </row>
    <row r="171">
      <c r="A171" s="1">
        <f t="shared" si="3"/>
        <v>171</v>
      </c>
      <c r="B171" s="1" t="str">
        <f>'2025'!D135</f>
        <v>, </v>
      </c>
      <c r="C171" s="1" t="str">
        <f>'2025'!H135</f>
        <v/>
      </c>
      <c r="D171" s="1" t="str">
        <f>IF(AND(AND(AND(D$4&gt;='2025'!$L169,D$4&lt;='2025'!$M169), D$4&lt;&gt;DATE(2025,7,4)), (SWITCH(weekday(D$4), 1, 0, 2, if(ISBLANK('2025'!$P169), 0, 1), 3, if(ISBLANK('2025'!$Q169), 0, 1), 4, if(ISBLANK('2025'!$R169), 0, 1), 5, if(ISBLANK('2025'!$S169), 0, 1), 6, if(ISBLANK('2025'!$T169), 0, 1), 7, 0))), 1, "")</f>
        <v/>
      </c>
      <c r="E171" s="1" t="str">
        <f>IF(AND(AND(AND(E$4&gt;='2025'!$L169,E$4&lt;='2025'!$M169), E$4&lt;&gt;DATE(2025,7,4)), (SWITCH(weekday(E$4), 1, 0, 2, if(ISBLANK('2025'!$P169), 0, 1), 3, if(ISBLANK('2025'!$Q169), 0, 1), 4, if(ISBLANK('2025'!$R169), 0, 1), 5, if(ISBLANK('2025'!$S169), 0, 1), 6, if(ISBLANK('2025'!$T169), 0, 1), 7, 0))), 1, "")</f>
        <v/>
      </c>
      <c r="F171" s="1" t="str">
        <f>IF(AND(AND(AND(F$4&gt;='2025'!$L169,F$4&lt;='2025'!$M169), F$4&lt;&gt;DATE(2025,7,4)), (SWITCH(weekday(F$4), 1, 0, 2, if(ISBLANK('2025'!$P169), 0, 1), 3, if(ISBLANK('2025'!$Q169), 0, 1), 4, if(ISBLANK('2025'!$R169), 0, 1), 5, if(ISBLANK('2025'!$S169), 0, 1), 6, if(ISBLANK('2025'!$T169), 0, 1), 7, 0))), 1, "")</f>
        <v/>
      </c>
      <c r="G171" s="1" t="str">
        <f>IF(AND(AND(AND(G$4&gt;='2025'!$L169,G$4&lt;='2025'!$M169), G$4&lt;&gt;DATE(2025,7,4)), (SWITCH(weekday(G$4), 1, 0, 2, if(ISBLANK('2025'!$P169), 0, 1), 3, if(ISBLANK('2025'!$Q169), 0, 1), 4, if(ISBLANK('2025'!$R169), 0, 1), 5, if(ISBLANK('2025'!$S169), 0, 1), 6, if(ISBLANK('2025'!$T169), 0, 1), 7, 0))), 1, "")</f>
        <v/>
      </c>
      <c r="H171" s="1" t="str">
        <f>IF(AND(AND(AND(H$4&gt;='2025'!$L169,H$4&lt;='2025'!$M169), H$4&lt;&gt;DATE(2025,7,4)), (SWITCH(weekday(H$4), 1, 0, 2, if(ISBLANK('2025'!$P169), 0, 1), 3, if(ISBLANK('2025'!$Q169), 0, 1), 4, if(ISBLANK('2025'!$R169), 0, 1), 5, if(ISBLANK('2025'!$S169), 0, 1), 6, if(ISBLANK('2025'!$T169), 0, 1), 7, 0))), 1, "")</f>
        <v/>
      </c>
      <c r="I171" s="1" t="str">
        <f>IF(AND(AND(AND(I$4&gt;='2025'!$L169,I$4&lt;='2025'!$M169), I$4&lt;&gt;DATE(2025,7,4)), (SWITCH(weekday(I$4), 1, 0, 2, if(ISBLANK('2025'!$P169), 0, 1), 3, if(ISBLANK('2025'!$Q169), 0, 1), 4, if(ISBLANK('2025'!$R169), 0, 1), 5, if(ISBLANK('2025'!$S169), 0, 1), 6, if(ISBLANK('2025'!$T169), 0, 1), 7, 0))), 1, "")</f>
        <v/>
      </c>
      <c r="J171" s="1" t="str">
        <f>IF(AND(AND(AND(J$4&gt;='2025'!$L169,J$4&lt;='2025'!$M169), J$4&lt;&gt;DATE(2025,7,4)), (SWITCH(weekday(J$4), 1, 0, 2, if(ISBLANK('2025'!$P169), 0, 1), 3, if(ISBLANK('2025'!$Q169), 0, 1), 4, if(ISBLANK('2025'!$R169), 0, 1), 5, if(ISBLANK('2025'!$S169), 0, 1), 6, if(ISBLANK('2025'!$T169), 0, 1), 7, 0))), 1, "")</f>
        <v/>
      </c>
      <c r="K171" s="1" t="str">
        <f>IF(AND(AND(AND(K$4&gt;='2025'!$L169,K$4&lt;='2025'!$M169), K$4&lt;&gt;DATE(2025,7,4)), (SWITCH(weekday(K$4), 1, 0, 2, if(ISBLANK('2025'!$P169), 0, 1), 3, if(ISBLANK('2025'!$Q169), 0, 1), 4, if(ISBLANK('2025'!$R169), 0, 1), 5, if(ISBLANK('2025'!$S169), 0, 1), 6, if(ISBLANK('2025'!$T169), 0, 1), 7, 0))), 1, "")</f>
        <v/>
      </c>
      <c r="L171" s="1" t="str">
        <f>IF(AND(AND(AND(L$4&gt;='2025'!$L169,L$4&lt;='2025'!$M169), L$4&lt;&gt;DATE(2025,7,4)), (SWITCH(weekday(L$4), 1, 0, 2, if(ISBLANK('2025'!$P169), 0, 1), 3, if(ISBLANK('2025'!$Q169), 0, 1), 4, if(ISBLANK('2025'!$R169), 0, 1), 5, if(ISBLANK('2025'!$S169), 0, 1), 6, if(ISBLANK('2025'!$T169), 0, 1), 7, 0))), 1, "")</f>
        <v/>
      </c>
      <c r="M171" s="1" t="str">
        <f>IF(AND(AND(AND(M$4&gt;='2025'!$L169,M$4&lt;='2025'!$M169), M$4&lt;&gt;DATE(2025,7,4)), (SWITCH(weekday(M$4), 1, 0, 2, if(ISBLANK('2025'!$P169), 0, 1), 3, if(ISBLANK('2025'!$Q169), 0, 1), 4, if(ISBLANK('2025'!$R169), 0, 1), 5, if(ISBLANK('2025'!$S169), 0, 1), 6, if(ISBLANK('2025'!$T169), 0, 1), 7, 0))), 1, "")</f>
        <v/>
      </c>
      <c r="N171" s="1" t="str">
        <f>IF(AND(AND(AND(N$4&gt;='2025'!$L169,N$4&lt;='2025'!$M169), N$4&lt;&gt;DATE(2025,7,4)), (SWITCH(weekday(N$4), 1, 0, 2, if(ISBLANK('2025'!$P169), 0, 1), 3, if(ISBLANK('2025'!$Q169), 0, 1), 4, if(ISBLANK('2025'!$R169), 0, 1), 5, if(ISBLANK('2025'!$S169), 0, 1), 6, if(ISBLANK('2025'!$T169), 0, 1), 7, 0))), 1, "")</f>
        <v/>
      </c>
      <c r="O171" s="1" t="str">
        <f>IF(AND(AND(AND(O$4&gt;='2025'!$L169,O$4&lt;='2025'!$M169), O$4&lt;&gt;DATE(2025,7,4)), (SWITCH(weekday(O$4), 1, 0, 2, if(ISBLANK('2025'!$P169), 0, 1), 3, if(ISBLANK('2025'!$Q169), 0, 1), 4, if(ISBLANK('2025'!$R169), 0, 1), 5, if(ISBLANK('2025'!$S169), 0, 1), 6, if(ISBLANK('2025'!$T169), 0, 1), 7, 0))), 1, "")</f>
        <v/>
      </c>
      <c r="P171" s="1" t="str">
        <f>IF(AND(AND(AND(P$4&gt;='2025'!$L169,P$4&lt;='2025'!$M169), P$4&lt;&gt;DATE(2025,7,4)), (SWITCH(weekday(P$4), 1, 0, 2, if(ISBLANK('2025'!$P169), 0, 1), 3, if(ISBLANK('2025'!$Q169), 0, 1), 4, if(ISBLANK('2025'!$R169), 0, 1), 5, if(ISBLANK('2025'!$S169), 0, 1), 6, if(ISBLANK('2025'!$T169), 0, 1), 7, 0))), 1, "")</f>
        <v/>
      </c>
      <c r="Q171" s="1" t="str">
        <f>IF(AND(AND(AND(Q$4&gt;='2025'!$L169,Q$4&lt;='2025'!$M169), Q$4&lt;&gt;DATE(2025,7,4)), (SWITCH(weekday(Q$4), 1, 0, 2, if(ISBLANK('2025'!$P169), 0, 1), 3, if(ISBLANK('2025'!$Q169), 0, 1), 4, if(ISBLANK('2025'!$R169), 0, 1), 5, if(ISBLANK('2025'!$S169), 0, 1), 6, if(ISBLANK('2025'!$T169), 0, 1), 7, 0))), 1, "")</f>
        <v/>
      </c>
      <c r="R171" s="1" t="str">
        <f>IF(AND(AND(AND(R$4&gt;='2025'!$L169,R$4&lt;='2025'!$M169), R$4&lt;&gt;DATE(2025,7,4)), (SWITCH(weekday(R$4), 1, 0, 2, if(ISBLANK('2025'!$P169), 0, 1), 3, if(ISBLANK('2025'!$Q169), 0, 1), 4, if(ISBLANK('2025'!$R169), 0, 1), 5, if(ISBLANK('2025'!$S169), 0, 1), 6, if(ISBLANK('2025'!$T169), 0, 1), 7, 0))), 1, "")</f>
        <v/>
      </c>
      <c r="S171" s="1" t="str">
        <f>IF(AND(AND(AND(S$4&gt;='2025'!$L169,S$4&lt;='2025'!$M169), S$4&lt;&gt;DATE(2025,7,4)), (SWITCH(weekday(S$4), 1, 0, 2, if(ISBLANK('2025'!$P169), 0, 1), 3, if(ISBLANK('2025'!$Q169), 0, 1), 4, if(ISBLANK('2025'!$R169), 0, 1), 5, if(ISBLANK('2025'!$S169), 0, 1), 6, if(ISBLANK('2025'!$T169), 0, 1), 7, 0))), 1, "")</f>
        <v/>
      </c>
      <c r="T171" s="1" t="str">
        <f>IF(AND(AND(AND(T$4&gt;='2025'!$L169,T$4&lt;='2025'!$M169), T$4&lt;&gt;DATE(2025,7,4)), (SWITCH(weekday(T$4), 1, 0, 2, if(ISBLANK('2025'!$P169), 0, 1), 3, if(ISBLANK('2025'!$Q169), 0, 1), 4, if(ISBLANK('2025'!$R169), 0, 1), 5, if(ISBLANK('2025'!$S169), 0, 1), 6, if(ISBLANK('2025'!$T169), 0, 1), 7, 0))), 1, "")</f>
        <v/>
      </c>
      <c r="U171" s="1" t="str">
        <f>IF(AND(AND(AND(U$4&gt;='2025'!$L169,U$4&lt;='2025'!$M169), U$4&lt;&gt;DATE(2025,7,4)), (SWITCH(weekday(U$4), 1, 0, 2, if(ISBLANK('2025'!$P169), 0, 1), 3, if(ISBLANK('2025'!$Q169), 0, 1), 4, if(ISBLANK('2025'!$R169), 0, 1), 5, if(ISBLANK('2025'!$S169), 0, 1), 6, if(ISBLANK('2025'!$T169), 0, 1), 7, 0))), 1, "")</f>
        <v/>
      </c>
      <c r="V171" s="1" t="str">
        <f>IF(AND(AND(AND(V$4&gt;='2025'!$L169,V$4&lt;='2025'!$M169), V$4&lt;&gt;DATE(2025,7,4)), (SWITCH(weekday(V$4), 1, 0, 2, if(ISBLANK('2025'!$P169), 0, 1), 3, if(ISBLANK('2025'!$Q169), 0, 1), 4, if(ISBLANK('2025'!$R169), 0, 1), 5, if(ISBLANK('2025'!$S169), 0, 1), 6, if(ISBLANK('2025'!$T169), 0, 1), 7, 0))), 1, "")</f>
        <v/>
      </c>
      <c r="W171" s="1" t="str">
        <f>IF(AND(AND(AND(W$4&gt;='2025'!$L169,W$4&lt;='2025'!$M169), W$4&lt;&gt;DATE(2025,7,4)), (SWITCH(weekday(W$4), 1, 0, 2, if(ISBLANK('2025'!$P169), 0, 1), 3, if(ISBLANK('2025'!$Q169), 0, 1), 4, if(ISBLANK('2025'!$R169), 0, 1), 5, if(ISBLANK('2025'!$S169), 0, 1), 6, if(ISBLANK('2025'!$T169), 0, 1), 7, 0))), 1, "")</f>
        <v/>
      </c>
      <c r="X171" s="1" t="str">
        <f>IF(AND(AND(AND(X$4&gt;='2025'!$L169,X$4&lt;='2025'!$M169), X$4&lt;&gt;DATE(2025,7,4)), (SWITCH(weekday(X$4), 1, 0, 2, if(ISBLANK('2025'!$P169), 0, 1), 3, if(ISBLANK('2025'!$Q169), 0, 1), 4, if(ISBLANK('2025'!$R169), 0, 1), 5, if(ISBLANK('2025'!$S169), 0, 1), 6, if(ISBLANK('2025'!$T169), 0, 1), 7, 0))), 1, "")</f>
        <v/>
      </c>
      <c r="Y171" s="1" t="str">
        <f>IF(AND(AND(AND(Y$4&gt;='2025'!$L169,Y$4&lt;='2025'!$M169), Y$4&lt;&gt;DATE(2025,7,4)), (SWITCH(weekday(Y$4), 1, 0, 2, if(ISBLANK('2025'!$P169), 0, 1), 3, if(ISBLANK('2025'!$Q169), 0, 1), 4, if(ISBLANK('2025'!$R169), 0, 1), 5, if(ISBLANK('2025'!$S169), 0, 1), 6, if(ISBLANK('2025'!$T169), 0, 1), 7, 0))), 1, "")</f>
        <v/>
      </c>
      <c r="Z171" s="1" t="str">
        <f>IF(AND(AND(AND(Z$4&gt;='2025'!$L169,Z$4&lt;='2025'!$M169), Z$4&lt;&gt;DATE(2025,7,4)), (SWITCH(weekday(Z$4), 1, 0, 2, if(ISBLANK('2025'!$P169), 0, 1), 3, if(ISBLANK('2025'!$Q169), 0, 1), 4, if(ISBLANK('2025'!$R169), 0, 1), 5, if(ISBLANK('2025'!$S169), 0, 1), 6, if(ISBLANK('2025'!$T169), 0, 1), 7, 0))), 1, "")</f>
        <v/>
      </c>
      <c r="AA171" s="1" t="str">
        <f>IF(AND(AND(AND(AA$4&gt;='2025'!$L169,AA$4&lt;='2025'!$M169), AA$4&lt;&gt;DATE(2025,7,4)), (SWITCH(weekday(AA$4), 1, 0, 2, if(ISBLANK('2025'!$P169), 0, 1), 3, if(ISBLANK('2025'!$Q169), 0, 1), 4, if(ISBLANK('2025'!$R169), 0, 1), 5, if(ISBLANK('2025'!$S169), 0, 1), 6, if(ISBLANK('2025'!$T169), 0, 1), 7, 0))), 1, "")</f>
        <v/>
      </c>
      <c r="AB171" s="1" t="str">
        <f>IF(AND(AND(AND(AB$4&gt;='2025'!$L169,AB$4&lt;='2025'!$M169), AB$4&lt;&gt;DATE(2025,7,4)), (SWITCH(weekday(AB$4), 1, 0, 2, if(ISBLANK('2025'!$P169), 0, 1), 3, if(ISBLANK('2025'!$Q169), 0, 1), 4, if(ISBLANK('2025'!$R169), 0, 1), 5, if(ISBLANK('2025'!$S169), 0, 1), 6, if(ISBLANK('2025'!$T169), 0, 1), 7, 0))), 1, "")</f>
        <v/>
      </c>
      <c r="AC171" s="1" t="str">
        <f>IF(AND(AND(AND(AC$4&gt;='2025'!$L169,AC$4&lt;='2025'!$M169), AC$4&lt;&gt;DATE(2025,7,4)), (SWITCH(weekday(AC$4), 1, 0, 2, if(ISBLANK('2025'!$P169), 0, 1), 3, if(ISBLANK('2025'!$Q169), 0, 1), 4, if(ISBLANK('2025'!$R169), 0, 1), 5, if(ISBLANK('2025'!$S169), 0, 1), 6, if(ISBLANK('2025'!$T169), 0, 1), 7, 0))), 1, "")</f>
        <v/>
      </c>
      <c r="AD171" s="1" t="str">
        <f>IF(AND(AND(AND(AD$4&gt;='2025'!$L169,AD$4&lt;='2025'!$M169), AD$4&lt;&gt;DATE(2025,7,4)), (SWITCH(weekday(AD$4), 1, 0, 2, if(ISBLANK('2025'!$P169), 0, 1), 3, if(ISBLANK('2025'!$Q169), 0, 1), 4, if(ISBLANK('2025'!$R169), 0, 1), 5, if(ISBLANK('2025'!$S169), 0, 1), 6, if(ISBLANK('2025'!$T169), 0, 1), 7, 0))), 1, "")</f>
        <v/>
      </c>
      <c r="AE171" s="1" t="str">
        <f>IF(AND(AND(AND(AE$4&gt;='2025'!$L169,AE$4&lt;='2025'!$M169), AE$4&lt;&gt;DATE(2025,7,4)), (SWITCH(weekday(AE$4), 1, 0, 2, if(ISBLANK('2025'!$P169), 0, 1), 3, if(ISBLANK('2025'!$Q169), 0, 1), 4, if(ISBLANK('2025'!$R169), 0, 1), 5, if(ISBLANK('2025'!$S169), 0, 1), 6, if(ISBLANK('2025'!$T169), 0, 1), 7, 0))), 1, "")</f>
        <v/>
      </c>
      <c r="AF171" s="1" t="str">
        <f>IF(AND(AND(AND(AF$4&gt;='2025'!$L169,AF$4&lt;='2025'!$M169), AF$4&lt;&gt;DATE(2025,7,4)), (SWITCH(weekday(AF$4), 1, 0, 2, if(ISBLANK('2025'!$P169), 0, 1), 3, if(ISBLANK('2025'!$Q169), 0, 1), 4, if(ISBLANK('2025'!$R169), 0, 1), 5, if(ISBLANK('2025'!$S169), 0, 1), 6, if(ISBLANK('2025'!$T169), 0, 1), 7, 0))), 1, "")</f>
        <v/>
      </c>
      <c r="AG171" s="1" t="str">
        <f>IF(AND(AND(AND(AG$4&gt;='2025'!$L169,AG$4&lt;='2025'!$M169), AG$4&lt;&gt;DATE(2025,7,4)), (SWITCH(weekday(AG$4), 1, 0, 2, if(ISBLANK('2025'!$P169), 0, 1), 3, if(ISBLANK('2025'!$Q169), 0, 1), 4, if(ISBLANK('2025'!$R169), 0, 1), 5, if(ISBLANK('2025'!$S169), 0, 1), 6, if(ISBLANK('2025'!$T169), 0, 1), 7, 0))), 1, "")</f>
        <v/>
      </c>
      <c r="AH171" s="1" t="str">
        <f>IF(AND(AND(AND(AH$4&gt;='2025'!$L169,AH$4&lt;='2025'!$M169), AH$4&lt;&gt;DATE(2025,7,4)), (SWITCH(weekday(AH$4), 1, 0, 2, if(ISBLANK('2025'!$P169), 0, 1), 3, if(ISBLANK('2025'!$Q169), 0, 1), 4, if(ISBLANK('2025'!$R169), 0, 1), 5, if(ISBLANK('2025'!$S169), 0, 1), 6, if(ISBLANK('2025'!$T169), 0, 1), 7, 0))), 1, "")</f>
        <v/>
      </c>
      <c r="AI171" s="1" t="str">
        <f>IF(AND(AND(AND(AI$4&gt;='2025'!$L169,AI$4&lt;='2025'!$M169), AI$4&lt;&gt;DATE(2025,7,4)), (SWITCH(weekday(AI$4), 1, 0, 2, if(ISBLANK('2025'!$P169), 0, 1), 3, if(ISBLANK('2025'!$Q169), 0, 1), 4, if(ISBLANK('2025'!$R169), 0, 1), 5, if(ISBLANK('2025'!$S169), 0, 1), 6, if(ISBLANK('2025'!$T169), 0, 1), 7, 0))), 1, "")</f>
        <v/>
      </c>
      <c r="AJ171" s="1" t="str">
        <f>IF(AND(AND(AND(AJ$4&gt;='2025'!$L169,AJ$4&lt;='2025'!$M169), AJ$4&lt;&gt;DATE(2025,7,4)), (SWITCH(weekday(AJ$4), 1, 0, 2, if(ISBLANK('2025'!$P169), 0, 1), 3, if(ISBLANK('2025'!$Q169), 0, 1), 4, if(ISBLANK('2025'!$R169), 0, 1), 5, if(ISBLANK('2025'!$S169), 0, 1), 6, if(ISBLANK('2025'!$T169), 0, 1), 7, 0))), 1, "")</f>
        <v/>
      </c>
      <c r="AK171" s="1" t="str">
        <f>IF(AND(AND(AND(AK$4&gt;='2025'!$L169,AK$4&lt;='2025'!$M169), AK$4&lt;&gt;DATE(2025,7,4)), (SWITCH(weekday(AK$4), 1, 0, 2, if(ISBLANK('2025'!$P169), 0, 1), 3, if(ISBLANK('2025'!$Q169), 0, 1), 4, if(ISBLANK('2025'!$R169), 0, 1), 5, if(ISBLANK('2025'!$S169), 0, 1), 6, if(ISBLANK('2025'!$T169), 0, 1), 7, 0))), 1, "")</f>
        <v/>
      </c>
      <c r="AL171" s="1" t="str">
        <f>IF(AND(AND(AND(AL$4&gt;='2025'!$L169,AL$4&lt;='2025'!$M169), AL$4&lt;&gt;DATE(2025,7,4)), (SWITCH(weekday(AL$4), 1, 0, 2, if(ISBLANK('2025'!$P169), 0, 1), 3, if(ISBLANK('2025'!$Q169), 0, 1), 4, if(ISBLANK('2025'!$R169), 0, 1), 5, if(ISBLANK('2025'!$S169), 0, 1), 6, if(ISBLANK('2025'!$T169), 0, 1), 7, 0))), 1, "")</f>
        <v/>
      </c>
      <c r="AM171" s="1" t="str">
        <f>IF(AND(AND(AND(AM$4&gt;='2025'!$L169,AM$4&lt;='2025'!$M169), AM$4&lt;&gt;DATE(2025,7,4)), (SWITCH(weekday(AM$4), 1, 0, 2, if(ISBLANK('2025'!$P169), 0, 1), 3, if(ISBLANK('2025'!$Q169), 0, 1), 4, if(ISBLANK('2025'!$R169), 0, 1), 5, if(ISBLANK('2025'!$S169), 0, 1), 6, if(ISBLANK('2025'!$T169), 0, 1), 7, 0))), 1, "")</f>
        <v/>
      </c>
      <c r="AN171" s="1" t="str">
        <f>IF(AND(AND(AND(AN$4&gt;='2025'!$L169,AN$4&lt;='2025'!$M169), AN$4&lt;&gt;DATE(2025,7,4)), (SWITCH(weekday(AN$4), 1, 0, 2, if(ISBLANK('2025'!$P169), 0, 1), 3, if(ISBLANK('2025'!$Q169), 0, 1), 4, if(ISBLANK('2025'!$R169), 0, 1), 5, if(ISBLANK('2025'!$S169), 0, 1), 6, if(ISBLANK('2025'!$T169), 0, 1), 7, 0))), 1, "")</f>
        <v/>
      </c>
      <c r="AO171" s="1" t="str">
        <f>IF(AND(AND(AND(AO$4&gt;='2025'!$L169,AO$4&lt;='2025'!$M169), AO$4&lt;&gt;DATE(2025,7,4)), (SWITCH(weekday(AO$4), 1, 0, 2, if(ISBLANK('2025'!$P169), 0, 1), 3, if(ISBLANK('2025'!$Q169), 0, 1), 4, if(ISBLANK('2025'!$R169), 0, 1), 5, if(ISBLANK('2025'!$S169), 0, 1), 6, if(ISBLANK('2025'!$T169), 0, 1), 7, 0))), 1, "")</f>
        <v/>
      </c>
      <c r="AP171" s="1" t="str">
        <f>IF(AND(AND(AND(AP$4&gt;='2025'!$L169,AP$4&lt;='2025'!$M169), AP$4&lt;&gt;DATE(2025,7,4)), (SWITCH(weekday(AP$4), 1, 0, 2, if(ISBLANK('2025'!$P169), 0, 1), 3, if(ISBLANK('2025'!$Q169), 0, 1), 4, if(ISBLANK('2025'!$R169), 0, 1), 5, if(ISBLANK('2025'!$S169), 0, 1), 6, if(ISBLANK('2025'!$T169), 0, 1), 7, 0))), 1, "")</f>
        <v/>
      </c>
      <c r="AQ171" s="1" t="str">
        <f>IF(AND(AND(AND(AQ$4&gt;='2025'!$L169,AQ$4&lt;='2025'!$M169), AQ$4&lt;&gt;DATE(2025,7,4)), (SWITCH(weekday(AQ$4), 1, 0, 2, if(ISBLANK('2025'!$P169), 0, 1), 3, if(ISBLANK('2025'!$Q169), 0, 1), 4, if(ISBLANK('2025'!$R169), 0, 1), 5, if(ISBLANK('2025'!$S169), 0, 1), 6, if(ISBLANK('2025'!$T169), 0, 1), 7, 0))), 1, "")</f>
        <v/>
      </c>
      <c r="AR171" s="1" t="str">
        <f>IF(AND(AND(AND(AR$4&gt;='2025'!$L169,AR$4&lt;='2025'!$M169), AR$4&lt;&gt;DATE(2025,7,4)), (SWITCH(weekday(AR$4), 1, 0, 2, if(ISBLANK('2025'!$P169), 0, 1), 3, if(ISBLANK('2025'!$Q169), 0, 1), 4, if(ISBLANK('2025'!$R169), 0, 1), 5, if(ISBLANK('2025'!$S169), 0, 1), 6, if(ISBLANK('2025'!$T169), 0, 1), 7, 0))), 1, "")</f>
        <v/>
      </c>
      <c r="AS171" s="1" t="str">
        <f>IF(AND(AND(AND(AS$4&gt;='2025'!$L169,AS$4&lt;='2025'!$M169), AS$4&lt;&gt;DATE(2025,7,4)), (SWITCH(weekday(AS$4), 1, 0, 2, if(ISBLANK('2025'!$P169), 0, 1), 3, if(ISBLANK('2025'!$Q169), 0, 1), 4, if(ISBLANK('2025'!$R169), 0, 1), 5, if(ISBLANK('2025'!$S169), 0, 1), 6, if(ISBLANK('2025'!$T169), 0, 1), 7, 0))), 1, "")</f>
        <v/>
      </c>
      <c r="AT171" s="1" t="str">
        <f>IF(AND(AND(AND(AT$4&gt;='2025'!$L169,AT$4&lt;='2025'!$M169), AT$4&lt;&gt;DATE(2025,7,4)), (SWITCH(weekday(AT$4), 1, 0, 2, if(ISBLANK('2025'!$P169), 0, 1), 3, if(ISBLANK('2025'!$Q169), 0, 1), 4, if(ISBLANK('2025'!$R169), 0, 1), 5, if(ISBLANK('2025'!$S169), 0, 1), 6, if(ISBLANK('2025'!$T169), 0, 1), 7, 0))), 1, "")</f>
        <v/>
      </c>
      <c r="AU171" s="1" t="str">
        <f>IF(AND(AND(AND(AU$4&gt;='2025'!$L169,AU$4&lt;='2025'!$M169), AU$4&lt;&gt;DATE(2025,7,4)), (SWITCH(weekday(AU$4), 1, 0, 2, if(ISBLANK('2025'!$P169), 0, 1), 3, if(ISBLANK('2025'!$Q169), 0, 1), 4, if(ISBLANK('2025'!$R169), 0, 1), 5, if(ISBLANK('2025'!$S169), 0, 1), 6, if(ISBLANK('2025'!$T169), 0, 1), 7, 0))), 1, "")</f>
        <v/>
      </c>
      <c r="AV171" s="1" t="str">
        <f>IF(AND(AND(AND(AV$4&gt;='2025'!$L169,AV$4&lt;='2025'!$M169), AV$4&lt;&gt;DATE(2025,7,4)), (SWITCH(weekday(AV$4), 1, 0, 2, if(ISBLANK('2025'!$P169), 0, 1), 3, if(ISBLANK('2025'!$Q169), 0, 1), 4, if(ISBLANK('2025'!$R169), 0, 1), 5, if(ISBLANK('2025'!$S169), 0, 1), 6, if(ISBLANK('2025'!$T169), 0, 1), 7, 0))), 1, "")</f>
        <v/>
      </c>
      <c r="AW171" s="1" t="str">
        <f>IF(AND(AND(AND(AW$4&gt;='2025'!$L169,AW$4&lt;='2025'!$M169), AW$4&lt;&gt;DATE(2025,7,4)), (SWITCH(weekday(AW$4), 1, 0, 2, if(ISBLANK('2025'!$P169), 0, 1), 3, if(ISBLANK('2025'!$Q169), 0, 1), 4, if(ISBLANK('2025'!$R169), 0, 1), 5, if(ISBLANK('2025'!$S169), 0, 1), 6, if(ISBLANK('2025'!$T169), 0, 1), 7, 0))), 1, "")</f>
        <v/>
      </c>
      <c r="AX171" s="1" t="str">
        <f>IF(AND(AND(AND(AX$4&gt;='2025'!$L169,AX$4&lt;='2025'!$M169), AX$4&lt;&gt;DATE(2025,7,4)), (SWITCH(weekday(AX$4), 1, 0, 2, if(ISBLANK('2025'!$P169), 0, 1), 3, if(ISBLANK('2025'!$Q169), 0, 1), 4, if(ISBLANK('2025'!$R169), 0, 1), 5, if(ISBLANK('2025'!$S169), 0, 1), 6, if(ISBLANK('2025'!$T169), 0, 1), 7, 0))), 1, "")</f>
        <v/>
      </c>
      <c r="AY171" s="1" t="str">
        <f>IF(AND(AND(AND(AY$4&gt;='2025'!$L169,AY$4&lt;='2025'!$M169), AY$4&lt;&gt;DATE(2025,7,4)), (SWITCH(weekday(AY$4), 1, 0, 2, if(ISBLANK('2025'!$P169), 0, 1), 3, if(ISBLANK('2025'!$Q169), 0, 1), 4, if(ISBLANK('2025'!$R169), 0, 1), 5, if(ISBLANK('2025'!$S169), 0, 1), 6, if(ISBLANK('2025'!$T169), 0, 1), 7, 0))), 1, "")</f>
        <v/>
      </c>
      <c r="AZ171" s="1" t="str">
        <f>IF(AND(AND(AND(AZ$4&gt;='2025'!$L169,AZ$4&lt;='2025'!$M169), AZ$4&lt;&gt;DATE(2025,7,4)), (SWITCH(weekday(AZ$4), 1, 0, 2, if(ISBLANK('2025'!$P169), 0, 1), 3, if(ISBLANK('2025'!$Q169), 0, 1), 4, if(ISBLANK('2025'!$R169), 0, 1), 5, if(ISBLANK('2025'!$S169), 0, 1), 6, if(ISBLANK('2025'!$T169), 0, 1), 7, 0))), 1, "")</f>
        <v/>
      </c>
      <c r="BA171" s="1" t="str">
        <f>IF(AND(AND(AND(BA$4&gt;='2025'!$L169,BA$4&lt;='2025'!$M169), BA$4&lt;&gt;DATE(2025,7,4)), (SWITCH(weekday(BA$4), 1, 0, 2, if(ISBLANK('2025'!$P169), 0, 1), 3, if(ISBLANK('2025'!$Q169), 0, 1), 4, if(ISBLANK('2025'!$R169), 0, 1), 5, if(ISBLANK('2025'!$S169), 0, 1), 6, if(ISBLANK('2025'!$T169), 0, 1), 7, 0))), 1, "")</f>
        <v/>
      </c>
      <c r="BB171" s="1" t="str">
        <f>IF(AND(AND(AND(BB$4&gt;='2025'!$L169,BB$4&lt;='2025'!$M169), BB$4&lt;&gt;DATE(2025,7,4)), (SWITCH(weekday(BB$4), 1, 0, 2, if(ISBLANK('2025'!$P169), 0, 1), 3, if(ISBLANK('2025'!$Q169), 0, 1), 4, if(ISBLANK('2025'!$R169), 0, 1), 5, if(ISBLANK('2025'!$S169), 0, 1), 6, if(ISBLANK('2025'!$T169), 0, 1), 7, 0))), 1, "")</f>
        <v/>
      </c>
      <c r="BC171" s="1" t="str">
        <f>IF(AND(AND(AND(BC$4&gt;='2025'!$L169,BC$4&lt;='2025'!$M169), BC$4&lt;&gt;DATE(2025,7,4)), (SWITCH(weekday(BC$4), 1, 0, 2, if(ISBLANK('2025'!$P169), 0, 1), 3, if(ISBLANK('2025'!$Q169), 0, 1), 4, if(ISBLANK('2025'!$R169), 0, 1), 5, if(ISBLANK('2025'!$S169), 0, 1), 6, if(ISBLANK('2025'!$T169), 0, 1), 7, 0))), 1, "")</f>
        <v/>
      </c>
      <c r="BD171" s="1" t="str">
        <f>IF(AND(AND(AND(BD$4&gt;='2025'!$L169,BD$4&lt;='2025'!$M169), BD$4&lt;&gt;DATE(2025,7,4)), (SWITCH(weekday(BD$4), 1, 0, 2, if(ISBLANK('2025'!$P169), 0, 1), 3, if(ISBLANK('2025'!$Q169), 0, 1), 4, if(ISBLANK('2025'!$R169), 0, 1), 5, if(ISBLANK('2025'!$S169), 0, 1), 6, if(ISBLANK('2025'!$T169), 0, 1), 7, 0))), 1, "")</f>
        <v/>
      </c>
      <c r="BE171" s="1" t="str">
        <f>IF(AND(AND(AND(BE$4&gt;='2025'!$L169,BE$4&lt;='2025'!$M169), BE$4&lt;&gt;DATE(2025,7,4)), (SWITCH(weekday(BE$4), 1, 0, 2, if(ISBLANK('2025'!$P169), 0, 1), 3, if(ISBLANK('2025'!$Q169), 0, 1), 4, if(ISBLANK('2025'!$R169), 0, 1), 5, if(ISBLANK('2025'!$S169), 0, 1), 6, if(ISBLANK('2025'!$T169), 0, 1), 7, 0))), 1, "")</f>
        <v/>
      </c>
      <c r="BF171" s="1" t="str">
        <f>IF(AND(AND(AND(BF$4&gt;='2025'!$L169,BF$4&lt;='2025'!$M169), BF$4&lt;&gt;DATE(2025,7,4)), (SWITCH(weekday(BF$4), 1, 0, 2, if(ISBLANK('2025'!$P169), 0, 1), 3, if(ISBLANK('2025'!$Q169), 0, 1), 4, if(ISBLANK('2025'!$R169), 0, 1), 5, if(ISBLANK('2025'!$S169), 0, 1), 6, if(ISBLANK('2025'!$T169), 0, 1), 7, 0))), 1, "")</f>
        <v/>
      </c>
      <c r="BG171" s="1"/>
      <c r="BH171" s="1"/>
      <c r="BI171" s="1"/>
      <c r="BJ171" s="1"/>
      <c r="BK171" s="1"/>
      <c r="BL171" s="1"/>
    </row>
    <row r="172">
      <c r="A172" s="1">
        <f t="shared" si="3"/>
        <v>172</v>
      </c>
      <c r="B172" s="1" t="str">
        <f>'2025'!D136</f>
        <v>, </v>
      </c>
      <c r="C172" s="1" t="str">
        <f>'2025'!H136</f>
        <v/>
      </c>
      <c r="D172" s="1" t="str">
        <f>IF(AND(AND(AND(D$4&gt;='2025'!$L170,D$4&lt;='2025'!$M170), D$4&lt;&gt;DATE(2025,7,4)), (SWITCH(weekday(D$4), 1, 0, 2, if(ISBLANK('2025'!$P170), 0, 1), 3, if(ISBLANK('2025'!$Q170), 0, 1), 4, if(ISBLANK('2025'!$R170), 0, 1), 5, if(ISBLANK('2025'!$S170), 0, 1), 6, if(ISBLANK('2025'!$T170), 0, 1), 7, 0))), 1, "")</f>
        <v/>
      </c>
      <c r="E172" s="1" t="str">
        <f>IF(AND(AND(AND(E$4&gt;='2025'!$L170,E$4&lt;='2025'!$M170), E$4&lt;&gt;DATE(2025,7,4)), (SWITCH(weekday(E$4), 1, 0, 2, if(ISBLANK('2025'!$P170), 0, 1), 3, if(ISBLANK('2025'!$Q170), 0, 1), 4, if(ISBLANK('2025'!$R170), 0, 1), 5, if(ISBLANK('2025'!$S170), 0, 1), 6, if(ISBLANK('2025'!$T170), 0, 1), 7, 0))), 1, "")</f>
        <v/>
      </c>
      <c r="F172" s="1" t="str">
        <f>IF(AND(AND(AND(F$4&gt;='2025'!$L170,F$4&lt;='2025'!$M170), F$4&lt;&gt;DATE(2025,7,4)), (SWITCH(weekday(F$4), 1, 0, 2, if(ISBLANK('2025'!$P170), 0, 1), 3, if(ISBLANK('2025'!$Q170), 0, 1), 4, if(ISBLANK('2025'!$R170), 0, 1), 5, if(ISBLANK('2025'!$S170), 0, 1), 6, if(ISBLANK('2025'!$T170), 0, 1), 7, 0))), 1, "")</f>
        <v/>
      </c>
      <c r="G172" s="1" t="str">
        <f>IF(AND(AND(AND(G$4&gt;='2025'!$L170,G$4&lt;='2025'!$M170), G$4&lt;&gt;DATE(2025,7,4)), (SWITCH(weekday(G$4), 1, 0, 2, if(ISBLANK('2025'!$P170), 0, 1), 3, if(ISBLANK('2025'!$Q170), 0, 1), 4, if(ISBLANK('2025'!$R170), 0, 1), 5, if(ISBLANK('2025'!$S170), 0, 1), 6, if(ISBLANK('2025'!$T170), 0, 1), 7, 0))), 1, "")</f>
        <v/>
      </c>
      <c r="H172" s="1" t="str">
        <f>IF(AND(AND(AND(H$4&gt;='2025'!$L170,H$4&lt;='2025'!$M170), H$4&lt;&gt;DATE(2025,7,4)), (SWITCH(weekday(H$4), 1, 0, 2, if(ISBLANK('2025'!$P170), 0, 1), 3, if(ISBLANK('2025'!$Q170), 0, 1), 4, if(ISBLANK('2025'!$R170), 0, 1), 5, if(ISBLANK('2025'!$S170), 0, 1), 6, if(ISBLANK('2025'!$T170), 0, 1), 7, 0))), 1, "")</f>
        <v/>
      </c>
      <c r="I172" s="1" t="str">
        <f>IF(AND(AND(AND(I$4&gt;='2025'!$L170,I$4&lt;='2025'!$M170), I$4&lt;&gt;DATE(2025,7,4)), (SWITCH(weekday(I$4), 1, 0, 2, if(ISBLANK('2025'!$P170), 0, 1), 3, if(ISBLANK('2025'!$Q170), 0, 1), 4, if(ISBLANK('2025'!$R170), 0, 1), 5, if(ISBLANK('2025'!$S170), 0, 1), 6, if(ISBLANK('2025'!$T170), 0, 1), 7, 0))), 1, "")</f>
        <v/>
      </c>
      <c r="J172" s="1" t="str">
        <f>IF(AND(AND(AND(J$4&gt;='2025'!$L170,J$4&lt;='2025'!$M170), J$4&lt;&gt;DATE(2025,7,4)), (SWITCH(weekday(J$4), 1, 0, 2, if(ISBLANK('2025'!$P170), 0, 1), 3, if(ISBLANK('2025'!$Q170), 0, 1), 4, if(ISBLANK('2025'!$R170), 0, 1), 5, if(ISBLANK('2025'!$S170), 0, 1), 6, if(ISBLANK('2025'!$T170), 0, 1), 7, 0))), 1, "")</f>
        <v/>
      </c>
      <c r="K172" s="1" t="str">
        <f>IF(AND(AND(AND(K$4&gt;='2025'!$L170,K$4&lt;='2025'!$M170), K$4&lt;&gt;DATE(2025,7,4)), (SWITCH(weekday(K$4), 1, 0, 2, if(ISBLANK('2025'!$P170), 0, 1), 3, if(ISBLANK('2025'!$Q170), 0, 1), 4, if(ISBLANK('2025'!$R170), 0, 1), 5, if(ISBLANK('2025'!$S170), 0, 1), 6, if(ISBLANK('2025'!$T170), 0, 1), 7, 0))), 1, "")</f>
        <v/>
      </c>
      <c r="L172" s="1" t="str">
        <f>IF(AND(AND(AND(L$4&gt;='2025'!$L170,L$4&lt;='2025'!$M170), L$4&lt;&gt;DATE(2025,7,4)), (SWITCH(weekday(L$4), 1, 0, 2, if(ISBLANK('2025'!$P170), 0, 1), 3, if(ISBLANK('2025'!$Q170), 0, 1), 4, if(ISBLANK('2025'!$R170), 0, 1), 5, if(ISBLANK('2025'!$S170), 0, 1), 6, if(ISBLANK('2025'!$T170), 0, 1), 7, 0))), 1, "")</f>
        <v/>
      </c>
      <c r="M172" s="1" t="str">
        <f>IF(AND(AND(AND(M$4&gt;='2025'!$L170,M$4&lt;='2025'!$M170), M$4&lt;&gt;DATE(2025,7,4)), (SWITCH(weekday(M$4), 1, 0, 2, if(ISBLANK('2025'!$P170), 0, 1), 3, if(ISBLANK('2025'!$Q170), 0, 1), 4, if(ISBLANK('2025'!$R170), 0, 1), 5, if(ISBLANK('2025'!$S170), 0, 1), 6, if(ISBLANK('2025'!$T170), 0, 1), 7, 0))), 1, "")</f>
        <v/>
      </c>
      <c r="N172" s="1" t="str">
        <f>IF(AND(AND(AND(N$4&gt;='2025'!$L170,N$4&lt;='2025'!$M170), N$4&lt;&gt;DATE(2025,7,4)), (SWITCH(weekday(N$4), 1, 0, 2, if(ISBLANK('2025'!$P170), 0, 1), 3, if(ISBLANK('2025'!$Q170), 0, 1), 4, if(ISBLANK('2025'!$R170), 0, 1), 5, if(ISBLANK('2025'!$S170), 0, 1), 6, if(ISBLANK('2025'!$T170), 0, 1), 7, 0))), 1, "")</f>
        <v/>
      </c>
      <c r="O172" s="1" t="str">
        <f>IF(AND(AND(AND(O$4&gt;='2025'!$L170,O$4&lt;='2025'!$M170), O$4&lt;&gt;DATE(2025,7,4)), (SWITCH(weekday(O$4), 1, 0, 2, if(ISBLANK('2025'!$P170), 0, 1), 3, if(ISBLANK('2025'!$Q170), 0, 1), 4, if(ISBLANK('2025'!$R170), 0, 1), 5, if(ISBLANK('2025'!$S170), 0, 1), 6, if(ISBLANK('2025'!$T170), 0, 1), 7, 0))), 1, "")</f>
        <v/>
      </c>
      <c r="P172" s="1" t="str">
        <f>IF(AND(AND(AND(P$4&gt;='2025'!$L170,P$4&lt;='2025'!$M170), P$4&lt;&gt;DATE(2025,7,4)), (SWITCH(weekday(P$4), 1, 0, 2, if(ISBLANK('2025'!$P170), 0, 1), 3, if(ISBLANK('2025'!$Q170), 0, 1), 4, if(ISBLANK('2025'!$R170), 0, 1), 5, if(ISBLANK('2025'!$S170), 0, 1), 6, if(ISBLANK('2025'!$T170), 0, 1), 7, 0))), 1, "")</f>
        <v/>
      </c>
      <c r="Q172" s="1" t="str">
        <f>IF(AND(AND(AND(Q$4&gt;='2025'!$L170,Q$4&lt;='2025'!$M170), Q$4&lt;&gt;DATE(2025,7,4)), (SWITCH(weekday(Q$4), 1, 0, 2, if(ISBLANK('2025'!$P170), 0, 1), 3, if(ISBLANK('2025'!$Q170), 0, 1), 4, if(ISBLANK('2025'!$R170), 0, 1), 5, if(ISBLANK('2025'!$S170), 0, 1), 6, if(ISBLANK('2025'!$T170), 0, 1), 7, 0))), 1, "")</f>
        <v/>
      </c>
      <c r="R172" s="1" t="str">
        <f>IF(AND(AND(AND(R$4&gt;='2025'!$L170,R$4&lt;='2025'!$M170), R$4&lt;&gt;DATE(2025,7,4)), (SWITCH(weekday(R$4), 1, 0, 2, if(ISBLANK('2025'!$P170), 0, 1), 3, if(ISBLANK('2025'!$Q170), 0, 1), 4, if(ISBLANK('2025'!$R170), 0, 1), 5, if(ISBLANK('2025'!$S170), 0, 1), 6, if(ISBLANK('2025'!$T170), 0, 1), 7, 0))), 1, "")</f>
        <v/>
      </c>
      <c r="S172" s="1" t="str">
        <f>IF(AND(AND(AND(S$4&gt;='2025'!$L170,S$4&lt;='2025'!$M170), S$4&lt;&gt;DATE(2025,7,4)), (SWITCH(weekday(S$4), 1, 0, 2, if(ISBLANK('2025'!$P170), 0, 1), 3, if(ISBLANK('2025'!$Q170), 0, 1), 4, if(ISBLANK('2025'!$R170), 0, 1), 5, if(ISBLANK('2025'!$S170), 0, 1), 6, if(ISBLANK('2025'!$T170), 0, 1), 7, 0))), 1, "")</f>
        <v/>
      </c>
      <c r="T172" s="1" t="str">
        <f>IF(AND(AND(AND(T$4&gt;='2025'!$L170,T$4&lt;='2025'!$M170), T$4&lt;&gt;DATE(2025,7,4)), (SWITCH(weekday(T$4), 1, 0, 2, if(ISBLANK('2025'!$P170), 0, 1), 3, if(ISBLANK('2025'!$Q170), 0, 1), 4, if(ISBLANK('2025'!$R170), 0, 1), 5, if(ISBLANK('2025'!$S170), 0, 1), 6, if(ISBLANK('2025'!$T170), 0, 1), 7, 0))), 1, "")</f>
        <v/>
      </c>
      <c r="U172" s="1" t="str">
        <f>IF(AND(AND(AND(U$4&gt;='2025'!$L170,U$4&lt;='2025'!$M170), U$4&lt;&gt;DATE(2025,7,4)), (SWITCH(weekday(U$4), 1, 0, 2, if(ISBLANK('2025'!$P170), 0, 1), 3, if(ISBLANK('2025'!$Q170), 0, 1), 4, if(ISBLANK('2025'!$R170), 0, 1), 5, if(ISBLANK('2025'!$S170), 0, 1), 6, if(ISBLANK('2025'!$T170), 0, 1), 7, 0))), 1, "")</f>
        <v/>
      </c>
      <c r="V172" s="1" t="str">
        <f>IF(AND(AND(AND(V$4&gt;='2025'!$L170,V$4&lt;='2025'!$M170), V$4&lt;&gt;DATE(2025,7,4)), (SWITCH(weekday(V$4), 1, 0, 2, if(ISBLANK('2025'!$P170), 0, 1), 3, if(ISBLANK('2025'!$Q170), 0, 1), 4, if(ISBLANK('2025'!$R170), 0, 1), 5, if(ISBLANK('2025'!$S170), 0, 1), 6, if(ISBLANK('2025'!$T170), 0, 1), 7, 0))), 1, "")</f>
        <v/>
      </c>
      <c r="W172" s="1" t="str">
        <f>IF(AND(AND(AND(W$4&gt;='2025'!$L170,W$4&lt;='2025'!$M170), W$4&lt;&gt;DATE(2025,7,4)), (SWITCH(weekday(W$4), 1, 0, 2, if(ISBLANK('2025'!$P170), 0, 1), 3, if(ISBLANK('2025'!$Q170), 0, 1), 4, if(ISBLANK('2025'!$R170), 0, 1), 5, if(ISBLANK('2025'!$S170), 0, 1), 6, if(ISBLANK('2025'!$T170), 0, 1), 7, 0))), 1, "")</f>
        <v/>
      </c>
      <c r="X172" s="1" t="str">
        <f>IF(AND(AND(AND(X$4&gt;='2025'!$L170,X$4&lt;='2025'!$M170), X$4&lt;&gt;DATE(2025,7,4)), (SWITCH(weekday(X$4), 1, 0, 2, if(ISBLANK('2025'!$P170), 0, 1), 3, if(ISBLANK('2025'!$Q170), 0, 1), 4, if(ISBLANK('2025'!$R170), 0, 1), 5, if(ISBLANK('2025'!$S170), 0, 1), 6, if(ISBLANK('2025'!$T170), 0, 1), 7, 0))), 1, "")</f>
        <v/>
      </c>
      <c r="Y172" s="1" t="str">
        <f>IF(AND(AND(AND(Y$4&gt;='2025'!$L170,Y$4&lt;='2025'!$M170), Y$4&lt;&gt;DATE(2025,7,4)), (SWITCH(weekday(Y$4), 1, 0, 2, if(ISBLANK('2025'!$P170), 0, 1), 3, if(ISBLANK('2025'!$Q170), 0, 1), 4, if(ISBLANK('2025'!$R170), 0, 1), 5, if(ISBLANK('2025'!$S170), 0, 1), 6, if(ISBLANK('2025'!$T170), 0, 1), 7, 0))), 1, "")</f>
        <v/>
      </c>
      <c r="Z172" s="1" t="str">
        <f>IF(AND(AND(AND(Z$4&gt;='2025'!$L170,Z$4&lt;='2025'!$M170), Z$4&lt;&gt;DATE(2025,7,4)), (SWITCH(weekday(Z$4), 1, 0, 2, if(ISBLANK('2025'!$P170), 0, 1), 3, if(ISBLANK('2025'!$Q170), 0, 1), 4, if(ISBLANK('2025'!$R170), 0, 1), 5, if(ISBLANK('2025'!$S170), 0, 1), 6, if(ISBLANK('2025'!$T170), 0, 1), 7, 0))), 1, "")</f>
        <v/>
      </c>
      <c r="AA172" s="1" t="str">
        <f>IF(AND(AND(AND(AA$4&gt;='2025'!$L170,AA$4&lt;='2025'!$M170), AA$4&lt;&gt;DATE(2025,7,4)), (SWITCH(weekday(AA$4), 1, 0, 2, if(ISBLANK('2025'!$P170), 0, 1), 3, if(ISBLANK('2025'!$Q170), 0, 1), 4, if(ISBLANK('2025'!$R170), 0, 1), 5, if(ISBLANK('2025'!$S170), 0, 1), 6, if(ISBLANK('2025'!$T170), 0, 1), 7, 0))), 1, "")</f>
        <v/>
      </c>
      <c r="AB172" s="1" t="str">
        <f>IF(AND(AND(AND(AB$4&gt;='2025'!$L170,AB$4&lt;='2025'!$M170), AB$4&lt;&gt;DATE(2025,7,4)), (SWITCH(weekday(AB$4), 1, 0, 2, if(ISBLANK('2025'!$P170), 0, 1), 3, if(ISBLANK('2025'!$Q170), 0, 1), 4, if(ISBLANK('2025'!$R170), 0, 1), 5, if(ISBLANK('2025'!$S170), 0, 1), 6, if(ISBLANK('2025'!$T170), 0, 1), 7, 0))), 1, "")</f>
        <v/>
      </c>
      <c r="AC172" s="1" t="str">
        <f>IF(AND(AND(AND(AC$4&gt;='2025'!$L170,AC$4&lt;='2025'!$M170), AC$4&lt;&gt;DATE(2025,7,4)), (SWITCH(weekday(AC$4), 1, 0, 2, if(ISBLANK('2025'!$P170), 0, 1), 3, if(ISBLANK('2025'!$Q170), 0, 1), 4, if(ISBLANK('2025'!$R170), 0, 1), 5, if(ISBLANK('2025'!$S170), 0, 1), 6, if(ISBLANK('2025'!$T170), 0, 1), 7, 0))), 1, "")</f>
        <v/>
      </c>
      <c r="AD172" s="1" t="str">
        <f>IF(AND(AND(AND(AD$4&gt;='2025'!$L170,AD$4&lt;='2025'!$M170), AD$4&lt;&gt;DATE(2025,7,4)), (SWITCH(weekday(AD$4), 1, 0, 2, if(ISBLANK('2025'!$P170), 0, 1), 3, if(ISBLANK('2025'!$Q170), 0, 1), 4, if(ISBLANK('2025'!$R170), 0, 1), 5, if(ISBLANK('2025'!$S170), 0, 1), 6, if(ISBLANK('2025'!$T170), 0, 1), 7, 0))), 1, "")</f>
        <v/>
      </c>
      <c r="AE172" s="1" t="str">
        <f>IF(AND(AND(AND(AE$4&gt;='2025'!$L170,AE$4&lt;='2025'!$M170), AE$4&lt;&gt;DATE(2025,7,4)), (SWITCH(weekday(AE$4), 1, 0, 2, if(ISBLANK('2025'!$P170), 0, 1), 3, if(ISBLANK('2025'!$Q170), 0, 1), 4, if(ISBLANK('2025'!$R170), 0, 1), 5, if(ISBLANK('2025'!$S170), 0, 1), 6, if(ISBLANK('2025'!$T170), 0, 1), 7, 0))), 1, "")</f>
        <v/>
      </c>
      <c r="AF172" s="1" t="str">
        <f>IF(AND(AND(AND(AF$4&gt;='2025'!$L170,AF$4&lt;='2025'!$M170), AF$4&lt;&gt;DATE(2025,7,4)), (SWITCH(weekday(AF$4), 1, 0, 2, if(ISBLANK('2025'!$P170), 0, 1), 3, if(ISBLANK('2025'!$Q170), 0, 1), 4, if(ISBLANK('2025'!$R170), 0, 1), 5, if(ISBLANK('2025'!$S170), 0, 1), 6, if(ISBLANK('2025'!$T170), 0, 1), 7, 0))), 1, "")</f>
        <v/>
      </c>
      <c r="AG172" s="1" t="str">
        <f>IF(AND(AND(AND(AG$4&gt;='2025'!$L170,AG$4&lt;='2025'!$M170), AG$4&lt;&gt;DATE(2025,7,4)), (SWITCH(weekday(AG$4), 1, 0, 2, if(ISBLANK('2025'!$P170), 0, 1), 3, if(ISBLANK('2025'!$Q170), 0, 1), 4, if(ISBLANK('2025'!$R170), 0, 1), 5, if(ISBLANK('2025'!$S170), 0, 1), 6, if(ISBLANK('2025'!$T170), 0, 1), 7, 0))), 1, "")</f>
        <v/>
      </c>
      <c r="AH172" s="1" t="str">
        <f>IF(AND(AND(AND(AH$4&gt;='2025'!$L170,AH$4&lt;='2025'!$M170), AH$4&lt;&gt;DATE(2025,7,4)), (SWITCH(weekday(AH$4), 1, 0, 2, if(ISBLANK('2025'!$P170), 0, 1), 3, if(ISBLANK('2025'!$Q170), 0, 1), 4, if(ISBLANK('2025'!$R170), 0, 1), 5, if(ISBLANK('2025'!$S170), 0, 1), 6, if(ISBLANK('2025'!$T170), 0, 1), 7, 0))), 1, "")</f>
        <v/>
      </c>
      <c r="AI172" s="1" t="str">
        <f>IF(AND(AND(AND(AI$4&gt;='2025'!$L170,AI$4&lt;='2025'!$M170), AI$4&lt;&gt;DATE(2025,7,4)), (SWITCH(weekday(AI$4), 1, 0, 2, if(ISBLANK('2025'!$P170), 0, 1), 3, if(ISBLANK('2025'!$Q170), 0, 1), 4, if(ISBLANK('2025'!$R170), 0, 1), 5, if(ISBLANK('2025'!$S170), 0, 1), 6, if(ISBLANK('2025'!$T170), 0, 1), 7, 0))), 1, "")</f>
        <v/>
      </c>
      <c r="AJ172" s="1" t="str">
        <f>IF(AND(AND(AND(AJ$4&gt;='2025'!$L170,AJ$4&lt;='2025'!$M170), AJ$4&lt;&gt;DATE(2025,7,4)), (SWITCH(weekday(AJ$4), 1, 0, 2, if(ISBLANK('2025'!$P170), 0, 1), 3, if(ISBLANK('2025'!$Q170), 0, 1), 4, if(ISBLANK('2025'!$R170), 0, 1), 5, if(ISBLANK('2025'!$S170), 0, 1), 6, if(ISBLANK('2025'!$T170), 0, 1), 7, 0))), 1, "")</f>
        <v/>
      </c>
      <c r="AK172" s="1" t="str">
        <f>IF(AND(AND(AND(AK$4&gt;='2025'!$L170,AK$4&lt;='2025'!$M170), AK$4&lt;&gt;DATE(2025,7,4)), (SWITCH(weekday(AK$4), 1, 0, 2, if(ISBLANK('2025'!$P170), 0, 1), 3, if(ISBLANK('2025'!$Q170), 0, 1), 4, if(ISBLANK('2025'!$R170), 0, 1), 5, if(ISBLANK('2025'!$S170), 0, 1), 6, if(ISBLANK('2025'!$T170), 0, 1), 7, 0))), 1, "")</f>
        <v/>
      </c>
      <c r="AL172" s="1" t="str">
        <f>IF(AND(AND(AND(AL$4&gt;='2025'!$L170,AL$4&lt;='2025'!$M170), AL$4&lt;&gt;DATE(2025,7,4)), (SWITCH(weekday(AL$4), 1, 0, 2, if(ISBLANK('2025'!$P170), 0, 1), 3, if(ISBLANK('2025'!$Q170), 0, 1), 4, if(ISBLANK('2025'!$R170), 0, 1), 5, if(ISBLANK('2025'!$S170), 0, 1), 6, if(ISBLANK('2025'!$T170), 0, 1), 7, 0))), 1, "")</f>
        <v/>
      </c>
      <c r="AM172" s="1" t="str">
        <f>IF(AND(AND(AND(AM$4&gt;='2025'!$L170,AM$4&lt;='2025'!$M170), AM$4&lt;&gt;DATE(2025,7,4)), (SWITCH(weekday(AM$4), 1, 0, 2, if(ISBLANK('2025'!$P170), 0, 1), 3, if(ISBLANK('2025'!$Q170), 0, 1), 4, if(ISBLANK('2025'!$R170), 0, 1), 5, if(ISBLANK('2025'!$S170), 0, 1), 6, if(ISBLANK('2025'!$T170), 0, 1), 7, 0))), 1, "")</f>
        <v/>
      </c>
      <c r="AN172" s="1" t="str">
        <f>IF(AND(AND(AND(AN$4&gt;='2025'!$L170,AN$4&lt;='2025'!$M170), AN$4&lt;&gt;DATE(2025,7,4)), (SWITCH(weekday(AN$4), 1, 0, 2, if(ISBLANK('2025'!$P170), 0, 1), 3, if(ISBLANK('2025'!$Q170), 0, 1), 4, if(ISBLANK('2025'!$R170), 0, 1), 5, if(ISBLANK('2025'!$S170), 0, 1), 6, if(ISBLANK('2025'!$T170), 0, 1), 7, 0))), 1, "")</f>
        <v/>
      </c>
      <c r="AO172" s="1" t="str">
        <f>IF(AND(AND(AND(AO$4&gt;='2025'!$L170,AO$4&lt;='2025'!$M170), AO$4&lt;&gt;DATE(2025,7,4)), (SWITCH(weekday(AO$4), 1, 0, 2, if(ISBLANK('2025'!$P170), 0, 1), 3, if(ISBLANK('2025'!$Q170), 0, 1), 4, if(ISBLANK('2025'!$R170), 0, 1), 5, if(ISBLANK('2025'!$S170), 0, 1), 6, if(ISBLANK('2025'!$T170), 0, 1), 7, 0))), 1, "")</f>
        <v/>
      </c>
      <c r="AP172" s="1" t="str">
        <f>IF(AND(AND(AND(AP$4&gt;='2025'!$L170,AP$4&lt;='2025'!$M170), AP$4&lt;&gt;DATE(2025,7,4)), (SWITCH(weekday(AP$4), 1, 0, 2, if(ISBLANK('2025'!$P170), 0, 1), 3, if(ISBLANK('2025'!$Q170), 0, 1), 4, if(ISBLANK('2025'!$R170), 0, 1), 5, if(ISBLANK('2025'!$S170), 0, 1), 6, if(ISBLANK('2025'!$T170), 0, 1), 7, 0))), 1, "")</f>
        <v/>
      </c>
      <c r="AQ172" s="1" t="str">
        <f>IF(AND(AND(AND(AQ$4&gt;='2025'!$L170,AQ$4&lt;='2025'!$M170), AQ$4&lt;&gt;DATE(2025,7,4)), (SWITCH(weekday(AQ$4), 1, 0, 2, if(ISBLANK('2025'!$P170), 0, 1), 3, if(ISBLANK('2025'!$Q170), 0, 1), 4, if(ISBLANK('2025'!$R170), 0, 1), 5, if(ISBLANK('2025'!$S170), 0, 1), 6, if(ISBLANK('2025'!$T170), 0, 1), 7, 0))), 1, "")</f>
        <v/>
      </c>
      <c r="AR172" s="1" t="str">
        <f>IF(AND(AND(AND(AR$4&gt;='2025'!$L170,AR$4&lt;='2025'!$M170), AR$4&lt;&gt;DATE(2025,7,4)), (SWITCH(weekday(AR$4), 1, 0, 2, if(ISBLANK('2025'!$P170), 0, 1), 3, if(ISBLANK('2025'!$Q170), 0, 1), 4, if(ISBLANK('2025'!$R170), 0, 1), 5, if(ISBLANK('2025'!$S170), 0, 1), 6, if(ISBLANK('2025'!$T170), 0, 1), 7, 0))), 1, "")</f>
        <v/>
      </c>
      <c r="AS172" s="1" t="str">
        <f>IF(AND(AND(AND(AS$4&gt;='2025'!$L170,AS$4&lt;='2025'!$M170), AS$4&lt;&gt;DATE(2025,7,4)), (SWITCH(weekday(AS$4), 1, 0, 2, if(ISBLANK('2025'!$P170), 0, 1), 3, if(ISBLANK('2025'!$Q170), 0, 1), 4, if(ISBLANK('2025'!$R170), 0, 1), 5, if(ISBLANK('2025'!$S170), 0, 1), 6, if(ISBLANK('2025'!$T170), 0, 1), 7, 0))), 1, "")</f>
        <v/>
      </c>
      <c r="AT172" s="1" t="str">
        <f>IF(AND(AND(AND(AT$4&gt;='2025'!$L170,AT$4&lt;='2025'!$M170), AT$4&lt;&gt;DATE(2025,7,4)), (SWITCH(weekday(AT$4), 1, 0, 2, if(ISBLANK('2025'!$P170), 0, 1), 3, if(ISBLANK('2025'!$Q170), 0, 1), 4, if(ISBLANK('2025'!$R170), 0, 1), 5, if(ISBLANK('2025'!$S170), 0, 1), 6, if(ISBLANK('2025'!$T170), 0, 1), 7, 0))), 1, "")</f>
        <v/>
      </c>
      <c r="AU172" s="1" t="str">
        <f>IF(AND(AND(AND(AU$4&gt;='2025'!$L170,AU$4&lt;='2025'!$M170), AU$4&lt;&gt;DATE(2025,7,4)), (SWITCH(weekday(AU$4), 1, 0, 2, if(ISBLANK('2025'!$P170), 0, 1), 3, if(ISBLANK('2025'!$Q170), 0, 1), 4, if(ISBLANK('2025'!$R170), 0, 1), 5, if(ISBLANK('2025'!$S170), 0, 1), 6, if(ISBLANK('2025'!$T170), 0, 1), 7, 0))), 1, "")</f>
        <v/>
      </c>
      <c r="AV172" s="1" t="str">
        <f>IF(AND(AND(AND(AV$4&gt;='2025'!$L170,AV$4&lt;='2025'!$M170), AV$4&lt;&gt;DATE(2025,7,4)), (SWITCH(weekday(AV$4), 1, 0, 2, if(ISBLANK('2025'!$P170), 0, 1), 3, if(ISBLANK('2025'!$Q170), 0, 1), 4, if(ISBLANK('2025'!$R170), 0, 1), 5, if(ISBLANK('2025'!$S170), 0, 1), 6, if(ISBLANK('2025'!$T170), 0, 1), 7, 0))), 1, "")</f>
        <v/>
      </c>
      <c r="AW172" s="1" t="str">
        <f>IF(AND(AND(AND(AW$4&gt;='2025'!$L170,AW$4&lt;='2025'!$M170), AW$4&lt;&gt;DATE(2025,7,4)), (SWITCH(weekday(AW$4), 1, 0, 2, if(ISBLANK('2025'!$P170), 0, 1), 3, if(ISBLANK('2025'!$Q170), 0, 1), 4, if(ISBLANK('2025'!$R170), 0, 1), 5, if(ISBLANK('2025'!$S170), 0, 1), 6, if(ISBLANK('2025'!$T170), 0, 1), 7, 0))), 1, "")</f>
        <v/>
      </c>
      <c r="AX172" s="1" t="str">
        <f>IF(AND(AND(AND(AX$4&gt;='2025'!$L170,AX$4&lt;='2025'!$M170), AX$4&lt;&gt;DATE(2025,7,4)), (SWITCH(weekday(AX$4), 1, 0, 2, if(ISBLANK('2025'!$P170), 0, 1), 3, if(ISBLANK('2025'!$Q170), 0, 1), 4, if(ISBLANK('2025'!$R170), 0, 1), 5, if(ISBLANK('2025'!$S170), 0, 1), 6, if(ISBLANK('2025'!$T170), 0, 1), 7, 0))), 1, "")</f>
        <v/>
      </c>
      <c r="AY172" s="1" t="str">
        <f>IF(AND(AND(AND(AY$4&gt;='2025'!$L170,AY$4&lt;='2025'!$M170), AY$4&lt;&gt;DATE(2025,7,4)), (SWITCH(weekday(AY$4), 1, 0, 2, if(ISBLANK('2025'!$P170), 0, 1), 3, if(ISBLANK('2025'!$Q170), 0, 1), 4, if(ISBLANK('2025'!$R170), 0, 1), 5, if(ISBLANK('2025'!$S170), 0, 1), 6, if(ISBLANK('2025'!$T170), 0, 1), 7, 0))), 1, "")</f>
        <v/>
      </c>
      <c r="AZ172" s="1" t="str">
        <f>IF(AND(AND(AND(AZ$4&gt;='2025'!$L170,AZ$4&lt;='2025'!$M170), AZ$4&lt;&gt;DATE(2025,7,4)), (SWITCH(weekday(AZ$4), 1, 0, 2, if(ISBLANK('2025'!$P170), 0, 1), 3, if(ISBLANK('2025'!$Q170), 0, 1), 4, if(ISBLANK('2025'!$R170), 0, 1), 5, if(ISBLANK('2025'!$S170), 0, 1), 6, if(ISBLANK('2025'!$T170), 0, 1), 7, 0))), 1, "")</f>
        <v/>
      </c>
      <c r="BA172" s="1" t="str">
        <f>IF(AND(AND(AND(BA$4&gt;='2025'!$L170,BA$4&lt;='2025'!$M170), BA$4&lt;&gt;DATE(2025,7,4)), (SWITCH(weekday(BA$4), 1, 0, 2, if(ISBLANK('2025'!$P170), 0, 1), 3, if(ISBLANK('2025'!$Q170), 0, 1), 4, if(ISBLANK('2025'!$R170), 0, 1), 5, if(ISBLANK('2025'!$S170), 0, 1), 6, if(ISBLANK('2025'!$T170), 0, 1), 7, 0))), 1, "")</f>
        <v/>
      </c>
      <c r="BB172" s="1" t="str">
        <f>IF(AND(AND(AND(BB$4&gt;='2025'!$L170,BB$4&lt;='2025'!$M170), BB$4&lt;&gt;DATE(2025,7,4)), (SWITCH(weekday(BB$4), 1, 0, 2, if(ISBLANK('2025'!$P170), 0, 1), 3, if(ISBLANK('2025'!$Q170), 0, 1), 4, if(ISBLANK('2025'!$R170), 0, 1), 5, if(ISBLANK('2025'!$S170), 0, 1), 6, if(ISBLANK('2025'!$T170), 0, 1), 7, 0))), 1, "")</f>
        <v/>
      </c>
      <c r="BC172" s="1" t="str">
        <f>IF(AND(AND(AND(BC$4&gt;='2025'!$L170,BC$4&lt;='2025'!$M170), BC$4&lt;&gt;DATE(2025,7,4)), (SWITCH(weekday(BC$4), 1, 0, 2, if(ISBLANK('2025'!$P170), 0, 1), 3, if(ISBLANK('2025'!$Q170), 0, 1), 4, if(ISBLANK('2025'!$R170), 0, 1), 5, if(ISBLANK('2025'!$S170), 0, 1), 6, if(ISBLANK('2025'!$T170), 0, 1), 7, 0))), 1, "")</f>
        <v/>
      </c>
      <c r="BD172" s="1" t="str">
        <f>IF(AND(AND(AND(BD$4&gt;='2025'!$L170,BD$4&lt;='2025'!$M170), BD$4&lt;&gt;DATE(2025,7,4)), (SWITCH(weekday(BD$4), 1, 0, 2, if(ISBLANK('2025'!$P170), 0, 1), 3, if(ISBLANK('2025'!$Q170), 0, 1), 4, if(ISBLANK('2025'!$R170), 0, 1), 5, if(ISBLANK('2025'!$S170), 0, 1), 6, if(ISBLANK('2025'!$T170), 0, 1), 7, 0))), 1, "")</f>
        <v/>
      </c>
      <c r="BE172" s="1" t="str">
        <f>IF(AND(AND(AND(BE$4&gt;='2025'!$L170,BE$4&lt;='2025'!$M170), BE$4&lt;&gt;DATE(2025,7,4)), (SWITCH(weekday(BE$4), 1, 0, 2, if(ISBLANK('2025'!$P170), 0, 1), 3, if(ISBLANK('2025'!$Q170), 0, 1), 4, if(ISBLANK('2025'!$R170), 0, 1), 5, if(ISBLANK('2025'!$S170), 0, 1), 6, if(ISBLANK('2025'!$T170), 0, 1), 7, 0))), 1, "")</f>
        <v/>
      </c>
      <c r="BF172" s="1" t="str">
        <f>IF(AND(AND(AND(BF$4&gt;='2025'!$L170,BF$4&lt;='2025'!$M170), BF$4&lt;&gt;DATE(2025,7,4)), (SWITCH(weekday(BF$4), 1, 0, 2, if(ISBLANK('2025'!$P170), 0, 1), 3, if(ISBLANK('2025'!$Q170), 0, 1), 4, if(ISBLANK('2025'!$R170), 0, 1), 5, if(ISBLANK('2025'!$S170), 0, 1), 6, if(ISBLANK('2025'!$T170), 0, 1), 7, 0))), 1, "")</f>
        <v/>
      </c>
      <c r="BG172" s="1"/>
      <c r="BH172" s="1"/>
      <c r="BI172" s="1"/>
      <c r="BJ172" s="1"/>
      <c r="BK172" s="1"/>
      <c r="BL172" s="1"/>
    </row>
    <row r="173">
      <c r="A173" s="1">
        <f t="shared" si="3"/>
        <v>173</v>
      </c>
      <c r="B173" s="1" t="str">
        <f>'2025'!D137</f>
        <v>, </v>
      </c>
      <c r="C173" s="1" t="str">
        <f>'2025'!H137</f>
        <v/>
      </c>
      <c r="D173" s="1" t="str">
        <f>IF(AND(AND(AND(D$4&gt;='2025'!$L171,D$4&lt;='2025'!$M171), D$4&lt;&gt;DATE(2025,7,4)), (SWITCH(weekday(D$4), 1, 0, 2, if(ISBLANK('2025'!$P171), 0, 1), 3, if(ISBLANK('2025'!$Q171), 0, 1), 4, if(ISBLANK('2025'!$R171), 0, 1), 5, if(ISBLANK('2025'!$S171), 0, 1), 6, if(ISBLANK('2025'!$T171), 0, 1), 7, 0))), 1, "")</f>
        <v/>
      </c>
      <c r="E173" s="1" t="str">
        <f>IF(AND(AND(AND(E$4&gt;='2025'!$L171,E$4&lt;='2025'!$M171), E$4&lt;&gt;DATE(2025,7,4)), (SWITCH(weekday(E$4), 1, 0, 2, if(ISBLANK('2025'!$P171), 0, 1), 3, if(ISBLANK('2025'!$Q171), 0, 1), 4, if(ISBLANK('2025'!$R171), 0, 1), 5, if(ISBLANK('2025'!$S171), 0, 1), 6, if(ISBLANK('2025'!$T171), 0, 1), 7, 0))), 1, "")</f>
        <v/>
      </c>
      <c r="F173" s="1" t="str">
        <f>IF(AND(AND(AND(F$4&gt;='2025'!$L171,F$4&lt;='2025'!$M171), F$4&lt;&gt;DATE(2025,7,4)), (SWITCH(weekday(F$4), 1, 0, 2, if(ISBLANK('2025'!$P171), 0, 1), 3, if(ISBLANK('2025'!$Q171), 0, 1), 4, if(ISBLANK('2025'!$R171), 0, 1), 5, if(ISBLANK('2025'!$S171), 0, 1), 6, if(ISBLANK('2025'!$T171), 0, 1), 7, 0))), 1, "")</f>
        <v/>
      </c>
      <c r="G173" s="1" t="str">
        <f>IF(AND(AND(AND(G$4&gt;='2025'!$L171,G$4&lt;='2025'!$M171), G$4&lt;&gt;DATE(2025,7,4)), (SWITCH(weekday(G$4), 1, 0, 2, if(ISBLANK('2025'!$P171), 0, 1), 3, if(ISBLANK('2025'!$Q171), 0, 1), 4, if(ISBLANK('2025'!$R171), 0, 1), 5, if(ISBLANK('2025'!$S171), 0, 1), 6, if(ISBLANK('2025'!$T171), 0, 1), 7, 0))), 1, "")</f>
        <v/>
      </c>
      <c r="H173" s="1" t="str">
        <f>IF(AND(AND(AND(H$4&gt;='2025'!$L171,H$4&lt;='2025'!$M171), H$4&lt;&gt;DATE(2025,7,4)), (SWITCH(weekday(H$4), 1, 0, 2, if(ISBLANK('2025'!$P171), 0, 1), 3, if(ISBLANK('2025'!$Q171), 0, 1), 4, if(ISBLANK('2025'!$R171), 0, 1), 5, if(ISBLANK('2025'!$S171), 0, 1), 6, if(ISBLANK('2025'!$T171), 0, 1), 7, 0))), 1, "")</f>
        <v/>
      </c>
      <c r="I173" s="1" t="str">
        <f>IF(AND(AND(AND(I$4&gt;='2025'!$L171,I$4&lt;='2025'!$M171), I$4&lt;&gt;DATE(2025,7,4)), (SWITCH(weekday(I$4), 1, 0, 2, if(ISBLANK('2025'!$P171), 0, 1), 3, if(ISBLANK('2025'!$Q171), 0, 1), 4, if(ISBLANK('2025'!$R171), 0, 1), 5, if(ISBLANK('2025'!$S171), 0, 1), 6, if(ISBLANK('2025'!$T171), 0, 1), 7, 0))), 1, "")</f>
        <v/>
      </c>
      <c r="J173" s="1" t="str">
        <f>IF(AND(AND(AND(J$4&gt;='2025'!$L171,J$4&lt;='2025'!$M171), J$4&lt;&gt;DATE(2025,7,4)), (SWITCH(weekday(J$4), 1, 0, 2, if(ISBLANK('2025'!$P171), 0, 1), 3, if(ISBLANK('2025'!$Q171), 0, 1), 4, if(ISBLANK('2025'!$R171), 0, 1), 5, if(ISBLANK('2025'!$S171), 0, 1), 6, if(ISBLANK('2025'!$T171), 0, 1), 7, 0))), 1, "")</f>
        <v/>
      </c>
      <c r="K173" s="1" t="str">
        <f>IF(AND(AND(AND(K$4&gt;='2025'!$L171,K$4&lt;='2025'!$M171), K$4&lt;&gt;DATE(2025,7,4)), (SWITCH(weekday(K$4), 1, 0, 2, if(ISBLANK('2025'!$P171), 0, 1), 3, if(ISBLANK('2025'!$Q171), 0, 1), 4, if(ISBLANK('2025'!$R171), 0, 1), 5, if(ISBLANK('2025'!$S171), 0, 1), 6, if(ISBLANK('2025'!$T171), 0, 1), 7, 0))), 1, "")</f>
        <v/>
      </c>
      <c r="L173" s="1" t="str">
        <f>IF(AND(AND(AND(L$4&gt;='2025'!$L171,L$4&lt;='2025'!$M171), L$4&lt;&gt;DATE(2025,7,4)), (SWITCH(weekday(L$4), 1, 0, 2, if(ISBLANK('2025'!$P171), 0, 1), 3, if(ISBLANK('2025'!$Q171), 0, 1), 4, if(ISBLANK('2025'!$R171), 0, 1), 5, if(ISBLANK('2025'!$S171), 0, 1), 6, if(ISBLANK('2025'!$T171), 0, 1), 7, 0))), 1, "")</f>
        <v/>
      </c>
      <c r="M173" s="1" t="str">
        <f>IF(AND(AND(AND(M$4&gt;='2025'!$L171,M$4&lt;='2025'!$M171), M$4&lt;&gt;DATE(2025,7,4)), (SWITCH(weekday(M$4), 1, 0, 2, if(ISBLANK('2025'!$P171), 0, 1), 3, if(ISBLANK('2025'!$Q171), 0, 1), 4, if(ISBLANK('2025'!$R171), 0, 1), 5, if(ISBLANK('2025'!$S171), 0, 1), 6, if(ISBLANK('2025'!$T171), 0, 1), 7, 0))), 1, "")</f>
        <v/>
      </c>
      <c r="N173" s="1" t="str">
        <f>IF(AND(AND(AND(N$4&gt;='2025'!$L171,N$4&lt;='2025'!$M171), N$4&lt;&gt;DATE(2025,7,4)), (SWITCH(weekday(N$4), 1, 0, 2, if(ISBLANK('2025'!$P171), 0, 1), 3, if(ISBLANK('2025'!$Q171), 0, 1), 4, if(ISBLANK('2025'!$R171), 0, 1), 5, if(ISBLANK('2025'!$S171), 0, 1), 6, if(ISBLANK('2025'!$T171), 0, 1), 7, 0))), 1, "")</f>
        <v/>
      </c>
      <c r="O173" s="1" t="str">
        <f>IF(AND(AND(AND(O$4&gt;='2025'!$L171,O$4&lt;='2025'!$M171), O$4&lt;&gt;DATE(2025,7,4)), (SWITCH(weekday(O$4), 1, 0, 2, if(ISBLANK('2025'!$P171), 0, 1), 3, if(ISBLANK('2025'!$Q171), 0, 1), 4, if(ISBLANK('2025'!$R171), 0, 1), 5, if(ISBLANK('2025'!$S171), 0, 1), 6, if(ISBLANK('2025'!$T171), 0, 1), 7, 0))), 1, "")</f>
        <v/>
      </c>
      <c r="P173" s="1" t="str">
        <f>IF(AND(AND(AND(P$4&gt;='2025'!$L171,P$4&lt;='2025'!$M171), P$4&lt;&gt;DATE(2025,7,4)), (SWITCH(weekday(P$4), 1, 0, 2, if(ISBLANK('2025'!$P171), 0, 1), 3, if(ISBLANK('2025'!$Q171), 0, 1), 4, if(ISBLANK('2025'!$R171), 0, 1), 5, if(ISBLANK('2025'!$S171), 0, 1), 6, if(ISBLANK('2025'!$T171), 0, 1), 7, 0))), 1, "")</f>
        <v/>
      </c>
      <c r="Q173" s="1" t="str">
        <f>IF(AND(AND(AND(Q$4&gt;='2025'!$L171,Q$4&lt;='2025'!$M171), Q$4&lt;&gt;DATE(2025,7,4)), (SWITCH(weekday(Q$4), 1, 0, 2, if(ISBLANK('2025'!$P171), 0, 1), 3, if(ISBLANK('2025'!$Q171), 0, 1), 4, if(ISBLANK('2025'!$R171), 0, 1), 5, if(ISBLANK('2025'!$S171), 0, 1), 6, if(ISBLANK('2025'!$T171), 0, 1), 7, 0))), 1, "")</f>
        <v/>
      </c>
      <c r="R173" s="1" t="str">
        <f>IF(AND(AND(AND(R$4&gt;='2025'!$L171,R$4&lt;='2025'!$M171), R$4&lt;&gt;DATE(2025,7,4)), (SWITCH(weekday(R$4), 1, 0, 2, if(ISBLANK('2025'!$P171), 0, 1), 3, if(ISBLANK('2025'!$Q171), 0, 1), 4, if(ISBLANK('2025'!$R171), 0, 1), 5, if(ISBLANK('2025'!$S171), 0, 1), 6, if(ISBLANK('2025'!$T171), 0, 1), 7, 0))), 1, "")</f>
        <v/>
      </c>
      <c r="S173" s="1" t="str">
        <f>IF(AND(AND(AND(S$4&gt;='2025'!$L171,S$4&lt;='2025'!$M171), S$4&lt;&gt;DATE(2025,7,4)), (SWITCH(weekday(S$4), 1, 0, 2, if(ISBLANK('2025'!$P171), 0, 1), 3, if(ISBLANK('2025'!$Q171), 0, 1), 4, if(ISBLANK('2025'!$R171), 0, 1), 5, if(ISBLANK('2025'!$S171), 0, 1), 6, if(ISBLANK('2025'!$T171), 0, 1), 7, 0))), 1, "")</f>
        <v/>
      </c>
      <c r="T173" s="1" t="str">
        <f>IF(AND(AND(AND(T$4&gt;='2025'!$L171,T$4&lt;='2025'!$M171), T$4&lt;&gt;DATE(2025,7,4)), (SWITCH(weekday(T$4), 1, 0, 2, if(ISBLANK('2025'!$P171), 0, 1), 3, if(ISBLANK('2025'!$Q171), 0, 1), 4, if(ISBLANK('2025'!$R171), 0, 1), 5, if(ISBLANK('2025'!$S171), 0, 1), 6, if(ISBLANK('2025'!$T171), 0, 1), 7, 0))), 1, "")</f>
        <v/>
      </c>
      <c r="U173" s="1" t="str">
        <f>IF(AND(AND(AND(U$4&gt;='2025'!$L171,U$4&lt;='2025'!$M171), U$4&lt;&gt;DATE(2025,7,4)), (SWITCH(weekday(U$4), 1, 0, 2, if(ISBLANK('2025'!$P171), 0, 1), 3, if(ISBLANK('2025'!$Q171), 0, 1), 4, if(ISBLANK('2025'!$R171), 0, 1), 5, if(ISBLANK('2025'!$S171), 0, 1), 6, if(ISBLANK('2025'!$T171), 0, 1), 7, 0))), 1, "")</f>
        <v/>
      </c>
      <c r="V173" s="1" t="str">
        <f>IF(AND(AND(AND(V$4&gt;='2025'!$L171,V$4&lt;='2025'!$M171), V$4&lt;&gt;DATE(2025,7,4)), (SWITCH(weekday(V$4), 1, 0, 2, if(ISBLANK('2025'!$P171), 0, 1), 3, if(ISBLANK('2025'!$Q171), 0, 1), 4, if(ISBLANK('2025'!$R171), 0, 1), 5, if(ISBLANK('2025'!$S171), 0, 1), 6, if(ISBLANK('2025'!$T171), 0, 1), 7, 0))), 1, "")</f>
        <v/>
      </c>
      <c r="W173" s="1" t="str">
        <f>IF(AND(AND(AND(W$4&gt;='2025'!$L171,W$4&lt;='2025'!$M171), W$4&lt;&gt;DATE(2025,7,4)), (SWITCH(weekday(W$4), 1, 0, 2, if(ISBLANK('2025'!$P171), 0, 1), 3, if(ISBLANK('2025'!$Q171), 0, 1), 4, if(ISBLANK('2025'!$R171), 0, 1), 5, if(ISBLANK('2025'!$S171), 0, 1), 6, if(ISBLANK('2025'!$T171), 0, 1), 7, 0))), 1, "")</f>
        <v/>
      </c>
      <c r="X173" s="1" t="str">
        <f>IF(AND(AND(AND(X$4&gt;='2025'!$L171,X$4&lt;='2025'!$M171), X$4&lt;&gt;DATE(2025,7,4)), (SWITCH(weekday(X$4), 1, 0, 2, if(ISBLANK('2025'!$P171), 0, 1), 3, if(ISBLANK('2025'!$Q171), 0, 1), 4, if(ISBLANK('2025'!$R171), 0, 1), 5, if(ISBLANK('2025'!$S171), 0, 1), 6, if(ISBLANK('2025'!$T171), 0, 1), 7, 0))), 1, "")</f>
        <v/>
      </c>
      <c r="Y173" s="1" t="str">
        <f>IF(AND(AND(AND(Y$4&gt;='2025'!$L171,Y$4&lt;='2025'!$M171), Y$4&lt;&gt;DATE(2025,7,4)), (SWITCH(weekday(Y$4), 1, 0, 2, if(ISBLANK('2025'!$P171), 0, 1), 3, if(ISBLANK('2025'!$Q171), 0, 1), 4, if(ISBLANK('2025'!$R171), 0, 1), 5, if(ISBLANK('2025'!$S171), 0, 1), 6, if(ISBLANK('2025'!$T171), 0, 1), 7, 0))), 1, "")</f>
        <v/>
      </c>
      <c r="Z173" s="1" t="str">
        <f>IF(AND(AND(AND(Z$4&gt;='2025'!$L171,Z$4&lt;='2025'!$M171), Z$4&lt;&gt;DATE(2025,7,4)), (SWITCH(weekday(Z$4), 1, 0, 2, if(ISBLANK('2025'!$P171), 0, 1), 3, if(ISBLANK('2025'!$Q171), 0, 1), 4, if(ISBLANK('2025'!$R171), 0, 1), 5, if(ISBLANK('2025'!$S171), 0, 1), 6, if(ISBLANK('2025'!$T171), 0, 1), 7, 0))), 1, "")</f>
        <v/>
      </c>
      <c r="AA173" s="1" t="str">
        <f>IF(AND(AND(AND(AA$4&gt;='2025'!$L171,AA$4&lt;='2025'!$M171), AA$4&lt;&gt;DATE(2025,7,4)), (SWITCH(weekday(AA$4), 1, 0, 2, if(ISBLANK('2025'!$P171), 0, 1), 3, if(ISBLANK('2025'!$Q171), 0, 1), 4, if(ISBLANK('2025'!$R171), 0, 1), 5, if(ISBLANK('2025'!$S171), 0, 1), 6, if(ISBLANK('2025'!$T171), 0, 1), 7, 0))), 1, "")</f>
        <v/>
      </c>
      <c r="AB173" s="1" t="str">
        <f>IF(AND(AND(AND(AB$4&gt;='2025'!$L171,AB$4&lt;='2025'!$M171), AB$4&lt;&gt;DATE(2025,7,4)), (SWITCH(weekday(AB$4), 1, 0, 2, if(ISBLANK('2025'!$P171), 0, 1), 3, if(ISBLANK('2025'!$Q171), 0, 1), 4, if(ISBLANK('2025'!$R171), 0, 1), 5, if(ISBLANK('2025'!$S171), 0, 1), 6, if(ISBLANK('2025'!$T171), 0, 1), 7, 0))), 1, "")</f>
        <v/>
      </c>
      <c r="AC173" s="1" t="str">
        <f>IF(AND(AND(AND(AC$4&gt;='2025'!$L171,AC$4&lt;='2025'!$M171), AC$4&lt;&gt;DATE(2025,7,4)), (SWITCH(weekday(AC$4), 1, 0, 2, if(ISBLANK('2025'!$P171), 0, 1), 3, if(ISBLANK('2025'!$Q171), 0, 1), 4, if(ISBLANK('2025'!$R171), 0, 1), 5, if(ISBLANK('2025'!$S171), 0, 1), 6, if(ISBLANK('2025'!$T171), 0, 1), 7, 0))), 1, "")</f>
        <v/>
      </c>
      <c r="AD173" s="1" t="str">
        <f>IF(AND(AND(AND(AD$4&gt;='2025'!$L171,AD$4&lt;='2025'!$M171), AD$4&lt;&gt;DATE(2025,7,4)), (SWITCH(weekday(AD$4), 1, 0, 2, if(ISBLANK('2025'!$P171), 0, 1), 3, if(ISBLANK('2025'!$Q171), 0, 1), 4, if(ISBLANK('2025'!$R171), 0, 1), 5, if(ISBLANK('2025'!$S171), 0, 1), 6, if(ISBLANK('2025'!$T171), 0, 1), 7, 0))), 1, "")</f>
        <v/>
      </c>
      <c r="AE173" s="1" t="str">
        <f>IF(AND(AND(AND(AE$4&gt;='2025'!$L171,AE$4&lt;='2025'!$M171), AE$4&lt;&gt;DATE(2025,7,4)), (SWITCH(weekday(AE$4), 1, 0, 2, if(ISBLANK('2025'!$P171), 0, 1), 3, if(ISBLANK('2025'!$Q171), 0, 1), 4, if(ISBLANK('2025'!$R171), 0, 1), 5, if(ISBLANK('2025'!$S171), 0, 1), 6, if(ISBLANK('2025'!$T171), 0, 1), 7, 0))), 1, "")</f>
        <v/>
      </c>
      <c r="AF173" s="1" t="str">
        <f>IF(AND(AND(AND(AF$4&gt;='2025'!$L171,AF$4&lt;='2025'!$M171), AF$4&lt;&gt;DATE(2025,7,4)), (SWITCH(weekday(AF$4), 1, 0, 2, if(ISBLANK('2025'!$P171), 0, 1), 3, if(ISBLANK('2025'!$Q171), 0, 1), 4, if(ISBLANK('2025'!$R171), 0, 1), 5, if(ISBLANK('2025'!$S171), 0, 1), 6, if(ISBLANK('2025'!$T171), 0, 1), 7, 0))), 1, "")</f>
        <v/>
      </c>
      <c r="AG173" s="1" t="str">
        <f>IF(AND(AND(AND(AG$4&gt;='2025'!$L171,AG$4&lt;='2025'!$M171), AG$4&lt;&gt;DATE(2025,7,4)), (SWITCH(weekday(AG$4), 1, 0, 2, if(ISBLANK('2025'!$P171), 0, 1), 3, if(ISBLANK('2025'!$Q171), 0, 1), 4, if(ISBLANK('2025'!$R171), 0, 1), 5, if(ISBLANK('2025'!$S171), 0, 1), 6, if(ISBLANK('2025'!$T171), 0, 1), 7, 0))), 1, "")</f>
        <v/>
      </c>
      <c r="AH173" s="1" t="str">
        <f>IF(AND(AND(AND(AH$4&gt;='2025'!$L171,AH$4&lt;='2025'!$M171), AH$4&lt;&gt;DATE(2025,7,4)), (SWITCH(weekday(AH$4), 1, 0, 2, if(ISBLANK('2025'!$P171), 0, 1), 3, if(ISBLANK('2025'!$Q171), 0, 1), 4, if(ISBLANK('2025'!$R171), 0, 1), 5, if(ISBLANK('2025'!$S171), 0, 1), 6, if(ISBLANK('2025'!$T171), 0, 1), 7, 0))), 1, "")</f>
        <v/>
      </c>
      <c r="AI173" s="1" t="str">
        <f>IF(AND(AND(AND(AI$4&gt;='2025'!$L171,AI$4&lt;='2025'!$M171), AI$4&lt;&gt;DATE(2025,7,4)), (SWITCH(weekday(AI$4), 1, 0, 2, if(ISBLANK('2025'!$P171), 0, 1), 3, if(ISBLANK('2025'!$Q171), 0, 1), 4, if(ISBLANK('2025'!$R171), 0, 1), 5, if(ISBLANK('2025'!$S171), 0, 1), 6, if(ISBLANK('2025'!$T171), 0, 1), 7, 0))), 1, "")</f>
        <v/>
      </c>
      <c r="AJ173" s="1" t="str">
        <f>IF(AND(AND(AND(AJ$4&gt;='2025'!$L171,AJ$4&lt;='2025'!$M171), AJ$4&lt;&gt;DATE(2025,7,4)), (SWITCH(weekday(AJ$4), 1, 0, 2, if(ISBLANK('2025'!$P171), 0, 1), 3, if(ISBLANK('2025'!$Q171), 0, 1), 4, if(ISBLANK('2025'!$R171), 0, 1), 5, if(ISBLANK('2025'!$S171), 0, 1), 6, if(ISBLANK('2025'!$T171), 0, 1), 7, 0))), 1, "")</f>
        <v/>
      </c>
      <c r="AK173" s="1" t="str">
        <f>IF(AND(AND(AND(AK$4&gt;='2025'!$L171,AK$4&lt;='2025'!$M171), AK$4&lt;&gt;DATE(2025,7,4)), (SWITCH(weekday(AK$4), 1, 0, 2, if(ISBLANK('2025'!$P171), 0, 1), 3, if(ISBLANK('2025'!$Q171), 0, 1), 4, if(ISBLANK('2025'!$R171), 0, 1), 5, if(ISBLANK('2025'!$S171), 0, 1), 6, if(ISBLANK('2025'!$T171), 0, 1), 7, 0))), 1, "")</f>
        <v/>
      </c>
      <c r="AL173" s="1" t="str">
        <f>IF(AND(AND(AND(AL$4&gt;='2025'!$L171,AL$4&lt;='2025'!$M171), AL$4&lt;&gt;DATE(2025,7,4)), (SWITCH(weekday(AL$4), 1, 0, 2, if(ISBLANK('2025'!$P171), 0, 1), 3, if(ISBLANK('2025'!$Q171), 0, 1), 4, if(ISBLANK('2025'!$R171), 0, 1), 5, if(ISBLANK('2025'!$S171), 0, 1), 6, if(ISBLANK('2025'!$T171), 0, 1), 7, 0))), 1, "")</f>
        <v/>
      </c>
      <c r="AM173" s="1" t="str">
        <f>IF(AND(AND(AND(AM$4&gt;='2025'!$L171,AM$4&lt;='2025'!$M171), AM$4&lt;&gt;DATE(2025,7,4)), (SWITCH(weekday(AM$4), 1, 0, 2, if(ISBLANK('2025'!$P171), 0, 1), 3, if(ISBLANK('2025'!$Q171), 0, 1), 4, if(ISBLANK('2025'!$R171), 0, 1), 5, if(ISBLANK('2025'!$S171), 0, 1), 6, if(ISBLANK('2025'!$T171), 0, 1), 7, 0))), 1, "")</f>
        <v/>
      </c>
      <c r="AN173" s="1" t="str">
        <f>IF(AND(AND(AND(AN$4&gt;='2025'!$L171,AN$4&lt;='2025'!$M171), AN$4&lt;&gt;DATE(2025,7,4)), (SWITCH(weekday(AN$4), 1, 0, 2, if(ISBLANK('2025'!$P171), 0, 1), 3, if(ISBLANK('2025'!$Q171), 0, 1), 4, if(ISBLANK('2025'!$R171), 0, 1), 5, if(ISBLANK('2025'!$S171), 0, 1), 6, if(ISBLANK('2025'!$T171), 0, 1), 7, 0))), 1, "")</f>
        <v/>
      </c>
      <c r="AO173" s="1" t="str">
        <f>IF(AND(AND(AND(AO$4&gt;='2025'!$L171,AO$4&lt;='2025'!$M171), AO$4&lt;&gt;DATE(2025,7,4)), (SWITCH(weekday(AO$4), 1, 0, 2, if(ISBLANK('2025'!$P171), 0, 1), 3, if(ISBLANK('2025'!$Q171), 0, 1), 4, if(ISBLANK('2025'!$R171), 0, 1), 5, if(ISBLANK('2025'!$S171), 0, 1), 6, if(ISBLANK('2025'!$T171), 0, 1), 7, 0))), 1, "")</f>
        <v/>
      </c>
      <c r="AP173" s="1" t="str">
        <f>IF(AND(AND(AND(AP$4&gt;='2025'!$L171,AP$4&lt;='2025'!$M171), AP$4&lt;&gt;DATE(2025,7,4)), (SWITCH(weekday(AP$4), 1, 0, 2, if(ISBLANK('2025'!$P171), 0, 1), 3, if(ISBLANK('2025'!$Q171), 0, 1), 4, if(ISBLANK('2025'!$R171), 0, 1), 5, if(ISBLANK('2025'!$S171), 0, 1), 6, if(ISBLANK('2025'!$T171), 0, 1), 7, 0))), 1, "")</f>
        <v/>
      </c>
      <c r="AQ173" s="1" t="str">
        <f>IF(AND(AND(AND(AQ$4&gt;='2025'!$L171,AQ$4&lt;='2025'!$M171), AQ$4&lt;&gt;DATE(2025,7,4)), (SWITCH(weekday(AQ$4), 1, 0, 2, if(ISBLANK('2025'!$P171), 0, 1), 3, if(ISBLANK('2025'!$Q171), 0, 1), 4, if(ISBLANK('2025'!$R171), 0, 1), 5, if(ISBLANK('2025'!$S171), 0, 1), 6, if(ISBLANK('2025'!$T171), 0, 1), 7, 0))), 1, "")</f>
        <v/>
      </c>
      <c r="AR173" s="1" t="str">
        <f>IF(AND(AND(AND(AR$4&gt;='2025'!$L171,AR$4&lt;='2025'!$M171), AR$4&lt;&gt;DATE(2025,7,4)), (SWITCH(weekday(AR$4), 1, 0, 2, if(ISBLANK('2025'!$P171), 0, 1), 3, if(ISBLANK('2025'!$Q171), 0, 1), 4, if(ISBLANK('2025'!$R171), 0, 1), 5, if(ISBLANK('2025'!$S171), 0, 1), 6, if(ISBLANK('2025'!$T171), 0, 1), 7, 0))), 1, "")</f>
        <v/>
      </c>
      <c r="AS173" s="1" t="str">
        <f>IF(AND(AND(AND(AS$4&gt;='2025'!$L171,AS$4&lt;='2025'!$M171), AS$4&lt;&gt;DATE(2025,7,4)), (SWITCH(weekday(AS$4), 1, 0, 2, if(ISBLANK('2025'!$P171), 0, 1), 3, if(ISBLANK('2025'!$Q171), 0, 1), 4, if(ISBLANK('2025'!$R171), 0, 1), 5, if(ISBLANK('2025'!$S171), 0, 1), 6, if(ISBLANK('2025'!$T171), 0, 1), 7, 0))), 1, "")</f>
        <v/>
      </c>
      <c r="AT173" s="1" t="str">
        <f>IF(AND(AND(AND(AT$4&gt;='2025'!$L171,AT$4&lt;='2025'!$M171), AT$4&lt;&gt;DATE(2025,7,4)), (SWITCH(weekday(AT$4), 1, 0, 2, if(ISBLANK('2025'!$P171), 0, 1), 3, if(ISBLANK('2025'!$Q171), 0, 1), 4, if(ISBLANK('2025'!$R171), 0, 1), 5, if(ISBLANK('2025'!$S171), 0, 1), 6, if(ISBLANK('2025'!$T171), 0, 1), 7, 0))), 1, "")</f>
        <v/>
      </c>
      <c r="AU173" s="1" t="str">
        <f>IF(AND(AND(AND(AU$4&gt;='2025'!$L171,AU$4&lt;='2025'!$M171), AU$4&lt;&gt;DATE(2025,7,4)), (SWITCH(weekday(AU$4), 1, 0, 2, if(ISBLANK('2025'!$P171), 0, 1), 3, if(ISBLANK('2025'!$Q171), 0, 1), 4, if(ISBLANK('2025'!$R171), 0, 1), 5, if(ISBLANK('2025'!$S171), 0, 1), 6, if(ISBLANK('2025'!$T171), 0, 1), 7, 0))), 1, "")</f>
        <v/>
      </c>
      <c r="AV173" s="1" t="str">
        <f>IF(AND(AND(AND(AV$4&gt;='2025'!$L171,AV$4&lt;='2025'!$M171), AV$4&lt;&gt;DATE(2025,7,4)), (SWITCH(weekday(AV$4), 1, 0, 2, if(ISBLANK('2025'!$P171), 0, 1), 3, if(ISBLANK('2025'!$Q171), 0, 1), 4, if(ISBLANK('2025'!$R171), 0, 1), 5, if(ISBLANK('2025'!$S171), 0, 1), 6, if(ISBLANK('2025'!$T171), 0, 1), 7, 0))), 1, "")</f>
        <v/>
      </c>
      <c r="AW173" s="1" t="str">
        <f>IF(AND(AND(AND(AW$4&gt;='2025'!$L171,AW$4&lt;='2025'!$M171), AW$4&lt;&gt;DATE(2025,7,4)), (SWITCH(weekday(AW$4), 1, 0, 2, if(ISBLANK('2025'!$P171), 0, 1), 3, if(ISBLANK('2025'!$Q171), 0, 1), 4, if(ISBLANK('2025'!$R171), 0, 1), 5, if(ISBLANK('2025'!$S171), 0, 1), 6, if(ISBLANK('2025'!$T171), 0, 1), 7, 0))), 1, "")</f>
        <v/>
      </c>
      <c r="AX173" s="1" t="str">
        <f>IF(AND(AND(AND(AX$4&gt;='2025'!$L171,AX$4&lt;='2025'!$M171), AX$4&lt;&gt;DATE(2025,7,4)), (SWITCH(weekday(AX$4), 1, 0, 2, if(ISBLANK('2025'!$P171), 0, 1), 3, if(ISBLANK('2025'!$Q171), 0, 1), 4, if(ISBLANK('2025'!$R171), 0, 1), 5, if(ISBLANK('2025'!$S171), 0, 1), 6, if(ISBLANK('2025'!$T171), 0, 1), 7, 0))), 1, "")</f>
        <v/>
      </c>
      <c r="AY173" s="1" t="str">
        <f>IF(AND(AND(AND(AY$4&gt;='2025'!$L171,AY$4&lt;='2025'!$M171), AY$4&lt;&gt;DATE(2025,7,4)), (SWITCH(weekday(AY$4), 1, 0, 2, if(ISBLANK('2025'!$P171), 0, 1), 3, if(ISBLANK('2025'!$Q171), 0, 1), 4, if(ISBLANK('2025'!$R171), 0, 1), 5, if(ISBLANK('2025'!$S171), 0, 1), 6, if(ISBLANK('2025'!$T171), 0, 1), 7, 0))), 1, "")</f>
        <v/>
      </c>
      <c r="AZ173" s="1" t="str">
        <f>IF(AND(AND(AND(AZ$4&gt;='2025'!$L171,AZ$4&lt;='2025'!$M171), AZ$4&lt;&gt;DATE(2025,7,4)), (SWITCH(weekday(AZ$4), 1, 0, 2, if(ISBLANK('2025'!$P171), 0, 1), 3, if(ISBLANK('2025'!$Q171), 0, 1), 4, if(ISBLANK('2025'!$R171), 0, 1), 5, if(ISBLANK('2025'!$S171), 0, 1), 6, if(ISBLANK('2025'!$T171), 0, 1), 7, 0))), 1, "")</f>
        <v/>
      </c>
      <c r="BA173" s="1" t="str">
        <f>IF(AND(AND(AND(BA$4&gt;='2025'!$L171,BA$4&lt;='2025'!$M171), BA$4&lt;&gt;DATE(2025,7,4)), (SWITCH(weekday(BA$4), 1, 0, 2, if(ISBLANK('2025'!$P171), 0, 1), 3, if(ISBLANK('2025'!$Q171), 0, 1), 4, if(ISBLANK('2025'!$R171), 0, 1), 5, if(ISBLANK('2025'!$S171), 0, 1), 6, if(ISBLANK('2025'!$T171), 0, 1), 7, 0))), 1, "")</f>
        <v/>
      </c>
      <c r="BB173" s="1" t="str">
        <f>IF(AND(AND(AND(BB$4&gt;='2025'!$L171,BB$4&lt;='2025'!$M171), BB$4&lt;&gt;DATE(2025,7,4)), (SWITCH(weekday(BB$4), 1, 0, 2, if(ISBLANK('2025'!$P171), 0, 1), 3, if(ISBLANK('2025'!$Q171), 0, 1), 4, if(ISBLANK('2025'!$R171), 0, 1), 5, if(ISBLANK('2025'!$S171), 0, 1), 6, if(ISBLANK('2025'!$T171), 0, 1), 7, 0))), 1, "")</f>
        <v/>
      </c>
      <c r="BC173" s="1" t="str">
        <f>IF(AND(AND(AND(BC$4&gt;='2025'!$L171,BC$4&lt;='2025'!$M171), BC$4&lt;&gt;DATE(2025,7,4)), (SWITCH(weekday(BC$4), 1, 0, 2, if(ISBLANK('2025'!$P171), 0, 1), 3, if(ISBLANK('2025'!$Q171), 0, 1), 4, if(ISBLANK('2025'!$R171), 0, 1), 5, if(ISBLANK('2025'!$S171), 0, 1), 6, if(ISBLANK('2025'!$T171), 0, 1), 7, 0))), 1, "")</f>
        <v/>
      </c>
      <c r="BD173" s="1" t="str">
        <f>IF(AND(AND(AND(BD$4&gt;='2025'!$L171,BD$4&lt;='2025'!$M171), BD$4&lt;&gt;DATE(2025,7,4)), (SWITCH(weekday(BD$4), 1, 0, 2, if(ISBLANK('2025'!$P171), 0, 1), 3, if(ISBLANK('2025'!$Q171), 0, 1), 4, if(ISBLANK('2025'!$R171), 0, 1), 5, if(ISBLANK('2025'!$S171), 0, 1), 6, if(ISBLANK('2025'!$T171), 0, 1), 7, 0))), 1, "")</f>
        <v/>
      </c>
      <c r="BE173" s="1" t="str">
        <f>IF(AND(AND(AND(BE$4&gt;='2025'!$L171,BE$4&lt;='2025'!$M171), BE$4&lt;&gt;DATE(2025,7,4)), (SWITCH(weekday(BE$4), 1, 0, 2, if(ISBLANK('2025'!$P171), 0, 1), 3, if(ISBLANK('2025'!$Q171), 0, 1), 4, if(ISBLANK('2025'!$R171), 0, 1), 5, if(ISBLANK('2025'!$S171), 0, 1), 6, if(ISBLANK('2025'!$T171), 0, 1), 7, 0))), 1, "")</f>
        <v/>
      </c>
      <c r="BF173" s="1" t="str">
        <f>IF(AND(AND(AND(BF$4&gt;='2025'!$L171,BF$4&lt;='2025'!$M171), BF$4&lt;&gt;DATE(2025,7,4)), (SWITCH(weekday(BF$4), 1, 0, 2, if(ISBLANK('2025'!$P171), 0, 1), 3, if(ISBLANK('2025'!$Q171), 0, 1), 4, if(ISBLANK('2025'!$R171), 0, 1), 5, if(ISBLANK('2025'!$S171), 0, 1), 6, if(ISBLANK('2025'!$T171), 0, 1), 7, 0))), 1, "")</f>
        <v/>
      </c>
      <c r="BG173" s="1"/>
      <c r="BH173" s="1"/>
      <c r="BI173" s="1"/>
      <c r="BJ173" s="1"/>
      <c r="BK173" s="1"/>
      <c r="BL173" s="1"/>
    </row>
    <row r="174">
      <c r="A174" s="1">
        <f t="shared" si="3"/>
        <v>174</v>
      </c>
      <c r="B174" s="1" t="str">
        <f>'2025'!D138</f>
        <v>, </v>
      </c>
      <c r="C174" s="1" t="str">
        <f>'2025'!H138</f>
        <v/>
      </c>
      <c r="D174" s="1" t="str">
        <f>IF(AND(AND(AND(D$4&gt;='2025'!$L172,D$4&lt;='2025'!$M172), D$4&lt;&gt;DATE(2025,7,4)), (SWITCH(weekday(D$4), 1, 0, 2, if(ISBLANK('2025'!$P172), 0, 1), 3, if(ISBLANK('2025'!$Q172), 0, 1), 4, if(ISBLANK('2025'!$R172), 0, 1), 5, if(ISBLANK('2025'!$S172), 0, 1), 6, if(ISBLANK('2025'!$T172), 0, 1), 7, 0))), 1, "")</f>
        <v/>
      </c>
      <c r="E174" s="1" t="str">
        <f>IF(AND(AND(AND(E$4&gt;='2025'!$L172,E$4&lt;='2025'!$M172), E$4&lt;&gt;DATE(2025,7,4)), (SWITCH(weekday(E$4), 1, 0, 2, if(ISBLANK('2025'!$P172), 0, 1), 3, if(ISBLANK('2025'!$Q172), 0, 1), 4, if(ISBLANK('2025'!$R172), 0, 1), 5, if(ISBLANK('2025'!$S172), 0, 1), 6, if(ISBLANK('2025'!$T172), 0, 1), 7, 0))), 1, "")</f>
        <v/>
      </c>
      <c r="F174" s="1" t="str">
        <f>IF(AND(AND(AND(F$4&gt;='2025'!$L172,F$4&lt;='2025'!$M172), F$4&lt;&gt;DATE(2025,7,4)), (SWITCH(weekday(F$4), 1, 0, 2, if(ISBLANK('2025'!$P172), 0, 1), 3, if(ISBLANK('2025'!$Q172), 0, 1), 4, if(ISBLANK('2025'!$R172), 0, 1), 5, if(ISBLANK('2025'!$S172), 0, 1), 6, if(ISBLANK('2025'!$T172), 0, 1), 7, 0))), 1, "")</f>
        <v/>
      </c>
      <c r="G174" s="1" t="str">
        <f>IF(AND(AND(AND(G$4&gt;='2025'!$L172,G$4&lt;='2025'!$M172), G$4&lt;&gt;DATE(2025,7,4)), (SWITCH(weekday(G$4), 1, 0, 2, if(ISBLANK('2025'!$P172), 0, 1), 3, if(ISBLANK('2025'!$Q172), 0, 1), 4, if(ISBLANK('2025'!$R172), 0, 1), 5, if(ISBLANK('2025'!$S172), 0, 1), 6, if(ISBLANK('2025'!$T172), 0, 1), 7, 0))), 1, "")</f>
        <v/>
      </c>
      <c r="H174" s="1" t="str">
        <f>IF(AND(AND(AND(H$4&gt;='2025'!$L172,H$4&lt;='2025'!$M172), H$4&lt;&gt;DATE(2025,7,4)), (SWITCH(weekday(H$4), 1, 0, 2, if(ISBLANK('2025'!$P172), 0, 1), 3, if(ISBLANK('2025'!$Q172), 0, 1), 4, if(ISBLANK('2025'!$R172), 0, 1), 5, if(ISBLANK('2025'!$S172), 0, 1), 6, if(ISBLANK('2025'!$T172), 0, 1), 7, 0))), 1, "")</f>
        <v/>
      </c>
      <c r="I174" s="1" t="str">
        <f>IF(AND(AND(AND(I$4&gt;='2025'!$L172,I$4&lt;='2025'!$M172), I$4&lt;&gt;DATE(2025,7,4)), (SWITCH(weekday(I$4), 1, 0, 2, if(ISBLANK('2025'!$P172), 0, 1), 3, if(ISBLANK('2025'!$Q172), 0, 1), 4, if(ISBLANK('2025'!$R172), 0, 1), 5, if(ISBLANK('2025'!$S172), 0, 1), 6, if(ISBLANK('2025'!$T172), 0, 1), 7, 0))), 1, "")</f>
        <v/>
      </c>
      <c r="J174" s="1" t="str">
        <f>IF(AND(AND(AND(J$4&gt;='2025'!$L172,J$4&lt;='2025'!$M172), J$4&lt;&gt;DATE(2025,7,4)), (SWITCH(weekday(J$4), 1, 0, 2, if(ISBLANK('2025'!$P172), 0, 1), 3, if(ISBLANK('2025'!$Q172), 0, 1), 4, if(ISBLANK('2025'!$R172), 0, 1), 5, if(ISBLANK('2025'!$S172), 0, 1), 6, if(ISBLANK('2025'!$T172), 0, 1), 7, 0))), 1, "")</f>
        <v/>
      </c>
      <c r="K174" s="1" t="str">
        <f>IF(AND(AND(AND(K$4&gt;='2025'!$L172,K$4&lt;='2025'!$M172), K$4&lt;&gt;DATE(2025,7,4)), (SWITCH(weekday(K$4), 1, 0, 2, if(ISBLANK('2025'!$P172), 0, 1), 3, if(ISBLANK('2025'!$Q172), 0, 1), 4, if(ISBLANK('2025'!$R172), 0, 1), 5, if(ISBLANK('2025'!$S172), 0, 1), 6, if(ISBLANK('2025'!$T172), 0, 1), 7, 0))), 1, "")</f>
        <v/>
      </c>
      <c r="L174" s="1" t="str">
        <f>IF(AND(AND(AND(L$4&gt;='2025'!$L172,L$4&lt;='2025'!$M172), L$4&lt;&gt;DATE(2025,7,4)), (SWITCH(weekday(L$4), 1, 0, 2, if(ISBLANK('2025'!$P172), 0, 1), 3, if(ISBLANK('2025'!$Q172), 0, 1), 4, if(ISBLANK('2025'!$R172), 0, 1), 5, if(ISBLANK('2025'!$S172), 0, 1), 6, if(ISBLANK('2025'!$T172), 0, 1), 7, 0))), 1, "")</f>
        <v/>
      </c>
      <c r="M174" s="1" t="str">
        <f>IF(AND(AND(AND(M$4&gt;='2025'!$L172,M$4&lt;='2025'!$M172), M$4&lt;&gt;DATE(2025,7,4)), (SWITCH(weekday(M$4), 1, 0, 2, if(ISBLANK('2025'!$P172), 0, 1), 3, if(ISBLANK('2025'!$Q172), 0, 1), 4, if(ISBLANK('2025'!$R172), 0, 1), 5, if(ISBLANK('2025'!$S172), 0, 1), 6, if(ISBLANK('2025'!$T172), 0, 1), 7, 0))), 1, "")</f>
        <v/>
      </c>
      <c r="N174" s="1" t="str">
        <f>IF(AND(AND(AND(N$4&gt;='2025'!$L172,N$4&lt;='2025'!$M172), N$4&lt;&gt;DATE(2025,7,4)), (SWITCH(weekday(N$4), 1, 0, 2, if(ISBLANK('2025'!$P172), 0, 1), 3, if(ISBLANK('2025'!$Q172), 0, 1), 4, if(ISBLANK('2025'!$R172), 0, 1), 5, if(ISBLANK('2025'!$S172), 0, 1), 6, if(ISBLANK('2025'!$T172), 0, 1), 7, 0))), 1, "")</f>
        <v/>
      </c>
      <c r="O174" s="1" t="str">
        <f>IF(AND(AND(AND(O$4&gt;='2025'!$L172,O$4&lt;='2025'!$M172), O$4&lt;&gt;DATE(2025,7,4)), (SWITCH(weekday(O$4), 1, 0, 2, if(ISBLANK('2025'!$P172), 0, 1), 3, if(ISBLANK('2025'!$Q172), 0, 1), 4, if(ISBLANK('2025'!$R172), 0, 1), 5, if(ISBLANK('2025'!$S172), 0, 1), 6, if(ISBLANK('2025'!$T172), 0, 1), 7, 0))), 1, "")</f>
        <v/>
      </c>
      <c r="P174" s="1" t="str">
        <f>IF(AND(AND(AND(P$4&gt;='2025'!$L172,P$4&lt;='2025'!$M172), P$4&lt;&gt;DATE(2025,7,4)), (SWITCH(weekday(P$4), 1, 0, 2, if(ISBLANK('2025'!$P172), 0, 1), 3, if(ISBLANK('2025'!$Q172), 0, 1), 4, if(ISBLANK('2025'!$R172), 0, 1), 5, if(ISBLANK('2025'!$S172), 0, 1), 6, if(ISBLANK('2025'!$T172), 0, 1), 7, 0))), 1, "")</f>
        <v/>
      </c>
      <c r="Q174" s="1" t="str">
        <f>IF(AND(AND(AND(Q$4&gt;='2025'!$L172,Q$4&lt;='2025'!$M172), Q$4&lt;&gt;DATE(2025,7,4)), (SWITCH(weekday(Q$4), 1, 0, 2, if(ISBLANK('2025'!$P172), 0, 1), 3, if(ISBLANK('2025'!$Q172), 0, 1), 4, if(ISBLANK('2025'!$R172), 0, 1), 5, if(ISBLANK('2025'!$S172), 0, 1), 6, if(ISBLANK('2025'!$T172), 0, 1), 7, 0))), 1, "")</f>
        <v/>
      </c>
      <c r="R174" s="1" t="str">
        <f>IF(AND(AND(AND(R$4&gt;='2025'!$L172,R$4&lt;='2025'!$M172), R$4&lt;&gt;DATE(2025,7,4)), (SWITCH(weekday(R$4), 1, 0, 2, if(ISBLANK('2025'!$P172), 0, 1), 3, if(ISBLANK('2025'!$Q172), 0, 1), 4, if(ISBLANK('2025'!$R172), 0, 1), 5, if(ISBLANK('2025'!$S172), 0, 1), 6, if(ISBLANK('2025'!$T172), 0, 1), 7, 0))), 1, "")</f>
        <v/>
      </c>
      <c r="S174" s="1" t="str">
        <f>IF(AND(AND(AND(S$4&gt;='2025'!$L172,S$4&lt;='2025'!$M172), S$4&lt;&gt;DATE(2025,7,4)), (SWITCH(weekday(S$4), 1, 0, 2, if(ISBLANK('2025'!$P172), 0, 1), 3, if(ISBLANK('2025'!$Q172), 0, 1), 4, if(ISBLANK('2025'!$R172), 0, 1), 5, if(ISBLANK('2025'!$S172), 0, 1), 6, if(ISBLANK('2025'!$T172), 0, 1), 7, 0))), 1, "")</f>
        <v/>
      </c>
      <c r="T174" s="1" t="str">
        <f>IF(AND(AND(AND(T$4&gt;='2025'!$L172,T$4&lt;='2025'!$M172), T$4&lt;&gt;DATE(2025,7,4)), (SWITCH(weekday(T$4), 1, 0, 2, if(ISBLANK('2025'!$P172), 0, 1), 3, if(ISBLANK('2025'!$Q172), 0, 1), 4, if(ISBLANK('2025'!$R172), 0, 1), 5, if(ISBLANK('2025'!$S172), 0, 1), 6, if(ISBLANK('2025'!$T172), 0, 1), 7, 0))), 1, "")</f>
        <v/>
      </c>
      <c r="U174" s="1" t="str">
        <f>IF(AND(AND(AND(U$4&gt;='2025'!$L172,U$4&lt;='2025'!$M172), U$4&lt;&gt;DATE(2025,7,4)), (SWITCH(weekday(U$4), 1, 0, 2, if(ISBLANK('2025'!$P172), 0, 1), 3, if(ISBLANK('2025'!$Q172), 0, 1), 4, if(ISBLANK('2025'!$R172), 0, 1), 5, if(ISBLANK('2025'!$S172), 0, 1), 6, if(ISBLANK('2025'!$T172), 0, 1), 7, 0))), 1, "")</f>
        <v/>
      </c>
      <c r="V174" s="1" t="str">
        <f>IF(AND(AND(AND(V$4&gt;='2025'!$L172,V$4&lt;='2025'!$M172), V$4&lt;&gt;DATE(2025,7,4)), (SWITCH(weekday(V$4), 1, 0, 2, if(ISBLANK('2025'!$P172), 0, 1), 3, if(ISBLANK('2025'!$Q172), 0, 1), 4, if(ISBLANK('2025'!$R172), 0, 1), 5, if(ISBLANK('2025'!$S172), 0, 1), 6, if(ISBLANK('2025'!$T172), 0, 1), 7, 0))), 1, "")</f>
        <v/>
      </c>
      <c r="W174" s="1" t="str">
        <f>IF(AND(AND(AND(W$4&gt;='2025'!$L172,W$4&lt;='2025'!$M172), W$4&lt;&gt;DATE(2025,7,4)), (SWITCH(weekday(W$4), 1, 0, 2, if(ISBLANK('2025'!$P172), 0, 1), 3, if(ISBLANK('2025'!$Q172), 0, 1), 4, if(ISBLANK('2025'!$R172), 0, 1), 5, if(ISBLANK('2025'!$S172), 0, 1), 6, if(ISBLANK('2025'!$T172), 0, 1), 7, 0))), 1, "")</f>
        <v/>
      </c>
      <c r="X174" s="1" t="str">
        <f>IF(AND(AND(AND(X$4&gt;='2025'!$L172,X$4&lt;='2025'!$M172), X$4&lt;&gt;DATE(2025,7,4)), (SWITCH(weekday(X$4), 1, 0, 2, if(ISBLANK('2025'!$P172), 0, 1), 3, if(ISBLANK('2025'!$Q172), 0, 1), 4, if(ISBLANK('2025'!$R172), 0, 1), 5, if(ISBLANK('2025'!$S172), 0, 1), 6, if(ISBLANK('2025'!$T172), 0, 1), 7, 0))), 1, "")</f>
        <v/>
      </c>
      <c r="Y174" s="1" t="str">
        <f>IF(AND(AND(AND(Y$4&gt;='2025'!$L172,Y$4&lt;='2025'!$M172), Y$4&lt;&gt;DATE(2025,7,4)), (SWITCH(weekday(Y$4), 1, 0, 2, if(ISBLANK('2025'!$P172), 0, 1), 3, if(ISBLANK('2025'!$Q172), 0, 1), 4, if(ISBLANK('2025'!$R172), 0, 1), 5, if(ISBLANK('2025'!$S172), 0, 1), 6, if(ISBLANK('2025'!$T172), 0, 1), 7, 0))), 1, "")</f>
        <v/>
      </c>
      <c r="Z174" s="1" t="str">
        <f>IF(AND(AND(AND(Z$4&gt;='2025'!$L172,Z$4&lt;='2025'!$M172), Z$4&lt;&gt;DATE(2025,7,4)), (SWITCH(weekday(Z$4), 1, 0, 2, if(ISBLANK('2025'!$P172), 0, 1), 3, if(ISBLANK('2025'!$Q172), 0, 1), 4, if(ISBLANK('2025'!$R172), 0, 1), 5, if(ISBLANK('2025'!$S172), 0, 1), 6, if(ISBLANK('2025'!$T172), 0, 1), 7, 0))), 1, "")</f>
        <v/>
      </c>
      <c r="AA174" s="1" t="str">
        <f>IF(AND(AND(AND(AA$4&gt;='2025'!$L172,AA$4&lt;='2025'!$M172), AA$4&lt;&gt;DATE(2025,7,4)), (SWITCH(weekday(AA$4), 1, 0, 2, if(ISBLANK('2025'!$P172), 0, 1), 3, if(ISBLANK('2025'!$Q172), 0, 1), 4, if(ISBLANK('2025'!$R172), 0, 1), 5, if(ISBLANK('2025'!$S172), 0, 1), 6, if(ISBLANK('2025'!$T172), 0, 1), 7, 0))), 1, "")</f>
        <v/>
      </c>
      <c r="AB174" s="1" t="str">
        <f>IF(AND(AND(AND(AB$4&gt;='2025'!$L172,AB$4&lt;='2025'!$M172), AB$4&lt;&gt;DATE(2025,7,4)), (SWITCH(weekday(AB$4), 1, 0, 2, if(ISBLANK('2025'!$P172), 0, 1), 3, if(ISBLANK('2025'!$Q172), 0, 1), 4, if(ISBLANK('2025'!$R172), 0, 1), 5, if(ISBLANK('2025'!$S172), 0, 1), 6, if(ISBLANK('2025'!$T172), 0, 1), 7, 0))), 1, "")</f>
        <v/>
      </c>
      <c r="AC174" s="1" t="str">
        <f>IF(AND(AND(AND(AC$4&gt;='2025'!$L172,AC$4&lt;='2025'!$M172), AC$4&lt;&gt;DATE(2025,7,4)), (SWITCH(weekday(AC$4), 1, 0, 2, if(ISBLANK('2025'!$P172), 0, 1), 3, if(ISBLANK('2025'!$Q172), 0, 1), 4, if(ISBLANK('2025'!$R172), 0, 1), 5, if(ISBLANK('2025'!$S172), 0, 1), 6, if(ISBLANK('2025'!$T172), 0, 1), 7, 0))), 1, "")</f>
        <v/>
      </c>
      <c r="AD174" s="1" t="str">
        <f>IF(AND(AND(AND(AD$4&gt;='2025'!$L172,AD$4&lt;='2025'!$M172), AD$4&lt;&gt;DATE(2025,7,4)), (SWITCH(weekday(AD$4), 1, 0, 2, if(ISBLANK('2025'!$P172), 0, 1), 3, if(ISBLANK('2025'!$Q172), 0, 1), 4, if(ISBLANK('2025'!$R172), 0, 1), 5, if(ISBLANK('2025'!$S172), 0, 1), 6, if(ISBLANK('2025'!$T172), 0, 1), 7, 0))), 1, "")</f>
        <v/>
      </c>
      <c r="AE174" s="1" t="str">
        <f>IF(AND(AND(AND(AE$4&gt;='2025'!$L172,AE$4&lt;='2025'!$M172), AE$4&lt;&gt;DATE(2025,7,4)), (SWITCH(weekday(AE$4), 1, 0, 2, if(ISBLANK('2025'!$P172), 0, 1), 3, if(ISBLANK('2025'!$Q172), 0, 1), 4, if(ISBLANK('2025'!$R172), 0, 1), 5, if(ISBLANK('2025'!$S172), 0, 1), 6, if(ISBLANK('2025'!$T172), 0, 1), 7, 0))), 1, "")</f>
        <v/>
      </c>
      <c r="AF174" s="1" t="str">
        <f>IF(AND(AND(AND(AF$4&gt;='2025'!$L172,AF$4&lt;='2025'!$M172), AF$4&lt;&gt;DATE(2025,7,4)), (SWITCH(weekday(AF$4), 1, 0, 2, if(ISBLANK('2025'!$P172), 0, 1), 3, if(ISBLANK('2025'!$Q172), 0, 1), 4, if(ISBLANK('2025'!$R172), 0, 1), 5, if(ISBLANK('2025'!$S172), 0, 1), 6, if(ISBLANK('2025'!$T172), 0, 1), 7, 0))), 1, "")</f>
        <v/>
      </c>
      <c r="AG174" s="1" t="str">
        <f>IF(AND(AND(AND(AG$4&gt;='2025'!$L172,AG$4&lt;='2025'!$M172), AG$4&lt;&gt;DATE(2025,7,4)), (SWITCH(weekday(AG$4), 1, 0, 2, if(ISBLANK('2025'!$P172), 0, 1), 3, if(ISBLANK('2025'!$Q172), 0, 1), 4, if(ISBLANK('2025'!$R172), 0, 1), 5, if(ISBLANK('2025'!$S172), 0, 1), 6, if(ISBLANK('2025'!$T172), 0, 1), 7, 0))), 1, "")</f>
        <v/>
      </c>
      <c r="AH174" s="1" t="str">
        <f>IF(AND(AND(AND(AH$4&gt;='2025'!$L172,AH$4&lt;='2025'!$M172), AH$4&lt;&gt;DATE(2025,7,4)), (SWITCH(weekday(AH$4), 1, 0, 2, if(ISBLANK('2025'!$P172), 0, 1), 3, if(ISBLANK('2025'!$Q172), 0, 1), 4, if(ISBLANK('2025'!$R172), 0, 1), 5, if(ISBLANK('2025'!$S172), 0, 1), 6, if(ISBLANK('2025'!$T172), 0, 1), 7, 0))), 1, "")</f>
        <v/>
      </c>
      <c r="AI174" s="1" t="str">
        <f>IF(AND(AND(AND(AI$4&gt;='2025'!$L172,AI$4&lt;='2025'!$M172), AI$4&lt;&gt;DATE(2025,7,4)), (SWITCH(weekday(AI$4), 1, 0, 2, if(ISBLANK('2025'!$P172), 0, 1), 3, if(ISBLANK('2025'!$Q172), 0, 1), 4, if(ISBLANK('2025'!$R172), 0, 1), 5, if(ISBLANK('2025'!$S172), 0, 1), 6, if(ISBLANK('2025'!$T172), 0, 1), 7, 0))), 1, "")</f>
        <v/>
      </c>
      <c r="AJ174" s="1" t="str">
        <f>IF(AND(AND(AND(AJ$4&gt;='2025'!$L172,AJ$4&lt;='2025'!$M172), AJ$4&lt;&gt;DATE(2025,7,4)), (SWITCH(weekday(AJ$4), 1, 0, 2, if(ISBLANK('2025'!$P172), 0, 1), 3, if(ISBLANK('2025'!$Q172), 0, 1), 4, if(ISBLANK('2025'!$R172), 0, 1), 5, if(ISBLANK('2025'!$S172), 0, 1), 6, if(ISBLANK('2025'!$T172), 0, 1), 7, 0))), 1, "")</f>
        <v/>
      </c>
      <c r="AK174" s="1" t="str">
        <f>IF(AND(AND(AND(AK$4&gt;='2025'!$L172,AK$4&lt;='2025'!$M172), AK$4&lt;&gt;DATE(2025,7,4)), (SWITCH(weekday(AK$4), 1, 0, 2, if(ISBLANK('2025'!$P172), 0, 1), 3, if(ISBLANK('2025'!$Q172), 0, 1), 4, if(ISBLANK('2025'!$R172), 0, 1), 5, if(ISBLANK('2025'!$S172), 0, 1), 6, if(ISBLANK('2025'!$T172), 0, 1), 7, 0))), 1, "")</f>
        <v/>
      </c>
      <c r="AL174" s="1" t="str">
        <f>IF(AND(AND(AND(AL$4&gt;='2025'!$L172,AL$4&lt;='2025'!$M172), AL$4&lt;&gt;DATE(2025,7,4)), (SWITCH(weekday(AL$4), 1, 0, 2, if(ISBLANK('2025'!$P172), 0, 1), 3, if(ISBLANK('2025'!$Q172), 0, 1), 4, if(ISBLANK('2025'!$R172), 0, 1), 5, if(ISBLANK('2025'!$S172), 0, 1), 6, if(ISBLANK('2025'!$T172), 0, 1), 7, 0))), 1, "")</f>
        <v/>
      </c>
      <c r="AM174" s="1" t="str">
        <f>IF(AND(AND(AND(AM$4&gt;='2025'!$L172,AM$4&lt;='2025'!$M172), AM$4&lt;&gt;DATE(2025,7,4)), (SWITCH(weekday(AM$4), 1, 0, 2, if(ISBLANK('2025'!$P172), 0, 1), 3, if(ISBLANK('2025'!$Q172), 0, 1), 4, if(ISBLANK('2025'!$R172), 0, 1), 5, if(ISBLANK('2025'!$S172), 0, 1), 6, if(ISBLANK('2025'!$T172), 0, 1), 7, 0))), 1, "")</f>
        <v/>
      </c>
      <c r="AN174" s="1" t="str">
        <f>IF(AND(AND(AND(AN$4&gt;='2025'!$L172,AN$4&lt;='2025'!$M172), AN$4&lt;&gt;DATE(2025,7,4)), (SWITCH(weekday(AN$4), 1, 0, 2, if(ISBLANK('2025'!$P172), 0, 1), 3, if(ISBLANK('2025'!$Q172), 0, 1), 4, if(ISBLANK('2025'!$R172), 0, 1), 5, if(ISBLANK('2025'!$S172), 0, 1), 6, if(ISBLANK('2025'!$T172), 0, 1), 7, 0))), 1, "")</f>
        <v/>
      </c>
      <c r="AO174" s="1" t="str">
        <f>IF(AND(AND(AND(AO$4&gt;='2025'!$L172,AO$4&lt;='2025'!$M172), AO$4&lt;&gt;DATE(2025,7,4)), (SWITCH(weekday(AO$4), 1, 0, 2, if(ISBLANK('2025'!$P172), 0, 1), 3, if(ISBLANK('2025'!$Q172), 0, 1), 4, if(ISBLANK('2025'!$R172), 0, 1), 5, if(ISBLANK('2025'!$S172), 0, 1), 6, if(ISBLANK('2025'!$T172), 0, 1), 7, 0))), 1, "")</f>
        <v/>
      </c>
      <c r="AP174" s="1" t="str">
        <f>IF(AND(AND(AND(AP$4&gt;='2025'!$L172,AP$4&lt;='2025'!$M172), AP$4&lt;&gt;DATE(2025,7,4)), (SWITCH(weekday(AP$4), 1, 0, 2, if(ISBLANK('2025'!$P172), 0, 1), 3, if(ISBLANK('2025'!$Q172), 0, 1), 4, if(ISBLANK('2025'!$R172), 0, 1), 5, if(ISBLANK('2025'!$S172), 0, 1), 6, if(ISBLANK('2025'!$T172), 0, 1), 7, 0))), 1, "")</f>
        <v/>
      </c>
      <c r="AQ174" s="1" t="str">
        <f>IF(AND(AND(AND(AQ$4&gt;='2025'!$L172,AQ$4&lt;='2025'!$M172), AQ$4&lt;&gt;DATE(2025,7,4)), (SWITCH(weekday(AQ$4), 1, 0, 2, if(ISBLANK('2025'!$P172), 0, 1), 3, if(ISBLANK('2025'!$Q172), 0, 1), 4, if(ISBLANK('2025'!$R172), 0, 1), 5, if(ISBLANK('2025'!$S172), 0, 1), 6, if(ISBLANK('2025'!$T172), 0, 1), 7, 0))), 1, "")</f>
        <v/>
      </c>
      <c r="AR174" s="1" t="str">
        <f>IF(AND(AND(AND(AR$4&gt;='2025'!$L172,AR$4&lt;='2025'!$M172), AR$4&lt;&gt;DATE(2025,7,4)), (SWITCH(weekday(AR$4), 1, 0, 2, if(ISBLANK('2025'!$P172), 0, 1), 3, if(ISBLANK('2025'!$Q172), 0, 1), 4, if(ISBLANK('2025'!$R172), 0, 1), 5, if(ISBLANK('2025'!$S172), 0, 1), 6, if(ISBLANK('2025'!$T172), 0, 1), 7, 0))), 1, "")</f>
        <v/>
      </c>
      <c r="AS174" s="1" t="str">
        <f>IF(AND(AND(AND(AS$4&gt;='2025'!$L172,AS$4&lt;='2025'!$M172), AS$4&lt;&gt;DATE(2025,7,4)), (SWITCH(weekday(AS$4), 1, 0, 2, if(ISBLANK('2025'!$P172), 0, 1), 3, if(ISBLANK('2025'!$Q172), 0, 1), 4, if(ISBLANK('2025'!$R172), 0, 1), 5, if(ISBLANK('2025'!$S172), 0, 1), 6, if(ISBLANK('2025'!$T172), 0, 1), 7, 0))), 1, "")</f>
        <v/>
      </c>
      <c r="AT174" s="1" t="str">
        <f>IF(AND(AND(AND(AT$4&gt;='2025'!$L172,AT$4&lt;='2025'!$M172), AT$4&lt;&gt;DATE(2025,7,4)), (SWITCH(weekday(AT$4), 1, 0, 2, if(ISBLANK('2025'!$P172), 0, 1), 3, if(ISBLANK('2025'!$Q172), 0, 1), 4, if(ISBLANK('2025'!$R172), 0, 1), 5, if(ISBLANK('2025'!$S172), 0, 1), 6, if(ISBLANK('2025'!$T172), 0, 1), 7, 0))), 1, "")</f>
        <v/>
      </c>
      <c r="AU174" s="1" t="str">
        <f>IF(AND(AND(AND(AU$4&gt;='2025'!$L172,AU$4&lt;='2025'!$M172), AU$4&lt;&gt;DATE(2025,7,4)), (SWITCH(weekday(AU$4), 1, 0, 2, if(ISBLANK('2025'!$P172), 0, 1), 3, if(ISBLANK('2025'!$Q172), 0, 1), 4, if(ISBLANK('2025'!$R172), 0, 1), 5, if(ISBLANK('2025'!$S172), 0, 1), 6, if(ISBLANK('2025'!$T172), 0, 1), 7, 0))), 1, "")</f>
        <v/>
      </c>
      <c r="AV174" s="1" t="str">
        <f>IF(AND(AND(AND(AV$4&gt;='2025'!$L172,AV$4&lt;='2025'!$M172), AV$4&lt;&gt;DATE(2025,7,4)), (SWITCH(weekday(AV$4), 1, 0, 2, if(ISBLANK('2025'!$P172), 0, 1), 3, if(ISBLANK('2025'!$Q172), 0, 1), 4, if(ISBLANK('2025'!$R172), 0, 1), 5, if(ISBLANK('2025'!$S172), 0, 1), 6, if(ISBLANK('2025'!$T172), 0, 1), 7, 0))), 1, "")</f>
        <v/>
      </c>
      <c r="AW174" s="1" t="str">
        <f>IF(AND(AND(AND(AW$4&gt;='2025'!$L172,AW$4&lt;='2025'!$M172), AW$4&lt;&gt;DATE(2025,7,4)), (SWITCH(weekday(AW$4), 1, 0, 2, if(ISBLANK('2025'!$P172), 0, 1), 3, if(ISBLANK('2025'!$Q172), 0, 1), 4, if(ISBLANK('2025'!$R172), 0, 1), 5, if(ISBLANK('2025'!$S172), 0, 1), 6, if(ISBLANK('2025'!$T172), 0, 1), 7, 0))), 1, "")</f>
        <v/>
      </c>
      <c r="AX174" s="1" t="str">
        <f>IF(AND(AND(AND(AX$4&gt;='2025'!$L172,AX$4&lt;='2025'!$M172), AX$4&lt;&gt;DATE(2025,7,4)), (SWITCH(weekday(AX$4), 1, 0, 2, if(ISBLANK('2025'!$P172), 0, 1), 3, if(ISBLANK('2025'!$Q172), 0, 1), 4, if(ISBLANK('2025'!$R172), 0, 1), 5, if(ISBLANK('2025'!$S172), 0, 1), 6, if(ISBLANK('2025'!$T172), 0, 1), 7, 0))), 1, "")</f>
        <v/>
      </c>
      <c r="AY174" s="1" t="str">
        <f>IF(AND(AND(AND(AY$4&gt;='2025'!$L172,AY$4&lt;='2025'!$M172), AY$4&lt;&gt;DATE(2025,7,4)), (SWITCH(weekday(AY$4), 1, 0, 2, if(ISBLANK('2025'!$P172), 0, 1), 3, if(ISBLANK('2025'!$Q172), 0, 1), 4, if(ISBLANK('2025'!$R172), 0, 1), 5, if(ISBLANK('2025'!$S172), 0, 1), 6, if(ISBLANK('2025'!$T172), 0, 1), 7, 0))), 1, "")</f>
        <v/>
      </c>
      <c r="AZ174" s="1" t="str">
        <f>IF(AND(AND(AND(AZ$4&gt;='2025'!$L172,AZ$4&lt;='2025'!$M172), AZ$4&lt;&gt;DATE(2025,7,4)), (SWITCH(weekday(AZ$4), 1, 0, 2, if(ISBLANK('2025'!$P172), 0, 1), 3, if(ISBLANK('2025'!$Q172), 0, 1), 4, if(ISBLANK('2025'!$R172), 0, 1), 5, if(ISBLANK('2025'!$S172), 0, 1), 6, if(ISBLANK('2025'!$T172), 0, 1), 7, 0))), 1, "")</f>
        <v/>
      </c>
      <c r="BA174" s="1" t="str">
        <f>IF(AND(AND(AND(BA$4&gt;='2025'!$L172,BA$4&lt;='2025'!$M172), BA$4&lt;&gt;DATE(2025,7,4)), (SWITCH(weekday(BA$4), 1, 0, 2, if(ISBLANK('2025'!$P172), 0, 1), 3, if(ISBLANK('2025'!$Q172), 0, 1), 4, if(ISBLANK('2025'!$R172), 0, 1), 5, if(ISBLANK('2025'!$S172), 0, 1), 6, if(ISBLANK('2025'!$T172), 0, 1), 7, 0))), 1, "")</f>
        <v/>
      </c>
      <c r="BB174" s="1" t="str">
        <f>IF(AND(AND(AND(BB$4&gt;='2025'!$L172,BB$4&lt;='2025'!$M172), BB$4&lt;&gt;DATE(2025,7,4)), (SWITCH(weekday(BB$4), 1, 0, 2, if(ISBLANK('2025'!$P172), 0, 1), 3, if(ISBLANK('2025'!$Q172), 0, 1), 4, if(ISBLANK('2025'!$R172), 0, 1), 5, if(ISBLANK('2025'!$S172), 0, 1), 6, if(ISBLANK('2025'!$T172), 0, 1), 7, 0))), 1, "")</f>
        <v/>
      </c>
      <c r="BC174" s="1" t="str">
        <f>IF(AND(AND(AND(BC$4&gt;='2025'!$L172,BC$4&lt;='2025'!$M172), BC$4&lt;&gt;DATE(2025,7,4)), (SWITCH(weekday(BC$4), 1, 0, 2, if(ISBLANK('2025'!$P172), 0, 1), 3, if(ISBLANK('2025'!$Q172), 0, 1), 4, if(ISBLANK('2025'!$R172), 0, 1), 5, if(ISBLANK('2025'!$S172), 0, 1), 6, if(ISBLANK('2025'!$T172), 0, 1), 7, 0))), 1, "")</f>
        <v/>
      </c>
      <c r="BD174" s="1" t="str">
        <f>IF(AND(AND(AND(BD$4&gt;='2025'!$L172,BD$4&lt;='2025'!$M172), BD$4&lt;&gt;DATE(2025,7,4)), (SWITCH(weekday(BD$4), 1, 0, 2, if(ISBLANK('2025'!$P172), 0, 1), 3, if(ISBLANK('2025'!$Q172), 0, 1), 4, if(ISBLANK('2025'!$R172), 0, 1), 5, if(ISBLANK('2025'!$S172), 0, 1), 6, if(ISBLANK('2025'!$T172), 0, 1), 7, 0))), 1, "")</f>
        <v/>
      </c>
      <c r="BE174" s="1" t="str">
        <f>IF(AND(AND(AND(BE$4&gt;='2025'!$L172,BE$4&lt;='2025'!$M172), BE$4&lt;&gt;DATE(2025,7,4)), (SWITCH(weekday(BE$4), 1, 0, 2, if(ISBLANK('2025'!$P172), 0, 1), 3, if(ISBLANK('2025'!$Q172), 0, 1), 4, if(ISBLANK('2025'!$R172), 0, 1), 5, if(ISBLANK('2025'!$S172), 0, 1), 6, if(ISBLANK('2025'!$T172), 0, 1), 7, 0))), 1, "")</f>
        <v/>
      </c>
      <c r="BF174" s="1" t="str">
        <f>IF(AND(AND(AND(BF$4&gt;='2025'!$L172,BF$4&lt;='2025'!$M172), BF$4&lt;&gt;DATE(2025,7,4)), (SWITCH(weekday(BF$4), 1, 0, 2, if(ISBLANK('2025'!$P172), 0, 1), 3, if(ISBLANK('2025'!$Q172), 0, 1), 4, if(ISBLANK('2025'!$R172), 0, 1), 5, if(ISBLANK('2025'!$S172), 0, 1), 6, if(ISBLANK('2025'!$T172), 0, 1), 7, 0))), 1, "")</f>
        <v/>
      </c>
      <c r="BG174" s="1"/>
      <c r="BH174" s="1"/>
      <c r="BI174" s="1"/>
      <c r="BJ174" s="1"/>
      <c r="BK174" s="1"/>
      <c r="BL174" s="1"/>
    </row>
    <row r="175">
      <c r="A175" s="1">
        <f t="shared" si="3"/>
        <v>175</v>
      </c>
      <c r="B175" s="1" t="str">
        <f>'2025'!D139</f>
        <v>, </v>
      </c>
      <c r="C175" s="1" t="str">
        <f>'2025'!H139</f>
        <v/>
      </c>
      <c r="D175" s="1" t="str">
        <f>IF(AND(AND(AND(D$4&gt;='2025'!$L173,D$4&lt;='2025'!$M173), D$4&lt;&gt;DATE(2025,7,4)), (SWITCH(weekday(D$4), 1, 0, 2, if(ISBLANK('2025'!$P173), 0, 1), 3, if(ISBLANK('2025'!$Q173), 0, 1), 4, if(ISBLANK('2025'!$R173), 0, 1), 5, if(ISBLANK('2025'!$S173), 0, 1), 6, if(ISBLANK('2025'!$T173), 0, 1), 7, 0))), 1, "")</f>
        <v/>
      </c>
      <c r="E175" s="1" t="str">
        <f>IF(AND(AND(AND(E$4&gt;='2025'!$L173,E$4&lt;='2025'!$M173), E$4&lt;&gt;DATE(2025,7,4)), (SWITCH(weekday(E$4), 1, 0, 2, if(ISBLANK('2025'!$P173), 0, 1), 3, if(ISBLANK('2025'!$Q173), 0, 1), 4, if(ISBLANK('2025'!$R173), 0, 1), 5, if(ISBLANK('2025'!$S173), 0, 1), 6, if(ISBLANK('2025'!$T173), 0, 1), 7, 0))), 1, "")</f>
        <v/>
      </c>
      <c r="F175" s="1" t="str">
        <f>IF(AND(AND(AND(F$4&gt;='2025'!$L173,F$4&lt;='2025'!$M173), F$4&lt;&gt;DATE(2025,7,4)), (SWITCH(weekday(F$4), 1, 0, 2, if(ISBLANK('2025'!$P173), 0, 1), 3, if(ISBLANK('2025'!$Q173), 0, 1), 4, if(ISBLANK('2025'!$R173), 0, 1), 5, if(ISBLANK('2025'!$S173), 0, 1), 6, if(ISBLANK('2025'!$T173), 0, 1), 7, 0))), 1, "")</f>
        <v/>
      </c>
      <c r="G175" s="1" t="str">
        <f>IF(AND(AND(AND(G$4&gt;='2025'!$L173,G$4&lt;='2025'!$M173), G$4&lt;&gt;DATE(2025,7,4)), (SWITCH(weekday(G$4), 1, 0, 2, if(ISBLANK('2025'!$P173), 0, 1), 3, if(ISBLANK('2025'!$Q173), 0, 1), 4, if(ISBLANK('2025'!$R173), 0, 1), 5, if(ISBLANK('2025'!$S173), 0, 1), 6, if(ISBLANK('2025'!$T173), 0, 1), 7, 0))), 1, "")</f>
        <v/>
      </c>
      <c r="H175" s="1" t="str">
        <f>IF(AND(AND(AND(H$4&gt;='2025'!$L173,H$4&lt;='2025'!$M173), H$4&lt;&gt;DATE(2025,7,4)), (SWITCH(weekday(H$4), 1, 0, 2, if(ISBLANK('2025'!$P173), 0, 1), 3, if(ISBLANK('2025'!$Q173), 0, 1), 4, if(ISBLANK('2025'!$R173), 0, 1), 5, if(ISBLANK('2025'!$S173), 0, 1), 6, if(ISBLANK('2025'!$T173), 0, 1), 7, 0))), 1, "")</f>
        <v/>
      </c>
      <c r="I175" s="1" t="str">
        <f>IF(AND(AND(AND(I$4&gt;='2025'!$L173,I$4&lt;='2025'!$M173), I$4&lt;&gt;DATE(2025,7,4)), (SWITCH(weekday(I$4), 1, 0, 2, if(ISBLANK('2025'!$P173), 0, 1), 3, if(ISBLANK('2025'!$Q173), 0, 1), 4, if(ISBLANK('2025'!$R173), 0, 1), 5, if(ISBLANK('2025'!$S173), 0, 1), 6, if(ISBLANK('2025'!$T173), 0, 1), 7, 0))), 1, "")</f>
        <v/>
      </c>
      <c r="J175" s="1" t="str">
        <f>IF(AND(AND(AND(J$4&gt;='2025'!$L173,J$4&lt;='2025'!$M173), J$4&lt;&gt;DATE(2025,7,4)), (SWITCH(weekday(J$4), 1, 0, 2, if(ISBLANK('2025'!$P173), 0, 1), 3, if(ISBLANK('2025'!$Q173), 0, 1), 4, if(ISBLANK('2025'!$R173), 0, 1), 5, if(ISBLANK('2025'!$S173), 0, 1), 6, if(ISBLANK('2025'!$T173), 0, 1), 7, 0))), 1, "")</f>
        <v/>
      </c>
      <c r="K175" s="1" t="str">
        <f>IF(AND(AND(AND(K$4&gt;='2025'!$L173,K$4&lt;='2025'!$M173), K$4&lt;&gt;DATE(2025,7,4)), (SWITCH(weekday(K$4), 1, 0, 2, if(ISBLANK('2025'!$P173), 0, 1), 3, if(ISBLANK('2025'!$Q173), 0, 1), 4, if(ISBLANK('2025'!$R173), 0, 1), 5, if(ISBLANK('2025'!$S173), 0, 1), 6, if(ISBLANK('2025'!$T173), 0, 1), 7, 0))), 1, "")</f>
        <v/>
      </c>
      <c r="L175" s="1" t="str">
        <f>IF(AND(AND(AND(L$4&gt;='2025'!$L173,L$4&lt;='2025'!$M173), L$4&lt;&gt;DATE(2025,7,4)), (SWITCH(weekday(L$4), 1, 0, 2, if(ISBLANK('2025'!$P173), 0, 1), 3, if(ISBLANK('2025'!$Q173), 0, 1), 4, if(ISBLANK('2025'!$R173), 0, 1), 5, if(ISBLANK('2025'!$S173), 0, 1), 6, if(ISBLANK('2025'!$T173), 0, 1), 7, 0))), 1, "")</f>
        <v/>
      </c>
      <c r="M175" s="1" t="str">
        <f>IF(AND(AND(AND(M$4&gt;='2025'!$L173,M$4&lt;='2025'!$M173), M$4&lt;&gt;DATE(2025,7,4)), (SWITCH(weekday(M$4), 1, 0, 2, if(ISBLANK('2025'!$P173), 0, 1), 3, if(ISBLANK('2025'!$Q173), 0, 1), 4, if(ISBLANK('2025'!$R173), 0, 1), 5, if(ISBLANK('2025'!$S173), 0, 1), 6, if(ISBLANK('2025'!$T173), 0, 1), 7, 0))), 1, "")</f>
        <v/>
      </c>
      <c r="N175" s="1" t="str">
        <f>IF(AND(AND(AND(N$4&gt;='2025'!$L173,N$4&lt;='2025'!$M173), N$4&lt;&gt;DATE(2025,7,4)), (SWITCH(weekday(N$4), 1, 0, 2, if(ISBLANK('2025'!$P173), 0, 1), 3, if(ISBLANK('2025'!$Q173), 0, 1), 4, if(ISBLANK('2025'!$R173), 0, 1), 5, if(ISBLANK('2025'!$S173), 0, 1), 6, if(ISBLANK('2025'!$T173), 0, 1), 7, 0))), 1, "")</f>
        <v/>
      </c>
      <c r="O175" s="1" t="str">
        <f>IF(AND(AND(AND(O$4&gt;='2025'!$L173,O$4&lt;='2025'!$M173), O$4&lt;&gt;DATE(2025,7,4)), (SWITCH(weekday(O$4), 1, 0, 2, if(ISBLANK('2025'!$P173), 0, 1), 3, if(ISBLANK('2025'!$Q173), 0, 1), 4, if(ISBLANK('2025'!$R173), 0, 1), 5, if(ISBLANK('2025'!$S173), 0, 1), 6, if(ISBLANK('2025'!$T173), 0, 1), 7, 0))), 1, "")</f>
        <v/>
      </c>
      <c r="P175" s="1" t="str">
        <f>IF(AND(AND(AND(P$4&gt;='2025'!$L173,P$4&lt;='2025'!$M173), P$4&lt;&gt;DATE(2025,7,4)), (SWITCH(weekday(P$4), 1, 0, 2, if(ISBLANK('2025'!$P173), 0, 1), 3, if(ISBLANK('2025'!$Q173), 0, 1), 4, if(ISBLANK('2025'!$R173), 0, 1), 5, if(ISBLANK('2025'!$S173), 0, 1), 6, if(ISBLANK('2025'!$T173), 0, 1), 7, 0))), 1, "")</f>
        <v/>
      </c>
      <c r="Q175" s="1" t="str">
        <f>IF(AND(AND(AND(Q$4&gt;='2025'!$L173,Q$4&lt;='2025'!$M173), Q$4&lt;&gt;DATE(2025,7,4)), (SWITCH(weekday(Q$4), 1, 0, 2, if(ISBLANK('2025'!$P173), 0, 1), 3, if(ISBLANK('2025'!$Q173), 0, 1), 4, if(ISBLANK('2025'!$R173), 0, 1), 5, if(ISBLANK('2025'!$S173), 0, 1), 6, if(ISBLANK('2025'!$T173), 0, 1), 7, 0))), 1, "")</f>
        <v/>
      </c>
      <c r="R175" s="1" t="str">
        <f>IF(AND(AND(AND(R$4&gt;='2025'!$L173,R$4&lt;='2025'!$M173), R$4&lt;&gt;DATE(2025,7,4)), (SWITCH(weekday(R$4), 1, 0, 2, if(ISBLANK('2025'!$P173), 0, 1), 3, if(ISBLANK('2025'!$Q173), 0, 1), 4, if(ISBLANK('2025'!$R173), 0, 1), 5, if(ISBLANK('2025'!$S173), 0, 1), 6, if(ISBLANK('2025'!$T173), 0, 1), 7, 0))), 1, "")</f>
        <v/>
      </c>
      <c r="S175" s="1" t="str">
        <f>IF(AND(AND(AND(S$4&gt;='2025'!$L173,S$4&lt;='2025'!$M173), S$4&lt;&gt;DATE(2025,7,4)), (SWITCH(weekday(S$4), 1, 0, 2, if(ISBLANK('2025'!$P173), 0, 1), 3, if(ISBLANK('2025'!$Q173), 0, 1), 4, if(ISBLANK('2025'!$R173), 0, 1), 5, if(ISBLANK('2025'!$S173), 0, 1), 6, if(ISBLANK('2025'!$T173), 0, 1), 7, 0))), 1, "")</f>
        <v/>
      </c>
      <c r="T175" s="1" t="str">
        <f>IF(AND(AND(AND(T$4&gt;='2025'!$L173,T$4&lt;='2025'!$M173), T$4&lt;&gt;DATE(2025,7,4)), (SWITCH(weekday(T$4), 1, 0, 2, if(ISBLANK('2025'!$P173), 0, 1), 3, if(ISBLANK('2025'!$Q173), 0, 1), 4, if(ISBLANK('2025'!$R173), 0, 1), 5, if(ISBLANK('2025'!$S173), 0, 1), 6, if(ISBLANK('2025'!$T173), 0, 1), 7, 0))), 1, "")</f>
        <v/>
      </c>
      <c r="U175" s="1" t="str">
        <f>IF(AND(AND(AND(U$4&gt;='2025'!$L173,U$4&lt;='2025'!$M173), U$4&lt;&gt;DATE(2025,7,4)), (SWITCH(weekday(U$4), 1, 0, 2, if(ISBLANK('2025'!$P173), 0, 1), 3, if(ISBLANK('2025'!$Q173), 0, 1), 4, if(ISBLANK('2025'!$R173), 0, 1), 5, if(ISBLANK('2025'!$S173), 0, 1), 6, if(ISBLANK('2025'!$T173), 0, 1), 7, 0))), 1, "")</f>
        <v/>
      </c>
      <c r="V175" s="1" t="str">
        <f>IF(AND(AND(AND(V$4&gt;='2025'!$L173,V$4&lt;='2025'!$M173), V$4&lt;&gt;DATE(2025,7,4)), (SWITCH(weekday(V$4), 1, 0, 2, if(ISBLANK('2025'!$P173), 0, 1), 3, if(ISBLANK('2025'!$Q173), 0, 1), 4, if(ISBLANK('2025'!$R173), 0, 1), 5, if(ISBLANK('2025'!$S173), 0, 1), 6, if(ISBLANK('2025'!$T173), 0, 1), 7, 0))), 1, "")</f>
        <v/>
      </c>
      <c r="W175" s="1" t="str">
        <f>IF(AND(AND(AND(W$4&gt;='2025'!$L173,W$4&lt;='2025'!$M173), W$4&lt;&gt;DATE(2025,7,4)), (SWITCH(weekday(W$4), 1, 0, 2, if(ISBLANK('2025'!$P173), 0, 1), 3, if(ISBLANK('2025'!$Q173), 0, 1), 4, if(ISBLANK('2025'!$R173), 0, 1), 5, if(ISBLANK('2025'!$S173), 0, 1), 6, if(ISBLANK('2025'!$T173), 0, 1), 7, 0))), 1, "")</f>
        <v/>
      </c>
      <c r="X175" s="1" t="str">
        <f>IF(AND(AND(AND(X$4&gt;='2025'!$L173,X$4&lt;='2025'!$M173), X$4&lt;&gt;DATE(2025,7,4)), (SWITCH(weekday(X$4), 1, 0, 2, if(ISBLANK('2025'!$P173), 0, 1), 3, if(ISBLANK('2025'!$Q173), 0, 1), 4, if(ISBLANK('2025'!$R173), 0, 1), 5, if(ISBLANK('2025'!$S173), 0, 1), 6, if(ISBLANK('2025'!$T173), 0, 1), 7, 0))), 1, "")</f>
        <v/>
      </c>
      <c r="Y175" s="1" t="str">
        <f>IF(AND(AND(AND(Y$4&gt;='2025'!$L173,Y$4&lt;='2025'!$M173), Y$4&lt;&gt;DATE(2025,7,4)), (SWITCH(weekday(Y$4), 1, 0, 2, if(ISBLANK('2025'!$P173), 0, 1), 3, if(ISBLANK('2025'!$Q173), 0, 1), 4, if(ISBLANK('2025'!$R173), 0, 1), 5, if(ISBLANK('2025'!$S173), 0, 1), 6, if(ISBLANK('2025'!$T173), 0, 1), 7, 0))), 1, "")</f>
        <v/>
      </c>
      <c r="Z175" s="1" t="str">
        <f>IF(AND(AND(AND(Z$4&gt;='2025'!$L173,Z$4&lt;='2025'!$M173), Z$4&lt;&gt;DATE(2025,7,4)), (SWITCH(weekday(Z$4), 1, 0, 2, if(ISBLANK('2025'!$P173), 0, 1), 3, if(ISBLANK('2025'!$Q173), 0, 1), 4, if(ISBLANK('2025'!$R173), 0, 1), 5, if(ISBLANK('2025'!$S173), 0, 1), 6, if(ISBLANK('2025'!$T173), 0, 1), 7, 0))), 1, "")</f>
        <v/>
      </c>
      <c r="AA175" s="1" t="str">
        <f>IF(AND(AND(AND(AA$4&gt;='2025'!$L173,AA$4&lt;='2025'!$M173), AA$4&lt;&gt;DATE(2025,7,4)), (SWITCH(weekday(AA$4), 1, 0, 2, if(ISBLANK('2025'!$P173), 0, 1), 3, if(ISBLANK('2025'!$Q173), 0, 1), 4, if(ISBLANK('2025'!$R173), 0, 1), 5, if(ISBLANK('2025'!$S173), 0, 1), 6, if(ISBLANK('2025'!$T173), 0, 1), 7, 0))), 1, "")</f>
        <v/>
      </c>
      <c r="AB175" s="1" t="str">
        <f>IF(AND(AND(AND(AB$4&gt;='2025'!$L173,AB$4&lt;='2025'!$M173), AB$4&lt;&gt;DATE(2025,7,4)), (SWITCH(weekday(AB$4), 1, 0, 2, if(ISBLANK('2025'!$P173), 0, 1), 3, if(ISBLANK('2025'!$Q173), 0, 1), 4, if(ISBLANK('2025'!$R173), 0, 1), 5, if(ISBLANK('2025'!$S173), 0, 1), 6, if(ISBLANK('2025'!$T173), 0, 1), 7, 0))), 1, "")</f>
        <v/>
      </c>
      <c r="AC175" s="1" t="str">
        <f>IF(AND(AND(AND(AC$4&gt;='2025'!$L173,AC$4&lt;='2025'!$M173), AC$4&lt;&gt;DATE(2025,7,4)), (SWITCH(weekday(AC$4), 1, 0, 2, if(ISBLANK('2025'!$P173), 0, 1), 3, if(ISBLANK('2025'!$Q173), 0, 1), 4, if(ISBLANK('2025'!$R173), 0, 1), 5, if(ISBLANK('2025'!$S173), 0, 1), 6, if(ISBLANK('2025'!$T173), 0, 1), 7, 0))), 1, "")</f>
        <v/>
      </c>
      <c r="AD175" s="1" t="str">
        <f>IF(AND(AND(AND(AD$4&gt;='2025'!$L173,AD$4&lt;='2025'!$M173), AD$4&lt;&gt;DATE(2025,7,4)), (SWITCH(weekday(AD$4), 1, 0, 2, if(ISBLANK('2025'!$P173), 0, 1), 3, if(ISBLANK('2025'!$Q173), 0, 1), 4, if(ISBLANK('2025'!$R173), 0, 1), 5, if(ISBLANK('2025'!$S173), 0, 1), 6, if(ISBLANK('2025'!$T173), 0, 1), 7, 0))), 1, "")</f>
        <v/>
      </c>
      <c r="AE175" s="1" t="str">
        <f>IF(AND(AND(AND(AE$4&gt;='2025'!$L173,AE$4&lt;='2025'!$M173), AE$4&lt;&gt;DATE(2025,7,4)), (SWITCH(weekday(AE$4), 1, 0, 2, if(ISBLANK('2025'!$P173), 0, 1), 3, if(ISBLANK('2025'!$Q173), 0, 1), 4, if(ISBLANK('2025'!$R173), 0, 1), 5, if(ISBLANK('2025'!$S173), 0, 1), 6, if(ISBLANK('2025'!$T173), 0, 1), 7, 0))), 1, "")</f>
        <v/>
      </c>
      <c r="AF175" s="1" t="str">
        <f>IF(AND(AND(AND(AF$4&gt;='2025'!$L173,AF$4&lt;='2025'!$M173), AF$4&lt;&gt;DATE(2025,7,4)), (SWITCH(weekday(AF$4), 1, 0, 2, if(ISBLANK('2025'!$P173), 0, 1), 3, if(ISBLANK('2025'!$Q173), 0, 1), 4, if(ISBLANK('2025'!$R173), 0, 1), 5, if(ISBLANK('2025'!$S173), 0, 1), 6, if(ISBLANK('2025'!$T173), 0, 1), 7, 0))), 1, "")</f>
        <v/>
      </c>
      <c r="AG175" s="1" t="str">
        <f>IF(AND(AND(AND(AG$4&gt;='2025'!$L173,AG$4&lt;='2025'!$M173), AG$4&lt;&gt;DATE(2025,7,4)), (SWITCH(weekday(AG$4), 1, 0, 2, if(ISBLANK('2025'!$P173), 0, 1), 3, if(ISBLANK('2025'!$Q173), 0, 1), 4, if(ISBLANK('2025'!$R173), 0, 1), 5, if(ISBLANK('2025'!$S173), 0, 1), 6, if(ISBLANK('2025'!$T173), 0, 1), 7, 0))), 1, "")</f>
        <v/>
      </c>
      <c r="AH175" s="1" t="str">
        <f>IF(AND(AND(AND(AH$4&gt;='2025'!$L173,AH$4&lt;='2025'!$M173), AH$4&lt;&gt;DATE(2025,7,4)), (SWITCH(weekday(AH$4), 1, 0, 2, if(ISBLANK('2025'!$P173), 0, 1), 3, if(ISBLANK('2025'!$Q173), 0, 1), 4, if(ISBLANK('2025'!$R173), 0, 1), 5, if(ISBLANK('2025'!$S173), 0, 1), 6, if(ISBLANK('2025'!$T173), 0, 1), 7, 0))), 1, "")</f>
        <v/>
      </c>
      <c r="AI175" s="1" t="str">
        <f>IF(AND(AND(AND(AI$4&gt;='2025'!$L173,AI$4&lt;='2025'!$M173), AI$4&lt;&gt;DATE(2025,7,4)), (SWITCH(weekday(AI$4), 1, 0, 2, if(ISBLANK('2025'!$P173), 0, 1), 3, if(ISBLANK('2025'!$Q173), 0, 1), 4, if(ISBLANK('2025'!$R173), 0, 1), 5, if(ISBLANK('2025'!$S173), 0, 1), 6, if(ISBLANK('2025'!$T173), 0, 1), 7, 0))), 1, "")</f>
        <v/>
      </c>
      <c r="AJ175" s="1" t="str">
        <f>IF(AND(AND(AND(AJ$4&gt;='2025'!$L173,AJ$4&lt;='2025'!$M173), AJ$4&lt;&gt;DATE(2025,7,4)), (SWITCH(weekday(AJ$4), 1, 0, 2, if(ISBLANK('2025'!$P173), 0, 1), 3, if(ISBLANK('2025'!$Q173), 0, 1), 4, if(ISBLANK('2025'!$R173), 0, 1), 5, if(ISBLANK('2025'!$S173), 0, 1), 6, if(ISBLANK('2025'!$T173), 0, 1), 7, 0))), 1, "")</f>
        <v/>
      </c>
      <c r="AK175" s="1" t="str">
        <f>IF(AND(AND(AND(AK$4&gt;='2025'!$L173,AK$4&lt;='2025'!$M173), AK$4&lt;&gt;DATE(2025,7,4)), (SWITCH(weekday(AK$4), 1, 0, 2, if(ISBLANK('2025'!$P173), 0, 1), 3, if(ISBLANK('2025'!$Q173), 0, 1), 4, if(ISBLANK('2025'!$R173), 0, 1), 5, if(ISBLANK('2025'!$S173), 0, 1), 6, if(ISBLANK('2025'!$T173), 0, 1), 7, 0))), 1, "")</f>
        <v/>
      </c>
      <c r="AL175" s="1" t="str">
        <f>IF(AND(AND(AND(AL$4&gt;='2025'!$L173,AL$4&lt;='2025'!$M173), AL$4&lt;&gt;DATE(2025,7,4)), (SWITCH(weekday(AL$4), 1, 0, 2, if(ISBLANK('2025'!$P173), 0, 1), 3, if(ISBLANK('2025'!$Q173), 0, 1), 4, if(ISBLANK('2025'!$R173), 0, 1), 5, if(ISBLANK('2025'!$S173), 0, 1), 6, if(ISBLANK('2025'!$T173), 0, 1), 7, 0))), 1, "")</f>
        <v/>
      </c>
      <c r="AM175" s="1" t="str">
        <f>IF(AND(AND(AND(AM$4&gt;='2025'!$L173,AM$4&lt;='2025'!$M173), AM$4&lt;&gt;DATE(2025,7,4)), (SWITCH(weekday(AM$4), 1, 0, 2, if(ISBLANK('2025'!$P173), 0, 1), 3, if(ISBLANK('2025'!$Q173), 0, 1), 4, if(ISBLANK('2025'!$R173), 0, 1), 5, if(ISBLANK('2025'!$S173), 0, 1), 6, if(ISBLANK('2025'!$T173), 0, 1), 7, 0))), 1, "")</f>
        <v/>
      </c>
      <c r="AN175" s="1" t="str">
        <f>IF(AND(AND(AND(AN$4&gt;='2025'!$L173,AN$4&lt;='2025'!$M173), AN$4&lt;&gt;DATE(2025,7,4)), (SWITCH(weekday(AN$4), 1, 0, 2, if(ISBLANK('2025'!$P173), 0, 1), 3, if(ISBLANK('2025'!$Q173), 0, 1), 4, if(ISBLANK('2025'!$R173), 0, 1), 5, if(ISBLANK('2025'!$S173), 0, 1), 6, if(ISBLANK('2025'!$T173), 0, 1), 7, 0))), 1, "")</f>
        <v/>
      </c>
      <c r="AO175" s="1" t="str">
        <f>IF(AND(AND(AND(AO$4&gt;='2025'!$L173,AO$4&lt;='2025'!$M173), AO$4&lt;&gt;DATE(2025,7,4)), (SWITCH(weekday(AO$4), 1, 0, 2, if(ISBLANK('2025'!$P173), 0, 1), 3, if(ISBLANK('2025'!$Q173), 0, 1), 4, if(ISBLANK('2025'!$R173), 0, 1), 5, if(ISBLANK('2025'!$S173), 0, 1), 6, if(ISBLANK('2025'!$T173), 0, 1), 7, 0))), 1, "")</f>
        <v/>
      </c>
      <c r="AP175" s="1" t="str">
        <f>IF(AND(AND(AND(AP$4&gt;='2025'!$L173,AP$4&lt;='2025'!$M173), AP$4&lt;&gt;DATE(2025,7,4)), (SWITCH(weekday(AP$4), 1, 0, 2, if(ISBLANK('2025'!$P173), 0, 1), 3, if(ISBLANK('2025'!$Q173), 0, 1), 4, if(ISBLANK('2025'!$R173), 0, 1), 5, if(ISBLANK('2025'!$S173), 0, 1), 6, if(ISBLANK('2025'!$T173), 0, 1), 7, 0))), 1, "")</f>
        <v/>
      </c>
      <c r="AQ175" s="1" t="str">
        <f>IF(AND(AND(AND(AQ$4&gt;='2025'!$L173,AQ$4&lt;='2025'!$M173), AQ$4&lt;&gt;DATE(2025,7,4)), (SWITCH(weekday(AQ$4), 1, 0, 2, if(ISBLANK('2025'!$P173), 0, 1), 3, if(ISBLANK('2025'!$Q173), 0, 1), 4, if(ISBLANK('2025'!$R173), 0, 1), 5, if(ISBLANK('2025'!$S173), 0, 1), 6, if(ISBLANK('2025'!$T173), 0, 1), 7, 0))), 1, "")</f>
        <v/>
      </c>
      <c r="AR175" s="1" t="str">
        <f>IF(AND(AND(AND(AR$4&gt;='2025'!$L173,AR$4&lt;='2025'!$M173), AR$4&lt;&gt;DATE(2025,7,4)), (SWITCH(weekday(AR$4), 1, 0, 2, if(ISBLANK('2025'!$P173), 0, 1), 3, if(ISBLANK('2025'!$Q173), 0, 1), 4, if(ISBLANK('2025'!$R173), 0, 1), 5, if(ISBLANK('2025'!$S173), 0, 1), 6, if(ISBLANK('2025'!$T173), 0, 1), 7, 0))), 1, "")</f>
        <v/>
      </c>
      <c r="AS175" s="1" t="str">
        <f>IF(AND(AND(AND(AS$4&gt;='2025'!$L173,AS$4&lt;='2025'!$M173), AS$4&lt;&gt;DATE(2025,7,4)), (SWITCH(weekday(AS$4), 1, 0, 2, if(ISBLANK('2025'!$P173), 0, 1), 3, if(ISBLANK('2025'!$Q173), 0, 1), 4, if(ISBLANK('2025'!$R173), 0, 1), 5, if(ISBLANK('2025'!$S173), 0, 1), 6, if(ISBLANK('2025'!$T173), 0, 1), 7, 0))), 1, "")</f>
        <v/>
      </c>
      <c r="AT175" s="1" t="str">
        <f>IF(AND(AND(AND(AT$4&gt;='2025'!$L173,AT$4&lt;='2025'!$M173), AT$4&lt;&gt;DATE(2025,7,4)), (SWITCH(weekday(AT$4), 1, 0, 2, if(ISBLANK('2025'!$P173), 0, 1), 3, if(ISBLANK('2025'!$Q173), 0, 1), 4, if(ISBLANK('2025'!$R173), 0, 1), 5, if(ISBLANK('2025'!$S173), 0, 1), 6, if(ISBLANK('2025'!$T173), 0, 1), 7, 0))), 1, "")</f>
        <v/>
      </c>
      <c r="AU175" s="1" t="str">
        <f>IF(AND(AND(AND(AU$4&gt;='2025'!$L173,AU$4&lt;='2025'!$M173), AU$4&lt;&gt;DATE(2025,7,4)), (SWITCH(weekday(AU$4), 1, 0, 2, if(ISBLANK('2025'!$P173), 0, 1), 3, if(ISBLANK('2025'!$Q173), 0, 1), 4, if(ISBLANK('2025'!$R173), 0, 1), 5, if(ISBLANK('2025'!$S173), 0, 1), 6, if(ISBLANK('2025'!$T173), 0, 1), 7, 0))), 1, "")</f>
        <v/>
      </c>
      <c r="AV175" s="1" t="str">
        <f>IF(AND(AND(AND(AV$4&gt;='2025'!$L173,AV$4&lt;='2025'!$M173), AV$4&lt;&gt;DATE(2025,7,4)), (SWITCH(weekday(AV$4), 1, 0, 2, if(ISBLANK('2025'!$P173), 0, 1), 3, if(ISBLANK('2025'!$Q173), 0, 1), 4, if(ISBLANK('2025'!$R173), 0, 1), 5, if(ISBLANK('2025'!$S173), 0, 1), 6, if(ISBLANK('2025'!$T173), 0, 1), 7, 0))), 1, "")</f>
        <v/>
      </c>
      <c r="AW175" s="1" t="str">
        <f>IF(AND(AND(AND(AW$4&gt;='2025'!$L173,AW$4&lt;='2025'!$M173), AW$4&lt;&gt;DATE(2025,7,4)), (SWITCH(weekday(AW$4), 1, 0, 2, if(ISBLANK('2025'!$P173), 0, 1), 3, if(ISBLANK('2025'!$Q173), 0, 1), 4, if(ISBLANK('2025'!$R173), 0, 1), 5, if(ISBLANK('2025'!$S173), 0, 1), 6, if(ISBLANK('2025'!$T173), 0, 1), 7, 0))), 1, "")</f>
        <v/>
      </c>
      <c r="AX175" s="1" t="str">
        <f>IF(AND(AND(AND(AX$4&gt;='2025'!$L173,AX$4&lt;='2025'!$M173), AX$4&lt;&gt;DATE(2025,7,4)), (SWITCH(weekday(AX$4), 1, 0, 2, if(ISBLANK('2025'!$P173), 0, 1), 3, if(ISBLANK('2025'!$Q173), 0, 1), 4, if(ISBLANK('2025'!$R173), 0, 1), 5, if(ISBLANK('2025'!$S173), 0, 1), 6, if(ISBLANK('2025'!$T173), 0, 1), 7, 0))), 1, "")</f>
        <v/>
      </c>
      <c r="AY175" s="1" t="str">
        <f>IF(AND(AND(AND(AY$4&gt;='2025'!$L173,AY$4&lt;='2025'!$M173), AY$4&lt;&gt;DATE(2025,7,4)), (SWITCH(weekday(AY$4), 1, 0, 2, if(ISBLANK('2025'!$P173), 0, 1), 3, if(ISBLANK('2025'!$Q173), 0, 1), 4, if(ISBLANK('2025'!$R173), 0, 1), 5, if(ISBLANK('2025'!$S173), 0, 1), 6, if(ISBLANK('2025'!$T173), 0, 1), 7, 0))), 1, "")</f>
        <v/>
      </c>
      <c r="AZ175" s="1" t="str">
        <f>IF(AND(AND(AND(AZ$4&gt;='2025'!$L173,AZ$4&lt;='2025'!$M173), AZ$4&lt;&gt;DATE(2025,7,4)), (SWITCH(weekday(AZ$4), 1, 0, 2, if(ISBLANK('2025'!$P173), 0, 1), 3, if(ISBLANK('2025'!$Q173), 0, 1), 4, if(ISBLANK('2025'!$R173), 0, 1), 5, if(ISBLANK('2025'!$S173), 0, 1), 6, if(ISBLANK('2025'!$T173), 0, 1), 7, 0))), 1, "")</f>
        <v/>
      </c>
      <c r="BA175" s="1" t="str">
        <f>IF(AND(AND(AND(BA$4&gt;='2025'!$L173,BA$4&lt;='2025'!$M173), BA$4&lt;&gt;DATE(2025,7,4)), (SWITCH(weekday(BA$4), 1, 0, 2, if(ISBLANK('2025'!$P173), 0, 1), 3, if(ISBLANK('2025'!$Q173), 0, 1), 4, if(ISBLANK('2025'!$R173), 0, 1), 5, if(ISBLANK('2025'!$S173), 0, 1), 6, if(ISBLANK('2025'!$T173), 0, 1), 7, 0))), 1, "")</f>
        <v/>
      </c>
      <c r="BB175" s="1" t="str">
        <f>IF(AND(AND(AND(BB$4&gt;='2025'!$L173,BB$4&lt;='2025'!$M173), BB$4&lt;&gt;DATE(2025,7,4)), (SWITCH(weekday(BB$4), 1, 0, 2, if(ISBLANK('2025'!$P173), 0, 1), 3, if(ISBLANK('2025'!$Q173), 0, 1), 4, if(ISBLANK('2025'!$R173), 0, 1), 5, if(ISBLANK('2025'!$S173), 0, 1), 6, if(ISBLANK('2025'!$T173), 0, 1), 7, 0))), 1, "")</f>
        <v/>
      </c>
      <c r="BC175" s="1" t="str">
        <f>IF(AND(AND(AND(BC$4&gt;='2025'!$L173,BC$4&lt;='2025'!$M173), BC$4&lt;&gt;DATE(2025,7,4)), (SWITCH(weekday(BC$4), 1, 0, 2, if(ISBLANK('2025'!$P173), 0, 1), 3, if(ISBLANK('2025'!$Q173), 0, 1), 4, if(ISBLANK('2025'!$R173), 0, 1), 5, if(ISBLANK('2025'!$S173), 0, 1), 6, if(ISBLANK('2025'!$T173), 0, 1), 7, 0))), 1, "")</f>
        <v/>
      </c>
      <c r="BD175" s="1" t="str">
        <f>IF(AND(AND(AND(BD$4&gt;='2025'!$L173,BD$4&lt;='2025'!$M173), BD$4&lt;&gt;DATE(2025,7,4)), (SWITCH(weekday(BD$4), 1, 0, 2, if(ISBLANK('2025'!$P173), 0, 1), 3, if(ISBLANK('2025'!$Q173), 0, 1), 4, if(ISBLANK('2025'!$R173), 0, 1), 5, if(ISBLANK('2025'!$S173), 0, 1), 6, if(ISBLANK('2025'!$T173), 0, 1), 7, 0))), 1, "")</f>
        <v/>
      </c>
      <c r="BE175" s="1" t="str">
        <f>IF(AND(AND(AND(BE$4&gt;='2025'!$L173,BE$4&lt;='2025'!$M173), BE$4&lt;&gt;DATE(2025,7,4)), (SWITCH(weekday(BE$4), 1, 0, 2, if(ISBLANK('2025'!$P173), 0, 1), 3, if(ISBLANK('2025'!$Q173), 0, 1), 4, if(ISBLANK('2025'!$R173), 0, 1), 5, if(ISBLANK('2025'!$S173), 0, 1), 6, if(ISBLANK('2025'!$T173), 0, 1), 7, 0))), 1, "")</f>
        <v/>
      </c>
      <c r="BF175" s="1" t="str">
        <f>IF(AND(AND(AND(BF$4&gt;='2025'!$L173,BF$4&lt;='2025'!$M173), BF$4&lt;&gt;DATE(2025,7,4)), (SWITCH(weekday(BF$4), 1, 0, 2, if(ISBLANK('2025'!$P173), 0, 1), 3, if(ISBLANK('2025'!$Q173), 0, 1), 4, if(ISBLANK('2025'!$R173), 0, 1), 5, if(ISBLANK('2025'!$S173), 0, 1), 6, if(ISBLANK('2025'!$T173), 0, 1), 7, 0))), 1, "")</f>
        <v/>
      </c>
      <c r="BG175" s="1"/>
      <c r="BH175" s="1"/>
      <c r="BI175" s="1"/>
      <c r="BJ175" s="1"/>
      <c r="BK175" s="1"/>
      <c r="BL175" s="1"/>
    </row>
    <row r="176">
      <c r="A176" s="1">
        <f t="shared" si="3"/>
        <v>176</v>
      </c>
      <c r="B176" s="1" t="str">
        <f>'2025'!D140</f>
        <v>, </v>
      </c>
      <c r="C176" s="1" t="str">
        <f>'2025'!H140</f>
        <v/>
      </c>
      <c r="D176" s="1" t="str">
        <f>IF(AND(AND(AND(D$4&gt;='2025'!$L174,D$4&lt;='2025'!$M174), D$4&lt;&gt;DATE(2025,7,4)), (SWITCH(weekday(D$4), 1, 0, 2, if(ISBLANK('2025'!$P174), 0, 1), 3, if(ISBLANK('2025'!$Q174), 0, 1), 4, if(ISBLANK('2025'!$R174), 0, 1), 5, if(ISBLANK('2025'!$S174), 0, 1), 6, if(ISBLANK('2025'!$T174), 0, 1), 7, 0))), 1, "")</f>
        <v/>
      </c>
      <c r="E176" s="1" t="str">
        <f>IF(AND(AND(AND(E$4&gt;='2025'!$L174,E$4&lt;='2025'!$M174), E$4&lt;&gt;DATE(2025,7,4)), (SWITCH(weekday(E$4), 1, 0, 2, if(ISBLANK('2025'!$P174), 0, 1), 3, if(ISBLANK('2025'!$Q174), 0, 1), 4, if(ISBLANK('2025'!$R174), 0, 1), 5, if(ISBLANK('2025'!$S174), 0, 1), 6, if(ISBLANK('2025'!$T174), 0, 1), 7, 0))), 1, "")</f>
        <v/>
      </c>
      <c r="F176" s="1" t="str">
        <f>IF(AND(AND(AND(F$4&gt;='2025'!$L174,F$4&lt;='2025'!$M174), F$4&lt;&gt;DATE(2025,7,4)), (SWITCH(weekday(F$4), 1, 0, 2, if(ISBLANK('2025'!$P174), 0, 1), 3, if(ISBLANK('2025'!$Q174), 0, 1), 4, if(ISBLANK('2025'!$R174), 0, 1), 5, if(ISBLANK('2025'!$S174), 0, 1), 6, if(ISBLANK('2025'!$T174), 0, 1), 7, 0))), 1, "")</f>
        <v/>
      </c>
      <c r="G176" s="1" t="str">
        <f>IF(AND(AND(AND(G$4&gt;='2025'!$L174,G$4&lt;='2025'!$M174), G$4&lt;&gt;DATE(2025,7,4)), (SWITCH(weekday(G$4), 1, 0, 2, if(ISBLANK('2025'!$P174), 0, 1), 3, if(ISBLANK('2025'!$Q174), 0, 1), 4, if(ISBLANK('2025'!$R174), 0, 1), 5, if(ISBLANK('2025'!$S174), 0, 1), 6, if(ISBLANK('2025'!$T174), 0, 1), 7, 0))), 1, "")</f>
        <v/>
      </c>
      <c r="H176" s="1" t="str">
        <f>IF(AND(AND(AND(H$4&gt;='2025'!$L174,H$4&lt;='2025'!$M174), H$4&lt;&gt;DATE(2025,7,4)), (SWITCH(weekday(H$4), 1, 0, 2, if(ISBLANK('2025'!$P174), 0, 1), 3, if(ISBLANK('2025'!$Q174), 0, 1), 4, if(ISBLANK('2025'!$R174), 0, 1), 5, if(ISBLANK('2025'!$S174), 0, 1), 6, if(ISBLANK('2025'!$T174), 0, 1), 7, 0))), 1, "")</f>
        <v/>
      </c>
      <c r="I176" s="1" t="str">
        <f>IF(AND(AND(AND(I$4&gt;='2025'!$L174,I$4&lt;='2025'!$M174), I$4&lt;&gt;DATE(2025,7,4)), (SWITCH(weekday(I$4), 1, 0, 2, if(ISBLANK('2025'!$P174), 0, 1), 3, if(ISBLANK('2025'!$Q174), 0, 1), 4, if(ISBLANK('2025'!$R174), 0, 1), 5, if(ISBLANK('2025'!$S174), 0, 1), 6, if(ISBLANK('2025'!$T174), 0, 1), 7, 0))), 1, "")</f>
        <v/>
      </c>
      <c r="J176" s="1" t="str">
        <f>IF(AND(AND(AND(J$4&gt;='2025'!$L174,J$4&lt;='2025'!$M174), J$4&lt;&gt;DATE(2025,7,4)), (SWITCH(weekday(J$4), 1, 0, 2, if(ISBLANK('2025'!$P174), 0, 1), 3, if(ISBLANK('2025'!$Q174), 0, 1), 4, if(ISBLANK('2025'!$R174), 0, 1), 5, if(ISBLANK('2025'!$S174), 0, 1), 6, if(ISBLANK('2025'!$T174), 0, 1), 7, 0))), 1, "")</f>
        <v/>
      </c>
      <c r="K176" s="1" t="str">
        <f>IF(AND(AND(AND(K$4&gt;='2025'!$L174,K$4&lt;='2025'!$M174), K$4&lt;&gt;DATE(2025,7,4)), (SWITCH(weekday(K$4), 1, 0, 2, if(ISBLANK('2025'!$P174), 0, 1), 3, if(ISBLANK('2025'!$Q174), 0, 1), 4, if(ISBLANK('2025'!$R174), 0, 1), 5, if(ISBLANK('2025'!$S174), 0, 1), 6, if(ISBLANK('2025'!$T174), 0, 1), 7, 0))), 1, "")</f>
        <v/>
      </c>
      <c r="L176" s="1" t="str">
        <f>IF(AND(AND(AND(L$4&gt;='2025'!$L174,L$4&lt;='2025'!$M174), L$4&lt;&gt;DATE(2025,7,4)), (SWITCH(weekday(L$4), 1, 0, 2, if(ISBLANK('2025'!$P174), 0, 1), 3, if(ISBLANK('2025'!$Q174), 0, 1), 4, if(ISBLANK('2025'!$R174), 0, 1), 5, if(ISBLANK('2025'!$S174), 0, 1), 6, if(ISBLANK('2025'!$T174), 0, 1), 7, 0))), 1, "")</f>
        <v/>
      </c>
      <c r="M176" s="1" t="str">
        <f>IF(AND(AND(AND(M$4&gt;='2025'!$L174,M$4&lt;='2025'!$M174), M$4&lt;&gt;DATE(2025,7,4)), (SWITCH(weekday(M$4), 1, 0, 2, if(ISBLANK('2025'!$P174), 0, 1), 3, if(ISBLANK('2025'!$Q174), 0, 1), 4, if(ISBLANK('2025'!$R174), 0, 1), 5, if(ISBLANK('2025'!$S174), 0, 1), 6, if(ISBLANK('2025'!$T174), 0, 1), 7, 0))), 1, "")</f>
        <v/>
      </c>
      <c r="N176" s="1" t="str">
        <f>IF(AND(AND(AND(N$4&gt;='2025'!$L174,N$4&lt;='2025'!$M174), N$4&lt;&gt;DATE(2025,7,4)), (SWITCH(weekday(N$4), 1, 0, 2, if(ISBLANK('2025'!$P174), 0, 1), 3, if(ISBLANK('2025'!$Q174), 0, 1), 4, if(ISBLANK('2025'!$R174), 0, 1), 5, if(ISBLANK('2025'!$S174), 0, 1), 6, if(ISBLANK('2025'!$T174), 0, 1), 7, 0))), 1, "")</f>
        <v/>
      </c>
      <c r="O176" s="1" t="str">
        <f>IF(AND(AND(AND(O$4&gt;='2025'!$L174,O$4&lt;='2025'!$M174), O$4&lt;&gt;DATE(2025,7,4)), (SWITCH(weekday(O$4), 1, 0, 2, if(ISBLANK('2025'!$P174), 0, 1), 3, if(ISBLANK('2025'!$Q174), 0, 1), 4, if(ISBLANK('2025'!$R174), 0, 1), 5, if(ISBLANK('2025'!$S174), 0, 1), 6, if(ISBLANK('2025'!$T174), 0, 1), 7, 0))), 1, "")</f>
        <v/>
      </c>
      <c r="P176" s="1" t="str">
        <f>IF(AND(AND(AND(P$4&gt;='2025'!$L174,P$4&lt;='2025'!$M174), P$4&lt;&gt;DATE(2025,7,4)), (SWITCH(weekday(P$4), 1, 0, 2, if(ISBLANK('2025'!$P174), 0, 1), 3, if(ISBLANK('2025'!$Q174), 0, 1), 4, if(ISBLANK('2025'!$R174), 0, 1), 5, if(ISBLANK('2025'!$S174), 0, 1), 6, if(ISBLANK('2025'!$T174), 0, 1), 7, 0))), 1, "")</f>
        <v/>
      </c>
      <c r="Q176" s="1" t="str">
        <f>IF(AND(AND(AND(Q$4&gt;='2025'!$L174,Q$4&lt;='2025'!$M174), Q$4&lt;&gt;DATE(2025,7,4)), (SWITCH(weekday(Q$4), 1, 0, 2, if(ISBLANK('2025'!$P174), 0, 1), 3, if(ISBLANK('2025'!$Q174), 0, 1), 4, if(ISBLANK('2025'!$R174), 0, 1), 5, if(ISBLANK('2025'!$S174), 0, 1), 6, if(ISBLANK('2025'!$T174), 0, 1), 7, 0))), 1, "")</f>
        <v/>
      </c>
      <c r="R176" s="1" t="str">
        <f>IF(AND(AND(AND(R$4&gt;='2025'!$L174,R$4&lt;='2025'!$M174), R$4&lt;&gt;DATE(2025,7,4)), (SWITCH(weekday(R$4), 1, 0, 2, if(ISBLANK('2025'!$P174), 0, 1), 3, if(ISBLANK('2025'!$Q174), 0, 1), 4, if(ISBLANK('2025'!$R174), 0, 1), 5, if(ISBLANK('2025'!$S174), 0, 1), 6, if(ISBLANK('2025'!$T174), 0, 1), 7, 0))), 1, "")</f>
        <v/>
      </c>
      <c r="S176" s="1" t="str">
        <f>IF(AND(AND(AND(S$4&gt;='2025'!$L174,S$4&lt;='2025'!$M174), S$4&lt;&gt;DATE(2025,7,4)), (SWITCH(weekday(S$4), 1, 0, 2, if(ISBLANK('2025'!$P174), 0, 1), 3, if(ISBLANK('2025'!$Q174), 0, 1), 4, if(ISBLANK('2025'!$R174), 0, 1), 5, if(ISBLANK('2025'!$S174), 0, 1), 6, if(ISBLANK('2025'!$T174), 0, 1), 7, 0))), 1, "")</f>
        <v/>
      </c>
      <c r="T176" s="1" t="str">
        <f>IF(AND(AND(AND(T$4&gt;='2025'!$L174,T$4&lt;='2025'!$M174), T$4&lt;&gt;DATE(2025,7,4)), (SWITCH(weekday(T$4), 1, 0, 2, if(ISBLANK('2025'!$P174), 0, 1), 3, if(ISBLANK('2025'!$Q174), 0, 1), 4, if(ISBLANK('2025'!$R174), 0, 1), 5, if(ISBLANK('2025'!$S174), 0, 1), 6, if(ISBLANK('2025'!$T174), 0, 1), 7, 0))), 1, "")</f>
        <v/>
      </c>
      <c r="U176" s="1" t="str">
        <f>IF(AND(AND(AND(U$4&gt;='2025'!$L174,U$4&lt;='2025'!$M174), U$4&lt;&gt;DATE(2025,7,4)), (SWITCH(weekday(U$4), 1, 0, 2, if(ISBLANK('2025'!$P174), 0, 1), 3, if(ISBLANK('2025'!$Q174), 0, 1), 4, if(ISBLANK('2025'!$R174), 0, 1), 5, if(ISBLANK('2025'!$S174), 0, 1), 6, if(ISBLANK('2025'!$T174), 0, 1), 7, 0))), 1, "")</f>
        <v/>
      </c>
      <c r="V176" s="1" t="str">
        <f>IF(AND(AND(AND(V$4&gt;='2025'!$L174,V$4&lt;='2025'!$M174), V$4&lt;&gt;DATE(2025,7,4)), (SWITCH(weekday(V$4), 1, 0, 2, if(ISBLANK('2025'!$P174), 0, 1), 3, if(ISBLANK('2025'!$Q174), 0, 1), 4, if(ISBLANK('2025'!$R174), 0, 1), 5, if(ISBLANK('2025'!$S174), 0, 1), 6, if(ISBLANK('2025'!$T174), 0, 1), 7, 0))), 1, "")</f>
        <v/>
      </c>
      <c r="W176" s="1" t="str">
        <f>IF(AND(AND(AND(W$4&gt;='2025'!$L174,W$4&lt;='2025'!$M174), W$4&lt;&gt;DATE(2025,7,4)), (SWITCH(weekday(W$4), 1, 0, 2, if(ISBLANK('2025'!$P174), 0, 1), 3, if(ISBLANK('2025'!$Q174), 0, 1), 4, if(ISBLANK('2025'!$R174), 0, 1), 5, if(ISBLANK('2025'!$S174), 0, 1), 6, if(ISBLANK('2025'!$T174), 0, 1), 7, 0))), 1, "")</f>
        <v/>
      </c>
      <c r="X176" s="1" t="str">
        <f>IF(AND(AND(AND(X$4&gt;='2025'!$L174,X$4&lt;='2025'!$M174), X$4&lt;&gt;DATE(2025,7,4)), (SWITCH(weekday(X$4), 1, 0, 2, if(ISBLANK('2025'!$P174), 0, 1), 3, if(ISBLANK('2025'!$Q174), 0, 1), 4, if(ISBLANK('2025'!$R174), 0, 1), 5, if(ISBLANK('2025'!$S174), 0, 1), 6, if(ISBLANK('2025'!$T174), 0, 1), 7, 0))), 1, "")</f>
        <v/>
      </c>
      <c r="Y176" s="1" t="str">
        <f>IF(AND(AND(AND(Y$4&gt;='2025'!$L174,Y$4&lt;='2025'!$M174), Y$4&lt;&gt;DATE(2025,7,4)), (SWITCH(weekday(Y$4), 1, 0, 2, if(ISBLANK('2025'!$P174), 0, 1), 3, if(ISBLANK('2025'!$Q174), 0, 1), 4, if(ISBLANK('2025'!$R174), 0, 1), 5, if(ISBLANK('2025'!$S174), 0, 1), 6, if(ISBLANK('2025'!$T174), 0, 1), 7, 0))), 1, "")</f>
        <v/>
      </c>
      <c r="Z176" s="1" t="str">
        <f>IF(AND(AND(AND(Z$4&gt;='2025'!$L174,Z$4&lt;='2025'!$M174), Z$4&lt;&gt;DATE(2025,7,4)), (SWITCH(weekday(Z$4), 1, 0, 2, if(ISBLANK('2025'!$P174), 0, 1), 3, if(ISBLANK('2025'!$Q174), 0, 1), 4, if(ISBLANK('2025'!$R174), 0, 1), 5, if(ISBLANK('2025'!$S174), 0, 1), 6, if(ISBLANK('2025'!$T174), 0, 1), 7, 0))), 1, "")</f>
        <v/>
      </c>
      <c r="AA176" s="1" t="str">
        <f>IF(AND(AND(AND(AA$4&gt;='2025'!$L174,AA$4&lt;='2025'!$M174), AA$4&lt;&gt;DATE(2025,7,4)), (SWITCH(weekday(AA$4), 1, 0, 2, if(ISBLANK('2025'!$P174), 0, 1), 3, if(ISBLANK('2025'!$Q174), 0, 1), 4, if(ISBLANK('2025'!$R174), 0, 1), 5, if(ISBLANK('2025'!$S174), 0, 1), 6, if(ISBLANK('2025'!$T174), 0, 1), 7, 0))), 1, "")</f>
        <v/>
      </c>
      <c r="AB176" s="1" t="str">
        <f>IF(AND(AND(AND(AB$4&gt;='2025'!$L174,AB$4&lt;='2025'!$M174), AB$4&lt;&gt;DATE(2025,7,4)), (SWITCH(weekday(AB$4), 1, 0, 2, if(ISBLANK('2025'!$P174), 0, 1), 3, if(ISBLANK('2025'!$Q174), 0, 1), 4, if(ISBLANK('2025'!$R174), 0, 1), 5, if(ISBLANK('2025'!$S174), 0, 1), 6, if(ISBLANK('2025'!$T174), 0, 1), 7, 0))), 1, "")</f>
        <v/>
      </c>
      <c r="AC176" s="1" t="str">
        <f>IF(AND(AND(AND(AC$4&gt;='2025'!$L174,AC$4&lt;='2025'!$M174), AC$4&lt;&gt;DATE(2025,7,4)), (SWITCH(weekday(AC$4), 1, 0, 2, if(ISBLANK('2025'!$P174), 0, 1), 3, if(ISBLANK('2025'!$Q174), 0, 1), 4, if(ISBLANK('2025'!$R174), 0, 1), 5, if(ISBLANK('2025'!$S174), 0, 1), 6, if(ISBLANK('2025'!$T174), 0, 1), 7, 0))), 1, "")</f>
        <v/>
      </c>
      <c r="AD176" s="1" t="str">
        <f>IF(AND(AND(AND(AD$4&gt;='2025'!$L174,AD$4&lt;='2025'!$M174), AD$4&lt;&gt;DATE(2025,7,4)), (SWITCH(weekday(AD$4), 1, 0, 2, if(ISBLANK('2025'!$P174), 0, 1), 3, if(ISBLANK('2025'!$Q174), 0, 1), 4, if(ISBLANK('2025'!$R174), 0, 1), 5, if(ISBLANK('2025'!$S174), 0, 1), 6, if(ISBLANK('2025'!$T174), 0, 1), 7, 0))), 1, "")</f>
        <v/>
      </c>
      <c r="AE176" s="1" t="str">
        <f>IF(AND(AND(AND(AE$4&gt;='2025'!$L174,AE$4&lt;='2025'!$M174), AE$4&lt;&gt;DATE(2025,7,4)), (SWITCH(weekday(AE$4), 1, 0, 2, if(ISBLANK('2025'!$P174), 0, 1), 3, if(ISBLANK('2025'!$Q174), 0, 1), 4, if(ISBLANK('2025'!$R174), 0, 1), 5, if(ISBLANK('2025'!$S174), 0, 1), 6, if(ISBLANK('2025'!$T174), 0, 1), 7, 0))), 1, "")</f>
        <v/>
      </c>
      <c r="AF176" s="1" t="str">
        <f>IF(AND(AND(AND(AF$4&gt;='2025'!$L174,AF$4&lt;='2025'!$M174), AF$4&lt;&gt;DATE(2025,7,4)), (SWITCH(weekday(AF$4), 1, 0, 2, if(ISBLANK('2025'!$P174), 0, 1), 3, if(ISBLANK('2025'!$Q174), 0, 1), 4, if(ISBLANK('2025'!$R174), 0, 1), 5, if(ISBLANK('2025'!$S174), 0, 1), 6, if(ISBLANK('2025'!$T174), 0, 1), 7, 0))), 1, "")</f>
        <v/>
      </c>
      <c r="AG176" s="1" t="str">
        <f>IF(AND(AND(AND(AG$4&gt;='2025'!$L174,AG$4&lt;='2025'!$M174), AG$4&lt;&gt;DATE(2025,7,4)), (SWITCH(weekday(AG$4), 1, 0, 2, if(ISBLANK('2025'!$P174), 0, 1), 3, if(ISBLANK('2025'!$Q174), 0, 1), 4, if(ISBLANK('2025'!$R174), 0, 1), 5, if(ISBLANK('2025'!$S174), 0, 1), 6, if(ISBLANK('2025'!$T174), 0, 1), 7, 0))), 1, "")</f>
        <v/>
      </c>
      <c r="AH176" s="1" t="str">
        <f>IF(AND(AND(AND(AH$4&gt;='2025'!$L174,AH$4&lt;='2025'!$M174), AH$4&lt;&gt;DATE(2025,7,4)), (SWITCH(weekday(AH$4), 1, 0, 2, if(ISBLANK('2025'!$P174), 0, 1), 3, if(ISBLANK('2025'!$Q174), 0, 1), 4, if(ISBLANK('2025'!$R174), 0, 1), 5, if(ISBLANK('2025'!$S174), 0, 1), 6, if(ISBLANK('2025'!$T174), 0, 1), 7, 0))), 1, "")</f>
        <v/>
      </c>
      <c r="AI176" s="1" t="str">
        <f>IF(AND(AND(AND(AI$4&gt;='2025'!$L174,AI$4&lt;='2025'!$M174), AI$4&lt;&gt;DATE(2025,7,4)), (SWITCH(weekday(AI$4), 1, 0, 2, if(ISBLANK('2025'!$P174), 0, 1), 3, if(ISBLANK('2025'!$Q174), 0, 1), 4, if(ISBLANK('2025'!$R174), 0, 1), 5, if(ISBLANK('2025'!$S174), 0, 1), 6, if(ISBLANK('2025'!$T174), 0, 1), 7, 0))), 1, "")</f>
        <v/>
      </c>
      <c r="AJ176" s="1" t="str">
        <f>IF(AND(AND(AND(AJ$4&gt;='2025'!$L174,AJ$4&lt;='2025'!$M174), AJ$4&lt;&gt;DATE(2025,7,4)), (SWITCH(weekday(AJ$4), 1, 0, 2, if(ISBLANK('2025'!$P174), 0, 1), 3, if(ISBLANK('2025'!$Q174), 0, 1), 4, if(ISBLANK('2025'!$R174), 0, 1), 5, if(ISBLANK('2025'!$S174), 0, 1), 6, if(ISBLANK('2025'!$T174), 0, 1), 7, 0))), 1, "")</f>
        <v/>
      </c>
      <c r="AK176" s="1" t="str">
        <f>IF(AND(AND(AND(AK$4&gt;='2025'!$L174,AK$4&lt;='2025'!$M174), AK$4&lt;&gt;DATE(2025,7,4)), (SWITCH(weekday(AK$4), 1, 0, 2, if(ISBLANK('2025'!$P174), 0, 1), 3, if(ISBLANK('2025'!$Q174), 0, 1), 4, if(ISBLANK('2025'!$R174), 0, 1), 5, if(ISBLANK('2025'!$S174), 0, 1), 6, if(ISBLANK('2025'!$T174), 0, 1), 7, 0))), 1, "")</f>
        <v/>
      </c>
      <c r="AL176" s="1" t="str">
        <f>IF(AND(AND(AND(AL$4&gt;='2025'!$L174,AL$4&lt;='2025'!$M174), AL$4&lt;&gt;DATE(2025,7,4)), (SWITCH(weekday(AL$4), 1, 0, 2, if(ISBLANK('2025'!$P174), 0, 1), 3, if(ISBLANK('2025'!$Q174), 0, 1), 4, if(ISBLANK('2025'!$R174), 0, 1), 5, if(ISBLANK('2025'!$S174), 0, 1), 6, if(ISBLANK('2025'!$T174), 0, 1), 7, 0))), 1, "")</f>
        <v/>
      </c>
      <c r="AM176" s="1" t="str">
        <f>IF(AND(AND(AND(AM$4&gt;='2025'!$L174,AM$4&lt;='2025'!$M174), AM$4&lt;&gt;DATE(2025,7,4)), (SWITCH(weekday(AM$4), 1, 0, 2, if(ISBLANK('2025'!$P174), 0, 1), 3, if(ISBLANK('2025'!$Q174), 0, 1), 4, if(ISBLANK('2025'!$R174), 0, 1), 5, if(ISBLANK('2025'!$S174), 0, 1), 6, if(ISBLANK('2025'!$T174), 0, 1), 7, 0))), 1, "")</f>
        <v/>
      </c>
      <c r="AN176" s="1" t="str">
        <f>IF(AND(AND(AND(AN$4&gt;='2025'!$L174,AN$4&lt;='2025'!$M174), AN$4&lt;&gt;DATE(2025,7,4)), (SWITCH(weekday(AN$4), 1, 0, 2, if(ISBLANK('2025'!$P174), 0, 1), 3, if(ISBLANK('2025'!$Q174), 0, 1), 4, if(ISBLANK('2025'!$R174), 0, 1), 5, if(ISBLANK('2025'!$S174), 0, 1), 6, if(ISBLANK('2025'!$T174), 0, 1), 7, 0))), 1, "")</f>
        <v/>
      </c>
      <c r="AO176" s="1" t="str">
        <f>IF(AND(AND(AND(AO$4&gt;='2025'!$L174,AO$4&lt;='2025'!$M174), AO$4&lt;&gt;DATE(2025,7,4)), (SWITCH(weekday(AO$4), 1, 0, 2, if(ISBLANK('2025'!$P174), 0, 1), 3, if(ISBLANK('2025'!$Q174), 0, 1), 4, if(ISBLANK('2025'!$R174), 0, 1), 5, if(ISBLANK('2025'!$S174), 0, 1), 6, if(ISBLANK('2025'!$T174), 0, 1), 7, 0))), 1, "")</f>
        <v/>
      </c>
      <c r="AP176" s="1" t="str">
        <f>IF(AND(AND(AND(AP$4&gt;='2025'!$L174,AP$4&lt;='2025'!$M174), AP$4&lt;&gt;DATE(2025,7,4)), (SWITCH(weekday(AP$4), 1, 0, 2, if(ISBLANK('2025'!$P174), 0, 1), 3, if(ISBLANK('2025'!$Q174), 0, 1), 4, if(ISBLANK('2025'!$R174), 0, 1), 5, if(ISBLANK('2025'!$S174), 0, 1), 6, if(ISBLANK('2025'!$T174), 0, 1), 7, 0))), 1, "")</f>
        <v/>
      </c>
      <c r="AQ176" s="1" t="str">
        <f>IF(AND(AND(AND(AQ$4&gt;='2025'!$L174,AQ$4&lt;='2025'!$M174), AQ$4&lt;&gt;DATE(2025,7,4)), (SWITCH(weekday(AQ$4), 1, 0, 2, if(ISBLANK('2025'!$P174), 0, 1), 3, if(ISBLANK('2025'!$Q174), 0, 1), 4, if(ISBLANK('2025'!$R174), 0, 1), 5, if(ISBLANK('2025'!$S174), 0, 1), 6, if(ISBLANK('2025'!$T174), 0, 1), 7, 0))), 1, "")</f>
        <v/>
      </c>
      <c r="AR176" s="1" t="str">
        <f>IF(AND(AND(AND(AR$4&gt;='2025'!$L174,AR$4&lt;='2025'!$M174), AR$4&lt;&gt;DATE(2025,7,4)), (SWITCH(weekday(AR$4), 1, 0, 2, if(ISBLANK('2025'!$P174), 0, 1), 3, if(ISBLANK('2025'!$Q174), 0, 1), 4, if(ISBLANK('2025'!$R174), 0, 1), 5, if(ISBLANK('2025'!$S174), 0, 1), 6, if(ISBLANK('2025'!$T174), 0, 1), 7, 0))), 1, "")</f>
        <v/>
      </c>
      <c r="AS176" s="1" t="str">
        <f>IF(AND(AND(AND(AS$4&gt;='2025'!$L174,AS$4&lt;='2025'!$M174), AS$4&lt;&gt;DATE(2025,7,4)), (SWITCH(weekday(AS$4), 1, 0, 2, if(ISBLANK('2025'!$P174), 0, 1), 3, if(ISBLANK('2025'!$Q174), 0, 1), 4, if(ISBLANK('2025'!$R174), 0, 1), 5, if(ISBLANK('2025'!$S174), 0, 1), 6, if(ISBLANK('2025'!$T174), 0, 1), 7, 0))), 1, "")</f>
        <v/>
      </c>
      <c r="AT176" s="1" t="str">
        <f>IF(AND(AND(AND(AT$4&gt;='2025'!$L174,AT$4&lt;='2025'!$M174), AT$4&lt;&gt;DATE(2025,7,4)), (SWITCH(weekday(AT$4), 1, 0, 2, if(ISBLANK('2025'!$P174), 0, 1), 3, if(ISBLANK('2025'!$Q174), 0, 1), 4, if(ISBLANK('2025'!$R174), 0, 1), 5, if(ISBLANK('2025'!$S174), 0, 1), 6, if(ISBLANK('2025'!$T174), 0, 1), 7, 0))), 1, "")</f>
        <v/>
      </c>
      <c r="AU176" s="1" t="str">
        <f>IF(AND(AND(AND(AU$4&gt;='2025'!$L174,AU$4&lt;='2025'!$M174), AU$4&lt;&gt;DATE(2025,7,4)), (SWITCH(weekday(AU$4), 1, 0, 2, if(ISBLANK('2025'!$P174), 0, 1), 3, if(ISBLANK('2025'!$Q174), 0, 1), 4, if(ISBLANK('2025'!$R174), 0, 1), 5, if(ISBLANK('2025'!$S174), 0, 1), 6, if(ISBLANK('2025'!$T174), 0, 1), 7, 0))), 1, "")</f>
        <v/>
      </c>
      <c r="AV176" s="1" t="str">
        <f>IF(AND(AND(AND(AV$4&gt;='2025'!$L174,AV$4&lt;='2025'!$M174), AV$4&lt;&gt;DATE(2025,7,4)), (SWITCH(weekday(AV$4), 1, 0, 2, if(ISBLANK('2025'!$P174), 0, 1), 3, if(ISBLANK('2025'!$Q174), 0, 1), 4, if(ISBLANK('2025'!$R174), 0, 1), 5, if(ISBLANK('2025'!$S174), 0, 1), 6, if(ISBLANK('2025'!$T174), 0, 1), 7, 0))), 1, "")</f>
        <v/>
      </c>
      <c r="AW176" s="1" t="str">
        <f>IF(AND(AND(AND(AW$4&gt;='2025'!$L174,AW$4&lt;='2025'!$M174), AW$4&lt;&gt;DATE(2025,7,4)), (SWITCH(weekday(AW$4), 1, 0, 2, if(ISBLANK('2025'!$P174), 0, 1), 3, if(ISBLANK('2025'!$Q174), 0, 1), 4, if(ISBLANK('2025'!$R174), 0, 1), 5, if(ISBLANK('2025'!$S174), 0, 1), 6, if(ISBLANK('2025'!$T174), 0, 1), 7, 0))), 1, "")</f>
        <v/>
      </c>
      <c r="AX176" s="1" t="str">
        <f>IF(AND(AND(AND(AX$4&gt;='2025'!$L174,AX$4&lt;='2025'!$M174), AX$4&lt;&gt;DATE(2025,7,4)), (SWITCH(weekday(AX$4), 1, 0, 2, if(ISBLANK('2025'!$P174), 0, 1), 3, if(ISBLANK('2025'!$Q174), 0, 1), 4, if(ISBLANK('2025'!$R174), 0, 1), 5, if(ISBLANK('2025'!$S174), 0, 1), 6, if(ISBLANK('2025'!$T174), 0, 1), 7, 0))), 1, "")</f>
        <v/>
      </c>
      <c r="AY176" s="1" t="str">
        <f>IF(AND(AND(AND(AY$4&gt;='2025'!$L174,AY$4&lt;='2025'!$M174), AY$4&lt;&gt;DATE(2025,7,4)), (SWITCH(weekday(AY$4), 1, 0, 2, if(ISBLANK('2025'!$P174), 0, 1), 3, if(ISBLANK('2025'!$Q174), 0, 1), 4, if(ISBLANK('2025'!$R174), 0, 1), 5, if(ISBLANK('2025'!$S174), 0, 1), 6, if(ISBLANK('2025'!$T174), 0, 1), 7, 0))), 1, "")</f>
        <v/>
      </c>
      <c r="AZ176" s="1" t="str">
        <f>IF(AND(AND(AND(AZ$4&gt;='2025'!$L174,AZ$4&lt;='2025'!$M174), AZ$4&lt;&gt;DATE(2025,7,4)), (SWITCH(weekday(AZ$4), 1, 0, 2, if(ISBLANK('2025'!$P174), 0, 1), 3, if(ISBLANK('2025'!$Q174), 0, 1), 4, if(ISBLANK('2025'!$R174), 0, 1), 5, if(ISBLANK('2025'!$S174), 0, 1), 6, if(ISBLANK('2025'!$T174), 0, 1), 7, 0))), 1, "")</f>
        <v/>
      </c>
      <c r="BA176" s="1" t="str">
        <f>IF(AND(AND(AND(BA$4&gt;='2025'!$L174,BA$4&lt;='2025'!$M174), BA$4&lt;&gt;DATE(2025,7,4)), (SWITCH(weekday(BA$4), 1, 0, 2, if(ISBLANK('2025'!$P174), 0, 1), 3, if(ISBLANK('2025'!$Q174), 0, 1), 4, if(ISBLANK('2025'!$R174), 0, 1), 5, if(ISBLANK('2025'!$S174), 0, 1), 6, if(ISBLANK('2025'!$T174), 0, 1), 7, 0))), 1, "")</f>
        <v/>
      </c>
      <c r="BB176" s="1" t="str">
        <f>IF(AND(AND(AND(BB$4&gt;='2025'!$L174,BB$4&lt;='2025'!$M174), BB$4&lt;&gt;DATE(2025,7,4)), (SWITCH(weekday(BB$4), 1, 0, 2, if(ISBLANK('2025'!$P174), 0, 1), 3, if(ISBLANK('2025'!$Q174), 0, 1), 4, if(ISBLANK('2025'!$R174), 0, 1), 5, if(ISBLANK('2025'!$S174), 0, 1), 6, if(ISBLANK('2025'!$T174), 0, 1), 7, 0))), 1, "")</f>
        <v/>
      </c>
      <c r="BC176" s="1" t="str">
        <f>IF(AND(AND(AND(BC$4&gt;='2025'!$L174,BC$4&lt;='2025'!$M174), BC$4&lt;&gt;DATE(2025,7,4)), (SWITCH(weekday(BC$4), 1, 0, 2, if(ISBLANK('2025'!$P174), 0, 1), 3, if(ISBLANK('2025'!$Q174), 0, 1), 4, if(ISBLANK('2025'!$R174), 0, 1), 5, if(ISBLANK('2025'!$S174), 0, 1), 6, if(ISBLANK('2025'!$T174), 0, 1), 7, 0))), 1, "")</f>
        <v/>
      </c>
      <c r="BD176" s="1" t="str">
        <f>IF(AND(AND(AND(BD$4&gt;='2025'!$L174,BD$4&lt;='2025'!$M174), BD$4&lt;&gt;DATE(2025,7,4)), (SWITCH(weekday(BD$4), 1, 0, 2, if(ISBLANK('2025'!$P174), 0, 1), 3, if(ISBLANK('2025'!$Q174), 0, 1), 4, if(ISBLANK('2025'!$R174), 0, 1), 5, if(ISBLANK('2025'!$S174), 0, 1), 6, if(ISBLANK('2025'!$T174), 0, 1), 7, 0))), 1, "")</f>
        <v/>
      </c>
      <c r="BE176" s="1" t="str">
        <f>IF(AND(AND(AND(BE$4&gt;='2025'!$L174,BE$4&lt;='2025'!$M174), BE$4&lt;&gt;DATE(2025,7,4)), (SWITCH(weekday(BE$4), 1, 0, 2, if(ISBLANK('2025'!$P174), 0, 1), 3, if(ISBLANK('2025'!$Q174), 0, 1), 4, if(ISBLANK('2025'!$R174), 0, 1), 5, if(ISBLANK('2025'!$S174), 0, 1), 6, if(ISBLANK('2025'!$T174), 0, 1), 7, 0))), 1, "")</f>
        <v/>
      </c>
      <c r="BF176" s="1" t="str">
        <f>IF(AND(AND(AND(BF$4&gt;='2025'!$L174,BF$4&lt;='2025'!$M174), BF$4&lt;&gt;DATE(2025,7,4)), (SWITCH(weekday(BF$4), 1, 0, 2, if(ISBLANK('2025'!$P174), 0, 1), 3, if(ISBLANK('2025'!$Q174), 0, 1), 4, if(ISBLANK('2025'!$R174), 0, 1), 5, if(ISBLANK('2025'!$S174), 0, 1), 6, if(ISBLANK('2025'!$T174), 0, 1), 7, 0))), 1, "")</f>
        <v/>
      </c>
      <c r="BG176" s="1"/>
      <c r="BH176" s="1"/>
      <c r="BI176" s="1"/>
      <c r="BJ176" s="1"/>
      <c r="BK176" s="1"/>
      <c r="BL176" s="1"/>
    </row>
    <row r="177">
      <c r="A177" s="1">
        <f t="shared" si="3"/>
        <v>177</v>
      </c>
      <c r="B177" s="1" t="str">
        <f>'2025'!D141</f>
        <v>, </v>
      </c>
      <c r="C177" s="1" t="str">
        <f>'2025'!H141</f>
        <v/>
      </c>
      <c r="D177" s="1" t="str">
        <f>IF(AND(AND(AND(D$4&gt;='2025'!$L175,D$4&lt;='2025'!$M175), D$4&lt;&gt;DATE(2025,7,4)), (SWITCH(weekday(D$4), 1, 0, 2, if(ISBLANK('2025'!$P175), 0, 1), 3, if(ISBLANK('2025'!$Q175), 0, 1), 4, if(ISBLANK('2025'!$R175), 0, 1), 5, if(ISBLANK('2025'!$S175), 0, 1), 6, if(ISBLANK('2025'!$T175), 0, 1), 7, 0))), 1, "")</f>
        <v/>
      </c>
      <c r="E177" s="1" t="str">
        <f>IF(AND(AND(AND(E$4&gt;='2025'!$L175,E$4&lt;='2025'!$M175), E$4&lt;&gt;DATE(2025,7,4)), (SWITCH(weekday(E$4), 1, 0, 2, if(ISBLANK('2025'!$P175), 0, 1), 3, if(ISBLANK('2025'!$Q175), 0, 1), 4, if(ISBLANK('2025'!$R175), 0, 1), 5, if(ISBLANK('2025'!$S175), 0, 1), 6, if(ISBLANK('2025'!$T175), 0, 1), 7, 0))), 1, "")</f>
        <v/>
      </c>
      <c r="F177" s="1" t="str">
        <f>IF(AND(AND(AND(F$4&gt;='2025'!$L175,F$4&lt;='2025'!$M175), F$4&lt;&gt;DATE(2025,7,4)), (SWITCH(weekday(F$4), 1, 0, 2, if(ISBLANK('2025'!$P175), 0, 1), 3, if(ISBLANK('2025'!$Q175), 0, 1), 4, if(ISBLANK('2025'!$R175), 0, 1), 5, if(ISBLANK('2025'!$S175), 0, 1), 6, if(ISBLANK('2025'!$T175), 0, 1), 7, 0))), 1, "")</f>
        <v/>
      </c>
      <c r="G177" s="1" t="str">
        <f>IF(AND(AND(AND(G$4&gt;='2025'!$L175,G$4&lt;='2025'!$M175), G$4&lt;&gt;DATE(2025,7,4)), (SWITCH(weekday(G$4), 1, 0, 2, if(ISBLANK('2025'!$P175), 0, 1), 3, if(ISBLANK('2025'!$Q175), 0, 1), 4, if(ISBLANK('2025'!$R175), 0, 1), 5, if(ISBLANK('2025'!$S175), 0, 1), 6, if(ISBLANK('2025'!$T175), 0, 1), 7, 0))), 1, "")</f>
        <v/>
      </c>
      <c r="H177" s="1" t="str">
        <f>IF(AND(AND(AND(H$4&gt;='2025'!$L175,H$4&lt;='2025'!$M175), H$4&lt;&gt;DATE(2025,7,4)), (SWITCH(weekday(H$4), 1, 0, 2, if(ISBLANK('2025'!$P175), 0, 1), 3, if(ISBLANK('2025'!$Q175), 0, 1), 4, if(ISBLANK('2025'!$R175), 0, 1), 5, if(ISBLANK('2025'!$S175), 0, 1), 6, if(ISBLANK('2025'!$T175), 0, 1), 7, 0))), 1, "")</f>
        <v/>
      </c>
      <c r="I177" s="1" t="str">
        <f>IF(AND(AND(AND(I$4&gt;='2025'!$L175,I$4&lt;='2025'!$M175), I$4&lt;&gt;DATE(2025,7,4)), (SWITCH(weekday(I$4), 1, 0, 2, if(ISBLANK('2025'!$P175), 0, 1), 3, if(ISBLANK('2025'!$Q175), 0, 1), 4, if(ISBLANK('2025'!$R175), 0, 1), 5, if(ISBLANK('2025'!$S175), 0, 1), 6, if(ISBLANK('2025'!$T175), 0, 1), 7, 0))), 1, "")</f>
        <v/>
      </c>
      <c r="J177" s="1" t="str">
        <f>IF(AND(AND(AND(J$4&gt;='2025'!$L175,J$4&lt;='2025'!$M175), J$4&lt;&gt;DATE(2025,7,4)), (SWITCH(weekday(J$4), 1, 0, 2, if(ISBLANK('2025'!$P175), 0, 1), 3, if(ISBLANK('2025'!$Q175), 0, 1), 4, if(ISBLANK('2025'!$R175), 0, 1), 5, if(ISBLANK('2025'!$S175), 0, 1), 6, if(ISBLANK('2025'!$T175), 0, 1), 7, 0))), 1, "")</f>
        <v/>
      </c>
      <c r="K177" s="1" t="str">
        <f>IF(AND(AND(AND(K$4&gt;='2025'!$L175,K$4&lt;='2025'!$M175), K$4&lt;&gt;DATE(2025,7,4)), (SWITCH(weekday(K$4), 1, 0, 2, if(ISBLANK('2025'!$P175), 0, 1), 3, if(ISBLANK('2025'!$Q175), 0, 1), 4, if(ISBLANK('2025'!$R175), 0, 1), 5, if(ISBLANK('2025'!$S175), 0, 1), 6, if(ISBLANK('2025'!$T175), 0, 1), 7, 0))), 1, "")</f>
        <v/>
      </c>
      <c r="L177" s="1" t="str">
        <f>IF(AND(AND(AND(L$4&gt;='2025'!$L175,L$4&lt;='2025'!$M175), L$4&lt;&gt;DATE(2025,7,4)), (SWITCH(weekday(L$4), 1, 0, 2, if(ISBLANK('2025'!$P175), 0, 1), 3, if(ISBLANK('2025'!$Q175), 0, 1), 4, if(ISBLANK('2025'!$R175), 0, 1), 5, if(ISBLANK('2025'!$S175), 0, 1), 6, if(ISBLANK('2025'!$T175), 0, 1), 7, 0))), 1, "")</f>
        <v/>
      </c>
      <c r="M177" s="1" t="str">
        <f>IF(AND(AND(AND(M$4&gt;='2025'!$L175,M$4&lt;='2025'!$M175), M$4&lt;&gt;DATE(2025,7,4)), (SWITCH(weekday(M$4), 1, 0, 2, if(ISBLANK('2025'!$P175), 0, 1), 3, if(ISBLANK('2025'!$Q175), 0, 1), 4, if(ISBLANK('2025'!$R175), 0, 1), 5, if(ISBLANK('2025'!$S175), 0, 1), 6, if(ISBLANK('2025'!$T175), 0, 1), 7, 0))), 1, "")</f>
        <v/>
      </c>
      <c r="N177" s="1" t="str">
        <f>IF(AND(AND(AND(N$4&gt;='2025'!$L175,N$4&lt;='2025'!$M175), N$4&lt;&gt;DATE(2025,7,4)), (SWITCH(weekday(N$4), 1, 0, 2, if(ISBLANK('2025'!$P175), 0, 1), 3, if(ISBLANK('2025'!$Q175), 0, 1), 4, if(ISBLANK('2025'!$R175), 0, 1), 5, if(ISBLANK('2025'!$S175), 0, 1), 6, if(ISBLANK('2025'!$T175), 0, 1), 7, 0))), 1, "")</f>
        <v/>
      </c>
      <c r="O177" s="1" t="str">
        <f>IF(AND(AND(AND(O$4&gt;='2025'!$L175,O$4&lt;='2025'!$M175), O$4&lt;&gt;DATE(2025,7,4)), (SWITCH(weekday(O$4), 1, 0, 2, if(ISBLANK('2025'!$P175), 0, 1), 3, if(ISBLANK('2025'!$Q175), 0, 1), 4, if(ISBLANK('2025'!$R175), 0, 1), 5, if(ISBLANK('2025'!$S175), 0, 1), 6, if(ISBLANK('2025'!$T175), 0, 1), 7, 0))), 1, "")</f>
        <v/>
      </c>
      <c r="P177" s="1" t="str">
        <f>IF(AND(AND(AND(P$4&gt;='2025'!$L175,P$4&lt;='2025'!$M175), P$4&lt;&gt;DATE(2025,7,4)), (SWITCH(weekday(P$4), 1, 0, 2, if(ISBLANK('2025'!$P175), 0, 1), 3, if(ISBLANK('2025'!$Q175), 0, 1), 4, if(ISBLANK('2025'!$R175), 0, 1), 5, if(ISBLANK('2025'!$S175), 0, 1), 6, if(ISBLANK('2025'!$T175), 0, 1), 7, 0))), 1, "")</f>
        <v/>
      </c>
      <c r="Q177" s="1" t="str">
        <f>IF(AND(AND(AND(Q$4&gt;='2025'!$L175,Q$4&lt;='2025'!$M175), Q$4&lt;&gt;DATE(2025,7,4)), (SWITCH(weekday(Q$4), 1, 0, 2, if(ISBLANK('2025'!$P175), 0, 1), 3, if(ISBLANK('2025'!$Q175), 0, 1), 4, if(ISBLANK('2025'!$R175), 0, 1), 5, if(ISBLANK('2025'!$S175), 0, 1), 6, if(ISBLANK('2025'!$T175), 0, 1), 7, 0))), 1, "")</f>
        <v/>
      </c>
      <c r="R177" s="1" t="str">
        <f>IF(AND(AND(AND(R$4&gt;='2025'!$L175,R$4&lt;='2025'!$M175), R$4&lt;&gt;DATE(2025,7,4)), (SWITCH(weekday(R$4), 1, 0, 2, if(ISBLANK('2025'!$P175), 0, 1), 3, if(ISBLANK('2025'!$Q175), 0, 1), 4, if(ISBLANK('2025'!$R175), 0, 1), 5, if(ISBLANK('2025'!$S175), 0, 1), 6, if(ISBLANK('2025'!$T175), 0, 1), 7, 0))), 1, "")</f>
        <v/>
      </c>
      <c r="S177" s="1" t="str">
        <f>IF(AND(AND(AND(S$4&gt;='2025'!$L175,S$4&lt;='2025'!$M175), S$4&lt;&gt;DATE(2025,7,4)), (SWITCH(weekday(S$4), 1, 0, 2, if(ISBLANK('2025'!$P175), 0, 1), 3, if(ISBLANK('2025'!$Q175), 0, 1), 4, if(ISBLANK('2025'!$R175), 0, 1), 5, if(ISBLANK('2025'!$S175), 0, 1), 6, if(ISBLANK('2025'!$T175), 0, 1), 7, 0))), 1, "")</f>
        <v/>
      </c>
      <c r="T177" s="1" t="str">
        <f>IF(AND(AND(AND(T$4&gt;='2025'!$L175,T$4&lt;='2025'!$M175), T$4&lt;&gt;DATE(2025,7,4)), (SWITCH(weekday(T$4), 1, 0, 2, if(ISBLANK('2025'!$P175), 0, 1), 3, if(ISBLANK('2025'!$Q175), 0, 1), 4, if(ISBLANK('2025'!$R175), 0, 1), 5, if(ISBLANK('2025'!$S175), 0, 1), 6, if(ISBLANK('2025'!$T175), 0, 1), 7, 0))), 1, "")</f>
        <v/>
      </c>
      <c r="U177" s="1" t="str">
        <f>IF(AND(AND(AND(U$4&gt;='2025'!$L175,U$4&lt;='2025'!$M175), U$4&lt;&gt;DATE(2025,7,4)), (SWITCH(weekday(U$4), 1, 0, 2, if(ISBLANK('2025'!$P175), 0, 1), 3, if(ISBLANK('2025'!$Q175), 0, 1), 4, if(ISBLANK('2025'!$R175), 0, 1), 5, if(ISBLANK('2025'!$S175), 0, 1), 6, if(ISBLANK('2025'!$T175), 0, 1), 7, 0))), 1, "")</f>
        <v/>
      </c>
      <c r="V177" s="1" t="str">
        <f>IF(AND(AND(AND(V$4&gt;='2025'!$L175,V$4&lt;='2025'!$M175), V$4&lt;&gt;DATE(2025,7,4)), (SWITCH(weekday(V$4), 1, 0, 2, if(ISBLANK('2025'!$P175), 0, 1), 3, if(ISBLANK('2025'!$Q175), 0, 1), 4, if(ISBLANK('2025'!$R175), 0, 1), 5, if(ISBLANK('2025'!$S175), 0, 1), 6, if(ISBLANK('2025'!$T175), 0, 1), 7, 0))), 1, "")</f>
        <v/>
      </c>
      <c r="W177" s="1" t="str">
        <f>IF(AND(AND(AND(W$4&gt;='2025'!$L175,W$4&lt;='2025'!$M175), W$4&lt;&gt;DATE(2025,7,4)), (SWITCH(weekday(W$4), 1, 0, 2, if(ISBLANK('2025'!$P175), 0, 1), 3, if(ISBLANK('2025'!$Q175), 0, 1), 4, if(ISBLANK('2025'!$R175), 0, 1), 5, if(ISBLANK('2025'!$S175), 0, 1), 6, if(ISBLANK('2025'!$T175), 0, 1), 7, 0))), 1, "")</f>
        <v/>
      </c>
      <c r="X177" s="1" t="str">
        <f>IF(AND(AND(AND(X$4&gt;='2025'!$L175,X$4&lt;='2025'!$M175), X$4&lt;&gt;DATE(2025,7,4)), (SWITCH(weekday(X$4), 1, 0, 2, if(ISBLANK('2025'!$P175), 0, 1), 3, if(ISBLANK('2025'!$Q175), 0, 1), 4, if(ISBLANK('2025'!$R175), 0, 1), 5, if(ISBLANK('2025'!$S175), 0, 1), 6, if(ISBLANK('2025'!$T175), 0, 1), 7, 0))), 1, "")</f>
        <v/>
      </c>
      <c r="Y177" s="1" t="str">
        <f>IF(AND(AND(AND(Y$4&gt;='2025'!$L175,Y$4&lt;='2025'!$M175), Y$4&lt;&gt;DATE(2025,7,4)), (SWITCH(weekday(Y$4), 1, 0, 2, if(ISBLANK('2025'!$P175), 0, 1), 3, if(ISBLANK('2025'!$Q175), 0, 1), 4, if(ISBLANK('2025'!$R175), 0, 1), 5, if(ISBLANK('2025'!$S175), 0, 1), 6, if(ISBLANK('2025'!$T175), 0, 1), 7, 0))), 1, "")</f>
        <v/>
      </c>
      <c r="Z177" s="1" t="str">
        <f>IF(AND(AND(AND(Z$4&gt;='2025'!$L175,Z$4&lt;='2025'!$M175), Z$4&lt;&gt;DATE(2025,7,4)), (SWITCH(weekday(Z$4), 1, 0, 2, if(ISBLANK('2025'!$P175), 0, 1), 3, if(ISBLANK('2025'!$Q175), 0, 1), 4, if(ISBLANK('2025'!$R175), 0, 1), 5, if(ISBLANK('2025'!$S175), 0, 1), 6, if(ISBLANK('2025'!$T175), 0, 1), 7, 0))), 1, "")</f>
        <v/>
      </c>
      <c r="AA177" s="1" t="str">
        <f>IF(AND(AND(AND(AA$4&gt;='2025'!$L175,AA$4&lt;='2025'!$M175), AA$4&lt;&gt;DATE(2025,7,4)), (SWITCH(weekday(AA$4), 1, 0, 2, if(ISBLANK('2025'!$P175), 0, 1), 3, if(ISBLANK('2025'!$Q175), 0, 1), 4, if(ISBLANK('2025'!$R175), 0, 1), 5, if(ISBLANK('2025'!$S175), 0, 1), 6, if(ISBLANK('2025'!$T175), 0, 1), 7, 0))), 1, "")</f>
        <v/>
      </c>
      <c r="AB177" s="1" t="str">
        <f>IF(AND(AND(AND(AB$4&gt;='2025'!$L175,AB$4&lt;='2025'!$M175), AB$4&lt;&gt;DATE(2025,7,4)), (SWITCH(weekday(AB$4), 1, 0, 2, if(ISBLANK('2025'!$P175), 0, 1), 3, if(ISBLANK('2025'!$Q175), 0, 1), 4, if(ISBLANK('2025'!$R175), 0, 1), 5, if(ISBLANK('2025'!$S175), 0, 1), 6, if(ISBLANK('2025'!$T175), 0, 1), 7, 0))), 1, "")</f>
        <v/>
      </c>
      <c r="AC177" s="1" t="str">
        <f>IF(AND(AND(AND(AC$4&gt;='2025'!$L175,AC$4&lt;='2025'!$M175), AC$4&lt;&gt;DATE(2025,7,4)), (SWITCH(weekday(AC$4), 1, 0, 2, if(ISBLANK('2025'!$P175), 0, 1), 3, if(ISBLANK('2025'!$Q175), 0, 1), 4, if(ISBLANK('2025'!$R175), 0, 1), 5, if(ISBLANK('2025'!$S175), 0, 1), 6, if(ISBLANK('2025'!$T175), 0, 1), 7, 0))), 1, "")</f>
        <v/>
      </c>
      <c r="AD177" s="1" t="str">
        <f>IF(AND(AND(AND(AD$4&gt;='2025'!$L175,AD$4&lt;='2025'!$M175), AD$4&lt;&gt;DATE(2025,7,4)), (SWITCH(weekday(AD$4), 1, 0, 2, if(ISBLANK('2025'!$P175), 0, 1), 3, if(ISBLANK('2025'!$Q175), 0, 1), 4, if(ISBLANK('2025'!$R175), 0, 1), 5, if(ISBLANK('2025'!$S175), 0, 1), 6, if(ISBLANK('2025'!$T175), 0, 1), 7, 0))), 1, "")</f>
        <v/>
      </c>
      <c r="AE177" s="1" t="str">
        <f>IF(AND(AND(AND(AE$4&gt;='2025'!$L175,AE$4&lt;='2025'!$M175), AE$4&lt;&gt;DATE(2025,7,4)), (SWITCH(weekday(AE$4), 1, 0, 2, if(ISBLANK('2025'!$P175), 0, 1), 3, if(ISBLANK('2025'!$Q175), 0, 1), 4, if(ISBLANK('2025'!$R175), 0, 1), 5, if(ISBLANK('2025'!$S175), 0, 1), 6, if(ISBLANK('2025'!$T175), 0, 1), 7, 0))), 1, "")</f>
        <v/>
      </c>
      <c r="AF177" s="1" t="str">
        <f>IF(AND(AND(AND(AF$4&gt;='2025'!$L175,AF$4&lt;='2025'!$M175), AF$4&lt;&gt;DATE(2025,7,4)), (SWITCH(weekday(AF$4), 1, 0, 2, if(ISBLANK('2025'!$P175), 0, 1), 3, if(ISBLANK('2025'!$Q175), 0, 1), 4, if(ISBLANK('2025'!$R175), 0, 1), 5, if(ISBLANK('2025'!$S175), 0, 1), 6, if(ISBLANK('2025'!$T175), 0, 1), 7, 0))), 1, "")</f>
        <v/>
      </c>
      <c r="AG177" s="1" t="str">
        <f>IF(AND(AND(AND(AG$4&gt;='2025'!$L175,AG$4&lt;='2025'!$M175), AG$4&lt;&gt;DATE(2025,7,4)), (SWITCH(weekday(AG$4), 1, 0, 2, if(ISBLANK('2025'!$P175), 0, 1), 3, if(ISBLANK('2025'!$Q175), 0, 1), 4, if(ISBLANK('2025'!$R175), 0, 1), 5, if(ISBLANK('2025'!$S175), 0, 1), 6, if(ISBLANK('2025'!$T175), 0, 1), 7, 0))), 1, "")</f>
        <v/>
      </c>
      <c r="AH177" s="1" t="str">
        <f>IF(AND(AND(AND(AH$4&gt;='2025'!$L175,AH$4&lt;='2025'!$M175), AH$4&lt;&gt;DATE(2025,7,4)), (SWITCH(weekday(AH$4), 1, 0, 2, if(ISBLANK('2025'!$P175), 0, 1), 3, if(ISBLANK('2025'!$Q175), 0, 1), 4, if(ISBLANK('2025'!$R175), 0, 1), 5, if(ISBLANK('2025'!$S175), 0, 1), 6, if(ISBLANK('2025'!$T175), 0, 1), 7, 0))), 1, "")</f>
        <v/>
      </c>
      <c r="AI177" s="1" t="str">
        <f>IF(AND(AND(AND(AI$4&gt;='2025'!$L175,AI$4&lt;='2025'!$M175), AI$4&lt;&gt;DATE(2025,7,4)), (SWITCH(weekday(AI$4), 1, 0, 2, if(ISBLANK('2025'!$P175), 0, 1), 3, if(ISBLANK('2025'!$Q175), 0, 1), 4, if(ISBLANK('2025'!$R175), 0, 1), 5, if(ISBLANK('2025'!$S175), 0, 1), 6, if(ISBLANK('2025'!$T175), 0, 1), 7, 0))), 1, "")</f>
        <v/>
      </c>
      <c r="AJ177" s="1" t="str">
        <f>IF(AND(AND(AND(AJ$4&gt;='2025'!$L175,AJ$4&lt;='2025'!$M175), AJ$4&lt;&gt;DATE(2025,7,4)), (SWITCH(weekday(AJ$4), 1, 0, 2, if(ISBLANK('2025'!$P175), 0, 1), 3, if(ISBLANK('2025'!$Q175), 0, 1), 4, if(ISBLANK('2025'!$R175), 0, 1), 5, if(ISBLANK('2025'!$S175), 0, 1), 6, if(ISBLANK('2025'!$T175), 0, 1), 7, 0))), 1, "")</f>
        <v/>
      </c>
      <c r="AK177" s="1" t="str">
        <f>IF(AND(AND(AND(AK$4&gt;='2025'!$L175,AK$4&lt;='2025'!$M175), AK$4&lt;&gt;DATE(2025,7,4)), (SWITCH(weekday(AK$4), 1, 0, 2, if(ISBLANK('2025'!$P175), 0, 1), 3, if(ISBLANK('2025'!$Q175), 0, 1), 4, if(ISBLANK('2025'!$R175), 0, 1), 5, if(ISBLANK('2025'!$S175), 0, 1), 6, if(ISBLANK('2025'!$T175), 0, 1), 7, 0))), 1, "")</f>
        <v/>
      </c>
      <c r="AL177" s="1" t="str">
        <f>IF(AND(AND(AND(AL$4&gt;='2025'!$L175,AL$4&lt;='2025'!$M175), AL$4&lt;&gt;DATE(2025,7,4)), (SWITCH(weekday(AL$4), 1, 0, 2, if(ISBLANK('2025'!$P175), 0, 1), 3, if(ISBLANK('2025'!$Q175), 0, 1), 4, if(ISBLANK('2025'!$R175), 0, 1), 5, if(ISBLANK('2025'!$S175), 0, 1), 6, if(ISBLANK('2025'!$T175), 0, 1), 7, 0))), 1, "")</f>
        <v/>
      </c>
      <c r="AM177" s="1" t="str">
        <f>IF(AND(AND(AND(AM$4&gt;='2025'!$L175,AM$4&lt;='2025'!$M175), AM$4&lt;&gt;DATE(2025,7,4)), (SWITCH(weekday(AM$4), 1, 0, 2, if(ISBLANK('2025'!$P175), 0, 1), 3, if(ISBLANK('2025'!$Q175), 0, 1), 4, if(ISBLANK('2025'!$R175), 0, 1), 5, if(ISBLANK('2025'!$S175), 0, 1), 6, if(ISBLANK('2025'!$T175), 0, 1), 7, 0))), 1, "")</f>
        <v/>
      </c>
      <c r="AN177" s="1" t="str">
        <f>IF(AND(AND(AND(AN$4&gt;='2025'!$L175,AN$4&lt;='2025'!$M175), AN$4&lt;&gt;DATE(2025,7,4)), (SWITCH(weekday(AN$4), 1, 0, 2, if(ISBLANK('2025'!$P175), 0, 1), 3, if(ISBLANK('2025'!$Q175), 0, 1), 4, if(ISBLANK('2025'!$R175), 0, 1), 5, if(ISBLANK('2025'!$S175), 0, 1), 6, if(ISBLANK('2025'!$T175), 0, 1), 7, 0))), 1, "")</f>
        <v/>
      </c>
      <c r="AO177" s="1" t="str">
        <f>IF(AND(AND(AND(AO$4&gt;='2025'!$L175,AO$4&lt;='2025'!$M175), AO$4&lt;&gt;DATE(2025,7,4)), (SWITCH(weekday(AO$4), 1, 0, 2, if(ISBLANK('2025'!$P175), 0, 1), 3, if(ISBLANK('2025'!$Q175), 0, 1), 4, if(ISBLANK('2025'!$R175), 0, 1), 5, if(ISBLANK('2025'!$S175), 0, 1), 6, if(ISBLANK('2025'!$T175), 0, 1), 7, 0))), 1, "")</f>
        <v/>
      </c>
      <c r="AP177" s="1" t="str">
        <f>IF(AND(AND(AND(AP$4&gt;='2025'!$L175,AP$4&lt;='2025'!$M175), AP$4&lt;&gt;DATE(2025,7,4)), (SWITCH(weekday(AP$4), 1, 0, 2, if(ISBLANK('2025'!$P175), 0, 1), 3, if(ISBLANK('2025'!$Q175), 0, 1), 4, if(ISBLANK('2025'!$R175), 0, 1), 5, if(ISBLANK('2025'!$S175), 0, 1), 6, if(ISBLANK('2025'!$T175), 0, 1), 7, 0))), 1, "")</f>
        <v/>
      </c>
      <c r="AQ177" s="1" t="str">
        <f>IF(AND(AND(AND(AQ$4&gt;='2025'!$L175,AQ$4&lt;='2025'!$M175), AQ$4&lt;&gt;DATE(2025,7,4)), (SWITCH(weekday(AQ$4), 1, 0, 2, if(ISBLANK('2025'!$P175), 0, 1), 3, if(ISBLANK('2025'!$Q175), 0, 1), 4, if(ISBLANK('2025'!$R175), 0, 1), 5, if(ISBLANK('2025'!$S175), 0, 1), 6, if(ISBLANK('2025'!$T175), 0, 1), 7, 0))), 1, "")</f>
        <v/>
      </c>
      <c r="AR177" s="1" t="str">
        <f>IF(AND(AND(AND(AR$4&gt;='2025'!$L175,AR$4&lt;='2025'!$M175), AR$4&lt;&gt;DATE(2025,7,4)), (SWITCH(weekday(AR$4), 1, 0, 2, if(ISBLANK('2025'!$P175), 0, 1), 3, if(ISBLANK('2025'!$Q175), 0, 1), 4, if(ISBLANK('2025'!$R175), 0, 1), 5, if(ISBLANK('2025'!$S175), 0, 1), 6, if(ISBLANK('2025'!$T175), 0, 1), 7, 0))), 1, "")</f>
        <v/>
      </c>
      <c r="AS177" s="1" t="str">
        <f>IF(AND(AND(AND(AS$4&gt;='2025'!$L175,AS$4&lt;='2025'!$M175), AS$4&lt;&gt;DATE(2025,7,4)), (SWITCH(weekday(AS$4), 1, 0, 2, if(ISBLANK('2025'!$P175), 0, 1), 3, if(ISBLANK('2025'!$Q175), 0, 1), 4, if(ISBLANK('2025'!$R175), 0, 1), 5, if(ISBLANK('2025'!$S175), 0, 1), 6, if(ISBLANK('2025'!$T175), 0, 1), 7, 0))), 1, "")</f>
        <v/>
      </c>
      <c r="AT177" s="1" t="str">
        <f>IF(AND(AND(AND(AT$4&gt;='2025'!$L175,AT$4&lt;='2025'!$M175), AT$4&lt;&gt;DATE(2025,7,4)), (SWITCH(weekday(AT$4), 1, 0, 2, if(ISBLANK('2025'!$P175), 0, 1), 3, if(ISBLANK('2025'!$Q175), 0, 1), 4, if(ISBLANK('2025'!$R175), 0, 1), 5, if(ISBLANK('2025'!$S175), 0, 1), 6, if(ISBLANK('2025'!$T175), 0, 1), 7, 0))), 1, "")</f>
        <v/>
      </c>
      <c r="AU177" s="1" t="str">
        <f>IF(AND(AND(AND(AU$4&gt;='2025'!$L175,AU$4&lt;='2025'!$M175), AU$4&lt;&gt;DATE(2025,7,4)), (SWITCH(weekday(AU$4), 1, 0, 2, if(ISBLANK('2025'!$P175), 0, 1), 3, if(ISBLANK('2025'!$Q175), 0, 1), 4, if(ISBLANK('2025'!$R175), 0, 1), 5, if(ISBLANK('2025'!$S175), 0, 1), 6, if(ISBLANK('2025'!$T175), 0, 1), 7, 0))), 1, "")</f>
        <v/>
      </c>
      <c r="AV177" s="1" t="str">
        <f>IF(AND(AND(AND(AV$4&gt;='2025'!$L175,AV$4&lt;='2025'!$M175), AV$4&lt;&gt;DATE(2025,7,4)), (SWITCH(weekday(AV$4), 1, 0, 2, if(ISBLANK('2025'!$P175), 0, 1), 3, if(ISBLANK('2025'!$Q175), 0, 1), 4, if(ISBLANK('2025'!$R175), 0, 1), 5, if(ISBLANK('2025'!$S175), 0, 1), 6, if(ISBLANK('2025'!$T175), 0, 1), 7, 0))), 1, "")</f>
        <v/>
      </c>
      <c r="AW177" s="1" t="str">
        <f>IF(AND(AND(AND(AW$4&gt;='2025'!$L175,AW$4&lt;='2025'!$M175), AW$4&lt;&gt;DATE(2025,7,4)), (SWITCH(weekday(AW$4), 1, 0, 2, if(ISBLANK('2025'!$P175), 0, 1), 3, if(ISBLANK('2025'!$Q175), 0, 1), 4, if(ISBLANK('2025'!$R175), 0, 1), 5, if(ISBLANK('2025'!$S175), 0, 1), 6, if(ISBLANK('2025'!$T175), 0, 1), 7, 0))), 1, "")</f>
        <v/>
      </c>
      <c r="AX177" s="1" t="str">
        <f>IF(AND(AND(AND(AX$4&gt;='2025'!$L175,AX$4&lt;='2025'!$M175), AX$4&lt;&gt;DATE(2025,7,4)), (SWITCH(weekday(AX$4), 1, 0, 2, if(ISBLANK('2025'!$P175), 0, 1), 3, if(ISBLANK('2025'!$Q175), 0, 1), 4, if(ISBLANK('2025'!$R175), 0, 1), 5, if(ISBLANK('2025'!$S175), 0, 1), 6, if(ISBLANK('2025'!$T175), 0, 1), 7, 0))), 1, "")</f>
        <v/>
      </c>
      <c r="AY177" s="1" t="str">
        <f>IF(AND(AND(AND(AY$4&gt;='2025'!$L175,AY$4&lt;='2025'!$M175), AY$4&lt;&gt;DATE(2025,7,4)), (SWITCH(weekday(AY$4), 1, 0, 2, if(ISBLANK('2025'!$P175), 0, 1), 3, if(ISBLANK('2025'!$Q175), 0, 1), 4, if(ISBLANK('2025'!$R175), 0, 1), 5, if(ISBLANK('2025'!$S175), 0, 1), 6, if(ISBLANK('2025'!$T175), 0, 1), 7, 0))), 1, "")</f>
        <v/>
      </c>
      <c r="AZ177" s="1" t="str">
        <f>IF(AND(AND(AND(AZ$4&gt;='2025'!$L175,AZ$4&lt;='2025'!$M175), AZ$4&lt;&gt;DATE(2025,7,4)), (SWITCH(weekday(AZ$4), 1, 0, 2, if(ISBLANK('2025'!$P175), 0, 1), 3, if(ISBLANK('2025'!$Q175), 0, 1), 4, if(ISBLANK('2025'!$R175), 0, 1), 5, if(ISBLANK('2025'!$S175), 0, 1), 6, if(ISBLANK('2025'!$T175), 0, 1), 7, 0))), 1, "")</f>
        <v/>
      </c>
      <c r="BA177" s="1" t="str">
        <f>IF(AND(AND(AND(BA$4&gt;='2025'!$L175,BA$4&lt;='2025'!$M175), BA$4&lt;&gt;DATE(2025,7,4)), (SWITCH(weekday(BA$4), 1, 0, 2, if(ISBLANK('2025'!$P175), 0, 1), 3, if(ISBLANK('2025'!$Q175), 0, 1), 4, if(ISBLANK('2025'!$R175), 0, 1), 5, if(ISBLANK('2025'!$S175), 0, 1), 6, if(ISBLANK('2025'!$T175), 0, 1), 7, 0))), 1, "")</f>
        <v/>
      </c>
      <c r="BB177" s="1" t="str">
        <f>IF(AND(AND(AND(BB$4&gt;='2025'!$L175,BB$4&lt;='2025'!$M175), BB$4&lt;&gt;DATE(2025,7,4)), (SWITCH(weekday(BB$4), 1, 0, 2, if(ISBLANK('2025'!$P175), 0, 1), 3, if(ISBLANK('2025'!$Q175), 0, 1), 4, if(ISBLANK('2025'!$R175), 0, 1), 5, if(ISBLANK('2025'!$S175), 0, 1), 6, if(ISBLANK('2025'!$T175), 0, 1), 7, 0))), 1, "")</f>
        <v/>
      </c>
      <c r="BC177" s="1" t="str">
        <f>IF(AND(AND(AND(BC$4&gt;='2025'!$L175,BC$4&lt;='2025'!$M175), BC$4&lt;&gt;DATE(2025,7,4)), (SWITCH(weekday(BC$4), 1, 0, 2, if(ISBLANK('2025'!$P175), 0, 1), 3, if(ISBLANK('2025'!$Q175), 0, 1), 4, if(ISBLANK('2025'!$R175), 0, 1), 5, if(ISBLANK('2025'!$S175), 0, 1), 6, if(ISBLANK('2025'!$T175), 0, 1), 7, 0))), 1, "")</f>
        <v/>
      </c>
      <c r="BD177" s="1" t="str">
        <f>IF(AND(AND(AND(BD$4&gt;='2025'!$L175,BD$4&lt;='2025'!$M175), BD$4&lt;&gt;DATE(2025,7,4)), (SWITCH(weekday(BD$4), 1, 0, 2, if(ISBLANK('2025'!$P175), 0, 1), 3, if(ISBLANK('2025'!$Q175), 0, 1), 4, if(ISBLANK('2025'!$R175), 0, 1), 5, if(ISBLANK('2025'!$S175), 0, 1), 6, if(ISBLANK('2025'!$T175), 0, 1), 7, 0))), 1, "")</f>
        <v/>
      </c>
      <c r="BE177" s="1" t="str">
        <f>IF(AND(AND(AND(BE$4&gt;='2025'!$L175,BE$4&lt;='2025'!$M175), BE$4&lt;&gt;DATE(2025,7,4)), (SWITCH(weekday(BE$4), 1, 0, 2, if(ISBLANK('2025'!$P175), 0, 1), 3, if(ISBLANK('2025'!$Q175), 0, 1), 4, if(ISBLANK('2025'!$R175), 0, 1), 5, if(ISBLANK('2025'!$S175), 0, 1), 6, if(ISBLANK('2025'!$T175), 0, 1), 7, 0))), 1, "")</f>
        <v/>
      </c>
      <c r="BF177" s="1" t="str">
        <f>IF(AND(AND(AND(BF$4&gt;='2025'!$L175,BF$4&lt;='2025'!$M175), BF$4&lt;&gt;DATE(2025,7,4)), (SWITCH(weekday(BF$4), 1, 0, 2, if(ISBLANK('2025'!$P175), 0, 1), 3, if(ISBLANK('2025'!$Q175), 0, 1), 4, if(ISBLANK('2025'!$R175), 0, 1), 5, if(ISBLANK('2025'!$S175), 0, 1), 6, if(ISBLANK('2025'!$T175), 0, 1), 7, 0))), 1, "")</f>
        <v/>
      </c>
      <c r="BG177" s="1"/>
      <c r="BH177" s="1"/>
      <c r="BI177" s="1"/>
      <c r="BJ177" s="1"/>
      <c r="BK177" s="1"/>
      <c r="BL177" s="1"/>
    </row>
    <row r="178">
      <c r="A178" s="1">
        <f t="shared" si="3"/>
        <v>178</v>
      </c>
      <c r="B178" s="1" t="str">
        <f>'2025'!D142</f>
        <v>, </v>
      </c>
      <c r="C178" s="1" t="str">
        <f>'2025'!H142</f>
        <v/>
      </c>
      <c r="D178" s="1" t="str">
        <f>IF(AND(AND(AND(D$4&gt;='2025'!$L176,D$4&lt;='2025'!$M176), D$4&lt;&gt;DATE(2025,7,4)), (SWITCH(weekday(D$4), 1, 0, 2, if(ISBLANK('2025'!$P176), 0, 1), 3, if(ISBLANK('2025'!$Q176), 0, 1), 4, if(ISBLANK('2025'!$R176), 0, 1), 5, if(ISBLANK('2025'!$S176), 0, 1), 6, if(ISBLANK('2025'!$T176), 0, 1), 7, 0))), 1, "")</f>
        <v/>
      </c>
      <c r="E178" s="1" t="str">
        <f>IF(AND(AND(AND(E$4&gt;='2025'!$L176,E$4&lt;='2025'!$M176), E$4&lt;&gt;DATE(2025,7,4)), (SWITCH(weekday(E$4), 1, 0, 2, if(ISBLANK('2025'!$P176), 0, 1), 3, if(ISBLANK('2025'!$Q176), 0, 1), 4, if(ISBLANK('2025'!$R176), 0, 1), 5, if(ISBLANK('2025'!$S176), 0, 1), 6, if(ISBLANK('2025'!$T176), 0, 1), 7, 0))), 1, "")</f>
        <v/>
      </c>
      <c r="F178" s="1" t="str">
        <f>IF(AND(AND(AND(F$4&gt;='2025'!$L176,F$4&lt;='2025'!$M176), F$4&lt;&gt;DATE(2025,7,4)), (SWITCH(weekday(F$4), 1, 0, 2, if(ISBLANK('2025'!$P176), 0, 1), 3, if(ISBLANK('2025'!$Q176), 0, 1), 4, if(ISBLANK('2025'!$R176), 0, 1), 5, if(ISBLANK('2025'!$S176), 0, 1), 6, if(ISBLANK('2025'!$T176), 0, 1), 7, 0))), 1, "")</f>
        <v/>
      </c>
      <c r="G178" s="1" t="str">
        <f>IF(AND(AND(AND(G$4&gt;='2025'!$L176,G$4&lt;='2025'!$M176), G$4&lt;&gt;DATE(2025,7,4)), (SWITCH(weekday(G$4), 1, 0, 2, if(ISBLANK('2025'!$P176), 0, 1), 3, if(ISBLANK('2025'!$Q176), 0, 1), 4, if(ISBLANK('2025'!$R176), 0, 1), 5, if(ISBLANK('2025'!$S176), 0, 1), 6, if(ISBLANK('2025'!$T176), 0, 1), 7, 0))), 1, "")</f>
        <v/>
      </c>
      <c r="H178" s="1" t="str">
        <f>IF(AND(AND(AND(H$4&gt;='2025'!$L176,H$4&lt;='2025'!$M176), H$4&lt;&gt;DATE(2025,7,4)), (SWITCH(weekday(H$4), 1, 0, 2, if(ISBLANK('2025'!$P176), 0, 1), 3, if(ISBLANK('2025'!$Q176), 0, 1), 4, if(ISBLANK('2025'!$R176), 0, 1), 5, if(ISBLANK('2025'!$S176), 0, 1), 6, if(ISBLANK('2025'!$T176), 0, 1), 7, 0))), 1, "")</f>
        <v/>
      </c>
      <c r="I178" s="1" t="str">
        <f>IF(AND(AND(AND(I$4&gt;='2025'!$L176,I$4&lt;='2025'!$M176), I$4&lt;&gt;DATE(2025,7,4)), (SWITCH(weekday(I$4), 1, 0, 2, if(ISBLANK('2025'!$P176), 0, 1), 3, if(ISBLANK('2025'!$Q176), 0, 1), 4, if(ISBLANK('2025'!$R176), 0, 1), 5, if(ISBLANK('2025'!$S176), 0, 1), 6, if(ISBLANK('2025'!$T176), 0, 1), 7, 0))), 1, "")</f>
        <v/>
      </c>
      <c r="J178" s="1" t="str">
        <f>IF(AND(AND(AND(J$4&gt;='2025'!$L176,J$4&lt;='2025'!$M176), J$4&lt;&gt;DATE(2025,7,4)), (SWITCH(weekday(J$4), 1, 0, 2, if(ISBLANK('2025'!$P176), 0, 1), 3, if(ISBLANK('2025'!$Q176), 0, 1), 4, if(ISBLANK('2025'!$R176), 0, 1), 5, if(ISBLANK('2025'!$S176), 0, 1), 6, if(ISBLANK('2025'!$T176), 0, 1), 7, 0))), 1, "")</f>
        <v/>
      </c>
      <c r="K178" s="1" t="str">
        <f>IF(AND(AND(AND(K$4&gt;='2025'!$L176,K$4&lt;='2025'!$M176), K$4&lt;&gt;DATE(2025,7,4)), (SWITCH(weekday(K$4), 1, 0, 2, if(ISBLANK('2025'!$P176), 0, 1), 3, if(ISBLANK('2025'!$Q176), 0, 1), 4, if(ISBLANK('2025'!$R176), 0, 1), 5, if(ISBLANK('2025'!$S176), 0, 1), 6, if(ISBLANK('2025'!$T176), 0, 1), 7, 0))), 1, "")</f>
        <v/>
      </c>
      <c r="L178" s="1" t="str">
        <f>IF(AND(AND(AND(L$4&gt;='2025'!$L176,L$4&lt;='2025'!$M176), L$4&lt;&gt;DATE(2025,7,4)), (SWITCH(weekday(L$4), 1, 0, 2, if(ISBLANK('2025'!$P176), 0, 1), 3, if(ISBLANK('2025'!$Q176), 0, 1), 4, if(ISBLANK('2025'!$R176), 0, 1), 5, if(ISBLANK('2025'!$S176), 0, 1), 6, if(ISBLANK('2025'!$T176), 0, 1), 7, 0))), 1, "")</f>
        <v/>
      </c>
      <c r="M178" s="1" t="str">
        <f>IF(AND(AND(AND(M$4&gt;='2025'!$L176,M$4&lt;='2025'!$M176), M$4&lt;&gt;DATE(2025,7,4)), (SWITCH(weekday(M$4), 1, 0, 2, if(ISBLANK('2025'!$P176), 0, 1), 3, if(ISBLANK('2025'!$Q176), 0, 1), 4, if(ISBLANK('2025'!$R176), 0, 1), 5, if(ISBLANK('2025'!$S176), 0, 1), 6, if(ISBLANK('2025'!$T176), 0, 1), 7, 0))), 1, "")</f>
        <v/>
      </c>
      <c r="N178" s="1" t="str">
        <f>IF(AND(AND(AND(N$4&gt;='2025'!$L176,N$4&lt;='2025'!$M176), N$4&lt;&gt;DATE(2025,7,4)), (SWITCH(weekday(N$4), 1, 0, 2, if(ISBLANK('2025'!$P176), 0, 1), 3, if(ISBLANK('2025'!$Q176), 0, 1), 4, if(ISBLANK('2025'!$R176), 0, 1), 5, if(ISBLANK('2025'!$S176), 0, 1), 6, if(ISBLANK('2025'!$T176), 0, 1), 7, 0))), 1, "")</f>
        <v/>
      </c>
      <c r="O178" s="1" t="str">
        <f>IF(AND(AND(AND(O$4&gt;='2025'!$L176,O$4&lt;='2025'!$M176), O$4&lt;&gt;DATE(2025,7,4)), (SWITCH(weekday(O$4), 1, 0, 2, if(ISBLANK('2025'!$P176), 0, 1), 3, if(ISBLANK('2025'!$Q176), 0, 1), 4, if(ISBLANK('2025'!$R176), 0, 1), 5, if(ISBLANK('2025'!$S176), 0, 1), 6, if(ISBLANK('2025'!$T176), 0, 1), 7, 0))), 1, "")</f>
        <v/>
      </c>
      <c r="P178" s="1" t="str">
        <f>IF(AND(AND(AND(P$4&gt;='2025'!$L176,P$4&lt;='2025'!$M176), P$4&lt;&gt;DATE(2025,7,4)), (SWITCH(weekday(P$4), 1, 0, 2, if(ISBLANK('2025'!$P176), 0, 1), 3, if(ISBLANK('2025'!$Q176), 0, 1), 4, if(ISBLANK('2025'!$R176), 0, 1), 5, if(ISBLANK('2025'!$S176), 0, 1), 6, if(ISBLANK('2025'!$T176), 0, 1), 7, 0))), 1, "")</f>
        <v/>
      </c>
      <c r="Q178" s="1" t="str">
        <f>IF(AND(AND(AND(Q$4&gt;='2025'!$L176,Q$4&lt;='2025'!$M176), Q$4&lt;&gt;DATE(2025,7,4)), (SWITCH(weekday(Q$4), 1, 0, 2, if(ISBLANK('2025'!$P176), 0, 1), 3, if(ISBLANK('2025'!$Q176), 0, 1), 4, if(ISBLANK('2025'!$R176), 0, 1), 5, if(ISBLANK('2025'!$S176), 0, 1), 6, if(ISBLANK('2025'!$T176), 0, 1), 7, 0))), 1, "")</f>
        <v/>
      </c>
      <c r="R178" s="1" t="str">
        <f>IF(AND(AND(AND(R$4&gt;='2025'!$L176,R$4&lt;='2025'!$M176), R$4&lt;&gt;DATE(2025,7,4)), (SWITCH(weekday(R$4), 1, 0, 2, if(ISBLANK('2025'!$P176), 0, 1), 3, if(ISBLANK('2025'!$Q176), 0, 1), 4, if(ISBLANK('2025'!$R176), 0, 1), 5, if(ISBLANK('2025'!$S176), 0, 1), 6, if(ISBLANK('2025'!$T176), 0, 1), 7, 0))), 1, "")</f>
        <v/>
      </c>
      <c r="S178" s="1" t="str">
        <f>IF(AND(AND(AND(S$4&gt;='2025'!$L176,S$4&lt;='2025'!$M176), S$4&lt;&gt;DATE(2025,7,4)), (SWITCH(weekday(S$4), 1, 0, 2, if(ISBLANK('2025'!$P176), 0, 1), 3, if(ISBLANK('2025'!$Q176), 0, 1), 4, if(ISBLANK('2025'!$R176), 0, 1), 5, if(ISBLANK('2025'!$S176), 0, 1), 6, if(ISBLANK('2025'!$T176), 0, 1), 7, 0))), 1, "")</f>
        <v/>
      </c>
      <c r="T178" s="1" t="str">
        <f>IF(AND(AND(AND(T$4&gt;='2025'!$L176,T$4&lt;='2025'!$M176), T$4&lt;&gt;DATE(2025,7,4)), (SWITCH(weekday(T$4), 1, 0, 2, if(ISBLANK('2025'!$P176), 0, 1), 3, if(ISBLANK('2025'!$Q176), 0, 1), 4, if(ISBLANK('2025'!$R176), 0, 1), 5, if(ISBLANK('2025'!$S176), 0, 1), 6, if(ISBLANK('2025'!$T176), 0, 1), 7, 0))), 1, "")</f>
        <v/>
      </c>
      <c r="U178" s="1" t="str">
        <f>IF(AND(AND(AND(U$4&gt;='2025'!$L176,U$4&lt;='2025'!$M176), U$4&lt;&gt;DATE(2025,7,4)), (SWITCH(weekday(U$4), 1, 0, 2, if(ISBLANK('2025'!$P176), 0, 1), 3, if(ISBLANK('2025'!$Q176), 0, 1), 4, if(ISBLANK('2025'!$R176), 0, 1), 5, if(ISBLANK('2025'!$S176), 0, 1), 6, if(ISBLANK('2025'!$T176), 0, 1), 7, 0))), 1, "")</f>
        <v/>
      </c>
      <c r="V178" s="1" t="str">
        <f>IF(AND(AND(AND(V$4&gt;='2025'!$L176,V$4&lt;='2025'!$M176), V$4&lt;&gt;DATE(2025,7,4)), (SWITCH(weekday(V$4), 1, 0, 2, if(ISBLANK('2025'!$P176), 0, 1), 3, if(ISBLANK('2025'!$Q176), 0, 1), 4, if(ISBLANK('2025'!$R176), 0, 1), 5, if(ISBLANK('2025'!$S176), 0, 1), 6, if(ISBLANK('2025'!$T176), 0, 1), 7, 0))), 1, "")</f>
        <v/>
      </c>
      <c r="W178" s="1" t="str">
        <f>IF(AND(AND(AND(W$4&gt;='2025'!$L176,W$4&lt;='2025'!$M176), W$4&lt;&gt;DATE(2025,7,4)), (SWITCH(weekday(W$4), 1, 0, 2, if(ISBLANK('2025'!$P176), 0, 1), 3, if(ISBLANK('2025'!$Q176), 0, 1), 4, if(ISBLANK('2025'!$R176), 0, 1), 5, if(ISBLANK('2025'!$S176), 0, 1), 6, if(ISBLANK('2025'!$T176), 0, 1), 7, 0))), 1, "")</f>
        <v/>
      </c>
      <c r="X178" s="1" t="str">
        <f>IF(AND(AND(AND(X$4&gt;='2025'!$L176,X$4&lt;='2025'!$M176), X$4&lt;&gt;DATE(2025,7,4)), (SWITCH(weekday(X$4), 1, 0, 2, if(ISBLANK('2025'!$P176), 0, 1), 3, if(ISBLANK('2025'!$Q176), 0, 1), 4, if(ISBLANK('2025'!$R176), 0, 1), 5, if(ISBLANK('2025'!$S176), 0, 1), 6, if(ISBLANK('2025'!$T176), 0, 1), 7, 0))), 1, "")</f>
        <v/>
      </c>
      <c r="Y178" s="1" t="str">
        <f>IF(AND(AND(AND(Y$4&gt;='2025'!$L176,Y$4&lt;='2025'!$M176), Y$4&lt;&gt;DATE(2025,7,4)), (SWITCH(weekday(Y$4), 1, 0, 2, if(ISBLANK('2025'!$P176), 0, 1), 3, if(ISBLANK('2025'!$Q176), 0, 1), 4, if(ISBLANK('2025'!$R176), 0, 1), 5, if(ISBLANK('2025'!$S176), 0, 1), 6, if(ISBLANK('2025'!$T176), 0, 1), 7, 0))), 1, "")</f>
        <v/>
      </c>
      <c r="Z178" s="1" t="str">
        <f>IF(AND(AND(AND(Z$4&gt;='2025'!$L176,Z$4&lt;='2025'!$M176), Z$4&lt;&gt;DATE(2025,7,4)), (SWITCH(weekday(Z$4), 1, 0, 2, if(ISBLANK('2025'!$P176), 0, 1), 3, if(ISBLANK('2025'!$Q176), 0, 1), 4, if(ISBLANK('2025'!$R176), 0, 1), 5, if(ISBLANK('2025'!$S176), 0, 1), 6, if(ISBLANK('2025'!$T176), 0, 1), 7, 0))), 1, "")</f>
        <v/>
      </c>
      <c r="AA178" s="1" t="str">
        <f>IF(AND(AND(AND(AA$4&gt;='2025'!$L176,AA$4&lt;='2025'!$M176), AA$4&lt;&gt;DATE(2025,7,4)), (SWITCH(weekday(AA$4), 1, 0, 2, if(ISBLANK('2025'!$P176), 0, 1), 3, if(ISBLANK('2025'!$Q176), 0, 1), 4, if(ISBLANK('2025'!$R176), 0, 1), 5, if(ISBLANK('2025'!$S176), 0, 1), 6, if(ISBLANK('2025'!$T176), 0, 1), 7, 0))), 1, "")</f>
        <v/>
      </c>
      <c r="AB178" s="1" t="str">
        <f>IF(AND(AND(AND(AB$4&gt;='2025'!$L176,AB$4&lt;='2025'!$M176), AB$4&lt;&gt;DATE(2025,7,4)), (SWITCH(weekday(AB$4), 1, 0, 2, if(ISBLANK('2025'!$P176), 0, 1), 3, if(ISBLANK('2025'!$Q176), 0, 1), 4, if(ISBLANK('2025'!$R176), 0, 1), 5, if(ISBLANK('2025'!$S176), 0, 1), 6, if(ISBLANK('2025'!$T176), 0, 1), 7, 0))), 1, "")</f>
        <v/>
      </c>
      <c r="AC178" s="1" t="str">
        <f>IF(AND(AND(AND(AC$4&gt;='2025'!$L176,AC$4&lt;='2025'!$M176), AC$4&lt;&gt;DATE(2025,7,4)), (SWITCH(weekday(AC$4), 1, 0, 2, if(ISBLANK('2025'!$P176), 0, 1), 3, if(ISBLANK('2025'!$Q176), 0, 1), 4, if(ISBLANK('2025'!$R176), 0, 1), 5, if(ISBLANK('2025'!$S176), 0, 1), 6, if(ISBLANK('2025'!$T176), 0, 1), 7, 0))), 1, "")</f>
        <v/>
      </c>
      <c r="AD178" s="1" t="str">
        <f>IF(AND(AND(AND(AD$4&gt;='2025'!$L176,AD$4&lt;='2025'!$M176), AD$4&lt;&gt;DATE(2025,7,4)), (SWITCH(weekday(AD$4), 1, 0, 2, if(ISBLANK('2025'!$P176), 0, 1), 3, if(ISBLANK('2025'!$Q176), 0, 1), 4, if(ISBLANK('2025'!$R176), 0, 1), 5, if(ISBLANK('2025'!$S176), 0, 1), 6, if(ISBLANK('2025'!$T176), 0, 1), 7, 0))), 1, "")</f>
        <v/>
      </c>
      <c r="AE178" s="1" t="str">
        <f>IF(AND(AND(AND(AE$4&gt;='2025'!$L176,AE$4&lt;='2025'!$M176), AE$4&lt;&gt;DATE(2025,7,4)), (SWITCH(weekday(AE$4), 1, 0, 2, if(ISBLANK('2025'!$P176), 0, 1), 3, if(ISBLANK('2025'!$Q176), 0, 1), 4, if(ISBLANK('2025'!$R176), 0, 1), 5, if(ISBLANK('2025'!$S176), 0, 1), 6, if(ISBLANK('2025'!$T176), 0, 1), 7, 0))), 1, "")</f>
        <v/>
      </c>
      <c r="AF178" s="1" t="str">
        <f>IF(AND(AND(AND(AF$4&gt;='2025'!$L176,AF$4&lt;='2025'!$M176), AF$4&lt;&gt;DATE(2025,7,4)), (SWITCH(weekday(AF$4), 1, 0, 2, if(ISBLANK('2025'!$P176), 0, 1), 3, if(ISBLANK('2025'!$Q176), 0, 1), 4, if(ISBLANK('2025'!$R176), 0, 1), 5, if(ISBLANK('2025'!$S176), 0, 1), 6, if(ISBLANK('2025'!$T176), 0, 1), 7, 0))), 1, "")</f>
        <v/>
      </c>
      <c r="AG178" s="1" t="str">
        <f>IF(AND(AND(AND(AG$4&gt;='2025'!$L176,AG$4&lt;='2025'!$M176), AG$4&lt;&gt;DATE(2025,7,4)), (SWITCH(weekday(AG$4), 1, 0, 2, if(ISBLANK('2025'!$P176), 0, 1), 3, if(ISBLANK('2025'!$Q176), 0, 1), 4, if(ISBLANK('2025'!$R176), 0, 1), 5, if(ISBLANK('2025'!$S176), 0, 1), 6, if(ISBLANK('2025'!$T176), 0, 1), 7, 0))), 1, "")</f>
        <v/>
      </c>
      <c r="AH178" s="1" t="str">
        <f>IF(AND(AND(AND(AH$4&gt;='2025'!$L176,AH$4&lt;='2025'!$M176), AH$4&lt;&gt;DATE(2025,7,4)), (SWITCH(weekday(AH$4), 1, 0, 2, if(ISBLANK('2025'!$P176), 0, 1), 3, if(ISBLANK('2025'!$Q176), 0, 1), 4, if(ISBLANK('2025'!$R176), 0, 1), 5, if(ISBLANK('2025'!$S176), 0, 1), 6, if(ISBLANK('2025'!$T176), 0, 1), 7, 0))), 1, "")</f>
        <v/>
      </c>
      <c r="AI178" s="1" t="str">
        <f>IF(AND(AND(AND(AI$4&gt;='2025'!$L176,AI$4&lt;='2025'!$M176), AI$4&lt;&gt;DATE(2025,7,4)), (SWITCH(weekday(AI$4), 1, 0, 2, if(ISBLANK('2025'!$P176), 0, 1), 3, if(ISBLANK('2025'!$Q176), 0, 1), 4, if(ISBLANK('2025'!$R176), 0, 1), 5, if(ISBLANK('2025'!$S176), 0, 1), 6, if(ISBLANK('2025'!$T176), 0, 1), 7, 0))), 1, "")</f>
        <v/>
      </c>
      <c r="AJ178" s="1" t="str">
        <f>IF(AND(AND(AND(AJ$4&gt;='2025'!$L176,AJ$4&lt;='2025'!$M176), AJ$4&lt;&gt;DATE(2025,7,4)), (SWITCH(weekday(AJ$4), 1, 0, 2, if(ISBLANK('2025'!$P176), 0, 1), 3, if(ISBLANK('2025'!$Q176), 0, 1), 4, if(ISBLANK('2025'!$R176), 0, 1), 5, if(ISBLANK('2025'!$S176), 0, 1), 6, if(ISBLANK('2025'!$T176), 0, 1), 7, 0))), 1, "")</f>
        <v/>
      </c>
      <c r="AK178" s="1" t="str">
        <f>IF(AND(AND(AND(AK$4&gt;='2025'!$L176,AK$4&lt;='2025'!$M176), AK$4&lt;&gt;DATE(2025,7,4)), (SWITCH(weekday(AK$4), 1, 0, 2, if(ISBLANK('2025'!$P176), 0, 1), 3, if(ISBLANK('2025'!$Q176), 0, 1), 4, if(ISBLANK('2025'!$R176), 0, 1), 5, if(ISBLANK('2025'!$S176), 0, 1), 6, if(ISBLANK('2025'!$T176), 0, 1), 7, 0))), 1, "")</f>
        <v/>
      </c>
      <c r="AL178" s="1" t="str">
        <f>IF(AND(AND(AND(AL$4&gt;='2025'!$L176,AL$4&lt;='2025'!$M176), AL$4&lt;&gt;DATE(2025,7,4)), (SWITCH(weekday(AL$4), 1, 0, 2, if(ISBLANK('2025'!$P176), 0, 1), 3, if(ISBLANK('2025'!$Q176), 0, 1), 4, if(ISBLANK('2025'!$R176), 0, 1), 5, if(ISBLANK('2025'!$S176), 0, 1), 6, if(ISBLANK('2025'!$T176), 0, 1), 7, 0))), 1, "")</f>
        <v/>
      </c>
      <c r="AM178" s="1" t="str">
        <f>IF(AND(AND(AND(AM$4&gt;='2025'!$L176,AM$4&lt;='2025'!$M176), AM$4&lt;&gt;DATE(2025,7,4)), (SWITCH(weekday(AM$4), 1, 0, 2, if(ISBLANK('2025'!$P176), 0, 1), 3, if(ISBLANK('2025'!$Q176), 0, 1), 4, if(ISBLANK('2025'!$R176), 0, 1), 5, if(ISBLANK('2025'!$S176), 0, 1), 6, if(ISBLANK('2025'!$T176), 0, 1), 7, 0))), 1, "")</f>
        <v/>
      </c>
      <c r="AN178" s="1" t="str">
        <f>IF(AND(AND(AND(AN$4&gt;='2025'!$L176,AN$4&lt;='2025'!$M176), AN$4&lt;&gt;DATE(2025,7,4)), (SWITCH(weekday(AN$4), 1, 0, 2, if(ISBLANK('2025'!$P176), 0, 1), 3, if(ISBLANK('2025'!$Q176), 0, 1), 4, if(ISBLANK('2025'!$R176), 0, 1), 5, if(ISBLANK('2025'!$S176), 0, 1), 6, if(ISBLANK('2025'!$T176), 0, 1), 7, 0))), 1, "")</f>
        <v/>
      </c>
      <c r="AO178" s="1" t="str">
        <f>IF(AND(AND(AND(AO$4&gt;='2025'!$L176,AO$4&lt;='2025'!$M176), AO$4&lt;&gt;DATE(2025,7,4)), (SWITCH(weekday(AO$4), 1, 0, 2, if(ISBLANK('2025'!$P176), 0, 1), 3, if(ISBLANK('2025'!$Q176), 0, 1), 4, if(ISBLANK('2025'!$R176), 0, 1), 5, if(ISBLANK('2025'!$S176), 0, 1), 6, if(ISBLANK('2025'!$T176), 0, 1), 7, 0))), 1, "")</f>
        <v/>
      </c>
      <c r="AP178" s="1" t="str">
        <f>IF(AND(AND(AND(AP$4&gt;='2025'!$L176,AP$4&lt;='2025'!$M176), AP$4&lt;&gt;DATE(2025,7,4)), (SWITCH(weekday(AP$4), 1, 0, 2, if(ISBLANK('2025'!$P176), 0, 1), 3, if(ISBLANK('2025'!$Q176), 0, 1), 4, if(ISBLANK('2025'!$R176), 0, 1), 5, if(ISBLANK('2025'!$S176), 0, 1), 6, if(ISBLANK('2025'!$T176), 0, 1), 7, 0))), 1, "")</f>
        <v/>
      </c>
      <c r="AQ178" s="1" t="str">
        <f>IF(AND(AND(AND(AQ$4&gt;='2025'!$L176,AQ$4&lt;='2025'!$M176), AQ$4&lt;&gt;DATE(2025,7,4)), (SWITCH(weekday(AQ$4), 1, 0, 2, if(ISBLANK('2025'!$P176), 0, 1), 3, if(ISBLANK('2025'!$Q176), 0, 1), 4, if(ISBLANK('2025'!$R176), 0, 1), 5, if(ISBLANK('2025'!$S176), 0, 1), 6, if(ISBLANK('2025'!$T176), 0, 1), 7, 0))), 1, "")</f>
        <v/>
      </c>
      <c r="AR178" s="1" t="str">
        <f>IF(AND(AND(AND(AR$4&gt;='2025'!$L176,AR$4&lt;='2025'!$M176), AR$4&lt;&gt;DATE(2025,7,4)), (SWITCH(weekday(AR$4), 1, 0, 2, if(ISBLANK('2025'!$P176), 0, 1), 3, if(ISBLANK('2025'!$Q176), 0, 1), 4, if(ISBLANK('2025'!$R176), 0, 1), 5, if(ISBLANK('2025'!$S176), 0, 1), 6, if(ISBLANK('2025'!$T176), 0, 1), 7, 0))), 1, "")</f>
        <v/>
      </c>
      <c r="AS178" s="1" t="str">
        <f>IF(AND(AND(AND(AS$4&gt;='2025'!$L176,AS$4&lt;='2025'!$M176), AS$4&lt;&gt;DATE(2025,7,4)), (SWITCH(weekday(AS$4), 1, 0, 2, if(ISBLANK('2025'!$P176), 0, 1), 3, if(ISBLANK('2025'!$Q176), 0, 1), 4, if(ISBLANK('2025'!$R176), 0, 1), 5, if(ISBLANK('2025'!$S176), 0, 1), 6, if(ISBLANK('2025'!$T176), 0, 1), 7, 0))), 1, "")</f>
        <v/>
      </c>
      <c r="AT178" s="1" t="str">
        <f>IF(AND(AND(AND(AT$4&gt;='2025'!$L176,AT$4&lt;='2025'!$M176), AT$4&lt;&gt;DATE(2025,7,4)), (SWITCH(weekday(AT$4), 1, 0, 2, if(ISBLANK('2025'!$P176), 0, 1), 3, if(ISBLANK('2025'!$Q176), 0, 1), 4, if(ISBLANK('2025'!$R176), 0, 1), 5, if(ISBLANK('2025'!$S176), 0, 1), 6, if(ISBLANK('2025'!$T176), 0, 1), 7, 0))), 1, "")</f>
        <v/>
      </c>
      <c r="AU178" s="1" t="str">
        <f>IF(AND(AND(AND(AU$4&gt;='2025'!$L176,AU$4&lt;='2025'!$M176), AU$4&lt;&gt;DATE(2025,7,4)), (SWITCH(weekday(AU$4), 1, 0, 2, if(ISBLANK('2025'!$P176), 0, 1), 3, if(ISBLANK('2025'!$Q176), 0, 1), 4, if(ISBLANK('2025'!$R176), 0, 1), 5, if(ISBLANK('2025'!$S176), 0, 1), 6, if(ISBLANK('2025'!$T176), 0, 1), 7, 0))), 1, "")</f>
        <v/>
      </c>
      <c r="AV178" s="1" t="str">
        <f>IF(AND(AND(AND(AV$4&gt;='2025'!$L176,AV$4&lt;='2025'!$M176), AV$4&lt;&gt;DATE(2025,7,4)), (SWITCH(weekday(AV$4), 1, 0, 2, if(ISBLANK('2025'!$P176), 0, 1), 3, if(ISBLANK('2025'!$Q176), 0, 1), 4, if(ISBLANK('2025'!$R176), 0, 1), 5, if(ISBLANK('2025'!$S176), 0, 1), 6, if(ISBLANK('2025'!$T176), 0, 1), 7, 0))), 1, "")</f>
        <v/>
      </c>
      <c r="AW178" s="1" t="str">
        <f>IF(AND(AND(AND(AW$4&gt;='2025'!$L176,AW$4&lt;='2025'!$M176), AW$4&lt;&gt;DATE(2025,7,4)), (SWITCH(weekday(AW$4), 1, 0, 2, if(ISBLANK('2025'!$P176), 0, 1), 3, if(ISBLANK('2025'!$Q176), 0, 1), 4, if(ISBLANK('2025'!$R176), 0, 1), 5, if(ISBLANK('2025'!$S176), 0, 1), 6, if(ISBLANK('2025'!$T176), 0, 1), 7, 0))), 1, "")</f>
        <v/>
      </c>
      <c r="AX178" s="1" t="str">
        <f>IF(AND(AND(AND(AX$4&gt;='2025'!$L176,AX$4&lt;='2025'!$M176), AX$4&lt;&gt;DATE(2025,7,4)), (SWITCH(weekday(AX$4), 1, 0, 2, if(ISBLANK('2025'!$P176), 0, 1), 3, if(ISBLANK('2025'!$Q176), 0, 1), 4, if(ISBLANK('2025'!$R176), 0, 1), 5, if(ISBLANK('2025'!$S176), 0, 1), 6, if(ISBLANK('2025'!$T176), 0, 1), 7, 0))), 1, "")</f>
        <v/>
      </c>
      <c r="AY178" s="1" t="str">
        <f>IF(AND(AND(AND(AY$4&gt;='2025'!$L176,AY$4&lt;='2025'!$M176), AY$4&lt;&gt;DATE(2025,7,4)), (SWITCH(weekday(AY$4), 1, 0, 2, if(ISBLANK('2025'!$P176), 0, 1), 3, if(ISBLANK('2025'!$Q176), 0, 1), 4, if(ISBLANK('2025'!$R176), 0, 1), 5, if(ISBLANK('2025'!$S176), 0, 1), 6, if(ISBLANK('2025'!$T176), 0, 1), 7, 0))), 1, "")</f>
        <v/>
      </c>
      <c r="AZ178" s="1" t="str">
        <f>IF(AND(AND(AND(AZ$4&gt;='2025'!$L176,AZ$4&lt;='2025'!$M176), AZ$4&lt;&gt;DATE(2025,7,4)), (SWITCH(weekday(AZ$4), 1, 0, 2, if(ISBLANK('2025'!$P176), 0, 1), 3, if(ISBLANK('2025'!$Q176), 0, 1), 4, if(ISBLANK('2025'!$R176), 0, 1), 5, if(ISBLANK('2025'!$S176), 0, 1), 6, if(ISBLANK('2025'!$T176), 0, 1), 7, 0))), 1, "")</f>
        <v/>
      </c>
      <c r="BA178" s="1" t="str">
        <f>IF(AND(AND(AND(BA$4&gt;='2025'!$L176,BA$4&lt;='2025'!$M176), BA$4&lt;&gt;DATE(2025,7,4)), (SWITCH(weekday(BA$4), 1, 0, 2, if(ISBLANK('2025'!$P176), 0, 1), 3, if(ISBLANK('2025'!$Q176), 0, 1), 4, if(ISBLANK('2025'!$R176), 0, 1), 5, if(ISBLANK('2025'!$S176), 0, 1), 6, if(ISBLANK('2025'!$T176), 0, 1), 7, 0))), 1, "")</f>
        <v/>
      </c>
      <c r="BB178" s="1" t="str">
        <f>IF(AND(AND(AND(BB$4&gt;='2025'!$L176,BB$4&lt;='2025'!$M176), BB$4&lt;&gt;DATE(2025,7,4)), (SWITCH(weekday(BB$4), 1, 0, 2, if(ISBLANK('2025'!$P176), 0, 1), 3, if(ISBLANK('2025'!$Q176), 0, 1), 4, if(ISBLANK('2025'!$R176), 0, 1), 5, if(ISBLANK('2025'!$S176), 0, 1), 6, if(ISBLANK('2025'!$T176), 0, 1), 7, 0))), 1, "")</f>
        <v/>
      </c>
      <c r="BC178" s="1" t="str">
        <f>IF(AND(AND(AND(BC$4&gt;='2025'!$L176,BC$4&lt;='2025'!$M176), BC$4&lt;&gt;DATE(2025,7,4)), (SWITCH(weekday(BC$4), 1, 0, 2, if(ISBLANK('2025'!$P176), 0, 1), 3, if(ISBLANK('2025'!$Q176), 0, 1), 4, if(ISBLANK('2025'!$R176), 0, 1), 5, if(ISBLANK('2025'!$S176), 0, 1), 6, if(ISBLANK('2025'!$T176), 0, 1), 7, 0))), 1, "")</f>
        <v/>
      </c>
      <c r="BD178" s="1" t="str">
        <f>IF(AND(AND(AND(BD$4&gt;='2025'!$L176,BD$4&lt;='2025'!$M176), BD$4&lt;&gt;DATE(2025,7,4)), (SWITCH(weekday(BD$4), 1, 0, 2, if(ISBLANK('2025'!$P176), 0, 1), 3, if(ISBLANK('2025'!$Q176), 0, 1), 4, if(ISBLANK('2025'!$R176), 0, 1), 5, if(ISBLANK('2025'!$S176), 0, 1), 6, if(ISBLANK('2025'!$T176), 0, 1), 7, 0))), 1, "")</f>
        <v/>
      </c>
      <c r="BE178" s="1" t="str">
        <f>IF(AND(AND(AND(BE$4&gt;='2025'!$L176,BE$4&lt;='2025'!$M176), BE$4&lt;&gt;DATE(2025,7,4)), (SWITCH(weekday(BE$4), 1, 0, 2, if(ISBLANK('2025'!$P176), 0, 1), 3, if(ISBLANK('2025'!$Q176), 0, 1), 4, if(ISBLANK('2025'!$R176), 0, 1), 5, if(ISBLANK('2025'!$S176), 0, 1), 6, if(ISBLANK('2025'!$T176), 0, 1), 7, 0))), 1, "")</f>
        <v/>
      </c>
      <c r="BF178" s="1" t="str">
        <f>IF(AND(AND(AND(BF$4&gt;='2025'!$L176,BF$4&lt;='2025'!$M176), BF$4&lt;&gt;DATE(2025,7,4)), (SWITCH(weekday(BF$4), 1, 0, 2, if(ISBLANK('2025'!$P176), 0, 1), 3, if(ISBLANK('2025'!$Q176), 0, 1), 4, if(ISBLANK('2025'!$R176), 0, 1), 5, if(ISBLANK('2025'!$S176), 0, 1), 6, if(ISBLANK('2025'!$T176), 0, 1), 7, 0))), 1, "")</f>
        <v/>
      </c>
      <c r="BG178" s="1"/>
      <c r="BH178" s="1"/>
      <c r="BI178" s="1"/>
      <c r="BJ178" s="1"/>
      <c r="BK178" s="1"/>
      <c r="BL178" s="1"/>
    </row>
    <row r="179">
      <c r="A179" s="1">
        <f t="shared" si="3"/>
        <v>179</v>
      </c>
      <c r="B179" s="1" t="str">
        <f>'2025'!D143</f>
        <v>, </v>
      </c>
      <c r="C179" s="1" t="str">
        <f>'2025'!H143</f>
        <v/>
      </c>
      <c r="D179" s="1" t="str">
        <f>IF(AND(AND(AND(D$4&gt;='2025'!$L177,D$4&lt;='2025'!$M177), D$4&lt;&gt;DATE(2025,7,4)), (SWITCH(weekday(D$4), 1, 0, 2, if(ISBLANK('2025'!$P177), 0, 1), 3, if(ISBLANK('2025'!$Q177), 0, 1), 4, if(ISBLANK('2025'!$R177), 0, 1), 5, if(ISBLANK('2025'!$S177), 0, 1), 6, if(ISBLANK('2025'!$T177), 0, 1), 7, 0))), 1, "")</f>
        <v/>
      </c>
      <c r="E179" s="1" t="str">
        <f>IF(AND(AND(AND(E$4&gt;='2025'!$L177,E$4&lt;='2025'!$M177), E$4&lt;&gt;DATE(2025,7,4)), (SWITCH(weekday(E$4), 1, 0, 2, if(ISBLANK('2025'!$P177), 0, 1), 3, if(ISBLANK('2025'!$Q177), 0, 1), 4, if(ISBLANK('2025'!$R177), 0, 1), 5, if(ISBLANK('2025'!$S177), 0, 1), 6, if(ISBLANK('2025'!$T177), 0, 1), 7, 0))), 1, "")</f>
        <v/>
      </c>
      <c r="F179" s="1" t="str">
        <f>IF(AND(AND(AND(F$4&gt;='2025'!$L177,F$4&lt;='2025'!$M177), F$4&lt;&gt;DATE(2025,7,4)), (SWITCH(weekday(F$4), 1, 0, 2, if(ISBLANK('2025'!$P177), 0, 1), 3, if(ISBLANK('2025'!$Q177), 0, 1), 4, if(ISBLANK('2025'!$R177), 0, 1), 5, if(ISBLANK('2025'!$S177), 0, 1), 6, if(ISBLANK('2025'!$T177), 0, 1), 7, 0))), 1, "")</f>
        <v/>
      </c>
      <c r="G179" s="1" t="str">
        <f>IF(AND(AND(AND(G$4&gt;='2025'!$L177,G$4&lt;='2025'!$M177), G$4&lt;&gt;DATE(2025,7,4)), (SWITCH(weekday(G$4), 1, 0, 2, if(ISBLANK('2025'!$P177), 0, 1), 3, if(ISBLANK('2025'!$Q177), 0, 1), 4, if(ISBLANK('2025'!$R177), 0, 1), 5, if(ISBLANK('2025'!$S177), 0, 1), 6, if(ISBLANK('2025'!$T177), 0, 1), 7, 0))), 1, "")</f>
        <v/>
      </c>
      <c r="H179" s="1" t="str">
        <f>IF(AND(AND(AND(H$4&gt;='2025'!$L177,H$4&lt;='2025'!$M177), H$4&lt;&gt;DATE(2025,7,4)), (SWITCH(weekday(H$4), 1, 0, 2, if(ISBLANK('2025'!$P177), 0, 1), 3, if(ISBLANK('2025'!$Q177), 0, 1), 4, if(ISBLANK('2025'!$R177), 0, 1), 5, if(ISBLANK('2025'!$S177), 0, 1), 6, if(ISBLANK('2025'!$T177), 0, 1), 7, 0))), 1, "")</f>
        <v/>
      </c>
      <c r="I179" s="1" t="str">
        <f>IF(AND(AND(AND(I$4&gt;='2025'!$L177,I$4&lt;='2025'!$M177), I$4&lt;&gt;DATE(2025,7,4)), (SWITCH(weekday(I$4), 1, 0, 2, if(ISBLANK('2025'!$P177), 0, 1), 3, if(ISBLANK('2025'!$Q177), 0, 1), 4, if(ISBLANK('2025'!$R177), 0, 1), 5, if(ISBLANK('2025'!$S177), 0, 1), 6, if(ISBLANK('2025'!$T177), 0, 1), 7, 0))), 1, "")</f>
        <v/>
      </c>
      <c r="J179" s="1" t="str">
        <f>IF(AND(AND(AND(J$4&gt;='2025'!$L177,J$4&lt;='2025'!$M177), J$4&lt;&gt;DATE(2025,7,4)), (SWITCH(weekday(J$4), 1, 0, 2, if(ISBLANK('2025'!$P177), 0, 1), 3, if(ISBLANK('2025'!$Q177), 0, 1), 4, if(ISBLANK('2025'!$R177), 0, 1), 5, if(ISBLANK('2025'!$S177), 0, 1), 6, if(ISBLANK('2025'!$T177), 0, 1), 7, 0))), 1, "")</f>
        <v/>
      </c>
      <c r="K179" s="1" t="str">
        <f>IF(AND(AND(AND(K$4&gt;='2025'!$L177,K$4&lt;='2025'!$M177), K$4&lt;&gt;DATE(2025,7,4)), (SWITCH(weekday(K$4), 1, 0, 2, if(ISBLANK('2025'!$P177), 0, 1), 3, if(ISBLANK('2025'!$Q177), 0, 1), 4, if(ISBLANK('2025'!$R177), 0, 1), 5, if(ISBLANK('2025'!$S177), 0, 1), 6, if(ISBLANK('2025'!$T177), 0, 1), 7, 0))), 1, "")</f>
        <v/>
      </c>
      <c r="L179" s="1" t="str">
        <f>IF(AND(AND(AND(L$4&gt;='2025'!$L177,L$4&lt;='2025'!$M177), L$4&lt;&gt;DATE(2025,7,4)), (SWITCH(weekday(L$4), 1, 0, 2, if(ISBLANK('2025'!$P177), 0, 1), 3, if(ISBLANK('2025'!$Q177), 0, 1), 4, if(ISBLANK('2025'!$R177), 0, 1), 5, if(ISBLANK('2025'!$S177), 0, 1), 6, if(ISBLANK('2025'!$T177), 0, 1), 7, 0))), 1, "")</f>
        <v/>
      </c>
      <c r="M179" s="1" t="str">
        <f>IF(AND(AND(AND(M$4&gt;='2025'!$L177,M$4&lt;='2025'!$M177), M$4&lt;&gt;DATE(2025,7,4)), (SWITCH(weekday(M$4), 1, 0, 2, if(ISBLANK('2025'!$P177), 0, 1), 3, if(ISBLANK('2025'!$Q177), 0, 1), 4, if(ISBLANK('2025'!$R177), 0, 1), 5, if(ISBLANK('2025'!$S177), 0, 1), 6, if(ISBLANK('2025'!$T177), 0, 1), 7, 0))), 1, "")</f>
        <v/>
      </c>
      <c r="N179" s="1" t="str">
        <f>IF(AND(AND(AND(N$4&gt;='2025'!$L177,N$4&lt;='2025'!$M177), N$4&lt;&gt;DATE(2025,7,4)), (SWITCH(weekday(N$4), 1, 0, 2, if(ISBLANK('2025'!$P177), 0, 1), 3, if(ISBLANK('2025'!$Q177), 0, 1), 4, if(ISBLANK('2025'!$R177), 0, 1), 5, if(ISBLANK('2025'!$S177), 0, 1), 6, if(ISBLANK('2025'!$T177), 0, 1), 7, 0))), 1, "")</f>
        <v/>
      </c>
      <c r="O179" s="1" t="str">
        <f>IF(AND(AND(AND(O$4&gt;='2025'!$L177,O$4&lt;='2025'!$M177), O$4&lt;&gt;DATE(2025,7,4)), (SWITCH(weekday(O$4), 1, 0, 2, if(ISBLANK('2025'!$P177), 0, 1), 3, if(ISBLANK('2025'!$Q177), 0, 1), 4, if(ISBLANK('2025'!$R177), 0, 1), 5, if(ISBLANK('2025'!$S177), 0, 1), 6, if(ISBLANK('2025'!$T177), 0, 1), 7, 0))), 1, "")</f>
        <v/>
      </c>
      <c r="P179" s="1" t="str">
        <f>IF(AND(AND(AND(P$4&gt;='2025'!$L177,P$4&lt;='2025'!$M177), P$4&lt;&gt;DATE(2025,7,4)), (SWITCH(weekday(P$4), 1, 0, 2, if(ISBLANK('2025'!$P177), 0, 1), 3, if(ISBLANK('2025'!$Q177), 0, 1), 4, if(ISBLANK('2025'!$R177), 0, 1), 5, if(ISBLANK('2025'!$S177), 0, 1), 6, if(ISBLANK('2025'!$T177), 0, 1), 7, 0))), 1, "")</f>
        <v/>
      </c>
      <c r="Q179" s="1" t="str">
        <f>IF(AND(AND(AND(Q$4&gt;='2025'!$L177,Q$4&lt;='2025'!$M177), Q$4&lt;&gt;DATE(2025,7,4)), (SWITCH(weekday(Q$4), 1, 0, 2, if(ISBLANK('2025'!$P177), 0, 1), 3, if(ISBLANK('2025'!$Q177), 0, 1), 4, if(ISBLANK('2025'!$R177), 0, 1), 5, if(ISBLANK('2025'!$S177), 0, 1), 6, if(ISBLANK('2025'!$T177), 0, 1), 7, 0))), 1, "")</f>
        <v/>
      </c>
      <c r="R179" s="1" t="str">
        <f>IF(AND(AND(AND(R$4&gt;='2025'!$L177,R$4&lt;='2025'!$M177), R$4&lt;&gt;DATE(2025,7,4)), (SWITCH(weekday(R$4), 1, 0, 2, if(ISBLANK('2025'!$P177), 0, 1), 3, if(ISBLANK('2025'!$Q177), 0, 1), 4, if(ISBLANK('2025'!$R177), 0, 1), 5, if(ISBLANK('2025'!$S177), 0, 1), 6, if(ISBLANK('2025'!$T177), 0, 1), 7, 0))), 1, "")</f>
        <v/>
      </c>
      <c r="S179" s="1" t="str">
        <f>IF(AND(AND(AND(S$4&gt;='2025'!$L177,S$4&lt;='2025'!$M177), S$4&lt;&gt;DATE(2025,7,4)), (SWITCH(weekday(S$4), 1, 0, 2, if(ISBLANK('2025'!$P177), 0, 1), 3, if(ISBLANK('2025'!$Q177), 0, 1), 4, if(ISBLANK('2025'!$R177), 0, 1), 5, if(ISBLANK('2025'!$S177), 0, 1), 6, if(ISBLANK('2025'!$T177), 0, 1), 7, 0))), 1, "")</f>
        <v/>
      </c>
      <c r="T179" s="1" t="str">
        <f>IF(AND(AND(AND(T$4&gt;='2025'!$L177,T$4&lt;='2025'!$M177), T$4&lt;&gt;DATE(2025,7,4)), (SWITCH(weekday(T$4), 1, 0, 2, if(ISBLANK('2025'!$P177), 0, 1), 3, if(ISBLANK('2025'!$Q177), 0, 1), 4, if(ISBLANK('2025'!$R177), 0, 1), 5, if(ISBLANK('2025'!$S177), 0, 1), 6, if(ISBLANK('2025'!$T177), 0, 1), 7, 0))), 1, "")</f>
        <v/>
      </c>
      <c r="U179" s="1" t="str">
        <f>IF(AND(AND(AND(U$4&gt;='2025'!$L177,U$4&lt;='2025'!$M177), U$4&lt;&gt;DATE(2025,7,4)), (SWITCH(weekday(U$4), 1, 0, 2, if(ISBLANK('2025'!$P177), 0, 1), 3, if(ISBLANK('2025'!$Q177), 0, 1), 4, if(ISBLANK('2025'!$R177), 0, 1), 5, if(ISBLANK('2025'!$S177), 0, 1), 6, if(ISBLANK('2025'!$T177), 0, 1), 7, 0))), 1, "")</f>
        <v/>
      </c>
      <c r="V179" s="1" t="str">
        <f>IF(AND(AND(AND(V$4&gt;='2025'!$L177,V$4&lt;='2025'!$M177), V$4&lt;&gt;DATE(2025,7,4)), (SWITCH(weekday(V$4), 1, 0, 2, if(ISBLANK('2025'!$P177), 0, 1), 3, if(ISBLANK('2025'!$Q177), 0, 1), 4, if(ISBLANK('2025'!$R177), 0, 1), 5, if(ISBLANK('2025'!$S177), 0, 1), 6, if(ISBLANK('2025'!$T177), 0, 1), 7, 0))), 1, "")</f>
        <v/>
      </c>
      <c r="W179" s="1" t="str">
        <f>IF(AND(AND(AND(W$4&gt;='2025'!$L177,W$4&lt;='2025'!$M177), W$4&lt;&gt;DATE(2025,7,4)), (SWITCH(weekday(W$4), 1, 0, 2, if(ISBLANK('2025'!$P177), 0, 1), 3, if(ISBLANK('2025'!$Q177), 0, 1), 4, if(ISBLANK('2025'!$R177), 0, 1), 5, if(ISBLANK('2025'!$S177), 0, 1), 6, if(ISBLANK('2025'!$T177), 0, 1), 7, 0))), 1, "")</f>
        <v/>
      </c>
      <c r="X179" s="1" t="str">
        <f>IF(AND(AND(AND(X$4&gt;='2025'!$L177,X$4&lt;='2025'!$M177), X$4&lt;&gt;DATE(2025,7,4)), (SWITCH(weekday(X$4), 1, 0, 2, if(ISBLANK('2025'!$P177), 0, 1), 3, if(ISBLANK('2025'!$Q177), 0, 1), 4, if(ISBLANK('2025'!$R177), 0, 1), 5, if(ISBLANK('2025'!$S177), 0, 1), 6, if(ISBLANK('2025'!$T177), 0, 1), 7, 0))), 1, "")</f>
        <v/>
      </c>
      <c r="Y179" s="1" t="str">
        <f>IF(AND(AND(AND(Y$4&gt;='2025'!$L177,Y$4&lt;='2025'!$M177), Y$4&lt;&gt;DATE(2025,7,4)), (SWITCH(weekday(Y$4), 1, 0, 2, if(ISBLANK('2025'!$P177), 0, 1), 3, if(ISBLANK('2025'!$Q177), 0, 1), 4, if(ISBLANK('2025'!$R177), 0, 1), 5, if(ISBLANK('2025'!$S177), 0, 1), 6, if(ISBLANK('2025'!$T177), 0, 1), 7, 0))), 1, "")</f>
        <v/>
      </c>
      <c r="Z179" s="1" t="str">
        <f>IF(AND(AND(AND(Z$4&gt;='2025'!$L177,Z$4&lt;='2025'!$M177), Z$4&lt;&gt;DATE(2025,7,4)), (SWITCH(weekday(Z$4), 1, 0, 2, if(ISBLANK('2025'!$P177), 0, 1), 3, if(ISBLANK('2025'!$Q177), 0, 1), 4, if(ISBLANK('2025'!$R177), 0, 1), 5, if(ISBLANK('2025'!$S177), 0, 1), 6, if(ISBLANK('2025'!$T177), 0, 1), 7, 0))), 1, "")</f>
        <v/>
      </c>
      <c r="AA179" s="1" t="str">
        <f>IF(AND(AND(AND(AA$4&gt;='2025'!$L177,AA$4&lt;='2025'!$M177), AA$4&lt;&gt;DATE(2025,7,4)), (SWITCH(weekday(AA$4), 1, 0, 2, if(ISBLANK('2025'!$P177), 0, 1), 3, if(ISBLANK('2025'!$Q177), 0, 1), 4, if(ISBLANK('2025'!$R177), 0, 1), 5, if(ISBLANK('2025'!$S177), 0, 1), 6, if(ISBLANK('2025'!$T177), 0, 1), 7, 0))), 1, "")</f>
        <v/>
      </c>
      <c r="AB179" s="1" t="str">
        <f>IF(AND(AND(AND(AB$4&gt;='2025'!$L177,AB$4&lt;='2025'!$M177), AB$4&lt;&gt;DATE(2025,7,4)), (SWITCH(weekday(AB$4), 1, 0, 2, if(ISBLANK('2025'!$P177), 0, 1), 3, if(ISBLANK('2025'!$Q177), 0, 1), 4, if(ISBLANK('2025'!$R177), 0, 1), 5, if(ISBLANK('2025'!$S177), 0, 1), 6, if(ISBLANK('2025'!$T177), 0, 1), 7, 0))), 1, "")</f>
        <v/>
      </c>
      <c r="AC179" s="1" t="str">
        <f>IF(AND(AND(AND(AC$4&gt;='2025'!$L177,AC$4&lt;='2025'!$M177), AC$4&lt;&gt;DATE(2025,7,4)), (SWITCH(weekday(AC$4), 1, 0, 2, if(ISBLANK('2025'!$P177), 0, 1), 3, if(ISBLANK('2025'!$Q177), 0, 1), 4, if(ISBLANK('2025'!$R177), 0, 1), 5, if(ISBLANK('2025'!$S177), 0, 1), 6, if(ISBLANK('2025'!$T177), 0, 1), 7, 0))), 1, "")</f>
        <v/>
      </c>
      <c r="AD179" s="1" t="str">
        <f>IF(AND(AND(AND(AD$4&gt;='2025'!$L177,AD$4&lt;='2025'!$M177), AD$4&lt;&gt;DATE(2025,7,4)), (SWITCH(weekday(AD$4), 1, 0, 2, if(ISBLANK('2025'!$P177), 0, 1), 3, if(ISBLANK('2025'!$Q177), 0, 1), 4, if(ISBLANK('2025'!$R177), 0, 1), 5, if(ISBLANK('2025'!$S177), 0, 1), 6, if(ISBLANK('2025'!$T177), 0, 1), 7, 0))), 1, "")</f>
        <v/>
      </c>
      <c r="AE179" s="1" t="str">
        <f>IF(AND(AND(AND(AE$4&gt;='2025'!$L177,AE$4&lt;='2025'!$M177), AE$4&lt;&gt;DATE(2025,7,4)), (SWITCH(weekday(AE$4), 1, 0, 2, if(ISBLANK('2025'!$P177), 0, 1), 3, if(ISBLANK('2025'!$Q177), 0, 1), 4, if(ISBLANK('2025'!$R177), 0, 1), 5, if(ISBLANK('2025'!$S177), 0, 1), 6, if(ISBLANK('2025'!$T177), 0, 1), 7, 0))), 1, "")</f>
        <v/>
      </c>
      <c r="AF179" s="1" t="str">
        <f>IF(AND(AND(AND(AF$4&gt;='2025'!$L177,AF$4&lt;='2025'!$M177), AF$4&lt;&gt;DATE(2025,7,4)), (SWITCH(weekday(AF$4), 1, 0, 2, if(ISBLANK('2025'!$P177), 0, 1), 3, if(ISBLANK('2025'!$Q177), 0, 1), 4, if(ISBLANK('2025'!$R177), 0, 1), 5, if(ISBLANK('2025'!$S177), 0, 1), 6, if(ISBLANK('2025'!$T177), 0, 1), 7, 0))), 1, "")</f>
        <v/>
      </c>
      <c r="AG179" s="1" t="str">
        <f>IF(AND(AND(AND(AG$4&gt;='2025'!$L177,AG$4&lt;='2025'!$M177), AG$4&lt;&gt;DATE(2025,7,4)), (SWITCH(weekday(AG$4), 1, 0, 2, if(ISBLANK('2025'!$P177), 0, 1), 3, if(ISBLANK('2025'!$Q177), 0, 1), 4, if(ISBLANK('2025'!$R177), 0, 1), 5, if(ISBLANK('2025'!$S177), 0, 1), 6, if(ISBLANK('2025'!$T177), 0, 1), 7, 0))), 1, "")</f>
        <v/>
      </c>
      <c r="AH179" s="1" t="str">
        <f>IF(AND(AND(AND(AH$4&gt;='2025'!$L177,AH$4&lt;='2025'!$M177), AH$4&lt;&gt;DATE(2025,7,4)), (SWITCH(weekday(AH$4), 1, 0, 2, if(ISBLANK('2025'!$P177), 0, 1), 3, if(ISBLANK('2025'!$Q177), 0, 1), 4, if(ISBLANK('2025'!$R177), 0, 1), 5, if(ISBLANK('2025'!$S177), 0, 1), 6, if(ISBLANK('2025'!$T177), 0, 1), 7, 0))), 1, "")</f>
        <v/>
      </c>
      <c r="AI179" s="1" t="str">
        <f>IF(AND(AND(AND(AI$4&gt;='2025'!$L177,AI$4&lt;='2025'!$M177), AI$4&lt;&gt;DATE(2025,7,4)), (SWITCH(weekday(AI$4), 1, 0, 2, if(ISBLANK('2025'!$P177), 0, 1), 3, if(ISBLANK('2025'!$Q177), 0, 1), 4, if(ISBLANK('2025'!$R177), 0, 1), 5, if(ISBLANK('2025'!$S177), 0, 1), 6, if(ISBLANK('2025'!$T177), 0, 1), 7, 0))), 1, "")</f>
        <v/>
      </c>
      <c r="AJ179" s="1" t="str">
        <f>IF(AND(AND(AND(AJ$4&gt;='2025'!$L177,AJ$4&lt;='2025'!$M177), AJ$4&lt;&gt;DATE(2025,7,4)), (SWITCH(weekday(AJ$4), 1, 0, 2, if(ISBLANK('2025'!$P177), 0, 1), 3, if(ISBLANK('2025'!$Q177), 0, 1), 4, if(ISBLANK('2025'!$R177), 0, 1), 5, if(ISBLANK('2025'!$S177), 0, 1), 6, if(ISBLANK('2025'!$T177), 0, 1), 7, 0))), 1, "")</f>
        <v/>
      </c>
      <c r="AK179" s="1" t="str">
        <f>IF(AND(AND(AND(AK$4&gt;='2025'!$L177,AK$4&lt;='2025'!$M177), AK$4&lt;&gt;DATE(2025,7,4)), (SWITCH(weekday(AK$4), 1, 0, 2, if(ISBLANK('2025'!$P177), 0, 1), 3, if(ISBLANK('2025'!$Q177), 0, 1), 4, if(ISBLANK('2025'!$R177), 0, 1), 5, if(ISBLANK('2025'!$S177), 0, 1), 6, if(ISBLANK('2025'!$T177), 0, 1), 7, 0))), 1, "")</f>
        <v/>
      </c>
      <c r="AL179" s="1" t="str">
        <f>IF(AND(AND(AND(AL$4&gt;='2025'!$L177,AL$4&lt;='2025'!$M177), AL$4&lt;&gt;DATE(2025,7,4)), (SWITCH(weekday(AL$4), 1, 0, 2, if(ISBLANK('2025'!$P177), 0, 1), 3, if(ISBLANK('2025'!$Q177), 0, 1), 4, if(ISBLANK('2025'!$R177), 0, 1), 5, if(ISBLANK('2025'!$S177), 0, 1), 6, if(ISBLANK('2025'!$T177), 0, 1), 7, 0))), 1, "")</f>
        <v/>
      </c>
      <c r="AM179" s="1" t="str">
        <f>IF(AND(AND(AND(AM$4&gt;='2025'!$L177,AM$4&lt;='2025'!$M177), AM$4&lt;&gt;DATE(2025,7,4)), (SWITCH(weekday(AM$4), 1, 0, 2, if(ISBLANK('2025'!$P177), 0, 1), 3, if(ISBLANK('2025'!$Q177), 0, 1), 4, if(ISBLANK('2025'!$R177), 0, 1), 5, if(ISBLANK('2025'!$S177), 0, 1), 6, if(ISBLANK('2025'!$T177), 0, 1), 7, 0))), 1, "")</f>
        <v/>
      </c>
      <c r="AN179" s="1" t="str">
        <f>IF(AND(AND(AND(AN$4&gt;='2025'!$L177,AN$4&lt;='2025'!$M177), AN$4&lt;&gt;DATE(2025,7,4)), (SWITCH(weekday(AN$4), 1, 0, 2, if(ISBLANK('2025'!$P177), 0, 1), 3, if(ISBLANK('2025'!$Q177), 0, 1), 4, if(ISBLANK('2025'!$R177), 0, 1), 5, if(ISBLANK('2025'!$S177), 0, 1), 6, if(ISBLANK('2025'!$T177), 0, 1), 7, 0))), 1, "")</f>
        <v/>
      </c>
      <c r="AO179" s="1" t="str">
        <f>IF(AND(AND(AND(AO$4&gt;='2025'!$L177,AO$4&lt;='2025'!$M177), AO$4&lt;&gt;DATE(2025,7,4)), (SWITCH(weekday(AO$4), 1, 0, 2, if(ISBLANK('2025'!$P177), 0, 1), 3, if(ISBLANK('2025'!$Q177), 0, 1), 4, if(ISBLANK('2025'!$R177), 0, 1), 5, if(ISBLANK('2025'!$S177), 0, 1), 6, if(ISBLANK('2025'!$T177), 0, 1), 7, 0))), 1, "")</f>
        <v/>
      </c>
      <c r="AP179" s="1" t="str">
        <f>IF(AND(AND(AND(AP$4&gt;='2025'!$L177,AP$4&lt;='2025'!$M177), AP$4&lt;&gt;DATE(2025,7,4)), (SWITCH(weekday(AP$4), 1, 0, 2, if(ISBLANK('2025'!$P177), 0, 1), 3, if(ISBLANK('2025'!$Q177), 0, 1), 4, if(ISBLANK('2025'!$R177), 0, 1), 5, if(ISBLANK('2025'!$S177), 0, 1), 6, if(ISBLANK('2025'!$T177), 0, 1), 7, 0))), 1, "")</f>
        <v/>
      </c>
      <c r="AQ179" s="1" t="str">
        <f>IF(AND(AND(AND(AQ$4&gt;='2025'!$L177,AQ$4&lt;='2025'!$M177), AQ$4&lt;&gt;DATE(2025,7,4)), (SWITCH(weekday(AQ$4), 1, 0, 2, if(ISBLANK('2025'!$P177), 0, 1), 3, if(ISBLANK('2025'!$Q177), 0, 1), 4, if(ISBLANK('2025'!$R177), 0, 1), 5, if(ISBLANK('2025'!$S177), 0, 1), 6, if(ISBLANK('2025'!$T177), 0, 1), 7, 0))), 1, "")</f>
        <v/>
      </c>
      <c r="AR179" s="1" t="str">
        <f>IF(AND(AND(AND(AR$4&gt;='2025'!$L177,AR$4&lt;='2025'!$M177), AR$4&lt;&gt;DATE(2025,7,4)), (SWITCH(weekday(AR$4), 1, 0, 2, if(ISBLANK('2025'!$P177), 0, 1), 3, if(ISBLANK('2025'!$Q177), 0, 1), 4, if(ISBLANK('2025'!$R177), 0, 1), 5, if(ISBLANK('2025'!$S177), 0, 1), 6, if(ISBLANK('2025'!$T177), 0, 1), 7, 0))), 1, "")</f>
        <v/>
      </c>
      <c r="AS179" s="1" t="str">
        <f>IF(AND(AND(AND(AS$4&gt;='2025'!$L177,AS$4&lt;='2025'!$M177), AS$4&lt;&gt;DATE(2025,7,4)), (SWITCH(weekday(AS$4), 1, 0, 2, if(ISBLANK('2025'!$P177), 0, 1), 3, if(ISBLANK('2025'!$Q177), 0, 1), 4, if(ISBLANK('2025'!$R177), 0, 1), 5, if(ISBLANK('2025'!$S177), 0, 1), 6, if(ISBLANK('2025'!$T177), 0, 1), 7, 0))), 1, "")</f>
        <v/>
      </c>
      <c r="AT179" s="1" t="str">
        <f>IF(AND(AND(AND(AT$4&gt;='2025'!$L177,AT$4&lt;='2025'!$M177), AT$4&lt;&gt;DATE(2025,7,4)), (SWITCH(weekday(AT$4), 1, 0, 2, if(ISBLANK('2025'!$P177), 0, 1), 3, if(ISBLANK('2025'!$Q177), 0, 1), 4, if(ISBLANK('2025'!$R177), 0, 1), 5, if(ISBLANK('2025'!$S177), 0, 1), 6, if(ISBLANK('2025'!$T177), 0, 1), 7, 0))), 1, "")</f>
        <v/>
      </c>
      <c r="AU179" s="1" t="str">
        <f>IF(AND(AND(AND(AU$4&gt;='2025'!$L177,AU$4&lt;='2025'!$M177), AU$4&lt;&gt;DATE(2025,7,4)), (SWITCH(weekday(AU$4), 1, 0, 2, if(ISBLANK('2025'!$P177), 0, 1), 3, if(ISBLANK('2025'!$Q177), 0, 1), 4, if(ISBLANK('2025'!$R177), 0, 1), 5, if(ISBLANK('2025'!$S177), 0, 1), 6, if(ISBLANK('2025'!$T177), 0, 1), 7, 0))), 1, "")</f>
        <v/>
      </c>
      <c r="AV179" s="1" t="str">
        <f>IF(AND(AND(AND(AV$4&gt;='2025'!$L177,AV$4&lt;='2025'!$M177), AV$4&lt;&gt;DATE(2025,7,4)), (SWITCH(weekday(AV$4), 1, 0, 2, if(ISBLANK('2025'!$P177), 0, 1), 3, if(ISBLANK('2025'!$Q177), 0, 1), 4, if(ISBLANK('2025'!$R177), 0, 1), 5, if(ISBLANK('2025'!$S177), 0, 1), 6, if(ISBLANK('2025'!$T177), 0, 1), 7, 0))), 1, "")</f>
        <v/>
      </c>
      <c r="AW179" s="1" t="str">
        <f>IF(AND(AND(AND(AW$4&gt;='2025'!$L177,AW$4&lt;='2025'!$M177), AW$4&lt;&gt;DATE(2025,7,4)), (SWITCH(weekday(AW$4), 1, 0, 2, if(ISBLANK('2025'!$P177), 0, 1), 3, if(ISBLANK('2025'!$Q177), 0, 1), 4, if(ISBLANK('2025'!$R177), 0, 1), 5, if(ISBLANK('2025'!$S177), 0, 1), 6, if(ISBLANK('2025'!$T177), 0, 1), 7, 0))), 1, "")</f>
        <v/>
      </c>
      <c r="AX179" s="1" t="str">
        <f>IF(AND(AND(AND(AX$4&gt;='2025'!$L177,AX$4&lt;='2025'!$M177), AX$4&lt;&gt;DATE(2025,7,4)), (SWITCH(weekday(AX$4), 1, 0, 2, if(ISBLANK('2025'!$P177), 0, 1), 3, if(ISBLANK('2025'!$Q177), 0, 1), 4, if(ISBLANK('2025'!$R177), 0, 1), 5, if(ISBLANK('2025'!$S177), 0, 1), 6, if(ISBLANK('2025'!$T177), 0, 1), 7, 0))), 1, "")</f>
        <v/>
      </c>
      <c r="AY179" s="1" t="str">
        <f>IF(AND(AND(AND(AY$4&gt;='2025'!$L177,AY$4&lt;='2025'!$M177), AY$4&lt;&gt;DATE(2025,7,4)), (SWITCH(weekday(AY$4), 1, 0, 2, if(ISBLANK('2025'!$P177), 0, 1), 3, if(ISBLANK('2025'!$Q177), 0, 1), 4, if(ISBLANK('2025'!$R177), 0, 1), 5, if(ISBLANK('2025'!$S177), 0, 1), 6, if(ISBLANK('2025'!$T177), 0, 1), 7, 0))), 1, "")</f>
        <v/>
      </c>
      <c r="AZ179" s="1" t="str">
        <f>IF(AND(AND(AND(AZ$4&gt;='2025'!$L177,AZ$4&lt;='2025'!$M177), AZ$4&lt;&gt;DATE(2025,7,4)), (SWITCH(weekday(AZ$4), 1, 0, 2, if(ISBLANK('2025'!$P177), 0, 1), 3, if(ISBLANK('2025'!$Q177), 0, 1), 4, if(ISBLANK('2025'!$R177), 0, 1), 5, if(ISBLANK('2025'!$S177), 0, 1), 6, if(ISBLANK('2025'!$T177), 0, 1), 7, 0))), 1, "")</f>
        <v/>
      </c>
      <c r="BA179" s="1" t="str">
        <f>IF(AND(AND(AND(BA$4&gt;='2025'!$L177,BA$4&lt;='2025'!$M177), BA$4&lt;&gt;DATE(2025,7,4)), (SWITCH(weekday(BA$4), 1, 0, 2, if(ISBLANK('2025'!$P177), 0, 1), 3, if(ISBLANK('2025'!$Q177), 0, 1), 4, if(ISBLANK('2025'!$R177), 0, 1), 5, if(ISBLANK('2025'!$S177), 0, 1), 6, if(ISBLANK('2025'!$T177), 0, 1), 7, 0))), 1, "")</f>
        <v/>
      </c>
      <c r="BB179" s="1" t="str">
        <f>IF(AND(AND(AND(BB$4&gt;='2025'!$L177,BB$4&lt;='2025'!$M177), BB$4&lt;&gt;DATE(2025,7,4)), (SWITCH(weekday(BB$4), 1, 0, 2, if(ISBLANK('2025'!$P177), 0, 1), 3, if(ISBLANK('2025'!$Q177), 0, 1), 4, if(ISBLANK('2025'!$R177), 0, 1), 5, if(ISBLANK('2025'!$S177), 0, 1), 6, if(ISBLANK('2025'!$T177), 0, 1), 7, 0))), 1, "")</f>
        <v/>
      </c>
      <c r="BC179" s="1" t="str">
        <f>IF(AND(AND(AND(BC$4&gt;='2025'!$L177,BC$4&lt;='2025'!$M177), BC$4&lt;&gt;DATE(2025,7,4)), (SWITCH(weekday(BC$4), 1, 0, 2, if(ISBLANK('2025'!$P177), 0, 1), 3, if(ISBLANK('2025'!$Q177), 0, 1), 4, if(ISBLANK('2025'!$R177), 0, 1), 5, if(ISBLANK('2025'!$S177), 0, 1), 6, if(ISBLANK('2025'!$T177), 0, 1), 7, 0))), 1, "")</f>
        <v/>
      </c>
      <c r="BD179" s="1" t="str">
        <f>IF(AND(AND(AND(BD$4&gt;='2025'!$L177,BD$4&lt;='2025'!$M177), BD$4&lt;&gt;DATE(2025,7,4)), (SWITCH(weekday(BD$4), 1, 0, 2, if(ISBLANK('2025'!$P177), 0, 1), 3, if(ISBLANK('2025'!$Q177), 0, 1), 4, if(ISBLANK('2025'!$R177), 0, 1), 5, if(ISBLANK('2025'!$S177), 0, 1), 6, if(ISBLANK('2025'!$T177), 0, 1), 7, 0))), 1, "")</f>
        <v/>
      </c>
      <c r="BE179" s="1" t="str">
        <f>IF(AND(AND(AND(BE$4&gt;='2025'!$L177,BE$4&lt;='2025'!$M177), BE$4&lt;&gt;DATE(2025,7,4)), (SWITCH(weekday(BE$4), 1, 0, 2, if(ISBLANK('2025'!$P177), 0, 1), 3, if(ISBLANK('2025'!$Q177), 0, 1), 4, if(ISBLANK('2025'!$R177), 0, 1), 5, if(ISBLANK('2025'!$S177), 0, 1), 6, if(ISBLANK('2025'!$T177), 0, 1), 7, 0))), 1, "")</f>
        <v/>
      </c>
      <c r="BF179" s="1" t="str">
        <f>IF(AND(AND(AND(BF$4&gt;='2025'!$L177,BF$4&lt;='2025'!$M177), BF$4&lt;&gt;DATE(2025,7,4)), (SWITCH(weekday(BF$4), 1, 0, 2, if(ISBLANK('2025'!$P177), 0, 1), 3, if(ISBLANK('2025'!$Q177), 0, 1), 4, if(ISBLANK('2025'!$R177), 0, 1), 5, if(ISBLANK('2025'!$S177), 0, 1), 6, if(ISBLANK('2025'!$T177), 0, 1), 7, 0))), 1, "")</f>
        <v/>
      </c>
      <c r="BG179" s="1"/>
      <c r="BH179" s="1"/>
      <c r="BI179" s="1"/>
      <c r="BJ179" s="1"/>
      <c r="BK179" s="1"/>
      <c r="BL179" s="1"/>
    </row>
    <row r="180">
      <c r="A180" s="1">
        <f t="shared" si="3"/>
        <v>180</v>
      </c>
      <c r="B180" s="1" t="str">
        <f>'2025'!D144</f>
        <v>, </v>
      </c>
      <c r="C180" s="1" t="str">
        <f>'2025'!H144</f>
        <v/>
      </c>
      <c r="D180" s="1" t="str">
        <f>IF(AND(AND(AND(D$4&gt;='2025'!$L178,D$4&lt;='2025'!$M178), D$4&lt;&gt;DATE(2025,7,4)), (SWITCH(weekday(D$4), 1, 0, 2, if(ISBLANK('2025'!$P178), 0, 1), 3, if(ISBLANK('2025'!$Q178), 0, 1), 4, if(ISBLANK('2025'!$R178), 0, 1), 5, if(ISBLANK('2025'!$S178), 0, 1), 6, if(ISBLANK('2025'!$T178), 0, 1), 7, 0))), 1, "")</f>
        <v/>
      </c>
      <c r="E180" s="1" t="str">
        <f>IF(AND(AND(AND(E$4&gt;='2025'!$L178,E$4&lt;='2025'!$M178), E$4&lt;&gt;DATE(2025,7,4)), (SWITCH(weekday(E$4), 1, 0, 2, if(ISBLANK('2025'!$P178), 0, 1), 3, if(ISBLANK('2025'!$Q178), 0, 1), 4, if(ISBLANK('2025'!$R178), 0, 1), 5, if(ISBLANK('2025'!$S178), 0, 1), 6, if(ISBLANK('2025'!$T178), 0, 1), 7, 0))), 1, "")</f>
        <v/>
      </c>
      <c r="F180" s="1" t="str">
        <f>IF(AND(AND(AND(F$4&gt;='2025'!$L178,F$4&lt;='2025'!$M178), F$4&lt;&gt;DATE(2025,7,4)), (SWITCH(weekday(F$4), 1, 0, 2, if(ISBLANK('2025'!$P178), 0, 1), 3, if(ISBLANK('2025'!$Q178), 0, 1), 4, if(ISBLANK('2025'!$R178), 0, 1), 5, if(ISBLANK('2025'!$S178), 0, 1), 6, if(ISBLANK('2025'!$T178), 0, 1), 7, 0))), 1, "")</f>
        <v/>
      </c>
      <c r="G180" s="1" t="str">
        <f>IF(AND(AND(AND(G$4&gt;='2025'!$L178,G$4&lt;='2025'!$M178), G$4&lt;&gt;DATE(2025,7,4)), (SWITCH(weekday(G$4), 1, 0, 2, if(ISBLANK('2025'!$P178), 0, 1), 3, if(ISBLANK('2025'!$Q178), 0, 1), 4, if(ISBLANK('2025'!$R178), 0, 1), 5, if(ISBLANK('2025'!$S178), 0, 1), 6, if(ISBLANK('2025'!$T178), 0, 1), 7, 0))), 1, "")</f>
        <v/>
      </c>
      <c r="H180" s="1" t="str">
        <f>IF(AND(AND(AND(H$4&gt;='2025'!$L178,H$4&lt;='2025'!$M178), H$4&lt;&gt;DATE(2025,7,4)), (SWITCH(weekday(H$4), 1, 0, 2, if(ISBLANK('2025'!$P178), 0, 1), 3, if(ISBLANK('2025'!$Q178), 0, 1), 4, if(ISBLANK('2025'!$R178), 0, 1), 5, if(ISBLANK('2025'!$S178), 0, 1), 6, if(ISBLANK('2025'!$T178), 0, 1), 7, 0))), 1, "")</f>
        <v/>
      </c>
      <c r="I180" s="1" t="str">
        <f>IF(AND(AND(AND(I$4&gt;='2025'!$L178,I$4&lt;='2025'!$M178), I$4&lt;&gt;DATE(2025,7,4)), (SWITCH(weekday(I$4), 1, 0, 2, if(ISBLANK('2025'!$P178), 0, 1), 3, if(ISBLANK('2025'!$Q178), 0, 1), 4, if(ISBLANK('2025'!$R178), 0, 1), 5, if(ISBLANK('2025'!$S178), 0, 1), 6, if(ISBLANK('2025'!$T178), 0, 1), 7, 0))), 1, "")</f>
        <v/>
      </c>
      <c r="J180" s="1" t="str">
        <f>IF(AND(AND(AND(J$4&gt;='2025'!$L178,J$4&lt;='2025'!$M178), J$4&lt;&gt;DATE(2025,7,4)), (SWITCH(weekday(J$4), 1, 0, 2, if(ISBLANK('2025'!$P178), 0, 1), 3, if(ISBLANK('2025'!$Q178), 0, 1), 4, if(ISBLANK('2025'!$R178), 0, 1), 5, if(ISBLANK('2025'!$S178), 0, 1), 6, if(ISBLANK('2025'!$T178), 0, 1), 7, 0))), 1, "")</f>
        <v/>
      </c>
      <c r="K180" s="1" t="str">
        <f>IF(AND(AND(AND(K$4&gt;='2025'!$L178,K$4&lt;='2025'!$M178), K$4&lt;&gt;DATE(2025,7,4)), (SWITCH(weekday(K$4), 1, 0, 2, if(ISBLANK('2025'!$P178), 0, 1), 3, if(ISBLANK('2025'!$Q178), 0, 1), 4, if(ISBLANK('2025'!$R178), 0, 1), 5, if(ISBLANK('2025'!$S178), 0, 1), 6, if(ISBLANK('2025'!$T178), 0, 1), 7, 0))), 1, "")</f>
        <v/>
      </c>
      <c r="L180" s="1" t="str">
        <f>IF(AND(AND(AND(L$4&gt;='2025'!$L178,L$4&lt;='2025'!$M178), L$4&lt;&gt;DATE(2025,7,4)), (SWITCH(weekday(L$4), 1, 0, 2, if(ISBLANK('2025'!$P178), 0, 1), 3, if(ISBLANK('2025'!$Q178), 0, 1), 4, if(ISBLANK('2025'!$R178), 0, 1), 5, if(ISBLANK('2025'!$S178), 0, 1), 6, if(ISBLANK('2025'!$T178), 0, 1), 7, 0))), 1, "")</f>
        <v/>
      </c>
      <c r="M180" s="1" t="str">
        <f>IF(AND(AND(AND(M$4&gt;='2025'!$L178,M$4&lt;='2025'!$M178), M$4&lt;&gt;DATE(2025,7,4)), (SWITCH(weekday(M$4), 1, 0, 2, if(ISBLANK('2025'!$P178), 0, 1), 3, if(ISBLANK('2025'!$Q178), 0, 1), 4, if(ISBLANK('2025'!$R178), 0, 1), 5, if(ISBLANK('2025'!$S178), 0, 1), 6, if(ISBLANK('2025'!$T178), 0, 1), 7, 0))), 1, "")</f>
        <v/>
      </c>
      <c r="N180" s="1" t="str">
        <f>IF(AND(AND(AND(N$4&gt;='2025'!$L178,N$4&lt;='2025'!$M178), N$4&lt;&gt;DATE(2025,7,4)), (SWITCH(weekday(N$4), 1, 0, 2, if(ISBLANK('2025'!$P178), 0, 1), 3, if(ISBLANK('2025'!$Q178), 0, 1), 4, if(ISBLANK('2025'!$R178), 0, 1), 5, if(ISBLANK('2025'!$S178), 0, 1), 6, if(ISBLANK('2025'!$T178), 0, 1), 7, 0))), 1, "")</f>
        <v/>
      </c>
      <c r="O180" s="1" t="str">
        <f>IF(AND(AND(AND(O$4&gt;='2025'!$L178,O$4&lt;='2025'!$M178), O$4&lt;&gt;DATE(2025,7,4)), (SWITCH(weekday(O$4), 1, 0, 2, if(ISBLANK('2025'!$P178), 0, 1), 3, if(ISBLANK('2025'!$Q178), 0, 1), 4, if(ISBLANK('2025'!$R178), 0, 1), 5, if(ISBLANK('2025'!$S178), 0, 1), 6, if(ISBLANK('2025'!$T178), 0, 1), 7, 0))), 1, "")</f>
        <v/>
      </c>
      <c r="P180" s="1" t="str">
        <f>IF(AND(AND(AND(P$4&gt;='2025'!$L178,P$4&lt;='2025'!$M178), P$4&lt;&gt;DATE(2025,7,4)), (SWITCH(weekday(P$4), 1, 0, 2, if(ISBLANK('2025'!$P178), 0, 1), 3, if(ISBLANK('2025'!$Q178), 0, 1), 4, if(ISBLANK('2025'!$R178), 0, 1), 5, if(ISBLANK('2025'!$S178), 0, 1), 6, if(ISBLANK('2025'!$T178), 0, 1), 7, 0))), 1, "")</f>
        <v/>
      </c>
      <c r="Q180" s="1" t="str">
        <f>IF(AND(AND(AND(Q$4&gt;='2025'!$L178,Q$4&lt;='2025'!$M178), Q$4&lt;&gt;DATE(2025,7,4)), (SWITCH(weekday(Q$4), 1, 0, 2, if(ISBLANK('2025'!$P178), 0, 1), 3, if(ISBLANK('2025'!$Q178), 0, 1), 4, if(ISBLANK('2025'!$R178), 0, 1), 5, if(ISBLANK('2025'!$S178), 0, 1), 6, if(ISBLANK('2025'!$T178), 0, 1), 7, 0))), 1, "")</f>
        <v/>
      </c>
      <c r="R180" s="1" t="str">
        <f>IF(AND(AND(AND(R$4&gt;='2025'!$L178,R$4&lt;='2025'!$M178), R$4&lt;&gt;DATE(2025,7,4)), (SWITCH(weekday(R$4), 1, 0, 2, if(ISBLANK('2025'!$P178), 0, 1), 3, if(ISBLANK('2025'!$Q178), 0, 1), 4, if(ISBLANK('2025'!$R178), 0, 1), 5, if(ISBLANK('2025'!$S178), 0, 1), 6, if(ISBLANK('2025'!$T178), 0, 1), 7, 0))), 1, "")</f>
        <v/>
      </c>
      <c r="S180" s="1" t="str">
        <f>IF(AND(AND(AND(S$4&gt;='2025'!$L178,S$4&lt;='2025'!$M178), S$4&lt;&gt;DATE(2025,7,4)), (SWITCH(weekday(S$4), 1, 0, 2, if(ISBLANK('2025'!$P178), 0, 1), 3, if(ISBLANK('2025'!$Q178), 0, 1), 4, if(ISBLANK('2025'!$R178), 0, 1), 5, if(ISBLANK('2025'!$S178), 0, 1), 6, if(ISBLANK('2025'!$T178), 0, 1), 7, 0))), 1, "")</f>
        <v/>
      </c>
      <c r="T180" s="1" t="str">
        <f>IF(AND(AND(AND(T$4&gt;='2025'!$L178,T$4&lt;='2025'!$M178), T$4&lt;&gt;DATE(2025,7,4)), (SWITCH(weekday(T$4), 1, 0, 2, if(ISBLANK('2025'!$P178), 0, 1), 3, if(ISBLANK('2025'!$Q178), 0, 1), 4, if(ISBLANK('2025'!$R178), 0, 1), 5, if(ISBLANK('2025'!$S178), 0, 1), 6, if(ISBLANK('2025'!$T178), 0, 1), 7, 0))), 1, "")</f>
        <v/>
      </c>
      <c r="U180" s="1" t="str">
        <f>IF(AND(AND(AND(U$4&gt;='2025'!$L178,U$4&lt;='2025'!$M178), U$4&lt;&gt;DATE(2025,7,4)), (SWITCH(weekday(U$4), 1, 0, 2, if(ISBLANK('2025'!$P178), 0, 1), 3, if(ISBLANK('2025'!$Q178), 0, 1), 4, if(ISBLANK('2025'!$R178), 0, 1), 5, if(ISBLANK('2025'!$S178), 0, 1), 6, if(ISBLANK('2025'!$T178), 0, 1), 7, 0))), 1, "")</f>
        <v/>
      </c>
      <c r="V180" s="1" t="str">
        <f>IF(AND(AND(AND(V$4&gt;='2025'!$L178,V$4&lt;='2025'!$M178), V$4&lt;&gt;DATE(2025,7,4)), (SWITCH(weekday(V$4), 1, 0, 2, if(ISBLANK('2025'!$P178), 0, 1), 3, if(ISBLANK('2025'!$Q178), 0, 1), 4, if(ISBLANK('2025'!$R178), 0, 1), 5, if(ISBLANK('2025'!$S178), 0, 1), 6, if(ISBLANK('2025'!$T178), 0, 1), 7, 0))), 1, "")</f>
        <v/>
      </c>
      <c r="W180" s="1" t="str">
        <f>IF(AND(AND(AND(W$4&gt;='2025'!$L178,W$4&lt;='2025'!$M178), W$4&lt;&gt;DATE(2025,7,4)), (SWITCH(weekday(W$4), 1, 0, 2, if(ISBLANK('2025'!$P178), 0, 1), 3, if(ISBLANK('2025'!$Q178), 0, 1), 4, if(ISBLANK('2025'!$R178), 0, 1), 5, if(ISBLANK('2025'!$S178), 0, 1), 6, if(ISBLANK('2025'!$T178), 0, 1), 7, 0))), 1, "")</f>
        <v/>
      </c>
      <c r="X180" s="1" t="str">
        <f>IF(AND(AND(AND(X$4&gt;='2025'!$L178,X$4&lt;='2025'!$M178), X$4&lt;&gt;DATE(2025,7,4)), (SWITCH(weekday(X$4), 1, 0, 2, if(ISBLANK('2025'!$P178), 0, 1), 3, if(ISBLANK('2025'!$Q178), 0, 1), 4, if(ISBLANK('2025'!$R178), 0, 1), 5, if(ISBLANK('2025'!$S178), 0, 1), 6, if(ISBLANK('2025'!$T178), 0, 1), 7, 0))), 1, "")</f>
        <v/>
      </c>
      <c r="Y180" s="1" t="str">
        <f>IF(AND(AND(AND(Y$4&gt;='2025'!$L178,Y$4&lt;='2025'!$M178), Y$4&lt;&gt;DATE(2025,7,4)), (SWITCH(weekday(Y$4), 1, 0, 2, if(ISBLANK('2025'!$P178), 0, 1), 3, if(ISBLANK('2025'!$Q178), 0, 1), 4, if(ISBLANK('2025'!$R178), 0, 1), 5, if(ISBLANK('2025'!$S178), 0, 1), 6, if(ISBLANK('2025'!$T178), 0, 1), 7, 0))), 1, "")</f>
        <v/>
      </c>
      <c r="Z180" s="1" t="str">
        <f>IF(AND(AND(AND(Z$4&gt;='2025'!$L178,Z$4&lt;='2025'!$M178), Z$4&lt;&gt;DATE(2025,7,4)), (SWITCH(weekday(Z$4), 1, 0, 2, if(ISBLANK('2025'!$P178), 0, 1), 3, if(ISBLANK('2025'!$Q178), 0, 1), 4, if(ISBLANK('2025'!$R178), 0, 1), 5, if(ISBLANK('2025'!$S178), 0, 1), 6, if(ISBLANK('2025'!$T178), 0, 1), 7, 0))), 1, "")</f>
        <v/>
      </c>
      <c r="AA180" s="1" t="str">
        <f>IF(AND(AND(AND(AA$4&gt;='2025'!$L178,AA$4&lt;='2025'!$M178), AA$4&lt;&gt;DATE(2025,7,4)), (SWITCH(weekday(AA$4), 1, 0, 2, if(ISBLANK('2025'!$P178), 0, 1), 3, if(ISBLANK('2025'!$Q178), 0, 1), 4, if(ISBLANK('2025'!$R178), 0, 1), 5, if(ISBLANK('2025'!$S178), 0, 1), 6, if(ISBLANK('2025'!$T178), 0, 1), 7, 0))), 1, "")</f>
        <v/>
      </c>
      <c r="AB180" s="1" t="str">
        <f>IF(AND(AND(AND(AB$4&gt;='2025'!$L178,AB$4&lt;='2025'!$M178), AB$4&lt;&gt;DATE(2025,7,4)), (SWITCH(weekday(AB$4), 1, 0, 2, if(ISBLANK('2025'!$P178), 0, 1), 3, if(ISBLANK('2025'!$Q178), 0, 1), 4, if(ISBLANK('2025'!$R178), 0, 1), 5, if(ISBLANK('2025'!$S178), 0, 1), 6, if(ISBLANK('2025'!$T178), 0, 1), 7, 0))), 1, "")</f>
        <v/>
      </c>
      <c r="AC180" s="1" t="str">
        <f>IF(AND(AND(AND(AC$4&gt;='2025'!$L178,AC$4&lt;='2025'!$M178), AC$4&lt;&gt;DATE(2025,7,4)), (SWITCH(weekday(AC$4), 1, 0, 2, if(ISBLANK('2025'!$P178), 0, 1), 3, if(ISBLANK('2025'!$Q178), 0, 1), 4, if(ISBLANK('2025'!$R178), 0, 1), 5, if(ISBLANK('2025'!$S178), 0, 1), 6, if(ISBLANK('2025'!$T178), 0, 1), 7, 0))), 1, "")</f>
        <v/>
      </c>
      <c r="AD180" s="1" t="str">
        <f>IF(AND(AND(AND(AD$4&gt;='2025'!$L178,AD$4&lt;='2025'!$M178), AD$4&lt;&gt;DATE(2025,7,4)), (SWITCH(weekday(AD$4), 1, 0, 2, if(ISBLANK('2025'!$P178), 0, 1), 3, if(ISBLANK('2025'!$Q178), 0, 1), 4, if(ISBLANK('2025'!$R178), 0, 1), 5, if(ISBLANK('2025'!$S178), 0, 1), 6, if(ISBLANK('2025'!$T178), 0, 1), 7, 0))), 1, "")</f>
        <v/>
      </c>
      <c r="AE180" s="1" t="str">
        <f>IF(AND(AND(AND(AE$4&gt;='2025'!$L178,AE$4&lt;='2025'!$M178), AE$4&lt;&gt;DATE(2025,7,4)), (SWITCH(weekday(AE$4), 1, 0, 2, if(ISBLANK('2025'!$P178), 0, 1), 3, if(ISBLANK('2025'!$Q178), 0, 1), 4, if(ISBLANK('2025'!$R178), 0, 1), 5, if(ISBLANK('2025'!$S178), 0, 1), 6, if(ISBLANK('2025'!$T178), 0, 1), 7, 0))), 1, "")</f>
        <v/>
      </c>
      <c r="AF180" s="1" t="str">
        <f>IF(AND(AND(AND(AF$4&gt;='2025'!$L178,AF$4&lt;='2025'!$M178), AF$4&lt;&gt;DATE(2025,7,4)), (SWITCH(weekday(AF$4), 1, 0, 2, if(ISBLANK('2025'!$P178), 0, 1), 3, if(ISBLANK('2025'!$Q178), 0, 1), 4, if(ISBLANK('2025'!$R178), 0, 1), 5, if(ISBLANK('2025'!$S178), 0, 1), 6, if(ISBLANK('2025'!$T178), 0, 1), 7, 0))), 1, "")</f>
        <v/>
      </c>
      <c r="AG180" s="1" t="str">
        <f>IF(AND(AND(AND(AG$4&gt;='2025'!$L178,AG$4&lt;='2025'!$M178), AG$4&lt;&gt;DATE(2025,7,4)), (SWITCH(weekday(AG$4), 1, 0, 2, if(ISBLANK('2025'!$P178), 0, 1), 3, if(ISBLANK('2025'!$Q178), 0, 1), 4, if(ISBLANK('2025'!$R178), 0, 1), 5, if(ISBLANK('2025'!$S178), 0, 1), 6, if(ISBLANK('2025'!$T178), 0, 1), 7, 0))), 1, "")</f>
        <v/>
      </c>
      <c r="AH180" s="1" t="str">
        <f>IF(AND(AND(AND(AH$4&gt;='2025'!$L178,AH$4&lt;='2025'!$M178), AH$4&lt;&gt;DATE(2025,7,4)), (SWITCH(weekday(AH$4), 1, 0, 2, if(ISBLANK('2025'!$P178), 0, 1), 3, if(ISBLANK('2025'!$Q178), 0, 1), 4, if(ISBLANK('2025'!$R178), 0, 1), 5, if(ISBLANK('2025'!$S178), 0, 1), 6, if(ISBLANK('2025'!$T178), 0, 1), 7, 0))), 1, "")</f>
        <v/>
      </c>
      <c r="AI180" s="1" t="str">
        <f>IF(AND(AND(AND(AI$4&gt;='2025'!$L178,AI$4&lt;='2025'!$M178), AI$4&lt;&gt;DATE(2025,7,4)), (SWITCH(weekday(AI$4), 1, 0, 2, if(ISBLANK('2025'!$P178), 0, 1), 3, if(ISBLANK('2025'!$Q178), 0, 1), 4, if(ISBLANK('2025'!$R178), 0, 1), 5, if(ISBLANK('2025'!$S178), 0, 1), 6, if(ISBLANK('2025'!$T178), 0, 1), 7, 0))), 1, "")</f>
        <v/>
      </c>
      <c r="AJ180" s="1" t="str">
        <f>IF(AND(AND(AND(AJ$4&gt;='2025'!$L178,AJ$4&lt;='2025'!$M178), AJ$4&lt;&gt;DATE(2025,7,4)), (SWITCH(weekday(AJ$4), 1, 0, 2, if(ISBLANK('2025'!$P178), 0, 1), 3, if(ISBLANK('2025'!$Q178), 0, 1), 4, if(ISBLANK('2025'!$R178), 0, 1), 5, if(ISBLANK('2025'!$S178), 0, 1), 6, if(ISBLANK('2025'!$T178), 0, 1), 7, 0))), 1, "")</f>
        <v/>
      </c>
      <c r="AK180" s="1" t="str">
        <f>IF(AND(AND(AND(AK$4&gt;='2025'!$L178,AK$4&lt;='2025'!$M178), AK$4&lt;&gt;DATE(2025,7,4)), (SWITCH(weekday(AK$4), 1, 0, 2, if(ISBLANK('2025'!$P178), 0, 1), 3, if(ISBLANK('2025'!$Q178), 0, 1), 4, if(ISBLANK('2025'!$R178), 0, 1), 5, if(ISBLANK('2025'!$S178), 0, 1), 6, if(ISBLANK('2025'!$T178), 0, 1), 7, 0))), 1, "")</f>
        <v/>
      </c>
      <c r="AL180" s="1" t="str">
        <f>IF(AND(AND(AND(AL$4&gt;='2025'!$L178,AL$4&lt;='2025'!$M178), AL$4&lt;&gt;DATE(2025,7,4)), (SWITCH(weekday(AL$4), 1, 0, 2, if(ISBLANK('2025'!$P178), 0, 1), 3, if(ISBLANK('2025'!$Q178), 0, 1), 4, if(ISBLANK('2025'!$R178), 0, 1), 5, if(ISBLANK('2025'!$S178), 0, 1), 6, if(ISBLANK('2025'!$T178), 0, 1), 7, 0))), 1, "")</f>
        <v/>
      </c>
      <c r="AM180" s="1" t="str">
        <f>IF(AND(AND(AND(AM$4&gt;='2025'!$L178,AM$4&lt;='2025'!$M178), AM$4&lt;&gt;DATE(2025,7,4)), (SWITCH(weekday(AM$4), 1, 0, 2, if(ISBLANK('2025'!$P178), 0, 1), 3, if(ISBLANK('2025'!$Q178), 0, 1), 4, if(ISBLANK('2025'!$R178), 0, 1), 5, if(ISBLANK('2025'!$S178), 0, 1), 6, if(ISBLANK('2025'!$T178), 0, 1), 7, 0))), 1, "")</f>
        <v/>
      </c>
      <c r="AN180" s="1" t="str">
        <f>IF(AND(AND(AND(AN$4&gt;='2025'!$L178,AN$4&lt;='2025'!$M178), AN$4&lt;&gt;DATE(2025,7,4)), (SWITCH(weekday(AN$4), 1, 0, 2, if(ISBLANK('2025'!$P178), 0, 1), 3, if(ISBLANK('2025'!$Q178), 0, 1), 4, if(ISBLANK('2025'!$R178), 0, 1), 5, if(ISBLANK('2025'!$S178), 0, 1), 6, if(ISBLANK('2025'!$T178), 0, 1), 7, 0))), 1, "")</f>
        <v/>
      </c>
      <c r="AO180" s="1" t="str">
        <f>IF(AND(AND(AND(AO$4&gt;='2025'!$L178,AO$4&lt;='2025'!$M178), AO$4&lt;&gt;DATE(2025,7,4)), (SWITCH(weekday(AO$4), 1, 0, 2, if(ISBLANK('2025'!$P178), 0, 1), 3, if(ISBLANK('2025'!$Q178), 0, 1), 4, if(ISBLANK('2025'!$R178), 0, 1), 5, if(ISBLANK('2025'!$S178), 0, 1), 6, if(ISBLANK('2025'!$T178), 0, 1), 7, 0))), 1, "")</f>
        <v/>
      </c>
      <c r="AP180" s="1" t="str">
        <f>IF(AND(AND(AND(AP$4&gt;='2025'!$L178,AP$4&lt;='2025'!$M178), AP$4&lt;&gt;DATE(2025,7,4)), (SWITCH(weekday(AP$4), 1, 0, 2, if(ISBLANK('2025'!$P178), 0, 1), 3, if(ISBLANK('2025'!$Q178), 0, 1), 4, if(ISBLANK('2025'!$R178), 0, 1), 5, if(ISBLANK('2025'!$S178), 0, 1), 6, if(ISBLANK('2025'!$T178), 0, 1), 7, 0))), 1, "")</f>
        <v/>
      </c>
      <c r="AQ180" s="1" t="str">
        <f>IF(AND(AND(AND(AQ$4&gt;='2025'!$L178,AQ$4&lt;='2025'!$M178), AQ$4&lt;&gt;DATE(2025,7,4)), (SWITCH(weekday(AQ$4), 1, 0, 2, if(ISBLANK('2025'!$P178), 0, 1), 3, if(ISBLANK('2025'!$Q178), 0, 1), 4, if(ISBLANK('2025'!$R178), 0, 1), 5, if(ISBLANK('2025'!$S178), 0, 1), 6, if(ISBLANK('2025'!$T178), 0, 1), 7, 0))), 1, "")</f>
        <v/>
      </c>
      <c r="AR180" s="1" t="str">
        <f>IF(AND(AND(AND(AR$4&gt;='2025'!$L178,AR$4&lt;='2025'!$M178), AR$4&lt;&gt;DATE(2025,7,4)), (SWITCH(weekday(AR$4), 1, 0, 2, if(ISBLANK('2025'!$P178), 0, 1), 3, if(ISBLANK('2025'!$Q178), 0, 1), 4, if(ISBLANK('2025'!$R178), 0, 1), 5, if(ISBLANK('2025'!$S178), 0, 1), 6, if(ISBLANK('2025'!$T178), 0, 1), 7, 0))), 1, "")</f>
        <v/>
      </c>
      <c r="AS180" s="1" t="str">
        <f>IF(AND(AND(AND(AS$4&gt;='2025'!$L178,AS$4&lt;='2025'!$M178), AS$4&lt;&gt;DATE(2025,7,4)), (SWITCH(weekday(AS$4), 1, 0, 2, if(ISBLANK('2025'!$P178), 0, 1), 3, if(ISBLANK('2025'!$Q178), 0, 1), 4, if(ISBLANK('2025'!$R178), 0, 1), 5, if(ISBLANK('2025'!$S178), 0, 1), 6, if(ISBLANK('2025'!$T178), 0, 1), 7, 0))), 1, "")</f>
        <v/>
      </c>
      <c r="AT180" s="1" t="str">
        <f>IF(AND(AND(AND(AT$4&gt;='2025'!$L178,AT$4&lt;='2025'!$M178), AT$4&lt;&gt;DATE(2025,7,4)), (SWITCH(weekday(AT$4), 1, 0, 2, if(ISBLANK('2025'!$P178), 0, 1), 3, if(ISBLANK('2025'!$Q178), 0, 1), 4, if(ISBLANK('2025'!$R178), 0, 1), 5, if(ISBLANK('2025'!$S178), 0, 1), 6, if(ISBLANK('2025'!$T178), 0, 1), 7, 0))), 1, "")</f>
        <v/>
      </c>
      <c r="AU180" s="1" t="str">
        <f>IF(AND(AND(AND(AU$4&gt;='2025'!$L178,AU$4&lt;='2025'!$M178), AU$4&lt;&gt;DATE(2025,7,4)), (SWITCH(weekday(AU$4), 1, 0, 2, if(ISBLANK('2025'!$P178), 0, 1), 3, if(ISBLANK('2025'!$Q178), 0, 1), 4, if(ISBLANK('2025'!$R178), 0, 1), 5, if(ISBLANK('2025'!$S178), 0, 1), 6, if(ISBLANK('2025'!$T178), 0, 1), 7, 0))), 1, "")</f>
        <v/>
      </c>
      <c r="AV180" s="1" t="str">
        <f>IF(AND(AND(AND(AV$4&gt;='2025'!$L178,AV$4&lt;='2025'!$M178), AV$4&lt;&gt;DATE(2025,7,4)), (SWITCH(weekday(AV$4), 1, 0, 2, if(ISBLANK('2025'!$P178), 0, 1), 3, if(ISBLANK('2025'!$Q178), 0, 1), 4, if(ISBLANK('2025'!$R178), 0, 1), 5, if(ISBLANK('2025'!$S178), 0, 1), 6, if(ISBLANK('2025'!$T178), 0, 1), 7, 0))), 1, "")</f>
        <v/>
      </c>
      <c r="AW180" s="1" t="str">
        <f>IF(AND(AND(AND(AW$4&gt;='2025'!$L178,AW$4&lt;='2025'!$M178), AW$4&lt;&gt;DATE(2025,7,4)), (SWITCH(weekday(AW$4), 1, 0, 2, if(ISBLANK('2025'!$P178), 0, 1), 3, if(ISBLANK('2025'!$Q178), 0, 1), 4, if(ISBLANK('2025'!$R178), 0, 1), 5, if(ISBLANK('2025'!$S178), 0, 1), 6, if(ISBLANK('2025'!$T178), 0, 1), 7, 0))), 1, "")</f>
        <v/>
      </c>
      <c r="AX180" s="1" t="str">
        <f>IF(AND(AND(AND(AX$4&gt;='2025'!$L178,AX$4&lt;='2025'!$M178), AX$4&lt;&gt;DATE(2025,7,4)), (SWITCH(weekday(AX$4), 1, 0, 2, if(ISBLANK('2025'!$P178), 0, 1), 3, if(ISBLANK('2025'!$Q178), 0, 1), 4, if(ISBLANK('2025'!$R178), 0, 1), 5, if(ISBLANK('2025'!$S178), 0, 1), 6, if(ISBLANK('2025'!$T178), 0, 1), 7, 0))), 1, "")</f>
        <v/>
      </c>
      <c r="AY180" s="1" t="str">
        <f>IF(AND(AND(AND(AY$4&gt;='2025'!$L178,AY$4&lt;='2025'!$M178), AY$4&lt;&gt;DATE(2025,7,4)), (SWITCH(weekday(AY$4), 1, 0, 2, if(ISBLANK('2025'!$P178), 0, 1), 3, if(ISBLANK('2025'!$Q178), 0, 1), 4, if(ISBLANK('2025'!$R178), 0, 1), 5, if(ISBLANK('2025'!$S178), 0, 1), 6, if(ISBLANK('2025'!$T178), 0, 1), 7, 0))), 1, "")</f>
        <v/>
      </c>
      <c r="AZ180" s="1" t="str">
        <f>IF(AND(AND(AND(AZ$4&gt;='2025'!$L178,AZ$4&lt;='2025'!$M178), AZ$4&lt;&gt;DATE(2025,7,4)), (SWITCH(weekday(AZ$4), 1, 0, 2, if(ISBLANK('2025'!$P178), 0, 1), 3, if(ISBLANK('2025'!$Q178), 0, 1), 4, if(ISBLANK('2025'!$R178), 0, 1), 5, if(ISBLANK('2025'!$S178), 0, 1), 6, if(ISBLANK('2025'!$T178), 0, 1), 7, 0))), 1, "")</f>
        <v/>
      </c>
      <c r="BA180" s="1" t="str">
        <f>IF(AND(AND(AND(BA$4&gt;='2025'!$L178,BA$4&lt;='2025'!$M178), BA$4&lt;&gt;DATE(2025,7,4)), (SWITCH(weekday(BA$4), 1, 0, 2, if(ISBLANK('2025'!$P178), 0, 1), 3, if(ISBLANK('2025'!$Q178), 0, 1), 4, if(ISBLANK('2025'!$R178), 0, 1), 5, if(ISBLANK('2025'!$S178), 0, 1), 6, if(ISBLANK('2025'!$T178), 0, 1), 7, 0))), 1, "")</f>
        <v/>
      </c>
      <c r="BB180" s="1" t="str">
        <f>IF(AND(AND(AND(BB$4&gt;='2025'!$L178,BB$4&lt;='2025'!$M178), BB$4&lt;&gt;DATE(2025,7,4)), (SWITCH(weekday(BB$4), 1, 0, 2, if(ISBLANK('2025'!$P178), 0, 1), 3, if(ISBLANK('2025'!$Q178), 0, 1), 4, if(ISBLANK('2025'!$R178), 0, 1), 5, if(ISBLANK('2025'!$S178), 0, 1), 6, if(ISBLANK('2025'!$T178), 0, 1), 7, 0))), 1, "")</f>
        <v/>
      </c>
      <c r="BC180" s="1" t="str">
        <f>IF(AND(AND(AND(BC$4&gt;='2025'!$L178,BC$4&lt;='2025'!$M178), BC$4&lt;&gt;DATE(2025,7,4)), (SWITCH(weekday(BC$4), 1, 0, 2, if(ISBLANK('2025'!$P178), 0, 1), 3, if(ISBLANK('2025'!$Q178), 0, 1), 4, if(ISBLANK('2025'!$R178), 0, 1), 5, if(ISBLANK('2025'!$S178), 0, 1), 6, if(ISBLANK('2025'!$T178), 0, 1), 7, 0))), 1, "")</f>
        <v/>
      </c>
      <c r="BD180" s="1" t="str">
        <f>IF(AND(AND(AND(BD$4&gt;='2025'!$L178,BD$4&lt;='2025'!$M178), BD$4&lt;&gt;DATE(2025,7,4)), (SWITCH(weekday(BD$4), 1, 0, 2, if(ISBLANK('2025'!$P178), 0, 1), 3, if(ISBLANK('2025'!$Q178), 0, 1), 4, if(ISBLANK('2025'!$R178), 0, 1), 5, if(ISBLANK('2025'!$S178), 0, 1), 6, if(ISBLANK('2025'!$T178), 0, 1), 7, 0))), 1, "")</f>
        <v/>
      </c>
      <c r="BE180" s="1" t="str">
        <f>IF(AND(AND(AND(BE$4&gt;='2025'!$L178,BE$4&lt;='2025'!$M178), BE$4&lt;&gt;DATE(2025,7,4)), (SWITCH(weekday(BE$4), 1, 0, 2, if(ISBLANK('2025'!$P178), 0, 1), 3, if(ISBLANK('2025'!$Q178), 0, 1), 4, if(ISBLANK('2025'!$R178), 0, 1), 5, if(ISBLANK('2025'!$S178), 0, 1), 6, if(ISBLANK('2025'!$T178), 0, 1), 7, 0))), 1, "")</f>
        <v/>
      </c>
      <c r="BF180" s="1" t="str">
        <f>IF(AND(AND(AND(BF$4&gt;='2025'!$L178,BF$4&lt;='2025'!$M178), BF$4&lt;&gt;DATE(2025,7,4)), (SWITCH(weekday(BF$4), 1, 0, 2, if(ISBLANK('2025'!$P178), 0, 1), 3, if(ISBLANK('2025'!$Q178), 0, 1), 4, if(ISBLANK('2025'!$R178), 0, 1), 5, if(ISBLANK('2025'!$S178), 0, 1), 6, if(ISBLANK('2025'!$T178), 0, 1), 7, 0))), 1, "")</f>
        <v/>
      </c>
      <c r="BG180" s="1"/>
      <c r="BH180" s="1"/>
      <c r="BI180" s="1"/>
      <c r="BJ180" s="1"/>
      <c r="BK180" s="1"/>
      <c r="BL180" s="1"/>
    </row>
    <row r="181">
      <c r="A181" s="1">
        <f t="shared" si="3"/>
        <v>181</v>
      </c>
      <c r="B181" s="1" t="str">
        <f>'2025'!D145</f>
        <v>, </v>
      </c>
      <c r="C181" s="1" t="str">
        <f>'2025'!H145</f>
        <v/>
      </c>
      <c r="D181" s="1" t="str">
        <f>IF(AND(AND(AND(D$4&gt;='2025'!$L179,D$4&lt;='2025'!$M179), D$4&lt;&gt;DATE(2025,7,4)), (SWITCH(weekday(D$4), 1, 0, 2, if(ISBLANK('2025'!$P179), 0, 1), 3, if(ISBLANK('2025'!$Q179), 0, 1), 4, if(ISBLANK('2025'!$R179), 0, 1), 5, if(ISBLANK('2025'!$S179), 0, 1), 6, if(ISBLANK('2025'!$T179), 0, 1), 7, 0))), 1, "")</f>
        <v/>
      </c>
      <c r="E181" s="1" t="str">
        <f>IF(AND(AND(AND(E$4&gt;='2025'!$L179,E$4&lt;='2025'!$M179), E$4&lt;&gt;DATE(2025,7,4)), (SWITCH(weekday(E$4), 1, 0, 2, if(ISBLANK('2025'!$P179), 0, 1), 3, if(ISBLANK('2025'!$Q179), 0, 1), 4, if(ISBLANK('2025'!$R179), 0, 1), 5, if(ISBLANK('2025'!$S179), 0, 1), 6, if(ISBLANK('2025'!$T179), 0, 1), 7, 0))), 1, "")</f>
        <v/>
      </c>
      <c r="F181" s="1" t="str">
        <f>IF(AND(AND(AND(F$4&gt;='2025'!$L179,F$4&lt;='2025'!$M179), F$4&lt;&gt;DATE(2025,7,4)), (SWITCH(weekday(F$4), 1, 0, 2, if(ISBLANK('2025'!$P179), 0, 1), 3, if(ISBLANK('2025'!$Q179), 0, 1), 4, if(ISBLANK('2025'!$R179), 0, 1), 5, if(ISBLANK('2025'!$S179), 0, 1), 6, if(ISBLANK('2025'!$T179), 0, 1), 7, 0))), 1, "")</f>
        <v/>
      </c>
      <c r="G181" s="1" t="str">
        <f>IF(AND(AND(AND(G$4&gt;='2025'!$L179,G$4&lt;='2025'!$M179), G$4&lt;&gt;DATE(2025,7,4)), (SWITCH(weekday(G$4), 1, 0, 2, if(ISBLANK('2025'!$P179), 0, 1), 3, if(ISBLANK('2025'!$Q179), 0, 1), 4, if(ISBLANK('2025'!$R179), 0, 1), 5, if(ISBLANK('2025'!$S179), 0, 1), 6, if(ISBLANK('2025'!$T179), 0, 1), 7, 0))), 1, "")</f>
        <v/>
      </c>
      <c r="H181" s="1" t="str">
        <f>IF(AND(AND(AND(H$4&gt;='2025'!$L179,H$4&lt;='2025'!$M179), H$4&lt;&gt;DATE(2025,7,4)), (SWITCH(weekday(H$4), 1, 0, 2, if(ISBLANK('2025'!$P179), 0, 1), 3, if(ISBLANK('2025'!$Q179), 0, 1), 4, if(ISBLANK('2025'!$R179), 0, 1), 5, if(ISBLANK('2025'!$S179), 0, 1), 6, if(ISBLANK('2025'!$T179), 0, 1), 7, 0))), 1, "")</f>
        <v/>
      </c>
      <c r="I181" s="1" t="str">
        <f>IF(AND(AND(AND(I$4&gt;='2025'!$L179,I$4&lt;='2025'!$M179), I$4&lt;&gt;DATE(2025,7,4)), (SWITCH(weekday(I$4), 1, 0, 2, if(ISBLANK('2025'!$P179), 0, 1), 3, if(ISBLANK('2025'!$Q179), 0, 1), 4, if(ISBLANK('2025'!$R179), 0, 1), 5, if(ISBLANK('2025'!$S179), 0, 1), 6, if(ISBLANK('2025'!$T179), 0, 1), 7, 0))), 1, "")</f>
        <v/>
      </c>
      <c r="J181" s="1" t="str">
        <f>IF(AND(AND(AND(J$4&gt;='2025'!$L179,J$4&lt;='2025'!$M179), J$4&lt;&gt;DATE(2025,7,4)), (SWITCH(weekday(J$4), 1, 0, 2, if(ISBLANK('2025'!$P179), 0, 1), 3, if(ISBLANK('2025'!$Q179), 0, 1), 4, if(ISBLANK('2025'!$R179), 0, 1), 5, if(ISBLANK('2025'!$S179), 0, 1), 6, if(ISBLANK('2025'!$T179), 0, 1), 7, 0))), 1, "")</f>
        <v/>
      </c>
      <c r="K181" s="1" t="str">
        <f>IF(AND(AND(AND(K$4&gt;='2025'!$L179,K$4&lt;='2025'!$M179), K$4&lt;&gt;DATE(2025,7,4)), (SWITCH(weekday(K$4), 1, 0, 2, if(ISBLANK('2025'!$P179), 0, 1), 3, if(ISBLANK('2025'!$Q179), 0, 1), 4, if(ISBLANK('2025'!$R179), 0, 1), 5, if(ISBLANK('2025'!$S179), 0, 1), 6, if(ISBLANK('2025'!$T179), 0, 1), 7, 0))), 1, "")</f>
        <v/>
      </c>
      <c r="L181" s="1" t="str">
        <f>IF(AND(AND(AND(L$4&gt;='2025'!$L179,L$4&lt;='2025'!$M179), L$4&lt;&gt;DATE(2025,7,4)), (SWITCH(weekday(L$4), 1, 0, 2, if(ISBLANK('2025'!$P179), 0, 1), 3, if(ISBLANK('2025'!$Q179), 0, 1), 4, if(ISBLANK('2025'!$R179), 0, 1), 5, if(ISBLANK('2025'!$S179), 0, 1), 6, if(ISBLANK('2025'!$T179), 0, 1), 7, 0))), 1, "")</f>
        <v/>
      </c>
      <c r="M181" s="1" t="str">
        <f>IF(AND(AND(AND(M$4&gt;='2025'!$L179,M$4&lt;='2025'!$M179), M$4&lt;&gt;DATE(2025,7,4)), (SWITCH(weekday(M$4), 1, 0, 2, if(ISBLANK('2025'!$P179), 0, 1), 3, if(ISBLANK('2025'!$Q179), 0, 1), 4, if(ISBLANK('2025'!$R179), 0, 1), 5, if(ISBLANK('2025'!$S179), 0, 1), 6, if(ISBLANK('2025'!$T179), 0, 1), 7, 0))), 1, "")</f>
        <v/>
      </c>
      <c r="N181" s="1" t="str">
        <f>IF(AND(AND(AND(N$4&gt;='2025'!$L179,N$4&lt;='2025'!$M179), N$4&lt;&gt;DATE(2025,7,4)), (SWITCH(weekday(N$4), 1, 0, 2, if(ISBLANK('2025'!$P179), 0, 1), 3, if(ISBLANK('2025'!$Q179), 0, 1), 4, if(ISBLANK('2025'!$R179), 0, 1), 5, if(ISBLANK('2025'!$S179), 0, 1), 6, if(ISBLANK('2025'!$T179), 0, 1), 7, 0))), 1, "")</f>
        <v/>
      </c>
      <c r="O181" s="1" t="str">
        <f>IF(AND(AND(AND(O$4&gt;='2025'!$L179,O$4&lt;='2025'!$M179), O$4&lt;&gt;DATE(2025,7,4)), (SWITCH(weekday(O$4), 1, 0, 2, if(ISBLANK('2025'!$P179), 0, 1), 3, if(ISBLANK('2025'!$Q179), 0, 1), 4, if(ISBLANK('2025'!$R179), 0, 1), 5, if(ISBLANK('2025'!$S179), 0, 1), 6, if(ISBLANK('2025'!$T179), 0, 1), 7, 0))), 1, "")</f>
        <v/>
      </c>
      <c r="P181" s="1" t="str">
        <f>IF(AND(AND(AND(P$4&gt;='2025'!$L179,P$4&lt;='2025'!$M179), P$4&lt;&gt;DATE(2025,7,4)), (SWITCH(weekday(P$4), 1, 0, 2, if(ISBLANK('2025'!$P179), 0, 1), 3, if(ISBLANK('2025'!$Q179), 0, 1), 4, if(ISBLANK('2025'!$R179), 0, 1), 5, if(ISBLANK('2025'!$S179), 0, 1), 6, if(ISBLANK('2025'!$T179), 0, 1), 7, 0))), 1, "")</f>
        <v/>
      </c>
      <c r="Q181" s="1" t="str">
        <f>IF(AND(AND(AND(Q$4&gt;='2025'!$L179,Q$4&lt;='2025'!$M179), Q$4&lt;&gt;DATE(2025,7,4)), (SWITCH(weekday(Q$4), 1, 0, 2, if(ISBLANK('2025'!$P179), 0, 1), 3, if(ISBLANK('2025'!$Q179), 0, 1), 4, if(ISBLANK('2025'!$R179), 0, 1), 5, if(ISBLANK('2025'!$S179), 0, 1), 6, if(ISBLANK('2025'!$T179), 0, 1), 7, 0))), 1, "")</f>
        <v/>
      </c>
      <c r="R181" s="1" t="str">
        <f>IF(AND(AND(AND(R$4&gt;='2025'!$L179,R$4&lt;='2025'!$M179), R$4&lt;&gt;DATE(2025,7,4)), (SWITCH(weekday(R$4), 1, 0, 2, if(ISBLANK('2025'!$P179), 0, 1), 3, if(ISBLANK('2025'!$Q179), 0, 1), 4, if(ISBLANK('2025'!$R179), 0, 1), 5, if(ISBLANK('2025'!$S179), 0, 1), 6, if(ISBLANK('2025'!$T179), 0, 1), 7, 0))), 1, "")</f>
        <v/>
      </c>
      <c r="S181" s="1" t="str">
        <f>IF(AND(AND(AND(S$4&gt;='2025'!$L179,S$4&lt;='2025'!$M179), S$4&lt;&gt;DATE(2025,7,4)), (SWITCH(weekday(S$4), 1, 0, 2, if(ISBLANK('2025'!$P179), 0, 1), 3, if(ISBLANK('2025'!$Q179), 0, 1), 4, if(ISBLANK('2025'!$R179), 0, 1), 5, if(ISBLANK('2025'!$S179), 0, 1), 6, if(ISBLANK('2025'!$T179), 0, 1), 7, 0))), 1, "")</f>
        <v/>
      </c>
      <c r="T181" s="1" t="str">
        <f>IF(AND(AND(AND(T$4&gt;='2025'!$L179,T$4&lt;='2025'!$M179), T$4&lt;&gt;DATE(2025,7,4)), (SWITCH(weekday(T$4), 1, 0, 2, if(ISBLANK('2025'!$P179), 0, 1), 3, if(ISBLANK('2025'!$Q179), 0, 1), 4, if(ISBLANK('2025'!$R179), 0, 1), 5, if(ISBLANK('2025'!$S179), 0, 1), 6, if(ISBLANK('2025'!$T179), 0, 1), 7, 0))), 1, "")</f>
        <v/>
      </c>
      <c r="U181" s="1" t="str">
        <f>IF(AND(AND(AND(U$4&gt;='2025'!$L179,U$4&lt;='2025'!$M179), U$4&lt;&gt;DATE(2025,7,4)), (SWITCH(weekday(U$4), 1, 0, 2, if(ISBLANK('2025'!$P179), 0, 1), 3, if(ISBLANK('2025'!$Q179), 0, 1), 4, if(ISBLANK('2025'!$R179), 0, 1), 5, if(ISBLANK('2025'!$S179), 0, 1), 6, if(ISBLANK('2025'!$T179), 0, 1), 7, 0))), 1, "")</f>
        <v/>
      </c>
      <c r="V181" s="1" t="str">
        <f>IF(AND(AND(AND(V$4&gt;='2025'!$L179,V$4&lt;='2025'!$M179), V$4&lt;&gt;DATE(2025,7,4)), (SWITCH(weekday(V$4), 1, 0, 2, if(ISBLANK('2025'!$P179), 0, 1), 3, if(ISBLANK('2025'!$Q179), 0, 1), 4, if(ISBLANK('2025'!$R179), 0, 1), 5, if(ISBLANK('2025'!$S179), 0, 1), 6, if(ISBLANK('2025'!$T179), 0, 1), 7, 0))), 1, "")</f>
        <v/>
      </c>
      <c r="W181" s="1" t="str">
        <f>IF(AND(AND(AND(W$4&gt;='2025'!$L179,W$4&lt;='2025'!$M179), W$4&lt;&gt;DATE(2025,7,4)), (SWITCH(weekday(W$4), 1, 0, 2, if(ISBLANK('2025'!$P179), 0, 1), 3, if(ISBLANK('2025'!$Q179), 0, 1), 4, if(ISBLANK('2025'!$R179), 0, 1), 5, if(ISBLANK('2025'!$S179), 0, 1), 6, if(ISBLANK('2025'!$T179), 0, 1), 7, 0))), 1, "")</f>
        <v/>
      </c>
      <c r="X181" s="1" t="str">
        <f>IF(AND(AND(AND(X$4&gt;='2025'!$L179,X$4&lt;='2025'!$M179), X$4&lt;&gt;DATE(2025,7,4)), (SWITCH(weekday(X$4), 1, 0, 2, if(ISBLANK('2025'!$P179), 0, 1), 3, if(ISBLANK('2025'!$Q179), 0, 1), 4, if(ISBLANK('2025'!$R179), 0, 1), 5, if(ISBLANK('2025'!$S179), 0, 1), 6, if(ISBLANK('2025'!$T179), 0, 1), 7, 0))), 1, "")</f>
        <v/>
      </c>
      <c r="Y181" s="1" t="str">
        <f>IF(AND(AND(AND(Y$4&gt;='2025'!$L179,Y$4&lt;='2025'!$M179), Y$4&lt;&gt;DATE(2025,7,4)), (SWITCH(weekday(Y$4), 1, 0, 2, if(ISBLANK('2025'!$P179), 0, 1), 3, if(ISBLANK('2025'!$Q179), 0, 1), 4, if(ISBLANK('2025'!$R179), 0, 1), 5, if(ISBLANK('2025'!$S179), 0, 1), 6, if(ISBLANK('2025'!$T179), 0, 1), 7, 0))), 1, "")</f>
        <v/>
      </c>
      <c r="Z181" s="1" t="str">
        <f>IF(AND(AND(AND(Z$4&gt;='2025'!$L179,Z$4&lt;='2025'!$M179), Z$4&lt;&gt;DATE(2025,7,4)), (SWITCH(weekday(Z$4), 1, 0, 2, if(ISBLANK('2025'!$P179), 0, 1), 3, if(ISBLANK('2025'!$Q179), 0, 1), 4, if(ISBLANK('2025'!$R179), 0, 1), 5, if(ISBLANK('2025'!$S179), 0, 1), 6, if(ISBLANK('2025'!$T179), 0, 1), 7, 0))), 1, "")</f>
        <v/>
      </c>
      <c r="AA181" s="1" t="str">
        <f>IF(AND(AND(AND(AA$4&gt;='2025'!$L179,AA$4&lt;='2025'!$M179), AA$4&lt;&gt;DATE(2025,7,4)), (SWITCH(weekday(AA$4), 1, 0, 2, if(ISBLANK('2025'!$P179), 0, 1), 3, if(ISBLANK('2025'!$Q179), 0, 1), 4, if(ISBLANK('2025'!$R179), 0, 1), 5, if(ISBLANK('2025'!$S179), 0, 1), 6, if(ISBLANK('2025'!$T179), 0, 1), 7, 0))), 1, "")</f>
        <v/>
      </c>
      <c r="AB181" s="1" t="str">
        <f>IF(AND(AND(AND(AB$4&gt;='2025'!$L179,AB$4&lt;='2025'!$M179), AB$4&lt;&gt;DATE(2025,7,4)), (SWITCH(weekday(AB$4), 1, 0, 2, if(ISBLANK('2025'!$P179), 0, 1), 3, if(ISBLANK('2025'!$Q179), 0, 1), 4, if(ISBLANK('2025'!$R179), 0, 1), 5, if(ISBLANK('2025'!$S179), 0, 1), 6, if(ISBLANK('2025'!$T179), 0, 1), 7, 0))), 1, "")</f>
        <v/>
      </c>
      <c r="AC181" s="1" t="str">
        <f>IF(AND(AND(AND(AC$4&gt;='2025'!$L179,AC$4&lt;='2025'!$M179), AC$4&lt;&gt;DATE(2025,7,4)), (SWITCH(weekday(AC$4), 1, 0, 2, if(ISBLANK('2025'!$P179), 0, 1), 3, if(ISBLANK('2025'!$Q179), 0, 1), 4, if(ISBLANK('2025'!$R179), 0, 1), 5, if(ISBLANK('2025'!$S179), 0, 1), 6, if(ISBLANK('2025'!$T179), 0, 1), 7, 0))), 1, "")</f>
        <v/>
      </c>
      <c r="AD181" s="1" t="str">
        <f>IF(AND(AND(AND(AD$4&gt;='2025'!$L179,AD$4&lt;='2025'!$M179), AD$4&lt;&gt;DATE(2025,7,4)), (SWITCH(weekday(AD$4), 1, 0, 2, if(ISBLANK('2025'!$P179), 0, 1), 3, if(ISBLANK('2025'!$Q179), 0, 1), 4, if(ISBLANK('2025'!$R179), 0, 1), 5, if(ISBLANK('2025'!$S179), 0, 1), 6, if(ISBLANK('2025'!$T179), 0, 1), 7, 0))), 1, "")</f>
        <v/>
      </c>
      <c r="AE181" s="1" t="str">
        <f>IF(AND(AND(AND(AE$4&gt;='2025'!$L179,AE$4&lt;='2025'!$M179), AE$4&lt;&gt;DATE(2025,7,4)), (SWITCH(weekday(AE$4), 1, 0, 2, if(ISBLANK('2025'!$P179), 0, 1), 3, if(ISBLANK('2025'!$Q179), 0, 1), 4, if(ISBLANK('2025'!$R179), 0, 1), 5, if(ISBLANK('2025'!$S179), 0, 1), 6, if(ISBLANK('2025'!$T179), 0, 1), 7, 0))), 1, "")</f>
        <v/>
      </c>
      <c r="AF181" s="1" t="str">
        <f>IF(AND(AND(AND(AF$4&gt;='2025'!$L179,AF$4&lt;='2025'!$M179), AF$4&lt;&gt;DATE(2025,7,4)), (SWITCH(weekday(AF$4), 1, 0, 2, if(ISBLANK('2025'!$P179), 0, 1), 3, if(ISBLANK('2025'!$Q179), 0, 1), 4, if(ISBLANK('2025'!$R179), 0, 1), 5, if(ISBLANK('2025'!$S179), 0, 1), 6, if(ISBLANK('2025'!$T179), 0, 1), 7, 0))), 1, "")</f>
        <v/>
      </c>
      <c r="AG181" s="1" t="str">
        <f>IF(AND(AND(AND(AG$4&gt;='2025'!$L179,AG$4&lt;='2025'!$M179), AG$4&lt;&gt;DATE(2025,7,4)), (SWITCH(weekday(AG$4), 1, 0, 2, if(ISBLANK('2025'!$P179), 0, 1), 3, if(ISBLANK('2025'!$Q179), 0, 1), 4, if(ISBLANK('2025'!$R179), 0, 1), 5, if(ISBLANK('2025'!$S179), 0, 1), 6, if(ISBLANK('2025'!$T179), 0, 1), 7, 0))), 1, "")</f>
        <v/>
      </c>
      <c r="AH181" s="1" t="str">
        <f>IF(AND(AND(AND(AH$4&gt;='2025'!$L179,AH$4&lt;='2025'!$M179), AH$4&lt;&gt;DATE(2025,7,4)), (SWITCH(weekday(AH$4), 1, 0, 2, if(ISBLANK('2025'!$P179), 0, 1), 3, if(ISBLANK('2025'!$Q179), 0, 1), 4, if(ISBLANK('2025'!$R179), 0, 1), 5, if(ISBLANK('2025'!$S179), 0, 1), 6, if(ISBLANK('2025'!$T179), 0, 1), 7, 0))), 1, "")</f>
        <v/>
      </c>
      <c r="AI181" s="1" t="str">
        <f>IF(AND(AND(AND(AI$4&gt;='2025'!$L179,AI$4&lt;='2025'!$M179), AI$4&lt;&gt;DATE(2025,7,4)), (SWITCH(weekday(AI$4), 1, 0, 2, if(ISBLANK('2025'!$P179), 0, 1), 3, if(ISBLANK('2025'!$Q179), 0, 1), 4, if(ISBLANK('2025'!$R179), 0, 1), 5, if(ISBLANK('2025'!$S179), 0, 1), 6, if(ISBLANK('2025'!$T179), 0, 1), 7, 0))), 1, "")</f>
        <v/>
      </c>
      <c r="AJ181" s="1" t="str">
        <f>IF(AND(AND(AND(AJ$4&gt;='2025'!$L179,AJ$4&lt;='2025'!$M179), AJ$4&lt;&gt;DATE(2025,7,4)), (SWITCH(weekday(AJ$4), 1, 0, 2, if(ISBLANK('2025'!$P179), 0, 1), 3, if(ISBLANK('2025'!$Q179), 0, 1), 4, if(ISBLANK('2025'!$R179), 0, 1), 5, if(ISBLANK('2025'!$S179), 0, 1), 6, if(ISBLANK('2025'!$T179), 0, 1), 7, 0))), 1, "")</f>
        <v/>
      </c>
      <c r="AK181" s="1" t="str">
        <f>IF(AND(AND(AND(AK$4&gt;='2025'!$L179,AK$4&lt;='2025'!$M179), AK$4&lt;&gt;DATE(2025,7,4)), (SWITCH(weekday(AK$4), 1, 0, 2, if(ISBLANK('2025'!$P179), 0, 1), 3, if(ISBLANK('2025'!$Q179), 0, 1), 4, if(ISBLANK('2025'!$R179), 0, 1), 5, if(ISBLANK('2025'!$S179), 0, 1), 6, if(ISBLANK('2025'!$T179), 0, 1), 7, 0))), 1, "")</f>
        <v/>
      </c>
      <c r="AL181" s="1" t="str">
        <f>IF(AND(AND(AND(AL$4&gt;='2025'!$L179,AL$4&lt;='2025'!$M179), AL$4&lt;&gt;DATE(2025,7,4)), (SWITCH(weekday(AL$4), 1, 0, 2, if(ISBLANK('2025'!$P179), 0, 1), 3, if(ISBLANK('2025'!$Q179), 0, 1), 4, if(ISBLANK('2025'!$R179), 0, 1), 5, if(ISBLANK('2025'!$S179), 0, 1), 6, if(ISBLANK('2025'!$T179), 0, 1), 7, 0))), 1, "")</f>
        <v/>
      </c>
      <c r="AM181" s="1" t="str">
        <f>IF(AND(AND(AND(AM$4&gt;='2025'!$L179,AM$4&lt;='2025'!$M179), AM$4&lt;&gt;DATE(2025,7,4)), (SWITCH(weekday(AM$4), 1, 0, 2, if(ISBLANK('2025'!$P179), 0, 1), 3, if(ISBLANK('2025'!$Q179), 0, 1), 4, if(ISBLANK('2025'!$R179), 0, 1), 5, if(ISBLANK('2025'!$S179), 0, 1), 6, if(ISBLANK('2025'!$T179), 0, 1), 7, 0))), 1, "")</f>
        <v/>
      </c>
      <c r="AN181" s="1" t="str">
        <f>IF(AND(AND(AND(AN$4&gt;='2025'!$L179,AN$4&lt;='2025'!$M179), AN$4&lt;&gt;DATE(2025,7,4)), (SWITCH(weekday(AN$4), 1, 0, 2, if(ISBLANK('2025'!$P179), 0, 1), 3, if(ISBLANK('2025'!$Q179), 0, 1), 4, if(ISBLANK('2025'!$R179), 0, 1), 5, if(ISBLANK('2025'!$S179), 0, 1), 6, if(ISBLANK('2025'!$T179), 0, 1), 7, 0))), 1, "")</f>
        <v/>
      </c>
      <c r="AO181" s="1" t="str">
        <f>IF(AND(AND(AND(AO$4&gt;='2025'!$L179,AO$4&lt;='2025'!$M179), AO$4&lt;&gt;DATE(2025,7,4)), (SWITCH(weekday(AO$4), 1, 0, 2, if(ISBLANK('2025'!$P179), 0, 1), 3, if(ISBLANK('2025'!$Q179), 0, 1), 4, if(ISBLANK('2025'!$R179), 0, 1), 5, if(ISBLANK('2025'!$S179), 0, 1), 6, if(ISBLANK('2025'!$T179), 0, 1), 7, 0))), 1, "")</f>
        <v/>
      </c>
      <c r="AP181" s="1" t="str">
        <f>IF(AND(AND(AND(AP$4&gt;='2025'!$L179,AP$4&lt;='2025'!$M179), AP$4&lt;&gt;DATE(2025,7,4)), (SWITCH(weekday(AP$4), 1, 0, 2, if(ISBLANK('2025'!$P179), 0, 1), 3, if(ISBLANK('2025'!$Q179), 0, 1), 4, if(ISBLANK('2025'!$R179), 0, 1), 5, if(ISBLANK('2025'!$S179), 0, 1), 6, if(ISBLANK('2025'!$T179), 0, 1), 7, 0))), 1, "")</f>
        <v/>
      </c>
      <c r="AQ181" s="1" t="str">
        <f>IF(AND(AND(AND(AQ$4&gt;='2025'!$L179,AQ$4&lt;='2025'!$M179), AQ$4&lt;&gt;DATE(2025,7,4)), (SWITCH(weekday(AQ$4), 1, 0, 2, if(ISBLANK('2025'!$P179), 0, 1), 3, if(ISBLANK('2025'!$Q179), 0, 1), 4, if(ISBLANK('2025'!$R179), 0, 1), 5, if(ISBLANK('2025'!$S179), 0, 1), 6, if(ISBLANK('2025'!$T179), 0, 1), 7, 0))), 1, "")</f>
        <v/>
      </c>
      <c r="AR181" s="1" t="str">
        <f>IF(AND(AND(AND(AR$4&gt;='2025'!$L179,AR$4&lt;='2025'!$M179), AR$4&lt;&gt;DATE(2025,7,4)), (SWITCH(weekday(AR$4), 1, 0, 2, if(ISBLANK('2025'!$P179), 0, 1), 3, if(ISBLANK('2025'!$Q179), 0, 1), 4, if(ISBLANK('2025'!$R179), 0, 1), 5, if(ISBLANK('2025'!$S179), 0, 1), 6, if(ISBLANK('2025'!$T179), 0, 1), 7, 0))), 1, "")</f>
        <v/>
      </c>
      <c r="AS181" s="1" t="str">
        <f>IF(AND(AND(AND(AS$4&gt;='2025'!$L179,AS$4&lt;='2025'!$M179), AS$4&lt;&gt;DATE(2025,7,4)), (SWITCH(weekday(AS$4), 1, 0, 2, if(ISBLANK('2025'!$P179), 0, 1), 3, if(ISBLANK('2025'!$Q179), 0, 1), 4, if(ISBLANK('2025'!$R179), 0, 1), 5, if(ISBLANK('2025'!$S179), 0, 1), 6, if(ISBLANK('2025'!$T179), 0, 1), 7, 0))), 1, "")</f>
        <v/>
      </c>
      <c r="AT181" s="1" t="str">
        <f>IF(AND(AND(AND(AT$4&gt;='2025'!$L179,AT$4&lt;='2025'!$M179), AT$4&lt;&gt;DATE(2025,7,4)), (SWITCH(weekday(AT$4), 1, 0, 2, if(ISBLANK('2025'!$P179), 0, 1), 3, if(ISBLANK('2025'!$Q179), 0, 1), 4, if(ISBLANK('2025'!$R179), 0, 1), 5, if(ISBLANK('2025'!$S179), 0, 1), 6, if(ISBLANK('2025'!$T179), 0, 1), 7, 0))), 1, "")</f>
        <v/>
      </c>
      <c r="AU181" s="1" t="str">
        <f>IF(AND(AND(AND(AU$4&gt;='2025'!$L179,AU$4&lt;='2025'!$M179), AU$4&lt;&gt;DATE(2025,7,4)), (SWITCH(weekday(AU$4), 1, 0, 2, if(ISBLANK('2025'!$P179), 0, 1), 3, if(ISBLANK('2025'!$Q179), 0, 1), 4, if(ISBLANK('2025'!$R179), 0, 1), 5, if(ISBLANK('2025'!$S179), 0, 1), 6, if(ISBLANK('2025'!$T179), 0, 1), 7, 0))), 1, "")</f>
        <v/>
      </c>
      <c r="AV181" s="1" t="str">
        <f>IF(AND(AND(AND(AV$4&gt;='2025'!$L179,AV$4&lt;='2025'!$M179), AV$4&lt;&gt;DATE(2025,7,4)), (SWITCH(weekday(AV$4), 1, 0, 2, if(ISBLANK('2025'!$P179), 0, 1), 3, if(ISBLANK('2025'!$Q179), 0, 1), 4, if(ISBLANK('2025'!$R179), 0, 1), 5, if(ISBLANK('2025'!$S179), 0, 1), 6, if(ISBLANK('2025'!$T179), 0, 1), 7, 0))), 1, "")</f>
        <v/>
      </c>
      <c r="AW181" s="1" t="str">
        <f>IF(AND(AND(AND(AW$4&gt;='2025'!$L179,AW$4&lt;='2025'!$M179), AW$4&lt;&gt;DATE(2025,7,4)), (SWITCH(weekday(AW$4), 1, 0, 2, if(ISBLANK('2025'!$P179), 0, 1), 3, if(ISBLANK('2025'!$Q179), 0, 1), 4, if(ISBLANK('2025'!$R179), 0, 1), 5, if(ISBLANK('2025'!$S179), 0, 1), 6, if(ISBLANK('2025'!$T179), 0, 1), 7, 0))), 1, "")</f>
        <v/>
      </c>
      <c r="AX181" s="1" t="str">
        <f>IF(AND(AND(AND(AX$4&gt;='2025'!$L179,AX$4&lt;='2025'!$M179), AX$4&lt;&gt;DATE(2025,7,4)), (SWITCH(weekday(AX$4), 1, 0, 2, if(ISBLANK('2025'!$P179), 0, 1), 3, if(ISBLANK('2025'!$Q179), 0, 1), 4, if(ISBLANK('2025'!$R179), 0, 1), 5, if(ISBLANK('2025'!$S179), 0, 1), 6, if(ISBLANK('2025'!$T179), 0, 1), 7, 0))), 1, "")</f>
        <v/>
      </c>
      <c r="AY181" s="1" t="str">
        <f>IF(AND(AND(AND(AY$4&gt;='2025'!$L179,AY$4&lt;='2025'!$M179), AY$4&lt;&gt;DATE(2025,7,4)), (SWITCH(weekday(AY$4), 1, 0, 2, if(ISBLANK('2025'!$P179), 0, 1), 3, if(ISBLANK('2025'!$Q179), 0, 1), 4, if(ISBLANK('2025'!$R179), 0, 1), 5, if(ISBLANK('2025'!$S179), 0, 1), 6, if(ISBLANK('2025'!$T179), 0, 1), 7, 0))), 1, "")</f>
        <v/>
      </c>
      <c r="AZ181" s="1" t="str">
        <f>IF(AND(AND(AND(AZ$4&gt;='2025'!$L179,AZ$4&lt;='2025'!$M179), AZ$4&lt;&gt;DATE(2025,7,4)), (SWITCH(weekday(AZ$4), 1, 0, 2, if(ISBLANK('2025'!$P179), 0, 1), 3, if(ISBLANK('2025'!$Q179), 0, 1), 4, if(ISBLANK('2025'!$R179), 0, 1), 5, if(ISBLANK('2025'!$S179), 0, 1), 6, if(ISBLANK('2025'!$T179), 0, 1), 7, 0))), 1, "")</f>
        <v/>
      </c>
      <c r="BA181" s="1" t="str">
        <f>IF(AND(AND(AND(BA$4&gt;='2025'!$L179,BA$4&lt;='2025'!$M179), BA$4&lt;&gt;DATE(2025,7,4)), (SWITCH(weekday(BA$4), 1, 0, 2, if(ISBLANK('2025'!$P179), 0, 1), 3, if(ISBLANK('2025'!$Q179), 0, 1), 4, if(ISBLANK('2025'!$R179), 0, 1), 5, if(ISBLANK('2025'!$S179), 0, 1), 6, if(ISBLANK('2025'!$T179), 0, 1), 7, 0))), 1, "")</f>
        <v/>
      </c>
      <c r="BB181" s="1" t="str">
        <f>IF(AND(AND(AND(BB$4&gt;='2025'!$L179,BB$4&lt;='2025'!$M179), BB$4&lt;&gt;DATE(2025,7,4)), (SWITCH(weekday(BB$4), 1, 0, 2, if(ISBLANK('2025'!$P179), 0, 1), 3, if(ISBLANK('2025'!$Q179), 0, 1), 4, if(ISBLANK('2025'!$R179), 0, 1), 5, if(ISBLANK('2025'!$S179), 0, 1), 6, if(ISBLANK('2025'!$T179), 0, 1), 7, 0))), 1, "")</f>
        <v/>
      </c>
      <c r="BC181" s="1" t="str">
        <f>IF(AND(AND(AND(BC$4&gt;='2025'!$L179,BC$4&lt;='2025'!$M179), BC$4&lt;&gt;DATE(2025,7,4)), (SWITCH(weekday(BC$4), 1, 0, 2, if(ISBLANK('2025'!$P179), 0, 1), 3, if(ISBLANK('2025'!$Q179), 0, 1), 4, if(ISBLANK('2025'!$R179), 0, 1), 5, if(ISBLANK('2025'!$S179), 0, 1), 6, if(ISBLANK('2025'!$T179), 0, 1), 7, 0))), 1, "")</f>
        <v/>
      </c>
      <c r="BD181" s="1" t="str">
        <f>IF(AND(AND(AND(BD$4&gt;='2025'!$L179,BD$4&lt;='2025'!$M179), BD$4&lt;&gt;DATE(2025,7,4)), (SWITCH(weekday(BD$4), 1, 0, 2, if(ISBLANK('2025'!$P179), 0, 1), 3, if(ISBLANK('2025'!$Q179), 0, 1), 4, if(ISBLANK('2025'!$R179), 0, 1), 5, if(ISBLANK('2025'!$S179), 0, 1), 6, if(ISBLANK('2025'!$T179), 0, 1), 7, 0))), 1, "")</f>
        <v/>
      </c>
      <c r="BE181" s="1" t="str">
        <f>IF(AND(AND(AND(BE$4&gt;='2025'!$L179,BE$4&lt;='2025'!$M179), BE$4&lt;&gt;DATE(2025,7,4)), (SWITCH(weekday(BE$4), 1, 0, 2, if(ISBLANK('2025'!$P179), 0, 1), 3, if(ISBLANK('2025'!$Q179), 0, 1), 4, if(ISBLANK('2025'!$R179), 0, 1), 5, if(ISBLANK('2025'!$S179), 0, 1), 6, if(ISBLANK('2025'!$T179), 0, 1), 7, 0))), 1, "")</f>
        <v/>
      </c>
      <c r="BF181" s="1" t="str">
        <f>IF(AND(AND(AND(BF$4&gt;='2025'!$L179,BF$4&lt;='2025'!$M179), BF$4&lt;&gt;DATE(2025,7,4)), (SWITCH(weekday(BF$4), 1, 0, 2, if(ISBLANK('2025'!$P179), 0, 1), 3, if(ISBLANK('2025'!$Q179), 0, 1), 4, if(ISBLANK('2025'!$R179), 0, 1), 5, if(ISBLANK('2025'!$S179), 0, 1), 6, if(ISBLANK('2025'!$T179), 0, 1), 7, 0))), 1, "")</f>
        <v/>
      </c>
      <c r="BG181" s="1"/>
      <c r="BH181" s="1"/>
      <c r="BI181" s="1"/>
      <c r="BJ181" s="1"/>
      <c r="BK181" s="1"/>
      <c r="BL181" s="1"/>
    </row>
    <row r="182">
      <c r="A182" s="1">
        <f t="shared" si="3"/>
        <v>182</v>
      </c>
      <c r="B182" s="1" t="str">
        <f>'2025'!D146</f>
        <v>, </v>
      </c>
      <c r="C182" s="1" t="str">
        <f>'2025'!H146</f>
        <v/>
      </c>
      <c r="D182" s="1" t="str">
        <f>IF(AND(AND(AND(D$4&gt;='2025'!$L180,D$4&lt;='2025'!$M180), D$4&lt;&gt;DATE(2025,7,4)), (SWITCH(weekday(D$4), 1, 0, 2, if(ISBLANK('2025'!$P180), 0, 1), 3, if(ISBLANK('2025'!$Q180), 0, 1), 4, if(ISBLANK('2025'!$R180), 0, 1), 5, if(ISBLANK('2025'!$S180), 0, 1), 6, if(ISBLANK('2025'!$T180), 0, 1), 7, 0))), 1, "")</f>
        <v/>
      </c>
      <c r="E182" s="1" t="str">
        <f>IF(AND(AND(AND(E$4&gt;='2025'!$L180,E$4&lt;='2025'!$M180), E$4&lt;&gt;DATE(2025,7,4)), (SWITCH(weekday(E$4), 1, 0, 2, if(ISBLANK('2025'!$P180), 0, 1), 3, if(ISBLANK('2025'!$Q180), 0, 1), 4, if(ISBLANK('2025'!$R180), 0, 1), 5, if(ISBLANK('2025'!$S180), 0, 1), 6, if(ISBLANK('2025'!$T180), 0, 1), 7, 0))), 1, "")</f>
        <v/>
      </c>
      <c r="F182" s="1" t="str">
        <f>IF(AND(AND(AND(F$4&gt;='2025'!$L180,F$4&lt;='2025'!$M180), F$4&lt;&gt;DATE(2025,7,4)), (SWITCH(weekday(F$4), 1, 0, 2, if(ISBLANK('2025'!$P180), 0, 1), 3, if(ISBLANK('2025'!$Q180), 0, 1), 4, if(ISBLANK('2025'!$R180), 0, 1), 5, if(ISBLANK('2025'!$S180), 0, 1), 6, if(ISBLANK('2025'!$T180), 0, 1), 7, 0))), 1, "")</f>
        <v/>
      </c>
      <c r="G182" s="1" t="str">
        <f>IF(AND(AND(AND(G$4&gt;='2025'!$L180,G$4&lt;='2025'!$M180), G$4&lt;&gt;DATE(2025,7,4)), (SWITCH(weekday(G$4), 1, 0, 2, if(ISBLANK('2025'!$P180), 0, 1), 3, if(ISBLANK('2025'!$Q180), 0, 1), 4, if(ISBLANK('2025'!$R180), 0, 1), 5, if(ISBLANK('2025'!$S180), 0, 1), 6, if(ISBLANK('2025'!$T180), 0, 1), 7, 0))), 1, "")</f>
        <v/>
      </c>
      <c r="H182" s="1" t="str">
        <f>IF(AND(AND(AND(H$4&gt;='2025'!$L180,H$4&lt;='2025'!$M180), H$4&lt;&gt;DATE(2025,7,4)), (SWITCH(weekday(H$4), 1, 0, 2, if(ISBLANK('2025'!$P180), 0, 1), 3, if(ISBLANK('2025'!$Q180), 0, 1), 4, if(ISBLANK('2025'!$R180), 0, 1), 5, if(ISBLANK('2025'!$S180), 0, 1), 6, if(ISBLANK('2025'!$T180), 0, 1), 7, 0))), 1, "")</f>
        <v/>
      </c>
      <c r="I182" s="1" t="str">
        <f>IF(AND(AND(AND(I$4&gt;='2025'!$L180,I$4&lt;='2025'!$M180), I$4&lt;&gt;DATE(2025,7,4)), (SWITCH(weekday(I$4), 1, 0, 2, if(ISBLANK('2025'!$P180), 0, 1), 3, if(ISBLANK('2025'!$Q180), 0, 1), 4, if(ISBLANK('2025'!$R180), 0, 1), 5, if(ISBLANK('2025'!$S180), 0, 1), 6, if(ISBLANK('2025'!$T180), 0, 1), 7, 0))), 1, "")</f>
        <v/>
      </c>
      <c r="J182" s="1" t="str">
        <f>IF(AND(AND(AND(J$4&gt;='2025'!$L180,J$4&lt;='2025'!$M180), J$4&lt;&gt;DATE(2025,7,4)), (SWITCH(weekday(J$4), 1, 0, 2, if(ISBLANK('2025'!$P180), 0, 1), 3, if(ISBLANK('2025'!$Q180), 0, 1), 4, if(ISBLANK('2025'!$R180), 0, 1), 5, if(ISBLANK('2025'!$S180), 0, 1), 6, if(ISBLANK('2025'!$T180), 0, 1), 7, 0))), 1, "")</f>
        <v/>
      </c>
      <c r="K182" s="1" t="str">
        <f>IF(AND(AND(AND(K$4&gt;='2025'!$L180,K$4&lt;='2025'!$M180), K$4&lt;&gt;DATE(2025,7,4)), (SWITCH(weekday(K$4), 1, 0, 2, if(ISBLANK('2025'!$P180), 0, 1), 3, if(ISBLANK('2025'!$Q180), 0, 1), 4, if(ISBLANK('2025'!$R180), 0, 1), 5, if(ISBLANK('2025'!$S180), 0, 1), 6, if(ISBLANK('2025'!$T180), 0, 1), 7, 0))), 1, "")</f>
        <v/>
      </c>
      <c r="L182" s="1" t="str">
        <f>IF(AND(AND(AND(L$4&gt;='2025'!$L180,L$4&lt;='2025'!$M180), L$4&lt;&gt;DATE(2025,7,4)), (SWITCH(weekday(L$4), 1, 0, 2, if(ISBLANK('2025'!$P180), 0, 1), 3, if(ISBLANK('2025'!$Q180), 0, 1), 4, if(ISBLANK('2025'!$R180), 0, 1), 5, if(ISBLANK('2025'!$S180), 0, 1), 6, if(ISBLANK('2025'!$T180), 0, 1), 7, 0))), 1, "")</f>
        <v/>
      </c>
      <c r="M182" s="1" t="str">
        <f>IF(AND(AND(AND(M$4&gt;='2025'!$L180,M$4&lt;='2025'!$M180), M$4&lt;&gt;DATE(2025,7,4)), (SWITCH(weekday(M$4), 1, 0, 2, if(ISBLANK('2025'!$P180), 0, 1), 3, if(ISBLANK('2025'!$Q180), 0, 1), 4, if(ISBLANK('2025'!$R180), 0, 1), 5, if(ISBLANK('2025'!$S180), 0, 1), 6, if(ISBLANK('2025'!$T180), 0, 1), 7, 0))), 1, "")</f>
        <v/>
      </c>
      <c r="N182" s="1" t="str">
        <f>IF(AND(AND(AND(N$4&gt;='2025'!$L180,N$4&lt;='2025'!$M180), N$4&lt;&gt;DATE(2025,7,4)), (SWITCH(weekday(N$4), 1, 0, 2, if(ISBLANK('2025'!$P180), 0, 1), 3, if(ISBLANK('2025'!$Q180), 0, 1), 4, if(ISBLANK('2025'!$R180), 0, 1), 5, if(ISBLANK('2025'!$S180), 0, 1), 6, if(ISBLANK('2025'!$T180), 0, 1), 7, 0))), 1, "")</f>
        <v/>
      </c>
      <c r="O182" s="1" t="str">
        <f>IF(AND(AND(AND(O$4&gt;='2025'!$L180,O$4&lt;='2025'!$M180), O$4&lt;&gt;DATE(2025,7,4)), (SWITCH(weekday(O$4), 1, 0, 2, if(ISBLANK('2025'!$P180), 0, 1), 3, if(ISBLANK('2025'!$Q180), 0, 1), 4, if(ISBLANK('2025'!$R180), 0, 1), 5, if(ISBLANK('2025'!$S180), 0, 1), 6, if(ISBLANK('2025'!$T180), 0, 1), 7, 0))), 1, "")</f>
        <v/>
      </c>
      <c r="P182" s="1" t="str">
        <f>IF(AND(AND(AND(P$4&gt;='2025'!$L180,P$4&lt;='2025'!$M180), P$4&lt;&gt;DATE(2025,7,4)), (SWITCH(weekday(P$4), 1, 0, 2, if(ISBLANK('2025'!$P180), 0, 1), 3, if(ISBLANK('2025'!$Q180), 0, 1), 4, if(ISBLANK('2025'!$R180), 0, 1), 5, if(ISBLANK('2025'!$S180), 0, 1), 6, if(ISBLANK('2025'!$T180), 0, 1), 7, 0))), 1, "")</f>
        <v/>
      </c>
      <c r="Q182" s="1" t="str">
        <f>IF(AND(AND(AND(Q$4&gt;='2025'!$L180,Q$4&lt;='2025'!$M180), Q$4&lt;&gt;DATE(2025,7,4)), (SWITCH(weekday(Q$4), 1, 0, 2, if(ISBLANK('2025'!$P180), 0, 1), 3, if(ISBLANK('2025'!$Q180), 0, 1), 4, if(ISBLANK('2025'!$R180), 0, 1), 5, if(ISBLANK('2025'!$S180), 0, 1), 6, if(ISBLANK('2025'!$T180), 0, 1), 7, 0))), 1, "")</f>
        <v/>
      </c>
      <c r="R182" s="1" t="str">
        <f>IF(AND(AND(AND(R$4&gt;='2025'!$L180,R$4&lt;='2025'!$M180), R$4&lt;&gt;DATE(2025,7,4)), (SWITCH(weekday(R$4), 1, 0, 2, if(ISBLANK('2025'!$P180), 0, 1), 3, if(ISBLANK('2025'!$Q180), 0, 1), 4, if(ISBLANK('2025'!$R180), 0, 1), 5, if(ISBLANK('2025'!$S180), 0, 1), 6, if(ISBLANK('2025'!$T180), 0, 1), 7, 0))), 1, "")</f>
        <v/>
      </c>
      <c r="S182" s="1" t="str">
        <f>IF(AND(AND(AND(S$4&gt;='2025'!$L180,S$4&lt;='2025'!$M180), S$4&lt;&gt;DATE(2025,7,4)), (SWITCH(weekday(S$4), 1, 0, 2, if(ISBLANK('2025'!$P180), 0, 1), 3, if(ISBLANK('2025'!$Q180), 0, 1), 4, if(ISBLANK('2025'!$R180), 0, 1), 5, if(ISBLANK('2025'!$S180), 0, 1), 6, if(ISBLANK('2025'!$T180), 0, 1), 7, 0))), 1, "")</f>
        <v/>
      </c>
      <c r="T182" s="1" t="str">
        <f>IF(AND(AND(AND(T$4&gt;='2025'!$L180,T$4&lt;='2025'!$M180), T$4&lt;&gt;DATE(2025,7,4)), (SWITCH(weekday(T$4), 1, 0, 2, if(ISBLANK('2025'!$P180), 0, 1), 3, if(ISBLANK('2025'!$Q180), 0, 1), 4, if(ISBLANK('2025'!$R180), 0, 1), 5, if(ISBLANK('2025'!$S180), 0, 1), 6, if(ISBLANK('2025'!$T180), 0, 1), 7, 0))), 1, "")</f>
        <v/>
      </c>
      <c r="U182" s="1" t="str">
        <f>IF(AND(AND(AND(U$4&gt;='2025'!$L180,U$4&lt;='2025'!$M180), U$4&lt;&gt;DATE(2025,7,4)), (SWITCH(weekday(U$4), 1, 0, 2, if(ISBLANK('2025'!$P180), 0, 1), 3, if(ISBLANK('2025'!$Q180), 0, 1), 4, if(ISBLANK('2025'!$R180), 0, 1), 5, if(ISBLANK('2025'!$S180), 0, 1), 6, if(ISBLANK('2025'!$T180), 0, 1), 7, 0))), 1, "")</f>
        <v/>
      </c>
      <c r="V182" s="1" t="str">
        <f>IF(AND(AND(AND(V$4&gt;='2025'!$L180,V$4&lt;='2025'!$M180), V$4&lt;&gt;DATE(2025,7,4)), (SWITCH(weekday(V$4), 1, 0, 2, if(ISBLANK('2025'!$P180), 0, 1), 3, if(ISBLANK('2025'!$Q180), 0, 1), 4, if(ISBLANK('2025'!$R180), 0, 1), 5, if(ISBLANK('2025'!$S180), 0, 1), 6, if(ISBLANK('2025'!$T180), 0, 1), 7, 0))), 1, "")</f>
        <v/>
      </c>
      <c r="W182" s="1" t="str">
        <f>IF(AND(AND(AND(W$4&gt;='2025'!$L180,W$4&lt;='2025'!$M180), W$4&lt;&gt;DATE(2025,7,4)), (SWITCH(weekday(W$4), 1, 0, 2, if(ISBLANK('2025'!$P180), 0, 1), 3, if(ISBLANK('2025'!$Q180), 0, 1), 4, if(ISBLANK('2025'!$R180), 0, 1), 5, if(ISBLANK('2025'!$S180), 0, 1), 6, if(ISBLANK('2025'!$T180), 0, 1), 7, 0))), 1, "")</f>
        <v/>
      </c>
      <c r="X182" s="1" t="str">
        <f>IF(AND(AND(AND(X$4&gt;='2025'!$L180,X$4&lt;='2025'!$M180), X$4&lt;&gt;DATE(2025,7,4)), (SWITCH(weekday(X$4), 1, 0, 2, if(ISBLANK('2025'!$P180), 0, 1), 3, if(ISBLANK('2025'!$Q180), 0, 1), 4, if(ISBLANK('2025'!$R180), 0, 1), 5, if(ISBLANK('2025'!$S180), 0, 1), 6, if(ISBLANK('2025'!$T180), 0, 1), 7, 0))), 1, "")</f>
        <v/>
      </c>
      <c r="Y182" s="1" t="str">
        <f>IF(AND(AND(AND(Y$4&gt;='2025'!$L180,Y$4&lt;='2025'!$M180), Y$4&lt;&gt;DATE(2025,7,4)), (SWITCH(weekday(Y$4), 1, 0, 2, if(ISBLANK('2025'!$P180), 0, 1), 3, if(ISBLANK('2025'!$Q180), 0, 1), 4, if(ISBLANK('2025'!$R180), 0, 1), 5, if(ISBLANK('2025'!$S180), 0, 1), 6, if(ISBLANK('2025'!$T180), 0, 1), 7, 0))), 1, "")</f>
        <v/>
      </c>
      <c r="Z182" s="1" t="str">
        <f>IF(AND(AND(AND(Z$4&gt;='2025'!$L180,Z$4&lt;='2025'!$M180), Z$4&lt;&gt;DATE(2025,7,4)), (SWITCH(weekday(Z$4), 1, 0, 2, if(ISBLANK('2025'!$P180), 0, 1), 3, if(ISBLANK('2025'!$Q180), 0, 1), 4, if(ISBLANK('2025'!$R180), 0, 1), 5, if(ISBLANK('2025'!$S180), 0, 1), 6, if(ISBLANK('2025'!$T180), 0, 1), 7, 0))), 1, "")</f>
        <v/>
      </c>
      <c r="AA182" s="1" t="str">
        <f>IF(AND(AND(AND(AA$4&gt;='2025'!$L180,AA$4&lt;='2025'!$M180), AA$4&lt;&gt;DATE(2025,7,4)), (SWITCH(weekday(AA$4), 1, 0, 2, if(ISBLANK('2025'!$P180), 0, 1), 3, if(ISBLANK('2025'!$Q180), 0, 1), 4, if(ISBLANK('2025'!$R180), 0, 1), 5, if(ISBLANK('2025'!$S180), 0, 1), 6, if(ISBLANK('2025'!$T180), 0, 1), 7, 0))), 1, "")</f>
        <v/>
      </c>
      <c r="AB182" s="1" t="str">
        <f>IF(AND(AND(AND(AB$4&gt;='2025'!$L180,AB$4&lt;='2025'!$M180), AB$4&lt;&gt;DATE(2025,7,4)), (SWITCH(weekday(AB$4), 1, 0, 2, if(ISBLANK('2025'!$P180), 0, 1), 3, if(ISBLANK('2025'!$Q180), 0, 1), 4, if(ISBLANK('2025'!$R180), 0, 1), 5, if(ISBLANK('2025'!$S180), 0, 1), 6, if(ISBLANK('2025'!$T180), 0, 1), 7, 0))), 1, "")</f>
        <v/>
      </c>
      <c r="AC182" s="1" t="str">
        <f>IF(AND(AND(AND(AC$4&gt;='2025'!$L180,AC$4&lt;='2025'!$M180), AC$4&lt;&gt;DATE(2025,7,4)), (SWITCH(weekday(AC$4), 1, 0, 2, if(ISBLANK('2025'!$P180), 0, 1), 3, if(ISBLANK('2025'!$Q180), 0, 1), 4, if(ISBLANK('2025'!$R180), 0, 1), 5, if(ISBLANK('2025'!$S180), 0, 1), 6, if(ISBLANK('2025'!$T180), 0, 1), 7, 0))), 1, "")</f>
        <v/>
      </c>
      <c r="AD182" s="1" t="str">
        <f>IF(AND(AND(AND(AD$4&gt;='2025'!$L180,AD$4&lt;='2025'!$M180), AD$4&lt;&gt;DATE(2025,7,4)), (SWITCH(weekday(AD$4), 1, 0, 2, if(ISBLANK('2025'!$P180), 0, 1), 3, if(ISBLANK('2025'!$Q180), 0, 1), 4, if(ISBLANK('2025'!$R180), 0, 1), 5, if(ISBLANK('2025'!$S180), 0, 1), 6, if(ISBLANK('2025'!$T180), 0, 1), 7, 0))), 1, "")</f>
        <v/>
      </c>
      <c r="AE182" s="1" t="str">
        <f>IF(AND(AND(AND(AE$4&gt;='2025'!$L180,AE$4&lt;='2025'!$M180), AE$4&lt;&gt;DATE(2025,7,4)), (SWITCH(weekday(AE$4), 1, 0, 2, if(ISBLANK('2025'!$P180), 0, 1), 3, if(ISBLANK('2025'!$Q180), 0, 1), 4, if(ISBLANK('2025'!$R180), 0, 1), 5, if(ISBLANK('2025'!$S180), 0, 1), 6, if(ISBLANK('2025'!$T180), 0, 1), 7, 0))), 1, "")</f>
        <v/>
      </c>
      <c r="AF182" s="1" t="str">
        <f>IF(AND(AND(AND(AF$4&gt;='2025'!$L180,AF$4&lt;='2025'!$M180), AF$4&lt;&gt;DATE(2025,7,4)), (SWITCH(weekday(AF$4), 1, 0, 2, if(ISBLANK('2025'!$P180), 0, 1), 3, if(ISBLANK('2025'!$Q180), 0, 1), 4, if(ISBLANK('2025'!$R180), 0, 1), 5, if(ISBLANK('2025'!$S180), 0, 1), 6, if(ISBLANK('2025'!$T180), 0, 1), 7, 0))), 1, "")</f>
        <v/>
      </c>
      <c r="AG182" s="1" t="str">
        <f>IF(AND(AND(AND(AG$4&gt;='2025'!$L180,AG$4&lt;='2025'!$M180), AG$4&lt;&gt;DATE(2025,7,4)), (SWITCH(weekday(AG$4), 1, 0, 2, if(ISBLANK('2025'!$P180), 0, 1), 3, if(ISBLANK('2025'!$Q180), 0, 1), 4, if(ISBLANK('2025'!$R180), 0, 1), 5, if(ISBLANK('2025'!$S180), 0, 1), 6, if(ISBLANK('2025'!$T180), 0, 1), 7, 0))), 1, "")</f>
        <v/>
      </c>
      <c r="AH182" s="1" t="str">
        <f>IF(AND(AND(AND(AH$4&gt;='2025'!$L180,AH$4&lt;='2025'!$M180), AH$4&lt;&gt;DATE(2025,7,4)), (SWITCH(weekday(AH$4), 1, 0, 2, if(ISBLANK('2025'!$P180), 0, 1), 3, if(ISBLANK('2025'!$Q180), 0, 1), 4, if(ISBLANK('2025'!$R180), 0, 1), 5, if(ISBLANK('2025'!$S180), 0, 1), 6, if(ISBLANK('2025'!$T180), 0, 1), 7, 0))), 1, "")</f>
        <v/>
      </c>
      <c r="AI182" s="1" t="str">
        <f>IF(AND(AND(AND(AI$4&gt;='2025'!$L180,AI$4&lt;='2025'!$M180), AI$4&lt;&gt;DATE(2025,7,4)), (SWITCH(weekday(AI$4), 1, 0, 2, if(ISBLANK('2025'!$P180), 0, 1), 3, if(ISBLANK('2025'!$Q180), 0, 1), 4, if(ISBLANK('2025'!$R180), 0, 1), 5, if(ISBLANK('2025'!$S180), 0, 1), 6, if(ISBLANK('2025'!$T180), 0, 1), 7, 0))), 1, "")</f>
        <v/>
      </c>
      <c r="AJ182" s="1" t="str">
        <f>IF(AND(AND(AND(AJ$4&gt;='2025'!$L180,AJ$4&lt;='2025'!$M180), AJ$4&lt;&gt;DATE(2025,7,4)), (SWITCH(weekday(AJ$4), 1, 0, 2, if(ISBLANK('2025'!$P180), 0, 1), 3, if(ISBLANK('2025'!$Q180), 0, 1), 4, if(ISBLANK('2025'!$R180), 0, 1), 5, if(ISBLANK('2025'!$S180), 0, 1), 6, if(ISBLANK('2025'!$T180), 0, 1), 7, 0))), 1, "")</f>
        <v/>
      </c>
      <c r="AK182" s="1" t="str">
        <f>IF(AND(AND(AND(AK$4&gt;='2025'!$L180,AK$4&lt;='2025'!$M180), AK$4&lt;&gt;DATE(2025,7,4)), (SWITCH(weekday(AK$4), 1, 0, 2, if(ISBLANK('2025'!$P180), 0, 1), 3, if(ISBLANK('2025'!$Q180), 0, 1), 4, if(ISBLANK('2025'!$R180), 0, 1), 5, if(ISBLANK('2025'!$S180), 0, 1), 6, if(ISBLANK('2025'!$T180), 0, 1), 7, 0))), 1, "")</f>
        <v/>
      </c>
      <c r="AL182" s="1" t="str">
        <f>IF(AND(AND(AND(AL$4&gt;='2025'!$L180,AL$4&lt;='2025'!$M180), AL$4&lt;&gt;DATE(2025,7,4)), (SWITCH(weekday(AL$4), 1, 0, 2, if(ISBLANK('2025'!$P180), 0, 1), 3, if(ISBLANK('2025'!$Q180), 0, 1), 4, if(ISBLANK('2025'!$R180), 0, 1), 5, if(ISBLANK('2025'!$S180), 0, 1), 6, if(ISBLANK('2025'!$T180), 0, 1), 7, 0))), 1, "")</f>
        <v/>
      </c>
      <c r="AM182" s="1" t="str">
        <f>IF(AND(AND(AND(AM$4&gt;='2025'!$L180,AM$4&lt;='2025'!$M180), AM$4&lt;&gt;DATE(2025,7,4)), (SWITCH(weekday(AM$4), 1, 0, 2, if(ISBLANK('2025'!$P180), 0, 1), 3, if(ISBLANK('2025'!$Q180), 0, 1), 4, if(ISBLANK('2025'!$R180), 0, 1), 5, if(ISBLANK('2025'!$S180), 0, 1), 6, if(ISBLANK('2025'!$T180), 0, 1), 7, 0))), 1, "")</f>
        <v/>
      </c>
      <c r="AN182" s="1" t="str">
        <f>IF(AND(AND(AND(AN$4&gt;='2025'!$L180,AN$4&lt;='2025'!$M180), AN$4&lt;&gt;DATE(2025,7,4)), (SWITCH(weekday(AN$4), 1, 0, 2, if(ISBLANK('2025'!$P180), 0, 1), 3, if(ISBLANK('2025'!$Q180), 0, 1), 4, if(ISBLANK('2025'!$R180), 0, 1), 5, if(ISBLANK('2025'!$S180), 0, 1), 6, if(ISBLANK('2025'!$T180), 0, 1), 7, 0))), 1, "")</f>
        <v/>
      </c>
      <c r="AO182" s="1" t="str">
        <f>IF(AND(AND(AND(AO$4&gt;='2025'!$L180,AO$4&lt;='2025'!$M180), AO$4&lt;&gt;DATE(2025,7,4)), (SWITCH(weekday(AO$4), 1, 0, 2, if(ISBLANK('2025'!$P180), 0, 1), 3, if(ISBLANK('2025'!$Q180), 0, 1), 4, if(ISBLANK('2025'!$R180), 0, 1), 5, if(ISBLANK('2025'!$S180), 0, 1), 6, if(ISBLANK('2025'!$T180), 0, 1), 7, 0))), 1, "")</f>
        <v/>
      </c>
      <c r="AP182" s="1" t="str">
        <f>IF(AND(AND(AND(AP$4&gt;='2025'!$L180,AP$4&lt;='2025'!$M180), AP$4&lt;&gt;DATE(2025,7,4)), (SWITCH(weekday(AP$4), 1, 0, 2, if(ISBLANK('2025'!$P180), 0, 1), 3, if(ISBLANK('2025'!$Q180), 0, 1), 4, if(ISBLANK('2025'!$R180), 0, 1), 5, if(ISBLANK('2025'!$S180), 0, 1), 6, if(ISBLANK('2025'!$T180), 0, 1), 7, 0))), 1, "")</f>
        <v/>
      </c>
      <c r="AQ182" s="1" t="str">
        <f>IF(AND(AND(AND(AQ$4&gt;='2025'!$L180,AQ$4&lt;='2025'!$M180), AQ$4&lt;&gt;DATE(2025,7,4)), (SWITCH(weekday(AQ$4), 1, 0, 2, if(ISBLANK('2025'!$P180), 0, 1), 3, if(ISBLANK('2025'!$Q180), 0, 1), 4, if(ISBLANK('2025'!$R180), 0, 1), 5, if(ISBLANK('2025'!$S180), 0, 1), 6, if(ISBLANK('2025'!$T180), 0, 1), 7, 0))), 1, "")</f>
        <v/>
      </c>
      <c r="AR182" s="1" t="str">
        <f>IF(AND(AND(AND(AR$4&gt;='2025'!$L180,AR$4&lt;='2025'!$M180), AR$4&lt;&gt;DATE(2025,7,4)), (SWITCH(weekday(AR$4), 1, 0, 2, if(ISBLANK('2025'!$P180), 0, 1), 3, if(ISBLANK('2025'!$Q180), 0, 1), 4, if(ISBLANK('2025'!$R180), 0, 1), 5, if(ISBLANK('2025'!$S180), 0, 1), 6, if(ISBLANK('2025'!$T180), 0, 1), 7, 0))), 1, "")</f>
        <v/>
      </c>
      <c r="AS182" s="1" t="str">
        <f>IF(AND(AND(AND(AS$4&gt;='2025'!$L180,AS$4&lt;='2025'!$M180), AS$4&lt;&gt;DATE(2025,7,4)), (SWITCH(weekday(AS$4), 1, 0, 2, if(ISBLANK('2025'!$P180), 0, 1), 3, if(ISBLANK('2025'!$Q180), 0, 1), 4, if(ISBLANK('2025'!$R180), 0, 1), 5, if(ISBLANK('2025'!$S180), 0, 1), 6, if(ISBLANK('2025'!$T180), 0, 1), 7, 0))), 1, "")</f>
        <v/>
      </c>
      <c r="AT182" s="1" t="str">
        <f>IF(AND(AND(AND(AT$4&gt;='2025'!$L180,AT$4&lt;='2025'!$M180), AT$4&lt;&gt;DATE(2025,7,4)), (SWITCH(weekday(AT$4), 1, 0, 2, if(ISBLANK('2025'!$P180), 0, 1), 3, if(ISBLANK('2025'!$Q180), 0, 1), 4, if(ISBLANK('2025'!$R180), 0, 1), 5, if(ISBLANK('2025'!$S180), 0, 1), 6, if(ISBLANK('2025'!$T180), 0, 1), 7, 0))), 1, "")</f>
        <v/>
      </c>
      <c r="AU182" s="1" t="str">
        <f>IF(AND(AND(AND(AU$4&gt;='2025'!$L180,AU$4&lt;='2025'!$M180), AU$4&lt;&gt;DATE(2025,7,4)), (SWITCH(weekday(AU$4), 1, 0, 2, if(ISBLANK('2025'!$P180), 0, 1), 3, if(ISBLANK('2025'!$Q180), 0, 1), 4, if(ISBLANK('2025'!$R180), 0, 1), 5, if(ISBLANK('2025'!$S180), 0, 1), 6, if(ISBLANK('2025'!$T180), 0, 1), 7, 0))), 1, "")</f>
        <v/>
      </c>
      <c r="AV182" s="1" t="str">
        <f>IF(AND(AND(AND(AV$4&gt;='2025'!$L180,AV$4&lt;='2025'!$M180), AV$4&lt;&gt;DATE(2025,7,4)), (SWITCH(weekday(AV$4), 1, 0, 2, if(ISBLANK('2025'!$P180), 0, 1), 3, if(ISBLANK('2025'!$Q180), 0, 1), 4, if(ISBLANK('2025'!$R180), 0, 1), 5, if(ISBLANK('2025'!$S180), 0, 1), 6, if(ISBLANK('2025'!$T180), 0, 1), 7, 0))), 1, "")</f>
        <v/>
      </c>
      <c r="AW182" s="1" t="str">
        <f>IF(AND(AND(AND(AW$4&gt;='2025'!$L180,AW$4&lt;='2025'!$M180), AW$4&lt;&gt;DATE(2025,7,4)), (SWITCH(weekday(AW$4), 1, 0, 2, if(ISBLANK('2025'!$P180), 0, 1), 3, if(ISBLANK('2025'!$Q180), 0, 1), 4, if(ISBLANK('2025'!$R180), 0, 1), 5, if(ISBLANK('2025'!$S180), 0, 1), 6, if(ISBLANK('2025'!$T180), 0, 1), 7, 0))), 1, "")</f>
        <v/>
      </c>
      <c r="AX182" s="1" t="str">
        <f>IF(AND(AND(AND(AX$4&gt;='2025'!$L180,AX$4&lt;='2025'!$M180), AX$4&lt;&gt;DATE(2025,7,4)), (SWITCH(weekday(AX$4), 1, 0, 2, if(ISBLANK('2025'!$P180), 0, 1), 3, if(ISBLANK('2025'!$Q180), 0, 1), 4, if(ISBLANK('2025'!$R180), 0, 1), 5, if(ISBLANK('2025'!$S180), 0, 1), 6, if(ISBLANK('2025'!$T180), 0, 1), 7, 0))), 1, "")</f>
        <v/>
      </c>
      <c r="AY182" s="1" t="str">
        <f>IF(AND(AND(AND(AY$4&gt;='2025'!$L180,AY$4&lt;='2025'!$M180), AY$4&lt;&gt;DATE(2025,7,4)), (SWITCH(weekday(AY$4), 1, 0, 2, if(ISBLANK('2025'!$P180), 0, 1), 3, if(ISBLANK('2025'!$Q180), 0, 1), 4, if(ISBLANK('2025'!$R180), 0, 1), 5, if(ISBLANK('2025'!$S180), 0, 1), 6, if(ISBLANK('2025'!$T180), 0, 1), 7, 0))), 1, "")</f>
        <v/>
      </c>
      <c r="AZ182" s="1" t="str">
        <f>IF(AND(AND(AND(AZ$4&gt;='2025'!$L180,AZ$4&lt;='2025'!$M180), AZ$4&lt;&gt;DATE(2025,7,4)), (SWITCH(weekday(AZ$4), 1, 0, 2, if(ISBLANK('2025'!$P180), 0, 1), 3, if(ISBLANK('2025'!$Q180), 0, 1), 4, if(ISBLANK('2025'!$R180), 0, 1), 5, if(ISBLANK('2025'!$S180), 0, 1), 6, if(ISBLANK('2025'!$T180), 0, 1), 7, 0))), 1, "")</f>
        <v/>
      </c>
      <c r="BA182" s="1" t="str">
        <f>IF(AND(AND(AND(BA$4&gt;='2025'!$L180,BA$4&lt;='2025'!$M180), BA$4&lt;&gt;DATE(2025,7,4)), (SWITCH(weekday(BA$4), 1, 0, 2, if(ISBLANK('2025'!$P180), 0, 1), 3, if(ISBLANK('2025'!$Q180), 0, 1), 4, if(ISBLANK('2025'!$R180), 0, 1), 5, if(ISBLANK('2025'!$S180), 0, 1), 6, if(ISBLANK('2025'!$T180), 0, 1), 7, 0))), 1, "")</f>
        <v/>
      </c>
      <c r="BB182" s="1" t="str">
        <f>IF(AND(AND(AND(BB$4&gt;='2025'!$L180,BB$4&lt;='2025'!$M180), BB$4&lt;&gt;DATE(2025,7,4)), (SWITCH(weekday(BB$4), 1, 0, 2, if(ISBLANK('2025'!$P180), 0, 1), 3, if(ISBLANK('2025'!$Q180), 0, 1), 4, if(ISBLANK('2025'!$R180), 0, 1), 5, if(ISBLANK('2025'!$S180), 0, 1), 6, if(ISBLANK('2025'!$T180), 0, 1), 7, 0))), 1, "")</f>
        <v/>
      </c>
      <c r="BC182" s="1" t="str">
        <f>IF(AND(AND(AND(BC$4&gt;='2025'!$L180,BC$4&lt;='2025'!$M180), BC$4&lt;&gt;DATE(2025,7,4)), (SWITCH(weekday(BC$4), 1, 0, 2, if(ISBLANK('2025'!$P180), 0, 1), 3, if(ISBLANK('2025'!$Q180), 0, 1), 4, if(ISBLANK('2025'!$R180), 0, 1), 5, if(ISBLANK('2025'!$S180), 0, 1), 6, if(ISBLANK('2025'!$T180), 0, 1), 7, 0))), 1, "")</f>
        <v/>
      </c>
      <c r="BD182" s="1" t="str">
        <f>IF(AND(AND(AND(BD$4&gt;='2025'!$L180,BD$4&lt;='2025'!$M180), BD$4&lt;&gt;DATE(2025,7,4)), (SWITCH(weekday(BD$4), 1, 0, 2, if(ISBLANK('2025'!$P180), 0, 1), 3, if(ISBLANK('2025'!$Q180), 0, 1), 4, if(ISBLANK('2025'!$R180), 0, 1), 5, if(ISBLANK('2025'!$S180), 0, 1), 6, if(ISBLANK('2025'!$T180), 0, 1), 7, 0))), 1, "")</f>
        <v/>
      </c>
      <c r="BE182" s="1" t="str">
        <f>IF(AND(AND(AND(BE$4&gt;='2025'!$L180,BE$4&lt;='2025'!$M180), BE$4&lt;&gt;DATE(2025,7,4)), (SWITCH(weekday(BE$4), 1, 0, 2, if(ISBLANK('2025'!$P180), 0, 1), 3, if(ISBLANK('2025'!$Q180), 0, 1), 4, if(ISBLANK('2025'!$R180), 0, 1), 5, if(ISBLANK('2025'!$S180), 0, 1), 6, if(ISBLANK('2025'!$T180), 0, 1), 7, 0))), 1, "")</f>
        <v/>
      </c>
      <c r="BF182" s="1" t="str">
        <f>IF(AND(AND(AND(BF$4&gt;='2025'!$L180,BF$4&lt;='2025'!$M180), BF$4&lt;&gt;DATE(2025,7,4)), (SWITCH(weekday(BF$4), 1, 0, 2, if(ISBLANK('2025'!$P180), 0, 1), 3, if(ISBLANK('2025'!$Q180), 0, 1), 4, if(ISBLANK('2025'!$R180), 0, 1), 5, if(ISBLANK('2025'!$S180), 0, 1), 6, if(ISBLANK('2025'!$T180), 0, 1), 7, 0))), 1, "")</f>
        <v/>
      </c>
      <c r="BG182" s="1"/>
      <c r="BH182" s="1"/>
      <c r="BI182" s="1"/>
      <c r="BJ182" s="1"/>
      <c r="BK182" s="1"/>
      <c r="BL182" s="1"/>
    </row>
    <row r="183">
      <c r="A183" s="1">
        <f t="shared" si="3"/>
        <v>183</v>
      </c>
      <c r="B183" s="1" t="str">
        <f>'2025'!D147</f>
        <v>, </v>
      </c>
      <c r="C183" s="1" t="str">
        <f>'2025'!H147</f>
        <v/>
      </c>
      <c r="D183" s="1" t="str">
        <f>IF(AND(AND(AND(D$4&gt;='2025'!$L181,D$4&lt;='2025'!$M181), D$4&lt;&gt;DATE(2025,7,4)), (SWITCH(weekday(D$4), 1, 0, 2, if(ISBLANK('2025'!$P181), 0, 1), 3, if(ISBLANK('2025'!$Q181), 0, 1), 4, if(ISBLANK('2025'!$R181), 0, 1), 5, if(ISBLANK('2025'!$S181), 0, 1), 6, if(ISBLANK('2025'!$T181), 0, 1), 7, 0))), 1, "")</f>
        <v/>
      </c>
      <c r="E183" s="1" t="str">
        <f>IF(AND(AND(AND(E$4&gt;='2025'!$L181,E$4&lt;='2025'!$M181), E$4&lt;&gt;DATE(2025,7,4)), (SWITCH(weekday(E$4), 1, 0, 2, if(ISBLANK('2025'!$P181), 0, 1), 3, if(ISBLANK('2025'!$Q181), 0, 1), 4, if(ISBLANK('2025'!$R181), 0, 1), 5, if(ISBLANK('2025'!$S181), 0, 1), 6, if(ISBLANK('2025'!$T181), 0, 1), 7, 0))), 1, "")</f>
        <v/>
      </c>
      <c r="F183" s="1" t="str">
        <f>IF(AND(AND(AND(F$4&gt;='2025'!$L181,F$4&lt;='2025'!$M181), F$4&lt;&gt;DATE(2025,7,4)), (SWITCH(weekday(F$4), 1, 0, 2, if(ISBLANK('2025'!$P181), 0, 1), 3, if(ISBLANK('2025'!$Q181), 0, 1), 4, if(ISBLANK('2025'!$R181), 0, 1), 5, if(ISBLANK('2025'!$S181), 0, 1), 6, if(ISBLANK('2025'!$T181), 0, 1), 7, 0))), 1, "")</f>
        <v/>
      </c>
      <c r="G183" s="1" t="str">
        <f>IF(AND(AND(AND(G$4&gt;='2025'!$L181,G$4&lt;='2025'!$M181), G$4&lt;&gt;DATE(2025,7,4)), (SWITCH(weekday(G$4), 1, 0, 2, if(ISBLANK('2025'!$P181), 0, 1), 3, if(ISBLANK('2025'!$Q181), 0, 1), 4, if(ISBLANK('2025'!$R181), 0, 1), 5, if(ISBLANK('2025'!$S181), 0, 1), 6, if(ISBLANK('2025'!$T181), 0, 1), 7, 0))), 1, "")</f>
        <v/>
      </c>
      <c r="H183" s="1" t="str">
        <f>IF(AND(AND(AND(H$4&gt;='2025'!$L181,H$4&lt;='2025'!$M181), H$4&lt;&gt;DATE(2025,7,4)), (SWITCH(weekday(H$4), 1, 0, 2, if(ISBLANK('2025'!$P181), 0, 1), 3, if(ISBLANK('2025'!$Q181), 0, 1), 4, if(ISBLANK('2025'!$R181), 0, 1), 5, if(ISBLANK('2025'!$S181), 0, 1), 6, if(ISBLANK('2025'!$T181), 0, 1), 7, 0))), 1, "")</f>
        <v/>
      </c>
      <c r="I183" s="1" t="str">
        <f>IF(AND(AND(AND(I$4&gt;='2025'!$L181,I$4&lt;='2025'!$M181), I$4&lt;&gt;DATE(2025,7,4)), (SWITCH(weekday(I$4), 1, 0, 2, if(ISBLANK('2025'!$P181), 0, 1), 3, if(ISBLANK('2025'!$Q181), 0, 1), 4, if(ISBLANK('2025'!$R181), 0, 1), 5, if(ISBLANK('2025'!$S181), 0, 1), 6, if(ISBLANK('2025'!$T181), 0, 1), 7, 0))), 1, "")</f>
        <v/>
      </c>
      <c r="J183" s="1" t="str">
        <f>IF(AND(AND(AND(J$4&gt;='2025'!$L181,J$4&lt;='2025'!$M181), J$4&lt;&gt;DATE(2025,7,4)), (SWITCH(weekday(J$4), 1, 0, 2, if(ISBLANK('2025'!$P181), 0, 1), 3, if(ISBLANK('2025'!$Q181), 0, 1), 4, if(ISBLANK('2025'!$R181), 0, 1), 5, if(ISBLANK('2025'!$S181), 0, 1), 6, if(ISBLANK('2025'!$T181), 0, 1), 7, 0))), 1, "")</f>
        <v/>
      </c>
      <c r="K183" s="1" t="str">
        <f>IF(AND(AND(AND(K$4&gt;='2025'!$L181,K$4&lt;='2025'!$M181), K$4&lt;&gt;DATE(2025,7,4)), (SWITCH(weekday(K$4), 1, 0, 2, if(ISBLANK('2025'!$P181), 0, 1), 3, if(ISBLANK('2025'!$Q181), 0, 1), 4, if(ISBLANK('2025'!$R181), 0, 1), 5, if(ISBLANK('2025'!$S181), 0, 1), 6, if(ISBLANK('2025'!$T181), 0, 1), 7, 0))), 1, "")</f>
        <v/>
      </c>
      <c r="L183" s="1" t="str">
        <f>IF(AND(AND(AND(L$4&gt;='2025'!$L181,L$4&lt;='2025'!$M181), L$4&lt;&gt;DATE(2025,7,4)), (SWITCH(weekday(L$4), 1, 0, 2, if(ISBLANK('2025'!$P181), 0, 1), 3, if(ISBLANK('2025'!$Q181), 0, 1), 4, if(ISBLANK('2025'!$R181), 0, 1), 5, if(ISBLANK('2025'!$S181), 0, 1), 6, if(ISBLANK('2025'!$T181), 0, 1), 7, 0))), 1, "")</f>
        <v/>
      </c>
      <c r="M183" s="1" t="str">
        <f>IF(AND(AND(AND(M$4&gt;='2025'!$L181,M$4&lt;='2025'!$M181), M$4&lt;&gt;DATE(2025,7,4)), (SWITCH(weekday(M$4), 1, 0, 2, if(ISBLANK('2025'!$P181), 0, 1), 3, if(ISBLANK('2025'!$Q181), 0, 1), 4, if(ISBLANK('2025'!$R181), 0, 1), 5, if(ISBLANK('2025'!$S181), 0, 1), 6, if(ISBLANK('2025'!$T181), 0, 1), 7, 0))), 1, "")</f>
        <v/>
      </c>
      <c r="N183" s="1" t="str">
        <f>IF(AND(AND(AND(N$4&gt;='2025'!$L181,N$4&lt;='2025'!$M181), N$4&lt;&gt;DATE(2025,7,4)), (SWITCH(weekday(N$4), 1, 0, 2, if(ISBLANK('2025'!$P181), 0, 1), 3, if(ISBLANK('2025'!$Q181), 0, 1), 4, if(ISBLANK('2025'!$R181), 0, 1), 5, if(ISBLANK('2025'!$S181), 0, 1), 6, if(ISBLANK('2025'!$T181), 0, 1), 7, 0))), 1, "")</f>
        <v/>
      </c>
      <c r="O183" s="1" t="str">
        <f>IF(AND(AND(AND(O$4&gt;='2025'!$L181,O$4&lt;='2025'!$M181), O$4&lt;&gt;DATE(2025,7,4)), (SWITCH(weekday(O$4), 1, 0, 2, if(ISBLANK('2025'!$P181), 0, 1), 3, if(ISBLANK('2025'!$Q181), 0, 1), 4, if(ISBLANK('2025'!$R181), 0, 1), 5, if(ISBLANK('2025'!$S181), 0, 1), 6, if(ISBLANK('2025'!$T181), 0, 1), 7, 0))), 1, "")</f>
        <v/>
      </c>
      <c r="P183" s="1" t="str">
        <f>IF(AND(AND(AND(P$4&gt;='2025'!$L181,P$4&lt;='2025'!$M181), P$4&lt;&gt;DATE(2025,7,4)), (SWITCH(weekday(P$4), 1, 0, 2, if(ISBLANK('2025'!$P181), 0, 1), 3, if(ISBLANK('2025'!$Q181), 0, 1), 4, if(ISBLANK('2025'!$R181), 0, 1), 5, if(ISBLANK('2025'!$S181), 0, 1), 6, if(ISBLANK('2025'!$T181), 0, 1), 7, 0))), 1, "")</f>
        <v/>
      </c>
      <c r="Q183" s="1" t="str">
        <f>IF(AND(AND(AND(Q$4&gt;='2025'!$L181,Q$4&lt;='2025'!$M181), Q$4&lt;&gt;DATE(2025,7,4)), (SWITCH(weekday(Q$4), 1, 0, 2, if(ISBLANK('2025'!$P181), 0, 1), 3, if(ISBLANK('2025'!$Q181), 0, 1), 4, if(ISBLANK('2025'!$R181), 0, 1), 5, if(ISBLANK('2025'!$S181), 0, 1), 6, if(ISBLANK('2025'!$T181), 0, 1), 7, 0))), 1, "")</f>
        <v/>
      </c>
      <c r="R183" s="1" t="str">
        <f>IF(AND(AND(AND(R$4&gt;='2025'!$L181,R$4&lt;='2025'!$M181), R$4&lt;&gt;DATE(2025,7,4)), (SWITCH(weekday(R$4), 1, 0, 2, if(ISBLANK('2025'!$P181), 0, 1), 3, if(ISBLANK('2025'!$Q181), 0, 1), 4, if(ISBLANK('2025'!$R181), 0, 1), 5, if(ISBLANK('2025'!$S181), 0, 1), 6, if(ISBLANK('2025'!$T181), 0, 1), 7, 0))), 1, "")</f>
        <v/>
      </c>
      <c r="S183" s="1" t="str">
        <f>IF(AND(AND(AND(S$4&gt;='2025'!$L181,S$4&lt;='2025'!$M181), S$4&lt;&gt;DATE(2025,7,4)), (SWITCH(weekday(S$4), 1, 0, 2, if(ISBLANK('2025'!$P181), 0, 1), 3, if(ISBLANK('2025'!$Q181), 0, 1), 4, if(ISBLANK('2025'!$R181), 0, 1), 5, if(ISBLANK('2025'!$S181), 0, 1), 6, if(ISBLANK('2025'!$T181), 0, 1), 7, 0))), 1, "")</f>
        <v/>
      </c>
      <c r="T183" s="1" t="str">
        <f>IF(AND(AND(AND(T$4&gt;='2025'!$L181,T$4&lt;='2025'!$M181), T$4&lt;&gt;DATE(2025,7,4)), (SWITCH(weekday(T$4), 1, 0, 2, if(ISBLANK('2025'!$P181), 0, 1), 3, if(ISBLANK('2025'!$Q181), 0, 1), 4, if(ISBLANK('2025'!$R181), 0, 1), 5, if(ISBLANK('2025'!$S181), 0, 1), 6, if(ISBLANK('2025'!$T181), 0, 1), 7, 0))), 1, "")</f>
        <v/>
      </c>
      <c r="U183" s="1" t="str">
        <f>IF(AND(AND(AND(U$4&gt;='2025'!$L181,U$4&lt;='2025'!$M181), U$4&lt;&gt;DATE(2025,7,4)), (SWITCH(weekday(U$4), 1, 0, 2, if(ISBLANK('2025'!$P181), 0, 1), 3, if(ISBLANK('2025'!$Q181), 0, 1), 4, if(ISBLANK('2025'!$R181), 0, 1), 5, if(ISBLANK('2025'!$S181), 0, 1), 6, if(ISBLANK('2025'!$T181), 0, 1), 7, 0))), 1, "")</f>
        <v/>
      </c>
      <c r="V183" s="1" t="str">
        <f>IF(AND(AND(AND(V$4&gt;='2025'!$L181,V$4&lt;='2025'!$M181), V$4&lt;&gt;DATE(2025,7,4)), (SWITCH(weekday(V$4), 1, 0, 2, if(ISBLANK('2025'!$P181), 0, 1), 3, if(ISBLANK('2025'!$Q181), 0, 1), 4, if(ISBLANK('2025'!$R181), 0, 1), 5, if(ISBLANK('2025'!$S181), 0, 1), 6, if(ISBLANK('2025'!$T181), 0, 1), 7, 0))), 1, "")</f>
        <v/>
      </c>
      <c r="W183" s="1" t="str">
        <f>IF(AND(AND(AND(W$4&gt;='2025'!$L181,W$4&lt;='2025'!$M181), W$4&lt;&gt;DATE(2025,7,4)), (SWITCH(weekday(W$4), 1, 0, 2, if(ISBLANK('2025'!$P181), 0, 1), 3, if(ISBLANK('2025'!$Q181), 0, 1), 4, if(ISBLANK('2025'!$R181), 0, 1), 5, if(ISBLANK('2025'!$S181), 0, 1), 6, if(ISBLANK('2025'!$T181), 0, 1), 7, 0))), 1, "")</f>
        <v/>
      </c>
      <c r="X183" s="1" t="str">
        <f>IF(AND(AND(AND(X$4&gt;='2025'!$L181,X$4&lt;='2025'!$M181), X$4&lt;&gt;DATE(2025,7,4)), (SWITCH(weekday(X$4), 1, 0, 2, if(ISBLANK('2025'!$P181), 0, 1), 3, if(ISBLANK('2025'!$Q181), 0, 1), 4, if(ISBLANK('2025'!$R181), 0, 1), 5, if(ISBLANK('2025'!$S181), 0, 1), 6, if(ISBLANK('2025'!$T181), 0, 1), 7, 0))), 1, "")</f>
        <v/>
      </c>
      <c r="Y183" s="1" t="str">
        <f>IF(AND(AND(AND(Y$4&gt;='2025'!$L181,Y$4&lt;='2025'!$M181), Y$4&lt;&gt;DATE(2025,7,4)), (SWITCH(weekday(Y$4), 1, 0, 2, if(ISBLANK('2025'!$P181), 0, 1), 3, if(ISBLANK('2025'!$Q181), 0, 1), 4, if(ISBLANK('2025'!$R181), 0, 1), 5, if(ISBLANK('2025'!$S181), 0, 1), 6, if(ISBLANK('2025'!$T181), 0, 1), 7, 0))), 1, "")</f>
        <v/>
      </c>
      <c r="Z183" s="1" t="str">
        <f>IF(AND(AND(AND(Z$4&gt;='2025'!$L181,Z$4&lt;='2025'!$M181), Z$4&lt;&gt;DATE(2025,7,4)), (SWITCH(weekday(Z$4), 1, 0, 2, if(ISBLANK('2025'!$P181), 0, 1), 3, if(ISBLANK('2025'!$Q181), 0, 1), 4, if(ISBLANK('2025'!$R181), 0, 1), 5, if(ISBLANK('2025'!$S181), 0, 1), 6, if(ISBLANK('2025'!$T181), 0, 1), 7, 0))), 1, "")</f>
        <v/>
      </c>
      <c r="AA183" s="1" t="str">
        <f>IF(AND(AND(AND(AA$4&gt;='2025'!$L181,AA$4&lt;='2025'!$M181), AA$4&lt;&gt;DATE(2025,7,4)), (SWITCH(weekday(AA$4), 1, 0, 2, if(ISBLANK('2025'!$P181), 0, 1), 3, if(ISBLANK('2025'!$Q181), 0, 1), 4, if(ISBLANK('2025'!$R181), 0, 1), 5, if(ISBLANK('2025'!$S181), 0, 1), 6, if(ISBLANK('2025'!$T181), 0, 1), 7, 0))), 1, "")</f>
        <v/>
      </c>
      <c r="AB183" s="1" t="str">
        <f>IF(AND(AND(AND(AB$4&gt;='2025'!$L181,AB$4&lt;='2025'!$M181), AB$4&lt;&gt;DATE(2025,7,4)), (SWITCH(weekday(AB$4), 1, 0, 2, if(ISBLANK('2025'!$P181), 0, 1), 3, if(ISBLANK('2025'!$Q181), 0, 1), 4, if(ISBLANK('2025'!$R181), 0, 1), 5, if(ISBLANK('2025'!$S181), 0, 1), 6, if(ISBLANK('2025'!$T181), 0, 1), 7, 0))), 1, "")</f>
        <v/>
      </c>
      <c r="AC183" s="1" t="str">
        <f>IF(AND(AND(AND(AC$4&gt;='2025'!$L181,AC$4&lt;='2025'!$M181), AC$4&lt;&gt;DATE(2025,7,4)), (SWITCH(weekday(AC$4), 1, 0, 2, if(ISBLANK('2025'!$P181), 0, 1), 3, if(ISBLANK('2025'!$Q181), 0, 1), 4, if(ISBLANK('2025'!$R181), 0, 1), 5, if(ISBLANK('2025'!$S181), 0, 1), 6, if(ISBLANK('2025'!$T181), 0, 1), 7, 0))), 1, "")</f>
        <v/>
      </c>
      <c r="AD183" s="1" t="str">
        <f>IF(AND(AND(AND(AD$4&gt;='2025'!$L181,AD$4&lt;='2025'!$M181), AD$4&lt;&gt;DATE(2025,7,4)), (SWITCH(weekday(AD$4), 1, 0, 2, if(ISBLANK('2025'!$P181), 0, 1), 3, if(ISBLANK('2025'!$Q181), 0, 1), 4, if(ISBLANK('2025'!$R181), 0, 1), 5, if(ISBLANK('2025'!$S181), 0, 1), 6, if(ISBLANK('2025'!$T181), 0, 1), 7, 0))), 1, "")</f>
        <v/>
      </c>
      <c r="AE183" s="1" t="str">
        <f>IF(AND(AND(AND(AE$4&gt;='2025'!$L181,AE$4&lt;='2025'!$M181), AE$4&lt;&gt;DATE(2025,7,4)), (SWITCH(weekday(AE$4), 1, 0, 2, if(ISBLANK('2025'!$P181), 0, 1), 3, if(ISBLANK('2025'!$Q181), 0, 1), 4, if(ISBLANK('2025'!$R181), 0, 1), 5, if(ISBLANK('2025'!$S181), 0, 1), 6, if(ISBLANK('2025'!$T181), 0, 1), 7, 0))), 1, "")</f>
        <v/>
      </c>
      <c r="AF183" s="1" t="str">
        <f>IF(AND(AND(AND(AF$4&gt;='2025'!$L181,AF$4&lt;='2025'!$M181), AF$4&lt;&gt;DATE(2025,7,4)), (SWITCH(weekday(AF$4), 1, 0, 2, if(ISBLANK('2025'!$P181), 0, 1), 3, if(ISBLANK('2025'!$Q181), 0, 1), 4, if(ISBLANK('2025'!$R181), 0, 1), 5, if(ISBLANK('2025'!$S181), 0, 1), 6, if(ISBLANK('2025'!$T181), 0, 1), 7, 0))), 1, "")</f>
        <v/>
      </c>
      <c r="AG183" s="1" t="str">
        <f>IF(AND(AND(AND(AG$4&gt;='2025'!$L181,AG$4&lt;='2025'!$M181), AG$4&lt;&gt;DATE(2025,7,4)), (SWITCH(weekday(AG$4), 1, 0, 2, if(ISBLANK('2025'!$P181), 0, 1), 3, if(ISBLANK('2025'!$Q181), 0, 1), 4, if(ISBLANK('2025'!$R181), 0, 1), 5, if(ISBLANK('2025'!$S181), 0, 1), 6, if(ISBLANK('2025'!$T181), 0, 1), 7, 0))), 1, "")</f>
        <v/>
      </c>
      <c r="AH183" s="1" t="str">
        <f>IF(AND(AND(AND(AH$4&gt;='2025'!$L181,AH$4&lt;='2025'!$M181), AH$4&lt;&gt;DATE(2025,7,4)), (SWITCH(weekday(AH$4), 1, 0, 2, if(ISBLANK('2025'!$P181), 0, 1), 3, if(ISBLANK('2025'!$Q181), 0, 1), 4, if(ISBLANK('2025'!$R181), 0, 1), 5, if(ISBLANK('2025'!$S181), 0, 1), 6, if(ISBLANK('2025'!$T181), 0, 1), 7, 0))), 1, "")</f>
        <v/>
      </c>
      <c r="AI183" s="1" t="str">
        <f>IF(AND(AND(AND(AI$4&gt;='2025'!$L181,AI$4&lt;='2025'!$M181), AI$4&lt;&gt;DATE(2025,7,4)), (SWITCH(weekday(AI$4), 1, 0, 2, if(ISBLANK('2025'!$P181), 0, 1), 3, if(ISBLANK('2025'!$Q181), 0, 1), 4, if(ISBLANK('2025'!$R181), 0, 1), 5, if(ISBLANK('2025'!$S181), 0, 1), 6, if(ISBLANK('2025'!$T181), 0, 1), 7, 0))), 1, "")</f>
        <v/>
      </c>
      <c r="AJ183" s="1" t="str">
        <f>IF(AND(AND(AND(AJ$4&gt;='2025'!$L181,AJ$4&lt;='2025'!$M181), AJ$4&lt;&gt;DATE(2025,7,4)), (SWITCH(weekday(AJ$4), 1, 0, 2, if(ISBLANK('2025'!$P181), 0, 1), 3, if(ISBLANK('2025'!$Q181), 0, 1), 4, if(ISBLANK('2025'!$R181), 0, 1), 5, if(ISBLANK('2025'!$S181), 0, 1), 6, if(ISBLANK('2025'!$T181), 0, 1), 7, 0))), 1, "")</f>
        <v/>
      </c>
      <c r="AK183" s="1" t="str">
        <f>IF(AND(AND(AND(AK$4&gt;='2025'!$L181,AK$4&lt;='2025'!$M181), AK$4&lt;&gt;DATE(2025,7,4)), (SWITCH(weekday(AK$4), 1, 0, 2, if(ISBLANK('2025'!$P181), 0, 1), 3, if(ISBLANK('2025'!$Q181), 0, 1), 4, if(ISBLANK('2025'!$R181), 0, 1), 5, if(ISBLANK('2025'!$S181), 0, 1), 6, if(ISBLANK('2025'!$T181), 0, 1), 7, 0))), 1, "")</f>
        <v/>
      </c>
      <c r="AL183" s="1" t="str">
        <f>IF(AND(AND(AND(AL$4&gt;='2025'!$L181,AL$4&lt;='2025'!$M181), AL$4&lt;&gt;DATE(2025,7,4)), (SWITCH(weekday(AL$4), 1, 0, 2, if(ISBLANK('2025'!$P181), 0, 1), 3, if(ISBLANK('2025'!$Q181), 0, 1), 4, if(ISBLANK('2025'!$R181), 0, 1), 5, if(ISBLANK('2025'!$S181), 0, 1), 6, if(ISBLANK('2025'!$T181), 0, 1), 7, 0))), 1, "")</f>
        <v/>
      </c>
      <c r="AM183" s="1" t="str">
        <f>IF(AND(AND(AND(AM$4&gt;='2025'!$L181,AM$4&lt;='2025'!$M181), AM$4&lt;&gt;DATE(2025,7,4)), (SWITCH(weekday(AM$4), 1, 0, 2, if(ISBLANK('2025'!$P181), 0, 1), 3, if(ISBLANK('2025'!$Q181), 0, 1), 4, if(ISBLANK('2025'!$R181), 0, 1), 5, if(ISBLANK('2025'!$S181), 0, 1), 6, if(ISBLANK('2025'!$T181), 0, 1), 7, 0))), 1, "")</f>
        <v/>
      </c>
      <c r="AN183" s="1" t="str">
        <f>IF(AND(AND(AND(AN$4&gt;='2025'!$L181,AN$4&lt;='2025'!$M181), AN$4&lt;&gt;DATE(2025,7,4)), (SWITCH(weekday(AN$4), 1, 0, 2, if(ISBLANK('2025'!$P181), 0, 1), 3, if(ISBLANK('2025'!$Q181), 0, 1), 4, if(ISBLANK('2025'!$R181), 0, 1), 5, if(ISBLANK('2025'!$S181), 0, 1), 6, if(ISBLANK('2025'!$T181), 0, 1), 7, 0))), 1, "")</f>
        <v/>
      </c>
      <c r="AO183" s="1" t="str">
        <f>IF(AND(AND(AND(AO$4&gt;='2025'!$L181,AO$4&lt;='2025'!$M181), AO$4&lt;&gt;DATE(2025,7,4)), (SWITCH(weekday(AO$4), 1, 0, 2, if(ISBLANK('2025'!$P181), 0, 1), 3, if(ISBLANK('2025'!$Q181), 0, 1), 4, if(ISBLANK('2025'!$R181), 0, 1), 5, if(ISBLANK('2025'!$S181), 0, 1), 6, if(ISBLANK('2025'!$T181), 0, 1), 7, 0))), 1, "")</f>
        <v/>
      </c>
      <c r="AP183" s="1" t="str">
        <f>IF(AND(AND(AND(AP$4&gt;='2025'!$L181,AP$4&lt;='2025'!$M181), AP$4&lt;&gt;DATE(2025,7,4)), (SWITCH(weekday(AP$4), 1, 0, 2, if(ISBLANK('2025'!$P181), 0, 1), 3, if(ISBLANK('2025'!$Q181), 0, 1), 4, if(ISBLANK('2025'!$R181), 0, 1), 5, if(ISBLANK('2025'!$S181), 0, 1), 6, if(ISBLANK('2025'!$T181), 0, 1), 7, 0))), 1, "")</f>
        <v/>
      </c>
      <c r="AQ183" s="1" t="str">
        <f>IF(AND(AND(AND(AQ$4&gt;='2025'!$L181,AQ$4&lt;='2025'!$M181), AQ$4&lt;&gt;DATE(2025,7,4)), (SWITCH(weekday(AQ$4), 1, 0, 2, if(ISBLANK('2025'!$P181), 0, 1), 3, if(ISBLANK('2025'!$Q181), 0, 1), 4, if(ISBLANK('2025'!$R181), 0, 1), 5, if(ISBLANK('2025'!$S181), 0, 1), 6, if(ISBLANK('2025'!$T181), 0, 1), 7, 0))), 1, "")</f>
        <v/>
      </c>
      <c r="AR183" s="1" t="str">
        <f>IF(AND(AND(AND(AR$4&gt;='2025'!$L181,AR$4&lt;='2025'!$M181), AR$4&lt;&gt;DATE(2025,7,4)), (SWITCH(weekday(AR$4), 1, 0, 2, if(ISBLANK('2025'!$P181), 0, 1), 3, if(ISBLANK('2025'!$Q181), 0, 1), 4, if(ISBLANK('2025'!$R181), 0, 1), 5, if(ISBLANK('2025'!$S181), 0, 1), 6, if(ISBLANK('2025'!$T181), 0, 1), 7, 0))), 1, "")</f>
        <v/>
      </c>
      <c r="AS183" s="1" t="str">
        <f>IF(AND(AND(AND(AS$4&gt;='2025'!$L181,AS$4&lt;='2025'!$M181), AS$4&lt;&gt;DATE(2025,7,4)), (SWITCH(weekday(AS$4), 1, 0, 2, if(ISBLANK('2025'!$P181), 0, 1), 3, if(ISBLANK('2025'!$Q181), 0, 1), 4, if(ISBLANK('2025'!$R181), 0, 1), 5, if(ISBLANK('2025'!$S181), 0, 1), 6, if(ISBLANK('2025'!$T181), 0, 1), 7, 0))), 1, "")</f>
        <v/>
      </c>
      <c r="AT183" s="1" t="str">
        <f>IF(AND(AND(AND(AT$4&gt;='2025'!$L181,AT$4&lt;='2025'!$M181), AT$4&lt;&gt;DATE(2025,7,4)), (SWITCH(weekday(AT$4), 1, 0, 2, if(ISBLANK('2025'!$P181), 0, 1), 3, if(ISBLANK('2025'!$Q181), 0, 1), 4, if(ISBLANK('2025'!$R181), 0, 1), 5, if(ISBLANK('2025'!$S181), 0, 1), 6, if(ISBLANK('2025'!$T181), 0, 1), 7, 0))), 1, "")</f>
        <v/>
      </c>
      <c r="AU183" s="1" t="str">
        <f>IF(AND(AND(AND(AU$4&gt;='2025'!$L181,AU$4&lt;='2025'!$M181), AU$4&lt;&gt;DATE(2025,7,4)), (SWITCH(weekday(AU$4), 1, 0, 2, if(ISBLANK('2025'!$P181), 0, 1), 3, if(ISBLANK('2025'!$Q181), 0, 1), 4, if(ISBLANK('2025'!$R181), 0, 1), 5, if(ISBLANK('2025'!$S181), 0, 1), 6, if(ISBLANK('2025'!$T181), 0, 1), 7, 0))), 1, "")</f>
        <v/>
      </c>
      <c r="AV183" s="1" t="str">
        <f>IF(AND(AND(AND(AV$4&gt;='2025'!$L181,AV$4&lt;='2025'!$M181), AV$4&lt;&gt;DATE(2025,7,4)), (SWITCH(weekday(AV$4), 1, 0, 2, if(ISBLANK('2025'!$P181), 0, 1), 3, if(ISBLANK('2025'!$Q181), 0, 1), 4, if(ISBLANK('2025'!$R181), 0, 1), 5, if(ISBLANK('2025'!$S181), 0, 1), 6, if(ISBLANK('2025'!$T181), 0, 1), 7, 0))), 1, "")</f>
        <v/>
      </c>
      <c r="AW183" s="1" t="str">
        <f>IF(AND(AND(AND(AW$4&gt;='2025'!$L181,AW$4&lt;='2025'!$M181), AW$4&lt;&gt;DATE(2025,7,4)), (SWITCH(weekday(AW$4), 1, 0, 2, if(ISBLANK('2025'!$P181), 0, 1), 3, if(ISBLANK('2025'!$Q181), 0, 1), 4, if(ISBLANK('2025'!$R181), 0, 1), 5, if(ISBLANK('2025'!$S181), 0, 1), 6, if(ISBLANK('2025'!$T181), 0, 1), 7, 0))), 1, "")</f>
        <v/>
      </c>
      <c r="AX183" s="1" t="str">
        <f>IF(AND(AND(AND(AX$4&gt;='2025'!$L181,AX$4&lt;='2025'!$M181), AX$4&lt;&gt;DATE(2025,7,4)), (SWITCH(weekday(AX$4), 1, 0, 2, if(ISBLANK('2025'!$P181), 0, 1), 3, if(ISBLANK('2025'!$Q181), 0, 1), 4, if(ISBLANK('2025'!$R181), 0, 1), 5, if(ISBLANK('2025'!$S181), 0, 1), 6, if(ISBLANK('2025'!$T181), 0, 1), 7, 0))), 1, "")</f>
        <v/>
      </c>
      <c r="AY183" s="1" t="str">
        <f>IF(AND(AND(AND(AY$4&gt;='2025'!$L181,AY$4&lt;='2025'!$M181), AY$4&lt;&gt;DATE(2025,7,4)), (SWITCH(weekday(AY$4), 1, 0, 2, if(ISBLANK('2025'!$P181), 0, 1), 3, if(ISBLANK('2025'!$Q181), 0, 1), 4, if(ISBLANK('2025'!$R181), 0, 1), 5, if(ISBLANK('2025'!$S181), 0, 1), 6, if(ISBLANK('2025'!$T181), 0, 1), 7, 0))), 1, "")</f>
        <v/>
      </c>
      <c r="AZ183" s="1" t="str">
        <f>IF(AND(AND(AND(AZ$4&gt;='2025'!$L181,AZ$4&lt;='2025'!$M181), AZ$4&lt;&gt;DATE(2025,7,4)), (SWITCH(weekday(AZ$4), 1, 0, 2, if(ISBLANK('2025'!$P181), 0, 1), 3, if(ISBLANK('2025'!$Q181), 0, 1), 4, if(ISBLANK('2025'!$R181), 0, 1), 5, if(ISBLANK('2025'!$S181), 0, 1), 6, if(ISBLANK('2025'!$T181), 0, 1), 7, 0))), 1, "")</f>
        <v/>
      </c>
      <c r="BA183" s="1" t="str">
        <f>IF(AND(AND(AND(BA$4&gt;='2025'!$L181,BA$4&lt;='2025'!$M181), BA$4&lt;&gt;DATE(2025,7,4)), (SWITCH(weekday(BA$4), 1, 0, 2, if(ISBLANK('2025'!$P181), 0, 1), 3, if(ISBLANK('2025'!$Q181), 0, 1), 4, if(ISBLANK('2025'!$R181), 0, 1), 5, if(ISBLANK('2025'!$S181), 0, 1), 6, if(ISBLANK('2025'!$T181), 0, 1), 7, 0))), 1, "")</f>
        <v/>
      </c>
      <c r="BB183" s="1" t="str">
        <f>IF(AND(AND(AND(BB$4&gt;='2025'!$L181,BB$4&lt;='2025'!$M181), BB$4&lt;&gt;DATE(2025,7,4)), (SWITCH(weekday(BB$4), 1, 0, 2, if(ISBLANK('2025'!$P181), 0, 1), 3, if(ISBLANK('2025'!$Q181), 0, 1), 4, if(ISBLANK('2025'!$R181), 0, 1), 5, if(ISBLANK('2025'!$S181), 0, 1), 6, if(ISBLANK('2025'!$T181), 0, 1), 7, 0))), 1, "")</f>
        <v/>
      </c>
      <c r="BC183" s="1" t="str">
        <f>IF(AND(AND(AND(BC$4&gt;='2025'!$L181,BC$4&lt;='2025'!$M181), BC$4&lt;&gt;DATE(2025,7,4)), (SWITCH(weekday(BC$4), 1, 0, 2, if(ISBLANK('2025'!$P181), 0, 1), 3, if(ISBLANK('2025'!$Q181), 0, 1), 4, if(ISBLANK('2025'!$R181), 0, 1), 5, if(ISBLANK('2025'!$S181), 0, 1), 6, if(ISBLANK('2025'!$T181), 0, 1), 7, 0))), 1, "")</f>
        <v/>
      </c>
      <c r="BD183" s="1" t="str">
        <f>IF(AND(AND(AND(BD$4&gt;='2025'!$L181,BD$4&lt;='2025'!$M181), BD$4&lt;&gt;DATE(2025,7,4)), (SWITCH(weekday(BD$4), 1, 0, 2, if(ISBLANK('2025'!$P181), 0, 1), 3, if(ISBLANK('2025'!$Q181), 0, 1), 4, if(ISBLANK('2025'!$R181), 0, 1), 5, if(ISBLANK('2025'!$S181), 0, 1), 6, if(ISBLANK('2025'!$T181), 0, 1), 7, 0))), 1, "")</f>
        <v/>
      </c>
      <c r="BE183" s="1" t="str">
        <f>IF(AND(AND(AND(BE$4&gt;='2025'!$L181,BE$4&lt;='2025'!$M181), BE$4&lt;&gt;DATE(2025,7,4)), (SWITCH(weekday(BE$4), 1, 0, 2, if(ISBLANK('2025'!$P181), 0, 1), 3, if(ISBLANK('2025'!$Q181), 0, 1), 4, if(ISBLANK('2025'!$R181), 0, 1), 5, if(ISBLANK('2025'!$S181), 0, 1), 6, if(ISBLANK('2025'!$T181), 0, 1), 7, 0))), 1, "")</f>
        <v/>
      </c>
      <c r="BF183" s="1" t="str">
        <f>IF(AND(AND(AND(BF$4&gt;='2025'!$L181,BF$4&lt;='2025'!$M181), BF$4&lt;&gt;DATE(2025,7,4)), (SWITCH(weekday(BF$4), 1, 0, 2, if(ISBLANK('2025'!$P181), 0, 1), 3, if(ISBLANK('2025'!$Q181), 0, 1), 4, if(ISBLANK('2025'!$R181), 0, 1), 5, if(ISBLANK('2025'!$S181), 0, 1), 6, if(ISBLANK('2025'!$T181), 0, 1), 7, 0))), 1, "")</f>
        <v/>
      </c>
      <c r="BG183" s="1"/>
      <c r="BH183" s="1"/>
      <c r="BI183" s="1"/>
      <c r="BJ183" s="1"/>
      <c r="BK183" s="1"/>
      <c r="BL183" s="1"/>
    </row>
    <row r="184">
      <c r="A184" s="1">
        <f t="shared" si="3"/>
        <v>184</v>
      </c>
      <c r="B184" s="1" t="str">
        <f>'2025'!D148</f>
        <v>, </v>
      </c>
      <c r="C184" s="1" t="str">
        <f>'2025'!H148</f>
        <v/>
      </c>
      <c r="D184" s="1" t="str">
        <f>IF(AND(AND(AND(D$4&gt;='2025'!$L182,D$4&lt;='2025'!$M182), D$4&lt;&gt;DATE(2025,7,4)), (SWITCH(weekday(D$4), 1, 0, 2, if(ISBLANK('2025'!$P182), 0, 1), 3, if(ISBLANK('2025'!$Q182), 0, 1), 4, if(ISBLANK('2025'!$R182), 0, 1), 5, if(ISBLANK('2025'!$S182), 0, 1), 6, if(ISBLANK('2025'!$T182), 0, 1), 7, 0))), 1, "")</f>
        <v/>
      </c>
      <c r="E184" s="1" t="str">
        <f>IF(AND(AND(AND(E$4&gt;='2025'!$L182,E$4&lt;='2025'!$M182), E$4&lt;&gt;DATE(2025,7,4)), (SWITCH(weekday(E$4), 1, 0, 2, if(ISBLANK('2025'!$P182), 0, 1), 3, if(ISBLANK('2025'!$Q182), 0, 1), 4, if(ISBLANK('2025'!$R182), 0, 1), 5, if(ISBLANK('2025'!$S182), 0, 1), 6, if(ISBLANK('2025'!$T182), 0, 1), 7, 0))), 1, "")</f>
        <v/>
      </c>
      <c r="F184" s="1" t="str">
        <f>IF(AND(AND(AND(F$4&gt;='2025'!$L182,F$4&lt;='2025'!$M182), F$4&lt;&gt;DATE(2025,7,4)), (SWITCH(weekday(F$4), 1, 0, 2, if(ISBLANK('2025'!$P182), 0, 1), 3, if(ISBLANK('2025'!$Q182), 0, 1), 4, if(ISBLANK('2025'!$R182), 0, 1), 5, if(ISBLANK('2025'!$S182), 0, 1), 6, if(ISBLANK('2025'!$T182), 0, 1), 7, 0))), 1, "")</f>
        <v/>
      </c>
      <c r="G184" s="1" t="str">
        <f>IF(AND(AND(AND(G$4&gt;='2025'!$L182,G$4&lt;='2025'!$M182), G$4&lt;&gt;DATE(2025,7,4)), (SWITCH(weekday(G$4), 1, 0, 2, if(ISBLANK('2025'!$P182), 0, 1), 3, if(ISBLANK('2025'!$Q182), 0, 1), 4, if(ISBLANK('2025'!$R182), 0, 1), 5, if(ISBLANK('2025'!$S182), 0, 1), 6, if(ISBLANK('2025'!$T182), 0, 1), 7, 0))), 1, "")</f>
        <v/>
      </c>
      <c r="H184" s="1" t="str">
        <f>IF(AND(AND(AND(H$4&gt;='2025'!$L182,H$4&lt;='2025'!$M182), H$4&lt;&gt;DATE(2025,7,4)), (SWITCH(weekday(H$4), 1, 0, 2, if(ISBLANK('2025'!$P182), 0, 1), 3, if(ISBLANK('2025'!$Q182), 0, 1), 4, if(ISBLANK('2025'!$R182), 0, 1), 5, if(ISBLANK('2025'!$S182), 0, 1), 6, if(ISBLANK('2025'!$T182), 0, 1), 7, 0))), 1, "")</f>
        <v/>
      </c>
      <c r="I184" s="1" t="str">
        <f>IF(AND(AND(AND(I$4&gt;='2025'!$L182,I$4&lt;='2025'!$M182), I$4&lt;&gt;DATE(2025,7,4)), (SWITCH(weekday(I$4), 1, 0, 2, if(ISBLANK('2025'!$P182), 0, 1), 3, if(ISBLANK('2025'!$Q182), 0, 1), 4, if(ISBLANK('2025'!$R182), 0, 1), 5, if(ISBLANK('2025'!$S182), 0, 1), 6, if(ISBLANK('2025'!$T182), 0, 1), 7, 0))), 1, "")</f>
        <v/>
      </c>
      <c r="J184" s="1" t="str">
        <f>IF(AND(AND(AND(J$4&gt;='2025'!$L182,J$4&lt;='2025'!$M182), J$4&lt;&gt;DATE(2025,7,4)), (SWITCH(weekday(J$4), 1, 0, 2, if(ISBLANK('2025'!$P182), 0, 1), 3, if(ISBLANK('2025'!$Q182), 0, 1), 4, if(ISBLANK('2025'!$R182), 0, 1), 5, if(ISBLANK('2025'!$S182), 0, 1), 6, if(ISBLANK('2025'!$T182), 0, 1), 7, 0))), 1, "")</f>
        <v/>
      </c>
      <c r="K184" s="1" t="str">
        <f>IF(AND(AND(AND(K$4&gt;='2025'!$L182,K$4&lt;='2025'!$M182), K$4&lt;&gt;DATE(2025,7,4)), (SWITCH(weekday(K$4), 1, 0, 2, if(ISBLANK('2025'!$P182), 0, 1), 3, if(ISBLANK('2025'!$Q182), 0, 1), 4, if(ISBLANK('2025'!$R182), 0, 1), 5, if(ISBLANK('2025'!$S182), 0, 1), 6, if(ISBLANK('2025'!$T182), 0, 1), 7, 0))), 1, "")</f>
        <v/>
      </c>
      <c r="L184" s="1" t="str">
        <f>IF(AND(AND(AND(L$4&gt;='2025'!$L182,L$4&lt;='2025'!$M182), L$4&lt;&gt;DATE(2025,7,4)), (SWITCH(weekday(L$4), 1, 0, 2, if(ISBLANK('2025'!$P182), 0, 1), 3, if(ISBLANK('2025'!$Q182), 0, 1), 4, if(ISBLANK('2025'!$R182), 0, 1), 5, if(ISBLANK('2025'!$S182), 0, 1), 6, if(ISBLANK('2025'!$T182), 0, 1), 7, 0))), 1, "")</f>
        <v/>
      </c>
      <c r="M184" s="1" t="str">
        <f>IF(AND(AND(AND(M$4&gt;='2025'!$L182,M$4&lt;='2025'!$M182), M$4&lt;&gt;DATE(2025,7,4)), (SWITCH(weekday(M$4), 1, 0, 2, if(ISBLANK('2025'!$P182), 0, 1), 3, if(ISBLANK('2025'!$Q182), 0, 1), 4, if(ISBLANK('2025'!$R182), 0, 1), 5, if(ISBLANK('2025'!$S182), 0, 1), 6, if(ISBLANK('2025'!$T182), 0, 1), 7, 0))), 1, "")</f>
        <v/>
      </c>
      <c r="N184" s="1" t="str">
        <f>IF(AND(AND(AND(N$4&gt;='2025'!$L182,N$4&lt;='2025'!$M182), N$4&lt;&gt;DATE(2025,7,4)), (SWITCH(weekday(N$4), 1, 0, 2, if(ISBLANK('2025'!$P182), 0, 1), 3, if(ISBLANK('2025'!$Q182), 0, 1), 4, if(ISBLANK('2025'!$R182), 0, 1), 5, if(ISBLANK('2025'!$S182), 0, 1), 6, if(ISBLANK('2025'!$T182), 0, 1), 7, 0))), 1, "")</f>
        <v/>
      </c>
      <c r="O184" s="1" t="str">
        <f>IF(AND(AND(AND(O$4&gt;='2025'!$L182,O$4&lt;='2025'!$M182), O$4&lt;&gt;DATE(2025,7,4)), (SWITCH(weekday(O$4), 1, 0, 2, if(ISBLANK('2025'!$P182), 0, 1), 3, if(ISBLANK('2025'!$Q182), 0, 1), 4, if(ISBLANK('2025'!$R182), 0, 1), 5, if(ISBLANK('2025'!$S182), 0, 1), 6, if(ISBLANK('2025'!$T182), 0, 1), 7, 0))), 1, "")</f>
        <v/>
      </c>
      <c r="P184" s="1" t="str">
        <f>IF(AND(AND(AND(P$4&gt;='2025'!$L182,P$4&lt;='2025'!$M182), P$4&lt;&gt;DATE(2025,7,4)), (SWITCH(weekday(P$4), 1, 0, 2, if(ISBLANK('2025'!$P182), 0, 1), 3, if(ISBLANK('2025'!$Q182), 0, 1), 4, if(ISBLANK('2025'!$R182), 0, 1), 5, if(ISBLANK('2025'!$S182), 0, 1), 6, if(ISBLANK('2025'!$T182), 0, 1), 7, 0))), 1, "")</f>
        <v/>
      </c>
      <c r="Q184" s="1" t="str">
        <f>IF(AND(AND(AND(Q$4&gt;='2025'!$L182,Q$4&lt;='2025'!$M182), Q$4&lt;&gt;DATE(2025,7,4)), (SWITCH(weekday(Q$4), 1, 0, 2, if(ISBLANK('2025'!$P182), 0, 1), 3, if(ISBLANK('2025'!$Q182), 0, 1), 4, if(ISBLANK('2025'!$R182), 0, 1), 5, if(ISBLANK('2025'!$S182), 0, 1), 6, if(ISBLANK('2025'!$T182), 0, 1), 7, 0))), 1, "")</f>
        <v/>
      </c>
      <c r="R184" s="1" t="str">
        <f>IF(AND(AND(AND(R$4&gt;='2025'!$L182,R$4&lt;='2025'!$M182), R$4&lt;&gt;DATE(2025,7,4)), (SWITCH(weekday(R$4), 1, 0, 2, if(ISBLANK('2025'!$P182), 0, 1), 3, if(ISBLANK('2025'!$Q182), 0, 1), 4, if(ISBLANK('2025'!$R182), 0, 1), 5, if(ISBLANK('2025'!$S182), 0, 1), 6, if(ISBLANK('2025'!$T182), 0, 1), 7, 0))), 1, "")</f>
        <v/>
      </c>
      <c r="S184" s="1" t="str">
        <f>IF(AND(AND(AND(S$4&gt;='2025'!$L182,S$4&lt;='2025'!$M182), S$4&lt;&gt;DATE(2025,7,4)), (SWITCH(weekday(S$4), 1, 0, 2, if(ISBLANK('2025'!$P182), 0, 1), 3, if(ISBLANK('2025'!$Q182), 0, 1), 4, if(ISBLANK('2025'!$R182), 0, 1), 5, if(ISBLANK('2025'!$S182), 0, 1), 6, if(ISBLANK('2025'!$T182), 0, 1), 7, 0))), 1, "")</f>
        <v/>
      </c>
      <c r="T184" s="1" t="str">
        <f>IF(AND(AND(AND(T$4&gt;='2025'!$L182,T$4&lt;='2025'!$M182), T$4&lt;&gt;DATE(2025,7,4)), (SWITCH(weekday(T$4), 1, 0, 2, if(ISBLANK('2025'!$P182), 0, 1), 3, if(ISBLANK('2025'!$Q182), 0, 1), 4, if(ISBLANK('2025'!$R182), 0, 1), 5, if(ISBLANK('2025'!$S182), 0, 1), 6, if(ISBLANK('2025'!$T182), 0, 1), 7, 0))), 1, "")</f>
        <v/>
      </c>
      <c r="U184" s="1" t="str">
        <f>IF(AND(AND(AND(U$4&gt;='2025'!$L182,U$4&lt;='2025'!$M182), U$4&lt;&gt;DATE(2025,7,4)), (SWITCH(weekday(U$4), 1, 0, 2, if(ISBLANK('2025'!$P182), 0, 1), 3, if(ISBLANK('2025'!$Q182), 0, 1), 4, if(ISBLANK('2025'!$R182), 0, 1), 5, if(ISBLANK('2025'!$S182), 0, 1), 6, if(ISBLANK('2025'!$T182), 0, 1), 7, 0))), 1, "")</f>
        <v/>
      </c>
      <c r="V184" s="1" t="str">
        <f>IF(AND(AND(AND(V$4&gt;='2025'!$L182,V$4&lt;='2025'!$M182), V$4&lt;&gt;DATE(2025,7,4)), (SWITCH(weekday(V$4), 1, 0, 2, if(ISBLANK('2025'!$P182), 0, 1), 3, if(ISBLANK('2025'!$Q182), 0, 1), 4, if(ISBLANK('2025'!$R182), 0, 1), 5, if(ISBLANK('2025'!$S182), 0, 1), 6, if(ISBLANK('2025'!$T182), 0, 1), 7, 0))), 1, "")</f>
        <v/>
      </c>
      <c r="W184" s="1" t="str">
        <f>IF(AND(AND(AND(W$4&gt;='2025'!$L182,W$4&lt;='2025'!$M182), W$4&lt;&gt;DATE(2025,7,4)), (SWITCH(weekday(W$4), 1, 0, 2, if(ISBLANK('2025'!$P182), 0, 1), 3, if(ISBLANK('2025'!$Q182), 0, 1), 4, if(ISBLANK('2025'!$R182), 0, 1), 5, if(ISBLANK('2025'!$S182), 0, 1), 6, if(ISBLANK('2025'!$T182), 0, 1), 7, 0))), 1, "")</f>
        <v/>
      </c>
      <c r="X184" s="1" t="str">
        <f>IF(AND(AND(AND(X$4&gt;='2025'!$L182,X$4&lt;='2025'!$M182), X$4&lt;&gt;DATE(2025,7,4)), (SWITCH(weekday(X$4), 1, 0, 2, if(ISBLANK('2025'!$P182), 0, 1), 3, if(ISBLANK('2025'!$Q182), 0, 1), 4, if(ISBLANK('2025'!$R182), 0, 1), 5, if(ISBLANK('2025'!$S182), 0, 1), 6, if(ISBLANK('2025'!$T182), 0, 1), 7, 0))), 1, "")</f>
        <v/>
      </c>
      <c r="Y184" s="1" t="str">
        <f>IF(AND(AND(AND(Y$4&gt;='2025'!$L182,Y$4&lt;='2025'!$M182), Y$4&lt;&gt;DATE(2025,7,4)), (SWITCH(weekday(Y$4), 1, 0, 2, if(ISBLANK('2025'!$P182), 0, 1), 3, if(ISBLANK('2025'!$Q182), 0, 1), 4, if(ISBLANK('2025'!$R182), 0, 1), 5, if(ISBLANK('2025'!$S182), 0, 1), 6, if(ISBLANK('2025'!$T182), 0, 1), 7, 0))), 1, "")</f>
        <v/>
      </c>
      <c r="Z184" s="1" t="str">
        <f>IF(AND(AND(AND(Z$4&gt;='2025'!$L182,Z$4&lt;='2025'!$M182), Z$4&lt;&gt;DATE(2025,7,4)), (SWITCH(weekday(Z$4), 1, 0, 2, if(ISBLANK('2025'!$P182), 0, 1), 3, if(ISBLANK('2025'!$Q182), 0, 1), 4, if(ISBLANK('2025'!$R182), 0, 1), 5, if(ISBLANK('2025'!$S182), 0, 1), 6, if(ISBLANK('2025'!$T182), 0, 1), 7, 0))), 1, "")</f>
        <v/>
      </c>
      <c r="AA184" s="1" t="str">
        <f>IF(AND(AND(AND(AA$4&gt;='2025'!$L182,AA$4&lt;='2025'!$M182), AA$4&lt;&gt;DATE(2025,7,4)), (SWITCH(weekday(AA$4), 1, 0, 2, if(ISBLANK('2025'!$P182), 0, 1), 3, if(ISBLANK('2025'!$Q182), 0, 1), 4, if(ISBLANK('2025'!$R182), 0, 1), 5, if(ISBLANK('2025'!$S182), 0, 1), 6, if(ISBLANK('2025'!$T182), 0, 1), 7, 0))), 1, "")</f>
        <v/>
      </c>
      <c r="AB184" s="1" t="str">
        <f>IF(AND(AND(AND(AB$4&gt;='2025'!$L182,AB$4&lt;='2025'!$M182), AB$4&lt;&gt;DATE(2025,7,4)), (SWITCH(weekday(AB$4), 1, 0, 2, if(ISBLANK('2025'!$P182), 0, 1), 3, if(ISBLANK('2025'!$Q182), 0, 1), 4, if(ISBLANK('2025'!$R182), 0, 1), 5, if(ISBLANK('2025'!$S182), 0, 1), 6, if(ISBLANK('2025'!$T182), 0, 1), 7, 0))), 1, "")</f>
        <v/>
      </c>
      <c r="AC184" s="1" t="str">
        <f>IF(AND(AND(AND(AC$4&gt;='2025'!$L182,AC$4&lt;='2025'!$M182), AC$4&lt;&gt;DATE(2025,7,4)), (SWITCH(weekday(AC$4), 1, 0, 2, if(ISBLANK('2025'!$P182), 0, 1), 3, if(ISBLANK('2025'!$Q182), 0, 1), 4, if(ISBLANK('2025'!$R182), 0, 1), 5, if(ISBLANK('2025'!$S182), 0, 1), 6, if(ISBLANK('2025'!$T182), 0, 1), 7, 0))), 1, "")</f>
        <v/>
      </c>
      <c r="AD184" s="1" t="str">
        <f>IF(AND(AND(AND(AD$4&gt;='2025'!$L182,AD$4&lt;='2025'!$M182), AD$4&lt;&gt;DATE(2025,7,4)), (SWITCH(weekday(AD$4), 1, 0, 2, if(ISBLANK('2025'!$P182), 0, 1), 3, if(ISBLANK('2025'!$Q182), 0, 1), 4, if(ISBLANK('2025'!$R182), 0, 1), 5, if(ISBLANK('2025'!$S182), 0, 1), 6, if(ISBLANK('2025'!$T182), 0, 1), 7, 0))), 1, "")</f>
        <v/>
      </c>
      <c r="AE184" s="1" t="str">
        <f>IF(AND(AND(AND(AE$4&gt;='2025'!$L182,AE$4&lt;='2025'!$M182), AE$4&lt;&gt;DATE(2025,7,4)), (SWITCH(weekday(AE$4), 1, 0, 2, if(ISBLANK('2025'!$P182), 0, 1), 3, if(ISBLANK('2025'!$Q182), 0, 1), 4, if(ISBLANK('2025'!$R182), 0, 1), 5, if(ISBLANK('2025'!$S182), 0, 1), 6, if(ISBLANK('2025'!$T182), 0, 1), 7, 0))), 1, "")</f>
        <v/>
      </c>
      <c r="AF184" s="1" t="str">
        <f>IF(AND(AND(AND(AF$4&gt;='2025'!$L182,AF$4&lt;='2025'!$M182), AF$4&lt;&gt;DATE(2025,7,4)), (SWITCH(weekday(AF$4), 1, 0, 2, if(ISBLANK('2025'!$P182), 0, 1), 3, if(ISBLANK('2025'!$Q182), 0, 1), 4, if(ISBLANK('2025'!$R182), 0, 1), 5, if(ISBLANK('2025'!$S182), 0, 1), 6, if(ISBLANK('2025'!$T182), 0, 1), 7, 0))), 1, "")</f>
        <v/>
      </c>
      <c r="AG184" s="1" t="str">
        <f>IF(AND(AND(AND(AG$4&gt;='2025'!$L182,AG$4&lt;='2025'!$M182), AG$4&lt;&gt;DATE(2025,7,4)), (SWITCH(weekday(AG$4), 1, 0, 2, if(ISBLANK('2025'!$P182), 0, 1), 3, if(ISBLANK('2025'!$Q182), 0, 1), 4, if(ISBLANK('2025'!$R182), 0, 1), 5, if(ISBLANK('2025'!$S182), 0, 1), 6, if(ISBLANK('2025'!$T182), 0, 1), 7, 0))), 1, "")</f>
        <v/>
      </c>
      <c r="AH184" s="1" t="str">
        <f>IF(AND(AND(AND(AH$4&gt;='2025'!$L182,AH$4&lt;='2025'!$M182), AH$4&lt;&gt;DATE(2025,7,4)), (SWITCH(weekday(AH$4), 1, 0, 2, if(ISBLANK('2025'!$P182), 0, 1), 3, if(ISBLANK('2025'!$Q182), 0, 1), 4, if(ISBLANK('2025'!$R182), 0, 1), 5, if(ISBLANK('2025'!$S182), 0, 1), 6, if(ISBLANK('2025'!$T182), 0, 1), 7, 0))), 1, "")</f>
        <v/>
      </c>
      <c r="AI184" s="1" t="str">
        <f>IF(AND(AND(AND(AI$4&gt;='2025'!$L182,AI$4&lt;='2025'!$M182), AI$4&lt;&gt;DATE(2025,7,4)), (SWITCH(weekday(AI$4), 1, 0, 2, if(ISBLANK('2025'!$P182), 0, 1), 3, if(ISBLANK('2025'!$Q182), 0, 1), 4, if(ISBLANK('2025'!$R182), 0, 1), 5, if(ISBLANK('2025'!$S182), 0, 1), 6, if(ISBLANK('2025'!$T182), 0, 1), 7, 0))), 1, "")</f>
        <v/>
      </c>
      <c r="AJ184" s="1" t="str">
        <f>IF(AND(AND(AND(AJ$4&gt;='2025'!$L182,AJ$4&lt;='2025'!$M182), AJ$4&lt;&gt;DATE(2025,7,4)), (SWITCH(weekday(AJ$4), 1, 0, 2, if(ISBLANK('2025'!$P182), 0, 1), 3, if(ISBLANK('2025'!$Q182), 0, 1), 4, if(ISBLANK('2025'!$R182), 0, 1), 5, if(ISBLANK('2025'!$S182), 0, 1), 6, if(ISBLANK('2025'!$T182), 0, 1), 7, 0))), 1, "")</f>
        <v/>
      </c>
      <c r="AK184" s="1" t="str">
        <f>IF(AND(AND(AND(AK$4&gt;='2025'!$L182,AK$4&lt;='2025'!$M182), AK$4&lt;&gt;DATE(2025,7,4)), (SWITCH(weekday(AK$4), 1, 0, 2, if(ISBLANK('2025'!$P182), 0, 1), 3, if(ISBLANK('2025'!$Q182), 0, 1), 4, if(ISBLANK('2025'!$R182), 0, 1), 5, if(ISBLANK('2025'!$S182), 0, 1), 6, if(ISBLANK('2025'!$T182), 0, 1), 7, 0))), 1, "")</f>
        <v/>
      </c>
      <c r="AL184" s="1" t="str">
        <f>IF(AND(AND(AND(AL$4&gt;='2025'!$L182,AL$4&lt;='2025'!$M182), AL$4&lt;&gt;DATE(2025,7,4)), (SWITCH(weekday(AL$4), 1, 0, 2, if(ISBLANK('2025'!$P182), 0, 1), 3, if(ISBLANK('2025'!$Q182), 0, 1), 4, if(ISBLANK('2025'!$R182), 0, 1), 5, if(ISBLANK('2025'!$S182), 0, 1), 6, if(ISBLANK('2025'!$T182), 0, 1), 7, 0))), 1, "")</f>
        <v/>
      </c>
      <c r="AM184" s="1" t="str">
        <f>IF(AND(AND(AND(AM$4&gt;='2025'!$L182,AM$4&lt;='2025'!$M182), AM$4&lt;&gt;DATE(2025,7,4)), (SWITCH(weekday(AM$4), 1, 0, 2, if(ISBLANK('2025'!$P182), 0, 1), 3, if(ISBLANK('2025'!$Q182), 0, 1), 4, if(ISBLANK('2025'!$R182), 0, 1), 5, if(ISBLANK('2025'!$S182), 0, 1), 6, if(ISBLANK('2025'!$T182), 0, 1), 7, 0))), 1, "")</f>
        <v/>
      </c>
      <c r="AN184" s="1" t="str">
        <f>IF(AND(AND(AND(AN$4&gt;='2025'!$L182,AN$4&lt;='2025'!$M182), AN$4&lt;&gt;DATE(2025,7,4)), (SWITCH(weekday(AN$4), 1, 0, 2, if(ISBLANK('2025'!$P182), 0, 1), 3, if(ISBLANK('2025'!$Q182), 0, 1), 4, if(ISBLANK('2025'!$R182), 0, 1), 5, if(ISBLANK('2025'!$S182), 0, 1), 6, if(ISBLANK('2025'!$T182), 0, 1), 7, 0))), 1, "")</f>
        <v/>
      </c>
      <c r="AO184" s="1" t="str">
        <f>IF(AND(AND(AND(AO$4&gt;='2025'!$L182,AO$4&lt;='2025'!$M182), AO$4&lt;&gt;DATE(2025,7,4)), (SWITCH(weekday(AO$4), 1, 0, 2, if(ISBLANK('2025'!$P182), 0, 1), 3, if(ISBLANK('2025'!$Q182), 0, 1), 4, if(ISBLANK('2025'!$R182), 0, 1), 5, if(ISBLANK('2025'!$S182), 0, 1), 6, if(ISBLANK('2025'!$T182), 0, 1), 7, 0))), 1, "")</f>
        <v/>
      </c>
      <c r="AP184" s="1" t="str">
        <f>IF(AND(AND(AND(AP$4&gt;='2025'!$L182,AP$4&lt;='2025'!$M182), AP$4&lt;&gt;DATE(2025,7,4)), (SWITCH(weekday(AP$4), 1, 0, 2, if(ISBLANK('2025'!$P182), 0, 1), 3, if(ISBLANK('2025'!$Q182), 0, 1), 4, if(ISBLANK('2025'!$R182), 0, 1), 5, if(ISBLANK('2025'!$S182), 0, 1), 6, if(ISBLANK('2025'!$T182), 0, 1), 7, 0))), 1, "")</f>
        <v/>
      </c>
      <c r="AQ184" s="1" t="str">
        <f>IF(AND(AND(AND(AQ$4&gt;='2025'!$L182,AQ$4&lt;='2025'!$M182), AQ$4&lt;&gt;DATE(2025,7,4)), (SWITCH(weekday(AQ$4), 1, 0, 2, if(ISBLANK('2025'!$P182), 0, 1), 3, if(ISBLANK('2025'!$Q182), 0, 1), 4, if(ISBLANK('2025'!$R182), 0, 1), 5, if(ISBLANK('2025'!$S182), 0, 1), 6, if(ISBLANK('2025'!$T182), 0, 1), 7, 0))), 1, "")</f>
        <v/>
      </c>
      <c r="AR184" s="1" t="str">
        <f>IF(AND(AND(AND(AR$4&gt;='2025'!$L182,AR$4&lt;='2025'!$M182), AR$4&lt;&gt;DATE(2025,7,4)), (SWITCH(weekday(AR$4), 1, 0, 2, if(ISBLANK('2025'!$P182), 0, 1), 3, if(ISBLANK('2025'!$Q182), 0, 1), 4, if(ISBLANK('2025'!$R182), 0, 1), 5, if(ISBLANK('2025'!$S182), 0, 1), 6, if(ISBLANK('2025'!$T182), 0, 1), 7, 0))), 1, "")</f>
        <v/>
      </c>
      <c r="AS184" s="1" t="str">
        <f>IF(AND(AND(AND(AS$4&gt;='2025'!$L182,AS$4&lt;='2025'!$M182), AS$4&lt;&gt;DATE(2025,7,4)), (SWITCH(weekday(AS$4), 1, 0, 2, if(ISBLANK('2025'!$P182), 0, 1), 3, if(ISBLANK('2025'!$Q182), 0, 1), 4, if(ISBLANK('2025'!$R182), 0, 1), 5, if(ISBLANK('2025'!$S182), 0, 1), 6, if(ISBLANK('2025'!$T182), 0, 1), 7, 0))), 1, "")</f>
        <v/>
      </c>
      <c r="AT184" s="1" t="str">
        <f>IF(AND(AND(AND(AT$4&gt;='2025'!$L182,AT$4&lt;='2025'!$M182), AT$4&lt;&gt;DATE(2025,7,4)), (SWITCH(weekday(AT$4), 1, 0, 2, if(ISBLANK('2025'!$P182), 0, 1), 3, if(ISBLANK('2025'!$Q182), 0, 1), 4, if(ISBLANK('2025'!$R182), 0, 1), 5, if(ISBLANK('2025'!$S182), 0, 1), 6, if(ISBLANK('2025'!$T182), 0, 1), 7, 0))), 1, "")</f>
        <v/>
      </c>
      <c r="AU184" s="1" t="str">
        <f>IF(AND(AND(AND(AU$4&gt;='2025'!$L182,AU$4&lt;='2025'!$M182), AU$4&lt;&gt;DATE(2025,7,4)), (SWITCH(weekday(AU$4), 1, 0, 2, if(ISBLANK('2025'!$P182), 0, 1), 3, if(ISBLANK('2025'!$Q182), 0, 1), 4, if(ISBLANK('2025'!$R182), 0, 1), 5, if(ISBLANK('2025'!$S182), 0, 1), 6, if(ISBLANK('2025'!$T182), 0, 1), 7, 0))), 1, "")</f>
        <v/>
      </c>
      <c r="AV184" s="1" t="str">
        <f>IF(AND(AND(AND(AV$4&gt;='2025'!$L182,AV$4&lt;='2025'!$M182), AV$4&lt;&gt;DATE(2025,7,4)), (SWITCH(weekday(AV$4), 1, 0, 2, if(ISBLANK('2025'!$P182), 0, 1), 3, if(ISBLANK('2025'!$Q182), 0, 1), 4, if(ISBLANK('2025'!$R182), 0, 1), 5, if(ISBLANK('2025'!$S182), 0, 1), 6, if(ISBLANK('2025'!$T182), 0, 1), 7, 0))), 1, "")</f>
        <v/>
      </c>
      <c r="AW184" s="1" t="str">
        <f>IF(AND(AND(AND(AW$4&gt;='2025'!$L182,AW$4&lt;='2025'!$M182), AW$4&lt;&gt;DATE(2025,7,4)), (SWITCH(weekday(AW$4), 1, 0, 2, if(ISBLANK('2025'!$P182), 0, 1), 3, if(ISBLANK('2025'!$Q182), 0, 1), 4, if(ISBLANK('2025'!$R182), 0, 1), 5, if(ISBLANK('2025'!$S182), 0, 1), 6, if(ISBLANK('2025'!$T182), 0, 1), 7, 0))), 1, "")</f>
        <v/>
      </c>
      <c r="AX184" s="1" t="str">
        <f>IF(AND(AND(AND(AX$4&gt;='2025'!$L182,AX$4&lt;='2025'!$M182), AX$4&lt;&gt;DATE(2025,7,4)), (SWITCH(weekday(AX$4), 1, 0, 2, if(ISBLANK('2025'!$P182), 0, 1), 3, if(ISBLANK('2025'!$Q182), 0, 1), 4, if(ISBLANK('2025'!$R182), 0, 1), 5, if(ISBLANK('2025'!$S182), 0, 1), 6, if(ISBLANK('2025'!$T182), 0, 1), 7, 0))), 1, "")</f>
        <v/>
      </c>
      <c r="AY184" s="1" t="str">
        <f>IF(AND(AND(AND(AY$4&gt;='2025'!$L182,AY$4&lt;='2025'!$M182), AY$4&lt;&gt;DATE(2025,7,4)), (SWITCH(weekday(AY$4), 1, 0, 2, if(ISBLANK('2025'!$P182), 0, 1), 3, if(ISBLANK('2025'!$Q182), 0, 1), 4, if(ISBLANK('2025'!$R182), 0, 1), 5, if(ISBLANK('2025'!$S182), 0, 1), 6, if(ISBLANK('2025'!$T182), 0, 1), 7, 0))), 1, "")</f>
        <v/>
      </c>
      <c r="AZ184" s="1" t="str">
        <f>IF(AND(AND(AND(AZ$4&gt;='2025'!$L182,AZ$4&lt;='2025'!$M182), AZ$4&lt;&gt;DATE(2025,7,4)), (SWITCH(weekday(AZ$4), 1, 0, 2, if(ISBLANK('2025'!$P182), 0, 1), 3, if(ISBLANK('2025'!$Q182), 0, 1), 4, if(ISBLANK('2025'!$R182), 0, 1), 5, if(ISBLANK('2025'!$S182), 0, 1), 6, if(ISBLANK('2025'!$T182), 0, 1), 7, 0))), 1, "")</f>
        <v/>
      </c>
      <c r="BA184" s="1" t="str">
        <f>IF(AND(AND(AND(BA$4&gt;='2025'!$L182,BA$4&lt;='2025'!$M182), BA$4&lt;&gt;DATE(2025,7,4)), (SWITCH(weekday(BA$4), 1, 0, 2, if(ISBLANK('2025'!$P182), 0, 1), 3, if(ISBLANK('2025'!$Q182), 0, 1), 4, if(ISBLANK('2025'!$R182), 0, 1), 5, if(ISBLANK('2025'!$S182), 0, 1), 6, if(ISBLANK('2025'!$T182), 0, 1), 7, 0))), 1, "")</f>
        <v/>
      </c>
      <c r="BB184" s="1" t="str">
        <f>IF(AND(AND(AND(BB$4&gt;='2025'!$L182,BB$4&lt;='2025'!$M182), BB$4&lt;&gt;DATE(2025,7,4)), (SWITCH(weekday(BB$4), 1, 0, 2, if(ISBLANK('2025'!$P182), 0, 1), 3, if(ISBLANK('2025'!$Q182), 0, 1), 4, if(ISBLANK('2025'!$R182), 0, 1), 5, if(ISBLANK('2025'!$S182), 0, 1), 6, if(ISBLANK('2025'!$T182), 0, 1), 7, 0))), 1, "")</f>
        <v/>
      </c>
      <c r="BC184" s="1" t="str">
        <f>IF(AND(AND(AND(BC$4&gt;='2025'!$L182,BC$4&lt;='2025'!$M182), BC$4&lt;&gt;DATE(2025,7,4)), (SWITCH(weekday(BC$4), 1, 0, 2, if(ISBLANK('2025'!$P182), 0, 1), 3, if(ISBLANK('2025'!$Q182), 0, 1), 4, if(ISBLANK('2025'!$R182), 0, 1), 5, if(ISBLANK('2025'!$S182), 0, 1), 6, if(ISBLANK('2025'!$T182), 0, 1), 7, 0))), 1, "")</f>
        <v/>
      </c>
      <c r="BD184" s="1" t="str">
        <f>IF(AND(AND(AND(BD$4&gt;='2025'!$L182,BD$4&lt;='2025'!$M182), BD$4&lt;&gt;DATE(2025,7,4)), (SWITCH(weekday(BD$4), 1, 0, 2, if(ISBLANK('2025'!$P182), 0, 1), 3, if(ISBLANK('2025'!$Q182), 0, 1), 4, if(ISBLANK('2025'!$R182), 0, 1), 5, if(ISBLANK('2025'!$S182), 0, 1), 6, if(ISBLANK('2025'!$T182), 0, 1), 7, 0))), 1, "")</f>
        <v/>
      </c>
      <c r="BE184" s="1" t="str">
        <f>IF(AND(AND(AND(BE$4&gt;='2025'!$L182,BE$4&lt;='2025'!$M182), BE$4&lt;&gt;DATE(2025,7,4)), (SWITCH(weekday(BE$4), 1, 0, 2, if(ISBLANK('2025'!$P182), 0, 1), 3, if(ISBLANK('2025'!$Q182), 0, 1), 4, if(ISBLANK('2025'!$R182), 0, 1), 5, if(ISBLANK('2025'!$S182), 0, 1), 6, if(ISBLANK('2025'!$T182), 0, 1), 7, 0))), 1, "")</f>
        <v/>
      </c>
      <c r="BF184" s="1" t="str">
        <f>IF(AND(AND(AND(BF$4&gt;='2025'!$L182,BF$4&lt;='2025'!$M182), BF$4&lt;&gt;DATE(2025,7,4)), (SWITCH(weekday(BF$4), 1, 0, 2, if(ISBLANK('2025'!$P182), 0, 1), 3, if(ISBLANK('2025'!$Q182), 0, 1), 4, if(ISBLANK('2025'!$R182), 0, 1), 5, if(ISBLANK('2025'!$S182), 0, 1), 6, if(ISBLANK('2025'!$T182), 0, 1), 7, 0))), 1, "")</f>
        <v/>
      </c>
      <c r="BG184" s="1"/>
      <c r="BH184" s="1"/>
      <c r="BI184" s="1"/>
      <c r="BJ184" s="1"/>
      <c r="BK184" s="1"/>
      <c r="BL184" s="1"/>
    </row>
    <row r="185">
      <c r="A185" s="1">
        <f t="shared" si="3"/>
        <v>185</v>
      </c>
      <c r="B185" s="1" t="str">
        <f>'2025'!D149</f>
        <v>, </v>
      </c>
      <c r="C185" s="1" t="str">
        <f>'2025'!H149</f>
        <v/>
      </c>
      <c r="D185" s="1" t="str">
        <f>IF(AND(AND(AND(D$4&gt;='2025'!$L183,D$4&lt;='2025'!$M183), D$4&lt;&gt;DATE(2025,7,4)), (SWITCH(weekday(D$4), 1, 0, 2, if(ISBLANK('2025'!$P183), 0, 1), 3, if(ISBLANK('2025'!$Q183), 0, 1), 4, if(ISBLANK('2025'!$R183), 0, 1), 5, if(ISBLANK('2025'!$S183), 0, 1), 6, if(ISBLANK('2025'!$T183), 0, 1), 7, 0))), 1, "")</f>
        <v/>
      </c>
      <c r="E185" s="1" t="str">
        <f>IF(AND(AND(AND(E$4&gt;='2025'!$L183,E$4&lt;='2025'!$M183), E$4&lt;&gt;DATE(2025,7,4)), (SWITCH(weekday(E$4), 1, 0, 2, if(ISBLANK('2025'!$P183), 0, 1), 3, if(ISBLANK('2025'!$Q183), 0, 1), 4, if(ISBLANK('2025'!$R183), 0, 1), 5, if(ISBLANK('2025'!$S183), 0, 1), 6, if(ISBLANK('2025'!$T183), 0, 1), 7, 0))), 1, "")</f>
        <v/>
      </c>
      <c r="F185" s="1" t="str">
        <f>IF(AND(AND(AND(F$4&gt;='2025'!$L183,F$4&lt;='2025'!$M183), F$4&lt;&gt;DATE(2025,7,4)), (SWITCH(weekday(F$4), 1, 0, 2, if(ISBLANK('2025'!$P183), 0, 1), 3, if(ISBLANK('2025'!$Q183), 0, 1), 4, if(ISBLANK('2025'!$R183), 0, 1), 5, if(ISBLANK('2025'!$S183), 0, 1), 6, if(ISBLANK('2025'!$T183), 0, 1), 7, 0))), 1, "")</f>
        <v/>
      </c>
      <c r="G185" s="1" t="str">
        <f>IF(AND(AND(AND(G$4&gt;='2025'!$L183,G$4&lt;='2025'!$M183), G$4&lt;&gt;DATE(2025,7,4)), (SWITCH(weekday(G$4), 1, 0, 2, if(ISBLANK('2025'!$P183), 0, 1), 3, if(ISBLANK('2025'!$Q183), 0, 1), 4, if(ISBLANK('2025'!$R183), 0, 1), 5, if(ISBLANK('2025'!$S183), 0, 1), 6, if(ISBLANK('2025'!$T183), 0, 1), 7, 0))), 1, "")</f>
        <v/>
      </c>
      <c r="H185" s="1" t="str">
        <f>IF(AND(AND(AND(H$4&gt;='2025'!$L183,H$4&lt;='2025'!$M183), H$4&lt;&gt;DATE(2025,7,4)), (SWITCH(weekday(H$4), 1, 0, 2, if(ISBLANK('2025'!$P183), 0, 1), 3, if(ISBLANK('2025'!$Q183), 0, 1), 4, if(ISBLANK('2025'!$R183), 0, 1), 5, if(ISBLANK('2025'!$S183), 0, 1), 6, if(ISBLANK('2025'!$T183), 0, 1), 7, 0))), 1, "")</f>
        <v/>
      </c>
      <c r="I185" s="1" t="str">
        <f>IF(AND(AND(AND(I$4&gt;='2025'!$L183,I$4&lt;='2025'!$M183), I$4&lt;&gt;DATE(2025,7,4)), (SWITCH(weekday(I$4), 1, 0, 2, if(ISBLANK('2025'!$P183), 0, 1), 3, if(ISBLANK('2025'!$Q183), 0, 1), 4, if(ISBLANK('2025'!$R183), 0, 1), 5, if(ISBLANK('2025'!$S183), 0, 1), 6, if(ISBLANK('2025'!$T183), 0, 1), 7, 0))), 1, "")</f>
        <v/>
      </c>
      <c r="J185" s="1" t="str">
        <f>IF(AND(AND(AND(J$4&gt;='2025'!$L183,J$4&lt;='2025'!$M183), J$4&lt;&gt;DATE(2025,7,4)), (SWITCH(weekday(J$4), 1, 0, 2, if(ISBLANK('2025'!$P183), 0, 1), 3, if(ISBLANK('2025'!$Q183), 0, 1), 4, if(ISBLANK('2025'!$R183), 0, 1), 5, if(ISBLANK('2025'!$S183), 0, 1), 6, if(ISBLANK('2025'!$T183), 0, 1), 7, 0))), 1, "")</f>
        <v/>
      </c>
      <c r="K185" s="1" t="str">
        <f>IF(AND(AND(AND(K$4&gt;='2025'!$L183,K$4&lt;='2025'!$M183), K$4&lt;&gt;DATE(2025,7,4)), (SWITCH(weekday(K$4), 1, 0, 2, if(ISBLANK('2025'!$P183), 0, 1), 3, if(ISBLANK('2025'!$Q183), 0, 1), 4, if(ISBLANK('2025'!$R183), 0, 1), 5, if(ISBLANK('2025'!$S183), 0, 1), 6, if(ISBLANK('2025'!$T183), 0, 1), 7, 0))), 1, "")</f>
        <v/>
      </c>
      <c r="L185" s="1" t="str">
        <f>IF(AND(AND(AND(L$4&gt;='2025'!$L183,L$4&lt;='2025'!$M183), L$4&lt;&gt;DATE(2025,7,4)), (SWITCH(weekday(L$4), 1, 0, 2, if(ISBLANK('2025'!$P183), 0, 1), 3, if(ISBLANK('2025'!$Q183), 0, 1), 4, if(ISBLANK('2025'!$R183), 0, 1), 5, if(ISBLANK('2025'!$S183), 0, 1), 6, if(ISBLANK('2025'!$T183), 0, 1), 7, 0))), 1, "")</f>
        <v/>
      </c>
      <c r="M185" s="1" t="str">
        <f>IF(AND(AND(AND(M$4&gt;='2025'!$L183,M$4&lt;='2025'!$M183), M$4&lt;&gt;DATE(2025,7,4)), (SWITCH(weekday(M$4), 1, 0, 2, if(ISBLANK('2025'!$P183), 0, 1), 3, if(ISBLANK('2025'!$Q183), 0, 1), 4, if(ISBLANK('2025'!$R183), 0, 1), 5, if(ISBLANK('2025'!$S183), 0, 1), 6, if(ISBLANK('2025'!$T183), 0, 1), 7, 0))), 1, "")</f>
        <v/>
      </c>
      <c r="N185" s="1" t="str">
        <f>IF(AND(AND(AND(N$4&gt;='2025'!$L183,N$4&lt;='2025'!$M183), N$4&lt;&gt;DATE(2025,7,4)), (SWITCH(weekday(N$4), 1, 0, 2, if(ISBLANK('2025'!$P183), 0, 1), 3, if(ISBLANK('2025'!$Q183), 0, 1), 4, if(ISBLANK('2025'!$R183), 0, 1), 5, if(ISBLANK('2025'!$S183), 0, 1), 6, if(ISBLANK('2025'!$T183), 0, 1), 7, 0))), 1, "")</f>
        <v/>
      </c>
      <c r="O185" s="1" t="str">
        <f>IF(AND(AND(AND(O$4&gt;='2025'!$L183,O$4&lt;='2025'!$M183), O$4&lt;&gt;DATE(2025,7,4)), (SWITCH(weekday(O$4), 1, 0, 2, if(ISBLANK('2025'!$P183), 0, 1), 3, if(ISBLANK('2025'!$Q183), 0, 1), 4, if(ISBLANK('2025'!$R183), 0, 1), 5, if(ISBLANK('2025'!$S183), 0, 1), 6, if(ISBLANK('2025'!$T183), 0, 1), 7, 0))), 1, "")</f>
        <v/>
      </c>
      <c r="P185" s="1" t="str">
        <f>IF(AND(AND(AND(P$4&gt;='2025'!$L183,P$4&lt;='2025'!$M183), P$4&lt;&gt;DATE(2025,7,4)), (SWITCH(weekday(P$4), 1, 0, 2, if(ISBLANK('2025'!$P183), 0, 1), 3, if(ISBLANK('2025'!$Q183), 0, 1), 4, if(ISBLANK('2025'!$R183), 0, 1), 5, if(ISBLANK('2025'!$S183), 0, 1), 6, if(ISBLANK('2025'!$T183), 0, 1), 7, 0))), 1, "")</f>
        <v/>
      </c>
      <c r="Q185" s="1" t="str">
        <f>IF(AND(AND(AND(Q$4&gt;='2025'!$L183,Q$4&lt;='2025'!$M183), Q$4&lt;&gt;DATE(2025,7,4)), (SWITCH(weekday(Q$4), 1, 0, 2, if(ISBLANK('2025'!$P183), 0, 1), 3, if(ISBLANK('2025'!$Q183), 0, 1), 4, if(ISBLANK('2025'!$R183), 0, 1), 5, if(ISBLANK('2025'!$S183), 0, 1), 6, if(ISBLANK('2025'!$T183), 0, 1), 7, 0))), 1, "")</f>
        <v/>
      </c>
      <c r="R185" s="1" t="str">
        <f>IF(AND(AND(AND(R$4&gt;='2025'!$L183,R$4&lt;='2025'!$M183), R$4&lt;&gt;DATE(2025,7,4)), (SWITCH(weekday(R$4), 1, 0, 2, if(ISBLANK('2025'!$P183), 0, 1), 3, if(ISBLANK('2025'!$Q183), 0, 1), 4, if(ISBLANK('2025'!$R183), 0, 1), 5, if(ISBLANK('2025'!$S183), 0, 1), 6, if(ISBLANK('2025'!$T183), 0, 1), 7, 0))), 1, "")</f>
        <v/>
      </c>
      <c r="S185" s="1" t="str">
        <f>IF(AND(AND(AND(S$4&gt;='2025'!$L183,S$4&lt;='2025'!$M183), S$4&lt;&gt;DATE(2025,7,4)), (SWITCH(weekday(S$4), 1, 0, 2, if(ISBLANK('2025'!$P183), 0, 1), 3, if(ISBLANK('2025'!$Q183), 0, 1), 4, if(ISBLANK('2025'!$R183), 0, 1), 5, if(ISBLANK('2025'!$S183), 0, 1), 6, if(ISBLANK('2025'!$T183), 0, 1), 7, 0))), 1, "")</f>
        <v/>
      </c>
      <c r="T185" s="1" t="str">
        <f>IF(AND(AND(AND(T$4&gt;='2025'!$L183,T$4&lt;='2025'!$M183), T$4&lt;&gt;DATE(2025,7,4)), (SWITCH(weekday(T$4), 1, 0, 2, if(ISBLANK('2025'!$P183), 0, 1), 3, if(ISBLANK('2025'!$Q183), 0, 1), 4, if(ISBLANK('2025'!$R183), 0, 1), 5, if(ISBLANK('2025'!$S183), 0, 1), 6, if(ISBLANK('2025'!$T183), 0, 1), 7, 0))), 1, "")</f>
        <v/>
      </c>
      <c r="U185" s="1" t="str">
        <f>IF(AND(AND(AND(U$4&gt;='2025'!$L183,U$4&lt;='2025'!$M183), U$4&lt;&gt;DATE(2025,7,4)), (SWITCH(weekday(U$4), 1, 0, 2, if(ISBLANK('2025'!$P183), 0, 1), 3, if(ISBLANK('2025'!$Q183), 0, 1), 4, if(ISBLANK('2025'!$R183), 0, 1), 5, if(ISBLANK('2025'!$S183), 0, 1), 6, if(ISBLANK('2025'!$T183), 0, 1), 7, 0))), 1, "")</f>
        <v/>
      </c>
      <c r="V185" s="1" t="str">
        <f>IF(AND(AND(AND(V$4&gt;='2025'!$L183,V$4&lt;='2025'!$M183), V$4&lt;&gt;DATE(2025,7,4)), (SWITCH(weekday(V$4), 1, 0, 2, if(ISBLANK('2025'!$P183), 0, 1), 3, if(ISBLANK('2025'!$Q183), 0, 1), 4, if(ISBLANK('2025'!$R183), 0, 1), 5, if(ISBLANK('2025'!$S183), 0, 1), 6, if(ISBLANK('2025'!$T183), 0, 1), 7, 0))), 1, "")</f>
        <v/>
      </c>
      <c r="W185" s="1" t="str">
        <f>IF(AND(AND(AND(W$4&gt;='2025'!$L183,W$4&lt;='2025'!$M183), W$4&lt;&gt;DATE(2025,7,4)), (SWITCH(weekday(W$4), 1, 0, 2, if(ISBLANK('2025'!$P183), 0, 1), 3, if(ISBLANK('2025'!$Q183), 0, 1), 4, if(ISBLANK('2025'!$R183), 0, 1), 5, if(ISBLANK('2025'!$S183), 0, 1), 6, if(ISBLANK('2025'!$T183), 0, 1), 7, 0))), 1, "")</f>
        <v/>
      </c>
      <c r="X185" s="1" t="str">
        <f>IF(AND(AND(AND(X$4&gt;='2025'!$L183,X$4&lt;='2025'!$M183), X$4&lt;&gt;DATE(2025,7,4)), (SWITCH(weekday(X$4), 1, 0, 2, if(ISBLANK('2025'!$P183), 0, 1), 3, if(ISBLANK('2025'!$Q183), 0, 1), 4, if(ISBLANK('2025'!$R183), 0, 1), 5, if(ISBLANK('2025'!$S183), 0, 1), 6, if(ISBLANK('2025'!$T183), 0, 1), 7, 0))), 1, "")</f>
        <v/>
      </c>
      <c r="Y185" s="1" t="str">
        <f>IF(AND(AND(AND(Y$4&gt;='2025'!$L183,Y$4&lt;='2025'!$M183), Y$4&lt;&gt;DATE(2025,7,4)), (SWITCH(weekday(Y$4), 1, 0, 2, if(ISBLANK('2025'!$P183), 0, 1), 3, if(ISBLANK('2025'!$Q183), 0, 1), 4, if(ISBLANK('2025'!$R183), 0, 1), 5, if(ISBLANK('2025'!$S183), 0, 1), 6, if(ISBLANK('2025'!$T183), 0, 1), 7, 0))), 1, "")</f>
        <v/>
      </c>
      <c r="Z185" s="1" t="str">
        <f>IF(AND(AND(AND(Z$4&gt;='2025'!$L183,Z$4&lt;='2025'!$M183), Z$4&lt;&gt;DATE(2025,7,4)), (SWITCH(weekday(Z$4), 1, 0, 2, if(ISBLANK('2025'!$P183), 0, 1), 3, if(ISBLANK('2025'!$Q183), 0, 1), 4, if(ISBLANK('2025'!$R183), 0, 1), 5, if(ISBLANK('2025'!$S183), 0, 1), 6, if(ISBLANK('2025'!$T183), 0, 1), 7, 0))), 1, "")</f>
        <v/>
      </c>
      <c r="AA185" s="1" t="str">
        <f>IF(AND(AND(AND(AA$4&gt;='2025'!$L183,AA$4&lt;='2025'!$M183), AA$4&lt;&gt;DATE(2025,7,4)), (SWITCH(weekday(AA$4), 1, 0, 2, if(ISBLANK('2025'!$P183), 0, 1), 3, if(ISBLANK('2025'!$Q183), 0, 1), 4, if(ISBLANK('2025'!$R183), 0, 1), 5, if(ISBLANK('2025'!$S183), 0, 1), 6, if(ISBLANK('2025'!$T183), 0, 1), 7, 0))), 1, "")</f>
        <v/>
      </c>
      <c r="AB185" s="1" t="str">
        <f>IF(AND(AND(AND(AB$4&gt;='2025'!$L183,AB$4&lt;='2025'!$M183), AB$4&lt;&gt;DATE(2025,7,4)), (SWITCH(weekday(AB$4), 1, 0, 2, if(ISBLANK('2025'!$P183), 0, 1), 3, if(ISBLANK('2025'!$Q183), 0, 1), 4, if(ISBLANK('2025'!$R183), 0, 1), 5, if(ISBLANK('2025'!$S183), 0, 1), 6, if(ISBLANK('2025'!$T183), 0, 1), 7, 0))), 1, "")</f>
        <v/>
      </c>
      <c r="AC185" s="1" t="str">
        <f>IF(AND(AND(AND(AC$4&gt;='2025'!$L183,AC$4&lt;='2025'!$M183), AC$4&lt;&gt;DATE(2025,7,4)), (SWITCH(weekday(AC$4), 1, 0, 2, if(ISBLANK('2025'!$P183), 0, 1), 3, if(ISBLANK('2025'!$Q183), 0, 1), 4, if(ISBLANK('2025'!$R183), 0, 1), 5, if(ISBLANK('2025'!$S183), 0, 1), 6, if(ISBLANK('2025'!$T183), 0, 1), 7, 0))), 1, "")</f>
        <v/>
      </c>
      <c r="AD185" s="1" t="str">
        <f>IF(AND(AND(AND(AD$4&gt;='2025'!$L183,AD$4&lt;='2025'!$M183), AD$4&lt;&gt;DATE(2025,7,4)), (SWITCH(weekday(AD$4), 1, 0, 2, if(ISBLANK('2025'!$P183), 0, 1), 3, if(ISBLANK('2025'!$Q183), 0, 1), 4, if(ISBLANK('2025'!$R183), 0, 1), 5, if(ISBLANK('2025'!$S183), 0, 1), 6, if(ISBLANK('2025'!$T183), 0, 1), 7, 0))), 1, "")</f>
        <v/>
      </c>
      <c r="AE185" s="1" t="str">
        <f>IF(AND(AND(AND(AE$4&gt;='2025'!$L183,AE$4&lt;='2025'!$M183), AE$4&lt;&gt;DATE(2025,7,4)), (SWITCH(weekday(AE$4), 1, 0, 2, if(ISBLANK('2025'!$P183), 0, 1), 3, if(ISBLANK('2025'!$Q183), 0, 1), 4, if(ISBLANK('2025'!$R183), 0, 1), 5, if(ISBLANK('2025'!$S183), 0, 1), 6, if(ISBLANK('2025'!$T183), 0, 1), 7, 0))), 1, "")</f>
        <v/>
      </c>
      <c r="AF185" s="1" t="str">
        <f>IF(AND(AND(AND(AF$4&gt;='2025'!$L183,AF$4&lt;='2025'!$M183), AF$4&lt;&gt;DATE(2025,7,4)), (SWITCH(weekday(AF$4), 1, 0, 2, if(ISBLANK('2025'!$P183), 0, 1), 3, if(ISBLANK('2025'!$Q183), 0, 1), 4, if(ISBLANK('2025'!$R183), 0, 1), 5, if(ISBLANK('2025'!$S183), 0, 1), 6, if(ISBLANK('2025'!$T183), 0, 1), 7, 0))), 1, "")</f>
        <v/>
      </c>
      <c r="AG185" s="1" t="str">
        <f>IF(AND(AND(AND(AG$4&gt;='2025'!$L183,AG$4&lt;='2025'!$M183), AG$4&lt;&gt;DATE(2025,7,4)), (SWITCH(weekday(AG$4), 1, 0, 2, if(ISBLANK('2025'!$P183), 0, 1), 3, if(ISBLANK('2025'!$Q183), 0, 1), 4, if(ISBLANK('2025'!$R183), 0, 1), 5, if(ISBLANK('2025'!$S183), 0, 1), 6, if(ISBLANK('2025'!$T183), 0, 1), 7, 0))), 1, "")</f>
        <v/>
      </c>
      <c r="AH185" s="1" t="str">
        <f>IF(AND(AND(AND(AH$4&gt;='2025'!$L183,AH$4&lt;='2025'!$M183), AH$4&lt;&gt;DATE(2025,7,4)), (SWITCH(weekday(AH$4), 1, 0, 2, if(ISBLANK('2025'!$P183), 0, 1), 3, if(ISBLANK('2025'!$Q183), 0, 1), 4, if(ISBLANK('2025'!$R183), 0, 1), 5, if(ISBLANK('2025'!$S183), 0, 1), 6, if(ISBLANK('2025'!$T183), 0, 1), 7, 0))), 1, "")</f>
        <v/>
      </c>
      <c r="AI185" s="1" t="str">
        <f>IF(AND(AND(AND(AI$4&gt;='2025'!$L183,AI$4&lt;='2025'!$M183), AI$4&lt;&gt;DATE(2025,7,4)), (SWITCH(weekday(AI$4), 1, 0, 2, if(ISBLANK('2025'!$P183), 0, 1), 3, if(ISBLANK('2025'!$Q183), 0, 1), 4, if(ISBLANK('2025'!$R183), 0, 1), 5, if(ISBLANK('2025'!$S183), 0, 1), 6, if(ISBLANK('2025'!$T183), 0, 1), 7, 0))), 1, "")</f>
        <v/>
      </c>
      <c r="AJ185" s="1" t="str">
        <f>IF(AND(AND(AND(AJ$4&gt;='2025'!$L183,AJ$4&lt;='2025'!$M183), AJ$4&lt;&gt;DATE(2025,7,4)), (SWITCH(weekday(AJ$4), 1, 0, 2, if(ISBLANK('2025'!$P183), 0, 1), 3, if(ISBLANK('2025'!$Q183), 0, 1), 4, if(ISBLANK('2025'!$R183), 0, 1), 5, if(ISBLANK('2025'!$S183), 0, 1), 6, if(ISBLANK('2025'!$T183), 0, 1), 7, 0))), 1, "")</f>
        <v/>
      </c>
      <c r="AK185" s="1" t="str">
        <f>IF(AND(AND(AND(AK$4&gt;='2025'!$L183,AK$4&lt;='2025'!$M183), AK$4&lt;&gt;DATE(2025,7,4)), (SWITCH(weekday(AK$4), 1, 0, 2, if(ISBLANK('2025'!$P183), 0, 1), 3, if(ISBLANK('2025'!$Q183), 0, 1), 4, if(ISBLANK('2025'!$R183), 0, 1), 5, if(ISBLANK('2025'!$S183), 0, 1), 6, if(ISBLANK('2025'!$T183), 0, 1), 7, 0))), 1, "")</f>
        <v/>
      </c>
      <c r="AL185" s="1" t="str">
        <f>IF(AND(AND(AND(AL$4&gt;='2025'!$L183,AL$4&lt;='2025'!$M183), AL$4&lt;&gt;DATE(2025,7,4)), (SWITCH(weekday(AL$4), 1, 0, 2, if(ISBLANK('2025'!$P183), 0, 1), 3, if(ISBLANK('2025'!$Q183), 0, 1), 4, if(ISBLANK('2025'!$R183), 0, 1), 5, if(ISBLANK('2025'!$S183), 0, 1), 6, if(ISBLANK('2025'!$T183), 0, 1), 7, 0))), 1, "")</f>
        <v/>
      </c>
      <c r="AM185" s="1" t="str">
        <f>IF(AND(AND(AND(AM$4&gt;='2025'!$L183,AM$4&lt;='2025'!$M183), AM$4&lt;&gt;DATE(2025,7,4)), (SWITCH(weekday(AM$4), 1, 0, 2, if(ISBLANK('2025'!$P183), 0, 1), 3, if(ISBLANK('2025'!$Q183), 0, 1), 4, if(ISBLANK('2025'!$R183), 0, 1), 5, if(ISBLANK('2025'!$S183), 0, 1), 6, if(ISBLANK('2025'!$T183), 0, 1), 7, 0))), 1, "")</f>
        <v/>
      </c>
      <c r="AN185" s="1" t="str">
        <f>IF(AND(AND(AND(AN$4&gt;='2025'!$L183,AN$4&lt;='2025'!$M183), AN$4&lt;&gt;DATE(2025,7,4)), (SWITCH(weekday(AN$4), 1, 0, 2, if(ISBLANK('2025'!$P183), 0, 1), 3, if(ISBLANK('2025'!$Q183), 0, 1), 4, if(ISBLANK('2025'!$R183), 0, 1), 5, if(ISBLANK('2025'!$S183), 0, 1), 6, if(ISBLANK('2025'!$T183), 0, 1), 7, 0))), 1, "")</f>
        <v/>
      </c>
      <c r="AO185" s="1" t="str">
        <f>IF(AND(AND(AND(AO$4&gt;='2025'!$L183,AO$4&lt;='2025'!$M183), AO$4&lt;&gt;DATE(2025,7,4)), (SWITCH(weekday(AO$4), 1, 0, 2, if(ISBLANK('2025'!$P183), 0, 1), 3, if(ISBLANK('2025'!$Q183), 0, 1), 4, if(ISBLANK('2025'!$R183), 0, 1), 5, if(ISBLANK('2025'!$S183), 0, 1), 6, if(ISBLANK('2025'!$T183), 0, 1), 7, 0))), 1, "")</f>
        <v/>
      </c>
      <c r="AP185" s="1" t="str">
        <f>IF(AND(AND(AND(AP$4&gt;='2025'!$L183,AP$4&lt;='2025'!$M183), AP$4&lt;&gt;DATE(2025,7,4)), (SWITCH(weekday(AP$4), 1, 0, 2, if(ISBLANK('2025'!$P183), 0, 1), 3, if(ISBLANK('2025'!$Q183), 0, 1), 4, if(ISBLANK('2025'!$R183), 0, 1), 5, if(ISBLANK('2025'!$S183), 0, 1), 6, if(ISBLANK('2025'!$T183), 0, 1), 7, 0))), 1, "")</f>
        <v/>
      </c>
      <c r="AQ185" s="1" t="str">
        <f>IF(AND(AND(AND(AQ$4&gt;='2025'!$L183,AQ$4&lt;='2025'!$M183), AQ$4&lt;&gt;DATE(2025,7,4)), (SWITCH(weekday(AQ$4), 1, 0, 2, if(ISBLANK('2025'!$P183), 0, 1), 3, if(ISBLANK('2025'!$Q183), 0, 1), 4, if(ISBLANK('2025'!$R183), 0, 1), 5, if(ISBLANK('2025'!$S183), 0, 1), 6, if(ISBLANK('2025'!$T183), 0, 1), 7, 0))), 1, "")</f>
        <v/>
      </c>
      <c r="AR185" s="1" t="str">
        <f>IF(AND(AND(AND(AR$4&gt;='2025'!$L183,AR$4&lt;='2025'!$M183), AR$4&lt;&gt;DATE(2025,7,4)), (SWITCH(weekday(AR$4), 1, 0, 2, if(ISBLANK('2025'!$P183), 0, 1), 3, if(ISBLANK('2025'!$Q183), 0, 1), 4, if(ISBLANK('2025'!$R183), 0, 1), 5, if(ISBLANK('2025'!$S183), 0, 1), 6, if(ISBLANK('2025'!$T183), 0, 1), 7, 0))), 1, "")</f>
        <v/>
      </c>
      <c r="AS185" s="1" t="str">
        <f>IF(AND(AND(AND(AS$4&gt;='2025'!$L183,AS$4&lt;='2025'!$M183), AS$4&lt;&gt;DATE(2025,7,4)), (SWITCH(weekday(AS$4), 1, 0, 2, if(ISBLANK('2025'!$P183), 0, 1), 3, if(ISBLANK('2025'!$Q183), 0, 1), 4, if(ISBLANK('2025'!$R183), 0, 1), 5, if(ISBLANK('2025'!$S183), 0, 1), 6, if(ISBLANK('2025'!$T183), 0, 1), 7, 0))), 1, "")</f>
        <v/>
      </c>
      <c r="AT185" s="1" t="str">
        <f>IF(AND(AND(AND(AT$4&gt;='2025'!$L183,AT$4&lt;='2025'!$M183), AT$4&lt;&gt;DATE(2025,7,4)), (SWITCH(weekday(AT$4), 1, 0, 2, if(ISBLANK('2025'!$P183), 0, 1), 3, if(ISBLANK('2025'!$Q183), 0, 1), 4, if(ISBLANK('2025'!$R183), 0, 1), 5, if(ISBLANK('2025'!$S183), 0, 1), 6, if(ISBLANK('2025'!$T183), 0, 1), 7, 0))), 1, "")</f>
        <v/>
      </c>
      <c r="AU185" s="1" t="str">
        <f>IF(AND(AND(AND(AU$4&gt;='2025'!$L183,AU$4&lt;='2025'!$M183), AU$4&lt;&gt;DATE(2025,7,4)), (SWITCH(weekday(AU$4), 1, 0, 2, if(ISBLANK('2025'!$P183), 0, 1), 3, if(ISBLANK('2025'!$Q183), 0, 1), 4, if(ISBLANK('2025'!$R183), 0, 1), 5, if(ISBLANK('2025'!$S183), 0, 1), 6, if(ISBLANK('2025'!$T183), 0, 1), 7, 0))), 1, "")</f>
        <v/>
      </c>
      <c r="AV185" s="1" t="str">
        <f>IF(AND(AND(AND(AV$4&gt;='2025'!$L183,AV$4&lt;='2025'!$M183), AV$4&lt;&gt;DATE(2025,7,4)), (SWITCH(weekday(AV$4), 1, 0, 2, if(ISBLANK('2025'!$P183), 0, 1), 3, if(ISBLANK('2025'!$Q183), 0, 1), 4, if(ISBLANK('2025'!$R183), 0, 1), 5, if(ISBLANK('2025'!$S183), 0, 1), 6, if(ISBLANK('2025'!$T183), 0, 1), 7, 0))), 1, "")</f>
        <v/>
      </c>
      <c r="AW185" s="1" t="str">
        <f>IF(AND(AND(AND(AW$4&gt;='2025'!$L183,AW$4&lt;='2025'!$M183), AW$4&lt;&gt;DATE(2025,7,4)), (SWITCH(weekday(AW$4), 1, 0, 2, if(ISBLANK('2025'!$P183), 0, 1), 3, if(ISBLANK('2025'!$Q183), 0, 1), 4, if(ISBLANK('2025'!$R183), 0, 1), 5, if(ISBLANK('2025'!$S183), 0, 1), 6, if(ISBLANK('2025'!$T183), 0, 1), 7, 0))), 1, "")</f>
        <v/>
      </c>
      <c r="AX185" s="1" t="str">
        <f>IF(AND(AND(AND(AX$4&gt;='2025'!$L183,AX$4&lt;='2025'!$M183), AX$4&lt;&gt;DATE(2025,7,4)), (SWITCH(weekday(AX$4), 1, 0, 2, if(ISBLANK('2025'!$P183), 0, 1), 3, if(ISBLANK('2025'!$Q183), 0, 1), 4, if(ISBLANK('2025'!$R183), 0, 1), 5, if(ISBLANK('2025'!$S183), 0, 1), 6, if(ISBLANK('2025'!$T183), 0, 1), 7, 0))), 1, "")</f>
        <v/>
      </c>
      <c r="AY185" s="1" t="str">
        <f>IF(AND(AND(AND(AY$4&gt;='2025'!$L183,AY$4&lt;='2025'!$M183), AY$4&lt;&gt;DATE(2025,7,4)), (SWITCH(weekday(AY$4), 1, 0, 2, if(ISBLANK('2025'!$P183), 0, 1), 3, if(ISBLANK('2025'!$Q183), 0, 1), 4, if(ISBLANK('2025'!$R183), 0, 1), 5, if(ISBLANK('2025'!$S183), 0, 1), 6, if(ISBLANK('2025'!$T183), 0, 1), 7, 0))), 1, "")</f>
        <v/>
      </c>
      <c r="AZ185" s="1" t="str">
        <f>IF(AND(AND(AND(AZ$4&gt;='2025'!$L183,AZ$4&lt;='2025'!$M183), AZ$4&lt;&gt;DATE(2025,7,4)), (SWITCH(weekday(AZ$4), 1, 0, 2, if(ISBLANK('2025'!$P183), 0, 1), 3, if(ISBLANK('2025'!$Q183), 0, 1), 4, if(ISBLANK('2025'!$R183), 0, 1), 5, if(ISBLANK('2025'!$S183), 0, 1), 6, if(ISBLANK('2025'!$T183), 0, 1), 7, 0))), 1, "")</f>
        <v/>
      </c>
      <c r="BA185" s="1" t="str">
        <f>IF(AND(AND(AND(BA$4&gt;='2025'!$L183,BA$4&lt;='2025'!$M183), BA$4&lt;&gt;DATE(2025,7,4)), (SWITCH(weekday(BA$4), 1, 0, 2, if(ISBLANK('2025'!$P183), 0, 1), 3, if(ISBLANK('2025'!$Q183), 0, 1), 4, if(ISBLANK('2025'!$R183), 0, 1), 5, if(ISBLANK('2025'!$S183), 0, 1), 6, if(ISBLANK('2025'!$T183), 0, 1), 7, 0))), 1, "")</f>
        <v/>
      </c>
      <c r="BB185" s="1" t="str">
        <f>IF(AND(AND(AND(BB$4&gt;='2025'!$L183,BB$4&lt;='2025'!$M183), BB$4&lt;&gt;DATE(2025,7,4)), (SWITCH(weekday(BB$4), 1, 0, 2, if(ISBLANK('2025'!$P183), 0, 1), 3, if(ISBLANK('2025'!$Q183), 0, 1), 4, if(ISBLANK('2025'!$R183), 0, 1), 5, if(ISBLANK('2025'!$S183), 0, 1), 6, if(ISBLANK('2025'!$T183), 0, 1), 7, 0))), 1, "")</f>
        <v/>
      </c>
      <c r="BC185" s="1" t="str">
        <f>IF(AND(AND(AND(BC$4&gt;='2025'!$L183,BC$4&lt;='2025'!$M183), BC$4&lt;&gt;DATE(2025,7,4)), (SWITCH(weekday(BC$4), 1, 0, 2, if(ISBLANK('2025'!$P183), 0, 1), 3, if(ISBLANK('2025'!$Q183), 0, 1), 4, if(ISBLANK('2025'!$R183), 0, 1), 5, if(ISBLANK('2025'!$S183), 0, 1), 6, if(ISBLANK('2025'!$T183), 0, 1), 7, 0))), 1, "")</f>
        <v/>
      </c>
      <c r="BD185" s="1" t="str">
        <f>IF(AND(AND(AND(BD$4&gt;='2025'!$L183,BD$4&lt;='2025'!$M183), BD$4&lt;&gt;DATE(2025,7,4)), (SWITCH(weekday(BD$4), 1, 0, 2, if(ISBLANK('2025'!$P183), 0, 1), 3, if(ISBLANK('2025'!$Q183), 0, 1), 4, if(ISBLANK('2025'!$R183), 0, 1), 5, if(ISBLANK('2025'!$S183), 0, 1), 6, if(ISBLANK('2025'!$T183), 0, 1), 7, 0))), 1, "")</f>
        <v/>
      </c>
      <c r="BE185" s="1" t="str">
        <f>IF(AND(AND(AND(BE$4&gt;='2025'!$L183,BE$4&lt;='2025'!$M183), BE$4&lt;&gt;DATE(2025,7,4)), (SWITCH(weekday(BE$4), 1, 0, 2, if(ISBLANK('2025'!$P183), 0, 1), 3, if(ISBLANK('2025'!$Q183), 0, 1), 4, if(ISBLANK('2025'!$R183), 0, 1), 5, if(ISBLANK('2025'!$S183), 0, 1), 6, if(ISBLANK('2025'!$T183), 0, 1), 7, 0))), 1, "")</f>
        <v/>
      </c>
      <c r="BF185" s="1" t="str">
        <f>IF(AND(AND(AND(BF$4&gt;='2025'!$L183,BF$4&lt;='2025'!$M183), BF$4&lt;&gt;DATE(2025,7,4)), (SWITCH(weekday(BF$4), 1, 0, 2, if(ISBLANK('2025'!$P183), 0, 1), 3, if(ISBLANK('2025'!$Q183), 0, 1), 4, if(ISBLANK('2025'!$R183), 0, 1), 5, if(ISBLANK('2025'!$S183), 0, 1), 6, if(ISBLANK('2025'!$T183), 0, 1), 7, 0))), 1, "")</f>
        <v/>
      </c>
      <c r="BG185" s="1"/>
      <c r="BH185" s="1"/>
      <c r="BI185" s="1"/>
      <c r="BJ185" s="1"/>
      <c r="BK185" s="1"/>
      <c r="BL185" s="1"/>
    </row>
    <row r="186">
      <c r="A186" s="1">
        <f t="shared" si="3"/>
        <v>186</v>
      </c>
      <c r="B186" s="1" t="str">
        <f>'2025'!D150</f>
        <v>, </v>
      </c>
      <c r="C186" s="1" t="str">
        <f>'2025'!H150</f>
        <v/>
      </c>
      <c r="D186" s="1" t="str">
        <f>IF(AND(AND(AND(D$4&gt;='2025'!$L184,D$4&lt;='2025'!$M184), D$4&lt;&gt;DATE(2025,7,4)), (SWITCH(weekday(D$4), 1, 0, 2, if(ISBLANK('2025'!$P184), 0, 1), 3, if(ISBLANK('2025'!$Q184), 0, 1), 4, if(ISBLANK('2025'!$R184), 0, 1), 5, if(ISBLANK('2025'!$S184), 0, 1), 6, if(ISBLANK('2025'!$T184), 0, 1), 7, 0))), 1, "")</f>
        <v/>
      </c>
      <c r="E186" s="1" t="str">
        <f>IF(AND(AND(AND(E$4&gt;='2025'!$L184,E$4&lt;='2025'!$M184), E$4&lt;&gt;DATE(2025,7,4)), (SWITCH(weekday(E$4), 1, 0, 2, if(ISBLANK('2025'!$P184), 0, 1), 3, if(ISBLANK('2025'!$Q184), 0, 1), 4, if(ISBLANK('2025'!$R184), 0, 1), 5, if(ISBLANK('2025'!$S184), 0, 1), 6, if(ISBLANK('2025'!$T184), 0, 1), 7, 0))), 1, "")</f>
        <v/>
      </c>
      <c r="F186" s="1" t="str">
        <f>IF(AND(AND(AND(F$4&gt;='2025'!$L184,F$4&lt;='2025'!$M184), F$4&lt;&gt;DATE(2025,7,4)), (SWITCH(weekday(F$4), 1, 0, 2, if(ISBLANK('2025'!$P184), 0, 1), 3, if(ISBLANK('2025'!$Q184), 0, 1), 4, if(ISBLANK('2025'!$R184), 0, 1), 5, if(ISBLANK('2025'!$S184), 0, 1), 6, if(ISBLANK('2025'!$T184), 0, 1), 7, 0))), 1, "")</f>
        <v/>
      </c>
      <c r="G186" s="1" t="str">
        <f>IF(AND(AND(AND(G$4&gt;='2025'!$L184,G$4&lt;='2025'!$M184), G$4&lt;&gt;DATE(2025,7,4)), (SWITCH(weekday(G$4), 1, 0, 2, if(ISBLANK('2025'!$P184), 0, 1), 3, if(ISBLANK('2025'!$Q184), 0, 1), 4, if(ISBLANK('2025'!$R184), 0, 1), 5, if(ISBLANK('2025'!$S184), 0, 1), 6, if(ISBLANK('2025'!$T184), 0, 1), 7, 0))), 1, "")</f>
        <v/>
      </c>
      <c r="H186" s="1" t="str">
        <f>IF(AND(AND(AND(H$4&gt;='2025'!$L184,H$4&lt;='2025'!$M184), H$4&lt;&gt;DATE(2025,7,4)), (SWITCH(weekday(H$4), 1, 0, 2, if(ISBLANK('2025'!$P184), 0, 1), 3, if(ISBLANK('2025'!$Q184), 0, 1), 4, if(ISBLANK('2025'!$R184), 0, 1), 5, if(ISBLANK('2025'!$S184), 0, 1), 6, if(ISBLANK('2025'!$T184), 0, 1), 7, 0))), 1, "")</f>
        <v/>
      </c>
      <c r="I186" s="1" t="str">
        <f>IF(AND(AND(AND(I$4&gt;='2025'!$L184,I$4&lt;='2025'!$M184), I$4&lt;&gt;DATE(2025,7,4)), (SWITCH(weekday(I$4), 1, 0, 2, if(ISBLANK('2025'!$P184), 0, 1), 3, if(ISBLANK('2025'!$Q184), 0, 1), 4, if(ISBLANK('2025'!$R184), 0, 1), 5, if(ISBLANK('2025'!$S184), 0, 1), 6, if(ISBLANK('2025'!$T184), 0, 1), 7, 0))), 1, "")</f>
        <v/>
      </c>
      <c r="J186" s="1" t="str">
        <f>IF(AND(AND(AND(J$4&gt;='2025'!$L184,J$4&lt;='2025'!$M184), J$4&lt;&gt;DATE(2025,7,4)), (SWITCH(weekday(J$4), 1, 0, 2, if(ISBLANK('2025'!$P184), 0, 1), 3, if(ISBLANK('2025'!$Q184), 0, 1), 4, if(ISBLANK('2025'!$R184), 0, 1), 5, if(ISBLANK('2025'!$S184), 0, 1), 6, if(ISBLANK('2025'!$T184), 0, 1), 7, 0))), 1, "")</f>
        <v/>
      </c>
      <c r="K186" s="1" t="str">
        <f>IF(AND(AND(AND(K$4&gt;='2025'!$L184,K$4&lt;='2025'!$M184), K$4&lt;&gt;DATE(2025,7,4)), (SWITCH(weekday(K$4), 1, 0, 2, if(ISBLANK('2025'!$P184), 0, 1), 3, if(ISBLANK('2025'!$Q184), 0, 1), 4, if(ISBLANK('2025'!$R184), 0, 1), 5, if(ISBLANK('2025'!$S184), 0, 1), 6, if(ISBLANK('2025'!$T184), 0, 1), 7, 0))), 1, "")</f>
        <v/>
      </c>
      <c r="L186" s="1" t="str">
        <f>IF(AND(AND(AND(L$4&gt;='2025'!$L184,L$4&lt;='2025'!$M184), L$4&lt;&gt;DATE(2025,7,4)), (SWITCH(weekday(L$4), 1, 0, 2, if(ISBLANK('2025'!$P184), 0, 1), 3, if(ISBLANK('2025'!$Q184), 0, 1), 4, if(ISBLANK('2025'!$R184), 0, 1), 5, if(ISBLANK('2025'!$S184), 0, 1), 6, if(ISBLANK('2025'!$T184), 0, 1), 7, 0))), 1, "")</f>
        <v/>
      </c>
      <c r="M186" s="1" t="str">
        <f>IF(AND(AND(AND(M$4&gt;='2025'!$L184,M$4&lt;='2025'!$M184), M$4&lt;&gt;DATE(2025,7,4)), (SWITCH(weekday(M$4), 1, 0, 2, if(ISBLANK('2025'!$P184), 0, 1), 3, if(ISBLANK('2025'!$Q184), 0, 1), 4, if(ISBLANK('2025'!$R184), 0, 1), 5, if(ISBLANK('2025'!$S184), 0, 1), 6, if(ISBLANK('2025'!$T184), 0, 1), 7, 0))), 1, "")</f>
        <v/>
      </c>
      <c r="N186" s="1" t="str">
        <f>IF(AND(AND(AND(N$4&gt;='2025'!$L184,N$4&lt;='2025'!$M184), N$4&lt;&gt;DATE(2025,7,4)), (SWITCH(weekday(N$4), 1, 0, 2, if(ISBLANK('2025'!$P184), 0, 1), 3, if(ISBLANK('2025'!$Q184), 0, 1), 4, if(ISBLANK('2025'!$R184), 0, 1), 5, if(ISBLANK('2025'!$S184), 0, 1), 6, if(ISBLANK('2025'!$T184), 0, 1), 7, 0))), 1, "")</f>
        <v/>
      </c>
      <c r="O186" s="1" t="str">
        <f>IF(AND(AND(AND(O$4&gt;='2025'!$L184,O$4&lt;='2025'!$M184), O$4&lt;&gt;DATE(2025,7,4)), (SWITCH(weekday(O$4), 1, 0, 2, if(ISBLANK('2025'!$P184), 0, 1), 3, if(ISBLANK('2025'!$Q184), 0, 1), 4, if(ISBLANK('2025'!$R184), 0, 1), 5, if(ISBLANK('2025'!$S184), 0, 1), 6, if(ISBLANK('2025'!$T184), 0, 1), 7, 0))), 1, "")</f>
        <v/>
      </c>
      <c r="P186" s="1" t="str">
        <f>IF(AND(AND(AND(P$4&gt;='2025'!$L184,P$4&lt;='2025'!$M184), P$4&lt;&gt;DATE(2025,7,4)), (SWITCH(weekday(P$4), 1, 0, 2, if(ISBLANK('2025'!$P184), 0, 1), 3, if(ISBLANK('2025'!$Q184), 0, 1), 4, if(ISBLANK('2025'!$R184), 0, 1), 5, if(ISBLANK('2025'!$S184), 0, 1), 6, if(ISBLANK('2025'!$T184), 0, 1), 7, 0))), 1, "")</f>
        <v/>
      </c>
      <c r="Q186" s="1" t="str">
        <f>IF(AND(AND(AND(Q$4&gt;='2025'!$L184,Q$4&lt;='2025'!$M184), Q$4&lt;&gt;DATE(2025,7,4)), (SWITCH(weekday(Q$4), 1, 0, 2, if(ISBLANK('2025'!$P184), 0, 1), 3, if(ISBLANK('2025'!$Q184), 0, 1), 4, if(ISBLANK('2025'!$R184), 0, 1), 5, if(ISBLANK('2025'!$S184), 0, 1), 6, if(ISBLANK('2025'!$T184), 0, 1), 7, 0))), 1, "")</f>
        <v/>
      </c>
      <c r="R186" s="1" t="str">
        <f>IF(AND(AND(AND(R$4&gt;='2025'!$L184,R$4&lt;='2025'!$M184), R$4&lt;&gt;DATE(2025,7,4)), (SWITCH(weekday(R$4), 1, 0, 2, if(ISBLANK('2025'!$P184), 0, 1), 3, if(ISBLANK('2025'!$Q184), 0, 1), 4, if(ISBLANK('2025'!$R184), 0, 1), 5, if(ISBLANK('2025'!$S184), 0, 1), 6, if(ISBLANK('2025'!$T184), 0, 1), 7, 0))), 1, "")</f>
        <v/>
      </c>
      <c r="S186" s="1" t="str">
        <f>IF(AND(AND(AND(S$4&gt;='2025'!$L184,S$4&lt;='2025'!$M184), S$4&lt;&gt;DATE(2025,7,4)), (SWITCH(weekday(S$4), 1, 0, 2, if(ISBLANK('2025'!$P184), 0, 1), 3, if(ISBLANK('2025'!$Q184), 0, 1), 4, if(ISBLANK('2025'!$R184), 0, 1), 5, if(ISBLANK('2025'!$S184), 0, 1), 6, if(ISBLANK('2025'!$T184), 0, 1), 7, 0))), 1, "")</f>
        <v/>
      </c>
      <c r="T186" s="1" t="str">
        <f>IF(AND(AND(AND(T$4&gt;='2025'!$L184,T$4&lt;='2025'!$M184), T$4&lt;&gt;DATE(2025,7,4)), (SWITCH(weekday(T$4), 1, 0, 2, if(ISBLANK('2025'!$P184), 0, 1), 3, if(ISBLANK('2025'!$Q184), 0, 1), 4, if(ISBLANK('2025'!$R184), 0, 1), 5, if(ISBLANK('2025'!$S184), 0, 1), 6, if(ISBLANK('2025'!$T184), 0, 1), 7, 0))), 1, "")</f>
        <v/>
      </c>
      <c r="U186" s="1" t="str">
        <f>IF(AND(AND(AND(U$4&gt;='2025'!$L184,U$4&lt;='2025'!$M184), U$4&lt;&gt;DATE(2025,7,4)), (SWITCH(weekday(U$4), 1, 0, 2, if(ISBLANK('2025'!$P184), 0, 1), 3, if(ISBLANK('2025'!$Q184), 0, 1), 4, if(ISBLANK('2025'!$R184), 0, 1), 5, if(ISBLANK('2025'!$S184), 0, 1), 6, if(ISBLANK('2025'!$T184), 0, 1), 7, 0))), 1, "")</f>
        <v/>
      </c>
      <c r="V186" s="1" t="str">
        <f>IF(AND(AND(AND(V$4&gt;='2025'!$L184,V$4&lt;='2025'!$M184), V$4&lt;&gt;DATE(2025,7,4)), (SWITCH(weekday(V$4), 1, 0, 2, if(ISBLANK('2025'!$P184), 0, 1), 3, if(ISBLANK('2025'!$Q184), 0, 1), 4, if(ISBLANK('2025'!$R184), 0, 1), 5, if(ISBLANK('2025'!$S184), 0, 1), 6, if(ISBLANK('2025'!$T184), 0, 1), 7, 0))), 1, "")</f>
        <v/>
      </c>
      <c r="W186" s="1" t="str">
        <f>IF(AND(AND(AND(W$4&gt;='2025'!$L184,W$4&lt;='2025'!$M184), W$4&lt;&gt;DATE(2025,7,4)), (SWITCH(weekday(W$4), 1, 0, 2, if(ISBLANK('2025'!$P184), 0, 1), 3, if(ISBLANK('2025'!$Q184), 0, 1), 4, if(ISBLANK('2025'!$R184), 0, 1), 5, if(ISBLANK('2025'!$S184), 0, 1), 6, if(ISBLANK('2025'!$T184), 0, 1), 7, 0))), 1, "")</f>
        <v/>
      </c>
      <c r="X186" s="1" t="str">
        <f>IF(AND(AND(AND(X$4&gt;='2025'!$L184,X$4&lt;='2025'!$M184), X$4&lt;&gt;DATE(2025,7,4)), (SWITCH(weekday(X$4), 1, 0, 2, if(ISBLANK('2025'!$P184), 0, 1), 3, if(ISBLANK('2025'!$Q184), 0, 1), 4, if(ISBLANK('2025'!$R184), 0, 1), 5, if(ISBLANK('2025'!$S184), 0, 1), 6, if(ISBLANK('2025'!$T184), 0, 1), 7, 0))), 1, "")</f>
        <v/>
      </c>
      <c r="Y186" s="1" t="str">
        <f>IF(AND(AND(AND(Y$4&gt;='2025'!$L184,Y$4&lt;='2025'!$M184), Y$4&lt;&gt;DATE(2025,7,4)), (SWITCH(weekday(Y$4), 1, 0, 2, if(ISBLANK('2025'!$P184), 0, 1), 3, if(ISBLANK('2025'!$Q184), 0, 1), 4, if(ISBLANK('2025'!$R184), 0, 1), 5, if(ISBLANK('2025'!$S184), 0, 1), 6, if(ISBLANK('2025'!$T184), 0, 1), 7, 0))), 1, "")</f>
        <v/>
      </c>
      <c r="Z186" s="1" t="str">
        <f>IF(AND(AND(AND(Z$4&gt;='2025'!$L184,Z$4&lt;='2025'!$M184), Z$4&lt;&gt;DATE(2025,7,4)), (SWITCH(weekday(Z$4), 1, 0, 2, if(ISBLANK('2025'!$P184), 0, 1), 3, if(ISBLANK('2025'!$Q184), 0, 1), 4, if(ISBLANK('2025'!$R184), 0, 1), 5, if(ISBLANK('2025'!$S184), 0, 1), 6, if(ISBLANK('2025'!$T184), 0, 1), 7, 0))), 1, "")</f>
        <v/>
      </c>
      <c r="AA186" s="1" t="str">
        <f>IF(AND(AND(AND(AA$4&gt;='2025'!$L184,AA$4&lt;='2025'!$M184), AA$4&lt;&gt;DATE(2025,7,4)), (SWITCH(weekday(AA$4), 1, 0, 2, if(ISBLANK('2025'!$P184), 0, 1), 3, if(ISBLANK('2025'!$Q184), 0, 1), 4, if(ISBLANK('2025'!$R184), 0, 1), 5, if(ISBLANK('2025'!$S184), 0, 1), 6, if(ISBLANK('2025'!$T184), 0, 1), 7, 0))), 1, "")</f>
        <v/>
      </c>
      <c r="AB186" s="1" t="str">
        <f>IF(AND(AND(AND(AB$4&gt;='2025'!$L184,AB$4&lt;='2025'!$M184), AB$4&lt;&gt;DATE(2025,7,4)), (SWITCH(weekday(AB$4), 1, 0, 2, if(ISBLANK('2025'!$P184), 0, 1), 3, if(ISBLANK('2025'!$Q184), 0, 1), 4, if(ISBLANK('2025'!$R184), 0, 1), 5, if(ISBLANK('2025'!$S184), 0, 1), 6, if(ISBLANK('2025'!$T184), 0, 1), 7, 0))), 1, "")</f>
        <v/>
      </c>
      <c r="AC186" s="1" t="str">
        <f>IF(AND(AND(AND(AC$4&gt;='2025'!$L184,AC$4&lt;='2025'!$M184), AC$4&lt;&gt;DATE(2025,7,4)), (SWITCH(weekday(AC$4), 1, 0, 2, if(ISBLANK('2025'!$P184), 0, 1), 3, if(ISBLANK('2025'!$Q184), 0, 1), 4, if(ISBLANK('2025'!$R184), 0, 1), 5, if(ISBLANK('2025'!$S184), 0, 1), 6, if(ISBLANK('2025'!$T184), 0, 1), 7, 0))), 1, "")</f>
        <v/>
      </c>
      <c r="AD186" s="1" t="str">
        <f>IF(AND(AND(AND(AD$4&gt;='2025'!$L184,AD$4&lt;='2025'!$M184), AD$4&lt;&gt;DATE(2025,7,4)), (SWITCH(weekday(AD$4), 1, 0, 2, if(ISBLANK('2025'!$P184), 0, 1), 3, if(ISBLANK('2025'!$Q184), 0, 1), 4, if(ISBLANK('2025'!$R184), 0, 1), 5, if(ISBLANK('2025'!$S184), 0, 1), 6, if(ISBLANK('2025'!$T184), 0, 1), 7, 0))), 1, "")</f>
        <v/>
      </c>
      <c r="AE186" s="1" t="str">
        <f>IF(AND(AND(AND(AE$4&gt;='2025'!$L184,AE$4&lt;='2025'!$M184), AE$4&lt;&gt;DATE(2025,7,4)), (SWITCH(weekday(AE$4), 1, 0, 2, if(ISBLANK('2025'!$P184), 0, 1), 3, if(ISBLANK('2025'!$Q184), 0, 1), 4, if(ISBLANK('2025'!$R184), 0, 1), 5, if(ISBLANK('2025'!$S184), 0, 1), 6, if(ISBLANK('2025'!$T184), 0, 1), 7, 0))), 1, "")</f>
        <v/>
      </c>
      <c r="AF186" s="1" t="str">
        <f>IF(AND(AND(AND(AF$4&gt;='2025'!$L184,AF$4&lt;='2025'!$M184), AF$4&lt;&gt;DATE(2025,7,4)), (SWITCH(weekday(AF$4), 1, 0, 2, if(ISBLANK('2025'!$P184), 0, 1), 3, if(ISBLANK('2025'!$Q184), 0, 1), 4, if(ISBLANK('2025'!$R184), 0, 1), 5, if(ISBLANK('2025'!$S184), 0, 1), 6, if(ISBLANK('2025'!$T184), 0, 1), 7, 0))), 1, "")</f>
        <v/>
      </c>
      <c r="AG186" s="1" t="str">
        <f>IF(AND(AND(AND(AG$4&gt;='2025'!$L184,AG$4&lt;='2025'!$M184), AG$4&lt;&gt;DATE(2025,7,4)), (SWITCH(weekday(AG$4), 1, 0, 2, if(ISBLANK('2025'!$P184), 0, 1), 3, if(ISBLANK('2025'!$Q184), 0, 1), 4, if(ISBLANK('2025'!$R184), 0, 1), 5, if(ISBLANK('2025'!$S184), 0, 1), 6, if(ISBLANK('2025'!$T184), 0, 1), 7, 0))), 1, "")</f>
        <v/>
      </c>
      <c r="AH186" s="1" t="str">
        <f>IF(AND(AND(AND(AH$4&gt;='2025'!$L184,AH$4&lt;='2025'!$M184), AH$4&lt;&gt;DATE(2025,7,4)), (SWITCH(weekday(AH$4), 1, 0, 2, if(ISBLANK('2025'!$P184), 0, 1), 3, if(ISBLANK('2025'!$Q184), 0, 1), 4, if(ISBLANK('2025'!$R184), 0, 1), 5, if(ISBLANK('2025'!$S184), 0, 1), 6, if(ISBLANK('2025'!$T184), 0, 1), 7, 0))), 1, "")</f>
        <v/>
      </c>
      <c r="AI186" s="1" t="str">
        <f>IF(AND(AND(AND(AI$4&gt;='2025'!$L184,AI$4&lt;='2025'!$M184), AI$4&lt;&gt;DATE(2025,7,4)), (SWITCH(weekday(AI$4), 1, 0, 2, if(ISBLANK('2025'!$P184), 0, 1), 3, if(ISBLANK('2025'!$Q184), 0, 1), 4, if(ISBLANK('2025'!$R184), 0, 1), 5, if(ISBLANK('2025'!$S184), 0, 1), 6, if(ISBLANK('2025'!$T184), 0, 1), 7, 0))), 1, "")</f>
        <v/>
      </c>
      <c r="AJ186" s="1" t="str">
        <f>IF(AND(AND(AND(AJ$4&gt;='2025'!$L184,AJ$4&lt;='2025'!$M184), AJ$4&lt;&gt;DATE(2025,7,4)), (SWITCH(weekday(AJ$4), 1, 0, 2, if(ISBLANK('2025'!$P184), 0, 1), 3, if(ISBLANK('2025'!$Q184), 0, 1), 4, if(ISBLANK('2025'!$R184), 0, 1), 5, if(ISBLANK('2025'!$S184), 0, 1), 6, if(ISBLANK('2025'!$T184), 0, 1), 7, 0))), 1, "")</f>
        <v/>
      </c>
      <c r="AK186" s="1" t="str">
        <f>IF(AND(AND(AND(AK$4&gt;='2025'!$L184,AK$4&lt;='2025'!$M184), AK$4&lt;&gt;DATE(2025,7,4)), (SWITCH(weekday(AK$4), 1, 0, 2, if(ISBLANK('2025'!$P184), 0, 1), 3, if(ISBLANK('2025'!$Q184), 0, 1), 4, if(ISBLANK('2025'!$R184), 0, 1), 5, if(ISBLANK('2025'!$S184), 0, 1), 6, if(ISBLANK('2025'!$T184), 0, 1), 7, 0))), 1, "")</f>
        <v/>
      </c>
      <c r="AL186" s="1" t="str">
        <f>IF(AND(AND(AND(AL$4&gt;='2025'!$L184,AL$4&lt;='2025'!$M184), AL$4&lt;&gt;DATE(2025,7,4)), (SWITCH(weekday(AL$4), 1, 0, 2, if(ISBLANK('2025'!$P184), 0, 1), 3, if(ISBLANK('2025'!$Q184), 0, 1), 4, if(ISBLANK('2025'!$R184), 0, 1), 5, if(ISBLANK('2025'!$S184), 0, 1), 6, if(ISBLANK('2025'!$T184), 0, 1), 7, 0))), 1, "")</f>
        <v/>
      </c>
      <c r="AM186" s="1" t="str">
        <f>IF(AND(AND(AND(AM$4&gt;='2025'!$L184,AM$4&lt;='2025'!$M184), AM$4&lt;&gt;DATE(2025,7,4)), (SWITCH(weekday(AM$4), 1, 0, 2, if(ISBLANK('2025'!$P184), 0, 1), 3, if(ISBLANK('2025'!$Q184), 0, 1), 4, if(ISBLANK('2025'!$R184), 0, 1), 5, if(ISBLANK('2025'!$S184), 0, 1), 6, if(ISBLANK('2025'!$T184), 0, 1), 7, 0))), 1, "")</f>
        <v/>
      </c>
      <c r="AN186" s="1" t="str">
        <f>IF(AND(AND(AND(AN$4&gt;='2025'!$L184,AN$4&lt;='2025'!$M184), AN$4&lt;&gt;DATE(2025,7,4)), (SWITCH(weekday(AN$4), 1, 0, 2, if(ISBLANK('2025'!$P184), 0, 1), 3, if(ISBLANK('2025'!$Q184), 0, 1), 4, if(ISBLANK('2025'!$R184), 0, 1), 5, if(ISBLANK('2025'!$S184), 0, 1), 6, if(ISBLANK('2025'!$T184), 0, 1), 7, 0))), 1, "")</f>
        <v/>
      </c>
      <c r="AO186" s="1" t="str">
        <f>IF(AND(AND(AND(AO$4&gt;='2025'!$L184,AO$4&lt;='2025'!$M184), AO$4&lt;&gt;DATE(2025,7,4)), (SWITCH(weekday(AO$4), 1, 0, 2, if(ISBLANK('2025'!$P184), 0, 1), 3, if(ISBLANK('2025'!$Q184), 0, 1), 4, if(ISBLANK('2025'!$R184), 0, 1), 5, if(ISBLANK('2025'!$S184), 0, 1), 6, if(ISBLANK('2025'!$T184), 0, 1), 7, 0))), 1, "")</f>
        <v/>
      </c>
      <c r="AP186" s="1" t="str">
        <f>IF(AND(AND(AND(AP$4&gt;='2025'!$L184,AP$4&lt;='2025'!$M184), AP$4&lt;&gt;DATE(2025,7,4)), (SWITCH(weekday(AP$4), 1, 0, 2, if(ISBLANK('2025'!$P184), 0, 1), 3, if(ISBLANK('2025'!$Q184), 0, 1), 4, if(ISBLANK('2025'!$R184), 0, 1), 5, if(ISBLANK('2025'!$S184), 0, 1), 6, if(ISBLANK('2025'!$T184), 0, 1), 7, 0))), 1, "")</f>
        <v/>
      </c>
      <c r="AQ186" s="1" t="str">
        <f>IF(AND(AND(AND(AQ$4&gt;='2025'!$L184,AQ$4&lt;='2025'!$M184), AQ$4&lt;&gt;DATE(2025,7,4)), (SWITCH(weekday(AQ$4), 1, 0, 2, if(ISBLANK('2025'!$P184), 0, 1), 3, if(ISBLANK('2025'!$Q184), 0, 1), 4, if(ISBLANK('2025'!$R184), 0, 1), 5, if(ISBLANK('2025'!$S184), 0, 1), 6, if(ISBLANK('2025'!$T184), 0, 1), 7, 0))), 1, "")</f>
        <v/>
      </c>
      <c r="AR186" s="1" t="str">
        <f>IF(AND(AND(AND(AR$4&gt;='2025'!$L184,AR$4&lt;='2025'!$M184), AR$4&lt;&gt;DATE(2025,7,4)), (SWITCH(weekday(AR$4), 1, 0, 2, if(ISBLANK('2025'!$P184), 0, 1), 3, if(ISBLANK('2025'!$Q184), 0, 1), 4, if(ISBLANK('2025'!$R184), 0, 1), 5, if(ISBLANK('2025'!$S184), 0, 1), 6, if(ISBLANK('2025'!$T184), 0, 1), 7, 0))), 1, "")</f>
        <v/>
      </c>
      <c r="AS186" s="1" t="str">
        <f>IF(AND(AND(AND(AS$4&gt;='2025'!$L184,AS$4&lt;='2025'!$M184), AS$4&lt;&gt;DATE(2025,7,4)), (SWITCH(weekday(AS$4), 1, 0, 2, if(ISBLANK('2025'!$P184), 0, 1), 3, if(ISBLANK('2025'!$Q184), 0, 1), 4, if(ISBLANK('2025'!$R184), 0, 1), 5, if(ISBLANK('2025'!$S184), 0, 1), 6, if(ISBLANK('2025'!$T184), 0, 1), 7, 0))), 1, "")</f>
        <v/>
      </c>
      <c r="AT186" s="1" t="str">
        <f>IF(AND(AND(AND(AT$4&gt;='2025'!$L184,AT$4&lt;='2025'!$M184), AT$4&lt;&gt;DATE(2025,7,4)), (SWITCH(weekday(AT$4), 1, 0, 2, if(ISBLANK('2025'!$P184), 0, 1), 3, if(ISBLANK('2025'!$Q184), 0, 1), 4, if(ISBLANK('2025'!$R184), 0, 1), 5, if(ISBLANK('2025'!$S184), 0, 1), 6, if(ISBLANK('2025'!$T184), 0, 1), 7, 0))), 1, "")</f>
        <v/>
      </c>
      <c r="AU186" s="1" t="str">
        <f>IF(AND(AND(AND(AU$4&gt;='2025'!$L184,AU$4&lt;='2025'!$M184), AU$4&lt;&gt;DATE(2025,7,4)), (SWITCH(weekday(AU$4), 1, 0, 2, if(ISBLANK('2025'!$P184), 0, 1), 3, if(ISBLANK('2025'!$Q184), 0, 1), 4, if(ISBLANK('2025'!$R184), 0, 1), 5, if(ISBLANK('2025'!$S184), 0, 1), 6, if(ISBLANK('2025'!$T184), 0, 1), 7, 0))), 1, "")</f>
        <v/>
      </c>
      <c r="AV186" s="1" t="str">
        <f>IF(AND(AND(AND(AV$4&gt;='2025'!$L184,AV$4&lt;='2025'!$M184), AV$4&lt;&gt;DATE(2025,7,4)), (SWITCH(weekday(AV$4), 1, 0, 2, if(ISBLANK('2025'!$P184), 0, 1), 3, if(ISBLANK('2025'!$Q184), 0, 1), 4, if(ISBLANK('2025'!$R184), 0, 1), 5, if(ISBLANK('2025'!$S184), 0, 1), 6, if(ISBLANK('2025'!$T184), 0, 1), 7, 0))), 1, "")</f>
        <v/>
      </c>
      <c r="AW186" s="1" t="str">
        <f>IF(AND(AND(AND(AW$4&gt;='2025'!$L184,AW$4&lt;='2025'!$M184), AW$4&lt;&gt;DATE(2025,7,4)), (SWITCH(weekday(AW$4), 1, 0, 2, if(ISBLANK('2025'!$P184), 0, 1), 3, if(ISBLANK('2025'!$Q184), 0, 1), 4, if(ISBLANK('2025'!$R184), 0, 1), 5, if(ISBLANK('2025'!$S184), 0, 1), 6, if(ISBLANK('2025'!$T184), 0, 1), 7, 0))), 1, "")</f>
        <v/>
      </c>
      <c r="AX186" s="1" t="str">
        <f>IF(AND(AND(AND(AX$4&gt;='2025'!$L184,AX$4&lt;='2025'!$M184), AX$4&lt;&gt;DATE(2025,7,4)), (SWITCH(weekday(AX$4), 1, 0, 2, if(ISBLANK('2025'!$P184), 0, 1), 3, if(ISBLANK('2025'!$Q184), 0, 1), 4, if(ISBLANK('2025'!$R184), 0, 1), 5, if(ISBLANK('2025'!$S184), 0, 1), 6, if(ISBLANK('2025'!$T184), 0, 1), 7, 0))), 1, "")</f>
        <v/>
      </c>
      <c r="AY186" s="1" t="str">
        <f>IF(AND(AND(AND(AY$4&gt;='2025'!$L184,AY$4&lt;='2025'!$M184), AY$4&lt;&gt;DATE(2025,7,4)), (SWITCH(weekday(AY$4), 1, 0, 2, if(ISBLANK('2025'!$P184), 0, 1), 3, if(ISBLANK('2025'!$Q184), 0, 1), 4, if(ISBLANK('2025'!$R184), 0, 1), 5, if(ISBLANK('2025'!$S184), 0, 1), 6, if(ISBLANK('2025'!$T184), 0, 1), 7, 0))), 1, "")</f>
        <v/>
      </c>
      <c r="AZ186" s="1" t="str">
        <f>IF(AND(AND(AND(AZ$4&gt;='2025'!$L184,AZ$4&lt;='2025'!$M184), AZ$4&lt;&gt;DATE(2025,7,4)), (SWITCH(weekday(AZ$4), 1, 0, 2, if(ISBLANK('2025'!$P184), 0, 1), 3, if(ISBLANK('2025'!$Q184), 0, 1), 4, if(ISBLANK('2025'!$R184), 0, 1), 5, if(ISBLANK('2025'!$S184), 0, 1), 6, if(ISBLANK('2025'!$T184), 0, 1), 7, 0))), 1, "")</f>
        <v/>
      </c>
      <c r="BA186" s="1" t="str">
        <f>IF(AND(AND(AND(BA$4&gt;='2025'!$L184,BA$4&lt;='2025'!$M184), BA$4&lt;&gt;DATE(2025,7,4)), (SWITCH(weekday(BA$4), 1, 0, 2, if(ISBLANK('2025'!$P184), 0, 1), 3, if(ISBLANK('2025'!$Q184), 0, 1), 4, if(ISBLANK('2025'!$R184), 0, 1), 5, if(ISBLANK('2025'!$S184), 0, 1), 6, if(ISBLANK('2025'!$T184), 0, 1), 7, 0))), 1, "")</f>
        <v/>
      </c>
      <c r="BB186" s="1" t="str">
        <f>IF(AND(AND(AND(BB$4&gt;='2025'!$L184,BB$4&lt;='2025'!$M184), BB$4&lt;&gt;DATE(2025,7,4)), (SWITCH(weekday(BB$4), 1, 0, 2, if(ISBLANK('2025'!$P184), 0, 1), 3, if(ISBLANK('2025'!$Q184), 0, 1), 4, if(ISBLANK('2025'!$R184), 0, 1), 5, if(ISBLANK('2025'!$S184), 0, 1), 6, if(ISBLANK('2025'!$T184), 0, 1), 7, 0))), 1, "")</f>
        <v/>
      </c>
      <c r="BC186" s="1" t="str">
        <f>IF(AND(AND(AND(BC$4&gt;='2025'!$L184,BC$4&lt;='2025'!$M184), BC$4&lt;&gt;DATE(2025,7,4)), (SWITCH(weekday(BC$4), 1, 0, 2, if(ISBLANK('2025'!$P184), 0, 1), 3, if(ISBLANK('2025'!$Q184), 0, 1), 4, if(ISBLANK('2025'!$R184), 0, 1), 5, if(ISBLANK('2025'!$S184), 0, 1), 6, if(ISBLANK('2025'!$T184), 0, 1), 7, 0))), 1, "")</f>
        <v/>
      </c>
      <c r="BD186" s="1" t="str">
        <f>IF(AND(AND(AND(BD$4&gt;='2025'!$L184,BD$4&lt;='2025'!$M184), BD$4&lt;&gt;DATE(2025,7,4)), (SWITCH(weekday(BD$4), 1, 0, 2, if(ISBLANK('2025'!$P184), 0, 1), 3, if(ISBLANK('2025'!$Q184), 0, 1), 4, if(ISBLANK('2025'!$R184), 0, 1), 5, if(ISBLANK('2025'!$S184), 0, 1), 6, if(ISBLANK('2025'!$T184), 0, 1), 7, 0))), 1, "")</f>
        <v/>
      </c>
      <c r="BE186" s="1" t="str">
        <f>IF(AND(AND(AND(BE$4&gt;='2025'!$L184,BE$4&lt;='2025'!$M184), BE$4&lt;&gt;DATE(2025,7,4)), (SWITCH(weekday(BE$4), 1, 0, 2, if(ISBLANK('2025'!$P184), 0, 1), 3, if(ISBLANK('2025'!$Q184), 0, 1), 4, if(ISBLANK('2025'!$R184), 0, 1), 5, if(ISBLANK('2025'!$S184), 0, 1), 6, if(ISBLANK('2025'!$T184), 0, 1), 7, 0))), 1, "")</f>
        <v/>
      </c>
      <c r="BF186" s="1" t="str">
        <f>IF(AND(AND(AND(BF$4&gt;='2025'!$L184,BF$4&lt;='2025'!$M184), BF$4&lt;&gt;DATE(2025,7,4)), (SWITCH(weekday(BF$4), 1, 0, 2, if(ISBLANK('2025'!$P184), 0, 1), 3, if(ISBLANK('2025'!$Q184), 0, 1), 4, if(ISBLANK('2025'!$R184), 0, 1), 5, if(ISBLANK('2025'!$S184), 0, 1), 6, if(ISBLANK('2025'!$T184), 0, 1), 7, 0))), 1, "")</f>
        <v/>
      </c>
      <c r="BG186" s="1"/>
      <c r="BH186" s="1"/>
      <c r="BI186" s="1"/>
      <c r="BJ186" s="1"/>
      <c r="BK186" s="1"/>
      <c r="BL186" s="1"/>
    </row>
    <row r="187">
      <c r="A187" s="1">
        <f t="shared" si="3"/>
        <v>187</v>
      </c>
      <c r="B187" s="1" t="str">
        <f>'2025'!D151</f>
        <v>, </v>
      </c>
      <c r="C187" s="1" t="str">
        <f>'2025'!H151</f>
        <v/>
      </c>
      <c r="D187" s="1" t="str">
        <f>IF(AND(AND(AND(D$4&gt;='2025'!$L185,D$4&lt;='2025'!$M185), D$4&lt;&gt;DATE(2025,7,4)), (SWITCH(weekday(D$4), 1, 0, 2, if(ISBLANK('2025'!$P185), 0, 1), 3, if(ISBLANK('2025'!$Q185), 0, 1), 4, if(ISBLANK('2025'!$R185), 0, 1), 5, if(ISBLANK('2025'!$S185), 0, 1), 6, if(ISBLANK('2025'!$T185), 0, 1), 7, 0))), 1, "")</f>
        <v/>
      </c>
      <c r="E187" s="1" t="str">
        <f>IF(AND(AND(AND(E$4&gt;='2025'!$L185,E$4&lt;='2025'!$M185), E$4&lt;&gt;DATE(2025,7,4)), (SWITCH(weekday(E$4), 1, 0, 2, if(ISBLANK('2025'!$P185), 0, 1), 3, if(ISBLANK('2025'!$Q185), 0, 1), 4, if(ISBLANK('2025'!$R185), 0, 1), 5, if(ISBLANK('2025'!$S185), 0, 1), 6, if(ISBLANK('2025'!$T185), 0, 1), 7, 0))), 1, "")</f>
        <v/>
      </c>
      <c r="F187" s="1" t="str">
        <f>IF(AND(AND(AND(F$4&gt;='2025'!$L185,F$4&lt;='2025'!$M185), F$4&lt;&gt;DATE(2025,7,4)), (SWITCH(weekday(F$4), 1, 0, 2, if(ISBLANK('2025'!$P185), 0, 1), 3, if(ISBLANK('2025'!$Q185), 0, 1), 4, if(ISBLANK('2025'!$R185), 0, 1), 5, if(ISBLANK('2025'!$S185), 0, 1), 6, if(ISBLANK('2025'!$T185), 0, 1), 7, 0))), 1, "")</f>
        <v/>
      </c>
      <c r="G187" s="1" t="str">
        <f>IF(AND(AND(AND(G$4&gt;='2025'!$L185,G$4&lt;='2025'!$M185), G$4&lt;&gt;DATE(2025,7,4)), (SWITCH(weekday(G$4), 1, 0, 2, if(ISBLANK('2025'!$P185), 0, 1), 3, if(ISBLANK('2025'!$Q185), 0, 1), 4, if(ISBLANK('2025'!$R185), 0, 1), 5, if(ISBLANK('2025'!$S185), 0, 1), 6, if(ISBLANK('2025'!$T185), 0, 1), 7, 0))), 1, "")</f>
        <v/>
      </c>
      <c r="H187" s="1" t="str">
        <f>IF(AND(AND(AND(H$4&gt;='2025'!$L185,H$4&lt;='2025'!$M185), H$4&lt;&gt;DATE(2025,7,4)), (SWITCH(weekday(H$4), 1, 0, 2, if(ISBLANK('2025'!$P185), 0, 1), 3, if(ISBLANK('2025'!$Q185), 0, 1), 4, if(ISBLANK('2025'!$R185), 0, 1), 5, if(ISBLANK('2025'!$S185), 0, 1), 6, if(ISBLANK('2025'!$T185), 0, 1), 7, 0))), 1, "")</f>
        <v/>
      </c>
      <c r="I187" s="1" t="str">
        <f>IF(AND(AND(AND(I$4&gt;='2025'!$L185,I$4&lt;='2025'!$M185), I$4&lt;&gt;DATE(2025,7,4)), (SWITCH(weekday(I$4), 1, 0, 2, if(ISBLANK('2025'!$P185), 0, 1), 3, if(ISBLANK('2025'!$Q185), 0, 1), 4, if(ISBLANK('2025'!$R185), 0, 1), 5, if(ISBLANK('2025'!$S185), 0, 1), 6, if(ISBLANK('2025'!$T185), 0, 1), 7, 0))), 1, "")</f>
        <v/>
      </c>
      <c r="J187" s="1" t="str">
        <f>IF(AND(AND(AND(J$4&gt;='2025'!$L185,J$4&lt;='2025'!$M185), J$4&lt;&gt;DATE(2025,7,4)), (SWITCH(weekday(J$4), 1, 0, 2, if(ISBLANK('2025'!$P185), 0, 1), 3, if(ISBLANK('2025'!$Q185), 0, 1), 4, if(ISBLANK('2025'!$R185), 0, 1), 5, if(ISBLANK('2025'!$S185), 0, 1), 6, if(ISBLANK('2025'!$T185), 0, 1), 7, 0))), 1, "")</f>
        <v/>
      </c>
      <c r="K187" s="1" t="str">
        <f>IF(AND(AND(AND(K$4&gt;='2025'!$L185,K$4&lt;='2025'!$M185), K$4&lt;&gt;DATE(2025,7,4)), (SWITCH(weekday(K$4), 1, 0, 2, if(ISBLANK('2025'!$P185), 0, 1), 3, if(ISBLANK('2025'!$Q185), 0, 1), 4, if(ISBLANK('2025'!$R185), 0, 1), 5, if(ISBLANK('2025'!$S185), 0, 1), 6, if(ISBLANK('2025'!$T185), 0, 1), 7, 0))), 1, "")</f>
        <v/>
      </c>
      <c r="L187" s="1" t="str">
        <f>IF(AND(AND(AND(L$4&gt;='2025'!$L185,L$4&lt;='2025'!$M185), L$4&lt;&gt;DATE(2025,7,4)), (SWITCH(weekday(L$4), 1, 0, 2, if(ISBLANK('2025'!$P185), 0, 1), 3, if(ISBLANK('2025'!$Q185), 0, 1), 4, if(ISBLANK('2025'!$R185), 0, 1), 5, if(ISBLANK('2025'!$S185), 0, 1), 6, if(ISBLANK('2025'!$T185), 0, 1), 7, 0))), 1, "")</f>
        <v/>
      </c>
      <c r="M187" s="1" t="str">
        <f>IF(AND(AND(AND(M$4&gt;='2025'!$L185,M$4&lt;='2025'!$M185), M$4&lt;&gt;DATE(2025,7,4)), (SWITCH(weekday(M$4), 1, 0, 2, if(ISBLANK('2025'!$P185), 0, 1), 3, if(ISBLANK('2025'!$Q185), 0, 1), 4, if(ISBLANK('2025'!$R185), 0, 1), 5, if(ISBLANK('2025'!$S185), 0, 1), 6, if(ISBLANK('2025'!$T185), 0, 1), 7, 0))), 1, "")</f>
        <v/>
      </c>
      <c r="N187" s="1" t="str">
        <f>IF(AND(AND(AND(N$4&gt;='2025'!$L185,N$4&lt;='2025'!$M185), N$4&lt;&gt;DATE(2025,7,4)), (SWITCH(weekday(N$4), 1, 0, 2, if(ISBLANK('2025'!$P185), 0, 1), 3, if(ISBLANK('2025'!$Q185), 0, 1), 4, if(ISBLANK('2025'!$R185), 0, 1), 5, if(ISBLANK('2025'!$S185), 0, 1), 6, if(ISBLANK('2025'!$T185), 0, 1), 7, 0))), 1, "")</f>
        <v/>
      </c>
      <c r="O187" s="1" t="str">
        <f>IF(AND(AND(AND(O$4&gt;='2025'!$L185,O$4&lt;='2025'!$M185), O$4&lt;&gt;DATE(2025,7,4)), (SWITCH(weekday(O$4), 1, 0, 2, if(ISBLANK('2025'!$P185), 0, 1), 3, if(ISBLANK('2025'!$Q185), 0, 1), 4, if(ISBLANK('2025'!$R185), 0, 1), 5, if(ISBLANK('2025'!$S185), 0, 1), 6, if(ISBLANK('2025'!$T185), 0, 1), 7, 0))), 1, "")</f>
        <v/>
      </c>
      <c r="P187" s="1" t="str">
        <f>IF(AND(AND(AND(P$4&gt;='2025'!$L185,P$4&lt;='2025'!$M185), P$4&lt;&gt;DATE(2025,7,4)), (SWITCH(weekday(P$4), 1, 0, 2, if(ISBLANK('2025'!$P185), 0, 1), 3, if(ISBLANK('2025'!$Q185), 0, 1), 4, if(ISBLANK('2025'!$R185), 0, 1), 5, if(ISBLANK('2025'!$S185), 0, 1), 6, if(ISBLANK('2025'!$T185), 0, 1), 7, 0))), 1, "")</f>
        <v/>
      </c>
      <c r="Q187" s="1" t="str">
        <f>IF(AND(AND(AND(Q$4&gt;='2025'!$L185,Q$4&lt;='2025'!$M185), Q$4&lt;&gt;DATE(2025,7,4)), (SWITCH(weekday(Q$4), 1, 0, 2, if(ISBLANK('2025'!$P185), 0, 1), 3, if(ISBLANK('2025'!$Q185), 0, 1), 4, if(ISBLANK('2025'!$R185), 0, 1), 5, if(ISBLANK('2025'!$S185), 0, 1), 6, if(ISBLANK('2025'!$T185), 0, 1), 7, 0))), 1, "")</f>
        <v/>
      </c>
      <c r="R187" s="1" t="str">
        <f>IF(AND(AND(AND(R$4&gt;='2025'!$L185,R$4&lt;='2025'!$M185), R$4&lt;&gt;DATE(2025,7,4)), (SWITCH(weekday(R$4), 1, 0, 2, if(ISBLANK('2025'!$P185), 0, 1), 3, if(ISBLANK('2025'!$Q185), 0, 1), 4, if(ISBLANK('2025'!$R185), 0, 1), 5, if(ISBLANK('2025'!$S185), 0, 1), 6, if(ISBLANK('2025'!$T185), 0, 1), 7, 0))), 1, "")</f>
        <v/>
      </c>
      <c r="S187" s="1" t="str">
        <f>IF(AND(AND(AND(S$4&gt;='2025'!$L185,S$4&lt;='2025'!$M185), S$4&lt;&gt;DATE(2025,7,4)), (SWITCH(weekday(S$4), 1, 0, 2, if(ISBLANK('2025'!$P185), 0, 1), 3, if(ISBLANK('2025'!$Q185), 0, 1), 4, if(ISBLANK('2025'!$R185), 0, 1), 5, if(ISBLANK('2025'!$S185), 0, 1), 6, if(ISBLANK('2025'!$T185), 0, 1), 7, 0))), 1, "")</f>
        <v/>
      </c>
      <c r="T187" s="1" t="str">
        <f>IF(AND(AND(AND(T$4&gt;='2025'!$L185,T$4&lt;='2025'!$M185), T$4&lt;&gt;DATE(2025,7,4)), (SWITCH(weekday(T$4), 1, 0, 2, if(ISBLANK('2025'!$P185), 0, 1), 3, if(ISBLANK('2025'!$Q185), 0, 1), 4, if(ISBLANK('2025'!$R185), 0, 1), 5, if(ISBLANK('2025'!$S185), 0, 1), 6, if(ISBLANK('2025'!$T185), 0, 1), 7, 0))), 1, "")</f>
        <v/>
      </c>
      <c r="U187" s="1" t="str">
        <f>IF(AND(AND(AND(U$4&gt;='2025'!$L185,U$4&lt;='2025'!$M185), U$4&lt;&gt;DATE(2025,7,4)), (SWITCH(weekday(U$4), 1, 0, 2, if(ISBLANK('2025'!$P185), 0, 1), 3, if(ISBLANK('2025'!$Q185), 0, 1), 4, if(ISBLANK('2025'!$R185), 0, 1), 5, if(ISBLANK('2025'!$S185), 0, 1), 6, if(ISBLANK('2025'!$T185), 0, 1), 7, 0))), 1, "")</f>
        <v/>
      </c>
      <c r="V187" s="1" t="str">
        <f>IF(AND(AND(AND(V$4&gt;='2025'!$L185,V$4&lt;='2025'!$M185), V$4&lt;&gt;DATE(2025,7,4)), (SWITCH(weekday(V$4), 1, 0, 2, if(ISBLANK('2025'!$P185), 0, 1), 3, if(ISBLANK('2025'!$Q185), 0, 1), 4, if(ISBLANK('2025'!$R185), 0, 1), 5, if(ISBLANK('2025'!$S185), 0, 1), 6, if(ISBLANK('2025'!$T185), 0, 1), 7, 0))), 1, "")</f>
        <v/>
      </c>
      <c r="W187" s="1" t="str">
        <f>IF(AND(AND(AND(W$4&gt;='2025'!$L185,W$4&lt;='2025'!$M185), W$4&lt;&gt;DATE(2025,7,4)), (SWITCH(weekday(W$4), 1, 0, 2, if(ISBLANK('2025'!$P185), 0, 1), 3, if(ISBLANK('2025'!$Q185), 0, 1), 4, if(ISBLANK('2025'!$R185), 0, 1), 5, if(ISBLANK('2025'!$S185), 0, 1), 6, if(ISBLANK('2025'!$T185), 0, 1), 7, 0))), 1, "")</f>
        <v/>
      </c>
      <c r="X187" s="1" t="str">
        <f>IF(AND(AND(AND(X$4&gt;='2025'!$L185,X$4&lt;='2025'!$M185), X$4&lt;&gt;DATE(2025,7,4)), (SWITCH(weekday(X$4), 1, 0, 2, if(ISBLANK('2025'!$P185), 0, 1), 3, if(ISBLANK('2025'!$Q185), 0, 1), 4, if(ISBLANK('2025'!$R185), 0, 1), 5, if(ISBLANK('2025'!$S185), 0, 1), 6, if(ISBLANK('2025'!$T185), 0, 1), 7, 0))), 1, "")</f>
        <v/>
      </c>
      <c r="Y187" s="1" t="str">
        <f>IF(AND(AND(AND(Y$4&gt;='2025'!$L185,Y$4&lt;='2025'!$M185), Y$4&lt;&gt;DATE(2025,7,4)), (SWITCH(weekday(Y$4), 1, 0, 2, if(ISBLANK('2025'!$P185), 0, 1), 3, if(ISBLANK('2025'!$Q185), 0, 1), 4, if(ISBLANK('2025'!$R185), 0, 1), 5, if(ISBLANK('2025'!$S185), 0, 1), 6, if(ISBLANK('2025'!$T185), 0, 1), 7, 0))), 1, "")</f>
        <v/>
      </c>
      <c r="Z187" s="1" t="str">
        <f>IF(AND(AND(AND(Z$4&gt;='2025'!$L185,Z$4&lt;='2025'!$M185), Z$4&lt;&gt;DATE(2025,7,4)), (SWITCH(weekday(Z$4), 1, 0, 2, if(ISBLANK('2025'!$P185), 0, 1), 3, if(ISBLANK('2025'!$Q185), 0, 1), 4, if(ISBLANK('2025'!$R185), 0, 1), 5, if(ISBLANK('2025'!$S185), 0, 1), 6, if(ISBLANK('2025'!$T185), 0, 1), 7, 0))), 1, "")</f>
        <v/>
      </c>
      <c r="AA187" s="1" t="str">
        <f>IF(AND(AND(AND(AA$4&gt;='2025'!$L185,AA$4&lt;='2025'!$M185), AA$4&lt;&gt;DATE(2025,7,4)), (SWITCH(weekday(AA$4), 1, 0, 2, if(ISBLANK('2025'!$P185), 0, 1), 3, if(ISBLANK('2025'!$Q185), 0, 1), 4, if(ISBLANK('2025'!$R185), 0, 1), 5, if(ISBLANK('2025'!$S185), 0, 1), 6, if(ISBLANK('2025'!$T185), 0, 1), 7, 0))), 1, "")</f>
        <v/>
      </c>
      <c r="AB187" s="1" t="str">
        <f>IF(AND(AND(AND(AB$4&gt;='2025'!$L185,AB$4&lt;='2025'!$M185), AB$4&lt;&gt;DATE(2025,7,4)), (SWITCH(weekday(AB$4), 1, 0, 2, if(ISBLANK('2025'!$P185), 0, 1), 3, if(ISBLANK('2025'!$Q185), 0, 1), 4, if(ISBLANK('2025'!$R185), 0, 1), 5, if(ISBLANK('2025'!$S185), 0, 1), 6, if(ISBLANK('2025'!$T185), 0, 1), 7, 0))), 1, "")</f>
        <v/>
      </c>
      <c r="AC187" s="1" t="str">
        <f>IF(AND(AND(AND(AC$4&gt;='2025'!$L185,AC$4&lt;='2025'!$M185), AC$4&lt;&gt;DATE(2025,7,4)), (SWITCH(weekday(AC$4), 1, 0, 2, if(ISBLANK('2025'!$P185), 0, 1), 3, if(ISBLANK('2025'!$Q185), 0, 1), 4, if(ISBLANK('2025'!$R185), 0, 1), 5, if(ISBLANK('2025'!$S185), 0, 1), 6, if(ISBLANK('2025'!$T185), 0, 1), 7, 0))), 1, "")</f>
        <v/>
      </c>
      <c r="AD187" s="1" t="str">
        <f>IF(AND(AND(AND(AD$4&gt;='2025'!$L185,AD$4&lt;='2025'!$M185), AD$4&lt;&gt;DATE(2025,7,4)), (SWITCH(weekday(AD$4), 1, 0, 2, if(ISBLANK('2025'!$P185), 0, 1), 3, if(ISBLANK('2025'!$Q185), 0, 1), 4, if(ISBLANK('2025'!$R185), 0, 1), 5, if(ISBLANK('2025'!$S185), 0, 1), 6, if(ISBLANK('2025'!$T185), 0, 1), 7, 0))), 1, "")</f>
        <v/>
      </c>
      <c r="AE187" s="1" t="str">
        <f>IF(AND(AND(AND(AE$4&gt;='2025'!$L185,AE$4&lt;='2025'!$M185), AE$4&lt;&gt;DATE(2025,7,4)), (SWITCH(weekday(AE$4), 1, 0, 2, if(ISBLANK('2025'!$P185), 0, 1), 3, if(ISBLANK('2025'!$Q185), 0, 1), 4, if(ISBLANK('2025'!$R185), 0, 1), 5, if(ISBLANK('2025'!$S185), 0, 1), 6, if(ISBLANK('2025'!$T185), 0, 1), 7, 0))), 1, "")</f>
        <v/>
      </c>
      <c r="AF187" s="1" t="str">
        <f>IF(AND(AND(AND(AF$4&gt;='2025'!$L185,AF$4&lt;='2025'!$M185), AF$4&lt;&gt;DATE(2025,7,4)), (SWITCH(weekday(AF$4), 1, 0, 2, if(ISBLANK('2025'!$P185), 0, 1), 3, if(ISBLANK('2025'!$Q185), 0, 1), 4, if(ISBLANK('2025'!$R185), 0, 1), 5, if(ISBLANK('2025'!$S185), 0, 1), 6, if(ISBLANK('2025'!$T185), 0, 1), 7, 0))), 1, "")</f>
        <v/>
      </c>
      <c r="AG187" s="1" t="str">
        <f>IF(AND(AND(AND(AG$4&gt;='2025'!$L185,AG$4&lt;='2025'!$M185), AG$4&lt;&gt;DATE(2025,7,4)), (SWITCH(weekday(AG$4), 1, 0, 2, if(ISBLANK('2025'!$P185), 0, 1), 3, if(ISBLANK('2025'!$Q185), 0, 1), 4, if(ISBLANK('2025'!$R185), 0, 1), 5, if(ISBLANK('2025'!$S185), 0, 1), 6, if(ISBLANK('2025'!$T185), 0, 1), 7, 0))), 1, "")</f>
        <v/>
      </c>
      <c r="AH187" s="1" t="str">
        <f>IF(AND(AND(AND(AH$4&gt;='2025'!$L185,AH$4&lt;='2025'!$M185), AH$4&lt;&gt;DATE(2025,7,4)), (SWITCH(weekday(AH$4), 1, 0, 2, if(ISBLANK('2025'!$P185), 0, 1), 3, if(ISBLANK('2025'!$Q185), 0, 1), 4, if(ISBLANK('2025'!$R185), 0, 1), 5, if(ISBLANK('2025'!$S185), 0, 1), 6, if(ISBLANK('2025'!$T185), 0, 1), 7, 0))), 1, "")</f>
        <v/>
      </c>
      <c r="AI187" s="1" t="str">
        <f>IF(AND(AND(AND(AI$4&gt;='2025'!$L185,AI$4&lt;='2025'!$M185), AI$4&lt;&gt;DATE(2025,7,4)), (SWITCH(weekday(AI$4), 1, 0, 2, if(ISBLANK('2025'!$P185), 0, 1), 3, if(ISBLANK('2025'!$Q185), 0, 1), 4, if(ISBLANK('2025'!$R185), 0, 1), 5, if(ISBLANK('2025'!$S185), 0, 1), 6, if(ISBLANK('2025'!$T185), 0, 1), 7, 0))), 1, "")</f>
        <v/>
      </c>
      <c r="AJ187" s="1" t="str">
        <f>IF(AND(AND(AND(AJ$4&gt;='2025'!$L185,AJ$4&lt;='2025'!$M185), AJ$4&lt;&gt;DATE(2025,7,4)), (SWITCH(weekday(AJ$4), 1, 0, 2, if(ISBLANK('2025'!$P185), 0, 1), 3, if(ISBLANK('2025'!$Q185), 0, 1), 4, if(ISBLANK('2025'!$R185), 0, 1), 5, if(ISBLANK('2025'!$S185), 0, 1), 6, if(ISBLANK('2025'!$T185), 0, 1), 7, 0))), 1, "")</f>
        <v/>
      </c>
      <c r="AK187" s="1" t="str">
        <f>IF(AND(AND(AND(AK$4&gt;='2025'!$L185,AK$4&lt;='2025'!$M185), AK$4&lt;&gt;DATE(2025,7,4)), (SWITCH(weekday(AK$4), 1, 0, 2, if(ISBLANK('2025'!$P185), 0, 1), 3, if(ISBLANK('2025'!$Q185), 0, 1), 4, if(ISBLANK('2025'!$R185), 0, 1), 5, if(ISBLANK('2025'!$S185), 0, 1), 6, if(ISBLANK('2025'!$T185), 0, 1), 7, 0))), 1, "")</f>
        <v/>
      </c>
      <c r="AL187" s="1" t="str">
        <f>IF(AND(AND(AND(AL$4&gt;='2025'!$L185,AL$4&lt;='2025'!$M185), AL$4&lt;&gt;DATE(2025,7,4)), (SWITCH(weekday(AL$4), 1, 0, 2, if(ISBLANK('2025'!$P185), 0, 1), 3, if(ISBLANK('2025'!$Q185), 0, 1), 4, if(ISBLANK('2025'!$R185), 0, 1), 5, if(ISBLANK('2025'!$S185), 0, 1), 6, if(ISBLANK('2025'!$T185), 0, 1), 7, 0))), 1, "")</f>
        <v/>
      </c>
      <c r="AM187" s="1" t="str">
        <f>IF(AND(AND(AND(AM$4&gt;='2025'!$L185,AM$4&lt;='2025'!$M185), AM$4&lt;&gt;DATE(2025,7,4)), (SWITCH(weekday(AM$4), 1, 0, 2, if(ISBLANK('2025'!$P185), 0, 1), 3, if(ISBLANK('2025'!$Q185), 0, 1), 4, if(ISBLANK('2025'!$R185), 0, 1), 5, if(ISBLANK('2025'!$S185), 0, 1), 6, if(ISBLANK('2025'!$T185), 0, 1), 7, 0))), 1, "")</f>
        <v/>
      </c>
      <c r="AN187" s="1" t="str">
        <f>IF(AND(AND(AND(AN$4&gt;='2025'!$L185,AN$4&lt;='2025'!$M185), AN$4&lt;&gt;DATE(2025,7,4)), (SWITCH(weekday(AN$4), 1, 0, 2, if(ISBLANK('2025'!$P185), 0, 1), 3, if(ISBLANK('2025'!$Q185), 0, 1), 4, if(ISBLANK('2025'!$R185), 0, 1), 5, if(ISBLANK('2025'!$S185), 0, 1), 6, if(ISBLANK('2025'!$T185), 0, 1), 7, 0))), 1, "")</f>
        <v/>
      </c>
      <c r="AO187" s="1" t="str">
        <f>IF(AND(AND(AND(AO$4&gt;='2025'!$L185,AO$4&lt;='2025'!$M185), AO$4&lt;&gt;DATE(2025,7,4)), (SWITCH(weekday(AO$4), 1, 0, 2, if(ISBLANK('2025'!$P185), 0, 1), 3, if(ISBLANK('2025'!$Q185), 0, 1), 4, if(ISBLANK('2025'!$R185), 0, 1), 5, if(ISBLANK('2025'!$S185), 0, 1), 6, if(ISBLANK('2025'!$T185), 0, 1), 7, 0))), 1, "")</f>
        <v/>
      </c>
      <c r="AP187" s="1" t="str">
        <f>IF(AND(AND(AND(AP$4&gt;='2025'!$L185,AP$4&lt;='2025'!$M185), AP$4&lt;&gt;DATE(2025,7,4)), (SWITCH(weekday(AP$4), 1, 0, 2, if(ISBLANK('2025'!$P185), 0, 1), 3, if(ISBLANK('2025'!$Q185), 0, 1), 4, if(ISBLANK('2025'!$R185), 0, 1), 5, if(ISBLANK('2025'!$S185), 0, 1), 6, if(ISBLANK('2025'!$T185), 0, 1), 7, 0))), 1, "")</f>
        <v/>
      </c>
      <c r="AQ187" s="1" t="str">
        <f>IF(AND(AND(AND(AQ$4&gt;='2025'!$L185,AQ$4&lt;='2025'!$M185), AQ$4&lt;&gt;DATE(2025,7,4)), (SWITCH(weekday(AQ$4), 1, 0, 2, if(ISBLANK('2025'!$P185), 0, 1), 3, if(ISBLANK('2025'!$Q185), 0, 1), 4, if(ISBLANK('2025'!$R185), 0, 1), 5, if(ISBLANK('2025'!$S185), 0, 1), 6, if(ISBLANK('2025'!$T185), 0, 1), 7, 0))), 1, "")</f>
        <v/>
      </c>
      <c r="AR187" s="1" t="str">
        <f>IF(AND(AND(AND(AR$4&gt;='2025'!$L185,AR$4&lt;='2025'!$M185), AR$4&lt;&gt;DATE(2025,7,4)), (SWITCH(weekday(AR$4), 1, 0, 2, if(ISBLANK('2025'!$P185), 0, 1), 3, if(ISBLANK('2025'!$Q185), 0, 1), 4, if(ISBLANK('2025'!$R185), 0, 1), 5, if(ISBLANK('2025'!$S185), 0, 1), 6, if(ISBLANK('2025'!$T185), 0, 1), 7, 0))), 1, "")</f>
        <v/>
      </c>
      <c r="AS187" s="1" t="str">
        <f>IF(AND(AND(AND(AS$4&gt;='2025'!$L185,AS$4&lt;='2025'!$M185), AS$4&lt;&gt;DATE(2025,7,4)), (SWITCH(weekday(AS$4), 1, 0, 2, if(ISBLANK('2025'!$P185), 0, 1), 3, if(ISBLANK('2025'!$Q185), 0, 1), 4, if(ISBLANK('2025'!$R185), 0, 1), 5, if(ISBLANK('2025'!$S185), 0, 1), 6, if(ISBLANK('2025'!$T185), 0, 1), 7, 0))), 1, "")</f>
        <v/>
      </c>
      <c r="AT187" s="1" t="str">
        <f>IF(AND(AND(AND(AT$4&gt;='2025'!$L185,AT$4&lt;='2025'!$M185), AT$4&lt;&gt;DATE(2025,7,4)), (SWITCH(weekday(AT$4), 1, 0, 2, if(ISBLANK('2025'!$P185), 0, 1), 3, if(ISBLANK('2025'!$Q185), 0, 1), 4, if(ISBLANK('2025'!$R185), 0, 1), 5, if(ISBLANK('2025'!$S185), 0, 1), 6, if(ISBLANK('2025'!$T185), 0, 1), 7, 0))), 1, "")</f>
        <v/>
      </c>
      <c r="AU187" s="1" t="str">
        <f>IF(AND(AND(AND(AU$4&gt;='2025'!$L185,AU$4&lt;='2025'!$M185), AU$4&lt;&gt;DATE(2025,7,4)), (SWITCH(weekday(AU$4), 1, 0, 2, if(ISBLANK('2025'!$P185), 0, 1), 3, if(ISBLANK('2025'!$Q185), 0, 1), 4, if(ISBLANK('2025'!$R185), 0, 1), 5, if(ISBLANK('2025'!$S185), 0, 1), 6, if(ISBLANK('2025'!$T185), 0, 1), 7, 0))), 1, "")</f>
        <v/>
      </c>
      <c r="AV187" s="1" t="str">
        <f>IF(AND(AND(AND(AV$4&gt;='2025'!$L185,AV$4&lt;='2025'!$M185), AV$4&lt;&gt;DATE(2025,7,4)), (SWITCH(weekday(AV$4), 1, 0, 2, if(ISBLANK('2025'!$P185), 0, 1), 3, if(ISBLANK('2025'!$Q185), 0, 1), 4, if(ISBLANK('2025'!$R185), 0, 1), 5, if(ISBLANK('2025'!$S185), 0, 1), 6, if(ISBLANK('2025'!$T185), 0, 1), 7, 0))), 1, "")</f>
        <v/>
      </c>
      <c r="AW187" s="1" t="str">
        <f>IF(AND(AND(AND(AW$4&gt;='2025'!$L185,AW$4&lt;='2025'!$M185), AW$4&lt;&gt;DATE(2025,7,4)), (SWITCH(weekday(AW$4), 1, 0, 2, if(ISBLANK('2025'!$P185), 0, 1), 3, if(ISBLANK('2025'!$Q185), 0, 1), 4, if(ISBLANK('2025'!$R185), 0, 1), 5, if(ISBLANK('2025'!$S185), 0, 1), 6, if(ISBLANK('2025'!$T185), 0, 1), 7, 0))), 1, "")</f>
        <v/>
      </c>
      <c r="AX187" s="1" t="str">
        <f>IF(AND(AND(AND(AX$4&gt;='2025'!$L185,AX$4&lt;='2025'!$M185), AX$4&lt;&gt;DATE(2025,7,4)), (SWITCH(weekday(AX$4), 1, 0, 2, if(ISBLANK('2025'!$P185), 0, 1), 3, if(ISBLANK('2025'!$Q185), 0, 1), 4, if(ISBLANK('2025'!$R185), 0, 1), 5, if(ISBLANK('2025'!$S185), 0, 1), 6, if(ISBLANK('2025'!$T185), 0, 1), 7, 0))), 1, "")</f>
        <v/>
      </c>
      <c r="AY187" s="1" t="str">
        <f>IF(AND(AND(AND(AY$4&gt;='2025'!$L185,AY$4&lt;='2025'!$M185), AY$4&lt;&gt;DATE(2025,7,4)), (SWITCH(weekday(AY$4), 1, 0, 2, if(ISBLANK('2025'!$P185), 0, 1), 3, if(ISBLANK('2025'!$Q185), 0, 1), 4, if(ISBLANK('2025'!$R185), 0, 1), 5, if(ISBLANK('2025'!$S185), 0, 1), 6, if(ISBLANK('2025'!$T185), 0, 1), 7, 0))), 1, "")</f>
        <v/>
      </c>
      <c r="AZ187" s="1" t="str">
        <f>IF(AND(AND(AND(AZ$4&gt;='2025'!$L185,AZ$4&lt;='2025'!$M185), AZ$4&lt;&gt;DATE(2025,7,4)), (SWITCH(weekday(AZ$4), 1, 0, 2, if(ISBLANK('2025'!$P185), 0, 1), 3, if(ISBLANK('2025'!$Q185), 0, 1), 4, if(ISBLANK('2025'!$R185), 0, 1), 5, if(ISBLANK('2025'!$S185), 0, 1), 6, if(ISBLANK('2025'!$T185), 0, 1), 7, 0))), 1, "")</f>
        <v/>
      </c>
      <c r="BA187" s="1" t="str">
        <f>IF(AND(AND(AND(BA$4&gt;='2025'!$L185,BA$4&lt;='2025'!$M185), BA$4&lt;&gt;DATE(2025,7,4)), (SWITCH(weekday(BA$4), 1, 0, 2, if(ISBLANK('2025'!$P185), 0, 1), 3, if(ISBLANK('2025'!$Q185), 0, 1), 4, if(ISBLANK('2025'!$R185), 0, 1), 5, if(ISBLANK('2025'!$S185), 0, 1), 6, if(ISBLANK('2025'!$T185), 0, 1), 7, 0))), 1, "")</f>
        <v/>
      </c>
      <c r="BB187" s="1" t="str">
        <f>IF(AND(AND(AND(BB$4&gt;='2025'!$L185,BB$4&lt;='2025'!$M185), BB$4&lt;&gt;DATE(2025,7,4)), (SWITCH(weekday(BB$4), 1, 0, 2, if(ISBLANK('2025'!$P185), 0, 1), 3, if(ISBLANK('2025'!$Q185), 0, 1), 4, if(ISBLANK('2025'!$R185), 0, 1), 5, if(ISBLANK('2025'!$S185), 0, 1), 6, if(ISBLANK('2025'!$T185), 0, 1), 7, 0))), 1, "")</f>
        <v/>
      </c>
      <c r="BC187" s="1" t="str">
        <f>IF(AND(AND(AND(BC$4&gt;='2025'!$L185,BC$4&lt;='2025'!$M185), BC$4&lt;&gt;DATE(2025,7,4)), (SWITCH(weekday(BC$4), 1, 0, 2, if(ISBLANK('2025'!$P185), 0, 1), 3, if(ISBLANK('2025'!$Q185), 0, 1), 4, if(ISBLANK('2025'!$R185), 0, 1), 5, if(ISBLANK('2025'!$S185), 0, 1), 6, if(ISBLANK('2025'!$T185), 0, 1), 7, 0))), 1, "")</f>
        <v/>
      </c>
      <c r="BD187" s="1" t="str">
        <f>IF(AND(AND(AND(BD$4&gt;='2025'!$L185,BD$4&lt;='2025'!$M185), BD$4&lt;&gt;DATE(2025,7,4)), (SWITCH(weekday(BD$4), 1, 0, 2, if(ISBLANK('2025'!$P185), 0, 1), 3, if(ISBLANK('2025'!$Q185), 0, 1), 4, if(ISBLANK('2025'!$R185), 0, 1), 5, if(ISBLANK('2025'!$S185), 0, 1), 6, if(ISBLANK('2025'!$T185), 0, 1), 7, 0))), 1, "")</f>
        <v/>
      </c>
      <c r="BE187" s="1" t="str">
        <f>IF(AND(AND(AND(BE$4&gt;='2025'!$L185,BE$4&lt;='2025'!$M185), BE$4&lt;&gt;DATE(2025,7,4)), (SWITCH(weekday(BE$4), 1, 0, 2, if(ISBLANK('2025'!$P185), 0, 1), 3, if(ISBLANK('2025'!$Q185), 0, 1), 4, if(ISBLANK('2025'!$R185), 0, 1), 5, if(ISBLANK('2025'!$S185), 0, 1), 6, if(ISBLANK('2025'!$T185), 0, 1), 7, 0))), 1, "")</f>
        <v/>
      </c>
      <c r="BF187" s="1" t="str">
        <f>IF(AND(AND(AND(BF$4&gt;='2025'!$L185,BF$4&lt;='2025'!$M185), BF$4&lt;&gt;DATE(2025,7,4)), (SWITCH(weekday(BF$4), 1, 0, 2, if(ISBLANK('2025'!$P185), 0, 1), 3, if(ISBLANK('2025'!$Q185), 0, 1), 4, if(ISBLANK('2025'!$R185), 0, 1), 5, if(ISBLANK('2025'!$S185), 0, 1), 6, if(ISBLANK('2025'!$T185), 0, 1), 7, 0))), 1, "")</f>
        <v/>
      </c>
      <c r="BG187" s="1"/>
      <c r="BH187" s="1"/>
      <c r="BI187" s="1"/>
      <c r="BJ187" s="1"/>
      <c r="BK187" s="1"/>
      <c r="BL187" s="1"/>
    </row>
    <row r="188">
      <c r="A188" s="1">
        <f t="shared" si="3"/>
        <v>188</v>
      </c>
      <c r="B188" s="1" t="str">
        <f>'2025'!D152</f>
        <v>, </v>
      </c>
      <c r="C188" s="1" t="str">
        <f>'2025'!H152</f>
        <v/>
      </c>
      <c r="D188" s="1" t="str">
        <f>IF(AND(AND(AND(D$4&gt;='2025'!$L186,D$4&lt;='2025'!$M186), D$4&lt;&gt;DATE(2025,7,4)), (SWITCH(weekday(D$4), 1, 0, 2, if(ISBLANK('2025'!$P186), 0, 1), 3, if(ISBLANK('2025'!$Q186), 0, 1), 4, if(ISBLANK('2025'!$R186), 0, 1), 5, if(ISBLANK('2025'!$S186), 0, 1), 6, if(ISBLANK('2025'!$T186), 0, 1), 7, 0))), 1, "")</f>
        <v/>
      </c>
      <c r="E188" s="1" t="str">
        <f>IF(AND(AND(AND(E$4&gt;='2025'!$L186,E$4&lt;='2025'!$M186), E$4&lt;&gt;DATE(2025,7,4)), (SWITCH(weekday(E$4), 1, 0, 2, if(ISBLANK('2025'!$P186), 0, 1), 3, if(ISBLANK('2025'!$Q186), 0, 1), 4, if(ISBLANK('2025'!$R186), 0, 1), 5, if(ISBLANK('2025'!$S186), 0, 1), 6, if(ISBLANK('2025'!$T186), 0, 1), 7, 0))), 1, "")</f>
        <v/>
      </c>
      <c r="F188" s="1" t="str">
        <f>IF(AND(AND(AND(F$4&gt;='2025'!$L186,F$4&lt;='2025'!$M186), F$4&lt;&gt;DATE(2025,7,4)), (SWITCH(weekday(F$4), 1, 0, 2, if(ISBLANK('2025'!$P186), 0, 1), 3, if(ISBLANK('2025'!$Q186), 0, 1), 4, if(ISBLANK('2025'!$R186), 0, 1), 5, if(ISBLANK('2025'!$S186), 0, 1), 6, if(ISBLANK('2025'!$T186), 0, 1), 7, 0))), 1, "")</f>
        <v/>
      </c>
      <c r="G188" s="1" t="str">
        <f>IF(AND(AND(AND(G$4&gt;='2025'!$L186,G$4&lt;='2025'!$M186), G$4&lt;&gt;DATE(2025,7,4)), (SWITCH(weekday(G$4), 1, 0, 2, if(ISBLANK('2025'!$P186), 0, 1), 3, if(ISBLANK('2025'!$Q186), 0, 1), 4, if(ISBLANK('2025'!$R186), 0, 1), 5, if(ISBLANK('2025'!$S186), 0, 1), 6, if(ISBLANK('2025'!$T186), 0, 1), 7, 0))), 1, "")</f>
        <v/>
      </c>
      <c r="H188" s="1" t="str">
        <f>IF(AND(AND(AND(H$4&gt;='2025'!$L186,H$4&lt;='2025'!$M186), H$4&lt;&gt;DATE(2025,7,4)), (SWITCH(weekday(H$4), 1, 0, 2, if(ISBLANK('2025'!$P186), 0, 1), 3, if(ISBLANK('2025'!$Q186), 0, 1), 4, if(ISBLANK('2025'!$R186), 0, 1), 5, if(ISBLANK('2025'!$S186), 0, 1), 6, if(ISBLANK('2025'!$T186), 0, 1), 7, 0))), 1, "")</f>
        <v/>
      </c>
      <c r="I188" s="1" t="str">
        <f>IF(AND(AND(AND(I$4&gt;='2025'!$L186,I$4&lt;='2025'!$M186), I$4&lt;&gt;DATE(2025,7,4)), (SWITCH(weekday(I$4), 1, 0, 2, if(ISBLANK('2025'!$P186), 0, 1), 3, if(ISBLANK('2025'!$Q186), 0, 1), 4, if(ISBLANK('2025'!$R186), 0, 1), 5, if(ISBLANK('2025'!$S186), 0, 1), 6, if(ISBLANK('2025'!$T186), 0, 1), 7, 0))), 1, "")</f>
        <v/>
      </c>
      <c r="J188" s="1" t="str">
        <f>IF(AND(AND(AND(J$4&gt;='2025'!$L186,J$4&lt;='2025'!$M186), J$4&lt;&gt;DATE(2025,7,4)), (SWITCH(weekday(J$4), 1, 0, 2, if(ISBLANK('2025'!$P186), 0, 1), 3, if(ISBLANK('2025'!$Q186), 0, 1), 4, if(ISBLANK('2025'!$R186), 0, 1), 5, if(ISBLANK('2025'!$S186), 0, 1), 6, if(ISBLANK('2025'!$T186), 0, 1), 7, 0))), 1, "")</f>
        <v/>
      </c>
      <c r="K188" s="1" t="str">
        <f>IF(AND(AND(AND(K$4&gt;='2025'!$L186,K$4&lt;='2025'!$M186), K$4&lt;&gt;DATE(2025,7,4)), (SWITCH(weekday(K$4), 1, 0, 2, if(ISBLANK('2025'!$P186), 0, 1), 3, if(ISBLANK('2025'!$Q186), 0, 1), 4, if(ISBLANK('2025'!$R186), 0, 1), 5, if(ISBLANK('2025'!$S186), 0, 1), 6, if(ISBLANK('2025'!$T186), 0, 1), 7, 0))), 1, "")</f>
        <v/>
      </c>
      <c r="L188" s="1" t="str">
        <f>IF(AND(AND(AND(L$4&gt;='2025'!$L186,L$4&lt;='2025'!$M186), L$4&lt;&gt;DATE(2025,7,4)), (SWITCH(weekday(L$4), 1, 0, 2, if(ISBLANK('2025'!$P186), 0, 1), 3, if(ISBLANK('2025'!$Q186), 0, 1), 4, if(ISBLANK('2025'!$R186), 0, 1), 5, if(ISBLANK('2025'!$S186), 0, 1), 6, if(ISBLANK('2025'!$T186), 0, 1), 7, 0))), 1, "")</f>
        <v/>
      </c>
      <c r="M188" s="1" t="str">
        <f>IF(AND(AND(AND(M$4&gt;='2025'!$L186,M$4&lt;='2025'!$M186), M$4&lt;&gt;DATE(2025,7,4)), (SWITCH(weekday(M$4), 1, 0, 2, if(ISBLANK('2025'!$P186), 0, 1), 3, if(ISBLANK('2025'!$Q186), 0, 1), 4, if(ISBLANK('2025'!$R186), 0, 1), 5, if(ISBLANK('2025'!$S186), 0, 1), 6, if(ISBLANK('2025'!$T186), 0, 1), 7, 0))), 1, "")</f>
        <v/>
      </c>
      <c r="N188" s="1" t="str">
        <f>IF(AND(AND(AND(N$4&gt;='2025'!$L186,N$4&lt;='2025'!$M186), N$4&lt;&gt;DATE(2025,7,4)), (SWITCH(weekday(N$4), 1, 0, 2, if(ISBLANK('2025'!$P186), 0, 1), 3, if(ISBLANK('2025'!$Q186), 0, 1), 4, if(ISBLANK('2025'!$R186), 0, 1), 5, if(ISBLANK('2025'!$S186), 0, 1), 6, if(ISBLANK('2025'!$T186), 0, 1), 7, 0))), 1, "")</f>
        <v/>
      </c>
      <c r="O188" s="1" t="str">
        <f>IF(AND(AND(AND(O$4&gt;='2025'!$L186,O$4&lt;='2025'!$M186), O$4&lt;&gt;DATE(2025,7,4)), (SWITCH(weekday(O$4), 1, 0, 2, if(ISBLANK('2025'!$P186), 0, 1), 3, if(ISBLANK('2025'!$Q186), 0, 1), 4, if(ISBLANK('2025'!$R186), 0, 1), 5, if(ISBLANK('2025'!$S186), 0, 1), 6, if(ISBLANK('2025'!$T186), 0, 1), 7, 0))), 1, "")</f>
        <v/>
      </c>
      <c r="P188" s="1" t="str">
        <f>IF(AND(AND(AND(P$4&gt;='2025'!$L186,P$4&lt;='2025'!$M186), P$4&lt;&gt;DATE(2025,7,4)), (SWITCH(weekday(P$4), 1, 0, 2, if(ISBLANK('2025'!$P186), 0, 1), 3, if(ISBLANK('2025'!$Q186), 0, 1), 4, if(ISBLANK('2025'!$R186), 0, 1), 5, if(ISBLANK('2025'!$S186), 0, 1), 6, if(ISBLANK('2025'!$T186), 0, 1), 7, 0))), 1, "")</f>
        <v/>
      </c>
      <c r="Q188" s="1" t="str">
        <f>IF(AND(AND(AND(Q$4&gt;='2025'!$L186,Q$4&lt;='2025'!$M186), Q$4&lt;&gt;DATE(2025,7,4)), (SWITCH(weekday(Q$4), 1, 0, 2, if(ISBLANK('2025'!$P186), 0, 1), 3, if(ISBLANK('2025'!$Q186), 0, 1), 4, if(ISBLANK('2025'!$R186), 0, 1), 5, if(ISBLANK('2025'!$S186), 0, 1), 6, if(ISBLANK('2025'!$T186), 0, 1), 7, 0))), 1, "")</f>
        <v/>
      </c>
      <c r="R188" s="1" t="str">
        <f>IF(AND(AND(AND(R$4&gt;='2025'!$L186,R$4&lt;='2025'!$M186), R$4&lt;&gt;DATE(2025,7,4)), (SWITCH(weekday(R$4), 1, 0, 2, if(ISBLANK('2025'!$P186), 0, 1), 3, if(ISBLANK('2025'!$Q186), 0, 1), 4, if(ISBLANK('2025'!$R186), 0, 1), 5, if(ISBLANK('2025'!$S186), 0, 1), 6, if(ISBLANK('2025'!$T186), 0, 1), 7, 0))), 1, "")</f>
        <v/>
      </c>
      <c r="S188" s="1" t="str">
        <f>IF(AND(AND(AND(S$4&gt;='2025'!$L186,S$4&lt;='2025'!$M186), S$4&lt;&gt;DATE(2025,7,4)), (SWITCH(weekday(S$4), 1, 0, 2, if(ISBLANK('2025'!$P186), 0, 1), 3, if(ISBLANK('2025'!$Q186), 0, 1), 4, if(ISBLANK('2025'!$R186), 0, 1), 5, if(ISBLANK('2025'!$S186), 0, 1), 6, if(ISBLANK('2025'!$T186), 0, 1), 7, 0))), 1, "")</f>
        <v/>
      </c>
      <c r="T188" s="1" t="str">
        <f>IF(AND(AND(AND(T$4&gt;='2025'!$L186,T$4&lt;='2025'!$M186), T$4&lt;&gt;DATE(2025,7,4)), (SWITCH(weekday(T$4), 1, 0, 2, if(ISBLANK('2025'!$P186), 0, 1), 3, if(ISBLANK('2025'!$Q186), 0, 1), 4, if(ISBLANK('2025'!$R186), 0, 1), 5, if(ISBLANK('2025'!$S186), 0, 1), 6, if(ISBLANK('2025'!$T186), 0, 1), 7, 0))), 1, "")</f>
        <v/>
      </c>
      <c r="U188" s="1" t="str">
        <f>IF(AND(AND(AND(U$4&gt;='2025'!$L186,U$4&lt;='2025'!$M186), U$4&lt;&gt;DATE(2025,7,4)), (SWITCH(weekday(U$4), 1, 0, 2, if(ISBLANK('2025'!$P186), 0, 1), 3, if(ISBLANK('2025'!$Q186), 0, 1), 4, if(ISBLANK('2025'!$R186), 0, 1), 5, if(ISBLANK('2025'!$S186), 0, 1), 6, if(ISBLANK('2025'!$T186), 0, 1), 7, 0))), 1, "")</f>
        <v/>
      </c>
      <c r="V188" s="1" t="str">
        <f>IF(AND(AND(AND(V$4&gt;='2025'!$L186,V$4&lt;='2025'!$M186), V$4&lt;&gt;DATE(2025,7,4)), (SWITCH(weekday(V$4), 1, 0, 2, if(ISBLANK('2025'!$P186), 0, 1), 3, if(ISBLANK('2025'!$Q186), 0, 1), 4, if(ISBLANK('2025'!$R186), 0, 1), 5, if(ISBLANK('2025'!$S186), 0, 1), 6, if(ISBLANK('2025'!$T186), 0, 1), 7, 0))), 1, "")</f>
        <v/>
      </c>
      <c r="W188" s="1" t="str">
        <f>IF(AND(AND(AND(W$4&gt;='2025'!$L186,W$4&lt;='2025'!$M186), W$4&lt;&gt;DATE(2025,7,4)), (SWITCH(weekday(W$4), 1, 0, 2, if(ISBLANK('2025'!$P186), 0, 1), 3, if(ISBLANK('2025'!$Q186), 0, 1), 4, if(ISBLANK('2025'!$R186), 0, 1), 5, if(ISBLANK('2025'!$S186), 0, 1), 6, if(ISBLANK('2025'!$T186), 0, 1), 7, 0))), 1, "")</f>
        <v/>
      </c>
      <c r="X188" s="1" t="str">
        <f>IF(AND(AND(AND(X$4&gt;='2025'!$L186,X$4&lt;='2025'!$M186), X$4&lt;&gt;DATE(2025,7,4)), (SWITCH(weekday(X$4), 1, 0, 2, if(ISBLANK('2025'!$P186), 0, 1), 3, if(ISBLANK('2025'!$Q186), 0, 1), 4, if(ISBLANK('2025'!$R186), 0, 1), 5, if(ISBLANK('2025'!$S186), 0, 1), 6, if(ISBLANK('2025'!$T186), 0, 1), 7, 0))), 1, "")</f>
        <v/>
      </c>
      <c r="Y188" s="1" t="str">
        <f>IF(AND(AND(AND(Y$4&gt;='2025'!$L186,Y$4&lt;='2025'!$M186), Y$4&lt;&gt;DATE(2025,7,4)), (SWITCH(weekday(Y$4), 1, 0, 2, if(ISBLANK('2025'!$P186), 0, 1), 3, if(ISBLANK('2025'!$Q186), 0, 1), 4, if(ISBLANK('2025'!$R186), 0, 1), 5, if(ISBLANK('2025'!$S186), 0, 1), 6, if(ISBLANK('2025'!$T186), 0, 1), 7, 0))), 1, "")</f>
        <v/>
      </c>
      <c r="Z188" s="1" t="str">
        <f>IF(AND(AND(AND(Z$4&gt;='2025'!$L186,Z$4&lt;='2025'!$M186), Z$4&lt;&gt;DATE(2025,7,4)), (SWITCH(weekday(Z$4), 1, 0, 2, if(ISBLANK('2025'!$P186), 0, 1), 3, if(ISBLANK('2025'!$Q186), 0, 1), 4, if(ISBLANK('2025'!$R186), 0, 1), 5, if(ISBLANK('2025'!$S186), 0, 1), 6, if(ISBLANK('2025'!$T186), 0, 1), 7, 0))), 1, "")</f>
        <v/>
      </c>
      <c r="AA188" s="1" t="str">
        <f>IF(AND(AND(AND(AA$4&gt;='2025'!$L186,AA$4&lt;='2025'!$M186), AA$4&lt;&gt;DATE(2025,7,4)), (SWITCH(weekday(AA$4), 1, 0, 2, if(ISBLANK('2025'!$P186), 0, 1), 3, if(ISBLANK('2025'!$Q186), 0, 1), 4, if(ISBLANK('2025'!$R186), 0, 1), 5, if(ISBLANK('2025'!$S186), 0, 1), 6, if(ISBLANK('2025'!$T186), 0, 1), 7, 0))), 1, "")</f>
        <v/>
      </c>
      <c r="AB188" s="1" t="str">
        <f>IF(AND(AND(AND(AB$4&gt;='2025'!$L186,AB$4&lt;='2025'!$M186), AB$4&lt;&gt;DATE(2025,7,4)), (SWITCH(weekday(AB$4), 1, 0, 2, if(ISBLANK('2025'!$P186), 0, 1), 3, if(ISBLANK('2025'!$Q186), 0, 1), 4, if(ISBLANK('2025'!$R186), 0, 1), 5, if(ISBLANK('2025'!$S186), 0, 1), 6, if(ISBLANK('2025'!$T186), 0, 1), 7, 0))), 1, "")</f>
        <v/>
      </c>
      <c r="AC188" s="1" t="str">
        <f>IF(AND(AND(AND(AC$4&gt;='2025'!$L186,AC$4&lt;='2025'!$M186), AC$4&lt;&gt;DATE(2025,7,4)), (SWITCH(weekday(AC$4), 1, 0, 2, if(ISBLANK('2025'!$P186), 0, 1), 3, if(ISBLANK('2025'!$Q186), 0, 1), 4, if(ISBLANK('2025'!$R186), 0, 1), 5, if(ISBLANK('2025'!$S186), 0, 1), 6, if(ISBLANK('2025'!$T186), 0, 1), 7, 0))), 1, "")</f>
        <v/>
      </c>
      <c r="AD188" s="1" t="str">
        <f>IF(AND(AND(AND(AD$4&gt;='2025'!$L186,AD$4&lt;='2025'!$M186), AD$4&lt;&gt;DATE(2025,7,4)), (SWITCH(weekday(AD$4), 1, 0, 2, if(ISBLANK('2025'!$P186), 0, 1), 3, if(ISBLANK('2025'!$Q186), 0, 1), 4, if(ISBLANK('2025'!$R186), 0, 1), 5, if(ISBLANK('2025'!$S186), 0, 1), 6, if(ISBLANK('2025'!$T186), 0, 1), 7, 0))), 1, "")</f>
        <v/>
      </c>
      <c r="AE188" s="1" t="str">
        <f>IF(AND(AND(AND(AE$4&gt;='2025'!$L186,AE$4&lt;='2025'!$M186), AE$4&lt;&gt;DATE(2025,7,4)), (SWITCH(weekday(AE$4), 1, 0, 2, if(ISBLANK('2025'!$P186), 0, 1), 3, if(ISBLANK('2025'!$Q186), 0, 1), 4, if(ISBLANK('2025'!$R186), 0, 1), 5, if(ISBLANK('2025'!$S186), 0, 1), 6, if(ISBLANK('2025'!$T186), 0, 1), 7, 0))), 1, "")</f>
        <v/>
      </c>
      <c r="AF188" s="1" t="str">
        <f>IF(AND(AND(AND(AF$4&gt;='2025'!$L186,AF$4&lt;='2025'!$M186), AF$4&lt;&gt;DATE(2025,7,4)), (SWITCH(weekday(AF$4), 1, 0, 2, if(ISBLANK('2025'!$P186), 0, 1), 3, if(ISBLANK('2025'!$Q186), 0, 1), 4, if(ISBLANK('2025'!$R186), 0, 1), 5, if(ISBLANK('2025'!$S186), 0, 1), 6, if(ISBLANK('2025'!$T186), 0, 1), 7, 0))), 1, "")</f>
        <v/>
      </c>
      <c r="AG188" s="1" t="str">
        <f>IF(AND(AND(AND(AG$4&gt;='2025'!$L186,AG$4&lt;='2025'!$M186), AG$4&lt;&gt;DATE(2025,7,4)), (SWITCH(weekday(AG$4), 1, 0, 2, if(ISBLANK('2025'!$P186), 0, 1), 3, if(ISBLANK('2025'!$Q186), 0, 1), 4, if(ISBLANK('2025'!$R186), 0, 1), 5, if(ISBLANK('2025'!$S186), 0, 1), 6, if(ISBLANK('2025'!$T186), 0, 1), 7, 0))), 1, "")</f>
        <v/>
      </c>
      <c r="AH188" s="1" t="str">
        <f>IF(AND(AND(AND(AH$4&gt;='2025'!$L186,AH$4&lt;='2025'!$M186), AH$4&lt;&gt;DATE(2025,7,4)), (SWITCH(weekday(AH$4), 1, 0, 2, if(ISBLANK('2025'!$P186), 0, 1), 3, if(ISBLANK('2025'!$Q186), 0, 1), 4, if(ISBLANK('2025'!$R186), 0, 1), 5, if(ISBLANK('2025'!$S186), 0, 1), 6, if(ISBLANK('2025'!$T186), 0, 1), 7, 0))), 1, "")</f>
        <v/>
      </c>
      <c r="AI188" s="1" t="str">
        <f>IF(AND(AND(AND(AI$4&gt;='2025'!$L186,AI$4&lt;='2025'!$M186), AI$4&lt;&gt;DATE(2025,7,4)), (SWITCH(weekday(AI$4), 1, 0, 2, if(ISBLANK('2025'!$P186), 0, 1), 3, if(ISBLANK('2025'!$Q186), 0, 1), 4, if(ISBLANK('2025'!$R186), 0, 1), 5, if(ISBLANK('2025'!$S186), 0, 1), 6, if(ISBLANK('2025'!$T186), 0, 1), 7, 0))), 1, "")</f>
        <v/>
      </c>
      <c r="AJ188" s="1" t="str">
        <f>IF(AND(AND(AND(AJ$4&gt;='2025'!$L186,AJ$4&lt;='2025'!$M186), AJ$4&lt;&gt;DATE(2025,7,4)), (SWITCH(weekday(AJ$4), 1, 0, 2, if(ISBLANK('2025'!$P186), 0, 1), 3, if(ISBLANK('2025'!$Q186), 0, 1), 4, if(ISBLANK('2025'!$R186), 0, 1), 5, if(ISBLANK('2025'!$S186), 0, 1), 6, if(ISBLANK('2025'!$T186), 0, 1), 7, 0))), 1, "")</f>
        <v/>
      </c>
      <c r="AK188" s="1" t="str">
        <f>IF(AND(AND(AND(AK$4&gt;='2025'!$L186,AK$4&lt;='2025'!$M186), AK$4&lt;&gt;DATE(2025,7,4)), (SWITCH(weekday(AK$4), 1, 0, 2, if(ISBLANK('2025'!$P186), 0, 1), 3, if(ISBLANK('2025'!$Q186), 0, 1), 4, if(ISBLANK('2025'!$R186), 0, 1), 5, if(ISBLANK('2025'!$S186), 0, 1), 6, if(ISBLANK('2025'!$T186), 0, 1), 7, 0))), 1, "")</f>
        <v/>
      </c>
      <c r="AL188" s="1" t="str">
        <f>IF(AND(AND(AND(AL$4&gt;='2025'!$L186,AL$4&lt;='2025'!$M186), AL$4&lt;&gt;DATE(2025,7,4)), (SWITCH(weekday(AL$4), 1, 0, 2, if(ISBLANK('2025'!$P186), 0, 1), 3, if(ISBLANK('2025'!$Q186), 0, 1), 4, if(ISBLANK('2025'!$R186), 0, 1), 5, if(ISBLANK('2025'!$S186), 0, 1), 6, if(ISBLANK('2025'!$T186), 0, 1), 7, 0))), 1, "")</f>
        <v/>
      </c>
      <c r="AM188" s="1" t="str">
        <f>IF(AND(AND(AND(AM$4&gt;='2025'!$L186,AM$4&lt;='2025'!$M186), AM$4&lt;&gt;DATE(2025,7,4)), (SWITCH(weekday(AM$4), 1, 0, 2, if(ISBLANK('2025'!$P186), 0, 1), 3, if(ISBLANK('2025'!$Q186), 0, 1), 4, if(ISBLANK('2025'!$R186), 0, 1), 5, if(ISBLANK('2025'!$S186), 0, 1), 6, if(ISBLANK('2025'!$T186), 0, 1), 7, 0))), 1, "")</f>
        <v/>
      </c>
      <c r="AN188" s="1" t="str">
        <f>IF(AND(AND(AND(AN$4&gt;='2025'!$L186,AN$4&lt;='2025'!$M186), AN$4&lt;&gt;DATE(2025,7,4)), (SWITCH(weekday(AN$4), 1, 0, 2, if(ISBLANK('2025'!$P186), 0, 1), 3, if(ISBLANK('2025'!$Q186), 0, 1), 4, if(ISBLANK('2025'!$R186), 0, 1), 5, if(ISBLANK('2025'!$S186), 0, 1), 6, if(ISBLANK('2025'!$T186), 0, 1), 7, 0))), 1, "")</f>
        <v/>
      </c>
      <c r="AO188" s="1" t="str">
        <f>IF(AND(AND(AND(AO$4&gt;='2025'!$L186,AO$4&lt;='2025'!$M186), AO$4&lt;&gt;DATE(2025,7,4)), (SWITCH(weekday(AO$4), 1, 0, 2, if(ISBLANK('2025'!$P186), 0, 1), 3, if(ISBLANK('2025'!$Q186), 0, 1), 4, if(ISBLANK('2025'!$R186), 0, 1), 5, if(ISBLANK('2025'!$S186), 0, 1), 6, if(ISBLANK('2025'!$T186), 0, 1), 7, 0))), 1, "")</f>
        <v/>
      </c>
      <c r="AP188" s="1" t="str">
        <f>IF(AND(AND(AND(AP$4&gt;='2025'!$L186,AP$4&lt;='2025'!$M186), AP$4&lt;&gt;DATE(2025,7,4)), (SWITCH(weekday(AP$4), 1, 0, 2, if(ISBLANK('2025'!$P186), 0, 1), 3, if(ISBLANK('2025'!$Q186), 0, 1), 4, if(ISBLANK('2025'!$R186), 0, 1), 5, if(ISBLANK('2025'!$S186), 0, 1), 6, if(ISBLANK('2025'!$T186), 0, 1), 7, 0))), 1, "")</f>
        <v/>
      </c>
      <c r="AQ188" s="1" t="str">
        <f>IF(AND(AND(AND(AQ$4&gt;='2025'!$L186,AQ$4&lt;='2025'!$M186), AQ$4&lt;&gt;DATE(2025,7,4)), (SWITCH(weekday(AQ$4), 1, 0, 2, if(ISBLANK('2025'!$P186), 0, 1), 3, if(ISBLANK('2025'!$Q186), 0, 1), 4, if(ISBLANK('2025'!$R186), 0, 1), 5, if(ISBLANK('2025'!$S186), 0, 1), 6, if(ISBLANK('2025'!$T186), 0, 1), 7, 0))), 1, "")</f>
        <v/>
      </c>
      <c r="AR188" s="1" t="str">
        <f>IF(AND(AND(AND(AR$4&gt;='2025'!$L186,AR$4&lt;='2025'!$M186), AR$4&lt;&gt;DATE(2025,7,4)), (SWITCH(weekday(AR$4), 1, 0, 2, if(ISBLANK('2025'!$P186), 0, 1), 3, if(ISBLANK('2025'!$Q186), 0, 1), 4, if(ISBLANK('2025'!$R186), 0, 1), 5, if(ISBLANK('2025'!$S186), 0, 1), 6, if(ISBLANK('2025'!$T186), 0, 1), 7, 0))), 1, "")</f>
        <v/>
      </c>
      <c r="AS188" s="1" t="str">
        <f>IF(AND(AND(AND(AS$4&gt;='2025'!$L186,AS$4&lt;='2025'!$M186), AS$4&lt;&gt;DATE(2025,7,4)), (SWITCH(weekday(AS$4), 1, 0, 2, if(ISBLANK('2025'!$P186), 0, 1), 3, if(ISBLANK('2025'!$Q186), 0, 1), 4, if(ISBLANK('2025'!$R186), 0, 1), 5, if(ISBLANK('2025'!$S186), 0, 1), 6, if(ISBLANK('2025'!$T186), 0, 1), 7, 0))), 1, "")</f>
        <v/>
      </c>
      <c r="AT188" s="1" t="str">
        <f>IF(AND(AND(AND(AT$4&gt;='2025'!$L186,AT$4&lt;='2025'!$M186), AT$4&lt;&gt;DATE(2025,7,4)), (SWITCH(weekday(AT$4), 1, 0, 2, if(ISBLANK('2025'!$P186), 0, 1), 3, if(ISBLANK('2025'!$Q186), 0, 1), 4, if(ISBLANK('2025'!$R186), 0, 1), 5, if(ISBLANK('2025'!$S186), 0, 1), 6, if(ISBLANK('2025'!$T186), 0, 1), 7, 0))), 1, "")</f>
        <v/>
      </c>
      <c r="AU188" s="1" t="str">
        <f>IF(AND(AND(AND(AU$4&gt;='2025'!$L186,AU$4&lt;='2025'!$M186), AU$4&lt;&gt;DATE(2025,7,4)), (SWITCH(weekday(AU$4), 1, 0, 2, if(ISBLANK('2025'!$P186), 0, 1), 3, if(ISBLANK('2025'!$Q186), 0, 1), 4, if(ISBLANK('2025'!$R186), 0, 1), 5, if(ISBLANK('2025'!$S186), 0, 1), 6, if(ISBLANK('2025'!$T186), 0, 1), 7, 0))), 1, "")</f>
        <v/>
      </c>
      <c r="AV188" s="1" t="str">
        <f>IF(AND(AND(AND(AV$4&gt;='2025'!$L186,AV$4&lt;='2025'!$M186), AV$4&lt;&gt;DATE(2025,7,4)), (SWITCH(weekday(AV$4), 1, 0, 2, if(ISBLANK('2025'!$P186), 0, 1), 3, if(ISBLANK('2025'!$Q186), 0, 1), 4, if(ISBLANK('2025'!$R186), 0, 1), 5, if(ISBLANK('2025'!$S186), 0, 1), 6, if(ISBLANK('2025'!$T186), 0, 1), 7, 0))), 1, "")</f>
        <v/>
      </c>
      <c r="AW188" s="1" t="str">
        <f>IF(AND(AND(AND(AW$4&gt;='2025'!$L186,AW$4&lt;='2025'!$M186), AW$4&lt;&gt;DATE(2025,7,4)), (SWITCH(weekday(AW$4), 1, 0, 2, if(ISBLANK('2025'!$P186), 0, 1), 3, if(ISBLANK('2025'!$Q186), 0, 1), 4, if(ISBLANK('2025'!$R186), 0, 1), 5, if(ISBLANK('2025'!$S186), 0, 1), 6, if(ISBLANK('2025'!$T186), 0, 1), 7, 0))), 1, "")</f>
        <v/>
      </c>
      <c r="AX188" s="1" t="str">
        <f>IF(AND(AND(AND(AX$4&gt;='2025'!$L186,AX$4&lt;='2025'!$M186), AX$4&lt;&gt;DATE(2025,7,4)), (SWITCH(weekday(AX$4), 1, 0, 2, if(ISBLANK('2025'!$P186), 0, 1), 3, if(ISBLANK('2025'!$Q186), 0, 1), 4, if(ISBLANK('2025'!$R186), 0, 1), 5, if(ISBLANK('2025'!$S186), 0, 1), 6, if(ISBLANK('2025'!$T186), 0, 1), 7, 0))), 1, "")</f>
        <v/>
      </c>
      <c r="AY188" s="1" t="str">
        <f>IF(AND(AND(AND(AY$4&gt;='2025'!$L186,AY$4&lt;='2025'!$M186), AY$4&lt;&gt;DATE(2025,7,4)), (SWITCH(weekday(AY$4), 1, 0, 2, if(ISBLANK('2025'!$P186), 0, 1), 3, if(ISBLANK('2025'!$Q186), 0, 1), 4, if(ISBLANK('2025'!$R186), 0, 1), 5, if(ISBLANK('2025'!$S186), 0, 1), 6, if(ISBLANK('2025'!$T186), 0, 1), 7, 0))), 1, "")</f>
        <v/>
      </c>
      <c r="AZ188" s="1" t="str">
        <f>IF(AND(AND(AND(AZ$4&gt;='2025'!$L186,AZ$4&lt;='2025'!$M186), AZ$4&lt;&gt;DATE(2025,7,4)), (SWITCH(weekday(AZ$4), 1, 0, 2, if(ISBLANK('2025'!$P186), 0, 1), 3, if(ISBLANK('2025'!$Q186), 0, 1), 4, if(ISBLANK('2025'!$R186), 0, 1), 5, if(ISBLANK('2025'!$S186), 0, 1), 6, if(ISBLANK('2025'!$T186), 0, 1), 7, 0))), 1, "")</f>
        <v/>
      </c>
      <c r="BA188" s="1" t="str">
        <f>IF(AND(AND(AND(BA$4&gt;='2025'!$L186,BA$4&lt;='2025'!$M186), BA$4&lt;&gt;DATE(2025,7,4)), (SWITCH(weekday(BA$4), 1, 0, 2, if(ISBLANK('2025'!$P186), 0, 1), 3, if(ISBLANK('2025'!$Q186), 0, 1), 4, if(ISBLANK('2025'!$R186), 0, 1), 5, if(ISBLANK('2025'!$S186), 0, 1), 6, if(ISBLANK('2025'!$T186), 0, 1), 7, 0))), 1, "")</f>
        <v/>
      </c>
      <c r="BB188" s="1" t="str">
        <f>IF(AND(AND(AND(BB$4&gt;='2025'!$L186,BB$4&lt;='2025'!$M186), BB$4&lt;&gt;DATE(2025,7,4)), (SWITCH(weekday(BB$4), 1, 0, 2, if(ISBLANK('2025'!$P186), 0, 1), 3, if(ISBLANK('2025'!$Q186), 0, 1), 4, if(ISBLANK('2025'!$R186), 0, 1), 5, if(ISBLANK('2025'!$S186), 0, 1), 6, if(ISBLANK('2025'!$T186), 0, 1), 7, 0))), 1, "")</f>
        <v/>
      </c>
      <c r="BC188" s="1" t="str">
        <f>IF(AND(AND(AND(BC$4&gt;='2025'!$L186,BC$4&lt;='2025'!$M186), BC$4&lt;&gt;DATE(2025,7,4)), (SWITCH(weekday(BC$4), 1, 0, 2, if(ISBLANK('2025'!$P186), 0, 1), 3, if(ISBLANK('2025'!$Q186), 0, 1), 4, if(ISBLANK('2025'!$R186), 0, 1), 5, if(ISBLANK('2025'!$S186), 0, 1), 6, if(ISBLANK('2025'!$T186), 0, 1), 7, 0))), 1, "")</f>
        <v/>
      </c>
      <c r="BD188" s="1" t="str">
        <f>IF(AND(AND(AND(BD$4&gt;='2025'!$L186,BD$4&lt;='2025'!$M186), BD$4&lt;&gt;DATE(2025,7,4)), (SWITCH(weekday(BD$4), 1, 0, 2, if(ISBLANK('2025'!$P186), 0, 1), 3, if(ISBLANK('2025'!$Q186), 0, 1), 4, if(ISBLANK('2025'!$R186), 0, 1), 5, if(ISBLANK('2025'!$S186), 0, 1), 6, if(ISBLANK('2025'!$T186), 0, 1), 7, 0))), 1, "")</f>
        <v/>
      </c>
      <c r="BE188" s="1" t="str">
        <f>IF(AND(AND(AND(BE$4&gt;='2025'!$L186,BE$4&lt;='2025'!$M186), BE$4&lt;&gt;DATE(2025,7,4)), (SWITCH(weekday(BE$4), 1, 0, 2, if(ISBLANK('2025'!$P186), 0, 1), 3, if(ISBLANK('2025'!$Q186), 0, 1), 4, if(ISBLANK('2025'!$R186), 0, 1), 5, if(ISBLANK('2025'!$S186), 0, 1), 6, if(ISBLANK('2025'!$T186), 0, 1), 7, 0))), 1, "")</f>
        <v/>
      </c>
      <c r="BF188" s="1" t="str">
        <f>IF(AND(AND(AND(BF$4&gt;='2025'!$L186,BF$4&lt;='2025'!$M186), BF$4&lt;&gt;DATE(2025,7,4)), (SWITCH(weekday(BF$4), 1, 0, 2, if(ISBLANK('2025'!$P186), 0, 1), 3, if(ISBLANK('2025'!$Q186), 0, 1), 4, if(ISBLANK('2025'!$R186), 0, 1), 5, if(ISBLANK('2025'!$S186), 0, 1), 6, if(ISBLANK('2025'!$T186), 0, 1), 7, 0))), 1, "")</f>
        <v/>
      </c>
      <c r="BG188" s="1"/>
      <c r="BH188" s="1"/>
      <c r="BI188" s="1"/>
      <c r="BJ188" s="1"/>
      <c r="BK188" s="1"/>
      <c r="BL188" s="1"/>
    </row>
    <row r="189">
      <c r="A189" s="1">
        <f t="shared" si="3"/>
        <v>189</v>
      </c>
      <c r="B189" s="1" t="str">
        <f>'2025'!D153</f>
        <v>, </v>
      </c>
      <c r="C189" s="1" t="str">
        <f>'2025'!H153</f>
        <v/>
      </c>
      <c r="D189" s="1" t="str">
        <f>IF(AND(AND(AND(D$4&gt;='2025'!$L187,D$4&lt;='2025'!$M187), D$4&lt;&gt;DATE(2025,7,4)), (SWITCH(weekday(D$4), 1, 0, 2, if(ISBLANK('2025'!$P187), 0, 1), 3, if(ISBLANK('2025'!$Q187), 0, 1), 4, if(ISBLANK('2025'!$R187), 0, 1), 5, if(ISBLANK('2025'!$S187), 0, 1), 6, if(ISBLANK('2025'!$T187), 0, 1), 7, 0))), 1, "")</f>
        <v/>
      </c>
      <c r="E189" s="1" t="str">
        <f>IF(AND(AND(AND(E$4&gt;='2025'!$L187,E$4&lt;='2025'!$M187), E$4&lt;&gt;DATE(2025,7,4)), (SWITCH(weekday(E$4), 1, 0, 2, if(ISBLANK('2025'!$P187), 0, 1), 3, if(ISBLANK('2025'!$Q187), 0, 1), 4, if(ISBLANK('2025'!$R187), 0, 1), 5, if(ISBLANK('2025'!$S187), 0, 1), 6, if(ISBLANK('2025'!$T187), 0, 1), 7, 0))), 1, "")</f>
        <v/>
      </c>
      <c r="F189" s="1" t="str">
        <f>IF(AND(AND(AND(F$4&gt;='2025'!$L187,F$4&lt;='2025'!$M187), F$4&lt;&gt;DATE(2025,7,4)), (SWITCH(weekday(F$4), 1, 0, 2, if(ISBLANK('2025'!$P187), 0, 1), 3, if(ISBLANK('2025'!$Q187), 0, 1), 4, if(ISBLANK('2025'!$R187), 0, 1), 5, if(ISBLANK('2025'!$S187), 0, 1), 6, if(ISBLANK('2025'!$T187), 0, 1), 7, 0))), 1, "")</f>
        <v/>
      </c>
      <c r="G189" s="1" t="str">
        <f>IF(AND(AND(AND(G$4&gt;='2025'!$L187,G$4&lt;='2025'!$M187), G$4&lt;&gt;DATE(2025,7,4)), (SWITCH(weekday(G$4), 1, 0, 2, if(ISBLANK('2025'!$P187), 0, 1), 3, if(ISBLANK('2025'!$Q187), 0, 1), 4, if(ISBLANK('2025'!$R187), 0, 1), 5, if(ISBLANK('2025'!$S187), 0, 1), 6, if(ISBLANK('2025'!$T187), 0, 1), 7, 0))), 1, "")</f>
        <v/>
      </c>
      <c r="H189" s="1" t="str">
        <f>IF(AND(AND(AND(H$4&gt;='2025'!$L187,H$4&lt;='2025'!$M187), H$4&lt;&gt;DATE(2025,7,4)), (SWITCH(weekday(H$4), 1, 0, 2, if(ISBLANK('2025'!$P187), 0, 1), 3, if(ISBLANK('2025'!$Q187), 0, 1), 4, if(ISBLANK('2025'!$R187), 0, 1), 5, if(ISBLANK('2025'!$S187), 0, 1), 6, if(ISBLANK('2025'!$T187), 0, 1), 7, 0))), 1, "")</f>
        <v/>
      </c>
      <c r="I189" s="1" t="str">
        <f>IF(AND(AND(AND(I$4&gt;='2025'!$L187,I$4&lt;='2025'!$M187), I$4&lt;&gt;DATE(2025,7,4)), (SWITCH(weekday(I$4), 1, 0, 2, if(ISBLANK('2025'!$P187), 0, 1), 3, if(ISBLANK('2025'!$Q187), 0, 1), 4, if(ISBLANK('2025'!$R187), 0, 1), 5, if(ISBLANK('2025'!$S187), 0, 1), 6, if(ISBLANK('2025'!$T187), 0, 1), 7, 0))), 1, "")</f>
        <v/>
      </c>
      <c r="J189" s="1" t="str">
        <f>IF(AND(AND(AND(J$4&gt;='2025'!$L187,J$4&lt;='2025'!$M187), J$4&lt;&gt;DATE(2025,7,4)), (SWITCH(weekday(J$4), 1, 0, 2, if(ISBLANK('2025'!$P187), 0, 1), 3, if(ISBLANK('2025'!$Q187), 0, 1), 4, if(ISBLANK('2025'!$R187), 0, 1), 5, if(ISBLANK('2025'!$S187), 0, 1), 6, if(ISBLANK('2025'!$T187), 0, 1), 7, 0))), 1, "")</f>
        <v/>
      </c>
      <c r="K189" s="1" t="str">
        <f>IF(AND(AND(AND(K$4&gt;='2025'!$L187,K$4&lt;='2025'!$M187), K$4&lt;&gt;DATE(2025,7,4)), (SWITCH(weekday(K$4), 1, 0, 2, if(ISBLANK('2025'!$P187), 0, 1), 3, if(ISBLANK('2025'!$Q187), 0, 1), 4, if(ISBLANK('2025'!$R187), 0, 1), 5, if(ISBLANK('2025'!$S187), 0, 1), 6, if(ISBLANK('2025'!$T187), 0, 1), 7, 0))), 1, "")</f>
        <v/>
      </c>
      <c r="L189" s="1" t="str">
        <f>IF(AND(AND(AND(L$4&gt;='2025'!$L187,L$4&lt;='2025'!$M187), L$4&lt;&gt;DATE(2025,7,4)), (SWITCH(weekday(L$4), 1, 0, 2, if(ISBLANK('2025'!$P187), 0, 1), 3, if(ISBLANK('2025'!$Q187), 0, 1), 4, if(ISBLANK('2025'!$R187), 0, 1), 5, if(ISBLANK('2025'!$S187), 0, 1), 6, if(ISBLANK('2025'!$T187), 0, 1), 7, 0))), 1, "")</f>
        <v/>
      </c>
      <c r="M189" s="1" t="str">
        <f>IF(AND(AND(AND(M$4&gt;='2025'!$L187,M$4&lt;='2025'!$M187), M$4&lt;&gt;DATE(2025,7,4)), (SWITCH(weekday(M$4), 1, 0, 2, if(ISBLANK('2025'!$P187), 0, 1), 3, if(ISBLANK('2025'!$Q187), 0, 1), 4, if(ISBLANK('2025'!$R187), 0, 1), 5, if(ISBLANK('2025'!$S187), 0, 1), 6, if(ISBLANK('2025'!$T187), 0, 1), 7, 0))), 1, "")</f>
        <v/>
      </c>
      <c r="N189" s="1" t="str">
        <f>IF(AND(AND(AND(N$4&gt;='2025'!$L187,N$4&lt;='2025'!$M187), N$4&lt;&gt;DATE(2025,7,4)), (SWITCH(weekday(N$4), 1, 0, 2, if(ISBLANK('2025'!$P187), 0, 1), 3, if(ISBLANK('2025'!$Q187), 0, 1), 4, if(ISBLANK('2025'!$R187), 0, 1), 5, if(ISBLANK('2025'!$S187), 0, 1), 6, if(ISBLANK('2025'!$T187), 0, 1), 7, 0))), 1, "")</f>
        <v/>
      </c>
      <c r="O189" s="1" t="str">
        <f>IF(AND(AND(AND(O$4&gt;='2025'!$L187,O$4&lt;='2025'!$M187), O$4&lt;&gt;DATE(2025,7,4)), (SWITCH(weekday(O$4), 1, 0, 2, if(ISBLANK('2025'!$P187), 0, 1), 3, if(ISBLANK('2025'!$Q187), 0, 1), 4, if(ISBLANK('2025'!$R187), 0, 1), 5, if(ISBLANK('2025'!$S187), 0, 1), 6, if(ISBLANK('2025'!$T187), 0, 1), 7, 0))), 1, "")</f>
        <v/>
      </c>
      <c r="P189" s="1" t="str">
        <f>IF(AND(AND(AND(P$4&gt;='2025'!$L187,P$4&lt;='2025'!$M187), P$4&lt;&gt;DATE(2025,7,4)), (SWITCH(weekday(P$4), 1, 0, 2, if(ISBLANK('2025'!$P187), 0, 1), 3, if(ISBLANK('2025'!$Q187), 0, 1), 4, if(ISBLANK('2025'!$R187), 0, 1), 5, if(ISBLANK('2025'!$S187), 0, 1), 6, if(ISBLANK('2025'!$T187), 0, 1), 7, 0))), 1, "")</f>
        <v/>
      </c>
      <c r="Q189" s="1" t="str">
        <f>IF(AND(AND(AND(Q$4&gt;='2025'!$L187,Q$4&lt;='2025'!$M187), Q$4&lt;&gt;DATE(2025,7,4)), (SWITCH(weekday(Q$4), 1, 0, 2, if(ISBLANK('2025'!$P187), 0, 1), 3, if(ISBLANK('2025'!$Q187), 0, 1), 4, if(ISBLANK('2025'!$R187), 0, 1), 5, if(ISBLANK('2025'!$S187), 0, 1), 6, if(ISBLANK('2025'!$T187), 0, 1), 7, 0))), 1, "")</f>
        <v/>
      </c>
      <c r="R189" s="1" t="str">
        <f>IF(AND(AND(AND(R$4&gt;='2025'!$L187,R$4&lt;='2025'!$M187), R$4&lt;&gt;DATE(2025,7,4)), (SWITCH(weekday(R$4), 1, 0, 2, if(ISBLANK('2025'!$P187), 0, 1), 3, if(ISBLANK('2025'!$Q187), 0, 1), 4, if(ISBLANK('2025'!$R187), 0, 1), 5, if(ISBLANK('2025'!$S187), 0, 1), 6, if(ISBLANK('2025'!$T187), 0, 1), 7, 0))), 1, "")</f>
        <v/>
      </c>
      <c r="S189" s="1" t="str">
        <f>IF(AND(AND(AND(S$4&gt;='2025'!$L187,S$4&lt;='2025'!$M187), S$4&lt;&gt;DATE(2025,7,4)), (SWITCH(weekday(S$4), 1, 0, 2, if(ISBLANK('2025'!$P187), 0, 1), 3, if(ISBLANK('2025'!$Q187), 0, 1), 4, if(ISBLANK('2025'!$R187), 0, 1), 5, if(ISBLANK('2025'!$S187), 0, 1), 6, if(ISBLANK('2025'!$T187), 0, 1), 7, 0))), 1, "")</f>
        <v/>
      </c>
      <c r="T189" s="1" t="str">
        <f>IF(AND(AND(AND(T$4&gt;='2025'!$L187,T$4&lt;='2025'!$M187), T$4&lt;&gt;DATE(2025,7,4)), (SWITCH(weekday(T$4), 1, 0, 2, if(ISBLANK('2025'!$P187), 0, 1), 3, if(ISBLANK('2025'!$Q187), 0, 1), 4, if(ISBLANK('2025'!$R187), 0, 1), 5, if(ISBLANK('2025'!$S187), 0, 1), 6, if(ISBLANK('2025'!$T187), 0, 1), 7, 0))), 1, "")</f>
        <v/>
      </c>
      <c r="U189" s="1" t="str">
        <f>IF(AND(AND(AND(U$4&gt;='2025'!$L187,U$4&lt;='2025'!$M187), U$4&lt;&gt;DATE(2025,7,4)), (SWITCH(weekday(U$4), 1, 0, 2, if(ISBLANK('2025'!$P187), 0, 1), 3, if(ISBLANK('2025'!$Q187), 0, 1), 4, if(ISBLANK('2025'!$R187), 0, 1), 5, if(ISBLANK('2025'!$S187), 0, 1), 6, if(ISBLANK('2025'!$T187), 0, 1), 7, 0))), 1, "")</f>
        <v/>
      </c>
      <c r="V189" s="1" t="str">
        <f>IF(AND(AND(AND(V$4&gt;='2025'!$L187,V$4&lt;='2025'!$M187), V$4&lt;&gt;DATE(2025,7,4)), (SWITCH(weekday(V$4), 1, 0, 2, if(ISBLANK('2025'!$P187), 0, 1), 3, if(ISBLANK('2025'!$Q187), 0, 1), 4, if(ISBLANK('2025'!$R187), 0, 1), 5, if(ISBLANK('2025'!$S187), 0, 1), 6, if(ISBLANK('2025'!$T187), 0, 1), 7, 0))), 1, "")</f>
        <v/>
      </c>
      <c r="W189" s="1" t="str">
        <f>IF(AND(AND(AND(W$4&gt;='2025'!$L187,W$4&lt;='2025'!$M187), W$4&lt;&gt;DATE(2025,7,4)), (SWITCH(weekday(W$4), 1, 0, 2, if(ISBLANK('2025'!$P187), 0, 1), 3, if(ISBLANK('2025'!$Q187), 0, 1), 4, if(ISBLANK('2025'!$R187), 0, 1), 5, if(ISBLANK('2025'!$S187), 0, 1), 6, if(ISBLANK('2025'!$T187), 0, 1), 7, 0))), 1, "")</f>
        <v/>
      </c>
      <c r="X189" s="1" t="str">
        <f>IF(AND(AND(AND(X$4&gt;='2025'!$L187,X$4&lt;='2025'!$M187), X$4&lt;&gt;DATE(2025,7,4)), (SWITCH(weekday(X$4), 1, 0, 2, if(ISBLANK('2025'!$P187), 0, 1), 3, if(ISBLANK('2025'!$Q187), 0, 1), 4, if(ISBLANK('2025'!$R187), 0, 1), 5, if(ISBLANK('2025'!$S187), 0, 1), 6, if(ISBLANK('2025'!$T187), 0, 1), 7, 0))), 1, "")</f>
        <v/>
      </c>
      <c r="Y189" s="1" t="str">
        <f>IF(AND(AND(AND(Y$4&gt;='2025'!$L187,Y$4&lt;='2025'!$M187), Y$4&lt;&gt;DATE(2025,7,4)), (SWITCH(weekday(Y$4), 1, 0, 2, if(ISBLANK('2025'!$P187), 0, 1), 3, if(ISBLANK('2025'!$Q187), 0, 1), 4, if(ISBLANK('2025'!$R187), 0, 1), 5, if(ISBLANK('2025'!$S187), 0, 1), 6, if(ISBLANK('2025'!$T187), 0, 1), 7, 0))), 1, "")</f>
        <v/>
      </c>
      <c r="Z189" s="1" t="str">
        <f>IF(AND(AND(AND(Z$4&gt;='2025'!$L187,Z$4&lt;='2025'!$M187), Z$4&lt;&gt;DATE(2025,7,4)), (SWITCH(weekday(Z$4), 1, 0, 2, if(ISBLANK('2025'!$P187), 0, 1), 3, if(ISBLANK('2025'!$Q187), 0, 1), 4, if(ISBLANK('2025'!$R187), 0, 1), 5, if(ISBLANK('2025'!$S187), 0, 1), 6, if(ISBLANK('2025'!$T187), 0, 1), 7, 0))), 1, "")</f>
        <v/>
      </c>
      <c r="AA189" s="1" t="str">
        <f>IF(AND(AND(AND(AA$4&gt;='2025'!$L187,AA$4&lt;='2025'!$M187), AA$4&lt;&gt;DATE(2025,7,4)), (SWITCH(weekday(AA$4), 1, 0, 2, if(ISBLANK('2025'!$P187), 0, 1), 3, if(ISBLANK('2025'!$Q187), 0, 1), 4, if(ISBLANK('2025'!$R187), 0, 1), 5, if(ISBLANK('2025'!$S187), 0, 1), 6, if(ISBLANK('2025'!$T187), 0, 1), 7, 0))), 1, "")</f>
        <v/>
      </c>
      <c r="AB189" s="1" t="str">
        <f>IF(AND(AND(AND(AB$4&gt;='2025'!$L187,AB$4&lt;='2025'!$M187), AB$4&lt;&gt;DATE(2025,7,4)), (SWITCH(weekday(AB$4), 1, 0, 2, if(ISBLANK('2025'!$P187), 0, 1), 3, if(ISBLANK('2025'!$Q187), 0, 1), 4, if(ISBLANK('2025'!$R187), 0, 1), 5, if(ISBLANK('2025'!$S187), 0, 1), 6, if(ISBLANK('2025'!$T187), 0, 1), 7, 0))), 1, "")</f>
        <v/>
      </c>
      <c r="AC189" s="1" t="str">
        <f>IF(AND(AND(AND(AC$4&gt;='2025'!$L187,AC$4&lt;='2025'!$M187), AC$4&lt;&gt;DATE(2025,7,4)), (SWITCH(weekday(AC$4), 1, 0, 2, if(ISBLANK('2025'!$P187), 0, 1), 3, if(ISBLANK('2025'!$Q187), 0, 1), 4, if(ISBLANK('2025'!$R187), 0, 1), 5, if(ISBLANK('2025'!$S187), 0, 1), 6, if(ISBLANK('2025'!$T187), 0, 1), 7, 0))), 1, "")</f>
        <v/>
      </c>
      <c r="AD189" s="1" t="str">
        <f>IF(AND(AND(AND(AD$4&gt;='2025'!$L187,AD$4&lt;='2025'!$M187), AD$4&lt;&gt;DATE(2025,7,4)), (SWITCH(weekday(AD$4), 1, 0, 2, if(ISBLANK('2025'!$P187), 0, 1), 3, if(ISBLANK('2025'!$Q187), 0, 1), 4, if(ISBLANK('2025'!$R187), 0, 1), 5, if(ISBLANK('2025'!$S187), 0, 1), 6, if(ISBLANK('2025'!$T187), 0, 1), 7, 0))), 1, "")</f>
        <v/>
      </c>
      <c r="AE189" s="1" t="str">
        <f>IF(AND(AND(AND(AE$4&gt;='2025'!$L187,AE$4&lt;='2025'!$M187), AE$4&lt;&gt;DATE(2025,7,4)), (SWITCH(weekday(AE$4), 1, 0, 2, if(ISBLANK('2025'!$P187), 0, 1), 3, if(ISBLANK('2025'!$Q187), 0, 1), 4, if(ISBLANK('2025'!$R187), 0, 1), 5, if(ISBLANK('2025'!$S187), 0, 1), 6, if(ISBLANK('2025'!$T187), 0, 1), 7, 0))), 1, "")</f>
        <v/>
      </c>
      <c r="AF189" s="1" t="str">
        <f>IF(AND(AND(AND(AF$4&gt;='2025'!$L187,AF$4&lt;='2025'!$M187), AF$4&lt;&gt;DATE(2025,7,4)), (SWITCH(weekday(AF$4), 1, 0, 2, if(ISBLANK('2025'!$P187), 0, 1), 3, if(ISBLANK('2025'!$Q187), 0, 1), 4, if(ISBLANK('2025'!$R187), 0, 1), 5, if(ISBLANK('2025'!$S187), 0, 1), 6, if(ISBLANK('2025'!$T187), 0, 1), 7, 0))), 1, "")</f>
        <v/>
      </c>
      <c r="AG189" s="1" t="str">
        <f>IF(AND(AND(AND(AG$4&gt;='2025'!$L187,AG$4&lt;='2025'!$M187), AG$4&lt;&gt;DATE(2025,7,4)), (SWITCH(weekday(AG$4), 1, 0, 2, if(ISBLANK('2025'!$P187), 0, 1), 3, if(ISBLANK('2025'!$Q187), 0, 1), 4, if(ISBLANK('2025'!$R187), 0, 1), 5, if(ISBLANK('2025'!$S187), 0, 1), 6, if(ISBLANK('2025'!$T187), 0, 1), 7, 0))), 1, "")</f>
        <v/>
      </c>
      <c r="AH189" s="1" t="str">
        <f>IF(AND(AND(AND(AH$4&gt;='2025'!$L187,AH$4&lt;='2025'!$M187), AH$4&lt;&gt;DATE(2025,7,4)), (SWITCH(weekday(AH$4), 1, 0, 2, if(ISBLANK('2025'!$P187), 0, 1), 3, if(ISBLANK('2025'!$Q187), 0, 1), 4, if(ISBLANK('2025'!$R187), 0, 1), 5, if(ISBLANK('2025'!$S187), 0, 1), 6, if(ISBLANK('2025'!$T187), 0, 1), 7, 0))), 1, "")</f>
        <v/>
      </c>
      <c r="AI189" s="1" t="str">
        <f>IF(AND(AND(AND(AI$4&gt;='2025'!$L187,AI$4&lt;='2025'!$M187), AI$4&lt;&gt;DATE(2025,7,4)), (SWITCH(weekday(AI$4), 1, 0, 2, if(ISBLANK('2025'!$P187), 0, 1), 3, if(ISBLANK('2025'!$Q187), 0, 1), 4, if(ISBLANK('2025'!$R187), 0, 1), 5, if(ISBLANK('2025'!$S187), 0, 1), 6, if(ISBLANK('2025'!$T187), 0, 1), 7, 0))), 1, "")</f>
        <v/>
      </c>
      <c r="AJ189" s="1" t="str">
        <f>IF(AND(AND(AND(AJ$4&gt;='2025'!$L187,AJ$4&lt;='2025'!$M187), AJ$4&lt;&gt;DATE(2025,7,4)), (SWITCH(weekday(AJ$4), 1, 0, 2, if(ISBLANK('2025'!$P187), 0, 1), 3, if(ISBLANK('2025'!$Q187), 0, 1), 4, if(ISBLANK('2025'!$R187), 0, 1), 5, if(ISBLANK('2025'!$S187), 0, 1), 6, if(ISBLANK('2025'!$T187), 0, 1), 7, 0))), 1, "")</f>
        <v/>
      </c>
      <c r="AK189" s="1" t="str">
        <f>IF(AND(AND(AND(AK$4&gt;='2025'!$L187,AK$4&lt;='2025'!$M187), AK$4&lt;&gt;DATE(2025,7,4)), (SWITCH(weekday(AK$4), 1, 0, 2, if(ISBLANK('2025'!$P187), 0, 1), 3, if(ISBLANK('2025'!$Q187), 0, 1), 4, if(ISBLANK('2025'!$R187), 0, 1), 5, if(ISBLANK('2025'!$S187), 0, 1), 6, if(ISBLANK('2025'!$T187), 0, 1), 7, 0))), 1, "")</f>
        <v/>
      </c>
      <c r="AL189" s="1" t="str">
        <f>IF(AND(AND(AND(AL$4&gt;='2025'!$L187,AL$4&lt;='2025'!$M187), AL$4&lt;&gt;DATE(2025,7,4)), (SWITCH(weekday(AL$4), 1, 0, 2, if(ISBLANK('2025'!$P187), 0, 1), 3, if(ISBLANK('2025'!$Q187), 0, 1), 4, if(ISBLANK('2025'!$R187), 0, 1), 5, if(ISBLANK('2025'!$S187), 0, 1), 6, if(ISBLANK('2025'!$T187), 0, 1), 7, 0))), 1, "")</f>
        <v/>
      </c>
      <c r="AM189" s="1" t="str">
        <f>IF(AND(AND(AND(AM$4&gt;='2025'!$L187,AM$4&lt;='2025'!$M187), AM$4&lt;&gt;DATE(2025,7,4)), (SWITCH(weekday(AM$4), 1, 0, 2, if(ISBLANK('2025'!$P187), 0, 1), 3, if(ISBLANK('2025'!$Q187), 0, 1), 4, if(ISBLANK('2025'!$R187), 0, 1), 5, if(ISBLANK('2025'!$S187), 0, 1), 6, if(ISBLANK('2025'!$T187), 0, 1), 7, 0))), 1, "")</f>
        <v/>
      </c>
      <c r="AN189" s="1" t="str">
        <f>IF(AND(AND(AND(AN$4&gt;='2025'!$L187,AN$4&lt;='2025'!$M187), AN$4&lt;&gt;DATE(2025,7,4)), (SWITCH(weekday(AN$4), 1, 0, 2, if(ISBLANK('2025'!$P187), 0, 1), 3, if(ISBLANK('2025'!$Q187), 0, 1), 4, if(ISBLANK('2025'!$R187), 0, 1), 5, if(ISBLANK('2025'!$S187), 0, 1), 6, if(ISBLANK('2025'!$T187), 0, 1), 7, 0))), 1, "")</f>
        <v/>
      </c>
      <c r="AO189" s="1" t="str">
        <f>IF(AND(AND(AND(AO$4&gt;='2025'!$L187,AO$4&lt;='2025'!$M187), AO$4&lt;&gt;DATE(2025,7,4)), (SWITCH(weekday(AO$4), 1, 0, 2, if(ISBLANK('2025'!$P187), 0, 1), 3, if(ISBLANK('2025'!$Q187), 0, 1), 4, if(ISBLANK('2025'!$R187), 0, 1), 5, if(ISBLANK('2025'!$S187), 0, 1), 6, if(ISBLANK('2025'!$T187), 0, 1), 7, 0))), 1, "")</f>
        <v/>
      </c>
      <c r="AP189" s="1" t="str">
        <f>IF(AND(AND(AND(AP$4&gt;='2025'!$L187,AP$4&lt;='2025'!$M187), AP$4&lt;&gt;DATE(2025,7,4)), (SWITCH(weekday(AP$4), 1, 0, 2, if(ISBLANK('2025'!$P187), 0, 1), 3, if(ISBLANK('2025'!$Q187), 0, 1), 4, if(ISBLANK('2025'!$R187), 0, 1), 5, if(ISBLANK('2025'!$S187), 0, 1), 6, if(ISBLANK('2025'!$T187), 0, 1), 7, 0))), 1, "")</f>
        <v/>
      </c>
      <c r="AQ189" s="1" t="str">
        <f>IF(AND(AND(AND(AQ$4&gt;='2025'!$L187,AQ$4&lt;='2025'!$M187), AQ$4&lt;&gt;DATE(2025,7,4)), (SWITCH(weekday(AQ$4), 1, 0, 2, if(ISBLANK('2025'!$P187), 0, 1), 3, if(ISBLANK('2025'!$Q187), 0, 1), 4, if(ISBLANK('2025'!$R187), 0, 1), 5, if(ISBLANK('2025'!$S187), 0, 1), 6, if(ISBLANK('2025'!$T187), 0, 1), 7, 0))), 1, "")</f>
        <v/>
      </c>
      <c r="AR189" s="1" t="str">
        <f>IF(AND(AND(AND(AR$4&gt;='2025'!$L187,AR$4&lt;='2025'!$M187), AR$4&lt;&gt;DATE(2025,7,4)), (SWITCH(weekday(AR$4), 1, 0, 2, if(ISBLANK('2025'!$P187), 0, 1), 3, if(ISBLANK('2025'!$Q187), 0, 1), 4, if(ISBLANK('2025'!$R187), 0, 1), 5, if(ISBLANK('2025'!$S187), 0, 1), 6, if(ISBLANK('2025'!$T187), 0, 1), 7, 0))), 1, "")</f>
        <v/>
      </c>
      <c r="AS189" s="1" t="str">
        <f>IF(AND(AND(AND(AS$4&gt;='2025'!$L187,AS$4&lt;='2025'!$M187), AS$4&lt;&gt;DATE(2025,7,4)), (SWITCH(weekday(AS$4), 1, 0, 2, if(ISBLANK('2025'!$P187), 0, 1), 3, if(ISBLANK('2025'!$Q187), 0, 1), 4, if(ISBLANK('2025'!$R187), 0, 1), 5, if(ISBLANK('2025'!$S187), 0, 1), 6, if(ISBLANK('2025'!$T187), 0, 1), 7, 0))), 1, "")</f>
        <v/>
      </c>
      <c r="AT189" s="1" t="str">
        <f>IF(AND(AND(AND(AT$4&gt;='2025'!$L187,AT$4&lt;='2025'!$M187), AT$4&lt;&gt;DATE(2025,7,4)), (SWITCH(weekday(AT$4), 1, 0, 2, if(ISBLANK('2025'!$P187), 0, 1), 3, if(ISBLANK('2025'!$Q187), 0, 1), 4, if(ISBLANK('2025'!$R187), 0, 1), 5, if(ISBLANK('2025'!$S187), 0, 1), 6, if(ISBLANK('2025'!$T187), 0, 1), 7, 0))), 1, "")</f>
        <v/>
      </c>
      <c r="AU189" s="1" t="str">
        <f>IF(AND(AND(AND(AU$4&gt;='2025'!$L187,AU$4&lt;='2025'!$M187), AU$4&lt;&gt;DATE(2025,7,4)), (SWITCH(weekday(AU$4), 1, 0, 2, if(ISBLANK('2025'!$P187), 0, 1), 3, if(ISBLANK('2025'!$Q187), 0, 1), 4, if(ISBLANK('2025'!$R187), 0, 1), 5, if(ISBLANK('2025'!$S187), 0, 1), 6, if(ISBLANK('2025'!$T187), 0, 1), 7, 0))), 1, "")</f>
        <v/>
      </c>
      <c r="AV189" s="1" t="str">
        <f>IF(AND(AND(AND(AV$4&gt;='2025'!$L187,AV$4&lt;='2025'!$M187), AV$4&lt;&gt;DATE(2025,7,4)), (SWITCH(weekday(AV$4), 1, 0, 2, if(ISBLANK('2025'!$P187), 0, 1), 3, if(ISBLANK('2025'!$Q187), 0, 1), 4, if(ISBLANK('2025'!$R187), 0, 1), 5, if(ISBLANK('2025'!$S187), 0, 1), 6, if(ISBLANK('2025'!$T187), 0, 1), 7, 0))), 1, "")</f>
        <v/>
      </c>
      <c r="AW189" s="1" t="str">
        <f>IF(AND(AND(AND(AW$4&gt;='2025'!$L187,AW$4&lt;='2025'!$M187), AW$4&lt;&gt;DATE(2025,7,4)), (SWITCH(weekday(AW$4), 1, 0, 2, if(ISBLANK('2025'!$P187), 0, 1), 3, if(ISBLANK('2025'!$Q187), 0, 1), 4, if(ISBLANK('2025'!$R187), 0, 1), 5, if(ISBLANK('2025'!$S187), 0, 1), 6, if(ISBLANK('2025'!$T187), 0, 1), 7, 0))), 1, "")</f>
        <v/>
      </c>
      <c r="AX189" s="1" t="str">
        <f>IF(AND(AND(AND(AX$4&gt;='2025'!$L187,AX$4&lt;='2025'!$M187), AX$4&lt;&gt;DATE(2025,7,4)), (SWITCH(weekday(AX$4), 1, 0, 2, if(ISBLANK('2025'!$P187), 0, 1), 3, if(ISBLANK('2025'!$Q187), 0, 1), 4, if(ISBLANK('2025'!$R187), 0, 1), 5, if(ISBLANK('2025'!$S187), 0, 1), 6, if(ISBLANK('2025'!$T187), 0, 1), 7, 0))), 1, "")</f>
        <v/>
      </c>
      <c r="AY189" s="1" t="str">
        <f>IF(AND(AND(AND(AY$4&gt;='2025'!$L187,AY$4&lt;='2025'!$M187), AY$4&lt;&gt;DATE(2025,7,4)), (SWITCH(weekday(AY$4), 1, 0, 2, if(ISBLANK('2025'!$P187), 0, 1), 3, if(ISBLANK('2025'!$Q187), 0, 1), 4, if(ISBLANK('2025'!$R187), 0, 1), 5, if(ISBLANK('2025'!$S187), 0, 1), 6, if(ISBLANK('2025'!$T187), 0, 1), 7, 0))), 1, "")</f>
        <v/>
      </c>
      <c r="AZ189" s="1" t="str">
        <f>IF(AND(AND(AND(AZ$4&gt;='2025'!$L187,AZ$4&lt;='2025'!$M187), AZ$4&lt;&gt;DATE(2025,7,4)), (SWITCH(weekday(AZ$4), 1, 0, 2, if(ISBLANK('2025'!$P187), 0, 1), 3, if(ISBLANK('2025'!$Q187), 0, 1), 4, if(ISBLANK('2025'!$R187), 0, 1), 5, if(ISBLANK('2025'!$S187), 0, 1), 6, if(ISBLANK('2025'!$T187), 0, 1), 7, 0))), 1, "")</f>
        <v/>
      </c>
      <c r="BA189" s="1" t="str">
        <f>IF(AND(AND(AND(BA$4&gt;='2025'!$L187,BA$4&lt;='2025'!$M187), BA$4&lt;&gt;DATE(2025,7,4)), (SWITCH(weekday(BA$4), 1, 0, 2, if(ISBLANK('2025'!$P187), 0, 1), 3, if(ISBLANK('2025'!$Q187), 0, 1), 4, if(ISBLANK('2025'!$R187), 0, 1), 5, if(ISBLANK('2025'!$S187), 0, 1), 6, if(ISBLANK('2025'!$T187), 0, 1), 7, 0))), 1, "")</f>
        <v/>
      </c>
      <c r="BB189" s="1" t="str">
        <f>IF(AND(AND(AND(BB$4&gt;='2025'!$L187,BB$4&lt;='2025'!$M187), BB$4&lt;&gt;DATE(2025,7,4)), (SWITCH(weekday(BB$4), 1, 0, 2, if(ISBLANK('2025'!$P187), 0, 1), 3, if(ISBLANK('2025'!$Q187), 0, 1), 4, if(ISBLANK('2025'!$R187), 0, 1), 5, if(ISBLANK('2025'!$S187), 0, 1), 6, if(ISBLANK('2025'!$T187), 0, 1), 7, 0))), 1, "")</f>
        <v/>
      </c>
      <c r="BC189" s="1" t="str">
        <f>IF(AND(AND(AND(BC$4&gt;='2025'!$L187,BC$4&lt;='2025'!$M187), BC$4&lt;&gt;DATE(2025,7,4)), (SWITCH(weekday(BC$4), 1, 0, 2, if(ISBLANK('2025'!$P187), 0, 1), 3, if(ISBLANK('2025'!$Q187), 0, 1), 4, if(ISBLANK('2025'!$R187), 0, 1), 5, if(ISBLANK('2025'!$S187), 0, 1), 6, if(ISBLANK('2025'!$T187), 0, 1), 7, 0))), 1, "")</f>
        <v/>
      </c>
      <c r="BD189" s="1" t="str">
        <f>IF(AND(AND(AND(BD$4&gt;='2025'!$L187,BD$4&lt;='2025'!$M187), BD$4&lt;&gt;DATE(2025,7,4)), (SWITCH(weekday(BD$4), 1, 0, 2, if(ISBLANK('2025'!$P187), 0, 1), 3, if(ISBLANK('2025'!$Q187), 0, 1), 4, if(ISBLANK('2025'!$R187), 0, 1), 5, if(ISBLANK('2025'!$S187), 0, 1), 6, if(ISBLANK('2025'!$T187), 0, 1), 7, 0))), 1, "")</f>
        <v/>
      </c>
      <c r="BE189" s="1" t="str">
        <f>IF(AND(AND(AND(BE$4&gt;='2025'!$L187,BE$4&lt;='2025'!$M187), BE$4&lt;&gt;DATE(2025,7,4)), (SWITCH(weekday(BE$4), 1, 0, 2, if(ISBLANK('2025'!$P187), 0, 1), 3, if(ISBLANK('2025'!$Q187), 0, 1), 4, if(ISBLANK('2025'!$R187), 0, 1), 5, if(ISBLANK('2025'!$S187), 0, 1), 6, if(ISBLANK('2025'!$T187), 0, 1), 7, 0))), 1, "")</f>
        <v/>
      </c>
      <c r="BF189" s="1" t="str">
        <f>IF(AND(AND(AND(BF$4&gt;='2025'!$L187,BF$4&lt;='2025'!$M187), BF$4&lt;&gt;DATE(2025,7,4)), (SWITCH(weekday(BF$4), 1, 0, 2, if(ISBLANK('2025'!$P187), 0, 1), 3, if(ISBLANK('2025'!$Q187), 0, 1), 4, if(ISBLANK('2025'!$R187), 0, 1), 5, if(ISBLANK('2025'!$S187), 0, 1), 6, if(ISBLANK('2025'!$T187), 0, 1), 7, 0))), 1, "")</f>
        <v/>
      </c>
      <c r="BG189" s="1"/>
      <c r="BH189" s="1"/>
      <c r="BI189" s="1"/>
      <c r="BJ189" s="1"/>
      <c r="BK189" s="1"/>
      <c r="BL189" s="1"/>
    </row>
    <row r="190">
      <c r="A190" s="1">
        <f t="shared" si="3"/>
        <v>190</v>
      </c>
      <c r="B190" s="1" t="str">
        <f>'2025'!D154</f>
        <v>, </v>
      </c>
      <c r="C190" s="1" t="str">
        <f>'2025'!H154</f>
        <v/>
      </c>
      <c r="D190" s="1" t="str">
        <f>IF(AND(AND(AND(D$4&gt;='2025'!$L188,D$4&lt;='2025'!$M188), D$4&lt;&gt;DATE(2025,7,4)), (SWITCH(weekday(D$4), 1, 0, 2, if(ISBLANK('2025'!$P188), 0, 1), 3, if(ISBLANK('2025'!$Q188), 0, 1), 4, if(ISBLANK('2025'!$R188), 0, 1), 5, if(ISBLANK('2025'!$S188), 0, 1), 6, if(ISBLANK('2025'!$T188), 0, 1), 7, 0))), 1, "")</f>
        <v/>
      </c>
      <c r="E190" s="1" t="str">
        <f>IF(AND(AND(AND(E$4&gt;='2025'!$L188,E$4&lt;='2025'!$M188), E$4&lt;&gt;DATE(2025,7,4)), (SWITCH(weekday(E$4), 1, 0, 2, if(ISBLANK('2025'!$P188), 0, 1), 3, if(ISBLANK('2025'!$Q188), 0, 1), 4, if(ISBLANK('2025'!$R188), 0, 1), 5, if(ISBLANK('2025'!$S188), 0, 1), 6, if(ISBLANK('2025'!$T188), 0, 1), 7, 0))), 1, "")</f>
        <v/>
      </c>
      <c r="F190" s="1" t="str">
        <f>IF(AND(AND(AND(F$4&gt;='2025'!$L188,F$4&lt;='2025'!$M188), F$4&lt;&gt;DATE(2025,7,4)), (SWITCH(weekday(F$4), 1, 0, 2, if(ISBLANK('2025'!$P188), 0, 1), 3, if(ISBLANK('2025'!$Q188), 0, 1), 4, if(ISBLANK('2025'!$R188), 0, 1), 5, if(ISBLANK('2025'!$S188), 0, 1), 6, if(ISBLANK('2025'!$T188), 0, 1), 7, 0))), 1, "")</f>
        <v/>
      </c>
      <c r="G190" s="1" t="str">
        <f>IF(AND(AND(AND(G$4&gt;='2025'!$L188,G$4&lt;='2025'!$M188), G$4&lt;&gt;DATE(2025,7,4)), (SWITCH(weekday(G$4), 1, 0, 2, if(ISBLANK('2025'!$P188), 0, 1), 3, if(ISBLANK('2025'!$Q188), 0, 1), 4, if(ISBLANK('2025'!$R188), 0, 1), 5, if(ISBLANK('2025'!$S188), 0, 1), 6, if(ISBLANK('2025'!$T188), 0, 1), 7, 0))), 1, "")</f>
        <v/>
      </c>
      <c r="H190" s="1" t="str">
        <f>IF(AND(AND(AND(H$4&gt;='2025'!$L188,H$4&lt;='2025'!$M188), H$4&lt;&gt;DATE(2025,7,4)), (SWITCH(weekday(H$4), 1, 0, 2, if(ISBLANK('2025'!$P188), 0, 1), 3, if(ISBLANK('2025'!$Q188), 0, 1), 4, if(ISBLANK('2025'!$R188), 0, 1), 5, if(ISBLANK('2025'!$S188), 0, 1), 6, if(ISBLANK('2025'!$T188), 0, 1), 7, 0))), 1, "")</f>
        <v/>
      </c>
      <c r="I190" s="1" t="str">
        <f>IF(AND(AND(AND(I$4&gt;='2025'!$L188,I$4&lt;='2025'!$M188), I$4&lt;&gt;DATE(2025,7,4)), (SWITCH(weekday(I$4), 1, 0, 2, if(ISBLANK('2025'!$P188), 0, 1), 3, if(ISBLANK('2025'!$Q188), 0, 1), 4, if(ISBLANK('2025'!$R188), 0, 1), 5, if(ISBLANK('2025'!$S188), 0, 1), 6, if(ISBLANK('2025'!$T188), 0, 1), 7, 0))), 1, "")</f>
        <v/>
      </c>
      <c r="J190" s="1" t="str">
        <f>IF(AND(AND(AND(J$4&gt;='2025'!$L188,J$4&lt;='2025'!$M188), J$4&lt;&gt;DATE(2025,7,4)), (SWITCH(weekday(J$4), 1, 0, 2, if(ISBLANK('2025'!$P188), 0, 1), 3, if(ISBLANK('2025'!$Q188), 0, 1), 4, if(ISBLANK('2025'!$R188), 0, 1), 5, if(ISBLANK('2025'!$S188), 0, 1), 6, if(ISBLANK('2025'!$T188), 0, 1), 7, 0))), 1, "")</f>
        <v/>
      </c>
      <c r="K190" s="1" t="str">
        <f>IF(AND(AND(AND(K$4&gt;='2025'!$L188,K$4&lt;='2025'!$M188), K$4&lt;&gt;DATE(2025,7,4)), (SWITCH(weekday(K$4), 1, 0, 2, if(ISBLANK('2025'!$P188), 0, 1), 3, if(ISBLANK('2025'!$Q188), 0, 1), 4, if(ISBLANK('2025'!$R188), 0, 1), 5, if(ISBLANK('2025'!$S188), 0, 1), 6, if(ISBLANK('2025'!$T188), 0, 1), 7, 0))), 1, "")</f>
        <v/>
      </c>
      <c r="L190" s="1" t="str">
        <f>IF(AND(AND(AND(L$4&gt;='2025'!$L188,L$4&lt;='2025'!$M188), L$4&lt;&gt;DATE(2025,7,4)), (SWITCH(weekday(L$4), 1, 0, 2, if(ISBLANK('2025'!$P188), 0, 1), 3, if(ISBLANK('2025'!$Q188), 0, 1), 4, if(ISBLANK('2025'!$R188), 0, 1), 5, if(ISBLANK('2025'!$S188), 0, 1), 6, if(ISBLANK('2025'!$T188), 0, 1), 7, 0))), 1, "")</f>
        <v/>
      </c>
      <c r="M190" s="1" t="str">
        <f>IF(AND(AND(AND(M$4&gt;='2025'!$L188,M$4&lt;='2025'!$M188), M$4&lt;&gt;DATE(2025,7,4)), (SWITCH(weekday(M$4), 1, 0, 2, if(ISBLANK('2025'!$P188), 0, 1), 3, if(ISBLANK('2025'!$Q188), 0, 1), 4, if(ISBLANK('2025'!$R188), 0, 1), 5, if(ISBLANK('2025'!$S188), 0, 1), 6, if(ISBLANK('2025'!$T188), 0, 1), 7, 0))), 1, "")</f>
        <v/>
      </c>
      <c r="N190" s="1" t="str">
        <f>IF(AND(AND(AND(N$4&gt;='2025'!$L188,N$4&lt;='2025'!$M188), N$4&lt;&gt;DATE(2025,7,4)), (SWITCH(weekday(N$4), 1, 0, 2, if(ISBLANK('2025'!$P188), 0, 1), 3, if(ISBLANK('2025'!$Q188), 0, 1), 4, if(ISBLANK('2025'!$R188), 0, 1), 5, if(ISBLANK('2025'!$S188), 0, 1), 6, if(ISBLANK('2025'!$T188), 0, 1), 7, 0))), 1, "")</f>
        <v/>
      </c>
      <c r="O190" s="1" t="str">
        <f>IF(AND(AND(AND(O$4&gt;='2025'!$L188,O$4&lt;='2025'!$M188), O$4&lt;&gt;DATE(2025,7,4)), (SWITCH(weekday(O$4), 1, 0, 2, if(ISBLANK('2025'!$P188), 0, 1), 3, if(ISBLANK('2025'!$Q188), 0, 1), 4, if(ISBLANK('2025'!$R188), 0, 1), 5, if(ISBLANK('2025'!$S188), 0, 1), 6, if(ISBLANK('2025'!$T188), 0, 1), 7, 0))), 1, "")</f>
        <v/>
      </c>
      <c r="P190" s="1" t="str">
        <f>IF(AND(AND(AND(P$4&gt;='2025'!$L188,P$4&lt;='2025'!$M188), P$4&lt;&gt;DATE(2025,7,4)), (SWITCH(weekday(P$4), 1, 0, 2, if(ISBLANK('2025'!$P188), 0, 1), 3, if(ISBLANK('2025'!$Q188), 0, 1), 4, if(ISBLANK('2025'!$R188), 0, 1), 5, if(ISBLANK('2025'!$S188), 0, 1), 6, if(ISBLANK('2025'!$T188), 0, 1), 7, 0))), 1, "")</f>
        <v/>
      </c>
      <c r="Q190" s="1" t="str">
        <f>IF(AND(AND(AND(Q$4&gt;='2025'!$L188,Q$4&lt;='2025'!$M188), Q$4&lt;&gt;DATE(2025,7,4)), (SWITCH(weekday(Q$4), 1, 0, 2, if(ISBLANK('2025'!$P188), 0, 1), 3, if(ISBLANK('2025'!$Q188), 0, 1), 4, if(ISBLANK('2025'!$R188), 0, 1), 5, if(ISBLANK('2025'!$S188), 0, 1), 6, if(ISBLANK('2025'!$T188), 0, 1), 7, 0))), 1, "")</f>
        <v/>
      </c>
      <c r="R190" s="1" t="str">
        <f>IF(AND(AND(AND(R$4&gt;='2025'!$L188,R$4&lt;='2025'!$M188), R$4&lt;&gt;DATE(2025,7,4)), (SWITCH(weekday(R$4), 1, 0, 2, if(ISBLANK('2025'!$P188), 0, 1), 3, if(ISBLANK('2025'!$Q188), 0, 1), 4, if(ISBLANK('2025'!$R188), 0, 1), 5, if(ISBLANK('2025'!$S188), 0, 1), 6, if(ISBLANK('2025'!$T188), 0, 1), 7, 0))), 1, "")</f>
        <v/>
      </c>
      <c r="S190" s="1" t="str">
        <f>IF(AND(AND(AND(S$4&gt;='2025'!$L188,S$4&lt;='2025'!$M188), S$4&lt;&gt;DATE(2025,7,4)), (SWITCH(weekday(S$4), 1, 0, 2, if(ISBLANK('2025'!$P188), 0, 1), 3, if(ISBLANK('2025'!$Q188), 0, 1), 4, if(ISBLANK('2025'!$R188), 0, 1), 5, if(ISBLANK('2025'!$S188), 0, 1), 6, if(ISBLANK('2025'!$T188), 0, 1), 7, 0))), 1, "")</f>
        <v/>
      </c>
      <c r="T190" s="1" t="str">
        <f>IF(AND(AND(AND(T$4&gt;='2025'!$L188,T$4&lt;='2025'!$M188), T$4&lt;&gt;DATE(2025,7,4)), (SWITCH(weekday(T$4), 1, 0, 2, if(ISBLANK('2025'!$P188), 0, 1), 3, if(ISBLANK('2025'!$Q188), 0, 1), 4, if(ISBLANK('2025'!$R188), 0, 1), 5, if(ISBLANK('2025'!$S188), 0, 1), 6, if(ISBLANK('2025'!$T188), 0, 1), 7, 0))), 1, "")</f>
        <v/>
      </c>
      <c r="U190" s="1" t="str">
        <f>IF(AND(AND(AND(U$4&gt;='2025'!$L188,U$4&lt;='2025'!$M188), U$4&lt;&gt;DATE(2025,7,4)), (SWITCH(weekday(U$4), 1, 0, 2, if(ISBLANK('2025'!$P188), 0, 1), 3, if(ISBLANK('2025'!$Q188), 0, 1), 4, if(ISBLANK('2025'!$R188), 0, 1), 5, if(ISBLANK('2025'!$S188), 0, 1), 6, if(ISBLANK('2025'!$T188), 0, 1), 7, 0))), 1, "")</f>
        <v/>
      </c>
      <c r="V190" s="1" t="str">
        <f>IF(AND(AND(AND(V$4&gt;='2025'!$L188,V$4&lt;='2025'!$M188), V$4&lt;&gt;DATE(2025,7,4)), (SWITCH(weekday(V$4), 1, 0, 2, if(ISBLANK('2025'!$P188), 0, 1), 3, if(ISBLANK('2025'!$Q188), 0, 1), 4, if(ISBLANK('2025'!$R188), 0, 1), 5, if(ISBLANK('2025'!$S188), 0, 1), 6, if(ISBLANK('2025'!$T188), 0, 1), 7, 0))), 1, "")</f>
        <v/>
      </c>
      <c r="W190" s="1" t="str">
        <f>IF(AND(AND(AND(W$4&gt;='2025'!$L188,W$4&lt;='2025'!$M188), W$4&lt;&gt;DATE(2025,7,4)), (SWITCH(weekday(W$4), 1, 0, 2, if(ISBLANK('2025'!$P188), 0, 1), 3, if(ISBLANK('2025'!$Q188), 0, 1), 4, if(ISBLANK('2025'!$R188), 0, 1), 5, if(ISBLANK('2025'!$S188), 0, 1), 6, if(ISBLANK('2025'!$T188), 0, 1), 7, 0))), 1, "")</f>
        <v/>
      </c>
      <c r="X190" s="1" t="str">
        <f>IF(AND(AND(AND(X$4&gt;='2025'!$L188,X$4&lt;='2025'!$M188), X$4&lt;&gt;DATE(2025,7,4)), (SWITCH(weekday(X$4), 1, 0, 2, if(ISBLANK('2025'!$P188), 0, 1), 3, if(ISBLANK('2025'!$Q188), 0, 1), 4, if(ISBLANK('2025'!$R188), 0, 1), 5, if(ISBLANK('2025'!$S188), 0, 1), 6, if(ISBLANK('2025'!$T188), 0, 1), 7, 0))), 1, "")</f>
        <v/>
      </c>
      <c r="Y190" s="1" t="str">
        <f>IF(AND(AND(AND(Y$4&gt;='2025'!$L188,Y$4&lt;='2025'!$M188), Y$4&lt;&gt;DATE(2025,7,4)), (SWITCH(weekday(Y$4), 1, 0, 2, if(ISBLANK('2025'!$P188), 0, 1), 3, if(ISBLANK('2025'!$Q188), 0, 1), 4, if(ISBLANK('2025'!$R188), 0, 1), 5, if(ISBLANK('2025'!$S188), 0, 1), 6, if(ISBLANK('2025'!$T188), 0, 1), 7, 0))), 1, "")</f>
        <v/>
      </c>
      <c r="Z190" s="1" t="str">
        <f>IF(AND(AND(AND(Z$4&gt;='2025'!$L188,Z$4&lt;='2025'!$M188), Z$4&lt;&gt;DATE(2025,7,4)), (SWITCH(weekday(Z$4), 1, 0, 2, if(ISBLANK('2025'!$P188), 0, 1), 3, if(ISBLANK('2025'!$Q188), 0, 1), 4, if(ISBLANK('2025'!$R188), 0, 1), 5, if(ISBLANK('2025'!$S188), 0, 1), 6, if(ISBLANK('2025'!$T188), 0, 1), 7, 0))), 1, "")</f>
        <v/>
      </c>
      <c r="AA190" s="1" t="str">
        <f>IF(AND(AND(AND(AA$4&gt;='2025'!$L188,AA$4&lt;='2025'!$M188), AA$4&lt;&gt;DATE(2025,7,4)), (SWITCH(weekday(AA$4), 1, 0, 2, if(ISBLANK('2025'!$P188), 0, 1), 3, if(ISBLANK('2025'!$Q188), 0, 1), 4, if(ISBLANK('2025'!$R188), 0, 1), 5, if(ISBLANK('2025'!$S188), 0, 1), 6, if(ISBLANK('2025'!$T188), 0, 1), 7, 0))), 1, "")</f>
        <v/>
      </c>
      <c r="AB190" s="1" t="str">
        <f>IF(AND(AND(AND(AB$4&gt;='2025'!$L188,AB$4&lt;='2025'!$M188), AB$4&lt;&gt;DATE(2025,7,4)), (SWITCH(weekday(AB$4), 1, 0, 2, if(ISBLANK('2025'!$P188), 0, 1), 3, if(ISBLANK('2025'!$Q188), 0, 1), 4, if(ISBLANK('2025'!$R188), 0, 1), 5, if(ISBLANK('2025'!$S188), 0, 1), 6, if(ISBLANK('2025'!$T188), 0, 1), 7, 0))), 1, "")</f>
        <v/>
      </c>
      <c r="AC190" s="1" t="str">
        <f>IF(AND(AND(AND(AC$4&gt;='2025'!$L188,AC$4&lt;='2025'!$M188), AC$4&lt;&gt;DATE(2025,7,4)), (SWITCH(weekday(AC$4), 1, 0, 2, if(ISBLANK('2025'!$P188), 0, 1), 3, if(ISBLANK('2025'!$Q188), 0, 1), 4, if(ISBLANK('2025'!$R188), 0, 1), 5, if(ISBLANK('2025'!$S188), 0, 1), 6, if(ISBLANK('2025'!$T188), 0, 1), 7, 0))), 1, "")</f>
        <v/>
      </c>
      <c r="AD190" s="1" t="str">
        <f>IF(AND(AND(AND(AD$4&gt;='2025'!$L188,AD$4&lt;='2025'!$M188), AD$4&lt;&gt;DATE(2025,7,4)), (SWITCH(weekday(AD$4), 1, 0, 2, if(ISBLANK('2025'!$P188), 0, 1), 3, if(ISBLANK('2025'!$Q188), 0, 1), 4, if(ISBLANK('2025'!$R188), 0, 1), 5, if(ISBLANK('2025'!$S188), 0, 1), 6, if(ISBLANK('2025'!$T188), 0, 1), 7, 0))), 1, "")</f>
        <v/>
      </c>
      <c r="AE190" s="1" t="str">
        <f>IF(AND(AND(AND(AE$4&gt;='2025'!$L188,AE$4&lt;='2025'!$M188), AE$4&lt;&gt;DATE(2025,7,4)), (SWITCH(weekday(AE$4), 1, 0, 2, if(ISBLANK('2025'!$P188), 0, 1), 3, if(ISBLANK('2025'!$Q188), 0, 1), 4, if(ISBLANK('2025'!$R188), 0, 1), 5, if(ISBLANK('2025'!$S188), 0, 1), 6, if(ISBLANK('2025'!$T188), 0, 1), 7, 0))), 1, "")</f>
        <v/>
      </c>
      <c r="AF190" s="1" t="str">
        <f>IF(AND(AND(AND(AF$4&gt;='2025'!$L188,AF$4&lt;='2025'!$M188), AF$4&lt;&gt;DATE(2025,7,4)), (SWITCH(weekday(AF$4), 1, 0, 2, if(ISBLANK('2025'!$P188), 0, 1), 3, if(ISBLANK('2025'!$Q188), 0, 1), 4, if(ISBLANK('2025'!$R188), 0, 1), 5, if(ISBLANK('2025'!$S188), 0, 1), 6, if(ISBLANK('2025'!$T188), 0, 1), 7, 0))), 1, "")</f>
        <v/>
      </c>
      <c r="AG190" s="1" t="str">
        <f>IF(AND(AND(AND(AG$4&gt;='2025'!$L188,AG$4&lt;='2025'!$M188), AG$4&lt;&gt;DATE(2025,7,4)), (SWITCH(weekday(AG$4), 1, 0, 2, if(ISBLANK('2025'!$P188), 0, 1), 3, if(ISBLANK('2025'!$Q188), 0, 1), 4, if(ISBLANK('2025'!$R188), 0, 1), 5, if(ISBLANK('2025'!$S188), 0, 1), 6, if(ISBLANK('2025'!$T188), 0, 1), 7, 0))), 1, "")</f>
        <v/>
      </c>
      <c r="AH190" s="1" t="str">
        <f>IF(AND(AND(AND(AH$4&gt;='2025'!$L188,AH$4&lt;='2025'!$M188), AH$4&lt;&gt;DATE(2025,7,4)), (SWITCH(weekday(AH$4), 1, 0, 2, if(ISBLANK('2025'!$P188), 0, 1), 3, if(ISBLANK('2025'!$Q188), 0, 1), 4, if(ISBLANK('2025'!$R188), 0, 1), 5, if(ISBLANK('2025'!$S188), 0, 1), 6, if(ISBLANK('2025'!$T188), 0, 1), 7, 0))), 1, "")</f>
        <v/>
      </c>
      <c r="AI190" s="1" t="str">
        <f>IF(AND(AND(AND(AI$4&gt;='2025'!$L188,AI$4&lt;='2025'!$M188), AI$4&lt;&gt;DATE(2025,7,4)), (SWITCH(weekday(AI$4), 1, 0, 2, if(ISBLANK('2025'!$P188), 0, 1), 3, if(ISBLANK('2025'!$Q188), 0, 1), 4, if(ISBLANK('2025'!$R188), 0, 1), 5, if(ISBLANK('2025'!$S188), 0, 1), 6, if(ISBLANK('2025'!$T188), 0, 1), 7, 0))), 1, "")</f>
        <v/>
      </c>
      <c r="AJ190" s="1" t="str">
        <f>IF(AND(AND(AND(AJ$4&gt;='2025'!$L188,AJ$4&lt;='2025'!$M188), AJ$4&lt;&gt;DATE(2025,7,4)), (SWITCH(weekday(AJ$4), 1, 0, 2, if(ISBLANK('2025'!$P188), 0, 1), 3, if(ISBLANK('2025'!$Q188), 0, 1), 4, if(ISBLANK('2025'!$R188), 0, 1), 5, if(ISBLANK('2025'!$S188), 0, 1), 6, if(ISBLANK('2025'!$T188), 0, 1), 7, 0))), 1, "")</f>
        <v/>
      </c>
      <c r="AK190" s="1" t="str">
        <f>IF(AND(AND(AND(AK$4&gt;='2025'!$L188,AK$4&lt;='2025'!$M188), AK$4&lt;&gt;DATE(2025,7,4)), (SWITCH(weekday(AK$4), 1, 0, 2, if(ISBLANK('2025'!$P188), 0, 1), 3, if(ISBLANK('2025'!$Q188), 0, 1), 4, if(ISBLANK('2025'!$R188), 0, 1), 5, if(ISBLANK('2025'!$S188), 0, 1), 6, if(ISBLANK('2025'!$T188), 0, 1), 7, 0))), 1, "")</f>
        <v/>
      </c>
      <c r="AL190" s="1" t="str">
        <f>IF(AND(AND(AND(AL$4&gt;='2025'!$L188,AL$4&lt;='2025'!$M188), AL$4&lt;&gt;DATE(2025,7,4)), (SWITCH(weekday(AL$4), 1, 0, 2, if(ISBLANK('2025'!$P188), 0, 1), 3, if(ISBLANK('2025'!$Q188), 0, 1), 4, if(ISBLANK('2025'!$R188), 0, 1), 5, if(ISBLANK('2025'!$S188), 0, 1), 6, if(ISBLANK('2025'!$T188), 0, 1), 7, 0))), 1, "")</f>
        <v/>
      </c>
      <c r="AM190" s="1" t="str">
        <f>IF(AND(AND(AND(AM$4&gt;='2025'!$L188,AM$4&lt;='2025'!$M188), AM$4&lt;&gt;DATE(2025,7,4)), (SWITCH(weekday(AM$4), 1, 0, 2, if(ISBLANK('2025'!$P188), 0, 1), 3, if(ISBLANK('2025'!$Q188), 0, 1), 4, if(ISBLANK('2025'!$R188), 0, 1), 5, if(ISBLANK('2025'!$S188), 0, 1), 6, if(ISBLANK('2025'!$T188), 0, 1), 7, 0))), 1, "")</f>
        <v/>
      </c>
      <c r="AN190" s="1" t="str">
        <f>IF(AND(AND(AND(AN$4&gt;='2025'!$L188,AN$4&lt;='2025'!$M188), AN$4&lt;&gt;DATE(2025,7,4)), (SWITCH(weekday(AN$4), 1, 0, 2, if(ISBLANK('2025'!$P188), 0, 1), 3, if(ISBLANK('2025'!$Q188), 0, 1), 4, if(ISBLANK('2025'!$R188), 0, 1), 5, if(ISBLANK('2025'!$S188), 0, 1), 6, if(ISBLANK('2025'!$T188), 0, 1), 7, 0))), 1, "")</f>
        <v/>
      </c>
      <c r="AO190" s="1" t="str">
        <f>IF(AND(AND(AND(AO$4&gt;='2025'!$L188,AO$4&lt;='2025'!$M188), AO$4&lt;&gt;DATE(2025,7,4)), (SWITCH(weekday(AO$4), 1, 0, 2, if(ISBLANK('2025'!$P188), 0, 1), 3, if(ISBLANK('2025'!$Q188), 0, 1), 4, if(ISBLANK('2025'!$R188), 0, 1), 5, if(ISBLANK('2025'!$S188), 0, 1), 6, if(ISBLANK('2025'!$T188), 0, 1), 7, 0))), 1, "")</f>
        <v/>
      </c>
      <c r="AP190" s="1" t="str">
        <f>IF(AND(AND(AND(AP$4&gt;='2025'!$L188,AP$4&lt;='2025'!$M188), AP$4&lt;&gt;DATE(2025,7,4)), (SWITCH(weekday(AP$4), 1, 0, 2, if(ISBLANK('2025'!$P188), 0, 1), 3, if(ISBLANK('2025'!$Q188), 0, 1), 4, if(ISBLANK('2025'!$R188), 0, 1), 5, if(ISBLANK('2025'!$S188), 0, 1), 6, if(ISBLANK('2025'!$T188), 0, 1), 7, 0))), 1, "")</f>
        <v/>
      </c>
      <c r="AQ190" s="1" t="str">
        <f>IF(AND(AND(AND(AQ$4&gt;='2025'!$L188,AQ$4&lt;='2025'!$M188), AQ$4&lt;&gt;DATE(2025,7,4)), (SWITCH(weekday(AQ$4), 1, 0, 2, if(ISBLANK('2025'!$P188), 0, 1), 3, if(ISBLANK('2025'!$Q188), 0, 1), 4, if(ISBLANK('2025'!$R188), 0, 1), 5, if(ISBLANK('2025'!$S188), 0, 1), 6, if(ISBLANK('2025'!$T188), 0, 1), 7, 0))), 1, "")</f>
        <v/>
      </c>
      <c r="AR190" s="1" t="str">
        <f>IF(AND(AND(AND(AR$4&gt;='2025'!$L188,AR$4&lt;='2025'!$M188), AR$4&lt;&gt;DATE(2025,7,4)), (SWITCH(weekday(AR$4), 1, 0, 2, if(ISBLANK('2025'!$P188), 0, 1), 3, if(ISBLANK('2025'!$Q188), 0, 1), 4, if(ISBLANK('2025'!$R188), 0, 1), 5, if(ISBLANK('2025'!$S188), 0, 1), 6, if(ISBLANK('2025'!$T188), 0, 1), 7, 0))), 1, "")</f>
        <v/>
      </c>
      <c r="AS190" s="1" t="str">
        <f>IF(AND(AND(AND(AS$4&gt;='2025'!$L188,AS$4&lt;='2025'!$M188), AS$4&lt;&gt;DATE(2025,7,4)), (SWITCH(weekday(AS$4), 1, 0, 2, if(ISBLANK('2025'!$P188), 0, 1), 3, if(ISBLANK('2025'!$Q188), 0, 1), 4, if(ISBLANK('2025'!$R188), 0, 1), 5, if(ISBLANK('2025'!$S188), 0, 1), 6, if(ISBLANK('2025'!$T188), 0, 1), 7, 0))), 1, "")</f>
        <v/>
      </c>
      <c r="AT190" s="1" t="str">
        <f>IF(AND(AND(AND(AT$4&gt;='2025'!$L188,AT$4&lt;='2025'!$M188), AT$4&lt;&gt;DATE(2025,7,4)), (SWITCH(weekday(AT$4), 1, 0, 2, if(ISBLANK('2025'!$P188), 0, 1), 3, if(ISBLANK('2025'!$Q188), 0, 1), 4, if(ISBLANK('2025'!$R188), 0, 1), 5, if(ISBLANK('2025'!$S188), 0, 1), 6, if(ISBLANK('2025'!$T188), 0, 1), 7, 0))), 1, "")</f>
        <v/>
      </c>
      <c r="AU190" s="1" t="str">
        <f>IF(AND(AND(AND(AU$4&gt;='2025'!$L188,AU$4&lt;='2025'!$M188), AU$4&lt;&gt;DATE(2025,7,4)), (SWITCH(weekday(AU$4), 1, 0, 2, if(ISBLANK('2025'!$P188), 0, 1), 3, if(ISBLANK('2025'!$Q188), 0, 1), 4, if(ISBLANK('2025'!$R188), 0, 1), 5, if(ISBLANK('2025'!$S188), 0, 1), 6, if(ISBLANK('2025'!$T188), 0, 1), 7, 0))), 1, "")</f>
        <v/>
      </c>
      <c r="AV190" s="1" t="str">
        <f>IF(AND(AND(AND(AV$4&gt;='2025'!$L188,AV$4&lt;='2025'!$M188), AV$4&lt;&gt;DATE(2025,7,4)), (SWITCH(weekday(AV$4), 1, 0, 2, if(ISBLANK('2025'!$P188), 0, 1), 3, if(ISBLANK('2025'!$Q188), 0, 1), 4, if(ISBLANK('2025'!$R188), 0, 1), 5, if(ISBLANK('2025'!$S188), 0, 1), 6, if(ISBLANK('2025'!$T188), 0, 1), 7, 0))), 1, "")</f>
        <v/>
      </c>
      <c r="AW190" s="1" t="str">
        <f>IF(AND(AND(AND(AW$4&gt;='2025'!$L188,AW$4&lt;='2025'!$M188), AW$4&lt;&gt;DATE(2025,7,4)), (SWITCH(weekday(AW$4), 1, 0, 2, if(ISBLANK('2025'!$P188), 0, 1), 3, if(ISBLANK('2025'!$Q188), 0, 1), 4, if(ISBLANK('2025'!$R188), 0, 1), 5, if(ISBLANK('2025'!$S188), 0, 1), 6, if(ISBLANK('2025'!$T188), 0, 1), 7, 0))), 1, "")</f>
        <v/>
      </c>
      <c r="AX190" s="1" t="str">
        <f>IF(AND(AND(AND(AX$4&gt;='2025'!$L188,AX$4&lt;='2025'!$M188), AX$4&lt;&gt;DATE(2025,7,4)), (SWITCH(weekday(AX$4), 1, 0, 2, if(ISBLANK('2025'!$P188), 0, 1), 3, if(ISBLANK('2025'!$Q188), 0, 1), 4, if(ISBLANK('2025'!$R188), 0, 1), 5, if(ISBLANK('2025'!$S188), 0, 1), 6, if(ISBLANK('2025'!$T188), 0, 1), 7, 0))), 1, "")</f>
        <v/>
      </c>
      <c r="AY190" s="1" t="str">
        <f>IF(AND(AND(AND(AY$4&gt;='2025'!$L188,AY$4&lt;='2025'!$M188), AY$4&lt;&gt;DATE(2025,7,4)), (SWITCH(weekday(AY$4), 1, 0, 2, if(ISBLANK('2025'!$P188), 0, 1), 3, if(ISBLANK('2025'!$Q188), 0, 1), 4, if(ISBLANK('2025'!$R188), 0, 1), 5, if(ISBLANK('2025'!$S188), 0, 1), 6, if(ISBLANK('2025'!$T188), 0, 1), 7, 0))), 1, "")</f>
        <v/>
      </c>
      <c r="AZ190" s="1" t="str">
        <f>IF(AND(AND(AND(AZ$4&gt;='2025'!$L188,AZ$4&lt;='2025'!$M188), AZ$4&lt;&gt;DATE(2025,7,4)), (SWITCH(weekday(AZ$4), 1, 0, 2, if(ISBLANK('2025'!$P188), 0, 1), 3, if(ISBLANK('2025'!$Q188), 0, 1), 4, if(ISBLANK('2025'!$R188), 0, 1), 5, if(ISBLANK('2025'!$S188), 0, 1), 6, if(ISBLANK('2025'!$T188), 0, 1), 7, 0))), 1, "")</f>
        <v/>
      </c>
      <c r="BA190" s="1" t="str">
        <f>IF(AND(AND(AND(BA$4&gt;='2025'!$L188,BA$4&lt;='2025'!$M188), BA$4&lt;&gt;DATE(2025,7,4)), (SWITCH(weekday(BA$4), 1, 0, 2, if(ISBLANK('2025'!$P188), 0, 1), 3, if(ISBLANK('2025'!$Q188), 0, 1), 4, if(ISBLANK('2025'!$R188), 0, 1), 5, if(ISBLANK('2025'!$S188), 0, 1), 6, if(ISBLANK('2025'!$T188), 0, 1), 7, 0))), 1, "")</f>
        <v/>
      </c>
      <c r="BB190" s="1" t="str">
        <f>IF(AND(AND(AND(BB$4&gt;='2025'!$L188,BB$4&lt;='2025'!$M188), BB$4&lt;&gt;DATE(2025,7,4)), (SWITCH(weekday(BB$4), 1, 0, 2, if(ISBLANK('2025'!$P188), 0, 1), 3, if(ISBLANK('2025'!$Q188), 0, 1), 4, if(ISBLANK('2025'!$R188), 0, 1), 5, if(ISBLANK('2025'!$S188), 0, 1), 6, if(ISBLANK('2025'!$T188), 0, 1), 7, 0))), 1, "")</f>
        <v/>
      </c>
      <c r="BC190" s="1" t="str">
        <f>IF(AND(AND(AND(BC$4&gt;='2025'!$L188,BC$4&lt;='2025'!$M188), BC$4&lt;&gt;DATE(2025,7,4)), (SWITCH(weekday(BC$4), 1, 0, 2, if(ISBLANK('2025'!$P188), 0, 1), 3, if(ISBLANK('2025'!$Q188), 0, 1), 4, if(ISBLANK('2025'!$R188), 0, 1), 5, if(ISBLANK('2025'!$S188), 0, 1), 6, if(ISBLANK('2025'!$T188), 0, 1), 7, 0))), 1, "")</f>
        <v/>
      </c>
      <c r="BD190" s="1" t="str">
        <f>IF(AND(AND(AND(BD$4&gt;='2025'!$L188,BD$4&lt;='2025'!$M188), BD$4&lt;&gt;DATE(2025,7,4)), (SWITCH(weekday(BD$4), 1, 0, 2, if(ISBLANK('2025'!$P188), 0, 1), 3, if(ISBLANK('2025'!$Q188), 0, 1), 4, if(ISBLANK('2025'!$R188), 0, 1), 5, if(ISBLANK('2025'!$S188), 0, 1), 6, if(ISBLANK('2025'!$T188), 0, 1), 7, 0))), 1, "")</f>
        <v/>
      </c>
      <c r="BE190" s="1" t="str">
        <f>IF(AND(AND(AND(BE$4&gt;='2025'!$L188,BE$4&lt;='2025'!$M188), BE$4&lt;&gt;DATE(2025,7,4)), (SWITCH(weekday(BE$4), 1, 0, 2, if(ISBLANK('2025'!$P188), 0, 1), 3, if(ISBLANK('2025'!$Q188), 0, 1), 4, if(ISBLANK('2025'!$R188), 0, 1), 5, if(ISBLANK('2025'!$S188), 0, 1), 6, if(ISBLANK('2025'!$T188), 0, 1), 7, 0))), 1, "")</f>
        <v/>
      </c>
      <c r="BF190" s="1" t="str">
        <f>IF(AND(AND(AND(BF$4&gt;='2025'!$L188,BF$4&lt;='2025'!$M188), BF$4&lt;&gt;DATE(2025,7,4)), (SWITCH(weekday(BF$4), 1, 0, 2, if(ISBLANK('2025'!$P188), 0, 1), 3, if(ISBLANK('2025'!$Q188), 0, 1), 4, if(ISBLANK('2025'!$R188), 0, 1), 5, if(ISBLANK('2025'!$S188), 0, 1), 6, if(ISBLANK('2025'!$T188), 0, 1), 7, 0))), 1, "")</f>
        <v/>
      </c>
      <c r="BG190" s="1"/>
      <c r="BH190" s="1"/>
      <c r="BI190" s="1"/>
      <c r="BJ190" s="1"/>
      <c r="BK190" s="1"/>
      <c r="BL190" s="1"/>
    </row>
    <row r="191">
      <c r="A191" s="1">
        <f t="shared" si="3"/>
        <v>191</v>
      </c>
      <c r="B191" s="1" t="str">
        <f>'2025'!D155</f>
        <v>, </v>
      </c>
      <c r="C191" s="1" t="str">
        <f>'2025'!H155</f>
        <v/>
      </c>
      <c r="D191" s="1" t="str">
        <f>IF(AND(AND(AND(D$4&gt;='2025'!$L189,D$4&lt;='2025'!$M189), D$4&lt;&gt;DATE(2025,7,4)), (SWITCH(weekday(D$4), 1, 0, 2, if(ISBLANK('2025'!$P189), 0, 1), 3, if(ISBLANK('2025'!$Q189), 0, 1), 4, if(ISBLANK('2025'!$R189), 0, 1), 5, if(ISBLANK('2025'!$S189), 0, 1), 6, if(ISBLANK('2025'!$T189), 0, 1), 7, 0))), 1, "")</f>
        <v/>
      </c>
      <c r="E191" s="1" t="str">
        <f>IF(AND(AND(AND(E$4&gt;='2025'!$L189,E$4&lt;='2025'!$M189), E$4&lt;&gt;DATE(2025,7,4)), (SWITCH(weekday(E$4), 1, 0, 2, if(ISBLANK('2025'!$P189), 0, 1), 3, if(ISBLANK('2025'!$Q189), 0, 1), 4, if(ISBLANK('2025'!$R189), 0, 1), 5, if(ISBLANK('2025'!$S189), 0, 1), 6, if(ISBLANK('2025'!$T189), 0, 1), 7, 0))), 1, "")</f>
        <v/>
      </c>
      <c r="F191" s="1" t="str">
        <f>IF(AND(AND(AND(F$4&gt;='2025'!$L189,F$4&lt;='2025'!$M189), F$4&lt;&gt;DATE(2025,7,4)), (SWITCH(weekday(F$4), 1, 0, 2, if(ISBLANK('2025'!$P189), 0, 1), 3, if(ISBLANK('2025'!$Q189), 0, 1), 4, if(ISBLANK('2025'!$R189), 0, 1), 5, if(ISBLANK('2025'!$S189), 0, 1), 6, if(ISBLANK('2025'!$T189), 0, 1), 7, 0))), 1, "")</f>
        <v/>
      </c>
      <c r="G191" s="1" t="str">
        <f>IF(AND(AND(AND(G$4&gt;='2025'!$L189,G$4&lt;='2025'!$M189), G$4&lt;&gt;DATE(2025,7,4)), (SWITCH(weekday(G$4), 1, 0, 2, if(ISBLANK('2025'!$P189), 0, 1), 3, if(ISBLANK('2025'!$Q189), 0, 1), 4, if(ISBLANK('2025'!$R189), 0, 1), 5, if(ISBLANK('2025'!$S189), 0, 1), 6, if(ISBLANK('2025'!$T189), 0, 1), 7, 0))), 1, "")</f>
        <v/>
      </c>
      <c r="H191" s="1" t="str">
        <f>IF(AND(AND(AND(H$4&gt;='2025'!$L189,H$4&lt;='2025'!$M189), H$4&lt;&gt;DATE(2025,7,4)), (SWITCH(weekday(H$4), 1, 0, 2, if(ISBLANK('2025'!$P189), 0, 1), 3, if(ISBLANK('2025'!$Q189), 0, 1), 4, if(ISBLANK('2025'!$R189), 0, 1), 5, if(ISBLANK('2025'!$S189), 0, 1), 6, if(ISBLANK('2025'!$T189), 0, 1), 7, 0))), 1, "")</f>
        <v/>
      </c>
      <c r="I191" s="1" t="str">
        <f>IF(AND(AND(AND(I$4&gt;='2025'!$L189,I$4&lt;='2025'!$M189), I$4&lt;&gt;DATE(2025,7,4)), (SWITCH(weekday(I$4), 1, 0, 2, if(ISBLANK('2025'!$P189), 0, 1), 3, if(ISBLANK('2025'!$Q189), 0, 1), 4, if(ISBLANK('2025'!$R189), 0, 1), 5, if(ISBLANK('2025'!$S189), 0, 1), 6, if(ISBLANK('2025'!$T189), 0, 1), 7, 0))), 1, "")</f>
        <v/>
      </c>
      <c r="J191" s="1" t="str">
        <f>IF(AND(AND(AND(J$4&gt;='2025'!$L189,J$4&lt;='2025'!$M189), J$4&lt;&gt;DATE(2025,7,4)), (SWITCH(weekday(J$4), 1, 0, 2, if(ISBLANK('2025'!$P189), 0, 1), 3, if(ISBLANK('2025'!$Q189), 0, 1), 4, if(ISBLANK('2025'!$R189), 0, 1), 5, if(ISBLANK('2025'!$S189), 0, 1), 6, if(ISBLANK('2025'!$T189), 0, 1), 7, 0))), 1, "")</f>
        <v/>
      </c>
      <c r="K191" s="1" t="str">
        <f>IF(AND(AND(AND(K$4&gt;='2025'!$L189,K$4&lt;='2025'!$M189), K$4&lt;&gt;DATE(2025,7,4)), (SWITCH(weekday(K$4), 1, 0, 2, if(ISBLANK('2025'!$P189), 0, 1), 3, if(ISBLANK('2025'!$Q189), 0, 1), 4, if(ISBLANK('2025'!$R189), 0, 1), 5, if(ISBLANK('2025'!$S189), 0, 1), 6, if(ISBLANK('2025'!$T189), 0, 1), 7, 0))), 1, "")</f>
        <v/>
      </c>
      <c r="L191" s="1" t="str">
        <f>IF(AND(AND(AND(L$4&gt;='2025'!$L189,L$4&lt;='2025'!$M189), L$4&lt;&gt;DATE(2025,7,4)), (SWITCH(weekday(L$4), 1, 0, 2, if(ISBLANK('2025'!$P189), 0, 1), 3, if(ISBLANK('2025'!$Q189), 0, 1), 4, if(ISBLANK('2025'!$R189), 0, 1), 5, if(ISBLANK('2025'!$S189), 0, 1), 6, if(ISBLANK('2025'!$T189), 0, 1), 7, 0))), 1, "")</f>
        <v/>
      </c>
      <c r="M191" s="1" t="str">
        <f>IF(AND(AND(AND(M$4&gt;='2025'!$L189,M$4&lt;='2025'!$M189), M$4&lt;&gt;DATE(2025,7,4)), (SWITCH(weekday(M$4), 1, 0, 2, if(ISBLANK('2025'!$P189), 0, 1), 3, if(ISBLANK('2025'!$Q189), 0, 1), 4, if(ISBLANK('2025'!$R189), 0, 1), 5, if(ISBLANK('2025'!$S189), 0, 1), 6, if(ISBLANK('2025'!$T189), 0, 1), 7, 0))), 1, "")</f>
        <v/>
      </c>
      <c r="N191" s="1" t="str">
        <f>IF(AND(AND(AND(N$4&gt;='2025'!$L189,N$4&lt;='2025'!$M189), N$4&lt;&gt;DATE(2025,7,4)), (SWITCH(weekday(N$4), 1, 0, 2, if(ISBLANK('2025'!$P189), 0, 1), 3, if(ISBLANK('2025'!$Q189), 0, 1), 4, if(ISBLANK('2025'!$R189), 0, 1), 5, if(ISBLANK('2025'!$S189), 0, 1), 6, if(ISBLANK('2025'!$T189), 0, 1), 7, 0))), 1, "")</f>
        <v/>
      </c>
      <c r="O191" s="1" t="str">
        <f>IF(AND(AND(AND(O$4&gt;='2025'!$L189,O$4&lt;='2025'!$M189), O$4&lt;&gt;DATE(2025,7,4)), (SWITCH(weekday(O$4), 1, 0, 2, if(ISBLANK('2025'!$P189), 0, 1), 3, if(ISBLANK('2025'!$Q189), 0, 1), 4, if(ISBLANK('2025'!$R189), 0, 1), 5, if(ISBLANK('2025'!$S189), 0, 1), 6, if(ISBLANK('2025'!$T189), 0, 1), 7, 0))), 1, "")</f>
        <v/>
      </c>
      <c r="P191" s="1" t="str">
        <f>IF(AND(AND(AND(P$4&gt;='2025'!$L189,P$4&lt;='2025'!$M189), P$4&lt;&gt;DATE(2025,7,4)), (SWITCH(weekday(P$4), 1, 0, 2, if(ISBLANK('2025'!$P189), 0, 1), 3, if(ISBLANK('2025'!$Q189), 0, 1), 4, if(ISBLANK('2025'!$R189), 0, 1), 5, if(ISBLANK('2025'!$S189), 0, 1), 6, if(ISBLANK('2025'!$T189), 0, 1), 7, 0))), 1, "")</f>
        <v/>
      </c>
      <c r="Q191" s="1" t="str">
        <f>IF(AND(AND(AND(Q$4&gt;='2025'!$L189,Q$4&lt;='2025'!$M189), Q$4&lt;&gt;DATE(2025,7,4)), (SWITCH(weekday(Q$4), 1, 0, 2, if(ISBLANK('2025'!$P189), 0, 1), 3, if(ISBLANK('2025'!$Q189), 0, 1), 4, if(ISBLANK('2025'!$R189), 0, 1), 5, if(ISBLANK('2025'!$S189), 0, 1), 6, if(ISBLANK('2025'!$T189), 0, 1), 7, 0))), 1, "")</f>
        <v/>
      </c>
      <c r="R191" s="1" t="str">
        <f>IF(AND(AND(AND(R$4&gt;='2025'!$L189,R$4&lt;='2025'!$M189), R$4&lt;&gt;DATE(2025,7,4)), (SWITCH(weekday(R$4), 1, 0, 2, if(ISBLANK('2025'!$P189), 0, 1), 3, if(ISBLANK('2025'!$Q189), 0, 1), 4, if(ISBLANK('2025'!$R189), 0, 1), 5, if(ISBLANK('2025'!$S189), 0, 1), 6, if(ISBLANK('2025'!$T189), 0, 1), 7, 0))), 1, "")</f>
        <v/>
      </c>
      <c r="S191" s="1" t="str">
        <f>IF(AND(AND(AND(S$4&gt;='2025'!$L189,S$4&lt;='2025'!$M189), S$4&lt;&gt;DATE(2025,7,4)), (SWITCH(weekday(S$4), 1, 0, 2, if(ISBLANK('2025'!$P189), 0, 1), 3, if(ISBLANK('2025'!$Q189), 0, 1), 4, if(ISBLANK('2025'!$R189), 0, 1), 5, if(ISBLANK('2025'!$S189), 0, 1), 6, if(ISBLANK('2025'!$T189), 0, 1), 7, 0))), 1, "")</f>
        <v/>
      </c>
      <c r="T191" s="1" t="str">
        <f>IF(AND(AND(AND(T$4&gt;='2025'!$L189,T$4&lt;='2025'!$M189), T$4&lt;&gt;DATE(2025,7,4)), (SWITCH(weekday(T$4), 1, 0, 2, if(ISBLANK('2025'!$P189), 0, 1), 3, if(ISBLANK('2025'!$Q189), 0, 1), 4, if(ISBLANK('2025'!$R189), 0, 1), 5, if(ISBLANK('2025'!$S189), 0, 1), 6, if(ISBLANK('2025'!$T189), 0, 1), 7, 0))), 1, "")</f>
        <v/>
      </c>
      <c r="U191" s="1" t="str">
        <f>IF(AND(AND(AND(U$4&gt;='2025'!$L189,U$4&lt;='2025'!$M189), U$4&lt;&gt;DATE(2025,7,4)), (SWITCH(weekday(U$4), 1, 0, 2, if(ISBLANK('2025'!$P189), 0, 1), 3, if(ISBLANK('2025'!$Q189), 0, 1), 4, if(ISBLANK('2025'!$R189), 0, 1), 5, if(ISBLANK('2025'!$S189), 0, 1), 6, if(ISBLANK('2025'!$T189), 0, 1), 7, 0))), 1, "")</f>
        <v/>
      </c>
      <c r="V191" s="1" t="str">
        <f>IF(AND(AND(AND(V$4&gt;='2025'!$L189,V$4&lt;='2025'!$M189), V$4&lt;&gt;DATE(2025,7,4)), (SWITCH(weekday(V$4), 1, 0, 2, if(ISBLANK('2025'!$P189), 0, 1), 3, if(ISBLANK('2025'!$Q189), 0, 1), 4, if(ISBLANK('2025'!$R189), 0, 1), 5, if(ISBLANK('2025'!$S189), 0, 1), 6, if(ISBLANK('2025'!$T189), 0, 1), 7, 0))), 1, "")</f>
        <v/>
      </c>
      <c r="W191" s="1" t="str">
        <f>IF(AND(AND(AND(W$4&gt;='2025'!$L189,W$4&lt;='2025'!$M189), W$4&lt;&gt;DATE(2025,7,4)), (SWITCH(weekday(W$4), 1, 0, 2, if(ISBLANK('2025'!$P189), 0, 1), 3, if(ISBLANK('2025'!$Q189), 0, 1), 4, if(ISBLANK('2025'!$R189), 0, 1), 5, if(ISBLANK('2025'!$S189), 0, 1), 6, if(ISBLANK('2025'!$T189), 0, 1), 7, 0))), 1, "")</f>
        <v/>
      </c>
      <c r="X191" s="1" t="str">
        <f>IF(AND(AND(AND(X$4&gt;='2025'!$L189,X$4&lt;='2025'!$M189), X$4&lt;&gt;DATE(2025,7,4)), (SWITCH(weekday(X$4), 1, 0, 2, if(ISBLANK('2025'!$P189), 0, 1), 3, if(ISBLANK('2025'!$Q189), 0, 1), 4, if(ISBLANK('2025'!$R189), 0, 1), 5, if(ISBLANK('2025'!$S189), 0, 1), 6, if(ISBLANK('2025'!$T189), 0, 1), 7, 0))), 1, "")</f>
        <v/>
      </c>
      <c r="Y191" s="1" t="str">
        <f>IF(AND(AND(AND(Y$4&gt;='2025'!$L189,Y$4&lt;='2025'!$M189), Y$4&lt;&gt;DATE(2025,7,4)), (SWITCH(weekday(Y$4), 1, 0, 2, if(ISBLANK('2025'!$P189), 0, 1), 3, if(ISBLANK('2025'!$Q189), 0, 1), 4, if(ISBLANK('2025'!$R189), 0, 1), 5, if(ISBLANK('2025'!$S189), 0, 1), 6, if(ISBLANK('2025'!$T189), 0, 1), 7, 0))), 1, "")</f>
        <v/>
      </c>
      <c r="Z191" s="1" t="str">
        <f>IF(AND(AND(AND(Z$4&gt;='2025'!$L189,Z$4&lt;='2025'!$M189), Z$4&lt;&gt;DATE(2025,7,4)), (SWITCH(weekday(Z$4), 1, 0, 2, if(ISBLANK('2025'!$P189), 0, 1), 3, if(ISBLANK('2025'!$Q189), 0, 1), 4, if(ISBLANK('2025'!$R189), 0, 1), 5, if(ISBLANK('2025'!$S189), 0, 1), 6, if(ISBLANK('2025'!$T189), 0, 1), 7, 0))), 1, "")</f>
        <v/>
      </c>
      <c r="AA191" s="1" t="str">
        <f>IF(AND(AND(AND(AA$4&gt;='2025'!$L189,AA$4&lt;='2025'!$M189), AA$4&lt;&gt;DATE(2025,7,4)), (SWITCH(weekday(AA$4), 1, 0, 2, if(ISBLANK('2025'!$P189), 0, 1), 3, if(ISBLANK('2025'!$Q189), 0, 1), 4, if(ISBLANK('2025'!$R189), 0, 1), 5, if(ISBLANK('2025'!$S189), 0, 1), 6, if(ISBLANK('2025'!$T189), 0, 1), 7, 0))), 1, "")</f>
        <v/>
      </c>
      <c r="AB191" s="1" t="str">
        <f>IF(AND(AND(AND(AB$4&gt;='2025'!$L189,AB$4&lt;='2025'!$M189), AB$4&lt;&gt;DATE(2025,7,4)), (SWITCH(weekday(AB$4), 1, 0, 2, if(ISBLANK('2025'!$P189), 0, 1), 3, if(ISBLANK('2025'!$Q189), 0, 1), 4, if(ISBLANK('2025'!$R189), 0, 1), 5, if(ISBLANK('2025'!$S189), 0, 1), 6, if(ISBLANK('2025'!$T189), 0, 1), 7, 0))), 1, "")</f>
        <v/>
      </c>
      <c r="AC191" s="1" t="str">
        <f>IF(AND(AND(AND(AC$4&gt;='2025'!$L189,AC$4&lt;='2025'!$M189), AC$4&lt;&gt;DATE(2025,7,4)), (SWITCH(weekday(AC$4), 1, 0, 2, if(ISBLANK('2025'!$P189), 0, 1), 3, if(ISBLANK('2025'!$Q189), 0, 1), 4, if(ISBLANK('2025'!$R189), 0, 1), 5, if(ISBLANK('2025'!$S189), 0, 1), 6, if(ISBLANK('2025'!$T189), 0, 1), 7, 0))), 1, "")</f>
        <v/>
      </c>
      <c r="AD191" s="1" t="str">
        <f>IF(AND(AND(AND(AD$4&gt;='2025'!$L189,AD$4&lt;='2025'!$M189), AD$4&lt;&gt;DATE(2025,7,4)), (SWITCH(weekday(AD$4), 1, 0, 2, if(ISBLANK('2025'!$P189), 0, 1), 3, if(ISBLANK('2025'!$Q189), 0, 1), 4, if(ISBLANK('2025'!$R189), 0, 1), 5, if(ISBLANK('2025'!$S189), 0, 1), 6, if(ISBLANK('2025'!$T189), 0, 1), 7, 0))), 1, "")</f>
        <v/>
      </c>
      <c r="AE191" s="1" t="str">
        <f>IF(AND(AND(AND(AE$4&gt;='2025'!$L189,AE$4&lt;='2025'!$M189), AE$4&lt;&gt;DATE(2025,7,4)), (SWITCH(weekday(AE$4), 1, 0, 2, if(ISBLANK('2025'!$P189), 0, 1), 3, if(ISBLANK('2025'!$Q189), 0, 1), 4, if(ISBLANK('2025'!$R189), 0, 1), 5, if(ISBLANK('2025'!$S189), 0, 1), 6, if(ISBLANK('2025'!$T189), 0, 1), 7, 0))), 1, "")</f>
        <v/>
      </c>
      <c r="AF191" s="1" t="str">
        <f>IF(AND(AND(AND(AF$4&gt;='2025'!$L189,AF$4&lt;='2025'!$M189), AF$4&lt;&gt;DATE(2025,7,4)), (SWITCH(weekday(AF$4), 1, 0, 2, if(ISBLANK('2025'!$P189), 0, 1), 3, if(ISBLANK('2025'!$Q189), 0, 1), 4, if(ISBLANK('2025'!$R189), 0, 1), 5, if(ISBLANK('2025'!$S189), 0, 1), 6, if(ISBLANK('2025'!$T189), 0, 1), 7, 0))), 1, "")</f>
        <v/>
      </c>
      <c r="AG191" s="1" t="str">
        <f>IF(AND(AND(AND(AG$4&gt;='2025'!$L189,AG$4&lt;='2025'!$M189), AG$4&lt;&gt;DATE(2025,7,4)), (SWITCH(weekday(AG$4), 1, 0, 2, if(ISBLANK('2025'!$P189), 0, 1), 3, if(ISBLANK('2025'!$Q189), 0, 1), 4, if(ISBLANK('2025'!$R189), 0, 1), 5, if(ISBLANK('2025'!$S189), 0, 1), 6, if(ISBLANK('2025'!$T189), 0, 1), 7, 0))), 1, "")</f>
        <v/>
      </c>
      <c r="AH191" s="1" t="str">
        <f>IF(AND(AND(AND(AH$4&gt;='2025'!$L189,AH$4&lt;='2025'!$M189), AH$4&lt;&gt;DATE(2025,7,4)), (SWITCH(weekday(AH$4), 1, 0, 2, if(ISBLANK('2025'!$P189), 0, 1), 3, if(ISBLANK('2025'!$Q189), 0, 1), 4, if(ISBLANK('2025'!$R189), 0, 1), 5, if(ISBLANK('2025'!$S189), 0, 1), 6, if(ISBLANK('2025'!$T189), 0, 1), 7, 0))), 1, "")</f>
        <v/>
      </c>
      <c r="AI191" s="1" t="str">
        <f>IF(AND(AND(AND(AI$4&gt;='2025'!$L189,AI$4&lt;='2025'!$M189), AI$4&lt;&gt;DATE(2025,7,4)), (SWITCH(weekday(AI$4), 1, 0, 2, if(ISBLANK('2025'!$P189), 0, 1), 3, if(ISBLANK('2025'!$Q189), 0, 1), 4, if(ISBLANK('2025'!$R189), 0, 1), 5, if(ISBLANK('2025'!$S189), 0, 1), 6, if(ISBLANK('2025'!$T189), 0, 1), 7, 0))), 1, "")</f>
        <v/>
      </c>
      <c r="AJ191" s="1" t="str">
        <f>IF(AND(AND(AND(AJ$4&gt;='2025'!$L189,AJ$4&lt;='2025'!$M189), AJ$4&lt;&gt;DATE(2025,7,4)), (SWITCH(weekday(AJ$4), 1, 0, 2, if(ISBLANK('2025'!$P189), 0, 1), 3, if(ISBLANK('2025'!$Q189), 0, 1), 4, if(ISBLANK('2025'!$R189), 0, 1), 5, if(ISBLANK('2025'!$S189), 0, 1), 6, if(ISBLANK('2025'!$T189), 0, 1), 7, 0))), 1, "")</f>
        <v/>
      </c>
      <c r="AK191" s="1" t="str">
        <f>IF(AND(AND(AND(AK$4&gt;='2025'!$L189,AK$4&lt;='2025'!$M189), AK$4&lt;&gt;DATE(2025,7,4)), (SWITCH(weekday(AK$4), 1, 0, 2, if(ISBLANK('2025'!$P189), 0, 1), 3, if(ISBLANK('2025'!$Q189), 0, 1), 4, if(ISBLANK('2025'!$R189), 0, 1), 5, if(ISBLANK('2025'!$S189), 0, 1), 6, if(ISBLANK('2025'!$T189), 0, 1), 7, 0))), 1, "")</f>
        <v/>
      </c>
      <c r="AL191" s="1" t="str">
        <f>IF(AND(AND(AND(AL$4&gt;='2025'!$L189,AL$4&lt;='2025'!$M189), AL$4&lt;&gt;DATE(2025,7,4)), (SWITCH(weekday(AL$4), 1, 0, 2, if(ISBLANK('2025'!$P189), 0, 1), 3, if(ISBLANK('2025'!$Q189), 0, 1), 4, if(ISBLANK('2025'!$R189), 0, 1), 5, if(ISBLANK('2025'!$S189), 0, 1), 6, if(ISBLANK('2025'!$T189), 0, 1), 7, 0))), 1, "")</f>
        <v/>
      </c>
      <c r="AM191" s="1" t="str">
        <f>IF(AND(AND(AND(AM$4&gt;='2025'!$L189,AM$4&lt;='2025'!$M189), AM$4&lt;&gt;DATE(2025,7,4)), (SWITCH(weekday(AM$4), 1, 0, 2, if(ISBLANK('2025'!$P189), 0, 1), 3, if(ISBLANK('2025'!$Q189), 0, 1), 4, if(ISBLANK('2025'!$R189), 0, 1), 5, if(ISBLANK('2025'!$S189), 0, 1), 6, if(ISBLANK('2025'!$T189), 0, 1), 7, 0))), 1, "")</f>
        <v/>
      </c>
      <c r="AN191" s="1" t="str">
        <f>IF(AND(AND(AND(AN$4&gt;='2025'!$L189,AN$4&lt;='2025'!$M189), AN$4&lt;&gt;DATE(2025,7,4)), (SWITCH(weekday(AN$4), 1, 0, 2, if(ISBLANK('2025'!$P189), 0, 1), 3, if(ISBLANK('2025'!$Q189), 0, 1), 4, if(ISBLANK('2025'!$R189), 0, 1), 5, if(ISBLANK('2025'!$S189), 0, 1), 6, if(ISBLANK('2025'!$T189), 0, 1), 7, 0))), 1, "")</f>
        <v/>
      </c>
      <c r="AO191" s="1" t="str">
        <f>IF(AND(AND(AND(AO$4&gt;='2025'!$L189,AO$4&lt;='2025'!$M189), AO$4&lt;&gt;DATE(2025,7,4)), (SWITCH(weekday(AO$4), 1, 0, 2, if(ISBLANK('2025'!$P189), 0, 1), 3, if(ISBLANK('2025'!$Q189), 0, 1), 4, if(ISBLANK('2025'!$R189), 0, 1), 5, if(ISBLANK('2025'!$S189), 0, 1), 6, if(ISBLANK('2025'!$T189), 0, 1), 7, 0))), 1, "")</f>
        <v/>
      </c>
      <c r="AP191" s="1" t="str">
        <f>IF(AND(AND(AND(AP$4&gt;='2025'!$L189,AP$4&lt;='2025'!$M189), AP$4&lt;&gt;DATE(2025,7,4)), (SWITCH(weekday(AP$4), 1, 0, 2, if(ISBLANK('2025'!$P189), 0, 1), 3, if(ISBLANK('2025'!$Q189), 0, 1), 4, if(ISBLANK('2025'!$R189), 0, 1), 5, if(ISBLANK('2025'!$S189), 0, 1), 6, if(ISBLANK('2025'!$T189), 0, 1), 7, 0))), 1, "")</f>
        <v/>
      </c>
      <c r="AQ191" s="1" t="str">
        <f>IF(AND(AND(AND(AQ$4&gt;='2025'!$L189,AQ$4&lt;='2025'!$M189), AQ$4&lt;&gt;DATE(2025,7,4)), (SWITCH(weekday(AQ$4), 1, 0, 2, if(ISBLANK('2025'!$P189), 0, 1), 3, if(ISBLANK('2025'!$Q189), 0, 1), 4, if(ISBLANK('2025'!$R189), 0, 1), 5, if(ISBLANK('2025'!$S189), 0, 1), 6, if(ISBLANK('2025'!$T189), 0, 1), 7, 0))), 1, "")</f>
        <v/>
      </c>
      <c r="AR191" s="1" t="str">
        <f>IF(AND(AND(AND(AR$4&gt;='2025'!$L189,AR$4&lt;='2025'!$M189), AR$4&lt;&gt;DATE(2025,7,4)), (SWITCH(weekday(AR$4), 1, 0, 2, if(ISBLANK('2025'!$P189), 0, 1), 3, if(ISBLANK('2025'!$Q189), 0, 1), 4, if(ISBLANK('2025'!$R189), 0, 1), 5, if(ISBLANK('2025'!$S189), 0, 1), 6, if(ISBLANK('2025'!$T189), 0, 1), 7, 0))), 1, "")</f>
        <v/>
      </c>
      <c r="AS191" s="1" t="str">
        <f>IF(AND(AND(AND(AS$4&gt;='2025'!$L189,AS$4&lt;='2025'!$M189), AS$4&lt;&gt;DATE(2025,7,4)), (SWITCH(weekday(AS$4), 1, 0, 2, if(ISBLANK('2025'!$P189), 0, 1), 3, if(ISBLANK('2025'!$Q189), 0, 1), 4, if(ISBLANK('2025'!$R189), 0, 1), 5, if(ISBLANK('2025'!$S189), 0, 1), 6, if(ISBLANK('2025'!$T189), 0, 1), 7, 0))), 1, "")</f>
        <v/>
      </c>
      <c r="AT191" s="1" t="str">
        <f>IF(AND(AND(AND(AT$4&gt;='2025'!$L189,AT$4&lt;='2025'!$M189), AT$4&lt;&gt;DATE(2025,7,4)), (SWITCH(weekday(AT$4), 1, 0, 2, if(ISBLANK('2025'!$P189), 0, 1), 3, if(ISBLANK('2025'!$Q189), 0, 1), 4, if(ISBLANK('2025'!$R189), 0, 1), 5, if(ISBLANK('2025'!$S189), 0, 1), 6, if(ISBLANK('2025'!$T189), 0, 1), 7, 0))), 1, "")</f>
        <v/>
      </c>
      <c r="AU191" s="1" t="str">
        <f>IF(AND(AND(AND(AU$4&gt;='2025'!$L189,AU$4&lt;='2025'!$M189), AU$4&lt;&gt;DATE(2025,7,4)), (SWITCH(weekday(AU$4), 1, 0, 2, if(ISBLANK('2025'!$P189), 0, 1), 3, if(ISBLANK('2025'!$Q189), 0, 1), 4, if(ISBLANK('2025'!$R189), 0, 1), 5, if(ISBLANK('2025'!$S189), 0, 1), 6, if(ISBLANK('2025'!$T189), 0, 1), 7, 0))), 1, "")</f>
        <v/>
      </c>
      <c r="AV191" s="1" t="str">
        <f>IF(AND(AND(AND(AV$4&gt;='2025'!$L189,AV$4&lt;='2025'!$M189), AV$4&lt;&gt;DATE(2025,7,4)), (SWITCH(weekday(AV$4), 1, 0, 2, if(ISBLANK('2025'!$P189), 0, 1), 3, if(ISBLANK('2025'!$Q189), 0, 1), 4, if(ISBLANK('2025'!$R189), 0, 1), 5, if(ISBLANK('2025'!$S189), 0, 1), 6, if(ISBLANK('2025'!$T189), 0, 1), 7, 0))), 1, "")</f>
        <v/>
      </c>
      <c r="AW191" s="1" t="str">
        <f>IF(AND(AND(AND(AW$4&gt;='2025'!$L189,AW$4&lt;='2025'!$M189), AW$4&lt;&gt;DATE(2025,7,4)), (SWITCH(weekday(AW$4), 1, 0, 2, if(ISBLANK('2025'!$P189), 0, 1), 3, if(ISBLANK('2025'!$Q189), 0, 1), 4, if(ISBLANK('2025'!$R189), 0, 1), 5, if(ISBLANK('2025'!$S189), 0, 1), 6, if(ISBLANK('2025'!$T189), 0, 1), 7, 0))), 1, "")</f>
        <v/>
      </c>
      <c r="AX191" s="1" t="str">
        <f>IF(AND(AND(AND(AX$4&gt;='2025'!$L189,AX$4&lt;='2025'!$M189), AX$4&lt;&gt;DATE(2025,7,4)), (SWITCH(weekday(AX$4), 1, 0, 2, if(ISBLANK('2025'!$P189), 0, 1), 3, if(ISBLANK('2025'!$Q189), 0, 1), 4, if(ISBLANK('2025'!$R189), 0, 1), 5, if(ISBLANK('2025'!$S189), 0, 1), 6, if(ISBLANK('2025'!$T189), 0, 1), 7, 0))), 1, "")</f>
        <v/>
      </c>
      <c r="AY191" s="1" t="str">
        <f>IF(AND(AND(AND(AY$4&gt;='2025'!$L189,AY$4&lt;='2025'!$M189), AY$4&lt;&gt;DATE(2025,7,4)), (SWITCH(weekday(AY$4), 1, 0, 2, if(ISBLANK('2025'!$P189), 0, 1), 3, if(ISBLANK('2025'!$Q189), 0, 1), 4, if(ISBLANK('2025'!$R189), 0, 1), 5, if(ISBLANK('2025'!$S189), 0, 1), 6, if(ISBLANK('2025'!$T189), 0, 1), 7, 0))), 1, "")</f>
        <v/>
      </c>
      <c r="AZ191" s="1" t="str">
        <f>IF(AND(AND(AND(AZ$4&gt;='2025'!$L189,AZ$4&lt;='2025'!$M189), AZ$4&lt;&gt;DATE(2025,7,4)), (SWITCH(weekday(AZ$4), 1, 0, 2, if(ISBLANK('2025'!$P189), 0, 1), 3, if(ISBLANK('2025'!$Q189), 0, 1), 4, if(ISBLANK('2025'!$R189), 0, 1), 5, if(ISBLANK('2025'!$S189), 0, 1), 6, if(ISBLANK('2025'!$T189), 0, 1), 7, 0))), 1, "")</f>
        <v/>
      </c>
      <c r="BA191" s="1" t="str">
        <f>IF(AND(AND(AND(BA$4&gt;='2025'!$L189,BA$4&lt;='2025'!$M189), BA$4&lt;&gt;DATE(2025,7,4)), (SWITCH(weekday(BA$4), 1, 0, 2, if(ISBLANK('2025'!$P189), 0, 1), 3, if(ISBLANK('2025'!$Q189), 0, 1), 4, if(ISBLANK('2025'!$R189), 0, 1), 5, if(ISBLANK('2025'!$S189), 0, 1), 6, if(ISBLANK('2025'!$T189), 0, 1), 7, 0))), 1, "")</f>
        <v/>
      </c>
      <c r="BB191" s="1" t="str">
        <f>IF(AND(AND(AND(BB$4&gt;='2025'!$L189,BB$4&lt;='2025'!$M189), BB$4&lt;&gt;DATE(2025,7,4)), (SWITCH(weekday(BB$4), 1, 0, 2, if(ISBLANK('2025'!$P189), 0, 1), 3, if(ISBLANK('2025'!$Q189), 0, 1), 4, if(ISBLANK('2025'!$R189), 0, 1), 5, if(ISBLANK('2025'!$S189), 0, 1), 6, if(ISBLANK('2025'!$T189), 0, 1), 7, 0))), 1, "")</f>
        <v/>
      </c>
      <c r="BC191" s="1" t="str">
        <f>IF(AND(AND(AND(BC$4&gt;='2025'!$L189,BC$4&lt;='2025'!$M189), BC$4&lt;&gt;DATE(2025,7,4)), (SWITCH(weekday(BC$4), 1, 0, 2, if(ISBLANK('2025'!$P189), 0, 1), 3, if(ISBLANK('2025'!$Q189), 0, 1), 4, if(ISBLANK('2025'!$R189), 0, 1), 5, if(ISBLANK('2025'!$S189), 0, 1), 6, if(ISBLANK('2025'!$T189), 0, 1), 7, 0))), 1, "")</f>
        <v/>
      </c>
      <c r="BD191" s="1" t="str">
        <f>IF(AND(AND(AND(BD$4&gt;='2025'!$L189,BD$4&lt;='2025'!$M189), BD$4&lt;&gt;DATE(2025,7,4)), (SWITCH(weekday(BD$4), 1, 0, 2, if(ISBLANK('2025'!$P189), 0, 1), 3, if(ISBLANK('2025'!$Q189), 0, 1), 4, if(ISBLANK('2025'!$R189), 0, 1), 5, if(ISBLANK('2025'!$S189), 0, 1), 6, if(ISBLANK('2025'!$T189), 0, 1), 7, 0))), 1, "")</f>
        <v/>
      </c>
      <c r="BE191" s="1" t="str">
        <f>IF(AND(AND(AND(BE$4&gt;='2025'!$L189,BE$4&lt;='2025'!$M189), BE$4&lt;&gt;DATE(2025,7,4)), (SWITCH(weekday(BE$4), 1, 0, 2, if(ISBLANK('2025'!$P189), 0, 1), 3, if(ISBLANK('2025'!$Q189), 0, 1), 4, if(ISBLANK('2025'!$R189), 0, 1), 5, if(ISBLANK('2025'!$S189), 0, 1), 6, if(ISBLANK('2025'!$T189), 0, 1), 7, 0))), 1, "")</f>
        <v/>
      </c>
      <c r="BF191" s="1" t="str">
        <f>IF(AND(AND(AND(BF$4&gt;='2025'!$L189,BF$4&lt;='2025'!$M189), BF$4&lt;&gt;DATE(2025,7,4)), (SWITCH(weekday(BF$4), 1, 0, 2, if(ISBLANK('2025'!$P189), 0, 1), 3, if(ISBLANK('2025'!$Q189), 0, 1), 4, if(ISBLANK('2025'!$R189), 0, 1), 5, if(ISBLANK('2025'!$S189), 0, 1), 6, if(ISBLANK('2025'!$T189), 0, 1), 7, 0))), 1, "")</f>
        <v/>
      </c>
      <c r="BG191" s="1"/>
      <c r="BH191" s="1"/>
      <c r="BI191" s="1"/>
      <c r="BJ191" s="1"/>
      <c r="BK191" s="1"/>
      <c r="BL191" s="1"/>
    </row>
    <row r="192">
      <c r="A192" s="1">
        <f t="shared" si="3"/>
        <v>192</v>
      </c>
      <c r="B192" s="1" t="str">
        <f>'2025'!D156</f>
        <v>, </v>
      </c>
      <c r="C192" s="1" t="str">
        <f>'2025'!H156</f>
        <v/>
      </c>
      <c r="D192" s="1" t="str">
        <f>IF(AND(AND(AND(D$4&gt;='2025'!$L190,D$4&lt;='2025'!$M190), D$4&lt;&gt;DATE(2025,7,4)), (SWITCH(weekday(D$4), 1, 0, 2, if(ISBLANK('2025'!$P190), 0, 1), 3, if(ISBLANK('2025'!$Q190), 0, 1), 4, if(ISBLANK('2025'!$R190), 0, 1), 5, if(ISBLANK('2025'!$S190), 0, 1), 6, if(ISBLANK('2025'!$T190), 0, 1), 7, 0))), 1, "")</f>
        <v/>
      </c>
      <c r="E192" s="1" t="str">
        <f>IF(AND(AND(AND(E$4&gt;='2025'!$L190,E$4&lt;='2025'!$M190), E$4&lt;&gt;DATE(2025,7,4)), (SWITCH(weekday(E$4), 1, 0, 2, if(ISBLANK('2025'!$P190), 0, 1), 3, if(ISBLANK('2025'!$Q190), 0, 1), 4, if(ISBLANK('2025'!$R190), 0, 1), 5, if(ISBLANK('2025'!$S190), 0, 1), 6, if(ISBLANK('2025'!$T190), 0, 1), 7, 0))), 1, "")</f>
        <v/>
      </c>
      <c r="F192" s="1" t="str">
        <f>IF(AND(AND(AND(F$4&gt;='2025'!$L190,F$4&lt;='2025'!$M190), F$4&lt;&gt;DATE(2025,7,4)), (SWITCH(weekday(F$4), 1, 0, 2, if(ISBLANK('2025'!$P190), 0, 1), 3, if(ISBLANK('2025'!$Q190), 0, 1), 4, if(ISBLANK('2025'!$R190), 0, 1), 5, if(ISBLANK('2025'!$S190), 0, 1), 6, if(ISBLANK('2025'!$T190), 0, 1), 7, 0))), 1, "")</f>
        <v/>
      </c>
      <c r="G192" s="1" t="str">
        <f>IF(AND(AND(AND(G$4&gt;='2025'!$L190,G$4&lt;='2025'!$M190), G$4&lt;&gt;DATE(2025,7,4)), (SWITCH(weekday(G$4), 1, 0, 2, if(ISBLANK('2025'!$P190), 0, 1), 3, if(ISBLANK('2025'!$Q190), 0, 1), 4, if(ISBLANK('2025'!$R190), 0, 1), 5, if(ISBLANK('2025'!$S190), 0, 1), 6, if(ISBLANK('2025'!$T190), 0, 1), 7, 0))), 1, "")</f>
        <v/>
      </c>
      <c r="H192" s="1" t="str">
        <f>IF(AND(AND(AND(H$4&gt;='2025'!$L190,H$4&lt;='2025'!$M190), H$4&lt;&gt;DATE(2025,7,4)), (SWITCH(weekday(H$4), 1, 0, 2, if(ISBLANK('2025'!$P190), 0, 1), 3, if(ISBLANK('2025'!$Q190), 0, 1), 4, if(ISBLANK('2025'!$R190), 0, 1), 5, if(ISBLANK('2025'!$S190), 0, 1), 6, if(ISBLANK('2025'!$T190), 0, 1), 7, 0))), 1, "")</f>
        <v/>
      </c>
      <c r="I192" s="1" t="str">
        <f>IF(AND(AND(AND(I$4&gt;='2025'!$L190,I$4&lt;='2025'!$M190), I$4&lt;&gt;DATE(2025,7,4)), (SWITCH(weekday(I$4), 1, 0, 2, if(ISBLANK('2025'!$P190), 0, 1), 3, if(ISBLANK('2025'!$Q190), 0, 1), 4, if(ISBLANK('2025'!$R190), 0, 1), 5, if(ISBLANK('2025'!$S190), 0, 1), 6, if(ISBLANK('2025'!$T190), 0, 1), 7, 0))), 1, "")</f>
        <v/>
      </c>
      <c r="J192" s="1" t="str">
        <f>IF(AND(AND(AND(J$4&gt;='2025'!$L190,J$4&lt;='2025'!$M190), J$4&lt;&gt;DATE(2025,7,4)), (SWITCH(weekday(J$4), 1, 0, 2, if(ISBLANK('2025'!$P190), 0, 1), 3, if(ISBLANK('2025'!$Q190), 0, 1), 4, if(ISBLANK('2025'!$R190), 0, 1), 5, if(ISBLANK('2025'!$S190), 0, 1), 6, if(ISBLANK('2025'!$T190), 0, 1), 7, 0))), 1, "")</f>
        <v/>
      </c>
      <c r="K192" s="1" t="str">
        <f>IF(AND(AND(AND(K$4&gt;='2025'!$L190,K$4&lt;='2025'!$M190), K$4&lt;&gt;DATE(2025,7,4)), (SWITCH(weekday(K$4), 1, 0, 2, if(ISBLANK('2025'!$P190), 0, 1), 3, if(ISBLANK('2025'!$Q190), 0, 1), 4, if(ISBLANK('2025'!$R190), 0, 1), 5, if(ISBLANK('2025'!$S190), 0, 1), 6, if(ISBLANK('2025'!$T190), 0, 1), 7, 0))), 1, "")</f>
        <v/>
      </c>
      <c r="L192" s="1" t="str">
        <f>IF(AND(AND(AND(L$4&gt;='2025'!$L190,L$4&lt;='2025'!$M190), L$4&lt;&gt;DATE(2025,7,4)), (SWITCH(weekday(L$4), 1, 0, 2, if(ISBLANK('2025'!$P190), 0, 1), 3, if(ISBLANK('2025'!$Q190), 0, 1), 4, if(ISBLANK('2025'!$R190), 0, 1), 5, if(ISBLANK('2025'!$S190), 0, 1), 6, if(ISBLANK('2025'!$T190), 0, 1), 7, 0))), 1, "")</f>
        <v/>
      </c>
      <c r="M192" s="1" t="str">
        <f>IF(AND(AND(AND(M$4&gt;='2025'!$L190,M$4&lt;='2025'!$M190), M$4&lt;&gt;DATE(2025,7,4)), (SWITCH(weekday(M$4), 1, 0, 2, if(ISBLANK('2025'!$P190), 0, 1), 3, if(ISBLANK('2025'!$Q190), 0, 1), 4, if(ISBLANK('2025'!$R190), 0, 1), 5, if(ISBLANK('2025'!$S190), 0, 1), 6, if(ISBLANK('2025'!$T190), 0, 1), 7, 0))), 1, "")</f>
        <v/>
      </c>
      <c r="N192" s="1" t="str">
        <f>IF(AND(AND(AND(N$4&gt;='2025'!$L190,N$4&lt;='2025'!$M190), N$4&lt;&gt;DATE(2025,7,4)), (SWITCH(weekday(N$4), 1, 0, 2, if(ISBLANK('2025'!$P190), 0, 1), 3, if(ISBLANK('2025'!$Q190), 0, 1), 4, if(ISBLANK('2025'!$R190), 0, 1), 5, if(ISBLANK('2025'!$S190), 0, 1), 6, if(ISBLANK('2025'!$T190), 0, 1), 7, 0))), 1, "")</f>
        <v/>
      </c>
      <c r="O192" s="1" t="str">
        <f>IF(AND(AND(AND(O$4&gt;='2025'!$L190,O$4&lt;='2025'!$M190), O$4&lt;&gt;DATE(2025,7,4)), (SWITCH(weekday(O$4), 1, 0, 2, if(ISBLANK('2025'!$P190), 0, 1), 3, if(ISBLANK('2025'!$Q190), 0, 1), 4, if(ISBLANK('2025'!$R190), 0, 1), 5, if(ISBLANK('2025'!$S190), 0, 1), 6, if(ISBLANK('2025'!$T190), 0, 1), 7, 0))), 1, "")</f>
        <v/>
      </c>
      <c r="P192" s="1" t="str">
        <f>IF(AND(AND(AND(P$4&gt;='2025'!$L190,P$4&lt;='2025'!$M190), P$4&lt;&gt;DATE(2025,7,4)), (SWITCH(weekday(P$4), 1, 0, 2, if(ISBLANK('2025'!$P190), 0, 1), 3, if(ISBLANK('2025'!$Q190), 0, 1), 4, if(ISBLANK('2025'!$R190), 0, 1), 5, if(ISBLANK('2025'!$S190), 0, 1), 6, if(ISBLANK('2025'!$T190), 0, 1), 7, 0))), 1, "")</f>
        <v/>
      </c>
      <c r="Q192" s="1" t="str">
        <f>IF(AND(AND(AND(Q$4&gt;='2025'!$L190,Q$4&lt;='2025'!$M190), Q$4&lt;&gt;DATE(2025,7,4)), (SWITCH(weekday(Q$4), 1, 0, 2, if(ISBLANK('2025'!$P190), 0, 1), 3, if(ISBLANK('2025'!$Q190), 0, 1), 4, if(ISBLANK('2025'!$R190), 0, 1), 5, if(ISBLANK('2025'!$S190), 0, 1), 6, if(ISBLANK('2025'!$T190), 0, 1), 7, 0))), 1, "")</f>
        <v/>
      </c>
      <c r="R192" s="1" t="str">
        <f>IF(AND(AND(AND(R$4&gt;='2025'!$L190,R$4&lt;='2025'!$M190), R$4&lt;&gt;DATE(2025,7,4)), (SWITCH(weekday(R$4), 1, 0, 2, if(ISBLANK('2025'!$P190), 0, 1), 3, if(ISBLANK('2025'!$Q190), 0, 1), 4, if(ISBLANK('2025'!$R190), 0, 1), 5, if(ISBLANK('2025'!$S190), 0, 1), 6, if(ISBLANK('2025'!$T190), 0, 1), 7, 0))), 1, "")</f>
        <v/>
      </c>
      <c r="S192" s="1" t="str">
        <f>IF(AND(AND(AND(S$4&gt;='2025'!$L190,S$4&lt;='2025'!$M190), S$4&lt;&gt;DATE(2025,7,4)), (SWITCH(weekday(S$4), 1, 0, 2, if(ISBLANK('2025'!$P190), 0, 1), 3, if(ISBLANK('2025'!$Q190), 0, 1), 4, if(ISBLANK('2025'!$R190), 0, 1), 5, if(ISBLANK('2025'!$S190), 0, 1), 6, if(ISBLANK('2025'!$T190), 0, 1), 7, 0))), 1, "")</f>
        <v/>
      </c>
      <c r="T192" s="1" t="str">
        <f>IF(AND(AND(AND(T$4&gt;='2025'!$L190,T$4&lt;='2025'!$M190), T$4&lt;&gt;DATE(2025,7,4)), (SWITCH(weekday(T$4), 1, 0, 2, if(ISBLANK('2025'!$P190), 0, 1), 3, if(ISBLANK('2025'!$Q190), 0, 1), 4, if(ISBLANK('2025'!$R190), 0, 1), 5, if(ISBLANK('2025'!$S190), 0, 1), 6, if(ISBLANK('2025'!$T190), 0, 1), 7, 0))), 1, "")</f>
        <v/>
      </c>
      <c r="U192" s="1" t="str">
        <f>IF(AND(AND(AND(U$4&gt;='2025'!$L190,U$4&lt;='2025'!$M190), U$4&lt;&gt;DATE(2025,7,4)), (SWITCH(weekday(U$4), 1, 0, 2, if(ISBLANK('2025'!$P190), 0, 1), 3, if(ISBLANK('2025'!$Q190), 0, 1), 4, if(ISBLANK('2025'!$R190), 0, 1), 5, if(ISBLANK('2025'!$S190), 0, 1), 6, if(ISBLANK('2025'!$T190), 0, 1), 7, 0))), 1, "")</f>
        <v/>
      </c>
      <c r="V192" s="1" t="str">
        <f>IF(AND(AND(AND(V$4&gt;='2025'!$L190,V$4&lt;='2025'!$M190), V$4&lt;&gt;DATE(2025,7,4)), (SWITCH(weekday(V$4), 1, 0, 2, if(ISBLANK('2025'!$P190), 0, 1), 3, if(ISBLANK('2025'!$Q190), 0, 1), 4, if(ISBLANK('2025'!$R190), 0, 1), 5, if(ISBLANK('2025'!$S190), 0, 1), 6, if(ISBLANK('2025'!$T190), 0, 1), 7, 0))), 1, "")</f>
        <v/>
      </c>
      <c r="W192" s="1" t="str">
        <f>IF(AND(AND(AND(W$4&gt;='2025'!$L190,W$4&lt;='2025'!$M190), W$4&lt;&gt;DATE(2025,7,4)), (SWITCH(weekday(W$4), 1, 0, 2, if(ISBLANK('2025'!$P190), 0, 1), 3, if(ISBLANK('2025'!$Q190), 0, 1), 4, if(ISBLANK('2025'!$R190), 0, 1), 5, if(ISBLANK('2025'!$S190), 0, 1), 6, if(ISBLANK('2025'!$T190), 0, 1), 7, 0))), 1, "")</f>
        <v/>
      </c>
      <c r="X192" s="1" t="str">
        <f>IF(AND(AND(AND(X$4&gt;='2025'!$L190,X$4&lt;='2025'!$M190), X$4&lt;&gt;DATE(2025,7,4)), (SWITCH(weekday(X$4), 1, 0, 2, if(ISBLANK('2025'!$P190), 0, 1), 3, if(ISBLANK('2025'!$Q190), 0, 1), 4, if(ISBLANK('2025'!$R190), 0, 1), 5, if(ISBLANK('2025'!$S190), 0, 1), 6, if(ISBLANK('2025'!$T190), 0, 1), 7, 0))), 1, "")</f>
        <v/>
      </c>
      <c r="Y192" s="1" t="str">
        <f>IF(AND(AND(AND(Y$4&gt;='2025'!$L190,Y$4&lt;='2025'!$M190), Y$4&lt;&gt;DATE(2025,7,4)), (SWITCH(weekday(Y$4), 1, 0, 2, if(ISBLANK('2025'!$P190), 0, 1), 3, if(ISBLANK('2025'!$Q190), 0, 1), 4, if(ISBLANK('2025'!$R190), 0, 1), 5, if(ISBLANK('2025'!$S190), 0, 1), 6, if(ISBLANK('2025'!$T190), 0, 1), 7, 0))), 1, "")</f>
        <v/>
      </c>
      <c r="Z192" s="1" t="str">
        <f>IF(AND(AND(AND(Z$4&gt;='2025'!$L190,Z$4&lt;='2025'!$M190), Z$4&lt;&gt;DATE(2025,7,4)), (SWITCH(weekday(Z$4), 1, 0, 2, if(ISBLANK('2025'!$P190), 0, 1), 3, if(ISBLANK('2025'!$Q190), 0, 1), 4, if(ISBLANK('2025'!$R190), 0, 1), 5, if(ISBLANK('2025'!$S190), 0, 1), 6, if(ISBLANK('2025'!$T190), 0, 1), 7, 0))), 1, "")</f>
        <v/>
      </c>
      <c r="AA192" s="1" t="str">
        <f>IF(AND(AND(AND(AA$4&gt;='2025'!$L190,AA$4&lt;='2025'!$M190), AA$4&lt;&gt;DATE(2025,7,4)), (SWITCH(weekday(AA$4), 1, 0, 2, if(ISBLANK('2025'!$P190), 0, 1), 3, if(ISBLANK('2025'!$Q190), 0, 1), 4, if(ISBLANK('2025'!$R190), 0, 1), 5, if(ISBLANK('2025'!$S190), 0, 1), 6, if(ISBLANK('2025'!$T190), 0, 1), 7, 0))), 1, "")</f>
        <v/>
      </c>
      <c r="AB192" s="1" t="str">
        <f>IF(AND(AND(AND(AB$4&gt;='2025'!$L190,AB$4&lt;='2025'!$M190), AB$4&lt;&gt;DATE(2025,7,4)), (SWITCH(weekday(AB$4), 1, 0, 2, if(ISBLANK('2025'!$P190), 0, 1), 3, if(ISBLANK('2025'!$Q190), 0, 1), 4, if(ISBLANK('2025'!$R190), 0, 1), 5, if(ISBLANK('2025'!$S190), 0, 1), 6, if(ISBLANK('2025'!$T190), 0, 1), 7, 0))), 1, "")</f>
        <v/>
      </c>
      <c r="AC192" s="1" t="str">
        <f>IF(AND(AND(AND(AC$4&gt;='2025'!$L190,AC$4&lt;='2025'!$M190), AC$4&lt;&gt;DATE(2025,7,4)), (SWITCH(weekday(AC$4), 1, 0, 2, if(ISBLANK('2025'!$P190), 0, 1), 3, if(ISBLANK('2025'!$Q190), 0, 1), 4, if(ISBLANK('2025'!$R190), 0, 1), 5, if(ISBLANK('2025'!$S190), 0, 1), 6, if(ISBLANK('2025'!$T190), 0, 1), 7, 0))), 1, "")</f>
        <v/>
      </c>
      <c r="AD192" s="1" t="str">
        <f>IF(AND(AND(AND(AD$4&gt;='2025'!$L190,AD$4&lt;='2025'!$M190), AD$4&lt;&gt;DATE(2025,7,4)), (SWITCH(weekday(AD$4), 1, 0, 2, if(ISBLANK('2025'!$P190), 0, 1), 3, if(ISBLANK('2025'!$Q190), 0, 1), 4, if(ISBLANK('2025'!$R190), 0, 1), 5, if(ISBLANK('2025'!$S190), 0, 1), 6, if(ISBLANK('2025'!$T190), 0, 1), 7, 0))), 1, "")</f>
        <v/>
      </c>
      <c r="AE192" s="1" t="str">
        <f>IF(AND(AND(AND(AE$4&gt;='2025'!$L190,AE$4&lt;='2025'!$M190), AE$4&lt;&gt;DATE(2025,7,4)), (SWITCH(weekday(AE$4), 1, 0, 2, if(ISBLANK('2025'!$P190), 0, 1), 3, if(ISBLANK('2025'!$Q190), 0, 1), 4, if(ISBLANK('2025'!$R190), 0, 1), 5, if(ISBLANK('2025'!$S190), 0, 1), 6, if(ISBLANK('2025'!$T190), 0, 1), 7, 0))), 1, "")</f>
        <v/>
      </c>
      <c r="AF192" s="1" t="str">
        <f>IF(AND(AND(AND(AF$4&gt;='2025'!$L190,AF$4&lt;='2025'!$M190), AF$4&lt;&gt;DATE(2025,7,4)), (SWITCH(weekday(AF$4), 1, 0, 2, if(ISBLANK('2025'!$P190), 0, 1), 3, if(ISBLANK('2025'!$Q190), 0, 1), 4, if(ISBLANK('2025'!$R190), 0, 1), 5, if(ISBLANK('2025'!$S190), 0, 1), 6, if(ISBLANK('2025'!$T190), 0, 1), 7, 0))), 1, "")</f>
        <v/>
      </c>
      <c r="AG192" s="1" t="str">
        <f>IF(AND(AND(AND(AG$4&gt;='2025'!$L190,AG$4&lt;='2025'!$M190), AG$4&lt;&gt;DATE(2025,7,4)), (SWITCH(weekday(AG$4), 1, 0, 2, if(ISBLANK('2025'!$P190), 0, 1), 3, if(ISBLANK('2025'!$Q190), 0, 1), 4, if(ISBLANK('2025'!$R190), 0, 1), 5, if(ISBLANK('2025'!$S190), 0, 1), 6, if(ISBLANK('2025'!$T190), 0, 1), 7, 0))), 1, "")</f>
        <v/>
      </c>
      <c r="AH192" s="1" t="str">
        <f>IF(AND(AND(AND(AH$4&gt;='2025'!$L190,AH$4&lt;='2025'!$M190), AH$4&lt;&gt;DATE(2025,7,4)), (SWITCH(weekday(AH$4), 1, 0, 2, if(ISBLANK('2025'!$P190), 0, 1), 3, if(ISBLANK('2025'!$Q190), 0, 1), 4, if(ISBLANK('2025'!$R190), 0, 1), 5, if(ISBLANK('2025'!$S190), 0, 1), 6, if(ISBLANK('2025'!$T190), 0, 1), 7, 0))), 1, "")</f>
        <v/>
      </c>
      <c r="AI192" s="1" t="str">
        <f>IF(AND(AND(AND(AI$4&gt;='2025'!$L190,AI$4&lt;='2025'!$M190), AI$4&lt;&gt;DATE(2025,7,4)), (SWITCH(weekday(AI$4), 1, 0, 2, if(ISBLANK('2025'!$P190), 0, 1), 3, if(ISBLANK('2025'!$Q190), 0, 1), 4, if(ISBLANK('2025'!$R190), 0, 1), 5, if(ISBLANK('2025'!$S190), 0, 1), 6, if(ISBLANK('2025'!$T190), 0, 1), 7, 0))), 1, "")</f>
        <v/>
      </c>
      <c r="AJ192" s="1" t="str">
        <f>IF(AND(AND(AND(AJ$4&gt;='2025'!$L190,AJ$4&lt;='2025'!$M190), AJ$4&lt;&gt;DATE(2025,7,4)), (SWITCH(weekday(AJ$4), 1, 0, 2, if(ISBLANK('2025'!$P190), 0, 1), 3, if(ISBLANK('2025'!$Q190), 0, 1), 4, if(ISBLANK('2025'!$R190), 0, 1), 5, if(ISBLANK('2025'!$S190), 0, 1), 6, if(ISBLANK('2025'!$T190), 0, 1), 7, 0))), 1, "")</f>
        <v/>
      </c>
      <c r="AK192" s="1" t="str">
        <f>IF(AND(AND(AND(AK$4&gt;='2025'!$L190,AK$4&lt;='2025'!$M190), AK$4&lt;&gt;DATE(2025,7,4)), (SWITCH(weekday(AK$4), 1, 0, 2, if(ISBLANK('2025'!$P190), 0, 1), 3, if(ISBLANK('2025'!$Q190), 0, 1), 4, if(ISBLANK('2025'!$R190), 0, 1), 5, if(ISBLANK('2025'!$S190), 0, 1), 6, if(ISBLANK('2025'!$T190), 0, 1), 7, 0))), 1, "")</f>
        <v/>
      </c>
      <c r="AL192" s="1" t="str">
        <f>IF(AND(AND(AND(AL$4&gt;='2025'!$L190,AL$4&lt;='2025'!$M190), AL$4&lt;&gt;DATE(2025,7,4)), (SWITCH(weekday(AL$4), 1, 0, 2, if(ISBLANK('2025'!$P190), 0, 1), 3, if(ISBLANK('2025'!$Q190), 0, 1), 4, if(ISBLANK('2025'!$R190), 0, 1), 5, if(ISBLANK('2025'!$S190), 0, 1), 6, if(ISBLANK('2025'!$T190), 0, 1), 7, 0))), 1, "")</f>
        <v/>
      </c>
      <c r="AM192" s="1" t="str">
        <f>IF(AND(AND(AND(AM$4&gt;='2025'!$L190,AM$4&lt;='2025'!$M190), AM$4&lt;&gt;DATE(2025,7,4)), (SWITCH(weekday(AM$4), 1, 0, 2, if(ISBLANK('2025'!$P190), 0, 1), 3, if(ISBLANK('2025'!$Q190), 0, 1), 4, if(ISBLANK('2025'!$R190), 0, 1), 5, if(ISBLANK('2025'!$S190), 0, 1), 6, if(ISBLANK('2025'!$T190), 0, 1), 7, 0))), 1, "")</f>
        <v/>
      </c>
      <c r="AN192" s="1" t="str">
        <f>IF(AND(AND(AND(AN$4&gt;='2025'!$L190,AN$4&lt;='2025'!$M190), AN$4&lt;&gt;DATE(2025,7,4)), (SWITCH(weekday(AN$4), 1, 0, 2, if(ISBLANK('2025'!$P190), 0, 1), 3, if(ISBLANK('2025'!$Q190), 0, 1), 4, if(ISBLANK('2025'!$R190), 0, 1), 5, if(ISBLANK('2025'!$S190), 0, 1), 6, if(ISBLANK('2025'!$T190), 0, 1), 7, 0))), 1, "")</f>
        <v/>
      </c>
      <c r="AO192" s="1" t="str">
        <f>IF(AND(AND(AND(AO$4&gt;='2025'!$L190,AO$4&lt;='2025'!$M190), AO$4&lt;&gt;DATE(2025,7,4)), (SWITCH(weekday(AO$4), 1, 0, 2, if(ISBLANK('2025'!$P190), 0, 1), 3, if(ISBLANK('2025'!$Q190), 0, 1), 4, if(ISBLANK('2025'!$R190), 0, 1), 5, if(ISBLANK('2025'!$S190), 0, 1), 6, if(ISBLANK('2025'!$T190), 0, 1), 7, 0))), 1, "")</f>
        <v/>
      </c>
      <c r="AP192" s="1" t="str">
        <f>IF(AND(AND(AND(AP$4&gt;='2025'!$L190,AP$4&lt;='2025'!$M190), AP$4&lt;&gt;DATE(2025,7,4)), (SWITCH(weekday(AP$4), 1, 0, 2, if(ISBLANK('2025'!$P190), 0, 1), 3, if(ISBLANK('2025'!$Q190), 0, 1), 4, if(ISBLANK('2025'!$R190), 0, 1), 5, if(ISBLANK('2025'!$S190), 0, 1), 6, if(ISBLANK('2025'!$T190), 0, 1), 7, 0))), 1, "")</f>
        <v/>
      </c>
      <c r="AQ192" s="1" t="str">
        <f>IF(AND(AND(AND(AQ$4&gt;='2025'!$L190,AQ$4&lt;='2025'!$M190), AQ$4&lt;&gt;DATE(2025,7,4)), (SWITCH(weekday(AQ$4), 1, 0, 2, if(ISBLANK('2025'!$P190), 0, 1), 3, if(ISBLANK('2025'!$Q190), 0, 1), 4, if(ISBLANK('2025'!$R190), 0, 1), 5, if(ISBLANK('2025'!$S190), 0, 1), 6, if(ISBLANK('2025'!$T190), 0, 1), 7, 0))), 1, "")</f>
        <v/>
      </c>
      <c r="AR192" s="1" t="str">
        <f>IF(AND(AND(AND(AR$4&gt;='2025'!$L190,AR$4&lt;='2025'!$M190), AR$4&lt;&gt;DATE(2025,7,4)), (SWITCH(weekday(AR$4), 1, 0, 2, if(ISBLANK('2025'!$P190), 0, 1), 3, if(ISBLANK('2025'!$Q190), 0, 1), 4, if(ISBLANK('2025'!$R190), 0, 1), 5, if(ISBLANK('2025'!$S190), 0, 1), 6, if(ISBLANK('2025'!$T190), 0, 1), 7, 0))), 1, "")</f>
        <v/>
      </c>
      <c r="AS192" s="1" t="str">
        <f>IF(AND(AND(AND(AS$4&gt;='2025'!$L190,AS$4&lt;='2025'!$M190), AS$4&lt;&gt;DATE(2025,7,4)), (SWITCH(weekday(AS$4), 1, 0, 2, if(ISBLANK('2025'!$P190), 0, 1), 3, if(ISBLANK('2025'!$Q190), 0, 1), 4, if(ISBLANK('2025'!$R190), 0, 1), 5, if(ISBLANK('2025'!$S190), 0, 1), 6, if(ISBLANK('2025'!$T190), 0, 1), 7, 0))), 1, "")</f>
        <v/>
      </c>
      <c r="AT192" s="1" t="str">
        <f>IF(AND(AND(AND(AT$4&gt;='2025'!$L190,AT$4&lt;='2025'!$M190), AT$4&lt;&gt;DATE(2025,7,4)), (SWITCH(weekday(AT$4), 1, 0, 2, if(ISBLANK('2025'!$P190), 0, 1), 3, if(ISBLANK('2025'!$Q190), 0, 1), 4, if(ISBLANK('2025'!$R190), 0, 1), 5, if(ISBLANK('2025'!$S190), 0, 1), 6, if(ISBLANK('2025'!$T190), 0, 1), 7, 0))), 1, "")</f>
        <v/>
      </c>
      <c r="AU192" s="1" t="str">
        <f>IF(AND(AND(AND(AU$4&gt;='2025'!$L190,AU$4&lt;='2025'!$M190), AU$4&lt;&gt;DATE(2025,7,4)), (SWITCH(weekday(AU$4), 1, 0, 2, if(ISBLANK('2025'!$P190), 0, 1), 3, if(ISBLANK('2025'!$Q190), 0, 1), 4, if(ISBLANK('2025'!$R190), 0, 1), 5, if(ISBLANK('2025'!$S190), 0, 1), 6, if(ISBLANK('2025'!$T190), 0, 1), 7, 0))), 1, "")</f>
        <v/>
      </c>
      <c r="AV192" s="1" t="str">
        <f>IF(AND(AND(AND(AV$4&gt;='2025'!$L190,AV$4&lt;='2025'!$M190), AV$4&lt;&gt;DATE(2025,7,4)), (SWITCH(weekday(AV$4), 1, 0, 2, if(ISBLANK('2025'!$P190), 0, 1), 3, if(ISBLANK('2025'!$Q190), 0, 1), 4, if(ISBLANK('2025'!$R190), 0, 1), 5, if(ISBLANK('2025'!$S190), 0, 1), 6, if(ISBLANK('2025'!$T190), 0, 1), 7, 0))), 1, "")</f>
        <v/>
      </c>
      <c r="AW192" s="1" t="str">
        <f>IF(AND(AND(AND(AW$4&gt;='2025'!$L190,AW$4&lt;='2025'!$M190), AW$4&lt;&gt;DATE(2025,7,4)), (SWITCH(weekday(AW$4), 1, 0, 2, if(ISBLANK('2025'!$P190), 0, 1), 3, if(ISBLANK('2025'!$Q190), 0, 1), 4, if(ISBLANK('2025'!$R190), 0, 1), 5, if(ISBLANK('2025'!$S190), 0, 1), 6, if(ISBLANK('2025'!$T190), 0, 1), 7, 0))), 1, "")</f>
        <v/>
      </c>
      <c r="AX192" s="1" t="str">
        <f>IF(AND(AND(AND(AX$4&gt;='2025'!$L190,AX$4&lt;='2025'!$M190), AX$4&lt;&gt;DATE(2025,7,4)), (SWITCH(weekday(AX$4), 1, 0, 2, if(ISBLANK('2025'!$P190), 0, 1), 3, if(ISBLANK('2025'!$Q190), 0, 1), 4, if(ISBLANK('2025'!$R190), 0, 1), 5, if(ISBLANK('2025'!$S190), 0, 1), 6, if(ISBLANK('2025'!$T190), 0, 1), 7, 0))), 1, "")</f>
        <v/>
      </c>
      <c r="AY192" s="1" t="str">
        <f>IF(AND(AND(AND(AY$4&gt;='2025'!$L190,AY$4&lt;='2025'!$M190), AY$4&lt;&gt;DATE(2025,7,4)), (SWITCH(weekday(AY$4), 1, 0, 2, if(ISBLANK('2025'!$P190), 0, 1), 3, if(ISBLANK('2025'!$Q190), 0, 1), 4, if(ISBLANK('2025'!$R190), 0, 1), 5, if(ISBLANK('2025'!$S190), 0, 1), 6, if(ISBLANK('2025'!$T190), 0, 1), 7, 0))), 1, "")</f>
        <v/>
      </c>
      <c r="AZ192" s="1" t="str">
        <f>IF(AND(AND(AND(AZ$4&gt;='2025'!$L190,AZ$4&lt;='2025'!$M190), AZ$4&lt;&gt;DATE(2025,7,4)), (SWITCH(weekday(AZ$4), 1, 0, 2, if(ISBLANK('2025'!$P190), 0, 1), 3, if(ISBLANK('2025'!$Q190), 0, 1), 4, if(ISBLANK('2025'!$R190), 0, 1), 5, if(ISBLANK('2025'!$S190), 0, 1), 6, if(ISBLANK('2025'!$T190), 0, 1), 7, 0))), 1, "")</f>
        <v/>
      </c>
      <c r="BA192" s="1" t="str">
        <f>IF(AND(AND(AND(BA$4&gt;='2025'!$L190,BA$4&lt;='2025'!$M190), BA$4&lt;&gt;DATE(2025,7,4)), (SWITCH(weekday(BA$4), 1, 0, 2, if(ISBLANK('2025'!$P190), 0, 1), 3, if(ISBLANK('2025'!$Q190), 0, 1), 4, if(ISBLANK('2025'!$R190), 0, 1), 5, if(ISBLANK('2025'!$S190), 0, 1), 6, if(ISBLANK('2025'!$T190), 0, 1), 7, 0))), 1, "")</f>
        <v/>
      </c>
      <c r="BB192" s="1" t="str">
        <f>IF(AND(AND(AND(BB$4&gt;='2025'!$L190,BB$4&lt;='2025'!$M190), BB$4&lt;&gt;DATE(2025,7,4)), (SWITCH(weekday(BB$4), 1, 0, 2, if(ISBLANK('2025'!$P190), 0, 1), 3, if(ISBLANK('2025'!$Q190), 0, 1), 4, if(ISBLANK('2025'!$R190), 0, 1), 5, if(ISBLANK('2025'!$S190), 0, 1), 6, if(ISBLANK('2025'!$T190), 0, 1), 7, 0))), 1, "")</f>
        <v/>
      </c>
      <c r="BC192" s="1" t="str">
        <f>IF(AND(AND(AND(BC$4&gt;='2025'!$L190,BC$4&lt;='2025'!$M190), BC$4&lt;&gt;DATE(2025,7,4)), (SWITCH(weekday(BC$4), 1, 0, 2, if(ISBLANK('2025'!$P190), 0, 1), 3, if(ISBLANK('2025'!$Q190), 0, 1), 4, if(ISBLANK('2025'!$R190), 0, 1), 5, if(ISBLANK('2025'!$S190), 0, 1), 6, if(ISBLANK('2025'!$T190), 0, 1), 7, 0))), 1, "")</f>
        <v/>
      </c>
      <c r="BD192" s="1" t="str">
        <f>IF(AND(AND(AND(BD$4&gt;='2025'!$L190,BD$4&lt;='2025'!$M190), BD$4&lt;&gt;DATE(2025,7,4)), (SWITCH(weekday(BD$4), 1, 0, 2, if(ISBLANK('2025'!$P190), 0, 1), 3, if(ISBLANK('2025'!$Q190), 0, 1), 4, if(ISBLANK('2025'!$R190), 0, 1), 5, if(ISBLANK('2025'!$S190), 0, 1), 6, if(ISBLANK('2025'!$T190), 0, 1), 7, 0))), 1, "")</f>
        <v/>
      </c>
      <c r="BE192" s="1" t="str">
        <f>IF(AND(AND(AND(BE$4&gt;='2025'!$L190,BE$4&lt;='2025'!$M190), BE$4&lt;&gt;DATE(2025,7,4)), (SWITCH(weekday(BE$4), 1, 0, 2, if(ISBLANK('2025'!$P190), 0, 1), 3, if(ISBLANK('2025'!$Q190), 0, 1), 4, if(ISBLANK('2025'!$R190), 0, 1), 5, if(ISBLANK('2025'!$S190), 0, 1), 6, if(ISBLANK('2025'!$T190), 0, 1), 7, 0))), 1, "")</f>
        <v/>
      </c>
      <c r="BF192" s="1" t="str">
        <f>IF(AND(AND(AND(BF$4&gt;='2025'!$L190,BF$4&lt;='2025'!$M190), BF$4&lt;&gt;DATE(2025,7,4)), (SWITCH(weekday(BF$4), 1, 0, 2, if(ISBLANK('2025'!$P190), 0, 1), 3, if(ISBLANK('2025'!$Q190), 0, 1), 4, if(ISBLANK('2025'!$R190), 0, 1), 5, if(ISBLANK('2025'!$S190), 0, 1), 6, if(ISBLANK('2025'!$T190), 0, 1), 7, 0))), 1, "")</f>
        <v/>
      </c>
      <c r="BG192" s="1"/>
      <c r="BH192" s="1"/>
      <c r="BI192" s="1"/>
      <c r="BJ192" s="1"/>
      <c r="BK192" s="1"/>
      <c r="BL192" s="1"/>
    </row>
    <row r="193">
      <c r="A193" s="1">
        <f t="shared" si="3"/>
        <v>193</v>
      </c>
      <c r="B193" s="1" t="str">
        <f>'2025'!D157</f>
        <v>, </v>
      </c>
      <c r="C193" s="1" t="str">
        <f>'2025'!H157</f>
        <v/>
      </c>
      <c r="D193" s="1" t="str">
        <f>IF(AND(AND(AND(D$4&gt;='2025'!$L191,D$4&lt;='2025'!$M191), D$4&lt;&gt;DATE(2025,7,4)), (SWITCH(weekday(D$4), 1, 0, 2, if(ISBLANK('2025'!$P191), 0, 1), 3, if(ISBLANK('2025'!$Q191), 0, 1), 4, if(ISBLANK('2025'!$R191), 0, 1), 5, if(ISBLANK('2025'!$S191), 0, 1), 6, if(ISBLANK('2025'!$T191), 0, 1), 7, 0))), 1, "")</f>
        <v/>
      </c>
      <c r="E193" s="1" t="str">
        <f>IF(AND(AND(AND(E$4&gt;='2025'!$L191,E$4&lt;='2025'!$M191), E$4&lt;&gt;DATE(2025,7,4)), (SWITCH(weekday(E$4), 1, 0, 2, if(ISBLANK('2025'!$P191), 0, 1), 3, if(ISBLANK('2025'!$Q191), 0, 1), 4, if(ISBLANK('2025'!$R191), 0, 1), 5, if(ISBLANK('2025'!$S191), 0, 1), 6, if(ISBLANK('2025'!$T191), 0, 1), 7, 0))), 1, "")</f>
        <v/>
      </c>
      <c r="F193" s="1" t="str">
        <f>IF(AND(AND(AND(F$4&gt;='2025'!$L191,F$4&lt;='2025'!$M191), F$4&lt;&gt;DATE(2025,7,4)), (SWITCH(weekday(F$4), 1, 0, 2, if(ISBLANK('2025'!$P191), 0, 1), 3, if(ISBLANK('2025'!$Q191), 0, 1), 4, if(ISBLANK('2025'!$R191), 0, 1), 5, if(ISBLANK('2025'!$S191), 0, 1), 6, if(ISBLANK('2025'!$T191), 0, 1), 7, 0))), 1, "")</f>
        <v/>
      </c>
      <c r="G193" s="1" t="str">
        <f>IF(AND(AND(AND(G$4&gt;='2025'!$L191,G$4&lt;='2025'!$M191), G$4&lt;&gt;DATE(2025,7,4)), (SWITCH(weekday(G$4), 1, 0, 2, if(ISBLANK('2025'!$P191), 0, 1), 3, if(ISBLANK('2025'!$Q191), 0, 1), 4, if(ISBLANK('2025'!$R191), 0, 1), 5, if(ISBLANK('2025'!$S191), 0, 1), 6, if(ISBLANK('2025'!$T191), 0, 1), 7, 0))), 1, "")</f>
        <v/>
      </c>
      <c r="H193" s="1" t="str">
        <f>IF(AND(AND(AND(H$4&gt;='2025'!$L191,H$4&lt;='2025'!$M191), H$4&lt;&gt;DATE(2025,7,4)), (SWITCH(weekday(H$4), 1, 0, 2, if(ISBLANK('2025'!$P191), 0, 1), 3, if(ISBLANK('2025'!$Q191), 0, 1), 4, if(ISBLANK('2025'!$R191), 0, 1), 5, if(ISBLANK('2025'!$S191), 0, 1), 6, if(ISBLANK('2025'!$T191), 0, 1), 7, 0))), 1, "")</f>
        <v/>
      </c>
      <c r="I193" s="1" t="str">
        <f>IF(AND(AND(AND(I$4&gt;='2025'!$L191,I$4&lt;='2025'!$M191), I$4&lt;&gt;DATE(2025,7,4)), (SWITCH(weekday(I$4), 1, 0, 2, if(ISBLANK('2025'!$P191), 0, 1), 3, if(ISBLANK('2025'!$Q191), 0, 1), 4, if(ISBLANK('2025'!$R191), 0, 1), 5, if(ISBLANK('2025'!$S191), 0, 1), 6, if(ISBLANK('2025'!$T191), 0, 1), 7, 0))), 1, "")</f>
        <v/>
      </c>
      <c r="J193" s="1" t="str">
        <f>IF(AND(AND(AND(J$4&gt;='2025'!$L191,J$4&lt;='2025'!$M191), J$4&lt;&gt;DATE(2025,7,4)), (SWITCH(weekday(J$4), 1, 0, 2, if(ISBLANK('2025'!$P191), 0, 1), 3, if(ISBLANK('2025'!$Q191), 0, 1), 4, if(ISBLANK('2025'!$R191), 0, 1), 5, if(ISBLANK('2025'!$S191), 0, 1), 6, if(ISBLANK('2025'!$T191), 0, 1), 7, 0))), 1, "")</f>
        <v/>
      </c>
      <c r="K193" s="1" t="str">
        <f>IF(AND(AND(AND(K$4&gt;='2025'!$L191,K$4&lt;='2025'!$M191), K$4&lt;&gt;DATE(2025,7,4)), (SWITCH(weekday(K$4), 1, 0, 2, if(ISBLANK('2025'!$P191), 0, 1), 3, if(ISBLANK('2025'!$Q191), 0, 1), 4, if(ISBLANK('2025'!$R191), 0, 1), 5, if(ISBLANK('2025'!$S191), 0, 1), 6, if(ISBLANK('2025'!$T191), 0, 1), 7, 0))), 1, "")</f>
        <v/>
      </c>
      <c r="L193" s="1" t="str">
        <f>IF(AND(AND(AND(L$4&gt;='2025'!$L191,L$4&lt;='2025'!$M191), L$4&lt;&gt;DATE(2025,7,4)), (SWITCH(weekday(L$4), 1, 0, 2, if(ISBLANK('2025'!$P191), 0, 1), 3, if(ISBLANK('2025'!$Q191), 0, 1), 4, if(ISBLANK('2025'!$R191), 0, 1), 5, if(ISBLANK('2025'!$S191), 0, 1), 6, if(ISBLANK('2025'!$T191), 0, 1), 7, 0))), 1, "")</f>
        <v/>
      </c>
      <c r="M193" s="1" t="str">
        <f>IF(AND(AND(AND(M$4&gt;='2025'!$L191,M$4&lt;='2025'!$M191), M$4&lt;&gt;DATE(2025,7,4)), (SWITCH(weekday(M$4), 1, 0, 2, if(ISBLANK('2025'!$P191), 0, 1), 3, if(ISBLANK('2025'!$Q191), 0, 1), 4, if(ISBLANK('2025'!$R191), 0, 1), 5, if(ISBLANK('2025'!$S191), 0, 1), 6, if(ISBLANK('2025'!$T191), 0, 1), 7, 0))), 1, "")</f>
        <v/>
      </c>
      <c r="N193" s="1" t="str">
        <f>IF(AND(AND(AND(N$4&gt;='2025'!$L191,N$4&lt;='2025'!$M191), N$4&lt;&gt;DATE(2025,7,4)), (SWITCH(weekday(N$4), 1, 0, 2, if(ISBLANK('2025'!$P191), 0, 1), 3, if(ISBLANK('2025'!$Q191), 0, 1), 4, if(ISBLANK('2025'!$R191), 0, 1), 5, if(ISBLANK('2025'!$S191), 0, 1), 6, if(ISBLANK('2025'!$T191), 0, 1), 7, 0))), 1, "")</f>
        <v/>
      </c>
      <c r="O193" s="1" t="str">
        <f>IF(AND(AND(AND(O$4&gt;='2025'!$L191,O$4&lt;='2025'!$M191), O$4&lt;&gt;DATE(2025,7,4)), (SWITCH(weekday(O$4), 1, 0, 2, if(ISBLANK('2025'!$P191), 0, 1), 3, if(ISBLANK('2025'!$Q191), 0, 1), 4, if(ISBLANK('2025'!$R191), 0, 1), 5, if(ISBLANK('2025'!$S191), 0, 1), 6, if(ISBLANK('2025'!$T191), 0, 1), 7, 0))), 1, "")</f>
        <v/>
      </c>
      <c r="P193" s="1" t="str">
        <f>IF(AND(AND(AND(P$4&gt;='2025'!$L191,P$4&lt;='2025'!$M191), P$4&lt;&gt;DATE(2025,7,4)), (SWITCH(weekday(P$4), 1, 0, 2, if(ISBLANK('2025'!$P191), 0, 1), 3, if(ISBLANK('2025'!$Q191), 0, 1), 4, if(ISBLANK('2025'!$R191), 0, 1), 5, if(ISBLANK('2025'!$S191), 0, 1), 6, if(ISBLANK('2025'!$T191), 0, 1), 7, 0))), 1, "")</f>
        <v/>
      </c>
      <c r="Q193" s="1" t="str">
        <f>IF(AND(AND(AND(Q$4&gt;='2025'!$L191,Q$4&lt;='2025'!$M191), Q$4&lt;&gt;DATE(2025,7,4)), (SWITCH(weekday(Q$4), 1, 0, 2, if(ISBLANK('2025'!$P191), 0, 1), 3, if(ISBLANK('2025'!$Q191), 0, 1), 4, if(ISBLANK('2025'!$R191), 0, 1), 5, if(ISBLANK('2025'!$S191), 0, 1), 6, if(ISBLANK('2025'!$T191), 0, 1), 7, 0))), 1, "")</f>
        <v/>
      </c>
      <c r="R193" s="1" t="str">
        <f>IF(AND(AND(AND(R$4&gt;='2025'!$L191,R$4&lt;='2025'!$M191), R$4&lt;&gt;DATE(2025,7,4)), (SWITCH(weekday(R$4), 1, 0, 2, if(ISBLANK('2025'!$P191), 0, 1), 3, if(ISBLANK('2025'!$Q191), 0, 1), 4, if(ISBLANK('2025'!$R191), 0, 1), 5, if(ISBLANK('2025'!$S191), 0, 1), 6, if(ISBLANK('2025'!$T191), 0, 1), 7, 0))), 1, "")</f>
        <v/>
      </c>
      <c r="S193" s="1" t="str">
        <f>IF(AND(AND(AND(S$4&gt;='2025'!$L191,S$4&lt;='2025'!$M191), S$4&lt;&gt;DATE(2025,7,4)), (SWITCH(weekday(S$4), 1, 0, 2, if(ISBLANK('2025'!$P191), 0, 1), 3, if(ISBLANK('2025'!$Q191), 0, 1), 4, if(ISBLANK('2025'!$R191), 0, 1), 5, if(ISBLANK('2025'!$S191), 0, 1), 6, if(ISBLANK('2025'!$T191), 0, 1), 7, 0))), 1, "")</f>
        <v/>
      </c>
      <c r="T193" s="1" t="str">
        <f>IF(AND(AND(AND(T$4&gt;='2025'!$L191,T$4&lt;='2025'!$M191), T$4&lt;&gt;DATE(2025,7,4)), (SWITCH(weekday(T$4), 1, 0, 2, if(ISBLANK('2025'!$P191), 0, 1), 3, if(ISBLANK('2025'!$Q191), 0, 1), 4, if(ISBLANK('2025'!$R191), 0, 1), 5, if(ISBLANK('2025'!$S191), 0, 1), 6, if(ISBLANK('2025'!$T191), 0, 1), 7, 0))), 1, "")</f>
        <v/>
      </c>
      <c r="U193" s="1" t="str">
        <f>IF(AND(AND(AND(U$4&gt;='2025'!$L191,U$4&lt;='2025'!$M191), U$4&lt;&gt;DATE(2025,7,4)), (SWITCH(weekday(U$4), 1, 0, 2, if(ISBLANK('2025'!$P191), 0, 1), 3, if(ISBLANK('2025'!$Q191), 0, 1), 4, if(ISBLANK('2025'!$R191), 0, 1), 5, if(ISBLANK('2025'!$S191), 0, 1), 6, if(ISBLANK('2025'!$T191), 0, 1), 7, 0))), 1, "")</f>
        <v/>
      </c>
      <c r="V193" s="1" t="str">
        <f>IF(AND(AND(AND(V$4&gt;='2025'!$L191,V$4&lt;='2025'!$M191), V$4&lt;&gt;DATE(2025,7,4)), (SWITCH(weekday(V$4), 1, 0, 2, if(ISBLANK('2025'!$P191), 0, 1), 3, if(ISBLANK('2025'!$Q191), 0, 1), 4, if(ISBLANK('2025'!$R191), 0, 1), 5, if(ISBLANK('2025'!$S191), 0, 1), 6, if(ISBLANK('2025'!$T191), 0, 1), 7, 0))), 1, "")</f>
        <v/>
      </c>
      <c r="W193" s="1" t="str">
        <f>IF(AND(AND(AND(W$4&gt;='2025'!$L191,W$4&lt;='2025'!$M191), W$4&lt;&gt;DATE(2025,7,4)), (SWITCH(weekday(W$4), 1, 0, 2, if(ISBLANK('2025'!$P191), 0, 1), 3, if(ISBLANK('2025'!$Q191), 0, 1), 4, if(ISBLANK('2025'!$R191), 0, 1), 5, if(ISBLANK('2025'!$S191), 0, 1), 6, if(ISBLANK('2025'!$T191), 0, 1), 7, 0))), 1, "")</f>
        <v/>
      </c>
      <c r="X193" s="1" t="str">
        <f>IF(AND(AND(AND(X$4&gt;='2025'!$L191,X$4&lt;='2025'!$M191), X$4&lt;&gt;DATE(2025,7,4)), (SWITCH(weekday(X$4), 1, 0, 2, if(ISBLANK('2025'!$P191), 0, 1), 3, if(ISBLANK('2025'!$Q191), 0, 1), 4, if(ISBLANK('2025'!$R191), 0, 1), 5, if(ISBLANK('2025'!$S191), 0, 1), 6, if(ISBLANK('2025'!$T191), 0, 1), 7, 0))), 1, "")</f>
        <v/>
      </c>
      <c r="Y193" s="1" t="str">
        <f>IF(AND(AND(AND(Y$4&gt;='2025'!$L191,Y$4&lt;='2025'!$M191), Y$4&lt;&gt;DATE(2025,7,4)), (SWITCH(weekday(Y$4), 1, 0, 2, if(ISBLANK('2025'!$P191), 0, 1), 3, if(ISBLANK('2025'!$Q191), 0, 1), 4, if(ISBLANK('2025'!$R191), 0, 1), 5, if(ISBLANK('2025'!$S191), 0, 1), 6, if(ISBLANK('2025'!$T191), 0, 1), 7, 0))), 1, "")</f>
        <v/>
      </c>
      <c r="Z193" s="1" t="str">
        <f>IF(AND(AND(AND(Z$4&gt;='2025'!$L191,Z$4&lt;='2025'!$M191), Z$4&lt;&gt;DATE(2025,7,4)), (SWITCH(weekday(Z$4), 1, 0, 2, if(ISBLANK('2025'!$P191), 0, 1), 3, if(ISBLANK('2025'!$Q191), 0, 1), 4, if(ISBLANK('2025'!$R191), 0, 1), 5, if(ISBLANK('2025'!$S191), 0, 1), 6, if(ISBLANK('2025'!$T191), 0, 1), 7, 0))), 1, "")</f>
        <v/>
      </c>
      <c r="AA193" s="1" t="str">
        <f>IF(AND(AND(AND(AA$4&gt;='2025'!$L191,AA$4&lt;='2025'!$M191), AA$4&lt;&gt;DATE(2025,7,4)), (SWITCH(weekday(AA$4), 1, 0, 2, if(ISBLANK('2025'!$P191), 0, 1), 3, if(ISBLANK('2025'!$Q191), 0, 1), 4, if(ISBLANK('2025'!$R191), 0, 1), 5, if(ISBLANK('2025'!$S191), 0, 1), 6, if(ISBLANK('2025'!$T191), 0, 1), 7, 0))), 1, "")</f>
        <v/>
      </c>
      <c r="AB193" s="1" t="str">
        <f>IF(AND(AND(AND(AB$4&gt;='2025'!$L191,AB$4&lt;='2025'!$M191), AB$4&lt;&gt;DATE(2025,7,4)), (SWITCH(weekday(AB$4), 1, 0, 2, if(ISBLANK('2025'!$P191), 0, 1), 3, if(ISBLANK('2025'!$Q191), 0, 1), 4, if(ISBLANK('2025'!$R191), 0, 1), 5, if(ISBLANK('2025'!$S191), 0, 1), 6, if(ISBLANK('2025'!$T191), 0, 1), 7, 0))), 1, "")</f>
        <v/>
      </c>
      <c r="AC193" s="1" t="str">
        <f>IF(AND(AND(AND(AC$4&gt;='2025'!$L191,AC$4&lt;='2025'!$M191), AC$4&lt;&gt;DATE(2025,7,4)), (SWITCH(weekday(AC$4), 1, 0, 2, if(ISBLANK('2025'!$P191), 0, 1), 3, if(ISBLANK('2025'!$Q191), 0, 1), 4, if(ISBLANK('2025'!$R191), 0, 1), 5, if(ISBLANK('2025'!$S191), 0, 1), 6, if(ISBLANK('2025'!$T191), 0, 1), 7, 0))), 1, "")</f>
        <v/>
      </c>
      <c r="AD193" s="1" t="str">
        <f>IF(AND(AND(AND(AD$4&gt;='2025'!$L191,AD$4&lt;='2025'!$M191), AD$4&lt;&gt;DATE(2025,7,4)), (SWITCH(weekday(AD$4), 1, 0, 2, if(ISBLANK('2025'!$P191), 0, 1), 3, if(ISBLANK('2025'!$Q191), 0, 1), 4, if(ISBLANK('2025'!$R191), 0, 1), 5, if(ISBLANK('2025'!$S191), 0, 1), 6, if(ISBLANK('2025'!$T191), 0, 1), 7, 0))), 1, "")</f>
        <v/>
      </c>
      <c r="AE193" s="1" t="str">
        <f>IF(AND(AND(AND(AE$4&gt;='2025'!$L191,AE$4&lt;='2025'!$M191), AE$4&lt;&gt;DATE(2025,7,4)), (SWITCH(weekday(AE$4), 1, 0, 2, if(ISBLANK('2025'!$P191), 0, 1), 3, if(ISBLANK('2025'!$Q191), 0, 1), 4, if(ISBLANK('2025'!$R191), 0, 1), 5, if(ISBLANK('2025'!$S191), 0, 1), 6, if(ISBLANK('2025'!$T191), 0, 1), 7, 0))), 1, "")</f>
        <v/>
      </c>
      <c r="AF193" s="1" t="str">
        <f>IF(AND(AND(AND(AF$4&gt;='2025'!$L191,AF$4&lt;='2025'!$M191), AF$4&lt;&gt;DATE(2025,7,4)), (SWITCH(weekday(AF$4), 1, 0, 2, if(ISBLANK('2025'!$P191), 0, 1), 3, if(ISBLANK('2025'!$Q191), 0, 1), 4, if(ISBLANK('2025'!$R191), 0, 1), 5, if(ISBLANK('2025'!$S191), 0, 1), 6, if(ISBLANK('2025'!$T191), 0, 1), 7, 0))), 1, "")</f>
        <v/>
      </c>
      <c r="AG193" s="1" t="str">
        <f>IF(AND(AND(AND(AG$4&gt;='2025'!$L191,AG$4&lt;='2025'!$M191), AG$4&lt;&gt;DATE(2025,7,4)), (SWITCH(weekday(AG$4), 1, 0, 2, if(ISBLANK('2025'!$P191), 0, 1), 3, if(ISBLANK('2025'!$Q191), 0, 1), 4, if(ISBLANK('2025'!$R191), 0, 1), 5, if(ISBLANK('2025'!$S191), 0, 1), 6, if(ISBLANK('2025'!$T191), 0, 1), 7, 0))), 1, "")</f>
        <v/>
      </c>
      <c r="AH193" s="1" t="str">
        <f>IF(AND(AND(AND(AH$4&gt;='2025'!$L191,AH$4&lt;='2025'!$M191), AH$4&lt;&gt;DATE(2025,7,4)), (SWITCH(weekday(AH$4), 1, 0, 2, if(ISBLANK('2025'!$P191), 0, 1), 3, if(ISBLANK('2025'!$Q191), 0, 1), 4, if(ISBLANK('2025'!$R191), 0, 1), 5, if(ISBLANK('2025'!$S191), 0, 1), 6, if(ISBLANK('2025'!$T191), 0, 1), 7, 0))), 1, "")</f>
        <v/>
      </c>
      <c r="AI193" s="1" t="str">
        <f>IF(AND(AND(AND(AI$4&gt;='2025'!$L191,AI$4&lt;='2025'!$M191), AI$4&lt;&gt;DATE(2025,7,4)), (SWITCH(weekday(AI$4), 1, 0, 2, if(ISBLANK('2025'!$P191), 0, 1), 3, if(ISBLANK('2025'!$Q191), 0, 1), 4, if(ISBLANK('2025'!$R191), 0, 1), 5, if(ISBLANK('2025'!$S191), 0, 1), 6, if(ISBLANK('2025'!$T191), 0, 1), 7, 0))), 1, "")</f>
        <v/>
      </c>
      <c r="AJ193" s="1" t="str">
        <f>IF(AND(AND(AND(AJ$4&gt;='2025'!$L191,AJ$4&lt;='2025'!$M191), AJ$4&lt;&gt;DATE(2025,7,4)), (SWITCH(weekday(AJ$4), 1, 0, 2, if(ISBLANK('2025'!$P191), 0, 1), 3, if(ISBLANK('2025'!$Q191), 0, 1), 4, if(ISBLANK('2025'!$R191), 0, 1), 5, if(ISBLANK('2025'!$S191), 0, 1), 6, if(ISBLANK('2025'!$T191), 0, 1), 7, 0))), 1, "")</f>
        <v/>
      </c>
      <c r="AK193" s="1" t="str">
        <f>IF(AND(AND(AND(AK$4&gt;='2025'!$L191,AK$4&lt;='2025'!$M191), AK$4&lt;&gt;DATE(2025,7,4)), (SWITCH(weekday(AK$4), 1, 0, 2, if(ISBLANK('2025'!$P191), 0, 1), 3, if(ISBLANK('2025'!$Q191), 0, 1), 4, if(ISBLANK('2025'!$R191), 0, 1), 5, if(ISBLANK('2025'!$S191), 0, 1), 6, if(ISBLANK('2025'!$T191), 0, 1), 7, 0))), 1, "")</f>
        <v/>
      </c>
      <c r="AL193" s="1" t="str">
        <f>IF(AND(AND(AND(AL$4&gt;='2025'!$L191,AL$4&lt;='2025'!$M191), AL$4&lt;&gt;DATE(2025,7,4)), (SWITCH(weekday(AL$4), 1, 0, 2, if(ISBLANK('2025'!$P191), 0, 1), 3, if(ISBLANK('2025'!$Q191), 0, 1), 4, if(ISBLANK('2025'!$R191), 0, 1), 5, if(ISBLANK('2025'!$S191), 0, 1), 6, if(ISBLANK('2025'!$T191), 0, 1), 7, 0))), 1, "")</f>
        <v/>
      </c>
      <c r="AM193" s="1" t="str">
        <f>IF(AND(AND(AND(AM$4&gt;='2025'!$L191,AM$4&lt;='2025'!$M191), AM$4&lt;&gt;DATE(2025,7,4)), (SWITCH(weekday(AM$4), 1, 0, 2, if(ISBLANK('2025'!$P191), 0, 1), 3, if(ISBLANK('2025'!$Q191), 0, 1), 4, if(ISBLANK('2025'!$R191), 0, 1), 5, if(ISBLANK('2025'!$S191), 0, 1), 6, if(ISBLANK('2025'!$T191), 0, 1), 7, 0))), 1, "")</f>
        <v/>
      </c>
      <c r="AN193" s="1" t="str">
        <f>IF(AND(AND(AND(AN$4&gt;='2025'!$L191,AN$4&lt;='2025'!$M191), AN$4&lt;&gt;DATE(2025,7,4)), (SWITCH(weekday(AN$4), 1, 0, 2, if(ISBLANK('2025'!$P191), 0, 1), 3, if(ISBLANK('2025'!$Q191), 0, 1), 4, if(ISBLANK('2025'!$R191), 0, 1), 5, if(ISBLANK('2025'!$S191), 0, 1), 6, if(ISBLANK('2025'!$T191), 0, 1), 7, 0))), 1, "")</f>
        <v/>
      </c>
      <c r="AO193" s="1" t="str">
        <f>IF(AND(AND(AND(AO$4&gt;='2025'!$L191,AO$4&lt;='2025'!$M191), AO$4&lt;&gt;DATE(2025,7,4)), (SWITCH(weekday(AO$4), 1, 0, 2, if(ISBLANK('2025'!$P191), 0, 1), 3, if(ISBLANK('2025'!$Q191), 0, 1), 4, if(ISBLANK('2025'!$R191), 0, 1), 5, if(ISBLANK('2025'!$S191), 0, 1), 6, if(ISBLANK('2025'!$T191), 0, 1), 7, 0))), 1, "")</f>
        <v/>
      </c>
      <c r="AP193" s="1" t="str">
        <f>IF(AND(AND(AND(AP$4&gt;='2025'!$L191,AP$4&lt;='2025'!$M191), AP$4&lt;&gt;DATE(2025,7,4)), (SWITCH(weekday(AP$4), 1, 0, 2, if(ISBLANK('2025'!$P191), 0, 1), 3, if(ISBLANK('2025'!$Q191), 0, 1), 4, if(ISBLANK('2025'!$R191), 0, 1), 5, if(ISBLANK('2025'!$S191), 0, 1), 6, if(ISBLANK('2025'!$T191), 0, 1), 7, 0))), 1, "")</f>
        <v/>
      </c>
      <c r="AQ193" s="1" t="str">
        <f>IF(AND(AND(AND(AQ$4&gt;='2025'!$L191,AQ$4&lt;='2025'!$M191), AQ$4&lt;&gt;DATE(2025,7,4)), (SWITCH(weekday(AQ$4), 1, 0, 2, if(ISBLANK('2025'!$P191), 0, 1), 3, if(ISBLANK('2025'!$Q191), 0, 1), 4, if(ISBLANK('2025'!$R191), 0, 1), 5, if(ISBLANK('2025'!$S191), 0, 1), 6, if(ISBLANK('2025'!$T191), 0, 1), 7, 0))), 1, "")</f>
        <v/>
      </c>
      <c r="AR193" s="1" t="str">
        <f>IF(AND(AND(AND(AR$4&gt;='2025'!$L191,AR$4&lt;='2025'!$M191), AR$4&lt;&gt;DATE(2025,7,4)), (SWITCH(weekday(AR$4), 1, 0, 2, if(ISBLANK('2025'!$P191), 0, 1), 3, if(ISBLANK('2025'!$Q191), 0, 1), 4, if(ISBLANK('2025'!$R191), 0, 1), 5, if(ISBLANK('2025'!$S191), 0, 1), 6, if(ISBLANK('2025'!$T191), 0, 1), 7, 0))), 1, "")</f>
        <v/>
      </c>
      <c r="AS193" s="1" t="str">
        <f>IF(AND(AND(AND(AS$4&gt;='2025'!$L191,AS$4&lt;='2025'!$M191), AS$4&lt;&gt;DATE(2025,7,4)), (SWITCH(weekday(AS$4), 1, 0, 2, if(ISBLANK('2025'!$P191), 0, 1), 3, if(ISBLANK('2025'!$Q191), 0, 1), 4, if(ISBLANK('2025'!$R191), 0, 1), 5, if(ISBLANK('2025'!$S191), 0, 1), 6, if(ISBLANK('2025'!$T191), 0, 1), 7, 0))), 1, "")</f>
        <v/>
      </c>
      <c r="AT193" s="1" t="str">
        <f>IF(AND(AND(AND(AT$4&gt;='2025'!$L191,AT$4&lt;='2025'!$M191), AT$4&lt;&gt;DATE(2025,7,4)), (SWITCH(weekday(AT$4), 1, 0, 2, if(ISBLANK('2025'!$P191), 0, 1), 3, if(ISBLANK('2025'!$Q191), 0, 1), 4, if(ISBLANK('2025'!$R191), 0, 1), 5, if(ISBLANK('2025'!$S191), 0, 1), 6, if(ISBLANK('2025'!$T191), 0, 1), 7, 0))), 1, "")</f>
        <v/>
      </c>
      <c r="AU193" s="1" t="str">
        <f>IF(AND(AND(AND(AU$4&gt;='2025'!$L191,AU$4&lt;='2025'!$M191), AU$4&lt;&gt;DATE(2025,7,4)), (SWITCH(weekday(AU$4), 1, 0, 2, if(ISBLANK('2025'!$P191), 0, 1), 3, if(ISBLANK('2025'!$Q191), 0, 1), 4, if(ISBLANK('2025'!$R191), 0, 1), 5, if(ISBLANK('2025'!$S191), 0, 1), 6, if(ISBLANK('2025'!$T191), 0, 1), 7, 0))), 1, "")</f>
        <v/>
      </c>
      <c r="AV193" s="1" t="str">
        <f>IF(AND(AND(AND(AV$4&gt;='2025'!$L191,AV$4&lt;='2025'!$M191), AV$4&lt;&gt;DATE(2025,7,4)), (SWITCH(weekday(AV$4), 1, 0, 2, if(ISBLANK('2025'!$P191), 0, 1), 3, if(ISBLANK('2025'!$Q191), 0, 1), 4, if(ISBLANK('2025'!$R191), 0, 1), 5, if(ISBLANK('2025'!$S191), 0, 1), 6, if(ISBLANK('2025'!$T191), 0, 1), 7, 0))), 1, "")</f>
        <v/>
      </c>
      <c r="AW193" s="1" t="str">
        <f>IF(AND(AND(AND(AW$4&gt;='2025'!$L191,AW$4&lt;='2025'!$M191), AW$4&lt;&gt;DATE(2025,7,4)), (SWITCH(weekday(AW$4), 1, 0, 2, if(ISBLANK('2025'!$P191), 0, 1), 3, if(ISBLANK('2025'!$Q191), 0, 1), 4, if(ISBLANK('2025'!$R191), 0, 1), 5, if(ISBLANK('2025'!$S191), 0, 1), 6, if(ISBLANK('2025'!$T191), 0, 1), 7, 0))), 1, "")</f>
        <v/>
      </c>
      <c r="AX193" s="1" t="str">
        <f>IF(AND(AND(AND(AX$4&gt;='2025'!$L191,AX$4&lt;='2025'!$M191), AX$4&lt;&gt;DATE(2025,7,4)), (SWITCH(weekday(AX$4), 1, 0, 2, if(ISBLANK('2025'!$P191), 0, 1), 3, if(ISBLANK('2025'!$Q191), 0, 1), 4, if(ISBLANK('2025'!$R191), 0, 1), 5, if(ISBLANK('2025'!$S191), 0, 1), 6, if(ISBLANK('2025'!$T191), 0, 1), 7, 0))), 1, "")</f>
        <v/>
      </c>
      <c r="AY193" s="1" t="str">
        <f>IF(AND(AND(AND(AY$4&gt;='2025'!$L191,AY$4&lt;='2025'!$M191), AY$4&lt;&gt;DATE(2025,7,4)), (SWITCH(weekday(AY$4), 1, 0, 2, if(ISBLANK('2025'!$P191), 0, 1), 3, if(ISBLANK('2025'!$Q191), 0, 1), 4, if(ISBLANK('2025'!$R191), 0, 1), 5, if(ISBLANK('2025'!$S191), 0, 1), 6, if(ISBLANK('2025'!$T191), 0, 1), 7, 0))), 1, "")</f>
        <v/>
      </c>
      <c r="AZ193" s="1" t="str">
        <f>IF(AND(AND(AND(AZ$4&gt;='2025'!$L191,AZ$4&lt;='2025'!$M191), AZ$4&lt;&gt;DATE(2025,7,4)), (SWITCH(weekday(AZ$4), 1, 0, 2, if(ISBLANK('2025'!$P191), 0, 1), 3, if(ISBLANK('2025'!$Q191), 0, 1), 4, if(ISBLANK('2025'!$R191), 0, 1), 5, if(ISBLANK('2025'!$S191), 0, 1), 6, if(ISBLANK('2025'!$T191), 0, 1), 7, 0))), 1, "")</f>
        <v/>
      </c>
      <c r="BA193" s="1" t="str">
        <f>IF(AND(AND(AND(BA$4&gt;='2025'!$L191,BA$4&lt;='2025'!$M191), BA$4&lt;&gt;DATE(2025,7,4)), (SWITCH(weekday(BA$4), 1, 0, 2, if(ISBLANK('2025'!$P191), 0, 1), 3, if(ISBLANK('2025'!$Q191), 0, 1), 4, if(ISBLANK('2025'!$R191), 0, 1), 5, if(ISBLANK('2025'!$S191), 0, 1), 6, if(ISBLANK('2025'!$T191), 0, 1), 7, 0))), 1, "")</f>
        <v/>
      </c>
      <c r="BB193" s="1" t="str">
        <f>IF(AND(AND(AND(BB$4&gt;='2025'!$L191,BB$4&lt;='2025'!$M191), BB$4&lt;&gt;DATE(2025,7,4)), (SWITCH(weekday(BB$4), 1, 0, 2, if(ISBLANK('2025'!$P191), 0, 1), 3, if(ISBLANK('2025'!$Q191), 0, 1), 4, if(ISBLANK('2025'!$R191), 0, 1), 5, if(ISBLANK('2025'!$S191), 0, 1), 6, if(ISBLANK('2025'!$T191), 0, 1), 7, 0))), 1, "")</f>
        <v/>
      </c>
      <c r="BC193" s="1" t="str">
        <f>IF(AND(AND(AND(BC$4&gt;='2025'!$L191,BC$4&lt;='2025'!$M191), BC$4&lt;&gt;DATE(2025,7,4)), (SWITCH(weekday(BC$4), 1, 0, 2, if(ISBLANK('2025'!$P191), 0, 1), 3, if(ISBLANK('2025'!$Q191), 0, 1), 4, if(ISBLANK('2025'!$R191), 0, 1), 5, if(ISBLANK('2025'!$S191), 0, 1), 6, if(ISBLANK('2025'!$T191), 0, 1), 7, 0))), 1, "")</f>
        <v/>
      </c>
      <c r="BD193" s="1" t="str">
        <f>IF(AND(AND(AND(BD$4&gt;='2025'!$L191,BD$4&lt;='2025'!$M191), BD$4&lt;&gt;DATE(2025,7,4)), (SWITCH(weekday(BD$4), 1, 0, 2, if(ISBLANK('2025'!$P191), 0, 1), 3, if(ISBLANK('2025'!$Q191), 0, 1), 4, if(ISBLANK('2025'!$R191), 0, 1), 5, if(ISBLANK('2025'!$S191), 0, 1), 6, if(ISBLANK('2025'!$T191), 0, 1), 7, 0))), 1, "")</f>
        <v/>
      </c>
      <c r="BE193" s="1" t="str">
        <f>IF(AND(AND(AND(BE$4&gt;='2025'!$L191,BE$4&lt;='2025'!$M191), BE$4&lt;&gt;DATE(2025,7,4)), (SWITCH(weekday(BE$4), 1, 0, 2, if(ISBLANK('2025'!$P191), 0, 1), 3, if(ISBLANK('2025'!$Q191), 0, 1), 4, if(ISBLANK('2025'!$R191), 0, 1), 5, if(ISBLANK('2025'!$S191), 0, 1), 6, if(ISBLANK('2025'!$T191), 0, 1), 7, 0))), 1, "")</f>
        <v/>
      </c>
      <c r="BF193" s="1" t="str">
        <f>IF(AND(AND(AND(BF$4&gt;='2025'!$L191,BF$4&lt;='2025'!$M191), BF$4&lt;&gt;DATE(2025,7,4)), (SWITCH(weekday(BF$4), 1, 0, 2, if(ISBLANK('2025'!$P191), 0, 1), 3, if(ISBLANK('2025'!$Q191), 0, 1), 4, if(ISBLANK('2025'!$R191), 0, 1), 5, if(ISBLANK('2025'!$S191), 0, 1), 6, if(ISBLANK('2025'!$T191), 0, 1), 7, 0))), 1, "")</f>
        <v/>
      </c>
      <c r="BG193" s="1"/>
      <c r="BH193" s="1"/>
      <c r="BI193" s="1"/>
      <c r="BJ193" s="1"/>
      <c r="BK193" s="1"/>
      <c r="BL193" s="1"/>
    </row>
    <row r="194">
      <c r="A194" s="1">
        <f t="shared" si="3"/>
        <v>194</v>
      </c>
      <c r="B194" s="1" t="str">
        <f>'2025'!D158</f>
        <v>, </v>
      </c>
      <c r="C194" s="1" t="str">
        <f>'2025'!H158</f>
        <v/>
      </c>
      <c r="D194" s="1" t="str">
        <f>IF(AND(AND(AND(D$4&gt;='2025'!$L192,D$4&lt;='2025'!$M192), D$4&lt;&gt;DATE(2025,7,4)), (SWITCH(weekday(D$4), 1, 0, 2, if(ISBLANK('2025'!$P192), 0, 1), 3, if(ISBLANK('2025'!$Q192), 0, 1), 4, if(ISBLANK('2025'!$R192), 0, 1), 5, if(ISBLANK('2025'!$S192), 0, 1), 6, if(ISBLANK('2025'!$T192), 0, 1), 7, 0))), 1, "")</f>
        <v/>
      </c>
      <c r="E194" s="1" t="str">
        <f>IF(AND(AND(AND(E$4&gt;='2025'!$L192,E$4&lt;='2025'!$M192), E$4&lt;&gt;DATE(2025,7,4)), (SWITCH(weekday(E$4), 1, 0, 2, if(ISBLANK('2025'!$P192), 0, 1), 3, if(ISBLANK('2025'!$Q192), 0, 1), 4, if(ISBLANK('2025'!$R192), 0, 1), 5, if(ISBLANK('2025'!$S192), 0, 1), 6, if(ISBLANK('2025'!$T192), 0, 1), 7, 0))), 1, "")</f>
        <v/>
      </c>
      <c r="F194" s="1" t="str">
        <f>IF(AND(AND(AND(F$4&gt;='2025'!$L192,F$4&lt;='2025'!$M192), F$4&lt;&gt;DATE(2025,7,4)), (SWITCH(weekday(F$4), 1, 0, 2, if(ISBLANK('2025'!$P192), 0, 1), 3, if(ISBLANK('2025'!$Q192), 0, 1), 4, if(ISBLANK('2025'!$R192), 0, 1), 5, if(ISBLANK('2025'!$S192), 0, 1), 6, if(ISBLANK('2025'!$T192), 0, 1), 7, 0))), 1, "")</f>
        <v/>
      </c>
      <c r="G194" s="1" t="str">
        <f>IF(AND(AND(AND(G$4&gt;='2025'!$L192,G$4&lt;='2025'!$M192), G$4&lt;&gt;DATE(2025,7,4)), (SWITCH(weekday(G$4), 1, 0, 2, if(ISBLANK('2025'!$P192), 0, 1), 3, if(ISBLANK('2025'!$Q192), 0, 1), 4, if(ISBLANK('2025'!$R192), 0, 1), 5, if(ISBLANK('2025'!$S192), 0, 1), 6, if(ISBLANK('2025'!$T192), 0, 1), 7, 0))), 1, "")</f>
        <v/>
      </c>
      <c r="H194" s="1" t="str">
        <f>IF(AND(AND(AND(H$4&gt;='2025'!$L192,H$4&lt;='2025'!$M192), H$4&lt;&gt;DATE(2025,7,4)), (SWITCH(weekday(H$4), 1, 0, 2, if(ISBLANK('2025'!$P192), 0, 1), 3, if(ISBLANK('2025'!$Q192), 0, 1), 4, if(ISBLANK('2025'!$R192), 0, 1), 5, if(ISBLANK('2025'!$S192), 0, 1), 6, if(ISBLANK('2025'!$T192), 0, 1), 7, 0))), 1, "")</f>
        <v/>
      </c>
      <c r="I194" s="1" t="str">
        <f>IF(AND(AND(AND(I$4&gt;='2025'!$L192,I$4&lt;='2025'!$M192), I$4&lt;&gt;DATE(2025,7,4)), (SWITCH(weekday(I$4), 1, 0, 2, if(ISBLANK('2025'!$P192), 0, 1), 3, if(ISBLANK('2025'!$Q192), 0, 1), 4, if(ISBLANK('2025'!$R192), 0, 1), 5, if(ISBLANK('2025'!$S192), 0, 1), 6, if(ISBLANK('2025'!$T192), 0, 1), 7, 0))), 1, "")</f>
        <v/>
      </c>
      <c r="J194" s="1" t="str">
        <f>IF(AND(AND(AND(J$4&gt;='2025'!$L192,J$4&lt;='2025'!$M192), J$4&lt;&gt;DATE(2025,7,4)), (SWITCH(weekday(J$4), 1, 0, 2, if(ISBLANK('2025'!$P192), 0, 1), 3, if(ISBLANK('2025'!$Q192), 0, 1), 4, if(ISBLANK('2025'!$R192), 0, 1), 5, if(ISBLANK('2025'!$S192), 0, 1), 6, if(ISBLANK('2025'!$T192), 0, 1), 7, 0))), 1, "")</f>
        <v/>
      </c>
      <c r="K194" s="1" t="str">
        <f>IF(AND(AND(AND(K$4&gt;='2025'!$L192,K$4&lt;='2025'!$M192), K$4&lt;&gt;DATE(2025,7,4)), (SWITCH(weekday(K$4), 1, 0, 2, if(ISBLANK('2025'!$P192), 0, 1), 3, if(ISBLANK('2025'!$Q192), 0, 1), 4, if(ISBLANK('2025'!$R192), 0, 1), 5, if(ISBLANK('2025'!$S192), 0, 1), 6, if(ISBLANK('2025'!$T192), 0, 1), 7, 0))), 1, "")</f>
        <v/>
      </c>
      <c r="L194" s="1" t="str">
        <f>IF(AND(AND(AND(L$4&gt;='2025'!$L192,L$4&lt;='2025'!$M192), L$4&lt;&gt;DATE(2025,7,4)), (SWITCH(weekday(L$4), 1, 0, 2, if(ISBLANK('2025'!$P192), 0, 1), 3, if(ISBLANK('2025'!$Q192), 0, 1), 4, if(ISBLANK('2025'!$R192), 0, 1), 5, if(ISBLANK('2025'!$S192), 0, 1), 6, if(ISBLANK('2025'!$T192), 0, 1), 7, 0))), 1, "")</f>
        <v/>
      </c>
      <c r="M194" s="1" t="str">
        <f>IF(AND(AND(AND(M$4&gt;='2025'!$L192,M$4&lt;='2025'!$M192), M$4&lt;&gt;DATE(2025,7,4)), (SWITCH(weekday(M$4), 1, 0, 2, if(ISBLANK('2025'!$P192), 0, 1), 3, if(ISBLANK('2025'!$Q192), 0, 1), 4, if(ISBLANK('2025'!$R192), 0, 1), 5, if(ISBLANK('2025'!$S192), 0, 1), 6, if(ISBLANK('2025'!$T192), 0, 1), 7, 0))), 1, "")</f>
        <v/>
      </c>
      <c r="N194" s="1" t="str">
        <f>IF(AND(AND(AND(N$4&gt;='2025'!$L192,N$4&lt;='2025'!$M192), N$4&lt;&gt;DATE(2025,7,4)), (SWITCH(weekday(N$4), 1, 0, 2, if(ISBLANK('2025'!$P192), 0, 1), 3, if(ISBLANK('2025'!$Q192), 0, 1), 4, if(ISBLANK('2025'!$R192), 0, 1), 5, if(ISBLANK('2025'!$S192), 0, 1), 6, if(ISBLANK('2025'!$T192), 0, 1), 7, 0))), 1, "")</f>
        <v/>
      </c>
      <c r="O194" s="1" t="str">
        <f>IF(AND(AND(AND(O$4&gt;='2025'!$L192,O$4&lt;='2025'!$M192), O$4&lt;&gt;DATE(2025,7,4)), (SWITCH(weekday(O$4), 1, 0, 2, if(ISBLANK('2025'!$P192), 0, 1), 3, if(ISBLANK('2025'!$Q192), 0, 1), 4, if(ISBLANK('2025'!$R192), 0, 1), 5, if(ISBLANK('2025'!$S192), 0, 1), 6, if(ISBLANK('2025'!$T192), 0, 1), 7, 0))), 1, "")</f>
        <v/>
      </c>
      <c r="P194" s="1" t="str">
        <f>IF(AND(AND(AND(P$4&gt;='2025'!$L192,P$4&lt;='2025'!$M192), P$4&lt;&gt;DATE(2025,7,4)), (SWITCH(weekday(P$4), 1, 0, 2, if(ISBLANK('2025'!$P192), 0, 1), 3, if(ISBLANK('2025'!$Q192), 0, 1), 4, if(ISBLANK('2025'!$R192), 0, 1), 5, if(ISBLANK('2025'!$S192), 0, 1), 6, if(ISBLANK('2025'!$T192), 0, 1), 7, 0))), 1, "")</f>
        <v/>
      </c>
      <c r="Q194" s="1" t="str">
        <f>IF(AND(AND(AND(Q$4&gt;='2025'!$L192,Q$4&lt;='2025'!$M192), Q$4&lt;&gt;DATE(2025,7,4)), (SWITCH(weekday(Q$4), 1, 0, 2, if(ISBLANK('2025'!$P192), 0, 1), 3, if(ISBLANK('2025'!$Q192), 0, 1), 4, if(ISBLANK('2025'!$R192), 0, 1), 5, if(ISBLANK('2025'!$S192), 0, 1), 6, if(ISBLANK('2025'!$T192), 0, 1), 7, 0))), 1, "")</f>
        <v/>
      </c>
      <c r="R194" s="1" t="str">
        <f>IF(AND(AND(AND(R$4&gt;='2025'!$L192,R$4&lt;='2025'!$M192), R$4&lt;&gt;DATE(2025,7,4)), (SWITCH(weekday(R$4), 1, 0, 2, if(ISBLANK('2025'!$P192), 0, 1), 3, if(ISBLANK('2025'!$Q192), 0, 1), 4, if(ISBLANK('2025'!$R192), 0, 1), 5, if(ISBLANK('2025'!$S192), 0, 1), 6, if(ISBLANK('2025'!$T192), 0, 1), 7, 0))), 1, "")</f>
        <v/>
      </c>
      <c r="S194" s="1" t="str">
        <f>IF(AND(AND(AND(S$4&gt;='2025'!$L192,S$4&lt;='2025'!$M192), S$4&lt;&gt;DATE(2025,7,4)), (SWITCH(weekday(S$4), 1, 0, 2, if(ISBLANK('2025'!$P192), 0, 1), 3, if(ISBLANK('2025'!$Q192), 0, 1), 4, if(ISBLANK('2025'!$R192), 0, 1), 5, if(ISBLANK('2025'!$S192), 0, 1), 6, if(ISBLANK('2025'!$T192), 0, 1), 7, 0))), 1, "")</f>
        <v/>
      </c>
      <c r="T194" s="1" t="str">
        <f>IF(AND(AND(AND(T$4&gt;='2025'!$L192,T$4&lt;='2025'!$M192), T$4&lt;&gt;DATE(2025,7,4)), (SWITCH(weekday(T$4), 1, 0, 2, if(ISBLANK('2025'!$P192), 0, 1), 3, if(ISBLANK('2025'!$Q192), 0, 1), 4, if(ISBLANK('2025'!$R192), 0, 1), 5, if(ISBLANK('2025'!$S192), 0, 1), 6, if(ISBLANK('2025'!$T192), 0, 1), 7, 0))), 1, "")</f>
        <v/>
      </c>
      <c r="U194" s="1" t="str">
        <f>IF(AND(AND(AND(U$4&gt;='2025'!$L192,U$4&lt;='2025'!$M192), U$4&lt;&gt;DATE(2025,7,4)), (SWITCH(weekday(U$4), 1, 0, 2, if(ISBLANK('2025'!$P192), 0, 1), 3, if(ISBLANK('2025'!$Q192), 0, 1), 4, if(ISBLANK('2025'!$R192), 0, 1), 5, if(ISBLANK('2025'!$S192), 0, 1), 6, if(ISBLANK('2025'!$T192), 0, 1), 7, 0))), 1, "")</f>
        <v/>
      </c>
      <c r="V194" s="1" t="str">
        <f>IF(AND(AND(AND(V$4&gt;='2025'!$L192,V$4&lt;='2025'!$M192), V$4&lt;&gt;DATE(2025,7,4)), (SWITCH(weekday(V$4), 1, 0, 2, if(ISBLANK('2025'!$P192), 0, 1), 3, if(ISBLANK('2025'!$Q192), 0, 1), 4, if(ISBLANK('2025'!$R192), 0, 1), 5, if(ISBLANK('2025'!$S192), 0, 1), 6, if(ISBLANK('2025'!$T192), 0, 1), 7, 0))), 1, "")</f>
        <v/>
      </c>
      <c r="W194" s="1" t="str">
        <f>IF(AND(AND(AND(W$4&gt;='2025'!$L192,W$4&lt;='2025'!$M192), W$4&lt;&gt;DATE(2025,7,4)), (SWITCH(weekday(W$4), 1, 0, 2, if(ISBLANK('2025'!$P192), 0, 1), 3, if(ISBLANK('2025'!$Q192), 0, 1), 4, if(ISBLANK('2025'!$R192), 0, 1), 5, if(ISBLANK('2025'!$S192), 0, 1), 6, if(ISBLANK('2025'!$T192), 0, 1), 7, 0))), 1, "")</f>
        <v/>
      </c>
      <c r="X194" s="1" t="str">
        <f>IF(AND(AND(AND(X$4&gt;='2025'!$L192,X$4&lt;='2025'!$M192), X$4&lt;&gt;DATE(2025,7,4)), (SWITCH(weekday(X$4), 1, 0, 2, if(ISBLANK('2025'!$P192), 0, 1), 3, if(ISBLANK('2025'!$Q192), 0, 1), 4, if(ISBLANK('2025'!$R192), 0, 1), 5, if(ISBLANK('2025'!$S192), 0, 1), 6, if(ISBLANK('2025'!$T192), 0, 1), 7, 0))), 1, "")</f>
        <v/>
      </c>
      <c r="Y194" s="1" t="str">
        <f>IF(AND(AND(AND(Y$4&gt;='2025'!$L192,Y$4&lt;='2025'!$M192), Y$4&lt;&gt;DATE(2025,7,4)), (SWITCH(weekday(Y$4), 1, 0, 2, if(ISBLANK('2025'!$P192), 0, 1), 3, if(ISBLANK('2025'!$Q192), 0, 1), 4, if(ISBLANK('2025'!$R192), 0, 1), 5, if(ISBLANK('2025'!$S192), 0, 1), 6, if(ISBLANK('2025'!$T192), 0, 1), 7, 0))), 1, "")</f>
        <v/>
      </c>
      <c r="Z194" s="1" t="str">
        <f>IF(AND(AND(AND(Z$4&gt;='2025'!$L192,Z$4&lt;='2025'!$M192), Z$4&lt;&gt;DATE(2025,7,4)), (SWITCH(weekday(Z$4), 1, 0, 2, if(ISBLANK('2025'!$P192), 0, 1), 3, if(ISBLANK('2025'!$Q192), 0, 1), 4, if(ISBLANK('2025'!$R192), 0, 1), 5, if(ISBLANK('2025'!$S192), 0, 1), 6, if(ISBLANK('2025'!$T192), 0, 1), 7, 0))), 1, "")</f>
        <v/>
      </c>
      <c r="AA194" s="1" t="str">
        <f>IF(AND(AND(AND(AA$4&gt;='2025'!$L192,AA$4&lt;='2025'!$M192), AA$4&lt;&gt;DATE(2025,7,4)), (SWITCH(weekday(AA$4), 1, 0, 2, if(ISBLANK('2025'!$P192), 0, 1), 3, if(ISBLANK('2025'!$Q192), 0, 1), 4, if(ISBLANK('2025'!$R192), 0, 1), 5, if(ISBLANK('2025'!$S192), 0, 1), 6, if(ISBLANK('2025'!$T192), 0, 1), 7, 0))), 1, "")</f>
        <v/>
      </c>
      <c r="AB194" s="1" t="str">
        <f>IF(AND(AND(AND(AB$4&gt;='2025'!$L192,AB$4&lt;='2025'!$M192), AB$4&lt;&gt;DATE(2025,7,4)), (SWITCH(weekday(AB$4), 1, 0, 2, if(ISBLANK('2025'!$P192), 0, 1), 3, if(ISBLANK('2025'!$Q192), 0, 1), 4, if(ISBLANK('2025'!$R192), 0, 1), 5, if(ISBLANK('2025'!$S192), 0, 1), 6, if(ISBLANK('2025'!$T192), 0, 1), 7, 0))), 1, "")</f>
        <v/>
      </c>
      <c r="AC194" s="1" t="str">
        <f>IF(AND(AND(AND(AC$4&gt;='2025'!$L192,AC$4&lt;='2025'!$M192), AC$4&lt;&gt;DATE(2025,7,4)), (SWITCH(weekday(AC$4), 1, 0, 2, if(ISBLANK('2025'!$P192), 0, 1), 3, if(ISBLANK('2025'!$Q192), 0, 1), 4, if(ISBLANK('2025'!$R192), 0, 1), 5, if(ISBLANK('2025'!$S192), 0, 1), 6, if(ISBLANK('2025'!$T192), 0, 1), 7, 0))), 1, "")</f>
        <v/>
      </c>
      <c r="AD194" s="1" t="str">
        <f>IF(AND(AND(AND(AD$4&gt;='2025'!$L192,AD$4&lt;='2025'!$M192), AD$4&lt;&gt;DATE(2025,7,4)), (SWITCH(weekday(AD$4), 1, 0, 2, if(ISBLANK('2025'!$P192), 0, 1), 3, if(ISBLANK('2025'!$Q192), 0, 1), 4, if(ISBLANK('2025'!$R192), 0, 1), 5, if(ISBLANK('2025'!$S192), 0, 1), 6, if(ISBLANK('2025'!$T192), 0, 1), 7, 0))), 1, "")</f>
        <v/>
      </c>
      <c r="AE194" s="1" t="str">
        <f>IF(AND(AND(AND(AE$4&gt;='2025'!$L192,AE$4&lt;='2025'!$M192), AE$4&lt;&gt;DATE(2025,7,4)), (SWITCH(weekday(AE$4), 1, 0, 2, if(ISBLANK('2025'!$P192), 0, 1), 3, if(ISBLANK('2025'!$Q192), 0, 1), 4, if(ISBLANK('2025'!$R192), 0, 1), 5, if(ISBLANK('2025'!$S192), 0, 1), 6, if(ISBLANK('2025'!$T192), 0, 1), 7, 0))), 1, "")</f>
        <v/>
      </c>
      <c r="AF194" s="1" t="str">
        <f>IF(AND(AND(AND(AF$4&gt;='2025'!$L192,AF$4&lt;='2025'!$M192), AF$4&lt;&gt;DATE(2025,7,4)), (SWITCH(weekday(AF$4), 1, 0, 2, if(ISBLANK('2025'!$P192), 0, 1), 3, if(ISBLANK('2025'!$Q192), 0, 1), 4, if(ISBLANK('2025'!$R192), 0, 1), 5, if(ISBLANK('2025'!$S192), 0, 1), 6, if(ISBLANK('2025'!$T192), 0, 1), 7, 0))), 1, "")</f>
        <v/>
      </c>
      <c r="AG194" s="1" t="str">
        <f>IF(AND(AND(AND(AG$4&gt;='2025'!$L192,AG$4&lt;='2025'!$M192), AG$4&lt;&gt;DATE(2025,7,4)), (SWITCH(weekday(AG$4), 1, 0, 2, if(ISBLANK('2025'!$P192), 0, 1), 3, if(ISBLANK('2025'!$Q192), 0, 1), 4, if(ISBLANK('2025'!$R192), 0, 1), 5, if(ISBLANK('2025'!$S192), 0, 1), 6, if(ISBLANK('2025'!$T192), 0, 1), 7, 0))), 1, "")</f>
        <v/>
      </c>
      <c r="AH194" s="1" t="str">
        <f>IF(AND(AND(AND(AH$4&gt;='2025'!$L192,AH$4&lt;='2025'!$M192), AH$4&lt;&gt;DATE(2025,7,4)), (SWITCH(weekday(AH$4), 1, 0, 2, if(ISBLANK('2025'!$P192), 0, 1), 3, if(ISBLANK('2025'!$Q192), 0, 1), 4, if(ISBLANK('2025'!$R192), 0, 1), 5, if(ISBLANK('2025'!$S192), 0, 1), 6, if(ISBLANK('2025'!$T192), 0, 1), 7, 0))), 1, "")</f>
        <v/>
      </c>
      <c r="AI194" s="1" t="str">
        <f>IF(AND(AND(AND(AI$4&gt;='2025'!$L192,AI$4&lt;='2025'!$M192), AI$4&lt;&gt;DATE(2025,7,4)), (SWITCH(weekday(AI$4), 1, 0, 2, if(ISBLANK('2025'!$P192), 0, 1), 3, if(ISBLANK('2025'!$Q192), 0, 1), 4, if(ISBLANK('2025'!$R192), 0, 1), 5, if(ISBLANK('2025'!$S192), 0, 1), 6, if(ISBLANK('2025'!$T192), 0, 1), 7, 0))), 1, "")</f>
        <v/>
      </c>
      <c r="AJ194" s="1" t="str">
        <f>IF(AND(AND(AND(AJ$4&gt;='2025'!$L192,AJ$4&lt;='2025'!$M192), AJ$4&lt;&gt;DATE(2025,7,4)), (SWITCH(weekday(AJ$4), 1, 0, 2, if(ISBLANK('2025'!$P192), 0, 1), 3, if(ISBLANK('2025'!$Q192), 0, 1), 4, if(ISBLANK('2025'!$R192), 0, 1), 5, if(ISBLANK('2025'!$S192), 0, 1), 6, if(ISBLANK('2025'!$T192), 0, 1), 7, 0))), 1, "")</f>
        <v/>
      </c>
      <c r="AK194" s="1" t="str">
        <f>IF(AND(AND(AND(AK$4&gt;='2025'!$L192,AK$4&lt;='2025'!$M192), AK$4&lt;&gt;DATE(2025,7,4)), (SWITCH(weekday(AK$4), 1, 0, 2, if(ISBLANK('2025'!$P192), 0, 1), 3, if(ISBLANK('2025'!$Q192), 0, 1), 4, if(ISBLANK('2025'!$R192), 0, 1), 5, if(ISBLANK('2025'!$S192), 0, 1), 6, if(ISBLANK('2025'!$T192), 0, 1), 7, 0))), 1, "")</f>
        <v/>
      </c>
      <c r="AL194" s="1" t="str">
        <f>IF(AND(AND(AND(AL$4&gt;='2025'!$L192,AL$4&lt;='2025'!$M192), AL$4&lt;&gt;DATE(2025,7,4)), (SWITCH(weekday(AL$4), 1, 0, 2, if(ISBLANK('2025'!$P192), 0, 1), 3, if(ISBLANK('2025'!$Q192), 0, 1), 4, if(ISBLANK('2025'!$R192), 0, 1), 5, if(ISBLANK('2025'!$S192), 0, 1), 6, if(ISBLANK('2025'!$T192), 0, 1), 7, 0))), 1, "")</f>
        <v/>
      </c>
      <c r="AM194" s="1" t="str">
        <f>IF(AND(AND(AND(AM$4&gt;='2025'!$L192,AM$4&lt;='2025'!$M192), AM$4&lt;&gt;DATE(2025,7,4)), (SWITCH(weekday(AM$4), 1, 0, 2, if(ISBLANK('2025'!$P192), 0, 1), 3, if(ISBLANK('2025'!$Q192), 0, 1), 4, if(ISBLANK('2025'!$R192), 0, 1), 5, if(ISBLANK('2025'!$S192), 0, 1), 6, if(ISBLANK('2025'!$T192), 0, 1), 7, 0))), 1, "")</f>
        <v/>
      </c>
      <c r="AN194" s="1" t="str">
        <f>IF(AND(AND(AND(AN$4&gt;='2025'!$L192,AN$4&lt;='2025'!$M192), AN$4&lt;&gt;DATE(2025,7,4)), (SWITCH(weekday(AN$4), 1, 0, 2, if(ISBLANK('2025'!$P192), 0, 1), 3, if(ISBLANK('2025'!$Q192), 0, 1), 4, if(ISBLANK('2025'!$R192), 0, 1), 5, if(ISBLANK('2025'!$S192), 0, 1), 6, if(ISBLANK('2025'!$T192), 0, 1), 7, 0))), 1, "")</f>
        <v/>
      </c>
      <c r="AO194" s="1" t="str">
        <f>IF(AND(AND(AND(AO$4&gt;='2025'!$L192,AO$4&lt;='2025'!$M192), AO$4&lt;&gt;DATE(2025,7,4)), (SWITCH(weekday(AO$4), 1, 0, 2, if(ISBLANK('2025'!$P192), 0, 1), 3, if(ISBLANK('2025'!$Q192), 0, 1), 4, if(ISBLANK('2025'!$R192), 0, 1), 5, if(ISBLANK('2025'!$S192), 0, 1), 6, if(ISBLANK('2025'!$T192), 0, 1), 7, 0))), 1, "")</f>
        <v/>
      </c>
      <c r="AP194" s="1" t="str">
        <f>IF(AND(AND(AND(AP$4&gt;='2025'!$L192,AP$4&lt;='2025'!$M192), AP$4&lt;&gt;DATE(2025,7,4)), (SWITCH(weekday(AP$4), 1, 0, 2, if(ISBLANK('2025'!$P192), 0, 1), 3, if(ISBLANK('2025'!$Q192), 0, 1), 4, if(ISBLANK('2025'!$R192), 0, 1), 5, if(ISBLANK('2025'!$S192), 0, 1), 6, if(ISBLANK('2025'!$T192), 0, 1), 7, 0))), 1, "")</f>
        <v/>
      </c>
      <c r="AQ194" s="1" t="str">
        <f>IF(AND(AND(AND(AQ$4&gt;='2025'!$L192,AQ$4&lt;='2025'!$M192), AQ$4&lt;&gt;DATE(2025,7,4)), (SWITCH(weekday(AQ$4), 1, 0, 2, if(ISBLANK('2025'!$P192), 0, 1), 3, if(ISBLANK('2025'!$Q192), 0, 1), 4, if(ISBLANK('2025'!$R192), 0, 1), 5, if(ISBLANK('2025'!$S192), 0, 1), 6, if(ISBLANK('2025'!$T192), 0, 1), 7, 0))), 1, "")</f>
        <v/>
      </c>
      <c r="AR194" s="1" t="str">
        <f>IF(AND(AND(AND(AR$4&gt;='2025'!$L192,AR$4&lt;='2025'!$M192), AR$4&lt;&gt;DATE(2025,7,4)), (SWITCH(weekday(AR$4), 1, 0, 2, if(ISBLANK('2025'!$P192), 0, 1), 3, if(ISBLANK('2025'!$Q192), 0, 1), 4, if(ISBLANK('2025'!$R192), 0, 1), 5, if(ISBLANK('2025'!$S192), 0, 1), 6, if(ISBLANK('2025'!$T192), 0, 1), 7, 0))), 1, "")</f>
        <v/>
      </c>
      <c r="AS194" s="1" t="str">
        <f>IF(AND(AND(AND(AS$4&gt;='2025'!$L192,AS$4&lt;='2025'!$M192), AS$4&lt;&gt;DATE(2025,7,4)), (SWITCH(weekday(AS$4), 1, 0, 2, if(ISBLANK('2025'!$P192), 0, 1), 3, if(ISBLANK('2025'!$Q192), 0, 1), 4, if(ISBLANK('2025'!$R192), 0, 1), 5, if(ISBLANK('2025'!$S192), 0, 1), 6, if(ISBLANK('2025'!$T192), 0, 1), 7, 0))), 1, "")</f>
        <v/>
      </c>
      <c r="AT194" s="1" t="str">
        <f>IF(AND(AND(AND(AT$4&gt;='2025'!$L192,AT$4&lt;='2025'!$M192), AT$4&lt;&gt;DATE(2025,7,4)), (SWITCH(weekday(AT$4), 1, 0, 2, if(ISBLANK('2025'!$P192), 0, 1), 3, if(ISBLANK('2025'!$Q192), 0, 1), 4, if(ISBLANK('2025'!$R192), 0, 1), 5, if(ISBLANK('2025'!$S192), 0, 1), 6, if(ISBLANK('2025'!$T192), 0, 1), 7, 0))), 1, "")</f>
        <v/>
      </c>
      <c r="AU194" s="1" t="str">
        <f>IF(AND(AND(AND(AU$4&gt;='2025'!$L192,AU$4&lt;='2025'!$M192), AU$4&lt;&gt;DATE(2025,7,4)), (SWITCH(weekday(AU$4), 1, 0, 2, if(ISBLANK('2025'!$P192), 0, 1), 3, if(ISBLANK('2025'!$Q192), 0, 1), 4, if(ISBLANK('2025'!$R192), 0, 1), 5, if(ISBLANK('2025'!$S192), 0, 1), 6, if(ISBLANK('2025'!$T192), 0, 1), 7, 0))), 1, "")</f>
        <v/>
      </c>
      <c r="AV194" s="1" t="str">
        <f>IF(AND(AND(AND(AV$4&gt;='2025'!$L192,AV$4&lt;='2025'!$M192), AV$4&lt;&gt;DATE(2025,7,4)), (SWITCH(weekday(AV$4), 1, 0, 2, if(ISBLANK('2025'!$P192), 0, 1), 3, if(ISBLANK('2025'!$Q192), 0, 1), 4, if(ISBLANK('2025'!$R192), 0, 1), 5, if(ISBLANK('2025'!$S192), 0, 1), 6, if(ISBLANK('2025'!$T192), 0, 1), 7, 0))), 1, "")</f>
        <v/>
      </c>
      <c r="AW194" s="1" t="str">
        <f>IF(AND(AND(AND(AW$4&gt;='2025'!$L192,AW$4&lt;='2025'!$M192), AW$4&lt;&gt;DATE(2025,7,4)), (SWITCH(weekday(AW$4), 1, 0, 2, if(ISBLANK('2025'!$P192), 0, 1), 3, if(ISBLANK('2025'!$Q192), 0, 1), 4, if(ISBLANK('2025'!$R192), 0, 1), 5, if(ISBLANK('2025'!$S192), 0, 1), 6, if(ISBLANK('2025'!$T192), 0, 1), 7, 0))), 1, "")</f>
        <v/>
      </c>
      <c r="AX194" s="1" t="str">
        <f>IF(AND(AND(AND(AX$4&gt;='2025'!$L192,AX$4&lt;='2025'!$M192), AX$4&lt;&gt;DATE(2025,7,4)), (SWITCH(weekday(AX$4), 1, 0, 2, if(ISBLANK('2025'!$P192), 0, 1), 3, if(ISBLANK('2025'!$Q192), 0, 1), 4, if(ISBLANK('2025'!$R192), 0, 1), 5, if(ISBLANK('2025'!$S192), 0, 1), 6, if(ISBLANK('2025'!$T192), 0, 1), 7, 0))), 1, "")</f>
        <v/>
      </c>
      <c r="AY194" s="1" t="str">
        <f>IF(AND(AND(AND(AY$4&gt;='2025'!$L192,AY$4&lt;='2025'!$M192), AY$4&lt;&gt;DATE(2025,7,4)), (SWITCH(weekday(AY$4), 1, 0, 2, if(ISBLANK('2025'!$P192), 0, 1), 3, if(ISBLANK('2025'!$Q192), 0, 1), 4, if(ISBLANK('2025'!$R192), 0, 1), 5, if(ISBLANK('2025'!$S192), 0, 1), 6, if(ISBLANK('2025'!$T192), 0, 1), 7, 0))), 1, "")</f>
        <v/>
      </c>
      <c r="AZ194" s="1" t="str">
        <f>IF(AND(AND(AND(AZ$4&gt;='2025'!$L192,AZ$4&lt;='2025'!$M192), AZ$4&lt;&gt;DATE(2025,7,4)), (SWITCH(weekday(AZ$4), 1, 0, 2, if(ISBLANK('2025'!$P192), 0, 1), 3, if(ISBLANK('2025'!$Q192), 0, 1), 4, if(ISBLANK('2025'!$R192), 0, 1), 5, if(ISBLANK('2025'!$S192), 0, 1), 6, if(ISBLANK('2025'!$T192), 0, 1), 7, 0))), 1, "")</f>
        <v/>
      </c>
      <c r="BA194" s="1" t="str">
        <f>IF(AND(AND(AND(BA$4&gt;='2025'!$L192,BA$4&lt;='2025'!$M192), BA$4&lt;&gt;DATE(2025,7,4)), (SWITCH(weekday(BA$4), 1, 0, 2, if(ISBLANK('2025'!$P192), 0, 1), 3, if(ISBLANK('2025'!$Q192), 0, 1), 4, if(ISBLANK('2025'!$R192), 0, 1), 5, if(ISBLANK('2025'!$S192), 0, 1), 6, if(ISBLANK('2025'!$T192), 0, 1), 7, 0))), 1, "")</f>
        <v/>
      </c>
      <c r="BB194" s="1" t="str">
        <f>IF(AND(AND(AND(BB$4&gt;='2025'!$L192,BB$4&lt;='2025'!$M192), BB$4&lt;&gt;DATE(2025,7,4)), (SWITCH(weekday(BB$4), 1, 0, 2, if(ISBLANK('2025'!$P192), 0, 1), 3, if(ISBLANK('2025'!$Q192), 0, 1), 4, if(ISBLANK('2025'!$R192), 0, 1), 5, if(ISBLANK('2025'!$S192), 0, 1), 6, if(ISBLANK('2025'!$T192), 0, 1), 7, 0))), 1, "")</f>
        <v/>
      </c>
      <c r="BC194" s="1" t="str">
        <f>IF(AND(AND(AND(BC$4&gt;='2025'!$L192,BC$4&lt;='2025'!$M192), BC$4&lt;&gt;DATE(2025,7,4)), (SWITCH(weekday(BC$4), 1, 0, 2, if(ISBLANK('2025'!$P192), 0, 1), 3, if(ISBLANK('2025'!$Q192), 0, 1), 4, if(ISBLANK('2025'!$R192), 0, 1), 5, if(ISBLANK('2025'!$S192), 0, 1), 6, if(ISBLANK('2025'!$T192), 0, 1), 7, 0))), 1, "")</f>
        <v/>
      </c>
      <c r="BD194" s="1" t="str">
        <f>IF(AND(AND(AND(BD$4&gt;='2025'!$L192,BD$4&lt;='2025'!$M192), BD$4&lt;&gt;DATE(2025,7,4)), (SWITCH(weekday(BD$4), 1, 0, 2, if(ISBLANK('2025'!$P192), 0, 1), 3, if(ISBLANK('2025'!$Q192), 0, 1), 4, if(ISBLANK('2025'!$R192), 0, 1), 5, if(ISBLANK('2025'!$S192), 0, 1), 6, if(ISBLANK('2025'!$T192), 0, 1), 7, 0))), 1, "")</f>
        <v/>
      </c>
      <c r="BE194" s="1" t="str">
        <f>IF(AND(AND(AND(BE$4&gt;='2025'!$L192,BE$4&lt;='2025'!$M192), BE$4&lt;&gt;DATE(2025,7,4)), (SWITCH(weekday(BE$4), 1, 0, 2, if(ISBLANK('2025'!$P192), 0, 1), 3, if(ISBLANK('2025'!$Q192), 0, 1), 4, if(ISBLANK('2025'!$R192), 0, 1), 5, if(ISBLANK('2025'!$S192), 0, 1), 6, if(ISBLANK('2025'!$T192), 0, 1), 7, 0))), 1, "")</f>
        <v/>
      </c>
      <c r="BF194" s="1" t="str">
        <f>IF(AND(AND(AND(BF$4&gt;='2025'!$L192,BF$4&lt;='2025'!$M192), BF$4&lt;&gt;DATE(2025,7,4)), (SWITCH(weekday(BF$4), 1, 0, 2, if(ISBLANK('2025'!$P192), 0, 1), 3, if(ISBLANK('2025'!$Q192), 0, 1), 4, if(ISBLANK('2025'!$R192), 0, 1), 5, if(ISBLANK('2025'!$S192), 0, 1), 6, if(ISBLANK('2025'!$T192), 0, 1), 7, 0))), 1, "")</f>
        <v/>
      </c>
      <c r="BG194" s="1"/>
      <c r="BH194" s="1"/>
      <c r="BI194" s="1"/>
      <c r="BJ194" s="1"/>
      <c r="BK194" s="1"/>
      <c r="BL194" s="1"/>
    </row>
    <row r="195">
      <c r="A195" s="1">
        <f t="shared" si="3"/>
        <v>195</v>
      </c>
      <c r="B195" s="1" t="str">
        <f>'2025'!D159</f>
        <v>, </v>
      </c>
      <c r="C195" s="1" t="str">
        <f>'2025'!H159</f>
        <v/>
      </c>
      <c r="D195" s="1" t="str">
        <f>IF(AND(AND(AND(D$4&gt;='2025'!$L193,D$4&lt;='2025'!$M193), D$4&lt;&gt;DATE(2025,7,4)), (SWITCH(weekday(D$4), 1, 0, 2, if(ISBLANK('2025'!$P193), 0, 1), 3, if(ISBLANK('2025'!$Q193), 0, 1), 4, if(ISBLANK('2025'!$R193), 0, 1), 5, if(ISBLANK('2025'!$S193), 0, 1), 6, if(ISBLANK('2025'!$T193), 0, 1), 7, 0))), 1, "")</f>
        <v/>
      </c>
      <c r="E195" s="1" t="str">
        <f>IF(AND(AND(AND(E$4&gt;='2025'!$L193,E$4&lt;='2025'!$M193), E$4&lt;&gt;DATE(2025,7,4)), (SWITCH(weekday(E$4), 1, 0, 2, if(ISBLANK('2025'!$P193), 0, 1), 3, if(ISBLANK('2025'!$Q193), 0, 1), 4, if(ISBLANK('2025'!$R193), 0, 1), 5, if(ISBLANK('2025'!$S193), 0, 1), 6, if(ISBLANK('2025'!$T193), 0, 1), 7, 0))), 1, "")</f>
        <v/>
      </c>
      <c r="F195" s="1" t="str">
        <f>IF(AND(AND(AND(F$4&gt;='2025'!$L193,F$4&lt;='2025'!$M193), F$4&lt;&gt;DATE(2025,7,4)), (SWITCH(weekday(F$4), 1, 0, 2, if(ISBLANK('2025'!$P193), 0, 1), 3, if(ISBLANK('2025'!$Q193), 0, 1), 4, if(ISBLANK('2025'!$R193), 0, 1), 5, if(ISBLANK('2025'!$S193), 0, 1), 6, if(ISBLANK('2025'!$T193), 0, 1), 7, 0))), 1, "")</f>
        <v/>
      </c>
      <c r="G195" s="1" t="str">
        <f>IF(AND(AND(AND(G$4&gt;='2025'!$L193,G$4&lt;='2025'!$M193), G$4&lt;&gt;DATE(2025,7,4)), (SWITCH(weekday(G$4), 1, 0, 2, if(ISBLANK('2025'!$P193), 0, 1), 3, if(ISBLANK('2025'!$Q193), 0, 1), 4, if(ISBLANK('2025'!$R193), 0, 1), 5, if(ISBLANK('2025'!$S193), 0, 1), 6, if(ISBLANK('2025'!$T193), 0, 1), 7, 0))), 1, "")</f>
        <v/>
      </c>
      <c r="H195" s="1" t="str">
        <f>IF(AND(AND(AND(H$4&gt;='2025'!$L193,H$4&lt;='2025'!$M193), H$4&lt;&gt;DATE(2025,7,4)), (SWITCH(weekday(H$4), 1, 0, 2, if(ISBLANK('2025'!$P193), 0, 1), 3, if(ISBLANK('2025'!$Q193), 0, 1), 4, if(ISBLANK('2025'!$R193), 0, 1), 5, if(ISBLANK('2025'!$S193), 0, 1), 6, if(ISBLANK('2025'!$T193), 0, 1), 7, 0))), 1, "")</f>
        <v/>
      </c>
      <c r="I195" s="1" t="str">
        <f>IF(AND(AND(AND(I$4&gt;='2025'!$L193,I$4&lt;='2025'!$M193), I$4&lt;&gt;DATE(2025,7,4)), (SWITCH(weekday(I$4), 1, 0, 2, if(ISBLANK('2025'!$P193), 0, 1), 3, if(ISBLANK('2025'!$Q193), 0, 1), 4, if(ISBLANK('2025'!$R193), 0, 1), 5, if(ISBLANK('2025'!$S193), 0, 1), 6, if(ISBLANK('2025'!$T193), 0, 1), 7, 0))), 1, "")</f>
        <v/>
      </c>
      <c r="J195" s="1" t="str">
        <f>IF(AND(AND(AND(J$4&gt;='2025'!$L193,J$4&lt;='2025'!$M193), J$4&lt;&gt;DATE(2025,7,4)), (SWITCH(weekday(J$4), 1, 0, 2, if(ISBLANK('2025'!$P193), 0, 1), 3, if(ISBLANK('2025'!$Q193), 0, 1), 4, if(ISBLANK('2025'!$R193), 0, 1), 5, if(ISBLANK('2025'!$S193), 0, 1), 6, if(ISBLANK('2025'!$T193), 0, 1), 7, 0))), 1, "")</f>
        <v/>
      </c>
      <c r="K195" s="1" t="str">
        <f>IF(AND(AND(AND(K$4&gt;='2025'!$L193,K$4&lt;='2025'!$M193), K$4&lt;&gt;DATE(2025,7,4)), (SWITCH(weekday(K$4), 1, 0, 2, if(ISBLANK('2025'!$P193), 0, 1), 3, if(ISBLANK('2025'!$Q193), 0, 1), 4, if(ISBLANK('2025'!$R193), 0, 1), 5, if(ISBLANK('2025'!$S193), 0, 1), 6, if(ISBLANK('2025'!$T193), 0, 1), 7, 0))), 1, "")</f>
        <v/>
      </c>
      <c r="L195" s="1" t="str">
        <f>IF(AND(AND(AND(L$4&gt;='2025'!$L193,L$4&lt;='2025'!$M193), L$4&lt;&gt;DATE(2025,7,4)), (SWITCH(weekday(L$4), 1, 0, 2, if(ISBLANK('2025'!$P193), 0, 1), 3, if(ISBLANK('2025'!$Q193), 0, 1), 4, if(ISBLANK('2025'!$R193), 0, 1), 5, if(ISBLANK('2025'!$S193), 0, 1), 6, if(ISBLANK('2025'!$T193), 0, 1), 7, 0))), 1, "")</f>
        <v/>
      </c>
      <c r="M195" s="1" t="str">
        <f>IF(AND(AND(AND(M$4&gt;='2025'!$L193,M$4&lt;='2025'!$M193), M$4&lt;&gt;DATE(2025,7,4)), (SWITCH(weekday(M$4), 1, 0, 2, if(ISBLANK('2025'!$P193), 0, 1), 3, if(ISBLANK('2025'!$Q193), 0, 1), 4, if(ISBLANK('2025'!$R193), 0, 1), 5, if(ISBLANK('2025'!$S193), 0, 1), 6, if(ISBLANK('2025'!$T193), 0, 1), 7, 0))), 1, "")</f>
        <v/>
      </c>
      <c r="N195" s="1" t="str">
        <f>IF(AND(AND(AND(N$4&gt;='2025'!$L193,N$4&lt;='2025'!$M193), N$4&lt;&gt;DATE(2025,7,4)), (SWITCH(weekday(N$4), 1, 0, 2, if(ISBLANK('2025'!$P193), 0, 1), 3, if(ISBLANK('2025'!$Q193), 0, 1), 4, if(ISBLANK('2025'!$R193), 0, 1), 5, if(ISBLANK('2025'!$S193), 0, 1), 6, if(ISBLANK('2025'!$T193), 0, 1), 7, 0))), 1, "")</f>
        <v/>
      </c>
      <c r="O195" s="1" t="str">
        <f>IF(AND(AND(AND(O$4&gt;='2025'!$L193,O$4&lt;='2025'!$M193), O$4&lt;&gt;DATE(2025,7,4)), (SWITCH(weekday(O$4), 1, 0, 2, if(ISBLANK('2025'!$P193), 0, 1), 3, if(ISBLANK('2025'!$Q193), 0, 1), 4, if(ISBLANK('2025'!$R193), 0, 1), 5, if(ISBLANK('2025'!$S193), 0, 1), 6, if(ISBLANK('2025'!$T193), 0, 1), 7, 0))), 1, "")</f>
        <v/>
      </c>
      <c r="P195" s="1" t="str">
        <f>IF(AND(AND(AND(P$4&gt;='2025'!$L193,P$4&lt;='2025'!$M193), P$4&lt;&gt;DATE(2025,7,4)), (SWITCH(weekday(P$4), 1, 0, 2, if(ISBLANK('2025'!$P193), 0, 1), 3, if(ISBLANK('2025'!$Q193), 0, 1), 4, if(ISBLANK('2025'!$R193), 0, 1), 5, if(ISBLANK('2025'!$S193), 0, 1), 6, if(ISBLANK('2025'!$T193), 0, 1), 7, 0))), 1, "")</f>
        <v/>
      </c>
      <c r="Q195" s="1" t="str">
        <f>IF(AND(AND(AND(Q$4&gt;='2025'!$L193,Q$4&lt;='2025'!$M193), Q$4&lt;&gt;DATE(2025,7,4)), (SWITCH(weekday(Q$4), 1, 0, 2, if(ISBLANK('2025'!$P193), 0, 1), 3, if(ISBLANK('2025'!$Q193), 0, 1), 4, if(ISBLANK('2025'!$R193), 0, 1), 5, if(ISBLANK('2025'!$S193), 0, 1), 6, if(ISBLANK('2025'!$T193), 0, 1), 7, 0))), 1, "")</f>
        <v/>
      </c>
      <c r="R195" s="1" t="str">
        <f>IF(AND(AND(AND(R$4&gt;='2025'!$L193,R$4&lt;='2025'!$M193), R$4&lt;&gt;DATE(2025,7,4)), (SWITCH(weekday(R$4), 1, 0, 2, if(ISBLANK('2025'!$P193), 0, 1), 3, if(ISBLANK('2025'!$Q193), 0, 1), 4, if(ISBLANK('2025'!$R193), 0, 1), 5, if(ISBLANK('2025'!$S193), 0, 1), 6, if(ISBLANK('2025'!$T193), 0, 1), 7, 0))), 1, "")</f>
        <v/>
      </c>
      <c r="S195" s="1" t="str">
        <f>IF(AND(AND(AND(S$4&gt;='2025'!$L193,S$4&lt;='2025'!$M193), S$4&lt;&gt;DATE(2025,7,4)), (SWITCH(weekday(S$4), 1, 0, 2, if(ISBLANK('2025'!$P193), 0, 1), 3, if(ISBLANK('2025'!$Q193), 0, 1), 4, if(ISBLANK('2025'!$R193), 0, 1), 5, if(ISBLANK('2025'!$S193), 0, 1), 6, if(ISBLANK('2025'!$T193), 0, 1), 7, 0))), 1, "")</f>
        <v/>
      </c>
      <c r="T195" s="1" t="str">
        <f>IF(AND(AND(AND(T$4&gt;='2025'!$L193,T$4&lt;='2025'!$M193), T$4&lt;&gt;DATE(2025,7,4)), (SWITCH(weekday(T$4), 1, 0, 2, if(ISBLANK('2025'!$P193), 0, 1), 3, if(ISBLANK('2025'!$Q193), 0, 1), 4, if(ISBLANK('2025'!$R193), 0, 1), 5, if(ISBLANK('2025'!$S193), 0, 1), 6, if(ISBLANK('2025'!$T193), 0, 1), 7, 0))), 1, "")</f>
        <v/>
      </c>
      <c r="U195" s="1" t="str">
        <f>IF(AND(AND(AND(U$4&gt;='2025'!$L193,U$4&lt;='2025'!$M193), U$4&lt;&gt;DATE(2025,7,4)), (SWITCH(weekday(U$4), 1, 0, 2, if(ISBLANK('2025'!$P193), 0, 1), 3, if(ISBLANK('2025'!$Q193), 0, 1), 4, if(ISBLANK('2025'!$R193), 0, 1), 5, if(ISBLANK('2025'!$S193), 0, 1), 6, if(ISBLANK('2025'!$T193), 0, 1), 7, 0))), 1, "")</f>
        <v/>
      </c>
      <c r="V195" s="1" t="str">
        <f>IF(AND(AND(AND(V$4&gt;='2025'!$L193,V$4&lt;='2025'!$M193), V$4&lt;&gt;DATE(2025,7,4)), (SWITCH(weekday(V$4), 1, 0, 2, if(ISBLANK('2025'!$P193), 0, 1), 3, if(ISBLANK('2025'!$Q193), 0, 1), 4, if(ISBLANK('2025'!$R193), 0, 1), 5, if(ISBLANK('2025'!$S193), 0, 1), 6, if(ISBLANK('2025'!$T193), 0, 1), 7, 0))), 1, "")</f>
        <v/>
      </c>
      <c r="W195" s="1" t="str">
        <f>IF(AND(AND(AND(W$4&gt;='2025'!$L193,W$4&lt;='2025'!$M193), W$4&lt;&gt;DATE(2025,7,4)), (SWITCH(weekday(W$4), 1, 0, 2, if(ISBLANK('2025'!$P193), 0, 1), 3, if(ISBLANK('2025'!$Q193), 0, 1), 4, if(ISBLANK('2025'!$R193), 0, 1), 5, if(ISBLANK('2025'!$S193), 0, 1), 6, if(ISBLANK('2025'!$T193), 0, 1), 7, 0))), 1, "")</f>
        <v/>
      </c>
      <c r="X195" s="1" t="str">
        <f>IF(AND(AND(AND(X$4&gt;='2025'!$L193,X$4&lt;='2025'!$M193), X$4&lt;&gt;DATE(2025,7,4)), (SWITCH(weekday(X$4), 1, 0, 2, if(ISBLANK('2025'!$P193), 0, 1), 3, if(ISBLANK('2025'!$Q193), 0, 1), 4, if(ISBLANK('2025'!$R193), 0, 1), 5, if(ISBLANK('2025'!$S193), 0, 1), 6, if(ISBLANK('2025'!$T193), 0, 1), 7, 0))), 1, "")</f>
        <v/>
      </c>
      <c r="Y195" s="1" t="str">
        <f>IF(AND(AND(AND(Y$4&gt;='2025'!$L193,Y$4&lt;='2025'!$M193), Y$4&lt;&gt;DATE(2025,7,4)), (SWITCH(weekday(Y$4), 1, 0, 2, if(ISBLANK('2025'!$P193), 0, 1), 3, if(ISBLANK('2025'!$Q193), 0, 1), 4, if(ISBLANK('2025'!$R193), 0, 1), 5, if(ISBLANK('2025'!$S193), 0, 1), 6, if(ISBLANK('2025'!$T193), 0, 1), 7, 0))), 1, "")</f>
        <v/>
      </c>
      <c r="Z195" s="1" t="str">
        <f>IF(AND(AND(AND(Z$4&gt;='2025'!$L193,Z$4&lt;='2025'!$M193), Z$4&lt;&gt;DATE(2025,7,4)), (SWITCH(weekday(Z$4), 1, 0, 2, if(ISBLANK('2025'!$P193), 0, 1), 3, if(ISBLANK('2025'!$Q193), 0, 1), 4, if(ISBLANK('2025'!$R193), 0, 1), 5, if(ISBLANK('2025'!$S193), 0, 1), 6, if(ISBLANK('2025'!$T193), 0, 1), 7, 0))), 1, "")</f>
        <v/>
      </c>
      <c r="AA195" s="1" t="str">
        <f>IF(AND(AND(AND(AA$4&gt;='2025'!$L193,AA$4&lt;='2025'!$M193), AA$4&lt;&gt;DATE(2025,7,4)), (SWITCH(weekday(AA$4), 1, 0, 2, if(ISBLANK('2025'!$P193), 0, 1), 3, if(ISBLANK('2025'!$Q193), 0, 1), 4, if(ISBLANK('2025'!$R193), 0, 1), 5, if(ISBLANK('2025'!$S193), 0, 1), 6, if(ISBLANK('2025'!$T193), 0, 1), 7, 0))), 1, "")</f>
        <v/>
      </c>
      <c r="AB195" s="1" t="str">
        <f>IF(AND(AND(AND(AB$4&gt;='2025'!$L193,AB$4&lt;='2025'!$M193), AB$4&lt;&gt;DATE(2025,7,4)), (SWITCH(weekday(AB$4), 1, 0, 2, if(ISBLANK('2025'!$P193), 0, 1), 3, if(ISBLANK('2025'!$Q193), 0, 1), 4, if(ISBLANK('2025'!$R193), 0, 1), 5, if(ISBLANK('2025'!$S193), 0, 1), 6, if(ISBLANK('2025'!$T193), 0, 1), 7, 0))), 1, "")</f>
        <v/>
      </c>
      <c r="AC195" s="1" t="str">
        <f>IF(AND(AND(AND(AC$4&gt;='2025'!$L193,AC$4&lt;='2025'!$M193), AC$4&lt;&gt;DATE(2025,7,4)), (SWITCH(weekday(AC$4), 1, 0, 2, if(ISBLANK('2025'!$P193), 0, 1), 3, if(ISBLANK('2025'!$Q193), 0, 1), 4, if(ISBLANK('2025'!$R193), 0, 1), 5, if(ISBLANK('2025'!$S193), 0, 1), 6, if(ISBLANK('2025'!$T193), 0, 1), 7, 0))), 1, "")</f>
        <v/>
      </c>
      <c r="AD195" s="1" t="str">
        <f>IF(AND(AND(AND(AD$4&gt;='2025'!$L193,AD$4&lt;='2025'!$M193), AD$4&lt;&gt;DATE(2025,7,4)), (SWITCH(weekday(AD$4), 1, 0, 2, if(ISBLANK('2025'!$P193), 0, 1), 3, if(ISBLANK('2025'!$Q193), 0, 1), 4, if(ISBLANK('2025'!$R193), 0, 1), 5, if(ISBLANK('2025'!$S193), 0, 1), 6, if(ISBLANK('2025'!$T193), 0, 1), 7, 0))), 1, "")</f>
        <v/>
      </c>
      <c r="AE195" s="1" t="str">
        <f>IF(AND(AND(AND(AE$4&gt;='2025'!$L193,AE$4&lt;='2025'!$M193), AE$4&lt;&gt;DATE(2025,7,4)), (SWITCH(weekday(AE$4), 1, 0, 2, if(ISBLANK('2025'!$P193), 0, 1), 3, if(ISBLANK('2025'!$Q193), 0, 1), 4, if(ISBLANK('2025'!$R193), 0, 1), 5, if(ISBLANK('2025'!$S193), 0, 1), 6, if(ISBLANK('2025'!$T193), 0, 1), 7, 0))), 1, "")</f>
        <v/>
      </c>
      <c r="AF195" s="1" t="str">
        <f>IF(AND(AND(AND(AF$4&gt;='2025'!$L193,AF$4&lt;='2025'!$M193), AF$4&lt;&gt;DATE(2025,7,4)), (SWITCH(weekday(AF$4), 1, 0, 2, if(ISBLANK('2025'!$P193), 0, 1), 3, if(ISBLANK('2025'!$Q193), 0, 1), 4, if(ISBLANK('2025'!$R193), 0, 1), 5, if(ISBLANK('2025'!$S193), 0, 1), 6, if(ISBLANK('2025'!$T193), 0, 1), 7, 0))), 1, "")</f>
        <v/>
      </c>
      <c r="AG195" s="1" t="str">
        <f>IF(AND(AND(AND(AG$4&gt;='2025'!$L193,AG$4&lt;='2025'!$M193), AG$4&lt;&gt;DATE(2025,7,4)), (SWITCH(weekday(AG$4), 1, 0, 2, if(ISBLANK('2025'!$P193), 0, 1), 3, if(ISBLANK('2025'!$Q193), 0, 1), 4, if(ISBLANK('2025'!$R193), 0, 1), 5, if(ISBLANK('2025'!$S193), 0, 1), 6, if(ISBLANK('2025'!$T193), 0, 1), 7, 0))), 1, "")</f>
        <v/>
      </c>
      <c r="AH195" s="1" t="str">
        <f>IF(AND(AND(AND(AH$4&gt;='2025'!$L193,AH$4&lt;='2025'!$M193), AH$4&lt;&gt;DATE(2025,7,4)), (SWITCH(weekday(AH$4), 1, 0, 2, if(ISBLANK('2025'!$P193), 0, 1), 3, if(ISBLANK('2025'!$Q193), 0, 1), 4, if(ISBLANK('2025'!$R193), 0, 1), 5, if(ISBLANK('2025'!$S193), 0, 1), 6, if(ISBLANK('2025'!$T193), 0, 1), 7, 0))), 1, "")</f>
        <v/>
      </c>
      <c r="AI195" s="1" t="str">
        <f>IF(AND(AND(AND(AI$4&gt;='2025'!$L193,AI$4&lt;='2025'!$M193), AI$4&lt;&gt;DATE(2025,7,4)), (SWITCH(weekday(AI$4), 1, 0, 2, if(ISBLANK('2025'!$P193), 0, 1), 3, if(ISBLANK('2025'!$Q193), 0, 1), 4, if(ISBLANK('2025'!$R193), 0, 1), 5, if(ISBLANK('2025'!$S193), 0, 1), 6, if(ISBLANK('2025'!$T193), 0, 1), 7, 0))), 1, "")</f>
        <v/>
      </c>
      <c r="AJ195" s="1" t="str">
        <f>IF(AND(AND(AND(AJ$4&gt;='2025'!$L193,AJ$4&lt;='2025'!$M193), AJ$4&lt;&gt;DATE(2025,7,4)), (SWITCH(weekday(AJ$4), 1, 0, 2, if(ISBLANK('2025'!$P193), 0, 1), 3, if(ISBLANK('2025'!$Q193), 0, 1), 4, if(ISBLANK('2025'!$R193), 0, 1), 5, if(ISBLANK('2025'!$S193), 0, 1), 6, if(ISBLANK('2025'!$T193), 0, 1), 7, 0))), 1, "")</f>
        <v/>
      </c>
      <c r="AK195" s="1" t="str">
        <f>IF(AND(AND(AND(AK$4&gt;='2025'!$L193,AK$4&lt;='2025'!$M193), AK$4&lt;&gt;DATE(2025,7,4)), (SWITCH(weekday(AK$4), 1, 0, 2, if(ISBLANK('2025'!$P193), 0, 1), 3, if(ISBLANK('2025'!$Q193), 0, 1), 4, if(ISBLANK('2025'!$R193), 0, 1), 5, if(ISBLANK('2025'!$S193), 0, 1), 6, if(ISBLANK('2025'!$T193), 0, 1), 7, 0))), 1, "")</f>
        <v/>
      </c>
      <c r="AL195" s="1" t="str">
        <f>IF(AND(AND(AND(AL$4&gt;='2025'!$L193,AL$4&lt;='2025'!$M193), AL$4&lt;&gt;DATE(2025,7,4)), (SWITCH(weekday(AL$4), 1, 0, 2, if(ISBLANK('2025'!$P193), 0, 1), 3, if(ISBLANK('2025'!$Q193), 0, 1), 4, if(ISBLANK('2025'!$R193), 0, 1), 5, if(ISBLANK('2025'!$S193), 0, 1), 6, if(ISBLANK('2025'!$T193), 0, 1), 7, 0))), 1, "")</f>
        <v/>
      </c>
      <c r="AM195" s="1" t="str">
        <f>IF(AND(AND(AND(AM$4&gt;='2025'!$L193,AM$4&lt;='2025'!$M193), AM$4&lt;&gt;DATE(2025,7,4)), (SWITCH(weekday(AM$4), 1, 0, 2, if(ISBLANK('2025'!$P193), 0, 1), 3, if(ISBLANK('2025'!$Q193), 0, 1), 4, if(ISBLANK('2025'!$R193), 0, 1), 5, if(ISBLANK('2025'!$S193), 0, 1), 6, if(ISBLANK('2025'!$T193), 0, 1), 7, 0))), 1, "")</f>
        <v/>
      </c>
      <c r="AN195" s="1" t="str">
        <f>IF(AND(AND(AND(AN$4&gt;='2025'!$L193,AN$4&lt;='2025'!$M193), AN$4&lt;&gt;DATE(2025,7,4)), (SWITCH(weekday(AN$4), 1, 0, 2, if(ISBLANK('2025'!$P193), 0, 1), 3, if(ISBLANK('2025'!$Q193), 0, 1), 4, if(ISBLANK('2025'!$R193), 0, 1), 5, if(ISBLANK('2025'!$S193), 0, 1), 6, if(ISBLANK('2025'!$T193), 0, 1), 7, 0))), 1, "")</f>
        <v/>
      </c>
      <c r="AO195" s="1" t="str">
        <f>IF(AND(AND(AND(AO$4&gt;='2025'!$L193,AO$4&lt;='2025'!$M193), AO$4&lt;&gt;DATE(2025,7,4)), (SWITCH(weekday(AO$4), 1, 0, 2, if(ISBLANK('2025'!$P193), 0, 1), 3, if(ISBLANK('2025'!$Q193), 0, 1), 4, if(ISBLANK('2025'!$R193), 0, 1), 5, if(ISBLANK('2025'!$S193), 0, 1), 6, if(ISBLANK('2025'!$T193), 0, 1), 7, 0))), 1, "")</f>
        <v/>
      </c>
      <c r="AP195" s="1" t="str">
        <f>IF(AND(AND(AND(AP$4&gt;='2025'!$L193,AP$4&lt;='2025'!$M193), AP$4&lt;&gt;DATE(2025,7,4)), (SWITCH(weekday(AP$4), 1, 0, 2, if(ISBLANK('2025'!$P193), 0, 1), 3, if(ISBLANK('2025'!$Q193), 0, 1), 4, if(ISBLANK('2025'!$R193), 0, 1), 5, if(ISBLANK('2025'!$S193), 0, 1), 6, if(ISBLANK('2025'!$T193), 0, 1), 7, 0))), 1, "")</f>
        <v/>
      </c>
      <c r="AQ195" s="1" t="str">
        <f>IF(AND(AND(AND(AQ$4&gt;='2025'!$L193,AQ$4&lt;='2025'!$M193), AQ$4&lt;&gt;DATE(2025,7,4)), (SWITCH(weekday(AQ$4), 1, 0, 2, if(ISBLANK('2025'!$P193), 0, 1), 3, if(ISBLANK('2025'!$Q193), 0, 1), 4, if(ISBLANK('2025'!$R193), 0, 1), 5, if(ISBLANK('2025'!$S193), 0, 1), 6, if(ISBLANK('2025'!$T193), 0, 1), 7, 0))), 1, "")</f>
        <v/>
      </c>
      <c r="AR195" s="1" t="str">
        <f>IF(AND(AND(AND(AR$4&gt;='2025'!$L193,AR$4&lt;='2025'!$M193), AR$4&lt;&gt;DATE(2025,7,4)), (SWITCH(weekday(AR$4), 1, 0, 2, if(ISBLANK('2025'!$P193), 0, 1), 3, if(ISBLANK('2025'!$Q193), 0, 1), 4, if(ISBLANK('2025'!$R193), 0, 1), 5, if(ISBLANK('2025'!$S193), 0, 1), 6, if(ISBLANK('2025'!$T193), 0, 1), 7, 0))), 1, "")</f>
        <v/>
      </c>
      <c r="AS195" s="1" t="str">
        <f>IF(AND(AND(AND(AS$4&gt;='2025'!$L193,AS$4&lt;='2025'!$M193), AS$4&lt;&gt;DATE(2025,7,4)), (SWITCH(weekday(AS$4), 1, 0, 2, if(ISBLANK('2025'!$P193), 0, 1), 3, if(ISBLANK('2025'!$Q193), 0, 1), 4, if(ISBLANK('2025'!$R193), 0, 1), 5, if(ISBLANK('2025'!$S193), 0, 1), 6, if(ISBLANK('2025'!$T193), 0, 1), 7, 0))), 1, "")</f>
        <v/>
      </c>
      <c r="AT195" s="1" t="str">
        <f>IF(AND(AND(AND(AT$4&gt;='2025'!$L193,AT$4&lt;='2025'!$M193), AT$4&lt;&gt;DATE(2025,7,4)), (SWITCH(weekday(AT$4), 1, 0, 2, if(ISBLANK('2025'!$P193), 0, 1), 3, if(ISBLANK('2025'!$Q193), 0, 1), 4, if(ISBLANK('2025'!$R193), 0, 1), 5, if(ISBLANK('2025'!$S193), 0, 1), 6, if(ISBLANK('2025'!$T193), 0, 1), 7, 0))), 1, "")</f>
        <v/>
      </c>
      <c r="AU195" s="1" t="str">
        <f>IF(AND(AND(AND(AU$4&gt;='2025'!$L193,AU$4&lt;='2025'!$M193), AU$4&lt;&gt;DATE(2025,7,4)), (SWITCH(weekday(AU$4), 1, 0, 2, if(ISBLANK('2025'!$P193), 0, 1), 3, if(ISBLANK('2025'!$Q193), 0, 1), 4, if(ISBLANK('2025'!$R193), 0, 1), 5, if(ISBLANK('2025'!$S193), 0, 1), 6, if(ISBLANK('2025'!$T193), 0, 1), 7, 0))), 1, "")</f>
        <v/>
      </c>
      <c r="AV195" s="1" t="str">
        <f>IF(AND(AND(AND(AV$4&gt;='2025'!$L193,AV$4&lt;='2025'!$M193), AV$4&lt;&gt;DATE(2025,7,4)), (SWITCH(weekday(AV$4), 1, 0, 2, if(ISBLANK('2025'!$P193), 0, 1), 3, if(ISBLANK('2025'!$Q193), 0, 1), 4, if(ISBLANK('2025'!$R193), 0, 1), 5, if(ISBLANK('2025'!$S193), 0, 1), 6, if(ISBLANK('2025'!$T193), 0, 1), 7, 0))), 1, "")</f>
        <v/>
      </c>
      <c r="AW195" s="1" t="str">
        <f>IF(AND(AND(AND(AW$4&gt;='2025'!$L193,AW$4&lt;='2025'!$M193), AW$4&lt;&gt;DATE(2025,7,4)), (SWITCH(weekday(AW$4), 1, 0, 2, if(ISBLANK('2025'!$P193), 0, 1), 3, if(ISBLANK('2025'!$Q193), 0, 1), 4, if(ISBLANK('2025'!$R193), 0, 1), 5, if(ISBLANK('2025'!$S193), 0, 1), 6, if(ISBLANK('2025'!$T193), 0, 1), 7, 0))), 1, "")</f>
        <v/>
      </c>
      <c r="AX195" s="1" t="str">
        <f>IF(AND(AND(AND(AX$4&gt;='2025'!$L193,AX$4&lt;='2025'!$M193), AX$4&lt;&gt;DATE(2025,7,4)), (SWITCH(weekday(AX$4), 1, 0, 2, if(ISBLANK('2025'!$P193), 0, 1), 3, if(ISBLANK('2025'!$Q193), 0, 1), 4, if(ISBLANK('2025'!$R193), 0, 1), 5, if(ISBLANK('2025'!$S193), 0, 1), 6, if(ISBLANK('2025'!$T193), 0, 1), 7, 0))), 1, "")</f>
        <v/>
      </c>
      <c r="AY195" s="1" t="str">
        <f>IF(AND(AND(AND(AY$4&gt;='2025'!$L193,AY$4&lt;='2025'!$M193), AY$4&lt;&gt;DATE(2025,7,4)), (SWITCH(weekday(AY$4), 1, 0, 2, if(ISBLANK('2025'!$P193), 0, 1), 3, if(ISBLANK('2025'!$Q193), 0, 1), 4, if(ISBLANK('2025'!$R193), 0, 1), 5, if(ISBLANK('2025'!$S193), 0, 1), 6, if(ISBLANK('2025'!$T193), 0, 1), 7, 0))), 1, "")</f>
        <v/>
      </c>
      <c r="AZ195" s="1" t="str">
        <f>IF(AND(AND(AND(AZ$4&gt;='2025'!$L193,AZ$4&lt;='2025'!$M193), AZ$4&lt;&gt;DATE(2025,7,4)), (SWITCH(weekday(AZ$4), 1, 0, 2, if(ISBLANK('2025'!$P193), 0, 1), 3, if(ISBLANK('2025'!$Q193), 0, 1), 4, if(ISBLANK('2025'!$R193), 0, 1), 5, if(ISBLANK('2025'!$S193), 0, 1), 6, if(ISBLANK('2025'!$T193), 0, 1), 7, 0))), 1, "")</f>
        <v/>
      </c>
      <c r="BA195" s="1" t="str">
        <f>IF(AND(AND(AND(BA$4&gt;='2025'!$L193,BA$4&lt;='2025'!$M193), BA$4&lt;&gt;DATE(2025,7,4)), (SWITCH(weekday(BA$4), 1, 0, 2, if(ISBLANK('2025'!$P193), 0, 1), 3, if(ISBLANK('2025'!$Q193), 0, 1), 4, if(ISBLANK('2025'!$R193), 0, 1), 5, if(ISBLANK('2025'!$S193), 0, 1), 6, if(ISBLANK('2025'!$T193), 0, 1), 7, 0))), 1, "")</f>
        <v/>
      </c>
      <c r="BB195" s="1" t="str">
        <f>IF(AND(AND(AND(BB$4&gt;='2025'!$L193,BB$4&lt;='2025'!$M193), BB$4&lt;&gt;DATE(2025,7,4)), (SWITCH(weekday(BB$4), 1, 0, 2, if(ISBLANK('2025'!$P193), 0, 1), 3, if(ISBLANK('2025'!$Q193), 0, 1), 4, if(ISBLANK('2025'!$R193), 0, 1), 5, if(ISBLANK('2025'!$S193), 0, 1), 6, if(ISBLANK('2025'!$T193), 0, 1), 7, 0))), 1, "")</f>
        <v/>
      </c>
      <c r="BC195" s="1" t="str">
        <f>IF(AND(AND(AND(BC$4&gt;='2025'!$L193,BC$4&lt;='2025'!$M193), BC$4&lt;&gt;DATE(2025,7,4)), (SWITCH(weekday(BC$4), 1, 0, 2, if(ISBLANK('2025'!$P193), 0, 1), 3, if(ISBLANK('2025'!$Q193), 0, 1), 4, if(ISBLANK('2025'!$R193), 0, 1), 5, if(ISBLANK('2025'!$S193), 0, 1), 6, if(ISBLANK('2025'!$T193), 0, 1), 7, 0))), 1, "")</f>
        <v/>
      </c>
      <c r="BD195" s="1" t="str">
        <f>IF(AND(AND(AND(BD$4&gt;='2025'!$L193,BD$4&lt;='2025'!$M193), BD$4&lt;&gt;DATE(2025,7,4)), (SWITCH(weekday(BD$4), 1, 0, 2, if(ISBLANK('2025'!$P193), 0, 1), 3, if(ISBLANK('2025'!$Q193), 0, 1), 4, if(ISBLANK('2025'!$R193), 0, 1), 5, if(ISBLANK('2025'!$S193), 0, 1), 6, if(ISBLANK('2025'!$T193), 0, 1), 7, 0))), 1, "")</f>
        <v/>
      </c>
      <c r="BE195" s="1" t="str">
        <f>IF(AND(AND(AND(BE$4&gt;='2025'!$L193,BE$4&lt;='2025'!$M193), BE$4&lt;&gt;DATE(2025,7,4)), (SWITCH(weekday(BE$4), 1, 0, 2, if(ISBLANK('2025'!$P193), 0, 1), 3, if(ISBLANK('2025'!$Q193), 0, 1), 4, if(ISBLANK('2025'!$R193), 0, 1), 5, if(ISBLANK('2025'!$S193), 0, 1), 6, if(ISBLANK('2025'!$T193), 0, 1), 7, 0))), 1, "")</f>
        <v/>
      </c>
      <c r="BF195" s="1" t="str">
        <f>IF(AND(AND(AND(BF$4&gt;='2025'!$L193,BF$4&lt;='2025'!$M193), BF$4&lt;&gt;DATE(2025,7,4)), (SWITCH(weekday(BF$4), 1, 0, 2, if(ISBLANK('2025'!$P193), 0, 1), 3, if(ISBLANK('2025'!$Q193), 0, 1), 4, if(ISBLANK('2025'!$R193), 0, 1), 5, if(ISBLANK('2025'!$S193), 0, 1), 6, if(ISBLANK('2025'!$T193), 0, 1), 7, 0))), 1, "")</f>
        <v/>
      </c>
      <c r="BG195" s="1"/>
      <c r="BH195" s="1"/>
      <c r="BI195" s="1"/>
      <c r="BJ195" s="1"/>
      <c r="BK195" s="1"/>
      <c r="BL195" s="1"/>
    </row>
    <row r="196">
      <c r="A196" s="1">
        <f t="shared" si="3"/>
        <v>196</v>
      </c>
      <c r="B196" s="1" t="str">
        <f>'2025'!D160</f>
        <v>, </v>
      </c>
      <c r="C196" s="1" t="str">
        <f>'2025'!H160</f>
        <v/>
      </c>
      <c r="D196" s="1" t="str">
        <f>IF(AND(AND(AND(D$4&gt;='2025'!$L194,D$4&lt;='2025'!$M194), D$4&lt;&gt;DATE(2025,7,4)), (SWITCH(weekday(D$4), 1, 0, 2, if(ISBLANK('2025'!$P194), 0, 1), 3, if(ISBLANK('2025'!$Q194), 0, 1), 4, if(ISBLANK('2025'!$R194), 0, 1), 5, if(ISBLANK('2025'!$S194), 0, 1), 6, if(ISBLANK('2025'!$T194), 0, 1), 7, 0))), 1, "")</f>
        <v/>
      </c>
      <c r="E196" s="1" t="str">
        <f>IF(AND(AND(AND(E$4&gt;='2025'!$L194,E$4&lt;='2025'!$M194), E$4&lt;&gt;DATE(2025,7,4)), (SWITCH(weekday(E$4), 1, 0, 2, if(ISBLANK('2025'!$P194), 0, 1), 3, if(ISBLANK('2025'!$Q194), 0, 1), 4, if(ISBLANK('2025'!$R194), 0, 1), 5, if(ISBLANK('2025'!$S194), 0, 1), 6, if(ISBLANK('2025'!$T194), 0, 1), 7, 0))), 1, "")</f>
        <v/>
      </c>
      <c r="F196" s="1" t="str">
        <f>IF(AND(AND(AND(F$4&gt;='2025'!$L194,F$4&lt;='2025'!$M194), F$4&lt;&gt;DATE(2025,7,4)), (SWITCH(weekday(F$4), 1, 0, 2, if(ISBLANK('2025'!$P194), 0, 1), 3, if(ISBLANK('2025'!$Q194), 0, 1), 4, if(ISBLANK('2025'!$R194), 0, 1), 5, if(ISBLANK('2025'!$S194), 0, 1), 6, if(ISBLANK('2025'!$T194), 0, 1), 7, 0))), 1, "")</f>
        <v/>
      </c>
      <c r="G196" s="1" t="str">
        <f>IF(AND(AND(AND(G$4&gt;='2025'!$L194,G$4&lt;='2025'!$M194), G$4&lt;&gt;DATE(2025,7,4)), (SWITCH(weekday(G$4), 1, 0, 2, if(ISBLANK('2025'!$P194), 0, 1), 3, if(ISBLANK('2025'!$Q194), 0, 1), 4, if(ISBLANK('2025'!$R194), 0, 1), 5, if(ISBLANK('2025'!$S194), 0, 1), 6, if(ISBLANK('2025'!$T194), 0, 1), 7, 0))), 1, "")</f>
        <v/>
      </c>
      <c r="H196" s="1" t="str">
        <f>IF(AND(AND(AND(H$4&gt;='2025'!$L194,H$4&lt;='2025'!$M194), H$4&lt;&gt;DATE(2025,7,4)), (SWITCH(weekday(H$4), 1, 0, 2, if(ISBLANK('2025'!$P194), 0, 1), 3, if(ISBLANK('2025'!$Q194), 0, 1), 4, if(ISBLANK('2025'!$R194), 0, 1), 5, if(ISBLANK('2025'!$S194), 0, 1), 6, if(ISBLANK('2025'!$T194), 0, 1), 7, 0))), 1, "")</f>
        <v/>
      </c>
      <c r="I196" s="1" t="str">
        <f>IF(AND(AND(AND(I$4&gt;='2025'!$L194,I$4&lt;='2025'!$M194), I$4&lt;&gt;DATE(2025,7,4)), (SWITCH(weekday(I$4), 1, 0, 2, if(ISBLANK('2025'!$P194), 0, 1), 3, if(ISBLANK('2025'!$Q194), 0, 1), 4, if(ISBLANK('2025'!$R194), 0, 1), 5, if(ISBLANK('2025'!$S194), 0, 1), 6, if(ISBLANK('2025'!$T194), 0, 1), 7, 0))), 1, "")</f>
        <v/>
      </c>
      <c r="J196" s="1" t="str">
        <f>IF(AND(AND(AND(J$4&gt;='2025'!$L194,J$4&lt;='2025'!$M194), J$4&lt;&gt;DATE(2025,7,4)), (SWITCH(weekday(J$4), 1, 0, 2, if(ISBLANK('2025'!$P194), 0, 1), 3, if(ISBLANK('2025'!$Q194), 0, 1), 4, if(ISBLANK('2025'!$R194), 0, 1), 5, if(ISBLANK('2025'!$S194), 0, 1), 6, if(ISBLANK('2025'!$T194), 0, 1), 7, 0))), 1, "")</f>
        <v/>
      </c>
      <c r="K196" s="1" t="str">
        <f>IF(AND(AND(AND(K$4&gt;='2025'!$L194,K$4&lt;='2025'!$M194), K$4&lt;&gt;DATE(2025,7,4)), (SWITCH(weekday(K$4), 1, 0, 2, if(ISBLANK('2025'!$P194), 0, 1), 3, if(ISBLANK('2025'!$Q194), 0, 1), 4, if(ISBLANK('2025'!$R194), 0, 1), 5, if(ISBLANK('2025'!$S194), 0, 1), 6, if(ISBLANK('2025'!$T194), 0, 1), 7, 0))), 1, "")</f>
        <v/>
      </c>
      <c r="L196" s="1" t="str">
        <f>IF(AND(AND(AND(L$4&gt;='2025'!$L194,L$4&lt;='2025'!$M194), L$4&lt;&gt;DATE(2025,7,4)), (SWITCH(weekday(L$4), 1, 0, 2, if(ISBLANK('2025'!$P194), 0, 1), 3, if(ISBLANK('2025'!$Q194), 0, 1), 4, if(ISBLANK('2025'!$R194), 0, 1), 5, if(ISBLANK('2025'!$S194), 0, 1), 6, if(ISBLANK('2025'!$T194), 0, 1), 7, 0))), 1, "")</f>
        <v/>
      </c>
      <c r="M196" s="1" t="str">
        <f>IF(AND(AND(AND(M$4&gt;='2025'!$L194,M$4&lt;='2025'!$M194), M$4&lt;&gt;DATE(2025,7,4)), (SWITCH(weekday(M$4), 1, 0, 2, if(ISBLANK('2025'!$P194), 0, 1), 3, if(ISBLANK('2025'!$Q194), 0, 1), 4, if(ISBLANK('2025'!$R194), 0, 1), 5, if(ISBLANK('2025'!$S194), 0, 1), 6, if(ISBLANK('2025'!$T194), 0, 1), 7, 0))), 1, "")</f>
        <v/>
      </c>
      <c r="N196" s="1" t="str">
        <f>IF(AND(AND(AND(N$4&gt;='2025'!$L194,N$4&lt;='2025'!$M194), N$4&lt;&gt;DATE(2025,7,4)), (SWITCH(weekday(N$4), 1, 0, 2, if(ISBLANK('2025'!$P194), 0, 1), 3, if(ISBLANK('2025'!$Q194), 0, 1), 4, if(ISBLANK('2025'!$R194), 0, 1), 5, if(ISBLANK('2025'!$S194), 0, 1), 6, if(ISBLANK('2025'!$T194), 0, 1), 7, 0))), 1, "")</f>
        <v/>
      </c>
      <c r="O196" s="1" t="str">
        <f>IF(AND(AND(AND(O$4&gt;='2025'!$L194,O$4&lt;='2025'!$M194), O$4&lt;&gt;DATE(2025,7,4)), (SWITCH(weekday(O$4), 1, 0, 2, if(ISBLANK('2025'!$P194), 0, 1), 3, if(ISBLANK('2025'!$Q194), 0, 1), 4, if(ISBLANK('2025'!$R194), 0, 1), 5, if(ISBLANK('2025'!$S194), 0, 1), 6, if(ISBLANK('2025'!$T194), 0, 1), 7, 0))), 1, "")</f>
        <v/>
      </c>
      <c r="P196" s="1" t="str">
        <f>IF(AND(AND(AND(P$4&gt;='2025'!$L194,P$4&lt;='2025'!$M194), P$4&lt;&gt;DATE(2025,7,4)), (SWITCH(weekday(P$4), 1, 0, 2, if(ISBLANK('2025'!$P194), 0, 1), 3, if(ISBLANK('2025'!$Q194), 0, 1), 4, if(ISBLANK('2025'!$R194), 0, 1), 5, if(ISBLANK('2025'!$S194), 0, 1), 6, if(ISBLANK('2025'!$T194), 0, 1), 7, 0))), 1, "")</f>
        <v/>
      </c>
      <c r="Q196" s="1" t="str">
        <f>IF(AND(AND(AND(Q$4&gt;='2025'!$L194,Q$4&lt;='2025'!$M194), Q$4&lt;&gt;DATE(2025,7,4)), (SWITCH(weekday(Q$4), 1, 0, 2, if(ISBLANK('2025'!$P194), 0, 1), 3, if(ISBLANK('2025'!$Q194), 0, 1), 4, if(ISBLANK('2025'!$R194), 0, 1), 5, if(ISBLANK('2025'!$S194), 0, 1), 6, if(ISBLANK('2025'!$T194), 0, 1), 7, 0))), 1, "")</f>
        <v/>
      </c>
      <c r="R196" s="1" t="str">
        <f>IF(AND(AND(AND(R$4&gt;='2025'!$L194,R$4&lt;='2025'!$M194), R$4&lt;&gt;DATE(2025,7,4)), (SWITCH(weekday(R$4), 1, 0, 2, if(ISBLANK('2025'!$P194), 0, 1), 3, if(ISBLANK('2025'!$Q194), 0, 1), 4, if(ISBLANK('2025'!$R194), 0, 1), 5, if(ISBLANK('2025'!$S194), 0, 1), 6, if(ISBLANK('2025'!$T194), 0, 1), 7, 0))), 1, "")</f>
        <v/>
      </c>
      <c r="S196" s="1" t="str">
        <f>IF(AND(AND(AND(S$4&gt;='2025'!$L194,S$4&lt;='2025'!$M194), S$4&lt;&gt;DATE(2025,7,4)), (SWITCH(weekday(S$4), 1, 0, 2, if(ISBLANK('2025'!$P194), 0, 1), 3, if(ISBLANK('2025'!$Q194), 0, 1), 4, if(ISBLANK('2025'!$R194), 0, 1), 5, if(ISBLANK('2025'!$S194), 0, 1), 6, if(ISBLANK('2025'!$T194), 0, 1), 7, 0))), 1, "")</f>
        <v/>
      </c>
      <c r="T196" s="1" t="str">
        <f>IF(AND(AND(AND(T$4&gt;='2025'!$L194,T$4&lt;='2025'!$M194), T$4&lt;&gt;DATE(2025,7,4)), (SWITCH(weekday(T$4), 1, 0, 2, if(ISBLANK('2025'!$P194), 0, 1), 3, if(ISBLANK('2025'!$Q194), 0, 1), 4, if(ISBLANK('2025'!$R194), 0, 1), 5, if(ISBLANK('2025'!$S194), 0, 1), 6, if(ISBLANK('2025'!$T194), 0, 1), 7, 0))), 1, "")</f>
        <v/>
      </c>
      <c r="U196" s="1" t="str">
        <f>IF(AND(AND(AND(U$4&gt;='2025'!$L194,U$4&lt;='2025'!$M194), U$4&lt;&gt;DATE(2025,7,4)), (SWITCH(weekday(U$4), 1, 0, 2, if(ISBLANK('2025'!$P194), 0, 1), 3, if(ISBLANK('2025'!$Q194), 0, 1), 4, if(ISBLANK('2025'!$R194), 0, 1), 5, if(ISBLANK('2025'!$S194), 0, 1), 6, if(ISBLANK('2025'!$T194), 0, 1), 7, 0))), 1, "")</f>
        <v/>
      </c>
      <c r="V196" s="1" t="str">
        <f>IF(AND(AND(AND(V$4&gt;='2025'!$L194,V$4&lt;='2025'!$M194), V$4&lt;&gt;DATE(2025,7,4)), (SWITCH(weekday(V$4), 1, 0, 2, if(ISBLANK('2025'!$P194), 0, 1), 3, if(ISBLANK('2025'!$Q194), 0, 1), 4, if(ISBLANK('2025'!$R194), 0, 1), 5, if(ISBLANK('2025'!$S194), 0, 1), 6, if(ISBLANK('2025'!$T194), 0, 1), 7, 0))), 1, "")</f>
        <v/>
      </c>
      <c r="W196" s="1" t="str">
        <f>IF(AND(AND(AND(W$4&gt;='2025'!$L194,W$4&lt;='2025'!$M194), W$4&lt;&gt;DATE(2025,7,4)), (SWITCH(weekday(W$4), 1, 0, 2, if(ISBLANK('2025'!$P194), 0, 1), 3, if(ISBLANK('2025'!$Q194), 0, 1), 4, if(ISBLANK('2025'!$R194), 0, 1), 5, if(ISBLANK('2025'!$S194), 0, 1), 6, if(ISBLANK('2025'!$T194), 0, 1), 7, 0))), 1, "")</f>
        <v/>
      </c>
      <c r="X196" s="1" t="str">
        <f>IF(AND(AND(AND(X$4&gt;='2025'!$L194,X$4&lt;='2025'!$M194), X$4&lt;&gt;DATE(2025,7,4)), (SWITCH(weekday(X$4), 1, 0, 2, if(ISBLANK('2025'!$P194), 0, 1), 3, if(ISBLANK('2025'!$Q194), 0, 1), 4, if(ISBLANK('2025'!$R194), 0, 1), 5, if(ISBLANK('2025'!$S194), 0, 1), 6, if(ISBLANK('2025'!$T194), 0, 1), 7, 0))), 1, "")</f>
        <v/>
      </c>
      <c r="Y196" s="1" t="str">
        <f>IF(AND(AND(AND(Y$4&gt;='2025'!$L194,Y$4&lt;='2025'!$M194), Y$4&lt;&gt;DATE(2025,7,4)), (SWITCH(weekday(Y$4), 1, 0, 2, if(ISBLANK('2025'!$P194), 0, 1), 3, if(ISBLANK('2025'!$Q194), 0, 1), 4, if(ISBLANK('2025'!$R194), 0, 1), 5, if(ISBLANK('2025'!$S194), 0, 1), 6, if(ISBLANK('2025'!$T194), 0, 1), 7, 0))), 1, "")</f>
        <v/>
      </c>
      <c r="Z196" s="1" t="str">
        <f>IF(AND(AND(AND(Z$4&gt;='2025'!$L194,Z$4&lt;='2025'!$M194), Z$4&lt;&gt;DATE(2025,7,4)), (SWITCH(weekday(Z$4), 1, 0, 2, if(ISBLANK('2025'!$P194), 0, 1), 3, if(ISBLANK('2025'!$Q194), 0, 1), 4, if(ISBLANK('2025'!$R194), 0, 1), 5, if(ISBLANK('2025'!$S194), 0, 1), 6, if(ISBLANK('2025'!$T194), 0, 1), 7, 0))), 1, "")</f>
        <v/>
      </c>
      <c r="AA196" s="1" t="str">
        <f>IF(AND(AND(AND(AA$4&gt;='2025'!$L194,AA$4&lt;='2025'!$M194), AA$4&lt;&gt;DATE(2025,7,4)), (SWITCH(weekday(AA$4), 1, 0, 2, if(ISBLANK('2025'!$P194), 0, 1), 3, if(ISBLANK('2025'!$Q194), 0, 1), 4, if(ISBLANK('2025'!$R194), 0, 1), 5, if(ISBLANK('2025'!$S194), 0, 1), 6, if(ISBLANK('2025'!$T194), 0, 1), 7, 0))), 1, "")</f>
        <v/>
      </c>
      <c r="AB196" s="1" t="str">
        <f>IF(AND(AND(AND(AB$4&gt;='2025'!$L194,AB$4&lt;='2025'!$M194), AB$4&lt;&gt;DATE(2025,7,4)), (SWITCH(weekday(AB$4), 1, 0, 2, if(ISBLANK('2025'!$P194), 0, 1), 3, if(ISBLANK('2025'!$Q194), 0, 1), 4, if(ISBLANK('2025'!$R194), 0, 1), 5, if(ISBLANK('2025'!$S194), 0, 1), 6, if(ISBLANK('2025'!$T194), 0, 1), 7, 0))), 1, "")</f>
        <v/>
      </c>
      <c r="AC196" s="1" t="str">
        <f>IF(AND(AND(AND(AC$4&gt;='2025'!$L194,AC$4&lt;='2025'!$M194), AC$4&lt;&gt;DATE(2025,7,4)), (SWITCH(weekday(AC$4), 1, 0, 2, if(ISBLANK('2025'!$P194), 0, 1), 3, if(ISBLANK('2025'!$Q194), 0, 1), 4, if(ISBLANK('2025'!$R194), 0, 1), 5, if(ISBLANK('2025'!$S194), 0, 1), 6, if(ISBLANK('2025'!$T194), 0, 1), 7, 0))), 1, "")</f>
        <v/>
      </c>
      <c r="AD196" s="1" t="str">
        <f>IF(AND(AND(AND(AD$4&gt;='2025'!$L194,AD$4&lt;='2025'!$M194), AD$4&lt;&gt;DATE(2025,7,4)), (SWITCH(weekday(AD$4), 1, 0, 2, if(ISBLANK('2025'!$P194), 0, 1), 3, if(ISBLANK('2025'!$Q194), 0, 1), 4, if(ISBLANK('2025'!$R194), 0, 1), 5, if(ISBLANK('2025'!$S194), 0, 1), 6, if(ISBLANK('2025'!$T194), 0, 1), 7, 0))), 1, "")</f>
        <v/>
      </c>
      <c r="AE196" s="1" t="str">
        <f>IF(AND(AND(AND(AE$4&gt;='2025'!$L194,AE$4&lt;='2025'!$M194), AE$4&lt;&gt;DATE(2025,7,4)), (SWITCH(weekday(AE$4), 1, 0, 2, if(ISBLANK('2025'!$P194), 0, 1), 3, if(ISBLANK('2025'!$Q194), 0, 1), 4, if(ISBLANK('2025'!$R194), 0, 1), 5, if(ISBLANK('2025'!$S194), 0, 1), 6, if(ISBLANK('2025'!$T194), 0, 1), 7, 0))), 1, "")</f>
        <v/>
      </c>
      <c r="AF196" s="1" t="str">
        <f>IF(AND(AND(AND(AF$4&gt;='2025'!$L194,AF$4&lt;='2025'!$M194), AF$4&lt;&gt;DATE(2025,7,4)), (SWITCH(weekday(AF$4), 1, 0, 2, if(ISBLANK('2025'!$P194), 0, 1), 3, if(ISBLANK('2025'!$Q194), 0, 1), 4, if(ISBLANK('2025'!$R194), 0, 1), 5, if(ISBLANK('2025'!$S194), 0, 1), 6, if(ISBLANK('2025'!$T194), 0, 1), 7, 0))), 1, "")</f>
        <v/>
      </c>
      <c r="AG196" s="1" t="str">
        <f>IF(AND(AND(AND(AG$4&gt;='2025'!$L194,AG$4&lt;='2025'!$M194), AG$4&lt;&gt;DATE(2025,7,4)), (SWITCH(weekday(AG$4), 1, 0, 2, if(ISBLANK('2025'!$P194), 0, 1), 3, if(ISBLANK('2025'!$Q194), 0, 1), 4, if(ISBLANK('2025'!$R194), 0, 1), 5, if(ISBLANK('2025'!$S194), 0, 1), 6, if(ISBLANK('2025'!$T194), 0, 1), 7, 0))), 1, "")</f>
        <v/>
      </c>
      <c r="AH196" s="1" t="str">
        <f>IF(AND(AND(AND(AH$4&gt;='2025'!$L194,AH$4&lt;='2025'!$M194), AH$4&lt;&gt;DATE(2025,7,4)), (SWITCH(weekday(AH$4), 1, 0, 2, if(ISBLANK('2025'!$P194), 0, 1), 3, if(ISBLANK('2025'!$Q194), 0, 1), 4, if(ISBLANK('2025'!$R194), 0, 1), 5, if(ISBLANK('2025'!$S194), 0, 1), 6, if(ISBLANK('2025'!$T194), 0, 1), 7, 0))), 1, "")</f>
        <v/>
      </c>
      <c r="AI196" s="1" t="str">
        <f>IF(AND(AND(AND(AI$4&gt;='2025'!$L194,AI$4&lt;='2025'!$M194), AI$4&lt;&gt;DATE(2025,7,4)), (SWITCH(weekday(AI$4), 1, 0, 2, if(ISBLANK('2025'!$P194), 0, 1), 3, if(ISBLANK('2025'!$Q194), 0, 1), 4, if(ISBLANK('2025'!$R194), 0, 1), 5, if(ISBLANK('2025'!$S194), 0, 1), 6, if(ISBLANK('2025'!$T194), 0, 1), 7, 0))), 1, "")</f>
        <v/>
      </c>
      <c r="AJ196" s="1" t="str">
        <f>IF(AND(AND(AND(AJ$4&gt;='2025'!$L194,AJ$4&lt;='2025'!$M194), AJ$4&lt;&gt;DATE(2025,7,4)), (SWITCH(weekday(AJ$4), 1, 0, 2, if(ISBLANK('2025'!$P194), 0, 1), 3, if(ISBLANK('2025'!$Q194), 0, 1), 4, if(ISBLANK('2025'!$R194), 0, 1), 5, if(ISBLANK('2025'!$S194), 0, 1), 6, if(ISBLANK('2025'!$T194), 0, 1), 7, 0))), 1, "")</f>
        <v/>
      </c>
      <c r="AK196" s="1" t="str">
        <f>IF(AND(AND(AND(AK$4&gt;='2025'!$L194,AK$4&lt;='2025'!$M194), AK$4&lt;&gt;DATE(2025,7,4)), (SWITCH(weekday(AK$4), 1, 0, 2, if(ISBLANK('2025'!$P194), 0, 1), 3, if(ISBLANK('2025'!$Q194), 0, 1), 4, if(ISBLANK('2025'!$R194), 0, 1), 5, if(ISBLANK('2025'!$S194), 0, 1), 6, if(ISBLANK('2025'!$T194), 0, 1), 7, 0))), 1, "")</f>
        <v/>
      </c>
      <c r="AL196" s="1" t="str">
        <f>IF(AND(AND(AND(AL$4&gt;='2025'!$L194,AL$4&lt;='2025'!$M194), AL$4&lt;&gt;DATE(2025,7,4)), (SWITCH(weekday(AL$4), 1, 0, 2, if(ISBLANK('2025'!$P194), 0, 1), 3, if(ISBLANK('2025'!$Q194), 0, 1), 4, if(ISBLANK('2025'!$R194), 0, 1), 5, if(ISBLANK('2025'!$S194), 0, 1), 6, if(ISBLANK('2025'!$T194), 0, 1), 7, 0))), 1, "")</f>
        <v/>
      </c>
      <c r="AM196" s="1" t="str">
        <f>IF(AND(AND(AND(AM$4&gt;='2025'!$L194,AM$4&lt;='2025'!$M194), AM$4&lt;&gt;DATE(2025,7,4)), (SWITCH(weekday(AM$4), 1, 0, 2, if(ISBLANK('2025'!$P194), 0, 1), 3, if(ISBLANK('2025'!$Q194), 0, 1), 4, if(ISBLANK('2025'!$R194), 0, 1), 5, if(ISBLANK('2025'!$S194), 0, 1), 6, if(ISBLANK('2025'!$T194), 0, 1), 7, 0))), 1, "")</f>
        <v/>
      </c>
      <c r="AN196" s="1" t="str">
        <f>IF(AND(AND(AND(AN$4&gt;='2025'!$L194,AN$4&lt;='2025'!$M194), AN$4&lt;&gt;DATE(2025,7,4)), (SWITCH(weekday(AN$4), 1, 0, 2, if(ISBLANK('2025'!$P194), 0, 1), 3, if(ISBLANK('2025'!$Q194), 0, 1), 4, if(ISBLANK('2025'!$R194), 0, 1), 5, if(ISBLANK('2025'!$S194), 0, 1), 6, if(ISBLANK('2025'!$T194), 0, 1), 7, 0))), 1, "")</f>
        <v/>
      </c>
      <c r="AO196" s="1" t="str">
        <f>IF(AND(AND(AND(AO$4&gt;='2025'!$L194,AO$4&lt;='2025'!$M194), AO$4&lt;&gt;DATE(2025,7,4)), (SWITCH(weekday(AO$4), 1, 0, 2, if(ISBLANK('2025'!$P194), 0, 1), 3, if(ISBLANK('2025'!$Q194), 0, 1), 4, if(ISBLANK('2025'!$R194), 0, 1), 5, if(ISBLANK('2025'!$S194), 0, 1), 6, if(ISBLANK('2025'!$T194), 0, 1), 7, 0))), 1, "")</f>
        <v/>
      </c>
      <c r="AP196" s="1" t="str">
        <f>IF(AND(AND(AND(AP$4&gt;='2025'!$L194,AP$4&lt;='2025'!$M194), AP$4&lt;&gt;DATE(2025,7,4)), (SWITCH(weekday(AP$4), 1, 0, 2, if(ISBLANK('2025'!$P194), 0, 1), 3, if(ISBLANK('2025'!$Q194), 0, 1), 4, if(ISBLANK('2025'!$R194), 0, 1), 5, if(ISBLANK('2025'!$S194), 0, 1), 6, if(ISBLANK('2025'!$T194), 0, 1), 7, 0))), 1, "")</f>
        <v/>
      </c>
      <c r="AQ196" s="1" t="str">
        <f>IF(AND(AND(AND(AQ$4&gt;='2025'!$L194,AQ$4&lt;='2025'!$M194), AQ$4&lt;&gt;DATE(2025,7,4)), (SWITCH(weekday(AQ$4), 1, 0, 2, if(ISBLANK('2025'!$P194), 0, 1), 3, if(ISBLANK('2025'!$Q194), 0, 1), 4, if(ISBLANK('2025'!$R194), 0, 1), 5, if(ISBLANK('2025'!$S194), 0, 1), 6, if(ISBLANK('2025'!$T194), 0, 1), 7, 0))), 1, "")</f>
        <v/>
      </c>
      <c r="AR196" s="1" t="str">
        <f>IF(AND(AND(AND(AR$4&gt;='2025'!$L194,AR$4&lt;='2025'!$M194), AR$4&lt;&gt;DATE(2025,7,4)), (SWITCH(weekday(AR$4), 1, 0, 2, if(ISBLANK('2025'!$P194), 0, 1), 3, if(ISBLANK('2025'!$Q194), 0, 1), 4, if(ISBLANK('2025'!$R194), 0, 1), 5, if(ISBLANK('2025'!$S194), 0, 1), 6, if(ISBLANK('2025'!$T194), 0, 1), 7, 0))), 1, "")</f>
        <v/>
      </c>
      <c r="AS196" s="1" t="str">
        <f>IF(AND(AND(AND(AS$4&gt;='2025'!$L194,AS$4&lt;='2025'!$M194), AS$4&lt;&gt;DATE(2025,7,4)), (SWITCH(weekday(AS$4), 1, 0, 2, if(ISBLANK('2025'!$P194), 0, 1), 3, if(ISBLANK('2025'!$Q194), 0, 1), 4, if(ISBLANK('2025'!$R194), 0, 1), 5, if(ISBLANK('2025'!$S194), 0, 1), 6, if(ISBLANK('2025'!$T194), 0, 1), 7, 0))), 1, "")</f>
        <v/>
      </c>
      <c r="AT196" s="1" t="str">
        <f>IF(AND(AND(AND(AT$4&gt;='2025'!$L194,AT$4&lt;='2025'!$M194), AT$4&lt;&gt;DATE(2025,7,4)), (SWITCH(weekday(AT$4), 1, 0, 2, if(ISBLANK('2025'!$P194), 0, 1), 3, if(ISBLANK('2025'!$Q194), 0, 1), 4, if(ISBLANK('2025'!$R194), 0, 1), 5, if(ISBLANK('2025'!$S194), 0, 1), 6, if(ISBLANK('2025'!$T194), 0, 1), 7, 0))), 1, "")</f>
        <v/>
      </c>
      <c r="AU196" s="1" t="str">
        <f>IF(AND(AND(AND(AU$4&gt;='2025'!$L194,AU$4&lt;='2025'!$M194), AU$4&lt;&gt;DATE(2025,7,4)), (SWITCH(weekday(AU$4), 1, 0, 2, if(ISBLANK('2025'!$P194), 0, 1), 3, if(ISBLANK('2025'!$Q194), 0, 1), 4, if(ISBLANK('2025'!$R194), 0, 1), 5, if(ISBLANK('2025'!$S194), 0, 1), 6, if(ISBLANK('2025'!$T194), 0, 1), 7, 0))), 1, "")</f>
        <v/>
      </c>
      <c r="AV196" s="1" t="str">
        <f>IF(AND(AND(AND(AV$4&gt;='2025'!$L194,AV$4&lt;='2025'!$M194), AV$4&lt;&gt;DATE(2025,7,4)), (SWITCH(weekday(AV$4), 1, 0, 2, if(ISBLANK('2025'!$P194), 0, 1), 3, if(ISBLANK('2025'!$Q194), 0, 1), 4, if(ISBLANK('2025'!$R194), 0, 1), 5, if(ISBLANK('2025'!$S194), 0, 1), 6, if(ISBLANK('2025'!$T194), 0, 1), 7, 0))), 1, "")</f>
        <v/>
      </c>
      <c r="AW196" s="1" t="str">
        <f>IF(AND(AND(AND(AW$4&gt;='2025'!$L194,AW$4&lt;='2025'!$M194), AW$4&lt;&gt;DATE(2025,7,4)), (SWITCH(weekday(AW$4), 1, 0, 2, if(ISBLANK('2025'!$P194), 0, 1), 3, if(ISBLANK('2025'!$Q194), 0, 1), 4, if(ISBLANK('2025'!$R194), 0, 1), 5, if(ISBLANK('2025'!$S194), 0, 1), 6, if(ISBLANK('2025'!$T194), 0, 1), 7, 0))), 1, "")</f>
        <v/>
      </c>
      <c r="AX196" s="1" t="str">
        <f>IF(AND(AND(AND(AX$4&gt;='2025'!$L194,AX$4&lt;='2025'!$M194), AX$4&lt;&gt;DATE(2025,7,4)), (SWITCH(weekday(AX$4), 1, 0, 2, if(ISBLANK('2025'!$P194), 0, 1), 3, if(ISBLANK('2025'!$Q194), 0, 1), 4, if(ISBLANK('2025'!$R194), 0, 1), 5, if(ISBLANK('2025'!$S194), 0, 1), 6, if(ISBLANK('2025'!$T194), 0, 1), 7, 0))), 1, "")</f>
        <v/>
      </c>
      <c r="AY196" s="1" t="str">
        <f>IF(AND(AND(AND(AY$4&gt;='2025'!$L194,AY$4&lt;='2025'!$M194), AY$4&lt;&gt;DATE(2025,7,4)), (SWITCH(weekday(AY$4), 1, 0, 2, if(ISBLANK('2025'!$P194), 0, 1), 3, if(ISBLANK('2025'!$Q194), 0, 1), 4, if(ISBLANK('2025'!$R194), 0, 1), 5, if(ISBLANK('2025'!$S194), 0, 1), 6, if(ISBLANK('2025'!$T194), 0, 1), 7, 0))), 1, "")</f>
        <v/>
      </c>
      <c r="AZ196" s="1" t="str">
        <f>IF(AND(AND(AND(AZ$4&gt;='2025'!$L194,AZ$4&lt;='2025'!$M194), AZ$4&lt;&gt;DATE(2025,7,4)), (SWITCH(weekday(AZ$4), 1, 0, 2, if(ISBLANK('2025'!$P194), 0, 1), 3, if(ISBLANK('2025'!$Q194), 0, 1), 4, if(ISBLANK('2025'!$R194), 0, 1), 5, if(ISBLANK('2025'!$S194), 0, 1), 6, if(ISBLANK('2025'!$T194), 0, 1), 7, 0))), 1, "")</f>
        <v/>
      </c>
      <c r="BA196" s="1" t="str">
        <f>IF(AND(AND(AND(BA$4&gt;='2025'!$L194,BA$4&lt;='2025'!$M194), BA$4&lt;&gt;DATE(2025,7,4)), (SWITCH(weekday(BA$4), 1, 0, 2, if(ISBLANK('2025'!$P194), 0, 1), 3, if(ISBLANK('2025'!$Q194), 0, 1), 4, if(ISBLANK('2025'!$R194), 0, 1), 5, if(ISBLANK('2025'!$S194), 0, 1), 6, if(ISBLANK('2025'!$T194), 0, 1), 7, 0))), 1, "")</f>
        <v/>
      </c>
      <c r="BB196" s="1" t="str">
        <f>IF(AND(AND(AND(BB$4&gt;='2025'!$L194,BB$4&lt;='2025'!$M194), BB$4&lt;&gt;DATE(2025,7,4)), (SWITCH(weekday(BB$4), 1, 0, 2, if(ISBLANK('2025'!$P194), 0, 1), 3, if(ISBLANK('2025'!$Q194), 0, 1), 4, if(ISBLANK('2025'!$R194), 0, 1), 5, if(ISBLANK('2025'!$S194), 0, 1), 6, if(ISBLANK('2025'!$T194), 0, 1), 7, 0))), 1, "")</f>
        <v/>
      </c>
      <c r="BC196" s="1" t="str">
        <f>IF(AND(AND(AND(BC$4&gt;='2025'!$L194,BC$4&lt;='2025'!$M194), BC$4&lt;&gt;DATE(2025,7,4)), (SWITCH(weekday(BC$4), 1, 0, 2, if(ISBLANK('2025'!$P194), 0, 1), 3, if(ISBLANK('2025'!$Q194), 0, 1), 4, if(ISBLANK('2025'!$R194), 0, 1), 5, if(ISBLANK('2025'!$S194), 0, 1), 6, if(ISBLANK('2025'!$T194), 0, 1), 7, 0))), 1, "")</f>
        <v/>
      </c>
      <c r="BD196" s="1" t="str">
        <f>IF(AND(AND(AND(BD$4&gt;='2025'!$L194,BD$4&lt;='2025'!$M194), BD$4&lt;&gt;DATE(2025,7,4)), (SWITCH(weekday(BD$4), 1, 0, 2, if(ISBLANK('2025'!$P194), 0, 1), 3, if(ISBLANK('2025'!$Q194), 0, 1), 4, if(ISBLANK('2025'!$R194), 0, 1), 5, if(ISBLANK('2025'!$S194), 0, 1), 6, if(ISBLANK('2025'!$T194), 0, 1), 7, 0))), 1, "")</f>
        <v/>
      </c>
      <c r="BE196" s="1" t="str">
        <f>IF(AND(AND(AND(BE$4&gt;='2025'!$L194,BE$4&lt;='2025'!$M194), BE$4&lt;&gt;DATE(2025,7,4)), (SWITCH(weekday(BE$4), 1, 0, 2, if(ISBLANK('2025'!$P194), 0, 1), 3, if(ISBLANK('2025'!$Q194), 0, 1), 4, if(ISBLANK('2025'!$R194), 0, 1), 5, if(ISBLANK('2025'!$S194), 0, 1), 6, if(ISBLANK('2025'!$T194), 0, 1), 7, 0))), 1, "")</f>
        <v/>
      </c>
      <c r="BF196" s="1" t="str">
        <f>IF(AND(AND(AND(BF$4&gt;='2025'!$L194,BF$4&lt;='2025'!$M194), BF$4&lt;&gt;DATE(2025,7,4)), (SWITCH(weekday(BF$4), 1, 0, 2, if(ISBLANK('2025'!$P194), 0, 1), 3, if(ISBLANK('2025'!$Q194), 0, 1), 4, if(ISBLANK('2025'!$R194), 0, 1), 5, if(ISBLANK('2025'!$S194), 0, 1), 6, if(ISBLANK('2025'!$T194), 0, 1), 7, 0))), 1, "")</f>
        <v/>
      </c>
      <c r="BG196" s="1"/>
      <c r="BH196" s="1"/>
      <c r="BI196" s="1"/>
      <c r="BJ196" s="1"/>
      <c r="BK196" s="1"/>
      <c r="BL196" s="1"/>
    </row>
    <row r="197">
      <c r="A197" s="1">
        <f t="shared" si="3"/>
        <v>197</v>
      </c>
      <c r="B197" s="1" t="str">
        <f>'2025'!D161</f>
        <v>, </v>
      </c>
      <c r="C197" s="1" t="str">
        <f>'2025'!H161</f>
        <v/>
      </c>
      <c r="D197" s="1" t="str">
        <f>IF(AND(AND(AND(D$4&gt;='2025'!$L195,D$4&lt;='2025'!$M195), D$4&lt;&gt;DATE(2025,7,4)), (SWITCH(weekday(D$4), 1, 0, 2, if(ISBLANK('2025'!$P195), 0, 1), 3, if(ISBLANK('2025'!$Q195), 0, 1), 4, if(ISBLANK('2025'!$R195), 0, 1), 5, if(ISBLANK('2025'!$S195), 0, 1), 6, if(ISBLANK('2025'!$T195), 0, 1), 7, 0))), 1, "")</f>
        <v/>
      </c>
      <c r="E197" s="1" t="str">
        <f>IF(AND(AND(AND(E$4&gt;='2025'!$L195,E$4&lt;='2025'!$M195), E$4&lt;&gt;DATE(2025,7,4)), (SWITCH(weekday(E$4), 1, 0, 2, if(ISBLANK('2025'!$P195), 0, 1), 3, if(ISBLANK('2025'!$Q195), 0, 1), 4, if(ISBLANK('2025'!$R195), 0, 1), 5, if(ISBLANK('2025'!$S195), 0, 1), 6, if(ISBLANK('2025'!$T195), 0, 1), 7, 0))), 1, "")</f>
        <v/>
      </c>
      <c r="F197" s="1" t="str">
        <f>IF(AND(AND(AND(F$4&gt;='2025'!$L195,F$4&lt;='2025'!$M195), F$4&lt;&gt;DATE(2025,7,4)), (SWITCH(weekday(F$4), 1, 0, 2, if(ISBLANK('2025'!$P195), 0, 1), 3, if(ISBLANK('2025'!$Q195), 0, 1), 4, if(ISBLANK('2025'!$R195), 0, 1), 5, if(ISBLANK('2025'!$S195), 0, 1), 6, if(ISBLANK('2025'!$T195), 0, 1), 7, 0))), 1, "")</f>
        <v/>
      </c>
      <c r="G197" s="1" t="str">
        <f>IF(AND(AND(AND(G$4&gt;='2025'!$L195,G$4&lt;='2025'!$M195), G$4&lt;&gt;DATE(2025,7,4)), (SWITCH(weekday(G$4), 1, 0, 2, if(ISBLANK('2025'!$P195), 0, 1), 3, if(ISBLANK('2025'!$Q195), 0, 1), 4, if(ISBLANK('2025'!$R195), 0, 1), 5, if(ISBLANK('2025'!$S195), 0, 1), 6, if(ISBLANK('2025'!$T195), 0, 1), 7, 0))), 1, "")</f>
        <v/>
      </c>
      <c r="H197" s="1" t="str">
        <f>IF(AND(AND(AND(H$4&gt;='2025'!$L195,H$4&lt;='2025'!$M195), H$4&lt;&gt;DATE(2025,7,4)), (SWITCH(weekday(H$4), 1, 0, 2, if(ISBLANK('2025'!$P195), 0, 1), 3, if(ISBLANK('2025'!$Q195), 0, 1), 4, if(ISBLANK('2025'!$R195), 0, 1), 5, if(ISBLANK('2025'!$S195), 0, 1), 6, if(ISBLANK('2025'!$T195), 0, 1), 7, 0))), 1, "")</f>
        <v/>
      </c>
      <c r="I197" s="1" t="str">
        <f>IF(AND(AND(AND(I$4&gt;='2025'!$L195,I$4&lt;='2025'!$M195), I$4&lt;&gt;DATE(2025,7,4)), (SWITCH(weekday(I$4), 1, 0, 2, if(ISBLANK('2025'!$P195), 0, 1), 3, if(ISBLANK('2025'!$Q195), 0, 1), 4, if(ISBLANK('2025'!$R195), 0, 1), 5, if(ISBLANK('2025'!$S195), 0, 1), 6, if(ISBLANK('2025'!$T195), 0, 1), 7, 0))), 1, "")</f>
        <v/>
      </c>
      <c r="J197" s="1" t="str">
        <f>IF(AND(AND(AND(J$4&gt;='2025'!$L195,J$4&lt;='2025'!$M195), J$4&lt;&gt;DATE(2025,7,4)), (SWITCH(weekday(J$4), 1, 0, 2, if(ISBLANK('2025'!$P195), 0, 1), 3, if(ISBLANK('2025'!$Q195), 0, 1), 4, if(ISBLANK('2025'!$R195), 0, 1), 5, if(ISBLANK('2025'!$S195), 0, 1), 6, if(ISBLANK('2025'!$T195), 0, 1), 7, 0))), 1, "")</f>
        <v/>
      </c>
      <c r="K197" s="1" t="str">
        <f>IF(AND(AND(AND(K$4&gt;='2025'!$L195,K$4&lt;='2025'!$M195), K$4&lt;&gt;DATE(2025,7,4)), (SWITCH(weekday(K$4), 1, 0, 2, if(ISBLANK('2025'!$P195), 0, 1), 3, if(ISBLANK('2025'!$Q195), 0, 1), 4, if(ISBLANK('2025'!$R195), 0, 1), 5, if(ISBLANK('2025'!$S195), 0, 1), 6, if(ISBLANK('2025'!$T195), 0, 1), 7, 0))), 1, "")</f>
        <v/>
      </c>
      <c r="L197" s="1" t="str">
        <f>IF(AND(AND(AND(L$4&gt;='2025'!$L195,L$4&lt;='2025'!$M195), L$4&lt;&gt;DATE(2025,7,4)), (SWITCH(weekday(L$4), 1, 0, 2, if(ISBLANK('2025'!$P195), 0, 1), 3, if(ISBLANK('2025'!$Q195), 0, 1), 4, if(ISBLANK('2025'!$R195), 0, 1), 5, if(ISBLANK('2025'!$S195), 0, 1), 6, if(ISBLANK('2025'!$T195), 0, 1), 7, 0))), 1, "")</f>
        <v/>
      </c>
      <c r="M197" s="1" t="str">
        <f>IF(AND(AND(AND(M$4&gt;='2025'!$L195,M$4&lt;='2025'!$M195), M$4&lt;&gt;DATE(2025,7,4)), (SWITCH(weekday(M$4), 1, 0, 2, if(ISBLANK('2025'!$P195), 0, 1), 3, if(ISBLANK('2025'!$Q195), 0, 1), 4, if(ISBLANK('2025'!$R195), 0, 1), 5, if(ISBLANK('2025'!$S195), 0, 1), 6, if(ISBLANK('2025'!$T195), 0, 1), 7, 0))), 1, "")</f>
        <v/>
      </c>
      <c r="N197" s="1" t="str">
        <f>IF(AND(AND(AND(N$4&gt;='2025'!$L195,N$4&lt;='2025'!$M195), N$4&lt;&gt;DATE(2025,7,4)), (SWITCH(weekday(N$4), 1, 0, 2, if(ISBLANK('2025'!$P195), 0, 1), 3, if(ISBLANK('2025'!$Q195), 0, 1), 4, if(ISBLANK('2025'!$R195), 0, 1), 5, if(ISBLANK('2025'!$S195), 0, 1), 6, if(ISBLANK('2025'!$T195), 0, 1), 7, 0))), 1, "")</f>
        <v/>
      </c>
      <c r="O197" s="1" t="str">
        <f>IF(AND(AND(AND(O$4&gt;='2025'!$L195,O$4&lt;='2025'!$M195), O$4&lt;&gt;DATE(2025,7,4)), (SWITCH(weekday(O$4), 1, 0, 2, if(ISBLANK('2025'!$P195), 0, 1), 3, if(ISBLANK('2025'!$Q195), 0, 1), 4, if(ISBLANK('2025'!$R195), 0, 1), 5, if(ISBLANK('2025'!$S195), 0, 1), 6, if(ISBLANK('2025'!$T195), 0, 1), 7, 0))), 1, "")</f>
        <v/>
      </c>
      <c r="P197" s="1" t="str">
        <f>IF(AND(AND(AND(P$4&gt;='2025'!$L195,P$4&lt;='2025'!$M195), P$4&lt;&gt;DATE(2025,7,4)), (SWITCH(weekday(P$4), 1, 0, 2, if(ISBLANK('2025'!$P195), 0, 1), 3, if(ISBLANK('2025'!$Q195), 0, 1), 4, if(ISBLANK('2025'!$R195), 0, 1), 5, if(ISBLANK('2025'!$S195), 0, 1), 6, if(ISBLANK('2025'!$T195), 0, 1), 7, 0))), 1, "")</f>
        <v/>
      </c>
      <c r="Q197" s="1" t="str">
        <f>IF(AND(AND(AND(Q$4&gt;='2025'!$L195,Q$4&lt;='2025'!$M195), Q$4&lt;&gt;DATE(2025,7,4)), (SWITCH(weekday(Q$4), 1, 0, 2, if(ISBLANK('2025'!$P195), 0, 1), 3, if(ISBLANK('2025'!$Q195), 0, 1), 4, if(ISBLANK('2025'!$R195), 0, 1), 5, if(ISBLANK('2025'!$S195), 0, 1), 6, if(ISBLANK('2025'!$T195), 0, 1), 7, 0))), 1, "")</f>
        <v/>
      </c>
      <c r="R197" s="1" t="str">
        <f>IF(AND(AND(AND(R$4&gt;='2025'!$L195,R$4&lt;='2025'!$M195), R$4&lt;&gt;DATE(2025,7,4)), (SWITCH(weekday(R$4), 1, 0, 2, if(ISBLANK('2025'!$P195), 0, 1), 3, if(ISBLANK('2025'!$Q195), 0, 1), 4, if(ISBLANK('2025'!$R195), 0, 1), 5, if(ISBLANK('2025'!$S195), 0, 1), 6, if(ISBLANK('2025'!$T195), 0, 1), 7, 0))), 1, "")</f>
        <v/>
      </c>
      <c r="S197" s="1" t="str">
        <f>IF(AND(AND(AND(S$4&gt;='2025'!$L195,S$4&lt;='2025'!$M195), S$4&lt;&gt;DATE(2025,7,4)), (SWITCH(weekday(S$4), 1, 0, 2, if(ISBLANK('2025'!$P195), 0, 1), 3, if(ISBLANK('2025'!$Q195), 0, 1), 4, if(ISBLANK('2025'!$R195), 0, 1), 5, if(ISBLANK('2025'!$S195), 0, 1), 6, if(ISBLANK('2025'!$T195), 0, 1), 7, 0))), 1, "")</f>
        <v/>
      </c>
      <c r="T197" s="1" t="str">
        <f>IF(AND(AND(AND(T$4&gt;='2025'!$L195,T$4&lt;='2025'!$M195), T$4&lt;&gt;DATE(2025,7,4)), (SWITCH(weekday(T$4), 1, 0, 2, if(ISBLANK('2025'!$P195), 0, 1), 3, if(ISBLANK('2025'!$Q195), 0, 1), 4, if(ISBLANK('2025'!$R195), 0, 1), 5, if(ISBLANK('2025'!$S195), 0, 1), 6, if(ISBLANK('2025'!$T195), 0, 1), 7, 0))), 1, "")</f>
        <v/>
      </c>
      <c r="U197" s="1" t="str">
        <f>IF(AND(AND(AND(U$4&gt;='2025'!$L195,U$4&lt;='2025'!$M195), U$4&lt;&gt;DATE(2025,7,4)), (SWITCH(weekday(U$4), 1, 0, 2, if(ISBLANK('2025'!$P195), 0, 1), 3, if(ISBLANK('2025'!$Q195), 0, 1), 4, if(ISBLANK('2025'!$R195), 0, 1), 5, if(ISBLANK('2025'!$S195), 0, 1), 6, if(ISBLANK('2025'!$T195), 0, 1), 7, 0))), 1, "")</f>
        <v/>
      </c>
      <c r="V197" s="1" t="str">
        <f>IF(AND(AND(AND(V$4&gt;='2025'!$L195,V$4&lt;='2025'!$M195), V$4&lt;&gt;DATE(2025,7,4)), (SWITCH(weekday(V$4), 1, 0, 2, if(ISBLANK('2025'!$P195), 0, 1), 3, if(ISBLANK('2025'!$Q195), 0, 1), 4, if(ISBLANK('2025'!$R195), 0, 1), 5, if(ISBLANK('2025'!$S195), 0, 1), 6, if(ISBLANK('2025'!$T195), 0, 1), 7, 0))), 1, "")</f>
        <v/>
      </c>
      <c r="W197" s="1" t="str">
        <f>IF(AND(AND(AND(W$4&gt;='2025'!$L195,W$4&lt;='2025'!$M195), W$4&lt;&gt;DATE(2025,7,4)), (SWITCH(weekday(W$4), 1, 0, 2, if(ISBLANK('2025'!$P195), 0, 1), 3, if(ISBLANK('2025'!$Q195), 0, 1), 4, if(ISBLANK('2025'!$R195), 0, 1), 5, if(ISBLANK('2025'!$S195), 0, 1), 6, if(ISBLANK('2025'!$T195), 0, 1), 7, 0))), 1, "")</f>
        <v/>
      </c>
      <c r="X197" s="1" t="str">
        <f>IF(AND(AND(AND(X$4&gt;='2025'!$L195,X$4&lt;='2025'!$M195), X$4&lt;&gt;DATE(2025,7,4)), (SWITCH(weekday(X$4), 1, 0, 2, if(ISBLANK('2025'!$P195), 0, 1), 3, if(ISBLANK('2025'!$Q195), 0, 1), 4, if(ISBLANK('2025'!$R195), 0, 1), 5, if(ISBLANK('2025'!$S195), 0, 1), 6, if(ISBLANK('2025'!$T195), 0, 1), 7, 0))), 1, "")</f>
        <v/>
      </c>
      <c r="Y197" s="1" t="str">
        <f>IF(AND(AND(AND(Y$4&gt;='2025'!$L195,Y$4&lt;='2025'!$M195), Y$4&lt;&gt;DATE(2025,7,4)), (SWITCH(weekday(Y$4), 1, 0, 2, if(ISBLANK('2025'!$P195), 0, 1), 3, if(ISBLANK('2025'!$Q195), 0, 1), 4, if(ISBLANK('2025'!$R195), 0, 1), 5, if(ISBLANK('2025'!$S195), 0, 1), 6, if(ISBLANK('2025'!$T195), 0, 1), 7, 0))), 1, "")</f>
        <v/>
      </c>
      <c r="Z197" s="1" t="str">
        <f>IF(AND(AND(AND(Z$4&gt;='2025'!$L195,Z$4&lt;='2025'!$M195), Z$4&lt;&gt;DATE(2025,7,4)), (SWITCH(weekday(Z$4), 1, 0, 2, if(ISBLANK('2025'!$P195), 0, 1), 3, if(ISBLANK('2025'!$Q195), 0, 1), 4, if(ISBLANK('2025'!$R195), 0, 1), 5, if(ISBLANK('2025'!$S195), 0, 1), 6, if(ISBLANK('2025'!$T195), 0, 1), 7, 0))), 1, "")</f>
        <v/>
      </c>
      <c r="AA197" s="1" t="str">
        <f>IF(AND(AND(AND(AA$4&gt;='2025'!$L195,AA$4&lt;='2025'!$M195), AA$4&lt;&gt;DATE(2025,7,4)), (SWITCH(weekday(AA$4), 1, 0, 2, if(ISBLANK('2025'!$P195), 0, 1), 3, if(ISBLANK('2025'!$Q195), 0, 1), 4, if(ISBLANK('2025'!$R195), 0, 1), 5, if(ISBLANK('2025'!$S195), 0, 1), 6, if(ISBLANK('2025'!$T195), 0, 1), 7, 0))), 1, "")</f>
        <v/>
      </c>
      <c r="AB197" s="1" t="str">
        <f>IF(AND(AND(AND(AB$4&gt;='2025'!$L195,AB$4&lt;='2025'!$M195), AB$4&lt;&gt;DATE(2025,7,4)), (SWITCH(weekday(AB$4), 1, 0, 2, if(ISBLANK('2025'!$P195), 0, 1), 3, if(ISBLANK('2025'!$Q195), 0, 1), 4, if(ISBLANK('2025'!$R195), 0, 1), 5, if(ISBLANK('2025'!$S195), 0, 1), 6, if(ISBLANK('2025'!$T195), 0, 1), 7, 0))), 1, "")</f>
        <v/>
      </c>
      <c r="AC197" s="1" t="str">
        <f>IF(AND(AND(AND(AC$4&gt;='2025'!$L195,AC$4&lt;='2025'!$M195), AC$4&lt;&gt;DATE(2025,7,4)), (SWITCH(weekday(AC$4), 1, 0, 2, if(ISBLANK('2025'!$P195), 0, 1), 3, if(ISBLANK('2025'!$Q195), 0, 1), 4, if(ISBLANK('2025'!$R195), 0, 1), 5, if(ISBLANK('2025'!$S195), 0, 1), 6, if(ISBLANK('2025'!$T195), 0, 1), 7, 0))), 1, "")</f>
        <v/>
      </c>
      <c r="AD197" s="1" t="str">
        <f>IF(AND(AND(AND(AD$4&gt;='2025'!$L195,AD$4&lt;='2025'!$M195), AD$4&lt;&gt;DATE(2025,7,4)), (SWITCH(weekday(AD$4), 1, 0, 2, if(ISBLANK('2025'!$P195), 0, 1), 3, if(ISBLANK('2025'!$Q195), 0, 1), 4, if(ISBLANK('2025'!$R195), 0, 1), 5, if(ISBLANK('2025'!$S195), 0, 1), 6, if(ISBLANK('2025'!$T195), 0, 1), 7, 0))), 1, "")</f>
        <v/>
      </c>
      <c r="AE197" s="1" t="str">
        <f>IF(AND(AND(AND(AE$4&gt;='2025'!$L195,AE$4&lt;='2025'!$M195), AE$4&lt;&gt;DATE(2025,7,4)), (SWITCH(weekday(AE$4), 1, 0, 2, if(ISBLANK('2025'!$P195), 0, 1), 3, if(ISBLANK('2025'!$Q195), 0, 1), 4, if(ISBLANK('2025'!$R195), 0, 1), 5, if(ISBLANK('2025'!$S195), 0, 1), 6, if(ISBLANK('2025'!$T195), 0, 1), 7, 0))), 1, "")</f>
        <v/>
      </c>
      <c r="AF197" s="1" t="str">
        <f>IF(AND(AND(AND(AF$4&gt;='2025'!$L195,AF$4&lt;='2025'!$M195), AF$4&lt;&gt;DATE(2025,7,4)), (SWITCH(weekday(AF$4), 1, 0, 2, if(ISBLANK('2025'!$P195), 0, 1), 3, if(ISBLANK('2025'!$Q195), 0, 1), 4, if(ISBLANK('2025'!$R195), 0, 1), 5, if(ISBLANK('2025'!$S195), 0, 1), 6, if(ISBLANK('2025'!$T195), 0, 1), 7, 0))), 1, "")</f>
        <v/>
      </c>
      <c r="AG197" s="1" t="str">
        <f>IF(AND(AND(AND(AG$4&gt;='2025'!$L195,AG$4&lt;='2025'!$M195), AG$4&lt;&gt;DATE(2025,7,4)), (SWITCH(weekday(AG$4), 1, 0, 2, if(ISBLANK('2025'!$P195), 0, 1), 3, if(ISBLANK('2025'!$Q195), 0, 1), 4, if(ISBLANK('2025'!$R195), 0, 1), 5, if(ISBLANK('2025'!$S195), 0, 1), 6, if(ISBLANK('2025'!$T195), 0, 1), 7, 0))), 1, "")</f>
        <v/>
      </c>
      <c r="AH197" s="1" t="str">
        <f>IF(AND(AND(AND(AH$4&gt;='2025'!$L195,AH$4&lt;='2025'!$M195), AH$4&lt;&gt;DATE(2025,7,4)), (SWITCH(weekday(AH$4), 1, 0, 2, if(ISBLANK('2025'!$P195), 0, 1), 3, if(ISBLANK('2025'!$Q195), 0, 1), 4, if(ISBLANK('2025'!$R195), 0, 1), 5, if(ISBLANK('2025'!$S195), 0, 1), 6, if(ISBLANK('2025'!$T195), 0, 1), 7, 0))), 1, "")</f>
        <v/>
      </c>
      <c r="AI197" s="1" t="str">
        <f>IF(AND(AND(AND(AI$4&gt;='2025'!$L195,AI$4&lt;='2025'!$M195), AI$4&lt;&gt;DATE(2025,7,4)), (SWITCH(weekday(AI$4), 1, 0, 2, if(ISBLANK('2025'!$P195), 0, 1), 3, if(ISBLANK('2025'!$Q195), 0, 1), 4, if(ISBLANK('2025'!$R195), 0, 1), 5, if(ISBLANK('2025'!$S195), 0, 1), 6, if(ISBLANK('2025'!$T195), 0, 1), 7, 0))), 1, "")</f>
        <v/>
      </c>
      <c r="AJ197" s="1" t="str">
        <f>IF(AND(AND(AND(AJ$4&gt;='2025'!$L195,AJ$4&lt;='2025'!$M195), AJ$4&lt;&gt;DATE(2025,7,4)), (SWITCH(weekday(AJ$4), 1, 0, 2, if(ISBLANK('2025'!$P195), 0, 1), 3, if(ISBLANK('2025'!$Q195), 0, 1), 4, if(ISBLANK('2025'!$R195), 0, 1), 5, if(ISBLANK('2025'!$S195), 0, 1), 6, if(ISBLANK('2025'!$T195), 0, 1), 7, 0))), 1, "")</f>
        <v/>
      </c>
      <c r="AK197" s="1" t="str">
        <f>IF(AND(AND(AND(AK$4&gt;='2025'!$L195,AK$4&lt;='2025'!$M195), AK$4&lt;&gt;DATE(2025,7,4)), (SWITCH(weekday(AK$4), 1, 0, 2, if(ISBLANK('2025'!$P195), 0, 1), 3, if(ISBLANK('2025'!$Q195), 0, 1), 4, if(ISBLANK('2025'!$R195), 0, 1), 5, if(ISBLANK('2025'!$S195), 0, 1), 6, if(ISBLANK('2025'!$T195), 0, 1), 7, 0))), 1, "")</f>
        <v/>
      </c>
      <c r="AL197" s="1" t="str">
        <f>IF(AND(AND(AND(AL$4&gt;='2025'!$L195,AL$4&lt;='2025'!$M195), AL$4&lt;&gt;DATE(2025,7,4)), (SWITCH(weekday(AL$4), 1, 0, 2, if(ISBLANK('2025'!$P195), 0, 1), 3, if(ISBLANK('2025'!$Q195), 0, 1), 4, if(ISBLANK('2025'!$R195), 0, 1), 5, if(ISBLANK('2025'!$S195), 0, 1), 6, if(ISBLANK('2025'!$T195), 0, 1), 7, 0))), 1, "")</f>
        <v/>
      </c>
      <c r="AM197" s="1" t="str">
        <f>IF(AND(AND(AND(AM$4&gt;='2025'!$L195,AM$4&lt;='2025'!$M195), AM$4&lt;&gt;DATE(2025,7,4)), (SWITCH(weekday(AM$4), 1, 0, 2, if(ISBLANK('2025'!$P195), 0, 1), 3, if(ISBLANK('2025'!$Q195), 0, 1), 4, if(ISBLANK('2025'!$R195), 0, 1), 5, if(ISBLANK('2025'!$S195), 0, 1), 6, if(ISBLANK('2025'!$T195), 0, 1), 7, 0))), 1, "")</f>
        <v/>
      </c>
      <c r="AN197" s="1" t="str">
        <f>IF(AND(AND(AND(AN$4&gt;='2025'!$L195,AN$4&lt;='2025'!$M195), AN$4&lt;&gt;DATE(2025,7,4)), (SWITCH(weekday(AN$4), 1, 0, 2, if(ISBLANK('2025'!$P195), 0, 1), 3, if(ISBLANK('2025'!$Q195), 0, 1), 4, if(ISBLANK('2025'!$R195), 0, 1), 5, if(ISBLANK('2025'!$S195), 0, 1), 6, if(ISBLANK('2025'!$T195), 0, 1), 7, 0))), 1, "")</f>
        <v/>
      </c>
      <c r="AO197" s="1" t="str">
        <f>IF(AND(AND(AND(AO$4&gt;='2025'!$L195,AO$4&lt;='2025'!$M195), AO$4&lt;&gt;DATE(2025,7,4)), (SWITCH(weekday(AO$4), 1, 0, 2, if(ISBLANK('2025'!$P195), 0, 1), 3, if(ISBLANK('2025'!$Q195), 0, 1), 4, if(ISBLANK('2025'!$R195), 0, 1), 5, if(ISBLANK('2025'!$S195), 0, 1), 6, if(ISBLANK('2025'!$T195), 0, 1), 7, 0))), 1, "")</f>
        <v/>
      </c>
      <c r="AP197" s="1" t="str">
        <f>IF(AND(AND(AND(AP$4&gt;='2025'!$L195,AP$4&lt;='2025'!$M195), AP$4&lt;&gt;DATE(2025,7,4)), (SWITCH(weekday(AP$4), 1, 0, 2, if(ISBLANK('2025'!$P195), 0, 1), 3, if(ISBLANK('2025'!$Q195), 0, 1), 4, if(ISBLANK('2025'!$R195), 0, 1), 5, if(ISBLANK('2025'!$S195), 0, 1), 6, if(ISBLANK('2025'!$T195), 0, 1), 7, 0))), 1, "")</f>
        <v/>
      </c>
      <c r="AQ197" s="1" t="str">
        <f>IF(AND(AND(AND(AQ$4&gt;='2025'!$L195,AQ$4&lt;='2025'!$M195), AQ$4&lt;&gt;DATE(2025,7,4)), (SWITCH(weekday(AQ$4), 1, 0, 2, if(ISBLANK('2025'!$P195), 0, 1), 3, if(ISBLANK('2025'!$Q195), 0, 1), 4, if(ISBLANK('2025'!$R195), 0, 1), 5, if(ISBLANK('2025'!$S195), 0, 1), 6, if(ISBLANK('2025'!$T195), 0, 1), 7, 0))), 1, "")</f>
        <v/>
      </c>
      <c r="AR197" s="1" t="str">
        <f>IF(AND(AND(AND(AR$4&gt;='2025'!$L195,AR$4&lt;='2025'!$M195), AR$4&lt;&gt;DATE(2025,7,4)), (SWITCH(weekday(AR$4), 1, 0, 2, if(ISBLANK('2025'!$P195), 0, 1), 3, if(ISBLANK('2025'!$Q195), 0, 1), 4, if(ISBLANK('2025'!$R195), 0, 1), 5, if(ISBLANK('2025'!$S195), 0, 1), 6, if(ISBLANK('2025'!$T195), 0, 1), 7, 0))), 1, "")</f>
        <v/>
      </c>
      <c r="AS197" s="1" t="str">
        <f>IF(AND(AND(AND(AS$4&gt;='2025'!$L195,AS$4&lt;='2025'!$M195), AS$4&lt;&gt;DATE(2025,7,4)), (SWITCH(weekday(AS$4), 1, 0, 2, if(ISBLANK('2025'!$P195), 0, 1), 3, if(ISBLANK('2025'!$Q195), 0, 1), 4, if(ISBLANK('2025'!$R195), 0, 1), 5, if(ISBLANK('2025'!$S195), 0, 1), 6, if(ISBLANK('2025'!$T195), 0, 1), 7, 0))), 1, "")</f>
        <v/>
      </c>
      <c r="AT197" s="1" t="str">
        <f>IF(AND(AND(AND(AT$4&gt;='2025'!$L195,AT$4&lt;='2025'!$M195), AT$4&lt;&gt;DATE(2025,7,4)), (SWITCH(weekday(AT$4), 1, 0, 2, if(ISBLANK('2025'!$P195), 0, 1), 3, if(ISBLANK('2025'!$Q195), 0, 1), 4, if(ISBLANK('2025'!$R195), 0, 1), 5, if(ISBLANK('2025'!$S195), 0, 1), 6, if(ISBLANK('2025'!$T195), 0, 1), 7, 0))), 1, "")</f>
        <v/>
      </c>
      <c r="AU197" s="1" t="str">
        <f>IF(AND(AND(AND(AU$4&gt;='2025'!$L195,AU$4&lt;='2025'!$M195), AU$4&lt;&gt;DATE(2025,7,4)), (SWITCH(weekday(AU$4), 1, 0, 2, if(ISBLANK('2025'!$P195), 0, 1), 3, if(ISBLANK('2025'!$Q195), 0, 1), 4, if(ISBLANK('2025'!$R195), 0, 1), 5, if(ISBLANK('2025'!$S195), 0, 1), 6, if(ISBLANK('2025'!$T195), 0, 1), 7, 0))), 1, "")</f>
        <v/>
      </c>
      <c r="AV197" s="1" t="str">
        <f>IF(AND(AND(AND(AV$4&gt;='2025'!$L195,AV$4&lt;='2025'!$M195), AV$4&lt;&gt;DATE(2025,7,4)), (SWITCH(weekday(AV$4), 1, 0, 2, if(ISBLANK('2025'!$P195), 0, 1), 3, if(ISBLANK('2025'!$Q195), 0, 1), 4, if(ISBLANK('2025'!$R195), 0, 1), 5, if(ISBLANK('2025'!$S195), 0, 1), 6, if(ISBLANK('2025'!$T195), 0, 1), 7, 0))), 1, "")</f>
        <v/>
      </c>
      <c r="AW197" s="1" t="str">
        <f>IF(AND(AND(AND(AW$4&gt;='2025'!$L195,AW$4&lt;='2025'!$M195), AW$4&lt;&gt;DATE(2025,7,4)), (SWITCH(weekday(AW$4), 1, 0, 2, if(ISBLANK('2025'!$P195), 0, 1), 3, if(ISBLANK('2025'!$Q195), 0, 1), 4, if(ISBLANK('2025'!$R195), 0, 1), 5, if(ISBLANK('2025'!$S195), 0, 1), 6, if(ISBLANK('2025'!$T195), 0, 1), 7, 0))), 1, "")</f>
        <v/>
      </c>
      <c r="AX197" s="1" t="str">
        <f>IF(AND(AND(AND(AX$4&gt;='2025'!$L195,AX$4&lt;='2025'!$M195), AX$4&lt;&gt;DATE(2025,7,4)), (SWITCH(weekday(AX$4), 1, 0, 2, if(ISBLANK('2025'!$P195), 0, 1), 3, if(ISBLANK('2025'!$Q195), 0, 1), 4, if(ISBLANK('2025'!$R195), 0, 1), 5, if(ISBLANK('2025'!$S195), 0, 1), 6, if(ISBLANK('2025'!$T195), 0, 1), 7, 0))), 1, "")</f>
        <v/>
      </c>
      <c r="AY197" s="1" t="str">
        <f>IF(AND(AND(AND(AY$4&gt;='2025'!$L195,AY$4&lt;='2025'!$M195), AY$4&lt;&gt;DATE(2025,7,4)), (SWITCH(weekday(AY$4), 1, 0, 2, if(ISBLANK('2025'!$P195), 0, 1), 3, if(ISBLANK('2025'!$Q195), 0, 1), 4, if(ISBLANK('2025'!$R195), 0, 1), 5, if(ISBLANK('2025'!$S195), 0, 1), 6, if(ISBLANK('2025'!$T195), 0, 1), 7, 0))), 1, "")</f>
        <v/>
      </c>
      <c r="AZ197" s="1" t="str">
        <f>IF(AND(AND(AND(AZ$4&gt;='2025'!$L195,AZ$4&lt;='2025'!$M195), AZ$4&lt;&gt;DATE(2025,7,4)), (SWITCH(weekday(AZ$4), 1, 0, 2, if(ISBLANK('2025'!$P195), 0, 1), 3, if(ISBLANK('2025'!$Q195), 0, 1), 4, if(ISBLANK('2025'!$R195), 0, 1), 5, if(ISBLANK('2025'!$S195), 0, 1), 6, if(ISBLANK('2025'!$T195), 0, 1), 7, 0))), 1, "")</f>
        <v/>
      </c>
      <c r="BA197" s="1" t="str">
        <f>IF(AND(AND(AND(BA$4&gt;='2025'!$L195,BA$4&lt;='2025'!$M195), BA$4&lt;&gt;DATE(2025,7,4)), (SWITCH(weekday(BA$4), 1, 0, 2, if(ISBLANK('2025'!$P195), 0, 1), 3, if(ISBLANK('2025'!$Q195), 0, 1), 4, if(ISBLANK('2025'!$R195), 0, 1), 5, if(ISBLANK('2025'!$S195), 0, 1), 6, if(ISBLANK('2025'!$T195), 0, 1), 7, 0))), 1, "")</f>
        <v/>
      </c>
      <c r="BB197" s="1" t="str">
        <f>IF(AND(AND(AND(BB$4&gt;='2025'!$L195,BB$4&lt;='2025'!$M195), BB$4&lt;&gt;DATE(2025,7,4)), (SWITCH(weekday(BB$4), 1, 0, 2, if(ISBLANK('2025'!$P195), 0, 1), 3, if(ISBLANK('2025'!$Q195), 0, 1), 4, if(ISBLANK('2025'!$R195), 0, 1), 5, if(ISBLANK('2025'!$S195), 0, 1), 6, if(ISBLANK('2025'!$T195), 0, 1), 7, 0))), 1, "")</f>
        <v/>
      </c>
      <c r="BC197" s="1" t="str">
        <f>IF(AND(AND(AND(BC$4&gt;='2025'!$L195,BC$4&lt;='2025'!$M195), BC$4&lt;&gt;DATE(2025,7,4)), (SWITCH(weekday(BC$4), 1, 0, 2, if(ISBLANK('2025'!$P195), 0, 1), 3, if(ISBLANK('2025'!$Q195), 0, 1), 4, if(ISBLANK('2025'!$R195), 0, 1), 5, if(ISBLANK('2025'!$S195), 0, 1), 6, if(ISBLANK('2025'!$T195), 0, 1), 7, 0))), 1, "")</f>
        <v/>
      </c>
      <c r="BD197" s="1" t="str">
        <f>IF(AND(AND(AND(BD$4&gt;='2025'!$L195,BD$4&lt;='2025'!$M195), BD$4&lt;&gt;DATE(2025,7,4)), (SWITCH(weekday(BD$4), 1, 0, 2, if(ISBLANK('2025'!$P195), 0, 1), 3, if(ISBLANK('2025'!$Q195), 0, 1), 4, if(ISBLANK('2025'!$R195), 0, 1), 5, if(ISBLANK('2025'!$S195), 0, 1), 6, if(ISBLANK('2025'!$T195), 0, 1), 7, 0))), 1, "")</f>
        <v/>
      </c>
      <c r="BE197" s="1" t="str">
        <f>IF(AND(AND(AND(BE$4&gt;='2025'!$L195,BE$4&lt;='2025'!$M195), BE$4&lt;&gt;DATE(2025,7,4)), (SWITCH(weekday(BE$4), 1, 0, 2, if(ISBLANK('2025'!$P195), 0, 1), 3, if(ISBLANK('2025'!$Q195), 0, 1), 4, if(ISBLANK('2025'!$R195), 0, 1), 5, if(ISBLANK('2025'!$S195), 0, 1), 6, if(ISBLANK('2025'!$T195), 0, 1), 7, 0))), 1, "")</f>
        <v/>
      </c>
      <c r="BF197" s="1" t="str">
        <f>IF(AND(AND(AND(BF$4&gt;='2025'!$L195,BF$4&lt;='2025'!$M195), BF$4&lt;&gt;DATE(2025,7,4)), (SWITCH(weekday(BF$4), 1, 0, 2, if(ISBLANK('2025'!$P195), 0, 1), 3, if(ISBLANK('2025'!$Q195), 0, 1), 4, if(ISBLANK('2025'!$R195), 0, 1), 5, if(ISBLANK('2025'!$S195), 0, 1), 6, if(ISBLANK('2025'!$T195), 0, 1), 7, 0))), 1, "")</f>
        <v/>
      </c>
      <c r="BG197" s="1"/>
      <c r="BH197" s="1"/>
      <c r="BI197" s="1"/>
      <c r="BJ197" s="1"/>
      <c r="BK197" s="1"/>
      <c r="BL197" s="1"/>
    </row>
    <row r="198">
      <c r="A198" s="1">
        <f t="shared" si="3"/>
        <v>198</v>
      </c>
      <c r="B198" s="1" t="str">
        <f>'2025'!D162</f>
        <v>, </v>
      </c>
      <c r="C198" s="1" t="str">
        <f>'2025'!H162</f>
        <v/>
      </c>
      <c r="D198" s="1" t="str">
        <f>IF(AND(AND(AND(D$4&gt;='2025'!$L196,D$4&lt;='2025'!$M196), D$4&lt;&gt;DATE(2025,7,4)), (SWITCH(weekday(D$4), 1, 0, 2, if(ISBLANK('2025'!$P196), 0, 1), 3, if(ISBLANK('2025'!$Q196), 0, 1), 4, if(ISBLANK('2025'!$R196), 0, 1), 5, if(ISBLANK('2025'!$S196), 0, 1), 6, if(ISBLANK('2025'!$T196), 0, 1), 7, 0))), 1, "")</f>
        <v/>
      </c>
      <c r="E198" s="1" t="str">
        <f>IF(AND(AND(AND(E$4&gt;='2025'!$L196,E$4&lt;='2025'!$M196), E$4&lt;&gt;DATE(2025,7,4)), (SWITCH(weekday(E$4), 1, 0, 2, if(ISBLANK('2025'!$P196), 0, 1), 3, if(ISBLANK('2025'!$Q196), 0, 1), 4, if(ISBLANK('2025'!$R196), 0, 1), 5, if(ISBLANK('2025'!$S196), 0, 1), 6, if(ISBLANK('2025'!$T196), 0, 1), 7, 0))), 1, "")</f>
        <v/>
      </c>
      <c r="F198" s="1" t="str">
        <f>IF(AND(AND(AND(F$4&gt;='2025'!$L196,F$4&lt;='2025'!$M196), F$4&lt;&gt;DATE(2025,7,4)), (SWITCH(weekday(F$4), 1, 0, 2, if(ISBLANK('2025'!$P196), 0, 1), 3, if(ISBLANK('2025'!$Q196), 0, 1), 4, if(ISBLANK('2025'!$R196), 0, 1), 5, if(ISBLANK('2025'!$S196), 0, 1), 6, if(ISBLANK('2025'!$T196), 0, 1), 7, 0))), 1, "")</f>
        <v/>
      </c>
      <c r="G198" s="1" t="str">
        <f>IF(AND(AND(AND(G$4&gt;='2025'!$L196,G$4&lt;='2025'!$M196), G$4&lt;&gt;DATE(2025,7,4)), (SWITCH(weekday(G$4), 1, 0, 2, if(ISBLANK('2025'!$P196), 0, 1), 3, if(ISBLANK('2025'!$Q196), 0, 1), 4, if(ISBLANK('2025'!$R196), 0, 1), 5, if(ISBLANK('2025'!$S196), 0, 1), 6, if(ISBLANK('2025'!$T196), 0, 1), 7, 0))), 1, "")</f>
        <v/>
      </c>
      <c r="H198" s="1" t="str">
        <f>IF(AND(AND(AND(H$4&gt;='2025'!$L196,H$4&lt;='2025'!$M196), H$4&lt;&gt;DATE(2025,7,4)), (SWITCH(weekday(H$4), 1, 0, 2, if(ISBLANK('2025'!$P196), 0, 1), 3, if(ISBLANK('2025'!$Q196), 0, 1), 4, if(ISBLANK('2025'!$R196), 0, 1), 5, if(ISBLANK('2025'!$S196), 0, 1), 6, if(ISBLANK('2025'!$T196), 0, 1), 7, 0))), 1, "")</f>
        <v/>
      </c>
      <c r="I198" s="1" t="str">
        <f>IF(AND(AND(AND(I$4&gt;='2025'!$L196,I$4&lt;='2025'!$M196), I$4&lt;&gt;DATE(2025,7,4)), (SWITCH(weekday(I$4), 1, 0, 2, if(ISBLANK('2025'!$P196), 0, 1), 3, if(ISBLANK('2025'!$Q196), 0, 1), 4, if(ISBLANK('2025'!$R196), 0, 1), 5, if(ISBLANK('2025'!$S196), 0, 1), 6, if(ISBLANK('2025'!$T196), 0, 1), 7, 0))), 1, "")</f>
        <v/>
      </c>
      <c r="J198" s="1" t="str">
        <f>IF(AND(AND(AND(J$4&gt;='2025'!$L196,J$4&lt;='2025'!$M196), J$4&lt;&gt;DATE(2025,7,4)), (SWITCH(weekday(J$4), 1, 0, 2, if(ISBLANK('2025'!$P196), 0, 1), 3, if(ISBLANK('2025'!$Q196), 0, 1), 4, if(ISBLANK('2025'!$R196), 0, 1), 5, if(ISBLANK('2025'!$S196), 0, 1), 6, if(ISBLANK('2025'!$T196), 0, 1), 7, 0))), 1, "")</f>
        <v/>
      </c>
      <c r="K198" s="1" t="str">
        <f>IF(AND(AND(AND(K$4&gt;='2025'!$L196,K$4&lt;='2025'!$M196), K$4&lt;&gt;DATE(2025,7,4)), (SWITCH(weekday(K$4), 1, 0, 2, if(ISBLANK('2025'!$P196), 0, 1), 3, if(ISBLANK('2025'!$Q196), 0, 1), 4, if(ISBLANK('2025'!$R196), 0, 1), 5, if(ISBLANK('2025'!$S196), 0, 1), 6, if(ISBLANK('2025'!$T196), 0, 1), 7, 0))), 1, "")</f>
        <v/>
      </c>
      <c r="L198" s="1" t="str">
        <f>IF(AND(AND(AND(L$4&gt;='2025'!$L196,L$4&lt;='2025'!$M196), L$4&lt;&gt;DATE(2025,7,4)), (SWITCH(weekday(L$4), 1, 0, 2, if(ISBLANK('2025'!$P196), 0, 1), 3, if(ISBLANK('2025'!$Q196), 0, 1), 4, if(ISBLANK('2025'!$R196), 0, 1), 5, if(ISBLANK('2025'!$S196), 0, 1), 6, if(ISBLANK('2025'!$T196), 0, 1), 7, 0))), 1, "")</f>
        <v/>
      </c>
      <c r="M198" s="1" t="str">
        <f>IF(AND(AND(AND(M$4&gt;='2025'!$L196,M$4&lt;='2025'!$M196), M$4&lt;&gt;DATE(2025,7,4)), (SWITCH(weekday(M$4), 1, 0, 2, if(ISBLANK('2025'!$P196), 0, 1), 3, if(ISBLANK('2025'!$Q196), 0, 1), 4, if(ISBLANK('2025'!$R196), 0, 1), 5, if(ISBLANK('2025'!$S196), 0, 1), 6, if(ISBLANK('2025'!$T196), 0, 1), 7, 0))), 1, "")</f>
        <v/>
      </c>
      <c r="N198" s="1" t="str">
        <f>IF(AND(AND(AND(N$4&gt;='2025'!$L196,N$4&lt;='2025'!$M196), N$4&lt;&gt;DATE(2025,7,4)), (SWITCH(weekday(N$4), 1, 0, 2, if(ISBLANK('2025'!$P196), 0, 1), 3, if(ISBLANK('2025'!$Q196), 0, 1), 4, if(ISBLANK('2025'!$R196), 0, 1), 5, if(ISBLANK('2025'!$S196), 0, 1), 6, if(ISBLANK('2025'!$T196), 0, 1), 7, 0))), 1, "")</f>
        <v/>
      </c>
      <c r="O198" s="1" t="str">
        <f>IF(AND(AND(AND(O$4&gt;='2025'!$L196,O$4&lt;='2025'!$M196), O$4&lt;&gt;DATE(2025,7,4)), (SWITCH(weekday(O$4), 1, 0, 2, if(ISBLANK('2025'!$P196), 0, 1), 3, if(ISBLANK('2025'!$Q196), 0, 1), 4, if(ISBLANK('2025'!$R196), 0, 1), 5, if(ISBLANK('2025'!$S196), 0, 1), 6, if(ISBLANK('2025'!$T196), 0, 1), 7, 0))), 1, "")</f>
        <v/>
      </c>
      <c r="P198" s="1" t="str">
        <f>IF(AND(AND(AND(P$4&gt;='2025'!$L196,P$4&lt;='2025'!$M196), P$4&lt;&gt;DATE(2025,7,4)), (SWITCH(weekday(P$4), 1, 0, 2, if(ISBLANK('2025'!$P196), 0, 1), 3, if(ISBLANK('2025'!$Q196), 0, 1), 4, if(ISBLANK('2025'!$R196), 0, 1), 5, if(ISBLANK('2025'!$S196), 0, 1), 6, if(ISBLANK('2025'!$T196), 0, 1), 7, 0))), 1, "")</f>
        <v/>
      </c>
      <c r="Q198" s="1" t="str">
        <f>IF(AND(AND(AND(Q$4&gt;='2025'!$L196,Q$4&lt;='2025'!$M196), Q$4&lt;&gt;DATE(2025,7,4)), (SWITCH(weekday(Q$4), 1, 0, 2, if(ISBLANK('2025'!$P196), 0, 1), 3, if(ISBLANK('2025'!$Q196), 0, 1), 4, if(ISBLANK('2025'!$R196), 0, 1), 5, if(ISBLANK('2025'!$S196), 0, 1), 6, if(ISBLANK('2025'!$T196), 0, 1), 7, 0))), 1, "")</f>
        <v/>
      </c>
      <c r="R198" s="1" t="str">
        <f>IF(AND(AND(AND(R$4&gt;='2025'!$L196,R$4&lt;='2025'!$M196), R$4&lt;&gt;DATE(2025,7,4)), (SWITCH(weekday(R$4), 1, 0, 2, if(ISBLANK('2025'!$P196), 0, 1), 3, if(ISBLANK('2025'!$Q196), 0, 1), 4, if(ISBLANK('2025'!$R196), 0, 1), 5, if(ISBLANK('2025'!$S196), 0, 1), 6, if(ISBLANK('2025'!$T196), 0, 1), 7, 0))), 1, "")</f>
        <v/>
      </c>
      <c r="S198" s="1" t="str">
        <f>IF(AND(AND(AND(S$4&gt;='2025'!$L196,S$4&lt;='2025'!$M196), S$4&lt;&gt;DATE(2025,7,4)), (SWITCH(weekday(S$4), 1, 0, 2, if(ISBLANK('2025'!$P196), 0, 1), 3, if(ISBLANK('2025'!$Q196), 0, 1), 4, if(ISBLANK('2025'!$R196), 0, 1), 5, if(ISBLANK('2025'!$S196), 0, 1), 6, if(ISBLANK('2025'!$T196), 0, 1), 7, 0))), 1, "")</f>
        <v/>
      </c>
      <c r="T198" s="1" t="str">
        <f>IF(AND(AND(AND(T$4&gt;='2025'!$L196,T$4&lt;='2025'!$M196), T$4&lt;&gt;DATE(2025,7,4)), (SWITCH(weekday(T$4), 1, 0, 2, if(ISBLANK('2025'!$P196), 0, 1), 3, if(ISBLANK('2025'!$Q196), 0, 1), 4, if(ISBLANK('2025'!$R196), 0, 1), 5, if(ISBLANK('2025'!$S196), 0, 1), 6, if(ISBLANK('2025'!$T196), 0, 1), 7, 0))), 1, "")</f>
        <v/>
      </c>
      <c r="U198" s="1" t="str">
        <f>IF(AND(AND(AND(U$4&gt;='2025'!$L196,U$4&lt;='2025'!$M196), U$4&lt;&gt;DATE(2025,7,4)), (SWITCH(weekday(U$4), 1, 0, 2, if(ISBLANK('2025'!$P196), 0, 1), 3, if(ISBLANK('2025'!$Q196), 0, 1), 4, if(ISBLANK('2025'!$R196), 0, 1), 5, if(ISBLANK('2025'!$S196), 0, 1), 6, if(ISBLANK('2025'!$T196), 0, 1), 7, 0))), 1, "")</f>
        <v/>
      </c>
      <c r="V198" s="1" t="str">
        <f>IF(AND(AND(AND(V$4&gt;='2025'!$L196,V$4&lt;='2025'!$M196), V$4&lt;&gt;DATE(2025,7,4)), (SWITCH(weekday(V$4), 1, 0, 2, if(ISBLANK('2025'!$P196), 0, 1), 3, if(ISBLANK('2025'!$Q196), 0, 1), 4, if(ISBLANK('2025'!$R196), 0, 1), 5, if(ISBLANK('2025'!$S196), 0, 1), 6, if(ISBLANK('2025'!$T196), 0, 1), 7, 0))), 1, "")</f>
        <v/>
      </c>
      <c r="W198" s="1" t="str">
        <f>IF(AND(AND(AND(W$4&gt;='2025'!$L196,W$4&lt;='2025'!$M196), W$4&lt;&gt;DATE(2025,7,4)), (SWITCH(weekday(W$4), 1, 0, 2, if(ISBLANK('2025'!$P196), 0, 1), 3, if(ISBLANK('2025'!$Q196), 0, 1), 4, if(ISBLANK('2025'!$R196), 0, 1), 5, if(ISBLANK('2025'!$S196), 0, 1), 6, if(ISBLANK('2025'!$T196), 0, 1), 7, 0))), 1, "")</f>
        <v/>
      </c>
      <c r="X198" s="1" t="str">
        <f>IF(AND(AND(AND(X$4&gt;='2025'!$L196,X$4&lt;='2025'!$M196), X$4&lt;&gt;DATE(2025,7,4)), (SWITCH(weekday(X$4), 1, 0, 2, if(ISBLANK('2025'!$P196), 0, 1), 3, if(ISBLANK('2025'!$Q196), 0, 1), 4, if(ISBLANK('2025'!$R196), 0, 1), 5, if(ISBLANK('2025'!$S196), 0, 1), 6, if(ISBLANK('2025'!$T196), 0, 1), 7, 0))), 1, "")</f>
        <v/>
      </c>
      <c r="Y198" s="1" t="str">
        <f>IF(AND(AND(AND(Y$4&gt;='2025'!$L196,Y$4&lt;='2025'!$M196), Y$4&lt;&gt;DATE(2025,7,4)), (SWITCH(weekday(Y$4), 1, 0, 2, if(ISBLANK('2025'!$P196), 0, 1), 3, if(ISBLANK('2025'!$Q196), 0, 1), 4, if(ISBLANK('2025'!$R196), 0, 1), 5, if(ISBLANK('2025'!$S196), 0, 1), 6, if(ISBLANK('2025'!$T196), 0, 1), 7, 0))), 1, "")</f>
        <v/>
      </c>
      <c r="Z198" s="1" t="str">
        <f>IF(AND(AND(AND(Z$4&gt;='2025'!$L196,Z$4&lt;='2025'!$M196), Z$4&lt;&gt;DATE(2025,7,4)), (SWITCH(weekday(Z$4), 1, 0, 2, if(ISBLANK('2025'!$P196), 0, 1), 3, if(ISBLANK('2025'!$Q196), 0, 1), 4, if(ISBLANK('2025'!$R196), 0, 1), 5, if(ISBLANK('2025'!$S196), 0, 1), 6, if(ISBLANK('2025'!$T196), 0, 1), 7, 0))), 1, "")</f>
        <v/>
      </c>
      <c r="AA198" s="1" t="str">
        <f>IF(AND(AND(AND(AA$4&gt;='2025'!$L196,AA$4&lt;='2025'!$M196), AA$4&lt;&gt;DATE(2025,7,4)), (SWITCH(weekday(AA$4), 1, 0, 2, if(ISBLANK('2025'!$P196), 0, 1), 3, if(ISBLANK('2025'!$Q196), 0, 1), 4, if(ISBLANK('2025'!$R196), 0, 1), 5, if(ISBLANK('2025'!$S196), 0, 1), 6, if(ISBLANK('2025'!$T196), 0, 1), 7, 0))), 1, "")</f>
        <v/>
      </c>
      <c r="AB198" s="1" t="str">
        <f>IF(AND(AND(AND(AB$4&gt;='2025'!$L196,AB$4&lt;='2025'!$M196), AB$4&lt;&gt;DATE(2025,7,4)), (SWITCH(weekday(AB$4), 1, 0, 2, if(ISBLANK('2025'!$P196), 0, 1), 3, if(ISBLANK('2025'!$Q196), 0, 1), 4, if(ISBLANK('2025'!$R196), 0, 1), 5, if(ISBLANK('2025'!$S196), 0, 1), 6, if(ISBLANK('2025'!$T196), 0, 1), 7, 0))), 1, "")</f>
        <v/>
      </c>
      <c r="AC198" s="1" t="str">
        <f>IF(AND(AND(AND(AC$4&gt;='2025'!$L196,AC$4&lt;='2025'!$M196), AC$4&lt;&gt;DATE(2025,7,4)), (SWITCH(weekday(AC$4), 1, 0, 2, if(ISBLANK('2025'!$P196), 0, 1), 3, if(ISBLANK('2025'!$Q196), 0, 1), 4, if(ISBLANK('2025'!$R196), 0, 1), 5, if(ISBLANK('2025'!$S196), 0, 1), 6, if(ISBLANK('2025'!$T196), 0, 1), 7, 0))), 1, "")</f>
        <v/>
      </c>
      <c r="AD198" s="1" t="str">
        <f>IF(AND(AND(AND(AD$4&gt;='2025'!$L196,AD$4&lt;='2025'!$M196), AD$4&lt;&gt;DATE(2025,7,4)), (SWITCH(weekday(AD$4), 1, 0, 2, if(ISBLANK('2025'!$P196), 0, 1), 3, if(ISBLANK('2025'!$Q196), 0, 1), 4, if(ISBLANK('2025'!$R196), 0, 1), 5, if(ISBLANK('2025'!$S196), 0, 1), 6, if(ISBLANK('2025'!$T196), 0, 1), 7, 0))), 1, "")</f>
        <v/>
      </c>
      <c r="AE198" s="1" t="str">
        <f>IF(AND(AND(AND(AE$4&gt;='2025'!$L196,AE$4&lt;='2025'!$M196), AE$4&lt;&gt;DATE(2025,7,4)), (SWITCH(weekday(AE$4), 1, 0, 2, if(ISBLANK('2025'!$P196), 0, 1), 3, if(ISBLANK('2025'!$Q196), 0, 1), 4, if(ISBLANK('2025'!$R196), 0, 1), 5, if(ISBLANK('2025'!$S196), 0, 1), 6, if(ISBLANK('2025'!$T196), 0, 1), 7, 0))), 1, "")</f>
        <v/>
      </c>
      <c r="AF198" s="1" t="str">
        <f>IF(AND(AND(AND(AF$4&gt;='2025'!$L196,AF$4&lt;='2025'!$M196), AF$4&lt;&gt;DATE(2025,7,4)), (SWITCH(weekday(AF$4), 1, 0, 2, if(ISBLANK('2025'!$P196), 0, 1), 3, if(ISBLANK('2025'!$Q196), 0, 1), 4, if(ISBLANK('2025'!$R196), 0, 1), 5, if(ISBLANK('2025'!$S196), 0, 1), 6, if(ISBLANK('2025'!$T196), 0, 1), 7, 0))), 1, "")</f>
        <v/>
      </c>
      <c r="AG198" s="1" t="str">
        <f>IF(AND(AND(AND(AG$4&gt;='2025'!$L196,AG$4&lt;='2025'!$M196), AG$4&lt;&gt;DATE(2025,7,4)), (SWITCH(weekday(AG$4), 1, 0, 2, if(ISBLANK('2025'!$P196), 0, 1), 3, if(ISBLANK('2025'!$Q196), 0, 1), 4, if(ISBLANK('2025'!$R196), 0, 1), 5, if(ISBLANK('2025'!$S196), 0, 1), 6, if(ISBLANK('2025'!$T196), 0, 1), 7, 0))), 1, "")</f>
        <v/>
      </c>
      <c r="AH198" s="1" t="str">
        <f>IF(AND(AND(AND(AH$4&gt;='2025'!$L196,AH$4&lt;='2025'!$M196), AH$4&lt;&gt;DATE(2025,7,4)), (SWITCH(weekday(AH$4), 1, 0, 2, if(ISBLANK('2025'!$P196), 0, 1), 3, if(ISBLANK('2025'!$Q196), 0, 1), 4, if(ISBLANK('2025'!$R196), 0, 1), 5, if(ISBLANK('2025'!$S196), 0, 1), 6, if(ISBLANK('2025'!$T196), 0, 1), 7, 0))), 1, "")</f>
        <v/>
      </c>
      <c r="AI198" s="1" t="str">
        <f>IF(AND(AND(AND(AI$4&gt;='2025'!$L196,AI$4&lt;='2025'!$M196), AI$4&lt;&gt;DATE(2025,7,4)), (SWITCH(weekday(AI$4), 1, 0, 2, if(ISBLANK('2025'!$P196), 0, 1), 3, if(ISBLANK('2025'!$Q196), 0, 1), 4, if(ISBLANK('2025'!$R196), 0, 1), 5, if(ISBLANK('2025'!$S196), 0, 1), 6, if(ISBLANK('2025'!$T196), 0, 1), 7, 0))), 1, "")</f>
        <v/>
      </c>
      <c r="AJ198" s="1" t="str">
        <f>IF(AND(AND(AND(AJ$4&gt;='2025'!$L196,AJ$4&lt;='2025'!$M196), AJ$4&lt;&gt;DATE(2025,7,4)), (SWITCH(weekday(AJ$4), 1, 0, 2, if(ISBLANK('2025'!$P196), 0, 1), 3, if(ISBLANK('2025'!$Q196), 0, 1), 4, if(ISBLANK('2025'!$R196), 0, 1), 5, if(ISBLANK('2025'!$S196), 0, 1), 6, if(ISBLANK('2025'!$T196), 0, 1), 7, 0))), 1, "")</f>
        <v/>
      </c>
      <c r="AK198" s="1" t="str">
        <f>IF(AND(AND(AND(AK$4&gt;='2025'!$L196,AK$4&lt;='2025'!$M196), AK$4&lt;&gt;DATE(2025,7,4)), (SWITCH(weekday(AK$4), 1, 0, 2, if(ISBLANK('2025'!$P196), 0, 1), 3, if(ISBLANK('2025'!$Q196), 0, 1), 4, if(ISBLANK('2025'!$R196), 0, 1), 5, if(ISBLANK('2025'!$S196), 0, 1), 6, if(ISBLANK('2025'!$T196), 0, 1), 7, 0))), 1, "")</f>
        <v/>
      </c>
      <c r="AL198" s="1" t="str">
        <f>IF(AND(AND(AND(AL$4&gt;='2025'!$L196,AL$4&lt;='2025'!$M196), AL$4&lt;&gt;DATE(2025,7,4)), (SWITCH(weekday(AL$4), 1, 0, 2, if(ISBLANK('2025'!$P196), 0, 1), 3, if(ISBLANK('2025'!$Q196), 0, 1), 4, if(ISBLANK('2025'!$R196), 0, 1), 5, if(ISBLANK('2025'!$S196), 0, 1), 6, if(ISBLANK('2025'!$T196), 0, 1), 7, 0))), 1, "")</f>
        <v/>
      </c>
      <c r="AM198" s="1" t="str">
        <f>IF(AND(AND(AND(AM$4&gt;='2025'!$L196,AM$4&lt;='2025'!$M196), AM$4&lt;&gt;DATE(2025,7,4)), (SWITCH(weekday(AM$4), 1, 0, 2, if(ISBLANK('2025'!$P196), 0, 1), 3, if(ISBLANK('2025'!$Q196), 0, 1), 4, if(ISBLANK('2025'!$R196), 0, 1), 5, if(ISBLANK('2025'!$S196), 0, 1), 6, if(ISBLANK('2025'!$T196), 0, 1), 7, 0))), 1, "")</f>
        <v/>
      </c>
      <c r="AN198" s="1" t="str">
        <f>IF(AND(AND(AND(AN$4&gt;='2025'!$L196,AN$4&lt;='2025'!$M196), AN$4&lt;&gt;DATE(2025,7,4)), (SWITCH(weekday(AN$4), 1, 0, 2, if(ISBLANK('2025'!$P196), 0, 1), 3, if(ISBLANK('2025'!$Q196), 0, 1), 4, if(ISBLANK('2025'!$R196), 0, 1), 5, if(ISBLANK('2025'!$S196), 0, 1), 6, if(ISBLANK('2025'!$T196), 0, 1), 7, 0))), 1, "")</f>
        <v/>
      </c>
      <c r="AO198" s="1" t="str">
        <f>IF(AND(AND(AND(AO$4&gt;='2025'!$L196,AO$4&lt;='2025'!$M196), AO$4&lt;&gt;DATE(2025,7,4)), (SWITCH(weekday(AO$4), 1, 0, 2, if(ISBLANK('2025'!$P196), 0, 1), 3, if(ISBLANK('2025'!$Q196), 0, 1), 4, if(ISBLANK('2025'!$R196), 0, 1), 5, if(ISBLANK('2025'!$S196), 0, 1), 6, if(ISBLANK('2025'!$T196), 0, 1), 7, 0))), 1, "")</f>
        <v/>
      </c>
      <c r="AP198" s="1" t="str">
        <f>IF(AND(AND(AND(AP$4&gt;='2025'!$L196,AP$4&lt;='2025'!$M196), AP$4&lt;&gt;DATE(2025,7,4)), (SWITCH(weekday(AP$4), 1, 0, 2, if(ISBLANK('2025'!$P196), 0, 1), 3, if(ISBLANK('2025'!$Q196), 0, 1), 4, if(ISBLANK('2025'!$R196), 0, 1), 5, if(ISBLANK('2025'!$S196), 0, 1), 6, if(ISBLANK('2025'!$T196), 0, 1), 7, 0))), 1, "")</f>
        <v/>
      </c>
      <c r="AQ198" s="1" t="str">
        <f>IF(AND(AND(AND(AQ$4&gt;='2025'!$L196,AQ$4&lt;='2025'!$M196), AQ$4&lt;&gt;DATE(2025,7,4)), (SWITCH(weekday(AQ$4), 1, 0, 2, if(ISBLANK('2025'!$P196), 0, 1), 3, if(ISBLANK('2025'!$Q196), 0, 1), 4, if(ISBLANK('2025'!$R196), 0, 1), 5, if(ISBLANK('2025'!$S196), 0, 1), 6, if(ISBLANK('2025'!$T196), 0, 1), 7, 0))), 1, "")</f>
        <v/>
      </c>
      <c r="AR198" s="1" t="str">
        <f>IF(AND(AND(AND(AR$4&gt;='2025'!$L196,AR$4&lt;='2025'!$M196), AR$4&lt;&gt;DATE(2025,7,4)), (SWITCH(weekday(AR$4), 1, 0, 2, if(ISBLANK('2025'!$P196), 0, 1), 3, if(ISBLANK('2025'!$Q196), 0, 1), 4, if(ISBLANK('2025'!$R196), 0, 1), 5, if(ISBLANK('2025'!$S196), 0, 1), 6, if(ISBLANK('2025'!$T196), 0, 1), 7, 0))), 1, "")</f>
        <v/>
      </c>
      <c r="AS198" s="1" t="str">
        <f>IF(AND(AND(AND(AS$4&gt;='2025'!$L196,AS$4&lt;='2025'!$M196), AS$4&lt;&gt;DATE(2025,7,4)), (SWITCH(weekday(AS$4), 1, 0, 2, if(ISBLANK('2025'!$P196), 0, 1), 3, if(ISBLANK('2025'!$Q196), 0, 1), 4, if(ISBLANK('2025'!$R196), 0, 1), 5, if(ISBLANK('2025'!$S196), 0, 1), 6, if(ISBLANK('2025'!$T196), 0, 1), 7, 0))), 1, "")</f>
        <v/>
      </c>
      <c r="AT198" s="1" t="str">
        <f>IF(AND(AND(AND(AT$4&gt;='2025'!$L196,AT$4&lt;='2025'!$M196), AT$4&lt;&gt;DATE(2025,7,4)), (SWITCH(weekday(AT$4), 1, 0, 2, if(ISBLANK('2025'!$P196), 0, 1), 3, if(ISBLANK('2025'!$Q196), 0, 1), 4, if(ISBLANK('2025'!$R196), 0, 1), 5, if(ISBLANK('2025'!$S196), 0, 1), 6, if(ISBLANK('2025'!$T196), 0, 1), 7, 0))), 1, "")</f>
        <v/>
      </c>
      <c r="AU198" s="1" t="str">
        <f>IF(AND(AND(AND(AU$4&gt;='2025'!$L196,AU$4&lt;='2025'!$M196), AU$4&lt;&gt;DATE(2025,7,4)), (SWITCH(weekday(AU$4), 1, 0, 2, if(ISBLANK('2025'!$P196), 0, 1), 3, if(ISBLANK('2025'!$Q196), 0, 1), 4, if(ISBLANK('2025'!$R196), 0, 1), 5, if(ISBLANK('2025'!$S196), 0, 1), 6, if(ISBLANK('2025'!$T196), 0, 1), 7, 0))), 1, "")</f>
        <v/>
      </c>
      <c r="AV198" s="1" t="str">
        <f>IF(AND(AND(AND(AV$4&gt;='2025'!$L196,AV$4&lt;='2025'!$M196), AV$4&lt;&gt;DATE(2025,7,4)), (SWITCH(weekday(AV$4), 1, 0, 2, if(ISBLANK('2025'!$P196), 0, 1), 3, if(ISBLANK('2025'!$Q196), 0, 1), 4, if(ISBLANK('2025'!$R196), 0, 1), 5, if(ISBLANK('2025'!$S196), 0, 1), 6, if(ISBLANK('2025'!$T196), 0, 1), 7, 0))), 1, "")</f>
        <v/>
      </c>
      <c r="AW198" s="1" t="str">
        <f>IF(AND(AND(AND(AW$4&gt;='2025'!$L196,AW$4&lt;='2025'!$M196), AW$4&lt;&gt;DATE(2025,7,4)), (SWITCH(weekday(AW$4), 1, 0, 2, if(ISBLANK('2025'!$P196), 0, 1), 3, if(ISBLANK('2025'!$Q196), 0, 1), 4, if(ISBLANK('2025'!$R196), 0, 1), 5, if(ISBLANK('2025'!$S196), 0, 1), 6, if(ISBLANK('2025'!$T196), 0, 1), 7, 0))), 1, "")</f>
        <v/>
      </c>
      <c r="AX198" s="1" t="str">
        <f>IF(AND(AND(AND(AX$4&gt;='2025'!$L196,AX$4&lt;='2025'!$M196), AX$4&lt;&gt;DATE(2025,7,4)), (SWITCH(weekday(AX$4), 1, 0, 2, if(ISBLANK('2025'!$P196), 0, 1), 3, if(ISBLANK('2025'!$Q196), 0, 1), 4, if(ISBLANK('2025'!$R196), 0, 1), 5, if(ISBLANK('2025'!$S196), 0, 1), 6, if(ISBLANK('2025'!$T196), 0, 1), 7, 0))), 1, "")</f>
        <v/>
      </c>
      <c r="AY198" s="1" t="str">
        <f>IF(AND(AND(AND(AY$4&gt;='2025'!$L196,AY$4&lt;='2025'!$M196), AY$4&lt;&gt;DATE(2025,7,4)), (SWITCH(weekday(AY$4), 1, 0, 2, if(ISBLANK('2025'!$P196), 0, 1), 3, if(ISBLANK('2025'!$Q196), 0, 1), 4, if(ISBLANK('2025'!$R196), 0, 1), 5, if(ISBLANK('2025'!$S196), 0, 1), 6, if(ISBLANK('2025'!$T196), 0, 1), 7, 0))), 1, "")</f>
        <v/>
      </c>
      <c r="AZ198" s="1" t="str">
        <f>IF(AND(AND(AND(AZ$4&gt;='2025'!$L196,AZ$4&lt;='2025'!$M196), AZ$4&lt;&gt;DATE(2025,7,4)), (SWITCH(weekday(AZ$4), 1, 0, 2, if(ISBLANK('2025'!$P196), 0, 1), 3, if(ISBLANK('2025'!$Q196), 0, 1), 4, if(ISBLANK('2025'!$R196), 0, 1), 5, if(ISBLANK('2025'!$S196), 0, 1), 6, if(ISBLANK('2025'!$T196), 0, 1), 7, 0))), 1, "")</f>
        <v/>
      </c>
      <c r="BA198" s="1" t="str">
        <f>IF(AND(AND(AND(BA$4&gt;='2025'!$L196,BA$4&lt;='2025'!$M196), BA$4&lt;&gt;DATE(2025,7,4)), (SWITCH(weekday(BA$4), 1, 0, 2, if(ISBLANK('2025'!$P196), 0, 1), 3, if(ISBLANK('2025'!$Q196), 0, 1), 4, if(ISBLANK('2025'!$R196), 0, 1), 5, if(ISBLANK('2025'!$S196), 0, 1), 6, if(ISBLANK('2025'!$T196), 0, 1), 7, 0))), 1, "")</f>
        <v/>
      </c>
      <c r="BB198" s="1" t="str">
        <f>IF(AND(AND(AND(BB$4&gt;='2025'!$L196,BB$4&lt;='2025'!$M196), BB$4&lt;&gt;DATE(2025,7,4)), (SWITCH(weekday(BB$4), 1, 0, 2, if(ISBLANK('2025'!$P196), 0, 1), 3, if(ISBLANK('2025'!$Q196), 0, 1), 4, if(ISBLANK('2025'!$R196), 0, 1), 5, if(ISBLANK('2025'!$S196), 0, 1), 6, if(ISBLANK('2025'!$T196), 0, 1), 7, 0))), 1, "")</f>
        <v/>
      </c>
      <c r="BC198" s="1" t="str">
        <f>IF(AND(AND(AND(BC$4&gt;='2025'!$L196,BC$4&lt;='2025'!$M196), BC$4&lt;&gt;DATE(2025,7,4)), (SWITCH(weekday(BC$4), 1, 0, 2, if(ISBLANK('2025'!$P196), 0, 1), 3, if(ISBLANK('2025'!$Q196), 0, 1), 4, if(ISBLANK('2025'!$R196), 0, 1), 5, if(ISBLANK('2025'!$S196), 0, 1), 6, if(ISBLANK('2025'!$T196), 0, 1), 7, 0))), 1, "")</f>
        <v/>
      </c>
      <c r="BD198" s="1" t="str">
        <f>IF(AND(AND(AND(BD$4&gt;='2025'!$L196,BD$4&lt;='2025'!$M196), BD$4&lt;&gt;DATE(2025,7,4)), (SWITCH(weekday(BD$4), 1, 0, 2, if(ISBLANK('2025'!$P196), 0, 1), 3, if(ISBLANK('2025'!$Q196), 0, 1), 4, if(ISBLANK('2025'!$R196), 0, 1), 5, if(ISBLANK('2025'!$S196), 0, 1), 6, if(ISBLANK('2025'!$T196), 0, 1), 7, 0))), 1, "")</f>
        <v/>
      </c>
      <c r="BE198" s="1" t="str">
        <f>IF(AND(AND(AND(BE$4&gt;='2025'!$L196,BE$4&lt;='2025'!$M196), BE$4&lt;&gt;DATE(2025,7,4)), (SWITCH(weekday(BE$4), 1, 0, 2, if(ISBLANK('2025'!$P196), 0, 1), 3, if(ISBLANK('2025'!$Q196), 0, 1), 4, if(ISBLANK('2025'!$R196), 0, 1), 5, if(ISBLANK('2025'!$S196), 0, 1), 6, if(ISBLANK('2025'!$T196), 0, 1), 7, 0))), 1, "")</f>
        <v/>
      </c>
      <c r="BF198" s="1" t="str">
        <f>IF(AND(AND(AND(BF$4&gt;='2025'!$L196,BF$4&lt;='2025'!$M196), BF$4&lt;&gt;DATE(2025,7,4)), (SWITCH(weekday(BF$4), 1, 0, 2, if(ISBLANK('2025'!$P196), 0, 1), 3, if(ISBLANK('2025'!$Q196), 0, 1), 4, if(ISBLANK('2025'!$R196), 0, 1), 5, if(ISBLANK('2025'!$S196), 0, 1), 6, if(ISBLANK('2025'!$T196), 0, 1), 7, 0))), 1, "")</f>
        <v/>
      </c>
      <c r="BG198" s="1"/>
      <c r="BH198" s="1"/>
      <c r="BI198" s="1"/>
      <c r="BJ198" s="1"/>
      <c r="BK198" s="1"/>
      <c r="BL198" s="1"/>
    </row>
    <row r="199">
      <c r="A199" s="1">
        <f t="shared" si="3"/>
        <v>199</v>
      </c>
      <c r="B199" s="1" t="str">
        <f>'2025'!D163</f>
        <v>, </v>
      </c>
      <c r="C199" s="1" t="str">
        <f>'2025'!H163</f>
        <v/>
      </c>
      <c r="D199" s="1" t="str">
        <f>IF(AND(AND(AND(D$4&gt;='2025'!$L197,D$4&lt;='2025'!$M197), D$4&lt;&gt;DATE(2025,7,4)), (SWITCH(weekday(D$4), 1, 0, 2, if(ISBLANK('2025'!$P197), 0, 1), 3, if(ISBLANK('2025'!$Q197), 0, 1), 4, if(ISBLANK('2025'!$R197), 0, 1), 5, if(ISBLANK('2025'!$S197), 0, 1), 6, if(ISBLANK('2025'!$T197), 0, 1), 7, 0))), 1, "")</f>
        <v/>
      </c>
      <c r="E199" s="1" t="str">
        <f>IF(AND(AND(AND(E$4&gt;='2025'!$L197,E$4&lt;='2025'!$M197), E$4&lt;&gt;DATE(2025,7,4)), (SWITCH(weekday(E$4), 1, 0, 2, if(ISBLANK('2025'!$P197), 0, 1), 3, if(ISBLANK('2025'!$Q197), 0, 1), 4, if(ISBLANK('2025'!$R197), 0, 1), 5, if(ISBLANK('2025'!$S197), 0, 1), 6, if(ISBLANK('2025'!$T197), 0, 1), 7, 0))), 1, "")</f>
        <v/>
      </c>
      <c r="F199" s="1" t="str">
        <f>IF(AND(AND(AND(F$4&gt;='2025'!$L197,F$4&lt;='2025'!$M197), F$4&lt;&gt;DATE(2025,7,4)), (SWITCH(weekday(F$4), 1, 0, 2, if(ISBLANK('2025'!$P197), 0, 1), 3, if(ISBLANK('2025'!$Q197), 0, 1), 4, if(ISBLANK('2025'!$R197), 0, 1), 5, if(ISBLANK('2025'!$S197), 0, 1), 6, if(ISBLANK('2025'!$T197), 0, 1), 7, 0))), 1, "")</f>
        <v/>
      </c>
      <c r="G199" s="1" t="str">
        <f>IF(AND(AND(AND(G$4&gt;='2025'!$L197,G$4&lt;='2025'!$M197), G$4&lt;&gt;DATE(2025,7,4)), (SWITCH(weekday(G$4), 1, 0, 2, if(ISBLANK('2025'!$P197), 0, 1), 3, if(ISBLANK('2025'!$Q197), 0, 1), 4, if(ISBLANK('2025'!$R197), 0, 1), 5, if(ISBLANK('2025'!$S197), 0, 1), 6, if(ISBLANK('2025'!$T197), 0, 1), 7, 0))), 1, "")</f>
        <v/>
      </c>
      <c r="H199" s="1" t="str">
        <f>IF(AND(AND(AND(H$4&gt;='2025'!$L197,H$4&lt;='2025'!$M197), H$4&lt;&gt;DATE(2025,7,4)), (SWITCH(weekday(H$4), 1, 0, 2, if(ISBLANK('2025'!$P197), 0, 1), 3, if(ISBLANK('2025'!$Q197), 0, 1), 4, if(ISBLANK('2025'!$R197), 0, 1), 5, if(ISBLANK('2025'!$S197), 0, 1), 6, if(ISBLANK('2025'!$T197), 0, 1), 7, 0))), 1, "")</f>
        <v/>
      </c>
      <c r="I199" s="1" t="str">
        <f>IF(AND(AND(AND(I$4&gt;='2025'!$L197,I$4&lt;='2025'!$M197), I$4&lt;&gt;DATE(2025,7,4)), (SWITCH(weekday(I$4), 1, 0, 2, if(ISBLANK('2025'!$P197), 0, 1), 3, if(ISBLANK('2025'!$Q197), 0, 1), 4, if(ISBLANK('2025'!$R197), 0, 1), 5, if(ISBLANK('2025'!$S197), 0, 1), 6, if(ISBLANK('2025'!$T197), 0, 1), 7, 0))), 1, "")</f>
        <v/>
      </c>
      <c r="J199" s="1" t="str">
        <f>IF(AND(AND(AND(J$4&gt;='2025'!$L197,J$4&lt;='2025'!$M197), J$4&lt;&gt;DATE(2025,7,4)), (SWITCH(weekday(J$4), 1, 0, 2, if(ISBLANK('2025'!$P197), 0, 1), 3, if(ISBLANK('2025'!$Q197), 0, 1), 4, if(ISBLANK('2025'!$R197), 0, 1), 5, if(ISBLANK('2025'!$S197), 0, 1), 6, if(ISBLANK('2025'!$T197), 0, 1), 7, 0))), 1, "")</f>
        <v/>
      </c>
      <c r="K199" s="1" t="str">
        <f>IF(AND(AND(AND(K$4&gt;='2025'!$L197,K$4&lt;='2025'!$M197), K$4&lt;&gt;DATE(2025,7,4)), (SWITCH(weekday(K$4), 1, 0, 2, if(ISBLANK('2025'!$P197), 0, 1), 3, if(ISBLANK('2025'!$Q197), 0, 1), 4, if(ISBLANK('2025'!$R197), 0, 1), 5, if(ISBLANK('2025'!$S197), 0, 1), 6, if(ISBLANK('2025'!$T197), 0, 1), 7, 0))), 1, "")</f>
        <v/>
      </c>
      <c r="L199" s="1" t="str">
        <f>IF(AND(AND(AND(L$4&gt;='2025'!$L197,L$4&lt;='2025'!$M197), L$4&lt;&gt;DATE(2025,7,4)), (SWITCH(weekday(L$4), 1, 0, 2, if(ISBLANK('2025'!$P197), 0, 1), 3, if(ISBLANK('2025'!$Q197), 0, 1), 4, if(ISBLANK('2025'!$R197), 0, 1), 5, if(ISBLANK('2025'!$S197), 0, 1), 6, if(ISBLANK('2025'!$T197), 0, 1), 7, 0))), 1, "")</f>
        <v/>
      </c>
      <c r="M199" s="1" t="str">
        <f>IF(AND(AND(AND(M$4&gt;='2025'!$L197,M$4&lt;='2025'!$M197), M$4&lt;&gt;DATE(2025,7,4)), (SWITCH(weekday(M$4), 1, 0, 2, if(ISBLANK('2025'!$P197), 0, 1), 3, if(ISBLANK('2025'!$Q197), 0, 1), 4, if(ISBLANK('2025'!$R197), 0, 1), 5, if(ISBLANK('2025'!$S197), 0, 1), 6, if(ISBLANK('2025'!$T197), 0, 1), 7, 0))), 1, "")</f>
        <v/>
      </c>
      <c r="N199" s="1" t="str">
        <f>IF(AND(AND(AND(N$4&gt;='2025'!$L197,N$4&lt;='2025'!$M197), N$4&lt;&gt;DATE(2025,7,4)), (SWITCH(weekday(N$4), 1, 0, 2, if(ISBLANK('2025'!$P197), 0, 1), 3, if(ISBLANK('2025'!$Q197), 0, 1), 4, if(ISBLANK('2025'!$R197), 0, 1), 5, if(ISBLANK('2025'!$S197), 0, 1), 6, if(ISBLANK('2025'!$T197), 0, 1), 7, 0))), 1, "")</f>
        <v/>
      </c>
      <c r="O199" s="1" t="str">
        <f>IF(AND(AND(AND(O$4&gt;='2025'!$L197,O$4&lt;='2025'!$M197), O$4&lt;&gt;DATE(2025,7,4)), (SWITCH(weekday(O$4), 1, 0, 2, if(ISBLANK('2025'!$P197), 0, 1), 3, if(ISBLANK('2025'!$Q197), 0, 1), 4, if(ISBLANK('2025'!$R197), 0, 1), 5, if(ISBLANK('2025'!$S197), 0, 1), 6, if(ISBLANK('2025'!$T197), 0, 1), 7, 0))), 1, "")</f>
        <v/>
      </c>
      <c r="P199" s="1" t="str">
        <f>IF(AND(AND(AND(P$4&gt;='2025'!$L197,P$4&lt;='2025'!$M197), P$4&lt;&gt;DATE(2025,7,4)), (SWITCH(weekday(P$4), 1, 0, 2, if(ISBLANK('2025'!$P197), 0, 1), 3, if(ISBLANK('2025'!$Q197), 0, 1), 4, if(ISBLANK('2025'!$R197), 0, 1), 5, if(ISBLANK('2025'!$S197), 0, 1), 6, if(ISBLANK('2025'!$T197), 0, 1), 7, 0))), 1, "")</f>
        <v/>
      </c>
      <c r="Q199" s="1" t="str">
        <f>IF(AND(AND(AND(Q$4&gt;='2025'!$L197,Q$4&lt;='2025'!$M197), Q$4&lt;&gt;DATE(2025,7,4)), (SWITCH(weekday(Q$4), 1, 0, 2, if(ISBLANK('2025'!$P197), 0, 1), 3, if(ISBLANK('2025'!$Q197), 0, 1), 4, if(ISBLANK('2025'!$R197), 0, 1), 5, if(ISBLANK('2025'!$S197), 0, 1), 6, if(ISBLANK('2025'!$T197), 0, 1), 7, 0))), 1, "")</f>
        <v/>
      </c>
      <c r="R199" s="1" t="str">
        <f>IF(AND(AND(AND(R$4&gt;='2025'!$L197,R$4&lt;='2025'!$M197), R$4&lt;&gt;DATE(2025,7,4)), (SWITCH(weekday(R$4), 1, 0, 2, if(ISBLANK('2025'!$P197), 0, 1), 3, if(ISBLANK('2025'!$Q197), 0, 1), 4, if(ISBLANK('2025'!$R197), 0, 1), 5, if(ISBLANK('2025'!$S197), 0, 1), 6, if(ISBLANK('2025'!$T197), 0, 1), 7, 0))), 1, "")</f>
        <v/>
      </c>
      <c r="S199" s="1" t="str">
        <f>IF(AND(AND(AND(S$4&gt;='2025'!$L197,S$4&lt;='2025'!$M197), S$4&lt;&gt;DATE(2025,7,4)), (SWITCH(weekday(S$4), 1, 0, 2, if(ISBLANK('2025'!$P197), 0, 1), 3, if(ISBLANK('2025'!$Q197), 0, 1), 4, if(ISBLANK('2025'!$R197), 0, 1), 5, if(ISBLANK('2025'!$S197), 0, 1), 6, if(ISBLANK('2025'!$T197), 0, 1), 7, 0))), 1, "")</f>
        <v/>
      </c>
      <c r="T199" s="1" t="str">
        <f>IF(AND(AND(AND(T$4&gt;='2025'!$L197,T$4&lt;='2025'!$M197), T$4&lt;&gt;DATE(2025,7,4)), (SWITCH(weekday(T$4), 1, 0, 2, if(ISBLANK('2025'!$P197), 0, 1), 3, if(ISBLANK('2025'!$Q197), 0, 1), 4, if(ISBLANK('2025'!$R197), 0, 1), 5, if(ISBLANK('2025'!$S197), 0, 1), 6, if(ISBLANK('2025'!$T197), 0, 1), 7, 0))), 1, "")</f>
        <v/>
      </c>
      <c r="U199" s="1" t="str">
        <f>IF(AND(AND(AND(U$4&gt;='2025'!$L197,U$4&lt;='2025'!$M197), U$4&lt;&gt;DATE(2025,7,4)), (SWITCH(weekday(U$4), 1, 0, 2, if(ISBLANK('2025'!$P197), 0, 1), 3, if(ISBLANK('2025'!$Q197), 0, 1), 4, if(ISBLANK('2025'!$R197), 0, 1), 5, if(ISBLANK('2025'!$S197), 0, 1), 6, if(ISBLANK('2025'!$T197), 0, 1), 7, 0))), 1, "")</f>
        <v/>
      </c>
      <c r="V199" s="1" t="str">
        <f>IF(AND(AND(AND(V$4&gt;='2025'!$L197,V$4&lt;='2025'!$M197), V$4&lt;&gt;DATE(2025,7,4)), (SWITCH(weekday(V$4), 1, 0, 2, if(ISBLANK('2025'!$P197), 0, 1), 3, if(ISBLANK('2025'!$Q197), 0, 1), 4, if(ISBLANK('2025'!$R197), 0, 1), 5, if(ISBLANK('2025'!$S197), 0, 1), 6, if(ISBLANK('2025'!$T197), 0, 1), 7, 0))), 1, "")</f>
        <v/>
      </c>
      <c r="W199" s="1" t="str">
        <f>IF(AND(AND(AND(W$4&gt;='2025'!$L197,W$4&lt;='2025'!$M197), W$4&lt;&gt;DATE(2025,7,4)), (SWITCH(weekday(W$4), 1, 0, 2, if(ISBLANK('2025'!$P197), 0, 1), 3, if(ISBLANK('2025'!$Q197), 0, 1), 4, if(ISBLANK('2025'!$R197), 0, 1), 5, if(ISBLANK('2025'!$S197), 0, 1), 6, if(ISBLANK('2025'!$T197), 0, 1), 7, 0))), 1, "")</f>
        <v/>
      </c>
      <c r="X199" s="1" t="str">
        <f>IF(AND(AND(AND(X$4&gt;='2025'!$L197,X$4&lt;='2025'!$M197), X$4&lt;&gt;DATE(2025,7,4)), (SWITCH(weekday(X$4), 1, 0, 2, if(ISBLANK('2025'!$P197), 0, 1), 3, if(ISBLANK('2025'!$Q197), 0, 1), 4, if(ISBLANK('2025'!$R197), 0, 1), 5, if(ISBLANK('2025'!$S197), 0, 1), 6, if(ISBLANK('2025'!$T197), 0, 1), 7, 0))), 1, "")</f>
        <v/>
      </c>
      <c r="Y199" s="1" t="str">
        <f>IF(AND(AND(AND(Y$4&gt;='2025'!$L197,Y$4&lt;='2025'!$M197), Y$4&lt;&gt;DATE(2025,7,4)), (SWITCH(weekday(Y$4), 1, 0, 2, if(ISBLANK('2025'!$P197), 0, 1), 3, if(ISBLANK('2025'!$Q197), 0, 1), 4, if(ISBLANK('2025'!$R197), 0, 1), 5, if(ISBLANK('2025'!$S197), 0, 1), 6, if(ISBLANK('2025'!$T197), 0, 1), 7, 0))), 1, "")</f>
        <v/>
      </c>
      <c r="Z199" s="1" t="str">
        <f>IF(AND(AND(AND(Z$4&gt;='2025'!$L197,Z$4&lt;='2025'!$M197), Z$4&lt;&gt;DATE(2025,7,4)), (SWITCH(weekday(Z$4), 1, 0, 2, if(ISBLANK('2025'!$P197), 0, 1), 3, if(ISBLANK('2025'!$Q197), 0, 1), 4, if(ISBLANK('2025'!$R197), 0, 1), 5, if(ISBLANK('2025'!$S197), 0, 1), 6, if(ISBLANK('2025'!$T197), 0, 1), 7, 0))), 1, "")</f>
        <v/>
      </c>
      <c r="AA199" s="1" t="str">
        <f>IF(AND(AND(AND(AA$4&gt;='2025'!$L197,AA$4&lt;='2025'!$M197), AA$4&lt;&gt;DATE(2025,7,4)), (SWITCH(weekday(AA$4), 1, 0, 2, if(ISBLANK('2025'!$P197), 0, 1), 3, if(ISBLANK('2025'!$Q197), 0, 1), 4, if(ISBLANK('2025'!$R197), 0, 1), 5, if(ISBLANK('2025'!$S197), 0, 1), 6, if(ISBLANK('2025'!$T197), 0, 1), 7, 0))), 1, "")</f>
        <v/>
      </c>
      <c r="AB199" s="1" t="str">
        <f>IF(AND(AND(AND(AB$4&gt;='2025'!$L197,AB$4&lt;='2025'!$M197), AB$4&lt;&gt;DATE(2025,7,4)), (SWITCH(weekday(AB$4), 1, 0, 2, if(ISBLANK('2025'!$P197), 0, 1), 3, if(ISBLANK('2025'!$Q197), 0, 1), 4, if(ISBLANK('2025'!$R197), 0, 1), 5, if(ISBLANK('2025'!$S197), 0, 1), 6, if(ISBLANK('2025'!$T197), 0, 1), 7, 0))), 1, "")</f>
        <v/>
      </c>
      <c r="AC199" s="1" t="str">
        <f>IF(AND(AND(AND(AC$4&gt;='2025'!$L197,AC$4&lt;='2025'!$M197), AC$4&lt;&gt;DATE(2025,7,4)), (SWITCH(weekday(AC$4), 1, 0, 2, if(ISBLANK('2025'!$P197), 0, 1), 3, if(ISBLANK('2025'!$Q197), 0, 1), 4, if(ISBLANK('2025'!$R197), 0, 1), 5, if(ISBLANK('2025'!$S197), 0, 1), 6, if(ISBLANK('2025'!$T197), 0, 1), 7, 0))), 1, "")</f>
        <v/>
      </c>
      <c r="AD199" s="1" t="str">
        <f>IF(AND(AND(AND(AD$4&gt;='2025'!$L197,AD$4&lt;='2025'!$M197), AD$4&lt;&gt;DATE(2025,7,4)), (SWITCH(weekday(AD$4), 1, 0, 2, if(ISBLANK('2025'!$P197), 0, 1), 3, if(ISBLANK('2025'!$Q197), 0, 1), 4, if(ISBLANK('2025'!$R197), 0, 1), 5, if(ISBLANK('2025'!$S197), 0, 1), 6, if(ISBLANK('2025'!$T197), 0, 1), 7, 0))), 1, "")</f>
        <v/>
      </c>
      <c r="AE199" s="1" t="str">
        <f>IF(AND(AND(AND(AE$4&gt;='2025'!$L197,AE$4&lt;='2025'!$M197), AE$4&lt;&gt;DATE(2025,7,4)), (SWITCH(weekday(AE$4), 1, 0, 2, if(ISBLANK('2025'!$P197), 0, 1), 3, if(ISBLANK('2025'!$Q197), 0, 1), 4, if(ISBLANK('2025'!$R197), 0, 1), 5, if(ISBLANK('2025'!$S197), 0, 1), 6, if(ISBLANK('2025'!$T197), 0, 1), 7, 0))), 1, "")</f>
        <v/>
      </c>
      <c r="AF199" s="1" t="str">
        <f>IF(AND(AND(AND(AF$4&gt;='2025'!$L197,AF$4&lt;='2025'!$M197), AF$4&lt;&gt;DATE(2025,7,4)), (SWITCH(weekday(AF$4), 1, 0, 2, if(ISBLANK('2025'!$P197), 0, 1), 3, if(ISBLANK('2025'!$Q197), 0, 1), 4, if(ISBLANK('2025'!$R197), 0, 1), 5, if(ISBLANK('2025'!$S197), 0, 1), 6, if(ISBLANK('2025'!$T197), 0, 1), 7, 0))), 1, "")</f>
        <v/>
      </c>
      <c r="AG199" s="1" t="str">
        <f>IF(AND(AND(AND(AG$4&gt;='2025'!$L197,AG$4&lt;='2025'!$M197), AG$4&lt;&gt;DATE(2025,7,4)), (SWITCH(weekday(AG$4), 1, 0, 2, if(ISBLANK('2025'!$P197), 0, 1), 3, if(ISBLANK('2025'!$Q197), 0, 1), 4, if(ISBLANK('2025'!$R197), 0, 1), 5, if(ISBLANK('2025'!$S197), 0, 1), 6, if(ISBLANK('2025'!$T197), 0, 1), 7, 0))), 1, "")</f>
        <v/>
      </c>
      <c r="AH199" s="1" t="str">
        <f>IF(AND(AND(AND(AH$4&gt;='2025'!$L197,AH$4&lt;='2025'!$M197), AH$4&lt;&gt;DATE(2025,7,4)), (SWITCH(weekday(AH$4), 1, 0, 2, if(ISBLANK('2025'!$P197), 0, 1), 3, if(ISBLANK('2025'!$Q197), 0, 1), 4, if(ISBLANK('2025'!$R197), 0, 1), 5, if(ISBLANK('2025'!$S197), 0, 1), 6, if(ISBLANK('2025'!$T197), 0, 1), 7, 0))), 1, "")</f>
        <v/>
      </c>
      <c r="AI199" s="1" t="str">
        <f>IF(AND(AND(AND(AI$4&gt;='2025'!$L197,AI$4&lt;='2025'!$M197), AI$4&lt;&gt;DATE(2025,7,4)), (SWITCH(weekday(AI$4), 1, 0, 2, if(ISBLANK('2025'!$P197), 0, 1), 3, if(ISBLANK('2025'!$Q197), 0, 1), 4, if(ISBLANK('2025'!$R197), 0, 1), 5, if(ISBLANK('2025'!$S197), 0, 1), 6, if(ISBLANK('2025'!$T197), 0, 1), 7, 0))), 1, "")</f>
        <v/>
      </c>
      <c r="AJ199" s="1" t="str">
        <f>IF(AND(AND(AND(AJ$4&gt;='2025'!$L197,AJ$4&lt;='2025'!$M197), AJ$4&lt;&gt;DATE(2025,7,4)), (SWITCH(weekday(AJ$4), 1, 0, 2, if(ISBLANK('2025'!$P197), 0, 1), 3, if(ISBLANK('2025'!$Q197), 0, 1), 4, if(ISBLANK('2025'!$R197), 0, 1), 5, if(ISBLANK('2025'!$S197), 0, 1), 6, if(ISBLANK('2025'!$T197), 0, 1), 7, 0))), 1, "")</f>
        <v/>
      </c>
      <c r="AK199" s="1" t="str">
        <f>IF(AND(AND(AND(AK$4&gt;='2025'!$L197,AK$4&lt;='2025'!$M197), AK$4&lt;&gt;DATE(2025,7,4)), (SWITCH(weekday(AK$4), 1, 0, 2, if(ISBLANK('2025'!$P197), 0, 1), 3, if(ISBLANK('2025'!$Q197), 0, 1), 4, if(ISBLANK('2025'!$R197), 0, 1), 5, if(ISBLANK('2025'!$S197), 0, 1), 6, if(ISBLANK('2025'!$T197), 0, 1), 7, 0))), 1, "")</f>
        <v/>
      </c>
      <c r="AL199" s="1" t="str">
        <f>IF(AND(AND(AND(AL$4&gt;='2025'!$L197,AL$4&lt;='2025'!$M197), AL$4&lt;&gt;DATE(2025,7,4)), (SWITCH(weekday(AL$4), 1, 0, 2, if(ISBLANK('2025'!$P197), 0, 1), 3, if(ISBLANK('2025'!$Q197), 0, 1), 4, if(ISBLANK('2025'!$R197), 0, 1), 5, if(ISBLANK('2025'!$S197), 0, 1), 6, if(ISBLANK('2025'!$T197), 0, 1), 7, 0))), 1, "")</f>
        <v/>
      </c>
      <c r="AM199" s="1" t="str">
        <f>IF(AND(AND(AND(AM$4&gt;='2025'!$L197,AM$4&lt;='2025'!$M197), AM$4&lt;&gt;DATE(2025,7,4)), (SWITCH(weekday(AM$4), 1, 0, 2, if(ISBLANK('2025'!$P197), 0, 1), 3, if(ISBLANK('2025'!$Q197), 0, 1), 4, if(ISBLANK('2025'!$R197), 0, 1), 5, if(ISBLANK('2025'!$S197), 0, 1), 6, if(ISBLANK('2025'!$T197), 0, 1), 7, 0))), 1, "")</f>
        <v/>
      </c>
      <c r="AN199" s="1" t="str">
        <f>IF(AND(AND(AND(AN$4&gt;='2025'!$L197,AN$4&lt;='2025'!$M197), AN$4&lt;&gt;DATE(2025,7,4)), (SWITCH(weekday(AN$4), 1, 0, 2, if(ISBLANK('2025'!$P197), 0, 1), 3, if(ISBLANK('2025'!$Q197), 0, 1), 4, if(ISBLANK('2025'!$R197), 0, 1), 5, if(ISBLANK('2025'!$S197), 0, 1), 6, if(ISBLANK('2025'!$T197), 0, 1), 7, 0))), 1, "")</f>
        <v/>
      </c>
      <c r="AO199" s="1" t="str">
        <f>IF(AND(AND(AND(AO$4&gt;='2025'!$L197,AO$4&lt;='2025'!$M197), AO$4&lt;&gt;DATE(2025,7,4)), (SWITCH(weekday(AO$4), 1, 0, 2, if(ISBLANK('2025'!$P197), 0, 1), 3, if(ISBLANK('2025'!$Q197), 0, 1), 4, if(ISBLANK('2025'!$R197), 0, 1), 5, if(ISBLANK('2025'!$S197), 0, 1), 6, if(ISBLANK('2025'!$T197), 0, 1), 7, 0))), 1, "")</f>
        <v/>
      </c>
      <c r="AP199" s="1" t="str">
        <f>IF(AND(AND(AND(AP$4&gt;='2025'!$L197,AP$4&lt;='2025'!$M197), AP$4&lt;&gt;DATE(2025,7,4)), (SWITCH(weekday(AP$4), 1, 0, 2, if(ISBLANK('2025'!$P197), 0, 1), 3, if(ISBLANK('2025'!$Q197), 0, 1), 4, if(ISBLANK('2025'!$R197), 0, 1), 5, if(ISBLANK('2025'!$S197), 0, 1), 6, if(ISBLANK('2025'!$T197), 0, 1), 7, 0))), 1, "")</f>
        <v/>
      </c>
      <c r="AQ199" s="1" t="str">
        <f>IF(AND(AND(AND(AQ$4&gt;='2025'!$L197,AQ$4&lt;='2025'!$M197), AQ$4&lt;&gt;DATE(2025,7,4)), (SWITCH(weekday(AQ$4), 1, 0, 2, if(ISBLANK('2025'!$P197), 0, 1), 3, if(ISBLANK('2025'!$Q197), 0, 1), 4, if(ISBLANK('2025'!$R197), 0, 1), 5, if(ISBLANK('2025'!$S197), 0, 1), 6, if(ISBLANK('2025'!$T197), 0, 1), 7, 0))), 1, "")</f>
        <v/>
      </c>
      <c r="AR199" s="1" t="str">
        <f>IF(AND(AND(AND(AR$4&gt;='2025'!$L197,AR$4&lt;='2025'!$M197), AR$4&lt;&gt;DATE(2025,7,4)), (SWITCH(weekday(AR$4), 1, 0, 2, if(ISBLANK('2025'!$P197), 0, 1), 3, if(ISBLANK('2025'!$Q197), 0, 1), 4, if(ISBLANK('2025'!$R197), 0, 1), 5, if(ISBLANK('2025'!$S197), 0, 1), 6, if(ISBLANK('2025'!$T197), 0, 1), 7, 0))), 1, "")</f>
        <v/>
      </c>
      <c r="AS199" s="1" t="str">
        <f>IF(AND(AND(AND(AS$4&gt;='2025'!$L197,AS$4&lt;='2025'!$M197), AS$4&lt;&gt;DATE(2025,7,4)), (SWITCH(weekday(AS$4), 1, 0, 2, if(ISBLANK('2025'!$P197), 0, 1), 3, if(ISBLANK('2025'!$Q197), 0, 1), 4, if(ISBLANK('2025'!$R197), 0, 1), 5, if(ISBLANK('2025'!$S197), 0, 1), 6, if(ISBLANK('2025'!$T197), 0, 1), 7, 0))), 1, "")</f>
        <v/>
      </c>
      <c r="AT199" s="1" t="str">
        <f>IF(AND(AND(AND(AT$4&gt;='2025'!$L197,AT$4&lt;='2025'!$M197), AT$4&lt;&gt;DATE(2025,7,4)), (SWITCH(weekday(AT$4), 1, 0, 2, if(ISBLANK('2025'!$P197), 0, 1), 3, if(ISBLANK('2025'!$Q197), 0, 1), 4, if(ISBLANK('2025'!$R197), 0, 1), 5, if(ISBLANK('2025'!$S197), 0, 1), 6, if(ISBLANK('2025'!$T197), 0, 1), 7, 0))), 1, "")</f>
        <v/>
      </c>
      <c r="AU199" s="1" t="str">
        <f>IF(AND(AND(AND(AU$4&gt;='2025'!$L197,AU$4&lt;='2025'!$M197), AU$4&lt;&gt;DATE(2025,7,4)), (SWITCH(weekday(AU$4), 1, 0, 2, if(ISBLANK('2025'!$P197), 0, 1), 3, if(ISBLANK('2025'!$Q197), 0, 1), 4, if(ISBLANK('2025'!$R197), 0, 1), 5, if(ISBLANK('2025'!$S197), 0, 1), 6, if(ISBLANK('2025'!$T197), 0, 1), 7, 0))), 1, "")</f>
        <v/>
      </c>
      <c r="AV199" s="1" t="str">
        <f>IF(AND(AND(AND(AV$4&gt;='2025'!$L197,AV$4&lt;='2025'!$M197), AV$4&lt;&gt;DATE(2025,7,4)), (SWITCH(weekday(AV$4), 1, 0, 2, if(ISBLANK('2025'!$P197), 0, 1), 3, if(ISBLANK('2025'!$Q197), 0, 1), 4, if(ISBLANK('2025'!$R197), 0, 1), 5, if(ISBLANK('2025'!$S197), 0, 1), 6, if(ISBLANK('2025'!$T197), 0, 1), 7, 0))), 1, "")</f>
        <v/>
      </c>
      <c r="AW199" s="1" t="str">
        <f>IF(AND(AND(AND(AW$4&gt;='2025'!$L197,AW$4&lt;='2025'!$M197), AW$4&lt;&gt;DATE(2025,7,4)), (SWITCH(weekday(AW$4), 1, 0, 2, if(ISBLANK('2025'!$P197), 0, 1), 3, if(ISBLANK('2025'!$Q197), 0, 1), 4, if(ISBLANK('2025'!$R197), 0, 1), 5, if(ISBLANK('2025'!$S197), 0, 1), 6, if(ISBLANK('2025'!$T197), 0, 1), 7, 0))), 1, "")</f>
        <v/>
      </c>
      <c r="AX199" s="1" t="str">
        <f>IF(AND(AND(AND(AX$4&gt;='2025'!$L197,AX$4&lt;='2025'!$M197), AX$4&lt;&gt;DATE(2025,7,4)), (SWITCH(weekday(AX$4), 1, 0, 2, if(ISBLANK('2025'!$P197), 0, 1), 3, if(ISBLANK('2025'!$Q197), 0, 1), 4, if(ISBLANK('2025'!$R197), 0, 1), 5, if(ISBLANK('2025'!$S197), 0, 1), 6, if(ISBLANK('2025'!$T197), 0, 1), 7, 0))), 1, "")</f>
        <v/>
      </c>
      <c r="AY199" s="1" t="str">
        <f>IF(AND(AND(AND(AY$4&gt;='2025'!$L197,AY$4&lt;='2025'!$M197), AY$4&lt;&gt;DATE(2025,7,4)), (SWITCH(weekday(AY$4), 1, 0, 2, if(ISBLANK('2025'!$P197), 0, 1), 3, if(ISBLANK('2025'!$Q197), 0, 1), 4, if(ISBLANK('2025'!$R197), 0, 1), 5, if(ISBLANK('2025'!$S197), 0, 1), 6, if(ISBLANK('2025'!$T197), 0, 1), 7, 0))), 1, "")</f>
        <v/>
      </c>
      <c r="AZ199" s="1" t="str">
        <f>IF(AND(AND(AND(AZ$4&gt;='2025'!$L197,AZ$4&lt;='2025'!$M197), AZ$4&lt;&gt;DATE(2025,7,4)), (SWITCH(weekday(AZ$4), 1, 0, 2, if(ISBLANK('2025'!$P197), 0, 1), 3, if(ISBLANK('2025'!$Q197), 0, 1), 4, if(ISBLANK('2025'!$R197), 0, 1), 5, if(ISBLANK('2025'!$S197), 0, 1), 6, if(ISBLANK('2025'!$T197), 0, 1), 7, 0))), 1, "")</f>
        <v/>
      </c>
      <c r="BA199" s="1" t="str">
        <f>IF(AND(AND(AND(BA$4&gt;='2025'!$L197,BA$4&lt;='2025'!$M197), BA$4&lt;&gt;DATE(2025,7,4)), (SWITCH(weekday(BA$4), 1, 0, 2, if(ISBLANK('2025'!$P197), 0, 1), 3, if(ISBLANK('2025'!$Q197), 0, 1), 4, if(ISBLANK('2025'!$R197), 0, 1), 5, if(ISBLANK('2025'!$S197), 0, 1), 6, if(ISBLANK('2025'!$T197), 0, 1), 7, 0))), 1, "")</f>
        <v/>
      </c>
      <c r="BB199" s="1" t="str">
        <f>IF(AND(AND(AND(BB$4&gt;='2025'!$L197,BB$4&lt;='2025'!$M197), BB$4&lt;&gt;DATE(2025,7,4)), (SWITCH(weekday(BB$4), 1, 0, 2, if(ISBLANK('2025'!$P197), 0, 1), 3, if(ISBLANK('2025'!$Q197), 0, 1), 4, if(ISBLANK('2025'!$R197), 0, 1), 5, if(ISBLANK('2025'!$S197), 0, 1), 6, if(ISBLANK('2025'!$T197), 0, 1), 7, 0))), 1, "")</f>
        <v/>
      </c>
      <c r="BC199" s="1" t="str">
        <f>IF(AND(AND(AND(BC$4&gt;='2025'!$L197,BC$4&lt;='2025'!$M197), BC$4&lt;&gt;DATE(2025,7,4)), (SWITCH(weekday(BC$4), 1, 0, 2, if(ISBLANK('2025'!$P197), 0, 1), 3, if(ISBLANK('2025'!$Q197), 0, 1), 4, if(ISBLANK('2025'!$R197), 0, 1), 5, if(ISBLANK('2025'!$S197), 0, 1), 6, if(ISBLANK('2025'!$T197), 0, 1), 7, 0))), 1, "")</f>
        <v/>
      </c>
      <c r="BD199" s="1" t="str">
        <f>IF(AND(AND(AND(BD$4&gt;='2025'!$L197,BD$4&lt;='2025'!$M197), BD$4&lt;&gt;DATE(2025,7,4)), (SWITCH(weekday(BD$4), 1, 0, 2, if(ISBLANK('2025'!$P197), 0, 1), 3, if(ISBLANK('2025'!$Q197), 0, 1), 4, if(ISBLANK('2025'!$R197), 0, 1), 5, if(ISBLANK('2025'!$S197), 0, 1), 6, if(ISBLANK('2025'!$T197), 0, 1), 7, 0))), 1, "")</f>
        <v/>
      </c>
      <c r="BE199" s="1" t="str">
        <f>IF(AND(AND(AND(BE$4&gt;='2025'!$L197,BE$4&lt;='2025'!$M197), BE$4&lt;&gt;DATE(2025,7,4)), (SWITCH(weekday(BE$4), 1, 0, 2, if(ISBLANK('2025'!$P197), 0, 1), 3, if(ISBLANK('2025'!$Q197), 0, 1), 4, if(ISBLANK('2025'!$R197), 0, 1), 5, if(ISBLANK('2025'!$S197), 0, 1), 6, if(ISBLANK('2025'!$T197), 0, 1), 7, 0))), 1, "")</f>
        <v/>
      </c>
      <c r="BF199" s="1" t="str">
        <f>IF(AND(AND(AND(BF$4&gt;='2025'!$L197,BF$4&lt;='2025'!$M197), BF$4&lt;&gt;DATE(2025,7,4)), (SWITCH(weekday(BF$4), 1, 0, 2, if(ISBLANK('2025'!$P197), 0, 1), 3, if(ISBLANK('2025'!$Q197), 0, 1), 4, if(ISBLANK('2025'!$R197), 0, 1), 5, if(ISBLANK('2025'!$S197), 0, 1), 6, if(ISBLANK('2025'!$T197), 0, 1), 7, 0))), 1, "")</f>
        <v/>
      </c>
      <c r="BG199" s="1"/>
      <c r="BH199" s="1"/>
      <c r="BI199" s="1"/>
      <c r="BJ199" s="1"/>
      <c r="BK199" s="1"/>
      <c r="BL199" s="1"/>
    </row>
    <row r="200">
      <c r="A200" s="1">
        <f t="shared" si="3"/>
        <v>200</v>
      </c>
      <c r="B200" s="1" t="str">
        <f>'2025'!D164</f>
        <v>, </v>
      </c>
      <c r="C200" s="1" t="str">
        <f>'2025'!H164</f>
        <v/>
      </c>
      <c r="D200" s="1" t="str">
        <f>IF(AND(AND(AND(D$4&gt;='2025'!$L198,D$4&lt;='2025'!$M198), D$4&lt;&gt;DATE(2025,7,4)), (SWITCH(weekday(D$4), 1, 0, 2, if(ISBLANK('2025'!$P198), 0, 1), 3, if(ISBLANK('2025'!$Q198), 0, 1), 4, if(ISBLANK('2025'!$R198), 0, 1), 5, if(ISBLANK('2025'!$S198), 0, 1), 6, if(ISBLANK('2025'!$T198), 0, 1), 7, 0))), 1, "")</f>
        <v/>
      </c>
      <c r="E200" s="1" t="str">
        <f>IF(AND(AND(AND(E$4&gt;='2025'!$L198,E$4&lt;='2025'!$M198), E$4&lt;&gt;DATE(2025,7,4)), (SWITCH(weekday(E$4), 1, 0, 2, if(ISBLANK('2025'!$P198), 0, 1), 3, if(ISBLANK('2025'!$Q198), 0, 1), 4, if(ISBLANK('2025'!$R198), 0, 1), 5, if(ISBLANK('2025'!$S198), 0, 1), 6, if(ISBLANK('2025'!$T198), 0, 1), 7, 0))), 1, "")</f>
        <v/>
      </c>
      <c r="F200" s="1" t="str">
        <f>IF(AND(AND(AND(F$4&gt;='2025'!$L198,F$4&lt;='2025'!$M198), F$4&lt;&gt;DATE(2025,7,4)), (SWITCH(weekday(F$4), 1, 0, 2, if(ISBLANK('2025'!$P198), 0, 1), 3, if(ISBLANK('2025'!$Q198), 0, 1), 4, if(ISBLANK('2025'!$R198), 0, 1), 5, if(ISBLANK('2025'!$S198), 0, 1), 6, if(ISBLANK('2025'!$T198), 0, 1), 7, 0))), 1, "")</f>
        <v/>
      </c>
      <c r="G200" s="1" t="str">
        <f>IF(AND(AND(AND(G$4&gt;='2025'!$L198,G$4&lt;='2025'!$M198), G$4&lt;&gt;DATE(2025,7,4)), (SWITCH(weekday(G$4), 1, 0, 2, if(ISBLANK('2025'!$P198), 0, 1), 3, if(ISBLANK('2025'!$Q198), 0, 1), 4, if(ISBLANK('2025'!$R198), 0, 1), 5, if(ISBLANK('2025'!$S198), 0, 1), 6, if(ISBLANK('2025'!$T198), 0, 1), 7, 0))), 1, "")</f>
        <v/>
      </c>
      <c r="H200" s="1" t="str">
        <f>IF(AND(AND(AND(H$4&gt;='2025'!$L198,H$4&lt;='2025'!$M198), H$4&lt;&gt;DATE(2025,7,4)), (SWITCH(weekday(H$4), 1, 0, 2, if(ISBLANK('2025'!$P198), 0, 1), 3, if(ISBLANK('2025'!$Q198), 0, 1), 4, if(ISBLANK('2025'!$R198), 0, 1), 5, if(ISBLANK('2025'!$S198), 0, 1), 6, if(ISBLANK('2025'!$T198), 0, 1), 7, 0))), 1, "")</f>
        <v/>
      </c>
      <c r="I200" s="1" t="str">
        <f>IF(AND(AND(AND(I$4&gt;='2025'!$L198,I$4&lt;='2025'!$M198), I$4&lt;&gt;DATE(2025,7,4)), (SWITCH(weekday(I$4), 1, 0, 2, if(ISBLANK('2025'!$P198), 0, 1), 3, if(ISBLANK('2025'!$Q198), 0, 1), 4, if(ISBLANK('2025'!$R198), 0, 1), 5, if(ISBLANK('2025'!$S198), 0, 1), 6, if(ISBLANK('2025'!$T198), 0, 1), 7, 0))), 1, "")</f>
        <v/>
      </c>
      <c r="J200" s="1" t="str">
        <f>IF(AND(AND(AND(J$4&gt;='2025'!$L198,J$4&lt;='2025'!$M198), J$4&lt;&gt;DATE(2025,7,4)), (SWITCH(weekday(J$4), 1, 0, 2, if(ISBLANK('2025'!$P198), 0, 1), 3, if(ISBLANK('2025'!$Q198), 0, 1), 4, if(ISBLANK('2025'!$R198), 0, 1), 5, if(ISBLANK('2025'!$S198), 0, 1), 6, if(ISBLANK('2025'!$T198), 0, 1), 7, 0))), 1, "")</f>
        <v/>
      </c>
      <c r="K200" s="1" t="str">
        <f>IF(AND(AND(AND(K$4&gt;='2025'!$L198,K$4&lt;='2025'!$M198), K$4&lt;&gt;DATE(2025,7,4)), (SWITCH(weekday(K$4), 1, 0, 2, if(ISBLANK('2025'!$P198), 0, 1), 3, if(ISBLANK('2025'!$Q198), 0, 1), 4, if(ISBLANK('2025'!$R198), 0, 1), 5, if(ISBLANK('2025'!$S198), 0, 1), 6, if(ISBLANK('2025'!$T198), 0, 1), 7, 0))), 1, "")</f>
        <v/>
      </c>
      <c r="L200" s="1" t="str">
        <f>IF(AND(AND(AND(L$4&gt;='2025'!$L198,L$4&lt;='2025'!$M198), L$4&lt;&gt;DATE(2025,7,4)), (SWITCH(weekday(L$4), 1, 0, 2, if(ISBLANK('2025'!$P198), 0, 1), 3, if(ISBLANK('2025'!$Q198), 0, 1), 4, if(ISBLANK('2025'!$R198), 0, 1), 5, if(ISBLANK('2025'!$S198), 0, 1), 6, if(ISBLANK('2025'!$T198), 0, 1), 7, 0))), 1, "")</f>
        <v/>
      </c>
      <c r="M200" s="1" t="str">
        <f>IF(AND(AND(AND(M$4&gt;='2025'!$L198,M$4&lt;='2025'!$M198), M$4&lt;&gt;DATE(2025,7,4)), (SWITCH(weekday(M$4), 1, 0, 2, if(ISBLANK('2025'!$P198), 0, 1), 3, if(ISBLANK('2025'!$Q198), 0, 1), 4, if(ISBLANK('2025'!$R198), 0, 1), 5, if(ISBLANK('2025'!$S198), 0, 1), 6, if(ISBLANK('2025'!$T198), 0, 1), 7, 0))), 1, "")</f>
        <v/>
      </c>
      <c r="N200" s="1" t="str">
        <f>IF(AND(AND(AND(N$4&gt;='2025'!$L198,N$4&lt;='2025'!$M198), N$4&lt;&gt;DATE(2025,7,4)), (SWITCH(weekday(N$4), 1, 0, 2, if(ISBLANK('2025'!$P198), 0, 1), 3, if(ISBLANK('2025'!$Q198), 0, 1), 4, if(ISBLANK('2025'!$R198), 0, 1), 5, if(ISBLANK('2025'!$S198), 0, 1), 6, if(ISBLANK('2025'!$T198), 0, 1), 7, 0))), 1, "")</f>
        <v/>
      </c>
      <c r="O200" s="1" t="str">
        <f>IF(AND(AND(AND(O$4&gt;='2025'!$L198,O$4&lt;='2025'!$M198), O$4&lt;&gt;DATE(2025,7,4)), (SWITCH(weekday(O$4), 1, 0, 2, if(ISBLANK('2025'!$P198), 0, 1), 3, if(ISBLANK('2025'!$Q198), 0, 1), 4, if(ISBLANK('2025'!$R198), 0, 1), 5, if(ISBLANK('2025'!$S198), 0, 1), 6, if(ISBLANK('2025'!$T198), 0, 1), 7, 0))), 1, "")</f>
        <v/>
      </c>
      <c r="P200" s="1" t="str">
        <f>IF(AND(AND(AND(P$4&gt;='2025'!$L198,P$4&lt;='2025'!$M198), P$4&lt;&gt;DATE(2025,7,4)), (SWITCH(weekday(P$4), 1, 0, 2, if(ISBLANK('2025'!$P198), 0, 1), 3, if(ISBLANK('2025'!$Q198), 0, 1), 4, if(ISBLANK('2025'!$R198), 0, 1), 5, if(ISBLANK('2025'!$S198), 0, 1), 6, if(ISBLANK('2025'!$T198), 0, 1), 7, 0))), 1, "")</f>
        <v/>
      </c>
      <c r="Q200" s="1" t="str">
        <f>IF(AND(AND(AND(Q$4&gt;='2025'!$L198,Q$4&lt;='2025'!$M198), Q$4&lt;&gt;DATE(2025,7,4)), (SWITCH(weekday(Q$4), 1, 0, 2, if(ISBLANK('2025'!$P198), 0, 1), 3, if(ISBLANK('2025'!$Q198), 0, 1), 4, if(ISBLANK('2025'!$R198), 0, 1), 5, if(ISBLANK('2025'!$S198), 0, 1), 6, if(ISBLANK('2025'!$T198), 0, 1), 7, 0))), 1, "")</f>
        <v/>
      </c>
      <c r="R200" s="1" t="str">
        <f>IF(AND(AND(AND(R$4&gt;='2025'!$L198,R$4&lt;='2025'!$M198), R$4&lt;&gt;DATE(2025,7,4)), (SWITCH(weekday(R$4), 1, 0, 2, if(ISBLANK('2025'!$P198), 0, 1), 3, if(ISBLANK('2025'!$Q198), 0, 1), 4, if(ISBLANK('2025'!$R198), 0, 1), 5, if(ISBLANK('2025'!$S198), 0, 1), 6, if(ISBLANK('2025'!$T198), 0, 1), 7, 0))), 1, "")</f>
        <v/>
      </c>
      <c r="S200" s="1" t="str">
        <f>IF(AND(AND(AND(S$4&gt;='2025'!$L198,S$4&lt;='2025'!$M198), S$4&lt;&gt;DATE(2025,7,4)), (SWITCH(weekday(S$4), 1, 0, 2, if(ISBLANK('2025'!$P198), 0, 1), 3, if(ISBLANK('2025'!$Q198), 0, 1), 4, if(ISBLANK('2025'!$R198), 0, 1), 5, if(ISBLANK('2025'!$S198), 0, 1), 6, if(ISBLANK('2025'!$T198), 0, 1), 7, 0))), 1, "")</f>
        <v/>
      </c>
      <c r="T200" s="1" t="str">
        <f>IF(AND(AND(AND(T$4&gt;='2025'!$L198,T$4&lt;='2025'!$M198), T$4&lt;&gt;DATE(2025,7,4)), (SWITCH(weekday(T$4), 1, 0, 2, if(ISBLANK('2025'!$P198), 0, 1), 3, if(ISBLANK('2025'!$Q198), 0, 1), 4, if(ISBLANK('2025'!$R198), 0, 1), 5, if(ISBLANK('2025'!$S198), 0, 1), 6, if(ISBLANK('2025'!$T198), 0, 1), 7, 0))), 1, "")</f>
        <v/>
      </c>
      <c r="U200" s="1" t="str">
        <f>IF(AND(AND(AND(U$4&gt;='2025'!$L198,U$4&lt;='2025'!$M198), U$4&lt;&gt;DATE(2025,7,4)), (SWITCH(weekday(U$4), 1, 0, 2, if(ISBLANK('2025'!$P198), 0, 1), 3, if(ISBLANK('2025'!$Q198), 0, 1), 4, if(ISBLANK('2025'!$R198), 0, 1), 5, if(ISBLANK('2025'!$S198), 0, 1), 6, if(ISBLANK('2025'!$T198), 0, 1), 7, 0))), 1, "")</f>
        <v/>
      </c>
      <c r="V200" s="1" t="str">
        <f>IF(AND(AND(AND(V$4&gt;='2025'!$L198,V$4&lt;='2025'!$M198), V$4&lt;&gt;DATE(2025,7,4)), (SWITCH(weekday(V$4), 1, 0, 2, if(ISBLANK('2025'!$P198), 0, 1), 3, if(ISBLANK('2025'!$Q198), 0, 1), 4, if(ISBLANK('2025'!$R198), 0, 1), 5, if(ISBLANK('2025'!$S198), 0, 1), 6, if(ISBLANK('2025'!$T198), 0, 1), 7, 0))), 1, "")</f>
        <v/>
      </c>
      <c r="W200" s="1" t="str">
        <f>IF(AND(AND(AND(W$4&gt;='2025'!$L198,W$4&lt;='2025'!$M198), W$4&lt;&gt;DATE(2025,7,4)), (SWITCH(weekday(W$4), 1, 0, 2, if(ISBLANK('2025'!$P198), 0, 1), 3, if(ISBLANK('2025'!$Q198), 0, 1), 4, if(ISBLANK('2025'!$R198), 0, 1), 5, if(ISBLANK('2025'!$S198), 0, 1), 6, if(ISBLANK('2025'!$T198), 0, 1), 7, 0))), 1, "")</f>
        <v/>
      </c>
      <c r="X200" s="1" t="str">
        <f>IF(AND(AND(AND(X$4&gt;='2025'!$L198,X$4&lt;='2025'!$M198), X$4&lt;&gt;DATE(2025,7,4)), (SWITCH(weekday(X$4), 1, 0, 2, if(ISBLANK('2025'!$P198), 0, 1), 3, if(ISBLANK('2025'!$Q198), 0, 1), 4, if(ISBLANK('2025'!$R198), 0, 1), 5, if(ISBLANK('2025'!$S198), 0, 1), 6, if(ISBLANK('2025'!$T198), 0, 1), 7, 0))), 1, "")</f>
        <v/>
      </c>
      <c r="Y200" s="1" t="str">
        <f>IF(AND(AND(AND(Y$4&gt;='2025'!$L198,Y$4&lt;='2025'!$M198), Y$4&lt;&gt;DATE(2025,7,4)), (SWITCH(weekday(Y$4), 1, 0, 2, if(ISBLANK('2025'!$P198), 0, 1), 3, if(ISBLANK('2025'!$Q198), 0, 1), 4, if(ISBLANK('2025'!$R198), 0, 1), 5, if(ISBLANK('2025'!$S198), 0, 1), 6, if(ISBLANK('2025'!$T198), 0, 1), 7, 0))), 1, "")</f>
        <v/>
      </c>
      <c r="Z200" s="1" t="str">
        <f>IF(AND(AND(AND(Z$4&gt;='2025'!$L198,Z$4&lt;='2025'!$M198), Z$4&lt;&gt;DATE(2025,7,4)), (SWITCH(weekday(Z$4), 1, 0, 2, if(ISBLANK('2025'!$P198), 0, 1), 3, if(ISBLANK('2025'!$Q198), 0, 1), 4, if(ISBLANK('2025'!$R198), 0, 1), 5, if(ISBLANK('2025'!$S198), 0, 1), 6, if(ISBLANK('2025'!$T198), 0, 1), 7, 0))), 1, "")</f>
        <v/>
      </c>
      <c r="AA200" s="1" t="str">
        <f>IF(AND(AND(AND(AA$4&gt;='2025'!$L198,AA$4&lt;='2025'!$M198), AA$4&lt;&gt;DATE(2025,7,4)), (SWITCH(weekday(AA$4), 1, 0, 2, if(ISBLANK('2025'!$P198), 0, 1), 3, if(ISBLANK('2025'!$Q198), 0, 1), 4, if(ISBLANK('2025'!$R198), 0, 1), 5, if(ISBLANK('2025'!$S198), 0, 1), 6, if(ISBLANK('2025'!$T198), 0, 1), 7, 0))), 1, "")</f>
        <v/>
      </c>
      <c r="AB200" s="1" t="str">
        <f>IF(AND(AND(AND(AB$4&gt;='2025'!$L198,AB$4&lt;='2025'!$M198), AB$4&lt;&gt;DATE(2025,7,4)), (SWITCH(weekday(AB$4), 1, 0, 2, if(ISBLANK('2025'!$P198), 0, 1), 3, if(ISBLANK('2025'!$Q198), 0, 1), 4, if(ISBLANK('2025'!$R198), 0, 1), 5, if(ISBLANK('2025'!$S198), 0, 1), 6, if(ISBLANK('2025'!$T198), 0, 1), 7, 0))), 1, "")</f>
        <v/>
      </c>
      <c r="AC200" s="1" t="str">
        <f>IF(AND(AND(AND(AC$4&gt;='2025'!$L198,AC$4&lt;='2025'!$M198), AC$4&lt;&gt;DATE(2025,7,4)), (SWITCH(weekday(AC$4), 1, 0, 2, if(ISBLANK('2025'!$P198), 0, 1), 3, if(ISBLANK('2025'!$Q198), 0, 1), 4, if(ISBLANK('2025'!$R198), 0, 1), 5, if(ISBLANK('2025'!$S198), 0, 1), 6, if(ISBLANK('2025'!$T198), 0, 1), 7, 0))), 1, "")</f>
        <v/>
      </c>
      <c r="AD200" s="1" t="str">
        <f>IF(AND(AND(AND(AD$4&gt;='2025'!$L198,AD$4&lt;='2025'!$M198), AD$4&lt;&gt;DATE(2025,7,4)), (SWITCH(weekday(AD$4), 1, 0, 2, if(ISBLANK('2025'!$P198), 0, 1), 3, if(ISBLANK('2025'!$Q198), 0, 1), 4, if(ISBLANK('2025'!$R198), 0, 1), 5, if(ISBLANK('2025'!$S198), 0, 1), 6, if(ISBLANK('2025'!$T198), 0, 1), 7, 0))), 1, "")</f>
        <v/>
      </c>
      <c r="AE200" s="1" t="str">
        <f>IF(AND(AND(AND(AE$4&gt;='2025'!$L198,AE$4&lt;='2025'!$M198), AE$4&lt;&gt;DATE(2025,7,4)), (SWITCH(weekday(AE$4), 1, 0, 2, if(ISBLANK('2025'!$P198), 0, 1), 3, if(ISBLANK('2025'!$Q198), 0, 1), 4, if(ISBLANK('2025'!$R198), 0, 1), 5, if(ISBLANK('2025'!$S198), 0, 1), 6, if(ISBLANK('2025'!$T198), 0, 1), 7, 0))), 1, "")</f>
        <v/>
      </c>
      <c r="AF200" s="1" t="str">
        <f>IF(AND(AND(AND(AF$4&gt;='2025'!$L198,AF$4&lt;='2025'!$M198), AF$4&lt;&gt;DATE(2025,7,4)), (SWITCH(weekday(AF$4), 1, 0, 2, if(ISBLANK('2025'!$P198), 0, 1), 3, if(ISBLANK('2025'!$Q198), 0, 1), 4, if(ISBLANK('2025'!$R198), 0, 1), 5, if(ISBLANK('2025'!$S198), 0, 1), 6, if(ISBLANK('2025'!$T198), 0, 1), 7, 0))), 1, "")</f>
        <v/>
      </c>
      <c r="AG200" s="1" t="str">
        <f>IF(AND(AND(AND(AG$4&gt;='2025'!$L198,AG$4&lt;='2025'!$M198), AG$4&lt;&gt;DATE(2025,7,4)), (SWITCH(weekday(AG$4), 1, 0, 2, if(ISBLANK('2025'!$P198), 0, 1), 3, if(ISBLANK('2025'!$Q198), 0, 1), 4, if(ISBLANK('2025'!$R198), 0, 1), 5, if(ISBLANK('2025'!$S198), 0, 1), 6, if(ISBLANK('2025'!$T198), 0, 1), 7, 0))), 1, "")</f>
        <v/>
      </c>
      <c r="AH200" s="1" t="str">
        <f>IF(AND(AND(AND(AH$4&gt;='2025'!$L198,AH$4&lt;='2025'!$M198), AH$4&lt;&gt;DATE(2025,7,4)), (SWITCH(weekday(AH$4), 1, 0, 2, if(ISBLANK('2025'!$P198), 0, 1), 3, if(ISBLANK('2025'!$Q198), 0, 1), 4, if(ISBLANK('2025'!$R198), 0, 1), 5, if(ISBLANK('2025'!$S198), 0, 1), 6, if(ISBLANK('2025'!$T198), 0, 1), 7, 0))), 1, "")</f>
        <v/>
      </c>
      <c r="AI200" s="1" t="str">
        <f>IF(AND(AND(AND(AI$4&gt;='2025'!$L198,AI$4&lt;='2025'!$M198), AI$4&lt;&gt;DATE(2025,7,4)), (SWITCH(weekday(AI$4), 1, 0, 2, if(ISBLANK('2025'!$P198), 0, 1), 3, if(ISBLANK('2025'!$Q198), 0, 1), 4, if(ISBLANK('2025'!$R198), 0, 1), 5, if(ISBLANK('2025'!$S198), 0, 1), 6, if(ISBLANK('2025'!$T198), 0, 1), 7, 0))), 1, "")</f>
        <v/>
      </c>
      <c r="AJ200" s="1" t="str">
        <f>IF(AND(AND(AND(AJ$4&gt;='2025'!$L198,AJ$4&lt;='2025'!$M198), AJ$4&lt;&gt;DATE(2025,7,4)), (SWITCH(weekday(AJ$4), 1, 0, 2, if(ISBLANK('2025'!$P198), 0, 1), 3, if(ISBLANK('2025'!$Q198), 0, 1), 4, if(ISBLANK('2025'!$R198), 0, 1), 5, if(ISBLANK('2025'!$S198), 0, 1), 6, if(ISBLANK('2025'!$T198), 0, 1), 7, 0))), 1, "")</f>
        <v/>
      </c>
      <c r="AK200" s="1" t="str">
        <f>IF(AND(AND(AND(AK$4&gt;='2025'!$L198,AK$4&lt;='2025'!$M198), AK$4&lt;&gt;DATE(2025,7,4)), (SWITCH(weekday(AK$4), 1, 0, 2, if(ISBLANK('2025'!$P198), 0, 1), 3, if(ISBLANK('2025'!$Q198), 0, 1), 4, if(ISBLANK('2025'!$R198), 0, 1), 5, if(ISBLANK('2025'!$S198), 0, 1), 6, if(ISBLANK('2025'!$T198), 0, 1), 7, 0))), 1, "")</f>
        <v/>
      </c>
      <c r="AL200" s="1" t="str">
        <f>IF(AND(AND(AND(AL$4&gt;='2025'!$L198,AL$4&lt;='2025'!$M198), AL$4&lt;&gt;DATE(2025,7,4)), (SWITCH(weekday(AL$4), 1, 0, 2, if(ISBLANK('2025'!$P198), 0, 1), 3, if(ISBLANK('2025'!$Q198), 0, 1), 4, if(ISBLANK('2025'!$R198), 0, 1), 5, if(ISBLANK('2025'!$S198), 0, 1), 6, if(ISBLANK('2025'!$T198), 0, 1), 7, 0))), 1, "")</f>
        <v/>
      </c>
      <c r="AM200" s="1" t="str">
        <f>IF(AND(AND(AND(AM$4&gt;='2025'!$L198,AM$4&lt;='2025'!$M198), AM$4&lt;&gt;DATE(2025,7,4)), (SWITCH(weekday(AM$4), 1, 0, 2, if(ISBLANK('2025'!$P198), 0, 1), 3, if(ISBLANK('2025'!$Q198), 0, 1), 4, if(ISBLANK('2025'!$R198), 0, 1), 5, if(ISBLANK('2025'!$S198), 0, 1), 6, if(ISBLANK('2025'!$T198), 0, 1), 7, 0))), 1, "")</f>
        <v/>
      </c>
      <c r="AN200" s="1" t="str">
        <f>IF(AND(AND(AND(AN$4&gt;='2025'!$L198,AN$4&lt;='2025'!$M198), AN$4&lt;&gt;DATE(2025,7,4)), (SWITCH(weekday(AN$4), 1, 0, 2, if(ISBLANK('2025'!$P198), 0, 1), 3, if(ISBLANK('2025'!$Q198), 0, 1), 4, if(ISBLANK('2025'!$R198), 0, 1), 5, if(ISBLANK('2025'!$S198), 0, 1), 6, if(ISBLANK('2025'!$T198), 0, 1), 7, 0))), 1, "")</f>
        <v/>
      </c>
      <c r="AO200" s="1" t="str">
        <f>IF(AND(AND(AND(AO$4&gt;='2025'!$L198,AO$4&lt;='2025'!$M198), AO$4&lt;&gt;DATE(2025,7,4)), (SWITCH(weekday(AO$4), 1, 0, 2, if(ISBLANK('2025'!$P198), 0, 1), 3, if(ISBLANK('2025'!$Q198), 0, 1), 4, if(ISBLANK('2025'!$R198), 0, 1), 5, if(ISBLANK('2025'!$S198), 0, 1), 6, if(ISBLANK('2025'!$T198), 0, 1), 7, 0))), 1, "")</f>
        <v/>
      </c>
      <c r="AP200" s="1" t="str">
        <f>IF(AND(AND(AND(AP$4&gt;='2025'!$L198,AP$4&lt;='2025'!$M198), AP$4&lt;&gt;DATE(2025,7,4)), (SWITCH(weekday(AP$4), 1, 0, 2, if(ISBLANK('2025'!$P198), 0, 1), 3, if(ISBLANK('2025'!$Q198), 0, 1), 4, if(ISBLANK('2025'!$R198), 0, 1), 5, if(ISBLANK('2025'!$S198), 0, 1), 6, if(ISBLANK('2025'!$T198), 0, 1), 7, 0))), 1, "")</f>
        <v/>
      </c>
      <c r="AQ200" s="1" t="str">
        <f>IF(AND(AND(AND(AQ$4&gt;='2025'!$L198,AQ$4&lt;='2025'!$M198), AQ$4&lt;&gt;DATE(2025,7,4)), (SWITCH(weekday(AQ$4), 1, 0, 2, if(ISBLANK('2025'!$P198), 0, 1), 3, if(ISBLANK('2025'!$Q198), 0, 1), 4, if(ISBLANK('2025'!$R198), 0, 1), 5, if(ISBLANK('2025'!$S198), 0, 1), 6, if(ISBLANK('2025'!$T198), 0, 1), 7, 0))), 1, "")</f>
        <v/>
      </c>
      <c r="AR200" s="1" t="str">
        <f>IF(AND(AND(AND(AR$4&gt;='2025'!$L198,AR$4&lt;='2025'!$M198), AR$4&lt;&gt;DATE(2025,7,4)), (SWITCH(weekday(AR$4), 1, 0, 2, if(ISBLANK('2025'!$P198), 0, 1), 3, if(ISBLANK('2025'!$Q198), 0, 1), 4, if(ISBLANK('2025'!$R198), 0, 1), 5, if(ISBLANK('2025'!$S198), 0, 1), 6, if(ISBLANK('2025'!$T198), 0, 1), 7, 0))), 1, "")</f>
        <v/>
      </c>
      <c r="AS200" s="1" t="str">
        <f>IF(AND(AND(AND(AS$4&gt;='2025'!$L198,AS$4&lt;='2025'!$M198), AS$4&lt;&gt;DATE(2025,7,4)), (SWITCH(weekday(AS$4), 1, 0, 2, if(ISBLANK('2025'!$P198), 0, 1), 3, if(ISBLANK('2025'!$Q198), 0, 1), 4, if(ISBLANK('2025'!$R198), 0, 1), 5, if(ISBLANK('2025'!$S198), 0, 1), 6, if(ISBLANK('2025'!$T198), 0, 1), 7, 0))), 1, "")</f>
        <v/>
      </c>
      <c r="AT200" s="1" t="str">
        <f>IF(AND(AND(AND(AT$4&gt;='2025'!$L198,AT$4&lt;='2025'!$M198), AT$4&lt;&gt;DATE(2025,7,4)), (SWITCH(weekday(AT$4), 1, 0, 2, if(ISBLANK('2025'!$P198), 0, 1), 3, if(ISBLANK('2025'!$Q198), 0, 1), 4, if(ISBLANK('2025'!$R198), 0, 1), 5, if(ISBLANK('2025'!$S198), 0, 1), 6, if(ISBLANK('2025'!$T198), 0, 1), 7, 0))), 1, "")</f>
        <v/>
      </c>
      <c r="AU200" s="1" t="str">
        <f>IF(AND(AND(AND(AU$4&gt;='2025'!$L198,AU$4&lt;='2025'!$M198), AU$4&lt;&gt;DATE(2025,7,4)), (SWITCH(weekday(AU$4), 1, 0, 2, if(ISBLANK('2025'!$P198), 0, 1), 3, if(ISBLANK('2025'!$Q198), 0, 1), 4, if(ISBLANK('2025'!$R198), 0, 1), 5, if(ISBLANK('2025'!$S198), 0, 1), 6, if(ISBLANK('2025'!$T198), 0, 1), 7, 0))), 1, "")</f>
        <v/>
      </c>
      <c r="AV200" s="1" t="str">
        <f>IF(AND(AND(AND(AV$4&gt;='2025'!$L198,AV$4&lt;='2025'!$M198), AV$4&lt;&gt;DATE(2025,7,4)), (SWITCH(weekday(AV$4), 1, 0, 2, if(ISBLANK('2025'!$P198), 0, 1), 3, if(ISBLANK('2025'!$Q198), 0, 1), 4, if(ISBLANK('2025'!$R198), 0, 1), 5, if(ISBLANK('2025'!$S198), 0, 1), 6, if(ISBLANK('2025'!$T198), 0, 1), 7, 0))), 1, "")</f>
        <v/>
      </c>
      <c r="AW200" s="1" t="str">
        <f>IF(AND(AND(AND(AW$4&gt;='2025'!$L198,AW$4&lt;='2025'!$M198), AW$4&lt;&gt;DATE(2025,7,4)), (SWITCH(weekday(AW$4), 1, 0, 2, if(ISBLANK('2025'!$P198), 0, 1), 3, if(ISBLANK('2025'!$Q198), 0, 1), 4, if(ISBLANK('2025'!$R198), 0, 1), 5, if(ISBLANK('2025'!$S198), 0, 1), 6, if(ISBLANK('2025'!$T198), 0, 1), 7, 0))), 1, "")</f>
        <v/>
      </c>
      <c r="AX200" s="1" t="str">
        <f>IF(AND(AND(AND(AX$4&gt;='2025'!$L198,AX$4&lt;='2025'!$M198), AX$4&lt;&gt;DATE(2025,7,4)), (SWITCH(weekday(AX$4), 1, 0, 2, if(ISBLANK('2025'!$P198), 0, 1), 3, if(ISBLANK('2025'!$Q198), 0, 1), 4, if(ISBLANK('2025'!$R198), 0, 1), 5, if(ISBLANK('2025'!$S198), 0, 1), 6, if(ISBLANK('2025'!$T198), 0, 1), 7, 0))), 1, "")</f>
        <v/>
      </c>
      <c r="AY200" s="1" t="str">
        <f>IF(AND(AND(AND(AY$4&gt;='2025'!$L198,AY$4&lt;='2025'!$M198), AY$4&lt;&gt;DATE(2025,7,4)), (SWITCH(weekday(AY$4), 1, 0, 2, if(ISBLANK('2025'!$P198), 0, 1), 3, if(ISBLANK('2025'!$Q198), 0, 1), 4, if(ISBLANK('2025'!$R198), 0, 1), 5, if(ISBLANK('2025'!$S198), 0, 1), 6, if(ISBLANK('2025'!$T198), 0, 1), 7, 0))), 1, "")</f>
        <v/>
      </c>
      <c r="AZ200" s="1" t="str">
        <f>IF(AND(AND(AND(AZ$4&gt;='2025'!$L198,AZ$4&lt;='2025'!$M198), AZ$4&lt;&gt;DATE(2025,7,4)), (SWITCH(weekday(AZ$4), 1, 0, 2, if(ISBLANK('2025'!$P198), 0, 1), 3, if(ISBLANK('2025'!$Q198), 0, 1), 4, if(ISBLANK('2025'!$R198), 0, 1), 5, if(ISBLANK('2025'!$S198), 0, 1), 6, if(ISBLANK('2025'!$T198), 0, 1), 7, 0))), 1, "")</f>
        <v/>
      </c>
      <c r="BA200" s="1" t="str">
        <f>IF(AND(AND(AND(BA$4&gt;='2025'!$L198,BA$4&lt;='2025'!$M198), BA$4&lt;&gt;DATE(2025,7,4)), (SWITCH(weekday(BA$4), 1, 0, 2, if(ISBLANK('2025'!$P198), 0, 1), 3, if(ISBLANK('2025'!$Q198), 0, 1), 4, if(ISBLANK('2025'!$R198), 0, 1), 5, if(ISBLANK('2025'!$S198), 0, 1), 6, if(ISBLANK('2025'!$T198), 0, 1), 7, 0))), 1, "")</f>
        <v/>
      </c>
      <c r="BB200" s="1" t="str">
        <f>IF(AND(AND(AND(BB$4&gt;='2025'!$L198,BB$4&lt;='2025'!$M198), BB$4&lt;&gt;DATE(2025,7,4)), (SWITCH(weekday(BB$4), 1, 0, 2, if(ISBLANK('2025'!$P198), 0, 1), 3, if(ISBLANK('2025'!$Q198), 0, 1), 4, if(ISBLANK('2025'!$R198), 0, 1), 5, if(ISBLANK('2025'!$S198), 0, 1), 6, if(ISBLANK('2025'!$T198), 0, 1), 7, 0))), 1, "")</f>
        <v/>
      </c>
      <c r="BC200" s="1" t="str">
        <f>IF(AND(AND(AND(BC$4&gt;='2025'!$L198,BC$4&lt;='2025'!$M198), BC$4&lt;&gt;DATE(2025,7,4)), (SWITCH(weekday(BC$4), 1, 0, 2, if(ISBLANK('2025'!$P198), 0, 1), 3, if(ISBLANK('2025'!$Q198), 0, 1), 4, if(ISBLANK('2025'!$R198), 0, 1), 5, if(ISBLANK('2025'!$S198), 0, 1), 6, if(ISBLANK('2025'!$T198), 0, 1), 7, 0))), 1, "")</f>
        <v/>
      </c>
      <c r="BD200" s="1" t="str">
        <f>IF(AND(AND(AND(BD$4&gt;='2025'!$L198,BD$4&lt;='2025'!$M198), BD$4&lt;&gt;DATE(2025,7,4)), (SWITCH(weekday(BD$4), 1, 0, 2, if(ISBLANK('2025'!$P198), 0, 1), 3, if(ISBLANK('2025'!$Q198), 0, 1), 4, if(ISBLANK('2025'!$R198), 0, 1), 5, if(ISBLANK('2025'!$S198), 0, 1), 6, if(ISBLANK('2025'!$T198), 0, 1), 7, 0))), 1, "")</f>
        <v/>
      </c>
      <c r="BE200" s="1" t="str">
        <f>IF(AND(AND(AND(BE$4&gt;='2025'!$L198,BE$4&lt;='2025'!$M198), BE$4&lt;&gt;DATE(2025,7,4)), (SWITCH(weekday(BE$4), 1, 0, 2, if(ISBLANK('2025'!$P198), 0, 1), 3, if(ISBLANK('2025'!$Q198), 0, 1), 4, if(ISBLANK('2025'!$R198), 0, 1), 5, if(ISBLANK('2025'!$S198), 0, 1), 6, if(ISBLANK('2025'!$T198), 0, 1), 7, 0))), 1, "")</f>
        <v/>
      </c>
      <c r="BF200" s="1" t="str">
        <f>IF(AND(AND(AND(BF$4&gt;='2025'!$L198,BF$4&lt;='2025'!$M198), BF$4&lt;&gt;DATE(2025,7,4)), (SWITCH(weekday(BF$4), 1, 0, 2, if(ISBLANK('2025'!$P198), 0, 1), 3, if(ISBLANK('2025'!$Q198), 0, 1), 4, if(ISBLANK('2025'!$R198), 0, 1), 5, if(ISBLANK('2025'!$S198), 0, 1), 6, if(ISBLANK('2025'!$T198), 0, 1), 7, 0))), 1, "")</f>
        <v/>
      </c>
      <c r="BG200" s="1"/>
      <c r="BH200" s="1"/>
      <c r="BI200" s="1"/>
      <c r="BJ200" s="1"/>
      <c r="BK200" s="1"/>
      <c r="BL200" s="1"/>
    </row>
    <row r="201">
      <c r="A201" s="1">
        <f t="shared" si="3"/>
        <v>201</v>
      </c>
      <c r="B201" s="1" t="str">
        <f>'2025'!D165</f>
        <v>, </v>
      </c>
      <c r="C201" s="1" t="str">
        <f>'2025'!H165</f>
        <v/>
      </c>
      <c r="D201" s="1" t="str">
        <f>IF(AND(AND(AND(D$4&gt;='2025'!$L199,D$4&lt;='2025'!$M199), D$4&lt;&gt;DATE(2025,7,4)), (SWITCH(weekday(D$4), 1, 0, 2, if(ISBLANK('2025'!$P199), 0, 1), 3, if(ISBLANK('2025'!$Q199), 0, 1), 4, if(ISBLANK('2025'!$R199), 0, 1), 5, if(ISBLANK('2025'!$S199), 0, 1), 6, if(ISBLANK('2025'!$T199), 0, 1), 7, 0))), 1, "")</f>
        <v/>
      </c>
      <c r="E201" s="1" t="str">
        <f>IF(AND(AND(AND(E$4&gt;='2025'!$L199,E$4&lt;='2025'!$M199), E$4&lt;&gt;DATE(2025,7,4)), (SWITCH(weekday(E$4), 1, 0, 2, if(ISBLANK('2025'!$P199), 0, 1), 3, if(ISBLANK('2025'!$Q199), 0, 1), 4, if(ISBLANK('2025'!$R199), 0, 1), 5, if(ISBLANK('2025'!$S199), 0, 1), 6, if(ISBLANK('2025'!$T199), 0, 1), 7, 0))), 1, "")</f>
        <v/>
      </c>
      <c r="F201" s="1" t="str">
        <f>IF(AND(AND(AND(F$4&gt;='2025'!$L199,F$4&lt;='2025'!$M199), F$4&lt;&gt;DATE(2025,7,4)), (SWITCH(weekday(F$4), 1, 0, 2, if(ISBLANK('2025'!$P199), 0, 1), 3, if(ISBLANK('2025'!$Q199), 0, 1), 4, if(ISBLANK('2025'!$R199), 0, 1), 5, if(ISBLANK('2025'!$S199), 0, 1), 6, if(ISBLANK('2025'!$T199), 0, 1), 7, 0))), 1, "")</f>
        <v/>
      </c>
      <c r="G201" s="1" t="str">
        <f>IF(AND(AND(AND(G$4&gt;='2025'!$L199,G$4&lt;='2025'!$M199), G$4&lt;&gt;DATE(2025,7,4)), (SWITCH(weekday(G$4), 1, 0, 2, if(ISBLANK('2025'!$P199), 0, 1), 3, if(ISBLANK('2025'!$Q199), 0, 1), 4, if(ISBLANK('2025'!$R199), 0, 1), 5, if(ISBLANK('2025'!$S199), 0, 1), 6, if(ISBLANK('2025'!$T199), 0, 1), 7, 0))), 1, "")</f>
        <v/>
      </c>
      <c r="H201" s="1" t="str">
        <f>IF(AND(AND(AND(H$4&gt;='2025'!$L199,H$4&lt;='2025'!$M199), H$4&lt;&gt;DATE(2025,7,4)), (SWITCH(weekday(H$4), 1, 0, 2, if(ISBLANK('2025'!$P199), 0, 1), 3, if(ISBLANK('2025'!$Q199), 0, 1), 4, if(ISBLANK('2025'!$R199), 0, 1), 5, if(ISBLANK('2025'!$S199), 0, 1), 6, if(ISBLANK('2025'!$T199), 0, 1), 7, 0))), 1, "")</f>
        <v/>
      </c>
      <c r="I201" s="1" t="str">
        <f>IF(AND(AND(AND(I$4&gt;='2025'!$L199,I$4&lt;='2025'!$M199), I$4&lt;&gt;DATE(2025,7,4)), (SWITCH(weekday(I$4), 1, 0, 2, if(ISBLANK('2025'!$P199), 0, 1), 3, if(ISBLANK('2025'!$Q199), 0, 1), 4, if(ISBLANK('2025'!$R199), 0, 1), 5, if(ISBLANK('2025'!$S199), 0, 1), 6, if(ISBLANK('2025'!$T199), 0, 1), 7, 0))), 1, "")</f>
        <v/>
      </c>
      <c r="J201" s="1" t="str">
        <f>IF(AND(AND(AND(J$4&gt;='2025'!$L199,J$4&lt;='2025'!$M199), J$4&lt;&gt;DATE(2025,7,4)), (SWITCH(weekday(J$4), 1, 0, 2, if(ISBLANK('2025'!$P199), 0, 1), 3, if(ISBLANK('2025'!$Q199), 0, 1), 4, if(ISBLANK('2025'!$R199), 0, 1), 5, if(ISBLANK('2025'!$S199), 0, 1), 6, if(ISBLANK('2025'!$T199), 0, 1), 7, 0))), 1, "")</f>
        <v/>
      </c>
      <c r="K201" s="1" t="str">
        <f>IF(AND(AND(AND(K$4&gt;='2025'!$L199,K$4&lt;='2025'!$M199), K$4&lt;&gt;DATE(2025,7,4)), (SWITCH(weekday(K$4), 1, 0, 2, if(ISBLANK('2025'!$P199), 0, 1), 3, if(ISBLANK('2025'!$Q199), 0, 1), 4, if(ISBLANK('2025'!$R199), 0, 1), 5, if(ISBLANK('2025'!$S199), 0, 1), 6, if(ISBLANK('2025'!$T199), 0, 1), 7, 0))), 1, "")</f>
        <v/>
      </c>
      <c r="L201" s="1" t="str">
        <f>IF(AND(AND(AND(L$4&gt;='2025'!$L199,L$4&lt;='2025'!$M199), L$4&lt;&gt;DATE(2025,7,4)), (SWITCH(weekday(L$4), 1, 0, 2, if(ISBLANK('2025'!$P199), 0, 1), 3, if(ISBLANK('2025'!$Q199), 0, 1), 4, if(ISBLANK('2025'!$R199), 0, 1), 5, if(ISBLANK('2025'!$S199), 0, 1), 6, if(ISBLANK('2025'!$T199), 0, 1), 7, 0))), 1, "")</f>
        <v/>
      </c>
      <c r="M201" s="1" t="str">
        <f>IF(AND(AND(AND(M$4&gt;='2025'!$L199,M$4&lt;='2025'!$M199), M$4&lt;&gt;DATE(2025,7,4)), (SWITCH(weekday(M$4), 1, 0, 2, if(ISBLANK('2025'!$P199), 0, 1), 3, if(ISBLANK('2025'!$Q199), 0, 1), 4, if(ISBLANK('2025'!$R199), 0, 1), 5, if(ISBLANK('2025'!$S199), 0, 1), 6, if(ISBLANK('2025'!$T199), 0, 1), 7, 0))), 1, "")</f>
        <v/>
      </c>
      <c r="N201" s="1" t="str">
        <f>IF(AND(AND(AND(N$4&gt;='2025'!$L199,N$4&lt;='2025'!$M199), N$4&lt;&gt;DATE(2025,7,4)), (SWITCH(weekday(N$4), 1, 0, 2, if(ISBLANK('2025'!$P199), 0, 1), 3, if(ISBLANK('2025'!$Q199), 0, 1), 4, if(ISBLANK('2025'!$R199), 0, 1), 5, if(ISBLANK('2025'!$S199), 0, 1), 6, if(ISBLANK('2025'!$T199), 0, 1), 7, 0))), 1, "")</f>
        <v/>
      </c>
      <c r="O201" s="1" t="str">
        <f>IF(AND(AND(AND(O$4&gt;='2025'!$L199,O$4&lt;='2025'!$M199), O$4&lt;&gt;DATE(2025,7,4)), (SWITCH(weekday(O$4), 1, 0, 2, if(ISBLANK('2025'!$P199), 0, 1), 3, if(ISBLANK('2025'!$Q199), 0, 1), 4, if(ISBLANK('2025'!$R199), 0, 1), 5, if(ISBLANK('2025'!$S199), 0, 1), 6, if(ISBLANK('2025'!$T199), 0, 1), 7, 0))), 1, "")</f>
        <v/>
      </c>
      <c r="P201" s="1" t="str">
        <f>IF(AND(AND(AND(P$4&gt;='2025'!$L199,P$4&lt;='2025'!$M199), P$4&lt;&gt;DATE(2025,7,4)), (SWITCH(weekday(P$4), 1, 0, 2, if(ISBLANK('2025'!$P199), 0, 1), 3, if(ISBLANK('2025'!$Q199), 0, 1), 4, if(ISBLANK('2025'!$R199), 0, 1), 5, if(ISBLANK('2025'!$S199), 0, 1), 6, if(ISBLANK('2025'!$T199), 0, 1), 7, 0))), 1, "")</f>
        <v/>
      </c>
      <c r="Q201" s="1" t="str">
        <f>IF(AND(AND(AND(Q$4&gt;='2025'!$L199,Q$4&lt;='2025'!$M199), Q$4&lt;&gt;DATE(2025,7,4)), (SWITCH(weekday(Q$4), 1, 0, 2, if(ISBLANK('2025'!$P199), 0, 1), 3, if(ISBLANK('2025'!$Q199), 0, 1), 4, if(ISBLANK('2025'!$R199), 0, 1), 5, if(ISBLANK('2025'!$S199), 0, 1), 6, if(ISBLANK('2025'!$T199), 0, 1), 7, 0))), 1, "")</f>
        <v/>
      </c>
      <c r="R201" s="1" t="str">
        <f>IF(AND(AND(AND(R$4&gt;='2025'!$L199,R$4&lt;='2025'!$M199), R$4&lt;&gt;DATE(2025,7,4)), (SWITCH(weekday(R$4), 1, 0, 2, if(ISBLANK('2025'!$P199), 0, 1), 3, if(ISBLANK('2025'!$Q199), 0, 1), 4, if(ISBLANK('2025'!$R199), 0, 1), 5, if(ISBLANK('2025'!$S199), 0, 1), 6, if(ISBLANK('2025'!$T199), 0, 1), 7, 0))), 1, "")</f>
        <v/>
      </c>
      <c r="S201" s="1" t="str">
        <f>IF(AND(AND(AND(S$4&gt;='2025'!$L199,S$4&lt;='2025'!$M199), S$4&lt;&gt;DATE(2025,7,4)), (SWITCH(weekday(S$4), 1, 0, 2, if(ISBLANK('2025'!$P199), 0, 1), 3, if(ISBLANK('2025'!$Q199), 0, 1), 4, if(ISBLANK('2025'!$R199), 0, 1), 5, if(ISBLANK('2025'!$S199), 0, 1), 6, if(ISBLANK('2025'!$T199), 0, 1), 7, 0))), 1, "")</f>
        <v/>
      </c>
      <c r="T201" s="1" t="str">
        <f>IF(AND(AND(AND(T$4&gt;='2025'!$L199,T$4&lt;='2025'!$M199), T$4&lt;&gt;DATE(2025,7,4)), (SWITCH(weekday(T$4), 1, 0, 2, if(ISBLANK('2025'!$P199), 0, 1), 3, if(ISBLANK('2025'!$Q199), 0, 1), 4, if(ISBLANK('2025'!$R199), 0, 1), 5, if(ISBLANK('2025'!$S199), 0, 1), 6, if(ISBLANK('2025'!$T199), 0, 1), 7, 0))), 1, "")</f>
        <v/>
      </c>
      <c r="U201" s="1" t="str">
        <f>IF(AND(AND(AND(U$4&gt;='2025'!$L199,U$4&lt;='2025'!$M199), U$4&lt;&gt;DATE(2025,7,4)), (SWITCH(weekday(U$4), 1, 0, 2, if(ISBLANK('2025'!$P199), 0, 1), 3, if(ISBLANK('2025'!$Q199), 0, 1), 4, if(ISBLANK('2025'!$R199), 0, 1), 5, if(ISBLANK('2025'!$S199), 0, 1), 6, if(ISBLANK('2025'!$T199), 0, 1), 7, 0))), 1, "")</f>
        <v/>
      </c>
      <c r="V201" s="1" t="str">
        <f>IF(AND(AND(AND(V$4&gt;='2025'!$L199,V$4&lt;='2025'!$M199), V$4&lt;&gt;DATE(2025,7,4)), (SWITCH(weekday(V$4), 1, 0, 2, if(ISBLANK('2025'!$P199), 0, 1), 3, if(ISBLANK('2025'!$Q199), 0, 1), 4, if(ISBLANK('2025'!$R199), 0, 1), 5, if(ISBLANK('2025'!$S199), 0, 1), 6, if(ISBLANK('2025'!$T199), 0, 1), 7, 0))), 1, "")</f>
        <v/>
      </c>
      <c r="W201" s="1" t="str">
        <f>IF(AND(AND(AND(W$4&gt;='2025'!$L199,W$4&lt;='2025'!$M199), W$4&lt;&gt;DATE(2025,7,4)), (SWITCH(weekday(W$4), 1, 0, 2, if(ISBLANK('2025'!$P199), 0, 1), 3, if(ISBLANK('2025'!$Q199), 0, 1), 4, if(ISBLANK('2025'!$R199), 0, 1), 5, if(ISBLANK('2025'!$S199), 0, 1), 6, if(ISBLANK('2025'!$T199), 0, 1), 7, 0))), 1, "")</f>
        <v/>
      </c>
      <c r="X201" s="1" t="str">
        <f>IF(AND(AND(AND(X$4&gt;='2025'!$L199,X$4&lt;='2025'!$M199), X$4&lt;&gt;DATE(2025,7,4)), (SWITCH(weekday(X$4), 1, 0, 2, if(ISBLANK('2025'!$P199), 0, 1), 3, if(ISBLANK('2025'!$Q199), 0, 1), 4, if(ISBLANK('2025'!$R199), 0, 1), 5, if(ISBLANK('2025'!$S199), 0, 1), 6, if(ISBLANK('2025'!$T199), 0, 1), 7, 0))), 1, "")</f>
        <v/>
      </c>
      <c r="Y201" s="1" t="str">
        <f>IF(AND(AND(AND(Y$4&gt;='2025'!$L199,Y$4&lt;='2025'!$M199), Y$4&lt;&gt;DATE(2025,7,4)), (SWITCH(weekday(Y$4), 1, 0, 2, if(ISBLANK('2025'!$P199), 0, 1), 3, if(ISBLANK('2025'!$Q199), 0, 1), 4, if(ISBLANK('2025'!$R199), 0, 1), 5, if(ISBLANK('2025'!$S199), 0, 1), 6, if(ISBLANK('2025'!$T199), 0, 1), 7, 0))), 1, "")</f>
        <v/>
      </c>
      <c r="Z201" s="1" t="str">
        <f>IF(AND(AND(AND(Z$4&gt;='2025'!$L199,Z$4&lt;='2025'!$M199), Z$4&lt;&gt;DATE(2025,7,4)), (SWITCH(weekday(Z$4), 1, 0, 2, if(ISBLANK('2025'!$P199), 0, 1), 3, if(ISBLANK('2025'!$Q199), 0, 1), 4, if(ISBLANK('2025'!$R199), 0, 1), 5, if(ISBLANK('2025'!$S199), 0, 1), 6, if(ISBLANK('2025'!$T199), 0, 1), 7, 0))), 1, "")</f>
        <v/>
      </c>
      <c r="AA201" s="1" t="str">
        <f>IF(AND(AND(AND(AA$4&gt;='2025'!$L199,AA$4&lt;='2025'!$M199), AA$4&lt;&gt;DATE(2025,7,4)), (SWITCH(weekday(AA$4), 1, 0, 2, if(ISBLANK('2025'!$P199), 0, 1), 3, if(ISBLANK('2025'!$Q199), 0, 1), 4, if(ISBLANK('2025'!$R199), 0, 1), 5, if(ISBLANK('2025'!$S199), 0, 1), 6, if(ISBLANK('2025'!$T199), 0, 1), 7, 0))), 1, "")</f>
        <v/>
      </c>
      <c r="AB201" s="1" t="str">
        <f>IF(AND(AND(AND(AB$4&gt;='2025'!$L199,AB$4&lt;='2025'!$M199), AB$4&lt;&gt;DATE(2025,7,4)), (SWITCH(weekday(AB$4), 1, 0, 2, if(ISBLANK('2025'!$P199), 0, 1), 3, if(ISBLANK('2025'!$Q199), 0, 1), 4, if(ISBLANK('2025'!$R199), 0, 1), 5, if(ISBLANK('2025'!$S199), 0, 1), 6, if(ISBLANK('2025'!$T199), 0, 1), 7, 0))), 1, "")</f>
        <v/>
      </c>
      <c r="AC201" s="1" t="str">
        <f>IF(AND(AND(AND(AC$4&gt;='2025'!$L199,AC$4&lt;='2025'!$M199), AC$4&lt;&gt;DATE(2025,7,4)), (SWITCH(weekday(AC$4), 1, 0, 2, if(ISBLANK('2025'!$P199), 0, 1), 3, if(ISBLANK('2025'!$Q199), 0, 1), 4, if(ISBLANK('2025'!$R199), 0, 1), 5, if(ISBLANK('2025'!$S199), 0, 1), 6, if(ISBLANK('2025'!$T199), 0, 1), 7, 0))), 1, "")</f>
        <v/>
      </c>
      <c r="AD201" s="1" t="str">
        <f>IF(AND(AND(AND(AD$4&gt;='2025'!$L199,AD$4&lt;='2025'!$M199), AD$4&lt;&gt;DATE(2025,7,4)), (SWITCH(weekday(AD$4), 1, 0, 2, if(ISBLANK('2025'!$P199), 0, 1), 3, if(ISBLANK('2025'!$Q199), 0, 1), 4, if(ISBLANK('2025'!$R199), 0, 1), 5, if(ISBLANK('2025'!$S199), 0, 1), 6, if(ISBLANK('2025'!$T199), 0, 1), 7, 0))), 1, "")</f>
        <v/>
      </c>
      <c r="AE201" s="1" t="str">
        <f>IF(AND(AND(AND(AE$4&gt;='2025'!$L199,AE$4&lt;='2025'!$M199), AE$4&lt;&gt;DATE(2025,7,4)), (SWITCH(weekday(AE$4), 1, 0, 2, if(ISBLANK('2025'!$P199), 0, 1), 3, if(ISBLANK('2025'!$Q199), 0, 1), 4, if(ISBLANK('2025'!$R199), 0, 1), 5, if(ISBLANK('2025'!$S199), 0, 1), 6, if(ISBLANK('2025'!$T199), 0, 1), 7, 0))), 1, "")</f>
        <v/>
      </c>
      <c r="AF201" s="1" t="str">
        <f>IF(AND(AND(AND(AF$4&gt;='2025'!$L199,AF$4&lt;='2025'!$M199), AF$4&lt;&gt;DATE(2025,7,4)), (SWITCH(weekday(AF$4), 1, 0, 2, if(ISBLANK('2025'!$P199), 0, 1), 3, if(ISBLANK('2025'!$Q199), 0, 1), 4, if(ISBLANK('2025'!$R199), 0, 1), 5, if(ISBLANK('2025'!$S199), 0, 1), 6, if(ISBLANK('2025'!$T199), 0, 1), 7, 0))), 1, "")</f>
        <v/>
      </c>
      <c r="AG201" s="1" t="str">
        <f>IF(AND(AND(AND(AG$4&gt;='2025'!$L199,AG$4&lt;='2025'!$M199), AG$4&lt;&gt;DATE(2025,7,4)), (SWITCH(weekday(AG$4), 1, 0, 2, if(ISBLANK('2025'!$P199), 0, 1), 3, if(ISBLANK('2025'!$Q199), 0, 1), 4, if(ISBLANK('2025'!$R199), 0, 1), 5, if(ISBLANK('2025'!$S199), 0, 1), 6, if(ISBLANK('2025'!$T199), 0, 1), 7, 0))), 1, "")</f>
        <v/>
      </c>
      <c r="AH201" s="1" t="str">
        <f>IF(AND(AND(AND(AH$4&gt;='2025'!$L199,AH$4&lt;='2025'!$M199), AH$4&lt;&gt;DATE(2025,7,4)), (SWITCH(weekday(AH$4), 1, 0, 2, if(ISBLANK('2025'!$P199), 0, 1), 3, if(ISBLANK('2025'!$Q199), 0, 1), 4, if(ISBLANK('2025'!$R199), 0, 1), 5, if(ISBLANK('2025'!$S199), 0, 1), 6, if(ISBLANK('2025'!$T199), 0, 1), 7, 0))), 1, "")</f>
        <v/>
      </c>
      <c r="AI201" s="1" t="str">
        <f>IF(AND(AND(AND(AI$4&gt;='2025'!$L199,AI$4&lt;='2025'!$M199), AI$4&lt;&gt;DATE(2025,7,4)), (SWITCH(weekday(AI$4), 1, 0, 2, if(ISBLANK('2025'!$P199), 0, 1), 3, if(ISBLANK('2025'!$Q199), 0, 1), 4, if(ISBLANK('2025'!$R199), 0, 1), 5, if(ISBLANK('2025'!$S199), 0, 1), 6, if(ISBLANK('2025'!$T199), 0, 1), 7, 0))), 1, "")</f>
        <v/>
      </c>
      <c r="AJ201" s="1" t="str">
        <f>IF(AND(AND(AND(AJ$4&gt;='2025'!$L199,AJ$4&lt;='2025'!$M199), AJ$4&lt;&gt;DATE(2025,7,4)), (SWITCH(weekday(AJ$4), 1, 0, 2, if(ISBLANK('2025'!$P199), 0, 1), 3, if(ISBLANK('2025'!$Q199), 0, 1), 4, if(ISBLANK('2025'!$R199), 0, 1), 5, if(ISBLANK('2025'!$S199), 0, 1), 6, if(ISBLANK('2025'!$T199), 0, 1), 7, 0))), 1, "")</f>
        <v/>
      </c>
      <c r="AK201" s="1" t="str">
        <f>IF(AND(AND(AND(AK$4&gt;='2025'!$L199,AK$4&lt;='2025'!$M199), AK$4&lt;&gt;DATE(2025,7,4)), (SWITCH(weekday(AK$4), 1, 0, 2, if(ISBLANK('2025'!$P199), 0, 1), 3, if(ISBLANK('2025'!$Q199), 0, 1), 4, if(ISBLANK('2025'!$R199), 0, 1), 5, if(ISBLANK('2025'!$S199), 0, 1), 6, if(ISBLANK('2025'!$T199), 0, 1), 7, 0))), 1, "")</f>
        <v/>
      </c>
      <c r="AL201" s="1" t="str">
        <f>IF(AND(AND(AND(AL$4&gt;='2025'!$L199,AL$4&lt;='2025'!$M199), AL$4&lt;&gt;DATE(2025,7,4)), (SWITCH(weekday(AL$4), 1, 0, 2, if(ISBLANK('2025'!$P199), 0, 1), 3, if(ISBLANK('2025'!$Q199), 0, 1), 4, if(ISBLANK('2025'!$R199), 0, 1), 5, if(ISBLANK('2025'!$S199), 0, 1), 6, if(ISBLANK('2025'!$T199), 0, 1), 7, 0))), 1, "")</f>
        <v/>
      </c>
      <c r="AM201" s="1" t="str">
        <f>IF(AND(AND(AND(AM$4&gt;='2025'!$L199,AM$4&lt;='2025'!$M199), AM$4&lt;&gt;DATE(2025,7,4)), (SWITCH(weekday(AM$4), 1, 0, 2, if(ISBLANK('2025'!$P199), 0, 1), 3, if(ISBLANK('2025'!$Q199), 0, 1), 4, if(ISBLANK('2025'!$R199), 0, 1), 5, if(ISBLANK('2025'!$S199), 0, 1), 6, if(ISBLANK('2025'!$T199), 0, 1), 7, 0))), 1, "")</f>
        <v/>
      </c>
      <c r="AN201" s="1" t="str">
        <f>IF(AND(AND(AND(AN$4&gt;='2025'!$L199,AN$4&lt;='2025'!$M199), AN$4&lt;&gt;DATE(2025,7,4)), (SWITCH(weekday(AN$4), 1, 0, 2, if(ISBLANK('2025'!$P199), 0, 1), 3, if(ISBLANK('2025'!$Q199), 0, 1), 4, if(ISBLANK('2025'!$R199), 0, 1), 5, if(ISBLANK('2025'!$S199), 0, 1), 6, if(ISBLANK('2025'!$T199), 0, 1), 7, 0))), 1, "")</f>
        <v/>
      </c>
      <c r="AO201" s="1" t="str">
        <f>IF(AND(AND(AND(AO$4&gt;='2025'!$L199,AO$4&lt;='2025'!$M199), AO$4&lt;&gt;DATE(2025,7,4)), (SWITCH(weekday(AO$4), 1, 0, 2, if(ISBLANK('2025'!$P199), 0, 1), 3, if(ISBLANK('2025'!$Q199), 0, 1), 4, if(ISBLANK('2025'!$R199), 0, 1), 5, if(ISBLANK('2025'!$S199), 0, 1), 6, if(ISBLANK('2025'!$T199), 0, 1), 7, 0))), 1, "")</f>
        <v/>
      </c>
      <c r="AP201" s="1" t="str">
        <f>IF(AND(AND(AND(AP$4&gt;='2025'!$L199,AP$4&lt;='2025'!$M199), AP$4&lt;&gt;DATE(2025,7,4)), (SWITCH(weekday(AP$4), 1, 0, 2, if(ISBLANK('2025'!$P199), 0, 1), 3, if(ISBLANK('2025'!$Q199), 0, 1), 4, if(ISBLANK('2025'!$R199), 0, 1), 5, if(ISBLANK('2025'!$S199), 0, 1), 6, if(ISBLANK('2025'!$T199), 0, 1), 7, 0))), 1, "")</f>
        <v/>
      </c>
      <c r="AQ201" s="1" t="str">
        <f>IF(AND(AND(AND(AQ$4&gt;='2025'!$L199,AQ$4&lt;='2025'!$M199), AQ$4&lt;&gt;DATE(2025,7,4)), (SWITCH(weekday(AQ$4), 1, 0, 2, if(ISBLANK('2025'!$P199), 0, 1), 3, if(ISBLANK('2025'!$Q199), 0, 1), 4, if(ISBLANK('2025'!$R199), 0, 1), 5, if(ISBLANK('2025'!$S199), 0, 1), 6, if(ISBLANK('2025'!$T199), 0, 1), 7, 0))), 1, "")</f>
        <v/>
      </c>
      <c r="AR201" s="1" t="str">
        <f>IF(AND(AND(AND(AR$4&gt;='2025'!$L199,AR$4&lt;='2025'!$M199), AR$4&lt;&gt;DATE(2025,7,4)), (SWITCH(weekday(AR$4), 1, 0, 2, if(ISBLANK('2025'!$P199), 0, 1), 3, if(ISBLANK('2025'!$Q199), 0, 1), 4, if(ISBLANK('2025'!$R199), 0, 1), 5, if(ISBLANK('2025'!$S199), 0, 1), 6, if(ISBLANK('2025'!$T199), 0, 1), 7, 0))), 1, "")</f>
        <v/>
      </c>
      <c r="AS201" s="1" t="str">
        <f>IF(AND(AND(AND(AS$4&gt;='2025'!$L199,AS$4&lt;='2025'!$M199), AS$4&lt;&gt;DATE(2025,7,4)), (SWITCH(weekday(AS$4), 1, 0, 2, if(ISBLANK('2025'!$P199), 0, 1), 3, if(ISBLANK('2025'!$Q199), 0, 1), 4, if(ISBLANK('2025'!$R199), 0, 1), 5, if(ISBLANK('2025'!$S199), 0, 1), 6, if(ISBLANK('2025'!$T199), 0, 1), 7, 0))), 1, "")</f>
        <v/>
      </c>
      <c r="AT201" s="1" t="str">
        <f>IF(AND(AND(AND(AT$4&gt;='2025'!$L199,AT$4&lt;='2025'!$M199), AT$4&lt;&gt;DATE(2025,7,4)), (SWITCH(weekday(AT$4), 1, 0, 2, if(ISBLANK('2025'!$P199), 0, 1), 3, if(ISBLANK('2025'!$Q199), 0, 1), 4, if(ISBLANK('2025'!$R199), 0, 1), 5, if(ISBLANK('2025'!$S199), 0, 1), 6, if(ISBLANK('2025'!$T199), 0, 1), 7, 0))), 1, "")</f>
        <v/>
      </c>
      <c r="AU201" s="1" t="str">
        <f>IF(AND(AND(AND(AU$4&gt;='2025'!$L199,AU$4&lt;='2025'!$M199), AU$4&lt;&gt;DATE(2025,7,4)), (SWITCH(weekday(AU$4), 1, 0, 2, if(ISBLANK('2025'!$P199), 0, 1), 3, if(ISBLANK('2025'!$Q199), 0, 1), 4, if(ISBLANK('2025'!$R199), 0, 1), 5, if(ISBLANK('2025'!$S199), 0, 1), 6, if(ISBLANK('2025'!$T199), 0, 1), 7, 0))), 1, "")</f>
        <v/>
      </c>
      <c r="AV201" s="1" t="str">
        <f>IF(AND(AND(AND(AV$4&gt;='2025'!$L199,AV$4&lt;='2025'!$M199), AV$4&lt;&gt;DATE(2025,7,4)), (SWITCH(weekday(AV$4), 1, 0, 2, if(ISBLANK('2025'!$P199), 0, 1), 3, if(ISBLANK('2025'!$Q199), 0, 1), 4, if(ISBLANK('2025'!$R199), 0, 1), 5, if(ISBLANK('2025'!$S199), 0, 1), 6, if(ISBLANK('2025'!$T199), 0, 1), 7, 0))), 1, "")</f>
        <v/>
      </c>
      <c r="AW201" s="1" t="str">
        <f>IF(AND(AND(AND(AW$4&gt;='2025'!$L199,AW$4&lt;='2025'!$M199), AW$4&lt;&gt;DATE(2025,7,4)), (SWITCH(weekday(AW$4), 1, 0, 2, if(ISBLANK('2025'!$P199), 0, 1), 3, if(ISBLANK('2025'!$Q199), 0, 1), 4, if(ISBLANK('2025'!$R199), 0, 1), 5, if(ISBLANK('2025'!$S199), 0, 1), 6, if(ISBLANK('2025'!$T199), 0, 1), 7, 0))), 1, "")</f>
        <v/>
      </c>
      <c r="AX201" s="1" t="str">
        <f>IF(AND(AND(AND(AX$4&gt;='2025'!$L199,AX$4&lt;='2025'!$M199), AX$4&lt;&gt;DATE(2025,7,4)), (SWITCH(weekday(AX$4), 1, 0, 2, if(ISBLANK('2025'!$P199), 0, 1), 3, if(ISBLANK('2025'!$Q199), 0, 1), 4, if(ISBLANK('2025'!$R199), 0, 1), 5, if(ISBLANK('2025'!$S199), 0, 1), 6, if(ISBLANK('2025'!$T199), 0, 1), 7, 0))), 1, "")</f>
        <v/>
      </c>
      <c r="AY201" s="1" t="str">
        <f>IF(AND(AND(AND(AY$4&gt;='2025'!$L199,AY$4&lt;='2025'!$M199), AY$4&lt;&gt;DATE(2025,7,4)), (SWITCH(weekday(AY$4), 1, 0, 2, if(ISBLANK('2025'!$P199), 0, 1), 3, if(ISBLANK('2025'!$Q199), 0, 1), 4, if(ISBLANK('2025'!$R199), 0, 1), 5, if(ISBLANK('2025'!$S199), 0, 1), 6, if(ISBLANK('2025'!$T199), 0, 1), 7, 0))), 1, "")</f>
        <v/>
      </c>
      <c r="AZ201" s="1" t="str">
        <f>IF(AND(AND(AND(AZ$4&gt;='2025'!$L199,AZ$4&lt;='2025'!$M199), AZ$4&lt;&gt;DATE(2025,7,4)), (SWITCH(weekday(AZ$4), 1, 0, 2, if(ISBLANK('2025'!$P199), 0, 1), 3, if(ISBLANK('2025'!$Q199), 0, 1), 4, if(ISBLANK('2025'!$R199), 0, 1), 5, if(ISBLANK('2025'!$S199), 0, 1), 6, if(ISBLANK('2025'!$T199), 0, 1), 7, 0))), 1, "")</f>
        <v/>
      </c>
      <c r="BA201" s="1" t="str">
        <f>IF(AND(AND(AND(BA$4&gt;='2025'!$L199,BA$4&lt;='2025'!$M199), BA$4&lt;&gt;DATE(2025,7,4)), (SWITCH(weekday(BA$4), 1, 0, 2, if(ISBLANK('2025'!$P199), 0, 1), 3, if(ISBLANK('2025'!$Q199), 0, 1), 4, if(ISBLANK('2025'!$R199), 0, 1), 5, if(ISBLANK('2025'!$S199), 0, 1), 6, if(ISBLANK('2025'!$T199), 0, 1), 7, 0))), 1, "")</f>
        <v/>
      </c>
      <c r="BB201" s="1" t="str">
        <f>IF(AND(AND(AND(BB$4&gt;='2025'!$L199,BB$4&lt;='2025'!$M199), BB$4&lt;&gt;DATE(2025,7,4)), (SWITCH(weekday(BB$4), 1, 0, 2, if(ISBLANK('2025'!$P199), 0, 1), 3, if(ISBLANK('2025'!$Q199), 0, 1), 4, if(ISBLANK('2025'!$R199), 0, 1), 5, if(ISBLANK('2025'!$S199), 0, 1), 6, if(ISBLANK('2025'!$T199), 0, 1), 7, 0))), 1, "")</f>
        <v/>
      </c>
      <c r="BC201" s="1" t="str">
        <f>IF(AND(AND(AND(BC$4&gt;='2025'!$L199,BC$4&lt;='2025'!$M199), BC$4&lt;&gt;DATE(2025,7,4)), (SWITCH(weekday(BC$4), 1, 0, 2, if(ISBLANK('2025'!$P199), 0, 1), 3, if(ISBLANK('2025'!$Q199), 0, 1), 4, if(ISBLANK('2025'!$R199), 0, 1), 5, if(ISBLANK('2025'!$S199), 0, 1), 6, if(ISBLANK('2025'!$T199), 0, 1), 7, 0))), 1, "")</f>
        <v/>
      </c>
      <c r="BD201" s="1" t="str">
        <f>IF(AND(AND(AND(BD$4&gt;='2025'!$L199,BD$4&lt;='2025'!$M199), BD$4&lt;&gt;DATE(2025,7,4)), (SWITCH(weekday(BD$4), 1, 0, 2, if(ISBLANK('2025'!$P199), 0, 1), 3, if(ISBLANK('2025'!$Q199), 0, 1), 4, if(ISBLANK('2025'!$R199), 0, 1), 5, if(ISBLANK('2025'!$S199), 0, 1), 6, if(ISBLANK('2025'!$T199), 0, 1), 7, 0))), 1, "")</f>
        <v/>
      </c>
      <c r="BE201" s="1" t="str">
        <f>IF(AND(AND(AND(BE$4&gt;='2025'!$L199,BE$4&lt;='2025'!$M199), BE$4&lt;&gt;DATE(2025,7,4)), (SWITCH(weekday(BE$4), 1, 0, 2, if(ISBLANK('2025'!$P199), 0, 1), 3, if(ISBLANK('2025'!$Q199), 0, 1), 4, if(ISBLANK('2025'!$R199), 0, 1), 5, if(ISBLANK('2025'!$S199), 0, 1), 6, if(ISBLANK('2025'!$T199), 0, 1), 7, 0))), 1, "")</f>
        <v/>
      </c>
      <c r="BF201" s="1" t="str">
        <f>IF(AND(AND(AND(BF$4&gt;='2025'!$L199,BF$4&lt;='2025'!$M199), BF$4&lt;&gt;DATE(2025,7,4)), (SWITCH(weekday(BF$4), 1, 0, 2, if(ISBLANK('2025'!$P199), 0, 1), 3, if(ISBLANK('2025'!$Q199), 0, 1), 4, if(ISBLANK('2025'!$R199), 0, 1), 5, if(ISBLANK('2025'!$S199), 0, 1), 6, if(ISBLANK('2025'!$T199), 0, 1), 7, 0))), 1, "")</f>
        <v/>
      </c>
      <c r="BG201" s="1"/>
      <c r="BH201" s="1"/>
      <c r="BI201" s="1"/>
      <c r="BJ201" s="1"/>
      <c r="BK201" s="1"/>
      <c r="BL201" s="1"/>
    </row>
    <row r="202">
      <c r="A202" s="1">
        <f t="shared" si="3"/>
        <v>202</v>
      </c>
      <c r="B202" s="1" t="str">
        <f>'2025'!D166</f>
        <v>, </v>
      </c>
      <c r="C202" s="1" t="str">
        <f>'2025'!H166</f>
        <v/>
      </c>
      <c r="D202" s="1" t="str">
        <f>IF(AND(AND(AND(D$4&gt;='2025'!$L200,D$4&lt;='2025'!$M200), D$4&lt;&gt;DATE(2025,7,4)), (SWITCH(weekday(D$4), 1, 0, 2, if(ISBLANK('2025'!$P200), 0, 1), 3, if(ISBLANK('2025'!$Q200), 0, 1), 4, if(ISBLANK('2025'!$R200), 0, 1), 5, if(ISBLANK('2025'!$S200), 0, 1), 6, if(ISBLANK('2025'!$T200), 0, 1), 7, 0))), 1, "")</f>
        <v/>
      </c>
      <c r="E202" s="1" t="str">
        <f>IF(AND(AND(AND(E$4&gt;='2025'!$L200,E$4&lt;='2025'!$M200), E$4&lt;&gt;DATE(2025,7,4)), (SWITCH(weekday(E$4), 1, 0, 2, if(ISBLANK('2025'!$P200), 0, 1), 3, if(ISBLANK('2025'!$Q200), 0, 1), 4, if(ISBLANK('2025'!$R200), 0, 1), 5, if(ISBLANK('2025'!$S200), 0, 1), 6, if(ISBLANK('2025'!$T200), 0, 1), 7, 0))), 1, "")</f>
        <v/>
      </c>
      <c r="F202" s="1" t="str">
        <f>IF(AND(AND(AND(F$4&gt;='2025'!$L200,F$4&lt;='2025'!$M200), F$4&lt;&gt;DATE(2025,7,4)), (SWITCH(weekday(F$4), 1, 0, 2, if(ISBLANK('2025'!$P200), 0, 1), 3, if(ISBLANK('2025'!$Q200), 0, 1), 4, if(ISBLANK('2025'!$R200), 0, 1), 5, if(ISBLANK('2025'!$S200), 0, 1), 6, if(ISBLANK('2025'!$T200), 0, 1), 7, 0))), 1, "")</f>
        <v/>
      </c>
      <c r="G202" s="1" t="str">
        <f>IF(AND(AND(AND(G$4&gt;='2025'!$L200,G$4&lt;='2025'!$M200), G$4&lt;&gt;DATE(2025,7,4)), (SWITCH(weekday(G$4), 1, 0, 2, if(ISBLANK('2025'!$P200), 0, 1), 3, if(ISBLANK('2025'!$Q200), 0, 1), 4, if(ISBLANK('2025'!$R200), 0, 1), 5, if(ISBLANK('2025'!$S200), 0, 1), 6, if(ISBLANK('2025'!$T200), 0, 1), 7, 0))), 1, "")</f>
        <v/>
      </c>
      <c r="H202" s="1" t="str">
        <f>IF(AND(AND(AND(H$4&gt;='2025'!$L200,H$4&lt;='2025'!$M200), H$4&lt;&gt;DATE(2025,7,4)), (SWITCH(weekday(H$4), 1, 0, 2, if(ISBLANK('2025'!$P200), 0, 1), 3, if(ISBLANK('2025'!$Q200), 0, 1), 4, if(ISBLANK('2025'!$R200), 0, 1), 5, if(ISBLANK('2025'!$S200), 0, 1), 6, if(ISBLANK('2025'!$T200), 0, 1), 7, 0))), 1, "")</f>
        <v/>
      </c>
      <c r="I202" s="1" t="str">
        <f>IF(AND(AND(AND(I$4&gt;='2025'!$L200,I$4&lt;='2025'!$M200), I$4&lt;&gt;DATE(2025,7,4)), (SWITCH(weekday(I$4), 1, 0, 2, if(ISBLANK('2025'!$P200), 0, 1), 3, if(ISBLANK('2025'!$Q200), 0, 1), 4, if(ISBLANK('2025'!$R200), 0, 1), 5, if(ISBLANK('2025'!$S200), 0, 1), 6, if(ISBLANK('2025'!$T200), 0, 1), 7, 0))), 1, "")</f>
        <v/>
      </c>
      <c r="J202" s="1" t="str">
        <f>IF(AND(AND(AND(J$4&gt;='2025'!$L200,J$4&lt;='2025'!$M200), J$4&lt;&gt;DATE(2025,7,4)), (SWITCH(weekday(J$4), 1, 0, 2, if(ISBLANK('2025'!$P200), 0, 1), 3, if(ISBLANK('2025'!$Q200), 0, 1), 4, if(ISBLANK('2025'!$R200), 0, 1), 5, if(ISBLANK('2025'!$S200), 0, 1), 6, if(ISBLANK('2025'!$T200), 0, 1), 7, 0))), 1, "")</f>
        <v/>
      </c>
      <c r="K202" s="1" t="str">
        <f>IF(AND(AND(AND(K$4&gt;='2025'!$L200,K$4&lt;='2025'!$M200), K$4&lt;&gt;DATE(2025,7,4)), (SWITCH(weekday(K$4), 1, 0, 2, if(ISBLANK('2025'!$P200), 0, 1), 3, if(ISBLANK('2025'!$Q200), 0, 1), 4, if(ISBLANK('2025'!$R200), 0, 1), 5, if(ISBLANK('2025'!$S200), 0, 1), 6, if(ISBLANK('2025'!$T200), 0, 1), 7, 0))), 1, "")</f>
        <v/>
      </c>
      <c r="L202" s="1" t="str">
        <f>IF(AND(AND(AND(L$4&gt;='2025'!$L200,L$4&lt;='2025'!$M200), L$4&lt;&gt;DATE(2025,7,4)), (SWITCH(weekday(L$4), 1, 0, 2, if(ISBLANK('2025'!$P200), 0, 1), 3, if(ISBLANK('2025'!$Q200), 0, 1), 4, if(ISBLANK('2025'!$R200), 0, 1), 5, if(ISBLANK('2025'!$S200), 0, 1), 6, if(ISBLANK('2025'!$T200), 0, 1), 7, 0))), 1, "")</f>
        <v/>
      </c>
      <c r="M202" s="1" t="str">
        <f>IF(AND(AND(AND(M$4&gt;='2025'!$L200,M$4&lt;='2025'!$M200), M$4&lt;&gt;DATE(2025,7,4)), (SWITCH(weekday(M$4), 1, 0, 2, if(ISBLANK('2025'!$P200), 0, 1), 3, if(ISBLANK('2025'!$Q200), 0, 1), 4, if(ISBLANK('2025'!$R200), 0, 1), 5, if(ISBLANK('2025'!$S200), 0, 1), 6, if(ISBLANK('2025'!$T200), 0, 1), 7, 0))), 1, "")</f>
        <v/>
      </c>
      <c r="N202" s="1" t="str">
        <f>IF(AND(AND(AND(N$4&gt;='2025'!$L200,N$4&lt;='2025'!$M200), N$4&lt;&gt;DATE(2025,7,4)), (SWITCH(weekday(N$4), 1, 0, 2, if(ISBLANK('2025'!$P200), 0, 1), 3, if(ISBLANK('2025'!$Q200), 0, 1), 4, if(ISBLANK('2025'!$R200), 0, 1), 5, if(ISBLANK('2025'!$S200), 0, 1), 6, if(ISBLANK('2025'!$T200), 0, 1), 7, 0))), 1, "")</f>
        <v/>
      </c>
      <c r="O202" s="1" t="str">
        <f>IF(AND(AND(AND(O$4&gt;='2025'!$L200,O$4&lt;='2025'!$M200), O$4&lt;&gt;DATE(2025,7,4)), (SWITCH(weekday(O$4), 1, 0, 2, if(ISBLANK('2025'!$P200), 0, 1), 3, if(ISBLANK('2025'!$Q200), 0, 1), 4, if(ISBLANK('2025'!$R200), 0, 1), 5, if(ISBLANK('2025'!$S200), 0, 1), 6, if(ISBLANK('2025'!$T200), 0, 1), 7, 0))), 1, "")</f>
        <v/>
      </c>
      <c r="P202" s="1" t="str">
        <f>IF(AND(AND(AND(P$4&gt;='2025'!$L200,P$4&lt;='2025'!$M200), P$4&lt;&gt;DATE(2025,7,4)), (SWITCH(weekday(P$4), 1, 0, 2, if(ISBLANK('2025'!$P200), 0, 1), 3, if(ISBLANK('2025'!$Q200), 0, 1), 4, if(ISBLANK('2025'!$R200), 0, 1), 5, if(ISBLANK('2025'!$S200), 0, 1), 6, if(ISBLANK('2025'!$T200), 0, 1), 7, 0))), 1, "")</f>
        <v/>
      </c>
      <c r="Q202" s="1" t="str">
        <f>IF(AND(AND(AND(Q$4&gt;='2025'!$L200,Q$4&lt;='2025'!$M200), Q$4&lt;&gt;DATE(2025,7,4)), (SWITCH(weekday(Q$4), 1, 0, 2, if(ISBLANK('2025'!$P200), 0, 1), 3, if(ISBLANK('2025'!$Q200), 0, 1), 4, if(ISBLANK('2025'!$R200), 0, 1), 5, if(ISBLANK('2025'!$S200), 0, 1), 6, if(ISBLANK('2025'!$T200), 0, 1), 7, 0))), 1, "")</f>
        <v/>
      </c>
      <c r="R202" s="1" t="str">
        <f>IF(AND(AND(AND(R$4&gt;='2025'!$L200,R$4&lt;='2025'!$M200), R$4&lt;&gt;DATE(2025,7,4)), (SWITCH(weekday(R$4), 1, 0, 2, if(ISBLANK('2025'!$P200), 0, 1), 3, if(ISBLANK('2025'!$Q200), 0, 1), 4, if(ISBLANK('2025'!$R200), 0, 1), 5, if(ISBLANK('2025'!$S200), 0, 1), 6, if(ISBLANK('2025'!$T200), 0, 1), 7, 0))), 1, "")</f>
        <v/>
      </c>
      <c r="S202" s="1" t="str">
        <f>IF(AND(AND(AND(S$4&gt;='2025'!$L200,S$4&lt;='2025'!$M200), S$4&lt;&gt;DATE(2025,7,4)), (SWITCH(weekday(S$4), 1, 0, 2, if(ISBLANK('2025'!$P200), 0, 1), 3, if(ISBLANK('2025'!$Q200), 0, 1), 4, if(ISBLANK('2025'!$R200), 0, 1), 5, if(ISBLANK('2025'!$S200), 0, 1), 6, if(ISBLANK('2025'!$T200), 0, 1), 7, 0))), 1, "")</f>
        <v/>
      </c>
      <c r="T202" s="1" t="str">
        <f>IF(AND(AND(AND(T$4&gt;='2025'!$L200,T$4&lt;='2025'!$M200), T$4&lt;&gt;DATE(2025,7,4)), (SWITCH(weekday(T$4), 1, 0, 2, if(ISBLANK('2025'!$P200), 0, 1), 3, if(ISBLANK('2025'!$Q200), 0, 1), 4, if(ISBLANK('2025'!$R200), 0, 1), 5, if(ISBLANK('2025'!$S200), 0, 1), 6, if(ISBLANK('2025'!$T200), 0, 1), 7, 0))), 1, "")</f>
        <v/>
      </c>
      <c r="U202" s="1" t="str">
        <f>IF(AND(AND(AND(U$4&gt;='2025'!$L200,U$4&lt;='2025'!$M200), U$4&lt;&gt;DATE(2025,7,4)), (SWITCH(weekday(U$4), 1, 0, 2, if(ISBLANK('2025'!$P200), 0, 1), 3, if(ISBLANK('2025'!$Q200), 0, 1), 4, if(ISBLANK('2025'!$R200), 0, 1), 5, if(ISBLANK('2025'!$S200), 0, 1), 6, if(ISBLANK('2025'!$T200), 0, 1), 7, 0))), 1, "")</f>
        <v/>
      </c>
      <c r="V202" s="1" t="str">
        <f>IF(AND(AND(AND(V$4&gt;='2025'!$L200,V$4&lt;='2025'!$M200), V$4&lt;&gt;DATE(2025,7,4)), (SWITCH(weekday(V$4), 1, 0, 2, if(ISBLANK('2025'!$P200), 0, 1), 3, if(ISBLANK('2025'!$Q200), 0, 1), 4, if(ISBLANK('2025'!$R200), 0, 1), 5, if(ISBLANK('2025'!$S200), 0, 1), 6, if(ISBLANK('2025'!$T200), 0, 1), 7, 0))), 1, "")</f>
        <v/>
      </c>
      <c r="W202" s="1" t="str">
        <f>IF(AND(AND(AND(W$4&gt;='2025'!$L200,W$4&lt;='2025'!$M200), W$4&lt;&gt;DATE(2025,7,4)), (SWITCH(weekday(W$4), 1, 0, 2, if(ISBLANK('2025'!$P200), 0, 1), 3, if(ISBLANK('2025'!$Q200), 0, 1), 4, if(ISBLANK('2025'!$R200), 0, 1), 5, if(ISBLANK('2025'!$S200), 0, 1), 6, if(ISBLANK('2025'!$T200), 0, 1), 7, 0))), 1, "")</f>
        <v/>
      </c>
      <c r="X202" s="1" t="str">
        <f>IF(AND(AND(AND(X$4&gt;='2025'!$L200,X$4&lt;='2025'!$M200), X$4&lt;&gt;DATE(2025,7,4)), (SWITCH(weekday(X$4), 1, 0, 2, if(ISBLANK('2025'!$P200), 0, 1), 3, if(ISBLANK('2025'!$Q200), 0, 1), 4, if(ISBLANK('2025'!$R200), 0, 1), 5, if(ISBLANK('2025'!$S200), 0, 1), 6, if(ISBLANK('2025'!$T200), 0, 1), 7, 0))), 1, "")</f>
        <v/>
      </c>
      <c r="Y202" s="1" t="str">
        <f>IF(AND(AND(AND(Y$4&gt;='2025'!$L200,Y$4&lt;='2025'!$M200), Y$4&lt;&gt;DATE(2025,7,4)), (SWITCH(weekday(Y$4), 1, 0, 2, if(ISBLANK('2025'!$P200), 0, 1), 3, if(ISBLANK('2025'!$Q200), 0, 1), 4, if(ISBLANK('2025'!$R200), 0, 1), 5, if(ISBLANK('2025'!$S200), 0, 1), 6, if(ISBLANK('2025'!$T200), 0, 1), 7, 0))), 1, "")</f>
        <v/>
      </c>
      <c r="Z202" s="1" t="str">
        <f>IF(AND(AND(AND(Z$4&gt;='2025'!$L200,Z$4&lt;='2025'!$M200), Z$4&lt;&gt;DATE(2025,7,4)), (SWITCH(weekday(Z$4), 1, 0, 2, if(ISBLANK('2025'!$P200), 0, 1), 3, if(ISBLANK('2025'!$Q200), 0, 1), 4, if(ISBLANK('2025'!$R200), 0, 1), 5, if(ISBLANK('2025'!$S200), 0, 1), 6, if(ISBLANK('2025'!$T200), 0, 1), 7, 0))), 1, "")</f>
        <v/>
      </c>
      <c r="AA202" s="1" t="str">
        <f>IF(AND(AND(AND(AA$4&gt;='2025'!$L200,AA$4&lt;='2025'!$M200), AA$4&lt;&gt;DATE(2025,7,4)), (SWITCH(weekday(AA$4), 1, 0, 2, if(ISBLANK('2025'!$P200), 0, 1), 3, if(ISBLANK('2025'!$Q200), 0, 1), 4, if(ISBLANK('2025'!$R200), 0, 1), 5, if(ISBLANK('2025'!$S200), 0, 1), 6, if(ISBLANK('2025'!$T200), 0, 1), 7, 0))), 1, "")</f>
        <v/>
      </c>
      <c r="AB202" s="1" t="str">
        <f>IF(AND(AND(AND(AB$4&gt;='2025'!$L200,AB$4&lt;='2025'!$M200), AB$4&lt;&gt;DATE(2025,7,4)), (SWITCH(weekday(AB$4), 1, 0, 2, if(ISBLANK('2025'!$P200), 0, 1), 3, if(ISBLANK('2025'!$Q200), 0, 1), 4, if(ISBLANK('2025'!$R200), 0, 1), 5, if(ISBLANK('2025'!$S200), 0, 1), 6, if(ISBLANK('2025'!$T200), 0, 1), 7, 0))), 1, "")</f>
        <v/>
      </c>
      <c r="AC202" s="1" t="str">
        <f>IF(AND(AND(AND(AC$4&gt;='2025'!$L200,AC$4&lt;='2025'!$M200), AC$4&lt;&gt;DATE(2025,7,4)), (SWITCH(weekday(AC$4), 1, 0, 2, if(ISBLANK('2025'!$P200), 0, 1), 3, if(ISBLANK('2025'!$Q200), 0, 1), 4, if(ISBLANK('2025'!$R200), 0, 1), 5, if(ISBLANK('2025'!$S200), 0, 1), 6, if(ISBLANK('2025'!$T200), 0, 1), 7, 0))), 1, "")</f>
        <v/>
      </c>
      <c r="AD202" s="1" t="str">
        <f>IF(AND(AND(AND(AD$4&gt;='2025'!$L200,AD$4&lt;='2025'!$M200), AD$4&lt;&gt;DATE(2025,7,4)), (SWITCH(weekday(AD$4), 1, 0, 2, if(ISBLANK('2025'!$P200), 0, 1), 3, if(ISBLANK('2025'!$Q200), 0, 1), 4, if(ISBLANK('2025'!$R200), 0, 1), 5, if(ISBLANK('2025'!$S200), 0, 1), 6, if(ISBLANK('2025'!$T200), 0, 1), 7, 0))), 1, "")</f>
        <v/>
      </c>
      <c r="AE202" s="1" t="str">
        <f>IF(AND(AND(AND(AE$4&gt;='2025'!$L200,AE$4&lt;='2025'!$M200), AE$4&lt;&gt;DATE(2025,7,4)), (SWITCH(weekday(AE$4), 1, 0, 2, if(ISBLANK('2025'!$P200), 0, 1), 3, if(ISBLANK('2025'!$Q200), 0, 1), 4, if(ISBLANK('2025'!$R200), 0, 1), 5, if(ISBLANK('2025'!$S200), 0, 1), 6, if(ISBLANK('2025'!$T200), 0, 1), 7, 0))), 1, "")</f>
        <v/>
      </c>
      <c r="AF202" s="1" t="str">
        <f>IF(AND(AND(AND(AF$4&gt;='2025'!$L200,AF$4&lt;='2025'!$M200), AF$4&lt;&gt;DATE(2025,7,4)), (SWITCH(weekday(AF$4), 1, 0, 2, if(ISBLANK('2025'!$P200), 0, 1), 3, if(ISBLANK('2025'!$Q200), 0, 1), 4, if(ISBLANK('2025'!$R200), 0, 1), 5, if(ISBLANK('2025'!$S200), 0, 1), 6, if(ISBLANK('2025'!$T200), 0, 1), 7, 0))), 1, "")</f>
        <v/>
      </c>
      <c r="AG202" s="1" t="str">
        <f>IF(AND(AND(AND(AG$4&gt;='2025'!$L200,AG$4&lt;='2025'!$M200), AG$4&lt;&gt;DATE(2025,7,4)), (SWITCH(weekday(AG$4), 1, 0, 2, if(ISBLANK('2025'!$P200), 0, 1), 3, if(ISBLANK('2025'!$Q200), 0, 1), 4, if(ISBLANK('2025'!$R200), 0, 1), 5, if(ISBLANK('2025'!$S200), 0, 1), 6, if(ISBLANK('2025'!$T200), 0, 1), 7, 0))), 1, "")</f>
        <v/>
      </c>
      <c r="AH202" s="1" t="str">
        <f>IF(AND(AND(AND(AH$4&gt;='2025'!$L200,AH$4&lt;='2025'!$M200), AH$4&lt;&gt;DATE(2025,7,4)), (SWITCH(weekday(AH$4), 1, 0, 2, if(ISBLANK('2025'!$P200), 0, 1), 3, if(ISBLANK('2025'!$Q200), 0, 1), 4, if(ISBLANK('2025'!$R200), 0, 1), 5, if(ISBLANK('2025'!$S200), 0, 1), 6, if(ISBLANK('2025'!$T200), 0, 1), 7, 0))), 1, "")</f>
        <v/>
      </c>
      <c r="AI202" s="1" t="str">
        <f>IF(AND(AND(AND(AI$4&gt;='2025'!$L200,AI$4&lt;='2025'!$M200), AI$4&lt;&gt;DATE(2025,7,4)), (SWITCH(weekday(AI$4), 1, 0, 2, if(ISBLANK('2025'!$P200), 0, 1), 3, if(ISBLANK('2025'!$Q200), 0, 1), 4, if(ISBLANK('2025'!$R200), 0, 1), 5, if(ISBLANK('2025'!$S200), 0, 1), 6, if(ISBLANK('2025'!$T200), 0, 1), 7, 0))), 1, "")</f>
        <v/>
      </c>
      <c r="AJ202" s="1" t="str">
        <f>IF(AND(AND(AND(AJ$4&gt;='2025'!$L200,AJ$4&lt;='2025'!$M200), AJ$4&lt;&gt;DATE(2025,7,4)), (SWITCH(weekday(AJ$4), 1, 0, 2, if(ISBLANK('2025'!$P200), 0, 1), 3, if(ISBLANK('2025'!$Q200), 0, 1), 4, if(ISBLANK('2025'!$R200), 0, 1), 5, if(ISBLANK('2025'!$S200), 0, 1), 6, if(ISBLANK('2025'!$T200), 0, 1), 7, 0))), 1, "")</f>
        <v/>
      </c>
      <c r="AK202" s="1" t="str">
        <f>IF(AND(AND(AND(AK$4&gt;='2025'!$L200,AK$4&lt;='2025'!$M200), AK$4&lt;&gt;DATE(2025,7,4)), (SWITCH(weekday(AK$4), 1, 0, 2, if(ISBLANK('2025'!$P200), 0, 1), 3, if(ISBLANK('2025'!$Q200), 0, 1), 4, if(ISBLANK('2025'!$R200), 0, 1), 5, if(ISBLANK('2025'!$S200), 0, 1), 6, if(ISBLANK('2025'!$T200), 0, 1), 7, 0))), 1, "")</f>
        <v/>
      </c>
      <c r="AL202" s="1" t="str">
        <f>IF(AND(AND(AND(AL$4&gt;='2025'!$L200,AL$4&lt;='2025'!$M200), AL$4&lt;&gt;DATE(2025,7,4)), (SWITCH(weekday(AL$4), 1, 0, 2, if(ISBLANK('2025'!$P200), 0, 1), 3, if(ISBLANK('2025'!$Q200), 0, 1), 4, if(ISBLANK('2025'!$R200), 0, 1), 5, if(ISBLANK('2025'!$S200), 0, 1), 6, if(ISBLANK('2025'!$T200), 0, 1), 7, 0))), 1, "")</f>
        <v/>
      </c>
      <c r="AM202" s="1" t="str">
        <f>IF(AND(AND(AND(AM$4&gt;='2025'!$L200,AM$4&lt;='2025'!$M200), AM$4&lt;&gt;DATE(2025,7,4)), (SWITCH(weekday(AM$4), 1, 0, 2, if(ISBLANK('2025'!$P200), 0, 1), 3, if(ISBLANK('2025'!$Q200), 0, 1), 4, if(ISBLANK('2025'!$R200), 0, 1), 5, if(ISBLANK('2025'!$S200), 0, 1), 6, if(ISBLANK('2025'!$T200), 0, 1), 7, 0))), 1, "")</f>
        <v/>
      </c>
      <c r="AN202" s="1" t="str">
        <f>IF(AND(AND(AND(AN$4&gt;='2025'!$L200,AN$4&lt;='2025'!$M200), AN$4&lt;&gt;DATE(2025,7,4)), (SWITCH(weekday(AN$4), 1, 0, 2, if(ISBLANK('2025'!$P200), 0, 1), 3, if(ISBLANK('2025'!$Q200), 0, 1), 4, if(ISBLANK('2025'!$R200), 0, 1), 5, if(ISBLANK('2025'!$S200), 0, 1), 6, if(ISBLANK('2025'!$T200), 0, 1), 7, 0))), 1, "")</f>
        <v/>
      </c>
      <c r="AO202" s="1" t="str">
        <f>IF(AND(AND(AND(AO$4&gt;='2025'!$L200,AO$4&lt;='2025'!$M200), AO$4&lt;&gt;DATE(2025,7,4)), (SWITCH(weekday(AO$4), 1, 0, 2, if(ISBLANK('2025'!$P200), 0, 1), 3, if(ISBLANK('2025'!$Q200), 0, 1), 4, if(ISBLANK('2025'!$R200), 0, 1), 5, if(ISBLANK('2025'!$S200), 0, 1), 6, if(ISBLANK('2025'!$T200), 0, 1), 7, 0))), 1, "")</f>
        <v/>
      </c>
      <c r="AP202" s="1" t="str">
        <f>IF(AND(AND(AND(AP$4&gt;='2025'!$L200,AP$4&lt;='2025'!$M200), AP$4&lt;&gt;DATE(2025,7,4)), (SWITCH(weekday(AP$4), 1, 0, 2, if(ISBLANK('2025'!$P200), 0, 1), 3, if(ISBLANK('2025'!$Q200), 0, 1), 4, if(ISBLANK('2025'!$R200), 0, 1), 5, if(ISBLANK('2025'!$S200), 0, 1), 6, if(ISBLANK('2025'!$T200), 0, 1), 7, 0))), 1, "")</f>
        <v/>
      </c>
      <c r="AQ202" s="1" t="str">
        <f>IF(AND(AND(AND(AQ$4&gt;='2025'!$L200,AQ$4&lt;='2025'!$M200), AQ$4&lt;&gt;DATE(2025,7,4)), (SWITCH(weekday(AQ$4), 1, 0, 2, if(ISBLANK('2025'!$P200), 0, 1), 3, if(ISBLANK('2025'!$Q200), 0, 1), 4, if(ISBLANK('2025'!$R200), 0, 1), 5, if(ISBLANK('2025'!$S200), 0, 1), 6, if(ISBLANK('2025'!$T200), 0, 1), 7, 0))), 1, "")</f>
        <v/>
      </c>
      <c r="AR202" s="1" t="str">
        <f>IF(AND(AND(AND(AR$4&gt;='2025'!$L200,AR$4&lt;='2025'!$M200), AR$4&lt;&gt;DATE(2025,7,4)), (SWITCH(weekday(AR$4), 1, 0, 2, if(ISBLANK('2025'!$P200), 0, 1), 3, if(ISBLANK('2025'!$Q200), 0, 1), 4, if(ISBLANK('2025'!$R200), 0, 1), 5, if(ISBLANK('2025'!$S200), 0, 1), 6, if(ISBLANK('2025'!$T200), 0, 1), 7, 0))), 1, "")</f>
        <v/>
      </c>
      <c r="AS202" s="1" t="str">
        <f>IF(AND(AND(AND(AS$4&gt;='2025'!$L200,AS$4&lt;='2025'!$M200), AS$4&lt;&gt;DATE(2025,7,4)), (SWITCH(weekday(AS$4), 1, 0, 2, if(ISBLANK('2025'!$P200), 0, 1), 3, if(ISBLANK('2025'!$Q200), 0, 1), 4, if(ISBLANK('2025'!$R200), 0, 1), 5, if(ISBLANK('2025'!$S200), 0, 1), 6, if(ISBLANK('2025'!$T200), 0, 1), 7, 0))), 1, "")</f>
        <v/>
      </c>
      <c r="AT202" s="1" t="str">
        <f>IF(AND(AND(AND(AT$4&gt;='2025'!$L200,AT$4&lt;='2025'!$M200), AT$4&lt;&gt;DATE(2025,7,4)), (SWITCH(weekday(AT$4), 1, 0, 2, if(ISBLANK('2025'!$P200), 0, 1), 3, if(ISBLANK('2025'!$Q200), 0, 1), 4, if(ISBLANK('2025'!$R200), 0, 1), 5, if(ISBLANK('2025'!$S200), 0, 1), 6, if(ISBLANK('2025'!$T200), 0, 1), 7, 0))), 1, "")</f>
        <v/>
      </c>
      <c r="AU202" s="1" t="str">
        <f>IF(AND(AND(AND(AU$4&gt;='2025'!$L200,AU$4&lt;='2025'!$M200), AU$4&lt;&gt;DATE(2025,7,4)), (SWITCH(weekday(AU$4), 1, 0, 2, if(ISBLANK('2025'!$P200), 0, 1), 3, if(ISBLANK('2025'!$Q200), 0, 1), 4, if(ISBLANK('2025'!$R200), 0, 1), 5, if(ISBLANK('2025'!$S200), 0, 1), 6, if(ISBLANK('2025'!$T200), 0, 1), 7, 0))), 1, "")</f>
        <v/>
      </c>
      <c r="AV202" s="1" t="str">
        <f>IF(AND(AND(AND(AV$4&gt;='2025'!$L200,AV$4&lt;='2025'!$M200), AV$4&lt;&gt;DATE(2025,7,4)), (SWITCH(weekday(AV$4), 1, 0, 2, if(ISBLANK('2025'!$P200), 0, 1), 3, if(ISBLANK('2025'!$Q200), 0, 1), 4, if(ISBLANK('2025'!$R200), 0, 1), 5, if(ISBLANK('2025'!$S200), 0, 1), 6, if(ISBLANK('2025'!$T200), 0, 1), 7, 0))), 1, "")</f>
        <v/>
      </c>
      <c r="AW202" s="1" t="str">
        <f>IF(AND(AND(AND(AW$4&gt;='2025'!$L200,AW$4&lt;='2025'!$M200), AW$4&lt;&gt;DATE(2025,7,4)), (SWITCH(weekday(AW$4), 1, 0, 2, if(ISBLANK('2025'!$P200), 0, 1), 3, if(ISBLANK('2025'!$Q200), 0, 1), 4, if(ISBLANK('2025'!$R200), 0, 1), 5, if(ISBLANK('2025'!$S200), 0, 1), 6, if(ISBLANK('2025'!$T200), 0, 1), 7, 0))), 1, "")</f>
        <v/>
      </c>
      <c r="AX202" s="1" t="str">
        <f>IF(AND(AND(AND(AX$4&gt;='2025'!$L200,AX$4&lt;='2025'!$M200), AX$4&lt;&gt;DATE(2025,7,4)), (SWITCH(weekday(AX$4), 1, 0, 2, if(ISBLANK('2025'!$P200), 0, 1), 3, if(ISBLANK('2025'!$Q200), 0, 1), 4, if(ISBLANK('2025'!$R200), 0, 1), 5, if(ISBLANK('2025'!$S200), 0, 1), 6, if(ISBLANK('2025'!$T200), 0, 1), 7, 0))), 1, "")</f>
        <v/>
      </c>
      <c r="AY202" s="1" t="str">
        <f>IF(AND(AND(AND(AY$4&gt;='2025'!$L200,AY$4&lt;='2025'!$M200), AY$4&lt;&gt;DATE(2025,7,4)), (SWITCH(weekday(AY$4), 1, 0, 2, if(ISBLANK('2025'!$P200), 0, 1), 3, if(ISBLANK('2025'!$Q200), 0, 1), 4, if(ISBLANK('2025'!$R200), 0, 1), 5, if(ISBLANK('2025'!$S200), 0, 1), 6, if(ISBLANK('2025'!$T200), 0, 1), 7, 0))), 1, "")</f>
        <v/>
      </c>
      <c r="AZ202" s="1" t="str">
        <f>IF(AND(AND(AND(AZ$4&gt;='2025'!$L200,AZ$4&lt;='2025'!$M200), AZ$4&lt;&gt;DATE(2025,7,4)), (SWITCH(weekday(AZ$4), 1, 0, 2, if(ISBLANK('2025'!$P200), 0, 1), 3, if(ISBLANK('2025'!$Q200), 0, 1), 4, if(ISBLANK('2025'!$R200), 0, 1), 5, if(ISBLANK('2025'!$S200), 0, 1), 6, if(ISBLANK('2025'!$T200), 0, 1), 7, 0))), 1, "")</f>
        <v/>
      </c>
      <c r="BA202" s="1" t="str">
        <f>IF(AND(AND(AND(BA$4&gt;='2025'!$L200,BA$4&lt;='2025'!$M200), BA$4&lt;&gt;DATE(2025,7,4)), (SWITCH(weekday(BA$4), 1, 0, 2, if(ISBLANK('2025'!$P200), 0, 1), 3, if(ISBLANK('2025'!$Q200), 0, 1), 4, if(ISBLANK('2025'!$R200), 0, 1), 5, if(ISBLANK('2025'!$S200), 0, 1), 6, if(ISBLANK('2025'!$T200), 0, 1), 7, 0))), 1, "")</f>
        <v/>
      </c>
      <c r="BB202" s="1" t="str">
        <f>IF(AND(AND(AND(BB$4&gt;='2025'!$L200,BB$4&lt;='2025'!$M200), BB$4&lt;&gt;DATE(2025,7,4)), (SWITCH(weekday(BB$4), 1, 0, 2, if(ISBLANK('2025'!$P200), 0, 1), 3, if(ISBLANK('2025'!$Q200), 0, 1), 4, if(ISBLANK('2025'!$R200), 0, 1), 5, if(ISBLANK('2025'!$S200), 0, 1), 6, if(ISBLANK('2025'!$T200), 0, 1), 7, 0))), 1, "")</f>
        <v/>
      </c>
      <c r="BC202" s="1" t="str">
        <f>IF(AND(AND(AND(BC$4&gt;='2025'!$L200,BC$4&lt;='2025'!$M200), BC$4&lt;&gt;DATE(2025,7,4)), (SWITCH(weekday(BC$4), 1, 0, 2, if(ISBLANK('2025'!$P200), 0, 1), 3, if(ISBLANK('2025'!$Q200), 0, 1), 4, if(ISBLANK('2025'!$R200), 0, 1), 5, if(ISBLANK('2025'!$S200), 0, 1), 6, if(ISBLANK('2025'!$T200), 0, 1), 7, 0))), 1, "")</f>
        <v/>
      </c>
      <c r="BD202" s="1" t="str">
        <f>IF(AND(AND(AND(BD$4&gt;='2025'!$L200,BD$4&lt;='2025'!$M200), BD$4&lt;&gt;DATE(2025,7,4)), (SWITCH(weekday(BD$4), 1, 0, 2, if(ISBLANK('2025'!$P200), 0, 1), 3, if(ISBLANK('2025'!$Q200), 0, 1), 4, if(ISBLANK('2025'!$R200), 0, 1), 5, if(ISBLANK('2025'!$S200), 0, 1), 6, if(ISBLANK('2025'!$T200), 0, 1), 7, 0))), 1, "")</f>
        <v/>
      </c>
      <c r="BE202" s="1" t="str">
        <f>IF(AND(AND(AND(BE$4&gt;='2025'!$L200,BE$4&lt;='2025'!$M200), BE$4&lt;&gt;DATE(2025,7,4)), (SWITCH(weekday(BE$4), 1, 0, 2, if(ISBLANK('2025'!$P200), 0, 1), 3, if(ISBLANK('2025'!$Q200), 0, 1), 4, if(ISBLANK('2025'!$R200), 0, 1), 5, if(ISBLANK('2025'!$S200), 0, 1), 6, if(ISBLANK('2025'!$T200), 0, 1), 7, 0))), 1, "")</f>
        <v/>
      </c>
      <c r="BF202" s="1" t="str">
        <f>IF(AND(AND(AND(BF$4&gt;='2025'!$L200,BF$4&lt;='2025'!$M200), BF$4&lt;&gt;DATE(2025,7,4)), (SWITCH(weekday(BF$4), 1, 0, 2, if(ISBLANK('2025'!$P200), 0, 1), 3, if(ISBLANK('2025'!$Q200), 0, 1), 4, if(ISBLANK('2025'!$R200), 0, 1), 5, if(ISBLANK('2025'!$S200), 0, 1), 6, if(ISBLANK('2025'!$T200), 0, 1), 7, 0))), 1, "")</f>
        <v/>
      </c>
      <c r="BG202" s="1"/>
      <c r="BH202" s="1"/>
      <c r="BI202" s="1"/>
      <c r="BJ202" s="1"/>
      <c r="BK202" s="1"/>
      <c r="BL202" s="1"/>
    </row>
    <row r="203">
      <c r="A203" s="1">
        <f t="shared" si="3"/>
        <v>203</v>
      </c>
      <c r="B203" s="1" t="str">
        <f>'2025'!D167</f>
        <v>, </v>
      </c>
      <c r="C203" s="1" t="str">
        <f>'2025'!H167</f>
        <v/>
      </c>
      <c r="D203" s="1" t="str">
        <f>IF(AND(AND(AND(D$4&gt;='2025'!$L201,D$4&lt;='2025'!$M201), D$4&lt;&gt;DATE(2025,7,4)), (SWITCH(weekday(D$4), 1, 0, 2, if(ISBLANK('2025'!$P201), 0, 1), 3, if(ISBLANK('2025'!$Q201), 0, 1), 4, if(ISBLANK('2025'!$R201), 0, 1), 5, if(ISBLANK('2025'!$S201), 0, 1), 6, if(ISBLANK('2025'!$T201), 0, 1), 7, 0))), 1, "")</f>
        <v/>
      </c>
      <c r="E203" s="1" t="str">
        <f>IF(AND(AND(AND(E$4&gt;='2025'!$L201,E$4&lt;='2025'!$M201), E$4&lt;&gt;DATE(2025,7,4)), (SWITCH(weekday(E$4), 1, 0, 2, if(ISBLANK('2025'!$P201), 0, 1), 3, if(ISBLANK('2025'!$Q201), 0, 1), 4, if(ISBLANK('2025'!$R201), 0, 1), 5, if(ISBLANK('2025'!$S201), 0, 1), 6, if(ISBLANK('2025'!$T201), 0, 1), 7, 0))), 1, "")</f>
        <v/>
      </c>
      <c r="F203" s="1" t="str">
        <f>IF(AND(AND(AND(F$4&gt;='2025'!$L201,F$4&lt;='2025'!$M201), F$4&lt;&gt;DATE(2025,7,4)), (SWITCH(weekday(F$4), 1, 0, 2, if(ISBLANK('2025'!$P201), 0, 1), 3, if(ISBLANK('2025'!$Q201), 0, 1), 4, if(ISBLANK('2025'!$R201), 0, 1), 5, if(ISBLANK('2025'!$S201), 0, 1), 6, if(ISBLANK('2025'!$T201), 0, 1), 7, 0))), 1, "")</f>
        <v/>
      </c>
      <c r="G203" s="1" t="str">
        <f>IF(AND(AND(AND(G$4&gt;='2025'!$L201,G$4&lt;='2025'!$M201), G$4&lt;&gt;DATE(2025,7,4)), (SWITCH(weekday(G$4), 1, 0, 2, if(ISBLANK('2025'!$P201), 0, 1), 3, if(ISBLANK('2025'!$Q201), 0, 1), 4, if(ISBLANK('2025'!$R201), 0, 1), 5, if(ISBLANK('2025'!$S201), 0, 1), 6, if(ISBLANK('2025'!$T201), 0, 1), 7, 0))), 1, "")</f>
        <v/>
      </c>
      <c r="H203" s="1" t="str">
        <f>IF(AND(AND(AND(H$4&gt;='2025'!$L201,H$4&lt;='2025'!$M201), H$4&lt;&gt;DATE(2025,7,4)), (SWITCH(weekday(H$4), 1, 0, 2, if(ISBLANK('2025'!$P201), 0, 1), 3, if(ISBLANK('2025'!$Q201), 0, 1), 4, if(ISBLANK('2025'!$R201), 0, 1), 5, if(ISBLANK('2025'!$S201), 0, 1), 6, if(ISBLANK('2025'!$T201), 0, 1), 7, 0))), 1, "")</f>
        <v/>
      </c>
      <c r="I203" s="1" t="str">
        <f>IF(AND(AND(AND(I$4&gt;='2025'!$L201,I$4&lt;='2025'!$M201), I$4&lt;&gt;DATE(2025,7,4)), (SWITCH(weekday(I$4), 1, 0, 2, if(ISBLANK('2025'!$P201), 0, 1), 3, if(ISBLANK('2025'!$Q201), 0, 1), 4, if(ISBLANK('2025'!$R201), 0, 1), 5, if(ISBLANK('2025'!$S201), 0, 1), 6, if(ISBLANK('2025'!$T201), 0, 1), 7, 0))), 1, "")</f>
        <v/>
      </c>
      <c r="J203" s="1" t="str">
        <f>IF(AND(AND(AND(J$4&gt;='2025'!$L201,J$4&lt;='2025'!$M201), J$4&lt;&gt;DATE(2025,7,4)), (SWITCH(weekday(J$4), 1, 0, 2, if(ISBLANK('2025'!$P201), 0, 1), 3, if(ISBLANK('2025'!$Q201), 0, 1), 4, if(ISBLANK('2025'!$R201), 0, 1), 5, if(ISBLANK('2025'!$S201), 0, 1), 6, if(ISBLANK('2025'!$T201), 0, 1), 7, 0))), 1, "")</f>
        <v/>
      </c>
      <c r="K203" s="1" t="str">
        <f>IF(AND(AND(AND(K$4&gt;='2025'!$L201,K$4&lt;='2025'!$M201), K$4&lt;&gt;DATE(2025,7,4)), (SWITCH(weekday(K$4), 1, 0, 2, if(ISBLANK('2025'!$P201), 0, 1), 3, if(ISBLANK('2025'!$Q201), 0, 1), 4, if(ISBLANK('2025'!$R201), 0, 1), 5, if(ISBLANK('2025'!$S201), 0, 1), 6, if(ISBLANK('2025'!$T201), 0, 1), 7, 0))), 1, "")</f>
        <v/>
      </c>
      <c r="L203" s="1" t="str">
        <f>IF(AND(AND(AND(L$4&gt;='2025'!$L201,L$4&lt;='2025'!$M201), L$4&lt;&gt;DATE(2025,7,4)), (SWITCH(weekday(L$4), 1, 0, 2, if(ISBLANK('2025'!$P201), 0, 1), 3, if(ISBLANK('2025'!$Q201), 0, 1), 4, if(ISBLANK('2025'!$R201), 0, 1), 5, if(ISBLANK('2025'!$S201), 0, 1), 6, if(ISBLANK('2025'!$T201), 0, 1), 7, 0))), 1, "")</f>
        <v/>
      </c>
      <c r="M203" s="1" t="str">
        <f>IF(AND(AND(AND(M$4&gt;='2025'!$L201,M$4&lt;='2025'!$M201), M$4&lt;&gt;DATE(2025,7,4)), (SWITCH(weekday(M$4), 1, 0, 2, if(ISBLANK('2025'!$P201), 0, 1), 3, if(ISBLANK('2025'!$Q201), 0, 1), 4, if(ISBLANK('2025'!$R201), 0, 1), 5, if(ISBLANK('2025'!$S201), 0, 1), 6, if(ISBLANK('2025'!$T201), 0, 1), 7, 0))), 1, "")</f>
        <v/>
      </c>
      <c r="N203" s="1" t="str">
        <f>IF(AND(AND(AND(N$4&gt;='2025'!$L201,N$4&lt;='2025'!$M201), N$4&lt;&gt;DATE(2025,7,4)), (SWITCH(weekday(N$4), 1, 0, 2, if(ISBLANK('2025'!$P201), 0, 1), 3, if(ISBLANK('2025'!$Q201), 0, 1), 4, if(ISBLANK('2025'!$R201), 0, 1), 5, if(ISBLANK('2025'!$S201), 0, 1), 6, if(ISBLANK('2025'!$T201), 0, 1), 7, 0))), 1, "")</f>
        <v/>
      </c>
      <c r="O203" s="1" t="str">
        <f>IF(AND(AND(AND(O$4&gt;='2025'!$L201,O$4&lt;='2025'!$M201), O$4&lt;&gt;DATE(2025,7,4)), (SWITCH(weekday(O$4), 1, 0, 2, if(ISBLANK('2025'!$P201), 0, 1), 3, if(ISBLANK('2025'!$Q201), 0, 1), 4, if(ISBLANK('2025'!$R201), 0, 1), 5, if(ISBLANK('2025'!$S201), 0, 1), 6, if(ISBLANK('2025'!$T201), 0, 1), 7, 0))), 1, "")</f>
        <v/>
      </c>
      <c r="P203" s="1" t="str">
        <f>IF(AND(AND(AND(P$4&gt;='2025'!$L201,P$4&lt;='2025'!$M201), P$4&lt;&gt;DATE(2025,7,4)), (SWITCH(weekday(P$4), 1, 0, 2, if(ISBLANK('2025'!$P201), 0, 1), 3, if(ISBLANK('2025'!$Q201), 0, 1), 4, if(ISBLANK('2025'!$R201), 0, 1), 5, if(ISBLANK('2025'!$S201), 0, 1), 6, if(ISBLANK('2025'!$T201), 0, 1), 7, 0))), 1, "")</f>
        <v/>
      </c>
      <c r="Q203" s="1" t="str">
        <f>IF(AND(AND(AND(Q$4&gt;='2025'!$L201,Q$4&lt;='2025'!$M201), Q$4&lt;&gt;DATE(2025,7,4)), (SWITCH(weekday(Q$4), 1, 0, 2, if(ISBLANK('2025'!$P201), 0, 1), 3, if(ISBLANK('2025'!$Q201), 0, 1), 4, if(ISBLANK('2025'!$R201), 0, 1), 5, if(ISBLANK('2025'!$S201), 0, 1), 6, if(ISBLANK('2025'!$T201), 0, 1), 7, 0))), 1, "")</f>
        <v/>
      </c>
      <c r="R203" s="1" t="str">
        <f>IF(AND(AND(AND(R$4&gt;='2025'!$L201,R$4&lt;='2025'!$M201), R$4&lt;&gt;DATE(2025,7,4)), (SWITCH(weekday(R$4), 1, 0, 2, if(ISBLANK('2025'!$P201), 0, 1), 3, if(ISBLANK('2025'!$Q201), 0, 1), 4, if(ISBLANK('2025'!$R201), 0, 1), 5, if(ISBLANK('2025'!$S201), 0, 1), 6, if(ISBLANK('2025'!$T201), 0, 1), 7, 0))), 1, "")</f>
        <v/>
      </c>
      <c r="S203" s="1" t="str">
        <f>IF(AND(AND(AND(S$4&gt;='2025'!$L201,S$4&lt;='2025'!$M201), S$4&lt;&gt;DATE(2025,7,4)), (SWITCH(weekday(S$4), 1, 0, 2, if(ISBLANK('2025'!$P201), 0, 1), 3, if(ISBLANK('2025'!$Q201), 0, 1), 4, if(ISBLANK('2025'!$R201), 0, 1), 5, if(ISBLANK('2025'!$S201), 0, 1), 6, if(ISBLANK('2025'!$T201), 0, 1), 7, 0))), 1, "")</f>
        <v/>
      </c>
      <c r="T203" s="1" t="str">
        <f>IF(AND(AND(AND(T$4&gt;='2025'!$L201,T$4&lt;='2025'!$M201), T$4&lt;&gt;DATE(2025,7,4)), (SWITCH(weekday(T$4), 1, 0, 2, if(ISBLANK('2025'!$P201), 0, 1), 3, if(ISBLANK('2025'!$Q201), 0, 1), 4, if(ISBLANK('2025'!$R201), 0, 1), 5, if(ISBLANK('2025'!$S201), 0, 1), 6, if(ISBLANK('2025'!$T201), 0, 1), 7, 0))), 1, "")</f>
        <v/>
      </c>
      <c r="U203" s="1" t="str">
        <f>IF(AND(AND(AND(U$4&gt;='2025'!$L201,U$4&lt;='2025'!$M201), U$4&lt;&gt;DATE(2025,7,4)), (SWITCH(weekday(U$4), 1, 0, 2, if(ISBLANK('2025'!$P201), 0, 1), 3, if(ISBLANK('2025'!$Q201), 0, 1), 4, if(ISBLANK('2025'!$R201), 0, 1), 5, if(ISBLANK('2025'!$S201), 0, 1), 6, if(ISBLANK('2025'!$T201), 0, 1), 7, 0))), 1, "")</f>
        <v/>
      </c>
      <c r="V203" s="1" t="str">
        <f>IF(AND(AND(AND(V$4&gt;='2025'!$L201,V$4&lt;='2025'!$M201), V$4&lt;&gt;DATE(2025,7,4)), (SWITCH(weekday(V$4), 1, 0, 2, if(ISBLANK('2025'!$P201), 0, 1), 3, if(ISBLANK('2025'!$Q201), 0, 1), 4, if(ISBLANK('2025'!$R201), 0, 1), 5, if(ISBLANK('2025'!$S201), 0, 1), 6, if(ISBLANK('2025'!$T201), 0, 1), 7, 0))), 1, "")</f>
        <v/>
      </c>
      <c r="W203" s="1" t="str">
        <f>IF(AND(AND(AND(W$4&gt;='2025'!$L201,W$4&lt;='2025'!$M201), W$4&lt;&gt;DATE(2025,7,4)), (SWITCH(weekday(W$4), 1, 0, 2, if(ISBLANK('2025'!$P201), 0, 1), 3, if(ISBLANK('2025'!$Q201), 0, 1), 4, if(ISBLANK('2025'!$R201), 0, 1), 5, if(ISBLANK('2025'!$S201), 0, 1), 6, if(ISBLANK('2025'!$T201), 0, 1), 7, 0))), 1, "")</f>
        <v/>
      </c>
      <c r="X203" s="1" t="str">
        <f>IF(AND(AND(AND(X$4&gt;='2025'!$L201,X$4&lt;='2025'!$M201), X$4&lt;&gt;DATE(2025,7,4)), (SWITCH(weekday(X$4), 1, 0, 2, if(ISBLANK('2025'!$P201), 0, 1), 3, if(ISBLANK('2025'!$Q201), 0, 1), 4, if(ISBLANK('2025'!$R201), 0, 1), 5, if(ISBLANK('2025'!$S201), 0, 1), 6, if(ISBLANK('2025'!$T201), 0, 1), 7, 0))), 1, "")</f>
        <v/>
      </c>
      <c r="Y203" s="1" t="str">
        <f>IF(AND(AND(AND(Y$4&gt;='2025'!$L201,Y$4&lt;='2025'!$M201), Y$4&lt;&gt;DATE(2025,7,4)), (SWITCH(weekday(Y$4), 1, 0, 2, if(ISBLANK('2025'!$P201), 0, 1), 3, if(ISBLANK('2025'!$Q201), 0, 1), 4, if(ISBLANK('2025'!$R201), 0, 1), 5, if(ISBLANK('2025'!$S201), 0, 1), 6, if(ISBLANK('2025'!$T201), 0, 1), 7, 0))), 1, "")</f>
        <v/>
      </c>
      <c r="Z203" s="1" t="str">
        <f>IF(AND(AND(AND(Z$4&gt;='2025'!$L201,Z$4&lt;='2025'!$M201), Z$4&lt;&gt;DATE(2025,7,4)), (SWITCH(weekday(Z$4), 1, 0, 2, if(ISBLANK('2025'!$P201), 0, 1), 3, if(ISBLANK('2025'!$Q201), 0, 1), 4, if(ISBLANK('2025'!$R201), 0, 1), 5, if(ISBLANK('2025'!$S201), 0, 1), 6, if(ISBLANK('2025'!$T201), 0, 1), 7, 0))), 1, "")</f>
        <v/>
      </c>
      <c r="AA203" s="1" t="str">
        <f>IF(AND(AND(AND(AA$4&gt;='2025'!$L201,AA$4&lt;='2025'!$M201), AA$4&lt;&gt;DATE(2025,7,4)), (SWITCH(weekday(AA$4), 1, 0, 2, if(ISBLANK('2025'!$P201), 0, 1), 3, if(ISBLANK('2025'!$Q201), 0, 1), 4, if(ISBLANK('2025'!$R201), 0, 1), 5, if(ISBLANK('2025'!$S201), 0, 1), 6, if(ISBLANK('2025'!$T201), 0, 1), 7, 0))), 1, "")</f>
        <v/>
      </c>
      <c r="AB203" s="1" t="str">
        <f>IF(AND(AND(AND(AB$4&gt;='2025'!$L201,AB$4&lt;='2025'!$M201), AB$4&lt;&gt;DATE(2025,7,4)), (SWITCH(weekday(AB$4), 1, 0, 2, if(ISBLANK('2025'!$P201), 0, 1), 3, if(ISBLANK('2025'!$Q201), 0, 1), 4, if(ISBLANK('2025'!$R201), 0, 1), 5, if(ISBLANK('2025'!$S201), 0, 1), 6, if(ISBLANK('2025'!$T201), 0, 1), 7, 0))), 1, "")</f>
        <v/>
      </c>
      <c r="AC203" s="1" t="str">
        <f>IF(AND(AND(AND(AC$4&gt;='2025'!$L201,AC$4&lt;='2025'!$M201), AC$4&lt;&gt;DATE(2025,7,4)), (SWITCH(weekday(AC$4), 1, 0, 2, if(ISBLANK('2025'!$P201), 0, 1), 3, if(ISBLANK('2025'!$Q201), 0, 1), 4, if(ISBLANK('2025'!$R201), 0, 1), 5, if(ISBLANK('2025'!$S201), 0, 1), 6, if(ISBLANK('2025'!$T201), 0, 1), 7, 0))), 1, "")</f>
        <v/>
      </c>
      <c r="AD203" s="1" t="str">
        <f>IF(AND(AND(AND(AD$4&gt;='2025'!$L201,AD$4&lt;='2025'!$M201), AD$4&lt;&gt;DATE(2025,7,4)), (SWITCH(weekday(AD$4), 1, 0, 2, if(ISBLANK('2025'!$P201), 0, 1), 3, if(ISBLANK('2025'!$Q201), 0, 1), 4, if(ISBLANK('2025'!$R201), 0, 1), 5, if(ISBLANK('2025'!$S201), 0, 1), 6, if(ISBLANK('2025'!$T201), 0, 1), 7, 0))), 1, "")</f>
        <v/>
      </c>
      <c r="AE203" s="1" t="str">
        <f>IF(AND(AND(AND(AE$4&gt;='2025'!$L201,AE$4&lt;='2025'!$M201), AE$4&lt;&gt;DATE(2025,7,4)), (SWITCH(weekday(AE$4), 1, 0, 2, if(ISBLANK('2025'!$P201), 0, 1), 3, if(ISBLANK('2025'!$Q201), 0, 1), 4, if(ISBLANK('2025'!$R201), 0, 1), 5, if(ISBLANK('2025'!$S201), 0, 1), 6, if(ISBLANK('2025'!$T201), 0, 1), 7, 0))), 1, "")</f>
        <v/>
      </c>
      <c r="AF203" s="1" t="str">
        <f>IF(AND(AND(AND(AF$4&gt;='2025'!$L201,AF$4&lt;='2025'!$M201), AF$4&lt;&gt;DATE(2025,7,4)), (SWITCH(weekday(AF$4), 1, 0, 2, if(ISBLANK('2025'!$P201), 0, 1), 3, if(ISBLANK('2025'!$Q201), 0, 1), 4, if(ISBLANK('2025'!$R201), 0, 1), 5, if(ISBLANK('2025'!$S201), 0, 1), 6, if(ISBLANK('2025'!$T201), 0, 1), 7, 0))), 1, "")</f>
        <v/>
      </c>
      <c r="AG203" s="1" t="str">
        <f>IF(AND(AND(AND(AG$4&gt;='2025'!$L201,AG$4&lt;='2025'!$M201), AG$4&lt;&gt;DATE(2025,7,4)), (SWITCH(weekday(AG$4), 1, 0, 2, if(ISBLANK('2025'!$P201), 0, 1), 3, if(ISBLANK('2025'!$Q201), 0, 1), 4, if(ISBLANK('2025'!$R201), 0, 1), 5, if(ISBLANK('2025'!$S201), 0, 1), 6, if(ISBLANK('2025'!$T201), 0, 1), 7, 0))), 1, "")</f>
        <v/>
      </c>
      <c r="AH203" s="1" t="str">
        <f>IF(AND(AND(AND(AH$4&gt;='2025'!$L201,AH$4&lt;='2025'!$M201), AH$4&lt;&gt;DATE(2025,7,4)), (SWITCH(weekday(AH$4), 1, 0, 2, if(ISBLANK('2025'!$P201), 0, 1), 3, if(ISBLANK('2025'!$Q201), 0, 1), 4, if(ISBLANK('2025'!$R201), 0, 1), 5, if(ISBLANK('2025'!$S201), 0, 1), 6, if(ISBLANK('2025'!$T201), 0, 1), 7, 0))), 1, "")</f>
        <v/>
      </c>
      <c r="AI203" s="1" t="str">
        <f>IF(AND(AND(AND(AI$4&gt;='2025'!$L201,AI$4&lt;='2025'!$M201), AI$4&lt;&gt;DATE(2025,7,4)), (SWITCH(weekday(AI$4), 1, 0, 2, if(ISBLANK('2025'!$P201), 0, 1), 3, if(ISBLANK('2025'!$Q201), 0, 1), 4, if(ISBLANK('2025'!$R201), 0, 1), 5, if(ISBLANK('2025'!$S201), 0, 1), 6, if(ISBLANK('2025'!$T201), 0, 1), 7, 0))), 1, "")</f>
        <v/>
      </c>
      <c r="AJ203" s="1" t="str">
        <f>IF(AND(AND(AND(AJ$4&gt;='2025'!$L201,AJ$4&lt;='2025'!$M201), AJ$4&lt;&gt;DATE(2025,7,4)), (SWITCH(weekday(AJ$4), 1, 0, 2, if(ISBLANK('2025'!$P201), 0, 1), 3, if(ISBLANK('2025'!$Q201), 0, 1), 4, if(ISBLANK('2025'!$R201), 0, 1), 5, if(ISBLANK('2025'!$S201), 0, 1), 6, if(ISBLANK('2025'!$T201), 0, 1), 7, 0))), 1, "")</f>
        <v/>
      </c>
      <c r="AK203" s="1" t="str">
        <f>IF(AND(AND(AND(AK$4&gt;='2025'!$L201,AK$4&lt;='2025'!$M201), AK$4&lt;&gt;DATE(2025,7,4)), (SWITCH(weekday(AK$4), 1, 0, 2, if(ISBLANK('2025'!$P201), 0, 1), 3, if(ISBLANK('2025'!$Q201), 0, 1), 4, if(ISBLANK('2025'!$R201), 0, 1), 5, if(ISBLANK('2025'!$S201), 0, 1), 6, if(ISBLANK('2025'!$T201), 0, 1), 7, 0))), 1, "")</f>
        <v/>
      </c>
      <c r="AL203" s="1" t="str">
        <f>IF(AND(AND(AND(AL$4&gt;='2025'!$L201,AL$4&lt;='2025'!$M201), AL$4&lt;&gt;DATE(2025,7,4)), (SWITCH(weekday(AL$4), 1, 0, 2, if(ISBLANK('2025'!$P201), 0, 1), 3, if(ISBLANK('2025'!$Q201), 0, 1), 4, if(ISBLANK('2025'!$R201), 0, 1), 5, if(ISBLANK('2025'!$S201), 0, 1), 6, if(ISBLANK('2025'!$T201), 0, 1), 7, 0))), 1, "")</f>
        <v/>
      </c>
      <c r="AM203" s="1" t="str">
        <f>IF(AND(AND(AND(AM$4&gt;='2025'!$L201,AM$4&lt;='2025'!$M201), AM$4&lt;&gt;DATE(2025,7,4)), (SWITCH(weekday(AM$4), 1, 0, 2, if(ISBLANK('2025'!$P201), 0, 1), 3, if(ISBLANK('2025'!$Q201), 0, 1), 4, if(ISBLANK('2025'!$R201), 0, 1), 5, if(ISBLANK('2025'!$S201), 0, 1), 6, if(ISBLANK('2025'!$T201), 0, 1), 7, 0))), 1, "")</f>
        <v/>
      </c>
      <c r="AN203" s="1" t="str">
        <f>IF(AND(AND(AND(AN$4&gt;='2025'!$L201,AN$4&lt;='2025'!$M201), AN$4&lt;&gt;DATE(2025,7,4)), (SWITCH(weekday(AN$4), 1, 0, 2, if(ISBLANK('2025'!$P201), 0, 1), 3, if(ISBLANK('2025'!$Q201), 0, 1), 4, if(ISBLANK('2025'!$R201), 0, 1), 5, if(ISBLANK('2025'!$S201), 0, 1), 6, if(ISBLANK('2025'!$T201), 0, 1), 7, 0))), 1, "")</f>
        <v/>
      </c>
      <c r="AO203" s="1" t="str">
        <f>IF(AND(AND(AND(AO$4&gt;='2025'!$L201,AO$4&lt;='2025'!$M201), AO$4&lt;&gt;DATE(2025,7,4)), (SWITCH(weekday(AO$4), 1, 0, 2, if(ISBLANK('2025'!$P201), 0, 1), 3, if(ISBLANK('2025'!$Q201), 0, 1), 4, if(ISBLANK('2025'!$R201), 0, 1), 5, if(ISBLANK('2025'!$S201), 0, 1), 6, if(ISBLANK('2025'!$T201), 0, 1), 7, 0))), 1, "")</f>
        <v/>
      </c>
      <c r="AP203" s="1" t="str">
        <f>IF(AND(AND(AND(AP$4&gt;='2025'!$L201,AP$4&lt;='2025'!$M201), AP$4&lt;&gt;DATE(2025,7,4)), (SWITCH(weekday(AP$4), 1, 0, 2, if(ISBLANK('2025'!$P201), 0, 1), 3, if(ISBLANK('2025'!$Q201), 0, 1), 4, if(ISBLANK('2025'!$R201), 0, 1), 5, if(ISBLANK('2025'!$S201), 0, 1), 6, if(ISBLANK('2025'!$T201), 0, 1), 7, 0))), 1, "")</f>
        <v/>
      </c>
      <c r="AQ203" s="1" t="str">
        <f>IF(AND(AND(AND(AQ$4&gt;='2025'!$L201,AQ$4&lt;='2025'!$M201), AQ$4&lt;&gt;DATE(2025,7,4)), (SWITCH(weekday(AQ$4), 1, 0, 2, if(ISBLANK('2025'!$P201), 0, 1), 3, if(ISBLANK('2025'!$Q201), 0, 1), 4, if(ISBLANK('2025'!$R201), 0, 1), 5, if(ISBLANK('2025'!$S201), 0, 1), 6, if(ISBLANK('2025'!$T201), 0, 1), 7, 0))), 1, "")</f>
        <v/>
      </c>
      <c r="AR203" s="1" t="str">
        <f>IF(AND(AND(AND(AR$4&gt;='2025'!$L201,AR$4&lt;='2025'!$M201), AR$4&lt;&gt;DATE(2025,7,4)), (SWITCH(weekday(AR$4), 1, 0, 2, if(ISBLANK('2025'!$P201), 0, 1), 3, if(ISBLANK('2025'!$Q201), 0, 1), 4, if(ISBLANK('2025'!$R201), 0, 1), 5, if(ISBLANK('2025'!$S201), 0, 1), 6, if(ISBLANK('2025'!$T201), 0, 1), 7, 0))), 1, "")</f>
        <v/>
      </c>
      <c r="AS203" s="1" t="str">
        <f>IF(AND(AND(AND(AS$4&gt;='2025'!$L201,AS$4&lt;='2025'!$M201), AS$4&lt;&gt;DATE(2025,7,4)), (SWITCH(weekday(AS$4), 1, 0, 2, if(ISBLANK('2025'!$P201), 0, 1), 3, if(ISBLANK('2025'!$Q201), 0, 1), 4, if(ISBLANK('2025'!$R201), 0, 1), 5, if(ISBLANK('2025'!$S201), 0, 1), 6, if(ISBLANK('2025'!$T201), 0, 1), 7, 0))), 1, "")</f>
        <v/>
      </c>
      <c r="AT203" s="1" t="str">
        <f>IF(AND(AND(AND(AT$4&gt;='2025'!$L201,AT$4&lt;='2025'!$M201), AT$4&lt;&gt;DATE(2025,7,4)), (SWITCH(weekday(AT$4), 1, 0, 2, if(ISBLANK('2025'!$P201), 0, 1), 3, if(ISBLANK('2025'!$Q201), 0, 1), 4, if(ISBLANK('2025'!$R201), 0, 1), 5, if(ISBLANK('2025'!$S201), 0, 1), 6, if(ISBLANK('2025'!$T201), 0, 1), 7, 0))), 1, "")</f>
        <v/>
      </c>
      <c r="AU203" s="1" t="str">
        <f>IF(AND(AND(AND(AU$4&gt;='2025'!$L201,AU$4&lt;='2025'!$M201), AU$4&lt;&gt;DATE(2025,7,4)), (SWITCH(weekday(AU$4), 1, 0, 2, if(ISBLANK('2025'!$P201), 0, 1), 3, if(ISBLANK('2025'!$Q201), 0, 1), 4, if(ISBLANK('2025'!$R201), 0, 1), 5, if(ISBLANK('2025'!$S201), 0, 1), 6, if(ISBLANK('2025'!$T201), 0, 1), 7, 0))), 1, "")</f>
        <v/>
      </c>
      <c r="AV203" s="1" t="str">
        <f>IF(AND(AND(AND(AV$4&gt;='2025'!$L201,AV$4&lt;='2025'!$M201), AV$4&lt;&gt;DATE(2025,7,4)), (SWITCH(weekday(AV$4), 1, 0, 2, if(ISBLANK('2025'!$P201), 0, 1), 3, if(ISBLANK('2025'!$Q201), 0, 1), 4, if(ISBLANK('2025'!$R201), 0, 1), 5, if(ISBLANK('2025'!$S201), 0, 1), 6, if(ISBLANK('2025'!$T201), 0, 1), 7, 0))), 1, "")</f>
        <v/>
      </c>
      <c r="AW203" s="1" t="str">
        <f>IF(AND(AND(AND(AW$4&gt;='2025'!$L201,AW$4&lt;='2025'!$M201), AW$4&lt;&gt;DATE(2025,7,4)), (SWITCH(weekday(AW$4), 1, 0, 2, if(ISBLANK('2025'!$P201), 0, 1), 3, if(ISBLANK('2025'!$Q201), 0, 1), 4, if(ISBLANK('2025'!$R201), 0, 1), 5, if(ISBLANK('2025'!$S201), 0, 1), 6, if(ISBLANK('2025'!$T201), 0, 1), 7, 0))), 1, "")</f>
        <v/>
      </c>
      <c r="AX203" s="1" t="str">
        <f>IF(AND(AND(AND(AX$4&gt;='2025'!$L201,AX$4&lt;='2025'!$M201), AX$4&lt;&gt;DATE(2025,7,4)), (SWITCH(weekday(AX$4), 1, 0, 2, if(ISBLANK('2025'!$P201), 0, 1), 3, if(ISBLANK('2025'!$Q201), 0, 1), 4, if(ISBLANK('2025'!$R201), 0, 1), 5, if(ISBLANK('2025'!$S201), 0, 1), 6, if(ISBLANK('2025'!$T201), 0, 1), 7, 0))), 1, "")</f>
        <v/>
      </c>
      <c r="AY203" s="1" t="str">
        <f>IF(AND(AND(AND(AY$4&gt;='2025'!$L201,AY$4&lt;='2025'!$M201), AY$4&lt;&gt;DATE(2025,7,4)), (SWITCH(weekday(AY$4), 1, 0, 2, if(ISBLANK('2025'!$P201), 0, 1), 3, if(ISBLANK('2025'!$Q201), 0, 1), 4, if(ISBLANK('2025'!$R201), 0, 1), 5, if(ISBLANK('2025'!$S201), 0, 1), 6, if(ISBLANK('2025'!$T201), 0, 1), 7, 0))), 1, "")</f>
        <v/>
      </c>
      <c r="AZ203" s="1" t="str">
        <f>IF(AND(AND(AND(AZ$4&gt;='2025'!$L201,AZ$4&lt;='2025'!$M201), AZ$4&lt;&gt;DATE(2025,7,4)), (SWITCH(weekday(AZ$4), 1, 0, 2, if(ISBLANK('2025'!$P201), 0, 1), 3, if(ISBLANK('2025'!$Q201), 0, 1), 4, if(ISBLANK('2025'!$R201), 0, 1), 5, if(ISBLANK('2025'!$S201), 0, 1), 6, if(ISBLANK('2025'!$T201), 0, 1), 7, 0))), 1, "")</f>
        <v/>
      </c>
      <c r="BA203" s="1" t="str">
        <f>IF(AND(AND(AND(BA$4&gt;='2025'!$L201,BA$4&lt;='2025'!$M201), BA$4&lt;&gt;DATE(2025,7,4)), (SWITCH(weekday(BA$4), 1, 0, 2, if(ISBLANK('2025'!$P201), 0, 1), 3, if(ISBLANK('2025'!$Q201), 0, 1), 4, if(ISBLANK('2025'!$R201), 0, 1), 5, if(ISBLANK('2025'!$S201), 0, 1), 6, if(ISBLANK('2025'!$T201), 0, 1), 7, 0))), 1, "")</f>
        <v/>
      </c>
      <c r="BB203" s="1" t="str">
        <f>IF(AND(AND(AND(BB$4&gt;='2025'!$L201,BB$4&lt;='2025'!$M201), BB$4&lt;&gt;DATE(2025,7,4)), (SWITCH(weekday(BB$4), 1, 0, 2, if(ISBLANK('2025'!$P201), 0, 1), 3, if(ISBLANK('2025'!$Q201), 0, 1), 4, if(ISBLANK('2025'!$R201), 0, 1), 5, if(ISBLANK('2025'!$S201), 0, 1), 6, if(ISBLANK('2025'!$T201), 0, 1), 7, 0))), 1, "")</f>
        <v/>
      </c>
      <c r="BC203" s="1" t="str">
        <f>IF(AND(AND(AND(BC$4&gt;='2025'!$L201,BC$4&lt;='2025'!$M201), BC$4&lt;&gt;DATE(2025,7,4)), (SWITCH(weekday(BC$4), 1, 0, 2, if(ISBLANK('2025'!$P201), 0, 1), 3, if(ISBLANK('2025'!$Q201), 0, 1), 4, if(ISBLANK('2025'!$R201), 0, 1), 5, if(ISBLANK('2025'!$S201), 0, 1), 6, if(ISBLANK('2025'!$T201), 0, 1), 7, 0))), 1, "")</f>
        <v/>
      </c>
      <c r="BD203" s="1" t="str">
        <f>IF(AND(AND(AND(BD$4&gt;='2025'!$L201,BD$4&lt;='2025'!$M201), BD$4&lt;&gt;DATE(2025,7,4)), (SWITCH(weekday(BD$4), 1, 0, 2, if(ISBLANK('2025'!$P201), 0, 1), 3, if(ISBLANK('2025'!$Q201), 0, 1), 4, if(ISBLANK('2025'!$R201), 0, 1), 5, if(ISBLANK('2025'!$S201), 0, 1), 6, if(ISBLANK('2025'!$T201), 0, 1), 7, 0))), 1, "")</f>
        <v/>
      </c>
      <c r="BE203" s="1" t="str">
        <f>IF(AND(AND(AND(BE$4&gt;='2025'!$L201,BE$4&lt;='2025'!$M201), BE$4&lt;&gt;DATE(2025,7,4)), (SWITCH(weekday(BE$4), 1, 0, 2, if(ISBLANK('2025'!$P201), 0, 1), 3, if(ISBLANK('2025'!$Q201), 0, 1), 4, if(ISBLANK('2025'!$R201), 0, 1), 5, if(ISBLANK('2025'!$S201), 0, 1), 6, if(ISBLANK('2025'!$T201), 0, 1), 7, 0))), 1, "")</f>
        <v/>
      </c>
      <c r="BF203" s="1" t="str">
        <f>IF(AND(AND(AND(BF$4&gt;='2025'!$L201,BF$4&lt;='2025'!$M201), BF$4&lt;&gt;DATE(2025,7,4)), (SWITCH(weekday(BF$4), 1, 0, 2, if(ISBLANK('2025'!$P201), 0, 1), 3, if(ISBLANK('2025'!$Q201), 0, 1), 4, if(ISBLANK('2025'!$R201), 0, 1), 5, if(ISBLANK('2025'!$S201), 0, 1), 6, if(ISBLANK('2025'!$T201), 0, 1), 7, 0))), 1, "")</f>
        <v/>
      </c>
      <c r="BG203" s="1"/>
      <c r="BH203" s="1"/>
      <c r="BI203" s="1"/>
      <c r="BJ203" s="1"/>
      <c r="BK203" s="1"/>
      <c r="BL203" s="1"/>
    </row>
    <row r="204">
      <c r="A204" s="1">
        <f t="shared" si="3"/>
        <v>204</v>
      </c>
      <c r="B204" s="1" t="str">
        <f>'2025'!D168</f>
        <v>, </v>
      </c>
      <c r="C204" s="1" t="str">
        <f>'2025'!H168</f>
        <v/>
      </c>
      <c r="D204" s="1" t="str">
        <f>IF(AND(AND(AND(D$4&gt;='2025'!$L202,D$4&lt;='2025'!$M202), D$4&lt;&gt;DATE(2025,7,4)), (SWITCH(weekday(D$4), 1, 0, 2, if(ISBLANK('2025'!$P202), 0, 1), 3, if(ISBLANK('2025'!$Q202), 0, 1), 4, if(ISBLANK('2025'!$R202), 0, 1), 5, if(ISBLANK('2025'!$S202), 0, 1), 6, if(ISBLANK('2025'!$T202), 0, 1), 7, 0))), 1, "")</f>
        <v/>
      </c>
      <c r="E204" s="1" t="str">
        <f>IF(AND(AND(AND(E$4&gt;='2025'!$L202,E$4&lt;='2025'!$M202), E$4&lt;&gt;DATE(2025,7,4)), (SWITCH(weekday(E$4), 1, 0, 2, if(ISBLANK('2025'!$P202), 0, 1), 3, if(ISBLANK('2025'!$Q202), 0, 1), 4, if(ISBLANK('2025'!$R202), 0, 1), 5, if(ISBLANK('2025'!$S202), 0, 1), 6, if(ISBLANK('2025'!$T202), 0, 1), 7, 0))), 1, "")</f>
        <v/>
      </c>
      <c r="F204" s="1" t="str">
        <f>IF(AND(AND(AND(F$4&gt;='2025'!$L202,F$4&lt;='2025'!$M202), F$4&lt;&gt;DATE(2025,7,4)), (SWITCH(weekday(F$4), 1, 0, 2, if(ISBLANK('2025'!$P202), 0, 1), 3, if(ISBLANK('2025'!$Q202), 0, 1), 4, if(ISBLANK('2025'!$R202), 0, 1), 5, if(ISBLANK('2025'!$S202), 0, 1), 6, if(ISBLANK('2025'!$T202), 0, 1), 7, 0))), 1, "")</f>
        <v/>
      </c>
      <c r="G204" s="1" t="str">
        <f>IF(AND(AND(AND(G$4&gt;='2025'!$L202,G$4&lt;='2025'!$M202), G$4&lt;&gt;DATE(2025,7,4)), (SWITCH(weekday(G$4), 1, 0, 2, if(ISBLANK('2025'!$P202), 0, 1), 3, if(ISBLANK('2025'!$Q202), 0, 1), 4, if(ISBLANK('2025'!$R202), 0, 1), 5, if(ISBLANK('2025'!$S202), 0, 1), 6, if(ISBLANK('2025'!$T202), 0, 1), 7, 0))), 1, "")</f>
        <v/>
      </c>
      <c r="H204" s="1" t="str">
        <f>IF(AND(AND(AND(H$4&gt;='2025'!$L202,H$4&lt;='2025'!$M202), H$4&lt;&gt;DATE(2025,7,4)), (SWITCH(weekday(H$4), 1, 0, 2, if(ISBLANK('2025'!$P202), 0, 1), 3, if(ISBLANK('2025'!$Q202), 0, 1), 4, if(ISBLANK('2025'!$R202), 0, 1), 5, if(ISBLANK('2025'!$S202), 0, 1), 6, if(ISBLANK('2025'!$T202), 0, 1), 7, 0))), 1, "")</f>
        <v/>
      </c>
      <c r="I204" s="1" t="str">
        <f>IF(AND(AND(AND(I$4&gt;='2025'!$L202,I$4&lt;='2025'!$M202), I$4&lt;&gt;DATE(2025,7,4)), (SWITCH(weekday(I$4), 1, 0, 2, if(ISBLANK('2025'!$P202), 0, 1), 3, if(ISBLANK('2025'!$Q202), 0, 1), 4, if(ISBLANK('2025'!$R202), 0, 1), 5, if(ISBLANK('2025'!$S202), 0, 1), 6, if(ISBLANK('2025'!$T202), 0, 1), 7, 0))), 1, "")</f>
        <v/>
      </c>
      <c r="J204" s="1" t="str">
        <f>IF(AND(AND(AND(J$4&gt;='2025'!$L202,J$4&lt;='2025'!$M202), J$4&lt;&gt;DATE(2025,7,4)), (SWITCH(weekday(J$4), 1, 0, 2, if(ISBLANK('2025'!$P202), 0, 1), 3, if(ISBLANK('2025'!$Q202), 0, 1), 4, if(ISBLANK('2025'!$R202), 0, 1), 5, if(ISBLANK('2025'!$S202), 0, 1), 6, if(ISBLANK('2025'!$T202), 0, 1), 7, 0))), 1, "")</f>
        <v/>
      </c>
      <c r="K204" s="1" t="str">
        <f>IF(AND(AND(AND(K$4&gt;='2025'!$L202,K$4&lt;='2025'!$M202), K$4&lt;&gt;DATE(2025,7,4)), (SWITCH(weekday(K$4), 1, 0, 2, if(ISBLANK('2025'!$P202), 0, 1), 3, if(ISBLANK('2025'!$Q202), 0, 1), 4, if(ISBLANK('2025'!$R202), 0, 1), 5, if(ISBLANK('2025'!$S202), 0, 1), 6, if(ISBLANK('2025'!$T202), 0, 1), 7, 0))), 1, "")</f>
        <v/>
      </c>
      <c r="L204" s="1" t="str">
        <f>IF(AND(AND(AND(L$4&gt;='2025'!$L202,L$4&lt;='2025'!$M202), L$4&lt;&gt;DATE(2025,7,4)), (SWITCH(weekday(L$4), 1, 0, 2, if(ISBLANK('2025'!$P202), 0, 1), 3, if(ISBLANK('2025'!$Q202), 0, 1), 4, if(ISBLANK('2025'!$R202), 0, 1), 5, if(ISBLANK('2025'!$S202), 0, 1), 6, if(ISBLANK('2025'!$T202), 0, 1), 7, 0))), 1, "")</f>
        <v/>
      </c>
      <c r="M204" s="1" t="str">
        <f>IF(AND(AND(AND(M$4&gt;='2025'!$L202,M$4&lt;='2025'!$M202), M$4&lt;&gt;DATE(2025,7,4)), (SWITCH(weekday(M$4), 1, 0, 2, if(ISBLANK('2025'!$P202), 0, 1), 3, if(ISBLANK('2025'!$Q202), 0, 1), 4, if(ISBLANK('2025'!$R202), 0, 1), 5, if(ISBLANK('2025'!$S202), 0, 1), 6, if(ISBLANK('2025'!$T202), 0, 1), 7, 0))), 1, "")</f>
        <v/>
      </c>
      <c r="N204" s="1" t="str">
        <f>IF(AND(AND(AND(N$4&gt;='2025'!$L202,N$4&lt;='2025'!$M202), N$4&lt;&gt;DATE(2025,7,4)), (SWITCH(weekday(N$4), 1, 0, 2, if(ISBLANK('2025'!$P202), 0, 1), 3, if(ISBLANK('2025'!$Q202), 0, 1), 4, if(ISBLANK('2025'!$R202), 0, 1), 5, if(ISBLANK('2025'!$S202), 0, 1), 6, if(ISBLANK('2025'!$T202), 0, 1), 7, 0))), 1, "")</f>
        <v/>
      </c>
      <c r="O204" s="1" t="str">
        <f>IF(AND(AND(AND(O$4&gt;='2025'!$L202,O$4&lt;='2025'!$M202), O$4&lt;&gt;DATE(2025,7,4)), (SWITCH(weekday(O$4), 1, 0, 2, if(ISBLANK('2025'!$P202), 0, 1), 3, if(ISBLANK('2025'!$Q202), 0, 1), 4, if(ISBLANK('2025'!$R202), 0, 1), 5, if(ISBLANK('2025'!$S202), 0, 1), 6, if(ISBLANK('2025'!$T202), 0, 1), 7, 0))), 1, "")</f>
        <v/>
      </c>
      <c r="P204" s="1" t="str">
        <f>IF(AND(AND(AND(P$4&gt;='2025'!$L202,P$4&lt;='2025'!$M202), P$4&lt;&gt;DATE(2025,7,4)), (SWITCH(weekday(P$4), 1, 0, 2, if(ISBLANK('2025'!$P202), 0, 1), 3, if(ISBLANK('2025'!$Q202), 0, 1), 4, if(ISBLANK('2025'!$R202), 0, 1), 5, if(ISBLANK('2025'!$S202), 0, 1), 6, if(ISBLANK('2025'!$T202), 0, 1), 7, 0))), 1, "")</f>
        <v/>
      </c>
      <c r="Q204" s="1" t="str">
        <f>IF(AND(AND(AND(Q$4&gt;='2025'!$L202,Q$4&lt;='2025'!$M202), Q$4&lt;&gt;DATE(2025,7,4)), (SWITCH(weekday(Q$4), 1, 0, 2, if(ISBLANK('2025'!$P202), 0, 1), 3, if(ISBLANK('2025'!$Q202), 0, 1), 4, if(ISBLANK('2025'!$R202), 0, 1), 5, if(ISBLANK('2025'!$S202), 0, 1), 6, if(ISBLANK('2025'!$T202), 0, 1), 7, 0))), 1, "")</f>
        <v/>
      </c>
      <c r="R204" s="1" t="str">
        <f>IF(AND(AND(AND(R$4&gt;='2025'!$L202,R$4&lt;='2025'!$M202), R$4&lt;&gt;DATE(2025,7,4)), (SWITCH(weekday(R$4), 1, 0, 2, if(ISBLANK('2025'!$P202), 0, 1), 3, if(ISBLANK('2025'!$Q202), 0, 1), 4, if(ISBLANK('2025'!$R202), 0, 1), 5, if(ISBLANK('2025'!$S202), 0, 1), 6, if(ISBLANK('2025'!$T202), 0, 1), 7, 0))), 1, "")</f>
        <v/>
      </c>
      <c r="S204" s="1" t="str">
        <f>IF(AND(AND(AND(S$4&gt;='2025'!$L202,S$4&lt;='2025'!$M202), S$4&lt;&gt;DATE(2025,7,4)), (SWITCH(weekday(S$4), 1, 0, 2, if(ISBLANK('2025'!$P202), 0, 1), 3, if(ISBLANK('2025'!$Q202), 0, 1), 4, if(ISBLANK('2025'!$R202), 0, 1), 5, if(ISBLANK('2025'!$S202), 0, 1), 6, if(ISBLANK('2025'!$T202), 0, 1), 7, 0))), 1, "")</f>
        <v/>
      </c>
      <c r="T204" s="1" t="str">
        <f>IF(AND(AND(AND(T$4&gt;='2025'!$L202,T$4&lt;='2025'!$M202), T$4&lt;&gt;DATE(2025,7,4)), (SWITCH(weekday(T$4), 1, 0, 2, if(ISBLANK('2025'!$P202), 0, 1), 3, if(ISBLANK('2025'!$Q202), 0, 1), 4, if(ISBLANK('2025'!$R202), 0, 1), 5, if(ISBLANK('2025'!$S202), 0, 1), 6, if(ISBLANK('2025'!$T202), 0, 1), 7, 0))), 1, "")</f>
        <v/>
      </c>
      <c r="U204" s="1" t="str">
        <f>IF(AND(AND(AND(U$4&gt;='2025'!$L202,U$4&lt;='2025'!$M202), U$4&lt;&gt;DATE(2025,7,4)), (SWITCH(weekday(U$4), 1, 0, 2, if(ISBLANK('2025'!$P202), 0, 1), 3, if(ISBLANK('2025'!$Q202), 0, 1), 4, if(ISBLANK('2025'!$R202), 0, 1), 5, if(ISBLANK('2025'!$S202), 0, 1), 6, if(ISBLANK('2025'!$T202), 0, 1), 7, 0))), 1, "")</f>
        <v/>
      </c>
      <c r="V204" s="1" t="str">
        <f>IF(AND(AND(AND(V$4&gt;='2025'!$L202,V$4&lt;='2025'!$M202), V$4&lt;&gt;DATE(2025,7,4)), (SWITCH(weekday(V$4), 1, 0, 2, if(ISBLANK('2025'!$P202), 0, 1), 3, if(ISBLANK('2025'!$Q202), 0, 1), 4, if(ISBLANK('2025'!$R202), 0, 1), 5, if(ISBLANK('2025'!$S202), 0, 1), 6, if(ISBLANK('2025'!$T202), 0, 1), 7, 0))), 1, "")</f>
        <v/>
      </c>
      <c r="W204" s="1" t="str">
        <f>IF(AND(AND(AND(W$4&gt;='2025'!$L202,W$4&lt;='2025'!$M202), W$4&lt;&gt;DATE(2025,7,4)), (SWITCH(weekday(W$4), 1, 0, 2, if(ISBLANK('2025'!$P202), 0, 1), 3, if(ISBLANK('2025'!$Q202), 0, 1), 4, if(ISBLANK('2025'!$R202), 0, 1), 5, if(ISBLANK('2025'!$S202), 0, 1), 6, if(ISBLANK('2025'!$T202), 0, 1), 7, 0))), 1, "")</f>
        <v/>
      </c>
      <c r="X204" s="1" t="str">
        <f>IF(AND(AND(AND(X$4&gt;='2025'!$L202,X$4&lt;='2025'!$M202), X$4&lt;&gt;DATE(2025,7,4)), (SWITCH(weekday(X$4), 1, 0, 2, if(ISBLANK('2025'!$P202), 0, 1), 3, if(ISBLANK('2025'!$Q202), 0, 1), 4, if(ISBLANK('2025'!$R202), 0, 1), 5, if(ISBLANK('2025'!$S202), 0, 1), 6, if(ISBLANK('2025'!$T202), 0, 1), 7, 0))), 1, "")</f>
        <v/>
      </c>
      <c r="Y204" s="1" t="str">
        <f>IF(AND(AND(AND(Y$4&gt;='2025'!$L202,Y$4&lt;='2025'!$M202), Y$4&lt;&gt;DATE(2025,7,4)), (SWITCH(weekday(Y$4), 1, 0, 2, if(ISBLANK('2025'!$P202), 0, 1), 3, if(ISBLANK('2025'!$Q202), 0, 1), 4, if(ISBLANK('2025'!$R202), 0, 1), 5, if(ISBLANK('2025'!$S202), 0, 1), 6, if(ISBLANK('2025'!$T202), 0, 1), 7, 0))), 1, "")</f>
        <v/>
      </c>
      <c r="Z204" s="1" t="str">
        <f>IF(AND(AND(AND(Z$4&gt;='2025'!$L202,Z$4&lt;='2025'!$M202), Z$4&lt;&gt;DATE(2025,7,4)), (SWITCH(weekday(Z$4), 1, 0, 2, if(ISBLANK('2025'!$P202), 0, 1), 3, if(ISBLANK('2025'!$Q202), 0, 1), 4, if(ISBLANK('2025'!$R202), 0, 1), 5, if(ISBLANK('2025'!$S202), 0, 1), 6, if(ISBLANK('2025'!$T202), 0, 1), 7, 0))), 1, "")</f>
        <v/>
      </c>
      <c r="AA204" s="1" t="str">
        <f>IF(AND(AND(AND(AA$4&gt;='2025'!$L202,AA$4&lt;='2025'!$M202), AA$4&lt;&gt;DATE(2025,7,4)), (SWITCH(weekday(AA$4), 1, 0, 2, if(ISBLANK('2025'!$P202), 0, 1), 3, if(ISBLANK('2025'!$Q202), 0, 1), 4, if(ISBLANK('2025'!$R202), 0, 1), 5, if(ISBLANK('2025'!$S202), 0, 1), 6, if(ISBLANK('2025'!$T202), 0, 1), 7, 0))), 1, "")</f>
        <v/>
      </c>
      <c r="AB204" s="1" t="str">
        <f>IF(AND(AND(AND(AB$4&gt;='2025'!$L202,AB$4&lt;='2025'!$M202), AB$4&lt;&gt;DATE(2025,7,4)), (SWITCH(weekday(AB$4), 1, 0, 2, if(ISBLANK('2025'!$P202), 0, 1), 3, if(ISBLANK('2025'!$Q202), 0, 1), 4, if(ISBLANK('2025'!$R202), 0, 1), 5, if(ISBLANK('2025'!$S202), 0, 1), 6, if(ISBLANK('2025'!$T202), 0, 1), 7, 0))), 1, "")</f>
        <v/>
      </c>
      <c r="AC204" s="1" t="str">
        <f>IF(AND(AND(AND(AC$4&gt;='2025'!$L202,AC$4&lt;='2025'!$M202), AC$4&lt;&gt;DATE(2025,7,4)), (SWITCH(weekday(AC$4), 1, 0, 2, if(ISBLANK('2025'!$P202), 0, 1), 3, if(ISBLANK('2025'!$Q202), 0, 1), 4, if(ISBLANK('2025'!$R202), 0, 1), 5, if(ISBLANK('2025'!$S202), 0, 1), 6, if(ISBLANK('2025'!$T202), 0, 1), 7, 0))), 1, "")</f>
        <v/>
      </c>
      <c r="AD204" s="1" t="str">
        <f>IF(AND(AND(AND(AD$4&gt;='2025'!$L202,AD$4&lt;='2025'!$M202), AD$4&lt;&gt;DATE(2025,7,4)), (SWITCH(weekday(AD$4), 1, 0, 2, if(ISBLANK('2025'!$P202), 0, 1), 3, if(ISBLANK('2025'!$Q202), 0, 1), 4, if(ISBLANK('2025'!$R202), 0, 1), 5, if(ISBLANK('2025'!$S202), 0, 1), 6, if(ISBLANK('2025'!$T202), 0, 1), 7, 0))), 1, "")</f>
        <v/>
      </c>
      <c r="AE204" s="1" t="str">
        <f>IF(AND(AND(AND(AE$4&gt;='2025'!$L202,AE$4&lt;='2025'!$M202), AE$4&lt;&gt;DATE(2025,7,4)), (SWITCH(weekday(AE$4), 1, 0, 2, if(ISBLANK('2025'!$P202), 0, 1), 3, if(ISBLANK('2025'!$Q202), 0, 1), 4, if(ISBLANK('2025'!$R202), 0, 1), 5, if(ISBLANK('2025'!$S202), 0, 1), 6, if(ISBLANK('2025'!$T202), 0, 1), 7, 0))), 1, "")</f>
        <v/>
      </c>
      <c r="AF204" s="1" t="str">
        <f>IF(AND(AND(AND(AF$4&gt;='2025'!$L202,AF$4&lt;='2025'!$M202), AF$4&lt;&gt;DATE(2025,7,4)), (SWITCH(weekday(AF$4), 1, 0, 2, if(ISBLANK('2025'!$P202), 0, 1), 3, if(ISBLANK('2025'!$Q202), 0, 1), 4, if(ISBLANK('2025'!$R202), 0, 1), 5, if(ISBLANK('2025'!$S202), 0, 1), 6, if(ISBLANK('2025'!$T202), 0, 1), 7, 0))), 1, "")</f>
        <v/>
      </c>
      <c r="AG204" s="1" t="str">
        <f>IF(AND(AND(AND(AG$4&gt;='2025'!$L202,AG$4&lt;='2025'!$M202), AG$4&lt;&gt;DATE(2025,7,4)), (SWITCH(weekday(AG$4), 1, 0, 2, if(ISBLANK('2025'!$P202), 0, 1), 3, if(ISBLANK('2025'!$Q202), 0, 1), 4, if(ISBLANK('2025'!$R202), 0, 1), 5, if(ISBLANK('2025'!$S202), 0, 1), 6, if(ISBLANK('2025'!$T202), 0, 1), 7, 0))), 1, "")</f>
        <v/>
      </c>
      <c r="AH204" s="1" t="str">
        <f>IF(AND(AND(AND(AH$4&gt;='2025'!$L202,AH$4&lt;='2025'!$M202), AH$4&lt;&gt;DATE(2025,7,4)), (SWITCH(weekday(AH$4), 1, 0, 2, if(ISBLANK('2025'!$P202), 0, 1), 3, if(ISBLANK('2025'!$Q202), 0, 1), 4, if(ISBLANK('2025'!$R202), 0, 1), 5, if(ISBLANK('2025'!$S202), 0, 1), 6, if(ISBLANK('2025'!$T202), 0, 1), 7, 0))), 1, "")</f>
        <v/>
      </c>
      <c r="AI204" s="1" t="str">
        <f>IF(AND(AND(AND(AI$4&gt;='2025'!$L202,AI$4&lt;='2025'!$M202), AI$4&lt;&gt;DATE(2025,7,4)), (SWITCH(weekday(AI$4), 1, 0, 2, if(ISBLANK('2025'!$P202), 0, 1), 3, if(ISBLANK('2025'!$Q202), 0, 1), 4, if(ISBLANK('2025'!$R202), 0, 1), 5, if(ISBLANK('2025'!$S202), 0, 1), 6, if(ISBLANK('2025'!$T202), 0, 1), 7, 0))), 1, "")</f>
        <v/>
      </c>
      <c r="AJ204" s="1" t="str">
        <f>IF(AND(AND(AND(AJ$4&gt;='2025'!$L202,AJ$4&lt;='2025'!$M202), AJ$4&lt;&gt;DATE(2025,7,4)), (SWITCH(weekday(AJ$4), 1, 0, 2, if(ISBLANK('2025'!$P202), 0, 1), 3, if(ISBLANK('2025'!$Q202), 0, 1), 4, if(ISBLANK('2025'!$R202), 0, 1), 5, if(ISBLANK('2025'!$S202), 0, 1), 6, if(ISBLANK('2025'!$T202), 0, 1), 7, 0))), 1, "")</f>
        <v/>
      </c>
      <c r="AK204" s="1" t="str">
        <f>IF(AND(AND(AND(AK$4&gt;='2025'!$L202,AK$4&lt;='2025'!$M202), AK$4&lt;&gt;DATE(2025,7,4)), (SWITCH(weekday(AK$4), 1, 0, 2, if(ISBLANK('2025'!$P202), 0, 1), 3, if(ISBLANK('2025'!$Q202), 0, 1), 4, if(ISBLANK('2025'!$R202), 0, 1), 5, if(ISBLANK('2025'!$S202), 0, 1), 6, if(ISBLANK('2025'!$T202), 0, 1), 7, 0))), 1, "")</f>
        <v/>
      </c>
      <c r="AL204" s="1" t="str">
        <f>IF(AND(AND(AND(AL$4&gt;='2025'!$L202,AL$4&lt;='2025'!$M202), AL$4&lt;&gt;DATE(2025,7,4)), (SWITCH(weekday(AL$4), 1, 0, 2, if(ISBLANK('2025'!$P202), 0, 1), 3, if(ISBLANK('2025'!$Q202), 0, 1), 4, if(ISBLANK('2025'!$R202), 0, 1), 5, if(ISBLANK('2025'!$S202), 0, 1), 6, if(ISBLANK('2025'!$T202), 0, 1), 7, 0))), 1, "")</f>
        <v/>
      </c>
      <c r="AM204" s="1" t="str">
        <f>IF(AND(AND(AND(AM$4&gt;='2025'!$L202,AM$4&lt;='2025'!$M202), AM$4&lt;&gt;DATE(2025,7,4)), (SWITCH(weekday(AM$4), 1, 0, 2, if(ISBLANK('2025'!$P202), 0, 1), 3, if(ISBLANK('2025'!$Q202), 0, 1), 4, if(ISBLANK('2025'!$R202), 0, 1), 5, if(ISBLANK('2025'!$S202), 0, 1), 6, if(ISBLANK('2025'!$T202), 0, 1), 7, 0))), 1, "")</f>
        <v/>
      </c>
      <c r="AN204" s="1" t="str">
        <f>IF(AND(AND(AND(AN$4&gt;='2025'!$L202,AN$4&lt;='2025'!$M202), AN$4&lt;&gt;DATE(2025,7,4)), (SWITCH(weekday(AN$4), 1, 0, 2, if(ISBLANK('2025'!$P202), 0, 1), 3, if(ISBLANK('2025'!$Q202), 0, 1), 4, if(ISBLANK('2025'!$R202), 0, 1), 5, if(ISBLANK('2025'!$S202), 0, 1), 6, if(ISBLANK('2025'!$T202), 0, 1), 7, 0))), 1, "")</f>
        <v/>
      </c>
      <c r="AO204" s="1" t="str">
        <f>IF(AND(AND(AND(AO$4&gt;='2025'!$L202,AO$4&lt;='2025'!$M202), AO$4&lt;&gt;DATE(2025,7,4)), (SWITCH(weekday(AO$4), 1, 0, 2, if(ISBLANK('2025'!$P202), 0, 1), 3, if(ISBLANK('2025'!$Q202), 0, 1), 4, if(ISBLANK('2025'!$R202), 0, 1), 5, if(ISBLANK('2025'!$S202), 0, 1), 6, if(ISBLANK('2025'!$T202), 0, 1), 7, 0))), 1, "")</f>
        <v/>
      </c>
      <c r="AP204" s="1" t="str">
        <f>IF(AND(AND(AND(AP$4&gt;='2025'!$L202,AP$4&lt;='2025'!$M202), AP$4&lt;&gt;DATE(2025,7,4)), (SWITCH(weekday(AP$4), 1, 0, 2, if(ISBLANK('2025'!$P202), 0, 1), 3, if(ISBLANK('2025'!$Q202), 0, 1), 4, if(ISBLANK('2025'!$R202), 0, 1), 5, if(ISBLANK('2025'!$S202), 0, 1), 6, if(ISBLANK('2025'!$T202), 0, 1), 7, 0))), 1, "")</f>
        <v/>
      </c>
      <c r="AQ204" s="1" t="str">
        <f>IF(AND(AND(AND(AQ$4&gt;='2025'!$L202,AQ$4&lt;='2025'!$M202), AQ$4&lt;&gt;DATE(2025,7,4)), (SWITCH(weekday(AQ$4), 1, 0, 2, if(ISBLANK('2025'!$P202), 0, 1), 3, if(ISBLANK('2025'!$Q202), 0, 1), 4, if(ISBLANK('2025'!$R202), 0, 1), 5, if(ISBLANK('2025'!$S202), 0, 1), 6, if(ISBLANK('2025'!$T202), 0, 1), 7, 0))), 1, "")</f>
        <v/>
      </c>
      <c r="AR204" s="1" t="str">
        <f>IF(AND(AND(AND(AR$4&gt;='2025'!$L202,AR$4&lt;='2025'!$M202), AR$4&lt;&gt;DATE(2025,7,4)), (SWITCH(weekday(AR$4), 1, 0, 2, if(ISBLANK('2025'!$P202), 0, 1), 3, if(ISBLANK('2025'!$Q202), 0, 1), 4, if(ISBLANK('2025'!$R202), 0, 1), 5, if(ISBLANK('2025'!$S202), 0, 1), 6, if(ISBLANK('2025'!$T202), 0, 1), 7, 0))), 1, "")</f>
        <v/>
      </c>
      <c r="AS204" s="1" t="str">
        <f>IF(AND(AND(AND(AS$4&gt;='2025'!$L202,AS$4&lt;='2025'!$M202), AS$4&lt;&gt;DATE(2025,7,4)), (SWITCH(weekday(AS$4), 1, 0, 2, if(ISBLANK('2025'!$P202), 0, 1), 3, if(ISBLANK('2025'!$Q202), 0, 1), 4, if(ISBLANK('2025'!$R202), 0, 1), 5, if(ISBLANK('2025'!$S202), 0, 1), 6, if(ISBLANK('2025'!$T202), 0, 1), 7, 0))), 1, "")</f>
        <v/>
      </c>
      <c r="AT204" s="1" t="str">
        <f>IF(AND(AND(AND(AT$4&gt;='2025'!$L202,AT$4&lt;='2025'!$M202), AT$4&lt;&gt;DATE(2025,7,4)), (SWITCH(weekday(AT$4), 1, 0, 2, if(ISBLANK('2025'!$P202), 0, 1), 3, if(ISBLANK('2025'!$Q202), 0, 1), 4, if(ISBLANK('2025'!$R202), 0, 1), 5, if(ISBLANK('2025'!$S202), 0, 1), 6, if(ISBLANK('2025'!$T202), 0, 1), 7, 0))), 1, "")</f>
        <v/>
      </c>
      <c r="AU204" s="1" t="str">
        <f>IF(AND(AND(AND(AU$4&gt;='2025'!$L202,AU$4&lt;='2025'!$M202), AU$4&lt;&gt;DATE(2025,7,4)), (SWITCH(weekday(AU$4), 1, 0, 2, if(ISBLANK('2025'!$P202), 0, 1), 3, if(ISBLANK('2025'!$Q202), 0, 1), 4, if(ISBLANK('2025'!$R202), 0, 1), 5, if(ISBLANK('2025'!$S202), 0, 1), 6, if(ISBLANK('2025'!$T202), 0, 1), 7, 0))), 1, "")</f>
        <v/>
      </c>
      <c r="AV204" s="1" t="str">
        <f>IF(AND(AND(AND(AV$4&gt;='2025'!$L202,AV$4&lt;='2025'!$M202), AV$4&lt;&gt;DATE(2025,7,4)), (SWITCH(weekday(AV$4), 1, 0, 2, if(ISBLANK('2025'!$P202), 0, 1), 3, if(ISBLANK('2025'!$Q202), 0, 1), 4, if(ISBLANK('2025'!$R202), 0, 1), 5, if(ISBLANK('2025'!$S202), 0, 1), 6, if(ISBLANK('2025'!$T202), 0, 1), 7, 0))), 1, "")</f>
        <v/>
      </c>
      <c r="AW204" s="1" t="str">
        <f>IF(AND(AND(AND(AW$4&gt;='2025'!$L202,AW$4&lt;='2025'!$M202), AW$4&lt;&gt;DATE(2025,7,4)), (SWITCH(weekday(AW$4), 1, 0, 2, if(ISBLANK('2025'!$P202), 0, 1), 3, if(ISBLANK('2025'!$Q202), 0, 1), 4, if(ISBLANK('2025'!$R202), 0, 1), 5, if(ISBLANK('2025'!$S202), 0, 1), 6, if(ISBLANK('2025'!$T202), 0, 1), 7, 0))), 1, "")</f>
        <v/>
      </c>
      <c r="AX204" s="1" t="str">
        <f>IF(AND(AND(AND(AX$4&gt;='2025'!$L202,AX$4&lt;='2025'!$M202), AX$4&lt;&gt;DATE(2025,7,4)), (SWITCH(weekday(AX$4), 1, 0, 2, if(ISBLANK('2025'!$P202), 0, 1), 3, if(ISBLANK('2025'!$Q202), 0, 1), 4, if(ISBLANK('2025'!$R202), 0, 1), 5, if(ISBLANK('2025'!$S202), 0, 1), 6, if(ISBLANK('2025'!$T202), 0, 1), 7, 0))), 1, "")</f>
        <v/>
      </c>
      <c r="AY204" s="1" t="str">
        <f>IF(AND(AND(AND(AY$4&gt;='2025'!$L202,AY$4&lt;='2025'!$M202), AY$4&lt;&gt;DATE(2025,7,4)), (SWITCH(weekday(AY$4), 1, 0, 2, if(ISBLANK('2025'!$P202), 0, 1), 3, if(ISBLANK('2025'!$Q202), 0, 1), 4, if(ISBLANK('2025'!$R202), 0, 1), 5, if(ISBLANK('2025'!$S202), 0, 1), 6, if(ISBLANK('2025'!$T202), 0, 1), 7, 0))), 1, "")</f>
        <v/>
      </c>
      <c r="AZ204" s="1" t="str">
        <f>IF(AND(AND(AND(AZ$4&gt;='2025'!$L202,AZ$4&lt;='2025'!$M202), AZ$4&lt;&gt;DATE(2025,7,4)), (SWITCH(weekday(AZ$4), 1, 0, 2, if(ISBLANK('2025'!$P202), 0, 1), 3, if(ISBLANK('2025'!$Q202), 0, 1), 4, if(ISBLANK('2025'!$R202), 0, 1), 5, if(ISBLANK('2025'!$S202), 0, 1), 6, if(ISBLANK('2025'!$T202), 0, 1), 7, 0))), 1, "")</f>
        <v/>
      </c>
      <c r="BA204" s="1" t="str">
        <f>IF(AND(AND(AND(BA$4&gt;='2025'!$L202,BA$4&lt;='2025'!$M202), BA$4&lt;&gt;DATE(2025,7,4)), (SWITCH(weekday(BA$4), 1, 0, 2, if(ISBLANK('2025'!$P202), 0, 1), 3, if(ISBLANK('2025'!$Q202), 0, 1), 4, if(ISBLANK('2025'!$R202), 0, 1), 5, if(ISBLANK('2025'!$S202), 0, 1), 6, if(ISBLANK('2025'!$T202), 0, 1), 7, 0))), 1, "")</f>
        <v/>
      </c>
      <c r="BB204" s="1" t="str">
        <f>IF(AND(AND(AND(BB$4&gt;='2025'!$L202,BB$4&lt;='2025'!$M202), BB$4&lt;&gt;DATE(2025,7,4)), (SWITCH(weekday(BB$4), 1, 0, 2, if(ISBLANK('2025'!$P202), 0, 1), 3, if(ISBLANK('2025'!$Q202), 0, 1), 4, if(ISBLANK('2025'!$R202), 0, 1), 5, if(ISBLANK('2025'!$S202), 0, 1), 6, if(ISBLANK('2025'!$T202), 0, 1), 7, 0))), 1, "")</f>
        <v/>
      </c>
      <c r="BC204" s="1" t="str">
        <f>IF(AND(AND(AND(BC$4&gt;='2025'!$L202,BC$4&lt;='2025'!$M202), BC$4&lt;&gt;DATE(2025,7,4)), (SWITCH(weekday(BC$4), 1, 0, 2, if(ISBLANK('2025'!$P202), 0, 1), 3, if(ISBLANK('2025'!$Q202), 0, 1), 4, if(ISBLANK('2025'!$R202), 0, 1), 5, if(ISBLANK('2025'!$S202), 0, 1), 6, if(ISBLANK('2025'!$T202), 0, 1), 7, 0))), 1, "")</f>
        <v/>
      </c>
      <c r="BD204" s="1" t="str">
        <f>IF(AND(AND(AND(BD$4&gt;='2025'!$L202,BD$4&lt;='2025'!$M202), BD$4&lt;&gt;DATE(2025,7,4)), (SWITCH(weekday(BD$4), 1, 0, 2, if(ISBLANK('2025'!$P202), 0, 1), 3, if(ISBLANK('2025'!$Q202), 0, 1), 4, if(ISBLANK('2025'!$R202), 0, 1), 5, if(ISBLANK('2025'!$S202), 0, 1), 6, if(ISBLANK('2025'!$T202), 0, 1), 7, 0))), 1, "")</f>
        <v/>
      </c>
      <c r="BE204" s="1" t="str">
        <f>IF(AND(AND(AND(BE$4&gt;='2025'!$L202,BE$4&lt;='2025'!$M202), BE$4&lt;&gt;DATE(2025,7,4)), (SWITCH(weekday(BE$4), 1, 0, 2, if(ISBLANK('2025'!$P202), 0, 1), 3, if(ISBLANK('2025'!$Q202), 0, 1), 4, if(ISBLANK('2025'!$R202), 0, 1), 5, if(ISBLANK('2025'!$S202), 0, 1), 6, if(ISBLANK('2025'!$T202), 0, 1), 7, 0))), 1, "")</f>
        <v/>
      </c>
      <c r="BF204" s="1" t="str">
        <f>IF(AND(AND(AND(BF$4&gt;='2025'!$L202,BF$4&lt;='2025'!$M202), BF$4&lt;&gt;DATE(2025,7,4)), (SWITCH(weekday(BF$4), 1, 0, 2, if(ISBLANK('2025'!$P202), 0, 1), 3, if(ISBLANK('2025'!$Q202), 0, 1), 4, if(ISBLANK('2025'!$R202), 0, 1), 5, if(ISBLANK('2025'!$S202), 0, 1), 6, if(ISBLANK('2025'!$T202), 0, 1), 7, 0))), 1, "")</f>
        <v/>
      </c>
      <c r="BG204" s="1"/>
      <c r="BH204" s="1"/>
      <c r="BI204" s="1"/>
      <c r="BJ204" s="1"/>
      <c r="BK204" s="1"/>
      <c r="BL204" s="1"/>
    </row>
    <row r="205">
      <c r="A205" s="1">
        <f t="shared" si="3"/>
        <v>205</v>
      </c>
      <c r="B205" s="1" t="str">
        <f>'2025'!D169</f>
        <v>, </v>
      </c>
      <c r="C205" s="1" t="str">
        <f>'2025'!H169</f>
        <v/>
      </c>
      <c r="D205" s="1" t="str">
        <f>IF(AND(AND(AND(D$4&gt;='2025'!$L203,D$4&lt;='2025'!$M203), D$4&lt;&gt;DATE(2025,7,4)), (SWITCH(weekday(D$4), 1, 0, 2, if(ISBLANK('2025'!$P203), 0, 1), 3, if(ISBLANK('2025'!$Q203), 0, 1), 4, if(ISBLANK('2025'!$R203), 0, 1), 5, if(ISBLANK('2025'!$S203), 0, 1), 6, if(ISBLANK('2025'!$T203), 0, 1), 7, 0))), 1, "")</f>
        <v/>
      </c>
      <c r="E205" s="1" t="str">
        <f>IF(AND(AND(AND(E$4&gt;='2025'!$L203,E$4&lt;='2025'!$M203), E$4&lt;&gt;DATE(2025,7,4)), (SWITCH(weekday(E$4), 1, 0, 2, if(ISBLANK('2025'!$P203), 0, 1), 3, if(ISBLANK('2025'!$Q203), 0, 1), 4, if(ISBLANK('2025'!$R203), 0, 1), 5, if(ISBLANK('2025'!$S203), 0, 1), 6, if(ISBLANK('2025'!$T203), 0, 1), 7, 0))), 1, "")</f>
        <v/>
      </c>
      <c r="F205" s="1" t="str">
        <f>IF(AND(AND(AND(F$4&gt;='2025'!$L203,F$4&lt;='2025'!$M203), F$4&lt;&gt;DATE(2025,7,4)), (SWITCH(weekday(F$4), 1, 0, 2, if(ISBLANK('2025'!$P203), 0, 1), 3, if(ISBLANK('2025'!$Q203), 0, 1), 4, if(ISBLANK('2025'!$R203), 0, 1), 5, if(ISBLANK('2025'!$S203), 0, 1), 6, if(ISBLANK('2025'!$T203), 0, 1), 7, 0))), 1, "")</f>
        <v/>
      </c>
      <c r="G205" s="1" t="str">
        <f>IF(AND(AND(AND(G$4&gt;='2025'!$L203,G$4&lt;='2025'!$M203), G$4&lt;&gt;DATE(2025,7,4)), (SWITCH(weekday(G$4), 1, 0, 2, if(ISBLANK('2025'!$P203), 0, 1), 3, if(ISBLANK('2025'!$Q203), 0, 1), 4, if(ISBLANK('2025'!$R203), 0, 1), 5, if(ISBLANK('2025'!$S203), 0, 1), 6, if(ISBLANK('2025'!$T203), 0, 1), 7, 0))), 1, "")</f>
        <v/>
      </c>
      <c r="H205" s="1" t="str">
        <f>IF(AND(AND(AND(H$4&gt;='2025'!$L203,H$4&lt;='2025'!$M203), H$4&lt;&gt;DATE(2025,7,4)), (SWITCH(weekday(H$4), 1, 0, 2, if(ISBLANK('2025'!$P203), 0, 1), 3, if(ISBLANK('2025'!$Q203), 0, 1), 4, if(ISBLANK('2025'!$R203), 0, 1), 5, if(ISBLANK('2025'!$S203), 0, 1), 6, if(ISBLANK('2025'!$T203), 0, 1), 7, 0))), 1, "")</f>
        <v/>
      </c>
      <c r="I205" s="1" t="str">
        <f>IF(AND(AND(AND(I$4&gt;='2025'!$L203,I$4&lt;='2025'!$M203), I$4&lt;&gt;DATE(2025,7,4)), (SWITCH(weekday(I$4), 1, 0, 2, if(ISBLANK('2025'!$P203), 0, 1), 3, if(ISBLANK('2025'!$Q203), 0, 1), 4, if(ISBLANK('2025'!$R203), 0, 1), 5, if(ISBLANK('2025'!$S203), 0, 1), 6, if(ISBLANK('2025'!$T203), 0, 1), 7, 0))), 1, "")</f>
        <v/>
      </c>
      <c r="J205" s="1" t="str">
        <f>IF(AND(AND(AND(J$4&gt;='2025'!$L203,J$4&lt;='2025'!$M203), J$4&lt;&gt;DATE(2025,7,4)), (SWITCH(weekday(J$4), 1, 0, 2, if(ISBLANK('2025'!$P203), 0, 1), 3, if(ISBLANK('2025'!$Q203), 0, 1), 4, if(ISBLANK('2025'!$R203), 0, 1), 5, if(ISBLANK('2025'!$S203), 0, 1), 6, if(ISBLANK('2025'!$T203), 0, 1), 7, 0))), 1, "")</f>
        <v/>
      </c>
      <c r="K205" s="1" t="str">
        <f>IF(AND(AND(AND(K$4&gt;='2025'!$L203,K$4&lt;='2025'!$M203), K$4&lt;&gt;DATE(2025,7,4)), (SWITCH(weekday(K$4), 1, 0, 2, if(ISBLANK('2025'!$P203), 0, 1), 3, if(ISBLANK('2025'!$Q203), 0, 1), 4, if(ISBLANK('2025'!$R203), 0, 1), 5, if(ISBLANK('2025'!$S203), 0, 1), 6, if(ISBLANK('2025'!$T203), 0, 1), 7, 0))), 1, "")</f>
        <v/>
      </c>
      <c r="L205" s="1" t="str">
        <f>IF(AND(AND(AND(L$4&gt;='2025'!$L203,L$4&lt;='2025'!$M203), L$4&lt;&gt;DATE(2025,7,4)), (SWITCH(weekday(L$4), 1, 0, 2, if(ISBLANK('2025'!$P203), 0, 1), 3, if(ISBLANK('2025'!$Q203), 0, 1), 4, if(ISBLANK('2025'!$R203), 0, 1), 5, if(ISBLANK('2025'!$S203), 0, 1), 6, if(ISBLANK('2025'!$T203), 0, 1), 7, 0))), 1, "")</f>
        <v/>
      </c>
      <c r="M205" s="1" t="str">
        <f>IF(AND(AND(AND(M$4&gt;='2025'!$L203,M$4&lt;='2025'!$M203), M$4&lt;&gt;DATE(2025,7,4)), (SWITCH(weekday(M$4), 1, 0, 2, if(ISBLANK('2025'!$P203), 0, 1), 3, if(ISBLANK('2025'!$Q203), 0, 1), 4, if(ISBLANK('2025'!$R203), 0, 1), 5, if(ISBLANK('2025'!$S203), 0, 1), 6, if(ISBLANK('2025'!$T203), 0, 1), 7, 0))), 1, "")</f>
        <v/>
      </c>
      <c r="N205" s="1" t="str">
        <f>IF(AND(AND(AND(N$4&gt;='2025'!$L203,N$4&lt;='2025'!$M203), N$4&lt;&gt;DATE(2025,7,4)), (SWITCH(weekday(N$4), 1, 0, 2, if(ISBLANK('2025'!$P203), 0, 1), 3, if(ISBLANK('2025'!$Q203), 0, 1), 4, if(ISBLANK('2025'!$R203), 0, 1), 5, if(ISBLANK('2025'!$S203), 0, 1), 6, if(ISBLANK('2025'!$T203), 0, 1), 7, 0))), 1, "")</f>
        <v/>
      </c>
      <c r="O205" s="1" t="str">
        <f>IF(AND(AND(AND(O$4&gt;='2025'!$L203,O$4&lt;='2025'!$M203), O$4&lt;&gt;DATE(2025,7,4)), (SWITCH(weekday(O$4), 1, 0, 2, if(ISBLANK('2025'!$P203), 0, 1), 3, if(ISBLANK('2025'!$Q203), 0, 1), 4, if(ISBLANK('2025'!$R203), 0, 1), 5, if(ISBLANK('2025'!$S203), 0, 1), 6, if(ISBLANK('2025'!$T203), 0, 1), 7, 0))), 1, "")</f>
        <v/>
      </c>
      <c r="P205" s="1" t="str">
        <f>IF(AND(AND(AND(P$4&gt;='2025'!$L203,P$4&lt;='2025'!$M203), P$4&lt;&gt;DATE(2025,7,4)), (SWITCH(weekday(P$4), 1, 0, 2, if(ISBLANK('2025'!$P203), 0, 1), 3, if(ISBLANK('2025'!$Q203), 0, 1), 4, if(ISBLANK('2025'!$R203), 0, 1), 5, if(ISBLANK('2025'!$S203), 0, 1), 6, if(ISBLANK('2025'!$T203), 0, 1), 7, 0))), 1, "")</f>
        <v/>
      </c>
      <c r="Q205" s="1" t="str">
        <f>IF(AND(AND(AND(Q$4&gt;='2025'!$L203,Q$4&lt;='2025'!$M203), Q$4&lt;&gt;DATE(2025,7,4)), (SWITCH(weekday(Q$4), 1, 0, 2, if(ISBLANK('2025'!$P203), 0, 1), 3, if(ISBLANK('2025'!$Q203), 0, 1), 4, if(ISBLANK('2025'!$R203), 0, 1), 5, if(ISBLANK('2025'!$S203), 0, 1), 6, if(ISBLANK('2025'!$T203), 0, 1), 7, 0))), 1, "")</f>
        <v/>
      </c>
      <c r="R205" s="1" t="str">
        <f>IF(AND(AND(AND(R$4&gt;='2025'!$L203,R$4&lt;='2025'!$M203), R$4&lt;&gt;DATE(2025,7,4)), (SWITCH(weekday(R$4), 1, 0, 2, if(ISBLANK('2025'!$P203), 0, 1), 3, if(ISBLANK('2025'!$Q203), 0, 1), 4, if(ISBLANK('2025'!$R203), 0, 1), 5, if(ISBLANK('2025'!$S203), 0, 1), 6, if(ISBLANK('2025'!$T203), 0, 1), 7, 0))), 1, "")</f>
        <v/>
      </c>
      <c r="S205" s="1" t="str">
        <f>IF(AND(AND(AND(S$4&gt;='2025'!$L203,S$4&lt;='2025'!$M203), S$4&lt;&gt;DATE(2025,7,4)), (SWITCH(weekday(S$4), 1, 0, 2, if(ISBLANK('2025'!$P203), 0, 1), 3, if(ISBLANK('2025'!$Q203), 0, 1), 4, if(ISBLANK('2025'!$R203), 0, 1), 5, if(ISBLANK('2025'!$S203), 0, 1), 6, if(ISBLANK('2025'!$T203), 0, 1), 7, 0))), 1, "")</f>
        <v/>
      </c>
      <c r="T205" s="1" t="str">
        <f>IF(AND(AND(AND(T$4&gt;='2025'!$L203,T$4&lt;='2025'!$M203), T$4&lt;&gt;DATE(2025,7,4)), (SWITCH(weekday(T$4), 1, 0, 2, if(ISBLANK('2025'!$P203), 0, 1), 3, if(ISBLANK('2025'!$Q203), 0, 1), 4, if(ISBLANK('2025'!$R203), 0, 1), 5, if(ISBLANK('2025'!$S203), 0, 1), 6, if(ISBLANK('2025'!$T203), 0, 1), 7, 0))), 1, "")</f>
        <v/>
      </c>
      <c r="U205" s="1" t="str">
        <f>IF(AND(AND(AND(U$4&gt;='2025'!$L203,U$4&lt;='2025'!$M203), U$4&lt;&gt;DATE(2025,7,4)), (SWITCH(weekday(U$4), 1, 0, 2, if(ISBLANK('2025'!$P203), 0, 1), 3, if(ISBLANK('2025'!$Q203), 0, 1), 4, if(ISBLANK('2025'!$R203), 0, 1), 5, if(ISBLANK('2025'!$S203), 0, 1), 6, if(ISBLANK('2025'!$T203), 0, 1), 7, 0))), 1, "")</f>
        <v/>
      </c>
      <c r="V205" s="1" t="str">
        <f>IF(AND(AND(AND(V$4&gt;='2025'!$L203,V$4&lt;='2025'!$M203), V$4&lt;&gt;DATE(2025,7,4)), (SWITCH(weekday(V$4), 1, 0, 2, if(ISBLANK('2025'!$P203), 0, 1), 3, if(ISBLANK('2025'!$Q203), 0, 1), 4, if(ISBLANK('2025'!$R203), 0, 1), 5, if(ISBLANK('2025'!$S203), 0, 1), 6, if(ISBLANK('2025'!$T203), 0, 1), 7, 0))), 1, "")</f>
        <v/>
      </c>
      <c r="W205" s="1" t="str">
        <f>IF(AND(AND(AND(W$4&gt;='2025'!$L203,W$4&lt;='2025'!$M203), W$4&lt;&gt;DATE(2025,7,4)), (SWITCH(weekday(W$4), 1, 0, 2, if(ISBLANK('2025'!$P203), 0, 1), 3, if(ISBLANK('2025'!$Q203), 0, 1), 4, if(ISBLANK('2025'!$R203), 0, 1), 5, if(ISBLANK('2025'!$S203), 0, 1), 6, if(ISBLANK('2025'!$T203), 0, 1), 7, 0))), 1, "")</f>
        <v/>
      </c>
      <c r="X205" s="1" t="str">
        <f>IF(AND(AND(AND(X$4&gt;='2025'!$L203,X$4&lt;='2025'!$M203), X$4&lt;&gt;DATE(2025,7,4)), (SWITCH(weekday(X$4), 1, 0, 2, if(ISBLANK('2025'!$P203), 0, 1), 3, if(ISBLANK('2025'!$Q203), 0, 1), 4, if(ISBLANK('2025'!$R203), 0, 1), 5, if(ISBLANK('2025'!$S203), 0, 1), 6, if(ISBLANK('2025'!$T203), 0, 1), 7, 0))), 1, "")</f>
        <v/>
      </c>
      <c r="Y205" s="1" t="str">
        <f>IF(AND(AND(AND(Y$4&gt;='2025'!$L203,Y$4&lt;='2025'!$M203), Y$4&lt;&gt;DATE(2025,7,4)), (SWITCH(weekday(Y$4), 1, 0, 2, if(ISBLANK('2025'!$P203), 0, 1), 3, if(ISBLANK('2025'!$Q203), 0, 1), 4, if(ISBLANK('2025'!$R203), 0, 1), 5, if(ISBLANK('2025'!$S203), 0, 1), 6, if(ISBLANK('2025'!$T203), 0, 1), 7, 0))), 1, "")</f>
        <v/>
      </c>
      <c r="Z205" s="1" t="str">
        <f>IF(AND(AND(AND(Z$4&gt;='2025'!$L203,Z$4&lt;='2025'!$M203), Z$4&lt;&gt;DATE(2025,7,4)), (SWITCH(weekday(Z$4), 1, 0, 2, if(ISBLANK('2025'!$P203), 0, 1), 3, if(ISBLANK('2025'!$Q203), 0, 1), 4, if(ISBLANK('2025'!$R203), 0, 1), 5, if(ISBLANK('2025'!$S203), 0, 1), 6, if(ISBLANK('2025'!$T203), 0, 1), 7, 0))), 1, "")</f>
        <v/>
      </c>
      <c r="AA205" s="1" t="str">
        <f>IF(AND(AND(AND(AA$4&gt;='2025'!$L203,AA$4&lt;='2025'!$M203), AA$4&lt;&gt;DATE(2025,7,4)), (SWITCH(weekday(AA$4), 1, 0, 2, if(ISBLANK('2025'!$P203), 0, 1), 3, if(ISBLANK('2025'!$Q203), 0, 1), 4, if(ISBLANK('2025'!$R203), 0, 1), 5, if(ISBLANK('2025'!$S203), 0, 1), 6, if(ISBLANK('2025'!$T203), 0, 1), 7, 0))), 1, "")</f>
        <v/>
      </c>
      <c r="AB205" s="1" t="str">
        <f>IF(AND(AND(AND(AB$4&gt;='2025'!$L203,AB$4&lt;='2025'!$M203), AB$4&lt;&gt;DATE(2025,7,4)), (SWITCH(weekday(AB$4), 1, 0, 2, if(ISBLANK('2025'!$P203), 0, 1), 3, if(ISBLANK('2025'!$Q203), 0, 1), 4, if(ISBLANK('2025'!$R203), 0, 1), 5, if(ISBLANK('2025'!$S203), 0, 1), 6, if(ISBLANK('2025'!$T203), 0, 1), 7, 0))), 1, "")</f>
        <v/>
      </c>
      <c r="AC205" s="1" t="str">
        <f>IF(AND(AND(AND(AC$4&gt;='2025'!$L203,AC$4&lt;='2025'!$M203), AC$4&lt;&gt;DATE(2025,7,4)), (SWITCH(weekday(AC$4), 1, 0, 2, if(ISBLANK('2025'!$P203), 0, 1), 3, if(ISBLANK('2025'!$Q203), 0, 1), 4, if(ISBLANK('2025'!$R203), 0, 1), 5, if(ISBLANK('2025'!$S203), 0, 1), 6, if(ISBLANK('2025'!$T203), 0, 1), 7, 0))), 1, "")</f>
        <v/>
      </c>
      <c r="AD205" s="1" t="str">
        <f>IF(AND(AND(AND(AD$4&gt;='2025'!$L203,AD$4&lt;='2025'!$M203), AD$4&lt;&gt;DATE(2025,7,4)), (SWITCH(weekday(AD$4), 1, 0, 2, if(ISBLANK('2025'!$P203), 0, 1), 3, if(ISBLANK('2025'!$Q203), 0, 1), 4, if(ISBLANK('2025'!$R203), 0, 1), 5, if(ISBLANK('2025'!$S203), 0, 1), 6, if(ISBLANK('2025'!$T203), 0, 1), 7, 0))), 1, "")</f>
        <v/>
      </c>
      <c r="AE205" s="1" t="str">
        <f>IF(AND(AND(AND(AE$4&gt;='2025'!$L203,AE$4&lt;='2025'!$M203), AE$4&lt;&gt;DATE(2025,7,4)), (SWITCH(weekday(AE$4), 1, 0, 2, if(ISBLANK('2025'!$P203), 0, 1), 3, if(ISBLANK('2025'!$Q203), 0, 1), 4, if(ISBLANK('2025'!$R203), 0, 1), 5, if(ISBLANK('2025'!$S203), 0, 1), 6, if(ISBLANK('2025'!$T203), 0, 1), 7, 0))), 1, "")</f>
        <v/>
      </c>
      <c r="AF205" s="1" t="str">
        <f>IF(AND(AND(AND(AF$4&gt;='2025'!$L203,AF$4&lt;='2025'!$M203), AF$4&lt;&gt;DATE(2025,7,4)), (SWITCH(weekday(AF$4), 1, 0, 2, if(ISBLANK('2025'!$P203), 0, 1), 3, if(ISBLANK('2025'!$Q203), 0, 1), 4, if(ISBLANK('2025'!$R203), 0, 1), 5, if(ISBLANK('2025'!$S203), 0, 1), 6, if(ISBLANK('2025'!$T203), 0, 1), 7, 0))), 1, "")</f>
        <v/>
      </c>
      <c r="AG205" s="1" t="str">
        <f>IF(AND(AND(AND(AG$4&gt;='2025'!$L203,AG$4&lt;='2025'!$M203), AG$4&lt;&gt;DATE(2025,7,4)), (SWITCH(weekday(AG$4), 1, 0, 2, if(ISBLANK('2025'!$P203), 0, 1), 3, if(ISBLANK('2025'!$Q203), 0, 1), 4, if(ISBLANK('2025'!$R203), 0, 1), 5, if(ISBLANK('2025'!$S203), 0, 1), 6, if(ISBLANK('2025'!$T203), 0, 1), 7, 0))), 1, "")</f>
        <v/>
      </c>
      <c r="AH205" s="1" t="str">
        <f>IF(AND(AND(AND(AH$4&gt;='2025'!$L203,AH$4&lt;='2025'!$M203), AH$4&lt;&gt;DATE(2025,7,4)), (SWITCH(weekday(AH$4), 1, 0, 2, if(ISBLANK('2025'!$P203), 0, 1), 3, if(ISBLANK('2025'!$Q203), 0, 1), 4, if(ISBLANK('2025'!$R203), 0, 1), 5, if(ISBLANK('2025'!$S203), 0, 1), 6, if(ISBLANK('2025'!$T203), 0, 1), 7, 0))), 1, "")</f>
        <v/>
      </c>
      <c r="AI205" s="1" t="str">
        <f>IF(AND(AND(AND(AI$4&gt;='2025'!$L203,AI$4&lt;='2025'!$M203), AI$4&lt;&gt;DATE(2025,7,4)), (SWITCH(weekday(AI$4), 1, 0, 2, if(ISBLANK('2025'!$P203), 0, 1), 3, if(ISBLANK('2025'!$Q203), 0, 1), 4, if(ISBLANK('2025'!$R203), 0, 1), 5, if(ISBLANK('2025'!$S203), 0, 1), 6, if(ISBLANK('2025'!$T203), 0, 1), 7, 0))), 1, "")</f>
        <v/>
      </c>
      <c r="AJ205" s="1" t="str">
        <f>IF(AND(AND(AND(AJ$4&gt;='2025'!$L203,AJ$4&lt;='2025'!$M203), AJ$4&lt;&gt;DATE(2025,7,4)), (SWITCH(weekday(AJ$4), 1, 0, 2, if(ISBLANK('2025'!$P203), 0, 1), 3, if(ISBLANK('2025'!$Q203), 0, 1), 4, if(ISBLANK('2025'!$R203), 0, 1), 5, if(ISBLANK('2025'!$S203), 0, 1), 6, if(ISBLANK('2025'!$T203), 0, 1), 7, 0))), 1, "")</f>
        <v/>
      </c>
      <c r="AK205" s="1" t="str">
        <f>IF(AND(AND(AND(AK$4&gt;='2025'!$L203,AK$4&lt;='2025'!$M203), AK$4&lt;&gt;DATE(2025,7,4)), (SWITCH(weekday(AK$4), 1, 0, 2, if(ISBLANK('2025'!$P203), 0, 1), 3, if(ISBLANK('2025'!$Q203), 0, 1), 4, if(ISBLANK('2025'!$R203), 0, 1), 5, if(ISBLANK('2025'!$S203), 0, 1), 6, if(ISBLANK('2025'!$T203), 0, 1), 7, 0))), 1, "")</f>
        <v/>
      </c>
      <c r="AL205" s="1" t="str">
        <f>IF(AND(AND(AND(AL$4&gt;='2025'!$L203,AL$4&lt;='2025'!$M203), AL$4&lt;&gt;DATE(2025,7,4)), (SWITCH(weekday(AL$4), 1, 0, 2, if(ISBLANK('2025'!$P203), 0, 1), 3, if(ISBLANK('2025'!$Q203), 0, 1), 4, if(ISBLANK('2025'!$R203), 0, 1), 5, if(ISBLANK('2025'!$S203), 0, 1), 6, if(ISBLANK('2025'!$T203), 0, 1), 7, 0))), 1, "")</f>
        <v/>
      </c>
      <c r="AM205" s="1" t="str">
        <f>IF(AND(AND(AND(AM$4&gt;='2025'!$L203,AM$4&lt;='2025'!$M203), AM$4&lt;&gt;DATE(2025,7,4)), (SWITCH(weekday(AM$4), 1, 0, 2, if(ISBLANK('2025'!$P203), 0, 1), 3, if(ISBLANK('2025'!$Q203), 0, 1), 4, if(ISBLANK('2025'!$R203), 0, 1), 5, if(ISBLANK('2025'!$S203), 0, 1), 6, if(ISBLANK('2025'!$T203), 0, 1), 7, 0))), 1, "")</f>
        <v/>
      </c>
      <c r="AN205" s="1" t="str">
        <f>IF(AND(AND(AND(AN$4&gt;='2025'!$L203,AN$4&lt;='2025'!$M203), AN$4&lt;&gt;DATE(2025,7,4)), (SWITCH(weekday(AN$4), 1, 0, 2, if(ISBLANK('2025'!$P203), 0, 1), 3, if(ISBLANK('2025'!$Q203), 0, 1), 4, if(ISBLANK('2025'!$R203), 0, 1), 5, if(ISBLANK('2025'!$S203), 0, 1), 6, if(ISBLANK('2025'!$T203), 0, 1), 7, 0))), 1, "")</f>
        <v/>
      </c>
      <c r="AO205" s="1" t="str">
        <f>IF(AND(AND(AND(AO$4&gt;='2025'!$L203,AO$4&lt;='2025'!$M203), AO$4&lt;&gt;DATE(2025,7,4)), (SWITCH(weekday(AO$4), 1, 0, 2, if(ISBLANK('2025'!$P203), 0, 1), 3, if(ISBLANK('2025'!$Q203), 0, 1), 4, if(ISBLANK('2025'!$R203), 0, 1), 5, if(ISBLANK('2025'!$S203), 0, 1), 6, if(ISBLANK('2025'!$T203), 0, 1), 7, 0))), 1, "")</f>
        <v/>
      </c>
      <c r="AP205" s="1" t="str">
        <f>IF(AND(AND(AND(AP$4&gt;='2025'!$L203,AP$4&lt;='2025'!$M203), AP$4&lt;&gt;DATE(2025,7,4)), (SWITCH(weekday(AP$4), 1, 0, 2, if(ISBLANK('2025'!$P203), 0, 1), 3, if(ISBLANK('2025'!$Q203), 0, 1), 4, if(ISBLANK('2025'!$R203), 0, 1), 5, if(ISBLANK('2025'!$S203), 0, 1), 6, if(ISBLANK('2025'!$T203), 0, 1), 7, 0))), 1, "")</f>
        <v/>
      </c>
      <c r="AQ205" s="1" t="str">
        <f>IF(AND(AND(AND(AQ$4&gt;='2025'!$L203,AQ$4&lt;='2025'!$M203), AQ$4&lt;&gt;DATE(2025,7,4)), (SWITCH(weekday(AQ$4), 1, 0, 2, if(ISBLANK('2025'!$P203), 0, 1), 3, if(ISBLANK('2025'!$Q203), 0, 1), 4, if(ISBLANK('2025'!$R203), 0, 1), 5, if(ISBLANK('2025'!$S203), 0, 1), 6, if(ISBLANK('2025'!$T203), 0, 1), 7, 0))), 1, "")</f>
        <v/>
      </c>
      <c r="AR205" s="1" t="str">
        <f>IF(AND(AND(AND(AR$4&gt;='2025'!$L203,AR$4&lt;='2025'!$M203), AR$4&lt;&gt;DATE(2025,7,4)), (SWITCH(weekday(AR$4), 1, 0, 2, if(ISBLANK('2025'!$P203), 0, 1), 3, if(ISBLANK('2025'!$Q203), 0, 1), 4, if(ISBLANK('2025'!$R203), 0, 1), 5, if(ISBLANK('2025'!$S203), 0, 1), 6, if(ISBLANK('2025'!$T203), 0, 1), 7, 0))), 1, "")</f>
        <v/>
      </c>
      <c r="AS205" s="1" t="str">
        <f>IF(AND(AND(AND(AS$4&gt;='2025'!$L203,AS$4&lt;='2025'!$M203), AS$4&lt;&gt;DATE(2025,7,4)), (SWITCH(weekday(AS$4), 1, 0, 2, if(ISBLANK('2025'!$P203), 0, 1), 3, if(ISBLANK('2025'!$Q203), 0, 1), 4, if(ISBLANK('2025'!$R203), 0, 1), 5, if(ISBLANK('2025'!$S203), 0, 1), 6, if(ISBLANK('2025'!$T203), 0, 1), 7, 0))), 1, "")</f>
        <v/>
      </c>
      <c r="AT205" s="1" t="str">
        <f>IF(AND(AND(AND(AT$4&gt;='2025'!$L203,AT$4&lt;='2025'!$M203), AT$4&lt;&gt;DATE(2025,7,4)), (SWITCH(weekday(AT$4), 1, 0, 2, if(ISBLANK('2025'!$P203), 0, 1), 3, if(ISBLANK('2025'!$Q203), 0, 1), 4, if(ISBLANK('2025'!$R203), 0, 1), 5, if(ISBLANK('2025'!$S203), 0, 1), 6, if(ISBLANK('2025'!$T203), 0, 1), 7, 0))), 1, "")</f>
        <v/>
      </c>
      <c r="AU205" s="1" t="str">
        <f>IF(AND(AND(AND(AU$4&gt;='2025'!$L203,AU$4&lt;='2025'!$M203), AU$4&lt;&gt;DATE(2025,7,4)), (SWITCH(weekday(AU$4), 1, 0, 2, if(ISBLANK('2025'!$P203), 0, 1), 3, if(ISBLANK('2025'!$Q203), 0, 1), 4, if(ISBLANK('2025'!$R203), 0, 1), 5, if(ISBLANK('2025'!$S203), 0, 1), 6, if(ISBLANK('2025'!$T203), 0, 1), 7, 0))), 1, "")</f>
        <v/>
      </c>
      <c r="AV205" s="1" t="str">
        <f>IF(AND(AND(AND(AV$4&gt;='2025'!$L203,AV$4&lt;='2025'!$M203), AV$4&lt;&gt;DATE(2025,7,4)), (SWITCH(weekday(AV$4), 1, 0, 2, if(ISBLANK('2025'!$P203), 0, 1), 3, if(ISBLANK('2025'!$Q203), 0, 1), 4, if(ISBLANK('2025'!$R203), 0, 1), 5, if(ISBLANK('2025'!$S203), 0, 1), 6, if(ISBLANK('2025'!$T203), 0, 1), 7, 0))), 1, "")</f>
        <v/>
      </c>
      <c r="AW205" s="1" t="str">
        <f>IF(AND(AND(AND(AW$4&gt;='2025'!$L203,AW$4&lt;='2025'!$M203), AW$4&lt;&gt;DATE(2025,7,4)), (SWITCH(weekday(AW$4), 1, 0, 2, if(ISBLANK('2025'!$P203), 0, 1), 3, if(ISBLANK('2025'!$Q203), 0, 1), 4, if(ISBLANK('2025'!$R203), 0, 1), 5, if(ISBLANK('2025'!$S203), 0, 1), 6, if(ISBLANK('2025'!$T203), 0, 1), 7, 0))), 1, "")</f>
        <v/>
      </c>
      <c r="AX205" s="1" t="str">
        <f>IF(AND(AND(AND(AX$4&gt;='2025'!$L203,AX$4&lt;='2025'!$M203), AX$4&lt;&gt;DATE(2025,7,4)), (SWITCH(weekday(AX$4), 1, 0, 2, if(ISBLANK('2025'!$P203), 0, 1), 3, if(ISBLANK('2025'!$Q203), 0, 1), 4, if(ISBLANK('2025'!$R203), 0, 1), 5, if(ISBLANK('2025'!$S203), 0, 1), 6, if(ISBLANK('2025'!$T203), 0, 1), 7, 0))), 1, "")</f>
        <v/>
      </c>
      <c r="AY205" s="1" t="str">
        <f>IF(AND(AND(AND(AY$4&gt;='2025'!$L203,AY$4&lt;='2025'!$M203), AY$4&lt;&gt;DATE(2025,7,4)), (SWITCH(weekday(AY$4), 1, 0, 2, if(ISBLANK('2025'!$P203), 0, 1), 3, if(ISBLANK('2025'!$Q203), 0, 1), 4, if(ISBLANK('2025'!$R203), 0, 1), 5, if(ISBLANK('2025'!$S203), 0, 1), 6, if(ISBLANK('2025'!$T203), 0, 1), 7, 0))), 1, "")</f>
        <v/>
      </c>
      <c r="AZ205" s="1" t="str">
        <f>IF(AND(AND(AND(AZ$4&gt;='2025'!$L203,AZ$4&lt;='2025'!$M203), AZ$4&lt;&gt;DATE(2025,7,4)), (SWITCH(weekday(AZ$4), 1, 0, 2, if(ISBLANK('2025'!$P203), 0, 1), 3, if(ISBLANK('2025'!$Q203), 0, 1), 4, if(ISBLANK('2025'!$R203), 0, 1), 5, if(ISBLANK('2025'!$S203), 0, 1), 6, if(ISBLANK('2025'!$T203), 0, 1), 7, 0))), 1, "")</f>
        <v/>
      </c>
      <c r="BA205" s="1" t="str">
        <f>IF(AND(AND(AND(BA$4&gt;='2025'!$L203,BA$4&lt;='2025'!$M203), BA$4&lt;&gt;DATE(2025,7,4)), (SWITCH(weekday(BA$4), 1, 0, 2, if(ISBLANK('2025'!$P203), 0, 1), 3, if(ISBLANK('2025'!$Q203), 0, 1), 4, if(ISBLANK('2025'!$R203), 0, 1), 5, if(ISBLANK('2025'!$S203), 0, 1), 6, if(ISBLANK('2025'!$T203), 0, 1), 7, 0))), 1, "")</f>
        <v/>
      </c>
      <c r="BB205" s="1" t="str">
        <f>IF(AND(AND(AND(BB$4&gt;='2025'!$L203,BB$4&lt;='2025'!$M203), BB$4&lt;&gt;DATE(2025,7,4)), (SWITCH(weekday(BB$4), 1, 0, 2, if(ISBLANK('2025'!$P203), 0, 1), 3, if(ISBLANK('2025'!$Q203), 0, 1), 4, if(ISBLANK('2025'!$R203), 0, 1), 5, if(ISBLANK('2025'!$S203), 0, 1), 6, if(ISBLANK('2025'!$T203), 0, 1), 7, 0))), 1, "")</f>
        <v/>
      </c>
      <c r="BC205" s="1" t="str">
        <f>IF(AND(AND(AND(BC$4&gt;='2025'!$L203,BC$4&lt;='2025'!$M203), BC$4&lt;&gt;DATE(2025,7,4)), (SWITCH(weekday(BC$4), 1, 0, 2, if(ISBLANK('2025'!$P203), 0, 1), 3, if(ISBLANK('2025'!$Q203), 0, 1), 4, if(ISBLANK('2025'!$R203), 0, 1), 5, if(ISBLANK('2025'!$S203), 0, 1), 6, if(ISBLANK('2025'!$T203), 0, 1), 7, 0))), 1, "")</f>
        <v/>
      </c>
      <c r="BD205" s="1" t="str">
        <f>IF(AND(AND(AND(BD$4&gt;='2025'!$L203,BD$4&lt;='2025'!$M203), BD$4&lt;&gt;DATE(2025,7,4)), (SWITCH(weekday(BD$4), 1, 0, 2, if(ISBLANK('2025'!$P203), 0, 1), 3, if(ISBLANK('2025'!$Q203), 0, 1), 4, if(ISBLANK('2025'!$R203), 0, 1), 5, if(ISBLANK('2025'!$S203), 0, 1), 6, if(ISBLANK('2025'!$T203), 0, 1), 7, 0))), 1, "")</f>
        <v/>
      </c>
      <c r="BE205" s="1" t="str">
        <f>IF(AND(AND(AND(BE$4&gt;='2025'!$L203,BE$4&lt;='2025'!$M203), BE$4&lt;&gt;DATE(2025,7,4)), (SWITCH(weekday(BE$4), 1, 0, 2, if(ISBLANK('2025'!$P203), 0, 1), 3, if(ISBLANK('2025'!$Q203), 0, 1), 4, if(ISBLANK('2025'!$R203), 0, 1), 5, if(ISBLANK('2025'!$S203), 0, 1), 6, if(ISBLANK('2025'!$T203), 0, 1), 7, 0))), 1, "")</f>
        <v/>
      </c>
      <c r="BF205" s="1" t="str">
        <f>IF(AND(AND(AND(BF$4&gt;='2025'!$L203,BF$4&lt;='2025'!$M203), BF$4&lt;&gt;DATE(2025,7,4)), (SWITCH(weekday(BF$4), 1, 0, 2, if(ISBLANK('2025'!$P203), 0, 1), 3, if(ISBLANK('2025'!$Q203), 0, 1), 4, if(ISBLANK('2025'!$R203), 0, 1), 5, if(ISBLANK('2025'!$S203), 0, 1), 6, if(ISBLANK('2025'!$T203), 0, 1), 7, 0))), 1, "")</f>
        <v/>
      </c>
      <c r="BG205" s="1"/>
      <c r="BH205" s="1"/>
      <c r="BI205" s="1"/>
      <c r="BJ205" s="1"/>
      <c r="BK205" s="1"/>
      <c r="BL205" s="1"/>
    </row>
    <row r="206">
      <c r="A206" s="1">
        <f t="shared" si="3"/>
        <v>206</v>
      </c>
      <c r="B206" s="1" t="str">
        <f>'2025'!D170</f>
        <v>, </v>
      </c>
      <c r="C206" s="1" t="str">
        <f>'2025'!H170</f>
        <v/>
      </c>
      <c r="D206" s="1" t="str">
        <f>IF(AND(AND(AND(D$4&gt;='2025'!$L204,D$4&lt;='2025'!$M204), D$4&lt;&gt;DATE(2025,7,4)), (SWITCH(weekday(D$4), 1, 0, 2, if(ISBLANK('2025'!$P204), 0, 1), 3, if(ISBLANK('2025'!$Q204), 0, 1), 4, if(ISBLANK('2025'!$R204), 0, 1), 5, if(ISBLANK('2025'!$S204), 0, 1), 6, if(ISBLANK('2025'!$T204), 0, 1), 7, 0))), 1, "")</f>
        <v/>
      </c>
      <c r="E206" s="1" t="str">
        <f>IF(AND(AND(AND(E$4&gt;='2025'!$L204,E$4&lt;='2025'!$M204), E$4&lt;&gt;DATE(2025,7,4)), (SWITCH(weekday(E$4), 1, 0, 2, if(ISBLANK('2025'!$P204), 0, 1), 3, if(ISBLANK('2025'!$Q204), 0, 1), 4, if(ISBLANK('2025'!$R204), 0, 1), 5, if(ISBLANK('2025'!$S204), 0, 1), 6, if(ISBLANK('2025'!$T204), 0, 1), 7, 0))), 1, "")</f>
        <v/>
      </c>
      <c r="F206" s="1" t="str">
        <f>IF(AND(AND(AND(F$4&gt;='2025'!$L204,F$4&lt;='2025'!$M204), F$4&lt;&gt;DATE(2025,7,4)), (SWITCH(weekday(F$4), 1, 0, 2, if(ISBLANK('2025'!$P204), 0, 1), 3, if(ISBLANK('2025'!$Q204), 0, 1), 4, if(ISBLANK('2025'!$R204), 0, 1), 5, if(ISBLANK('2025'!$S204), 0, 1), 6, if(ISBLANK('2025'!$T204), 0, 1), 7, 0))), 1, "")</f>
        <v/>
      </c>
      <c r="G206" s="1" t="str">
        <f>IF(AND(AND(AND(G$4&gt;='2025'!$L204,G$4&lt;='2025'!$M204), G$4&lt;&gt;DATE(2025,7,4)), (SWITCH(weekday(G$4), 1, 0, 2, if(ISBLANK('2025'!$P204), 0, 1), 3, if(ISBLANK('2025'!$Q204), 0, 1), 4, if(ISBLANK('2025'!$R204), 0, 1), 5, if(ISBLANK('2025'!$S204), 0, 1), 6, if(ISBLANK('2025'!$T204), 0, 1), 7, 0))), 1, "")</f>
        <v/>
      </c>
      <c r="H206" s="1" t="str">
        <f>IF(AND(AND(AND(H$4&gt;='2025'!$L204,H$4&lt;='2025'!$M204), H$4&lt;&gt;DATE(2025,7,4)), (SWITCH(weekday(H$4), 1, 0, 2, if(ISBLANK('2025'!$P204), 0, 1), 3, if(ISBLANK('2025'!$Q204), 0, 1), 4, if(ISBLANK('2025'!$R204), 0, 1), 5, if(ISBLANK('2025'!$S204), 0, 1), 6, if(ISBLANK('2025'!$T204), 0, 1), 7, 0))), 1, "")</f>
        <v/>
      </c>
      <c r="I206" s="1" t="str">
        <f>IF(AND(AND(AND(I$4&gt;='2025'!$L204,I$4&lt;='2025'!$M204), I$4&lt;&gt;DATE(2025,7,4)), (SWITCH(weekday(I$4), 1, 0, 2, if(ISBLANK('2025'!$P204), 0, 1), 3, if(ISBLANK('2025'!$Q204), 0, 1), 4, if(ISBLANK('2025'!$R204), 0, 1), 5, if(ISBLANK('2025'!$S204), 0, 1), 6, if(ISBLANK('2025'!$T204), 0, 1), 7, 0))), 1, "")</f>
        <v/>
      </c>
      <c r="J206" s="1" t="str">
        <f>IF(AND(AND(AND(J$4&gt;='2025'!$L204,J$4&lt;='2025'!$M204), J$4&lt;&gt;DATE(2025,7,4)), (SWITCH(weekday(J$4), 1, 0, 2, if(ISBLANK('2025'!$P204), 0, 1), 3, if(ISBLANK('2025'!$Q204), 0, 1), 4, if(ISBLANK('2025'!$R204), 0, 1), 5, if(ISBLANK('2025'!$S204), 0, 1), 6, if(ISBLANK('2025'!$T204), 0, 1), 7, 0))), 1, "")</f>
        <v/>
      </c>
      <c r="K206" s="1" t="str">
        <f>IF(AND(AND(AND(K$4&gt;='2025'!$L204,K$4&lt;='2025'!$M204), K$4&lt;&gt;DATE(2025,7,4)), (SWITCH(weekday(K$4), 1, 0, 2, if(ISBLANK('2025'!$P204), 0, 1), 3, if(ISBLANK('2025'!$Q204), 0, 1), 4, if(ISBLANK('2025'!$R204), 0, 1), 5, if(ISBLANK('2025'!$S204), 0, 1), 6, if(ISBLANK('2025'!$T204), 0, 1), 7, 0))), 1, "")</f>
        <v/>
      </c>
      <c r="L206" s="1" t="str">
        <f>IF(AND(AND(AND(L$4&gt;='2025'!$L204,L$4&lt;='2025'!$M204), L$4&lt;&gt;DATE(2025,7,4)), (SWITCH(weekday(L$4), 1, 0, 2, if(ISBLANK('2025'!$P204), 0, 1), 3, if(ISBLANK('2025'!$Q204), 0, 1), 4, if(ISBLANK('2025'!$R204), 0, 1), 5, if(ISBLANK('2025'!$S204), 0, 1), 6, if(ISBLANK('2025'!$T204), 0, 1), 7, 0))), 1, "")</f>
        <v/>
      </c>
      <c r="M206" s="1" t="str">
        <f>IF(AND(AND(AND(M$4&gt;='2025'!$L204,M$4&lt;='2025'!$M204), M$4&lt;&gt;DATE(2025,7,4)), (SWITCH(weekday(M$4), 1, 0, 2, if(ISBLANK('2025'!$P204), 0, 1), 3, if(ISBLANK('2025'!$Q204), 0, 1), 4, if(ISBLANK('2025'!$R204), 0, 1), 5, if(ISBLANK('2025'!$S204), 0, 1), 6, if(ISBLANK('2025'!$T204), 0, 1), 7, 0))), 1, "")</f>
        <v/>
      </c>
      <c r="N206" s="1" t="str">
        <f>IF(AND(AND(AND(N$4&gt;='2025'!$L204,N$4&lt;='2025'!$M204), N$4&lt;&gt;DATE(2025,7,4)), (SWITCH(weekday(N$4), 1, 0, 2, if(ISBLANK('2025'!$P204), 0, 1), 3, if(ISBLANK('2025'!$Q204), 0, 1), 4, if(ISBLANK('2025'!$R204), 0, 1), 5, if(ISBLANK('2025'!$S204), 0, 1), 6, if(ISBLANK('2025'!$T204), 0, 1), 7, 0))), 1, "")</f>
        <v/>
      </c>
      <c r="O206" s="1" t="str">
        <f>IF(AND(AND(AND(O$4&gt;='2025'!$L204,O$4&lt;='2025'!$M204), O$4&lt;&gt;DATE(2025,7,4)), (SWITCH(weekday(O$4), 1, 0, 2, if(ISBLANK('2025'!$P204), 0, 1), 3, if(ISBLANK('2025'!$Q204), 0, 1), 4, if(ISBLANK('2025'!$R204), 0, 1), 5, if(ISBLANK('2025'!$S204), 0, 1), 6, if(ISBLANK('2025'!$T204), 0, 1), 7, 0))), 1, "")</f>
        <v/>
      </c>
      <c r="P206" s="1" t="str">
        <f>IF(AND(AND(AND(P$4&gt;='2025'!$L204,P$4&lt;='2025'!$M204), P$4&lt;&gt;DATE(2025,7,4)), (SWITCH(weekday(P$4), 1, 0, 2, if(ISBLANK('2025'!$P204), 0, 1), 3, if(ISBLANK('2025'!$Q204), 0, 1), 4, if(ISBLANK('2025'!$R204), 0, 1), 5, if(ISBLANK('2025'!$S204), 0, 1), 6, if(ISBLANK('2025'!$T204), 0, 1), 7, 0))), 1, "")</f>
        <v/>
      </c>
      <c r="Q206" s="1" t="str">
        <f>IF(AND(AND(AND(Q$4&gt;='2025'!$L204,Q$4&lt;='2025'!$M204), Q$4&lt;&gt;DATE(2025,7,4)), (SWITCH(weekday(Q$4), 1, 0, 2, if(ISBLANK('2025'!$P204), 0, 1), 3, if(ISBLANK('2025'!$Q204), 0, 1), 4, if(ISBLANK('2025'!$R204), 0, 1), 5, if(ISBLANK('2025'!$S204), 0, 1), 6, if(ISBLANK('2025'!$T204), 0, 1), 7, 0))), 1, "")</f>
        <v/>
      </c>
      <c r="R206" s="1" t="str">
        <f>IF(AND(AND(AND(R$4&gt;='2025'!$L204,R$4&lt;='2025'!$M204), R$4&lt;&gt;DATE(2025,7,4)), (SWITCH(weekday(R$4), 1, 0, 2, if(ISBLANK('2025'!$P204), 0, 1), 3, if(ISBLANK('2025'!$Q204), 0, 1), 4, if(ISBLANK('2025'!$R204), 0, 1), 5, if(ISBLANK('2025'!$S204), 0, 1), 6, if(ISBLANK('2025'!$T204), 0, 1), 7, 0))), 1, "")</f>
        <v/>
      </c>
      <c r="S206" s="1" t="str">
        <f>IF(AND(AND(AND(S$4&gt;='2025'!$L204,S$4&lt;='2025'!$M204), S$4&lt;&gt;DATE(2025,7,4)), (SWITCH(weekday(S$4), 1, 0, 2, if(ISBLANK('2025'!$P204), 0, 1), 3, if(ISBLANK('2025'!$Q204), 0, 1), 4, if(ISBLANK('2025'!$R204), 0, 1), 5, if(ISBLANK('2025'!$S204), 0, 1), 6, if(ISBLANK('2025'!$T204), 0, 1), 7, 0))), 1, "")</f>
        <v/>
      </c>
      <c r="T206" s="1" t="str">
        <f>IF(AND(AND(AND(T$4&gt;='2025'!$L204,T$4&lt;='2025'!$M204), T$4&lt;&gt;DATE(2025,7,4)), (SWITCH(weekday(T$4), 1, 0, 2, if(ISBLANK('2025'!$P204), 0, 1), 3, if(ISBLANK('2025'!$Q204), 0, 1), 4, if(ISBLANK('2025'!$R204), 0, 1), 5, if(ISBLANK('2025'!$S204), 0, 1), 6, if(ISBLANK('2025'!$T204), 0, 1), 7, 0))), 1, "")</f>
        <v/>
      </c>
      <c r="U206" s="1" t="str">
        <f>IF(AND(AND(AND(U$4&gt;='2025'!$L204,U$4&lt;='2025'!$M204), U$4&lt;&gt;DATE(2025,7,4)), (SWITCH(weekday(U$4), 1, 0, 2, if(ISBLANK('2025'!$P204), 0, 1), 3, if(ISBLANK('2025'!$Q204), 0, 1), 4, if(ISBLANK('2025'!$R204), 0, 1), 5, if(ISBLANK('2025'!$S204), 0, 1), 6, if(ISBLANK('2025'!$T204), 0, 1), 7, 0))), 1, "")</f>
        <v/>
      </c>
      <c r="V206" s="1" t="str">
        <f>IF(AND(AND(AND(V$4&gt;='2025'!$L204,V$4&lt;='2025'!$M204), V$4&lt;&gt;DATE(2025,7,4)), (SWITCH(weekday(V$4), 1, 0, 2, if(ISBLANK('2025'!$P204), 0, 1), 3, if(ISBLANK('2025'!$Q204), 0, 1), 4, if(ISBLANK('2025'!$R204), 0, 1), 5, if(ISBLANK('2025'!$S204), 0, 1), 6, if(ISBLANK('2025'!$T204), 0, 1), 7, 0))), 1, "")</f>
        <v/>
      </c>
      <c r="W206" s="1" t="str">
        <f>IF(AND(AND(AND(W$4&gt;='2025'!$L204,W$4&lt;='2025'!$M204), W$4&lt;&gt;DATE(2025,7,4)), (SWITCH(weekday(W$4), 1, 0, 2, if(ISBLANK('2025'!$P204), 0, 1), 3, if(ISBLANK('2025'!$Q204), 0, 1), 4, if(ISBLANK('2025'!$R204), 0, 1), 5, if(ISBLANK('2025'!$S204), 0, 1), 6, if(ISBLANK('2025'!$T204), 0, 1), 7, 0))), 1, "")</f>
        <v/>
      </c>
      <c r="X206" s="1" t="str">
        <f>IF(AND(AND(AND(X$4&gt;='2025'!$L204,X$4&lt;='2025'!$M204), X$4&lt;&gt;DATE(2025,7,4)), (SWITCH(weekday(X$4), 1, 0, 2, if(ISBLANK('2025'!$P204), 0, 1), 3, if(ISBLANK('2025'!$Q204), 0, 1), 4, if(ISBLANK('2025'!$R204), 0, 1), 5, if(ISBLANK('2025'!$S204), 0, 1), 6, if(ISBLANK('2025'!$T204), 0, 1), 7, 0))), 1, "")</f>
        <v/>
      </c>
      <c r="Y206" s="1" t="str">
        <f>IF(AND(AND(AND(Y$4&gt;='2025'!$L204,Y$4&lt;='2025'!$M204), Y$4&lt;&gt;DATE(2025,7,4)), (SWITCH(weekday(Y$4), 1, 0, 2, if(ISBLANK('2025'!$P204), 0, 1), 3, if(ISBLANK('2025'!$Q204), 0, 1), 4, if(ISBLANK('2025'!$R204), 0, 1), 5, if(ISBLANK('2025'!$S204), 0, 1), 6, if(ISBLANK('2025'!$T204), 0, 1), 7, 0))), 1, "")</f>
        <v/>
      </c>
      <c r="Z206" s="1" t="str">
        <f>IF(AND(AND(AND(Z$4&gt;='2025'!$L204,Z$4&lt;='2025'!$M204), Z$4&lt;&gt;DATE(2025,7,4)), (SWITCH(weekday(Z$4), 1, 0, 2, if(ISBLANK('2025'!$P204), 0, 1), 3, if(ISBLANK('2025'!$Q204), 0, 1), 4, if(ISBLANK('2025'!$R204), 0, 1), 5, if(ISBLANK('2025'!$S204), 0, 1), 6, if(ISBLANK('2025'!$T204), 0, 1), 7, 0))), 1, "")</f>
        <v/>
      </c>
      <c r="AA206" s="1" t="str">
        <f>IF(AND(AND(AND(AA$4&gt;='2025'!$L204,AA$4&lt;='2025'!$M204), AA$4&lt;&gt;DATE(2025,7,4)), (SWITCH(weekday(AA$4), 1, 0, 2, if(ISBLANK('2025'!$P204), 0, 1), 3, if(ISBLANK('2025'!$Q204), 0, 1), 4, if(ISBLANK('2025'!$R204), 0, 1), 5, if(ISBLANK('2025'!$S204), 0, 1), 6, if(ISBLANK('2025'!$T204), 0, 1), 7, 0))), 1, "")</f>
        <v/>
      </c>
      <c r="AB206" s="1" t="str">
        <f>IF(AND(AND(AND(AB$4&gt;='2025'!$L204,AB$4&lt;='2025'!$M204), AB$4&lt;&gt;DATE(2025,7,4)), (SWITCH(weekday(AB$4), 1, 0, 2, if(ISBLANK('2025'!$P204), 0, 1), 3, if(ISBLANK('2025'!$Q204), 0, 1), 4, if(ISBLANK('2025'!$R204), 0, 1), 5, if(ISBLANK('2025'!$S204), 0, 1), 6, if(ISBLANK('2025'!$T204), 0, 1), 7, 0))), 1, "")</f>
        <v/>
      </c>
      <c r="AC206" s="1" t="str">
        <f>IF(AND(AND(AND(AC$4&gt;='2025'!$L204,AC$4&lt;='2025'!$M204), AC$4&lt;&gt;DATE(2025,7,4)), (SWITCH(weekday(AC$4), 1, 0, 2, if(ISBLANK('2025'!$P204), 0, 1), 3, if(ISBLANK('2025'!$Q204), 0, 1), 4, if(ISBLANK('2025'!$R204), 0, 1), 5, if(ISBLANK('2025'!$S204), 0, 1), 6, if(ISBLANK('2025'!$T204), 0, 1), 7, 0))), 1, "")</f>
        <v/>
      </c>
      <c r="AD206" s="1" t="str">
        <f>IF(AND(AND(AND(AD$4&gt;='2025'!$L204,AD$4&lt;='2025'!$M204), AD$4&lt;&gt;DATE(2025,7,4)), (SWITCH(weekday(AD$4), 1, 0, 2, if(ISBLANK('2025'!$P204), 0, 1), 3, if(ISBLANK('2025'!$Q204), 0, 1), 4, if(ISBLANK('2025'!$R204), 0, 1), 5, if(ISBLANK('2025'!$S204), 0, 1), 6, if(ISBLANK('2025'!$T204), 0, 1), 7, 0))), 1, "")</f>
        <v/>
      </c>
      <c r="AE206" s="1" t="str">
        <f>IF(AND(AND(AND(AE$4&gt;='2025'!$L204,AE$4&lt;='2025'!$M204), AE$4&lt;&gt;DATE(2025,7,4)), (SWITCH(weekday(AE$4), 1, 0, 2, if(ISBLANK('2025'!$P204), 0, 1), 3, if(ISBLANK('2025'!$Q204), 0, 1), 4, if(ISBLANK('2025'!$R204), 0, 1), 5, if(ISBLANK('2025'!$S204), 0, 1), 6, if(ISBLANK('2025'!$T204), 0, 1), 7, 0))), 1, "")</f>
        <v/>
      </c>
      <c r="AF206" s="1" t="str">
        <f>IF(AND(AND(AND(AF$4&gt;='2025'!$L204,AF$4&lt;='2025'!$M204), AF$4&lt;&gt;DATE(2025,7,4)), (SWITCH(weekday(AF$4), 1, 0, 2, if(ISBLANK('2025'!$P204), 0, 1), 3, if(ISBLANK('2025'!$Q204), 0, 1), 4, if(ISBLANK('2025'!$R204), 0, 1), 5, if(ISBLANK('2025'!$S204), 0, 1), 6, if(ISBLANK('2025'!$T204), 0, 1), 7, 0))), 1, "")</f>
        <v/>
      </c>
      <c r="AG206" s="1" t="str">
        <f>IF(AND(AND(AND(AG$4&gt;='2025'!$L204,AG$4&lt;='2025'!$M204), AG$4&lt;&gt;DATE(2025,7,4)), (SWITCH(weekday(AG$4), 1, 0, 2, if(ISBLANK('2025'!$P204), 0, 1), 3, if(ISBLANK('2025'!$Q204), 0, 1), 4, if(ISBLANK('2025'!$R204), 0, 1), 5, if(ISBLANK('2025'!$S204), 0, 1), 6, if(ISBLANK('2025'!$T204), 0, 1), 7, 0))), 1, "")</f>
        <v/>
      </c>
      <c r="AH206" s="1" t="str">
        <f>IF(AND(AND(AND(AH$4&gt;='2025'!$L204,AH$4&lt;='2025'!$M204), AH$4&lt;&gt;DATE(2025,7,4)), (SWITCH(weekday(AH$4), 1, 0, 2, if(ISBLANK('2025'!$P204), 0, 1), 3, if(ISBLANK('2025'!$Q204), 0, 1), 4, if(ISBLANK('2025'!$R204), 0, 1), 5, if(ISBLANK('2025'!$S204), 0, 1), 6, if(ISBLANK('2025'!$T204), 0, 1), 7, 0))), 1, "")</f>
        <v/>
      </c>
      <c r="AI206" s="1" t="str">
        <f>IF(AND(AND(AND(AI$4&gt;='2025'!$L204,AI$4&lt;='2025'!$M204), AI$4&lt;&gt;DATE(2025,7,4)), (SWITCH(weekday(AI$4), 1, 0, 2, if(ISBLANK('2025'!$P204), 0, 1), 3, if(ISBLANK('2025'!$Q204), 0, 1), 4, if(ISBLANK('2025'!$R204), 0, 1), 5, if(ISBLANK('2025'!$S204), 0, 1), 6, if(ISBLANK('2025'!$T204), 0, 1), 7, 0))), 1, "")</f>
        <v/>
      </c>
      <c r="AJ206" s="1" t="str">
        <f>IF(AND(AND(AND(AJ$4&gt;='2025'!$L204,AJ$4&lt;='2025'!$M204), AJ$4&lt;&gt;DATE(2025,7,4)), (SWITCH(weekday(AJ$4), 1, 0, 2, if(ISBLANK('2025'!$P204), 0, 1), 3, if(ISBLANK('2025'!$Q204), 0, 1), 4, if(ISBLANK('2025'!$R204), 0, 1), 5, if(ISBLANK('2025'!$S204), 0, 1), 6, if(ISBLANK('2025'!$T204), 0, 1), 7, 0))), 1, "")</f>
        <v/>
      </c>
      <c r="AK206" s="1" t="str">
        <f>IF(AND(AND(AND(AK$4&gt;='2025'!$L204,AK$4&lt;='2025'!$M204), AK$4&lt;&gt;DATE(2025,7,4)), (SWITCH(weekday(AK$4), 1, 0, 2, if(ISBLANK('2025'!$P204), 0, 1), 3, if(ISBLANK('2025'!$Q204), 0, 1), 4, if(ISBLANK('2025'!$R204), 0, 1), 5, if(ISBLANK('2025'!$S204), 0, 1), 6, if(ISBLANK('2025'!$T204), 0, 1), 7, 0))), 1, "")</f>
        <v/>
      </c>
      <c r="AL206" s="1" t="str">
        <f>IF(AND(AND(AND(AL$4&gt;='2025'!$L204,AL$4&lt;='2025'!$M204), AL$4&lt;&gt;DATE(2025,7,4)), (SWITCH(weekday(AL$4), 1, 0, 2, if(ISBLANK('2025'!$P204), 0, 1), 3, if(ISBLANK('2025'!$Q204), 0, 1), 4, if(ISBLANK('2025'!$R204), 0, 1), 5, if(ISBLANK('2025'!$S204), 0, 1), 6, if(ISBLANK('2025'!$T204), 0, 1), 7, 0))), 1, "")</f>
        <v/>
      </c>
      <c r="AM206" s="1" t="str">
        <f>IF(AND(AND(AND(AM$4&gt;='2025'!$L204,AM$4&lt;='2025'!$M204), AM$4&lt;&gt;DATE(2025,7,4)), (SWITCH(weekday(AM$4), 1, 0, 2, if(ISBLANK('2025'!$P204), 0, 1), 3, if(ISBLANK('2025'!$Q204), 0, 1), 4, if(ISBLANK('2025'!$R204), 0, 1), 5, if(ISBLANK('2025'!$S204), 0, 1), 6, if(ISBLANK('2025'!$T204), 0, 1), 7, 0))), 1, "")</f>
        <v/>
      </c>
      <c r="AN206" s="1" t="str">
        <f>IF(AND(AND(AND(AN$4&gt;='2025'!$L204,AN$4&lt;='2025'!$M204), AN$4&lt;&gt;DATE(2025,7,4)), (SWITCH(weekday(AN$4), 1, 0, 2, if(ISBLANK('2025'!$P204), 0, 1), 3, if(ISBLANK('2025'!$Q204), 0, 1), 4, if(ISBLANK('2025'!$R204), 0, 1), 5, if(ISBLANK('2025'!$S204), 0, 1), 6, if(ISBLANK('2025'!$T204), 0, 1), 7, 0))), 1, "")</f>
        <v/>
      </c>
      <c r="AO206" s="1" t="str">
        <f>IF(AND(AND(AND(AO$4&gt;='2025'!$L204,AO$4&lt;='2025'!$M204), AO$4&lt;&gt;DATE(2025,7,4)), (SWITCH(weekday(AO$4), 1, 0, 2, if(ISBLANK('2025'!$P204), 0, 1), 3, if(ISBLANK('2025'!$Q204), 0, 1), 4, if(ISBLANK('2025'!$R204), 0, 1), 5, if(ISBLANK('2025'!$S204), 0, 1), 6, if(ISBLANK('2025'!$T204), 0, 1), 7, 0))), 1, "")</f>
        <v/>
      </c>
      <c r="AP206" s="1" t="str">
        <f>IF(AND(AND(AND(AP$4&gt;='2025'!$L204,AP$4&lt;='2025'!$M204), AP$4&lt;&gt;DATE(2025,7,4)), (SWITCH(weekday(AP$4), 1, 0, 2, if(ISBLANK('2025'!$P204), 0, 1), 3, if(ISBLANK('2025'!$Q204), 0, 1), 4, if(ISBLANK('2025'!$R204), 0, 1), 5, if(ISBLANK('2025'!$S204), 0, 1), 6, if(ISBLANK('2025'!$T204), 0, 1), 7, 0))), 1, "")</f>
        <v/>
      </c>
      <c r="AQ206" s="1" t="str">
        <f>IF(AND(AND(AND(AQ$4&gt;='2025'!$L204,AQ$4&lt;='2025'!$M204), AQ$4&lt;&gt;DATE(2025,7,4)), (SWITCH(weekday(AQ$4), 1, 0, 2, if(ISBLANK('2025'!$P204), 0, 1), 3, if(ISBLANK('2025'!$Q204), 0, 1), 4, if(ISBLANK('2025'!$R204), 0, 1), 5, if(ISBLANK('2025'!$S204), 0, 1), 6, if(ISBLANK('2025'!$T204), 0, 1), 7, 0))), 1, "")</f>
        <v/>
      </c>
      <c r="AR206" s="1" t="str">
        <f>IF(AND(AND(AND(AR$4&gt;='2025'!$L204,AR$4&lt;='2025'!$M204), AR$4&lt;&gt;DATE(2025,7,4)), (SWITCH(weekday(AR$4), 1, 0, 2, if(ISBLANK('2025'!$P204), 0, 1), 3, if(ISBLANK('2025'!$Q204), 0, 1), 4, if(ISBLANK('2025'!$R204), 0, 1), 5, if(ISBLANK('2025'!$S204), 0, 1), 6, if(ISBLANK('2025'!$T204), 0, 1), 7, 0))), 1, "")</f>
        <v/>
      </c>
      <c r="AS206" s="1" t="str">
        <f>IF(AND(AND(AND(AS$4&gt;='2025'!$L204,AS$4&lt;='2025'!$M204), AS$4&lt;&gt;DATE(2025,7,4)), (SWITCH(weekday(AS$4), 1, 0, 2, if(ISBLANK('2025'!$P204), 0, 1), 3, if(ISBLANK('2025'!$Q204), 0, 1), 4, if(ISBLANK('2025'!$R204), 0, 1), 5, if(ISBLANK('2025'!$S204), 0, 1), 6, if(ISBLANK('2025'!$T204), 0, 1), 7, 0))), 1, "")</f>
        <v/>
      </c>
      <c r="AT206" s="1" t="str">
        <f>IF(AND(AND(AND(AT$4&gt;='2025'!$L204,AT$4&lt;='2025'!$M204), AT$4&lt;&gt;DATE(2025,7,4)), (SWITCH(weekday(AT$4), 1, 0, 2, if(ISBLANK('2025'!$P204), 0, 1), 3, if(ISBLANK('2025'!$Q204), 0, 1), 4, if(ISBLANK('2025'!$R204), 0, 1), 5, if(ISBLANK('2025'!$S204), 0, 1), 6, if(ISBLANK('2025'!$T204), 0, 1), 7, 0))), 1, "")</f>
        <v/>
      </c>
      <c r="AU206" s="1" t="str">
        <f>IF(AND(AND(AND(AU$4&gt;='2025'!$L204,AU$4&lt;='2025'!$M204), AU$4&lt;&gt;DATE(2025,7,4)), (SWITCH(weekday(AU$4), 1, 0, 2, if(ISBLANK('2025'!$P204), 0, 1), 3, if(ISBLANK('2025'!$Q204), 0, 1), 4, if(ISBLANK('2025'!$R204), 0, 1), 5, if(ISBLANK('2025'!$S204), 0, 1), 6, if(ISBLANK('2025'!$T204), 0, 1), 7, 0))), 1, "")</f>
        <v/>
      </c>
      <c r="AV206" s="1" t="str">
        <f>IF(AND(AND(AND(AV$4&gt;='2025'!$L204,AV$4&lt;='2025'!$M204), AV$4&lt;&gt;DATE(2025,7,4)), (SWITCH(weekday(AV$4), 1, 0, 2, if(ISBLANK('2025'!$P204), 0, 1), 3, if(ISBLANK('2025'!$Q204), 0, 1), 4, if(ISBLANK('2025'!$R204), 0, 1), 5, if(ISBLANK('2025'!$S204), 0, 1), 6, if(ISBLANK('2025'!$T204), 0, 1), 7, 0))), 1, "")</f>
        <v/>
      </c>
      <c r="AW206" s="1" t="str">
        <f>IF(AND(AND(AND(AW$4&gt;='2025'!$L204,AW$4&lt;='2025'!$M204), AW$4&lt;&gt;DATE(2025,7,4)), (SWITCH(weekday(AW$4), 1, 0, 2, if(ISBLANK('2025'!$P204), 0, 1), 3, if(ISBLANK('2025'!$Q204), 0, 1), 4, if(ISBLANK('2025'!$R204), 0, 1), 5, if(ISBLANK('2025'!$S204), 0, 1), 6, if(ISBLANK('2025'!$T204), 0, 1), 7, 0))), 1, "")</f>
        <v/>
      </c>
      <c r="AX206" s="1" t="str">
        <f>IF(AND(AND(AND(AX$4&gt;='2025'!$L204,AX$4&lt;='2025'!$M204), AX$4&lt;&gt;DATE(2025,7,4)), (SWITCH(weekday(AX$4), 1, 0, 2, if(ISBLANK('2025'!$P204), 0, 1), 3, if(ISBLANK('2025'!$Q204), 0, 1), 4, if(ISBLANK('2025'!$R204), 0, 1), 5, if(ISBLANK('2025'!$S204), 0, 1), 6, if(ISBLANK('2025'!$T204), 0, 1), 7, 0))), 1, "")</f>
        <v/>
      </c>
      <c r="AY206" s="1" t="str">
        <f>IF(AND(AND(AND(AY$4&gt;='2025'!$L204,AY$4&lt;='2025'!$M204), AY$4&lt;&gt;DATE(2025,7,4)), (SWITCH(weekday(AY$4), 1, 0, 2, if(ISBLANK('2025'!$P204), 0, 1), 3, if(ISBLANK('2025'!$Q204), 0, 1), 4, if(ISBLANK('2025'!$R204), 0, 1), 5, if(ISBLANK('2025'!$S204), 0, 1), 6, if(ISBLANK('2025'!$T204), 0, 1), 7, 0))), 1, "")</f>
        <v/>
      </c>
      <c r="AZ206" s="1" t="str">
        <f>IF(AND(AND(AND(AZ$4&gt;='2025'!$L204,AZ$4&lt;='2025'!$M204), AZ$4&lt;&gt;DATE(2025,7,4)), (SWITCH(weekday(AZ$4), 1, 0, 2, if(ISBLANK('2025'!$P204), 0, 1), 3, if(ISBLANK('2025'!$Q204), 0, 1), 4, if(ISBLANK('2025'!$R204), 0, 1), 5, if(ISBLANK('2025'!$S204), 0, 1), 6, if(ISBLANK('2025'!$T204), 0, 1), 7, 0))), 1, "")</f>
        <v/>
      </c>
      <c r="BA206" s="1" t="str">
        <f>IF(AND(AND(AND(BA$4&gt;='2025'!$L204,BA$4&lt;='2025'!$M204), BA$4&lt;&gt;DATE(2025,7,4)), (SWITCH(weekday(BA$4), 1, 0, 2, if(ISBLANK('2025'!$P204), 0, 1), 3, if(ISBLANK('2025'!$Q204), 0, 1), 4, if(ISBLANK('2025'!$R204), 0, 1), 5, if(ISBLANK('2025'!$S204), 0, 1), 6, if(ISBLANK('2025'!$T204), 0, 1), 7, 0))), 1, "")</f>
        <v/>
      </c>
      <c r="BB206" s="1" t="str">
        <f>IF(AND(AND(AND(BB$4&gt;='2025'!$L204,BB$4&lt;='2025'!$M204), BB$4&lt;&gt;DATE(2025,7,4)), (SWITCH(weekday(BB$4), 1, 0, 2, if(ISBLANK('2025'!$P204), 0, 1), 3, if(ISBLANK('2025'!$Q204), 0, 1), 4, if(ISBLANK('2025'!$R204), 0, 1), 5, if(ISBLANK('2025'!$S204), 0, 1), 6, if(ISBLANK('2025'!$T204), 0, 1), 7, 0))), 1, "")</f>
        <v/>
      </c>
      <c r="BC206" s="1" t="str">
        <f>IF(AND(AND(AND(BC$4&gt;='2025'!$L204,BC$4&lt;='2025'!$M204), BC$4&lt;&gt;DATE(2025,7,4)), (SWITCH(weekday(BC$4), 1, 0, 2, if(ISBLANK('2025'!$P204), 0, 1), 3, if(ISBLANK('2025'!$Q204), 0, 1), 4, if(ISBLANK('2025'!$R204), 0, 1), 5, if(ISBLANK('2025'!$S204), 0, 1), 6, if(ISBLANK('2025'!$T204), 0, 1), 7, 0))), 1, "")</f>
        <v/>
      </c>
      <c r="BD206" s="1" t="str">
        <f>IF(AND(AND(AND(BD$4&gt;='2025'!$L204,BD$4&lt;='2025'!$M204), BD$4&lt;&gt;DATE(2025,7,4)), (SWITCH(weekday(BD$4), 1, 0, 2, if(ISBLANK('2025'!$P204), 0, 1), 3, if(ISBLANK('2025'!$Q204), 0, 1), 4, if(ISBLANK('2025'!$R204), 0, 1), 5, if(ISBLANK('2025'!$S204), 0, 1), 6, if(ISBLANK('2025'!$T204), 0, 1), 7, 0))), 1, "")</f>
        <v/>
      </c>
      <c r="BE206" s="1" t="str">
        <f>IF(AND(AND(AND(BE$4&gt;='2025'!$L204,BE$4&lt;='2025'!$M204), BE$4&lt;&gt;DATE(2025,7,4)), (SWITCH(weekday(BE$4), 1, 0, 2, if(ISBLANK('2025'!$P204), 0, 1), 3, if(ISBLANK('2025'!$Q204), 0, 1), 4, if(ISBLANK('2025'!$R204), 0, 1), 5, if(ISBLANK('2025'!$S204), 0, 1), 6, if(ISBLANK('2025'!$T204), 0, 1), 7, 0))), 1, "")</f>
        <v/>
      </c>
      <c r="BF206" s="1" t="str">
        <f>IF(AND(AND(AND(BF$4&gt;='2025'!$L204,BF$4&lt;='2025'!$M204), BF$4&lt;&gt;DATE(2025,7,4)), (SWITCH(weekday(BF$4), 1, 0, 2, if(ISBLANK('2025'!$P204), 0, 1), 3, if(ISBLANK('2025'!$Q204), 0, 1), 4, if(ISBLANK('2025'!$R204), 0, 1), 5, if(ISBLANK('2025'!$S204), 0, 1), 6, if(ISBLANK('2025'!$T204), 0, 1), 7, 0))), 1, "")</f>
        <v/>
      </c>
      <c r="BG206" s="1"/>
      <c r="BH206" s="1"/>
      <c r="BI206" s="1"/>
      <c r="BJ206" s="1"/>
      <c r="BK206" s="1"/>
      <c r="BL206" s="1"/>
    </row>
    <row r="207">
      <c r="A207" s="1">
        <f t="shared" si="3"/>
        <v>207</v>
      </c>
      <c r="B207" s="1" t="str">
        <f>'2025'!D171</f>
        <v>, </v>
      </c>
      <c r="C207" s="1" t="str">
        <f>'2025'!H171</f>
        <v/>
      </c>
      <c r="D207" s="1" t="str">
        <f>IF(AND(AND(AND(D$4&gt;='2025'!$L205,D$4&lt;='2025'!$M205), D$4&lt;&gt;DATE(2025,7,4)), (SWITCH(weekday(D$4), 1, 0, 2, if(ISBLANK('2025'!$P205), 0, 1), 3, if(ISBLANK('2025'!$Q205), 0, 1), 4, if(ISBLANK('2025'!$R205), 0, 1), 5, if(ISBLANK('2025'!$S205), 0, 1), 6, if(ISBLANK('2025'!$T205), 0, 1), 7, 0))), 1, "")</f>
        <v/>
      </c>
      <c r="E207" s="1" t="str">
        <f>IF(AND(AND(AND(E$4&gt;='2025'!$L205,E$4&lt;='2025'!$M205), E$4&lt;&gt;DATE(2025,7,4)), (SWITCH(weekday(E$4), 1, 0, 2, if(ISBLANK('2025'!$P205), 0, 1), 3, if(ISBLANK('2025'!$Q205), 0, 1), 4, if(ISBLANK('2025'!$R205), 0, 1), 5, if(ISBLANK('2025'!$S205), 0, 1), 6, if(ISBLANK('2025'!$T205), 0, 1), 7, 0))), 1, "")</f>
        <v/>
      </c>
      <c r="F207" s="1" t="str">
        <f>IF(AND(AND(AND(F$4&gt;='2025'!$L205,F$4&lt;='2025'!$M205), F$4&lt;&gt;DATE(2025,7,4)), (SWITCH(weekday(F$4), 1, 0, 2, if(ISBLANK('2025'!$P205), 0, 1), 3, if(ISBLANK('2025'!$Q205), 0, 1), 4, if(ISBLANK('2025'!$R205), 0, 1), 5, if(ISBLANK('2025'!$S205), 0, 1), 6, if(ISBLANK('2025'!$T205), 0, 1), 7, 0))), 1, "")</f>
        <v/>
      </c>
      <c r="G207" s="1" t="str">
        <f>IF(AND(AND(AND(G$4&gt;='2025'!$L205,G$4&lt;='2025'!$M205), G$4&lt;&gt;DATE(2025,7,4)), (SWITCH(weekday(G$4), 1, 0, 2, if(ISBLANK('2025'!$P205), 0, 1), 3, if(ISBLANK('2025'!$Q205), 0, 1), 4, if(ISBLANK('2025'!$R205), 0, 1), 5, if(ISBLANK('2025'!$S205), 0, 1), 6, if(ISBLANK('2025'!$T205), 0, 1), 7, 0))), 1, "")</f>
        <v/>
      </c>
      <c r="H207" s="1" t="str">
        <f>IF(AND(AND(AND(H$4&gt;='2025'!$L205,H$4&lt;='2025'!$M205), H$4&lt;&gt;DATE(2025,7,4)), (SWITCH(weekday(H$4), 1, 0, 2, if(ISBLANK('2025'!$P205), 0, 1), 3, if(ISBLANK('2025'!$Q205), 0, 1), 4, if(ISBLANK('2025'!$R205), 0, 1), 5, if(ISBLANK('2025'!$S205), 0, 1), 6, if(ISBLANK('2025'!$T205), 0, 1), 7, 0))), 1, "")</f>
        <v/>
      </c>
      <c r="I207" s="1" t="str">
        <f>IF(AND(AND(AND(I$4&gt;='2025'!$L205,I$4&lt;='2025'!$M205), I$4&lt;&gt;DATE(2025,7,4)), (SWITCH(weekday(I$4), 1, 0, 2, if(ISBLANK('2025'!$P205), 0, 1), 3, if(ISBLANK('2025'!$Q205), 0, 1), 4, if(ISBLANK('2025'!$R205), 0, 1), 5, if(ISBLANK('2025'!$S205), 0, 1), 6, if(ISBLANK('2025'!$T205), 0, 1), 7, 0))), 1, "")</f>
        <v/>
      </c>
      <c r="J207" s="1" t="str">
        <f>IF(AND(AND(AND(J$4&gt;='2025'!$L205,J$4&lt;='2025'!$M205), J$4&lt;&gt;DATE(2025,7,4)), (SWITCH(weekday(J$4), 1, 0, 2, if(ISBLANK('2025'!$P205), 0, 1), 3, if(ISBLANK('2025'!$Q205), 0, 1), 4, if(ISBLANK('2025'!$R205), 0, 1), 5, if(ISBLANK('2025'!$S205), 0, 1), 6, if(ISBLANK('2025'!$T205), 0, 1), 7, 0))), 1, "")</f>
        <v/>
      </c>
      <c r="K207" s="1" t="str">
        <f>IF(AND(AND(AND(K$4&gt;='2025'!$L205,K$4&lt;='2025'!$M205), K$4&lt;&gt;DATE(2025,7,4)), (SWITCH(weekday(K$4), 1, 0, 2, if(ISBLANK('2025'!$P205), 0, 1), 3, if(ISBLANK('2025'!$Q205), 0, 1), 4, if(ISBLANK('2025'!$R205), 0, 1), 5, if(ISBLANK('2025'!$S205), 0, 1), 6, if(ISBLANK('2025'!$T205), 0, 1), 7, 0))), 1, "")</f>
        <v/>
      </c>
      <c r="L207" s="1" t="str">
        <f>IF(AND(AND(AND(L$4&gt;='2025'!$L205,L$4&lt;='2025'!$M205), L$4&lt;&gt;DATE(2025,7,4)), (SWITCH(weekday(L$4), 1, 0, 2, if(ISBLANK('2025'!$P205), 0, 1), 3, if(ISBLANK('2025'!$Q205), 0, 1), 4, if(ISBLANK('2025'!$R205), 0, 1), 5, if(ISBLANK('2025'!$S205), 0, 1), 6, if(ISBLANK('2025'!$T205), 0, 1), 7, 0))), 1, "")</f>
        <v/>
      </c>
      <c r="M207" s="1" t="str">
        <f>IF(AND(AND(AND(M$4&gt;='2025'!$L205,M$4&lt;='2025'!$M205), M$4&lt;&gt;DATE(2025,7,4)), (SWITCH(weekday(M$4), 1, 0, 2, if(ISBLANK('2025'!$P205), 0, 1), 3, if(ISBLANK('2025'!$Q205), 0, 1), 4, if(ISBLANK('2025'!$R205), 0, 1), 5, if(ISBLANK('2025'!$S205), 0, 1), 6, if(ISBLANK('2025'!$T205), 0, 1), 7, 0))), 1, "")</f>
        <v/>
      </c>
      <c r="N207" s="1" t="str">
        <f>IF(AND(AND(AND(N$4&gt;='2025'!$L205,N$4&lt;='2025'!$M205), N$4&lt;&gt;DATE(2025,7,4)), (SWITCH(weekday(N$4), 1, 0, 2, if(ISBLANK('2025'!$P205), 0, 1), 3, if(ISBLANK('2025'!$Q205), 0, 1), 4, if(ISBLANK('2025'!$R205), 0, 1), 5, if(ISBLANK('2025'!$S205), 0, 1), 6, if(ISBLANK('2025'!$T205), 0, 1), 7, 0))), 1, "")</f>
        <v/>
      </c>
      <c r="O207" s="1" t="str">
        <f>IF(AND(AND(AND(O$4&gt;='2025'!$L205,O$4&lt;='2025'!$M205), O$4&lt;&gt;DATE(2025,7,4)), (SWITCH(weekday(O$4), 1, 0, 2, if(ISBLANK('2025'!$P205), 0, 1), 3, if(ISBLANK('2025'!$Q205), 0, 1), 4, if(ISBLANK('2025'!$R205), 0, 1), 5, if(ISBLANK('2025'!$S205), 0, 1), 6, if(ISBLANK('2025'!$T205), 0, 1), 7, 0))), 1, "")</f>
        <v/>
      </c>
      <c r="P207" s="1" t="str">
        <f>IF(AND(AND(AND(P$4&gt;='2025'!$L205,P$4&lt;='2025'!$M205), P$4&lt;&gt;DATE(2025,7,4)), (SWITCH(weekday(P$4), 1, 0, 2, if(ISBLANK('2025'!$P205), 0, 1), 3, if(ISBLANK('2025'!$Q205), 0, 1), 4, if(ISBLANK('2025'!$R205), 0, 1), 5, if(ISBLANK('2025'!$S205), 0, 1), 6, if(ISBLANK('2025'!$T205), 0, 1), 7, 0))), 1, "")</f>
        <v/>
      </c>
      <c r="Q207" s="1" t="str">
        <f>IF(AND(AND(AND(Q$4&gt;='2025'!$L205,Q$4&lt;='2025'!$M205), Q$4&lt;&gt;DATE(2025,7,4)), (SWITCH(weekday(Q$4), 1, 0, 2, if(ISBLANK('2025'!$P205), 0, 1), 3, if(ISBLANK('2025'!$Q205), 0, 1), 4, if(ISBLANK('2025'!$R205), 0, 1), 5, if(ISBLANK('2025'!$S205), 0, 1), 6, if(ISBLANK('2025'!$T205), 0, 1), 7, 0))), 1, "")</f>
        <v/>
      </c>
      <c r="R207" s="1" t="str">
        <f>IF(AND(AND(AND(R$4&gt;='2025'!$L205,R$4&lt;='2025'!$M205), R$4&lt;&gt;DATE(2025,7,4)), (SWITCH(weekday(R$4), 1, 0, 2, if(ISBLANK('2025'!$P205), 0, 1), 3, if(ISBLANK('2025'!$Q205), 0, 1), 4, if(ISBLANK('2025'!$R205), 0, 1), 5, if(ISBLANK('2025'!$S205), 0, 1), 6, if(ISBLANK('2025'!$T205), 0, 1), 7, 0))), 1, "")</f>
        <v/>
      </c>
      <c r="S207" s="1" t="str">
        <f>IF(AND(AND(AND(S$4&gt;='2025'!$L205,S$4&lt;='2025'!$M205), S$4&lt;&gt;DATE(2025,7,4)), (SWITCH(weekday(S$4), 1, 0, 2, if(ISBLANK('2025'!$P205), 0, 1), 3, if(ISBLANK('2025'!$Q205), 0, 1), 4, if(ISBLANK('2025'!$R205), 0, 1), 5, if(ISBLANK('2025'!$S205), 0, 1), 6, if(ISBLANK('2025'!$T205), 0, 1), 7, 0))), 1, "")</f>
        <v/>
      </c>
      <c r="T207" s="1" t="str">
        <f>IF(AND(AND(AND(T$4&gt;='2025'!$L205,T$4&lt;='2025'!$M205), T$4&lt;&gt;DATE(2025,7,4)), (SWITCH(weekday(T$4), 1, 0, 2, if(ISBLANK('2025'!$P205), 0, 1), 3, if(ISBLANK('2025'!$Q205), 0, 1), 4, if(ISBLANK('2025'!$R205), 0, 1), 5, if(ISBLANK('2025'!$S205), 0, 1), 6, if(ISBLANK('2025'!$T205), 0, 1), 7, 0))), 1, "")</f>
        <v/>
      </c>
      <c r="U207" s="1" t="str">
        <f>IF(AND(AND(AND(U$4&gt;='2025'!$L205,U$4&lt;='2025'!$M205), U$4&lt;&gt;DATE(2025,7,4)), (SWITCH(weekday(U$4), 1, 0, 2, if(ISBLANK('2025'!$P205), 0, 1), 3, if(ISBLANK('2025'!$Q205), 0, 1), 4, if(ISBLANK('2025'!$R205), 0, 1), 5, if(ISBLANK('2025'!$S205), 0, 1), 6, if(ISBLANK('2025'!$T205), 0, 1), 7, 0))), 1, "")</f>
        <v/>
      </c>
      <c r="V207" s="1" t="str">
        <f>IF(AND(AND(AND(V$4&gt;='2025'!$L205,V$4&lt;='2025'!$M205), V$4&lt;&gt;DATE(2025,7,4)), (SWITCH(weekday(V$4), 1, 0, 2, if(ISBLANK('2025'!$P205), 0, 1), 3, if(ISBLANK('2025'!$Q205), 0, 1), 4, if(ISBLANK('2025'!$R205), 0, 1), 5, if(ISBLANK('2025'!$S205), 0, 1), 6, if(ISBLANK('2025'!$T205), 0, 1), 7, 0))), 1, "")</f>
        <v/>
      </c>
      <c r="W207" s="1" t="str">
        <f>IF(AND(AND(AND(W$4&gt;='2025'!$L205,W$4&lt;='2025'!$M205), W$4&lt;&gt;DATE(2025,7,4)), (SWITCH(weekday(W$4), 1, 0, 2, if(ISBLANK('2025'!$P205), 0, 1), 3, if(ISBLANK('2025'!$Q205), 0, 1), 4, if(ISBLANK('2025'!$R205), 0, 1), 5, if(ISBLANK('2025'!$S205), 0, 1), 6, if(ISBLANK('2025'!$T205), 0, 1), 7, 0))), 1, "")</f>
        <v/>
      </c>
      <c r="X207" s="1" t="str">
        <f>IF(AND(AND(AND(X$4&gt;='2025'!$L205,X$4&lt;='2025'!$M205), X$4&lt;&gt;DATE(2025,7,4)), (SWITCH(weekday(X$4), 1, 0, 2, if(ISBLANK('2025'!$P205), 0, 1), 3, if(ISBLANK('2025'!$Q205), 0, 1), 4, if(ISBLANK('2025'!$R205), 0, 1), 5, if(ISBLANK('2025'!$S205), 0, 1), 6, if(ISBLANK('2025'!$T205), 0, 1), 7, 0))), 1, "")</f>
        <v/>
      </c>
      <c r="Y207" s="1" t="str">
        <f>IF(AND(AND(AND(Y$4&gt;='2025'!$L205,Y$4&lt;='2025'!$M205), Y$4&lt;&gt;DATE(2025,7,4)), (SWITCH(weekday(Y$4), 1, 0, 2, if(ISBLANK('2025'!$P205), 0, 1), 3, if(ISBLANK('2025'!$Q205), 0, 1), 4, if(ISBLANK('2025'!$R205), 0, 1), 5, if(ISBLANK('2025'!$S205), 0, 1), 6, if(ISBLANK('2025'!$T205), 0, 1), 7, 0))), 1, "")</f>
        <v/>
      </c>
      <c r="Z207" s="1" t="str">
        <f>IF(AND(AND(AND(Z$4&gt;='2025'!$L205,Z$4&lt;='2025'!$M205), Z$4&lt;&gt;DATE(2025,7,4)), (SWITCH(weekday(Z$4), 1, 0, 2, if(ISBLANK('2025'!$P205), 0, 1), 3, if(ISBLANK('2025'!$Q205), 0, 1), 4, if(ISBLANK('2025'!$R205), 0, 1), 5, if(ISBLANK('2025'!$S205), 0, 1), 6, if(ISBLANK('2025'!$T205), 0, 1), 7, 0))), 1, "")</f>
        <v/>
      </c>
      <c r="AA207" s="1" t="str">
        <f>IF(AND(AND(AND(AA$4&gt;='2025'!$L205,AA$4&lt;='2025'!$M205), AA$4&lt;&gt;DATE(2025,7,4)), (SWITCH(weekday(AA$4), 1, 0, 2, if(ISBLANK('2025'!$P205), 0, 1), 3, if(ISBLANK('2025'!$Q205), 0, 1), 4, if(ISBLANK('2025'!$R205), 0, 1), 5, if(ISBLANK('2025'!$S205), 0, 1), 6, if(ISBLANK('2025'!$T205), 0, 1), 7, 0))), 1, "")</f>
        <v/>
      </c>
      <c r="AB207" s="1" t="str">
        <f>IF(AND(AND(AND(AB$4&gt;='2025'!$L205,AB$4&lt;='2025'!$M205), AB$4&lt;&gt;DATE(2025,7,4)), (SWITCH(weekday(AB$4), 1, 0, 2, if(ISBLANK('2025'!$P205), 0, 1), 3, if(ISBLANK('2025'!$Q205), 0, 1), 4, if(ISBLANK('2025'!$R205), 0, 1), 5, if(ISBLANK('2025'!$S205), 0, 1), 6, if(ISBLANK('2025'!$T205), 0, 1), 7, 0))), 1, "")</f>
        <v/>
      </c>
      <c r="AC207" s="1" t="str">
        <f>IF(AND(AND(AND(AC$4&gt;='2025'!$L205,AC$4&lt;='2025'!$M205), AC$4&lt;&gt;DATE(2025,7,4)), (SWITCH(weekday(AC$4), 1, 0, 2, if(ISBLANK('2025'!$P205), 0, 1), 3, if(ISBLANK('2025'!$Q205), 0, 1), 4, if(ISBLANK('2025'!$R205), 0, 1), 5, if(ISBLANK('2025'!$S205), 0, 1), 6, if(ISBLANK('2025'!$T205), 0, 1), 7, 0))), 1, "")</f>
        <v/>
      </c>
      <c r="AD207" s="1" t="str">
        <f>IF(AND(AND(AND(AD$4&gt;='2025'!$L205,AD$4&lt;='2025'!$M205), AD$4&lt;&gt;DATE(2025,7,4)), (SWITCH(weekday(AD$4), 1, 0, 2, if(ISBLANK('2025'!$P205), 0, 1), 3, if(ISBLANK('2025'!$Q205), 0, 1), 4, if(ISBLANK('2025'!$R205), 0, 1), 5, if(ISBLANK('2025'!$S205), 0, 1), 6, if(ISBLANK('2025'!$T205), 0, 1), 7, 0))), 1, "")</f>
        <v/>
      </c>
      <c r="AE207" s="1" t="str">
        <f>IF(AND(AND(AND(AE$4&gt;='2025'!$L205,AE$4&lt;='2025'!$M205), AE$4&lt;&gt;DATE(2025,7,4)), (SWITCH(weekday(AE$4), 1, 0, 2, if(ISBLANK('2025'!$P205), 0, 1), 3, if(ISBLANK('2025'!$Q205), 0, 1), 4, if(ISBLANK('2025'!$R205), 0, 1), 5, if(ISBLANK('2025'!$S205), 0, 1), 6, if(ISBLANK('2025'!$T205), 0, 1), 7, 0))), 1, "")</f>
        <v/>
      </c>
      <c r="AF207" s="1" t="str">
        <f>IF(AND(AND(AND(AF$4&gt;='2025'!$L205,AF$4&lt;='2025'!$M205), AF$4&lt;&gt;DATE(2025,7,4)), (SWITCH(weekday(AF$4), 1, 0, 2, if(ISBLANK('2025'!$P205), 0, 1), 3, if(ISBLANK('2025'!$Q205), 0, 1), 4, if(ISBLANK('2025'!$R205), 0, 1), 5, if(ISBLANK('2025'!$S205), 0, 1), 6, if(ISBLANK('2025'!$T205), 0, 1), 7, 0))), 1, "")</f>
        <v/>
      </c>
      <c r="AG207" s="1" t="str">
        <f>IF(AND(AND(AND(AG$4&gt;='2025'!$L205,AG$4&lt;='2025'!$M205), AG$4&lt;&gt;DATE(2025,7,4)), (SWITCH(weekday(AG$4), 1, 0, 2, if(ISBLANK('2025'!$P205), 0, 1), 3, if(ISBLANK('2025'!$Q205), 0, 1), 4, if(ISBLANK('2025'!$R205), 0, 1), 5, if(ISBLANK('2025'!$S205), 0, 1), 6, if(ISBLANK('2025'!$T205), 0, 1), 7, 0))), 1, "")</f>
        <v/>
      </c>
      <c r="AH207" s="1" t="str">
        <f>IF(AND(AND(AND(AH$4&gt;='2025'!$L205,AH$4&lt;='2025'!$M205), AH$4&lt;&gt;DATE(2025,7,4)), (SWITCH(weekday(AH$4), 1, 0, 2, if(ISBLANK('2025'!$P205), 0, 1), 3, if(ISBLANK('2025'!$Q205), 0, 1), 4, if(ISBLANK('2025'!$R205), 0, 1), 5, if(ISBLANK('2025'!$S205), 0, 1), 6, if(ISBLANK('2025'!$T205), 0, 1), 7, 0))), 1, "")</f>
        <v/>
      </c>
      <c r="AI207" s="1" t="str">
        <f>IF(AND(AND(AND(AI$4&gt;='2025'!$L205,AI$4&lt;='2025'!$M205), AI$4&lt;&gt;DATE(2025,7,4)), (SWITCH(weekday(AI$4), 1, 0, 2, if(ISBLANK('2025'!$P205), 0, 1), 3, if(ISBLANK('2025'!$Q205), 0, 1), 4, if(ISBLANK('2025'!$R205), 0, 1), 5, if(ISBLANK('2025'!$S205), 0, 1), 6, if(ISBLANK('2025'!$T205), 0, 1), 7, 0))), 1, "")</f>
        <v/>
      </c>
      <c r="AJ207" s="1" t="str">
        <f>IF(AND(AND(AND(AJ$4&gt;='2025'!$L205,AJ$4&lt;='2025'!$M205), AJ$4&lt;&gt;DATE(2025,7,4)), (SWITCH(weekday(AJ$4), 1, 0, 2, if(ISBLANK('2025'!$P205), 0, 1), 3, if(ISBLANK('2025'!$Q205), 0, 1), 4, if(ISBLANK('2025'!$R205), 0, 1), 5, if(ISBLANK('2025'!$S205), 0, 1), 6, if(ISBLANK('2025'!$T205), 0, 1), 7, 0))), 1, "")</f>
        <v/>
      </c>
      <c r="AK207" s="1" t="str">
        <f>IF(AND(AND(AND(AK$4&gt;='2025'!$L205,AK$4&lt;='2025'!$M205), AK$4&lt;&gt;DATE(2025,7,4)), (SWITCH(weekday(AK$4), 1, 0, 2, if(ISBLANK('2025'!$P205), 0, 1), 3, if(ISBLANK('2025'!$Q205), 0, 1), 4, if(ISBLANK('2025'!$R205), 0, 1), 5, if(ISBLANK('2025'!$S205), 0, 1), 6, if(ISBLANK('2025'!$T205), 0, 1), 7, 0))), 1, "")</f>
        <v/>
      </c>
      <c r="AL207" s="1" t="str">
        <f>IF(AND(AND(AND(AL$4&gt;='2025'!$L205,AL$4&lt;='2025'!$M205), AL$4&lt;&gt;DATE(2025,7,4)), (SWITCH(weekday(AL$4), 1, 0, 2, if(ISBLANK('2025'!$P205), 0, 1), 3, if(ISBLANK('2025'!$Q205), 0, 1), 4, if(ISBLANK('2025'!$R205), 0, 1), 5, if(ISBLANK('2025'!$S205), 0, 1), 6, if(ISBLANK('2025'!$T205), 0, 1), 7, 0))), 1, "")</f>
        <v/>
      </c>
      <c r="AM207" s="1" t="str">
        <f>IF(AND(AND(AND(AM$4&gt;='2025'!$L205,AM$4&lt;='2025'!$M205), AM$4&lt;&gt;DATE(2025,7,4)), (SWITCH(weekday(AM$4), 1, 0, 2, if(ISBLANK('2025'!$P205), 0, 1), 3, if(ISBLANK('2025'!$Q205), 0, 1), 4, if(ISBLANK('2025'!$R205), 0, 1), 5, if(ISBLANK('2025'!$S205), 0, 1), 6, if(ISBLANK('2025'!$T205), 0, 1), 7, 0))), 1, "")</f>
        <v/>
      </c>
      <c r="AN207" s="1" t="str">
        <f>IF(AND(AND(AND(AN$4&gt;='2025'!$L205,AN$4&lt;='2025'!$M205), AN$4&lt;&gt;DATE(2025,7,4)), (SWITCH(weekday(AN$4), 1, 0, 2, if(ISBLANK('2025'!$P205), 0, 1), 3, if(ISBLANK('2025'!$Q205), 0, 1), 4, if(ISBLANK('2025'!$R205), 0, 1), 5, if(ISBLANK('2025'!$S205), 0, 1), 6, if(ISBLANK('2025'!$T205), 0, 1), 7, 0))), 1, "")</f>
        <v/>
      </c>
      <c r="AO207" s="1" t="str">
        <f>IF(AND(AND(AND(AO$4&gt;='2025'!$L205,AO$4&lt;='2025'!$M205), AO$4&lt;&gt;DATE(2025,7,4)), (SWITCH(weekday(AO$4), 1, 0, 2, if(ISBLANK('2025'!$P205), 0, 1), 3, if(ISBLANK('2025'!$Q205), 0, 1), 4, if(ISBLANK('2025'!$R205), 0, 1), 5, if(ISBLANK('2025'!$S205), 0, 1), 6, if(ISBLANK('2025'!$T205), 0, 1), 7, 0))), 1, "")</f>
        <v/>
      </c>
      <c r="AP207" s="1" t="str">
        <f>IF(AND(AND(AND(AP$4&gt;='2025'!$L205,AP$4&lt;='2025'!$M205), AP$4&lt;&gt;DATE(2025,7,4)), (SWITCH(weekday(AP$4), 1, 0, 2, if(ISBLANK('2025'!$P205), 0, 1), 3, if(ISBLANK('2025'!$Q205), 0, 1), 4, if(ISBLANK('2025'!$R205), 0, 1), 5, if(ISBLANK('2025'!$S205), 0, 1), 6, if(ISBLANK('2025'!$T205), 0, 1), 7, 0))), 1, "")</f>
        <v/>
      </c>
      <c r="AQ207" s="1" t="str">
        <f>IF(AND(AND(AND(AQ$4&gt;='2025'!$L205,AQ$4&lt;='2025'!$M205), AQ$4&lt;&gt;DATE(2025,7,4)), (SWITCH(weekday(AQ$4), 1, 0, 2, if(ISBLANK('2025'!$P205), 0, 1), 3, if(ISBLANK('2025'!$Q205), 0, 1), 4, if(ISBLANK('2025'!$R205), 0, 1), 5, if(ISBLANK('2025'!$S205), 0, 1), 6, if(ISBLANK('2025'!$T205), 0, 1), 7, 0))), 1, "")</f>
        <v/>
      </c>
      <c r="AR207" s="1" t="str">
        <f>IF(AND(AND(AND(AR$4&gt;='2025'!$L205,AR$4&lt;='2025'!$M205), AR$4&lt;&gt;DATE(2025,7,4)), (SWITCH(weekday(AR$4), 1, 0, 2, if(ISBLANK('2025'!$P205), 0, 1), 3, if(ISBLANK('2025'!$Q205), 0, 1), 4, if(ISBLANK('2025'!$R205), 0, 1), 5, if(ISBLANK('2025'!$S205), 0, 1), 6, if(ISBLANK('2025'!$T205), 0, 1), 7, 0))), 1, "")</f>
        <v/>
      </c>
      <c r="AS207" s="1" t="str">
        <f>IF(AND(AND(AND(AS$4&gt;='2025'!$L205,AS$4&lt;='2025'!$M205), AS$4&lt;&gt;DATE(2025,7,4)), (SWITCH(weekday(AS$4), 1, 0, 2, if(ISBLANK('2025'!$P205), 0, 1), 3, if(ISBLANK('2025'!$Q205), 0, 1), 4, if(ISBLANK('2025'!$R205), 0, 1), 5, if(ISBLANK('2025'!$S205), 0, 1), 6, if(ISBLANK('2025'!$T205), 0, 1), 7, 0))), 1, "")</f>
        <v/>
      </c>
      <c r="AT207" s="1" t="str">
        <f>IF(AND(AND(AND(AT$4&gt;='2025'!$L205,AT$4&lt;='2025'!$M205), AT$4&lt;&gt;DATE(2025,7,4)), (SWITCH(weekday(AT$4), 1, 0, 2, if(ISBLANK('2025'!$P205), 0, 1), 3, if(ISBLANK('2025'!$Q205), 0, 1), 4, if(ISBLANK('2025'!$R205), 0, 1), 5, if(ISBLANK('2025'!$S205), 0, 1), 6, if(ISBLANK('2025'!$T205), 0, 1), 7, 0))), 1, "")</f>
        <v/>
      </c>
      <c r="AU207" s="1" t="str">
        <f>IF(AND(AND(AND(AU$4&gt;='2025'!$L205,AU$4&lt;='2025'!$M205), AU$4&lt;&gt;DATE(2025,7,4)), (SWITCH(weekday(AU$4), 1, 0, 2, if(ISBLANK('2025'!$P205), 0, 1), 3, if(ISBLANK('2025'!$Q205), 0, 1), 4, if(ISBLANK('2025'!$R205), 0, 1), 5, if(ISBLANK('2025'!$S205), 0, 1), 6, if(ISBLANK('2025'!$T205), 0, 1), 7, 0))), 1, "")</f>
        <v/>
      </c>
      <c r="AV207" s="1" t="str">
        <f>IF(AND(AND(AND(AV$4&gt;='2025'!$L205,AV$4&lt;='2025'!$M205), AV$4&lt;&gt;DATE(2025,7,4)), (SWITCH(weekday(AV$4), 1, 0, 2, if(ISBLANK('2025'!$P205), 0, 1), 3, if(ISBLANK('2025'!$Q205), 0, 1), 4, if(ISBLANK('2025'!$R205), 0, 1), 5, if(ISBLANK('2025'!$S205), 0, 1), 6, if(ISBLANK('2025'!$T205), 0, 1), 7, 0))), 1, "")</f>
        <v/>
      </c>
      <c r="AW207" s="1" t="str">
        <f>IF(AND(AND(AND(AW$4&gt;='2025'!$L205,AW$4&lt;='2025'!$M205), AW$4&lt;&gt;DATE(2025,7,4)), (SWITCH(weekday(AW$4), 1, 0, 2, if(ISBLANK('2025'!$P205), 0, 1), 3, if(ISBLANK('2025'!$Q205), 0, 1), 4, if(ISBLANK('2025'!$R205), 0, 1), 5, if(ISBLANK('2025'!$S205), 0, 1), 6, if(ISBLANK('2025'!$T205), 0, 1), 7, 0))), 1, "")</f>
        <v/>
      </c>
      <c r="AX207" s="1" t="str">
        <f>IF(AND(AND(AND(AX$4&gt;='2025'!$L205,AX$4&lt;='2025'!$M205), AX$4&lt;&gt;DATE(2025,7,4)), (SWITCH(weekday(AX$4), 1, 0, 2, if(ISBLANK('2025'!$P205), 0, 1), 3, if(ISBLANK('2025'!$Q205), 0, 1), 4, if(ISBLANK('2025'!$R205), 0, 1), 5, if(ISBLANK('2025'!$S205), 0, 1), 6, if(ISBLANK('2025'!$T205), 0, 1), 7, 0))), 1, "")</f>
        <v/>
      </c>
      <c r="AY207" s="1" t="str">
        <f>IF(AND(AND(AND(AY$4&gt;='2025'!$L205,AY$4&lt;='2025'!$M205), AY$4&lt;&gt;DATE(2025,7,4)), (SWITCH(weekday(AY$4), 1, 0, 2, if(ISBLANK('2025'!$P205), 0, 1), 3, if(ISBLANK('2025'!$Q205), 0, 1), 4, if(ISBLANK('2025'!$R205), 0, 1), 5, if(ISBLANK('2025'!$S205), 0, 1), 6, if(ISBLANK('2025'!$T205), 0, 1), 7, 0))), 1, "")</f>
        <v/>
      </c>
      <c r="AZ207" s="1" t="str">
        <f>IF(AND(AND(AND(AZ$4&gt;='2025'!$L205,AZ$4&lt;='2025'!$M205), AZ$4&lt;&gt;DATE(2025,7,4)), (SWITCH(weekday(AZ$4), 1, 0, 2, if(ISBLANK('2025'!$P205), 0, 1), 3, if(ISBLANK('2025'!$Q205), 0, 1), 4, if(ISBLANK('2025'!$R205), 0, 1), 5, if(ISBLANK('2025'!$S205), 0, 1), 6, if(ISBLANK('2025'!$T205), 0, 1), 7, 0))), 1, "")</f>
        <v/>
      </c>
      <c r="BA207" s="1" t="str">
        <f>IF(AND(AND(AND(BA$4&gt;='2025'!$L205,BA$4&lt;='2025'!$M205), BA$4&lt;&gt;DATE(2025,7,4)), (SWITCH(weekday(BA$4), 1, 0, 2, if(ISBLANK('2025'!$P205), 0, 1), 3, if(ISBLANK('2025'!$Q205), 0, 1), 4, if(ISBLANK('2025'!$R205), 0, 1), 5, if(ISBLANK('2025'!$S205), 0, 1), 6, if(ISBLANK('2025'!$T205), 0, 1), 7, 0))), 1, "")</f>
        <v/>
      </c>
      <c r="BB207" s="1" t="str">
        <f>IF(AND(AND(AND(BB$4&gt;='2025'!$L205,BB$4&lt;='2025'!$M205), BB$4&lt;&gt;DATE(2025,7,4)), (SWITCH(weekday(BB$4), 1, 0, 2, if(ISBLANK('2025'!$P205), 0, 1), 3, if(ISBLANK('2025'!$Q205), 0, 1), 4, if(ISBLANK('2025'!$R205), 0, 1), 5, if(ISBLANK('2025'!$S205), 0, 1), 6, if(ISBLANK('2025'!$T205), 0, 1), 7, 0))), 1, "")</f>
        <v/>
      </c>
      <c r="BC207" s="1" t="str">
        <f>IF(AND(AND(AND(BC$4&gt;='2025'!$L205,BC$4&lt;='2025'!$M205), BC$4&lt;&gt;DATE(2025,7,4)), (SWITCH(weekday(BC$4), 1, 0, 2, if(ISBLANK('2025'!$P205), 0, 1), 3, if(ISBLANK('2025'!$Q205), 0, 1), 4, if(ISBLANK('2025'!$R205), 0, 1), 5, if(ISBLANK('2025'!$S205), 0, 1), 6, if(ISBLANK('2025'!$T205), 0, 1), 7, 0))), 1, "")</f>
        <v/>
      </c>
      <c r="BD207" s="1" t="str">
        <f>IF(AND(AND(AND(BD$4&gt;='2025'!$L205,BD$4&lt;='2025'!$M205), BD$4&lt;&gt;DATE(2025,7,4)), (SWITCH(weekday(BD$4), 1, 0, 2, if(ISBLANK('2025'!$P205), 0, 1), 3, if(ISBLANK('2025'!$Q205), 0, 1), 4, if(ISBLANK('2025'!$R205), 0, 1), 5, if(ISBLANK('2025'!$S205), 0, 1), 6, if(ISBLANK('2025'!$T205), 0, 1), 7, 0))), 1, "")</f>
        <v/>
      </c>
      <c r="BE207" s="1" t="str">
        <f>IF(AND(AND(AND(BE$4&gt;='2025'!$L205,BE$4&lt;='2025'!$M205), BE$4&lt;&gt;DATE(2025,7,4)), (SWITCH(weekday(BE$4), 1, 0, 2, if(ISBLANK('2025'!$P205), 0, 1), 3, if(ISBLANK('2025'!$Q205), 0, 1), 4, if(ISBLANK('2025'!$R205), 0, 1), 5, if(ISBLANK('2025'!$S205), 0, 1), 6, if(ISBLANK('2025'!$T205), 0, 1), 7, 0))), 1, "")</f>
        <v/>
      </c>
      <c r="BF207" s="1" t="str">
        <f>IF(AND(AND(AND(BF$4&gt;='2025'!$L205,BF$4&lt;='2025'!$M205), BF$4&lt;&gt;DATE(2025,7,4)), (SWITCH(weekday(BF$4), 1, 0, 2, if(ISBLANK('2025'!$P205), 0, 1), 3, if(ISBLANK('2025'!$Q205), 0, 1), 4, if(ISBLANK('2025'!$R205), 0, 1), 5, if(ISBLANK('2025'!$S205), 0, 1), 6, if(ISBLANK('2025'!$T205), 0, 1), 7, 0))), 1, "")</f>
        <v/>
      </c>
      <c r="BG207" s="1"/>
      <c r="BH207" s="1"/>
      <c r="BI207" s="1"/>
      <c r="BJ207" s="1"/>
      <c r="BK207" s="1"/>
      <c r="BL207" s="1"/>
    </row>
    <row r="208">
      <c r="A208" s="1">
        <f t="shared" si="3"/>
        <v>208</v>
      </c>
      <c r="B208" s="1" t="str">
        <f>'2025'!D172</f>
        <v>, </v>
      </c>
      <c r="C208" s="1" t="str">
        <f>'2025'!H172</f>
        <v/>
      </c>
      <c r="D208" s="1" t="str">
        <f>IF(AND(AND(AND(D$4&gt;='2025'!$L206,D$4&lt;='2025'!$M206), D$4&lt;&gt;DATE(2025,7,4)), (SWITCH(weekday(D$4), 1, 0, 2, if(ISBLANK('2025'!$P206), 0, 1), 3, if(ISBLANK('2025'!$Q206), 0, 1), 4, if(ISBLANK('2025'!$R206), 0, 1), 5, if(ISBLANK('2025'!$S206), 0, 1), 6, if(ISBLANK('2025'!$T206), 0, 1), 7, 0))), 1, "")</f>
        <v/>
      </c>
      <c r="E208" s="1" t="str">
        <f>IF(AND(AND(AND(E$4&gt;='2025'!$L206,E$4&lt;='2025'!$M206), E$4&lt;&gt;DATE(2025,7,4)), (SWITCH(weekday(E$4), 1, 0, 2, if(ISBLANK('2025'!$P206), 0, 1), 3, if(ISBLANK('2025'!$Q206), 0, 1), 4, if(ISBLANK('2025'!$R206), 0, 1), 5, if(ISBLANK('2025'!$S206), 0, 1), 6, if(ISBLANK('2025'!$T206), 0, 1), 7, 0))), 1, "")</f>
        <v/>
      </c>
      <c r="F208" s="1" t="str">
        <f>IF(AND(AND(AND(F$4&gt;='2025'!$L206,F$4&lt;='2025'!$M206), F$4&lt;&gt;DATE(2025,7,4)), (SWITCH(weekday(F$4), 1, 0, 2, if(ISBLANK('2025'!$P206), 0, 1), 3, if(ISBLANK('2025'!$Q206), 0, 1), 4, if(ISBLANK('2025'!$R206), 0, 1), 5, if(ISBLANK('2025'!$S206), 0, 1), 6, if(ISBLANK('2025'!$T206), 0, 1), 7, 0))), 1, "")</f>
        <v/>
      </c>
      <c r="G208" s="1" t="str">
        <f>IF(AND(AND(AND(G$4&gt;='2025'!$L206,G$4&lt;='2025'!$M206), G$4&lt;&gt;DATE(2025,7,4)), (SWITCH(weekday(G$4), 1, 0, 2, if(ISBLANK('2025'!$P206), 0, 1), 3, if(ISBLANK('2025'!$Q206), 0, 1), 4, if(ISBLANK('2025'!$R206), 0, 1), 5, if(ISBLANK('2025'!$S206), 0, 1), 6, if(ISBLANK('2025'!$T206), 0, 1), 7, 0))), 1, "")</f>
        <v/>
      </c>
      <c r="H208" s="1" t="str">
        <f>IF(AND(AND(AND(H$4&gt;='2025'!$L206,H$4&lt;='2025'!$M206), H$4&lt;&gt;DATE(2025,7,4)), (SWITCH(weekday(H$4), 1, 0, 2, if(ISBLANK('2025'!$P206), 0, 1), 3, if(ISBLANK('2025'!$Q206), 0, 1), 4, if(ISBLANK('2025'!$R206), 0, 1), 5, if(ISBLANK('2025'!$S206), 0, 1), 6, if(ISBLANK('2025'!$T206), 0, 1), 7, 0))), 1, "")</f>
        <v/>
      </c>
      <c r="I208" s="1" t="str">
        <f>IF(AND(AND(AND(I$4&gt;='2025'!$L206,I$4&lt;='2025'!$M206), I$4&lt;&gt;DATE(2025,7,4)), (SWITCH(weekday(I$4), 1, 0, 2, if(ISBLANK('2025'!$P206), 0, 1), 3, if(ISBLANK('2025'!$Q206), 0, 1), 4, if(ISBLANK('2025'!$R206), 0, 1), 5, if(ISBLANK('2025'!$S206), 0, 1), 6, if(ISBLANK('2025'!$T206), 0, 1), 7, 0))), 1, "")</f>
        <v/>
      </c>
      <c r="J208" s="1" t="str">
        <f>IF(AND(AND(AND(J$4&gt;='2025'!$L206,J$4&lt;='2025'!$M206), J$4&lt;&gt;DATE(2025,7,4)), (SWITCH(weekday(J$4), 1, 0, 2, if(ISBLANK('2025'!$P206), 0, 1), 3, if(ISBLANK('2025'!$Q206), 0, 1), 4, if(ISBLANK('2025'!$R206), 0, 1), 5, if(ISBLANK('2025'!$S206), 0, 1), 6, if(ISBLANK('2025'!$T206), 0, 1), 7, 0))), 1, "")</f>
        <v/>
      </c>
      <c r="K208" s="1" t="str">
        <f>IF(AND(AND(AND(K$4&gt;='2025'!$L206,K$4&lt;='2025'!$M206), K$4&lt;&gt;DATE(2025,7,4)), (SWITCH(weekday(K$4), 1, 0, 2, if(ISBLANK('2025'!$P206), 0, 1), 3, if(ISBLANK('2025'!$Q206), 0, 1), 4, if(ISBLANK('2025'!$R206), 0, 1), 5, if(ISBLANK('2025'!$S206), 0, 1), 6, if(ISBLANK('2025'!$T206), 0, 1), 7, 0))), 1, "")</f>
        <v/>
      </c>
      <c r="L208" s="1" t="str">
        <f>IF(AND(AND(AND(L$4&gt;='2025'!$L206,L$4&lt;='2025'!$M206), L$4&lt;&gt;DATE(2025,7,4)), (SWITCH(weekday(L$4), 1, 0, 2, if(ISBLANK('2025'!$P206), 0, 1), 3, if(ISBLANK('2025'!$Q206), 0, 1), 4, if(ISBLANK('2025'!$R206), 0, 1), 5, if(ISBLANK('2025'!$S206), 0, 1), 6, if(ISBLANK('2025'!$T206), 0, 1), 7, 0))), 1, "")</f>
        <v/>
      </c>
      <c r="M208" s="1" t="str">
        <f>IF(AND(AND(AND(M$4&gt;='2025'!$L206,M$4&lt;='2025'!$M206), M$4&lt;&gt;DATE(2025,7,4)), (SWITCH(weekday(M$4), 1, 0, 2, if(ISBLANK('2025'!$P206), 0, 1), 3, if(ISBLANK('2025'!$Q206), 0, 1), 4, if(ISBLANK('2025'!$R206), 0, 1), 5, if(ISBLANK('2025'!$S206), 0, 1), 6, if(ISBLANK('2025'!$T206), 0, 1), 7, 0))), 1, "")</f>
        <v/>
      </c>
      <c r="N208" s="1" t="str">
        <f>IF(AND(AND(AND(N$4&gt;='2025'!$L206,N$4&lt;='2025'!$M206), N$4&lt;&gt;DATE(2025,7,4)), (SWITCH(weekday(N$4), 1, 0, 2, if(ISBLANK('2025'!$P206), 0, 1), 3, if(ISBLANK('2025'!$Q206), 0, 1), 4, if(ISBLANK('2025'!$R206), 0, 1), 5, if(ISBLANK('2025'!$S206), 0, 1), 6, if(ISBLANK('2025'!$T206), 0, 1), 7, 0))), 1, "")</f>
        <v/>
      </c>
      <c r="O208" s="1" t="str">
        <f>IF(AND(AND(AND(O$4&gt;='2025'!$L206,O$4&lt;='2025'!$M206), O$4&lt;&gt;DATE(2025,7,4)), (SWITCH(weekday(O$4), 1, 0, 2, if(ISBLANK('2025'!$P206), 0, 1), 3, if(ISBLANK('2025'!$Q206), 0, 1), 4, if(ISBLANK('2025'!$R206), 0, 1), 5, if(ISBLANK('2025'!$S206), 0, 1), 6, if(ISBLANK('2025'!$T206), 0, 1), 7, 0))), 1, "")</f>
        <v/>
      </c>
      <c r="P208" s="1" t="str">
        <f>IF(AND(AND(AND(P$4&gt;='2025'!$L206,P$4&lt;='2025'!$M206), P$4&lt;&gt;DATE(2025,7,4)), (SWITCH(weekday(P$4), 1, 0, 2, if(ISBLANK('2025'!$P206), 0, 1), 3, if(ISBLANK('2025'!$Q206), 0, 1), 4, if(ISBLANK('2025'!$R206), 0, 1), 5, if(ISBLANK('2025'!$S206), 0, 1), 6, if(ISBLANK('2025'!$T206), 0, 1), 7, 0))), 1, "")</f>
        <v/>
      </c>
      <c r="Q208" s="1" t="str">
        <f>IF(AND(AND(AND(Q$4&gt;='2025'!$L206,Q$4&lt;='2025'!$M206), Q$4&lt;&gt;DATE(2025,7,4)), (SWITCH(weekday(Q$4), 1, 0, 2, if(ISBLANK('2025'!$P206), 0, 1), 3, if(ISBLANK('2025'!$Q206), 0, 1), 4, if(ISBLANK('2025'!$R206), 0, 1), 5, if(ISBLANK('2025'!$S206), 0, 1), 6, if(ISBLANK('2025'!$T206), 0, 1), 7, 0))), 1, "")</f>
        <v/>
      </c>
      <c r="R208" s="1" t="str">
        <f>IF(AND(AND(AND(R$4&gt;='2025'!$L206,R$4&lt;='2025'!$M206), R$4&lt;&gt;DATE(2025,7,4)), (SWITCH(weekday(R$4), 1, 0, 2, if(ISBLANK('2025'!$P206), 0, 1), 3, if(ISBLANK('2025'!$Q206), 0, 1), 4, if(ISBLANK('2025'!$R206), 0, 1), 5, if(ISBLANK('2025'!$S206), 0, 1), 6, if(ISBLANK('2025'!$T206), 0, 1), 7, 0))), 1, "")</f>
        <v/>
      </c>
      <c r="S208" s="1" t="str">
        <f>IF(AND(AND(AND(S$4&gt;='2025'!$L206,S$4&lt;='2025'!$M206), S$4&lt;&gt;DATE(2025,7,4)), (SWITCH(weekday(S$4), 1, 0, 2, if(ISBLANK('2025'!$P206), 0, 1), 3, if(ISBLANK('2025'!$Q206), 0, 1), 4, if(ISBLANK('2025'!$R206), 0, 1), 5, if(ISBLANK('2025'!$S206), 0, 1), 6, if(ISBLANK('2025'!$T206), 0, 1), 7, 0))), 1, "")</f>
        <v/>
      </c>
      <c r="T208" s="1" t="str">
        <f>IF(AND(AND(AND(T$4&gt;='2025'!$L206,T$4&lt;='2025'!$M206), T$4&lt;&gt;DATE(2025,7,4)), (SWITCH(weekday(T$4), 1, 0, 2, if(ISBLANK('2025'!$P206), 0, 1), 3, if(ISBLANK('2025'!$Q206), 0, 1), 4, if(ISBLANK('2025'!$R206), 0, 1), 5, if(ISBLANK('2025'!$S206), 0, 1), 6, if(ISBLANK('2025'!$T206), 0, 1), 7, 0))), 1, "")</f>
        <v/>
      </c>
      <c r="U208" s="1" t="str">
        <f>IF(AND(AND(AND(U$4&gt;='2025'!$L206,U$4&lt;='2025'!$M206), U$4&lt;&gt;DATE(2025,7,4)), (SWITCH(weekday(U$4), 1, 0, 2, if(ISBLANK('2025'!$P206), 0, 1), 3, if(ISBLANK('2025'!$Q206), 0, 1), 4, if(ISBLANK('2025'!$R206), 0, 1), 5, if(ISBLANK('2025'!$S206), 0, 1), 6, if(ISBLANK('2025'!$T206), 0, 1), 7, 0))), 1, "")</f>
        <v/>
      </c>
      <c r="V208" s="1" t="str">
        <f>IF(AND(AND(AND(V$4&gt;='2025'!$L206,V$4&lt;='2025'!$M206), V$4&lt;&gt;DATE(2025,7,4)), (SWITCH(weekday(V$4), 1, 0, 2, if(ISBLANK('2025'!$P206), 0, 1), 3, if(ISBLANK('2025'!$Q206), 0, 1), 4, if(ISBLANK('2025'!$R206), 0, 1), 5, if(ISBLANK('2025'!$S206), 0, 1), 6, if(ISBLANK('2025'!$T206), 0, 1), 7, 0))), 1, "")</f>
        <v/>
      </c>
      <c r="W208" s="1" t="str">
        <f>IF(AND(AND(AND(W$4&gt;='2025'!$L206,W$4&lt;='2025'!$M206), W$4&lt;&gt;DATE(2025,7,4)), (SWITCH(weekday(W$4), 1, 0, 2, if(ISBLANK('2025'!$P206), 0, 1), 3, if(ISBLANK('2025'!$Q206), 0, 1), 4, if(ISBLANK('2025'!$R206), 0, 1), 5, if(ISBLANK('2025'!$S206), 0, 1), 6, if(ISBLANK('2025'!$T206), 0, 1), 7, 0))), 1, "")</f>
        <v/>
      </c>
      <c r="X208" s="1" t="str">
        <f>IF(AND(AND(AND(X$4&gt;='2025'!$L206,X$4&lt;='2025'!$M206), X$4&lt;&gt;DATE(2025,7,4)), (SWITCH(weekday(X$4), 1, 0, 2, if(ISBLANK('2025'!$P206), 0, 1), 3, if(ISBLANK('2025'!$Q206), 0, 1), 4, if(ISBLANK('2025'!$R206), 0, 1), 5, if(ISBLANK('2025'!$S206), 0, 1), 6, if(ISBLANK('2025'!$T206), 0, 1), 7, 0))), 1, "")</f>
        <v/>
      </c>
      <c r="Y208" s="1" t="str">
        <f>IF(AND(AND(AND(Y$4&gt;='2025'!$L206,Y$4&lt;='2025'!$M206), Y$4&lt;&gt;DATE(2025,7,4)), (SWITCH(weekday(Y$4), 1, 0, 2, if(ISBLANK('2025'!$P206), 0, 1), 3, if(ISBLANK('2025'!$Q206), 0, 1), 4, if(ISBLANK('2025'!$R206), 0, 1), 5, if(ISBLANK('2025'!$S206), 0, 1), 6, if(ISBLANK('2025'!$T206), 0, 1), 7, 0))), 1, "")</f>
        <v/>
      </c>
      <c r="Z208" s="1" t="str">
        <f>IF(AND(AND(AND(Z$4&gt;='2025'!$L206,Z$4&lt;='2025'!$M206), Z$4&lt;&gt;DATE(2025,7,4)), (SWITCH(weekday(Z$4), 1, 0, 2, if(ISBLANK('2025'!$P206), 0, 1), 3, if(ISBLANK('2025'!$Q206), 0, 1), 4, if(ISBLANK('2025'!$R206), 0, 1), 5, if(ISBLANK('2025'!$S206), 0, 1), 6, if(ISBLANK('2025'!$T206), 0, 1), 7, 0))), 1, "")</f>
        <v/>
      </c>
      <c r="AA208" s="1" t="str">
        <f>IF(AND(AND(AND(AA$4&gt;='2025'!$L206,AA$4&lt;='2025'!$M206), AA$4&lt;&gt;DATE(2025,7,4)), (SWITCH(weekday(AA$4), 1, 0, 2, if(ISBLANK('2025'!$P206), 0, 1), 3, if(ISBLANK('2025'!$Q206), 0, 1), 4, if(ISBLANK('2025'!$R206), 0, 1), 5, if(ISBLANK('2025'!$S206), 0, 1), 6, if(ISBLANK('2025'!$T206), 0, 1), 7, 0))), 1, "")</f>
        <v/>
      </c>
      <c r="AB208" s="1" t="str">
        <f>IF(AND(AND(AND(AB$4&gt;='2025'!$L206,AB$4&lt;='2025'!$M206), AB$4&lt;&gt;DATE(2025,7,4)), (SWITCH(weekday(AB$4), 1, 0, 2, if(ISBLANK('2025'!$P206), 0, 1), 3, if(ISBLANK('2025'!$Q206), 0, 1), 4, if(ISBLANK('2025'!$R206), 0, 1), 5, if(ISBLANK('2025'!$S206), 0, 1), 6, if(ISBLANK('2025'!$T206), 0, 1), 7, 0))), 1, "")</f>
        <v/>
      </c>
      <c r="AC208" s="1" t="str">
        <f>IF(AND(AND(AND(AC$4&gt;='2025'!$L206,AC$4&lt;='2025'!$M206), AC$4&lt;&gt;DATE(2025,7,4)), (SWITCH(weekday(AC$4), 1, 0, 2, if(ISBLANK('2025'!$P206), 0, 1), 3, if(ISBLANK('2025'!$Q206), 0, 1), 4, if(ISBLANK('2025'!$R206), 0, 1), 5, if(ISBLANK('2025'!$S206), 0, 1), 6, if(ISBLANK('2025'!$T206), 0, 1), 7, 0))), 1, "")</f>
        <v/>
      </c>
      <c r="AD208" s="1" t="str">
        <f>IF(AND(AND(AND(AD$4&gt;='2025'!$L206,AD$4&lt;='2025'!$M206), AD$4&lt;&gt;DATE(2025,7,4)), (SWITCH(weekday(AD$4), 1, 0, 2, if(ISBLANK('2025'!$P206), 0, 1), 3, if(ISBLANK('2025'!$Q206), 0, 1), 4, if(ISBLANK('2025'!$R206), 0, 1), 5, if(ISBLANK('2025'!$S206), 0, 1), 6, if(ISBLANK('2025'!$T206), 0, 1), 7, 0))), 1, "")</f>
        <v/>
      </c>
      <c r="AE208" s="1" t="str">
        <f>IF(AND(AND(AND(AE$4&gt;='2025'!$L206,AE$4&lt;='2025'!$M206), AE$4&lt;&gt;DATE(2025,7,4)), (SWITCH(weekday(AE$4), 1, 0, 2, if(ISBLANK('2025'!$P206), 0, 1), 3, if(ISBLANK('2025'!$Q206), 0, 1), 4, if(ISBLANK('2025'!$R206), 0, 1), 5, if(ISBLANK('2025'!$S206), 0, 1), 6, if(ISBLANK('2025'!$T206), 0, 1), 7, 0))), 1, "")</f>
        <v/>
      </c>
      <c r="AF208" s="1" t="str">
        <f>IF(AND(AND(AND(AF$4&gt;='2025'!$L206,AF$4&lt;='2025'!$M206), AF$4&lt;&gt;DATE(2025,7,4)), (SWITCH(weekday(AF$4), 1, 0, 2, if(ISBLANK('2025'!$P206), 0, 1), 3, if(ISBLANK('2025'!$Q206), 0, 1), 4, if(ISBLANK('2025'!$R206), 0, 1), 5, if(ISBLANK('2025'!$S206), 0, 1), 6, if(ISBLANK('2025'!$T206), 0, 1), 7, 0))), 1, "")</f>
        <v/>
      </c>
      <c r="AG208" s="1" t="str">
        <f>IF(AND(AND(AND(AG$4&gt;='2025'!$L206,AG$4&lt;='2025'!$M206), AG$4&lt;&gt;DATE(2025,7,4)), (SWITCH(weekday(AG$4), 1, 0, 2, if(ISBLANK('2025'!$P206), 0, 1), 3, if(ISBLANK('2025'!$Q206), 0, 1), 4, if(ISBLANK('2025'!$R206), 0, 1), 5, if(ISBLANK('2025'!$S206), 0, 1), 6, if(ISBLANK('2025'!$T206), 0, 1), 7, 0))), 1, "")</f>
        <v/>
      </c>
      <c r="AH208" s="1" t="str">
        <f>IF(AND(AND(AND(AH$4&gt;='2025'!$L206,AH$4&lt;='2025'!$M206), AH$4&lt;&gt;DATE(2025,7,4)), (SWITCH(weekday(AH$4), 1, 0, 2, if(ISBLANK('2025'!$P206), 0, 1), 3, if(ISBLANK('2025'!$Q206), 0, 1), 4, if(ISBLANK('2025'!$R206), 0, 1), 5, if(ISBLANK('2025'!$S206), 0, 1), 6, if(ISBLANK('2025'!$T206), 0, 1), 7, 0))), 1, "")</f>
        <v/>
      </c>
      <c r="AI208" s="1" t="str">
        <f>IF(AND(AND(AND(AI$4&gt;='2025'!$L206,AI$4&lt;='2025'!$M206), AI$4&lt;&gt;DATE(2025,7,4)), (SWITCH(weekday(AI$4), 1, 0, 2, if(ISBLANK('2025'!$P206), 0, 1), 3, if(ISBLANK('2025'!$Q206), 0, 1), 4, if(ISBLANK('2025'!$R206), 0, 1), 5, if(ISBLANK('2025'!$S206), 0, 1), 6, if(ISBLANK('2025'!$T206), 0, 1), 7, 0))), 1, "")</f>
        <v/>
      </c>
      <c r="AJ208" s="1" t="str">
        <f>IF(AND(AND(AND(AJ$4&gt;='2025'!$L206,AJ$4&lt;='2025'!$M206), AJ$4&lt;&gt;DATE(2025,7,4)), (SWITCH(weekday(AJ$4), 1, 0, 2, if(ISBLANK('2025'!$P206), 0, 1), 3, if(ISBLANK('2025'!$Q206), 0, 1), 4, if(ISBLANK('2025'!$R206), 0, 1), 5, if(ISBLANK('2025'!$S206), 0, 1), 6, if(ISBLANK('2025'!$T206), 0, 1), 7, 0))), 1, "")</f>
        <v/>
      </c>
      <c r="AK208" s="1" t="str">
        <f>IF(AND(AND(AND(AK$4&gt;='2025'!$L206,AK$4&lt;='2025'!$M206), AK$4&lt;&gt;DATE(2025,7,4)), (SWITCH(weekday(AK$4), 1, 0, 2, if(ISBLANK('2025'!$P206), 0, 1), 3, if(ISBLANK('2025'!$Q206), 0, 1), 4, if(ISBLANK('2025'!$R206), 0, 1), 5, if(ISBLANK('2025'!$S206), 0, 1), 6, if(ISBLANK('2025'!$T206), 0, 1), 7, 0))), 1, "")</f>
        <v/>
      </c>
      <c r="AL208" s="1" t="str">
        <f>IF(AND(AND(AND(AL$4&gt;='2025'!$L206,AL$4&lt;='2025'!$M206), AL$4&lt;&gt;DATE(2025,7,4)), (SWITCH(weekday(AL$4), 1, 0, 2, if(ISBLANK('2025'!$P206), 0, 1), 3, if(ISBLANK('2025'!$Q206), 0, 1), 4, if(ISBLANK('2025'!$R206), 0, 1), 5, if(ISBLANK('2025'!$S206), 0, 1), 6, if(ISBLANK('2025'!$T206), 0, 1), 7, 0))), 1, "")</f>
        <v/>
      </c>
      <c r="AM208" s="1" t="str">
        <f>IF(AND(AND(AND(AM$4&gt;='2025'!$L206,AM$4&lt;='2025'!$M206), AM$4&lt;&gt;DATE(2025,7,4)), (SWITCH(weekday(AM$4), 1, 0, 2, if(ISBLANK('2025'!$P206), 0, 1), 3, if(ISBLANK('2025'!$Q206), 0, 1), 4, if(ISBLANK('2025'!$R206), 0, 1), 5, if(ISBLANK('2025'!$S206), 0, 1), 6, if(ISBLANK('2025'!$T206), 0, 1), 7, 0))), 1, "")</f>
        <v/>
      </c>
      <c r="AN208" s="1" t="str">
        <f>IF(AND(AND(AND(AN$4&gt;='2025'!$L206,AN$4&lt;='2025'!$M206), AN$4&lt;&gt;DATE(2025,7,4)), (SWITCH(weekday(AN$4), 1, 0, 2, if(ISBLANK('2025'!$P206), 0, 1), 3, if(ISBLANK('2025'!$Q206), 0, 1), 4, if(ISBLANK('2025'!$R206), 0, 1), 5, if(ISBLANK('2025'!$S206), 0, 1), 6, if(ISBLANK('2025'!$T206), 0, 1), 7, 0))), 1, "")</f>
        <v/>
      </c>
      <c r="AO208" s="1" t="str">
        <f>IF(AND(AND(AND(AO$4&gt;='2025'!$L206,AO$4&lt;='2025'!$M206), AO$4&lt;&gt;DATE(2025,7,4)), (SWITCH(weekday(AO$4), 1, 0, 2, if(ISBLANK('2025'!$P206), 0, 1), 3, if(ISBLANK('2025'!$Q206), 0, 1), 4, if(ISBLANK('2025'!$R206), 0, 1), 5, if(ISBLANK('2025'!$S206), 0, 1), 6, if(ISBLANK('2025'!$T206), 0, 1), 7, 0))), 1, "")</f>
        <v/>
      </c>
      <c r="AP208" s="1" t="str">
        <f>IF(AND(AND(AND(AP$4&gt;='2025'!$L206,AP$4&lt;='2025'!$M206), AP$4&lt;&gt;DATE(2025,7,4)), (SWITCH(weekday(AP$4), 1, 0, 2, if(ISBLANK('2025'!$P206), 0, 1), 3, if(ISBLANK('2025'!$Q206), 0, 1), 4, if(ISBLANK('2025'!$R206), 0, 1), 5, if(ISBLANK('2025'!$S206), 0, 1), 6, if(ISBLANK('2025'!$T206), 0, 1), 7, 0))), 1, "")</f>
        <v/>
      </c>
      <c r="AQ208" s="1" t="str">
        <f>IF(AND(AND(AND(AQ$4&gt;='2025'!$L206,AQ$4&lt;='2025'!$M206), AQ$4&lt;&gt;DATE(2025,7,4)), (SWITCH(weekday(AQ$4), 1, 0, 2, if(ISBLANK('2025'!$P206), 0, 1), 3, if(ISBLANK('2025'!$Q206), 0, 1), 4, if(ISBLANK('2025'!$R206), 0, 1), 5, if(ISBLANK('2025'!$S206), 0, 1), 6, if(ISBLANK('2025'!$T206), 0, 1), 7, 0))), 1, "")</f>
        <v/>
      </c>
      <c r="AR208" s="1" t="str">
        <f>IF(AND(AND(AND(AR$4&gt;='2025'!$L206,AR$4&lt;='2025'!$M206), AR$4&lt;&gt;DATE(2025,7,4)), (SWITCH(weekday(AR$4), 1, 0, 2, if(ISBLANK('2025'!$P206), 0, 1), 3, if(ISBLANK('2025'!$Q206), 0, 1), 4, if(ISBLANK('2025'!$R206), 0, 1), 5, if(ISBLANK('2025'!$S206), 0, 1), 6, if(ISBLANK('2025'!$T206), 0, 1), 7, 0))), 1, "")</f>
        <v/>
      </c>
      <c r="AS208" s="1" t="str">
        <f>IF(AND(AND(AND(AS$4&gt;='2025'!$L206,AS$4&lt;='2025'!$M206), AS$4&lt;&gt;DATE(2025,7,4)), (SWITCH(weekday(AS$4), 1, 0, 2, if(ISBLANK('2025'!$P206), 0, 1), 3, if(ISBLANK('2025'!$Q206), 0, 1), 4, if(ISBLANK('2025'!$R206), 0, 1), 5, if(ISBLANK('2025'!$S206), 0, 1), 6, if(ISBLANK('2025'!$T206), 0, 1), 7, 0))), 1, "")</f>
        <v/>
      </c>
      <c r="AT208" s="1" t="str">
        <f>IF(AND(AND(AND(AT$4&gt;='2025'!$L206,AT$4&lt;='2025'!$M206), AT$4&lt;&gt;DATE(2025,7,4)), (SWITCH(weekday(AT$4), 1, 0, 2, if(ISBLANK('2025'!$P206), 0, 1), 3, if(ISBLANK('2025'!$Q206), 0, 1), 4, if(ISBLANK('2025'!$R206), 0, 1), 5, if(ISBLANK('2025'!$S206), 0, 1), 6, if(ISBLANK('2025'!$T206), 0, 1), 7, 0))), 1, "")</f>
        <v/>
      </c>
      <c r="AU208" s="1" t="str">
        <f>IF(AND(AND(AND(AU$4&gt;='2025'!$L206,AU$4&lt;='2025'!$M206), AU$4&lt;&gt;DATE(2025,7,4)), (SWITCH(weekday(AU$4), 1, 0, 2, if(ISBLANK('2025'!$P206), 0, 1), 3, if(ISBLANK('2025'!$Q206), 0, 1), 4, if(ISBLANK('2025'!$R206), 0, 1), 5, if(ISBLANK('2025'!$S206), 0, 1), 6, if(ISBLANK('2025'!$T206), 0, 1), 7, 0))), 1, "")</f>
        <v/>
      </c>
      <c r="AV208" s="1" t="str">
        <f>IF(AND(AND(AND(AV$4&gt;='2025'!$L206,AV$4&lt;='2025'!$M206), AV$4&lt;&gt;DATE(2025,7,4)), (SWITCH(weekday(AV$4), 1, 0, 2, if(ISBLANK('2025'!$P206), 0, 1), 3, if(ISBLANK('2025'!$Q206), 0, 1), 4, if(ISBLANK('2025'!$R206), 0, 1), 5, if(ISBLANK('2025'!$S206), 0, 1), 6, if(ISBLANK('2025'!$T206), 0, 1), 7, 0))), 1, "")</f>
        <v/>
      </c>
      <c r="AW208" s="1" t="str">
        <f>IF(AND(AND(AND(AW$4&gt;='2025'!$L206,AW$4&lt;='2025'!$M206), AW$4&lt;&gt;DATE(2025,7,4)), (SWITCH(weekday(AW$4), 1, 0, 2, if(ISBLANK('2025'!$P206), 0, 1), 3, if(ISBLANK('2025'!$Q206), 0, 1), 4, if(ISBLANK('2025'!$R206), 0, 1), 5, if(ISBLANK('2025'!$S206), 0, 1), 6, if(ISBLANK('2025'!$T206), 0, 1), 7, 0))), 1, "")</f>
        <v/>
      </c>
      <c r="AX208" s="1" t="str">
        <f>IF(AND(AND(AND(AX$4&gt;='2025'!$L206,AX$4&lt;='2025'!$M206), AX$4&lt;&gt;DATE(2025,7,4)), (SWITCH(weekday(AX$4), 1, 0, 2, if(ISBLANK('2025'!$P206), 0, 1), 3, if(ISBLANK('2025'!$Q206), 0, 1), 4, if(ISBLANK('2025'!$R206), 0, 1), 5, if(ISBLANK('2025'!$S206), 0, 1), 6, if(ISBLANK('2025'!$T206), 0, 1), 7, 0))), 1, "")</f>
        <v/>
      </c>
      <c r="AY208" s="1" t="str">
        <f>IF(AND(AND(AND(AY$4&gt;='2025'!$L206,AY$4&lt;='2025'!$M206), AY$4&lt;&gt;DATE(2025,7,4)), (SWITCH(weekday(AY$4), 1, 0, 2, if(ISBLANK('2025'!$P206), 0, 1), 3, if(ISBLANK('2025'!$Q206), 0, 1), 4, if(ISBLANK('2025'!$R206), 0, 1), 5, if(ISBLANK('2025'!$S206), 0, 1), 6, if(ISBLANK('2025'!$T206), 0, 1), 7, 0))), 1, "")</f>
        <v/>
      </c>
      <c r="AZ208" s="1" t="str">
        <f>IF(AND(AND(AND(AZ$4&gt;='2025'!$L206,AZ$4&lt;='2025'!$M206), AZ$4&lt;&gt;DATE(2025,7,4)), (SWITCH(weekday(AZ$4), 1, 0, 2, if(ISBLANK('2025'!$P206), 0, 1), 3, if(ISBLANK('2025'!$Q206), 0, 1), 4, if(ISBLANK('2025'!$R206), 0, 1), 5, if(ISBLANK('2025'!$S206), 0, 1), 6, if(ISBLANK('2025'!$T206), 0, 1), 7, 0))), 1, "")</f>
        <v/>
      </c>
      <c r="BA208" s="1" t="str">
        <f>IF(AND(AND(AND(BA$4&gt;='2025'!$L206,BA$4&lt;='2025'!$M206), BA$4&lt;&gt;DATE(2025,7,4)), (SWITCH(weekday(BA$4), 1, 0, 2, if(ISBLANK('2025'!$P206), 0, 1), 3, if(ISBLANK('2025'!$Q206), 0, 1), 4, if(ISBLANK('2025'!$R206), 0, 1), 5, if(ISBLANK('2025'!$S206), 0, 1), 6, if(ISBLANK('2025'!$T206), 0, 1), 7, 0))), 1, "")</f>
        <v/>
      </c>
      <c r="BB208" s="1" t="str">
        <f>IF(AND(AND(AND(BB$4&gt;='2025'!$L206,BB$4&lt;='2025'!$M206), BB$4&lt;&gt;DATE(2025,7,4)), (SWITCH(weekday(BB$4), 1, 0, 2, if(ISBLANK('2025'!$P206), 0, 1), 3, if(ISBLANK('2025'!$Q206), 0, 1), 4, if(ISBLANK('2025'!$R206), 0, 1), 5, if(ISBLANK('2025'!$S206), 0, 1), 6, if(ISBLANK('2025'!$T206), 0, 1), 7, 0))), 1, "")</f>
        <v/>
      </c>
      <c r="BC208" s="1" t="str">
        <f>IF(AND(AND(AND(BC$4&gt;='2025'!$L206,BC$4&lt;='2025'!$M206), BC$4&lt;&gt;DATE(2025,7,4)), (SWITCH(weekday(BC$4), 1, 0, 2, if(ISBLANK('2025'!$P206), 0, 1), 3, if(ISBLANK('2025'!$Q206), 0, 1), 4, if(ISBLANK('2025'!$R206), 0, 1), 5, if(ISBLANK('2025'!$S206), 0, 1), 6, if(ISBLANK('2025'!$T206), 0, 1), 7, 0))), 1, "")</f>
        <v/>
      </c>
      <c r="BD208" s="1" t="str">
        <f>IF(AND(AND(AND(BD$4&gt;='2025'!$L206,BD$4&lt;='2025'!$M206), BD$4&lt;&gt;DATE(2025,7,4)), (SWITCH(weekday(BD$4), 1, 0, 2, if(ISBLANK('2025'!$P206), 0, 1), 3, if(ISBLANK('2025'!$Q206), 0, 1), 4, if(ISBLANK('2025'!$R206), 0, 1), 5, if(ISBLANK('2025'!$S206), 0, 1), 6, if(ISBLANK('2025'!$T206), 0, 1), 7, 0))), 1, "")</f>
        <v/>
      </c>
      <c r="BE208" s="1" t="str">
        <f>IF(AND(AND(AND(BE$4&gt;='2025'!$L206,BE$4&lt;='2025'!$M206), BE$4&lt;&gt;DATE(2025,7,4)), (SWITCH(weekday(BE$4), 1, 0, 2, if(ISBLANK('2025'!$P206), 0, 1), 3, if(ISBLANK('2025'!$Q206), 0, 1), 4, if(ISBLANK('2025'!$R206), 0, 1), 5, if(ISBLANK('2025'!$S206), 0, 1), 6, if(ISBLANK('2025'!$T206), 0, 1), 7, 0))), 1, "")</f>
        <v/>
      </c>
      <c r="BF208" s="1" t="str">
        <f>IF(AND(AND(AND(BF$4&gt;='2025'!$L206,BF$4&lt;='2025'!$M206), BF$4&lt;&gt;DATE(2025,7,4)), (SWITCH(weekday(BF$4), 1, 0, 2, if(ISBLANK('2025'!$P206), 0, 1), 3, if(ISBLANK('2025'!$Q206), 0, 1), 4, if(ISBLANK('2025'!$R206), 0, 1), 5, if(ISBLANK('2025'!$S206), 0, 1), 6, if(ISBLANK('2025'!$T206), 0, 1), 7, 0))), 1, "")</f>
        <v/>
      </c>
      <c r="BG208" s="1"/>
      <c r="BH208" s="1"/>
      <c r="BI208" s="1"/>
      <c r="BJ208" s="1"/>
      <c r="BK208" s="1"/>
      <c r="BL208" s="1"/>
    </row>
    <row r="209">
      <c r="A209" s="1">
        <f t="shared" si="3"/>
        <v>209</v>
      </c>
      <c r="B209" s="1" t="str">
        <f>'2025'!D173</f>
        <v>, </v>
      </c>
      <c r="C209" s="1" t="str">
        <f>'2025'!H173</f>
        <v/>
      </c>
      <c r="D209" s="1" t="str">
        <f>IF(AND(AND(AND(D$4&gt;='2025'!$L207,D$4&lt;='2025'!$M207), D$4&lt;&gt;DATE(2025,7,4)), (SWITCH(weekday(D$4), 1, 0, 2, if(ISBLANK('2025'!$P207), 0, 1), 3, if(ISBLANK('2025'!$Q207), 0, 1), 4, if(ISBLANK('2025'!$R207), 0, 1), 5, if(ISBLANK('2025'!$S207), 0, 1), 6, if(ISBLANK('2025'!$T207), 0, 1), 7, 0))), 1, "")</f>
        <v/>
      </c>
      <c r="E209" s="1" t="str">
        <f>IF(AND(AND(AND(E$4&gt;='2025'!$L207,E$4&lt;='2025'!$M207), E$4&lt;&gt;DATE(2025,7,4)), (SWITCH(weekday(E$4), 1, 0, 2, if(ISBLANK('2025'!$P207), 0, 1), 3, if(ISBLANK('2025'!$Q207), 0, 1), 4, if(ISBLANK('2025'!$R207), 0, 1), 5, if(ISBLANK('2025'!$S207), 0, 1), 6, if(ISBLANK('2025'!$T207), 0, 1), 7, 0))), 1, "")</f>
        <v/>
      </c>
      <c r="F209" s="1" t="str">
        <f>IF(AND(AND(AND(F$4&gt;='2025'!$L207,F$4&lt;='2025'!$M207), F$4&lt;&gt;DATE(2025,7,4)), (SWITCH(weekday(F$4), 1, 0, 2, if(ISBLANK('2025'!$P207), 0, 1), 3, if(ISBLANK('2025'!$Q207), 0, 1), 4, if(ISBLANK('2025'!$R207), 0, 1), 5, if(ISBLANK('2025'!$S207), 0, 1), 6, if(ISBLANK('2025'!$T207), 0, 1), 7, 0))), 1, "")</f>
        <v/>
      </c>
      <c r="G209" s="1" t="str">
        <f>IF(AND(AND(AND(G$4&gt;='2025'!$L207,G$4&lt;='2025'!$M207), G$4&lt;&gt;DATE(2025,7,4)), (SWITCH(weekday(G$4), 1, 0, 2, if(ISBLANK('2025'!$P207), 0, 1), 3, if(ISBLANK('2025'!$Q207), 0, 1), 4, if(ISBLANK('2025'!$R207), 0, 1), 5, if(ISBLANK('2025'!$S207), 0, 1), 6, if(ISBLANK('2025'!$T207), 0, 1), 7, 0))), 1, "")</f>
        <v/>
      </c>
      <c r="H209" s="1" t="str">
        <f>IF(AND(AND(AND(H$4&gt;='2025'!$L207,H$4&lt;='2025'!$M207), H$4&lt;&gt;DATE(2025,7,4)), (SWITCH(weekday(H$4), 1, 0, 2, if(ISBLANK('2025'!$P207), 0, 1), 3, if(ISBLANK('2025'!$Q207), 0, 1), 4, if(ISBLANK('2025'!$R207), 0, 1), 5, if(ISBLANK('2025'!$S207), 0, 1), 6, if(ISBLANK('2025'!$T207), 0, 1), 7, 0))), 1, "")</f>
        <v/>
      </c>
      <c r="I209" s="1" t="str">
        <f>IF(AND(AND(AND(I$4&gt;='2025'!$L207,I$4&lt;='2025'!$M207), I$4&lt;&gt;DATE(2025,7,4)), (SWITCH(weekday(I$4), 1, 0, 2, if(ISBLANK('2025'!$P207), 0, 1), 3, if(ISBLANK('2025'!$Q207), 0, 1), 4, if(ISBLANK('2025'!$R207), 0, 1), 5, if(ISBLANK('2025'!$S207), 0, 1), 6, if(ISBLANK('2025'!$T207), 0, 1), 7, 0))), 1, "")</f>
        <v/>
      </c>
      <c r="J209" s="1" t="str">
        <f>IF(AND(AND(AND(J$4&gt;='2025'!$L207,J$4&lt;='2025'!$M207), J$4&lt;&gt;DATE(2025,7,4)), (SWITCH(weekday(J$4), 1, 0, 2, if(ISBLANK('2025'!$P207), 0, 1), 3, if(ISBLANK('2025'!$Q207), 0, 1), 4, if(ISBLANK('2025'!$R207), 0, 1), 5, if(ISBLANK('2025'!$S207), 0, 1), 6, if(ISBLANK('2025'!$T207), 0, 1), 7, 0))), 1, "")</f>
        <v/>
      </c>
      <c r="K209" s="1" t="str">
        <f>IF(AND(AND(AND(K$4&gt;='2025'!$L207,K$4&lt;='2025'!$M207), K$4&lt;&gt;DATE(2025,7,4)), (SWITCH(weekday(K$4), 1, 0, 2, if(ISBLANK('2025'!$P207), 0, 1), 3, if(ISBLANK('2025'!$Q207), 0, 1), 4, if(ISBLANK('2025'!$R207), 0, 1), 5, if(ISBLANK('2025'!$S207), 0, 1), 6, if(ISBLANK('2025'!$T207), 0, 1), 7, 0))), 1, "")</f>
        <v/>
      </c>
      <c r="L209" s="1" t="str">
        <f>IF(AND(AND(AND(L$4&gt;='2025'!$L207,L$4&lt;='2025'!$M207), L$4&lt;&gt;DATE(2025,7,4)), (SWITCH(weekday(L$4), 1, 0, 2, if(ISBLANK('2025'!$P207), 0, 1), 3, if(ISBLANK('2025'!$Q207), 0, 1), 4, if(ISBLANK('2025'!$R207), 0, 1), 5, if(ISBLANK('2025'!$S207), 0, 1), 6, if(ISBLANK('2025'!$T207), 0, 1), 7, 0))), 1, "")</f>
        <v/>
      </c>
      <c r="M209" s="1" t="str">
        <f>IF(AND(AND(AND(M$4&gt;='2025'!$L207,M$4&lt;='2025'!$M207), M$4&lt;&gt;DATE(2025,7,4)), (SWITCH(weekday(M$4), 1, 0, 2, if(ISBLANK('2025'!$P207), 0, 1), 3, if(ISBLANK('2025'!$Q207), 0, 1), 4, if(ISBLANK('2025'!$R207), 0, 1), 5, if(ISBLANK('2025'!$S207), 0, 1), 6, if(ISBLANK('2025'!$T207), 0, 1), 7, 0))), 1, "")</f>
        <v/>
      </c>
      <c r="N209" s="1" t="str">
        <f>IF(AND(AND(AND(N$4&gt;='2025'!$L207,N$4&lt;='2025'!$M207), N$4&lt;&gt;DATE(2025,7,4)), (SWITCH(weekday(N$4), 1, 0, 2, if(ISBLANK('2025'!$P207), 0, 1), 3, if(ISBLANK('2025'!$Q207), 0, 1), 4, if(ISBLANK('2025'!$R207), 0, 1), 5, if(ISBLANK('2025'!$S207), 0, 1), 6, if(ISBLANK('2025'!$T207), 0, 1), 7, 0))), 1, "")</f>
        <v/>
      </c>
      <c r="O209" s="1" t="str">
        <f>IF(AND(AND(AND(O$4&gt;='2025'!$L207,O$4&lt;='2025'!$M207), O$4&lt;&gt;DATE(2025,7,4)), (SWITCH(weekday(O$4), 1, 0, 2, if(ISBLANK('2025'!$P207), 0, 1), 3, if(ISBLANK('2025'!$Q207), 0, 1), 4, if(ISBLANK('2025'!$R207), 0, 1), 5, if(ISBLANK('2025'!$S207), 0, 1), 6, if(ISBLANK('2025'!$T207), 0, 1), 7, 0))), 1, "")</f>
        <v/>
      </c>
      <c r="P209" s="1" t="str">
        <f>IF(AND(AND(AND(P$4&gt;='2025'!$L207,P$4&lt;='2025'!$M207), P$4&lt;&gt;DATE(2025,7,4)), (SWITCH(weekday(P$4), 1, 0, 2, if(ISBLANK('2025'!$P207), 0, 1), 3, if(ISBLANK('2025'!$Q207), 0, 1), 4, if(ISBLANK('2025'!$R207), 0, 1), 5, if(ISBLANK('2025'!$S207), 0, 1), 6, if(ISBLANK('2025'!$T207), 0, 1), 7, 0))), 1, "")</f>
        <v/>
      </c>
      <c r="Q209" s="1" t="str">
        <f>IF(AND(AND(AND(Q$4&gt;='2025'!$L207,Q$4&lt;='2025'!$M207), Q$4&lt;&gt;DATE(2025,7,4)), (SWITCH(weekday(Q$4), 1, 0, 2, if(ISBLANK('2025'!$P207), 0, 1), 3, if(ISBLANK('2025'!$Q207), 0, 1), 4, if(ISBLANK('2025'!$R207), 0, 1), 5, if(ISBLANK('2025'!$S207), 0, 1), 6, if(ISBLANK('2025'!$T207), 0, 1), 7, 0))), 1, "")</f>
        <v/>
      </c>
      <c r="R209" s="1" t="str">
        <f>IF(AND(AND(AND(R$4&gt;='2025'!$L207,R$4&lt;='2025'!$M207), R$4&lt;&gt;DATE(2025,7,4)), (SWITCH(weekday(R$4), 1, 0, 2, if(ISBLANK('2025'!$P207), 0, 1), 3, if(ISBLANK('2025'!$Q207), 0, 1), 4, if(ISBLANK('2025'!$R207), 0, 1), 5, if(ISBLANK('2025'!$S207), 0, 1), 6, if(ISBLANK('2025'!$T207), 0, 1), 7, 0))), 1, "")</f>
        <v/>
      </c>
      <c r="S209" s="1" t="str">
        <f>IF(AND(AND(AND(S$4&gt;='2025'!$L207,S$4&lt;='2025'!$M207), S$4&lt;&gt;DATE(2025,7,4)), (SWITCH(weekday(S$4), 1, 0, 2, if(ISBLANK('2025'!$P207), 0, 1), 3, if(ISBLANK('2025'!$Q207), 0, 1), 4, if(ISBLANK('2025'!$R207), 0, 1), 5, if(ISBLANK('2025'!$S207), 0, 1), 6, if(ISBLANK('2025'!$T207), 0, 1), 7, 0))), 1, "")</f>
        <v/>
      </c>
      <c r="T209" s="1" t="str">
        <f>IF(AND(AND(AND(T$4&gt;='2025'!$L207,T$4&lt;='2025'!$M207), T$4&lt;&gt;DATE(2025,7,4)), (SWITCH(weekday(T$4), 1, 0, 2, if(ISBLANK('2025'!$P207), 0, 1), 3, if(ISBLANK('2025'!$Q207), 0, 1), 4, if(ISBLANK('2025'!$R207), 0, 1), 5, if(ISBLANK('2025'!$S207), 0, 1), 6, if(ISBLANK('2025'!$T207), 0, 1), 7, 0))), 1, "")</f>
        <v/>
      </c>
      <c r="U209" s="1" t="str">
        <f>IF(AND(AND(AND(U$4&gt;='2025'!$L207,U$4&lt;='2025'!$M207), U$4&lt;&gt;DATE(2025,7,4)), (SWITCH(weekday(U$4), 1, 0, 2, if(ISBLANK('2025'!$P207), 0, 1), 3, if(ISBLANK('2025'!$Q207), 0, 1), 4, if(ISBLANK('2025'!$R207), 0, 1), 5, if(ISBLANK('2025'!$S207), 0, 1), 6, if(ISBLANK('2025'!$T207), 0, 1), 7, 0))), 1, "")</f>
        <v/>
      </c>
      <c r="V209" s="1" t="str">
        <f>IF(AND(AND(AND(V$4&gt;='2025'!$L207,V$4&lt;='2025'!$M207), V$4&lt;&gt;DATE(2025,7,4)), (SWITCH(weekday(V$4), 1, 0, 2, if(ISBLANK('2025'!$P207), 0, 1), 3, if(ISBLANK('2025'!$Q207), 0, 1), 4, if(ISBLANK('2025'!$R207), 0, 1), 5, if(ISBLANK('2025'!$S207), 0, 1), 6, if(ISBLANK('2025'!$T207), 0, 1), 7, 0))), 1, "")</f>
        <v/>
      </c>
      <c r="W209" s="1" t="str">
        <f>IF(AND(AND(AND(W$4&gt;='2025'!$L207,W$4&lt;='2025'!$M207), W$4&lt;&gt;DATE(2025,7,4)), (SWITCH(weekday(W$4), 1, 0, 2, if(ISBLANK('2025'!$P207), 0, 1), 3, if(ISBLANK('2025'!$Q207), 0, 1), 4, if(ISBLANK('2025'!$R207), 0, 1), 5, if(ISBLANK('2025'!$S207), 0, 1), 6, if(ISBLANK('2025'!$T207), 0, 1), 7, 0))), 1, "")</f>
        <v/>
      </c>
      <c r="X209" s="1" t="str">
        <f>IF(AND(AND(AND(X$4&gt;='2025'!$L207,X$4&lt;='2025'!$M207), X$4&lt;&gt;DATE(2025,7,4)), (SWITCH(weekday(X$4), 1, 0, 2, if(ISBLANK('2025'!$P207), 0, 1), 3, if(ISBLANK('2025'!$Q207), 0, 1), 4, if(ISBLANK('2025'!$R207), 0, 1), 5, if(ISBLANK('2025'!$S207), 0, 1), 6, if(ISBLANK('2025'!$T207), 0, 1), 7, 0))), 1, "")</f>
        <v/>
      </c>
      <c r="Y209" s="1" t="str">
        <f>IF(AND(AND(AND(Y$4&gt;='2025'!$L207,Y$4&lt;='2025'!$M207), Y$4&lt;&gt;DATE(2025,7,4)), (SWITCH(weekday(Y$4), 1, 0, 2, if(ISBLANK('2025'!$P207), 0, 1), 3, if(ISBLANK('2025'!$Q207), 0, 1), 4, if(ISBLANK('2025'!$R207), 0, 1), 5, if(ISBLANK('2025'!$S207), 0, 1), 6, if(ISBLANK('2025'!$T207), 0, 1), 7, 0))), 1, "")</f>
        <v/>
      </c>
      <c r="Z209" s="1" t="str">
        <f>IF(AND(AND(AND(Z$4&gt;='2025'!$L207,Z$4&lt;='2025'!$M207), Z$4&lt;&gt;DATE(2025,7,4)), (SWITCH(weekday(Z$4), 1, 0, 2, if(ISBLANK('2025'!$P207), 0, 1), 3, if(ISBLANK('2025'!$Q207), 0, 1), 4, if(ISBLANK('2025'!$R207), 0, 1), 5, if(ISBLANK('2025'!$S207), 0, 1), 6, if(ISBLANK('2025'!$T207), 0, 1), 7, 0))), 1, "")</f>
        <v/>
      </c>
      <c r="AA209" s="1" t="str">
        <f>IF(AND(AND(AND(AA$4&gt;='2025'!$L207,AA$4&lt;='2025'!$M207), AA$4&lt;&gt;DATE(2025,7,4)), (SWITCH(weekday(AA$4), 1, 0, 2, if(ISBLANK('2025'!$P207), 0, 1), 3, if(ISBLANK('2025'!$Q207), 0, 1), 4, if(ISBLANK('2025'!$R207), 0, 1), 5, if(ISBLANK('2025'!$S207), 0, 1), 6, if(ISBLANK('2025'!$T207), 0, 1), 7, 0))), 1, "")</f>
        <v/>
      </c>
      <c r="AB209" s="1" t="str">
        <f>IF(AND(AND(AND(AB$4&gt;='2025'!$L207,AB$4&lt;='2025'!$M207), AB$4&lt;&gt;DATE(2025,7,4)), (SWITCH(weekday(AB$4), 1, 0, 2, if(ISBLANK('2025'!$P207), 0, 1), 3, if(ISBLANK('2025'!$Q207), 0, 1), 4, if(ISBLANK('2025'!$R207), 0, 1), 5, if(ISBLANK('2025'!$S207), 0, 1), 6, if(ISBLANK('2025'!$T207), 0, 1), 7, 0))), 1, "")</f>
        <v/>
      </c>
      <c r="AC209" s="1" t="str">
        <f>IF(AND(AND(AND(AC$4&gt;='2025'!$L207,AC$4&lt;='2025'!$M207), AC$4&lt;&gt;DATE(2025,7,4)), (SWITCH(weekday(AC$4), 1, 0, 2, if(ISBLANK('2025'!$P207), 0, 1), 3, if(ISBLANK('2025'!$Q207), 0, 1), 4, if(ISBLANK('2025'!$R207), 0, 1), 5, if(ISBLANK('2025'!$S207), 0, 1), 6, if(ISBLANK('2025'!$T207), 0, 1), 7, 0))), 1, "")</f>
        <v/>
      </c>
      <c r="AD209" s="1" t="str">
        <f>IF(AND(AND(AND(AD$4&gt;='2025'!$L207,AD$4&lt;='2025'!$M207), AD$4&lt;&gt;DATE(2025,7,4)), (SWITCH(weekday(AD$4), 1, 0, 2, if(ISBLANK('2025'!$P207), 0, 1), 3, if(ISBLANK('2025'!$Q207), 0, 1), 4, if(ISBLANK('2025'!$R207), 0, 1), 5, if(ISBLANK('2025'!$S207), 0, 1), 6, if(ISBLANK('2025'!$T207), 0, 1), 7, 0))), 1, "")</f>
        <v/>
      </c>
      <c r="AE209" s="1" t="str">
        <f>IF(AND(AND(AND(AE$4&gt;='2025'!$L207,AE$4&lt;='2025'!$M207), AE$4&lt;&gt;DATE(2025,7,4)), (SWITCH(weekday(AE$4), 1, 0, 2, if(ISBLANK('2025'!$P207), 0, 1), 3, if(ISBLANK('2025'!$Q207), 0, 1), 4, if(ISBLANK('2025'!$R207), 0, 1), 5, if(ISBLANK('2025'!$S207), 0, 1), 6, if(ISBLANK('2025'!$T207), 0, 1), 7, 0))), 1, "")</f>
        <v/>
      </c>
      <c r="AF209" s="1" t="str">
        <f>IF(AND(AND(AND(AF$4&gt;='2025'!$L207,AF$4&lt;='2025'!$M207), AF$4&lt;&gt;DATE(2025,7,4)), (SWITCH(weekday(AF$4), 1, 0, 2, if(ISBLANK('2025'!$P207), 0, 1), 3, if(ISBLANK('2025'!$Q207), 0, 1), 4, if(ISBLANK('2025'!$R207), 0, 1), 5, if(ISBLANK('2025'!$S207), 0, 1), 6, if(ISBLANK('2025'!$T207), 0, 1), 7, 0))), 1, "")</f>
        <v/>
      </c>
      <c r="AG209" s="1" t="str">
        <f>IF(AND(AND(AND(AG$4&gt;='2025'!$L207,AG$4&lt;='2025'!$M207), AG$4&lt;&gt;DATE(2025,7,4)), (SWITCH(weekday(AG$4), 1, 0, 2, if(ISBLANK('2025'!$P207), 0, 1), 3, if(ISBLANK('2025'!$Q207), 0, 1), 4, if(ISBLANK('2025'!$R207), 0, 1), 5, if(ISBLANK('2025'!$S207), 0, 1), 6, if(ISBLANK('2025'!$T207), 0, 1), 7, 0))), 1, "")</f>
        <v/>
      </c>
      <c r="AH209" s="1" t="str">
        <f>IF(AND(AND(AND(AH$4&gt;='2025'!$L207,AH$4&lt;='2025'!$M207), AH$4&lt;&gt;DATE(2025,7,4)), (SWITCH(weekday(AH$4), 1, 0, 2, if(ISBLANK('2025'!$P207), 0, 1), 3, if(ISBLANK('2025'!$Q207), 0, 1), 4, if(ISBLANK('2025'!$R207), 0, 1), 5, if(ISBLANK('2025'!$S207), 0, 1), 6, if(ISBLANK('2025'!$T207), 0, 1), 7, 0))), 1, "")</f>
        <v/>
      </c>
      <c r="AI209" s="1" t="str">
        <f>IF(AND(AND(AND(AI$4&gt;='2025'!$L207,AI$4&lt;='2025'!$M207), AI$4&lt;&gt;DATE(2025,7,4)), (SWITCH(weekday(AI$4), 1, 0, 2, if(ISBLANK('2025'!$P207), 0, 1), 3, if(ISBLANK('2025'!$Q207), 0, 1), 4, if(ISBLANK('2025'!$R207), 0, 1), 5, if(ISBLANK('2025'!$S207), 0, 1), 6, if(ISBLANK('2025'!$T207), 0, 1), 7, 0))), 1, "")</f>
        <v/>
      </c>
      <c r="AJ209" s="1" t="str">
        <f>IF(AND(AND(AND(AJ$4&gt;='2025'!$L207,AJ$4&lt;='2025'!$M207), AJ$4&lt;&gt;DATE(2025,7,4)), (SWITCH(weekday(AJ$4), 1, 0, 2, if(ISBLANK('2025'!$P207), 0, 1), 3, if(ISBLANK('2025'!$Q207), 0, 1), 4, if(ISBLANK('2025'!$R207), 0, 1), 5, if(ISBLANK('2025'!$S207), 0, 1), 6, if(ISBLANK('2025'!$T207), 0, 1), 7, 0))), 1, "")</f>
        <v/>
      </c>
      <c r="AK209" s="1" t="str">
        <f>IF(AND(AND(AND(AK$4&gt;='2025'!$L207,AK$4&lt;='2025'!$M207), AK$4&lt;&gt;DATE(2025,7,4)), (SWITCH(weekday(AK$4), 1, 0, 2, if(ISBLANK('2025'!$P207), 0, 1), 3, if(ISBLANK('2025'!$Q207), 0, 1), 4, if(ISBLANK('2025'!$R207), 0, 1), 5, if(ISBLANK('2025'!$S207), 0, 1), 6, if(ISBLANK('2025'!$T207), 0, 1), 7, 0))), 1, "")</f>
        <v/>
      </c>
      <c r="AL209" s="1" t="str">
        <f>IF(AND(AND(AND(AL$4&gt;='2025'!$L207,AL$4&lt;='2025'!$M207), AL$4&lt;&gt;DATE(2025,7,4)), (SWITCH(weekday(AL$4), 1, 0, 2, if(ISBLANK('2025'!$P207), 0, 1), 3, if(ISBLANK('2025'!$Q207), 0, 1), 4, if(ISBLANK('2025'!$R207), 0, 1), 5, if(ISBLANK('2025'!$S207), 0, 1), 6, if(ISBLANK('2025'!$T207), 0, 1), 7, 0))), 1, "")</f>
        <v/>
      </c>
      <c r="AM209" s="1" t="str">
        <f>IF(AND(AND(AND(AM$4&gt;='2025'!$L207,AM$4&lt;='2025'!$M207), AM$4&lt;&gt;DATE(2025,7,4)), (SWITCH(weekday(AM$4), 1, 0, 2, if(ISBLANK('2025'!$P207), 0, 1), 3, if(ISBLANK('2025'!$Q207), 0, 1), 4, if(ISBLANK('2025'!$R207), 0, 1), 5, if(ISBLANK('2025'!$S207), 0, 1), 6, if(ISBLANK('2025'!$T207), 0, 1), 7, 0))), 1, "")</f>
        <v/>
      </c>
      <c r="AN209" s="1" t="str">
        <f>IF(AND(AND(AND(AN$4&gt;='2025'!$L207,AN$4&lt;='2025'!$M207), AN$4&lt;&gt;DATE(2025,7,4)), (SWITCH(weekday(AN$4), 1, 0, 2, if(ISBLANK('2025'!$P207), 0, 1), 3, if(ISBLANK('2025'!$Q207), 0, 1), 4, if(ISBLANK('2025'!$R207), 0, 1), 5, if(ISBLANK('2025'!$S207), 0, 1), 6, if(ISBLANK('2025'!$T207), 0, 1), 7, 0))), 1, "")</f>
        <v/>
      </c>
      <c r="AO209" s="1" t="str">
        <f>IF(AND(AND(AND(AO$4&gt;='2025'!$L207,AO$4&lt;='2025'!$M207), AO$4&lt;&gt;DATE(2025,7,4)), (SWITCH(weekday(AO$4), 1, 0, 2, if(ISBLANK('2025'!$P207), 0, 1), 3, if(ISBLANK('2025'!$Q207), 0, 1), 4, if(ISBLANK('2025'!$R207), 0, 1), 5, if(ISBLANK('2025'!$S207), 0, 1), 6, if(ISBLANK('2025'!$T207), 0, 1), 7, 0))), 1, "")</f>
        <v/>
      </c>
      <c r="AP209" s="1" t="str">
        <f>IF(AND(AND(AND(AP$4&gt;='2025'!$L207,AP$4&lt;='2025'!$M207), AP$4&lt;&gt;DATE(2025,7,4)), (SWITCH(weekday(AP$4), 1, 0, 2, if(ISBLANK('2025'!$P207), 0, 1), 3, if(ISBLANK('2025'!$Q207), 0, 1), 4, if(ISBLANK('2025'!$R207), 0, 1), 5, if(ISBLANK('2025'!$S207), 0, 1), 6, if(ISBLANK('2025'!$T207), 0, 1), 7, 0))), 1, "")</f>
        <v/>
      </c>
      <c r="AQ209" s="1" t="str">
        <f>IF(AND(AND(AND(AQ$4&gt;='2025'!$L207,AQ$4&lt;='2025'!$M207), AQ$4&lt;&gt;DATE(2025,7,4)), (SWITCH(weekday(AQ$4), 1, 0, 2, if(ISBLANK('2025'!$P207), 0, 1), 3, if(ISBLANK('2025'!$Q207), 0, 1), 4, if(ISBLANK('2025'!$R207), 0, 1), 5, if(ISBLANK('2025'!$S207), 0, 1), 6, if(ISBLANK('2025'!$T207), 0, 1), 7, 0))), 1, "")</f>
        <v/>
      </c>
      <c r="AR209" s="1" t="str">
        <f>IF(AND(AND(AND(AR$4&gt;='2025'!$L207,AR$4&lt;='2025'!$M207), AR$4&lt;&gt;DATE(2025,7,4)), (SWITCH(weekday(AR$4), 1, 0, 2, if(ISBLANK('2025'!$P207), 0, 1), 3, if(ISBLANK('2025'!$Q207), 0, 1), 4, if(ISBLANK('2025'!$R207), 0, 1), 5, if(ISBLANK('2025'!$S207), 0, 1), 6, if(ISBLANK('2025'!$T207), 0, 1), 7, 0))), 1, "")</f>
        <v/>
      </c>
      <c r="AS209" s="1" t="str">
        <f>IF(AND(AND(AND(AS$4&gt;='2025'!$L207,AS$4&lt;='2025'!$M207), AS$4&lt;&gt;DATE(2025,7,4)), (SWITCH(weekday(AS$4), 1, 0, 2, if(ISBLANK('2025'!$P207), 0, 1), 3, if(ISBLANK('2025'!$Q207), 0, 1), 4, if(ISBLANK('2025'!$R207), 0, 1), 5, if(ISBLANK('2025'!$S207), 0, 1), 6, if(ISBLANK('2025'!$T207), 0, 1), 7, 0))), 1, "")</f>
        <v/>
      </c>
      <c r="AT209" s="1" t="str">
        <f>IF(AND(AND(AND(AT$4&gt;='2025'!$L207,AT$4&lt;='2025'!$M207), AT$4&lt;&gt;DATE(2025,7,4)), (SWITCH(weekday(AT$4), 1, 0, 2, if(ISBLANK('2025'!$P207), 0, 1), 3, if(ISBLANK('2025'!$Q207), 0, 1), 4, if(ISBLANK('2025'!$R207), 0, 1), 5, if(ISBLANK('2025'!$S207), 0, 1), 6, if(ISBLANK('2025'!$T207), 0, 1), 7, 0))), 1, "")</f>
        <v/>
      </c>
      <c r="AU209" s="1" t="str">
        <f>IF(AND(AND(AND(AU$4&gt;='2025'!$L207,AU$4&lt;='2025'!$M207), AU$4&lt;&gt;DATE(2025,7,4)), (SWITCH(weekday(AU$4), 1, 0, 2, if(ISBLANK('2025'!$P207), 0, 1), 3, if(ISBLANK('2025'!$Q207), 0, 1), 4, if(ISBLANK('2025'!$R207), 0, 1), 5, if(ISBLANK('2025'!$S207), 0, 1), 6, if(ISBLANK('2025'!$T207), 0, 1), 7, 0))), 1, "")</f>
        <v/>
      </c>
      <c r="AV209" s="1" t="str">
        <f>IF(AND(AND(AND(AV$4&gt;='2025'!$L207,AV$4&lt;='2025'!$M207), AV$4&lt;&gt;DATE(2025,7,4)), (SWITCH(weekday(AV$4), 1, 0, 2, if(ISBLANK('2025'!$P207), 0, 1), 3, if(ISBLANK('2025'!$Q207), 0, 1), 4, if(ISBLANK('2025'!$R207), 0, 1), 5, if(ISBLANK('2025'!$S207), 0, 1), 6, if(ISBLANK('2025'!$T207), 0, 1), 7, 0))), 1, "")</f>
        <v/>
      </c>
      <c r="AW209" s="1" t="str">
        <f>IF(AND(AND(AND(AW$4&gt;='2025'!$L207,AW$4&lt;='2025'!$M207), AW$4&lt;&gt;DATE(2025,7,4)), (SWITCH(weekday(AW$4), 1, 0, 2, if(ISBLANK('2025'!$P207), 0, 1), 3, if(ISBLANK('2025'!$Q207), 0, 1), 4, if(ISBLANK('2025'!$R207), 0, 1), 5, if(ISBLANK('2025'!$S207), 0, 1), 6, if(ISBLANK('2025'!$T207), 0, 1), 7, 0))), 1, "")</f>
        <v/>
      </c>
      <c r="AX209" s="1" t="str">
        <f>IF(AND(AND(AND(AX$4&gt;='2025'!$L207,AX$4&lt;='2025'!$M207), AX$4&lt;&gt;DATE(2025,7,4)), (SWITCH(weekday(AX$4), 1, 0, 2, if(ISBLANK('2025'!$P207), 0, 1), 3, if(ISBLANK('2025'!$Q207), 0, 1), 4, if(ISBLANK('2025'!$R207), 0, 1), 5, if(ISBLANK('2025'!$S207), 0, 1), 6, if(ISBLANK('2025'!$T207), 0, 1), 7, 0))), 1, "")</f>
        <v/>
      </c>
      <c r="AY209" s="1" t="str">
        <f>IF(AND(AND(AND(AY$4&gt;='2025'!$L207,AY$4&lt;='2025'!$M207), AY$4&lt;&gt;DATE(2025,7,4)), (SWITCH(weekday(AY$4), 1, 0, 2, if(ISBLANK('2025'!$P207), 0, 1), 3, if(ISBLANK('2025'!$Q207), 0, 1), 4, if(ISBLANK('2025'!$R207), 0, 1), 5, if(ISBLANK('2025'!$S207), 0, 1), 6, if(ISBLANK('2025'!$T207), 0, 1), 7, 0))), 1, "")</f>
        <v/>
      </c>
      <c r="AZ209" s="1" t="str">
        <f>IF(AND(AND(AND(AZ$4&gt;='2025'!$L207,AZ$4&lt;='2025'!$M207), AZ$4&lt;&gt;DATE(2025,7,4)), (SWITCH(weekday(AZ$4), 1, 0, 2, if(ISBLANK('2025'!$P207), 0, 1), 3, if(ISBLANK('2025'!$Q207), 0, 1), 4, if(ISBLANK('2025'!$R207), 0, 1), 5, if(ISBLANK('2025'!$S207), 0, 1), 6, if(ISBLANK('2025'!$T207), 0, 1), 7, 0))), 1, "")</f>
        <v/>
      </c>
      <c r="BA209" s="1" t="str">
        <f>IF(AND(AND(AND(BA$4&gt;='2025'!$L207,BA$4&lt;='2025'!$M207), BA$4&lt;&gt;DATE(2025,7,4)), (SWITCH(weekday(BA$4), 1, 0, 2, if(ISBLANK('2025'!$P207), 0, 1), 3, if(ISBLANK('2025'!$Q207), 0, 1), 4, if(ISBLANK('2025'!$R207), 0, 1), 5, if(ISBLANK('2025'!$S207), 0, 1), 6, if(ISBLANK('2025'!$T207), 0, 1), 7, 0))), 1, "")</f>
        <v/>
      </c>
      <c r="BB209" s="1" t="str">
        <f>IF(AND(AND(AND(BB$4&gt;='2025'!$L207,BB$4&lt;='2025'!$M207), BB$4&lt;&gt;DATE(2025,7,4)), (SWITCH(weekday(BB$4), 1, 0, 2, if(ISBLANK('2025'!$P207), 0, 1), 3, if(ISBLANK('2025'!$Q207), 0, 1), 4, if(ISBLANK('2025'!$R207), 0, 1), 5, if(ISBLANK('2025'!$S207), 0, 1), 6, if(ISBLANK('2025'!$T207), 0, 1), 7, 0))), 1, "")</f>
        <v/>
      </c>
      <c r="BC209" s="1" t="str">
        <f>IF(AND(AND(AND(BC$4&gt;='2025'!$L207,BC$4&lt;='2025'!$M207), BC$4&lt;&gt;DATE(2025,7,4)), (SWITCH(weekday(BC$4), 1, 0, 2, if(ISBLANK('2025'!$P207), 0, 1), 3, if(ISBLANK('2025'!$Q207), 0, 1), 4, if(ISBLANK('2025'!$R207), 0, 1), 5, if(ISBLANK('2025'!$S207), 0, 1), 6, if(ISBLANK('2025'!$T207), 0, 1), 7, 0))), 1, "")</f>
        <v/>
      </c>
      <c r="BD209" s="1" t="str">
        <f>IF(AND(AND(AND(BD$4&gt;='2025'!$L207,BD$4&lt;='2025'!$M207), BD$4&lt;&gt;DATE(2025,7,4)), (SWITCH(weekday(BD$4), 1, 0, 2, if(ISBLANK('2025'!$P207), 0, 1), 3, if(ISBLANK('2025'!$Q207), 0, 1), 4, if(ISBLANK('2025'!$R207), 0, 1), 5, if(ISBLANK('2025'!$S207), 0, 1), 6, if(ISBLANK('2025'!$T207), 0, 1), 7, 0))), 1, "")</f>
        <v/>
      </c>
      <c r="BE209" s="1" t="str">
        <f>IF(AND(AND(AND(BE$4&gt;='2025'!$L207,BE$4&lt;='2025'!$M207), BE$4&lt;&gt;DATE(2025,7,4)), (SWITCH(weekday(BE$4), 1, 0, 2, if(ISBLANK('2025'!$P207), 0, 1), 3, if(ISBLANK('2025'!$Q207), 0, 1), 4, if(ISBLANK('2025'!$R207), 0, 1), 5, if(ISBLANK('2025'!$S207), 0, 1), 6, if(ISBLANK('2025'!$T207), 0, 1), 7, 0))), 1, "")</f>
        <v/>
      </c>
      <c r="BF209" s="1" t="str">
        <f>IF(AND(AND(AND(BF$4&gt;='2025'!$L207,BF$4&lt;='2025'!$M207), BF$4&lt;&gt;DATE(2025,7,4)), (SWITCH(weekday(BF$4), 1, 0, 2, if(ISBLANK('2025'!$P207), 0, 1), 3, if(ISBLANK('2025'!$Q207), 0, 1), 4, if(ISBLANK('2025'!$R207), 0, 1), 5, if(ISBLANK('2025'!$S207), 0, 1), 6, if(ISBLANK('2025'!$T207), 0, 1), 7, 0))), 1, "")</f>
        <v/>
      </c>
      <c r="BG209" s="1"/>
      <c r="BH209" s="1"/>
      <c r="BI209" s="1"/>
      <c r="BJ209" s="1"/>
      <c r="BK209" s="1"/>
      <c r="BL209" s="1"/>
    </row>
    <row r="210">
      <c r="A210" s="1">
        <f t="shared" si="3"/>
        <v>210</v>
      </c>
      <c r="B210" s="1" t="str">
        <f>'2025'!D174</f>
        <v>, </v>
      </c>
      <c r="C210" s="1" t="str">
        <f>'2025'!H174</f>
        <v/>
      </c>
      <c r="D210" s="1" t="str">
        <f>IF(AND(AND(AND(D$4&gt;='2025'!$L208,D$4&lt;='2025'!$M208), D$4&lt;&gt;DATE(2025,7,4)), (SWITCH(weekday(D$4), 1, 0, 2, if(ISBLANK('2025'!$P208), 0, 1), 3, if(ISBLANK('2025'!$Q208), 0, 1), 4, if(ISBLANK('2025'!$R208), 0, 1), 5, if(ISBLANK('2025'!$S208), 0, 1), 6, if(ISBLANK('2025'!$T208), 0, 1), 7, 0))), 1, "")</f>
        <v/>
      </c>
      <c r="E210" s="1" t="str">
        <f>IF(AND(AND(AND(E$4&gt;='2025'!$L208,E$4&lt;='2025'!$M208), E$4&lt;&gt;DATE(2025,7,4)), (SWITCH(weekday(E$4), 1, 0, 2, if(ISBLANK('2025'!$P208), 0, 1), 3, if(ISBLANK('2025'!$Q208), 0, 1), 4, if(ISBLANK('2025'!$R208), 0, 1), 5, if(ISBLANK('2025'!$S208), 0, 1), 6, if(ISBLANK('2025'!$T208), 0, 1), 7, 0))), 1, "")</f>
        <v/>
      </c>
      <c r="F210" s="1" t="str">
        <f>IF(AND(AND(AND(F$4&gt;='2025'!$L208,F$4&lt;='2025'!$M208), F$4&lt;&gt;DATE(2025,7,4)), (SWITCH(weekday(F$4), 1, 0, 2, if(ISBLANK('2025'!$P208), 0, 1), 3, if(ISBLANK('2025'!$Q208), 0, 1), 4, if(ISBLANK('2025'!$R208), 0, 1), 5, if(ISBLANK('2025'!$S208), 0, 1), 6, if(ISBLANK('2025'!$T208), 0, 1), 7, 0))), 1, "")</f>
        <v/>
      </c>
      <c r="G210" s="1" t="str">
        <f>IF(AND(AND(AND(G$4&gt;='2025'!$L208,G$4&lt;='2025'!$M208), G$4&lt;&gt;DATE(2025,7,4)), (SWITCH(weekday(G$4), 1, 0, 2, if(ISBLANK('2025'!$P208), 0, 1), 3, if(ISBLANK('2025'!$Q208), 0, 1), 4, if(ISBLANK('2025'!$R208), 0, 1), 5, if(ISBLANK('2025'!$S208), 0, 1), 6, if(ISBLANK('2025'!$T208), 0, 1), 7, 0))), 1, "")</f>
        <v/>
      </c>
      <c r="H210" s="1" t="str">
        <f>IF(AND(AND(AND(H$4&gt;='2025'!$L208,H$4&lt;='2025'!$M208), H$4&lt;&gt;DATE(2025,7,4)), (SWITCH(weekday(H$4), 1, 0, 2, if(ISBLANK('2025'!$P208), 0, 1), 3, if(ISBLANK('2025'!$Q208), 0, 1), 4, if(ISBLANK('2025'!$R208), 0, 1), 5, if(ISBLANK('2025'!$S208), 0, 1), 6, if(ISBLANK('2025'!$T208), 0, 1), 7, 0))), 1, "")</f>
        <v/>
      </c>
      <c r="I210" s="1" t="str">
        <f>IF(AND(AND(AND(I$4&gt;='2025'!$L208,I$4&lt;='2025'!$M208), I$4&lt;&gt;DATE(2025,7,4)), (SWITCH(weekday(I$4), 1, 0, 2, if(ISBLANK('2025'!$P208), 0, 1), 3, if(ISBLANK('2025'!$Q208), 0, 1), 4, if(ISBLANK('2025'!$R208), 0, 1), 5, if(ISBLANK('2025'!$S208), 0, 1), 6, if(ISBLANK('2025'!$T208), 0, 1), 7, 0))), 1, "")</f>
        <v/>
      </c>
      <c r="J210" s="1" t="str">
        <f>IF(AND(AND(AND(J$4&gt;='2025'!$L208,J$4&lt;='2025'!$M208), J$4&lt;&gt;DATE(2025,7,4)), (SWITCH(weekday(J$4), 1, 0, 2, if(ISBLANK('2025'!$P208), 0, 1), 3, if(ISBLANK('2025'!$Q208), 0, 1), 4, if(ISBLANK('2025'!$R208), 0, 1), 5, if(ISBLANK('2025'!$S208), 0, 1), 6, if(ISBLANK('2025'!$T208), 0, 1), 7, 0))), 1, "")</f>
        <v/>
      </c>
      <c r="K210" s="1" t="str">
        <f>IF(AND(AND(AND(K$4&gt;='2025'!$L208,K$4&lt;='2025'!$M208), K$4&lt;&gt;DATE(2025,7,4)), (SWITCH(weekday(K$4), 1, 0, 2, if(ISBLANK('2025'!$P208), 0, 1), 3, if(ISBLANK('2025'!$Q208), 0, 1), 4, if(ISBLANK('2025'!$R208), 0, 1), 5, if(ISBLANK('2025'!$S208), 0, 1), 6, if(ISBLANK('2025'!$T208), 0, 1), 7, 0))), 1, "")</f>
        <v/>
      </c>
      <c r="L210" s="1" t="str">
        <f>IF(AND(AND(AND(L$4&gt;='2025'!$L208,L$4&lt;='2025'!$M208), L$4&lt;&gt;DATE(2025,7,4)), (SWITCH(weekday(L$4), 1, 0, 2, if(ISBLANK('2025'!$P208), 0, 1), 3, if(ISBLANK('2025'!$Q208), 0, 1), 4, if(ISBLANK('2025'!$R208), 0, 1), 5, if(ISBLANK('2025'!$S208), 0, 1), 6, if(ISBLANK('2025'!$T208), 0, 1), 7, 0))), 1, "")</f>
        <v/>
      </c>
      <c r="M210" s="1" t="str">
        <f>IF(AND(AND(AND(M$4&gt;='2025'!$L208,M$4&lt;='2025'!$M208), M$4&lt;&gt;DATE(2025,7,4)), (SWITCH(weekday(M$4), 1, 0, 2, if(ISBLANK('2025'!$P208), 0, 1), 3, if(ISBLANK('2025'!$Q208), 0, 1), 4, if(ISBLANK('2025'!$R208), 0, 1), 5, if(ISBLANK('2025'!$S208), 0, 1), 6, if(ISBLANK('2025'!$T208), 0, 1), 7, 0))), 1, "")</f>
        <v/>
      </c>
      <c r="N210" s="1" t="str">
        <f>IF(AND(AND(AND(N$4&gt;='2025'!$L208,N$4&lt;='2025'!$M208), N$4&lt;&gt;DATE(2025,7,4)), (SWITCH(weekday(N$4), 1, 0, 2, if(ISBLANK('2025'!$P208), 0, 1), 3, if(ISBLANK('2025'!$Q208), 0, 1), 4, if(ISBLANK('2025'!$R208), 0, 1), 5, if(ISBLANK('2025'!$S208), 0, 1), 6, if(ISBLANK('2025'!$T208), 0, 1), 7, 0))), 1, "")</f>
        <v/>
      </c>
      <c r="O210" s="1" t="str">
        <f>IF(AND(AND(AND(O$4&gt;='2025'!$L208,O$4&lt;='2025'!$M208), O$4&lt;&gt;DATE(2025,7,4)), (SWITCH(weekday(O$4), 1, 0, 2, if(ISBLANK('2025'!$P208), 0, 1), 3, if(ISBLANK('2025'!$Q208), 0, 1), 4, if(ISBLANK('2025'!$R208), 0, 1), 5, if(ISBLANK('2025'!$S208), 0, 1), 6, if(ISBLANK('2025'!$T208), 0, 1), 7, 0))), 1, "")</f>
        <v/>
      </c>
      <c r="P210" s="1" t="str">
        <f>IF(AND(AND(AND(P$4&gt;='2025'!$L208,P$4&lt;='2025'!$M208), P$4&lt;&gt;DATE(2025,7,4)), (SWITCH(weekday(P$4), 1, 0, 2, if(ISBLANK('2025'!$P208), 0, 1), 3, if(ISBLANK('2025'!$Q208), 0, 1), 4, if(ISBLANK('2025'!$R208), 0, 1), 5, if(ISBLANK('2025'!$S208), 0, 1), 6, if(ISBLANK('2025'!$T208), 0, 1), 7, 0))), 1, "")</f>
        <v/>
      </c>
      <c r="Q210" s="1" t="str">
        <f>IF(AND(AND(AND(Q$4&gt;='2025'!$L208,Q$4&lt;='2025'!$M208), Q$4&lt;&gt;DATE(2025,7,4)), (SWITCH(weekday(Q$4), 1, 0, 2, if(ISBLANK('2025'!$P208), 0, 1), 3, if(ISBLANK('2025'!$Q208), 0, 1), 4, if(ISBLANK('2025'!$R208), 0, 1), 5, if(ISBLANK('2025'!$S208), 0, 1), 6, if(ISBLANK('2025'!$T208), 0, 1), 7, 0))), 1, "")</f>
        <v/>
      </c>
      <c r="R210" s="1" t="str">
        <f>IF(AND(AND(AND(R$4&gt;='2025'!$L208,R$4&lt;='2025'!$M208), R$4&lt;&gt;DATE(2025,7,4)), (SWITCH(weekday(R$4), 1, 0, 2, if(ISBLANK('2025'!$P208), 0, 1), 3, if(ISBLANK('2025'!$Q208), 0, 1), 4, if(ISBLANK('2025'!$R208), 0, 1), 5, if(ISBLANK('2025'!$S208), 0, 1), 6, if(ISBLANK('2025'!$T208), 0, 1), 7, 0))), 1, "")</f>
        <v/>
      </c>
      <c r="S210" s="1" t="str">
        <f>IF(AND(AND(AND(S$4&gt;='2025'!$L208,S$4&lt;='2025'!$M208), S$4&lt;&gt;DATE(2025,7,4)), (SWITCH(weekday(S$4), 1, 0, 2, if(ISBLANK('2025'!$P208), 0, 1), 3, if(ISBLANK('2025'!$Q208), 0, 1), 4, if(ISBLANK('2025'!$R208), 0, 1), 5, if(ISBLANK('2025'!$S208), 0, 1), 6, if(ISBLANK('2025'!$T208), 0, 1), 7, 0))), 1, "")</f>
        <v/>
      </c>
      <c r="T210" s="1" t="str">
        <f>IF(AND(AND(AND(T$4&gt;='2025'!$L208,T$4&lt;='2025'!$M208), T$4&lt;&gt;DATE(2025,7,4)), (SWITCH(weekday(T$4), 1, 0, 2, if(ISBLANK('2025'!$P208), 0, 1), 3, if(ISBLANK('2025'!$Q208), 0, 1), 4, if(ISBLANK('2025'!$R208), 0, 1), 5, if(ISBLANK('2025'!$S208), 0, 1), 6, if(ISBLANK('2025'!$T208), 0, 1), 7, 0))), 1, "")</f>
        <v/>
      </c>
      <c r="U210" s="1" t="str">
        <f>IF(AND(AND(AND(U$4&gt;='2025'!$L208,U$4&lt;='2025'!$M208), U$4&lt;&gt;DATE(2025,7,4)), (SWITCH(weekday(U$4), 1, 0, 2, if(ISBLANK('2025'!$P208), 0, 1), 3, if(ISBLANK('2025'!$Q208), 0, 1), 4, if(ISBLANK('2025'!$R208), 0, 1), 5, if(ISBLANK('2025'!$S208), 0, 1), 6, if(ISBLANK('2025'!$T208), 0, 1), 7, 0))), 1, "")</f>
        <v/>
      </c>
      <c r="V210" s="1" t="str">
        <f>IF(AND(AND(AND(V$4&gt;='2025'!$L208,V$4&lt;='2025'!$M208), V$4&lt;&gt;DATE(2025,7,4)), (SWITCH(weekday(V$4), 1, 0, 2, if(ISBLANK('2025'!$P208), 0, 1), 3, if(ISBLANK('2025'!$Q208), 0, 1), 4, if(ISBLANK('2025'!$R208), 0, 1), 5, if(ISBLANK('2025'!$S208), 0, 1), 6, if(ISBLANK('2025'!$T208), 0, 1), 7, 0))), 1, "")</f>
        <v/>
      </c>
      <c r="W210" s="1" t="str">
        <f>IF(AND(AND(AND(W$4&gt;='2025'!$L208,W$4&lt;='2025'!$M208), W$4&lt;&gt;DATE(2025,7,4)), (SWITCH(weekday(W$4), 1, 0, 2, if(ISBLANK('2025'!$P208), 0, 1), 3, if(ISBLANK('2025'!$Q208), 0, 1), 4, if(ISBLANK('2025'!$R208), 0, 1), 5, if(ISBLANK('2025'!$S208), 0, 1), 6, if(ISBLANK('2025'!$T208), 0, 1), 7, 0))), 1, "")</f>
        <v/>
      </c>
      <c r="X210" s="1" t="str">
        <f>IF(AND(AND(AND(X$4&gt;='2025'!$L208,X$4&lt;='2025'!$M208), X$4&lt;&gt;DATE(2025,7,4)), (SWITCH(weekday(X$4), 1, 0, 2, if(ISBLANK('2025'!$P208), 0, 1), 3, if(ISBLANK('2025'!$Q208), 0, 1), 4, if(ISBLANK('2025'!$R208), 0, 1), 5, if(ISBLANK('2025'!$S208), 0, 1), 6, if(ISBLANK('2025'!$T208), 0, 1), 7, 0))), 1, "")</f>
        <v/>
      </c>
      <c r="Y210" s="1" t="str">
        <f>IF(AND(AND(AND(Y$4&gt;='2025'!$L208,Y$4&lt;='2025'!$M208), Y$4&lt;&gt;DATE(2025,7,4)), (SWITCH(weekday(Y$4), 1, 0, 2, if(ISBLANK('2025'!$P208), 0, 1), 3, if(ISBLANK('2025'!$Q208), 0, 1), 4, if(ISBLANK('2025'!$R208), 0, 1), 5, if(ISBLANK('2025'!$S208), 0, 1), 6, if(ISBLANK('2025'!$T208), 0, 1), 7, 0))), 1, "")</f>
        <v/>
      </c>
      <c r="Z210" s="1" t="str">
        <f>IF(AND(AND(AND(Z$4&gt;='2025'!$L208,Z$4&lt;='2025'!$M208), Z$4&lt;&gt;DATE(2025,7,4)), (SWITCH(weekday(Z$4), 1, 0, 2, if(ISBLANK('2025'!$P208), 0, 1), 3, if(ISBLANK('2025'!$Q208), 0, 1), 4, if(ISBLANK('2025'!$R208), 0, 1), 5, if(ISBLANK('2025'!$S208), 0, 1), 6, if(ISBLANK('2025'!$T208), 0, 1), 7, 0))), 1, "")</f>
        <v/>
      </c>
      <c r="AA210" s="1" t="str">
        <f>IF(AND(AND(AND(AA$4&gt;='2025'!$L208,AA$4&lt;='2025'!$M208), AA$4&lt;&gt;DATE(2025,7,4)), (SWITCH(weekday(AA$4), 1, 0, 2, if(ISBLANK('2025'!$P208), 0, 1), 3, if(ISBLANK('2025'!$Q208), 0, 1), 4, if(ISBLANK('2025'!$R208), 0, 1), 5, if(ISBLANK('2025'!$S208), 0, 1), 6, if(ISBLANK('2025'!$T208), 0, 1), 7, 0))), 1, "")</f>
        <v/>
      </c>
      <c r="AB210" s="1" t="str">
        <f>IF(AND(AND(AND(AB$4&gt;='2025'!$L208,AB$4&lt;='2025'!$M208), AB$4&lt;&gt;DATE(2025,7,4)), (SWITCH(weekday(AB$4), 1, 0, 2, if(ISBLANK('2025'!$P208), 0, 1), 3, if(ISBLANK('2025'!$Q208), 0, 1), 4, if(ISBLANK('2025'!$R208), 0, 1), 5, if(ISBLANK('2025'!$S208), 0, 1), 6, if(ISBLANK('2025'!$T208), 0, 1), 7, 0))), 1, "")</f>
        <v/>
      </c>
      <c r="AC210" s="1" t="str">
        <f>IF(AND(AND(AND(AC$4&gt;='2025'!$L208,AC$4&lt;='2025'!$M208), AC$4&lt;&gt;DATE(2025,7,4)), (SWITCH(weekday(AC$4), 1, 0, 2, if(ISBLANK('2025'!$P208), 0, 1), 3, if(ISBLANK('2025'!$Q208), 0, 1), 4, if(ISBLANK('2025'!$R208), 0, 1), 5, if(ISBLANK('2025'!$S208), 0, 1), 6, if(ISBLANK('2025'!$T208), 0, 1), 7, 0))), 1, "")</f>
        <v/>
      </c>
      <c r="AD210" s="1" t="str">
        <f>IF(AND(AND(AND(AD$4&gt;='2025'!$L208,AD$4&lt;='2025'!$M208), AD$4&lt;&gt;DATE(2025,7,4)), (SWITCH(weekday(AD$4), 1, 0, 2, if(ISBLANK('2025'!$P208), 0, 1), 3, if(ISBLANK('2025'!$Q208), 0, 1), 4, if(ISBLANK('2025'!$R208), 0, 1), 5, if(ISBLANK('2025'!$S208), 0, 1), 6, if(ISBLANK('2025'!$T208), 0, 1), 7, 0))), 1, "")</f>
        <v/>
      </c>
      <c r="AE210" s="1" t="str">
        <f>IF(AND(AND(AND(AE$4&gt;='2025'!$L208,AE$4&lt;='2025'!$M208), AE$4&lt;&gt;DATE(2025,7,4)), (SWITCH(weekday(AE$4), 1, 0, 2, if(ISBLANK('2025'!$P208), 0, 1), 3, if(ISBLANK('2025'!$Q208), 0, 1), 4, if(ISBLANK('2025'!$R208), 0, 1), 5, if(ISBLANK('2025'!$S208), 0, 1), 6, if(ISBLANK('2025'!$T208), 0, 1), 7, 0))), 1, "")</f>
        <v/>
      </c>
      <c r="AF210" s="1" t="str">
        <f>IF(AND(AND(AND(AF$4&gt;='2025'!$L208,AF$4&lt;='2025'!$M208), AF$4&lt;&gt;DATE(2025,7,4)), (SWITCH(weekday(AF$4), 1, 0, 2, if(ISBLANK('2025'!$P208), 0, 1), 3, if(ISBLANK('2025'!$Q208), 0, 1), 4, if(ISBLANK('2025'!$R208), 0, 1), 5, if(ISBLANK('2025'!$S208), 0, 1), 6, if(ISBLANK('2025'!$T208), 0, 1), 7, 0))), 1, "")</f>
        <v/>
      </c>
      <c r="AG210" s="1" t="str">
        <f>IF(AND(AND(AND(AG$4&gt;='2025'!$L208,AG$4&lt;='2025'!$M208), AG$4&lt;&gt;DATE(2025,7,4)), (SWITCH(weekday(AG$4), 1, 0, 2, if(ISBLANK('2025'!$P208), 0, 1), 3, if(ISBLANK('2025'!$Q208), 0, 1), 4, if(ISBLANK('2025'!$R208), 0, 1), 5, if(ISBLANK('2025'!$S208), 0, 1), 6, if(ISBLANK('2025'!$T208), 0, 1), 7, 0))), 1, "")</f>
        <v/>
      </c>
      <c r="AH210" s="1" t="str">
        <f>IF(AND(AND(AND(AH$4&gt;='2025'!$L208,AH$4&lt;='2025'!$M208), AH$4&lt;&gt;DATE(2025,7,4)), (SWITCH(weekday(AH$4), 1, 0, 2, if(ISBLANK('2025'!$P208), 0, 1), 3, if(ISBLANK('2025'!$Q208), 0, 1), 4, if(ISBLANK('2025'!$R208), 0, 1), 5, if(ISBLANK('2025'!$S208), 0, 1), 6, if(ISBLANK('2025'!$T208), 0, 1), 7, 0))), 1, "")</f>
        <v/>
      </c>
      <c r="AI210" s="1" t="str">
        <f>IF(AND(AND(AND(AI$4&gt;='2025'!$L208,AI$4&lt;='2025'!$M208), AI$4&lt;&gt;DATE(2025,7,4)), (SWITCH(weekday(AI$4), 1, 0, 2, if(ISBLANK('2025'!$P208), 0, 1), 3, if(ISBLANK('2025'!$Q208), 0, 1), 4, if(ISBLANK('2025'!$R208), 0, 1), 5, if(ISBLANK('2025'!$S208), 0, 1), 6, if(ISBLANK('2025'!$T208), 0, 1), 7, 0))), 1, "")</f>
        <v/>
      </c>
      <c r="AJ210" s="1" t="str">
        <f>IF(AND(AND(AND(AJ$4&gt;='2025'!$L208,AJ$4&lt;='2025'!$M208), AJ$4&lt;&gt;DATE(2025,7,4)), (SWITCH(weekday(AJ$4), 1, 0, 2, if(ISBLANK('2025'!$P208), 0, 1), 3, if(ISBLANK('2025'!$Q208), 0, 1), 4, if(ISBLANK('2025'!$R208), 0, 1), 5, if(ISBLANK('2025'!$S208), 0, 1), 6, if(ISBLANK('2025'!$T208), 0, 1), 7, 0))), 1, "")</f>
        <v/>
      </c>
      <c r="AK210" s="1" t="str">
        <f>IF(AND(AND(AND(AK$4&gt;='2025'!$L208,AK$4&lt;='2025'!$M208), AK$4&lt;&gt;DATE(2025,7,4)), (SWITCH(weekday(AK$4), 1, 0, 2, if(ISBLANK('2025'!$P208), 0, 1), 3, if(ISBLANK('2025'!$Q208), 0, 1), 4, if(ISBLANK('2025'!$R208), 0, 1), 5, if(ISBLANK('2025'!$S208), 0, 1), 6, if(ISBLANK('2025'!$T208), 0, 1), 7, 0))), 1, "")</f>
        <v/>
      </c>
      <c r="AL210" s="1" t="str">
        <f>IF(AND(AND(AND(AL$4&gt;='2025'!$L208,AL$4&lt;='2025'!$M208), AL$4&lt;&gt;DATE(2025,7,4)), (SWITCH(weekday(AL$4), 1, 0, 2, if(ISBLANK('2025'!$P208), 0, 1), 3, if(ISBLANK('2025'!$Q208), 0, 1), 4, if(ISBLANK('2025'!$R208), 0, 1), 5, if(ISBLANK('2025'!$S208), 0, 1), 6, if(ISBLANK('2025'!$T208), 0, 1), 7, 0))), 1, "")</f>
        <v/>
      </c>
      <c r="AM210" s="1" t="str">
        <f>IF(AND(AND(AND(AM$4&gt;='2025'!$L208,AM$4&lt;='2025'!$M208), AM$4&lt;&gt;DATE(2025,7,4)), (SWITCH(weekday(AM$4), 1, 0, 2, if(ISBLANK('2025'!$P208), 0, 1), 3, if(ISBLANK('2025'!$Q208), 0, 1), 4, if(ISBLANK('2025'!$R208), 0, 1), 5, if(ISBLANK('2025'!$S208), 0, 1), 6, if(ISBLANK('2025'!$T208), 0, 1), 7, 0))), 1, "")</f>
        <v/>
      </c>
      <c r="AN210" s="1" t="str">
        <f>IF(AND(AND(AND(AN$4&gt;='2025'!$L208,AN$4&lt;='2025'!$M208), AN$4&lt;&gt;DATE(2025,7,4)), (SWITCH(weekday(AN$4), 1, 0, 2, if(ISBLANK('2025'!$P208), 0, 1), 3, if(ISBLANK('2025'!$Q208), 0, 1), 4, if(ISBLANK('2025'!$R208), 0, 1), 5, if(ISBLANK('2025'!$S208), 0, 1), 6, if(ISBLANK('2025'!$T208), 0, 1), 7, 0))), 1, "")</f>
        <v/>
      </c>
      <c r="AO210" s="1" t="str">
        <f>IF(AND(AND(AND(AO$4&gt;='2025'!$L208,AO$4&lt;='2025'!$M208), AO$4&lt;&gt;DATE(2025,7,4)), (SWITCH(weekday(AO$4), 1, 0, 2, if(ISBLANK('2025'!$P208), 0, 1), 3, if(ISBLANK('2025'!$Q208), 0, 1), 4, if(ISBLANK('2025'!$R208), 0, 1), 5, if(ISBLANK('2025'!$S208), 0, 1), 6, if(ISBLANK('2025'!$T208), 0, 1), 7, 0))), 1, "")</f>
        <v/>
      </c>
      <c r="AP210" s="1" t="str">
        <f>IF(AND(AND(AND(AP$4&gt;='2025'!$L208,AP$4&lt;='2025'!$M208), AP$4&lt;&gt;DATE(2025,7,4)), (SWITCH(weekday(AP$4), 1, 0, 2, if(ISBLANK('2025'!$P208), 0, 1), 3, if(ISBLANK('2025'!$Q208), 0, 1), 4, if(ISBLANK('2025'!$R208), 0, 1), 5, if(ISBLANK('2025'!$S208), 0, 1), 6, if(ISBLANK('2025'!$T208), 0, 1), 7, 0))), 1, "")</f>
        <v/>
      </c>
      <c r="AQ210" s="1" t="str">
        <f>IF(AND(AND(AND(AQ$4&gt;='2025'!$L208,AQ$4&lt;='2025'!$M208), AQ$4&lt;&gt;DATE(2025,7,4)), (SWITCH(weekday(AQ$4), 1, 0, 2, if(ISBLANK('2025'!$P208), 0, 1), 3, if(ISBLANK('2025'!$Q208), 0, 1), 4, if(ISBLANK('2025'!$R208), 0, 1), 5, if(ISBLANK('2025'!$S208), 0, 1), 6, if(ISBLANK('2025'!$T208), 0, 1), 7, 0))), 1, "")</f>
        <v/>
      </c>
      <c r="AR210" s="1" t="str">
        <f>IF(AND(AND(AND(AR$4&gt;='2025'!$L208,AR$4&lt;='2025'!$M208), AR$4&lt;&gt;DATE(2025,7,4)), (SWITCH(weekday(AR$4), 1, 0, 2, if(ISBLANK('2025'!$P208), 0, 1), 3, if(ISBLANK('2025'!$Q208), 0, 1), 4, if(ISBLANK('2025'!$R208), 0, 1), 5, if(ISBLANK('2025'!$S208), 0, 1), 6, if(ISBLANK('2025'!$T208), 0, 1), 7, 0))), 1, "")</f>
        <v/>
      </c>
      <c r="AS210" s="1" t="str">
        <f>IF(AND(AND(AND(AS$4&gt;='2025'!$L208,AS$4&lt;='2025'!$M208), AS$4&lt;&gt;DATE(2025,7,4)), (SWITCH(weekday(AS$4), 1, 0, 2, if(ISBLANK('2025'!$P208), 0, 1), 3, if(ISBLANK('2025'!$Q208), 0, 1), 4, if(ISBLANK('2025'!$R208), 0, 1), 5, if(ISBLANK('2025'!$S208), 0, 1), 6, if(ISBLANK('2025'!$T208), 0, 1), 7, 0))), 1, "")</f>
        <v/>
      </c>
      <c r="AT210" s="1" t="str">
        <f>IF(AND(AND(AND(AT$4&gt;='2025'!$L208,AT$4&lt;='2025'!$M208), AT$4&lt;&gt;DATE(2025,7,4)), (SWITCH(weekday(AT$4), 1, 0, 2, if(ISBLANK('2025'!$P208), 0, 1), 3, if(ISBLANK('2025'!$Q208), 0, 1), 4, if(ISBLANK('2025'!$R208), 0, 1), 5, if(ISBLANK('2025'!$S208), 0, 1), 6, if(ISBLANK('2025'!$T208), 0, 1), 7, 0))), 1, "")</f>
        <v/>
      </c>
      <c r="AU210" s="1" t="str">
        <f>IF(AND(AND(AND(AU$4&gt;='2025'!$L208,AU$4&lt;='2025'!$M208), AU$4&lt;&gt;DATE(2025,7,4)), (SWITCH(weekday(AU$4), 1, 0, 2, if(ISBLANK('2025'!$P208), 0, 1), 3, if(ISBLANK('2025'!$Q208), 0, 1), 4, if(ISBLANK('2025'!$R208), 0, 1), 5, if(ISBLANK('2025'!$S208), 0, 1), 6, if(ISBLANK('2025'!$T208), 0, 1), 7, 0))), 1, "")</f>
        <v/>
      </c>
      <c r="AV210" s="1" t="str">
        <f>IF(AND(AND(AND(AV$4&gt;='2025'!$L208,AV$4&lt;='2025'!$M208), AV$4&lt;&gt;DATE(2025,7,4)), (SWITCH(weekday(AV$4), 1, 0, 2, if(ISBLANK('2025'!$P208), 0, 1), 3, if(ISBLANK('2025'!$Q208), 0, 1), 4, if(ISBLANK('2025'!$R208), 0, 1), 5, if(ISBLANK('2025'!$S208), 0, 1), 6, if(ISBLANK('2025'!$T208), 0, 1), 7, 0))), 1, "")</f>
        <v/>
      </c>
      <c r="AW210" s="1" t="str">
        <f>IF(AND(AND(AND(AW$4&gt;='2025'!$L208,AW$4&lt;='2025'!$M208), AW$4&lt;&gt;DATE(2025,7,4)), (SWITCH(weekday(AW$4), 1, 0, 2, if(ISBLANK('2025'!$P208), 0, 1), 3, if(ISBLANK('2025'!$Q208), 0, 1), 4, if(ISBLANK('2025'!$R208), 0, 1), 5, if(ISBLANK('2025'!$S208), 0, 1), 6, if(ISBLANK('2025'!$T208), 0, 1), 7, 0))), 1, "")</f>
        <v/>
      </c>
      <c r="AX210" s="1" t="str">
        <f>IF(AND(AND(AND(AX$4&gt;='2025'!$L208,AX$4&lt;='2025'!$M208), AX$4&lt;&gt;DATE(2025,7,4)), (SWITCH(weekday(AX$4), 1, 0, 2, if(ISBLANK('2025'!$P208), 0, 1), 3, if(ISBLANK('2025'!$Q208), 0, 1), 4, if(ISBLANK('2025'!$R208), 0, 1), 5, if(ISBLANK('2025'!$S208), 0, 1), 6, if(ISBLANK('2025'!$T208), 0, 1), 7, 0))), 1, "")</f>
        <v/>
      </c>
      <c r="AY210" s="1" t="str">
        <f>IF(AND(AND(AND(AY$4&gt;='2025'!$L208,AY$4&lt;='2025'!$M208), AY$4&lt;&gt;DATE(2025,7,4)), (SWITCH(weekday(AY$4), 1, 0, 2, if(ISBLANK('2025'!$P208), 0, 1), 3, if(ISBLANK('2025'!$Q208), 0, 1), 4, if(ISBLANK('2025'!$R208), 0, 1), 5, if(ISBLANK('2025'!$S208), 0, 1), 6, if(ISBLANK('2025'!$T208), 0, 1), 7, 0))), 1, "")</f>
        <v/>
      </c>
      <c r="AZ210" s="1" t="str">
        <f>IF(AND(AND(AND(AZ$4&gt;='2025'!$L208,AZ$4&lt;='2025'!$M208), AZ$4&lt;&gt;DATE(2025,7,4)), (SWITCH(weekday(AZ$4), 1, 0, 2, if(ISBLANK('2025'!$P208), 0, 1), 3, if(ISBLANK('2025'!$Q208), 0, 1), 4, if(ISBLANK('2025'!$R208), 0, 1), 5, if(ISBLANK('2025'!$S208), 0, 1), 6, if(ISBLANK('2025'!$T208), 0, 1), 7, 0))), 1, "")</f>
        <v/>
      </c>
      <c r="BA210" s="1" t="str">
        <f>IF(AND(AND(AND(BA$4&gt;='2025'!$L208,BA$4&lt;='2025'!$M208), BA$4&lt;&gt;DATE(2025,7,4)), (SWITCH(weekday(BA$4), 1, 0, 2, if(ISBLANK('2025'!$P208), 0, 1), 3, if(ISBLANK('2025'!$Q208), 0, 1), 4, if(ISBLANK('2025'!$R208), 0, 1), 5, if(ISBLANK('2025'!$S208), 0, 1), 6, if(ISBLANK('2025'!$T208), 0, 1), 7, 0))), 1, "")</f>
        <v/>
      </c>
      <c r="BB210" s="1" t="str">
        <f>IF(AND(AND(AND(BB$4&gt;='2025'!$L208,BB$4&lt;='2025'!$M208), BB$4&lt;&gt;DATE(2025,7,4)), (SWITCH(weekday(BB$4), 1, 0, 2, if(ISBLANK('2025'!$P208), 0, 1), 3, if(ISBLANK('2025'!$Q208), 0, 1), 4, if(ISBLANK('2025'!$R208), 0, 1), 5, if(ISBLANK('2025'!$S208), 0, 1), 6, if(ISBLANK('2025'!$T208), 0, 1), 7, 0))), 1, "")</f>
        <v/>
      </c>
      <c r="BC210" s="1" t="str">
        <f>IF(AND(AND(AND(BC$4&gt;='2025'!$L208,BC$4&lt;='2025'!$M208), BC$4&lt;&gt;DATE(2025,7,4)), (SWITCH(weekday(BC$4), 1, 0, 2, if(ISBLANK('2025'!$P208), 0, 1), 3, if(ISBLANK('2025'!$Q208), 0, 1), 4, if(ISBLANK('2025'!$R208), 0, 1), 5, if(ISBLANK('2025'!$S208), 0, 1), 6, if(ISBLANK('2025'!$T208), 0, 1), 7, 0))), 1, "")</f>
        <v/>
      </c>
      <c r="BD210" s="1" t="str">
        <f>IF(AND(AND(AND(BD$4&gt;='2025'!$L208,BD$4&lt;='2025'!$M208), BD$4&lt;&gt;DATE(2025,7,4)), (SWITCH(weekday(BD$4), 1, 0, 2, if(ISBLANK('2025'!$P208), 0, 1), 3, if(ISBLANK('2025'!$Q208), 0, 1), 4, if(ISBLANK('2025'!$R208), 0, 1), 5, if(ISBLANK('2025'!$S208), 0, 1), 6, if(ISBLANK('2025'!$T208), 0, 1), 7, 0))), 1, "")</f>
        <v/>
      </c>
      <c r="BE210" s="1" t="str">
        <f>IF(AND(AND(AND(BE$4&gt;='2025'!$L208,BE$4&lt;='2025'!$M208), BE$4&lt;&gt;DATE(2025,7,4)), (SWITCH(weekday(BE$4), 1, 0, 2, if(ISBLANK('2025'!$P208), 0, 1), 3, if(ISBLANK('2025'!$Q208), 0, 1), 4, if(ISBLANK('2025'!$R208), 0, 1), 5, if(ISBLANK('2025'!$S208), 0, 1), 6, if(ISBLANK('2025'!$T208), 0, 1), 7, 0))), 1, "")</f>
        <v/>
      </c>
      <c r="BF210" s="1" t="str">
        <f>IF(AND(AND(AND(BF$4&gt;='2025'!$L208,BF$4&lt;='2025'!$M208), BF$4&lt;&gt;DATE(2025,7,4)), (SWITCH(weekday(BF$4), 1, 0, 2, if(ISBLANK('2025'!$P208), 0, 1), 3, if(ISBLANK('2025'!$Q208), 0, 1), 4, if(ISBLANK('2025'!$R208), 0, 1), 5, if(ISBLANK('2025'!$S208), 0, 1), 6, if(ISBLANK('2025'!$T208), 0, 1), 7, 0))), 1, "")</f>
        <v/>
      </c>
      <c r="BG210" s="1"/>
      <c r="BH210" s="1"/>
      <c r="BI210" s="1"/>
      <c r="BJ210" s="1"/>
      <c r="BK210" s="1"/>
      <c r="BL210" s="1"/>
    </row>
    <row r="211">
      <c r="A211" s="1">
        <f t="shared" si="3"/>
        <v>211</v>
      </c>
      <c r="B211" s="1" t="str">
        <f>'2025'!D175</f>
        <v>, </v>
      </c>
      <c r="C211" s="1" t="str">
        <f>'2025'!H175</f>
        <v/>
      </c>
      <c r="D211" s="1" t="str">
        <f>IF(AND(AND(AND(D$4&gt;='2025'!$L209,D$4&lt;='2025'!$M209), D$4&lt;&gt;DATE(2025,7,4)), (SWITCH(weekday(D$4), 1, 0, 2, if(ISBLANK('2025'!$P209), 0, 1), 3, if(ISBLANK('2025'!$Q209), 0, 1), 4, if(ISBLANK('2025'!$R209), 0, 1), 5, if(ISBLANK('2025'!$S209), 0, 1), 6, if(ISBLANK('2025'!$T209), 0, 1), 7, 0))), 1, "")</f>
        <v/>
      </c>
      <c r="E211" s="1" t="str">
        <f>IF(AND(AND(AND(E$4&gt;='2025'!$L209,E$4&lt;='2025'!$M209), E$4&lt;&gt;DATE(2025,7,4)), (SWITCH(weekday(E$4), 1, 0, 2, if(ISBLANK('2025'!$P209), 0, 1), 3, if(ISBLANK('2025'!$Q209), 0, 1), 4, if(ISBLANK('2025'!$R209), 0, 1), 5, if(ISBLANK('2025'!$S209), 0, 1), 6, if(ISBLANK('2025'!$T209), 0, 1), 7, 0))), 1, "")</f>
        <v/>
      </c>
      <c r="F211" s="1" t="str">
        <f>IF(AND(AND(AND(F$4&gt;='2025'!$L209,F$4&lt;='2025'!$M209), F$4&lt;&gt;DATE(2025,7,4)), (SWITCH(weekday(F$4), 1, 0, 2, if(ISBLANK('2025'!$P209), 0, 1), 3, if(ISBLANK('2025'!$Q209), 0, 1), 4, if(ISBLANK('2025'!$R209), 0, 1), 5, if(ISBLANK('2025'!$S209), 0, 1), 6, if(ISBLANK('2025'!$T209), 0, 1), 7, 0))), 1, "")</f>
        <v/>
      </c>
      <c r="G211" s="1" t="str">
        <f>IF(AND(AND(AND(G$4&gt;='2025'!$L209,G$4&lt;='2025'!$M209), G$4&lt;&gt;DATE(2025,7,4)), (SWITCH(weekday(G$4), 1, 0, 2, if(ISBLANK('2025'!$P209), 0, 1), 3, if(ISBLANK('2025'!$Q209), 0, 1), 4, if(ISBLANK('2025'!$R209), 0, 1), 5, if(ISBLANK('2025'!$S209), 0, 1), 6, if(ISBLANK('2025'!$T209), 0, 1), 7, 0))), 1, "")</f>
        <v/>
      </c>
      <c r="H211" s="1" t="str">
        <f>IF(AND(AND(AND(H$4&gt;='2025'!$L209,H$4&lt;='2025'!$M209), H$4&lt;&gt;DATE(2025,7,4)), (SWITCH(weekday(H$4), 1, 0, 2, if(ISBLANK('2025'!$P209), 0, 1), 3, if(ISBLANK('2025'!$Q209), 0, 1), 4, if(ISBLANK('2025'!$R209), 0, 1), 5, if(ISBLANK('2025'!$S209), 0, 1), 6, if(ISBLANK('2025'!$T209), 0, 1), 7, 0))), 1, "")</f>
        <v/>
      </c>
      <c r="I211" s="1" t="str">
        <f>IF(AND(AND(AND(I$4&gt;='2025'!$L209,I$4&lt;='2025'!$M209), I$4&lt;&gt;DATE(2025,7,4)), (SWITCH(weekday(I$4), 1, 0, 2, if(ISBLANK('2025'!$P209), 0, 1), 3, if(ISBLANK('2025'!$Q209), 0, 1), 4, if(ISBLANK('2025'!$R209), 0, 1), 5, if(ISBLANK('2025'!$S209), 0, 1), 6, if(ISBLANK('2025'!$T209), 0, 1), 7, 0))), 1, "")</f>
        <v/>
      </c>
      <c r="J211" s="1" t="str">
        <f>IF(AND(AND(AND(J$4&gt;='2025'!$L209,J$4&lt;='2025'!$M209), J$4&lt;&gt;DATE(2025,7,4)), (SWITCH(weekday(J$4), 1, 0, 2, if(ISBLANK('2025'!$P209), 0, 1), 3, if(ISBLANK('2025'!$Q209), 0, 1), 4, if(ISBLANK('2025'!$R209), 0, 1), 5, if(ISBLANK('2025'!$S209), 0, 1), 6, if(ISBLANK('2025'!$T209), 0, 1), 7, 0))), 1, "")</f>
        <v/>
      </c>
      <c r="K211" s="1" t="str">
        <f>IF(AND(AND(AND(K$4&gt;='2025'!$L209,K$4&lt;='2025'!$M209), K$4&lt;&gt;DATE(2025,7,4)), (SWITCH(weekday(K$4), 1, 0, 2, if(ISBLANK('2025'!$P209), 0, 1), 3, if(ISBLANK('2025'!$Q209), 0, 1), 4, if(ISBLANK('2025'!$R209), 0, 1), 5, if(ISBLANK('2025'!$S209), 0, 1), 6, if(ISBLANK('2025'!$T209), 0, 1), 7, 0))), 1, "")</f>
        <v/>
      </c>
      <c r="L211" s="1" t="str">
        <f>IF(AND(AND(AND(L$4&gt;='2025'!$L209,L$4&lt;='2025'!$M209), L$4&lt;&gt;DATE(2025,7,4)), (SWITCH(weekday(L$4), 1, 0, 2, if(ISBLANK('2025'!$P209), 0, 1), 3, if(ISBLANK('2025'!$Q209), 0, 1), 4, if(ISBLANK('2025'!$R209), 0, 1), 5, if(ISBLANK('2025'!$S209), 0, 1), 6, if(ISBLANK('2025'!$T209), 0, 1), 7, 0))), 1, "")</f>
        <v/>
      </c>
      <c r="M211" s="1" t="str">
        <f>IF(AND(AND(AND(M$4&gt;='2025'!$L209,M$4&lt;='2025'!$M209), M$4&lt;&gt;DATE(2025,7,4)), (SWITCH(weekday(M$4), 1, 0, 2, if(ISBLANK('2025'!$P209), 0, 1), 3, if(ISBLANK('2025'!$Q209), 0, 1), 4, if(ISBLANK('2025'!$R209), 0, 1), 5, if(ISBLANK('2025'!$S209), 0, 1), 6, if(ISBLANK('2025'!$T209), 0, 1), 7, 0))), 1, "")</f>
        <v/>
      </c>
      <c r="N211" s="1" t="str">
        <f>IF(AND(AND(AND(N$4&gt;='2025'!$L209,N$4&lt;='2025'!$M209), N$4&lt;&gt;DATE(2025,7,4)), (SWITCH(weekday(N$4), 1, 0, 2, if(ISBLANK('2025'!$P209), 0, 1), 3, if(ISBLANK('2025'!$Q209), 0, 1), 4, if(ISBLANK('2025'!$R209), 0, 1), 5, if(ISBLANK('2025'!$S209), 0, 1), 6, if(ISBLANK('2025'!$T209), 0, 1), 7, 0))), 1, "")</f>
        <v/>
      </c>
      <c r="O211" s="1" t="str">
        <f>IF(AND(AND(AND(O$4&gt;='2025'!$L209,O$4&lt;='2025'!$M209), O$4&lt;&gt;DATE(2025,7,4)), (SWITCH(weekday(O$4), 1, 0, 2, if(ISBLANK('2025'!$P209), 0, 1), 3, if(ISBLANK('2025'!$Q209), 0, 1), 4, if(ISBLANK('2025'!$R209), 0, 1), 5, if(ISBLANK('2025'!$S209), 0, 1), 6, if(ISBLANK('2025'!$T209), 0, 1), 7, 0))), 1, "")</f>
        <v/>
      </c>
      <c r="P211" s="1" t="str">
        <f>IF(AND(AND(AND(P$4&gt;='2025'!$L209,P$4&lt;='2025'!$M209), P$4&lt;&gt;DATE(2025,7,4)), (SWITCH(weekday(P$4), 1, 0, 2, if(ISBLANK('2025'!$P209), 0, 1), 3, if(ISBLANK('2025'!$Q209), 0, 1), 4, if(ISBLANK('2025'!$R209), 0, 1), 5, if(ISBLANK('2025'!$S209), 0, 1), 6, if(ISBLANK('2025'!$T209), 0, 1), 7, 0))), 1, "")</f>
        <v/>
      </c>
      <c r="Q211" s="1" t="str">
        <f>IF(AND(AND(AND(Q$4&gt;='2025'!$L209,Q$4&lt;='2025'!$M209), Q$4&lt;&gt;DATE(2025,7,4)), (SWITCH(weekday(Q$4), 1, 0, 2, if(ISBLANK('2025'!$P209), 0, 1), 3, if(ISBLANK('2025'!$Q209), 0, 1), 4, if(ISBLANK('2025'!$R209), 0, 1), 5, if(ISBLANK('2025'!$S209), 0, 1), 6, if(ISBLANK('2025'!$T209), 0, 1), 7, 0))), 1, "")</f>
        <v/>
      </c>
      <c r="R211" s="1" t="str">
        <f>IF(AND(AND(AND(R$4&gt;='2025'!$L209,R$4&lt;='2025'!$M209), R$4&lt;&gt;DATE(2025,7,4)), (SWITCH(weekday(R$4), 1, 0, 2, if(ISBLANK('2025'!$P209), 0, 1), 3, if(ISBLANK('2025'!$Q209), 0, 1), 4, if(ISBLANK('2025'!$R209), 0, 1), 5, if(ISBLANK('2025'!$S209), 0, 1), 6, if(ISBLANK('2025'!$T209), 0, 1), 7, 0))), 1, "")</f>
        <v/>
      </c>
      <c r="S211" s="1" t="str">
        <f>IF(AND(AND(AND(S$4&gt;='2025'!$L209,S$4&lt;='2025'!$M209), S$4&lt;&gt;DATE(2025,7,4)), (SWITCH(weekday(S$4), 1, 0, 2, if(ISBLANK('2025'!$P209), 0, 1), 3, if(ISBLANK('2025'!$Q209), 0, 1), 4, if(ISBLANK('2025'!$R209), 0, 1), 5, if(ISBLANK('2025'!$S209), 0, 1), 6, if(ISBLANK('2025'!$T209), 0, 1), 7, 0))), 1, "")</f>
        <v/>
      </c>
      <c r="T211" s="1" t="str">
        <f>IF(AND(AND(AND(T$4&gt;='2025'!$L209,T$4&lt;='2025'!$M209), T$4&lt;&gt;DATE(2025,7,4)), (SWITCH(weekday(T$4), 1, 0, 2, if(ISBLANK('2025'!$P209), 0, 1), 3, if(ISBLANK('2025'!$Q209), 0, 1), 4, if(ISBLANK('2025'!$R209), 0, 1), 5, if(ISBLANK('2025'!$S209), 0, 1), 6, if(ISBLANK('2025'!$T209), 0, 1), 7, 0))), 1, "")</f>
        <v/>
      </c>
      <c r="U211" s="1" t="str">
        <f>IF(AND(AND(AND(U$4&gt;='2025'!$L209,U$4&lt;='2025'!$M209), U$4&lt;&gt;DATE(2025,7,4)), (SWITCH(weekday(U$4), 1, 0, 2, if(ISBLANK('2025'!$P209), 0, 1), 3, if(ISBLANK('2025'!$Q209), 0, 1), 4, if(ISBLANK('2025'!$R209), 0, 1), 5, if(ISBLANK('2025'!$S209), 0, 1), 6, if(ISBLANK('2025'!$T209), 0, 1), 7, 0))), 1, "")</f>
        <v/>
      </c>
      <c r="V211" s="1" t="str">
        <f>IF(AND(AND(AND(V$4&gt;='2025'!$L209,V$4&lt;='2025'!$M209), V$4&lt;&gt;DATE(2025,7,4)), (SWITCH(weekday(V$4), 1, 0, 2, if(ISBLANK('2025'!$P209), 0, 1), 3, if(ISBLANK('2025'!$Q209), 0, 1), 4, if(ISBLANK('2025'!$R209), 0, 1), 5, if(ISBLANK('2025'!$S209), 0, 1), 6, if(ISBLANK('2025'!$T209), 0, 1), 7, 0))), 1, "")</f>
        <v/>
      </c>
      <c r="W211" s="1" t="str">
        <f>IF(AND(AND(AND(W$4&gt;='2025'!$L209,W$4&lt;='2025'!$M209), W$4&lt;&gt;DATE(2025,7,4)), (SWITCH(weekday(W$4), 1, 0, 2, if(ISBLANK('2025'!$P209), 0, 1), 3, if(ISBLANK('2025'!$Q209), 0, 1), 4, if(ISBLANK('2025'!$R209), 0, 1), 5, if(ISBLANK('2025'!$S209), 0, 1), 6, if(ISBLANK('2025'!$T209), 0, 1), 7, 0))), 1, "")</f>
        <v/>
      </c>
      <c r="X211" s="1" t="str">
        <f>IF(AND(AND(AND(X$4&gt;='2025'!$L209,X$4&lt;='2025'!$M209), X$4&lt;&gt;DATE(2025,7,4)), (SWITCH(weekday(X$4), 1, 0, 2, if(ISBLANK('2025'!$P209), 0, 1), 3, if(ISBLANK('2025'!$Q209), 0, 1), 4, if(ISBLANK('2025'!$R209), 0, 1), 5, if(ISBLANK('2025'!$S209), 0, 1), 6, if(ISBLANK('2025'!$T209), 0, 1), 7, 0))), 1, "")</f>
        <v/>
      </c>
      <c r="Y211" s="1" t="str">
        <f>IF(AND(AND(AND(Y$4&gt;='2025'!$L209,Y$4&lt;='2025'!$M209), Y$4&lt;&gt;DATE(2025,7,4)), (SWITCH(weekday(Y$4), 1, 0, 2, if(ISBLANK('2025'!$P209), 0, 1), 3, if(ISBLANK('2025'!$Q209), 0, 1), 4, if(ISBLANK('2025'!$R209), 0, 1), 5, if(ISBLANK('2025'!$S209), 0, 1), 6, if(ISBLANK('2025'!$T209), 0, 1), 7, 0))), 1, "")</f>
        <v/>
      </c>
      <c r="Z211" s="1" t="str">
        <f>IF(AND(AND(AND(Z$4&gt;='2025'!$L209,Z$4&lt;='2025'!$M209), Z$4&lt;&gt;DATE(2025,7,4)), (SWITCH(weekday(Z$4), 1, 0, 2, if(ISBLANK('2025'!$P209), 0, 1), 3, if(ISBLANK('2025'!$Q209), 0, 1), 4, if(ISBLANK('2025'!$R209), 0, 1), 5, if(ISBLANK('2025'!$S209), 0, 1), 6, if(ISBLANK('2025'!$T209), 0, 1), 7, 0))), 1, "")</f>
        <v/>
      </c>
      <c r="AA211" s="1" t="str">
        <f>IF(AND(AND(AND(AA$4&gt;='2025'!$L209,AA$4&lt;='2025'!$M209), AA$4&lt;&gt;DATE(2025,7,4)), (SWITCH(weekday(AA$4), 1, 0, 2, if(ISBLANK('2025'!$P209), 0, 1), 3, if(ISBLANK('2025'!$Q209), 0, 1), 4, if(ISBLANK('2025'!$R209), 0, 1), 5, if(ISBLANK('2025'!$S209), 0, 1), 6, if(ISBLANK('2025'!$T209), 0, 1), 7, 0))), 1, "")</f>
        <v/>
      </c>
      <c r="AB211" s="1" t="str">
        <f>IF(AND(AND(AND(AB$4&gt;='2025'!$L209,AB$4&lt;='2025'!$M209), AB$4&lt;&gt;DATE(2025,7,4)), (SWITCH(weekday(AB$4), 1, 0, 2, if(ISBLANK('2025'!$P209), 0, 1), 3, if(ISBLANK('2025'!$Q209), 0, 1), 4, if(ISBLANK('2025'!$R209), 0, 1), 5, if(ISBLANK('2025'!$S209), 0, 1), 6, if(ISBLANK('2025'!$T209), 0, 1), 7, 0))), 1, "")</f>
        <v/>
      </c>
      <c r="AC211" s="1" t="str">
        <f>IF(AND(AND(AND(AC$4&gt;='2025'!$L209,AC$4&lt;='2025'!$M209), AC$4&lt;&gt;DATE(2025,7,4)), (SWITCH(weekday(AC$4), 1, 0, 2, if(ISBLANK('2025'!$P209), 0, 1), 3, if(ISBLANK('2025'!$Q209), 0, 1), 4, if(ISBLANK('2025'!$R209), 0, 1), 5, if(ISBLANK('2025'!$S209), 0, 1), 6, if(ISBLANK('2025'!$T209), 0, 1), 7, 0))), 1, "")</f>
        <v/>
      </c>
      <c r="AD211" s="1" t="str">
        <f>IF(AND(AND(AND(AD$4&gt;='2025'!$L209,AD$4&lt;='2025'!$M209), AD$4&lt;&gt;DATE(2025,7,4)), (SWITCH(weekday(AD$4), 1, 0, 2, if(ISBLANK('2025'!$P209), 0, 1), 3, if(ISBLANK('2025'!$Q209), 0, 1), 4, if(ISBLANK('2025'!$R209), 0, 1), 5, if(ISBLANK('2025'!$S209), 0, 1), 6, if(ISBLANK('2025'!$T209), 0, 1), 7, 0))), 1, "")</f>
        <v/>
      </c>
      <c r="AE211" s="1" t="str">
        <f>IF(AND(AND(AND(AE$4&gt;='2025'!$L209,AE$4&lt;='2025'!$M209), AE$4&lt;&gt;DATE(2025,7,4)), (SWITCH(weekday(AE$4), 1, 0, 2, if(ISBLANK('2025'!$P209), 0, 1), 3, if(ISBLANK('2025'!$Q209), 0, 1), 4, if(ISBLANK('2025'!$R209), 0, 1), 5, if(ISBLANK('2025'!$S209), 0, 1), 6, if(ISBLANK('2025'!$T209), 0, 1), 7, 0))), 1, "")</f>
        <v/>
      </c>
      <c r="AF211" s="1" t="str">
        <f>IF(AND(AND(AND(AF$4&gt;='2025'!$L209,AF$4&lt;='2025'!$M209), AF$4&lt;&gt;DATE(2025,7,4)), (SWITCH(weekday(AF$4), 1, 0, 2, if(ISBLANK('2025'!$P209), 0, 1), 3, if(ISBLANK('2025'!$Q209), 0, 1), 4, if(ISBLANK('2025'!$R209), 0, 1), 5, if(ISBLANK('2025'!$S209), 0, 1), 6, if(ISBLANK('2025'!$T209), 0, 1), 7, 0))), 1, "")</f>
        <v/>
      </c>
      <c r="AG211" s="1" t="str">
        <f>IF(AND(AND(AND(AG$4&gt;='2025'!$L209,AG$4&lt;='2025'!$M209), AG$4&lt;&gt;DATE(2025,7,4)), (SWITCH(weekday(AG$4), 1, 0, 2, if(ISBLANK('2025'!$P209), 0, 1), 3, if(ISBLANK('2025'!$Q209), 0, 1), 4, if(ISBLANK('2025'!$R209), 0, 1), 5, if(ISBLANK('2025'!$S209), 0, 1), 6, if(ISBLANK('2025'!$T209), 0, 1), 7, 0))), 1, "")</f>
        <v/>
      </c>
      <c r="AH211" s="1" t="str">
        <f>IF(AND(AND(AND(AH$4&gt;='2025'!$L209,AH$4&lt;='2025'!$M209), AH$4&lt;&gt;DATE(2025,7,4)), (SWITCH(weekday(AH$4), 1, 0, 2, if(ISBLANK('2025'!$P209), 0, 1), 3, if(ISBLANK('2025'!$Q209), 0, 1), 4, if(ISBLANK('2025'!$R209), 0, 1), 5, if(ISBLANK('2025'!$S209), 0, 1), 6, if(ISBLANK('2025'!$T209), 0, 1), 7, 0))), 1, "")</f>
        <v/>
      </c>
      <c r="AI211" s="1" t="str">
        <f>IF(AND(AND(AND(AI$4&gt;='2025'!$L209,AI$4&lt;='2025'!$M209), AI$4&lt;&gt;DATE(2025,7,4)), (SWITCH(weekday(AI$4), 1, 0, 2, if(ISBLANK('2025'!$P209), 0, 1), 3, if(ISBLANK('2025'!$Q209), 0, 1), 4, if(ISBLANK('2025'!$R209), 0, 1), 5, if(ISBLANK('2025'!$S209), 0, 1), 6, if(ISBLANK('2025'!$T209), 0, 1), 7, 0))), 1, "")</f>
        <v/>
      </c>
      <c r="AJ211" s="1" t="str">
        <f>IF(AND(AND(AND(AJ$4&gt;='2025'!$L209,AJ$4&lt;='2025'!$M209), AJ$4&lt;&gt;DATE(2025,7,4)), (SWITCH(weekday(AJ$4), 1, 0, 2, if(ISBLANK('2025'!$P209), 0, 1), 3, if(ISBLANK('2025'!$Q209), 0, 1), 4, if(ISBLANK('2025'!$R209), 0, 1), 5, if(ISBLANK('2025'!$S209), 0, 1), 6, if(ISBLANK('2025'!$T209), 0, 1), 7, 0))), 1, "")</f>
        <v/>
      </c>
      <c r="AK211" s="1" t="str">
        <f>IF(AND(AND(AND(AK$4&gt;='2025'!$L209,AK$4&lt;='2025'!$M209), AK$4&lt;&gt;DATE(2025,7,4)), (SWITCH(weekday(AK$4), 1, 0, 2, if(ISBLANK('2025'!$P209), 0, 1), 3, if(ISBLANK('2025'!$Q209), 0, 1), 4, if(ISBLANK('2025'!$R209), 0, 1), 5, if(ISBLANK('2025'!$S209), 0, 1), 6, if(ISBLANK('2025'!$T209), 0, 1), 7, 0))), 1, "")</f>
        <v/>
      </c>
      <c r="AL211" s="1" t="str">
        <f>IF(AND(AND(AND(AL$4&gt;='2025'!$L209,AL$4&lt;='2025'!$M209), AL$4&lt;&gt;DATE(2025,7,4)), (SWITCH(weekday(AL$4), 1, 0, 2, if(ISBLANK('2025'!$P209), 0, 1), 3, if(ISBLANK('2025'!$Q209), 0, 1), 4, if(ISBLANK('2025'!$R209), 0, 1), 5, if(ISBLANK('2025'!$S209), 0, 1), 6, if(ISBLANK('2025'!$T209), 0, 1), 7, 0))), 1, "")</f>
        <v/>
      </c>
      <c r="AM211" s="1" t="str">
        <f>IF(AND(AND(AND(AM$4&gt;='2025'!$L209,AM$4&lt;='2025'!$M209), AM$4&lt;&gt;DATE(2025,7,4)), (SWITCH(weekday(AM$4), 1, 0, 2, if(ISBLANK('2025'!$P209), 0, 1), 3, if(ISBLANK('2025'!$Q209), 0, 1), 4, if(ISBLANK('2025'!$R209), 0, 1), 5, if(ISBLANK('2025'!$S209), 0, 1), 6, if(ISBLANK('2025'!$T209), 0, 1), 7, 0))), 1, "")</f>
        <v/>
      </c>
      <c r="AN211" s="1" t="str">
        <f>IF(AND(AND(AND(AN$4&gt;='2025'!$L209,AN$4&lt;='2025'!$M209), AN$4&lt;&gt;DATE(2025,7,4)), (SWITCH(weekday(AN$4), 1, 0, 2, if(ISBLANK('2025'!$P209), 0, 1), 3, if(ISBLANK('2025'!$Q209), 0, 1), 4, if(ISBLANK('2025'!$R209), 0, 1), 5, if(ISBLANK('2025'!$S209), 0, 1), 6, if(ISBLANK('2025'!$T209), 0, 1), 7, 0))), 1, "")</f>
        <v/>
      </c>
      <c r="AO211" s="1" t="str">
        <f>IF(AND(AND(AND(AO$4&gt;='2025'!$L209,AO$4&lt;='2025'!$M209), AO$4&lt;&gt;DATE(2025,7,4)), (SWITCH(weekday(AO$4), 1, 0, 2, if(ISBLANK('2025'!$P209), 0, 1), 3, if(ISBLANK('2025'!$Q209), 0, 1), 4, if(ISBLANK('2025'!$R209), 0, 1), 5, if(ISBLANK('2025'!$S209), 0, 1), 6, if(ISBLANK('2025'!$T209), 0, 1), 7, 0))), 1, "")</f>
        <v/>
      </c>
      <c r="AP211" s="1" t="str">
        <f>IF(AND(AND(AND(AP$4&gt;='2025'!$L209,AP$4&lt;='2025'!$M209), AP$4&lt;&gt;DATE(2025,7,4)), (SWITCH(weekday(AP$4), 1, 0, 2, if(ISBLANK('2025'!$P209), 0, 1), 3, if(ISBLANK('2025'!$Q209), 0, 1), 4, if(ISBLANK('2025'!$R209), 0, 1), 5, if(ISBLANK('2025'!$S209), 0, 1), 6, if(ISBLANK('2025'!$T209), 0, 1), 7, 0))), 1, "")</f>
        <v/>
      </c>
      <c r="AQ211" s="1" t="str">
        <f>IF(AND(AND(AND(AQ$4&gt;='2025'!$L209,AQ$4&lt;='2025'!$M209), AQ$4&lt;&gt;DATE(2025,7,4)), (SWITCH(weekday(AQ$4), 1, 0, 2, if(ISBLANK('2025'!$P209), 0, 1), 3, if(ISBLANK('2025'!$Q209), 0, 1), 4, if(ISBLANK('2025'!$R209), 0, 1), 5, if(ISBLANK('2025'!$S209), 0, 1), 6, if(ISBLANK('2025'!$T209), 0, 1), 7, 0))), 1, "")</f>
        <v/>
      </c>
      <c r="AR211" s="1" t="str">
        <f>IF(AND(AND(AND(AR$4&gt;='2025'!$L209,AR$4&lt;='2025'!$M209), AR$4&lt;&gt;DATE(2025,7,4)), (SWITCH(weekday(AR$4), 1, 0, 2, if(ISBLANK('2025'!$P209), 0, 1), 3, if(ISBLANK('2025'!$Q209), 0, 1), 4, if(ISBLANK('2025'!$R209), 0, 1), 5, if(ISBLANK('2025'!$S209), 0, 1), 6, if(ISBLANK('2025'!$T209), 0, 1), 7, 0))), 1, "")</f>
        <v/>
      </c>
      <c r="AS211" s="1" t="str">
        <f>IF(AND(AND(AND(AS$4&gt;='2025'!$L209,AS$4&lt;='2025'!$M209), AS$4&lt;&gt;DATE(2025,7,4)), (SWITCH(weekday(AS$4), 1, 0, 2, if(ISBLANK('2025'!$P209), 0, 1), 3, if(ISBLANK('2025'!$Q209), 0, 1), 4, if(ISBLANK('2025'!$R209), 0, 1), 5, if(ISBLANK('2025'!$S209), 0, 1), 6, if(ISBLANK('2025'!$T209), 0, 1), 7, 0))), 1, "")</f>
        <v/>
      </c>
      <c r="AT211" s="1" t="str">
        <f>IF(AND(AND(AND(AT$4&gt;='2025'!$L209,AT$4&lt;='2025'!$M209), AT$4&lt;&gt;DATE(2025,7,4)), (SWITCH(weekday(AT$4), 1, 0, 2, if(ISBLANK('2025'!$P209), 0, 1), 3, if(ISBLANK('2025'!$Q209), 0, 1), 4, if(ISBLANK('2025'!$R209), 0, 1), 5, if(ISBLANK('2025'!$S209), 0, 1), 6, if(ISBLANK('2025'!$T209), 0, 1), 7, 0))), 1, "")</f>
        <v/>
      </c>
      <c r="AU211" s="1" t="str">
        <f>IF(AND(AND(AND(AU$4&gt;='2025'!$L209,AU$4&lt;='2025'!$M209), AU$4&lt;&gt;DATE(2025,7,4)), (SWITCH(weekday(AU$4), 1, 0, 2, if(ISBLANK('2025'!$P209), 0, 1), 3, if(ISBLANK('2025'!$Q209), 0, 1), 4, if(ISBLANK('2025'!$R209), 0, 1), 5, if(ISBLANK('2025'!$S209), 0, 1), 6, if(ISBLANK('2025'!$T209), 0, 1), 7, 0))), 1, "")</f>
        <v/>
      </c>
      <c r="AV211" s="1" t="str">
        <f>IF(AND(AND(AND(AV$4&gt;='2025'!$L209,AV$4&lt;='2025'!$M209), AV$4&lt;&gt;DATE(2025,7,4)), (SWITCH(weekday(AV$4), 1, 0, 2, if(ISBLANK('2025'!$P209), 0, 1), 3, if(ISBLANK('2025'!$Q209), 0, 1), 4, if(ISBLANK('2025'!$R209), 0, 1), 5, if(ISBLANK('2025'!$S209), 0, 1), 6, if(ISBLANK('2025'!$T209), 0, 1), 7, 0))), 1, "")</f>
        <v/>
      </c>
      <c r="AW211" s="1" t="str">
        <f>IF(AND(AND(AND(AW$4&gt;='2025'!$L209,AW$4&lt;='2025'!$M209), AW$4&lt;&gt;DATE(2025,7,4)), (SWITCH(weekday(AW$4), 1, 0, 2, if(ISBLANK('2025'!$P209), 0, 1), 3, if(ISBLANK('2025'!$Q209), 0, 1), 4, if(ISBLANK('2025'!$R209), 0, 1), 5, if(ISBLANK('2025'!$S209), 0, 1), 6, if(ISBLANK('2025'!$T209), 0, 1), 7, 0))), 1, "")</f>
        <v/>
      </c>
      <c r="AX211" s="1" t="str">
        <f>IF(AND(AND(AND(AX$4&gt;='2025'!$L209,AX$4&lt;='2025'!$M209), AX$4&lt;&gt;DATE(2025,7,4)), (SWITCH(weekday(AX$4), 1, 0, 2, if(ISBLANK('2025'!$P209), 0, 1), 3, if(ISBLANK('2025'!$Q209), 0, 1), 4, if(ISBLANK('2025'!$R209), 0, 1), 5, if(ISBLANK('2025'!$S209), 0, 1), 6, if(ISBLANK('2025'!$T209), 0, 1), 7, 0))), 1, "")</f>
        <v/>
      </c>
      <c r="AY211" s="1" t="str">
        <f>IF(AND(AND(AND(AY$4&gt;='2025'!$L209,AY$4&lt;='2025'!$M209), AY$4&lt;&gt;DATE(2025,7,4)), (SWITCH(weekday(AY$4), 1, 0, 2, if(ISBLANK('2025'!$P209), 0, 1), 3, if(ISBLANK('2025'!$Q209), 0, 1), 4, if(ISBLANK('2025'!$R209), 0, 1), 5, if(ISBLANK('2025'!$S209), 0, 1), 6, if(ISBLANK('2025'!$T209), 0, 1), 7, 0))), 1, "")</f>
        <v/>
      </c>
      <c r="AZ211" s="1" t="str">
        <f>IF(AND(AND(AND(AZ$4&gt;='2025'!$L209,AZ$4&lt;='2025'!$M209), AZ$4&lt;&gt;DATE(2025,7,4)), (SWITCH(weekday(AZ$4), 1, 0, 2, if(ISBLANK('2025'!$P209), 0, 1), 3, if(ISBLANK('2025'!$Q209), 0, 1), 4, if(ISBLANK('2025'!$R209), 0, 1), 5, if(ISBLANK('2025'!$S209), 0, 1), 6, if(ISBLANK('2025'!$T209), 0, 1), 7, 0))), 1, "")</f>
        <v/>
      </c>
      <c r="BA211" s="1" t="str">
        <f>IF(AND(AND(AND(BA$4&gt;='2025'!$L209,BA$4&lt;='2025'!$M209), BA$4&lt;&gt;DATE(2025,7,4)), (SWITCH(weekday(BA$4), 1, 0, 2, if(ISBLANK('2025'!$P209), 0, 1), 3, if(ISBLANK('2025'!$Q209), 0, 1), 4, if(ISBLANK('2025'!$R209), 0, 1), 5, if(ISBLANK('2025'!$S209), 0, 1), 6, if(ISBLANK('2025'!$T209), 0, 1), 7, 0))), 1, "")</f>
        <v/>
      </c>
      <c r="BB211" s="1" t="str">
        <f>IF(AND(AND(AND(BB$4&gt;='2025'!$L209,BB$4&lt;='2025'!$M209), BB$4&lt;&gt;DATE(2025,7,4)), (SWITCH(weekday(BB$4), 1, 0, 2, if(ISBLANK('2025'!$P209), 0, 1), 3, if(ISBLANK('2025'!$Q209), 0, 1), 4, if(ISBLANK('2025'!$R209), 0, 1), 5, if(ISBLANK('2025'!$S209), 0, 1), 6, if(ISBLANK('2025'!$T209), 0, 1), 7, 0))), 1, "")</f>
        <v/>
      </c>
      <c r="BC211" s="1" t="str">
        <f>IF(AND(AND(AND(BC$4&gt;='2025'!$L209,BC$4&lt;='2025'!$M209), BC$4&lt;&gt;DATE(2025,7,4)), (SWITCH(weekday(BC$4), 1, 0, 2, if(ISBLANK('2025'!$P209), 0, 1), 3, if(ISBLANK('2025'!$Q209), 0, 1), 4, if(ISBLANK('2025'!$R209), 0, 1), 5, if(ISBLANK('2025'!$S209), 0, 1), 6, if(ISBLANK('2025'!$T209), 0, 1), 7, 0))), 1, "")</f>
        <v/>
      </c>
      <c r="BD211" s="1" t="str">
        <f>IF(AND(AND(AND(BD$4&gt;='2025'!$L209,BD$4&lt;='2025'!$M209), BD$4&lt;&gt;DATE(2025,7,4)), (SWITCH(weekday(BD$4), 1, 0, 2, if(ISBLANK('2025'!$P209), 0, 1), 3, if(ISBLANK('2025'!$Q209), 0, 1), 4, if(ISBLANK('2025'!$R209), 0, 1), 5, if(ISBLANK('2025'!$S209), 0, 1), 6, if(ISBLANK('2025'!$T209), 0, 1), 7, 0))), 1, "")</f>
        <v/>
      </c>
      <c r="BE211" s="1" t="str">
        <f>IF(AND(AND(AND(BE$4&gt;='2025'!$L209,BE$4&lt;='2025'!$M209), BE$4&lt;&gt;DATE(2025,7,4)), (SWITCH(weekday(BE$4), 1, 0, 2, if(ISBLANK('2025'!$P209), 0, 1), 3, if(ISBLANK('2025'!$Q209), 0, 1), 4, if(ISBLANK('2025'!$R209), 0, 1), 5, if(ISBLANK('2025'!$S209), 0, 1), 6, if(ISBLANK('2025'!$T209), 0, 1), 7, 0))), 1, "")</f>
        <v/>
      </c>
      <c r="BF211" s="1" t="str">
        <f>IF(AND(AND(AND(BF$4&gt;='2025'!$L209,BF$4&lt;='2025'!$M209), BF$4&lt;&gt;DATE(2025,7,4)), (SWITCH(weekday(BF$4), 1, 0, 2, if(ISBLANK('2025'!$P209), 0, 1), 3, if(ISBLANK('2025'!$Q209), 0, 1), 4, if(ISBLANK('2025'!$R209), 0, 1), 5, if(ISBLANK('2025'!$S209), 0, 1), 6, if(ISBLANK('2025'!$T209), 0, 1), 7, 0))), 1, "")</f>
        <v/>
      </c>
      <c r="BG211" s="1"/>
      <c r="BH211" s="1"/>
      <c r="BI211" s="1"/>
      <c r="BJ211" s="1"/>
      <c r="BK211" s="1"/>
      <c r="BL211" s="1"/>
    </row>
    <row r="212">
      <c r="A212" s="1">
        <f t="shared" si="3"/>
        <v>212</v>
      </c>
      <c r="B212" s="1" t="str">
        <f>'2025'!D176</f>
        <v>, </v>
      </c>
      <c r="C212" s="1" t="str">
        <f>'2025'!H176</f>
        <v/>
      </c>
      <c r="D212" s="1" t="str">
        <f>IF(AND(AND(AND(D$4&gt;='2025'!$L210,D$4&lt;='2025'!$M210), D$4&lt;&gt;DATE(2025,7,4)), (SWITCH(weekday(D$4), 1, 0, 2, if(ISBLANK('2025'!$P210), 0, 1), 3, if(ISBLANK('2025'!$Q210), 0, 1), 4, if(ISBLANK('2025'!$R210), 0, 1), 5, if(ISBLANK('2025'!$S210), 0, 1), 6, if(ISBLANK('2025'!$T210), 0, 1), 7, 0))), 1, "")</f>
        <v/>
      </c>
      <c r="E212" s="1" t="str">
        <f>IF(AND(AND(AND(E$4&gt;='2025'!$L210,E$4&lt;='2025'!$M210), E$4&lt;&gt;DATE(2025,7,4)), (SWITCH(weekday(E$4), 1, 0, 2, if(ISBLANK('2025'!$P210), 0, 1), 3, if(ISBLANK('2025'!$Q210), 0, 1), 4, if(ISBLANK('2025'!$R210), 0, 1), 5, if(ISBLANK('2025'!$S210), 0, 1), 6, if(ISBLANK('2025'!$T210), 0, 1), 7, 0))), 1, "")</f>
        <v/>
      </c>
      <c r="F212" s="1" t="str">
        <f>IF(AND(AND(AND(F$4&gt;='2025'!$L210,F$4&lt;='2025'!$M210), F$4&lt;&gt;DATE(2025,7,4)), (SWITCH(weekday(F$4), 1, 0, 2, if(ISBLANK('2025'!$P210), 0, 1), 3, if(ISBLANK('2025'!$Q210), 0, 1), 4, if(ISBLANK('2025'!$R210), 0, 1), 5, if(ISBLANK('2025'!$S210), 0, 1), 6, if(ISBLANK('2025'!$T210), 0, 1), 7, 0))), 1, "")</f>
        <v/>
      </c>
      <c r="G212" s="1" t="str">
        <f>IF(AND(AND(AND(G$4&gt;='2025'!$L210,G$4&lt;='2025'!$M210), G$4&lt;&gt;DATE(2025,7,4)), (SWITCH(weekday(G$4), 1, 0, 2, if(ISBLANK('2025'!$P210), 0, 1), 3, if(ISBLANK('2025'!$Q210), 0, 1), 4, if(ISBLANK('2025'!$R210), 0, 1), 5, if(ISBLANK('2025'!$S210), 0, 1), 6, if(ISBLANK('2025'!$T210), 0, 1), 7, 0))), 1, "")</f>
        <v/>
      </c>
      <c r="H212" s="1" t="str">
        <f>IF(AND(AND(AND(H$4&gt;='2025'!$L210,H$4&lt;='2025'!$M210), H$4&lt;&gt;DATE(2025,7,4)), (SWITCH(weekday(H$4), 1, 0, 2, if(ISBLANK('2025'!$P210), 0, 1), 3, if(ISBLANK('2025'!$Q210), 0, 1), 4, if(ISBLANK('2025'!$R210), 0, 1), 5, if(ISBLANK('2025'!$S210), 0, 1), 6, if(ISBLANK('2025'!$T210), 0, 1), 7, 0))), 1, "")</f>
        <v/>
      </c>
      <c r="I212" s="1" t="str">
        <f>IF(AND(AND(AND(I$4&gt;='2025'!$L210,I$4&lt;='2025'!$M210), I$4&lt;&gt;DATE(2025,7,4)), (SWITCH(weekday(I$4), 1, 0, 2, if(ISBLANK('2025'!$P210), 0, 1), 3, if(ISBLANK('2025'!$Q210), 0, 1), 4, if(ISBLANK('2025'!$R210), 0, 1), 5, if(ISBLANK('2025'!$S210), 0, 1), 6, if(ISBLANK('2025'!$T210), 0, 1), 7, 0))), 1, "")</f>
        <v/>
      </c>
      <c r="J212" s="1" t="str">
        <f>IF(AND(AND(AND(J$4&gt;='2025'!$L210,J$4&lt;='2025'!$M210), J$4&lt;&gt;DATE(2025,7,4)), (SWITCH(weekday(J$4), 1, 0, 2, if(ISBLANK('2025'!$P210), 0, 1), 3, if(ISBLANK('2025'!$Q210), 0, 1), 4, if(ISBLANK('2025'!$R210), 0, 1), 5, if(ISBLANK('2025'!$S210), 0, 1), 6, if(ISBLANK('2025'!$T210), 0, 1), 7, 0))), 1, "")</f>
        <v/>
      </c>
      <c r="K212" s="1" t="str">
        <f>IF(AND(AND(AND(K$4&gt;='2025'!$L210,K$4&lt;='2025'!$M210), K$4&lt;&gt;DATE(2025,7,4)), (SWITCH(weekday(K$4), 1, 0, 2, if(ISBLANK('2025'!$P210), 0, 1), 3, if(ISBLANK('2025'!$Q210), 0, 1), 4, if(ISBLANK('2025'!$R210), 0, 1), 5, if(ISBLANK('2025'!$S210), 0, 1), 6, if(ISBLANK('2025'!$T210), 0, 1), 7, 0))), 1, "")</f>
        <v/>
      </c>
      <c r="L212" s="1" t="str">
        <f>IF(AND(AND(AND(L$4&gt;='2025'!$L210,L$4&lt;='2025'!$M210), L$4&lt;&gt;DATE(2025,7,4)), (SWITCH(weekday(L$4), 1, 0, 2, if(ISBLANK('2025'!$P210), 0, 1), 3, if(ISBLANK('2025'!$Q210), 0, 1), 4, if(ISBLANK('2025'!$R210), 0, 1), 5, if(ISBLANK('2025'!$S210), 0, 1), 6, if(ISBLANK('2025'!$T210), 0, 1), 7, 0))), 1, "")</f>
        <v/>
      </c>
      <c r="M212" s="1" t="str">
        <f>IF(AND(AND(AND(M$4&gt;='2025'!$L210,M$4&lt;='2025'!$M210), M$4&lt;&gt;DATE(2025,7,4)), (SWITCH(weekday(M$4), 1, 0, 2, if(ISBLANK('2025'!$P210), 0, 1), 3, if(ISBLANK('2025'!$Q210), 0, 1), 4, if(ISBLANK('2025'!$R210), 0, 1), 5, if(ISBLANK('2025'!$S210), 0, 1), 6, if(ISBLANK('2025'!$T210), 0, 1), 7, 0))), 1, "")</f>
        <v/>
      </c>
      <c r="N212" s="1" t="str">
        <f>IF(AND(AND(AND(N$4&gt;='2025'!$L210,N$4&lt;='2025'!$M210), N$4&lt;&gt;DATE(2025,7,4)), (SWITCH(weekday(N$4), 1, 0, 2, if(ISBLANK('2025'!$P210), 0, 1), 3, if(ISBLANK('2025'!$Q210), 0, 1), 4, if(ISBLANK('2025'!$R210), 0, 1), 5, if(ISBLANK('2025'!$S210), 0, 1), 6, if(ISBLANK('2025'!$T210), 0, 1), 7, 0))), 1, "")</f>
        <v/>
      </c>
      <c r="O212" s="1" t="str">
        <f>IF(AND(AND(AND(O$4&gt;='2025'!$L210,O$4&lt;='2025'!$M210), O$4&lt;&gt;DATE(2025,7,4)), (SWITCH(weekday(O$4), 1, 0, 2, if(ISBLANK('2025'!$P210), 0, 1), 3, if(ISBLANK('2025'!$Q210), 0, 1), 4, if(ISBLANK('2025'!$R210), 0, 1), 5, if(ISBLANK('2025'!$S210), 0, 1), 6, if(ISBLANK('2025'!$T210), 0, 1), 7, 0))), 1, "")</f>
        <v/>
      </c>
      <c r="P212" s="1" t="str">
        <f>IF(AND(AND(AND(P$4&gt;='2025'!$L210,P$4&lt;='2025'!$M210), P$4&lt;&gt;DATE(2025,7,4)), (SWITCH(weekday(P$4), 1, 0, 2, if(ISBLANK('2025'!$P210), 0, 1), 3, if(ISBLANK('2025'!$Q210), 0, 1), 4, if(ISBLANK('2025'!$R210), 0, 1), 5, if(ISBLANK('2025'!$S210), 0, 1), 6, if(ISBLANK('2025'!$T210), 0, 1), 7, 0))), 1, "")</f>
        <v/>
      </c>
      <c r="Q212" s="1" t="str">
        <f>IF(AND(AND(AND(Q$4&gt;='2025'!$L210,Q$4&lt;='2025'!$M210), Q$4&lt;&gt;DATE(2025,7,4)), (SWITCH(weekday(Q$4), 1, 0, 2, if(ISBLANK('2025'!$P210), 0, 1), 3, if(ISBLANK('2025'!$Q210), 0, 1), 4, if(ISBLANK('2025'!$R210), 0, 1), 5, if(ISBLANK('2025'!$S210), 0, 1), 6, if(ISBLANK('2025'!$T210), 0, 1), 7, 0))), 1, "")</f>
        <v/>
      </c>
      <c r="R212" s="1" t="str">
        <f>IF(AND(AND(AND(R$4&gt;='2025'!$L210,R$4&lt;='2025'!$M210), R$4&lt;&gt;DATE(2025,7,4)), (SWITCH(weekday(R$4), 1, 0, 2, if(ISBLANK('2025'!$P210), 0, 1), 3, if(ISBLANK('2025'!$Q210), 0, 1), 4, if(ISBLANK('2025'!$R210), 0, 1), 5, if(ISBLANK('2025'!$S210), 0, 1), 6, if(ISBLANK('2025'!$T210), 0, 1), 7, 0))), 1, "")</f>
        <v/>
      </c>
      <c r="S212" s="1" t="str">
        <f>IF(AND(AND(AND(S$4&gt;='2025'!$L210,S$4&lt;='2025'!$M210), S$4&lt;&gt;DATE(2025,7,4)), (SWITCH(weekday(S$4), 1, 0, 2, if(ISBLANK('2025'!$P210), 0, 1), 3, if(ISBLANK('2025'!$Q210), 0, 1), 4, if(ISBLANK('2025'!$R210), 0, 1), 5, if(ISBLANK('2025'!$S210), 0, 1), 6, if(ISBLANK('2025'!$T210), 0, 1), 7, 0))), 1, "")</f>
        <v/>
      </c>
      <c r="T212" s="1" t="str">
        <f>IF(AND(AND(AND(T$4&gt;='2025'!$L210,T$4&lt;='2025'!$M210), T$4&lt;&gt;DATE(2025,7,4)), (SWITCH(weekday(T$4), 1, 0, 2, if(ISBLANK('2025'!$P210), 0, 1), 3, if(ISBLANK('2025'!$Q210), 0, 1), 4, if(ISBLANK('2025'!$R210), 0, 1), 5, if(ISBLANK('2025'!$S210), 0, 1), 6, if(ISBLANK('2025'!$T210), 0, 1), 7, 0))), 1, "")</f>
        <v/>
      </c>
      <c r="U212" s="1" t="str">
        <f>IF(AND(AND(AND(U$4&gt;='2025'!$L210,U$4&lt;='2025'!$M210), U$4&lt;&gt;DATE(2025,7,4)), (SWITCH(weekday(U$4), 1, 0, 2, if(ISBLANK('2025'!$P210), 0, 1), 3, if(ISBLANK('2025'!$Q210), 0, 1), 4, if(ISBLANK('2025'!$R210), 0, 1), 5, if(ISBLANK('2025'!$S210), 0, 1), 6, if(ISBLANK('2025'!$T210), 0, 1), 7, 0))), 1, "")</f>
        <v/>
      </c>
      <c r="V212" s="1" t="str">
        <f>IF(AND(AND(AND(V$4&gt;='2025'!$L210,V$4&lt;='2025'!$M210), V$4&lt;&gt;DATE(2025,7,4)), (SWITCH(weekday(V$4), 1, 0, 2, if(ISBLANK('2025'!$P210), 0, 1), 3, if(ISBLANK('2025'!$Q210), 0, 1), 4, if(ISBLANK('2025'!$R210), 0, 1), 5, if(ISBLANK('2025'!$S210), 0, 1), 6, if(ISBLANK('2025'!$T210), 0, 1), 7, 0))), 1, "")</f>
        <v/>
      </c>
      <c r="W212" s="1" t="str">
        <f>IF(AND(AND(AND(W$4&gt;='2025'!$L210,W$4&lt;='2025'!$M210), W$4&lt;&gt;DATE(2025,7,4)), (SWITCH(weekday(W$4), 1, 0, 2, if(ISBLANK('2025'!$P210), 0, 1), 3, if(ISBLANK('2025'!$Q210), 0, 1), 4, if(ISBLANK('2025'!$R210), 0, 1), 5, if(ISBLANK('2025'!$S210), 0, 1), 6, if(ISBLANK('2025'!$T210), 0, 1), 7, 0))), 1, "")</f>
        <v/>
      </c>
      <c r="X212" s="1" t="str">
        <f>IF(AND(AND(AND(X$4&gt;='2025'!$L210,X$4&lt;='2025'!$M210), X$4&lt;&gt;DATE(2025,7,4)), (SWITCH(weekday(X$4), 1, 0, 2, if(ISBLANK('2025'!$P210), 0, 1), 3, if(ISBLANK('2025'!$Q210), 0, 1), 4, if(ISBLANK('2025'!$R210), 0, 1), 5, if(ISBLANK('2025'!$S210), 0, 1), 6, if(ISBLANK('2025'!$T210), 0, 1), 7, 0))), 1, "")</f>
        <v/>
      </c>
      <c r="Y212" s="1" t="str">
        <f>IF(AND(AND(AND(Y$4&gt;='2025'!$L210,Y$4&lt;='2025'!$M210), Y$4&lt;&gt;DATE(2025,7,4)), (SWITCH(weekday(Y$4), 1, 0, 2, if(ISBLANK('2025'!$P210), 0, 1), 3, if(ISBLANK('2025'!$Q210), 0, 1), 4, if(ISBLANK('2025'!$R210), 0, 1), 5, if(ISBLANK('2025'!$S210), 0, 1), 6, if(ISBLANK('2025'!$T210), 0, 1), 7, 0))), 1, "")</f>
        <v/>
      </c>
      <c r="Z212" s="1" t="str">
        <f>IF(AND(AND(AND(Z$4&gt;='2025'!$L210,Z$4&lt;='2025'!$M210), Z$4&lt;&gt;DATE(2025,7,4)), (SWITCH(weekday(Z$4), 1, 0, 2, if(ISBLANK('2025'!$P210), 0, 1), 3, if(ISBLANK('2025'!$Q210), 0, 1), 4, if(ISBLANK('2025'!$R210), 0, 1), 5, if(ISBLANK('2025'!$S210), 0, 1), 6, if(ISBLANK('2025'!$T210), 0, 1), 7, 0))), 1, "")</f>
        <v/>
      </c>
      <c r="AA212" s="1" t="str">
        <f>IF(AND(AND(AND(AA$4&gt;='2025'!$L210,AA$4&lt;='2025'!$M210), AA$4&lt;&gt;DATE(2025,7,4)), (SWITCH(weekday(AA$4), 1, 0, 2, if(ISBLANK('2025'!$P210), 0, 1), 3, if(ISBLANK('2025'!$Q210), 0, 1), 4, if(ISBLANK('2025'!$R210), 0, 1), 5, if(ISBLANK('2025'!$S210), 0, 1), 6, if(ISBLANK('2025'!$T210), 0, 1), 7, 0))), 1, "")</f>
        <v/>
      </c>
      <c r="AB212" s="1" t="str">
        <f>IF(AND(AND(AND(AB$4&gt;='2025'!$L210,AB$4&lt;='2025'!$M210), AB$4&lt;&gt;DATE(2025,7,4)), (SWITCH(weekday(AB$4), 1, 0, 2, if(ISBLANK('2025'!$P210), 0, 1), 3, if(ISBLANK('2025'!$Q210), 0, 1), 4, if(ISBLANK('2025'!$R210), 0, 1), 5, if(ISBLANK('2025'!$S210), 0, 1), 6, if(ISBLANK('2025'!$T210), 0, 1), 7, 0))), 1, "")</f>
        <v/>
      </c>
      <c r="AC212" s="1" t="str">
        <f>IF(AND(AND(AND(AC$4&gt;='2025'!$L210,AC$4&lt;='2025'!$M210), AC$4&lt;&gt;DATE(2025,7,4)), (SWITCH(weekday(AC$4), 1, 0, 2, if(ISBLANK('2025'!$P210), 0, 1), 3, if(ISBLANK('2025'!$Q210), 0, 1), 4, if(ISBLANK('2025'!$R210), 0, 1), 5, if(ISBLANK('2025'!$S210), 0, 1), 6, if(ISBLANK('2025'!$T210), 0, 1), 7, 0))), 1, "")</f>
        <v/>
      </c>
      <c r="AD212" s="1" t="str">
        <f>IF(AND(AND(AND(AD$4&gt;='2025'!$L210,AD$4&lt;='2025'!$M210), AD$4&lt;&gt;DATE(2025,7,4)), (SWITCH(weekday(AD$4), 1, 0, 2, if(ISBLANK('2025'!$P210), 0, 1), 3, if(ISBLANK('2025'!$Q210), 0, 1), 4, if(ISBLANK('2025'!$R210), 0, 1), 5, if(ISBLANK('2025'!$S210), 0, 1), 6, if(ISBLANK('2025'!$T210), 0, 1), 7, 0))), 1, "")</f>
        <v/>
      </c>
      <c r="AE212" s="1" t="str">
        <f>IF(AND(AND(AND(AE$4&gt;='2025'!$L210,AE$4&lt;='2025'!$M210), AE$4&lt;&gt;DATE(2025,7,4)), (SWITCH(weekday(AE$4), 1, 0, 2, if(ISBLANK('2025'!$P210), 0, 1), 3, if(ISBLANK('2025'!$Q210), 0, 1), 4, if(ISBLANK('2025'!$R210), 0, 1), 5, if(ISBLANK('2025'!$S210), 0, 1), 6, if(ISBLANK('2025'!$T210), 0, 1), 7, 0))), 1, "")</f>
        <v/>
      </c>
      <c r="AF212" s="1" t="str">
        <f>IF(AND(AND(AND(AF$4&gt;='2025'!$L210,AF$4&lt;='2025'!$M210), AF$4&lt;&gt;DATE(2025,7,4)), (SWITCH(weekday(AF$4), 1, 0, 2, if(ISBLANK('2025'!$P210), 0, 1), 3, if(ISBLANK('2025'!$Q210), 0, 1), 4, if(ISBLANK('2025'!$R210), 0, 1), 5, if(ISBLANK('2025'!$S210), 0, 1), 6, if(ISBLANK('2025'!$T210), 0, 1), 7, 0))), 1, "")</f>
        <v/>
      </c>
      <c r="AG212" s="1" t="str">
        <f>IF(AND(AND(AND(AG$4&gt;='2025'!$L210,AG$4&lt;='2025'!$M210), AG$4&lt;&gt;DATE(2025,7,4)), (SWITCH(weekday(AG$4), 1, 0, 2, if(ISBLANK('2025'!$P210), 0, 1), 3, if(ISBLANK('2025'!$Q210), 0, 1), 4, if(ISBLANK('2025'!$R210), 0, 1), 5, if(ISBLANK('2025'!$S210), 0, 1), 6, if(ISBLANK('2025'!$T210), 0, 1), 7, 0))), 1, "")</f>
        <v/>
      </c>
      <c r="AH212" s="1" t="str">
        <f>IF(AND(AND(AND(AH$4&gt;='2025'!$L210,AH$4&lt;='2025'!$M210), AH$4&lt;&gt;DATE(2025,7,4)), (SWITCH(weekday(AH$4), 1, 0, 2, if(ISBLANK('2025'!$P210), 0, 1), 3, if(ISBLANK('2025'!$Q210), 0, 1), 4, if(ISBLANK('2025'!$R210), 0, 1), 5, if(ISBLANK('2025'!$S210), 0, 1), 6, if(ISBLANK('2025'!$T210), 0, 1), 7, 0))), 1, "")</f>
        <v/>
      </c>
      <c r="AI212" s="1" t="str">
        <f>IF(AND(AND(AND(AI$4&gt;='2025'!$L210,AI$4&lt;='2025'!$M210), AI$4&lt;&gt;DATE(2025,7,4)), (SWITCH(weekday(AI$4), 1, 0, 2, if(ISBLANK('2025'!$P210), 0, 1), 3, if(ISBLANK('2025'!$Q210), 0, 1), 4, if(ISBLANK('2025'!$R210), 0, 1), 5, if(ISBLANK('2025'!$S210), 0, 1), 6, if(ISBLANK('2025'!$T210), 0, 1), 7, 0))), 1, "")</f>
        <v/>
      </c>
      <c r="AJ212" s="1" t="str">
        <f>IF(AND(AND(AND(AJ$4&gt;='2025'!$L210,AJ$4&lt;='2025'!$M210), AJ$4&lt;&gt;DATE(2025,7,4)), (SWITCH(weekday(AJ$4), 1, 0, 2, if(ISBLANK('2025'!$P210), 0, 1), 3, if(ISBLANK('2025'!$Q210), 0, 1), 4, if(ISBLANK('2025'!$R210), 0, 1), 5, if(ISBLANK('2025'!$S210), 0, 1), 6, if(ISBLANK('2025'!$T210), 0, 1), 7, 0))), 1, "")</f>
        <v/>
      </c>
      <c r="AK212" s="1" t="str">
        <f>IF(AND(AND(AND(AK$4&gt;='2025'!$L210,AK$4&lt;='2025'!$M210), AK$4&lt;&gt;DATE(2025,7,4)), (SWITCH(weekday(AK$4), 1, 0, 2, if(ISBLANK('2025'!$P210), 0, 1), 3, if(ISBLANK('2025'!$Q210), 0, 1), 4, if(ISBLANK('2025'!$R210), 0, 1), 5, if(ISBLANK('2025'!$S210), 0, 1), 6, if(ISBLANK('2025'!$T210), 0, 1), 7, 0))), 1, "")</f>
        <v/>
      </c>
      <c r="AL212" s="1" t="str">
        <f>IF(AND(AND(AND(AL$4&gt;='2025'!$L210,AL$4&lt;='2025'!$M210), AL$4&lt;&gt;DATE(2025,7,4)), (SWITCH(weekday(AL$4), 1, 0, 2, if(ISBLANK('2025'!$P210), 0, 1), 3, if(ISBLANK('2025'!$Q210), 0, 1), 4, if(ISBLANK('2025'!$R210), 0, 1), 5, if(ISBLANK('2025'!$S210), 0, 1), 6, if(ISBLANK('2025'!$T210), 0, 1), 7, 0))), 1, "")</f>
        <v/>
      </c>
      <c r="AM212" s="1" t="str">
        <f>IF(AND(AND(AND(AM$4&gt;='2025'!$L210,AM$4&lt;='2025'!$M210), AM$4&lt;&gt;DATE(2025,7,4)), (SWITCH(weekday(AM$4), 1, 0, 2, if(ISBLANK('2025'!$P210), 0, 1), 3, if(ISBLANK('2025'!$Q210), 0, 1), 4, if(ISBLANK('2025'!$R210), 0, 1), 5, if(ISBLANK('2025'!$S210), 0, 1), 6, if(ISBLANK('2025'!$T210), 0, 1), 7, 0))), 1, "")</f>
        <v/>
      </c>
      <c r="AN212" s="1" t="str">
        <f>IF(AND(AND(AND(AN$4&gt;='2025'!$L210,AN$4&lt;='2025'!$M210), AN$4&lt;&gt;DATE(2025,7,4)), (SWITCH(weekday(AN$4), 1, 0, 2, if(ISBLANK('2025'!$P210), 0, 1), 3, if(ISBLANK('2025'!$Q210), 0, 1), 4, if(ISBLANK('2025'!$R210), 0, 1), 5, if(ISBLANK('2025'!$S210), 0, 1), 6, if(ISBLANK('2025'!$T210), 0, 1), 7, 0))), 1, "")</f>
        <v/>
      </c>
      <c r="AO212" s="1" t="str">
        <f>IF(AND(AND(AND(AO$4&gt;='2025'!$L210,AO$4&lt;='2025'!$M210), AO$4&lt;&gt;DATE(2025,7,4)), (SWITCH(weekday(AO$4), 1, 0, 2, if(ISBLANK('2025'!$P210), 0, 1), 3, if(ISBLANK('2025'!$Q210), 0, 1), 4, if(ISBLANK('2025'!$R210), 0, 1), 5, if(ISBLANK('2025'!$S210), 0, 1), 6, if(ISBLANK('2025'!$T210), 0, 1), 7, 0))), 1, "")</f>
        <v/>
      </c>
      <c r="AP212" s="1" t="str">
        <f>IF(AND(AND(AND(AP$4&gt;='2025'!$L210,AP$4&lt;='2025'!$M210), AP$4&lt;&gt;DATE(2025,7,4)), (SWITCH(weekday(AP$4), 1, 0, 2, if(ISBLANK('2025'!$P210), 0, 1), 3, if(ISBLANK('2025'!$Q210), 0, 1), 4, if(ISBLANK('2025'!$R210), 0, 1), 5, if(ISBLANK('2025'!$S210), 0, 1), 6, if(ISBLANK('2025'!$T210), 0, 1), 7, 0))), 1, "")</f>
        <v/>
      </c>
      <c r="AQ212" s="1" t="str">
        <f>IF(AND(AND(AND(AQ$4&gt;='2025'!$L210,AQ$4&lt;='2025'!$M210), AQ$4&lt;&gt;DATE(2025,7,4)), (SWITCH(weekday(AQ$4), 1, 0, 2, if(ISBLANK('2025'!$P210), 0, 1), 3, if(ISBLANK('2025'!$Q210), 0, 1), 4, if(ISBLANK('2025'!$R210), 0, 1), 5, if(ISBLANK('2025'!$S210), 0, 1), 6, if(ISBLANK('2025'!$T210), 0, 1), 7, 0))), 1, "")</f>
        <v/>
      </c>
      <c r="AR212" s="1" t="str">
        <f>IF(AND(AND(AND(AR$4&gt;='2025'!$L210,AR$4&lt;='2025'!$M210), AR$4&lt;&gt;DATE(2025,7,4)), (SWITCH(weekday(AR$4), 1, 0, 2, if(ISBLANK('2025'!$P210), 0, 1), 3, if(ISBLANK('2025'!$Q210), 0, 1), 4, if(ISBLANK('2025'!$R210), 0, 1), 5, if(ISBLANK('2025'!$S210), 0, 1), 6, if(ISBLANK('2025'!$T210), 0, 1), 7, 0))), 1, "")</f>
        <v/>
      </c>
      <c r="AS212" s="1" t="str">
        <f>IF(AND(AND(AND(AS$4&gt;='2025'!$L210,AS$4&lt;='2025'!$M210), AS$4&lt;&gt;DATE(2025,7,4)), (SWITCH(weekday(AS$4), 1, 0, 2, if(ISBLANK('2025'!$P210), 0, 1), 3, if(ISBLANK('2025'!$Q210), 0, 1), 4, if(ISBLANK('2025'!$R210), 0, 1), 5, if(ISBLANK('2025'!$S210), 0, 1), 6, if(ISBLANK('2025'!$T210), 0, 1), 7, 0))), 1, "")</f>
        <v/>
      </c>
      <c r="AT212" s="1" t="str">
        <f>IF(AND(AND(AND(AT$4&gt;='2025'!$L210,AT$4&lt;='2025'!$M210), AT$4&lt;&gt;DATE(2025,7,4)), (SWITCH(weekday(AT$4), 1, 0, 2, if(ISBLANK('2025'!$P210), 0, 1), 3, if(ISBLANK('2025'!$Q210), 0, 1), 4, if(ISBLANK('2025'!$R210), 0, 1), 5, if(ISBLANK('2025'!$S210), 0, 1), 6, if(ISBLANK('2025'!$T210), 0, 1), 7, 0))), 1, "")</f>
        <v/>
      </c>
      <c r="AU212" s="1" t="str">
        <f>IF(AND(AND(AND(AU$4&gt;='2025'!$L210,AU$4&lt;='2025'!$M210), AU$4&lt;&gt;DATE(2025,7,4)), (SWITCH(weekday(AU$4), 1, 0, 2, if(ISBLANK('2025'!$P210), 0, 1), 3, if(ISBLANK('2025'!$Q210), 0, 1), 4, if(ISBLANK('2025'!$R210), 0, 1), 5, if(ISBLANK('2025'!$S210), 0, 1), 6, if(ISBLANK('2025'!$T210), 0, 1), 7, 0))), 1, "")</f>
        <v/>
      </c>
      <c r="AV212" s="1" t="str">
        <f>IF(AND(AND(AND(AV$4&gt;='2025'!$L210,AV$4&lt;='2025'!$M210), AV$4&lt;&gt;DATE(2025,7,4)), (SWITCH(weekday(AV$4), 1, 0, 2, if(ISBLANK('2025'!$P210), 0, 1), 3, if(ISBLANK('2025'!$Q210), 0, 1), 4, if(ISBLANK('2025'!$R210), 0, 1), 5, if(ISBLANK('2025'!$S210), 0, 1), 6, if(ISBLANK('2025'!$T210), 0, 1), 7, 0))), 1, "")</f>
        <v/>
      </c>
      <c r="AW212" s="1" t="str">
        <f>IF(AND(AND(AND(AW$4&gt;='2025'!$L210,AW$4&lt;='2025'!$M210), AW$4&lt;&gt;DATE(2025,7,4)), (SWITCH(weekday(AW$4), 1, 0, 2, if(ISBLANK('2025'!$P210), 0, 1), 3, if(ISBLANK('2025'!$Q210), 0, 1), 4, if(ISBLANK('2025'!$R210), 0, 1), 5, if(ISBLANK('2025'!$S210), 0, 1), 6, if(ISBLANK('2025'!$T210), 0, 1), 7, 0))), 1, "")</f>
        <v/>
      </c>
      <c r="AX212" s="1" t="str">
        <f>IF(AND(AND(AND(AX$4&gt;='2025'!$L210,AX$4&lt;='2025'!$M210), AX$4&lt;&gt;DATE(2025,7,4)), (SWITCH(weekday(AX$4), 1, 0, 2, if(ISBLANK('2025'!$P210), 0, 1), 3, if(ISBLANK('2025'!$Q210), 0, 1), 4, if(ISBLANK('2025'!$R210), 0, 1), 5, if(ISBLANK('2025'!$S210), 0, 1), 6, if(ISBLANK('2025'!$T210), 0, 1), 7, 0))), 1, "")</f>
        <v/>
      </c>
      <c r="AY212" s="1" t="str">
        <f>IF(AND(AND(AND(AY$4&gt;='2025'!$L210,AY$4&lt;='2025'!$M210), AY$4&lt;&gt;DATE(2025,7,4)), (SWITCH(weekday(AY$4), 1, 0, 2, if(ISBLANK('2025'!$P210), 0, 1), 3, if(ISBLANK('2025'!$Q210), 0, 1), 4, if(ISBLANK('2025'!$R210), 0, 1), 5, if(ISBLANK('2025'!$S210), 0, 1), 6, if(ISBLANK('2025'!$T210), 0, 1), 7, 0))), 1, "")</f>
        <v/>
      </c>
      <c r="AZ212" s="1" t="str">
        <f>IF(AND(AND(AND(AZ$4&gt;='2025'!$L210,AZ$4&lt;='2025'!$M210), AZ$4&lt;&gt;DATE(2025,7,4)), (SWITCH(weekday(AZ$4), 1, 0, 2, if(ISBLANK('2025'!$P210), 0, 1), 3, if(ISBLANK('2025'!$Q210), 0, 1), 4, if(ISBLANK('2025'!$R210), 0, 1), 5, if(ISBLANK('2025'!$S210), 0, 1), 6, if(ISBLANK('2025'!$T210), 0, 1), 7, 0))), 1, "")</f>
        <v/>
      </c>
      <c r="BA212" s="1" t="str">
        <f>IF(AND(AND(AND(BA$4&gt;='2025'!$L210,BA$4&lt;='2025'!$M210), BA$4&lt;&gt;DATE(2025,7,4)), (SWITCH(weekday(BA$4), 1, 0, 2, if(ISBLANK('2025'!$P210), 0, 1), 3, if(ISBLANK('2025'!$Q210), 0, 1), 4, if(ISBLANK('2025'!$R210), 0, 1), 5, if(ISBLANK('2025'!$S210), 0, 1), 6, if(ISBLANK('2025'!$T210), 0, 1), 7, 0))), 1, "")</f>
        <v/>
      </c>
      <c r="BB212" s="1" t="str">
        <f>IF(AND(AND(AND(BB$4&gt;='2025'!$L210,BB$4&lt;='2025'!$M210), BB$4&lt;&gt;DATE(2025,7,4)), (SWITCH(weekday(BB$4), 1, 0, 2, if(ISBLANK('2025'!$P210), 0, 1), 3, if(ISBLANK('2025'!$Q210), 0, 1), 4, if(ISBLANK('2025'!$R210), 0, 1), 5, if(ISBLANK('2025'!$S210), 0, 1), 6, if(ISBLANK('2025'!$T210), 0, 1), 7, 0))), 1, "")</f>
        <v/>
      </c>
      <c r="BC212" s="1" t="str">
        <f>IF(AND(AND(AND(BC$4&gt;='2025'!$L210,BC$4&lt;='2025'!$M210), BC$4&lt;&gt;DATE(2025,7,4)), (SWITCH(weekday(BC$4), 1, 0, 2, if(ISBLANK('2025'!$P210), 0, 1), 3, if(ISBLANK('2025'!$Q210), 0, 1), 4, if(ISBLANK('2025'!$R210), 0, 1), 5, if(ISBLANK('2025'!$S210), 0, 1), 6, if(ISBLANK('2025'!$T210), 0, 1), 7, 0))), 1, "")</f>
        <v/>
      </c>
      <c r="BD212" s="1" t="str">
        <f>IF(AND(AND(AND(BD$4&gt;='2025'!$L210,BD$4&lt;='2025'!$M210), BD$4&lt;&gt;DATE(2025,7,4)), (SWITCH(weekday(BD$4), 1, 0, 2, if(ISBLANK('2025'!$P210), 0, 1), 3, if(ISBLANK('2025'!$Q210), 0, 1), 4, if(ISBLANK('2025'!$R210), 0, 1), 5, if(ISBLANK('2025'!$S210), 0, 1), 6, if(ISBLANK('2025'!$T210), 0, 1), 7, 0))), 1, "")</f>
        <v/>
      </c>
      <c r="BE212" s="1" t="str">
        <f>IF(AND(AND(AND(BE$4&gt;='2025'!$L210,BE$4&lt;='2025'!$M210), BE$4&lt;&gt;DATE(2025,7,4)), (SWITCH(weekday(BE$4), 1, 0, 2, if(ISBLANK('2025'!$P210), 0, 1), 3, if(ISBLANK('2025'!$Q210), 0, 1), 4, if(ISBLANK('2025'!$R210), 0, 1), 5, if(ISBLANK('2025'!$S210), 0, 1), 6, if(ISBLANK('2025'!$T210), 0, 1), 7, 0))), 1, "")</f>
        <v/>
      </c>
      <c r="BF212" s="1" t="str">
        <f>IF(AND(AND(AND(BF$4&gt;='2025'!$L210,BF$4&lt;='2025'!$M210), BF$4&lt;&gt;DATE(2025,7,4)), (SWITCH(weekday(BF$4), 1, 0, 2, if(ISBLANK('2025'!$P210), 0, 1), 3, if(ISBLANK('2025'!$Q210), 0, 1), 4, if(ISBLANK('2025'!$R210), 0, 1), 5, if(ISBLANK('2025'!$S210), 0, 1), 6, if(ISBLANK('2025'!$T210), 0, 1), 7, 0))), 1, "")</f>
        <v/>
      </c>
      <c r="BG212" s="1"/>
      <c r="BH212" s="1"/>
      <c r="BI212" s="1"/>
      <c r="BJ212" s="1"/>
      <c r="BK212" s="1"/>
      <c r="BL212" s="1"/>
    </row>
    <row r="213">
      <c r="A213" s="1">
        <f t="shared" si="3"/>
        <v>213</v>
      </c>
      <c r="B213" s="1" t="str">
        <f>'2025'!D177</f>
        <v>, </v>
      </c>
      <c r="C213" s="1" t="str">
        <f>'2025'!H177</f>
        <v/>
      </c>
      <c r="D213" s="1" t="str">
        <f>IF(AND(AND(AND(D$4&gt;='2025'!$L211,D$4&lt;='2025'!$M211), D$4&lt;&gt;DATE(2025,7,4)), (SWITCH(weekday(D$4), 1, 0, 2, if(ISBLANK('2025'!$P211), 0, 1), 3, if(ISBLANK('2025'!$Q211), 0, 1), 4, if(ISBLANK('2025'!$R211), 0, 1), 5, if(ISBLANK('2025'!$S211), 0, 1), 6, if(ISBLANK('2025'!$T211), 0, 1), 7, 0))), 1, "")</f>
        <v/>
      </c>
      <c r="E213" s="1" t="str">
        <f>IF(AND(AND(AND(E$4&gt;='2025'!$L211,E$4&lt;='2025'!$M211), E$4&lt;&gt;DATE(2025,7,4)), (SWITCH(weekday(E$4), 1, 0, 2, if(ISBLANK('2025'!$P211), 0, 1), 3, if(ISBLANK('2025'!$Q211), 0, 1), 4, if(ISBLANK('2025'!$R211), 0, 1), 5, if(ISBLANK('2025'!$S211), 0, 1), 6, if(ISBLANK('2025'!$T211), 0, 1), 7, 0))), 1, "")</f>
        <v/>
      </c>
      <c r="F213" s="1" t="str">
        <f>IF(AND(AND(AND(F$4&gt;='2025'!$L211,F$4&lt;='2025'!$M211), F$4&lt;&gt;DATE(2025,7,4)), (SWITCH(weekday(F$4), 1, 0, 2, if(ISBLANK('2025'!$P211), 0, 1), 3, if(ISBLANK('2025'!$Q211), 0, 1), 4, if(ISBLANK('2025'!$R211), 0, 1), 5, if(ISBLANK('2025'!$S211), 0, 1), 6, if(ISBLANK('2025'!$T211), 0, 1), 7, 0))), 1, "")</f>
        <v/>
      </c>
      <c r="G213" s="1" t="str">
        <f>IF(AND(AND(AND(G$4&gt;='2025'!$L211,G$4&lt;='2025'!$M211), G$4&lt;&gt;DATE(2025,7,4)), (SWITCH(weekday(G$4), 1, 0, 2, if(ISBLANK('2025'!$P211), 0, 1), 3, if(ISBLANK('2025'!$Q211), 0, 1), 4, if(ISBLANK('2025'!$R211), 0, 1), 5, if(ISBLANK('2025'!$S211), 0, 1), 6, if(ISBLANK('2025'!$T211), 0, 1), 7, 0))), 1, "")</f>
        <v/>
      </c>
      <c r="H213" s="1" t="str">
        <f>IF(AND(AND(AND(H$4&gt;='2025'!$L211,H$4&lt;='2025'!$M211), H$4&lt;&gt;DATE(2025,7,4)), (SWITCH(weekday(H$4), 1, 0, 2, if(ISBLANK('2025'!$P211), 0, 1), 3, if(ISBLANK('2025'!$Q211), 0, 1), 4, if(ISBLANK('2025'!$R211), 0, 1), 5, if(ISBLANK('2025'!$S211), 0, 1), 6, if(ISBLANK('2025'!$T211), 0, 1), 7, 0))), 1, "")</f>
        <v/>
      </c>
      <c r="I213" s="1" t="str">
        <f>IF(AND(AND(AND(I$4&gt;='2025'!$L211,I$4&lt;='2025'!$M211), I$4&lt;&gt;DATE(2025,7,4)), (SWITCH(weekday(I$4), 1, 0, 2, if(ISBLANK('2025'!$P211), 0, 1), 3, if(ISBLANK('2025'!$Q211), 0, 1), 4, if(ISBLANK('2025'!$R211), 0, 1), 5, if(ISBLANK('2025'!$S211), 0, 1), 6, if(ISBLANK('2025'!$T211), 0, 1), 7, 0))), 1, "")</f>
        <v/>
      </c>
      <c r="J213" s="1" t="str">
        <f>IF(AND(AND(AND(J$4&gt;='2025'!$L211,J$4&lt;='2025'!$M211), J$4&lt;&gt;DATE(2025,7,4)), (SWITCH(weekday(J$4), 1, 0, 2, if(ISBLANK('2025'!$P211), 0, 1), 3, if(ISBLANK('2025'!$Q211), 0, 1), 4, if(ISBLANK('2025'!$R211), 0, 1), 5, if(ISBLANK('2025'!$S211), 0, 1), 6, if(ISBLANK('2025'!$T211), 0, 1), 7, 0))), 1, "")</f>
        <v/>
      </c>
      <c r="K213" s="1" t="str">
        <f>IF(AND(AND(AND(K$4&gt;='2025'!$L211,K$4&lt;='2025'!$M211), K$4&lt;&gt;DATE(2025,7,4)), (SWITCH(weekday(K$4), 1, 0, 2, if(ISBLANK('2025'!$P211), 0, 1), 3, if(ISBLANK('2025'!$Q211), 0, 1), 4, if(ISBLANK('2025'!$R211), 0, 1), 5, if(ISBLANK('2025'!$S211), 0, 1), 6, if(ISBLANK('2025'!$T211), 0, 1), 7, 0))), 1, "")</f>
        <v/>
      </c>
      <c r="L213" s="1" t="str">
        <f>IF(AND(AND(AND(L$4&gt;='2025'!$L211,L$4&lt;='2025'!$M211), L$4&lt;&gt;DATE(2025,7,4)), (SWITCH(weekday(L$4), 1, 0, 2, if(ISBLANK('2025'!$P211), 0, 1), 3, if(ISBLANK('2025'!$Q211), 0, 1), 4, if(ISBLANK('2025'!$R211), 0, 1), 5, if(ISBLANK('2025'!$S211), 0, 1), 6, if(ISBLANK('2025'!$T211), 0, 1), 7, 0))), 1, "")</f>
        <v/>
      </c>
      <c r="M213" s="1" t="str">
        <f>IF(AND(AND(AND(M$4&gt;='2025'!$L211,M$4&lt;='2025'!$M211), M$4&lt;&gt;DATE(2025,7,4)), (SWITCH(weekday(M$4), 1, 0, 2, if(ISBLANK('2025'!$P211), 0, 1), 3, if(ISBLANK('2025'!$Q211), 0, 1), 4, if(ISBLANK('2025'!$R211), 0, 1), 5, if(ISBLANK('2025'!$S211), 0, 1), 6, if(ISBLANK('2025'!$T211), 0, 1), 7, 0))), 1, "")</f>
        <v/>
      </c>
      <c r="N213" s="1" t="str">
        <f>IF(AND(AND(AND(N$4&gt;='2025'!$L211,N$4&lt;='2025'!$M211), N$4&lt;&gt;DATE(2025,7,4)), (SWITCH(weekday(N$4), 1, 0, 2, if(ISBLANK('2025'!$P211), 0, 1), 3, if(ISBLANK('2025'!$Q211), 0, 1), 4, if(ISBLANK('2025'!$R211), 0, 1), 5, if(ISBLANK('2025'!$S211), 0, 1), 6, if(ISBLANK('2025'!$T211), 0, 1), 7, 0))), 1, "")</f>
        <v/>
      </c>
      <c r="O213" s="1" t="str">
        <f>IF(AND(AND(AND(O$4&gt;='2025'!$L211,O$4&lt;='2025'!$M211), O$4&lt;&gt;DATE(2025,7,4)), (SWITCH(weekday(O$4), 1, 0, 2, if(ISBLANK('2025'!$P211), 0, 1), 3, if(ISBLANK('2025'!$Q211), 0, 1), 4, if(ISBLANK('2025'!$R211), 0, 1), 5, if(ISBLANK('2025'!$S211), 0, 1), 6, if(ISBLANK('2025'!$T211), 0, 1), 7, 0))), 1, "")</f>
        <v/>
      </c>
      <c r="P213" s="1" t="str">
        <f>IF(AND(AND(AND(P$4&gt;='2025'!$L211,P$4&lt;='2025'!$M211), P$4&lt;&gt;DATE(2025,7,4)), (SWITCH(weekday(P$4), 1, 0, 2, if(ISBLANK('2025'!$P211), 0, 1), 3, if(ISBLANK('2025'!$Q211), 0, 1), 4, if(ISBLANK('2025'!$R211), 0, 1), 5, if(ISBLANK('2025'!$S211), 0, 1), 6, if(ISBLANK('2025'!$T211), 0, 1), 7, 0))), 1, "")</f>
        <v/>
      </c>
      <c r="Q213" s="1" t="str">
        <f>IF(AND(AND(AND(Q$4&gt;='2025'!$L211,Q$4&lt;='2025'!$M211), Q$4&lt;&gt;DATE(2025,7,4)), (SWITCH(weekday(Q$4), 1, 0, 2, if(ISBLANK('2025'!$P211), 0, 1), 3, if(ISBLANK('2025'!$Q211), 0, 1), 4, if(ISBLANK('2025'!$R211), 0, 1), 5, if(ISBLANK('2025'!$S211), 0, 1), 6, if(ISBLANK('2025'!$T211), 0, 1), 7, 0))), 1, "")</f>
        <v/>
      </c>
      <c r="R213" s="1" t="str">
        <f>IF(AND(AND(AND(R$4&gt;='2025'!$L211,R$4&lt;='2025'!$M211), R$4&lt;&gt;DATE(2025,7,4)), (SWITCH(weekday(R$4), 1, 0, 2, if(ISBLANK('2025'!$P211), 0, 1), 3, if(ISBLANK('2025'!$Q211), 0, 1), 4, if(ISBLANK('2025'!$R211), 0, 1), 5, if(ISBLANK('2025'!$S211), 0, 1), 6, if(ISBLANK('2025'!$T211), 0, 1), 7, 0))), 1, "")</f>
        <v/>
      </c>
      <c r="S213" s="1" t="str">
        <f>IF(AND(AND(AND(S$4&gt;='2025'!$L211,S$4&lt;='2025'!$M211), S$4&lt;&gt;DATE(2025,7,4)), (SWITCH(weekday(S$4), 1, 0, 2, if(ISBLANK('2025'!$P211), 0, 1), 3, if(ISBLANK('2025'!$Q211), 0, 1), 4, if(ISBLANK('2025'!$R211), 0, 1), 5, if(ISBLANK('2025'!$S211), 0, 1), 6, if(ISBLANK('2025'!$T211), 0, 1), 7, 0))), 1, "")</f>
        <v/>
      </c>
      <c r="T213" s="1" t="str">
        <f>IF(AND(AND(AND(T$4&gt;='2025'!$L211,T$4&lt;='2025'!$M211), T$4&lt;&gt;DATE(2025,7,4)), (SWITCH(weekday(T$4), 1, 0, 2, if(ISBLANK('2025'!$P211), 0, 1), 3, if(ISBLANK('2025'!$Q211), 0, 1), 4, if(ISBLANK('2025'!$R211), 0, 1), 5, if(ISBLANK('2025'!$S211), 0, 1), 6, if(ISBLANK('2025'!$T211), 0, 1), 7, 0))), 1, "")</f>
        <v/>
      </c>
      <c r="U213" s="1" t="str">
        <f>IF(AND(AND(AND(U$4&gt;='2025'!$L211,U$4&lt;='2025'!$M211), U$4&lt;&gt;DATE(2025,7,4)), (SWITCH(weekday(U$4), 1, 0, 2, if(ISBLANK('2025'!$P211), 0, 1), 3, if(ISBLANK('2025'!$Q211), 0, 1), 4, if(ISBLANK('2025'!$R211), 0, 1), 5, if(ISBLANK('2025'!$S211), 0, 1), 6, if(ISBLANK('2025'!$T211), 0, 1), 7, 0))), 1, "")</f>
        <v/>
      </c>
      <c r="V213" s="1" t="str">
        <f>IF(AND(AND(AND(V$4&gt;='2025'!$L211,V$4&lt;='2025'!$M211), V$4&lt;&gt;DATE(2025,7,4)), (SWITCH(weekday(V$4), 1, 0, 2, if(ISBLANK('2025'!$P211), 0, 1), 3, if(ISBLANK('2025'!$Q211), 0, 1), 4, if(ISBLANK('2025'!$R211), 0, 1), 5, if(ISBLANK('2025'!$S211), 0, 1), 6, if(ISBLANK('2025'!$T211), 0, 1), 7, 0))), 1, "")</f>
        <v/>
      </c>
      <c r="W213" s="1" t="str">
        <f>IF(AND(AND(AND(W$4&gt;='2025'!$L211,W$4&lt;='2025'!$M211), W$4&lt;&gt;DATE(2025,7,4)), (SWITCH(weekday(W$4), 1, 0, 2, if(ISBLANK('2025'!$P211), 0, 1), 3, if(ISBLANK('2025'!$Q211), 0, 1), 4, if(ISBLANK('2025'!$R211), 0, 1), 5, if(ISBLANK('2025'!$S211), 0, 1), 6, if(ISBLANK('2025'!$T211), 0, 1), 7, 0))), 1, "")</f>
        <v/>
      </c>
      <c r="X213" s="1" t="str">
        <f>IF(AND(AND(AND(X$4&gt;='2025'!$L211,X$4&lt;='2025'!$M211), X$4&lt;&gt;DATE(2025,7,4)), (SWITCH(weekday(X$4), 1, 0, 2, if(ISBLANK('2025'!$P211), 0, 1), 3, if(ISBLANK('2025'!$Q211), 0, 1), 4, if(ISBLANK('2025'!$R211), 0, 1), 5, if(ISBLANK('2025'!$S211), 0, 1), 6, if(ISBLANK('2025'!$T211), 0, 1), 7, 0))), 1, "")</f>
        <v/>
      </c>
      <c r="Y213" s="1" t="str">
        <f>IF(AND(AND(AND(Y$4&gt;='2025'!$L211,Y$4&lt;='2025'!$M211), Y$4&lt;&gt;DATE(2025,7,4)), (SWITCH(weekday(Y$4), 1, 0, 2, if(ISBLANK('2025'!$P211), 0, 1), 3, if(ISBLANK('2025'!$Q211), 0, 1), 4, if(ISBLANK('2025'!$R211), 0, 1), 5, if(ISBLANK('2025'!$S211), 0, 1), 6, if(ISBLANK('2025'!$T211), 0, 1), 7, 0))), 1, "")</f>
        <v/>
      </c>
      <c r="Z213" s="1" t="str">
        <f>IF(AND(AND(AND(Z$4&gt;='2025'!$L211,Z$4&lt;='2025'!$M211), Z$4&lt;&gt;DATE(2025,7,4)), (SWITCH(weekday(Z$4), 1, 0, 2, if(ISBLANK('2025'!$P211), 0, 1), 3, if(ISBLANK('2025'!$Q211), 0, 1), 4, if(ISBLANK('2025'!$R211), 0, 1), 5, if(ISBLANK('2025'!$S211), 0, 1), 6, if(ISBLANK('2025'!$T211), 0, 1), 7, 0))), 1, "")</f>
        <v/>
      </c>
      <c r="AA213" s="1" t="str">
        <f>IF(AND(AND(AND(AA$4&gt;='2025'!$L211,AA$4&lt;='2025'!$M211), AA$4&lt;&gt;DATE(2025,7,4)), (SWITCH(weekday(AA$4), 1, 0, 2, if(ISBLANK('2025'!$P211), 0, 1), 3, if(ISBLANK('2025'!$Q211), 0, 1), 4, if(ISBLANK('2025'!$R211), 0, 1), 5, if(ISBLANK('2025'!$S211), 0, 1), 6, if(ISBLANK('2025'!$T211), 0, 1), 7, 0))), 1, "")</f>
        <v/>
      </c>
      <c r="AB213" s="1" t="str">
        <f>IF(AND(AND(AND(AB$4&gt;='2025'!$L211,AB$4&lt;='2025'!$M211), AB$4&lt;&gt;DATE(2025,7,4)), (SWITCH(weekday(AB$4), 1, 0, 2, if(ISBLANK('2025'!$P211), 0, 1), 3, if(ISBLANK('2025'!$Q211), 0, 1), 4, if(ISBLANK('2025'!$R211), 0, 1), 5, if(ISBLANK('2025'!$S211), 0, 1), 6, if(ISBLANK('2025'!$T211), 0, 1), 7, 0))), 1, "")</f>
        <v/>
      </c>
      <c r="AC213" s="1" t="str">
        <f>IF(AND(AND(AND(AC$4&gt;='2025'!$L211,AC$4&lt;='2025'!$M211), AC$4&lt;&gt;DATE(2025,7,4)), (SWITCH(weekday(AC$4), 1, 0, 2, if(ISBLANK('2025'!$P211), 0, 1), 3, if(ISBLANK('2025'!$Q211), 0, 1), 4, if(ISBLANK('2025'!$R211), 0, 1), 5, if(ISBLANK('2025'!$S211), 0, 1), 6, if(ISBLANK('2025'!$T211), 0, 1), 7, 0))), 1, "")</f>
        <v/>
      </c>
      <c r="AD213" s="1" t="str">
        <f>IF(AND(AND(AND(AD$4&gt;='2025'!$L211,AD$4&lt;='2025'!$M211), AD$4&lt;&gt;DATE(2025,7,4)), (SWITCH(weekday(AD$4), 1, 0, 2, if(ISBLANK('2025'!$P211), 0, 1), 3, if(ISBLANK('2025'!$Q211), 0, 1), 4, if(ISBLANK('2025'!$R211), 0, 1), 5, if(ISBLANK('2025'!$S211), 0, 1), 6, if(ISBLANK('2025'!$T211), 0, 1), 7, 0))), 1, "")</f>
        <v/>
      </c>
      <c r="AE213" s="1" t="str">
        <f>IF(AND(AND(AND(AE$4&gt;='2025'!$L211,AE$4&lt;='2025'!$M211), AE$4&lt;&gt;DATE(2025,7,4)), (SWITCH(weekday(AE$4), 1, 0, 2, if(ISBLANK('2025'!$P211), 0, 1), 3, if(ISBLANK('2025'!$Q211), 0, 1), 4, if(ISBLANK('2025'!$R211), 0, 1), 5, if(ISBLANK('2025'!$S211), 0, 1), 6, if(ISBLANK('2025'!$T211), 0, 1), 7, 0))), 1, "")</f>
        <v/>
      </c>
      <c r="AF213" s="1" t="str">
        <f>IF(AND(AND(AND(AF$4&gt;='2025'!$L211,AF$4&lt;='2025'!$M211), AF$4&lt;&gt;DATE(2025,7,4)), (SWITCH(weekday(AF$4), 1, 0, 2, if(ISBLANK('2025'!$P211), 0, 1), 3, if(ISBLANK('2025'!$Q211), 0, 1), 4, if(ISBLANK('2025'!$R211), 0, 1), 5, if(ISBLANK('2025'!$S211), 0, 1), 6, if(ISBLANK('2025'!$T211), 0, 1), 7, 0))), 1, "")</f>
        <v/>
      </c>
      <c r="AG213" s="1" t="str">
        <f>IF(AND(AND(AND(AG$4&gt;='2025'!$L211,AG$4&lt;='2025'!$M211), AG$4&lt;&gt;DATE(2025,7,4)), (SWITCH(weekday(AG$4), 1, 0, 2, if(ISBLANK('2025'!$P211), 0, 1), 3, if(ISBLANK('2025'!$Q211), 0, 1), 4, if(ISBLANK('2025'!$R211), 0, 1), 5, if(ISBLANK('2025'!$S211), 0, 1), 6, if(ISBLANK('2025'!$T211), 0, 1), 7, 0))), 1, "")</f>
        <v/>
      </c>
      <c r="AH213" s="1" t="str">
        <f>IF(AND(AND(AND(AH$4&gt;='2025'!$L211,AH$4&lt;='2025'!$M211), AH$4&lt;&gt;DATE(2025,7,4)), (SWITCH(weekday(AH$4), 1, 0, 2, if(ISBLANK('2025'!$P211), 0, 1), 3, if(ISBLANK('2025'!$Q211), 0, 1), 4, if(ISBLANK('2025'!$R211), 0, 1), 5, if(ISBLANK('2025'!$S211), 0, 1), 6, if(ISBLANK('2025'!$T211), 0, 1), 7, 0))), 1, "")</f>
        <v/>
      </c>
      <c r="AI213" s="1" t="str">
        <f>IF(AND(AND(AND(AI$4&gt;='2025'!$L211,AI$4&lt;='2025'!$M211), AI$4&lt;&gt;DATE(2025,7,4)), (SWITCH(weekday(AI$4), 1, 0, 2, if(ISBLANK('2025'!$P211), 0, 1), 3, if(ISBLANK('2025'!$Q211), 0, 1), 4, if(ISBLANK('2025'!$R211), 0, 1), 5, if(ISBLANK('2025'!$S211), 0, 1), 6, if(ISBLANK('2025'!$T211), 0, 1), 7, 0))), 1, "")</f>
        <v/>
      </c>
      <c r="AJ213" s="1" t="str">
        <f>IF(AND(AND(AND(AJ$4&gt;='2025'!$L211,AJ$4&lt;='2025'!$M211), AJ$4&lt;&gt;DATE(2025,7,4)), (SWITCH(weekday(AJ$4), 1, 0, 2, if(ISBLANK('2025'!$P211), 0, 1), 3, if(ISBLANK('2025'!$Q211), 0, 1), 4, if(ISBLANK('2025'!$R211), 0, 1), 5, if(ISBLANK('2025'!$S211), 0, 1), 6, if(ISBLANK('2025'!$T211), 0, 1), 7, 0))), 1, "")</f>
        <v/>
      </c>
      <c r="AK213" s="1" t="str">
        <f>IF(AND(AND(AND(AK$4&gt;='2025'!$L211,AK$4&lt;='2025'!$M211), AK$4&lt;&gt;DATE(2025,7,4)), (SWITCH(weekday(AK$4), 1, 0, 2, if(ISBLANK('2025'!$P211), 0, 1), 3, if(ISBLANK('2025'!$Q211), 0, 1), 4, if(ISBLANK('2025'!$R211), 0, 1), 5, if(ISBLANK('2025'!$S211), 0, 1), 6, if(ISBLANK('2025'!$T211), 0, 1), 7, 0))), 1, "")</f>
        <v/>
      </c>
      <c r="AL213" s="1" t="str">
        <f>IF(AND(AND(AND(AL$4&gt;='2025'!$L211,AL$4&lt;='2025'!$M211), AL$4&lt;&gt;DATE(2025,7,4)), (SWITCH(weekday(AL$4), 1, 0, 2, if(ISBLANK('2025'!$P211), 0, 1), 3, if(ISBLANK('2025'!$Q211), 0, 1), 4, if(ISBLANK('2025'!$R211), 0, 1), 5, if(ISBLANK('2025'!$S211), 0, 1), 6, if(ISBLANK('2025'!$T211), 0, 1), 7, 0))), 1, "")</f>
        <v/>
      </c>
      <c r="AM213" s="1" t="str">
        <f>IF(AND(AND(AND(AM$4&gt;='2025'!$L211,AM$4&lt;='2025'!$M211), AM$4&lt;&gt;DATE(2025,7,4)), (SWITCH(weekday(AM$4), 1, 0, 2, if(ISBLANK('2025'!$P211), 0, 1), 3, if(ISBLANK('2025'!$Q211), 0, 1), 4, if(ISBLANK('2025'!$R211), 0, 1), 5, if(ISBLANK('2025'!$S211), 0, 1), 6, if(ISBLANK('2025'!$T211), 0, 1), 7, 0))), 1, "")</f>
        <v/>
      </c>
      <c r="AN213" s="1" t="str">
        <f>IF(AND(AND(AND(AN$4&gt;='2025'!$L211,AN$4&lt;='2025'!$M211), AN$4&lt;&gt;DATE(2025,7,4)), (SWITCH(weekday(AN$4), 1, 0, 2, if(ISBLANK('2025'!$P211), 0, 1), 3, if(ISBLANK('2025'!$Q211), 0, 1), 4, if(ISBLANK('2025'!$R211), 0, 1), 5, if(ISBLANK('2025'!$S211), 0, 1), 6, if(ISBLANK('2025'!$T211), 0, 1), 7, 0))), 1, "")</f>
        <v/>
      </c>
      <c r="AO213" s="1" t="str">
        <f>IF(AND(AND(AND(AO$4&gt;='2025'!$L211,AO$4&lt;='2025'!$M211), AO$4&lt;&gt;DATE(2025,7,4)), (SWITCH(weekday(AO$4), 1, 0, 2, if(ISBLANK('2025'!$P211), 0, 1), 3, if(ISBLANK('2025'!$Q211), 0, 1), 4, if(ISBLANK('2025'!$R211), 0, 1), 5, if(ISBLANK('2025'!$S211), 0, 1), 6, if(ISBLANK('2025'!$T211), 0, 1), 7, 0))), 1, "")</f>
        <v/>
      </c>
      <c r="AP213" s="1" t="str">
        <f>IF(AND(AND(AND(AP$4&gt;='2025'!$L211,AP$4&lt;='2025'!$M211), AP$4&lt;&gt;DATE(2025,7,4)), (SWITCH(weekday(AP$4), 1, 0, 2, if(ISBLANK('2025'!$P211), 0, 1), 3, if(ISBLANK('2025'!$Q211), 0, 1), 4, if(ISBLANK('2025'!$R211), 0, 1), 5, if(ISBLANK('2025'!$S211), 0, 1), 6, if(ISBLANK('2025'!$T211), 0, 1), 7, 0))), 1, "")</f>
        <v/>
      </c>
      <c r="AQ213" s="1" t="str">
        <f>IF(AND(AND(AND(AQ$4&gt;='2025'!$L211,AQ$4&lt;='2025'!$M211), AQ$4&lt;&gt;DATE(2025,7,4)), (SWITCH(weekday(AQ$4), 1, 0, 2, if(ISBLANK('2025'!$P211), 0, 1), 3, if(ISBLANK('2025'!$Q211), 0, 1), 4, if(ISBLANK('2025'!$R211), 0, 1), 5, if(ISBLANK('2025'!$S211), 0, 1), 6, if(ISBLANK('2025'!$T211), 0, 1), 7, 0))), 1, "")</f>
        <v/>
      </c>
      <c r="AR213" s="1" t="str">
        <f>IF(AND(AND(AND(AR$4&gt;='2025'!$L211,AR$4&lt;='2025'!$M211), AR$4&lt;&gt;DATE(2025,7,4)), (SWITCH(weekday(AR$4), 1, 0, 2, if(ISBLANK('2025'!$P211), 0, 1), 3, if(ISBLANK('2025'!$Q211), 0, 1), 4, if(ISBLANK('2025'!$R211), 0, 1), 5, if(ISBLANK('2025'!$S211), 0, 1), 6, if(ISBLANK('2025'!$T211), 0, 1), 7, 0))), 1, "")</f>
        <v/>
      </c>
      <c r="AS213" s="1" t="str">
        <f>IF(AND(AND(AND(AS$4&gt;='2025'!$L211,AS$4&lt;='2025'!$M211), AS$4&lt;&gt;DATE(2025,7,4)), (SWITCH(weekday(AS$4), 1, 0, 2, if(ISBLANK('2025'!$P211), 0, 1), 3, if(ISBLANK('2025'!$Q211), 0, 1), 4, if(ISBLANK('2025'!$R211), 0, 1), 5, if(ISBLANK('2025'!$S211), 0, 1), 6, if(ISBLANK('2025'!$T211), 0, 1), 7, 0))), 1, "")</f>
        <v/>
      </c>
      <c r="AT213" s="1" t="str">
        <f>IF(AND(AND(AND(AT$4&gt;='2025'!$L211,AT$4&lt;='2025'!$M211), AT$4&lt;&gt;DATE(2025,7,4)), (SWITCH(weekday(AT$4), 1, 0, 2, if(ISBLANK('2025'!$P211), 0, 1), 3, if(ISBLANK('2025'!$Q211), 0, 1), 4, if(ISBLANK('2025'!$R211), 0, 1), 5, if(ISBLANK('2025'!$S211), 0, 1), 6, if(ISBLANK('2025'!$T211), 0, 1), 7, 0))), 1, "")</f>
        <v/>
      </c>
      <c r="AU213" s="1" t="str">
        <f>IF(AND(AND(AND(AU$4&gt;='2025'!$L211,AU$4&lt;='2025'!$M211), AU$4&lt;&gt;DATE(2025,7,4)), (SWITCH(weekday(AU$4), 1, 0, 2, if(ISBLANK('2025'!$P211), 0, 1), 3, if(ISBLANK('2025'!$Q211), 0, 1), 4, if(ISBLANK('2025'!$R211), 0, 1), 5, if(ISBLANK('2025'!$S211), 0, 1), 6, if(ISBLANK('2025'!$T211), 0, 1), 7, 0))), 1, "")</f>
        <v/>
      </c>
      <c r="AV213" s="1" t="str">
        <f>IF(AND(AND(AND(AV$4&gt;='2025'!$L211,AV$4&lt;='2025'!$M211), AV$4&lt;&gt;DATE(2025,7,4)), (SWITCH(weekday(AV$4), 1, 0, 2, if(ISBLANK('2025'!$P211), 0, 1), 3, if(ISBLANK('2025'!$Q211), 0, 1), 4, if(ISBLANK('2025'!$R211), 0, 1), 5, if(ISBLANK('2025'!$S211), 0, 1), 6, if(ISBLANK('2025'!$T211), 0, 1), 7, 0))), 1, "")</f>
        <v/>
      </c>
      <c r="AW213" s="1" t="str">
        <f>IF(AND(AND(AND(AW$4&gt;='2025'!$L211,AW$4&lt;='2025'!$M211), AW$4&lt;&gt;DATE(2025,7,4)), (SWITCH(weekday(AW$4), 1, 0, 2, if(ISBLANK('2025'!$P211), 0, 1), 3, if(ISBLANK('2025'!$Q211), 0, 1), 4, if(ISBLANK('2025'!$R211), 0, 1), 5, if(ISBLANK('2025'!$S211), 0, 1), 6, if(ISBLANK('2025'!$T211), 0, 1), 7, 0))), 1, "")</f>
        <v/>
      </c>
      <c r="AX213" s="1" t="str">
        <f>IF(AND(AND(AND(AX$4&gt;='2025'!$L211,AX$4&lt;='2025'!$M211), AX$4&lt;&gt;DATE(2025,7,4)), (SWITCH(weekday(AX$4), 1, 0, 2, if(ISBLANK('2025'!$P211), 0, 1), 3, if(ISBLANK('2025'!$Q211), 0, 1), 4, if(ISBLANK('2025'!$R211), 0, 1), 5, if(ISBLANK('2025'!$S211), 0, 1), 6, if(ISBLANK('2025'!$T211), 0, 1), 7, 0))), 1, "")</f>
        <v/>
      </c>
      <c r="AY213" s="1" t="str">
        <f>IF(AND(AND(AND(AY$4&gt;='2025'!$L211,AY$4&lt;='2025'!$M211), AY$4&lt;&gt;DATE(2025,7,4)), (SWITCH(weekday(AY$4), 1, 0, 2, if(ISBLANK('2025'!$P211), 0, 1), 3, if(ISBLANK('2025'!$Q211), 0, 1), 4, if(ISBLANK('2025'!$R211), 0, 1), 5, if(ISBLANK('2025'!$S211), 0, 1), 6, if(ISBLANK('2025'!$T211), 0, 1), 7, 0))), 1, "")</f>
        <v/>
      </c>
      <c r="AZ213" s="1" t="str">
        <f>IF(AND(AND(AND(AZ$4&gt;='2025'!$L211,AZ$4&lt;='2025'!$M211), AZ$4&lt;&gt;DATE(2025,7,4)), (SWITCH(weekday(AZ$4), 1, 0, 2, if(ISBLANK('2025'!$P211), 0, 1), 3, if(ISBLANK('2025'!$Q211), 0, 1), 4, if(ISBLANK('2025'!$R211), 0, 1), 5, if(ISBLANK('2025'!$S211), 0, 1), 6, if(ISBLANK('2025'!$T211), 0, 1), 7, 0))), 1, "")</f>
        <v/>
      </c>
      <c r="BA213" s="1" t="str">
        <f>IF(AND(AND(AND(BA$4&gt;='2025'!$L211,BA$4&lt;='2025'!$M211), BA$4&lt;&gt;DATE(2025,7,4)), (SWITCH(weekday(BA$4), 1, 0, 2, if(ISBLANK('2025'!$P211), 0, 1), 3, if(ISBLANK('2025'!$Q211), 0, 1), 4, if(ISBLANK('2025'!$R211), 0, 1), 5, if(ISBLANK('2025'!$S211), 0, 1), 6, if(ISBLANK('2025'!$T211), 0, 1), 7, 0))), 1, "")</f>
        <v/>
      </c>
      <c r="BB213" s="1" t="str">
        <f>IF(AND(AND(AND(BB$4&gt;='2025'!$L211,BB$4&lt;='2025'!$M211), BB$4&lt;&gt;DATE(2025,7,4)), (SWITCH(weekday(BB$4), 1, 0, 2, if(ISBLANK('2025'!$P211), 0, 1), 3, if(ISBLANK('2025'!$Q211), 0, 1), 4, if(ISBLANK('2025'!$R211), 0, 1), 5, if(ISBLANK('2025'!$S211), 0, 1), 6, if(ISBLANK('2025'!$T211), 0, 1), 7, 0))), 1, "")</f>
        <v/>
      </c>
      <c r="BC213" s="1" t="str">
        <f>IF(AND(AND(AND(BC$4&gt;='2025'!$L211,BC$4&lt;='2025'!$M211), BC$4&lt;&gt;DATE(2025,7,4)), (SWITCH(weekday(BC$4), 1, 0, 2, if(ISBLANK('2025'!$P211), 0, 1), 3, if(ISBLANK('2025'!$Q211), 0, 1), 4, if(ISBLANK('2025'!$R211), 0, 1), 5, if(ISBLANK('2025'!$S211), 0, 1), 6, if(ISBLANK('2025'!$T211), 0, 1), 7, 0))), 1, "")</f>
        <v/>
      </c>
      <c r="BD213" s="1" t="str">
        <f>IF(AND(AND(AND(BD$4&gt;='2025'!$L211,BD$4&lt;='2025'!$M211), BD$4&lt;&gt;DATE(2025,7,4)), (SWITCH(weekday(BD$4), 1, 0, 2, if(ISBLANK('2025'!$P211), 0, 1), 3, if(ISBLANK('2025'!$Q211), 0, 1), 4, if(ISBLANK('2025'!$R211), 0, 1), 5, if(ISBLANK('2025'!$S211), 0, 1), 6, if(ISBLANK('2025'!$T211), 0, 1), 7, 0))), 1, "")</f>
        <v/>
      </c>
      <c r="BE213" s="1" t="str">
        <f>IF(AND(AND(AND(BE$4&gt;='2025'!$L211,BE$4&lt;='2025'!$M211), BE$4&lt;&gt;DATE(2025,7,4)), (SWITCH(weekday(BE$4), 1, 0, 2, if(ISBLANK('2025'!$P211), 0, 1), 3, if(ISBLANK('2025'!$Q211), 0, 1), 4, if(ISBLANK('2025'!$R211), 0, 1), 5, if(ISBLANK('2025'!$S211), 0, 1), 6, if(ISBLANK('2025'!$T211), 0, 1), 7, 0))), 1, "")</f>
        <v/>
      </c>
      <c r="BF213" s="1" t="str">
        <f>IF(AND(AND(AND(BF$4&gt;='2025'!$L211,BF$4&lt;='2025'!$M211), BF$4&lt;&gt;DATE(2025,7,4)), (SWITCH(weekday(BF$4), 1, 0, 2, if(ISBLANK('2025'!$P211), 0, 1), 3, if(ISBLANK('2025'!$Q211), 0, 1), 4, if(ISBLANK('2025'!$R211), 0, 1), 5, if(ISBLANK('2025'!$S211), 0, 1), 6, if(ISBLANK('2025'!$T211), 0, 1), 7, 0))), 1, "")</f>
        <v/>
      </c>
      <c r="BG213" s="1"/>
      <c r="BH213" s="1"/>
      <c r="BI213" s="1"/>
      <c r="BJ213" s="1"/>
      <c r="BK213" s="1"/>
      <c r="BL213" s="1"/>
    </row>
    <row r="214">
      <c r="A214" s="1">
        <f t="shared" si="3"/>
        <v>214</v>
      </c>
      <c r="B214" s="1" t="str">
        <f>'2025'!D178</f>
        <v>, </v>
      </c>
      <c r="C214" s="1" t="str">
        <f>'2025'!H178</f>
        <v/>
      </c>
      <c r="D214" s="1" t="str">
        <f>IF(AND(AND(AND(D$4&gt;='2025'!$L212,D$4&lt;='2025'!$M212), D$4&lt;&gt;DATE(2025,7,4)), (SWITCH(weekday(D$4), 1, 0, 2, if(ISBLANK('2025'!$P212), 0, 1), 3, if(ISBLANK('2025'!$Q212), 0, 1), 4, if(ISBLANK('2025'!$R212), 0, 1), 5, if(ISBLANK('2025'!$S212), 0, 1), 6, if(ISBLANK('2025'!$T212), 0, 1), 7, 0))), 1, "")</f>
        <v/>
      </c>
      <c r="E214" s="1" t="str">
        <f>IF(AND(AND(AND(E$4&gt;='2025'!$L212,E$4&lt;='2025'!$M212), E$4&lt;&gt;DATE(2025,7,4)), (SWITCH(weekday(E$4), 1, 0, 2, if(ISBLANK('2025'!$P212), 0, 1), 3, if(ISBLANK('2025'!$Q212), 0, 1), 4, if(ISBLANK('2025'!$R212), 0, 1), 5, if(ISBLANK('2025'!$S212), 0, 1), 6, if(ISBLANK('2025'!$T212), 0, 1), 7, 0))), 1, "")</f>
        <v/>
      </c>
      <c r="F214" s="1" t="str">
        <f>IF(AND(AND(AND(F$4&gt;='2025'!$L212,F$4&lt;='2025'!$M212), F$4&lt;&gt;DATE(2025,7,4)), (SWITCH(weekday(F$4), 1, 0, 2, if(ISBLANK('2025'!$P212), 0, 1), 3, if(ISBLANK('2025'!$Q212), 0, 1), 4, if(ISBLANK('2025'!$R212), 0, 1), 5, if(ISBLANK('2025'!$S212), 0, 1), 6, if(ISBLANK('2025'!$T212), 0, 1), 7, 0))), 1, "")</f>
        <v/>
      </c>
      <c r="G214" s="1" t="str">
        <f>IF(AND(AND(AND(G$4&gt;='2025'!$L212,G$4&lt;='2025'!$M212), G$4&lt;&gt;DATE(2025,7,4)), (SWITCH(weekday(G$4), 1, 0, 2, if(ISBLANK('2025'!$P212), 0, 1), 3, if(ISBLANK('2025'!$Q212), 0, 1), 4, if(ISBLANK('2025'!$R212), 0, 1), 5, if(ISBLANK('2025'!$S212), 0, 1), 6, if(ISBLANK('2025'!$T212), 0, 1), 7, 0))), 1, "")</f>
        <v/>
      </c>
      <c r="H214" s="1" t="str">
        <f>IF(AND(AND(AND(H$4&gt;='2025'!$L212,H$4&lt;='2025'!$M212), H$4&lt;&gt;DATE(2025,7,4)), (SWITCH(weekday(H$4), 1, 0, 2, if(ISBLANK('2025'!$P212), 0, 1), 3, if(ISBLANK('2025'!$Q212), 0, 1), 4, if(ISBLANK('2025'!$R212), 0, 1), 5, if(ISBLANK('2025'!$S212), 0, 1), 6, if(ISBLANK('2025'!$T212), 0, 1), 7, 0))), 1, "")</f>
        <v/>
      </c>
      <c r="I214" s="1" t="str">
        <f>IF(AND(AND(AND(I$4&gt;='2025'!$L212,I$4&lt;='2025'!$M212), I$4&lt;&gt;DATE(2025,7,4)), (SWITCH(weekday(I$4), 1, 0, 2, if(ISBLANK('2025'!$P212), 0, 1), 3, if(ISBLANK('2025'!$Q212), 0, 1), 4, if(ISBLANK('2025'!$R212), 0, 1), 5, if(ISBLANK('2025'!$S212), 0, 1), 6, if(ISBLANK('2025'!$T212), 0, 1), 7, 0))), 1, "")</f>
        <v/>
      </c>
      <c r="J214" s="1" t="str">
        <f>IF(AND(AND(AND(J$4&gt;='2025'!$L212,J$4&lt;='2025'!$M212), J$4&lt;&gt;DATE(2025,7,4)), (SWITCH(weekday(J$4), 1, 0, 2, if(ISBLANK('2025'!$P212), 0, 1), 3, if(ISBLANK('2025'!$Q212), 0, 1), 4, if(ISBLANK('2025'!$R212), 0, 1), 5, if(ISBLANK('2025'!$S212), 0, 1), 6, if(ISBLANK('2025'!$T212), 0, 1), 7, 0))), 1, "")</f>
        <v/>
      </c>
      <c r="K214" s="1" t="str">
        <f>IF(AND(AND(AND(K$4&gt;='2025'!$L212,K$4&lt;='2025'!$M212), K$4&lt;&gt;DATE(2025,7,4)), (SWITCH(weekday(K$4), 1, 0, 2, if(ISBLANK('2025'!$P212), 0, 1), 3, if(ISBLANK('2025'!$Q212), 0, 1), 4, if(ISBLANK('2025'!$R212), 0, 1), 5, if(ISBLANK('2025'!$S212), 0, 1), 6, if(ISBLANK('2025'!$T212), 0, 1), 7, 0))), 1, "")</f>
        <v/>
      </c>
      <c r="L214" s="1" t="str">
        <f>IF(AND(AND(AND(L$4&gt;='2025'!$L212,L$4&lt;='2025'!$M212), L$4&lt;&gt;DATE(2025,7,4)), (SWITCH(weekday(L$4), 1, 0, 2, if(ISBLANK('2025'!$P212), 0, 1), 3, if(ISBLANK('2025'!$Q212), 0, 1), 4, if(ISBLANK('2025'!$R212), 0, 1), 5, if(ISBLANK('2025'!$S212), 0, 1), 6, if(ISBLANK('2025'!$T212), 0, 1), 7, 0))), 1, "")</f>
        <v/>
      </c>
      <c r="M214" s="1" t="str">
        <f>IF(AND(AND(AND(M$4&gt;='2025'!$L212,M$4&lt;='2025'!$M212), M$4&lt;&gt;DATE(2025,7,4)), (SWITCH(weekday(M$4), 1, 0, 2, if(ISBLANK('2025'!$P212), 0, 1), 3, if(ISBLANK('2025'!$Q212), 0, 1), 4, if(ISBLANK('2025'!$R212), 0, 1), 5, if(ISBLANK('2025'!$S212), 0, 1), 6, if(ISBLANK('2025'!$T212), 0, 1), 7, 0))), 1, "")</f>
        <v/>
      </c>
      <c r="N214" s="1" t="str">
        <f>IF(AND(AND(AND(N$4&gt;='2025'!$L212,N$4&lt;='2025'!$M212), N$4&lt;&gt;DATE(2025,7,4)), (SWITCH(weekday(N$4), 1, 0, 2, if(ISBLANK('2025'!$P212), 0, 1), 3, if(ISBLANK('2025'!$Q212), 0, 1), 4, if(ISBLANK('2025'!$R212), 0, 1), 5, if(ISBLANK('2025'!$S212), 0, 1), 6, if(ISBLANK('2025'!$T212), 0, 1), 7, 0))), 1, "")</f>
        <v/>
      </c>
      <c r="O214" s="1" t="str">
        <f>IF(AND(AND(AND(O$4&gt;='2025'!$L212,O$4&lt;='2025'!$M212), O$4&lt;&gt;DATE(2025,7,4)), (SWITCH(weekday(O$4), 1, 0, 2, if(ISBLANK('2025'!$P212), 0, 1), 3, if(ISBLANK('2025'!$Q212), 0, 1), 4, if(ISBLANK('2025'!$R212), 0, 1), 5, if(ISBLANK('2025'!$S212), 0, 1), 6, if(ISBLANK('2025'!$T212), 0, 1), 7, 0))), 1, "")</f>
        <v/>
      </c>
      <c r="P214" s="1" t="str">
        <f>IF(AND(AND(AND(P$4&gt;='2025'!$L212,P$4&lt;='2025'!$M212), P$4&lt;&gt;DATE(2025,7,4)), (SWITCH(weekday(P$4), 1, 0, 2, if(ISBLANK('2025'!$P212), 0, 1), 3, if(ISBLANK('2025'!$Q212), 0, 1), 4, if(ISBLANK('2025'!$R212), 0, 1), 5, if(ISBLANK('2025'!$S212), 0, 1), 6, if(ISBLANK('2025'!$T212), 0, 1), 7, 0))), 1, "")</f>
        <v/>
      </c>
      <c r="Q214" s="1" t="str">
        <f>IF(AND(AND(AND(Q$4&gt;='2025'!$L212,Q$4&lt;='2025'!$M212), Q$4&lt;&gt;DATE(2025,7,4)), (SWITCH(weekday(Q$4), 1, 0, 2, if(ISBLANK('2025'!$P212), 0, 1), 3, if(ISBLANK('2025'!$Q212), 0, 1), 4, if(ISBLANK('2025'!$R212), 0, 1), 5, if(ISBLANK('2025'!$S212), 0, 1), 6, if(ISBLANK('2025'!$T212), 0, 1), 7, 0))), 1, "")</f>
        <v/>
      </c>
      <c r="R214" s="1" t="str">
        <f>IF(AND(AND(AND(R$4&gt;='2025'!$L212,R$4&lt;='2025'!$M212), R$4&lt;&gt;DATE(2025,7,4)), (SWITCH(weekday(R$4), 1, 0, 2, if(ISBLANK('2025'!$P212), 0, 1), 3, if(ISBLANK('2025'!$Q212), 0, 1), 4, if(ISBLANK('2025'!$R212), 0, 1), 5, if(ISBLANK('2025'!$S212), 0, 1), 6, if(ISBLANK('2025'!$T212), 0, 1), 7, 0))), 1, "")</f>
        <v/>
      </c>
      <c r="S214" s="1" t="str">
        <f>IF(AND(AND(AND(S$4&gt;='2025'!$L212,S$4&lt;='2025'!$M212), S$4&lt;&gt;DATE(2025,7,4)), (SWITCH(weekday(S$4), 1, 0, 2, if(ISBLANK('2025'!$P212), 0, 1), 3, if(ISBLANK('2025'!$Q212), 0, 1), 4, if(ISBLANK('2025'!$R212), 0, 1), 5, if(ISBLANK('2025'!$S212), 0, 1), 6, if(ISBLANK('2025'!$T212), 0, 1), 7, 0))), 1, "")</f>
        <v/>
      </c>
      <c r="T214" s="1" t="str">
        <f>IF(AND(AND(AND(T$4&gt;='2025'!$L212,T$4&lt;='2025'!$M212), T$4&lt;&gt;DATE(2025,7,4)), (SWITCH(weekday(T$4), 1, 0, 2, if(ISBLANK('2025'!$P212), 0, 1), 3, if(ISBLANK('2025'!$Q212), 0, 1), 4, if(ISBLANK('2025'!$R212), 0, 1), 5, if(ISBLANK('2025'!$S212), 0, 1), 6, if(ISBLANK('2025'!$T212), 0, 1), 7, 0))), 1, "")</f>
        <v/>
      </c>
      <c r="U214" s="1" t="str">
        <f>IF(AND(AND(AND(U$4&gt;='2025'!$L212,U$4&lt;='2025'!$M212), U$4&lt;&gt;DATE(2025,7,4)), (SWITCH(weekday(U$4), 1, 0, 2, if(ISBLANK('2025'!$P212), 0, 1), 3, if(ISBLANK('2025'!$Q212), 0, 1), 4, if(ISBLANK('2025'!$R212), 0, 1), 5, if(ISBLANK('2025'!$S212), 0, 1), 6, if(ISBLANK('2025'!$T212), 0, 1), 7, 0))), 1, "")</f>
        <v/>
      </c>
      <c r="V214" s="1" t="str">
        <f>IF(AND(AND(AND(V$4&gt;='2025'!$L212,V$4&lt;='2025'!$M212), V$4&lt;&gt;DATE(2025,7,4)), (SWITCH(weekday(V$4), 1, 0, 2, if(ISBLANK('2025'!$P212), 0, 1), 3, if(ISBLANK('2025'!$Q212), 0, 1), 4, if(ISBLANK('2025'!$R212), 0, 1), 5, if(ISBLANK('2025'!$S212), 0, 1), 6, if(ISBLANK('2025'!$T212), 0, 1), 7, 0))), 1, "")</f>
        <v/>
      </c>
      <c r="W214" s="1" t="str">
        <f>IF(AND(AND(AND(W$4&gt;='2025'!$L212,W$4&lt;='2025'!$M212), W$4&lt;&gt;DATE(2025,7,4)), (SWITCH(weekday(W$4), 1, 0, 2, if(ISBLANK('2025'!$P212), 0, 1), 3, if(ISBLANK('2025'!$Q212), 0, 1), 4, if(ISBLANK('2025'!$R212), 0, 1), 5, if(ISBLANK('2025'!$S212), 0, 1), 6, if(ISBLANK('2025'!$T212), 0, 1), 7, 0))), 1, "")</f>
        <v/>
      </c>
      <c r="X214" s="1" t="str">
        <f>IF(AND(AND(AND(X$4&gt;='2025'!$L212,X$4&lt;='2025'!$M212), X$4&lt;&gt;DATE(2025,7,4)), (SWITCH(weekday(X$4), 1, 0, 2, if(ISBLANK('2025'!$P212), 0, 1), 3, if(ISBLANK('2025'!$Q212), 0, 1), 4, if(ISBLANK('2025'!$R212), 0, 1), 5, if(ISBLANK('2025'!$S212), 0, 1), 6, if(ISBLANK('2025'!$T212), 0, 1), 7, 0))), 1, "")</f>
        <v/>
      </c>
      <c r="Y214" s="1" t="str">
        <f>IF(AND(AND(AND(Y$4&gt;='2025'!$L212,Y$4&lt;='2025'!$M212), Y$4&lt;&gt;DATE(2025,7,4)), (SWITCH(weekday(Y$4), 1, 0, 2, if(ISBLANK('2025'!$P212), 0, 1), 3, if(ISBLANK('2025'!$Q212), 0, 1), 4, if(ISBLANK('2025'!$R212), 0, 1), 5, if(ISBLANK('2025'!$S212), 0, 1), 6, if(ISBLANK('2025'!$T212), 0, 1), 7, 0))), 1, "")</f>
        <v/>
      </c>
      <c r="Z214" s="1" t="str">
        <f>IF(AND(AND(AND(Z$4&gt;='2025'!$L212,Z$4&lt;='2025'!$M212), Z$4&lt;&gt;DATE(2025,7,4)), (SWITCH(weekday(Z$4), 1, 0, 2, if(ISBLANK('2025'!$P212), 0, 1), 3, if(ISBLANK('2025'!$Q212), 0, 1), 4, if(ISBLANK('2025'!$R212), 0, 1), 5, if(ISBLANK('2025'!$S212), 0, 1), 6, if(ISBLANK('2025'!$T212), 0, 1), 7, 0))), 1, "")</f>
        <v/>
      </c>
      <c r="AA214" s="1" t="str">
        <f>IF(AND(AND(AND(AA$4&gt;='2025'!$L212,AA$4&lt;='2025'!$M212), AA$4&lt;&gt;DATE(2025,7,4)), (SWITCH(weekday(AA$4), 1, 0, 2, if(ISBLANK('2025'!$P212), 0, 1), 3, if(ISBLANK('2025'!$Q212), 0, 1), 4, if(ISBLANK('2025'!$R212), 0, 1), 5, if(ISBLANK('2025'!$S212), 0, 1), 6, if(ISBLANK('2025'!$T212), 0, 1), 7, 0))), 1, "")</f>
        <v/>
      </c>
      <c r="AB214" s="1" t="str">
        <f>IF(AND(AND(AND(AB$4&gt;='2025'!$L212,AB$4&lt;='2025'!$M212), AB$4&lt;&gt;DATE(2025,7,4)), (SWITCH(weekday(AB$4), 1, 0, 2, if(ISBLANK('2025'!$P212), 0, 1), 3, if(ISBLANK('2025'!$Q212), 0, 1), 4, if(ISBLANK('2025'!$R212), 0, 1), 5, if(ISBLANK('2025'!$S212), 0, 1), 6, if(ISBLANK('2025'!$T212), 0, 1), 7, 0))), 1, "")</f>
        <v/>
      </c>
      <c r="AC214" s="1" t="str">
        <f>IF(AND(AND(AND(AC$4&gt;='2025'!$L212,AC$4&lt;='2025'!$M212), AC$4&lt;&gt;DATE(2025,7,4)), (SWITCH(weekday(AC$4), 1, 0, 2, if(ISBLANK('2025'!$P212), 0, 1), 3, if(ISBLANK('2025'!$Q212), 0, 1), 4, if(ISBLANK('2025'!$R212), 0, 1), 5, if(ISBLANK('2025'!$S212), 0, 1), 6, if(ISBLANK('2025'!$T212), 0, 1), 7, 0))), 1, "")</f>
        <v/>
      </c>
      <c r="AD214" s="1" t="str">
        <f>IF(AND(AND(AND(AD$4&gt;='2025'!$L212,AD$4&lt;='2025'!$M212), AD$4&lt;&gt;DATE(2025,7,4)), (SWITCH(weekday(AD$4), 1, 0, 2, if(ISBLANK('2025'!$P212), 0, 1), 3, if(ISBLANK('2025'!$Q212), 0, 1), 4, if(ISBLANK('2025'!$R212), 0, 1), 5, if(ISBLANK('2025'!$S212), 0, 1), 6, if(ISBLANK('2025'!$T212), 0, 1), 7, 0))), 1, "")</f>
        <v/>
      </c>
      <c r="AE214" s="1" t="str">
        <f>IF(AND(AND(AND(AE$4&gt;='2025'!$L212,AE$4&lt;='2025'!$M212), AE$4&lt;&gt;DATE(2025,7,4)), (SWITCH(weekday(AE$4), 1, 0, 2, if(ISBLANK('2025'!$P212), 0, 1), 3, if(ISBLANK('2025'!$Q212), 0, 1), 4, if(ISBLANK('2025'!$R212), 0, 1), 5, if(ISBLANK('2025'!$S212), 0, 1), 6, if(ISBLANK('2025'!$T212), 0, 1), 7, 0))), 1, "")</f>
        <v/>
      </c>
      <c r="AF214" s="1" t="str">
        <f>IF(AND(AND(AND(AF$4&gt;='2025'!$L212,AF$4&lt;='2025'!$M212), AF$4&lt;&gt;DATE(2025,7,4)), (SWITCH(weekday(AF$4), 1, 0, 2, if(ISBLANK('2025'!$P212), 0, 1), 3, if(ISBLANK('2025'!$Q212), 0, 1), 4, if(ISBLANK('2025'!$R212), 0, 1), 5, if(ISBLANK('2025'!$S212), 0, 1), 6, if(ISBLANK('2025'!$T212), 0, 1), 7, 0))), 1, "")</f>
        <v/>
      </c>
      <c r="AG214" s="1" t="str">
        <f>IF(AND(AND(AND(AG$4&gt;='2025'!$L212,AG$4&lt;='2025'!$M212), AG$4&lt;&gt;DATE(2025,7,4)), (SWITCH(weekday(AG$4), 1, 0, 2, if(ISBLANK('2025'!$P212), 0, 1), 3, if(ISBLANK('2025'!$Q212), 0, 1), 4, if(ISBLANK('2025'!$R212), 0, 1), 5, if(ISBLANK('2025'!$S212), 0, 1), 6, if(ISBLANK('2025'!$T212), 0, 1), 7, 0))), 1, "")</f>
        <v/>
      </c>
      <c r="AH214" s="1" t="str">
        <f>IF(AND(AND(AND(AH$4&gt;='2025'!$L212,AH$4&lt;='2025'!$M212), AH$4&lt;&gt;DATE(2025,7,4)), (SWITCH(weekday(AH$4), 1, 0, 2, if(ISBLANK('2025'!$P212), 0, 1), 3, if(ISBLANK('2025'!$Q212), 0, 1), 4, if(ISBLANK('2025'!$R212), 0, 1), 5, if(ISBLANK('2025'!$S212), 0, 1), 6, if(ISBLANK('2025'!$T212), 0, 1), 7, 0))), 1, "")</f>
        <v/>
      </c>
      <c r="AI214" s="1" t="str">
        <f>IF(AND(AND(AND(AI$4&gt;='2025'!$L212,AI$4&lt;='2025'!$M212), AI$4&lt;&gt;DATE(2025,7,4)), (SWITCH(weekday(AI$4), 1, 0, 2, if(ISBLANK('2025'!$P212), 0, 1), 3, if(ISBLANK('2025'!$Q212), 0, 1), 4, if(ISBLANK('2025'!$R212), 0, 1), 5, if(ISBLANK('2025'!$S212), 0, 1), 6, if(ISBLANK('2025'!$T212), 0, 1), 7, 0))), 1, "")</f>
        <v/>
      </c>
      <c r="AJ214" s="1" t="str">
        <f>IF(AND(AND(AND(AJ$4&gt;='2025'!$L212,AJ$4&lt;='2025'!$M212), AJ$4&lt;&gt;DATE(2025,7,4)), (SWITCH(weekday(AJ$4), 1, 0, 2, if(ISBLANK('2025'!$P212), 0, 1), 3, if(ISBLANK('2025'!$Q212), 0, 1), 4, if(ISBLANK('2025'!$R212), 0, 1), 5, if(ISBLANK('2025'!$S212), 0, 1), 6, if(ISBLANK('2025'!$T212), 0, 1), 7, 0))), 1, "")</f>
        <v/>
      </c>
      <c r="AK214" s="1" t="str">
        <f>IF(AND(AND(AND(AK$4&gt;='2025'!$L212,AK$4&lt;='2025'!$M212), AK$4&lt;&gt;DATE(2025,7,4)), (SWITCH(weekday(AK$4), 1, 0, 2, if(ISBLANK('2025'!$P212), 0, 1), 3, if(ISBLANK('2025'!$Q212), 0, 1), 4, if(ISBLANK('2025'!$R212), 0, 1), 5, if(ISBLANK('2025'!$S212), 0, 1), 6, if(ISBLANK('2025'!$T212), 0, 1), 7, 0))), 1, "")</f>
        <v/>
      </c>
      <c r="AL214" s="1" t="str">
        <f>IF(AND(AND(AND(AL$4&gt;='2025'!$L212,AL$4&lt;='2025'!$M212), AL$4&lt;&gt;DATE(2025,7,4)), (SWITCH(weekday(AL$4), 1, 0, 2, if(ISBLANK('2025'!$P212), 0, 1), 3, if(ISBLANK('2025'!$Q212), 0, 1), 4, if(ISBLANK('2025'!$R212), 0, 1), 5, if(ISBLANK('2025'!$S212), 0, 1), 6, if(ISBLANK('2025'!$T212), 0, 1), 7, 0))), 1, "")</f>
        <v/>
      </c>
      <c r="AM214" s="1" t="str">
        <f>IF(AND(AND(AND(AM$4&gt;='2025'!$L212,AM$4&lt;='2025'!$M212), AM$4&lt;&gt;DATE(2025,7,4)), (SWITCH(weekday(AM$4), 1, 0, 2, if(ISBLANK('2025'!$P212), 0, 1), 3, if(ISBLANK('2025'!$Q212), 0, 1), 4, if(ISBLANK('2025'!$R212), 0, 1), 5, if(ISBLANK('2025'!$S212), 0, 1), 6, if(ISBLANK('2025'!$T212), 0, 1), 7, 0))), 1, "")</f>
        <v/>
      </c>
      <c r="AN214" s="1" t="str">
        <f>IF(AND(AND(AND(AN$4&gt;='2025'!$L212,AN$4&lt;='2025'!$M212), AN$4&lt;&gt;DATE(2025,7,4)), (SWITCH(weekday(AN$4), 1, 0, 2, if(ISBLANK('2025'!$P212), 0, 1), 3, if(ISBLANK('2025'!$Q212), 0, 1), 4, if(ISBLANK('2025'!$R212), 0, 1), 5, if(ISBLANK('2025'!$S212), 0, 1), 6, if(ISBLANK('2025'!$T212), 0, 1), 7, 0))), 1, "")</f>
        <v/>
      </c>
      <c r="AO214" s="1" t="str">
        <f>IF(AND(AND(AND(AO$4&gt;='2025'!$L212,AO$4&lt;='2025'!$M212), AO$4&lt;&gt;DATE(2025,7,4)), (SWITCH(weekday(AO$4), 1, 0, 2, if(ISBLANK('2025'!$P212), 0, 1), 3, if(ISBLANK('2025'!$Q212), 0, 1), 4, if(ISBLANK('2025'!$R212), 0, 1), 5, if(ISBLANK('2025'!$S212), 0, 1), 6, if(ISBLANK('2025'!$T212), 0, 1), 7, 0))), 1, "")</f>
        <v/>
      </c>
      <c r="AP214" s="1" t="str">
        <f>IF(AND(AND(AND(AP$4&gt;='2025'!$L212,AP$4&lt;='2025'!$M212), AP$4&lt;&gt;DATE(2025,7,4)), (SWITCH(weekday(AP$4), 1, 0, 2, if(ISBLANK('2025'!$P212), 0, 1), 3, if(ISBLANK('2025'!$Q212), 0, 1), 4, if(ISBLANK('2025'!$R212), 0, 1), 5, if(ISBLANK('2025'!$S212), 0, 1), 6, if(ISBLANK('2025'!$T212), 0, 1), 7, 0))), 1, "")</f>
        <v/>
      </c>
      <c r="AQ214" s="1" t="str">
        <f>IF(AND(AND(AND(AQ$4&gt;='2025'!$L212,AQ$4&lt;='2025'!$M212), AQ$4&lt;&gt;DATE(2025,7,4)), (SWITCH(weekday(AQ$4), 1, 0, 2, if(ISBLANK('2025'!$P212), 0, 1), 3, if(ISBLANK('2025'!$Q212), 0, 1), 4, if(ISBLANK('2025'!$R212), 0, 1), 5, if(ISBLANK('2025'!$S212), 0, 1), 6, if(ISBLANK('2025'!$T212), 0, 1), 7, 0))), 1, "")</f>
        <v/>
      </c>
      <c r="AR214" s="1" t="str">
        <f>IF(AND(AND(AND(AR$4&gt;='2025'!$L212,AR$4&lt;='2025'!$M212), AR$4&lt;&gt;DATE(2025,7,4)), (SWITCH(weekday(AR$4), 1, 0, 2, if(ISBLANK('2025'!$P212), 0, 1), 3, if(ISBLANK('2025'!$Q212), 0, 1), 4, if(ISBLANK('2025'!$R212), 0, 1), 5, if(ISBLANK('2025'!$S212), 0, 1), 6, if(ISBLANK('2025'!$T212), 0, 1), 7, 0))), 1, "")</f>
        <v/>
      </c>
      <c r="AS214" s="1" t="str">
        <f>IF(AND(AND(AND(AS$4&gt;='2025'!$L212,AS$4&lt;='2025'!$M212), AS$4&lt;&gt;DATE(2025,7,4)), (SWITCH(weekday(AS$4), 1, 0, 2, if(ISBLANK('2025'!$P212), 0, 1), 3, if(ISBLANK('2025'!$Q212), 0, 1), 4, if(ISBLANK('2025'!$R212), 0, 1), 5, if(ISBLANK('2025'!$S212), 0, 1), 6, if(ISBLANK('2025'!$T212), 0, 1), 7, 0))), 1, "")</f>
        <v/>
      </c>
      <c r="AT214" s="1" t="str">
        <f>IF(AND(AND(AND(AT$4&gt;='2025'!$L212,AT$4&lt;='2025'!$M212), AT$4&lt;&gt;DATE(2025,7,4)), (SWITCH(weekday(AT$4), 1, 0, 2, if(ISBLANK('2025'!$P212), 0, 1), 3, if(ISBLANK('2025'!$Q212), 0, 1), 4, if(ISBLANK('2025'!$R212), 0, 1), 5, if(ISBLANK('2025'!$S212), 0, 1), 6, if(ISBLANK('2025'!$T212), 0, 1), 7, 0))), 1, "")</f>
        <v/>
      </c>
      <c r="AU214" s="1" t="str">
        <f>IF(AND(AND(AND(AU$4&gt;='2025'!$L212,AU$4&lt;='2025'!$M212), AU$4&lt;&gt;DATE(2025,7,4)), (SWITCH(weekday(AU$4), 1, 0, 2, if(ISBLANK('2025'!$P212), 0, 1), 3, if(ISBLANK('2025'!$Q212), 0, 1), 4, if(ISBLANK('2025'!$R212), 0, 1), 5, if(ISBLANK('2025'!$S212), 0, 1), 6, if(ISBLANK('2025'!$T212), 0, 1), 7, 0))), 1, "")</f>
        <v/>
      </c>
      <c r="AV214" s="1" t="str">
        <f>IF(AND(AND(AND(AV$4&gt;='2025'!$L212,AV$4&lt;='2025'!$M212), AV$4&lt;&gt;DATE(2025,7,4)), (SWITCH(weekday(AV$4), 1, 0, 2, if(ISBLANK('2025'!$P212), 0, 1), 3, if(ISBLANK('2025'!$Q212), 0, 1), 4, if(ISBLANK('2025'!$R212), 0, 1), 5, if(ISBLANK('2025'!$S212), 0, 1), 6, if(ISBLANK('2025'!$T212), 0, 1), 7, 0))), 1, "")</f>
        <v/>
      </c>
      <c r="AW214" s="1" t="str">
        <f>IF(AND(AND(AND(AW$4&gt;='2025'!$L212,AW$4&lt;='2025'!$M212), AW$4&lt;&gt;DATE(2025,7,4)), (SWITCH(weekday(AW$4), 1, 0, 2, if(ISBLANK('2025'!$P212), 0, 1), 3, if(ISBLANK('2025'!$Q212), 0, 1), 4, if(ISBLANK('2025'!$R212), 0, 1), 5, if(ISBLANK('2025'!$S212), 0, 1), 6, if(ISBLANK('2025'!$T212), 0, 1), 7, 0))), 1, "")</f>
        <v/>
      </c>
      <c r="AX214" s="1" t="str">
        <f>IF(AND(AND(AND(AX$4&gt;='2025'!$L212,AX$4&lt;='2025'!$M212), AX$4&lt;&gt;DATE(2025,7,4)), (SWITCH(weekday(AX$4), 1, 0, 2, if(ISBLANK('2025'!$P212), 0, 1), 3, if(ISBLANK('2025'!$Q212), 0, 1), 4, if(ISBLANK('2025'!$R212), 0, 1), 5, if(ISBLANK('2025'!$S212), 0, 1), 6, if(ISBLANK('2025'!$T212), 0, 1), 7, 0))), 1, "")</f>
        <v/>
      </c>
      <c r="AY214" s="1" t="str">
        <f>IF(AND(AND(AND(AY$4&gt;='2025'!$L212,AY$4&lt;='2025'!$M212), AY$4&lt;&gt;DATE(2025,7,4)), (SWITCH(weekday(AY$4), 1, 0, 2, if(ISBLANK('2025'!$P212), 0, 1), 3, if(ISBLANK('2025'!$Q212), 0, 1), 4, if(ISBLANK('2025'!$R212), 0, 1), 5, if(ISBLANK('2025'!$S212), 0, 1), 6, if(ISBLANK('2025'!$T212), 0, 1), 7, 0))), 1, "")</f>
        <v/>
      </c>
      <c r="AZ214" s="1" t="str">
        <f>IF(AND(AND(AND(AZ$4&gt;='2025'!$L212,AZ$4&lt;='2025'!$M212), AZ$4&lt;&gt;DATE(2025,7,4)), (SWITCH(weekday(AZ$4), 1, 0, 2, if(ISBLANK('2025'!$P212), 0, 1), 3, if(ISBLANK('2025'!$Q212), 0, 1), 4, if(ISBLANK('2025'!$R212), 0, 1), 5, if(ISBLANK('2025'!$S212), 0, 1), 6, if(ISBLANK('2025'!$T212), 0, 1), 7, 0))), 1, "")</f>
        <v/>
      </c>
      <c r="BA214" s="1" t="str">
        <f>IF(AND(AND(AND(BA$4&gt;='2025'!$L212,BA$4&lt;='2025'!$M212), BA$4&lt;&gt;DATE(2025,7,4)), (SWITCH(weekday(BA$4), 1, 0, 2, if(ISBLANK('2025'!$P212), 0, 1), 3, if(ISBLANK('2025'!$Q212), 0, 1), 4, if(ISBLANK('2025'!$R212), 0, 1), 5, if(ISBLANK('2025'!$S212), 0, 1), 6, if(ISBLANK('2025'!$T212), 0, 1), 7, 0))), 1, "")</f>
        <v/>
      </c>
      <c r="BB214" s="1" t="str">
        <f>IF(AND(AND(AND(BB$4&gt;='2025'!$L212,BB$4&lt;='2025'!$M212), BB$4&lt;&gt;DATE(2025,7,4)), (SWITCH(weekday(BB$4), 1, 0, 2, if(ISBLANK('2025'!$P212), 0, 1), 3, if(ISBLANK('2025'!$Q212), 0, 1), 4, if(ISBLANK('2025'!$R212), 0, 1), 5, if(ISBLANK('2025'!$S212), 0, 1), 6, if(ISBLANK('2025'!$T212), 0, 1), 7, 0))), 1, "")</f>
        <v/>
      </c>
      <c r="BC214" s="1" t="str">
        <f>IF(AND(AND(AND(BC$4&gt;='2025'!$L212,BC$4&lt;='2025'!$M212), BC$4&lt;&gt;DATE(2025,7,4)), (SWITCH(weekday(BC$4), 1, 0, 2, if(ISBLANK('2025'!$P212), 0, 1), 3, if(ISBLANK('2025'!$Q212), 0, 1), 4, if(ISBLANK('2025'!$R212), 0, 1), 5, if(ISBLANK('2025'!$S212), 0, 1), 6, if(ISBLANK('2025'!$T212), 0, 1), 7, 0))), 1, "")</f>
        <v/>
      </c>
      <c r="BD214" s="1" t="str">
        <f>IF(AND(AND(AND(BD$4&gt;='2025'!$L212,BD$4&lt;='2025'!$M212), BD$4&lt;&gt;DATE(2025,7,4)), (SWITCH(weekday(BD$4), 1, 0, 2, if(ISBLANK('2025'!$P212), 0, 1), 3, if(ISBLANK('2025'!$Q212), 0, 1), 4, if(ISBLANK('2025'!$R212), 0, 1), 5, if(ISBLANK('2025'!$S212), 0, 1), 6, if(ISBLANK('2025'!$T212), 0, 1), 7, 0))), 1, "")</f>
        <v/>
      </c>
      <c r="BE214" s="1" t="str">
        <f>IF(AND(AND(AND(BE$4&gt;='2025'!$L212,BE$4&lt;='2025'!$M212), BE$4&lt;&gt;DATE(2025,7,4)), (SWITCH(weekday(BE$4), 1, 0, 2, if(ISBLANK('2025'!$P212), 0, 1), 3, if(ISBLANK('2025'!$Q212), 0, 1), 4, if(ISBLANK('2025'!$R212), 0, 1), 5, if(ISBLANK('2025'!$S212), 0, 1), 6, if(ISBLANK('2025'!$T212), 0, 1), 7, 0))), 1, "")</f>
        <v/>
      </c>
      <c r="BF214" s="1" t="str">
        <f>IF(AND(AND(AND(BF$4&gt;='2025'!$L212,BF$4&lt;='2025'!$M212), BF$4&lt;&gt;DATE(2025,7,4)), (SWITCH(weekday(BF$4), 1, 0, 2, if(ISBLANK('2025'!$P212), 0, 1), 3, if(ISBLANK('2025'!$Q212), 0, 1), 4, if(ISBLANK('2025'!$R212), 0, 1), 5, if(ISBLANK('2025'!$S212), 0, 1), 6, if(ISBLANK('2025'!$T212), 0, 1), 7, 0))), 1, "")</f>
        <v/>
      </c>
      <c r="BG214" s="1"/>
      <c r="BH214" s="1"/>
      <c r="BI214" s="1"/>
      <c r="BJ214" s="1"/>
      <c r="BK214" s="1"/>
      <c r="BL214" s="1"/>
    </row>
    <row r="215">
      <c r="A215" s="1">
        <f t="shared" si="3"/>
        <v>215</v>
      </c>
      <c r="B215" s="1" t="str">
        <f>'2025'!D179</f>
        <v>, </v>
      </c>
      <c r="C215" s="1" t="str">
        <f>'2025'!H179</f>
        <v/>
      </c>
      <c r="D215" s="1" t="str">
        <f>IF(AND(AND(AND(D$4&gt;='2025'!$L213,D$4&lt;='2025'!$M213), D$4&lt;&gt;DATE(2025,7,4)), (SWITCH(weekday(D$4), 1, 0, 2, if(ISBLANK('2025'!$P213), 0, 1), 3, if(ISBLANK('2025'!$Q213), 0, 1), 4, if(ISBLANK('2025'!$R213), 0, 1), 5, if(ISBLANK('2025'!$S213), 0, 1), 6, if(ISBLANK('2025'!$T213), 0, 1), 7, 0))), 1, "")</f>
        <v/>
      </c>
      <c r="E215" s="1" t="str">
        <f>IF(AND(AND(AND(E$4&gt;='2025'!$L213,E$4&lt;='2025'!$M213), E$4&lt;&gt;DATE(2025,7,4)), (SWITCH(weekday(E$4), 1, 0, 2, if(ISBLANK('2025'!$P213), 0, 1), 3, if(ISBLANK('2025'!$Q213), 0, 1), 4, if(ISBLANK('2025'!$R213), 0, 1), 5, if(ISBLANK('2025'!$S213), 0, 1), 6, if(ISBLANK('2025'!$T213), 0, 1), 7, 0))), 1, "")</f>
        <v/>
      </c>
      <c r="F215" s="1" t="str">
        <f>IF(AND(AND(AND(F$4&gt;='2025'!$L213,F$4&lt;='2025'!$M213), F$4&lt;&gt;DATE(2025,7,4)), (SWITCH(weekday(F$4), 1, 0, 2, if(ISBLANK('2025'!$P213), 0, 1), 3, if(ISBLANK('2025'!$Q213), 0, 1), 4, if(ISBLANK('2025'!$R213), 0, 1), 5, if(ISBLANK('2025'!$S213), 0, 1), 6, if(ISBLANK('2025'!$T213), 0, 1), 7, 0))), 1, "")</f>
        <v/>
      </c>
      <c r="G215" s="1" t="str">
        <f>IF(AND(AND(AND(G$4&gt;='2025'!$L213,G$4&lt;='2025'!$M213), G$4&lt;&gt;DATE(2025,7,4)), (SWITCH(weekday(G$4), 1, 0, 2, if(ISBLANK('2025'!$P213), 0, 1), 3, if(ISBLANK('2025'!$Q213), 0, 1), 4, if(ISBLANK('2025'!$R213), 0, 1), 5, if(ISBLANK('2025'!$S213), 0, 1), 6, if(ISBLANK('2025'!$T213), 0, 1), 7, 0))), 1, "")</f>
        <v/>
      </c>
      <c r="H215" s="1" t="str">
        <f>IF(AND(AND(AND(H$4&gt;='2025'!$L213,H$4&lt;='2025'!$M213), H$4&lt;&gt;DATE(2025,7,4)), (SWITCH(weekday(H$4), 1, 0, 2, if(ISBLANK('2025'!$P213), 0, 1), 3, if(ISBLANK('2025'!$Q213), 0, 1), 4, if(ISBLANK('2025'!$R213), 0, 1), 5, if(ISBLANK('2025'!$S213), 0, 1), 6, if(ISBLANK('2025'!$T213), 0, 1), 7, 0))), 1, "")</f>
        <v/>
      </c>
      <c r="I215" s="1" t="str">
        <f>IF(AND(AND(AND(I$4&gt;='2025'!$L213,I$4&lt;='2025'!$M213), I$4&lt;&gt;DATE(2025,7,4)), (SWITCH(weekday(I$4), 1, 0, 2, if(ISBLANK('2025'!$P213), 0, 1), 3, if(ISBLANK('2025'!$Q213), 0, 1), 4, if(ISBLANK('2025'!$R213), 0, 1), 5, if(ISBLANK('2025'!$S213), 0, 1), 6, if(ISBLANK('2025'!$T213), 0, 1), 7, 0))), 1, "")</f>
        <v/>
      </c>
      <c r="J215" s="1" t="str">
        <f>IF(AND(AND(AND(J$4&gt;='2025'!$L213,J$4&lt;='2025'!$M213), J$4&lt;&gt;DATE(2025,7,4)), (SWITCH(weekday(J$4), 1, 0, 2, if(ISBLANK('2025'!$P213), 0, 1), 3, if(ISBLANK('2025'!$Q213), 0, 1), 4, if(ISBLANK('2025'!$R213), 0, 1), 5, if(ISBLANK('2025'!$S213), 0, 1), 6, if(ISBLANK('2025'!$T213), 0, 1), 7, 0))), 1, "")</f>
        <v/>
      </c>
      <c r="K215" s="1" t="str">
        <f>IF(AND(AND(AND(K$4&gt;='2025'!$L213,K$4&lt;='2025'!$M213), K$4&lt;&gt;DATE(2025,7,4)), (SWITCH(weekday(K$4), 1, 0, 2, if(ISBLANK('2025'!$P213), 0, 1), 3, if(ISBLANK('2025'!$Q213), 0, 1), 4, if(ISBLANK('2025'!$R213), 0, 1), 5, if(ISBLANK('2025'!$S213), 0, 1), 6, if(ISBLANK('2025'!$T213), 0, 1), 7, 0))), 1, "")</f>
        <v/>
      </c>
      <c r="L215" s="1" t="str">
        <f>IF(AND(AND(AND(L$4&gt;='2025'!$L213,L$4&lt;='2025'!$M213), L$4&lt;&gt;DATE(2025,7,4)), (SWITCH(weekday(L$4), 1, 0, 2, if(ISBLANK('2025'!$P213), 0, 1), 3, if(ISBLANK('2025'!$Q213), 0, 1), 4, if(ISBLANK('2025'!$R213), 0, 1), 5, if(ISBLANK('2025'!$S213), 0, 1), 6, if(ISBLANK('2025'!$T213), 0, 1), 7, 0))), 1, "")</f>
        <v/>
      </c>
      <c r="M215" s="1" t="str">
        <f>IF(AND(AND(AND(M$4&gt;='2025'!$L213,M$4&lt;='2025'!$M213), M$4&lt;&gt;DATE(2025,7,4)), (SWITCH(weekday(M$4), 1, 0, 2, if(ISBLANK('2025'!$P213), 0, 1), 3, if(ISBLANK('2025'!$Q213), 0, 1), 4, if(ISBLANK('2025'!$R213), 0, 1), 5, if(ISBLANK('2025'!$S213), 0, 1), 6, if(ISBLANK('2025'!$T213), 0, 1), 7, 0))), 1, "")</f>
        <v/>
      </c>
      <c r="N215" s="1" t="str">
        <f>IF(AND(AND(AND(N$4&gt;='2025'!$L213,N$4&lt;='2025'!$M213), N$4&lt;&gt;DATE(2025,7,4)), (SWITCH(weekday(N$4), 1, 0, 2, if(ISBLANK('2025'!$P213), 0, 1), 3, if(ISBLANK('2025'!$Q213), 0, 1), 4, if(ISBLANK('2025'!$R213), 0, 1), 5, if(ISBLANK('2025'!$S213), 0, 1), 6, if(ISBLANK('2025'!$T213), 0, 1), 7, 0))), 1, "")</f>
        <v/>
      </c>
      <c r="O215" s="1" t="str">
        <f>IF(AND(AND(AND(O$4&gt;='2025'!$L213,O$4&lt;='2025'!$M213), O$4&lt;&gt;DATE(2025,7,4)), (SWITCH(weekday(O$4), 1, 0, 2, if(ISBLANK('2025'!$P213), 0, 1), 3, if(ISBLANK('2025'!$Q213), 0, 1), 4, if(ISBLANK('2025'!$R213), 0, 1), 5, if(ISBLANK('2025'!$S213), 0, 1), 6, if(ISBLANK('2025'!$T213), 0, 1), 7, 0))), 1, "")</f>
        <v/>
      </c>
      <c r="P215" s="1" t="str">
        <f>IF(AND(AND(AND(P$4&gt;='2025'!$L213,P$4&lt;='2025'!$M213), P$4&lt;&gt;DATE(2025,7,4)), (SWITCH(weekday(P$4), 1, 0, 2, if(ISBLANK('2025'!$P213), 0, 1), 3, if(ISBLANK('2025'!$Q213), 0, 1), 4, if(ISBLANK('2025'!$R213), 0, 1), 5, if(ISBLANK('2025'!$S213), 0, 1), 6, if(ISBLANK('2025'!$T213), 0, 1), 7, 0))), 1, "")</f>
        <v/>
      </c>
      <c r="Q215" s="1" t="str">
        <f>IF(AND(AND(AND(Q$4&gt;='2025'!$L213,Q$4&lt;='2025'!$M213), Q$4&lt;&gt;DATE(2025,7,4)), (SWITCH(weekday(Q$4), 1, 0, 2, if(ISBLANK('2025'!$P213), 0, 1), 3, if(ISBLANK('2025'!$Q213), 0, 1), 4, if(ISBLANK('2025'!$R213), 0, 1), 5, if(ISBLANK('2025'!$S213), 0, 1), 6, if(ISBLANK('2025'!$T213), 0, 1), 7, 0))), 1, "")</f>
        <v/>
      </c>
      <c r="R215" s="1" t="str">
        <f>IF(AND(AND(AND(R$4&gt;='2025'!$L213,R$4&lt;='2025'!$M213), R$4&lt;&gt;DATE(2025,7,4)), (SWITCH(weekday(R$4), 1, 0, 2, if(ISBLANK('2025'!$P213), 0, 1), 3, if(ISBLANK('2025'!$Q213), 0, 1), 4, if(ISBLANK('2025'!$R213), 0, 1), 5, if(ISBLANK('2025'!$S213), 0, 1), 6, if(ISBLANK('2025'!$T213), 0, 1), 7, 0))), 1, "")</f>
        <v/>
      </c>
      <c r="S215" s="1" t="str">
        <f>IF(AND(AND(AND(S$4&gt;='2025'!$L213,S$4&lt;='2025'!$M213), S$4&lt;&gt;DATE(2025,7,4)), (SWITCH(weekday(S$4), 1, 0, 2, if(ISBLANK('2025'!$P213), 0, 1), 3, if(ISBLANK('2025'!$Q213), 0, 1), 4, if(ISBLANK('2025'!$R213), 0, 1), 5, if(ISBLANK('2025'!$S213), 0, 1), 6, if(ISBLANK('2025'!$T213), 0, 1), 7, 0))), 1, "")</f>
        <v/>
      </c>
      <c r="T215" s="1" t="str">
        <f>IF(AND(AND(AND(T$4&gt;='2025'!$L213,T$4&lt;='2025'!$M213), T$4&lt;&gt;DATE(2025,7,4)), (SWITCH(weekday(T$4), 1, 0, 2, if(ISBLANK('2025'!$P213), 0, 1), 3, if(ISBLANK('2025'!$Q213), 0, 1), 4, if(ISBLANK('2025'!$R213), 0, 1), 5, if(ISBLANK('2025'!$S213), 0, 1), 6, if(ISBLANK('2025'!$T213), 0, 1), 7, 0))), 1, "")</f>
        <v/>
      </c>
      <c r="U215" s="1" t="str">
        <f>IF(AND(AND(AND(U$4&gt;='2025'!$L213,U$4&lt;='2025'!$M213), U$4&lt;&gt;DATE(2025,7,4)), (SWITCH(weekday(U$4), 1, 0, 2, if(ISBLANK('2025'!$P213), 0, 1), 3, if(ISBLANK('2025'!$Q213), 0, 1), 4, if(ISBLANK('2025'!$R213), 0, 1), 5, if(ISBLANK('2025'!$S213), 0, 1), 6, if(ISBLANK('2025'!$T213), 0, 1), 7, 0))), 1, "")</f>
        <v/>
      </c>
      <c r="V215" s="1" t="str">
        <f>IF(AND(AND(AND(V$4&gt;='2025'!$L213,V$4&lt;='2025'!$M213), V$4&lt;&gt;DATE(2025,7,4)), (SWITCH(weekday(V$4), 1, 0, 2, if(ISBLANK('2025'!$P213), 0, 1), 3, if(ISBLANK('2025'!$Q213), 0, 1), 4, if(ISBLANK('2025'!$R213), 0, 1), 5, if(ISBLANK('2025'!$S213), 0, 1), 6, if(ISBLANK('2025'!$T213), 0, 1), 7, 0))), 1, "")</f>
        <v/>
      </c>
      <c r="W215" s="1" t="str">
        <f>IF(AND(AND(AND(W$4&gt;='2025'!$L213,W$4&lt;='2025'!$M213), W$4&lt;&gt;DATE(2025,7,4)), (SWITCH(weekday(W$4), 1, 0, 2, if(ISBLANK('2025'!$P213), 0, 1), 3, if(ISBLANK('2025'!$Q213), 0, 1), 4, if(ISBLANK('2025'!$R213), 0, 1), 5, if(ISBLANK('2025'!$S213), 0, 1), 6, if(ISBLANK('2025'!$T213), 0, 1), 7, 0))), 1, "")</f>
        <v/>
      </c>
      <c r="X215" s="1" t="str">
        <f>IF(AND(AND(AND(X$4&gt;='2025'!$L213,X$4&lt;='2025'!$M213), X$4&lt;&gt;DATE(2025,7,4)), (SWITCH(weekday(X$4), 1, 0, 2, if(ISBLANK('2025'!$P213), 0, 1), 3, if(ISBLANK('2025'!$Q213), 0, 1), 4, if(ISBLANK('2025'!$R213), 0, 1), 5, if(ISBLANK('2025'!$S213), 0, 1), 6, if(ISBLANK('2025'!$T213), 0, 1), 7, 0))), 1, "")</f>
        <v/>
      </c>
      <c r="Y215" s="1" t="str">
        <f>IF(AND(AND(AND(Y$4&gt;='2025'!$L213,Y$4&lt;='2025'!$M213), Y$4&lt;&gt;DATE(2025,7,4)), (SWITCH(weekday(Y$4), 1, 0, 2, if(ISBLANK('2025'!$P213), 0, 1), 3, if(ISBLANK('2025'!$Q213), 0, 1), 4, if(ISBLANK('2025'!$R213), 0, 1), 5, if(ISBLANK('2025'!$S213), 0, 1), 6, if(ISBLANK('2025'!$T213), 0, 1), 7, 0))), 1, "")</f>
        <v/>
      </c>
      <c r="Z215" s="1" t="str">
        <f>IF(AND(AND(AND(Z$4&gt;='2025'!$L213,Z$4&lt;='2025'!$M213), Z$4&lt;&gt;DATE(2025,7,4)), (SWITCH(weekday(Z$4), 1, 0, 2, if(ISBLANK('2025'!$P213), 0, 1), 3, if(ISBLANK('2025'!$Q213), 0, 1), 4, if(ISBLANK('2025'!$R213), 0, 1), 5, if(ISBLANK('2025'!$S213), 0, 1), 6, if(ISBLANK('2025'!$T213), 0, 1), 7, 0))), 1, "")</f>
        <v/>
      </c>
      <c r="AA215" s="1" t="str">
        <f>IF(AND(AND(AND(AA$4&gt;='2025'!$L213,AA$4&lt;='2025'!$M213), AA$4&lt;&gt;DATE(2025,7,4)), (SWITCH(weekday(AA$4), 1, 0, 2, if(ISBLANK('2025'!$P213), 0, 1), 3, if(ISBLANK('2025'!$Q213), 0, 1), 4, if(ISBLANK('2025'!$R213), 0, 1), 5, if(ISBLANK('2025'!$S213), 0, 1), 6, if(ISBLANK('2025'!$T213), 0, 1), 7, 0))), 1, "")</f>
        <v/>
      </c>
      <c r="AB215" s="1" t="str">
        <f>IF(AND(AND(AND(AB$4&gt;='2025'!$L213,AB$4&lt;='2025'!$M213), AB$4&lt;&gt;DATE(2025,7,4)), (SWITCH(weekday(AB$4), 1, 0, 2, if(ISBLANK('2025'!$P213), 0, 1), 3, if(ISBLANK('2025'!$Q213), 0, 1), 4, if(ISBLANK('2025'!$R213), 0, 1), 5, if(ISBLANK('2025'!$S213), 0, 1), 6, if(ISBLANK('2025'!$T213), 0, 1), 7, 0))), 1, "")</f>
        <v/>
      </c>
      <c r="AC215" s="1" t="str">
        <f>IF(AND(AND(AND(AC$4&gt;='2025'!$L213,AC$4&lt;='2025'!$M213), AC$4&lt;&gt;DATE(2025,7,4)), (SWITCH(weekday(AC$4), 1, 0, 2, if(ISBLANK('2025'!$P213), 0, 1), 3, if(ISBLANK('2025'!$Q213), 0, 1), 4, if(ISBLANK('2025'!$R213), 0, 1), 5, if(ISBLANK('2025'!$S213), 0, 1), 6, if(ISBLANK('2025'!$T213), 0, 1), 7, 0))), 1, "")</f>
        <v/>
      </c>
      <c r="AD215" s="1" t="str">
        <f>IF(AND(AND(AND(AD$4&gt;='2025'!$L213,AD$4&lt;='2025'!$M213), AD$4&lt;&gt;DATE(2025,7,4)), (SWITCH(weekday(AD$4), 1, 0, 2, if(ISBLANK('2025'!$P213), 0, 1), 3, if(ISBLANK('2025'!$Q213), 0, 1), 4, if(ISBLANK('2025'!$R213), 0, 1), 5, if(ISBLANK('2025'!$S213), 0, 1), 6, if(ISBLANK('2025'!$T213), 0, 1), 7, 0))), 1, "")</f>
        <v/>
      </c>
      <c r="AE215" s="1" t="str">
        <f>IF(AND(AND(AND(AE$4&gt;='2025'!$L213,AE$4&lt;='2025'!$M213), AE$4&lt;&gt;DATE(2025,7,4)), (SWITCH(weekday(AE$4), 1, 0, 2, if(ISBLANK('2025'!$P213), 0, 1), 3, if(ISBLANK('2025'!$Q213), 0, 1), 4, if(ISBLANK('2025'!$R213), 0, 1), 5, if(ISBLANK('2025'!$S213), 0, 1), 6, if(ISBLANK('2025'!$T213), 0, 1), 7, 0))), 1, "")</f>
        <v/>
      </c>
      <c r="AF215" s="1" t="str">
        <f>IF(AND(AND(AND(AF$4&gt;='2025'!$L213,AF$4&lt;='2025'!$M213), AF$4&lt;&gt;DATE(2025,7,4)), (SWITCH(weekday(AF$4), 1, 0, 2, if(ISBLANK('2025'!$P213), 0, 1), 3, if(ISBLANK('2025'!$Q213), 0, 1), 4, if(ISBLANK('2025'!$R213), 0, 1), 5, if(ISBLANK('2025'!$S213), 0, 1), 6, if(ISBLANK('2025'!$T213), 0, 1), 7, 0))), 1, "")</f>
        <v/>
      </c>
      <c r="AG215" s="1" t="str">
        <f>IF(AND(AND(AND(AG$4&gt;='2025'!$L213,AG$4&lt;='2025'!$M213), AG$4&lt;&gt;DATE(2025,7,4)), (SWITCH(weekday(AG$4), 1, 0, 2, if(ISBLANK('2025'!$P213), 0, 1), 3, if(ISBLANK('2025'!$Q213), 0, 1), 4, if(ISBLANK('2025'!$R213), 0, 1), 5, if(ISBLANK('2025'!$S213), 0, 1), 6, if(ISBLANK('2025'!$T213), 0, 1), 7, 0))), 1, "")</f>
        <v/>
      </c>
      <c r="AH215" s="1" t="str">
        <f>IF(AND(AND(AND(AH$4&gt;='2025'!$L213,AH$4&lt;='2025'!$M213), AH$4&lt;&gt;DATE(2025,7,4)), (SWITCH(weekday(AH$4), 1, 0, 2, if(ISBLANK('2025'!$P213), 0, 1), 3, if(ISBLANK('2025'!$Q213), 0, 1), 4, if(ISBLANK('2025'!$R213), 0, 1), 5, if(ISBLANK('2025'!$S213), 0, 1), 6, if(ISBLANK('2025'!$T213), 0, 1), 7, 0))), 1, "")</f>
        <v/>
      </c>
      <c r="AI215" s="1" t="str">
        <f>IF(AND(AND(AND(AI$4&gt;='2025'!$L213,AI$4&lt;='2025'!$M213), AI$4&lt;&gt;DATE(2025,7,4)), (SWITCH(weekday(AI$4), 1, 0, 2, if(ISBLANK('2025'!$P213), 0, 1), 3, if(ISBLANK('2025'!$Q213), 0, 1), 4, if(ISBLANK('2025'!$R213), 0, 1), 5, if(ISBLANK('2025'!$S213), 0, 1), 6, if(ISBLANK('2025'!$T213), 0, 1), 7, 0))), 1, "")</f>
        <v/>
      </c>
      <c r="AJ215" s="1" t="str">
        <f>IF(AND(AND(AND(AJ$4&gt;='2025'!$L213,AJ$4&lt;='2025'!$M213), AJ$4&lt;&gt;DATE(2025,7,4)), (SWITCH(weekday(AJ$4), 1, 0, 2, if(ISBLANK('2025'!$P213), 0, 1), 3, if(ISBLANK('2025'!$Q213), 0, 1), 4, if(ISBLANK('2025'!$R213), 0, 1), 5, if(ISBLANK('2025'!$S213), 0, 1), 6, if(ISBLANK('2025'!$T213), 0, 1), 7, 0))), 1, "")</f>
        <v/>
      </c>
      <c r="AK215" s="1" t="str">
        <f>IF(AND(AND(AND(AK$4&gt;='2025'!$L213,AK$4&lt;='2025'!$M213), AK$4&lt;&gt;DATE(2025,7,4)), (SWITCH(weekday(AK$4), 1, 0, 2, if(ISBLANK('2025'!$P213), 0, 1), 3, if(ISBLANK('2025'!$Q213), 0, 1), 4, if(ISBLANK('2025'!$R213), 0, 1), 5, if(ISBLANK('2025'!$S213), 0, 1), 6, if(ISBLANK('2025'!$T213), 0, 1), 7, 0))), 1, "")</f>
        <v/>
      </c>
      <c r="AL215" s="1" t="str">
        <f>IF(AND(AND(AND(AL$4&gt;='2025'!$L213,AL$4&lt;='2025'!$M213), AL$4&lt;&gt;DATE(2025,7,4)), (SWITCH(weekday(AL$4), 1, 0, 2, if(ISBLANK('2025'!$P213), 0, 1), 3, if(ISBLANK('2025'!$Q213), 0, 1), 4, if(ISBLANK('2025'!$R213), 0, 1), 5, if(ISBLANK('2025'!$S213), 0, 1), 6, if(ISBLANK('2025'!$T213), 0, 1), 7, 0))), 1, "")</f>
        <v/>
      </c>
      <c r="AM215" s="1" t="str">
        <f>IF(AND(AND(AND(AM$4&gt;='2025'!$L213,AM$4&lt;='2025'!$M213), AM$4&lt;&gt;DATE(2025,7,4)), (SWITCH(weekday(AM$4), 1, 0, 2, if(ISBLANK('2025'!$P213), 0, 1), 3, if(ISBLANK('2025'!$Q213), 0, 1), 4, if(ISBLANK('2025'!$R213), 0, 1), 5, if(ISBLANK('2025'!$S213), 0, 1), 6, if(ISBLANK('2025'!$T213), 0, 1), 7, 0))), 1, "")</f>
        <v/>
      </c>
      <c r="AN215" s="1" t="str">
        <f>IF(AND(AND(AND(AN$4&gt;='2025'!$L213,AN$4&lt;='2025'!$M213), AN$4&lt;&gt;DATE(2025,7,4)), (SWITCH(weekday(AN$4), 1, 0, 2, if(ISBLANK('2025'!$P213), 0, 1), 3, if(ISBLANK('2025'!$Q213), 0, 1), 4, if(ISBLANK('2025'!$R213), 0, 1), 5, if(ISBLANK('2025'!$S213), 0, 1), 6, if(ISBLANK('2025'!$T213), 0, 1), 7, 0))), 1, "")</f>
        <v/>
      </c>
      <c r="AO215" s="1" t="str">
        <f>IF(AND(AND(AND(AO$4&gt;='2025'!$L213,AO$4&lt;='2025'!$M213), AO$4&lt;&gt;DATE(2025,7,4)), (SWITCH(weekday(AO$4), 1, 0, 2, if(ISBLANK('2025'!$P213), 0, 1), 3, if(ISBLANK('2025'!$Q213), 0, 1), 4, if(ISBLANK('2025'!$R213), 0, 1), 5, if(ISBLANK('2025'!$S213), 0, 1), 6, if(ISBLANK('2025'!$T213), 0, 1), 7, 0))), 1, "")</f>
        <v/>
      </c>
      <c r="AP215" s="1" t="str">
        <f>IF(AND(AND(AND(AP$4&gt;='2025'!$L213,AP$4&lt;='2025'!$M213), AP$4&lt;&gt;DATE(2025,7,4)), (SWITCH(weekday(AP$4), 1, 0, 2, if(ISBLANK('2025'!$P213), 0, 1), 3, if(ISBLANK('2025'!$Q213), 0, 1), 4, if(ISBLANK('2025'!$R213), 0, 1), 5, if(ISBLANK('2025'!$S213), 0, 1), 6, if(ISBLANK('2025'!$T213), 0, 1), 7, 0))), 1, "")</f>
        <v/>
      </c>
      <c r="AQ215" s="1" t="str">
        <f>IF(AND(AND(AND(AQ$4&gt;='2025'!$L213,AQ$4&lt;='2025'!$M213), AQ$4&lt;&gt;DATE(2025,7,4)), (SWITCH(weekday(AQ$4), 1, 0, 2, if(ISBLANK('2025'!$P213), 0, 1), 3, if(ISBLANK('2025'!$Q213), 0, 1), 4, if(ISBLANK('2025'!$R213), 0, 1), 5, if(ISBLANK('2025'!$S213), 0, 1), 6, if(ISBLANK('2025'!$T213), 0, 1), 7, 0))), 1, "")</f>
        <v/>
      </c>
      <c r="AR215" s="1" t="str">
        <f>IF(AND(AND(AND(AR$4&gt;='2025'!$L213,AR$4&lt;='2025'!$M213), AR$4&lt;&gt;DATE(2025,7,4)), (SWITCH(weekday(AR$4), 1, 0, 2, if(ISBLANK('2025'!$P213), 0, 1), 3, if(ISBLANK('2025'!$Q213), 0, 1), 4, if(ISBLANK('2025'!$R213), 0, 1), 5, if(ISBLANK('2025'!$S213), 0, 1), 6, if(ISBLANK('2025'!$T213), 0, 1), 7, 0))), 1, "")</f>
        <v/>
      </c>
      <c r="AS215" s="1" t="str">
        <f>IF(AND(AND(AND(AS$4&gt;='2025'!$L213,AS$4&lt;='2025'!$M213), AS$4&lt;&gt;DATE(2025,7,4)), (SWITCH(weekday(AS$4), 1, 0, 2, if(ISBLANK('2025'!$P213), 0, 1), 3, if(ISBLANK('2025'!$Q213), 0, 1), 4, if(ISBLANK('2025'!$R213), 0, 1), 5, if(ISBLANK('2025'!$S213), 0, 1), 6, if(ISBLANK('2025'!$T213), 0, 1), 7, 0))), 1, "")</f>
        <v/>
      </c>
      <c r="AT215" s="1" t="str">
        <f>IF(AND(AND(AND(AT$4&gt;='2025'!$L213,AT$4&lt;='2025'!$M213), AT$4&lt;&gt;DATE(2025,7,4)), (SWITCH(weekday(AT$4), 1, 0, 2, if(ISBLANK('2025'!$P213), 0, 1), 3, if(ISBLANK('2025'!$Q213), 0, 1), 4, if(ISBLANK('2025'!$R213), 0, 1), 5, if(ISBLANK('2025'!$S213), 0, 1), 6, if(ISBLANK('2025'!$T213), 0, 1), 7, 0))), 1, "")</f>
        <v/>
      </c>
      <c r="AU215" s="1" t="str">
        <f>IF(AND(AND(AND(AU$4&gt;='2025'!$L213,AU$4&lt;='2025'!$M213), AU$4&lt;&gt;DATE(2025,7,4)), (SWITCH(weekday(AU$4), 1, 0, 2, if(ISBLANK('2025'!$P213), 0, 1), 3, if(ISBLANK('2025'!$Q213), 0, 1), 4, if(ISBLANK('2025'!$R213), 0, 1), 5, if(ISBLANK('2025'!$S213), 0, 1), 6, if(ISBLANK('2025'!$T213), 0, 1), 7, 0))), 1, "")</f>
        <v/>
      </c>
      <c r="AV215" s="1" t="str">
        <f>IF(AND(AND(AND(AV$4&gt;='2025'!$L213,AV$4&lt;='2025'!$M213), AV$4&lt;&gt;DATE(2025,7,4)), (SWITCH(weekday(AV$4), 1, 0, 2, if(ISBLANK('2025'!$P213), 0, 1), 3, if(ISBLANK('2025'!$Q213), 0, 1), 4, if(ISBLANK('2025'!$R213), 0, 1), 5, if(ISBLANK('2025'!$S213), 0, 1), 6, if(ISBLANK('2025'!$T213), 0, 1), 7, 0))), 1, "")</f>
        <v/>
      </c>
      <c r="AW215" s="1" t="str">
        <f>IF(AND(AND(AND(AW$4&gt;='2025'!$L213,AW$4&lt;='2025'!$M213), AW$4&lt;&gt;DATE(2025,7,4)), (SWITCH(weekday(AW$4), 1, 0, 2, if(ISBLANK('2025'!$P213), 0, 1), 3, if(ISBLANK('2025'!$Q213), 0, 1), 4, if(ISBLANK('2025'!$R213), 0, 1), 5, if(ISBLANK('2025'!$S213), 0, 1), 6, if(ISBLANK('2025'!$T213), 0, 1), 7, 0))), 1, "")</f>
        <v/>
      </c>
      <c r="AX215" s="1" t="str">
        <f>IF(AND(AND(AND(AX$4&gt;='2025'!$L213,AX$4&lt;='2025'!$M213), AX$4&lt;&gt;DATE(2025,7,4)), (SWITCH(weekday(AX$4), 1, 0, 2, if(ISBLANK('2025'!$P213), 0, 1), 3, if(ISBLANK('2025'!$Q213), 0, 1), 4, if(ISBLANK('2025'!$R213), 0, 1), 5, if(ISBLANK('2025'!$S213), 0, 1), 6, if(ISBLANK('2025'!$T213), 0, 1), 7, 0))), 1, "")</f>
        <v/>
      </c>
      <c r="AY215" s="1" t="str">
        <f>IF(AND(AND(AND(AY$4&gt;='2025'!$L213,AY$4&lt;='2025'!$M213), AY$4&lt;&gt;DATE(2025,7,4)), (SWITCH(weekday(AY$4), 1, 0, 2, if(ISBLANK('2025'!$P213), 0, 1), 3, if(ISBLANK('2025'!$Q213), 0, 1), 4, if(ISBLANK('2025'!$R213), 0, 1), 5, if(ISBLANK('2025'!$S213), 0, 1), 6, if(ISBLANK('2025'!$T213), 0, 1), 7, 0))), 1, "")</f>
        <v/>
      </c>
      <c r="AZ215" s="1" t="str">
        <f>IF(AND(AND(AND(AZ$4&gt;='2025'!$L213,AZ$4&lt;='2025'!$M213), AZ$4&lt;&gt;DATE(2025,7,4)), (SWITCH(weekday(AZ$4), 1, 0, 2, if(ISBLANK('2025'!$P213), 0, 1), 3, if(ISBLANK('2025'!$Q213), 0, 1), 4, if(ISBLANK('2025'!$R213), 0, 1), 5, if(ISBLANK('2025'!$S213), 0, 1), 6, if(ISBLANK('2025'!$T213), 0, 1), 7, 0))), 1, "")</f>
        <v/>
      </c>
      <c r="BA215" s="1" t="str">
        <f>IF(AND(AND(AND(BA$4&gt;='2025'!$L213,BA$4&lt;='2025'!$M213), BA$4&lt;&gt;DATE(2025,7,4)), (SWITCH(weekday(BA$4), 1, 0, 2, if(ISBLANK('2025'!$P213), 0, 1), 3, if(ISBLANK('2025'!$Q213), 0, 1), 4, if(ISBLANK('2025'!$R213), 0, 1), 5, if(ISBLANK('2025'!$S213), 0, 1), 6, if(ISBLANK('2025'!$T213), 0, 1), 7, 0))), 1, "")</f>
        <v/>
      </c>
      <c r="BB215" s="1" t="str">
        <f>IF(AND(AND(AND(BB$4&gt;='2025'!$L213,BB$4&lt;='2025'!$M213), BB$4&lt;&gt;DATE(2025,7,4)), (SWITCH(weekday(BB$4), 1, 0, 2, if(ISBLANK('2025'!$P213), 0, 1), 3, if(ISBLANK('2025'!$Q213), 0, 1), 4, if(ISBLANK('2025'!$R213), 0, 1), 5, if(ISBLANK('2025'!$S213), 0, 1), 6, if(ISBLANK('2025'!$T213), 0, 1), 7, 0))), 1, "")</f>
        <v/>
      </c>
      <c r="BC215" s="1" t="str">
        <f>IF(AND(AND(AND(BC$4&gt;='2025'!$L213,BC$4&lt;='2025'!$M213), BC$4&lt;&gt;DATE(2025,7,4)), (SWITCH(weekday(BC$4), 1, 0, 2, if(ISBLANK('2025'!$P213), 0, 1), 3, if(ISBLANK('2025'!$Q213), 0, 1), 4, if(ISBLANK('2025'!$R213), 0, 1), 5, if(ISBLANK('2025'!$S213), 0, 1), 6, if(ISBLANK('2025'!$T213), 0, 1), 7, 0))), 1, "")</f>
        <v/>
      </c>
      <c r="BD215" s="1" t="str">
        <f>IF(AND(AND(AND(BD$4&gt;='2025'!$L213,BD$4&lt;='2025'!$M213), BD$4&lt;&gt;DATE(2025,7,4)), (SWITCH(weekday(BD$4), 1, 0, 2, if(ISBLANK('2025'!$P213), 0, 1), 3, if(ISBLANK('2025'!$Q213), 0, 1), 4, if(ISBLANK('2025'!$R213), 0, 1), 5, if(ISBLANK('2025'!$S213), 0, 1), 6, if(ISBLANK('2025'!$T213), 0, 1), 7, 0))), 1, "")</f>
        <v/>
      </c>
      <c r="BE215" s="1" t="str">
        <f>IF(AND(AND(AND(BE$4&gt;='2025'!$L213,BE$4&lt;='2025'!$M213), BE$4&lt;&gt;DATE(2025,7,4)), (SWITCH(weekday(BE$4), 1, 0, 2, if(ISBLANK('2025'!$P213), 0, 1), 3, if(ISBLANK('2025'!$Q213), 0, 1), 4, if(ISBLANK('2025'!$R213), 0, 1), 5, if(ISBLANK('2025'!$S213), 0, 1), 6, if(ISBLANK('2025'!$T213), 0, 1), 7, 0))), 1, "")</f>
        <v/>
      </c>
      <c r="BF215" s="1" t="str">
        <f>IF(AND(AND(AND(BF$4&gt;='2025'!$L213,BF$4&lt;='2025'!$M213), BF$4&lt;&gt;DATE(2025,7,4)), (SWITCH(weekday(BF$4), 1, 0, 2, if(ISBLANK('2025'!$P213), 0, 1), 3, if(ISBLANK('2025'!$Q213), 0, 1), 4, if(ISBLANK('2025'!$R213), 0, 1), 5, if(ISBLANK('2025'!$S213), 0, 1), 6, if(ISBLANK('2025'!$T213), 0, 1), 7, 0))), 1, "")</f>
        <v/>
      </c>
      <c r="BG215" s="1"/>
      <c r="BH215" s="1"/>
      <c r="BI215" s="1"/>
      <c r="BJ215" s="1"/>
      <c r="BK215" s="1"/>
      <c r="BL215" s="1"/>
    </row>
    <row r="216">
      <c r="A216" s="1">
        <f t="shared" si="3"/>
        <v>216</v>
      </c>
      <c r="B216" s="1" t="str">
        <f>'2025'!D180</f>
        <v>, </v>
      </c>
      <c r="C216" s="1" t="str">
        <f>'2025'!H180</f>
        <v/>
      </c>
      <c r="D216" s="1" t="str">
        <f>IF(AND(AND(AND(D$4&gt;='2025'!$L214,D$4&lt;='2025'!$M214), D$4&lt;&gt;DATE(2025,7,4)), (SWITCH(weekday(D$4), 1, 0, 2, if(ISBLANK('2025'!$P214), 0, 1), 3, if(ISBLANK('2025'!$Q214), 0, 1), 4, if(ISBLANK('2025'!$R214), 0, 1), 5, if(ISBLANK('2025'!$S214), 0, 1), 6, if(ISBLANK('2025'!$T214), 0, 1), 7, 0))), 1, "")</f>
        <v/>
      </c>
      <c r="E216" s="1" t="str">
        <f>IF(AND(AND(AND(E$4&gt;='2025'!$L214,E$4&lt;='2025'!$M214), E$4&lt;&gt;DATE(2025,7,4)), (SWITCH(weekday(E$4), 1, 0, 2, if(ISBLANK('2025'!$P214), 0, 1), 3, if(ISBLANK('2025'!$Q214), 0, 1), 4, if(ISBLANK('2025'!$R214), 0, 1), 5, if(ISBLANK('2025'!$S214), 0, 1), 6, if(ISBLANK('2025'!$T214), 0, 1), 7, 0))), 1, "")</f>
        <v/>
      </c>
      <c r="F216" s="1" t="str">
        <f>IF(AND(AND(AND(F$4&gt;='2025'!$L214,F$4&lt;='2025'!$M214), F$4&lt;&gt;DATE(2025,7,4)), (SWITCH(weekday(F$4), 1, 0, 2, if(ISBLANK('2025'!$P214), 0, 1), 3, if(ISBLANK('2025'!$Q214), 0, 1), 4, if(ISBLANK('2025'!$R214), 0, 1), 5, if(ISBLANK('2025'!$S214), 0, 1), 6, if(ISBLANK('2025'!$T214), 0, 1), 7, 0))), 1, "")</f>
        <v/>
      </c>
      <c r="G216" s="1" t="str">
        <f>IF(AND(AND(AND(G$4&gt;='2025'!$L214,G$4&lt;='2025'!$M214), G$4&lt;&gt;DATE(2025,7,4)), (SWITCH(weekday(G$4), 1, 0, 2, if(ISBLANK('2025'!$P214), 0, 1), 3, if(ISBLANK('2025'!$Q214), 0, 1), 4, if(ISBLANK('2025'!$R214), 0, 1), 5, if(ISBLANK('2025'!$S214), 0, 1), 6, if(ISBLANK('2025'!$T214), 0, 1), 7, 0))), 1, "")</f>
        <v/>
      </c>
      <c r="H216" s="1" t="str">
        <f>IF(AND(AND(AND(H$4&gt;='2025'!$L214,H$4&lt;='2025'!$M214), H$4&lt;&gt;DATE(2025,7,4)), (SWITCH(weekday(H$4), 1, 0, 2, if(ISBLANK('2025'!$P214), 0, 1), 3, if(ISBLANK('2025'!$Q214), 0, 1), 4, if(ISBLANK('2025'!$R214), 0, 1), 5, if(ISBLANK('2025'!$S214), 0, 1), 6, if(ISBLANK('2025'!$T214), 0, 1), 7, 0))), 1, "")</f>
        <v/>
      </c>
      <c r="I216" s="1" t="str">
        <f>IF(AND(AND(AND(I$4&gt;='2025'!$L214,I$4&lt;='2025'!$M214), I$4&lt;&gt;DATE(2025,7,4)), (SWITCH(weekday(I$4), 1, 0, 2, if(ISBLANK('2025'!$P214), 0, 1), 3, if(ISBLANK('2025'!$Q214), 0, 1), 4, if(ISBLANK('2025'!$R214), 0, 1), 5, if(ISBLANK('2025'!$S214), 0, 1), 6, if(ISBLANK('2025'!$T214), 0, 1), 7, 0))), 1, "")</f>
        <v/>
      </c>
      <c r="J216" s="1" t="str">
        <f>IF(AND(AND(AND(J$4&gt;='2025'!$L214,J$4&lt;='2025'!$M214), J$4&lt;&gt;DATE(2025,7,4)), (SWITCH(weekday(J$4), 1, 0, 2, if(ISBLANK('2025'!$P214), 0, 1), 3, if(ISBLANK('2025'!$Q214), 0, 1), 4, if(ISBLANK('2025'!$R214), 0, 1), 5, if(ISBLANK('2025'!$S214), 0, 1), 6, if(ISBLANK('2025'!$T214), 0, 1), 7, 0))), 1, "")</f>
        <v/>
      </c>
      <c r="K216" s="1" t="str">
        <f>IF(AND(AND(AND(K$4&gt;='2025'!$L214,K$4&lt;='2025'!$M214), K$4&lt;&gt;DATE(2025,7,4)), (SWITCH(weekday(K$4), 1, 0, 2, if(ISBLANK('2025'!$P214), 0, 1), 3, if(ISBLANK('2025'!$Q214), 0, 1), 4, if(ISBLANK('2025'!$R214), 0, 1), 5, if(ISBLANK('2025'!$S214), 0, 1), 6, if(ISBLANK('2025'!$T214), 0, 1), 7, 0))), 1, "")</f>
        <v/>
      </c>
      <c r="L216" s="1" t="str">
        <f>IF(AND(AND(AND(L$4&gt;='2025'!$L214,L$4&lt;='2025'!$M214), L$4&lt;&gt;DATE(2025,7,4)), (SWITCH(weekday(L$4), 1, 0, 2, if(ISBLANK('2025'!$P214), 0, 1), 3, if(ISBLANK('2025'!$Q214), 0, 1), 4, if(ISBLANK('2025'!$R214), 0, 1), 5, if(ISBLANK('2025'!$S214), 0, 1), 6, if(ISBLANK('2025'!$T214), 0, 1), 7, 0))), 1, "")</f>
        <v/>
      </c>
      <c r="M216" s="1" t="str">
        <f>IF(AND(AND(AND(M$4&gt;='2025'!$L214,M$4&lt;='2025'!$M214), M$4&lt;&gt;DATE(2025,7,4)), (SWITCH(weekday(M$4), 1, 0, 2, if(ISBLANK('2025'!$P214), 0, 1), 3, if(ISBLANK('2025'!$Q214), 0, 1), 4, if(ISBLANK('2025'!$R214), 0, 1), 5, if(ISBLANK('2025'!$S214), 0, 1), 6, if(ISBLANK('2025'!$T214), 0, 1), 7, 0))), 1, "")</f>
        <v/>
      </c>
      <c r="N216" s="1" t="str">
        <f>IF(AND(AND(AND(N$4&gt;='2025'!$L214,N$4&lt;='2025'!$M214), N$4&lt;&gt;DATE(2025,7,4)), (SWITCH(weekday(N$4), 1, 0, 2, if(ISBLANK('2025'!$P214), 0, 1), 3, if(ISBLANK('2025'!$Q214), 0, 1), 4, if(ISBLANK('2025'!$R214), 0, 1), 5, if(ISBLANK('2025'!$S214), 0, 1), 6, if(ISBLANK('2025'!$T214), 0, 1), 7, 0))), 1, "")</f>
        <v/>
      </c>
      <c r="O216" s="1" t="str">
        <f>IF(AND(AND(AND(O$4&gt;='2025'!$L214,O$4&lt;='2025'!$M214), O$4&lt;&gt;DATE(2025,7,4)), (SWITCH(weekday(O$4), 1, 0, 2, if(ISBLANK('2025'!$P214), 0, 1), 3, if(ISBLANK('2025'!$Q214), 0, 1), 4, if(ISBLANK('2025'!$R214), 0, 1), 5, if(ISBLANK('2025'!$S214), 0, 1), 6, if(ISBLANK('2025'!$T214), 0, 1), 7, 0))), 1, "")</f>
        <v/>
      </c>
      <c r="P216" s="1" t="str">
        <f>IF(AND(AND(AND(P$4&gt;='2025'!$L214,P$4&lt;='2025'!$M214), P$4&lt;&gt;DATE(2025,7,4)), (SWITCH(weekday(P$4), 1, 0, 2, if(ISBLANK('2025'!$P214), 0, 1), 3, if(ISBLANK('2025'!$Q214), 0, 1), 4, if(ISBLANK('2025'!$R214), 0, 1), 5, if(ISBLANK('2025'!$S214), 0, 1), 6, if(ISBLANK('2025'!$T214), 0, 1), 7, 0))), 1, "")</f>
        <v/>
      </c>
      <c r="Q216" s="1" t="str">
        <f>IF(AND(AND(AND(Q$4&gt;='2025'!$L214,Q$4&lt;='2025'!$M214), Q$4&lt;&gt;DATE(2025,7,4)), (SWITCH(weekday(Q$4), 1, 0, 2, if(ISBLANK('2025'!$P214), 0, 1), 3, if(ISBLANK('2025'!$Q214), 0, 1), 4, if(ISBLANK('2025'!$R214), 0, 1), 5, if(ISBLANK('2025'!$S214), 0, 1), 6, if(ISBLANK('2025'!$T214), 0, 1), 7, 0))), 1, "")</f>
        <v/>
      </c>
      <c r="R216" s="1" t="str">
        <f>IF(AND(AND(AND(R$4&gt;='2025'!$L214,R$4&lt;='2025'!$M214), R$4&lt;&gt;DATE(2025,7,4)), (SWITCH(weekday(R$4), 1, 0, 2, if(ISBLANK('2025'!$P214), 0, 1), 3, if(ISBLANK('2025'!$Q214), 0, 1), 4, if(ISBLANK('2025'!$R214), 0, 1), 5, if(ISBLANK('2025'!$S214), 0, 1), 6, if(ISBLANK('2025'!$T214), 0, 1), 7, 0))), 1, "")</f>
        <v/>
      </c>
      <c r="S216" s="1" t="str">
        <f>IF(AND(AND(AND(S$4&gt;='2025'!$L214,S$4&lt;='2025'!$M214), S$4&lt;&gt;DATE(2025,7,4)), (SWITCH(weekday(S$4), 1, 0, 2, if(ISBLANK('2025'!$P214), 0, 1), 3, if(ISBLANK('2025'!$Q214), 0, 1), 4, if(ISBLANK('2025'!$R214), 0, 1), 5, if(ISBLANK('2025'!$S214), 0, 1), 6, if(ISBLANK('2025'!$T214), 0, 1), 7, 0))), 1, "")</f>
        <v/>
      </c>
      <c r="T216" s="1" t="str">
        <f>IF(AND(AND(AND(T$4&gt;='2025'!$L214,T$4&lt;='2025'!$M214), T$4&lt;&gt;DATE(2025,7,4)), (SWITCH(weekday(T$4), 1, 0, 2, if(ISBLANK('2025'!$P214), 0, 1), 3, if(ISBLANK('2025'!$Q214), 0, 1), 4, if(ISBLANK('2025'!$R214), 0, 1), 5, if(ISBLANK('2025'!$S214), 0, 1), 6, if(ISBLANK('2025'!$T214), 0, 1), 7, 0))), 1, "")</f>
        <v/>
      </c>
      <c r="U216" s="1" t="str">
        <f>IF(AND(AND(AND(U$4&gt;='2025'!$L214,U$4&lt;='2025'!$M214), U$4&lt;&gt;DATE(2025,7,4)), (SWITCH(weekday(U$4), 1, 0, 2, if(ISBLANK('2025'!$P214), 0, 1), 3, if(ISBLANK('2025'!$Q214), 0, 1), 4, if(ISBLANK('2025'!$R214), 0, 1), 5, if(ISBLANK('2025'!$S214), 0, 1), 6, if(ISBLANK('2025'!$T214), 0, 1), 7, 0))), 1, "")</f>
        <v/>
      </c>
      <c r="V216" s="1" t="str">
        <f>IF(AND(AND(AND(V$4&gt;='2025'!$L214,V$4&lt;='2025'!$M214), V$4&lt;&gt;DATE(2025,7,4)), (SWITCH(weekday(V$4), 1, 0, 2, if(ISBLANK('2025'!$P214), 0, 1), 3, if(ISBLANK('2025'!$Q214), 0, 1), 4, if(ISBLANK('2025'!$R214), 0, 1), 5, if(ISBLANK('2025'!$S214), 0, 1), 6, if(ISBLANK('2025'!$T214), 0, 1), 7, 0))), 1, "")</f>
        <v/>
      </c>
      <c r="W216" s="1" t="str">
        <f>IF(AND(AND(AND(W$4&gt;='2025'!$L214,W$4&lt;='2025'!$M214), W$4&lt;&gt;DATE(2025,7,4)), (SWITCH(weekday(W$4), 1, 0, 2, if(ISBLANK('2025'!$P214), 0, 1), 3, if(ISBLANK('2025'!$Q214), 0, 1), 4, if(ISBLANK('2025'!$R214), 0, 1), 5, if(ISBLANK('2025'!$S214), 0, 1), 6, if(ISBLANK('2025'!$T214), 0, 1), 7, 0))), 1, "")</f>
        <v/>
      </c>
      <c r="X216" s="1" t="str">
        <f>IF(AND(AND(AND(X$4&gt;='2025'!$L214,X$4&lt;='2025'!$M214), X$4&lt;&gt;DATE(2025,7,4)), (SWITCH(weekday(X$4), 1, 0, 2, if(ISBLANK('2025'!$P214), 0, 1), 3, if(ISBLANK('2025'!$Q214), 0, 1), 4, if(ISBLANK('2025'!$R214), 0, 1), 5, if(ISBLANK('2025'!$S214), 0, 1), 6, if(ISBLANK('2025'!$T214), 0, 1), 7, 0))), 1, "")</f>
        <v/>
      </c>
      <c r="Y216" s="1" t="str">
        <f>IF(AND(AND(AND(Y$4&gt;='2025'!$L214,Y$4&lt;='2025'!$M214), Y$4&lt;&gt;DATE(2025,7,4)), (SWITCH(weekday(Y$4), 1, 0, 2, if(ISBLANK('2025'!$P214), 0, 1), 3, if(ISBLANK('2025'!$Q214), 0, 1), 4, if(ISBLANK('2025'!$R214), 0, 1), 5, if(ISBLANK('2025'!$S214), 0, 1), 6, if(ISBLANK('2025'!$T214), 0, 1), 7, 0))), 1, "")</f>
        <v/>
      </c>
      <c r="Z216" s="1" t="str">
        <f>IF(AND(AND(AND(Z$4&gt;='2025'!$L214,Z$4&lt;='2025'!$M214), Z$4&lt;&gt;DATE(2025,7,4)), (SWITCH(weekday(Z$4), 1, 0, 2, if(ISBLANK('2025'!$P214), 0, 1), 3, if(ISBLANK('2025'!$Q214), 0, 1), 4, if(ISBLANK('2025'!$R214), 0, 1), 5, if(ISBLANK('2025'!$S214), 0, 1), 6, if(ISBLANK('2025'!$T214), 0, 1), 7, 0))), 1, "")</f>
        <v/>
      </c>
      <c r="AA216" s="1" t="str">
        <f>IF(AND(AND(AND(AA$4&gt;='2025'!$L214,AA$4&lt;='2025'!$M214), AA$4&lt;&gt;DATE(2025,7,4)), (SWITCH(weekday(AA$4), 1, 0, 2, if(ISBLANK('2025'!$P214), 0, 1), 3, if(ISBLANK('2025'!$Q214), 0, 1), 4, if(ISBLANK('2025'!$R214), 0, 1), 5, if(ISBLANK('2025'!$S214), 0, 1), 6, if(ISBLANK('2025'!$T214), 0, 1), 7, 0))), 1, "")</f>
        <v/>
      </c>
      <c r="AB216" s="1" t="str">
        <f>IF(AND(AND(AND(AB$4&gt;='2025'!$L214,AB$4&lt;='2025'!$M214), AB$4&lt;&gt;DATE(2025,7,4)), (SWITCH(weekday(AB$4), 1, 0, 2, if(ISBLANK('2025'!$P214), 0, 1), 3, if(ISBLANK('2025'!$Q214), 0, 1), 4, if(ISBLANK('2025'!$R214), 0, 1), 5, if(ISBLANK('2025'!$S214), 0, 1), 6, if(ISBLANK('2025'!$T214), 0, 1), 7, 0))), 1, "")</f>
        <v/>
      </c>
      <c r="AC216" s="1" t="str">
        <f>IF(AND(AND(AND(AC$4&gt;='2025'!$L214,AC$4&lt;='2025'!$M214), AC$4&lt;&gt;DATE(2025,7,4)), (SWITCH(weekday(AC$4), 1, 0, 2, if(ISBLANK('2025'!$P214), 0, 1), 3, if(ISBLANK('2025'!$Q214), 0, 1), 4, if(ISBLANK('2025'!$R214), 0, 1), 5, if(ISBLANK('2025'!$S214), 0, 1), 6, if(ISBLANK('2025'!$T214), 0, 1), 7, 0))), 1, "")</f>
        <v/>
      </c>
      <c r="AD216" s="1" t="str">
        <f>IF(AND(AND(AND(AD$4&gt;='2025'!$L214,AD$4&lt;='2025'!$M214), AD$4&lt;&gt;DATE(2025,7,4)), (SWITCH(weekday(AD$4), 1, 0, 2, if(ISBLANK('2025'!$P214), 0, 1), 3, if(ISBLANK('2025'!$Q214), 0, 1), 4, if(ISBLANK('2025'!$R214), 0, 1), 5, if(ISBLANK('2025'!$S214), 0, 1), 6, if(ISBLANK('2025'!$T214), 0, 1), 7, 0))), 1, "")</f>
        <v/>
      </c>
      <c r="AE216" s="1" t="str">
        <f>IF(AND(AND(AND(AE$4&gt;='2025'!$L214,AE$4&lt;='2025'!$M214), AE$4&lt;&gt;DATE(2025,7,4)), (SWITCH(weekday(AE$4), 1, 0, 2, if(ISBLANK('2025'!$P214), 0, 1), 3, if(ISBLANK('2025'!$Q214), 0, 1), 4, if(ISBLANK('2025'!$R214), 0, 1), 5, if(ISBLANK('2025'!$S214), 0, 1), 6, if(ISBLANK('2025'!$T214), 0, 1), 7, 0))), 1, "")</f>
        <v/>
      </c>
      <c r="AF216" s="1" t="str">
        <f>IF(AND(AND(AND(AF$4&gt;='2025'!$L214,AF$4&lt;='2025'!$M214), AF$4&lt;&gt;DATE(2025,7,4)), (SWITCH(weekday(AF$4), 1, 0, 2, if(ISBLANK('2025'!$P214), 0, 1), 3, if(ISBLANK('2025'!$Q214), 0, 1), 4, if(ISBLANK('2025'!$R214), 0, 1), 5, if(ISBLANK('2025'!$S214), 0, 1), 6, if(ISBLANK('2025'!$T214), 0, 1), 7, 0))), 1, "")</f>
        <v/>
      </c>
      <c r="AG216" s="1" t="str">
        <f>IF(AND(AND(AND(AG$4&gt;='2025'!$L214,AG$4&lt;='2025'!$M214), AG$4&lt;&gt;DATE(2025,7,4)), (SWITCH(weekday(AG$4), 1, 0, 2, if(ISBLANK('2025'!$P214), 0, 1), 3, if(ISBLANK('2025'!$Q214), 0, 1), 4, if(ISBLANK('2025'!$R214), 0, 1), 5, if(ISBLANK('2025'!$S214), 0, 1), 6, if(ISBLANK('2025'!$T214), 0, 1), 7, 0))), 1, "")</f>
        <v/>
      </c>
      <c r="AH216" s="1" t="str">
        <f>IF(AND(AND(AND(AH$4&gt;='2025'!$L214,AH$4&lt;='2025'!$M214), AH$4&lt;&gt;DATE(2025,7,4)), (SWITCH(weekday(AH$4), 1, 0, 2, if(ISBLANK('2025'!$P214), 0, 1), 3, if(ISBLANK('2025'!$Q214), 0, 1), 4, if(ISBLANK('2025'!$R214), 0, 1), 5, if(ISBLANK('2025'!$S214), 0, 1), 6, if(ISBLANK('2025'!$T214), 0, 1), 7, 0))), 1, "")</f>
        <v/>
      </c>
      <c r="AI216" s="1" t="str">
        <f>IF(AND(AND(AND(AI$4&gt;='2025'!$L214,AI$4&lt;='2025'!$M214), AI$4&lt;&gt;DATE(2025,7,4)), (SWITCH(weekday(AI$4), 1, 0, 2, if(ISBLANK('2025'!$P214), 0, 1), 3, if(ISBLANK('2025'!$Q214), 0, 1), 4, if(ISBLANK('2025'!$R214), 0, 1), 5, if(ISBLANK('2025'!$S214), 0, 1), 6, if(ISBLANK('2025'!$T214), 0, 1), 7, 0))), 1, "")</f>
        <v/>
      </c>
      <c r="AJ216" s="1" t="str">
        <f>IF(AND(AND(AND(AJ$4&gt;='2025'!$L214,AJ$4&lt;='2025'!$M214), AJ$4&lt;&gt;DATE(2025,7,4)), (SWITCH(weekday(AJ$4), 1, 0, 2, if(ISBLANK('2025'!$P214), 0, 1), 3, if(ISBLANK('2025'!$Q214), 0, 1), 4, if(ISBLANK('2025'!$R214), 0, 1), 5, if(ISBLANK('2025'!$S214), 0, 1), 6, if(ISBLANK('2025'!$T214), 0, 1), 7, 0))), 1, "")</f>
        <v/>
      </c>
      <c r="AK216" s="1" t="str">
        <f>IF(AND(AND(AND(AK$4&gt;='2025'!$L214,AK$4&lt;='2025'!$M214), AK$4&lt;&gt;DATE(2025,7,4)), (SWITCH(weekday(AK$4), 1, 0, 2, if(ISBLANK('2025'!$P214), 0, 1), 3, if(ISBLANK('2025'!$Q214), 0, 1), 4, if(ISBLANK('2025'!$R214), 0, 1), 5, if(ISBLANK('2025'!$S214), 0, 1), 6, if(ISBLANK('2025'!$T214), 0, 1), 7, 0))), 1, "")</f>
        <v/>
      </c>
      <c r="AL216" s="1" t="str">
        <f>IF(AND(AND(AND(AL$4&gt;='2025'!$L214,AL$4&lt;='2025'!$M214), AL$4&lt;&gt;DATE(2025,7,4)), (SWITCH(weekday(AL$4), 1, 0, 2, if(ISBLANK('2025'!$P214), 0, 1), 3, if(ISBLANK('2025'!$Q214), 0, 1), 4, if(ISBLANK('2025'!$R214), 0, 1), 5, if(ISBLANK('2025'!$S214), 0, 1), 6, if(ISBLANK('2025'!$T214), 0, 1), 7, 0))), 1, "")</f>
        <v/>
      </c>
      <c r="AM216" s="1" t="str">
        <f>IF(AND(AND(AND(AM$4&gt;='2025'!$L214,AM$4&lt;='2025'!$M214), AM$4&lt;&gt;DATE(2025,7,4)), (SWITCH(weekday(AM$4), 1, 0, 2, if(ISBLANK('2025'!$P214), 0, 1), 3, if(ISBLANK('2025'!$Q214), 0, 1), 4, if(ISBLANK('2025'!$R214), 0, 1), 5, if(ISBLANK('2025'!$S214), 0, 1), 6, if(ISBLANK('2025'!$T214), 0, 1), 7, 0))), 1, "")</f>
        <v/>
      </c>
      <c r="AN216" s="1" t="str">
        <f>IF(AND(AND(AND(AN$4&gt;='2025'!$L214,AN$4&lt;='2025'!$M214), AN$4&lt;&gt;DATE(2025,7,4)), (SWITCH(weekday(AN$4), 1, 0, 2, if(ISBLANK('2025'!$P214), 0, 1), 3, if(ISBLANK('2025'!$Q214), 0, 1), 4, if(ISBLANK('2025'!$R214), 0, 1), 5, if(ISBLANK('2025'!$S214), 0, 1), 6, if(ISBLANK('2025'!$T214), 0, 1), 7, 0))), 1, "")</f>
        <v/>
      </c>
      <c r="AO216" s="1" t="str">
        <f>IF(AND(AND(AND(AO$4&gt;='2025'!$L214,AO$4&lt;='2025'!$M214), AO$4&lt;&gt;DATE(2025,7,4)), (SWITCH(weekday(AO$4), 1, 0, 2, if(ISBLANK('2025'!$P214), 0, 1), 3, if(ISBLANK('2025'!$Q214), 0, 1), 4, if(ISBLANK('2025'!$R214), 0, 1), 5, if(ISBLANK('2025'!$S214), 0, 1), 6, if(ISBLANK('2025'!$T214), 0, 1), 7, 0))), 1, "")</f>
        <v/>
      </c>
      <c r="AP216" s="1" t="str">
        <f>IF(AND(AND(AND(AP$4&gt;='2025'!$L214,AP$4&lt;='2025'!$M214), AP$4&lt;&gt;DATE(2025,7,4)), (SWITCH(weekday(AP$4), 1, 0, 2, if(ISBLANK('2025'!$P214), 0, 1), 3, if(ISBLANK('2025'!$Q214), 0, 1), 4, if(ISBLANK('2025'!$R214), 0, 1), 5, if(ISBLANK('2025'!$S214), 0, 1), 6, if(ISBLANK('2025'!$T214), 0, 1), 7, 0))), 1, "")</f>
        <v/>
      </c>
      <c r="AQ216" s="1" t="str">
        <f>IF(AND(AND(AND(AQ$4&gt;='2025'!$L214,AQ$4&lt;='2025'!$M214), AQ$4&lt;&gt;DATE(2025,7,4)), (SWITCH(weekday(AQ$4), 1, 0, 2, if(ISBLANK('2025'!$P214), 0, 1), 3, if(ISBLANK('2025'!$Q214), 0, 1), 4, if(ISBLANK('2025'!$R214), 0, 1), 5, if(ISBLANK('2025'!$S214), 0, 1), 6, if(ISBLANK('2025'!$T214), 0, 1), 7, 0))), 1, "")</f>
        <v/>
      </c>
      <c r="AR216" s="1" t="str">
        <f>IF(AND(AND(AND(AR$4&gt;='2025'!$L214,AR$4&lt;='2025'!$M214), AR$4&lt;&gt;DATE(2025,7,4)), (SWITCH(weekday(AR$4), 1, 0, 2, if(ISBLANK('2025'!$P214), 0, 1), 3, if(ISBLANK('2025'!$Q214), 0, 1), 4, if(ISBLANK('2025'!$R214), 0, 1), 5, if(ISBLANK('2025'!$S214), 0, 1), 6, if(ISBLANK('2025'!$T214), 0, 1), 7, 0))), 1, "")</f>
        <v/>
      </c>
      <c r="AS216" s="1" t="str">
        <f>IF(AND(AND(AND(AS$4&gt;='2025'!$L214,AS$4&lt;='2025'!$M214), AS$4&lt;&gt;DATE(2025,7,4)), (SWITCH(weekday(AS$4), 1, 0, 2, if(ISBLANK('2025'!$P214), 0, 1), 3, if(ISBLANK('2025'!$Q214), 0, 1), 4, if(ISBLANK('2025'!$R214), 0, 1), 5, if(ISBLANK('2025'!$S214), 0, 1), 6, if(ISBLANK('2025'!$T214), 0, 1), 7, 0))), 1, "")</f>
        <v/>
      </c>
      <c r="AT216" s="1" t="str">
        <f>IF(AND(AND(AND(AT$4&gt;='2025'!$L214,AT$4&lt;='2025'!$M214), AT$4&lt;&gt;DATE(2025,7,4)), (SWITCH(weekday(AT$4), 1, 0, 2, if(ISBLANK('2025'!$P214), 0, 1), 3, if(ISBLANK('2025'!$Q214), 0, 1), 4, if(ISBLANK('2025'!$R214), 0, 1), 5, if(ISBLANK('2025'!$S214), 0, 1), 6, if(ISBLANK('2025'!$T214), 0, 1), 7, 0))), 1, "")</f>
        <v/>
      </c>
      <c r="AU216" s="1" t="str">
        <f>IF(AND(AND(AND(AU$4&gt;='2025'!$L214,AU$4&lt;='2025'!$M214), AU$4&lt;&gt;DATE(2025,7,4)), (SWITCH(weekday(AU$4), 1, 0, 2, if(ISBLANK('2025'!$P214), 0, 1), 3, if(ISBLANK('2025'!$Q214), 0, 1), 4, if(ISBLANK('2025'!$R214), 0, 1), 5, if(ISBLANK('2025'!$S214), 0, 1), 6, if(ISBLANK('2025'!$T214), 0, 1), 7, 0))), 1, "")</f>
        <v/>
      </c>
      <c r="AV216" s="1" t="str">
        <f>IF(AND(AND(AND(AV$4&gt;='2025'!$L214,AV$4&lt;='2025'!$M214), AV$4&lt;&gt;DATE(2025,7,4)), (SWITCH(weekday(AV$4), 1, 0, 2, if(ISBLANK('2025'!$P214), 0, 1), 3, if(ISBLANK('2025'!$Q214), 0, 1), 4, if(ISBLANK('2025'!$R214), 0, 1), 5, if(ISBLANK('2025'!$S214), 0, 1), 6, if(ISBLANK('2025'!$T214), 0, 1), 7, 0))), 1, "")</f>
        <v/>
      </c>
      <c r="AW216" s="1" t="str">
        <f>IF(AND(AND(AND(AW$4&gt;='2025'!$L214,AW$4&lt;='2025'!$M214), AW$4&lt;&gt;DATE(2025,7,4)), (SWITCH(weekday(AW$4), 1, 0, 2, if(ISBLANK('2025'!$P214), 0, 1), 3, if(ISBLANK('2025'!$Q214), 0, 1), 4, if(ISBLANK('2025'!$R214), 0, 1), 5, if(ISBLANK('2025'!$S214), 0, 1), 6, if(ISBLANK('2025'!$T214), 0, 1), 7, 0))), 1, "")</f>
        <v/>
      </c>
      <c r="AX216" s="1" t="str">
        <f>IF(AND(AND(AND(AX$4&gt;='2025'!$L214,AX$4&lt;='2025'!$M214), AX$4&lt;&gt;DATE(2025,7,4)), (SWITCH(weekday(AX$4), 1, 0, 2, if(ISBLANK('2025'!$P214), 0, 1), 3, if(ISBLANK('2025'!$Q214), 0, 1), 4, if(ISBLANK('2025'!$R214), 0, 1), 5, if(ISBLANK('2025'!$S214), 0, 1), 6, if(ISBLANK('2025'!$T214), 0, 1), 7, 0))), 1, "")</f>
        <v/>
      </c>
      <c r="AY216" s="1" t="str">
        <f>IF(AND(AND(AND(AY$4&gt;='2025'!$L214,AY$4&lt;='2025'!$M214), AY$4&lt;&gt;DATE(2025,7,4)), (SWITCH(weekday(AY$4), 1, 0, 2, if(ISBLANK('2025'!$P214), 0, 1), 3, if(ISBLANK('2025'!$Q214), 0, 1), 4, if(ISBLANK('2025'!$R214), 0, 1), 5, if(ISBLANK('2025'!$S214), 0, 1), 6, if(ISBLANK('2025'!$T214), 0, 1), 7, 0))), 1, "")</f>
        <v/>
      </c>
      <c r="AZ216" s="1" t="str">
        <f>IF(AND(AND(AND(AZ$4&gt;='2025'!$L214,AZ$4&lt;='2025'!$M214), AZ$4&lt;&gt;DATE(2025,7,4)), (SWITCH(weekday(AZ$4), 1, 0, 2, if(ISBLANK('2025'!$P214), 0, 1), 3, if(ISBLANK('2025'!$Q214), 0, 1), 4, if(ISBLANK('2025'!$R214), 0, 1), 5, if(ISBLANK('2025'!$S214), 0, 1), 6, if(ISBLANK('2025'!$T214), 0, 1), 7, 0))), 1, "")</f>
        <v/>
      </c>
      <c r="BA216" s="1" t="str">
        <f>IF(AND(AND(AND(BA$4&gt;='2025'!$L214,BA$4&lt;='2025'!$M214), BA$4&lt;&gt;DATE(2025,7,4)), (SWITCH(weekday(BA$4), 1, 0, 2, if(ISBLANK('2025'!$P214), 0, 1), 3, if(ISBLANK('2025'!$Q214), 0, 1), 4, if(ISBLANK('2025'!$R214), 0, 1), 5, if(ISBLANK('2025'!$S214), 0, 1), 6, if(ISBLANK('2025'!$T214), 0, 1), 7, 0))), 1, "")</f>
        <v/>
      </c>
      <c r="BB216" s="1" t="str">
        <f>IF(AND(AND(AND(BB$4&gt;='2025'!$L214,BB$4&lt;='2025'!$M214), BB$4&lt;&gt;DATE(2025,7,4)), (SWITCH(weekday(BB$4), 1, 0, 2, if(ISBLANK('2025'!$P214), 0, 1), 3, if(ISBLANK('2025'!$Q214), 0, 1), 4, if(ISBLANK('2025'!$R214), 0, 1), 5, if(ISBLANK('2025'!$S214), 0, 1), 6, if(ISBLANK('2025'!$T214), 0, 1), 7, 0))), 1, "")</f>
        <v/>
      </c>
      <c r="BC216" s="1" t="str">
        <f>IF(AND(AND(AND(BC$4&gt;='2025'!$L214,BC$4&lt;='2025'!$M214), BC$4&lt;&gt;DATE(2025,7,4)), (SWITCH(weekday(BC$4), 1, 0, 2, if(ISBLANK('2025'!$P214), 0, 1), 3, if(ISBLANK('2025'!$Q214), 0, 1), 4, if(ISBLANK('2025'!$R214), 0, 1), 5, if(ISBLANK('2025'!$S214), 0, 1), 6, if(ISBLANK('2025'!$T214), 0, 1), 7, 0))), 1, "")</f>
        <v/>
      </c>
      <c r="BD216" s="1" t="str">
        <f>IF(AND(AND(AND(BD$4&gt;='2025'!$L214,BD$4&lt;='2025'!$M214), BD$4&lt;&gt;DATE(2025,7,4)), (SWITCH(weekday(BD$4), 1, 0, 2, if(ISBLANK('2025'!$P214), 0, 1), 3, if(ISBLANK('2025'!$Q214), 0, 1), 4, if(ISBLANK('2025'!$R214), 0, 1), 5, if(ISBLANK('2025'!$S214), 0, 1), 6, if(ISBLANK('2025'!$T214), 0, 1), 7, 0))), 1, "")</f>
        <v/>
      </c>
      <c r="BE216" s="1" t="str">
        <f>IF(AND(AND(AND(BE$4&gt;='2025'!$L214,BE$4&lt;='2025'!$M214), BE$4&lt;&gt;DATE(2025,7,4)), (SWITCH(weekday(BE$4), 1, 0, 2, if(ISBLANK('2025'!$P214), 0, 1), 3, if(ISBLANK('2025'!$Q214), 0, 1), 4, if(ISBLANK('2025'!$R214), 0, 1), 5, if(ISBLANK('2025'!$S214), 0, 1), 6, if(ISBLANK('2025'!$T214), 0, 1), 7, 0))), 1, "")</f>
        <v/>
      </c>
      <c r="BF216" s="1" t="str">
        <f>IF(AND(AND(AND(BF$4&gt;='2025'!$L214,BF$4&lt;='2025'!$M214), BF$4&lt;&gt;DATE(2025,7,4)), (SWITCH(weekday(BF$4), 1, 0, 2, if(ISBLANK('2025'!$P214), 0, 1), 3, if(ISBLANK('2025'!$Q214), 0, 1), 4, if(ISBLANK('2025'!$R214), 0, 1), 5, if(ISBLANK('2025'!$S214), 0, 1), 6, if(ISBLANK('2025'!$T214), 0, 1), 7, 0))), 1, "")</f>
        <v/>
      </c>
      <c r="BG216" s="1"/>
      <c r="BH216" s="1"/>
      <c r="BI216" s="1"/>
      <c r="BJ216" s="1"/>
      <c r="BK216" s="1"/>
      <c r="BL216" s="1"/>
    </row>
    <row r="217">
      <c r="A217" s="1">
        <f t="shared" si="3"/>
        <v>217</v>
      </c>
      <c r="B217" s="1" t="str">
        <f>'2025'!D181</f>
        <v>, </v>
      </c>
      <c r="C217" s="1" t="str">
        <f>'2025'!H181</f>
        <v/>
      </c>
      <c r="D217" s="1" t="str">
        <f>IF(AND(AND(AND(D$4&gt;='2025'!$L215,D$4&lt;='2025'!$M215), D$4&lt;&gt;DATE(2025,7,4)), (SWITCH(weekday(D$4), 1, 0, 2, if(ISBLANK('2025'!$P215), 0, 1), 3, if(ISBLANK('2025'!$Q215), 0, 1), 4, if(ISBLANK('2025'!$R215), 0, 1), 5, if(ISBLANK('2025'!$S215), 0, 1), 6, if(ISBLANK('2025'!$T215), 0, 1), 7, 0))), 1, "")</f>
        <v/>
      </c>
      <c r="E217" s="1" t="str">
        <f>IF(AND(AND(AND(E$4&gt;='2025'!$L215,E$4&lt;='2025'!$M215), E$4&lt;&gt;DATE(2025,7,4)), (SWITCH(weekday(E$4), 1, 0, 2, if(ISBLANK('2025'!$P215), 0, 1), 3, if(ISBLANK('2025'!$Q215), 0, 1), 4, if(ISBLANK('2025'!$R215), 0, 1), 5, if(ISBLANK('2025'!$S215), 0, 1), 6, if(ISBLANK('2025'!$T215), 0, 1), 7, 0))), 1, "")</f>
        <v/>
      </c>
      <c r="F217" s="1" t="str">
        <f>IF(AND(AND(AND(F$4&gt;='2025'!$L215,F$4&lt;='2025'!$M215), F$4&lt;&gt;DATE(2025,7,4)), (SWITCH(weekday(F$4), 1, 0, 2, if(ISBLANK('2025'!$P215), 0, 1), 3, if(ISBLANK('2025'!$Q215), 0, 1), 4, if(ISBLANK('2025'!$R215), 0, 1), 5, if(ISBLANK('2025'!$S215), 0, 1), 6, if(ISBLANK('2025'!$T215), 0, 1), 7, 0))), 1, "")</f>
        <v/>
      </c>
      <c r="G217" s="1" t="str">
        <f>IF(AND(AND(AND(G$4&gt;='2025'!$L215,G$4&lt;='2025'!$M215), G$4&lt;&gt;DATE(2025,7,4)), (SWITCH(weekday(G$4), 1, 0, 2, if(ISBLANK('2025'!$P215), 0, 1), 3, if(ISBLANK('2025'!$Q215), 0, 1), 4, if(ISBLANK('2025'!$R215), 0, 1), 5, if(ISBLANK('2025'!$S215), 0, 1), 6, if(ISBLANK('2025'!$T215), 0, 1), 7, 0))), 1, "")</f>
        <v/>
      </c>
      <c r="H217" s="1" t="str">
        <f>IF(AND(AND(AND(H$4&gt;='2025'!$L215,H$4&lt;='2025'!$M215), H$4&lt;&gt;DATE(2025,7,4)), (SWITCH(weekday(H$4), 1, 0, 2, if(ISBLANK('2025'!$P215), 0, 1), 3, if(ISBLANK('2025'!$Q215), 0, 1), 4, if(ISBLANK('2025'!$R215), 0, 1), 5, if(ISBLANK('2025'!$S215), 0, 1), 6, if(ISBLANK('2025'!$T215), 0, 1), 7, 0))), 1, "")</f>
        <v/>
      </c>
      <c r="I217" s="1" t="str">
        <f>IF(AND(AND(AND(I$4&gt;='2025'!$L215,I$4&lt;='2025'!$M215), I$4&lt;&gt;DATE(2025,7,4)), (SWITCH(weekday(I$4), 1, 0, 2, if(ISBLANK('2025'!$P215), 0, 1), 3, if(ISBLANK('2025'!$Q215), 0, 1), 4, if(ISBLANK('2025'!$R215), 0, 1), 5, if(ISBLANK('2025'!$S215), 0, 1), 6, if(ISBLANK('2025'!$T215), 0, 1), 7, 0))), 1, "")</f>
        <v/>
      </c>
      <c r="J217" s="1" t="str">
        <f>IF(AND(AND(AND(J$4&gt;='2025'!$L215,J$4&lt;='2025'!$M215), J$4&lt;&gt;DATE(2025,7,4)), (SWITCH(weekday(J$4), 1, 0, 2, if(ISBLANK('2025'!$P215), 0, 1), 3, if(ISBLANK('2025'!$Q215), 0, 1), 4, if(ISBLANK('2025'!$R215), 0, 1), 5, if(ISBLANK('2025'!$S215), 0, 1), 6, if(ISBLANK('2025'!$T215), 0, 1), 7, 0))), 1, "")</f>
        <v/>
      </c>
      <c r="K217" s="1" t="str">
        <f>IF(AND(AND(AND(K$4&gt;='2025'!$L215,K$4&lt;='2025'!$M215), K$4&lt;&gt;DATE(2025,7,4)), (SWITCH(weekday(K$4), 1, 0, 2, if(ISBLANK('2025'!$P215), 0, 1), 3, if(ISBLANK('2025'!$Q215), 0, 1), 4, if(ISBLANK('2025'!$R215), 0, 1), 5, if(ISBLANK('2025'!$S215), 0, 1), 6, if(ISBLANK('2025'!$T215), 0, 1), 7, 0))), 1, "")</f>
        <v/>
      </c>
      <c r="L217" s="1" t="str">
        <f>IF(AND(AND(AND(L$4&gt;='2025'!$L215,L$4&lt;='2025'!$M215), L$4&lt;&gt;DATE(2025,7,4)), (SWITCH(weekday(L$4), 1, 0, 2, if(ISBLANK('2025'!$P215), 0, 1), 3, if(ISBLANK('2025'!$Q215), 0, 1), 4, if(ISBLANK('2025'!$R215), 0, 1), 5, if(ISBLANK('2025'!$S215), 0, 1), 6, if(ISBLANK('2025'!$T215), 0, 1), 7, 0))), 1, "")</f>
        <v/>
      </c>
      <c r="M217" s="1" t="str">
        <f>IF(AND(AND(AND(M$4&gt;='2025'!$L215,M$4&lt;='2025'!$M215), M$4&lt;&gt;DATE(2025,7,4)), (SWITCH(weekday(M$4), 1, 0, 2, if(ISBLANK('2025'!$P215), 0, 1), 3, if(ISBLANK('2025'!$Q215), 0, 1), 4, if(ISBLANK('2025'!$R215), 0, 1), 5, if(ISBLANK('2025'!$S215), 0, 1), 6, if(ISBLANK('2025'!$T215), 0, 1), 7, 0))), 1, "")</f>
        <v/>
      </c>
      <c r="N217" s="1" t="str">
        <f>IF(AND(AND(AND(N$4&gt;='2025'!$L215,N$4&lt;='2025'!$M215), N$4&lt;&gt;DATE(2025,7,4)), (SWITCH(weekday(N$4), 1, 0, 2, if(ISBLANK('2025'!$P215), 0, 1), 3, if(ISBLANK('2025'!$Q215), 0, 1), 4, if(ISBLANK('2025'!$R215), 0, 1), 5, if(ISBLANK('2025'!$S215), 0, 1), 6, if(ISBLANK('2025'!$T215), 0, 1), 7, 0))), 1, "")</f>
        <v/>
      </c>
      <c r="O217" s="1" t="str">
        <f>IF(AND(AND(AND(O$4&gt;='2025'!$L215,O$4&lt;='2025'!$M215), O$4&lt;&gt;DATE(2025,7,4)), (SWITCH(weekday(O$4), 1, 0, 2, if(ISBLANK('2025'!$P215), 0, 1), 3, if(ISBLANK('2025'!$Q215), 0, 1), 4, if(ISBLANK('2025'!$R215), 0, 1), 5, if(ISBLANK('2025'!$S215), 0, 1), 6, if(ISBLANK('2025'!$T215), 0, 1), 7, 0))), 1, "")</f>
        <v/>
      </c>
      <c r="P217" s="1" t="str">
        <f>IF(AND(AND(AND(P$4&gt;='2025'!$L215,P$4&lt;='2025'!$M215), P$4&lt;&gt;DATE(2025,7,4)), (SWITCH(weekday(P$4), 1, 0, 2, if(ISBLANK('2025'!$P215), 0, 1), 3, if(ISBLANK('2025'!$Q215), 0, 1), 4, if(ISBLANK('2025'!$R215), 0, 1), 5, if(ISBLANK('2025'!$S215), 0, 1), 6, if(ISBLANK('2025'!$T215), 0, 1), 7, 0))), 1, "")</f>
        <v/>
      </c>
      <c r="Q217" s="1" t="str">
        <f>IF(AND(AND(AND(Q$4&gt;='2025'!$L215,Q$4&lt;='2025'!$M215), Q$4&lt;&gt;DATE(2025,7,4)), (SWITCH(weekday(Q$4), 1, 0, 2, if(ISBLANK('2025'!$P215), 0, 1), 3, if(ISBLANK('2025'!$Q215), 0, 1), 4, if(ISBLANK('2025'!$R215), 0, 1), 5, if(ISBLANK('2025'!$S215), 0, 1), 6, if(ISBLANK('2025'!$T215), 0, 1), 7, 0))), 1, "")</f>
        <v/>
      </c>
      <c r="R217" s="1" t="str">
        <f>IF(AND(AND(AND(R$4&gt;='2025'!$L215,R$4&lt;='2025'!$M215), R$4&lt;&gt;DATE(2025,7,4)), (SWITCH(weekday(R$4), 1, 0, 2, if(ISBLANK('2025'!$P215), 0, 1), 3, if(ISBLANK('2025'!$Q215), 0, 1), 4, if(ISBLANK('2025'!$R215), 0, 1), 5, if(ISBLANK('2025'!$S215), 0, 1), 6, if(ISBLANK('2025'!$T215), 0, 1), 7, 0))), 1, "")</f>
        <v/>
      </c>
      <c r="S217" s="1" t="str">
        <f>IF(AND(AND(AND(S$4&gt;='2025'!$L215,S$4&lt;='2025'!$M215), S$4&lt;&gt;DATE(2025,7,4)), (SWITCH(weekday(S$4), 1, 0, 2, if(ISBLANK('2025'!$P215), 0, 1), 3, if(ISBLANK('2025'!$Q215), 0, 1), 4, if(ISBLANK('2025'!$R215), 0, 1), 5, if(ISBLANK('2025'!$S215), 0, 1), 6, if(ISBLANK('2025'!$T215), 0, 1), 7, 0))), 1, "")</f>
        <v/>
      </c>
      <c r="T217" s="1" t="str">
        <f>IF(AND(AND(AND(T$4&gt;='2025'!$L215,T$4&lt;='2025'!$M215), T$4&lt;&gt;DATE(2025,7,4)), (SWITCH(weekday(T$4), 1, 0, 2, if(ISBLANK('2025'!$P215), 0, 1), 3, if(ISBLANK('2025'!$Q215), 0, 1), 4, if(ISBLANK('2025'!$R215), 0, 1), 5, if(ISBLANK('2025'!$S215), 0, 1), 6, if(ISBLANK('2025'!$T215), 0, 1), 7, 0))), 1, "")</f>
        <v/>
      </c>
      <c r="U217" s="1" t="str">
        <f>IF(AND(AND(AND(U$4&gt;='2025'!$L215,U$4&lt;='2025'!$M215), U$4&lt;&gt;DATE(2025,7,4)), (SWITCH(weekday(U$4), 1, 0, 2, if(ISBLANK('2025'!$P215), 0, 1), 3, if(ISBLANK('2025'!$Q215), 0, 1), 4, if(ISBLANK('2025'!$R215), 0, 1), 5, if(ISBLANK('2025'!$S215), 0, 1), 6, if(ISBLANK('2025'!$T215), 0, 1), 7, 0))), 1, "")</f>
        <v/>
      </c>
      <c r="V217" s="1" t="str">
        <f>IF(AND(AND(AND(V$4&gt;='2025'!$L215,V$4&lt;='2025'!$M215), V$4&lt;&gt;DATE(2025,7,4)), (SWITCH(weekday(V$4), 1, 0, 2, if(ISBLANK('2025'!$P215), 0, 1), 3, if(ISBLANK('2025'!$Q215), 0, 1), 4, if(ISBLANK('2025'!$R215), 0, 1), 5, if(ISBLANK('2025'!$S215), 0, 1), 6, if(ISBLANK('2025'!$T215), 0, 1), 7, 0))), 1, "")</f>
        <v/>
      </c>
      <c r="W217" s="1" t="str">
        <f>IF(AND(AND(AND(W$4&gt;='2025'!$L215,W$4&lt;='2025'!$M215), W$4&lt;&gt;DATE(2025,7,4)), (SWITCH(weekday(W$4), 1, 0, 2, if(ISBLANK('2025'!$P215), 0, 1), 3, if(ISBLANK('2025'!$Q215), 0, 1), 4, if(ISBLANK('2025'!$R215), 0, 1), 5, if(ISBLANK('2025'!$S215), 0, 1), 6, if(ISBLANK('2025'!$T215), 0, 1), 7, 0))), 1, "")</f>
        <v/>
      </c>
      <c r="X217" s="1" t="str">
        <f>IF(AND(AND(AND(X$4&gt;='2025'!$L215,X$4&lt;='2025'!$M215), X$4&lt;&gt;DATE(2025,7,4)), (SWITCH(weekday(X$4), 1, 0, 2, if(ISBLANK('2025'!$P215), 0, 1), 3, if(ISBLANK('2025'!$Q215), 0, 1), 4, if(ISBLANK('2025'!$R215), 0, 1), 5, if(ISBLANK('2025'!$S215), 0, 1), 6, if(ISBLANK('2025'!$T215), 0, 1), 7, 0))), 1, "")</f>
        <v/>
      </c>
      <c r="Y217" s="1" t="str">
        <f>IF(AND(AND(AND(Y$4&gt;='2025'!$L215,Y$4&lt;='2025'!$M215), Y$4&lt;&gt;DATE(2025,7,4)), (SWITCH(weekday(Y$4), 1, 0, 2, if(ISBLANK('2025'!$P215), 0, 1), 3, if(ISBLANK('2025'!$Q215), 0, 1), 4, if(ISBLANK('2025'!$R215), 0, 1), 5, if(ISBLANK('2025'!$S215), 0, 1), 6, if(ISBLANK('2025'!$T215), 0, 1), 7, 0))), 1, "")</f>
        <v/>
      </c>
      <c r="Z217" s="1" t="str">
        <f>IF(AND(AND(AND(Z$4&gt;='2025'!$L215,Z$4&lt;='2025'!$M215), Z$4&lt;&gt;DATE(2025,7,4)), (SWITCH(weekday(Z$4), 1, 0, 2, if(ISBLANK('2025'!$P215), 0, 1), 3, if(ISBLANK('2025'!$Q215), 0, 1), 4, if(ISBLANK('2025'!$R215), 0, 1), 5, if(ISBLANK('2025'!$S215), 0, 1), 6, if(ISBLANK('2025'!$T215), 0, 1), 7, 0))), 1, "")</f>
        <v/>
      </c>
      <c r="AA217" s="1" t="str">
        <f>IF(AND(AND(AND(AA$4&gt;='2025'!$L215,AA$4&lt;='2025'!$M215), AA$4&lt;&gt;DATE(2025,7,4)), (SWITCH(weekday(AA$4), 1, 0, 2, if(ISBLANK('2025'!$P215), 0, 1), 3, if(ISBLANK('2025'!$Q215), 0, 1), 4, if(ISBLANK('2025'!$R215), 0, 1), 5, if(ISBLANK('2025'!$S215), 0, 1), 6, if(ISBLANK('2025'!$T215), 0, 1), 7, 0))), 1, "")</f>
        <v/>
      </c>
      <c r="AB217" s="1" t="str">
        <f>IF(AND(AND(AND(AB$4&gt;='2025'!$L215,AB$4&lt;='2025'!$M215), AB$4&lt;&gt;DATE(2025,7,4)), (SWITCH(weekday(AB$4), 1, 0, 2, if(ISBLANK('2025'!$P215), 0, 1), 3, if(ISBLANK('2025'!$Q215), 0, 1), 4, if(ISBLANK('2025'!$R215), 0, 1), 5, if(ISBLANK('2025'!$S215), 0, 1), 6, if(ISBLANK('2025'!$T215), 0, 1), 7, 0))), 1, "")</f>
        <v/>
      </c>
      <c r="AC217" s="1" t="str">
        <f>IF(AND(AND(AND(AC$4&gt;='2025'!$L215,AC$4&lt;='2025'!$M215), AC$4&lt;&gt;DATE(2025,7,4)), (SWITCH(weekday(AC$4), 1, 0, 2, if(ISBLANK('2025'!$P215), 0, 1), 3, if(ISBLANK('2025'!$Q215), 0, 1), 4, if(ISBLANK('2025'!$R215), 0, 1), 5, if(ISBLANK('2025'!$S215), 0, 1), 6, if(ISBLANK('2025'!$T215), 0, 1), 7, 0))), 1, "")</f>
        <v/>
      </c>
      <c r="AD217" s="1" t="str">
        <f>IF(AND(AND(AND(AD$4&gt;='2025'!$L215,AD$4&lt;='2025'!$M215), AD$4&lt;&gt;DATE(2025,7,4)), (SWITCH(weekday(AD$4), 1, 0, 2, if(ISBLANK('2025'!$P215), 0, 1), 3, if(ISBLANK('2025'!$Q215), 0, 1), 4, if(ISBLANK('2025'!$R215), 0, 1), 5, if(ISBLANK('2025'!$S215), 0, 1), 6, if(ISBLANK('2025'!$T215), 0, 1), 7, 0))), 1, "")</f>
        <v/>
      </c>
      <c r="AE217" s="1" t="str">
        <f>IF(AND(AND(AND(AE$4&gt;='2025'!$L215,AE$4&lt;='2025'!$M215), AE$4&lt;&gt;DATE(2025,7,4)), (SWITCH(weekday(AE$4), 1, 0, 2, if(ISBLANK('2025'!$P215), 0, 1), 3, if(ISBLANK('2025'!$Q215), 0, 1), 4, if(ISBLANK('2025'!$R215), 0, 1), 5, if(ISBLANK('2025'!$S215), 0, 1), 6, if(ISBLANK('2025'!$T215), 0, 1), 7, 0))), 1, "")</f>
        <v/>
      </c>
      <c r="AF217" s="1" t="str">
        <f>IF(AND(AND(AND(AF$4&gt;='2025'!$L215,AF$4&lt;='2025'!$M215), AF$4&lt;&gt;DATE(2025,7,4)), (SWITCH(weekday(AF$4), 1, 0, 2, if(ISBLANK('2025'!$P215), 0, 1), 3, if(ISBLANK('2025'!$Q215), 0, 1), 4, if(ISBLANK('2025'!$R215), 0, 1), 5, if(ISBLANK('2025'!$S215), 0, 1), 6, if(ISBLANK('2025'!$T215), 0, 1), 7, 0))), 1, "")</f>
        <v/>
      </c>
      <c r="AG217" s="1" t="str">
        <f>IF(AND(AND(AND(AG$4&gt;='2025'!$L215,AG$4&lt;='2025'!$M215), AG$4&lt;&gt;DATE(2025,7,4)), (SWITCH(weekday(AG$4), 1, 0, 2, if(ISBLANK('2025'!$P215), 0, 1), 3, if(ISBLANK('2025'!$Q215), 0, 1), 4, if(ISBLANK('2025'!$R215), 0, 1), 5, if(ISBLANK('2025'!$S215), 0, 1), 6, if(ISBLANK('2025'!$T215), 0, 1), 7, 0))), 1, "")</f>
        <v/>
      </c>
      <c r="AH217" s="1" t="str">
        <f>IF(AND(AND(AND(AH$4&gt;='2025'!$L215,AH$4&lt;='2025'!$M215), AH$4&lt;&gt;DATE(2025,7,4)), (SWITCH(weekday(AH$4), 1, 0, 2, if(ISBLANK('2025'!$P215), 0, 1), 3, if(ISBLANK('2025'!$Q215), 0, 1), 4, if(ISBLANK('2025'!$R215), 0, 1), 5, if(ISBLANK('2025'!$S215), 0, 1), 6, if(ISBLANK('2025'!$T215), 0, 1), 7, 0))), 1, "")</f>
        <v/>
      </c>
      <c r="AI217" s="1" t="str">
        <f>IF(AND(AND(AND(AI$4&gt;='2025'!$L215,AI$4&lt;='2025'!$M215), AI$4&lt;&gt;DATE(2025,7,4)), (SWITCH(weekday(AI$4), 1, 0, 2, if(ISBLANK('2025'!$P215), 0, 1), 3, if(ISBLANK('2025'!$Q215), 0, 1), 4, if(ISBLANK('2025'!$R215), 0, 1), 5, if(ISBLANK('2025'!$S215), 0, 1), 6, if(ISBLANK('2025'!$T215), 0, 1), 7, 0))), 1, "")</f>
        <v/>
      </c>
      <c r="AJ217" s="1" t="str">
        <f>IF(AND(AND(AND(AJ$4&gt;='2025'!$L215,AJ$4&lt;='2025'!$M215), AJ$4&lt;&gt;DATE(2025,7,4)), (SWITCH(weekday(AJ$4), 1, 0, 2, if(ISBLANK('2025'!$P215), 0, 1), 3, if(ISBLANK('2025'!$Q215), 0, 1), 4, if(ISBLANK('2025'!$R215), 0, 1), 5, if(ISBLANK('2025'!$S215), 0, 1), 6, if(ISBLANK('2025'!$T215), 0, 1), 7, 0))), 1, "")</f>
        <v/>
      </c>
      <c r="AK217" s="1" t="str">
        <f>IF(AND(AND(AND(AK$4&gt;='2025'!$L215,AK$4&lt;='2025'!$M215), AK$4&lt;&gt;DATE(2025,7,4)), (SWITCH(weekday(AK$4), 1, 0, 2, if(ISBLANK('2025'!$P215), 0, 1), 3, if(ISBLANK('2025'!$Q215), 0, 1), 4, if(ISBLANK('2025'!$R215), 0, 1), 5, if(ISBLANK('2025'!$S215), 0, 1), 6, if(ISBLANK('2025'!$T215), 0, 1), 7, 0))), 1, "")</f>
        <v/>
      </c>
      <c r="AL217" s="1" t="str">
        <f>IF(AND(AND(AND(AL$4&gt;='2025'!$L215,AL$4&lt;='2025'!$M215), AL$4&lt;&gt;DATE(2025,7,4)), (SWITCH(weekday(AL$4), 1, 0, 2, if(ISBLANK('2025'!$P215), 0, 1), 3, if(ISBLANK('2025'!$Q215), 0, 1), 4, if(ISBLANK('2025'!$R215), 0, 1), 5, if(ISBLANK('2025'!$S215), 0, 1), 6, if(ISBLANK('2025'!$T215), 0, 1), 7, 0))), 1, "")</f>
        <v/>
      </c>
      <c r="AM217" s="1" t="str">
        <f>IF(AND(AND(AND(AM$4&gt;='2025'!$L215,AM$4&lt;='2025'!$M215), AM$4&lt;&gt;DATE(2025,7,4)), (SWITCH(weekday(AM$4), 1, 0, 2, if(ISBLANK('2025'!$P215), 0, 1), 3, if(ISBLANK('2025'!$Q215), 0, 1), 4, if(ISBLANK('2025'!$R215), 0, 1), 5, if(ISBLANK('2025'!$S215), 0, 1), 6, if(ISBLANK('2025'!$T215), 0, 1), 7, 0))), 1, "")</f>
        <v/>
      </c>
      <c r="AN217" s="1" t="str">
        <f>IF(AND(AND(AND(AN$4&gt;='2025'!$L215,AN$4&lt;='2025'!$M215), AN$4&lt;&gt;DATE(2025,7,4)), (SWITCH(weekday(AN$4), 1, 0, 2, if(ISBLANK('2025'!$P215), 0, 1), 3, if(ISBLANK('2025'!$Q215), 0, 1), 4, if(ISBLANK('2025'!$R215), 0, 1), 5, if(ISBLANK('2025'!$S215), 0, 1), 6, if(ISBLANK('2025'!$T215), 0, 1), 7, 0))), 1, "")</f>
        <v/>
      </c>
      <c r="AO217" s="1" t="str">
        <f>IF(AND(AND(AND(AO$4&gt;='2025'!$L215,AO$4&lt;='2025'!$M215), AO$4&lt;&gt;DATE(2025,7,4)), (SWITCH(weekday(AO$4), 1, 0, 2, if(ISBLANK('2025'!$P215), 0, 1), 3, if(ISBLANK('2025'!$Q215), 0, 1), 4, if(ISBLANK('2025'!$R215), 0, 1), 5, if(ISBLANK('2025'!$S215), 0, 1), 6, if(ISBLANK('2025'!$T215), 0, 1), 7, 0))), 1, "")</f>
        <v/>
      </c>
      <c r="AP217" s="1" t="str">
        <f>IF(AND(AND(AND(AP$4&gt;='2025'!$L215,AP$4&lt;='2025'!$M215), AP$4&lt;&gt;DATE(2025,7,4)), (SWITCH(weekday(AP$4), 1, 0, 2, if(ISBLANK('2025'!$P215), 0, 1), 3, if(ISBLANK('2025'!$Q215), 0, 1), 4, if(ISBLANK('2025'!$R215), 0, 1), 5, if(ISBLANK('2025'!$S215), 0, 1), 6, if(ISBLANK('2025'!$T215), 0, 1), 7, 0))), 1, "")</f>
        <v/>
      </c>
      <c r="AQ217" s="1" t="str">
        <f>IF(AND(AND(AND(AQ$4&gt;='2025'!$L215,AQ$4&lt;='2025'!$M215), AQ$4&lt;&gt;DATE(2025,7,4)), (SWITCH(weekday(AQ$4), 1, 0, 2, if(ISBLANK('2025'!$P215), 0, 1), 3, if(ISBLANK('2025'!$Q215), 0, 1), 4, if(ISBLANK('2025'!$R215), 0, 1), 5, if(ISBLANK('2025'!$S215), 0, 1), 6, if(ISBLANK('2025'!$T215), 0, 1), 7, 0))), 1, "")</f>
        <v/>
      </c>
      <c r="AR217" s="1" t="str">
        <f>IF(AND(AND(AND(AR$4&gt;='2025'!$L215,AR$4&lt;='2025'!$M215), AR$4&lt;&gt;DATE(2025,7,4)), (SWITCH(weekday(AR$4), 1, 0, 2, if(ISBLANK('2025'!$P215), 0, 1), 3, if(ISBLANK('2025'!$Q215), 0, 1), 4, if(ISBLANK('2025'!$R215), 0, 1), 5, if(ISBLANK('2025'!$S215), 0, 1), 6, if(ISBLANK('2025'!$T215), 0, 1), 7, 0))), 1, "")</f>
        <v/>
      </c>
      <c r="AS217" s="1" t="str">
        <f>IF(AND(AND(AND(AS$4&gt;='2025'!$L215,AS$4&lt;='2025'!$M215), AS$4&lt;&gt;DATE(2025,7,4)), (SWITCH(weekday(AS$4), 1, 0, 2, if(ISBLANK('2025'!$P215), 0, 1), 3, if(ISBLANK('2025'!$Q215), 0, 1), 4, if(ISBLANK('2025'!$R215), 0, 1), 5, if(ISBLANK('2025'!$S215), 0, 1), 6, if(ISBLANK('2025'!$T215), 0, 1), 7, 0))), 1, "")</f>
        <v/>
      </c>
      <c r="AT217" s="1" t="str">
        <f>IF(AND(AND(AND(AT$4&gt;='2025'!$L215,AT$4&lt;='2025'!$M215), AT$4&lt;&gt;DATE(2025,7,4)), (SWITCH(weekday(AT$4), 1, 0, 2, if(ISBLANK('2025'!$P215), 0, 1), 3, if(ISBLANK('2025'!$Q215), 0, 1), 4, if(ISBLANK('2025'!$R215), 0, 1), 5, if(ISBLANK('2025'!$S215), 0, 1), 6, if(ISBLANK('2025'!$T215), 0, 1), 7, 0))), 1, "")</f>
        <v/>
      </c>
      <c r="AU217" s="1" t="str">
        <f>IF(AND(AND(AND(AU$4&gt;='2025'!$L215,AU$4&lt;='2025'!$M215), AU$4&lt;&gt;DATE(2025,7,4)), (SWITCH(weekday(AU$4), 1, 0, 2, if(ISBLANK('2025'!$P215), 0, 1), 3, if(ISBLANK('2025'!$Q215), 0, 1), 4, if(ISBLANK('2025'!$R215), 0, 1), 5, if(ISBLANK('2025'!$S215), 0, 1), 6, if(ISBLANK('2025'!$T215), 0, 1), 7, 0))), 1, "")</f>
        <v/>
      </c>
      <c r="AV217" s="1" t="str">
        <f>IF(AND(AND(AND(AV$4&gt;='2025'!$L215,AV$4&lt;='2025'!$M215), AV$4&lt;&gt;DATE(2025,7,4)), (SWITCH(weekday(AV$4), 1, 0, 2, if(ISBLANK('2025'!$P215), 0, 1), 3, if(ISBLANK('2025'!$Q215), 0, 1), 4, if(ISBLANK('2025'!$R215), 0, 1), 5, if(ISBLANK('2025'!$S215), 0, 1), 6, if(ISBLANK('2025'!$T215), 0, 1), 7, 0))), 1, "")</f>
        <v/>
      </c>
      <c r="AW217" s="1" t="str">
        <f>IF(AND(AND(AND(AW$4&gt;='2025'!$L215,AW$4&lt;='2025'!$M215), AW$4&lt;&gt;DATE(2025,7,4)), (SWITCH(weekday(AW$4), 1, 0, 2, if(ISBLANK('2025'!$P215), 0, 1), 3, if(ISBLANK('2025'!$Q215), 0, 1), 4, if(ISBLANK('2025'!$R215), 0, 1), 5, if(ISBLANK('2025'!$S215), 0, 1), 6, if(ISBLANK('2025'!$T215), 0, 1), 7, 0))), 1, "")</f>
        <v/>
      </c>
      <c r="AX217" s="1" t="str">
        <f>IF(AND(AND(AND(AX$4&gt;='2025'!$L215,AX$4&lt;='2025'!$M215), AX$4&lt;&gt;DATE(2025,7,4)), (SWITCH(weekday(AX$4), 1, 0, 2, if(ISBLANK('2025'!$P215), 0, 1), 3, if(ISBLANK('2025'!$Q215), 0, 1), 4, if(ISBLANK('2025'!$R215), 0, 1), 5, if(ISBLANK('2025'!$S215), 0, 1), 6, if(ISBLANK('2025'!$T215), 0, 1), 7, 0))), 1, "")</f>
        <v/>
      </c>
      <c r="AY217" s="1" t="str">
        <f>IF(AND(AND(AND(AY$4&gt;='2025'!$L215,AY$4&lt;='2025'!$M215), AY$4&lt;&gt;DATE(2025,7,4)), (SWITCH(weekday(AY$4), 1, 0, 2, if(ISBLANK('2025'!$P215), 0, 1), 3, if(ISBLANK('2025'!$Q215), 0, 1), 4, if(ISBLANK('2025'!$R215), 0, 1), 5, if(ISBLANK('2025'!$S215), 0, 1), 6, if(ISBLANK('2025'!$T215), 0, 1), 7, 0))), 1, "")</f>
        <v/>
      </c>
      <c r="AZ217" s="1" t="str">
        <f>IF(AND(AND(AND(AZ$4&gt;='2025'!$L215,AZ$4&lt;='2025'!$M215), AZ$4&lt;&gt;DATE(2025,7,4)), (SWITCH(weekday(AZ$4), 1, 0, 2, if(ISBLANK('2025'!$P215), 0, 1), 3, if(ISBLANK('2025'!$Q215), 0, 1), 4, if(ISBLANK('2025'!$R215), 0, 1), 5, if(ISBLANK('2025'!$S215), 0, 1), 6, if(ISBLANK('2025'!$T215), 0, 1), 7, 0))), 1, "")</f>
        <v/>
      </c>
      <c r="BA217" s="1" t="str">
        <f>IF(AND(AND(AND(BA$4&gt;='2025'!$L215,BA$4&lt;='2025'!$M215), BA$4&lt;&gt;DATE(2025,7,4)), (SWITCH(weekday(BA$4), 1, 0, 2, if(ISBLANK('2025'!$P215), 0, 1), 3, if(ISBLANK('2025'!$Q215), 0, 1), 4, if(ISBLANK('2025'!$R215), 0, 1), 5, if(ISBLANK('2025'!$S215), 0, 1), 6, if(ISBLANK('2025'!$T215), 0, 1), 7, 0))), 1, "")</f>
        <v/>
      </c>
      <c r="BB217" s="1" t="str">
        <f>IF(AND(AND(AND(BB$4&gt;='2025'!$L215,BB$4&lt;='2025'!$M215), BB$4&lt;&gt;DATE(2025,7,4)), (SWITCH(weekday(BB$4), 1, 0, 2, if(ISBLANK('2025'!$P215), 0, 1), 3, if(ISBLANK('2025'!$Q215), 0, 1), 4, if(ISBLANK('2025'!$R215), 0, 1), 5, if(ISBLANK('2025'!$S215), 0, 1), 6, if(ISBLANK('2025'!$T215), 0, 1), 7, 0))), 1, "")</f>
        <v/>
      </c>
      <c r="BC217" s="1" t="str">
        <f>IF(AND(AND(AND(BC$4&gt;='2025'!$L215,BC$4&lt;='2025'!$M215), BC$4&lt;&gt;DATE(2025,7,4)), (SWITCH(weekday(BC$4), 1, 0, 2, if(ISBLANK('2025'!$P215), 0, 1), 3, if(ISBLANK('2025'!$Q215), 0, 1), 4, if(ISBLANK('2025'!$R215), 0, 1), 5, if(ISBLANK('2025'!$S215), 0, 1), 6, if(ISBLANK('2025'!$T215), 0, 1), 7, 0))), 1, "")</f>
        <v/>
      </c>
      <c r="BD217" s="1" t="str">
        <f>IF(AND(AND(AND(BD$4&gt;='2025'!$L215,BD$4&lt;='2025'!$M215), BD$4&lt;&gt;DATE(2025,7,4)), (SWITCH(weekday(BD$4), 1, 0, 2, if(ISBLANK('2025'!$P215), 0, 1), 3, if(ISBLANK('2025'!$Q215), 0, 1), 4, if(ISBLANK('2025'!$R215), 0, 1), 5, if(ISBLANK('2025'!$S215), 0, 1), 6, if(ISBLANK('2025'!$T215), 0, 1), 7, 0))), 1, "")</f>
        <v/>
      </c>
      <c r="BE217" s="1" t="str">
        <f>IF(AND(AND(AND(BE$4&gt;='2025'!$L215,BE$4&lt;='2025'!$M215), BE$4&lt;&gt;DATE(2025,7,4)), (SWITCH(weekday(BE$4), 1, 0, 2, if(ISBLANK('2025'!$P215), 0, 1), 3, if(ISBLANK('2025'!$Q215), 0, 1), 4, if(ISBLANK('2025'!$R215), 0, 1), 5, if(ISBLANK('2025'!$S215), 0, 1), 6, if(ISBLANK('2025'!$T215), 0, 1), 7, 0))), 1, "")</f>
        <v/>
      </c>
      <c r="BF217" s="1" t="str">
        <f>IF(AND(AND(AND(BF$4&gt;='2025'!$L215,BF$4&lt;='2025'!$M215), BF$4&lt;&gt;DATE(2025,7,4)), (SWITCH(weekday(BF$4), 1, 0, 2, if(ISBLANK('2025'!$P215), 0, 1), 3, if(ISBLANK('2025'!$Q215), 0, 1), 4, if(ISBLANK('2025'!$R215), 0, 1), 5, if(ISBLANK('2025'!$S215), 0, 1), 6, if(ISBLANK('2025'!$T215), 0, 1), 7, 0))), 1, "")</f>
        <v/>
      </c>
      <c r="BG217" s="1"/>
      <c r="BH217" s="1"/>
      <c r="BI217" s="1"/>
      <c r="BJ217" s="1"/>
      <c r="BK217" s="1"/>
      <c r="BL217" s="1"/>
    </row>
    <row r="218">
      <c r="A218" s="1">
        <f t="shared" si="3"/>
        <v>218</v>
      </c>
      <c r="B218" s="1" t="str">
        <f>'2025'!D182</f>
        <v>, </v>
      </c>
      <c r="C218" s="1" t="str">
        <f>'2025'!H182</f>
        <v/>
      </c>
      <c r="D218" s="1" t="str">
        <f>IF(AND(AND(AND(D$4&gt;='2025'!$L216,D$4&lt;='2025'!$M216), D$4&lt;&gt;DATE(2025,7,4)), (SWITCH(weekday(D$4), 1, 0, 2, if(ISBLANK('2025'!$P216), 0, 1), 3, if(ISBLANK('2025'!$Q216), 0, 1), 4, if(ISBLANK('2025'!$R216), 0, 1), 5, if(ISBLANK('2025'!$S216), 0, 1), 6, if(ISBLANK('2025'!$T216), 0, 1), 7, 0))), 1, "")</f>
        <v/>
      </c>
      <c r="E218" s="1" t="str">
        <f>IF(AND(AND(AND(E$4&gt;='2025'!$L216,E$4&lt;='2025'!$M216), E$4&lt;&gt;DATE(2025,7,4)), (SWITCH(weekday(E$4), 1, 0, 2, if(ISBLANK('2025'!$P216), 0, 1), 3, if(ISBLANK('2025'!$Q216), 0, 1), 4, if(ISBLANK('2025'!$R216), 0, 1), 5, if(ISBLANK('2025'!$S216), 0, 1), 6, if(ISBLANK('2025'!$T216), 0, 1), 7, 0))), 1, "")</f>
        <v/>
      </c>
      <c r="F218" s="1" t="str">
        <f>IF(AND(AND(AND(F$4&gt;='2025'!$L216,F$4&lt;='2025'!$M216), F$4&lt;&gt;DATE(2025,7,4)), (SWITCH(weekday(F$4), 1, 0, 2, if(ISBLANK('2025'!$P216), 0, 1), 3, if(ISBLANK('2025'!$Q216), 0, 1), 4, if(ISBLANK('2025'!$R216), 0, 1), 5, if(ISBLANK('2025'!$S216), 0, 1), 6, if(ISBLANK('2025'!$T216), 0, 1), 7, 0))), 1, "")</f>
        <v/>
      </c>
      <c r="G218" s="1" t="str">
        <f>IF(AND(AND(AND(G$4&gt;='2025'!$L216,G$4&lt;='2025'!$M216), G$4&lt;&gt;DATE(2025,7,4)), (SWITCH(weekday(G$4), 1, 0, 2, if(ISBLANK('2025'!$P216), 0, 1), 3, if(ISBLANK('2025'!$Q216), 0, 1), 4, if(ISBLANK('2025'!$R216), 0, 1), 5, if(ISBLANK('2025'!$S216), 0, 1), 6, if(ISBLANK('2025'!$T216), 0, 1), 7, 0))), 1, "")</f>
        <v/>
      </c>
      <c r="H218" s="1" t="str">
        <f>IF(AND(AND(AND(H$4&gt;='2025'!$L216,H$4&lt;='2025'!$M216), H$4&lt;&gt;DATE(2025,7,4)), (SWITCH(weekday(H$4), 1, 0, 2, if(ISBLANK('2025'!$P216), 0, 1), 3, if(ISBLANK('2025'!$Q216), 0, 1), 4, if(ISBLANK('2025'!$R216), 0, 1), 5, if(ISBLANK('2025'!$S216), 0, 1), 6, if(ISBLANK('2025'!$T216), 0, 1), 7, 0))), 1, "")</f>
        <v/>
      </c>
      <c r="I218" s="1" t="str">
        <f>IF(AND(AND(AND(I$4&gt;='2025'!$L216,I$4&lt;='2025'!$M216), I$4&lt;&gt;DATE(2025,7,4)), (SWITCH(weekday(I$4), 1, 0, 2, if(ISBLANK('2025'!$P216), 0, 1), 3, if(ISBLANK('2025'!$Q216), 0, 1), 4, if(ISBLANK('2025'!$R216), 0, 1), 5, if(ISBLANK('2025'!$S216), 0, 1), 6, if(ISBLANK('2025'!$T216), 0, 1), 7, 0))), 1, "")</f>
        <v/>
      </c>
      <c r="J218" s="1" t="str">
        <f>IF(AND(AND(AND(J$4&gt;='2025'!$L216,J$4&lt;='2025'!$M216), J$4&lt;&gt;DATE(2025,7,4)), (SWITCH(weekday(J$4), 1, 0, 2, if(ISBLANK('2025'!$P216), 0, 1), 3, if(ISBLANK('2025'!$Q216), 0, 1), 4, if(ISBLANK('2025'!$R216), 0, 1), 5, if(ISBLANK('2025'!$S216), 0, 1), 6, if(ISBLANK('2025'!$T216), 0, 1), 7, 0))), 1, "")</f>
        <v/>
      </c>
      <c r="K218" s="1" t="str">
        <f>IF(AND(AND(AND(K$4&gt;='2025'!$L216,K$4&lt;='2025'!$M216), K$4&lt;&gt;DATE(2025,7,4)), (SWITCH(weekday(K$4), 1, 0, 2, if(ISBLANK('2025'!$P216), 0, 1), 3, if(ISBLANK('2025'!$Q216), 0, 1), 4, if(ISBLANK('2025'!$R216), 0, 1), 5, if(ISBLANK('2025'!$S216), 0, 1), 6, if(ISBLANK('2025'!$T216), 0, 1), 7, 0))), 1, "")</f>
        <v/>
      </c>
      <c r="L218" s="1" t="str">
        <f>IF(AND(AND(AND(L$4&gt;='2025'!$L216,L$4&lt;='2025'!$M216), L$4&lt;&gt;DATE(2025,7,4)), (SWITCH(weekday(L$4), 1, 0, 2, if(ISBLANK('2025'!$P216), 0, 1), 3, if(ISBLANK('2025'!$Q216), 0, 1), 4, if(ISBLANK('2025'!$R216), 0, 1), 5, if(ISBLANK('2025'!$S216), 0, 1), 6, if(ISBLANK('2025'!$T216), 0, 1), 7, 0))), 1, "")</f>
        <v/>
      </c>
      <c r="M218" s="1" t="str">
        <f>IF(AND(AND(AND(M$4&gt;='2025'!$L216,M$4&lt;='2025'!$M216), M$4&lt;&gt;DATE(2025,7,4)), (SWITCH(weekday(M$4), 1, 0, 2, if(ISBLANK('2025'!$P216), 0, 1), 3, if(ISBLANK('2025'!$Q216), 0, 1), 4, if(ISBLANK('2025'!$R216), 0, 1), 5, if(ISBLANK('2025'!$S216), 0, 1), 6, if(ISBLANK('2025'!$T216), 0, 1), 7, 0))), 1, "")</f>
        <v/>
      </c>
      <c r="N218" s="1" t="str">
        <f>IF(AND(AND(AND(N$4&gt;='2025'!$L216,N$4&lt;='2025'!$M216), N$4&lt;&gt;DATE(2025,7,4)), (SWITCH(weekday(N$4), 1, 0, 2, if(ISBLANK('2025'!$P216), 0, 1), 3, if(ISBLANK('2025'!$Q216), 0, 1), 4, if(ISBLANK('2025'!$R216), 0, 1), 5, if(ISBLANK('2025'!$S216), 0, 1), 6, if(ISBLANK('2025'!$T216), 0, 1), 7, 0))), 1, "")</f>
        <v/>
      </c>
      <c r="O218" s="1" t="str">
        <f>IF(AND(AND(AND(O$4&gt;='2025'!$L216,O$4&lt;='2025'!$M216), O$4&lt;&gt;DATE(2025,7,4)), (SWITCH(weekday(O$4), 1, 0, 2, if(ISBLANK('2025'!$P216), 0, 1), 3, if(ISBLANK('2025'!$Q216), 0, 1), 4, if(ISBLANK('2025'!$R216), 0, 1), 5, if(ISBLANK('2025'!$S216), 0, 1), 6, if(ISBLANK('2025'!$T216), 0, 1), 7, 0))), 1, "")</f>
        <v/>
      </c>
      <c r="P218" s="1" t="str">
        <f>IF(AND(AND(AND(P$4&gt;='2025'!$L216,P$4&lt;='2025'!$M216), P$4&lt;&gt;DATE(2025,7,4)), (SWITCH(weekday(P$4), 1, 0, 2, if(ISBLANK('2025'!$P216), 0, 1), 3, if(ISBLANK('2025'!$Q216), 0, 1), 4, if(ISBLANK('2025'!$R216), 0, 1), 5, if(ISBLANK('2025'!$S216), 0, 1), 6, if(ISBLANK('2025'!$T216), 0, 1), 7, 0))), 1, "")</f>
        <v/>
      </c>
      <c r="Q218" s="1" t="str">
        <f>IF(AND(AND(AND(Q$4&gt;='2025'!$L216,Q$4&lt;='2025'!$M216), Q$4&lt;&gt;DATE(2025,7,4)), (SWITCH(weekday(Q$4), 1, 0, 2, if(ISBLANK('2025'!$P216), 0, 1), 3, if(ISBLANK('2025'!$Q216), 0, 1), 4, if(ISBLANK('2025'!$R216), 0, 1), 5, if(ISBLANK('2025'!$S216), 0, 1), 6, if(ISBLANK('2025'!$T216), 0, 1), 7, 0))), 1, "")</f>
        <v/>
      </c>
      <c r="R218" s="1" t="str">
        <f>IF(AND(AND(AND(R$4&gt;='2025'!$L216,R$4&lt;='2025'!$M216), R$4&lt;&gt;DATE(2025,7,4)), (SWITCH(weekday(R$4), 1, 0, 2, if(ISBLANK('2025'!$P216), 0, 1), 3, if(ISBLANK('2025'!$Q216), 0, 1), 4, if(ISBLANK('2025'!$R216), 0, 1), 5, if(ISBLANK('2025'!$S216), 0, 1), 6, if(ISBLANK('2025'!$T216), 0, 1), 7, 0))), 1, "")</f>
        <v/>
      </c>
      <c r="S218" s="1" t="str">
        <f>IF(AND(AND(AND(S$4&gt;='2025'!$L216,S$4&lt;='2025'!$M216), S$4&lt;&gt;DATE(2025,7,4)), (SWITCH(weekday(S$4), 1, 0, 2, if(ISBLANK('2025'!$P216), 0, 1), 3, if(ISBLANK('2025'!$Q216), 0, 1), 4, if(ISBLANK('2025'!$R216), 0, 1), 5, if(ISBLANK('2025'!$S216), 0, 1), 6, if(ISBLANK('2025'!$T216), 0, 1), 7, 0))), 1, "")</f>
        <v/>
      </c>
      <c r="T218" s="1" t="str">
        <f>IF(AND(AND(AND(T$4&gt;='2025'!$L216,T$4&lt;='2025'!$M216), T$4&lt;&gt;DATE(2025,7,4)), (SWITCH(weekday(T$4), 1, 0, 2, if(ISBLANK('2025'!$P216), 0, 1), 3, if(ISBLANK('2025'!$Q216), 0, 1), 4, if(ISBLANK('2025'!$R216), 0, 1), 5, if(ISBLANK('2025'!$S216), 0, 1), 6, if(ISBLANK('2025'!$T216), 0, 1), 7, 0))), 1, "")</f>
        <v/>
      </c>
      <c r="U218" s="1" t="str">
        <f>IF(AND(AND(AND(U$4&gt;='2025'!$L216,U$4&lt;='2025'!$M216), U$4&lt;&gt;DATE(2025,7,4)), (SWITCH(weekday(U$4), 1, 0, 2, if(ISBLANK('2025'!$P216), 0, 1), 3, if(ISBLANK('2025'!$Q216), 0, 1), 4, if(ISBLANK('2025'!$R216), 0, 1), 5, if(ISBLANK('2025'!$S216), 0, 1), 6, if(ISBLANK('2025'!$T216), 0, 1), 7, 0))), 1, "")</f>
        <v/>
      </c>
      <c r="V218" s="1" t="str">
        <f>IF(AND(AND(AND(V$4&gt;='2025'!$L216,V$4&lt;='2025'!$M216), V$4&lt;&gt;DATE(2025,7,4)), (SWITCH(weekday(V$4), 1, 0, 2, if(ISBLANK('2025'!$P216), 0, 1), 3, if(ISBLANK('2025'!$Q216), 0, 1), 4, if(ISBLANK('2025'!$R216), 0, 1), 5, if(ISBLANK('2025'!$S216), 0, 1), 6, if(ISBLANK('2025'!$T216), 0, 1), 7, 0))), 1, "")</f>
        <v/>
      </c>
      <c r="W218" s="1" t="str">
        <f>IF(AND(AND(AND(W$4&gt;='2025'!$L216,W$4&lt;='2025'!$M216), W$4&lt;&gt;DATE(2025,7,4)), (SWITCH(weekday(W$4), 1, 0, 2, if(ISBLANK('2025'!$P216), 0, 1), 3, if(ISBLANK('2025'!$Q216), 0, 1), 4, if(ISBLANK('2025'!$R216), 0, 1), 5, if(ISBLANK('2025'!$S216), 0, 1), 6, if(ISBLANK('2025'!$T216), 0, 1), 7, 0))), 1, "")</f>
        <v/>
      </c>
      <c r="X218" s="1" t="str">
        <f>IF(AND(AND(AND(X$4&gt;='2025'!$L216,X$4&lt;='2025'!$M216), X$4&lt;&gt;DATE(2025,7,4)), (SWITCH(weekday(X$4), 1, 0, 2, if(ISBLANK('2025'!$P216), 0, 1), 3, if(ISBLANK('2025'!$Q216), 0, 1), 4, if(ISBLANK('2025'!$R216), 0, 1), 5, if(ISBLANK('2025'!$S216), 0, 1), 6, if(ISBLANK('2025'!$T216), 0, 1), 7, 0))), 1, "")</f>
        <v/>
      </c>
      <c r="Y218" s="1" t="str">
        <f>IF(AND(AND(AND(Y$4&gt;='2025'!$L216,Y$4&lt;='2025'!$M216), Y$4&lt;&gt;DATE(2025,7,4)), (SWITCH(weekday(Y$4), 1, 0, 2, if(ISBLANK('2025'!$P216), 0, 1), 3, if(ISBLANK('2025'!$Q216), 0, 1), 4, if(ISBLANK('2025'!$R216), 0, 1), 5, if(ISBLANK('2025'!$S216), 0, 1), 6, if(ISBLANK('2025'!$T216), 0, 1), 7, 0))), 1, "")</f>
        <v/>
      </c>
      <c r="Z218" s="1" t="str">
        <f>IF(AND(AND(AND(Z$4&gt;='2025'!$L216,Z$4&lt;='2025'!$M216), Z$4&lt;&gt;DATE(2025,7,4)), (SWITCH(weekday(Z$4), 1, 0, 2, if(ISBLANK('2025'!$P216), 0, 1), 3, if(ISBLANK('2025'!$Q216), 0, 1), 4, if(ISBLANK('2025'!$R216), 0, 1), 5, if(ISBLANK('2025'!$S216), 0, 1), 6, if(ISBLANK('2025'!$T216), 0, 1), 7, 0))), 1, "")</f>
        <v/>
      </c>
      <c r="AA218" s="1" t="str">
        <f>IF(AND(AND(AND(AA$4&gt;='2025'!$L216,AA$4&lt;='2025'!$M216), AA$4&lt;&gt;DATE(2025,7,4)), (SWITCH(weekday(AA$4), 1, 0, 2, if(ISBLANK('2025'!$P216), 0, 1), 3, if(ISBLANK('2025'!$Q216), 0, 1), 4, if(ISBLANK('2025'!$R216), 0, 1), 5, if(ISBLANK('2025'!$S216), 0, 1), 6, if(ISBLANK('2025'!$T216), 0, 1), 7, 0))), 1, "")</f>
        <v/>
      </c>
      <c r="AB218" s="1" t="str">
        <f>IF(AND(AND(AND(AB$4&gt;='2025'!$L216,AB$4&lt;='2025'!$M216), AB$4&lt;&gt;DATE(2025,7,4)), (SWITCH(weekday(AB$4), 1, 0, 2, if(ISBLANK('2025'!$P216), 0, 1), 3, if(ISBLANK('2025'!$Q216), 0, 1), 4, if(ISBLANK('2025'!$R216), 0, 1), 5, if(ISBLANK('2025'!$S216), 0, 1), 6, if(ISBLANK('2025'!$T216), 0, 1), 7, 0))), 1, "")</f>
        <v/>
      </c>
      <c r="AC218" s="1" t="str">
        <f>IF(AND(AND(AND(AC$4&gt;='2025'!$L216,AC$4&lt;='2025'!$M216), AC$4&lt;&gt;DATE(2025,7,4)), (SWITCH(weekday(AC$4), 1, 0, 2, if(ISBLANK('2025'!$P216), 0, 1), 3, if(ISBLANK('2025'!$Q216), 0, 1), 4, if(ISBLANK('2025'!$R216), 0, 1), 5, if(ISBLANK('2025'!$S216), 0, 1), 6, if(ISBLANK('2025'!$T216), 0, 1), 7, 0))), 1, "")</f>
        <v/>
      </c>
      <c r="AD218" s="1" t="str">
        <f>IF(AND(AND(AND(AD$4&gt;='2025'!$L216,AD$4&lt;='2025'!$M216), AD$4&lt;&gt;DATE(2025,7,4)), (SWITCH(weekday(AD$4), 1, 0, 2, if(ISBLANK('2025'!$P216), 0, 1), 3, if(ISBLANK('2025'!$Q216), 0, 1), 4, if(ISBLANK('2025'!$R216), 0, 1), 5, if(ISBLANK('2025'!$S216), 0, 1), 6, if(ISBLANK('2025'!$T216), 0, 1), 7, 0))), 1, "")</f>
        <v/>
      </c>
      <c r="AE218" s="1" t="str">
        <f>IF(AND(AND(AND(AE$4&gt;='2025'!$L216,AE$4&lt;='2025'!$M216), AE$4&lt;&gt;DATE(2025,7,4)), (SWITCH(weekday(AE$4), 1, 0, 2, if(ISBLANK('2025'!$P216), 0, 1), 3, if(ISBLANK('2025'!$Q216), 0, 1), 4, if(ISBLANK('2025'!$R216), 0, 1), 5, if(ISBLANK('2025'!$S216), 0, 1), 6, if(ISBLANK('2025'!$T216), 0, 1), 7, 0))), 1, "")</f>
        <v/>
      </c>
      <c r="AF218" s="1" t="str">
        <f>IF(AND(AND(AND(AF$4&gt;='2025'!$L216,AF$4&lt;='2025'!$M216), AF$4&lt;&gt;DATE(2025,7,4)), (SWITCH(weekday(AF$4), 1, 0, 2, if(ISBLANK('2025'!$P216), 0, 1), 3, if(ISBLANK('2025'!$Q216), 0, 1), 4, if(ISBLANK('2025'!$R216), 0, 1), 5, if(ISBLANK('2025'!$S216), 0, 1), 6, if(ISBLANK('2025'!$T216), 0, 1), 7, 0))), 1, "")</f>
        <v/>
      </c>
      <c r="AG218" s="1" t="str">
        <f>IF(AND(AND(AND(AG$4&gt;='2025'!$L216,AG$4&lt;='2025'!$M216), AG$4&lt;&gt;DATE(2025,7,4)), (SWITCH(weekday(AG$4), 1, 0, 2, if(ISBLANK('2025'!$P216), 0, 1), 3, if(ISBLANK('2025'!$Q216), 0, 1), 4, if(ISBLANK('2025'!$R216), 0, 1), 5, if(ISBLANK('2025'!$S216), 0, 1), 6, if(ISBLANK('2025'!$T216), 0, 1), 7, 0))), 1, "")</f>
        <v/>
      </c>
      <c r="AH218" s="1" t="str">
        <f>IF(AND(AND(AND(AH$4&gt;='2025'!$L216,AH$4&lt;='2025'!$M216), AH$4&lt;&gt;DATE(2025,7,4)), (SWITCH(weekday(AH$4), 1, 0, 2, if(ISBLANK('2025'!$P216), 0, 1), 3, if(ISBLANK('2025'!$Q216), 0, 1), 4, if(ISBLANK('2025'!$R216), 0, 1), 5, if(ISBLANK('2025'!$S216), 0, 1), 6, if(ISBLANK('2025'!$T216), 0, 1), 7, 0))), 1, "")</f>
        <v/>
      </c>
      <c r="AI218" s="1" t="str">
        <f>IF(AND(AND(AND(AI$4&gt;='2025'!$L216,AI$4&lt;='2025'!$M216), AI$4&lt;&gt;DATE(2025,7,4)), (SWITCH(weekday(AI$4), 1, 0, 2, if(ISBLANK('2025'!$P216), 0, 1), 3, if(ISBLANK('2025'!$Q216), 0, 1), 4, if(ISBLANK('2025'!$R216), 0, 1), 5, if(ISBLANK('2025'!$S216), 0, 1), 6, if(ISBLANK('2025'!$T216), 0, 1), 7, 0))), 1, "")</f>
        <v/>
      </c>
      <c r="AJ218" s="1" t="str">
        <f>IF(AND(AND(AND(AJ$4&gt;='2025'!$L216,AJ$4&lt;='2025'!$M216), AJ$4&lt;&gt;DATE(2025,7,4)), (SWITCH(weekday(AJ$4), 1, 0, 2, if(ISBLANK('2025'!$P216), 0, 1), 3, if(ISBLANK('2025'!$Q216), 0, 1), 4, if(ISBLANK('2025'!$R216), 0, 1), 5, if(ISBLANK('2025'!$S216), 0, 1), 6, if(ISBLANK('2025'!$T216), 0, 1), 7, 0))), 1, "")</f>
        <v/>
      </c>
      <c r="AK218" s="1" t="str">
        <f>IF(AND(AND(AND(AK$4&gt;='2025'!$L216,AK$4&lt;='2025'!$M216), AK$4&lt;&gt;DATE(2025,7,4)), (SWITCH(weekday(AK$4), 1, 0, 2, if(ISBLANK('2025'!$P216), 0, 1), 3, if(ISBLANK('2025'!$Q216), 0, 1), 4, if(ISBLANK('2025'!$R216), 0, 1), 5, if(ISBLANK('2025'!$S216), 0, 1), 6, if(ISBLANK('2025'!$T216), 0, 1), 7, 0))), 1, "")</f>
        <v/>
      </c>
      <c r="AL218" s="1" t="str">
        <f>IF(AND(AND(AND(AL$4&gt;='2025'!$L216,AL$4&lt;='2025'!$M216), AL$4&lt;&gt;DATE(2025,7,4)), (SWITCH(weekday(AL$4), 1, 0, 2, if(ISBLANK('2025'!$P216), 0, 1), 3, if(ISBLANK('2025'!$Q216), 0, 1), 4, if(ISBLANK('2025'!$R216), 0, 1), 5, if(ISBLANK('2025'!$S216), 0, 1), 6, if(ISBLANK('2025'!$T216), 0, 1), 7, 0))), 1, "")</f>
        <v/>
      </c>
      <c r="AM218" s="1" t="str">
        <f>IF(AND(AND(AND(AM$4&gt;='2025'!$L216,AM$4&lt;='2025'!$M216), AM$4&lt;&gt;DATE(2025,7,4)), (SWITCH(weekday(AM$4), 1, 0, 2, if(ISBLANK('2025'!$P216), 0, 1), 3, if(ISBLANK('2025'!$Q216), 0, 1), 4, if(ISBLANK('2025'!$R216), 0, 1), 5, if(ISBLANK('2025'!$S216), 0, 1), 6, if(ISBLANK('2025'!$T216), 0, 1), 7, 0))), 1, "")</f>
        <v/>
      </c>
      <c r="AN218" s="1" t="str">
        <f>IF(AND(AND(AND(AN$4&gt;='2025'!$L216,AN$4&lt;='2025'!$M216), AN$4&lt;&gt;DATE(2025,7,4)), (SWITCH(weekday(AN$4), 1, 0, 2, if(ISBLANK('2025'!$P216), 0, 1), 3, if(ISBLANK('2025'!$Q216), 0, 1), 4, if(ISBLANK('2025'!$R216), 0, 1), 5, if(ISBLANK('2025'!$S216), 0, 1), 6, if(ISBLANK('2025'!$T216), 0, 1), 7, 0))), 1, "")</f>
        <v/>
      </c>
      <c r="AO218" s="1" t="str">
        <f>IF(AND(AND(AND(AO$4&gt;='2025'!$L216,AO$4&lt;='2025'!$M216), AO$4&lt;&gt;DATE(2025,7,4)), (SWITCH(weekday(AO$4), 1, 0, 2, if(ISBLANK('2025'!$P216), 0, 1), 3, if(ISBLANK('2025'!$Q216), 0, 1), 4, if(ISBLANK('2025'!$R216), 0, 1), 5, if(ISBLANK('2025'!$S216), 0, 1), 6, if(ISBLANK('2025'!$T216), 0, 1), 7, 0))), 1, "")</f>
        <v/>
      </c>
      <c r="AP218" s="1" t="str">
        <f>IF(AND(AND(AND(AP$4&gt;='2025'!$L216,AP$4&lt;='2025'!$M216), AP$4&lt;&gt;DATE(2025,7,4)), (SWITCH(weekday(AP$4), 1, 0, 2, if(ISBLANK('2025'!$P216), 0, 1), 3, if(ISBLANK('2025'!$Q216), 0, 1), 4, if(ISBLANK('2025'!$R216), 0, 1), 5, if(ISBLANK('2025'!$S216), 0, 1), 6, if(ISBLANK('2025'!$T216), 0, 1), 7, 0))), 1, "")</f>
        <v/>
      </c>
      <c r="AQ218" s="1" t="str">
        <f>IF(AND(AND(AND(AQ$4&gt;='2025'!$L216,AQ$4&lt;='2025'!$M216), AQ$4&lt;&gt;DATE(2025,7,4)), (SWITCH(weekday(AQ$4), 1, 0, 2, if(ISBLANK('2025'!$P216), 0, 1), 3, if(ISBLANK('2025'!$Q216), 0, 1), 4, if(ISBLANK('2025'!$R216), 0, 1), 5, if(ISBLANK('2025'!$S216), 0, 1), 6, if(ISBLANK('2025'!$T216), 0, 1), 7, 0))), 1, "")</f>
        <v/>
      </c>
      <c r="AR218" s="1" t="str">
        <f>IF(AND(AND(AND(AR$4&gt;='2025'!$L216,AR$4&lt;='2025'!$M216), AR$4&lt;&gt;DATE(2025,7,4)), (SWITCH(weekday(AR$4), 1, 0, 2, if(ISBLANK('2025'!$P216), 0, 1), 3, if(ISBLANK('2025'!$Q216), 0, 1), 4, if(ISBLANK('2025'!$R216), 0, 1), 5, if(ISBLANK('2025'!$S216), 0, 1), 6, if(ISBLANK('2025'!$T216), 0, 1), 7, 0))), 1, "")</f>
        <v/>
      </c>
      <c r="AS218" s="1" t="str">
        <f>IF(AND(AND(AND(AS$4&gt;='2025'!$L216,AS$4&lt;='2025'!$M216), AS$4&lt;&gt;DATE(2025,7,4)), (SWITCH(weekday(AS$4), 1, 0, 2, if(ISBLANK('2025'!$P216), 0, 1), 3, if(ISBLANK('2025'!$Q216), 0, 1), 4, if(ISBLANK('2025'!$R216), 0, 1), 5, if(ISBLANK('2025'!$S216), 0, 1), 6, if(ISBLANK('2025'!$T216), 0, 1), 7, 0))), 1, "")</f>
        <v/>
      </c>
      <c r="AT218" s="1" t="str">
        <f>IF(AND(AND(AND(AT$4&gt;='2025'!$L216,AT$4&lt;='2025'!$M216), AT$4&lt;&gt;DATE(2025,7,4)), (SWITCH(weekday(AT$4), 1, 0, 2, if(ISBLANK('2025'!$P216), 0, 1), 3, if(ISBLANK('2025'!$Q216), 0, 1), 4, if(ISBLANK('2025'!$R216), 0, 1), 5, if(ISBLANK('2025'!$S216), 0, 1), 6, if(ISBLANK('2025'!$T216), 0, 1), 7, 0))), 1, "")</f>
        <v/>
      </c>
      <c r="AU218" s="1" t="str">
        <f>IF(AND(AND(AND(AU$4&gt;='2025'!$L216,AU$4&lt;='2025'!$M216), AU$4&lt;&gt;DATE(2025,7,4)), (SWITCH(weekday(AU$4), 1, 0, 2, if(ISBLANK('2025'!$P216), 0, 1), 3, if(ISBLANK('2025'!$Q216), 0, 1), 4, if(ISBLANK('2025'!$R216), 0, 1), 5, if(ISBLANK('2025'!$S216), 0, 1), 6, if(ISBLANK('2025'!$T216), 0, 1), 7, 0))), 1, "")</f>
        <v/>
      </c>
      <c r="AV218" s="1" t="str">
        <f>IF(AND(AND(AND(AV$4&gt;='2025'!$L216,AV$4&lt;='2025'!$M216), AV$4&lt;&gt;DATE(2025,7,4)), (SWITCH(weekday(AV$4), 1, 0, 2, if(ISBLANK('2025'!$P216), 0, 1), 3, if(ISBLANK('2025'!$Q216), 0, 1), 4, if(ISBLANK('2025'!$R216), 0, 1), 5, if(ISBLANK('2025'!$S216), 0, 1), 6, if(ISBLANK('2025'!$T216), 0, 1), 7, 0))), 1, "")</f>
        <v/>
      </c>
      <c r="AW218" s="1" t="str">
        <f>IF(AND(AND(AND(AW$4&gt;='2025'!$L216,AW$4&lt;='2025'!$M216), AW$4&lt;&gt;DATE(2025,7,4)), (SWITCH(weekday(AW$4), 1, 0, 2, if(ISBLANK('2025'!$P216), 0, 1), 3, if(ISBLANK('2025'!$Q216), 0, 1), 4, if(ISBLANK('2025'!$R216), 0, 1), 5, if(ISBLANK('2025'!$S216), 0, 1), 6, if(ISBLANK('2025'!$T216), 0, 1), 7, 0))), 1, "")</f>
        <v/>
      </c>
      <c r="AX218" s="1" t="str">
        <f>IF(AND(AND(AND(AX$4&gt;='2025'!$L216,AX$4&lt;='2025'!$M216), AX$4&lt;&gt;DATE(2025,7,4)), (SWITCH(weekday(AX$4), 1, 0, 2, if(ISBLANK('2025'!$P216), 0, 1), 3, if(ISBLANK('2025'!$Q216), 0, 1), 4, if(ISBLANK('2025'!$R216), 0, 1), 5, if(ISBLANK('2025'!$S216), 0, 1), 6, if(ISBLANK('2025'!$T216), 0, 1), 7, 0))), 1, "")</f>
        <v/>
      </c>
      <c r="AY218" s="1" t="str">
        <f>IF(AND(AND(AND(AY$4&gt;='2025'!$L216,AY$4&lt;='2025'!$M216), AY$4&lt;&gt;DATE(2025,7,4)), (SWITCH(weekday(AY$4), 1, 0, 2, if(ISBLANK('2025'!$P216), 0, 1), 3, if(ISBLANK('2025'!$Q216), 0, 1), 4, if(ISBLANK('2025'!$R216), 0, 1), 5, if(ISBLANK('2025'!$S216), 0, 1), 6, if(ISBLANK('2025'!$T216), 0, 1), 7, 0))), 1, "")</f>
        <v/>
      </c>
      <c r="AZ218" s="1" t="str">
        <f>IF(AND(AND(AND(AZ$4&gt;='2025'!$L216,AZ$4&lt;='2025'!$M216), AZ$4&lt;&gt;DATE(2025,7,4)), (SWITCH(weekday(AZ$4), 1, 0, 2, if(ISBLANK('2025'!$P216), 0, 1), 3, if(ISBLANK('2025'!$Q216), 0, 1), 4, if(ISBLANK('2025'!$R216), 0, 1), 5, if(ISBLANK('2025'!$S216), 0, 1), 6, if(ISBLANK('2025'!$T216), 0, 1), 7, 0))), 1, "")</f>
        <v/>
      </c>
      <c r="BA218" s="1" t="str">
        <f>IF(AND(AND(AND(BA$4&gt;='2025'!$L216,BA$4&lt;='2025'!$M216), BA$4&lt;&gt;DATE(2025,7,4)), (SWITCH(weekday(BA$4), 1, 0, 2, if(ISBLANK('2025'!$P216), 0, 1), 3, if(ISBLANK('2025'!$Q216), 0, 1), 4, if(ISBLANK('2025'!$R216), 0, 1), 5, if(ISBLANK('2025'!$S216), 0, 1), 6, if(ISBLANK('2025'!$T216), 0, 1), 7, 0))), 1, "")</f>
        <v/>
      </c>
      <c r="BB218" s="1" t="str">
        <f>IF(AND(AND(AND(BB$4&gt;='2025'!$L216,BB$4&lt;='2025'!$M216), BB$4&lt;&gt;DATE(2025,7,4)), (SWITCH(weekday(BB$4), 1, 0, 2, if(ISBLANK('2025'!$P216), 0, 1), 3, if(ISBLANK('2025'!$Q216), 0, 1), 4, if(ISBLANK('2025'!$R216), 0, 1), 5, if(ISBLANK('2025'!$S216), 0, 1), 6, if(ISBLANK('2025'!$T216), 0, 1), 7, 0))), 1, "")</f>
        <v/>
      </c>
      <c r="BC218" s="1" t="str">
        <f>IF(AND(AND(AND(BC$4&gt;='2025'!$L216,BC$4&lt;='2025'!$M216), BC$4&lt;&gt;DATE(2025,7,4)), (SWITCH(weekday(BC$4), 1, 0, 2, if(ISBLANK('2025'!$P216), 0, 1), 3, if(ISBLANK('2025'!$Q216), 0, 1), 4, if(ISBLANK('2025'!$R216), 0, 1), 5, if(ISBLANK('2025'!$S216), 0, 1), 6, if(ISBLANK('2025'!$T216), 0, 1), 7, 0))), 1, "")</f>
        <v/>
      </c>
      <c r="BD218" s="1" t="str">
        <f>IF(AND(AND(AND(BD$4&gt;='2025'!$L216,BD$4&lt;='2025'!$M216), BD$4&lt;&gt;DATE(2025,7,4)), (SWITCH(weekday(BD$4), 1, 0, 2, if(ISBLANK('2025'!$P216), 0, 1), 3, if(ISBLANK('2025'!$Q216), 0, 1), 4, if(ISBLANK('2025'!$R216), 0, 1), 5, if(ISBLANK('2025'!$S216), 0, 1), 6, if(ISBLANK('2025'!$T216), 0, 1), 7, 0))), 1, "")</f>
        <v/>
      </c>
      <c r="BE218" s="1" t="str">
        <f>IF(AND(AND(AND(BE$4&gt;='2025'!$L216,BE$4&lt;='2025'!$M216), BE$4&lt;&gt;DATE(2025,7,4)), (SWITCH(weekday(BE$4), 1, 0, 2, if(ISBLANK('2025'!$P216), 0, 1), 3, if(ISBLANK('2025'!$Q216), 0, 1), 4, if(ISBLANK('2025'!$R216), 0, 1), 5, if(ISBLANK('2025'!$S216), 0, 1), 6, if(ISBLANK('2025'!$T216), 0, 1), 7, 0))), 1, "")</f>
        <v/>
      </c>
      <c r="BF218" s="1" t="str">
        <f>IF(AND(AND(AND(BF$4&gt;='2025'!$L216,BF$4&lt;='2025'!$M216), BF$4&lt;&gt;DATE(2025,7,4)), (SWITCH(weekday(BF$4), 1, 0, 2, if(ISBLANK('2025'!$P216), 0, 1), 3, if(ISBLANK('2025'!$Q216), 0, 1), 4, if(ISBLANK('2025'!$R216), 0, 1), 5, if(ISBLANK('2025'!$S216), 0, 1), 6, if(ISBLANK('2025'!$T216), 0, 1), 7, 0))), 1, "")</f>
        <v/>
      </c>
      <c r="BG218" s="1"/>
      <c r="BH218" s="1"/>
      <c r="BI218" s="1"/>
      <c r="BJ218" s="1"/>
      <c r="BK218" s="1"/>
      <c r="BL218" s="1"/>
    </row>
    <row r="219">
      <c r="A219" s="1">
        <f t="shared" si="3"/>
        <v>219</v>
      </c>
      <c r="B219" s="1" t="str">
        <f>'2025'!D183</f>
        <v>, </v>
      </c>
      <c r="C219" s="1" t="str">
        <f>'2025'!H183</f>
        <v/>
      </c>
      <c r="D219" s="1" t="str">
        <f>IF(AND(AND(AND(D$4&gt;='2025'!$L217,D$4&lt;='2025'!$M217), D$4&lt;&gt;DATE(2025,7,4)), (SWITCH(weekday(D$4), 1, 0, 2, if(ISBLANK('2025'!$P217), 0, 1), 3, if(ISBLANK('2025'!$Q217), 0, 1), 4, if(ISBLANK('2025'!$R217), 0, 1), 5, if(ISBLANK('2025'!$S217), 0, 1), 6, if(ISBLANK('2025'!$T217), 0, 1), 7, 0))), 1, "")</f>
        <v/>
      </c>
      <c r="E219" s="1" t="str">
        <f>IF(AND(AND(AND(E$4&gt;='2025'!$L217,E$4&lt;='2025'!$M217), E$4&lt;&gt;DATE(2025,7,4)), (SWITCH(weekday(E$4), 1, 0, 2, if(ISBLANK('2025'!$P217), 0, 1), 3, if(ISBLANK('2025'!$Q217), 0, 1), 4, if(ISBLANK('2025'!$R217), 0, 1), 5, if(ISBLANK('2025'!$S217), 0, 1), 6, if(ISBLANK('2025'!$T217), 0, 1), 7, 0))), 1, "")</f>
        <v/>
      </c>
      <c r="F219" s="1" t="str">
        <f>IF(AND(AND(AND(F$4&gt;='2025'!$L217,F$4&lt;='2025'!$M217), F$4&lt;&gt;DATE(2025,7,4)), (SWITCH(weekday(F$4), 1, 0, 2, if(ISBLANK('2025'!$P217), 0, 1), 3, if(ISBLANK('2025'!$Q217), 0, 1), 4, if(ISBLANK('2025'!$R217), 0, 1), 5, if(ISBLANK('2025'!$S217), 0, 1), 6, if(ISBLANK('2025'!$T217), 0, 1), 7, 0))), 1, "")</f>
        <v/>
      </c>
      <c r="G219" s="1" t="str">
        <f>IF(AND(AND(AND(G$4&gt;='2025'!$L217,G$4&lt;='2025'!$M217), G$4&lt;&gt;DATE(2025,7,4)), (SWITCH(weekday(G$4), 1, 0, 2, if(ISBLANK('2025'!$P217), 0, 1), 3, if(ISBLANK('2025'!$Q217), 0, 1), 4, if(ISBLANK('2025'!$R217), 0, 1), 5, if(ISBLANK('2025'!$S217), 0, 1), 6, if(ISBLANK('2025'!$T217), 0, 1), 7, 0))), 1, "")</f>
        <v/>
      </c>
      <c r="H219" s="1" t="str">
        <f>IF(AND(AND(AND(H$4&gt;='2025'!$L217,H$4&lt;='2025'!$M217), H$4&lt;&gt;DATE(2025,7,4)), (SWITCH(weekday(H$4), 1, 0, 2, if(ISBLANK('2025'!$P217), 0, 1), 3, if(ISBLANK('2025'!$Q217), 0, 1), 4, if(ISBLANK('2025'!$R217), 0, 1), 5, if(ISBLANK('2025'!$S217), 0, 1), 6, if(ISBLANK('2025'!$T217), 0, 1), 7, 0))), 1, "")</f>
        <v/>
      </c>
      <c r="I219" s="1" t="str">
        <f>IF(AND(AND(AND(I$4&gt;='2025'!$L217,I$4&lt;='2025'!$M217), I$4&lt;&gt;DATE(2025,7,4)), (SWITCH(weekday(I$4), 1, 0, 2, if(ISBLANK('2025'!$P217), 0, 1), 3, if(ISBLANK('2025'!$Q217), 0, 1), 4, if(ISBLANK('2025'!$R217), 0, 1), 5, if(ISBLANK('2025'!$S217), 0, 1), 6, if(ISBLANK('2025'!$T217), 0, 1), 7, 0))), 1, "")</f>
        <v/>
      </c>
      <c r="J219" s="1" t="str">
        <f>IF(AND(AND(AND(J$4&gt;='2025'!$L217,J$4&lt;='2025'!$M217), J$4&lt;&gt;DATE(2025,7,4)), (SWITCH(weekday(J$4), 1, 0, 2, if(ISBLANK('2025'!$P217), 0, 1), 3, if(ISBLANK('2025'!$Q217), 0, 1), 4, if(ISBLANK('2025'!$R217), 0, 1), 5, if(ISBLANK('2025'!$S217), 0, 1), 6, if(ISBLANK('2025'!$T217), 0, 1), 7, 0))), 1, "")</f>
        <v/>
      </c>
      <c r="K219" s="1" t="str">
        <f>IF(AND(AND(AND(K$4&gt;='2025'!$L217,K$4&lt;='2025'!$M217), K$4&lt;&gt;DATE(2025,7,4)), (SWITCH(weekday(K$4), 1, 0, 2, if(ISBLANK('2025'!$P217), 0, 1), 3, if(ISBLANK('2025'!$Q217), 0, 1), 4, if(ISBLANK('2025'!$R217), 0, 1), 5, if(ISBLANK('2025'!$S217), 0, 1), 6, if(ISBLANK('2025'!$T217), 0, 1), 7, 0))), 1, "")</f>
        <v/>
      </c>
      <c r="L219" s="1" t="str">
        <f>IF(AND(AND(AND(L$4&gt;='2025'!$L217,L$4&lt;='2025'!$M217), L$4&lt;&gt;DATE(2025,7,4)), (SWITCH(weekday(L$4), 1, 0, 2, if(ISBLANK('2025'!$P217), 0, 1), 3, if(ISBLANK('2025'!$Q217), 0, 1), 4, if(ISBLANK('2025'!$R217), 0, 1), 5, if(ISBLANK('2025'!$S217), 0, 1), 6, if(ISBLANK('2025'!$T217), 0, 1), 7, 0))), 1, "")</f>
        <v/>
      </c>
      <c r="M219" s="1" t="str">
        <f>IF(AND(AND(AND(M$4&gt;='2025'!$L217,M$4&lt;='2025'!$M217), M$4&lt;&gt;DATE(2025,7,4)), (SWITCH(weekday(M$4), 1, 0, 2, if(ISBLANK('2025'!$P217), 0, 1), 3, if(ISBLANK('2025'!$Q217), 0, 1), 4, if(ISBLANK('2025'!$R217), 0, 1), 5, if(ISBLANK('2025'!$S217), 0, 1), 6, if(ISBLANK('2025'!$T217), 0, 1), 7, 0))), 1, "")</f>
        <v/>
      </c>
      <c r="N219" s="1" t="str">
        <f>IF(AND(AND(AND(N$4&gt;='2025'!$L217,N$4&lt;='2025'!$M217), N$4&lt;&gt;DATE(2025,7,4)), (SWITCH(weekday(N$4), 1, 0, 2, if(ISBLANK('2025'!$P217), 0, 1), 3, if(ISBLANK('2025'!$Q217), 0, 1), 4, if(ISBLANK('2025'!$R217), 0, 1), 5, if(ISBLANK('2025'!$S217), 0, 1), 6, if(ISBLANK('2025'!$T217), 0, 1), 7, 0))), 1, "")</f>
        <v/>
      </c>
      <c r="O219" s="1" t="str">
        <f>IF(AND(AND(AND(O$4&gt;='2025'!$L217,O$4&lt;='2025'!$M217), O$4&lt;&gt;DATE(2025,7,4)), (SWITCH(weekday(O$4), 1, 0, 2, if(ISBLANK('2025'!$P217), 0, 1), 3, if(ISBLANK('2025'!$Q217), 0, 1), 4, if(ISBLANK('2025'!$R217), 0, 1), 5, if(ISBLANK('2025'!$S217), 0, 1), 6, if(ISBLANK('2025'!$T217), 0, 1), 7, 0))), 1, "")</f>
        <v/>
      </c>
      <c r="P219" s="1" t="str">
        <f>IF(AND(AND(AND(P$4&gt;='2025'!$L217,P$4&lt;='2025'!$M217), P$4&lt;&gt;DATE(2025,7,4)), (SWITCH(weekday(P$4), 1, 0, 2, if(ISBLANK('2025'!$P217), 0, 1), 3, if(ISBLANK('2025'!$Q217), 0, 1), 4, if(ISBLANK('2025'!$R217), 0, 1), 5, if(ISBLANK('2025'!$S217), 0, 1), 6, if(ISBLANK('2025'!$T217), 0, 1), 7, 0))), 1, "")</f>
        <v/>
      </c>
      <c r="Q219" s="1" t="str">
        <f>IF(AND(AND(AND(Q$4&gt;='2025'!$L217,Q$4&lt;='2025'!$M217), Q$4&lt;&gt;DATE(2025,7,4)), (SWITCH(weekday(Q$4), 1, 0, 2, if(ISBLANK('2025'!$P217), 0, 1), 3, if(ISBLANK('2025'!$Q217), 0, 1), 4, if(ISBLANK('2025'!$R217), 0, 1), 5, if(ISBLANK('2025'!$S217), 0, 1), 6, if(ISBLANK('2025'!$T217), 0, 1), 7, 0))), 1, "")</f>
        <v/>
      </c>
      <c r="R219" s="1" t="str">
        <f>IF(AND(AND(AND(R$4&gt;='2025'!$L217,R$4&lt;='2025'!$M217), R$4&lt;&gt;DATE(2025,7,4)), (SWITCH(weekday(R$4), 1, 0, 2, if(ISBLANK('2025'!$P217), 0, 1), 3, if(ISBLANK('2025'!$Q217), 0, 1), 4, if(ISBLANK('2025'!$R217), 0, 1), 5, if(ISBLANK('2025'!$S217), 0, 1), 6, if(ISBLANK('2025'!$T217), 0, 1), 7, 0))), 1, "")</f>
        <v/>
      </c>
      <c r="S219" s="1" t="str">
        <f>IF(AND(AND(AND(S$4&gt;='2025'!$L217,S$4&lt;='2025'!$M217), S$4&lt;&gt;DATE(2025,7,4)), (SWITCH(weekday(S$4), 1, 0, 2, if(ISBLANK('2025'!$P217), 0, 1), 3, if(ISBLANK('2025'!$Q217), 0, 1), 4, if(ISBLANK('2025'!$R217), 0, 1), 5, if(ISBLANK('2025'!$S217), 0, 1), 6, if(ISBLANK('2025'!$T217), 0, 1), 7, 0))), 1, "")</f>
        <v/>
      </c>
      <c r="T219" s="1" t="str">
        <f>IF(AND(AND(AND(T$4&gt;='2025'!$L217,T$4&lt;='2025'!$M217), T$4&lt;&gt;DATE(2025,7,4)), (SWITCH(weekday(T$4), 1, 0, 2, if(ISBLANK('2025'!$P217), 0, 1), 3, if(ISBLANK('2025'!$Q217), 0, 1), 4, if(ISBLANK('2025'!$R217), 0, 1), 5, if(ISBLANK('2025'!$S217), 0, 1), 6, if(ISBLANK('2025'!$T217), 0, 1), 7, 0))), 1, "")</f>
        <v/>
      </c>
      <c r="U219" s="1" t="str">
        <f>IF(AND(AND(AND(U$4&gt;='2025'!$L217,U$4&lt;='2025'!$M217), U$4&lt;&gt;DATE(2025,7,4)), (SWITCH(weekday(U$4), 1, 0, 2, if(ISBLANK('2025'!$P217), 0, 1), 3, if(ISBLANK('2025'!$Q217), 0, 1), 4, if(ISBLANK('2025'!$R217), 0, 1), 5, if(ISBLANK('2025'!$S217), 0, 1), 6, if(ISBLANK('2025'!$T217), 0, 1), 7, 0))), 1, "")</f>
        <v/>
      </c>
      <c r="V219" s="1" t="str">
        <f>IF(AND(AND(AND(V$4&gt;='2025'!$L217,V$4&lt;='2025'!$M217), V$4&lt;&gt;DATE(2025,7,4)), (SWITCH(weekday(V$4), 1, 0, 2, if(ISBLANK('2025'!$P217), 0, 1), 3, if(ISBLANK('2025'!$Q217), 0, 1), 4, if(ISBLANK('2025'!$R217), 0, 1), 5, if(ISBLANK('2025'!$S217), 0, 1), 6, if(ISBLANK('2025'!$T217), 0, 1), 7, 0))), 1, "")</f>
        <v/>
      </c>
      <c r="W219" s="1" t="str">
        <f>IF(AND(AND(AND(W$4&gt;='2025'!$L217,W$4&lt;='2025'!$M217), W$4&lt;&gt;DATE(2025,7,4)), (SWITCH(weekday(W$4), 1, 0, 2, if(ISBLANK('2025'!$P217), 0, 1), 3, if(ISBLANK('2025'!$Q217), 0, 1), 4, if(ISBLANK('2025'!$R217), 0, 1), 5, if(ISBLANK('2025'!$S217), 0, 1), 6, if(ISBLANK('2025'!$T217), 0, 1), 7, 0))), 1, "")</f>
        <v/>
      </c>
      <c r="X219" s="1" t="str">
        <f>IF(AND(AND(AND(X$4&gt;='2025'!$L217,X$4&lt;='2025'!$M217), X$4&lt;&gt;DATE(2025,7,4)), (SWITCH(weekday(X$4), 1, 0, 2, if(ISBLANK('2025'!$P217), 0, 1), 3, if(ISBLANK('2025'!$Q217), 0, 1), 4, if(ISBLANK('2025'!$R217), 0, 1), 5, if(ISBLANK('2025'!$S217), 0, 1), 6, if(ISBLANK('2025'!$T217), 0, 1), 7, 0))), 1, "")</f>
        <v/>
      </c>
      <c r="Y219" s="1" t="str">
        <f>IF(AND(AND(AND(Y$4&gt;='2025'!$L217,Y$4&lt;='2025'!$M217), Y$4&lt;&gt;DATE(2025,7,4)), (SWITCH(weekday(Y$4), 1, 0, 2, if(ISBLANK('2025'!$P217), 0, 1), 3, if(ISBLANK('2025'!$Q217), 0, 1), 4, if(ISBLANK('2025'!$R217), 0, 1), 5, if(ISBLANK('2025'!$S217), 0, 1), 6, if(ISBLANK('2025'!$T217), 0, 1), 7, 0))), 1, "")</f>
        <v/>
      </c>
      <c r="Z219" s="1" t="str">
        <f>IF(AND(AND(AND(Z$4&gt;='2025'!$L217,Z$4&lt;='2025'!$M217), Z$4&lt;&gt;DATE(2025,7,4)), (SWITCH(weekday(Z$4), 1, 0, 2, if(ISBLANK('2025'!$P217), 0, 1), 3, if(ISBLANK('2025'!$Q217), 0, 1), 4, if(ISBLANK('2025'!$R217), 0, 1), 5, if(ISBLANK('2025'!$S217), 0, 1), 6, if(ISBLANK('2025'!$T217), 0, 1), 7, 0))), 1, "")</f>
        <v/>
      </c>
      <c r="AA219" s="1" t="str">
        <f>IF(AND(AND(AND(AA$4&gt;='2025'!$L217,AA$4&lt;='2025'!$M217), AA$4&lt;&gt;DATE(2025,7,4)), (SWITCH(weekday(AA$4), 1, 0, 2, if(ISBLANK('2025'!$P217), 0, 1), 3, if(ISBLANK('2025'!$Q217), 0, 1), 4, if(ISBLANK('2025'!$R217), 0, 1), 5, if(ISBLANK('2025'!$S217), 0, 1), 6, if(ISBLANK('2025'!$T217), 0, 1), 7, 0))), 1, "")</f>
        <v/>
      </c>
      <c r="AB219" s="1" t="str">
        <f>IF(AND(AND(AND(AB$4&gt;='2025'!$L217,AB$4&lt;='2025'!$M217), AB$4&lt;&gt;DATE(2025,7,4)), (SWITCH(weekday(AB$4), 1, 0, 2, if(ISBLANK('2025'!$P217), 0, 1), 3, if(ISBLANK('2025'!$Q217), 0, 1), 4, if(ISBLANK('2025'!$R217), 0, 1), 5, if(ISBLANK('2025'!$S217), 0, 1), 6, if(ISBLANK('2025'!$T217), 0, 1), 7, 0))), 1, "")</f>
        <v/>
      </c>
      <c r="AC219" s="1" t="str">
        <f>IF(AND(AND(AND(AC$4&gt;='2025'!$L217,AC$4&lt;='2025'!$M217), AC$4&lt;&gt;DATE(2025,7,4)), (SWITCH(weekday(AC$4), 1, 0, 2, if(ISBLANK('2025'!$P217), 0, 1), 3, if(ISBLANK('2025'!$Q217), 0, 1), 4, if(ISBLANK('2025'!$R217), 0, 1), 5, if(ISBLANK('2025'!$S217), 0, 1), 6, if(ISBLANK('2025'!$T217), 0, 1), 7, 0))), 1, "")</f>
        <v/>
      </c>
      <c r="AD219" s="1" t="str">
        <f>IF(AND(AND(AND(AD$4&gt;='2025'!$L217,AD$4&lt;='2025'!$M217), AD$4&lt;&gt;DATE(2025,7,4)), (SWITCH(weekday(AD$4), 1, 0, 2, if(ISBLANK('2025'!$P217), 0, 1), 3, if(ISBLANK('2025'!$Q217), 0, 1), 4, if(ISBLANK('2025'!$R217), 0, 1), 5, if(ISBLANK('2025'!$S217), 0, 1), 6, if(ISBLANK('2025'!$T217), 0, 1), 7, 0))), 1, "")</f>
        <v/>
      </c>
      <c r="AE219" s="1" t="str">
        <f>IF(AND(AND(AND(AE$4&gt;='2025'!$L217,AE$4&lt;='2025'!$M217), AE$4&lt;&gt;DATE(2025,7,4)), (SWITCH(weekday(AE$4), 1, 0, 2, if(ISBLANK('2025'!$P217), 0, 1), 3, if(ISBLANK('2025'!$Q217), 0, 1), 4, if(ISBLANK('2025'!$R217), 0, 1), 5, if(ISBLANK('2025'!$S217), 0, 1), 6, if(ISBLANK('2025'!$T217), 0, 1), 7, 0))), 1, "")</f>
        <v/>
      </c>
      <c r="AF219" s="1" t="str">
        <f>IF(AND(AND(AND(AF$4&gt;='2025'!$L217,AF$4&lt;='2025'!$M217), AF$4&lt;&gt;DATE(2025,7,4)), (SWITCH(weekday(AF$4), 1, 0, 2, if(ISBLANK('2025'!$P217), 0, 1), 3, if(ISBLANK('2025'!$Q217), 0, 1), 4, if(ISBLANK('2025'!$R217), 0, 1), 5, if(ISBLANK('2025'!$S217), 0, 1), 6, if(ISBLANK('2025'!$T217), 0, 1), 7, 0))), 1, "")</f>
        <v/>
      </c>
      <c r="AG219" s="1" t="str">
        <f>IF(AND(AND(AND(AG$4&gt;='2025'!$L217,AG$4&lt;='2025'!$M217), AG$4&lt;&gt;DATE(2025,7,4)), (SWITCH(weekday(AG$4), 1, 0, 2, if(ISBLANK('2025'!$P217), 0, 1), 3, if(ISBLANK('2025'!$Q217), 0, 1), 4, if(ISBLANK('2025'!$R217), 0, 1), 5, if(ISBLANK('2025'!$S217), 0, 1), 6, if(ISBLANK('2025'!$T217), 0, 1), 7, 0))), 1, "")</f>
        <v/>
      </c>
      <c r="AH219" s="1" t="str">
        <f>IF(AND(AND(AND(AH$4&gt;='2025'!$L217,AH$4&lt;='2025'!$M217), AH$4&lt;&gt;DATE(2025,7,4)), (SWITCH(weekday(AH$4), 1, 0, 2, if(ISBLANK('2025'!$P217), 0, 1), 3, if(ISBLANK('2025'!$Q217), 0, 1), 4, if(ISBLANK('2025'!$R217), 0, 1), 5, if(ISBLANK('2025'!$S217), 0, 1), 6, if(ISBLANK('2025'!$T217), 0, 1), 7, 0))), 1, "")</f>
        <v/>
      </c>
      <c r="AI219" s="1" t="str">
        <f>IF(AND(AND(AND(AI$4&gt;='2025'!$L217,AI$4&lt;='2025'!$M217), AI$4&lt;&gt;DATE(2025,7,4)), (SWITCH(weekday(AI$4), 1, 0, 2, if(ISBLANK('2025'!$P217), 0, 1), 3, if(ISBLANK('2025'!$Q217), 0, 1), 4, if(ISBLANK('2025'!$R217), 0, 1), 5, if(ISBLANK('2025'!$S217), 0, 1), 6, if(ISBLANK('2025'!$T217), 0, 1), 7, 0))), 1, "")</f>
        <v/>
      </c>
      <c r="AJ219" s="1" t="str">
        <f>IF(AND(AND(AND(AJ$4&gt;='2025'!$L217,AJ$4&lt;='2025'!$M217), AJ$4&lt;&gt;DATE(2025,7,4)), (SWITCH(weekday(AJ$4), 1, 0, 2, if(ISBLANK('2025'!$P217), 0, 1), 3, if(ISBLANK('2025'!$Q217), 0, 1), 4, if(ISBLANK('2025'!$R217), 0, 1), 5, if(ISBLANK('2025'!$S217), 0, 1), 6, if(ISBLANK('2025'!$T217), 0, 1), 7, 0))), 1, "")</f>
        <v/>
      </c>
      <c r="AK219" s="1" t="str">
        <f>IF(AND(AND(AND(AK$4&gt;='2025'!$L217,AK$4&lt;='2025'!$M217), AK$4&lt;&gt;DATE(2025,7,4)), (SWITCH(weekday(AK$4), 1, 0, 2, if(ISBLANK('2025'!$P217), 0, 1), 3, if(ISBLANK('2025'!$Q217), 0, 1), 4, if(ISBLANK('2025'!$R217), 0, 1), 5, if(ISBLANK('2025'!$S217), 0, 1), 6, if(ISBLANK('2025'!$T217), 0, 1), 7, 0))), 1, "")</f>
        <v/>
      </c>
      <c r="AL219" s="1" t="str">
        <f>IF(AND(AND(AND(AL$4&gt;='2025'!$L217,AL$4&lt;='2025'!$M217), AL$4&lt;&gt;DATE(2025,7,4)), (SWITCH(weekday(AL$4), 1, 0, 2, if(ISBLANK('2025'!$P217), 0, 1), 3, if(ISBLANK('2025'!$Q217), 0, 1), 4, if(ISBLANK('2025'!$R217), 0, 1), 5, if(ISBLANK('2025'!$S217), 0, 1), 6, if(ISBLANK('2025'!$T217), 0, 1), 7, 0))), 1, "")</f>
        <v/>
      </c>
      <c r="AM219" s="1" t="str">
        <f>IF(AND(AND(AND(AM$4&gt;='2025'!$L217,AM$4&lt;='2025'!$M217), AM$4&lt;&gt;DATE(2025,7,4)), (SWITCH(weekday(AM$4), 1, 0, 2, if(ISBLANK('2025'!$P217), 0, 1), 3, if(ISBLANK('2025'!$Q217), 0, 1), 4, if(ISBLANK('2025'!$R217), 0, 1), 5, if(ISBLANK('2025'!$S217), 0, 1), 6, if(ISBLANK('2025'!$T217), 0, 1), 7, 0))), 1, "")</f>
        <v/>
      </c>
      <c r="AN219" s="1" t="str">
        <f>IF(AND(AND(AND(AN$4&gt;='2025'!$L217,AN$4&lt;='2025'!$M217), AN$4&lt;&gt;DATE(2025,7,4)), (SWITCH(weekday(AN$4), 1, 0, 2, if(ISBLANK('2025'!$P217), 0, 1), 3, if(ISBLANK('2025'!$Q217), 0, 1), 4, if(ISBLANK('2025'!$R217), 0, 1), 5, if(ISBLANK('2025'!$S217), 0, 1), 6, if(ISBLANK('2025'!$T217), 0, 1), 7, 0))), 1, "")</f>
        <v/>
      </c>
      <c r="AO219" s="1" t="str">
        <f>IF(AND(AND(AND(AO$4&gt;='2025'!$L217,AO$4&lt;='2025'!$M217), AO$4&lt;&gt;DATE(2025,7,4)), (SWITCH(weekday(AO$4), 1, 0, 2, if(ISBLANK('2025'!$P217), 0, 1), 3, if(ISBLANK('2025'!$Q217), 0, 1), 4, if(ISBLANK('2025'!$R217), 0, 1), 5, if(ISBLANK('2025'!$S217), 0, 1), 6, if(ISBLANK('2025'!$T217), 0, 1), 7, 0))), 1, "")</f>
        <v/>
      </c>
      <c r="AP219" s="1" t="str">
        <f>IF(AND(AND(AND(AP$4&gt;='2025'!$L217,AP$4&lt;='2025'!$M217), AP$4&lt;&gt;DATE(2025,7,4)), (SWITCH(weekday(AP$4), 1, 0, 2, if(ISBLANK('2025'!$P217), 0, 1), 3, if(ISBLANK('2025'!$Q217), 0, 1), 4, if(ISBLANK('2025'!$R217), 0, 1), 5, if(ISBLANK('2025'!$S217), 0, 1), 6, if(ISBLANK('2025'!$T217), 0, 1), 7, 0))), 1, "")</f>
        <v/>
      </c>
      <c r="AQ219" s="1" t="str">
        <f>IF(AND(AND(AND(AQ$4&gt;='2025'!$L217,AQ$4&lt;='2025'!$M217), AQ$4&lt;&gt;DATE(2025,7,4)), (SWITCH(weekday(AQ$4), 1, 0, 2, if(ISBLANK('2025'!$P217), 0, 1), 3, if(ISBLANK('2025'!$Q217), 0, 1), 4, if(ISBLANK('2025'!$R217), 0, 1), 5, if(ISBLANK('2025'!$S217), 0, 1), 6, if(ISBLANK('2025'!$T217), 0, 1), 7, 0))), 1, "")</f>
        <v/>
      </c>
      <c r="AR219" s="1" t="str">
        <f>IF(AND(AND(AND(AR$4&gt;='2025'!$L217,AR$4&lt;='2025'!$M217), AR$4&lt;&gt;DATE(2025,7,4)), (SWITCH(weekday(AR$4), 1, 0, 2, if(ISBLANK('2025'!$P217), 0, 1), 3, if(ISBLANK('2025'!$Q217), 0, 1), 4, if(ISBLANK('2025'!$R217), 0, 1), 5, if(ISBLANK('2025'!$S217), 0, 1), 6, if(ISBLANK('2025'!$T217), 0, 1), 7, 0))), 1, "")</f>
        <v/>
      </c>
      <c r="AS219" s="1" t="str">
        <f>IF(AND(AND(AND(AS$4&gt;='2025'!$L217,AS$4&lt;='2025'!$M217), AS$4&lt;&gt;DATE(2025,7,4)), (SWITCH(weekday(AS$4), 1, 0, 2, if(ISBLANK('2025'!$P217), 0, 1), 3, if(ISBLANK('2025'!$Q217), 0, 1), 4, if(ISBLANK('2025'!$R217), 0, 1), 5, if(ISBLANK('2025'!$S217), 0, 1), 6, if(ISBLANK('2025'!$T217), 0, 1), 7, 0))), 1, "")</f>
        <v/>
      </c>
      <c r="AT219" s="1" t="str">
        <f>IF(AND(AND(AND(AT$4&gt;='2025'!$L217,AT$4&lt;='2025'!$M217), AT$4&lt;&gt;DATE(2025,7,4)), (SWITCH(weekday(AT$4), 1, 0, 2, if(ISBLANK('2025'!$P217), 0, 1), 3, if(ISBLANK('2025'!$Q217), 0, 1), 4, if(ISBLANK('2025'!$R217), 0, 1), 5, if(ISBLANK('2025'!$S217), 0, 1), 6, if(ISBLANK('2025'!$T217), 0, 1), 7, 0))), 1, "")</f>
        <v/>
      </c>
      <c r="AU219" s="1" t="str">
        <f>IF(AND(AND(AND(AU$4&gt;='2025'!$L217,AU$4&lt;='2025'!$M217), AU$4&lt;&gt;DATE(2025,7,4)), (SWITCH(weekday(AU$4), 1, 0, 2, if(ISBLANK('2025'!$P217), 0, 1), 3, if(ISBLANK('2025'!$Q217), 0, 1), 4, if(ISBLANK('2025'!$R217), 0, 1), 5, if(ISBLANK('2025'!$S217), 0, 1), 6, if(ISBLANK('2025'!$T217), 0, 1), 7, 0))), 1, "")</f>
        <v/>
      </c>
      <c r="AV219" s="1" t="str">
        <f>IF(AND(AND(AND(AV$4&gt;='2025'!$L217,AV$4&lt;='2025'!$M217), AV$4&lt;&gt;DATE(2025,7,4)), (SWITCH(weekday(AV$4), 1, 0, 2, if(ISBLANK('2025'!$P217), 0, 1), 3, if(ISBLANK('2025'!$Q217), 0, 1), 4, if(ISBLANK('2025'!$R217), 0, 1), 5, if(ISBLANK('2025'!$S217), 0, 1), 6, if(ISBLANK('2025'!$T217), 0, 1), 7, 0))), 1, "")</f>
        <v/>
      </c>
      <c r="AW219" s="1" t="str">
        <f>IF(AND(AND(AND(AW$4&gt;='2025'!$L217,AW$4&lt;='2025'!$M217), AW$4&lt;&gt;DATE(2025,7,4)), (SWITCH(weekday(AW$4), 1, 0, 2, if(ISBLANK('2025'!$P217), 0, 1), 3, if(ISBLANK('2025'!$Q217), 0, 1), 4, if(ISBLANK('2025'!$R217), 0, 1), 5, if(ISBLANK('2025'!$S217), 0, 1), 6, if(ISBLANK('2025'!$T217), 0, 1), 7, 0))), 1, "")</f>
        <v/>
      </c>
      <c r="AX219" s="1" t="str">
        <f>IF(AND(AND(AND(AX$4&gt;='2025'!$L217,AX$4&lt;='2025'!$M217), AX$4&lt;&gt;DATE(2025,7,4)), (SWITCH(weekday(AX$4), 1, 0, 2, if(ISBLANK('2025'!$P217), 0, 1), 3, if(ISBLANK('2025'!$Q217), 0, 1), 4, if(ISBLANK('2025'!$R217), 0, 1), 5, if(ISBLANK('2025'!$S217), 0, 1), 6, if(ISBLANK('2025'!$T217), 0, 1), 7, 0))), 1, "")</f>
        <v/>
      </c>
      <c r="AY219" s="1" t="str">
        <f>IF(AND(AND(AND(AY$4&gt;='2025'!$L217,AY$4&lt;='2025'!$M217), AY$4&lt;&gt;DATE(2025,7,4)), (SWITCH(weekday(AY$4), 1, 0, 2, if(ISBLANK('2025'!$P217), 0, 1), 3, if(ISBLANK('2025'!$Q217), 0, 1), 4, if(ISBLANK('2025'!$R217), 0, 1), 5, if(ISBLANK('2025'!$S217), 0, 1), 6, if(ISBLANK('2025'!$T217), 0, 1), 7, 0))), 1, "")</f>
        <v/>
      </c>
      <c r="AZ219" s="1" t="str">
        <f>IF(AND(AND(AND(AZ$4&gt;='2025'!$L217,AZ$4&lt;='2025'!$M217), AZ$4&lt;&gt;DATE(2025,7,4)), (SWITCH(weekday(AZ$4), 1, 0, 2, if(ISBLANK('2025'!$P217), 0, 1), 3, if(ISBLANK('2025'!$Q217), 0, 1), 4, if(ISBLANK('2025'!$R217), 0, 1), 5, if(ISBLANK('2025'!$S217), 0, 1), 6, if(ISBLANK('2025'!$T217), 0, 1), 7, 0))), 1, "")</f>
        <v/>
      </c>
      <c r="BA219" s="1" t="str">
        <f>IF(AND(AND(AND(BA$4&gt;='2025'!$L217,BA$4&lt;='2025'!$M217), BA$4&lt;&gt;DATE(2025,7,4)), (SWITCH(weekday(BA$4), 1, 0, 2, if(ISBLANK('2025'!$P217), 0, 1), 3, if(ISBLANK('2025'!$Q217), 0, 1), 4, if(ISBLANK('2025'!$R217), 0, 1), 5, if(ISBLANK('2025'!$S217), 0, 1), 6, if(ISBLANK('2025'!$T217), 0, 1), 7, 0))), 1, "")</f>
        <v/>
      </c>
      <c r="BB219" s="1" t="str">
        <f>IF(AND(AND(AND(BB$4&gt;='2025'!$L217,BB$4&lt;='2025'!$M217), BB$4&lt;&gt;DATE(2025,7,4)), (SWITCH(weekday(BB$4), 1, 0, 2, if(ISBLANK('2025'!$P217), 0, 1), 3, if(ISBLANK('2025'!$Q217), 0, 1), 4, if(ISBLANK('2025'!$R217), 0, 1), 5, if(ISBLANK('2025'!$S217), 0, 1), 6, if(ISBLANK('2025'!$T217), 0, 1), 7, 0))), 1, "")</f>
        <v/>
      </c>
      <c r="BC219" s="1" t="str">
        <f>IF(AND(AND(AND(BC$4&gt;='2025'!$L217,BC$4&lt;='2025'!$M217), BC$4&lt;&gt;DATE(2025,7,4)), (SWITCH(weekday(BC$4), 1, 0, 2, if(ISBLANK('2025'!$P217), 0, 1), 3, if(ISBLANK('2025'!$Q217), 0, 1), 4, if(ISBLANK('2025'!$R217), 0, 1), 5, if(ISBLANK('2025'!$S217), 0, 1), 6, if(ISBLANK('2025'!$T217), 0, 1), 7, 0))), 1, "")</f>
        <v/>
      </c>
      <c r="BD219" s="1" t="str">
        <f>IF(AND(AND(AND(BD$4&gt;='2025'!$L217,BD$4&lt;='2025'!$M217), BD$4&lt;&gt;DATE(2025,7,4)), (SWITCH(weekday(BD$4), 1, 0, 2, if(ISBLANK('2025'!$P217), 0, 1), 3, if(ISBLANK('2025'!$Q217), 0, 1), 4, if(ISBLANK('2025'!$R217), 0, 1), 5, if(ISBLANK('2025'!$S217), 0, 1), 6, if(ISBLANK('2025'!$T217), 0, 1), 7, 0))), 1, "")</f>
        <v/>
      </c>
      <c r="BE219" s="1" t="str">
        <f>IF(AND(AND(AND(BE$4&gt;='2025'!$L217,BE$4&lt;='2025'!$M217), BE$4&lt;&gt;DATE(2025,7,4)), (SWITCH(weekday(BE$4), 1, 0, 2, if(ISBLANK('2025'!$P217), 0, 1), 3, if(ISBLANK('2025'!$Q217), 0, 1), 4, if(ISBLANK('2025'!$R217), 0, 1), 5, if(ISBLANK('2025'!$S217), 0, 1), 6, if(ISBLANK('2025'!$T217), 0, 1), 7, 0))), 1, "")</f>
        <v/>
      </c>
      <c r="BF219" s="1" t="str">
        <f>IF(AND(AND(AND(BF$4&gt;='2025'!$L217,BF$4&lt;='2025'!$M217), BF$4&lt;&gt;DATE(2025,7,4)), (SWITCH(weekday(BF$4), 1, 0, 2, if(ISBLANK('2025'!$P217), 0, 1), 3, if(ISBLANK('2025'!$Q217), 0, 1), 4, if(ISBLANK('2025'!$R217), 0, 1), 5, if(ISBLANK('2025'!$S217), 0, 1), 6, if(ISBLANK('2025'!$T217), 0, 1), 7, 0))), 1, "")</f>
        <v/>
      </c>
      <c r="BG219" s="1"/>
      <c r="BH219" s="1"/>
      <c r="BI219" s="1"/>
      <c r="BJ219" s="1"/>
      <c r="BK219" s="1"/>
      <c r="BL219" s="1"/>
    </row>
    <row r="220">
      <c r="A220" s="1">
        <f t="shared" si="3"/>
        <v>220</v>
      </c>
      <c r="B220" s="1" t="str">
        <f>'2025'!D184</f>
        <v>, </v>
      </c>
      <c r="C220" s="1" t="str">
        <f>'2025'!H184</f>
        <v/>
      </c>
      <c r="D220" s="1" t="str">
        <f>IF(AND(AND(AND(D$4&gt;='2025'!$L218,D$4&lt;='2025'!$M218), D$4&lt;&gt;DATE(2025,7,4)), (SWITCH(weekday(D$4), 1, 0, 2, if(ISBLANK('2025'!$P218), 0, 1), 3, if(ISBLANK('2025'!$Q218), 0, 1), 4, if(ISBLANK('2025'!$R218), 0, 1), 5, if(ISBLANK('2025'!$S218), 0, 1), 6, if(ISBLANK('2025'!$T218), 0, 1), 7, 0))), 1, "")</f>
        <v/>
      </c>
      <c r="E220" s="1" t="str">
        <f>IF(AND(AND(AND(E$4&gt;='2025'!$L218,E$4&lt;='2025'!$M218), E$4&lt;&gt;DATE(2025,7,4)), (SWITCH(weekday(E$4), 1, 0, 2, if(ISBLANK('2025'!$P218), 0, 1), 3, if(ISBLANK('2025'!$Q218), 0, 1), 4, if(ISBLANK('2025'!$R218), 0, 1), 5, if(ISBLANK('2025'!$S218), 0, 1), 6, if(ISBLANK('2025'!$T218), 0, 1), 7, 0))), 1, "")</f>
        <v/>
      </c>
      <c r="F220" s="1" t="str">
        <f>IF(AND(AND(AND(F$4&gt;='2025'!$L218,F$4&lt;='2025'!$M218), F$4&lt;&gt;DATE(2025,7,4)), (SWITCH(weekday(F$4), 1, 0, 2, if(ISBLANK('2025'!$P218), 0, 1), 3, if(ISBLANK('2025'!$Q218), 0, 1), 4, if(ISBLANK('2025'!$R218), 0, 1), 5, if(ISBLANK('2025'!$S218), 0, 1), 6, if(ISBLANK('2025'!$T218), 0, 1), 7, 0))), 1, "")</f>
        <v/>
      </c>
      <c r="G220" s="1" t="str">
        <f>IF(AND(AND(AND(G$4&gt;='2025'!$L218,G$4&lt;='2025'!$M218), G$4&lt;&gt;DATE(2025,7,4)), (SWITCH(weekday(G$4), 1, 0, 2, if(ISBLANK('2025'!$P218), 0, 1), 3, if(ISBLANK('2025'!$Q218), 0, 1), 4, if(ISBLANK('2025'!$R218), 0, 1), 5, if(ISBLANK('2025'!$S218), 0, 1), 6, if(ISBLANK('2025'!$T218), 0, 1), 7, 0))), 1, "")</f>
        <v/>
      </c>
      <c r="H220" s="1" t="str">
        <f>IF(AND(AND(AND(H$4&gt;='2025'!$L218,H$4&lt;='2025'!$M218), H$4&lt;&gt;DATE(2025,7,4)), (SWITCH(weekday(H$4), 1, 0, 2, if(ISBLANK('2025'!$P218), 0, 1), 3, if(ISBLANK('2025'!$Q218), 0, 1), 4, if(ISBLANK('2025'!$R218), 0, 1), 5, if(ISBLANK('2025'!$S218), 0, 1), 6, if(ISBLANK('2025'!$T218), 0, 1), 7, 0))), 1, "")</f>
        <v/>
      </c>
      <c r="I220" s="1" t="str">
        <f>IF(AND(AND(AND(I$4&gt;='2025'!$L218,I$4&lt;='2025'!$M218), I$4&lt;&gt;DATE(2025,7,4)), (SWITCH(weekday(I$4), 1, 0, 2, if(ISBLANK('2025'!$P218), 0, 1), 3, if(ISBLANK('2025'!$Q218), 0, 1), 4, if(ISBLANK('2025'!$R218), 0, 1), 5, if(ISBLANK('2025'!$S218), 0, 1), 6, if(ISBLANK('2025'!$T218), 0, 1), 7, 0))), 1, "")</f>
        <v/>
      </c>
      <c r="J220" s="1" t="str">
        <f>IF(AND(AND(AND(J$4&gt;='2025'!$L218,J$4&lt;='2025'!$M218), J$4&lt;&gt;DATE(2025,7,4)), (SWITCH(weekday(J$4), 1, 0, 2, if(ISBLANK('2025'!$P218), 0, 1), 3, if(ISBLANK('2025'!$Q218), 0, 1), 4, if(ISBLANK('2025'!$R218), 0, 1), 5, if(ISBLANK('2025'!$S218), 0, 1), 6, if(ISBLANK('2025'!$T218), 0, 1), 7, 0))), 1, "")</f>
        <v/>
      </c>
      <c r="K220" s="1" t="str">
        <f>IF(AND(AND(AND(K$4&gt;='2025'!$L218,K$4&lt;='2025'!$M218), K$4&lt;&gt;DATE(2025,7,4)), (SWITCH(weekday(K$4), 1, 0, 2, if(ISBLANK('2025'!$P218), 0, 1), 3, if(ISBLANK('2025'!$Q218), 0, 1), 4, if(ISBLANK('2025'!$R218), 0, 1), 5, if(ISBLANK('2025'!$S218), 0, 1), 6, if(ISBLANK('2025'!$T218), 0, 1), 7, 0))), 1, "")</f>
        <v/>
      </c>
      <c r="L220" s="1" t="str">
        <f>IF(AND(AND(AND(L$4&gt;='2025'!$L218,L$4&lt;='2025'!$M218), L$4&lt;&gt;DATE(2025,7,4)), (SWITCH(weekday(L$4), 1, 0, 2, if(ISBLANK('2025'!$P218), 0, 1), 3, if(ISBLANK('2025'!$Q218), 0, 1), 4, if(ISBLANK('2025'!$R218), 0, 1), 5, if(ISBLANK('2025'!$S218), 0, 1), 6, if(ISBLANK('2025'!$T218), 0, 1), 7, 0))), 1, "")</f>
        <v/>
      </c>
      <c r="M220" s="1" t="str">
        <f>IF(AND(AND(AND(M$4&gt;='2025'!$L218,M$4&lt;='2025'!$M218), M$4&lt;&gt;DATE(2025,7,4)), (SWITCH(weekday(M$4), 1, 0, 2, if(ISBLANK('2025'!$P218), 0, 1), 3, if(ISBLANK('2025'!$Q218), 0, 1), 4, if(ISBLANK('2025'!$R218), 0, 1), 5, if(ISBLANK('2025'!$S218), 0, 1), 6, if(ISBLANK('2025'!$T218), 0, 1), 7, 0))), 1, "")</f>
        <v/>
      </c>
      <c r="N220" s="1" t="str">
        <f>IF(AND(AND(AND(N$4&gt;='2025'!$L218,N$4&lt;='2025'!$M218), N$4&lt;&gt;DATE(2025,7,4)), (SWITCH(weekday(N$4), 1, 0, 2, if(ISBLANK('2025'!$P218), 0, 1), 3, if(ISBLANK('2025'!$Q218), 0, 1), 4, if(ISBLANK('2025'!$R218), 0, 1), 5, if(ISBLANK('2025'!$S218), 0, 1), 6, if(ISBLANK('2025'!$T218), 0, 1), 7, 0))), 1, "")</f>
        <v/>
      </c>
      <c r="O220" s="1" t="str">
        <f>IF(AND(AND(AND(O$4&gt;='2025'!$L218,O$4&lt;='2025'!$M218), O$4&lt;&gt;DATE(2025,7,4)), (SWITCH(weekday(O$4), 1, 0, 2, if(ISBLANK('2025'!$P218), 0, 1), 3, if(ISBLANK('2025'!$Q218), 0, 1), 4, if(ISBLANK('2025'!$R218), 0, 1), 5, if(ISBLANK('2025'!$S218), 0, 1), 6, if(ISBLANK('2025'!$T218), 0, 1), 7, 0))), 1, "")</f>
        <v/>
      </c>
      <c r="P220" s="1" t="str">
        <f>IF(AND(AND(AND(P$4&gt;='2025'!$L218,P$4&lt;='2025'!$M218), P$4&lt;&gt;DATE(2025,7,4)), (SWITCH(weekday(P$4), 1, 0, 2, if(ISBLANK('2025'!$P218), 0, 1), 3, if(ISBLANK('2025'!$Q218), 0, 1), 4, if(ISBLANK('2025'!$R218), 0, 1), 5, if(ISBLANK('2025'!$S218), 0, 1), 6, if(ISBLANK('2025'!$T218), 0, 1), 7, 0))), 1, "")</f>
        <v/>
      </c>
      <c r="Q220" s="1" t="str">
        <f>IF(AND(AND(AND(Q$4&gt;='2025'!$L218,Q$4&lt;='2025'!$M218), Q$4&lt;&gt;DATE(2025,7,4)), (SWITCH(weekday(Q$4), 1, 0, 2, if(ISBLANK('2025'!$P218), 0, 1), 3, if(ISBLANK('2025'!$Q218), 0, 1), 4, if(ISBLANK('2025'!$R218), 0, 1), 5, if(ISBLANK('2025'!$S218), 0, 1), 6, if(ISBLANK('2025'!$T218), 0, 1), 7, 0))), 1, "")</f>
        <v/>
      </c>
      <c r="R220" s="1" t="str">
        <f>IF(AND(AND(AND(R$4&gt;='2025'!$L218,R$4&lt;='2025'!$M218), R$4&lt;&gt;DATE(2025,7,4)), (SWITCH(weekday(R$4), 1, 0, 2, if(ISBLANK('2025'!$P218), 0, 1), 3, if(ISBLANK('2025'!$Q218), 0, 1), 4, if(ISBLANK('2025'!$R218), 0, 1), 5, if(ISBLANK('2025'!$S218), 0, 1), 6, if(ISBLANK('2025'!$T218), 0, 1), 7, 0))), 1, "")</f>
        <v/>
      </c>
      <c r="S220" s="1" t="str">
        <f>IF(AND(AND(AND(S$4&gt;='2025'!$L218,S$4&lt;='2025'!$M218), S$4&lt;&gt;DATE(2025,7,4)), (SWITCH(weekday(S$4), 1, 0, 2, if(ISBLANK('2025'!$P218), 0, 1), 3, if(ISBLANK('2025'!$Q218), 0, 1), 4, if(ISBLANK('2025'!$R218), 0, 1), 5, if(ISBLANK('2025'!$S218), 0, 1), 6, if(ISBLANK('2025'!$T218), 0, 1), 7, 0))), 1, "")</f>
        <v/>
      </c>
      <c r="T220" s="1" t="str">
        <f>IF(AND(AND(AND(T$4&gt;='2025'!$L218,T$4&lt;='2025'!$M218), T$4&lt;&gt;DATE(2025,7,4)), (SWITCH(weekday(T$4), 1, 0, 2, if(ISBLANK('2025'!$P218), 0, 1), 3, if(ISBLANK('2025'!$Q218), 0, 1), 4, if(ISBLANK('2025'!$R218), 0, 1), 5, if(ISBLANK('2025'!$S218), 0, 1), 6, if(ISBLANK('2025'!$T218), 0, 1), 7, 0))), 1, "")</f>
        <v/>
      </c>
      <c r="U220" s="1" t="str">
        <f>IF(AND(AND(AND(U$4&gt;='2025'!$L218,U$4&lt;='2025'!$M218), U$4&lt;&gt;DATE(2025,7,4)), (SWITCH(weekday(U$4), 1, 0, 2, if(ISBLANK('2025'!$P218), 0, 1), 3, if(ISBLANK('2025'!$Q218), 0, 1), 4, if(ISBLANK('2025'!$R218), 0, 1), 5, if(ISBLANK('2025'!$S218), 0, 1), 6, if(ISBLANK('2025'!$T218), 0, 1), 7, 0))), 1, "")</f>
        <v/>
      </c>
      <c r="V220" s="1" t="str">
        <f>IF(AND(AND(AND(V$4&gt;='2025'!$L218,V$4&lt;='2025'!$M218), V$4&lt;&gt;DATE(2025,7,4)), (SWITCH(weekday(V$4), 1, 0, 2, if(ISBLANK('2025'!$P218), 0, 1), 3, if(ISBLANK('2025'!$Q218), 0, 1), 4, if(ISBLANK('2025'!$R218), 0, 1), 5, if(ISBLANK('2025'!$S218), 0, 1), 6, if(ISBLANK('2025'!$T218), 0, 1), 7, 0))), 1, "")</f>
        <v/>
      </c>
      <c r="W220" s="1" t="str">
        <f>IF(AND(AND(AND(W$4&gt;='2025'!$L218,W$4&lt;='2025'!$M218), W$4&lt;&gt;DATE(2025,7,4)), (SWITCH(weekday(W$4), 1, 0, 2, if(ISBLANK('2025'!$P218), 0, 1), 3, if(ISBLANK('2025'!$Q218), 0, 1), 4, if(ISBLANK('2025'!$R218), 0, 1), 5, if(ISBLANK('2025'!$S218), 0, 1), 6, if(ISBLANK('2025'!$T218), 0, 1), 7, 0))), 1, "")</f>
        <v/>
      </c>
      <c r="X220" s="1" t="str">
        <f>IF(AND(AND(AND(X$4&gt;='2025'!$L218,X$4&lt;='2025'!$M218), X$4&lt;&gt;DATE(2025,7,4)), (SWITCH(weekday(X$4), 1, 0, 2, if(ISBLANK('2025'!$P218), 0, 1), 3, if(ISBLANK('2025'!$Q218), 0, 1), 4, if(ISBLANK('2025'!$R218), 0, 1), 5, if(ISBLANK('2025'!$S218), 0, 1), 6, if(ISBLANK('2025'!$T218), 0, 1), 7, 0))), 1, "")</f>
        <v/>
      </c>
      <c r="Y220" s="1" t="str">
        <f>IF(AND(AND(AND(Y$4&gt;='2025'!$L218,Y$4&lt;='2025'!$M218), Y$4&lt;&gt;DATE(2025,7,4)), (SWITCH(weekday(Y$4), 1, 0, 2, if(ISBLANK('2025'!$P218), 0, 1), 3, if(ISBLANK('2025'!$Q218), 0, 1), 4, if(ISBLANK('2025'!$R218), 0, 1), 5, if(ISBLANK('2025'!$S218), 0, 1), 6, if(ISBLANK('2025'!$T218), 0, 1), 7, 0))), 1, "")</f>
        <v/>
      </c>
      <c r="Z220" s="1" t="str">
        <f>IF(AND(AND(AND(Z$4&gt;='2025'!$L218,Z$4&lt;='2025'!$M218), Z$4&lt;&gt;DATE(2025,7,4)), (SWITCH(weekday(Z$4), 1, 0, 2, if(ISBLANK('2025'!$P218), 0, 1), 3, if(ISBLANK('2025'!$Q218), 0, 1), 4, if(ISBLANK('2025'!$R218), 0, 1), 5, if(ISBLANK('2025'!$S218), 0, 1), 6, if(ISBLANK('2025'!$T218), 0, 1), 7, 0))), 1, "")</f>
        <v/>
      </c>
      <c r="AA220" s="1" t="str">
        <f>IF(AND(AND(AND(AA$4&gt;='2025'!$L218,AA$4&lt;='2025'!$M218), AA$4&lt;&gt;DATE(2025,7,4)), (SWITCH(weekday(AA$4), 1, 0, 2, if(ISBLANK('2025'!$P218), 0, 1), 3, if(ISBLANK('2025'!$Q218), 0, 1), 4, if(ISBLANK('2025'!$R218), 0, 1), 5, if(ISBLANK('2025'!$S218), 0, 1), 6, if(ISBLANK('2025'!$T218), 0, 1), 7, 0))), 1, "")</f>
        <v/>
      </c>
      <c r="AB220" s="1" t="str">
        <f>IF(AND(AND(AND(AB$4&gt;='2025'!$L218,AB$4&lt;='2025'!$M218), AB$4&lt;&gt;DATE(2025,7,4)), (SWITCH(weekday(AB$4), 1, 0, 2, if(ISBLANK('2025'!$P218), 0, 1), 3, if(ISBLANK('2025'!$Q218), 0, 1), 4, if(ISBLANK('2025'!$R218), 0, 1), 5, if(ISBLANK('2025'!$S218), 0, 1), 6, if(ISBLANK('2025'!$T218), 0, 1), 7, 0))), 1, "")</f>
        <v/>
      </c>
      <c r="AC220" s="1" t="str">
        <f>IF(AND(AND(AND(AC$4&gt;='2025'!$L218,AC$4&lt;='2025'!$M218), AC$4&lt;&gt;DATE(2025,7,4)), (SWITCH(weekday(AC$4), 1, 0, 2, if(ISBLANK('2025'!$P218), 0, 1), 3, if(ISBLANK('2025'!$Q218), 0, 1), 4, if(ISBLANK('2025'!$R218), 0, 1), 5, if(ISBLANK('2025'!$S218), 0, 1), 6, if(ISBLANK('2025'!$T218), 0, 1), 7, 0))), 1, "")</f>
        <v/>
      </c>
      <c r="AD220" s="1" t="str">
        <f>IF(AND(AND(AND(AD$4&gt;='2025'!$L218,AD$4&lt;='2025'!$M218), AD$4&lt;&gt;DATE(2025,7,4)), (SWITCH(weekday(AD$4), 1, 0, 2, if(ISBLANK('2025'!$P218), 0, 1), 3, if(ISBLANK('2025'!$Q218), 0, 1), 4, if(ISBLANK('2025'!$R218), 0, 1), 5, if(ISBLANK('2025'!$S218), 0, 1), 6, if(ISBLANK('2025'!$T218), 0, 1), 7, 0))), 1, "")</f>
        <v/>
      </c>
      <c r="AE220" s="1" t="str">
        <f>IF(AND(AND(AND(AE$4&gt;='2025'!$L218,AE$4&lt;='2025'!$M218), AE$4&lt;&gt;DATE(2025,7,4)), (SWITCH(weekday(AE$4), 1, 0, 2, if(ISBLANK('2025'!$P218), 0, 1), 3, if(ISBLANK('2025'!$Q218), 0, 1), 4, if(ISBLANK('2025'!$R218), 0, 1), 5, if(ISBLANK('2025'!$S218), 0, 1), 6, if(ISBLANK('2025'!$T218), 0, 1), 7, 0))), 1, "")</f>
        <v/>
      </c>
      <c r="AF220" s="1" t="str">
        <f>IF(AND(AND(AND(AF$4&gt;='2025'!$L218,AF$4&lt;='2025'!$M218), AF$4&lt;&gt;DATE(2025,7,4)), (SWITCH(weekday(AF$4), 1, 0, 2, if(ISBLANK('2025'!$P218), 0, 1), 3, if(ISBLANK('2025'!$Q218), 0, 1), 4, if(ISBLANK('2025'!$R218), 0, 1), 5, if(ISBLANK('2025'!$S218), 0, 1), 6, if(ISBLANK('2025'!$T218), 0, 1), 7, 0))), 1, "")</f>
        <v/>
      </c>
      <c r="AG220" s="1" t="str">
        <f>IF(AND(AND(AND(AG$4&gt;='2025'!$L218,AG$4&lt;='2025'!$M218), AG$4&lt;&gt;DATE(2025,7,4)), (SWITCH(weekday(AG$4), 1, 0, 2, if(ISBLANK('2025'!$P218), 0, 1), 3, if(ISBLANK('2025'!$Q218), 0, 1), 4, if(ISBLANK('2025'!$R218), 0, 1), 5, if(ISBLANK('2025'!$S218), 0, 1), 6, if(ISBLANK('2025'!$T218), 0, 1), 7, 0))), 1, "")</f>
        <v/>
      </c>
      <c r="AH220" s="1" t="str">
        <f>IF(AND(AND(AND(AH$4&gt;='2025'!$L218,AH$4&lt;='2025'!$M218), AH$4&lt;&gt;DATE(2025,7,4)), (SWITCH(weekday(AH$4), 1, 0, 2, if(ISBLANK('2025'!$P218), 0, 1), 3, if(ISBLANK('2025'!$Q218), 0, 1), 4, if(ISBLANK('2025'!$R218), 0, 1), 5, if(ISBLANK('2025'!$S218), 0, 1), 6, if(ISBLANK('2025'!$T218), 0, 1), 7, 0))), 1, "")</f>
        <v/>
      </c>
      <c r="AI220" s="1" t="str">
        <f>IF(AND(AND(AND(AI$4&gt;='2025'!$L218,AI$4&lt;='2025'!$M218), AI$4&lt;&gt;DATE(2025,7,4)), (SWITCH(weekday(AI$4), 1, 0, 2, if(ISBLANK('2025'!$P218), 0, 1), 3, if(ISBLANK('2025'!$Q218), 0, 1), 4, if(ISBLANK('2025'!$R218), 0, 1), 5, if(ISBLANK('2025'!$S218), 0, 1), 6, if(ISBLANK('2025'!$T218), 0, 1), 7, 0))), 1, "")</f>
        <v/>
      </c>
      <c r="AJ220" s="1" t="str">
        <f>IF(AND(AND(AND(AJ$4&gt;='2025'!$L218,AJ$4&lt;='2025'!$M218), AJ$4&lt;&gt;DATE(2025,7,4)), (SWITCH(weekday(AJ$4), 1, 0, 2, if(ISBLANK('2025'!$P218), 0, 1), 3, if(ISBLANK('2025'!$Q218), 0, 1), 4, if(ISBLANK('2025'!$R218), 0, 1), 5, if(ISBLANK('2025'!$S218), 0, 1), 6, if(ISBLANK('2025'!$T218), 0, 1), 7, 0))), 1, "")</f>
        <v/>
      </c>
      <c r="AK220" s="1" t="str">
        <f>IF(AND(AND(AND(AK$4&gt;='2025'!$L218,AK$4&lt;='2025'!$M218), AK$4&lt;&gt;DATE(2025,7,4)), (SWITCH(weekday(AK$4), 1, 0, 2, if(ISBLANK('2025'!$P218), 0, 1), 3, if(ISBLANK('2025'!$Q218), 0, 1), 4, if(ISBLANK('2025'!$R218), 0, 1), 5, if(ISBLANK('2025'!$S218), 0, 1), 6, if(ISBLANK('2025'!$T218), 0, 1), 7, 0))), 1, "")</f>
        <v/>
      </c>
      <c r="AL220" s="1" t="str">
        <f>IF(AND(AND(AND(AL$4&gt;='2025'!$L218,AL$4&lt;='2025'!$M218), AL$4&lt;&gt;DATE(2025,7,4)), (SWITCH(weekday(AL$4), 1, 0, 2, if(ISBLANK('2025'!$P218), 0, 1), 3, if(ISBLANK('2025'!$Q218), 0, 1), 4, if(ISBLANK('2025'!$R218), 0, 1), 5, if(ISBLANK('2025'!$S218), 0, 1), 6, if(ISBLANK('2025'!$T218), 0, 1), 7, 0))), 1, "")</f>
        <v/>
      </c>
      <c r="AM220" s="1" t="str">
        <f>IF(AND(AND(AND(AM$4&gt;='2025'!$L218,AM$4&lt;='2025'!$M218), AM$4&lt;&gt;DATE(2025,7,4)), (SWITCH(weekday(AM$4), 1, 0, 2, if(ISBLANK('2025'!$P218), 0, 1), 3, if(ISBLANK('2025'!$Q218), 0, 1), 4, if(ISBLANK('2025'!$R218), 0, 1), 5, if(ISBLANK('2025'!$S218), 0, 1), 6, if(ISBLANK('2025'!$T218), 0, 1), 7, 0))), 1, "")</f>
        <v/>
      </c>
      <c r="AN220" s="1" t="str">
        <f>IF(AND(AND(AND(AN$4&gt;='2025'!$L218,AN$4&lt;='2025'!$M218), AN$4&lt;&gt;DATE(2025,7,4)), (SWITCH(weekday(AN$4), 1, 0, 2, if(ISBLANK('2025'!$P218), 0, 1), 3, if(ISBLANK('2025'!$Q218), 0, 1), 4, if(ISBLANK('2025'!$R218), 0, 1), 5, if(ISBLANK('2025'!$S218), 0, 1), 6, if(ISBLANK('2025'!$T218), 0, 1), 7, 0))), 1, "")</f>
        <v/>
      </c>
      <c r="AO220" s="1" t="str">
        <f>IF(AND(AND(AND(AO$4&gt;='2025'!$L218,AO$4&lt;='2025'!$M218), AO$4&lt;&gt;DATE(2025,7,4)), (SWITCH(weekday(AO$4), 1, 0, 2, if(ISBLANK('2025'!$P218), 0, 1), 3, if(ISBLANK('2025'!$Q218), 0, 1), 4, if(ISBLANK('2025'!$R218), 0, 1), 5, if(ISBLANK('2025'!$S218), 0, 1), 6, if(ISBLANK('2025'!$T218), 0, 1), 7, 0))), 1, "")</f>
        <v/>
      </c>
      <c r="AP220" s="1" t="str">
        <f>IF(AND(AND(AND(AP$4&gt;='2025'!$L218,AP$4&lt;='2025'!$M218), AP$4&lt;&gt;DATE(2025,7,4)), (SWITCH(weekday(AP$4), 1, 0, 2, if(ISBLANK('2025'!$P218), 0, 1), 3, if(ISBLANK('2025'!$Q218), 0, 1), 4, if(ISBLANK('2025'!$R218), 0, 1), 5, if(ISBLANK('2025'!$S218), 0, 1), 6, if(ISBLANK('2025'!$T218), 0, 1), 7, 0))), 1, "")</f>
        <v/>
      </c>
      <c r="AQ220" s="1" t="str">
        <f>IF(AND(AND(AND(AQ$4&gt;='2025'!$L218,AQ$4&lt;='2025'!$M218), AQ$4&lt;&gt;DATE(2025,7,4)), (SWITCH(weekday(AQ$4), 1, 0, 2, if(ISBLANK('2025'!$P218), 0, 1), 3, if(ISBLANK('2025'!$Q218), 0, 1), 4, if(ISBLANK('2025'!$R218), 0, 1), 5, if(ISBLANK('2025'!$S218), 0, 1), 6, if(ISBLANK('2025'!$T218), 0, 1), 7, 0))), 1, "")</f>
        <v/>
      </c>
      <c r="AR220" s="1" t="str">
        <f>IF(AND(AND(AND(AR$4&gt;='2025'!$L218,AR$4&lt;='2025'!$M218), AR$4&lt;&gt;DATE(2025,7,4)), (SWITCH(weekday(AR$4), 1, 0, 2, if(ISBLANK('2025'!$P218), 0, 1), 3, if(ISBLANK('2025'!$Q218), 0, 1), 4, if(ISBLANK('2025'!$R218), 0, 1), 5, if(ISBLANK('2025'!$S218), 0, 1), 6, if(ISBLANK('2025'!$T218), 0, 1), 7, 0))), 1, "")</f>
        <v/>
      </c>
      <c r="AS220" s="1" t="str">
        <f>IF(AND(AND(AND(AS$4&gt;='2025'!$L218,AS$4&lt;='2025'!$M218), AS$4&lt;&gt;DATE(2025,7,4)), (SWITCH(weekday(AS$4), 1, 0, 2, if(ISBLANK('2025'!$P218), 0, 1), 3, if(ISBLANK('2025'!$Q218), 0, 1), 4, if(ISBLANK('2025'!$R218), 0, 1), 5, if(ISBLANK('2025'!$S218), 0, 1), 6, if(ISBLANK('2025'!$T218), 0, 1), 7, 0))), 1, "")</f>
        <v/>
      </c>
      <c r="AT220" s="1" t="str">
        <f>IF(AND(AND(AND(AT$4&gt;='2025'!$L218,AT$4&lt;='2025'!$M218), AT$4&lt;&gt;DATE(2025,7,4)), (SWITCH(weekday(AT$4), 1, 0, 2, if(ISBLANK('2025'!$P218), 0, 1), 3, if(ISBLANK('2025'!$Q218), 0, 1), 4, if(ISBLANK('2025'!$R218), 0, 1), 5, if(ISBLANK('2025'!$S218), 0, 1), 6, if(ISBLANK('2025'!$T218), 0, 1), 7, 0))), 1, "")</f>
        <v/>
      </c>
      <c r="AU220" s="1" t="str">
        <f>IF(AND(AND(AND(AU$4&gt;='2025'!$L218,AU$4&lt;='2025'!$M218), AU$4&lt;&gt;DATE(2025,7,4)), (SWITCH(weekday(AU$4), 1, 0, 2, if(ISBLANK('2025'!$P218), 0, 1), 3, if(ISBLANK('2025'!$Q218), 0, 1), 4, if(ISBLANK('2025'!$R218), 0, 1), 5, if(ISBLANK('2025'!$S218), 0, 1), 6, if(ISBLANK('2025'!$T218), 0, 1), 7, 0))), 1, "")</f>
        <v/>
      </c>
      <c r="AV220" s="1" t="str">
        <f>IF(AND(AND(AND(AV$4&gt;='2025'!$L218,AV$4&lt;='2025'!$M218), AV$4&lt;&gt;DATE(2025,7,4)), (SWITCH(weekday(AV$4), 1, 0, 2, if(ISBLANK('2025'!$P218), 0, 1), 3, if(ISBLANK('2025'!$Q218), 0, 1), 4, if(ISBLANK('2025'!$R218), 0, 1), 5, if(ISBLANK('2025'!$S218), 0, 1), 6, if(ISBLANK('2025'!$T218), 0, 1), 7, 0))), 1, "")</f>
        <v/>
      </c>
      <c r="AW220" s="1" t="str">
        <f>IF(AND(AND(AND(AW$4&gt;='2025'!$L218,AW$4&lt;='2025'!$M218), AW$4&lt;&gt;DATE(2025,7,4)), (SWITCH(weekday(AW$4), 1, 0, 2, if(ISBLANK('2025'!$P218), 0, 1), 3, if(ISBLANK('2025'!$Q218), 0, 1), 4, if(ISBLANK('2025'!$R218), 0, 1), 5, if(ISBLANK('2025'!$S218), 0, 1), 6, if(ISBLANK('2025'!$T218), 0, 1), 7, 0))), 1, "")</f>
        <v/>
      </c>
      <c r="AX220" s="1" t="str">
        <f>IF(AND(AND(AND(AX$4&gt;='2025'!$L218,AX$4&lt;='2025'!$M218), AX$4&lt;&gt;DATE(2025,7,4)), (SWITCH(weekday(AX$4), 1, 0, 2, if(ISBLANK('2025'!$P218), 0, 1), 3, if(ISBLANK('2025'!$Q218), 0, 1), 4, if(ISBLANK('2025'!$R218), 0, 1), 5, if(ISBLANK('2025'!$S218), 0, 1), 6, if(ISBLANK('2025'!$T218), 0, 1), 7, 0))), 1, "")</f>
        <v/>
      </c>
      <c r="AY220" s="1" t="str">
        <f>IF(AND(AND(AND(AY$4&gt;='2025'!$L218,AY$4&lt;='2025'!$M218), AY$4&lt;&gt;DATE(2025,7,4)), (SWITCH(weekday(AY$4), 1, 0, 2, if(ISBLANK('2025'!$P218), 0, 1), 3, if(ISBLANK('2025'!$Q218), 0, 1), 4, if(ISBLANK('2025'!$R218), 0, 1), 5, if(ISBLANK('2025'!$S218), 0, 1), 6, if(ISBLANK('2025'!$T218), 0, 1), 7, 0))), 1, "")</f>
        <v/>
      </c>
      <c r="AZ220" s="1" t="str">
        <f>IF(AND(AND(AND(AZ$4&gt;='2025'!$L218,AZ$4&lt;='2025'!$M218), AZ$4&lt;&gt;DATE(2025,7,4)), (SWITCH(weekday(AZ$4), 1, 0, 2, if(ISBLANK('2025'!$P218), 0, 1), 3, if(ISBLANK('2025'!$Q218), 0, 1), 4, if(ISBLANK('2025'!$R218), 0, 1), 5, if(ISBLANK('2025'!$S218), 0, 1), 6, if(ISBLANK('2025'!$T218), 0, 1), 7, 0))), 1, "")</f>
        <v/>
      </c>
      <c r="BA220" s="1" t="str">
        <f>IF(AND(AND(AND(BA$4&gt;='2025'!$L218,BA$4&lt;='2025'!$M218), BA$4&lt;&gt;DATE(2025,7,4)), (SWITCH(weekday(BA$4), 1, 0, 2, if(ISBLANK('2025'!$P218), 0, 1), 3, if(ISBLANK('2025'!$Q218), 0, 1), 4, if(ISBLANK('2025'!$R218), 0, 1), 5, if(ISBLANK('2025'!$S218), 0, 1), 6, if(ISBLANK('2025'!$T218), 0, 1), 7, 0))), 1, "")</f>
        <v/>
      </c>
      <c r="BB220" s="1" t="str">
        <f>IF(AND(AND(AND(BB$4&gt;='2025'!$L218,BB$4&lt;='2025'!$M218), BB$4&lt;&gt;DATE(2025,7,4)), (SWITCH(weekday(BB$4), 1, 0, 2, if(ISBLANK('2025'!$P218), 0, 1), 3, if(ISBLANK('2025'!$Q218), 0, 1), 4, if(ISBLANK('2025'!$R218), 0, 1), 5, if(ISBLANK('2025'!$S218), 0, 1), 6, if(ISBLANK('2025'!$T218), 0, 1), 7, 0))), 1, "")</f>
        <v/>
      </c>
      <c r="BC220" s="1" t="str">
        <f>IF(AND(AND(AND(BC$4&gt;='2025'!$L218,BC$4&lt;='2025'!$M218), BC$4&lt;&gt;DATE(2025,7,4)), (SWITCH(weekday(BC$4), 1, 0, 2, if(ISBLANK('2025'!$P218), 0, 1), 3, if(ISBLANK('2025'!$Q218), 0, 1), 4, if(ISBLANK('2025'!$R218), 0, 1), 5, if(ISBLANK('2025'!$S218), 0, 1), 6, if(ISBLANK('2025'!$T218), 0, 1), 7, 0))), 1, "")</f>
        <v/>
      </c>
      <c r="BD220" s="1" t="str">
        <f>IF(AND(AND(AND(BD$4&gt;='2025'!$L218,BD$4&lt;='2025'!$M218), BD$4&lt;&gt;DATE(2025,7,4)), (SWITCH(weekday(BD$4), 1, 0, 2, if(ISBLANK('2025'!$P218), 0, 1), 3, if(ISBLANK('2025'!$Q218), 0, 1), 4, if(ISBLANK('2025'!$R218), 0, 1), 5, if(ISBLANK('2025'!$S218), 0, 1), 6, if(ISBLANK('2025'!$T218), 0, 1), 7, 0))), 1, "")</f>
        <v/>
      </c>
      <c r="BE220" s="1" t="str">
        <f>IF(AND(AND(AND(BE$4&gt;='2025'!$L218,BE$4&lt;='2025'!$M218), BE$4&lt;&gt;DATE(2025,7,4)), (SWITCH(weekday(BE$4), 1, 0, 2, if(ISBLANK('2025'!$P218), 0, 1), 3, if(ISBLANK('2025'!$Q218), 0, 1), 4, if(ISBLANK('2025'!$R218), 0, 1), 5, if(ISBLANK('2025'!$S218), 0, 1), 6, if(ISBLANK('2025'!$T218), 0, 1), 7, 0))), 1, "")</f>
        <v/>
      </c>
      <c r="BF220" s="1" t="str">
        <f>IF(AND(AND(AND(BF$4&gt;='2025'!$L218,BF$4&lt;='2025'!$M218), BF$4&lt;&gt;DATE(2025,7,4)), (SWITCH(weekday(BF$4), 1, 0, 2, if(ISBLANK('2025'!$P218), 0, 1), 3, if(ISBLANK('2025'!$Q218), 0, 1), 4, if(ISBLANK('2025'!$R218), 0, 1), 5, if(ISBLANK('2025'!$S218), 0, 1), 6, if(ISBLANK('2025'!$T218), 0, 1), 7, 0))), 1, "")</f>
        <v/>
      </c>
      <c r="BG220" s="1"/>
      <c r="BH220" s="1"/>
      <c r="BI220" s="1"/>
      <c r="BJ220" s="1"/>
      <c r="BK220" s="1"/>
      <c r="BL220" s="1"/>
    </row>
    <row r="221">
      <c r="A221" s="1">
        <f t="shared" si="3"/>
        <v>221</v>
      </c>
      <c r="B221" s="1" t="str">
        <f>'2025'!D185</f>
        <v>, </v>
      </c>
      <c r="C221" s="1" t="str">
        <f>'2025'!H185</f>
        <v/>
      </c>
      <c r="D221" s="1" t="str">
        <f>IF(AND(AND(AND(D$4&gt;='2025'!$L219,D$4&lt;='2025'!$M219), D$4&lt;&gt;DATE(2025,7,4)), (SWITCH(weekday(D$4), 1, 0, 2, if(ISBLANK('2025'!$P219), 0, 1), 3, if(ISBLANK('2025'!$Q219), 0, 1), 4, if(ISBLANK('2025'!$R219), 0, 1), 5, if(ISBLANK('2025'!$S219), 0, 1), 6, if(ISBLANK('2025'!$T219), 0, 1), 7, 0))), 1, "")</f>
        <v/>
      </c>
      <c r="E221" s="1" t="str">
        <f>IF(AND(AND(AND(E$4&gt;='2025'!$L219,E$4&lt;='2025'!$M219), E$4&lt;&gt;DATE(2025,7,4)), (SWITCH(weekday(E$4), 1, 0, 2, if(ISBLANK('2025'!$P219), 0, 1), 3, if(ISBLANK('2025'!$Q219), 0, 1), 4, if(ISBLANK('2025'!$R219), 0, 1), 5, if(ISBLANK('2025'!$S219), 0, 1), 6, if(ISBLANK('2025'!$T219), 0, 1), 7, 0))), 1, "")</f>
        <v/>
      </c>
      <c r="F221" s="1" t="str">
        <f>IF(AND(AND(AND(F$4&gt;='2025'!$L219,F$4&lt;='2025'!$M219), F$4&lt;&gt;DATE(2025,7,4)), (SWITCH(weekday(F$4), 1, 0, 2, if(ISBLANK('2025'!$P219), 0, 1), 3, if(ISBLANK('2025'!$Q219), 0, 1), 4, if(ISBLANK('2025'!$R219), 0, 1), 5, if(ISBLANK('2025'!$S219), 0, 1), 6, if(ISBLANK('2025'!$T219), 0, 1), 7, 0))), 1, "")</f>
        <v/>
      </c>
      <c r="G221" s="1" t="str">
        <f>IF(AND(AND(AND(G$4&gt;='2025'!$L219,G$4&lt;='2025'!$M219), G$4&lt;&gt;DATE(2025,7,4)), (SWITCH(weekday(G$4), 1, 0, 2, if(ISBLANK('2025'!$P219), 0, 1), 3, if(ISBLANK('2025'!$Q219), 0, 1), 4, if(ISBLANK('2025'!$R219), 0, 1), 5, if(ISBLANK('2025'!$S219), 0, 1), 6, if(ISBLANK('2025'!$T219), 0, 1), 7, 0))), 1, "")</f>
        <v/>
      </c>
      <c r="H221" s="1" t="str">
        <f>IF(AND(AND(AND(H$4&gt;='2025'!$L219,H$4&lt;='2025'!$M219), H$4&lt;&gt;DATE(2025,7,4)), (SWITCH(weekday(H$4), 1, 0, 2, if(ISBLANK('2025'!$P219), 0, 1), 3, if(ISBLANK('2025'!$Q219), 0, 1), 4, if(ISBLANK('2025'!$R219), 0, 1), 5, if(ISBLANK('2025'!$S219), 0, 1), 6, if(ISBLANK('2025'!$T219), 0, 1), 7, 0))), 1, "")</f>
        <v/>
      </c>
      <c r="I221" s="1" t="str">
        <f>IF(AND(AND(AND(I$4&gt;='2025'!$L219,I$4&lt;='2025'!$M219), I$4&lt;&gt;DATE(2025,7,4)), (SWITCH(weekday(I$4), 1, 0, 2, if(ISBLANK('2025'!$P219), 0, 1), 3, if(ISBLANK('2025'!$Q219), 0, 1), 4, if(ISBLANK('2025'!$R219), 0, 1), 5, if(ISBLANK('2025'!$S219), 0, 1), 6, if(ISBLANK('2025'!$T219), 0, 1), 7, 0))), 1, "")</f>
        <v/>
      </c>
      <c r="J221" s="1" t="str">
        <f>IF(AND(AND(AND(J$4&gt;='2025'!$L219,J$4&lt;='2025'!$M219), J$4&lt;&gt;DATE(2025,7,4)), (SWITCH(weekday(J$4), 1, 0, 2, if(ISBLANK('2025'!$P219), 0, 1), 3, if(ISBLANK('2025'!$Q219), 0, 1), 4, if(ISBLANK('2025'!$R219), 0, 1), 5, if(ISBLANK('2025'!$S219), 0, 1), 6, if(ISBLANK('2025'!$T219), 0, 1), 7, 0))), 1, "")</f>
        <v/>
      </c>
      <c r="K221" s="1" t="str">
        <f>IF(AND(AND(AND(K$4&gt;='2025'!$L219,K$4&lt;='2025'!$M219), K$4&lt;&gt;DATE(2025,7,4)), (SWITCH(weekday(K$4), 1, 0, 2, if(ISBLANK('2025'!$P219), 0, 1), 3, if(ISBLANK('2025'!$Q219), 0, 1), 4, if(ISBLANK('2025'!$R219), 0, 1), 5, if(ISBLANK('2025'!$S219), 0, 1), 6, if(ISBLANK('2025'!$T219), 0, 1), 7, 0))), 1, "")</f>
        <v/>
      </c>
      <c r="L221" s="1" t="str">
        <f>IF(AND(AND(AND(L$4&gt;='2025'!$L219,L$4&lt;='2025'!$M219), L$4&lt;&gt;DATE(2025,7,4)), (SWITCH(weekday(L$4), 1, 0, 2, if(ISBLANK('2025'!$P219), 0, 1), 3, if(ISBLANK('2025'!$Q219), 0, 1), 4, if(ISBLANK('2025'!$R219), 0, 1), 5, if(ISBLANK('2025'!$S219), 0, 1), 6, if(ISBLANK('2025'!$T219), 0, 1), 7, 0))), 1, "")</f>
        <v/>
      </c>
      <c r="M221" s="1" t="str">
        <f>IF(AND(AND(AND(M$4&gt;='2025'!$L219,M$4&lt;='2025'!$M219), M$4&lt;&gt;DATE(2025,7,4)), (SWITCH(weekday(M$4), 1, 0, 2, if(ISBLANK('2025'!$P219), 0, 1), 3, if(ISBLANK('2025'!$Q219), 0, 1), 4, if(ISBLANK('2025'!$R219), 0, 1), 5, if(ISBLANK('2025'!$S219), 0, 1), 6, if(ISBLANK('2025'!$T219), 0, 1), 7, 0))), 1, "")</f>
        <v/>
      </c>
      <c r="N221" s="1" t="str">
        <f>IF(AND(AND(AND(N$4&gt;='2025'!$L219,N$4&lt;='2025'!$M219), N$4&lt;&gt;DATE(2025,7,4)), (SWITCH(weekday(N$4), 1, 0, 2, if(ISBLANK('2025'!$P219), 0, 1), 3, if(ISBLANK('2025'!$Q219), 0, 1), 4, if(ISBLANK('2025'!$R219), 0, 1), 5, if(ISBLANK('2025'!$S219), 0, 1), 6, if(ISBLANK('2025'!$T219), 0, 1), 7, 0))), 1, "")</f>
        <v/>
      </c>
      <c r="O221" s="1" t="str">
        <f>IF(AND(AND(AND(O$4&gt;='2025'!$L219,O$4&lt;='2025'!$M219), O$4&lt;&gt;DATE(2025,7,4)), (SWITCH(weekday(O$4), 1, 0, 2, if(ISBLANK('2025'!$P219), 0, 1), 3, if(ISBLANK('2025'!$Q219), 0, 1), 4, if(ISBLANK('2025'!$R219), 0, 1), 5, if(ISBLANK('2025'!$S219), 0, 1), 6, if(ISBLANK('2025'!$T219), 0, 1), 7, 0))), 1, "")</f>
        <v/>
      </c>
      <c r="P221" s="1" t="str">
        <f>IF(AND(AND(AND(P$4&gt;='2025'!$L219,P$4&lt;='2025'!$M219), P$4&lt;&gt;DATE(2025,7,4)), (SWITCH(weekday(P$4), 1, 0, 2, if(ISBLANK('2025'!$P219), 0, 1), 3, if(ISBLANK('2025'!$Q219), 0, 1), 4, if(ISBLANK('2025'!$R219), 0, 1), 5, if(ISBLANK('2025'!$S219), 0, 1), 6, if(ISBLANK('2025'!$T219), 0, 1), 7, 0))), 1, "")</f>
        <v/>
      </c>
      <c r="Q221" s="1" t="str">
        <f>IF(AND(AND(AND(Q$4&gt;='2025'!$L219,Q$4&lt;='2025'!$M219), Q$4&lt;&gt;DATE(2025,7,4)), (SWITCH(weekday(Q$4), 1, 0, 2, if(ISBLANK('2025'!$P219), 0, 1), 3, if(ISBLANK('2025'!$Q219), 0, 1), 4, if(ISBLANK('2025'!$R219), 0, 1), 5, if(ISBLANK('2025'!$S219), 0, 1), 6, if(ISBLANK('2025'!$T219), 0, 1), 7, 0))), 1, "")</f>
        <v/>
      </c>
      <c r="R221" s="1" t="str">
        <f>IF(AND(AND(AND(R$4&gt;='2025'!$L219,R$4&lt;='2025'!$M219), R$4&lt;&gt;DATE(2025,7,4)), (SWITCH(weekday(R$4), 1, 0, 2, if(ISBLANK('2025'!$P219), 0, 1), 3, if(ISBLANK('2025'!$Q219), 0, 1), 4, if(ISBLANK('2025'!$R219), 0, 1), 5, if(ISBLANK('2025'!$S219), 0, 1), 6, if(ISBLANK('2025'!$T219), 0, 1), 7, 0))), 1, "")</f>
        <v/>
      </c>
      <c r="S221" s="1" t="str">
        <f>IF(AND(AND(AND(S$4&gt;='2025'!$L219,S$4&lt;='2025'!$M219), S$4&lt;&gt;DATE(2025,7,4)), (SWITCH(weekday(S$4), 1, 0, 2, if(ISBLANK('2025'!$P219), 0, 1), 3, if(ISBLANK('2025'!$Q219), 0, 1), 4, if(ISBLANK('2025'!$R219), 0, 1), 5, if(ISBLANK('2025'!$S219), 0, 1), 6, if(ISBLANK('2025'!$T219), 0, 1), 7, 0))), 1, "")</f>
        <v/>
      </c>
      <c r="T221" s="1" t="str">
        <f>IF(AND(AND(AND(T$4&gt;='2025'!$L219,T$4&lt;='2025'!$M219), T$4&lt;&gt;DATE(2025,7,4)), (SWITCH(weekday(T$4), 1, 0, 2, if(ISBLANK('2025'!$P219), 0, 1), 3, if(ISBLANK('2025'!$Q219), 0, 1), 4, if(ISBLANK('2025'!$R219), 0, 1), 5, if(ISBLANK('2025'!$S219), 0, 1), 6, if(ISBLANK('2025'!$T219), 0, 1), 7, 0))), 1, "")</f>
        <v/>
      </c>
      <c r="U221" s="1" t="str">
        <f>IF(AND(AND(AND(U$4&gt;='2025'!$L219,U$4&lt;='2025'!$M219), U$4&lt;&gt;DATE(2025,7,4)), (SWITCH(weekday(U$4), 1, 0, 2, if(ISBLANK('2025'!$P219), 0, 1), 3, if(ISBLANK('2025'!$Q219), 0, 1), 4, if(ISBLANK('2025'!$R219), 0, 1), 5, if(ISBLANK('2025'!$S219), 0, 1), 6, if(ISBLANK('2025'!$T219), 0, 1), 7, 0))), 1, "")</f>
        <v/>
      </c>
      <c r="V221" s="1" t="str">
        <f>IF(AND(AND(AND(V$4&gt;='2025'!$L219,V$4&lt;='2025'!$M219), V$4&lt;&gt;DATE(2025,7,4)), (SWITCH(weekday(V$4), 1, 0, 2, if(ISBLANK('2025'!$P219), 0, 1), 3, if(ISBLANK('2025'!$Q219), 0, 1), 4, if(ISBLANK('2025'!$R219), 0, 1), 5, if(ISBLANK('2025'!$S219), 0, 1), 6, if(ISBLANK('2025'!$T219), 0, 1), 7, 0))), 1, "")</f>
        <v/>
      </c>
      <c r="W221" s="1" t="str">
        <f>IF(AND(AND(AND(W$4&gt;='2025'!$L219,W$4&lt;='2025'!$M219), W$4&lt;&gt;DATE(2025,7,4)), (SWITCH(weekday(W$4), 1, 0, 2, if(ISBLANK('2025'!$P219), 0, 1), 3, if(ISBLANK('2025'!$Q219), 0, 1), 4, if(ISBLANK('2025'!$R219), 0, 1), 5, if(ISBLANK('2025'!$S219), 0, 1), 6, if(ISBLANK('2025'!$T219), 0, 1), 7, 0))), 1, "")</f>
        <v/>
      </c>
      <c r="X221" s="1" t="str">
        <f>IF(AND(AND(AND(X$4&gt;='2025'!$L219,X$4&lt;='2025'!$M219), X$4&lt;&gt;DATE(2025,7,4)), (SWITCH(weekday(X$4), 1, 0, 2, if(ISBLANK('2025'!$P219), 0, 1), 3, if(ISBLANK('2025'!$Q219), 0, 1), 4, if(ISBLANK('2025'!$R219), 0, 1), 5, if(ISBLANK('2025'!$S219), 0, 1), 6, if(ISBLANK('2025'!$T219), 0, 1), 7, 0))), 1, "")</f>
        <v/>
      </c>
      <c r="Y221" s="1" t="str">
        <f>IF(AND(AND(AND(Y$4&gt;='2025'!$L219,Y$4&lt;='2025'!$M219), Y$4&lt;&gt;DATE(2025,7,4)), (SWITCH(weekday(Y$4), 1, 0, 2, if(ISBLANK('2025'!$P219), 0, 1), 3, if(ISBLANK('2025'!$Q219), 0, 1), 4, if(ISBLANK('2025'!$R219), 0, 1), 5, if(ISBLANK('2025'!$S219), 0, 1), 6, if(ISBLANK('2025'!$T219), 0, 1), 7, 0))), 1, "")</f>
        <v/>
      </c>
      <c r="Z221" s="1" t="str">
        <f>IF(AND(AND(AND(Z$4&gt;='2025'!$L219,Z$4&lt;='2025'!$M219), Z$4&lt;&gt;DATE(2025,7,4)), (SWITCH(weekday(Z$4), 1, 0, 2, if(ISBLANK('2025'!$P219), 0, 1), 3, if(ISBLANK('2025'!$Q219), 0, 1), 4, if(ISBLANK('2025'!$R219), 0, 1), 5, if(ISBLANK('2025'!$S219), 0, 1), 6, if(ISBLANK('2025'!$T219), 0, 1), 7, 0))), 1, "")</f>
        <v/>
      </c>
      <c r="AA221" s="1" t="str">
        <f>IF(AND(AND(AND(AA$4&gt;='2025'!$L219,AA$4&lt;='2025'!$M219), AA$4&lt;&gt;DATE(2025,7,4)), (SWITCH(weekday(AA$4), 1, 0, 2, if(ISBLANK('2025'!$P219), 0, 1), 3, if(ISBLANK('2025'!$Q219), 0, 1), 4, if(ISBLANK('2025'!$R219), 0, 1), 5, if(ISBLANK('2025'!$S219), 0, 1), 6, if(ISBLANK('2025'!$T219), 0, 1), 7, 0))), 1, "")</f>
        <v/>
      </c>
      <c r="AB221" s="1" t="str">
        <f>IF(AND(AND(AND(AB$4&gt;='2025'!$L219,AB$4&lt;='2025'!$M219), AB$4&lt;&gt;DATE(2025,7,4)), (SWITCH(weekday(AB$4), 1, 0, 2, if(ISBLANK('2025'!$P219), 0, 1), 3, if(ISBLANK('2025'!$Q219), 0, 1), 4, if(ISBLANK('2025'!$R219), 0, 1), 5, if(ISBLANK('2025'!$S219), 0, 1), 6, if(ISBLANK('2025'!$T219), 0, 1), 7, 0))), 1, "")</f>
        <v/>
      </c>
      <c r="AC221" s="1" t="str">
        <f>IF(AND(AND(AND(AC$4&gt;='2025'!$L219,AC$4&lt;='2025'!$M219), AC$4&lt;&gt;DATE(2025,7,4)), (SWITCH(weekday(AC$4), 1, 0, 2, if(ISBLANK('2025'!$P219), 0, 1), 3, if(ISBLANK('2025'!$Q219), 0, 1), 4, if(ISBLANK('2025'!$R219), 0, 1), 5, if(ISBLANK('2025'!$S219), 0, 1), 6, if(ISBLANK('2025'!$T219), 0, 1), 7, 0))), 1, "")</f>
        <v/>
      </c>
      <c r="AD221" s="1" t="str">
        <f>IF(AND(AND(AND(AD$4&gt;='2025'!$L219,AD$4&lt;='2025'!$M219), AD$4&lt;&gt;DATE(2025,7,4)), (SWITCH(weekday(AD$4), 1, 0, 2, if(ISBLANK('2025'!$P219), 0, 1), 3, if(ISBLANK('2025'!$Q219), 0, 1), 4, if(ISBLANK('2025'!$R219), 0, 1), 5, if(ISBLANK('2025'!$S219), 0, 1), 6, if(ISBLANK('2025'!$T219), 0, 1), 7, 0))), 1, "")</f>
        <v/>
      </c>
      <c r="AE221" s="1" t="str">
        <f>IF(AND(AND(AND(AE$4&gt;='2025'!$L219,AE$4&lt;='2025'!$M219), AE$4&lt;&gt;DATE(2025,7,4)), (SWITCH(weekday(AE$4), 1, 0, 2, if(ISBLANK('2025'!$P219), 0, 1), 3, if(ISBLANK('2025'!$Q219), 0, 1), 4, if(ISBLANK('2025'!$R219), 0, 1), 5, if(ISBLANK('2025'!$S219), 0, 1), 6, if(ISBLANK('2025'!$T219), 0, 1), 7, 0))), 1, "")</f>
        <v/>
      </c>
      <c r="AF221" s="1" t="str">
        <f>IF(AND(AND(AND(AF$4&gt;='2025'!$L219,AF$4&lt;='2025'!$M219), AF$4&lt;&gt;DATE(2025,7,4)), (SWITCH(weekday(AF$4), 1, 0, 2, if(ISBLANK('2025'!$P219), 0, 1), 3, if(ISBLANK('2025'!$Q219), 0, 1), 4, if(ISBLANK('2025'!$R219), 0, 1), 5, if(ISBLANK('2025'!$S219), 0, 1), 6, if(ISBLANK('2025'!$T219), 0, 1), 7, 0))), 1, "")</f>
        <v/>
      </c>
      <c r="AG221" s="1" t="str">
        <f>IF(AND(AND(AND(AG$4&gt;='2025'!$L219,AG$4&lt;='2025'!$M219), AG$4&lt;&gt;DATE(2025,7,4)), (SWITCH(weekday(AG$4), 1, 0, 2, if(ISBLANK('2025'!$P219), 0, 1), 3, if(ISBLANK('2025'!$Q219), 0, 1), 4, if(ISBLANK('2025'!$R219), 0, 1), 5, if(ISBLANK('2025'!$S219), 0, 1), 6, if(ISBLANK('2025'!$T219), 0, 1), 7, 0))), 1, "")</f>
        <v/>
      </c>
      <c r="AH221" s="1" t="str">
        <f>IF(AND(AND(AND(AH$4&gt;='2025'!$L219,AH$4&lt;='2025'!$M219), AH$4&lt;&gt;DATE(2025,7,4)), (SWITCH(weekday(AH$4), 1, 0, 2, if(ISBLANK('2025'!$P219), 0, 1), 3, if(ISBLANK('2025'!$Q219), 0, 1), 4, if(ISBLANK('2025'!$R219), 0, 1), 5, if(ISBLANK('2025'!$S219), 0, 1), 6, if(ISBLANK('2025'!$T219), 0, 1), 7, 0))), 1, "")</f>
        <v/>
      </c>
      <c r="AI221" s="1" t="str">
        <f>IF(AND(AND(AND(AI$4&gt;='2025'!$L219,AI$4&lt;='2025'!$M219), AI$4&lt;&gt;DATE(2025,7,4)), (SWITCH(weekday(AI$4), 1, 0, 2, if(ISBLANK('2025'!$P219), 0, 1), 3, if(ISBLANK('2025'!$Q219), 0, 1), 4, if(ISBLANK('2025'!$R219), 0, 1), 5, if(ISBLANK('2025'!$S219), 0, 1), 6, if(ISBLANK('2025'!$T219), 0, 1), 7, 0))), 1, "")</f>
        <v/>
      </c>
      <c r="AJ221" s="1" t="str">
        <f>IF(AND(AND(AND(AJ$4&gt;='2025'!$L219,AJ$4&lt;='2025'!$M219), AJ$4&lt;&gt;DATE(2025,7,4)), (SWITCH(weekday(AJ$4), 1, 0, 2, if(ISBLANK('2025'!$P219), 0, 1), 3, if(ISBLANK('2025'!$Q219), 0, 1), 4, if(ISBLANK('2025'!$R219), 0, 1), 5, if(ISBLANK('2025'!$S219), 0, 1), 6, if(ISBLANK('2025'!$T219), 0, 1), 7, 0))), 1, "")</f>
        <v/>
      </c>
      <c r="AK221" s="1" t="str">
        <f>IF(AND(AND(AND(AK$4&gt;='2025'!$L219,AK$4&lt;='2025'!$M219), AK$4&lt;&gt;DATE(2025,7,4)), (SWITCH(weekday(AK$4), 1, 0, 2, if(ISBLANK('2025'!$P219), 0, 1), 3, if(ISBLANK('2025'!$Q219), 0, 1), 4, if(ISBLANK('2025'!$R219), 0, 1), 5, if(ISBLANK('2025'!$S219), 0, 1), 6, if(ISBLANK('2025'!$T219), 0, 1), 7, 0))), 1, "")</f>
        <v/>
      </c>
      <c r="AL221" s="1" t="str">
        <f>IF(AND(AND(AND(AL$4&gt;='2025'!$L219,AL$4&lt;='2025'!$M219), AL$4&lt;&gt;DATE(2025,7,4)), (SWITCH(weekday(AL$4), 1, 0, 2, if(ISBLANK('2025'!$P219), 0, 1), 3, if(ISBLANK('2025'!$Q219), 0, 1), 4, if(ISBLANK('2025'!$R219), 0, 1), 5, if(ISBLANK('2025'!$S219), 0, 1), 6, if(ISBLANK('2025'!$T219), 0, 1), 7, 0))), 1, "")</f>
        <v/>
      </c>
      <c r="AM221" s="1" t="str">
        <f>IF(AND(AND(AND(AM$4&gt;='2025'!$L219,AM$4&lt;='2025'!$M219), AM$4&lt;&gt;DATE(2025,7,4)), (SWITCH(weekday(AM$4), 1, 0, 2, if(ISBLANK('2025'!$P219), 0, 1), 3, if(ISBLANK('2025'!$Q219), 0, 1), 4, if(ISBLANK('2025'!$R219), 0, 1), 5, if(ISBLANK('2025'!$S219), 0, 1), 6, if(ISBLANK('2025'!$T219), 0, 1), 7, 0))), 1, "")</f>
        <v/>
      </c>
      <c r="AN221" s="1" t="str">
        <f>IF(AND(AND(AND(AN$4&gt;='2025'!$L219,AN$4&lt;='2025'!$M219), AN$4&lt;&gt;DATE(2025,7,4)), (SWITCH(weekday(AN$4), 1, 0, 2, if(ISBLANK('2025'!$P219), 0, 1), 3, if(ISBLANK('2025'!$Q219), 0, 1), 4, if(ISBLANK('2025'!$R219), 0, 1), 5, if(ISBLANK('2025'!$S219), 0, 1), 6, if(ISBLANK('2025'!$T219), 0, 1), 7, 0))), 1, "")</f>
        <v/>
      </c>
      <c r="AO221" s="1" t="str">
        <f>IF(AND(AND(AND(AO$4&gt;='2025'!$L219,AO$4&lt;='2025'!$M219), AO$4&lt;&gt;DATE(2025,7,4)), (SWITCH(weekday(AO$4), 1, 0, 2, if(ISBLANK('2025'!$P219), 0, 1), 3, if(ISBLANK('2025'!$Q219), 0, 1), 4, if(ISBLANK('2025'!$R219), 0, 1), 5, if(ISBLANK('2025'!$S219), 0, 1), 6, if(ISBLANK('2025'!$T219), 0, 1), 7, 0))), 1, "")</f>
        <v/>
      </c>
      <c r="AP221" s="1" t="str">
        <f>IF(AND(AND(AND(AP$4&gt;='2025'!$L219,AP$4&lt;='2025'!$M219), AP$4&lt;&gt;DATE(2025,7,4)), (SWITCH(weekday(AP$4), 1, 0, 2, if(ISBLANK('2025'!$P219), 0, 1), 3, if(ISBLANK('2025'!$Q219), 0, 1), 4, if(ISBLANK('2025'!$R219), 0, 1), 5, if(ISBLANK('2025'!$S219), 0, 1), 6, if(ISBLANK('2025'!$T219), 0, 1), 7, 0))), 1, "")</f>
        <v/>
      </c>
      <c r="AQ221" s="1" t="str">
        <f>IF(AND(AND(AND(AQ$4&gt;='2025'!$L219,AQ$4&lt;='2025'!$M219), AQ$4&lt;&gt;DATE(2025,7,4)), (SWITCH(weekday(AQ$4), 1, 0, 2, if(ISBLANK('2025'!$P219), 0, 1), 3, if(ISBLANK('2025'!$Q219), 0, 1), 4, if(ISBLANK('2025'!$R219), 0, 1), 5, if(ISBLANK('2025'!$S219), 0, 1), 6, if(ISBLANK('2025'!$T219), 0, 1), 7, 0))), 1, "")</f>
        <v/>
      </c>
      <c r="AR221" s="1" t="str">
        <f>IF(AND(AND(AND(AR$4&gt;='2025'!$L219,AR$4&lt;='2025'!$M219), AR$4&lt;&gt;DATE(2025,7,4)), (SWITCH(weekday(AR$4), 1, 0, 2, if(ISBLANK('2025'!$P219), 0, 1), 3, if(ISBLANK('2025'!$Q219), 0, 1), 4, if(ISBLANK('2025'!$R219), 0, 1), 5, if(ISBLANK('2025'!$S219), 0, 1), 6, if(ISBLANK('2025'!$T219), 0, 1), 7, 0))), 1, "")</f>
        <v/>
      </c>
      <c r="AS221" s="1" t="str">
        <f>IF(AND(AND(AND(AS$4&gt;='2025'!$L219,AS$4&lt;='2025'!$M219), AS$4&lt;&gt;DATE(2025,7,4)), (SWITCH(weekday(AS$4), 1, 0, 2, if(ISBLANK('2025'!$P219), 0, 1), 3, if(ISBLANK('2025'!$Q219), 0, 1), 4, if(ISBLANK('2025'!$R219), 0, 1), 5, if(ISBLANK('2025'!$S219), 0, 1), 6, if(ISBLANK('2025'!$T219), 0, 1), 7, 0))), 1, "")</f>
        <v/>
      </c>
      <c r="AT221" s="1" t="str">
        <f>IF(AND(AND(AND(AT$4&gt;='2025'!$L219,AT$4&lt;='2025'!$M219), AT$4&lt;&gt;DATE(2025,7,4)), (SWITCH(weekday(AT$4), 1, 0, 2, if(ISBLANK('2025'!$P219), 0, 1), 3, if(ISBLANK('2025'!$Q219), 0, 1), 4, if(ISBLANK('2025'!$R219), 0, 1), 5, if(ISBLANK('2025'!$S219), 0, 1), 6, if(ISBLANK('2025'!$T219), 0, 1), 7, 0))), 1, "")</f>
        <v/>
      </c>
      <c r="AU221" s="1" t="str">
        <f>IF(AND(AND(AND(AU$4&gt;='2025'!$L219,AU$4&lt;='2025'!$M219), AU$4&lt;&gt;DATE(2025,7,4)), (SWITCH(weekday(AU$4), 1, 0, 2, if(ISBLANK('2025'!$P219), 0, 1), 3, if(ISBLANK('2025'!$Q219), 0, 1), 4, if(ISBLANK('2025'!$R219), 0, 1), 5, if(ISBLANK('2025'!$S219), 0, 1), 6, if(ISBLANK('2025'!$T219), 0, 1), 7, 0))), 1, "")</f>
        <v/>
      </c>
      <c r="AV221" s="1" t="str">
        <f>IF(AND(AND(AND(AV$4&gt;='2025'!$L219,AV$4&lt;='2025'!$M219), AV$4&lt;&gt;DATE(2025,7,4)), (SWITCH(weekday(AV$4), 1, 0, 2, if(ISBLANK('2025'!$P219), 0, 1), 3, if(ISBLANK('2025'!$Q219), 0, 1), 4, if(ISBLANK('2025'!$R219), 0, 1), 5, if(ISBLANK('2025'!$S219), 0, 1), 6, if(ISBLANK('2025'!$T219), 0, 1), 7, 0))), 1, "")</f>
        <v/>
      </c>
      <c r="AW221" s="1" t="str">
        <f>IF(AND(AND(AND(AW$4&gt;='2025'!$L219,AW$4&lt;='2025'!$M219), AW$4&lt;&gt;DATE(2025,7,4)), (SWITCH(weekday(AW$4), 1, 0, 2, if(ISBLANK('2025'!$P219), 0, 1), 3, if(ISBLANK('2025'!$Q219), 0, 1), 4, if(ISBLANK('2025'!$R219), 0, 1), 5, if(ISBLANK('2025'!$S219), 0, 1), 6, if(ISBLANK('2025'!$T219), 0, 1), 7, 0))), 1, "")</f>
        <v/>
      </c>
      <c r="AX221" s="1" t="str">
        <f>IF(AND(AND(AND(AX$4&gt;='2025'!$L219,AX$4&lt;='2025'!$M219), AX$4&lt;&gt;DATE(2025,7,4)), (SWITCH(weekday(AX$4), 1, 0, 2, if(ISBLANK('2025'!$P219), 0, 1), 3, if(ISBLANK('2025'!$Q219), 0, 1), 4, if(ISBLANK('2025'!$R219), 0, 1), 5, if(ISBLANK('2025'!$S219), 0, 1), 6, if(ISBLANK('2025'!$T219), 0, 1), 7, 0))), 1, "")</f>
        <v/>
      </c>
      <c r="AY221" s="1" t="str">
        <f>IF(AND(AND(AND(AY$4&gt;='2025'!$L219,AY$4&lt;='2025'!$M219), AY$4&lt;&gt;DATE(2025,7,4)), (SWITCH(weekday(AY$4), 1, 0, 2, if(ISBLANK('2025'!$P219), 0, 1), 3, if(ISBLANK('2025'!$Q219), 0, 1), 4, if(ISBLANK('2025'!$R219), 0, 1), 5, if(ISBLANK('2025'!$S219), 0, 1), 6, if(ISBLANK('2025'!$T219), 0, 1), 7, 0))), 1, "")</f>
        <v/>
      </c>
      <c r="AZ221" s="1" t="str">
        <f>IF(AND(AND(AND(AZ$4&gt;='2025'!$L219,AZ$4&lt;='2025'!$M219), AZ$4&lt;&gt;DATE(2025,7,4)), (SWITCH(weekday(AZ$4), 1, 0, 2, if(ISBLANK('2025'!$P219), 0, 1), 3, if(ISBLANK('2025'!$Q219), 0, 1), 4, if(ISBLANK('2025'!$R219), 0, 1), 5, if(ISBLANK('2025'!$S219), 0, 1), 6, if(ISBLANK('2025'!$T219), 0, 1), 7, 0))), 1, "")</f>
        <v/>
      </c>
      <c r="BA221" s="1" t="str">
        <f>IF(AND(AND(AND(BA$4&gt;='2025'!$L219,BA$4&lt;='2025'!$M219), BA$4&lt;&gt;DATE(2025,7,4)), (SWITCH(weekday(BA$4), 1, 0, 2, if(ISBLANK('2025'!$P219), 0, 1), 3, if(ISBLANK('2025'!$Q219), 0, 1), 4, if(ISBLANK('2025'!$R219), 0, 1), 5, if(ISBLANK('2025'!$S219), 0, 1), 6, if(ISBLANK('2025'!$T219), 0, 1), 7, 0))), 1, "")</f>
        <v/>
      </c>
      <c r="BB221" s="1" t="str">
        <f>IF(AND(AND(AND(BB$4&gt;='2025'!$L219,BB$4&lt;='2025'!$M219), BB$4&lt;&gt;DATE(2025,7,4)), (SWITCH(weekday(BB$4), 1, 0, 2, if(ISBLANK('2025'!$P219), 0, 1), 3, if(ISBLANK('2025'!$Q219), 0, 1), 4, if(ISBLANK('2025'!$R219), 0, 1), 5, if(ISBLANK('2025'!$S219), 0, 1), 6, if(ISBLANK('2025'!$T219), 0, 1), 7, 0))), 1, "")</f>
        <v/>
      </c>
      <c r="BC221" s="1" t="str">
        <f>IF(AND(AND(AND(BC$4&gt;='2025'!$L219,BC$4&lt;='2025'!$M219), BC$4&lt;&gt;DATE(2025,7,4)), (SWITCH(weekday(BC$4), 1, 0, 2, if(ISBLANK('2025'!$P219), 0, 1), 3, if(ISBLANK('2025'!$Q219), 0, 1), 4, if(ISBLANK('2025'!$R219), 0, 1), 5, if(ISBLANK('2025'!$S219), 0, 1), 6, if(ISBLANK('2025'!$T219), 0, 1), 7, 0))), 1, "")</f>
        <v/>
      </c>
      <c r="BD221" s="1" t="str">
        <f>IF(AND(AND(AND(BD$4&gt;='2025'!$L219,BD$4&lt;='2025'!$M219), BD$4&lt;&gt;DATE(2025,7,4)), (SWITCH(weekday(BD$4), 1, 0, 2, if(ISBLANK('2025'!$P219), 0, 1), 3, if(ISBLANK('2025'!$Q219), 0, 1), 4, if(ISBLANK('2025'!$R219), 0, 1), 5, if(ISBLANK('2025'!$S219), 0, 1), 6, if(ISBLANK('2025'!$T219), 0, 1), 7, 0))), 1, "")</f>
        <v/>
      </c>
      <c r="BE221" s="1" t="str">
        <f>IF(AND(AND(AND(BE$4&gt;='2025'!$L219,BE$4&lt;='2025'!$M219), BE$4&lt;&gt;DATE(2025,7,4)), (SWITCH(weekday(BE$4), 1, 0, 2, if(ISBLANK('2025'!$P219), 0, 1), 3, if(ISBLANK('2025'!$Q219), 0, 1), 4, if(ISBLANK('2025'!$R219), 0, 1), 5, if(ISBLANK('2025'!$S219), 0, 1), 6, if(ISBLANK('2025'!$T219), 0, 1), 7, 0))), 1, "")</f>
        <v/>
      </c>
      <c r="BF221" s="1" t="str">
        <f>IF(AND(AND(AND(BF$4&gt;='2025'!$L219,BF$4&lt;='2025'!$M219), BF$4&lt;&gt;DATE(2025,7,4)), (SWITCH(weekday(BF$4), 1, 0, 2, if(ISBLANK('2025'!$P219), 0, 1), 3, if(ISBLANK('2025'!$Q219), 0, 1), 4, if(ISBLANK('2025'!$R219), 0, 1), 5, if(ISBLANK('2025'!$S219), 0, 1), 6, if(ISBLANK('2025'!$T219), 0, 1), 7, 0))), 1, "")</f>
        <v/>
      </c>
      <c r="BG221" s="1"/>
      <c r="BH221" s="1"/>
      <c r="BI221" s="1"/>
      <c r="BJ221" s="1"/>
      <c r="BK221" s="1"/>
      <c r="BL221" s="1"/>
    </row>
    <row r="222">
      <c r="A222" s="1">
        <f t="shared" si="3"/>
        <v>222</v>
      </c>
      <c r="B222" s="1" t="str">
        <f>'2025'!D186</f>
        <v>, </v>
      </c>
      <c r="C222" s="1" t="str">
        <f>'2025'!H186</f>
        <v/>
      </c>
      <c r="D222" s="1" t="str">
        <f>IF(AND(AND(AND(D$4&gt;='2025'!$L220,D$4&lt;='2025'!$M220), D$4&lt;&gt;DATE(2025,7,4)), (SWITCH(weekday(D$4), 1, 0, 2, if(ISBLANK('2025'!$P220), 0, 1), 3, if(ISBLANK('2025'!$Q220), 0, 1), 4, if(ISBLANK('2025'!$R220), 0, 1), 5, if(ISBLANK('2025'!$S220), 0, 1), 6, if(ISBLANK('2025'!$T220), 0, 1), 7, 0))), 1, "")</f>
        <v/>
      </c>
      <c r="E222" s="1" t="str">
        <f>IF(AND(AND(AND(E$4&gt;='2025'!$L220,E$4&lt;='2025'!$M220), E$4&lt;&gt;DATE(2025,7,4)), (SWITCH(weekday(E$4), 1, 0, 2, if(ISBLANK('2025'!$P220), 0, 1), 3, if(ISBLANK('2025'!$Q220), 0, 1), 4, if(ISBLANK('2025'!$R220), 0, 1), 5, if(ISBLANK('2025'!$S220), 0, 1), 6, if(ISBLANK('2025'!$T220), 0, 1), 7, 0))), 1, "")</f>
        <v/>
      </c>
      <c r="F222" s="1" t="str">
        <f>IF(AND(AND(AND(F$4&gt;='2025'!$L220,F$4&lt;='2025'!$M220), F$4&lt;&gt;DATE(2025,7,4)), (SWITCH(weekday(F$4), 1, 0, 2, if(ISBLANK('2025'!$P220), 0, 1), 3, if(ISBLANK('2025'!$Q220), 0, 1), 4, if(ISBLANK('2025'!$R220), 0, 1), 5, if(ISBLANK('2025'!$S220), 0, 1), 6, if(ISBLANK('2025'!$T220), 0, 1), 7, 0))), 1, "")</f>
        <v/>
      </c>
      <c r="G222" s="1" t="str">
        <f>IF(AND(AND(AND(G$4&gt;='2025'!$L220,G$4&lt;='2025'!$M220), G$4&lt;&gt;DATE(2025,7,4)), (SWITCH(weekday(G$4), 1, 0, 2, if(ISBLANK('2025'!$P220), 0, 1), 3, if(ISBLANK('2025'!$Q220), 0, 1), 4, if(ISBLANK('2025'!$R220), 0, 1), 5, if(ISBLANK('2025'!$S220), 0, 1), 6, if(ISBLANK('2025'!$T220), 0, 1), 7, 0))), 1, "")</f>
        <v/>
      </c>
      <c r="H222" s="1" t="str">
        <f>IF(AND(AND(AND(H$4&gt;='2025'!$L220,H$4&lt;='2025'!$M220), H$4&lt;&gt;DATE(2025,7,4)), (SWITCH(weekday(H$4), 1, 0, 2, if(ISBLANK('2025'!$P220), 0, 1), 3, if(ISBLANK('2025'!$Q220), 0, 1), 4, if(ISBLANK('2025'!$R220), 0, 1), 5, if(ISBLANK('2025'!$S220), 0, 1), 6, if(ISBLANK('2025'!$T220), 0, 1), 7, 0))), 1, "")</f>
        <v/>
      </c>
      <c r="I222" s="1" t="str">
        <f>IF(AND(AND(AND(I$4&gt;='2025'!$L220,I$4&lt;='2025'!$M220), I$4&lt;&gt;DATE(2025,7,4)), (SWITCH(weekday(I$4), 1, 0, 2, if(ISBLANK('2025'!$P220), 0, 1), 3, if(ISBLANK('2025'!$Q220), 0, 1), 4, if(ISBLANK('2025'!$R220), 0, 1), 5, if(ISBLANK('2025'!$S220), 0, 1), 6, if(ISBLANK('2025'!$T220), 0, 1), 7, 0))), 1, "")</f>
        <v/>
      </c>
      <c r="J222" s="1" t="str">
        <f>IF(AND(AND(AND(J$4&gt;='2025'!$L220,J$4&lt;='2025'!$M220), J$4&lt;&gt;DATE(2025,7,4)), (SWITCH(weekday(J$4), 1, 0, 2, if(ISBLANK('2025'!$P220), 0, 1), 3, if(ISBLANK('2025'!$Q220), 0, 1), 4, if(ISBLANK('2025'!$R220), 0, 1), 5, if(ISBLANK('2025'!$S220), 0, 1), 6, if(ISBLANK('2025'!$T220), 0, 1), 7, 0))), 1, "")</f>
        <v/>
      </c>
      <c r="K222" s="1" t="str">
        <f>IF(AND(AND(AND(K$4&gt;='2025'!$L220,K$4&lt;='2025'!$M220), K$4&lt;&gt;DATE(2025,7,4)), (SWITCH(weekday(K$4), 1, 0, 2, if(ISBLANK('2025'!$P220), 0, 1), 3, if(ISBLANK('2025'!$Q220), 0, 1), 4, if(ISBLANK('2025'!$R220), 0, 1), 5, if(ISBLANK('2025'!$S220), 0, 1), 6, if(ISBLANK('2025'!$T220), 0, 1), 7, 0))), 1, "")</f>
        <v/>
      </c>
      <c r="L222" s="1" t="str">
        <f>IF(AND(AND(AND(L$4&gt;='2025'!$L220,L$4&lt;='2025'!$M220), L$4&lt;&gt;DATE(2025,7,4)), (SWITCH(weekday(L$4), 1, 0, 2, if(ISBLANK('2025'!$P220), 0, 1), 3, if(ISBLANK('2025'!$Q220), 0, 1), 4, if(ISBLANK('2025'!$R220), 0, 1), 5, if(ISBLANK('2025'!$S220), 0, 1), 6, if(ISBLANK('2025'!$T220), 0, 1), 7, 0))), 1, "")</f>
        <v/>
      </c>
      <c r="M222" s="1" t="str">
        <f>IF(AND(AND(AND(M$4&gt;='2025'!$L220,M$4&lt;='2025'!$M220), M$4&lt;&gt;DATE(2025,7,4)), (SWITCH(weekday(M$4), 1, 0, 2, if(ISBLANK('2025'!$P220), 0, 1), 3, if(ISBLANK('2025'!$Q220), 0, 1), 4, if(ISBLANK('2025'!$R220), 0, 1), 5, if(ISBLANK('2025'!$S220), 0, 1), 6, if(ISBLANK('2025'!$T220), 0, 1), 7, 0))), 1, "")</f>
        <v/>
      </c>
      <c r="N222" s="1" t="str">
        <f>IF(AND(AND(AND(N$4&gt;='2025'!$L220,N$4&lt;='2025'!$M220), N$4&lt;&gt;DATE(2025,7,4)), (SWITCH(weekday(N$4), 1, 0, 2, if(ISBLANK('2025'!$P220), 0, 1), 3, if(ISBLANK('2025'!$Q220), 0, 1), 4, if(ISBLANK('2025'!$R220), 0, 1), 5, if(ISBLANK('2025'!$S220), 0, 1), 6, if(ISBLANK('2025'!$T220), 0, 1), 7, 0))), 1, "")</f>
        <v/>
      </c>
      <c r="O222" s="1" t="str">
        <f>IF(AND(AND(AND(O$4&gt;='2025'!$L220,O$4&lt;='2025'!$M220), O$4&lt;&gt;DATE(2025,7,4)), (SWITCH(weekday(O$4), 1, 0, 2, if(ISBLANK('2025'!$P220), 0, 1), 3, if(ISBLANK('2025'!$Q220), 0, 1), 4, if(ISBLANK('2025'!$R220), 0, 1), 5, if(ISBLANK('2025'!$S220), 0, 1), 6, if(ISBLANK('2025'!$T220), 0, 1), 7, 0))), 1, "")</f>
        <v/>
      </c>
      <c r="P222" s="1" t="str">
        <f>IF(AND(AND(AND(P$4&gt;='2025'!$L220,P$4&lt;='2025'!$M220), P$4&lt;&gt;DATE(2025,7,4)), (SWITCH(weekday(P$4), 1, 0, 2, if(ISBLANK('2025'!$P220), 0, 1), 3, if(ISBLANK('2025'!$Q220), 0, 1), 4, if(ISBLANK('2025'!$R220), 0, 1), 5, if(ISBLANK('2025'!$S220), 0, 1), 6, if(ISBLANK('2025'!$T220), 0, 1), 7, 0))), 1, "")</f>
        <v/>
      </c>
      <c r="Q222" s="1" t="str">
        <f>IF(AND(AND(AND(Q$4&gt;='2025'!$L220,Q$4&lt;='2025'!$M220), Q$4&lt;&gt;DATE(2025,7,4)), (SWITCH(weekday(Q$4), 1, 0, 2, if(ISBLANK('2025'!$P220), 0, 1), 3, if(ISBLANK('2025'!$Q220), 0, 1), 4, if(ISBLANK('2025'!$R220), 0, 1), 5, if(ISBLANK('2025'!$S220), 0, 1), 6, if(ISBLANK('2025'!$T220), 0, 1), 7, 0))), 1, "")</f>
        <v/>
      </c>
      <c r="R222" s="1" t="str">
        <f>IF(AND(AND(AND(R$4&gt;='2025'!$L220,R$4&lt;='2025'!$M220), R$4&lt;&gt;DATE(2025,7,4)), (SWITCH(weekday(R$4), 1, 0, 2, if(ISBLANK('2025'!$P220), 0, 1), 3, if(ISBLANK('2025'!$Q220), 0, 1), 4, if(ISBLANK('2025'!$R220), 0, 1), 5, if(ISBLANK('2025'!$S220), 0, 1), 6, if(ISBLANK('2025'!$T220), 0, 1), 7, 0))), 1, "")</f>
        <v/>
      </c>
      <c r="S222" s="1" t="str">
        <f>IF(AND(AND(AND(S$4&gt;='2025'!$L220,S$4&lt;='2025'!$M220), S$4&lt;&gt;DATE(2025,7,4)), (SWITCH(weekday(S$4), 1, 0, 2, if(ISBLANK('2025'!$P220), 0, 1), 3, if(ISBLANK('2025'!$Q220), 0, 1), 4, if(ISBLANK('2025'!$R220), 0, 1), 5, if(ISBLANK('2025'!$S220), 0, 1), 6, if(ISBLANK('2025'!$T220), 0, 1), 7, 0))), 1, "")</f>
        <v/>
      </c>
      <c r="T222" s="1" t="str">
        <f>IF(AND(AND(AND(T$4&gt;='2025'!$L220,T$4&lt;='2025'!$M220), T$4&lt;&gt;DATE(2025,7,4)), (SWITCH(weekday(T$4), 1, 0, 2, if(ISBLANK('2025'!$P220), 0, 1), 3, if(ISBLANK('2025'!$Q220), 0, 1), 4, if(ISBLANK('2025'!$R220), 0, 1), 5, if(ISBLANK('2025'!$S220), 0, 1), 6, if(ISBLANK('2025'!$T220), 0, 1), 7, 0))), 1, "")</f>
        <v/>
      </c>
      <c r="U222" s="1" t="str">
        <f>IF(AND(AND(AND(U$4&gt;='2025'!$L220,U$4&lt;='2025'!$M220), U$4&lt;&gt;DATE(2025,7,4)), (SWITCH(weekday(U$4), 1, 0, 2, if(ISBLANK('2025'!$P220), 0, 1), 3, if(ISBLANK('2025'!$Q220), 0, 1), 4, if(ISBLANK('2025'!$R220), 0, 1), 5, if(ISBLANK('2025'!$S220), 0, 1), 6, if(ISBLANK('2025'!$T220), 0, 1), 7, 0))), 1, "")</f>
        <v/>
      </c>
      <c r="V222" s="1" t="str">
        <f>IF(AND(AND(AND(V$4&gt;='2025'!$L220,V$4&lt;='2025'!$M220), V$4&lt;&gt;DATE(2025,7,4)), (SWITCH(weekday(V$4), 1, 0, 2, if(ISBLANK('2025'!$P220), 0, 1), 3, if(ISBLANK('2025'!$Q220), 0, 1), 4, if(ISBLANK('2025'!$R220), 0, 1), 5, if(ISBLANK('2025'!$S220), 0, 1), 6, if(ISBLANK('2025'!$T220), 0, 1), 7, 0))), 1, "")</f>
        <v/>
      </c>
      <c r="W222" s="1" t="str">
        <f>IF(AND(AND(AND(W$4&gt;='2025'!$L220,W$4&lt;='2025'!$M220), W$4&lt;&gt;DATE(2025,7,4)), (SWITCH(weekday(W$4), 1, 0, 2, if(ISBLANK('2025'!$P220), 0, 1), 3, if(ISBLANK('2025'!$Q220), 0, 1), 4, if(ISBLANK('2025'!$R220), 0, 1), 5, if(ISBLANK('2025'!$S220), 0, 1), 6, if(ISBLANK('2025'!$T220), 0, 1), 7, 0))), 1, "")</f>
        <v/>
      </c>
      <c r="X222" s="1" t="str">
        <f>IF(AND(AND(AND(X$4&gt;='2025'!$L220,X$4&lt;='2025'!$M220), X$4&lt;&gt;DATE(2025,7,4)), (SWITCH(weekday(X$4), 1, 0, 2, if(ISBLANK('2025'!$P220), 0, 1), 3, if(ISBLANK('2025'!$Q220), 0, 1), 4, if(ISBLANK('2025'!$R220), 0, 1), 5, if(ISBLANK('2025'!$S220), 0, 1), 6, if(ISBLANK('2025'!$T220), 0, 1), 7, 0))), 1, "")</f>
        <v/>
      </c>
      <c r="Y222" s="1" t="str">
        <f>IF(AND(AND(AND(Y$4&gt;='2025'!$L220,Y$4&lt;='2025'!$M220), Y$4&lt;&gt;DATE(2025,7,4)), (SWITCH(weekday(Y$4), 1, 0, 2, if(ISBLANK('2025'!$P220), 0, 1), 3, if(ISBLANK('2025'!$Q220), 0, 1), 4, if(ISBLANK('2025'!$R220), 0, 1), 5, if(ISBLANK('2025'!$S220), 0, 1), 6, if(ISBLANK('2025'!$T220), 0, 1), 7, 0))), 1, "")</f>
        <v/>
      </c>
      <c r="Z222" s="1" t="str">
        <f>IF(AND(AND(AND(Z$4&gt;='2025'!$L220,Z$4&lt;='2025'!$M220), Z$4&lt;&gt;DATE(2025,7,4)), (SWITCH(weekday(Z$4), 1, 0, 2, if(ISBLANK('2025'!$P220), 0, 1), 3, if(ISBLANK('2025'!$Q220), 0, 1), 4, if(ISBLANK('2025'!$R220), 0, 1), 5, if(ISBLANK('2025'!$S220), 0, 1), 6, if(ISBLANK('2025'!$T220), 0, 1), 7, 0))), 1, "")</f>
        <v/>
      </c>
      <c r="AA222" s="1" t="str">
        <f>IF(AND(AND(AND(AA$4&gt;='2025'!$L220,AA$4&lt;='2025'!$M220), AA$4&lt;&gt;DATE(2025,7,4)), (SWITCH(weekday(AA$4), 1, 0, 2, if(ISBLANK('2025'!$P220), 0, 1), 3, if(ISBLANK('2025'!$Q220), 0, 1), 4, if(ISBLANK('2025'!$R220), 0, 1), 5, if(ISBLANK('2025'!$S220), 0, 1), 6, if(ISBLANK('2025'!$T220), 0, 1), 7, 0))), 1, "")</f>
        <v/>
      </c>
      <c r="AB222" s="1" t="str">
        <f>IF(AND(AND(AND(AB$4&gt;='2025'!$L220,AB$4&lt;='2025'!$M220), AB$4&lt;&gt;DATE(2025,7,4)), (SWITCH(weekday(AB$4), 1, 0, 2, if(ISBLANK('2025'!$P220), 0, 1), 3, if(ISBLANK('2025'!$Q220), 0, 1), 4, if(ISBLANK('2025'!$R220), 0, 1), 5, if(ISBLANK('2025'!$S220), 0, 1), 6, if(ISBLANK('2025'!$T220), 0, 1), 7, 0))), 1, "")</f>
        <v/>
      </c>
      <c r="AC222" s="1" t="str">
        <f>IF(AND(AND(AND(AC$4&gt;='2025'!$L220,AC$4&lt;='2025'!$M220), AC$4&lt;&gt;DATE(2025,7,4)), (SWITCH(weekday(AC$4), 1, 0, 2, if(ISBLANK('2025'!$P220), 0, 1), 3, if(ISBLANK('2025'!$Q220), 0, 1), 4, if(ISBLANK('2025'!$R220), 0, 1), 5, if(ISBLANK('2025'!$S220), 0, 1), 6, if(ISBLANK('2025'!$T220), 0, 1), 7, 0))), 1, "")</f>
        <v/>
      </c>
      <c r="AD222" s="1" t="str">
        <f>IF(AND(AND(AND(AD$4&gt;='2025'!$L220,AD$4&lt;='2025'!$M220), AD$4&lt;&gt;DATE(2025,7,4)), (SWITCH(weekday(AD$4), 1, 0, 2, if(ISBLANK('2025'!$P220), 0, 1), 3, if(ISBLANK('2025'!$Q220), 0, 1), 4, if(ISBLANK('2025'!$R220), 0, 1), 5, if(ISBLANK('2025'!$S220), 0, 1), 6, if(ISBLANK('2025'!$T220), 0, 1), 7, 0))), 1, "")</f>
        <v/>
      </c>
      <c r="AE222" s="1" t="str">
        <f>IF(AND(AND(AND(AE$4&gt;='2025'!$L220,AE$4&lt;='2025'!$M220), AE$4&lt;&gt;DATE(2025,7,4)), (SWITCH(weekday(AE$4), 1, 0, 2, if(ISBLANK('2025'!$P220), 0, 1), 3, if(ISBLANK('2025'!$Q220), 0, 1), 4, if(ISBLANK('2025'!$R220), 0, 1), 5, if(ISBLANK('2025'!$S220), 0, 1), 6, if(ISBLANK('2025'!$T220), 0, 1), 7, 0))), 1, "")</f>
        <v/>
      </c>
      <c r="AF222" s="1" t="str">
        <f>IF(AND(AND(AND(AF$4&gt;='2025'!$L220,AF$4&lt;='2025'!$M220), AF$4&lt;&gt;DATE(2025,7,4)), (SWITCH(weekday(AF$4), 1, 0, 2, if(ISBLANK('2025'!$P220), 0, 1), 3, if(ISBLANK('2025'!$Q220), 0, 1), 4, if(ISBLANK('2025'!$R220), 0, 1), 5, if(ISBLANK('2025'!$S220), 0, 1), 6, if(ISBLANK('2025'!$T220), 0, 1), 7, 0))), 1, "")</f>
        <v/>
      </c>
      <c r="AG222" s="1" t="str">
        <f>IF(AND(AND(AND(AG$4&gt;='2025'!$L220,AG$4&lt;='2025'!$M220), AG$4&lt;&gt;DATE(2025,7,4)), (SWITCH(weekday(AG$4), 1, 0, 2, if(ISBLANK('2025'!$P220), 0, 1), 3, if(ISBLANK('2025'!$Q220), 0, 1), 4, if(ISBLANK('2025'!$R220), 0, 1), 5, if(ISBLANK('2025'!$S220), 0, 1), 6, if(ISBLANK('2025'!$T220), 0, 1), 7, 0))), 1, "")</f>
        <v/>
      </c>
      <c r="AH222" s="1" t="str">
        <f>IF(AND(AND(AND(AH$4&gt;='2025'!$L220,AH$4&lt;='2025'!$M220), AH$4&lt;&gt;DATE(2025,7,4)), (SWITCH(weekday(AH$4), 1, 0, 2, if(ISBLANK('2025'!$P220), 0, 1), 3, if(ISBLANK('2025'!$Q220), 0, 1), 4, if(ISBLANK('2025'!$R220), 0, 1), 5, if(ISBLANK('2025'!$S220), 0, 1), 6, if(ISBLANK('2025'!$T220), 0, 1), 7, 0))), 1, "")</f>
        <v/>
      </c>
      <c r="AI222" s="1" t="str">
        <f>IF(AND(AND(AND(AI$4&gt;='2025'!$L220,AI$4&lt;='2025'!$M220), AI$4&lt;&gt;DATE(2025,7,4)), (SWITCH(weekday(AI$4), 1, 0, 2, if(ISBLANK('2025'!$P220), 0, 1), 3, if(ISBLANK('2025'!$Q220), 0, 1), 4, if(ISBLANK('2025'!$R220), 0, 1), 5, if(ISBLANK('2025'!$S220), 0, 1), 6, if(ISBLANK('2025'!$T220), 0, 1), 7, 0))), 1, "")</f>
        <v/>
      </c>
      <c r="AJ222" s="1" t="str">
        <f>IF(AND(AND(AND(AJ$4&gt;='2025'!$L220,AJ$4&lt;='2025'!$M220), AJ$4&lt;&gt;DATE(2025,7,4)), (SWITCH(weekday(AJ$4), 1, 0, 2, if(ISBLANK('2025'!$P220), 0, 1), 3, if(ISBLANK('2025'!$Q220), 0, 1), 4, if(ISBLANK('2025'!$R220), 0, 1), 5, if(ISBLANK('2025'!$S220), 0, 1), 6, if(ISBLANK('2025'!$T220), 0, 1), 7, 0))), 1, "")</f>
        <v/>
      </c>
      <c r="AK222" s="1" t="str">
        <f>IF(AND(AND(AND(AK$4&gt;='2025'!$L220,AK$4&lt;='2025'!$M220), AK$4&lt;&gt;DATE(2025,7,4)), (SWITCH(weekday(AK$4), 1, 0, 2, if(ISBLANK('2025'!$P220), 0, 1), 3, if(ISBLANK('2025'!$Q220), 0, 1), 4, if(ISBLANK('2025'!$R220), 0, 1), 5, if(ISBLANK('2025'!$S220), 0, 1), 6, if(ISBLANK('2025'!$T220), 0, 1), 7, 0))), 1, "")</f>
        <v/>
      </c>
      <c r="AL222" s="1" t="str">
        <f>IF(AND(AND(AND(AL$4&gt;='2025'!$L220,AL$4&lt;='2025'!$M220), AL$4&lt;&gt;DATE(2025,7,4)), (SWITCH(weekday(AL$4), 1, 0, 2, if(ISBLANK('2025'!$P220), 0, 1), 3, if(ISBLANK('2025'!$Q220), 0, 1), 4, if(ISBLANK('2025'!$R220), 0, 1), 5, if(ISBLANK('2025'!$S220), 0, 1), 6, if(ISBLANK('2025'!$T220), 0, 1), 7, 0))), 1, "")</f>
        <v/>
      </c>
      <c r="AM222" s="1" t="str">
        <f>IF(AND(AND(AND(AM$4&gt;='2025'!$L220,AM$4&lt;='2025'!$M220), AM$4&lt;&gt;DATE(2025,7,4)), (SWITCH(weekday(AM$4), 1, 0, 2, if(ISBLANK('2025'!$P220), 0, 1), 3, if(ISBLANK('2025'!$Q220), 0, 1), 4, if(ISBLANK('2025'!$R220), 0, 1), 5, if(ISBLANK('2025'!$S220), 0, 1), 6, if(ISBLANK('2025'!$T220), 0, 1), 7, 0))), 1, "")</f>
        <v/>
      </c>
      <c r="AN222" s="1" t="str">
        <f>IF(AND(AND(AND(AN$4&gt;='2025'!$L220,AN$4&lt;='2025'!$M220), AN$4&lt;&gt;DATE(2025,7,4)), (SWITCH(weekday(AN$4), 1, 0, 2, if(ISBLANK('2025'!$P220), 0, 1), 3, if(ISBLANK('2025'!$Q220), 0, 1), 4, if(ISBLANK('2025'!$R220), 0, 1), 5, if(ISBLANK('2025'!$S220), 0, 1), 6, if(ISBLANK('2025'!$T220), 0, 1), 7, 0))), 1, "")</f>
        <v/>
      </c>
      <c r="AO222" s="1" t="str">
        <f>IF(AND(AND(AND(AO$4&gt;='2025'!$L220,AO$4&lt;='2025'!$M220), AO$4&lt;&gt;DATE(2025,7,4)), (SWITCH(weekday(AO$4), 1, 0, 2, if(ISBLANK('2025'!$P220), 0, 1), 3, if(ISBLANK('2025'!$Q220), 0, 1), 4, if(ISBLANK('2025'!$R220), 0, 1), 5, if(ISBLANK('2025'!$S220), 0, 1), 6, if(ISBLANK('2025'!$T220), 0, 1), 7, 0))), 1, "")</f>
        <v/>
      </c>
      <c r="AP222" s="1" t="str">
        <f>IF(AND(AND(AND(AP$4&gt;='2025'!$L220,AP$4&lt;='2025'!$M220), AP$4&lt;&gt;DATE(2025,7,4)), (SWITCH(weekday(AP$4), 1, 0, 2, if(ISBLANK('2025'!$P220), 0, 1), 3, if(ISBLANK('2025'!$Q220), 0, 1), 4, if(ISBLANK('2025'!$R220), 0, 1), 5, if(ISBLANK('2025'!$S220), 0, 1), 6, if(ISBLANK('2025'!$T220), 0, 1), 7, 0))), 1, "")</f>
        <v/>
      </c>
      <c r="AQ222" s="1" t="str">
        <f>IF(AND(AND(AND(AQ$4&gt;='2025'!$L220,AQ$4&lt;='2025'!$M220), AQ$4&lt;&gt;DATE(2025,7,4)), (SWITCH(weekday(AQ$4), 1, 0, 2, if(ISBLANK('2025'!$P220), 0, 1), 3, if(ISBLANK('2025'!$Q220), 0, 1), 4, if(ISBLANK('2025'!$R220), 0, 1), 5, if(ISBLANK('2025'!$S220), 0, 1), 6, if(ISBLANK('2025'!$T220), 0, 1), 7, 0))), 1, "")</f>
        <v/>
      </c>
      <c r="AR222" s="1" t="str">
        <f>IF(AND(AND(AND(AR$4&gt;='2025'!$L220,AR$4&lt;='2025'!$M220), AR$4&lt;&gt;DATE(2025,7,4)), (SWITCH(weekday(AR$4), 1, 0, 2, if(ISBLANK('2025'!$P220), 0, 1), 3, if(ISBLANK('2025'!$Q220), 0, 1), 4, if(ISBLANK('2025'!$R220), 0, 1), 5, if(ISBLANK('2025'!$S220), 0, 1), 6, if(ISBLANK('2025'!$T220), 0, 1), 7, 0))), 1, "")</f>
        <v/>
      </c>
      <c r="AS222" s="1" t="str">
        <f>IF(AND(AND(AND(AS$4&gt;='2025'!$L220,AS$4&lt;='2025'!$M220), AS$4&lt;&gt;DATE(2025,7,4)), (SWITCH(weekday(AS$4), 1, 0, 2, if(ISBLANK('2025'!$P220), 0, 1), 3, if(ISBLANK('2025'!$Q220), 0, 1), 4, if(ISBLANK('2025'!$R220), 0, 1), 5, if(ISBLANK('2025'!$S220), 0, 1), 6, if(ISBLANK('2025'!$T220), 0, 1), 7, 0))), 1, "")</f>
        <v/>
      </c>
      <c r="AT222" s="1" t="str">
        <f>IF(AND(AND(AND(AT$4&gt;='2025'!$L220,AT$4&lt;='2025'!$M220), AT$4&lt;&gt;DATE(2025,7,4)), (SWITCH(weekday(AT$4), 1, 0, 2, if(ISBLANK('2025'!$P220), 0, 1), 3, if(ISBLANK('2025'!$Q220), 0, 1), 4, if(ISBLANK('2025'!$R220), 0, 1), 5, if(ISBLANK('2025'!$S220), 0, 1), 6, if(ISBLANK('2025'!$T220), 0, 1), 7, 0))), 1, "")</f>
        <v/>
      </c>
      <c r="AU222" s="1" t="str">
        <f>IF(AND(AND(AND(AU$4&gt;='2025'!$L220,AU$4&lt;='2025'!$M220), AU$4&lt;&gt;DATE(2025,7,4)), (SWITCH(weekday(AU$4), 1, 0, 2, if(ISBLANK('2025'!$P220), 0, 1), 3, if(ISBLANK('2025'!$Q220), 0, 1), 4, if(ISBLANK('2025'!$R220), 0, 1), 5, if(ISBLANK('2025'!$S220), 0, 1), 6, if(ISBLANK('2025'!$T220), 0, 1), 7, 0))), 1, "")</f>
        <v/>
      </c>
      <c r="AV222" s="1" t="str">
        <f>IF(AND(AND(AND(AV$4&gt;='2025'!$L220,AV$4&lt;='2025'!$M220), AV$4&lt;&gt;DATE(2025,7,4)), (SWITCH(weekday(AV$4), 1, 0, 2, if(ISBLANK('2025'!$P220), 0, 1), 3, if(ISBLANK('2025'!$Q220), 0, 1), 4, if(ISBLANK('2025'!$R220), 0, 1), 5, if(ISBLANK('2025'!$S220), 0, 1), 6, if(ISBLANK('2025'!$T220), 0, 1), 7, 0))), 1, "")</f>
        <v/>
      </c>
      <c r="AW222" s="1" t="str">
        <f>IF(AND(AND(AND(AW$4&gt;='2025'!$L220,AW$4&lt;='2025'!$M220), AW$4&lt;&gt;DATE(2025,7,4)), (SWITCH(weekday(AW$4), 1, 0, 2, if(ISBLANK('2025'!$P220), 0, 1), 3, if(ISBLANK('2025'!$Q220), 0, 1), 4, if(ISBLANK('2025'!$R220), 0, 1), 5, if(ISBLANK('2025'!$S220), 0, 1), 6, if(ISBLANK('2025'!$T220), 0, 1), 7, 0))), 1, "")</f>
        <v/>
      </c>
      <c r="AX222" s="1" t="str">
        <f>IF(AND(AND(AND(AX$4&gt;='2025'!$L220,AX$4&lt;='2025'!$M220), AX$4&lt;&gt;DATE(2025,7,4)), (SWITCH(weekday(AX$4), 1, 0, 2, if(ISBLANK('2025'!$P220), 0, 1), 3, if(ISBLANK('2025'!$Q220), 0, 1), 4, if(ISBLANK('2025'!$R220), 0, 1), 5, if(ISBLANK('2025'!$S220), 0, 1), 6, if(ISBLANK('2025'!$T220), 0, 1), 7, 0))), 1, "")</f>
        <v/>
      </c>
      <c r="AY222" s="1" t="str">
        <f>IF(AND(AND(AND(AY$4&gt;='2025'!$L220,AY$4&lt;='2025'!$M220), AY$4&lt;&gt;DATE(2025,7,4)), (SWITCH(weekday(AY$4), 1, 0, 2, if(ISBLANK('2025'!$P220), 0, 1), 3, if(ISBLANK('2025'!$Q220), 0, 1), 4, if(ISBLANK('2025'!$R220), 0, 1), 5, if(ISBLANK('2025'!$S220), 0, 1), 6, if(ISBLANK('2025'!$T220), 0, 1), 7, 0))), 1, "")</f>
        <v/>
      </c>
      <c r="AZ222" s="1" t="str">
        <f>IF(AND(AND(AND(AZ$4&gt;='2025'!$L220,AZ$4&lt;='2025'!$M220), AZ$4&lt;&gt;DATE(2025,7,4)), (SWITCH(weekday(AZ$4), 1, 0, 2, if(ISBLANK('2025'!$P220), 0, 1), 3, if(ISBLANK('2025'!$Q220), 0, 1), 4, if(ISBLANK('2025'!$R220), 0, 1), 5, if(ISBLANK('2025'!$S220), 0, 1), 6, if(ISBLANK('2025'!$T220), 0, 1), 7, 0))), 1, "")</f>
        <v/>
      </c>
      <c r="BA222" s="1" t="str">
        <f>IF(AND(AND(AND(BA$4&gt;='2025'!$L220,BA$4&lt;='2025'!$M220), BA$4&lt;&gt;DATE(2025,7,4)), (SWITCH(weekday(BA$4), 1, 0, 2, if(ISBLANK('2025'!$P220), 0, 1), 3, if(ISBLANK('2025'!$Q220), 0, 1), 4, if(ISBLANK('2025'!$R220), 0, 1), 5, if(ISBLANK('2025'!$S220), 0, 1), 6, if(ISBLANK('2025'!$T220), 0, 1), 7, 0))), 1, "")</f>
        <v/>
      </c>
      <c r="BB222" s="1" t="str">
        <f>IF(AND(AND(AND(BB$4&gt;='2025'!$L220,BB$4&lt;='2025'!$M220), BB$4&lt;&gt;DATE(2025,7,4)), (SWITCH(weekday(BB$4), 1, 0, 2, if(ISBLANK('2025'!$P220), 0, 1), 3, if(ISBLANK('2025'!$Q220), 0, 1), 4, if(ISBLANK('2025'!$R220), 0, 1), 5, if(ISBLANK('2025'!$S220), 0, 1), 6, if(ISBLANK('2025'!$T220), 0, 1), 7, 0))), 1, "")</f>
        <v/>
      </c>
      <c r="BC222" s="1" t="str">
        <f>IF(AND(AND(AND(BC$4&gt;='2025'!$L220,BC$4&lt;='2025'!$M220), BC$4&lt;&gt;DATE(2025,7,4)), (SWITCH(weekday(BC$4), 1, 0, 2, if(ISBLANK('2025'!$P220), 0, 1), 3, if(ISBLANK('2025'!$Q220), 0, 1), 4, if(ISBLANK('2025'!$R220), 0, 1), 5, if(ISBLANK('2025'!$S220), 0, 1), 6, if(ISBLANK('2025'!$T220), 0, 1), 7, 0))), 1, "")</f>
        <v/>
      </c>
      <c r="BD222" s="1" t="str">
        <f>IF(AND(AND(AND(BD$4&gt;='2025'!$L220,BD$4&lt;='2025'!$M220), BD$4&lt;&gt;DATE(2025,7,4)), (SWITCH(weekday(BD$4), 1, 0, 2, if(ISBLANK('2025'!$P220), 0, 1), 3, if(ISBLANK('2025'!$Q220), 0, 1), 4, if(ISBLANK('2025'!$R220), 0, 1), 5, if(ISBLANK('2025'!$S220), 0, 1), 6, if(ISBLANK('2025'!$T220), 0, 1), 7, 0))), 1, "")</f>
        <v/>
      </c>
      <c r="BE222" s="1" t="str">
        <f>IF(AND(AND(AND(BE$4&gt;='2025'!$L220,BE$4&lt;='2025'!$M220), BE$4&lt;&gt;DATE(2025,7,4)), (SWITCH(weekday(BE$4), 1, 0, 2, if(ISBLANK('2025'!$P220), 0, 1), 3, if(ISBLANK('2025'!$Q220), 0, 1), 4, if(ISBLANK('2025'!$R220), 0, 1), 5, if(ISBLANK('2025'!$S220), 0, 1), 6, if(ISBLANK('2025'!$T220), 0, 1), 7, 0))), 1, "")</f>
        <v/>
      </c>
      <c r="BF222" s="1" t="str">
        <f>IF(AND(AND(AND(BF$4&gt;='2025'!$L220,BF$4&lt;='2025'!$M220), BF$4&lt;&gt;DATE(2025,7,4)), (SWITCH(weekday(BF$4), 1, 0, 2, if(ISBLANK('2025'!$P220), 0, 1), 3, if(ISBLANK('2025'!$Q220), 0, 1), 4, if(ISBLANK('2025'!$R220), 0, 1), 5, if(ISBLANK('2025'!$S220), 0, 1), 6, if(ISBLANK('2025'!$T220), 0, 1), 7, 0))), 1, "")</f>
        <v/>
      </c>
      <c r="BG222" s="1"/>
      <c r="BH222" s="1"/>
      <c r="BI222" s="1"/>
      <c r="BJ222" s="1"/>
      <c r="BK222" s="1"/>
      <c r="BL222" s="1"/>
    </row>
    <row r="223">
      <c r="A223" s="1">
        <f t="shared" si="3"/>
        <v>223</v>
      </c>
      <c r="B223" s="1" t="str">
        <f>'2025'!D187</f>
        <v>, </v>
      </c>
      <c r="C223" s="1" t="str">
        <f>'2025'!H187</f>
        <v/>
      </c>
      <c r="D223" s="1" t="str">
        <f>IF(AND(AND(AND(D$4&gt;='2025'!$L221,D$4&lt;='2025'!$M221), D$4&lt;&gt;DATE(2025,7,4)), (SWITCH(weekday(D$4), 1, 0, 2, if(ISBLANK('2025'!$P221), 0, 1), 3, if(ISBLANK('2025'!$Q221), 0, 1), 4, if(ISBLANK('2025'!$R221), 0, 1), 5, if(ISBLANK('2025'!$S221), 0, 1), 6, if(ISBLANK('2025'!$T221), 0, 1), 7, 0))), 1, "")</f>
        <v/>
      </c>
      <c r="E223" s="1" t="str">
        <f>IF(AND(AND(AND(E$4&gt;='2025'!$L221,E$4&lt;='2025'!$M221), E$4&lt;&gt;DATE(2025,7,4)), (SWITCH(weekday(E$4), 1, 0, 2, if(ISBLANK('2025'!$P221), 0, 1), 3, if(ISBLANK('2025'!$Q221), 0, 1), 4, if(ISBLANK('2025'!$R221), 0, 1), 5, if(ISBLANK('2025'!$S221), 0, 1), 6, if(ISBLANK('2025'!$T221), 0, 1), 7, 0))), 1, "")</f>
        <v/>
      </c>
      <c r="F223" s="1" t="str">
        <f>IF(AND(AND(AND(F$4&gt;='2025'!$L221,F$4&lt;='2025'!$M221), F$4&lt;&gt;DATE(2025,7,4)), (SWITCH(weekday(F$4), 1, 0, 2, if(ISBLANK('2025'!$P221), 0, 1), 3, if(ISBLANK('2025'!$Q221), 0, 1), 4, if(ISBLANK('2025'!$R221), 0, 1), 5, if(ISBLANK('2025'!$S221), 0, 1), 6, if(ISBLANK('2025'!$T221), 0, 1), 7, 0))), 1, "")</f>
        <v/>
      </c>
      <c r="G223" s="1" t="str">
        <f>IF(AND(AND(AND(G$4&gt;='2025'!$L221,G$4&lt;='2025'!$M221), G$4&lt;&gt;DATE(2025,7,4)), (SWITCH(weekday(G$4), 1, 0, 2, if(ISBLANK('2025'!$P221), 0, 1), 3, if(ISBLANK('2025'!$Q221), 0, 1), 4, if(ISBLANK('2025'!$R221), 0, 1), 5, if(ISBLANK('2025'!$S221), 0, 1), 6, if(ISBLANK('2025'!$T221), 0, 1), 7, 0))), 1, "")</f>
        <v/>
      </c>
      <c r="H223" s="1" t="str">
        <f>IF(AND(AND(AND(H$4&gt;='2025'!$L221,H$4&lt;='2025'!$M221), H$4&lt;&gt;DATE(2025,7,4)), (SWITCH(weekday(H$4), 1, 0, 2, if(ISBLANK('2025'!$P221), 0, 1), 3, if(ISBLANK('2025'!$Q221), 0, 1), 4, if(ISBLANK('2025'!$R221), 0, 1), 5, if(ISBLANK('2025'!$S221), 0, 1), 6, if(ISBLANK('2025'!$T221), 0, 1), 7, 0))), 1, "")</f>
        <v/>
      </c>
      <c r="I223" s="1" t="str">
        <f>IF(AND(AND(AND(I$4&gt;='2025'!$L221,I$4&lt;='2025'!$M221), I$4&lt;&gt;DATE(2025,7,4)), (SWITCH(weekday(I$4), 1, 0, 2, if(ISBLANK('2025'!$P221), 0, 1), 3, if(ISBLANK('2025'!$Q221), 0, 1), 4, if(ISBLANK('2025'!$R221), 0, 1), 5, if(ISBLANK('2025'!$S221), 0, 1), 6, if(ISBLANK('2025'!$T221), 0, 1), 7, 0))), 1, "")</f>
        <v/>
      </c>
      <c r="J223" s="1" t="str">
        <f>IF(AND(AND(AND(J$4&gt;='2025'!$L221,J$4&lt;='2025'!$M221), J$4&lt;&gt;DATE(2025,7,4)), (SWITCH(weekday(J$4), 1, 0, 2, if(ISBLANK('2025'!$P221), 0, 1), 3, if(ISBLANK('2025'!$Q221), 0, 1), 4, if(ISBLANK('2025'!$R221), 0, 1), 5, if(ISBLANK('2025'!$S221), 0, 1), 6, if(ISBLANK('2025'!$T221), 0, 1), 7, 0))), 1, "")</f>
        <v/>
      </c>
      <c r="K223" s="1" t="str">
        <f>IF(AND(AND(AND(K$4&gt;='2025'!$L221,K$4&lt;='2025'!$M221), K$4&lt;&gt;DATE(2025,7,4)), (SWITCH(weekday(K$4), 1, 0, 2, if(ISBLANK('2025'!$P221), 0, 1), 3, if(ISBLANK('2025'!$Q221), 0, 1), 4, if(ISBLANK('2025'!$R221), 0, 1), 5, if(ISBLANK('2025'!$S221), 0, 1), 6, if(ISBLANK('2025'!$T221), 0, 1), 7, 0))), 1, "")</f>
        <v/>
      </c>
      <c r="L223" s="1" t="str">
        <f>IF(AND(AND(AND(L$4&gt;='2025'!$L221,L$4&lt;='2025'!$M221), L$4&lt;&gt;DATE(2025,7,4)), (SWITCH(weekday(L$4), 1, 0, 2, if(ISBLANK('2025'!$P221), 0, 1), 3, if(ISBLANK('2025'!$Q221), 0, 1), 4, if(ISBLANK('2025'!$R221), 0, 1), 5, if(ISBLANK('2025'!$S221), 0, 1), 6, if(ISBLANK('2025'!$T221), 0, 1), 7, 0))), 1, "")</f>
        <v/>
      </c>
      <c r="M223" s="1" t="str">
        <f>IF(AND(AND(AND(M$4&gt;='2025'!$L221,M$4&lt;='2025'!$M221), M$4&lt;&gt;DATE(2025,7,4)), (SWITCH(weekday(M$4), 1, 0, 2, if(ISBLANK('2025'!$P221), 0, 1), 3, if(ISBLANK('2025'!$Q221), 0, 1), 4, if(ISBLANK('2025'!$R221), 0, 1), 5, if(ISBLANK('2025'!$S221), 0, 1), 6, if(ISBLANK('2025'!$T221), 0, 1), 7, 0))), 1, "")</f>
        <v/>
      </c>
      <c r="N223" s="1" t="str">
        <f>IF(AND(AND(AND(N$4&gt;='2025'!$L221,N$4&lt;='2025'!$M221), N$4&lt;&gt;DATE(2025,7,4)), (SWITCH(weekday(N$4), 1, 0, 2, if(ISBLANK('2025'!$P221), 0, 1), 3, if(ISBLANK('2025'!$Q221), 0, 1), 4, if(ISBLANK('2025'!$R221), 0, 1), 5, if(ISBLANK('2025'!$S221), 0, 1), 6, if(ISBLANK('2025'!$T221), 0, 1), 7, 0))), 1, "")</f>
        <v/>
      </c>
      <c r="O223" s="1" t="str">
        <f>IF(AND(AND(AND(O$4&gt;='2025'!$L221,O$4&lt;='2025'!$M221), O$4&lt;&gt;DATE(2025,7,4)), (SWITCH(weekday(O$4), 1, 0, 2, if(ISBLANK('2025'!$P221), 0, 1), 3, if(ISBLANK('2025'!$Q221), 0, 1), 4, if(ISBLANK('2025'!$R221), 0, 1), 5, if(ISBLANK('2025'!$S221), 0, 1), 6, if(ISBLANK('2025'!$T221), 0, 1), 7, 0))), 1, "")</f>
        <v/>
      </c>
      <c r="P223" s="1" t="str">
        <f>IF(AND(AND(AND(P$4&gt;='2025'!$L221,P$4&lt;='2025'!$M221), P$4&lt;&gt;DATE(2025,7,4)), (SWITCH(weekday(P$4), 1, 0, 2, if(ISBLANK('2025'!$P221), 0, 1), 3, if(ISBLANK('2025'!$Q221), 0, 1), 4, if(ISBLANK('2025'!$R221), 0, 1), 5, if(ISBLANK('2025'!$S221), 0, 1), 6, if(ISBLANK('2025'!$T221), 0, 1), 7, 0))), 1, "")</f>
        <v/>
      </c>
      <c r="Q223" s="1" t="str">
        <f>IF(AND(AND(AND(Q$4&gt;='2025'!$L221,Q$4&lt;='2025'!$M221), Q$4&lt;&gt;DATE(2025,7,4)), (SWITCH(weekday(Q$4), 1, 0, 2, if(ISBLANK('2025'!$P221), 0, 1), 3, if(ISBLANK('2025'!$Q221), 0, 1), 4, if(ISBLANK('2025'!$R221), 0, 1), 5, if(ISBLANK('2025'!$S221), 0, 1), 6, if(ISBLANK('2025'!$T221), 0, 1), 7, 0))), 1, "")</f>
        <v/>
      </c>
      <c r="R223" s="1" t="str">
        <f>IF(AND(AND(AND(R$4&gt;='2025'!$L221,R$4&lt;='2025'!$M221), R$4&lt;&gt;DATE(2025,7,4)), (SWITCH(weekday(R$4), 1, 0, 2, if(ISBLANK('2025'!$P221), 0, 1), 3, if(ISBLANK('2025'!$Q221), 0, 1), 4, if(ISBLANK('2025'!$R221), 0, 1), 5, if(ISBLANK('2025'!$S221), 0, 1), 6, if(ISBLANK('2025'!$T221), 0, 1), 7, 0))), 1, "")</f>
        <v/>
      </c>
      <c r="S223" s="1" t="str">
        <f>IF(AND(AND(AND(S$4&gt;='2025'!$L221,S$4&lt;='2025'!$M221), S$4&lt;&gt;DATE(2025,7,4)), (SWITCH(weekday(S$4), 1, 0, 2, if(ISBLANK('2025'!$P221), 0, 1), 3, if(ISBLANK('2025'!$Q221), 0, 1), 4, if(ISBLANK('2025'!$R221), 0, 1), 5, if(ISBLANK('2025'!$S221), 0, 1), 6, if(ISBLANK('2025'!$T221), 0, 1), 7, 0))), 1, "")</f>
        <v/>
      </c>
      <c r="T223" s="1" t="str">
        <f>IF(AND(AND(AND(T$4&gt;='2025'!$L221,T$4&lt;='2025'!$M221), T$4&lt;&gt;DATE(2025,7,4)), (SWITCH(weekday(T$4), 1, 0, 2, if(ISBLANK('2025'!$P221), 0, 1), 3, if(ISBLANK('2025'!$Q221), 0, 1), 4, if(ISBLANK('2025'!$R221), 0, 1), 5, if(ISBLANK('2025'!$S221), 0, 1), 6, if(ISBLANK('2025'!$T221), 0, 1), 7, 0))), 1, "")</f>
        <v/>
      </c>
      <c r="U223" s="1" t="str">
        <f>IF(AND(AND(AND(U$4&gt;='2025'!$L221,U$4&lt;='2025'!$M221), U$4&lt;&gt;DATE(2025,7,4)), (SWITCH(weekday(U$4), 1, 0, 2, if(ISBLANK('2025'!$P221), 0, 1), 3, if(ISBLANK('2025'!$Q221), 0, 1), 4, if(ISBLANK('2025'!$R221), 0, 1), 5, if(ISBLANK('2025'!$S221), 0, 1), 6, if(ISBLANK('2025'!$T221), 0, 1), 7, 0))), 1, "")</f>
        <v/>
      </c>
      <c r="V223" s="1" t="str">
        <f>IF(AND(AND(AND(V$4&gt;='2025'!$L221,V$4&lt;='2025'!$M221), V$4&lt;&gt;DATE(2025,7,4)), (SWITCH(weekday(V$4), 1, 0, 2, if(ISBLANK('2025'!$P221), 0, 1), 3, if(ISBLANK('2025'!$Q221), 0, 1), 4, if(ISBLANK('2025'!$R221), 0, 1), 5, if(ISBLANK('2025'!$S221), 0, 1), 6, if(ISBLANK('2025'!$T221), 0, 1), 7, 0))), 1, "")</f>
        <v/>
      </c>
      <c r="W223" s="1" t="str">
        <f>IF(AND(AND(AND(W$4&gt;='2025'!$L221,W$4&lt;='2025'!$M221), W$4&lt;&gt;DATE(2025,7,4)), (SWITCH(weekday(W$4), 1, 0, 2, if(ISBLANK('2025'!$P221), 0, 1), 3, if(ISBLANK('2025'!$Q221), 0, 1), 4, if(ISBLANK('2025'!$R221), 0, 1), 5, if(ISBLANK('2025'!$S221), 0, 1), 6, if(ISBLANK('2025'!$T221), 0, 1), 7, 0))), 1, "")</f>
        <v/>
      </c>
      <c r="X223" s="1" t="str">
        <f>IF(AND(AND(AND(X$4&gt;='2025'!$L221,X$4&lt;='2025'!$M221), X$4&lt;&gt;DATE(2025,7,4)), (SWITCH(weekday(X$4), 1, 0, 2, if(ISBLANK('2025'!$P221), 0, 1), 3, if(ISBLANK('2025'!$Q221), 0, 1), 4, if(ISBLANK('2025'!$R221), 0, 1), 5, if(ISBLANK('2025'!$S221), 0, 1), 6, if(ISBLANK('2025'!$T221), 0, 1), 7, 0))), 1, "")</f>
        <v/>
      </c>
      <c r="Y223" s="1" t="str">
        <f>IF(AND(AND(AND(Y$4&gt;='2025'!$L221,Y$4&lt;='2025'!$M221), Y$4&lt;&gt;DATE(2025,7,4)), (SWITCH(weekday(Y$4), 1, 0, 2, if(ISBLANK('2025'!$P221), 0, 1), 3, if(ISBLANK('2025'!$Q221), 0, 1), 4, if(ISBLANK('2025'!$R221), 0, 1), 5, if(ISBLANK('2025'!$S221), 0, 1), 6, if(ISBLANK('2025'!$T221), 0, 1), 7, 0))), 1, "")</f>
        <v/>
      </c>
      <c r="Z223" s="1" t="str">
        <f>IF(AND(AND(AND(Z$4&gt;='2025'!$L221,Z$4&lt;='2025'!$M221), Z$4&lt;&gt;DATE(2025,7,4)), (SWITCH(weekday(Z$4), 1, 0, 2, if(ISBLANK('2025'!$P221), 0, 1), 3, if(ISBLANK('2025'!$Q221), 0, 1), 4, if(ISBLANK('2025'!$R221), 0, 1), 5, if(ISBLANK('2025'!$S221), 0, 1), 6, if(ISBLANK('2025'!$T221), 0, 1), 7, 0))), 1, "")</f>
        <v/>
      </c>
      <c r="AA223" s="1" t="str">
        <f>IF(AND(AND(AND(AA$4&gt;='2025'!$L221,AA$4&lt;='2025'!$M221), AA$4&lt;&gt;DATE(2025,7,4)), (SWITCH(weekday(AA$4), 1, 0, 2, if(ISBLANK('2025'!$P221), 0, 1), 3, if(ISBLANK('2025'!$Q221), 0, 1), 4, if(ISBLANK('2025'!$R221), 0, 1), 5, if(ISBLANK('2025'!$S221), 0, 1), 6, if(ISBLANK('2025'!$T221), 0, 1), 7, 0))), 1, "")</f>
        <v/>
      </c>
      <c r="AB223" s="1" t="str">
        <f>IF(AND(AND(AND(AB$4&gt;='2025'!$L221,AB$4&lt;='2025'!$M221), AB$4&lt;&gt;DATE(2025,7,4)), (SWITCH(weekday(AB$4), 1, 0, 2, if(ISBLANK('2025'!$P221), 0, 1), 3, if(ISBLANK('2025'!$Q221), 0, 1), 4, if(ISBLANK('2025'!$R221), 0, 1), 5, if(ISBLANK('2025'!$S221), 0, 1), 6, if(ISBLANK('2025'!$T221), 0, 1), 7, 0))), 1, "")</f>
        <v/>
      </c>
      <c r="AC223" s="1" t="str">
        <f>IF(AND(AND(AND(AC$4&gt;='2025'!$L221,AC$4&lt;='2025'!$M221), AC$4&lt;&gt;DATE(2025,7,4)), (SWITCH(weekday(AC$4), 1, 0, 2, if(ISBLANK('2025'!$P221), 0, 1), 3, if(ISBLANK('2025'!$Q221), 0, 1), 4, if(ISBLANK('2025'!$R221), 0, 1), 5, if(ISBLANK('2025'!$S221), 0, 1), 6, if(ISBLANK('2025'!$T221), 0, 1), 7, 0))), 1, "")</f>
        <v/>
      </c>
      <c r="AD223" s="1" t="str">
        <f>IF(AND(AND(AND(AD$4&gt;='2025'!$L221,AD$4&lt;='2025'!$M221), AD$4&lt;&gt;DATE(2025,7,4)), (SWITCH(weekday(AD$4), 1, 0, 2, if(ISBLANK('2025'!$P221), 0, 1), 3, if(ISBLANK('2025'!$Q221), 0, 1), 4, if(ISBLANK('2025'!$R221), 0, 1), 5, if(ISBLANK('2025'!$S221), 0, 1), 6, if(ISBLANK('2025'!$T221), 0, 1), 7, 0))), 1, "")</f>
        <v/>
      </c>
      <c r="AE223" s="1" t="str">
        <f>IF(AND(AND(AND(AE$4&gt;='2025'!$L221,AE$4&lt;='2025'!$M221), AE$4&lt;&gt;DATE(2025,7,4)), (SWITCH(weekday(AE$4), 1, 0, 2, if(ISBLANK('2025'!$P221), 0, 1), 3, if(ISBLANK('2025'!$Q221), 0, 1), 4, if(ISBLANK('2025'!$R221), 0, 1), 5, if(ISBLANK('2025'!$S221), 0, 1), 6, if(ISBLANK('2025'!$T221), 0, 1), 7, 0))), 1, "")</f>
        <v/>
      </c>
      <c r="AF223" s="1" t="str">
        <f>IF(AND(AND(AND(AF$4&gt;='2025'!$L221,AF$4&lt;='2025'!$M221), AF$4&lt;&gt;DATE(2025,7,4)), (SWITCH(weekday(AF$4), 1, 0, 2, if(ISBLANK('2025'!$P221), 0, 1), 3, if(ISBLANK('2025'!$Q221), 0, 1), 4, if(ISBLANK('2025'!$R221), 0, 1), 5, if(ISBLANK('2025'!$S221), 0, 1), 6, if(ISBLANK('2025'!$T221), 0, 1), 7, 0))), 1, "")</f>
        <v/>
      </c>
      <c r="AG223" s="1" t="str">
        <f>IF(AND(AND(AND(AG$4&gt;='2025'!$L221,AG$4&lt;='2025'!$M221), AG$4&lt;&gt;DATE(2025,7,4)), (SWITCH(weekday(AG$4), 1, 0, 2, if(ISBLANK('2025'!$P221), 0, 1), 3, if(ISBLANK('2025'!$Q221), 0, 1), 4, if(ISBLANK('2025'!$R221), 0, 1), 5, if(ISBLANK('2025'!$S221), 0, 1), 6, if(ISBLANK('2025'!$T221), 0, 1), 7, 0))), 1, "")</f>
        <v/>
      </c>
      <c r="AH223" s="1" t="str">
        <f>IF(AND(AND(AND(AH$4&gt;='2025'!$L221,AH$4&lt;='2025'!$M221), AH$4&lt;&gt;DATE(2025,7,4)), (SWITCH(weekday(AH$4), 1, 0, 2, if(ISBLANK('2025'!$P221), 0, 1), 3, if(ISBLANK('2025'!$Q221), 0, 1), 4, if(ISBLANK('2025'!$R221), 0, 1), 5, if(ISBLANK('2025'!$S221), 0, 1), 6, if(ISBLANK('2025'!$T221), 0, 1), 7, 0))), 1, "")</f>
        <v/>
      </c>
      <c r="AI223" s="1" t="str">
        <f>IF(AND(AND(AND(AI$4&gt;='2025'!$L221,AI$4&lt;='2025'!$M221), AI$4&lt;&gt;DATE(2025,7,4)), (SWITCH(weekday(AI$4), 1, 0, 2, if(ISBLANK('2025'!$P221), 0, 1), 3, if(ISBLANK('2025'!$Q221), 0, 1), 4, if(ISBLANK('2025'!$R221), 0, 1), 5, if(ISBLANK('2025'!$S221), 0, 1), 6, if(ISBLANK('2025'!$T221), 0, 1), 7, 0))), 1, "")</f>
        <v/>
      </c>
      <c r="AJ223" s="1" t="str">
        <f>IF(AND(AND(AND(AJ$4&gt;='2025'!$L221,AJ$4&lt;='2025'!$M221), AJ$4&lt;&gt;DATE(2025,7,4)), (SWITCH(weekday(AJ$4), 1, 0, 2, if(ISBLANK('2025'!$P221), 0, 1), 3, if(ISBLANK('2025'!$Q221), 0, 1), 4, if(ISBLANK('2025'!$R221), 0, 1), 5, if(ISBLANK('2025'!$S221), 0, 1), 6, if(ISBLANK('2025'!$T221), 0, 1), 7, 0))), 1, "")</f>
        <v/>
      </c>
      <c r="AK223" s="1" t="str">
        <f>IF(AND(AND(AND(AK$4&gt;='2025'!$L221,AK$4&lt;='2025'!$M221), AK$4&lt;&gt;DATE(2025,7,4)), (SWITCH(weekday(AK$4), 1, 0, 2, if(ISBLANK('2025'!$P221), 0, 1), 3, if(ISBLANK('2025'!$Q221), 0, 1), 4, if(ISBLANK('2025'!$R221), 0, 1), 5, if(ISBLANK('2025'!$S221), 0, 1), 6, if(ISBLANK('2025'!$T221), 0, 1), 7, 0))), 1, "")</f>
        <v/>
      </c>
      <c r="AL223" s="1" t="str">
        <f>IF(AND(AND(AND(AL$4&gt;='2025'!$L221,AL$4&lt;='2025'!$M221), AL$4&lt;&gt;DATE(2025,7,4)), (SWITCH(weekday(AL$4), 1, 0, 2, if(ISBLANK('2025'!$P221), 0, 1), 3, if(ISBLANK('2025'!$Q221), 0, 1), 4, if(ISBLANK('2025'!$R221), 0, 1), 5, if(ISBLANK('2025'!$S221), 0, 1), 6, if(ISBLANK('2025'!$T221), 0, 1), 7, 0))), 1, "")</f>
        <v/>
      </c>
      <c r="AM223" s="1" t="str">
        <f>IF(AND(AND(AND(AM$4&gt;='2025'!$L221,AM$4&lt;='2025'!$M221), AM$4&lt;&gt;DATE(2025,7,4)), (SWITCH(weekday(AM$4), 1, 0, 2, if(ISBLANK('2025'!$P221), 0, 1), 3, if(ISBLANK('2025'!$Q221), 0, 1), 4, if(ISBLANK('2025'!$R221), 0, 1), 5, if(ISBLANK('2025'!$S221), 0, 1), 6, if(ISBLANK('2025'!$T221), 0, 1), 7, 0))), 1, "")</f>
        <v/>
      </c>
      <c r="AN223" s="1" t="str">
        <f>IF(AND(AND(AND(AN$4&gt;='2025'!$L221,AN$4&lt;='2025'!$M221), AN$4&lt;&gt;DATE(2025,7,4)), (SWITCH(weekday(AN$4), 1, 0, 2, if(ISBLANK('2025'!$P221), 0, 1), 3, if(ISBLANK('2025'!$Q221), 0, 1), 4, if(ISBLANK('2025'!$R221), 0, 1), 5, if(ISBLANK('2025'!$S221), 0, 1), 6, if(ISBLANK('2025'!$T221), 0, 1), 7, 0))), 1, "")</f>
        <v/>
      </c>
      <c r="AO223" s="1" t="str">
        <f>IF(AND(AND(AND(AO$4&gt;='2025'!$L221,AO$4&lt;='2025'!$M221), AO$4&lt;&gt;DATE(2025,7,4)), (SWITCH(weekday(AO$4), 1, 0, 2, if(ISBLANK('2025'!$P221), 0, 1), 3, if(ISBLANK('2025'!$Q221), 0, 1), 4, if(ISBLANK('2025'!$R221), 0, 1), 5, if(ISBLANK('2025'!$S221), 0, 1), 6, if(ISBLANK('2025'!$T221), 0, 1), 7, 0))), 1, "")</f>
        <v/>
      </c>
      <c r="AP223" s="1" t="str">
        <f>IF(AND(AND(AND(AP$4&gt;='2025'!$L221,AP$4&lt;='2025'!$M221), AP$4&lt;&gt;DATE(2025,7,4)), (SWITCH(weekday(AP$4), 1, 0, 2, if(ISBLANK('2025'!$P221), 0, 1), 3, if(ISBLANK('2025'!$Q221), 0, 1), 4, if(ISBLANK('2025'!$R221), 0, 1), 5, if(ISBLANK('2025'!$S221), 0, 1), 6, if(ISBLANK('2025'!$T221), 0, 1), 7, 0))), 1, "")</f>
        <v/>
      </c>
      <c r="AQ223" s="1" t="str">
        <f>IF(AND(AND(AND(AQ$4&gt;='2025'!$L221,AQ$4&lt;='2025'!$M221), AQ$4&lt;&gt;DATE(2025,7,4)), (SWITCH(weekday(AQ$4), 1, 0, 2, if(ISBLANK('2025'!$P221), 0, 1), 3, if(ISBLANK('2025'!$Q221), 0, 1), 4, if(ISBLANK('2025'!$R221), 0, 1), 5, if(ISBLANK('2025'!$S221), 0, 1), 6, if(ISBLANK('2025'!$T221), 0, 1), 7, 0))), 1, "")</f>
        <v/>
      </c>
      <c r="AR223" s="1" t="str">
        <f>IF(AND(AND(AND(AR$4&gt;='2025'!$L221,AR$4&lt;='2025'!$M221), AR$4&lt;&gt;DATE(2025,7,4)), (SWITCH(weekday(AR$4), 1, 0, 2, if(ISBLANK('2025'!$P221), 0, 1), 3, if(ISBLANK('2025'!$Q221), 0, 1), 4, if(ISBLANK('2025'!$R221), 0, 1), 5, if(ISBLANK('2025'!$S221), 0, 1), 6, if(ISBLANK('2025'!$T221), 0, 1), 7, 0))), 1, "")</f>
        <v/>
      </c>
      <c r="AS223" s="1" t="str">
        <f>IF(AND(AND(AND(AS$4&gt;='2025'!$L221,AS$4&lt;='2025'!$M221), AS$4&lt;&gt;DATE(2025,7,4)), (SWITCH(weekday(AS$4), 1, 0, 2, if(ISBLANK('2025'!$P221), 0, 1), 3, if(ISBLANK('2025'!$Q221), 0, 1), 4, if(ISBLANK('2025'!$R221), 0, 1), 5, if(ISBLANK('2025'!$S221), 0, 1), 6, if(ISBLANK('2025'!$T221), 0, 1), 7, 0))), 1, "")</f>
        <v/>
      </c>
      <c r="AT223" s="1" t="str">
        <f>IF(AND(AND(AND(AT$4&gt;='2025'!$L221,AT$4&lt;='2025'!$M221), AT$4&lt;&gt;DATE(2025,7,4)), (SWITCH(weekday(AT$4), 1, 0, 2, if(ISBLANK('2025'!$P221), 0, 1), 3, if(ISBLANK('2025'!$Q221), 0, 1), 4, if(ISBLANK('2025'!$R221), 0, 1), 5, if(ISBLANK('2025'!$S221), 0, 1), 6, if(ISBLANK('2025'!$T221), 0, 1), 7, 0))), 1, "")</f>
        <v/>
      </c>
      <c r="AU223" s="1" t="str">
        <f>IF(AND(AND(AND(AU$4&gt;='2025'!$L221,AU$4&lt;='2025'!$M221), AU$4&lt;&gt;DATE(2025,7,4)), (SWITCH(weekday(AU$4), 1, 0, 2, if(ISBLANK('2025'!$P221), 0, 1), 3, if(ISBLANK('2025'!$Q221), 0, 1), 4, if(ISBLANK('2025'!$R221), 0, 1), 5, if(ISBLANK('2025'!$S221), 0, 1), 6, if(ISBLANK('2025'!$T221), 0, 1), 7, 0))), 1, "")</f>
        <v/>
      </c>
      <c r="AV223" s="1" t="str">
        <f>IF(AND(AND(AND(AV$4&gt;='2025'!$L221,AV$4&lt;='2025'!$M221), AV$4&lt;&gt;DATE(2025,7,4)), (SWITCH(weekday(AV$4), 1, 0, 2, if(ISBLANK('2025'!$P221), 0, 1), 3, if(ISBLANK('2025'!$Q221), 0, 1), 4, if(ISBLANK('2025'!$R221), 0, 1), 5, if(ISBLANK('2025'!$S221), 0, 1), 6, if(ISBLANK('2025'!$T221), 0, 1), 7, 0))), 1, "")</f>
        <v/>
      </c>
      <c r="AW223" s="1" t="str">
        <f>IF(AND(AND(AND(AW$4&gt;='2025'!$L221,AW$4&lt;='2025'!$M221), AW$4&lt;&gt;DATE(2025,7,4)), (SWITCH(weekday(AW$4), 1, 0, 2, if(ISBLANK('2025'!$P221), 0, 1), 3, if(ISBLANK('2025'!$Q221), 0, 1), 4, if(ISBLANK('2025'!$R221), 0, 1), 5, if(ISBLANK('2025'!$S221), 0, 1), 6, if(ISBLANK('2025'!$T221), 0, 1), 7, 0))), 1, "")</f>
        <v/>
      </c>
      <c r="AX223" s="1" t="str">
        <f>IF(AND(AND(AND(AX$4&gt;='2025'!$L221,AX$4&lt;='2025'!$M221), AX$4&lt;&gt;DATE(2025,7,4)), (SWITCH(weekday(AX$4), 1, 0, 2, if(ISBLANK('2025'!$P221), 0, 1), 3, if(ISBLANK('2025'!$Q221), 0, 1), 4, if(ISBLANK('2025'!$R221), 0, 1), 5, if(ISBLANK('2025'!$S221), 0, 1), 6, if(ISBLANK('2025'!$T221), 0, 1), 7, 0))), 1, "")</f>
        <v/>
      </c>
      <c r="AY223" s="1" t="str">
        <f>IF(AND(AND(AND(AY$4&gt;='2025'!$L221,AY$4&lt;='2025'!$M221), AY$4&lt;&gt;DATE(2025,7,4)), (SWITCH(weekday(AY$4), 1, 0, 2, if(ISBLANK('2025'!$P221), 0, 1), 3, if(ISBLANK('2025'!$Q221), 0, 1), 4, if(ISBLANK('2025'!$R221), 0, 1), 5, if(ISBLANK('2025'!$S221), 0, 1), 6, if(ISBLANK('2025'!$T221), 0, 1), 7, 0))), 1, "")</f>
        <v/>
      </c>
      <c r="AZ223" s="1" t="str">
        <f>IF(AND(AND(AND(AZ$4&gt;='2025'!$L221,AZ$4&lt;='2025'!$M221), AZ$4&lt;&gt;DATE(2025,7,4)), (SWITCH(weekday(AZ$4), 1, 0, 2, if(ISBLANK('2025'!$P221), 0, 1), 3, if(ISBLANK('2025'!$Q221), 0, 1), 4, if(ISBLANK('2025'!$R221), 0, 1), 5, if(ISBLANK('2025'!$S221), 0, 1), 6, if(ISBLANK('2025'!$T221), 0, 1), 7, 0))), 1, "")</f>
        <v/>
      </c>
      <c r="BA223" s="1" t="str">
        <f>IF(AND(AND(AND(BA$4&gt;='2025'!$L221,BA$4&lt;='2025'!$M221), BA$4&lt;&gt;DATE(2025,7,4)), (SWITCH(weekday(BA$4), 1, 0, 2, if(ISBLANK('2025'!$P221), 0, 1), 3, if(ISBLANK('2025'!$Q221), 0, 1), 4, if(ISBLANK('2025'!$R221), 0, 1), 5, if(ISBLANK('2025'!$S221), 0, 1), 6, if(ISBLANK('2025'!$T221), 0, 1), 7, 0))), 1, "")</f>
        <v/>
      </c>
      <c r="BB223" s="1" t="str">
        <f>IF(AND(AND(AND(BB$4&gt;='2025'!$L221,BB$4&lt;='2025'!$M221), BB$4&lt;&gt;DATE(2025,7,4)), (SWITCH(weekday(BB$4), 1, 0, 2, if(ISBLANK('2025'!$P221), 0, 1), 3, if(ISBLANK('2025'!$Q221), 0, 1), 4, if(ISBLANK('2025'!$R221), 0, 1), 5, if(ISBLANK('2025'!$S221), 0, 1), 6, if(ISBLANK('2025'!$T221), 0, 1), 7, 0))), 1, "")</f>
        <v/>
      </c>
      <c r="BC223" s="1" t="str">
        <f>IF(AND(AND(AND(BC$4&gt;='2025'!$L221,BC$4&lt;='2025'!$M221), BC$4&lt;&gt;DATE(2025,7,4)), (SWITCH(weekday(BC$4), 1, 0, 2, if(ISBLANK('2025'!$P221), 0, 1), 3, if(ISBLANK('2025'!$Q221), 0, 1), 4, if(ISBLANK('2025'!$R221), 0, 1), 5, if(ISBLANK('2025'!$S221), 0, 1), 6, if(ISBLANK('2025'!$T221), 0, 1), 7, 0))), 1, "")</f>
        <v/>
      </c>
      <c r="BD223" s="1" t="str">
        <f>IF(AND(AND(AND(BD$4&gt;='2025'!$L221,BD$4&lt;='2025'!$M221), BD$4&lt;&gt;DATE(2025,7,4)), (SWITCH(weekday(BD$4), 1, 0, 2, if(ISBLANK('2025'!$P221), 0, 1), 3, if(ISBLANK('2025'!$Q221), 0, 1), 4, if(ISBLANK('2025'!$R221), 0, 1), 5, if(ISBLANK('2025'!$S221), 0, 1), 6, if(ISBLANK('2025'!$T221), 0, 1), 7, 0))), 1, "")</f>
        <v/>
      </c>
      <c r="BE223" s="1" t="str">
        <f>IF(AND(AND(AND(BE$4&gt;='2025'!$L221,BE$4&lt;='2025'!$M221), BE$4&lt;&gt;DATE(2025,7,4)), (SWITCH(weekday(BE$4), 1, 0, 2, if(ISBLANK('2025'!$P221), 0, 1), 3, if(ISBLANK('2025'!$Q221), 0, 1), 4, if(ISBLANK('2025'!$R221), 0, 1), 5, if(ISBLANK('2025'!$S221), 0, 1), 6, if(ISBLANK('2025'!$T221), 0, 1), 7, 0))), 1, "")</f>
        <v/>
      </c>
      <c r="BF223" s="1" t="str">
        <f>IF(AND(AND(AND(BF$4&gt;='2025'!$L221,BF$4&lt;='2025'!$M221), BF$4&lt;&gt;DATE(2025,7,4)), (SWITCH(weekday(BF$4), 1, 0, 2, if(ISBLANK('2025'!$P221), 0, 1), 3, if(ISBLANK('2025'!$Q221), 0, 1), 4, if(ISBLANK('2025'!$R221), 0, 1), 5, if(ISBLANK('2025'!$S221), 0, 1), 6, if(ISBLANK('2025'!$T221), 0, 1), 7, 0))), 1, "")</f>
        <v/>
      </c>
      <c r="BG223" s="1"/>
      <c r="BH223" s="1"/>
      <c r="BI223" s="1"/>
      <c r="BJ223" s="1"/>
      <c r="BK223" s="1"/>
      <c r="BL223" s="1"/>
    </row>
    <row r="224">
      <c r="A224" s="1">
        <f t="shared" si="3"/>
        <v>224</v>
      </c>
      <c r="B224" s="1" t="str">
        <f>'2025'!D188</f>
        <v>, </v>
      </c>
      <c r="C224" s="1" t="str">
        <f>'2025'!H188</f>
        <v/>
      </c>
      <c r="D224" s="1" t="str">
        <f>IF(AND(AND(AND(D$4&gt;='2025'!$L222,D$4&lt;='2025'!$M222), D$4&lt;&gt;DATE(2025,7,4)), (SWITCH(weekday(D$4), 1, 0, 2, if(ISBLANK('2025'!$P222), 0, 1), 3, if(ISBLANK('2025'!$Q222), 0, 1), 4, if(ISBLANK('2025'!$R222), 0, 1), 5, if(ISBLANK('2025'!$S222), 0, 1), 6, if(ISBLANK('2025'!$T222), 0, 1), 7, 0))), 1, "")</f>
        <v/>
      </c>
      <c r="E224" s="1" t="str">
        <f>IF(AND(AND(AND(E$4&gt;='2025'!$L222,E$4&lt;='2025'!$M222), E$4&lt;&gt;DATE(2025,7,4)), (SWITCH(weekday(E$4), 1, 0, 2, if(ISBLANK('2025'!$P222), 0, 1), 3, if(ISBLANK('2025'!$Q222), 0, 1), 4, if(ISBLANK('2025'!$R222), 0, 1), 5, if(ISBLANK('2025'!$S222), 0, 1), 6, if(ISBLANK('2025'!$T222), 0, 1), 7, 0))), 1, "")</f>
        <v/>
      </c>
      <c r="F224" s="1" t="str">
        <f>IF(AND(AND(AND(F$4&gt;='2025'!$L222,F$4&lt;='2025'!$M222), F$4&lt;&gt;DATE(2025,7,4)), (SWITCH(weekday(F$4), 1, 0, 2, if(ISBLANK('2025'!$P222), 0, 1), 3, if(ISBLANK('2025'!$Q222), 0, 1), 4, if(ISBLANK('2025'!$R222), 0, 1), 5, if(ISBLANK('2025'!$S222), 0, 1), 6, if(ISBLANK('2025'!$T222), 0, 1), 7, 0))), 1, "")</f>
        <v/>
      </c>
      <c r="G224" s="1" t="str">
        <f>IF(AND(AND(AND(G$4&gt;='2025'!$L222,G$4&lt;='2025'!$M222), G$4&lt;&gt;DATE(2025,7,4)), (SWITCH(weekday(G$4), 1, 0, 2, if(ISBLANK('2025'!$P222), 0, 1), 3, if(ISBLANK('2025'!$Q222), 0, 1), 4, if(ISBLANK('2025'!$R222), 0, 1), 5, if(ISBLANK('2025'!$S222), 0, 1), 6, if(ISBLANK('2025'!$T222), 0, 1), 7, 0))), 1, "")</f>
        <v/>
      </c>
      <c r="H224" s="1" t="str">
        <f>IF(AND(AND(AND(H$4&gt;='2025'!$L222,H$4&lt;='2025'!$M222), H$4&lt;&gt;DATE(2025,7,4)), (SWITCH(weekday(H$4), 1, 0, 2, if(ISBLANK('2025'!$P222), 0, 1), 3, if(ISBLANK('2025'!$Q222), 0, 1), 4, if(ISBLANK('2025'!$R222), 0, 1), 5, if(ISBLANK('2025'!$S222), 0, 1), 6, if(ISBLANK('2025'!$T222), 0, 1), 7, 0))), 1, "")</f>
        <v/>
      </c>
      <c r="I224" s="1" t="str">
        <f>IF(AND(AND(AND(I$4&gt;='2025'!$L222,I$4&lt;='2025'!$M222), I$4&lt;&gt;DATE(2025,7,4)), (SWITCH(weekday(I$4), 1, 0, 2, if(ISBLANK('2025'!$P222), 0, 1), 3, if(ISBLANK('2025'!$Q222), 0, 1), 4, if(ISBLANK('2025'!$R222), 0, 1), 5, if(ISBLANK('2025'!$S222), 0, 1), 6, if(ISBLANK('2025'!$T222), 0, 1), 7, 0))), 1, "")</f>
        <v/>
      </c>
      <c r="J224" s="1" t="str">
        <f>IF(AND(AND(AND(J$4&gt;='2025'!$L222,J$4&lt;='2025'!$M222), J$4&lt;&gt;DATE(2025,7,4)), (SWITCH(weekday(J$4), 1, 0, 2, if(ISBLANK('2025'!$P222), 0, 1), 3, if(ISBLANK('2025'!$Q222), 0, 1), 4, if(ISBLANK('2025'!$R222), 0, 1), 5, if(ISBLANK('2025'!$S222), 0, 1), 6, if(ISBLANK('2025'!$T222), 0, 1), 7, 0))), 1, "")</f>
        <v/>
      </c>
      <c r="K224" s="1" t="str">
        <f>IF(AND(AND(AND(K$4&gt;='2025'!$L222,K$4&lt;='2025'!$M222), K$4&lt;&gt;DATE(2025,7,4)), (SWITCH(weekday(K$4), 1, 0, 2, if(ISBLANK('2025'!$P222), 0, 1), 3, if(ISBLANK('2025'!$Q222), 0, 1), 4, if(ISBLANK('2025'!$R222), 0, 1), 5, if(ISBLANK('2025'!$S222), 0, 1), 6, if(ISBLANK('2025'!$T222), 0, 1), 7, 0))), 1, "")</f>
        <v/>
      </c>
      <c r="L224" s="1" t="str">
        <f>IF(AND(AND(AND(L$4&gt;='2025'!$L222,L$4&lt;='2025'!$M222), L$4&lt;&gt;DATE(2025,7,4)), (SWITCH(weekday(L$4), 1, 0, 2, if(ISBLANK('2025'!$P222), 0, 1), 3, if(ISBLANK('2025'!$Q222), 0, 1), 4, if(ISBLANK('2025'!$R222), 0, 1), 5, if(ISBLANK('2025'!$S222), 0, 1), 6, if(ISBLANK('2025'!$T222), 0, 1), 7, 0))), 1, "")</f>
        <v/>
      </c>
      <c r="M224" s="1" t="str">
        <f>IF(AND(AND(AND(M$4&gt;='2025'!$L222,M$4&lt;='2025'!$M222), M$4&lt;&gt;DATE(2025,7,4)), (SWITCH(weekday(M$4), 1, 0, 2, if(ISBLANK('2025'!$P222), 0, 1), 3, if(ISBLANK('2025'!$Q222), 0, 1), 4, if(ISBLANK('2025'!$R222), 0, 1), 5, if(ISBLANK('2025'!$S222), 0, 1), 6, if(ISBLANK('2025'!$T222), 0, 1), 7, 0))), 1, "")</f>
        <v/>
      </c>
      <c r="N224" s="1" t="str">
        <f>IF(AND(AND(AND(N$4&gt;='2025'!$L222,N$4&lt;='2025'!$M222), N$4&lt;&gt;DATE(2025,7,4)), (SWITCH(weekday(N$4), 1, 0, 2, if(ISBLANK('2025'!$P222), 0, 1), 3, if(ISBLANK('2025'!$Q222), 0, 1), 4, if(ISBLANK('2025'!$R222), 0, 1), 5, if(ISBLANK('2025'!$S222), 0, 1), 6, if(ISBLANK('2025'!$T222), 0, 1), 7, 0))), 1, "")</f>
        <v/>
      </c>
      <c r="O224" s="1" t="str">
        <f>IF(AND(AND(AND(O$4&gt;='2025'!$L222,O$4&lt;='2025'!$M222), O$4&lt;&gt;DATE(2025,7,4)), (SWITCH(weekday(O$4), 1, 0, 2, if(ISBLANK('2025'!$P222), 0, 1), 3, if(ISBLANK('2025'!$Q222), 0, 1), 4, if(ISBLANK('2025'!$R222), 0, 1), 5, if(ISBLANK('2025'!$S222), 0, 1), 6, if(ISBLANK('2025'!$T222), 0, 1), 7, 0))), 1, "")</f>
        <v/>
      </c>
      <c r="P224" s="1" t="str">
        <f>IF(AND(AND(AND(P$4&gt;='2025'!$L222,P$4&lt;='2025'!$M222), P$4&lt;&gt;DATE(2025,7,4)), (SWITCH(weekday(P$4), 1, 0, 2, if(ISBLANK('2025'!$P222), 0, 1), 3, if(ISBLANK('2025'!$Q222), 0, 1), 4, if(ISBLANK('2025'!$R222), 0, 1), 5, if(ISBLANK('2025'!$S222), 0, 1), 6, if(ISBLANK('2025'!$T222), 0, 1), 7, 0))), 1, "")</f>
        <v/>
      </c>
      <c r="Q224" s="1" t="str">
        <f>IF(AND(AND(AND(Q$4&gt;='2025'!$L222,Q$4&lt;='2025'!$M222), Q$4&lt;&gt;DATE(2025,7,4)), (SWITCH(weekday(Q$4), 1, 0, 2, if(ISBLANK('2025'!$P222), 0, 1), 3, if(ISBLANK('2025'!$Q222), 0, 1), 4, if(ISBLANK('2025'!$R222), 0, 1), 5, if(ISBLANK('2025'!$S222), 0, 1), 6, if(ISBLANK('2025'!$T222), 0, 1), 7, 0))), 1, "")</f>
        <v/>
      </c>
      <c r="R224" s="1" t="str">
        <f>IF(AND(AND(AND(R$4&gt;='2025'!$L222,R$4&lt;='2025'!$M222), R$4&lt;&gt;DATE(2025,7,4)), (SWITCH(weekday(R$4), 1, 0, 2, if(ISBLANK('2025'!$P222), 0, 1), 3, if(ISBLANK('2025'!$Q222), 0, 1), 4, if(ISBLANK('2025'!$R222), 0, 1), 5, if(ISBLANK('2025'!$S222), 0, 1), 6, if(ISBLANK('2025'!$T222), 0, 1), 7, 0))), 1, "")</f>
        <v/>
      </c>
      <c r="S224" s="1" t="str">
        <f>IF(AND(AND(AND(S$4&gt;='2025'!$L222,S$4&lt;='2025'!$M222), S$4&lt;&gt;DATE(2025,7,4)), (SWITCH(weekday(S$4), 1, 0, 2, if(ISBLANK('2025'!$P222), 0, 1), 3, if(ISBLANK('2025'!$Q222), 0, 1), 4, if(ISBLANK('2025'!$R222), 0, 1), 5, if(ISBLANK('2025'!$S222), 0, 1), 6, if(ISBLANK('2025'!$T222), 0, 1), 7, 0))), 1, "")</f>
        <v/>
      </c>
      <c r="T224" s="1" t="str">
        <f>IF(AND(AND(AND(T$4&gt;='2025'!$L222,T$4&lt;='2025'!$M222), T$4&lt;&gt;DATE(2025,7,4)), (SWITCH(weekday(T$4), 1, 0, 2, if(ISBLANK('2025'!$P222), 0, 1), 3, if(ISBLANK('2025'!$Q222), 0, 1), 4, if(ISBLANK('2025'!$R222), 0, 1), 5, if(ISBLANK('2025'!$S222), 0, 1), 6, if(ISBLANK('2025'!$T222), 0, 1), 7, 0))), 1, "")</f>
        <v/>
      </c>
      <c r="U224" s="1" t="str">
        <f>IF(AND(AND(AND(U$4&gt;='2025'!$L222,U$4&lt;='2025'!$M222), U$4&lt;&gt;DATE(2025,7,4)), (SWITCH(weekday(U$4), 1, 0, 2, if(ISBLANK('2025'!$P222), 0, 1), 3, if(ISBLANK('2025'!$Q222), 0, 1), 4, if(ISBLANK('2025'!$R222), 0, 1), 5, if(ISBLANK('2025'!$S222), 0, 1), 6, if(ISBLANK('2025'!$T222), 0, 1), 7, 0))), 1, "")</f>
        <v/>
      </c>
      <c r="V224" s="1" t="str">
        <f>IF(AND(AND(AND(V$4&gt;='2025'!$L222,V$4&lt;='2025'!$M222), V$4&lt;&gt;DATE(2025,7,4)), (SWITCH(weekday(V$4), 1, 0, 2, if(ISBLANK('2025'!$P222), 0, 1), 3, if(ISBLANK('2025'!$Q222), 0, 1), 4, if(ISBLANK('2025'!$R222), 0, 1), 5, if(ISBLANK('2025'!$S222), 0, 1), 6, if(ISBLANK('2025'!$T222), 0, 1), 7, 0))), 1, "")</f>
        <v/>
      </c>
      <c r="W224" s="1" t="str">
        <f>IF(AND(AND(AND(W$4&gt;='2025'!$L222,W$4&lt;='2025'!$M222), W$4&lt;&gt;DATE(2025,7,4)), (SWITCH(weekday(W$4), 1, 0, 2, if(ISBLANK('2025'!$P222), 0, 1), 3, if(ISBLANK('2025'!$Q222), 0, 1), 4, if(ISBLANK('2025'!$R222), 0, 1), 5, if(ISBLANK('2025'!$S222), 0, 1), 6, if(ISBLANK('2025'!$T222), 0, 1), 7, 0))), 1, "")</f>
        <v/>
      </c>
      <c r="X224" s="1" t="str">
        <f>IF(AND(AND(AND(X$4&gt;='2025'!$L222,X$4&lt;='2025'!$M222), X$4&lt;&gt;DATE(2025,7,4)), (SWITCH(weekday(X$4), 1, 0, 2, if(ISBLANK('2025'!$P222), 0, 1), 3, if(ISBLANK('2025'!$Q222), 0, 1), 4, if(ISBLANK('2025'!$R222), 0, 1), 5, if(ISBLANK('2025'!$S222), 0, 1), 6, if(ISBLANK('2025'!$T222), 0, 1), 7, 0))), 1, "")</f>
        <v/>
      </c>
      <c r="Y224" s="1" t="str">
        <f>IF(AND(AND(AND(Y$4&gt;='2025'!$L222,Y$4&lt;='2025'!$M222), Y$4&lt;&gt;DATE(2025,7,4)), (SWITCH(weekday(Y$4), 1, 0, 2, if(ISBLANK('2025'!$P222), 0, 1), 3, if(ISBLANK('2025'!$Q222), 0, 1), 4, if(ISBLANK('2025'!$R222), 0, 1), 5, if(ISBLANK('2025'!$S222), 0, 1), 6, if(ISBLANK('2025'!$T222), 0, 1), 7, 0))), 1, "")</f>
        <v/>
      </c>
      <c r="Z224" s="1" t="str">
        <f>IF(AND(AND(AND(Z$4&gt;='2025'!$L222,Z$4&lt;='2025'!$M222), Z$4&lt;&gt;DATE(2025,7,4)), (SWITCH(weekday(Z$4), 1, 0, 2, if(ISBLANK('2025'!$P222), 0, 1), 3, if(ISBLANK('2025'!$Q222), 0, 1), 4, if(ISBLANK('2025'!$R222), 0, 1), 5, if(ISBLANK('2025'!$S222), 0, 1), 6, if(ISBLANK('2025'!$T222), 0, 1), 7, 0))), 1, "")</f>
        <v/>
      </c>
      <c r="AA224" s="1" t="str">
        <f>IF(AND(AND(AND(AA$4&gt;='2025'!$L222,AA$4&lt;='2025'!$M222), AA$4&lt;&gt;DATE(2025,7,4)), (SWITCH(weekday(AA$4), 1, 0, 2, if(ISBLANK('2025'!$P222), 0, 1), 3, if(ISBLANK('2025'!$Q222), 0, 1), 4, if(ISBLANK('2025'!$R222), 0, 1), 5, if(ISBLANK('2025'!$S222), 0, 1), 6, if(ISBLANK('2025'!$T222), 0, 1), 7, 0))), 1, "")</f>
        <v/>
      </c>
      <c r="AB224" s="1" t="str">
        <f>IF(AND(AND(AND(AB$4&gt;='2025'!$L222,AB$4&lt;='2025'!$M222), AB$4&lt;&gt;DATE(2025,7,4)), (SWITCH(weekday(AB$4), 1, 0, 2, if(ISBLANK('2025'!$P222), 0, 1), 3, if(ISBLANK('2025'!$Q222), 0, 1), 4, if(ISBLANK('2025'!$R222), 0, 1), 5, if(ISBLANK('2025'!$S222), 0, 1), 6, if(ISBLANK('2025'!$T222), 0, 1), 7, 0))), 1, "")</f>
        <v/>
      </c>
      <c r="AC224" s="1" t="str">
        <f>IF(AND(AND(AND(AC$4&gt;='2025'!$L222,AC$4&lt;='2025'!$M222), AC$4&lt;&gt;DATE(2025,7,4)), (SWITCH(weekday(AC$4), 1, 0, 2, if(ISBLANK('2025'!$P222), 0, 1), 3, if(ISBLANK('2025'!$Q222), 0, 1), 4, if(ISBLANK('2025'!$R222), 0, 1), 5, if(ISBLANK('2025'!$S222), 0, 1), 6, if(ISBLANK('2025'!$T222), 0, 1), 7, 0))), 1, "")</f>
        <v/>
      </c>
      <c r="AD224" s="1" t="str">
        <f>IF(AND(AND(AND(AD$4&gt;='2025'!$L222,AD$4&lt;='2025'!$M222), AD$4&lt;&gt;DATE(2025,7,4)), (SWITCH(weekday(AD$4), 1, 0, 2, if(ISBLANK('2025'!$P222), 0, 1), 3, if(ISBLANK('2025'!$Q222), 0, 1), 4, if(ISBLANK('2025'!$R222), 0, 1), 5, if(ISBLANK('2025'!$S222), 0, 1), 6, if(ISBLANK('2025'!$T222), 0, 1), 7, 0))), 1, "")</f>
        <v/>
      </c>
      <c r="AE224" s="1" t="str">
        <f>IF(AND(AND(AND(AE$4&gt;='2025'!$L222,AE$4&lt;='2025'!$M222), AE$4&lt;&gt;DATE(2025,7,4)), (SWITCH(weekday(AE$4), 1, 0, 2, if(ISBLANK('2025'!$P222), 0, 1), 3, if(ISBLANK('2025'!$Q222), 0, 1), 4, if(ISBLANK('2025'!$R222), 0, 1), 5, if(ISBLANK('2025'!$S222), 0, 1), 6, if(ISBLANK('2025'!$T222), 0, 1), 7, 0))), 1, "")</f>
        <v/>
      </c>
      <c r="AF224" s="1" t="str">
        <f>IF(AND(AND(AND(AF$4&gt;='2025'!$L222,AF$4&lt;='2025'!$M222), AF$4&lt;&gt;DATE(2025,7,4)), (SWITCH(weekday(AF$4), 1, 0, 2, if(ISBLANK('2025'!$P222), 0, 1), 3, if(ISBLANK('2025'!$Q222), 0, 1), 4, if(ISBLANK('2025'!$R222), 0, 1), 5, if(ISBLANK('2025'!$S222), 0, 1), 6, if(ISBLANK('2025'!$T222), 0, 1), 7, 0))), 1, "")</f>
        <v/>
      </c>
      <c r="AG224" s="1" t="str">
        <f>IF(AND(AND(AND(AG$4&gt;='2025'!$L222,AG$4&lt;='2025'!$M222), AG$4&lt;&gt;DATE(2025,7,4)), (SWITCH(weekday(AG$4), 1, 0, 2, if(ISBLANK('2025'!$P222), 0, 1), 3, if(ISBLANK('2025'!$Q222), 0, 1), 4, if(ISBLANK('2025'!$R222), 0, 1), 5, if(ISBLANK('2025'!$S222), 0, 1), 6, if(ISBLANK('2025'!$T222), 0, 1), 7, 0))), 1, "")</f>
        <v/>
      </c>
      <c r="AH224" s="1" t="str">
        <f>IF(AND(AND(AND(AH$4&gt;='2025'!$L222,AH$4&lt;='2025'!$M222), AH$4&lt;&gt;DATE(2025,7,4)), (SWITCH(weekday(AH$4), 1, 0, 2, if(ISBLANK('2025'!$P222), 0, 1), 3, if(ISBLANK('2025'!$Q222), 0, 1), 4, if(ISBLANK('2025'!$R222), 0, 1), 5, if(ISBLANK('2025'!$S222), 0, 1), 6, if(ISBLANK('2025'!$T222), 0, 1), 7, 0))), 1, "")</f>
        <v/>
      </c>
      <c r="AI224" s="1" t="str">
        <f>IF(AND(AND(AND(AI$4&gt;='2025'!$L222,AI$4&lt;='2025'!$M222), AI$4&lt;&gt;DATE(2025,7,4)), (SWITCH(weekday(AI$4), 1, 0, 2, if(ISBLANK('2025'!$P222), 0, 1), 3, if(ISBLANK('2025'!$Q222), 0, 1), 4, if(ISBLANK('2025'!$R222), 0, 1), 5, if(ISBLANK('2025'!$S222), 0, 1), 6, if(ISBLANK('2025'!$T222), 0, 1), 7, 0))), 1, "")</f>
        <v/>
      </c>
      <c r="AJ224" s="1" t="str">
        <f>IF(AND(AND(AND(AJ$4&gt;='2025'!$L222,AJ$4&lt;='2025'!$M222), AJ$4&lt;&gt;DATE(2025,7,4)), (SWITCH(weekday(AJ$4), 1, 0, 2, if(ISBLANK('2025'!$P222), 0, 1), 3, if(ISBLANK('2025'!$Q222), 0, 1), 4, if(ISBLANK('2025'!$R222), 0, 1), 5, if(ISBLANK('2025'!$S222), 0, 1), 6, if(ISBLANK('2025'!$T222), 0, 1), 7, 0))), 1, "")</f>
        <v/>
      </c>
      <c r="AK224" s="1" t="str">
        <f>IF(AND(AND(AND(AK$4&gt;='2025'!$L222,AK$4&lt;='2025'!$M222), AK$4&lt;&gt;DATE(2025,7,4)), (SWITCH(weekday(AK$4), 1, 0, 2, if(ISBLANK('2025'!$P222), 0, 1), 3, if(ISBLANK('2025'!$Q222), 0, 1), 4, if(ISBLANK('2025'!$R222), 0, 1), 5, if(ISBLANK('2025'!$S222), 0, 1), 6, if(ISBLANK('2025'!$T222), 0, 1), 7, 0))), 1, "")</f>
        <v/>
      </c>
      <c r="AL224" s="1" t="str">
        <f>IF(AND(AND(AND(AL$4&gt;='2025'!$L222,AL$4&lt;='2025'!$M222), AL$4&lt;&gt;DATE(2025,7,4)), (SWITCH(weekday(AL$4), 1, 0, 2, if(ISBLANK('2025'!$P222), 0, 1), 3, if(ISBLANK('2025'!$Q222), 0, 1), 4, if(ISBLANK('2025'!$R222), 0, 1), 5, if(ISBLANK('2025'!$S222), 0, 1), 6, if(ISBLANK('2025'!$T222), 0, 1), 7, 0))), 1, "")</f>
        <v/>
      </c>
      <c r="AM224" s="1" t="str">
        <f>IF(AND(AND(AND(AM$4&gt;='2025'!$L222,AM$4&lt;='2025'!$M222), AM$4&lt;&gt;DATE(2025,7,4)), (SWITCH(weekday(AM$4), 1, 0, 2, if(ISBLANK('2025'!$P222), 0, 1), 3, if(ISBLANK('2025'!$Q222), 0, 1), 4, if(ISBLANK('2025'!$R222), 0, 1), 5, if(ISBLANK('2025'!$S222), 0, 1), 6, if(ISBLANK('2025'!$T222), 0, 1), 7, 0))), 1, "")</f>
        <v/>
      </c>
      <c r="AN224" s="1" t="str">
        <f>IF(AND(AND(AND(AN$4&gt;='2025'!$L222,AN$4&lt;='2025'!$M222), AN$4&lt;&gt;DATE(2025,7,4)), (SWITCH(weekday(AN$4), 1, 0, 2, if(ISBLANK('2025'!$P222), 0, 1), 3, if(ISBLANK('2025'!$Q222), 0, 1), 4, if(ISBLANK('2025'!$R222), 0, 1), 5, if(ISBLANK('2025'!$S222), 0, 1), 6, if(ISBLANK('2025'!$T222), 0, 1), 7, 0))), 1, "")</f>
        <v/>
      </c>
      <c r="AO224" s="1" t="str">
        <f>IF(AND(AND(AND(AO$4&gt;='2025'!$L222,AO$4&lt;='2025'!$M222), AO$4&lt;&gt;DATE(2025,7,4)), (SWITCH(weekday(AO$4), 1, 0, 2, if(ISBLANK('2025'!$P222), 0, 1), 3, if(ISBLANK('2025'!$Q222), 0, 1), 4, if(ISBLANK('2025'!$R222), 0, 1), 5, if(ISBLANK('2025'!$S222), 0, 1), 6, if(ISBLANK('2025'!$T222), 0, 1), 7, 0))), 1, "")</f>
        <v/>
      </c>
      <c r="AP224" s="1" t="str">
        <f>IF(AND(AND(AND(AP$4&gt;='2025'!$L222,AP$4&lt;='2025'!$M222), AP$4&lt;&gt;DATE(2025,7,4)), (SWITCH(weekday(AP$4), 1, 0, 2, if(ISBLANK('2025'!$P222), 0, 1), 3, if(ISBLANK('2025'!$Q222), 0, 1), 4, if(ISBLANK('2025'!$R222), 0, 1), 5, if(ISBLANK('2025'!$S222), 0, 1), 6, if(ISBLANK('2025'!$T222), 0, 1), 7, 0))), 1, "")</f>
        <v/>
      </c>
      <c r="AQ224" s="1" t="str">
        <f>IF(AND(AND(AND(AQ$4&gt;='2025'!$L222,AQ$4&lt;='2025'!$M222), AQ$4&lt;&gt;DATE(2025,7,4)), (SWITCH(weekday(AQ$4), 1, 0, 2, if(ISBLANK('2025'!$P222), 0, 1), 3, if(ISBLANK('2025'!$Q222), 0, 1), 4, if(ISBLANK('2025'!$R222), 0, 1), 5, if(ISBLANK('2025'!$S222), 0, 1), 6, if(ISBLANK('2025'!$T222), 0, 1), 7, 0))), 1, "")</f>
        <v/>
      </c>
      <c r="AR224" s="1" t="str">
        <f>IF(AND(AND(AND(AR$4&gt;='2025'!$L222,AR$4&lt;='2025'!$M222), AR$4&lt;&gt;DATE(2025,7,4)), (SWITCH(weekday(AR$4), 1, 0, 2, if(ISBLANK('2025'!$P222), 0, 1), 3, if(ISBLANK('2025'!$Q222), 0, 1), 4, if(ISBLANK('2025'!$R222), 0, 1), 5, if(ISBLANK('2025'!$S222), 0, 1), 6, if(ISBLANK('2025'!$T222), 0, 1), 7, 0))), 1, "")</f>
        <v/>
      </c>
      <c r="AS224" s="1" t="str">
        <f>IF(AND(AND(AND(AS$4&gt;='2025'!$L222,AS$4&lt;='2025'!$M222), AS$4&lt;&gt;DATE(2025,7,4)), (SWITCH(weekday(AS$4), 1, 0, 2, if(ISBLANK('2025'!$P222), 0, 1), 3, if(ISBLANK('2025'!$Q222), 0, 1), 4, if(ISBLANK('2025'!$R222), 0, 1), 5, if(ISBLANK('2025'!$S222), 0, 1), 6, if(ISBLANK('2025'!$T222), 0, 1), 7, 0))), 1, "")</f>
        <v/>
      </c>
      <c r="AT224" s="1" t="str">
        <f>IF(AND(AND(AND(AT$4&gt;='2025'!$L222,AT$4&lt;='2025'!$M222), AT$4&lt;&gt;DATE(2025,7,4)), (SWITCH(weekday(AT$4), 1, 0, 2, if(ISBLANK('2025'!$P222), 0, 1), 3, if(ISBLANK('2025'!$Q222), 0, 1), 4, if(ISBLANK('2025'!$R222), 0, 1), 5, if(ISBLANK('2025'!$S222), 0, 1), 6, if(ISBLANK('2025'!$T222), 0, 1), 7, 0))), 1, "")</f>
        <v/>
      </c>
      <c r="AU224" s="1" t="str">
        <f>IF(AND(AND(AND(AU$4&gt;='2025'!$L222,AU$4&lt;='2025'!$M222), AU$4&lt;&gt;DATE(2025,7,4)), (SWITCH(weekday(AU$4), 1, 0, 2, if(ISBLANK('2025'!$P222), 0, 1), 3, if(ISBLANK('2025'!$Q222), 0, 1), 4, if(ISBLANK('2025'!$R222), 0, 1), 5, if(ISBLANK('2025'!$S222), 0, 1), 6, if(ISBLANK('2025'!$T222), 0, 1), 7, 0))), 1, "")</f>
        <v/>
      </c>
      <c r="AV224" s="1" t="str">
        <f>IF(AND(AND(AND(AV$4&gt;='2025'!$L222,AV$4&lt;='2025'!$M222), AV$4&lt;&gt;DATE(2025,7,4)), (SWITCH(weekday(AV$4), 1, 0, 2, if(ISBLANK('2025'!$P222), 0, 1), 3, if(ISBLANK('2025'!$Q222), 0, 1), 4, if(ISBLANK('2025'!$R222), 0, 1), 5, if(ISBLANK('2025'!$S222), 0, 1), 6, if(ISBLANK('2025'!$T222), 0, 1), 7, 0))), 1, "")</f>
        <v/>
      </c>
      <c r="AW224" s="1" t="str">
        <f>IF(AND(AND(AND(AW$4&gt;='2025'!$L222,AW$4&lt;='2025'!$M222), AW$4&lt;&gt;DATE(2025,7,4)), (SWITCH(weekday(AW$4), 1, 0, 2, if(ISBLANK('2025'!$P222), 0, 1), 3, if(ISBLANK('2025'!$Q222), 0, 1), 4, if(ISBLANK('2025'!$R222), 0, 1), 5, if(ISBLANK('2025'!$S222), 0, 1), 6, if(ISBLANK('2025'!$T222), 0, 1), 7, 0))), 1, "")</f>
        <v/>
      </c>
      <c r="AX224" s="1" t="str">
        <f>IF(AND(AND(AND(AX$4&gt;='2025'!$L222,AX$4&lt;='2025'!$M222), AX$4&lt;&gt;DATE(2025,7,4)), (SWITCH(weekday(AX$4), 1, 0, 2, if(ISBLANK('2025'!$P222), 0, 1), 3, if(ISBLANK('2025'!$Q222), 0, 1), 4, if(ISBLANK('2025'!$R222), 0, 1), 5, if(ISBLANK('2025'!$S222), 0, 1), 6, if(ISBLANK('2025'!$T222), 0, 1), 7, 0))), 1, "")</f>
        <v/>
      </c>
      <c r="AY224" s="1" t="str">
        <f>IF(AND(AND(AND(AY$4&gt;='2025'!$L222,AY$4&lt;='2025'!$M222), AY$4&lt;&gt;DATE(2025,7,4)), (SWITCH(weekday(AY$4), 1, 0, 2, if(ISBLANK('2025'!$P222), 0, 1), 3, if(ISBLANK('2025'!$Q222), 0, 1), 4, if(ISBLANK('2025'!$R222), 0, 1), 5, if(ISBLANK('2025'!$S222), 0, 1), 6, if(ISBLANK('2025'!$T222), 0, 1), 7, 0))), 1, "")</f>
        <v/>
      </c>
      <c r="AZ224" s="1" t="str">
        <f>IF(AND(AND(AND(AZ$4&gt;='2025'!$L222,AZ$4&lt;='2025'!$M222), AZ$4&lt;&gt;DATE(2025,7,4)), (SWITCH(weekday(AZ$4), 1, 0, 2, if(ISBLANK('2025'!$P222), 0, 1), 3, if(ISBLANK('2025'!$Q222), 0, 1), 4, if(ISBLANK('2025'!$R222), 0, 1), 5, if(ISBLANK('2025'!$S222), 0, 1), 6, if(ISBLANK('2025'!$T222), 0, 1), 7, 0))), 1, "")</f>
        <v/>
      </c>
      <c r="BA224" s="1" t="str">
        <f>IF(AND(AND(AND(BA$4&gt;='2025'!$L222,BA$4&lt;='2025'!$M222), BA$4&lt;&gt;DATE(2025,7,4)), (SWITCH(weekday(BA$4), 1, 0, 2, if(ISBLANK('2025'!$P222), 0, 1), 3, if(ISBLANK('2025'!$Q222), 0, 1), 4, if(ISBLANK('2025'!$R222), 0, 1), 5, if(ISBLANK('2025'!$S222), 0, 1), 6, if(ISBLANK('2025'!$T222), 0, 1), 7, 0))), 1, "")</f>
        <v/>
      </c>
      <c r="BB224" s="1" t="str">
        <f>IF(AND(AND(AND(BB$4&gt;='2025'!$L222,BB$4&lt;='2025'!$M222), BB$4&lt;&gt;DATE(2025,7,4)), (SWITCH(weekday(BB$4), 1, 0, 2, if(ISBLANK('2025'!$P222), 0, 1), 3, if(ISBLANK('2025'!$Q222), 0, 1), 4, if(ISBLANK('2025'!$R222), 0, 1), 5, if(ISBLANK('2025'!$S222), 0, 1), 6, if(ISBLANK('2025'!$T222), 0, 1), 7, 0))), 1, "")</f>
        <v/>
      </c>
      <c r="BC224" s="1" t="str">
        <f>IF(AND(AND(AND(BC$4&gt;='2025'!$L222,BC$4&lt;='2025'!$M222), BC$4&lt;&gt;DATE(2025,7,4)), (SWITCH(weekday(BC$4), 1, 0, 2, if(ISBLANK('2025'!$P222), 0, 1), 3, if(ISBLANK('2025'!$Q222), 0, 1), 4, if(ISBLANK('2025'!$R222), 0, 1), 5, if(ISBLANK('2025'!$S222), 0, 1), 6, if(ISBLANK('2025'!$T222), 0, 1), 7, 0))), 1, "")</f>
        <v/>
      </c>
      <c r="BD224" s="1" t="str">
        <f>IF(AND(AND(AND(BD$4&gt;='2025'!$L222,BD$4&lt;='2025'!$M222), BD$4&lt;&gt;DATE(2025,7,4)), (SWITCH(weekday(BD$4), 1, 0, 2, if(ISBLANK('2025'!$P222), 0, 1), 3, if(ISBLANK('2025'!$Q222), 0, 1), 4, if(ISBLANK('2025'!$R222), 0, 1), 5, if(ISBLANK('2025'!$S222), 0, 1), 6, if(ISBLANK('2025'!$T222), 0, 1), 7, 0))), 1, "")</f>
        <v/>
      </c>
      <c r="BE224" s="1" t="str">
        <f>IF(AND(AND(AND(BE$4&gt;='2025'!$L222,BE$4&lt;='2025'!$M222), BE$4&lt;&gt;DATE(2025,7,4)), (SWITCH(weekday(BE$4), 1, 0, 2, if(ISBLANK('2025'!$P222), 0, 1), 3, if(ISBLANK('2025'!$Q222), 0, 1), 4, if(ISBLANK('2025'!$R222), 0, 1), 5, if(ISBLANK('2025'!$S222), 0, 1), 6, if(ISBLANK('2025'!$T222), 0, 1), 7, 0))), 1, "")</f>
        <v/>
      </c>
      <c r="BF224" s="1" t="str">
        <f>IF(AND(AND(AND(BF$4&gt;='2025'!$L222,BF$4&lt;='2025'!$M222), BF$4&lt;&gt;DATE(2025,7,4)), (SWITCH(weekday(BF$4), 1, 0, 2, if(ISBLANK('2025'!$P222), 0, 1), 3, if(ISBLANK('2025'!$Q222), 0, 1), 4, if(ISBLANK('2025'!$R222), 0, 1), 5, if(ISBLANK('2025'!$S222), 0, 1), 6, if(ISBLANK('2025'!$T222), 0, 1), 7, 0))), 1, "")</f>
        <v/>
      </c>
      <c r="BG224" s="1"/>
      <c r="BH224" s="1"/>
      <c r="BI224" s="1"/>
      <c r="BJ224" s="1"/>
      <c r="BK224" s="1"/>
      <c r="BL224" s="1"/>
    </row>
    <row r="225">
      <c r="A225" s="1">
        <f t="shared" si="3"/>
        <v>225</v>
      </c>
      <c r="B225" s="1" t="str">
        <f>'2025'!D189</f>
        <v>, </v>
      </c>
      <c r="C225" s="1" t="str">
        <f>'2025'!H189</f>
        <v/>
      </c>
      <c r="D225" s="1" t="str">
        <f>IF(AND(AND(AND(D$4&gt;='2025'!$L223,D$4&lt;='2025'!$M223), D$4&lt;&gt;DATE(2025,7,4)), (SWITCH(weekday(D$4), 1, 0, 2, if(ISBLANK('2025'!$P223), 0, 1), 3, if(ISBLANK('2025'!$Q223), 0, 1), 4, if(ISBLANK('2025'!$R223), 0, 1), 5, if(ISBLANK('2025'!$S223), 0, 1), 6, if(ISBLANK('2025'!$T223), 0, 1), 7, 0))), 1, "")</f>
        <v/>
      </c>
      <c r="E225" s="1" t="str">
        <f>IF(AND(AND(AND(E$4&gt;='2025'!$L223,E$4&lt;='2025'!$M223), E$4&lt;&gt;DATE(2025,7,4)), (SWITCH(weekday(E$4), 1, 0, 2, if(ISBLANK('2025'!$P223), 0, 1), 3, if(ISBLANK('2025'!$Q223), 0, 1), 4, if(ISBLANK('2025'!$R223), 0, 1), 5, if(ISBLANK('2025'!$S223), 0, 1), 6, if(ISBLANK('2025'!$T223), 0, 1), 7, 0))), 1, "")</f>
        <v/>
      </c>
      <c r="F225" s="1" t="str">
        <f>IF(AND(AND(AND(F$4&gt;='2025'!$L223,F$4&lt;='2025'!$M223), F$4&lt;&gt;DATE(2025,7,4)), (SWITCH(weekday(F$4), 1, 0, 2, if(ISBLANK('2025'!$P223), 0, 1), 3, if(ISBLANK('2025'!$Q223), 0, 1), 4, if(ISBLANK('2025'!$R223), 0, 1), 5, if(ISBLANK('2025'!$S223), 0, 1), 6, if(ISBLANK('2025'!$T223), 0, 1), 7, 0))), 1, "")</f>
        <v/>
      </c>
      <c r="G225" s="1" t="str">
        <f>IF(AND(AND(AND(G$4&gt;='2025'!$L223,G$4&lt;='2025'!$M223), G$4&lt;&gt;DATE(2025,7,4)), (SWITCH(weekday(G$4), 1, 0, 2, if(ISBLANK('2025'!$P223), 0, 1), 3, if(ISBLANK('2025'!$Q223), 0, 1), 4, if(ISBLANK('2025'!$R223), 0, 1), 5, if(ISBLANK('2025'!$S223), 0, 1), 6, if(ISBLANK('2025'!$T223), 0, 1), 7, 0))), 1, "")</f>
        <v/>
      </c>
      <c r="H225" s="1" t="str">
        <f>IF(AND(AND(AND(H$4&gt;='2025'!$L223,H$4&lt;='2025'!$M223), H$4&lt;&gt;DATE(2025,7,4)), (SWITCH(weekday(H$4), 1, 0, 2, if(ISBLANK('2025'!$P223), 0, 1), 3, if(ISBLANK('2025'!$Q223), 0, 1), 4, if(ISBLANK('2025'!$R223), 0, 1), 5, if(ISBLANK('2025'!$S223), 0, 1), 6, if(ISBLANK('2025'!$T223), 0, 1), 7, 0))), 1, "")</f>
        <v/>
      </c>
      <c r="I225" s="1" t="str">
        <f>IF(AND(AND(AND(I$4&gt;='2025'!$L223,I$4&lt;='2025'!$M223), I$4&lt;&gt;DATE(2025,7,4)), (SWITCH(weekday(I$4), 1, 0, 2, if(ISBLANK('2025'!$P223), 0, 1), 3, if(ISBLANK('2025'!$Q223), 0, 1), 4, if(ISBLANK('2025'!$R223), 0, 1), 5, if(ISBLANK('2025'!$S223), 0, 1), 6, if(ISBLANK('2025'!$T223), 0, 1), 7, 0))), 1, "")</f>
        <v/>
      </c>
      <c r="J225" s="1" t="str">
        <f>IF(AND(AND(AND(J$4&gt;='2025'!$L223,J$4&lt;='2025'!$M223), J$4&lt;&gt;DATE(2025,7,4)), (SWITCH(weekday(J$4), 1, 0, 2, if(ISBLANK('2025'!$P223), 0, 1), 3, if(ISBLANK('2025'!$Q223), 0, 1), 4, if(ISBLANK('2025'!$R223), 0, 1), 5, if(ISBLANK('2025'!$S223), 0, 1), 6, if(ISBLANK('2025'!$T223), 0, 1), 7, 0))), 1, "")</f>
        <v/>
      </c>
      <c r="K225" s="1" t="str">
        <f>IF(AND(AND(AND(K$4&gt;='2025'!$L223,K$4&lt;='2025'!$M223), K$4&lt;&gt;DATE(2025,7,4)), (SWITCH(weekday(K$4), 1, 0, 2, if(ISBLANK('2025'!$P223), 0, 1), 3, if(ISBLANK('2025'!$Q223), 0, 1), 4, if(ISBLANK('2025'!$R223), 0, 1), 5, if(ISBLANK('2025'!$S223), 0, 1), 6, if(ISBLANK('2025'!$T223), 0, 1), 7, 0))), 1, "")</f>
        <v/>
      </c>
      <c r="L225" s="1" t="str">
        <f>IF(AND(AND(AND(L$4&gt;='2025'!$L223,L$4&lt;='2025'!$M223), L$4&lt;&gt;DATE(2025,7,4)), (SWITCH(weekday(L$4), 1, 0, 2, if(ISBLANK('2025'!$P223), 0, 1), 3, if(ISBLANK('2025'!$Q223), 0, 1), 4, if(ISBLANK('2025'!$R223), 0, 1), 5, if(ISBLANK('2025'!$S223), 0, 1), 6, if(ISBLANK('2025'!$T223), 0, 1), 7, 0))), 1, "")</f>
        <v/>
      </c>
      <c r="M225" s="1" t="str">
        <f>IF(AND(AND(AND(M$4&gt;='2025'!$L223,M$4&lt;='2025'!$M223), M$4&lt;&gt;DATE(2025,7,4)), (SWITCH(weekday(M$4), 1, 0, 2, if(ISBLANK('2025'!$P223), 0, 1), 3, if(ISBLANK('2025'!$Q223), 0, 1), 4, if(ISBLANK('2025'!$R223), 0, 1), 5, if(ISBLANK('2025'!$S223), 0, 1), 6, if(ISBLANK('2025'!$T223), 0, 1), 7, 0))), 1, "")</f>
        <v/>
      </c>
      <c r="N225" s="1" t="str">
        <f>IF(AND(AND(AND(N$4&gt;='2025'!$L223,N$4&lt;='2025'!$M223), N$4&lt;&gt;DATE(2025,7,4)), (SWITCH(weekday(N$4), 1, 0, 2, if(ISBLANK('2025'!$P223), 0, 1), 3, if(ISBLANK('2025'!$Q223), 0, 1), 4, if(ISBLANK('2025'!$R223), 0, 1), 5, if(ISBLANK('2025'!$S223), 0, 1), 6, if(ISBLANK('2025'!$T223), 0, 1), 7, 0))), 1, "")</f>
        <v/>
      </c>
      <c r="O225" s="1" t="str">
        <f>IF(AND(AND(AND(O$4&gt;='2025'!$L223,O$4&lt;='2025'!$M223), O$4&lt;&gt;DATE(2025,7,4)), (SWITCH(weekday(O$4), 1, 0, 2, if(ISBLANK('2025'!$P223), 0, 1), 3, if(ISBLANK('2025'!$Q223), 0, 1), 4, if(ISBLANK('2025'!$R223), 0, 1), 5, if(ISBLANK('2025'!$S223), 0, 1), 6, if(ISBLANK('2025'!$T223), 0, 1), 7, 0))), 1, "")</f>
        <v/>
      </c>
      <c r="P225" s="1" t="str">
        <f>IF(AND(AND(AND(P$4&gt;='2025'!$L223,P$4&lt;='2025'!$M223), P$4&lt;&gt;DATE(2025,7,4)), (SWITCH(weekday(P$4), 1, 0, 2, if(ISBLANK('2025'!$P223), 0, 1), 3, if(ISBLANK('2025'!$Q223), 0, 1), 4, if(ISBLANK('2025'!$R223), 0, 1), 5, if(ISBLANK('2025'!$S223), 0, 1), 6, if(ISBLANK('2025'!$T223), 0, 1), 7, 0))), 1, "")</f>
        <v/>
      </c>
      <c r="Q225" s="1" t="str">
        <f>IF(AND(AND(AND(Q$4&gt;='2025'!$L223,Q$4&lt;='2025'!$M223), Q$4&lt;&gt;DATE(2025,7,4)), (SWITCH(weekday(Q$4), 1, 0, 2, if(ISBLANK('2025'!$P223), 0, 1), 3, if(ISBLANK('2025'!$Q223), 0, 1), 4, if(ISBLANK('2025'!$R223), 0, 1), 5, if(ISBLANK('2025'!$S223), 0, 1), 6, if(ISBLANK('2025'!$T223), 0, 1), 7, 0))), 1, "")</f>
        <v/>
      </c>
      <c r="R225" s="1" t="str">
        <f>IF(AND(AND(AND(R$4&gt;='2025'!$L223,R$4&lt;='2025'!$M223), R$4&lt;&gt;DATE(2025,7,4)), (SWITCH(weekday(R$4), 1, 0, 2, if(ISBLANK('2025'!$P223), 0, 1), 3, if(ISBLANK('2025'!$Q223), 0, 1), 4, if(ISBLANK('2025'!$R223), 0, 1), 5, if(ISBLANK('2025'!$S223), 0, 1), 6, if(ISBLANK('2025'!$T223), 0, 1), 7, 0))), 1, "")</f>
        <v/>
      </c>
      <c r="S225" s="1" t="str">
        <f>IF(AND(AND(AND(S$4&gt;='2025'!$L223,S$4&lt;='2025'!$M223), S$4&lt;&gt;DATE(2025,7,4)), (SWITCH(weekday(S$4), 1, 0, 2, if(ISBLANK('2025'!$P223), 0, 1), 3, if(ISBLANK('2025'!$Q223), 0, 1), 4, if(ISBLANK('2025'!$R223), 0, 1), 5, if(ISBLANK('2025'!$S223), 0, 1), 6, if(ISBLANK('2025'!$T223), 0, 1), 7, 0))), 1, "")</f>
        <v/>
      </c>
      <c r="T225" s="1" t="str">
        <f>IF(AND(AND(AND(T$4&gt;='2025'!$L223,T$4&lt;='2025'!$M223), T$4&lt;&gt;DATE(2025,7,4)), (SWITCH(weekday(T$4), 1, 0, 2, if(ISBLANK('2025'!$P223), 0, 1), 3, if(ISBLANK('2025'!$Q223), 0, 1), 4, if(ISBLANK('2025'!$R223), 0, 1), 5, if(ISBLANK('2025'!$S223), 0, 1), 6, if(ISBLANK('2025'!$T223), 0, 1), 7, 0))), 1, "")</f>
        <v/>
      </c>
      <c r="U225" s="1" t="str">
        <f>IF(AND(AND(AND(U$4&gt;='2025'!$L223,U$4&lt;='2025'!$M223), U$4&lt;&gt;DATE(2025,7,4)), (SWITCH(weekday(U$4), 1, 0, 2, if(ISBLANK('2025'!$P223), 0, 1), 3, if(ISBLANK('2025'!$Q223), 0, 1), 4, if(ISBLANK('2025'!$R223), 0, 1), 5, if(ISBLANK('2025'!$S223), 0, 1), 6, if(ISBLANK('2025'!$T223), 0, 1), 7, 0))), 1, "")</f>
        <v/>
      </c>
      <c r="V225" s="1" t="str">
        <f>IF(AND(AND(AND(V$4&gt;='2025'!$L223,V$4&lt;='2025'!$M223), V$4&lt;&gt;DATE(2025,7,4)), (SWITCH(weekday(V$4), 1, 0, 2, if(ISBLANK('2025'!$P223), 0, 1), 3, if(ISBLANK('2025'!$Q223), 0, 1), 4, if(ISBLANK('2025'!$R223), 0, 1), 5, if(ISBLANK('2025'!$S223), 0, 1), 6, if(ISBLANK('2025'!$T223), 0, 1), 7, 0))), 1, "")</f>
        <v/>
      </c>
      <c r="W225" s="1" t="str">
        <f>IF(AND(AND(AND(W$4&gt;='2025'!$L223,W$4&lt;='2025'!$M223), W$4&lt;&gt;DATE(2025,7,4)), (SWITCH(weekday(W$4), 1, 0, 2, if(ISBLANK('2025'!$P223), 0, 1), 3, if(ISBLANK('2025'!$Q223), 0, 1), 4, if(ISBLANK('2025'!$R223), 0, 1), 5, if(ISBLANK('2025'!$S223), 0, 1), 6, if(ISBLANK('2025'!$T223), 0, 1), 7, 0))), 1, "")</f>
        <v/>
      </c>
      <c r="X225" s="1" t="str">
        <f>IF(AND(AND(AND(X$4&gt;='2025'!$L223,X$4&lt;='2025'!$M223), X$4&lt;&gt;DATE(2025,7,4)), (SWITCH(weekday(X$4), 1, 0, 2, if(ISBLANK('2025'!$P223), 0, 1), 3, if(ISBLANK('2025'!$Q223), 0, 1), 4, if(ISBLANK('2025'!$R223), 0, 1), 5, if(ISBLANK('2025'!$S223), 0, 1), 6, if(ISBLANK('2025'!$T223), 0, 1), 7, 0))), 1, "")</f>
        <v/>
      </c>
      <c r="Y225" s="1" t="str">
        <f>IF(AND(AND(AND(Y$4&gt;='2025'!$L223,Y$4&lt;='2025'!$M223), Y$4&lt;&gt;DATE(2025,7,4)), (SWITCH(weekday(Y$4), 1, 0, 2, if(ISBLANK('2025'!$P223), 0, 1), 3, if(ISBLANK('2025'!$Q223), 0, 1), 4, if(ISBLANK('2025'!$R223), 0, 1), 5, if(ISBLANK('2025'!$S223), 0, 1), 6, if(ISBLANK('2025'!$T223), 0, 1), 7, 0))), 1, "")</f>
        <v/>
      </c>
      <c r="Z225" s="1" t="str">
        <f>IF(AND(AND(AND(Z$4&gt;='2025'!$L223,Z$4&lt;='2025'!$M223), Z$4&lt;&gt;DATE(2025,7,4)), (SWITCH(weekday(Z$4), 1, 0, 2, if(ISBLANK('2025'!$P223), 0, 1), 3, if(ISBLANK('2025'!$Q223), 0, 1), 4, if(ISBLANK('2025'!$R223), 0, 1), 5, if(ISBLANK('2025'!$S223), 0, 1), 6, if(ISBLANK('2025'!$T223), 0, 1), 7, 0))), 1, "")</f>
        <v/>
      </c>
      <c r="AA225" s="1" t="str">
        <f>IF(AND(AND(AND(AA$4&gt;='2025'!$L223,AA$4&lt;='2025'!$M223), AA$4&lt;&gt;DATE(2025,7,4)), (SWITCH(weekday(AA$4), 1, 0, 2, if(ISBLANK('2025'!$P223), 0, 1), 3, if(ISBLANK('2025'!$Q223), 0, 1), 4, if(ISBLANK('2025'!$R223), 0, 1), 5, if(ISBLANK('2025'!$S223), 0, 1), 6, if(ISBLANK('2025'!$T223), 0, 1), 7, 0))), 1, "")</f>
        <v/>
      </c>
      <c r="AB225" s="1" t="str">
        <f>IF(AND(AND(AND(AB$4&gt;='2025'!$L223,AB$4&lt;='2025'!$M223), AB$4&lt;&gt;DATE(2025,7,4)), (SWITCH(weekday(AB$4), 1, 0, 2, if(ISBLANK('2025'!$P223), 0, 1), 3, if(ISBLANK('2025'!$Q223), 0, 1), 4, if(ISBLANK('2025'!$R223), 0, 1), 5, if(ISBLANK('2025'!$S223), 0, 1), 6, if(ISBLANK('2025'!$T223), 0, 1), 7, 0))), 1, "")</f>
        <v/>
      </c>
      <c r="AC225" s="1" t="str">
        <f>IF(AND(AND(AND(AC$4&gt;='2025'!$L223,AC$4&lt;='2025'!$M223), AC$4&lt;&gt;DATE(2025,7,4)), (SWITCH(weekday(AC$4), 1, 0, 2, if(ISBLANK('2025'!$P223), 0, 1), 3, if(ISBLANK('2025'!$Q223), 0, 1), 4, if(ISBLANK('2025'!$R223), 0, 1), 5, if(ISBLANK('2025'!$S223), 0, 1), 6, if(ISBLANK('2025'!$T223), 0, 1), 7, 0))), 1, "")</f>
        <v/>
      </c>
      <c r="AD225" s="1" t="str">
        <f>IF(AND(AND(AND(AD$4&gt;='2025'!$L223,AD$4&lt;='2025'!$M223), AD$4&lt;&gt;DATE(2025,7,4)), (SWITCH(weekday(AD$4), 1, 0, 2, if(ISBLANK('2025'!$P223), 0, 1), 3, if(ISBLANK('2025'!$Q223), 0, 1), 4, if(ISBLANK('2025'!$R223), 0, 1), 5, if(ISBLANK('2025'!$S223), 0, 1), 6, if(ISBLANK('2025'!$T223), 0, 1), 7, 0))), 1, "")</f>
        <v/>
      </c>
      <c r="AE225" s="1" t="str">
        <f>IF(AND(AND(AND(AE$4&gt;='2025'!$L223,AE$4&lt;='2025'!$M223), AE$4&lt;&gt;DATE(2025,7,4)), (SWITCH(weekday(AE$4), 1, 0, 2, if(ISBLANK('2025'!$P223), 0, 1), 3, if(ISBLANK('2025'!$Q223), 0, 1), 4, if(ISBLANK('2025'!$R223), 0, 1), 5, if(ISBLANK('2025'!$S223), 0, 1), 6, if(ISBLANK('2025'!$T223), 0, 1), 7, 0))), 1, "")</f>
        <v/>
      </c>
      <c r="AF225" s="1" t="str">
        <f>IF(AND(AND(AND(AF$4&gt;='2025'!$L223,AF$4&lt;='2025'!$M223), AF$4&lt;&gt;DATE(2025,7,4)), (SWITCH(weekday(AF$4), 1, 0, 2, if(ISBLANK('2025'!$P223), 0, 1), 3, if(ISBLANK('2025'!$Q223), 0, 1), 4, if(ISBLANK('2025'!$R223), 0, 1), 5, if(ISBLANK('2025'!$S223), 0, 1), 6, if(ISBLANK('2025'!$T223), 0, 1), 7, 0))), 1, "")</f>
        <v/>
      </c>
      <c r="AG225" s="1" t="str">
        <f>IF(AND(AND(AND(AG$4&gt;='2025'!$L223,AG$4&lt;='2025'!$M223), AG$4&lt;&gt;DATE(2025,7,4)), (SWITCH(weekday(AG$4), 1, 0, 2, if(ISBLANK('2025'!$P223), 0, 1), 3, if(ISBLANK('2025'!$Q223), 0, 1), 4, if(ISBLANK('2025'!$R223), 0, 1), 5, if(ISBLANK('2025'!$S223), 0, 1), 6, if(ISBLANK('2025'!$T223), 0, 1), 7, 0))), 1, "")</f>
        <v/>
      </c>
      <c r="AH225" s="1" t="str">
        <f>IF(AND(AND(AND(AH$4&gt;='2025'!$L223,AH$4&lt;='2025'!$M223), AH$4&lt;&gt;DATE(2025,7,4)), (SWITCH(weekday(AH$4), 1, 0, 2, if(ISBLANK('2025'!$P223), 0, 1), 3, if(ISBLANK('2025'!$Q223), 0, 1), 4, if(ISBLANK('2025'!$R223), 0, 1), 5, if(ISBLANK('2025'!$S223), 0, 1), 6, if(ISBLANK('2025'!$T223), 0, 1), 7, 0))), 1, "")</f>
        <v/>
      </c>
      <c r="AI225" s="1" t="str">
        <f>IF(AND(AND(AND(AI$4&gt;='2025'!$L223,AI$4&lt;='2025'!$M223), AI$4&lt;&gt;DATE(2025,7,4)), (SWITCH(weekday(AI$4), 1, 0, 2, if(ISBLANK('2025'!$P223), 0, 1), 3, if(ISBLANK('2025'!$Q223), 0, 1), 4, if(ISBLANK('2025'!$R223), 0, 1), 5, if(ISBLANK('2025'!$S223), 0, 1), 6, if(ISBLANK('2025'!$T223), 0, 1), 7, 0))), 1, "")</f>
        <v/>
      </c>
      <c r="AJ225" s="1" t="str">
        <f>IF(AND(AND(AND(AJ$4&gt;='2025'!$L223,AJ$4&lt;='2025'!$M223), AJ$4&lt;&gt;DATE(2025,7,4)), (SWITCH(weekday(AJ$4), 1, 0, 2, if(ISBLANK('2025'!$P223), 0, 1), 3, if(ISBLANK('2025'!$Q223), 0, 1), 4, if(ISBLANK('2025'!$R223), 0, 1), 5, if(ISBLANK('2025'!$S223), 0, 1), 6, if(ISBLANK('2025'!$T223), 0, 1), 7, 0))), 1, "")</f>
        <v/>
      </c>
      <c r="AK225" s="1" t="str">
        <f>IF(AND(AND(AND(AK$4&gt;='2025'!$L223,AK$4&lt;='2025'!$M223), AK$4&lt;&gt;DATE(2025,7,4)), (SWITCH(weekday(AK$4), 1, 0, 2, if(ISBLANK('2025'!$P223), 0, 1), 3, if(ISBLANK('2025'!$Q223), 0, 1), 4, if(ISBLANK('2025'!$R223), 0, 1), 5, if(ISBLANK('2025'!$S223), 0, 1), 6, if(ISBLANK('2025'!$T223), 0, 1), 7, 0))), 1, "")</f>
        <v/>
      </c>
      <c r="AL225" s="1" t="str">
        <f>IF(AND(AND(AND(AL$4&gt;='2025'!$L223,AL$4&lt;='2025'!$M223), AL$4&lt;&gt;DATE(2025,7,4)), (SWITCH(weekday(AL$4), 1, 0, 2, if(ISBLANK('2025'!$P223), 0, 1), 3, if(ISBLANK('2025'!$Q223), 0, 1), 4, if(ISBLANK('2025'!$R223), 0, 1), 5, if(ISBLANK('2025'!$S223), 0, 1), 6, if(ISBLANK('2025'!$T223), 0, 1), 7, 0))), 1, "")</f>
        <v/>
      </c>
      <c r="AM225" s="1" t="str">
        <f>IF(AND(AND(AND(AM$4&gt;='2025'!$L223,AM$4&lt;='2025'!$M223), AM$4&lt;&gt;DATE(2025,7,4)), (SWITCH(weekday(AM$4), 1, 0, 2, if(ISBLANK('2025'!$P223), 0, 1), 3, if(ISBLANK('2025'!$Q223), 0, 1), 4, if(ISBLANK('2025'!$R223), 0, 1), 5, if(ISBLANK('2025'!$S223), 0, 1), 6, if(ISBLANK('2025'!$T223), 0, 1), 7, 0))), 1, "")</f>
        <v/>
      </c>
      <c r="AN225" s="1" t="str">
        <f>IF(AND(AND(AND(AN$4&gt;='2025'!$L223,AN$4&lt;='2025'!$M223), AN$4&lt;&gt;DATE(2025,7,4)), (SWITCH(weekday(AN$4), 1, 0, 2, if(ISBLANK('2025'!$P223), 0, 1), 3, if(ISBLANK('2025'!$Q223), 0, 1), 4, if(ISBLANK('2025'!$R223), 0, 1), 5, if(ISBLANK('2025'!$S223), 0, 1), 6, if(ISBLANK('2025'!$T223), 0, 1), 7, 0))), 1, "")</f>
        <v/>
      </c>
      <c r="AO225" s="1" t="str">
        <f>IF(AND(AND(AND(AO$4&gt;='2025'!$L223,AO$4&lt;='2025'!$M223), AO$4&lt;&gt;DATE(2025,7,4)), (SWITCH(weekday(AO$4), 1, 0, 2, if(ISBLANK('2025'!$P223), 0, 1), 3, if(ISBLANK('2025'!$Q223), 0, 1), 4, if(ISBLANK('2025'!$R223), 0, 1), 5, if(ISBLANK('2025'!$S223), 0, 1), 6, if(ISBLANK('2025'!$T223), 0, 1), 7, 0))), 1, "")</f>
        <v/>
      </c>
      <c r="AP225" s="1" t="str">
        <f>IF(AND(AND(AND(AP$4&gt;='2025'!$L223,AP$4&lt;='2025'!$M223), AP$4&lt;&gt;DATE(2025,7,4)), (SWITCH(weekday(AP$4), 1, 0, 2, if(ISBLANK('2025'!$P223), 0, 1), 3, if(ISBLANK('2025'!$Q223), 0, 1), 4, if(ISBLANK('2025'!$R223), 0, 1), 5, if(ISBLANK('2025'!$S223), 0, 1), 6, if(ISBLANK('2025'!$T223), 0, 1), 7, 0))), 1, "")</f>
        <v/>
      </c>
      <c r="AQ225" s="1" t="str">
        <f>IF(AND(AND(AND(AQ$4&gt;='2025'!$L223,AQ$4&lt;='2025'!$M223), AQ$4&lt;&gt;DATE(2025,7,4)), (SWITCH(weekday(AQ$4), 1, 0, 2, if(ISBLANK('2025'!$P223), 0, 1), 3, if(ISBLANK('2025'!$Q223), 0, 1), 4, if(ISBLANK('2025'!$R223), 0, 1), 5, if(ISBLANK('2025'!$S223), 0, 1), 6, if(ISBLANK('2025'!$T223), 0, 1), 7, 0))), 1, "")</f>
        <v/>
      </c>
      <c r="AR225" s="1" t="str">
        <f>IF(AND(AND(AND(AR$4&gt;='2025'!$L223,AR$4&lt;='2025'!$M223), AR$4&lt;&gt;DATE(2025,7,4)), (SWITCH(weekday(AR$4), 1, 0, 2, if(ISBLANK('2025'!$P223), 0, 1), 3, if(ISBLANK('2025'!$Q223), 0, 1), 4, if(ISBLANK('2025'!$R223), 0, 1), 5, if(ISBLANK('2025'!$S223), 0, 1), 6, if(ISBLANK('2025'!$T223), 0, 1), 7, 0))), 1, "")</f>
        <v/>
      </c>
      <c r="AS225" s="1" t="str">
        <f>IF(AND(AND(AND(AS$4&gt;='2025'!$L223,AS$4&lt;='2025'!$M223), AS$4&lt;&gt;DATE(2025,7,4)), (SWITCH(weekday(AS$4), 1, 0, 2, if(ISBLANK('2025'!$P223), 0, 1), 3, if(ISBLANK('2025'!$Q223), 0, 1), 4, if(ISBLANK('2025'!$R223), 0, 1), 5, if(ISBLANK('2025'!$S223), 0, 1), 6, if(ISBLANK('2025'!$T223), 0, 1), 7, 0))), 1, "")</f>
        <v/>
      </c>
      <c r="AT225" s="1" t="str">
        <f>IF(AND(AND(AND(AT$4&gt;='2025'!$L223,AT$4&lt;='2025'!$M223), AT$4&lt;&gt;DATE(2025,7,4)), (SWITCH(weekday(AT$4), 1, 0, 2, if(ISBLANK('2025'!$P223), 0, 1), 3, if(ISBLANK('2025'!$Q223), 0, 1), 4, if(ISBLANK('2025'!$R223), 0, 1), 5, if(ISBLANK('2025'!$S223), 0, 1), 6, if(ISBLANK('2025'!$T223), 0, 1), 7, 0))), 1, "")</f>
        <v/>
      </c>
      <c r="AU225" s="1" t="str">
        <f>IF(AND(AND(AND(AU$4&gt;='2025'!$L223,AU$4&lt;='2025'!$M223), AU$4&lt;&gt;DATE(2025,7,4)), (SWITCH(weekday(AU$4), 1, 0, 2, if(ISBLANK('2025'!$P223), 0, 1), 3, if(ISBLANK('2025'!$Q223), 0, 1), 4, if(ISBLANK('2025'!$R223), 0, 1), 5, if(ISBLANK('2025'!$S223), 0, 1), 6, if(ISBLANK('2025'!$T223), 0, 1), 7, 0))), 1, "")</f>
        <v/>
      </c>
      <c r="AV225" s="1" t="str">
        <f>IF(AND(AND(AND(AV$4&gt;='2025'!$L223,AV$4&lt;='2025'!$M223), AV$4&lt;&gt;DATE(2025,7,4)), (SWITCH(weekday(AV$4), 1, 0, 2, if(ISBLANK('2025'!$P223), 0, 1), 3, if(ISBLANK('2025'!$Q223), 0, 1), 4, if(ISBLANK('2025'!$R223), 0, 1), 5, if(ISBLANK('2025'!$S223), 0, 1), 6, if(ISBLANK('2025'!$T223), 0, 1), 7, 0))), 1, "")</f>
        <v/>
      </c>
      <c r="AW225" s="1" t="str">
        <f>IF(AND(AND(AND(AW$4&gt;='2025'!$L223,AW$4&lt;='2025'!$M223), AW$4&lt;&gt;DATE(2025,7,4)), (SWITCH(weekday(AW$4), 1, 0, 2, if(ISBLANK('2025'!$P223), 0, 1), 3, if(ISBLANK('2025'!$Q223), 0, 1), 4, if(ISBLANK('2025'!$R223), 0, 1), 5, if(ISBLANK('2025'!$S223), 0, 1), 6, if(ISBLANK('2025'!$T223), 0, 1), 7, 0))), 1, "")</f>
        <v/>
      </c>
      <c r="AX225" s="1" t="str">
        <f>IF(AND(AND(AND(AX$4&gt;='2025'!$L223,AX$4&lt;='2025'!$M223), AX$4&lt;&gt;DATE(2025,7,4)), (SWITCH(weekday(AX$4), 1, 0, 2, if(ISBLANK('2025'!$P223), 0, 1), 3, if(ISBLANK('2025'!$Q223), 0, 1), 4, if(ISBLANK('2025'!$R223), 0, 1), 5, if(ISBLANK('2025'!$S223), 0, 1), 6, if(ISBLANK('2025'!$T223), 0, 1), 7, 0))), 1, "")</f>
        <v/>
      </c>
      <c r="AY225" s="1" t="str">
        <f>IF(AND(AND(AND(AY$4&gt;='2025'!$L223,AY$4&lt;='2025'!$M223), AY$4&lt;&gt;DATE(2025,7,4)), (SWITCH(weekday(AY$4), 1, 0, 2, if(ISBLANK('2025'!$P223), 0, 1), 3, if(ISBLANK('2025'!$Q223), 0, 1), 4, if(ISBLANK('2025'!$R223), 0, 1), 5, if(ISBLANK('2025'!$S223), 0, 1), 6, if(ISBLANK('2025'!$T223), 0, 1), 7, 0))), 1, "")</f>
        <v/>
      </c>
      <c r="AZ225" s="1" t="str">
        <f>IF(AND(AND(AND(AZ$4&gt;='2025'!$L223,AZ$4&lt;='2025'!$M223), AZ$4&lt;&gt;DATE(2025,7,4)), (SWITCH(weekday(AZ$4), 1, 0, 2, if(ISBLANK('2025'!$P223), 0, 1), 3, if(ISBLANK('2025'!$Q223), 0, 1), 4, if(ISBLANK('2025'!$R223), 0, 1), 5, if(ISBLANK('2025'!$S223), 0, 1), 6, if(ISBLANK('2025'!$T223), 0, 1), 7, 0))), 1, "")</f>
        <v/>
      </c>
      <c r="BA225" s="1" t="str">
        <f>IF(AND(AND(AND(BA$4&gt;='2025'!$L223,BA$4&lt;='2025'!$M223), BA$4&lt;&gt;DATE(2025,7,4)), (SWITCH(weekday(BA$4), 1, 0, 2, if(ISBLANK('2025'!$P223), 0, 1), 3, if(ISBLANK('2025'!$Q223), 0, 1), 4, if(ISBLANK('2025'!$R223), 0, 1), 5, if(ISBLANK('2025'!$S223), 0, 1), 6, if(ISBLANK('2025'!$T223), 0, 1), 7, 0))), 1, "")</f>
        <v/>
      </c>
      <c r="BB225" s="1" t="str">
        <f>IF(AND(AND(AND(BB$4&gt;='2025'!$L223,BB$4&lt;='2025'!$M223), BB$4&lt;&gt;DATE(2025,7,4)), (SWITCH(weekday(BB$4), 1, 0, 2, if(ISBLANK('2025'!$P223), 0, 1), 3, if(ISBLANK('2025'!$Q223), 0, 1), 4, if(ISBLANK('2025'!$R223), 0, 1), 5, if(ISBLANK('2025'!$S223), 0, 1), 6, if(ISBLANK('2025'!$T223), 0, 1), 7, 0))), 1, "")</f>
        <v/>
      </c>
      <c r="BC225" s="1" t="str">
        <f>IF(AND(AND(AND(BC$4&gt;='2025'!$L223,BC$4&lt;='2025'!$M223), BC$4&lt;&gt;DATE(2025,7,4)), (SWITCH(weekday(BC$4), 1, 0, 2, if(ISBLANK('2025'!$P223), 0, 1), 3, if(ISBLANK('2025'!$Q223), 0, 1), 4, if(ISBLANK('2025'!$R223), 0, 1), 5, if(ISBLANK('2025'!$S223), 0, 1), 6, if(ISBLANK('2025'!$T223), 0, 1), 7, 0))), 1, "")</f>
        <v/>
      </c>
      <c r="BD225" s="1" t="str">
        <f>IF(AND(AND(AND(BD$4&gt;='2025'!$L223,BD$4&lt;='2025'!$M223), BD$4&lt;&gt;DATE(2025,7,4)), (SWITCH(weekday(BD$4), 1, 0, 2, if(ISBLANK('2025'!$P223), 0, 1), 3, if(ISBLANK('2025'!$Q223), 0, 1), 4, if(ISBLANK('2025'!$R223), 0, 1), 5, if(ISBLANK('2025'!$S223), 0, 1), 6, if(ISBLANK('2025'!$T223), 0, 1), 7, 0))), 1, "")</f>
        <v/>
      </c>
      <c r="BE225" s="1" t="str">
        <f>IF(AND(AND(AND(BE$4&gt;='2025'!$L223,BE$4&lt;='2025'!$M223), BE$4&lt;&gt;DATE(2025,7,4)), (SWITCH(weekday(BE$4), 1, 0, 2, if(ISBLANK('2025'!$P223), 0, 1), 3, if(ISBLANK('2025'!$Q223), 0, 1), 4, if(ISBLANK('2025'!$R223), 0, 1), 5, if(ISBLANK('2025'!$S223), 0, 1), 6, if(ISBLANK('2025'!$T223), 0, 1), 7, 0))), 1, "")</f>
        <v/>
      </c>
      <c r="BF225" s="1" t="str">
        <f>IF(AND(AND(AND(BF$4&gt;='2025'!$L223,BF$4&lt;='2025'!$M223), BF$4&lt;&gt;DATE(2025,7,4)), (SWITCH(weekday(BF$4), 1, 0, 2, if(ISBLANK('2025'!$P223), 0, 1), 3, if(ISBLANK('2025'!$Q223), 0, 1), 4, if(ISBLANK('2025'!$R223), 0, 1), 5, if(ISBLANK('2025'!$S223), 0, 1), 6, if(ISBLANK('2025'!$T223), 0, 1), 7, 0))), 1, "")</f>
        <v/>
      </c>
      <c r="BG225" s="1"/>
      <c r="BH225" s="1"/>
      <c r="BI225" s="1"/>
      <c r="BJ225" s="1"/>
      <c r="BK225" s="1"/>
      <c r="BL225" s="1"/>
    </row>
    <row r="226">
      <c r="A226" s="1">
        <f t="shared" si="3"/>
        <v>226</v>
      </c>
      <c r="B226" s="1" t="str">
        <f>'2025'!D190</f>
        <v>, </v>
      </c>
      <c r="C226" s="1" t="str">
        <f>'2025'!H190</f>
        <v/>
      </c>
      <c r="D226" s="1" t="str">
        <f>IF(AND(AND(AND(D$4&gt;='2025'!$L224,D$4&lt;='2025'!$M224), D$4&lt;&gt;DATE(2025,7,4)), (SWITCH(weekday(D$4), 1, 0, 2, if(ISBLANK('2025'!$P224), 0, 1), 3, if(ISBLANK('2025'!$Q224), 0, 1), 4, if(ISBLANK('2025'!$R224), 0, 1), 5, if(ISBLANK('2025'!$S224), 0, 1), 6, if(ISBLANK('2025'!$T224), 0, 1), 7, 0))), 1, "")</f>
        <v/>
      </c>
      <c r="E226" s="1" t="str">
        <f>IF(AND(AND(AND(E$4&gt;='2025'!$L224,E$4&lt;='2025'!$M224), E$4&lt;&gt;DATE(2025,7,4)), (SWITCH(weekday(E$4), 1, 0, 2, if(ISBLANK('2025'!$P224), 0, 1), 3, if(ISBLANK('2025'!$Q224), 0, 1), 4, if(ISBLANK('2025'!$R224), 0, 1), 5, if(ISBLANK('2025'!$S224), 0, 1), 6, if(ISBLANK('2025'!$T224), 0, 1), 7, 0))), 1, "")</f>
        <v/>
      </c>
      <c r="F226" s="1" t="str">
        <f>IF(AND(AND(AND(F$4&gt;='2025'!$L224,F$4&lt;='2025'!$M224), F$4&lt;&gt;DATE(2025,7,4)), (SWITCH(weekday(F$4), 1, 0, 2, if(ISBLANK('2025'!$P224), 0, 1), 3, if(ISBLANK('2025'!$Q224), 0, 1), 4, if(ISBLANK('2025'!$R224), 0, 1), 5, if(ISBLANK('2025'!$S224), 0, 1), 6, if(ISBLANK('2025'!$T224), 0, 1), 7, 0))), 1, "")</f>
        <v/>
      </c>
      <c r="G226" s="1" t="str">
        <f>IF(AND(AND(AND(G$4&gt;='2025'!$L224,G$4&lt;='2025'!$M224), G$4&lt;&gt;DATE(2025,7,4)), (SWITCH(weekday(G$4), 1, 0, 2, if(ISBLANK('2025'!$P224), 0, 1), 3, if(ISBLANK('2025'!$Q224), 0, 1), 4, if(ISBLANK('2025'!$R224), 0, 1), 5, if(ISBLANK('2025'!$S224), 0, 1), 6, if(ISBLANK('2025'!$T224), 0, 1), 7, 0))), 1, "")</f>
        <v/>
      </c>
      <c r="H226" s="1" t="str">
        <f>IF(AND(AND(AND(H$4&gt;='2025'!$L224,H$4&lt;='2025'!$M224), H$4&lt;&gt;DATE(2025,7,4)), (SWITCH(weekday(H$4), 1, 0, 2, if(ISBLANK('2025'!$P224), 0, 1), 3, if(ISBLANK('2025'!$Q224), 0, 1), 4, if(ISBLANK('2025'!$R224), 0, 1), 5, if(ISBLANK('2025'!$S224), 0, 1), 6, if(ISBLANK('2025'!$T224), 0, 1), 7, 0))), 1, "")</f>
        <v/>
      </c>
      <c r="I226" s="1" t="str">
        <f>IF(AND(AND(AND(I$4&gt;='2025'!$L224,I$4&lt;='2025'!$M224), I$4&lt;&gt;DATE(2025,7,4)), (SWITCH(weekday(I$4), 1, 0, 2, if(ISBLANK('2025'!$P224), 0, 1), 3, if(ISBLANK('2025'!$Q224), 0, 1), 4, if(ISBLANK('2025'!$R224), 0, 1), 5, if(ISBLANK('2025'!$S224), 0, 1), 6, if(ISBLANK('2025'!$T224), 0, 1), 7, 0))), 1, "")</f>
        <v/>
      </c>
      <c r="J226" s="1" t="str">
        <f>IF(AND(AND(AND(J$4&gt;='2025'!$L224,J$4&lt;='2025'!$M224), J$4&lt;&gt;DATE(2025,7,4)), (SWITCH(weekday(J$4), 1, 0, 2, if(ISBLANK('2025'!$P224), 0, 1), 3, if(ISBLANK('2025'!$Q224), 0, 1), 4, if(ISBLANK('2025'!$R224), 0, 1), 5, if(ISBLANK('2025'!$S224), 0, 1), 6, if(ISBLANK('2025'!$T224), 0, 1), 7, 0))), 1, "")</f>
        <v/>
      </c>
      <c r="K226" s="1" t="str">
        <f>IF(AND(AND(AND(K$4&gt;='2025'!$L224,K$4&lt;='2025'!$M224), K$4&lt;&gt;DATE(2025,7,4)), (SWITCH(weekday(K$4), 1, 0, 2, if(ISBLANK('2025'!$P224), 0, 1), 3, if(ISBLANK('2025'!$Q224), 0, 1), 4, if(ISBLANK('2025'!$R224), 0, 1), 5, if(ISBLANK('2025'!$S224), 0, 1), 6, if(ISBLANK('2025'!$T224), 0, 1), 7, 0))), 1, "")</f>
        <v/>
      </c>
      <c r="L226" s="1" t="str">
        <f>IF(AND(AND(AND(L$4&gt;='2025'!$L224,L$4&lt;='2025'!$M224), L$4&lt;&gt;DATE(2025,7,4)), (SWITCH(weekday(L$4), 1, 0, 2, if(ISBLANK('2025'!$P224), 0, 1), 3, if(ISBLANK('2025'!$Q224), 0, 1), 4, if(ISBLANK('2025'!$R224), 0, 1), 5, if(ISBLANK('2025'!$S224), 0, 1), 6, if(ISBLANK('2025'!$T224), 0, 1), 7, 0))), 1, "")</f>
        <v/>
      </c>
      <c r="M226" s="1" t="str">
        <f>IF(AND(AND(AND(M$4&gt;='2025'!$L224,M$4&lt;='2025'!$M224), M$4&lt;&gt;DATE(2025,7,4)), (SWITCH(weekday(M$4), 1, 0, 2, if(ISBLANK('2025'!$P224), 0, 1), 3, if(ISBLANK('2025'!$Q224), 0, 1), 4, if(ISBLANK('2025'!$R224), 0, 1), 5, if(ISBLANK('2025'!$S224), 0, 1), 6, if(ISBLANK('2025'!$T224), 0, 1), 7, 0))), 1, "")</f>
        <v/>
      </c>
      <c r="N226" s="1" t="str">
        <f>IF(AND(AND(AND(N$4&gt;='2025'!$L224,N$4&lt;='2025'!$M224), N$4&lt;&gt;DATE(2025,7,4)), (SWITCH(weekday(N$4), 1, 0, 2, if(ISBLANK('2025'!$P224), 0, 1), 3, if(ISBLANK('2025'!$Q224), 0, 1), 4, if(ISBLANK('2025'!$R224), 0, 1), 5, if(ISBLANK('2025'!$S224), 0, 1), 6, if(ISBLANK('2025'!$T224), 0, 1), 7, 0))), 1, "")</f>
        <v/>
      </c>
      <c r="O226" s="1" t="str">
        <f>IF(AND(AND(AND(O$4&gt;='2025'!$L224,O$4&lt;='2025'!$M224), O$4&lt;&gt;DATE(2025,7,4)), (SWITCH(weekday(O$4), 1, 0, 2, if(ISBLANK('2025'!$P224), 0, 1), 3, if(ISBLANK('2025'!$Q224), 0, 1), 4, if(ISBLANK('2025'!$R224), 0, 1), 5, if(ISBLANK('2025'!$S224), 0, 1), 6, if(ISBLANK('2025'!$T224), 0, 1), 7, 0))), 1, "")</f>
        <v/>
      </c>
      <c r="P226" s="1" t="str">
        <f>IF(AND(AND(AND(P$4&gt;='2025'!$L224,P$4&lt;='2025'!$M224), P$4&lt;&gt;DATE(2025,7,4)), (SWITCH(weekday(P$4), 1, 0, 2, if(ISBLANK('2025'!$P224), 0, 1), 3, if(ISBLANK('2025'!$Q224), 0, 1), 4, if(ISBLANK('2025'!$R224), 0, 1), 5, if(ISBLANK('2025'!$S224), 0, 1), 6, if(ISBLANK('2025'!$T224), 0, 1), 7, 0))), 1, "")</f>
        <v/>
      </c>
      <c r="Q226" s="1" t="str">
        <f>IF(AND(AND(AND(Q$4&gt;='2025'!$L224,Q$4&lt;='2025'!$M224), Q$4&lt;&gt;DATE(2025,7,4)), (SWITCH(weekday(Q$4), 1, 0, 2, if(ISBLANK('2025'!$P224), 0, 1), 3, if(ISBLANK('2025'!$Q224), 0, 1), 4, if(ISBLANK('2025'!$R224), 0, 1), 5, if(ISBLANK('2025'!$S224), 0, 1), 6, if(ISBLANK('2025'!$T224), 0, 1), 7, 0))), 1, "")</f>
        <v/>
      </c>
      <c r="R226" s="1" t="str">
        <f>IF(AND(AND(AND(R$4&gt;='2025'!$L224,R$4&lt;='2025'!$M224), R$4&lt;&gt;DATE(2025,7,4)), (SWITCH(weekday(R$4), 1, 0, 2, if(ISBLANK('2025'!$P224), 0, 1), 3, if(ISBLANK('2025'!$Q224), 0, 1), 4, if(ISBLANK('2025'!$R224), 0, 1), 5, if(ISBLANK('2025'!$S224), 0, 1), 6, if(ISBLANK('2025'!$T224), 0, 1), 7, 0))), 1, "")</f>
        <v/>
      </c>
      <c r="S226" s="1" t="str">
        <f>IF(AND(AND(AND(S$4&gt;='2025'!$L224,S$4&lt;='2025'!$M224), S$4&lt;&gt;DATE(2025,7,4)), (SWITCH(weekday(S$4), 1, 0, 2, if(ISBLANK('2025'!$P224), 0, 1), 3, if(ISBLANK('2025'!$Q224), 0, 1), 4, if(ISBLANK('2025'!$R224), 0, 1), 5, if(ISBLANK('2025'!$S224), 0, 1), 6, if(ISBLANK('2025'!$T224), 0, 1), 7, 0))), 1, "")</f>
        <v/>
      </c>
      <c r="T226" s="1" t="str">
        <f>IF(AND(AND(AND(T$4&gt;='2025'!$L224,T$4&lt;='2025'!$M224), T$4&lt;&gt;DATE(2025,7,4)), (SWITCH(weekday(T$4), 1, 0, 2, if(ISBLANK('2025'!$P224), 0, 1), 3, if(ISBLANK('2025'!$Q224), 0, 1), 4, if(ISBLANK('2025'!$R224), 0, 1), 5, if(ISBLANK('2025'!$S224), 0, 1), 6, if(ISBLANK('2025'!$T224), 0, 1), 7, 0))), 1, "")</f>
        <v/>
      </c>
      <c r="U226" s="1" t="str">
        <f>IF(AND(AND(AND(U$4&gt;='2025'!$L224,U$4&lt;='2025'!$M224), U$4&lt;&gt;DATE(2025,7,4)), (SWITCH(weekday(U$4), 1, 0, 2, if(ISBLANK('2025'!$P224), 0, 1), 3, if(ISBLANK('2025'!$Q224), 0, 1), 4, if(ISBLANK('2025'!$R224), 0, 1), 5, if(ISBLANK('2025'!$S224), 0, 1), 6, if(ISBLANK('2025'!$T224), 0, 1), 7, 0))), 1, "")</f>
        <v/>
      </c>
      <c r="V226" s="1" t="str">
        <f>IF(AND(AND(AND(V$4&gt;='2025'!$L224,V$4&lt;='2025'!$M224), V$4&lt;&gt;DATE(2025,7,4)), (SWITCH(weekday(V$4), 1, 0, 2, if(ISBLANK('2025'!$P224), 0, 1), 3, if(ISBLANK('2025'!$Q224), 0, 1), 4, if(ISBLANK('2025'!$R224), 0, 1), 5, if(ISBLANK('2025'!$S224), 0, 1), 6, if(ISBLANK('2025'!$T224), 0, 1), 7, 0))), 1, "")</f>
        <v/>
      </c>
      <c r="W226" s="1" t="str">
        <f>IF(AND(AND(AND(W$4&gt;='2025'!$L224,W$4&lt;='2025'!$M224), W$4&lt;&gt;DATE(2025,7,4)), (SWITCH(weekday(W$4), 1, 0, 2, if(ISBLANK('2025'!$P224), 0, 1), 3, if(ISBLANK('2025'!$Q224), 0, 1), 4, if(ISBLANK('2025'!$R224), 0, 1), 5, if(ISBLANK('2025'!$S224), 0, 1), 6, if(ISBLANK('2025'!$T224), 0, 1), 7, 0))), 1, "")</f>
        <v/>
      </c>
      <c r="X226" s="1" t="str">
        <f>IF(AND(AND(AND(X$4&gt;='2025'!$L224,X$4&lt;='2025'!$M224), X$4&lt;&gt;DATE(2025,7,4)), (SWITCH(weekday(X$4), 1, 0, 2, if(ISBLANK('2025'!$P224), 0, 1), 3, if(ISBLANK('2025'!$Q224), 0, 1), 4, if(ISBLANK('2025'!$R224), 0, 1), 5, if(ISBLANK('2025'!$S224), 0, 1), 6, if(ISBLANK('2025'!$T224), 0, 1), 7, 0))), 1, "")</f>
        <v/>
      </c>
      <c r="Y226" s="1" t="str">
        <f>IF(AND(AND(AND(Y$4&gt;='2025'!$L224,Y$4&lt;='2025'!$M224), Y$4&lt;&gt;DATE(2025,7,4)), (SWITCH(weekday(Y$4), 1, 0, 2, if(ISBLANK('2025'!$P224), 0, 1), 3, if(ISBLANK('2025'!$Q224), 0, 1), 4, if(ISBLANK('2025'!$R224), 0, 1), 5, if(ISBLANK('2025'!$S224), 0, 1), 6, if(ISBLANK('2025'!$T224), 0, 1), 7, 0))), 1, "")</f>
        <v/>
      </c>
      <c r="Z226" s="1" t="str">
        <f>IF(AND(AND(AND(Z$4&gt;='2025'!$L224,Z$4&lt;='2025'!$M224), Z$4&lt;&gt;DATE(2025,7,4)), (SWITCH(weekday(Z$4), 1, 0, 2, if(ISBLANK('2025'!$P224), 0, 1), 3, if(ISBLANK('2025'!$Q224), 0, 1), 4, if(ISBLANK('2025'!$R224), 0, 1), 5, if(ISBLANK('2025'!$S224), 0, 1), 6, if(ISBLANK('2025'!$T224), 0, 1), 7, 0))), 1, "")</f>
        <v/>
      </c>
      <c r="AA226" s="1" t="str">
        <f>IF(AND(AND(AND(AA$4&gt;='2025'!$L224,AA$4&lt;='2025'!$M224), AA$4&lt;&gt;DATE(2025,7,4)), (SWITCH(weekday(AA$4), 1, 0, 2, if(ISBLANK('2025'!$P224), 0, 1), 3, if(ISBLANK('2025'!$Q224), 0, 1), 4, if(ISBLANK('2025'!$R224), 0, 1), 5, if(ISBLANK('2025'!$S224), 0, 1), 6, if(ISBLANK('2025'!$T224), 0, 1), 7, 0))), 1, "")</f>
        <v/>
      </c>
      <c r="AB226" s="1" t="str">
        <f>IF(AND(AND(AND(AB$4&gt;='2025'!$L224,AB$4&lt;='2025'!$M224), AB$4&lt;&gt;DATE(2025,7,4)), (SWITCH(weekday(AB$4), 1, 0, 2, if(ISBLANK('2025'!$P224), 0, 1), 3, if(ISBLANK('2025'!$Q224), 0, 1), 4, if(ISBLANK('2025'!$R224), 0, 1), 5, if(ISBLANK('2025'!$S224), 0, 1), 6, if(ISBLANK('2025'!$T224), 0, 1), 7, 0))), 1, "")</f>
        <v/>
      </c>
      <c r="AC226" s="1" t="str">
        <f>IF(AND(AND(AND(AC$4&gt;='2025'!$L224,AC$4&lt;='2025'!$M224), AC$4&lt;&gt;DATE(2025,7,4)), (SWITCH(weekday(AC$4), 1, 0, 2, if(ISBLANK('2025'!$P224), 0, 1), 3, if(ISBLANK('2025'!$Q224), 0, 1), 4, if(ISBLANK('2025'!$R224), 0, 1), 5, if(ISBLANK('2025'!$S224), 0, 1), 6, if(ISBLANK('2025'!$T224), 0, 1), 7, 0))), 1, "")</f>
        <v/>
      </c>
      <c r="AD226" s="1" t="str">
        <f>IF(AND(AND(AND(AD$4&gt;='2025'!$L224,AD$4&lt;='2025'!$M224), AD$4&lt;&gt;DATE(2025,7,4)), (SWITCH(weekday(AD$4), 1, 0, 2, if(ISBLANK('2025'!$P224), 0, 1), 3, if(ISBLANK('2025'!$Q224), 0, 1), 4, if(ISBLANK('2025'!$R224), 0, 1), 5, if(ISBLANK('2025'!$S224), 0, 1), 6, if(ISBLANK('2025'!$T224), 0, 1), 7, 0))), 1, "")</f>
        <v/>
      </c>
      <c r="AE226" s="1" t="str">
        <f>IF(AND(AND(AND(AE$4&gt;='2025'!$L224,AE$4&lt;='2025'!$M224), AE$4&lt;&gt;DATE(2025,7,4)), (SWITCH(weekday(AE$4), 1, 0, 2, if(ISBLANK('2025'!$P224), 0, 1), 3, if(ISBLANK('2025'!$Q224), 0, 1), 4, if(ISBLANK('2025'!$R224), 0, 1), 5, if(ISBLANK('2025'!$S224), 0, 1), 6, if(ISBLANK('2025'!$T224), 0, 1), 7, 0))), 1, "")</f>
        <v/>
      </c>
      <c r="AF226" s="1" t="str">
        <f>IF(AND(AND(AND(AF$4&gt;='2025'!$L224,AF$4&lt;='2025'!$M224), AF$4&lt;&gt;DATE(2025,7,4)), (SWITCH(weekday(AF$4), 1, 0, 2, if(ISBLANK('2025'!$P224), 0, 1), 3, if(ISBLANK('2025'!$Q224), 0, 1), 4, if(ISBLANK('2025'!$R224), 0, 1), 5, if(ISBLANK('2025'!$S224), 0, 1), 6, if(ISBLANK('2025'!$T224), 0, 1), 7, 0))), 1, "")</f>
        <v/>
      </c>
      <c r="AG226" s="1" t="str">
        <f>IF(AND(AND(AND(AG$4&gt;='2025'!$L224,AG$4&lt;='2025'!$M224), AG$4&lt;&gt;DATE(2025,7,4)), (SWITCH(weekday(AG$4), 1, 0, 2, if(ISBLANK('2025'!$P224), 0, 1), 3, if(ISBLANK('2025'!$Q224), 0, 1), 4, if(ISBLANK('2025'!$R224), 0, 1), 5, if(ISBLANK('2025'!$S224), 0, 1), 6, if(ISBLANK('2025'!$T224), 0, 1), 7, 0))), 1, "")</f>
        <v/>
      </c>
      <c r="AH226" s="1" t="str">
        <f>IF(AND(AND(AND(AH$4&gt;='2025'!$L224,AH$4&lt;='2025'!$M224), AH$4&lt;&gt;DATE(2025,7,4)), (SWITCH(weekday(AH$4), 1, 0, 2, if(ISBLANK('2025'!$P224), 0, 1), 3, if(ISBLANK('2025'!$Q224), 0, 1), 4, if(ISBLANK('2025'!$R224), 0, 1), 5, if(ISBLANK('2025'!$S224), 0, 1), 6, if(ISBLANK('2025'!$T224), 0, 1), 7, 0))), 1, "")</f>
        <v/>
      </c>
      <c r="AI226" s="1" t="str">
        <f>IF(AND(AND(AND(AI$4&gt;='2025'!$L224,AI$4&lt;='2025'!$M224), AI$4&lt;&gt;DATE(2025,7,4)), (SWITCH(weekday(AI$4), 1, 0, 2, if(ISBLANK('2025'!$P224), 0, 1), 3, if(ISBLANK('2025'!$Q224), 0, 1), 4, if(ISBLANK('2025'!$R224), 0, 1), 5, if(ISBLANK('2025'!$S224), 0, 1), 6, if(ISBLANK('2025'!$T224), 0, 1), 7, 0))), 1, "")</f>
        <v/>
      </c>
      <c r="AJ226" s="1" t="str">
        <f>IF(AND(AND(AND(AJ$4&gt;='2025'!$L224,AJ$4&lt;='2025'!$M224), AJ$4&lt;&gt;DATE(2025,7,4)), (SWITCH(weekday(AJ$4), 1, 0, 2, if(ISBLANK('2025'!$P224), 0, 1), 3, if(ISBLANK('2025'!$Q224), 0, 1), 4, if(ISBLANK('2025'!$R224), 0, 1), 5, if(ISBLANK('2025'!$S224), 0, 1), 6, if(ISBLANK('2025'!$T224), 0, 1), 7, 0))), 1, "")</f>
        <v/>
      </c>
      <c r="AK226" s="1" t="str">
        <f>IF(AND(AND(AND(AK$4&gt;='2025'!$L224,AK$4&lt;='2025'!$M224), AK$4&lt;&gt;DATE(2025,7,4)), (SWITCH(weekday(AK$4), 1, 0, 2, if(ISBLANK('2025'!$P224), 0, 1), 3, if(ISBLANK('2025'!$Q224), 0, 1), 4, if(ISBLANK('2025'!$R224), 0, 1), 5, if(ISBLANK('2025'!$S224), 0, 1), 6, if(ISBLANK('2025'!$T224), 0, 1), 7, 0))), 1, "")</f>
        <v/>
      </c>
      <c r="AL226" s="1" t="str">
        <f>IF(AND(AND(AND(AL$4&gt;='2025'!$L224,AL$4&lt;='2025'!$M224), AL$4&lt;&gt;DATE(2025,7,4)), (SWITCH(weekday(AL$4), 1, 0, 2, if(ISBLANK('2025'!$P224), 0, 1), 3, if(ISBLANK('2025'!$Q224), 0, 1), 4, if(ISBLANK('2025'!$R224), 0, 1), 5, if(ISBLANK('2025'!$S224), 0, 1), 6, if(ISBLANK('2025'!$T224), 0, 1), 7, 0))), 1, "")</f>
        <v/>
      </c>
      <c r="AM226" s="1" t="str">
        <f>IF(AND(AND(AND(AM$4&gt;='2025'!$L224,AM$4&lt;='2025'!$M224), AM$4&lt;&gt;DATE(2025,7,4)), (SWITCH(weekday(AM$4), 1, 0, 2, if(ISBLANK('2025'!$P224), 0, 1), 3, if(ISBLANK('2025'!$Q224), 0, 1), 4, if(ISBLANK('2025'!$R224), 0, 1), 5, if(ISBLANK('2025'!$S224), 0, 1), 6, if(ISBLANK('2025'!$T224), 0, 1), 7, 0))), 1, "")</f>
        <v/>
      </c>
      <c r="AN226" s="1" t="str">
        <f>IF(AND(AND(AND(AN$4&gt;='2025'!$L224,AN$4&lt;='2025'!$M224), AN$4&lt;&gt;DATE(2025,7,4)), (SWITCH(weekday(AN$4), 1, 0, 2, if(ISBLANK('2025'!$P224), 0, 1), 3, if(ISBLANK('2025'!$Q224), 0, 1), 4, if(ISBLANK('2025'!$R224), 0, 1), 5, if(ISBLANK('2025'!$S224), 0, 1), 6, if(ISBLANK('2025'!$T224), 0, 1), 7, 0))), 1, "")</f>
        <v/>
      </c>
      <c r="AO226" s="1" t="str">
        <f>IF(AND(AND(AND(AO$4&gt;='2025'!$L224,AO$4&lt;='2025'!$M224), AO$4&lt;&gt;DATE(2025,7,4)), (SWITCH(weekday(AO$4), 1, 0, 2, if(ISBLANK('2025'!$P224), 0, 1), 3, if(ISBLANK('2025'!$Q224), 0, 1), 4, if(ISBLANK('2025'!$R224), 0, 1), 5, if(ISBLANK('2025'!$S224), 0, 1), 6, if(ISBLANK('2025'!$T224), 0, 1), 7, 0))), 1, "")</f>
        <v/>
      </c>
      <c r="AP226" s="1" t="str">
        <f>IF(AND(AND(AND(AP$4&gt;='2025'!$L224,AP$4&lt;='2025'!$M224), AP$4&lt;&gt;DATE(2025,7,4)), (SWITCH(weekday(AP$4), 1, 0, 2, if(ISBLANK('2025'!$P224), 0, 1), 3, if(ISBLANK('2025'!$Q224), 0, 1), 4, if(ISBLANK('2025'!$R224), 0, 1), 5, if(ISBLANK('2025'!$S224), 0, 1), 6, if(ISBLANK('2025'!$T224), 0, 1), 7, 0))), 1, "")</f>
        <v/>
      </c>
      <c r="AQ226" s="1" t="str">
        <f>IF(AND(AND(AND(AQ$4&gt;='2025'!$L224,AQ$4&lt;='2025'!$M224), AQ$4&lt;&gt;DATE(2025,7,4)), (SWITCH(weekday(AQ$4), 1, 0, 2, if(ISBLANK('2025'!$P224), 0, 1), 3, if(ISBLANK('2025'!$Q224), 0, 1), 4, if(ISBLANK('2025'!$R224), 0, 1), 5, if(ISBLANK('2025'!$S224), 0, 1), 6, if(ISBLANK('2025'!$T224), 0, 1), 7, 0))), 1, "")</f>
        <v/>
      </c>
      <c r="AR226" s="1" t="str">
        <f>IF(AND(AND(AND(AR$4&gt;='2025'!$L224,AR$4&lt;='2025'!$M224), AR$4&lt;&gt;DATE(2025,7,4)), (SWITCH(weekday(AR$4), 1, 0, 2, if(ISBLANK('2025'!$P224), 0, 1), 3, if(ISBLANK('2025'!$Q224), 0, 1), 4, if(ISBLANK('2025'!$R224), 0, 1), 5, if(ISBLANK('2025'!$S224), 0, 1), 6, if(ISBLANK('2025'!$T224), 0, 1), 7, 0))), 1, "")</f>
        <v/>
      </c>
      <c r="AS226" s="1" t="str">
        <f>IF(AND(AND(AND(AS$4&gt;='2025'!$L224,AS$4&lt;='2025'!$M224), AS$4&lt;&gt;DATE(2025,7,4)), (SWITCH(weekday(AS$4), 1, 0, 2, if(ISBLANK('2025'!$P224), 0, 1), 3, if(ISBLANK('2025'!$Q224), 0, 1), 4, if(ISBLANK('2025'!$R224), 0, 1), 5, if(ISBLANK('2025'!$S224), 0, 1), 6, if(ISBLANK('2025'!$T224), 0, 1), 7, 0))), 1, "")</f>
        <v/>
      </c>
      <c r="AT226" s="1" t="str">
        <f>IF(AND(AND(AND(AT$4&gt;='2025'!$L224,AT$4&lt;='2025'!$M224), AT$4&lt;&gt;DATE(2025,7,4)), (SWITCH(weekday(AT$4), 1, 0, 2, if(ISBLANK('2025'!$P224), 0, 1), 3, if(ISBLANK('2025'!$Q224), 0, 1), 4, if(ISBLANK('2025'!$R224), 0, 1), 5, if(ISBLANK('2025'!$S224), 0, 1), 6, if(ISBLANK('2025'!$T224), 0, 1), 7, 0))), 1, "")</f>
        <v/>
      </c>
      <c r="AU226" s="1" t="str">
        <f>IF(AND(AND(AND(AU$4&gt;='2025'!$L224,AU$4&lt;='2025'!$M224), AU$4&lt;&gt;DATE(2025,7,4)), (SWITCH(weekday(AU$4), 1, 0, 2, if(ISBLANK('2025'!$P224), 0, 1), 3, if(ISBLANK('2025'!$Q224), 0, 1), 4, if(ISBLANK('2025'!$R224), 0, 1), 5, if(ISBLANK('2025'!$S224), 0, 1), 6, if(ISBLANK('2025'!$T224), 0, 1), 7, 0))), 1, "")</f>
        <v/>
      </c>
      <c r="AV226" s="1" t="str">
        <f>IF(AND(AND(AND(AV$4&gt;='2025'!$L224,AV$4&lt;='2025'!$M224), AV$4&lt;&gt;DATE(2025,7,4)), (SWITCH(weekday(AV$4), 1, 0, 2, if(ISBLANK('2025'!$P224), 0, 1), 3, if(ISBLANK('2025'!$Q224), 0, 1), 4, if(ISBLANK('2025'!$R224), 0, 1), 5, if(ISBLANK('2025'!$S224), 0, 1), 6, if(ISBLANK('2025'!$T224), 0, 1), 7, 0))), 1, "")</f>
        <v/>
      </c>
      <c r="AW226" s="1" t="str">
        <f>IF(AND(AND(AND(AW$4&gt;='2025'!$L224,AW$4&lt;='2025'!$M224), AW$4&lt;&gt;DATE(2025,7,4)), (SWITCH(weekday(AW$4), 1, 0, 2, if(ISBLANK('2025'!$P224), 0, 1), 3, if(ISBLANK('2025'!$Q224), 0, 1), 4, if(ISBLANK('2025'!$R224), 0, 1), 5, if(ISBLANK('2025'!$S224), 0, 1), 6, if(ISBLANK('2025'!$T224), 0, 1), 7, 0))), 1, "")</f>
        <v/>
      </c>
      <c r="AX226" s="1" t="str">
        <f>IF(AND(AND(AND(AX$4&gt;='2025'!$L224,AX$4&lt;='2025'!$M224), AX$4&lt;&gt;DATE(2025,7,4)), (SWITCH(weekday(AX$4), 1, 0, 2, if(ISBLANK('2025'!$P224), 0, 1), 3, if(ISBLANK('2025'!$Q224), 0, 1), 4, if(ISBLANK('2025'!$R224), 0, 1), 5, if(ISBLANK('2025'!$S224), 0, 1), 6, if(ISBLANK('2025'!$T224), 0, 1), 7, 0))), 1, "")</f>
        <v/>
      </c>
      <c r="AY226" s="1" t="str">
        <f>IF(AND(AND(AND(AY$4&gt;='2025'!$L224,AY$4&lt;='2025'!$M224), AY$4&lt;&gt;DATE(2025,7,4)), (SWITCH(weekday(AY$4), 1, 0, 2, if(ISBLANK('2025'!$P224), 0, 1), 3, if(ISBLANK('2025'!$Q224), 0, 1), 4, if(ISBLANK('2025'!$R224), 0, 1), 5, if(ISBLANK('2025'!$S224), 0, 1), 6, if(ISBLANK('2025'!$T224), 0, 1), 7, 0))), 1, "")</f>
        <v/>
      </c>
      <c r="AZ226" s="1" t="str">
        <f>IF(AND(AND(AND(AZ$4&gt;='2025'!$L224,AZ$4&lt;='2025'!$M224), AZ$4&lt;&gt;DATE(2025,7,4)), (SWITCH(weekday(AZ$4), 1, 0, 2, if(ISBLANK('2025'!$P224), 0, 1), 3, if(ISBLANK('2025'!$Q224), 0, 1), 4, if(ISBLANK('2025'!$R224), 0, 1), 5, if(ISBLANK('2025'!$S224), 0, 1), 6, if(ISBLANK('2025'!$T224), 0, 1), 7, 0))), 1, "")</f>
        <v/>
      </c>
      <c r="BA226" s="1" t="str">
        <f>IF(AND(AND(AND(BA$4&gt;='2025'!$L224,BA$4&lt;='2025'!$M224), BA$4&lt;&gt;DATE(2025,7,4)), (SWITCH(weekday(BA$4), 1, 0, 2, if(ISBLANK('2025'!$P224), 0, 1), 3, if(ISBLANK('2025'!$Q224), 0, 1), 4, if(ISBLANK('2025'!$R224), 0, 1), 5, if(ISBLANK('2025'!$S224), 0, 1), 6, if(ISBLANK('2025'!$T224), 0, 1), 7, 0))), 1, "")</f>
        <v/>
      </c>
      <c r="BB226" s="1" t="str">
        <f>IF(AND(AND(AND(BB$4&gt;='2025'!$L224,BB$4&lt;='2025'!$M224), BB$4&lt;&gt;DATE(2025,7,4)), (SWITCH(weekday(BB$4), 1, 0, 2, if(ISBLANK('2025'!$P224), 0, 1), 3, if(ISBLANK('2025'!$Q224), 0, 1), 4, if(ISBLANK('2025'!$R224), 0, 1), 5, if(ISBLANK('2025'!$S224), 0, 1), 6, if(ISBLANK('2025'!$T224), 0, 1), 7, 0))), 1, "")</f>
        <v/>
      </c>
      <c r="BC226" s="1" t="str">
        <f>IF(AND(AND(AND(BC$4&gt;='2025'!$L224,BC$4&lt;='2025'!$M224), BC$4&lt;&gt;DATE(2025,7,4)), (SWITCH(weekday(BC$4), 1, 0, 2, if(ISBLANK('2025'!$P224), 0, 1), 3, if(ISBLANK('2025'!$Q224), 0, 1), 4, if(ISBLANK('2025'!$R224), 0, 1), 5, if(ISBLANK('2025'!$S224), 0, 1), 6, if(ISBLANK('2025'!$T224), 0, 1), 7, 0))), 1, "")</f>
        <v/>
      </c>
      <c r="BD226" s="1" t="str">
        <f>IF(AND(AND(AND(BD$4&gt;='2025'!$L224,BD$4&lt;='2025'!$M224), BD$4&lt;&gt;DATE(2025,7,4)), (SWITCH(weekday(BD$4), 1, 0, 2, if(ISBLANK('2025'!$P224), 0, 1), 3, if(ISBLANK('2025'!$Q224), 0, 1), 4, if(ISBLANK('2025'!$R224), 0, 1), 5, if(ISBLANK('2025'!$S224), 0, 1), 6, if(ISBLANK('2025'!$T224), 0, 1), 7, 0))), 1, "")</f>
        <v/>
      </c>
      <c r="BE226" s="1" t="str">
        <f>IF(AND(AND(AND(BE$4&gt;='2025'!$L224,BE$4&lt;='2025'!$M224), BE$4&lt;&gt;DATE(2025,7,4)), (SWITCH(weekday(BE$4), 1, 0, 2, if(ISBLANK('2025'!$P224), 0, 1), 3, if(ISBLANK('2025'!$Q224), 0, 1), 4, if(ISBLANK('2025'!$R224), 0, 1), 5, if(ISBLANK('2025'!$S224), 0, 1), 6, if(ISBLANK('2025'!$T224), 0, 1), 7, 0))), 1, "")</f>
        <v/>
      </c>
      <c r="BF226" s="1" t="str">
        <f>IF(AND(AND(AND(BF$4&gt;='2025'!$L224,BF$4&lt;='2025'!$M224), BF$4&lt;&gt;DATE(2025,7,4)), (SWITCH(weekday(BF$4), 1, 0, 2, if(ISBLANK('2025'!$P224), 0, 1), 3, if(ISBLANK('2025'!$Q224), 0, 1), 4, if(ISBLANK('2025'!$R224), 0, 1), 5, if(ISBLANK('2025'!$S224), 0, 1), 6, if(ISBLANK('2025'!$T224), 0, 1), 7, 0))), 1, "")</f>
        <v/>
      </c>
      <c r="BG226" s="1"/>
      <c r="BH226" s="1"/>
      <c r="BI226" s="1"/>
      <c r="BJ226" s="1"/>
      <c r="BK226" s="1"/>
      <c r="BL226" s="1"/>
    </row>
    <row r="227">
      <c r="A227" s="1">
        <f t="shared" si="3"/>
        <v>227</v>
      </c>
      <c r="B227" s="1" t="str">
        <f>'2025'!D191</f>
        <v>, </v>
      </c>
      <c r="C227" s="1" t="str">
        <f>'2025'!H191</f>
        <v/>
      </c>
      <c r="D227" s="1" t="str">
        <f>IF(AND(AND(AND(D$4&gt;='2025'!$L225,D$4&lt;='2025'!$M225), D$4&lt;&gt;DATE(2025,7,4)), (SWITCH(weekday(D$4), 1, 0, 2, if(ISBLANK('2025'!$P225), 0, 1), 3, if(ISBLANK('2025'!$Q225), 0, 1), 4, if(ISBLANK('2025'!$R225), 0, 1), 5, if(ISBLANK('2025'!$S225), 0, 1), 6, if(ISBLANK('2025'!$T225), 0, 1), 7, 0))), 1, "")</f>
        <v/>
      </c>
      <c r="E227" s="1" t="str">
        <f>IF(AND(AND(AND(E$4&gt;='2025'!$L225,E$4&lt;='2025'!$M225), E$4&lt;&gt;DATE(2025,7,4)), (SWITCH(weekday(E$4), 1, 0, 2, if(ISBLANK('2025'!$P225), 0, 1), 3, if(ISBLANK('2025'!$Q225), 0, 1), 4, if(ISBLANK('2025'!$R225), 0, 1), 5, if(ISBLANK('2025'!$S225), 0, 1), 6, if(ISBLANK('2025'!$T225), 0, 1), 7, 0))), 1, "")</f>
        <v/>
      </c>
      <c r="F227" s="1" t="str">
        <f>IF(AND(AND(AND(F$4&gt;='2025'!$L225,F$4&lt;='2025'!$M225), F$4&lt;&gt;DATE(2025,7,4)), (SWITCH(weekday(F$4), 1, 0, 2, if(ISBLANK('2025'!$P225), 0, 1), 3, if(ISBLANK('2025'!$Q225), 0, 1), 4, if(ISBLANK('2025'!$R225), 0, 1), 5, if(ISBLANK('2025'!$S225), 0, 1), 6, if(ISBLANK('2025'!$T225), 0, 1), 7, 0))), 1, "")</f>
        <v/>
      </c>
      <c r="G227" s="1" t="str">
        <f>IF(AND(AND(AND(G$4&gt;='2025'!$L225,G$4&lt;='2025'!$M225), G$4&lt;&gt;DATE(2025,7,4)), (SWITCH(weekday(G$4), 1, 0, 2, if(ISBLANK('2025'!$P225), 0, 1), 3, if(ISBLANK('2025'!$Q225), 0, 1), 4, if(ISBLANK('2025'!$R225), 0, 1), 5, if(ISBLANK('2025'!$S225), 0, 1), 6, if(ISBLANK('2025'!$T225), 0, 1), 7, 0))), 1, "")</f>
        <v/>
      </c>
      <c r="H227" s="1" t="str">
        <f>IF(AND(AND(AND(H$4&gt;='2025'!$L225,H$4&lt;='2025'!$M225), H$4&lt;&gt;DATE(2025,7,4)), (SWITCH(weekday(H$4), 1, 0, 2, if(ISBLANK('2025'!$P225), 0, 1), 3, if(ISBLANK('2025'!$Q225), 0, 1), 4, if(ISBLANK('2025'!$R225), 0, 1), 5, if(ISBLANK('2025'!$S225), 0, 1), 6, if(ISBLANK('2025'!$T225), 0, 1), 7, 0))), 1, "")</f>
        <v/>
      </c>
      <c r="I227" s="1" t="str">
        <f>IF(AND(AND(AND(I$4&gt;='2025'!$L225,I$4&lt;='2025'!$M225), I$4&lt;&gt;DATE(2025,7,4)), (SWITCH(weekday(I$4), 1, 0, 2, if(ISBLANK('2025'!$P225), 0, 1), 3, if(ISBLANK('2025'!$Q225), 0, 1), 4, if(ISBLANK('2025'!$R225), 0, 1), 5, if(ISBLANK('2025'!$S225), 0, 1), 6, if(ISBLANK('2025'!$T225), 0, 1), 7, 0))), 1, "")</f>
        <v/>
      </c>
      <c r="J227" s="1" t="str">
        <f>IF(AND(AND(AND(J$4&gt;='2025'!$L225,J$4&lt;='2025'!$M225), J$4&lt;&gt;DATE(2025,7,4)), (SWITCH(weekday(J$4), 1, 0, 2, if(ISBLANK('2025'!$P225), 0, 1), 3, if(ISBLANK('2025'!$Q225), 0, 1), 4, if(ISBLANK('2025'!$R225), 0, 1), 5, if(ISBLANK('2025'!$S225), 0, 1), 6, if(ISBLANK('2025'!$T225), 0, 1), 7, 0))), 1, "")</f>
        <v/>
      </c>
      <c r="K227" s="1" t="str">
        <f>IF(AND(AND(AND(K$4&gt;='2025'!$L225,K$4&lt;='2025'!$M225), K$4&lt;&gt;DATE(2025,7,4)), (SWITCH(weekday(K$4), 1, 0, 2, if(ISBLANK('2025'!$P225), 0, 1), 3, if(ISBLANK('2025'!$Q225), 0, 1), 4, if(ISBLANK('2025'!$R225), 0, 1), 5, if(ISBLANK('2025'!$S225), 0, 1), 6, if(ISBLANK('2025'!$T225), 0, 1), 7, 0))), 1, "")</f>
        <v/>
      </c>
      <c r="L227" s="1" t="str">
        <f>IF(AND(AND(AND(L$4&gt;='2025'!$L225,L$4&lt;='2025'!$M225), L$4&lt;&gt;DATE(2025,7,4)), (SWITCH(weekday(L$4), 1, 0, 2, if(ISBLANK('2025'!$P225), 0, 1), 3, if(ISBLANK('2025'!$Q225), 0, 1), 4, if(ISBLANK('2025'!$R225), 0, 1), 5, if(ISBLANK('2025'!$S225), 0, 1), 6, if(ISBLANK('2025'!$T225), 0, 1), 7, 0))), 1, "")</f>
        <v/>
      </c>
      <c r="M227" s="1" t="str">
        <f>IF(AND(AND(AND(M$4&gt;='2025'!$L225,M$4&lt;='2025'!$M225), M$4&lt;&gt;DATE(2025,7,4)), (SWITCH(weekday(M$4), 1, 0, 2, if(ISBLANK('2025'!$P225), 0, 1), 3, if(ISBLANK('2025'!$Q225), 0, 1), 4, if(ISBLANK('2025'!$R225), 0, 1), 5, if(ISBLANK('2025'!$S225), 0, 1), 6, if(ISBLANK('2025'!$T225), 0, 1), 7, 0))), 1, "")</f>
        <v/>
      </c>
      <c r="N227" s="1" t="str">
        <f>IF(AND(AND(AND(N$4&gt;='2025'!$L225,N$4&lt;='2025'!$M225), N$4&lt;&gt;DATE(2025,7,4)), (SWITCH(weekday(N$4), 1, 0, 2, if(ISBLANK('2025'!$P225), 0, 1), 3, if(ISBLANK('2025'!$Q225), 0, 1), 4, if(ISBLANK('2025'!$R225), 0, 1), 5, if(ISBLANK('2025'!$S225), 0, 1), 6, if(ISBLANK('2025'!$T225), 0, 1), 7, 0))), 1, "")</f>
        <v/>
      </c>
      <c r="O227" s="1" t="str">
        <f>IF(AND(AND(AND(O$4&gt;='2025'!$L225,O$4&lt;='2025'!$M225), O$4&lt;&gt;DATE(2025,7,4)), (SWITCH(weekday(O$4), 1, 0, 2, if(ISBLANK('2025'!$P225), 0, 1), 3, if(ISBLANK('2025'!$Q225), 0, 1), 4, if(ISBLANK('2025'!$R225), 0, 1), 5, if(ISBLANK('2025'!$S225), 0, 1), 6, if(ISBLANK('2025'!$T225), 0, 1), 7, 0))), 1, "")</f>
        <v/>
      </c>
      <c r="P227" s="1" t="str">
        <f>IF(AND(AND(AND(P$4&gt;='2025'!$L225,P$4&lt;='2025'!$M225), P$4&lt;&gt;DATE(2025,7,4)), (SWITCH(weekday(P$4), 1, 0, 2, if(ISBLANK('2025'!$P225), 0, 1), 3, if(ISBLANK('2025'!$Q225), 0, 1), 4, if(ISBLANK('2025'!$R225), 0, 1), 5, if(ISBLANK('2025'!$S225), 0, 1), 6, if(ISBLANK('2025'!$T225), 0, 1), 7, 0))), 1, "")</f>
        <v/>
      </c>
      <c r="Q227" s="1" t="str">
        <f>IF(AND(AND(AND(Q$4&gt;='2025'!$L225,Q$4&lt;='2025'!$M225), Q$4&lt;&gt;DATE(2025,7,4)), (SWITCH(weekday(Q$4), 1, 0, 2, if(ISBLANK('2025'!$P225), 0, 1), 3, if(ISBLANK('2025'!$Q225), 0, 1), 4, if(ISBLANK('2025'!$R225), 0, 1), 5, if(ISBLANK('2025'!$S225), 0, 1), 6, if(ISBLANK('2025'!$T225), 0, 1), 7, 0))), 1, "")</f>
        <v/>
      </c>
      <c r="R227" s="1" t="str">
        <f>IF(AND(AND(AND(R$4&gt;='2025'!$L225,R$4&lt;='2025'!$M225), R$4&lt;&gt;DATE(2025,7,4)), (SWITCH(weekday(R$4), 1, 0, 2, if(ISBLANK('2025'!$P225), 0, 1), 3, if(ISBLANK('2025'!$Q225), 0, 1), 4, if(ISBLANK('2025'!$R225), 0, 1), 5, if(ISBLANK('2025'!$S225), 0, 1), 6, if(ISBLANK('2025'!$T225), 0, 1), 7, 0))), 1, "")</f>
        <v/>
      </c>
      <c r="S227" s="1" t="str">
        <f>IF(AND(AND(AND(S$4&gt;='2025'!$L225,S$4&lt;='2025'!$M225), S$4&lt;&gt;DATE(2025,7,4)), (SWITCH(weekday(S$4), 1, 0, 2, if(ISBLANK('2025'!$P225), 0, 1), 3, if(ISBLANK('2025'!$Q225), 0, 1), 4, if(ISBLANK('2025'!$R225), 0, 1), 5, if(ISBLANK('2025'!$S225), 0, 1), 6, if(ISBLANK('2025'!$T225), 0, 1), 7, 0))), 1, "")</f>
        <v/>
      </c>
      <c r="T227" s="1" t="str">
        <f>IF(AND(AND(AND(T$4&gt;='2025'!$L225,T$4&lt;='2025'!$M225), T$4&lt;&gt;DATE(2025,7,4)), (SWITCH(weekday(T$4), 1, 0, 2, if(ISBLANK('2025'!$P225), 0, 1), 3, if(ISBLANK('2025'!$Q225), 0, 1), 4, if(ISBLANK('2025'!$R225), 0, 1), 5, if(ISBLANK('2025'!$S225), 0, 1), 6, if(ISBLANK('2025'!$T225), 0, 1), 7, 0))), 1, "")</f>
        <v/>
      </c>
      <c r="U227" s="1" t="str">
        <f>IF(AND(AND(AND(U$4&gt;='2025'!$L225,U$4&lt;='2025'!$M225), U$4&lt;&gt;DATE(2025,7,4)), (SWITCH(weekday(U$4), 1, 0, 2, if(ISBLANK('2025'!$P225), 0, 1), 3, if(ISBLANK('2025'!$Q225), 0, 1), 4, if(ISBLANK('2025'!$R225), 0, 1), 5, if(ISBLANK('2025'!$S225), 0, 1), 6, if(ISBLANK('2025'!$T225), 0, 1), 7, 0))), 1, "")</f>
        <v/>
      </c>
      <c r="V227" s="1" t="str">
        <f>IF(AND(AND(AND(V$4&gt;='2025'!$L225,V$4&lt;='2025'!$M225), V$4&lt;&gt;DATE(2025,7,4)), (SWITCH(weekday(V$4), 1, 0, 2, if(ISBLANK('2025'!$P225), 0, 1), 3, if(ISBLANK('2025'!$Q225), 0, 1), 4, if(ISBLANK('2025'!$R225), 0, 1), 5, if(ISBLANK('2025'!$S225), 0, 1), 6, if(ISBLANK('2025'!$T225), 0, 1), 7, 0))), 1, "")</f>
        <v/>
      </c>
      <c r="W227" s="1" t="str">
        <f>IF(AND(AND(AND(W$4&gt;='2025'!$L225,W$4&lt;='2025'!$M225), W$4&lt;&gt;DATE(2025,7,4)), (SWITCH(weekday(W$4), 1, 0, 2, if(ISBLANK('2025'!$P225), 0, 1), 3, if(ISBLANK('2025'!$Q225), 0, 1), 4, if(ISBLANK('2025'!$R225), 0, 1), 5, if(ISBLANK('2025'!$S225), 0, 1), 6, if(ISBLANK('2025'!$T225), 0, 1), 7, 0))), 1, "")</f>
        <v/>
      </c>
      <c r="X227" s="1" t="str">
        <f>IF(AND(AND(AND(X$4&gt;='2025'!$L225,X$4&lt;='2025'!$M225), X$4&lt;&gt;DATE(2025,7,4)), (SWITCH(weekday(X$4), 1, 0, 2, if(ISBLANK('2025'!$P225), 0, 1), 3, if(ISBLANK('2025'!$Q225), 0, 1), 4, if(ISBLANK('2025'!$R225), 0, 1), 5, if(ISBLANK('2025'!$S225), 0, 1), 6, if(ISBLANK('2025'!$T225), 0, 1), 7, 0))), 1, "")</f>
        <v/>
      </c>
      <c r="Y227" s="1" t="str">
        <f>IF(AND(AND(AND(Y$4&gt;='2025'!$L225,Y$4&lt;='2025'!$M225), Y$4&lt;&gt;DATE(2025,7,4)), (SWITCH(weekday(Y$4), 1, 0, 2, if(ISBLANK('2025'!$P225), 0, 1), 3, if(ISBLANK('2025'!$Q225), 0, 1), 4, if(ISBLANK('2025'!$R225), 0, 1), 5, if(ISBLANK('2025'!$S225), 0, 1), 6, if(ISBLANK('2025'!$T225), 0, 1), 7, 0))), 1, "")</f>
        <v/>
      </c>
      <c r="Z227" s="1" t="str">
        <f>IF(AND(AND(AND(Z$4&gt;='2025'!$L225,Z$4&lt;='2025'!$M225), Z$4&lt;&gt;DATE(2025,7,4)), (SWITCH(weekday(Z$4), 1, 0, 2, if(ISBLANK('2025'!$P225), 0, 1), 3, if(ISBLANK('2025'!$Q225), 0, 1), 4, if(ISBLANK('2025'!$R225), 0, 1), 5, if(ISBLANK('2025'!$S225), 0, 1), 6, if(ISBLANK('2025'!$T225), 0, 1), 7, 0))), 1, "")</f>
        <v/>
      </c>
      <c r="AA227" s="1" t="str">
        <f>IF(AND(AND(AND(AA$4&gt;='2025'!$L225,AA$4&lt;='2025'!$M225), AA$4&lt;&gt;DATE(2025,7,4)), (SWITCH(weekday(AA$4), 1, 0, 2, if(ISBLANK('2025'!$P225), 0, 1), 3, if(ISBLANK('2025'!$Q225), 0, 1), 4, if(ISBLANK('2025'!$R225), 0, 1), 5, if(ISBLANK('2025'!$S225), 0, 1), 6, if(ISBLANK('2025'!$T225), 0, 1), 7, 0))), 1, "")</f>
        <v/>
      </c>
      <c r="AB227" s="1" t="str">
        <f>IF(AND(AND(AND(AB$4&gt;='2025'!$L225,AB$4&lt;='2025'!$M225), AB$4&lt;&gt;DATE(2025,7,4)), (SWITCH(weekday(AB$4), 1, 0, 2, if(ISBLANK('2025'!$P225), 0, 1), 3, if(ISBLANK('2025'!$Q225), 0, 1), 4, if(ISBLANK('2025'!$R225), 0, 1), 5, if(ISBLANK('2025'!$S225), 0, 1), 6, if(ISBLANK('2025'!$T225), 0, 1), 7, 0))), 1, "")</f>
        <v/>
      </c>
      <c r="AC227" s="1" t="str">
        <f>IF(AND(AND(AND(AC$4&gt;='2025'!$L225,AC$4&lt;='2025'!$M225), AC$4&lt;&gt;DATE(2025,7,4)), (SWITCH(weekday(AC$4), 1, 0, 2, if(ISBLANK('2025'!$P225), 0, 1), 3, if(ISBLANK('2025'!$Q225), 0, 1), 4, if(ISBLANK('2025'!$R225), 0, 1), 5, if(ISBLANK('2025'!$S225), 0, 1), 6, if(ISBLANK('2025'!$T225), 0, 1), 7, 0))), 1, "")</f>
        <v/>
      </c>
      <c r="AD227" s="1" t="str">
        <f>IF(AND(AND(AND(AD$4&gt;='2025'!$L225,AD$4&lt;='2025'!$M225), AD$4&lt;&gt;DATE(2025,7,4)), (SWITCH(weekday(AD$4), 1, 0, 2, if(ISBLANK('2025'!$P225), 0, 1), 3, if(ISBLANK('2025'!$Q225), 0, 1), 4, if(ISBLANK('2025'!$R225), 0, 1), 5, if(ISBLANK('2025'!$S225), 0, 1), 6, if(ISBLANK('2025'!$T225), 0, 1), 7, 0))), 1, "")</f>
        <v/>
      </c>
      <c r="AE227" s="1" t="str">
        <f>IF(AND(AND(AND(AE$4&gt;='2025'!$L225,AE$4&lt;='2025'!$M225), AE$4&lt;&gt;DATE(2025,7,4)), (SWITCH(weekday(AE$4), 1, 0, 2, if(ISBLANK('2025'!$P225), 0, 1), 3, if(ISBLANK('2025'!$Q225), 0, 1), 4, if(ISBLANK('2025'!$R225), 0, 1), 5, if(ISBLANK('2025'!$S225), 0, 1), 6, if(ISBLANK('2025'!$T225), 0, 1), 7, 0))), 1, "")</f>
        <v/>
      </c>
      <c r="AF227" s="1" t="str">
        <f>IF(AND(AND(AND(AF$4&gt;='2025'!$L225,AF$4&lt;='2025'!$M225), AF$4&lt;&gt;DATE(2025,7,4)), (SWITCH(weekday(AF$4), 1, 0, 2, if(ISBLANK('2025'!$P225), 0, 1), 3, if(ISBLANK('2025'!$Q225), 0, 1), 4, if(ISBLANK('2025'!$R225), 0, 1), 5, if(ISBLANK('2025'!$S225), 0, 1), 6, if(ISBLANK('2025'!$T225), 0, 1), 7, 0))), 1, "")</f>
        <v/>
      </c>
      <c r="AG227" s="1" t="str">
        <f>IF(AND(AND(AND(AG$4&gt;='2025'!$L225,AG$4&lt;='2025'!$M225), AG$4&lt;&gt;DATE(2025,7,4)), (SWITCH(weekday(AG$4), 1, 0, 2, if(ISBLANK('2025'!$P225), 0, 1), 3, if(ISBLANK('2025'!$Q225), 0, 1), 4, if(ISBLANK('2025'!$R225), 0, 1), 5, if(ISBLANK('2025'!$S225), 0, 1), 6, if(ISBLANK('2025'!$T225), 0, 1), 7, 0))), 1, "")</f>
        <v/>
      </c>
      <c r="AH227" s="1" t="str">
        <f>IF(AND(AND(AND(AH$4&gt;='2025'!$L225,AH$4&lt;='2025'!$M225), AH$4&lt;&gt;DATE(2025,7,4)), (SWITCH(weekday(AH$4), 1, 0, 2, if(ISBLANK('2025'!$P225), 0, 1), 3, if(ISBLANK('2025'!$Q225), 0, 1), 4, if(ISBLANK('2025'!$R225), 0, 1), 5, if(ISBLANK('2025'!$S225), 0, 1), 6, if(ISBLANK('2025'!$T225), 0, 1), 7, 0))), 1, "")</f>
        <v/>
      </c>
      <c r="AI227" s="1" t="str">
        <f>IF(AND(AND(AND(AI$4&gt;='2025'!$L225,AI$4&lt;='2025'!$M225), AI$4&lt;&gt;DATE(2025,7,4)), (SWITCH(weekday(AI$4), 1, 0, 2, if(ISBLANK('2025'!$P225), 0, 1), 3, if(ISBLANK('2025'!$Q225), 0, 1), 4, if(ISBLANK('2025'!$R225), 0, 1), 5, if(ISBLANK('2025'!$S225), 0, 1), 6, if(ISBLANK('2025'!$T225), 0, 1), 7, 0))), 1, "")</f>
        <v/>
      </c>
      <c r="AJ227" s="1" t="str">
        <f>IF(AND(AND(AND(AJ$4&gt;='2025'!$L225,AJ$4&lt;='2025'!$M225), AJ$4&lt;&gt;DATE(2025,7,4)), (SWITCH(weekday(AJ$4), 1, 0, 2, if(ISBLANK('2025'!$P225), 0, 1), 3, if(ISBLANK('2025'!$Q225), 0, 1), 4, if(ISBLANK('2025'!$R225), 0, 1), 5, if(ISBLANK('2025'!$S225), 0, 1), 6, if(ISBLANK('2025'!$T225), 0, 1), 7, 0))), 1, "")</f>
        <v/>
      </c>
      <c r="AK227" s="1" t="str">
        <f>IF(AND(AND(AND(AK$4&gt;='2025'!$L225,AK$4&lt;='2025'!$M225), AK$4&lt;&gt;DATE(2025,7,4)), (SWITCH(weekday(AK$4), 1, 0, 2, if(ISBLANK('2025'!$P225), 0, 1), 3, if(ISBLANK('2025'!$Q225), 0, 1), 4, if(ISBLANK('2025'!$R225), 0, 1), 5, if(ISBLANK('2025'!$S225), 0, 1), 6, if(ISBLANK('2025'!$T225), 0, 1), 7, 0))), 1, "")</f>
        <v/>
      </c>
      <c r="AL227" s="1" t="str">
        <f>IF(AND(AND(AND(AL$4&gt;='2025'!$L225,AL$4&lt;='2025'!$M225), AL$4&lt;&gt;DATE(2025,7,4)), (SWITCH(weekday(AL$4), 1, 0, 2, if(ISBLANK('2025'!$P225), 0, 1), 3, if(ISBLANK('2025'!$Q225), 0, 1), 4, if(ISBLANK('2025'!$R225), 0, 1), 5, if(ISBLANK('2025'!$S225), 0, 1), 6, if(ISBLANK('2025'!$T225), 0, 1), 7, 0))), 1, "")</f>
        <v/>
      </c>
      <c r="AM227" s="1" t="str">
        <f>IF(AND(AND(AND(AM$4&gt;='2025'!$L225,AM$4&lt;='2025'!$M225), AM$4&lt;&gt;DATE(2025,7,4)), (SWITCH(weekday(AM$4), 1, 0, 2, if(ISBLANK('2025'!$P225), 0, 1), 3, if(ISBLANK('2025'!$Q225), 0, 1), 4, if(ISBLANK('2025'!$R225), 0, 1), 5, if(ISBLANK('2025'!$S225), 0, 1), 6, if(ISBLANK('2025'!$T225), 0, 1), 7, 0))), 1, "")</f>
        <v/>
      </c>
      <c r="AN227" s="1" t="str">
        <f>IF(AND(AND(AND(AN$4&gt;='2025'!$L225,AN$4&lt;='2025'!$M225), AN$4&lt;&gt;DATE(2025,7,4)), (SWITCH(weekday(AN$4), 1, 0, 2, if(ISBLANK('2025'!$P225), 0, 1), 3, if(ISBLANK('2025'!$Q225), 0, 1), 4, if(ISBLANK('2025'!$R225), 0, 1), 5, if(ISBLANK('2025'!$S225), 0, 1), 6, if(ISBLANK('2025'!$T225), 0, 1), 7, 0))), 1, "")</f>
        <v/>
      </c>
      <c r="AO227" s="1" t="str">
        <f>IF(AND(AND(AND(AO$4&gt;='2025'!$L225,AO$4&lt;='2025'!$M225), AO$4&lt;&gt;DATE(2025,7,4)), (SWITCH(weekday(AO$4), 1, 0, 2, if(ISBLANK('2025'!$P225), 0, 1), 3, if(ISBLANK('2025'!$Q225), 0, 1), 4, if(ISBLANK('2025'!$R225), 0, 1), 5, if(ISBLANK('2025'!$S225), 0, 1), 6, if(ISBLANK('2025'!$T225), 0, 1), 7, 0))), 1, "")</f>
        <v/>
      </c>
      <c r="AP227" s="1" t="str">
        <f>IF(AND(AND(AND(AP$4&gt;='2025'!$L225,AP$4&lt;='2025'!$M225), AP$4&lt;&gt;DATE(2025,7,4)), (SWITCH(weekday(AP$4), 1, 0, 2, if(ISBLANK('2025'!$P225), 0, 1), 3, if(ISBLANK('2025'!$Q225), 0, 1), 4, if(ISBLANK('2025'!$R225), 0, 1), 5, if(ISBLANK('2025'!$S225), 0, 1), 6, if(ISBLANK('2025'!$T225), 0, 1), 7, 0))), 1, "")</f>
        <v/>
      </c>
      <c r="AQ227" s="1" t="str">
        <f>IF(AND(AND(AND(AQ$4&gt;='2025'!$L225,AQ$4&lt;='2025'!$M225), AQ$4&lt;&gt;DATE(2025,7,4)), (SWITCH(weekday(AQ$4), 1, 0, 2, if(ISBLANK('2025'!$P225), 0, 1), 3, if(ISBLANK('2025'!$Q225), 0, 1), 4, if(ISBLANK('2025'!$R225), 0, 1), 5, if(ISBLANK('2025'!$S225), 0, 1), 6, if(ISBLANK('2025'!$T225), 0, 1), 7, 0))), 1, "")</f>
        <v/>
      </c>
      <c r="AR227" s="1" t="str">
        <f>IF(AND(AND(AND(AR$4&gt;='2025'!$L225,AR$4&lt;='2025'!$M225), AR$4&lt;&gt;DATE(2025,7,4)), (SWITCH(weekday(AR$4), 1, 0, 2, if(ISBLANK('2025'!$P225), 0, 1), 3, if(ISBLANK('2025'!$Q225), 0, 1), 4, if(ISBLANK('2025'!$R225), 0, 1), 5, if(ISBLANK('2025'!$S225), 0, 1), 6, if(ISBLANK('2025'!$T225), 0, 1), 7, 0))), 1, "")</f>
        <v/>
      </c>
      <c r="AS227" s="1" t="str">
        <f>IF(AND(AND(AND(AS$4&gt;='2025'!$L225,AS$4&lt;='2025'!$M225), AS$4&lt;&gt;DATE(2025,7,4)), (SWITCH(weekday(AS$4), 1, 0, 2, if(ISBLANK('2025'!$P225), 0, 1), 3, if(ISBLANK('2025'!$Q225), 0, 1), 4, if(ISBLANK('2025'!$R225), 0, 1), 5, if(ISBLANK('2025'!$S225), 0, 1), 6, if(ISBLANK('2025'!$T225), 0, 1), 7, 0))), 1, "")</f>
        <v/>
      </c>
      <c r="AT227" s="1" t="str">
        <f>IF(AND(AND(AND(AT$4&gt;='2025'!$L225,AT$4&lt;='2025'!$M225), AT$4&lt;&gt;DATE(2025,7,4)), (SWITCH(weekday(AT$4), 1, 0, 2, if(ISBLANK('2025'!$P225), 0, 1), 3, if(ISBLANK('2025'!$Q225), 0, 1), 4, if(ISBLANK('2025'!$R225), 0, 1), 5, if(ISBLANK('2025'!$S225), 0, 1), 6, if(ISBLANK('2025'!$T225), 0, 1), 7, 0))), 1, "")</f>
        <v/>
      </c>
      <c r="AU227" s="1" t="str">
        <f>IF(AND(AND(AND(AU$4&gt;='2025'!$L225,AU$4&lt;='2025'!$M225), AU$4&lt;&gt;DATE(2025,7,4)), (SWITCH(weekday(AU$4), 1, 0, 2, if(ISBLANK('2025'!$P225), 0, 1), 3, if(ISBLANK('2025'!$Q225), 0, 1), 4, if(ISBLANK('2025'!$R225), 0, 1), 5, if(ISBLANK('2025'!$S225), 0, 1), 6, if(ISBLANK('2025'!$T225), 0, 1), 7, 0))), 1, "")</f>
        <v/>
      </c>
      <c r="AV227" s="1" t="str">
        <f>IF(AND(AND(AND(AV$4&gt;='2025'!$L225,AV$4&lt;='2025'!$M225), AV$4&lt;&gt;DATE(2025,7,4)), (SWITCH(weekday(AV$4), 1, 0, 2, if(ISBLANK('2025'!$P225), 0, 1), 3, if(ISBLANK('2025'!$Q225), 0, 1), 4, if(ISBLANK('2025'!$R225), 0, 1), 5, if(ISBLANK('2025'!$S225), 0, 1), 6, if(ISBLANK('2025'!$T225), 0, 1), 7, 0))), 1, "")</f>
        <v/>
      </c>
      <c r="AW227" s="1" t="str">
        <f>IF(AND(AND(AND(AW$4&gt;='2025'!$L225,AW$4&lt;='2025'!$M225), AW$4&lt;&gt;DATE(2025,7,4)), (SWITCH(weekday(AW$4), 1, 0, 2, if(ISBLANK('2025'!$P225), 0, 1), 3, if(ISBLANK('2025'!$Q225), 0, 1), 4, if(ISBLANK('2025'!$R225), 0, 1), 5, if(ISBLANK('2025'!$S225), 0, 1), 6, if(ISBLANK('2025'!$T225), 0, 1), 7, 0))), 1, "")</f>
        <v/>
      </c>
      <c r="AX227" s="1" t="str">
        <f>IF(AND(AND(AND(AX$4&gt;='2025'!$L225,AX$4&lt;='2025'!$M225), AX$4&lt;&gt;DATE(2025,7,4)), (SWITCH(weekday(AX$4), 1, 0, 2, if(ISBLANK('2025'!$P225), 0, 1), 3, if(ISBLANK('2025'!$Q225), 0, 1), 4, if(ISBLANK('2025'!$R225), 0, 1), 5, if(ISBLANK('2025'!$S225), 0, 1), 6, if(ISBLANK('2025'!$T225), 0, 1), 7, 0))), 1, "")</f>
        <v/>
      </c>
      <c r="AY227" s="1" t="str">
        <f>IF(AND(AND(AND(AY$4&gt;='2025'!$L225,AY$4&lt;='2025'!$M225), AY$4&lt;&gt;DATE(2025,7,4)), (SWITCH(weekday(AY$4), 1, 0, 2, if(ISBLANK('2025'!$P225), 0, 1), 3, if(ISBLANK('2025'!$Q225), 0, 1), 4, if(ISBLANK('2025'!$R225), 0, 1), 5, if(ISBLANK('2025'!$S225), 0, 1), 6, if(ISBLANK('2025'!$T225), 0, 1), 7, 0))), 1, "")</f>
        <v/>
      </c>
      <c r="AZ227" s="1" t="str">
        <f>IF(AND(AND(AND(AZ$4&gt;='2025'!$L225,AZ$4&lt;='2025'!$M225), AZ$4&lt;&gt;DATE(2025,7,4)), (SWITCH(weekday(AZ$4), 1, 0, 2, if(ISBLANK('2025'!$P225), 0, 1), 3, if(ISBLANK('2025'!$Q225), 0, 1), 4, if(ISBLANK('2025'!$R225), 0, 1), 5, if(ISBLANK('2025'!$S225), 0, 1), 6, if(ISBLANK('2025'!$T225), 0, 1), 7, 0))), 1, "")</f>
        <v/>
      </c>
      <c r="BA227" s="1" t="str">
        <f>IF(AND(AND(AND(BA$4&gt;='2025'!$L225,BA$4&lt;='2025'!$M225), BA$4&lt;&gt;DATE(2025,7,4)), (SWITCH(weekday(BA$4), 1, 0, 2, if(ISBLANK('2025'!$P225), 0, 1), 3, if(ISBLANK('2025'!$Q225), 0, 1), 4, if(ISBLANK('2025'!$R225), 0, 1), 5, if(ISBLANK('2025'!$S225), 0, 1), 6, if(ISBLANK('2025'!$T225), 0, 1), 7, 0))), 1, "")</f>
        <v/>
      </c>
      <c r="BB227" s="1" t="str">
        <f>IF(AND(AND(AND(BB$4&gt;='2025'!$L225,BB$4&lt;='2025'!$M225), BB$4&lt;&gt;DATE(2025,7,4)), (SWITCH(weekday(BB$4), 1, 0, 2, if(ISBLANK('2025'!$P225), 0, 1), 3, if(ISBLANK('2025'!$Q225), 0, 1), 4, if(ISBLANK('2025'!$R225), 0, 1), 5, if(ISBLANK('2025'!$S225), 0, 1), 6, if(ISBLANK('2025'!$T225), 0, 1), 7, 0))), 1, "")</f>
        <v/>
      </c>
      <c r="BC227" s="1" t="str">
        <f>IF(AND(AND(AND(BC$4&gt;='2025'!$L225,BC$4&lt;='2025'!$M225), BC$4&lt;&gt;DATE(2025,7,4)), (SWITCH(weekday(BC$4), 1, 0, 2, if(ISBLANK('2025'!$P225), 0, 1), 3, if(ISBLANK('2025'!$Q225), 0, 1), 4, if(ISBLANK('2025'!$R225), 0, 1), 5, if(ISBLANK('2025'!$S225), 0, 1), 6, if(ISBLANK('2025'!$T225), 0, 1), 7, 0))), 1, "")</f>
        <v/>
      </c>
      <c r="BD227" s="1" t="str">
        <f>IF(AND(AND(AND(BD$4&gt;='2025'!$L225,BD$4&lt;='2025'!$M225), BD$4&lt;&gt;DATE(2025,7,4)), (SWITCH(weekday(BD$4), 1, 0, 2, if(ISBLANK('2025'!$P225), 0, 1), 3, if(ISBLANK('2025'!$Q225), 0, 1), 4, if(ISBLANK('2025'!$R225), 0, 1), 5, if(ISBLANK('2025'!$S225), 0, 1), 6, if(ISBLANK('2025'!$T225), 0, 1), 7, 0))), 1, "")</f>
        <v/>
      </c>
      <c r="BE227" s="1" t="str">
        <f>IF(AND(AND(AND(BE$4&gt;='2025'!$L225,BE$4&lt;='2025'!$M225), BE$4&lt;&gt;DATE(2025,7,4)), (SWITCH(weekday(BE$4), 1, 0, 2, if(ISBLANK('2025'!$P225), 0, 1), 3, if(ISBLANK('2025'!$Q225), 0, 1), 4, if(ISBLANK('2025'!$R225), 0, 1), 5, if(ISBLANK('2025'!$S225), 0, 1), 6, if(ISBLANK('2025'!$T225), 0, 1), 7, 0))), 1, "")</f>
        <v/>
      </c>
      <c r="BF227" s="1" t="str">
        <f>IF(AND(AND(AND(BF$4&gt;='2025'!$L225,BF$4&lt;='2025'!$M225), BF$4&lt;&gt;DATE(2025,7,4)), (SWITCH(weekday(BF$4), 1, 0, 2, if(ISBLANK('2025'!$P225), 0, 1), 3, if(ISBLANK('2025'!$Q225), 0, 1), 4, if(ISBLANK('2025'!$R225), 0, 1), 5, if(ISBLANK('2025'!$S225), 0, 1), 6, if(ISBLANK('2025'!$T225), 0, 1), 7, 0))), 1, "")</f>
        <v/>
      </c>
      <c r="BG227" s="1"/>
      <c r="BH227" s="1"/>
      <c r="BI227" s="1"/>
      <c r="BJ227" s="1"/>
      <c r="BK227" s="1"/>
      <c r="BL227" s="1"/>
    </row>
    <row r="228">
      <c r="A228" s="1">
        <f t="shared" si="3"/>
        <v>228</v>
      </c>
      <c r="B228" s="1" t="str">
        <f>'2025'!D192</f>
        <v>, </v>
      </c>
      <c r="C228" s="1" t="str">
        <f>'2025'!H192</f>
        <v/>
      </c>
      <c r="D228" s="1" t="str">
        <f>IF(AND(AND(AND(D$4&gt;='2025'!$L226,D$4&lt;='2025'!$M226), D$4&lt;&gt;DATE(2025,7,4)), (SWITCH(weekday(D$4), 1, 0, 2, if(ISBLANK('2025'!$P226), 0, 1), 3, if(ISBLANK('2025'!$Q226), 0, 1), 4, if(ISBLANK('2025'!$R226), 0, 1), 5, if(ISBLANK('2025'!$S226), 0, 1), 6, if(ISBLANK('2025'!$T226), 0, 1), 7, 0))), 1, "")</f>
        <v/>
      </c>
      <c r="E228" s="1" t="str">
        <f>IF(AND(AND(AND(E$4&gt;='2025'!$L226,E$4&lt;='2025'!$M226), E$4&lt;&gt;DATE(2025,7,4)), (SWITCH(weekday(E$4), 1, 0, 2, if(ISBLANK('2025'!$P226), 0, 1), 3, if(ISBLANK('2025'!$Q226), 0, 1), 4, if(ISBLANK('2025'!$R226), 0, 1), 5, if(ISBLANK('2025'!$S226), 0, 1), 6, if(ISBLANK('2025'!$T226), 0, 1), 7, 0))), 1, "")</f>
        <v/>
      </c>
      <c r="F228" s="1" t="str">
        <f>IF(AND(AND(AND(F$4&gt;='2025'!$L226,F$4&lt;='2025'!$M226), F$4&lt;&gt;DATE(2025,7,4)), (SWITCH(weekday(F$4), 1, 0, 2, if(ISBLANK('2025'!$P226), 0, 1), 3, if(ISBLANK('2025'!$Q226), 0, 1), 4, if(ISBLANK('2025'!$R226), 0, 1), 5, if(ISBLANK('2025'!$S226), 0, 1), 6, if(ISBLANK('2025'!$T226), 0, 1), 7, 0))), 1, "")</f>
        <v/>
      </c>
      <c r="G228" s="1" t="str">
        <f>IF(AND(AND(AND(G$4&gt;='2025'!$L226,G$4&lt;='2025'!$M226), G$4&lt;&gt;DATE(2025,7,4)), (SWITCH(weekday(G$4), 1, 0, 2, if(ISBLANK('2025'!$P226), 0, 1), 3, if(ISBLANK('2025'!$Q226), 0, 1), 4, if(ISBLANK('2025'!$R226), 0, 1), 5, if(ISBLANK('2025'!$S226), 0, 1), 6, if(ISBLANK('2025'!$T226), 0, 1), 7, 0))), 1, "")</f>
        <v/>
      </c>
      <c r="H228" s="1" t="str">
        <f>IF(AND(AND(AND(H$4&gt;='2025'!$L226,H$4&lt;='2025'!$M226), H$4&lt;&gt;DATE(2025,7,4)), (SWITCH(weekday(H$4), 1, 0, 2, if(ISBLANK('2025'!$P226), 0, 1), 3, if(ISBLANK('2025'!$Q226), 0, 1), 4, if(ISBLANK('2025'!$R226), 0, 1), 5, if(ISBLANK('2025'!$S226), 0, 1), 6, if(ISBLANK('2025'!$T226), 0, 1), 7, 0))), 1, "")</f>
        <v/>
      </c>
      <c r="I228" s="1" t="str">
        <f>IF(AND(AND(AND(I$4&gt;='2025'!$L226,I$4&lt;='2025'!$M226), I$4&lt;&gt;DATE(2025,7,4)), (SWITCH(weekday(I$4), 1, 0, 2, if(ISBLANK('2025'!$P226), 0, 1), 3, if(ISBLANK('2025'!$Q226), 0, 1), 4, if(ISBLANK('2025'!$R226), 0, 1), 5, if(ISBLANK('2025'!$S226), 0, 1), 6, if(ISBLANK('2025'!$T226), 0, 1), 7, 0))), 1, "")</f>
        <v/>
      </c>
      <c r="J228" s="1" t="str">
        <f>IF(AND(AND(AND(J$4&gt;='2025'!$L226,J$4&lt;='2025'!$M226), J$4&lt;&gt;DATE(2025,7,4)), (SWITCH(weekday(J$4), 1, 0, 2, if(ISBLANK('2025'!$P226), 0, 1), 3, if(ISBLANK('2025'!$Q226), 0, 1), 4, if(ISBLANK('2025'!$R226), 0, 1), 5, if(ISBLANK('2025'!$S226), 0, 1), 6, if(ISBLANK('2025'!$T226), 0, 1), 7, 0))), 1, "")</f>
        <v/>
      </c>
      <c r="K228" s="1" t="str">
        <f>IF(AND(AND(AND(K$4&gt;='2025'!$L226,K$4&lt;='2025'!$M226), K$4&lt;&gt;DATE(2025,7,4)), (SWITCH(weekday(K$4), 1, 0, 2, if(ISBLANK('2025'!$P226), 0, 1), 3, if(ISBLANK('2025'!$Q226), 0, 1), 4, if(ISBLANK('2025'!$R226), 0, 1), 5, if(ISBLANK('2025'!$S226), 0, 1), 6, if(ISBLANK('2025'!$T226), 0, 1), 7, 0))), 1, "")</f>
        <v/>
      </c>
      <c r="L228" s="1" t="str">
        <f>IF(AND(AND(AND(L$4&gt;='2025'!$L226,L$4&lt;='2025'!$M226), L$4&lt;&gt;DATE(2025,7,4)), (SWITCH(weekday(L$4), 1, 0, 2, if(ISBLANK('2025'!$P226), 0, 1), 3, if(ISBLANK('2025'!$Q226), 0, 1), 4, if(ISBLANK('2025'!$R226), 0, 1), 5, if(ISBLANK('2025'!$S226), 0, 1), 6, if(ISBLANK('2025'!$T226), 0, 1), 7, 0))), 1, "")</f>
        <v/>
      </c>
      <c r="M228" s="1" t="str">
        <f>IF(AND(AND(AND(M$4&gt;='2025'!$L226,M$4&lt;='2025'!$M226), M$4&lt;&gt;DATE(2025,7,4)), (SWITCH(weekday(M$4), 1, 0, 2, if(ISBLANK('2025'!$P226), 0, 1), 3, if(ISBLANK('2025'!$Q226), 0, 1), 4, if(ISBLANK('2025'!$R226), 0, 1), 5, if(ISBLANK('2025'!$S226), 0, 1), 6, if(ISBLANK('2025'!$T226), 0, 1), 7, 0))), 1, "")</f>
        <v/>
      </c>
      <c r="N228" s="1" t="str">
        <f>IF(AND(AND(AND(N$4&gt;='2025'!$L226,N$4&lt;='2025'!$M226), N$4&lt;&gt;DATE(2025,7,4)), (SWITCH(weekday(N$4), 1, 0, 2, if(ISBLANK('2025'!$P226), 0, 1), 3, if(ISBLANK('2025'!$Q226), 0, 1), 4, if(ISBLANK('2025'!$R226), 0, 1), 5, if(ISBLANK('2025'!$S226), 0, 1), 6, if(ISBLANK('2025'!$T226), 0, 1), 7, 0))), 1, "")</f>
        <v/>
      </c>
      <c r="O228" s="1" t="str">
        <f>IF(AND(AND(AND(O$4&gt;='2025'!$L226,O$4&lt;='2025'!$M226), O$4&lt;&gt;DATE(2025,7,4)), (SWITCH(weekday(O$4), 1, 0, 2, if(ISBLANK('2025'!$P226), 0, 1), 3, if(ISBLANK('2025'!$Q226), 0, 1), 4, if(ISBLANK('2025'!$R226), 0, 1), 5, if(ISBLANK('2025'!$S226), 0, 1), 6, if(ISBLANK('2025'!$T226), 0, 1), 7, 0))), 1, "")</f>
        <v/>
      </c>
      <c r="P228" s="1" t="str">
        <f>IF(AND(AND(AND(P$4&gt;='2025'!$L226,P$4&lt;='2025'!$M226), P$4&lt;&gt;DATE(2025,7,4)), (SWITCH(weekday(P$4), 1, 0, 2, if(ISBLANK('2025'!$P226), 0, 1), 3, if(ISBLANK('2025'!$Q226), 0, 1), 4, if(ISBLANK('2025'!$R226), 0, 1), 5, if(ISBLANK('2025'!$S226), 0, 1), 6, if(ISBLANK('2025'!$T226), 0, 1), 7, 0))), 1, "")</f>
        <v/>
      </c>
      <c r="Q228" s="1" t="str">
        <f>IF(AND(AND(AND(Q$4&gt;='2025'!$L226,Q$4&lt;='2025'!$M226), Q$4&lt;&gt;DATE(2025,7,4)), (SWITCH(weekday(Q$4), 1, 0, 2, if(ISBLANK('2025'!$P226), 0, 1), 3, if(ISBLANK('2025'!$Q226), 0, 1), 4, if(ISBLANK('2025'!$R226), 0, 1), 5, if(ISBLANK('2025'!$S226), 0, 1), 6, if(ISBLANK('2025'!$T226), 0, 1), 7, 0))), 1, "")</f>
        <v/>
      </c>
      <c r="R228" s="1" t="str">
        <f>IF(AND(AND(AND(R$4&gt;='2025'!$L226,R$4&lt;='2025'!$M226), R$4&lt;&gt;DATE(2025,7,4)), (SWITCH(weekday(R$4), 1, 0, 2, if(ISBLANK('2025'!$P226), 0, 1), 3, if(ISBLANK('2025'!$Q226), 0, 1), 4, if(ISBLANK('2025'!$R226), 0, 1), 5, if(ISBLANK('2025'!$S226), 0, 1), 6, if(ISBLANK('2025'!$T226), 0, 1), 7, 0))), 1, "")</f>
        <v/>
      </c>
      <c r="S228" s="1" t="str">
        <f>IF(AND(AND(AND(S$4&gt;='2025'!$L226,S$4&lt;='2025'!$M226), S$4&lt;&gt;DATE(2025,7,4)), (SWITCH(weekday(S$4), 1, 0, 2, if(ISBLANK('2025'!$P226), 0, 1), 3, if(ISBLANK('2025'!$Q226), 0, 1), 4, if(ISBLANK('2025'!$R226), 0, 1), 5, if(ISBLANK('2025'!$S226), 0, 1), 6, if(ISBLANK('2025'!$T226), 0, 1), 7, 0))), 1, "")</f>
        <v/>
      </c>
      <c r="T228" s="1" t="str">
        <f>IF(AND(AND(AND(T$4&gt;='2025'!$L226,T$4&lt;='2025'!$M226), T$4&lt;&gt;DATE(2025,7,4)), (SWITCH(weekday(T$4), 1, 0, 2, if(ISBLANK('2025'!$P226), 0, 1), 3, if(ISBLANK('2025'!$Q226), 0, 1), 4, if(ISBLANK('2025'!$R226), 0, 1), 5, if(ISBLANK('2025'!$S226), 0, 1), 6, if(ISBLANK('2025'!$T226), 0, 1), 7, 0))), 1, "")</f>
        <v/>
      </c>
      <c r="U228" s="1" t="str">
        <f>IF(AND(AND(AND(U$4&gt;='2025'!$L226,U$4&lt;='2025'!$M226), U$4&lt;&gt;DATE(2025,7,4)), (SWITCH(weekday(U$4), 1, 0, 2, if(ISBLANK('2025'!$P226), 0, 1), 3, if(ISBLANK('2025'!$Q226), 0, 1), 4, if(ISBLANK('2025'!$R226), 0, 1), 5, if(ISBLANK('2025'!$S226), 0, 1), 6, if(ISBLANK('2025'!$T226), 0, 1), 7, 0))), 1, "")</f>
        <v/>
      </c>
      <c r="V228" s="1" t="str">
        <f>IF(AND(AND(AND(V$4&gt;='2025'!$L226,V$4&lt;='2025'!$M226), V$4&lt;&gt;DATE(2025,7,4)), (SWITCH(weekday(V$4), 1, 0, 2, if(ISBLANK('2025'!$P226), 0, 1), 3, if(ISBLANK('2025'!$Q226), 0, 1), 4, if(ISBLANK('2025'!$R226), 0, 1), 5, if(ISBLANK('2025'!$S226), 0, 1), 6, if(ISBLANK('2025'!$T226), 0, 1), 7, 0))), 1, "")</f>
        <v/>
      </c>
      <c r="W228" s="1" t="str">
        <f>IF(AND(AND(AND(W$4&gt;='2025'!$L226,W$4&lt;='2025'!$M226), W$4&lt;&gt;DATE(2025,7,4)), (SWITCH(weekday(W$4), 1, 0, 2, if(ISBLANK('2025'!$P226), 0, 1), 3, if(ISBLANK('2025'!$Q226), 0, 1), 4, if(ISBLANK('2025'!$R226), 0, 1), 5, if(ISBLANK('2025'!$S226), 0, 1), 6, if(ISBLANK('2025'!$T226), 0, 1), 7, 0))), 1, "")</f>
        <v/>
      </c>
      <c r="X228" s="1" t="str">
        <f>IF(AND(AND(AND(X$4&gt;='2025'!$L226,X$4&lt;='2025'!$M226), X$4&lt;&gt;DATE(2025,7,4)), (SWITCH(weekday(X$4), 1, 0, 2, if(ISBLANK('2025'!$P226), 0, 1), 3, if(ISBLANK('2025'!$Q226), 0, 1), 4, if(ISBLANK('2025'!$R226), 0, 1), 5, if(ISBLANK('2025'!$S226), 0, 1), 6, if(ISBLANK('2025'!$T226), 0, 1), 7, 0))), 1, "")</f>
        <v/>
      </c>
      <c r="Y228" s="1" t="str">
        <f>IF(AND(AND(AND(Y$4&gt;='2025'!$L226,Y$4&lt;='2025'!$M226), Y$4&lt;&gt;DATE(2025,7,4)), (SWITCH(weekday(Y$4), 1, 0, 2, if(ISBLANK('2025'!$P226), 0, 1), 3, if(ISBLANK('2025'!$Q226), 0, 1), 4, if(ISBLANK('2025'!$R226), 0, 1), 5, if(ISBLANK('2025'!$S226), 0, 1), 6, if(ISBLANK('2025'!$T226), 0, 1), 7, 0))), 1, "")</f>
        <v/>
      </c>
      <c r="Z228" s="1" t="str">
        <f>IF(AND(AND(AND(Z$4&gt;='2025'!$L226,Z$4&lt;='2025'!$M226), Z$4&lt;&gt;DATE(2025,7,4)), (SWITCH(weekday(Z$4), 1, 0, 2, if(ISBLANK('2025'!$P226), 0, 1), 3, if(ISBLANK('2025'!$Q226), 0, 1), 4, if(ISBLANK('2025'!$R226), 0, 1), 5, if(ISBLANK('2025'!$S226), 0, 1), 6, if(ISBLANK('2025'!$T226), 0, 1), 7, 0))), 1, "")</f>
        <v/>
      </c>
      <c r="AA228" s="1" t="str">
        <f>IF(AND(AND(AND(AA$4&gt;='2025'!$L226,AA$4&lt;='2025'!$M226), AA$4&lt;&gt;DATE(2025,7,4)), (SWITCH(weekday(AA$4), 1, 0, 2, if(ISBLANK('2025'!$P226), 0, 1), 3, if(ISBLANK('2025'!$Q226), 0, 1), 4, if(ISBLANK('2025'!$R226), 0, 1), 5, if(ISBLANK('2025'!$S226), 0, 1), 6, if(ISBLANK('2025'!$T226), 0, 1), 7, 0))), 1, "")</f>
        <v/>
      </c>
      <c r="AB228" s="1" t="str">
        <f>IF(AND(AND(AND(AB$4&gt;='2025'!$L226,AB$4&lt;='2025'!$M226), AB$4&lt;&gt;DATE(2025,7,4)), (SWITCH(weekday(AB$4), 1, 0, 2, if(ISBLANK('2025'!$P226), 0, 1), 3, if(ISBLANK('2025'!$Q226), 0, 1), 4, if(ISBLANK('2025'!$R226), 0, 1), 5, if(ISBLANK('2025'!$S226), 0, 1), 6, if(ISBLANK('2025'!$T226), 0, 1), 7, 0))), 1, "")</f>
        <v/>
      </c>
      <c r="AC228" s="1" t="str">
        <f>IF(AND(AND(AND(AC$4&gt;='2025'!$L226,AC$4&lt;='2025'!$M226), AC$4&lt;&gt;DATE(2025,7,4)), (SWITCH(weekday(AC$4), 1, 0, 2, if(ISBLANK('2025'!$P226), 0, 1), 3, if(ISBLANK('2025'!$Q226), 0, 1), 4, if(ISBLANK('2025'!$R226), 0, 1), 5, if(ISBLANK('2025'!$S226), 0, 1), 6, if(ISBLANK('2025'!$T226), 0, 1), 7, 0))), 1, "")</f>
        <v/>
      </c>
      <c r="AD228" s="1" t="str">
        <f>IF(AND(AND(AND(AD$4&gt;='2025'!$L226,AD$4&lt;='2025'!$M226), AD$4&lt;&gt;DATE(2025,7,4)), (SWITCH(weekday(AD$4), 1, 0, 2, if(ISBLANK('2025'!$P226), 0, 1), 3, if(ISBLANK('2025'!$Q226), 0, 1), 4, if(ISBLANK('2025'!$R226), 0, 1), 5, if(ISBLANK('2025'!$S226), 0, 1), 6, if(ISBLANK('2025'!$T226), 0, 1), 7, 0))), 1, "")</f>
        <v/>
      </c>
      <c r="AE228" s="1" t="str">
        <f>IF(AND(AND(AND(AE$4&gt;='2025'!$L226,AE$4&lt;='2025'!$M226), AE$4&lt;&gt;DATE(2025,7,4)), (SWITCH(weekday(AE$4), 1, 0, 2, if(ISBLANK('2025'!$P226), 0, 1), 3, if(ISBLANK('2025'!$Q226), 0, 1), 4, if(ISBLANK('2025'!$R226), 0, 1), 5, if(ISBLANK('2025'!$S226), 0, 1), 6, if(ISBLANK('2025'!$T226), 0, 1), 7, 0))), 1, "")</f>
        <v/>
      </c>
      <c r="AF228" s="1" t="str">
        <f>IF(AND(AND(AND(AF$4&gt;='2025'!$L226,AF$4&lt;='2025'!$M226), AF$4&lt;&gt;DATE(2025,7,4)), (SWITCH(weekday(AF$4), 1, 0, 2, if(ISBLANK('2025'!$P226), 0, 1), 3, if(ISBLANK('2025'!$Q226), 0, 1), 4, if(ISBLANK('2025'!$R226), 0, 1), 5, if(ISBLANK('2025'!$S226), 0, 1), 6, if(ISBLANK('2025'!$T226), 0, 1), 7, 0))), 1, "")</f>
        <v/>
      </c>
      <c r="AG228" s="1" t="str">
        <f>IF(AND(AND(AND(AG$4&gt;='2025'!$L226,AG$4&lt;='2025'!$M226), AG$4&lt;&gt;DATE(2025,7,4)), (SWITCH(weekday(AG$4), 1, 0, 2, if(ISBLANK('2025'!$P226), 0, 1), 3, if(ISBLANK('2025'!$Q226), 0, 1), 4, if(ISBLANK('2025'!$R226), 0, 1), 5, if(ISBLANK('2025'!$S226), 0, 1), 6, if(ISBLANK('2025'!$T226), 0, 1), 7, 0))), 1, "")</f>
        <v/>
      </c>
      <c r="AH228" s="1" t="str">
        <f>IF(AND(AND(AND(AH$4&gt;='2025'!$L226,AH$4&lt;='2025'!$M226), AH$4&lt;&gt;DATE(2025,7,4)), (SWITCH(weekday(AH$4), 1, 0, 2, if(ISBLANK('2025'!$P226), 0, 1), 3, if(ISBLANK('2025'!$Q226), 0, 1), 4, if(ISBLANK('2025'!$R226), 0, 1), 5, if(ISBLANK('2025'!$S226), 0, 1), 6, if(ISBLANK('2025'!$T226), 0, 1), 7, 0))), 1, "")</f>
        <v/>
      </c>
      <c r="AI228" s="1" t="str">
        <f>IF(AND(AND(AND(AI$4&gt;='2025'!$L226,AI$4&lt;='2025'!$M226), AI$4&lt;&gt;DATE(2025,7,4)), (SWITCH(weekday(AI$4), 1, 0, 2, if(ISBLANK('2025'!$P226), 0, 1), 3, if(ISBLANK('2025'!$Q226), 0, 1), 4, if(ISBLANK('2025'!$R226), 0, 1), 5, if(ISBLANK('2025'!$S226), 0, 1), 6, if(ISBLANK('2025'!$T226), 0, 1), 7, 0))), 1, "")</f>
        <v/>
      </c>
      <c r="AJ228" s="1" t="str">
        <f>IF(AND(AND(AND(AJ$4&gt;='2025'!$L226,AJ$4&lt;='2025'!$M226), AJ$4&lt;&gt;DATE(2025,7,4)), (SWITCH(weekday(AJ$4), 1, 0, 2, if(ISBLANK('2025'!$P226), 0, 1), 3, if(ISBLANK('2025'!$Q226), 0, 1), 4, if(ISBLANK('2025'!$R226), 0, 1), 5, if(ISBLANK('2025'!$S226), 0, 1), 6, if(ISBLANK('2025'!$T226), 0, 1), 7, 0))), 1, "")</f>
        <v/>
      </c>
      <c r="AK228" s="1" t="str">
        <f>IF(AND(AND(AND(AK$4&gt;='2025'!$L226,AK$4&lt;='2025'!$M226), AK$4&lt;&gt;DATE(2025,7,4)), (SWITCH(weekday(AK$4), 1, 0, 2, if(ISBLANK('2025'!$P226), 0, 1), 3, if(ISBLANK('2025'!$Q226), 0, 1), 4, if(ISBLANK('2025'!$R226), 0, 1), 5, if(ISBLANK('2025'!$S226), 0, 1), 6, if(ISBLANK('2025'!$T226), 0, 1), 7, 0))), 1, "")</f>
        <v/>
      </c>
      <c r="AL228" s="1" t="str">
        <f>IF(AND(AND(AND(AL$4&gt;='2025'!$L226,AL$4&lt;='2025'!$M226), AL$4&lt;&gt;DATE(2025,7,4)), (SWITCH(weekday(AL$4), 1, 0, 2, if(ISBLANK('2025'!$P226), 0, 1), 3, if(ISBLANK('2025'!$Q226), 0, 1), 4, if(ISBLANK('2025'!$R226), 0, 1), 5, if(ISBLANK('2025'!$S226), 0, 1), 6, if(ISBLANK('2025'!$T226), 0, 1), 7, 0))), 1, "")</f>
        <v/>
      </c>
      <c r="AM228" s="1" t="str">
        <f>IF(AND(AND(AND(AM$4&gt;='2025'!$L226,AM$4&lt;='2025'!$M226), AM$4&lt;&gt;DATE(2025,7,4)), (SWITCH(weekday(AM$4), 1, 0, 2, if(ISBLANK('2025'!$P226), 0, 1), 3, if(ISBLANK('2025'!$Q226), 0, 1), 4, if(ISBLANK('2025'!$R226), 0, 1), 5, if(ISBLANK('2025'!$S226), 0, 1), 6, if(ISBLANK('2025'!$T226), 0, 1), 7, 0))), 1, "")</f>
        <v/>
      </c>
      <c r="AN228" s="1" t="str">
        <f>IF(AND(AND(AND(AN$4&gt;='2025'!$L226,AN$4&lt;='2025'!$M226), AN$4&lt;&gt;DATE(2025,7,4)), (SWITCH(weekday(AN$4), 1, 0, 2, if(ISBLANK('2025'!$P226), 0, 1), 3, if(ISBLANK('2025'!$Q226), 0, 1), 4, if(ISBLANK('2025'!$R226), 0, 1), 5, if(ISBLANK('2025'!$S226), 0, 1), 6, if(ISBLANK('2025'!$T226), 0, 1), 7, 0))), 1, "")</f>
        <v/>
      </c>
      <c r="AO228" s="1" t="str">
        <f>IF(AND(AND(AND(AO$4&gt;='2025'!$L226,AO$4&lt;='2025'!$M226), AO$4&lt;&gt;DATE(2025,7,4)), (SWITCH(weekday(AO$4), 1, 0, 2, if(ISBLANK('2025'!$P226), 0, 1), 3, if(ISBLANK('2025'!$Q226), 0, 1), 4, if(ISBLANK('2025'!$R226), 0, 1), 5, if(ISBLANK('2025'!$S226), 0, 1), 6, if(ISBLANK('2025'!$T226), 0, 1), 7, 0))), 1, "")</f>
        <v/>
      </c>
      <c r="AP228" s="1" t="str">
        <f>IF(AND(AND(AND(AP$4&gt;='2025'!$L226,AP$4&lt;='2025'!$M226), AP$4&lt;&gt;DATE(2025,7,4)), (SWITCH(weekday(AP$4), 1, 0, 2, if(ISBLANK('2025'!$P226), 0, 1), 3, if(ISBLANK('2025'!$Q226), 0, 1), 4, if(ISBLANK('2025'!$R226), 0, 1), 5, if(ISBLANK('2025'!$S226), 0, 1), 6, if(ISBLANK('2025'!$T226), 0, 1), 7, 0))), 1, "")</f>
        <v/>
      </c>
      <c r="AQ228" s="1" t="str">
        <f>IF(AND(AND(AND(AQ$4&gt;='2025'!$L226,AQ$4&lt;='2025'!$M226), AQ$4&lt;&gt;DATE(2025,7,4)), (SWITCH(weekday(AQ$4), 1, 0, 2, if(ISBLANK('2025'!$P226), 0, 1), 3, if(ISBLANK('2025'!$Q226), 0, 1), 4, if(ISBLANK('2025'!$R226), 0, 1), 5, if(ISBLANK('2025'!$S226), 0, 1), 6, if(ISBLANK('2025'!$T226), 0, 1), 7, 0))), 1, "")</f>
        <v/>
      </c>
      <c r="AR228" s="1" t="str">
        <f>IF(AND(AND(AND(AR$4&gt;='2025'!$L226,AR$4&lt;='2025'!$M226), AR$4&lt;&gt;DATE(2025,7,4)), (SWITCH(weekday(AR$4), 1, 0, 2, if(ISBLANK('2025'!$P226), 0, 1), 3, if(ISBLANK('2025'!$Q226), 0, 1), 4, if(ISBLANK('2025'!$R226), 0, 1), 5, if(ISBLANK('2025'!$S226), 0, 1), 6, if(ISBLANK('2025'!$T226), 0, 1), 7, 0))), 1, "")</f>
        <v/>
      </c>
      <c r="AS228" s="1" t="str">
        <f>IF(AND(AND(AND(AS$4&gt;='2025'!$L226,AS$4&lt;='2025'!$M226), AS$4&lt;&gt;DATE(2025,7,4)), (SWITCH(weekday(AS$4), 1, 0, 2, if(ISBLANK('2025'!$P226), 0, 1), 3, if(ISBLANK('2025'!$Q226), 0, 1), 4, if(ISBLANK('2025'!$R226), 0, 1), 5, if(ISBLANK('2025'!$S226), 0, 1), 6, if(ISBLANK('2025'!$T226), 0, 1), 7, 0))), 1, "")</f>
        <v/>
      </c>
      <c r="AT228" s="1" t="str">
        <f>IF(AND(AND(AND(AT$4&gt;='2025'!$L226,AT$4&lt;='2025'!$M226), AT$4&lt;&gt;DATE(2025,7,4)), (SWITCH(weekday(AT$4), 1, 0, 2, if(ISBLANK('2025'!$P226), 0, 1), 3, if(ISBLANK('2025'!$Q226), 0, 1), 4, if(ISBLANK('2025'!$R226), 0, 1), 5, if(ISBLANK('2025'!$S226), 0, 1), 6, if(ISBLANK('2025'!$T226), 0, 1), 7, 0))), 1, "")</f>
        <v/>
      </c>
      <c r="AU228" s="1" t="str">
        <f>IF(AND(AND(AND(AU$4&gt;='2025'!$L226,AU$4&lt;='2025'!$M226), AU$4&lt;&gt;DATE(2025,7,4)), (SWITCH(weekday(AU$4), 1, 0, 2, if(ISBLANK('2025'!$P226), 0, 1), 3, if(ISBLANK('2025'!$Q226), 0, 1), 4, if(ISBLANK('2025'!$R226), 0, 1), 5, if(ISBLANK('2025'!$S226), 0, 1), 6, if(ISBLANK('2025'!$T226), 0, 1), 7, 0))), 1, "")</f>
        <v/>
      </c>
      <c r="AV228" s="1" t="str">
        <f>IF(AND(AND(AND(AV$4&gt;='2025'!$L226,AV$4&lt;='2025'!$M226), AV$4&lt;&gt;DATE(2025,7,4)), (SWITCH(weekday(AV$4), 1, 0, 2, if(ISBLANK('2025'!$P226), 0, 1), 3, if(ISBLANK('2025'!$Q226), 0, 1), 4, if(ISBLANK('2025'!$R226), 0, 1), 5, if(ISBLANK('2025'!$S226), 0, 1), 6, if(ISBLANK('2025'!$T226), 0, 1), 7, 0))), 1, "")</f>
        <v/>
      </c>
      <c r="AW228" s="1" t="str">
        <f>IF(AND(AND(AND(AW$4&gt;='2025'!$L226,AW$4&lt;='2025'!$M226), AW$4&lt;&gt;DATE(2025,7,4)), (SWITCH(weekday(AW$4), 1, 0, 2, if(ISBLANK('2025'!$P226), 0, 1), 3, if(ISBLANK('2025'!$Q226), 0, 1), 4, if(ISBLANK('2025'!$R226), 0, 1), 5, if(ISBLANK('2025'!$S226), 0, 1), 6, if(ISBLANK('2025'!$T226), 0, 1), 7, 0))), 1, "")</f>
        <v/>
      </c>
      <c r="AX228" s="1" t="str">
        <f>IF(AND(AND(AND(AX$4&gt;='2025'!$L226,AX$4&lt;='2025'!$M226), AX$4&lt;&gt;DATE(2025,7,4)), (SWITCH(weekday(AX$4), 1, 0, 2, if(ISBLANK('2025'!$P226), 0, 1), 3, if(ISBLANK('2025'!$Q226), 0, 1), 4, if(ISBLANK('2025'!$R226), 0, 1), 5, if(ISBLANK('2025'!$S226), 0, 1), 6, if(ISBLANK('2025'!$T226), 0, 1), 7, 0))), 1, "")</f>
        <v/>
      </c>
      <c r="AY228" s="1" t="str">
        <f>IF(AND(AND(AND(AY$4&gt;='2025'!$L226,AY$4&lt;='2025'!$M226), AY$4&lt;&gt;DATE(2025,7,4)), (SWITCH(weekday(AY$4), 1, 0, 2, if(ISBLANK('2025'!$P226), 0, 1), 3, if(ISBLANK('2025'!$Q226), 0, 1), 4, if(ISBLANK('2025'!$R226), 0, 1), 5, if(ISBLANK('2025'!$S226), 0, 1), 6, if(ISBLANK('2025'!$T226), 0, 1), 7, 0))), 1, "")</f>
        <v/>
      </c>
      <c r="AZ228" s="1" t="str">
        <f>IF(AND(AND(AND(AZ$4&gt;='2025'!$L226,AZ$4&lt;='2025'!$M226), AZ$4&lt;&gt;DATE(2025,7,4)), (SWITCH(weekday(AZ$4), 1, 0, 2, if(ISBLANK('2025'!$P226), 0, 1), 3, if(ISBLANK('2025'!$Q226), 0, 1), 4, if(ISBLANK('2025'!$R226), 0, 1), 5, if(ISBLANK('2025'!$S226), 0, 1), 6, if(ISBLANK('2025'!$T226), 0, 1), 7, 0))), 1, "")</f>
        <v/>
      </c>
      <c r="BA228" s="1" t="str">
        <f>IF(AND(AND(AND(BA$4&gt;='2025'!$L226,BA$4&lt;='2025'!$M226), BA$4&lt;&gt;DATE(2025,7,4)), (SWITCH(weekday(BA$4), 1, 0, 2, if(ISBLANK('2025'!$P226), 0, 1), 3, if(ISBLANK('2025'!$Q226), 0, 1), 4, if(ISBLANK('2025'!$R226), 0, 1), 5, if(ISBLANK('2025'!$S226), 0, 1), 6, if(ISBLANK('2025'!$T226), 0, 1), 7, 0))), 1, "")</f>
        <v/>
      </c>
      <c r="BB228" s="1" t="str">
        <f>IF(AND(AND(AND(BB$4&gt;='2025'!$L226,BB$4&lt;='2025'!$M226), BB$4&lt;&gt;DATE(2025,7,4)), (SWITCH(weekday(BB$4), 1, 0, 2, if(ISBLANK('2025'!$P226), 0, 1), 3, if(ISBLANK('2025'!$Q226), 0, 1), 4, if(ISBLANK('2025'!$R226), 0, 1), 5, if(ISBLANK('2025'!$S226), 0, 1), 6, if(ISBLANK('2025'!$T226), 0, 1), 7, 0))), 1, "")</f>
        <v/>
      </c>
      <c r="BC228" s="1" t="str">
        <f>IF(AND(AND(AND(BC$4&gt;='2025'!$L226,BC$4&lt;='2025'!$M226), BC$4&lt;&gt;DATE(2025,7,4)), (SWITCH(weekday(BC$4), 1, 0, 2, if(ISBLANK('2025'!$P226), 0, 1), 3, if(ISBLANK('2025'!$Q226), 0, 1), 4, if(ISBLANK('2025'!$R226), 0, 1), 5, if(ISBLANK('2025'!$S226), 0, 1), 6, if(ISBLANK('2025'!$T226), 0, 1), 7, 0))), 1, "")</f>
        <v/>
      </c>
      <c r="BD228" s="1" t="str">
        <f>IF(AND(AND(AND(BD$4&gt;='2025'!$L226,BD$4&lt;='2025'!$M226), BD$4&lt;&gt;DATE(2025,7,4)), (SWITCH(weekday(BD$4), 1, 0, 2, if(ISBLANK('2025'!$P226), 0, 1), 3, if(ISBLANK('2025'!$Q226), 0, 1), 4, if(ISBLANK('2025'!$R226), 0, 1), 5, if(ISBLANK('2025'!$S226), 0, 1), 6, if(ISBLANK('2025'!$T226), 0, 1), 7, 0))), 1, "")</f>
        <v/>
      </c>
      <c r="BE228" s="1" t="str">
        <f>IF(AND(AND(AND(BE$4&gt;='2025'!$L226,BE$4&lt;='2025'!$M226), BE$4&lt;&gt;DATE(2025,7,4)), (SWITCH(weekday(BE$4), 1, 0, 2, if(ISBLANK('2025'!$P226), 0, 1), 3, if(ISBLANK('2025'!$Q226), 0, 1), 4, if(ISBLANK('2025'!$R226), 0, 1), 5, if(ISBLANK('2025'!$S226), 0, 1), 6, if(ISBLANK('2025'!$T226), 0, 1), 7, 0))), 1, "")</f>
        <v/>
      </c>
      <c r="BF228" s="1" t="str">
        <f>IF(AND(AND(AND(BF$4&gt;='2025'!$L226,BF$4&lt;='2025'!$M226), BF$4&lt;&gt;DATE(2025,7,4)), (SWITCH(weekday(BF$4), 1, 0, 2, if(ISBLANK('2025'!$P226), 0, 1), 3, if(ISBLANK('2025'!$Q226), 0, 1), 4, if(ISBLANK('2025'!$R226), 0, 1), 5, if(ISBLANK('2025'!$S226), 0, 1), 6, if(ISBLANK('2025'!$T226), 0, 1), 7, 0))), 1, "")</f>
        <v/>
      </c>
      <c r="BG228" s="1"/>
      <c r="BH228" s="1"/>
      <c r="BI228" s="1"/>
      <c r="BJ228" s="1"/>
      <c r="BK228" s="1"/>
      <c r="BL228" s="1"/>
    </row>
    <row r="229">
      <c r="A229" s="1">
        <f t="shared" si="3"/>
        <v>229</v>
      </c>
      <c r="B229" s="1" t="str">
        <f>'2025'!D193</f>
        <v>, </v>
      </c>
      <c r="C229" s="1" t="str">
        <f>'2025'!H193</f>
        <v/>
      </c>
      <c r="D229" s="1" t="str">
        <f>IF(AND(AND(AND(D$4&gt;='2025'!$L227,D$4&lt;='2025'!$M227), D$4&lt;&gt;DATE(2025,7,4)), (SWITCH(weekday(D$4), 1, 0, 2, if(ISBLANK('2025'!$P227), 0, 1), 3, if(ISBLANK('2025'!$Q227), 0, 1), 4, if(ISBLANK('2025'!$R227), 0, 1), 5, if(ISBLANK('2025'!$S227), 0, 1), 6, if(ISBLANK('2025'!$T227), 0, 1), 7, 0))), 1, "")</f>
        <v/>
      </c>
      <c r="E229" s="1" t="str">
        <f>IF(AND(AND(AND(E$4&gt;='2025'!$L227,E$4&lt;='2025'!$M227), E$4&lt;&gt;DATE(2025,7,4)), (SWITCH(weekday(E$4), 1, 0, 2, if(ISBLANK('2025'!$P227), 0, 1), 3, if(ISBLANK('2025'!$Q227), 0, 1), 4, if(ISBLANK('2025'!$R227), 0, 1), 5, if(ISBLANK('2025'!$S227), 0, 1), 6, if(ISBLANK('2025'!$T227), 0, 1), 7, 0))), 1, "")</f>
        <v/>
      </c>
      <c r="F229" s="1" t="str">
        <f>IF(AND(AND(AND(F$4&gt;='2025'!$L227,F$4&lt;='2025'!$M227), F$4&lt;&gt;DATE(2025,7,4)), (SWITCH(weekday(F$4), 1, 0, 2, if(ISBLANK('2025'!$P227), 0, 1), 3, if(ISBLANK('2025'!$Q227), 0, 1), 4, if(ISBLANK('2025'!$R227), 0, 1), 5, if(ISBLANK('2025'!$S227), 0, 1), 6, if(ISBLANK('2025'!$T227), 0, 1), 7, 0))), 1, "")</f>
        <v/>
      </c>
      <c r="G229" s="1" t="str">
        <f>IF(AND(AND(AND(G$4&gt;='2025'!$L227,G$4&lt;='2025'!$M227), G$4&lt;&gt;DATE(2025,7,4)), (SWITCH(weekday(G$4), 1, 0, 2, if(ISBLANK('2025'!$P227), 0, 1), 3, if(ISBLANK('2025'!$Q227), 0, 1), 4, if(ISBLANK('2025'!$R227), 0, 1), 5, if(ISBLANK('2025'!$S227), 0, 1), 6, if(ISBLANK('2025'!$T227), 0, 1), 7, 0))), 1, "")</f>
        <v/>
      </c>
      <c r="H229" s="1" t="str">
        <f>IF(AND(AND(AND(H$4&gt;='2025'!$L227,H$4&lt;='2025'!$M227), H$4&lt;&gt;DATE(2025,7,4)), (SWITCH(weekday(H$4), 1, 0, 2, if(ISBLANK('2025'!$P227), 0, 1), 3, if(ISBLANK('2025'!$Q227), 0, 1), 4, if(ISBLANK('2025'!$R227), 0, 1), 5, if(ISBLANK('2025'!$S227), 0, 1), 6, if(ISBLANK('2025'!$T227), 0, 1), 7, 0))), 1, "")</f>
        <v/>
      </c>
      <c r="I229" s="1" t="str">
        <f>IF(AND(AND(AND(I$4&gt;='2025'!$L227,I$4&lt;='2025'!$M227), I$4&lt;&gt;DATE(2025,7,4)), (SWITCH(weekday(I$4), 1, 0, 2, if(ISBLANK('2025'!$P227), 0, 1), 3, if(ISBLANK('2025'!$Q227), 0, 1), 4, if(ISBLANK('2025'!$R227), 0, 1), 5, if(ISBLANK('2025'!$S227), 0, 1), 6, if(ISBLANK('2025'!$T227), 0, 1), 7, 0))), 1, "")</f>
        <v/>
      </c>
      <c r="J229" s="1" t="str">
        <f>IF(AND(AND(AND(J$4&gt;='2025'!$L227,J$4&lt;='2025'!$M227), J$4&lt;&gt;DATE(2025,7,4)), (SWITCH(weekday(J$4), 1, 0, 2, if(ISBLANK('2025'!$P227), 0, 1), 3, if(ISBLANK('2025'!$Q227), 0, 1), 4, if(ISBLANK('2025'!$R227), 0, 1), 5, if(ISBLANK('2025'!$S227), 0, 1), 6, if(ISBLANK('2025'!$T227), 0, 1), 7, 0))), 1, "")</f>
        <v/>
      </c>
      <c r="K229" s="1" t="str">
        <f>IF(AND(AND(AND(K$4&gt;='2025'!$L227,K$4&lt;='2025'!$M227), K$4&lt;&gt;DATE(2025,7,4)), (SWITCH(weekday(K$4), 1, 0, 2, if(ISBLANK('2025'!$P227), 0, 1), 3, if(ISBLANK('2025'!$Q227), 0, 1), 4, if(ISBLANK('2025'!$R227), 0, 1), 5, if(ISBLANK('2025'!$S227), 0, 1), 6, if(ISBLANK('2025'!$T227), 0, 1), 7, 0))), 1, "")</f>
        <v/>
      </c>
      <c r="L229" s="1" t="str">
        <f>IF(AND(AND(AND(L$4&gt;='2025'!$L227,L$4&lt;='2025'!$M227), L$4&lt;&gt;DATE(2025,7,4)), (SWITCH(weekday(L$4), 1, 0, 2, if(ISBLANK('2025'!$P227), 0, 1), 3, if(ISBLANK('2025'!$Q227), 0, 1), 4, if(ISBLANK('2025'!$R227), 0, 1), 5, if(ISBLANK('2025'!$S227), 0, 1), 6, if(ISBLANK('2025'!$T227), 0, 1), 7, 0))), 1, "")</f>
        <v/>
      </c>
      <c r="M229" s="1" t="str">
        <f>IF(AND(AND(AND(M$4&gt;='2025'!$L227,M$4&lt;='2025'!$M227), M$4&lt;&gt;DATE(2025,7,4)), (SWITCH(weekday(M$4), 1, 0, 2, if(ISBLANK('2025'!$P227), 0, 1), 3, if(ISBLANK('2025'!$Q227), 0, 1), 4, if(ISBLANK('2025'!$R227), 0, 1), 5, if(ISBLANK('2025'!$S227), 0, 1), 6, if(ISBLANK('2025'!$T227), 0, 1), 7, 0))), 1, "")</f>
        <v/>
      </c>
      <c r="N229" s="1" t="str">
        <f>IF(AND(AND(AND(N$4&gt;='2025'!$L227,N$4&lt;='2025'!$M227), N$4&lt;&gt;DATE(2025,7,4)), (SWITCH(weekday(N$4), 1, 0, 2, if(ISBLANK('2025'!$P227), 0, 1), 3, if(ISBLANK('2025'!$Q227), 0, 1), 4, if(ISBLANK('2025'!$R227), 0, 1), 5, if(ISBLANK('2025'!$S227), 0, 1), 6, if(ISBLANK('2025'!$T227), 0, 1), 7, 0))), 1, "")</f>
        <v/>
      </c>
      <c r="O229" s="1" t="str">
        <f>IF(AND(AND(AND(O$4&gt;='2025'!$L227,O$4&lt;='2025'!$M227), O$4&lt;&gt;DATE(2025,7,4)), (SWITCH(weekday(O$4), 1, 0, 2, if(ISBLANK('2025'!$P227), 0, 1), 3, if(ISBLANK('2025'!$Q227), 0, 1), 4, if(ISBLANK('2025'!$R227), 0, 1), 5, if(ISBLANK('2025'!$S227), 0, 1), 6, if(ISBLANK('2025'!$T227), 0, 1), 7, 0))), 1, "")</f>
        <v/>
      </c>
      <c r="P229" s="1" t="str">
        <f>IF(AND(AND(AND(P$4&gt;='2025'!$L227,P$4&lt;='2025'!$M227), P$4&lt;&gt;DATE(2025,7,4)), (SWITCH(weekday(P$4), 1, 0, 2, if(ISBLANK('2025'!$P227), 0, 1), 3, if(ISBLANK('2025'!$Q227), 0, 1), 4, if(ISBLANK('2025'!$R227), 0, 1), 5, if(ISBLANK('2025'!$S227), 0, 1), 6, if(ISBLANK('2025'!$T227), 0, 1), 7, 0))), 1, "")</f>
        <v/>
      </c>
      <c r="Q229" s="1" t="str">
        <f>IF(AND(AND(AND(Q$4&gt;='2025'!$L227,Q$4&lt;='2025'!$M227), Q$4&lt;&gt;DATE(2025,7,4)), (SWITCH(weekday(Q$4), 1, 0, 2, if(ISBLANK('2025'!$P227), 0, 1), 3, if(ISBLANK('2025'!$Q227), 0, 1), 4, if(ISBLANK('2025'!$R227), 0, 1), 5, if(ISBLANK('2025'!$S227), 0, 1), 6, if(ISBLANK('2025'!$T227), 0, 1), 7, 0))), 1, "")</f>
        <v/>
      </c>
      <c r="R229" s="1" t="str">
        <f>IF(AND(AND(AND(R$4&gt;='2025'!$L227,R$4&lt;='2025'!$M227), R$4&lt;&gt;DATE(2025,7,4)), (SWITCH(weekday(R$4), 1, 0, 2, if(ISBLANK('2025'!$P227), 0, 1), 3, if(ISBLANK('2025'!$Q227), 0, 1), 4, if(ISBLANK('2025'!$R227), 0, 1), 5, if(ISBLANK('2025'!$S227), 0, 1), 6, if(ISBLANK('2025'!$T227), 0, 1), 7, 0))), 1, "")</f>
        <v/>
      </c>
      <c r="S229" s="1" t="str">
        <f>IF(AND(AND(AND(S$4&gt;='2025'!$L227,S$4&lt;='2025'!$M227), S$4&lt;&gt;DATE(2025,7,4)), (SWITCH(weekday(S$4), 1, 0, 2, if(ISBLANK('2025'!$P227), 0, 1), 3, if(ISBLANK('2025'!$Q227), 0, 1), 4, if(ISBLANK('2025'!$R227), 0, 1), 5, if(ISBLANK('2025'!$S227), 0, 1), 6, if(ISBLANK('2025'!$T227), 0, 1), 7, 0))), 1, "")</f>
        <v/>
      </c>
      <c r="T229" s="1" t="str">
        <f>IF(AND(AND(AND(T$4&gt;='2025'!$L227,T$4&lt;='2025'!$M227), T$4&lt;&gt;DATE(2025,7,4)), (SWITCH(weekday(T$4), 1, 0, 2, if(ISBLANK('2025'!$P227), 0, 1), 3, if(ISBLANK('2025'!$Q227), 0, 1), 4, if(ISBLANK('2025'!$R227), 0, 1), 5, if(ISBLANK('2025'!$S227), 0, 1), 6, if(ISBLANK('2025'!$T227), 0, 1), 7, 0))), 1, "")</f>
        <v/>
      </c>
      <c r="U229" s="1" t="str">
        <f>IF(AND(AND(AND(U$4&gt;='2025'!$L227,U$4&lt;='2025'!$M227), U$4&lt;&gt;DATE(2025,7,4)), (SWITCH(weekday(U$4), 1, 0, 2, if(ISBLANK('2025'!$P227), 0, 1), 3, if(ISBLANK('2025'!$Q227), 0, 1), 4, if(ISBLANK('2025'!$R227), 0, 1), 5, if(ISBLANK('2025'!$S227), 0, 1), 6, if(ISBLANK('2025'!$T227), 0, 1), 7, 0))), 1, "")</f>
        <v/>
      </c>
      <c r="V229" s="1" t="str">
        <f>IF(AND(AND(AND(V$4&gt;='2025'!$L227,V$4&lt;='2025'!$M227), V$4&lt;&gt;DATE(2025,7,4)), (SWITCH(weekday(V$4), 1, 0, 2, if(ISBLANK('2025'!$P227), 0, 1), 3, if(ISBLANK('2025'!$Q227), 0, 1), 4, if(ISBLANK('2025'!$R227), 0, 1), 5, if(ISBLANK('2025'!$S227), 0, 1), 6, if(ISBLANK('2025'!$T227), 0, 1), 7, 0))), 1, "")</f>
        <v/>
      </c>
      <c r="W229" s="1" t="str">
        <f>IF(AND(AND(AND(W$4&gt;='2025'!$L227,W$4&lt;='2025'!$M227), W$4&lt;&gt;DATE(2025,7,4)), (SWITCH(weekday(W$4), 1, 0, 2, if(ISBLANK('2025'!$P227), 0, 1), 3, if(ISBLANK('2025'!$Q227), 0, 1), 4, if(ISBLANK('2025'!$R227), 0, 1), 5, if(ISBLANK('2025'!$S227), 0, 1), 6, if(ISBLANK('2025'!$T227), 0, 1), 7, 0))), 1, "")</f>
        <v/>
      </c>
      <c r="X229" s="1" t="str">
        <f>IF(AND(AND(AND(X$4&gt;='2025'!$L227,X$4&lt;='2025'!$M227), X$4&lt;&gt;DATE(2025,7,4)), (SWITCH(weekday(X$4), 1, 0, 2, if(ISBLANK('2025'!$P227), 0, 1), 3, if(ISBLANK('2025'!$Q227), 0, 1), 4, if(ISBLANK('2025'!$R227), 0, 1), 5, if(ISBLANK('2025'!$S227), 0, 1), 6, if(ISBLANK('2025'!$T227), 0, 1), 7, 0))), 1, "")</f>
        <v/>
      </c>
      <c r="Y229" s="1" t="str">
        <f>IF(AND(AND(AND(Y$4&gt;='2025'!$L227,Y$4&lt;='2025'!$M227), Y$4&lt;&gt;DATE(2025,7,4)), (SWITCH(weekday(Y$4), 1, 0, 2, if(ISBLANK('2025'!$P227), 0, 1), 3, if(ISBLANK('2025'!$Q227), 0, 1), 4, if(ISBLANK('2025'!$R227), 0, 1), 5, if(ISBLANK('2025'!$S227), 0, 1), 6, if(ISBLANK('2025'!$T227), 0, 1), 7, 0))), 1, "")</f>
        <v/>
      </c>
      <c r="Z229" s="1" t="str">
        <f>IF(AND(AND(AND(Z$4&gt;='2025'!$L227,Z$4&lt;='2025'!$M227), Z$4&lt;&gt;DATE(2025,7,4)), (SWITCH(weekday(Z$4), 1, 0, 2, if(ISBLANK('2025'!$P227), 0, 1), 3, if(ISBLANK('2025'!$Q227), 0, 1), 4, if(ISBLANK('2025'!$R227), 0, 1), 5, if(ISBLANK('2025'!$S227), 0, 1), 6, if(ISBLANK('2025'!$T227), 0, 1), 7, 0))), 1, "")</f>
        <v/>
      </c>
      <c r="AA229" s="1" t="str">
        <f>IF(AND(AND(AND(AA$4&gt;='2025'!$L227,AA$4&lt;='2025'!$M227), AA$4&lt;&gt;DATE(2025,7,4)), (SWITCH(weekday(AA$4), 1, 0, 2, if(ISBLANK('2025'!$P227), 0, 1), 3, if(ISBLANK('2025'!$Q227), 0, 1), 4, if(ISBLANK('2025'!$R227), 0, 1), 5, if(ISBLANK('2025'!$S227), 0, 1), 6, if(ISBLANK('2025'!$T227), 0, 1), 7, 0))), 1, "")</f>
        <v/>
      </c>
      <c r="AB229" s="1" t="str">
        <f>IF(AND(AND(AND(AB$4&gt;='2025'!$L227,AB$4&lt;='2025'!$M227), AB$4&lt;&gt;DATE(2025,7,4)), (SWITCH(weekday(AB$4), 1, 0, 2, if(ISBLANK('2025'!$P227), 0, 1), 3, if(ISBLANK('2025'!$Q227), 0, 1), 4, if(ISBLANK('2025'!$R227), 0, 1), 5, if(ISBLANK('2025'!$S227), 0, 1), 6, if(ISBLANK('2025'!$T227), 0, 1), 7, 0))), 1, "")</f>
        <v/>
      </c>
      <c r="AC229" s="1" t="str">
        <f>IF(AND(AND(AND(AC$4&gt;='2025'!$L227,AC$4&lt;='2025'!$M227), AC$4&lt;&gt;DATE(2025,7,4)), (SWITCH(weekday(AC$4), 1, 0, 2, if(ISBLANK('2025'!$P227), 0, 1), 3, if(ISBLANK('2025'!$Q227), 0, 1), 4, if(ISBLANK('2025'!$R227), 0, 1), 5, if(ISBLANK('2025'!$S227), 0, 1), 6, if(ISBLANK('2025'!$T227), 0, 1), 7, 0))), 1, "")</f>
        <v/>
      </c>
      <c r="AD229" s="1" t="str">
        <f>IF(AND(AND(AND(AD$4&gt;='2025'!$L227,AD$4&lt;='2025'!$M227), AD$4&lt;&gt;DATE(2025,7,4)), (SWITCH(weekday(AD$4), 1, 0, 2, if(ISBLANK('2025'!$P227), 0, 1), 3, if(ISBLANK('2025'!$Q227), 0, 1), 4, if(ISBLANK('2025'!$R227), 0, 1), 5, if(ISBLANK('2025'!$S227), 0, 1), 6, if(ISBLANK('2025'!$T227), 0, 1), 7, 0))), 1, "")</f>
        <v/>
      </c>
      <c r="AE229" s="1" t="str">
        <f>IF(AND(AND(AND(AE$4&gt;='2025'!$L227,AE$4&lt;='2025'!$M227), AE$4&lt;&gt;DATE(2025,7,4)), (SWITCH(weekday(AE$4), 1, 0, 2, if(ISBLANK('2025'!$P227), 0, 1), 3, if(ISBLANK('2025'!$Q227), 0, 1), 4, if(ISBLANK('2025'!$R227), 0, 1), 5, if(ISBLANK('2025'!$S227), 0, 1), 6, if(ISBLANK('2025'!$T227), 0, 1), 7, 0))), 1, "")</f>
        <v/>
      </c>
      <c r="AF229" s="1" t="str">
        <f>IF(AND(AND(AND(AF$4&gt;='2025'!$L227,AF$4&lt;='2025'!$M227), AF$4&lt;&gt;DATE(2025,7,4)), (SWITCH(weekday(AF$4), 1, 0, 2, if(ISBLANK('2025'!$P227), 0, 1), 3, if(ISBLANK('2025'!$Q227), 0, 1), 4, if(ISBLANK('2025'!$R227), 0, 1), 5, if(ISBLANK('2025'!$S227), 0, 1), 6, if(ISBLANK('2025'!$T227), 0, 1), 7, 0))), 1, "")</f>
        <v/>
      </c>
      <c r="AG229" s="1" t="str">
        <f>IF(AND(AND(AND(AG$4&gt;='2025'!$L227,AG$4&lt;='2025'!$M227), AG$4&lt;&gt;DATE(2025,7,4)), (SWITCH(weekday(AG$4), 1, 0, 2, if(ISBLANK('2025'!$P227), 0, 1), 3, if(ISBLANK('2025'!$Q227), 0, 1), 4, if(ISBLANK('2025'!$R227), 0, 1), 5, if(ISBLANK('2025'!$S227), 0, 1), 6, if(ISBLANK('2025'!$T227), 0, 1), 7, 0))), 1, "")</f>
        <v/>
      </c>
      <c r="AH229" s="1" t="str">
        <f>IF(AND(AND(AND(AH$4&gt;='2025'!$L227,AH$4&lt;='2025'!$M227), AH$4&lt;&gt;DATE(2025,7,4)), (SWITCH(weekday(AH$4), 1, 0, 2, if(ISBLANK('2025'!$P227), 0, 1), 3, if(ISBLANK('2025'!$Q227), 0, 1), 4, if(ISBLANK('2025'!$R227), 0, 1), 5, if(ISBLANK('2025'!$S227), 0, 1), 6, if(ISBLANK('2025'!$T227), 0, 1), 7, 0))), 1, "")</f>
        <v/>
      </c>
      <c r="AI229" s="1" t="str">
        <f>IF(AND(AND(AND(AI$4&gt;='2025'!$L227,AI$4&lt;='2025'!$M227), AI$4&lt;&gt;DATE(2025,7,4)), (SWITCH(weekday(AI$4), 1, 0, 2, if(ISBLANK('2025'!$P227), 0, 1), 3, if(ISBLANK('2025'!$Q227), 0, 1), 4, if(ISBLANK('2025'!$R227), 0, 1), 5, if(ISBLANK('2025'!$S227), 0, 1), 6, if(ISBLANK('2025'!$T227), 0, 1), 7, 0))), 1, "")</f>
        <v/>
      </c>
      <c r="AJ229" s="1" t="str">
        <f>IF(AND(AND(AND(AJ$4&gt;='2025'!$L227,AJ$4&lt;='2025'!$M227), AJ$4&lt;&gt;DATE(2025,7,4)), (SWITCH(weekday(AJ$4), 1, 0, 2, if(ISBLANK('2025'!$P227), 0, 1), 3, if(ISBLANK('2025'!$Q227), 0, 1), 4, if(ISBLANK('2025'!$R227), 0, 1), 5, if(ISBLANK('2025'!$S227), 0, 1), 6, if(ISBLANK('2025'!$T227), 0, 1), 7, 0))), 1, "")</f>
        <v/>
      </c>
      <c r="AK229" s="1" t="str">
        <f>IF(AND(AND(AND(AK$4&gt;='2025'!$L227,AK$4&lt;='2025'!$M227), AK$4&lt;&gt;DATE(2025,7,4)), (SWITCH(weekday(AK$4), 1, 0, 2, if(ISBLANK('2025'!$P227), 0, 1), 3, if(ISBLANK('2025'!$Q227), 0, 1), 4, if(ISBLANK('2025'!$R227), 0, 1), 5, if(ISBLANK('2025'!$S227), 0, 1), 6, if(ISBLANK('2025'!$T227), 0, 1), 7, 0))), 1, "")</f>
        <v/>
      </c>
      <c r="AL229" s="1" t="str">
        <f>IF(AND(AND(AND(AL$4&gt;='2025'!$L227,AL$4&lt;='2025'!$M227), AL$4&lt;&gt;DATE(2025,7,4)), (SWITCH(weekday(AL$4), 1, 0, 2, if(ISBLANK('2025'!$P227), 0, 1), 3, if(ISBLANK('2025'!$Q227), 0, 1), 4, if(ISBLANK('2025'!$R227), 0, 1), 5, if(ISBLANK('2025'!$S227), 0, 1), 6, if(ISBLANK('2025'!$T227), 0, 1), 7, 0))), 1, "")</f>
        <v/>
      </c>
      <c r="AM229" s="1" t="str">
        <f>IF(AND(AND(AND(AM$4&gt;='2025'!$L227,AM$4&lt;='2025'!$M227), AM$4&lt;&gt;DATE(2025,7,4)), (SWITCH(weekday(AM$4), 1, 0, 2, if(ISBLANK('2025'!$P227), 0, 1), 3, if(ISBLANK('2025'!$Q227), 0, 1), 4, if(ISBLANK('2025'!$R227), 0, 1), 5, if(ISBLANK('2025'!$S227), 0, 1), 6, if(ISBLANK('2025'!$T227), 0, 1), 7, 0))), 1, "")</f>
        <v/>
      </c>
      <c r="AN229" s="1" t="str">
        <f>IF(AND(AND(AND(AN$4&gt;='2025'!$L227,AN$4&lt;='2025'!$M227), AN$4&lt;&gt;DATE(2025,7,4)), (SWITCH(weekday(AN$4), 1, 0, 2, if(ISBLANK('2025'!$P227), 0, 1), 3, if(ISBLANK('2025'!$Q227), 0, 1), 4, if(ISBLANK('2025'!$R227), 0, 1), 5, if(ISBLANK('2025'!$S227), 0, 1), 6, if(ISBLANK('2025'!$T227), 0, 1), 7, 0))), 1, "")</f>
        <v/>
      </c>
      <c r="AO229" s="1" t="str">
        <f>IF(AND(AND(AND(AO$4&gt;='2025'!$L227,AO$4&lt;='2025'!$M227), AO$4&lt;&gt;DATE(2025,7,4)), (SWITCH(weekday(AO$4), 1, 0, 2, if(ISBLANK('2025'!$P227), 0, 1), 3, if(ISBLANK('2025'!$Q227), 0, 1), 4, if(ISBLANK('2025'!$R227), 0, 1), 5, if(ISBLANK('2025'!$S227), 0, 1), 6, if(ISBLANK('2025'!$T227), 0, 1), 7, 0))), 1, "")</f>
        <v/>
      </c>
      <c r="AP229" s="1" t="str">
        <f>IF(AND(AND(AND(AP$4&gt;='2025'!$L227,AP$4&lt;='2025'!$M227), AP$4&lt;&gt;DATE(2025,7,4)), (SWITCH(weekday(AP$4), 1, 0, 2, if(ISBLANK('2025'!$P227), 0, 1), 3, if(ISBLANK('2025'!$Q227), 0, 1), 4, if(ISBLANK('2025'!$R227), 0, 1), 5, if(ISBLANK('2025'!$S227), 0, 1), 6, if(ISBLANK('2025'!$T227), 0, 1), 7, 0))), 1, "")</f>
        <v/>
      </c>
      <c r="AQ229" s="1" t="str">
        <f>IF(AND(AND(AND(AQ$4&gt;='2025'!$L227,AQ$4&lt;='2025'!$M227), AQ$4&lt;&gt;DATE(2025,7,4)), (SWITCH(weekday(AQ$4), 1, 0, 2, if(ISBLANK('2025'!$P227), 0, 1), 3, if(ISBLANK('2025'!$Q227), 0, 1), 4, if(ISBLANK('2025'!$R227), 0, 1), 5, if(ISBLANK('2025'!$S227), 0, 1), 6, if(ISBLANK('2025'!$T227), 0, 1), 7, 0))), 1, "")</f>
        <v/>
      </c>
      <c r="AR229" s="1" t="str">
        <f>IF(AND(AND(AND(AR$4&gt;='2025'!$L227,AR$4&lt;='2025'!$M227), AR$4&lt;&gt;DATE(2025,7,4)), (SWITCH(weekday(AR$4), 1, 0, 2, if(ISBLANK('2025'!$P227), 0, 1), 3, if(ISBLANK('2025'!$Q227), 0, 1), 4, if(ISBLANK('2025'!$R227), 0, 1), 5, if(ISBLANK('2025'!$S227), 0, 1), 6, if(ISBLANK('2025'!$T227), 0, 1), 7, 0))), 1, "")</f>
        <v/>
      </c>
      <c r="AS229" s="1" t="str">
        <f>IF(AND(AND(AND(AS$4&gt;='2025'!$L227,AS$4&lt;='2025'!$M227), AS$4&lt;&gt;DATE(2025,7,4)), (SWITCH(weekday(AS$4), 1, 0, 2, if(ISBLANK('2025'!$P227), 0, 1), 3, if(ISBLANK('2025'!$Q227), 0, 1), 4, if(ISBLANK('2025'!$R227), 0, 1), 5, if(ISBLANK('2025'!$S227), 0, 1), 6, if(ISBLANK('2025'!$T227), 0, 1), 7, 0))), 1, "")</f>
        <v/>
      </c>
      <c r="AT229" s="1" t="str">
        <f>IF(AND(AND(AND(AT$4&gt;='2025'!$L227,AT$4&lt;='2025'!$M227), AT$4&lt;&gt;DATE(2025,7,4)), (SWITCH(weekday(AT$4), 1, 0, 2, if(ISBLANK('2025'!$P227), 0, 1), 3, if(ISBLANK('2025'!$Q227), 0, 1), 4, if(ISBLANK('2025'!$R227), 0, 1), 5, if(ISBLANK('2025'!$S227), 0, 1), 6, if(ISBLANK('2025'!$T227), 0, 1), 7, 0))), 1, "")</f>
        <v/>
      </c>
      <c r="AU229" s="1" t="str">
        <f>IF(AND(AND(AND(AU$4&gt;='2025'!$L227,AU$4&lt;='2025'!$M227), AU$4&lt;&gt;DATE(2025,7,4)), (SWITCH(weekday(AU$4), 1, 0, 2, if(ISBLANK('2025'!$P227), 0, 1), 3, if(ISBLANK('2025'!$Q227), 0, 1), 4, if(ISBLANK('2025'!$R227), 0, 1), 5, if(ISBLANK('2025'!$S227), 0, 1), 6, if(ISBLANK('2025'!$T227), 0, 1), 7, 0))), 1, "")</f>
        <v/>
      </c>
      <c r="AV229" s="1" t="str">
        <f>IF(AND(AND(AND(AV$4&gt;='2025'!$L227,AV$4&lt;='2025'!$M227), AV$4&lt;&gt;DATE(2025,7,4)), (SWITCH(weekday(AV$4), 1, 0, 2, if(ISBLANK('2025'!$P227), 0, 1), 3, if(ISBLANK('2025'!$Q227), 0, 1), 4, if(ISBLANK('2025'!$R227), 0, 1), 5, if(ISBLANK('2025'!$S227), 0, 1), 6, if(ISBLANK('2025'!$T227), 0, 1), 7, 0))), 1, "")</f>
        <v/>
      </c>
      <c r="AW229" s="1" t="str">
        <f>IF(AND(AND(AND(AW$4&gt;='2025'!$L227,AW$4&lt;='2025'!$M227), AW$4&lt;&gt;DATE(2025,7,4)), (SWITCH(weekday(AW$4), 1, 0, 2, if(ISBLANK('2025'!$P227), 0, 1), 3, if(ISBLANK('2025'!$Q227), 0, 1), 4, if(ISBLANK('2025'!$R227), 0, 1), 5, if(ISBLANK('2025'!$S227), 0, 1), 6, if(ISBLANK('2025'!$T227), 0, 1), 7, 0))), 1, "")</f>
        <v/>
      </c>
      <c r="AX229" s="1" t="str">
        <f>IF(AND(AND(AND(AX$4&gt;='2025'!$L227,AX$4&lt;='2025'!$M227), AX$4&lt;&gt;DATE(2025,7,4)), (SWITCH(weekday(AX$4), 1, 0, 2, if(ISBLANK('2025'!$P227), 0, 1), 3, if(ISBLANK('2025'!$Q227), 0, 1), 4, if(ISBLANK('2025'!$R227), 0, 1), 5, if(ISBLANK('2025'!$S227), 0, 1), 6, if(ISBLANK('2025'!$T227), 0, 1), 7, 0))), 1, "")</f>
        <v/>
      </c>
      <c r="AY229" s="1" t="str">
        <f>IF(AND(AND(AND(AY$4&gt;='2025'!$L227,AY$4&lt;='2025'!$M227), AY$4&lt;&gt;DATE(2025,7,4)), (SWITCH(weekday(AY$4), 1, 0, 2, if(ISBLANK('2025'!$P227), 0, 1), 3, if(ISBLANK('2025'!$Q227), 0, 1), 4, if(ISBLANK('2025'!$R227), 0, 1), 5, if(ISBLANK('2025'!$S227), 0, 1), 6, if(ISBLANK('2025'!$T227), 0, 1), 7, 0))), 1, "")</f>
        <v/>
      </c>
      <c r="AZ229" s="1" t="str">
        <f>IF(AND(AND(AND(AZ$4&gt;='2025'!$L227,AZ$4&lt;='2025'!$M227), AZ$4&lt;&gt;DATE(2025,7,4)), (SWITCH(weekday(AZ$4), 1, 0, 2, if(ISBLANK('2025'!$P227), 0, 1), 3, if(ISBLANK('2025'!$Q227), 0, 1), 4, if(ISBLANK('2025'!$R227), 0, 1), 5, if(ISBLANK('2025'!$S227), 0, 1), 6, if(ISBLANK('2025'!$T227), 0, 1), 7, 0))), 1, "")</f>
        <v/>
      </c>
      <c r="BA229" s="1" t="str">
        <f>IF(AND(AND(AND(BA$4&gt;='2025'!$L227,BA$4&lt;='2025'!$M227), BA$4&lt;&gt;DATE(2025,7,4)), (SWITCH(weekday(BA$4), 1, 0, 2, if(ISBLANK('2025'!$P227), 0, 1), 3, if(ISBLANK('2025'!$Q227), 0, 1), 4, if(ISBLANK('2025'!$R227), 0, 1), 5, if(ISBLANK('2025'!$S227), 0, 1), 6, if(ISBLANK('2025'!$T227), 0, 1), 7, 0))), 1, "")</f>
        <v/>
      </c>
      <c r="BB229" s="1" t="str">
        <f>IF(AND(AND(AND(BB$4&gt;='2025'!$L227,BB$4&lt;='2025'!$M227), BB$4&lt;&gt;DATE(2025,7,4)), (SWITCH(weekday(BB$4), 1, 0, 2, if(ISBLANK('2025'!$P227), 0, 1), 3, if(ISBLANK('2025'!$Q227), 0, 1), 4, if(ISBLANK('2025'!$R227), 0, 1), 5, if(ISBLANK('2025'!$S227), 0, 1), 6, if(ISBLANK('2025'!$T227), 0, 1), 7, 0))), 1, "")</f>
        <v/>
      </c>
      <c r="BC229" s="1" t="str">
        <f>IF(AND(AND(AND(BC$4&gt;='2025'!$L227,BC$4&lt;='2025'!$M227), BC$4&lt;&gt;DATE(2025,7,4)), (SWITCH(weekday(BC$4), 1, 0, 2, if(ISBLANK('2025'!$P227), 0, 1), 3, if(ISBLANK('2025'!$Q227), 0, 1), 4, if(ISBLANK('2025'!$R227), 0, 1), 5, if(ISBLANK('2025'!$S227), 0, 1), 6, if(ISBLANK('2025'!$T227), 0, 1), 7, 0))), 1, "")</f>
        <v/>
      </c>
      <c r="BD229" s="1" t="str">
        <f>IF(AND(AND(AND(BD$4&gt;='2025'!$L227,BD$4&lt;='2025'!$M227), BD$4&lt;&gt;DATE(2025,7,4)), (SWITCH(weekday(BD$4), 1, 0, 2, if(ISBLANK('2025'!$P227), 0, 1), 3, if(ISBLANK('2025'!$Q227), 0, 1), 4, if(ISBLANK('2025'!$R227), 0, 1), 5, if(ISBLANK('2025'!$S227), 0, 1), 6, if(ISBLANK('2025'!$T227), 0, 1), 7, 0))), 1, "")</f>
        <v/>
      </c>
      <c r="BE229" s="1" t="str">
        <f>IF(AND(AND(AND(BE$4&gt;='2025'!$L227,BE$4&lt;='2025'!$M227), BE$4&lt;&gt;DATE(2025,7,4)), (SWITCH(weekday(BE$4), 1, 0, 2, if(ISBLANK('2025'!$P227), 0, 1), 3, if(ISBLANK('2025'!$Q227), 0, 1), 4, if(ISBLANK('2025'!$R227), 0, 1), 5, if(ISBLANK('2025'!$S227), 0, 1), 6, if(ISBLANK('2025'!$T227), 0, 1), 7, 0))), 1, "")</f>
        <v/>
      </c>
      <c r="BF229" s="1" t="str">
        <f>IF(AND(AND(AND(BF$4&gt;='2025'!$L227,BF$4&lt;='2025'!$M227), BF$4&lt;&gt;DATE(2025,7,4)), (SWITCH(weekday(BF$4), 1, 0, 2, if(ISBLANK('2025'!$P227), 0, 1), 3, if(ISBLANK('2025'!$Q227), 0, 1), 4, if(ISBLANK('2025'!$R227), 0, 1), 5, if(ISBLANK('2025'!$S227), 0, 1), 6, if(ISBLANK('2025'!$T227), 0, 1), 7, 0))), 1, "")</f>
        <v/>
      </c>
      <c r="BG229" s="1"/>
      <c r="BH229" s="1"/>
      <c r="BI229" s="1"/>
      <c r="BJ229" s="1"/>
      <c r="BK229" s="1"/>
      <c r="BL229" s="1"/>
    </row>
    <row r="230">
      <c r="A230" s="1">
        <f t="shared" si="3"/>
        <v>230</v>
      </c>
      <c r="B230" s="1" t="str">
        <f>'2025'!D194</f>
        <v>, </v>
      </c>
      <c r="C230" s="1" t="str">
        <f>'2025'!H194</f>
        <v/>
      </c>
      <c r="D230" s="1" t="str">
        <f>IF(AND(AND(AND(D$4&gt;='2025'!$L228,D$4&lt;='2025'!$M228), D$4&lt;&gt;DATE(2025,7,4)), (SWITCH(weekday(D$4), 1, 0, 2, if(ISBLANK('2025'!$P228), 0, 1), 3, if(ISBLANK('2025'!$Q228), 0, 1), 4, if(ISBLANK('2025'!$R228), 0, 1), 5, if(ISBLANK('2025'!$S228), 0, 1), 6, if(ISBLANK('2025'!$T228), 0, 1), 7, 0))), 1, "")</f>
        <v/>
      </c>
      <c r="E230" s="1" t="str">
        <f>IF(AND(AND(AND(E$4&gt;='2025'!$L228,E$4&lt;='2025'!$M228), E$4&lt;&gt;DATE(2025,7,4)), (SWITCH(weekday(E$4), 1, 0, 2, if(ISBLANK('2025'!$P228), 0, 1), 3, if(ISBLANK('2025'!$Q228), 0, 1), 4, if(ISBLANK('2025'!$R228), 0, 1), 5, if(ISBLANK('2025'!$S228), 0, 1), 6, if(ISBLANK('2025'!$T228), 0, 1), 7, 0))), 1, "")</f>
        <v/>
      </c>
      <c r="F230" s="1" t="str">
        <f>IF(AND(AND(AND(F$4&gt;='2025'!$L228,F$4&lt;='2025'!$M228), F$4&lt;&gt;DATE(2025,7,4)), (SWITCH(weekday(F$4), 1, 0, 2, if(ISBLANK('2025'!$P228), 0, 1), 3, if(ISBLANK('2025'!$Q228), 0, 1), 4, if(ISBLANK('2025'!$R228), 0, 1), 5, if(ISBLANK('2025'!$S228), 0, 1), 6, if(ISBLANK('2025'!$T228), 0, 1), 7, 0))), 1, "")</f>
        <v/>
      </c>
      <c r="G230" s="1" t="str">
        <f>IF(AND(AND(AND(G$4&gt;='2025'!$L228,G$4&lt;='2025'!$M228), G$4&lt;&gt;DATE(2025,7,4)), (SWITCH(weekday(G$4), 1, 0, 2, if(ISBLANK('2025'!$P228), 0, 1), 3, if(ISBLANK('2025'!$Q228), 0, 1), 4, if(ISBLANK('2025'!$R228), 0, 1), 5, if(ISBLANK('2025'!$S228), 0, 1), 6, if(ISBLANK('2025'!$T228), 0, 1), 7, 0))), 1, "")</f>
        <v/>
      </c>
      <c r="H230" s="1" t="str">
        <f>IF(AND(AND(AND(H$4&gt;='2025'!$L228,H$4&lt;='2025'!$M228), H$4&lt;&gt;DATE(2025,7,4)), (SWITCH(weekday(H$4), 1, 0, 2, if(ISBLANK('2025'!$P228), 0, 1), 3, if(ISBLANK('2025'!$Q228), 0, 1), 4, if(ISBLANK('2025'!$R228), 0, 1), 5, if(ISBLANK('2025'!$S228), 0, 1), 6, if(ISBLANK('2025'!$T228), 0, 1), 7, 0))), 1, "")</f>
        <v/>
      </c>
      <c r="I230" s="1" t="str">
        <f>IF(AND(AND(AND(I$4&gt;='2025'!$L228,I$4&lt;='2025'!$M228), I$4&lt;&gt;DATE(2025,7,4)), (SWITCH(weekday(I$4), 1, 0, 2, if(ISBLANK('2025'!$P228), 0, 1), 3, if(ISBLANK('2025'!$Q228), 0, 1), 4, if(ISBLANK('2025'!$R228), 0, 1), 5, if(ISBLANK('2025'!$S228), 0, 1), 6, if(ISBLANK('2025'!$T228), 0, 1), 7, 0))), 1, "")</f>
        <v/>
      </c>
      <c r="J230" s="1" t="str">
        <f>IF(AND(AND(AND(J$4&gt;='2025'!$L228,J$4&lt;='2025'!$M228), J$4&lt;&gt;DATE(2025,7,4)), (SWITCH(weekday(J$4), 1, 0, 2, if(ISBLANK('2025'!$P228), 0, 1), 3, if(ISBLANK('2025'!$Q228), 0, 1), 4, if(ISBLANK('2025'!$R228), 0, 1), 5, if(ISBLANK('2025'!$S228), 0, 1), 6, if(ISBLANK('2025'!$T228), 0, 1), 7, 0))), 1, "")</f>
        <v/>
      </c>
      <c r="K230" s="1" t="str">
        <f>IF(AND(AND(AND(K$4&gt;='2025'!$L228,K$4&lt;='2025'!$M228), K$4&lt;&gt;DATE(2025,7,4)), (SWITCH(weekday(K$4), 1, 0, 2, if(ISBLANK('2025'!$P228), 0, 1), 3, if(ISBLANK('2025'!$Q228), 0, 1), 4, if(ISBLANK('2025'!$R228), 0, 1), 5, if(ISBLANK('2025'!$S228), 0, 1), 6, if(ISBLANK('2025'!$T228), 0, 1), 7, 0))), 1, "")</f>
        <v/>
      </c>
      <c r="L230" s="1" t="str">
        <f>IF(AND(AND(AND(L$4&gt;='2025'!$L228,L$4&lt;='2025'!$M228), L$4&lt;&gt;DATE(2025,7,4)), (SWITCH(weekday(L$4), 1, 0, 2, if(ISBLANK('2025'!$P228), 0, 1), 3, if(ISBLANK('2025'!$Q228), 0, 1), 4, if(ISBLANK('2025'!$R228), 0, 1), 5, if(ISBLANK('2025'!$S228), 0, 1), 6, if(ISBLANK('2025'!$T228), 0, 1), 7, 0))), 1, "")</f>
        <v/>
      </c>
      <c r="M230" s="1" t="str">
        <f>IF(AND(AND(AND(M$4&gt;='2025'!$L228,M$4&lt;='2025'!$M228), M$4&lt;&gt;DATE(2025,7,4)), (SWITCH(weekday(M$4), 1, 0, 2, if(ISBLANK('2025'!$P228), 0, 1), 3, if(ISBLANK('2025'!$Q228), 0, 1), 4, if(ISBLANK('2025'!$R228), 0, 1), 5, if(ISBLANK('2025'!$S228), 0, 1), 6, if(ISBLANK('2025'!$T228), 0, 1), 7, 0))), 1, "")</f>
        <v/>
      </c>
      <c r="N230" s="1" t="str">
        <f>IF(AND(AND(AND(N$4&gt;='2025'!$L228,N$4&lt;='2025'!$M228), N$4&lt;&gt;DATE(2025,7,4)), (SWITCH(weekday(N$4), 1, 0, 2, if(ISBLANK('2025'!$P228), 0, 1), 3, if(ISBLANK('2025'!$Q228), 0, 1), 4, if(ISBLANK('2025'!$R228), 0, 1), 5, if(ISBLANK('2025'!$S228), 0, 1), 6, if(ISBLANK('2025'!$T228), 0, 1), 7, 0))), 1, "")</f>
        <v/>
      </c>
      <c r="O230" s="1" t="str">
        <f>IF(AND(AND(AND(O$4&gt;='2025'!$L228,O$4&lt;='2025'!$M228), O$4&lt;&gt;DATE(2025,7,4)), (SWITCH(weekday(O$4), 1, 0, 2, if(ISBLANK('2025'!$P228), 0, 1), 3, if(ISBLANK('2025'!$Q228), 0, 1), 4, if(ISBLANK('2025'!$R228), 0, 1), 5, if(ISBLANK('2025'!$S228), 0, 1), 6, if(ISBLANK('2025'!$T228), 0, 1), 7, 0))), 1, "")</f>
        <v/>
      </c>
      <c r="P230" s="1" t="str">
        <f>IF(AND(AND(AND(P$4&gt;='2025'!$L228,P$4&lt;='2025'!$M228), P$4&lt;&gt;DATE(2025,7,4)), (SWITCH(weekday(P$4), 1, 0, 2, if(ISBLANK('2025'!$P228), 0, 1), 3, if(ISBLANK('2025'!$Q228), 0, 1), 4, if(ISBLANK('2025'!$R228), 0, 1), 5, if(ISBLANK('2025'!$S228), 0, 1), 6, if(ISBLANK('2025'!$T228), 0, 1), 7, 0))), 1, "")</f>
        <v/>
      </c>
      <c r="Q230" s="1" t="str">
        <f>IF(AND(AND(AND(Q$4&gt;='2025'!$L228,Q$4&lt;='2025'!$M228), Q$4&lt;&gt;DATE(2025,7,4)), (SWITCH(weekday(Q$4), 1, 0, 2, if(ISBLANK('2025'!$P228), 0, 1), 3, if(ISBLANK('2025'!$Q228), 0, 1), 4, if(ISBLANK('2025'!$R228), 0, 1), 5, if(ISBLANK('2025'!$S228), 0, 1), 6, if(ISBLANK('2025'!$T228), 0, 1), 7, 0))), 1, "")</f>
        <v/>
      </c>
      <c r="R230" s="1" t="str">
        <f>IF(AND(AND(AND(R$4&gt;='2025'!$L228,R$4&lt;='2025'!$M228), R$4&lt;&gt;DATE(2025,7,4)), (SWITCH(weekday(R$4), 1, 0, 2, if(ISBLANK('2025'!$P228), 0, 1), 3, if(ISBLANK('2025'!$Q228), 0, 1), 4, if(ISBLANK('2025'!$R228), 0, 1), 5, if(ISBLANK('2025'!$S228), 0, 1), 6, if(ISBLANK('2025'!$T228), 0, 1), 7, 0))), 1, "")</f>
        <v/>
      </c>
      <c r="S230" s="1" t="str">
        <f>IF(AND(AND(AND(S$4&gt;='2025'!$L228,S$4&lt;='2025'!$M228), S$4&lt;&gt;DATE(2025,7,4)), (SWITCH(weekday(S$4), 1, 0, 2, if(ISBLANK('2025'!$P228), 0, 1), 3, if(ISBLANK('2025'!$Q228), 0, 1), 4, if(ISBLANK('2025'!$R228), 0, 1), 5, if(ISBLANK('2025'!$S228), 0, 1), 6, if(ISBLANK('2025'!$T228), 0, 1), 7, 0))), 1, "")</f>
        <v/>
      </c>
      <c r="T230" s="1" t="str">
        <f>IF(AND(AND(AND(T$4&gt;='2025'!$L228,T$4&lt;='2025'!$M228), T$4&lt;&gt;DATE(2025,7,4)), (SWITCH(weekday(T$4), 1, 0, 2, if(ISBLANK('2025'!$P228), 0, 1), 3, if(ISBLANK('2025'!$Q228), 0, 1), 4, if(ISBLANK('2025'!$R228), 0, 1), 5, if(ISBLANK('2025'!$S228), 0, 1), 6, if(ISBLANK('2025'!$T228), 0, 1), 7, 0))), 1, "")</f>
        <v/>
      </c>
      <c r="U230" s="1" t="str">
        <f>IF(AND(AND(AND(U$4&gt;='2025'!$L228,U$4&lt;='2025'!$M228), U$4&lt;&gt;DATE(2025,7,4)), (SWITCH(weekday(U$4), 1, 0, 2, if(ISBLANK('2025'!$P228), 0, 1), 3, if(ISBLANK('2025'!$Q228), 0, 1), 4, if(ISBLANK('2025'!$R228), 0, 1), 5, if(ISBLANK('2025'!$S228), 0, 1), 6, if(ISBLANK('2025'!$T228), 0, 1), 7, 0))), 1, "")</f>
        <v/>
      </c>
      <c r="V230" s="1" t="str">
        <f>IF(AND(AND(AND(V$4&gt;='2025'!$L228,V$4&lt;='2025'!$M228), V$4&lt;&gt;DATE(2025,7,4)), (SWITCH(weekday(V$4), 1, 0, 2, if(ISBLANK('2025'!$P228), 0, 1), 3, if(ISBLANK('2025'!$Q228), 0, 1), 4, if(ISBLANK('2025'!$R228), 0, 1), 5, if(ISBLANK('2025'!$S228), 0, 1), 6, if(ISBLANK('2025'!$T228), 0, 1), 7, 0))), 1, "")</f>
        <v/>
      </c>
      <c r="W230" s="1" t="str">
        <f>IF(AND(AND(AND(W$4&gt;='2025'!$L228,W$4&lt;='2025'!$M228), W$4&lt;&gt;DATE(2025,7,4)), (SWITCH(weekday(W$4), 1, 0, 2, if(ISBLANK('2025'!$P228), 0, 1), 3, if(ISBLANK('2025'!$Q228), 0, 1), 4, if(ISBLANK('2025'!$R228), 0, 1), 5, if(ISBLANK('2025'!$S228), 0, 1), 6, if(ISBLANK('2025'!$T228), 0, 1), 7, 0))), 1, "")</f>
        <v/>
      </c>
      <c r="X230" s="1" t="str">
        <f>IF(AND(AND(AND(X$4&gt;='2025'!$L228,X$4&lt;='2025'!$M228), X$4&lt;&gt;DATE(2025,7,4)), (SWITCH(weekday(X$4), 1, 0, 2, if(ISBLANK('2025'!$P228), 0, 1), 3, if(ISBLANK('2025'!$Q228), 0, 1), 4, if(ISBLANK('2025'!$R228), 0, 1), 5, if(ISBLANK('2025'!$S228), 0, 1), 6, if(ISBLANK('2025'!$T228), 0, 1), 7, 0))), 1, "")</f>
        <v/>
      </c>
      <c r="Y230" s="1" t="str">
        <f>IF(AND(AND(AND(Y$4&gt;='2025'!$L228,Y$4&lt;='2025'!$M228), Y$4&lt;&gt;DATE(2025,7,4)), (SWITCH(weekday(Y$4), 1, 0, 2, if(ISBLANK('2025'!$P228), 0, 1), 3, if(ISBLANK('2025'!$Q228), 0, 1), 4, if(ISBLANK('2025'!$R228), 0, 1), 5, if(ISBLANK('2025'!$S228), 0, 1), 6, if(ISBLANK('2025'!$T228), 0, 1), 7, 0))), 1, "")</f>
        <v/>
      </c>
      <c r="Z230" s="1" t="str">
        <f>IF(AND(AND(AND(Z$4&gt;='2025'!$L228,Z$4&lt;='2025'!$M228), Z$4&lt;&gt;DATE(2025,7,4)), (SWITCH(weekday(Z$4), 1, 0, 2, if(ISBLANK('2025'!$P228), 0, 1), 3, if(ISBLANK('2025'!$Q228), 0, 1), 4, if(ISBLANK('2025'!$R228), 0, 1), 5, if(ISBLANK('2025'!$S228), 0, 1), 6, if(ISBLANK('2025'!$T228), 0, 1), 7, 0))), 1, "")</f>
        <v/>
      </c>
      <c r="AA230" s="1" t="str">
        <f>IF(AND(AND(AND(AA$4&gt;='2025'!$L228,AA$4&lt;='2025'!$M228), AA$4&lt;&gt;DATE(2025,7,4)), (SWITCH(weekday(AA$4), 1, 0, 2, if(ISBLANK('2025'!$P228), 0, 1), 3, if(ISBLANK('2025'!$Q228), 0, 1), 4, if(ISBLANK('2025'!$R228), 0, 1), 5, if(ISBLANK('2025'!$S228), 0, 1), 6, if(ISBLANK('2025'!$T228), 0, 1), 7, 0))), 1, "")</f>
        <v/>
      </c>
      <c r="AB230" s="1" t="str">
        <f>IF(AND(AND(AND(AB$4&gt;='2025'!$L228,AB$4&lt;='2025'!$M228), AB$4&lt;&gt;DATE(2025,7,4)), (SWITCH(weekday(AB$4), 1, 0, 2, if(ISBLANK('2025'!$P228), 0, 1), 3, if(ISBLANK('2025'!$Q228), 0, 1), 4, if(ISBLANK('2025'!$R228), 0, 1), 5, if(ISBLANK('2025'!$S228), 0, 1), 6, if(ISBLANK('2025'!$T228), 0, 1), 7, 0))), 1, "")</f>
        <v/>
      </c>
      <c r="AC230" s="1" t="str">
        <f>IF(AND(AND(AND(AC$4&gt;='2025'!$L228,AC$4&lt;='2025'!$M228), AC$4&lt;&gt;DATE(2025,7,4)), (SWITCH(weekday(AC$4), 1, 0, 2, if(ISBLANK('2025'!$P228), 0, 1), 3, if(ISBLANK('2025'!$Q228), 0, 1), 4, if(ISBLANK('2025'!$R228), 0, 1), 5, if(ISBLANK('2025'!$S228), 0, 1), 6, if(ISBLANK('2025'!$T228), 0, 1), 7, 0))), 1, "")</f>
        <v/>
      </c>
      <c r="AD230" s="1" t="str">
        <f>IF(AND(AND(AND(AD$4&gt;='2025'!$L228,AD$4&lt;='2025'!$M228), AD$4&lt;&gt;DATE(2025,7,4)), (SWITCH(weekday(AD$4), 1, 0, 2, if(ISBLANK('2025'!$P228), 0, 1), 3, if(ISBLANK('2025'!$Q228), 0, 1), 4, if(ISBLANK('2025'!$R228), 0, 1), 5, if(ISBLANK('2025'!$S228), 0, 1), 6, if(ISBLANK('2025'!$T228), 0, 1), 7, 0))), 1, "")</f>
        <v/>
      </c>
      <c r="AE230" s="1" t="str">
        <f>IF(AND(AND(AND(AE$4&gt;='2025'!$L228,AE$4&lt;='2025'!$M228), AE$4&lt;&gt;DATE(2025,7,4)), (SWITCH(weekday(AE$4), 1, 0, 2, if(ISBLANK('2025'!$P228), 0, 1), 3, if(ISBLANK('2025'!$Q228), 0, 1), 4, if(ISBLANK('2025'!$R228), 0, 1), 5, if(ISBLANK('2025'!$S228), 0, 1), 6, if(ISBLANK('2025'!$T228), 0, 1), 7, 0))), 1, "")</f>
        <v/>
      </c>
      <c r="AF230" s="1" t="str">
        <f>IF(AND(AND(AND(AF$4&gt;='2025'!$L228,AF$4&lt;='2025'!$M228), AF$4&lt;&gt;DATE(2025,7,4)), (SWITCH(weekday(AF$4), 1, 0, 2, if(ISBLANK('2025'!$P228), 0, 1), 3, if(ISBLANK('2025'!$Q228), 0, 1), 4, if(ISBLANK('2025'!$R228), 0, 1), 5, if(ISBLANK('2025'!$S228), 0, 1), 6, if(ISBLANK('2025'!$T228), 0, 1), 7, 0))), 1, "")</f>
        <v/>
      </c>
      <c r="AG230" s="1" t="str">
        <f>IF(AND(AND(AND(AG$4&gt;='2025'!$L228,AG$4&lt;='2025'!$M228), AG$4&lt;&gt;DATE(2025,7,4)), (SWITCH(weekday(AG$4), 1, 0, 2, if(ISBLANK('2025'!$P228), 0, 1), 3, if(ISBLANK('2025'!$Q228), 0, 1), 4, if(ISBLANK('2025'!$R228), 0, 1), 5, if(ISBLANK('2025'!$S228), 0, 1), 6, if(ISBLANK('2025'!$T228), 0, 1), 7, 0))), 1, "")</f>
        <v/>
      </c>
      <c r="AH230" s="1" t="str">
        <f>IF(AND(AND(AND(AH$4&gt;='2025'!$L228,AH$4&lt;='2025'!$M228), AH$4&lt;&gt;DATE(2025,7,4)), (SWITCH(weekday(AH$4), 1, 0, 2, if(ISBLANK('2025'!$P228), 0, 1), 3, if(ISBLANK('2025'!$Q228), 0, 1), 4, if(ISBLANK('2025'!$R228), 0, 1), 5, if(ISBLANK('2025'!$S228), 0, 1), 6, if(ISBLANK('2025'!$T228), 0, 1), 7, 0))), 1, "")</f>
        <v/>
      </c>
      <c r="AI230" s="1" t="str">
        <f>IF(AND(AND(AND(AI$4&gt;='2025'!$L228,AI$4&lt;='2025'!$M228), AI$4&lt;&gt;DATE(2025,7,4)), (SWITCH(weekday(AI$4), 1, 0, 2, if(ISBLANK('2025'!$P228), 0, 1), 3, if(ISBLANK('2025'!$Q228), 0, 1), 4, if(ISBLANK('2025'!$R228), 0, 1), 5, if(ISBLANK('2025'!$S228), 0, 1), 6, if(ISBLANK('2025'!$T228), 0, 1), 7, 0))), 1, "")</f>
        <v/>
      </c>
      <c r="AJ230" s="1" t="str">
        <f>IF(AND(AND(AND(AJ$4&gt;='2025'!$L228,AJ$4&lt;='2025'!$M228), AJ$4&lt;&gt;DATE(2025,7,4)), (SWITCH(weekday(AJ$4), 1, 0, 2, if(ISBLANK('2025'!$P228), 0, 1), 3, if(ISBLANK('2025'!$Q228), 0, 1), 4, if(ISBLANK('2025'!$R228), 0, 1), 5, if(ISBLANK('2025'!$S228), 0, 1), 6, if(ISBLANK('2025'!$T228), 0, 1), 7, 0))), 1, "")</f>
        <v/>
      </c>
      <c r="AK230" s="1" t="str">
        <f>IF(AND(AND(AND(AK$4&gt;='2025'!$L228,AK$4&lt;='2025'!$M228), AK$4&lt;&gt;DATE(2025,7,4)), (SWITCH(weekday(AK$4), 1, 0, 2, if(ISBLANK('2025'!$P228), 0, 1), 3, if(ISBLANK('2025'!$Q228), 0, 1), 4, if(ISBLANK('2025'!$R228), 0, 1), 5, if(ISBLANK('2025'!$S228), 0, 1), 6, if(ISBLANK('2025'!$T228), 0, 1), 7, 0))), 1, "")</f>
        <v/>
      </c>
      <c r="AL230" s="1" t="str">
        <f>IF(AND(AND(AND(AL$4&gt;='2025'!$L228,AL$4&lt;='2025'!$M228), AL$4&lt;&gt;DATE(2025,7,4)), (SWITCH(weekday(AL$4), 1, 0, 2, if(ISBLANK('2025'!$P228), 0, 1), 3, if(ISBLANK('2025'!$Q228), 0, 1), 4, if(ISBLANK('2025'!$R228), 0, 1), 5, if(ISBLANK('2025'!$S228), 0, 1), 6, if(ISBLANK('2025'!$T228), 0, 1), 7, 0))), 1, "")</f>
        <v/>
      </c>
      <c r="AM230" s="1" t="str">
        <f>IF(AND(AND(AND(AM$4&gt;='2025'!$L228,AM$4&lt;='2025'!$M228), AM$4&lt;&gt;DATE(2025,7,4)), (SWITCH(weekday(AM$4), 1, 0, 2, if(ISBLANK('2025'!$P228), 0, 1), 3, if(ISBLANK('2025'!$Q228), 0, 1), 4, if(ISBLANK('2025'!$R228), 0, 1), 5, if(ISBLANK('2025'!$S228), 0, 1), 6, if(ISBLANK('2025'!$T228), 0, 1), 7, 0))), 1, "")</f>
        <v/>
      </c>
      <c r="AN230" s="1" t="str">
        <f>IF(AND(AND(AND(AN$4&gt;='2025'!$L228,AN$4&lt;='2025'!$M228), AN$4&lt;&gt;DATE(2025,7,4)), (SWITCH(weekday(AN$4), 1, 0, 2, if(ISBLANK('2025'!$P228), 0, 1), 3, if(ISBLANK('2025'!$Q228), 0, 1), 4, if(ISBLANK('2025'!$R228), 0, 1), 5, if(ISBLANK('2025'!$S228), 0, 1), 6, if(ISBLANK('2025'!$T228), 0, 1), 7, 0))), 1, "")</f>
        <v/>
      </c>
      <c r="AO230" s="1" t="str">
        <f>IF(AND(AND(AND(AO$4&gt;='2025'!$L228,AO$4&lt;='2025'!$M228), AO$4&lt;&gt;DATE(2025,7,4)), (SWITCH(weekday(AO$4), 1, 0, 2, if(ISBLANK('2025'!$P228), 0, 1), 3, if(ISBLANK('2025'!$Q228), 0, 1), 4, if(ISBLANK('2025'!$R228), 0, 1), 5, if(ISBLANK('2025'!$S228), 0, 1), 6, if(ISBLANK('2025'!$T228), 0, 1), 7, 0))), 1, "")</f>
        <v/>
      </c>
      <c r="AP230" s="1" t="str">
        <f>IF(AND(AND(AND(AP$4&gt;='2025'!$L228,AP$4&lt;='2025'!$M228), AP$4&lt;&gt;DATE(2025,7,4)), (SWITCH(weekday(AP$4), 1, 0, 2, if(ISBLANK('2025'!$P228), 0, 1), 3, if(ISBLANK('2025'!$Q228), 0, 1), 4, if(ISBLANK('2025'!$R228), 0, 1), 5, if(ISBLANK('2025'!$S228), 0, 1), 6, if(ISBLANK('2025'!$T228), 0, 1), 7, 0))), 1, "")</f>
        <v/>
      </c>
      <c r="AQ230" s="1" t="str">
        <f>IF(AND(AND(AND(AQ$4&gt;='2025'!$L228,AQ$4&lt;='2025'!$M228), AQ$4&lt;&gt;DATE(2025,7,4)), (SWITCH(weekday(AQ$4), 1, 0, 2, if(ISBLANK('2025'!$P228), 0, 1), 3, if(ISBLANK('2025'!$Q228), 0, 1), 4, if(ISBLANK('2025'!$R228), 0, 1), 5, if(ISBLANK('2025'!$S228), 0, 1), 6, if(ISBLANK('2025'!$T228), 0, 1), 7, 0))), 1, "")</f>
        <v/>
      </c>
      <c r="AR230" s="1" t="str">
        <f>IF(AND(AND(AND(AR$4&gt;='2025'!$L228,AR$4&lt;='2025'!$M228), AR$4&lt;&gt;DATE(2025,7,4)), (SWITCH(weekday(AR$4), 1, 0, 2, if(ISBLANK('2025'!$P228), 0, 1), 3, if(ISBLANK('2025'!$Q228), 0, 1), 4, if(ISBLANK('2025'!$R228), 0, 1), 5, if(ISBLANK('2025'!$S228), 0, 1), 6, if(ISBLANK('2025'!$T228), 0, 1), 7, 0))), 1, "")</f>
        <v/>
      </c>
      <c r="AS230" s="1" t="str">
        <f>IF(AND(AND(AND(AS$4&gt;='2025'!$L228,AS$4&lt;='2025'!$M228), AS$4&lt;&gt;DATE(2025,7,4)), (SWITCH(weekday(AS$4), 1, 0, 2, if(ISBLANK('2025'!$P228), 0, 1), 3, if(ISBLANK('2025'!$Q228), 0, 1), 4, if(ISBLANK('2025'!$R228), 0, 1), 5, if(ISBLANK('2025'!$S228), 0, 1), 6, if(ISBLANK('2025'!$T228), 0, 1), 7, 0))), 1, "")</f>
        <v/>
      </c>
      <c r="AT230" s="1" t="str">
        <f>IF(AND(AND(AND(AT$4&gt;='2025'!$L228,AT$4&lt;='2025'!$M228), AT$4&lt;&gt;DATE(2025,7,4)), (SWITCH(weekday(AT$4), 1, 0, 2, if(ISBLANK('2025'!$P228), 0, 1), 3, if(ISBLANK('2025'!$Q228), 0, 1), 4, if(ISBLANK('2025'!$R228), 0, 1), 5, if(ISBLANK('2025'!$S228), 0, 1), 6, if(ISBLANK('2025'!$T228), 0, 1), 7, 0))), 1, "")</f>
        <v/>
      </c>
      <c r="AU230" s="1" t="str">
        <f>IF(AND(AND(AND(AU$4&gt;='2025'!$L228,AU$4&lt;='2025'!$M228), AU$4&lt;&gt;DATE(2025,7,4)), (SWITCH(weekday(AU$4), 1, 0, 2, if(ISBLANK('2025'!$P228), 0, 1), 3, if(ISBLANK('2025'!$Q228), 0, 1), 4, if(ISBLANK('2025'!$R228), 0, 1), 5, if(ISBLANK('2025'!$S228), 0, 1), 6, if(ISBLANK('2025'!$T228), 0, 1), 7, 0))), 1, "")</f>
        <v/>
      </c>
      <c r="AV230" s="1" t="str">
        <f>IF(AND(AND(AND(AV$4&gt;='2025'!$L228,AV$4&lt;='2025'!$M228), AV$4&lt;&gt;DATE(2025,7,4)), (SWITCH(weekday(AV$4), 1, 0, 2, if(ISBLANK('2025'!$P228), 0, 1), 3, if(ISBLANK('2025'!$Q228), 0, 1), 4, if(ISBLANK('2025'!$R228), 0, 1), 5, if(ISBLANK('2025'!$S228), 0, 1), 6, if(ISBLANK('2025'!$T228), 0, 1), 7, 0))), 1, "")</f>
        <v/>
      </c>
      <c r="AW230" s="1" t="str">
        <f>IF(AND(AND(AND(AW$4&gt;='2025'!$L228,AW$4&lt;='2025'!$M228), AW$4&lt;&gt;DATE(2025,7,4)), (SWITCH(weekday(AW$4), 1, 0, 2, if(ISBLANK('2025'!$P228), 0, 1), 3, if(ISBLANK('2025'!$Q228), 0, 1), 4, if(ISBLANK('2025'!$R228), 0, 1), 5, if(ISBLANK('2025'!$S228), 0, 1), 6, if(ISBLANK('2025'!$T228), 0, 1), 7, 0))), 1, "")</f>
        <v/>
      </c>
      <c r="AX230" s="1" t="str">
        <f>IF(AND(AND(AND(AX$4&gt;='2025'!$L228,AX$4&lt;='2025'!$M228), AX$4&lt;&gt;DATE(2025,7,4)), (SWITCH(weekday(AX$4), 1, 0, 2, if(ISBLANK('2025'!$P228), 0, 1), 3, if(ISBLANK('2025'!$Q228), 0, 1), 4, if(ISBLANK('2025'!$R228), 0, 1), 5, if(ISBLANK('2025'!$S228), 0, 1), 6, if(ISBLANK('2025'!$T228), 0, 1), 7, 0))), 1, "")</f>
        <v/>
      </c>
      <c r="AY230" s="1" t="str">
        <f>IF(AND(AND(AND(AY$4&gt;='2025'!$L228,AY$4&lt;='2025'!$M228), AY$4&lt;&gt;DATE(2025,7,4)), (SWITCH(weekday(AY$4), 1, 0, 2, if(ISBLANK('2025'!$P228), 0, 1), 3, if(ISBLANK('2025'!$Q228), 0, 1), 4, if(ISBLANK('2025'!$R228), 0, 1), 5, if(ISBLANK('2025'!$S228), 0, 1), 6, if(ISBLANK('2025'!$T228), 0, 1), 7, 0))), 1, "")</f>
        <v/>
      </c>
      <c r="AZ230" s="1" t="str">
        <f>IF(AND(AND(AND(AZ$4&gt;='2025'!$L228,AZ$4&lt;='2025'!$M228), AZ$4&lt;&gt;DATE(2025,7,4)), (SWITCH(weekday(AZ$4), 1, 0, 2, if(ISBLANK('2025'!$P228), 0, 1), 3, if(ISBLANK('2025'!$Q228), 0, 1), 4, if(ISBLANK('2025'!$R228), 0, 1), 5, if(ISBLANK('2025'!$S228), 0, 1), 6, if(ISBLANK('2025'!$T228), 0, 1), 7, 0))), 1, "")</f>
        <v/>
      </c>
      <c r="BA230" s="1" t="str">
        <f>IF(AND(AND(AND(BA$4&gt;='2025'!$L228,BA$4&lt;='2025'!$M228), BA$4&lt;&gt;DATE(2025,7,4)), (SWITCH(weekday(BA$4), 1, 0, 2, if(ISBLANK('2025'!$P228), 0, 1), 3, if(ISBLANK('2025'!$Q228), 0, 1), 4, if(ISBLANK('2025'!$R228), 0, 1), 5, if(ISBLANK('2025'!$S228), 0, 1), 6, if(ISBLANK('2025'!$T228), 0, 1), 7, 0))), 1, "")</f>
        <v/>
      </c>
      <c r="BB230" s="1" t="str">
        <f>IF(AND(AND(AND(BB$4&gt;='2025'!$L228,BB$4&lt;='2025'!$M228), BB$4&lt;&gt;DATE(2025,7,4)), (SWITCH(weekday(BB$4), 1, 0, 2, if(ISBLANK('2025'!$P228), 0, 1), 3, if(ISBLANK('2025'!$Q228), 0, 1), 4, if(ISBLANK('2025'!$R228), 0, 1), 5, if(ISBLANK('2025'!$S228), 0, 1), 6, if(ISBLANK('2025'!$T228), 0, 1), 7, 0))), 1, "")</f>
        <v/>
      </c>
      <c r="BC230" s="1" t="str">
        <f>IF(AND(AND(AND(BC$4&gt;='2025'!$L228,BC$4&lt;='2025'!$M228), BC$4&lt;&gt;DATE(2025,7,4)), (SWITCH(weekday(BC$4), 1, 0, 2, if(ISBLANK('2025'!$P228), 0, 1), 3, if(ISBLANK('2025'!$Q228), 0, 1), 4, if(ISBLANK('2025'!$R228), 0, 1), 5, if(ISBLANK('2025'!$S228), 0, 1), 6, if(ISBLANK('2025'!$T228), 0, 1), 7, 0))), 1, "")</f>
        <v/>
      </c>
      <c r="BD230" s="1" t="str">
        <f>IF(AND(AND(AND(BD$4&gt;='2025'!$L228,BD$4&lt;='2025'!$M228), BD$4&lt;&gt;DATE(2025,7,4)), (SWITCH(weekday(BD$4), 1, 0, 2, if(ISBLANK('2025'!$P228), 0, 1), 3, if(ISBLANK('2025'!$Q228), 0, 1), 4, if(ISBLANK('2025'!$R228), 0, 1), 5, if(ISBLANK('2025'!$S228), 0, 1), 6, if(ISBLANK('2025'!$T228), 0, 1), 7, 0))), 1, "")</f>
        <v/>
      </c>
      <c r="BE230" s="1" t="str">
        <f>IF(AND(AND(AND(BE$4&gt;='2025'!$L228,BE$4&lt;='2025'!$M228), BE$4&lt;&gt;DATE(2025,7,4)), (SWITCH(weekday(BE$4), 1, 0, 2, if(ISBLANK('2025'!$P228), 0, 1), 3, if(ISBLANK('2025'!$Q228), 0, 1), 4, if(ISBLANK('2025'!$R228), 0, 1), 5, if(ISBLANK('2025'!$S228), 0, 1), 6, if(ISBLANK('2025'!$T228), 0, 1), 7, 0))), 1, "")</f>
        <v/>
      </c>
      <c r="BF230" s="1" t="str">
        <f>IF(AND(AND(AND(BF$4&gt;='2025'!$L228,BF$4&lt;='2025'!$M228), BF$4&lt;&gt;DATE(2025,7,4)), (SWITCH(weekday(BF$4), 1, 0, 2, if(ISBLANK('2025'!$P228), 0, 1), 3, if(ISBLANK('2025'!$Q228), 0, 1), 4, if(ISBLANK('2025'!$R228), 0, 1), 5, if(ISBLANK('2025'!$S228), 0, 1), 6, if(ISBLANK('2025'!$T228), 0, 1), 7, 0))), 1, "")</f>
        <v/>
      </c>
      <c r="BG230" s="1"/>
      <c r="BH230" s="1"/>
      <c r="BI230" s="1"/>
      <c r="BJ230" s="1"/>
      <c r="BK230" s="1"/>
      <c r="BL230" s="1"/>
    </row>
    <row r="231">
      <c r="A231" s="1">
        <f t="shared" si="3"/>
        <v>231</v>
      </c>
      <c r="B231" s="1" t="str">
        <f>'2025'!D195</f>
        <v>, </v>
      </c>
      <c r="C231" s="1" t="str">
        <f>'2025'!H195</f>
        <v/>
      </c>
      <c r="D231" s="1" t="str">
        <f>IF(AND(AND(AND(D$4&gt;='2025'!$L229,D$4&lt;='2025'!$M229), D$4&lt;&gt;DATE(2025,7,4)), (SWITCH(weekday(D$4), 1, 0, 2, if(ISBLANK('2025'!$P229), 0, 1), 3, if(ISBLANK('2025'!$Q229), 0, 1), 4, if(ISBLANK('2025'!$R229), 0, 1), 5, if(ISBLANK('2025'!$S229), 0, 1), 6, if(ISBLANK('2025'!$T229), 0, 1), 7, 0))), 1, "")</f>
        <v/>
      </c>
      <c r="E231" s="1" t="str">
        <f>IF(AND(AND(AND(E$4&gt;='2025'!$L229,E$4&lt;='2025'!$M229), E$4&lt;&gt;DATE(2025,7,4)), (SWITCH(weekday(E$4), 1, 0, 2, if(ISBLANK('2025'!$P229), 0, 1), 3, if(ISBLANK('2025'!$Q229), 0, 1), 4, if(ISBLANK('2025'!$R229), 0, 1), 5, if(ISBLANK('2025'!$S229), 0, 1), 6, if(ISBLANK('2025'!$T229), 0, 1), 7, 0))), 1, "")</f>
        <v/>
      </c>
      <c r="F231" s="1" t="str">
        <f>IF(AND(AND(AND(F$4&gt;='2025'!$L229,F$4&lt;='2025'!$M229), F$4&lt;&gt;DATE(2025,7,4)), (SWITCH(weekday(F$4), 1, 0, 2, if(ISBLANK('2025'!$P229), 0, 1), 3, if(ISBLANK('2025'!$Q229), 0, 1), 4, if(ISBLANK('2025'!$R229), 0, 1), 5, if(ISBLANK('2025'!$S229), 0, 1), 6, if(ISBLANK('2025'!$T229), 0, 1), 7, 0))), 1, "")</f>
        <v/>
      </c>
      <c r="G231" s="1" t="str">
        <f>IF(AND(AND(AND(G$4&gt;='2025'!$L229,G$4&lt;='2025'!$M229), G$4&lt;&gt;DATE(2025,7,4)), (SWITCH(weekday(G$4), 1, 0, 2, if(ISBLANK('2025'!$P229), 0, 1), 3, if(ISBLANK('2025'!$Q229), 0, 1), 4, if(ISBLANK('2025'!$R229), 0, 1), 5, if(ISBLANK('2025'!$S229), 0, 1), 6, if(ISBLANK('2025'!$T229), 0, 1), 7, 0))), 1, "")</f>
        <v/>
      </c>
      <c r="H231" s="1" t="str">
        <f>IF(AND(AND(AND(H$4&gt;='2025'!$L229,H$4&lt;='2025'!$M229), H$4&lt;&gt;DATE(2025,7,4)), (SWITCH(weekday(H$4), 1, 0, 2, if(ISBLANK('2025'!$P229), 0, 1), 3, if(ISBLANK('2025'!$Q229), 0, 1), 4, if(ISBLANK('2025'!$R229), 0, 1), 5, if(ISBLANK('2025'!$S229), 0, 1), 6, if(ISBLANK('2025'!$T229), 0, 1), 7, 0))), 1, "")</f>
        <v/>
      </c>
      <c r="I231" s="1" t="str">
        <f>IF(AND(AND(AND(I$4&gt;='2025'!$L229,I$4&lt;='2025'!$M229), I$4&lt;&gt;DATE(2025,7,4)), (SWITCH(weekday(I$4), 1, 0, 2, if(ISBLANK('2025'!$P229), 0, 1), 3, if(ISBLANK('2025'!$Q229), 0, 1), 4, if(ISBLANK('2025'!$R229), 0, 1), 5, if(ISBLANK('2025'!$S229), 0, 1), 6, if(ISBLANK('2025'!$T229), 0, 1), 7, 0))), 1, "")</f>
        <v/>
      </c>
      <c r="J231" s="1" t="str">
        <f>IF(AND(AND(AND(J$4&gt;='2025'!$L229,J$4&lt;='2025'!$M229), J$4&lt;&gt;DATE(2025,7,4)), (SWITCH(weekday(J$4), 1, 0, 2, if(ISBLANK('2025'!$P229), 0, 1), 3, if(ISBLANK('2025'!$Q229), 0, 1), 4, if(ISBLANK('2025'!$R229), 0, 1), 5, if(ISBLANK('2025'!$S229), 0, 1), 6, if(ISBLANK('2025'!$T229), 0, 1), 7, 0))), 1, "")</f>
        <v/>
      </c>
      <c r="K231" s="1" t="str">
        <f>IF(AND(AND(AND(K$4&gt;='2025'!$L229,K$4&lt;='2025'!$M229), K$4&lt;&gt;DATE(2025,7,4)), (SWITCH(weekday(K$4), 1, 0, 2, if(ISBLANK('2025'!$P229), 0, 1), 3, if(ISBLANK('2025'!$Q229), 0, 1), 4, if(ISBLANK('2025'!$R229), 0, 1), 5, if(ISBLANK('2025'!$S229), 0, 1), 6, if(ISBLANK('2025'!$T229), 0, 1), 7, 0))), 1, "")</f>
        <v/>
      </c>
      <c r="L231" s="1" t="str">
        <f>IF(AND(AND(AND(L$4&gt;='2025'!$L229,L$4&lt;='2025'!$M229), L$4&lt;&gt;DATE(2025,7,4)), (SWITCH(weekday(L$4), 1, 0, 2, if(ISBLANK('2025'!$P229), 0, 1), 3, if(ISBLANK('2025'!$Q229), 0, 1), 4, if(ISBLANK('2025'!$R229), 0, 1), 5, if(ISBLANK('2025'!$S229), 0, 1), 6, if(ISBLANK('2025'!$T229), 0, 1), 7, 0))), 1, "")</f>
        <v/>
      </c>
      <c r="M231" s="1" t="str">
        <f>IF(AND(AND(AND(M$4&gt;='2025'!$L229,M$4&lt;='2025'!$M229), M$4&lt;&gt;DATE(2025,7,4)), (SWITCH(weekday(M$4), 1, 0, 2, if(ISBLANK('2025'!$P229), 0, 1), 3, if(ISBLANK('2025'!$Q229), 0, 1), 4, if(ISBLANK('2025'!$R229), 0, 1), 5, if(ISBLANK('2025'!$S229), 0, 1), 6, if(ISBLANK('2025'!$T229), 0, 1), 7, 0))), 1, "")</f>
        <v/>
      </c>
      <c r="N231" s="1" t="str">
        <f>IF(AND(AND(AND(N$4&gt;='2025'!$L229,N$4&lt;='2025'!$M229), N$4&lt;&gt;DATE(2025,7,4)), (SWITCH(weekday(N$4), 1, 0, 2, if(ISBLANK('2025'!$P229), 0, 1), 3, if(ISBLANK('2025'!$Q229), 0, 1), 4, if(ISBLANK('2025'!$R229), 0, 1), 5, if(ISBLANK('2025'!$S229), 0, 1), 6, if(ISBLANK('2025'!$T229), 0, 1), 7, 0))), 1, "")</f>
        <v/>
      </c>
      <c r="O231" s="1" t="str">
        <f>IF(AND(AND(AND(O$4&gt;='2025'!$L229,O$4&lt;='2025'!$M229), O$4&lt;&gt;DATE(2025,7,4)), (SWITCH(weekday(O$4), 1, 0, 2, if(ISBLANK('2025'!$P229), 0, 1), 3, if(ISBLANK('2025'!$Q229), 0, 1), 4, if(ISBLANK('2025'!$R229), 0, 1), 5, if(ISBLANK('2025'!$S229), 0, 1), 6, if(ISBLANK('2025'!$T229), 0, 1), 7, 0))), 1, "")</f>
        <v/>
      </c>
      <c r="P231" s="1" t="str">
        <f>IF(AND(AND(AND(P$4&gt;='2025'!$L229,P$4&lt;='2025'!$M229), P$4&lt;&gt;DATE(2025,7,4)), (SWITCH(weekday(P$4), 1, 0, 2, if(ISBLANK('2025'!$P229), 0, 1), 3, if(ISBLANK('2025'!$Q229), 0, 1), 4, if(ISBLANK('2025'!$R229), 0, 1), 5, if(ISBLANK('2025'!$S229), 0, 1), 6, if(ISBLANK('2025'!$T229), 0, 1), 7, 0))), 1, "")</f>
        <v/>
      </c>
      <c r="Q231" s="1" t="str">
        <f>IF(AND(AND(AND(Q$4&gt;='2025'!$L229,Q$4&lt;='2025'!$M229), Q$4&lt;&gt;DATE(2025,7,4)), (SWITCH(weekday(Q$4), 1, 0, 2, if(ISBLANK('2025'!$P229), 0, 1), 3, if(ISBLANK('2025'!$Q229), 0, 1), 4, if(ISBLANK('2025'!$R229), 0, 1), 5, if(ISBLANK('2025'!$S229), 0, 1), 6, if(ISBLANK('2025'!$T229), 0, 1), 7, 0))), 1, "")</f>
        <v/>
      </c>
      <c r="R231" s="1" t="str">
        <f>IF(AND(AND(AND(R$4&gt;='2025'!$L229,R$4&lt;='2025'!$M229), R$4&lt;&gt;DATE(2025,7,4)), (SWITCH(weekday(R$4), 1, 0, 2, if(ISBLANK('2025'!$P229), 0, 1), 3, if(ISBLANK('2025'!$Q229), 0, 1), 4, if(ISBLANK('2025'!$R229), 0, 1), 5, if(ISBLANK('2025'!$S229), 0, 1), 6, if(ISBLANK('2025'!$T229), 0, 1), 7, 0))), 1, "")</f>
        <v/>
      </c>
      <c r="S231" s="1" t="str">
        <f>IF(AND(AND(AND(S$4&gt;='2025'!$L229,S$4&lt;='2025'!$M229), S$4&lt;&gt;DATE(2025,7,4)), (SWITCH(weekday(S$4), 1, 0, 2, if(ISBLANK('2025'!$P229), 0, 1), 3, if(ISBLANK('2025'!$Q229), 0, 1), 4, if(ISBLANK('2025'!$R229), 0, 1), 5, if(ISBLANK('2025'!$S229), 0, 1), 6, if(ISBLANK('2025'!$T229), 0, 1), 7, 0))), 1, "")</f>
        <v/>
      </c>
      <c r="T231" s="1" t="str">
        <f>IF(AND(AND(AND(T$4&gt;='2025'!$L229,T$4&lt;='2025'!$M229), T$4&lt;&gt;DATE(2025,7,4)), (SWITCH(weekday(T$4), 1, 0, 2, if(ISBLANK('2025'!$P229), 0, 1), 3, if(ISBLANK('2025'!$Q229), 0, 1), 4, if(ISBLANK('2025'!$R229), 0, 1), 5, if(ISBLANK('2025'!$S229), 0, 1), 6, if(ISBLANK('2025'!$T229), 0, 1), 7, 0))), 1, "")</f>
        <v/>
      </c>
      <c r="U231" s="1" t="str">
        <f>IF(AND(AND(AND(U$4&gt;='2025'!$L229,U$4&lt;='2025'!$M229), U$4&lt;&gt;DATE(2025,7,4)), (SWITCH(weekday(U$4), 1, 0, 2, if(ISBLANK('2025'!$P229), 0, 1), 3, if(ISBLANK('2025'!$Q229), 0, 1), 4, if(ISBLANK('2025'!$R229), 0, 1), 5, if(ISBLANK('2025'!$S229), 0, 1), 6, if(ISBLANK('2025'!$T229), 0, 1), 7, 0))), 1, "")</f>
        <v/>
      </c>
      <c r="V231" s="1" t="str">
        <f>IF(AND(AND(AND(V$4&gt;='2025'!$L229,V$4&lt;='2025'!$M229), V$4&lt;&gt;DATE(2025,7,4)), (SWITCH(weekday(V$4), 1, 0, 2, if(ISBLANK('2025'!$P229), 0, 1), 3, if(ISBLANK('2025'!$Q229), 0, 1), 4, if(ISBLANK('2025'!$R229), 0, 1), 5, if(ISBLANK('2025'!$S229), 0, 1), 6, if(ISBLANK('2025'!$T229), 0, 1), 7, 0))), 1, "")</f>
        <v/>
      </c>
      <c r="W231" s="1" t="str">
        <f>IF(AND(AND(AND(W$4&gt;='2025'!$L229,W$4&lt;='2025'!$M229), W$4&lt;&gt;DATE(2025,7,4)), (SWITCH(weekday(W$4), 1, 0, 2, if(ISBLANK('2025'!$P229), 0, 1), 3, if(ISBLANK('2025'!$Q229), 0, 1), 4, if(ISBLANK('2025'!$R229), 0, 1), 5, if(ISBLANK('2025'!$S229), 0, 1), 6, if(ISBLANK('2025'!$T229), 0, 1), 7, 0))), 1, "")</f>
        <v/>
      </c>
      <c r="X231" s="1" t="str">
        <f>IF(AND(AND(AND(X$4&gt;='2025'!$L229,X$4&lt;='2025'!$M229), X$4&lt;&gt;DATE(2025,7,4)), (SWITCH(weekday(X$4), 1, 0, 2, if(ISBLANK('2025'!$P229), 0, 1), 3, if(ISBLANK('2025'!$Q229), 0, 1), 4, if(ISBLANK('2025'!$R229), 0, 1), 5, if(ISBLANK('2025'!$S229), 0, 1), 6, if(ISBLANK('2025'!$T229), 0, 1), 7, 0))), 1, "")</f>
        <v/>
      </c>
      <c r="Y231" s="1" t="str">
        <f>IF(AND(AND(AND(Y$4&gt;='2025'!$L229,Y$4&lt;='2025'!$M229), Y$4&lt;&gt;DATE(2025,7,4)), (SWITCH(weekday(Y$4), 1, 0, 2, if(ISBLANK('2025'!$P229), 0, 1), 3, if(ISBLANK('2025'!$Q229), 0, 1), 4, if(ISBLANK('2025'!$R229), 0, 1), 5, if(ISBLANK('2025'!$S229), 0, 1), 6, if(ISBLANK('2025'!$T229), 0, 1), 7, 0))), 1, "")</f>
        <v/>
      </c>
      <c r="Z231" s="1" t="str">
        <f>IF(AND(AND(AND(Z$4&gt;='2025'!$L229,Z$4&lt;='2025'!$M229), Z$4&lt;&gt;DATE(2025,7,4)), (SWITCH(weekday(Z$4), 1, 0, 2, if(ISBLANK('2025'!$P229), 0, 1), 3, if(ISBLANK('2025'!$Q229), 0, 1), 4, if(ISBLANK('2025'!$R229), 0, 1), 5, if(ISBLANK('2025'!$S229), 0, 1), 6, if(ISBLANK('2025'!$T229), 0, 1), 7, 0))), 1, "")</f>
        <v/>
      </c>
      <c r="AA231" s="1" t="str">
        <f>IF(AND(AND(AND(AA$4&gt;='2025'!$L229,AA$4&lt;='2025'!$M229), AA$4&lt;&gt;DATE(2025,7,4)), (SWITCH(weekday(AA$4), 1, 0, 2, if(ISBLANK('2025'!$P229), 0, 1), 3, if(ISBLANK('2025'!$Q229), 0, 1), 4, if(ISBLANK('2025'!$R229), 0, 1), 5, if(ISBLANK('2025'!$S229), 0, 1), 6, if(ISBLANK('2025'!$T229), 0, 1), 7, 0))), 1, "")</f>
        <v/>
      </c>
      <c r="AB231" s="1" t="str">
        <f>IF(AND(AND(AND(AB$4&gt;='2025'!$L229,AB$4&lt;='2025'!$M229), AB$4&lt;&gt;DATE(2025,7,4)), (SWITCH(weekday(AB$4), 1, 0, 2, if(ISBLANK('2025'!$P229), 0, 1), 3, if(ISBLANK('2025'!$Q229), 0, 1), 4, if(ISBLANK('2025'!$R229), 0, 1), 5, if(ISBLANK('2025'!$S229), 0, 1), 6, if(ISBLANK('2025'!$T229), 0, 1), 7, 0))), 1, "")</f>
        <v/>
      </c>
      <c r="AC231" s="1" t="str">
        <f>IF(AND(AND(AND(AC$4&gt;='2025'!$L229,AC$4&lt;='2025'!$M229), AC$4&lt;&gt;DATE(2025,7,4)), (SWITCH(weekday(AC$4), 1, 0, 2, if(ISBLANK('2025'!$P229), 0, 1), 3, if(ISBLANK('2025'!$Q229), 0, 1), 4, if(ISBLANK('2025'!$R229), 0, 1), 5, if(ISBLANK('2025'!$S229), 0, 1), 6, if(ISBLANK('2025'!$T229), 0, 1), 7, 0))), 1, "")</f>
        <v/>
      </c>
      <c r="AD231" s="1" t="str">
        <f>IF(AND(AND(AND(AD$4&gt;='2025'!$L229,AD$4&lt;='2025'!$M229), AD$4&lt;&gt;DATE(2025,7,4)), (SWITCH(weekday(AD$4), 1, 0, 2, if(ISBLANK('2025'!$P229), 0, 1), 3, if(ISBLANK('2025'!$Q229), 0, 1), 4, if(ISBLANK('2025'!$R229), 0, 1), 5, if(ISBLANK('2025'!$S229), 0, 1), 6, if(ISBLANK('2025'!$T229), 0, 1), 7, 0))), 1, "")</f>
        <v/>
      </c>
      <c r="AE231" s="1" t="str">
        <f>IF(AND(AND(AND(AE$4&gt;='2025'!$L229,AE$4&lt;='2025'!$M229), AE$4&lt;&gt;DATE(2025,7,4)), (SWITCH(weekday(AE$4), 1, 0, 2, if(ISBLANK('2025'!$P229), 0, 1), 3, if(ISBLANK('2025'!$Q229), 0, 1), 4, if(ISBLANK('2025'!$R229), 0, 1), 5, if(ISBLANK('2025'!$S229), 0, 1), 6, if(ISBLANK('2025'!$T229), 0, 1), 7, 0))), 1, "")</f>
        <v/>
      </c>
      <c r="AF231" s="1" t="str">
        <f>IF(AND(AND(AND(AF$4&gt;='2025'!$L229,AF$4&lt;='2025'!$M229), AF$4&lt;&gt;DATE(2025,7,4)), (SWITCH(weekday(AF$4), 1, 0, 2, if(ISBLANK('2025'!$P229), 0, 1), 3, if(ISBLANK('2025'!$Q229), 0, 1), 4, if(ISBLANK('2025'!$R229), 0, 1), 5, if(ISBLANK('2025'!$S229), 0, 1), 6, if(ISBLANK('2025'!$T229), 0, 1), 7, 0))), 1, "")</f>
        <v/>
      </c>
      <c r="AG231" s="1" t="str">
        <f>IF(AND(AND(AND(AG$4&gt;='2025'!$L229,AG$4&lt;='2025'!$M229), AG$4&lt;&gt;DATE(2025,7,4)), (SWITCH(weekday(AG$4), 1, 0, 2, if(ISBLANK('2025'!$P229), 0, 1), 3, if(ISBLANK('2025'!$Q229), 0, 1), 4, if(ISBLANK('2025'!$R229), 0, 1), 5, if(ISBLANK('2025'!$S229), 0, 1), 6, if(ISBLANK('2025'!$T229), 0, 1), 7, 0))), 1, "")</f>
        <v/>
      </c>
      <c r="AH231" s="1" t="str">
        <f>IF(AND(AND(AND(AH$4&gt;='2025'!$L229,AH$4&lt;='2025'!$M229), AH$4&lt;&gt;DATE(2025,7,4)), (SWITCH(weekday(AH$4), 1, 0, 2, if(ISBLANK('2025'!$P229), 0, 1), 3, if(ISBLANK('2025'!$Q229), 0, 1), 4, if(ISBLANK('2025'!$R229), 0, 1), 5, if(ISBLANK('2025'!$S229), 0, 1), 6, if(ISBLANK('2025'!$T229), 0, 1), 7, 0))), 1, "")</f>
        <v/>
      </c>
      <c r="AI231" s="1" t="str">
        <f>IF(AND(AND(AND(AI$4&gt;='2025'!$L229,AI$4&lt;='2025'!$M229), AI$4&lt;&gt;DATE(2025,7,4)), (SWITCH(weekday(AI$4), 1, 0, 2, if(ISBLANK('2025'!$P229), 0, 1), 3, if(ISBLANK('2025'!$Q229), 0, 1), 4, if(ISBLANK('2025'!$R229), 0, 1), 5, if(ISBLANK('2025'!$S229), 0, 1), 6, if(ISBLANK('2025'!$T229), 0, 1), 7, 0))), 1, "")</f>
        <v/>
      </c>
      <c r="AJ231" s="1" t="str">
        <f>IF(AND(AND(AND(AJ$4&gt;='2025'!$L229,AJ$4&lt;='2025'!$M229), AJ$4&lt;&gt;DATE(2025,7,4)), (SWITCH(weekday(AJ$4), 1, 0, 2, if(ISBLANK('2025'!$P229), 0, 1), 3, if(ISBLANK('2025'!$Q229), 0, 1), 4, if(ISBLANK('2025'!$R229), 0, 1), 5, if(ISBLANK('2025'!$S229), 0, 1), 6, if(ISBLANK('2025'!$T229), 0, 1), 7, 0))), 1, "")</f>
        <v/>
      </c>
      <c r="AK231" s="1" t="str">
        <f>IF(AND(AND(AND(AK$4&gt;='2025'!$L229,AK$4&lt;='2025'!$M229), AK$4&lt;&gt;DATE(2025,7,4)), (SWITCH(weekday(AK$4), 1, 0, 2, if(ISBLANK('2025'!$P229), 0, 1), 3, if(ISBLANK('2025'!$Q229), 0, 1), 4, if(ISBLANK('2025'!$R229), 0, 1), 5, if(ISBLANK('2025'!$S229), 0, 1), 6, if(ISBLANK('2025'!$T229), 0, 1), 7, 0))), 1, "")</f>
        <v/>
      </c>
      <c r="AL231" s="1" t="str">
        <f>IF(AND(AND(AND(AL$4&gt;='2025'!$L229,AL$4&lt;='2025'!$M229), AL$4&lt;&gt;DATE(2025,7,4)), (SWITCH(weekday(AL$4), 1, 0, 2, if(ISBLANK('2025'!$P229), 0, 1), 3, if(ISBLANK('2025'!$Q229), 0, 1), 4, if(ISBLANK('2025'!$R229), 0, 1), 5, if(ISBLANK('2025'!$S229), 0, 1), 6, if(ISBLANK('2025'!$T229), 0, 1), 7, 0))), 1, "")</f>
        <v/>
      </c>
      <c r="AM231" s="1" t="str">
        <f>IF(AND(AND(AND(AM$4&gt;='2025'!$L229,AM$4&lt;='2025'!$M229), AM$4&lt;&gt;DATE(2025,7,4)), (SWITCH(weekday(AM$4), 1, 0, 2, if(ISBLANK('2025'!$P229), 0, 1), 3, if(ISBLANK('2025'!$Q229), 0, 1), 4, if(ISBLANK('2025'!$R229), 0, 1), 5, if(ISBLANK('2025'!$S229), 0, 1), 6, if(ISBLANK('2025'!$T229), 0, 1), 7, 0))), 1, "")</f>
        <v/>
      </c>
      <c r="AN231" s="1" t="str">
        <f>IF(AND(AND(AND(AN$4&gt;='2025'!$L229,AN$4&lt;='2025'!$M229), AN$4&lt;&gt;DATE(2025,7,4)), (SWITCH(weekday(AN$4), 1, 0, 2, if(ISBLANK('2025'!$P229), 0, 1), 3, if(ISBLANK('2025'!$Q229), 0, 1), 4, if(ISBLANK('2025'!$R229), 0, 1), 5, if(ISBLANK('2025'!$S229), 0, 1), 6, if(ISBLANK('2025'!$T229), 0, 1), 7, 0))), 1, "")</f>
        <v/>
      </c>
      <c r="AO231" s="1" t="str">
        <f>IF(AND(AND(AND(AO$4&gt;='2025'!$L229,AO$4&lt;='2025'!$M229), AO$4&lt;&gt;DATE(2025,7,4)), (SWITCH(weekday(AO$4), 1, 0, 2, if(ISBLANK('2025'!$P229), 0, 1), 3, if(ISBLANK('2025'!$Q229), 0, 1), 4, if(ISBLANK('2025'!$R229), 0, 1), 5, if(ISBLANK('2025'!$S229), 0, 1), 6, if(ISBLANK('2025'!$T229), 0, 1), 7, 0))), 1, "")</f>
        <v/>
      </c>
      <c r="AP231" s="1" t="str">
        <f>IF(AND(AND(AND(AP$4&gt;='2025'!$L229,AP$4&lt;='2025'!$M229), AP$4&lt;&gt;DATE(2025,7,4)), (SWITCH(weekday(AP$4), 1, 0, 2, if(ISBLANK('2025'!$P229), 0, 1), 3, if(ISBLANK('2025'!$Q229), 0, 1), 4, if(ISBLANK('2025'!$R229), 0, 1), 5, if(ISBLANK('2025'!$S229), 0, 1), 6, if(ISBLANK('2025'!$T229), 0, 1), 7, 0))), 1, "")</f>
        <v/>
      </c>
      <c r="AQ231" s="1" t="str">
        <f>IF(AND(AND(AND(AQ$4&gt;='2025'!$L229,AQ$4&lt;='2025'!$M229), AQ$4&lt;&gt;DATE(2025,7,4)), (SWITCH(weekday(AQ$4), 1, 0, 2, if(ISBLANK('2025'!$P229), 0, 1), 3, if(ISBLANK('2025'!$Q229), 0, 1), 4, if(ISBLANK('2025'!$R229), 0, 1), 5, if(ISBLANK('2025'!$S229), 0, 1), 6, if(ISBLANK('2025'!$T229), 0, 1), 7, 0))), 1, "")</f>
        <v/>
      </c>
      <c r="AR231" s="1" t="str">
        <f>IF(AND(AND(AND(AR$4&gt;='2025'!$L229,AR$4&lt;='2025'!$M229), AR$4&lt;&gt;DATE(2025,7,4)), (SWITCH(weekday(AR$4), 1, 0, 2, if(ISBLANK('2025'!$P229), 0, 1), 3, if(ISBLANK('2025'!$Q229), 0, 1), 4, if(ISBLANK('2025'!$R229), 0, 1), 5, if(ISBLANK('2025'!$S229), 0, 1), 6, if(ISBLANK('2025'!$T229), 0, 1), 7, 0))), 1, "")</f>
        <v/>
      </c>
      <c r="AS231" s="1" t="str">
        <f>IF(AND(AND(AND(AS$4&gt;='2025'!$L229,AS$4&lt;='2025'!$M229), AS$4&lt;&gt;DATE(2025,7,4)), (SWITCH(weekday(AS$4), 1, 0, 2, if(ISBLANK('2025'!$P229), 0, 1), 3, if(ISBLANK('2025'!$Q229), 0, 1), 4, if(ISBLANK('2025'!$R229), 0, 1), 5, if(ISBLANK('2025'!$S229), 0, 1), 6, if(ISBLANK('2025'!$T229), 0, 1), 7, 0))), 1, "")</f>
        <v/>
      </c>
      <c r="AT231" s="1" t="str">
        <f>IF(AND(AND(AND(AT$4&gt;='2025'!$L229,AT$4&lt;='2025'!$M229), AT$4&lt;&gt;DATE(2025,7,4)), (SWITCH(weekday(AT$4), 1, 0, 2, if(ISBLANK('2025'!$P229), 0, 1), 3, if(ISBLANK('2025'!$Q229), 0, 1), 4, if(ISBLANK('2025'!$R229), 0, 1), 5, if(ISBLANK('2025'!$S229), 0, 1), 6, if(ISBLANK('2025'!$T229), 0, 1), 7, 0))), 1, "")</f>
        <v/>
      </c>
      <c r="AU231" s="1" t="str">
        <f>IF(AND(AND(AND(AU$4&gt;='2025'!$L229,AU$4&lt;='2025'!$M229), AU$4&lt;&gt;DATE(2025,7,4)), (SWITCH(weekday(AU$4), 1, 0, 2, if(ISBLANK('2025'!$P229), 0, 1), 3, if(ISBLANK('2025'!$Q229), 0, 1), 4, if(ISBLANK('2025'!$R229), 0, 1), 5, if(ISBLANK('2025'!$S229), 0, 1), 6, if(ISBLANK('2025'!$T229), 0, 1), 7, 0))), 1, "")</f>
        <v/>
      </c>
      <c r="AV231" s="1" t="str">
        <f>IF(AND(AND(AND(AV$4&gt;='2025'!$L229,AV$4&lt;='2025'!$M229), AV$4&lt;&gt;DATE(2025,7,4)), (SWITCH(weekday(AV$4), 1, 0, 2, if(ISBLANK('2025'!$P229), 0, 1), 3, if(ISBLANK('2025'!$Q229), 0, 1), 4, if(ISBLANK('2025'!$R229), 0, 1), 5, if(ISBLANK('2025'!$S229), 0, 1), 6, if(ISBLANK('2025'!$T229), 0, 1), 7, 0))), 1, "")</f>
        <v/>
      </c>
      <c r="AW231" s="1" t="str">
        <f>IF(AND(AND(AND(AW$4&gt;='2025'!$L229,AW$4&lt;='2025'!$M229), AW$4&lt;&gt;DATE(2025,7,4)), (SWITCH(weekday(AW$4), 1, 0, 2, if(ISBLANK('2025'!$P229), 0, 1), 3, if(ISBLANK('2025'!$Q229), 0, 1), 4, if(ISBLANK('2025'!$R229), 0, 1), 5, if(ISBLANK('2025'!$S229), 0, 1), 6, if(ISBLANK('2025'!$T229), 0, 1), 7, 0))), 1, "")</f>
        <v/>
      </c>
      <c r="AX231" s="1" t="str">
        <f>IF(AND(AND(AND(AX$4&gt;='2025'!$L229,AX$4&lt;='2025'!$M229), AX$4&lt;&gt;DATE(2025,7,4)), (SWITCH(weekday(AX$4), 1, 0, 2, if(ISBLANK('2025'!$P229), 0, 1), 3, if(ISBLANK('2025'!$Q229), 0, 1), 4, if(ISBLANK('2025'!$R229), 0, 1), 5, if(ISBLANK('2025'!$S229), 0, 1), 6, if(ISBLANK('2025'!$T229), 0, 1), 7, 0))), 1, "")</f>
        <v/>
      </c>
      <c r="AY231" s="1" t="str">
        <f>IF(AND(AND(AND(AY$4&gt;='2025'!$L229,AY$4&lt;='2025'!$M229), AY$4&lt;&gt;DATE(2025,7,4)), (SWITCH(weekday(AY$4), 1, 0, 2, if(ISBLANK('2025'!$P229), 0, 1), 3, if(ISBLANK('2025'!$Q229), 0, 1), 4, if(ISBLANK('2025'!$R229), 0, 1), 5, if(ISBLANK('2025'!$S229), 0, 1), 6, if(ISBLANK('2025'!$T229), 0, 1), 7, 0))), 1, "")</f>
        <v/>
      </c>
      <c r="AZ231" s="1" t="str">
        <f>IF(AND(AND(AND(AZ$4&gt;='2025'!$L229,AZ$4&lt;='2025'!$M229), AZ$4&lt;&gt;DATE(2025,7,4)), (SWITCH(weekday(AZ$4), 1, 0, 2, if(ISBLANK('2025'!$P229), 0, 1), 3, if(ISBLANK('2025'!$Q229), 0, 1), 4, if(ISBLANK('2025'!$R229), 0, 1), 5, if(ISBLANK('2025'!$S229), 0, 1), 6, if(ISBLANK('2025'!$T229), 0, 1), 7, 0))), 1, "")</f>
        <v/>
      </c>
      <c r="BA231" s="1" t="str">
        <f>IF(AND(AND(AND(BA$4&gt;='2025'!$L229,BA$4&lt;='2025'!$M229), BA$4&lt;&gt;DATE(2025,7,4)), (SWITCH(weekday(BA$4), 1, 0, 2, if(ISBLANK('2025'!$P229), 0, 1), 3, if(ISBLANK('2025'!$Q229), 0, 1), 4, if(ISBLANK('2025'!$R229), 0, 1), 5, if(ISBLANK('2025'!$S229), 0, 1), 6, if(ISBLANK('2025'!$T229), 0, 1), 7, 0))), 1, "")</f>
        <v/>
      </c>
      <c r="BB231" s="1" t="str">
        <f>IF(AND(AND(AND(BB$4&gt;='2025'!$L229,BB$4&lt;='2025'!$M229), BB$4&lt;&gt;DATE(2025,7,4)), (SWITCH(weekday(BB$4), 1, 0, 2, if(ISBLANK('2025'!$P229), 0, 1), 3, if(ISBLANK('2025'!$Q229), 0, 1), 4, if(ISBLANK('2025'!$R229), 0, 1), 5, if(ISBLANK('2025'!$S229), 0, 1), 6, if(ISBLANK('2025'!$T229), 0, 1), 7, 0))), 1, "")</f>
        <v/>
      </c>
      <c r="BC231" s="1" t="str">
        <f>IF(AND(AND(AND(BC$4&gt;='2025'!$L229,BC$4&lt;='2025'!$M229), BC$4&lt;&gt;DATE(2025,7,4)), (SWITCH(weekday(BC$4), 1, 0, 2, if(ISBLANK('2025'!$P229), 0, 1), 3, if(ISBLANK('2025'!$Q229), 0, 1), 4, if(ISBLANK('2025'!$R229), 0, 1), 5, if(ISBLANK('2025'!$S229), 0, 1), 6, if(ISBLANK('2025'!$T229), 0, 1), 7, 0))), 1, "")</f>
        <v/>
      </c>
      <c r="BD231" s="1" t="str">
        <f>IF(AND(AND(AND(BD$4&gt;='2025'!$L229,BD$4&lt;='2025'!$M229), BD$4&lt;&gt;DATE(2025,7,4)), (SWITCH(weekday(BD$4), 1, 0, 2, if(ISBLANK('2025'!$P229), 0, 1), 3, if(ISBLANK('2025'!$Q229), 0, 1), 4, if(ISBLANK('2025'!$R229), 0, 1), 5, if(ISBLANK('2025'!$S229), 0, 1), 6, if(ISBLANK('2025'!$T229), 0, 1), 7, 0))), 1, "")</f>
        <v/>
      </c>
      <c r="BE231" s="1" t="str">
        <f>IF(AND(AND(AND(BE$4&gt;='2025'!$L229,BE$4&lt;='2025'!$M229), BE$4&lt;&gt;DATE(2025,7,4)), (SWITCH(weekday(BE$4), 1, 0, 2, if(ISBLANK('2025'!$P229), 0, 1), 3, if(ISBLANK('2025'!$Q229), 0, 1), 4, if(ISBLANK('2025'!$R229), 0, 1), 5, if(ISBLANK('2025'!$S229), 0, 1), 6, if(ISBLANK('2025'!$T229), 0, 1), 7, 0))), 1, "")</f>
        <v/>
      </c>
      <c r="BF231" s="1" t="str">
        <f>IF(AND(AND(AND(BF$4&gt;='2025'!$L229,BF$4&lt;='2025'!$M229), BF$4&lt;&gt;DATE(2025,7,4)), (SWITCH(weekday(BF$4), 1, 0, 2, if(ISBLANK('2025'!$P229), 0, 1), 3, if(ISBLANK('2025'!$Q229), 0, 1), 4, if(ISBLANK('2025'!$R229), 0, 1), 5, if(ISBLANK('2025'!$S229), 0, 1), 6, if(ISBLANK('2025'!$T229), 0, 1), 7, 0))), 1, "")</f>
        <v/>
      </c>
      <c r="BG231" s="1"/>
      <c r="BH231" s="1"/>
      <c r="BI231" s="1"/>
      <c r="BJ231" s="1"/>
      <c r="BK231" s="1"/>
      <c r="BL231" s="1"/>
    </row>
    <row r="232">
      <c r="A232" s="1">
        <f t="shared" si="3"/>
        <v>232</v>
      </c>
      <c r="B232" s="1" t="str">
        <f>'2025'!D196</f>
        <v>, </v>
      </c>
      <c r="C232" s="1" t="str">
        <f>'2025'!H196</f>
        <v/>
      </c>
      <c r="D232" s="1" t="str">
        <f>IF(AND(AND(AND(D$4&gt;='2025'!$L230,D$4&lt;='2025'!$M230), D$4&lt;&gt;DATE(2025,7,4)), (SWITCH(weekday(D$4), 1, 0, 2, if(ISBLANK('2025'!$P230), 0, 1), 3, if(ISBLANK('2025'!$Q230), 0, 1), 4, if(ISBLANK('2025'!$R230), 0, 1), 5, if(ISBLANK('2025'!$S230), 0, 1), 6, if(ISBLANK('2025'!$T230), 0, 1), 7, 0))), 1, "")</f>
        <v/>
      </c>
      <c r="E232" s="1" t="str">
        <f>IF(AND(AND(AND(E$4&gt;='2025'!$L230,E$4&lt;='2025'!$M230), E$4&lt;&gt;DATE(2025,7,4)), (SWITCH(weekday(E$4), 1, 0, 2, if(ISBLANK('2025'!$P230), 0, 1), 3, if(ISBLANK('2025'!$Q230), 0, 1), 4, if(ISBLANK('2025'!$R230), 0, 1), 5, if(ISBLANK('2025'!$S230), 0, 1), 6, if(ISBLANK('2025'!$T230), 0, 1), 7, 0))), 1, "")</f>
        <v/>
      </c>
      <c r="F232" s="1" t="str">
        <f>IF(AND(AND(AND(F$4&gt;='2025'!$L230,F$4&lt;='2025'!$M230), F$4&lt;&gt;DATE(2025,7,4)), (SWITCH(weekday(F$4), 1, 0, 2, if(ISBLANK('2025'!$P230), 0, 1), 3, if(ISBLANK('2025'!$Q230), 0, 1), 4, if(ISBLANK('2025'!$R230), 0, 1), 5, if(ISBLANK('2025'!$S230), 0, 1), 6, if(ISBLANK('2025'!$T230), 0, 1), 7, 0))), 1, "")</f>
        <v/>
      </c>
      <c r="G232" s="1" t="str">
        <f>IF(AND(AND(AND(G$4&gt;='2025'!$L230,G$4&lt;='2025'!$M230), G$4&lt;&gt;DATE(2025,7,4)), (SWITCH(weekday(G$4), 1, 0, 2, if(ISBLANK('2025'!$P230), 0, 1), 3, if(ISBLANK('2025'!$Q230), 0, 1), 4, if(ISBLANK('2025'!$R230), 0, 1), 5, if(ISBLANK('2025'!$S230), 0, 1), 6, if(ISBLANK('2025'!$T230), 0, 1), 7, 0))), 1, "")</f>
        <v/>
      </c>
      <c r="H232" s="1" t="str">
        <f>IF(AND(AND(AND(H$4&gt;='2025'!$L230,H$4&lt;='2025'!$M230), H$4&lt;&gt;DATE(2025,7,4)), (SWITCH(weekday(H$4), 1, 0, 2, if(ISBLANK('2025'!$P230), 0, 1), 3, if(ISBLANK('2025'!$Q230), 0, 1), 4, if(ISBLANK('2025'!$R230), 0, 1), 5, if(ISBLANK('2025'!$S230), 0, 1), 6, if(ISBLANK('2025'!$T230), 0, 1), 7, 0))), 1, "")</f>
        <v/>
      </c>
      <c r="I232" s="1" t="str">
        <f>IF(AND(AND(AND(I$4&gt;='2025'!$L230,I$4&lt;='2025'!$M230), I$4&lt;&gt;DATE(2025,7,4)), (SWITCH(weekday(I$4), 1, 0, 2, if(ISBLANK('2025'!$P230), 0, 1), 3, if(ISBLANK('2025'!$Q230), 0, 1), 4, if(ISBLANK('2025'!$R230), 0, 1), 5, if(ISBLANK('2025'!$S230), 0, 1), 6, if(ISBLANK('2025'!$T230), 0, 1), 7, 0))), 1, "")</f>
        <v/>
      </c>
      <c r="J232" s="1" t="str">
        <f>IF(AND(AND(AND(J$4&gt;='2025'!$L230,J$4&lt;='2025'!$M230), J$4&lt;&gt;DATE(2025,7,4)), (SWITCH(weekday(J$4), 1, 0, 2, if(ISBLANK('2025'!$P230), 0, 1), 3, if(ISBLANK('2025'!$Q230), 0, 1), 4, if(ISBLANK('2025'!$R230), 0, 1), 5, if(ISBLANK('2025'!$S230), 0, 1), 6, if(ISBLANK('2025'!$T230), 0, 1), 7, 0))), 1, "")</f>
        <v/>
      </c>
      <c r="K232" s="1" t="str">
        <f>IF(AND(AND(AND(K$4&gt;='2025'!$L230,K$4&lt;='2025'!$M230), K$4&lt;&gt;DATE(2025,7,4)), (SWITCH(weekday(K$4), 1, 0, 2, if(ISBLANK('2025'!$P230), 0, 1), 3, if(ISBLANK('2025'!$Q230), 0, 1), 4, if(ISBLANK('2025'!$R230), 0, 1), 5, if(ISBLANK('2025'!$S230), 0, 1), 6, if(ISBLANK('2025'!$T230), 0, 1), 7, 0))), 1, "")</f>
        <v/>
      </c>
      <c r="L232" s="1" t="str">
        <f>IF(AND(AND(AND(L$4&gt;='2025'!$L230,L$4&lt;='2025'!$M230), L$4&lt;&gt;DATE(2025,7,4)), (SWITCH(weekday(L$4), 1, 0, 2, if(ISBLANK('2025'!$P230), 0, 1), 3, if(ISBLANK('2025'!$Q230), 0, 1), 4, if(ISBLANK('2025'!$R230), 0, 1), 5, if(ISBLANK('2025'!$S230), 0, 1), 6, if(ISBLANK('2025'!$T230), 0, 1), 7, 0))), 1, "")</f>
        <v/>
      </c>
      <c r="M232" s="1" t="str">
        <f>IF(AND(AND(AND(M$4&gt;='2025'!$L230,M$4&lt;='2025'!$M230), M$4&lt;&gt;DATE(2025,7,4)), (SWITCH(weekday(M$4), 1, 0, 2, if(ISBLANK('2025'!$P230), 0, 1), 3, if(ISBLANK('2025'!$Q230), 0, 1), 4, if(ISBLANK('2025'!$R230), 0, 1), 5, if(ISBLANK('2025'!$S230), 0, 1), 6, if(ISBLANK('2025'!$T230), 0, 1), 7, 0))), 1, "")</f>
        <v/>
      </c>
      <c r="N232" s="1" t="str">
        <f>IF(AND(AND(AND(N$4&gt;='2025'!$L230,N$4&lt;='2025'!$M230), N$4&lt;&gt;DATE(2025,7,4)), (SWITCH(weekday(N$4), 1, 0, 2, if(ISBLANK('2025'!$P230), 0, 1), 3, if(ISBLANK('2025'!$Q230), 0, 1), 4, if(ISBLANK('2025'!$R230), 0, 1), 5, if(ISBLANK('2025'!$S230), 0, 1), 6, if(ISBLANK('2025'!$T230), 0, 1), 7, 0))), 1, "")</f>
        <v/>
      </c>
      <c r="O232" s="1" t="str">
        <f>IF(AND(AND(AND(O$4&gt;='2025'!$L230,O$4&lt;='2025'!$M230), O$4&lt;&gt;DATE(2025,7,4)), (SWITCH(weekday(O$4), 1, 0, 2, if(ISBLANK('2025'!$P230), 0, 1), 3, if(ISBLANK('2025'!$Q230), 0, 1), 4, if(ISBLANK('2025'!$R230), 0, 1), 5, if(ISBLANK('2025'!$S230), 0, 1), 6, if(ISBLANK('2025'!$T230), 0, 1), 7, 0))), 1, "")</f>
        <v/>
      </c>
      <c r="P232" s="1" t="str">
        <f>IF(AND(AND(AND(P$4&gt;='2025'!$L230,P$4&lt;='2025'!$M230), P$4&lt;&gt;DATE(2025,7,4)), (SWITCH(weekday(P$4), 1, 0, 2, if(ISBLANK('2025'!$P230), 0, 1), 3, if(ISBLANK('2025'!$Q230), 0, 1), 4, if(ISBLANK('2025'!$R230), 0, 1), 5, if(ISBLANK('2025'!$S230), 0, 1), 6, if(ISBLANK('2025'!$T230), 0, 1), 7, 0))), 1, "")</f>
        <v/>
      </c>
      <c r="Q232" s="1" t="str">
        <f>IF(AND(AND(AND(Q$4&gt;='2025'!$L230,Q$4&lt;='2025'!$M230), Q$4&lt;&gt;DATE(2025,7,4)), (SWITCH(weekday(Q$4), 1, 0, 2, if(ISBLANK('2025'!$P230), 0, 1), 3, if(ISBLANK('2025'!$Q230), 0, 1), 4, if(ISBLANK('2025'!$R230), 0, 1), 5, if(ISBLANK('2025'!$S230), 0, 1), 6, if(ISBLANK('2025'!$T230), 0, 1), 7, 0))), 1, "")</f>
        <v/>
      </c>
      <c r="R232" s="1" t="str">
        <f>IF(AND(AND(AND(R$4&gt;='2025'!$L230,R$4&lt;='2025'!$M230), R$4&lt;&gt;DATE(2025,7,4)), (SWITCH(weekday(R$4), 1, 0, 2, if(ISBLANK('2025'!$P230), 0, 1), 3, if(ISBLANK('2025'!$Q230), 0, 1), 4, if(ISBLANK('2025'!$R230), 0, 1), 5, if(ISBLANK('2025'!$S230), 0, 1), 6, if(ISBLANK('2025'!$T230), 0, 1), 7, 0))), 1, "")</f>
        <v/>
      </c>
      <c r="S232" s="1" t="str">
        <f>IF(AND(AND(AND(S$4&gt;='2025'!$L230,S$4&lt;='2025'!$M230), S$4&lt;&gt;DATE(2025,7,4)), (SWITCH(weekday(S$4), 1, 0, 2, if(ISBLANK('2025'!$P230), 0, 1), 3, if(ISBLANK('2025'!$Q230), 0, 1), 4, if(ISBLANK('2025'!$R230), 0, 1), 5, if(ISBLANK('2025'!$S230), 0, 1), 6, if(ISBLANK('2025'!$T230), 0, 1), 7, 0))), 1, "")</f>
        <v/>
      </c>
      <c r="T232" s="1" t="str">
        <f>IF(AND(AND(AND(T$4&gt;='2025'!$L230,T$4&lt;='2025'!$M230), T$4&lt;&gt;DATE(2025,7,4)), (SWITCH(weekday(T$4), 1, 0, 2, if(ISBLANK('2025'!$P230), 0, 1), 3, if(ISBLANK('2025'!$Q230), 0, 1), 4, if(ISBLANK('2025'!$R230), 0, 1), 5, if(ISBLANK('2025'!$S230), 0, 1), 6, if(ISBLANK('2025'!$T230), 0, 1), 7, 0))), 1, "")</f>
        <v/>
      </c>
      <c r="U232" s="1" t="str">
        <f>IF(AND(AND(AND(U$4&gt;='2025'!$L230,U$4&lt;='2025'!$M230), U$4&lt;&gt;DATE(2025,7,4)), (SWITCH(weekday(U$4), 1, 0, 2, if(ISBLANK('2025'!$P230), 0, 1), 3, if(ISBLANK('2025'!$Q230), 0, 1), 4, if(ISBLANK('2025'!$R230), 0, 1), 5, if(ISBLANK('2025'!$S230), 0, 1), 6, if(ISBLANK('2025'!$T230), 0, 1), 7, 0))), 1, "")</f>
        <v/>
      </c>
      <c r="V232" s="1" t="str">
        <f>IF(AND(AND(AND(V$4&gt;='2025'!$L230,V$4&lt;='2025'!$M230), V$4&lt;&gt;DATE(2025,7,4)), (SWITCH(weekday(V$4), 1, 0, 2, if(ISBLANK('2025'!$P230), 0, 1), 3, if(ISBLANK('2025'!$Q230), 0, 1), 4, if(ISBLANK('2025'!$R230), 0, 1), 5, if(ISBLANK('2025'!$S230), 0, 1), 6, if(ISBLANK('2025'!$T230), 0, 1), 7, 0))), 1, "")</f>
        <v/>
      </c>
      <c r="W232" s="1" t="str">
        <f>IF(AND(AND(AND(W$4&gt;='2025'!$L230,W$4&lt;='2025'!$M230), W$4&lt;&gt;DATE(2025,7,4)), (SWITCH(weekday(W$4), 1, 0, 2, if(ISBLANK('2025'!$P230), 0, 1), 3, if(ISBLANK('2025'!$Q230), 0, 1), 4, if(ISBLANK('2025'!$R230), 0, 1), 5, if(ISBLANK('2025'!$S230), 0, 1), 6, if(ISBLANK('2025'!$T230), 0, 1), 7, 0))), 1, "")</f>
        <v/>
      </c>
      <c r="X232" s="1" t="str">
        <f>IF(AND(AND(AND(X$4&gt;='2025'!$L230,X$4&lt;='2025'!$M230), X$4&lt;&gt;DATE(2025,7,4)), (SWITCH(weekday(X$4), 1, 0, 2, if(ISBLANK('2025'!$P230), 0, 1), 3, if(ISBLANK('2025'!$Q230), 0, 1), 4, if(ISBLANK('2025'!$R230), 0, 1), 5, if(ISBLANK('2025'!$S230), 0, 1), 6, if(ISBLANK('2025'!$T230), 0, 1), 7, 0))), 1, "")</f>
        <v/>
      </c>
      <c r="Y232" s="1" t="str">
        <f>IF(AND(AND(AND(Y$4&gt;='2025'!$L230,Y$4&lt;='2025'!$M230), Y$4&lt;&gt;DATE(2025,7,4)), (SWITCH(weekday(Y$4), 1, 0, 2, if(ISBLANK('2025'!$P230), 0, 1), 3, if(ISBLANK('2025'!$Q230), 0, 1), 4, if(ISBLANK('2025'!$R230), 0, 1), 5, if(ISBLANK('2025'!$S230), 0, 1), 6, if(ISBLANK('2025'!$T230), 0, 1), 7, 0))), 1, "")</f>
        <v/>
      </c>
      <c r="Z232" s="1" t="str">
        <f>IF(AND(AND(AND(Z$4&gt;='2025'!$L230,Z$4&lt;='2025'!$M230), Z$4&lt;&gt;DATE(2025,7,4)), (SWITCH(weekday(Z$4), 1, 0, 2, if(ISBLANK('2025'!$P230), 0, 1), 3, if(ISBLANK('2025'!$Q230), 0, 1), 4, if(ISBLANK('2025'!$R230), 0, 1), 5, if(ISBLANK('2025'!$S230), 0, 1), 6, if(ISBLANK('2025'!$T230), 0, 1), 7, 0))), 1, "")</f>
        <v/>
      </c>
      <c r="AA232" s="1" t="str">
        <f>IF(AND(AND(AND(AA$4&gt;='2025'!$L230,AA$4&lt;='2025'!$M230), AA$4&lt;&gt;DATE(2025,7,4)), (SWITCH(weekday(AA$4), 1, 0, 2, if(ISBLANK('2025'!$P230), 0, 1), 3, if(ISBLANK('2025'!$Q230), 0, 1), 4, if(ISBLANK('2025'!$R230), 0, 1), 5, if(ISBLANK('2025'!$S230), 0, 1), 6, if(ISBLANK('2025'!$T230), 0, 1), 7, 0))), 1, "")</f>
        <v/>
      </c>
      <c r="AB232" s="1" t="str">
        <f>IF(AND(AND(AND(AB$4&gt;='2025'!$L230,AB$4&lt;='2025'!$M230), AB$4&lt;&gt;DATE(2025,7,4)), (SWITCH(weekday(AB$4), 1, 0, 2, if(ISBLANK('2025'!$P230), 0, 1), 3, if(ISBLANK('2025'!$Q230), 0, 1), 4, if(ISBLANK('2025'!$R230), 0, 1), 5, if(ISBLANK('2025'!$S230), 0, 1), 6, if(ISBLANK('2025'!$T230), 0, 1), 7, 0))), 1, "")</f>
        <v/>
      </c>
      <c r="AC232" s="1" t="str">
        <f>IF(AND(AND(AND(AC$4&gt;='2025'!$L230,AC$4&lt;='2025'!$M230), AC$4&lt;&gt;DATE(2025,7,4)), (SWITCH(weekday(AC$4), 1, 0, 2, if(ISBLANK('2025'!$P230), 0, 1), 3, if(ISBLANK('2025'!$Q230), 0, 1), 4, if(ISBLANK('2025'!$R230), 0, 1), 5, if(ISBLANK('2025'!$S230), 0, 1), 6, if(ISBLANK('2025'!$T230), 0, 1), 7, 0))), 1, "")</f>
        <v/>
      </c>
      <c r="AD232" s="1" t="str">
        <f>IF(AND(AND(AND(AD$4&gt;='2025'!$L230,AD$4&lt;='2025'!$M230), AD$4&lt;&gt;DATE(2025,7,4)), (SWITCH(weekday(AD$4), 1, 0, 2, if(ISBLANK('2025'!$P230), 0, 1), 3, if(ISBLANK('2025'!$Q230), 0, 1), 4, if(ISBLANK('2025'!$R230), 0, 1), 5, if(ISBLANK('2025'!$S230), 0, 1), 6, if(ISBLANK('2025'!$T230), 0, 1), 7, 0))), 1, "")</f>
        <v/>
      </c>
      <c r="AE232" s="1" t="str">
        <f>IF(AND(AND(AND(AE$4&gt;='2025'!$L230,AE$4&lt;='2025'!$M230), AE$4&lt;&gt;DATE(2025,7,4)), (SWITCH(weekday(AE$4), 1, 0, 2, if(ISBLANK('2025'!$P230), 0, 1), 3, if(ISBLANK('2025'!$Q230), 0, 1), 4, if(ISBLANK('2025'!$R230), 0, 1), 5, if(ISBLANK('2025'!$S230), 0, 1), 6, if(ISBLANK('2025'!$T230), 0, 1), 7, 0))), 1, "")</f>
        <v/>
      </c>
      <c r="AF232" s="1" t="str">
        <f>IF(AND(AND(AND(AF$4&gt;='2025'!$L230,AF$4&lt;='2025'!$M230), AF$4&lt;&gt;DATE(2025,7,4)), (SWITCH(weekday(AF$4), 1, 0, 2, if(ISBLANK('2025'!$P230), 0, 1), 3, if(ISBLANK('2025'!$Q230), 0, 1), 4, if(ISBLANK('2025'!$R230), 0, 1), 5, if(ISBLANK('2025'!$S230), 0, 1), 6, if(ISBLANK('2025'!$T230), 0, 1), 7, 0))), 1, "")</f>
        <v/>
      </c>
      <c r="AG232" s="1" t="str">
        <f>IF(AND(AND(AND(AG$4&gt;='2025'!$L230,AG$4&lt;='2025'!$M230), AG$4&lt;&gt;DATE(2025,7,4)), (SWITCH(weekday(AG$4), 1, 0, 2, if(ISBLANK('2025'!$P230), 0, 1), 3, if(ISBLANK('2025'!$Q230), 0, 1), 4, if(ISBLANK('2025'!$R230), 0, 1), 5, if(ISBLANK('2025'!$S230), 0, 1), 6, if(ISBLANK('2025'!$T230), 0, 1), 7, 0))), 1, "")</f>
        <v/>
      </c>
      <c r="AH232" s="1" t="str">
        <f>IF(AND(AND(AND(AH$4&gt;='2025'!$L230,AH$4&lt;='2025'!$M230), AH$4&lt;&gt;DATE(2025,7,4)), (SWITCH(weekday(AH$4), 1, 0, 2, if(ISBLANK('2025'!$P230), 0, 1), 3, if(ISBLANK('2025'!$Q230), 0, 1), 4, if(ISBLANK('2025'!$R230), 0, 1), 5, if(ISBLANK('2025'!$S230), 0, 1), 6, if(ISBLANK('2025'!$T230), 0, 1), 7, 0))), 1, "")</f>
        <v/>
      </c>
      <c r="AI232" s="1" t="str">
        <f>IF(AND(AND(AND(AI$4&gt;='2025'!$L230,AI$4&lt;='2025'!$M230), AI$4&lt;&gt;DATE(2025,7,4)), (SWITCH(weekday(AI$4), 1, 0, 2, if(ISBLANK('2025'!$P230), 0, 1), 3, if(ISBLANK('2025'!$Q230), 0, 1), 4, if(ISBLANK('2025'!$R230), 0, 1), 5, if(ISBLANK('2025'!$S230), 0, 1), 6, if(ISBLANK('2025'!$T230), 0, 1), 7, 0))), 1, "")</f>
        <v/>
      </c>
      <c r="AJ232" s="1" t="str">
        <f>IF(AND(AND(AND(AJ$4&gt;='2025'!$L230,AJ$4&lt;='2025'!$M230), AJ$4&lt;&gt;DATE(2025,7,4)), (SWITCH(weekday(AJ$4), 1, 0, 2, if(ISBLANK('2025'!$P230), 0, 1), 3, if(ISBLANK('2025'!$Q230), 0, 1), 4, if(ISBLANK('2025'!$R230), 0, 1), 5, if(ISBLANK('2025'!$S230), 0, 1), 6, if(ISBLANK('2025'!$T230), 0, 1), 7, 0))), 1, "")</f>
        <v/>
      </c>
      <c r="AK232" s="1" t="str">
        <f>IF(AND(AND(AND(AK$4&gt;='2025'!$L230,AK$4&lt;='2025'!$M230), AK$4&lt;&gt;DATE(2025,7,4)), (SWITCH(weekday(AK$4), 1, 0, 2, if(ISBLANK('2025'!$P230), 0, 1), 3, if(ISBLANK('2025'!$Q230), 0, 1), 4, if(ISBLANK('2025'!$R230), 0, 1), 5, if(ISBLANK('2025'!$S230), 0, 1), 6, if(ISBLANK('2025'!$T230), 0, 1), 7, 0))), 1, "")</f>
        <v/>
      </c>
      <c r="AL232" s="1" t="str">
        <f>IF(AND(AND(AND(AL$4&gt;='2025'!$L230,AL$4&lt;='2025'!$M230), AL$4&lt;&gt;DATE(2025,7,4)), (SWITCH(weekday(AL$4), 1, 0, 2, if(ISBLANK('2025'!$P230), 0, 1), 3, if(ISBLANK('2025'!$Q230), 0, 1), 4, if(ISBLANK('2025'!$R230), 0, 1), 5, if(ISBLANK('2025'!$S230), 0, 1), 6, if(ISBLANK('2025'!$T230), 0, 1), 7, 0))), 1, "")</f>
        <v/>
      </c>
      <c r="AM232" s="1" t="str">
        <f>IF(AND(AND(AND(AM$4&gt;='2025'!$L230,AM$4&lt;='2025'!$M230), AM$4&lt;&gt;DATE(2025,7,4)), (SWITCH(weekday(AM$4), 1, 0, 2, if(ISBLANK('2025'!$P230), 0, 1), 3, if(ISBLANK('2025'!$Q230), 0, 1), 4, if(ISBLANK('2025'!$R230), 0, 1), 5, if(ISBLANK('2025'!$S230), 0, 1), 6, if(ISBLANK('2025'!$T230), 0, 1), 7, 0))), 1, "")</f>
        <v/>
      </c>
      <c r="AN232" s="1" t="str">
        <f>IF(AND(AND(AND(AN$4&gt;='2025'!$L230,AN$4&lt;='2025'!$M230), AN$4&lt;&gt;DATE(2025,7,4)), (SWITCH(weekday(AN$4), 1, 0, 2, if(ISBLANK('2025'!$P230), 0, 1), 3, if(ISBLANK('2025'!$Q230), 0, 1), 4, if(ISBLANK('2025'!$R230), 0, 1), 5, if(ISBLANK('2025'!$S230), 0, 1), 6, if(ISBLANK('2025'!$T230), 0, 1), 7, 0))), 1, "")</f>
        <v/>
      </c>
      <c r="AO232" s="1" t="str">
        <f>IF(AND(AND(AND(AO$4&gt;='2025'!$L230,AO$4&lt;='2025'!$M230), AO$4&lt;&gt;DATE(2025,7,4)), (SWITCH(weekday(AO$4), 1, 0, 2, if(ISBLANK('2025'!$P230), 0, 1), 3, if(ISBLANK('2025'!$Q230), 0, 1), 4, if(ISBLANK('2025'!$R230), 0, 1), 5, if(ISBLANK('2025'!$S230), 0, 1), 6, if(ISBLANK('2025'!$T230), 0, 1), 7, 0))), 1, "")</f>
        <v/>
      </c>
      <c r="AP232" s="1" t="str">
        <f>IF(AND(AND(AND(AP$4&gt;='2025'!$L230,AP$4&lt;='2025'!$M230), AP$4&lt;&gt;DATE(2025,7,4)), (SWITCH(weekday(AP$4), 1, 0, 2, if(ISBLANK('2025'!$P230), 0, 1), 3, if(ISBLANK('2025'!$Q230), 0, 1), 4, if(ISBLANK('2025'!$R230), 0, 1), 5, if(ISBLANK('2025'!$S230), 0, 1), 6, if(ISBLANK('2025'!$T230), 0, 1), 7, 0))), 1, "")</f>
        <v/>
      </c>
      <c r="AQ232" s="1" t="str">
        <f>IF(AND(AND(AND(AQ$4&gt;='2025'!$L230,AQ$4&lt;='2025'!$M230), AQ$4&lt;&gt;DATE(2025,7,4)), (SWITCH(weekday(AQ$4), 1, 0, 2, if(ISBLANK('2025'!$P230), 0, 1), 3, if(ISBLANK('2025'!$Q230), 0, 1), 4, if(ISBLANK('2025'!$R230), 0, 1), 5, if(ISBLANK('2025'!$S230), 0, 1), 6, if(ISBLANK('2025'!$T230), 0, 1), 7, 0))), 1, "")</f>
        <v/>
      </c>
      <c r="AR232" s="1" t="str">
        <f>IF(AND(AND(AND(AR$4&gt;='2025'!$L230,AR$4&lt;='2025'!$M230), AR$4&lt;&gt;DATE(2025,7,4)), (SWITCH(weekday(AR$4), 1, 0, 2, if(ISBLANK('2025'!$P230), 0, 1), 3, if(ISBLANK('2025'!$Q230), 0, 1), 4, if(ISBLANK('2025'!$R230), 0, 1), 5, if(ISBLANK('2025'!$S230), 0, 1), 6, if(ISBLANK('2025'!$T230), 0, 1), 7, 0))), 1, "")</f>
        <v/>
      </c>
      <c r="AS232" s="1" t="str">
        <f>IF(AND(AND(AND(AS$4&gt;='2025'!$L230,AS$4&lt;='2025'!$M230), AS$4&lt;&gt;DATE(2025,7,4)), (SWITCH(weekday(AS$4), 1, 0, 2, if(ISBLANK('2025'!$P230), 0, 1), 3, if(ISBLANK('2025'!$Q230), 0, 1), 4, if(ISBLANK('2025'!$R230), 0, 1), 5, if(ISBLANK('2025'!$S230), 0, 1), 6, if(ISBLANK('2025'!$T230), 0, 1), 7, 0))), 1, "")</f>
        <v/>
      </c>
      <c r="AT232" s="1" t="str">
        <f>IF(AND(AND(AND(AT$4&gt;='2025'!$L230,AT$4&lt;='2025'!$M230), AT$4&lt;&gt;DATE(2025,7,4)), (SWITCH(weekday(AT$4), 1, 0, 2, if(ISBLANK('2025'!$P230), 0, 1), 3, if(ISBLANK('2025'!$Q230), 0, 1), 4, if(ISBLANK('2025'!$R230), 0, 1), 5, if(ISBLANK('2025'!$S230), 0, 1), 6, if(ISBLANK('2025'!$T230), 0, 1), 7, 0))), 1, "")</f>
        <v/>
      </c>
      <c r="AU232" s="1" t="str">
        <f>IF(AND(AND(AND(AU$4&gt;='2025'!$L230,AU$4&lt;='2025'!$M230), AU$4&lt;&gt;DATE(2025,7,4)), (SWITCH(weekday(AU$4), 1, 0, 2, if(ISBLANK('2025'!$P230), 0, 1), 3, if(ISBLANK('2025'!$Q230), 0, 1), 4, if(ISBLANK('2025'!$R230), 0, 1), 5, if(ISBLANK('2025'!$S230), 0, 1), 6, if(ISBLANK('2025'!$T230), 0, 1), 7, 0))), 1, "")</f>
        <v/>
      </c>
      <c r="AV232" s="1" t="str">
        <f>IF(AND(AND(AND(AV$4&gt;='2025'!$L230,AV$4&lt;='2025'!$M230), AV$4&lt;&gt;DATE(2025,7,4)), (SWITCH(weekday(AV$4), 1, 0, 2, if(ISBLANK('2025'!$P230), 0, 1), 3, if(ISBLANK('2025'!$Q230), 0, 1), 4, if(ISBLANK('2025'!$R230), 0, 1), 5, if(ISBLANK('2025'!$S230), 0, 1), 6, if(ISBLANK('2025'!$T230), 0, 1), 7, 0))), 1, "")</f>
        <v/>
      </c>
      <c r="AW232" s="1" t="str">
        <f>IF(AND(AND(AND(AW$4&gt;='2025'!$L230,AW$4&lt;='2025'!$M230), AW$4&lt;&gt;DATE(2025,7,4)), (SWITCH(weekday(AW$4), 1, 0, 2, if(ISBLANK('2025'!$P230), 0, 1), 3, if(ISBLANK('2025'!$Q230), 0, 1), 4, if(ISBLANK('2025'!$R230), 0, 1), 5, if(ISBLANK('2025'!$S230), 0, 1), 6, if(ISBLANK('2025'!$T230), 0, 1), 7, 0))), 1, "")</f>
        <v/>
      </c>
      <c r="AX232" s="1" t="str">
        <f>IF(AND(AND(AND(AX$4&gt;='2025'!$L230,AX$4&lt;='2025'!$M230), AX$4&lt;&gt;DATE(2025,7,4)), (SWITCH(weekday(AX$4), 1, 0, 2, if(ISBLANK('2025'!$P230), 0, 1), 3, if(ISBLANK('2025'!$Q230), 0, 1), 4, if(ISBLANK('2025'!$R230), 0, 1), 5, if(ISBLANK('2025'!$S230), 0, 1), 6, if(ISBLANK('2025'!$T230), 0, 1), 7, 0))), 1, "")</f>
        <v/>
      </c>
      <c r="AY232" s="1" t="str">
        <f>IF(AND(AND(AND(AY$4&gt;='2025'!$L230,AY$4&lt;='2025'!$M230), AY$4&lt;&gt;DATE(2025,7,4)), (SWITCH(weekday(AY$4), 1, 0, 2, if(ISBLANK('2025'!$P230), 0, 1), 3, if(ISBLANK('2025'!$Q230), 0, 1), 4, if(ISBLANK('2025'!$R230), 0, 1), 5, if(ISBLANK('2025'!$S230), 0, 1), 6, if(ISBLANK('2025'!$T230), 0, 1), 7, 0))), 1, "")</f>
        <v/>
      </c>
      <c r="AZ232" s="1" t="str">
        <f>IF(AND(AND(AND(AZ$4&gt;='2025'!$L230,AZ$4&lt;='2025'!$M230), AZ$4&lt;&gt;DATE(2025,7,4)), (SWITCH(weekday(AZ$4), 1, 0, 2, if(ISBLANK('2025'!$P230), 0, 1), 3, if(ISBLANK('2025'!$Q230), 0, 1), 4, if(ISBLANK('2025'!$R230), 0, 1), 5, if(ISBLANK('2025'!$S230), 0, 1), 6, if(ISBLANK('2025'!$T230), 0, 1), 7, 0))), 1, "")</f>
        <v/>
      </c>
      <c r="BA232" s="1" t="str">
        <f>IF(AND(AND(AND(BA$4&gt;='2025'!$L230,BA$4&lt;='2025'!$M230), BA$4&lt;&gt;DATE(2025,7,4)), (SWITCH(weekday(BA$4), 1, 0, 2, if(ISBLANK('2025'!$P230), 0, 1), 3, if(ISBLANK('2025'!$Q230), 0, 1), 4, if(ISBLANK('2025'!$R230), 0, 1), 5, if(ISBLANK('2025'!$S230), 0, 1), 6, if(ISBLANK('2025'!$T230), 0, 1), 7, 0))), 1, "")</f>
        <v/>
      </c>
      <c r="BB232" s="1" t="str">
        <f>IF(AND(AND(AND(BB$4&gt;='2025'!$L230,BB$4&lt;='2025'!$M230), BB$4&lt;&gt;DATE(2025,7,4)), (SWITCH(weekday(BB$4), 1, 0, 2, if(ISBLANK('2025'!$P230), 0, 1), 3, if(ISBLANK('2025'!$Q230), 0, 1), 4, if(ISBLANK('2025'!$R230), 0, 1), 5, if(ISBLANK('2025'!$S230), 0, 1), 6, if(ISBLANK('2025'!$T230), 0, 1), 7, 0))), 1, "")</f>
        <v/>
      </c>
      <c r="BC232" s="1" t="str">
        <f>IF(AND(AND(AND(BC$4&gt;='2025'!$L230,BC$4&lt;='2025'!$M230), BC$4&lt;&gt;DATE(2025,7,4)), (SWITCH(weekday(BC$4), 1, 0, 2, if(ISBLANK('2025'!$P230), 0, 1), 3, if(ISBLANK('2025'!$Q230), 0, 1), 4, if(ISBLANK('2025'!$R230), 0, 1), 5, if(ISBLANK('2025'!$S230), 0, 1), 6, if(ISBLANK('2025'!$T230), 0, 1), 7, 0))), 1, "")</f>
        <v/>
      </c>
      <c r="BD232" s="1" t="str">
        <f>IF(AND(AND(AND(BD$4&gt;='2025'!$L230,BD$4&lt;='2025'!$M230), BD$4&lt;&gt;DATE(2025,7,4)), (SWITCH(weekday(BD$4), 1, 0, 2, if(ISBLANK('2025'!$P230), 0, 1), 3, if(ISBLANK('2025'!$Q230), 0, 1), 4, if(ISBLANK('2025'!$R230), 0, 1), 5, if(ISBLANK('2025'!$S230), 0, 1), 6, if(ISBLANK('2025'!$T230), 0, 1), 7, 0))), 1, "")</f>
        <v/>
      </c>
      <c r="BE232" s="1" t="str">
        <f>IF(AND(AND(AND(BE$4&gt;='2025'!$L230,BE$4&lt;='2025'!$M230), BE$4&lt;&gt;DATE(2025,7,4)), (SWITCH(weekday(BE$4), 1, 0, 2, if(ISBLANK('2025'!$P230), 0, 1), 3, if(ISBLANK('2025'!$Q230), 0, 1), 4, if(ISBLANK('2025'!$R230), 0, 1), 5, if(ISBLANK('2025'!$S230), 0, 1), 6, if(ISBLANK('2025'!$T230), 0, 1), 7, 0))), 1, "")</f>
        <v/>
      </c>
      <c r="BF232" s="1" t="str">
        <f>IF(AND(AND(AND(BF$4&gt;='2025'!$L230,BF$4&lt;='2025'!$M230), BF$4&lt;&gt;DATE(2025,7,4)), (SWITCH(weekday(BF$4), 1, 0, 2, if(ISBLANK('2025'!$P230), 0, 1), 3, if(ISBLANK('2025'!$Q230), 0, 1), 4, if(ISBLANK('2025'!$R230), 0, 1), 5, if(ISBLANK('2025'!$S230), 0, 1), 6, if(ISBLANK('2025'!$T230), 0, 1), 7, 0))), 1, "")</f>
        <v/>
      </c>
      <c r="BG232" s="1"/>
      <c r="BH232" s="1"/>
      <c r="BI232" s="1"/>
      <c r="BJ232" s="1"/>
      <c r="BK232" s="1"/>
      <c r="BL232" s="1"/>
    </row>
    <row r="233">
      <c r="A233" s="1">
        <f t="shared" si="3"/>
        <v>233</v>
      </c>
      <c r="B233" s="1" t="str">
        <f>'2025'!D197</f>
        <v>, </v>
      </c>
      <c r="C233" s="1" t="str">
        <f>'2025'!H197</f>
        <v/>
      </c>
      <c r="D233" s="1" t="str">
        <f>IF(AND(AND(AND(D$4&gt;='2025'!$L231,D$4&lt;='2025'!$M231), D$4&lt;&gt;DATE(2025,7,4)), (SWITCH(weekday(D$4), 1, 0, 2, if(ISBLANK('2025'!$P231), 0, 1), 3, if(ISBLANK('2025'!$Q231), 0, 1), 4, if(ISBLANK('2025'!$R231), 0, 1), 5, if(ISBLANK('2025'!$S231), 0, 1), 6, if(ISBLANK('2025'!$T231), 0, 1), 7, 0))), 1, "")</f>
        <v/>
      </c>
      <c r="E233" s="1" t="str">
        <f>IF(AND(AND(AND(E$4&gt;='2025'!$L231,E$4&lt;='2025'!$M231), E$4&lt;&gt;DATE(2025,7,4)), (SWITCH(weekday(E$4), 1, 0, 2, if(ISBLANK('2025'!$P231), 0, 1), 3, if(ISBLANK('2025'!$Q231), 0, 1), 4, if(ISBLANK('2025'!$R231), 0, 1), 5, if(ISBLANK('2025'!$S231), 0, 1), 6, if(ISBLANK('2025'!$T231), 0, 1), 7, 0))), 1, "")</f>
        <v/>
      </c>
      <c r="F233" s="1" t="str">
        <f>IF(AND(AND(AND(F$4&gt;='2025'!$L231,F$4&lt;='2025'!$M231), F$4&lt;&gt;DATE(2025,7,4)), (SWITCH(weekday(F$4), 1, 0, 2, if(ISBLANK('2025'!$P231), 0, 1), 3, if(ISBLANK('2025'!$Q231), 0, 1), 4, if(ISBLANK('2025'!$R231), 0, 1), 5, if(ISBLANK('2025'!$S231), 0, 1), 6, if(ISBLANK('2025'!$T231), 0, 1), 7, 0))), 1, "")</f>
        <v/>
      </c>
      <c r="G233" s="1" t="str">
        <f>IF(AND(AND(AND(G$4&gt;='2025'!$L231,G$4&lt;='2025'!$M231), G$4&lt;&gt;DATE(2025,7,4)), (SWITCH(weekday(G$4), 1, 0, 2, if(ISBLANK('2025'!$P231), 0, 1), 3, if(ISBLANK('2025'!$Q231), 0, 1), 4, if(ISBLANK('2025'!$R231), 0, 1), 5, if(ISBLANK('2025'!$S231), 0, 1), 6, if(ISBLANK('2025'!$T231), 0, 1), 7, 0))), 1, "")</f>
        <v/>
      </c>
      <c r="H233" s="1" t="str">
        <f>IF(AND(AND(AND(H$4&gt;='2025'!$L231,H$4&lt;='2025'!$M231), H$4&lt;&gt;DATE(2025,7,4)), (SWITCH(weekday(H$4), 1, 0, 2, if(ISBLANK('2025'!$P231), 0, 1), 3, if(ISBLANK('2025'!$Q231), 0, 1), 4, if(ISBLANK('2025'!$R231), 0, 1), 5, if(ISBLANK('2025'!$S231), 0, 1), 6, if(ISBLANK('2025'!$T231), 0, 1), 7, 0))), 1, "")</f>
        <v/>
      </c>
      <c r="I233" s="1" t="str">
        <f>IF(AND(AND(AND(I$4&gt;='2025'!$L231,I$4&lt;='2025'!$M231), I$4&lt;&gt;DATE(2025,7,4)), (SWITCH(weekday(I$4), 1, 0, 2, if(ISBLANK('2025'!$P231), 0, 1), 3, if(ISBLANK('2025'!$Q231), 0, 1), 4, if(ISBLANK('2025'!$R231), 0, 1), 5, if(ISBLANK('2025'!$S231), 0, 1), 6, if(ISBLANK('2025'!$T231), 0, 1), 7, 0))), 1, "")</f>
        <v/>
      </c>
      <c r="J233" s="1" t="str">
        <f>IF(AND(AND(AND(J$4&gt;='2025'!$L231,J$4&lt;='2025'!$M231), J$4&lt;&gt;DATE(2025,7,4)), (SWITCH(weekday(J$4), 1, 0, 2, if(ISBLANK('2025'!$P231), 0, 1), 3, if(ISBLANK('2025'!$Q231), 0, 1), 4, if(ISBLANK('2025'!$R231), 0, 1), 5, if(ISBLANK('2025'!$S231), 0, 1), 6, if(ISBLANK('2025'!$T231), 0, 1), 7, 0))), 1, "")</f>
        <v/>
      </c>
      <c r="K233" s="1" t="str">
        <f>IF(AND(AND(AND(K$4&gt;='2025'!$L231,K$4&lt;='2025'!$M231), K$4&lt;&gt;DATE(2025,7,4)), (SWITCH(weekday(K$4), 1, 0, 2, if(ISBLANK('2025'!$P231), 0, 1), 3, if(ISBLANK('2025'!$Q231), 0, 1), 4, if(ISBLANK('2025'!$R231), 0, 1), 5, if(ISBLANK('2025'!$S231), 0, 1), 6, if(ISBLANK('2025'!$T231), 0, 1), 7, 0))), 1, "")</f>
        <v/>
      </c>
      <c r="L233" s="1" t="str">
        <f>IF(AND(AND(AND(L$4&gt;='2025'!$L231,L$4&lt;='2025'!$M231), L$4&lt;&gt;DATE(2025,7,4)), (SWITCH(weekday(L$4), 1, 0, 2, if(ISBLANK('2025'!$P231), 0, 1), 3, if(ISBLANK('2025'!$Q231), 0, 1), 4, if(ISBLANK('2025'!$R231), 0, 1), 5, if(ISBLANK('2025'!$S231), 0, 1), 6, if(ISBLANK('2025'!$T231), 0, 1), 7, 0))), 1, "")</f>
        <v/>
      </c>
      <c r="M233" s="1" t="str">
        <f>IF(AND(AND(AND(M$4&gt;='2025'!$L231,M$4&lt;='2025'!$M231), M$4&lt;&gt;DATE(2025,7,4)), (SWITCH(weekday(M$4), 1, 0, 2, if(ISBLANK('2025'!$P231), 0, 1), 3, if(ISBLANK('2025'!$Q231), 0, 1), 4, if(ISBLANK('2025'!$R231), 0, 1), 5, if(ISBLANK('2025'!$S231), 0, 1), 6, if(ISBLANK('2025'!$T231), 0, 1), 7, 0))), 1, "")</f>
        <v/>
      </c>
      <c r="N233" s="1" t="str">
        <f>IF(AND(AND(AND(N$4&gt;='2025'!$L231,N$4&lt;='2025'!$M231), N$4&lt;&gt;DATE(2025,7,4)), (SWITCH(weekday(N$4), 1, 0, 2, if(ISBLANK('2025'!$P231), 0, 1), 3, if(ISBLANK('2025'!$Q231), 0, 1), 4, if(ISBLANK('2025'!$R231), 0, 1), 5, if(ISBLANK('2025'!$S231), 0, 1), 6, if(ISBLANK('2025'!$T231), 0, 1), 7, 0))), 1, "")</f>
        <v/>
      </c>
      <c r="O233" s="1" t="str">
        <f>IF(AND(AND(AND(O$4&gt;='2025'!$L231,O$4&lt;='2025'!$M231), O$4&lt;&gt;DATE(2025,7,4)), (SWITCH(weekday(O$4), 1, 0, 2, if(ISBLANK('2025'!$P231), 0, 1), 3, if(ISBLANK('2025'!$Q231), 0, 1), 4, if(ISBLANK('2025'!$R231), 0, 1), 5, if(ISBLANK('2025'!$S231), 0, 1), 6, if(ISBLANK('2025'!$T231), 0, 1), 7, 0))), 1, "")</f>
        <v/>
      </c>
      <c r="P233" s="1" t="str">
        <f>IF(AND(AND(AND(P$4&gt;='2025'!$L231,P$4&lt;='2025'!$M231), P$4&lt;&gt;DATE(2025,7,4)), (SWITCH(weekday(P$4), 1, 0, 2, if(ISBLANK('2025'!$P231), 0, 1), 3, if(ISBLANK('2025'!$Q231), 0, 1), 4, if(ISBLANK('2025'!$R231), 0, 1), 5, if(ISBLANK('2025'!$S231), 0, 1), 6, if(ISBLANK('2025'!$T231), 0, 1), 7, 0))), 1, "")</f>
        <v/>
      </c>
      <c r="Q233" s="1" t="str">
        <f>IF(AND(AND(AND(Q$4&gt;='2025'!$L231,Q$4&lt;='2025'!$M231), Q$4&lt;&gt;DATE(2025,7,4)), (SWITCH(weekday(Q$4), 1, 0, 2, if(ISBLANK('2025'!$P231), 0, 1), 3, if(ISBLANK('2025'!$Q231), 0, 1), 4, if(ISBLANK('2025'!$R231), 0, 1), 5, if(ISBLANK('2025'!$S231), 0, 1), 6, if(ISBLANK('2025'!$T231), 0, 1), 7, 0))), 1, "")</f>
        <v/>
      </c>
      <c r="R233" s="1" t="str">
        <f>IF(AND(AND(AND(R$4&gt;='2025'!$L231,R$4&lt;='2025'!$M231), R$4&lt;&gt;DATE(2025,7,4)), (SWITCH(weekday(R$4), 1, 0, 2, if(ISBLANK('2025'!$P231), 0, 1), 3, if(ISBLANK('2025'!$Q231), 0, 1), 4, if(ISBLANK('2025'!$R231), 0, 1), 5, if(ISBLANK('2025'!$S231), 0, 1), 6, if(ISBLANK('2025'!$T231), 0, 1), 7, 0))), 1, "")</f>
        <v/>
      </c>
      <c r="S233" s="1" t="str">
        <f>IF(AND(AND(AND(S$4&gt;='2025'!$L231,S$4&lt;='2025'!$M231), S$4&lt;&gt;DATE(2025,7,4)), (SWITCH(weekday(S$4), 1, 0, 2, if(ISBLANK('2025'!$P231), 0, 1), 3, if(ISBLANK('2025'!$Q231), 0, 1), 4, if(ISBLANK('2025'!$R231), 0, 1), 5, if(ISBLANK('2025'!$S231), 0, 1), 6, if(ISBLANK('2025'!$T231), 0, 1), 7, 0))), 1, "")</f>
        <v/>
      </c>
      <c r="T233" s="1" t="str">
        <f>IF(AND(AND(AND(T$4&gt;='2025'!$L231,T$4&lt;='2025'!$M231), T$4&lt;&gt;DATE(2025,7,4)), (SWITCH(weekday(T$4), 1, 0, 2, if(ISBLANK('2025'!$P231), 0, 1), 3, if(ISBLANK('2025'!$Q231), 0, 1), 4, if(ISBLANK('2025'!$R231), 0, 1), 5, if(ISBLANK('2025'!$S231), 0, 1), 6, if(ISBLANK('2025'!$T231), 0, 1), 7, 0))), 1, "")</f>
        <v/>
      </c>
      <c r="U233" s="1" t="str">
        <f>IF(AND(AND(AND(U$4&gt;='2025'!$L231,U$4&lt;='2025'!$M231), U$4&lt;&gt;DATE(2025,7,4)), (SWITCH(weekday(U$4), 1, 0, 2, if(ISBLANK('2025'!$P231), 0, 1), 3, if(ISBLANK('2025'!$Q231), 0, 1), 4, if(ISBLANK('2025'!$R231), 0, 1), 5, if(ISBLANK('2025'!$S231), 0, 1), 6, if(ISBLANK('2025'!$T231), 0, 1), 7, 0))), 1, "")</f>
        <v/>
      </c>
      <c r="V233" s="1" t="str">
        <f>IF(AND(AND(AND(V$4&gt;='2025'!$L231,V$4&lt;='2025'!$M231), V$4&lt;&gt;DATE(2025,7,4)), (SWITCH(weekday(V$4), 1, 0, 2, if(ISBLANK('2025'!$P231), 0, 1), 3, if(ISBLANK('2025'!$Q231), 0, 1), 4, if(ISBLANK('2025'!$R231), 0, 1), 5, if(ISBLANK('2025'!$S231), 0, 1), 6, if(ISBLANK('2025'!$T231), 0, 1), 7, 0))), 1, "")</f>
        <v/>
      </c>
      <c r="W233" s="1" t="str">
        <f>IF(AND(AND(AND(W$4&gt;='2025'!$L231,W$4&lt;='2025'!$M231), W$4&lt;&gt;DATE(2025,7,4)), (SWITCH(weekday(W$4), 1, 0, 2, if(ISBLANK('2025'!$P231), 0, 1), 3, if(ISBLANK('2025'!$Q231), 0, 1), 4, if(ISBLANK('2025'!$R231), 0, 1), 5, if(ISBLANK('2025'!$S231), 0, 1), 6, if(ISBLANK('2025'!$T231), 0, 1), 7, 0))), 1, "")</f>
        <v/>
      </c>
      <c r="X233" s="1" t="str">
        <f>IF(AND(AND(AND(X$4&gt;='2025'!$L231,X$4&lt;='2025'!$M231), X$4&lt;&gt;DATE(2025,7,4)), (SWITCH(weekday(X$4), 1, 0, 2, if(ISBLANK('2025'!$P231), 0, 1), 3, if(ISBLANK('2025'!$Q231), 0, 1), 4, if(ISBLANK('2025'!$R231), 0, 1), 5, if(ISBLANK('2025'!$S231), 0, 1), 6, if(ISBLANK('2025'!$T231), 0, 1), 7, 0))), 1, "")</f>
        <v/>
      </c>
      <c r="Y233" s="1" t="str">
        <f>IF(AND(AND(AND(Y$4&gt;='2025'!$L231,Y$4&lt;='2025'!$M231), Y$4&lt;&gt;DATE(2025,7,4)), (SWITCH(weekday(Y$4), 1, 0, 2, if(ISBLANK('2025'!$P231), 0, 1), 3, if(ISBLANK('2025'!$Q231), 0, 1), 4, if(ISBLANK('2025'!$R231), 0, 1), 5, if(ISBLANK('2025'!$S231), 0, 1), 6, if(ISBLANK('2025'!$T231), 0, 1), 7, 0))), 1, "")</f>
        <v/>
      </c>
      <c r="Z233" s="1" t="str">
        <f>IF(AND(AND(AND(Z$4&gt;='2025'!$L231,Z$4&lt;='2025'!$M231), Z$4&lt;&gt;DATE(2025,7,4)), (SWITCH(weekday(Z$4), 1, 0, 2, if(ISBLANK('2025'!$P231), 0, 1), 3, if(ISBLANK('2025'!$Q231), 0, 1), 4, if(ISBLANK('2025'!$R231), 0, 1), 5, if(ISBLANK('2025'!$S231), 0, 1), 6, if(ISBLANK('2025'!$T231), 0, 1), 7, 0))), 1, "")</f>
        <v/>
      </c>
      <c r="AA233" s="1" t="str">
        <f>IF(AND(AND(AND(AA$4&gt;='2025'!$L231,AA$4&lt;='2025'!$M231), AA$4&lt;&gt;DATE(2025,7,4)), (SWITCH(weekday(AA$4), 1, 0, 2, if(ISBLANK('2025'!$P231), 0, 1), 3, if(ISBLANK('2025'!$Q231), 0, 1), 4, if(ISBLANK('2025'!$R231), 0, 1), 5, if(ISBLANK('2025'!$S231), 0, 1), 6, if(ISBLANK('2025'!$T231), 0, 1), 7, 0))), 1, "")</f>
        <v/>
      </c>
      <c r="AB233" s="1" t="str">
        <f>IF(AND(AND(AND(AB$4&gt;='2025'!$L231,AB$4&lt;='2025'!$M231), AB$4&lt;&gt;DATE(2025,7,4)), (SWITCH(weekday(AB$4), 1, 0, 2, if(ISBLANK('2025'!$P231), 0, 1), 3, if(ISBLANK('2025'!$Q231), 0, 1), 4, if(ISBLANK('2025'!$R231), 0, 1), 5, if(ISBLANK('2025'!$S231), 0, 1), 6, if(ISBLANK('2025'!$T231), 0, 1), 7, 0))), 1, "")</f>
        <v/>
      </c>
      <c r="AC233" s="1" t="str">
        <f>IF(AND(AND(AND(AC$4&gt;='2025'!$L231,AC$4&lt;='2025'!$M231), AC$4&lt;&gt;DATE(2025,7,4)), (SWITCH(weekday(AC$4), 1, 0, 2, if(ISBLANK('2025'!$P231), 0, 1), 3, if(ISBLANK('2025'!$Q231), 0, 1), 4, if(ISBLANK('2025'!$R231), 0, 1), 5, if(ISBLANK('2025'!$S231), 0, 1), 6, if(ISBLANK('2025'!$T231), 0, 1), 7, 0))), 1, "")</f>
        <v/>
      </c>
      <c r="AD233" s="1" t="str">
        <f>IF(AND(AND(AND(AD$4&gt;='2025'!$L231,AD$4&lt;='2025'!$M231), AD$4&lt;&gt;DATE(2025,7,4)), (SWITCH(weekday(AD$4), 1, 0, 2, if(ISBLANK('2025'!$P231), 0, 1), 3, if(ISBLANK('2025'!$Q231), 0, 1), 4, if(ISBLANK('2025'!$R231), 0, 1), 5, if(ISBLANK('2025'!$S231), 0, 1), 6, if(ISBLANK('2025'!$T231), 0, 1), 7, 0))), 1, "")</f>
        <v/>
      </c>
      <c r="AE233" s="1" t="str">
        <f>IF(AND(AND(AND(AE$4&gt;='2025'!$L231,AE$4&lt;='2025'!$M231), AE$4&lt;&gt;DATE(2025,7,4)), (SWITCH(weekday(AE$4), 1, 0, 2, if(ISBLANK('2025'!$P231), 0, 1), 3, if(ISBLANK('2025'!$Q231), 0, 1), 4, if(ISBLANK('2025'!$R231), 0, 1), 5, if(ISBLANK('2025'!$S231), 0, 1), 6, if(ISBLANK('2025'!$T231), 0, 1), 7, 0))), 1, "")</f>
        <v/>
      </c>
      <c r="AF233" s="1" t="str">
        <f>IF(AND(AND(AND(AF$4&gt;='2025'!$L231,AF$4&lt;='2025'!$M231), AF$4&lt;&gt;DATE(2025,7,4)), (SWITCH(weekday(AF$4), 1, 0, 2, if(ISBLANK('2025'!$P231), 0, 1), 3, if(ISBLANK('2025'!$Q231), 0, 1), 4, if(ISBLANK('2025'!$R231), 0, 1), 5, if(ISBLANK('2025'!$S231), 0, 1), 6, if(ISBLANK('2025'!$T231), 0, 1), 7, 0))), 1, "")</f>
        <v/>
      </c>
      <c r="AG233" s="1" t="str">
        <f>IF(AND(AND(AND(AG$4&gt;='2025'!$L231,AG$4&lt;='2025'!$M231), AG$4&lt;&gt;DATE(2025,7,4)), (SWITCH(weekday(AG$4), 1, 0, 2, if(ISBLANK('2025'!$P231), 0, 1), 3, if(ISBLANK('2025'!$Q231), 0, 1), 4, if(ISBLANK('2025'!$R231), 0, 1), 5, if(ISBLANK('2025'!$S231), 0, 1), 6, if(ISBLANK('2025'!$T231), 0, 1), 7, 0))), 1, "")</f>
        <v/>
      </c>
      <c r="AH233" s="1" t="str">
        <f>IF(AND(AND(AND(AH$4&gt;='2025'!$L231,AH$4&lt;='2025'!$M231), AH$4&lt;&gt;DATE(2025,7,4)), (SWITCH(weekday(AH$4), 1, 0, 2, if(ISBLANK('2025'!$P231), 0, 1), 3, if(ISBLANK('2025'!$Q231), 0, 1), 4, if(ISBLANK('2025'!$R231), 0, 1), 5, if(ISBLANK('2025'!$S231), 0, 1), 6, if(ISBLANK('2025'!$T231), 0, 1), 7, 0))), 1, "")</f>
        <v/>
      </c>
      <c r="AI233" s="1" t="str">
        <f>IF(AND(AND(AND(AI$4&gt;='2025'!$L231,AI$4&lt;='2025'!$M231), AI$4&lt;&gt;DATE(2025,7,4)), (SWITCH(weekday(AI$4), 1, 0, 2, if(ISBLANK('2025'!$P231), 0, 1), 3, if(ISBLANK('2025'!$Q231), 0, 1), 4, if(ISBLANK('2025'!$R231), 0, 1), 5, if(ISBLANK('2025'!$S231), 0, 1), 6, if(ISBLANK('2025'!$T231), 0, 1), 7, 0))), 1, "")</f>
        <v/>
      </c>
      <c r="AJ233" s="1" t="str">
        <f>IF(AND(AND(AND(AJ$4&gt;='2025'!$L231,AJ$4&lt;='2025'!$M231), AJ$4&lt;&gt;DATE(2025,7,4)), (SWITCH(weekday(AJ$4), 1, 0, 2, if(ISBLANK('2025'!$P231), 0, 1), 3, if(ISBLANK('2025'!$Q231), 0, 1), 4, if(ISBLANK('2025'!$R231), 0, 1), 5, if(ISBLANK('2025'!$S231), 0, 1), 6, if(ISBLANK('2025'!$T231), 0, 1), 7, 0))), 1, "")</f>
        <v/>
      </c>
      <c r="AK233" s="1" t="str">
        <f>IF(AND(AND(AND(AK$4&gt;='2025'!$L231,AK$4&lt;='2025'!$M231), AK$4&lt;&gt;DATE(2025,7,4)), (SWITCH(weekday(AK$4), 1, 0, 2, if(ISBLANK('2025'!$P231), 0, 1), 3, if(ISBLANK('2025'!$Q231), 0, 1), 4, if(ISBLANK('2025'!$R231), 0, 1), 5, if(ISBLANK('2025'!$S231), 0, 1), 6, if(ISBLANK('2025'!$T231), 0, 1), 7, 0))), 1, "")</f>
        <v/>
      </c>
      <c r="AL233" s="1" t="str">
        <f>IF(AND(AND(AND(AL$4&gt;='2025'!$L231,AL$4&lt;='2025'!$M231), AL$4&lt;&gt;DATE(2025,7,4)), (SWITCH(weekday(AL$4), 1, 0, 2, if(ISBLANK('2025'!$P231), 0, 1), 3, if(ISBLANK('2025'!$Q231), 0, 1), 4, if(ISBLANK('2025'!$R231), 0, 1), 5, if(ISBLANK('2025'!$S231), 0, 1), 6, if(ISBLANK('2025'!$T231), 0, 1), 7, 0))), 1, "")</f>
        <v/>
      </c>
      <c r="AM233" s="1" t="str">
        <f>IF(AND(AND(AND(AM$4&gt;='2025'!$L231,AM$4&lt;='2025'!$M231), AM$4&lt;&gt;DATE(2025,7,4)), (SWITCH(weekday(AM$4), 1, 0, 2, if(ISBLANK('2025'!$P231), 0, 1), 3, if(ISBLANK('2025'!$Q231), 0, 1), 4, if(ISBLANK('2025'!$R231), 0, 1), 5, if(ISBLANK('2025'!$S231), 0, 1), 6, if(ISBLANK('2025'!$T231), 0, 1), 7, 0))), 1, "")</f>
        <v/>
      </c>
      <c r="AN233" s="1" t="str">
        <f>IF(AND(AND(AND(AN$4&gt;='2025'!$L231,AN$4&lt;='2025'!$M231), AN$4&lt;&gt;DATE(2025,7,4)), (SWITCH(weekday(AN$4), 1, 0, 2, if(ISBLANK('2025'!$P231), 0, 1), 3, if(ISBLANK('2025'!$Q231), 0, 1), 4, if(ISBLANK('2025'!$R231), 0, 1), 5, if(ISBLANK('2025'!$S231), 0, 1), 6, if(ISBLANK('2025'!$T231), 0, 1), 7, 0))), 1, "")</f>
        <v/>
      </c>
      <c r="AO233" s="1" t="str">
        <f>IF(AND(AND(AND(AO$4&gt;='2025'!$L231,AO$4&lt;='2025'!$M231), AO$4&lt;&gt;DATE(2025,7,4)), (SWITCH(weekday(AO$4), 1, 0, 2, if(ISBLANK('2025'!$P231), 0, 1), 3, if(ISBLANK('2025'!$Q231), 0, 1), 4, if(ISBLANK('2025'!$R231), 0, 1), 5, if(ISBLANK('2025'!$S231), 0, 1), 6, if(ISBLANK('2025'!$T231), 0, 1), 7, 0))), 1, "")</f>
        <v/>
      </c>
      <c r="AP233" s="1" t="str">
        <f>IF(AND(AND(AND(AP$4&gt;='2025'!$L231,AP$4&lt;='2025'!$M231), AP$4&lt;&gt;DATE(2025,7,4)), (SWITCH(weekday(AP$4), 1, 0, 2, if(ISBLANK('2025'!$P231), 0, 1), 3, if(ISBLANK('2025'!$Q231), 0, 1), 4, if(ISBLANK('2025'!$R231), 0, 1), 5, if(ISBLANK('2025'!$S231), 0, 1), 6, if(ISBLANK('2025'!$T231), 0, 1), 7, 0))), 1, "")</f>
        <v/>
      </c>
      <c r="AQ233" s="1" t="str">
        <f>IF(AND(AND(AND(AQ$4&gt;='2025'!$L231,AQ$4&lt;='2025'!$M231), AQ$4&lt;&gt;DATE(2025,7,4)), (SWITCH(weekday(AQ$4), 1, 0, 2, if(ISBLANK('2025'!$P231), 0, 1), 3, if(ISBLANK('2025'!$Q231), 0, 1), 4, if(ISBLANK('2025'!$R231), 0, 1), 5, if(ISBLANK('2025'!$S231), 0, 1), 6, if(ISBLANK('2025'!$T231), 0, 1), 7, 0))), 1, "")</f>
        <v/>
      </c>
      <c r="AR233" s="1" t="str">
        <f>IF(AND(AND(AND(AR$4&gt;='2025'!$L231,AR$4&lt;='2025'!$M231), AR$4&lt;&gt;DATE(2025,7,4)), (SWITCH(weekday(AR$4), 1, 0, 2, if(ISBLANK('2025'!$P231), 0, 1), 3, if(ISBLANK('2025'!$Q231), 0, 1), 4, if(ISBLANK('2025'!$R231), 0, 1), 5, if(ISBLANK('2025'!$S231), 0, 1), 6, if(ISBLANK('2025'!$T231), 0, 1), 7, 0))), 1, "")</f>
        <v/>
      </c>
      <c r="AS233" s="1" t="str">
        <f>IF(AND(AND(AND(AS$4&gt;='2025'!$L231,AS$4&lt;='2025'!$M231), AS$4&lt;&gt;DATE(2025,7,4)), (SWITCH(weekday(AS$4), 1, 0, 2, if(ISBLANK('2025'!$P231), 0, 1), 3, if(ISBLANK('2025'!$Q231), 0, 1), 4, if(ISBLANK('2025'!$R231), 0, 1), 5, if(ISBLANK('2025'!$S231), 0, 1), 6, if(ISBLANK('2025'!$T231), 0, 1), 7, 0))), 1, "")</f>
        <v/>
      </c>
      <c r="AT233" s="1" t="str">
        <f>IF(AND(AND(AND(AT$4&gt;='2025'!$L231,AT$4&lt;='2025'!$M231), AT$4&lt;&gt;DATE(2025,7,4)), (SWITCH(weekday(AT$4), 1, 0, 2, if(ISBLANK('2025'!$P231), 0, 1), 3, if(ISBLANK('2025'!$Q231), 0, 1), 4, if(ISBLANK('2025'!$R231), 0, 1), 5, if(ISBLANK('2025'!$S231), 0, 1), 6, if(ISBLANK('2025'!$T231), 0, 1), 7, 0))), 1, "")</f>
        <v/>
      </c>
      <c r="AU233" s="1" t="str">
        <f>IF(AND(AND(AND(AU$4&gt;='2025'!$L231,AU$4&lt;='2025'!$M231), AU$4&lt;&gt;DATE(2025,7,4)), (SWITCH(weekday(AU$4), 1, 0, 2, if(ISBLANK('2025'!$P231), 0, 1), 3, if(ISBLANK('2025'!$Q231), 0, 1), 4, if(ISBLANK('2025'!$R231), 0, 1), 5, if(ISBLANK('2025'!$S231), 0, 1), 6, if(ISBLANK('2025'!$T231), 0, 1), 7, 0))), 1, "")</f>
        <v/>
      </c>
      <c r="AV233" s="1" t="str">
        <f>IF(AND(AND(AND(AV$4&gt;='2025'!$L231,AV$4&lt;='2025'!$M231), AV$4&lt;&gt;DATE(2025,7,4)), (SWITCH(weekday(AV$4), 1, 0, 2, if(ISBLANK('2025'!$P231), 0, 1), 3, if(ISBLANK('2025'!$Q231), 0, 1), 4, if(ISBLANK('2025'!$R231), 0, 1), 5, if(ISBLANK('2025'!$S231), 0, 1), 6, if(ISBLANK('2025'!$T231), 0, 1), 7, 0))), 1, "")</f>
        <v/>
      </c>
      <c r="AW233" s="1" t="str">
        <f>IF(AND(AND(AND(AW$4&gt;='2025'!$L231,AW$4&lt;='2025'!$M231), AW$4&lt;&gt;DATE(2025,7,4)), (SWITCH(weekday(AW$4), 1, 0, 2, if(ISBLANK('2025'!$P231), 0, 1), 3, if(ISBLANK('2025'!$Q231), 0, 1), 4, if(ISBLANK('2025'!$R231), 0, 1), 5, if(ISBLANK('2025'!$S231), 0, 1), 6, if(ISBLANK('2025'!$T231), 0, 1), 7, 0))), 1, "")</f>
        <v/>
      </c>
      <c r="AX233" s="1" t="str">
        <f>IF(AND(AND(AND(AX$4&gt;='2025'!$L231,AX$4&lt;='2025'!$M231), AX$4&lt;&gt;DATE(2025,7,4)), (SWITCH(weekday(AX$4), 1, 0, 2, if(ISBLANK('2025'!$P231), 0, 1), 3, if(ISBLANK('2025'!$Q231), 0, 1), 4, if(ISBLANK('2025'!$R231), 0, 1), 5, if(ISBLANK('2025'!$S231), 0, 1), 6, if(ISBLANK('2025'!$T231), 0, 1), 7, 0))), 1, "")</f>
        <v/>
      </c>
      <c r="AY233" s="1" t="str">
        <f>IF(AND(AND(AND(AY$4&gt;='2025'!$L231,AY$4&lt;='2025'!$M231), AY$4&lt;&gt;DATE(2025,7,4)), (SWITCH(weekday(AY$4), 1, 0, 2, if(ISBLANK('2025'!$P231), 0, 1), 3, if(ISBLANK('2025'!$Q231), 0, 1), 4, if(ISBLANK('2025'!$R231), 0, 1), 5, if(ISBLANK('2025'!$S231), 0, 1), 6, if(ISBLANK('2025'!$T231), 0, 1), 7, 0))), 1, "")</f>
        <v/>
      </c>
      <c r="AZ233" s="1" t="str">
        <f>IF(AND(AND(AND(AZ$4&gt;='2025'!$L231,AZ$4&lt;='2025'!$M231), AZ$4&lt;&gt;DATE(2025,7,4)), (SWITCH(weekday(AZ$4), 1, 0, 2, if(ISBLANK('2025'!$P231), 0, 1), 3, if(ISBLANK('2025'!$Q231), 0, 1), 4, if(ISBLANK('2025'!$R231), 0, 1), 5, if(ISBLANK('2025'!$S231), 0, 1), 6, if(ISBLANK('2025'!$T231), 0, 1), 7, 0))), 1, "")</f>
        <v/>
      </c>
      <c r="BA233" s="1" t="str">
        <f>IF(AND(AND(AND(BA$4&gt;='2025'!$L231,BA$4&lt;='2025'!$M231), BA$4&lt;&gt;DATE(2025,7,4)), (SWITCH(weekday(BA$4), 1, 0, 2, if(ISBLANK('2025'!$P231), 0, 1), 3, if(ISBLANK('2025'!$Q231), 0, 1), 4, if(ISBLANK('2025'!$R231), 0, 1), 5, if(ISBLANK('2025'!$S231), 0, 1), 6, if(ISBLANK('2025'!$T231), 0, 1), 7, 0))), 1, "")</f>
        <v/>
      </c>
      <c r="BB233" s="1" t="str">
        <f>IF(AND(AND(AND(BB$4&gt;='2025'!$L231,BB$4&lt;='2025'!$M231), BB$4&lt;&gt;DATE(2025,7,4)), (SWITCH(weekday(BB$4), 1, 0, 2, if(ISBLANK('2025'!$P231), 0, 1), 3, if(ISBLANK('2025'!$Q231), 0, 1), 4, if(ISBLANK('2025'!$R231), 0, 1), 5, if(ISBLANK('2025'!$S231), 0, 1), 6, if(ISBLANK('2025'!$T231), 0, 1), 7, 0))), 1, "")</f>
        <v/>
      </c>
      <c r="BC233" s="1" t="str">
        <f>IF(AND(AND(AND(BC$4&gt;='2025'!$L231,BC$4&lt;='2025'!$M231), BC$4&lt;&gt;DATE(2025,7,4)), (SWITCH(weekday(BC$4), 1, 0, 2, if(ISBLANK('2025'!$P231), 0, 1), 3, if(ISBLANK('2025'!$Q231), 0, 1), 4, if(ISBLANK('2025'!$R231), 0, 1), 5, if(ISBLANK('2025'!$S231), 0, 1), 6, if(ISBLANK('2025'!$T231), 0, 1), 7, 0))), 1, "")</f>
        <v/>
      </c>
      <c r="BD233" s="1" t="str">
        <f>IF(AND(AND(AND(BD$4&gt;='2025'!$L231,BD$4&lt;='2025'!$M231), BD$4&lt;&gt;DATE(2025,7,4)), (SWITCH(weekday(BD$4), 1, 0, 2, if(ISBLANK('2025'!$P231), 0, 1), 3, if(ISBLANK('2025'!$Q231), 0, 1), 4, if(ISBLANK('2025'!$R231), 0, 1), 5, if(ISBLANK('2025'!$S231), 0, 1), 6, if(ISBLANK('2025'!$T231), 0, 1), 7, 0))), 1, "")</f>
        <v/>
      </c>
      <c r="BE233" s="1" t="str">
        <f>IF(AND(AND(AND(BE$4&gt;='2025'!$L231,BE$4&lt;='2025'!$M231), BE$4&lt;&gt;DATE(2025,7,4)), (SWITCH(weekday(BE$4), 1, 0, 2, if(ISBLANK('2025'!$P231), 0, 1), 3, if(ISBLANK('2025'!$Q231), 0, 1), 4, if(ISBLANK('2025'!$R231), 0, 1), 5, if(ISBLANK('2025'!$S231), 0, 1), 6, if(ISBLANK('2025'!$T231), 0, 1), 7, 0))), 1, "")</f>
        <v/>
      </c>
      <c r="BF233" s="1" t="str">
        <f>IF(AND(AND(AND(BF$4&gt;='2025'!$L231,BF$4&lt;='2025'!$M231), BF$4&lt;&gt;DATE(2025,7,4)), (SWITCH(weekday(BF$4), 1, 0, 2, if(ISBLANK('2025'!$P231), 0, 1), 3, if(ISBLANK('2025'!$Q231), 0, 1), 4, if(ISBLANK('2025'!$R231), 0, 1), 5, if(ISBLANK('2025'!$S231), 0, 1), 6, if(ISBLANK('2025'!$T231), 0, 1), 7, 0))), 1, "")</f>
        <v/>
      </c>
      <c r="BG233" s="1"/>
      <c r="BH233" s="1"/>
      <c r="BI233" s="1"/>
      <c r="BJ233" s="1"/>
      <c r="BK233" s="1"/>
      <c r="BL233" s="1"/>
    </row>
    <row r="234">
      <c r="A234" s="1">
        <f t="shared" si="3"/>
        <v>234</v>
      </c>
      <c r="B234" s="1" t="str">
        <f>'2025'!D198</f>
        <v>, </v>
      </c>
      <c r="C234" s="1" t="str">
        <f>'2025'!H198</f>
        <v/>
      </c>
      <c r="D234" s="1" t="str">
        <f>IF(AND(AND(AND(D$4&gt;='2025'!$L232,D$4&lt;='2025'!$M232), D$4&lt;&gt;DATE(2025,7,4)), (SWITCH(weekday(D$4), 1, 0, 2, if(ISBLANK('2025'!$P232), 0, 1), 3, if(ISBLANK('2025'!$Q232), 0, 1), 4, if(ISBLANK('2025'!$R232), 0, 1), 5, if(ISBLANK('2025'!$S232), 0, 1), 6, if(ISBLANK('2025'!$T232), 0, 1), 7, 0))), 1, "")</f>
        <v/>
      </c>
      <c r="E234" s="1" t="str">
        <f>IF(AND(AND(AND(E$4&gt;='2025'!$L232,E$4&lt;='2025'!$M232), E$4&lt;&gt;DATE(2025,7,4)), (SWITCH(weekday(E$4), 1, 0, 2, if(ISBLANK('2025'!$P232), 0, 1), 3, if(ISBLANK('2025'!$Q232), 0, 1), 4, if(ISBLANK('2025'!$R232), 0, 1), 5, if(ISBLANK('2025'!$S232), 0, 1), 6, if(ISBLANK('2025'!$T232), 0, 1), 7, 0))), 1, "")</f>
        <v/>
      </c>
      <c r="F234" s="1" t="str">
        <f>IF(AND(AND(AND(F$4&gt;='2025'!$L232,F$4&lt;='2025'!$M232), F$4&lt;&gt;DATE(2025,7,4)), (SWITCH(weekday(F$4), 1, 0, 2, if(ISBLANK('2025'!$P232), 0, 1), 3, if(ISBLANK('2025'!$Q232), 0, 1), 4, if(ISBLANK('2025'!$R232), 0, 1), 5, if(ISBLANK('2025'!$S232), 0, 1), 6, if(ISBLANK('2025'!$T232), 0, 1), 7, 0))), 1, "")</f>
        <v/>
      </c>
      <c r="G234" s="1" t="str">
        <f>IF(AND(AND(AND(G$4&gt;='2025'!$L232,G$4&lt;='2025'!$M232), G$4&lt;&gt;DATE(2025,7,4)), (SWITCH(weekday(G$4), 1, 0, 2, if(ISBLANK('2025'!$P232), 0, 1), 3, if(ISBLANK('2025'!$Q232), 0, 1), 4, if(ISBLANK('2025'!$R232), 0, 1), 5, if(ISBLANK('2025'!$S232), 0, 1), 6, if(ISBLANK('2025'!$T232), 0, 1), 7, 0))), 1, "")</f>
        <v/>
      </c>
      <c r="H234" s="1" t="str">
        <f>IF(AND(AND(AND(H$4&gt;='2025'!$L232,H$4&lt;='2025'!$M232), H$4&lt;&gt;DATE(2025,7,4)), (SWITCH(weekday(H$4), 1, 0, 2, if(ISBLANK('2025'!$P232), 0, 1), 3, if(ISBLANK('2025'!$Q232), 0, 1), 4, if(ISBLANK('2025'!$R232), 0, 1), 5, if(ISBLANK('2025'!$S232), 0, 1), 6, if(ISBLANK('2025'!$T232), 0, 1), 7, 0))), 1, "")</f>
        <v/>
      </c>
      <c r="I234" s="1" t="str">
        <f>IF(AND(AND(AND(I$4&gt;='2025'!$L232,I$4&lt;='2025'!$M232), I$4&lt;&gt;DATE(2025,7,4)), (SWITCH(weekday(I$4), 1, 0, 2, if(ISBLANK('2025'!$P232), 0, 1), 3, if(ISBLANK('2025'!$Q232), 0, 1), 4, if(ISBLANK('2025'!$R232), 0, 1), 5, if(ISBLANK('2025'!$S232), 0, 1), 6, if(ISBLANK('2025'!$T232), 0, 1), 7, 0))), 1, "")</f>
        <v/>
      </c>
      <c r="J234" s="1" t="str">
        <f>IF(AND(AND(AND(J$4&gt;='2025'!$L232,J$4&lt;='2025'!$M232), J$4&lt;&gt;DATE(2025,7,4)), (SWITCH(weekday(J$4), 1, 0, 2, if(ISBLANK('2025'!$P232), 0, 1), 3, if(ISBLANK('2025'!$Q232), 0, 1), 4, if(ISBLANK('2025'!$R232), 0, 1), 5, if(ISBLANK('2025'!$S232), 0, 1), 6, if(ISBLANK('2025'!$T232), 0, 1), 7, 0))), 1, "")</f>
        <v/>
      </c>
      <c r="K234" s="1" t="str">
        <f>IF(AND(AND(AND(K$4&gt;='2025'!$L232,K$4&lt;='2025'!$M232), K$4&lt;&gt;DATE(2025,7,4)), (SWITCH(weekday(K$4), 1, 0, 2, if(ISBLANK('2025'!$P232), 0, 1), 3, if(ISBLANK('2025'!$Q232), 0, 1), 4, if(ISBLANK('2025'!$R232), 0, 1), 5, if(ISBLANK('2025'!$S232), 0, 1), 6, if(ISBLANK('2025'!$T232), 0, 1), 7, 0))), 1, "")</f>
        <v/>
      </c>
      <c r="L234" s="1" t="str">
        <f>IF(AND(AND(AND(L$4&gt;='2025'!$L232,L$4&lt;='2025'!$M232), L$4&lt;&gt;DATE(2025,7,4)), (SWITCH(weekday(L$4), 1, 0, 2, if(ISBLANK('2025'!$P232), 0, 1), 3, if(ISBLANK('2025'!$Q232), 0, 1), 4, if(ISBLANK('2025'!$R232), 0, 1), 5, if(ISBLANK('2025'!$S232), 0, 1), 6, if(ISBLANK('2025'!$T232), 0, 1), 7, 0))), 1, "")</f>
        <v/>
      </c>
      <c r="M234" s="1" t="str">
        <f>IF(AND(AND(AND(M$4&gt;='2025'!$L232,M$4&lt;='2025'!$M232), M$4&lt;&gt;DATE(2025,7,4)), (SWITCH(weekday(M$4), 1, 0, 2, if(ISBLANK('2025'!$P232), 0, 1), 3, if(ISBLANK('2025'!$Q232), 0, 1), 4, if(ISBLANK('2025'!$R232), 0, 1), 5, if(ISBLANK('2025'!$S232), 0, 1), 6, if(ISBLANK('2025'!$T232), 0, 1), 7, 0))), 1, "")</f>
        <v/>
      </c>
      <c r="N234" s="1" t="str">
        <f>IF(AND(AND(AND(N$4&gt;='2025'!$L232,N$4&lt;='2025'!$M232), N$4&lt;&gt;DATE(2025,7,4)), (SWITCH(weekday(N$4), 1, 0, 2, if(ISBLANK('2025'!$P232), 0, 1), 3, if(ISBLANK('2025'!$Q232), 0, 1), 4, if(ISBLANK('2025'!$R232), 0, 1), 5, if(ISBLANK('2025'!$S232), 0, 1), 6, if(ISBLANK('2025'!$T232), 0, 1), 7, 0))), 1, "")</f>
        <v/>
      </c>
      <c r="O234" s="1" t="str">
        <f>IF(AND(AND(AND(O$4&gt;='2025'!$L232,O$4&lt;='2025'!$M232), O$4&lt;&gt;DATE(2025,7,4)), (SWITCH(weekday(O$4), 1, 0, 2, if(ISBLANK('2025'!$P232), 0, 1), 3, if(ISBLANK('2025'!$Q232), 0, 1), 4, if(ISBLANK('2025'!$R232), 0, 1), 5, if(ISBLANK('2025'!$S232), 0, 1), 6, if(ISBLANK('2025'!$T232), 0, 1), 7, 0))), 1, "")</f>
        <v/>
      </c>
      <c r="P234" s="1" t="str">
        <f>IF(AND(AND(AND(P$4&gt;='2025'!$L232,P$4&lt;='2025'!$M232), P$4&lt;&gt;DATE(2025,7,4)), (SWITCH(weekday(P$4), 1, 0, 2, if(ISBLANK('2025'!$P232), 0, 1), 3, if(ISBLANK('2025'!$Q232), 0, 1), 4, if(ISBLANK('2025'!$R232), 0, 1), 5, if(ISBLANK('2025'!$S232), 0, 1), 6, if(ISBLANK('2025'!$T232), 0, 1), 7, 0))), 1, "")</f>
        <v/>
      </c>
      <c r="Q234" s="1" t="str">
        <f>IF(AND(AND(AND(Q$4&gt;='2025'!$L232,Q$4&lt;='2025'!$M232), Q$4&lt;&gt;DATE(2025,7,4)), (SWITCH(weekday(Q$4), 1, 0, 2, if(ISBLANK('2025'!$P232), 0, 1), 3, if(ISBLANK('2025'!$Q232), 0, 1), 4, if(ISBLANK('2025'!$R232), 0, 1), 5, if(ISBLANK('2025'!$S232), 0, 1), 6, if(ISBLANK('2025'!$T232), 0, 1), 7, 0))), 1, "")</f>
        <v/>
      </c>
      <c r="R234" s="1" t="str">
        <f>IF(AND(AND(AND(R$4&gt;='2025'!$L232,R$4&lt;='2025'!$M232), R$4&lt;&gt;DATE(2025,7,4)), (SWITCH(weekday(R$4), 1, 0, 2, if(ISBLANK('2025'!$P232), 0, 1), 3, if(ISBLANK('2025'!$Q232), 0, 1), 4, if(ISBLANK('2025'!$R232), 0, 1), 5, if(ISBLANK('2025'!$S232), 0, 1), 6, if(ISBLANK('2025'!$T232), 0, 1), 7, 0))), 1, "")</f>
        <v/>
      </c>
      <c r="S234" s="1" t="str">
        <f>IF(AND(AND(AND(S$4&gt;='2025'!$L232,S$4&lt;='2025'!$M232), S$4&lt;&gt;DATE(2025,7,4)), (SWITCH(weekday(S$4), 1, 0, 2, if(ISBLANK('2025'!$P232), 0, 1), 3, if(ISBLANK('2025'!$Q232), 0, 1), 4, if(ISBLANK('2025'!$R232), 0, 1), 5, if(ISBLANK('2025'!$S232), 0, 1), 6, if(ISBLANK('2025'!$T232), 0, 1), 7, 0))), 1, "")</f>
        <v/>
      </c>
      <c r="T234" s="1" t="str">
        <f>IF(AND(AND(AND(T$4&gt;='2025'!$L232,T$4&lt;='2025'!$M232), T$4&lt;&gt;DATE(2025,7,4)), (SWITCH(weekday(T$4), 1, 0, 2, if(ISBLANK('2025'!$P232), 0, 1), 3, if(ISBLANK('2025'!$Q232), 0, 1), 4, if(ISBLANK('2025'!$R232), 0, 1), 5, if(ISBLANK('2025'!$S232), 0, 1), 6, if(ISBLANK('2025'!$T232), 0, 1), 7, 0))), 1, "")</f>
        <v/>
      </c>
      <c r="U234" s="1" t="str">
        <f>IF(AND(AND(AND(U$4&gt;='2025'!$L232,U$4&lt;='2025'!$M232), U$4&lt;&gt;DATE(2025,7,4)), (SWITCH(weekday(U$4), 1, 0, 2, if(ISBLANK('2025'!$P232), 0, 1), 3, if(ISBLANK('2025'!$Q232), 0, 1), 4, if(ISBLANK('2025'!$R232), 0, 1), 5, if(ISBLANK('2025'!$S232), 0, 1), 6, if(ISBLANK('2025'!$T232), 0, 1), 7, 0))), 1, "")</f>
        <v/>
      </c>
      <c r="V234" s="1" t="str">
        <f>IF(AND(AND(AND(V$4&gt;='2025'!$L232,V$4&lt;='2025'!$M232), V$4&lt;&gt;DATE(2025,7,4)), (SWITCH(weekday(V$4), 1, 0, 2, if(ISBLANK('2025'!$P232), 0, 1), 3, if(ISBLANK('2025'!$Q232), 0, 1), 4, if(ISBLANK('2025'!$R232), 0, 1), 5, if(ISBLANK('2025'!$S232), 0, 1), 6, if(ISBLANK('2025'!$T232), 0, 1), 7, 0))), 1, "")</f>
        <v/>
      </c>
      <c r="W234" s="1" t="str">
        <f>IF(AND(AND(AND(W$4&gt;='2025'!$L232,W$4&lt;='2025'!$M232), W$4&lt;&gt;DATE(2025,7,4)), (SWITCH(weekday(W$4), 1, 0, 2, if(ISBLANK('2025'!$P232), 0, 1), 3, if(ISBLANK('2025'!$Q232), 0, 1), 4, if(ISBLANK('2025'!$R232), 0, 1), 5, if(ISBLANK('2025'!$S232), 0, 1), 6, if(ISBLANK('2025'!$T232), 0, 1), 7, 0))), 1, "")</f>
        <v/>
      </c>
      <c r="X234" s="1" t="str">
        <f>IF(AND(AND(AND(X$4&gt;='2025'!$L232,X$4&lt;='2025'!$M232), X$4&lt;&gt;DATE(2025,7,4)), (SWITCH(weekday(X$4), 1, 0, 2, if(ISBLANK('2025'!$P232), 0, 1), 3, if(ISBLANK('2025'!$Q232), 0, 1), 4, if(ISBLANK('2025'!$R232), 0, 1), 5, if(ISBLANK('2025'!$S232), 0, 1), 6, if(ISBLANK('2025'!$T232), 0, 1), 7, 0))), 1, "")</f>
        <v/>
      </c>
      <c r="Y234" s="1" t="str">
        <f>IF(AND(AND(AND(Y$4&gt;='2025'!$L232,Y$4&lt;='2025'!$M232), Y$4&lt;&gt;DATE(2025,7,4)), (SWITCH(weekday(Y$4), 1, 0, 2, if(ISBLANK('2025'!$P232), 0, 1), 3, if(ISBLANK('2025'!$Q232), 0, 1), 4, if(ISBLANK('2025'!$R232), 0, 1), 5, if(ISBLANK('2025'!$S232), 0, 1), 6, if(ISBLANK('2025'!$T232), 0, 1), 7, 0))), 1, "")</f>
        <v/>
      </c>
      <c r="Z234" s="1" t="str">
        <f>IF(AND(AND(AND(Z$4&gt;='2025'!$L232,Z$4&lt;='2025'!$M232), Z$4&lt;&gt;DATE(2025,7,4)), (SWITCH(weekday(Z$4), 1, 0, 2, if(ISBLANK('2025'!$P232), 0, 1), 3, if(ISBLANK('2025'!$Q232), 0, 1), 4, if(ISBLANK('2025'!$R232), 0, 1), 5, if(ISBLANK('2025'!$S232), 0, 1), 6, if(ISBLANK('2025'!$T232), 0, 1), 7, 0))), 1, "")</f>
        <v/>
      </c>
      <c r="AA234" s="1" t="str">
        <f>IF(AND(AND(AND(AA$4&gt;='2025'!$L232,AA$4&lt;='2025'!$M232), AA$4&lt;&gt;DATE(2025,7,4)), (SWITCH(weekday(AA$4), 1, 0, 2, if(ISBLANK('2025'!$P232), 0, 1), 3, if(ISBLANK('2025'!$Q232), 0, 1), 4, if(ISBLANK('2025'!$R232), 0, 1), 5, if(ISBLANK('2025'!$S232), 0, 1), 6, if(ISBLANK('2025'!$T232), 0, 1), 7, 0))), 1, "")</f>
        <v/>
      </c>
      <c r="AB234" s="1" t="str">
        <f>IF(AND(AND(AND(AB$4&gt;='2025'!$L232,AB$4&lt;='2025'!$M232), AB$4&lt;&gt;DATE(2025,7,4)), (SWITCH(weekday(AB$4), 1, 0, 2, if(ISBLANK('2025'!$P232), 0, 1), 3, if(ISBLANK('2025'!$Q232), 0, 1), 4, if(ISBLANK('2025'!$R232), 0, 1), 5, if(ISBLANK('2025'!$S232), 0, 1), 6, if(ISBLANK('2025'!$T232), 0, 1), 7, 0))), 1, "")</f>
        <v/>
      </c>
      <c r="AC234" s="1" t="str">
        <f>IF(AND(AND(AND(AC$4&gt;='2025'!$L232,AC$4&lt;='2025'!$M232), AC$4&lt;&gt;DATE(2025,7,4)), (SWITCH(weekday(AC$4), 1, 0, 2, if(ISBLANK('2025'!$P232), 0, 1), 3, if(ISBLANK('2025'!$Q232), 0, 1), 4, if(ISBLANK('2025'!$R232), 0, 1), 5, if(ISBLANK('2025'!$S232), 0, 1), 6, if(ISBLANK('2025'!$T232), 0, 1), 7, 0))), 1, "")</f>
        <v/>
      </c>
      <c r="AD234" s="1" t="str">
        <f>IF(AND(AND(AND(AD$4&gt;='2025'!$L232,AD$4&lt;='2025'!$M232), AD$4&lt;&gt;DATE(2025,7,4)), (SWITCH(weekday(AD$4), 1, 0, 2, if(ISBLANK('2025'!$P232), 0, 1), 3, if(ISBLANK('2025'!$Q232), 0, 1), 4, if(ISBLANK('2025'!$R232), 0, 1), 5, if(ISBLANK('2025'!$S232), 0, 1), 6, if(ISBLANK('2025'!$T232), 0, 1), 7, 0))), 1, "")</f>
        <v/>
      </c>
      <c r="AE234" s="1" t="str">
        <f>IF(AND(AND(AND(AE$4&gt;='2025'!$L232,AE$4&lt;='2025'!$M232), AE$4&lt;&gt;DATE(2025,7,4)), (SWITCH(weekday(AE$4), 1, 0, 2, if(ISBLANK('2025'!$P232), 0, 1), 3, if(ISBLANK('2025'!$Q232), 0, 1), 4, if(ISBLANK('2025'!$R232), 0, 1), 5, if(ISBLANK('2025'!$S232), 0, 1), 6, if(ISBLANK('2025'!$T232), 0, 1), 7, 0))), 1, "")</f>
        <v/>
      </c>
      <c r="AF234" s="1" t="str">
        <f>IF(AND(AND(AND(AF$4&gt;='2025'!$L232,AF$4&lt;='2025'!$M232), AF$4&lt;&gt;DATE(2025,7,4)), (SWITCH(weekday(AF$4), 1, 0, 2, if(ISBLANK('2025'!$P232), 0, 1), 3, if(ISBLANK('2025'!$Q232), 0, 1), 4, if(ISBLANK('2025'!$R232), 0, 1), 5, if(ISBLANK('2025'!$S232), 0, 1), 6, if(ISBLANK('2025'!$T232), 0, 1), 7, 0))), 1, "")</f>
        <v/>
      </c>
      <c r="AG234" s="1" t="str">
        <f>IF(AND(AND(AND(AG$4&gt;='2025'!$L232,AG$4&lt;='2025'!$M232), AG$4&lt;&gt;DATE(2025,7,4)), (SWITCH(weekday(AG$4), 1, 0, 2, if(ISBLANK('2025'!$P232), 0, 1), 3, if(ISBLANK('2025'!$Q232), 0, 1), 4, if(ISBLANK('2025'!$R232), 0, 1), 5, if(ISBLANK('2025'!$S232), 0, 1), 6, if(ISBLANK('2025'!$T232), 0, 1), 7, 0))), 1, "")</f>
        <v/>
      </c>
      <c r="AH234" s="1" t="str">
        <f>IF(AND(AND(AND(AH$4&gt;='2025'!$L232,AH$4&lt;='2025'!$M232), AH$4&lt;&gt;DATE(2025,7,4)), (SWITCH(weekday(AH$4), 1, 0, 2, if(ISBLANK('2025'!$P232), 0, 1), 3, if(ISBLANK('2025'!$Q232), 0, 1), 4, if(ISBLANK('2025'!$R232), 0, 1), 5, if(ISBLANK('2025'!$S232), 0, 1), 6, if(ISBLANK('2025'!$T232), 0, 1), 7, 0))), 1, "")</f>
        <v/>
      </c>
      <c r="AI234" s="1" t="str">
        <f>IF(AND(AND(AND(AI$4&gt;='2025'!$L232,AI$4&lt;='2025'!$M232), AI$4&lt;&gt;DATE(2025,7,4)), (SWITCH(weekday(AI$4), 1, 0, 2, if(ISBLANK('2025'!$P232), 0, 1), 3, if(ISBLANK('2025'!$Q232), 0, 1), 4, if(ISBLANK('2025'!$R232), 0, 1), 5, if(ISBLANK('2025'!$S232), 0, 1), 6, if(ISBLANK('2025'!$T232), 0, 1), 7, 0))), 1, "")</f>
        <v/>
      </c>
      <c r="AJ234" s="1" t="str">
        <f>IF(AND(AND(AND(AJ$4&gt;='2025'!$L232,AJ$4&lt;='2025'!$M232), AJ$4&lt;&gt;DATE(2025,7,4)), (SWITCH(weekday(AJ$4), 1, 0, 2, if(ISBLANK('2025'!$P232), 0, 1), 3, if(ISBLANK('2025'!$Q232), 0, 1), 4, if(ISBLANK('2025'!$R232), 0, 1), 5, if(ISBLANK('2025'!$S232), 0, 1), 6, if(ISBLANK('2025'!$T232), 0, 1), 7, 0))), 1, "")</f>
        <v/>
      </c>
      <c r="AK234" s="1" t="str">
        <f>IF(AND(AND(AND(AK$4&gt;='2025'!$L232,AK$4&lt;='2025'!$M232), AK$4&lt;&gt;DATE(2025,7,4)), (SWITCH(weekday(AK$4), 1, 0, 2, if(ISBLANK('2025'!$P232), 0, 1), 3, if(ISBLANK('2025'!$Q232), 0, 1), 4, if(ISBLANK('2025'!$R232), 0, 1), 5, if(ISBLANK('2025'!$S232), 0, 1), 6, if(ISBLANK('2025'!$T232), 0, 1), 7, 0))), 1, "")</f>
        <v/>
      </c>
      <c r="AL234" s="1" t="str">
        <f>IF(AND(AND(AND(AL$4&gt;='2025'!$L232,AL$4&lt;='2025'!$M232), AL$4&lt;&gt;DATE(2025,7,4)), (SWITCH(weekday(AL$4), 1, 0, 2, if(ISBLANK('2025'!$P232), 0, 1), 3, if(ISBLANK('2025'!$Q232), 0, 1), 4, if(ISBLANK('2025'!$R232), 0, 1), 5, if(ISBLANK('2025'!$S232), 0, 1), 6, if(ISBLANK('2025'!$T232), 0, 1), 7, 0))), 1, "")</f>
        <v/>
      </c>
      <c r="AM234" s="1" t="str">
        <f>IF(AND(AND(AND(AM$4&gt;='2025'!$L232,AM$4&lt;='2025'!$M232), AM$4&lt;&gt;DATE(2025,7,4)), (SWITCH(weekday(AM$4), 1, 0, 2, if(ISBLANK('2025'!$P232), 0, 1), 3, if(ISBLANK('2025'!$Q232), 0, 1), 4, if(ISBLANK('2025'!$R232), 0, 1), 5, if(ISBLANK('2025'!$S232), 0, 1), 6, if(ISBLANK('2025'!$T232), 0, 1), 7, 0))), 1, "")</f>
        <v/>
      </c>
      <c r="AN234" s="1" t="str">
        <f>IF(AND(AND(AND(AN$4&gt;='2025'!$L232,AN$4&lt;='2025'!$M232), AN$4&lt;&gt;DATE(2025,7,4)), (SWITCH(weekday(AN$4), 1, 0, 2, if(ISBLANK('2025'!$P232), 0, 1), 3, if(ISBLANK('2025'!$Q232), 0, 1), 4, if(ISBLANK('2025'!$R232), 0, 1), 5, if(ISBLANK('2025'!$S232), 0, 1), 6, if(ISBLANK('2025'!$T232), 0, 1), 7, 0))), 1, "")</f>
        <v/>
      </c>
      <c r="AO234" s="1" t="str">
        <f>IF(AND(AND(AND(AO$4&gt;='2025'!$L232,AO$4&lt;='2025'!$M232), AO$4&lt;&gt;DATE(2025,7,4)), (SWITCH(weekday(AO$4), 1, 0, 2, if(ISBLANK('2025'!$P232), 0, 1), 3, if(ISBLANK('2025'!$Q232), 0, 1), 4, if(ISBLANK('2025'!$R232), 0, 1), 5, if(ISBLANK('2025'!$S232), 0, 1), 6, if(ISBLANK('2025'!$T232), 0, 1), 7, 0))), 1, "")</f>
        <v/>
      </c>
      <c r="AP234" s="1" t="str">
        <f>IF(AND(AND(AND(AP$4&gt;='2025'!$L232,AP$4&lt;='2025'!$M232), AP$4&lt;&gt;DATE(2025,7,4)), (SWITCH(weekday(AP$4), 1, 0, 2, if(ISBLANK('2025'!$P232), 0, 1), 3, if(ISBLANK('2025'!$Q232), 0, 1), 4, if(ISBLANK('2025'!$R232), 0, 1), 5, if(ISBLANK('2025'!$S232), 0, 1), 6, if(ISBLANK('2025'!$T232), 0, 1), 7, 0))), 1, "")</f>
        <v/>
      </c>
      <c r="AQ234" s="1" t="str">
        <f>IF(AND(AND(AND(AQ$4&gt;='2025'!$L232,AQ$4&lt;='2025'!$M232), AQ$4&lt;&gt;DATE(2025,7,4)), (SWITCH(weekday(AQ$4), 1, 0, 2, if(ISBLANK('2025'!$P232), 0, 1), 3, if(ISBLANK('2025'!$Q232), 0, 1), 4, if(ISBLANK('2025'!$R232), 0, 1), 5, if(ISBLANK('2025'!$S232), 0, 1), 6, if(ISBLANK('2025'!$T232), 0, 1), 7, 0))), 1, "")</f>
        <v/>
      </c>
      <c r="AR234" s="1" t="str">
        <f>IF(AND(AND(AND(AR$4&gt;='2025'!$L232,AR$4&lt;='2025'!$M232), AR$4&lt;&gt;DATE(2025,7,4)), (SWITCH(weekday(AR$4), 1, 0, 2, if(ISBLANK('2025'!$P232), 0, 1), 3, if(ISBLANK('2025'!$Q232), 0, 1), 4, if(ISBLANK('2025'!$R232), 0, 1), 5, if(ISBLANK('2025'!$S232), 0, 1), 6, if(ISBLANK('2025'!$T232), 0, 1), 7, 0))), 1, "")</f>
        <v/>
      </c>
      <c r="AS234" s="1" t="str">
        <f>IF(AND(AND(AND(AS$4&gt;='2025'!$L232,AS$4&lt;='2025'!$M232), AS$4&lt;&gt;DATE(2025,7,4)), (SWITCH(weekday(AS$4), 1, 0, 2, if(ISBLANK('2025'!$P232), 0, 1), 3, if(ISBLANK('2025'!$Q232), 0, 1), 4, if(ISBLANK('2025'!$R232), 0, 1), 5, if(ISBLANK('2025'!$S232), 0, 1), 6, if(ISBLANK('2025'!$T232), 0, 1), 7, 0))), 1, "")</f>
        <v/>
      </c>
      <c r="AT234" s="1" t="str">
        <f>IF(AND(AND(AND(AT$4&gt;='2025'!$L232,AT$4&lt;='2025'!$M232), AT$4&lt;&gt;DATE(2025,7,4)), (SWITCH(weekday(AT$4), 1, 0, 2, if(ISBLANK('2025'!$P232), 0, 1), 3, if(ISBLANK('2025'!$Q232), 0, 1), 4, if(ISBLANK('2025'!$R232), 0, 1), 5, if(ISBLANK('2025'!$S232), 0, 1), 6, if(ISBLANK('2025'!$T232), 0, 1), 7, 0))), 1, "")</f>
        <v/>
      </c>
      <c r="AU234" s="1" t="str">
        <f>IF(AND(AND(AND(AU$4&gt;='2025'!$L232,AU$4&lt;='2025'!$M232), AU$4&lt;&gt;DATE(2025,7,4)), (SWITCH(weekday(AU$4), 1, 0, 2, if(ISBLANK('2025'!$P232), 0, 1), 3, if(ISBLANK('2025'!$Q232), 0, 1), 4, if(ISBLANK('2025'!$R232), 0, 1), 5, if(ISBLANK('2025'!$S232), 0, 1), 6, if(ISBLANK('2025'!$T232), 0, 1), 7, 0))), 1, "")</f>
        <v/>
      </c>
      <c r="AV234" s="1" t="str">
        <f>IF(AND(AND(AND(AV$4&gt;='2025'!$L232,AV$4&lt;='2025'!$M232), AV$4&lt;&gt;DATE(2025,7,4)), (SWITCH(weekday(AV$4), 1, 0, 2, if(ISBLANK('2025'!$P232), 0, 1), 3, if(ISBLANK('2025'!$Q232), 0, 1), 4, if(ISBLANK('2025'!$R232), 0, 1), 5, if(ISBLANK('2025'!$S232), 0, 1), 6, if(ISBLANK('2025'!$T232), 0, 1), 7, 0))), 1, "")</f>
        <v/>
      </c>
      <c r="AW234" s="1" t="str">
        <f>IF(AND(AND(AND(AW$4&gt;='2025'!$L232,AW$4&lt;='2025'!$M232), AW$4&lt;&gt;DATE(2025,7,4)), (SWITCH(weekday(AW$4), 1, 0, 2, if(ISBLANK('2025'!$P232), 0, 1), 3, if(ISBLANK('2025'!$Q232), 0, 1), 4, if(ISBLANK('2025'!$R232), 0, 1), 5, if(ISBLANK('2025'!$S232), 0, 1), 6, if(ISBLANK('2025'!$T232), 0, 1), 7, 0))), 1, "")</f>
        <v/>
      </c>
      <c r="AX234" s="1" t="str">
        <f>IF(AND(AND(AND(AX$4&gt;='2025'!$L232,AX$4&lt;='2025'!$M232), AX$4&lt;&gt;DATE(2025,7,4)), (SWITCH(weekday(AX$4), 1, 0, 2, if(ISBLANK('2025'!$P232), 0, 1), 3, if(ISBLANK('2025'!$Q232), 0, 1), 4, if(ISBLANK('2025'!$R232), 0, 1), 5, if(ISBLANK('2025'!$S232), 0, 1), 6, if(ISBLANK('2025'!$T232), 0, 1), 7, 0))), 1, "")</f>
        <v/>
      </c>
      <c r="AY234" s="1" t="str">
        <f>IF(AND(AND(AND(AY$4&gt;='2025'!$L232,AY$4&lt;='2025'!$M232), AY$4&lt;&gt;DATE(2025,7,4)), (SWITCH(weekday(AY$4), 1, 0, 2, if(ISBLANK('2025'!$P232), 0, 1), 3, if(ISBLANK('2025'!$Q232), 0, 1), 4, if(ISBLANK('2025'!$R232), 0, 1), 5, if(ISBLANK('2025'!$S232), 0, 1), 6, if(ISBLANK('2025'!$T232), 0, 1), 7, 0))), 1, "")</f>
        <v/>
      </c>
      <c r="AZ234" s="1" t="str">
        <f>IF(AND(AND(AND(AZ$4&gt;='2025'!$L232,AZ$4&lt;='2025'!$M232), AZ$4&lt;&gt;DATE(2025,7,4)), (SWITCH(weekday(AZ$4), 1, 0, 2, if(ISBLANK('2025'!$P232), 0, 1), 3, if(ISBLANK('2025'!$Q232), 0, 1), 4, if(ISBLANK('2025'!$R232), 0, 1), 5, if(ISBLANK('2025'!$S232), 0, 1), 6, if(ISBLANK('2025'!$T232), 0, 1), 7, 0))), 1, "")</f>
        <v/>
      </c>
      <c r="BA234" s="1" t="str">
        <f>IF(AND(AND(AND(BA$4&gt;='2025'!$L232,BA$4&lt;='2025'!$M232), BA$4&lt;&gt;DATE(2025,7,4)), (SWITCH(weekday(BA$4), 1, 0, 2, if(ISBLANK('2025'!$P232), 0, 1), 3, if(ISBLANK('2025'!$Q232), 0, 1), 4, if(ISBLANK('2025'!$R232), 0, 1), 5, if(ISBLANK('2025'!$S232), 0, 1), 6, if(ISBLANK('2025'!$T232), 0, 1), 7, 0))), 1, "")</f>
        <v/>
      </c>
      <c r="BB234" s="1" t="str">
        <f>IF(AND(AND(AND(BB$4&gt;='2025'!$L232,BB$4&lt;='2025'!$M232), BB$4&lt;&gt;DATE(2025,7,4)), (SWITCH(weekday(BB$4), 1, 0, 2, if(ISBLANK('2025'!$P232), 0, 1), 3, if(ISBLANK('2025'!$Q232), 0, 1), 4, if(ISBLANK('2025'!$R232), 0, 1), 5, if(ISBLANK('2025'!$S232), 0, 1), 6, if(ISBLANK('2025'!$T232), 0, 1), 7, 0))), 1, "")</f>
        <v/>
      </c>
      <c r="BC234" s="1" t="str">
        <f>IF(AND(AND(AND(BC$4&gt;='2025'!$L232,BC$4&lt;='2025'!$M232), BC$4&lt;&gt;DATE(2025,7,4)), (SWITCH(weekday(BC$4), 1, 0, 2, if(ISBLANK('2025'!$P232), 0, 1), 3, if(ISBLANK('2025'!$Q232), 0, 1), 4, if(ISBLANK('2025'!$R232), 0, 1), 5, if(ISBLANK('2025'!$S232), 0, 1), 6, if(ISBLANK('2025'!$T232), 0, 1), 7, 0))), 1, "")</f>
        <v/>
      </c>
      <c r="BD234" s="1" t="str">
        <f>IF(AND(AND(AND(BD$4&gt;='2025'!$L232,BD$4&lt;='2025'!$M232), BD$4&lt;&gt;DATE(2025,7,4)), (SWITCH(weekday(BD$4), 1, 0, 2, if(ISBLANK('2025'!$P232), 0, 1), 3, if(ISBLANK('2025'!$Q232), 0, 1), 4, if(ISBLANK('2025'!$R232), 0, 1), 5, if(ISBLANK('2025'!$S232), 0, 1), 6, if(ISBLANK('2025'!$T232), 0, 1), 7, 0))), 1, "")</f>
        <v/>
      </c>
      <c r="BE234" s="1" t="str">
        <f>IF(AND(AND(AND(BE$4&gt;='2025'!$L232,BE$4&lt;='2025'!$M232), BE$4&lt;&gt;DATE(2025,7,4)), (SWITCH(weekday(BE$4), 1, 0, 2, if(ISBLANK('2025'!$P232), 0, 1), 3, if(ISBLANK('2025'!$Q232), 0, 1), 4, if(ISBLANK('2025'!$R232), 0, 1), 5, if(ISBLANK('2025'!$S232), 0, 1), 6, if(ISBLANK('2025'!$T232), 0, 1), 7, 0))), 1, "")</f>
        <v/>
      </c>
      <c r="BF234" s="1" t="str">
        <f>IF(AND(AND(AND(BF$4&gt;='2025'!$L232,BF$4&lt;='2025'!$M232), BF$4&lt;&gt;DATE(2025,7,4)), (SWITCH(weekday(BF$4), 1, 0, 2, if(ISBLANK('2025'!$P232), 0, 1), 3, if(ISBLANK('2025'!$Q232), 0, 1), 4, if(ISBLANK('2025'!$R232), 0, 1), 5, if(ISBLANK('2025'!$S232), 0, 1), 6, if(ISBLANK('2025'!$T232), 0, 1), 7, 0))), 1, "")</f>
        <v/>
      </c>
      <c r="BG234" s="1"/>
      <c r="BH234" s="1"/>
      <c r="BI234" s="1"/>
      <c r="BJ234" s="1"/>
      <c r="BK234" s="1"/>
      <c r="BL234" s="1"/>
    </row>
    <row r="235">
      <c r="A235" s="1">
        <f t="shared" si="3"/>
        <v>235</v>
      </c>
      <c r="B235" s="1" t="str">
        <f>'2025'!D199</f>
        <v>, </v>
      </c>
      <c r="C235" s="1" t="str">
        <f>'2025'!H199</f>
        <v/>
      </c>
      <c r="D235" s="1" t="str">
        <f>IF(AND(AND(AND(D$4&gt;='2025'!$L233,D$4&lt;='2025'!$M233), D$4&lt;&gt;DATE(2025,7,4)), (SWITCH(weekday(D$4), 1, 0, 2, if(ISBLANK('2025'!$P233), 0, 1), 3, if(ISBLANK('2025'!$Q233), 0, 1), 4, if(ISBLANK('2025'!$R233), 0, 1), 5, if(ISBLANK('2025'!$S233), 0, 1), 6, if(ISBLANK('2025'!$T233), 0, 1), 7, 0))), 1, "")</f>
        <v/>
      </c>
      <c r="E235" s="1" t="str">
        <f>IF(AND(AND(AND(E$4&gt;='2025'!$L233,E$4&lt;='2025'!$M233), E$4&lt;&gt;DATE(2025,7,4)), (SWITCH(weekday(E$4), 1, 0, 2, if(ISBLANK('2025'!$P233), 0, 1), 3, if(ISBLANK('2025'!$Q233), 0, 1), 4, if(ISBLANK('2025'!$R233), 0, 1), 5, if(ISBLANK('2025'!$S233), 0, 1), 6, if(ISBLANK('2025'!$T233), 0, 1), 7, 0))), 1, "")</f>
        <v/>
      </c>
      <c r="F235" s="1" t="str">
        <f>IF(AND(AND(AND(F$4&gt;='2025'!$L233,F$4&lt;='2025'!$M233), F$4&lt;&gt;DATE(2025,7,4)), (SWITCH(weekday(F$4), 1, 0, 2, if(ISBLANK('2025'!$P233), 0, 1), 3, if(ISBLANK('2025'!$Q233), 0, 1), 4, if(ISBLANK('2025'!$R233), 0, 1), 5, if(ISBLANK('2025'!$S233), 0, 1), 6, if(ISBLANK('2025'!$T233), 0, 1), 7, 0))), 1, "")</f>
        <v/>
      </c>
      <c r="G235" s="1" t="str">
        <f>IF(AND(AND(AND(G$4&gt;='2025'!$L233,G$4&lt;='2025'!$M233), G$4&lt;&gt;DATE(2025,7,4)), (SWITCH(weekday(G$4), 1, 0, 2, if(ISBLANK('2025'!$P233), 0, 1), 3, if(ISBLANK('2025'!$Q233), 0, 1), 4, if(ISBLANK('2025'!$R233), 0, 1), 5, if(ISBLANK('2025'!$S233), 0, 1), 6, if(ISBLANK('2025'!$T233), 0, 1), 7, 0))), 1, "")</f>
        <v/>
      </c>
      <c r="H235" s="1" t="str">
        <f>IF(AND(AND(AND(H$4&gt;='2025'!$L233,H$4&lt;='2025'!$M233), H$4&lt;&gt;DATE(2025,7,4)), (SWITCH(weekday(H$4), 1, 0, 2, if(ISBLANK('2025'!$P233), 0, 1), 3, if(ISBLANK('2025'!$Q233), 0, 1), 4, if(ISBLANK('2025'!$R233), 0, 1), 5, if(ISBLANK('2025'!$S233), 0, 1), 6, if(ISBLANK('2025'!$T233), 0, 1), 7, 0))), 1, "")</f>
        <v/>
      </c>
      <c r="I235" s="1" t="str">
        <f>IF(AND(AND(AND(I$4&gt;='2025'!$L233,I$4&lt;='2025'!$M233), I$4&lt;&gt;DATE(2025,7,4)), (SWITCH(weekday(I$4), 1, 0, 2, if(ISBLANK('2025'!$P233), 0, 1), 3, if(ISBLANK('2025'!$Q233), 0, 1), 4, if(ISBLANK('2025'!$R233), 0, 1), 5, if(ISBLANK('2025'!$S233), 0, 1), 6, if(ISBLANK('2025'!$T233), 0, 1), 7, 0))), 1, "")</f>
        <v/>
      </c>
      <c r="J235" s="1" t="str">
        <f>IF(AND(AND(AND(J$4&gt;='2025'!$L233,J$4&lt;='2025'!$M233), J$4&lt;&gt;DATE(2025,7,4)), (SWITCH(weekday(J$4), 1, 0, 2, if(ISBLANK('2025'!$P233), 0, 1), 3, if(ISBLANK('2025'!$Q233), 0, 1), 4, if(ISBLANK('2025'!$R233), 0, 1), 5, if(ISBLANK('2025'!$S233), 0, 1), 6, if(ISBLANK('2025'!$T233), 0, 1), 7, 0))), 1, "")</f>
        <v/>
      </c>
      <c r="K235" s="1" t="str">
        <f>IF(AND(AND(AND(K$4&gt;='2025'!$L233,K$4&lt;='2025'!$M233), K$4&lt;&gt;DATE(2025,7,4)), (SWITCH(weekday(K$4), 1, 0, 2, if(ISBLANK('2025'!$P233), 0, 1), 3, if(ISBLANK('2025'!$Q233), 0, 1), 4, if(ISBLANK('2025'!$R233), 0, 1), 5, if(ISBLANK('2025'!$S233), 0, 1), 6, if(ISBLANK('2025'!$T233), 0, 1), 7, 0))), 1, "")</f>
        <v/>
      </c>
      <c r="L235" s="1" t="str">
        <f>IF(AND(AND(AND(L$4&gt;='2025'!$L233,L$4&lt;='2025'!$M233), L$4&lt;&gt;DATE(2025,7,4)), (SWITCH(weekday(L$4), 1, 0, 2, if(ISBLANK('2025'!$P233), 0, 1), 3, if(ISBLANK('2025'!$Q233), 0, 1), 4, if(ISBLANK('2025'!$R233), 0, 1), 5, if(ISBLANK('2025'!$S233), 0, 1), 6, if(ISBLANK('2025'!$T233), 0, 1), 7, 0))), 1, "")</f>
        <v/>
      </c>
      <c r="M235" s="1" t="str">
        <f>IF(AND(AND(AND(M$4&gt;='2025'!$L233,M$4&lt;='2025'!$M233), M$4&lt;&gt;DATE(2025,7,4)), (SWITCH(weekday(M$4), 1, 0, 2, if(ISBLANK('2025'!$P233), 0, 1), 3, if(ISBLANK('2025'!$Q233), 0, 1), 4, if(ISBLANK('2025'!$R233), 0, 1), 5, if(ISBLANK('2025'!$S233), 0, 1), 6, if(ISBLANK('2025'!$T233), 0, 1), 7, 0))), 1, "")</f>
        <v/>
      </c>
      <c r="N235" s="1" t="str">
        <f>IF(AND(AND(AND(N$4&gt;='2025'!$L233,N$4&lt;='2025'!$M233), N$4&lt;&gt;DATE(2025,7,4)), (SWITCH(weekday(N$4), 1, 0, 2, if(ISBLANK('2025'!$P233), 0, 1), 3, if(ISBLANK('2025'!$Q233), 0, 1), 4, if(ISBLANK('2025'!$R233), 0, 1), 5, if(ISBLANK('2025'!$S233), 0, 1), 6, if(ISBLANK('2025'!$T233), 0, 1), 7, 0))), 1, "")</f>
        <v/>
      </c>
      <c r="O235" s="1" t="str">
        <f>IF(AND(AND(AND(O$4&gt;='2025'!$L233,O$4&lt;='2025'!$M233), O$4&lt;&gt;DATE(2025,7,4)), (SWITCH(weekday(O$4), 1, 0, 2, if(ISBLANK('2025'!$P233), 0, 1), 3, if(ISBLANK('2025'!$Q233), 0, 1), 4, if(ISBLANK('2025'!$R233), 0, 1), 5, if(ISBLANK('2025'!$S233), 0, 1), 6, if(ISBLANK('2025'!$T233), 0, 1), 7, 0))), 1, "")</f>
        <v/>
      </c>
      <c r="P235" s="1" t="str">
        <f>IF(AND(AND(AND(P$4&gt;='2025'!$L233,P$4&lt;='2025'!$M233), P$4&lt;&gt;DATE(2025,7,4)), (SWITCH(weekday(P$4), 1, 0, 2, if(ISBLANK('2025'!$P233), 0, 1), 3, if(ISBLANK('2025'!$Q233), 0, 1), 4, if(ISBLANK('2025'!$R233), 0, 1), 5, if(ISBLANK('2025'!$S233), 0, 1), 6, if(ISBLANK('2025'!$T233), 0, 1), 7, 0))), 1, "")</f>
        <v/>
      </c>
      <c r="Q235" s="1" t="str">
        <f>IF(AND(AND(AND(Q$4&gt;='2025'!$L233,Q$4&lt;='2025'!$M233), Q$4&lt;&gt;DATE(2025,7,4)), (SWITCH(weekday(Q$4), 1, 0, 2, if(ISBLANK('2025'!$P233), 0, 1), 3, if(ISBLANK('2025'!$Q233), 0, 1), 4, if(ISBLANK('2025'!$R233), 0, 1), 5, if(ISBLANK('2025'!$S233), 0, 1), 6, if(ISBLANK('2025'!$T233), 0, 1), 7, 0))), 1, "")</f>
        <v/>
      </c>
      <c r="R235" s="1" t="str">
        <f>IF(AND(AND(AND(R$4&gt;='2025'!$L233,R$4&lt;='2025'!$M233), R$4&lt;&gt;DATE(2025,7,4)), (SWITCH(weekday(R$4), 1, 0, 2, if(ISBLANK('2025'!$P233), 0, 1), 3, if(ISBLANK('2025'!$Q233), 0, 1), 4, if(ISBLANK('2025'!$R233), 0, 1), 5, if(ISBLANK('2025'!$S233), 0, 1), 6, if(ISBLANK('2025'!$T233), 0, 1), 7, 0))), 1, "")</f>
        <v/>
      </c>
      <c r="S235" s="1" t="str">
        <f>IF(AND(AND(AND(S$4&gt;='2025'!$L233,S$4&lt;='2025'!$M233), S$4&lt;&gt;DATE(2025,7,4)), (SWITCH(weekday(S$4), 1, 0, 2, if(ISBLANK('2025'!$P233), 0, 1), 3, if(ISBLANK('2025'!$Q233), 0, 1), 4, if(ISBLANK('2025'!$R233), 0, 1), 5, if(ISBLANK('2025'!$S233), 0, 1), 6, if(ISBLANK('2025'!$T233), 0, 1), 7, 0))), 1, "")</f>
        <v/>
      </c>
      <c r="T235" s="1" t="str">
        <f>IF(AND(AND(AND(T$4&gt;='2025'!$L233,T$4&lt;='2025'!$M233), T$4&lt;&gt;DATE(2025,7,4)), (SWITCH(weekday(T$4), 1, 0, 2, if(ISBLANK('2025'!$P233), 0, 1), 3, if(ISBLANK('2025'!$Q233), 0, 1), 4, if(ISBLANK('2025'!$R233), 0, 1), 5, if(ISBLANK('2025'!$S233), 0, 1), 6, if(ISBLANK('2025'!$T233), 0, 1), 7, 0))), 1, "")</f>
        <v/>
      </c>
      <c r="U235" s="1" t="str">
        <f>IF(AND(AND(AND(U$4&gt;='2025'!$L233,U$4&lt;='2025'!$M233), U$4&lt;&gt;DATE(2025,7,4)), (SWITCH(weekday(U$4), 1, 0, 2, if(ISBLANK('2025'!$P233), 0, 1), 3, if(ISBLANK('2025'!$Q233), 0, 1), 4, if(ISBLANK('2025'!$R233), 0, 1), 5, if(ISBLANK('2025'!$S233), 0, 1), 6, if(ISBLANK('2025'!$T233), 0, 1), 7, 0))), 1, "")</f>
        <v/>
      </c>
      <c r="V235" s="1" t="str">
        <f>IF(AND(AND(AND(V$4&gt;='2025'!$L233,V$4&lt;='2025'!$M233), V$4&lt;&gt;DATE(2025,7,4)), (SWITCH(weekday(V$4), 1, 0, 2, if(ISBLANK('2025'!$P233), 0, 1), 3, if(ISBLANK('2025'!$Q233), 0, 1), 4, if(ISBLANK('2025'!$R233), 0, 1), 5, if(ISBLANK('2025'!$S233), 0, 1), 6, if(ISBLANK('2025'!$T233), 0, 1), 7, 0))), 1, "")</f>
        <v/>
      </c>
      <c r="W235" s="1" t="str">
        <f>IF(AND(AND(AND(W$4&gt;='2025'!$L233,W$4&lt;='2025'!$M233), W$4&lt;&gt;DATE(2025,7,4)), (SWITCH(weekday(W$4), 1, 0, 2, if(ISBLANK('2025'!$P233), 0, 1), 3, if(ISBLANK('2025'!$Q233), 0, 1), 4, if(ISBLANK('2025'!$R233), 0, 1), 5, if(ISBLANK('2025'!$S233), 0, 1), 6, if(ISBLANK('2025'!$T233), 0, 1), 7, 0))), 1, "")</f>
        <v/>
      </c>
      <c r="X235" s="1" t="str">
        <f>IF(AND(AND(AND(X$4&gt;='2025'!$L233,X$4&lt;='2025'!$M233), X$4&lt;&gt;DATE(2025,7,4)), (SWITCH(weekday(X$4), 1, 0, 2, if(ISBLANK('2025'!$P233), 0, 1), 3, if(ISBLANK('2025'!$Q233), 0, 1), 4, if(ISBLANK('2025'!$R233), 0, 1), 5, if(ISBLANK('2025'!$S233), 0, 1), 6, if(ISBLANK('2025'!$T233), 0, 1), 7, 0))), 1, "")</f>
        <v/>
      </c>
      <c r="Y235" s="1" t="str">
        <f>IF(AND(AND(AND(Y$4&gt;='2025'!$L233,Y$4&lt;='2025'!$M233), Y$4&lt;&gt;DATE(2025,7,4)), (SWITCH(weekday(Y$4), 1, 0, 2, if(ISBLANK('2025'!$P233), 0, 1), 3, if(ISBLANK('2025'!$Q233), 0, 1), 4, if(ISBLANK('2025'!$R233), 0, 1), 5, if(ISBLANK('2025'!$S233), 0, 1), 6, if(ISBLANK('2025'!$T233), 0, 1), 7, 0))), 1, "")</f>
        <v/>
      </c>
      <c r="Z235" s="1" t="str">
        <f>IF(AND(AND(AND(Z$4&gt;='2025'!$L233,Z$4&lt;='2025'!$M233), Z$4&lt;&gt;DATE(2025,7,4)), (SWITCH(weekday(Z$4), 1, 0, 2, if(ISBLANK('2025'!$P233), 0, 1), 3, if(ISBLANK('2025'!$Q233), 0, 1), 4, if(ISBLANK('2025'!$R233), 0, 1), 5, if(ISBLANK('2025'!$S233), 0, 1), 6, if(ISBLANK('2025'!$T233), 0, 1), 7, 0))), 1, "")</f>
        <v/>
      </c>
      <c r="AA235" s="1" t="str">
        <f>IF(AND(AND(AND(AA$4&gt;='2025'!$L233,AA$4&lt;='2025'!$M233), AA$4&lt;&gt;DATE(2025,7,4)), (SWITCH(weekday(AA$4), 1, 0, 2, if(ISBLANK('2025'!$P233), 0, 1), 3, if(ISBLANK('2025'!$Q233), 0, 1), 4, if(ISBLANK('2025'!$R233), 0, 1), 5, if(ISBLANK('2025'!$S233), 0, 1), 6, if(ISBLANK('2025'!$T233), 0, 1), 7, 0))), 1, "")</f>
        <v/>
      </c>
      <c r="AB235" s="1" t="str">
        <f>IF(AND(AND(AND(AB$4&gt;='2025'!$L233,AB$4&lt;='2025'!$M233), AB$4&lt;&gt;DATE(2025,7,4)), (SWITCH(weekday(AB$4), 1, 0, 2, if(ISBLANK('2025'!$P233), 0, 1), 3, if(ISBLANK('2025'!$Q233), 0, 1), 4, if(ISBLANK('2025'!$R233), 0, 1), 5, if(ISBLANK('2025'!$S233), 0, 1), 6, if(ISBLANK('2025'!$T233), 0, 1), 7, 0))), 1, "")</f>
        <v/>
      </c>
      <c r="AC235" s="1" t="str">
        <f>IF(AND(AND(AND(AC$4&gt;='2025'!$L233,AC$4&lt;='2025'!$M233), AC$4&lt;&gt;DATE(2025,7,4)), (SWITCH(weekday(AC$4), 1, 0, 2, if(ISBLANK('2025'!$P233), 0, 1), 3, if(ISBLANK('2025'!$Q233), 0, 1), 4, if(ISBLANK('2025'!$R233), 0, 1), 5, if(ISBLANK('2025'!$S233), 0, 1), 6, if(ISBLANK('2025'!$T233), 0, 1), 7, 0))), 1, "")</f>
        <v/>
      </c>
      <c r="AD235" s="1" t="str">
        <f>IF(AND(AND(AND(AD$4&gt;='2025'!$L233,AD$4&lt;='2025'!$M233), AD$4&lt;&gt;DATE(2025,7,4)), (SWITCH(weekday(AD$4), 1, 0, 2, if(ISBLANK('2025'!$P233), 0, 1), 3, if(ISBLANK('2025'!$Q233), 0, 1), 4, if(ISBLANK('2025'!$R233), 0, 1), 5, if(ISBLANK('2025'!$S233), 0, 1), 6, if(ISBLANK('2025'!$T233), 0, 1), 7, 0))), 1, "")</f>
        <v/>
      </c>
      <c r="AE235" s="1" t="str">
        <f>IF(AND(AND(AND(AE$4&gt;='2025'!$L233,AE$4&lt;='2025'!$M233), AE$4&lt;&gt;DATE(2025,7,4)), (SWITCH(weekday(AE$4), 1, 0, 2, if(ISBLANK('2025'!$P233), 0, 1), 3, if(ISBLANK('2025'!$Q233), 0, 1), 4, if(ISBLANK('2025'!$R233), 0, 1), 5, if(ISBLANK('2025'!$S233), 0, 1), 6, if(ISBLANK('2025'!$T233), 0, 1), 7, 0))), 1, "")</f>
        <v/>
      </c>
      <c r="AF235" s="1" t="str">
        <f>IF(AND(AND(AND(AF$4&gt;='2025'!$L233,AF$4&lt;='2025'!$M233), AF$4&lt;&gt;DATE(2025,7,4)), (SWITCH(weekday(AF$4), 1, 0, 2, if(ISBLANK('2025'!$P233), 0, 1), 3, if(ISBLANK('2025'!$Q233), 0, 1), 4, if(ISBLANK('2025'!$R233), 0, 1), 5, if(ISBLANK('2025'!$S233), 0, 1), 6, if(ISBLANK('2025'!$T233), 0, 1), 7, 0))), 1, "")</f>
        <v/>
      </c>
      <c r="AG235" s="1" t="str">
        <f>IF(AND(AND(AND(AG$4&gt;='2025'!$L233,AG$4&lt;='2025'!$M233), AG$4&lt;&gt;DATE(2025,7,4)), (SWITCH(weekday(AG$4), 1, 0, 2, if(ISBLANK('2025'!$P233), 0, 1), 3, if(ISBLANK('2025'!$Q233), 0, 1), 4, if(ISBLANK('2025'!$R233), 0, 1), 5, if(ISBLANK('2025'!$S233), 0, 1), 6, if(ISBLANK('2025'!$T233), 0, 1), 7, 0))), 1, "")</f>
        <v/>
      </c>
      <c r="AH235" s="1" t="str">
        <f>IF(AND(AND(AND(AH$4&gt;='2025'!$L233,AH$4&lt;='2025'!$M233), AH$4&lt;&gt;DATE(2025,7,4)), (SWITCH(weekday(AH$4), 1, 0, 2, if(ISBLANK('2025'!$P233), 0, 1), 3, if(ISBLANK('2025'!$Q233), 0, 1), 4, if(ISBLANK('2025'!$R233), 0, 1), 5, if(ISBLANK('2025'!$S233), 0, 1), 6, if(ISBLANK('2025'!$T233), 0, 1), 7, 0))), 1, "")</f>
        <v/>
      </c>
      <c r="AI235" s="1" t="str">
        <f>IF(AND(AND(AND(AI$4&gt;='2025'!$L233,AI$4&lt;='2025'!$M233), AI$4&lt;&gt;DATE(2025,7,4)), (SWITCH(weekday(AI$4), 1, 0, 2, if(ISBLANK('2025'!$P233), 0, 1), 3, if(ISBLANK('2025'!$Q233), 0, 1), 4, if(ISBLANK('2025'!$R233), 0, 1), 5, if(ISBLANK('2025'!$S233), 0, 1), 6, if(ISBLANK('2025'!$T233), 0, 1), 7, 0))), 1, "")</f>
        <v/>
      </c>
      <c r="AJ235" s="1" t="str">
        <f>IF(AND(AND(AND(AJ$4&gt;='2025'!$L233,AJ$4&lt;='2025'!$M233), AJ$4&lt;&gt;DATE(2025,7,4)), (SWITCH(weekday(AJ$4), 1, 0, 2, if(ISBLANK('2025'!$P233), 0, 1), 3, if(ISBLANK('2025'!$Q233), 0, 1), 4, if(ISBLANK('2025'!$R233), 0, 1), 5, if(ISBLANK('2025'!$S233), 0, 1), 6, if(ISBLANK('2025'!$T233), 0, 1), 7, 0))), 1, "")</f>
        <v/>
      </c>
      <c r="AK235" s="1" t="str">
        <f>IF(AND(AND(AND(AK$4&gt;='2025'!$L233,AK$4&lt;='2025'!$M233), AK$4&lt;&gt;DATE(2025,7,4)), (SWITCH(weekday(AK$4), 1, 0, 2, if(ISBLANK('2025'!$P233), 0, 1), 3, if(ISBLANK('2025'!$Q233), 0, 1), 4, if(ISBLANK('2025'!$R233), 0, 1), 5, if(ISBLANK('2025'!$S233), 0, 1), 6, if(ISBLANK('2025'!$T233), 0, 1), 7, 0))), 1, "")</f>
        <v/>
      </c>
      <c r="AL235" s="1" t="str">
        <f>IF(AND(AND(AND(AL$4&gt;='2025'!$L233,AL$4&lt;='2025'!$M233), AL$4&lt;&gt;DATE(2025,7,4)), (SWITCH(weekday(AL$4), 1, 0, 2, if(ISBLANK('2025'!$P233), 0, 1), 3, if(ISBLANK('2025'!$Q233), 0, 1), 4, if(ISBLANK('2025'!$R233), 0, 1), 5, if(ISBLANK('2025'!$S233), 0, 1), 6, if(ISBLANK('2025'!$T233), 0, 1), 7, 0))), 1, "")</f>
        <v/>
      </c>
      <c r="AM235" s="1" t="str">
        <f>IF(AND(AND(AND(AM$4&gt;='2025'!$L233,AM$4&lt;='2025'!$M233), AM$4&lt;&gt;DATE(2025,7,4)), (SWITCH(weekday(AM$4), 1, 0, 2, if(ISBLANK('2025'!$P233), 0, 1), 3, if(ISBLANK('2025'!$Q233), 0, 1), 4, if(ISBLANK('2025'!$R233), 0, 1), 5, if(ISBLANK('2025'!$S233), 0, 1), 6, if(ISBLANK('2025'!$T233), 0, 1), 7, 0))), 1, "")</f>
        <v/>
      </c>
      <c r="AN235" s="1" t="str">
        <f>IF(AND(AND(AND(AN$4&gt;='2025'!$L233,AN$4&lt;='2025'!$M233), AN$4&lt;&gt;DATE(2025,7,4)), (SWITCH(weekday(AN$4), 1, 0, 2, if(ISBLANK('2025'!$P233), 0, 1), 3, if(ISBLANK('2025'!$Q233), 0, 1), 4, if(ISBLANK('2025'!$R233), 0, 1), 5, if(ISBLANK('2025'!$S233), 0, 1), 6, if(ISBLANK('2025'!$T233), 0, 1), 7, 0))), 1, "")</f>
        <v/>
      </c>
      <c r="AO235" s="1" t="str">
        <f>IF(AND(AND(AND(AO$4&gt;='2025'!$L233,AO$4&lt;='2025'!$M233), AO$4&lt;&gt;DATE(2025,7,4)), (SWITCH(weekday(AO$4), 1, 0, 2, if(ISBLANK('2025'!$P233), 0, 1), 3, if(ISBLANK('2025'!$Q233), 0, 1), 4, if(ISBLANK('2025'!$R233), 0, 1), 5, if(ISBLANK('2025'!$S233), 0, 1), 6, if(ISBLANK('2025'!$T233), 0, 1), 7, 0))), 1, "")</f>
        <v/>
      </c>
      <c r="AP235" s="1" t="str">
        <f>IF(AND(AND(AND(AP$4&gt;='2025'!$L233,AP$4&lt;='2025'!$M233), AP$4&lt;&gt;DATE(2025,7,4)), (SWITCH(weekday(AP$4), 1, 0, 2, if(ISBLANK('2025'!$P233), 0, 1), 3, if(ISBLANK('2025'!$Q233), 0, 1), 4, if(ISBLANK('2025'!$R233), 0, 1), 5, if(ISBLANK('2025'!$S233), 0, 1), 6, if(ISBLANK('2025'!$T233), 0, 1), 7, 0))), 1, "")</f>
        <v/>
      </c>
      <c r="AQ235" s="1" t="str">
        <f>IF(AND(AND(AND(AQ$4&gt;='2025'!$L233,AQ$4&lt;='2025'!$M233), AQ$4&lt;&gt;DATE(2025,7,4)), (SWITCH(weekday(AQ$4), 1, 0, 2, if(ISBLANK('2025'!$P233), 0, 1), 3, if(ISBLANK('2025'!$Q233), 0, 1), 4, if(ISBLANK('2025'!$R233), 0, 1), 5, if(ISBLANK('2025'!$S233), 0, 1), 6, if(ISBLANK('2025'!$T233), 0, 1), 7, 0))), 1, "")</f>
        <v/>
      </c>
      <c r="AR235" s="1" t="str">
        <f>IF(AND(AND(AND(AR$4&gt;='2025'!$L233,AR$4&lt;='2025'!$M233), AR$4&lt;&gt;DATE(2025,7,4)), (SWITCH(weekday(AR$4), 1, 0, 2, if(ISBLANK('2025'!$P233), 0, 1), 3, if(ISBLANK('2025'!$Q233), 0, 1), 4, if(ISBLANK('2025'!$R233), 0, 1), 5, if(ISBLANK('2025'!$S233), 0, 1), 6, if(ISBLANK('2025'!$T233), 0, 1), 7, 0))), 1, "")</f>
        <v/>
      </c>
      <c r="AS235" s="1" t="str">
        <f>IF(AND(AND(AND(AS$4&gt;='2025'!$L233,AS$4&lt;='2025'!$M233), AS$4&lt;&gt;DATE(2025,7,4)), (SWITCH(weekday(AS$4), 1, 0, 2, if(ISBLANK('2025'!$P233), 0, 1), 3, if(ISBLANK('2025'!$Q233), 0, 1), 4, if(ISBLANK('2025'!$R233), 0, 1), 5, if(ISBLANK('2025'!$S233), 0, 1), 6, if(ISBLANK('2025'!$T233), 0, 1), 7, 0))), 1, "")</f>
        <v/>
      </c>
      <c r="AT235" s="1" t="str">
        <f>IF(AND(AND(AND(AT$4&gt;='2025'!$L233,AT$4&lt;='2025'!$M233), AT$4&lt;&gt;DATE(2025,7,4)), (SWITCH(weekday(AT$4), 1, 0, 2, if(ISBLANK('2025'!$P233), 0, 1), 3, if(ISBLANK('2025'!$Q233), 0, 1), 4, if(ISBLANK('2025'!$R233), 0, 1), 5, if(ISBLANK('2025'!$S233), 0, 1), 6, if(ISBLANK('2025'!$T233), 0, 1), 7, 0))), 1, "")</f>
        <v/>
      </c>
      <c r="AU235" s="1" t="str">
        <f>IF(AND(AND(AND(AU$4&gt;='2025'!$L233,AU$4&lt;='2025'!$M233), AU$4&lt;&gt;DATE(2025,7,4)), (SWITCH(weekday(AU$4), 1, 0, 2, if(ISBLANK('2025'!$P233), 0, 1), 3, if(ISBLANK('2025'!$Q233), 0, 1), 4, if(ISBLANK('2025'!$R233), 0, 1), 5, if(ISBLANK('2025'!$S233), 0, 1), 6, if(ISBLANK('2025'!$T233), 0, 1), 7, 0))), 1, "")</f>
        <v/>
      </c>
      <c r="AV235" s="1" t="str">
        <f>IF(AND(AND(AND(AV$4&gt;='2025'!$L233,AV$4&lt;='2025'!$M233), AV$4&lt;&gt;DATE(2025,7,4)), (SWITCH(weekday(AV$4), 1, 0, 2, if(ISBLANK('2025'!$P233), 0, 1), 3, if(ISBLANK('2025'!$Q233), 0, 1), 4, if(ISBLANK('2025'!$R233), 0, 1), 5, if(ISBLANK('2025'!$S233), 0, 1), 6, if(ISBLANK('2025'!$T233), 0, 1), 7, 0))), 1, "")</f>
        <v/>
      </c>
      <c r="AW235" s="1" t="str">
        <f>IF(AND(AND(AND(AW$4&gt;='2025'!$L233,AW$4&lt;='2025'!$M233), AW$4&lt;&gt;DATE(2025,7,4)), (SWITCH(weekday(AW$4), 1, 0, 2, if(ISBLANK('2025'!$P233), 0, 1), 3, if(ISBLANK('2025'!$Q233), 0, 1), 4, if(ISBLANK('2025'!$R233), 0, 1), 5, if(ISBLANK('2025'!$S233), 0, 1), 6, if(ISBLANK('2025'!$T233), 0, 1), 7, 0))), 1, "")</f>
        <v/>
      </c>
      <c r="AX235" s="1" t="str">
        <f>IF(AND(AND(AND(AX$4&gt;='2025'!$L233,AX$4&lt;='2025'!$M233), AX$4&lt;&gt;DATE(2025,7,4)), (SWITCH(weekday(AX$4), 1, 0, 2, if(ISBLANK('2025'!$P233), 0, 1), 3, if(ISBLANK('2025'!$Q233), 0, 1), 4, if(ISBLANK('2025'!$R233), 0, 1), 5, if(ISBLANK('2025'!$S233), 0, 1), 6, if(ISBLANK('2025'!$T233), 0, 1), 7, 0))), 1, "")</f>
        <v/>
      </c>
      <c r="AY235" s="1" t="str">
        <f>IF(AND(AND(AND(AY$4&gt;='2025'!$L233,AY$4&lt;='2025'!$M233), AY$4&lt;&gt;DATE(2025,7,4)), (SWITCH(weekday(AY$4), 1, 0, 2, if(ISBLANK('2025'!$P233), 0, 1), 3, if(ISBLANK('2025'!$Q233), 0, 1), 4, if(ISBLANK('2025'!$R233), 0, 1), 5, if(ISBLANK('2025'!$S233), 0, 1), 6, if(ISBLANK('2025'!$T233), 0, 1), 7, 0))), 1, "")</f>
        <v/>
      </c>
      <c r="AZ235" s="1" t="str">
        <f>IF(AND(AND(AND(AZ$4&gt;='2025'!$L233,AZ$4&lt;='2025'!$M233), AZ$4&lt;&gt;DATE(2025,7,4)), (SWITCH(weekday(AZ$4), 1, 0, 2, if(ISBLANK('2025'!$P233), 0, 1), 3, if(ISBLANK('2025'!$Q233), 0, 1), 4, if(ISBLANK('2025'!$R233), 0, 1), 5, if(ISBLANK('2025'!$S233), 0, 1), 6, if(ISBLANK('2025'!$T233), 0, 1), 7, 0))), 1, "")</f>
        <v/>
      </c>
      <c r="BA235" s="1" t="str">
        <f>IF(AND(AND(AND(BA$4&gt;='2025'!$L233,BA$4&lt;='2025'!$M233), BA$4&lt;&gt;DATE(2025,7,4)), (SWITCH(weekday(BA$4), 1, 0, 2, if(ISBLANK('2025'!$P233), 0, 1), 3, if(ISBLANK('2025'!$Q233), 0, 1), 4, if(ISBLANK('2025'!$R233), 0, 1), 5, if(ISBLANK('2025'!$S233), 0, 1), 6, if(ISBLANK('2025'!$T233), 0, 1), 7, 0))), 1, "")</f>
        <v/>
      </c>
      <c r="BB235" s="1" t="str">
        <f>IF(AND(AND(AND(BB$4&gt;='2025'!$L233,BB$4&lt;='2025'!$M233), BB$4&lt;&gt;DATE(2025,7,4)), (SWITCH(weekday(BB$4), 1, 0, 2, if(ISBLANK('2025'!$P233), 0, 1), 3, if(ISBLANK('2025'!$Q233), 0, 1), 4, if(ISBLANK('2025'!$R233), 0, 1), 5, if(ISBLANK('2025'!$S233), 0, 1), 6, if(ISBLANK('2025'!$T233), 0, 1), 7, 0))), 1, "")</f>
        <v/>
      </c>
      <c r="BC235" s="1" t="str">
        <f>IF(AND(AND(AND(BC$4&gt;='2025'!$L233,BC$4&lt;='2025'!$M233), BC$4&lt;&gt;DATE(2025,7,4)), (SWITCH(weekday(BC$4), 1, 0, 2, if(ISBLANK('2025'!$P233), 0, 1), 3, if(ISBLANK('2025'!$Q233), 0, 1), 4, if(ISBLANK('2025'!$R233), 0, 1), 5, if(ISBLANK('2025'!$S233), 0, 1), 6, if(ISBLANK('2025'!$T233), 0, 1), 7, 0))), 1, "")</f>
        <v/>
      </c>
      <c r="BD235" s="1" t="str">
        <f>IF(AND(AND(AND(BD$4&gt;='2025'!$L233,BD$4&lt;='2025'!$M233), BD$4&lt;&gt;DATE(2025,7,4)), (SWITCH(weekday(BD$4), 1, 0, 2, if(ISBLANK('2025'!$P233), 0, 1), 3, if(ISBLANK('2025'!$Q233), 0, 1), 4, if(ISBLANK('2025'!$R233), 0, 1), 5, if(ISBLANK('2025'!$S233), 0, 1), 6, if(ISBLANK('2025'!$T233), 0, 1), 7, 0))), 1, "")</f>
        <v/>
      </c>
      <c r="BE235" s="1" t="str">
        <f>IF(AND(AND(AND(BE$4&gt;='2025'!$L233,BE$4&lt;='2025'!$M233), BE$4&lt;&gt;DATE(2025,7,4)), (SWITCH(weekday(BE$4), 1, 0, 2, if(ISBLANK('2025'!$P233), 0, 1), 3, if(ISBLANK('2025'!$Q233), 0, 1), 4, if(ISBLANK('2025'!$R233), 0, 1), 5, if(ISBLANK('2025'!$S233), 0, 1), 6, if(ISBLANK('2025'!$T233), 0, 1), 7, 0))), 1, "")</f>
        <v/>
      </c>
      <c r="BF235" s="1" t="str">
        <f>IF(AND(AND(AND(BF$4&gt;='2025'!$L233,BF$4&lt;='2025'!$M233), BF$4&lt;&gt;DATE(2025,7,4)), (SWITCH(weekday(BF$4), 1, 0, 2, if(ISBLANK('2025'!$P233), 0, 1), 3, if(ISBLANK('2025'!$Q233), 0, 1), 4, if(ISBLANK('2025'!$R233), 0, 1), 5, if(ISBLANK('2025'!$S233), 0, 1), 6, if(ISBLANK('2025'!$T233), 0, 1), 7, 0))), 1, "")</f>
        <v/>
      </c>
      <c r="BG235" s="1"/>
      <c r="BH235" s="1"/>
      <c r="BI235" s="1"/>
      <c r="BJ235" s="1"/>
      <c r="BK235" s="1"/>
      <c r="BL235" s="1"/>
    </row>
    <row r="236">
      <c r="A236" s="1">
        <f t="shared" si="3"/>
        <v>236</v>
      </c>
      <c r="B236" s="1" t="str">
        <f>'2025'!D200</f>
        <v>, </v>
      </c>
      <c r="C236" s="1" t="str">
        <f>'2025'!H200</f>
        <v/>
      </c>
      <c r="D236" s="1" t="str">
        <f>IF(AND(AND(AND(D$4&gt;='2025'!$L234,D$4&lt;='2025'!$M234), D$4&lt;&gt;DATE(2025,7,4)), (SWITCH(weekday(D$4), 1, 0, 2, if(ISBLANK('2025'!$P234), 0, 1), 3, if(ISBLANK('2025'!$Q234), 0, 1), 4, if(ISBLANK('2025'!$R234), 0, 1), 5, if(ISBLANK('2025'!$S234), 0, 1), 6, if(ISBLANK('2025'!$T234), 0, 1), 7, 0))), 1, "")</f>
        <v/>
      </c>
      <c r="E236" s="1" t="str">
        <f>IF(AND(AND(AND(E$4&gt;='2025'!$L234,E$4&lt;='2025'!$M234), E$4&lt;&gt;DATE(2025,7,4)), (SWITCH(weekday(E$4), 1, 0, 2, if(ISBLANK('2025'!$P234), 0, 1), 3, if(ISBLANK('2025'!$Q234), 0, 1), 4, if(ISBLANK('2025'!$R234), 0, 1), 5, if(ISBLANK('2025'!$S234), 0, 1), 6, if(ISBLANK('2025'!$T234), 0, 1), 7, 0))), 1, "")</f>
        <v/>
      </c>
      <c r="F236" s="1" t="str">
        <f>IF(AND(AND(AND(F$4&gt;='2025'!$L234,F$4&lt;='2025'!$M234), F$4&lt;&gt;DATE(2025,7,4)), (SWITCH(weekday(F$4), 1, 0, 2, if(ISBLANK('2025'!$P234), 0, 1), 3, if(ISBLANK('2025'!$Q234), 0, 1), 4, if(ISBLANK('2025'!$R234), 0, 1), 5, if(ISBLANK('2025'!$S234), 0, 1), 6, if(ISBLANK('2025'!$T234), 0, 1), 7, 0))), 1, "")</f>
        <v/>
      </c>
      <c r="G236" s="1" t="str">
        <f>IF(AND(AND(AND(G$4&gt;='2025'!$L234,G$4&lt;='2025'!$M234), G$4&lt;&gt;DATE(2025,7,4)), (SWITCH(weekday(G$4), 1, 0, 2, if(ISBLANK('2025'!$P234), 0, 1), 3, if(ISBLANK('2025'!$Q234), 0, 1), 4, if(ISBLANK('2025'!$R234), 0, 1), 5, if(ISBLANK('2025'!$S234), 0, 1), 6, if(ISBLANK('2025'!$T234), 0, 1), 7, 0))), 1, "")</f>
        <v/>
      </c>
      <c r="H236" s="1" t="str">
        <f>IF(AND(AND(AND(H$4&gt;='2025'!$L234,H$4&lt;='2025'!$M234), H$4&lt;&gt;DATE(2025,7,4)), (SWITCH(weekday(H$4), 1, 0, 2, if(ISBLANK('2025'!$P234), 0, 1), 3, if(ISBLANK('2025'!$Q234), 0, 1), 4, if(ISBLANK('2025'!$R234), 0, 1), 5, if(ISBLANK('2025'!$S234), 0, 1), 6, if(ISBLANK('2025'!$T234), 0, 1), 7, 0))), 1, "")</f>
        <v/>
      </c>
      <c r="I236" s="1" t="str">
        <f>IF(AND(AND(AND(I$4&gt;='2025'!$L234,I$4&lt;='2025'!$M234), I$4&lt;&gt;DATE(2025,7,4)), (SWITCH(weekday(I$4), 1, 0, 2, if(ISBLANK('2025'!$P234), 0, 1), 3, if(ISBLANK('2025'!$Q234), 0, 1), 4, if(ISBLANK('2025'!$R234), 0, 1), 5, if(ISBLANK('2025'!$S234), 0, 1), 6, if(ISBLANK('2025'!$T234), 0, 1), 7, 0))), 1, "")</f>
        <v/>
      </c>
      <c r="J236" s="1" t="str">
        <f>IF(AND(AND(AND(J$4&gt;='2025'!$L234,J$4&lt;='2025'!$M234), J$4&lt;&gt;DATE(2025,7,4)), (SWITCH(weekday(J$4), 1, 0, 2, if(ISBLANK('2025'!$P234), 0, 1), 3, if(ISBLANK('2025'!$Q234), 0, 1), 4, if(ISBLANK('2025'!$R234), 0, 1), 5, if(ISBLANK('2025'!$S234), 0, 1), 6, if(ISBLANK('2025'!$T234), 0, 1), 7, 0))), 1, "")</f>
        <v/>
      </c>
      <c r="K236" s="1" t="str">
        <f>IF(AND(AND(AND(K$4&gt;='2025'!$L234,K$4&lt;='2025'!$M234), K$4&lt;&gt;DATE(2025,7,4)), (SWITCH(weekday(K$4), 1, 0, 2, if(ISBLANK('2025'!$P234), 0, 1), 3, if(ISBLANK('2025'!$Q234), 0, 1), 4, if(ISBLANK('2025'!$R234), 0, 1), 5, if(ISBLANK('2025'!$S234), 0, 1), 6, if(ISBLANK('2025'!$T234), 0, 1), 7, 0))), 1, "")</f>
        <v/>
      </c>
      <c r="L236" s="1" t="str">
        <f>IF(AND(AND(AND(L$4&gt;='2025'!$L234,L$4&lt;='2025'!$M234), L$4&lt;&gt;DATE(2025,7,4)), (SWITCH(weekday(L$4), 1, 0, 2, if(ISBLANK('2025'!$P234), 0, 1), 3, if(ISBLANK('2025'!$Q234), 0, 1), 4, if(ISBLANK('2025'!$R234), 0, 1), 5, if(ISBLANK('2025'!$S234), 0, 1), 6, if(ISBLANK('2025'!$T234), 0, 1), 7, 0))), 1, "")</f>
        <v/>
      </c>
      <c r="M236" s="1" t="str">
        <f>IF(AND(AND(AND(M$4&gt;='2025'!$L234,M$4&lt;='2025'!$M234), M$4&lt;&gt;DATE(2025,7,4)), (SWITCH(weekday(M$4), 1, 0, 2, if(ISBLANK('2025'!$P234), 0, 1), 3, if(ISBLANK('2025'!$Q234), 0, 1), 4, if(ISBLANK('2025'!$R234), 0, 1), 5, if(ISBLANK('2025'!$S234), 0, 1), 6, if(ISBLANK('2025'!$T234), 0, 1), 7, 0))), 1, "")</f>
        <v/>
      </c>
      <c r="N236" s="1" t="str">
        <f>IF(AND(AND(AND(N$4&gt;='2025'!$L234,N$4&lt;='2025'!$M234), N$4&lt;&gt;DATE(2025,7,4)), (SWITCH(weekday(N$4), 1, 0, 2, if(ISBLANK('2025'!$P234), 0, 1), 3, if(ISBLANK('2025'!$Q234), 0, 1), 4, if(ISBLANK('2025'!$R234), 0, 1), 5, if(ISBLANK('2025'!$S234), 0, 1), 6, if(ISBLANK('2025'!$T234), 0, 1), 7, 0))), 1, "")</f>
        <v/>
      </c>
      <c r="O236" s="1" t="str">
        <f>IF(AND(AND(AND(O$4&gt;='2025'!$L234,O$4&lt;='2025'!$M234), O$4&lt;&gt;DATE(2025,7,4)), (SWITCH(weekday(O$4), 1, 0, 2, if(ISBLANK('2025'!$P234), 0, 1), 3, if(ISBLANK('2025'!$Q234), 0, 1), 4, if(ISBLANK('2025'!$R234), 0, 1), 5, if(ISBLANK('2025'!$S234), 0, 1), 6, if(ISBLANK('2025'!$T234), 0, 1), 7, 0))), 1, "")</f>
        <v/>
      </c>
      <c r="P236" s="1" t="str">
        <f>IF(AND(AND(AND(P$4&gt;='2025'!$L234,P$4&lt;='2025'!$M234), P$4&lt;&gt;DATE(2025,7,4)), (SWITCH(weekday(P$4), 1, 0, 2, if(ISBLANK('2025'!$P234), 0, 1), 3, if(ISBLANK('2025'!$Q234), 0, 1), 4, if(ISBLANK('2025'!$R234), 0, 1), 5, if(ISBLANK('2025'!$S234), 0, 1), 6, if(ISBLANK('2025'!$T234), 0, 1), 7, 0))), 1, "")</f>
        <v/>
      </c>
      <c r="Q236" s="1" t="str">
        <f>IF(AND(AND(AND(Q$4&gt;='2025'!$L234,Q$4&lt;='2025'!$M234), Q$4&lt;&gt;DATE(2025,7,4)), (SWITCH(weekday(Q$4), 1, 0, 2, if(ISBLANK('2025'!$P234), 0, 1), 3, if(ISBLANK('2025'!$Q234), 0, 1), 4, if(ISBLANK('2025'!$R234), 0, 1), 5, if(ISBLANK('2025'!$S234), 0, 1), 6, if(ISBLANK('2025'!$T234), 0, 1), 7, 0))), 1, "")</f>
        <v/>
      </c>
      <c r="R236" s="1" t="str">
        <f>IF(AND(AND(AND(R$4&gt;='2025'!$L234,R$4&lt;='2025'!$M234), R$4&lt;&gt;DATE(2025,7,4)), (SWITCH(weekday(R$4), 1, 0, 2, if(ISBLANK('2025'!$P234), 0, 1), 3, if(ISBLANK('2025'!$Q234), 0, 1), 4, if(ISBLANK('2025'!$R234), 0, 1), 5, if(ISBLANK('2025'!$S234), 0, 1), 6, if(ISBLANK('2025'!$T234), 0, 1), 7, 0))), 1, "")</f>
        <v/>
      </c>
      <c r="S236" s="1" t="str">
        <f>IF(AND(AND(AND(S$4&gt;='2025'!$L234,S$4&lt;='2025'!$M234), S$4&lt;&gt;DATE(2025,7,4)), (SWITCH(weekday(S$4), 1, 0, 2, if(ISBLANK('2025'!$P234), 0, 1), 3, if(ISBLANK('2025'!$Q234), 0, 1), 4, if(ISBLANK('2025'!$R234), 0, 1), 5, if(ISBLANK('2025'!$S234), 0, 1), 6, if(ISBLANK('2025'!$T234), 0, 1), 7, 0))), 1, "")</f>
        <v/>
      </c>
      <c r="T236" s="1" t="str">
        <f>IF(AND(AND(AND(T$4&gt;='2025'!$L234,T$4&lt;='2025'!$M234), T$4&lt;&gt;DATE(2025,7,4)), (SWITCH(weekday(T$4), 1, 0, 2, if(ISBLANK('2025'!$P234), 0, 1), 3, if(ISBLANK('2025'!$Q234), 0, 1), 4, if(ISBLANK('2025'!$R234), 0, 1), 5, if(ISBLANK('2025'!$S234), 0, 1), 6, if(ISBLANK('2025'!$T234), 0, 1), 7, 0))), 1, "")</f>
        <v/>
      </c>
      <c r="U236" s="1" t="str">
        <f>IF(AND(AND(AND(U$4&gt;='2025'!$L234,U$4&lt;='2025'!$M234), U$4&lt;&gt;DATE(2025,7,4)), (SWITCH(weekday(U$4), 1, 0, 2, if(ISBLANK('2025'!$P234), 0, 1), 3, if(ISBLANK('2025'!$Q234), 0, 1), 4, if(ISBLANK('2025'!$R234), 0, 1), 5, if(ISBLANK('2025'!$S234), 0, 1), 6, if(ISBLANK('2025'!$T234), 0, 1), 7, 0))), 1, "")</f>
        <v/>
      </c>
      <c r="V236" s="1" t="str">
        <f>IF(AND(AND(AND(V$4&gt;='2025'!$L234,V$4&lt;='2025'!$M234), V$4&lt;&gt;DATE(2025,7,4)), (SWITCH(weekday(V$4), 1, 0, 2, if(ISBLANK('2025'!$P234), 0, 1), 3, if(ISBLANK('2025'!$Q234), 0, 1), 4, if(ISBLANK('2025'!$R234), 0, 1), 5, if(ISBLANK('2025'!$S234), 0, 1), 6, if(ISBLANK('2025'!$T234), 0, 1), 7, 0))), 1, "")</f>
        <v/>
      </c>
      <c r="W236" s="1" t="str">
        <f>IF(AND(AND(AND(W$4&gt;='2025'!$L234,W$4&lt;='2025'!$M234), W$4&lt;&gt;DATE(2025,7,4)), (SWITCH(weekday(W$4), 1, 0, 2, if(ISBLANK('2025'!$P234), 0, 1), 3, if(ISBLANK('2025'!$Q234), 0, 1), 4, if(ISBLANK('2025'!$R234), 0, 1), 5, if(ISBLANK('2025'!$S234), 0, 1), 6, if(ISBLANK('2025'!$T234), 0, 1), 7, 0))), 1, "")</f>
        <v/>
      </c>
      <c r="X236" s="1" t="str">
        <f>IF(AND(AND(AND(X$4&gt;='2025'!$L234,X$4&lt;='2025'!$M234), X$4&lt;&gt;DATE(2025,7,4)), (SWITCH(weekday(X$4), 1, 0, 2, if(ISBLANK('2025'!$P234), 0, 1), 3, if(ISBLANK('2025'!$Q234), 0, 1), 4, if(ISBLANK('2025'!$R234), 0, 1), 5, if(ISBLANK('2025'!$S234), 0, 1), 6, if(ISBLANK('2025'!$T234), 0, 1), 7, 0))), 1, "")</f>
        <v/>
      </c>
      <c r="Y236" s="1" t="str">
        <f>IF(AND(AND(AND(Y$4&gt;='2025'!$L234,Y$4&lt;='2025'!$M234), Y$4&lt;&gt;DATE(2025,7,4)), (SWITCH(weekday(Y$4), 1, 0, 2, if(ISBLANK('2025'!$P234), 0, 1), 3, if(ISBLANK('2025'!$Q234), 0, 1), 4, if(ISBLANK('2025'!$R234), 0, 1), 5, if(ISBLANK('2025'!$S234), 0, 1), 6, if(ISBLANK('2025'!$T234), 0, 1), 7, 0))), 1, "")</f>
        <v/>
      </c>
      <c r="Z236" s="1" t="str">
        <f>IF(AND(AND(AND(Z$4&gt;='2025'!$L234,Z$4&lt;='2025'!$M234), Z$4&lt;&gt;DATE(2025,7,4)), (SWITCH(weekday(Z$4), 1, 0, 2, if(ISBLANK('2025'!$P234), 0, 1), 3, if(ISBLANK('2025'!$Q234), 0, 1), 4, if(ISBLANK('2025'!$R234), 0, 1), 5, if(ISBLANK('2025'!$S234), 0, 1), 6, if(ISBLANK('2025'!$T234), 0, 1), 7, 0))), 1, "")</f>
        <v/>
      </c>
      <c r="AA236" s="1" t="str">
        <f>IF(AND(AND(AND(AA$4&gt;='2025'!$L234,AA$4&lt;='2025'!$M234), AA$4&lt;&gt;DATE(2025,7,4)), (SWITCH(weekday(AA$4), 1, 0, 2, if(ISBLANK('2025'!$P234), 0, 1), 3, if(ISBLANK('2025'!$Q234), 0, 1), 4, if(ISBLANK('2025'!$R234), 0, 1), 5, if(ISBLANK('2025'!$S234), 0, 1), 6, if(ISBLANK('2025'!$T234), 0, 1), 7, 0))), 1, "")</f>
        <v/>
      </c>
      <c r="AB236" s="1" t="str">
        <f>IF(AND(AND(AND(AB$4&gt;='2025'!$L234,AB$4&lt;='2025'!$M234), AB$4&lt;&gt;DATE(2025,7,4)), (SWITCH(weekday(AB$4), 1, 0, 2, if(ISBLANK('2025'!$P234), 0, 1), 3, if(ISBLANK('2025'!$Q234), 0, 1), 4, if(ISBLANK('2025'!$R234), 0, 1), 5, if(ISBLANK('2025'!$S234), 0, 1), 6, if(ISBLANK('2025'!$T234), 0, 1), 7, 0))), 1, "")</f>
        <v/>
      </c>
      <c r="AC236" s="1" t="str">
        <f>IF(AND(AND(AND(AC$4&gt;='2025'!$L234,AC$4&lt;='2025'!$M234), AC$4&lt;&gt;DATE(2025,7,4)), (SWITCH(weekday(AC$4), 1, 0, 2, if(ISBLANK('2025'!$P234), 0, 1), 3, if(ISBLANK('2025'!$Q234), 0, 1), 4, if(ISBLANK('2025'!$R234), 0, 1), 5, if(ISBLANK('2025'!$S234), 0, 1), 6, if(ISBLANK('2025'!$T234), 0, 1), 7, 0))), 1, "")</f>
        <v/>
      </c>
      <c r="AD236" s="1" t="str">
        <f>IF(AND(AND(AND(AD$4&gt;='2025'!$L234,AD$4&lt;='2025'!$M234), AD$4&lt;&gt;DATE(2025,7,4)), (SWITCH(weekday(AD$4), 1, 0, 2, if(ISBLANK('2025'!$P234), 0, 1), 3, if(ISBLANK('2025'!$Q234), 0, 1), 4, if(ISBLANK('2025'!$R234), 0, 1), 5, if(ISBLANK('2025'!$S234), 0, 1), 6, if(ISBLANK('2025'!$T234), 0, 1), 7, 0))), 1, "")</f>
        <v/>
      </c>
      <c r="AE236" s="1" t="str">
        <f>IF(AND(AND(AND(AE$4&gt;='2025'!$L234,AE$4&lt;='2025'!$M234), AE$4&lt;&gt;DATE(2025,7,4)), (SWITCH(weekday(AE$4), 1, 0, 2, if(ISBLANK('2025'!$P234), 0, 1), 3, if(ISBLANK('2025'!$Q234), 0, 1), 4, if(ISBLANK('2025'!$R234), 0, 1), 5, if(ISBLANK('2025'!$S234), 0, 1), 6, if(ISBLANK('2025'!$T234), 0, 1), 7, 0))), 1, "")</f>
        <v/>
      </c>
      <c r="AF236" s="1" t="str">
        <f>IF(AND(AND(AND(AF$4&gt;='2025'!$L234,AF$4&lt;='2025'!$M234), AF$4&lt;&gt;DATE(2025,7,4)), (SWITCH(weekday(AF$4), 1, 0, 2, if(ISBLANK('2025'!$P234), 0, 1), 3, if(ISBLANK('2025'!$Q234), 0, 1), 4, if(ISBLANK('2025'!$R234), 0, 1), 5, if(ISBLANK('2025'!$S234), 0, 1), 6, if(ISBLANK('2025'!$T234), 0, 1), 7, 0))), 1, "")</f>
        <v/>
      </c>
      <c r="AG236" s="1" t="str">
        <f>IF(AND(AND(AND(AG$4&gt;='2025'!$L234,AG$4&lt;='2025'!$M234), AG$4&lt;&gt;DATE(2025,7,4)), (SWITCH(weekday(AG$4), 1, 0, 2, if(ISBLANK('2025'!$P234), 0, 1), 3, if(ISBLANK('2025'!$Q234), 0, 1), 4, if(ISBLANK('2025'!$R234), 0, 1), 5, if(ISBLANK('2025'!$S234), 0, 1), 6, if(ISBLANK('2025'!$T234), 0, 1), 7, 0))), 1, "")</f>
        <v/>
      </c>
      <c r="AH236" s="1" t="str">
        <f>IF(AND(AND(AND(AH$4&gt;='2025'!$L234,AH$4&lt;='2025'!$M234), AH$4&lt;&gt;DATE(2025,7,4)), (SWITCH(weekday(AH$4), 1, 0, 2, if(ISBLANK('2025'!$P234), 0, 1), 3, if(ISBLANK('2025'!$Q234), 0, 1), 4, if(ISBLANK('2025'!$R234), 0, 1), 5, if(ISBLANK('2025'!$S234), 0, 1), 6, if(ISBLANK('2025'!$T234), 0, 1), 7, 0))), 1, "")</f>
        <v/>
      </c>
      <c r="AI236" s="1" t="str">
        <f>IF(AND(AND(AND(AI$4&gt;='2025'!$L234,AI$4&lt;='2025'!$M234), AI$4&lt;&gt;DATE(2025,7,4)), (SWITCH(weekday(AI$4), 1, 0, 2, if(ISBLANK('2025'!$P234), 0, 1), 3, if(ISBLANK('2025'!$Q234), 0, 1), 4, if(ISBLANK('2025'!$R234), 0, 1), 5, if(ISBLANK('2025'!$S234), 0, 1), 6, if(ISBLANK('2025'!$T234), 0, 1), 7, 0))), 1, "")</f>
        <v/>
      </c>
      <c r="AJ236" s="1" t="str">
        <f>IF(AND(AND(AND(AJ$4&gt;='2025'!$L234,AJ$4&lt;='2025'!$M234), AJ$4&lt;&gt;DATE(2025,7,4)), (SWITCH(weekday(AJ$4), 1, 0, 2, if(ISBLANK('2025'!$P234), 0, 1), 3, if(ISBLANK('2025'!$Q234), 0, 1), 4, if(ISBLANK('2025'!$R234), 0, 1), 5, if(ISBLANK('2025'!$S234), 0, 1), 6, if(ISBLANK('2025'!$T234), 0, 1), 7, 0))), 1, "")</f>
        <v/>
      </c>
      <c r="AK236" s="1" t="str">
        <f>IF(AND(AND(AND(AK$4&gt;='2025'!$L234,AK$4&lt;='2025'!$M234), AK$4&lt;&gt;DATE(2025,7,4)), (SWITCH(weekday(AK$4), 1, 0, 2, if(ISBLANK('2025'!$P234), 0, 1), 3, if(ISBLANK('2025'!$Q234), 0, 1), 4, if(ISBLANK('2025'!$R234), 0, 1), 5, if(ISBLANK('2025'!$S234), 0, 1), 6, if(ISBLANK('2025'!$T234), 0, 1), 7, 0))), 1, "")</f>
        <v/>
      </c>
      <c r="AL236" s="1" t="str">
        <f>IF(AND(AND(AND(AL$4&gt;='2025'!$L234,AL$4&lt;='2025'!$M234), AL$4&lt;&gt;DATE(2025,7,4)), (SWITCH(weekday(AL$4), 1, 0, 2, if(ISBLANK('2025'!$P234), 0, 1), 3, if(ISBLANK('2025'!$Q234), 0, 1), 4, if(ISBLANK('2025'!$R234), 0, 1), 5, if(ISBLANK('2025'!$S234), 0, 1), 6, if(ISBLANK('2025'!$T234), 0, 1), 7, 0))), 1, "")</f>
        <v/>
      </c>
      <c r="AM236" s="1" t="str">
        <f>IF(AND(AND(AND(AM$4&gt;='2025'!$L234,AM$4&lt;='2025'!$M234), AM$4&lt;&gt;DATE(2025,7,4)), (SWITCH(weekday(AM$4), 1, 0, 2, if(ISBLANK('2025'!$P234), 0, 1), 3, if(ISBLANK('2025'!$Q234), 0, 1), 4, if(ISBLANK('2025'!$R234), 0, 1), 5, if(ISBLANK('2025'!$S234), 0, 1), 6, if(ISBLANK('2025'!$T234), 0, 1), 7, 0))), 1, "")</f>
        <v/>
      </c>
      <c r="AN236" s="1" t="str">
        <f>IF(AND(AND(AND(AN$4&gt;='2025'!$L234,AN$4&lt;='2025'!$M234), AN$4&lt;&gt;DATE(2025,7,4)), (SWITCH(weekday(AN$4), 1, 0, 2, if(ISBLANK('2025'!$P234), 0, 1), 3, if(ISBLANK('2025'!$Q234), 0, 1), 4, if(ISBLANK('2025'!$R234), 0, 1), 5, if(ISBLANK('2025'!$S234), 0, 1), 6, if(ISBLANK('2025'!$T234), 0, 1), 7, 0))), 1, "")</f>
        <v/>
      </c>
      <c r="AO236" s="1" t="str">
        <f>IF(AND(AND(AND(AO$4&gt;='2025'!$L234,AO$4&lt;='2025'!$M234), AO$4&lt;&gt;DATE(2025,7,4)), (SWITCH(weekday(AO$4), 1, 0, 2, if(ISBLANK('2025'!$P234), 0, 1), 3, if(ISBLANK('2025'!$Q234), 0, 1), 4, if(ISBLANK('2025'!$R234), 0, 1), 5, if(ISBLANK('2025'!$S234), 0, 1), 6, if(ISBLANK('2025'!$T234), 0, 1), 7, 0))), 1, "")</f>
        <v/>
      </c>
      <c r="AP236" s="1" t="str">
        <f>IF(AND(AND(AND(AP$4&gt;='2025'!$L234,AP$4&lt;='2025'!$M234), AP$4&lt;&gt;DATE(2025,7,4)), (SWITCH(weekday(AP$4), 1, 0, 2, if(ISBLANK('2025'!$P234), 0, 1), 3, if(ISBLANK('2025'!$Q234), 0, 1), 4, if(ISBLANK('2025'!$R234), 0, 1), 5, if(ISBLANK('2025'!$S234), 0, 1), 6, if(ISBLANK('2025'!$T234), 0, 1), 7, 0))), 1, "")</f>
        <v/>
      </c>
      <c r="AQ236" s="1" t="str">
        <f>IF(AND(AND(AND(AQ$4&gt;='2025'!$L234,AQ$4&lt;='2025'!$M234), AQ$4&lt;&gt;DATE(2025,7,4)), (SWITCH(weekday(AQ$4), 1, 0, 2, if(ISBLANK('2025'!$P234), 0, 1), 3, if(ISBLANK('2025'!$Q234), 0, 1), 4, if(ISBLANK('2025'!$R234), 0, 1), 5, if(ISBLANK('2025'!$S234), 0, 1), 6, if(ISBLANK('2025'!$T234), 0, 1), 7, 0))), 1, "")</f>
        <v/>
      </c>
      <c r="AR236" s="1" t="str">
        <f>IF(AND(AND(AND(AR$4&gt;='2025'!$L234,AR$4&lt;='2025'!$M234), AR$4&lt;&gt;DATE(2025,7,4)), (SWITCH(weekday(AR$4), 1, 0, 2, if(ISBLANK('2025'!$P234), 0, 1), 3, if(ISBLANK('2025'!$Q234), 0, 1), 4, if(ISBLANK('2025'!$R234), 0, 1), 5, if(ISBLANK('2025'!$S234), 0, 1), 6, if(ISBLANK('2025'!$T234), 0, 1), 7, 0))), 1, "")</f>
        <v/>
      </c>
      <c r="AS236" s="1" t="str">
        <f>IF(AND(AND(AND(AS$4&gt;='2025'!$L234,AS$4&lt;='2025'!$M234), AS$4&lt;&gt;DATE(2025,7,4)), (SWITCH(weekday(AS$4), 1, 0, 2, if(ISBLANK('2025'!$P234), 0, 1), 3, if(ISBLANK('2025'!$Q234), 0, 1), 4, if(ISBLANK('2025'!$R234), 0, 1), 5, if(ISBLANK('2025'!$S234), 0, 1), 6, if(ISBLANK('2025'!$T234), 0, 1), 7, 0))), 1, "")</f>
        <v/>
      </c>
      <c r="AT236" s="1" t="str">
        <f>IF(AND(AND(AND(AT$4&gt;='2025'!$L234,AT$4&lt;='2025'!$M234), AT$4&lt;&gt;DATE(2025,7,4)), (SWITCH(weekday(AT$4), 1, 0, 2, if(ISBLANK('2025'!$P234), 0, 1), 3, if(ISBLANK('2025'!$Q234), 0, 1), 4, if(ISBLANK('2025'!$R234), 0, 1), 5, if(ISBLANK('2025'!$S234), 0, 1), 6, if(ISBLANK('2025'!$T234), 0, 1), 7, 0))), 1, "")</f>
        <v/>
      </c>
      <c r="AU236" s="1" t="str">
        <f>IF(AND(AND(AND(AU$4&gt;='2025'!$L234,AU$4&lt;='2025'!$M234), AU$4&lt;&gt;DATE(2025,7,4)), (SWITCH(weekday(AU$4), 1, 0, 2, if(ISBLANK('2025'!$P234), 0, 1), 3, if(ISBLANK('2025'!$Q234), 0, 1), 4, if(ISBLANK('2025'!$R234), 0, 1), 5, if(ISBLANK('2025'!$S234), 0, 1), 6, if(ISBLANK('2025'!$T234), 0, 1), 7, 0))), 1, "")</f>
        <v/>
      </c>
      <c r="AV236" s="1" t="str">
        <f>IF(AND(AND(AND(AV$4&gt;='2025'!$L234,AV$4&lt;='2025'!$M234), AV$4&lt;&gt;DATE(2025,7,4)), (SWITCH(weekday(AV$4), 1, 0, 2, if(ISBLANK('2025'!$P234), 0, 1), 3, if(ISBLANK('2025'!$Q234), 0, 1), 4, if(ISBLANK('2025'!$R234), 0, 1), 5, if(ISBLANK('2025'!$S234), 0, 1), 6, if(ISBLANK('2025'!$T234), 0, 1), 7, 0))), 1, "")</f>
        <v/>
      </c>
      <c r="AW236" s="1" t="str">
        <f>IF(AND(AND(AND(AW$4&gt;='2025'!$L234,AW$4&lt;='2025'!$M234), AW$4&lt;&gt;DATE(2025,7,4)), (SWITCH(weekday(AW$4), 1, 0, 2, if(ISBLANK('2025'!$P234), 0, 1), 3, if(ISBLANK('2025'!$Q234), 0, 1), 4, if(ISBLANK('2025'!$R234), 0, 1), 5, if(ISBLANK('2025'!$S234), 0, 1), 6, if(ISBLANK('2025'!$T234), 0, 1), 7, 0))), 1, "")</f>
        <v/>
      </c>
      <c r="AX236" s="1" t="str">
        <f>IF(AND(AND(AND(AX$4&gt;='2025'!$L234,AX$4&lt;='2025'!$M234), AX$4&lt;&gt;DATE(2025,7,4)), (SWITCH(weekday(AX$4), 1, 0, 2, if(ISBLANK('2025'!$P234), 0, 1), 3, if(ISBLANK('2025'!$Q234), 0, 1), 4, if(ISBLANK('2025'!$R234), 0, 1), 5, if(ISBLANK('2025'!$S234), 0, 1), 6, if(ISBLANK('2025'!$T234), 0, 1), 7, 0))), 1, "")</f>
        <v/>
      </c>
      <c r="AY236" s="1" t="str">
        <f>IF(AND(AND(AND(AY$4&gt;='2025'!$L234,AY$4&lt;='2025'!$M234), AY$4&lt;&gt;DATE(2025,7,4)), (SWITCH(weekday(AY$4), 1, 0, 2, if(ISBLANK('2025'!$P234), 0, 1), 3, if(ISBLANK('2025'!$Q234), 0, 1), 4, if(ISBLANK('2025'!$R234), 0, 1), 5, if(ISBLANK('2025'!$S234), 0, 1), 6, if(ISBLANK('2025'!$T234), 0, 1), 7, 0))), 1, "")</f>
        <v/>
      </c>
      <c r="AZ236" s="1" t="str">
        <f>IF(AND(AND(AND(AZ$4&gt;='2025'!$L234,AZ$4&lt;='2025'!$M234), AZ$4&lt;&gt;DATE(2025,7,4)), (SWITCH(weekday(AZ$4), 1, 0, 2, if(ISBLANK('2025'!$P234), 0, 1), 3, if(ISBLANK('2025'!$Q234), 0, 1), 4, if(ISBLANK('2025'!$R234), 0, 1), 5, if(ISBLANK('2025'!$S234), 0, 1), 6, if(ISBLANK('2025'!$T234), 0, 1), 7, 0))), 1, "")</f>
        <v/>
      </c>
      <c r="BA236" s="1" t="str">
        <f>IF(AND(AND(AND(BA$4&gt;='2025'!$L234,BA$4&lt;='2025'!$M234), BA$4&lt;&gt;DATE(2025,7,4)), (SWITCH(weekday(BA$4), 1, 0, 2, if(ISBLANK('2025'!$P234), 0, 1), 3, if(ISBLANK('2025'!$Q234), 0, 1), 4, if(ISBLANK('2025'!$R234), 0, 1), 5, if(ISBLANK('2025'!$S234), 0, 1), 6, if(ISBLANK('2025'!$T234), 0, 1), 7, 0))), 1, "")</f>
        <v/>
      </c>
      <c r="BB236" s="1" t="str">
        <f>IF(AND(AND(AND(BB$4&gt;='2025'!$L234,BB$4&lt;='2025'!$M234), BB$4&lt;&gt;DATE(2025,7,4)), (SWITCH(weekday(BB$4), 1, 0, 2, if(ISBLANK('2025'!$P234), 0, 1), 3, if(ISBLANK('2025'!$Q234), 0, 1), 4, if(ISBLANK('2025'!$R234), 0, 1), 5, if(ISBLANK('2025'!$S234), 0, 1), 6, if(ISBLANK('2025'!$T234), 0, 1), 7, 0))), 1, "")</f>
        <v/>
      </c>
      <c r="BC236" s="1" t="str">
        <f>IF(AND(AND(AND(BC$4&gt;='2025'!$L234,BC$4&lt;='2025'!$M234), BC$4&lt;&gt;DATE(2025,7,4)), (SWITCH(weekday(BC$4), 1, 0, 2, if(ISBLANK('2025'!$P234), 0, 1), 3, if(ISBLANK('2025'!$Q234), 0, 1), 4, if(ISBLANK('2025'!$R234), 0, 1), 5, if(ISBLANK('2025'!$S234), 0, 1), 6, if(ISBLANK('2025'!$T234), 0, 1), 7, 0))), 1, "")</f>
        <v/>
      </c>
      <c r="BD236" s="1" t="str">
        <f>IF(AND(AND(AND(BD$4&gt;='2025'!$L234,BD$4&lt;='2025'!$M234), BD$4&lt;&gt;DATE(2025,7,4)), (SWITCH(weekday(BD$4), 1, 0, 2, if(ISBLANK('2025'!$P234), 0, 1), 3, if(ISBLANK('2025'!$Q234), 0, 1), 4, if(ISBLANK('2025'!$R234), 0, 1), 5, if(ISBLANK('2025'!$S234), 0, 1), 6, if(ISBLANK('2025'!$T234), 0, 1), 7, 0))), 1, "")</f>
        <v/>
      </c>
      <c r="BE236" s="1" t="str">
        <f>IF(AND(AND(AND(BE$4&gt;='2025'!$L234,BE$4&lt;='2025'!$M234), BE$4&lt;&gt;DATE(2025,7,4)), (SWITCH(weekday(BE$4), 1, 0, 2, if(ISBLANK('2025'!$P234), 0, 1), 3, if(ISBLANK('2025'!$Q234), 0, 1), 4, if(ISBLANK('2025'!$R234), 0, 1), 5, if(ISBLANK('2025'!$S234), 0, 1), 6, if(ISBLANK('2025'!$T234), 0, 1), 7, 0))), 1, "")</f>
        <v/>
      </c>
      <c r="BF236" s="1" t="str">
        <f>IF(AND(AND(AND(BF$4&gt;='2025'!$L234,BF$4&lt;='2025'!$M234), BF$4&lt;&gt;DATE(2025,7,4)), (SWITCH(weekday(BF$4), 1, 0, 2, if(ISBLANK('2025'!$P234), 0, 1), 3, if(ISBLANK('2025'!$Q234), 0, 1), 4, if(ISBLANK('2025'!$R234), 0, 1), 5, if(ISBLANK('2025'!$S234), 0, 1), 6, if(ISBLANK('2025'!$T234), 0, 1), 7, 0))), 1, "")</f>
        <v/>
      </c>
      <c r="BG236" s="1"/>
      <c r="BH236" s="1"/>
      <c r="BI236" s="1"/>
      <c r="BJ236" s="1"/>
      <c r="BK236" s="1"/>
      <c r="BL236" s="1"/>
    </row>
    <row r="237">
      <c r="A237" s="1">
        <f t="shared" si="3"/>
        <v>237</v>
      </c>
      <c r="B237" s="1" t="str">
        <f>'2025'!D201</f>
        <v>, </v>
      </c>
      <c r="C237" s="1" t="str">
        <f>'2025'!H201</f>
        <v/>
      </c>
      <c r="D237" s="1" t="str">
        <f>IF(AND(AND(AND(D$4&gt;='2025'!$L235,D$4&lt;='2025'!$M235), D$4&lt;&gt;DATE(2025,7,4)), (SWITCH(weekday(D$4), 1, 0, 2, if(ISBLANK('2025'!$P235), 0, 1), 3, if(ISBLANK('2025'!$Q235), 0, 1), 4, if(ISBLANK('2025'!$R235), 0, 1), 5, if(ISBLANK('2025'!$S235), 0, 1), 6, if(ISBLANK('2025'!$T235), 0, 1), 7, 0))), 1, "")</f>
        <v/>
      </c>
      <c r="E237" s="1" t="str">
        <f>IF(AND(AND(AND(E$4&gt;='2025'!$L235,E$4&lt;='2025'!$M235), E$4&lt;&gt;DATE(2025,7,4)), (SWITCH(weekday(E$4), 1, 0, 2, if(ISBLANK('2025'!$P235), 0, 1), 3, if(ISBLANK('2025'!$Q235), 0, 1), 4, if(ISBLANK('2025'!$R235), 0, 1), 5, if(ISBLANK('2025'!$S235), 0, 1), 6, if(ISBLANK('2025'!$T235), 0, 1), 7, 0))), 1, "")</f>
        <v/>
      </c>
      <c r="F237" s="1" t="str">
        <f>IF(AND(AND(AND(F$4&gt;='2025'!$L235,F$4&lt;='2025'!$M235), F$4&lt;&gt;DATE(2025,7,4)), (SWITCH(weekday(F$4), 1, 0, 2, if(ISBLANK('2025'!$P235), 0, 1), 3, if(ISBLANK('2025'!$Q235), 0, 1), 4, if(ISBLANK('2025'!$R235), 0, 1), 5, if(ISBLANK('2025'!$S235), 0, 1), 6, if(ISBLANK('2025'!$T235), 0, 1), 7, 0))), 1, "")</f>
        <v/>
      </c>
      <c r="G237" s="1" t="str">
        <f>IF(AND(AND(AND(G$4&gt;='2025'!$L235,G$4&lt;='2025'!$M235), G$4&lt;&gt;DATE(2025,7,4)), (SWITCH(weekday(G$4), 1, 0, 2, if(ISBLANK('2025'!$P235), 0, 1), 3, if(ISBLANK('2025'!$Q235), 0, 1), 4, if(ISBLANK('2025'!$R235), 0, 1), 5, if(ISBLANK('2025'!$S235), 0, 1), 6, if(ISBLANK('2025'!$T235), 0, 1), 7, 0))), 1, "")</f>
        <v/>
      </c>
      <c r="H237" s="1" t="str">
        <f>IF(AND(AND(AND(H$4&gt;='2025'!$L235,H$4&lt;='2025'!$M235), H$4&lt;&gt;DATE(2025,7,4)), (SWITCH(weekday(H$4), 1, 0, 2, if(ISBLANK('2025'!$P235), 0, 1), 3, if(ISBLANK('2025'!$Q235), 0, 1), 4, if(ISBLANK('2025'!$R235), 0, 1), 5, if(ISBLANK('2025'!$S235), 0, 1), 6, if(ISBLANK('2025'!$T235), 0, 1), 7, 0))), 1, "")</f>
        <v/>
      </c>
      <c r="I237" s="1" t="str">
        <f>IF(AND(AND(AND(I$4&gt;='2025'!$L235,I$4&lt;='2025'!$M235), I$4&lt;&gt;DATE(2025,7,4)), (SWITCH(weekday(I$4), 1, 0, 2, if(ISBLANK('2025'!$P235), 0, 1), 3, if(ISBLANK('2025'!$Q235), 0, 1), 4, if(ISBLANK('2025'!$R235), 0, 1), 5, if(ISBLANK('2025'!$S235), 0, 1), 6, if(ISBLANK('2025'!$T235), 0, 1), 7, 0))), 1, "")</f>
        <v/>
      </c>
      <c r="J237" s="1" t="str">
        <f>IF(AND(AND(AND(J$4&gt;='2025'!$L235,J$4&lt;='2025'!$M235), J$4&lt;&gt;DATE(2025,7,4)), (SWITCH(weekday(J$4), 1, 0, 2, if(ISBLANK('2025'!$P235), 0, 1), 3, if(ISBLANK('2025'!$Q235), 0, 1), 4, if(ISBLANK('2025'!$R235), 0, 1), 5, if(ISBLANK('2025'!$S235), 0, 1), 6, if(ISBLANK('2025'!$T235), 0, 1), 7, 0))), 1, "")</f>
        <v/>
      </c>
      <c r="K237" s="1" t="str">
        <f>IF(AND(AND(AND(K$4&gt;='2025'!$L235,K$4&lt;='2025'!$M235), K$4&lt;&gt;DATE(2025,7,4)), (SWITCH(weekday(K$4), 1, 0, 2, if(ISBLANK('2025'!$P235), 0, 1), 3, if(ISBLANK('2025'!$Q235), 0, 1), 4, if(ISBLANK('2025'!$R235), 0, 1), 5, if(ISBLANK('2025'!$S235), 0, 1), 6, if(ISBLANK('2025'!$T235), 0, 1), 7, 0))), 1, "")</f>
        <v/>
      </c>
      <c r="L237" s="1" t="str">
        <f>IF(AND(AND(AND(L$4&gt;='2025'!$L235,L$4&lt;='2025'!$M235), L$4&lt;&gt;DATE(2025,7,4)), (SWITCH(weekday(L$4), 1, 0, 2, if(ISBLANK('2025'!$P235), 0, 1), 3, if(ISBLANK('2025'!$Q235), 0, 1), 4, if(ISBLANK('2025'!$R235), 0, 1), 5, if(ISBLANK('2025'!$S235), 0, 1), 6, if(ISBLANK('2025'!$T235), 0, 1), 7, 0))), 1, "")</f>
        <v/>
      </c>
      <c r="M237" s="1" t="str">
        <f>IF(AND(AND(AND(M$4&gt;='2025'!$L235,M$4&lt;='2025'!$M235), M$4&lt;&gt;DATE(2025,7,4)), (SWITCH(weekday(M$4), 1, 0, 2, if(ISBLANK('2025'!$P235), 0, 1), 3, if(ISBLANK('2025'!$Q235), 0, 1), 4, if(ISBLANK('2025'!$R235), 0, 1), 5, if(ISBLANK('2025'!$S235), 0, 1), 6, if(ISBLANK('2025'!$T235), 0, 1), 7, 0))), 1, "")</f>
        <v/>
      </c>
      <c r="N237" s="1" t="str">
        <f>IF(AND(AND(AND(N$4&gt;='2025'!$L235,N$4&lt;='2025'!$M235), N$4&lt;&gt;DATE(2025,7,4)), (SWITCH(weekday(N$4), 1, 0, 2, if(ISBLANK('2025'!$P235), 0, 1), 3, if(ISBLANK('2025'!$Q235), 0, 1), 4, if(ISBLANK('2025'!$R235), 0, 1), 5, if(ISBLANK('2025'!$S235), 0, 1), 6, if(ISBLANK('2025'!$T235), 0, 1), 7, 0))), 1, "")</f>
        <v/>
      </c>
      <c r="O237" s="1" t="str">
        <f>IF(AND(AND(AND(O$4&gt;='2025'!$L235,O$4&lt;='2025'!$M235), O$4&lt;&gt;DATE(2025,7,4)), (SWITCH(weekday(O$4), 1, 0, 2, if(ISBLANK('2025'!$P235), 0, 1), 3, if(ISBLANK('2025'!$Q235), 0, 1), 4, if(ISBLANK('2025'!$R235), 0, 1), 5, if(ISBLANK('2025'!$S235), 0, 1), 6, if(ISBLANK('2025'!$T235), 0, 1), 7, 0))), 1, "")</f>
        <v/>
      </c>
      <c r="P237" s="1" t="str">
        <f>IF(AND(AND(AND(P$4&gt;='2025'!$L235,P$4&lt;='2025'!$M235), P$4&lt;&gt;DATE(2025,7,4)), (SWITCH(weekday(P$4), 1, 0, 2, if(ISBLANK('2025'!$P235), 0, 1), 3, if(ISBLANK('2025'!$Q235), 0, 1), 4, if(ISBLANK('2025'!$R235), 0, 1), 5, if(ISBLANK('2025'!$S235), 0, 1), 6, if(ISBLANK('2025'!$T235), 0, 1), 7, 0))), 1, "")</f>
        <v/>
      </c>
      <c r="Q237" s="1" t="str">
        <f>IF(AND(AND(AND(Q$4&gt;='2025'!$L235,Q$4&lt;='2025'!$M235), Q$4&lt;&gt;DATE(2025,7,4)), (SWITCH(weekday(Q$4), 1, 0, 2, if(ISBLANK('2025'!$P235), 0, 1), 3, if(ISBLANK('2025'!$Q235), 0, 1), 4, if(ISBLANK('2025'!$R235), 0, 1), 5, if(ISBLANK('2025'!$S235), 0, 1), 6, if(ISBLANK('2025'!$T235), 0, 1), 7, 0))), 1, "")</f>
        <v/>
      </c>
      <c r="R237" s="1" t="str">
        <f>IF(AND(AND(AND(R$4&gt;='2025'!$L235,R$4&lt;='2025'!$M235), R$4&lt;&gt;DATE(2025,7,4)), (SWITCH(weekday(R$4), 1, 0, 2, if(ISBLANK('2025'!$P235), 0, 1), 3, if(ISBLANK('2025'!$Q235), 0, 1), 4, if(ISBLANK('2025'!$R235), 0, 1), 5, if(ISBLANK('2025'!$S235), 0, 1), 6, if(ISBLANK('2025'!$T235), 0, 1), 7, 0))), 1, "")</f>
        <v/>
      </c>
      <c r="S237" s="1" t="str">
        <f>IF(AND(AND(AND(S$4&gt;='2025'!$L235,S$4&lt;='2025'!$M235), S$4&lt;&gt;DATE(2025,7,4)), (SWITCH(weekday(S$4), 1, 0, 2, if(ISBLANK('2025'!$P235), 0, 1), 3, if(ISBLANK('2025'!$Q235), 0, 1), 4, if(ISBLANK('2025'!$R235), 0, 1), 5, if(ISBLANK('2025'!$S235), 0, 1), 6, if(ISBLANK('2025'!$T235), 0, 1), 7, 0))), 1, "")</f>
        <v/>
      </c>
      <c r="T237" s="1" t="str">
        <f>IF(AND(AND(AND(T$4&gt;='2025'!$L235,T$4&lt;='2025'!$M235), T$4&lt;&gt;DATE(2025,7,4)), (SWITCH(weekday(T$4), 1, 0, 2, if(ISBLANK('2025'!$P235), 0, 1), 3, if(ISBLANK('2025'!$Q235), 0, 1), 4, if(ISBLANK('2025'!$R235), 0, 1), 5, if(ISBLANK('2025'!$S235), 0, 1), 6, if(ISBLANK('2025'!$T235), 0, 1), 7, 0))), 1, "")</f>
        <v/>
      </c>
      <c r="U237" s="1" t="str">
        <f>IF(AND(AND(AND(U$4&gt;='2025'!$L235,U$4&lt;='2025'!$M235), U$4&lt;&gt;DATE(2025,7,4)), (SWITCH(weekday(U$4), 1, 0, 2, if(ISBLANK('2025'!$P235), 0, 1), 3, if(ISBLANK('2025'!$Q235), 0, 1), 4, if(ISBLANK('2025'!$R235), 0, 1), 5, if(ISBLANK('2025'!$S235), 0, 1), 6, if(ISBLANK('2025'!$T235), 0, 1), 7, 0))), 1, "")</f>
        <v/>
      </c>
      <c r="V237" s="1" t="str">
        <f>IF(AND(AND(AND(V$4&gt;='2025'!$L235,V$4&lt;='2025'!$M235), V$4&lt;&gt;DATE(2025,7,4)), (SWITCH(weekday(V$4), 1, 0, 2, if(ISBLANK('2025'!$P235), 0, 1), 3, if(ISBLANK('2025'!$Q235), 0, 1), 4, if(ISBLANK('2025'!$R235), 0, 1), 5, if(ISBLANK('2025'!$S235), 0, 1), 6, if(ISBLANK('2025'!$T235), 0, 1), 7, 0))), 1, "")</f>
        <v/>
      </c>
      <c r="W237" s="1" t="str">
        <f>IF(AND(AND(AND(W$4&gt;='2025'!$L235,W$4&lt;='2025'!$M235), W$4&lt;&gt;DATE(2025,7,4)), (SWITCH(weekday(W$4), 1, 0, 2, if(ISBLANK('2025'!$P235), 0, 1), 3, if(ISBLANK('2025'!$Q235), 0, 1), 4, if(ISBLANK('2025'!$R235), 0, 1), 5, if(ISBLANK('2025'!$S235), 0, 1), 6, if(ISBLANK('2025'!$T235), 0, 1), 7, 0))), 1, "")</f>
        <v/>
      </c>
      <c r="X237" s="1" t="str">
        <f>IF(AND(AND(AND(X$4&gt;='2025'!$L235,X$4&lt;='2025'!$M235), X$4&lt;&gt;DATE(2025,7,4)), (SWITCH(weekday(X$4), 1, 0, 2, if(ISBLANK('2025'!$P235), 0, 1), 3, if(ISBLANK('2025'!$Q235), 0, 1), 4, if(ISBLANK('2025'!$R235), 0, 1), 5, if(ISBLANK('2025'!$S235), 0, 1), 6, if(ISBLANK('2025'!$T235), 0, 1), 7, 0))), 1, "")</f>
        <v/>
      </c>
      <c r="Y237" s="1" t="str">
        <f>IF(AND(AND(AND(Y$4&gt;='2025'!$L235,Y$4&lt;='2025'!$M235), Y$4&lt;&gt;DATE(2025,7,4)), (SWITCH(weekday(Y$4), 1, 0, 2, if(ISBLANK('2025'!$P235), 0, 1), 3, if(ISBLANK('2025'!$Q235), 0, 1), 4, if(ISBLANK('2025'!$R235), 0, 1), 5, if(ISBLANK('2025'!$S235), 0, 1), 6, if(ISBLANK('2025'!$T235), 0, 1), 7, 0))), 1, "")</f>
        <v/>
      </c>
      <c r="Z237" s="1" t="str">
        <f>IF(AND(AND(AND(Z$4&gt;='2025'!$L235,Z$4&lt;='2025'!$M235), Z$4&lt;&gt;DATE(2025,7,4)), (SWITCH(weekday(Z$4), 1, 0, 2, if(ISBLANK('2025'!$P235), 0, 1), 3, if(ISBLANK('2025'!$Q235), 0, 1), 4, if(ISBLANK('2025'!$R235), 0, 1), 5, if(ISBLANK('2025'!$S235), 0, 1), 6, if(ISBLANK('2025'!$T235), 0, 1), 7, 0))), 1, "")</f>
        <v/>
      </c>
      <c r="AA237" s="1" t="str">
        <f>IF(AND(AND(AND(AA$4&gt;='2025'!$L235,AA$4&lt;='2025'!$M235), AA$4&lt;&gt;DATE(2025,7,4)), (SWITCH(weekday(AA$4), 1, 0, 2, if(ISBLANK('2025'!$P235), 0, 1), 3, if(ISBLANK('2025'!$Q235), 0, 1), 4, if(ISBLANK('2025'!$R235), 0, 1), 5, if(ISBLANK('2025'!$S235), 0, 1), 6, if(ISBLANK('2025'!$T235), 0, 1), 7, 0))), 1, "")</f>
        <v/>
      </c>
      <c r="AB237" s="1" t="str">
        <f>IF(AND(AND(AND(AB$4&gt;='2025'!$L235,AB$4&lt;='2025'!$M235), AB$4&lt;&gt;DATE(2025,7,4)), (SWITCH(weekday(AB$4), 1, 0, 2, if(ISBLANK('2025'!$P235), 0, 1), 3, if(ISBLANK('2025'!$Q235), 0, 1), 4, if(ISBLANK('2025'!$R235), 0, 1), 5, if(ISBLANK('2025'!$S235), 0, 1), 6, if(ISBLANK('2025'!$T235), 0, 1), 7, 0))), 1, "")</f>
        <v/>
      </c>
      <c r="AC237" s="1" t="str">
        <f>IF(AND(AND(AND(AC$4&gt;='2025'!$L235,AC$4&lt;='2025'!$M235), AC$4&lt;&gt;DATE(2025,7,4)), (SWITCH(weekday(AC$4), 1, 0, 2, if(ISBLANK('2025'!$P235), 0, 1), 3, if(ISBLANK('2025'!$Q235), 0, 1), 4, if(ISBLANK('2025'!$R235), 0, 1), 5, if(ISBLANK('2025'!$S235), 0, 1), 6, if(ISBLANK('2025'!$T235), 0, 1), 7, 0))), 1, "")</f>
        <v/>
      </c>
      <c r="AD237" s="1" t="str">
        <f>IF(AND(AND(AND(AD$4&gt;='2025'!$L235,AD$4&lt;='2025'!$M235), AD$4&lt;&gt;DATE(2025,7,4)), (SWITCH(weekday(AD$4), 1, 0, 2, if(ISBLANK('2025'!$P235), 0, 1), 3, if(ISBLANK('2025'!$Q235), 0, 1), 4, if(ISBLANK('2025'!$R235), 0, 1), 5, if(ISBLANK('2025'!$S235), 0, 1), 6, if(ISBLANK('2025'!$T235), 0, 1), 7, 0))), 1, "")</f>
        <v/>
      </c>
      <c r="AE237" s="1" t="str">
        <f>IF(AND(AND(AND(AE$4&gt;='2025'!$L235,AE$4&lt;='2025'!$M235), AE$4&lt;&gt;DATE(2025,7,4)), (SWITCH(weekday(AE$4), 1, 0, 2, if(ISBLANK('2025'!$P235), 0, 1), 3, if(ISBLANK('2025'!$Q235), 0, 1), 4, if(ISBLANK('2025'!$R235), 0, 1), 5, if(ISBLANK('2025'!$S235), 0, 1), 6, if(ISBLANK('2025'!$T235), 0, 1), 7, 0))), 1, "")</f>
        <v/>
      </c>
      <c r="AF237" s="1" t="str">
        <f>IF(AND(AND(AND(AF$4&gt;='2025'!$L235,AF$4&lt;='2025'!$M235), AF$4&lt;&gt;DATE(2025,7,4)), (SWITCH(weekday(AF$4), 1, 0, 2, if(ISBLANK('2025'!$P235), 0, 1), 3, if(ISBLANK('2025'!$Q235), 0, 1), 4, if(ISBLANK('2025'!$R235), 0, 1), 5, if(ISBLANK('2025'!$S235), 0, 1), 6, if(ISBLANK('2025'!$T235), 0, 1), 7, 0))), 1, "")</f>
        <v/>
      </c>
      <c r="AG237" s="1" t="str">
        <f>IF(AND(AND(AND(AG$4&gt;='2025'!$L235,AG$4&lt;='2025'!$M235), AG$4&lt;&gt;DATE(2025,7,4)), (SWITCH(weekday(AG$4), 1, 0, 2, if(ISBLANK('2025'!$P235), 0, 1), 3, if(ISBLANK('2025'!$Q235), 0, 1), 4, if(ISBLANK('2025'!$R235), 0, 1), 5, if(ISBLANK('2025'!$S235), 0, 1), 6, if(ISBLANK('2025'!$T235), 0, 1), 7, 0))), 1, "")</f>
        <v/>
      </c>
      <c r="AH237" s="1" t="str">
        <f>IF(AND(AND(AND(AH$4&gt;='2025'!$L235,AH$4&lt;='2025'!$M235), AH$4&lt;&gt;DATE(2025,7,4)), (SWITCH(weekday(AH$4), 1, 0, 2, if(ISBLANK('2025'!$P235), 0, 1), 3, if(ISBLANK('2025'!$Q235), 0, 1), 4, if(ISBLANK('2025'!$R235), 0, 1), 5, if(ISBLANK('2025'!$S235), 0, 1), 6, if(ISBLANK('2025'!$T235), 0, 1), 7, 0))), 1, "")</f>
        <v/>
      </c>
      <c r="AI237" s="1" t="str">
        <f>IF(AND(AND(AND(AI$4&gt;='2025'!$L235,AI$4&lt;='2025'!$M235), AI$4&lt;&gt;DATE(2025,7,4)), (SWITCH(weekday(AI$4), 1, 0, 2, if(ISBLANK('2025'!$P235), 0, 1), 3, if(ISBLANK('2025'!$Q235), 0, 1), 4, if(ISBLANK('2025'!$R235), 0, 1), 5, if(ISBLANK('2025'!$S235), 0, 1), 6, if(ISBLANK('2025'!$T235), 0, 1), 7, 0))), 1, "")</f>
        <v/>
      </c>
      <c r="AJ237" s="1" t="str">
        <f>IF(AND(AND(AND(AJ$4&gt;='2025'!$L235,AJ$4&lt;='2025'!$M235), AJ$4&lt;&gt;DATE(2025,7,4)), (SWITCH(weekday(AJ$4), 1, 0, 2, if(ISBLANK('2025'!$P235), 0, 1), 3, if(ISBLANK('2025'!$Q235), 0, 1), 4, if(ISBLANK('2025'!$R235), 0, 1), 5, if(ISBLANK('2025'!$S235), 0, 1), 6, if(ISBLANK('2025'!$T235), 0, 1), 7, 0))), 1, "")</f>
        <v/>
      </c>
      <c r="AK237" s="1" t="str">
        <f>IF(AND(AND(AND(AK$4&gt;='2025'!$L235,AK$4&lt;='2025'!$M235), AK$4&lt;&gt;DATE(2025,7,4)), (SWITCH(weekday(AK$4), 1, 0, 2, if(ISBLANK('2025'!$P235), 0, 1), 3, if(ISBLANK('2025'!$Q235), 0, 1), 4, if(ISBLANK('2025'!$R235), 0, 1), 5, if(ISBLANK('2025'!$S235), 0, 1), 6, if(ISBLANK('2025'!$T235), 0, 1), 7, 0))), 1, "")</f>
        <v/>
      </c>
      <c r="AL237" s="1" t="str">
        <f>IF(AND(AND(AND(AL$4&gt;='2025'!$L235,AL$4&lt;='2025'!$M235), AL$4&lt;&gt;DATE(2025,7,4)), (SWITCH(weekday(AL$4), 1, 0, 2, if(ISBLANK('2025'!$P235), 0, 1), 3, if(ISBLANK('2025'!$Q235), 0, 1), 4, if(ISBLANK('2025'!$R235), 0, 1), 5, if(ISBLANK('2025'!$S235), 0, 1), 6, if(ISBLANK('2025'!$T235), 0, 1), 7, 0))), 1, "")</f>
        <v/>
      </c>
      <c r="AM237" s="1" t="str">
        <f>IF(AND(AND(AND(AM$4&gt;='2025'!$L235,AM$4&lt;='2025'!$M235), AM$4&lt;&gt;DATE(2025,7,4)), (SWITCH(weekday(AM$4), 1, 0, 2, if(ISBLANK('2025'!$P235), 0, 1), 3, if(ISBLANK('2025'!$Q235), 0, 1), 4, if(ISBLANK('2025'!$R235), 0, 1), 5, if(ISBLANK('2025'!$S235), 0, 1), 6, if(ISBLANK('2025'!$T235), 0, 1), 7, 0))), 1, "")</f>
        <v/>
      </c>
      <c r="AN237" s="1" t="str">
        <f>IF(AND(AND(AND(AN$4&gt;='2025'!$L235,AN$4&lt;='2025'!$M235), AN$4&lt;&gt;DATE(2025,7,4)), (SWITCH(weekday(AN$4), 1, 0, 2, if(ISBLANK('2025'!$P235), 0, 1), 3, if(ISBLANK('2025'!$Q235), 0, 1), 4, if(ISBLANK('2025'!$R235), 0, 1), 5, if(ISBLANK('2025'!$S235), 0, 1), 6, if(ISBLANK('2025'!$T235), 0, 1), 7, 0))), 1, "")</f>
        <v/>
      </c>
      <c r="AO237" s="1" t="str">
        <f>IF(AND(AND(AND(AO$4&gt;='2025'!$L235,AO$4&lt;='2025'!$M235), AO$4&lt;&gt;DATE(2025,7,4)), (SWITCH(weekday(AO$4), 1, 0, 2, if(ISBLANK('2025'!$P235), 0, 1), 3, if(ISBLANK('2025'!$Q235), 0, 1), 4, if(ISBLANK('2025'!$R235), 0, 1), 5, if(ISBLANK('2025'!$S235), 0, 1), 6, if(ISBLANK('2025'!$T235), 0, 1), 7, 0))), 1, "")</f>
        <v/>
      </c>
      <c r="AP237" s="1" t="str">
        <f>IF(AND(AND(AND(AP$4&gt;='2025'!$L235,AP$4&lt;='2025'!$M235), AP$4&lt;&gt;DATE(2025,7,4)), (SWITCH(weekday(AP$4), 1, 0, 2, if(ISBLANK('2025'!$P235), 0, 1), 3, if(ISBLANK('2025'!$Q235), 0, 1), 4, if(ISBLANK('2025'!$R235), 0, 1), 5, if(ISBLANK('2025'!$S235), 0, 1), 6, if(ISBLANK('2025'!$T235), 0, 1), 7, 0))), 1, "")</f>
        <v/>
      </c>
      <c r="AQ237" s="1" t="str">
        <f>IF(AND(AND(AND(AQ$4&gt;='2025'!$L235,AQ$4&lt;='2025'!$M235), AQ$4&lt;&gt;DATE(2025,7,4)), (SWITCH(weekday(AQ$4), 1, 0, 2, if(ISBLANK('2025'!$P235), 0, 1), 3, if(ISBLANK('2025'!$Q235), 0, 1), 4, if(ISBLANK('2025'!$R235), 0, 1), 5, if(ISBLANK('2025'!$S235), 0, 1), 6, if(ISBLANK('2025'!$T235), 0, 1), 7, 0))), 1, "")</f>
        <v/>
      </c>
      <c r="AR237" s="1" t="str">
        <f>IF(AND(AND(AND(AR$4&gt;='2025'!$L235,AR$4&lt;='2025'!$M235), AR$4&lt;&gt;DATE(2025,7,4)), (SWITCH(weekday(AR$4), 1, 0, 2, if(ISBLANK('2025'!$P235), 0, 1), 3, if(ISBLANK('2025'!$Q235), 0, 1), 4, if(ISBLANK('2025'!$R235), 0, 1), 5, if(ISBLANK('2025'!$S235), 0, 1), 6, if(ISBLANK('2025'!$T235), 0, 1), 7, 0))), 1, "")</f>
        <v/>
      </c>
      <c r="AS237" s="1" t="str">
        <f>IF(AND(AND(AND(AS$4&gt;='2025'!$L235,AS$4&lt;='2025'!$M235), AS$4&lt;&gt;DATE(2025,7,4)), (SWITCH(weekday(AS$4), 1, 0, 2, if(ISBLANK('2025'!$P235), 0, 1), 3, if(ISBLANK('2025'!$Q235), 0, 1), 4, if(ISBLANK('2025'!$R235), 0, 1), 5, if(ISBLANK('2025'!$S235), 0, 1), 6, if(ISBLANK('2025'!$T235), 0, 1), 7, 0))), 1, "")</f>
        <v/>
      </c>
      <c r="AT237" s="1" t="str">
        <f>IF(AND(AND(AND(AT$4&gt;='2025'!$L235,AT$4&lt;='2025'!$M235), AT$4&lt;&gt;DATE(2025,7,4)), (SWITCH(weekday(AT$4), 1, 0, 2, if(ISBLANK('2025'!$P235), 0, 1), 3, if(ISBLANK('2025'!$Q235), 0, 1), 4, if(ISBLANK('2025'!$R235), 0, 1), 5, if(ISBLANK('2025'!$S235), 0, 1), 6, if(ISBLANK('2025'!$T235), 0, 1), 7, 0))), 1, "")</f>
        <v/>
      </c>
      <c r="AU237" s="1" t="str">
        <f>IF(AND(AND(AND(AU$4&gt;='2025'!$L235,AU$4&lt;='2025'!$M235), AU$4&lt;&gt;DATE(2025,7,4)), (SWITCH(weekday(AU$4), 1, 0, 2, if(ISBLANK('2025'!$P235), 0, 1), 3, if(ISBLANK('2025'!$Q235), 0, 1), 4, if(ISBLANK('2025'!$R235), 0, 1), 5, if(ISBLANK('2025'!$S235), 0, 1), 6, if(ISBLANK('2025'!$T235), 0, 1), 7, 0))), 1, "")</f>
        <v/>
      </c>
      <c r="AV237" s="1" t="str">
        <f>IF(AND(AND(AND(AV$4&gt;='2025'!$L235,AV$4&lt;='2025'!$M235), AV$4&lt;&gt;DATE(2025,7,4)), (SWITCH(weekday(AV$4), 1, 0, 2, if(ISBLANK('2025'!$P235), 0, 1), 3, if(ISBLANK('2025'!$Q235), 0, 1), 4, if(ISBLANK('2025'!$R235), 0, 1), 5, if(ISBLANK('2025'!$S235), 0, 1), 6, if(ISBLANK('2025'!$T235), 0, 1), 7, 0))), 1, "")</f>
        <v/>
      </c>
      <c r="AW237" s="1" t="str">
        <f>IF(AND(AND(AND(AW$4&gt;='2025'!$L235,AW$4&lt;='2025'!$M235), AW$4&lt;&gt;DATE(2025,7,4)), (SWITCH(weekday(AW$4), 1, 0, 2, if(ISBLANK('2025'!$P235), 0, 1), 3, if(ISBLANK('2025'!$Q235), 0, 1), 4, if(ISBLANK('2025'!$R235), 0, 1), 5, if(ISBLANK('2025'!$S235), 0, 1), 6, if(ISBLANK('2025'!$T235), 0, 1), 7, 0))), 1, "")</f>
        <v/>
      </c>
      <c r="AX237" s="1" t="str">
        <f>IF(AND(AND(AND(AX$4&gt;='2025'!$L235,AX$4&lt;='2025'!$M235), AX$4&lt;&gt;DATE(2025,7,4)), (SWITCH(weekday(AX$4), 1, 0, 2, if(ISBLANK('2025'!$P235), 0, 1), 3, if(ISBLANK('2025'!$Q235), 0, 1), 4, if(ISBLANK('2025'!$R235), 0, 1), 5, if(ISBLANK('2025'!$S235), 0, 1), 6, if(ISBLANK('2025'!$T235), 0, 1), 7, 0))), 1, "")</f>
        <v/>
      </c>
      <c r="AY237" s="1" t="str">
        <f>IF(AND(AND(AND(AY$4&gt;='2025'!$L235,AY$4&lt;='2025'!$M235), AY$4&lt;&gt;DATE(2025,7,4)), (SWITCH(weekday(AY$4), 1, 0, 2, if(ISBLANK('2025'!$P235), 0, 1), 3, if(ISBLANK('2025'!$Q235), 0, 1), 4, if(ISBLANK('2025'!$R235), 0, 1), 5, if(ISBLANK('2025'!$S235), 0, 1), 6, if(ISBLANK('2025'!$T235), 0, 1), 7, 0))), 1, "")</f>
        <v/>
      </c>
      <c r="AZ237" s="1" t="str">
        <f>IF(AND(AND(AND(AZ$4&gt;='2025'!$L235,AZ$4&lt;='2025'!$M235), AZ$4&lt;&gt;DATE(2025,7,4)), (SWITCH(weekday(AZ$4), 1, 0, 2, if(ISBLANK('2025'!$P235), 0, 1), 3, if(ISBLANK('2025'!$Q235), 0, 1), 4, if(ISBLANK('2025'!$R235), 0, 1), 5, if(ISBLANK('2025'!$S235), 0, 1), 6, if(ISBLANK('2025'!$T235), 0, 1), 7, 0))), 1, "")</f>
        <v/>
      </c>
      <c r="BA237" s="1" t="str">
        <f>IF(AND(AND(AND(BA$4&gt;='2025'!$L235,BA$4&lt;='2025'!$M235), BA$4&lt;&gt;DATE(2025,7,4)), (SWITCH(weekday(BA$4), 1, 0, 2, if(ISBLANK('2025'!$P235), 0, 1), 3, if(ISBLANK('2025'!$Q235), 0, 1), 4, if(ISBLANK('2025'!$R235), 0, 1), 5, if(ISBLANK('2025'!$S235), 0, 1), 6, if(ISBLANK('2025'!$T235), 0, 1), 7, 0))), 1, "")</f>
        <v/>
      </c>
      <c r="BB237" s="1" t="str">
        <f>IF(AND(AND(AND(BB$4&gt;='2025'!$L235,BB$4&lt;='2025'!$M235), BB$4&lt;&gt;DATE(2025,7,4)), (SWITCH(weekday(BB$4), 1, 0, 2, if(ISBLANK('2025'!$P235), 0, 1), 3, if(ISBLANK('2025'!$Q235), 0, 1), 4, if(ISBLANK('2025'!$R235), 0, 1), 5, if(ISBLANK('2025'!$S235), 0, 1), 6, if(ISBLANK('2025'!$T235), 0, 1), 7, 0))), 1, "")</f>
        <v/>
      </c>
      <c r="BC237" s="1" t="str">
        <f>IF(AND(AND(AND(BC$4&gt;='2025'!$L235,BC$4&lt;='2025'!$M235), BC$4&lt;&gt;DATE(2025,7,4)), (SWITCH(weekday(BC$4), 1, 0, 2, if(ISBLANK('2025'!$P235), 0, 1), 3, if(ISBLANK('2025'!$Q235), 0, 1), 4, if(ISBLANK('2025'!$R235), 0, 1), 5, if(ISBLANK('2025'!$S235), 0, 1), 6, if(ISBLANK('2025'!$T235), 0, 1), 7, 0))), 1, "")</f>
        <v/>
      </c>
      <c r="BD237" s="1" t="str">
        <f>IF(AND(AND(AND(BD$4&gt;='2025'!$L235,BD$4&lt;='2025'!$M235), BD$4&lt;&gt;DATE(2025,7,4)), (SWITCH(weekday(BD$4), 1, 0, 2, if(ISBLANK('2025'!$P235), 0, 1), 3, if(ISBLANK('2025'!$Q235), 0, 1), 4, if(ISBLANK('2025'!$R235), 0, 1), 5, if(ISBLANK('2025'!$S235), 0, 1), 6, if(ISBLANK('2025'!$T235), 0, 1), 7, 0))), 1, "")</f>
        <v/>
      </c>
      <c r="BE237" s="1" t="str">
        <f>IF(AND(AND(AND(BE$4&gt;='2025'!$L235,BE$4&lt;='2025'!$M235), BE$4&lt;&gt;DATE(2025,7,4)), (SWITCH(weekday(BE$4), 1, 0, 2, if(ISBLANK('2025'!$P235), 0, 1), 3, if(ISBLANK('2025'!$Q235), 0, 1), 4, if(ISBLANK('2025'!$R235), 0, 1), 5, if(ISBLANK('2025'!$S235), 0, 1), 6, if(ISBLANK('2025'!$T235), 0, 1), 7, 0))), 1, "")</f>
        <v/>
      </c>
      <c r="BF237" s="1" t="str">
        <f>IF(AND(AND(AND(BF$4&gt;='2025'!$L235,BF$4&lt;='2025'!$M235), BF$4&lt;&gt;DATE(2025,7,4)), (SWITCH(weekday(BF$4), 1, 0, 2, if(ISBLANK('2025'!$P235), 0, 1), 3, if(ISBLANK('2025'!$Q235), 0, 1), 4, if(ISBLANK('2025'!$R235), 0, 1), 5, if(ISBLANK('2025'!$S235), 0, 1), 6, if(ISBLANK('2025'!$T235), 0, 1), 7, 0))), 1, "")</f>
        <v/>
      </c>
      <c r="BG237" s="1"/>
      <c r="BH237" s="1"/>
      <c r="BI237" s="1"/>
      <c r="BJ237" s="1"/>
      <c r="BK237" s="1"/>
      <c r="BL237" s="1"/>
    </row>
    <row r="238">
      <c r="A238" s="1">
        <f t="shared" si="3"/>
        <v>238</v>
      </c>
      <c r="B238" s="1" t="str">
        <f>'2025'!D202</f>
        <v>, </v>
      </c>
      <c r="C238" s="1" t="str">
        <f>'2025'!H202</f>
        <v/>
      </c>
      <c r="D238" s="1" t="str">
        <f>IF(AND(AND(AND(D$4&gt;='2025'!$L236,D$4&lt;='2025'!$M236), D$4&lt;&gt;DATE(2025,7,4)), (SWITCH(weekday(D$4), 1, 0, 2, if(ISBLANK('2025'!$P236), 0, 1), 3, if(ISBLANK('2025'!$Q236), 0, 1), 4, if(ISBLANK('2025'!$R236), 0, 1), 5, if(ISBLANK('2025'!$S236), 0, 1), 6, if(ISBLANK('2025'!$T236), 0, 1), 7, 0))), 1, "")</f>
        <v/>
      </c>
      <c r="E238" s="1" t="str">
        <f>IF(AND(AND(AND(E$4&gt;='2025'!$L236,E$4&lt;='2025'!$M236), E$4&lt;&gt;DATE(2025,7,4)), (SWITCH(weekday(E$4), 1, 0, 2, if(ISBLANK('2025'!$P236), 0, 1), 3, if(ISBLANK('2025'!$Q236), 0, 1), 4, if(ISBLANK('2025'!$R236), 0, 1), 5, if(ISBLANK('2025'!$S236), 0, 1), 6, if(ISBLANK('2025'!$T236), 0, 1), 7, 0))), 1, "")</f>
        <v/>
      </c>
      <c r="F238" s="1" t="str">
        <f>IF(AND(AND(AND(F$4&gt;='2025'!$L236,F$4&lt;='2025'!$M236), F$4&lt;&gt;DATE(2025,7,4)), (SWITCH(weekday(F$4), 1, 0, 2, if(ISBLANK('2025'!$P236), 0, 1), 3, if(ISBLANK('2025'!$Q236), 0, 1), 4, if(ISBLANK('2025'!$R236), 0, 1), 5, if(ISBLANK('2025'!$S236), 0, 1), 6, if(ISBLANK('2025'!$T236), 0, 1), 7, 0))), 1, "")</f>
        <v/>
      </c>
      <c r="G238" s="1" t="str">
        <f>IF(AND(AND(AND(G$4&gt;='2025'!$L236,G$4&lt;='2025'!$M236), G$4&lt;&gt;DATE(2025,7,4)), (SWITCH(weekday(G$4), 1, 0, 2, if(ISBLANK('2025'!$P236), 0, 1), 3, if(ISBLANK('2025'!$Q236), 0, 1), 4, if(ISBLANK('2025'!$R236), 0, 1), 5, if(ISBLANK('2025'!$S236), 0, 1), 6, if(ISBLANK('2025'!$T236), 0, 1), 7, 0))), 1, "")</f>
        <v/>
      </c>
      <c r="H238" s="1" t="str">
        <f>IF(AND(AND(AND(H$4&gt;='2025'!$L236,H$4&lt;='2025'!$M236), H$4&lt;&gt;DATE(2025,7,4)), (SWITCH(weekday(H$4), 1, 0, 2, if(ISBLANK('2025'!$P236), 0, 1), 3, if(ISBLANK('2025'!$Q236), 0, 1), 4, if(ISBLANK('2025'!$R236), 0, 1), 5, if(ISBLANK('2025'!$S236), 0, 1), 6, if(ISBLANK('2025'!$T236), 0, 1), 7, 0))), 1, "")</f>
        <v/>
      </c>
      <c r="I238" s="1" t="str">
        <f>IF(AND(AND(AND(I$4&gt;='2025'!$L236,I$4&lt;='2025'!$M236), I$4&lt;&gt;DATE(2025,7,4)), (SWITCH(weekday(I$4), 1, 0, 2, if(ISBLANK('2025'!$P236), 0, 1), 3, if(ISBLANK('2025'!$Q236), 0, 1), 4, if(ISBLANK('2025'!$R236), 0, 1), 5, if(ISBLANK('2025'!$S236), 0, 1), 6, if(ISBLANK('2025'!$T236), 0, 1), 7, 0))), 1, "")</f>
        <v/>
      </c>
      <c r="J238" s="1" t="str">
        <f>IF(AND(AND(AND(J$4&gt;='2025'!$L236,J$4&lt;='2025'!$M236), J$4&lt;&gt;DATE(2025,7,4)), (SWITCH(weekday(J$4), 1, 0, 2, if(ISBLANK('2025'!$P236), 0, 1), 3, if(ISBLANK('2025'!$Q236), 0, 1), 4, if(ISBLANK('2025'!$R236), 0, 1), 5, if(ISBLANK('2025'!$S236), 0, 1), 6, if(ISBLANK('2025'!$T236), 0, 1), 7, 0))), 1, "")</f>
        <v/>
      </c>
      <c r="K238" s="1" t="str">
        <f>IF(AND(AND(AND(K$4&gt;='2025'!$L236,K$4&lt;='2025'!$M236), K$4&lt;&gt;DATE(2025,7,4)), (SWITCH(weekday(K$4), 1, 0, 2, if(ISBLANK('2025'!$P236), 0, 1), 3, if(ISBLANK('2025'!$Q236), 0, 1), 4, if(ISBLANK('2025'!$R236), 0, 1), 5, if(ISBLANK('2025'!$S236), 0, 1), 6, if(ISBLANK('2025'!$T236), 0, 1), 7, 0))), 1, "")</f>
        <v/>
      </c>
      <c r="L238" s="1" t="str">
        <f>IF(AND(AND(AND(L$4&gt;='2025'!$L236,L$4&lt;='2025'!$M236), L$4&lt;&gt;DATE(2025,7,4)), (SWITCH(weekday(L$4), 1, 0, 2, if(ISBLANK('2025'!$P236), 0, 1), 3, if(ISBLANK('2025'!$Q236), 0, 1), 4, if(ISBLANK('2025'!$R236), 0, 1), 5, if(ISBLANK('2025'!$S236), 0, 1), 6, if(ISBLANK('2025'!$T236), 0, 1), 7, 0))), 1, "")</f>
        <v/>
      </c>
      <c r="M238" s="1" t="str">
        <f>IF(AND(AND(AND(M$4&gt;='2025'!$L236,M$4&lt;='2025'!$M236), M$4&lt;&gt;DATE(2025,7,4)), (SWITCH(weekday(M$4), 1, 0, 2, if(ISBLANK('2025'!$P236), 0, 1), 3, if(ISBLANK('2025'!$Q236), 0, 1), 4, if(ISBLANK('2025'!$R236), 0, 1), 5, if(ISBLANK('2025'!$S236), 0, 1), 6, if(ISBLANK('2025'!$T236), 0, 1), 7, 0))), 1, "")</f>
        <v/>
      </c>
      <c r="N238" s="1" t="str">
        <f>IF(AND(AND(AND(N$4&gt;='2025'!$L236,N$4&lt;='2025'!$M236), N$4&lt;&gt;DATE(2025,7,4)), (SWITCH(weekday(N$4), 1, 0, 2, if(ISBLANK('2025'!$P236), 0, 1), 3, if(ISBLANK('2025'!$Q236), 0, 1), 4, if(ISBLANK('2025'!$R236), 0, 1), 5, if(ISBLANK('2025'!$S236), 0, 1), 6, if(ISBLANK('2025'!$T236), 0, 1), 7, 0))), 1, "")</f>
        <v/>
      </c>
      <c r="O238" s="1" t="str">
        <f>IF(AND(AND(AND(O$4&gt;='2025'!$L236,O$4&lt;='2025'!$M236), O$4&lt;&gt;DATE(2025,7,4)), (SWITCH(weekday(O$4), 1, 0, 2, if(ISBLANK('2025'!$P236), 0, 1), 3, if(ISBLANK('2025'!$Q236), 0, 1), 4, if(ISBLANK('2025'!$R236), 0, 1), 5, if(ISBLANK('2025'!$S236), 0, 1), 6, if(ISBLANK('2025'!$T236), 0, 1), 7, 0))), 1, "")</f>
        <v/>
      </c>
      <c r="P238" s="1" t="str">
        <f>IF(AND(AND(AND(P$4&gt;='2025'!$L236,P$4&lt;='2025'!$M236), P$4&lt;&gt;DATE(2025,7,4)), (SWITCH(weekday(P$4), 1, 0, 2, if(ISBLANK('2025'!$P236), 0, 1), 3, if(ISBLANK('2025'!$Q236), 0, 1), 4, if(ISBLANK('2025'!$R236), 0, 1), 5, if(ISBLANK('2025'!$S236), 0, 1), 6, if(ISBLANK('2025'!$T236), 0, 1), 7, 0))), 1, "")</f>
        <v/>
      </c>
      <c r="Q238" s="1" t="str">
        <f>IF(AND(AND(AND(Q$4&gt;='2025'!$L236,Q$4&lt;='2025'!$M236), Q$4&lt;&gt;DATE(2025,7,4)), (SWITCH(weekday(Q$4), 1, 0, 2, if(ISBLANK('2025'!$P236), 0, 1), 3, if(ISBLANK('2025'!$Q236), 0, 1), 4, if(ISBLANK('2025'!$R236), 0, 1), 5, if(ISBLANK('2025'!$S236), 0, 1), 6, if(ISBLANK('2025'!$T236), 0, 1), 7, 0))), 1, "")</f>
        <v/>
      </c>
      <c r="R238" s="1" t="str">
        <f>IF(AND(AND(AND(R$4&gt;='2025'!$L236,R$4&lt;='2025'!$M236), R$4&lt;&gt;DATE(2025,7,4)), (SWITCH(weekday(R$4), 1, 0, 2, if(ISBLANK('2025'!$P236), 0, 1), 3, if(ISBLANK('2025'!$Q236), 0, 1), 4, if(ISBLANK('2025'!$R236), 0, 1), 5, if(ISBLANK('2025'!$S236), 0, 1), 6, if(ISBLANK('2025'!$T236), 0, 1), 7, 0))), 1, "")</f>
        <v/>
      </c>
      <c r="S238" s="1" t="str">
        <f>IF(AND(AND(AND(S$4&gt;='2025'!$L236,S$4&lt;='2025'!$M236), S$4&lt;&gt;DATE(2025,7,4)), (SWITCH(weekday(S$4), 1, 0, 2, if(ISBLANK('2025'!$P236), 0, 1), 3, if(ISBLANK('2025'!$Q236), 0, 1), 4, if(ISBLANK('2025'!$R236), 0, 1), 5, if(ISBLANK('2025'!$S236), 0, 1), 6, if(ISBLANK('2025'!$T236), 0, 1), 7, 0))), 1, "")</f>
        <v/>
      </c>
      <c r="T238" s="1" t="str">
        <f>IF(AND(AND(AND(T$4&gt;='2025'!$L236,T$4&lt;='2025'!$M236), T$4&lt;&gt;DATE(2025,7,4)), (SWITCH(weekday(T$4), 1, 0, 2, if(ISBLANK('2025'!$P236), 0, 1), 3, if(ISBLANK('2025'!$Q236), 0, 1), 4, if(ISBLANK('2025'!$R236), 0, 1), 5, if(ISBLANK('2025'!$S236), 0, 1), 6, if(ISBLANK('2025'!$T236), 0, 1), 7, 0))), 1, "")</f>
        <v/>
      </c>
      <c r="U238" s="1" t="str">
        <f>IF(AND(AND(AND(U$4&gt;='2025'!$L236,U$4&lt;='2025'!$M236), U$4&lt;&gt;DATE(2025,7,4)), (SWITCH(weekday(U$4), 1, 0, 2, if(ISBLANK('2025'!$P236), 0, 1), 3, if(ISBLANK('2025'!$Q236), 0, 1), 4, if(ISBLANK('2025'!$R236), 0, 1), 5, if(ISBLANK('2025'!$S236), 0, 1), 6, if(ISBLANK('2025'!$T236), 0, 1), 7, 0))), 1, "")</f>
        <v/>
      </c>
      <c r="V238" s="1" t="str">
        <f>IF(AND(AND(AND(V$4&gt;='2025'!$L236,V$4&lt;='2025'!$M236), V$4&lt;&gt;DATE(2025,7,4)), (SWITCH(weekday(V$4), 1, 0, 2, if(ISBLANK('2025'!$P236), 0, 1), 3, if(ISBLANK('2025'!$Q236), 0, 1), 4, if(ISBLANK('2025'!$R236), 0, 1), 5, if(ISBLANK('2025'!$S236), 0, 1), 6, if(ISBLANK('2025'!$T236), 0, 1), 7, 0))), 1, "")</f>
        <v/>
      </c>
      <c r="W238" s="1" t="str">
        <f>IF(AND(AND(AND(W$4&gt;='2025'!$L236,W$4&lt;='2025'!$M236), W$4&lt;&gt;DATE(2025,7,4)), (SWITCH(weekday(W$4), 1, 0, 2, if(ISBLANK('2025'!$P236), 0, 1), 3, if(ISBLANK('2025'!$Q236), 0, 1), 4, if(ISBLANK('2025'!$R236), 0, 1), 5, if(ISBLANK('2025'!$S236), 0, 1), 6, if(ISBLANK('2025'!$T236), 0, 1), 7, 0))), 1, "")</f>
        <v/>
      </c>
      <c r="X238" s="1" t="str">
        <f>IF(AND(AND(AND(X$4&gt;='2025'!$L236,X$4&lt;='2025'!$M236), X$4&lt;&gt;DATE(2025,7,4)), (SWITCH(weekday(X$4), 1, 0, 2, if(ISBLANK('2025'!$P236), 0, 1), 3, if(ISBLANK('2025'!$Q236), 0, 1), 4, if(ISBLANK('2025'!$R236), 0, 1), 5, if(ISBLANK('2025'!$S236), 0, 1), 6, if(ISBLANK('2025'!$T236), 0, 1), 7, 0))), 1, "")</f>
        <v/>
      </c>
      <c r="Y238" s="1" t="str">
        <f>IF(AND(AND(AND(Y$4&gt;='2025'!$L236,Y$4&lt;='2025'!$M236), Y$4&lt;&gt;DATE(2025,7,4)), (SWITCH(weekday(Y$4), 1, 0, 2, if(ISBLANK('2025'!$P236), 0, 1), 3, if(ISBLANK('2025'!$Q236), 0, 1), 4, if(ISBLANK('2025'!$R236), 0, 1), 5, if(ISBLANK('2025'!$S236), 0, 1), 6, if(ISBLANK('2025'!$T236), 0, 1), 7, 0))), 1, "")</f>
        <v/>
      </c>
      <c r="Z238" s="1" t="str">
        <f>IF(AND(AND(AND(Z$4&gt;='2025'!$L236,Z$4&lt;='2025'!$M236), Z$4&lt;&gt;DATE(2025,7,4)), (SWITCH(weekday(Z$4), 1, 0, 2, if(ISBLANK('2025'!$P236), 0, 1), 3, if(ISBLANK('2025'!$Q236), 0, 1), 4, if(ISBLANK('2025'!$R236), 0, 1), 5, if(ISBLANK('2025'!$S236), 0, 1), 6, if(ISBLANK('2025'!$T236), 0, 1), 7, 0))), 1, "")</f>
        <v/>
      </c>
      <c r="AA238" s="1" t="str">
        <f>IF(AND(AND(AND(AA$4&gt;='2025'!$L236,AA$4&lt;='2025'!$M236), AA$4&lt;&gt;DATE(2025,7,4)), (SWITCH(weekday(AA$4), 1, 0, 2, if(ISBLANK('2025'!$P236), 0, 1), 3, if(ISBLANK('2025'!$Q236), 0, 1), 4, if(ISBLANK('2025'!$R236), 0, 1), 5, if(ISBLANK('2025'!$S236), 0, 1), 6, if(ISBLANK('2025'!$T236), 0, 1), 7, 0))), 1, "")</f>
        <v/>
      </c>
      <c r="AB238" s="1" t="str">
        <f>IF(AND(AND(AND(AB$4&gt;='2025'!$L236,AB$4&lt;='2025'!$M236), AB$4&lt;&gt;DATE(2025,7,4)), (SWITCH(weekday(AB$4), 1, 0, 2, if(ISBLANK('2025'!$P236), 0, 1), 3, if(ISBLANK('2025'!$Q236), 0, 1), 4, if(ISBLANK('2025'!$R236), 0, 1), 5, if(ISBLANK('2025'!$S236), 0, 1), 6, if(ISBLANK('2025'!$T236), 0, 1), 7, 0))), 1, "")</f>
        <v/>
      </c>
      <c r="AC238" s="1" t="str">
        <f>IF(AND(AND(AND(AC$4&gt;='2025'!$L236,AC$4&lt;='2025'!$M236), AC$4&lt;&gt;DATE(2025,7,4)), (SWITCH(weekday(AC$4), 1, 0, 2, if(ISBLANK('2025'!$P236), 0, 1), 3, if(ISBLANK('2025'!$Q236), 0, 1), 4, if(ISBLANK('2025'!$R236), 0, 1), 5, if(ISBLANK('2025'!$S236), 0, 1), 6, if(ISBLANK('2025'!$T236), 0, 1), 7, 0))), 1, "")</f>
        <v/>
      </c>
      <c r="AD238" s="1" t="str">
        <f>IF(AND(AND(AND(AD$4&gt;='2025'!$L236,AD$4&lt;='2025'!$M236), AD$4&lt;&gt;DATE(2025,7,4)), (SWITCH(weekday(AD$4), 1, 0, 2, if(ISBLANK('2025'!$P236), 0, 1), 3, if(ISBLANK('2025'!$Q236), 0, 1), 4, if(ISBLANK('2025'!$R236), 0, 1), 5, if(ISBLANK('2025'!$S236), 0, 1), 6, if(ISBLANK('2025'!$T236), 0, 1), 7, 0))), 1, "")</f>
        <v/>
      </c>
      <c r="AE238" s="1" t="str">
        <f>IF(AND(AND(AND(AE$4&gt;='2025'!$L236,AE$4&lt;='2025'!$M236), AE$4&lt;&gt;DATE(2025,7,4)), (SWITCH(weekday(AE$4), 1, 0, 2, if(ISBLANK('2025'!$P236), 0, 1), 3, if(ISBLANK('2025'!$Q236), 0, 1), 4, if(ISBLANK('2025'!$R236), 0, 1), 5, if(ISBLANK('2025'!$S236), 0, 1), 6, if(ISBLANK('2025'!$T236), 0, 1), 7, 0))), 1, "")</f>
        <v/>
      </c>
      <c r="AF238" s="1" t="str">
        <f>IF(AND(AND(AND(AF$4&gt;='2025'!$L236,AF$4&lt;='2025'!$M236), AF$4&lt;&gt;DATE(2025,7,4)), (SWITCH(weekday(AF$4), 1, 0, 2, if(ISBLANK('2025'!$P236), 0, 1), 3, if(ISBLANK('2025'!$Q236), 0, 1), 4, if(ISBLANK('2025'!$R236), 0, 1), 5, if(ISBLANK('2025'!$S236), 0, 1), 6, if(ISBLANK('2025'!$T236), 0, 1), 7, 0))), 1, "")</f>
        <v/>
      </c>
      <c r="AG238" s="1" t="str">
        <f>IF(AND(AND(AND(AG$4&gt;='2025'!$L236,AG$4&lt;='2025'!$M236), AG$4&lt;&gt;DATE(2025,7,4)), (SWITCH(weekday(AG$4), 1, 0, 2, if(ISBLANK('2025'!$P236), 0, 1), 3, if(ISBLANK('2025'!$Q236), 0, 1), 4, if(ISBLANK('2025'!$R236), 0, 1), 5, if(ISBLANK('2025'!$S236), 0, 1), 6, if(ISBLANK('2025'!$T236), 0, 1), 7, 0))), 1, "")</f>
        <v/>
      </c>
      <c r="AH238" s="1" t="str">
        <f>IF(AND(AND(AND(AH$4&gt;='2025'!$L236,AH$4&lt;='2025'!$M236), AH$4&lt;&gt;DATE(2025,7,4)), (SWITCH(weekday(AH$4), 1, 0, 2, if(ISBLANK('2025'!$P236), 0, 1), 3, if(ISBLANK('2025'!$Q236), 0, 1), 4, if(ISBLANK('2025'!$R236), 0, 1), 5, if(ISBLANK('2025'!$S236), 0, 1), 6, if(ISBLANK('2025'!$T236), 0, 1), 7, 0))), 1, "")</f>
        <v/>
      </c>
      <c r="AI238" s="1" t="str">
        <f>IF(AND(AND(AND(AI$4&gt;='2025'!$L236,AI$4&lt;='2025'!$M236), AI$4&lt;&gt;DATE(2025,7,4)), (SWITCH(weekday(AI$4), 1, 0, 2, if(ISBLANK('2025'!$P236), 0, 1), 3, if(ISBLANK('2025'!$Q236), 0, 1), 4, if(ISBLANK('2025'!$R236), 0, 1), 5, if(ISBLANK('2025'!$S236), 0, 1), 6, if(ISBLANK('2025'!$T236), 0, 1), 7, 0))), 1, "")</f>
        <v/>
      </c>
      <c r="AJ238" s="1" t="str">
        <f>IF(AND(AND(AND(AJ$4&gt;='2025'!$L236,AJ$4&lt;='2025'!$M236), AJ$4&lt;&gt;DATE(2025,7,4)), (SWITCH(weekday(AJ$4), 1, 0, 2, if(ISBLANK('2025'!$P236), 0, 1), 3, if(ISBLANK('2025'!$Q236), 0, 1), 4, if(ISBLANK('2025'!$R236), 0, 1), 5, if(ISBLANK('2025'!$S236), 0, 1), 6, if(ISBLANK('2025'!$T236), 0, 1), 7, 0))), 1, "")</f>
        <v/>
      </c>
      <c r="AK238" s="1" t="str">
        <f>IF(AND(AND(AND(AK$4&gt;='2025'!$L236,AK$4&lt;='2025'!$M236), AK$4&lt;&gt;DATE(2025,7,4)), (SWITCH(weekday(AK$4), 1, 0, 2, if(ISBLANK('2025'!$P236), 0, 1), 3, if(ISBLANK('2025'!$Q236), 0, 1), 4, if(ISBLANK('2025'!$R236), 0, 1), 5, if(ISBLANK('2025'!$S236), 0, 1), 6, if(ISBLANK('2025'!$T236), 0, 1), 7, 0))), 1, "")</f>
        <v/>
      </c>
      <c r="AL238" s="1" t="str">
        <f>IF(AND(AND(AND(AL$4&gt;='2025'!$L236,AL$4&lt;='2025'!$M236), AL$4&lt;&gt;DATE(2025,7,4)), (SWITCH(weekday(AL$4), 1, 0, 2, if(ISBLANK('2025'!$P236), 0, 1), 3, if(ISBLANK('2025'!$Q236), 0, 1), 4, if(ISBLANK('2025'!$R236), 0, 1), 5, if(ISBLANK('2025'!$S236), 0, 1), 6, if(ISBLANK('2025'!$T236), 0, 1), 7, 0))), 1, "")</f>
        <v/>
      </c>
      <c r="AM238" s="1" t="str">
        <f>IF(AND(AND(AND(AM$4&gt;='2025'!$L236,AM$4&lt;='2025'!$M236), AM$4&lt;&gt;DATE(2025,7,4)), (SWITCH(weekday(AM$4), 1, 0, 2, if(ISBLANK('2025'!$P236), 0, 1), 3, if(ISBLANK('2025'!$Q236), 0, 1), 4, if(ISBLANK('2025'!$R236), 0, 1), 5, if(ISBLANK('2025'!$S236), 0, 1), 6, if(ISBLANK('2025'!$T236), 0, 1), 7, 0))), 1, "")</f>
        <v/>
      </c>
      <c r="AN238" s="1" t="str">
        <f>IF(AND(AND(AND(AN$4&gt;='2025'!$L236,AN$4&lt;='2025'!$M236), AN$4&lt;&gt;DATE(2025,7,4)), (SWITCH(weekday(AN$4), 1, 0, 2, if(ISBLANK('2025'!$P236), 0, 1), 3, if(ISBLANK('2025'!$Q236), 0, 1), 4, if(ISBLANK('2025'!$R236), 0, 1), 5, if(ISBLANK('2025'!$S236), 0, 1), 6, if(ISBLANK('2025'!$T236), 0, 1), 7, 0))), 1, "")</f>
        <v/>
      </c>
      <c r="AO238" s="1" t="str">
        <f>IF(AND(AND(AND(AO$4&gt;='2025'!$L236,AO$4&lt;='2025'!$M236), AO$4&lt;&gt;DATE(2025,7,4)), (SWITCH(weekday(AO$4), 1, 0, 2, if(ISBLANK('2025'!$P236), 0, 1), 3, if(ISBLANK('2025'!$Q236), 0, 1), 4, if(ISBLANK('2025'!$R236), 0, 1), 5, if(ISBLANK('2025'!$S236), 0, 1), 6, if(ISBLANK('2025'!$T236), 0, 1), 7, 0))), 1, "")</f>
        <v/>
      </c>
      <c r="AP238" s="1" t="str">
        <f>IF(AND(AND(AND(AP$4&gt;='2025'!$L236,AP$4&lt;='2025'!$M236), AP$4&lt;&gt;DATE(2025,7,4)), (SWITCH(weekday(AP$4), 1, 0, 2, if(ISBLANK('2025'!$P236), 0, 1), 3, if(ISBLANK('2025'!$Q236), 0, 1), 4, if(ISBLANK('2025'!$R236), 0, 1), 5, if(ISBLANK('2025'!$S236), 0, 1), 6, if(ISBLANK('2025'!$T236), 0, 1), 7, 0))), 1, "")</f>
        <v/>
      </c>
      <c r="AQ238" s="1" t="str">
        <f>IF(AND(AND(AND(AQ$4&gt;='2025'!$L236,AQ$4&lt;='2025'!$M236), AQ$4&lt;&gt;DATE(2025,7,4)), (SWITCH(weekday(AQ$4), 1, 0, 2, if(ISBLANK('2025'!$P236), 0, 1), 3, if(ISBLANK('2025'!$Q236), 0, 1), 4, if(ISBLANK('2025'!$R236), 0, 1), 5, if(ISBLANK('2025'!$S236), 0, 1), 6, if(ISBLANK('2025'!$T236), 0, 1), 7, 0))), 1, "")</f>
        <v/>
      </c>
      <c r="AR238" s="1" t="str">
        <f>IF(AND(AND(AND(AR$4&gt;='2025'!$L236,AR$4&lt;='2025'!$M236), AR$4&lt;&gt;DATE(2025,7,4)), (SWITCH(weekday(AR$4), 1, 0, 2, if(ISBLANK('2025'!$P236), 0, 1), 3, if(ISBLANK('2025'!$Q236), 0, 1), 4, if(ISBLANK('2025'!$R236), 0, 1), 5, if(ISBLANK('2025'!$S236), 0, 1), 6, if(ISBLANK('2025'!$T236), 0, 1), 7, 0))), 1, "")</f>
        <v/>
      </c>
      <c r="AS238" s="1" t="str">
        <f>IF(AND(AND(AND(AS$4&gt;='2025'!$L236,AS$4&lt;='2025'!$M236), AS$4&lt;&gt;DATE(2025,7,4)), (SWITCH(weekday(AS$4), 1, 0, 2, if(ISBLANK('2025'!$P236), 0, 1), 3, if(ISBLANK('2025'!$Q236), 0, 1), 4, if(ISBLANK('2025'!$R236), 0, 1), 5, if(ISBLANK('2025'!$S236), 0, 1), 6, if(ISBLANK('2025'!$T236), 0, 1), 7, 0))), 1, "")</f>
        <v/>
      </c>
      <c r="AT238" s="1" t="str">
        <f>IF(AND(AND(AND(AT$4&gt;='2025'!$L236,AT$4&lt;='2025'!$M236), AT$4&lt;&gt;DATE(2025,7,4)), (SWITCH(weekday(AT$4), 1, 0, 2, if(ISBLANK('2025'!$P236), 0, 1), 3, if(ISBLANK('2025'!$Q236), 0, 1), 4, if(ISBLANK('2025'!$R236), 0, 1), 5, if(ISBLANK('2025'!$S236), 0, 1), 6, if(ISBLANK('2025'!$T236), 0, 1), 7, 0))), 1, "")</f>
        <v/>
      </c>
      <c r="AU238" s="1" t="str">
        <f>IF(AND(AND(AND(AU$4&gt;='2025'!$L236,AU$4&lt;='2025'!$M236), AU$4&lt;&gt;DATE(2025,7,4)), (SWITCH(weekday(AU$4), 1, 0, 2, if(ISBLANK('2025'!$P236), 0, 1), 3, if(ISBLANK('2025'!$Q236), 0, 1), 4, if(ISBLANK('2025'!$R236), 0, 1), 5, if(ISBLANK('2025'!$S236), 0, 1), 6, if(ISBLANK('2025'!$T236), 0, 1), 7, 0))), 1, "")</f>
        <v/>
      </c>
      <c r="AV238" s="1" t="str">
        <f>IF(AND(AND(AND(AV$4&gt;='2025'!$L236,AV$4&lt;='2025'!$M236), AV$4&lt;&gt;DATE(2025,7,4)), (SWITCH(weekday(AV$4), 1, 0, 2, if(ISBLANK('2025'!$P236), 0, 1), 3, if(ISBLANK('2025'!$Q236), 0, 1), 4, if(ISBLANK('2025'!$R236), 0, 1), 5, if(ISBLANK('2025'!$S236), 0, 1), 6, if(ISBLANK('2025'!$T236), 0, 1), 7, 0))), 1, "")</f>
        <v/>
      </c>
      <c r="AW238" s="1" t="str">
        <f>IF(AND(AND(AND(AW$4&gt;='2025'!$L236,AW$4&lt;='2025'!$M236), AW$4&lt;&gt;DATE(2025,7,4)), (SWITCH(weekday(AW$4), 1, 0, 2, if(ISBLANK('2025'!$P236), 0, 1), 3, if(ISBLANK('2025'!$Q236), 0, 1), 4, if(ISBLANK('2025'!$R236), 0, 1), 5, if(ISBLANK('2025'!$S236), 0, 1), 6, if(ISBLANK('2025'!$T236), 0, 1), 7, 0))), 1, "")</f>
        <v/>
      </c>
      <c r="AX238" s="1" t="str">
        <f>IF(AND(AND(AND(AX$4&gt;='2025'!$L236,AX$4&lt;='2025'!$M236), AX$4&lt;&gt;DATE(2025,7,4)), (SWITCH(weekday(AX$4), 1, 0, 2, if(ISBLANK('2025'!$P236), 0, 1), 3, if(ISBLANK('2025'!$Q236), 0, 1), 4, if(ISBLANK('2025'!$R236), 0, 1), 5, if(ISBLANK('2025'!$S236), 0, 1), 6, if(ISBLANK('2025'!$T236), 0, 1), 7, 0))), 1, "")</f>
        <v/>
      </c>
      <c r="AY238" s="1" t="str">
        <f>IF(AND(AND(AND(AY$4&gt;='2025'!$L236,AY$4&lt;='2025'!$M236), AY$4&lt;&gt;DATE(2025,7,4)), (SWITCH(weekday(AY$4), 1, 0, 2, if(ISBLANK('2025'!$P236), 0, 1), 3, if(ISBLANK('2025'!$Q236), 0, 1), 4, if(ISBLANK('2025'!$R236), 0, 1), 5, if(ISBLANK('2025'!$S236), 0, 1), 6, if(ISBLANK('2025'!$T236), 0, 1), 7, 0))), 1, "")</f>
        <v/>
      </c>
      <c r="AZ238" s="1" t="str">
        <f>IF(AND(AND(AND(AZ$4&gt;='2025'!$L236,AZ$4&lt;='2025'!$M236), AZ$4&lt;&gt;DATE(2025,7,4)), (SWITCH(weekday(AZ$4), 1, 0, 2, if(ISBLANK('2025'!$P236), 0, 1), 3, if(ISBLANK('2025'!$Q236), 0, 1), 4, if(ISBLANK('2025'!$R236), 0, 1), 5, if(ISBLANK('2025'!$S236), 0, 1), 6, if(ISBLANK('2025'!$T236), 0, 1), 7, 0))), 1, "")</f>
        <v/>
      </c>
      <c r="BA238" s="1" t="str">
        <f>IF(AND(AND(AND(BA$4&gt;='2025'!$L236,BA$4&lt;='2025'!$M236), BA$4&lt;&gt;DATE(2025,7,4)), (SWITCH(weekday(BA$4), 1, 0, 2, if(ISBLANK('2025'!$P236), 0, 1), 3, if(ISBLANK('2025'!$Q236), 0, 1), 4, if(ISBLANK('2025'!$R236), 0, 1), 5, if(ISBLANK('2025'!$S236), 0, 1), 6, if(ISBLANK('2025'!$T236), 0, 1), 7, 0))), 1, "")</f>
        <v/>
      </c>
      <c r="BB238" s="1" t="str">
        <f>IF(AND(AND(AND(BB$4&gt;='2025'!$L236,BB$4&lt;='2025'!$M236), BB$4&lt;&gt;DATE(2025,7,4)), (SWITCH(weekday(BB$4), 1, 0, 2, if(ISBLANK('2025'!$P236), 0, 1), 3, if(ISBLANK('2025'!$Q236), 0, 1), 4, if(ISBLANK('2025'!$R236), 0, 1), 5, if(ISBLANK('2025'!$S236), 0, 1), 6, if(ISBLANK('2025'!$T236), 0, 1), 7, 0))), 1, "")</f>
        <v/>
      </c>
      <c r="BC238" s="1" t="str">
        <f>IF(AND(AND(AND(BC$4&gt;='2025'!$L236,BC$4&lt;='2025'!$M236), BC$4&lt;&gt;DATE(2025,7,4)), (SWITCH(weekday(BC$4), 1, 0, 2, if(ISBLANK('2025'!$P236), 0, 1), 3, if(ISBLANK('2025'!$Q236), 0, 1), 4, if(ISBLANK('2025'!$R236), 0, 1), 5, if(ISBLANK('2025'!$S236), 0, 1), 6, if(ISBLANK('2025'!$T236), 0, 1), 7, 0))), 1, "")</f>
        <v/>
      </c>
      <c r="BD238" s="1" t="str">
        <f>IF(AND(AND(AND(BD$4&gt;='2025'!$L236,BD$4&lt;='2025'!$M236), BD$4&lt;&gt;DATE(2025,7,4)), (SWITCH(weekday(BD$4), 1, 0, 2, if(ISBLANK('2025'!$P236), 0, 1), 3, if(ISBLANK('2025'!$Q236), 0, 1), 4, if(ISBLANK('2025'!$R236), 0, 1), 5, if(ISBLANK('2025'!$S236), 0, 1), 6, if(ISBLANK('2025'!$T236), 0, 1), 7, 0))), 1, "")</f>
        <v/>
      </c>
      <c r="BE238" s="1" t="str">
        <f>IF(AND(AND(AND(BE$4&gt;='2025'!$L236,BE$4&lt;='2025'!$M236), BE$4&lt;&gt;DATE(2025,7,4)), (SWITCH(weekday(BE$4), 1, 0, 2, if(ISBLANK('2025'!$P236), 0, 1), 3, if(ISBLANK('2025'!$Q236), 0, 1), 4, if(ISBLANK('2025'!$R236), 0, 1), 5, if(ISBLANK('2025'!$S236), 0, 1), 6, if(ISBLANK('2025'!$T236), 0, 1), 7, 0))), 1, "")</f>
        <v/>
      </c>
      <c r="BF238" s="1" t="str">
        <f>IF(AND(AND(AND(BF$4&gt;='2025'!$L236,BF$4&lt;='2025'!$M236), BF$4&lt;&gt;DATE(2025,7,4)), (SWITCH(weekday(BF$4), 1, 0, 2, if(ISBLANK('2025'!$P236), 0, 1), 3, if(ISBLANK('2025'!$Q236), 0, 1), 4, if(ISBLANK('2025'!$R236), 0, 1), 5, if(ISBLANK('2025'!$S236), 0, 1), 6, if(ISBLANK('2025'!$T236), 0, 1), 7, 0))), 1, "")</f>
        <v/>
      </c>
      <c r="BG238" s="1"/>
      <c r="BH238" s="1"/>
      <c r="BI238" s="1"/>
      <c r="BJ238" s="1"/>
      <c r="BK238" s="1"/>
      <c r="BL238" s="1"/>
    </row>
    <row r="239">
      <c r="A239" s="1">
        <f t="shared" si="3"/>
        <v>239</v>
      </c>
      <c r="B239" s="1" t="str">
        <f>'2025'!D203</f>
        <v>, </v>
      </c>
      <c r="C239" s="1" t="str">
        <f>'2025'!H203</f>
        <v/>
      </c>
      <c r="D239" s="1" t="str">
        <f>IF(AND(AND(AND(D$4&gt;='2025'!$L237,D$4&lt;='2025'!$M237), D$4&lt;&gt;DATE(2025,7,4)), (SWITCH(weekday(D$4), 1, 0, 2, if(ISBLANK('2025'!$P237), 0, 1), 3, if(ISBLANK('2025'!$Q237), 0, 1), 4, if(ISBLANK('2025'!$R237), 0, 1), 5, if(ISBLANK('2025'!$S237), 0, 1), 6, if(ISBLANK('2025'!$T237), 0, 1), 7, 0))), 1, "")</f>
        <v/>
      </c>
      <c r="E239" s="1" t="str">
        <f>IF(AND(AND(AND(E$4&gt;='2025'!$L237,E$4&lt;='2025'!$M237), E$4&lt;&gt;DATE(2025,7,4)), (SWITCH(weekday(E$4), 1, 0, 2, if(ISBLANK('2025'!$P237), 0, 1), 3, if(ISBLANK('2025'!$Q237), 0, 1), 4, if(ISBLANK('2025'!$R237), 0, 1), 5, if(ISBLANK('2025'!$S237), 0, 1), 6, if(ISBLANK('2025'!$T237), 0, 1), 7, 0))), 1, "")</f>
        <v/>
      </c>
      <c r="F239" s="1" t="str">
        <f>IF(AND(AND(AND(F$4&gt;='2025'!$L237,F$4&lt;='2025'!$M237), F$4&lt;&gt;DATE(2025,7,4)), (SWITCH(weekday(F$4), 1, 0, 2, if(ISBLANK('2025'!$P237), 0, 1), 3, if(ISBLANK('2025'!$Q237), 0, 1), 4, if(ISBLANK('2025'!$R237), 0, 1), 5, if(ISBLANK('2025'!$S237), 0, 1), 6, if(ISBLANK('2025'!$T237), 0, 1), 7, 0))), 1, "")</f>
        <v/>
      </c>
      <c r="G239" s="1" t="str">
        <f>IF(AND(AND(AND(G$4&gt;='2025'!$L237,G$4&lt;='2025'!$M237), G$4&lt;&gt;DATE(2025,7,4)), (SWITCH(weekday(G$4), 1, 0, 2, if(ISBLANK('2025'!$P237), 0, 1), 3, if(ISBLANK('2025'!$Q237), 0, 1), 4, if(ISBLANK('2025'!$R237), 0, 1), 5, if(ISBLANK('2025'!$S237), 0, 1), 6, if(ISBLANK('2025'!$T237), 0, 1), 7, 0))), 1, "")</f>
        <v/>
      </c>
      <c r="H239" s="1" t="str">
        <f>IF(AND(AND(AND(H$4&gt;='2025'!$L237,H$4&lt;='2025'!$M237), H$4&lt;&gt;DATE(2025,7,4)), (SWITCH(weekday(H$4), 1, 0, 2, if(ISBLANK('2025'!$P237), 0, 1), 3, if(ISBLANK('2025'!$Q237), 0, 1), 4, if(ISBLANK('2025'!$R237), 0, 1), 5, if(ISBLANK('2025'!$S237), 0, 1), 6, if(ISBLANK('2025'!$T237), 0, 1), 7, 0))), 1, "")</f>
        <v/>
      </c>
      <c r="I239" s="1" t="str">
        <f>IF(AND(AND(AND(I$4&gt;='2025'!$L237,I$4&lt;='2025'!$M237), I$4&lt;&gt;DATE(2025,7,4)), (SWITCH(weekday(I$4), 1, 0, 2, if(ISBLANK('2025'!$P237), 0, 1), 3, if(ISBLANK('2025'!$Q237), 0, 1), 4, if(ISBLANK('2025'!$R237), 0, 1), 5, if(ISBLANK('2025'!$S237), 0, 1), 6, if(ISBLANK('2025'!$T237), 0, 1), 7, 0))), 1, "")</f>
        <v/>
      </c>
      <c r="J239" s="1" t="str">
        <f>IF(AND(AND(AND(J$4&gt;='2025'!$L237,J$4&lt;='2025'!$M237), J$4&lt;&gt;DATE(2025,7,4)), (SWITCH(weekday(J$4), 1, 0, 2, if(ISBLANK('2025'!$P237), 0, 1), 3, if(ISBLANK('2025'!$Q237), 0, 1), 4, if(ISBLANK('2025'!$R237), 0, 1), 5, if(ISBLANK('2025'!$S237), 0, 1), 6, if(ISBLANK('2025'!$T237), 0, 1), 7, 0))), 1, "")</f>
        <v/>
      </c>
      <c r="K239" s="1" t="str">
        <f>IF(AND(AND(AND(K$4&gt;='2025'!$L237,K$4&lt;='2025'!$M237), K$4&lt;&gt;DATE(2025,7,4)), (SWITCH(weekday(K$4), 1, 0, 2, if(ISBLANK('2025'!$P237), 0, 1), 3, if(ISBLANK('2025'!$Q237), 0, 1), 4, if(ISBLANK('2025'!$R237), 0, 1), 5, if(ISBLANK('2025'!$S237), 0, 1), 6, if(ISBLANK('2025'!$T237), 0, 1), 7, 0))), 1, "")</f>
        <v/>
      </c>
      <c r="L239" s="1" t="str">
        <f>IF(AND(AND(AND(L$4&gt;='2025'!$L237,L$4&lt;='2025'!$M237), L$4&lt;&gt;DATE(2025,7,4)), (SWITCH(weekday(L$4), 1, 0, 2, if(ISBLANK('2025'!$P237), 0, 1), 3, if(ISBLANK('2025'!$Q237), 0, 1), 4, if(ISBLANK('2025'!$R237), 0, 1), 5, if(ISBLANK('2025'!$S237), 0, 1), 6, if(ISBLANK('2025'!$T237), 0, 1), 7, 0))), 1, "")</f>
        <v/>
      </c>
      <c r="M239" s="1" t="str">
        <f>IF(AND(AND(AND(M$4&gt;='2025'!$L237,M$4&lt;='2025'!$M237), M$4&lt;&gt;DATE(2025,7,4)), (SWITCH(weekday(M$4), 1, 0, 2, if(ISBLANK('2025'!$P237), 0, 1), 3, if(ISBLANK('2025'!$Q237), 0, 1), 4, if(ISBLANK('2025'!$R237), 0, 1), 5, if(ISBLANK('2025'!$S237), 0, 1), 6, if(ISBLANK('2025'!$T237), 0, 1), 7, 0))), 1, "")</f>
        <v/>
      </c>
      <c r="N239" s="1" t="str">
        <f>IF(AND(AND(AND(N$4&gt;='2025'!$L237,N$4&lt;='2025'!$M237), N$4&lt;&gt;DATE(2025,7,4)), (SWITCH(weekday(N$4), 1, 0, 2, if(ISBLANK('2025'!$P237), 0, 1), 3, if(ISBLANK('2025'!$Q237), 0, 1), 4, if(ISBLANK('2025'!$R237), 0, 1), 5, if(ISBLANK('2025'!$S237), 0, 1), 6, if(ISBLANK('2025'!$T237), 0, 1), 7, 0))), 1, "")</f>
        <v/>
      </c>
      <c r="O239" s="1" t="str">
        <f>IF(AND(AND(AND(O$4&gt;='2025'!$L237,O$4&lt;='2025'!$M237), O$4&lt;&gt;DATE(2025,7,4)), (SWITCH(weekday(O$4), 1, 0, 2, if(ISBLANK('2025'!$P237), 0, 1), 3, if(ISBLANK('2025'!$Q237), 0, 1), 4, if(ISBLANK('2025'!$R237), 0, 1), 5, if(ISBLANK('2025'!$S237), 0, 1), 6, if(ISBLANK('2025'!$T237), 0, 1), 7, 0))), 1, "")</f>
        <v/>
      </c>
      <c r="P239" s="1" t="str">
        <f>IF(AND(AND(AND(P$4&gt;='2025'!$L237,P$4&lt;='2025'!$M237), P$4&lt;&gt;DATE(2025,7,4)), (SWITCH(weekday(P$4), 1, 0, 2, if(ISBLANK('2025'!$P237), 0, 1), 3, if(ISBLANK('2025'!$Q237), 0, 1), 4, if(ISBLANK('2025'!$R237), 0, 1), 5, if(ISBLANK('2025'!$S237), 0, 1), 6, if(ISBLANK('2025'!$T237), 0, 1), 7, 0))), 1, "")</f>
        <v/>
      </c>
      <c r="Q239" s="1" t="str">
        <f>IF(AND(AND(AND(Q$4&gt;='2025'!$L237,Q$4&lt;='2025'!$M237), Q$4&lt;&gt;DATE(2025,7,4)), (SWITCH(weekday(Q$4), 1, 0, 2, if(ISBLANK('2025'!$P237), 0, 1), 3, if(ISBLANK('2025'!$Q237), 0, 1), 4, if(ISBLANK('2025'!$R237), 0, 1), 5, if(ISBLANK('2025'!$S237), 0, 1), 6, if(ISBLANK('2025'!$T237), 0, 1), 7, 0))), 1, "")</f>
        <v/>
      </c>
      <c r="R239" s="1" t="str">
        <f>IF(AND(AND(AND(R$4&gt;='2025'!$L237,R$4&lt;='2025'!$M237), R$4&lt;&gt;DATE(2025,7,4)), (SWITCH(weekday(R$4), 1, 0, 2, if(ISBLANK('2025'!$P237), 0, 1), 3, if(ISBLANK('2025'!$Q237), 0, 1), 4, if(ISBLANK('2025'!$R237), 0, 1), 5, if(ISBLANK('2025'!$S237), 0, 1), 6, if(ISBLANK('2025'!$T237), 0, 1), 7, 0))), 1, "")</f>
        <v/>
      </c>
      <c r="S239" s="1" t="str">
        <f>IF(AND(AND(AND(S$4&gt;='2025'!$L237,S$4&lt;='2025'!$M237), S$4&lt;&gt;DATE(2025,7,4)), (SWITCH(weekday(S$4), 1, 0, 2, if(ISBLANK('2025'!$P237), 0, 1), 3, if(ISBLANK('2025'!$Q237), 0, 1), 4, if(ISBLANK('2025'!$R237), 0, 1), 5, if(ISBLANK('2025'!$S237), 0, 1), 6, if(ISBLANK('2025'!$T237), 0, 1), 7, 0))), 1, "")</f>
        <v/>
      </c>
      <c r="T239" s="1" t="str">
        <f>IF(AND(AND(AND(T$4&gt;='2025'!$L237,T$4&lt;='2025'!$M237), T$4&lt;&gt;DATE(2025,7,4)), (SWITCH(weekday(T$4), 1, 0, 2, if(ISBLANK('2025'!$P237), 0, 1), 3, if(ISBLANK('2025'!$Q237), 0, 1), 4, if(ISBLANK('2025'!$R237), 0, 1), 5, if(ISBLANK('2025'!$S237), 0, 1), 6, if(ISBLANK('2025'!$T237), 0, 1), 7, 0))), 1, "")</f>
        <v/>
      </c>
      <c r="U239" s="1" t="str">
        <f>IF(AND(AND(AND(U$4&gt;='2025'!$L237,U$4&lt;='2025'!$M237), U$4&lt;&gt;DATE(2025,7,4)), (SWITCH(weekday(U$4), 1, 0, 2, if(ISBLANK('2025'!$P237), 0, 1), 3, if(ISBLANK('2025'!$Q237), 0, 1), 4, if(ISBLANK('2025'!$R237), 0, 1), 5, if(ISBLANK('2025'!$S237), 0, 1), 6, if(ISBLANK('2025'!$T237), 0, 1), 7, 0))), 1, "")</f>
        <v/>
      </c>
      <c r="V239" s="1" t="str">
        <f>IF(AND(AND(AND(V$4&gt;='2025'!$L237,V$4&lt;='2025'!$M237), V$4&lt;&gt;DATE(2025,7,4)), (SWITCH(weekday(V$4), 1, 0, 2, if(ISBLANK('2025'!$P237), 0, 1), 3, if(ISBLANK('2025'!$Q237), 0, 1), 4, if(ISBLANK('2025'!$R237), 0, 1), 5, if(ISBLANK('2025'!$S237), 0, 1), 6, if(ISBLANK('2025'!$T237), 0, 1), 7, 0))), 1, "")</f>
        <v/>
      </c>
      <c r="W239" s="1" t="str">
        <f>IF(AND(AND(AND(W$4&gt;='2025'!$L237,W$4&lt;='2025'!$M237), W$4&lt;&gt;DATE(2025,7,4)), (SWITCH(weekday(W$4), 1, 0, 2, if(ISBLANK('2025'!$P237), 0, 1), 3, if(ISBLANK('2025'!$Q237), 0, 1), 4, if(ISBLANK('2025'!$R237), 0, 1), 5, if(ISBLANK('2025'!$S237), 0, 1), 6, if(ISBLANK('2025'!$T237), 0, 1), 7, 0))), 1, "")</f>
        <v/>
      </c>
      <c r="X239" s="1" t="str">
        <f>IF(AND(AND(AND(X$4&gt;='2025'!$L237,X$4&lt;='2025'!$M237), X$4&lt;&gt;DATE(2025,7,4)), (SWITCH(weekday(X$4), 1, 0, 2, if(ISBLANK('2025'!$P237), 0, 1), 3, if(ISBLANK('2025'!$Q237), 0, 1), 4, if(ISBLANK('2025'!$R237), 0, 1), 5, if(ISBLANK('2025'!$S237), 0, 1), 6, if(ISBLANK('2025'!$T237), 0, 1), 7, 0))), 1, "")</f>
        <v/>
      </c>
      <c r="Y239" s="1" t="str">
        <f>IF(AND(AND(AND(Y$4&gt;='2025'!$L237,Y$4&lt;='2025'!$M237), Y$4&lt;&gt;DATE(2025,7,4)), (SWITCH(weekday(Y$4), 1, 0, 2, if(ISBLANK('2025'!$P237), 0, 1), 3, if(ISBLANK('2025'!$Q237), 0, 1), 4, if(ISBLANK('2025'!$R237), 0, 1), 5, if(ISBLANK('2025'!$S237), 0, 1), 6, if(ISBLANK('2025'!$T237), 0, 1), 7, 0))), 1, "")</f>
        <v/>
      </c>
      <c r="Z239" s="1" t="str">
        <f>IF(AND(AND(AND(Z$4&gt;='2025'!$L237,Z$4&lt;='2025'!$M237), Z$4&lt;&gt;DATE(2025,7,4)), (SWITCH(weekday(Z$4), 1, 0, 2, if(ISBLANK('2025'!$P237), 0, 1), 3, if(ISBLANK('2025'!$Q237), 0, 1), 4, if(ISBLANK('2025'!$R237), 0, 1), 5, if(ISBLANK('2025'!$S237), 0, 1), 6, if(ISBLANK('2025'!$T237), 0, 1), 7, 0))), 1, "")</f>
        <v/>
      </c>
      <c r="AA239" s="1" t="str">
        <f>IF(AND(AND(AND(AA$4&gt;='2025'!$L237,AA$4&lt;='2025'!$M237), AA$4&lt;&gt;DATE(2025,7,4)), (SWITCH(weekday(AA$4), 1, 0, 2, if(ISBLANK('2025'!$P237), 0, 1), 3, if(ISBLANK('2025'!$Q237), 0, 1), 4, if(ISBLANK('2025'!$R237), 0, 1), 5, if(ISBLANK('2025'!$S237), 0, 1), 6, if(ISBLANK('2025'!$T237), 0, 1), 7, 0))), 1, "")</f>
        <v/>
      </c>
      <c r="AB239" s="1" t="str">
        <f>IF(AND(AND(AND(AB$4&gt;='2025'!$L237,AB$4&lt;='2025'!$M237), AB$4&lt;&gt;DATE(2025,7,4)), (SWITCH(weekday(AB$4), 1, 0, 2, if(ISBLANK('2025'!$P237), 0, 1), 3, if(ISBLANK('2025'!$Q237), 0, 1), 4, if(ISBLANK('2025'!$R237), 0, 1), 5, if(ISBLANK('2025'!$S237), 0, 1), 6, if(ISBLANK('2025'!$T237), 0, 1), 7, 0))), 1, "")</f>
        <v/>
      </c>
      <c r="AC239" s="1" t="str">
        <f>IF(AND(AND(AND(AC$4&gt;='2025'!$L237,AC$4&lt;='2025'!$M237), AC$4&lt;&gt;DATE(2025,7,4)), (SWITCH(weekday(AC$4), 1, 0, 2, if(ISBLANK('2025'!$P237), 0, 1), 3, if(ISBLANK('2025'!$Q237), 0, 1), 4, if(ISBLANK('2025'!$R237), 0, 1), 5, if(ISBLANK('2025'!$S237), 0, 1), 6, if(ISBLANK('2025'!$T237), 0, 1), 7, 0))), 1, "")</f>
        <v/>
      </c>
      <c r="AD239" s="1" t="str">
        <f>IF(AND(AND(AND(AD$4&gt;='2025'!$L237,AD$4&lt;='2025'!$M237), AD$4&lt;&gt;DATE(2025,7,4)), (SWITCH(weekday(AD$4), 1, 0, 2, if(ISBLANK('2025'!$P237), 0, 1), 3, if(ISBLANK('2025'!$Q237), 0, 1), 4, if(ISBLANK('2025'!$R237), 0, 1), 5, if(ISBLANK('2025'!$S237), 0, 1), 6, if(ISBLANK('2025'!$T237), 0, 1), 7, 0))), 1, "")</f>
        <v/>
      </c>
      <c r="AE239" s="1" t="str">
        <f>IF(AND(AND(AND(AE$4&gt;='2025'!$L237,AE$4&lt;='2025'!$M237), AE$4&lt;&gt;DATE(2025,7,4)), (SWITCH(weekday(AE$4), 1, 0, 2, if(ISBLANK('2025'!$P237), 0, 1), 3, if(ISBLANK('2025'!$Q237), 0, 1), 4, if(ISBLANK('2025'!$R237), 0, 1), 5, if(ISBLANK('2025'!$S237), 0, 1), 6, if(ISBLANK('2025'!$T237), 0, 1), 7, 0))), 1, "")</f>
        <v/>
      </c>
      <c r="AF239" s="1" t="str">
        <f>IF(AND(AND(AND(AF$4&gt;='2025'!$L237,AF$4&lt;='2025'!$M237), AF$4&lt;&gt;DATE(2025,7,4)), (SWITCH(weekday(AF$4), 1, 0, 2, if(ISBLANK('2025'!$P237), 0, 1), 3, if(ISBLANK('2025'!$Q237), 0, 1), 4, if(ISBLANK('2025'!$R237), 0, 1), 5, if(ISBLANK('2025'!$S237), 0, 1), 6, if(ISBLANK('2025'!$T237), 0, 1), 7, 0))), 1, "")</f>
        <v/>
      </c>
      <c r="AG239" s="1" t="str">
        <f>IF(AND(AND(AND(AG$4&gt;='2025'!$L237,AG$4&lt;='2025'!$M237), AG$4&lt;&gt;DATE(2025,7,4)), (SWITCH(weekday(AG$4), 1, 0, 2, if(ISBLANK('2025'!$P237), 0, 1), 3, if(ISBLANK('2025'!$Q237), 0, 1), 4, if(ISBLANK('2025'!$R237), 0, 1), 5, if(ISBLANK('2025'!$S237), 0, 1), 6, if(ISBLANK('2025'!$T237), 0, 1), 7, 0))), 1, "")</f>
        <v/>
      </c>
      <c r="AH239" s="1" t="str">
        <f>IF(AND(AND(AND(AH$4&gt;='2025'!$L237,AH$4&lt;='2025'!$M237), AH$4&lt;&gt;DATE(2025,7,4)), (SWITCH(weekday(AH$4), 1, 0, 2, if(ISBLANK('2025'!$P237), 0, 1), 3, if(ISBLANK('2025'!$Q237), 0, 1), 4, if(ISBLANK('2025'!$R237), 0, 1), 5, if(ISBLANK('2025'!$S237), 0, 1), 6, if(ISBLANK('2025'!$T237), 0, 1), 7, 0))), 1, "")</f>
        <v/>
      </c>
      <c r="AI239" s="1" t="str">
        <f>IF(AND(AND(AND(AI$4&gt;='2025'!$L237,AI$4&lt;='2025'!$M237), AI$4&lt;&gt;DATE(2025,7,4)), (SWITCH(weekday(AI$4), 1, 0, 2, if(ISBLANK('2025'!$P237), 0, 1), 3, if(ISBLANK('2025'!$Q237), 0, 1), 4, if(ISBLANK('2025'!$R237), 0, 1), 5, if(ISBLANK('2025'!$S237), 0, 1), 6, if(ISBLANK('2025'!$T237), 0, 1), 7, 0))), 1, "")</f>
        <v/>
      </c>
      <c r="AJ239" s="1" t="str">
        <f>IF(AND(AND(AND(AJ$4&gt;='2025'!$L237,AJ$4&lt;='2025'!$M237), AJ$4&lt;&gt;DATE(2025,7,4)), (SWITCH(weekday(AJ$4), 1, 0, 2, if(ISBLANK('2025'!$P237), 0, 1), 3, if(ISBLANK('2025'!$Q237), 0, 1), 4, if(ISBLANK('2025'!$R237), 0, 1), 5, if(ISBLANK('2025'!$S237), 0, 1), 6, if(ISBLANK('2025'!$T237), 0, 1), 7, 0))), 1, "")</f>
        <v/>
      </c>
      <c r="AK239" s="1" t="str">
        <f>IF(AND(AND(AND(AK$4&gt;='2025'!$L237,AK$4&lt;='2025'!$M237), AK$4&lt;&gt;DATE(2025,7,4)), (SWITCH(weekday(AK$4), 1, 0, 2, if(ISBLANK('2025'!$P237), 0, 1), 3, if(ISBLANK('2025'!$Q237), 0, 1), 4, if(ISBLANK('2025'!$R237), 0, 1), 5, if(ISBLANK('2025'!$S237), 0, 1), 6, if(ISBLANK('2025'!$T237), 0, 1), 7, 0))), 1, "")</f>
        <v/>
      </c>
      <c r="AL239" s="1" t="str">
        <f>IF(AND(AND(AND(AL$4&gt;='2025'!$L237,AL$4&lt;='2025'!$M237), AL$4&lt;&gt;DATE(2025,7,4)), (SWITCH(weekday(AL$4), 1, 0, 2, if(ISBLANK('2025'!$P237), 0, 1), 3, if(ISBLANK('2025'!$Q237), 0, 1), 4, if(ISBLANK('2025'!$R237), 0, 1), 5, if(ISBLANK('2025'!$S237), 0, 1), 6, if(ISBLANK('2025'!$T237), 0, 1), 7, 0))), 1, "")</f>
        <v/>
      </c>
      <c r="AM239" s="1" t="str">
        <f>IF(AND(AND(AND(AM$4&gt;='2025'!$L237,AM$4&lt;='2025'!$M237), AM$4&lt;&gt;DATE(2025,7,4)), (SWITCH(weekday(AM$4), 1, 0, 2, if(ISBLANK('2025'!$P237), 0, 1), 3, if(ISBLANK('2025'!$Q237), 0, 1), 4, if(ISBLANK('2025'!$R237), 0, 1), 5, if(ISBLANK('2025'!$S237), 0, 1), 6, if(ISBLANK('2025'!$T237), 0, 1), 7, 0))), 1, "")</f>
        <v/>
      </c>
      <c r="AN239" s="1" t="str">
        <f>IF(AND(AND(AND(AN$4&gt;='2025'!$L237,AN$4&lt;='2025'!$M237), AN$4&lt;&gt;DATE(2025,7,4)), (SWITCH(weekday(AN$4), 1, 0, 2, if(ISBLANK('2025'!$P237), 0, 1), 3, if(ISBLANK('2025'!$Q237), 0, 1), 4, if(ISBLANK('2025'!$R237), 0, 1), 5, if(ISBLANK('2025'!$S237), 0, 1), 6, if(ISBLANK('2025'!$T237), 0, 1), 7, 0))), 1, "")</f>
        <v/>
      </c>
      <c r="AO239" s="1" t="str">
        <f>IF(AND(AND(AND(AO$4&gt;='2025'!$L237,AO$4&lt;='2025'!$M237), AO$4&lt;&gt;DATE(2025,7,4)), (SWITCH(weekday(AO$4), 1, 0, 2, if(ISBLANK('2025'!$P237), 0, 1), 3, if(ISBLANK('2025'!$Q237), 0, 1), 4, if(ISBLANK('2025'!$R237), 0, 1), 5, if(ISBLANK('2025'!$S237), 0, 1), 6, if(ISBLANK('2025'!$T237), 0, 1), 7, 0))), 1, "")</f>
        <v/>
      </c>
      <c r="AP239" s="1" t="str">
        <f>IF(AND(AND(AND(AP$4&gt;='2025'!$L237,AP$4&lt;='2025'!$M237), AP$4&lt;&gt;DATE(2025,7,4)), (SWITCH(weekday(AP$4), 1, 0, 2, if(ISBLANK('2025'!$P237), 0, 1), 3, if(ISBLANK('2025'!$Q237), 0, 1), 4, if(ISBLANK('2025'!$R237), 0, 1), 5, if(ISBLANK('2025'!$S237), 0, 1), 6, if(ISBLANK('2025'!$T237), 0, 1), 7, 0))), 1, "")</f>
        <v/>
      </c>
      <c r="AQ239" s="1" t="str">
        <f>IF(AND(AND(AND(AQ$4&gt;='2025'!$L237,AQ$4&lt;='2025'!$M237), AQ$4&lt;&gt;DATE(2025,7,4)), (SWITCH(weekday(AQ$4), 1, 0, 2, if(ISBLANK('2025'!$P237), 0, 1), 3, if(ISBLANK('2025'!$Q237), 0, 1), 4, if(ISBLANK('2025'!$R237), 0, 1), 5, if(ISBLANK('2025'!$S237), 0, 1), 6, if(ISBLANK('2025'!$T237), 0, 1), 7, 0))), 1, "")</f>
        <v/>
      </c>
      <c r="AR239" s="1" t="str">
        <f>IF(AND(AND(AND(AR$4&gt;='2025'!$L237,AR$4&lt;='2025'!$M237), AR$4&lt;&gt;DATE(2025,7,4)), (SWITCH(weekday(AR$4), 1, 0, 2, if(ISBLANK('2025'!$P237), 0, 1), 3, if(ISBLANK('2025'!$Q237), 0, 1), 4, if(ISBLANK('2025'!$R237), 0, 1), 5, if(ISBLANK('2025'!$S237), 0, 1), 6, if(ISBLANK('2025'!$T237), 0, 1), 7, 0))), 1, "")</f>
        <v/>
      </c>
      <c r="AS239" s="1" t="str">
        <f>IF(AND(AND(AND(AS$4&gt;='2025'!$L237,AS$4&lt;='2025'!$M237), AS$4&lt;&gt;DATE(2025,7,4)), (SWITCH(weekday(AS$4), 1, 0, 2, if(ISBLANK('2025'!$P237), 0, 1), 3, if(ISBLANK('2025'!$Q237), 0, 1), 4, if(ISBLANK('2025'!$R237), 0, 1), 5, if(ISBLANK('2025'!$S237), 0, 1), 6, if(ISBLANK('2025'!$T237), 0, 1), 7, 0))), 1, "")</f>
        <v/>
      </c>
      <c r="AT239" s="1" t="str">
        <f>IF(AND(AND(AND(AT$4&gt;='2025'!$L237,AT$4&lt;='2025'!$M237), AT$4&lt;&gt;DATE(2025,7,4)), (SWITCH(weekday(AT$4), 1, 0, 2, if(ISBLANK('2025'!$P237), 0, 1), 3, if(ISBLANK('2025'!$Q237), 0, 1), 4, if(ISBLANK('2025'!$R237), 0, 1), 5, if(ISBLANK('2025'!$S237), 0, 1), 6, if(ISBLANK('2025'!$T237), 0, 1), 7, 0))), 1, "")</f>
        <v/>
      </c>
      <c r="AU239" s="1" t="str">
        <f>IF(AND(AND(AND(AU$4&gt;='2025'!$L237,AU$4&lt;='2025'!$M237), AU$4&lt;&gt;DATE(2025,7,4)), (SWITCH(weekday(AU$4), 1, 0, 2, if(ISBLANK('2025'!$P237), 0, 1), 3, if(ISBLANK('2025'!$Q237), 0, 1), 4, if(ISBLANK('2025'!$R237), 0, 1), 5, if(ISBLANK('2025'!$S237), 0, 1), 6, if(ISBLANK('2025'!$T237), 0, 1), 7, 0))), 1, "")</f>
        <v/>
      </c>
      <c r="AV239" s="1" t="str">
        <f>IF(AND(AND(AND(AV$4&gt;='2025'!$L237,AV$4&lt;='2025'!$M237), AV$4&lt;&gt;DATE(2025,7,4)), (SWITCH(weekday(AV$4), 1, 0, 2, if(ISBLANK('2025'!$P237), 0, 1), 3, if(ISBLANK('2025'!$Q237), 0, 1), 4, if(ISBLANK('2025'!$R237), 0, 1), 5, if(ISBLANK('2025'!$S237), 0, 1), 6, if(ISBLANK('2025'!$T237), 0, 1), 7, 0))), 1, "")</f>
        <v/>
      </c>
      <c r="AW239" s="1" t="str">
        <f>IF(AND(AND(AND(AW$4&gt;='2025'!$L237,AW$4&lt;='2025'!$M237), AW$4&lt;&gt;DATE(2025,7,4)), (SWITCH(weekday(AW$4), 1, 0, 2, if(ISBLANK('2025'!$P237), 0, 1), 3, if(ISBLANK('2025'!$Q237), 0, 1), 4, if(ISBLANK('2025'!$R237), 0, 1), 5, if(ISBLANK('2025'!$S237), 0, 1), 6, if(ISBLANK('2025'!$T237), 0, 1), 7, 0))), 1, "")</f>
        <v/>
      </c>
      <c r="AX239" s="1" t="str">
        <f>IF(AND(AND(AND(AX$4&gt;='2025'!$L237,AX$4&lt;='2025'!$M237), AX$4&lt;&gt;DATE(2025,7,4)), (SWITCH(weekday(AX$4), 1, 0, 2, if(ISBLANK('2025'!$P237), 0, 1), 3, if(ISBLANK('2025'!$Q237), 0, 1), 4, if(ISBLANK('2025'!$R237), 0, 1), 5, if(ISBLANK('2025'!$S237), 0, 1), 6, if(ISBLANK('2025'!$T237), 0, 1), 7, 0))), 1, "")</f>
        <v/>
      </c>
      <c r="AY239" s="1" t="str">
        <f>IF(AND(AND(AND(AY$4&gt;='2025'!$L237,AY$4&lt;='2025'!$M237), AY$4&lt;&gt;DATE(2025,7,4)), (SWITCH(weekday(AY$4), 1, 0, 2, if(ISBLANK('2025'!$P237), 0, 1), 3, if(ISBLANK('2025'!$Q237), 0, 1), 4, if(ISBLANK('2025'!$R237), 0, 1), 5, if(ISBLANK('2025'!$S237), 0, 1), 6, if(ISBLANK('2025'!$T237), 0, 1), 7, 0))), 1, "")</f>
        <v/>
      </c>
      <c r="AZ239" s="1" t="str">
        <f>IF(AND(AND(AND(AZ$4&gt;='2025'!$L237,AZ$4&lt;='2025'!$M237), AZ$4&lt;&gt;DATE(2025,7,4)), (SWITCH(weekday(AZ$4), 1, 0, 2, if(ISBLANK('2025'!$P237), 0, 1), 3, if(ISBLANK('2025'!$Q237), 0, 1), 4, if(ISBLANK('2025'!$R237), 0, 1), 5, if(ISBLANK('2025'!$S237), 0, 1), 6, if(ISBLANK('2025'!$T237), 0, 1), 7, 0))), 1, "")</f>
        <v/>
      </c>
      <c r="BA239" s="1" t="str">
        <f>IF(AND(AND(AND(BA$4&gt;='2025'!$L237,BA$4&lt;='2025'!$M237), BA$4&lt;&gt;DATE(2025,7,4)), (SWITCH(weekday(BA$4), 1, 0, 2, if(ISBLANK('2025'!$P237), 0, 1), 3, if(ISBLANK('2025'!$Q237), 0, 1), 4, if(ISBLANK('2025'!$R237), 0, 1), 5, if(ISBLANK('2025'!$S237), 0, 1), 6, if(ISBLANK('2025'!$T237), 0, 1), 7, 0))), 1, "")</f>
        <v/>
      </c>
      <c r="BB239" s="1" t="str">
        <f>IF(AND(AND(AND(BB$4&gt;='2025'!$L237,BB$4&lt;='2025'!$M237), BB$4&lt;&gt;DATE(2025,7,4)), (SWITCH(weekday(BB$4), 1, 0, 2, if(ISBLANK('2025'!$P237), 0, 1), 3, if(ISBLANK('2025'!$Q237), 0, 1), 4, if(ISBLANK('2025'!$R237), 0, 1), 5, if(ISBLANK('2025'!$S237), 0, 1), 6, if(ISBLANK('2025'!$T237), 0, 1), 7, 0))), 1, "")</f>
        <v/>
      </c>
      <c r="BC239" s="1" t="str">
        <f>IF(AND(AND(AND(BC$4&gt;='2025'!$L237,BC$4&lt;='2025'!$M237), BC$4&lt;&gt;DATE(2025,7,4)), (SWITCH(weekday(BC$4), 1, 0, 2, if(ISBLANK('2025'!$P237), 0, 1), 3, if(ISBLANK('2025'!$Q237), 0, 1), 4, if(ISBLANK('2025'!$R237), 0, 1), 5, if(ISBLANK('2025'!$S237), 0, 1), 6, if(ISBLANK('2025'!$T237), 0, 1), 7, 0))), 1, "")</f>
        <v/>
      </c>
      <c r="BD239" s="1" t="str">
        <f>IF(AND(AND(AND(BD$4&gt;='2025'!$L237,BD$4&lt;='2025'!$M237), BD$4&lt;&gt;DATE(2025,7,4)), (SWITCH(weekday(BD$4), 1, 0, 2, if(ISBLANK('2025'!$P237), 0, 1), 3, if(ISBLANK('2025'!$Q237), 0, 1), 4, if(ISBLANK('2025'!$R237), 0, 1), 5, if(ISBLANK('2025'!$S237), 0, 1), 6, if(ISBLANK('2025'!$T237), 0, 1), 7, 0))), 1, "")</f>
        <v/>
      </c>
      <c r="BE239" s="1" t="str">
        <f>IF(AND(AND(AND(BE$4&gt;='2025'!$L237,BE$4&lt;='2025'!$M237), BE$4&lt;&gt;DATE(2025,7,4)), (SWITCH(weekday(BE$4), 1, 0, 2, if(ISBLANK('2025'!$P237), 0, 1), 3, if(ISBLANK('2025'!$Q237), 0, 1), 4, if(ISBLANK('2025'!$R237), 0, 1), 5, if(ISBLANK('2025'!$S237), 0, 1), 6, if(ISBLANK('2025'!$T237), 0, 1), 7, 0))), 1, "")</f>
        <v/>
      </c>
      <c r="BF239" s="1" t="str">
        <f>IF(AND(AND(AND(BF$4&gt;='2025'!$L237,BF$4&lt;='2025'!$M237), BF$4&lt;&gt;DATE(2025,7,4)), (SWITCH(weekday(BF$4), 1, 0, 2, if(ISBLANK('2025'!$P237), 0, 1), 3, if(ISBLANK('2025'!$Q237), 0, 1), 4, if(ISBLANK('2025'!$R237), 0, 1), 5, if(ISBLANK('2025'!$S237), 0, 1), 6, if(ISBLANK('2025'!$T237), 0, 1), 7, 0))), 1, "")</f>
        <v/>
      </c>
      <c r="BG239" s="1"/>
      <c r="BH239" s="1"/>
      <c r="BI239" s="1"/>
      <c r="BJ239" s="1"/>
      <c r="BK239" s="1"/>
      <c r="BL239" s="1"/>
    </row>
    <row r="240">
      <c r="A240" s="1">
        <f t="shared" si="3"/>
        <v>240</v>
      </c>
      <c r="B240" s="1" t="str">
        <f>'2025'!D204</f>
        <v>, </v>
      </c>
      <c r="C240" s="1" t="str">
        <f>'2025'!H204</f>
        <v/>
      </c>
      <c r="D240" s="1" t="str">
        <f>IF(AND(AND(AND(D$4&gt;='2025'!$L238,D$4&lt;='2025'!$M238), D$4&lt;&gt;DATE(2025,7,4)), (SWITCH(weekday(D$4), 1, 0, 2, if(ISBLANK('2025'!$P238), 0, 1), 3, if(ISBLANK('2025'!$Q238), 0, 1), 4, if(ISBLANK('2025'!$R238), 0, 1), 5, if(ISBLANK('2025'!$S238), 0, 1), 6, if(ISBLANK('2025'!$T238), 0, 1), 7, 0))), 1, "")</f>
        <v/>
      </c>
      <c r="E240" s="1" t="str">
        <f>IF(AND(AND(AND(E$4&gt;='2025'!$L238,E$4&lt;='2025'!$M238), E$4&lt;&gt;DATE(2025,7,4)), (SWITCH(weekday(E$4), 1, 0, 2, if(ISBLANK('2025'!$P238), 0, 1), 3, if(ISBLANK('2025'!$Q238), 0, 1), 4, if(ISBLANK('2025'!$R238), 0, 1), 5, if(ISBLANK('2025'!$S238), 0, 1), 6, if(ISBLANK('2025'!$T238), 0, 1), 7, 0))), 1, "")</f>
        <v/>
      </c>
      <c r="F240" s="1" t="str">
        <f>IF(AND(AND(AND(F$4&gt;='2025'!$L238,F$4&lt;='2025'!$M238), F$4&lt;&gt;DATE(2025,7,4)), (SWITCH(weekday(F$4), 1, 0, 2, if(ISBLANK('2025'!$P238), 0, 1), 3, if(ISBLANK('2025'!$Q238), 0, 1), 4, if(ISBLANK('2025'!$R238), 0, 1), 5, if(ISBLANK('2025'!$S238), 0, 1), 6, if(ISBLANK('2025'!$T238), 0, 1), 7, 0))), 1, "")</f>
        <v/>
      </c>
      <c r="G240" s="1" t="str">
        <f>IF(AND(AND(AND(G$4&gt;='2025'!$L238,G$4&lt;='2025'!$M238), G$4&lt;&gt;DATE(2025,7,4)), (SWITCH(weekday(G$4), 1, 0, 2, if(ISBLANK('2025'!$P238), 0, 1), 3, if(ISBLANK('2025'!$Q238), 0, 1), 4, if(ISBLANK('2025'!$R238), 0, 1), 5, if(ISBLANK('2025'!$S238), 0, 1), 6, if(ISBLANK('2025'!$T238), 0, 1), 7, 0))), 1, "")</f>
        <v/>
      </c>
      <c r="H240" s="1" t="str">
        <f>IF(AND(AND(AND(H$4&gt;='2025'!$L238,H$4&lt;='2025'!$M238), H$4&lt;&gt;DATE(2025,7,4)), (SWITCH(weekday(H$4), 1, 0, 2, if(ISBLANK('2025'!$P238), 0, 1), 3, if(ISBLANK('2025'!$Q238), 0, 1), 4, if(ISBLANK('2025'!$R238), 0, 1), 5, if(ISBLANK('2025'!$S238), 0, 1), 6, if(ISBLANK('2025'!$T238), 0, 1), 7, 0))), 1, "")</f>
        <v/>
      </c>
      <c r="I240" s="1" t="str">
        <f>IF(AND(AND(AND(I$4&gt;='2025'!$L238,I$4&lt;='2025'!$M238), I$4&lt;&gt;DATE(2025,7,4)), (SWITCH(weekday(I$4), 1, 0, 2, if(ISBLANK('2025'!$P238), 0, 1), 3, if(ISBLANK('2025'!$Q238), 0, 1), 4, if(ISBLANK('2025'!$R238), 0, 1), 5, if(ISBLANK('2025'!$S238), 0, 1), 6, if(ISBLANK('2025'!$T238), 0, 1), 7, 0))), 1, "")</f>
        <v/>
      </c>
      <c r="J240" s="1" t="str">
        <f>IF(AND(AND(AND(J$4&gt;='2025'!$L238,J$4&lt;='2025'!$M238), J$4&lt;&gt;DATE(2025,7,4)), (SWITCH(weekday(J$4), 1, 0, 2, if(ISBLANK('2025'!$P238), 0, 1), 3, if(ISBLANK('2025'!$Q238), 0, 1), 4, if(ISBLANK('2025'!$R238), 0, 1), 5, if(ISBLANK('2025'!$S238), 0, 1), 6, if(ISBLANK('2025'!$T238), 0, 1), 7, 0))), 1, "")</f>
        <v/>
      </c>
      <c r="K240" s="1" t="str">
        <f>IF(AND(AND(AND(K$4&gt;='2025'!$L238,K$4&lt;='2025'!$M238), K$4&lt;&gt;DATE(2025,7,4)), (SWITCH(weekday(K$4), 1, 0, 2, if(ISBLANK('2025'!$P238), 0, 1), 3, if(ISBLANK('2025'!$Q238), 0, 1), 4, if(ISBLANK('2025'!$R238), 0, 1), 5, if(ISBLANK('2025'!$S238), 0, 1), 6, if(ISBLANK('2025'!$T238), 0, 1), 7, 0))), 1, "")</f>
        <v/>
      </c>
      <c r="L240" s="1" t="str">
        <f>IF(AND(AND(AND(L$4&gt;='2025'!$L238,L$4&lt;='2025'!$M238), L$4&lt;&gt;DATE(2025,7,4)), (SWITCH(weekday(L$4), 1, 0, 2, if(ISBLANK('2025'!$P238), 0, 1), 3, if(ISBLANK('2025'!$Q238), 0, 1), 4, if(ISBLANK('2025'!$R238), 0, 1), 5, if(ISBLANK('2025'!$S238), 0, 1), 6, if(ISBLANK('2025'!$T238), 0, 1), 7, 0))), 1, "")</f>
        <v/>
      </c>
      <c r="M240" s="1" t="str">
        <f>IF(AND(AND(AND(M$4&gt;='2025'!$L238,M$4&lt;='2025'!$M238), M$4&lt;&gt;DATE(2025,7,4)), (SWITCH(weekday(M$4), 1, 0, 2, if(ISBLANK('2025'!$P238), 0, 1), 3, if(ISBLANK('2025'!$Q238), 0, 1), 4, if(ISBLANK('2025'!$R238), 0, 1), 5, if(ISBLANK('2025'!$S238), 0, 1), 6, if(ISBLANK('2025'!$T238), 0, 1), 7, 0))), 1, "")</f>
        <v/>
      </c>
      <c r="N240" s="1" t="str">
        <f>IF(AND(AND(AND(N$4&gt;='2025'!$L238,N$4&lt;='2025'!$M238), N$4&lt;&gt;DATE(2025,7,4)), (SWITCH(weekday(N$4), 1, 0, 2, if(ISBLANK('2025'!$P238), 0, 1), 3, if(ISBLANK('2025'!$Q238), 0, 1), 4, if(ISBLANK('2025'!$R238), 0, 1), 5, if(ISBLANK('2025'!$S238), 0, 1), 6, if(ISBLANK('2025'!$T238), 0, 1), 7, 0))), 1, "")</f>
        <v/>
      </c>
      <c r="O240" s="1" t="str">
        <f>IF(AND(AND(AND(O$4&gt;='2025'!$L238,O$4&lt;='2025'!$M238), O$4&lt;&gt;DATE(2025,7,4)), (SWITCH(weekday(O$4), 1, 0, 2, if(ISBLANK('2025'!$P238), 0, 1), 3, if(ISBLANK('2025'!$Q238), 0, 1), 4, if(ISBLANK('2025'!$R238), 0, 1), 5, if(ISBLANK('2025'!$S238), 0, 1), 6, if(ISBLANK('2025'!$T238), 0, 1), 7, 0))), 1, "")</f>
        <v/>
      </c>
      <c r="P240" s="1" t="str">
        <f>IF(AND(AND(AND(P$4&gt;='2025'!$L238,P$4&lt;='2025'!$M238), P$4&lt;&gt;DATE(2025,7,4)), (SWITCH(weekday(P$4), 1, 0, 2, if(ISBLANK('2025'!$P238), 0, 1), 3, if(ISBLANK('2025'!$Q238), 0, 1), 4, if(ISBLANK('2025'!$R238), 0, 1), 5, if(ISBLANK('2025'!$S238), 0, 1), 6, if(ISBLANK('2025'!$T238), 0, 1), 7, 0))), 1, "")</f>
        <v/>
      </c>
      <c r="Q240" s="1" t="str">
        <f>IF(AND(AND(AND(Q$4&gt;='2025'!$L238,Q$4&lt;='2025'!$M238), Q$4&lt;&gt;DATE(2025,7,4)), (SWITCH(weekday(Q$4), 1, 0, 2, if(ISBLANK('2025'!$P238), 0, 1), 3, if(ISBLANK('2025'!$Q238), 0, 1), 4, if(ISBLANK('2025'!$R238), 0, 1), 5, if(ISBLANK('2025'!$S238), 0, 1), 6, if(ISBLANK('2025'!$T238), 0, 1), 7, 0))), 1, "")</f>
        <v/>
      </c>
      <c r="R240" s="1" t="str">
        <f>IF(AND(AND(AND(R$4&gt;='2025'!$L238,R$4&lt;='2025'!$M238), R$4&lt;&gt;DATE(2025,7,4)), (SWITCH(weekday(R$4), 1, 0, 2, if(ISBLANK('2025'!$P238), 0, 1), 3, if(ISBLANK('2025'!$Q238), 0, 1), 4, if(ISBLANK('2025'!$R238), 0, 1), 5, if(ISBLANK('2025'!$S238), 0, 1), 6, if(ISBLANK('2025'!$T238), 0, 1), 7, 0))), 1, "")</f>
        <v/>
      </c>
      <c r="S240" s="1" t="str">
        <f>IF(AND(AND(AND(S$4&gt;='2025'!$L238,S$4&lt;='2025'!$M238), S$4&lt;&gt;DATE(2025,7,4)), (SWITCH(weekday(S$4), 1, 0, 2, if(ISBLANK('2025'!$P238), 0, 1), 3, if(ISBLANK('2025'!$Q238), 0, 1), 4, if(ISBLANK('2025'!$R238), 0, 1), 5, if(ISBLANK('2025'!$S238), 0, 1), 6, if(ISBLANK('2025'!$T238), 0, 1), 7, 0))), 1, "")</f>
        <v/>
      </c>
      <c r="T240" s="1" t="str">
        <f>IF(AND(AND(AND(T$4&gt;='2025'!$L238,T$4&lt;='2025'!$M238), T$4&lt;&gt;DATE(2025,7,4)), (SWITCH(weekday(T$4), 1, 0, 2, if(ISBLANK('2025'!$P238), 0, 1), 3, if(ISBLANK('2025'!$Q238), 0, 1), 4, if(ISBLANK('2025'!$R238), 0, 1), 5, if(ISBLANK('2025'!$S238), 0, 1), 6, if(ISBLANK('2025'!$T238), 0, 1), 7, 0))), 1, "")</f>
        <v/>
      </c>
      <c r="U240" s="1" t="str">
        <f>IF(AND(AND(AND(U$4&gt;='2025'!$L238,U$4&lt;='2025'!$M238), U$4&lt;&gt;DATE(2025,7,4)), (SWITCH(weekday(U$4), 1, 0, 2, if(ISBLANK('2025'!$P238), 0, 1), 3, if(ISBLANK('2025'!$Q238), 0, 1), 4, if(ISBLANK('2025'!$R238), 0, 1), 5, if(ISBLANK('2025'!$S238), 0, 1), 6, if(ISBLANK('2025'!$T238), 0, 1), 7, 0))), 1, "")</f>
        <v/>
      </c>
      <c r="V240" s="1" t="str">
        <f>IF(AND(AND(AND(V$4&gt;='2025'!$L238,V$4&lt;='2025'!$M238), V$4&lt;&gt;DATE(2025,7,4)), (SWITCH(weekday(V$4), 1, 0, 2, if(ISBLANK('2025'!$P238), 0, 1), 3, if(ISBLANK('2025'!$Q238), 0, 1), 4, if(ISBLANK('2025'!$R238), 0, 1), 5, if(ISBLANK('2025'!$S238), 0, 1), 6, if(ISBLANK('2025'!$T238), 0, 1), 7, 0))), 1, "")</f>
        <v/>
      </c>
      <c r="W240" s="1" t="str">
        <f>IF(AND(AND(AND(W$4&gt;='2025'!$L238,W$4&lt;='2025'!$M238), W$4&lt;&gt;DATE(2025,7,4)), (SWITCH(weekday(W$4), 1, 0, 2, if(ISBLANK('2025'!$P238), 0, 1), 3, if(ISBLANK('2025'!$Q238), 0, 1), 4, if(ISBLANK('2025'!$R238), 0, 1), 5, if(ISBLANK('2025'!$S238), 0, 1), 6, if(ISBLANK('2025'!$T238), 0, 1), 7, 0))), 1, "")</f>
        <v/>
      </c>
      <c r="X240" s="1" t="str">
        <f>IF(AND(AND(AND(X$4&gt;='2025'!$L238,X$4&lt;='2025'!$M238), X$4&lt;&gt;DATE(2025,7,4)), (SWITCH(weekday(X$4), 1, 0, 2, if(ISBLANK('2025'!$P238), 0, 1), 3, if(ISBLANK('2025'!$Q238), 0, 1), 4, if(ISBLANK('2025'!$R238), 0, 1), 5, if(ISBLANK('2025'!$S238), 0, 1), 6, if(ISBLANK('2025'!$T238), 0, 1), 7, 0))), 1, "")</f>
        <v/>
      </c>
      <c r="Y240" s="1" t="str">
        <f>IF(AND(AND(AND(Y$4&gt;='2025'!$L238,Y$4&lt;='2025'!$M238), Y$4&lt;&gt;DATE(2025,7,4)), (SWITCH(weekday(Y$4), 1, 0, 2, if(ISBLANK('2025'!$P238), 0, 1), 3, if(ISBLANK('2025'!$Q238), 0, 1), 4, if(ISBLANK('2025'!$R238), 0, 1), 5, if(ISBLANK('2025'!$S238), 0, 1), 6, if(ISBLANK('2025'!$T238), 0, 1), 7, 0))), 1, "")</f>
        <v/>
      </c>
      <c r="Z240" s="1" t="str">
        <f>IF(AND(AND(AND(Z$4&gt;='2025'!$L238,Z$4&lt;='2025'!$M238), Z$4&lt;&gt;DATE(2025,7,4)), (SWITCH(weekday(Z$4), 1, 0, 2, if(ISBLANK('2025'!$P238), 0, 1), 3, if(ISBLANK('2025'!$Q238), 0, 1), 4, if(ISBLANK('2025'!$R238), 0, 1), 5, if(ISBLANK('2025'!$S238), 0, 1), 6, if(ISBLANK('2025'!$T238), 0, 1), 7, 0))), 1, "")</f>
        <v/>
      </c>
      <c r="AA240" s="1" t="str">
        <f>IF(AND(AND(AND(AA$4&gt;='2025'!$L238,AA$4&lt;='2025'!$M238), AA$4&lt;&gt;DATE(2025,7,4)), (SWITCH(weekday(AA$4), 1, 0, 2, if(ISBLANK('2025'!$P238), 0, 1), 3, if(ISBLANK('2025'!$Q238), 0, 1), 4, if(ISBLANK('2025'!$R238), 0, 1), 5, if(ISBLANK('2025'!$S238), 0, 1), 6, if(ISBLANK('2025'!$T238), 0, 1), 7, 0))), 1, "")</f>
        <v/>
      </c>
      <c r="AB240" s="1" t="str">
        <f>IF(AND(AND(AND(AB$4&gt;='2025'!$L238,AB$4&lt;='2025'!$M238), AB$4&lt;&gt;DATE(2025,7,4)), (SWITCH(weekday(AB$4), 1, 0, 2, if(ISBLANK('2025'!$P238), 0, 1), 3, if(ISBLANK('2025'!$Q238), 0, 1), 4, if(ISBLANK('2025'!$R238), 0, 1), 5, if(ISBLANK('2025'!$S238), 0, 1), 6, if(ISBLANK('2025'!$T238), 0, 1), 7, 0))), 1, "")</f>
        <v/>
      </c>
      <c r="AC240" s="1" t="str">
        <f>IF(AND(AND(AND(AC$4&gt;='2025'!$L238,AC$4&lt;='2025'!$M238), AC$4&lt;&gt;DATE(2025,7,4)), (SWITCH(weekday(AC$4), 1, 0, 2, if(ISBLANK('2025'!$P238), 0, 1), 3, if(ISBLANK('2025'!$Q238), 0, 1), 4, if(ISBLANK('2025'!$R238), 0, 1), 5, if(ISBLANK('2025'!$S238), 0, 1), 6, if(ISBLANK('2025'!$T238), 0, 1), 7, 0))), 1, "")</f>
        <v/>
      </c>
      <c r="AD240" s="1" t="str">
        <f>IF(AND(AND(AND(AD$4&gt;='2025'!$L238,AD$4&lt;='2025'!$M238), AD$4&lt;&gt;DATE(2025,7,4)), (SWITCH(weekday(AD$4), 1, 0, 2, if(ISBLANK('2025'!$P238), 0, 1), 3, if(ISBLANK('2025'!$Q238), 0, 1), 4, if(ISBLANK('2025'!$R238), 0, 1), 5, if(ISBLANK('2025'!$S238), 0, 1), 6, if(ISBLANK('2025'!$T238), 0, 1), 7, 0))), 1, "")</f>
        <v/>
      </c>
      <c r="AE240" s="1" t="str">
        <f>IF(AND(AND(AND(AE$4&gt;='2025'!$L238,AE$4&lt;='2025'!$M238), AE$4&lt;&gt;DATE(2025,7,4)), (SWITCH(weekday(AE$4), 1, 0, 2, if(ISBLANK('2025'!$P238), 0, 1), 3, if(ISBLANK('2025'!$Q238), 0, 1), 4, if(ISBLANK('2025'!$R238), 0, 1), 5, if(ISBLANK('2025'!$S238), 0, 1), 6, if(ISBLANK('2025'!$T238), 0, 1), 7, 0))), 1, "")</f>
        <v/>
      </c>
      <c r="AF240" s="1" t="str">
        <f>IF(AND(AND(AND(AF$4&gt;='2025'!$L238,AF$4&lt;='2025'!$M238), AF$4&lt;&gt;DATE(2025,7,4)), (SWITCH(weekday(AF$4), 1, 0, 2, if(ISBLANK('2025'!$P238), 0, 1), 3, if(ISBLANK('2025'!$Q238), 0, 1), 4, if(ISBLANK('2025'!$R238), 0, 1), 5, if(ISBLANK('2025'!$S238), 0, 1), 6, if(ISBLANK('2025'!$T238), 0, 1), 7, 0))), 1, "")</f>
        <v/>
      </c>
      <c r="AG240" s="1" t="str">
        <f>IF(AND(AND(AND(AG$4&gt;='2025'!$L238,AG$4&lt;='2025'!$M238), AG$4&lt;&gt;DATE(2025,7,4)), (SWITCH(weekday(AG$4), 1, 0, 2, if(ISBLANK('2025'!$P238), 0, 1), 3, if(ISBLANK('2025'!$Q238), 0, 1), 4, if(ISBLANK('2025'!$R238), 0, 1), 5, if(ISBLANK('2025'!$S238), 0, 1), 6, if(ISBLANK('2025'!$T238), 0, 1), 7, 0))), 1, "")</f>
        <v/>
      </c>
      <c r="AH240" s="1" t="str">
        <f>IF(AND(AND(AND(AH$4&gt;='2025'!$L238,AH$4&lt;='2025'!$M238), AH$4&lt;&gt;DATE(2025,7,4)), (SWITCH(weekday(AH$4), 1, 0, 2, if(ISBLANK('2025'!$P238), 0, 1), 3, if(ISBLANK('2025'!$Q238), 0, 1), 4, if(ISBLANK('2025'!$R238), 0, 1), 5, if(ISBLANK('2025'!$S238), 0, 1), 6, if(ISBLANK('2025'!$T238), 0, 1), 7, 0))), 1, "")</f>
        <v/>
      </c>
      <c r="AI240" s="1" t="str">
        <f>IF(AND(AND(AND(AI$4&gt;='2025'!$L238,AI$4&lt;='2025'!$M238), AI$4&lt;&gt;DATE(2025,7,4)), (SWITCH(weekday(AI$4), 1, 0, 2, if(ISBLANK('2025'!$P238), 0, 1), 3, if(ISBLANK('2025'!$Q238), 0, 1), 4, if(ISBLANK('2025'!$R238), 0, 1), 5, if(ISBLANK('2025'!$S238), 0, 1), 6, if(ISBLANK('2025'!$T238), 0, 1), 7, 0))), 1, "")</f>
        <v/>
      </c>
      <c r="AJ240" s="1" t="str">
        <f>IF(AND(AND(AND(AJ$4&gt;='2025'!$L238,AJ$4&lt;='2025'!$M238), AJ$4&lt;&gt;DATE(2025,7,4)), (SWITCH(weekday(AJ$4), 1, 0, 2, if(ISBLANK('2025'!$P238), 0, 1), 3, if(ISBLANK('2025'!$Q238), 0, 1), 4, if(ISBLANK('2025'!$R238), 0, 1), 5, if(ISBLANK('2025'!$S238), 0, 1), 6, if(ISBLANK('2025'!$T238), 0, 1), 7, 0))), 1, "")</f>
        <v/>
      </c>
      <c r="AK240" s="1" t="str">
        <f>IF(AND(AND(AND(AK$4&gt;='2025'!$L238,AK$4&lt;='2025'!$M238), AK$4&lt;&gt;DATE(2025,7,4)), (SWITCH(weekday(AK$4), 1, 0, 2, if(ISBLANK('2025'!$P238), 0, 1), 3, if(ISBLANK('2025'!$Q238), 0, 1), 4, if(ISBLANK('2025'!$R238), 0, 1), 5, if(ISBLANK('2025'!$S238), 0, 1), 6, if(ISBLANK('2025'!$T238), 0, 1), 7, 0))), 1, "")</f>
        <v/>
      </c>
      <c r="AL240" s="1" t="str">
        <f>IF(AND(AND(AND(AL$4&gt;='2025'!$L238,AL$4&lt;='2025'!$M238), AL$4&lt;&gt;DATE(2025,7,4)), (SWITCH(weekday(AL$4), 1, 0, 2, if(ISBLANK('2025'!$P238), 0, 1), 3, if(ISBLANK('2025'!$Q238), 0, 1), 4, if(ISBLANK('2025'!$R238), 0, 1), 5, if(ISBLANK('2025'!$S238), 0, 1), 6, if(ISBLANK('2025'!$T238), 0, 1), 7, 0))), 1, "")</f>
        <v/>
      </c>
      <c r="AM240" s="1" t="str">
        <f>IF(AND(AND(AND(AM$4&gt;='2025'!$L238,AM$4&lt;='2025'!$M238), AM$4&lt;&gt;DATE(2025,7,4)), (SWITCH(weekday(AM$4), 1, 0, 2, if(ISBLANK('2025'!$P238), 0, 1), 3, if(ISBLANK('2025'!$Q238), 0, 1), 4, if(ISBLANK('2025'!$R238), 0, 1), 5, if(ISBLANK('2025'!$S238), 0, 1), 6, if(ISBLANK('2025'!$T238), 0, 1), 7, 0))), 1, "")</f>
        <v/>
      </c>
      <c r="AN240" s="1" t="str">
        <f>IF(AND(AND(AND(AN$4&gt;='2025'!$L238,AN$4&lt;='2025'!$M238), AN$4&lt;&gt;DATE(2025,7,4)), (SWITCH(weekday(AN$4), 1, 0, 2, if(ISBLANK('2025'!$P238), 0, 1), 3, if(ISBLANK('2025'!$Q238), 0, 1), 4, if(ISBLANK('2025'!$R238), 0, 1), 5, if(ISBLANK('2025'!$S238), 0, 1), 6, if(ISBLANK('2025'!$T238), 0, 1), 7, 0))), 1, "")</f>
        <v/>
      </c>
      <c r="AO240" s="1" t="str">
        <f>IF(AND(AND(AND(AO$4&gt;='2025'!$L238,AO$4&lt;='2025'!$M238), AO$4&lt;&gt;DATE(2025,7,4)), (SWITCH(weekday(AO$4), 1, 0, 2, if(ISBLANK('2025'!$P238), 0, 1), 3, if(ISBLANK('2025'!$Q238), 0, 1), 4, if(ISBLANK('2025'!$R238), 0, 1), 5, if(ISBLANK('2025'!$S238), 0, 1), 6, if(ISBLANK('2025'!$T238), 0, 1), 7, 0))), 1, "")</f>
        <v/>
      </c>
      <c r="AP240" s="1" t="str">
        <f>IF(AND(AND(AND(AP$4&gt;='2025'!$L238,AP$4&lt;='2025'!$M238), AP$4&lt;&gt;DATE(2025,7,4)), (SWITCH(weekday(AP$4), 1, 0, 2, if(ISBLANK('2025'!$P238), 0, 1), 3, if(ISBLANK('2025'!$Q238), 0, 1), 4, if(ISBLANK('2025'!$R238), 0, 1), 5, if(ISBLANK('2025'!$S238), 0, 1), 6, if(ISBLANK('2025'!$T238), 0, 1), 7, 0))), 1, "")</f>
        <v/>
      </c>
      <c r="AQ240" s="1" t="str">
        <f>IF(AND(AND(AND(AQ$4&gt;='2025'!$L238,AQ$4&lt;='2025'!$M238), AQ$4&lt;&gt;DATE(2025,7,4)), (SWITCH(weekday(AQ$4), 1, 0, 2, if(ISBLANK('2025'!$P238), 0, 1), 3, if(ISBLANK('2025'!$Q238), 0, 1), 4, if(ISBLANK('2025'!$R238), 0, 1), 5, if(ISBLANK('2025'!$S238), 0, 1), 6, if(ISBLANK('2025'!$T238), 0, 1), 7, 0))), 1, "")</f>
        <v/>
      </c>
      <c r="AR240" s="1" t="str">
        <f>IF(AND(AND(AND(AR$4&gt;='2025'!$L238,AR$4&lt;='2025'!$M238), AR$4&lt;&gt;DATE(2025,7,4)), (SWITCH(weekday(AR$4), 1, 0, 2, if(ISBLANK('2025'!$P238), 0, 1), 3, if(ISBLANK('2025'!$Q238), 0, 1), 4, if(ISBLANK('2025'!$R238), 0, 1), 5, if(ISBLANK('2025'!$S238), 0, 1), 6, if(ISBLANK('2025'!$T238), 0, 1), 7, 0))), 1, "")</f>
        <v/>
      </c>
      <c r="AS240" s="1" t="str">
        <f>IF(AND(AND(AND(AS$4&gt;='2025'!$L238,AS$4&lt;='2025'!$M238), AS$4&lt;&gt;DATE(2025,7,4)), (SWITCH(weekday(AS$4), 1, 0, 2, if(ISBLANK('2025'!$P238), 0, 1), 3, if(ISBLANK('2025'!$Q238), 0, 1), 4, if(ISBLANK('2025'!$R238), 0, 1), 5, if(ISBLANK('2025'!$S238), 0, 1), 6, if(ISBLANK('2025'!$T238), 0, 1), 7, 0))), 1, "")</f>
        <v/>
      </c>
      <c r="AT240" s="1" t="str">
        <f>IF(AND(AND(AND(AT$4&gt;='2025'!$L238,AT$4&lt;='2025'!$M238), AT$4&lt;&gt;DATE(2025,7,4)), (SWITCH(weekday(AT$4), 1, 0, 2, if(ISBLANK('2025'!$P238), 0, 1), 3, if(ISBLANK('2025'!$Q238), 0, 1), 4, if(ISBLANK('2025'!$R238), 0, 1), 5, if(ISBLANK('2025'!$S238), 0, 1), 6, if(ISBLANK('2025'!$T238), 0, 1), 7, 0))), 1, "")</f>
        <v/>
      </c>
      <c r="AU240" s="1" t="str">
        <f>IF(AND(AND(AND(AU$4&gt;='2025'!$L238,AU$4&lt;='2025'!$M238), AU$4&lt;&gt;DATE(2025,7,4)), (SWITCH(weekday(AU$4), 1, 0, 2, if(ISBLANK('2025'!$P238), 0, 1), 3, if(ISBLANK('2025'!$Q238), 0, 1), 4, if(ISBLANK('2025'!$R238), 0, 1), 5, if(ISBLANK('2025'!$S238), 0, 1), 6, if(ISBLANK('2025'!$T238), 0, 1), 7, 0))), 1, "")</f>
        <v/>
      </c>
      <c r="AV240" s="1" t="str">
        <f>IF(AND(AND(AND(AV$4&gt;='2025'!$L238,AV$4&lt;='2025'!$M238), AV$4&lt;&gt;DATE(2025,7,4)), (SWITCH(weekday(AV$4), 1, 0, 2, if(ISBLANK('2025'!$P238), 0, 1), 3, if(ISBLANK('2025'!$Q238), 0, 1), 4, if(ISBLANK('2025'!$R238), 0, 1), 5, if(ISBLANK('2025'!$S238), 0, 1), 6, if(ISBLANK('2025'!$T238), 0, 1), 7, 0))), 1, "")</f>
        <v/>
      </c>
      <c r="AW240" s="1" t="str">
        <f>IF(AND(AND(AND(AW$4&gt;='2025'!$L238,AW$4&lt;='2025'!$M238), AW$4&lt;&gt;DATE(2025,7,4)), (SWITCH(weekday(AW$4), 1, 0, 2, if(ISBLANK('2025'!$P238), 0, 1), 3, if(ISBLANK('2025'!$Q238), 0, 1), 4, if(ISBLANK('2025'!$R238), 0, 1), 5, if(ISBLANK('2025'!$S238), 0, 1), 6, if(ISBLANK('2025'!$T238), 0, 1), 7, 0))), 1, "")</f>
        <v/>
      </c>
      <c r="AX240" s="1" t="str">
        <f>IF(AND(AND(AND(AX$4&gt;='2025'!$L238,AX$4&lt;='2025'!$M238), AX$4&lt;&gt;DATE(2025,7,4)), (SWITCH(weekday(AX$4), 1, 0, 2, if(ISBLANK('2025'!$P238), 0, 1), 3, if(ISBLANK('2025'!$Q238), 0, 1), 4, if(ISBLANK('2025'!$R238), 0, 1), 5, if(ISBLANK('2025'!$S238), 0, 1), 6, if(ISBLANK('2025'!$T238), 0, 1), 7, 0))), 1, "")</f>
        <v/>
      </c>
      <c r="AY240" s="1" t="str">
        <f>IF(AND(AND(AND(AY$4&gt;='2025'!$L238,AY$4&lt;='2025'!$M238), AY$4&lt;&gt;DATE(2025,7,4)), (SWITCH(weekday(AY$4), 1, 0, 2, if(ISBLANK('2025'!$P238), 0, 1), 3, if(ISBLANK('2025'!$Q238), 0, 1), 4, if(ISBLANK('2025'!$R238), 0, 1), 5, if(ISBLANK('2025'!$S238), 0, 1), 6, if(ISBLANK('2025'!$T238), 0, 1), 7, 0))), 1, "")</f>
        <v/>
      </c>
      <c r="AZ240" s="1" t="str">
        <f>IF(AND(AND(AND(AZ$4&gt;='2025'!$L238,AZ$4&lt;='2025'!$M238), AZ$4&lt;&gt;DATE(2025,7,4)), (SWITCH(weekday(AZ$4), 1, 0, 2, if(ISBLANK('2025'!$P238), 0, 1), 3, if(ISBLANK('2025'!$Q238), 0, 1), 4, if(ISBLANK('2025'!$R238), 0, 1), 5, if(ISBLANK('2025'!$S238), 0, 1), 6, if(ISBLANK('2025'!$T238), 0, 1), 7, 0))), 1, "")</f>
        <v/>
      </c>
      <c r="BA240" s="1" t="str">
        <f>IF(AND(AND(AND(BA$4&gt;='2025'!$L238,BA$4&lt;='2025'!$M238), BA$4&lt;&gt;DATE(2025,7,4)), (SWITCH(weekday(BA$4), 1, 0, 2, if(ISBLANK('2025'!$P238), 0, 1), 3, if(ISBLANK('2025'!$Q238), 0, 1), 4, if(ISBLANK('2025'!$R238), 0, 1), 5, if(ISBLANK('2025'!$S238), 0, 1), 6, if(ISBLANK('2025'!$T238), 0, 1), 7, 0))), 1, "")</f>
        <v/>
      </c>
      <c r="BB240" s="1" t="str">
        <f>IF(AND(AND(AND(BB$4&gt;='2025'!$L238,BB$4&lt;='2025'!$M238), BB$4&lt;&gt;DATE(2025,7,4)), (SWITCH(weekday(BB$4), 1, 0, 2, if(ISBLANK('2025'!$P238), 0, 1), 3, if(ISBLANK('2025'!$Q238), 0, 1), 4, if(ISBLANK('2025'!$R238), 0, 1), 5, if(ISBLANK('2025'!$S238), 0, 1), 6, if(ISBLANK('2025'!$T238), 0, 1), 7, 0))), 1, "")</f>
        <v/>
      </c>
      <c r="BC240" s="1" t="str">
        <f>IF(AND(AND(AND(BC$4&gt;='2025'!$L238,BC$4&lt;='2025'!$M238), BC$4&lt;&gt;DATE(2025,7,4)), (SWITCH(weekday(BC$4), 1, 0, 2, if(ISBLANK('2025'!$P238), 0, 1), 3, if(ISBLANK('2025'!$Q238), 0, 1), 4, if(ISBLANK('2025'!$R238), 0, 1), 5, if(ISBLANK('2025'!$S238), 0, 1), 6, if(ISBLANK('2025'!$T238), 0, 1), 7, 0))), 1, "")</f>
        <v/>
      </c>
      <c r="BD240" s="1" t="str">
        <f>IF(AND(AND(AND(BD$4&gt;='2025'!$L238,BD$4&lt;='2025'!$M238), BD$4&lt;&gt;DATE(2025,7,4)), (SWITCH(weekday(BD$4), 1, 0, 2, if(ISBLANK('2025'!$P238), 0, 1), 3, if(ISBLANK('2025'!$Q238), 0, 1), 4, if(ISBLANK('2025'!$R238), 0, 1), 5, if(ISBLANK('2025'!$S238), 0, 1), 6, if(ISBLANK('2025'!$T238), 0, 1), 7, 0))), 1, "")</f>
        <v/>
      </c>
      <c r="BE240" s="1" t="str">
        <f>IF(AND(AND(AND(BE$4&gt;='2025'!$L238,BE$4&lt;='2025'!$M238), BE$4&lt;&gt;DATE(2025,7,4)), (SWITCH(weekday(BE$4), 1, 0, 2, if(ISBLANK('2025'!$P238), 0, 1), 3, if(ISBLANK('2025'!$Q238), 0, 1), 4, if(ISBLANK('2025'!$R238), 0, 1), 5, if(ISBLANK('2025'!$S238), 0, 1), 6, if(ISBLANK('2025'!$T238), 0, 1), 7, 0))), 1, "")</f>
        <v/>
      </c>
      <c r="BF240" s="1" t="str">
        <f>IF(AND(AND(AND(BF$4&gt;='2025'!$L238,BF$4&lt;='2025'!$M238), BF$4&lt;&gt;DATE(2025,7,4)), (SWITCH(weekday(BF$4), 1, 0, 2, if(ISBLANK('2025'!$P238), 0, 1), 3, if(ISBLANK('2025'!$Q238), 0, 1), 4, if(ISBLANK('2025'!$R238), 0, 1), 5, if(ISBLANK('2025'!$S238), 0, 1), 6, if(ISBLANK('2025'!$T238), 0, 1), 7, 0))), 1, "")</f>
        <v/>
      </c>
      <c r="BG240" s="1"/>
      <c r="BH240" s="1"/>
      <c r="BI240" s="1"/>
      <c r="BJ240" s="1"/>
      <c r="BK240" s="1"/>
      <c r="BL240" s="1"/>
    </row>
    <row r="241">
      <c r="A241" s="1">
        <f t="shared" si="3"/>
        <v>241</v>
      </c>
      <c r="B241" s="1" t="str">
        <f>'2025'!D205</f>
        <v>, </v>
      </c>
      <c r="C241" s="1" t="str">
        <f>'2025'!H205</f>
        <v/>
      </c>
      <c r="D241" s="1" t="str">
        <f>IF(AND(AND(AND(D$4&gt;='2025'!$L239,D$4&lt;='2025'!$M239), D$4&lt;&gt;DATE(2025,7,4)), (SWITCH(weekday(D$4), 1, 0, 2, if(ISBLANK('2025'!$P239), 0, 1), 3, if(ISBLANK('2025'!$Q239), 0, 1), 4, if(ISBLANK('2025'!$R239), 0, 1), 5, if(ISBLANK('2025'!$S239), 0, 1), 6, if(ISBLANK('2025'!$T239), 0, 1), 7, 0))), 1, "")</f>
        <v/>
      </c>
      <c r="E241" s="1" t="str">
        <f>IF(AND(AND(AND(E$4&gt;='2025'!$L239,E$4&lt;='2025'!$M239), E$4&lt;&gt;DATE(2025,7,4)), (SWITCH(weekday(E$4), 1, 0, 2, if(ISBLANK('2025'!$P239), 0, 1), 3, if(ISBLANK('2025'!$Q239), 0, 1), 4, if(ISBLANK('2025'!$R239), 0, 1), 5, if(ISBLANK('2025'!$S239), 0, 1), 6, if(ISBLANK('2025'!$T239), 0, 1), 7, 0))), 1, "")</f>
        <v/>
      </c>
      <c r="F241" s="1" t="str">
        <f>IF(AND(AND(AND(F$4&gt;='2025'!$L239,F$4&lt;='2025'!$M239), F$4&lt;&gt;DATE(2025,7,4)), (SWITCH(weekday(F$4), 1, 0, 2, if(ISBLANK('2025'!$P239), 0, 1), 3, if(ISBLANK('2025'!$Q239), 0, 1), 4, if(ISBLANK('2025'!$R239), 0, 1), 5, if(ISBLANK('2025'!$S239), 0, 1), 6, if(ISBLANK('2025'!$T239), 0, 1), 7, 0))), 1, "")</f>
        <v/>
      </c>
      <c r="G241" s="1" t="str">
        <f>IF(AND(AND(AND(G$4&gt;='2025'!$L239,G$4&lt;='2025'!$M239), G$4&lt;&gt;DATE(2025,7,4)), (SWITCH(weekday(G$4), 1, 0, 2, if(ISBLANK('2025'!$P239), 0, 1), 3, if(ISBLANK('2025'!$Q239), 0, 1), 4, if(ISBLANK('2025'!$R239), 0, 1), 5, if(ISBLANK('2025'!$S239), 0, 1), 6, if(ISBLANK('2025'!$T239), 0, 1), 7, 0))), 1, "")</f>
        <v/>
      </c>
      <c r="H241" s="1" t="str">
        <f>IF(AND(AND(AND(H$4&gt;='2025'!$L239,H$4&lt;='2025'!$M239), H$4&lt;&gt;DATE(2025,7,4)), (SWITCH(weekday(H$4), 1, 0, 2, if(ISBLANK('2025'!$P239), 0, 1), 3, if(ISBLANK('2025'!$Q239), 0, 1), 4, if(ISBLANK('2025'!$R239), 0, 1), 5, if(ISBLANK('2025'!$S239), 0, 1), 6, if(ISBLANK('2025'!$T239), 0, 1), 7, 0))), 1, "")</f>
        <v/>
      </c>
      <c r="I241" s="1" t="str">
        <f>IF(AND(AND(AND(I$4&gt;='2025'!$L239,I$4&lt;='2025'!$M239), I$4&lt;&gt;DATE(2025,7,4)), (SWITCH(weekday(I$4), 1, 0, 2, if(ISBLANK('2025'!$P239), 0, 1), 3, if(ISBLANK('2025'!$Q239), 0, 1), 4, if(ISBLANK('2025'!$R239), 0, 1), 5, if(ISBLANK('2025'!$S239), 0, 1), 6, if(ISBLANK('2025'!$T239), 0, 1), 7, 0))), 1, "")</f>
        <v/>
      </c>
      <c r="J241" s="1" t="str">
        <f>IF(AND(AND(AND(J$4&gt;='2025'!$L239,J$4&lt;='2025'!$M239), J$4&lt;&gt;DATE(2025,7,4)), (SWITCH(weekday(J$4), 1, 0, 2, if(ISBLANK('2025'!$P239), 0, 1), 3, if(ISBLANK('2025'!$Q239), 0, 1), 4, if(ISBLANK('2025'!$R239), 0, 1), 5, if(ISBLANK('2025'!$S239), 0, 1), 6, if(ISBLANK('2025'!$T239), 0, 1), 7, 0))), 1, "")</f>
        <v/>
      </c>
      <c r="K241" s="1" t="str">
        <f>IF(AND(AND(AND(K$4&gt;='2025'!$L239,K$4&lt;='2025'!$M239), K$4&lt;&gt;DATE(2025,7,4)), (SWITCH(weekday(K$4), 1, 0, 2, if(ISBLANK('2025'!$P239), 0, 1), 3, if(ISBLANK('2025'!$Q239), 0, 1), 4, if(ISBLANK('2025'!$R239), 0, 1), 5, if(ISBLANK('2025'!$S239), 0, 1), 6, if(ISBLANK('2025'!$T239), 0, 1), 7, 0))), 1, "")</f>
        <v/>
      </c>
      <c r="L241" s="1" t="str">
        <f>IF(AND(AND(AND(L$4&gt;='2025'!$L239,L$4&lt;='2025'!$M239), L$4&lt;&gt;DATE(2025,7,4)), (SWITCH(weekday(L$4), 1, 0, 2, if(ISBLANK('2025'!$P239), 0, 1), 3, if(ISBLANK('2025'!$Q239), 0, 1), 4, if(ISBLANK('2025'!$R239), 0, 1), 5, if(ISBLANK('2025'!$S239), 0, 1), 6, if(ISBLANK('2025'!$T239), 0, 1), 7, 0))), 1, "")</f>
        <v/>
      </c>
      <c r="M241" s="1" t="str">
        <f>IF(AND(AND(AND(M$4&gt;='2025'!$L239,M$4&lt;='2025'!$M239), M$4&lt;&gt;DATE(2025,7,4)), (SWITCH(weekday(M$4), 1, 0, 2, if(ISBLANK('2025'!$P239), 0, 1), 3, if(ISBLANK('2025'!$Q239), 0, 1), 4, if(ISBLANK('2025'!$R239), 0, 1), 5, if(ISBLANK('2025'!$S239), 0, 1), 6, if(ISBLANK('2025'!$T239), 0, 1), 7, 0))), 1, "")</f>
        <v/>
      </c>
      <c r="N241" s="1" t="str">
        <f>IF(AND(AND(AND(N$4&gt;='2025'!$L239,N$4&lt;='2025'!$M239), N$4&lt;&gt;DATE(2025,7,4)), (SWITCH(weekday(N$4), 1, 0, 2, if(ISBLANK('2025'!$P239), 0, 1), 3, if(ISBLANK('2025'!$Q239), 0, 1), 4, if(ISBLANK('2025'!$R239), 0, 1), 5, if(ISBLANK('2025'!$S239), 0, 1), 6, if(ISBLANK('2025'!$T239), 0, 1), 7, 0))), 1, "")</f>
        <v/>
      </c>
      <c r="O241" s="1" t="str">
        <f>IF(AND(AND(AND(O$4&gt;='2025'!$L239,O$4&lt;='2025'!$M239), O$4&lt;&gt;DATE(2025,7,4)), (SWITCH(weekday(O$4), 1, 0, 2, if(ISBLANK('2025'!$P239), 0, 1), 3, if(ISBLANK('2025'!$Q239), 0, 1), 4, if(ISBLANK('2025'!$R239), 0, 1), 5, if(ISBLANK('2025'!$S239), 0, 1), 6, if(ISBLANK('2025'!$T239), 0, 1), 7, 0))), 1, "")</f>
        <v/>
      </c>
      <c r="P241" s="1" t="str">
        <f>IF(AND(AND(AND(P$4&gt;='2025'!$L239,P$4&lt;='2025'!$M239), P$4&lt;&gt;DATE(2025,7,4)), (SWITCH(weekday(P$4), 1, 0, 2, if(ISBLANK('2025'!$P239), 0, 1), 3, if(ISBLANK('2025'!$Q239), 0, 1), 4, if(ISBLANK('2025'!$R239), 0, 1), 5, if(ISBLANK('2025'!$S239), 0, 1), 6, if(ISBLANK('2025'!$T239), 0, 1), 7, 0))), 1, "")</f>
        <v/>
      </c>
      <c r="Q241" s="1" t="str">
        <f>IF(AND(AND(AND(Q$4&gt;='2025'!$L239,Q$4&lt;='2025'!$M239), Q$4&lt;&gt;DATE(2025,7,4)), (SWITCH(weekday(Q$4), 1, 0, 2, if(ISBLANK('2025'!$P239), 0, 1), 3, if(ISBLANK('2025'!$Q239), 0, 1), 4, if(ISBLANK('2025'!$R239), 0, 1), 5, if(ISBLANK('2025'!$S239), 0, 1), 6, if(ISBLANK('2025'!$T239), 0, 1), 7, 0))), 1, "")</f>
        <v/>
      </c>
      <c r="R241" s="1" t="str">
        <f>IF(AND(AND(AND(R$4&gt;='2025'!$L239,R$4&lt;='2025'!$M239), R$4&lt;&gt;DATE(2025,7,4)), (SWITCH(weekday(R$4), 1, 0, 2, if(ISBLANK('2025'!$P239), 0, 1), 3, if(ISBLANK('2025'!$Q239), 0, 1), 4, if(ISBLANK('2025'!$R239), 0, 1), 5, if(ISBLANK('2025'!$S239), 0, 1), 6, if(ISBLANK('2025'!$T239), 0, 1), 7, 0))), 1, "")</f>
        <v/>
      </c>
      <c r="S241" s="1" t="str">
        <f>IF(AND(AND(AND(S$4&gt;='2025'!$L239,S$4&lt;='2025'!$M239), S$4&lt;&gt;DATE(2025,7,4)), (SWITCH(weekday(S$4), 1, 0, 2, if(ISBLANK('2025'!$P239), 0, 1), 3, if(ISBLANK('2025'!$Q239), 0, 1), 4, if(ISBLANK('2025'!$R239), 0, 1), 5, if(ISBLANK('2025'!$S239), 0, 1), 6, if(ISBLANK('2025'!$T239), 0, 1), 7, 0))), 1, "")</f>
        <v/>
      </c>
      <c r="T241" s="1" t="str">
        <f>IF(AND(AND(AND(T$4&gt;='2025'!$L239,T$4&lt;='2025'!$M239), T$4&lt;&gt;DATE(2025,7,4)), (SWITCH(weekday(T$4), 1, 0, 2, if(ISBLANK('2025'!$P239), 0, 1), 3, if(ISBLANK('2025'!$Q239), 0, 1), 4, if(ISBLANK('2025'!$R239), 0, 1), 5, if(ISBLANK('2025'!$S239), 0, 1), 6, if(ISBLANK('2025'!$T239), 0, 1), 7, 0))), 1, "")</f>
        <v/>
      </c>
      <c r="U241" s="1" t="str">
        <f>IF(AND(AND(AND(U$4&gt;='2025'!$L239,U$4&lt;='2025'!$M239), U$4&lt;&gt;DATE(2025,7,4)), (SWITCH(weekday(U$4), 1, 0, 2, if(ISBLANK('2025'!$P239), 0, 1), 3, if(ISBLANK('2025'!$Q239), 0, 1), 4, if(ISBLANK('2025'!$R239), 0, 1), 5, if(ISBLANK('2025'!$S239), 0, 1), 6, if(ISBLANK('2025'!$T239), 0, 1), 7, 0))), 1, "")</f>
        <v/>
      </c>
      <c r="V241" s="1" t="str">
        <f>IF(AND(AND(AND(V$4&gt;='2025'!$L239,V$4&lt;='2025'!$M239), V$4&lt;&gt;DATE(2025,7,4)), (SWITCH(weekday(V$4), 1, 0, 2, if(ISBLANK('2025'!$P239), 0, 1), 3, if(ISBLANK('2025'!$Q239), 0, 1), 4, if(ISBLANK('2025'!$R239), 0, 1), 5, if(ISBLANK('2025'!$S239), 0, 1), 6, if(ISBLANK('2025'!$T239), 0, 1), 7, 0))), 1, "")</f>
        <v/>
      </c>
      <c r="W241" s="1" t="str">
        <f>IF(AND(AND(AND(W$4&gt;='2025'!$L239,W$4&lt;='2025'!$M239), W$4&lt;&gt;DATE(2025,7,4)), (SWITCH(weekday(W$4), 1, 0, 2, if(ISBLANK('2025'!$P239), 0, 1), 3, if(ISBLANK('2025'!$Q239), 0, 1), 4, if(ISBLANK('2025'!$R239), 0, 1), 5, if(ISBLANK('2025'!$S239), 0, 1), 6, if(ISBLANK('2025'!$T239), 0, 1), 7, 0))), 1, "")</f>
        <v/>
      </c>
      <c r="X241" s="1" t="str">
        <f>IF(AND(AND(AND(X$4&gt;='2025'!$L239,X$4&lt;='2025'!$M239), X$4&lt;&gt;DATE(2025,7,4)), (SWITCH(weekday(X$4), 1, 0, 2, if(ISBLANK('2025'!$P239), 0, 1), 3, if(ISBLANK('2025'!$Q239), 0, 1), 4, if(ISBLANK('2025'!$R239), 0, 1), 5, if(ISBLANK('2025'!$S239), 0, 1), 6, if(ISBLANK('2025'!$T239), 0, 1), 7, 0))), 1, "")</f>
        <v/>
      </c>
      <c r="Y241" s="1" t="str">
        <f>IF(AND(AND(AND(Y$4&gt;='2025'!$L239,Y$4&lt;='2025'!$M239), Y$4&lt;&gt;DATE(2025,7,4)), (SWITCH(weekday(Y$4), 1, 0, 2, if(ISBLANK('2025'!$P239), 0, 1), 3, if(ISBLANK('2025'!$Q239), 0, 1), 4, if(ISBLANK('2025'!$R239), 0, 1), 5, if(ISBLANK('2025'!$S239), 0, 1), 6, if(ISBLANK('2025'!$T239), 0, 1), 7, 0))), 1, "")</f>
        <v/>
      </c>
      <c r="Z241" s="1" t="str">
        <f>IF(AND(AND(AND(Z$4&gt;='2025'!$L239,Z$4&lt;='2025'!$M239), Z$4&lt;&gt;DATE(2025,7,4)), (SWITCH(weekday(Z$4), 1, 0, 2, if(ISBLANK('2025'!$P239), 0, 1), 3, if(ISBLANK('2025'!$Q239), 0, 1), 4, if(ISBLANK('2025'!$R239), 0, 1), 5, if(ISBLANK('2025'!$S239), 0, 1), 6, if(ISBLANK('2025'!$T239), 0, 1), 7, 0))), 1, "")</f>
        <v/>
      </c>
      <c r="AA241" s="1" t="str">
        <f>IF(AND(AND(AND(AA$4&gt;='2025'!$L239,AA$4&lt;='2025'!$M239), AA$4&lt;&gt;DATE(2025,7,4)), (SWITCH(weekday(AA$4), 1, 0, 2, if(ISBLANK('2025'!$P239), 0, 1), 3, if(ISBLANK('2025'!$Q239), 0, 1), 4, if(ISBLANK('2025'!$R239), 0, 1), 5, if(ISBLANK('2025'!$S239), 0, 1), 6, if(ISBLANK('2025'!$T239), 0, 1), 7, 0))), 1, "")</f>
        <v/>
      </c>
      <c r="AB241" s="1" t="str">
        <f>IF(AND(AND(AND(AB$4&gt;='2025'!$L239,AB$4&lt;='2025'!$M239), AB$4&lt;&gt;DATE(2025,7,4)), (SWITCH(weekday(AB$4), 1, 0, 2, if(ISBLANK('2025'!$P239), 0, 1), 3, if(ISBLANK('2025'!$Q239), 0, 1), 4, if(ISBLANK('2025'!$R239), 0, 1), 5, if(ISBLANK('2025'!$S239), 0, 1), 6, if(ISBLANK('2025'!$T239), 0, 1), 7, 0))), 1, "")</f>
        <v/>
      </c>
      <c r="AC241" s="1" t="str">
        <f>IF(AND(AND(AND(AC$4&gt;='2025'!$L239,AC$4&lt;='2025'!$M239), AC$4&lt;&gt;DATE(2025,7,4)), (SWITCH(weekday(AC$4), 1, 0, 2, if(ISBLANK('2025'!$P239), 0, 1), 3, if(ISBLANK('2025'!$Q239), 0, 1), 4, if(ISBLANK('2025'!$R239), 0, 1), 5, if(ISBLANK('2025'!$S239), 0, 1), 6, if(ISBLANK('2025'!$T239), 0, 1), 7, 0))), 1, "")</f>
        <v/>
      </c>
      <c r="AD241" s="1" t="str">
        <f>IF(AND(AND(AND(AD$4&gt;='2025'!$L239,AD$4&lt;='2025'!$M239), AD$4&lt;&gt;DATE(2025,7,4)), (SWITCH(weekday(AD$4), 1, 0, 2, if(ISBLANK('2025'!$P239), 0, 1), 3, if(ISBLANK('2025'!$Q239), 0, 1), 4, if(ISBLANK('2025'!$R239), 0, 1), 5, if(ISBLANK('2025'!$S239), 0, 1), 6, if(ISBLANK('2025'!$T239), 0, 1), 7, 0))), 1, "")</f>
        <v/>
      </c>
      <c r="AE241" s="1" t="str">
        <f>IF(AND(AND(AND(AE$4&gt;='2025'!$L239,AE$4&lt;='2025'!$M239), AE$4&lt;&gt;DATE(2025,7,4)), (SWITCH(weekday(AE$4), 1, 0, 2, if(ISBLANK('2025'!$P239), 0, 1), 3, if(ISBLANK('2025'!$Q239), 0, 1), 4, if(ISBLANK('2025'!$R239), 0, 1), 5, if(ISBLANK('2025'!$S239), 0, 1), 6, if(ISBLANK('2025'!$T239), 0, 1), 7, 0))), 1, "")</f>
        <v/>
      </c>
      <c r="AF241" s="1" t="str">
        <f>IF(AND(AND(AND(AF$4&gt;='2025'!$L239,AF$4&lt;='2025'!$M239), AF$4&lt;&gt;DATE(2025,7,4)), (SWITCH(weekday(AF$4), 1, 0, 2, if(ISBLANK('2025'!$P239), 0, 1), 3, if(ISBLANK('2025'!$Q239), 0, 1), 4, if(ISBLANK('2025'!$R239), 0, 1), 5, if(ISBLANK('2025'!$S239), 0, 1), 6, if(ISBLANK('2025'!$T239), 0, 1), 7, 0))), 1, "")</f>
        <v/>
      </c>
      <c r="AG241" s="1" t="str">
        <f>IF(AND(AND(AND(AG$4&gt;='2025'!$L239,AG$4&lt;='2025'!$M239), AG$4&lt;&gt;DATE(2025,7,4)), (SWITCH(weekday(AG$4), 1, 0, 2, if(ISBLANK('2025'!$P239), 0, 1), 3, if(ISBLANK('2025'!$Q239), 0, 1), 4, if(ISBLANK('2025'!$R239), 0, 1), 5, if(ISBLANK('2025'!$S239), 0, 1), 6, if(ISBLANK('2025'!$T239), 0, 1), 7, 0))), 1, "")</f>
        <v/>
      </c>
      <c r="AH241" s="1" t="str">
        <f>IF(AND(AND(AND(AH$4&gt;='2025'!$L239,AH$4&lt;='2025'!$M239), AH$4&lt;&gt;DATE(2025,7,4)), (SWITCH(weekday(AH$4), 1, 0, 2, if(ISBLANK('2025'!$P239), 0, 1), 3, if(ISBLANK('2025'!$Q239), 0, 1), 4, if(ISBLANK('2025'!$R239), 0, 1), 5, if(ISBLANK('2025'!$S239), 0, 1), 6, if(ISBLANK('2025'!$T239), 0, 1), 7, 0))), 1, "")</f>
        <v/>
      </c>
      <c r="AI241" s="1" t="str">
        <f>IF(AND(AND(AND(AI$4&gt;='2025'!$L239,AI$4&lt;='2025'!$M239), AI$4&lt;&gt;DATE(2025,7,4)), (SWITCH(weekday(AI$4), 1, 0, 2, if(ISBLANK('2025'!$P239), 0, 1), 3, if(ISBLANK('2025'!$Q239), 0, 1), 4, if(ISBLANK('2025'!$R239), 0, 1), 5, if(ISBLANK('2025'!$S239), 0, 1), 6, if(ISBLANK('2025'!$T239), 0, 1), 7, 0))), 1, "")</f>
        <v/>
      </c>
      <c r="AJ241" s="1" t="str">
        <f>IF(AND(AND(AND(AJ$4&gt;='2025'!$L239,AJ$4&lt;='2025'!$M239), AJ$4&lt;&gt;DATE(2025,7,4)), (SWITCH(weekday(AJ$4), 1, 0, 2, if(ISBLANK('2025'!$P239), 0, 1), 3, if(ISBLANK('2025'!$Q239), 0, 1), 4, if(ISBLANK('2025'!$R239), 0, 1), 5, if(ISBLANK('2025'!$S239), 0, 1), 6, if(ISBLANK('2025'!$T239), 0, 1), 7, 0))), 1, "")</f>
        <v/>
      </c>
      <c r="AK241" s="1" t="str">
        <f>IF(AND(AND(AND(AK$4&gt;='2025'!$L239,AK$4&lt;='2025'!$M239), AK$4&lt;&gt;DATE(2025,7,4)), (SWITCH(weekday(AK$4), 1, 0, 2, if(ISBLANK('2025'!$P239), 0, 1), 3, if(ISBLANK('2025'!$Q239), 0, 1), 4, if(ISBLANK('2025'!$R239), 0, 1), 5, if(ISBLANK('2025'!$S239), 0, 1), 6, if(ISBLANK('2025'!$T239), 0, 1), 7, 0))), 1, "")</f>
        <v/>
      </c>
      <c r="AL241" s="1" t="str">
        <f>IF(AND(AND(AND(AL$4&gt;='2025'!$L239,AL$4&lt;='2025'!$M239), AL$4&lt;&gt;DATE(2025,7,4)), (SWITCH(weekday(AL$4), 1, 0, 2, if(ISBLANK('2025'!$P239), 0, 1), 3, if(ISBLANK('2025'!$Q239), 0, 1), 4, if(ISBLANK('2025'!$R239), 0, 1), 5, if(ISBLANK('2025'!$S239), 0, 1), 6, if(ISBLANK('2025'!$T239), 0, 1), 7, 0))), 1, "")</f>
        <v/>
      </c>
      <c r="AM241" s="1" t="str">
        <f>IF(AND(AND(AND(AM$4&gt;='2025'!$L239,AM$4&lt;='2025'!$M239), AM$4&lt;&gt;DATE(2025,7,4)), (SWITCH(weekday(AM$4), 1, 0, 2, if(ISBLANK('2025'!$P239), 0, 1), 3, if(ISBLANK('2025'!$Q239), 0, 1), 4, if(ISBLANK('2025'!$R239), 0, 1), 5, if(ISBLANK('2025'!$S239), 0, 1), 6, if(ISBLANK('2025'!$T239), 0, 1), 7, 0))), 1, "")</f>
        <v/>
      </c>
      <c r="AN241" s="1" t="str">
        <f>IF(AND(AND(AND(AN$4&gt;='2025'!$L239,AN$4&lt;='2025'!$M239), AN$4&lt;&gt;DATE(2025,7,4)), (SWITCH(weekday(AN$4), 1, 0, 2, if(ISBLANK('2025'!$P239), 0, 1), 3, if(ISBLANK('2025'!$Q239), 0, 1), 4, if(ISBLANK('2025'!$R239), 0, 1), 5, if(ISBLANK('2025'!$S239), 0, 1), 6, if(ISBLANK('2025'!$T239), 0, 1), 7, 0))), 1, "")</f>
        <v/>
      </c>
      <c r="AO241" s="1" t="str">
        <f>IF(AND(AND(AND(AO$4&gt;='2025'!$L239,AO$4&lt;='2025'!$M239), AO$4&lt;&gt;DATE(2025,7,4)), (SWITCH(weekday(AO$4), 1, 0, 2, if(ISBLANK('2025'!$P239), 0, 1), 3, if(ISBLANK('2025'!$Q239), 0, 1), 4, if(ISBLANK('2025'!$R239), 0, 1), 5, if(ISBLANK('2025'!$S239), 0, 1), 6, if(ISBLANK('2025'!$T239), 0, 1), 7, 0))), 1, "")</f>
        <v/>
      </c>
      <c r="AP241" s="1" t="str">
        <f>IF(AND(AND(AND(AP$4&gt;='2025'!$L239,AP$4&lt;='2025'!$M239), AP$4&lt;&gt;DATE(2025,7,4)), (SWITCH(weekday(AP$4), 1, 0, 2, if(ISBLANK('2025'!$P239), 0, 1), 3, if(ISBLANK('2025'!$Q239), 0, 1), 4, if(ISBLANK('2025'!$R239), 0, 1), 5, if(ISBLANK('2025'!$S239), 0, 1), 6, if(ISBLANK('2025'!$T239), 0, 1), 7, 0))), 1, "")</f>
        <v/>
      </c>
      <c r="AQ241" s="1" t="str">
        <f>IF(AND(AND(AND(AQ$4&gt;='2025'!$L239,AQ$4&lt;='2025'!$M239), AQ$4&lt;&gt;DATE(2025,7,4)), (SWITCH(weekday(AQ$4), 1, 0, 2, if(ISBLANK('2025'!$P239), 0, 1), 3, if(ISBLANK('2025'!$Q239), 0, 1), 4, if(ISBLANK('2025'!$R239), 0, 1), 5, if(ISBLANK('2025'!$S239), 0, 1), 6, if(ISBLANK('2025'!$T239), 0, 1), 7, 0))), 1, "")</f>
        <v/>
      </c>
      <c r="AR241" s="1" t="str">
        <f>IF(AND(AND(AND(AR$4&gt;='2025'!$L239,AR$4&lt;='2025'!$M239), AR$4&lt;&gt;DATE(2025,7,4)), (SWITCH(weekday(AR$4), 1, 0, 2, if(ISBLANK('2025'!$P239), 0, 1), 3, if(ISBLANK('2025'!$Q239), 0, 1), 4, if(ISBLANK('2025'!$R239), 0, 1), 5, if(ISBLANK('2025'!$S239), 0, 1), 6, if(ISBLANK('2025'!$T239), 0, 1), 7, 0))), 1, "")</f>
        <v/>
      </c>
      <c r="AS241" s="1" t="str">
        <f>IF(AND(AND(AND(AS$4&gt;='2025'!$L239,AS$4&lt;='2025'!$M239), AS$4&lt;&gt;DATE(2025,7,4)), (SWITCH(weekday(AS$4), 1, 0, 2, if(ISBLANK('2025'!$P239), 0, 1), 3, if(ISBLANK('2025'!$Q239), 0, 1), 4, if(ISBLANK('2025'!$R239), 0, 1), 5, if(ISBLANK('2025'!$S239), 0, 1), 6, if(ISBLANK('2025'!$T239), 0, 1), 7, 0))), 1, "")</f>
        <v/>
      </c>
      <c r="AT241" s="1" t="str">
        <f>IF(AND(AND(AND(AT$4&gt;='2025'!$L239,AT$4&lt;='2025'!$M239), AT$4&lt;&gt;DATE(2025,7,4)), (SWITCH(weekday(AT$4), 1, 0, 2, if(ISBLANK('2025'!$P239), 0, 1), 3, if(ISBLANK('2025'!$Q239), 0, 1), 4, if(ISBLANK('2025'!$R239), 0, 1), 5, if(ISBLANK('2025'!$S239), 0, 1), 6, if(ISBLANK('2025'!$T239), 0, 1), 7, 0))), 1, "")</f>
        <v/>
      </c>
      <c r="AU241" s="1" t="str">
        <f>IF(AND(AND(AND(AU$4&gt;='2025'!$L239,AU$4&lt;='2025'!$M239), AU$4&lt;&gt;DATE(2025,7,4)), (SWITCH(weekday(AU$4), 1, 0, 2, if(ISBLANK('2025'!$P239), 0, 1), 3, if(ISBLANK('2025'!$Q239), 0, 1), 4, if(ISBLANK('2025'!$R239), 0, 1), 5, if(ISBLANK('2025'!$S239), 0, 1), 6, if(ISBLANK('2025'!$T239), 0, 1), 7, 0))), 1, "")</f>
        <v/>
      </c>
      <c r="AV241" s="1" t="str">
        <f>IF(AND(AND(AND(AV$4&gt;='2025'!$L239,AV$4&lt;='2025'!$M239), AV$4&lt;&gt;DATE(2025,7,4)), (SWITCH(weekday(AV$4), 1, 0, 2, if(ISBLANK('2025'!$P239), 0, 1), 3, if(ISBLANK('2025'!$Q239), 0, 1), 4, if(ISBLANK('2025'!$R239), 0, 1), 5, if(ISBLANK('2025'!$S239), 0, 1), 6, if(ISBLANK('2025'!$T239), 0, 1), 7, 0))), 1, "")</f>
        <v/>
      </c>
      <c r="AW241" s="1" t="str">
        <f>IF(AND(AND(AND(AW$4&gt;='2025'!$L239,AW$4&lt;='2025'!$M239), AW$4&lt;&gt;DATE(2025,7,4)), (SWITCH(weekday(AW$4), 1, 0, 2, if(ISBLANK('2025'!$P239), 0, 1), 3, if(ISBLANK('2025'!$Q239), 0, 1), 4, if(ISBLANK('2025'!$R239), 0, 1), 5, if(ISBLANK('2025'!$S239), 0, 1), 6, if(ISBLANK('2025'!$T239), 0, 1), 7, 0))), 1, "")</f>
        <v/>
      </c>
      <c r="AX241" s="1" t="str">
        <f>IF(AND(AND(AND(AX$4&gt;='2025'!$L239,AX$4&lt;='2025'!$M239), AX$4&lt;&gt;DATE(2025,7,4)), (SWITCH(weekday(AX$4), 1, 0, 2, if(ISBLANK('2025'!$P239), 0, 1), 3, if(ISBLANK('2025'!$Q239), 0, 1), 4, if(ISBLANK('2025'!$R239), 0, 1), 5, if(ISBLANK('2025'!$S239), 0, 1), 6, if(ISBLANK('2025'!$T239), 0, 1), 7, 0))), 1, "")</f>
        <v/>
      </c>
      <c r="AY241" s="1" t="str">
        <f>IF(AND(AND(AND(AY$4&gt;='2025'!$L239,AY$4&lt;='2025'!$M239), AY$4&lt;&gt;DATE(2025,7,4)), (SWITCH(weekday(AY$4), 1, 0, 2, if(ISBLANK('2025'!$P239), 0, 1), 3, if(ISBLANK('2025'!$Q239), 0, 1), 4, if(ISBLANK('2025'!$R239), 0, 1), 5, if(ISBLANK('2025'!$S239), 0, 1), 6, if(ISBLANK('2025'!$T239), 0, 1), 7, 0))), 1, "")</f>
        <v/>
      </c>
      <c r="AZ241" s="1" t="str">
        <f>IF(AND(AND(AND(AZ$4&gt;='2025'!$L239,AZ$4&lt;='2025'!$M239), AZ$4&lt;&gt;DATE(2025,7,4)), (SWITCH(weekday(AZ$4), 1, 0, 2, if(ISBLANK('2025'!$P239), 0, 1), 3, if(ISBLANK('2025'!$Q239), 0, 1), 4, if(ISBLANK('2025'!$R239), 0, 1), 5, if(ISBLANK('2025'!$S239), 0, 1), 6, if(ISBLANK('2025'!$T239), 0, 1), 7, 0))), 1, "")</f>
        <v/>
      </c>
      <c r="BA241" s="1" t="str">
        <f>IF(AND(AND(AND(BA$4&gt;='2025'!$L239,BA$4&lt;='2025'!$M239), BA$4&lt;&gt;DATE(2025,7,4)), (SWITCH(weekday(BA$4), 1, 0, 2, if(ISBLANK('2025'!$P239), 0, 1), 3, if(ISBLANK('2025'!$Q239), 0, 1), 4, if(ISBLANK('2025'!$R239), 0, 1), 5, if(ISBLANK('2025'!$S239), 0, 1), 6, if(ISBLANK('2025'!$T239), 0, 1), 7, 0))), 1, "")</f>
        <v/>
      </c>
      <c r="BB241" s="1" t="str">
        <f>IF(AND(AND(AND(BB$4&gt;='2025'!$L239,BB$4&lt;='2025'!$M239), BB$4&lt;&gt;DATE(2025,7,4)), (SWITCH(weekday(BB$4), 1, 0, 2, if(ISBLANK('2025'!$P239), 0, 1), 3, if(ISBLANK('2025'!$Q239), 0, 1), 4, if(ISBLANK('2025'!$R239), 0, 1), 5, if(ISBLANK('2025'!$S239), 0, 1), 6, if(ISBLANK('2025'!$T239), 0, 1), 7, 0))), 1, "")</f>
        <v/>
      </c>
      <c r="BC241" s="1" t="str">
        <f>IF(AND(AND(AND(BC$4&gt;='2025'!$L239,BC$4&lt;='2025'!$M239), BC$4&lt;&gt;DATE(2025,7,4)), (SWITCH(weekday(BC$4), 1, 0, 2, if(ISBLANK('2025'!$P239), 0, 1), 3, if(ISBLANK('2025'!$Q239), 0, 1), 4, if(ISBLANK('2025'!$R239), 0, 1), 5, if(ISBLANK('2025'!$S239), 0, 1), 6, if(ISBLANK('2025'!$T239), 0, 1), 7, 0))), 1, "")</f>
        <v/>
      </c>
      <c r="BD241" s="1" t="str">
        <f>IF(AND(AND(AND(BD$4&gt;='2025'!$L239,BD$4&lt;='2025'!$M239), BD$4&lt;&gt;DATE(2025,7,4)), (SWITCH(weekday(BD$4), 1, 0, 2, if(ISBLANK('2025'!$P239), 0, 1), 3, if(ISBLANK('2025'!$Q239), 0, 1), 4, if(ISBLANK('2025'!$R239), 0, 1), 5, if(ISBLANK('2025'!$S239), 0, 1), 6, if(ISBLANK('2025'!$T239), 0, 1), 7, 0))), 1, "")</f>
        <v/>
      </c>
      <c r="BE241" s="1" t="str">
        <f>IF(AND(AND(AND(BE$4&gt;='2025'!$L239,BE$4&lt;='2025'!$M239), BE$4&lt;&gt;DATE(2025,7,4)), (SWITCH(weekday(BE$4), 1, 0, 2, if(ISBLANK('2025'!$P239), 0, 1), 3, if(ISBLANK('2025'!$Q239), 0, 1), 4, if(ISBLANK('2025'!$R239), 0, 1), 5, if(ISBLANK('2025'!$S239), 0, 1), 6, if(ISBLANK('2025'!$T239), 0, 1), 7, 0))), 1, "")</f>
        <v/>
      </c>
      <c r="BF241" s="1" t="str">
        <f>IF(AND(AND(AND(BF$4&gt;='2025'!$L239,BF$4&lt;='2025'!$M239), BF$4&lt;&gt;DATE(2025,7,4)), (SWITCH(weekday(BF$4), 1, 0, 2, if(ISBLANK('2025'!$P239), 0, 1), 3, if(ISBLANK('2025'!$Q239), 0, 1), 4, if(ISBLANK('2025'!$R239), 0, 1), 5, if(ISBLANK('2025'!$S239), 0, 1), 6, if(ISBLANK('2025'!$T239), 0, 1), 7, 0))), 1, "")</f>
        <v/>
      </c>
      <c r="BG241" s="1"/>
      <c r="BH241" s="1"/>
      <c r="BI241" s="1"/>
      <c r="BJ241" s="1"/>
      <c r="BK241" s="1"/>
      <c r="BL241" s="1"/>
    </row>
    <row r="242">
      <c r="A242" s="1">
        <f t="shared" si="3"/>
        <v>242</v>
      </c>
      <c r="B242" s="1" t="str">
        <f>'2025'!D206</f>
        <v>, </v>
      </c>
      <c r="C242" s="1" t="str">
        <f>'2025'!H206</f>
        <v/>
      </c>
      <c r="D242" s="1" t="str">
        <f>IF(AND(AND(AND(D$4&gt;='2025'!$L240,D$4&lt;='2025'!$M240), D$4&lt;&gt;DATE(2025,7,4)), (SWITCH(weekday(D$4), 1, 0, 2, if(ISBLANK('2025'!$P240), 0, 1), 3, if(ISBLANK('2025'!$Q240), 0, 1), 4, if(ISBLANK('2025'!$R240), 0, 1), 5, if(ISBLANK('2025'!$S240), 0, 1), 6, if(ISBLANK('2025'!$T240), 0, 1), 7, 0))), 1, "")</f>
        <v/>
      </c>
      <c r="E242" s="1" t="str">
        <f>IF(AND(AND(AND(E$4&gt;='2025'!$L240,E$4&lt;='2025'!$M240), E$4&lt;&gt;DATE(2025,7,4)), (SWITCH(weekday(E$4), 1, 0, 2, if(ISBLANK('2025'!$P240), 0, 1), 3, if(ISBLANK('2025'!$Q240), 0, 1), 4, if(ISBLANK('2025'!$R240), 0, 1), 5, if(ISBLANK('2025'!$S240), 0, 1), 6, if(ISBLANK('2025'!$T240), 0, 1), 7, 0))), 1, "")</f>
        <v/>
      </c>
      <c r="F242" s="1" t="str">
        <f>IF(AND(AND(AND(F$4&gt;='2025'!$L240,F$4&lt;='2025'!$M240), F$4&lt;&gt;DATE(2025,7,4)), (SWITCH(weekday(F$4), 1, 0, 2, if(ISBLANK('2025'!$P240), 0, 1), 3, if(ISBLANK('2025'!$Q240), 0, 1), 4, if(ISBLANK('2025'!$R240), 0, 1), 5, if(ISBLANK('2025'!$S240), 0, 1), 6, if(ISBLANK('2025'!$T240), 0, 1), 7, 0))), 1, "")</f>
        <v/>
      </c>
      <c r="G242" s="1" t="str">
        <f>IF(AND(AND(AND(G$4&gt;='2025'!$L240,G$4&lt;='2025'!$M240), G$4&lt;&gt;DATE(2025,7,4)), (SWITCH(weekday(G$4), 1, 0, 2, if(ISBLANK('2025'!$P240), 0, 1), 3, if(ISBLANK('2025'!$Q240), 0, 1), 4, if(ISBLANK('2025'!$R240), 0, 1), 5, if(ISBLANK('2025'!$S240), 0, 1), 6, if(ISBLANK('2025'!$T240), 0, 1), 7, 0))), 1, "")</f>
        <v/>
      </c>
      <c r="H242" s="1" t="str">
        <f>IF(AND(AND(AND(H$4&gt;='2025'!$L240,H$4&lt;='2025'!$M240), H$4&lt;&gt;DATE(2025,7,4)), (SWITCH(weekday(H$4), 1, 0, 2, if(ISBLANK('2025'!$P240), 0, 1), 3, if(ISBLANK('2025'!$Q240), 0, 1), 4, if(ISBLANK('2025'!$R240), 0, 1), 5, if(ISBLANK('2025'!$S240), 0, 1), 6, if(ISBLANK('2025'!$T240), 0, 1), 7, 0))), 1, "")</f>
        <v/>
      </c>
      <c r="I242" s="1" t="str">
        <f>IF(AND(AND(AND(I$4&gt;='2025'!$L240,I$4&lt;='2025'!$M240), I$4&lt;&gt;DATE(2025,7,4)), (SWITCH(weekday(I$4), 1, 0, 2, if(ISBLANK('2025'!$P240), 0, 1), 3, if(ISBLANK('2025'!$Q240), 0, 1), 4, if(ISBLANK('2025'!$R240), 0, 1), 5, if(ISBLANK('2025'!$S240), 0, 1), 6, if(ISBLANK('2025'!$T240), 0, 1), 7, 0))), 1, "")</f>
        <v/>
      </c>
      <c r="J242" s="1" t="str">
        <f>IF(AND(AND(AND(J$4&gt;='2025'!$L240,J$4&lt;='2025'!$M240), J$4&lt;&gt;DATE(2025,7,4)), (SWITCH(weekday(J$4), 1, 0, 2, if(ISBLANK('2025'!$P240), 0, 1), 3, if(ISBLANK('2025'!$Q240), 0, 1), 4, if(ISBLANK('2025'!$R240), 0, 1), 5, if(ISBLANK('2025'!$S240), 0, 1), 6, if(ISBLANK('2025'!$T240), 0, 1), 7, 0))), 1, "")</f>
        <v/>
      </c>
      <c r="K242" s="1" t="str">
        <f>IF(AND(AND(AND(K$4&gt;='2025'!$L240,K$4&lt;='2025'!$M240), K$4&lt;&gt;DATE(2025,7,4)), (SWITCH(weekday(K$4), 1, 0, 2, if(ISBLANK('2025'!$P240), 0, 1), 3, if(ISBLANK('2025'!$Q240), 0, 1), 4, if(ISBLANK('2025'!$R240), 0, 1), 5, if(ISBLANK('2025'!$S240), 0, 1), 6, if(ISBLANK('2025'!$T240), 0, 1), 7, 0))), 1, "")</f>
        <v/>
      </c>
      <c r="L242" s="1" t="str">
        <f>IF(AND(AND(AND(L$4&gt;='2025'!$L240,L$4&lt;='2025'!$M240), L$4&lt;&gt;DATE(2025,7,4)), (SWITCH(weekday(L$4), 1, 0, 2, if(ISBLANK('2025'!$P240), 0, 1), 3, if(ISBLANK('2025'!$Q240), 0, 1), 4, if(ISBLANK('2025'!$R240), 0, 1), 5, if(ISBLANK('2025'!$S240), 0, 1), 6, if(ISBLANK('2025'!$T240), 0, 1), 7, 0))), 1, "")</f>
        <v/>
      </c>
      <c r="M242" s="1" t="str">
        <f>IF(AND(AND(AND(M$4&gt;='2025'!$L240,M$4&lt;='2025'!$M240), M$4&lt;&gt;DATE(2025,7,4)), (SWITCH(weekday(M$4), 1, 0, 2, if(ISBLANK('2025'!$P240), 0, 1), 3, if(ISBLANK('2025'!$Q240), 0, 1), 4, if(ISBLANK('2025'!$R240), 0, 1), 5, if(ISBLANK('2025'!$S240), 0, 1), 6, if(ISBLANK('2025'!$T240), 0, 1), 7, 0))), 1, "")</f>
        <v/>
      </c>
      <c r="N242" s="1" t="str">
        <f>IF(AND(AND(AND(N$4&gt;='2025'!$L240,N$4&lt;='2025'!$M240), N$4&lt;&gt;DATE(2025,7,4)), (SWITCH(weekday(N$4), 1, 0, 2, if(ISBLANK('2025'!$P240), 0, 1), 3, if(ISBLANK('2025'!$Q240), 0, 1), 4, if(ISBLANK('2025'!$R240), 0, 1), 5, if(ISBLANK('2025'!$S240), 0, 1), 6, if(ISBLANK('2025'!$T240), 0, 1), 7, 0))), 1, "")</f>
        <v/>
      </c>
      <c r="O242" s="1" t="str">
        <f>IF(AND(AND(AND(O$4&gt;='2025'!$L240,O$4&lt;='2025'!$M240), O$4&lt;&gt;DATE(2025,7,4)), (SWITCH(weekday(O$4), 1, 0, 2, if(ISBLANK('2025'!$P240), 0, 1), 3, if(ISBLANK('2025'!$Q240), 0, 1), 4, if(ISBLANK('2025'!$R240), 0, 1), 5, if(ISBLANK('2025'!$S240), 0, 1), 6, if(ISBLANK('2025'!$T240), 0, 1), 7, 0))), 1, "")</f>
        <v/>
      </c>
      <c r="P242" s="1" t="str">
        <f>IF(AND(AND(AND(P$4&gt;='2025'!$L240,P$4&lt;='2025'!$M240), P$4&lt;&gt;DATE(2025,7,4)), (SWITCH(weekday(P$4), 1, 0, 2, if(ISBLANK('2025'!$P240), 0, 1), 3, if(ISBLANK('2025'!$Q240), 0, 1), 4, if(ISBLANK('2025'!$R240), 0, 1), 5, if(ISBLANK('2025'!$S240), 0, 1), 6, if(ISBLANK('2025'!$T240), 0, 1), 7, 0))), 1, "")</f>
        <v/>
      </c>
      <c r="Q242" s="1" t="str">
        <f>IF(AND(AND(AND(Q$4&gt;='2025'!$L240,Q$4&lt;='2025'!$M240), Q$4&lt;&gt;DATE(2025,7,4)), (SWITCH(weekday(Q$4), 1, 0, 2, if(ISBLANK('2025'!$P240), 0, 1), 3, if(ISBLANK('2025'!$Q240), 0, 1), 4, if(ISBLANK('2025'!$R240), 0, 1), 5, if(ISBLANK('2025'!$S240), 0, 1), 6, if(ISBLANK('2025'!$T240), 0, 1), 7, 0))), 1, "")</f>
        <v/>
      </c>
      <c r="R242" s="1" t="str">
        <f>IF(AND(AND(AND(R$4&gt;='2025'!$L240,R$4&lt;='2025'!$M240), R$4&lt;&gt;DATE(2025,7,4)), (SWITCH(weekday(R$4), 1, 0, 2, if(ISBLANK('2025'!$P240), 0, 1), 3, if(ISBLANK('2025'!$Q240), 0, 1), 4, if(ISBLANK('2025'!$R240), 0, 1), 5, if(ISBLANK('2025'!$S240), 0, 1), 6, if(ISBLANK('2025'!$T240), 0, 1), 7, 0))), 1, "")</f>
        <v/>
      </c>
      <c r="S242" s="1" t="str">
        <f>IF(AND(AND(AND(S$4&gt;='2025'!$L240,S$4&lt;='2025'!$M240), S$4&lt;&gt;DATE(2025,7,4)), (SWITCH(weekday(S$4), 1, 0, 2, if(ISBLANK('2025'!$P240), 0, 1), 3, if(ISBLANK('2025'!$Q240), 0, 1), 4, if(ISBLANK('2025'!$R240), 0, 1), 5, if(ISBLANK('2025'!$S240), 0, 1), 6, if(ISBLANK('2025'!$T240), 0, 1), 7, 0))), 1, "")</f>
        <v/>
      </c>
      <c r="T242" s="1" t="str">
        <f>IF(AND(AND(AND(T$4&gt;='2025'!$L240,T$4&lt;='2025'!$M240), T$4&lt;&gt;DATE(2025,7,4)), (SWITCH(weekday(T$4), 1, 0, 2, if(ISBLANK('2025'!$P240), 0, 1), 3, if(ISBLANK('2025'!$Q240), 0, 1), 4, if(ISBLANK('2025'!$R240), 0, 1), 5, if(ISBLANK('2025'!$S240), 0, 1), 6, if(ISBLANK('2025'!$T240), 0, 1), 7, 0))), 1, "")</f>
        <v/>
      </c>
      <c r="U242" s="1" t="str">
        <f>IF(AND(AND(AND(U$4&gt;='2025'!$L240,U$4&lt;='2025'!$M240), U$4&lt;&gt;DATE(2025,7,4)), (SWITCH(weekday(U$4), 1, 0, 2, if(ISBLANK('2025'!$P240), 0, 1), 3, if(ISBLANK('2025'!$Q240), 0, 1), 4, if(ISBLANK('2025'!$R240), 0, 1), 5, if(ISBLANK('2025'!$S240), 0, 1), 6, if(ISBLANK('2025'!$T240), 0, 1), 7, 0))), 1, "")</f>
        <v/>
      </c>
      <c r="V242" s="1" t="str">
        <f>IF(AND(AND(AND(V$4&gt;='2025'!$L240,V$4&lt;='2025'!$M240), V$4&lt;&gt;DATE(2025,7,4)), (SWITCH(weekday(V$4), 1, 0, 2, if(ISBLANK('2025'!$P240), 0, 1), 3, if(ISBLANK('2025'!$Q240), 0, 1), 4, if(ISBLANK('2025'!$R240), 0, 1), 5, if(ISBLANK('2025'!$S240), 0, 1), 6, if(ISBLANK('2025'!$T240), 0, 1), 7, 0))), 1, "")</f>
        <v/>
      </c>
      <c r="W242" s="1" t="str">
        <f>IF(AND(AND(AND(W$4&gt;='2025'!$L240,W$4&lt;='2025'!$M240), W$4&lt;&gt;DATE(2025,7,4)), (SWITCH(weekday(W$4), 1, 0, 2, if(ISBLANK('2025'!$P240), 0, 1), 3, if(ISBLANK('2025'!$Q240), 0, 1), 4, if(ISBLANK('2025'!$R240), 0, 1), 5, if(ISBLANK('2025'!$S240), 0, 1), 6, if(ISBLANK('2025'!$T240), 0, 1), 7, 0))), 1, "")</f>
        <v/>
      </c>
      <c r="X242" s="1" t="str">
        <f>IF(AND(AND(AND(X$4&gt;='2025'!$L240,X$4&lt;='2025'!$M240), X$4&lt;&gt;DATE(2025,7,4)), (SWITCH(weekday(X$4), 1, 0, 2, if(ISBLANK('2025'!$P240), 0, 1), 3, if(ISBLANK('2025'!$Q240), 0, 1), 4, if(ISBLANK('2025'!$R240), 0, 1), 5, if(ISBLANK('2025'!$S240), 0, 1), 6, if(ISBLANK('2025'!$T240), 0, 1), 7, 0))), 1, "")</f>
        <v/>
      </c>
      <c r="Y242" s="1" t="str">
        <f>IF(AND(AND(AND(Y$4&gt;='2025'!$L240,Y$4&lt;='2025'!$M240), Y$4&lt;&gt;DATE(2025,7,4)), (SWITCH(weekday(Y$4), 1, 0, 2, if(ISBLANK('2025'!$P240), 0, 1), 3, if(ISBLANK('2025'!$Q240), 0, 1), 4, if(ISBLANK('2025'!$R240), 0, 1), 5, if(ISBLANK('2025'!$S240), 0, 1), 6, if(ISBLANK('2025'!$T240), 0, 1), 7, 0))), 1, "")</f>
        <v/>
      </c>
      <c r="Z242" s="1" t="str">
        <f>IF(AND(AND(AND(Z$4&gt;='2025'!$L240,Z$4&lt;='2025'!$M240), Z$4&lt;&gt;DATE(2025,7,4)), (SWITCH(weekday(Z$4), 1, 0, 2, if(ISBLANK('2025'!$P240), 0, 1), 3, if(ISBLANK('2025'!$Q240), 0, 1), 4, if(ISBLANK('2025'!$R240), 0, 1), 5, if(ISBLANK('2025'!$S240), 0, 1), 6, if(ISBLANK('2025'!$T240), 0, 1), 7, 0))), 1, "")</f>
        <v/>
      </c>
      <c r="AA242" s="1" t="str">
        <f>IF(AND(AND(AND(AA$4&gt;='2025'!$L240,AA$4&lt;='2025'!$M240), AA$4&lt;&gt;DATE(2025,7,4)), (SWITCH(weekday(AA$4), 1, 0, 2, if(ISBLANK('2025'!$P240), 0, 1), 3, if(ISBLANK('2025'!$Q240), 0, 1), 4, if(ISBLANK('2025'!$R240), 0, 1), 5, if(ISBLANK('2025'!$S240), 0, 1), 6, if(ISBLANK('2025'!$T240), 0, 1), 7, 0))), 1, "")</f>
        <v/>
      </c>
      <c r="AB242" s="1" t="str">
        <f>IF(AND(AND(AND(AB$4&gt;='2025'!$L240,AB$4&lt;='2025'!$M240), AB$4&lt;&gt;DATE(2025,7,4)), (SWITCH(weekday(AB$4), 1, 0, 2, if(ISBLANK('2025'!$P240), 0, 1), 3, if(ISBLANK('2025'!$Q240), 0, 1), 4, if(ISBLANK('2025'!$R240), 0, 1), 5, if(ISBLANK('2025'!$S240), 0, 1), 6, if(ISBLANK('2025'!$T240), 0, 1), 7, 0))), 1, "")</f>
        <v/>
      </c>
      <c r="AC242" s="1" t="str">
        <f>IF(AND(AND(AND(AC$4&gt;='2025'!$L240,AC$4&lt;='2025'!$M240), AC$4&lt;&gt;DATE(2025,7,4)), (SWITCH(weekday(AC$4), 1, 0, 2, if(ISBLANK('2025'!$P240), 0, 1), 3, if(ISBLANK('2025'!$Q240), 0, 1), 4, if(ISBLANK('2025'!$R240), 0, 1), 5, if(ISBLANK('2025'!$S240), 0, 1), 6, if(ISBLANK('2025'!$T240), 0, 1), 7, 0))), 1, "")</f>
        <v/>
      </c>
      <c r="AD242" s="1" t="str">
        <f>IF(AND(AND(AND(AD$4&gt;='2025'!$L240,AD$4&lt;='2025'!$M240), AD$4&lt;&gt;DATE(2025,7,4)), (SWITCH(weekday(AD$4), 1, 0, 2, if(ISBLANK('2025'!$P240), 0, 1), 3, if(ISBLANK('2025'!$Q240), 0, 1), 4, if(ISBLANK('2025'!$R240), 0, 1), 5, if(ISBLANK('2025'!$S240), 0, 1), 6, if(ISBLANK('2025'!$T240), 0, 1), 7, 0))), 1, "")</f>
        <v/>
      </c>
      <c r="AE242" s="1" t="str">
        <f>IF(AND(AND(AND(AE$4&gt;='2025'!$L240,AE$4&lt;='2025'!$M240), AE$4&lt;&gt;DATE(2025,7,4)), (SWITCH(weekday(AE$4), 1, 0, 2, if(ISBLANK('2025'!$P240), 0, 1), 3, if(ISBLANK('2025'!$Q240), 0, 1), 4, if(ISBLANK('2025'!$R240), 0, 1), 5, if(ISBLANK('2025'!$S240), 0, 1), 6, if(ISBLANK('2025'!$T240), 0, 1), 7, 0))), 1, "")</f>
        <v/>
      </c>
      <c r="AF242" s="1" t="str">
        <f>IF(AND(AND(AND(AF$4&gt;='2025'!$L240,AF$4&lt;='2025'!$M240), AF$4&lt;&gt;DATE(2025,7,4)), (SWITCH(weekday(AF$4), 1, 0, 2, if(ISBLANK('2025'!$P240), 0, 1), 3, if(ISBLANK('2025'!$Q240), 0, 1), 4, if(ISBLANK('2025'!$R240), 0, 1), 5, if(ISBLANK('2025'!$S240), 0, 1), 6, if(ISBLANK('2025'!$T240), 0, 1), 7, 0))), 1, "")</f>
        <v/>
      </c>
      <c r="AG242" s="1" t="str">
        <f>IF(AND(AND(AND(AG$4&gt;='2025'!$L240,AG$4&lt;='2025'!$M240), AG$4&lt;&gt;DATE(2025,7,4)), (SWITCH(weekday(AG$4), 1, 0, 2, if(ISBLANK('2025'!$P240), 0, 1), 3, if(ISBLANK('2025'!$Q240), 0, 1), 4, if(ISBLANK('2025'!$R240), 0, 1), 5, if(ISBLANK('2025'!$S240), 0, 1), 6, if(ISBLANK('2025'!$T240), 0, 1), 7, 0))), 1, "")</f>
        <v/>
      </c>
      <c r="AH242" s="1" t="str">
        <f>IF(AND(AND(AND(AH$4&gt;='2025'!$L240,AH$4&lt;='2025'!$M240), AH$4&lt;&gt;DATE(2025,7,4)), (SWITCH(weekday(AH$4), 1, 0, 2, if(ISBLANK('2025'!$P240), 0, 1), 3, if(ISBLANK('2025'!$Q240), 0, 1), 4, if(ISBLANK('2025'!$R240), 0, 1), 5, if(ISBLANK('2025'!$S240), 0, 1), 6, if(ISBLANK('2025'!$T240), 0, 1), 7, 0))), 1, "")</f>
        <v/>
      </c>
      <c r="AI242" s="1" t="str">
        <f>IF(AND(AND(AND(AI$4&gt;='2025'!$L240,AI$4&lt;='2025'!$M240), AI$4&lt;&gt;DATE(2025,7,4)), (SWITCH(weekday(AI$4), 1, 0, 2, if(ISBLANK('2025'!$P240), 0, 1), 3, if(ISBLANK('2025'!$Q240), 0, 1), 4, if(ISBLANK('2025'!$R240), 0, 1), 5, if(ISBLANK('2025'!$S240), 0, 1), 6, if(ISBLANK('2025'!$T240), 0, 1), 7, 0))), 1, "")</f>
        <v/>
      </c>
      <c r="AJ242" s="1" t="str">
        <f>IF(AND(AND(AND(AJ$4&gt;='2025'!$L240,AJ$4&lt;='2025'!$M240), AJ$4&lt;&gt;DATE(2025,7,4)), (SWITCH(weekday(AJ$4), 1, 0, 2, if(ISBLANK('2025'!$P240), 0, 1), 3, if(ISBLANK('2025'!$Q240), 0, 1), 4, if(ISBLANK('2025'!$R240), 0, 1), 5, if(ISBLANK('2025'!$S240), 0, 1), 6, if(ISBLANK('2025'!$T240), 0, 1), 7, 0))), 1, "")</f>
        <v/>
      </c>
      <c r="AK242" s="1" t="str">
        <f>IF(AND(AND(AND(AK$4&gt;='2025'!$L240,AK$4&lt;='2025'!$M240), AK$4&lt;&gt;DATE(2025,7,4)), (SWITCH(weekday(AK$4), 1, 0, 2, if(ISBLANK('2025'!$P240), 0, 1), 3, if(ISBLANK('2025'!$Q240), 0, 1), 4, if(ISBLANK('2025'!$R240), 0, 1), 5, if(ISBLANK('2025'!$S240), 0, 1), 6, if(ISBLANK('2025'!$T240), 0, 1), 7, 0))), 1, "")</f>
        <v/>
      </c>
      <c r="AL242" s="1" t="str">
        <f>IF(AND(AND(AND(AL$4&gt;='2025'!$L240,AL$4&lt;='2025'!$M240), AL$4&lt;&gt;DATE(2025,7,4)), (SWITCH(weekday(AL$4), 1, 0, 2, if(ISBLANK('2025'!$P240), 0, 1), 3, if(ISBLANK('2025'!$Q240), 0, 1), 4, if(ISBLANK('2025'!$R240), 0, 1), 5, if(ISBLANK('2025'!$S240), 0, 1), 6, if(ISBLANK('2025'!$T240), 0, 1), 7, 0))), 1, "")</f>
        <v/>
      </c>
      <c r="AM242" s="1" t="str">
        <f>IF(AND(AND(AND(AM$4&gt;='2025'!$L240,AM$4&lt;='2025'!$M240), AM$4&lt;&gt;DATE(2025,7,4)), (SWITCH(weekday(AM$4), 1, 0, 2, if(ISBLANK('2025'!$P240), 0, 1), 3, if(ISBLANK('2025'!$Q240), 0, 1), 4, if(ISBLANK('2025'!$R240), 0, 1), 5, if(ISBLANK('2025'!$S240), 0, 1), 6, if(ISBLANK('2025'!$T240), 0, 1), 7, 0))), 1, "")</f>
        <v/>
      </c>
      <c r="AN242" s="1" t="str">
        <f>IF(AND(AND(AND(AN$4&gt;='2025'!$L240,AN$4&lt;='2025'!$M240), AN$4&lt;&gt;DATE(2025,7,4)), (SWITCH(weekday(AN$4), 1, 0, 2, if(ISBLANK('2025'!$P240), 0, 1), 3, if(ISBLANK('2025'!$Q240), 0, 1), 4, if(ISBLANK('2025'!$R240), 0, 1), 5, if(ISBLANK('2025'!$S240), 0, 1), 6, if(ISBLANK('2025'!$T240), 0, 1), 7, 0))), 1, "")</f>
        <v/>
      </c>
      <c r="AO242" s="1" t="str">
        <f>IF(AND(AND(AND(AO$4&gt;='2025'!$L240,AO$4&lt;='2025'!$M240), AO$4&lt;&gt;DATE(2025,7,4)), (SWITCH(weekday(AO$4), 1, 0, 2, if(ISBLANK('2025'!$P240), 0, 1), 3, if(ISBLANK('2025'!$Q240), 0, 1), 4, if(ISBLANK('2025'!$R240), 0, 1), 5, if(ISBLANK('2025'!$S240), 0, 1), 6, if(ISBLANK('2025'!$T240), 0, 1), 7, 0))), 1, "")</f>
        <v/>
      </c>
      <c r="AP242" s="1" t="str">
        <f>IF(AND(AND(AND(AP$4&gt;='2025'!$L240,AP$4&lt;='2025'!$M240), AP$4&lt;&gt;DATE(2025,7,4)), (SWITCH(weekday(AP$4), 1, 0, 2, if(ISBLANK('2025'!$P240), 0, 1), 3, if(ISBLANK('2025'!$Q240), 0, 1), 4, if(ISBLANK('2025'!$R240), 0, 1), 5, if(ISBLANK('2025'!$S240), 0, 1), 6, if(ISBLANK('2025'!$T240), 0, 1), 7, 0))), 1, "")</f>
        <v/>
      </c>
      <c r="AQ242" s="1" t="str">
        <f>IF(AND(AND(AND(AQ$4&gt;='2025'!$L240,AQ$4&lt;='2025'!$M240), AQ$4&lt;&gt;DATE(2025,7,4)), (SWITCH(weekday(AQ$4), 1, 0, 2, if(ISBLANK('2025'!$P240), 0, 1), 3, if(ISBLANK('2025'!$Q240), 0, 1), 4, if(ISBLANK('2025'!$R240), 0, 1), 5, if(ISBLANK('2025'!$S240), 0, 1), 6, if(ISBLANK('2025'!$T240), 0, 1), 7, 0))), 1, "")</f>
        <v/>
      </c>
      <c r="AR242" s="1" t="str">
        <f>IF(AND(AND(AND(AR$4&gt;='2025'!$L240,AR$4&lt;='2025'!$M240), AR$4&lt;&gt;DATE(2025,7,4)), (SWITCH(weekday(AR$4), 1, 0, 2, if(ISBLANK('2025'!$P240), 0, 1), 3, if(ISBLANK('2025'!$Q240), 0, 1), 4, if(ISBLANK('2025'!$R240), 0, 1), 5, if(ISBLANK('2025'!$S240), 0, 1), 6, if(ISBLANK('2025'!$T240), 0, 1), 7, 0))), 1, "")</f>
        <v/>
      </c>
      <c r="AS242" s="1" t="str">
        <f>IF(AND(AND(AND(AS$4&gt;='2025'!$L240,AS$4&lt;='2025'!$M240), AS$4&lt;&gt;DATE(2025,7,4)), (SWITCH(weekday(AS$4), 1, 0, 2, if(ISBLANK('2025'!$P240), 0, 1), 3, if(ISBLANK('2025'!$Q240), 0, 1), 4, if(ISBLANK('2025'!$R240), 0, 1), 5, if(ISBLANK('2025'!$S240), 0, 1), 6, if(ISBLANK('2025'!$T240), 0, 1), 7, 0))), 1, "")</f>
        <v/>
      </c>
      <c r="AT242" s="1" t="str">
        <f>IF(AND(AND(AND(AT$4&gt;='2025'!$L240,AT$4&lt;='2025'!$M240), AT$4&lt;&gt;DATE(2025,7,4)), (SWITCH(weekday(AT$4), 1, 0, 2, if(ISBLANK('2025'!$P240), 0, 1), 3, if(ISBLANK('2025'!$Q240), 0, 1), 4, if(ISBLANK('2025'!$R240), 0, 1), 5, if(ISBLANK('2025'!$S240), 0, 1), 6, if(ISBLANK('2025'!$T240), 0, 1), 7, 0))), 1, "")</f>
        <v/>
      </c>
      <c r="AU242" s="1" t="str">
        <f>IF(AND(AND(AND(AU$4&gt;='2025'!$L240,AU$4&lt;='2025'!$M240), AU$4&lt;&gt;DATE(2025,7,4)), (SWITCH(weekday(AU$4), 1, 0, 2, if(ISBLANK('2025'!$P240), 0, 1), 3, if(ISBLANK('2025'!$Q240), 0, 1), 4, if(ISBLANK('2025'!$R240), 0, 1), 5, if(ISBLANK('2025'!$S240), 0, 1), 6, if(ISBLANK('2025'!$T240), 0, 1), 7, 0))), 1, "")</f>
        <v/>
      </c>
      <c r="AV242" s="1" t="str">
        <f>IF(AND(AND(AND(AV$4&gt;='2025'!$L240,AV$4&lt;='2025'!$M240), AV$4&lt;&gt;DATE(2025,7,4)), (SWITCH(weekday(AV$4), 1, 0, 2, if(ISBLANK('2025'!$P240), 0, 1), 3, if(ISBLANK('2025'!$Q240), 0, 1), 4, if(ISBLANK('2025'!$R240), 0, 1), 5, if(ISBLANK('2025'!$S240), 0, 1), 6, if(ISBLANK('2025'!$T240), 0, 1), 7, 0))), 1, "")</f>
        <v/>
      </c>
      <c r="AW242" s="1" t="str">
        <f>IF(AND(AND(AND(AW$4&gt;='2025'!$L240,AW$4&lt;='2025'!$M240), AW$4&lt;&gt;DATE(2025,7,4)), (SWITCH(weekday(AW$4), 1, 0, 2, if(ISBLANK('2025'!$P240), 0, 1), 3, if(ISBLANK('2025'!$Q240), 0, 1), 4, if(ISBLANK('2025'!$R240), 0, 1), 5, if(ISBLANK('2025'!$S240), 0, 1), 6, if(ISBLANK('2025'!$T240), 0, 1), 7, 0))), 1, "")</f>
        <v/>
      </c>
      <c r="AX242" s="1" t="str">
        <f>IF(AND(AND(AND(AX$4&gt;='2025'!$L240,AX$4&lt;='2025'!$M240), AX$4&lt;&gt;DATE(2025,7,4)), (SWITCH(weekday(AX$4), 1, 0, 2, if(ISBLANK('2025'!$P240), 0, 1), 3, if(ISBLANK('2025'!$Q240), 0, 1), 4, if(ISBLANK('2025'!$R240), 0, 1), 5, if(ISBLANK('2025'!$S240), 0, 1), 6, if(ISBLANK('2025'!$T240), 0, 1), 7, 0))), 1, "")</f>
        <v/>
      </c>
      <c r="AY242" s="1" t="str">
        <f>IF(AND(AND(AND(AY$4&gt;='2025'!$L240,AY$4&lt;='2025'!$M240), AY$4&lt;&gt;DATE(2025,7,4)), (SWITCH(weekday(AY$4), 1, 0, 2, if(ISBLANK('2025'!$P240), 0, 1), 3, if(ISBLANK('2025'!$Q240), 0, 1), 4, if(ISBLANK('2025'!$R240), 0, 1), 5, if(ISBLANK('2025'!$S240), 0, 1), 6, if(ISBLANK('2025'!$T240), 0, 1), 7, 0))), 1, "")</f>
        <v/>
      </c>
      <c r="AZ242" s="1" t="str">
        <f>IF(AND(AND(AND(AZ$4&gt;='2025'!$L240,AZ$4&lt;='2025'!$M240), AZ$4&lt;&gt;DATE(2025,7,4)), (SWITCH(weekday(AZ$4), 1, 0, 2, if(ISBLANK('2025'!$P240), 0, 1), 3, if(ISBLANK('2025'!$Q240), 0, 1), 4, if(ISBLANK('2025'!$R240), 0, 1), 5, if(ISBLANK('2025'!$S240), 0, 1), 6, if(ISBLANK('2025'!$T240), 0, 1), 7, 0))), 1, "")</f>
        <v/>
      </c>
      <c r="BA242" s="1" t="str">
        <f>IF(AND(AND(AND(BA$4&gt;='2025'!$L240,BA$4&lt;='2025'!$M240), BA$4&lt;&gt;DATE(2025,7,4)), (SWITCH(weekday(BA$4), 1, 0, 2, if(ISBLANK('2025'!$P240), 0, 1), 3, if(ISBLANK('2025'!$Q240), 0, 1), 4, if(ISBLANK('2025'!$R240), 0, 1), 5, if(ISBLANK('2025'!$S240), 0, 1), 6, if(ISBLANK('2025'!$T240), 0, 1), 7, 0))), 1, "")</f>
        <v/>
      </c>
      <c r="BB242" s="1" t="str">
        <f>IF(AND(AND(AND(BB$4&gt;='2025'!$L240,BB$4&lt;='2025'!$M240), BB$4&lt;&gt;DATE(2025,7,4)), (SWITCH(weekday(BB$4), 1, 0, 2, if(ISBLANK('2025'!$P240), 0, 1), 3, if(ISBLANK('2025'!$Q240), 0, 1), 4, if(ISBLANK('2025'!$R240), 0, 1), 5, if(ISBLANK('2025'!$S240), 0, 1), 6, if(ISBLANK('2025'!$T240), 0, 1), 7, 0))), 1, "")</f>
        <v/>
      </c>
      <c r="BC242" s="1" t="str">
        <f>IF(AND(AND(AND(BC$4&gt;='2025'!$L240,BC$4&lt;='2025'!$M240), BC$4&lt;&gt;DATE(2025,7,4)), (SWITCH(weekday(BC$4), 1, 0, 2, if(ISBLANK('2025'!$P240), 0, 1), 3, if(ISBLANK('2025'!$Q240), 0, 1), 4, if(ISBLANK('2025'!$R240), 0, 1), 5, if(ISBLANK('2025'!$S240), 0, 1), 6, if(ISBLANK('2025'!$T240), 0, 1), 7, 0))), 1, "")</f>
        <v/>
      </c>
      <c r="BD242" s="1" t="str">
        <f>IF(AND(AND(AND(BD$4&gt;='2025'!$L240,BD$4&lt;='2025'!$M240), BD$4&lt;&gt;DATE(2025,7,4)), (SWITCH(weekday(BD$4), 1, 0, 2, if(ISBLANK('2025'!$P240), 0, 1), 3, if(ISBLANK('2025'!$Q240), 0, 1), 4, if(ISBLANK('2025'!$R240), 0, 1), 5, if(ISBLANK('2025'!$S240), 0, 1), 6, if(ISBLANK('2025'!$T240), 0, 1), 7, 0))), 1, "")</f>
        <v/>
      </c>
      <c r="BE242" s="1" t="str">
        <f>IF(AND(AND(AND(BE$4&gt;='2025'!$L240,BE$4&lt;='2025'!$M240), BE$4&lt;&gt;DATE(2025,7,4)), (SWITCH(weekday(BE$4), 1, 0, 2, if(ISBLANK('2025'!$P240), 0, 1), 3, if(ISBLANK('2025'!$Q240), 0, 1), 4, if(ISBLANK('2025'!$R240), 0, 1), 5, if(ISBLANK('2025'!$S240), 0, 1), 6, if(ISBLANK('2025'!$T240), 0, 1), 7, 0))), 1, "")</f>
        <v/>
      </c>
      <c r="BF242" s="1" t="str">
        <f>IF(AND(AND(AND(BF$4&gt;='2025'!$L240,BF$4&lt;='2025'!$M240), BF$4&lt;&gt;DATE(2025,7,4)), (SWITCH(weekday(BF$4), 1, 0, 2, if(ISBLANK('2025'!$P240), 0, 1), 3, if(ISBLANK('2025'!$Q240), 0, 1), 4, if(ISBLANK('2025'!$R240), 0, 1), 5, if(ISBLANK('2025'!$S240), 0, 1), 6, if(ISBLANK('2025'!$T240), 0, 1), 7, 0))), 1, "")</f>
        <v/>
      </c>
      <c r="BG242" s="1"/>
      <c r="BH242" s="1"/>
      <c r="BI242" s="1"/>
      <c r="BJ242" s="1"/>
      <c r="BK242" s="1"/>
      <c r="BL242" s="1"/>
    </row>
    <row r="243">
      <c r="A243" s="1">
        <f t="shared" si="3"/>
        <v>243</v>
      </c>
      <c r="B243" s="1" t="str">
        <f>'2025'!D207</f>
        <v>, </v>
      </c>
      <c r="C243" s="1" t="str">
        <f>'2025'!H207</f>
        <v/>
      </c>
      <c r="D243" s="1" t="str">
        <f>IF(AND(AND(AND(D$4&gt;='2025'!$L241,D$4&lt;='2025'!$M241), D$4&lt;&gt;DATE(2025,7,4)), (SWITCH(weekday(D$4), 1, 0, 2, if(ISBLANK('2025'!$P241), 0, 1), 3, if(ISBLANK('2025'!$Q241), 0, 1), 4, if(ISBLANK('2025'!$R241), 0, 1), 5, if(ISBLANK('2025'!$S241), 0, 1), 6, if(ISBLANK('2025'!$T241), 0, 1), 7, 0))), 1, "")</f>
        <v/>
      </c>
      <c r="E243" s="1" t="str">
        <f>IF(AND(AND(AND(E$4&gt;='2025'!$L241,E$4&lt;='2025'!$M241), E$4&lt;&gt;DATE(2025,7,4)), (SWITCH(weekday(E$4), 1, 0, 2, if(ISBLANK('2025'!$P241), 0, 1), 3, if(ISBLANK('2025'!$Q241), 0, 1), 4, if(ISBLANK('2025'!$R241), 0, 1), 5, if(ISBLANK('2025'!$S241), 0, 1), 6, if(ISBLANK('2025'!$T241), 0, 1), 7, 0))), 1, "")</f>
        <v/>
      </c>
      <c r="F243" s="1" t="str">
        <f>IF(AND(AND(AND(F$4&gt;='2025'!$L241,F$4&lt;='2025'!$M241), F$4&lt;&gt;DATE(2025,7,4)), (SWITCH(weekday(F$4), 1, 0, 2, if(ISBLANK('2025'!$P241), 0, 1), 3, if(ISBLANK('2025'!$Q241), 0, 1), 4, if(ISBLANK('2025'!$R241), 0, 1), 5, if(ISBLANK('2025'!$S241), 0, 1), 6, if(ISBLANK('2025'!$T241), 0, 1), 7, 0))), 1, "")</f>
        <v/>
      </c>
      <c r="G243" s="1" t="str">
        <f>IF(AND(AND(AND(G$4&gt;='2025'!$L241,G$4&lt;='2025'!$M241), G$4&lt;&gt;DATE(2025,7,4)), (SWITCH(weekday(G$4), 1, 0, 2, if(ISBLANK('2025'!$P241), 0, 1), 3, if(ISBLANK('2025'!$Q241), 0, 1), 4, if(ISBLANK('2025'!$R241), 0, 1), 5, if(ISBLANK('2025'!$S241), 0, 1), 6, if(ISBLANK('2025'!$T241), 0, 1), 7, 0))), 1, "")</f>
        <v/>
      </c>
      <c r="H243" s="1" t="str">
        <f>IF(AND(AND(AND(H$4&gt;='2025'!$L241,H$4&lt;='2025'!$M241), H$4&lt;&gt;DATE(2025,7,4)), (SWITCH(weekday(H$4), 1, 0, 2, if(ISBLANK('2025'!$P241), 0, 1), 3, if(ISBLANK('2025'!$Q241), 0, 1), 4, if(ISBLANK('2025'!$R241), 0, 1), 5, if(ISBLANK('2025'!$S241), 0, 1), 6, if(ISBLANK('2025'!$T241), 0, 1), 7, 0))), 1, "")</f>
        <v/>
      </c>
      <c r="I243" s="1" t="str">
        <f>IF(AND(AND(AND(I$4&gt;='2025'!$L241,I$4&lt;='2025'!$M241), I$4&lt;&gt;DATE(2025,7,4)), (SWITCH(weekday(I$4), 1, 0, 2, if(ISBLANK('2025'!$P241), 0, 1), 3, if(ISBLANK('2025'!$Q241), 0, 1), 4, if(ISBLANK('2025'!$R241), 0, 1), 5, if(ISBLANK('2025'!$S241), 0, 1), 6, if(ISBLANK('2025'!$T241), 0, 1), 7, 0))), 1, "")</f>
        <v/>
      </c>
      <c r="J243" s="1" t="str">
        <f>IF(AND(AND(AND(J$4&gt;='2025'!$L241,J$4&lt;='2025'!$M241), J$4&lt;&gt;DATE(2025,7,4)), (SWITCH(weekday(J$4), 1, 0, 2, if(ISBLANK('2025'!$P241), 0, 1), 3, if(ISBLANK('2025'!$Q241), 0, 1), 4, if(ISBLANK('2025'!$R241), 0, 1), 5, if(ISBLANK('2025'!$S241), 0, 1), 6, if(ISBLANK('2025'!$T241), 0, 1), 7, 0))), 1, "")</f>
        <v/>
      </c>
      <c r="K243" s="1" t="str">
        <f>IF(AND(AND(AND(K$4&gt;='2025'!$L241,K$4&lt;='2025'!$M241), K$4&lt;&gt;DATE(2025,7,4)), (SWITCH(weekday(K$4), 1, 0, 2, if(ISBLANK('2025'!$P241), 0, 1), 3, if(ISBLANK('2025'!$Q241), 0, 1), 4, if(ISBLANK('2025'!$R241), 0, 1), 5, if(ISBLANK('2025'!$S241), 0, 1), 6, if(ISBLANK('2025'!$T241), 0, 1), 7, 0))), 1, "")</f>
        <v/>
      </c>
      <c r="L243" s="1" t="str">
        <f>IF(AND(AND(AND(L$4&gt;='2025'!$L241,L$4&lt;='2025'!$M241), L$4&lt;&gt;DATE(2025,7,4)), (SWITCH(weekday(L$4), 1, 0, 2, if(ISBLANK('2025'!$P241), 0, 1), 3, if(ISBLANK('2025'!$Q241), 0, 1), 4, if(ISBLANK('2025'!$R241), 0, 1), 5, if(ISBLANK('2025'!$S241), 0, 1), 6, if(ISBLANK('2025'!$T241), 0, 1), 7, 0))), 1, "")</f>
        <v/>
      </c>
      <c r="M243" s="1" t="str">
        <f>IF(AND(AND(AND(M$4&gt;='2025'!$L241,M$4&lt;='2025'!$M241), M$4&lt;&gt;DATE(2025,7,4)), (SWITCH(weekday(M$4), 1, 0, 2, if(ISBLANK('2025'!$P241), 0, 1), 3, if(ISBLANK('2025'!$Q241), 0, 1), 4, if(ISBLANK('2025'!$R241), 0, 1), 5, if(ISBLANK('2025'!$S241), 0, 1), 6, if(ISBLANK('2025'!$T241), 0, 1), 7, 0))), 1, "")</f>
        <v/>
      </c>
      <c r="N243" s="1" t="str">
        <f>IF(AND(AND(AND(N$4&gt;='2025'!$L241,N$4&lt;='2025'!$M241), N$4&lt;&gt;DATE(2025,7,4)), (SWITCH(weekday(N$4), 1, 0, 2, if(ISBLANK('2025'!$P241), 0, 1), 3, if(ISBLANK('2025'!$Q241), 0, 1), 4, if(ISBLANK('2025'!$R241), 0, 1), 5, if(ISBLANK('2025'!$S241), 0, 1), 6, if(ISBLANK('2025'!$T241), 0, 1), 7, 0))), 1, "")</f>
        <v/>
      </c>
      <c r="O243" s="1" t="str">
        <f>IF(AND(AND(AND(O$4&gt;='2025'!$L241,O$4&lt;='2025'!$M241), O$4&lt;&gt;DATE(2025,7,4)), (SWITCH(weekday(O$4), 1, 0, 2, if(ISBLANK('2025'!$P241), 0, 1), 3, if(ISBLANK('2025'!$Q241), 0, 1), 4, if(ISBLANK('2025'!$R241), 0, 1), 5, if(ISBLANK('2025'!$S241), 0, 1), 6, if(ISBLANK('2025'!$T241), 0, 1), 7, 0))), 1, "")</f>
        <v/>
      </c>
      <c r="P243" s="1" t="str">
        <f>IF(AND(AND(AND(P$4&gt;='2025'!$L241,P$4&lt;='2025'!$M241), P$4&lt;&gt;DATE(2025,7,4)), (SWITCH(weekday(P$4), 1, 0, 2, if(ISBLANK('2025'!$P241), 0, 1), 3, if(ISBLANK('2025'!$Q241), 0, 1), 4, if(ISBLANK('2025'!$R241), 0, 1), 5, if(ISBLANK('2025'!$S241), 0, 1), 6, if(ISBLANK('2025'!$T241), 0, 1), 7, 0))), 1, "")</f>
        <v/>
      </c>
      <c r="Q243" s="1" t="str">
        <f>IF(AND(AND(AND(Q$4&gt;='2025'!$L241,Q$4&lt;='2025'!$M241), Q$4&lt;&gt;DATE(2025,7,4)), (SWITCH(weekday(Q$4), 1, 0, 2, if(ISBLANK('2025'!$P241), 0, 1), 3, if(ISBLANK('2025'!$Q241), 0, 1), 4, if(ISBLANK('2025'!$R241), 0, 1), 5, if(ISBLANK('2025'!$S241), 0, 1), 6, if(ISBLANK('2025'!$T241), 0, 1), 7, 0))), 1, "")</f>
        <v/>
      </c>
      <c r="R243" s="1" t="str">
        <f>IF(AND(AND(AND(R$4&gt;='2025'!$L241,R$4&lt;='2025'!$M241), R$4&lt;&gt;DATE(2025,7,4)), (SWITCH(weekday(R$4), 1, 0, 2, if(ISBLANK('2025'!$P241), 0, 1), 3, if(ISBLANK('2025'!$Q241), 0, 1), 4, if(ISBLANK('2025'!$R241), 0, 1), 5, if(ISBLANK('2025'!$S241), 0, 1), 6, if(ISBLANK('2025'!$T241), 0, 1), 7, 0))), 1, "")</f>
        <v/>
      </c>
      <c r="S243" s="1" t="str">
        <f>IF(AND(AND(AND(S$4&gt;='2025'!$L241,S$4&lt;='2025'!$M241), S$4&lt;&gt;DATE(2025,7,4)), (SWITCH(weekday(S$4), 1, 0, 2, if(ISBLANK('2025'!$P241), 0, 1), 3, if(ISBLANK('2025'!$Q241), 0, 1), 4, if(ISBLANK('2025'!$R241), 0, 1), 5, if(ISBLANK('2025'!$S241), 0, 1), 6, if(ISBLANK('2025'!$T241), 0, 1), 7, 0))), 1, "")</f>
        <v/>
      </c>
      <c r="T243" s="1" t="str">
        <f>IF(AND(AND(AND(T$4&gt;='2025'!$L241,T$4&lt;='2025'!$M241), T$4&lt;&gt;DATE(2025,7,4)), (SWITCH(weekday(T$4), 1, 0, 2, if(ISBLANK('2025'!$P241), 0, 1), 3, if(ISBLANK('2025'!$Q241), 0, 1), 4, if(ISBLANK('2025'!$R241), 0, 1), 5, if(ISBLANK('2025'!$S241), 0, 1), 6, if(ISBLANK('2025'!$T241), 0, 1), 7, 0))), 1, "")</f>
        <v/>
      </c>
      <c r="U243" s="1" t="str">
        <f>IF(AND(AND(AND(U$4&gt;='2025'!$L241,U$4&lt;='2025'!$M241), U$4&lt;&gt;DATE(2025,7,4)), (SWITCH(weekday(U$4), 1, 0, 2, if(ISBLANK('2025'!$P241), 0, 1), 3, if(ISBLANK('2025'!$Q241), 0, 1), 4, if(ISBLANK('2025'!$R241), 0, 1), 5, if(ISBLANK('2025'!$S241), 0, 1), 6, if(ISBLANK('2025'!$T241), 0, 1), 7, 0))), 1, "")</f>
        <v/>
      </c>
      <c r="V243" s="1" t="str">
        <f>IF(AND(AND(AND(V$4&gt;='2025'!$L241,V$4&lt;='2025'!$M241), V$4&lt;&gt;DATE(2025,7,4)), (SWITCH(weekday(V$4), 1, 0, 2, if(ISBLANK('2025'!$P241), 0, 1), 3, if(ISBLANK('2025'!$Q241), 0, 1), 4, if(ISBLANK('2025'!$R241), 0, 1), 5, if(ISBLANK('2025'!$S241), 0, 1), 6, if(ISBLANK('2025'!$T241), 0, 1), 7, 0))), 1, "")</f>
        <v/>
      </c>
      <c r="W243" s="1" t="str">
        <f>IF(AND(AND(AND(W$4&gt;='2025'!$L241,W$4&lt;='2025'!$M241), W$4&lt;&gt;DATE(2025,7,4)), (SWITCH(weekday(W$4), 1, 0, 2, if(ISBLANK('2025'!$P241), 0, 1), 3, if(ISBLANK('2025'!$Q241), 0, 1), 4, if(ISBLANK('2025'!$R241), 0, 1), 5, if(ISBLANK('2025'!$S241), 0, 1), 6, if(ISBLANK('2025'!$T241), 0, 1), 7, 0))), 1, "")</f>
        <v/>
      </c>
      <c r="X243" s="1" t="str">
        <f>IF(AND(AND(AND(X$4&gt;='2025'!$L241,X$4&lt;='2025'!$M241), X$4&lt;&gt;DATE(2025,7,4)), (SWITCH(weekday(X$4), 1, 0, 2, if(ISBLANK('2025'!$P241), 0, 1), 3, if(ISBLANK('2025'!$Q241), 0, 1), 4, if(ISBLANK('2025'!$R241), 0, 1), 5, if(ISBLANK('2025'!$S241), 0, 1), 6, if(ISBLANK('2025'!$T241), 0, 1), 7, 0))), 1, "")</f>
        <v/>
      </c>
      <c r="Y243" s="1" t="str">
        <f>IF(AND(AND(AND(Y$4&gt;='2025'!$L241,Y$4&lt;='2025'!$M241), Y$4&lt;&gt;DATE(2025,7,4)), (SWITCH(weekday(Y$4), 1, 0, 2, if(ISBLANK('2025'!$P241), 0, 1), 3, if(ISBLANK('2025'!$Q241), 0, 1), 4, if(ISBLANK('2025'!$R241), 0, 1), 5, if(ISBLANK('2025'!$S241), 0, 1), 6, if(ISBLANK('2025'!$T241), 0, 1), 7, 0))), 1, "")</f>
        <v/>
      </c>
      <c r="Z243" s="1" t="str">
        <f>IF(AND(AND(AND(Z$4&gt;='2025'!$L241,Z$4&lt;='2025'!$M241), Z$4&lt;&gt;DATE(2025,7,4)), (SWITCH(weekday(Z$4), 1, 0, 2, if(ISBLANK('2025'!$P241), 0, 1), 3, if(ISBLANK('2025'!$Q241), 0, 1), 4, if(ISBLANK('2025'!$R241), 0, 1), 5, if(ISBLANK('2025'!$S241), 0, 1), 6, if(ISBLANK('2025'!$T241), 0, 1), 7, 0))), 1, "")</f>
        <v/>
      </c>
      <c r="AA243" s="1" t="str">
        <f>IF(AND(AND(AND(AA$4&gt;='2025'!$L241,AA$4&lt;='2025'!$M241), AA$4&lt;&gt;DATE(2025,7,4)), (SWITCH(weekday(AA$4), 1, 0, 2, if(ISBLANK('2025'!$P241), 0, 1), 3, if(ISBLANK('2025'!$Q241), 0, 1), 4, if(ISBLANK('2025'!$R241), 0, 1), 5, if(ISBLANK('2025'!$S241), 0, 1), 6, if(ISBLANK('2025'!$T241), 0, 1), 7, 0))), 1, "")</f>
        <v/>
      </c>
      <c r="AB243" s="1" t="str">
        <f>IF(AND(AND(AND(AB$4&gt;='2025'!$L241,AB$4&lt;='2025'!$M241), AB$4&lt;&gt;DATE(2025,7,4)), (SWITCH(weekday(AB$4), 1, 0, 2, if(ISBLANK('2025'!$P241), 0, 1), 3, if(ISBLANK('2025'!$Q241), 0, 1), 4, if(ISBLANK('2025'!$R241), 0, 1), 5, if(ISBLANK('2025'!$S241), 0, 1), 6, if(ISBLANK('2025'!$T241), 0, 1), 7, 0))), 1, "")</f>
        <v/>
      </c>
      <c r="AC243" s="1" t="str">
        <f>IF(AND(AND(AND(AC$4&gt;='2025'!$L241,AC$4&lt;='2025'!$M241), AC$4&lt;&gt;DATE(2025,7,4)), (SWITCH(weekday(AC$4), 1, 0, 2, if(ISBLANK('2025'!$P241), 0, 1), 3, if(ISBLANK('2025'!$Q241), 0, 1), 4, if(ISBLANK('2025'!$R241), 0, 1), 5, if(ISBLANK('2025'!$S241), 0, 1), 6, if(ISBLANK('2025'!$T241), 0, 1), 7, 0))), 1, "")</f>
        <v/>
      </c>
      <c r="AD243" s="1" t="str">
        <f>IF(AND(AND(AND(AD$4&gt;='2025'!$L241,AD$4&lt;='2025'!$M241), AD$4&lt;&gt;DATE(2025,7,4)), (SWITCH(weekday(AD$4), 1, 0, 2, if(ISBLANK('2025'!$P241), 0, 1), 3, if(ISBLANK('2025'!$Q241), 0, 1), 4, if(ISBLANK('2025'!$R241), 0, 1), 5, if(ISBLANK('2025'!$S241), 0, 1), 6, if(ISBLANK('2025'!$T241), 0, 1), 7, 0))), 1, "")</f>
        <v/>
      </c>
      <c r="AE243" s="1" t="str">
        <f>IF(AND(AND(AND(AE$4&gt;='2025'!$L241,AE$4&lt;='2025'!$M241), AE$4&lt;&gt;DATE(2025,7,4)), (SWITCH(weekday(AE$4), 1, 0, 2, if(ISBLANK('2025'!$P241), 0, 1), 3, if(ISBLANK('2025'!$Q241), 0, 1), 4, if(ISBLANK('2025'!$R241), 0, 1), 5, if(ISBLANK('2025'!$S241), 0, 1), 6, if(ISBLANK('2025'!$T241), 0, 1), 7, 0))), 1, "")</f>
        <v/>
      </c>
      <c r="AF243" s="1" t="str">
        <f>IF(AND(AND(AND(AF$4&gt;='2025'!$L241,AF$4&lt;='2025'!$M241), AF$4&lt;&gt;DATE(2025,7,4)), (SWITCH(weekday(AF$4), 1, 0, 2, if(ISBLANK('2025'!$P241), 0, 1), 3, if(ISBLANK('2025'!$Q241), 0, 1), 4, if(ISBLANK('2025'!$R241), 0, 1), 5, if(ISBLANK('2025'!$S241), 0, 1), 6, if(ISBLANK('2025'!$T241), 0, 1), 7, 0))), 1, "")</f>
        <v/>
      </c>
      <c r="AG243" s="1" t="str">
        <f>IF(AND(AND(AND(AG$4&gt;='2025'!$L241,AG$4&lt;='2025'!$M241), AG$4&lt;&gt;DATE(2025,7,4)), (SWITCH(weekday(AG$4), 1, 0, 2, if(ISBLANK('2025'!$P241), 0, 1), 3, if(ISBLANK('2025'!$Q241), 0, 1), 4, if(ISBLANK('2025'!$R241), 0, 1), 5, if(ISBLANK('2025'!$S241), 0, 1), 6, if(ISBLANK('2025'!$T241), 0, 1), 7, 0))), 1, "")</f>
        <v/>
      </c>
      <c r="AH243" s="1" t="str">
        <f>IF(AND(AND(AND(AH$4&gt;='2025'!$L241,AH$4&lt;='2025'!$M241), AH$4&lt;&gt;DATE(2025,7,4)), (SWITCH(weekday(AH$4), 1, 0, 2, if(ISBLANK('2025'!$P241), 0, 1), 3, if(ISBLANK('2025'!$Q241), 0, 1), 4, if(ISBLANK('2025'!$R241), 0, 1), 5, if(ISBLANK('2025'!$S241), 0, 1), 6, if(ISBLANK('2025'!$T241), 0, 1), 7, 0))), 1, "")</f>
        <v/>
      </c>
      <c r="AI243" s="1" t="str">
        <f>IF(AND(AND(AND(AI$4&gt;='2025'!$L241,AI$4&lt;='2025'!$M241), AI$4&lt;&gt;DATE(2025,7,4)), (SWITCH(weekday(AI$4), 1, 0, 2, if(ISBLANK('2025'!$P241), 0, 1), 3, if(ISBLANK('2025'!$Q241), 0, 1), 4, if(ISBLANK('2025'!$R241), 0, 1), 5, if(ISBLANK('2025'!$S241), 0, 1), 6, if(ISBLANK('2025'!$T241), 0, 1), 7, 0))), 1, "")</f>
        <v/>
      </c>
      <c r="AJ243" s="1" t="str">
        <f>IF(AND(AND(AND(AJ$4&gt;='2025'!$L241,AJ$4&lt;='2025'!$M241), AJ$4&lt;&gt;DATE(2025,7,4)), (SWITCH(weekday(AJ$4), 1, 0, 2, if(ISBLANK('2025'!$P241), 0, 1), 3, if(ISBLANK('2025'!$Q241), 0, 1), 4, if(ISBLANK('2025'!$R241), 0, 1), 5, if(ISBLANK('2025'!$S241), 0, 1), 6, if(ISBLANK('2025'!$T241), 0, 1), 7, 0))), 1, "")</f>
        <v/>
      </c>
      <c r="AK243" s="1" t="str">
        <f>IF(AND(AND(AND(AK$4&gt;='2025'!$L241,AK$4&lt;='2025'!$M241), AK$4&lt;&gt;DATE(2025,7,4)), (SWITCH(weekday(AK$4), 1, 0, 2, if(ISBLANK('2025'!$P241), 0, 1), 3, if(ISBLANK('2025'!$Q241), 0, 1), 4, if(ISBLANK('2025'!$R241), 0, 1), 5, if(ISBLANK('2025'!$S241), 0, 1), 6, if(ISBLANK('2025'!$T241), 0, 1), 7, 0))), 1, "")</f>
        <v/>
      </c>
      <c r="AL243" s="1" t="str">
        <f>IF(AND(AND(AND(AL$4&gt;='2025'!$L241,AL$4&lt;='2025'!$M241), AL$4&lt;&gt;DATE(2025,7,4)), (SWITCH(weekday(AL$4), 1, 0, 2, if(ISBLANK('2025'!$P241), 0, 1), 3, if(ISBLANK('2025'!$Q241), 0, 1), 4, if(ISBLANK('2025'!$R241), 0, 1), 5, if(ISBLANK('2025'!$S241), 0, 1), 6, if(ISBLANK('2025'!$T241), 0, 1), 7, 0))), 1, "")</f>
        <v/>
      </c>
      <c r="AM243" s="1" t="str">
        <f>IF(AND(AND(AND(AM$4&gt;='2025'!$L241,AM$4&lt;='2025'!$M241), AM$4&lt;&gt;DATE(2025,7,4)), (SWITCH(weekday(AM$4), 1, 0, 2, if(ISBLANK('2025'!$P241), 0, 1), 3, if(ISBLANK('2025'!$Q241), 0, 1), 4, if(ISBLANK('2025'!$R241), 0, 1), 5, if(ISBLANK('2025'!$S241), 0, 1), 6, if(ISBLANK('2025'!$T241), 0, 1), 7, 0))), 1, "")</f>
        <v/>
      </c>
      <c r="AN243" s="1" t="str">
        <f>IF(AND(AND(AND(AN$4&gt;='2025'!$L241,AN$4&lt;='2025'!$M241), AN$4&lt;&gt;DATE(2025,7,4)), (SWITCH(weekday(AN$4), 1, 0, 2, if(ISBLANK('2025'!$P241), 0, 1), 3, if(ISBLANK('2025'!$Q241), 0, 1), 4, if(ISBLANK('2025'!$R241), 0, 1), 5, if(ISBLANK('2025'!$S241), 0, 1), 6, if(ISBLANK('2025'!$T241), 0, 1), 7, 0))), 1, "")</f>
        <v/>
      </c>
      <c r="AO243" s="1" t="str">
        <f>IF(AND(AND(AND(AO$4&gt;='2025'!$L241,AO$4&lt;='2025'!$M241), AO$4&lt;&gt;DATE(2025,7,4)), (SWITCH(weekday(AO$4), 1, 0, 2, if(ISBLANK('2025'!$P241), 0, 1), 3, if(ISBLANK('2025'!$Q241), 0, 1), 4, if(ISBLANK('2025'!$R241), 0, 1), 5, if(ISBLANK('2025'!$S241), 0, 1), 6, if(ISBLANK('2025'!$T241), 0, 1), 7, 0))), 1, "")</f>
        <v/>
      </c>
      <c r="AP243" s="1" t="str">
        <f>IF(AND(AND(AND(AP$4&gt;='2025'!$L241,AP$4&lt;='2025'!$M241), AP$4&lt;&gt;DATE(2025,7,4)), (SWITCH(weekday(AP$4), 1, 0, 2, if(ISBLANK('2025'!$P241), 0, 1), 3, if(ISBLANK('2025'!$Q241), 0, 1), 4, if(ISBLANK('2025'!$R241), 0, 1), 5, if(ISBLANK('2025'!$S241), 0, 1), 6, if(ISBLANK('2025'!$T241), 0, 1), 7, 0))), 1, "")</f>
        <v/>
      </c>
      <c r="AQ243" s="1" t="str">
        <f>IF(AND(AND(AND(AQ$4&gt;='2025'!$L241,AQ$4&lt;='2025'!$M241), AQ$4&lt;&gt;DATE(2025,7,4)), (SWITCH(weekday(AQ$4), 1, 0, 2, if(ISBLANK('2025'!$P241), 0, 1), 3, if(ISBLANK('2025'!$Q241), 0, 1), 4, if(ISBLANK('2025'!$R241), 0, 1), 5, if(ISBLANK('2025'!$S241), 0, 1), 6, if(ISBLANK('2025'!$T241), 0, 1), 7, 0))), 1, "")</f>
        <v/>
      </c>
      <c r="AR243" s="1" t="str">
        <f>IF(AND(AND(AND(AR$4&gt;='2025'!$L241,AR$4&lt;='2025'!$M241), AR$4&lt;&gt;DATE(2025,7,4)), (SWITCH(weekday(AR$4), 1, 0, 2, if(ISBLANK('2025'!$P241), 0, 1), 3, if(ISBLANK('2025'!$Q241), 0, 1), 4, if(ISBLANK('2025'!$R241), 0, 1), 5, if(ISBLANK('2025'!$S241), 0, 1), 6, if(ISBLANK('2025'!$T241), 0, 1), 7, 0))), 1, "")</f>
        <v/>
      </c>
      <c r="AS243" s="1" t="str">
        <f>IF(AND(AND(AND(AS$4&gt;='2025'!$L241,AS$4&lt;='2025'!$M241), AS$4&lt;&gt;DATE(2025,7,4)), (SWITCH(weekday(AS$4), 1, 0, 2, if(ISBLANK('2025'!$P241), 0, 1), 3, if(ISBLANK('2025'!$Q241), 0, 1), 4, if(ISBLANK('2025'!$R241), 0, 1), 5, if(ISBLANK('2025'!$S241), 0, 1), 6, if(ISBLANK('2025'!$T241), 0, 1), 7, 0))), 1, "")</f>
        <v/>
      </c>
      <c r="AT243" s="1" t="str">
        <f>IF(AND(AND(AND(AT$4&gt;='2025'!$L241,AT$4&lt;='2025'!$M241), AT$4&lt;&gt;DATE(2025,7,4)), (SWITCH(weekday(AT$4), 1, 0, 2, if(ISBLANK('2025'!$P241), 0, 1), 3, if(ISBLANK('2025'!$Q241), 0, 1), 4, if(ISBLANK('2025'!$R241), 0, 1), 5, if(ISBLANK('2025'!$S241), 0, 1), 6, if(ISBLANK('2025'!$T241), 0, 1), 7, 0))), 1, "")</f>
        <v/>
      </c>
      <c r="AU243" s="1" t="str">
        <f>IF(AND(AND(AND(AU$4&gt;='2025'!$L241,AU$4&lt;='2025'!$M241), AU$4&lt;&gt;DATE(2025,7,4)), (SWITCH(weekday(AU$4), 1, 0, 2, if(ISBLANK('2025'!$P241), 0, 1), 3, if(ISBLANK('2025'!$Q241), 0, 1), 4, if(ISBLANK('2025'!$R241), 0, 1), 5, if(ISBLANK('2025'!$S241), 0, 1), 6, if(ISBLANK('2025'!$T241), 0, 1), 7, 0))), 1, "")</f>
        <v/>
      </c>
      <c r="AV243" s="1" t="str">
        <f>IF(AND(AND(AND(AV$4&gt;='2025'!$L241,AV$4&lt;='2025'!$M241), AV$4&lt;&gt;DATE(2025,7,4)), (SWITCH(weekday(AV$4), 1, 0, 2, if(ISBLANK('2025'!$P241), 0, 1), 3, if(ISBLANK('2025'!$Q241), 0, 1), 4, if(ISBLANK('2025'!$R241), 0, 1), 5, if(ISBLANK('2025'!$S241), 0, 1), 6, if(ISBLANK('2025'!$T241), 0, 1), 7, 0))), 1, "")</f>
        <v/>
      </c>
      <c r="AW243" s="1" t="str">
        <f>IF(AND(AND(AND(AW$4&gt;='2025'!$L241,AW$4&lt;='2025'!$M241), AW$4&lt;&gt;DATE(2025,7,4)), (SWITCH(weekday(AW$4), 1, 0, 2, if(ISBLANK('2025'!$P241), 0, 1), 3, if(ISBLANK('2025'!$Q241), 0, 1), 4, if(ISBLANK('2025'!$R241), 0, 1), 5, if(ISBLANK('2025'!$S241), 0, 1), 6, if(ISBLANK('2025'!$T241), 0, 1), 7, 0))), 1, "")</f>
        <v/>
      </c>
      <c r="AX243" s="1" t="str">
        <f>IF(AND(AND(AND(AX$4&gt;='2025'!$L241,AX$4&lt;='2025'!$M241), AX$4&lt;&gt;DATE(2025,7,4)), (SWITCH(weekday(AX$4), 1, 0, 2, if(ISBLANK('2025'!$P241), 0, 1), 3, if(ISBLANK('2025'!$Q241), 0, 1), 4, if(ISBLANK('2025'!$R241), 0, 1), 5, if(ISBLANK('2025'!$S241), 0, 1), 6, if(ISBLANK('2025'!$T241), 0, 1), 7, 0))), 1, "")</f>
        <v/>
      </c>
      <c r="AY243" s="1" t="str">
        <f>IF(AND(AND(AND(AY$4&gt;='2025'!$L241,AY$4&lt;='2025'!$M241), AY$4&lt;&gt;DATE(2025,7,4)), (SWITCH(weekday(AY$4), 1, 0, 2, if(ISBLANK('2025'!$P241), 0, 1), 3, if(ISBLANK('2025'!$Q241), 0, 1), 4, if(ISBLANK('2025'!$R241), 0, 1), 5, if(ISBLANK('2025'!$S241), 0, 1), 6, if(ISBLANK('2025'!$T241), 0, 1), 7, 0))), 1, "")</f>
        <v/>
      </c>
      <c r="AZ243" s="1" t="str">
        <f>IF(AND(AND(AND(AZ$4&gt;='2025'!$L241,AZ$4&lt;='2025'!$M241), AZ$4&lt;&gt;DATE(2025,7,4)), (SWITCH(weekday(AZ$4), 1, 0, 2, if(ISBLANK('2025'!$P241), 0, 1), 3, if(ISBLANK('2025'!$Q241), 0, 1), 4, if(ISBLANK('2025'!$R241), 0, 1), 5, if(ISBLANK('2025'!$S241), 0, 1), 6, if(ISBLANK('2025'!$T241), 0, 1), 7, 0))), 1, "")</f>
        <v/>
      </c>
      <c r="BA243" s="1" t="str">
        <f>IF(AND(AND(AND(BA$4&gt;='2025'!$L241,BA$4&lt;='2025'!$M241), BA$4&lt;&gt;DATE(2025,7,4)), (SWITCH(weekday(BA$4), 1, 0, 2, if(ISBLANK('2025'!$P241), 0, 1), 3, if(ISBLANK('2025'!$Q241), 0, 1), 4, if(ISBLANK('2025'!$R241), 0, 1), 5, if(ISBLANK('2025'!$S241), 0, 1), 6, if(ISBLANK('2025'!$T241), 0, 1), 7, 0))), 1, "")</f>
        <v/>
      </c>
      <c r="BB243" s="1" t="str">
        <f>IF(AND(AND(AND(BB$4&gt;='2025'!$L241,BB$4&lt;='2025'!$M241), BB$4&lt;&gt;DATE(2025,7,4)), (SWITCH(weekday(BB$4), 1, 0, 2, if(ISBLANK('2025'!$P241), 0, 1), 3, if(ISBLANK('2025'!$Q241), 0, 1), 4, if(ISBLANK('2025'!$R241), 0, 1), 5, if(ISBLANK('2025'!$S241), 0, 1), 6, if(ISBLANK('2025'!$T241), 0, 1), 7, 0))), 1, "")</f>
        <v/>
      </c>
      <c r="BC243" s="1" t="str">
        <f>IF(AND(AND(AND(BC$4&gt;='2025'!$L241,BC$4&lt;='2025'!$M241), BC$4&lt;&gt;DATE(2025,7,4)), (SWITCH(weekday(BC$4), 1, 0, 2, if(ISBLANK('2025'!$P241), 0, 1), 3, if(ISBLANK('2025'!$Q241), 0, 1), 4, if(ISBLANK('2025'!$R241), 0, 1), 5, if(ISBLANK('2025'!$S241), 0, 1), 6, if(ISBLANK('2025'!$T241), 0, 1), 7, 0))), 1, "")</f>
        <v/>
      </c>
      <c r="BD243" s="1" t="str">
        <f>IF(AND(AND(AND(BD$4&gt;='2025'!$L241,BD$4&lt;='2025'!$M241), BD$4&lt;&gt;DATE(2025,7,4)), (SWITCH(weekday(BD$4), 1, 0, 2, if(ISBLANK('2025'!$P241), 0, 1), 3, if(ISBLANK('2025'!$Q241), 0, 1), 4, if(ISBLANK('2025'!$R241), 0, 1), 5, if(ISBLANK('2025'!$S241), 0, 1), 6, if(ISBLANK('2025'!$T241), 0, 1), 7, 0))), 1, "")</f>
        <v/>
      </c>
      <c r="BE243" s="1" t="str">
        <f>IF(AND(AND(AND(BE$4&gt;='2025'!$L241,BE$4&lt;='2025'!$M241), BE$4&lt;&gt;DATE(2025,7,4)), (SWITCH(weekday(BE$4), 1, 0, 2, if(ISBLANK('2025'!$P241), 0, 1), 3, if(ISBLANK('2025'!$Q241), 0, 1), 4, if(ISBLANK('2025'!$R241), 0, 1), 5, if(ISBLANK('2025'!$S241), 0, 1), 6, if(ISBLANK('2025'!$T241), 0, 1), 7, 0))), 1, "")</f>
        <v/>
      </c>
      <c r="BF243" s="1" t="str">
        <f>IF(AND(AND(AND(BF$4&gt;='2025'!$L241,BF$4&lt;='2025'!$M241), BF$4&lt;&gt;DATE(2025,7,4)), (SWITCH(weekday(BF$4), 1, 0, 2, if(ISBLANK('2025'!$P241), 0, 1), 3, if(ISBLANK('2025'!$Q241), 0, 1), 4, if(ISBLANK('2025'!$R241), 0, 1), 5, if(ISBLANK('2025'!$S241), 0, 1), 6, if(ISBLANK('2025'!$T241), 0, 1), 7, 0))), 1, "")</f>
        <v/>
      </c>
      <c r="BG243" s="1"/>
      <c r="BH243" s="1"/>
      <c r="BI243" s="1"/>
      <c r="BJ243" s="1"/>
      <c r="BK243" s="1"/>
      <c r="BL243" s="1"/>
    </row>
    <row r="244">
      <c r="A244" s="1">
        <f t="shared" si="3"/>
        <v>244</v>
      </c>
      <c r="B244" s="1" t="str">
        <f>'2025'!D208</f>
        <v>, </v>
      </c>
      <c r="C244" s="1" t="str">
        <f>'2025'!H208</f>
        <v/>
      </c>
      <c r="D244" s="1" t="str">
        <f>IF(AND(AND(AND(D$4&gt;='2025'!$L242,D$4&lt;='2025'!$M242), D$4&lt;&gt;DATE(2025,7,4)), (SWITCH(weekday(D$4), 1, 0, 2, if(ISBLANK('2025'!$P242), 0, 1), 3, if(ISBLANK('2025'!$Q242), 0, 1), 4, if(ISBLANK('2025'!$R242), 0, 1), 5, if(ISBLANK('2025'!$S242), 0, 1), 6, if(ISBLANK('2025'!$T242), 0, 1), 7, 0))), 1, "")</f>
        <v/>
      </c>
      <c r="E244" s="1" t="str">
        <f>IF(AND(AND(AND(E$4&gt;='2025'!$L242,E$4&lt;='2025'!$M242), E$4&lt;&gt;DATE(2025,7,4)), (SWITCH(weekday(E$4), 1, 0, 2, if(ISBLANK('2025'!$P242), 0, 1), 3, if(ISBLANK('2025'!$Q242), 0, 1), 4, if(ISBLANK('2025'!$R242), 0, 1), 5, if(ISBLANK('2025'!$S242), 0, 1), 6, if(ISBLANK('2025'!$T242), 0, 1), 7, 0))), 1, "")</f>
        <v/>
      </c>
      <c r="F244" s="1" t="str">
        <f>IF(AND(AND(AND(F$4&gt;='2025'!$L242,F$4&lt;='2025'!$M242), F$4&lt;&gt;DATE(2025,7,4)), (SWITCH(weekday(F$4), 1, 0, 2, if(ISBLANK('2025'!$P242), 0, 1), 3, if(ISBLANK('2025'!$Q242), 0, 1), 4, if(ISBLANK('2025'!$R242), 0, 1), 5, if(ISBLANK('2025'!$S242), 0, 1), 6, if(ISBLANK('2025'!$T242), 0, 1), 7, 0))), 1, "")</f>
        <v/>
      </c>
      <c r="G244" s="1" t="str">
        <f>IF(AND(AND(AND(G$4&gt;='2025'!$L242,G$4&lt;='2025'!$M242), G$4&lt;&gt;DATE(2025,7,4)), (SWITCH(weekday(G$4), 1, 0, 2, if(ISBLANK('2025'!$P242), 0, 1), 3, if(ISBLANK('2025'!$Q242), 0, 1), 4, if(ISBLANK('2025'!$R242), 0, 1), 5, if(ISBLANK('2025'!$S242), 0, 1), 6, if(ISBLANK('2025'!$T242), 0, 1), 7, 0))), 1, "")</f>
        <v/>
      </c>
      <c r="H244" s="1" t="str">
        <f>IF(AND(AND(AND(H$4&gt;='2025'!$L242,H$4&lt;='2025'!$M242), H$4&lt;&gt;DATE(2025,7,4)), (SWITCH(weekday(H$4), 1, 0, 2, if(ISBLANK('2025'!$P242), 0, 1), 3, if(ISBLANK('2025'!$Q242), 0, 1), 4, if(ISBLANK('2025'!$R242), 0, 1), 5, if(ISBLANK('2025'!$S242), 0, 1), 6, if(ISBLANK('2025'!$T242), 0, 1), 7, 0))), 1, "")</f>
        <v/>
      </c>
      <c r="I244" s="1" t="str">
        <f>IF(AND(AND(AND(I$4&gt;='2025'!$L242,I$4&lt;='2025'!$M242), I$4&lt;&gt;DATE(2025,7,4)), (SWITCH(weekday(I$4), 1, 0, 2, if(ISBLANK('2025'!$P242), 0, 1), 3, if(ISBLANK('2025'!$Q242), 0, 1), 4, if(ISBLANK('2025'!$R242), 0, 1), 5, if(ISBLANK('2025'!$S242), 0, 1), 6, if(ISBLANK('2025'!$T242), 0, 1), 7, 0))), 1, "")</f>
        <v/>
      </c>
      <c r="J244" s="1" t="str">
        <f>IF(AND(AND(AND(J$4&gt;='2025'!$L242,J$4&lt;='2025'!$M242), J$4&lt;&gt;DATE(2025,7,4)), (SWITCH(weekday(J$4), 1, 0, 2, if(ISBLANK('2025'!$P242), 0, 1), 3, if(ISBLANK('2025'!$Q242), 0, 1), 4, if(ISBLANK('2025'!$R242), 0, 1), 5, if(ISBLANK('2025'!$S242), 0, 1), 6, if(ISBLANK('2025'!$T242), 0, 1), 7, 0))), 1, "")</f>
        <v/>
      </c>
      <c r="K244" s="1" t="str">
        <f>IF(AND(AND(AND(K$4&gt;='2025'!$L242,K$4&lt;='2025'!$M242), K$4&lt;&gt;DATE(2025,7,4)), (SWITCH(weekday(K$4), 1, 0, 2, if(ISBLANK('2025'!$P242), 0, 1), 3, if(ISBLANK('2025'!$Q242), 0, 1), 4, if(ISBLANK('2025'!$R242), 0, 1), 5, if(ISBLANK('2025'!$S242), 0, 1), 6, if(ISBLANK('2025'!$T242), 0, 1), 7, 0))), 1, "")</f>
        <v/>
      </c>
      <c r="L244" s="1" t="str">
        <f>IF(AND(AND(AND(L$4&gt;='2025'!$L242,L$4&lt;='2025'!$M242), L$4&lt;&gt;DATE(2025,7,4)), (SWITCH(weekday(L$4), 1, 0, 2, if(ISBLANK('2025'!$P242), 0, 1), 3, if(ISBLANK('2025'!$Q242), 0, 1), 4, if(ISBLANK('2025'!$R242), 0, 1), 5, if(ISBLANK('2025'!$S242), 0, 1), 6, if(ISBLANK('2025'!$T242), 0, 1), 7, 0))), 1, "")</f>
        <v/>
      </c>
      <c r="M244" s="1" t="str">
        <f>IF(AND(AND(AND(M$4&gt;='2025'!$L242,M$4&lt;='2025'!$M242), M$4&lt;&gt;DATE(2025,7,4)), (SWITCH(weekday(M$4), 1, 0, 2, if(ISBLANK('2025'!$P242), 0, 1), 3, if(ISBLANK('2025'!$Q242), 0, 1), 4, if(ISBLANK('2025'!$R242), 0, 1), 5, if(ISBLANK('2025'!$S242), 0, 1), 6, if(ISBLANK('2025'!$T242), 0, 1), 7, 0))), 1, "")</f>
        <v/>
      </c>
      <c r="N244" s="1" t="str">
        <f>IF(AND(AND(AND(N$4&gt;='2025'!$L242,N$4&lt;='2025'!$M242), N$4&lt;&gt;DATE(2025,7,4)), (SWITCH(weekday(N$4), 1, 0, 2, if(ISBLANK('2025'!$P242), 0, 1), 3, if(ISBLANK('2025'!$Q242), 0, 1), 4, if(ISBLANK('2025'!$R242), 0, 1), 5, if(ISBLANK('2025'!$S242), 0, 1), 6, if(ISBLANK('2025'!$T242), 0, 1), 7, 0))), 1, "")</f>
        <v/>
      </c>
      <c r="O244" s="1" t="str">
        <f>IF(AND(AND(AND(O$4&gt;='2025'!$L242,O$4&lt;='2025'!$M242), O$4&lt;&gt;DATE(2025,7,4)), (SWITCH(weekday(O$4), 1, 0, 2, if(ISBLANK('2025'!$P242), 0, 1), 3, if(ISBLANK('2025'!$Q242), 0, 1), 4, if(ISBLANK('2025'!$R242), 0, 1), 5, if(ISBLANK('2025'!$S242), 0, 1), 6, if(ISBLANK('2025'!$T242), 0, 1), 7, 0))), 1, "")</f>
        <v/>
      </c>
      <c r="P244" s="1" t="str">
        <f>IF(AND(AND(AND(P$4&gt;='2025'!$L242,P$4&lt;='2025'!$M242), P$4&lt;&gt;DATE(2025,7,4)), (SWITCH(weekday(P$4), 1, 0, 2, if(ISBLANK('2025'!$P242), 0, 1), 3, if(ISBLANK('2025'!$Q242), 0, 1), 4, if(ISBLANK('2025'!$R242), 0, 1), 5, if(ISBLANK('2025'!$S242), 0, 1), 6, if(ISBLANK('2025'!$T242), 0, 1), 7, 0))), 1, "")</f>
        <v/>
      </c>
      <c r="Q244" s="1" t="str">
        <f>IF(AND(AND(AND(Q$4&gt;='2025'!$L242,Q$4&lt;='2025'!$M242), Q$4&lt;&gt;DATE(2025,7,4)), (SWITCH(weekday(Q$4), 1, 0, 2, if(ISBLANK('2025'!$P242), 0, 1), 3, if(ISBLANK('2025'!$Q242), 0, 1), 4, if(ISBLANK('2025'!$R242), 0, 1), 5, if(ISBLANK('2025'!$S242), 0, 1), 6, if(ISBLANK('2025'!$T242), 0, 1), 7, 0))), 1, "")</f>
        <v/>
      </c>
      <c r="R244" s="1" t="str">
        <f>IF(AND(AND(AND(R$4&gt;='2025'!$L242,R$4&lt;='2025'!$M242), R$4&lt;&gt;DATE(2025,7,4)), (SWITCH(weekday(R$4), 1, 0, 2, if(ISBLANK('2025'!$P242), 0, 1), 3, if(ISBLANK('2025'!$Q242), 0, 1), 4, if(ISBLANK('2025'!$R242), 0, 1), 5, if(ISBLANK('2025'!$S242), 0, 1), 6, if(ISBLANK('2025'!$T242), 0, 1), 7, 0))), 1, "")</f>
        <v/>
      </c>
      <c r="S244" s="1" t="str">
        <f>IF(AND(AND(AND(S$4&gt;='2025'!$L242,S$4&lt;='2025'!$M242), S$4&lt;&gt;DATE(2025,7,4)), (SWITCH(weekday(S$4), 1, 0, 2, if(ISBLANK('2025'!$P242), 0, 1), 3, if(ISBLANK('2025'!$Q242), 0, 1), 4, if(ISBLANK('2025'!$R242), 0, 1), 5, if(ISBLANK('2025'!$S242), 0, 1), 6, if(ISBLANK('2025'!$T242), 0, 1), 7, 0))), 1, "")</f>
        <v/>
      </c>
      <c r="T244" s="1" t="str">
        <f>IF(AND(AND(AND(T$4&gt;='2025'!$L242,T$4&lt;='2025'!$M242), T$4&lt;&gt;DATE(2025,7,4)), (SWITCH(weekday(T$4), 1, 0, 2, if(ISBLANK('2025'!$P242), 0, 1), 3, if(ISBLANK('2025'!$Q242), 0, 1), 4, if(ISBLANK('2025'!$R242), 0, 1), 5, if(ISBLANK('2025'!$S242), 0, 1), 6, if(ISBLANK('2025'!$T242), 0, 1), 7, 0))), 1, "")</f>
        <v/>
      </c>
      <c r="U244" s="1" t="str">
        <f>IF(AND(AND(AND(U$4&gt;='2025'!$L242,U$4&lt;='2025'!$M242), U$4&lt;&gt;DATE(2025,7,4)), (SWITCH(weekday(U$4), 1, 0, 2, if(ISBLANK('2025'!$P242), 0, 1), 3, if(ISBLANK('2025'!$Q242), 0, 1), 4, if(ISBLANK('2025'!$R242), 0, 1), 5, if(ISBLANK('2025'!$S242), 0, 1), 6, if(ISBLANK('2025'!$T242), 0, 1), 7, 0))), 1, "")</f>
        <v/>
      </c>
      <c r="V244" s="1" t="str">
        <f>IF(AND(AND(AND(V$4&gt;='2025'!$L242,V$4&lt;='2025'!$M242), V$4&lt;&gt;DATE(2025,7,4)), (SWITCH(weekday(V$4), 1, 0, 2, if(ISBLANK('2025'!$P242), 0, 1), 3, if(ISBLANK('2025'!$Q242), 0, 1), 4, if(ISBLANK('2025'!$R242), 0, 1), 5, if(ISBLANK('2025'!$S242), 0, 1), 6, if(ISBLANK('2025'!$T242), 0, 1), 7, 0))), 1, "")</f>
        <v/>
      </c>
      <c r="W244" s="1" t="str">
        <f>IF(AND(AND(AND(W$4&gt;='2025'!$L242,W$4&lt;='2025'!$M242), W$4&lt;&gt;DATE(2025,7,4)), (SWITCH(weekday(W$4), 1, 0, 2, if(ISBLANK('2025'!$P242), 0, 1), 3, if(ISBLANK('2025'!$Q242), 0, 1), 4, if(ISBLANK('2025'!$R242), 0, 1), 5, if(ISBLANK('2025'!$S242), 0, 1), 6, if(ISBLANK('2025'!$T242), 0, 1), 7, 0))), 1, "")</f>
        <v/>
      </c>
      <c r="X244" s="1" t="str">
        <f>IF(AND(AND(AND(X$4&gt;='2025'!$L242,X$4&lt;='2025'!$M242), X$4&lt;&gt;DATE(2025,7,4)), (SWITCH(weekday(X$4), 1, 0, 2, if(ISBLANK('2025'!$P242), 0, 1), 3, if(ISBLANK('2025'!$Q242), 0, 1), 4, if(ISBLANK('2025'!$R242), 0, 1), 5, if(ISBLANK('2025'!$S242), 0, 1), 6, if(ISBLANK('2025'!$T242), 0, 1), 7, 0))), 1, "")</f>
        <v/>
      </c>
      <c r="Y244" s="1" t="str">
        <f>IF(AND(AND(AND(Y$4&gt;='2025'!$L242,Y$4&lt;='2025'!$M242), Y$4&lt;&gt;DATE(2025,7,4)), (SWITCH(weekday(Y$4), 1, 0, 2, if(ISBLANK('2025'!$P242), 0, 1), 3, if(ISBLANK('2025'!$Q242), 0, 1), 4, if(ISBLANK('2025'!$R242), 0, 1), 5, if(ISBLANK('2025'!$S242), 0, 1), 6, if(ISBLANK('2025'!$T242), 0, 1), 7, 0))), 1, "")</f>
        <v/>
      </c>
      <c r="Z244" s="1" t="str">
        <f>IF(AND(AND(AND(Z$4&gt;='2025'!$L242,Z$4&lt;='2025'!$M242), Z$4&lt;&gt;DATE(2025,7,4)), (SWITCH(weekday(Z$4), 1, 0, 2, if(ISBLANK('2025'!$P242), 0, 1), 3, if(ISBLANK('2025'!$Q242), 0, 1), 4, if(ISBLANK('2025'!$R242), 0, 1), 5, if(ISBLANK('2025'!$S242), 0, 1), 6, if(ISBLANK('2025'!$T242), 0, 1), 7, 0))), 1, "")</f>
        <v/>
      </c>
      <c r="AA244" s="1" t="str">
        <f>IF(AND(AND(AND(AA$4&gt;='2025'!$L242,AA$4&lt;='2025'!$M242), AA$4&lt;&gt;DATE(2025,7,4)), (SWITCH(weekday(AA$4), 1, 0, 2, if(ISBLANK('2025'!$P242), 0, 1), 3, if(ISBLANK('2025'!$Q242), 0, 1), 4, if(ISBLANK('2025'!$R242), 0, 1), 5, if(ISBLANK('2025'!$S242), 0, 1), 6, if(ISBLANK('2025'!$T242), 0, 1), 7, 0))), 1, "")</f>
        <v/>
      </c>
      <c r="AB244" s="1" t="str">
        <f>IF(AND(AND(AND(AB$4&gt;='2025'!$L242,AB$4&lt;='2025'!$M242), AB$4&lt;&gt;DATE(2025,7,4)), (SWITCH(weekday(AB$4), 1, 0, 2, if(ISBLANK('2025'!$P242), 0, 1), 3, if(ISBLANK('2025'!$Q242), 0, 1), 4, if(ISBLANK('2025'!$R242), 0, 1), 5, if(ISBLANK('2025'!$S242), 0, 1), 6, if(ISBLANK('2025'!$T242), 0, 1), 7, 0))), 1, "")</f>
        <v/>
      </c>
      <c r="AC244" s="1" t="str">
        <f>IF(AND(AND(AND(AC$4&gt;='2025'!$L242,AC$4&lt;='2025'!$M242), AC$4&lt;&gt;DATE(2025,7,4)), (SWITCH(weekday(AC$4), 1, 0, 2, if(ISBLANK('2025'!$P242), 0, 1), 3, if(ISBLANK('2025'!$Q242), 0, 1), 4, if(ISBLANK('2025'!$R242), 0, 1), 5, if(ISBLANK('2025'!$S242), 0, 1), 6, if(ISBLANK('2025'!$T242), 0, 1), 7, 0))), 1, "")</f>
        <v/>
      </c>
      <c r="AD244" s="1" t="str">
        <f>IF(AND(AND(AND(AD$4&gt;='2025'!$L242,AD$4&lt;='2025'!$M242), AD$4&lt;&gt;DATE(2025,7,4)), (SWITCH(weekday(AD$4), 1, 0, 2, if(ISBLANK('2025'!$P242), 0, 1), 3, if(ISBLANK('2025'!$Q242), 0, 1), 4, if(ISBLANK('2025'!$R242), 0, 1), 5, if(ISBLANK('2025'!$S242), 0, 1), 6, if(ISBLANK('2025'!$T242), 0, 1), 7, 0))), 1, "")</f>
        <v/>
      </c>
      <c r="AE244" s="1" t="str">
        <f>IF(AND(AND(AND(AE$4&gt;='2025'!$L242,AE$4&lt;='2025'!$M242), AE$4&lt;&gt;DATE(2025,7,4)), (SWITCH(weekday(AE$4), 1, 0, 2, if(ISBLANK('2025'!$P242), 0, 1), 3, if(ISBLANK('2025'!$Q242), 0, 1), 4, if(ISBLANK('2025'!$R242), 0, 1), 5, if(ISBLANK('2025'!$S242), 0, 1), 6, if(ISBLANK('2025'!$T242), 0, 1), 7, 0))), 1, "")</f>
        <v/>
      </c>
      <c r="AF244" s="1" t="str">
        <f>IF(AND(AND(AND(AF$4&gt;='2025'!$L242,AF$4&lt;='2025'!$M242), AF$4&lt;&gt;DATE(2025,7,4)), (SWITCH(weekday(AF$4), 1, 0, 2, if(ISBLANK('2025'!$P242), 0, 1), 3, if(ISBLANK('2025'!$Q242), 0, 1), 4, if(ISBLANK('2025'!$R242), 0, 1), 5, if(ISBLANK('2025'!$S242), 0, 1), 6, if(ISBLANK('2025'!$T242), 0, 1), 7, 0))), 1, "")</f>
        <v/>
      </c>
      <c r="AG244" s="1" t="str">
        <f>IF(AND(AND(AND(AG$4&gt;='2025'!$L242,AG$4&lt;='2025'!$M242), AG$4&lt;&gt;DATE(2025,7,4)), (SWITCH(weekday(AG$4), 1, 0, 2, if(ISBLANK('2025'!$P242), 0, 1), 3, if(ISBLANK('2025'!$Q242), 0, 1), 4, if(ISBLANK('2025'!$R242), 0, 1), 5, if(ISBLANK('2025'!$S242), 0, 1), 6, if(ISBLANK('2025'!$T242), 0, 1), 7, 0))), 1, "")</f>
        <v/>
      </c>
      <c r="AH244" s="1" t="str">
        <f>IF(AND(AND(AND(AH$4&gt;='2025'!$L242,AH$4&lt;='2025'!$M242), AH$4&lt;&gt;DATE(2025,7,4)), (SWITCH(weekday(AH$4), 1, 0, 2, if(ISBLANK('2025'!$P242), 0, 1), 3, if(ISBLANK('2025'!$Q242), 0, 1), 4, if(ISBLANK('2025'!$R242), 0, 1), 5, if(ISBLANK('2025'!$S242), 0, 1), 6, if(ISBLANK('2025'!$T242), 0, 1), 7, 0))), 1, "")</f>
        <v/>
      </c>
      <c r="AI244" s="1" t="str">
        <f>IF(AND(AND(AND(AI$4&gt;='2025'!$L242,AI$4&lt;='2025'!$M242), AI$4&lt;&gt;DATE(2025,7,4)), (SWITCH(weekday(AI$4), 1, 0, 2, if(ISBLANK('2025'!$P242), 0, 1), 3, if(ISBLANK('2025'!$Q242), 0, 1), 4, if(ISBLANK('2025'!$R242), 0, 1), 5, if(ISBLANK('2025'!$S242), 0, 1), 6, if(ISBLANK('2025'!$T242), 0, 1), 7, 0))), 1, "")</f>
        <v/>
      </c>
      <c r="AJ244" s="1" t="str">
        <f>IF(AND(AND(AND(AJ$4&gt;='2025'!$L242,AJ$4&lt;='2025'!$M242), AJ$4&lt;&gt;DATE(2025,7,4)), (SWITCH(weekday(AJ$4), 1, 0, 2, if(ISBLANK('2025'!$P242), 0, 1), 3, if(ISBLANK('2025'!$Q242), 0, 1), 4, if(ISBLANK('2025'!$R242), 0, 1), 5, if(ISBLANK('2025'!$S242), 0, 1), 6, if(ISBLANK('2025'!$T242), 0, 1), 7, 0))), 1, "")</f>
        <v/>
      </c>
      <c r="AK244" s="1" t="str">
        <f>IF(AND(AND(AND(AK$4&gt;='2025'!$L242,AK$4&lt;='2025'!$M242), AK$4&lt;&gt;DATE(2025,7,4)), (SWITCH(weekday(AK$4), 1, 0, 2, if(ISBLANK('2025'!$P242), 0, 1), 3, if(ISBLANK('2025'!$Q242), 0, 1), 4, if(ISBLANK('2025'!$R242), 0, 1), 5, if(ISBLANK('2025'!$S242), 0, 1), 6, if(ISBLANK('2025'!$T242), 0, 1), 7, 0))), 1, "")</f>
        <v/>
      </c>
      <c r="AL244" s="1" t="str">
        <f>IF(AND(AND(AND(AL$4&gt;='2025'!$L242,AL$4&lt;='2025'!$M242), AL$4&lt;&gt;DATE(2025,7,4)), (SWITCH(weekday(AL$4), 1, 0, 2, if(ISBLANK('2025'!$P242), 0, 1), 3, if(ISBLANK('2025'!$Q242), 0, 1), 4, if(ISBLANK('2025'!$R242), 0, 1), 5, if(ISBLANK('2025'!$S242), 0, 1), 6, if(ISBLANK('2025'!$T242), 0, 1), 7, 0))), 1, "")</f>
        <v/>
      </c>
      <c r="AM244" s="1" t="str">
        <f>IF(AND(AND(AND(AM$4&gt;='2025'!$L242,AM$4&lt;='2025'!$M242), AM$4&lt;&gt;DATE(2025,7,4)), (SWITCH(weekday(AM$4), 1, 0, 2, if(ISBLANK('2025'!$P242), 0, 1), 3, if(ISBLANK('2025'!$Q242), 0, 1), 4, if(ISBLANK('2025'!$R242), 0, 1), 5, if(ISBLANK('2025'!$S242), 0, 1), 6, if(ISBLANK('2025'!$T242), 0, 1), 7, 0))), 1, "")</f>
        <v/>
      </c>
      <c r="AN244" s="1" t="str">
        <f>IF(AND(AND(AND(AN$4&gt;='2025'!$L242,AN$4&lt;='2025'!$M242), AN$4&lt;&gt;DATE(2025,7,4)), (SWITCH(weekday(AN$4), 1, 0, 2, if(ISBLANK('2025'!$P242), 0, 1), 3, if(ISBLANK('2025'!$Q242), 0, 1), 4, if(ISBLANK('2025'!$R242), 0, 1), 5, if(ISBLANK('2025'!$S242), 0, 1), 6, if(ISBLANK('2025'!$T242), 0, 1), 7, 0))), 1, "")</f>
        <v/>
      </c>
      <c r="AO244" s="1" t="str">
        <f>IF(AND(AND(AND(AO$4&gt;='2025'!$L242,AO$4&lt;='2025'!$M242), AO$4&lt;&gt;DATE(2025,7,4)), (SWITCH(weekday(AO$4), 1, 0, 2, if(ISBLANK('2025'!$P242), 0, 1), 3, if(ISBLANK('2025'!$Q242), 0, 1), 4, if(ISBLANK('2025'!$R242), 0, 1), 5, if(ISBLANK('2025'!$S242), 0, 1), 6, if(ISBLANK('2025'!$T242), 0, 1), 7, 0))), 1, "")</f>
        <v/>
      </c>
      <c r="AP244" s="1" t="str">
        <f>IF(AND(AND(AND(AP$4&gt;='2025'!$L242,AP$4&lt;='2025'!$M242), AP$4&lt;&gt;DATE(2025,7,4)), (SWITCH(weekday(AP$4), 1, 0, 2, if(ISBLANK('2025'!$P242), 0, 1), 3, if(ISBLANK('2025'!$Q242), 0, 1), 4, if(ISBLANK('2025'!$R242), 0, 1), 5, if(ISBLANK('2025'!$S242), 0, 1), 6, if(ISBLANK('2025'!$T242), 0, 1), 7, 0))), 1, "")</f>
        <v/>
      </c>
      <c r="AQ244" s="1" t="str">
        <f>IF(AND(AND(AND(AQ$4&gt;='2025'!$L242,AQ$4&lt;='2025'!$M242), AQ$4&lt;&gt;DATE(2025,7,4)), (SWITCH(weekday(AQ$4), 1, 0, 2, if(ISBLANK('2025'!$P242), 0, 1), 3, if(ISBLANK('2025'!$Q242), 0, 1), 4, if(ISBLANK('2025'!$R242), 0, 1), 5, if(ISBLANK('2025'!$S242), 0, 1), 6, if(ISBLANK('2025'!$T242), 0, 1), 7, 0))), 1, "")</f>
        <v/>
      </c>
      <c r="AR244" s="1" t="str">
        <f>IF(AND(AND(AND(AR$4&gt;='2025'!$L242,AR$4&lt;='2025'!$M242), AR$4&lt;&gt;DATE(2025,7,4)), (SWITCH(weekday(AR$4), 1, 0, 2, if(ISBLANK('2025'!$P242), 0, 1), 3, if(ISBLANK('2025'!$Q242), 0, 1), 4, if(ISBLANK('2025'!$R242), 0, 1), 5, if(ISBLANK('2025'!$S242), 0, 1), 6, if(ISBLANK('2025'!$T242), 0, 1), 7, 0))), 1, "")</f>
        <v/>
      </c>
      <c r="AS244" s="1" t="str">
        <f>IF(AND(AND(AND(AS$4&gt;='2025'!$L242,AS$4&lt;='2025'!$M242), AS$4&lt;&gt;DATE(2025,7,4)), (SWITCH(weekday(AS$4), 1, 0, 2, if(ISBLANK('2025'!$P242), 0, 1), 3, if(ISBLANK('2025'!$Q242), 0, 1), 4, if(ISBLANK('2025'!$R242), 0, 1), 5, if(ISBLANK('2025'!$S242), 0, 1), 6, if(ISBLANK('2025'!$T242), 0, 1), 7, 0))), 1, "")</f>
        <v/>
      </c>
      <c r="AT244" s="1" t="str">
        <f>IF(AND(AND(AND(AT$4&gt;='2025'!$L242,AT$4&lt;='2025'!$M242), AT$4&lt;&gt;DATE(2025,7,4)), (SWITCH(weekday(AT$4), 1, 0, 2, if(ISBLANK('2025'!$P242), 0, 1), 3, if(ISBLANK('2025'!$Q242), 0, 1), 4, if(ISBLANK('2025'!$R242), 0, 1), 5, if(ISBLANK('2025'!$S242), 0, 1), 6, if(ISBLANK('2025'!$T242), 0, 1), 7, 0))), 1, "")</f>
        <v/>
      </c>
      <c r="AU244" s="1" t="str">
        <f>IF(AND(AND(AND(AU$4&gt;='2025'!$L242,AU$4&lt;='2025'!$M242), AU$4&lt;&gt;DATE(2025,7,4)), (SWITCH(weekday(AU$4), 1, 0, 2, if(ISBLANK('2025'!$P242), 0, 1), 3, if(ISBLANK('2025'!$Q242), 0, 1), 4, if(ISBLANK('2025'!$R242), 0, 1), 5, if(ISBLANK('2025'!$S242), 0, 1), 6, if(ISBLANK('2025'!$T242), 0, 1), 7, 0))), 1, "")</f>
        <v/>
      </c>
      <c r="AV244" s="1" t="str">
        <f>IF(AND(AND(AND(AV$4&gt;='2025'!$L242,AV$4&lt;='2025'!$M242), AV$4&lt;&gt;DATE(2025,7,4)), (SWITCH(weekday(AV$4), 1, 0, 2, if(ISBLANK('2025'!$P242), 0, 1), 3, if(ISBLANK('2025'!$Q242), 0, 1), 4, if(ISBLANK('2025'!$R242), 0, 1), 5, if(ISBLANK('2025'!$S242), 0, 1), 6, if(ISBLANK('2025'!$T242), 0, 1), 7, 0))), 1, "")</f>
        <v/>
      </c>
      <c r="AW244" s="1" t="str">
        <f>IF(AND(AND(AND(AW$4&gt;='2025'!$L242,AW$4&lt;='2025'!$M242), AW$4&lt;&gt;DATE(2025,7,4)), (SWITCH(weekday(AW$4), 1, 0, 2, if(ISBLANK('2025'!$P242), 0, 1), 3, if(ISBLANK('2025'!$Q242), 0, 1), 4, if(ISBLANK('2025'!$R242), 0, 1), 5, if(ISBLANK('2025'!$S242), 0, 1), 6, if(ISBLANK('2025'!$T242), 0, 1), 7, 0))), 1, "")</f>
        <v/>
      </c>
      <c r="AX244" s="1" t="str">
        <f>IF(AND(AND(AND(AX$4&gt;='2025'!$L242,AX$4&lt;='2025'!$M242), AX$4&lt;&gt;DATE(2025,7,4)), (SWITCH(weekday(AX$4), 1, 0, 2, if(ISBLANK('2025'!$P242), 0, 1), 3, if(ISBLANK('2025'!$Q242), 0, 1), 4, if(ISBLANK('2025'!$R242), 0, 1), 5, if(ISBLANK('2025'!$S242), 0, 1), 6, if(ISBLANK('2025'!$T242), 0, 1), 7, 0))), 1, "")</f>
        <v/>
      </c>
      <c r="AY244" s="1" t="str">
        <f>IF(AND(AND(AND(AY$4&gt;='2025'!$L242,AY$4&lt;='2025'!$M242), AY$4&lt;&gt;DATE(2025,7,4)), (SWITCH(weekday(AY$4), 1, 0, 2, if(ISBLANK('2025'!$P242), 0, 1), 3, if(ISBLANK('2025'!$Q242), 0, 1), 4, if(ISBLANK('2025'!$R242), 0, 1), 5, if(ISBLANK('2025'!$S242), 0, 1), 6, if(ISBLANK('2025'!$T242), 0, 1), 7, 0))), 1, "")</f>
        <v/>
      </c>
      <c r="AZ244" s="1" t="str">
        <f>IF(AND(AND(AND(AZ$4&gt;='2025'!$L242,AZ$4&lt;='2025'!$M242), AZ$4&lt;&gt;DATE(2025,7,4)), (SWITCH(weekday(AZ$4), 1, 0, 2, if(ISBLANK('2025'!$P242), 0, 1), 3, if(ISBLANK('2025'!$Q242), 0, 1), 4, if(ISBLANK('2025'!$R242), 0, 1), 5, if(ISBLANK('2025'!$S242), 0, 1), 6, if(ISBLANK('2025'!$T242), 0, 1), 7, 0))), 1, "")</f>
        <v/>
      </c>
      <c r="BA244" s="1" t="str">
        <f>IF(AND(AND(AND(BA$4&gt;='2025'!$L242,BA$4&lt;='2025'!$M242), BA$4&lt;&gt;DATE(2025,7,4)), (SWITCH(weekday(BA$4), 1, 0, 2, if(ISBLANK('2025'!$P242), 0, 1), 3, if(ISBLANK('2025'!$Q242), 0, 1), 4, if(ISBLANK('2025'!$R242), 0, 1), 5, if(ISBLANK('2025'!$S242), 0, 1), 6, if(ISBLANK('2025'!$T242), 0, 1), 7, 0))), 1, "")</f>
        <v/>
      </c>
      <c r="BB244" s="1" t="str">
        <f>IF(AND(AND(AND(BB$4&gt;='2025'!$L242,BB$4&lt;='2025'!$M242), BB$4&lt;&gt;DATE(2025,7,4)), (SWITCH(weekday(BB$4), 1, 0, 2, if(ISBLANK('2025'!$P242), 0, 1), 3, if(ISBLANK('2025'!$Q242), 0, 1), 4, if(ISBLANK('2025'!$R242), 0, 1), 5, if(ISBLANK('2025'!$S242), 0, 1), 6, if(ISBLANK('2025'!$T242), 0, 1), 7, 0))), 1, "")</f>
        <v/>
      </c>
      <c r="BC244" s="1" t="str">
        <f>IF(AND(AND(AND(BC$4&gt;='2025'!$L242,BC$4&lt;='2025'!$M242), BC$4&lt;&gt;DATE(2025,7,4)), (SWITCH(weekday(BC$4), 1, 0, 2, if(ISBLANK('2025'!$P242), 0, 1), 3, if(ISBLANK('2025'!$Q242), 0, 1), 4, if(ISBLANK('2025'!$R242), 0, 1), 5, if(ISBLANK('2025'!$S242), 0, 1), 6, if(ISBLANK('2025'!$T242), 0, 1), 7, 0))), 1, "")</f>
        <v/>
      </c>
      <c r="BD244" s="1" t="str">
        <f>IF(AND(AND(AND(BD$4&gt;='2025'!$L242,BD$4&lt;='2025'!$M242), BD$4&lt;&gt;DATE(2025,7,4)), (SWITCH(weekday(BD$4), 1, 0, 2, if(ISBLANK('2025'!$P242), 0, 1), 3, if(ISBLANK('2025'!$Q242), 0, 1), 4, if(ISBLANK('2025'!$R242), 0, 1), 5, if(ISBLANK('2025'!$S242), 0, 1), 6, if(ISBLANK('2025'!$T242), 0, 1), 7, 0))), 1, "")</f>
        <v/>
      </c>
      <c r="BE244" s="1" t="str">
        <f>IF(AND(AND(AND(BE$4&gt;='2025'!$L242,BE$4&lt;='2025'!$M242), BE$4&lt;&gt;DATE(2025,7,4)), (SWITCH(weekday(BE$4), 1, 0, 2, if(ISBLANK('2025'!$P242), 0, 1), 3, if(ISBLANK('2025'!$Q242), 0, 1), 4, if(ISBLANK('2025'!$R242), 0, 1), 5, if(ISBLANK('2025'!$S242), 0, 1), 6, if(ISBLANK('2025'!$T242), 0, 1), 7, 0))), 1, "")</f>
        <v/>
      </c>
      <c r="BF244" s="1" t="str">
        <f>IF(AND(AND(AND(BF$4&gt;='2025'!$L242,BF$4&lt;='2025'!$M242), BF$4&lt;&gt;DATE(2025,7,4)), (SWITCH(weekday(BF$4), 1, 0, 2, if(ISBLANK('2025'!$P242), 0, 1), 3, if(ISBLANK('2025'!$Q242), 0, 1), 4, if(ISBLANK('2025'!$R242), 0, 1), 5, if(ISBLANK('2025'!$S242), 0, 1), 6, if(ISBLANK('2025'!$T242), 0, 1), 7, 0))), 1, "")</f>
        <v/>
      </c>
      <c r="BG244" s="1"/>
      <c r="BH244" s="1"/>
      <c r="BI244" s="1"/>
      <c r="BJ244" s="1"/>
      <c r="BK244" s="1"/>
      <c r="BL244" s="1"/>
    </row>
    <row r="245">
      <c r="A245" s="1">
        <f t="shared" si="3"/>
        <v>245</v>
      </c>
      <c r="B245" s="1" t="str">
        <f>'2025'!D209</f>
        <v>, </v>
      </c>
      <c r="C245" s="1" t="str">
        <f>'2025'!H209</f>
        <v/>
      </c>
      <c r="D245" s="1" t="str">
        <f>IF(AND(AND(AND(D$4&gt;='2025'!$L243,D$4&lt;='2025'!$M243), D$4&lt;&gt;DATE(2025,7,4)), (SWITCH(weekday(D$4), 1, 0, 2, if(ISBLANK('2025'!$P243), 0, 1), 3, if(ISBLANK('2025'!$Q243), 0, 1), 4, if(ISBLANK('2025'!$R243), 0, 1), 5, if(ISBLANK('2025'!$S243), 0, 1), 6, if(ISBLANK('2025'!$T243), 0, 1), 7, 0))), 1, "")</f>
        <v/>
      </c>
      <c r="E245" s="1" t="str">
        <f>IF(AND(AND(AND(E$4&gt;='2025'!$L243,E$4&lt;='2025'!$M243), E$4&lt;&gt;DATE(2025,7,4)), (SWITCH(weekday(E$4), 1, 0, 2, if(ISBLANK('2025'!$P243), 0, 1), 3, if(ISBLANK('2025'!$Q243), 0, 1), 4, if(ISBLANK('2025'!$R243), 0, 1), 5, if(ISBLANK('2025'!$S243), 0, 1), 6, if(ISBLANK('2025'!$T243), 0, 1), 7, 0))), 1, "")</f>
        <v/>
      </c>
      <c r="F245" s="1" t="str">
        <f>IF(AND(AND(AND(F$4&gt;='2025'!$L243,F$4&lt;='2025'!$M243), F$4&lt;&gt;DATE(2025,7,4)), (SWITCH(weekday(F$4), 1, 0, 2, if(ISBLANK('2025'!$P243), 0, 1), 3, if(ISBLANK('2025'!$Q243), 0, 1), 4, if(ISBLANK('2025'!$R243), 0, 1), 5, if(ISBLANK('2025'!$S243), 0, 1), 6, if(ISBLANK('2025'!$T243), 0, 1), 7, 0))), 1, "")</f>
        <v/>
      </c>
      <c r="G245" s="1" t="str">
        <f>IF(AND(AND(AND(G$4&gt;='2025'!$L243,G$4&lt;='2025'!$M243), G$4&lt;&gt;DATE(2025,7,4)), (SWITCH(weekday(G$4), 1, 0, 2, if(ISBLANK('2025'!$P243), 0, 1), 3, if(ISBLANK('2025'!$Q243), 0, 1), 4, if(ISBLANK('2025'!$R243), 0, 1), 5, if(ISBLANK('2025'!$S243), 0, 1), 6, if(ISBLANK('2025'!$T243), 0, 1), 7, 0))), 1, "")</f>
        <v/>
      </c>
      <c r="H245" s="1" t="str">
        <f>IF(AND(AND(AND(H$4&gt;='2025'!$L243,H$4&lt;='2025'!$M243), H$4&lt;&gt;DATE(2025,7,4)), (SWITCH(weekday(H$4), 1, 0, 2, if(ISBLANK('2025'!$P243), 0, 1), 3, if(ISBLANK('2025'!$Q243), 0, 1), 4, if(ISBLANK('2025'!$R243), 0, 1), 5, if(ISBLANK('2025'!$S243), 0, 1), 6, if(ISBLANK('2025'!$T243), 0, 1), 7, 0))), 1, "")</f>
        <v/>
      </c>
      <c r="I245" s="1" t="str">
        <f>IF(AND(AND(AND(I$4&gt;='2025'!$L243,I$4&lt;='2025'!$M243), I$4&lt;&gt;DATE(2025,7,4)), (SWITCH(weekday(I$4), 1, 0, 2, if(ISBLANK('2025'!$P243), 0, 1), 3, if(ISBLANK('2025'!$Q243), 0, 1), 4, if(ISBLANK('2025'!$R243), 0, 1), 5, if(ISBLANK('2025'!$S243), 0, 1), 6, if(ISBLANK('2025'!$T243), 0, 1), 7, 0))), 1, "")</f>
        <v/>
      </c>
      <c r="J245" s="1" t="str">
        <f>IF(AND(AND(AND(J$4&gt;='2025'!$L243,J$4&lt;='2025'!$M243), J$4&lt;&gt;DATE(2025,7,4)), (SWITCH(weekday(J$4), 1, 0, 2, if(ISBLANK('2025'!$P243), 0, 1), 3, if(ISBLANK('2025'!$Q243), 0, 1), 4, if(ISBLANK('2025'!$R243), 0, 1), 5, if(ISBLANK('2025'!$S243), 0, 1), 6, if(ISBLANK('2025'!$T243), 0, 1), 7, 0))), 1, "")</f>
        <v/>
      </c>
      <c r="K245" s="1" t="str">
        <f>IF(AND(AND(AND(K$4&gt;='2025'!$L243,K$4&lt;='2025'!$M243), K$4&lt;&gt;DATE(2025,7,4)), (SWITCH(weekday(K$4), 1, 0, 2, if(ISBLANK('2025'!$P243), 0, 1), 3, if(ISBLANK('2025'!$Q243), 0, 1), 4, if(ISBLANK('2025'!$R243), 0, 1), 5, if(ISBLANK('2025'!$S243), 0, 1), 6, if(ISBLANK('2025'!$T243), 0, 1), 7, 0))), 1, "")</f>
        <v/>
      </c>
      <c r="L245" s="1" t="str">
        <f>IF(AND(AND(AND(L$4&gt;='2025'!$L243,L$4&lt;='2025'!$M243), L$4&lt;&gt;DATE(2025,7,4)), (SWITCH(weekday(L$4), 1, 0, 2, if(ISBLANK('2025'!$P243), 0, 1), 3, if(ISBLANK('2025'!$Q243), 0, 1), 4, if(ISBLANK('2025'!$R243), 0, 1), 5, if(ISBLANK('2025'!$S243), 0, 1), 6, if(ISBLANK('2025'!$T243), 0, 1), 7, 0))), 1, "")</f>
        <v/>
      </c>
      <c r="M245" s="1" t="str">
        <f>IF(AND(AND(AND(M$4&gt;='2025'!$L243,M$4&lt;='2025'!$M243), M$4&lt;&gt;DATE(2025,7,4)), (SWITCH(weekday(M$4), 1, 0, 2, if(ISBLANK('2025'!$P243), 0, 1), 3, if(ISBLANK('2025'!$Q243), 0, 1), 4, if(ISBLANK('2025'!$R243), 0, 1), 5, if(ISBLANK('2025'!$S243), 0, 1), 6, if(ISBLANK('2025'!$T243), 0, 1), 7, 0))), 1, "")</f>
        <v/>
      </c>
      <c r="N245" s="1" t="str">
        <f>IF(AND(AND(AND(N$4&gt;='2025'!$L243,N$4&lt;='2025'!$M243), N$4&lt;&gt;DATE(2025,7,4)), (SWITCH(weekday(N$4), 1, 0, 2, if(ISBLANK('2025'!$P243), 0, 1), 3, if(ISBLANK('2025'!$Q243), 0, 1), 4, if(ISBLANK('2025'!$R243), 0, 1), 5, if(ISBLANK('2025'!$S243), 0, 1), 6, if(ISBLANK('2025'!$T243), 0, 1), 7, 0))), 1, "")</f>
        <v/>
      </c>
      <c r="O245" s="1" t="str">
        <f>IF(AND(AND(AND(O$4&gt;='2025'!$L243,O$4&lt;='2025'!$M243), O$4&lt;&gt;DATE(2025,7,4)), (SWITCH(weekday(O$4), 1, 0, 2, if(ISBLANK('2025'!$P243), 0, 1), 3, if(ISBLANK('2025'!$Q243), 0, 1), 4, if(ISBLANK('2025'!$R243), 0, 1), 5, if(ISBLANK('2025'!$S243), 0, 1), 6, if(ISBLANK('2025'!$T243), 0, 1), 7, 0))), 1, "")</f>
        <v/>
      </c>
      <c r="P245" s="1" t="str">
        <f>IF(AND(AND(AND(P$4&gt;='2025'!$L243,P$4&lt;='2025'!$M243), P$4&lt;&gt;DATE(2025,7,4)), (SWITCH(weekday(P$4), 1, 0, 2, if(ISBLANK('2025'!$P243), 0, 1), 3, if(ISBLANK('2025'!$Q243), 0, 1), 4, if(ISBLANK('2025'!$R243), 0, 1), 5, if(ISBLANK('2025'!$S243), 0, 1), 6, if(ISBLANK('2025'!$T243), 0, 1), 7, 0))), 1, "")</f>
        <v/>
      </c>
      <c r="Q245" s="1" t="str">
        <f>IF(AND(AND(AND(Q$4&gt;='2025'!$L243,Q$4&lt;='2025'!$M243), Q$4&lt;&gt;DATE(2025,7,4)), (SWITCH(weekday(Q$4), 1, 0, 2, if(ISBLANK('2025'!$P243), 0, 1), 3, if(ISBLANK('2025'!$Q243), 0, 1), 4, if(ISBLANK('2025'!$R243), 0, 1), 5, if(ISBLANK('2025'!$S243), 0, 1), 6, if(ISBLANK('2025'!$T243), 0, 1), 7, 0))), 1, "")</f>
        <v/>
      </c>
      <c r="R245" s="1" t="str">
        <f>IF(AND(AND(AND(R$4&gt;='2025'!$L243,R$4&lt;='2025'!$M243), R$4&lt;&gt;DATE(2025,7,4)), (SWITCH(weekday(R$4), 1, 0, 2, if(ISBLANK('2025'!$P243), 0, 1), 3, if(ISBLANK('2025'!$Q243), 0, 1), 4, if(ISBLANK('2025'!$R243), 0, 1), 5, if(ISBLANK('2025'!$S243), 0, 1), 6, if(ISBLANK('2025'!$T243), 0, 1), 7, 0))), 1, "")</f>
        <v/>
      </c>
      <c r="S245" s="1" t="str">
        <f>IF(AND(AND(AND(S$4&gt;='2025'!$L243,S$4&lt;='2025'!$M243), S$4&lt;&gt;DATE(2025,7,4)), (SWITCH(weekday(S$4), 1, 0, 2, if(ISBLANK('2025'!$P243), 0, 1), 3, if(ISBLANK('2025'!$Q243), 0, 1), 4, if(ISBLANK('2025'!$R243), 0, 1), 5, if(ISBLANK('2025'!$S243), 0, 1), 6, if(ISBLANK('2025'!$T243), 0, 1), 7, 0))), 1, "")</f>
        <v/>
      </c>
      <c r="T245" s="1" t="str">
        <f>IF(AND(AND(AND(T$4&gt;='2025'!$L243,T$4&lt;='2025'!$M243), T$4&lt;&gt;DATE(2025,7,4)), (SWITCH(weekday(T$4), 1, 0, 2, if(ISBLANK('2025'!$P243), 0, 1), 3, if(ISBLANK('2025'!$Q243), 0, 1), 4, if(ISBLANK('2025'!$R243), 0, 1), 5, if(ISBLANK('2025'!$S243), 0, 1), 6, if(ISBLANK('2025'!$T243), 0, 1), 7, 0))), 1, "")</f>
        <v/>
      </c>
      <c r="U245" s="1" t="str">
        <f>IF(AND(AND(AND(U$4&gt;='2025'!$L243,U$4&lt;='2025'!$M243), U$4&lt;&gt;DATE(2025,7,4)), (SWITCH(weekday(U$4), 1, 0, 2, if(ISBLANK('2025'!$P243), 0, 1), 3, if(ISBLANK('2025'!$Q243), 0, 1), 4, if(ISBLANK('2025'!$R243), 0, 1), 5, if(ISBLANK('2025'!$S243), 0, 1), 6, if(ISBLANK('2025'!$T243), 0, 1), 7, 0))), 1, "")</f>
        <v/>
      </c>
      <c r="V245" s="1" t="str">
        <f>IF(AND(AND(AND(V$4&gt;='2025'!$L243,V$4&lt;='2025'!$M243), V$4&lt;&gt;DATE(2025,7,4)), (SWITCH(weekday(V$4), 1, 0, 2, if(ISBLANK('2025'!$P243), 0, 1), 3, if(ISBLANK('2025'!$Q243), 0, 1), 4, if(ISBLANK('2025'!$R243), 0, 1), 5, if(ISBLANK('2025'!$S243), 0, 1), 6, if(ISBLANK('2025'!$T243), 0, 1), 7, 0))), 1, "")</f>
        <v/>
      </c>
      <c r="W245" s="1" t="str">
        <f>IF(AND(AND(AND(W$4&gt;='2025'!$L243,W$4&lt;='2025'!$M243), W$4&lt;&gt;DATE(2025,7,4)), (SWITCH(weekday(W$4), 1, 0, 2, if(ISBLANK('2025'!$P243), 0, 1), 3, if(ISBLANK('2025'!$Q243), 0, 1), 4, if(ISBLANK('2025'!$R243), 0, 1), 5, if(ISBLANK('2025'!$S243), 0, 1), 6, if(ISBLANK('2025'!$T243), 0, 1), 7, 0))), 1, "")</f>
        <v/>
      </c>
      <c r="X245" s="1" t="str">
        <f>IF(AND(AND(AND(X$4&gt;='2025'!$L243,X$4&lt;='2025'!$M243), X$4&lt;&gt;DATE(2025,7,4)), (SWITCH(weekday(X$4), 1, 0, 2, if(ISBLANK('2025'!$P243), 0, 1), 3, if(ISBLANK('2025'!$Q243), 0, 1), 4, if(ISBLANK('2025'!$R243), 0, 1), 5, if(ISBLANK('2025'!$S243), 0, 1), 6, if(ISBLANK('2025'!$T243), 0, 1), 7, 0))), 1, "")</f>
        <v/>
      </c>
      <c r="Y245" s="1" t="str">
        <f>IF(AND(AND(AND(Y$4&gt;='2025'!$L243,Y$4&lt;='2025'!$M243), Y$4&lt;&gt;DATE(2025,7,4)), (SWITCH(weekday(Y$4), 1, 0, 2, if(ISBLANK('2025'!$P243), 0, 1), 3, if(ISBLANK('2025'!$Q243), 0, 1), 4, if(ISBLANK('2025'!$R243), 0, 1), 5, if(ISBLANK('2025'!$S243), 0, 1), 6, if(ISBLANK('2025'!$T243), 0, 1), 7, 0))), 1, "")</f>
        <v/>
      </c>
      <c r="Z245" s="1" t="str">
        <f>IF(AND(AND(AND(Z$4&gt;='2025'!$L243,Z$4&lt;='2025'!$M243), Z$4&lt;&gt;DATE(2025,7,4)), (SWITCH(weekday(Z$4), 1, 0, 2, if(ISBLANK('2025'!$P243), 0, 1), 3, if(ISBLANK('2025'!$Q243), 0, 1), 4, if(ISBLANK('2025'!$R243), 0, 1), 5, if(ISBLANK('2025'!$S243), 0, 1), 6, if(ISBLANK('2025'!$T243), 0, 1), 7, 0))), 1, "")</f>
        <v/>
      </c>
      <c r="AA245" s="1" t="str">
        <f>IF(AND(AND(AND(AA$4&gt;='2025'!$L243,AA$4&lt;='2025'!$M243), AA$4&lt;&gt;DATE(2025,7,4)), (SWITCH(weekday(AA$4), 1, 0, 2, if(ISBLANK('2025'!$P243), 0, 1), 3, if(ISBLANK('2025'!$Q243), 0, 1), 4, if(ISBLANK('2025'!$R243), 0, 1), 5, if(ISBLANK('2025'!$S243), 0, 1), 6, if(ISBLANK('2025'!$T243), 0, 1), 7, 0))), 1, "")</f>
        <v/>
      </c>
      <c r="AB245" s="1" t="str">
        <f>IF(AND(AND(AND(AB$4&gt;='2025'!$L243,AB$4&lt;='2025'!$M243), AB$4&lt;&gt;DATE(2025,7,4)), (SWITCH(weekday(AB$4), 1, 0, 2, if(ISBLANK('2025'!$P243), 0, 1), 3, if(ISBLANK('2025'!$Q243), 0, 1), 4, if(ISBLANK('2025'!$R243), 0, 1), 5, if(ISBLANK('2025'!$S243), 0, 1), 6, if(ISBLANK('2025'!$T243), 0, 1), 7, 0))), 1, "")</f>
        <v/>
      </c>
      <c r="AC245" s="1" t="str">
        <f>IF(AND(AND(AND(AC$4&gt;='2025'!$L243,AC$4&lt;='2025'!$M243), AC$4&lt;&gt;DATE(2025,7,4)), (SWITCH(weekday(AC$4), 1, 0, 2, if(ISBLANK('2025'!$P243), 0, 1), 3, if(ISBLANK('2025'!$Q243), 0, 1), 4, if(ISBLANK('2025'!$R243), 0, 1), 5, if(ISBLANK('2025'!$S243), 0, 1), 6, if(ISBLANK('2025'!$T243), 0, 1), 7, 0))), 1, "")</f>
        <v/>
      </c>
      <c r="AD245" s="1" t="str">
        <f>IF(AND(AND(AND(AD$4&gt;='2025'!$L243,AD$4&lt;='2025'!$M243), AD$4&lt;&gt;DATE(2025,7,4)), (SWITCH(weekday(AD$4), 1, 0, 2, if(ISBLANK('2025'!$P243), 0, 1), 3, if(ISBLANK('2025'!$Q243), 0, 1), 4, if(ISBLANK('2025'!$R243), 0, 1), 5, if(ISBLANK('2025'!$S243), 0, 1), 6, if(ISBLANK('2025'!$T243), 0, 1), 7, 0))), 1, "")</f>
        <v/>
      </c>
      <c r="AE245" s="1" t="str">
        <f>IF(AND(AND(AND(AE$4&gt;='2025'!$L243,AE$4&lt;='2025'!$M243), AE$4&lt;&gt;DATE(2025,7,4)), (SWITCH(weekday(AE$4), 1, 0, 2, if(ISBLANK('2025'!$P243), 0, 1), 3, if(ISBLANK('2025'!$Q243), 0, 1), 4, if(ISBLANK('2025'!$R243), 0, 1), 5, if(ISBLANK('2025'!$S243), 0, 1), 6, if(ISBLANK('2025'!$T243), 0, 1), 7, 0))), 1, "")</f>
        <v/>
      </c>
      <c r="AF245" s="1" t="str">
        <f>IF(AND(AND(AND(AF$4&gt;='2025'!$L243,AF$4&lt;='2025'!$M243), AF$4&lt;&gt;DATE(2025,7,4)), (SWITCH(weekday(AF$4), 1, 0, 2, if(ISBLANK('2025'!$P243), 0, 1), 3, if(ISBLANK('2025'!$Q243), 0, 1), 4, if(ISBLANK('2025'!$R243), 0, 1), 5, if(ISBLANK('2025'!$S243), 0, 1), 6, if(ISBLANK('2025'!$T243), 0, 1), 7, 0))), 1, "")</f>
        <v/>
      </c>
      <c r="AG245" s="1" t="str">
        <f>IF(AND(AND(AND(AG$4&gt;='2025'!$L243,AG$4&lt;='2025'!$M243), AG$4&lt;&gt;DATE(2025,7,4)), (SWITCH(weekday(AG$4), 1, 0, 2, if(ISBLANK('2025'!$P243), 0, 1), 3, if(ISBLANK('2025'!$Q243), 0, 1), 4, if(ISBLANK('2025'!$R243), 0, 1), 5, if(ISBLANK('2025'!$S243), 0, 1), 6, if(ISBLANK('2025'!$T243), 0, 1), 7, 0))), 1, "")</f>
        <v/>
      </c>
      <c r="AH245" s="1" t="str">
        <f>IF(AND(AND(AND(AH$4&gt;='2025'!$L243,AH$4&lt;='2025'!$M243), AH$4&lt;&gt;DATE(2025,7,4)), (SWITCH(weekday(AH$4), 1, 0, 2, if(ISBLANK('2025'!$P243), 0, 1), 3, if(ISBLANK('2025'!$Q243), 0, 1), 4, if(ISBLANK('2025'!$R243), 0, 1), 5, if(ISBLANK('2025'!$S243), 0, 1), 6, if(ISBLANK('2025'!$T243), 0, 1), 7, 0))), 1, "")</f>
        <v/>
      </c>
      <c r="AI245" s="1" t="str">
        <f>IF(AND(AND(AND(AI$4&gt;='2025'!$L243,AI$4&lt;='2025'!$M243), AI$4&lt;&gt;DATE(2025,7,4)), (SWITCH(weekday(AI$4), 1, 0, 2, if(ISBLANK('2025'!$P243), 0, 1), 3, if(ISBLANK('2025'!$Q243), 0, 1), 4, if(ISBLANK('2025'!$R243), 0, 1), 5, if(ISBLANK('2025'!$S243), 0, 1), 6, if(ISBLANK('2025'!$T243), 0, 1), 7, 0))), 1, "")</f>
        <v/>
      </c>
      <c r="AJ245" s="1" t="str">
        <f>IF(AND(AND(AND(AJ$4&gt;='2025'!$L243,AJ$4&lt;='2025'!$M243), AJ$4&lt;&gt;DATE(2025,7,4)), (SWITCH(weekday(AJ$4), 1, 0, 2, if(ISBLANK('2025'!$P243), 0, 1), 3, if(ISBLANK('2025'!$Q243), 0, 1), 4, if(ISBLANK('2025'!$R243), 0, 1), 5, if(ISBLANK('2025'!$S243), 0, 1), 6, if(ISBLANK('2025'!$T243), 0, 1), 7, 0))), 1, "")</f>
        <v/>
      </c>
      <c r="AK245" s="1" t="str">
        <f>IF(AND(AND(AND(AK$4&gt;='2025'!$L243,AK$4&lt;='2025'!$M243), AK$4&lt;&gt;DATE(2025,7,4)), (SWITCH(weekday(AK$4), 1, 0, 2, if(ISBLANK('2025'!$P243), 0, 1), 3, if(ISBLANK('2025'!$Q243), 0, 1), 4, if(ISBLANK('2025'!$R243), 0, 1), 5, if(ISBLANK('2025'!$S243), 0, 1), 6, if(ISBLANK('2025'!$T243), 0, 1), 7, 0))), 1, "")</f>
        <v/>
      </c>
      <c r="AL245" s="1" t="str">
        <f>IF(AND(AND(AND(AL$4&gt;='2025'!$L243,AL$4&lt;='2025'!$M243), AL$4&lt;&gt;DATE(2025,7,4)), (SWITCH(weekday(AL$4), 1, 0, 2, if(ISBLANK('2025'!$P243), 0, 1), 3, if(ISBLANK('2025'!$Q243), 0, 1), 4, if(ISBLANK('2025'!$R243), 0, 1), 5, if(ISBLANK('2025'!$S243), 0, 1), 6, if(ISBLANK('2025'!$T243), 0, 1), 7, 0))), 1, "")</f>
        <v/>
      </c>
      <c r="AM245" s="1" t="str">
        <f>IF(AND(AND(AND(AM$4&gt;='2025'!$L243,AM$4&lt;='2025'!$M243), AM$4&lt;&gt;DATE(2025,7,4)), (SWITCH(weekday(AM$4), 1, 0, 2, if(ISBLANK('2025'!$P243), 0, 1), 3, if(ISBLANK('2025'!$Q243), 0, 1), 4, if(ISBLANK('2025'!$R243), 0, 1), 5, if(ISBLANK('2025'!$S243), 0, 1), 6, if(ISBLANK('2025'!$T243), 0, 1), 7, 0))), 1, "")</f>
        <v/>
      </c>
      <c r="AN245" s="1" t="str">
        <f>IF(AND(AND(AND(AN$4&gt;='2025'!$L243,AN$4&lt;='2025'!$M243), AN$4&lt;&gt;DATE(2025,7,4)), (SWITCH(weekday(AN$4), 1, 0, 2, if(ISBLANK('2025'!$P243), 0, 1), 3, if(ISBLANK('2025'!$Q243), 0, 1), 4, if(ISBLANK('2025'!$R243), 0, 1), 5, if(ISBLANK('2025'!$S243), 0, 1), 6, if(ISBLANK('2025'!$T243), 0, 1), 7, 0))), 1, "")</f>
        <v/>
      </c>
      <c r="AO245" s="1" t="str">
        <f>IF(AND(AND(AND(AO$4&gt;='2025'!$L243,AO$4&lt;='2025'!$M243), AO$4&lt;&gt;DATE(2025,7,4)), (SWITCH(weekday(AO$4), 1, 0, 2, if(ISBLANK('2025'!$P243), 0, 1), 3, if(ISBLANK('2025'!$Q243), 0, 1), 4, if(ISBLANK('2025'!$R243), 0, 1), 5, if(ISBLANK('2025'!$S243), 0, 1), 6, if(ISBLANK('2025'!$T243), 0, 1), 7, 0))), 1, "")</f>
        <v/>
      </c>
      <c r="AP245" s="1" t="str">
        <f>IF(AND(AND(AND(AP$4&gt;='2025'!$L243,AP$4&lt;='2025'!$M243), AP$4&lt;&gt;DATE(2025,7,4)), (SWITCH(weekday(AP$4), 1, 0, 2, if(ISBLANK('2025'!$P243), 0, 1), 3, if(ISBLANK('2025'!$Q243), 0, 1), 4, if(ISBLANK('2025'!$R243), 0, 1), 5, if(ISBLANK('2025'!$S243), 0, 1), 6, if(ISBLANK('2025'!$T243), 0, 1), 7, 0))), 1, "")</f>
        <v/>
      </c>
      <c r="AQ245" s="1" t="str">
        <f>IF(AND(AND(AND(AQ$4&gt;='2025'!$L243,AQ$4&lt;='2025'!$M243), AQ$4&lt;&gt;DATE(2025,7,4)), (SWITCH(weekday(AQ$4), 1, 0, 2, if(ISBLANK('2025'!$P243), 0, 1), 3, if(ISBLANK('2025'!$Q243), 0, 1), 4, if(ISBLANK('2025'!$R243), 0, 1), 5, if(ISBLANK('2025'!$S243), 0, 1), 6, if(ISBLANK('2025'!$T243), 0, 1), 7, 0))), 1, "")</f>
        <v/>
      </c>
      <c r="AR245" s="1" t="str">
        <f>IF(AND(AND(AND(AR$4&gt;='2025'!$L243,AR$4&lt;='2025'!$M243), AR$4&lt;&gt;DATE(2025,7,4)), (SWITCH(weekday(AR$4), 1, 0, 2, if(ISBLANK('2025'!$P243), 0, 1), 3, if(ISBLANK('2025'!$Q243), 0, 1), 4, if(ISBLANK('2025'!$R243), 0, 1), 5, if(ISBLANK('2025'!$S243), 0, 1), 6, if(ISBLANK('2025'!$T243), 0, 1), 7, 0))), 1, "")</f>
        <v/>
      </c>
      <c r="AS245" s="1" t="str">
        <f>IF(AND(AND(AND(AS$4&gt;='2025'!$L243,AS$4&lt;='2025'!$M243), AS$4&lt;&gt;DATE(2025,7,4)), (SWITCH(weekday(AS$4), 1, 0, 2, if(ISBLANK('2025'!$P243), 0, 1), 3, if(ISBLANK('2025'!$Q243), 0, 1), 4, if(ISBLANK('2025'!$R243), 0, 1), 5, if(ISBLANK('2025'!$S243), 0, 1), 6, if(ISBLANK('2025'!$T243), 0, 1), 7, 0))), 1, "")</f>
        <v/>
      </c>
      <c r="AT245" s="1" t="str">
        <f>IF(AND(AND(AND(AT$4&gt;='2025'!$L243,AT$4&lt;='2025'!$M243), AT$4&lt;&gt;DATE(2025,7,4)), (SWITCH(weekday(AT$4), 1, 0, 2, if(ISBLANK('2025'!$P243), 0, 1), 3, if(ISBLANK('2025'!$Q243), 0, 1), 4, if(ISBLANK('2025'!$R243), 0, 1), 5, if(ISBLANK('2025'!$S243), 0, 1), 6, if(ISBLANK('2025'!$T243), 0, 1), 7, 0))), 1, "")</f>
        <v/>
      </c>
      <c r="AU245" s="1" t="str">
        <f>IF(AND(AND(AND(AU$4&gt;='2025'!$L243,AU$4&lt;='2025'!$M243), AU$4&lt;&gt;DATE(2025,7,4)), (SWITCH(weekday(AU$4), 1, 0, 2, if(ISBLANK('2025'!$P243), 0, 1), 3, if(ISBLANK('2025'!$Q243), 0, 1), 4, if(ISBLANK('2025'!$R243), 0, 1), 5, if(ISBLANK('2025'!$S243), 0, 1), 6, if(ISBLANK('2025'!$T243), 0, 1), 7, 0))), 1, "")</f>
        <v/>
      </c>
      <c r="AV245" s="1" t="str">
        <f>IF(AND(AND(AND(AV$4&gt;='2025'!$L243,AV$4&lt;='2025'!$M243), AV$4&lt;&gt;DATE(2025,7,4)), (SWITCH(weekday(AV$4), 1, 0, 2, if(ISBLANK('2025'!$P243), 0, 1), 3, if(ISBLANK('2025'!$Q243), 0, 1), 4, if(ISBLANK('2025'!$R243), 0, 1), 5, if(ISBLANK('2025'!$S243), 0, 1), 6, if(ISBLANK('2025'!$T243), 0, 1), 7, 0))), 1, "")</f>
        <v/>
      </c>
      <c r="AW245" s="1" t="str">
        <f>IF(AND(AND(AND(AW$4&gt;='2025'!$L243,AW$4&lt;='2025'!$M243), AW$4&lt;&gt;DATE(2025,7,4)), (SWITCH(weekday(AW$4), 1, 0, 2, if(ISBLANK('2025'!$P243), 0, 1), 3, if(ISBLANK('2025'!$Q243), 0, 1), 4, if(ISBLANK('2025'!$R243), 0, 1), 5, if(ISBLANK('2025'!$S243), 0, 1), 6, if(ISBLANK('2025'!$T243), 0, 1), 7, 0))), 1, "")</f>
        <v/>
      </c>
      <c r="AX245" s="1" t="str">
        <f>IF(AND(AND(AND(AX$4&gt;='2025'!$L243,AX$4&lt;='2025'!$M243), AX$4&lt;&gt;DATE(2025,7,4)), (SWITCH(weekday(AX$4), 1, 0, 2, if(ISBLANK('2025'!$P243), 0, 1), 3, if(ISBLANK('2025'!$Q243), 0, 1), 4, if(ISBLANK('2025'!$R243), 0, 1), 5, if(ISBLANK('2025'!$S243), 0, 1), 6, if(ISBLANK('2025'!$T243), 0, 1), 7, 0))), 1, "")</f>
        <v/>
      </c>
      <c r="AY245" s="1" t="str">
        <f>IF(AND(AND(AND(AY$4&gt;='2025'!$L243,AY$4&lt;='2025'!$M243), AY$4&lt;&gt;DATE(2025,7,4)), (SWITCH(weekday(AY$4), 1, 0, 2, if(ISBLANK('2025'!$P243), 0, 1), 3, if(ISBLANK('2025'!$Q243), 0, 1), 4, if(ISBLANK('2025'!$R243), 0, 1), 5, if(ISBLANK('2025'!$S243), 0, 1), 6, if(ISBLANK('2025'!$T243), 0, 1), 7, 0))), 1, "")</f>
        <v/>
      </c>
      <c r="AZ245" s="1" t="str">
        <f>IF(AND(AND(AND(AZ$4&gt;='2025'!$L243,AZ$4&lt;='2025'!$M243), AZ$4&lt;&gt;DATE(2025,7,4)), (SWITCH(weekday(AZ$4), 1, 0, 2, if(ISBLANK('2025'!$P243), 0, 1), 3, if(ISBLANK('2025'!$Q243), 0, 1), 4, if(ISBLANK('2025'!$R243), 0, 1), 5, if(ISBLANK('2025'!$S243), 0, 1), 6, if(ISBLANK('2025'!$T243), 0, 1), 7, 0))), 1, "")</f>
        <v/>
      </c>
      <c r="BA245" s="1" t="str">
        <f>IF(AND(AND(AND(BA$4&gt;='2025'!$L243,BA$4&lt;='2025'!$M243), BA$4&lt;&gt;DATE(2025,7,4)), (SWITCH(weekday(BA$4), 1, 0, 2, if(ISBLANK('2025'!$P243), 0, 1), 3, if(ISBLANK('2025'!$Q243), 0, 1), 4, if(ISBLANK('2025'!$R243), 0, 1), 5, if(ISBLANK('2025'!$S243), 0, 1), 6, if(ISBLANK('2025'!$T243), 0, 1), 7, 0))), 1, "")</f>
        <v/>
      </c>
      <c r="BB245" s="1" t="str">
        <f>IF(AND(AND(AND(BB$4&gt;='2025'!$L243,BB$4&lt;='2025'!$M243), BB$4&lt;&gt;DATE(2025,7,4)), (SWITCH(weekday(BB$4), 1, 0, 2, if(ISBLANK('2025'!$P243), 0, 1), 3, if(ISBLANK('2025'!$Q243), 0, 1), 4, if(ISBLANK('2025'!$R243), 0, 1), 5, if(ISBLANK('2025'!$S243), 0, 1), 6, if(ISBLANK('2025'!$T243), 0, 1), 7, 0))), 1, "")</f>
        <v/>
      </c>
      <c r="BC245" s="1" t="str">
        <f>IF(AND(AND(AND(BC$4&gt;='2025'!$L243,BC$4&lt;='2025'!$M243), BC$4&lt;&gt;DATE(2025,7,4)), (SWITCH(weekday(BC$4), 1, 0, 2, if(ISBLANK('2025'!$P243), 0, 1), 3, if(ISBLANK('2025'!$Q243), 0, 1), 4, if(ISBLANK('2025'!$R243), 0, 1), 5, if(ISBLANK('2025'!$S243), 0, 1), 6, if(ISBLANK('2025'!$T243), 0, 1), 7, 0))), 1, "")</f>
        <v/>
      </c>
      <c r="BD245" s="1" t="str">
        <f>IF(AND(AND(AND(BD$4&gt;='2025'!$L243,BD$4&lt;='2025'!$M243), BD$4&lt;&gt;DATE(2025,7,4)), (SWITCH(weekday(BD$4), 1, 0, 2, if(ISBLANK('2025'!$P243), 0, 1), 3, if(ISBLANK('2025'!$Q243), 0, 1), 4, if(ISBLANK('2025'!$R243), 0, 1), 5, if(ISBLANK('2025'!$S243), 0, 1), 6, if(ISBLANK('2025'!$T243), 0, 1), 7, 0))), 1, "")</f>
        <v/>
      </c>
      <c r="BE245" s="1" t="str">
        <f>IF(AND(AND(AND(BE$4&gt;='2025'!$L243,BE$4&lt;='2025'!$M243), BE$4&lt;&gt;DATE(2025,7,4)), (SWITCH(weekday(BE$4), 1, 0, 2, if(ISBLANK('2025'!$P243), 0, 1), 3, if(ISBLANK('2025'!$Q243), 0, 1), 4, if(ISBLANK('2025'!$R243), 0, 1), 5, if(ISBLANK('2025'!$S243), 0, 1), 6, if(ISBLANK('2025'!$T243), 0, 1), 7, 0))), 1, "")</f>
        <v/>
      </c>
      <c r="BF245" s="1" t="str">
        <f>IF(AND(AND(AND(BF$4&gt;='2025'!$L243,BF$4&lt;='2025'!$M243), BF$4&lt;&gt;DATE(2025,7,4)), (SWITCH(weekday(BF$4), 1, 0, 2, if(ISBLANK('2025'!$P243), 0, 1), 3, if(ISBLANK('2025'!$Q243), 0, 1), 4, if(ISBLANK('2025'!$R243), 0, 1), 5, if(ISBLANK('2025'!$S243), 0, 1), 6, if(ISBLANK('2025'!$T243), 0, 1), 7, 0))), 1, "")</f>
        <v/>
      </c>
      <c r="BG245" s="1"/>
      <c r="BH245" s="1"/>
      <c r="BI245" s="1"/>
      <c r="BJ245" s="1"/>
      <c r="BK245" s="1"/>
      <c r="BL245" s="1"/>
    </row>
    <row r="246">
      <c r="A246" s="1">
        <f t="shared" si="3"/>
        <v>246</v>
      </c>
      <c r="B246" s="1" t="str">
        <f>'2025'!D210</f>
        <v>, </v>
      </c>
      <c r="C246" s="1" t="str">
        <f>'2025'!H210</f>
        <v/>
      </c>
      <c r="D246" s="1" t="str">
        <f>IF(AND(AND(AND(D$4&gt;='2025'!$L244,D$4&lt;='2025'!$M244), D$4&lt;&gt;DATE(2025,7,4)), (SWITCH(weekday(D$4), 1, 0, 2, if(ISBLANK('2025'!$P244), 0, 1), 3, if(ISBLANK('2025'!$Q244), 0, 1), 4, if(ISBLANK('2025'!$R244), 0, 1), 5, if(ISBLANK('2025'!$S244), 0, 1), 6, if(ISBLANK('2025'!$T244), 0, 1), 7, 0))), 1, "")</f>
        <v/>
      </c>
      <c r="E246" s="1" t="str">
        <f>IF(AND(AND(AND(E$4&gt;='2025'!$L244,E$4&lt;='2025'!$M244), E$4&lt;&gt;DATE(2025,7,4)), (SWITCH(weekday(E$4), 1, 0, 2, if(ISBLANK('2025'!$P244), 0, 1), 3, if(ISBLANK('2025'!$Q244), 0, 1), 4, if(ISBLANK('2025'!$R244), 0, 1), 5, if(ISBLANK('2025'!$S244), 0, 1), 6, if(ISBLANK('2025'!$T244), 0, 1), 7, 0))), 1, "")</f>
        <v/>
      </c>
      <c r="F246" s="1" t="str">
        <f>IF(AND(AND(AND(F$4&gt;='2025'!$L244,F$4&lt;='2025'!$M244), F$4&lt;&gt;DATE(2025,7,4)), (SWITCH(weekday(F$4), 1, 0, 2, if(ISBLANK('2025'!$P244), 0, 1), 3, if(ISBLANK('2025'!$Q244), 0, 1), 4, if(ISBLANK('2025'!$R244), 0, 1), 5, if(ISBLANK('2025'!$S244), 0, 1), 6, if(ISBLANK('2025'!$T244), 0, 1), 7, 0))), 1, "")</f>
        <v/>
      </c>
      <c r="G246" s="1" t="str">
        <f>IF(AND(AND(AND(G$4&gt;='2025'!$L244,G$4&lt;='2025'!$M244), G$4&lt;&gt;DATE(2025,7,4)), (SWITCH(weekday(G$4), 1, 0, 2, if(ISBLANK('2025'!$P244), 0, 1), 3, if(ISBLANK('2025'!$Q244), 0, 1), 4, if(ISBLANK('2025'!$R244), 0, 1), 5, if(ISBLANK('2025'!$S244), 0, 1), 6, if(ISBLANK('2025'!$T244), 0, 1), 7, 0))), 1, "")</f>
        <v/>
      </c>
      <c r="H246" s="1" t="str">
        <f>IF(AND(AND(AND(H$4&gt;='2025'!$L244,H$4&lt;='2025'!$M244), H$4&lt;&gt;DATE(2025,7,4)), (SWITCH(weekday(H$4), 1, 0, 2, if(ISBLANK('2025'!$P244), 0, 1), 3, if(ISBLANK('2025'!$Q244), 0, 1), 4, if(ISBLANK('2025'!$R244), 0, 1), 5, if(ISBLANK('2025'!$S244), 0, 1), 6, if(ISBLANK('2025'!$T244), 0, 1), 7, 0))), 1, "")</f>
        <v/>
      </c>
      <c r="I246" s="1" t="str">
        <f>IF(AND(AND(AND(I$4&gt;='2025'!$L244,I$4&lt;='2025'!$M244), I$4&lt;&gt;DATE(2025,7,4)), (SWITCH(weekday(I$4), 1, 0, 2, if(ISBLANK('2025'!$P244), 0, 1), 3, if(ISBLANK('2025'!$Q244), 0, 1), 4, if(ISBLANK('2025'!$R244), 0, 1), 5, if(ISBLANK('2025'!$S244), 0, 1), 6, if(ISBLANK('2025'!$T244), 0, 1), 7, 0))), 1, "")</f>
        <v/>
      </c>
      <c r="J246" s="1" t="str">
        <f>IF(AND(AND(AND(J$4&gt;='2025'!$L244,J$4&lt;='2025'!$M244), J$4&lt;&gt;DATE(2025,7,4)), (SWITCH(weekday(J$4), 1, 0, 2, if(ISBLANK('2025'!$P244), 0, 1), 3, if(ISBLANK('2025'!$Q244), 0, 1), 4, if(ISBLANK('2025'!$R244), 0, 1), 5, if(ISBLANK('2025'!$S244), 0, 1), 6, if(ISBLANK('2025'!$T244), 0, 1), 7, 0))), 1, "")</f>
        <v/>
      </c>
      <c r="K246" s="1" t="str">
        <f>IF(AND(AND(AND(K$4&gt;='2025'!$L244,K$4&lt;='2025'!$M244), K$4&lt;&gt;DATE(2025,7,4)), (SWITCH(weekday(K$4), 1, 0, 2, if(ISBLANK('2025'!$P244), 0, 1), 3, if(ISBLANK('2025'!$Q244), 0, 1), 4, if(ISBLANK('2025'!$R244), 0, 1), 5, if(ISBLANK('2025'!$S244), 0, 1), 6, if(ISBLANK('2025'!$T244), 0, 1), 7, 0))), 1, "")</f>
        <v/>
      </c>
      <c r="L246" s="1" t="str">
        <f>IF(AND(AND(AND(L$4&gt;='2025'!$L244,L$4&lt;='2025'!$M244), L$4&lt;&gt;DATE(2025,7,4)), (SWITCH(weekday(L$4), 1, 0, 2, if(ISBLANK('2025'!$P244), 0, 1), 3, if(ISBLANK('2025'!$Q244), 0, 1), 4, if(ISBLANK('2025'!$R244), 0, 1), 5, if(ISBLANK('2025'!$S244), 0, 1), 6, if(ISBLANK('2025'!$T244), 0, 1), 7, 0))), 1, "")</f>
        <v/>
      </c>
      <c r="M246" s="1" t="str">
        <f>IF(AND(AND(AND(M$4&gt;='2025'!$L244,M$4&lt;='2025'!$M244), M$4&lt;&gt;DATE(2025,7,4)), (SWITCH(weekday(M$4), 1, 0, 2, if(ISBLANK('2025'!$P244), 0, 1), 3, if(ISBLANK('2025'!$Q244), 0, 1), 4, if(ISBLANK('2025'!$R244), 0, 1), 5, if(ISBLANK('2025'!$S244), 0, 1), 6, if(ISBLANK('2025'!$T244), 0, 1), 7, 0))), 1, "")</f>
        <v/>
      </c>
      <c r="N246" s="1" t="str">
        <f>IF(AND(AND(AND(N$4&gt;='2025'!$L244,N$4&lt;='2025'!$M244), N$4&lt;&gt;DATE(2025,7,4)), (SWITCH(weekday(N$4), 1, 0, 2, if(ISBLANK('2025'!$P244), 0, 1), 3, if(ISBLANK('2025'!$Q244), 0, 1), 4, if(ISBLANK('2025'!$R244), 0, 1), 5, if(ISBLANK('2025'!$S244), 0, 1), 6, if(ISBLANK('2025'!$T244), 0, 1), 7, 0))), 1, "")</f>
        <v/>
      </c>
      <c r="O246" s="1" t="str">
        <f>IF(AND(AND(AND(O$4&gt;='2025'!$L244,O$4&lt;='2025'!$M244), O$4&lt;&gt;DATE(2025,7,4)), (SWITCH(weekday(O$4), 1, 0, 2, if(ISBLANK('2025'!$P244), 0, 1), 3, if(ISBLANK('2025'!$Q244), 0, 1), 4, if(ISBLANK('2025'!$R244), 0, 1), 5, if(ISBLANK('2025'!$S244), 0, 1), 6, if(ISBLANK('2025'!$T244), 0, 1), 7, 0))), 1, "")</f>
        <v/>
      </c>
      <c r="P246" s="1" t="str">
        <f>IF(AND(AND(AND(P$4&gt;='2025'!$L244,P$4&lt;='2025'!$M244), P$4&lt;&gt;DATE(2025,7,4)), (SWITCH(weekday(P$4), 1, 0, 2, if(ISBLANK('2025'!$P244), 0, 1), 3, if(ISBLANK('2025'!$Q244), 0, 1), 4, if(ISBLANK('2025'!$R244), 0, 1), 5, if(ISBLANK('2025'!$S244), 0, 1), 6, if(ISBLANK('2025'!$T244), 0, 1), 7, 0))), 1, "")</f>
        <v/>
      </c>
      <c r="Q246" s="1" t="str">
        <f>IF(AND(AND(AND(Q$4&gt;='2025'!$L244,Q$4&lt;='2025'!$M244), Q$4&lt;&gt;DATE(2025,7,4)), (SWITCH(weekday(Q$4), 1, 0, 2, if(ISBLANK('2025'!$P244), 0, 1), 3, if(ISBLANK('2025'!$Q244), 0, 1), 4, if(ISBLANK('2025'!$R244), 0, 1), 5, if(ISBLANK('2025'!$S244), 0, 1), 6, if(ISBLANK('2025'!$T244), 0, 1), 7, 0))), 1, "")</f>
        <v/>
      </c>
      <c r="R246" s="1" t="str">
        <f>IF(AND(AND(AND(R$4&gt;='2025'!$L244,R$4&lt;='2025'!$M244), R$4&lt;&gt;DATE(2025,7,4)), (SWITCH(weekday(R$4), 1, 0, 2, if(ISBLANK('2025'!$P244), 0, 1), 3, if(ISBLANK('2025'!$Q244), 0, 1), 4, if(ISBLANK('2025'!$R244), 0, 1), 5, if(ISBLANK('2025'!$S244), 0, 1), 6, if(ISBLANK('2025'!$T244), 0, 1), 7, 0))), 1, "")</f>
        <v/>
      </c>
      <c r="S246" s="1" t="str">
        <f>IF(AND(AND(AND(S$4&gt;='2025'!$L244,S$4&lt;='2025'!$M244), S$4&lt;&gt;DATE(2025,7,4)), (SWITCH(weekday(S$4), 1, 0, 2, if(ISBLANK('2025'!$P244), 0, 1), 3, if(ISBLANK('2025'!$Q244), 0, 1), 4, if(ISBLANK('2025'!$R244), 0, 1), 5, if(ISBLANK('2025'!$S244), 0, 1), 6, if(ISBLANK('2025'!$T244), 0, 1), 7, 0))), 1, "")</f>
        <v/>
      </c>
      <c r="T246" s="1" t="str">
        <f>IF(AND(AND(AND(T$4&gt;='2025'!$L244,T$4&lt;='2025'!$M244), T$4&lt;&gt;DATE(2025,7,4)), (SWITCH(weekday(T$4), 1, 0, 2, if(ISBLANK('2025'!$P244), 0, 1), 3, if(ISBLANK('2025'!$Q244), 0, 1), 4, if(ISBLANK('2025'!$R244), 0, 1), 5, if(ISBLANK('2025'!$S244), 0, 1), 6, if(ISBLANK('2025'!$T244), 0, 1), 7, 0))), 1, "")</f>
        <v/>
      </c>
      <c r="U246" s="1" t="str">
        <f>IF(AND(AND(AND(U$4&gt;='2025'!$L244,U$4&lt;='2025'!$M244), U$4&lt;&gt;DATE(2025,7,4)), (SWITCH(weekday(U$4), 1, 0, 2, if(ISBLANK('2025'!$P244), 0, 1), 3, if(ISBLANK('2025'!$Q244), 0, 1), 4, if(ISBLANK('2025'!$R244), 0, 1), 5, if(ISBLANK('2025'!$S244), 0, 1), 6, if(ISBLANK('2025'!$T244), 0, 1), 7, 0))), 1, "")</f>
        <v/>
      </c>
      <c r="V246" s="1" t="str">
        <f>IF(AND(AND(AND(V$4&gt;='2025'!$L244,V$4&lt;='2025'!$M244), V$4&lt;&gt;DATE(2025,7,4)), (SWITCH(weekday(V$4), 1, 0, 2, if(ISBLANK('2025'!$P244), 0, 1), 3, if(ISBLANK('2025'!$Q244), 0, 1), 4, if(ISBLANK('2025'!$R244), 0, 1), 5, if(ISBLANK('2025'!$S244), 0, 1), 6, if(ISBLANK('2025'!$T244), 0, 1), 7, 0))), 1, "")</f>
        <v/>
      </c>
      <c r="W246" s="1" t="str">
        <f>IF(AND(AND(AND(W$4&gt;='2025'!$L244,W$4&lt;='2025'!$M244), W$4&lt;&gt;DATE(2025,7,4)), (SWITCH(weekday(W$4), 1, 0, 2, if(ISBLANK('2025'!$P244), 0, 1), 3, if(ISBLANK('2025'!$Q244), 0, 1), 4, if(ISBLANK('2025'!$R244), 0, 1), 5, if(ISBLANK('2025'!$S244), 0, 1), 6, if(ISBLANK('2025'!$T244), 0, 1), 7, 0))), 1, "")</f>
        <v/>
      </c>
      <c r="X246" s="1" t="str">
        <f>IF(AND(AND(AND(X$4&gt;='2025'!$L244,X$4&lt;='2025'!$M244), X$4&lt;&gt;DATE(2025,7,4)), (SWITCH(weekday(X$4), 1, 0, 2, if(ISBLANK('2025'!$P244), 0, 1), 3, if(ISBLANK('2025'!$Q244), 0, 1), 4, if(ISBLANK('2025'!$R244), 0, 1), 5, if(ISBLANK('2025'!$S244), 0, 1), 6, if(ISBLANK('2025'!$T244), 0, 1), 7, 0))), 1, "")</f>
        <v/>
      </c>
      <c r="Y246" s="1" t="str">
        <f>IF(AND(AND(AND(Y$4&gt;='2025'!$L244,Y$4&lt;='2025'!$M244), Y$4&lt;&gt;DATE(2025,7,4)), (SWITCH(weekday(Y$4), 1, 0, 2, if(ISBLANK('2025'!$P244), 0, 1), 3, if(ISBLANK('2025'!$Q244), 0, 1), 4, if(ISBLANK('2025'!$R244), 0, 1), 5, if(ISBLANK('2025'!$S244), 0, 1), 6, if(ISBLANK('2025'!$T244), 0, 1), 7, 0))), 1, "")</f>
        <v/>
      </c>
      <c r="Z246" s="1" t="str">
        <f>IF(AND(AND(AND(Z$4&gt;='2025'!$L244,Z$4&lt;='2025'!$M244), Z$4&lt;&gt;DATE(2025,7,4)), (SWITCH(weekday(Z$4), 1, 0, 2, if(ISBLANK('2025'!$P244), 0, 1), 3, if(ISBLANK('2025'!$Q244), 0, 1), 4, if(ISBLANK('2025'!$R244), 0, 1), 5, if(ISBLANK('2025'!$S244), 0, 1), 6, if(ISBLANK('2025'!$T244), 0, 1), 7, 0))), 1, "")</f>
        <v/>
      </c>
      <c r="AA246" s="1" t="str">
        <f>IF(AND(AND(AND(AA$4&gt;='2025'!$L244,AA$4&lt;='2025'!$M244), AA$4&lt;&gt;DATE(2025,7,4)), (SWITCH(weekday(AA$4), 1, 0, 2, if(ISBLANK('2025'!$P244), 0, 1), 3, if(ISBLANK('2025'!$Q244), 0, 1), 4, if(ISBLANK('2025'!$R244), 0, 1), 5, if(ISBLANK('2025'!$S244), 0, 1), 6, if(ISBLANK('2025'!$T244), 0, 1), 7, 0))), 1, "")</f>
        <v/>
      </c>
      <c r="AB246" s="1" t="str">
        <f>IF(AND(AND(AND(AB$4&gt;='2025'!$L244,AB$4&lt;='2025'!$M244), AB$4&lt;&gt;DATE(2025,7,4)), (SWITCH(weekday(AB$4), 1, 0, 2, if(ISBLANK('2025'!$P244), 0, 1), 3, if(ISBLANK('2025'!$Q244), 0, 1), 4, if(ISBLANK('2025'!$R244), 0, 1), 5, if(ISBLANK('2025'!$S244), 0, 1), 6, if(ISBLANK('2025'!$T244), 0, 1), 7, 0))), 1, "")</f>
        <v/>
      </c>
      <c r="AC246" s="1" t="str">
        <f>IF(AND(AND(AND(AC$4&gt;='2025'!$L244,AC$4&lt;='2025'!$M244), AC$4&lt;&gt;DATE(2025,7,4)), (SWITCH(weekday(AC$4), 1, 0, 2, if(ISBLANK('2025'!$P244), 0, 1), 3, if(ISBLANK('2025'!$Q244), 0, 1), 4, if(ISBLANK('2025'!$R244), 0, 1), 5, if(ISBLANK('2025'!$S244), 0, 1), 6, if(ISBLANK('2025'!$T244), 0, 1), 7, 0))), 1, "")</f>
        <v/>
      </c>
      <c r="AD246" s="1" t="str">
        <f>IF(AND(AND(AND(AD$4&gt;='2025'!$L244,AD$4&lt;='2025'!$M244), AD$4&lt;&gt;DATE(2025,7,4)), (SWITCH(weekday(AD$4), 1, 0, 2, if(ISBLANK('2025'!$P244), 0, 1), 3, if(ISBLANK('2025'!$Q244), 0, 1), 4, if(ISBLANK('2025'!$R244), 0, 1), 5, if(ISBLANK('2025'!$S244), 0, 1), 6, if(ISBLANK('2025'!$T244), 0, 1), 7, 0))), 1, "")</f>
        <v/>
      </c>
      <c r="AE246" s="1" t="str">
        <f>IF(AND(AND(AND(AE$4&gt;='2025'!$L244,AE$4&lt;='2025'!$M244), AE$4&lt;&gt;DATE(2025,7,4)), (SWITCH(weekday(AE$4), 1, 0, 2, if(ISBLANK('2025'!$P244), 0, 1), 3, if(ISBLANK('2025'!$Q244), 0, 1), 4, if(ISBLANK('2025'!$R244), 0, 1), 5, if(ISBLANK('2025'!$S244), 0, 1), 6, if(ISBLANK('2025'!$T244), 0, 1), 7, 0))), 1, "")</f>
        <v/>
      </c>
      <c r="AF246" s="1" t="str">
        <f>IF(AND(AND(AND(AF$4&gt;='2025'!$L244,AF$4&lt;='2025'!$M244), AF$4&lt;&gt;DATE(2025,7,4)), (SWITCH(weekday(AF$4), 1, 0, 2, if(ISBLANK('2025'!$P244), 0, 1), 3, if(ISBLANK('2025'!$Q244), 0, 1), 4, if(ISBLANK('2025'!$R244), 0, 1), 5, if(ISBLANK('2025'!$S244), 0, 1), 6, if(ISBLANK('2025'!$T244), 0, 1), 7, 0))), 1, "")</f>
        <v/>
      </c>
      <c r="AG246" s="1" t="str">
        <f>IF(AND(AND(AND(AG$4&gt;='2025'!$L244,AG$4&lt;='2025'!$M244), AG$4&lt;&gt;DATE(2025,7,4)), (SWITCH(weekday(AG$4), 1, 0, 2, if(ISBLANK('2025'!$P244), 0, 1), 3, if(ISBLANK('2025'!$Q244), 0, 1), 4, if(ISBLANK('2025'!$R244), 0, 1), 5, if(ISBLANK('2025'!$S244), 0, 1), 6, if(ISBLANK('2025'!$T244), 0, 1), 7, 0))), 1, "")</f>
        <v/>
      </c>
      <c r="AH246" s="1" t="str">
        <f>IF(AND(AND(AND(AH$4&gt;='2025'!$L244,AH$4&lt;='2025'!$M244), AH$4&lt;&gt;DATE(2025,7,4)), (SWITCH(weekday(AH$4), 1, 0, 2, if(ISBLANK('2025'!$P244), 0, 1), 3, if(ISBLANK('2025'!$Q244), 0, 1), 4, if(ISBLANK('2025'!$R244), 0, 1), 5, if(ISBLANK('2025'!$S244), 0, 1), 6, if(ISBLANK('2025'!$T244), 0, 1), 7, 0))), 1, "")</f>
        <v/>
      </c>
      <c r="AI246" s="1" t="str">
        <f>IF(AND(AND(AND(AI$4&gt;='2025'!$L244,AI$4&lt;='2025'!$M244), AI$4&lt;&gt;DATE(2025,7,4)), (SWITCH(weekday(AI$4), 1, 0, 2, if(ISBLANK('2025'!$P244), 0, 1), 3, if(ISBLANK('2025'!$Q244), 0, 1), 4, if(ISBLANK('2025'!$R244), 0, 1), 5, if(ISBLANK('2025'!$S244), 0, 1), 6, if(ISBLANK('2025'!$T244), 0, 1), 7, 0))), 1, "")</f>
        <v/>
      </c>
      <c r="AJ246" s="1" t="str">
        <f>IF(AND(AND(AND(AJ$4&gt;='2025'!$L244,AJ$4&lt;='2025'!$M244), AJ$4&lt;&gt;DATE(2025,7,4)), (SWITCH(weekday(AJ$4), 1, 0, 2, if(ISBLANK('2025'!$P244), 0, 1), 3, if(ISBLANK('2025'!$Q244), 0, 1), 4, if(ISBLANK('2025'!$R244), 0, 1), 5, if(ISBLANK('2025'!$S244), 0, 1), 6, if(ISBLANK('2025'!$T244), 0, 1), 7, 0))), 1, "")</f>
        <v/>
      </c>
      <c r="AK246" s="1" t="str">
        <f>IF(AND(AND(AND(AK$4&gt;='2025'!$L244,AK$4&lt;='2025'!$M244), AK$4&lt;&gt;DATE(2025,7,4)), (SWITCH(weekday(AK$4), 1, 0, 2, if(ISBLANK('2025'!$P244), 0, 1), 3, if(ISBLANK('2025'!$Q244), 0, 1), 4, if(ISBLANK('2025'!$R244), 0, 1), 5, if(ISBLANK('2025'!$S244), 0, 1), 6, if(ISBLANK('2025'!$T244), 0, 1), 7, 0))), 1, "")</f>
        <v/>
      </c>
      <c r="AL246" s="1" t="str">
        <f>IF(AND(AND(AND(AL$4&gt;='2025'!$L244,AL$4&lt;='2025'!$M244), AL$4&lt;&gt;DATE(2025,7,4)), (SWITCH(weekday(AL$4), 1, 0, 2, if(ISBLANK('2025'!$P244), 0, 1), 3, if(ISBLANK('2025'!$Q244), 0, 1), 4, if(ISBLANK('2025'!$R244), 0, 1), 5, if(ISBLANK('2025'!$S244), 0, 1), 6, if(ISBLANK('2025'!$T244), 0, 1), 7, 0))), 1, "")</f>
        <v/>
      </c>
      <c r="AM246" s="1" t="str">
        <f>IF(AND(AND(AND(AM$4&gt;='2025'!$L244,AM$4&lt;='2025'!$M244), AM$4&lt;&gt;DATE(2025,7,4)), (SWITCH(weekday(AM$4), 1, 0, 2, if(ISBLANK('2025'!$P244), 0, 1), 3, if(ISBLANK('2025'!$Q244), 0, 1), 4, if(ISBLANK('2025'!$R244), 0, 1), 5, if(ISBLANK('2025'!$S244), 0, 1), 6, if(ISBLANK('2025'!$T244), 0, 1), 7, 0))), 1, "")</f>
        <v/>
      </c>
      <c r="AN246" s="1" t="str">
        <f>IF(AND(AND(AND(AN$4&gt;='2025'!$L244,AN$4&lt;='2025'!$M244), AN$4&lt;&gt;DATE(2025,7,4)), (SWITCH(weekday(AN$4), 1, 0, 2, if(ISBLANK('2025'!$P244), 0, 1), 3, if(ISBLANK('2025'!$Q244), 0, 1), 4, if(ISBLANK('2025'!$R244), 0, 1), 5, if(ISBLANK('2025'!$S244), 0, 1), 6, if(ISBLANK('2025'!$T244), 0, 1), 7, 0))), 1, "")</f>
        <v/>
      </c>
      <c r="AO246" s="1" t="str">
        <f>IF(AND(AND(AND(AO$4&gt;='2025'!$L244,AO$4&lt;='2025'!$M244), AO$4&lt;&gt;DATE(2025,7,4)), (SWITCH(weekday(AO$4), 1, 0, 2, if(ISBLANK('2025'!$P244), 0, 1), 3, if(ISBLANK('2025'!$Q244), 0, 1), 4, if(ISBLANK('2025'!$R244), 0, 1), 5, if(ISBLANK('2025'!$S244), 0, 1), 6, if(ISBLANK('2025'!$T244), 0, 1), 7, 0))), 1, "")</f>
        <v/>
      </c>
      <c r="AP246" s="1" t="str">
        <f>IF(AND(AND(AND(AP$4&gt;='2025'!$L244,AP$4&lt;='2025'!$M244), AP$4&lt;&gt;DATE(2025,7,4)), (SWITCH(weekday(AP$4), 1, 0, 2, if(ISBLANK('2025'!$P244), 0, 1), 3, if(ISBLANK('2025'!$Q244), 0, 1), 4, if(ISBLANK('2025'!$R244), 0, 1), 5, if(ISBLANK('2025'!$S244), 0, 1), 6, if(ISBLANK('2025'!$T244), 0, 1), 7, 0))), 1, "")</f>
        <v/>
      </c>
      <c r="AQ246" s="1" t="str">
        <f>IF(AND(AND(AND(AQ$4&gt;='2025'!$L244,AQ$4&lt;='2025'!$M244), AQ$4&lt;&gt;DATE(2025,7,4)), (SWITCH(weekday(AQ$4), 1, 0, 2, if(ISBLANK('2025'!$P244), 0, 1), 3, if(ISBLANK('2025'!$Q244), 0, 1), 4, if(ISBLANK('2025'!$R244), 0, 1), 5, if(ISBLANK('2025'!$S244), 0, 1), 6, if(ISBLANK('2025'!$T244), 0, 1), 7, 0))), 1, "")</f>
        <v/>
      </c>
      <c r="AR246" s="1" t="str">
        <f>IF(AND(AND(AND(AR$4&gt;='2025'!$L244,AR$4&lt;='2025'!$M244), AR$4&lt;&gt;DATE(2025,7,4)), (SWITCH(weekday(AR$4), 1, 0, 2, if(ISBLANK('2025'!$P244), 0, 1), 3, if(ISBLANK('2025'!$Q244), 0, 1), 4, if(ISBLANK('2025'!$R244), 0, 1), 5, if(ISBLANK('2025'!$S244), 0, 1), 6, if(ISBLANK('2025'!$T244), 0, 1), 7, 0))), 1, "")</f>
        <v/>
      </c>
      <c r="AS246" s="1" t="str">
        <f>IF(AND(AND(AND(AS$4&gt;='2025'!$L244,AS$4&lt;='2025'!$M244), AS$4&lt;&gt;DATE(2025,7,4)), (SWITCH(weekday(AS$4), 1, 0, 2, if(ISBLANK('2025'!$P244), 0, 1), 3, if(ISBLANK('2025'!$Q244), 0, 1), 4, if(ISBLANK('2025'!$R244), 0, 1), 5, if(ISBLANK('2025'!$S244), 0, 1), 6, if(ISBLANK('2025'!$T244), 0, 1), 7, 0))), 1, "")</f>
        <v/>
      </c>
      <c r="AT246" s="1" t="str">
        <f>IF(AND(AND(AND(AT$4&gt;='2025'!$L244,AT$4&lt;='2025'!$M244), AT$4&lt;&gt;DATE(2025,7,4)), (SWITCH(weekday(AT$4), 1, 0, 2, if(ISBLANK('2025'!$P244), 0, 1), 3, if(ISBLANK('2025'!$Q244), 0, 1), 4, if(ISBLANK('2025'!$R244), 0, 1), 5, if(ISBLANK('2025'!$S244), 0, 1), 6, if(ISBLANK('2025'!$T244), 0, 1), 7, 0))), 1, "")</f>
        <v/>
      </c>
      <c r="AU246" s="1" t="str">
        <f>IF(AND(AND(AND(AU$4&gt;='2025'!$L244,AU$4&lt;='2025'!$M244), AU$4&lt;&gt;DATE(2025,7,4)), (SWITCH(weekday(AU$4), 1, 0, 2, if(ISBLANK('2025'!$P244), 0, 1), 3, if(ISBLANK('2025'!$Q244), 0, 1), 4, if(ISBLANK('2025'!$R244), 0, 1), 5, if(ISBLANK('2025'!$S244), 0, 1), 6, if(ISBLANK('2025'!$T244), 0, 1), 7, 0))), 1, "")</f>
        <v/>
      </c>
      <c r="AV246" s="1" t="str">
        <f>IF(AND(AND(AND(AV$4&gt;='2025'!$L244,AV$4&lt;='2025'!$M244), AV$4&lt;&gt;DATE(2025,7,4)), (SWITCH(weekday(AV$4), 1, 0, 2, if(ISBLANK('2025'!$P244), 0, 1), 3, if(ISBLANK('2025'!$Q244), 0, 1), 4, if(ISBLANK('2025'!$R244), 0, 1), 5, if(ISBLANK('2025'!$S244), 0, 1), 6, if(ISBLANK('2025'!$T244), 0, 1), 7, 0))), 1, "")</f>
        <v/>
      </c>
      <c r="AW246" s="1" t="str">
        <f>IF(AND(AND(AND(AW$4&gt;='2025'!$L244,AW$4&lt;='2025'!$M244), AW$4&lt;&gt;DATE(2025,7,4)), (SWITCH(weekday(AW$4), 1, 0, 2, if(ISBLANK('2025'!$P244), 0, 1), 3, if(ISBLANK('2025'!$Q244), 0, 1), 4, if(ISBLANK('2025'!$R244), 0, 1), 5, if(ISBLANK('2025'!$S244), 0, 1), 6, if(ISBLANK('2025'!$T244), 0, 1), 7, 0))), 1, "")</f>
        <v/>
      </c>
      <c r="AX246" s="1" t="str">
        <f>IF(AND(AND(AND(AX$4&gt;='2025'!$L244,AX$4&lt;='2025'!$M244), AX$4&lt;&gt;DATE(2025,7,4)), (SWITCH(weekday(AX$4), 1, 0, 2, if(ISBLANK('2025'!$P244), 0, 1), 3, if(ISBLANK('2025'!$Q244), 0, 1), 4, if(ISBLANK('2025'!$R244), 0, 1), 5, if(ISBLANK('2025'!$S244), 0, 1), 6, if(ISBLANK('2025'!$T244), 0, 1), 7, 0))), 1, "")</f>
        <v/>
      </c>
      <c r="AY246" s="1" t="str">
        <f>IF(AND(AND(AND(AY$4&gt;='2025'!$L244,AY$4&lt;='2025'!$M244), AY$4&lt;&gt;DATE(2025,7,4)), (SWITCH(weekday(AY$4), 1, 0, 2, if(ISBLANK('2025'!$P244), 0, 1), 3, if(ISBLANK('2025'!$Q244), 0, 1), 4, if(ISBLANK('2025'!$R244), 0, 1), 5, if(ISBLANK('2025'!$S244), 0, 1), 6, if(ISBLANK('2025'!$T244), 0, 1), 7, 0))), 1, "")</f>
        <v/>
      </c>
      <c r="AZ246" s="1" t="str">
        <f>IF(AND(AND(AND(AZ$4&gt;='2025'!$L244,AZ$4&lt;='2025'!$M244), AZ$4&lt;&gt;DATE(2025,7,4)), (SWITCH(weekday(AZ$4), 1, 0, 2, if(ISBLANK('2025'!$P244), 0, 1), 3, if(ISBLANK('2025'!$Q244), 0, 1), 4, if(ISBLANK('2025'!$R244), 0, 1), 5, if(ISBLANK('2025'!$S244), 0, 1), 6, if(ISBLANK('2025'!$T244), 0, 1), 7, 0))), 1, "")</f>
        <v/>
      </c>
      <c r="BA246" s="1" t="str">
        <f>IF(AND(AND(AND(BA$4&gt;='2025'!$L244,BA$4&lt;='2025'!$M244), BA$4&lt;&gt;DATE(2025,7,4)), (SWITCH(weekday(BA$4), 1, 0, 2, if(ISBLANK('2025'!$P244), 0, 1), 3, if(ISBLANK('2025'!$Q244), 0, 1), 4, if(ISBLANK('2025'!$R244), 0, 1), 5, if(ISBLANK('2025'!$S244), 0, 1), 6, if(ISBLANK('2025'!$T244), 0, 1), 7, 0))), 1, "")</f>
        <v/>
      </c>
      <c r="BB246" s="1" t="str">
        <f>IF(AND(AND(AND(BB$4&gt;='2025'!$L244,BB$4&lt;='2025'!$M244), BB$4&lt;&gt;DATE(2025,7,4)), (SWITCH(weekday(BB$4), 1, 0, 2, if(ISBLANK('2025'!$P244), 0, 1), 3, if(ISBLANK('2025'!$Q244), 0, 1), 4, if(ISBLANK('2025'!$R244), 0, 1), 5, if(ISBLANK('2025'!$S244), 0, 1), 6, if(ISBLANK('2025'!$T244), 0, 1), 7, 0))), 1, "")</f>
        <v/>
      </c>
      <c r="BC246" s="1" t="str">
        <f>IF(AND(AND(AND(BC$4&gt;='2025'!$L244,BC$4&lt;='2025'!$M244), BC$4&lt;&gt;DATE(2025,7,4)), (SWITCH(weekday(BC$4), 1, 0, 2, if(ISBLANK('2025'!$P244), 0, 1), 3, if(ISBLANK('2025'!$Q244), 0, 1), 4, if(ISBLANK('2025'!$R244), 0, 1), 5, if(ISBLANK('2025'!$S244), 0, 1), 6, if(ISBLANK('2025'!$T244), 0, 1), 7, 0))), 1, "")</f>
        <v/>
      </c>
      <c r="BD246" s="1" t="str">
        <f>IF(AND(AND(AND(BD$4&gt;='2025'!$L244,BD$4&lt;='2025'!$M244), BD$4&lt;&gt;DATE(2025,7,4)), (SWITCH(weekday(BD$4), 1, 0, 2, if(ISBLANK('2025'!$P244), 0, 1), 3, if(ISBLANK('2025'!$Q244), 0, 1), 4, if(ISBLANK('2025'!$R244), 0, 1), 5, if(ISBLANK('2025'!$S244), 0, 1), 6, if(ISBLANK('2025'!$T244), 0, 1), 7, 0))), 1, "")</f>
        <v/>
      </c>
      <c r="BE246" s="1" t="str">
        <f>IF(AND(AND(AND(BE$4&gt;='2025'!$L244,BE$4&lt;='2025'!$M244), BE$4&lt;&gt;DATE(2025,7,4)), (SWITCH(weekday(BE$4), 1, 0, 2, if(ISBLANK('2025'!$P244), 0, 1), 3, if(ISBLANK('2025'!$Q244), 0, 1), 4, if(ISBLANK('2025'!$R244), 0, 1), 5, if(ISBLANK('2025'!$S244), 0, 1), 6, if(ISBLANK('2025'!$T244), 0, 1), 7, 0))), 1, "")</f>
        <v/>
      </c>
      <c r="BF246" s="1" t="str">
        <f>IF(AND(AND(AND(BF$4&gt;='2025'!$L244,BF$4&lt;='2025'!$M244), BF$4&lt;&gt;DATE(2025,7,4)), (SWITCH(weekday(BF$4), 1, 0, 2, if(ISBLANK('2025'!$P244), 0, 1), 3, if(ISBLANK('2025'!$Q244), 0, 1), 4, if(ISBLANK('2025'!$R244), 0, 1), 5, if(ISBLANK('2025'!$S244), 0, 1), 6, if(ISBLANK('2025'!$T244), 0, 1), 7, 0))), 1, "")</f>
        <v/>
      </c>
      <c r="BG246" s="1"/>
      <c r="BH246" s="1"/>
      <c r="BI246" s="1"/>
      <c r="BJ246" s="1"/>
      <c r="BK246" s="1"/>
      <c r="BL246" s="1"/>
    </row>
    <row r="247">
      <c r="A247" s="1">
        <f t="shared" si="3"/>
        <v>247</v>
      </c>
      <c r="B247" s="1" t="str">
        <f>'2025'!D211</f>
        <v>, </v>
      </c>
      <c r="C247" s="1" t="str">
        <f>'2025'!H211</f>
        <v/>
      </c>
      <c r="D247" s="1" t="str">
        <f>IF(AND(AND(AND(D$4&gt;='2025'!$L245,D$4&lt;='2025'!$M245), D$4&lt;&gt;DATE(2025,7,4)), (SWITCH(weekday(D$4), 1, 0, 2, if(ISBLANK('2025'!$P245), 0, 1), 3, if(ISBLANK('2025'!$Q245), 0, 1), 4, if(ISBLANK('2025'!$R245), 0, 1), 5, if(ISBLANK('2025'!$S245), 0, 1), 6, if(ISBLANK('2025'!$T245), 0, 1), 7, 0))), 1, "")</f>
        <v/>
      </c>
      <c r="E247" s="1" t="str">
        <f>IF(AND(AND(AND(E$4&gt;='2025'!$L245,E$4&lt;='2025'!$M245), E$4&lt;&gt;DATE(2025,7,4)), (SWITCH(weekday(E$4), 1, 0, 2, if(ISBLANK('2025'!$P245), 0, 1), 3, if(ISBLANK('2025'!$Q245), 0, 1), 4, if(ISBLANK('2025'!$R245), 0, 1), 5, if(ISBLANK('2025'!$S245), 0, 1), 6, if(ISBLANK('2025'!$T245), 0, 1), 7, 0))), 1, "")</f>
        <v/>
      </c>
      <c r="F247" s="1" t="str">
        <f>IF(AND(AND(AND(F$4&gt;='2025'!$L245,F$4&lt;='2025'!$M245), F$4&lt;&gt;DATE(2025,7,4)), (SWITCH(weekday(F$4), 1, 0, 2, if(ISBLANK('2025'!$P245), 0, 1), 3, if(ISBLANK('2025'!$Q245), 0, 1), 4, if(ISBLANK('2025'!$R245), 0, 1), 5, if(ISBLANK('2025'!$S245), 0, 1), 6, if(ISBLANK('2025'!$T245), 0, 1), 7, 0))), 1, "")</f>
        <v/>
      </c>
      <c r="G247" s="1" t="str">
        <f>IF(AND(AND(AND(G$4&gt;='2025'!$L245,G$4&lt;='2025'!$M245), G$4&lt;&gt;DATE(2025,7,4)), (SWITCH(weekday(G$4), 1, 0, 2, if(ISBLANK('2025'!$P245), 0, 1), 3, if(ISBLANK('2025'!$Q245), 0, 1), 4, if(ISBLANK('2025'!$R245), 0, 1), 5, if(ISBLANK('2025'!$S245), 0, 1), 6, if(ISBLANK('2025'!$T245), 0, 1), 7, 0))), 1, "")</f>
        <v/>
      </c>
      <c r="H247" s="1" t="str">
        <f>IF(AND(AND(AND(H$4&gt;='2025'!$L245,H$4&lt;='2025'!$M245), H$4&lt;&gt;DATE(2025,7,4)), (SWITCH(weekday(H$4), 1, 0, 2, if(ISBLANK('2025'!$P245), 0, 1), 3, if(ISBLANK('2025'!$Q245), 0, 1), 4, if(ISBLANK('2025'!$R245), 0, 1), 5, if(ISBLANK('2025'!$S245), 0, 1), 6, if(ISBLANK('2025'!$T245), 0, 1), 7, 0))), 1, "")</f>
        <v/>
      </c>
      <c r="I247" s="1" t="str">
        <f>IF(AND(AND(AND(I$4&gt;='2025'!$L245,I$4&lt;='2025'!$M245), I$4&lt;&gt;DATE(2025,7,4)), (SWITCH(weekday(I$4), 1, 0, 2, if(ISBLANK('2025'!$P245), 0, 1), 3, if(ISBLANK('2025'!$Q245), 0, 1), 4, if(ISBLANK('2025'!$R245), 0, 1), 5, if(ISBLANK('2025'!$S245), 0, 1), 6, if(ISBLANK('2025'!$T245), 0, 1), 7, 0))), 1, "")</f>
        <v/>
      </c>
      <c r="J247" s="1" t="str">
        <f>IF(AND(AND(AND(J$4&gt;='2025'!$L245,J$4&lt;='2025'!$M245), J$4&lt;&gt;DATE(2025,7,4)), (SWITCH(weekday(J$4), 1, 0, 2, if(ISBLANK('2025'!$P245), 0, 1), 3, if(ISBLANK('2025'!$Q245), 0, 1), 4, if(ISBLANK('2025'!$R245), 0, 1), 5, if(ISBLANK('2025'!$S245), 0, 1), 6, if(ISBLANK('2025'!$T245), 0, 1), 7, 0))), 1, "")</f>
        <v/>
      </c>
      <c r="K247" s="1" t="str">
        <f>IF(AND(AND(AND(K$4&gt;='2025'!$L245,K$4&lt;='2025'!$M245), K$4&lt;&gt;DATE(2025,7,4)), (SWITCH(weekday(K$4), 1, 0, 2, if(ISBLANK('2025'!$P245), 0, 1), 3, if(ISBLANK('2025'!$Q245), 0, 1), 4, if(ISBLANK('2025'!$R245), 0, 1), 5, if(ISBLANK('2025'!$S245), 0, 1), 6, if(ISBLANK('2025'!$T245), 0, 1), 7, 0))), 1, "")</f>
        <v/>
      </c>
      <c r="L247" s="1" t="str">
        <f>IF(AND(AND(AND(L$4&gt;='2025'!$L245,L$4&lt;='2025'!$M245), L$4&lt;&gt;DATE(2025,7,4)), (SWITCH(weekday(L$4), 1, 0, 2, if(ISBLANK('2025'!$P245), 0, 1), 3, if(ISBLANK('2025'!$Q245), 0, 1), 4, if(ISBLANK('2025'!$R245), 0, 1), 5, if(ISBLANK('2025'!$S245), 0, 1), 6, if(ISBLANK('2025'!$T245), 0, 1), 7, 0))), 1, "")</f>
        <v/>
      </c>
      <c r="M247" s="1" t="str">
        <f>IF(AND(AND(AND(M$4&gt;='2025'!$L245,M$4&lt;='2025'!$M245), M$4&lt;&gt;DATE(2025,7,4)), (SWITCH(weekday(M$4), 1, 0, 2, if(ISBLANK('2025'!$P245), 0, 1), 3, if(ISBLANK('2025'!$Q245), 0, 1), 4, if(ISBLANK('2025'!$R245), 0, 1), 5, if(ISBLANK('2025'!$S245), 0, 1), 6, if(ISBLANK('2025'!$T245), 0, 1), 7, 0))), 1, "")</f>
        <v/>
      </c>
      <c r="N247" s="1" t="str">
        <f>IF(AND(AND(AND(N$4&gt;='2025'!$L245,N$4&lt;='2025'!$M245), N$4&lt;&gt;DATE(2025,7,4)), (SWITCH(weekday(N$4), 1, 0, 2, if(ISBLANK('2025'!$P245), 0, 1), 3, if(ISBLANK('2025'!$Q245), 0, 1), 4, if(ISBLANK('2025'!$R245), 0, 1), 5, if(ISBLANK('2025'!$S245), 0, 1), 6, if(ISBLANK('2025'!$T245), 0, 1), 7, 0))), 1, "")</f>
        <v/>
      </c>
      <c r="O247" s="1" t="str">
        <f>IF(AND(AND(AND(O$4&gt;='2025'!$L245,O$4&lt;='2025'!$M245), O$4&lt;&gt;DATE(2025,7,4)), (SWITCH(weekday(O$4), 1, 0, 2, if(ISBLANK('2025'!$P245), 0, 1), 3, if(ISBLANK('2025'!$Q245), 0, 1), 4, if(ISBLANK('2025'!$R245), 0, 1), 5, if(ISBLANK('2025'!$S245), 0, 1), 6, if(ISBLANK('2025'!$T245), 0, 1), 7, 0))), 1, "")</f>
        <v/>
      </c>
      <c r="P247" s="1" t="str">
        <f>IF(AND(AND(AND(P$4&gt;='2025'!$L245,P$4&lt;='2025'!$M245), P$4&lt;&gt;DATE(2025,7,4)), (SWITCH(weekday(P$4), 1, 0, 2, if(ISBLANK('2025'!$P245), 0, 1), 3, if(ISBLANK('2025'!$Q245), 0, 1), 4, if(ISBLANK('2025'!$R245), 0, 1), 5, if(ISBLANK('2025'!$S245), 0, 1), 6, if(ISBLANK('2025'!$T245), 0, 1), 7, 0))), 1, "")</f>
        <v/>
      </c>
      <c r="Q247" s="1" t="str">
        <f>IF(AND(AND(AND(Q$4&gt;='2025'!$L245,Q$4&lt;='2025'!$M245), Q$4&lt;&gt;DATE(2025,7,4)), (SWITCH(weekday(Q$4), 1, 0, 2, if(ISBLANK('2025'!$P245), 0, 1), 3, if(ISBLANK('2025'!$Q245), 0, 1), 4, if(ISBLANK('2025'!$R245), 0, 1), 5, if(ISBLANK('2025'!$S245), 0, 1), 6, if(ISBLANK('2025'!$T245), 0, 1), 7, 0))), 1, "")</f>
        <v/>
      </c>
      <c r="R247" s="1" t="str">
        <f>IF(AND(AND(AND(R$4&gt;='2025'!$L245,R$4&lt;='2025'!$M245), R$4&lt;&gt;DATE(2025,7,4)), (SWITCH(weekday(R$4), 1, 0, 2, if(ISBLANK('2025'!$P245), 0, 1), 3, if(ISBLANK('2025'!$Q245), 0, 1), 4, if(ISBLANK('2025'!$R245), 0, 1), 5, if(ISBLANK('2025'!$S245), 0, 1), 6, if(ISBLANK('2025'!$T245), 0, 1), 7, 0))), 1, "")</f>
        <v/>
      </c>
      <c r="S247" s="1" t="str">
        <f>IF(AND(AND(AND(S$4&gt;='2025'!$L245,S$4&lt;='2025'!$M245), S$4&lt;&gt;DATE(2025,7,4)), (SWITCH(weekday(S$4), 1, 0, 2, if(ISBLANK('2025'!$P245), 0, 1), 3, if(ISBLANK('2025'!$Q245), 0, 1), 4, if(ISBLANK('2025'!$R245), 0, 1), 5, if(ISBLANK('2025'!$S245), 0, 1), 6, if(ISBLANK('2025'!$T245), 0, 1), 7, 0))), 1, "")</f>
        <v/>
      </c>
      <c r="T247" s="1" t="str">
        <f>IF(AND(AND(AND(T$4&gt;='2025'!$L245,T$4&lt;='2025'!$M245), T$4&lt;&gt;DATE(2025,7,4)), (SWITCH(weekday(T$4), 1, 0, 2, if(ISBLANK('2025'!$P245), 0, 1), 3, if(ISBLANK('2025'!$Q245), 0, 1), 4, if(ISBLANK('2025'!$R245), 0, 1), 5, if(ISBLANK('2025'!$S245), 0, 1), 6, if(ISBLANK('2025'!$T245), 0, 1), 7, 0))), 1, "")</f>
        <v/>
      </c>
      <c r="U247" s="1" t="str">
        <f>IF(AND(AND(AND(U$4&gt;='2025'!$L245,U$4&lt;='2025'!$M245), U$4&lt;&gt;DATE(2025,7,4)), (SWITCH(weekday(U$4), 1, 0, 2, if(ISBLANK('2025'!$P245), 0, 1), 3, if(ISBLANK('2025'!$Q245), 0, 1), 4, if(ISBLANK('2025'!$R245), 0, 1), 5, if(ISBLANK('2025'!$S245), 0, 1), 6, if(ISBLANK('2025'!$T245), 0, 1), 7, 0))), 1, "")</f>
        <v/>
      </c>
      <c r="V247" s="1" t="str">
        <f>IF(AND(AND(AND(V$4&gt;='2025'!$L245,V$4&lt;='2025'!$M245), V$4&lt;&gt;DATE(2025,7,4)), (SWITCH(weekday(V$4), 1, 0, 2, if(ISBLANK('2025'!$P245), 0, 1), 3, if(ISBLANK('2025'!$Q245), 0, 1), 4, if(ISBLANK('2025'!$R245), 0, 1), 5, if(ISBLANK('2025'!$S245), 0, 1), 6, if(ISBLANK('2025'!$T245), 0, 1), 7, 0))), 1, "")</f>
        <v/>
      </c>
      <c r="W247" s="1" t="str">
        <f>IF(AND(AND(AND(W$4&gt;='2025'!$L245,W$4&lt;='2025'!$M245), W$4&lt;&gt;DATE(2025,7,4)), (SWITCH(weekday(W$4), 1, 0, 2, if(ISBLANK('2025'!$P245), 0, 1), 3, if(ISBLANK('2025'!$Q245), 0, 1), 4, if(ISBLANK('2025'!$R245), 0, 1), 5, if(ISBLANK('2025'!$S245), 0, 1), 6, if(ISBLANK('2025'!$T245), 0, 1), 7, 0))), 1, "")</f>
        <v/>
      </c>
      <c r="X247" s="1" t="str">
        <f>IF(AND(AND(AND(X$4&gt;='2025'!$L245,X$4&lt;='2025'!$M245), X$4&lt;&gt;DATE(2025,7,4)), (SWITCH(weekday(X$4), 1, 0, 2, if(ISBLANK('2025'!$P245), 0, 1), 3, if(ISBLANK('2025'!$Q245), 0, 1), 4, if(ISBLANK('2025'!$R245), 0, 1), 5, if(ISBLANK('2025'!$S245), 0, 1), 6, if(ISBLANK('2025'!$T245), 0, 1), 7, 0))), 1, "")</f>
        <v/>
      </c>
      <c r="Y247" s="1" t="str">
        <f>IF(AND(AND(AND(Y$4&gt;='2025'!$L245,Y$4&lt;='2025'!$M245), Y$4&lt;&gt;DATE(2025,7,4)), (SWITCH(weekday(Y$4), 1, 0, 2, if(ISBLANK('2025'!$P245), 0, 1), 3, if(ISBLANK('2025'!$Q245), 0, 1), 4, if(ISBLANK('2025'!$R245), 0, 1), 5, if(ISBLANK('2025'!$S245), 0, 1), 6, if(ISBLANK('2025'!$T245), 0, 1), 7, 0))), 1, "")</f>
        <v/>
      </c>
      <c r="Z247" s="1" t="str">
        <f>IF(AND(AND(AND(Z$4&gt;='2025'!$L245,Z$4&lt;='2025'!$M245), Z$4&lt;&gt;DATE(2025,7,4)), (SWITCH(weekday(Z$4), 1, 0, 2, if(ISBLANK('2025'!$P245), 0, 1), 3, if(ISBLANK('2025'!$Q245), 0, 1), 4, if(ISBLANK('2025'!$R245), 0, 1), 5, if(ISBLANK('2025'!$S245), 0, 1), 6, if(ISBLANK('2025'!$T245), 0, 1), 7, 0))), 1, "")</f>
        <v/>
      </c>
      <c r="AA247" s="1" t="str">
        <f>IF(AND(AND(AND(AA$4&gt;='2025'!$L245,AA$4&lt;='2025'!$M245), AA$4&lt;&gt;DATE(2025,7,4)), (SWITCH(weekday(AA$4), 1, 0, 2, if(ISBLANK('2025'!$P245), 0, 1), 3, if(ISBLANK('2025'!$Q245), 0, 1), 4, if(ISBLANK('2025'!$R245), 0, 1), 5, if(ISBLANK('2025'!$S245), 0, 1), 6, if(ISBLANK('2025'!$T245), 0, 1), 7, 0))), 1, "")</f>
        <v/>
      </c>
      <c r="AB247" s="1" t="str">
        <f>IF(AND(AND(AND(AB$4&gt;='2025'!$L245,AB$4&lt;='2025'!$M245), AB$4&lt;&gt;DATE(2025,7,4)), (SWITCH(weekday(AB$4), 1, 0, 2, if(ISBLANK('2025'!$P245), 0, 1), 3, if(ISBLANK('2025'!$Q245), 0, 1), 4, if(ISBLANK('2025'!$R245), 0, 1), 5, if(ISBLANK('2025'!$S245), 0, 1), 6, if(ISBLANK('2025'!$T245), 0, 1), 7, 0))), 1, "")</f>
        <v/>
      </c>
      <c r="AC247" s="1" t="str">
        <f>IF(AND(AND(AND(AC$4&gt;='2025'!$L245,AC$4&lt;='2025'!$M245), AC$4&lt;&gt;DATE(2025,7,4)), (SWITCH(weekday(AC$4), 1, 0, 2, if(ISBLANK('2025'!$P245), 0, 1), 3, if(ISBLANK('2025'!$Q245), 0, 1), 4, if(ISBLANK('2025'!$R245), 0, 1), 5, if(ISBLANK('2025'!$S245), 0, 1), 6, if(ISBLANK('2025'!$T245), 0, 1), 7, 0))), 1, "")</f>
        <v/>
      </c>
      <c r="AD247" s="1" t="str">
        <f>IF(AND(AND(AND(AD$4&gt;='2025'!$L245,AD$4&lt;='2025'!$M245), AD$4&lt;&gt;DATE(2025,7,4)), (SWITCH(weekday(AD$4), 1, 0, 2, if(ISBLANK('2025'!$P245), 0, 1), 3, if(ISBLANK('2025'!$Q245), 0, 1), 4, if(ISBLANK('2025'!$R245), 0, 1), 5, if(ISBLANK('2025'!$S245), 0, 1), 6, if(ISBLANK('2025'!$T245), 0, 1), 7, 0))), 1, "")</f>
        <v/>
      </c>
      <c r="AE247" s="1" t="str">
        <f>IF(AND(AND(AND(AE$4&gt;='2025'!$L245,AE$4&lt;='2025'!$M245), AE$4&lt;&gt;DATE(2025,7,4)), (SWITCH(weekday(AE$4), 1, 0, 2, if(ISBLANK('2025'!$P245), 0, 1), 3, if(ISBLANK('2025'!$Q245), 0, 1), 4, if(ISBLANK('2025'!$R245), 0, 1), 5, if(ISBLANK('2025'!$S245), 0, 1), 6, if(ISBLANK('2025'!$T245), 0, 1), 7, 0))), 1, "")</f>
        <v/>
      </c>
      <c r="AF247" s="1" t="str">
        <f>IF(AND(AND(AND(AF$4&gt;='2025'!$L245,AF$4&lt;='2025'!$M245), AF$4&lt;&gt;DATE(2025,7,4)), (SWITCH(weekday(AF$4), 1, 0, 2, if(ISBLANK('2025'!$P245), 0, 1), 3, if(ISBLANK('2025'!$Q245), 0, 1), 4, if(ISBLANK('2025'!$R245), 0, 1), 5, if(ISBLANK('2025'!$S245), 0, 1), 6, if(ISBLANK('2025'!$T245), 0, 1), 7, 0))), 1, "")</f>
        <v/>
      </c>
      <c r="AG247" s="1" t="str">
        <f>IF(AND(AND(AND(AG$4&gt;='2025'!$L245,AG$4&lt;='2025'!$M245), AG$4&lt;&gt;DATE(2025,7,4)), (SWITCH(weekday(AG$4), 1, 0, 2, if(ISBLANK('2025'!$P245), 0, 1), 3, if(ISBLANK('2025'!$Q245), 0, 1), 4, if(ISBLANK('2025'!$R245), 0, 1), 5, if(ISBLANK('2025'!$S245), 0, 1), 6, if(ISBLANK('2025'!$T245), 0, 1), 7, 0))), 1, "")</f>
        <v/>
      </c>
      <c r="AH247" s="1" t="str">
        <f>IF(AND(AND(AND(AH$4&gt;='2025'!$L245,AH$4&lt;='2025'!$M245), AH$4&lt;&gt;DATE(2025,7,4)), (SWITCH(weekday(AH$4), 1, 0, 2, if(ISBLANK('2025'!$P245), 0, 1), 3, if(ISBLANK('2025'!$Q245), 0, 1), 4, if(ISBLANK('2025'!$R245), 0, 1), 5, if(ISBLANK('2025'!$S245), 0, 1), 6, if(ISBLANK('2025'!$T245), 0, 1), 7, 0))), 1, "")</f>
        <v/>
      </c>
      <c r="AI247" s="1" t="str">
        <f>IF(AND(AND(AND(AI$4&gt;='2025'!$L245,AI$4&lt;='2025'!$M245), AI$4&lt;&gt;DATE(2025,7,4)), (SWITCH(weekday(AI$4), 1, 0, 2, if(ISBLANK('2025'!$P245), 0, 1), 3, if(ISBLANK('2025'!$Q245), 0, 1), 4, if(ISBLANK('2025'!$R245), 0, 1), 5, if(ISBLANK('2025'!$S245), 0, 1), 6, if(ISBLANK('2025'!$T245), 0, 1), 7, 0))), 1, "")</f>
        <v/>
      </c>
      <c r="AJ247" s="1" t="str">
        <f>IF(AND(AND(AND(AJ$4&gt;='2025'!$L245,AJ$4&lt;='2025'!$M245), AJ$4&lt;&gt;DATE(2025,7,4)), (SWITCH(weekday(AJ$4), 1, 0, 2, if(ISBLANK('2025'!$P245), 0, 1), 3, if(ISBLANK('2025'!$Q245), 0, 1), 4, if(ISBLANK('2025'!$R245), 0, 1), 5, if(ISBLANK('2025'!$S245), 0, 1), 6, if(ISBLANK('2025'!$T245), 0, 1), 7, 0))), 1, "")</f>
        <v/>
      </c>
      <c r="AK247" s="1" t="str">
        <f>IF(AND(AND(AND(AK$4&gt;='2025'!$L245,AK$4&lt;='2025'!$M245), AK$4&lt;&gt;DATE(2025,7,4)), (SWITCH(weekday(AK$4), 1, 0, 2, if(ISBLANK('2025'!$P245), 0, 1), 3, if(ISBLANK('2025'!$Q245), 0, 1), 4, if(ISBLANK('2025'!$R245), 0, 1), 5, if(ISBLANK('2025'!$S245), 0, 1), 6, if(ISBLANK('2025'!$T245), 0, 1), 7, 0))), 1, "")</f>
        <v/>
      </c>
      <c r="AL247" s="1" t="str">
        <f>IF(AND(AND(AND(AL$4&gt;='2025'!$L245,AL$4&lt;='2025'!$M245), AL$4&lt;&gt;DATE(2025,7,4)), (SWITCH(weekday(AL$4), 1, 0, 2, if(ISBLANK('2025'!$P245), 0, 1), 3, if(ISBLANK('2025'!$Q245), 0, 1), 4, if(ISBLANK('2025'!$R245), 0, 1), 5, if(ISBLANK('2025'!$S245), 0, 1), 6, if(ISBLANK('2025'!$T245), 0, 1), 7, 0))), 1, "")</f>
        <v/>
      </c>
      <c r="AM247" s="1" t="str">
        <f>IF(AND(AND(AND(AM$4&gt;='2025'!$L245,AM$4&lt;='2025'!$M245), AM$4&lt;&gt;DATE(2025,7,4)), (SWITCH(weekday(AM$4), 1, 0, 2, if(ISBLANK('2025'!$P245), 0, 1), 3, if(ISBLANK('2025'!$Q245), 0, 1), 4, if(ISBLANK('2025'!$R245), 0, 1), 5, if(ISBLANK('2025'!$S245), 0, 1), 6, if(ISBLANK('2025'!$T245), 0, 1), 7, 0))), 1, "")</f>
        <v/>
      </c>
      <c r="AN247" s="1" t="str">
        <f>IF(AND(AND(AND(AN$4&gt;='2025'!$L245,AN$4&lt;='2025'!$M245), AN$4&lt;&gt;DATE(2025,7,4)), (SWITCH(weekday(AN$4), 1, 0, 2, if(ISBLANK('2025'!$P245), 0, 1), 3, if(ISBLANK('2025'!$Q245), 0, 1), 4, if(ISBLANK('2025'!$R245), 0, 1), 5, if(ISBLANK('2025'!$S245), 0, 1), 6, if(ISBLANK('2025'!$T245), 0, 1), 7, 0))), 1, "")</f>
        <v/>
      </c>
      <c r="AO247" s="1" t="str">
        <f>IF(AND(AND(AND(AO$4&gt;='2025'!$L245,AO$4&lt;='2025'!$M245), AO$4&lt;&gt;DATE(2025,7,4)), (SWITCH(weekday(AO$4), 1, 0, 2, if(ISBLANK('2025'!$P245), 0, 1), 3, if(ISBLANK('2025'!$Q245), 0, 1), 4, if(ISBLANK('2025'!$R245), 0, 1), 5, if(ISBLANK('2025'!$S245), 0, 1), 6, if(ISBLANK('2025'!$T245), 0, 1), 7, 0))), 1, "")</f>
        <v/>
      </c>
      <c r="AP247" s="1" t="str">
        <f>IF(AND(AND(AND(AP$4&gt;='2025'!$L245,AP$4&lt;='2025'!$M245), AP$4&lt;&gt;DATE(2025,7,4)), (SWITCH(weekday(AP$4), 1, 0, 2, if(ISBLANK('2025'!$P245), 0, 1), 3, if(ISBLANK('2025'!$Q245), 0, 1), 4, if(ISBLANK('2025'!$R245), 0, 1), 5, if(ISBLANK('2025'!$S245), 0, 1), 6, if(ISBLANK('2025'!$T245), 0, 1), 7, 0))), 1, "")</f>
        <v/>
      </c>
      <c r="AQ247" s="1" t="str">
        <f>IF(AND(AND(AND(AQ$4&gt;='2025'!$L245,AQ$4&lt;='2025'!$M245), AQ$4&lt;&gt;DATE(2025,7,4)), (SWITCH(weekday(AQ$4), 1, 0, 2, if(ISBLANK('2025'!$P245), 0, 1), 3, if(ISBLANK('2025'!$Q245), 0, 1), 4, if(ISBLANK('2025'!$R245), 0, 1), 5, if(ISBLANK('2025'!$S245), 0, 1), 6, if(ISBLANK('2025'!$T245), 0, 1), 7, 0))), 1, "")</f>
        <v/>
      </c>
      <c r="AR247" s="1" t="str">
        <f>IF(AND(AND(AND(AR$4&gt;='2025'!$L245,AR$4&lt;='2025'!$M245), AR$4&lt;&gt;DATE(2025,7,4)), (SWITCH(weekday(AR$4), 1, 0, 2, if(ISBLANK('2025'!$P245), 0, 1), 3, if(ISBLANK('2025'!$Q245), 0, 1), 4, if(ISBLANK('2025'!$R245), 0, 1), 5, if(ISBLANK('2025'!$S245), 0, 1), 6, if(ISBLANK('2025'!$T245), 0, 1), 7, 0))), 1, "")</f>
        <v/>
      </c>
      <c r="AS247" s="1" t="str">
        <f>IF(AND(AND(AND(AS$4&gt;='2025'!$L245,AS$4&lt;='2025'!$M245), AS$4&lt;&gt;DATE(2025,7,4)), (SWITCH(weekday(AS$4), 1, 0, 2, if(ISBLANK('2025'!$P245), 0, 1), 3, if(ISBLANK('2025'!$Q245), 0, 1), 4, if(ISBLANK('2025'!$R245), 0, 1), 5, if(ISBLANK('2025'!$S245), 0, 1), 6, if(ISBLANK('2025'!$T245), 0, 1), 7, 0))), 1, "")</f>
        <v/>
      </c>
      <c r="AT247" s="1" t="str">
        <f>IF(AND(AND(AND(AT$4&gt;='2025'!$L245,AT$4&lt;='2025'!$M245), AT$4&lt;&gt;DATE(2025,7,4)), (SWITCH(weekday(AT$4), 1, 0, 2, if(ISBLANK('2025'!$P245), 0, 1), 3, if(ISBLANK('2025'!$Q245), 0, 1), 4, if(ISBLANK('2025'!$R245), 0, 1), 5, if(ISBLANK('2025'!$S245), 0, 1), 6, if(ISBLANK('2025'!$T245), 0, 1), 7, 0))), 1, "")</f>
        <v/>
      </c>
      <c r="AU247" s="1" t="str">
        <f>IF(AND(AND(AND(AU$4&gt;='2025'!$L245,AU$4&lt;='2025'!$M245), AU$4&lt;&gt;DATE(2025,7,4)), (SWITCH(weekday(AU$4), 1, 0, 2, if(ISBLANK('2025'!$P245), 0, 1), 3, if(ISBLANK('2025'!$Q245), 0, 1), 4, if(ISBLANK('2025'!$R245), 0, 1), 5, if(ISBLANK('2025'!$S245), 0, 1), 6, if(ISBLANK('2025'!$T245), 0, 1), 7, 0))), 1, "")</f>
        <v/>
      </c>
      <c r="AV247" s="1" t="str">
        <f>IF(AND(AND(AND(AV$4&gt;='2025'!$L245,AV$4&lt;='2025'!$M245), AV$4&lt;&gt;DATE(2025,7,4)), (SWITCH(weekday(AV$4), 1, 0, 2, if(ISBLANK('2025'!$P245), 0, 1), 3, if(ISBLANK('2025'!$Q245), 0, 1), 4, if(ISBLANK('2025'!$R245), 0, 1), 5, if(ISBLANK('2025'!$S245), 0, 1), 6, if(ISBLANK('2025'!$T245), 0, 1), 7, 0))), 1, "")</f>
        <v/>
      </c>
      <c r="AW247" s="1" t="str">
        <f>IF(AND(AND(AND(AW$4&gt;='2025'!$L245,AW$4&lt;='2025'!$M245), AW$4&lt;&gt;DATE(2025,7,4)), (SWITCH(weekday(AW$4), 1, 0, 2, if(ISBLANK('2025'!$P245), 0, 1), 3, if(ISBLANK('2025'!$Q245), 0, 1), 4, if(ISBLANK('2025'!$R245), 0, 1), 5, if(ISBLANK('2025'!$S245), 0, 1), 6, if(ISBLANK('2025'!$T245), 0, 1), 7, 0))), 1, "")</f>
        <v/>
      </c>
      <c r="AX247" s="1" t="str">
        <f>IF(AND(AND(AND(AX$4&gt;='2025'!$L245,AX$4&lt;='2025'!$M245), AX$4&lt;&gt;DATE(2025,7,4)), (SWITCH(weekday(AX$4), 1, 0, 2, if(ISBLANK('2025'!$P245), 0, 1), 3, if(ISBLANK('2025'!$Q245), 0, 1), 4, if(ISBLANK('2025'!$R245), 0, 1), 5, if(ISBLANK('2025'!$S245), 0, 1), 6, if(ISBLANK('2025'!$T245), 0, 1), 7, 0))), 1, "")</f>
        <v/>
      </c>
      <c r="AY247" s="1" t="str">
        <f>IF(AND(AND(AND(AY$4&gt;='2025'!$L245,AY$4&lt;='2025'!$M245), AY$4&lt;&gt;DATE(2025,7,4)), (SWITCH(weekday(AY$4), 1, 0, 2, if(ISBLANK('2025'!$P245), 0, 1), 3, if(ISBLANK('2025'!$Q245), 0, 1), 4, if(ISBLANK('2025'!$R245), 0, 1), 5, if(ISBLANK('2025'!$S245), 0, 1), 6, if(ISBLANK('2025'!$T245), 0, 1), 7, 0))), 1, "")</f>
        <v/>
      </c>
      <c r="AZ247" s="1" t="str">
        <f>IF(AND(AND(AND(AZ$4&gt;='2025'!$L245,AZ$4&lt;='2025'!$M245), AZ$4&lt;&gt;DATE(2025,7,4)), (SWITCH(weekday(AZ$4), 1, 0, 2, if(ISBLANK('2025'!$P245), 0, 1), 3, if(ISBLANK('2025'!$Q245), 0, 1), 4, if(ISBLANK('2025'!$R245), 0, 1), 5, if(ISBLANK('2025'!$S245), 0, 1), 6, if(ISBLANK('2025'!$T245), 0, 1), 7, 0))), 1, "")</f>
        <v/>
      </c>
      <c r="BA247" s="1" t="str">
        <f>IF(AND(AND(AND(BA$4&gt;='2025'!$L245,BA$4&lt;='2025'!$M245), BA$4&lt;&gt;DATE(2025,7,4)), (SWITCH(weekday(BA$4), 1, 0, 2, if(ISBLANK('2025'!$P245), 0, 1), 3, if(ISBLANK('2025'!$Q245), 0, 1), 4, if(ISBLANK('2025'!$R245), 0, 1), 5, if(ISBLANK('2025'!$S245), 0, 1), 6, if(ISBLANK('2025'!$T245), 0, 1), 7, 0))), 1, "")</f>
        <v/>
      </c>
      <c r="BB247" s="1" t="str">
        <f>IF(AND(AND(AND(BB$4&gt;='2025'!$L245,BB$4&lt;='2025'!$M245), BB$4&lt;&gt;DATE(2025,7,4)), (SWITCH(weekday(BB$4), 1, 0, 2, if(ISBLANK('2025'!$P245), 0, 1), 3, if(ISBLANK('2025'!$Q245), 0, 1), 4, if(ISBLANK('2025'!$R245), 0, 1), 5, if(ISBLANK('2025'!$S245), 0, 1), 6, if(ISBLANK('2025'!$T245), 0, 1), 7, 0))), 1, "")</f>
        <v/>
      </c>
      <c r="BC247" s="1" t="str">
        <f>IF(AND(AND(AND(BC$4&gt;='2025'!$L245,BC$4&lt;='2025'!$M245), BC$4&lt;&gt;DATE(2025,7,4)), (SWITCH(weekday(BC$4), 1, 0, 2, if(ISBLANK('2025'!$P245), 0, 1), 3, if(ISBLANK('2025'!$Q245), 0, 1), 4, if(ISBLANK('2025'!$R245), 0, 1), 5, if(ISBLANK('2025'!$S245), 0, 1), 6, if(ISBLANK('2025'!$T245), 0, 1), 7, 0))), 1, "")</f>
        <v/>
      </c>
      <c r="BD247" s="1" t="str">
        <f>IF(AND(AND(AND(BD$4&gt;='2025'!$L245,BD$4&lt;='2025'!$M245), BD$4&lt;&gt;DATE(2025,7,4)), (SWITCH(weekday(BD$4), 1, 0, 2, if(ISBLANK('2025'!$P245), 0, 1), 3, if(ISBLANK('2025'!$Q245), 0, 1), 4, if(ISBLANK('2025'!$R245), 0, 1), 5, if(ISBLANK('2025'!$S245), 0, 1), 6, if(ISBLANK('2025'!$T245), 0, 1), 7, 0))), 1, "")</f>
        <v/>
      </c>
      <c r="BE247" s="1" t="str">
        <f>IF(AND(AND(AND(BE$4&gt;='2025'!$L245,BE$4&lt;='2025'!$M245), BE$4&lt;&gt;DATE(2025,7,4)), (SWITCH(weekday(BE$4), 1, 0, 2, if(ISBLANK('2025'!$P245), 0, 1), 3, if(ISBLANK('2025'!$Q245), 0, 1), 4, if(ISBLANK('2025'!$R245), 0, 1), 5, if(ISBLANK('2025'!$S245), 0, 1), 6, if(ISBLANK('2025'!$T245), 0, 1), 7, 0))), 1, "")</f>
        <v/>
      </c>
      <c r="BF247" s="1" t="str">
        <f>IF(AND(AND(AND(BF$4&gt;='2025'!$L245,BF$4&lt;='2025'!$M245), BF$4&lt;&gt;DATE(2025,7,4)), (SWITCH(weekday(BF$4), 1, 0, 2, if(ISBLANK('2025'!$P245), 0, 1), 3, if(ISBLANK('2025'!$Q245), 0, 1), 4, if(ISBLANK('2025'!$R245), 0, 1), 5, if(ISBLANK('2025'!$S245), 0, 1), 6, if(ISBLANK('2025'!$T245), 0, 1), 7, 0))), 1, "")</f>
        <v/>
      </c>
      <c r="BG247" s="1"/>
      <c r="BH247" s="1"/>
      <c r="BI247" s="1"/>
      <c r="BJ247" s="1"/>
      <c r="BK247" s="1"/>
      <c r="BL247" s="1"/>
    </row>
    <row r="248">
      <c r="A248" s="1">
        <f t="shared" si="3"/>
        <v>248</v>
      </c>
      <c r="B248" s="1" t="str">
        <f>'2025'!D212</f>
        <v>, </v>
      </c>
      <c r="C248" s="1" t="str">
        <f>'2025'!H212</f>
        <v/>
      </c>
      <c r="D248" s="1" t="str">
        <f>IF(AND(AND(AND(D$4&gt;='2025'!$L246,D$4&lt;='2025'!$M246), D$4&lt;&gt;DATE(2025,7,4)), (SWITCH(weekday(D$4), 1, 0, 2, if(ISBLANK('2025'!$P246), 0, 1), 3, if(ISBLANK('2025'!$Q246), 0, 1), 4, if(ISBLANK('2025'!$R246), 0, 1), 5, if(ISBLANK('2025'!$S246), 0, 1), 6, if(ISBLANK('2025'!$T246), 0, 1), 7, 0))), 1, "")</f>
        <v/>
      </c>
      <c r="E248" s="1" t="str">
        <f>IF(AND(AND(AND(E$4&gt;='2025'!$L246,E$4&lt;='2025'!$M246), E$4&lt;&gt;DATE(2025,7,4)), (SWITCH(weekday(E$4), 1, 0, 2, if(ISBLANK('2025'!$P246), 0, 1), 3, if(ISBLANK('2025'!$Q246), 0, 1), 4, if(ISBLANK('2025'!$R246), 0, 1), 5, if(ISBLANK('2025'!$S246), 0, 1), 6, if(ISBLANK('2025'!$T246), 0, 1), 7, 0))), 1, "")</f>
        <v/>
      </c>
      <c r="F248" s="1" t="str">
        <f>IF(AND(AND(AND(F$4&gt;='2025'!$L246,F$4&lt;='2025'!$M246), F$4&lt;&gt;DATE(2025,7,4)), (SWITCH(weekday(F$4), 1, 0, 2, if(ISBLANK('2025'!$P246), 0, 1), 3, if(ISBLANK('2025'!$Q246), 0, 1), 4, if(ISBLANK('2025'!$R246), 0, 1), 5, if(ISBLANK('2025'!$S246), 0, 1), 6, if(ISBLANK('2025'!$T246), 0, 1), 7, 0))), 1, "")</f>
        <v/>
      </c>
      <c r="G248" s="1" t="str">
        <f>IF(AND(AND(AND(G$4&gt;='2025'!$L246,G$4&lt;='2025'!$M246), G$4&lt;&gt;DATE(2025,7,4)), (SWITCH(weekday(G$4), 1, 0, 2, if(ISBLANK('2025'!$P246), 0, 1), 3, if(ISBLANK('2025'!$Q246), 0, 1), 4, if(ISBLANK('2025'!$R246), 0, 1), 5, if(ISBLANK('2025'!$S246), 0, 1), 6, if(ISBLANK('2025'!$T246), 0, 1), 7, 0))), 1, "")</f>
        <v/>
      </c>
      <c r="H248" s="1" t="str">
        <f>IF(AND(AND(AND(H$4&gt;='2025'!$L246,H$4&lt;='2025'!$M246), H$4&lt;&gt;DATE(2025,7,4)), (SWITCH(weekday(H$4), 1, 0, 2, if(ISBLANK('2025'!$P246), 0, 1), 3, if(ISBLANK('2025'!$Q246), 0, 1), 4, if(ISBLANK('2025'!$R246), 0, 1), 5, if(ISBLANK('2025'!$S246), 0, 1), 6, if(ISBLANK('2025'!$T246), 0, 1), 7, 0))), 1, "")</f>
        <v/>
      </c>
      <c r="I248" s="1" t="str">
        <f>IF(AND(AND(AND(I$4&gt;='2025'!$L246,I$4&lt;='2025'!$M246), I$4&lt;&gt;DATE(2025,7,4)), (SWITCH(weekday(I$4), 1, 0, 2, if(ISBLANK('2025'!$P246), 0, 1), 3, if(ISBLANK('2025'!$Q246), 0, 1), 4, if(ISBLANK('2025'!$R246), 0, 1), 5, if(ISBLANK('2025'!$S246), 0, 1), 6, if(ISBLANK('2025'!$T246), 0, 1), 7, 0))), 1, "")</f>
        <v/>
      </c>
      <c r="J248" s="1" t="str">
        <f>IF(AND(AND(AND(J$4&gt;='2025'!$L246,J$4&lt;='2025'!$M246), J$4&lt;&gt;DATE(2025,7,4)), (SWITCH(weekday(J$4), 1, 0, 2, if(ISBLANK('2025'!$P246), 0, 1), 3, if(ISBLANK('2025'!$Q246), 0, 1), 4, if(ISBLANK('2025'!$R246), 0, 1), 5, if(ISBLANK('2025'!$S246), 0, 1), 6, if(ISBLANK('2025'!$T246), 0, 1), 7, 0))), 1, "")</f>
        <v/>
      </c>
      <c r="K248" s="1" t="str">
        <f>IF(AND(AND(AND(K$4&gt;='2025'!$L246,K$4&lt;='2025'!$M246), K$4&lt;&gt;DATE(2025,7,4)), (SWITCH(weekday(K$4), 1, 0, 2, if(ISBLANK('2025'!$P246), 0, 1), 3, if(ISBLANK('2025'!$Q246), 0, 1), 4, if(ISBLANK('2025'!$R246), 0, 1), 5, if(ISBLANK('2025'!$S246), 0, 1), 6, if(ISBLANK('2025'!$T246), 0, 1), 7, 0))), 1, "")</f>
        <v/>
      </c>
      <c r="L248" s="1" t="str">
        <f>IF(AND(AND(AND(L$4&gt;='2025'!$L246,L$4&lt;='2025'!$M246), L$4&lt;&gt;DATE(2025,7,4)), (SWITCH(weekday(L$4), 1, 0, 2, if(ISBLANK('2025'!$P246), 0, 1), 3, if(ISBLANK('2025'!$Q246), 0, 1), 4, if(ISBLANK('2025'!$R246), 0, 1), 5, if(ISBLANK('2025'!$S246), 0, 1), 6, if(ISBLANK('2025'!$T246), 0, 1), 7, 0))), 1, "")</f>
        <v/>
      </c>
      <c r="M248" s="1" t="str">
        <f>IF(AND(AND(AND(M$4&gt;='2025'!$L246,M$4&lt;='2025'!$M246), M$4&lt;&gt;DATE(2025,7,4)), (SWITCH(weekday(M$4), 1, 0, 2, if(ISBLANK('2025'!$P246), 0, 1), 3, if(ISBLANK('2025'!$Q246), 0, 1), 4, if(ISBLANK('2025'!$R246), 0, 1), 5, if(ISBLANK('2025'!$S246), 0, 1), 6, if(ISBLANK('2025'!$T246), 0, 1), 7, 0))), 1, "")</f>
        <v/>
      </c>
      <c r="N248" s="1" t="str">
        <f>IF(AND(AND(AND(N$4&gt;='2025'!$L246,N$4&lt;='2025'!$M246), N$4&lt;&gt;DATE(2025,7,4)), (SWITCH(weekday(N$4), 1, 0, 2, if(ISBLANK('2025'!$P246), 0, 1), 3, if(ISBLANK('2025'!$Q246), 0, 1), 4, if(ISBLANK('2025'!$R246), 0, 1), 5, if(ISBLANK('2025'!$S246), 0, 1), 6, if(ISBLANK('2025'!$T246), 0, 1), 7, 0))), 1, "")</f>
        <v/>
      </c>
      <c r="O248" s="1" t="str">
        <f>IF(AND(AND(AND(O$4&gt;='2025'!$L246,O$4&lt;='2025'!$M246), O$4&lt;&gt;DATE(2025,7,4)), (SWITCH(weekday(O$4), 1, 0, 2, if(ISBLANK('2025'!$P246), 0, 1), 3, if(ISBLANK('2025'!$Q246), 0, 1), 4, if(ISBLANK('2025'!$R246), 0, 1), 5, if(ISBLANK('2025'!$S246), 0, 1), 6, if(ISBLANK('2025'!$T246), 0, 1), 7, 0))), 1, "")</f>
        <v/>
      </c>
      <c r="P248" s="1" t="str">
        <f>IF(AND(AND(AND(P$4&gt;='2025'!$L246,P$4&lt;='2025'!$M246), P$4&lt;&gt;DATE(2025,7,4)), (SWITCH(weekday(P$4), 1, 0, 2, if(ISBLANK('2025'!$P246), 0, 1), 3, if(ISBLANK('2025'!$Q246), 0, 1), 4, if(ISBLANK('2025'!$R246), 0, 1), 5, if(ISBLANK('2025'!$S246), 0, 1), 6, if(ISBLANK('2025'!$T246), 0, 1), 7, 0))), 1, "")</f>
        <v/>
      </c>
      <c r="Q248" s="1" t="str">
        <f>IF(AND(AND(AND(Q$4&gt;='2025'!$L246,Q$4&lt;='2025'!$M246), Q$4&lt;&gt;DATE(2025,7,4)), (SWITCH(weekday(Q$4), 1, 0, 2, if(ISBLANK('2025'!$P246), 0, 1), 3, if(ISBLANK('2025'!$Q246), 0, 1), 4, if(ISBLANK('2025'!$R246), 0, 1), 5, if(ISBLANK('2025'!$S246), 0, 1), 6, if(ISBLANK('2025'!$T246), 0, 1), 7, 0))), 1, "")</f>
        <v/>
      </c>
      <c r="R248" s="1" t="str">
        <f>IF(AND(AND(AND(R$4&gt;='2025'!$L246,R$4&lt;='2025'!$M246), R$4&lt;&gt;DATE(2025,7,4)), (SWITCH(weekday(R$4), 1, 0, 2, if(ISBLANK('2025'!$P246), 0, 1), 3, if(ISBLANK('2025'!$Q246), 0, 1), 4, if(ISBLANK('2025'!$R246), 0, 1), 5, if(ISBLANK('2025'!$S246), 0, 1), 6, if(ISBLANK('2025'!$T246), 0, 1), 7, 0))), 1, "")</f>
        <v/>
      </c>
      <c r="S248" s="1" t="str">
        <f>IF(AND(AND(AND(S$4&gt;='2025'!$L246,S$4&lt;='2025'!$M246), S$4&lt;&gt;DATE(2025,7,4)), (SWITCH(weekday(S$4), 1, 0, 2, if(ISBLANK('2025'!$P246), 0, 1), 3, if(ISBLANK('2025'!$Q246), 0, 1), 4, if(ISBLANK('2025'!$R246), 0, 1), 5, if(ISBLANK('2025'!$S246), 0, 1), 6, if(ISBLANK('2025'!$T246), 0, 1), 7, 0))), 1, "")</f>
        <v/>
      </c>
      <c r="T248" s="1" t="str">
        <f>IF(AND(AND(AND(T$4&gt;='2025'!$L246,T$4&lt;='2025'!$M246), T$4&lt;&gt;DATE(2025,7,4)), (SWITCH(weekday(T$4), 1, 0, 2, if(ISBLANK('2025'!$P246), 0, 1), 3, if(ISBLANK('2025'!$Q246), 0, 1), 4, if(ISBLANK('2025'!$R246), 0, 1), 5, if(ISBLANK('2025'!$S246), 0, 1), 6, if(ISBLANK('2025'!$T246), 0, 1), 7, 0))), 1, "")</f>
        <v/>
      </c>
      <c r="U248" s="1" t="str">
        <f>IF(AND(AND(AND(U$4&gt;='2025'!$L246,U$4&lt;='2025'!$M246), U$4&lt;&gt;DATE(2025,7,4)), (SWITCH(weekday(U$4), 1, 0, 2, if(ISBLANK('2025'!$P246), 0, 1), 3, if(ISBLANK('2025'!$Q246), 0, 1), 4, if(ISBLANK('2025'!$R246), 0, 1), 5, if(ISBLANK('2025'!$S246), 0, 1), 6, if(ISBLANK('2025'!$T246), 0, 1), 7, 0))), 1, "")</f>
        <v/>
      </c>
      <c r="V248" s="1" t="str">
        <f>IF(AND(AND(AND(V$4&gt;='2025'!$L246,V$4&lt;='2025'!$M246), V$4&lt;&gt;DATE(2025,7,4)), (SWITCH(weekday(V$4), 1, 0, 2, if(ISBLANK('2025'!$P246), 0, 1), 3, if(ISBLANK('2025'!$Q246), 0, 1), 4, if(ISBLANK('2025'!$R246), 0, 1), 5, if(ISBLANK('2025'!$S246), 0, 1), 6, if(ISBLANK('2025'!$T246), 0, 1), 7, 0))), 1, "")</f>
        <v/>
      </c>
      <c r="W248" s="1" t="str">
        <f>IF(AND(AND(AND(W$4&gt;='2025'!$L246,W$4&lt;='2025'!$M246), W$4&lt;&gt;DATE(2025,7,4)), (SWITCH(weekday(W$4), 1, 0, 2, if(ISBLANK('2025'!$P246), 0, 1), 3, if(ISBLANK('2025'!$Q246), 0, 1), 4, if(ISBLANK('2025'!$R246), 0, 1), 5, if(ISBLANK('2025'!$S246), 0, 1), 6, if(ISBLANK('2025'!$T246), 0, 1), 7, 0))), 1, "")</f>
        <v/>
      </c>
      <c r="X248" s="1" t="str">
        <f>IF(AND(AND(AND(X$4&gt;='2025'!$L246,X$4&lt;='2025'!$M246), X$4&lt;&gt;DATE(2025,7,4)), (SWITCH(weekday(X$4), 1, 0, 2, if(ISBLANK('2025'!$P246), 0, 1), 3, if(ISBLANK('2025'!$Q246), 0, 1), 4, if(ISBLANK('2025'!$R246), 0, 1), 5, if(ISBLANK('2025'!$S246), 0, 1), 6, if(ISBLANK('2025'!$T246), 0, 1), 7, 0))), 1, "")</f>
        <v/>
      </c>
      <c r="Y248" s="1" t="str">
        <f>IF(AND(AND(AND(Y$4&gt;='2025'!$L246,Y$4&lt;='2025'!$M246), Y$4&lt;&gt;DATE(2025,7,4)), (SWITCH(weekday(Y$4), 1, 0, 2, if(ISBLANK('2025'!$P246), 0, 1), 3, if(ISBLANK('2025'!$Q246), 0, 1), 4, if(ISBLANK('2025'!$R246), 0, 1), 5, if(ISBLANK('2025'!$S246), 0, 1), 6, if(ISBLANK('2025'!$T246), 0, 1), 7, 0))), 1, "")</f>
        <v/>
      </c>
      <c r="Z248" s="1" t="str">
        <f>IF(AND(AND(AND(Z$4&gt;='2025'!$L246,Z$4&lt;='2025'!$M246), Z$4&lt;&gt;DATE(2025,7,4)), (SWITCH(weekday(Z$4), 1, 0, 2, if(ISBLANK('2025'!$P246), 0, 1), 3, if(ISBLANK('2025'!$Q246), 0, 1), 4, if(ISBLANK('2025'!$R246), 0, 1), 5, if(ISBLANK('2025'!$S246), 0, 1), 6, if(ISBLANK('2025'!$T246), 0, 1), 7, 0))), 1, "")</f>
        <v/>
      </c>
      <c r="AA248" s="1" t="str">
        <f>IF(AND(AND(AND(AA$4&gt;='2025'!$L246,AA$4&lt;='2025'!$M246), AA$4&lt;&gt;DATE(2025,7,4)), (SWITCH(weekday(AA$4), 1, 0, 2, if(ISBLANK('2025'!$P246), 0, 1), 3, if(ISBLANK('2025'!$Q246), 0, 1), 4, if(ISBLANK('2025'!$R246), 0, 1), 5, if(ISBLANK('2025'!$S246), 0, 1), 6, if(ISBLANK('2025'!$T246), 0, 1), 7, 0))), 1, "")</f>
        <v/>
      </c>
      <c r="AB248" s="1" t="str">
        <f>IF(AND(AND(AND(AB$4&gt;='2025'!$L246,AB$4&lt;='2025'!$M246), AB$4&lt;&gt;DATE(2025,7,4)), (SWITCH(weekday(AB$4), 1, 0, 2, if(ISBLANK('2025'!$P246), 0, 1), 3, if(ISBLANK('2025'!$Q246), 0, 1), 4, if(ISBLANK('2025'!$R246), 0, 1), 5, if(ISBLANK('2025'!$S246), 0, 1), 6, if(ISBLANK('2025'!$T246), 0, 1), 7, 0))), 1, "")</f>
        <v/>
      </c>
      <c r="AC248" s="1" t="str">
        <f>IF(AND(AND(AND(AC$4&gt;='2025'!$L246,AC$4&lt;='2025'!$M246), AC$4&lt;&gt;DATE(2025,7,4)), (SWITCH(weekday(AC$4), 1, 0, 2, if(ISBLANK('2025'!$P246), 0, 1), 3, if(ISBLANK('2025'!$Q246), 0, 1), 4, if(ISBLANK('2025'!$R246), 0, 1), 5, if(ISBLANK('2025'!$S246), 0, 1), 6, if(ISBLANK('2025'!$T246), 0, 1), 7, 0))), 1, "")</f>
        <v/>
      </c>
      <c r="AD248" s="1" t="str">
        <f>IF(AND(AND(AND(AD$4&gt;='2025'!$L246,AD$4&lt;='2025'!$M246), AD$4&lt;&gt;DATE(2025,7,4)), (SWITCH(weekday(AD$4), 1, 0, 2, if(ISBLANK('2025'!$P246), 0, 1), 3, if(ISBLANK('2025'!$Q246), 0, 1), 4, if(ISBLANK('2025'!$R246), 0, 1), 5, if(ISBLANK('2025'!$S246), 0, 1), 6, if(ISBLANK('2025'!$T246), 0, 1), 7, 0))), 1, "")</f>
        <v/>
      </c>
      <c r="AE248" s="1" t="str">
        <f>IF(AND(AND(AND(AE$4&gt;='2025'!$L246,AE$4&lt;='2025'!$M246), AE$4&lt;&gt;DATE(2025,7,4)), (SWITCH(weekday(AE$4), 1, 0, 2, if(ISBLANK('2025'!$P246), 0, 1), 3, if(ISBLANK('2025'!$Q246), 0, 1), 4, if(ISBLANK('2025'!$R246), 0, 1), 5, if(ISBLANK('2025'!$S246), 0, 1), 6, if(ISBLANK('2025'!$T246), 0, 1), 7, 0))), 1, "")</f>
        <v/>
      </c>
      <c r="AF248" s="1" t="str">
        <f>IF(AND(AND(AND(AF$4&gt;='2025'!$L246,AF$4&lt;='2025'!$M246), AF$4&lt;&gt;DATE(2025,7,4)), (SWITCH(weekday(AF$4), 1, 0, 2, if(ISBLANK('2025'!$P246), 0, 1), 3, if(ISBLANK('2025'!$Q246), 0, 1), 4, if(ISBLANK('2025'!$R246), 0, 1), 5, if(ISBLANK('2025'!$S246), 0, 1), 6, if(ISBLANK('2025'!$T246), 0, 1), 7, 0))), 1, "")</f>
        <v/>
      </c>
      <c r="AG248" s="1" t="str">
        <f>IF(AND(AND(AND(AG$4&gt;='2025'!$L246,AG$4&lt;='2025'!$M246), AG$4&lt;&gt;DATE(2025,7,4)), (SWITCH(weekday(AG$4), 1, 0, 2, if(ISBLANK('2025'!$P246), 0, 1), 3, if(ISBLANK('2025'!$Q246), 0, 1), 4, if(ISBLANK('2025'!$R246), 0, 1), 5, if(ISBLANK('2025'!$S246), 0, 1), 6, if(ISBLANK('2025'!$T246), 0, 1), 7, 0))), 1, "")</f>
        <v/>
      </c>
      <c r="AH248" s="1" t="str">
        <f>IF(AND(AND(AND(AH$4&gt;='2025'!$L246,AH$4&lt;='2025'!$M246), AH$4&lt;&gt;DATE(2025,7,4)), (SWITCH(weekday(AH$4), 1, 0, 2, if(ISBLANK('2025'!$P246), 0, 1), 3, if(ISBLANK('2025'!$Q246), 0, 1), 4, if(ISBLANK('2025'!$R246), 0, 1), 5, if(ISBLANK('2025'!$S246), 0, 1), 6, if(ISBLANK('2025'!$T246), 0, 1), 7, 0))), 1, "")</f>
        <v/>
      </c>
      <c r="AI248" s="1" t="str">
        <f>IF(AND(AND(AND(AI$4&gt;='2025'!$L246,AI$4&lt;='2025'!$M246), AI$4&lt;&gt;DATE(2025,7,4)), (SWITCH(weekday(AI$4), 1, 0, 2, if(ISBLANK('2025'!$P246), 0, 1), 3, if(ISBLANK('2025'!$Q246), 0, 1), 4, if(ISBLANK('2025'!$R246), 0, 1), 5, if(ISBLANK('2025'!$S246), 0, 1), 6, if(ISBLANK('2025'!$T246), 0, 1), 7, 0))), 1, "")</f>
        <v/>
      </c>
      <c r="AJ248" s="1" t="str">
        <f>IF(AND(AND(AND(AJ$4&gt;='2025'!$L246,AJ$4&lt;='2025'!$M246), AJ$4&lt;&gt;DATE(2025,7,4)), (SWITCH(weekday(AJ$4), 1, 0, 2, if(ISBLANK('2025'!$P246), 0, 1), 3, if(ISBLANK('2025'!$Q246), 0, 1), 4, if(ISBLANK('2025'!$R246), 0, 1), 5, if(ISBLANK('2025'!$S246), 0, 1), 6, if(ISBLANK('2025'!$T246), 0, 1), 7, 0))), 1, "")</f>
        <v/>
      </c>
      <c r="AK248" s="1" t="str">
        <f>IF(AND(AND(AND(AK$4&gt;='2025'!$L246,AK$4&lt;='2025'!$M246), AK$4&lt;&gt;DATE(2025,7,4)), (SWITCH(weekday(AK$4), 1, 0, 2, if(ISBLANK('2025'!$P246), 0, 1), 3, if(ISBLANK('2025'!$Q246), 0, 1), 4, if(ISBLANK('2025'!$R246), 0, 1), 5, if(ISBLANK('2025'!$S246), 0, 1), 6, if(ISBLANK('2025'!$T246), 0, 1), 7, 0))), 1, "")</f>
        <v/>
      </c>
      <c r="AL248" s="1" t="str">
        <f>IF(AND(AND(AND(AL$4&gt;='2025'!$L246,AL$4&lt;='2025'!$M246), AL$4&lt;&gt;DATE(2025,7,4)), (SWITCH(weekday(AL$4), 1, 0, 2, if(ISBLANK('2025'!$P246), 0, 1), 3, if(ISBLANK('2025'!$Q246), 0, 1), 4, if(ISBLANK('2025'!$R246), 0, 1), 5, if(ISBLANK('2025'!$S246), 0, 1), 6, if(ISBLANK('2025'!$T246), 0, 1), 7, 0))), 1, "")</f>
        <v/>
      </c>
      <c r="AM248" s="1" t="str">
        <f>IF(AND(AND(AND(AM$4&gt;='2025'!$L246,AM$4&lt;='2025'!$M246), AM$4&lt;&gt;DATE(2025,7,4)), (SWITCH(weekday(AM$4), 1, 0, 2, if(ISBLANK('2025'!$P246), 0, 1), 3, if(ISBLANK('2025'!$Q246), 0, 1), 4, if(ISBLANK('2025'!$R246), 0, 1), 5, if(ISBLANK('2025'!$S246), 0, 1), 6, if(ISBLANK('2025'!$T246), 0, 1), 7, 0))), 1, "")</f>
        <v/>
      </c>
      <c r="AN248" s="1" t="str">
        <f>IF(AND(AND(AND(AN$4&gt;='2025'!$L246,AN$4&lt;='2025'!$M246), AN$4&lt;&gt;DATE(2025,7,4)), (SWITCH(weekday(AN$4), 1, 0, 2, if(ISBLANK('2025'!$P246), 0, 1), 3, if(ISBLANK('2025'!$Q246), 0, 1), 4, if(ISBLANK('2025'!$R246), 0, 1), 5, if(ISBLANK('2025'!$S246), 0, 1), 6, if(ISBLANK('2025'!$T246), 0, 1), 7, 0))), 1, "")</f>
        <v/>
      </c>
      <c r="AO248" s="1" t="str">
        <f>IF(AND(AND(AND(AO$4&gt;='2025'!$L246,AO$4&lt;='2025'!$M246), AO$4&lt;&gt;DATE(2025,7,4)), (SWITCH(weekday(AO$4), 1, 0, 2, if(ISBLANK('2025'!$P246), 0, 1), 3, if(ISBLANK('2025'!$Q246), 0, 1), 4, if(ISBLANK('2025'!$R246), 0, 1), 5, if(ISBLANK('2025'!$S246), 0, 1), 6, if(ISBLANK('2025'!$T246), 0, 1), 7, 0))), 1, "")</f>
        <v/>
      </c>
      <c r="AP248" s="1" t="str">
        <f>IF(AND(AND(AND(AP$4&gt;='2025'!$L246,AP$4&lt;='2025'!$M246), AP$4&lt;&gt;DATE(2025,7,4)), (SWITCH(weekday(AP$4), 1, 0, 2, if(ISBLANK('2025'!$P246), 0, 1), 3, if(ISBLANK('2025'!$Q246), 0, 1), 4, if(ISBLANK('2025'!$R246), 0, 1), 5, if(ISBLANK('2025'!$S246), 0, 1), 6, if(ISBLANK('2025'!$T246), 0, 1), 7, 0))), 1, "")</f>
        <v/>
      </c>
      <c r="AQ248" s="1" t="str">
        <f>IF(AND(AND(AND(AQ$4&gt;='2025'!$L246,AQ$4&lt;='2025'!$M246), AQ$4&lt;&gt;DATE(2025,7,4)), (SWITCH(weekday(AQ$4), 1, 0, 2, if(ISBLANK('2025'!$P246), 0, 1), 3, if(ISBLANK('2025'!$Q246), 0, 1), 4, if(ISBLANK('2025'!$R246), 0, 1), 5, if(ISBLANK('2025'!$S246), 0, 1), 6, if(ISBLANK('2025'!$T246), 0, 1), 7, 0))), 1, "")</f>
        <v/>
      </c>
      <c r="AR248" s="1" t="str">
        <f>IF(AND(AND(AND(AR$4&gt;='2025'!$L246,AR$4&lt;='2025'!$M246), AR$4&lt;&gt;DATE(2025,7,4)), (SWITCH(weekday(AR$4), 1, 0, 2, if(ISBLANK('2025'!$P246), 0, 1), 3, if(ISBLANK('2025'!$Q246), 0, 1), 4, if(ISBLANK('2025'!$R246), 0, 1), 5, if(ISBLANK('2025'!$S246), 0, 1), 6, if(ISBLANK('2025'!$T246), 0, 1), 7, 0))), 1, "")</f>
        <v/>
      </c>
      <c r="AS248" s="1" t="str">
        <f>IF(AND(AND(AND(AS$4&gt;='2025'!$L246,AS$4&lt;='2025'!$M246), AS$4&lt;&gt;DATE(2025,7,4)), (SWITCH(weekday(AS$4), 1, 0, 2, if(ISBLANK('2025'!$P246), 0, 1), 3, if(ISBLANK('2025'!$Q246), 0, 1), 4, if(ISBLANK('2025'!$R246), 0, 1), 5, if(ISBLANK('2025'!$S246), 0, 1), 6, if(ISBLANK('2025'!$T246), 0, 1), 7, 0))), 1, "")</f>
        <v/>
      </c>
      <c r="AT248" s="1" t="str">
        <f>IF(AND(AND(AND(AT$4&gt;='2025'!$L246,AT$4&lt;='2025'!$M246), AT$4&lt;&gt;DATE(2025,7,4)), (SWITCH(weekday(AT$4), 1, 0, 2, if(ISBLANK('2025'!$P246), 0, 1), 3, if(ISBLANK('2025'!$Q246), 0, 1), 4, if(ISBLANK('2025'!$R246), 0, 1), 5, if(ISBLANK('2025'!$S246), 0, 1), 6, if(ISBLANK('2025'!$T246), 0, 1), 7, 0))), 1, "")</f>
        <v/>
      </c>
      <c r="AU248" s="1" t="str">
        <f>IF(AND(AND(AND(AU$4&gt;='2025'!$L246,AU$4&lt;='2025'!$M246), AU$4&lt;&gt;DATE(2025,7,4)), (SWITCH(weekday(AU$4), 1, 0, 2, if(ISBLANK('2025'!$P246), 0, 1), 3, if(ISBLANK('2025'!$Q246), 0, 1), 4, if(ISBLANK('2025'!$R246), 0, 1), 5, if(ISBLANK('2025'!$S246), 0, 1), 6, if(ISBLANK('2025'!$T246), 0, 1), 7, 0))), 1, "")</f>
        <v/>
      </c>
      <c r="AV248" s="1" t="str">
        <f>IF(AND(AND(AND(AV$4&gt;='2025'!$L246,AV$4&lt;='2025'!$M246), AV$4&lt;&gt;DATE(2025,7,4)), (SWITCH(weekday(AV$4), 1, 0, 2, if(ISBLANK('2025'!$P246), 0, 1), 3, if(ISBLANK('2025'!$Q246), 0, 1), 4, if(ISBLANK('2025'!$R246), 0, 1), 5, if(ISBLANK('2025'!$S246), 0, 1), 6, if(ISBLANK('2025'!$T246), 0, 1), 7, 0))), 1, "")</f>
        <v/>
      </c>
      <c r="AW248" s="1" t="str">
        <f>IF(AND(AND(AND(AW$4&gt;='2025'!$L246,AW$4&lt;='2025'!$M246), AW$4&lt;&gt;DATE(2025,7,4)), (SWITCH(weekday(AW$4), 1, 0, 2, if(ISBLANK('2025'!$P246), 0, 1), 3, if(ISBLANK('2025'!$Q246), 0, 1), 4, if(ISBLANK('2025'!$R246), 0, 1), 5, if(ISBLANK('2025'!$S246), 0, 1), 6, if(ISBLANK('2025'!$T246), 0, 1), 7, 0))), 1, "")</f>
        <v/>
      </c>
      <c r="AX248" s="1" t="str">
        <f>IF(AND(AND(AND(AX$4&gt;='2025'!$L246,AX$4&lt;='2025'!$M246), AX$4&lt;&gt;DATE(2025,7,4)), (SWITCH(weekday(AX$4), 1, 0, 2, if(ISBLANK('2025'!$P246), 0, 1), 3, if(ISBLANK('2025'!$Q246), 0, 1), 4, if(ISBLANK('2025'!$R246), 0, 1), 5, if(ISBLANK('2025'!$S246), 0, 1), 6, if(ISBLANK('2025'!$T246), 0, 1), 7, 0))), 1, "")</f>
        <v/>
      </c>
      <c r="AY248" s="1" t="str">
        <f>IF(AND(AND(AND(AY$4&gt;='2025'!$L246,AY$4&lt;='2025'!$M246), AY$4&lt;&gt;DATE(2025,7,4)), (SWITCH(weekday(AY$4), 1, 0, 2, if(ISBLANK('2025'!$P246), 0, 1), 3, if(ISBLANK('2025'!$Q246), 0, 1), 4, if(ISBLANK('2025'!$R246), 0, 1), 5, if(ISBLANK('2025'!$S246), 0, 1), 6, if(ISBLANK('2025'!$T246), 0, 1), 7, 0))), 1, "")</f>
        <v/>
      </c>
      <c r="AZ248" s="1" t="str">
        <f>IF(AND(AND(AND(AZ$4&gt;='2025'!$L246,AZ$4&lt;='2025'!$M246), AZ$4&lt;&gt;DATE(2025,7,4)), (SWITCH(weekday(AZ$4), 1, 0, 2, if(ISBLANK('2025'!$P246), 0, 1), 3, if(ISBLANK('2025'!$Q246), 0, 1), 4, if(ISBLANK('2025'!$R246), 0, 1), 5, if(ISBLANK('2025'!$S246), 0, 1), 6, if(ISBLANK('2025'!$T246), 0, 1), 7, 0))), 1, "")</f>
        <v/>
      </c>
      <c r="BA248" s="1" t="str">
        <f>IF(AND(AND(AND(BA$4&gt;='2025'!$L246,BA$4&lt;='2025'!$M246), BA$4&lt;&gt;DATE(2025,7,4)), (SWITCH(weekday(BA$4), 1, 0, 2, if(ISBLANK('2025'!$P246), 0, 1), 3, if(ISBLANK('2025'!$Q246), 0, 1), 4, if(ISBLANK('2025'!$R246), 0, 1), 5, if(ISBLANK('2025'!$S246), 0, 1), 6, if(ISBLANK('2025'!$T246), 0, 1), 7, 0))), 1, "")</f>
        <v/>
      </c>
      <c r="BB248" s="1" t="str">
        <f>IF(AND(AND(AND(BB$4&gt;='2025'!$L246,BB$4&lt;='2025'!$M246), BB$4&lt;&gt;DATE(2025,7,4)), (SWITCH(weekday(BB$4), 1, 0, 2, if(ISBLANK('2025'!$P246), 0, 1), 3, if(ISBLANK('2025'!$Q246), 0, 1), 4, if(ISBLANK('2025'!$R246), 0, 1), 5, if(ISBLANK('2025'!$S246), 0, 1), 6, if(ISBLANK('2025'!$T246), 0, 1), 7, 0))), 1, "")</f>
        <v/>
      </c>
      <c r="BC248" s="1" t="str">
        <f>IF(AND(AND(AND(BC$4&gt;='2025'!$L246,BC$4&lt;='2025'!$M246), BC$4&lt;&gt;DATE(2025,7,4)), (SWITCH(weekday(BC$4), 1, 0, 2, if(ISBLANK('2025'!$P246), 0, 1), 3, if(ISBLANK('2025'!$Q246), 0, 1), 4, if(ISBLANK('2025'!$R246), 0, 1), 5, if(ISBLANK('2025'!$S246), 0, 1), 6, if(ISBLANK('2025'!$T246), 0, 1), 7, 0))), 1, "")</f>
        <v/>
      </c>
      <c r="BD248" s="1" t="str">
        <f>IF(AND(AND(AND(BD$4&gt;='2025'!$L246,BD$4&lt;='2025'!$M246), BD$4&lt;&gt;DATE(2025,7,4)), (SWITCH(weekday(BD$4), 1, 0, 2, if(ISBLANK('2025'!$P246), 0, 1), 3, if(ISBLANK('2025'!$Q246), 0, 1), 4, if(ISBLANK('2025'!$R246), 0, 1), 5, if(ISBLANK('2025'!$S246), 0, 1), 6, if(ISBLANK('2025'!$T246), 0, 1), 7, 0))), 1, "")</f>
        <v/>
      </c>
      <c r="BE248" s="1" t="str">
        <f>IF(AND(AND(AND(BE$4&gt;='2025'!$L246,BE$4&lt;='2025'!$M246), BE$4&lt;&gt;DATE(2025,7,4)), (SWITCH(weekday(BE$4), 1, 0, 2, if(ISBLANK('2025'!$P246), 0, 1), 3, if(ISBLANK('2025'!$Q246), 0, 1), 4, if(ISBLANK('2025'!$R246), 0, 1), 5, if(ISBLANK('2025'!$S246), 0, 1), 6, if(ISBLANK('2025'!$T246), 0, 1), 7, 0))), 1, "")</f>
        <v/>
      </c>
      <c r="BF248" s="1" t="str">
        <f>IF(AND(AND(AND(BF$4&gt;='2025'!$L246,BF$4&lt;='2025'!$M246), BF$4&lt;&gt;DATE(2025,7,4)), (SWITCH(weekday(BF$4), 1, 0, 2, if(ISBLANK('2025'!$P246), 0, 1), 3, if(ISBLANK('2025'!$Q246), 0, 1), 4, if(ISBLANK('2025'!$R246), 0, 1), 5, if(ISBLANK('2025'!$S246), 0, 1), 6, if(ISBLANK('2025'!$T246), 0, 1), 7, 0))), 1, "")</f>
        <v/>
      </c>
      <c r="BG248" s="1"/>
      <c r="BH248" s="1"/>
      <c r="BI248" s="1"/>
      <c r="BJ248" s="1"/>
      <c r="BK248" s="1"/>
      <c r="BL248" s="1"/>
    </row>
    <row r="249">
      <c r="A249" s="1">
        <f t="shared" si="3"/>
        <v>249</v>
      </c>
      <c r="B249" s="1" t="str">
        <f>'2025'!D213</f>
        <v>, </v>
      </c>
      <c r="C249" s="1" t="str">
        <f>'2025'!H213</f>
        <v/>
      </c>
      <c r="D249" s="1" t="str">
        <f>IF(AND(AND(AND(D$4&gt;='2025'!$L247,D$4&lt;='2025'!$M247), D$4&lt;&gt;DATE(2025,7,4)), (SWITCH(weekday(D$4), 1, 0, 2, if(ISBLANK('2025'!$P247), 0, 1), 3, if(ISBLANK('2025'!$Q247), 0, 1), 4, if(ISBLANK('2025'!$R247), 0, 1), 5, if(ISBLANK('2025'!$S247), 0, 1), 6, if(ISBLANK('2025'!$T247), 0, 1), 7, 0))), 1, "")</f>
        <v/>
      </c>
      <c r="E249" s="1" t="str">
        <f>IF(AND(AND(AND(E$4&gt;='2025'!$L247,E$4&lt;='2025'!$M247), E$4&lt;&gt;DATE(2025,7,4)), (SWITCH(weekday(E$4), 1, 0, 2, if(ISBLANK('2025'!$P247), 0, 1), 3, if(ISBLANK('2025'!$Q247), 0, 1), 4, if(ISBLANK('2025'!$R247), 0, 1), 5, if(ISBLANK('2025'!$S247), 0, 1), 6, if(ISBLANK('2025'!$T247), 0, 1), 7, 0))), 1, "")</f>
        <v/>
      </c>
      <c r="F249" s="1" t="str">
        <f>IF(AND(AND(AND(F$4&gt;='2025'!$L247,F$4&lt;='2025'!$M247), F$4&lt;&gt;DATE(2025,7,4)), (SWITCH(weekday(F$4), 1, 0, 2, if(ISBLANK('2025'!$P247), 0, 1), 3, if(ISBLANK('2025'!$Q247), 0, 1), 4, if(ISBLANK('2025'!$R247), 0, 1), 5, if(ISBLANK('2025'!$S247), 0, 1), 6, if(ISBLANK('2025'!$T247), 0, 1), 7, 0))), 1, "")</f>
        <v/>
      </c>
      <c r="G249" s="1" t="str">
        <f>IF(AND(AND(AND(G$4&gt;='2025'!$L247,G$4&lt;='2025'!$M247), G$4&lt;&gt;DATE(2025,7,4)), (SWITCH(weekday(G$4), 1, 0, 2, if(ISBLANK('2025'!$P247), 0, 1), 3, if(ISBLANK('2025'!$Q247), 0, 1), 4, if(ISBLANK('2025'!$R247), 0, 1), 5, if(ISBLANK('2025'!$S247), 0, 1), 6, if(ISBLANK('2025'!$T247), 0, 1), 7, 0))), 1, "")</f>
        <v/>
      </c>
      <c r="H249" s="1" t="str">
        <f>IF(AND(AND(AND(H$4&gt;='2025'!$L247,H$4&lt;='2025'!$M247), H$4&lt;&gt;DATE(2025,7,4)), (SWITCH(weekday(H$4), 1, 0, 2, if(ISBLANK('2025'!$P247), 0, 1), 3, if(ISBLANK('2025'!$Q247), 0, 1), 4, if(ISBLANK('2025'!$R247), 0, 1), 5, if(ISBLANK('2025'!$S247), 0, 1), 6, if(ISBLANK('2025'!$T247), 0, 1), 7, 0))), 1, "")</f>
        <v/>
      </c>
      <c r="I249" s="1" t="str">
        <f>IF(AND(AND(AND(I$4&gt;='2025'!$L247,I$4&lt;='2025'!$M247), I$4&lt;&gt;DATE(2025,7,4)), (SWITCH(weekday(I$4), 1, 0, 2, if(ISBLANK('2025'!$P247), 0, 1), 3, if(ISBLANK('2025'!$Q247), 0, 1), 4, if(ISBLANK('2025'!$R247), 0, 1), 5, if(ISBLANK('2025'!$S247), 0, 1), 6, if(ISBLANK('2025'!$T247), 0, 1), 7, 0))), 1, "")</f>
        <v/>
      </c>
      <c r="J249" s="1" t="str">
        <f>IF(AND(AND(AND(J$4&gt;='2025'!$L247,J$4&lt;='2025'!$M247), J$4&lt;&gt;DATE(2025,7,4)), (SWITCH(weekday(J$4), 1, 0, 2, if(ISBLANK('2025'!$P247), 0, 1), 3, if(ISBLANK('2025'!$Q247), 0, 1), 4, if(ISBLANK('2025'!$R247), 0, 1), 5, if(ISBLANK('2025'!$S247), 0, 1), 6, if(ISBLANK('2025'!$T247), 0, 1), 7, 0))), 1, "")</f>
        <v/>
      </c>
      <c r="K249" s="1" t="str">
        <f>IF(AND(AND(AND(K$4&gt;='2025'!$L247,K$4&lt;='2025'!$M247), K$4&lt;&gt;DATE(2025,7,4)), (SWITCH(weekday(K$4), 1, 0, 2, if(ISBLANK('2025'!$P247), 0, 1), 3, if(ISBLANK('2025'!$Q247), 0, 1), 4, if(ISBLANK('2025'!$R247), 0, 1), 5, if(ISBLANK('2025'!$S247), 0, 1), 6, if(ISBLANK('2025'!$T247), 0, 1), 7, 0))), 1, "")</f>
        <v/>
      </c>
      <c r="L249" s="1" t="str">
        <f>IF(AND(AND(AND(L$4&gt;='2025'!$L247,L$4&lt;='2025'!$M247), L$4&lt;&gt;DATE(2025,7,4)), (SWITCH(weekday(L$4), 1, 0, 2, if(ISBLANK('2025'!$P247), 0, 1), 3, if(ISBLANK('2025'!$Q247), 0, 1), 4, if(ISBLANK('2025'!$R247), 0, 1), 5, if(ISBLANK('2025'!$S247), 0, 1), 6, if(ISBLANK('2025'!$T247), 0, 1), 7, 0))), 1, "")</f>
        <v/>
      </c>
      <c r="M249" s="1" t="str">
        <f>IF(AND(AND(AND(M$4&gt;='2025'!$L247,M$4&lt;='2025'!$M247), M$4&lt;&gt;DATE(2025,7,4)), (SWITCH(weekday(M$4), 1, 0, 2, if(ISBLANK('2025'!$P247), 0, 1), 3, if(ISBLANK('2025'!$Q247), 0, 1), 4, if(ISBLANK('2025'!$R247), 0, 1), 5, if(ISBLANK('2025'!$S247), 0, 1), 6, if(ISBLANK('2025'!$T247), 0, 1), 7, 0))), 1, "")</f>
        <v/>
      </c>
      <c r="N249" s="1" t="str">
        <f>IF(AND(AND(AND(N$4&gt;='2025'!$L247,N$4&lt;='2025'!$M247), N$4&lt;&gt;DATE(2025,7,4)), (SWITCH(weekday(N$4), 1, 0, 2, if(ISBLANK('2025'!$P247), 0, 1), 3, if(ISBLANK('2025'!$Q247), 0, 1), 4, if(ISBLANK('2025'!$R247), 0, 1), 5, if(ISBLANK('2025'!$S247), 0, 1), 6, if(ISBLANK('2025'!$T247), 0, 1), 7, 0))), 1, "")</f>
        <v/>
      </c>
      <c r="O249" s="1" t="str">
        <f>IF(AND(AND(AND(O$4&gt;='2025'!$L247,O$4&lt;='2025'!$M247), O$4&lt;&gt;DATE(2025,7,4)), (SWITCH(weekday(O$4), 1, 0, 2, if(ISBLANK('2025'!$P247), 0, 1), 3, if(ISBLANK('2025'!$Q247), 0, 1), 4, if(ISBLANK('2025'!$R247), 0, 1), 5, if(ISBLANK('2025'!$S247), 0, 1), 6, if(ISBLANK('2025'!$T247), 0, 1), 7, 0))), 1, "")</f>
        <v/>
      </c>
      <c r="P249" s="1" t="str">
        <f>IF(AND(AND(AND(P$4&gt;='2025'!$L247,P$4&lt;='2025'!$M247), P$4&lt;&gt;DATE(2025,7,4)), (SWITCH(weekday(P$4), 1, 0, 2, if(ISBLANK('2025'!$P247), 0, 1), 3, if(ISBLANK('2025'!$Q247), 0, 1), 4, if(ISBLANK('2025'!$R247), 0, 1), 5, if(ISBLANK('2025'!$S247), 0, 1), 6, if(ISBLANK('2025'!$T247), 0, 1), 7, 0))), 1, "")</f>
        <v/>
      </c>
      <c r="Q249" s="1" t="str">
        <f>IF(AND(AND(AND(Q$4&gt;='2025'!$L247,Q$4&lt;='2025'!$M247), Q$4&lt;&gt;DATE(2025,7,4)), (SWITCH(weekday(Q$4), 1, 0, 2, if(ISBLANK('2025'!$P247), 0, 1), 3, if(ISBLANK('2025'!$Q247), 0, 1), 4, if(ISBLANK('2025'!$R247), 0, 1), 5, if(ISBLANK('2025'!$S247), 0, 1), 6, if(ISBLANK('2025'!$T247), 0, 1), 7, 0))), 1, "")</f>
        <v/>
      </c>
      <c r="R249" s="1" t="str">
        <f>IF(AND(AND(AND(R$4&gt;='2025'!$L247,R$4&lt;='2025'!$M247), R$4&lt;&gt;DATE(2025,7,4)), (SWITCH(weekday(R$4), 1, 0, 2, if(ISBLANK('2025'!$P247), 0, 1), 3, if(ISBLANK('2025'!$Q247), 0, 1), 4, if(ISBLANK('2025'!$R247), 0, 1), 5, if(ISBLANK('2025'!$S247), 0, 1), 6, if(ISBLANK('2025'!$T247), 0, 1), 7, 0))), 1, "")</f>
        <v/>
      </c>
      <c r="S249" s="1" t="str">
        <f>IF(AND(AND(AND(S$4&gt;='2025'!$L247,S$4&lt;='2025'!$M247), S$4&lt;&gt;DATE(2025,7,4)), (SWITCH(weekday(S$4), 1, 0, 2, if(ISBLANK('2025'!$P247), 0, 1), 3, if(ISBLANK('2025'!$Q247), 0, 1), 4, if(ISBLANK('2025'!$R247), 0, 1), 5, if(ISBLANK('2025'!$S247), 0, 1), 6, if(ISBLANK('2025'!$T247), 0, 1), 7, 0))), 1, "")</f>
        <v/>
      </c>
      <c r="T249" s="1" t="str">
        <f>IF(AND(AND(AND(T$4&gt;='2025'!$L247,T$4&lt;='2025'!$M247), T$4&lt;&gt;DATE(2025,7,4)), (SWITCH(weekday(T$4), 1, 0, 2, if(ISBLANK('2025'!$P247), 0, 1), 3, if(ISBLANK('2025'!$Q247), 0, 1), 4, if(ISBLANK('2025'!$R247), 0, 1), 5, if(ISBLANK('2025'!$S247), 0, 1), 6, if(ISBLANK('2025'!$T247), 0, 1), 7, 0))), 1, "")</f>
        <v/>
      </c>
      <c r="U249" s="1" t="str">
        <f>IF(AND(AND(AND(U$4&gt;='2025'!$L247,U$4&lt;='2025'!$M247), U$4&lt;&gt;DATE(2025,7,4)), (SWITCH(weekday(U$4), 1, 0, 2, if(ISBLANK('2025'!$P247), 0, 1), 3, if(ISBLANK('2025'!$Q247), 0, 1), 4, if(ISBLANK('2025'!$R247), 0, 1), 5, if(ISBLANK('2025'!$S247), 0, 1), 6, if(ISBLANK('2025'!$T247), 0, 1), 7, 0))), 1, "")</f>
        <v/>
      </c>
      <c r="V249" s="1" t="str">
        <f>IF(AND(AND(AND(V$4&gt;='2025'!$L247,V$4&lt;='2025'!$M247), V$4&lt;&gt;DATE(2025,7,4)), (SWITCH(weekday(V$4), 1, 0, 2, if(ISBLANK('2025'!$P247), 0, 1), 3, if(ISBLANK('2025'!$Q247), 0, 1), 4, if(ISBLANK('2025'!$R247), 0, 1), 5, if(ISBLANK('2025'!$S247), 0, 1), 6, if(ISBLANK('2025'!$T247), 0, 1), 7, 0))), 1, "")</f>
        <v/>
      </c>
      <c r="W249" s="1" t="str">
        <f>IF(AND(AND(AND(W$4&gt;='2025'!$L247,W$4&lt;='2025'!$M247), W$4&lt;&gt;DATE(2025,7,4)), (SWITCH(weekday(W$4), 1, 0, 2, if(ISBLANK('2025'!$P247), 0, 1), 3, if(ISBLANK('2025'!$Q247), 0, 1), 4, if(ISBLANK('2025'!$R247), 0, 1), 5, if(ISBLANK('2025'!$S247), 0, 1), 6, if(ISBLANK('2025'!$T247), 0, 1), 7, 0))), 1, "")</f>
        <v/>
      </c>
      <c r="X249" s="1" t="str">
        <f>IF(AND(AND(AND(X$4&gt;='2025'!$L247,X$4&lt;='2025'!$M247), X$4&lt;&gt;DATE(2025,7,4)), (SWITCH(weekday(X$4), 1, 0, 2, if(ISBLANK('2025'!$P247), 0, 1), 3, if(ISBLANK('2025'!$Q247), 0, 1), 4, if(ISBLANK('2025'!$R247), 0, 1), 5, if(ISBLANK('2025'!$S247), 0, 1), 6, if(ISBLANK('2025'!$T247), 0, 1), 7, 0))), 1, "")</f>
        <v/>
      </c>
      <c r="Y249" s="1" t="str">
        <f>IF(AND(AND(AND(Y$4&gt;='2025'!$L247,Y$4&lt;='2025'!$M247), Y$4&lt;&gt;DATE(2025,7,4)), (SWITCH(weekday(Y$4), 1, 0, 2, if(ISBLANK('2025'!$P247), 0, 1), 3, if(ISBLANK('2025'!$Q247), 0, 1), 4, if(ISBLANK('2025'!$R247), 0, 1), 5, if(ISBLANK('2025'!$S247), 0, 1), 6, if(ISBLANK('2025'!$T247), 0, 1), 7, 0))), 1, "")</f>
        <v/>
      </c>
      <c r="Z249" s="1" t="str">
        <f>IF(AND(AND(AND(Z$4&gt;='2025'!$L247,Z$4&lt;='2025'!$M247), Z$4&lt;&gt;DATE(2025,7,4)), (SWITCH(weekday(Z$4), 1, 0, 2, if(ISBLANK('2025'!$P247), 0, 1), 3, if(ISBLANK('2025'!$Q247), 0, 1), 4, if(ISBLANK('2025'!$R247), 0, 1), 5, if(ISBLANK('2025'!$S247), 0, 1), 6, if(ISBLANK('2025'!$T247), 0, 1), 7, 0))), 1, "")</f>
        <v/>
      </c>
      <c r="AA249" s="1" t="str">
        <f>IF(AND(AND(AND(AA$4&gt;='2025'!$L247,AA$4&lt;='2025'!$M247), AA$4&lt;&gt;DATE(2025,7,4)), (SWITCH(weekday(AA$4), 1, 0, 2, if(ISBLANK('2025'!$P247), 0, 1), 3, if(ISBLANK('2025'!$Q247), 0, 1), 4, if(ISBLANK('2025'!$R247), 0, 1), 5, if(ISBLANK('2025'!$S247), 0, 1), 6, if(ISBLANK('2025'!$T247), 0, 1), 7, 0))), 1, "")</f>
        <v/>
      </c>
      <c r="AB249" s="1" t="str">
        <f>IF(AND(AND(AND(AB$4&gt;='2025'!$L247,AB$4&lt;='2025'!$M247), AB$4&lt;&gt;DATE(2025,7,4)), (SWITCH(weekday(AB$4), 1, 0, 2, if(ISBLANK('2025'!$P247), 0, 1), 3, if(ISBLANK('2025'!$Q247), 0, 1), 4, if(ISBLANK('2025'!$R247), 0, 1), 5, if(ISBLANK('2025'!$S247), 0, 1), 6, if(ISBLANK('2025'!$T247), 0, 1), 7, 0))), 1, "")</f>
        <v/>
      </c>
      <c r="AC249" s="1" t="str">
        <f>IF(AND(AND(AND(AC$4&gt;='2025'!$L247,AC$4&lt;='2025'!$M247), AC$4&lt;&gt;DATE(2025,7,4)), (SWITCH(weekday(AC$4), 1, 0, 2, if(ISBLANK('2025'!$P247), 0, 1), 3, if(ISBLANK('2025'!$Q247), 0, 1), 4, if(ISBLANK('2025'!$R247), 0, 1), 5, if(ISBLANK('2025'!$S247), 0, 1), 6, if(ISBLANK('2025'!$T247), 0, 1), 7, 0))), 1, "")</f>
        <v/>
      </c>
      <c r="AD249" s="1" t="str">
        <f>IF(AND(AND(AND(AD$4&gt;='2025'!$L247,AD$4&lt;='2025'!$M247), AD$4&lt;&gt;DATE(2025,7,4)), (SWITCH(weekday(AD$4), 1, 0, 2, if(ISBLANK('2025'!$P247), 0, 1), 3, if(ISBLANK('2025'!$Q247), 0, 1), 4, if(ISBLANK('2025'!$R247), 0, 1), 5, if(ISBLANK('2025'!$S247), 0, 1), 6, if(ISBLANK('2025'!$T247), 0, 1), 7, 0))), 1, "")</f>
        <v/>
      </c>
      <c r="AE249" s="1" t="str">
        <f>IF(AND(AND(AND(AE$4&gt;='2025'!$L247,AE$4&lt;='2025'!$M247), AE$4&lt;&gt;DATE(2025,7,4)), (SWITCH(weekday(AE$4), 1, 0, 2, if(ISBLANK('2025'!$P247), 0, 1), 3, if(ISBLANK('2025'!$Q247), 0, 1), 4, if(ISBLANK('2025'!$R247), 0, 1), 5, if(ISBLANK('2025'!$S247), 0, 1), 6, if(ISBLANK('2025'!$T247), 0, 1), 7, 0))), 1, "")</f>
        <v/>
      </c>
      <c r="AF249" s="1" t="str">
        <f>IF(AND(AND(AND(AF$4&gt;='2025'!$L247,AF$4&lt;='2025'!$M247), AF$4&lt;&gt;DATE(2025,7,4)), (SWITCH(weekday(AF$4), 1, 0, 2, if(ISBLANK('2025'!$P247), 0, 1), 3, if(ISBLANK('2025'!$Q247), 0, 1), 4, if(ISBLANK('2025'!$R247), 0, 1), 5, if(ISBLANK('2025'!$S247), 0, 1), 6, if(ISBLANK('2025'!$T247), 0, 1), 7, 0))), 1, "")</f>
        <v/>
      </c>
      <c r="AG249" s="1" t="str">
        <f>IF(AND(AND(AND(AG$4&gt;='2025'!$L247,AG$4&lt;='2025'!$M247), AG$4&lt;&gt;DATE(2025,7,4)), (SWITCH(weekday(AG$4), 1, 0, 2, if(ISBLANK('2025'!$P247), 0, 1), 3, if(ISBLANK('2025'!$Q247), 0, 1), 4, if(ISBLANK('2025'!$R247), 0, 1), 5, if(ISBLANK('2025'!$S247), 0, 1), 6, if(ISBLANK('2025'!$T247), 0, 1), 7, 0))), 1, "")</f>
        <v/>
      </c>
      <c r="AH249" s="1" t="str">
        <f>IF(AND(AND(AND(AH$4&gt;='2025'!$L247,AH$4&lt;='2025'!$M247), AH$4&lt;&gt;DATE(2025,7,4)), (SWITCH(weekday(AH$4), 1, 0, 2, if(ISBLANK('2025'!$P247), 0, 1), 3, if(ISBLANK('2025'!$Q247), 0, 1), 4, if(ISBLANK('2025'!$R247), 0, 1), 5, if(ISBLANK('2025'!$S247), 0, 1), 6, if(ISBLANK('2025'!$T247), 0, 1), 7, 0))), 1, "")</f>
        <v/>
      </c>
      <c r="AI249" s="1" t="str">
        <f>IF(AND(AND(AND(AI$4&gt;='2025'!$L247,AI$4&lt;='2025'!$M247), AI$4&lt;&gt;DATE(2025,7,4)), (SWITCH(weekday(AI$4), 1, 0, 2, if(ISBLANK('2025'!$P247), 0, 1), 3, if(ISBLANK('2025'!$Q247), 0, 1), 4, if(ISBLANK('2025'!$R247), 0, 1), 5, if(ISBLANK('2025'!$S247), 0, 1), 6, if(ISBLANK('2025'!$T247), 0, 1), 7, 0))), 1, "")</f>
        <v/>
      </c>
      <c r="AJ249" s="1" t="str">
        <f>IF(AND(AND(AND(AJ$4&gt;='2025'!$L247,AJ$4&lt;='2025'!$M247), AJ$4&lt;&gt;DATE(2025,7,4)), (SWITCH(weekday(AJ$4), 1, 0, 2, if(ISBLANK('2025'!$P247), 0, 1), 3, if(ISBLANK('2025'!$Q247), 0, 1), 4, if(ISBLANK('2025'!$R247), 0, 1), 5, if(ISBLANK('2025'!$S247), 0, 1), 6, if(ISBLANK('2025'!$T247), 0, 1), 7, 0))), 1, "")</f>
        <v/>
      </c>
      <c r="AK249" s="1" t="str">
        <f>IF(AND(AND(AND(AK$4&gt;='2025'!$L247,AK$4&lt;='2025'!$M247), AK$4&lt;&gt;DATE(2025,7,4)), (SWITCH(weekday(AK$4), 1, 0, 2, if(ISBLANK('2025'!$P247), 0, 1), 3, if(ISBLANK('2025'!$Q247), 0, 1), 4, if(ISBLANK('2025'!$R247), 0, 1), 5, if(ISBLANK('2025'!$S247), 0, 1), 6, if(ISBLANK('2025'!$T247), 0, 1), 7, 0))), 1, "")</f>
        <v/>
      </c>
      <c r="AL249" s="1" t="str">
        <f>IF(AND(AND(AND(AL$4&gt;='2025'!$L247,AL$4&lt;='2025'!$M247), AL$4&lt;&gt;DATE(2025,7,4)), (SWITCH(weekday(AL$4), 1, 0, 2, if(ISBLANK('2025'!$P247), 0, 1), 3, if(ISBLANK('2025'!$Q247), 0, 1), 4, if(ISBLANK('2025'!$R247), 0, 1), 5, if(ISBLANK('2025'!$S247), 0, 1), 6, if(ISBLANK('2025'!$T247), 0, 1), 7, 0))), 1, "")</f>
        <v/>
      </c>
      <c r="AM249" s="1" t="str">
        <f>IF(AND(AND(AND(AM$4&gt;='2025'!$L247,AM$4&lt;='2025'!$M247), AM$4&lt;&gt;DATE(2025,7,4)), (SWITCH(weekday(AM$4), 1, 0, 2, if(ISBLANK('2025'!$P247), 0, 1), 3, if(ISBLANK('2025'!$Q247), 0, 1), 4, if(ISBLANK('2025'!$R247), 0, 1), 5, if(ISBLANK('2025'!$S247), 0, 1), 6, if(ISBLANK('2025'!$T247), 0, 1), 7, 0))), 1, "")</f>
        <v/>
      </c>
      <c r="AN249" s="1" t="str">
        <f>IF(AND(AND(AND(AN$4&gt;='2025'!$L247,AN$4&lt;='2025'!$M247), AN$4&lt;&gt;DATE(2025,7,4)), (SWITCH(weekday(AN$4), 1, 0, 2, if(ISBLANK('2025'!$P247), 0, 1), 3, if(ISBLANK('2025'!$Q247), 0, 1), 4, if(ISBLANK('2025'!$R247), 0, 1), 5, if(ISBLANK('2025'!$S247), 0, 1), 6, if(ISBLANK('2025'!$T247), 0, 1), 7, 0))), 1, "")</f>
        <v/>
      </c>
      <c r="AO249" s="1" t="str">
        <f>IF(AND(AND(AND(AO$4&gt;='2025'!$L247,AO$4&lt;='2025'!$M247), AO$4&lt;&gt;DATE(2025,7,4)), (SWITCH(weekday(AO$4), 1, 0, 2, if(ISBLANK('2025'!$P247), 0, 1), 3, if(ISBLANK('2025'!$Q247), 0, 1), 4, if(ISBLANK('2025'!$R247), 0, 1), 5, if(ISBLANK('2025'!$S247), 0, 1), 6, if(ISBLANK('2025'!$T247), 0, 1), 7, 0))), 1, "")</f>
        <v/>
      </c>
      <c r="AP249" s="1" t="str">
        <f>IF(AND(AND(AND(AP$4&gt;='2025'!$L247,AP$4&lt;='2025'!$M247), AP$4&lt;&gt;DATE(2025,7,4)), (SWITCH(weekday(AP$4), 1, 0, 2, if(ISBLANK('2025'!$P247), 0, 1), 3, if(ISBLANK('2025'!$Q247), 0, 1), 4, if(ISBLANK('2025'!$R247), 0, 1), 5, if(ISBLANK('2025'!$S247), 0, 1), 6, if(ISBLANK('2025'!$T247), 0, 1), 7, 0))), 1, "")</f>
        <v/>
      </c>
      <c r="AQ249" s="1" t="str">
        <f>IF(AND(AND(AND(AQ$4&gt;='2025'!$L247,AQ$4&lt;='2025'!$M247), AQ$4&lt;&gt;DATE(2025,7,4)), (SWITCH(weekday(AQ$4), 1, 0, 2, if(ISBLANK('2025'!$P247), 0, 1), 3, if(ISBLANK('2025'!$Q247), 0, 1), 4, if(ISBLANK('2025'!$R247), 0, 1), 5, if(ISBLANK('2025'!$S247), 0, 1), 6, if(ISBLANK('2025'!$T247), 0, 1), 7, 0))), 1, "")</f>
        <v/>
      </c>
      <c r="AR249" s="1" t="str">
        <f>IF(AND(AND(AND(AR$4&gt;='2025'!$L247,AR$4&lt;='2025'!$M247), AR$4&lt;&gt;DATE(2025,7,4)), (SWITCH(weekday(AR$4), 1, 0, 2, if(ISBLANK('2025'!$P247), 0, 1), 3, if(ISBLANK('2025'!$Q247), 0, 1), 4, if(ISBLANK('2025'!$R247), 0, 1), 5, if(ISBLANK('2025'!$S247), 0, 1), 6, if(ISBLANK('2025'!$T247), 0, 1), 7, 0))), 1, "")</f>
        <v/>
      </c>
      <c r="AS249" s="1" t="str">
        <f>IF(AND(AND(AND(AS$4&gt;='2025'!$L247,AS$4&lt;='2025'!$M247), AS$4&lt;&gt;DATE(2025,7,4)), (SWITCH(weekday(AS$4), 1, 0, 2, if(ISBLANK('2025'!$P247), 0, 1), 3, if(ISBLANK('2025'!$Q247), 0, 1), 4, if(ISBLANK('2025'!$R247), 0, 1), 5, if(ISBLANK('2025'!$S247), 0, 1), 6, if(ISBLANK('2025'!$T247), 0, 1), 7, 0))), 1, "")</f>
        <v/>
      </c>
      <c r="AT249" s="1" t="str">
        <f>IF(AND(AND(AND(AT$4&gt;='2025'!$L247,AT$4&lt;='2025'!$M247), AT$4&lt;&gt;DATE(2025,7,4)), (SWITCH(weekday(AT$4), 1, 0, 2, if(ISBLANK('2025'!$P247), 0, 1), 3, if(ISBLANK('2025'!$Q247), 0, 1), 4, if(ISBLANK('2025'!$R247), 0, 1), 5, if(ISBLANK('2025'!$S247), 0, 1), 6, if(ISBLANK('2025'!$T247), 0, 1), 7, 0))), 1, "")</f>
        <v/>
      </c>
      <c r="AU249" s="1" t="str">
        <f>IF(AND(AND(AND(AU$4&gt;='2025'!$L247,AU$4&lt;='2025'!$M247), AU$4&lt;&gt;DATE(2025,7,4)), (SWITCH(weekday(AU$4), 1, 0, 2, if(ISBLANK('2025'!$P247), 0, 1), 3, if(ISBLANK('2025'!$Q247), 0, 1), 4, if(ISBLANK('2025'!$R247), 0, 1), 5, if(ISBLANK('2025'!$S247), 0, 1), 6, if(ISBLANK('2025'!$T247), 0, 1), 7, 0))), 1, "")</f>
        <v/>
      </c>
      <c r="AV249" s="1" t="str">
        <f>IF(AND(AND(AND(AV$4&gt;='2025'!$L247,AV$4&lt;='2025'!$M247), AV$4&lt;&gt;DATE(2025,7,4)), (SWITCH(weekday(AV$4), 1, 0, 2, if(ISBLANK('2025'!$P247), 0, 1), 3, if(ISBLANK('2025'!$Q247), 0, 1), 4, if(ISBLANK('2025'!$R247), 0, 1), 5, if(ISBLANK('2025'!$S247), 0, 1), 6, if(ISBLANK('2025'!$T247), 0, 1), 7, 0))), 1, "")</f>
        <v/>
      </c>
      <c r="AW249" s="1" t="str">
        <f>IF(AND(AND(AND(AW$4&gt;='2025'!$L247,AW$4&lt;='2025'!$M247), AW$4&lt;&gt;DATE(2025,7,4)), (SWITCH(weekday(AW$4), 1, 0, 2, if(ISBLANK('2025'!$P247), 0, 1), 3, if(ISBLANK('2025'!$Q247), 0, 1), 4, if(ISBLANK('2025'!$R247), 0, 1), 5, if(ISBLANK('2025'!$S247), 0, 1), 6, if(ISBLANK('2025'!$T247), 0, 1), 7, 0))), 1, "")</f>
        <v/>
      </c>
      <c r="AX249" s="1" t="str">
        <f>IF(AND(AND(AND(AX$4&gt;='2025'!$L247,AX$4&lt;='2025'!$M247), AX$4&lt;&gt;DATE(2025,7,4)), (SWITCH(weekday(AX$4), 1, 0, 2, if(ISBLANK('2025'!$P247), 0, 1), 3, if(ISBLANK('2025'!$Q247), 0, 1), 4, if(ISBLANK('2025'!$R247), 0, 1), 5, if(ISBLANK('2025'!$S247), 0, 1), 6, if(ISBLANK('2025'!$T247), 0, 1), 7, 0))), 1, "")</f>
        <v/>
      </c>
      <c r="AY249" s="1" t="str">
        <f>IF(AND(AND(AND(AY$4&gt;='2025'!$L247,AY$4&lt;='2025'!$M247), AY$4&lt;&gt;DATE(2025,7,4)), (SWITCH(weekday(AY$4), 1, 0, 2, if(ISBLANK('2025'!$P247), 0, 1), 3, if(ISBLANK('2025'!$Q247), 0, 1), 4, if(ISBLANK('2025'!$R247), 0, 1), 5, if(ISBLANK('2025'!$S247), 0, 1), 6, if(ISBLANK('2025'!$T247), 0, 1), 7, 0))), 1, "")</f>
        <v/>
      </c>
      <c r="AZ249" s="1" t="str">
        <f>IF(AND(AND(AND(AZ$4&gt;='2025'!$L247,AZ$4&lt;='2025'!$M247), AZ$4&lt;&gt;DATE(2025,7,4)), (SWITCH(weekday(AZ$4), 1, 0, 2, if(ISBLANK('2025'!$P247), 0, 1), 3, if(ISBLANK('2025'!$Q247), 0, 1), 4, if(ISBLANK('2025'!$R247), 0, 1), 5, if(ISBLANK('2025'!$S247), 0, 1), 6, if(ISBLANK('2025'!$T247), 0, 1), 7, 0))), 1, "")</f>
        <v/>
      </c>
      <c r="BA249" s="1" t="str">
        <f>IF(AND(AND(AND(BA$4&gt;='2025'!$L247,BA$4&lt;='2025'!$M247), BA$4&lt;&gt;DATE(2025,7,4)), (SWITCH(weekday(BA$4), 1, 0, 2, if(ISBLANK('2025'!$P247), 0, 1), 3, if(ISBLANK('2025'!$Q247), 0, 1), 4, if(ISBLANK('2025'!$R247), 0, 1), 5, if(ISBLANK('2025'!$S247), 0, 1), 6, if(ISBLANK('2025'!$T247), 0, 1), 7, 0))), 1, "")</f>
        <v/>
      </c>
      <c r="BB249" s="1" t="str">
        <f>IF(AND(AND(AND(BB$4&gt;='2025'!$L247,BB$4&lt;='2025'!$M247), BB$4&lt;&gt;DATE(2025,7,4)), (SWITCH(weekday(BB$4), 1, 0, 2, if(ISBLANK('2025'!$P247), 0, 1), 3, if(ISBLANK('2025'!$Q247), 0, 1), 4, if(ISBLANK('2025'!$R247), 0, 1), 5, if(ISBLANK('2025'!$S247), 0, 1), 6, if(ISBLANK('2025'!$T247), 0, 1), 7, 0))), 1, "")</f>
        <v/>
      </c>
      <c r="BC249" s="1" t="str">
        <f>IF(AND(AND(AND(BC$4&gt;='2025'!$L247,BC$4&lt;='2025'!$M247), BC$4&lt;&gt;DATE(2025,7,4)), (SWITCH(weekday(BC$4), 1, 0, 2, if(ISBLANK('2025'!$P247), 0, 1), 3, if(ISBLANK('2025'!$Q247), 0, 1), 4, if(ISBLANK('2025'!$R247), 0, 1), 5, if(ISBLANK('2025'!$S247), 0, 1), 6, if(ISBLANK('2025'!$T247), 0, 1), 7, 0))), 1, "")</f>
        <v/>
      </c>
      <c r="BD249" s="1" t="str">
        <f>IF(AND(AND(AND(BD$4&gt;='2025'!$L247,BD$4&lt;='2025'!$M247), BD$4&lt;&gt;DATE(2025,7,4)), (SWITCH(weekday(BD$4), 1, 0, 2, if(ISBLANK('2025'!$P247), 0, 1), 3, if(ISBLANK('2025'!$Q247), 0, 1), 4, if(ISBLANK('2025'!$R247), 0, 1), 5, if(ISBLANK('2025'!$S247), 0, 1), 6, if(ISBLANK('2025'!$T247), 0, 1), 7, 0))), 1, "")</f>
        <v/>
      </c>
      <c r="BE249" s="1" t="str">
        <f>IF(AND(AND(AND(BE$4&gt;='2025'!$L247,BE$4&lt;='2025'!$M247), BE$4&lt;&gt;DATE(2025,7,4)), (SWITCH(weekday(BE$4), 1, 0, 2, if(ISBLANK('2025'!$P247), 0, 1), 3, if(ISBLANK('2025'!$Q247), 0, 1), 4, if(ISBLANK('2025'!$R247), 0, 1), 5, if(ISBLANK('2025'!$S247), 0, 1), 6, if(ISBLANK('2025'!$T247), 0, 1), 7, 0))), 1, "")</f>
        <v/>
      </c>
      <c r="BF249" s="1" t="str">
        <f>IF(AND(AND(AND(BF$4&gt;='2025'!$L247,BF$4&lt;='2025'!$M247), BF$4&lt;&gt;DATE(2025,7,4)), (SWITCH(weekday(BF$4), 1, 0, 2, if(ISBLANK('2025'!$P247), 0, 1), 3, if(ISBLANK('2025'!$Q247), 0, 1), 4, if(ISBLANK('2025'!$R247), 0, 1), 5, if(ISBLANK('2025'!$S247), 0, 1), 6, if(ISBLANK('2025'!$T247), 0, 1), 7, 0))), 1, "")</f>
        <v/>
      </c>
      <c r="BG249" s="1"/>
      <c r="BH249" s="1"/>
      <c r="BI249" s="1"/>
      <c r="BJ249" s="1"/>
      <c r="BK249" s="1"/>
      <c r="BL249" s="1"/>
    </row>
    <row r="250">
      <c r="A250" s="1">
        <f t="shared" si="3"/>
        <v>250</v>
      </c>
      <c r="B250" s="1" t="str">
        <f>'2025'!D214</f>
        <v>, </v>
      </c>
      <c r="C250" s="1" t="str">
        <f>'2025'!H214</f>
        <v/>
      </c>
      <c r="D250" s="1" t="str">
        <f>IF(AND(AND(AND(D$4&gt;='2025'!$L248,D$4&lt;='2025'!$M248), D$4&lt;&gt;DATE(2025,7,4)), (SWITCH(weekday(D$4), 1, 0, 2, if(ISBLANK('2025'!$P248), 0, 1), 3, if(ISBLANK('2025'!$Q248), 0, 1), 4, if(ISBLANK('2025'!$R248), 0, 1), 5, if(ISBLANK('2025'!$S248), 0, 1), 6, if(ISBLANK('2025'!$T248), 0, 1), 7, 0))), 1, "")</f>
        <v/>
      </c>
      <c r="E250" s="1" t="str">
        <f>IF(AND(AND(AND(E$4&gt;='2025'!$L248,E$4&lt;='2025'!$M248), E$4&lt;&gt;DATE(2025,7,4)), (SWITCH(weekday(E$4), 1, 0, 2, if(ISBLANK('2025'!$P248), 0, 1), 3, if(ISBLANK('2025'!$Q248), 0, 1), 4, if(ISBLANK('2025'!$R248), 0, 1), 5, if(ISBLANK('2025'!$S248), 0, 1), 6, if(ISBLANK('2025'!$T248), 0, 1), 7, 0))), 1, "")</f>
        <v/>
      </c>
      <c r="F250" s="1" t="str">
        <f>IF(AND(AND(AND(F$4&gt;='2025'!$L248,F$4&lt;='2025'!$M248), F$4&lt;&gt;DATE(2025,7,4)), (SWITCH(weekday(F$4), 1, 0, 2, if(ISBLANK('2025'!$P248), 0, 1), 3, if(ISBLANK('2025'!$Q248), 0, 1), 4, if(ISBLANK('2025'!$R248), 0, 1), 5, if(ISBLANK('2025'!$S248), 0, 1), 6, if(ISBLANK('2025'!$T248), 0, 1), 7, 0))), 1, "")</f>
        <v/>
      </c>
      <c r="G250" s="1" t="str">
        <f>IF(AND(AND(AND(G$4&gt;='2025'!$L248,G$4&lt;='2025'!$M248), G$4&lt;&gt;DATE(2025,7,4)), (SWITCH(weekday(G$4), 1, 0, 2, if(ISBLANK('2025'!$P248), 0, 1), 3, if(ISBLANK('2025'!$Q248), 0, 1), 4, if(ISBLANK('2025'!$R248), 0, 1), 5, if(ISBLANK('2025'!$S248), 0, 1), 6, if(ISBLANK('2025'!$T248), 0, 1), 7, 0))), 1, "")</f>
        <v/>
      </c>
      <c r="H250" s="1" t="str">
        <f>IF(AND(AND(AND(H$4&gt;='2025'!$L248,H$4&lt;='2025'!$M248), H$4&lt;&gt;DATE(2025,7,4)), (SWITCH(weekday(H$4), 1, 0, 2, if(ISBLANK('2025'!$P248), 0, 1), 3, if(ISBLANK('2025'!$Q248), 0, 1), 4, if(ISBLANK('2025'!$R248), 0, 1), 5, if(ISBLANK('2025'!$S248), 0, 1), 6, if(ISBLANK('2025'!$T248), 0, 1), 7, 0))), 1, "")</f>
        <v/>
      </c>
      <c r="I250" s="1" t="str">
        <f>IF(AND(AND(AND(I$4&gt;='2025'!$L248,I$4&lt;='2025'!$M248), I$4&lt;&gt;DATE(2025,7,4)), (SWITCH(weekday(I$4), 1, 0, 2, if(ISBLANK('2025'!$P248), 0, 1), 3, if(ISBLANK('2025'!$Q248), 0, 1), 4, if(ISBLANK('2025'!$R248), 0, 1), 5, if(ISBLANK('2025'!$S248), 0, 1), 6, if(ISBLANK('2025'!$T248), 0, 1), 7, 0))), 1, "")</f>
        <v/>
      </c>
      <c r="J250" s="1" t="str">
        <f>IF(AND(AND(AND(J$4&gt;='2025'!$L248,J$4&lt;='2025'!$M248), J$4&lt;&gt;DATE(2025,7,4)), (SWITCH(weekday(J$4), 1, 0, 2, if(ISBLANK('2025'!$P248), 0, 1), 3, if(ISBLANK('2025'!$Q248), 0, 1), 4, if(ISBLANK('2025'!$R248), 0, 1), 5, if(ISBLANK('2025'!$S248), 0, 1), 6, if(ISBLANK('2025'!$T248), 0, 1), 7, 0))), 1, "")</f>
        <v/>
      </c>
      <c r="K250" s="1" t="str">
        <f>IF(AND(AND(AND(K$4&gt;='2025'!$L248,K$4&lt;='2025'!$M248), K$4&lt;&gt;DATE(2025,7,4)), (SWITCH(weekday(K$4), 1, 0, 2, if(ISBLANK('2025'!$P248), 0, 1), 3, if(ISBLANK('2025'!$Q248), 0, 1), 4, if(ISBLANK('2025'!$R248), 0, 1), 5, if(ISBLANK('2025'!$S248), 0, 1), 6, if(ISBLANK('2025'!$T248), 0, 1), 7, 0))), 1, "")</f>
        <v/>
      </c>
      <c r="L250" s="1" t="str">
        <f>IF(AND(AND(AND(L$4&gt;='2025'!$L248,L$4&lt;='2025'!$M248), L$4&lt;&gt;DATE(2025,7,4)), (SWITCH(weekday(L$4), 1, 0, 2, if(ISBLANK('2025'!$P248), 0, 1), 3, if(ISBLANK('2025'!$Q248), 0, 1), 4, if(ISBLANK('2025'!$R248), 0, 1), 5, if(ISBLANK('2025'!$S248), 0, 1), 6, if(ISBLANK('2025'!$T248), 0, 1), 7, 0))), 1, "")</f>
        <v/>
      </c>
      <c r="M250" s="1" t="str">
        <f>IF(AND(AND(AND(M$4&gt;='2025'!$L248,M$4&lt;='2025'!$M248), M$4&lt;&gt;DATE(2025,7,4)), (SWITCH(weekday(M$4), 1, 0, 2, if(ISBLANK('2025'!$P248), 0, 1), 3, if(ISBLANK('2025'!$Q248), 0, 1), 4, if(ISBLANK('2025'!$R248), 0, 1), 5, if(ISBLANK('2025'!$S248), 0, 1), 6, if(ISBLANK('2025'!$T248), 0, 1), 7, 0))), 1, "")</f>
        <v/>
      </c>
      <c r="N250" s="1" t="str">
        <f>IF(AND(AND(AND(N$4&gt;='2025'!$L248,N$4&lt;='2025'!$M248), N$4&lt;&gt;DATE(2025,7,4)), (SWITCH(weekday(N$4), 1, 0, 2, if(ISBLANK('2025'!$P248), 0, 1), 3, if(ISBLANK('2025'!$Q248), 0, 1), 4, if(ISBLANK('2025'!$R248), 0, 1), 5, if(ISBLANK('2025'!$S248), 0, 1), 6, if(ISBLANK('2025'!$T248), 0, 1), 7, 0))), 1, "")</f>
        <v/>
      </c>
      <c r="O250" s="1" t="str">
        <f>IF(AND(AND(AND(O$4&gt;='2025'!$L248,O$4&lt;='2025'!$M248), O$4&lt;&gt;DATE(2025,7,4)), (SWITCH(weekday(O$4), 1, 0, 2, if(ISBLANK('2025'!$P248), 0, 1), 3, if(ISBLANK('2025'!$Q248), 0, 1), 4, if(ISBLANK('2025'!$R248), 0, 1), 5, if(ISBLANK('2025'!$S248), 0, 1), 6, if(ISBLANK('2025'!$T248), 0, 1), 7, 0))), 1, "")</f>
        <v/>
      </c>
      <c r="P250" s="1" t="str">
        <f>IF(AND(AND(AND(P$4&gt;='2025'!$L248,P$4&lt;='2025'!$M248), P$4&lt;&gt;DATE(2025,7,4)), (SWITCH(weekday(P$4), 1, 0, 2, if(ISBLANK('2025'!$P248), 0, 1), 3, if(ISBLANK('2025'!$Q248), 0, 1), 4, if(ISBLANK('2025'!$R248), 0, 1), 5, if(ISBLANK('2025'!$S248), 0, 1), 6, if(ISBLANK('2025'!$T248), 0, 1), 7, 0))), 1, "")</f>
        <v/>
      </c>
      <c r="Q250" s="1" t="str">
        <f>IF(AND(AND(AND(Q$4&gt;='2025'!$L248,Q$4&lt;='2025'!$M248), Q$4&lt;&gt;DATE(2025,7,4)), (SWITCH(weekday(Q$4), 1, 0, 2, if(ISBLANK('2025'!$P248), 0, 1), 3, if(ISBLANK('2025'!$Q248), 0, 1), 4, if(ISBLANK('2025'!$R248), 0, 1), 5, if(ISBLANK('2025'!$S248), 0, 1), 6, if(ISBLANK('2025'!$T248), 0, 1), 7, 0))), 1, "")</f>
        <v/>
      </c>
      <c r="R250" s="1" t="str">
        <f>IF(AND(AND(AND(R$4&gt;='2025'!$L248,R$4&lt;='2025'!$M248), R$4&lt;&gt;DATE(2025,7,4)), (SWITCH(weekday(R$4), 1, 0, 2, if(ISBLANK('2025'!$P248), 0, 1), 3, if(ISBLANK('2025'!$Q248), 0, 1), 4, if(ISBLANK('2025'!$R248), 0, 1), 5, if(ISBLANK('2025'!$S248), 0, 1), 6, if(ISBLANK('2025'!$T248), 0, 1), 7, 0))), 1, "")</f>
        <v/>
      </c>
      <c r="S250" s="1" t="str">
        <f>IF(AND(AND(AND(S$4&gt;='2025'!$L248,S$4&lt;='2025'!$M248), S$4&lt;&gt;DATE(2025,7,4)), (SWITCH(weekday(S$4), 1, 0, 2, if(ISBLANK('2025'!$P248), 0, 1), 3, if(ISBLANK('2025'!$Q248), 0, 1), 4, if(ISBLANK('2025'!$R248), 0, 1), 5, if(ISBLANK('2025'!$S248), 0, 1), 6, if(ISBLANK('2025'!$T248), 0, 1), 7, 0))), 1, "")</f>
        <v/>
      </c>
      <c r="T250" s="1" t="str">
        <f>IF(AND(AND(AND(T$4&gt;='2025'!$L248,T$4&lt;='2025'!$M248), T$4&lt;&gt;DATE(2025,7,4)), (SWITCH(weekday(T$4), 1, 0, 2, if(ISBLANK('2025'!$P248), 0, 1), 3, if(ISBLANK('2025'!$Q248), 0, 1), 4, if(ISBLANK('2025'!$R248), 0, 1), 5, if(ISBLANK('2025'!$S248), 0, 1), 6, if(ISBLANK('2025'!$T248), 0, 1), 7, 0))), 1, "")</f>
        <v/>
      </c>
      <c r="U250" s="1" t="str">
        <f>IF(AND(AND(AND(U$4&gt;='2025'!$L248,U$4&lt;='2025'!$M248), U$4&lt;&gt;DATE(2025,7,4)), (SWITCH(weekday(U$4), 1, 0, 2, if(ISBLANK('2025'!$P248), 0, 1), 3, if(ISBLANK('2025'!$Q248), 0, 1), 4, if(ISBLANK('2025'!$R248), 0, 1), 5, if(ISBLANK('2025'!$S248), 0, 1), 6, if(ISBLANK('2025'!$T248), 0, 1), 7, 0))), 1, "")</f>
        <v/>
      </c>
      <c r="V250" s="1" t="str">
        <f>IF(AND(AND(AND(V$4&gt;='2025'!$L248,V$4&lt;='2025'!$M248), V$4&lt;&gt;DATE(2025,7,4)), (SWITCH(weekday(V$4), 1, 0, 2, if(ISBLANK('2025'!$P248), 0, 1), 3, if(ISBLANK('2025'!$Q248), 0, 1), 4, if(ISBLANK('2025'!$R248), 0, 1), 5, if(ISBLANK('2025'!$S248), 0, 1), 6, if(ISBLANK('2025'!$T248), 0, 1), 7, 0))), 1, "")</f>
        <v/>
      </c>
      <c r="W250" s="1" t="str">
        <f>IF(AND(AND(AND(W$4&gt;='2025'!$L248,W$4&lt;='2025'!$M248), W$4&lt;&gt;DATE(2025,7,4)), (SWITCH(weekday(W$4), 1, 0, 2, if(ISBLANK('2025'!$P248), 0, 1), 3, if(ISBLANK('2025'!$Q248), 0, 1), 4, if(ISBLANK('2025'!$R248), 0, 1), 5, if(ISBLANK('2025'!$S248), 0, 1), 6, if(ISBLANK('2025'!$T248), 0, 1), 7, 0))), 1, "")</f>
        <v/>
      </c>
      <c r="X250" s="1" t="str">
        <f>IF(AND(AND(AND(X$4&gt;='2025'!$L248,X$4&lt;='2025'!$M248), X$4&lt;&gt;DATE(2025,7,4)), (SWITCH(weekday(X$4), 1, 0, 2, if(ISBLANK('2025'!$P248), 0, 1), 3, if(ISBLANK('2025'!$Q248), 0, 1), 4, if(ISBLANK('2025'!$R248), 0, 1), 5, if(ISBLANK('2025'!$S248), 0, 1), 6, if(ISBLANK('2025'!$T248), 0, 1), 7, 0))), 1, "")</f>
        <v/>
      </c>
      <c r="Y250" s="1" t="str">
        <f>IF(AND(AND(AND(Y$4&gt;='2025'!$L248,Y$4&lt;='2025'!$M248), Y$4&lt;&gt;DATE(2025,7,4)), (SWITCH(weekday(Y$4), 1, 0, 2, if(ISBLANK('2025'!$P248), 0, 1), 3, if(ISBLANK('2025'!$Q248), 0, 1), 4, if(ISBLANK('2025'!$R248), 0, 1), 5, if(ISBLANK('2025'!$S248), 0, 1), 6, if(ISBLANK('2025'!$T248), 0, 1), 7, 0))), 1, "")</f>
        <v/>
      </c>
      <c r="Z250" s="1" t="str">
        <f>IF(AND(AND(AND(Z$4&gt;='2025'!$L248,Z$4&lt;='2025'!$M248), Z$4&lt;&gt;DATE(2025,7,4)), (SWITCH(weekday(Z$4), 1, 0, 2, if(ISBLANK('2025'!$P248), 0, 1), 3, if(ISBLANK('2025'!$Q248), 0, 1), 4, if(ISBLANK('2025'!$R248), 0, 1), 5, if(ISBLANK('2025'!$S248), 0, 1), 6, if(ISBLANK('2025'!$T248), 0, 1), 7, 0))), 1, "")</f>
        <v/>
      </c>
      <c r="AA250" s="1" t="str">
        <f>IF(AND(AND(AND(AA$4&gt;='2025'!$L248,AA$4&lt;='2025'!$M248), AA$4&lt;&gt;DATE(2025,7,4)), (SWITCH(weekday(AA$4), 1, 0, 2, if(ISBLANK('2025'!$P248), 0, 1), 3, if(ISBLANK('2025'!$Q248), 0, 1), 4, if(ISBLANK('2025'!$R248), 0, 1), 5, if(ISBLANK('2025'!$S248), 0, 1), 6, if(ISBLANK('2025'!$T248), 0, 1), 7, 0))), 1, "")</f>
        <v/>
      </c>
      <c r="AB250" s="1" t="str">
        <f>IF(AND(AND(AND(AB$4&gt;='2025'!$L248,AB$4&lt;='2025'!$M248), AB$4&lt;&gt;DATE(2025,7,4)), (SWITCH(weekday(AB$4), 1, 0, 2, if(ISBLANK('2025'!$P248), 0, 1), 3, if(ISBLANK('2025'!$Q248), 0, 1), 4, if(ISBLANK('2025'!$R248), 0, 1), 5, if(ISBLANK('2025'!$S248), 0, 1), 6, if(ISBLANK('2025'!$T248), 0, 1), 7, 0))), 1, "")</f>
        <v/>
      </c>
      <c r="AC250" s="1" t="str">
        <f>IF(AND(AND(AND(AC$4&gt;='2025'!$L248,AC$4&lt;='2025'!$M248), AC$4&lt;&gt;DATE(2025,7,4)), (SWITCH(weekday(AC$4), 1, 0, 2, if(ISBLANK('2025'!$P248), 0, 1), 3, if(ISBLANK('2025'!$Q248), 0, 1), 4, if(ISBLANK('2025'!$R248), 0, 1), 5, if(ISBLANK('2025'!$S248), 0, 1), 6, if(ISBLANK('2025'!$T248), 0, 1), 7, 0))), 1, "")</f>
        <v/>
      </c>
      <c r="AD250" s="1" t="str">
        <f>IF(AND(AND(AND(AD$4&gt;='2025'!$L248,AD$4&lt;='2025'!$M248), AD$4&lt;&gt;DATE(2025,7,4)), (SWITCH(weekday(AD$4), 1, 0, 2, if(ISBLANK('2025'!$P248), 0, 1), 3, if(ISBLANK('2025'!$Q248), 0, 1), 4, if(ISBLANK('2025'!$R248), 0, 1), 5, if(ISBLANK('2025'!$S248), 0, 1), 6, if(ISBLANK('2025'!$T248), 0, 1), 7, 0))), 1, "")</f>
        <v/>
      </c>
      <c r="AE250" s="1" t="str">
        <f>IF(AND(AND(AND(AE$4&gt;='2025'!$L248,AE$4&lt;='2025'!$M248), AE$4&lt;&gt;DATE(2025,7,4)), (SWITCH(weekday(AE$4), 1, 0, 2, if(ISBLANK('2025'!$P248), 0, 1), 3, if(ISBLANK('2025'!$Q248), 0, 1), 4, if(ISBLANK('2025'!$R248), 0, 1), 5, if(ISBLANK('2025'!$S248), 0, 1), 6, if(ISBLANK('2025'!$T248), 0, 1), 7, 0))), 1, "")</f>
        <v/>
      </c>
      <c r="AF250" s="1" t="str">
        <f>IF(AND(AND(AND(AF$4&gt;='2025'!$L248,AF$4&lt;='2025'!$M248), AF$4&lt;&gt;DATE(2025,7,4)), (SWITCH(weekday(AF$4), 1, 0, 2, if(ISBLANK('2025'!$P248), 0, 1), 3, if(ISBLANK('2025'!$Q248), 0, 1), 4, if(ISBLANK('2025'!$R248), 0, 1), 5, if(ISBLANK('2025'!$S248), 0, 1), 6, if(ISBLANK('2025'!$T248), 0, 1), 7, 0))), 1, "")</f>
        <v/>
      </c>
      <c r="AG250" s="1" t="str">
        <f>IF(AND(AND(AND(AG$4&gt;='2025'!$L248,AG$4&lt;='2025'!$M248), AG$4&lt;&gt;DATE(2025,7,4)), (SWITCH(weekday(AG$4), 1, 0, 2, if(ISBLANK('2025'!$P248), 0, 1), 3, if(ISBLANK('2025'!$Q248), 0, 1), 4, if(ISBLANK('2025'!$R248), 0, 1), 5, if(ISBLANK('2025'!$S248), 0, 1), 6, if(ISBLANK('2025'!$T248), 0, 1), 7, 0))), 1, "")</f>
        <v/>
      </c>
      <c r="AH250" s="1" t="str">
        <f>IF(AND(AND(AND(AH$4&gt;='2025'!$L248,AH$4&lt;='2025'!$M248), AH$4&lt;&gt;DATE(2025,7,4)), (SWITCH(weekday(AH$4), 1, 0, 2, if(ISBLANK('2025'!$P248), 0, 1), 3, if(ISBLANK('2025'!$Q248), 0, 1), 4, if(ISBLANK('2025'!$R248), 0, 1), 5, if(ISBLANK('2025'!$S248), 0, 1), 6, if(ISBLANK('2025'!$T248), 0, 1), 7, 0))), 1, "")</f>
        <v/>
      </c>
      <c r="AI250" s="1" t="str">
        <f>IF(AND(AND(AND(AI$4&gt;='2025'!$L248,AI$4&lt;='2025'!$M248), AI$4&lt;&gt;DATE(2025,7,4)), (SWITCH(weekday(AI$4), 1, 0, 2, if(ISBLANK('2025'!$P248), 0, 1), 3, if(ISBLANK('2025'!$Q248), 0, 1), 4, if(ISBLANK('2025'!$R248), 0, 1), 5, if(ISBLANK('2025'!$S248), 0, 1), 6, if(ISBLANK('2025'!$T248), 0, 1), 7, 0))), 1, "")</f>
        <v/>
      </c>
      <c r="AJ250" s="1" t="str">
        <f>IF(AND(AND(AND(AJ$4&gt;='2025'!$L248,AJ$4&lt;='2025'!$M248), AJ$4&lt;&gt;DATE(2025,7,4)), (SWITCH(weekday(AJ$4), 1, 0, 2, if(ISBLANK('2025'!$P248), 0, 1), 3, if(ISBLANK('2025'!$Q248), 0, 1), 4, if(ISBLANK('2025'!$R248), 0, 1), 5, if(ISBLANK('2025'!$S248), 0, 1), 6, if(ISBLANK('2025'!$T248), 0, 1), 7, 0))), 1, "")</f>
        <v/>
      </c>
      <c r="AK250" s="1" t="str">
        <f>IF(AND(AND(AND(AK$4&gt;='2025'!$L248,AK$4&lt;='2025'!$M248), AK$4&lt;&gt;DATE(2025,7,4)), (SWITCH(weekday(AK$4), 1, 0, 2, if(ISBLANK('2025'!$P248), 0, 1), 3, if(ISBLANK('2025'!$Q248), 0, 1), 4, if(ISBLANK('2025'!$R248), 0, 1), 5, if(ISBLANK('2025'!$S248), 0, 1), 6, if(ISBLANK('2025'!$T248), 0, 1), 7, 0))), 1, "")</f>
        <v/>
      </c>
      <c r="AL250" s="1" t="str">
        <f>IF(AND(AND(AND(AL$4&gt;='2025'!$L248,AL$4&lt;='2025'!$M248), AL$4&lt;&gt;DATE(2025,7,4)), (SWITCH(weekday(AL$4), 1, 0, 2, if(ISBLANK('2025'!$P248), 0, 1), 3, if(ISBLANK('2025'!$Q248), 0, 1), 4, if(ISBLANK('2025'!$R248), 0, 1), 5, if(ISBLANK('2025'!$S248), 0, 1), 6, if(ISBLANK('2025'!$T248), 0, 1), 7, 0))), 1, "")</f>
        <v/>
      </c>
      <c r="AM250" s="1" t="str">
        <f>IF(AND(AND(AND(AM$4&gt;='2025'!$L248,AM$4&lt;='2025'!$M248), AM$4&lt;&gt;DATE(2025,7,4)), (SWITCH(weekday(AM$4), 1, 0, 2, if(ISBLANK('2025'!$P248), 0, 1), 3, if(ISBLANK('2025'!$Q248), 0, 1), 4, if(ISBLANK('2025'!$R248), 0, 1), 5, if(ISBLANK('2025'!$S248), 0, 1), 6, if(ISBLANK('2025'!$T248), 0, 1), 7, 0))), 1, "")</f>
        <v/>
      </c>
      <c r="AN250" s="1" t="str">
        <f>IF(AND(AND(AND(AN$4&gt;='2025'!$L248,AN$4&lt;='2025'!$M248), AN$4&lt;&gt;DATE(2025,7,4)), (SWITCH(weekday(AN$4), 1, 0, 2, if(ISBLANK('2025'!$P248), 0, 1), 3, if(ISBLANK('2025'!$Q248), 0, 1), 4, if(ISBLANK('2025'!$R248), 0, 1), 5, if(ISBLANK('2025'!$S248), 0, 1), 6, if(ISBLANK('2025'!$T248), 0, 1), 7, 0))), 1, "")</f>
        <v/>
      </c>
      <c r="AO250" s="1" t="str">
        <f>IF(AND(AND(AND(AO$4&gt;='2025'!$L248,AO$4&lt;='2025'!$M248), AO$4&lt;&gt;DATE(2025,7,4)), (SWITCH(weekday(AO$4), 1, 0, 2, if(ISBLANK('2025'!$P248), 0, 1), 3, if(ISBLANK('2025'!$Q248), 0, 1), 4, if(ISBLANK('2025'!$R248), 0, 1), 5, if(ISBLANK('2025'!$S248), 0, 1), 6, if(ISBLANK('2025'!$T248), 0, 1), 7, 0))), 1, "")</f>
        <v/>
      </c>
      <c r="AP250" s="1" t="str">
        <f>IF(AND(AND(AND(AP$4&gt;='2025'!$L248,AP$4&lt;='2025'!$M248), AP$4&lt;&gt;DATE(2025,7,4)), (SWITCH(weekday(AP$4), 1, 0, 2, if(ISBLANK('2025'!$P248), 0, 1), 3, if(ISBLANK('2025'!$Q248), 0, 1), 4, if(ISBLANK('2025'!$R248), 0, 1), 5, if(ISBLANK('2025'!$S248), 0, 1), 6, if(ISBLANK('2025'!$T248), 0, 1), 7, 0))), 1, "")</f>
        <v/>
      </c>
      <c r="AQ250" s="1" t="str">
        <f>IF(AND(AND(AND(AQ$4&gt;='2025'!$L248,AQ$4&lt;='2025'!$M248), AQ$4&lt;&gt;DATE(2025,7,4)), (SWITCH(weekday(AQ$4), 1, 0, 2, if(ISBLANK('2025'!$P248), 0, 1), 3, if(ISBLANK('2025'!$Q248), 0, 1), 4, if(ISBLANK('2025'!$R248), 0, 1), 5, if(ISBLANK('2025'!$S248), 0, 1), 6, if(ISBLANK('2025'!$T248), 0, 1), 7, 0))), 1, "")</f>
        <v/>
      </c>
      <c r="AR250" s="1" t="str">
        <f>IF(AND(AND(AND(AR$4&gt;='2025'!$L248,AR$4&lt;='2025'!$M248), AR$4&lt;&gt;DATE(2025,7,4)), (SWITCH(weekday(AR$4), 1, 0, 2, if(ISBLANK('2025'!$P248), 0, 1), 3, if(ISBLANK('2025'!$Q248), 0, 1), 4, if(ISBLANK('2025'!$R248), 0, 1), 5, if(ISBLANK('2025'!$S248), 0, 1), 6, if(ISBLANK('2025'!$T248), 0, 1), 7, 0))), 1, "")</f>
        <v/>
      </c>
      <c r="AS250" s="1" t="str">
        <f>IF(AND(AND(AND(AS$4&gt;='2025'!$L248,AS$4&lt;='2025'!$M248), AS$4&lt;&gt;DATE(2025,7,4)), (SWITCH(weekday(AS$4), 1, 0, 2, if(ISBLANK('2025'!$P248), 0, 1), 3, if(ISBLANK('2025'!$Q248), 0, 1), 4, if(ISBLANK('2025'!$R248), 0, 1), 5, if(ISBLANK('2025'!$S248), 0, 1), 6, if(ISBLANK('2025'!$T248), 0, 1), 7, 0))), 1, "")</f>
        <v/>
      </c>
      <c r="AT250" s="1" t="str">
        <f>IF(AND(AND(AND(AT$4&gt;='2025'!$L248,AT$4&lt;='2025'!$M248), AT$4&lt;&gt;DATE(2025,7,4)), (SWITCH(weekday(AT$4), 1, 0, 2, if(ISBLANK('2025'!$P248), 0, 1), 3, if(ISBLANK('2025'!$Q248), 0, 1), 4, if(ISBLANK('2025'!$R248), 0, 1), 5, if(ISBLANK('2025'!$S248), 0, 1), 6, if(ISBLANK('2025'!$T248), 0, 1), 7, 0))), 1, "")</f>
        <v/>
      </c>
      <c r="AU250" s="1" t="str">
        <f>IF(AND(AND(AND(AU$4&gt;='2025'!$L248,AU$4&lt;='2025'!$M248), AU$4&lt;&gt;DATE(2025,7,4)), (SWITCH(weekday(AU$4), 1, 0, 2, if(ISBLANK('2025'!$P248), 0, 1), 3, if(ISBLANK('2025'!$Q248), 0, 1), 4, if(ISBLANK('2025'!$R248), 0, 1), 5, if(ISBLANK('2025'!$S248), 0, 1), 6, if(ISBLANK('2025'!$T248), 0, 1), 7, 0))), 1, "")</f>
        <v/>
      </c>
      <c r="AV250" s="1" t="str">
        <f>IF(AND(AND(AND(AV$4&gt;='2025'!$L248,AV$4&lt;='2025'!$M248), AV$4&lt;&gt;DATE(2025,7,4)), (SWITCH(weekday(AV$4), 1, 0, 2, if(ISBLANK('2025'!$P248), 0, 1), 3, if(ISBLANK('2025'!$Q248), 0, 1), 4, if(ISBLANK('2025'!$R248), 0, 1), 5, if(ISBLANK('2025'!$S248), 0, 1), 6, if(ISBLANK('2025'!$T248), 0, 1), 7, 0))), 1, "")</f>
        <v/>
      </c>
      <c r="AW250" s="1" t="str">
        <f>IF(AND(AND(AND(AW$4&gt;='2025'!$L248,AW$4&lt;='2025'!$M248), AW$4&lt;&gt;DATE(2025,7,4)), (SWITCH(weekday(AW$4), 1, 0, 2, if(ISBLANK('2025'!$P248), 0, 1), 3, if(ISBLANK('2025'!$Q248), 0, 1), 4, if(ISBLANK('2025'!$R248), 0, 1), 5, if(ISBLANK('2025'!$S248), 0, 1), 6, if(ISBLANK('2025'!$T248), 0, 1), 7, 0))), 1, "")</f>
        <v/>
      </c>
      <c r="AX250" s="1" t="str">
        <f>IF(AND(AND(AND(AX$4&gt;='2025'!$L248,AX$4&lt;='2025'!$M248), AX$4&lt;&gt;DATE(2025,7,4)), (SWITCH(weekday(AX$4), 1, 0, 2, if(ISBLANK('2025'!$P248), 0, 1), 3, if(ISBLANK('2025'!$Q248), 0, 1), 4, if(ISBLANK('2025'!$R248), 0, 1), 5, if(ISBLANK('2025'!$S248), 0, 1), 6, if(ISBLANK('2025'!$T248), 0, 1), 7, 0))), 1, "")</f>
        <v/>
      </c>
      <c r="AY250" s="1" t="str">
        <f>IF(AND(AND(AND(AY$4&gt;='2025'!$L248,AY$4&lt;='2025'!$M248), AY$4&lt;&gt;DATE(2025,7,4)), (SWITCH(weekday(AY$4), 1, 0, 2, if(ISBLANK('2025'!$P248), 0, 1), 3, if(ISBLANK('2025'!$Q248), 0, 1), 4, if(ISBLANK('2025'!$R248), 0, 1), 5, if(ISBLANK('2025'!$S248), 0, 1), 6, if(ISBLANK('2025'!$T248), 0, 1), 7, 0))), 1, "")</f>
        <v/>
      </c>
      <c r="AZ250" s="1" t="str">
        <f>IF(AND(AND(AND(AZ$4&gt;='2025'!$L248,AZ$4&lt;='2025'!$M248), AZ$4&lt;&gt;DATE(2025,7,4)), (SWITCH(weekday(AZ$4), 1, 0, 2, if(ISBLANK('2025'!$P248), 0, 1), 3, if(ISBLANK('2025'!$Q248), 0, 1), 4, if(ISBLANK('2025'!$R248), 0, 1), 5, if(ISBLANK('2025'!$S248), 0, 1), 6, if(ISBLANK('2025'!$T248), 0, 1), 7, 0))), 1, "")</f>
        <v/>
      </c>
      <c r="BA250" s="1" t="str">
        <f>IF(AND(AND(AND(BA$4&gt;='2025'!$L248,BA$4&lt;='2025'!$M248), BA$4&lt;&gt;DATE(2025,7,4)), (SWITCH(weekday(BA$4), 1, 0, 2, if(ISBLANK('2025'!$P248), 0, 1), 3, if(ISBLANK('2025'!$Q248), 0, 1), 4, if(ISBLANK('2025'!$R248), 0, 1), 5, if(ISBLANK('2025'!$S248), 0, 1), 6, if(ISBLANK('2025'!$T248), 0, 1), 7, 0))), 1, "")</f>
        <v/>
      </c>
      <c r="BB250" s="1" t="str">
        <f>IF(AND(AND(AND(BB$4&gt;='2025'!$L248,BB$4&lt;='2025'!$M248), BB$4&lt;&gt;DATE(2025,7,4)), (SWITCH(weekday(BB$4), 1, 0, 2, if(ISBLANK('2025'!$P248), 0, 1), 3, if(ISBLANK('2025'!$Q248), 0, 1), 4, if(ISBLANK('2025'!$R248), 0, 1), 5, if(ISBLANK('2025'!$S248), 0, 1), 6, if(ISBLANK('2025'!$T248), 0, 1), 7, 0))), 1, "")</f>
        <v/>
      </c>
      <c r="BC250" s="1" t="str">
        <f>IF(AND(AND(AND(BC$4&gt;='2025'!$L248,BC$4&lt;='2025'!$M248), BC$4&lt;&gt;DATE(2025,7,4)), (SWITCH(weekday(BC$4), 1, 0, 2, if(ISBLANK('2025'!$P248), 0, 1), 3, if(ISBLANK('2025'!$Q248), 0, 1), 4, if(ISBLANK('2025'!$R248), 0, 1), 5, if(ISBLANK('2025'!$S248), 0, 1), 6, if(ISBLANK('2025'!$T248), 0, 1), 7, 0))), 1, "")</f>
        <v/>
      </c>
      <c r="BD250" s="1" t="str">
        <f>IF(AND(AND(AND(BD$4&gt;='2025'!$L248,BD$4&lt;='2025'!$M248), BD$4&lt;&gt;DATE(2025,7,4)), (SWITCH(weekday(BD$4), 1, 0, 2, if(ISBLANK('2025'!$P248), 0, 1), 3, if(ISBLANK('2025'!$Q248), 0, 1), 4, if(ISBLANK('2025'!$R248), 0, 1), 5, if(ISBLANK('2025'!$S248), 0, 1), 6, if(ISBLANK('2025'!$T248), 0, 1), 7, 0))), 1, "")</f>
        <v/>
      </c>
      <c r="BE250" s="1" t="str">
        <f>IF(AND(AND(AND(BE$4&gt;='2025'!$L248,BE$4&lt;='2025'!$M248), BE$4&lt;&gt;DATE(2025,7,4)), (SWITCH(weekday(BE$4), 1, 0, 2, if(ISBLANK('2025'!$P248), 0, 1), 3, if(ISBLANK('2025'!$Q248), 0, 1), 4, if(ISBLANK('2025'!$R248), 0, 1), 5, if(ISBLANK('2025'!$S248), 0, 1), 6, if(ISBLANK('2025'!$T248), 0, 1), 7, 0))), 1, "")</f>
        <v/>
      </c>
      <c r="BF250" s="1" t="str">
        <f>IF(AND(AND(AND(BF$4&gt;='2025'!$L248,BF$4&lt;='2025'!$M248), BF$4&lt;&gt;DATE(2025,7,4)), (SWITCH(weekday(BF$4), 1, 0, 2, if(ISBLANK('2025'!$P248), 0, 1), 3, if(ISBLANK('2025'!$Q248), 0, 1), 4, if(ISBLANK('2025'!$R248), 0, 1), 5, if(ISBLANK('2025'!$S248), 0, 1), 6, if(ISBLANK('2025'!$T248), 0, 1), 7, 0))), 1, "")</f>
        <v/>
      </c>
      <c r="BG250" s="1"/>
      <c r="BH250" s="1"/>
      <c r="BI250" s="1"/>
      <c r="BJ250" s="1"/>
      <c r="BK250" s="1"/>
      <c r="BL250" s="1"/>
    </row>
    <row r="251">
      <c r="A251" s="1">
        <f t="shared" si="3"/>
        <v>251</v>
      </c>
      <c r="B251" s="1" t="str">
        <f>'2025'!D215</f>
        <v>, </v>
      </c>
      <c r="C251" s="1" t="str">
        <f>'2025'!H215</f>
        <v/>
      </c>
      <c r="D251" s="1" t="str">
        <f>IF(AND(AND(AND(D$4&gt;='2025'!$L249,D$4&lt;='2025'!$M249), D$4&lt;&gt;DATE(2025,7,4)), (SWITCH(weekday(D$4), 1, 0, 2, if(ISBLANK('2025'!$P249), 0, 1), 3, if(ISBLANK('2025'!$Q249), 0, 1), 4, if(ISBLANK('2025'!$R249), 0, 1), 5, if(ISBLANK('2025'!$S249), 0, 1), 6, if(ISBLANK('2025'!$T249), 0, 1), 7, 0))), 1, "")</f>
        <v/>
      </c>
      <c r="E251" s="1" t="str">
        <f>IF(AND(AND(AND(E$4&gt;='2025'!$L249,E$4&lt;='2025'!$M249), E$4&lt;&gt;DATE(2025,7,4)), (SWITCH(weekday(E$4), 1, 0, 2, if(ISBLANK('2025'!$P249), 0, 1), 3, if(ISBLANK('2025'!$Q249), 0, 1), 4, if(ISBLANK('2025'!$R249), 0, 1), 5, if(ISBLANK('2025'!$S249), 0, 1), 6, if(ISBLANK('2025'!$T249), 0, 1), 7, 0))), 1, "")</f>
        <v/>
      </c>
      <c r="F251" s="1" t="str">
        <f>IF(AND(AND(AND(F$4&gt;='2025'!$L249,F$4&lt;='2025'!$M249), F$4&lt;&gt;DATE(2025,7,4)), (SWITCH(weekday(F$4), 1, 0, 2, if(ISBLANK('2025'!$P249), 0, 1), 3, if(ISBLANK('2025'!$Q249), 0, 1), 4, if(ISBLANK('2025'!$R249), 0, 1), 5, if(ISBLANK('2025'!$S249), 0, 1), 6, if(ISBLANK('2025'!$T249), 0, 1), 7, 0))), 1, "")</f>
        <v/>
      </c>
      <c r="G251" s="1" t="str">
        <f>IF(AND(AND(AND(G$4&gt;='2025'!$L249,G$4&lt;='2025'!$M249), G$4&lt;&gt;DATE(2025,7,4)), (SWITCH(weekday(G$4), 1, 0, 2, if(ISBLANK('2025'!$P249), 0, 1), 3, if(ISBLANK('2025'!$Q249), 0, 1), 4, if(ISBLANK('2025'!$R249), 0, 1), 5, if(ISBLANK('2025'!$S249), 0, 1), 6, if(ISBLANK('2025'!$T249), 0, 1), 7, 0))), 1, "")</f>
        <v/>
      </c>
      <c r="H251" s="1" t="str">
        <f>IF(AND(AND(AND(H$4&gt;='2025'!$L249,H$4&lt;='2025'!$M249), H$4&lt;&gt;DATE(2025,7,4)), (SWITCH(weekday(H$4), 1, 0, 2, if(ISBLANK('2025'!$P249), 0, 1), 3, if(ISBLANK('2025'!$Q249), 0, 1), 4, if(ISBLANK('2025'!$R249), 0, 1), 5, if(ISBLANK('2025'!$S249), 0, 1), 6, if(ISBLANK('2025'!$T249), 0, 1), 7, 0))), 1, "")</f>
        <v/>
      </c>
      <c r="I251" s="1" t="str">
        <f>IF(AND(AND(AND(I$4&gt;='2025'!$L249,I$4&lt;='2025'!$M249), I$4&lt;&gt;DATE(2025,7,4)), (SWITCH(weekday(I$4), 1, 0, 2, if(ISBLANK('2025'!$P249), 0, 1), 3, if(ISBLANK('2025'!$Q249), 0, 1), 4, if(ISBLANK('2025'!$R249), 0, 1), 5, if(ISBLANK('2025'!$S249), 0, 1), 6, if(ISBLANK('2025'!$T249), 0, 1), 7, 0))), 1, "")</f>
        <v/>
      </c>
      <c r="J251" s="1" t="str">
        <f>IF(AND(AND(AND(J$4&gt;='2025'!$L249,J$4&lt;='2025'!$M249), J$4&lt;&gt;DATE(2025,7,4)), (SWITCH(weekday(J$4), 1, 0, 2, if(ISBLANK('2025'!$P249), 0, 1), 3, if(ISBLANK('2025'!$Q249), 0, 1), 4, if(ISBLANK('2025'!$R249), 0, 1), 5, if(ISBLANK('2025'!$S249), 0, 1), 6, if(ISBLANK('2025'!$T249), 0, 1), 7, 0))), 1, "")</f>
        <v/>
      </c>
      <c r="K251" s="1" t="str">
        <f>IF(AND(AND(AND(K$4&gt;='2025'!$L249,K$4&lt;='2025'!$M249), K$4&lt;&gt;DATE(2025,7,4)), (SWITCH(weekday(K$4), 1, 0, 2, if(ISBLANK('2025'!$P249), 0, 1), 3, if(ISBLANK('2025'!$Q249), 0, 1), 4, if(ISBLANK('2025'!$R249), 0, 1), 5, if(ISBLANK('2025'!$S249), 0, 1), 6, if(ISBLANK('2025'!$T249), 0, 1), 7, 0))), 1, "")</f>
        <v/>
      </c>
      <c r="L251" s="1" t="str">
        <f>IF(AND(AND(AND(L$4&gt;='2025'!$L249,L$4&lt;='2025'!$M249), L$4&lt;&gt;DATE(2025,7,4)), (SWITCH(weekday(L$4), 1, 0, 2, if(ISBLANK('2025'!$P249), 0, 1), 3, if(ISBLANK('2025'!$Q249), 0, 1), 4, if(ISBLANK('2025'!$R249), 0, 1), 5, if(ISBLANK('2025'!$S249), 0, 1), 6, if(ISBLANK('2025'!$T249), 0, 1), 7, 0))), 1, "")</f>
        <v/>
      </c>
      <c r="M251" s="1" t="str">
        <f>IF(AND(AND(AND(M$4&gt;='2025'!$L249,M$4&lt;='2025'!$M249), M$4&lt;&gt;DATE(2025,7,4)), (SWITCH(weekday(M$4), 1, 0, 2, if(ISBLANK('2025'!$P249), 0, 1), 3, if(ISBLANK('2025'!$Q249), 0, 1), 4, if(ISBLANK('2025'!$R249), 0, 1), 5, if(ISBLANK('2025'!$S249), 0, 1), 6, if(ISBLANK('2025'!$T249), 0, 1), 7, 0))), 1, "")</f>
        <v/>
      </c>
      <c r="N251" s="1" t="str">
        <f>IF(AND(AND(AND(N$4&gt;='2025'!$L249,N$4&lt;='2025'!$M249), N$4&lt;&gt;DATE(2025,7,4)), (SWITCH(weekday(N$4), 1, 0, 2, if(ISBLANK('2025'!$P249), 0, 1), 3, if(ISBLANK('2025'!$Q249), 0, 1), 4, if(ISBLANK('2025'!$R249), 0, 1), 5, if(ISBLANK('2025'!$S249), 0, 1), 6, if(ISBLANK('2025'!$T249), 0, 1), 7, 0))), 1, "")</f>
        <v/>
      </c>
      <c r="O251" s="1" t="str">
        <f>IF(AND(AND(AND(O$4&gt;='2025'!$L249,O$4&lt;='2025'!$M249), O$4&lt;&gt;DATE(2025,7,4)), (SWITCH(weekday(O$4), 1, 0, 2, if(ISBLANK('2025'!$P249), 0, 1), 3, if(ISBLANK('2025'!$Q249), 0, 1), 4, if(ISBLANK('2025'!$R249), 0, 1), 5, if(ISBLANK('2025'!$S249), 0, 1), 6, if(ISBLANK('2025'!$T249), 0, 1), 7, 0))), 1, "")</f>
        <v/>
      </c>
      <c r="P251" s="1" t="str">
        <f>IF(AND(AND(AND(P$4&gt;='2025'!$L249,P$4&lt;='2025'!$M249), P$4&lt;&gt;DATE(2025,7,4)), (SWITCH(weekday(P$4), 1, 0, 2, if(ISBLANK('2025'!$P249), 0, 1), 3, if(ISBLANK('2025'!$Q249), 0, 1), 4, if(ISBLANK('2025'!$R249), 0, 1), 5, if(ISBLANK('2025'!$S249), 0, 1), 6, if(ISBLANK('2025'!$T249), 0, 1), 7, 0))), 1, "")</f>
        <v/>
      </c>
      <c r="Q251" s="1" t="str">
        <f>IF(AND(AND(AND(Q$4&gt;='2025'!$L249,Q$4&lt;='2025'!$M249), Q$4&lt;&gt;DATE(2025,7,4)), (SWITCH(weekday(Q$4), 1, 0, 2, if(ISBLANK('2025'!$P249), 0, 1), 3, if(ISBLANK('2025'!$Q249), 0, 1), 4, if(ISBLANK('2025'!$R249), 0, 1), 5, if(ISBLANK('2025'!$S249), 0, 1), 6, if(ISBLANK('2025'!$T249), 0, 1), 7, 0))), 1, "")</f>
        <v/>
      </c>
      <c r="R251" s="1" t="str">
        <f>IF(AND(AND(AND(R$4&gt;='2025'!$L249,R$4&lt;='2025'!$M249), R$4&lt;&gt;DATE(2025,7,4)), (SWITCH(weekday(R$4), 1, 0, 2, if(ISBLANK('2025'!$P249), 0, 1), 3, if(ISBLANK('2025'!$Q249), 0, 1), 4, if(ISBLANK('2025'!$R249), 0, 1), 5, if(ISBLANK('2025'!$S249), 0, 1), 6, if(ISBLANK('2025'!$T249), 0, 1), 7, 0))), 1, "")</f>
        <v/>
      </c>
      <c r="S251" s="1" t="str">
        <f>IF(AND(AND(AND(S$4&gt;='2025'!$L249,S$4&lt;='2025'!$M249), S$4&lt;&gt;DATE(2025,7,4)), (SWITCH(weekday(S$4), 1, 0, 2, if(ISBLANK('2025'!$P249), 0, 1), 3, if(ISBLANK('2025'!$Q249), 0, 1), 4, if(ISBLANK('2025'!$R249), 0, 1), 5, if(ISBLANK('2025'!$S249), 0, 1), 6, if(ISBLANK('2025'!$T249), 0, 1), 7, 0))), 1, "")</f>
        <v/>
      </c>
      <c r="T251" s="1" t="str">
        <f>IF(AND(AND(AND(T$4&gt;='2025'!$L249,T$4&lt;='2025'!$M249), T$4&lt;&gt;DATE(2025,7,4)), (SWITCH(weekday(T$4), 1, 0, 2, if(ISBLANK('2025'!$P249), 0, 1), 3, if(ISBLANK('2025'!$Q249), 0, 1), 4, if(ISBLANK('2025'!$R249), 0, 1), 5, if(ISBLANK('2025'!$S249), 0, 1), 6, if(ISBLANK('2025'!$T249), 0, 1), 7, 0))), 1, "")</f>
        <v/>
      </c>
      <c r="U251" s="1" t="str">
        <f>IF(AND(AND(AND(U$4&gt;='2025'!$L249,U$4&lt;='2025'!$M249), U$4&lt;&gt;DATE(2025,7,4)), (SWITCH(weekday(U$4), 1, 0, 2, if(ISBLANK('2025'!$P249), 0, 1), 3, if(ISBLANK('2025'!$Q249), 0, 1), 4, if(ISBLANK('2025'!$R249), 0, 1), 5, if(ISBLANK('2025'!$S249), 0, 1), 6, if(ISBLANK('2025'!$T249), 0, 1), 7, 0))), 1, "")</f>
        <v/>
      </c>
      <c r="V251" s="1" t="str">
        <f>IF(AND(AND(AND(V$4&gt;='2025'!$L249,V$4&lt;='2025'!$M249), V$4&lt;&gt;DATE(2025,7,4)), (SWITCH(weekday(V$4), 1, 0, 2, if(ISBLANK('2025'!$P249), 0, 1), 3, if(ISBLANK('2025'!$Q249), 0, 1), 4, if(ISBLANK('2025'!$R249), 0, 1), 5, if(ISBLANK('2025'!$S249), 0, 1), 6, if(ISBLANK('2025'!$T249), 0, 1), 7, 0))), 1, "")</f>
        <v/>
      </c>
      <c r="W251" s="1" t="str">
        <f>IF(AND(AND(AND(W$4&gt;='2025'!$L249,W$4&lt;='2025'!$M249), W$4&lt;&gt;DATE(2025,7,4)), (SWITCH(weekday(W$4), 1, 0, 2, if(ISBLANK('2025'!$P249), 0, 1), 3, if(ISBLANK('2025'!$Q249), 0, 1), 4, if(ISBLANK('2025'!$R249), 0, 1), 5, if(ISBLANK('2025'!$S249), 0, 1), 6, if(ISBLANK('2025'!$T249), 0, 1), 7, 0))), 1, "")</f>
        <v/>
      </c>
      <c r="X251" s="1" t="str">
        <f>IF(AND(AND(AND(X$4&gt;='2025'!$L249,X$4&lt;='2025'!$M249), X$4&lt;&gt;DATE(2025,7,4)), (SWITCH(weekday(X$4), 1, 0, 2, if(ISBLANK('2025'!$P249), 0, 1), 3, if(ISBLANK('2025'!$Q249), 0, 1), 4, if(ISBLANK('2025'!$R249), 0, 1), 5, if(ISBLANK('2025'!$S249), 0, 1), 6, if(ISBLANK('2025'!$T249), 0, 1), 7, 0))), 1, "")</f>
        <v/>
      </c>
      <c r="Y251" s="1" t="str">
        <f>IF(AND(AND(AND(Y$4&gt;='2025'!$L249,Y$4&lt;='2025'!$M249), Y$4&lt;&gt;DATE(2025,7,4)), (SWITCH(weekday(Y$4), 1, 0, 2, if(ISBLANK('2025'!$P249), 0, 1), 3, if(ISBLANK('2025'!$Q249), 0, 1), 4, if(ISBLANK('2025'!$R249), 0, 1), 5, if(ISBLANK('2025'!$S249), 0, 1), 6, if(ISBLANK('2025'!$T249), 0, 1), 7, 0))), 1, "")</f>
        <v/>
      </c>
      <c r="Z251" s="1" t="str">
        <f>IF(AND(AND(AND(Z$4&gt;='2025'!$L249,Z$4&lt;='2025'!$M249), Z$4&lt;&gt;DATE(2025,7,4)), (SWITCH(weekday(Z$4), 1, 0, 2, if(ISBLANK('2025'!$P249), 0, 1), 3, if(ISBLANK('2025'!$Q249), 0, 1), 4, if(ISBLANK('2025'!$R249), 0, 1), 5, if(ISBLANK('2025'!$S249), 0, 1), 6, if(ISBLANK('2025'!$T249), 0, 1), 7, 0))), 1, "")</f>
        <v/>
      </c>
      <c r="AA251" s="1" t="str">
        <f>IF(AND(AND(AND(AA$4&gt;='2025'!$L249,AA$4&lt;='2025'!$M249), AA$4&lt;&gt;DATE(2025,7,4)), (SWITCH(weekday(AA$4), 1, 0, 2, if(ISBLANK('2025'!$P249), 0, 1), 3, if(ISBLANK('2025'!$Q249), 0, 1), 4, if(ISBLANK('2025'!$R249), 0, 1), 5, if(ISBLANK('2025'!$S249), 0, 1), 6, if(ISBLANK('2025'!$T249), 0, 1), 7, 0))), 1, "")</f>
        <v/>
      </c>
      <c r="AB251" s="1" t="str">
        <f>IF(AND(AND(AND(AB$4&gt;='2025'!$L249,AB$4&lt;='2025'!$M249), AB$4&lt;&gt;DATE(2025,7,4)), (SWITCH(weekday(AB$4), 1, 0, 2, if(ISBLANK('2025'!$P249), 0, 1), 3, if(ISBLANK('2025'!$Q249), 0, 1), 4, if(ISBLANK('2025'!$R249), 0, 1), 5, if(ISBLANK('2025'!$S249), 0, 1), 6, if(ISBLANK('2025'!$T249), 0, 1), 7, 0))), 1, "")</f>
        <v/>
      </c>
      <c r="AC251" s="1" t="str">
        <f>IF(AND(AND(AND(AC$4&gt;='2025'!$L249,AC$4&lt;='2025'!$M249), AC$4&lt;&gt;DATE(2025,7,4)), (SWITCH(weekday(AC$4), 1, 0, 2, if(ISBLANK('2025'!$P249), 0, 1), 3, if(ISBLANK('2025'!$Q249), 0, 1), 4, if(ISBLANK('2025'!$R249), 0, 1), 5, if(ISBLANK('2025'!$S249), 0, 1), 6, if(ISBLANK('2025'!$T249), 0, 1), 7, 0))), 1, "")</f>
        <v/>
      </c>
      <c r="AD251" s="1" t="str">
        <f>IF(AND(AND(AND(AD$4&gt;='2025'!$L249,AD$4&lt;='2025'!$M249), AD$4&lt;&gt;DATE(2025,7,4)), (SWITCH(weekday(AD$4), 1, 0, 2, if(ISBLANK('2025'!$P249), 0, 1), 3, if(ISBLANK('2025'!$Q249), 0, 1), 4, if(ISBLANK('2025'!$R249), 0, 1), 5, if(ISBLANK('2025'!$S249), 0, 1), 6, if(ISBLANK('2025'!$T249), 0, 1), 7, 0))), 1, "")</f>
        <v/>
      </c>
      <c r="AE251" s="1" t="str">
        <f>IF(AND(AND(AND(AE$4&gt;='2025'!$L249,AE$4&lt;='2025'!$M249), AE$4&lt;&gt;DATE(2025,7,4)), (SWITCH(weekday(AE$4), 1, 0, 2, if(ISBLANK('2025'!$P249), 0, 1), 3, if(ISBLANK('2025'!$Q249), 0, 1), 4, if(ISBLANK('2025'!$R249), 0, 1), 5, if(ISBLANK('2025'!$S249), 0, 1), 6, if(ISBLANK('2025'!$T249), 0, 1), 7, 0))), 1, "")</f>
        <v/>
      </c>
      <c r="AF251" s="1" t="str">
        <f>IF(AND(AND(AND(AF$4&gt;='2025'!$L249,AF$4&lt;='2025'!$M249), AF$4&lt;&gt;DATE(2025,7,4)), (SWITCH(weekday(AF$4), 1, 0, 2, if(ISBLANK('2025'!$P249), 0, 1), 3, if(ISBLANK('2025'!$Q249), 0, 1), 4, if(ISBLANK('2025'!$R249), 0, 1), 5, if(ISBLANK('2025'!$S249), 0, 1), 6, if(ISBLANK('2025'!$T249), 0, 1), 7, 0))), 1, "")</f>
        <v/>
      </c>
      <c r="AG251" s="1" t="str">
        <f>IF(AND(AND(AND(AG$4&gt;='2025'!$L249,AG$4&lt;='2025'!$M249), AG$4&lt;&gt;DATE(2025,7,4)), (SWITCH(weekday(AG$4), 1, 0, 2, if(ISBLANK('2025'!$P249), 0, 1), 3, if(ISBLANK('2025'!$Q249), 0, 1), 4, if(ISBLANK('2025'!$R249), 0, 1), 5, if(ISBLANK('2025'!$S249), 0, 1), 6, if(ISBLANK('2025'!$T249), 0, 1), 7, 0))), 1, "")</f>
        <v/>
      </c>
      <c r="AH251" s="1" t="str">
        <f>IF(AND(AND(AND(AH$4&gt;='2025'!$L249,AH$4&lt;='2025'!$M249), AH$4&lt;&gt;DATE(2025,7,4)), (SWITCH(weekday(AH$4), 1, 0, 2, if(ISBLANK('2025'!$P249), 0, 1), 3, if(ISBLANK('2025'!$Q249), 0, 1), 4, if(ISBLANK('2025'!$R249), 0, 1), 5, if(ISBLANK('2025'!$S249), 0, 1), 6, if(ISBLANK('2025'!$T249), 0, 1), 7, 0))), 1, "")</f>
        <v/>
      </c>
      <c r="AI251" s="1" t="str">
        <f>IF(AND(AND(AND(AI$4&gt;='2025'!$L249,AI$4&lt;='2025'!$M249), AI$4&lt;&gt;DATE(2025,7,4)), (SWITCH(weekday(AI$4), 1, 0, 2, if(ISBLANK('2025'!$P249), 0, 1), 3, if(ISBLANK('2025'!$Q249), 0, 1), 4, if(ISBLANK('2025'!$R249), 0, 1), 5, if(ISBLANK('2025'!$S249), 0, 1), 6, if(ISBLANK('2025'!$T249), 0, 1), 7, 0))), 1, "")</f>
        <v/>
      </c>
      <c r="AJ251" s="1" t="str">
        <f>IF(AND(AND(AND(AJ$4&gt;='2025'!$L249,AJ$4&lt;='2025'!$M249), AJ$4&lt;&gt;DATE(2025,7,4)), (SWITCH(weekday(AJ$4), 1, 0, 2, if(ISBLANK('2025'!$P249), 0, 1), 3, if(ISBLANK('2025'!$Q249), 0, 1), 4, if(ISBLANK('2025'!$R249), 0, 1), 5, if(ISBLANK('2025'!$S249), 0, 1), 6, if(ISBLANK('2025'!$T249), 0, 1), 7, 0))), 1, "")</f>
        <v/>
      </c>
      <c r="AK251" s="1" t="str">
        <f>IF(AND(AND(AND(AK$4&gt;='2025'!$L249,AK$4&lt;='2025'!$M249), AK$4&lt;&gt;DATE(2025,7,4)), (SWITCH(weekday(AK$4), 1, 0, 2, if(ISBLANK('2025'!$P249), 0, 1), 3, if(ISBLANK('2025'!$Q249), 0, 1), 4, if(ISBLANK('2025'!$R249), 0, 1), 5, if(ISBLANK('2025'!$S249), 0, 1), 6, if(ISBLANK('2025'!$T249), 0, 1), 7, 0))), 1, "")</f>
        <v/>
      </c>
      <c r="AL251" s="1" t="str">
        <f>IF(AND(AND(AND(AL$4&gt;='2025'!$L249,AL$4&lt;='2025'!$M249), AL$4&lt;&gt;DATE(2025,7,4)), (SWITCH(weekday(AL$4), 1, 0, 2, if(ISBLANK('2025'!$P249), 0, 1), 3, if(ISBLANK('2025'!$Q249), 0, 1), 4, if(ISBLANK('2025'!$R249), 0, 1), 5, if(ISBLANK('2025'!$S249), 0, 1), 6, if(ISBLANK('2025'!$T249), 0, 1), 7, 0))), 1, "")</f>
        <v/>
      </c>
      <c r="AM251" s="1" t="str">
        <f>IF(AND(AND(AND(AM$4&gt;='2025'!$L249,AM$4&lt;='2025'!$M249), AM$4&lt;&gt;DATE(2025,7,4)), (SWITCH(weekday(AM$4), 1, 0, 2, if(ISBLANK('2025'!$P249), 0, 1), 3, if(ISBLANK('2025'!$Q249), 0, 1), 4, if(ISBLANK('2025'!$R249), 0, 1), 5, if(ISBLANK('2025'!$S249), 0, 1), 6, if(ISBLANK('2025'!$T249), 0, 1), 7, 0))), 1, "")</f>
        <v/>
      </c>
      <c r="AN251" s="1" t="str">
        <f>IF(AND(AND(AND(AN$4&gt;='2025'!$L249,AN$4&lt;='2025'!$M249), AN$4&lt;&gt;DATE(2025,7,4)), (SWITCH(weekday(AN$4), 1, 0, 2, if(ISBLANK('2025'!$P249), 0, 1), 3, if(ISBLANK('2025'!$Q249), 0, 1), 4, if(ISBLANK('2025'!$R249), 0, 1), 5, if(ISBLANK('2025'!$S249), 0, 1), 6, if(ISBLANK('2025'!$T249), 0, 1), 7, 0))), 1, "")</f>
        <v/>
      </c>
      <c r="AO251" s="1" t="str">
        <f>IF(AND(AND(AND(AO$4&gt;='2025'!$L249,AO$4&lt;='2025'!$M249), AO$4&lt;&gt;DATE(2025,7,4)), (SWITCH(weekday(AO$4), 1, 0, 2, if(ISBLANK('2025'!$P249), 0, 1), 3, if(ISBLANK('2025'!$Q249), 0, 1), 4, if(ISBLANK('2025'!$R249), 0, 1), 5, if(ISBLANK('2025'!$S249), 0, 1), 6, if(ISBLANK('2025'!$T249), 0, 1), 7, 0))), 1, "")</f>
        <v/>
      </c>
      <c r="AP251" s="1" t="str">
        <f>IF(AND(AND(AND(AP$4&gt;='2025'!$L249,AP$4&lt;='2025'!$M249), AP$4&lt;&gt;DATE(2025,7,4)), (SWITCH(weekday(AP$4), 1, 0, 2, if(ISBLANK('2025'!$P249), 0, 1), 3, if(ISBLANK('2025'!$Q249), 0, 1), 4, if(ISBLANK('2025'!$R249), 0, 1), 5, if(ISBLANK('2025'!$S249), 0, 1), 6, if(ISBLANK('2025'!$T249), 0, 1), 7, 0))), 1, "")</f>
        <v/>
      </c>
      <c r="AQ251" s="1" t="str">
        <f>IF(AND(AND(AND(AQ$4&gt;='2025'!$L249,AQ$4&lt;='2025'!$M249), AQ$4&lt;&gt;DATE(2025,7,4)), (SWITCH(weekday(AQ$4), 1, 0, 2, if(ISBLANK('2025'!$P249), 0, 1), 3, if(ISBLANK('2025'!$Q249), 0, 1), 4, if(ISBLANK('2025'!$R249), 0, 1), 5, if(ISBLANK('2025'!$S249), 0, 1), 6, if(ISBLANK('2025'!$T249), 0, 1), 7, 0))), 1, "")</f>
        <v/>
      </c>
      <c r="AR251" s="1" t="str">
        <f>IF(AND(AND(AND(AR$4&gt;='2025'!$L249,AR$4&lt;='2025'!$M249), AR$4&lt;&gt;DATE(2025,7,4)), (SWITCH(weekday(AR$4), 1, 0, 2, if(ISBLANK('2025'!$P249), 0, 1), 3, if(ISBLANK('2025'!$Q249), 0, 1), 4, if(ISBLANK('2025'!$R249), 0, 1), 5, if(ISBLANK('2025'!$S249), 0, 1), 6, if(ISBLANK('2025'!$T249), 0, 1), 7, 0))), 1, "")</f>
        <v/>
      </c>
      <c r="AS251" s="1" t="str">
        <f>IF(AND(AND(AND(AS$4&gt;='2025'!$L249,AS$4&lt;='2025'!$M249), AS$4&lt;&gt;DATE(2025,7,4)), (SWITCH(weekday(AS$4), 1, 0, 2, if(ISBLANK('2025'!$P249), 0, 1), 3, if(ISBLANK('2025'!$Q249), 0, 1), 4, if(ISBLANK('2025'!$R249), 0, 1), 5, if(ISBLANK('2025'!$S249), 0, 1), 6, if(ISBLANK('2025'!$T249), 0, 1), 7, 0))), 1, "")</f>
        <v/>
      </c>
      <c r="AT251" s="1" t="str">
        <f>IF(AND(AND(AND(AT$4&gt;='2025'!$L249,AT$4&lt;='2025'!$M249), AT$4&lt;&gt;DATE(2025,7,4)), (SWITCH(weekday(AT$4), 1, 0, 2, if(ISBLANK('2025'!$P249), 0, 1), 3, if(ISBLANK('2025'!$Q249), 0, 1), 4, if(ISBLANK('2025'!$R249), 0, 1), 5, if(ISBLANK('2025'!$S249), 0, 1), 6, if(ISBLANK('2025'!$T249), 0, 1), 7, 0))), 1, "")</f>
        <v/>
      </c>
      <c r="AU251" s="1" t="str">
        <f>IF(AND(AND(AND(AU$4&gt;='2025'!$L249,AU$4&lt;='2025'!$M249), AU$4&lt;&gt;DATE(2025,7,4)), (SWITCH(weekday(AU$4), 1, 0, 2, if(ISBLANK('2025'!$P249), 0, 1), 3, if(ISBLANK('2025'!$Q249), 0, 1), 4, if(ISBLANK('2025'!$R249), 0, 1), 5, if(ISBLANK('2025'!$S249), 0, 1), 6, if(ISBLANK('2025'!$T249), 0, 1), 7, 0))), 1, "")</f>
        <v/>
      </c>
      <c r="AV251" s="1" t="str">
        <f>IF(AND(AND(AND(AV$4&gt;='2025'!$L249,AV$4&lt;='2025'!$M249), AV$4&lt;&gt;DATE(2025,7,4)), (SWITCH(weekday(AV$4), 1, 0, 2, if(ISBLANK('2025'!$P249), 0, 1), 3, if(ISBLANK('2025'!$Q249), 0, 1), 4, if(ISBLANK('2025'!$R249), 0, 1), 5, if(ISBLANK('2025'!$S249), 0, 1), 6, if(ISBLANK('2025'!$T249), 0, 1), 7, 0))), 1, "")</f>
        <v/>
      </c>
      <c r="AW251" s="1" t="str">
        <f>IF(AND(AND(AND(AW$4&gt;='2025'!$L249,AW$4&lt;='2025'!$M249), AW$4&lt;&gt;DATE(2025,7,4)), (SWITCH(weekday(AW$4), 1, 0, 2, if(ISBLANK('2025'!$P249), 0, 1), 3, if(ISBLANK('2025'!$Q249), 0, 1), 4, if(ISBLANK('2025'!$R249), 0, 1), 5, if(ISBLANK('2025'!$S249), 0, 1), 6, if(ISBLANK('2025'!$T249), 0, 1), 7, 0))), 1, "")</f>
        <v/>
      </c>
      <c r="AX251" s="1" t="str">
        <f>IF(AND(AND(AND(AX$4&gt;='2025'!$L249,AX$4&lt;='2025'!$M249), AX$4&lt;&gt;DATE(2025,7,4)), (SWITCH(weekday(AX$4), 1, 0, 2, if(ISBLANK('2025'!$P249), 0, 1), 3, if(ISBLANK('2025'!$Q249), 0, 1), 4, if(ISBLANK('2025'!$R249), 0, 1), 5, if(ISBLANK('2025'!$S249), 0, 1), 6, if(ISBLANK('2025'!$T249), 0, 1), 7, 0))), 1, "")</f>
        <v/>
      </c>
      <c r="AY251" s="1" t="str">
        <f>IF(AND(AND(AND(AY$4&gt;='2025'!$L249,AY$4&lt;='2025'!$M249), AY$4&lt;&gt;DATE(2025,7,4)), (SWITCH(weekday(AY$4), 1, 0, 2, if(ISBLANK('2025'!$P249), 0, 1), 3, if(ISBLANK('2025'!$Q249), 0, 1), 4, if(ISBLANK('2025'!$R249), 0, 1), 5, if(ISBLANK('2025'!$S249), 0, 1), 6, if(ISBLANK('2025'!$T249), 0, 1), 7, 0))), 1, "")</f>
        <v/>
      </c>
      <c r="AZ251" s="1" t="str">
        <f>IF(AND(AND(AND(AZ$4&gt;='2025'!$L249,AZ$4&lt;='2025'!$M249), AZ$4&lt;&gt;DATE(2025,7,4)), (SWITCH(weekday(AZ$4), 1, 0, 2, if(ISBLANK('2025'!$P249), 0, 1), 3, if(ISBLANK('2025'!$Q249), 0, 1), 4, if(ISBLANK('2025'!$R249), 0, 1), 5, if(ISBLANK('2025'!$S249), 0, 1), 6, if(ISBLANK('2025'!$T249), 0, 1), 7, 0))), 1, "")</f>
        <v/>
      </c>
      <c r="BA251" s="1" t="str">
        <f>IF(AND(AND(AND(BA$4&gt;='2025'!$L249,BA$4&lt;='2025'!$M249), BA$4&lt;&gt;DATE(2025,7,4)), (SWITCH(weekday(BA$4), 1, 0, 2, if(ISBLANK('2025'!$P249), 0, 1), 3, if(ISBLANK('2025'!$Q249), 0, 1), 4, if(ISBLANK('2025'!$R249), 0, 1), 5, if(ISBLANK('2025'!$S249), 0, 1), 6, if(ISBLANK('2025'!$T249), 0, 1), 7, 0))), 1, "")</f>
        <v/>
      </c>
      <c r="BB251" s="1" t="str">
        <f>IF(AND(AND(AND(BB$4&gt;='2025'!$L249,BB$4&lt;='2025'!$M249), BB$4&lt;&gt;DATE(2025,7,4)), (SWITCH(weekday(BB$4), 1, 0, 2, if(ISBLANK('2025'!$P249), 0, 1), 3, if(ISBLANK('2025'!$Q249), 0, 1), 4, if(ISBLANK('2025'!$R249), 0, 1), 5, if(ISBLANK('2025'!$S249), 0, 1), 6, if(ISBLANK('2025'!$T249), 0, 1), 7, 0))), 1, "")</f>
        <v/>
      </c>
      <c r="BC251" s="1" t="str">
        <f>IF(AND(AND(AND(BC$4&gt;='2025'!$L249,BC$4&lt;='2025'!$M249), BC$4&lt;&gt;DATE(2025,7,4)), (SWITCH(weekday(BC$4), 1, 0, 2, if(ISBLANK('2025'!$P249), 0, 1), 3, if(ISBLANK('2025'!$Q249), 0, 1), 4, if(ISBLANK('2025'!$R249), 0, 1), 5, if(ISBLANK('2025'!$S249), 0, 1), 6, if(ISBLANK('2025'!$T249), 0, 1), 7, 0))), 1, "")</f>
        <v/>
      </c>
      <c r="BD251" s="1" t="str">
        <f>IF(AND(AND(AND(BD$4&gt;='2025'!$L249,BD$4&lt;='2025'!$M249), BD$4&lt;&gt;DATE(2025,7,4)), (SWITCH(weekday(BD$4), 1, 0, 2, if(ISBLANK('2025'!$P249), 0, 1), 3, if(ISBLANK('2025'!$Q249), 0, 1), 4, if(ISBLANK('2025'!$R249), 0, 1), 5, if(ISBLANK('2025'!$S249), 0, 1), 6, if(ISBLANK('2025'!$T249), 0, 1), 7, 0))), 1, "")</f>
        <v/>
      </c>
      <c r="BE251" s="1" t="str">
        <f>IF(AND(AND(AND(BE$4&gt;='2025'!$L249,BE$4&lt;='2025'!$M249), BE$4&lt;&gt;DATE(2025,7,4)), (SWITCH(weekday(BE$4), 1, 0, 2, if(ISBLANK('2025'!$P249), 0, 1), 3, if(ISBLANK('2025'!$Q249), 0, 1), 4, if(ISBLANK('2025'!$R249), 0, 1), 5, if(ISBLANK('2025'!$S249), 0, 1), 6, if(ISBLANK('2025'!$T249), 0, 1), 7, 0))), 1, "")</f>
        <v/>
      </c>
      <c r="BF251" s="1" t="str">
        <f>IF(AND(AND(AND(BF$4&gt;='2025'!$L249,BF$4&lt;='2025'!$M249), BF$4&lt;&gt;DATE(2025,7,4)), (SWITCH(weekday(BF$4), 1, 0, 2, if(ISBLANK('2025'!$P249), 0, 1), 3, if(ISBLANK('2025'!$Q249), 0, 1), 4, if(ISBLANK('2025'!$R249), 0, 1), 5, if(ISBLANK('2025'!$S249), 0, 1), 6, if(ISBLANK('2025'!$T249), 0, 1), 7, 0))), 1, "")</f>
        <v/>
      </c>
      <c r="BG251" s="1"/>
      <c r="BH251" s="1"/>
      <c r="BI251" s="1"/>
      <c r="BJ251" s="1"/>
      <c r="BK251" s="1"/>
      <c r="BL251" s="1"/>
    </row>
    <row r="252">
      <c r="A252" s="1">
        <f t="shared" si="3"/>
        <v>252</v>
      </c>
      <c r="B252" s="1" t="str">
        <f>'2025'!D216</f>
        <v>, </v>
      </c>
      <c r="C252" s="1" t="str">
        <f>'2025'!H216</f>
        <v/>
      </c>
      <c r="D252" s="1" t="str">
        <f>IF(AND(AND(AND(D$4&gt;='2025'!$L250,D$4&lt;='2025'!$M250), D$4&lt;&gt;DATE(2025,7,4)), (SWITCH(weekday(D$4), 1, 0, 2, if(ISBLANK('2025'!$P250), 0, 1), 3, if(ISBLANK('2025'!$Q250), 0, 1), 4, if(ISBLANK('2025'!$R250), 0, 1), 5, if(ISBLANK('2025'!$S250), 0, 1), 6, if(ISBLANK('2025'!$T250), 0, 1), 7, 0))), 1, "")</f>
        <v/>
      </c>
      <c r="E252" s="1" t="str">
        <f>IF(AND(AND(AND(E$4&gt;='2025'!$L250,E$4&lt;='2025'!$M250), E$4&lt;&gt;DATE(2025,7,4)), (SWITCH(weekday(E$4), 1, 0, 2, if(ISBLANK('2025'!$P250), 0, 1), 3, if(ISBLANK('2025'!$Q250), 0, 1), 4, if(ISBLANK('2025'!$R250), 0, 1), 5, if(ISBLANK('2025'!$S250), 0, 1), 6, if(ISBLANK('2025'!$T250), 0, 1), 7, 0))), 1, "")</f>
        <v/>
      </c>
      <c r="F252" s="1" t="str">
        <f>IF(AND(AND(AND(F$4&gt;='2025'!$L250,F$4&lt;='2025'!$M250), F$4&lt;&gt;DATE(2025,7,4)), (SWITCH(weekday(F$4), 1, 0, 2, if(ISBLANK('2025'!$P250), 0, 1), 3, if(ISBLANK('2025'!$Q250), 0, 1), 4, if(ISBLANK('2025'!$R250), 0, 1), 5, if(ISBLANK('2025'!$S250), 0, 1), 6, if(ISBLANK('2025'!$T250), 0, 1), 7, 0))), 1, "")</f>
        <v/>
      </c>
      <c r="G252" s="1" t="str">
        <f>IF(AND(AND(AND(G$4&gt;='2025'!$L250,G$4&lt;='2025'!$M250), G$4&lt;&gt;DATE(2025,7,4)), (SWITCH(weekday(G$4), 1, 0, 2, if(ISBLANK('2025'!$P250), 0, 1), 3, if(ISBLANK('2025'!$Q250), 0, 1), 4, if(ISBLANK('2025'!$R250), 0, 1), 5, if(ISBLANK('2025'!$S250), 0, 1), 6, if(ISBLANK('2025'!$T250), 0, 1), 7, 0))), 1, "")</f>
        <v/>
      </c>
      <c r="H252" s="1" t="str">
        <f>IF(AND(AND(AND(H$4&gt;='2025'!$L250,H$4&lt;='2025'!$M250), H$4&lt;&gt;DATE(2025,7,4)), (SWITCH(weekday(H$4), 1, 0, 2, if(ISBLANK('2025'!$P250), 0, 1), 3, if(ISBLANK('2025'!$Q250), 0, 1), 4, if(ISBLANK('2025'!$R250), 0, 1), 5, if(ISBLANK('2025'!$S250), 0, 1), 6, if(ISBLANK('2025'!$T250), 0, 1), 7, 0))), 1, "")</f>
        <v/>
      </c>
      <c r="I252" s="1" t="str">
        <f>IF(AND(AND(AND(I$4&gt;='2025'!$L250,I$4&lt;='2025'!$M250), I$4&lt;&gt;DATE(2025,7,4)), (SWITCH(weekday(I$4), 1, 0, 2, if(ISBLANK('2025'!$P250), 0, 1), 3, if(ISBLANK('2025'!$Q250), 0, 1), 4, if(ISBLANK('2025'!$R250), 0, 1), 5, if(ISBLANK('2025'!$S250), 0, 1), 6, if(ISBLANK('2025'!$T250), 0, 1), 7, 0))), 1, "")</f>
        <v/>
      </c>
      <c r="J252" s="1" t="str">
        <f>IF(AND(AND(AND(J$4&gt;='2025'!$L250,J$4&lt;='2025'!$M250), J$4&lt;&gt;DATE(2025,7,4)), (SWITCH(weekday(J$4), 1, 0, 2, if(ISBLANK('2025'!$P250), 0, 1), 3, if(ISBLANK('2025'!$Q250), 0, 1), 4, if(ISBLANK('2025'!$R250), 0, 1), 5, if(ISBLANK('2025'!$S250), 0, 1), 6, if(ISBLANK('2025'!$T250), 0, 1), 7, 0))), 1, "")</f>
        <v/>
      </c>
      <c r="K252" s="1" t="str">
        <f>IF(AND(AND(AND(K$4&gt;='2025'!$L250,K$4&lt;='2025'!$M250), K$4&lt;&gt;DATE(2025,7,4)), (SWITCH(weekday(K$4), 1, 0, 2, if(ISBLANK('2025'!$P250), 0, 1), 3, if(ISBLANK('2025'!$Q250), 0, 1), 4, if(ISBLANK('2025'!$R250), 0, 1), 5, if(ISBLANK('2025'!$S250), 0, 1), 6, if(ISBLANK('2025'!$T250), 0, 1), 7, 0))), 1, "")</f>
        <v/>
      </c>
      <c r="L252" s="1" t="str">
        <f>IF(AND(AND(AND(L$4&gt;='2025'!$L250,L$4&lt;='2025'!$M250), L$4&lt;&gt;DATE(2025,7,4)), (SWITCH(weekday(L$4), 1, 0, 2, if(ISBLANK('2025'!$P250), 0, 1), 3, if(ISBLANK('2025'!$Q250), 0, 1), 4, if(ISBLANK('2025'!$R250), 0, 1), 5, if(ISBLANK('2025'!$S250), 0, 1), 6, if(ISBLANK('2025'!$T250), 0, 1), 7, 0))), 1, "")</f>
        <v/>
      </c>
      <c r="M252" s="1" t="str">
        <f>IF(AND(AND(AND(M$4&gt;='2025'!$L250,M$4&lt;='2025'!$M250), M$4&lt;&gt;DATE(2025,7,4)), (SWITCH(weekday(M$4), 1, 0, 2, if(ISBLANK('2025'!$P250), 0, 1), 3, if(ISBLANK('2025'!$Q250), 0, 1), 4, if(ISBLANK('2025'!$R250), 0, 1), 5, if(ISBLANK('2025'!$S250), 0, 1), 6, if(ISBLANK('2025'!$T250), 0, 1), 7, 0))), 1, "")</f>
        <v/>
      </c>
      <c r="N252" s="1" t="str">
        <f>IF(AND(AND(AND(N$4&gt;='2025'!$L250,N$4&lt;='2025'!$M250), N$4&lt;&gt;DATE(2025,7,4)), (SWITCH(weekday(N$4), 1, 0, 2, if(ISBLANK('2025'!$P250), 0, 1), 3, if(ISBLANK('2025'!$Q250), 0, 1), 4, if(ISBLANK('2025'!$R250), 0, 1), 5, if(ISBLANK('2025'!$S250), 0, 1), 6, if(ISBLANK('2025'!$T250), 0, 1), 7, 0))), 1, "")</f>
        <v/>
      </c>
      <c r="O252" s="1" t="str">
        <f>IF(AND(AND(AND(O$4&gt;='2025'!$L250,O$4&lt;='2025'!$M250), O$4&lt;&gt;DATE(2025,7,4)), (SWITCH(weekday(O$4), 1, 0, 2, if(ISBLANK('2025'!$P250), 0, 1), 3, if(ISBLANK('2025'!$Q250), 0, 1), 4, if(ISBLANK('2025'!$R250), 0, 1), 5, if(ISBLANK('2025'!$S250), 0, 1), 6, if(ISBLANK('2025'!$T250), 0, 1), 7, 0))), 1, "")</f>
        <v/>
      </c>
      <c r="P252" s="1" t="str">
        <f>IF(AND(AND(AND(P$4&gt;='2025'!$L250,P$4&lt;='2025'!$M250), P$4&lt;&gt;DATE(2025,7,4)), (SWITCH(weekday(P$4), 1, 0, 2, if(ISBLANK('2025'!$P250), 0, 1), 3, if(ISBLANK('2025'!$Q250), 0, 1), 4, if(ISBLANK('2025'!$R250), 0, 1), 5, if(ISBLANK('2025'!$S250), 0, 1), 6, if(ISBLANK('2025'!$T250), 0, 1), 7, 0))), 1, "")</f>
        <v/>
      </c>
      <c r="Q252" s="1" t="str">
        <f>IF(AND(AND(AND(Q$4&gt;='2025'!$L250,Q$4&lt;='2025'!$M250), Q$4&lt;&gt;DATE(2025,7,4)), (SWITCH(weekday(Q$4), 1, 0, 2, if(ISBLANK('2025'!$P250), 0, 1), 3, if(ISBLANK('2025'!$Q250), 0, 1), 4, if(ISBLANK('2025'!$R250), 0, 1), 5, if(ISBLANK('2025'!$S250), 0, 1), 6, if(ISBLANK('2025'!$T250), 0, 1), 7, 0))), 1, "")</f>
        <v/>
      </c>
      <c r="R252" s="1" t="str">
        <f>IF(AND(AND(AND(R$4&gt;='2025'!$L250,R$4&lt;='2025'!$M250), R$4&lt;&gt;DATE(2025,7,4)), (SWITCH(weekday(R$4), 1, 0, 2, if(ISBLANK('2025'!$P250), 0, 1), 3, if(ISBLANK('2025'!$Q250), 0, 1), 4, if(ISBLANK('2025'!$R250), 0, 1), 5, if(ISBLANK('2025'!$S250), 0, 1), 6, if(ISBLANK('2025'!$T250), 0, 1), 7, 0))), 1, "")</f>
        <v/>
      </c>
      <c r="S252" s="1" t="str">
        <f>IF(AND(AND(AND(S$4&gt;='2025'!$L250,S$4&lt;='2025'!$M250), S$4&lt;&gt;DATE(2025,7,4)), (SWITCH(weekday(S$4), 1, 0, 2, if(ISBLANK('2025'!$P250), 0, 1), 3, if(ISBLANK('2025'!$Q250), 0, 1), 4, if(ISBLANK('2025'!$R250), 0, 1), 5, if(ISBLANK('2025'!$S250), 0, 1), 6, if(ISBLANK('2025'!$T250), 0, 1), 7, 0))), 1, "")</f>
        <v/>
      </c>
      <c r="T252" s="1" t="str">
        <f>IF(AND(AND(AND(T$4&gt;='2025'!$L250,T$4&lt;='2025'!$M250), T$4&lt;&gt;DATE(2025,7,4)), (SWITCH(weekday(T$4), 1, 0, 2, if(ISBLANK('2025'!$P250), 0, 1), 3, if(ISBLANK('2025'!$Q250), 0, 1), 4, if(ISBLANK('2025'!$R250), 0, 1), 5, if(ISBLANK('2025'!$S250), 0, 1), 6, if(ISBLANK('2025'!$T250), 0, 1), 7, 0))), 1, "")</f>
        <v/>
      </c>
      <c r="U252" s="1" t="str">
        <f>IF(AND(AND(AND(U$4&gt;='2025'!$L250,U$4&lt;='2025'!$M250), U$4&lt;&gt;DATE(2025,7,4)), (SWITCH(weekday(U$4), 1, 0, 2, if(ISBLANK('2025'!$P250), 0, 1), 3, if(ISBLANK('2025'!$Q250), 0, 1), 4, if(ISBLANK('2025'!$R250), 0, 1), 5, if(ISBLANK('2025'!$S250), 0, 1), 6, if(ISBLANK('2025'!$T250), 0, 1), 7, 0))), 1, "")</f>
        <v/>
      </c>
      <c r="V252" s="1" t="str">
        <f>IF(AND(AND(AND(V$4&gt;='2025'!$L250,V$4&lt;='2025'!$M250), V$4&lt;&gt;DATE(2025,7,4)), (SWITCH(weekday(V$4), 1, 0, 2, if(ISBLANK('2025'!$P250), 0, 1), 3, if(ISBLANK('2025'!$Q250), 0, 1), 4, if(ISBLANK('2025'!$R250), 0, 1), 5, if(ISBLANK('2025'!$S250), 0, 1), 6, if(ISBLANK('2025'!$T250), 0, 1), 7, 0))), 1, "")</f>
        <v/>
      </c>
      <c r="W252" s="1" t="str">
        <f>IF(AND(AND(AND(W$4&gt;='2025'!$L250,W$4&lt;='2025'!$M250), W$4&lt;&gt;DATE(2025,7,4)), (SWITCH(weekday(W$4), 1, 0, 2, if(ISBLANK('2025'!$P250), 0, 1), 3, if(ISBLANK('2025'!$Q250), 0, 1), 4, if(ISBLANK('2025'!$R250), 0, 1), 5, if(ISBLANK('2025'!$S250), 0, 1), 6, if(ISBLANK('2025'!$T250), 0, 1), 7, 0))), 1, "")</f>
        <v/>
      </c>
      <c r="X252" s="1" t="str">
        <f>IF(AND(AND(AND(X$4&gt;='2025'!$L250,X$4&lt;='2025'!$M250), X$4&lt;&gt;DATE(2025,7,4)), (SWITCH(weekday(X$4), 1, 0, 2, if(ISBLANK('2025'!$P250), 0, 1), 3, if(ISBLANK('2025'!$Q250), 0, 1), 4, if(ISBLANK('2025'!$R250), 0, 1), 5, if(ISBLANK('2025'!$S250), 0, 1), 6, if(ISBLANK('2025'!$T250), 0, 1), 7, 0))), 1, "")</f>
        <v/>
      </c>
      <c r="Y252" s="1" t="str">
        <f>IF(AND(AND(AND(Y$4&gt;='2025'!$L250,Y$4&lt;='2025'!$M250), Y$4&lt;&gt;DATE(2025,7,4)), (SWITCH(weekday(Y$4), 1, 0, 2, if(ISBLANK('2025'!$P250), 0, 1), 3, if(ISBLANK('2025'!$Q250), 0, 1), 4, if(ISBLANK('2025'!$R250), 0, 1), 5, if(ISBLANK('2025'!$S250), 0, 1), 6, if(ISBLANK('2025'!$T250), 0, 1), 7, 0))), 1, "")</f>
        <v/>
      </c>
      <c r="Z252" s="1" t="str">
        <f>IF(AND(AND(AND(Z$4&gt;='2025'!$L250,Z$4&lt;='2025'!$M250), Z$4&lt;&gt;DATE(2025,7,4)), (SWITCH(weekday(Z$4), 1, 0, 2, if(ISBLANK('2025'!$P250), 0, 1), 3, if(ISBLANK('2025'!$Q250), 0, 1), 4, if(ISBLANK('2025'!$R250), 0, 1), 5, if(ISBLANK('2025'!$S250), 0, 1), 6, if(ISBLANK('2025'!$T250), 0, 1), 7, 0))), 1, "")</f>
        <v/>
      </c>
      <c r="AA252" s="1" t="str">
        <f>IF(AND(AND(AND(AA$4&gt;='2025'!$L250,AA$4&lt;='2025'!$M250), AA$4&lt;&gt;DATE(2025,7,4)), (SWITCH(weekday(AA$4), 1, 0, 2, if(ISBLANK('2025'!$P250), 0, 1), 3, if(ISBLANK('2025'!$Q250), 0, 1), 4, if(ISBLANK('2025'!$R250), 0, 1), 5, if(ISBLANK('2025'!$S250), 0, 1), 6, if(ISBLANK('2025'!$T250), 0, 1), 7, 0))), 1, "")</f>
        <v/>
      </c>
      <c r="AB252" s="1" t="str">
        <f>IF(AND(AND(AND(AB$4&gt;='2025'!$L250,AB$4&lt;='2025'!$M250), AB$4&lt;&gt;DATE(2025,7,4)), (SWITCH(weekday(AB$4), 1, 0, 2, if(ISBLANK('2025'!$P250), 0, 1), 3, if(ISBLANK('2025'!$Q250), 0, 1), 4, if(ISBLANK('2025'!$R250), 0, 1), 5, if(ISBLANK('2025'!$S250), 0, 1), 6, if(ISBLANK('2025'!$T250), 0, 1), 7, 0))), 1, "")</f>
        <v/>
      </c>
      <c r="AC252" s="1" t="str">
        <f>IF(AND(AND(AND(AC$4&gt;='2025'!$L250,AC$4&lt;='2025'!$M250), AC$4&lt;&gt;DATE(2025,7,4)), (SWITCH(weekday(AC$4), 1, 0, 2, if(ISBLANK('2025'!$P250), 0, 1), 3, if(ISBLANK('2025'!$Q250), 0, 1), 4, if(ISBLANK('2025'!$R250), 0, 1), 5, if(ISBLANK('2025'!$S250), 0, 1), 6, if(ISBLANK('2025'!$T250), 0, 1), 7, 0))), 1, "")</f>
        <v/>
      </c>
      <c r="AD252" s="1" t="str">
        <f>IF(AND(AND(AND(AD$4&gt;='2025'!$L250,AD$4&lt;='2025'!$M250), AD$4&lt;&gt;DATE(2025,7,4)), (SWITCH(weekday(AD$4), 1, 0, 2, if(ISBLANK('2025'!$P250), 0, 1), 3, if(ISBLANK('2025'!$Q250), 0, 1), 4, if(ISBLANK('2025'!$R250), 0, 1), 5, if(ISBLANK('2025'!$S250), 0, 1), 6, if(ISBLANK('2025'!$T250), 0, 1), 7, 0))), 1, "")</f>
        <v/>
      </c>
      <c r="AE252" s="1" t="str">
        <f>IF(AND(AND(AND(AE$4&gt;='2025'!$L250,AE$4&lt;='2025'!$M250), AE$4&lt;&gt;DATE(2025,7,4)), (SWITCH(weekday(AE$4), 1, 0, 2, if(ISBLANK('2025'!$P250), 0, 1), 3, if(ISBLANK('2025'!$Q250), 0, 1), 4, if(ISBLANK('2025'!$R250), 0, 1), 5, if(ISBLANK('2025'!$S250), 0, 1), 6, if(ISBLANK('2025'!$T250), 0, 1), 7, 0))), 1, "")</f>
        <v/>
      </c>
      <c r="AF252" s="1" t="str">
        <f>IF(AND(AND(AND(AF$4&gt;='2025'!$L250,AF$4&lt;='2025'!$M250), AF$4&lt;&gt;DATE(2025,7,4)), (SWITCH(weekday(AF$4), 1, 0, 2, if(ISBLANK('2025'!$P250), 0, 1), 3, if(ISBLANK('2025'!$Q250), 0, 1), 4, if(ISBLANK('2025'!$R250), 0, 1), 5, if(ISBLANK('2025'!$S250), 0, 1), 6, if(ISBLANK('2025'!$T250), 0, 1), 7, 0))), 1, "")</f>
        <v/>
      </c>
      <c r="AG252" s="1" t="str">
        <f>IF(AND(AND(AND(AG$4&gt;='2025'!$L250,AG$4&lt;='2025'!$M250), AG$4&lt;&gt;DATE(2025,7,4)), (SWITCH(weekday(AG$4), 1, 0, 2, if(ISBLANK('2025'!$P250), 0, 1), 3, if(ISBLANK('2025'!$Q250), 0, 1), 4, if(ISBLANK('2025'!$R250), 0, 1), 5, if(ISBLANK('2025'!$S250), 0, 1), 6, if(ISBLANK('2025'!$T250), 0, 1), 7, 0))), 1, "")</f>
        <v/>
      </c>
      <c r="AH252" s="1" t="str">
        <f>IF(AND(AND(AND(AH$4&gt;='2025'!$L250,AH$4&lt;='2025'!$M250), AH$4&lt;&gt;DATE(2025,7,4)), (SWITCH(weekday(AH$4), 1, 0, 2, if(ISBLANK('2025'!$P250), 0, 1), 3, if(ISBLANK('2025'!$Q250), 0, 1), 4, if(ISBLANK('2025'!$R250), 0, 1), 5, if(ISBLANK('2025'!$S250), 0, 1), 6, if(ISBLANK('2025'!$T250), 0, 1), 7, 0))), 1, "")</f>
        <v/>
      </c>
      <c r="AI252" s="1" t="str">
        <f>IF(AND(AND(AND(AI$4&gt;='2025'!$L250,AI$4&lt;='2025'!$M250), AI$4&lt;&gt;DATE(2025,7,4)), (SWITCH(weekday(AI$4), 1, 0, 2, if(ISBLANK('2025'!$P250), 0, 1), 3, if(ISBLANK('2025'!$Q250), 0, 1), 4, if(ISBLANK('2025'!$R250), 0, 1), 5, if(ISBLANK('2025'!$S250), 0, 1), 6, if(ISBLANK('2025'!$T250), 0, 1), 7, 0))), 1, "")</f>
        <v/>
      </c>
      <c r="AJ252" s="1" t="str">
        <f>IF(AND(AND(AND(AJ$4&gt;='2025'!$L250,AJ$4&lt;='2025'!$M250), AJ$4&lt;&gt;DATE(2025,7,4)), (SWITCH(weekday(AJ$4), 1, 0, 2, if(ISBLANK('2025'!$P250), 0, 1), 3, if(ISBLANK('2025'!$Q250), 0, 1), 4, if(ISBLANK('2025'!$R250), 0, 1), 5, if(ISBLANK('2025'!$S250), 0, 1), 6, if(ISBLANK('2025'!$T250), 0, 1), 7, 0))), 1, "")</f>
        <v/>
      </c>
      <c r="AK252" s="1" t="str">
        <f>IF(AND(AND(AND(AK$4&gt;='2025'!$L250,AK$4&lt;='2025'!$M250), AK$4&lt;&gt;DATE(2025,7,4)), (SWITCH(weekday(AK$4), 1, 0, 2, if(ISBLANK('2025'!$P250), 0, 1), 3, if(ISBLANK('2025'!$Q250), 0, 1), 4, if(ISBLANK('2025'!$R250), 0, 1), 5, if(ISBLANK('2025'!$S250), 0, 1), 6, if(ISBLANK('2025'!$T250), 0, 1), 7, 0))), 1, "")</f>
        <v/>
      </c>
      <c r="AL252" s="1" t="str">
        <f>IF(AND(AND(AND(AL$4&gt;='2025'!$L250,AL$4&lt;='2025'!$M250), AL$4&lt;&gt;DATE(2025,7,4)), (SWITCH(weekday(AL$4), 1, 0, 2, if(ISBLANK('2025'!$P250), 0, 1), 3, if(ISBLANK('2025'!$Q250), 0, 1), 4, if(ISBLANK('2025'!$R250), 0, 1), 5, if(ISBLANK('2025'!$S250), 0, 1), 6, if(ISBLANK('2025'!$T250), 0, 1), 7, 0))), 1, "")</f>
        <v/>
      </c>
      <c r="AM252" s="1" t="str">
        <f>IF(AND(AND(AND(AM$4&gt;='2025'!$L250,AM$4&lt;='2025'!$M250), AM$4&lt;&gt;DATE(2025,7,4)), (SWITCH(weekday(AM$4), 1, 0, 2, if(ISBLANK('2025'!$P250), 0, 1), 3, if(ISBLANK('2025'!$Q250), 0, 1), 4, if(ISBLANK('2025'!$R250), 0, 1), 5, if(ISBLANK('2025'!$S250), 0, 1), 6, if(ISBLANK('2025'!$T250), 0, 1), 7, 0))), 1, "")</f>
        <v/>
      </c>
      <c r="AN252" s="1" t="str">
        <f>IF(AND(AND(AND(AN$4&gt;='2025'!$L250,AN$4&lt;='2025'!$M250), AN$4&lt;&gt;DATE(2025,7,4)), (SWITCH(weekday(AN$4), 1, 0, 2, if(ISBLANK('2025'!$P250), 0, 1), 3, if(ISBLANK('2025'!$Q250), 0, 1), 4, if(ISBLANK('2025'!$R250), 0, 1), 5, if(ISBLANK('2025'!$S250), 0, 1), 6, if(ISBLANK('2025'!$T250), 0, 1), 7, 0))), 1, "")</f>
        <v/>
      </c>
      <c r="AO252" s="1" t="str">
        <f>IF(AND(AND(AND(AO$4&gt;='2025'!$L250,AO$4&lt;='2025'!$M250), AO$4&lt;&gt;DATE(2025,7,4)), (SWITCH(weekday(AO$4), 1, 0, 2, if(ISBLANK('2025'!$P250), 0, 1), 3, if(ISBLANK('2025'!$Q250), 0, 1), 4, if(ISBLANK('2025'!$R250), 0, 1), 5, if(ISBLANK('2025'!$S250), 0, 1), 6, if(ISBLANK('2025'!$T250), 0, 1), 7, 0))), 1, "")</f>
        <v/>
      </c>
      <c r="AP252" s="1" t="str">
        <f>IF(AND(AND(AND(AP$4&gt;='2025'!$L250,AP$4&lt;='2025'!$M250), AP$4&lt;&gt;DATE(2025,7,4)), (SWITCH(weekday(AP$4), 1, 0, 2, if(ISBLANK('2025'!$P250), 0, 1), 3, if(ISBLANK('2025'!$Q250), 0, 1), 4, if(ISBLANK('2025'!$R250), 0, 1), 5, if(ISBLANK('2025'!$S250), 0, 1), 6, if(ISBLANK('2025'!$T250), 0, 1), 7, 0))), 1, "")</f>
        <v/>
      </c>
      <c r="AQ252" s="1" t="str">
        <f>IF(AND(AND(AND(AQ$4&gt;='2025'!$L250,AQ$4&lt;='2025'!$M250), AQ$4&lt;&gt;DATE(2025,7,4)), (SWITCH(weekday(AQ$4), 1, 0, 2, if(ISBLANK('2025'!$P250), 0, 1), 3, if(ISBLANK('2025'!$Q250), 0, 1), 4, if(ISBLANK('2025'!$R250), 0, 1), 5, if(ISBLANK('2025'!$S250), 0, 1), 6, if(ISBLANK('2025'!$T250), 0, 1), 7, 0))), 1, "")</f>
        <v/>
      </c>
      <c r="AR252" s="1" t="str">
        <f>IF(AND(AND(AND(AR$4&gt;='2025'!$L250,AR$4&lt;='2025'!$M250), AR$4&lt;&gt;DATE(2025,7,4)), (SWITCH(weekday(AR$4), 1, 0, 2, if(ISBLANK('2025'!$P250), 0, 1), 3, if(ISBLANK('2025'!$Q250), 0, 1), 4, if(ISBLANK('2025'!$R250), 0, 1), 5, if(ISBLANK('2025'!$S250), 0, 1), 6, if(ISBLANK('2025'!$T250), 0, 1), 7, 0))), 1, "")</f>
        <v/>
      </c>
      <c r="AS252" s="1" t="str">
        <f>IF(AND(AND(AND(AS$4&gt;='2025'!$L250,AS$4&lt;='2025'!$M250), AS$4&lt;&gt;DATE(2025,7,4)), (SWITCH(weekday(AS$4), 1, 0, 2, if(ISBLANK('2025'!$P250), 0, 1), 3, if(ISBLANK('2025'!$Q250), 0, 1), 4, if(ISBLANK('2025'!$R250), 0, 1), 5, if(ISBLANK('2025'!$S250), 0, 1), 6, if(ISBLANK('2025'!$T250), 0, 1), 7, 0))), 1, "")</f>
        <v/>
      </c>
      <c r="AT252" s="1" t="str">
        <f>IF(AND(AND(AND(AT$4&gt;='2025'!$L250,AT$4&lt;='2025'!$M250), AT$4&lt;&gt;DATE(2025,7,4)), (SWITCH(weekday(AT$4), 1, 0, 2, if(ISBLANK('2025'!$P250), 0, 1), 3, if(ISBLANK('2025'!$Q250), 0, 1), 4, if(ISBLANK('2025'!$R250), 0, 1), 5, if(ISBLANK('2025'!$S250), 0, 1), 6, if(ISBLANK('2025'!$T250), 0, 1), 7, 0))), 1, "")</f>
        <v/>
      </c>
      <c r="AU252" s="1" t="str">
        <f>IF(AND(AND(AND(AU$4&gt;='2025'!$L250,AU$4&lt;='2025'!$M250), AU$4&lt;&gt;DATE(2025,7,4)), (SWITCH(weekday(AU$4), 1, 0, 2, if(ISBLANK('2025'!$P250), 0, 1), 3, if(ISBLANK('2025'!$Q250), 0, 1), 4, if(ISBLANK('2025'!$R250), 0, 1), 5, if(ISBLANK('2025'!$S250), 0, 1), 6, if(ISBLANK('2025'!$T250), 0, 1), 7, 0))), 1, "")</f>
        <v/>
      </c>
      <c r="AV252" s="1" t="str">
        <f>IF(AND(AND(AND(AV$4&gt;='2025'!$L250,AV$4&lt;='2025'!$M250), AV$4&lt;&gt;DATE(2025,7,4)), (SWITCH(weekday(AV$4), 1, 0, 2, if(ISBLANK('2025'!$P250), 0, 1), 3, if(ISBLANK('2025'!$Q250), 0, 1), 4, if(ISBLANK('2025'!$R250), 0, 1), 5, if(ISBLANK('2025'!$S250), 0, 1), 6, if(ISBLANK('2025'!$T250), 0, 1), 7, 0))), 1, "")</f>
        <v/>
      </c>
      <c r="AW252" s="1" t="str">
        <f>IF(AND(AND(AND(AW$4&gt;='2025'!$L250,AW$4&lt;='2025'!$M250), AW$4&lt;&gt;DATE(2025,7,4)), (SWITCH(weekday(AW$4), 1, 0, 2, if(ISBLANK('2025'!$P250), 0, 1), 3, if(ISBLANK('2025'!$Q250), 0, 1), 4, if(ISBLANK('2025'!$R250), 0, 1), 5, if(ISBLANK('2025'!$S250), 0, 1), 6, if(ISBLANK('2025'!$T250), 0, 1), 7, 0))), 1, "")</f>
        <v/>
      </c>
      <c r="AX252" s="1" t="str">
        <f>IF(AND(AND(AND(AX$4&gt;='2025'!$L250,AX$4&lt;='2025'!$M250), AX$4&lt;&gt;DATE(2025,7,4)), (SWITCH(weekday(AX$4), 1, 0, 2, if(ISBLANK('2025'!$P250), 0, 1), 3, if(ISBLANK('2025'!$Q250), 0, 1), 4, if(ISBLANK('2025'!$R250), 0, 1), 5, if(ISBLANK('2025'!$S250), 0, 1), 6, if(ISBLANK('2025'!$T250), 0, 1), 7, 0))), 1, "")</f>
        <v/>
      </c>
      <c r="AY252" s="1" t="str">
        <f>IF(AND(AND(AND(AY$4&gt;='2025'!$L250,AY$4&lt;='2025'!$M250), AY$4&lt;&gt;DATE(2025,7,4)), (SWITCH(weekday(AY$4), 1, 0, 2, if(ISBLANK('2025'!$P250), 0, 1), 3, if(ISBLANK('2025'!$Q250), 0, 1), 4, if(ISBLANK('2025'!$R250), 0, 1), 5, if(ISBLANK('2025'!$S250), 0, 1), 6, if(ISBLANK('2025'!$T250), 0, 1), 7, 0))), 1, "")</f>
        <v/>
      </c>
      <c r="AZ252" s="1" t="str">
        <f>IF(AND(AND(AND(AZ$4&gt;='2025'!$L250,AZ$4&lt;='2025'!$M250), AZ$4&lt;&gt;DATE(2025,7,4)), (SWITCH(weekday(AZ$4), 1, 0, 2, if(ISBLANK('2025'!$P250), 0, 1), 3, if(ISBLANK('2025'!$Q250), 0, 1), 4, if(ISBLANK('2025'!$R250), 0, 1), 5, if(ISBLANK('2025'!$S250), 0, 1), 6, if(ISBLANK('2025'!$T250), 0, 1), 7, 0))), 1, "")</f>
        <v/>
      </c>
      <c r="BA252" s="1" t="str">
        <f>IF(AND(AND(AND(BA$4&gt;='2025'!$L250,BA$4&lt;='2025'!$M250), BA$4&lt;&gt;DATE(2025,7,4)), (SWITCH(weekday(BA$4), 1, 0, 2, if(ISBLANK('2025'!$P250), 0, 1), 3, if(ISBLANK('2025'!$Q250), 0, 1), 4, if(ISBLANK('2025'!$R250), 0, 1), 5, if(ISBLANK('2025'!$S250), 0, 1), 6, if(ISBLANK('2025'!$T250), 0, 1), 7, 0))), 1, "")</f>
        <v/>
      </c>
      <c r="BB252" s="1" t="str">
        <f>IF(AND(AND(AND(BB$4&gt;='2025'!$L250,BB$4&lt;='2025'!$M250), BB$4&lt;&gt;DATE(2025,7,4)), (SWITCH(weekday(BB$4), 1, 0, 2, if(ISBLANK('2025'!$P250), 0, 1), 3, if(ISBLANK('2025'!$Q250), 0, 1), 4, if(ISBLANK('2025'!$R250), 0, 1), 5, if(ISBLANK('2025'!$S250), 0, 1), 6, if(ISBLANK('2025'!$T250), 0, 1), 7, 0))), 1, "")</f>
        <v/>
      </c>
      <c r="BC252" s="1" t="str">
        <f>IF(AND(AND(AND(BC$4&gt;='2025'!$L250,BC$4&lt;='2025'!$M250), BC$4&lt;&gt;DATE(2025,7,4)), (SWITCH(weekday(BC$4), 1, 0, 2, if(ISBLANK('2025'!$P250), 0, 1), 3, if(ISBLANK('2025'!$Q250), 0, 1), 4, if(ISBLANK('2025'!$R250), 0, 1), 5, if(ISBLANK('2025'!$S250), 0, 1), 6, if(ISBLANK('2025'!$T250), 0, 1), 7, 0))), 1, "")</f>
        <v/>
      </c>
      <c r="BD252" s="1" t="str">
        <f>IF(AND(AND(AND(BD$4&gt;='2025'!$L250,BD$4&lt;='2025'!$M250), BD$4&lt;&gt;DATE(2025,7,4)), (SWITCH(weekday(BD$4), 1, 0, 2, if(ISBLANK('2025'!$P250), 0, 1), 3, if(ISBLANK('2025'!$Q250), 0, 1), 4, if(ISBLANK('2025'!$R250), 0, 1), 5, if(ISBLANK('2025'!$S250), 0, 1), 6, if(ISBLANK('2025'!$T250), 0, 1), 7, 0))), 1, "")</f>
        <v/>
      </c>
      <c r="BE252" s="1" t="str">
        <f>IF(AND(AND(AND(BE$4&gt;='2025'!$L250,BE$4&lt;='2025'!$M250), BE$4&lt;&gt;DATE(2025,7,4)), (SWITCH(weekday(BE$4), 1, 0, 2, if(ISBLANK('2025'!$P250), 0, 1), 3, if(ISBLANK('2025'!$Q250), 0, 1), 4, if(ISBLANK('2025'!$R250), 0, 1), 5, if(ISBLANK('2025'!$S250), 0, 1), 6, if(ISBLANK('2025'!$T250), 0, 1), 7, 0))), 1, "")</f>
        <v/>
      </c>
      <c r="BF252" s="1" t="str">
        <f>IF(AND(AND(AND(BF$4&gt;='2025'!$L250,BF$4&lt;='2025'!$M250), BF$4&lt;&gt;DATE(2025,7,4)), (SWITCH(weekday(BF$4), 1, 0, 2, if(ISBLANK('2025'!$P250), 0, 1), 3, if(ISBLANK('2025'!$Q250), 0, 1), 4, if(ISBLANK('2025'!$R250), 0, 1), 5, if(ISBLANK('2025'!$S250), 0, 1), 6, if(ISBLANK('2025'!$T250), 0, 1), 7, 0))), 1, "")</f>
        <v/>
      </c>
      <c r="BG252" s="1"/>
      <c r="BH252" s="1"/>
      <c r="BI252" s="1"/>
      <c r="BJ252" s="1"/>
      <c r="BK252" s="1"/>
      <c r="BL252" s="1"/>
    </row>
    <row r="253">
      <c r="A253" s="1">
        <f t="shared" si="3"/>
        <v>253</v>
      </c>
      <c r="B253" s="1" t="str">
        <f>'2025'!D217</f>
        <v>, </v>
      </c>
      <c r="C253" s="1" t="str">
        <f>'2025'!H217</f>
        <v/>
      </c>
      <c r="D253" s="1" t="str">
        <f>IF(AND(AND(AND(D$4&gt;='2025'!$L251,D$4&lt;='2025'!$M251), D$4&lt;&gt;DATE(2025,7,4)), (SWITCH(weekday(D$4), 1, 0, 2, if(ISBLANK('2025'!$P251), 0, 1), 3, if(ISBLANK('2025'!$Q251), 0, 1), 4, if(ISBLANK('2025'!$R251), 0, 1), 5, if(ISBLANK('2025'!$S251), 0, 1), 6, if(ISBLANK('2025'!$T251), 0, 1), 7, 0))), 1, "")</f>
        <v/>
      </c>
      <c r="E253" s="1" t="str">
        <f>IF(AND(AND(AND(E$4&gt;='2025'!$L251,E$4&lt;='2025'!$M251), E$4&lt;&gt;DATE(2025,7,4)), (SWITCH(weekday(E$4), 1, 0, 2, if(ISBLANK('2025'!$P251), 0, 1), 3, if(ISBLANK('2025'!$Q251), 0, 1), 4, if(ISBLANK('2025'!$R251), 0, 1), 5, if(ISBLANK('2025'!$S251), 0, 1), 6, if(ISBLANK('2025'!$T251), 0, 1), 7, 0))), 1, "")</f>
        <v/>
      </c>
      <c r="F253" s="1" t="str">
        <f>IF(AND(AND(AND(F$4&gt;='2025'!$L251,F$4&lt;='2025'!$M251), F$4&lt;&gt;DATE(2025,7,4)), (SWITCH(weekday(F$4), 1, 0, 2, if(ISBLANK('2025'!$P251), 0, 1), 3, if(ISBLANK('2025'!$Q251), 0, 1), 4, if(ISBLANK('2025'!$R251), 0, 1), 5, if(ISBLANK('2025'!$S251), 0, 1), 6, if(ISBLANK('2025'!$T251), 0, 1), 7, 0))), 1, "")</f>
        <v/>
      </c>
      <c r="G253" s="1" t="str">
        <f>IF(AND(AND(AND(G$4&gt;='2025'!$L251,G$4&lt;='2025'!$M251), G$4&lt;&gt;DATE(2025,7,4)), (SWITCH(weekday(G$4), 1, 0, 2, if(ISBLANK('2025'!$P251), 0, 1), 3, if(ISBLANK('2025'!$Q251), 0, 1), 4, if(ISBLANK('2025'!$R251), 0, 1), 5, if(ISBLANK('2025'!$S251), 0, 1), 6, if(ISBLANK('2025'!$T251), 0, 1), 7, 0))), 1, "")</f>
        <v/>
      </c>
      <c r="H253" s="1" t="str">
        <f>IF(AND(AND(AND(H$4&gt;='2025'!$L251,H$4&lt;='2025'!$M251), H$4&lt;&gt;DATE(2025,7,4)), (SWITCH(weekday(H$4), 1, 0, 2, if(ISBLANK('2025'!$P251), 0, 1), 3, if(ISBLANK('2025'!$Q251), 0, 1), 4, if(ISBLANK('2025'!$R251), 0, 1), 5, if(ISBLANK('2025'!$S251), 0, 1), 6, if(ISBLANK('2025'!$T251), 0, 1), 7, 0))), 1, "")</f>
        <v/>
      </c>
      <c r="I253" s="1" t="str">
        <f>IF(AND(AND(AND(I$4&gt;='2025'!$L251,I$4&lt;='2025'!$M251), I$4&lt;&gt;DATE(2025,7,4)), (SWITCH(weekday(I$4), 1, 0, 2, if(ISBLANK('2025'!$P251), 0, 1), 3, if(ISBLANK('2025'!$Q251), 0, 1), 4, if(ISBLANK('2025'!$R251), 0, 1), 5, if(ISBLANK('2025'!$S251), 0, 1), 6, if(ISBLANK('2025'!$T251), 0, 1), 7, 0))), 1, "")</f>
        <v/>
      </c>
      <c r="J253" s="1" t="str">
        <f>IF(AND(AND(AND(J$4&gt;='2025'!$L251,J$4&lt;='2025'!$M251), J$4&lt;&gt;DATE(2025,7,4)), (SWITCH(weekday(J$4), 1, 0, 2, if(ISBLANK('2025'!$P251), 0, 1), 3, if(ISBLANK('2025'!$Q251), 0, 1), 4, if(ISBLANK('2025'!$R251), 0, 1), 5, if(ISBLANK('2025'!$S251), 0, 1), 6, if(ISBLANK('2025'!$T251), 0, 1), 7, 0))), 1, "")</f>
        <v/>
      </c>
      <c r="K253" s="1" t="str">
        <f>IF(AND(AND(AND(K$4&gt;='2025'!$L251,K$4&lt;='2025'!$M251), K$4&lt;&gt;DATE(2025,7,4)), (SWITCH(weekday(K$4), 1, 0, 2, if(ISBLANK('2025'!$P251), 0, 1), 3, if(ISBLANK('2025'!$Q251), 0, 1), 4, if(ISBLANK('2025'!$R251), 0, 1), 5, if(ISBLANK('2025'!$S251), 0, 1), 6, if(ISBLANK('2025'!$T251), 0, 1), 7, 0))), 1, "")</f>
        <v/>
      </c>
      <c r="L253" s="1" t="str">
        <f>IF(AND(AND(AND(L$4&gt;='2025'!$L251,L$4&lt;='2025'!$M251), L$4&lt;&gt;DATE(2025,7,4)), (SWITCH(weekday(L$4), 1, 0, 2, if(ISBLANK('2025'!$P251), 0, 1), 3, if(ISBLANK('2025'!$Q251), 0, 1), 4, if(ISBLANK('2025'!$R251), 0, 1), 5, if(ISBLANK('2025'!$S251), 0, 1), 6, if(ISBLANK('2025'!$T251), 0, 1), 7, 0))), 1, "")</f>
        <v/>
      </c>
      <c r="M253" s="1" t="str">
        <f>IF(AND(AND(AND(M$4&gt;='2025'!$L251,M$4&lt;='2025'!$M251), M$4&lt;&gt;DATE(2025,7,4)), (SWITCH(weekday(M$4), 1, 0, 2, if(ISBLANK('2025'!$P251), 0, 1), 3, if(ISBLANK('2025'!$Q251), 0, 1), 4, if(ISBLANK('2025'!$R251), 0, 1), 5, if(ISBLANK('2025'!$S251), 0, 1), 6, if(ISBLANK('2025'!$T251), 0, 1), 7, 0))), 1, "")</f>
        <v/>
      </c>
      <c r="N253" s="1" t="str">
        <f>IF(AND(AND(AND(N$4&gt;='2025'!$L251,N$4&lt;='2025'!$M251), N$4&lt;&gt;DATE(2025,7,4)), (SWITCH(weekday(N$4), 1, 0, 2, if(ISBLANK('2025'!$P251), 0, 1), 3, if(ISBLANK('2025'!$Q251), 0, 1), 4, if(ISBLANK('2025'!$R251), 0, 1), 5, if(ISBLANK('2025'!$S251), 0, 1), 6, if(ISBLANK('2025'!$T251), 0, 1), 7, 0))), 1, "")</f>
        <v/>
      </c>
      <c r="O253" s="1" t="str">
        <f>IF(AND(AND(AND(O$4&gt;='2025'!$L251,O$4&lt;='2025'!$M251), O$4&lt;&gt;DATE(2025,7,4)), (SWITCH(weekday(O$4), 1, 0, 2, if(ISBLANK('2025'!$P251), 0, 1), 3, if(ISBLANK('2025'!$Q251), 0, 1), 4, if(ISBLANK('2025'!$R251), 0, 1), 5, if(ISBLANK('2025'!$S251), 0, 1), 6, if(ISBLANK('2025'!$T251), 0, 1), 7, 0))), 1, "")</f>
        <v/>
      </c>
      <c r="P253" s="1" t="str">
        <f>IF(AND(AND(AND(P$4&gt;='2025'!$L251,P$4&lt;='2025'!$M251), P$4&lt;&gt;DATE(2025,7,4)), (SWITCH(weekday(P$4), 1, 0, 2, if(ISBLANK('2025'!$P251), 0, 1), 3, if(ISBLANK('2025'!$Q251), 0, 1), 4, if(ISBLANK('2025'!$R251), 0, 1), 5, if(ISBLANK('2025'!$S251), 0, 1), 6, if(ISBLANK('2025'!$T251), 0, 1), 7, 0))), 1, "")</f>
        <v/>
      </c>
      <c r="Q253" s="1" t="str">
        <f>IF(AND(AND(AND(Q$4&gt;='2025'!$L251,Q$4&lt;='2025'!$M251), Q$4&lt;&gt;DATE(2025,7,4)), (SWITCH(weekday(Q$4), 1, 0, 2, if(ISBLANK('2025'!$P251), 0, 1), 3, if(ISBLANK('2025'!$Q251), 0, 1), 4, if(ISBLANK('2025'!$R251), 0, 1), 5, if(ISBLANK('2025'!$S251), 0, 1), 6, if(ISBLANK('2025'!$T251), 0, 1), 7, 0))), 1, "")</f>
        <v/>
      </c>
      <c r="R253" s="1" t="str">
        <f>IF(AND(AND(AND(R$4&gt;='2025'!$L251,R$4&lt;='2025'!$M251), R$4&lt;&gt;DATE(2025,7,4)), (SWITCH(weekday(R$4), 1, 0, 2, if(ISBLANK('2025'!$P251), 0, 1), 3, if(ISBLANK('2025'!$Q251), 0, 1), 4, if(ISBLANK('2025'!$R251), 0, 1), 5, if(ISBLANK('2025'!$S251), 0, 1), 6, if(ISBLANK('2025'!$T251), 0, 1), 7, 0))), 1, "")</f>
        <v/>
      </c>
      <c r="S253" s="1" t="str">
        <f>IF(AND(AND(AND(S$4&gt;='2025'!$L251,S$4&lt;='2025'!$M251), S$4&lt;&gt;DATE(2025,7,4)), (SWITCH(weekday(S$4), 1, 0, 2, if(ISBLANK('2025'!$P251), 0, 1), 3, if(ISBLANK('2025'!$Q251), 0, 1), 4, if(ISBLANK('2025'!$R251), 0, 1), 5, if(ISBLANK('2025'!$S251), 0, 1), 6, if(ISBLANK('2025'!$T251), 0, 1), 7, 0))), 1, "")</f>
        <v/>
      </c>
      <c r="T253" s="1" t="str">
        <f>IF(AND(AND(AND(T$4&gt;='2025'!$L251,T$4&lt;='2025'!$M251), T$4&lt;&gt;DATE(2025,7,4)), (SWITCH(weekday(T$4), 1, 0, 2, if(ISBLANK('2025'!$P251), 0, 1), 3, if(ISBLANK('2025'!$Q251), 0, 1), 4, if(ISBLANK('2025'!$R251), 0, 1), 5, if(ISBLANK('2025'!$S251), 0, 1), 6, if(ISBLANK('2025'!$T251), 0, 1), 7, 0))), 1, "")</f>
        <v/>
      </c>
      <c r="U253" s="1" t="str">
        <f>IF(AND(AND(AND(U$4&gt;='2025'!$L251,U$4&lt;='2025'!$M251), U$4&lt;&gt;DATE(2025,7,4)), (SWITCH(weekday(U$4), 1, 0, 2, if(ISBLANK('2025'!$P251), 0, 1), 3, if(ISBLANK('2025'!$Q251), 0, 1), 4, if(ISBLANK('2025'!$R251), 0, 1), 5, if(ISBLANK('2025'!$S251), 0, 1), 6, if(ISBLANK('2025'!$T251), 0, 1), 7, 0))), 1, "")</f>
        <v/>
      </c>
      <c r="V253" s="1" t="str">
        <f>IF(AND(AND(AND(V$4&gt;='2025'!$L251,V$4&lt;='2025'!$M251), V$4&lt;&gt;DATE(2025,7,4)), (SWITCH(weekday(V$4), 1, 0, 2, if(ISBLANK('2025'!$P251), 0, 1), 3, if(ISBLANK('2025'!$Q251), 0, 1), 4, if(ISBLANK('2025'!$R251), 0, 1), 5, if(ISBLANK('2025'!$S251), 0, 1), 6, if(ISBLANK('2025'!$T251), 0, 1), 7, 0))), 1, "")</f>
        <v/>
      </c>
      <c r="W253" s="1" t="str">
        <f>IF(AND(AND(AND(W$4&gt;='2025'!$L251,W$4&lt;='2025'!$M251), W$4&lt;&gt;DATE(2025,7,4)), (SWITCH(weekday(W$4), 1, 0, 2, if(ISBLANK('2025'!$P251), 0, 1), 3, if(ISBLANK('2025'!$Q251), 0, 1), 4, if(ISBLANK('2025'!$R251), 0, 1), 5, if(ISBLANK('2025'!$S251), 0, 1), 6, if(ISBLANK('2025'!$T251), 0, 1), 7, 0))), 1, "")</f>
        <v/>
      </c>
      <c r="X253" s="1" t="str">
        <f>IF(AND(AND(AND(X$4&gt;='2025'!$L251,X$4&lt;='2025'!$M251), X$4&lt;&gt;DATE(2025,7,4)), (SWITCH(weekday(X$4), 1, 0, 2, if(ISBLANK('2025'!$P251), 0, 1), 3, if(ISBLANK('2025'!$Q251), 0, 1), 4, if(ISBLANK('2025'!$R251), 0, 1), 5, if(ISBLANK('2025'!$S251), 0, 1), 6, if(ISBLANK('2025'!$T251), 0, 1), 7, 0))), 1, "")</f>
        <v/>
      </c>
      <c r="Y253" s="1" t="str">
        <f>IF(AND(AND(AND(Y$4&gt;='2025'!$L251,Y$4&lt;='2025'!$M251), Y$4&lt;&gt;DATE(2025,7,4)), (SWITCH(weekday(Y$4), 1, 0, 2, if(ISBLANK('2025'!$P251), 0, 1), 3, if(ISBLANK('2025'!$Q251), 0, 1), 4, if(ISBLANK('2025'!$R251), 0, 1), 5, if(ISBLANK('2025'!$S251), 0, 1), 6, if(ISBLANK('2025'!$T251), 0, 1), 7, 0))), 1, "")</f>
        <v/>
      </c>
      <c r="Z253" s="1" t="str">
        <f>IF(AND(AND(AND(Z$4&gt;='2025'!$L251,Z$4&lt;='2025'!$M251), Z$4&lt;&gt;DATE(2025,7,4)), (SWITCH(weekday(Z$4), 1, 0, 2, if(ISBLANK('2025'!$P251), 0, 1), 3, if(ISBLANK('2025'!$Q251), 0, 1), 4, if(ISBLANK('2025'!$R251), 0, 1), 5, if(ISBLANK('2025'!$S251), 0, 1), 6, if(ISBLANK('2025'!$T251), 0, 1), 7, 0))), 1, "")</f>
        <v/>
      </c>
      <c r="AA253" s="1" t="str">
        <f>IF(AND(AND(AND(AA$4&gt;='2025'!$L251,AA$4&lt;='2025'!$M251), AA$4&lt;&gt;DATE(2025,7,4)), (SWITCH(weekday(AA$4), 1, 0, 2, if(ISBLANK('2025'!$P251), 0, 1), 3, if(ISBLANK('2025'!$Q251), 0, 1), 4, if(ISBLANK('2025'!$R251), 0, 1), 5, if(ISBLANK('2025'!$S251), 0, 1), 6, if(ISBLANK('2025'!$T251), 0, 1), 7, 0))), 1, "")</f>
        <v/>
      </c>
      <c r="AB253" s="1" t="str">
        <f>IF(AND(AND(AND(AB$4&gt;='2025'!$L251,AB$4&lt;='2025'!$M251), AB$4&lt;&gt;DATE(2025,7,4)), (SWITCH(weekday(AB$4), 1, 0, 2, if(ISBLANK('2025'!$P251), 0, 1), 3, if(ISBLANK('2025'!$Q251), 0, 1), 4, if(ISBLANK('2025'!$R251), 0, 1), 5, if(ISBLANK('2025'!$S251), 0, 1), 6, if(ISBLANK('2025'!$T251), 0, 1), 7, 0))), 1, "")</f>
        <v/>
      </c>
      <c r="AC253" s="1" t="str">
        <f>IF(AND(AND(AND(AC$4&gt;='2025'!$L251,AC$4&lt;='2025'!$M251), AC$4&lt;&gt;DATE(2025,7,4)), (SWITCH(weekday(AC$4), 1, 0, 2, if(ISBLANK('2025'!$P251), 0, 1), 3, if(ISBLANK('2025'!$Q251), 0, 1), 4, if(ISBLANK('2025'!$R251), 0, 1), 5, if(ISBLANK('2025'!$S251), 0, 1), 6, if(ISBLANK('2025'!$T251), 0, 1), 7, 0))), 1, "")</f>
        <v/>
      </c>
      <c r="AD253" s="1" t="str">
        <f>IF(AND(AND(AND(AD$4&gt;='2025'!$L251,AD$4&lt;='2025'!$M251), AD$4&lt;&gt;DATE(2025,7,4)), (SWITCH(weekday(AD$4), 1, 0, 2, if(ISBLANK('2025'!$P251), 0, 1), 3, if(ISBLANK('2025'!$Q251), 0, 1), 4, if(ISBLANK('2025'!$R251), 0, 1), 5, if(ISBLANK('2025'!$S251), 0, 1), 6, if(ISBLANK('2025'!$T251), 0, 1), 7, 0))), 1, "")</f>
        <v/>
      </c>
      <c r="AE253" s="1" t="str">
        <f>IF(AND(AND(AND(AE$4&gt;='2025'!$L251,AE$4&lt;='2025'!$M251), AE$4&lt;&gt;DATE(2025,7,4)), (SWITCH(weekday(AE$4), 1, 0, 2, if(ISBLANK('2025'!$P251), 0, 1), 3, if(ISBLANK('2025'!$Q251), 0, 1), 4, if(ISBLANK('2025'!$R251), 0, 1), 5, if(ISBLANK('2025'!$S251), 0, 1), 6, if(ISBLANK('2025'!$T251), 0, 1), 7, 0))), 1, "")</f>
        <v/>
      </c>
      <c r="AF253" s="1" t="str">
        <f>IF(AND(AND(AND(AF$4&gt;='2025'!$L251,AF$4&lt;='2025'!$M251), AF$4&lt;&gt;DATE(2025,7,4)), (SWITCH(weekday(AF$4), 1, 0, 2, if(ISBLANK('2025'!$P251), 0, 1), 3, if(ISBLANK('2025'!$Q251), 0, 1), 4, if(ISBLANK('2025'!$R251), 0, 1), 5, if(ISBLANK('2025'!$S251), 0, 1), 6, if(ISBLANK('2025'!$T251), 0, 1), 7, 0))), 1, "")</f>
        <v/>
      </c>
      <c r="AG253" s="1" t="str">
        <f>IF(AND(AND(AND(AG$4&gt;='2025'!$L251,AG$4&lt;='2025'!$M251), AG$4&lt;&gt;DATE(2025,7,4)), (SWITCH(weekday(AG$4), 1, 0, 2, if(ISBLANK('2025'!$P251), 0, 1), 3, if(ISBLANK('2025'!$Q251), 0, 1), 4, if(ISBLANK('2025'!$R251), 0, 1), 5, if(ISBLANK('2025'!$S251), 0, 1), 6, if(ISBLANK('2025'!$T251), 0, 1), 7, 0))), 1, "")</f>
        <v/>
      </c>
      <c r="AH253" s="1" t="str">
        <f>IF(AND(AND(AND(AH$4&gt;='2025'!$L251,AH$4&lt;='2025'!$M251), AH$4&lt;&gt;DATE(2025,7,4)), (SWITCH(weekday(AH$4), 1, 0, 2, if(ISBLANK('2025'!$P251), 0, 1), 3, if(ISBLANK('2025'!$Q251), 0, 1), 4, if(ISBLANK('2025'!$R251), 0, 1), 5, if(ISBLANK('2025'!$S251), 0, 1), 6, if(ISBLANK('2025'!$T251), 0, 1), 7, 0))), 1, "")</f>
        <v/>
      </c>
      <c r="AI253" s="1" t="str">
        <f>IF(AND(AND(AND(AI$4&gt;='2025'!$L251,AI$4&lt;='2025'!$M251), AI$4&lt;&gt;DATE(2025,7,4)), (SWITCH(weekday(AI$4), 1, 0, 2, if(ISBLANK('2025'!$P251), 0, 1), 3, if(ISBLANK('2025'!$Q251), 0, 1), 4, if(ISBLANK('2025'!$R251), 0, 1), 5, if(ISBLANK('2025'!$S251), 0, 1), 6, if(ISBLANK('2025'!$T251), 0, 1), 7, 0))), 1, "")</f>
        <v/>
      </c>
      <c r="AJ253" s="1" t="str">
        <f>IF(AND(AND(AND(AJ$4&gt;='2025'!$L251,AJ$4&lt;='2025'!$M251), AJ$4&lt;&gt;DATE(2025,7,4)), (SWITCH(weekday(AJ$4), 1, 0, 2, if(ISBLANK('2025'!$P251), 0, 1), 3, if(ISBLANK('2025'!$Q251), 0, 1), 4, if(ISBLANK('2025'!$R251), 0, 1), 5, if(ISBLANK('2025'!$S251), 0, 1), 6, if(ISBLANK('2025'!$T251), 0, 1), 7, 0))), 1, "")</f>
        <v/>
      </c>
      <c r="AK253" s="1" t="str">
        <f>IF(AND(AND(AND(AK$4&gt;='2025'!$L251,AK$4&lt;='2025'!$M251), AK$4&lt;&gt;DATE(2025,7,4)), (SWITCH(weekday(AK$4), 1, 0, 2, if(ISBLANK('2025'!$P251), 0, 1), 3, if(ISBLANK('2025'!$Q251), 0, 1), 4, if(ISBLANK('2025'!$R251), 0, 1), 5, if(ISBLANK('2025'!$S251), 0, 1), 6, if(ISBLANK('2025'!$T251), 0, 1), 7, 0))), 1, "")</f>
        <v/>
      </c>
      <c r="AL253" s="1" t="str">
        <f>IF(AND(AND(AND(AL$4&gt;='2025'!$L251,AL$4&lt;='2025'!$M251), AL$4&lt;&gt;DATE(2025,7,4)), (SWITCH(weekday(AL$4), 1, 0, 2, if(ISBLANK('2025'!$P251), 0, 1), 3, if(ISBLANK('2025'!$Q251), 0, 1), 4, if(ISBLANK('2025'!$R251), 0, 1), 5, if(ISBLANK('2025'!$S251), 0, 1), 6, if(ISBLANK('2025'!$T251), 0, 1), 7, 0))), 1, "")</f>
        <v/>
      </c>
      <c r="AM253" s="1" t="str">
        <f>IF(AND(AND(AND(AM$4&gt;='2025'!$L251,AM$4&lt;='2025'!$M251), AM$4&lt;&gt;DATE(2025,7,4)), (SWITCH(weekday(AM$4), 1, 0, 2, if(ISBLANK('2025'!$P251), 0, 1), 3, if(ISBLANK('2025'!$Q251), 0, 1), 4, if(ISBLANK('2025'!$R251), 0, 1), 5, if(ISBLANK('2025'!$S251), 0, 1), 6, if(ISBLANK('2025'!$T251), 0, 1), 7, 0))), 1, "")</f>
        <v/>
      </c>
      <c r="AN253" s="1" t="str">
        <f>IF(AND(AND(AND(AN$4&gt;='2025'!$L251,AN$4&lt;='2025'!$M251), AN$4&lt;&gt;DATE(2025,7,4)), (SWITCH(weekday(AN$4), 1, 0, 2, if(ISBLANK('2025'!$P251), 0, 1), 3, if(ISBLANK('2025'!$Q251), 0, 1), 4, if(ISBLANK('2025'!$R251), 0, 1), 5, if(ISBLANK('2025'!$S251), 0, 1), 6, if(ISBLANK('2025'!$T251), 0, 1), 7, 0))), 1, "")</f>
        <v/>
      </c>
      <c r="AO253" s="1" t="str">
        <f>IF(AND(AND(AND(AO$4&gt;='2025'!$L251,AO$4&lt;='2025'!$M251), AO$4&lt;&gt;DATE(2025,7,4)), (SWITCH(weekday(AO$4), 1, 0, 2, if(ISBLANK('2025'!$P251), 0, 1), 3, if(ISBLANK('2025'!$Q251), 0, 1), 4, if(ISBLANK('2025'!$R251), 0, 1), 5, if(ISBLANK('2025'!$S251), 0, 1), 6, if(ISBLANK('2025'!$T251), 0, 1), 7, 0))), 1, "")</f>
        <v/>
      </c>
      <c r="AP253" s="1" t="str">
        <f>IF(AND(AND(AND(AP$4&gt;='2025'!$L251,AP$4&lt;='2025'!$M251), AP$4&lt;&gt;DATE(2025,7,4)), (SWITCH(weekday(AP$4), 1, 0, 2, if(ISBLANK('2025'!$P251), 0, 1), 3, if(ISBLANK('2025'!$Q251), 0, 1), 4, if(ISBLANK('2025'!$R251), 0, 1), 5, if(ISBLANK('2025'!$S251), 0, 1), 6, if(ISBLANK('2025'!$T251), 0, 1), 7, 0))), 1, "")</f>
        <v/>
      </c>
      <c r="AQ253" s="1" t="str">
        <f>IF(AND(AND(AND(AQ$4&gt;='2025'!$L251,AQ$4&lt;='2025'!$M251), AQ$4&lt;&gt;DATE(2025,7,4)), (SWITCH(weekday(AQ$4), 1, 0, 2, if(ISBLANK('2025'!$P251), 0, 1), 3, if(ISBLANK('2025'!$Q251), 0, 1), 4, if(ISBLANK('2025'!$R251), 0, 1), 5, if(ISBLANK('2025'!$S251), 0, 1), 6, if(ISBLANK('2025'!$T251), 0, 1), 7, 0))), 1, "")</f>
        <v/>
      </c>
      <c r="AR253" s="1" t="str">
        <f>IF(AND(AND(AND(AR$4&gt;='2025'!$L251,AR$4&lt;='2025'!$M251), AR$4&lt;&gt;DATE(2025,7,4)), (SWITCH(weekday(AR$4), 1, 0, 2, if(ISBLANK('2025'!$P251), 0, 1), 3, if(ISBLANK('2025'!$Q251), 0, 1), 4, if(ISBLANK('2025'!$R251), 0, 1), 5, if(ISBLANK('2025'!$S251), 0, 1), 6, if(ISBLANK('2025'!$T251), 0, 1), 7, 0))), 1, "")</f>
        <v/>
      </c>
      <c r="AS253" s="1" t="str">
        <f>IF(AND(AND(AND(AS$4&gt;='2025'!$L251,AS$4&lt;='2025'!$M251), AS$4&lt;&gt;DATE(2025,7,4)), (SWITCH(weekday(AS$4), 1, 0, 2, if(ISBLANK('2025'!$P251), 0, 1), 3, if(ISBLANK('2025'!$Q251), 0, 1), 4, if(ISBLANK('2025'!$R251), 0, 1), 5, if(ISBLANK('2025'!$S251), 0, 1), 6, if(ISBLANK('2025'!$T251), 0, 1), 7, 0))), 1, "")</f>
        <v/>
      </c>
      <c r="AT253" s="1" t="str">
        <f>IF(AND(AND(AND(AT$4&gt;='2025'!$L251,AT$4&lt;='2025'!$M251), AT$4&lt;&gt;DATE(2025,7,4)), (SWITCH(weekday(AT$4), 1, 0, 2, if(ISBLANK('2025'!$P251), 0, 1), 3, if(ISBLANK('2025'!$Q251), 0, 1), 4, if(ISBLANK('2025'!$R251), 0, 1), 5, if(ISBLANK('2025'!$S251), 0, 1), 6, if(ISBLANK('2025'!$T251), 0, 1), 7, 0))), 1, "")</f>
        <v/>
      </c>
      <c r="AU253" s="1" t="str">
        <f>IF(AND(AND(AND(AU$4&gt;='2025'!$L251,AU$4&lt;='2025'!$M251), AU$4&lt;&gt;DATE(2025,7,4)), (SWITCH(weekday(AU$4), 1, 0, 2, if(ISBLANK('2025'!$P251), 0, 1), 3, if(ISBLANK('2025'!$Q251), 0, 1), 4, if(ISBLANK('2025'!$R251), 0, 1), 5, if(ISBLANK('2025'!$S251), 0, 1), 6, if(ISBLANK('2025'!$T251), 0, 1), 7, 0))), 1, "")</f>
        <v/>
      </c>
      <c r="AV253" s="1" t="str">
        <f>IF(AND(AND(AND(AV$4&gt;='2025'!$L251,AV$4&lt;='2025'!$M251), AV$4&lt;&gt;DATE(2025,7,4)), (SWITCH(weekday(AV$4), 1, 0, 2, if(ISBLANK('2025'!$P251), 0, 1), 3, if(ISBLANK('2025'!$Q251), 0, 1), 4, if(ISBLANK('2025'!$R251), 0, 1), 5, if(ISBLANK('2025'!$S251), 0, 1), 6, if(ISBLANK('2025'!$T251), 0, 1), 7, 0))), 1, "")</f>
        <v/>
      </c>
      <c r="AW253" s="1" t="str">
        <f>IF(AND(AND(AND(AW$4&gt;='2025'!$L251,AW$4&lt;='2025'!$M251), AW$4&lt;&gt;DATE(2025,7,4)), (SWITCH(weekday(AW$4), 1, 0, 2, if(ISBLANK('2025'!$P251), 0, 1), 3, if(ISBLANK('2025'!$Q251), 0, 1), 4, if(ISBLANK('2025'!$R251), 0, 1), 5, if(ISBLANK('2025'!$S251), 0, 1), 6, if(ISBLANK('2025'!$T251), 0, 1), 7, 0))), 1, "")</f>
        <v/>
      </c>
      <c r="AX253" s="1" t="str">
        <f>IF(AND(AND(AND(AX$4&gt;='2025'!$L251,AX$4&lt;='2025'!$M251), AX$4&lt;&gt;DATE(2025,7,4)), (SWITCH(weekday(AX$4), 1, 0, 2, if(ISBLANK('2025'!$P251), 0, 1), 3, if(ISBLANK('2025'!$Q251), 0, 1), 4, if(ISBLANK('2025'!$R251), 0, 1), 5, if(ISBLANK('2025'!$S251), 0, 1), 6, if(ISBLANK('2025'!$T251), 0, 1), 7, 0))), 1, "")</f>
        <v/>
      </c>
      <c r="AY253" s="1" t="str">
        <f>IF(AND(AND(AND(AY$4&gt;='2025'!$L251,AY$4&lt;='2025'!$M251), AY$4&lt;&gt;DATE(2025,7,4)), (SWITCH(weekday(AY$4), 1, 0, 2, if(ISBLANK('2025'!$P251), 0, 1), 3, if(ISBLANK('2025'!$Q251), 0, 1), 4, if(ISBLANK('2025'!$R251), 0, 1), 5, if(ISBLANK('2025'!$S251), 0, 1), 6, if(ISBLANK('2025'!$T251), 0, 1), 7, 0))), 1, "")</f>
        <v/>
      </c>
      <c r="AZ253" s="1" t="str">
        <f>IF(AND(AND(AND(AZ$4&gt;='2025'!$L251,AZ$4&lt;='2025'!$M251), AZ$4&lt;&gt;DATE(2025,7,4)), (SWITCH(weekday(AZ$4), 1, 0, 2, if(ISBLANK('2025'!$P251), 0, 1), 3, if(ISBLANK('2025'!$Q251), 0, 1), 4, if(ISBLANK('2025'!$R251), 0, 1), 5, if(ISBLANK('2025'!$S251), 0, 1), 6, if(ISBLANK('2025'!$T251), 0, 1), 7, 0))), 1, "")</f>
        <v/>
      </c>
      <c r="BA253" s="1" t="str">
        <f>IF(AND(AND(AND(BA$4&gt;='2025'!$L251,BA$4&lt;='2025'!$M251), BA$4&lt;&gt;DATE(2025,7,4)), (SWITCH(weekday(BA$4), 1, 0, 2, if(ISBLANK('2025'!$P251), 0, 1), 3, if(ISBLANK('2025'!$Q251), 0, 1), 4, if(ISBLANK('2025'!$R251), 0, 1), 5, if(ISBLANK('2025'!$S251), 0, 1), 6, if(ISBLANK('2025'!$T251), 0, 1), 7, 0))), 1, "")</f>
        <v/>
      </c>
      <c r="BB253" s="1" t="str">
        <f>IF(AND(AND(AND(BB$4&gt;='2025'!$L251,BB$4&lt;='2025'!$M251), BB$4&lt;&gt;DATE(2025,7,4)), (SWITCH(weekday(BB$4), 1, 0, 2, if(ISBLANK('2025'!$P251), 0, 1), 3, if(ISBLANK('2025'!$Q251), 0, 1), 4, if(ISBLANK('2025'!$R251), 0, 1), 5, if(ISBLANK('2025'!$S251), 0, 1), 6, if(ISBLANK('2025'!$T251), 0, 1), 7, 0))), 1, "")</f>
        <v/>
      </c>
      <c r="BC253" s="1" t="str">
        <f>IF(AND(AND(AND(BC$4&gt;='2025'!$L251,BC$4&lt;='2025'!$M251), BC$4&lt;&gt;DATE(2025,7,4)), (SWITCH(weekday(BC$4), 1, 0, 2, if(ISBLANK('2025'!$P251), 0, 1), 3, if(ISBLANK('2025'!$Q251), 0, 1), 4, if(ISBLANK('2025'!$R251), 0, 1), 5, if(ISBLANK('2025'!$S251), 0, 1), 6, if(ISBLANK('2025'!$T251), 0, 1), 7, 0))), 1, "")</f>
        <v/>
      </c>
      <c r="BD253" s="1" t="str">
        <f>IF(AND(AND(AND(BD$4&gt;='2025'!$L251,BD$4&lt;='2025'!$M251), BD$4&lt;&gt;DATE(2025,7,4)), (SWITCH(weekday(BD$4), 1, 0, 2, if(ISBLANK('2025'!$P251), 0, 1), 3, if(ISBLANK('2025'!$Q251), 0, 1), 4, if(ISBLANK('2025'!$R251), 0, 1), 5, if(ISBLANK('2025'!$S251), 0, 1), 6, if(ISBLANK('2025'!$T251), 0, 1), 7, 0))), 1, "")</f>
        <v/>
      </c>
      <c r="BE253" s="1" t="str">
        <f>IF(AND(AND(AND(BE$4&gt;='2025'!$L251,BE$4&lt;='2025'!$M251), BE$4&lt;&gt;DATE(2025,7,4)), (SWITCH(weekday(BE$4), 1, 0, 2, if(ISBLANK('2025'!$P251), 0, 1), 3, if(ISBLANK('2025'!$Q251), 0, 1), 4, if(ISBLANK('2025'!$R251), 0, 1), 5, if(ISBLANK('2025'!$S251), 0, 1), 6, if(ISBLANK('2025'!$T251), 0, 1), 7, 0))), 1, "")</f>
        <v/>
      </c>
      <c r="BF253" s="1" t="str">
        <f>IF(AND(AND(AND(BF$4&gt;='2025'!$L251,BF$4&lt;='2025'!$M251), BF$4&lt;&gt;DATE(2025,7,4)), (SWITCH(weekday(BF$4), 1, 0, 2, if(ISBLANK('2025'!$P251), 0, 1), 3, if(ISBLANK('2025'!$Q251), 0, 1), 4, if(ISBLANK('2025'!$R251), 0, 1), 5, if(ISBLANK('2025'!$S251), 0, 1), 6, if(ISBLANK('2025'!$T251), 0, 1), 7, 0))), 1, "")</f>
        <v/>
      </c>
      <c r="BG253" s="1"/>
      <c r="BH253" s="1"/>
      <c r="BI253" s="1"/>
      <c r="BJ253" s="1"/>
      <c r="BK253" s="1"/>
      <c r="BL253" s="1"/>
    </row>
    <row r="254">
      <c r="A254" s="1">
        <f t="shared" si="3"/>
        <v>254</v>
      </c>
      <c r="B254" s="1" t="str">
        <f>'2025'!D218</f>
        <v>, </v>
      </c>
      <c r="C254" s="1" t="str">
        <f>'2025'!H218</f>
        <v/>
      </c>
      <c r="D254" s="1" t="str">
        <f>IF(AND(AND(AND(D$4&gt;='2025'!$L252,D$4&lt;='2025'!$M252), D$4&lt;&gt;DATE(2025,7,4)), (SWITCH(weekday(D$4), 1, 0, 2, if(ISBLANK('2025'!$P252), 0, 1), 3, if(ISBLANK('2025'!$Q252), 0, 1), 4, if(ISBLANK('2025'!$R252), 0, 1), 5, if(ISBLANK('2025'!$S252), 0, 1), 6, if(ISBLANK('2025'!$T252), 0, 1), 7, 0))), 1, "")</f>
        <v/>
      </c>
      <c r="E254" s="1" t="str">
        <f>IF(AND(AND(AND(E$4&gt;='2025'!$L252,E$4&lt;='2025'!$M252), E$4&lt;&gt;DATE(2025,7,4)), (SWITCH(weekday(E$4), 1, 0, 2, if(ISBLANK('2025'!$P252), 0, 1), 3, if(ISBLANK('2025'!$Q252), 0, 1), 4, if(ISBLANK('2025'!$R252), 0, 1), 5, if(ISBLANK('2025'!$S252), 0, 1), 6, if(ISBLANK('2025'!$T252), 0, 1), 7, 0))), 1, "")</f>
        <v/>
      </c>
      <c r="F254" s="1" t="str">
        <f>IF(AND(AND(AND(F$4&gt;='2025'!$L252,F$4&lt;='2025'!$M252), F$4&lt;&gt;DATE(2025,7,4)), (SWITCH(weekday(F$4), 1, 0, 2, if(ISBLANK('2025'!$P252), 0, 1), 3, if(ISBLANK('2025'!$Q252), 0, 1), 4, if(ISBLANK('2025'!$R252), 0, 1), 5, if(ISBLANK('2025'!$S252), 0, 1), 6, if(ISBLANK('2025'!$T252), 0, 1), 7, 0))), 1, "")</f>
        <v/>
      </c>
      <c r="G254" s="1" t="str">
        <f>IF(AND(AND(AND(G$4&gt;='2025'!$L252,G$4&lt;='2025'!$M252), G$4&lt;&gt;DATE(2025,7,4)), (SWITCH(weekday(G$4), 1, 0, 2, if(ISBLANK('2025'!$P252), 0, 1), 3, if(ISBLANK('2025'!$Q252), 0, 1), 4, if(ISBLANK('2025'!$R252), 0, 1), 5, if(ISBLANK('2025'!$S252), 0, 1), 6, if(ISBLANK('2025'!$T252), 0, 1), 7, 0))), 1, "")</f>
        <v/>
      </c>
      <c r="H254" s="1" t="str">
        <f>IF(AND(AND(AND(H$4&gt;='2025'!$L252,H$4&lt;='2025'!$M252), H$4&lt;&gt;DATE(2025,7,4)), (SWITCH(weekday(H$4), 1, 0, 2, if(ISBLANK('2025'!$P252), 0, 1), 3, if(ISBLANK('2025'!$Q252), 0, 1), 4, if(ISBLANK('2025'!$R252), 0, 1), 5, if(ISBLANK('2025'!$S252), 0, 1), 6, if(ISBLANK('2025'!$T252), 0, 1), 7, 0))), 1, "")</f>
        <v/>
      </c>
      <c r="I254" s="1" t="str">
        <f>IF(AND(AND(AND(I$4&gt;='2025'!$L252,I$4&lt;='2025'!$M252), I$4&lt;&gt;DATE(2025,7,4)), (SWITCH(weekday(I$4), 1, 0, 2, if(ISBLANK('2025'!$P252), 0, 1), 3, if(ISBLANK('2025'!$Q252), 0, 1), 4, if(ISBLANK('2025'!$R252), 0, 1), 5, if(ISBLANK('2025'!$S252), 0, 1), 6, if(ISBLANK('2025'!$T252), 0, 1), 7, 0))), 1, "")</f>
        <v/>
      </c>
      <c r="J254" s="1" t="str">
        <f>IF(AND(AND(AND(J$4&gt;='2025'!$L252,J$4&lt;='2025'!$M252), J$4&lt;&gt;DATE(2025,7,4)), (SWITCH(weekday(J$4), 1, 0, 2, if(ISBLANK('2025'!$P252), 0, 1), 3, if(ISBLANK('2025'!$Q252), 0, 1), 4, if(ISBLANK('2025'!$R252), 0, 1), 5, if(ISBLANK('2025'!$S252), 0, 1), 6, if(ISBLANK('2025'!$T252), 0, 1), 7, 0))), 1, "")</f>
        <v/>
      </c>
      <c r="K254" s="1" t="str">
        <f>IF(AND(AND(AND(K$4&gt;='2025'!$L252,K$4&lt;='2025'!$M252), K$4&lt;&gt;DATE(2025,7,4)), (SWITCH(weekday(K$4), 1, 0, 2, if(ISBLANK('2025'!$P252), 0, 1), 3, if(ISBLANK('2025'!$Q252), 0, 1), 4, if(ISBLANK('2025'!$R252), 0, 1), 5, if(ISBLANK('2025'!$S252), 0, 1), 6, if(ISBLANK('2025'!$T252), 0, 1), 7, 0))), 1, "")</f>
        <v/>
      </c>
      <c r="L254" s="1" t="str">
        <f>IF(AND(AND(AND(L$4&gt;='2025'!$L252,L$4&lt;='2025'!$M252), L$4&lt;&gt;DATE(2025,7,4)), (SWITCH(weekday(L$4), 1, 0, 2, if(ISBLANK('2025'!$P252), 0, 1), 3, if(ISBLANK('2025'!$Q252), 0, 1), 4, if(ISBLANK('2025'!$R252), 0, 1), 5, if(ISBLANK('2025'!$S252), 0, 1), 6, if(ISBLANK('2025'!$T252), 0, 1), 7, 0))), 1, "")</f>
        <v/>
      </c>
      <c r="M254" s="1" t="str">
        <f>IF(AND(AND(AND(M$4&gt;='2025'!$L252,M$4&lt;='2025'!$M252), M$4&lt;&gt;DATE(2025,7,4)), (SWITCH(weekday(M$4), 1, 0, 2, if(ISBLANK('2025'!$P252), 0, 1), 3, if(ISBLANK('2025'!$Q252), 0, 1), 4, if(ISBLANK('2025'!$R252), 0, 1), 5, if(ISBLANK('2025'!$S252), 0, 1), 6, if(ISBLANK('2025'!$T252), 0, 1), 7, 0))), 1, "")</f>
        <v/>
      </c>
      <c r="N254" s="1" t="str">
        <f>IF(AND(AND(AND(N$4&gt;='2025'!$L252,N$4&lt;='2025'!$M252), N$4&lt;&gt;DATE(2025,7,4)), (SWITCH(weekday(N$4), 1, 0, 2, if(ISBLANK('2025'!$P252), 0, 1), 3, if(ISBLANK('2025'!$Q252), 0, 1), 4, if(ISBLANK('2025'!$R252), 0, 1), 5, if(ISBLANK('2025'!$S252), 0, 1), 6, if(ISBLANK('2025'!$T252), 0, 1), 7, 0))), 1, "")</f>
        <v/>
      </c>
      <c r="O254" s="1" t="str">
        <f>IF(AND(AND(AND(O$4&gt;='2025'!$L252,O$4&lt;='2025'!$M252), O$4&lt;&gt;DATE(2025,7,4)), (SWITCH(weekday(O$4), 1, 0, 2, if(ISBLANK('2025'!$P252), 0, 1), 3, if(ISBLANK('2025'!$Q252), 0, 1), 4, if(ISBLANK('2025'!$R252), 0, 1), 5, if(ISBLANK('2025'!$S252), 0, 1), 6, if(ISBLANK('2025'!$T252), 0, 1), 7, 0))), 1, "")</f>
        <v/>
      </c>
      <c r="P254" s="1" t="str">
        <f>IF(AND(AND(AND(P$4&gt;='2025'!$L252,P$4&lt;='2025'!$M252), P$4&lt;&gt;DATE(2025,7,4)), (SWITCH(weekday(P$4), 1, 0, 2, if(ISBLANK('2025'!$P252), 0, 1), 3, if(ISBLANK('2025'!$Q252), 0, 1), 4, if(ISBLANK('2025'!$R252), 0, 1), 5, if(ISBLANK('2025'!$S252), 0, 1), 6, if(ISBLANK('2025'!$T252), 0, 1), 7, 0))), 1, "")</f>
        <v/>
      </c>
      <c r="Q254" s="1" t="str">
        <f>IF(AND(AND(AND(Q$4&gt;='2025'!$L252,Q$4&lt;='2025'!$M252), Q$4&lt;&gt;DATE(2025,7,4)), (SWITCH(weekday(Q$4), 1, 0, 2, if(ISBLANK('2025'!$P252), 0, 1), 3, if(ISBLANK('2025'!$Q252), 0, 1), 4, if(ISBLANK('2025'!$R252), 0, 1), 5, if(ISBLANK('2025'!$S252), 0, 1), 6, if(ISBLANK('2025'!$T252), 0, 1), 7, 0))), 1, "")</f>
        <v/>
      </c>
      <c r="R254" s="1" t="str">
        <f>IF(AND(AND(AND(R$4&gt;='2025'!$L252,R$4&lt;='2025'!$M252), R$4&lt;&gt;DATE(2025,7,4)), (SWITCH(weekday(R$4), 1, 0, 2, if(ISBLANK('2025'!$P252), 0, 1), 3, if(ISBLANK('2025'!$Q252), 0, 1), 4, if(ISBLANK('2025'!$R252), 0, 1), 5, if(ISBLANK('2025'!$S252), 0, 1), 6, if(ISBLANK('2025'!$T252), 0, 1), 7, 0))), 1, "")</f>
        <v/>
      </c>
      <c r="S254" s="1" t="str">
        <f>IF(AND(AND(AND(S$4&gt;='2025'!$L252,S$4&lt;='2025'!$M252), S$4&lt;&gt;DATE(2025,7,4)), (SWITCH(weekday(S$4), 1, 0, 2, if(ISBLANK('2025'!$P252), 0, 1), 3, if(ISBLANK('2025'!$Q252), 0, 1), 4, if(ISBLANK('2025'!$R252), 0, 1), 5, if(ISBLANK('2025'!$S252), 0, 1), 6, if(ISBLANK('2025'!$T252), 0, 1), 7, 0))), 1, "")</f>
        <v/>
      </c>
      <c r="T254" s="1" t="str">
        <f>IF(AND(AND(AND(T$4&gt;='2025'!$L252,T$4&lt;='2025'!$M252), T$4&lt;&gt;DATE(2025,7,4)), (SWITCH(weekday(T$4), 1, 0, 2, if(ISBLANK('2025'!$P252), 0, 1), 3, if(ISBLANK('2025'!$Q252), 0, 1), 4, if(ISBLANK('2025'!$R252), 0, 1), 5, if(ISBLANK('2025'!$S252), 0, 1), 6, if(ISBLANK('2025'!$T252), 0, 1), 7, 0))), 1, "")</f>
        <v/>
      </c>
      <c r="U254" s="1" t="str">
        <f>IF(AND(AND(AND(U$4&gt;='2025'!$L252,U$4&lt;='2025'!$M252), U$4&lt;&gt;DATE(2025,7,4)), (SWITCH(weekday(U$4), 1, 0, 2, if(ISBLANK('2025'!$P252), 0, 1), 3, if(ISBLANK('2025'!$Q252), 0, 1), 4, if(ISBLANK('2025'!$R252), 0, 1), 5, if(ISBLANK('2025'!$S252), 0, 1), 6, if(ISBLANK('2025'!$T252), 0, 1), 7, 0))), 1, "")</f>
        <v/>
      </c>
      <c r="V254" s="1" t="str">
        <f>IF(AND(AND(AND(V$4&gt;='2025'!$L252,V$4&lt;='2025'!$M252), V$4&lt;&gt;DATE(2025,7,4)), (SWITCH(weekday(V$4), 1, 0, 2, if(ISBLANK('2025'!$P252), 0, 1), 3, if(ISBLANK('2025'!$Q252), 0, 1), 4, if(ISBLANK('2025'!$R252), 0, 1), 5, if(ISBLANK('2025'!$S252), 0, 1), 6, if(ISBLANK('2025'!$T252), 0, 1), 7, 0))), 1, "")</f>
        <v/>
      </c>
      <c r="W254" s="1" t="str">
        <f>IF(AND(AND(AND(W$4&gt;='2025'!$L252,W$4&lt;='2025'!$M252), W$4&lt;&gt;DATE(2025,7,4)), (SWITCH(weekday(W$4), 1, 0, 2, if(ISBLANK('2025'!$P252), 0, 1), 3, if(ISBLANK('2025'!$Q252), 0, 1), 4, if(ISBLANK('2025'!$R252), 0, 1), 5, if(ISBLANK('2025'!$S252), 0, 1), 6, if(ISBLANK('2025'!$T252), 0, 1), 7, 0))), 1, "")</f>
        <v/>
      </c>
      <c r="X254" s="1" t="str">
        <f>IF(AND(AND(AND(X$4&gt;='2025'!$L252,X$4&lt;='2025'!$M252), X$4&lt;&gt;DATE(2025,7,4)), (SWITCH(weekday(X$4), 1, 0, 2, if(ISBLANK('2025'!$P252), 0, 1), 3, if(ISBLANK('2025'!$Q252), 0, 1), 4, if(ISBLANK('2025'!$R252), 0, 1), 5, if(ISBLANK('2025'!$S252), 0, 1), 6, if(ISBLANK('2025'!$T252), 0, 1), 7, 0))), 1, "")</f>
        <v/>
      </c>
      <c r="Y254" s="1" t="str">
        <f>IF(AND(AND(AND(Y$4&gt;='2025'!$L252,Y$4&lt;='2025'!$M252), Y$4&lt;&gt;DATE(2025,7,4)), (SWITCH(weekday(Y$4), 1, 0, 2, if(ISBLANK('2025'!$P252), 0, 1), 3, if(ISBLANK('2025'!$Q252), 0, 1), 4, if(ISBLANK('2025'!$R252), 0, 1), 5, if(ISBLANK('2025'!$S252), 0, 1), 6, if(ISBLANK('2025'!$T252), 0, 1), 7, 0))), 1, "")</f>
        <v/>
      </c>
      <c r="Z254" s="1" t="str">
        <f>IF(AND(AND(AND(Z$4&gt;='2025'!$L252,Z$4&lt;='2025'!$M252), Z$4&lt;&gt;DATE(2025,7,4)), (SWITCH(weekday(Z$4), 1, 0, 2, if(ISBLANK('2025'!$P252), 0, 1), 3, if(ISBLANK('2025'!$Q252), 0, 1), 4, if(ISBLANK('2025'!$R252), 0, 1), 5, if(ISBLANK('2025'!$S252), 0, 1), 6, if(ISBLANK('2025'!$T252), 0, 1), 7, 0))), 1, "")</f>
        <v/>
      </c>
      <c r="AA254" s="1" t="str">
        <f>IF(AND(AND(AND(AA$4&gt;='2025'!$L252,AA$4&lt;='2025'!$M252), AA$4&lt;&gt;DATE(2025,7,4)), (SWITCH(weekday(AA$4), 1, 0, 2, if(ISBLANK('2025'!$P252), 0, 1), 3, if(ISBLANK('2025'!$Q252), 0, 1), 4, if(ISBLANK('2025'!$R252), 0, 1), 5, if(ISBLANK('2025'!$S252), 0, 1), 6, if(ISBLANK('2025'!$T252), 0, 1), 7, 0))), 1, "")</f>
        <v/>
      </c>
      <c r="AB254" s="1" t="str">
        <f>IF(AND(AND(AND(AB$4&gt;='2025'!$L252,AB$4&lt;='2025'!$M252), AB$4&lt;&gt;DATE(2025,7,4)), (SWITCH(weekday(AB$4), 1, 0, 2, if(ISBLANK('2025'!$P252), 0, 1), 3, if(ISBLANK('2025'!$Q252), 0, 1), 4, if(ISBLANK('2025'!$R252), 0, 1), 5, if(ISBLANK('2025'!$S252), 0, 1), 6, if(ISBLANK('2025'!$T252), 0, 1), 7, 0))), 1, "")</f>
        <v/>
      </c>
      <c r="AC254" s="1" t="str">
        <f>IF(AND(AND(AND(AC$4&gt;='2025'!$L252,AC$4&lt;='2025'!$M252), AC$4&lt;&gt;DATE(2025,7,4)), (SWITCH(weekday(AC$4), 1, 0, 2, if(ISBLANK('2025'!$P252), 0, 1), 3, if(ISBLANK('2025'!$Q252), 0, 1), 4, if(ISBLANK('2025'!$R252), 0, 1), 5, if(ISBLANK('2025'!$S252), 0, 1), 6, if(ISBLANK('2025'!$T252), 0, 1), 7, 0))), 1, "")</f>
        <v/>
      </c>
      <c r="AD254" s="1" t="str">
        <f>IF(AND(AND(AND(AD$4&gt;='2025'!$L252,AD$4&lt;='2025'!$M252), AD$4&lt;&gt;DATE(2025,7,4)), (SWITCH(weekday(AD$4), 1, 0, 2, if(ISBLANK('2025'!$P252), 0, 1), 3, if(ISBLANK('2025'!$Q252), 0, 1), 4, if(ISBLANK('2025'!$R252), 0, 1), 5, if(ISBLANK('2025'!$S252), 0, 1), 6, if(ISBLANK('2025'!$T252), 0, 1), 7, 0))), 1, "")</f>
        <v/>
      </c>
      <c r="AE254" s="1" t="str">
        <f>IF(AND(AND(AND(AE$4&gt;='2025'!$L252,AE$4&lt;='2025'!$M252), AE$4&lt;&gt;DATE(2025,7,4)), (SWITCH(weekday(AE$4), 1, 0, 2, if(ISBLANK('2025'!$P252), 0, 1), 3, if(ISBLANK('2025'!$Q252), 0, 1), 4, if(ISBLANK('2025'!$R252), 0, 1), 5, if(ISBLANK('2025'!$S252), 0, 1), 6, if(ISBLANK('2025'!$T252), 0, 1), 7, 0))), 1, "")</f>
        <v/>
      </c>
      <c r="AF254" s="1" t="str">
        <f>IF(AND(AND(AND(AF$4&gt;='2025'!$L252,AF$4&lt;='2025'!$M252), AF$4&lt;&gt;DATE(2025,7,4)), (SWITCH(weekday(AF$4), 1, 0, 2, if(ISBLANK('2025'!$P252), 0, 1), 3, if(ISBLANK('2025'!$Q252), 0, 1), 4, if(ISBLANK('2025'!$R252), 0, 1), 5, if(ISBLANK('2025'!$S252), 0, 1), 6, if(ISBLANK('2025'!$T252), 0, 1), 7, 0))), 1, "")</f>
        <v/>
      </c>
      <c r="AG254" s="1" t="str">
        <f>IF(AND(AND(AND(AG$4&gt;='2025'!$L252,AG$4&lt;='2025'!$M252), AG$4&lt;&gt;DATE(2025,7,4)), (SWITCH(weekday(AG$4), 1, 0, 2, if(ISBLANK('2025'!$P252), 0, 1), 3, if(ISBLANK('2025'!$Q252), 0, 1), 4, if(ISBLANK('2025'!$R252), 0, 1), 5, if(ISBLANK('2025'!$S252), 0, 1), 6, if(ISBLANK('2025'!$T252), 0, 1), 7, 0))), 1, "")</f>
        <v/>
      </c>
      <c r="AH254" s="1" t="str">
        <f>IF(AND(AND(AND(AH$4&gt;='2025'!$L252,AH$4&lt;='2025'!$M252), AH$4&lt;&gt;DATE(2025,7,4)), (SWITCH(weekday(AH$4), 1, 0, 2, if(ISBLANK('2025'!$P252), 0, 1), 3, if(ISBLANK('2025'!$Q252), 0, 1), 4, if(ISBLANK('2025'!$R252), 0, 1), 5, if(ISBLANK('2025'!$S252), 0, 1), 6, if(ISBLANK('2025'!$T252), 0, 1), 7, 0))), 1, "")</f>
        <v/>
      </c>
      <c r="AI254" s="1" t="str">
        <f>IF(AND(AND(AND(AI$4&gt;='2025'!$L252,AI$4&lt;='2025'!$M252), AI$4&lt;&gt;DATE(2025,7,4)), (SWITCH(weekday(AI$4), 1, 0, 2, if(ISBLANK('2025'!$P252), 0, 1), 3, if(ISBLANK('2025'!$Q252), 0, 1), 4, if(ISBLANK('2025'!$R252), 0, 1), 5, if(ISBLANK('2025'!$S252), 0, 1), 6, if(ISBLANK('2025'!$T252), 0, 1), 7, 0))), 1, "")</f>
        <v/>
      </c>
      <c r="AJ254" s="1" t="str">
        <f>IF(AND(AND(AND(AJ$4&gt;='2025'!$L252,AJ$4&lt;='2025'!$M252), AJ$4&lt;&gt;DATE(2025,7,4)), (SWITCH(weekday(AJ$4), 1, 0, 2, if(ISBLANK('2025'!$P252), 0, 1), 3, if(ISBLANK('2025'!$Q252), 0, 1), 4, if(ISBLANK('2025'!$R252), 0, 1), 5, if(ISBLANK('2025'!$S252), 0, 1), 6, if(ISBLANK('2025'!$T252), 0, 1), 7, 0))), 1, "")</f>
        <v/>
      </c>
      <c r="AK254" s="1" t="str">
        <f>IF(AND(AND(AND(AK$4&gt;='2025'!$L252,AK$4&lt;='2025'!$M252), AK$4&lt;&gt;DATE(2025,7,4)), (SWITCH(weekday(AK$4), 1, 0, 2, if(ISBLANK('2025'!$P252), 0, 1), 3, if(ISBLANK('2025'!$Q252), 0, 1), 4, if(ISBLANK('2025'!$R252), 0, 1), 5, if(ISBLANK('2025'!$S252), 0, 1), 6, if(ISBLANK('2025'!$T252), 0, 1), 7, 0))), 1, "")</f>
        <v/>
      </c>
      <c r="AL254" s="1" t="str">
        <f>IF(AND(AND(AND(AL$4&gt;='2025'!$L252,AL$4&lt;='2025'!$M252), AL$4&lt;&gt;DATE(2025,7,4)), (SWITCH(weekday(AL$4), 1, 0, 2, if(ISBLANK('2025'!$P252), 0, 1), 3, if(ISBLANK('2025'!$Q252), 0, 1), 4, if(ISBLANK('2025'!$R252), 0, 1), 5, if(ISBLANK('2025'!$S252), 0, 1), 6, if(ISBLANK('2025'!$T252), 0, 1), 7, 0))), 1, "")</f>
        <v/>
      </c>
      <c r="AM254" s="1" t="str">
        <f>IF(AND(AND(AND(AM$4&gt;='2025'!$L252,AM$4&lt;='2025'!$M252), AM$4&lt;&gt;DATE(2025,7,4)), (SWITCH(weekday(AM$4), 1, 0, 2, if(ISBLANK('2025'!$P252), 0, 1), 3, if(ISBLANK('2025'!$Q252), 0, 1), 4, if(ISBLANK('2025'!$R252), 0, 1), 5, if(ISBLANK('2025'!$S252), 0, 1), 6, if(ISBLANK('2025'!$T252), 0, 1), 7, 0))), 1, "")</f>
        <v/>
      </c>
      <c r="AN254" s="1" t="str">
        <f>IF(AND(AND(AND(AN$4&gt;='2025'!$L252,AN$4&lt;='2025'!$M252), AN$4&lt;&gt;DATE(2025,7,4)), (SWITCH(weekday(AN$4), 1, 0, 2, if(ISBLANK('2025'!$P252), 0, 1), 3, if(ISBLANK('2025'!$Q252), 0, 1), 4, if(ISBLANK('2025'!$R252), 0, 1), 5, if(ISBLANK('2025'!$S252), 0, 1), 6, if(ISBLANK('2025'!$T252), 0, 1), 7, 0))), 1, "")</f>
        <v/>
      </c>
      <c r="AO254" s="1" t="str">
        <f>IF(AND(AND(AND(AO$4&gt;='2025'!$L252,AO$4&lt;='2025'!$M252), AO$4&lt;&gt;DATE(2025,7,4)), (SWITCH(weekday(AO$4), 1, 0, 2, if(ISBLANK('2025'!$P252), 0, 1), 3, if(ISBLANK('2025'!$Q252), 0, 1), 4, if(ISBLANK('2025'!$R252), 0, 1), 5, if(ISBLANK('2025'!$S252), 0, 1), 6, if(ISBLANK('2025'!$T252), 0, 1), 7, 0))), 1, "")</f>
        <v/>
      </c>
      <c r="AP254" s="1" t="str">
        <f>IF(AND(AND(AND(AP$4&gt;='2025'!$L252,AP$4&lt;='2025'!$M252), AP$4&lt;&gt;DATE(2025,7,4)), (SWITCH(weekday(AP$4), 1, 0, 2, if(ISBLANK('2025'!$P252), 0, 1), 3, if(ISBLANK('2025'!$Q252), 0, 1), 4, if(ISBLANK('2025'!$R252), 0, 1), 5, if(ISBLANK('2025'!$S252), 0, 1), 6, if(ISBLANK('2025'!$T252), 0, 1), 7, 0))), 1, "")</f>
        <v/>
      </c>
      <c r="AQ254" s="1" t="str">
        <f>IF(AND(AND(AND(AQ$4&gt;='2025'!$L252,AQ$4&lt;='2025'!$M252), AQ$4&lt;&gt;DATE(2025,7,4)), (SWITCH(weekday(AQ$4), 1, 0, 2, if(ISBLANK('2025'!$P252), 0, 1), 3, if(ISBLANK('2025'!$Q252), 0, 1), 4, if(ISBLANK('2025'!$R252), 0, 1), 5, if(ISBLANK('2025'!$S252), 0, 1), 6, if(ISBLANK('2025'!$T252), 0, 1), 7, 0))), 1, "")</f>
        <v/>
      </c>
      <c r="AR254" s="1" t="str">
        <f>IF(AND(AND(AND(AR$4&gt;='2025'!$L252,AR$4&lt;='2025'!$M252), AR$4&lt;&gt;DATE(2025,7,4)), (SWITCH(weekday(AR$4), 1, 0, 2, if(ISBLANK('2025'!$P252), 0, 1), 3, if(ISBLANK('2025'!$Q252), 0, 1), 4, if(ISBLANK('2025'!$R252), 0, 1), 5, if(ISBLANK('2025'!$S252), 0, 1), 6, if(ISBLANK('2025'!$T252), 0, 1), 7, 0))), 1, "")</f>
        <v/>
      </c>
      <c r="AS254" s="1" t="str">
        <f>IF(AND(AND(AND(AS$4&gt;='2025'!$L252,AS$4&lt;='2025'!$M252), AS$4&lt;&gt;DATE(2025,7,4)), (SWITCH(weekday(AS$4), 1, 0, 2, if(ISBLANK('2025'!$P252), 0, 1), 3, if(ISBLANK('2025'!$Q252), 0, 1), 4, if(ISBLANK('2025'!$R252), 0, 1), 5, if(ISBLANK('2025'!$S252), 0, 1), 6, if(ISBLANK('2025'!$T252), 0, 1), 7, 0))), 1, "")</f>
        <v/>
      </c>
      <c r="AT254" s="1" t="str">
        <f>IF(AND(AND(AND(AT$4&gt;='2025'!$L252,AT$4&lt;='2025'!$M252), AT$4&lt;&gt;DATE(2025,7,4)), (SWITCH(weekday(AT$4), 1, 0, 2, if(ISBLANK('2025'!$P252), 0, 1), 3, if(ISBLANK('2025'!$Q252), 0, 1), 4, if(ISBLANK('2025'!$R252), 0, 1), 5, if(ISBLANK('2025'!$S252), 0, 1), 6, if(ISBLANK('2025'!$T252), 0, 1), 7, 0))), 1, "")</f>
        <v/>
      </c>
      <c r="AU254" s="1" t="str">
        <f>IF(AND(AND(AND(AU$4&gt;='2025'!$L252,AU$4&lt;='2025'!$M252), AU$4&lt;&gt;DATE(2025,7,4)), (SWITCH(weekday(AU$4), 1, 0, 2, if(ISBLANK('2025'!$P252), 0, 1), 3, if(ISBLANK('2025'!$Q252), 0, 1), 4, if(ISBLANK('2025'!$R252), 0, 1), 5, if(ISBLANK('2025'!$S252), 0, 1), 6, if(ISBLANK('2025'!$T252), 0, 1), 7, 0))), 1, "")</f>
        <v/>
      </c>
      <c r="AV254" s="1" t="str">
        <f>IF(AND(AND(AND(AV$4&gt;='2025'!$L252,AV$4&lt;='2025'!$M252), AV$4&lt;&gt;DATE(2025,7,4)), (SWITCH(weekday(AV$4), 1, 0, 2, if(ISBLANK('2025'!$P252), 0, 1), 3, if(ISBLANK('2025'!$Q252), 0, 1), 4, if(ISBLANK('2025'!$R252), 0, 1), 5, if(ISBLANK('2025'!$S252), 0, 1), 6, if(ISBLANK('2025'!$T252), 0, 1), 7, 0))), 1, "")</f>
        <v/>
      </c>
      <c r="AW254" s="1" t="str">
        <f>IF(AND(AND(AND(AW$4&gt;='2025'!$L252,AW$4&lt;='2025'!$M252), AW$4&lt;&gt;DATE(2025,7,4)), (SWITCH(weekday(AW$4), 1, 0, 2, if(ISBLANK('2025'!$P252), 0, 1), 3, if(ISBLANK('2025'!$Q252), 0, 1), 4, if(ISBLANK('2025'!$R252), 0, 1), 5, if(ISBLANK('2025'!$S252), 0, 1), 6, if(ISBLANK('2025'!$T252), 0, 1), 7, 0))), 1, "")</f>
        <v/>
      </c>
      <c r="AX254" s="1" t="str">
        <f>IF(AND(AND(AND(AX$4&gt;='2025'!$L252,AX$4&lt;='2025'!$M252), AX$4&lt;&gt;DATE(2025,7,4)), (SWITCH(weekday(AX$4), 1, 0, 2, if(ISBLANK('2025'!$P252), 0, 1), 3, if(ISBLANK('2025'!$Q252), 0, 1), 4, if(ISBLANK('2025'!$R252), 0, 1), 5, if(ISBLANK('2025'!$S252), 0, 1), 6, if(ISBLANK('2025'!$T252), 0, 1), 7, 0))), 1, "")</f>
        <v/>
      </c>
      <c r="AY254" s="1" t="str">
        <f>IF(AND(AND(AND(AY$4&gt;='2025'!$L252,AY$4&lt;='2025'!$M252), AY$4&lt;&gt;DATE(2025,7,4)), (SWITCH(weekday(AY$4), 1, 0, 2, if(ISBLANK('2025'!$P252), 0, 1), 3, if(ISBLANK('2025'!$Q252), 0, 1), 4, if(ISBLANK('2025'!$R252), 0, 1), 5, if(ISBLANK('2025'!$S252), 0, 1), 6, if(ISBLANK('2025'!$T252), 0, 1), 7, 0))), 1, "")</f>
        <v/>
      </c>
      <c r="AZ254" s="1" t="str">
        <f>IF(AND(AND(AND(AZ$4&gt;='2025'!$L252,AZ$4&lt;='2025'!$M252), AZ$4&lt;&gt;DATE(2025,7,4)), (SWITCH(weekday(AZ$4), 1, 0, 2, if(ISBLANK('2025'!$P252), 0, 1), 3, if(ISBLANK('2025'!$Q252), 0, 1), 4, if(ISBLANK('2025'!$R252), 0, 1), 5, if(ISBLANK('2025'!$S252), 0, 1), 6, if(ISBLANK('2025'!$T252), 0, 1), 7, 0))), 1, "")</f>
        <v/>
      </c>
      <c r="BA254" s="1" t="str">
        <f>IF(AND(AND(AND(BA$4&gt;='2025'!$L252,BA$4&lt;='2025'!$M252), BA$4&lt;&gt;DATE(2025,7,4)), (SWITCH(weekday(BA$4), 1, 0, 2, if(ISBLANK('2025'!$P252), 0, 1), 3, if(ISBLANK('2025'!$Q252), 0, 1), 4, if(ISBLANK('2025'!$R252), 0, 1), 5, if(ISBLANK('2025'!$S252), 0, 1), 6, if(ISBLANK('2025'!$T252), 0, 1), 7, 0))), 1, "")</f>
        <v/>
      </c>
      <c r="BB254" s="1" t="str">
        <f>IF(AND(AND(AND(BB$4&gt;='2025'!$L252,BB$4&lt;='2025'!$M252), BB$4&lt;&gt;DATE(2025,7,4)), (SWITCH(weekday(BB$4), 1, 0, 2, if(ISBLANK('2025'!$P252), 0, 1), 3, if(ISBLANK('2025'!$Q252), 0, 1), 4, if(ISBLANK('2025'!$R252), 0, 1), 5, if(ISBLANK('2025'!$S252), 0, 1), 6, if(ISBLANK('2025'!$T252), 0, 1), 7, 0))), 1, "")</f>
        <v/>
      </c>
      <c r="BC254" s="1" t="str">
        <f>IF(AND(AND(AND(BC$4&gt;='2025'!$L252,BC$4&lt;='2025'!$M252), BC$4&lt;&gt;DATE(2025,7,4)), (SWITCH(weekday(BC$4), 1, 0, 2, if(ISBLANK('2025'!$P252), 0, 1), 3, if(ISBLANK('2025'!$Q252), 0, 1), 4, if(ISBLANK('2025'!$R252), 0, 1), 5, if(ISBLANK('2025'!$S252), 0, 1), 6, if(ISBLANK('2025'!$T252), 0, 1), 7, 0))), 1, "")</f>
        <v/>
      </c>
      <c r="BD254" s="1" t="str">
        <f>IF(AND(AND(AND(BD$4&gt;='2025'!$L252,BD$4&lt;='2025'!$M252), BD$4&lt;&gt;DATE(2025,7,4)), (SWITCH(weekday(BD$4), 1, 0, 2, if(ISBLANK('2025'!$P252), 0, 1), 3, if(ISBLANK('2025'!$Q252), 0, 1), 4, if(ISBLANK('2025'!$R252), 0, 1), 5, if(ISBLANK('2025'!$S252), 0, 1), 6, if(ISBLANK('2025'!$T252), 0, 1), 7, 0))), 1, "")</f>
        <v/>
      </c>
      <c r="BE254" s="1" t="str">
        <f>IF(AND(AND(AND(BE$4&gt;='2025'!$L252,BE$4&lt;='2025'!$M252), BE$4&lt;&gt;DATE(2025,7,4)), (SWITCH(weekday(BE$4), 1, 0, 2, if(ISBLANK('2025'!$P252), 0, 1), 3, if(ISBLANK('2025'!$Q252), 0, 1), 4, if(ISBLANK('2025'!$R252), 0, 1), 5, if(ISBLANK('2025'!$S252), 0, 1), 6, if(ISBLANK('2025'!$T252), 0, 1), 7, 0))), 1, "")</f>
        <v/>
      </c>
      <c r="BF254" s="1" t="str">
        <f>IF(AND(AND(AND(BF$4&gt;='2025'!$L252,BF$4&lt;='2025'!$M252), BF$4&lt;&gt;DATE(2025,7,4)), (SWITCH(weekday(BF$4), 1, 0, 2, if(ISBLANK('2025'!$P252), 0, 1), 3, if(ISBLANK('2025'!$Q252), 0, 1), 4, if(ISBLANK('2025'!$R252), 0, 1), 5, if(ISBLANK('2025'!$S252), 0, 1), 6, if(ISBLANK('2025'!$T252), 0, 1), 7, 0))), 1, "")</f>
        <v/>
      </c>
      <c r="BG254" s="1"/>
      <c r="BH254" s="1"/>
      <c r="BI254" s="1"/>
      <c r="BJ254" s="1"/>
      <c r="BK254" s="1"/>
      <c r="BL254" s="1"/>
    </row>
    <row r="255">
      <c r="A255" s="1">
        <f t="shared" si="3"/>
        <v>255</v>
      </c>
      <c r="B255" s="1" t="str">
        <f>'2025'!D219</f>
        <v>, </v>
      </c>
      <c r="C255" s="1" t="str">
        <f>'2025'!H219</f>
        <v/>
      </c>
      <c r="D255" s="1" t="str">
        <f>IF(AND(AND(AND(D$4&gt;='2025'!$L253,D$4&lt;='2025'!$M253), D$4&lt;&gt;DATE(2025,7,4)), (SWITCH(weekday(D$4), 1, 0, 2, if(ISBLANK('2025'!$P253), 0, 1), 3, if(ISBLANK('2025'!$Q253), 0, 1), 4, if(ISBLANK('2025'!$R253), 0, 1), 5, if(ISBLANK('2025'!$S253), 0, 1), 6, if(ISBLANK('2025'!$T253), 0, 1), 7, 0))), 1, "")</f>
        <v/>
      </c>
      <c r="E255" s="1" t="str">
        <f>IF(AND(AND(AND(E$4&gt;='2025'!$L253,E$4&lt;='2025'!$M253), E$4&lt;&gt;DATE(2025,7,4)), (SWITCH(weekday(E$4), 1, 0, 2, if(ISBLANK('2025'!$P253), 0, 1), 3, if(ISBLANK('2025'!$Q253), 0, 1), 4, if(ISBLANK('2025'!$R253), 0, 1), 5, if(ISBLANK('2025'!$S253), 0, 1), 6, if(ISBLANK('2025'!$T253), 0, 1), 7, 0))), 1, "")</f>
        <v/>
      </c>
      <c r="F255" s="1" t="str">
        <f>IF(AND(AND(AND(F$4&gt;='2025'!$L253,F$4&lt;='2025'!$M253), F$4&lt;&gt;DATE(2025,7,4)), (SWITCH(weekday(F$4), 1, 0, 2, if(ISBLANK('2025'!$P253), 0, 1), 3, if(ISBLANK('2025'!$Q253), 0, 1), 4, if(ISBLANK('2025'!$R253), 0, 1), 5, if(ISBLANK('2025'!$S253), 0, 1), 6, if(ISBLANK('2025'!$T253), 0, 1), 7, 0))), 1, "")</f>
        <v/>
      </c>
      <c r="G255" s="1" t="str">
        <f>IF(AND(AND(AND(G$4&gt;='2025'!$L253,G$4&lt;='2025'!$M253), G$4&lt;&gt;DATE(2025,7,4)), (SWITCH(weekday(G$4), 1, 0, 2, if(ISBLANK('2025'!$P253), 0, 1), 3, if(ISBLANK('2025'!$Q253), 0, 1), 4, if(ISBLANK('2025'!$R253), 0, 1), 5, if(ISBLANK('2025'!$S253), 0, 1), 6, if(ISBLANK('2025'!$T253), 0, 1), 7, 0))), 1, "")</f>
        <v/>
      </c>
      <c r="H255" s="1" t="str">
        <f>IF(AND(AND(AND(H$4&gt;='2025'!$L253,H$4&lt;='2025'!$M253), H$4&lt;&gt;DATE(2025,7,4)), (SWITCH(weekday(H$4), 1, 0, 2, if(ISBLANK('2025'!$P253), 0, 1), 3, if(ISBLANK('2025'!$Q253), 0, 1), 4, if(ISBLANK('2025'!$R253), 0, 1), 5, if(ISBLANK('2025'!$S253), 0, 1), 6, if(ISBLANK('2025'!$T253), 0, 1), 7, 0))), 1, "")</f>
        <v/>
      </c>
      <c r="I255" s="1" t="str">
        <f>IF(AND(AND(AND(I$4&gt;='2025'!$L253,I$4&lt;='2025'!$M253), I$4&lt;&gt;DATE(2025,7,4)), (SWITCH(weekday(I$4), 1, 0, 2, if(ISBLANK('2025'!$P253), 0, 1), 3, if(ISBLANK('2025'!$Q253), 0, 1), 4, if(ISBLANK('2025'!$R253), 0, 1), 5, if(ISBLANK('2025'!$S253), 0, 1), 6, if(ISBLANK('2025'!$T253), 0, 1), 7, 0))), 1, "")</f>
        <v/>
      </c>
      <c r="J255" s="1" t="str">
        <f>IF(AND(AND(AND(J$4&gt;='2025'!$L253,J$4&lt;='2025'!$M253), J$4&lt;&gt;DATE(2025,7,4)), (SWITCH(weekday(J$4), 1, 0, 2, if(ISBLANK('2025'!$P253), 0, 1), 3, if(ISBLANK('2025'!$Q253), 0, 1), 4, if(ISBLANK('2025'!$R253), 0, 1), 5, if(ISBLANK('2025'!$S253), 0, 1), 6, if(ISBLANK('2025'!$T253), 0, 1), 7, 0))), 1, "")</f>
        <v/>
      </c>
      <c r="K255" s="1" t="str">
        <f>IF(AND(AND(AND(K$4&gt;='2025'!$L253,K$4&lt;='2025'!$M253), K$4&lt;&gt;DATE(2025,7,4)), (SWITCH(weekday(K$4), 1, 0, 2, if(ISBLANK('2025'!$P253), 0, 1), 3, if(ISBLANK('2025'!$Q253), 0, 1), 4, if(ISBLANK('2025'!$R253), 0, 1), 5, if(ISBLANK('2025'!$S253), 0, 1), 6, if(ISBLANK('2025'!$T253), 0, 1), 7, 0))), 1, "")</f>
        <v/>
      </c>
      <c r="L255" s="1" t="str">
        <f>IF(AND(AND(AND(L$4&gt;='2025'!$L253,L$4&lt;='2025'!$M253), L$4&lt;&gt;DATE(2025,7,4)), (SWITCH(weekday(L$4), 1, 0, 2, if(ISBLANK('2025'!$P253), 0, 1), 3, if(ISBLANK('2025'!$Q253), 0, 1), 4, if(ISBLANK('2025'!$R253), 0, 1), 5, if(ISBLANK('2025'!$S253), 0, 1), 6, if(ISBLANK('2025'!$T253), 0, 1), 7, 0))), 1, "")</f>
        <v/>
      </c>
      <c r="M255" s="1" t="str">
        <f>IF(AND(AND(AND(M$4&gt;='2025'!$L253,M$4&lt;='2025'!$M253), M$4&lt;&gt;DATE(2025,7,4)), (SWITCH(weekday(M$4), 1, 0, 2, if(ISBLANK('2025'!$P253), 0, 1), 3, if(ISBLANK('2025'!$Q253), 0, 1), 4, if(ISBLANK('2025'!$R253), 0, 1), 5, if(ISBLANK('2025'!$S253), 0, 1), 6, if(ISBLANK('2025'!$T253), 0, 1), 7, 0))), 1, "")</f>
        <v/>
      </c>
      <c r="N255" s="1" t="str">
        <f>IF(AND(AND(AND(N$4&gt;='2025'!$L253,N$4&lt;='2025'!$M253), N$4&lt;&gt;DATE(2025,7,4)), (SWITCH(weekday(N$4), 1, 0, 2, if(ISBLANK('2025'!$P253), 0, 1), 3, if(ISBLANK('2025'!$Q253), 0, 1), 4, if(ISBLANK('2025'!$R253), 0, 1), 5, if(ISBLANK('2025'!$S253), 0, 1), 6, if(ISBLANK('2025'!$T253), 0, 1), 7, 0))), 1, "")</f>
        <v/>
      </c>
      <c r="O255" s="1" t="str">
        <f>IF(AND(AND(AND(O$4&gt;='2025'!$L253,O$4&lt;='2025'!$M253), O$4&lt;&gt;DATE(2025,7,4)), (SWITCH(weekday(O$4), 1, 0, 2, if(ISBLANK('2025'!$P253), 0, 1), 3, if(ISBLANK('2025'!$Q253), 0, 1), 4, if(ISBLANK('2025'!$R253), 0, 1), 5, if(ISBLANK('2025'!$S253), 0, 1), 6, if(ISBLANK('2025'!$T253), 0, 1), 7, 0))), 1, "")</f>
        <v/>
      </c>
      <c r="P255" s="1" t="str">
        <f>IF(AND(AND(AND(P$4&gt;='2025'!$L253,P$4&lt;='2025'!$M253), P$4&lt;&gt;DATE(2025,7,4)), (SWITCH(weekday(P$4), 1, 0, 2, if(ISBLANK('2025'!$P253), 0, 1), 3, if(ISBLANK('2025'!$Q253), 0, 1), 4, if(ISBLANK('2025'!$R253), 0, 1), 5, if(ISBLANK('2025'!$S253), 0, 1), 6, if(ISBLANK('2025'!$T253), 0, 1), 7, 0))), 1, "")</f>
        <v/>
      </c>
      <c r="Q255" s="1" t="str">
        <f>IF(AND(AND(AND(Q$4&gt;='2025'!$L253,Q$4&lt;='2025'!$M253), Q$4&lt;&gt;DATE(2025,7,4)), (SWITCH(weekday(Q$4), 1, 0, 2, if(ISBLANK('2025'!$P253), 0, 1), 3, if(ISBLANK('2025'!$Q253), 0, 1), 4, if(ISBLANK('2025'!$R253), 0, 1), 5, if(ISBLANK('2025'!$S253), 0, 1), 6, if(ISBLANK('2025'!$T253), 0, 1), 7, 0))), 1, "")</f>
        <v/>
      </c>
      <c r="R255" s="1" t="str">
        <f>IF(AND(AND(AND(R$4&gt;='2025'!$L253,R$4&lt;='2025'!$M253), R$4&lt;&gt;DATE(2025,7,4)), (SWITCH(weekday(R$4), 1, 0, 2, if(ISBLANK('2025'!$P253), 0, 1), 3, if(ISBLANK('2025'!$Q253), 0, 1), 4, if(ISBLANK('2025'!$R253), 0, 1), 5, if(ISBLANK('2025'!$S253), 0, 1), 6, if(ISBLANK('2025'!$T253), 0, 1), 7, 0))), 1, "")</f>
        <v/>
      </c>
      <c r="S255" s="1" t="str">
        <f>IF(AND(AND(AND(S$4&gt;='2025'!$L253,S$4&lt;='2025'!$M253), S$4&lt;&gt;DATE(2025,7,4)), (SWITCH(weekday(S$4), 1, 0, 2, if(ISBLANK('2025'!$P253), 0, 1), 3, if(ISBLANK('2025'!$Q253), 0, 1), 4, if(ISBLANK('2025'!$R253), 0, 1), 5, if(ISBLANK('2025'!$S253), 0, 1), 6, if(ISBLANK('2025'!$T253), 0, 1), 7, 0))), 1, "")</f>
        <v/>
      </c>
      <c r="T255" s="1" t="str">
        <f>IF(AND(AND(AND(T$4&gt;='2025'!$L253,T$4&lt;='2025'!$M253), T$4&lt;&gt;DATE(2025,7,4)), (SWITCH(weekday(T$4), 1, 0, 2, if(ISBLANK('2025'!$P253), 0, 1), 3, if(ISBLANK('2025'!$Q253), 0, 1), 4, if(ISBLANK('2025'!$R253), 0, 1), 5, if(ISBLANK('2025'!$S253), 0, 1), 6, if(ISBLANK('2025'!$T253), 0, 1), 7, 0))), 1, "")</f>
        <v/>
      </c>
      <c r="U255" s="1" t="str">
        <f>IF(AND(AND(AND(U$4&gt;='2025'!$L253,U$4&lt;='2025'!$M253), U$4&lt;&gt;DATE(2025,7,4)), (SWITCH(weekday(U$4), 1, 0, 2, if(ISBLANK('2025'!$P253), 0, 1), 3, if(ISBLANK('2025'!$Q253), 0, 1), 4, if(ISBLANK('2025'!$R253), 0, 1), 5, if(ISBLANK('2025'!$S253), 0, 1), 6, if(ISBLANK('2025'!$T253), 0, 1), 7, 0))), 1, "")</f>
        <v/>
      </c>
      <c r="V255" s="1" t="str">
        <f>IF(AND(AND(AND(V$4&gt;='2025'!$L253,V$4&lt;='2025'!$M253), V$4&lt;&gt;DATE(2025,7,4)), (SWITCH(weekday(V$4), 1, 0, 2, if(ISBLANK('2025'!$P253), 0, 1), 3, if(ISBLANK('2025'!$Q253), 0, 1), 4, if(ISBLANK('2025'!$R253), 0, 1), 5, if(ISBLANK('2025'!$S253), 0, 1), 6, if(ISBLANK('2025'!$T253), 0, 1), 7, 0))), 1, "")</f>
        <v/>
      </c>
      <c r="W255" s="1" t="str">
        <f>IF(AND(AND(AND(W$4&gt;='2025'!$L253,W$4&lt;='2025'!$M253), W$4&lt;&gt;DATE(2025,7,4)), (SWITCH(weekday(W$4), 1, 0, 2, if(ISBLANK('2025'!$P253), 0, 1), 3, if(ISBLANK('2025'!$Q253), 0, 1), 4, if(ISBLANK('2025'!$R253), 0, 1), 5, if(ISBLANK('2025'!$S253), 0, 1), 6, if(ISBLANK('2025'!$T253), 0, 1), 7, 0))), 1, "")</f>
        <v/>
      </c>
      <c r="X255" s="1" t="str">
        <f>IF(AND(AND(AND(X$4&gt;='2025'!$L253,X$4&lt;='2025'!$M253), X$4&lt;&gt;DATE(2025,7,4)), (SWITCH(weekday(X$4), 1, 0, 2, if(ISBLANK('2025'!$P253), 0, 1), 3, if(ISBLANK('2025'!$Q253), 0, 1), 4, if(ISBLANK('2025'!$R253), 0, 1), 5, if(ISBLANK('2025'!$S253), 0, 1), 6, if(ISBLANK('2025'!$T253), 0, 1), 7, 0))), 1, "")</f>
        <v/>
      </c>
      <c r="Y255" s="1" t="str">
        <f>IF(AND(AND(AND(Y$4&gt;='2025'!$L253,Y$4&lt;='2025'!$M253), Y$4&lt;&gt;DATE(2025,7,4)), (SWITCH(weekday(Y$4), 1, 0, 2, if(ISBLANK('2025'!$P253), 0, 1), 3, if(ISBLANK('2025'!$Q253), 0, 1), 4, if(ISBLANK('2025'!$R253), 0, 1), 5, if(ISBLANK('2025'!$S253), 0, 1), 6, if(ISBLANK('2025'!$T253), 0, 1), 7, 0))), 1, "")</f>
        <v/>
      </c>
      <c r="Z255" s="1" t="str">
        <f>IF(AND(AND(AND(Z$4&gt;='2025'!$L253,Z$4&lt;='2025'!$M253), Z$4&lt;&gt;DATE(2025,7,4)), (SWITCH(weekday(Z$4), 1, 0, 2, if(ISBLANK('2025'!$P253), 0, 1), 3, if(ISBLANK('2025'!$Q253), 0, 1), 4, if(ISBLANK('2025'!$R253), 0, 1), 5, if(ISBLANK('2025'!$S253), 0, 1), 6, if(ISBLANK('2025'!$T253), 0, 1), 7, 0))), 1, "")</f>
        <v/>
      </c>
      <c r="AA255" s="1" t="str">
        <f>IF(AND(AND(AND(AA$4&gt;='2025'!$L253,AA$4&lt;='2025'!$M253), AA$4&lt;&gt;DATE(2025,7,4)), (SWITCH(weekday(AA$4), 1, 0, 2, if(ISBLANK('2025'!$P253), 0, 1), 3, if(ISBLANK('2025'!$Q253), 0, 1), 4, if(ISBLANK('2025'!$R253), 0, 1), 5, if(ISBLANK('2025'!$S253), 0, 1), 6, if(ISBLANK('2025'!$T253), 0, 1), 7, 0))), 1, "")</f>
        <v/>
      </c>
      <c r="AB255" s="1" t="str">
        <f>IF(AND(AND(AND(AB$4&gt;='2025'!$L253,AB$4&lt;='2025'!$M253), AB$4&lt;&gt;DATE(2025,7,4)), (SWITCH(weekday(AB$4), 1, 0, 2, if(ISBLANK('2025'!$P253), 0, 1), 3, if(ISBLANK('2025'!$Q253), 0, 1), 4, if(ISBLANK('2025'!$R253), 0, 1), 5, if(ISBLANK('2025'!$S253), 0, 1), 6, if(ISBLANK('2025'!$T253), 0, 1), 7, 0))), 1, "")</f>
        <v/>
      </c>
      <c r="AC255" s="1" t="str">
        <f>IF(AND(AND(AND(AC$4&gt;='2025'!$L253,AC$4&lt;='2025'!$M253), AC$4&lt;&gt;DATE(2025,7,4)), (SWITCH(weekday(AC$4), 1, 0, 2, if(ISBLANK('2025'!$P253), 0, 1), 3, if(ISBLANK('2025'!$Q253), 0, 1), 4, if(ISBLANK('2025'!$R253), 0, 1), 5, if(ISBLANK('2025'!$S253), 0, 1), 6, if(ISBLANK('2025'!$T253), 0, 1), 7, 0))), 1, "")</f>
        <v/>
      </c>
      <c r="AD255" s="1" t="str">
        <f>IF(AND(AND(AND(AD$4&gt;='2025'!$L253,AD$4&lt;='2025'!$M253), AD$4&lt;&gt;DATE(2025,7,4)), (SWITCH(weekday(AD$4), 1, 0, 2, if(ISBLANK('2025'!$P253), 0, 1), 3, if(ISBLANK('2025'!$Q253), 0, 1), 4, if(ISBLANK('2025'!$R253), 0, 1), 5, if(ISBLANK('2025'!$S253), 0, 1), 6, if(ISBLANK('2025'!$T253), 0, 1), 7, 0))), 1, "")</f>
        <v/>
      </c>
      <c r="AE255" s="1" t="str">
        <f>IF(AND(AND(AND(AE$4&gt;='2025'!$L253,AE$4&lt;='2025'!$M253), AE$4&lt;&gt;DATE(2025,7,4)), (SWITCH(weekday(AE$4), 1, 0, 2, if(ISBLANK('2025'!$P253), 0, 1), 3, if(ISBLANK('2025'!$Q253), 0, 1), 4, if(ISBLANK('2025'!$R253), 0, 1), 5, if(ISBLANK('2025'!$S253), 0, 1), 6, if(ISBLANK('2025'!$T253), 0, 1), 7, 0))), 1, "")</f>
        <v/>
      </c>
      <c r="AF255" s="1" t="str">
        <f>IF(AND(AND(AND(AF$4&gt;='2025'!$L253,AF$4&lt;='2025'!$M253), AF$4&lt;&gt;DATE(2025,7,4)), (SWITCH(weekday(AF$4), 1, 0, 2, if(ISBLANK('2025'!$P253), 0, 1), 3, if(ISBLANK('2025'!$Q253), 0, 1), 4, if(ISBLANK('2025'!$R253), 0, 1), 5, if(ISBLANK('2025'!$S253), 0, 1), 6, if(ISBLANK('2025'!$T253), 0, 1), 7, 0))), 1, "")</f>
        <v/>
      </c>
      <c r="AG255" s="1" t="str">
        <f>IF(AND(AND(AND(AG$4&gt;='2025'!$L253,AG$4&lt;='2025'!$M253), AG$4&lt;&gt;DATE(2025,7,4)), (SWITCH(weekday(AG$4), 1, 0, 2, if(ISBLANK('2025'!$P253), 0, 1), 3, if(ISBLANK('2025'!$Q253), 0, 1), 4, if(ISBLANK('2025'!$R253), 0, 1), 5, if(ISBLANK('2025'!$S253), 0, 1), 6, if(ISBLANK('2025'!$T253), 0, 1), 7, 0))), 1, "")</f>
        <v/>
      </c>
      <c r="AH255" s="1" t="str">
        <f>IF(AND(AND(AND(AH$4&gt;='2025'!$L253,AH$4&lt;='2025'!$M253), AH$4&lt;&gt;DATE(2025,7,4)), (SWITCH(weekday(AH$4), 1, 0, 2, if(ISBLANK('2025'!$P253), 0, 1), 3, if(ISBLANK('2025'!$Q253), 0, 1), 4, if(ISBLANK('2025'!$R253), 0, 1), 5, if(ISBLANK('2025'!$S253), 0, 1), 6, if(ISBLANK('2025'!$T253), 0, 1), 7, 0))), 1, "")</f>
        <v/>
      </c>
      <c r="AI255" s="1" t="str">
        <f>IF(AND(AND(AND(AI$4&gt;='2025'!$L253,AI$4&lt;='2025'!$M253), AI$4&lt;&gt;DATE(2025,7,4)), (SWITCH(weekday(AI$4), 1, 0, 2, if(ISBLANK('2025'!$P253), 0, 1), 3, if(ISBLANK('2025'!$Q253), 0, 1), 4, if(ISBLANK('2025'!$R253), 0, 1), 5, if(ISBLANK('2025'!$S253), 0, 1), 6, if(ISBLANK('2025'!$T253), 0, 1), 7, 0))), 1, "")</f>
        <v/>
      </c>
      <c r="AJ255" s="1" t="str">
        <f>IF(AND(AND(AND(AJ$4&gt;='2025'!$L253,AJ$4&lt;='2025'!$M253), AJ$4&lt;&gt;DATE(2025,7,4)), (SWITCH(weekday(AJ$4), 1, 0, 2, if(ISBLANK('2025'!$P253), 0, 1), 3, if(ISBLANK('2025'!$Q253), 0, 1), 4, if(ISBLANK('2025'!$R253), 0, 1), 5, if(ISBLANK('2025'!$S253), 0, 1), 6, if(ISBLANK('2025'!$T253), 0, 1), 7, 0))), 1, "")</f>
        <v/>
      </c>
      <c r="AK255" s="1" t="str">
        <f>IF(AND(AND(AND(AK$4&gt;='2025'!$L253,AK$4&lt;='2025'!$M253), AK$4&lt;&gt;DATE(2025,7,4)), (SWITCH(weekday(AK$4), 1, 0, 2, if(ISBLANK('2025'!$P253), 0, 1), 3, if(ISBLANK('2025'!$Q253), 0, 1), 4, if(ISBLANK('2025'!$R253), 0, 1), 5, if(ISBLANK('2025'!$S253), 0, 1), 6, if(ISBLANK('2025'!$T253), 0, 1), 7, 0))), 1, "")</f>
        <v/>
      </c>
      <c r="AL255" s="1" t="str">
        <f>IF(AND(AND(AND(AL$4&gt;='2025'!$L253,AL$4&lt;='2025'!$M253), AL$4&lt;&gt;DATE(2025,7,4)), (SWITCH(weekday(AL$4), 1, 0, 2, if(ISBLANK('2025'!$P253), 0, 1), 3, if(ISBLANK('2025'!$Q253), 0, 1), 4, if(ISBLANK('2025'!$R253), 0, 1), 5, if(ISBLANK('2025'!$S253), 0, 1), 6, if(ISBLANK('2025'!$T253), 0, 1), 7, 0))), 1, "")</f>
        <v/>
      </c>
      <c r="AM255" s="1" t="str">
        <f>IF(AND(AND(AND(AM$4&gt;='2025'!$L253,AM$4&lt;='2025'!$M253), AM$4&lt;&gt;DATE(2025,7,4)), (SWITCH(weekday(AM$4), 1, 0, 2, if(ISBLANK('2025'!$P253), 0, 1), 3, if(ISBLANK('2025'!$Q253), 0, 1), 4, if(ISBLANK('2025'!$R253), 0, 1), 5, if(ISBLANK('2025'!$S253), 0, 1), 6, if(ISBLANK('2025'!$T253), 0, 1), 7, 0))), 1, "")</f>
        <v/>
      </c>
      <c r="AN255" s="1" t="str">
        <f>IF(AND(AND(AND(AN$4&gt;='2025'!$L253,AN$4&lt;='2025'!$M253), AN$4&lt;&gt;DATE(2025,7,4)), (SWITCH(weekday(AN$4), 1, 0, 2, if(ISBLANK('2025'!$P253), 0, 1), 3, if(ISBLANK('2025'!$Q253), 0, 1), 4, if(ISBLANK('2025'!$R253), 0, 1), 5, if(ISBLANK('2025'!$S253), 0, 1), 6, if(ISBLANK('2025'!$T253), 0, 1), 7, 0))), 1, "")</f>
        <v/>
      </c>
      <c r="AO255" s="1" t="str">
        <f>IF(AND(AND(AND(AO$4&gt;='2025'!$L253,AO$4&lt;='2025'!$M253), AO$4&lt;&gt;DATE(2025,7,4)), (SWITCH(weekday(AO$4), 1, 0, 2, if(ISBLANK('2025'!$P253), 0, 1), 3, if(ISBLANK('2025'!$Q253), 0, 1), 4, if(ISBLANK('2025'!$R253), 0, 1), 5, if(ISBLANK('2025'!$S253), 0, 1), 6, if(ISBLANK('2025'!$T253), 0, 1), 7, 0))), 1, "")</f>
        <v/>
      </c>
      <c r="AP255" s="1" t="str">
        <f>IF(AND(AND(AND(AP$4&gt;='2025'!$L253,AP$4&lt;='2025'!$M253), AP$4&lt;&gt;DATE(2025,7,4)), (SWITCH(weekday(AP$4), 1, 0, 2, if(ISBLANK('2025'!$P253), 0, 1), 3, if(ISBLANK('2025'!$Q253), 0, 1), 4, if(ISBLANK('2025'!$R253), 0, 1), 5, if(ISBLANK('2025'!$S253), 0, 1), 6, if(ISBLANK('2025'!$T253), 0, 1), 7, 0))), 1, "")</f>
        <v/>
      </c>
      <c r="AQ255" s="1" t="str">
        <f>IF(AND(AND(AND(AQ$4&gt;='2025'!$L253,AQ$4&lt;='2025'!$M253), AQ$4&lt;&gt;DATE(2025,7,4)), (SWITCH(weekday(AQ$4), 1, 0, 2, if(ISBLANK('2025'!$P253), 0, 1), 3, if(ISBLANK('2025'!$Q253), 0, 1), 4, if(ISBLANK('2025'!$R253), 0, 1), 5, if(ISBLANK('2025'!$S253), 0, 1), 6, if(ISBLANK('2025'!$T253), 0, 1), 7, 0))), 1, "")</f>
        <v/>
      </c>
      <c r="AR255" s="1" t="str">
        <f>IF(AND(AND(AND(AR$4&gt;='2025'!$L253,AR$4&lt;='2025'!$M253), AR$4&lt;&gt;DATE(2025,7,4)), (SWITCH(weekday(AR$4), 1, 0, 2, if(ISBLANK('2025'!$P253), 0, 1), 3, if(ISBLANK('2025'!$Q253), 0, 1), 4, if(ISBLANK('2025'!$R253), 0, 1), 5, if(ISBLANK('2025'!$S253), 0, 1), 6, if(ISBLANK('2025'!$T253), 0, 1), 7, 0))), 1, "")</f>
        <v/>
      </c>
      <c r="AS255" s="1" t="str">
        <f>IF(AND(AND(AND(AS$4&gt;='2025'!$L253,AS$4&lt;='2025'!$M253), AS$4&lt;&gt;DATE(2025,7,4)), (SWITCH(weekday(AS$4), 1, 0, 2, if(ISBLANK('2025'!$P253), 0, 1), 3, if(ISBLANK('2025'!$Q253), 0, 1), 4, if(ISBLANK('2025'!$R253), 0, 1), 5, if(ISBLANK('2025'!$S253), 0, 1), 6, if(ISBLANK('2025'!$T253), 0, 1), 7, 0))), 1, "")</f>
        <v/>
      </c>
      <c r="AT255" s="1" t="str">
        <f>IF(AND(AND(AND(AT$4&gt;='2025'!$L253,AT$4&lt;='2025'!$M253), AT$4&lt;&gt;DATE(2025,7,4)), (SWITCH(weekday(AT$4), 1, 0, 2, if(ISBLANK('2025'!$P253), 0, 1), 3, if(ISBLANK('2025'!$Q253), 0, 1), 4, if(ISBLANK('2025'!$R253), 0, 1), 5, if(ISBLANK('2025'!$S253), 0, 1), 6, if(ISBLANK('2025'!$T253), 0, 1), 7, 0))), 1, "")</f>
        <v/>
      </c>
      <c r="AU255" s="1" t="str">
        <f>IF(AND(AND(AND(AU$4&gt;='2025'!$L253,AU$4&lt;='2025'!$M253), AU$4&lt;&gt;DATE(2025,7,4)), (SWITCH(weekday(AU$4), 1, 0, 2, if(ISBLANK('2025'!$P253), 0, 1), 3, if(ISBLANK('2025'!$Q253), 0, 1), 4, if(ISBLANK('2025'!$R253), 0, 1), 5, if(ISBLANK('2025'!$S253), 0, 1), 6, if(ISBLANK('2025'!$T253), 0, 1), 7, 0))), 1, "")</f>
        <v/>
      </c>
      <c r="AV255" s="1" t="str">
        <f>IF(AND(AND(AND(AV$4&gt;='2025'!$L253,AV$4&lt;='2025'!$M253), AV$4&lt;&gt;DATE(2025,7,4)), (SWITCH(weekday(AV$4), 1, 0, 2, if(ISBLANK('2025'!$P253), 0, 1), 3, if(ISBLANK('2025'!$Q253), 0, 1), 4, if(ISBLANK('2025'!$R253), 0, 1), 5, if(ISBLANK('2025'!$S253), 0, 1), 6, if(ISBLANK('2025'!$T253), 0, 1), 7, 0))), 1, "")</f>
        <v/>
      </c>
      <c r="AW255" s="1" t="str">
        <f>IF(AND(AND(AND(AW$4&gt;='2025'!$L253,AW$4&lt;='2025'!$M253), AW$4&lt;&gt;DATE(2025,7,4)), (SWITCH(weekday(AW$4), 1, 0, 2, if(ISBLANK('2025'!$P253), 0, 1), 3, if(ISBLANK('2025'!$Q253), 0, 1), 4, if(ISBLANK('2025'!$R253), 0, 1), 5, if(ISBLANK('2025'!$S253), 0, 1), 6, if(ISBLANK('2025'!$T253), 0, 1), 7, 0))), 1, "")</f>
        <v/>
      </c>
      <c r="AX255" s="1" t="str">
        <f>IF(AND(AND(AND(AX$4&gt;='2025'!$L253,AX$4&lt;='2025'!$M253), AX$4&lt;&gt;DATE(2025,7,4)), (SWITCH(weekday(AX$4), 1, 0, 2, if(ISBLANK('2025'!$P253), 0, 1), 3, if(ISBLANK('2025'!$Q253), 0, 1), 4, if(ISBLANK('2025'!$R253), 0, 1), 5, if(ISBLANK('2025'!$S253), 0, 1), 6, if(ISBLANK('2025'!$T253), 0, 1), 7, 0))), 1, "")</f>
        <v/>
      </c>
      <c r="AY255" s="1" t="str">
        <f>IF(AND(AND(AND(AY$4&gt;='2025'!$L253,AY$4&lt;='2025'!$M253), AY$4&lt;&gt;DATE(2025,7,4)), (SWITCH(weekday(AY$4), 1, 0, 2, if(ISBLANK('2025'!$P253), 0, 1), 3, if(ISBLANK('2025'!$Q253), 0, 1), 4, if(ISBLANK('2025'!$R253), 0, 1), 5, if(ISBLANK('2025'!$S253), 0, 1), 6, if(ISBLANK('2025'!$T253), 0, 1), 7, 0))), 1, "")</f>
        <v/>
      </c>
      <c r="AZ255" s="1" t="str">
        <f>IF(AND(AND(AND(AZ$4&gt;='2025'!$L253,AZ$4&lt;='2025'!$M253), AZ$4&lt;&gt;DATE(2025,7,4)), (SWITCH(weekday(AZ$4), 1, 0, 2, if(ISBLANK('2025'!$P253), 0, 1), 3, if(ISBLANK('2025'!$Q253), 0, 1), 4, if(ISBLANK('2025'!$R253), 0, 1), 5, if(ISBLANK('2025'!$S253), 0, 1), 6, if(ISBLANK('2025'!$T253), 0, 1), 7, 0))), 1, "")</f>
        <v/>
      </c>
      <c r="BA255" s="1" t="str">
        <f>IF(AND(AND(AND(BA$4&gt;='2025'!$L253,BA$4&lt;='2025'!$M253), BA$4&lt;&gt;DATE(2025,7,4)), (SWITCH(weekday(BA$4), 1, 0, 2, if(ISBLANK('2025'!$P253), 0, 1), 3, if(ISBLANK('2025'!$Q253), 0, 1), 4, if(ISBLANK('2025'!$R253), 0, 1), 5, if(ISBLANK('2025'!$S253), 0, 1), 6, if(ISBLANK('2025'!$T253), 0, 1), 7, 0))), 1, "")</f>
        <v/>
      </c>
      <c r="BB255" s="1" t="str">
        <f>IF(AND(AND(AND(BB$4&gt;='2025'!$L253,BB$4&lt;='2025'!$M253), BB$4&lt;&gt;DATE(2025,7,4)), (SWITCH(weekday(BB$4), 1, 0, 2, if(ISBLANK('2025'!$P253), 0, 1), 3, if(ISBLANK('2025'!$Q253), 0, 1), 4, if(ISBLANK('2025'!$R253), 0, 1), 5, if(ISBLANK('2025'!$S253), 0, 1), 6, if(ISBLANK('2025'!$T253), 0, 1), 7, 0))), 1, "")</f>
        <v/>
      </c>
      <c r="BC255" s="1" t="str">
        <f>IF(AND(AND(AND(BC$4&gt;='2025'!$L253,BC$4&lt;='2025'!$M253), BC$4&lt;&gt;DATE(2025,7,4)), (SWITCH(weekday(BC$4), 1, 0, 2, if(ISBLANK('2025'!$P253), 0, 1), 3, if(ISBLANK('2025'!$Q253), 0, 1), 4, if(ISBLANK('2025'!$R253), 0, 1), 5, if(ISBLANK('2025'!$S253), 0, 1), 6, if(ISBLANK('2025'!$T253), 0, 1), 7, 0))), 1, "")</f>
        <v/>
      </c>
      <c r="BD255" s="1" t="str">
        <f>IF(AND(AND(AND(BD$4&gt;='2025'!$L253,BD$4&lt;='2025'!$M253), BD$4&lt;&gt;DATE(2025,7,4)), (SWITCH(weekday(BD$4), 1, 0, 2, if(ISBLANK('2025'!$P253), 0, 1), 3, if(ISBLANK('2025'!$Q253), 0, 1), 4, if(ISBLANK('2025'!$R253), 0, 1), 5, if(ISBLANK('2025'!$S253), 0, 1), 6, if(ISBLANK('2025'!$T253), 0, 1), 7, 0))), 1, "")</f>
        <v/>
      </c>
      <c r="BE255" s="1" t="str">
        <f>IF(AND(AND(AND(BE$4&gt;='2025'!$L253,BE$4&lt;='2025'!$M253), BE$4&lt;&gt;DATE(2025,7,4)), (SWITCH(weekday(BE$4), 1, 0, 2, if(ISBLANK('2025'!$P253), 0, 1), 3, if(ISBLANK('2025'!$Q253), 0, 1), 4, if(ISBLANK('2025'!$R253), 0, 1), 5, if(ISBLANK('2025'!$S253), 0, 1), 6, if(ISBLANK('2025'!$T253), 0, 1), 7, 0))), 1, "")</f>
        <v/>
      </c>
      <c r="BF255" s="1" t="str">
        <f>IF(AND(AND(AND(BF$4&gt;='2025'!$L253,BF$4&lt;='2025'!$M253), BF$4&lt;&gt;DATE(2025,7,4)), (SWITCH(weekday(BF$4), 1, 0, 2, if(ISBLANK('2025'!$P253), 0, 1), 3, if(ISBLANK('2025'!$Q253), 0, 1), 4, if(ISBLANK('2025'!$R253), 0, 1), 5, if(ISBLANK('2025'!$S253), 0, 1), 6, if(ISBLANK('2025'!$T253), 0, 1), 7, 0))), 1, "")</f>
        <v/>
      </c>
      <c r="BG255" s="1"/>
      <c r="BH255" s="1"/>
      <c r="BI255" s="1"/>
      <c r="BJ255" s="1"/>
      <c r="BK255" s="1"/>
      <c r="BL255" s="1"/>
    </row>
    <row r="256">
      <c r="A256" s="1">
        <f t="shared" si="3"/>
        <v>256</v>
      </c>
      <c r="B256" s="1" t="str">
        <f>'2025'!D220</f>
        <v>, </v>
      </c>
      <c r="C256" s="1" t="str">
        <f>'2025'!H220</f>
        <v/>
      </c>
      <c r="D256" s="1" t="str">
        <f>IF(AND(AND(AND(D$4&gt;='2025'!$L254,D$4&lt;='2025'!$M254), D$4&lt;&gt;DATE(2025,7,4)), (SWITCH(weekday(D$4), 1, 0, 2, if(ISBLANK('2025'!$P254), 0, 1), 3, if(ISBLANK('2025'!$Q254), 0, 1), 4, if(ISBLANK('2025'!$R254), 0, 1), 5, if(ISBLANK('2025'!$S254), 0, 1), 6, if(ISBLANK('2025'!$T254), 0, 1), 7, 0))), 1, "")</f>
        <v/>
      </c>
      <c r="E256" s="1" t="str">
        <f>IF(AND(AND(AND(E$4&gt;='2025'!$L254,E$4&lt;='2025'!$M254), E$4&lt;&gt;DATE(2025,7,4)), (SWITCH(weekday(E$4), 1, 0, 2, if(ISBLANK('2025'!$P254), 0, 1), 3, if(ISBLANK('2025'!$Q254), 0, 1), 4, if(ISBLANK('2025'!$R254), 0, 1), 5, if(ISBLANK('2025'!$S254), 0, 1), 6, if(ISBLANK('2025'!$T254), 0, 1), 7, 0))), 1, "")</f>
        <v/>
      </c>
      <c r="F256" s="1" t="str">
        <f>IF(AND(AND(AND(F$4&gt;='2025'!$L254,F$4&lt;='2025'!$M254), F$4&lt;&gt;DATE(2025,7,4)), (SWITCH(weekday(F$4), 1, 0, 2, if(ISBLANK('2025'!$P254), 0, 1), 3, if(ISBLANK('2025'!$Q254), 0, 1), 4, if(ISBLANK('2025'!$R254), 0, 1), 5, if(ISBLANK('2025'!$S254), 0, 1), 6, if(ISBLANK('2025'!$T254), 0, 1), 7, 0))), 1, "")</f>
        <v/>
      </c>
      <c r="G256" s="1" t="str">
        <f>IF(AND(AND(AND(G$4&gt;='2025'!$L254,G$4&lt;='2025'!$M254), G$4&lt;&gt;DATE(2025,7,4)), (SWITCH(weekday(G$4), 1, 0, 2, if(ISBLANK('2025'!$P254), 0, 1), 3, if(ISBLANK('2025'!$Q254), 0, 1), 4, if(ISBLANK('2025'!$R254), 0, 1), 5, if(ISBLANK('2025'!$S254), 0, 1), 6, if(ISBLANK('2025'!$T254), 0, 1), 7, 0))), 1, "")</f>
        <v/>
      </c>
      <c r="H256" s="1" t="str">
        <f>IF(AND(AND(AND(H$4&gt;='2025'!$L254,H$4&lt;='2025'!$M254), H$4&lt;&gt;DATE(2025,7,4)), (SWITCH(weekday(H$4), 1, 0, 2, if(ISBLANK('2025'!$P254), 0, 1), 3, if(ISBLANK('2025'!$Q254), 0, 1), 4, if(ISBLANK('2025'!$R254), 0, 1), 5, if(ISBLANK('2025'!$S254), 0, 1), 6, if(ISBLANK('2025'!$T254), 0, 1), 7, 0))), 1, "")</f>
        <v/>
      </c>
      <c r="I256" s="1" t="str">
        <f>IF(AND(AND(AND(I$4&gt;='2025'!$L254,I$4&lt;='2025'!$M254), I$4&lt;&gt;DATE(2025,7,4)), (SWITCH(weekday(I$4), 1, 0, 2, if(ISBLANK('2025'!$P254), 0, 1), 3, if(ISBLANK('2025'!$Q254), 0, 1), 4, if(ISBLANK('2025'!$R254), 0, 1), 5, if(ISBLANK('2025'!$S254), 0, 1), 6, if(ISBLANK('2025'!$T254), 0, 1), 7, 0))), 1, "")</f>
        <v/>
      </c>
      <c r="J256" s="1" t="str">
        <f>IF(AND(AND(AND(J$4&gt;='2025'!$L254,J$4&lt;='2025'!$M254), J$4&lt;&gt;DATE(2025,7,4)), (SWITCH(weekday(J$4), 1, 0, 2, if(ISBLANK('2025'!$P254), 0, 1), 3, if(ISBLANK('2025'!$Q254), 0, 1), 4, if(ISBLANK('2025'!$R254), 0, 1), 5, if(ISBLANK('2025'!$S254), 0, 1), 6, if(ISBLANK('2025'!$T254), 0, 1), 7, 0))), 1, "")</f>
        <v/>
      </c>
      <c r="K256" s="1" t="str">
        <f>IF(AND(AND(AND(K$4&gt;='2025'!$L254,K$4&lt;='2025'!$M254), K$4&lt;&gt;DATE(2025,7,4)), (SWITCH(weekday(K$4), 1, 0, 2, if(ISBLANK('2025'!$P254), 0, 1), 3, if(ISBLANK('2025'!$Q254), 0, 1), 4, if(ISBLANK('2025'!$R254), 0, 1), 5, if(ISBLANK('2025'!$S254), 0, 1), 6, if(ISBLANK('2025'!$T254), 0, 1), 7, 0))), 1, "")</f>
        <v/>
      </c>
      <c r="L256" s="1" t="str">
        <f>IF(AND(AND(AND(L$4&gt;='2025'!$L254,L$4&lt;='2025'!$M254), L$4&lt;&gt;DATE(2025,7,4)), (SWITCH(weekday(L$4), 1, 0, 2, if(ISBLANK('2025'!$P254), 0, 1), 3, if(ISBLANK('2025'!$Q254), 0, 1), 4, if(ISBLANK('2025'!$R254), 0, 1), 5, if(ISBLANK('2025'!$S254), 0, 1), 6, if(ISBLANK('2025'!$T254), 0, 1), 7, 0))), 1, "")</f>
        <v/>
      </c>
      <c r="M256" s="1" t="str">
        <f>IF(AND(AND(AND(M$4&gt;='2025'!$L254,M$4&lt;='2025'!$M254), M$4&lt;&gt;DATE(2025,7,4)), (SWITCH(weekday(M$4), 1, 0, 2, if(ISBLANK('2025'!$P254), 0, 1), 3, if(ISBLANK('2025'!$Q254), 0, 1), 4, if(ISBLANK('2025'!$R254), 0, 1), 5, if(ISBLANK('2025'!$S254), 0, 1), 6, if(ISBLANK('2025'!$T254), 0, 1), 7, 0))), 1, "")</f>
        <v/>
      </c>
      <c r="N256" s="1" t="str">
        <f>IF(AND(AND(AND(N$4&gt;='2025'!$L254,N$4&lt;='2025'!$M254), N$4&lt;&gt;DATE(2025,7,4)), (SWITCH(weekday(N$4), 1, 0, 2, if(ISBLANK('2025'!$P254), 0, 1), 3, if(ISBLANK('2025'!$Q254), 0, 1), 4, if(ISBLANK('2025'!$R254), 0, 1), 5, if(ISBLANK('2025'!$S254), 0, 1), 6, if(ISBLANK('2025'!$T254), 0, 1), 7, 0))), 1, "")</f>
        <v/>
      </c>
      <c r="O256" s="1" t="str">
        <f>IF(AND(AND(AND(O$4&gt;='2025'!$L254,O$4&lt;='2025'!$M254), O$4&lt;&gt;DATE(2025,7,4)), (SWITCH(weekday(O$4), 1, 0, 2, if(ISBLANK('2025'!$P254), 0, 1), 3, if(ISBLANK('2025'!$Q254), 0, 1), 4, if(ISBLANK('2025'!$R254), 0, 1), 5, if(ISBLANK('2025'!$S254), 0, 1), 6, if(ISBLANK('2025'!$T254), 0, 1), 7, 0))), 1, "")</f>
        <v/>
      </c>
      <c r="P256" s="1" t="str">
        <f>IF(AND(AND(AND(P$4&gt;='2025'!$L254,P$4&lt;='2025'!$M254), P$4&lt;&gt;DATE(2025,7,4)), (SWITCH(weekday(P$4), 1, 0, 2, if(ISBLANK('2025'!$P254), 0, 1), 3, if(ISBLANK('2025'!$Q254), 0, 1), 4, if(ISBLANK('2025'!$R254), 0, 1), 5, if(ISBLANK('2025'!$S254), 0, 1), 6, if(ISBLANK('2025'!$T254), 0, 1), 7, 0))), 1, "")</f>
        <v/>
      </c>
      <c r="Q256" s="1" t="str">
        <f>IF(AND(AND(AND(Q$4&gt;='2025'!$L254,Q$4&lt;='2025'!$M254), Q$4&lt;&gt;DATE(2025,7,4)), (SWITCH(weekday(Q$4), 1, 0, 2, if(ISBLANK('2025'!$P254), 0, 1), 3, if(ISBLANK('2025'!$Q254), 0, 1), 4, if(ISBLANK('2025'!$R254), 0, 1), 5, if(ISBLANK('2025'!$S254), 0, 1), 6, if(ISBLANK('2025'!$T254), 0, 1), 7, 0))), 1, "")</f>
        <v/>
      </c>
      <c r="R256" s="1" t="str">
        <f>IF(AND(AND(AND(R$4&gt;='2025'!$L254,R$4&lt;='2025'!$M254), R$4&lt;&gt;DATE(2025,7,4)), (SWITCH(weekday(R$4), 1, 0, 2, if(ISBLANK('2025'!$P254), 0, 1), 3, if(ISBLANK('2025'!$Q254), 0, 1), 4, if(ISBLANK('2025'!$R254), 0, 1), 5, if(ISBLANK('2025'!$S254), 0, 1), 6, if(ISBLANK('2025'!$T254), 0, 1), 7, 0))), 1, "")</f>
        <v/>
      </c>
      <c r="S256" s="1" t="str">
        <f>IF(AND(AND(AND(S$4&gt;='2025'!$L254,S$4&lt;='2025'!$M254), S$4&lt;&gt;DATE(2025,7,4)), (SWITCH(weekday(S$4), 1, 0, 2, if(ISBLANK('2025'!$P254), 0, 1), 3, if(ISBLANK('2025'!$Q254), 0, 1), 4, if(ISBLANK('2025'!$R254), 0, 1), 5, if(ISBLANK('2025'!$S254), 0, 1), 6, if(ISBLANK('2025'!$T254), 0, 1), 7, 0))), 1, "")</f>
        <v/>
      </c>
      <c r="T256" s="1" t="str">
        <f>IF(AND(AND(AND(T$4&gt;='2025'!$L254,T$4&lt;='2025'!$M254), T$4&lt;&gt;DATE(2025,7,4)), (SWITCH(weekday(T$4), 1, 0, 2, if(ISBLANK('2025'!$P254), 0, 1), 3, if(ISBLANK('2025'!$Q254), 0, 1), 4, if(ISBLANK('2025'!$R254), 0, 1), 5, if(ISBLANK('2025'!$S254), 0, 1), 6, if(ISBLANK('2025'!$T254), 0, 1), 7, 0))), 1, "")</f>
        <v/>
      </c>
      <c r="U256" s="1" t="str">
        <f>IF(AND(AND(AND(U$4&gt;='2025'!$L254,U$4&lt;='2025'!$M254), U$4&lt;&gt;DATE(2025,7,4)), (SWITCH(weekday(U$4), 1, 0, 2, if(ISBLANK('2025'!$P254), 0, 1), 3, if(ISBLANK('2025'!$Q254), 0, 1), 4, if(ISBLANK('2025'!$R254), 0, 1), 5, if(ISBLANK('2025'!$S254), 0, 1), 6, if(ISBLANK('2025'!$T254), 0, 1), 7, 0))), 1, "")</f>
        <v/>
      </c>
      <c r="V256" s="1" t="str">
        <f>IF(AND(AND(AND(V$4&gt;='2025'!$L254,V$4&lt;='2025'!$M254), V$4&lt;&gt;DATE(2025,7,4)), (SWITCH(weekday(V$4), 1, 0, 2, if(ISBLANK('2025'!$P254), 0, 1), 3, if(ISBLANK('2025'!$Q254), 0, 1), 4, if(ISBLANK('2025'!$R254), 0, 1), 5, if(ISBLANK('2025'!$S254), 0, 1), 6, if(ISBLANK('2025'!$T254), 0, 1), 7, 0))), 1, "")</f>
        <v/>
      </c>
      <c r="W256" s="1" t="str">
        <f>IF(AND(AND(AND(W$4&gt;='2025'!$L254,W$4&lt;='2025'!$M254), W$4&lt;&gt;DATE(2025,7,4)), (SWITCH(weekday(W$4), 1, 0, 2, if(ISBLANK('2025'!$P254), 0, 1), 3, if(ISBLANK('2025'!$Q254), 0, 1), 4, if(ISBLANK('2025'!$R254), 0, 1), 5, if(ISBLANK('2025'!$S254), 0, 1), 6, if(ISBLANK('2025'!$T254), 0, 1), 7, 0))), 1, "")</f>
        <v/>
      </c>
      <c r="X256" s="1" t="str">
        <f>IF(AND(AND(AND(X$4&gt;='2025'!$L254,X$4&lt;='2025'!$M254), X$4&lt;&gt;DATE(2025,7,4)), (SWITCH(weekday(X$4), 1, 0, 2, if(ISBLANK('2025'!$P254), 0, 1), 3, if(ISBLANK('2025'!$Q254), 0, 1), 4, if(ISBLANK('2025'!$R254), 0, 1), 5, if(ISBLANK('2025'!$S254), 0, 1), 6, if(ISBLANK('2025'!$T254), 0, 1), 7, 0))), 1, "")</f>
        <v/>
      </c>
      <c r="Y256" s="1" t="str">
        <f>IF(AND(AND(AND(Y$4&gt;='2025'!$L254,Y$4&lt;='2025'!$M254), Y$4&lt;&gt;DATE(2025,7,4)), (SWITCH(weekday(Y$4), 1, 0, 2, if(ISBLANK('2025'!$P254), 0, 1), 3, if(ISBLANK('2025'!$Q254), 0, 1), 4, if(ISBLANK('2025'!$R254), 0, 1), 5, if(ISBLANK('2025'!$S254), 0, 1), 6, if(ISBLANK('2025'!$T254), 0, 1), 7, 0))), 1, "")</f>
        <v/>
      </c>
      <c r="Z256" s="1" t="str">
        <f>IF(AND(AND(AND(Z$4&gt;='2025'!$L254,Z$4&lt;='2025'!$M254), Z$4&lt;&gt;DATE(2025,7,4)), (SWITCH(weekday(Z$4), 1, 0, 2, if(ISBLANK('2025'!$P254), 0, 1), 3, if(ISBLANK('2025'!$Q254), 0, 1), 4, if(ISBLANK('2025'!$R254), 0, 1), 5, if(ISBLANK('2025'!$S254), 0, 1), 6, if(ISBLANK('2025'!$T254), 0, 1), 7, 0))), 1, "")</f>
        <v/>
      </c>
      <c r="AA256" s="1" t="str">
        <f>IF(AND(AND(AND(AA$4&gt;='2025'!$L254,AA$4&lt;='2025'!$M254), AA$4&lt;&gt;DATE(2025,7,4)), (SWITCH(weekday(AA$4), 1, 0, 2, if(ISBLANK('2025'!$P254), 0, 1), 3, if(ISBLANK('2025'!$Q254), 0, 1), 4, if(ISBLANK('2025'!$R254), 0, 1), 5, if(ISBLANK('2025'!$S254), 0, 1), 6, if(ISBLANK('2025'!$T254), 0, 1), 7, 0))), 1, "")</f>
        <v/>
      </c>
      <c r="AB256" s="1" t="str">
        <f>IF(AND(AND(AND(AB$4&gt;='2025'!$L254,AB$4&lt;='2025'!$M254), AB$4&lt;&gt;DATE(2025,7,4)), (SWITCH(weekday(AB$4), 1, 0, 2, if(ISBLANK('2025'!$P254), 0, 1), 3, if(ISBLANK('2025'!$Q254), 0, 1), 4, if(ISBLANK('2025'!$R254), 0, 1), 5, if(ISBLANK('2025'!$S254), 0, 1), 6, if(ISBLANK('2025'!$T254), 0, 1), 7, 0))), 1, "")</f>
        <v/>
      </c>
      <c r="AC256" s="1" t="str">
        <f>IF(AND(AND(AND(AC$4&gt;='2025'!$L254,AC$4&lt;='2025'!$M254), AC$4&lt;&gt;DATE(2025,7,4)), (SWITCH(weekday(AC$4), 1, 0, 2, if(ISBLANK('2025'!$P254), 0, 1), 3, if(ISBLANK('2025'!$Q254), 0, 1), 4, if(ISBLANK('2025'!$R254), 0, 1), 5, if(ISBLANK('2025'!$S254), 0, 1), 6, if(ISBLANK('2025'!$T254), 0, 1), 7, 0))), 1, "")</f>
        <v/>
      </c>
      <c r="AD256" s="1" t="str">
        <f>IF(AND(AND(AND(AD$4&gt;='2025'!$L254,AD$4&lt;='2025'!$M254), AD$4&lt;&gt;DATE(2025,7,4)), (SWITCH(weekday(AD$4), 1, 0, 2, if(ISBLANK('2025'!$P254), 0, 1), 3, if(ISBLANK('2025'!$Q254), 0, 1), 4, if(ISBLANK('2025'!$R254), 0, 1), 5, if(ISBLANK('2025'!$S254), 0, 1), 6, if(ISBLANK('2025'!$T254), 0, 1), 7, 0))), 1, "")</f>
        <v/>
      </c>
      <c r="AE256" s="1" t="str">
        <f>IF(AND(AND(AND(AE$4&gt;='2025'!$L254,AE$4&lt;='2025'!$M254), AE$4&lt;&gt;DATE(2025,7,4)), (SWITCH(weekday(AE$4), 1, 0, 2, if(ISBLANK('2025'!$P254), 0, 1), 3, if(ISBLANK('2025'!$Q254), 0, 1), 4, if(ISBLANK('2025'!$R254), 0, 1), 5, if(ISBLANK('2025'!$S254), 0, 1), 6, if(ISBLANK('2025'!$T254), 0, 1), 7, 0))), 1, "")</f>
        <v/>
      </c>
      <c r="AF256" s="1" t="str">
        <f>IF(AND(AND(AND(AF$4&gt;='2025'!$L254,AF$4&lt;='2025'!$M254), AF$4&lt;&gt;DATE(2025,7,4)), (SWITCH(weekday(AF$4), 1, 0, 2, if(ISBLANK('2025'!$P254), 0, 1), 3, if(ISBLANK('2025'!$Q254), 0, 1), 4, if(ISBLANK('2025'!$R254), 0, 1), 5, if(ISBLANK('2025'!$S254), 0, 1), 6, if(ISBLANK('2025'!$T254), 0, 1), 7, 0))), 1, "")</f>
        <v/>
      </c>
      <c r="AG256" s="1" t="str">
        <f>IF(AND(AND(AND(AG$4&gt;='2025'!$L254,AG$4&lt;='2025'!$M254), AG$4&lt;&gt;DATE(2025,7,4)), (SWITCH(weekday(AG$4), 1, 0, 2, if(ISBLANK('2025'!$P254), 0, 1), 3, if(ISBLANK('2025'!$Q254), 0, 1), 4, if(ISBLANK('2025'!$R254), 0, 1), 5, if(ISBLANK('2025'!$S254), 0, 1), 6, if(ISBLANK('2025'!$T254), 0, 1), 7, 0))), 1, "")</f>
        <v/>
      </c>
      <c r="AH256" s="1" t="str">
        <f>IF(AND(AND(AND(AH$4&gt;='2025'!$L254,AH$4&lt;='2025'!$M254), AH$4&lt;&gt;DATE(2025,7,4)), (SWITCH(weekday(AH$4), 1, 0, 2, if(ISBLANK('2025'!$P254), 0, 1), 3, if(ISBLANK('2025'!$Q254), 0, 1), 4, if(ISBLANK('2025'!$R254), 0, 1), 5, if(ISBLANK('2025'!$S254), 0, 1), 6, if(ISBLANK('2025'!$T254), 0, 1), 7, 0))), 1, "")</f>
        <v/>
      </c>
      <c r="AI256" s="1" t="str">
        <f>IF(AND(AND(AND(AI$4&gt;='2025'!$L254,AI$4&lt;='2025'!$M254), AI$4&lt;&gt;DATE(2025,7,4)), (SWITCH(weekday(AI$4), 1, 0, 2, if(ISBLANK('2025'!$P254), 0, 1), 3, if(ISBLANK('2025'!$Q254), 0, 1), 4, if(ISBLANK('2025'!$R254), 0, 1), 5, if(ISBLANK('2025'!$S254), 0, 1), 6, if(ISBLANK('2025'!$T254), 0, 1), 7, 0))), 1, "")</f>
        <v/>
      </c>
      <c r="AJ256" s="1" t="str">
        <f>IF(AND(AND(AND(AJ$4&gt;='2025'!$L254,AJ$4&lt;='2025'!$M254), AJ$4&lt;&gt;DATE(2025,7,4)), (SWITCH(weekday(AJ$4), 1, 0, 2, if(ISBLANK('2025'!$P254), 0, 1), 3, if(ISBLANK('2025'!$Q254), 0, 1), 4, if(ISBLANK('2025'!$R254), 0, 1), 5, if(ISBLANK('2025'!$S254), 0, 1), 6, if(ISBLANK('2025'!$T254), 0, 1), 7, 0))), 1, "")</f>
        <v/>
      </c>
      <c r="AK256" s="1" t="str">
        <f>IF(AND(AND(AND(AK$4&gt;='2025'!$L254,AK$4&lt;='2025'!$M254), AK$4&lt;&gt;DATE(2025,7,4)), (SWITCH(weekday(AK$4), 1, 0, 2, if(ISBLANK('2025'!$P254), 0, 1), 3, if(ISBLANK('2025'!$Q254), 0, 1), 4, if(ISBLANK('2025'!$R254), 0, 1), 5, if(ISBLANK('2025'!$S254), 0, 1), 6, if(ISBLANK('2025'!$T254), 0, 1), 7, 0))), 1, "")</f>
        <v/>
      </c>
      <c r="AL256" s="1" t="str">
        <f>IF(AND(AND(AND(AL$4&gt;='2025'!$L254,AL$4&lt;='2025'!$M254), AL$4&lt;&gt;DATE(2025,7,4)), (SWITCH(weekday(AL$4), 1, 0, 2, if(ISBLANK('2025'!$P254), 0, 1), 3, if(ISBLANK('2025'!$Q254), 0, 1), 4, if(ISBLANK('2025'!$R254), 0, 1), 5, if(ISBLANK('2025'!$S254), 0, 1), 6, if(ISBLANK('2025'!$T254), 0, 1), 7, 0))), 1, "")</f>
        <v/>
      </c>
      <c r="AM256" s="1" t="str">
        <f>IF(AND(AND(AND(AM$4&gt;='2025'!$L254,AM$4&lt;='2025'!$M254), AM$4&lt;&gt;DATE(2025,7,4)), (SWITCH(weekday(AM$4), 1, 0, 2, if(ISBLANK('2025'!$P254), 0, 1), 3, if(ISBLANK('2025'!$Q254), 0, 1), 4, if(ISBLANK('2025'!$R254), 0, 1), 5, if(ISBLANK('2025'!$S254), 0, 1), 6, if(ISBLANK('2025'!$T254), 0, 1), 7, 0))), 1, "")</f>
        <v/>
      </c>
      <c r="AN256" s="1" t="str">
        <f>IF(AND(AND(AND(AN$4&gt;='2025'!$L254,AN$4&lt;='2025'!$M254), AN$4&lt;&gt;DATE(2025,7,4)), (SWITCH(weekday(AN$4), 1, 0, 2, if(ISBLANK('2025'!$P254), 0, 1), 3, if(ISBLANK('2025'!$Q254), 0, 1), 4, if(ISBLANK('2025'!$R254), 0, 1), 5, if(ISBLANK('2025'!$S254), 0, 1), 6, if(ISBLANK('2025'!$T254), 0, 1), 7, 0))), 1, "")</f>
        <v/>
      </c>
      <c r="AO256" s="1" t="str">
        <f>IF(AND(AND(AND(AO$4&gt;='2025'!$L254,AO$4&lt;='2025'!$M254), AO$4&lt;&gt;DATE(2025,7,4)), (SWITCH(weekday(AO$4), 1, 0, 2, if(ISBLANK('2025'!$P254), 0, 1), 3, if(ISBLANK('2025'!$Q254), 0, 1), 4, if(ISBLANK('2025'!$R254), 0, 1), 5, if(ISBLANK('2025'!$S254), 0, 1), 6, if(ISBLANK('2025'!$T254), 0, 1), 7, 0))), 1, "")</f>
        <v/>
      </c>
      <c r="AP256" s="1" t="str">
        <f>IF(AND(AND(AND(AP$4&gt;='2025'!$L254,AP$4&lt;='2025'!$M254), AP$4&lt;&gt;DATE(2025,7,4)), (SWITCH(weekday(AP$4), 1, 0, 2, if(ISBLANK('2025'!$P254), 0, 1), 3, if(ISBLANK('2025'!$Q254), 0, 1), 4, if(ISBLANK('2025'!$R254), 0, 1), 5, if(ISBLANK('2025'!$S254), 0, 1), 6, if(ISBLANK('2025'!$T254), 0, 1), 7, 0))), 1, "")</f>
        <v/>
      </c>
      <c r="AQ256" s="1" t="str">
        <f>IF(AND(AND(AND(AQ$4&gt;='2025'!$L254,AQ$4&lt;='2025'!$M254), AQ$4&lt;&gt;DATE(2025,7,4)), (SWITCH(weekday(AQ$4), 1, 0, 2, if(ISBLANK('2025'!$P254), 0, 1), 3, if(ISBLANK('2025'!$Q254), 0, 1), 4, if(ISBLANK('2025'!$R254), 0, 1), 5, if(ISBLANK('2025'!$S254), 0, 1), 6, if(ISBLANK('2025'!$T254), 0, 1), 7, 0))), 1, "")</f>
        <v/>
      </c>
      <c r="AR256" s="1" t="str">
        <f>IF(AND(AND(AND(AR$4&gt;='2025'!$L254,AR$4&lt;='2025'!$M254), AR$4&lt;&gt;DATE(2025,7,4)), (SWITCH(weekday(AR$4), 1, 0, 2, if(ISBLANK('2025'!$P254), 0, 1), 3, if(ISBLANK('2025'!$Q254), 0, 1), 4, if(ISBLANK('2025'!$R254), 0, 1), 5, if(ISBLANK('2025'!$S254), 0, 1), 6, if(ISBLANK('2025'!$T254), 0, 1), 7, 0))), 1, "")</f>
        <v/>
      </c>
      <c r="AS256" s="1" t="str">
        <f>IF(AND(AND(AND(AS$4&gt;='2025'!$L254,AS$4&lt;='2025'!$M254), AS$4&lt;&gt;DATE(2025,7,4)), (SWITCH(weekday(AS$4), 1, 0, 2, if(ISBLANK('2025'!$P254), 0, 1), 3, if(ISBLANK('2025'!$Q254), 0, 1), 4, if(ISBLANK('2025'!$R254), 0, 1), 5, if(ISBLANK('2025'!$S254), 0, 1), 6, if(ISBLANK('2025'!$T254), 0, 1), 7, 0))), 1, "")</f>
        <v/>
      </c>
      <c r="AT256" s="1" t="str">
        <f>IF(AND(AND(AND(AT$4&gt;='2025'!$L254,AT$4&lt;='2025'!$M254), AT$4&lt;&gt;DATE(2025,7,4)), (SWITCH(weekday(AT$4), 1, 0, 2, if(ISBLANK('2025'!$P254), 0, 1), 3, if(ISBLANK('2025'!$Q254), 0, 1), 4, if(ISBLANK('2025'!$R254), 0, 1), 5, if(ISBLANK('2025'!$S254), 0, 1), 6, if(ISBLANK('2025'!$T254), 0, 1), 7, 0))), 1, "")</f>
        <v/>
      </c>
      <c r="AU256" s="1" t="str">
        <f>IF(AND(AND(AND(AU$4&gt;='2025'!$L254,AU$4&lt;='2025'!$M254), AU$4&lt;&gt;DATE(2025,7,4)), (SWITCH(weekday(AU$4), 1, 0, 2, if(ISBLANK('2025'!$P254), 0, 1), 3, if(ISBLANK('2025'!$Q254), 0, 1), 4, if(ISBLANK('2025'!$R254), 0, 1), 5, if(ISBLANK('2025'!$S254), 0, 1), 6, if(ISBLANK('2025'!$T254), 0, 1), 7, 0))), 1, "")</f>
        <v/>
      </c>
      <c r="AV256" s="1" t="str">
        <f>IF(AND(AND(AND(AV$4&gt;='2025'!$L254,AV$4&lt;='2025'!$M254), AV$4&lt;&gt;DATE(2025,7,4)), (SWITCH(weekday(AV$4), 1, 0, 2, if(ISBLANK('2025'!$P254), 0, 1), 3, if(ISBLANK('2025'!$Q254), 0, 1), 4, if(ISBLANK('2025'!$R254), 0, 1), 5, if(ISBLANK('2025'!$S254), 0, 1), 6, if(ISBLANK('2025'!$T254), 0, 1), 7, 0))), 1, "")</f>
        <v/>
      </c>
      <c r="AW256" s="1" t="str">
        <f>IF(AND(AND(AND(AW$4&gt;='2025'!$L254,AW$4&lt;='2025'!$M254), AW$4&lt;&gt;DATE(2025,7,4)), (SWITCH(weekday(AW$4), 1, 0, 2, if(ISBLANK('2025'!$P254), 0, 1), 3, if(ISBLANK('2025'!$Q254), 0, 1), 4, if(ISBLANK('2025'!$R254), 0, 1), 5, if(ISBLANK('2025'!$S254), 0, 1), 6, if(ISBLANK('2025'!$T254), 0, 1), 7, 0))), 1, "")</f>
        <v/>
      </c>
      <c r="AX256" s="1" t="str">
        <f>IF(AND(AND(AND(AX$4&gt;='2025'!$L254,AX$4&lt;='2025'!$M254), AX$4&lt;&gt;DATE(2025,7,4)), (SWITCH(weekday(AX$4), 1, 0, 2, if(ISBLANK('2025'!$P254), 0, 1), 3, if(ISBLANK('2025'!$Q254), 0, 1), 4, if(ISBLANK('2025'!$R254), 0, 1), 5, if(ISBLANK('2025'!$S254), 0, 1), 6, if(ISBLANK('2025'!$T254), 0, 1), 7, 0))), 1, "")</f>
        <v/>
      </c>
      <c r="AY256" s="1" t="str">
        <f>IF(AND(AND(AND(AY$4&gt;='2025'!$L254,AY$4&lt;='2025'!$M254), AY$4&lt;&gt;DATE(2025,7,4)), (SWITCH(weekday(AY$4), 1, 0, 2, if(ISBLANK('2025'!$P254), 0, 1), 3, if(ISBLANK('2025'!$Q254), 0, 1), 4, if(ISBLANK('2025'!$R254), 0, 1), 5, if(ISBLANK('2025'!$S254), 0, 1), 6, if(ISBLANK('2025'!$T254), 0, 1), 7, 0))), 1, "")</f>
        <v/>
      </c>
      <c r="AZ256" s="1" t="str">
        <f>IF(AND(AND(AND(AZ$4&gt;='2025'!$L254,AZ$4&lt;='2025'!$M254), AZ$4&lt;&gt;DATE(2025,7,4)), (SWITCH(weekday(AZ$4), 1, 0, 2, if(ISBLANK('2025'!$P254), 0, 1), 3, if(ISBLANK('2025'!$Q254), 0, 1), 4, if(ISBLANK('2025'!$R254), 0, 1), 5, if(ISBLANK('2025'!$S254), 0, 1), 6, if(ISBLANK('2025'!$T254), 0, 1), 7, 0))), 1, "")</f>
        <v/>
      </c>
      <c r="BA256" s="1" t="str">
        <f>IF(AND(AND(AND(BA$4&gt;='2025'!$L254,BA$4&lt;='2025'!$M254), BA$4&lt;&gt;DATE(2025,7,4)), (SWITCH(weekday(BA$4), 1, 0, 2, if(ISBLANK('2025'!$P254), 0, 1), 3, if(ISBLANK('2025'!$Q254), 0, 1), 4, if(ISBLANK('2025'!$R254), 0, 1), 5, if(ISBLANK('2025'!$S254), 0, 1), 6, if(ISBLANK('2025'!$T254), 0, 1), 7, 0))), 1, "")</f>
        <v/>
      </c>
      <c r="BB256" s="1" t="str">
        <f>IF(AND(AND(AND(BB$4&gt;='2025'!$L254,BB$4&lt;='2025'!$M254), BB$4&lt;&gt;DATE(2025,7,4)), (SWITCH(weekday(BB$4), 1, 0, 2, if(ISBLANK('2025'!$P254), 0, 1), 3, if(ISBLANK('2025'!$Q254), 0, 1), 4, if(ISBLANK('2025'!$R254), 0, 1), 5, if(ISBLANK('2025'!$S254), 0, 1), 6, if(ISBLANK('2025'!$T254), 0, 1), 7, 0))), 1, "")</f>
        <v/>
      </c>
      <c r="BC256" s="1" t="str">
        <f>IF(AND(AND(AND(BC$4&gt;='2025'!$L254,BC$4&lt;='2025'!$M254), BC$4&lt;&gt;DATE(2025,7,4)), (SWITCH(weekday(BC$4), 1, 0, 2, if(ISBLANK('2025'!$P254), 0, 1), 3, if(ISBLANK('2025'!$Q254), 0, 1), 4, if(ISBLANK('2025'!$R254), 0, 1), 5, if(ISBLANK('2025'!$S254), 0, 1), 6, if(ISBLANK('2025'!$T254), 0, 1), 7, 0))), 1, "")</f>
        <v/>
      </c>
      <c r="BD256" s="1" t="str">
        <f>IF(AND(AND(AND(BD$4&gt;='2025'!$L254,BD$4&lt;='2025'!$M254), BD$4&lt;&gt;DATE(2025,7,4)), (SWITCH(weekday(BD$4), 1, 0, 2, if(ISBLANK('2025'!$P254), 0, 1), 3, if(ISBLANK('2025'!$Q254), 0, 1), 4, if(ISBLANK('2025'!$R254), 0, 1), 5, if(ISBLANK('2025'!$S254), 0, 1), 6, if(ISBLANK('2025'!$T254), 0, 1), 7, 0))), 1, "")</f>
        <v/>
      </c>
      <c r="BE256" s="1" t="str">
        <f>IF(AND(AND(AND(BE$4&gt;='2025'!$L254,BE$4&lt;='2025'!$M254), BE$4&lt;&gt;DATE(2025,7,4)), (SWITCH(weekday(BE$4), 1, 0, 2, if(ISBLANK('2025'!$P254), 0, 1), 3, if(ISBLANK('2025'!$Q254), 0, 1), 4, if(ISBLANK('2025'!$R254), 0, 1), 5, if(ISBLANK('2025'!$S254), 0, 1), 6, if(ISBLANK('2025'!$T254), 0, 1), 7, 0))), 1, "")</f>
        <v/>
      </c>
      <c r="BF256" s="1" t="str">
        <f>IF(AND(AND(AND(BF$4&gt;='2025'!$L254,BF$4&lt;='2025'!$M254), BF$4&lt;&gt;DATE(2025,7,4)), (SWITCH(weekday(BF$4), 1, 0, 2, if(ISBLANK('2025'!$P254), 0, 1), 3, if(ISBLANK('2025'!$Q254), 0, 1), 4, if(ISBLANK('2025'!$R254), 0, 1), 5, if(ISBLANK('2025'!$S254), 0, 1), 6, if(ISBLANK('2025'!$T254), 0, 1), 7, 0))), 1, "")</f>
        <v/>
      </c>
      <c r="BG256" s="1"/>
      <c r="BH256" s="1"/>
      <c r="BI256" s="1"/>
      <c r="BJ256" s="1"/>
      <c r="BK256" s="1"/>
      <c r="BL256" s="1"/>
    </row>
    <row r="257">
      <c r="A257" s="1">
        <f t="shared" si="3"/>
        <v>257</v>
      </c>
      <c r="B257" s="1" t="str">
        <f>'2025'!D221</f>
        <v>, </v>
      </c>
      <c r="C257" s="1" t="str">
        <f>'2025'!H221</f>
        <v/>
      </c>
      <c r="D257" s="1" t="str">
        <f>IF(AND(AND(AND(D$4&gt;='2025'!$L255,D$4&lt;='2025'!$M255), D$4&lt;&gt;DATE(2025,7,4)), (SWITCH(weekday(D$4), 1, 0, 2, if(ISBLANK('2025'!$P255), 0, 1), 3, if(ISBLANK('2025'!$Q255), 0, 1), 4, if(ISBLANK('2025'!$R255), 0, 1), 5, if(ISBLANK('2025'!$S255), 0, 1), 6, if(ISBLANK('2025'!$T255), 0, 1), 7, 0))), 1, "")</f>
        <v/>
      </c>
      <c r="E257" s="1" t="str">
        <f>IF(AND(AND(AND(E$4&gt;='2025'!$L255,E$4&lt;='2025'!$M255), E$4&lt;&gt;DATE(2025,7,4)), (SWITCH(weekday(E$4), 1, 0, 2, if(ISBLANK('2025'!$P255), 0, 1), 3, if(ISBLANK('2025'!$Q255), 0, 1), 4, if(ISBLANK('2025'!$R255), 0, 1), 5, if(ISBLANK('2025'!$S255), 0, 1), 6, if(ISBLANK('2025'!$T255), 0, 1), 7, 0))), 1, "")</f>
        <v/>
      </c>
      <c r="F257" s="1" t="str">
        <f>IF(AND(AND(AND(F$4&gt;='2025'!$L255,F$4&lt;='2025'!$M255), F$4&lt;&gt;DATE(2025,7,4)), (SWITCH(weekday(F$4), 1, 0, 2, if(ISBLANK('2025'!$P255), 0, 1), 3, if(ISBLANK('2025'!$Q255), 0, 1), 4, if(ISBLANK('2025'!$R255), 0, 1), 5, if(ISBLANK('2025'!$S255), 0, 1), 6, if(ISBLANK('2025'!$T255), 0, 1), 7, 0))), 1, "")</f>
        <v/>
      </c>
      <c r="G257" s="1" t="str">
        <f>IF(AND(AND(AND(G$4&gt;='2025'!$L255,G$4&lt;='2025'!$M255), G$4&lt;&gt;DATE(2025,7,4)), (SWITCH(weekday(G$4), 1, 0, 2, if(ISBLANK('2025'!$P255), 0, 1), 3, if(ISBLANK('2025'!$Q255), 0, 1), 4, if(ISBLANK('2025'!$R255), 0, 1), 5, if(ISBLANK('2025'!$S255), 0, 1), 6, if(ISBLANK('2025'!$T255), 0, 1), 7, 0))), 1, "")</f>
        <v/>
      </c>
      <c r="H257" s="1" t="str">
        <f>IF(AND(AND(AND(H$4&gt;='2025'!$L255,H$4&lt;='2025'!$M255), H$4&lt;&gt;DATE(2025,7,4)), (SWITCH(weekday(H$4), 1, 0, 2, if(ISBLANK('2025'!$P255), 0, 1), 3, if(ISBLANK('2025'!$Q255), 0, 1), 4, if(ISBLANK('2025'!$R255), 0, 1), 5, if(ISBLANK('2025'!$S255), 0, 1), 6, if(ISBLANK('2025'!$T255), 0, 1), 7, 0))), 1, "")</f>
        <v/>
      </c>
      <c r="I257" s="1" t="str">
        <f>IF(AND(AND(AND(I$4&gt;='2025'!$L255,I$4&lt;='2025'!$M255), I$4&lt;&gt;DATE(2025,7,4)), (SWITCH(weekday(I$4), 1, 0, 2, if(ISBLANK('2025'!$P255), 0, 1), 3, if(ISBLANK('2025'!$Q255), 0, 1), 4, if(ISBLANK('2025'!$R255), 0, 1), 5, if(ISBLANK('2025'!$S255), 0, 1), 6, if(ISBLANK('2025'!$T255), 0, 1), 7, 0))), 1, "")</f>
        <v/>
      </c>
      <c r="J257" s="1" t="str">
        <f>IF(AND(AND(AND(J$4&gt;='2025'!$L255,J$4&lt;='2025'!$M255), J$4&lt;&gt;DATE(2025,7,4)), (SWITCH(weekday(J$4), 1, 0, 2, if(ISBLANK('2025'!$P255), 0, 1), 3, if(ISBLANK('2025'!$Q255), 0, 1), 4, if(ISBLANK('2025'!$R255), 0, 1), 5, if(ISBLANK('2025'!$S255), 0, 1), 6, if(ISBLANK('2025'!$T255), 0, 1), 7, 0))), 1, "")</f>
        <v/>
      </c>
      <c r="K257" s="1" t="str">
        <f>IF(AND(AND(AND(K$4&gt;='2025'!$L255,K$4&lt;='2025'!$M255), K$4&lt;&gt;DATE(2025,7,4)), (SWITCH(weekday(K$4), 1, 0, 2, if(ISBLANK('2025'!$P255), 0, 1), 3, if(ISBLANK('2025'!$Q255), 0, 1), 4, if(ISBLANK('2025'!$R255), 0, 1), 5, if(ISBLANK('2025'!$S255), 0, 1), 6, if(ISBLANK('2025'!$T255), 0, 1), 7, 0))), 1, "")</f>
        <v/>
      </c>
      <c r="L257" s="1" t="str">
        <f>IF(AND(AND(AND(L$4&gt;='2025'!$L255,L$4&lt;='2025'!$M255), L$4&lt;&gt;DATE(2025,7,4)), (SWITCH(weekday(L$4), 1, 0, 2, if(ISBLANK('2025'!$P255), 0, 1), 3, if(ISBLANK('2025'!$Q255), 0, 1), 4, if(ISBLANK('2025'!$R255), 0, 1), 5, if(ISBLANK('2025'!$S255), 0, 1), 6, if(ISBLANK('2025'!$T255), 0, 1), 7, 0))), 1, "")</f>
        <v/>
      </c>
      <c r="M257" s="1" t="str">
        <f>IF(AND(AND(AND(M$4&gt;='2025'!$L255,M$4&lt;='2025'!$M255), M$4&lt;&gt;DATE(2025,7,4)), (SWITCH(weekday(M$4), 1, 0, 2, if(ISBLANK('2025'!$P255), 0, 1), 3, if(ISBLANK('2025'!$Q255), 0, 1), 4, if(ISBLANK('2025'!$R255), 0, 1), 5, if(ISBLANK('2025'!$S255), 0, 1), 6, if(ISBLANK('2025'!$T255), 0, 1), 7, 0))), 1, "")</f>
        <v/>
      </c>
      <c r="N257" s="1" t="str">
        <f>IF(AND(AND(AND(N$4&gt;='2025'!$L255,N$4&lt;='2025'!$M255), N$4&lt;&gt;DATE(2025,7,4)), (SWITCH(weekday(N$4), 1, 0, 2, if(ISBLANK('2025'!$P255), 0, 1), 3, if(ISBLANK('2025'!$Q255), 0, 1), 4, if(ISBLANK('2025'!$R255), 0, 1), 5, if(ISBLANK('2025'!$S255), 0, 1), 6, if(ISBLANK('2025'!$T255), 0, 1), 7, 0))), 1, "")</f>
        <v/>
      </c>
      <c r="O257" s="1" t="str">
        <f>IF(AND(AND(AND(O$4&gt;='2025'!$L255,O$4&lt;='2025'!$M255), O$4&lt;&gt;DATE(2025,7,4)), (SWITCH(weekday(O$4), 1, 0, 2, if(ISBLANK('2025'!$P255), 0, 1), 3, if(ISBLANK('2025'!$Q255), 0, 1), 4, if(ISBLANK('2025'!$R255), 0, 1), 5, if(ISBLANK('2025'!$S255), 0, 1), 6, if(ISBLANK('2025'!$T255), 0, 1), 7, 0))), 1, "")</f>
        <v/>
      </c>
      <c r="P257" s="1" t="str">
        <f>IF(AND(AND(AND(P$4&gt;='2025'!$L255,P$4&lt;='2025'!$M255), P$4&lt;&gt;DATE(2025,7,4)), (SWITCH(weekday(P$4), 1, 0, 2, if(ISBLANK('2025'!$P255), 0, 1), 3, if(ISBLANK('2025'!$Q255), 0, 1), 4, if(ISBLANK('2025'!$R255), 0, 1), 5, if(ISBLANK('2025'!$S255), 0, 1), 6, if(ISBLANK('2025'!$T255), 0, 1), 7, 0))), 1, "")</f>
        <v/>
      </c>
      <c r="Q257" s="1" t="str">
        <f>IF(AND(AND(AND(Q$4&gt;='2025'!$L255,Q$4&lt;='2025'!$M255), Q$4&lt;&gt;DATE(2025,7,4)), (SWITCH(weekday(Q$4), 1, 0, 2, if(ISBLANK('2025'!$P255), 0, 1), 3, if(ISBLANK('2025'!$Q255), 0, 1), 4, if(ISBLANK('2025'!$R255), 0, 1), 5, if(ISBLANK('2025'!$S255), 0, 1), 6, if(ISBLANK('2025'!$T255), 0, 1), 7, 0))), 1, "")</f>
        <v/>
      </c>
      <c r="R257" s="1" t="str">
        <f>IF(AND(AND(AND(R$4&gt;='2025'!$L255,R$4&lt;='2025'!$M255), R$4&lt;&gt;DATE(2025,7,4)), (SWITCH(weekday(R$4), 1, 0, 2, if(ISBLANK('2025'!$P255), 0, 1), 3, if(ISBLANK('2025'!$Q255), 0, 1), 4, if(ISBLANK('2025'!$R255), 0, 1), 5, if(ISBLANK('2025'!$S255), 0, 1), 6, if(ISBLANK('2025'!$T255), 0, 1), 7, 0))), 1, "")</f>
        <v/>
      </c>
      <c r="S257" s="1" t="str">
        <f>IF(AND(AND(AND(S$4&gt;='2025'!$L255,S$4&lt;='2025'!$M255), S$4&lt;&gt;DATE(2025,7,4)), (SWITCH(weekday(S$4), 1, 0, 2, if(ISBLANK('2025'!$P255), 0, 1), 3, if(ISBLANK('2025'!$Q255), 0, 1), 4, if(ISBLANK('2025'!$R255), 0, 1), 5, if(ISBLANK('2025'!$S255), 0, 1), 6, if(ISBLANK('2025'!$T255), 0, 1), 7, 0))), 1, "")</f>
        <v/>
      </c>
      <c r="T257" s="1" t="str">
        <f>IF(AND(AND(AND(T$4&gt;='2025'!$L255,T$4&lt;='2025'!$M255), T$4&lt;&gt;DATE(2025,7,4)), (SWITCH(weekday(T$4), 1, 0, 2, if(ISBLANK('2025'!$P255), 0, 1), 3, if(ISBLANK('2025'!$Q255), 0, 1), 4, if(ISBLANK('2025'!$R255), 0, 1), 5, if(ISBLANK('2025'!$S255), 0, 1), 6, if(ISBLANK('2025'!$T255), 0, 1), 7, 0))), 1, "")</f>
        <v/>
      </c>
      <c r="U257" s="1" t="str">
        <f>IF(AND(AND(AND(U$4&gt;='2025'!$L255,U$4&lt;='2025'!$M255), U$4&lt;&gt;DATE(2025,7,4)), (SWITCH(weekday(U$4), 1, 0, 2, if(ISBLANK('2025'!$P255), 0, 1), 3, if(ISBLANK('2025'!$Q255), 0, 1), 4, if(ISBLANK('2025'!$R255), 0, 1), 5, if(ISBLANK('2025'!$S255), 0, 1), 6, if(ISBLANK('2025'!$T255), 0, 1), 7, 0))), 1, "")</f>
        <v/>
      </c>
      <c r="V257" s="1" t="str">
        <f>IF(AND(AND(AND(V$4&gt;='2025'!$L255,V$4&lt;='2025'!$M255), V$4&lt;&gt;DATE(2025,7,4)), (SWITCH(weekday(V$4), 1, 0, 2, if(ISBLANK('2025'!$P255), 0, 1), 3, if(ISBLANK('2025'!$Q255), 0, 1), 4, if(ISBLANK('2025'!$R255), 0, 1), 5, if(ISBLANK('2025'!$S255), 0, 1), 6, if(ISBLANK('2025'!$T255), 0, 1), 7, 0))), 1, "")</f>
        <v/>
      </c>
      <c r="W257" s="1" t="str">
        <f>IF(AND(AND(AND(W$4&gt;='2025'!$L255,W$4&lt;='2025'!$M255), W$4&lt;&gt;DATE(2025,7,4)), (SWITCH(weekday(W$4), 1, 0, 2, if(ISBLANK('2025'!$P255), 0, 1), 3, if(ISBLANK('2025'!$Q255), 0, 1), 4, if(ISBLANK('2025'!$R255), 0, 1), 5, if(ISBLANK('2025'!$S255), 0, 1), 6, if(ISBLANK('2025'!$T255), 0, 1), 7, 0))), 1, "")</f>
        <v/>
      </c>
      <c r="X257" s="1" t="str">
        <f>IF(AND(AND(AND(X$4&gt;='2025'!$L255,X$4&lt;='2025'!$M255), X$4&lt;&gt;DATE(2025,7,4)), (SWITCH(weekday(X$4), 1, 0, 2, if(ISBLANK('2025'!$P255), 0, 1), 3, if(ISBLANK('2025'!$Q255), 0, 1), 4, if(ISBLANK('2025'!$R255), 0, 1), 5, if(ISBLANK('2025'!$S255), 0, 1), 6, if(ISBLANK('2025'!$T255), 0, 1), 7, 0))), 1, "")</f>
        <v/>
      </c>
      <c r="Y257" s="1" t="str">
        <f>IF(AND(AND(AND(Y$4&gt;='2025'!$L255,Y$4&lt;='2025'!$M255), Y$4&lt;&gt;DATE(2025,7,4)), (SWITCH(weekday(Y$4), 1, 0, 2, if(ISBLANK('2025'!$P255), 0, 1), 3, if(ISBLANK('2025'!$Q255), 0, 1), 4, if(ISBLANK('2025'!$R255), 0, 1), 5, if(ISBLANK('2025'!$S255), 0, 1), 6, if(ISBLANK('2025'!$T255), 0, 1), 7, 0))), 1, "")</f>
        <v/>
      </c>
      <c r="Z257" s="1" t="str">
        <f>IF(AND(AND(AND(Z$4&gt;='2025'!$L255,Z$4&lt;='2025'!$M255), Z$4&lt;&gt;DATE(2025,7,4)), (SWITCH(weekday(Z$4), 1, 0, 2, if(ISBLANK('2025'!$P255), 0, 1), 3, if(ISBLANK('2025'!$Q255), 0, 1), 4, if(ISBLANK('2025'!$R255), 0, 1), 5, if(ISBLANK('2025'!$S255), 0, 1), 6, if(ISBLANK('2025'!$T255), 0, 1), 7, 0))), 1, "")</f>
        <v/>
      </c>
      <c r="AA257" s="1" t="str">
        <f>IF(AND(AND(AND(AA$4&gt;='2025'!$L255,AA$4&lt;='2025'!$M255), AA$4&lt;&gt;DATE(2025,7,4)), (SWITCH(weekday(AA$4), 1, 0, 2, if(ISBLANK('2025'!$P255), 0, 1), 3, if(ISBLANK('2025'!$Q255), 0, 1), 4, if(ISBLANK('2025'!$R255), 0, 1), 5, if(ISBLANK('2025'!$S255), 0, 1), 6, if(ISBLANK('2025'!$T255), 0, 1), 7, 0))), 1, "")</f>
        <v/>
      </c>
      <c r="AB257" s="1" t="str">
        <f>IF(AND(AND(AND(AB$4&gt;='2025'!$L255,AB$4&lt;='2025'!$M255), AB$4&lt;&gt;DATE(2025,7,4)), (SWITCH(weekday(AB$4), 1, 0, 2, if(ISBLANK('2025'!$P255), 0, 1), 3, if(ISBLANK('2025'!$Q255), 0, 1), 4, if(ISBLANK('2025'!$R255), 0, 1), 5, if(ISBLANK('2025'!$S255), 0, 1), 6, if(ISBLANK('2025'!$T255), 0, 1), 7, 0))), 1, "")</f>
        <v/>
      </c>
      <c r="AC257" s="1" t="str">
        <f>IF(AND(AND(AND(AC$4&gt;='2025'!$L255,AC$4&lt;='2025'!$M255), AC$4&lt;&gt;DATE(2025,7,4)), (SWITCH(weekday(AC$4), 1, 0, 2, if(ISBLANK('2025'!$P255), 0, 1), 3, if(ISBLANK('2025'!$Q255), 0, 1), 4, if(ISBLANK('2025'!$R255), 0, 1), 5, if(ISBLANK('2025'!$S255), 0, 1), 6, if(ISBLANK('2025'!$T255), 0, 1), 7, 0))), 1, "")</f>
        <v/>
      </c>
      <c r="AD257" s="1" t="str">
        <f>IF(AND(AND(AND(AD$4&gt;='2025'!$L255,AD$4&lt;='2025'!$M255), AD$4&lt;&gt;DATE(2025,7,4)), (SWITCH(weekday(AD$4), 1, 0, 2, if(ISBLANK('2025'!$P255), 0, 1), 3, if(ISBLANK('2025'!$Q255), 0, 1), 4, if(ISBLANK('2025'!$R255), 0, 1), 5, if(ISBLANK('2025'!$S255), 0, 1), 6, if(ISBLANK('2025'!$T255), 0, 1), 7, 0))), 1, "")</f>
        <v/>
      </c>
      <c r="AE257" s="1" t="str">
        <f>IF(AND(AND(AND(AE$4&gt;='2025'!$L255,AE$4&lt;='2025'!$M255), AE$4&lt;&gt;DATE(2025,7,4)), (SWITCH(weekday(AE$4), 1, 0, 2, if(ISBLANK('2025'!$P255), 0, 1), 3, if(ISBLANK('2025'!$Q255), 0, 1), 4, if(ISBLANK('2025'!$R255), 0, 1), 5, if(ISBLANK('2025'!$S255), 0, 1), 6, if(ISBLANK('2025'!$T255), 0, 1), 7, 0))), 1, "")</f>
        <v/>
      </c>
      <c r="AF257" s="1" t="str">
        <f>IF(AND(AND(AND(AF$4&gt;='2025'!$L255,AF$4&lt;='2025'!$M255), AF$4&lt;&gt;DATE(2025,7,4)), (SWITCH(weekday(AF$4), 1, 0, 2, if(ISBLANK('2025'!$P255), 0, 1), 3, if(ISBLANK('2025'!$Q255), 0, 1), 4, if(ISBLANK('2025'!$R255), 0, 1), 5, if(ISBLANK('2025'!$S255), 0, 1), 6, if(ISBLANK('2025'!$T255), 0, 1), 7, 0))), 1, "")</f>
        <v/>
      </c>
      <c r="AG257" s="1" t="str">
        <f>IF(AND(AND(AND(AG$4&gt;='2025'!$L255,AG$4&lt;='2025'!$M255), AG$4&lt;&gt;DATE(2025,7,4)), (SWITCH(weekday(AG$4), 1, 0, 2, if(ISBLANK('2025'!$P255), 0, 1), 3, if(ISBLANK('2025'!$Q255), 0, 1), 4, if(ISBLANK('2025'!$R255), 0, 1), 5, if(ISBLANK('2025'!$S255), 0, 1), 6, if(ISBLANK('2025'!$T255), 0, 1), 7, 0))), 1, "")</f>
        <v/>
      </c>
      <c r="AH257" s="1" t="str">
        <f>IF(AND(AND(AND(AH$4&gt;='2025'!$L255,AH$4&lt;='2025'!$M255), AH$4&lt;&gt;DATE(2025,7,4)), (SWITCH(weekday(AH$4), 1, 0, 2, if(ISBLANK('2025'!$P255), 0, 1), 3, if(ISBLANK('2025'!$Q255), 0, 1), 4, if(ISBLANK('2025'!$R255), 0, 1), 5, if(ISBLANK('2025'!$S255), 0, 1), 6, if(ISBLANK('2025'!$T255), 0, 1), 7, 0))), 1, "")</f>
        <v/>
      </c>
      <c r="AI257" s="1" t="str">
        <f>IF(AND(AND(AND(AI$4&gt;='2025'!$L255,AI$4&lt;='2025'!$M255), AI$4&lt;&gt;DATE(2025,7,4)), (SWITCH(weekday(AI$4), 1, 0, 2, if(ISBLANK('2025'!$P255), 0, 1), 3, if(ISBLANK('2025'!$Q255), 0, 1), 4, if(ISBLANK('2025'!$R255), 0, 1), 5, if(ISBLANK('2025'!$S255), 0, 1), 6, if(ISBLANK('2025'!$T255), 0, 1), 7, 0))), 1, "")</f>
        <v/>
      </c>
      <c r="AJ257" s="1" t="str">
        <f>IF(AND(AND(AND(AJ$4&gt;='2025'!$L255,AJ$4&lt;='2025'!$M255), AJ$4&lt;&gt;DATE(2025,7,4)), (SWITCH(weekday(AJ$4), 1, 0, 2, if(ISBLANK('2025'!$P255), 0, 1), 3, if(ISBLANK('2025'!$Q255), 0, 1), 4, if(ISBLANK('2025'!$R255), 0, 1), 5, if(ISBLANK('2025'!$S255), 0, 1), 6, if(ISBLANK('2025'!$T255), 0, 1), 7, 0))), 1, "")</f>
        <v/>
      </c>
      <c r="AK257" s="1" t="str">
        <f>IF(AND(AND(AND(AK$4&gt;='2025'!$L255,AK$4&lt;='2025'!$M255), AK$4&lt;&gt;DATE(2025,7,4)), (SWITCH(weekday(AK$4), 1, 0, 2, if(ISBLANK('2025'!$P255), 0, 1), 3, if(ISBLANK('2025'!$Q255), 0, 1), 4, if(ISBLANK('2025'!$R255), 0, 1), 5, if(ISBLANK('2025'!$S255), 0, 1), 6, if(ISBLANK('2025'!$T255), 0, 1), 7, 0))), 1, "")</f>
        <v/>
      </c>
      <c r="AL257" s="1" t="str">
        <f>IF(AND(AND(AND(AL$4&gt;='2025'!$L255,AL$4&lt;='2025'!$M255), AL$4&lt;&gt;DATE(2025,7,4)), (SWITCH(weekday(AL$4), 1, 0, 2, if(ISBLANK('2025'!$P255), 0, 1), 3, if(ISBLANK('2025'!$Q255), 0, 1), 4, if(ISBLANK('2025'!$R255), 0, 1), 5, if(ISBLANK('2025'!$S255), 0, 1), 6, if(ISBLANK('2025'!$T255), 0, 1), 7, 0))), 1, "")</f>
        <v/>
      </c>
      <c r="AM257" s="1" t="str">
        <f>IF(AND(AND(AND(AM$4&gt;='2025'!$L255,AM$4&lt;='2025'!$M255), AM$4&lt;&gt;DATE(2025,7,4)), (SWITCH(weekday(AM$4), 1, 0, 2, if(ISBLANK('2025'!$P255), 0, 1), 3, if(ISBLANK('2025'!$Q255), 0, 1), 4, if(ISBLANK('2025'!$R255), 0, 1), 5, if(ISBLANK('2025'!$S255), 0, 1), 6, if(ISBLANK('2025'!$T255), 0, 1), 7, 0))), 1, "")</f>
        <v/>
      </c>
      <c r="AN257" s="1" t="str">
        <f>IF(AND(AND(AND(AN$4&gt;='2025'!$L255,AN$4&lt;='2025'!$M255), AN$4&lt;&gt;DATE(2025,7,4)), (SWITCH(weekday(AN$4), 1, 0, 2, if(ISBLANK('2025'!$P255), 0, 1), 3, if(ISBLANK('2025'!$Q255), 0, 1), 4, if(ISBLANK('2025'!$R255), 0, 1), 5, if(ISBLANK('2025'!$S255), 0, 1), 6, if(ISBLANK('2025'!$T255), 0, 1), 7, 0))), 1, "")</f>
        <v/>
      </c>
      <c r="AO257" s="1" t="str">
        <f>IF(AND(AND(AND(AO$4&gt;='2025'!$L255,AO$4&lt;='2025'!$M255), AO$4&lt;&gt;DATE(2025,7,4)), (SWITCH(weekday(AO$4), 1, 0, 2, if(ISBLANK('2025'!$P255), 0, 1), 3, if(ISBLANK('2025'!$Q255), 0, 1), 4, if(ISBLANK('2025'!$R255), 0, 1), 5, if(ISBLANK('2025'!$S255), 0, 1), 6, if(ISBLANK('2025'!$T255), 0, 1), 7, 0))), 1, "")</f>
        <v/>
      </c>
      <c r="AP257" s="1" t="str">
        <f>IF(AND(AND(AND(AP$4&gt;='2025'!$L255,AP$4&lt;='2025'!$M255), AP$4&lt;&gt;DATE(2025,7,4)), (SWITCH(weekday(AP$4), 1, 0, 2, if(ISBLANK('2025'!$P255), 0, 1), 3, if(ISBLANK('2025'!$Q255), 0, 1), 4, if(ISBLANK('2025'!$R255), 0, 1), 5, if(ISBLANK('2025'!$S255), 0, 1), 6, if(ISBLANK('2025'!$T255), 0, 1), 7, 0))), 1, "")</f>
        <v/>
      </c>
      <c r="AQ257" s="1" t="str">
        <f>IF(AND(AND(AND(AQ$4&gt;='2025'!$L255,AQ$4&lt;='2025'!$M255), AQ$4&lt;&gt;DATE(2025,7,4)), (SWITCH(weekday(AQ$4), 1, 0, 2, if(ISBLANK('2025'!$P255), 0, 1), 3, if(ISBLANK('2025'!$Q255), 0, 1), 4, if(ISBLANK('2025'!$R255), 0, 1), 5, if(ISBLANK('2025'!$S255), 0, 1), 6, if(ISBLANK('2025'!$T255), 0, 1), 7, 0))), 1, "")</f>
        <v/>
      </c>
      <c r="AR257" s="1" t="str">
        <f>IF(AND(AND(AND(AR$4&gt;='2025'!$L255,AR$4&lt;='2025'!$M255), AR$4&lt;&gt;DATE(2025,7,4)), (SWITCH(weekday(AR$4), 1, 0, 2, if(ISBLANK('2025'!$P255), 0, 1), 3, if(ISBLANK('2025'!$Q255), 0, 1), 4, if(ISBLANK('2025'!$R255), 0, 1), 5, if(ISBLANK('2025'!$S255), 0, 1), 6, if(ISBLANK('2025'!$T255), 0, 1), 7, 0))), 1, "")</f>
        <v/>
      </c>
      <c r="AS257" s="1" t="str">
        <f>IF(AND(AND(AND(AS$4&gt;='2025'!$L255,AS$4&lt;='2025'!$M255), AS$4&lt;&gt;DATE(2025,7,4)), (SWITCH(weekday(AS$4), 1, 0, 2, if(ISBLANK('2025'!$P255), 0, 1), 3, if(ISBLANK('2025'!$Q255), 0, 1), 4, if(ISBLANK('2025'!$R255), 0, 1), 5, if(ISBLANK('2025'!$S255), 0, 1), 6, if(ISBLANK('2025'!$T255), 0, 1), 7, 0))), 1, "")</f>
        <v/>
      </c>
      <c r="AT257" s="1" t="str">
        <f>IF(AND(AND(AND(AT$4&gt;='2025'!$L255,AT$4&lt;='2025'!$M255), AT$4&lt;&gt;DATE(2025,7,4)), (SWITCH(weekday(AT$4), 1, 0, 2, if(ISBLANK('2025'!$P255), 0, 1), 3, if(ISBLANK('2025'!$Q255), 0, 1), 4, if(ISBLANK('2025'!$R255), 0, 1), 5, if(ISBLANK('2025'!$S255), 0, 1), 6, if(ISBLANK('2025'!$T255), 0, 1), 7, 0))), 1, "")</f>
        <v/>
      </c>
      <c r="AU257" s="1" t="str">
        <f>IF(AND(AND(AND(AU$4&gt;='2025'!$L255,AU$4&lt;='2025'!$M255), AU$4&lt;&gt;DATE(2025,7,4)), (SWITCH(weekday(AU$4), 1, 0, 2, if(ISBLANK('2025'!$P255), 0, 1), 3, if(ISBLANK('2025'!$Q255), 0, 1), 4, if(ISBLANK('2025'!$R255), 0, 1), 5, if(ISBLANK('2025'!$S255), 0, 1), 6, if(ISBLANK('2025'!$T255), 0, 1), 7, 0))), 1, "")</f>
        <v/>
      </c>
      <c r="AV257" s="1" t="str">
        <f>IF(AND(AND(AND(AV$4&gt;='2025'!$L255,AV$4&lt;='2025'!$M255), AV$4&lt;&gt;DATE(2025,7,4)), (SWITCH(weekday(AV$4), 1, 0, 2, if(ISBLANK('2025'!$P255), 0, 1), 3, if(ISBLANK('2025'!$Q255), 0, 1), 4, if(ISBLANK('2025'!$R255), 0, 1), 5, if(ISBLANK('2025'!$S255), 0, 1), 6, if(ISBLANK('2025'!$T255), 0, 1), 7, 0))), 1, "")</f>
        <v/>
      </c>
      <c r="AW257" s="1" t="str">
        <f>IF(AND(AND(AND(AW$4&gt;='2025'!$L255,AW$4&lt;='2025'!$M255), AW$4&lt;&gt;DATE(2025,7,4)), (SWITCH(weekday(AW$4), 1, 0, 2, if(ISBLANK('2025'!$P255), 0, 1), 3, if(ISBLANK('2025'!$Q255), 0, 1), 4, if(ISBLANK('2025'!$R255), 0, 1), 5, if(ISBLANK('2025'!$S255), 0, 1), 6, if(ISBLANK('2025'!$T255), 0, 1), 7, 0))), 1, "")</f>
        <v/>
      </c>
      <c r="AX257" s="1" t="str">
        <f>IF(AND(AND(AND(AX$4&gt;='2025'!$L255,AX$4&lt;='2025'!$M255), AX$4&lt;&gt;DATE(2025,7,4)), (SWITCH(weekday(AX$4), 1, 0, 2, if(ISBLANK('2025'!$P255), 0, 1), 3, if(ISBLANK('2025'!$Q255), 0, 1), 4, if(ISBLANK('2025'!$R255), 0, 1), 5, if(ISBLANK('2025'!$S255), 0, 1), 6, if(ISBLANK('2025'!$T255), 0, 1), 7, 0))), 1, "")</f>
        <v/>
      </c>
      <c r="AY257" s="1" t="str">
        <f>IF(AND(AND(AND(AY$4&gt;='2025'!$L255,AY$4&lt;='2025'!$M255), AY$4&lt;&gt;DATE(2025,7,4)), (SWITCH(weekday(AY$4), 1, 0, 2, if(ISBLANK('2025'!$P255), 0, 1), 3, if(ISBLANK('2025'!$Q255), 0, 1), 4, if(ISBLANK('2025'!$R255), 0, 1), 5, if(ISBLANK('2025'!$S255), 0, 1), 6, if(ISBLANK('2025'!$T255), 0, 1), 7, 0))), 1, "")</f>
        <v/>
      </c>
      <c r="AZ257" s="1" t="str">
        <f>IF(AND(AND(AND(AZ$4&gt;='2025'!$L255,AZ$4&lt;='2025'!$M255), AZ$4&lt;&gt;DATE(2025,7,4)), (SWITCH(weekday(AZ$4), 1, 0, 2, if(ISBLANK('2025'!$P255), 0, 1), 3, if(ISBLANK('2025'!$Q255), 0, 1), 4, if(ISBLANK('2025'!$R255), 0, 1), 5, if(ISBLANK('2025'!$S255), 0, 1), 6, if(ISBLANK('2025'!$T255), 0, 1), 7, 0))), 1, "")</f>
        <v/>
      </c>
      <c r="BA257" s="1" t="str">
        <f>IF(AND(AND(AND(BA$4&gt;='2025'!$L255,BA$4&lt;='2025'!$M255), BA$4&lt;&gt;DATE(2025,7,4)), (SWITCH(weekday(BA$4), 1, 0, 2, if(ISBLANK('2025'!$P255), 0, 1), 3, if(ISBLANK('2025'!$Q255), 0, 1), 4, if(ISBLANK('2025'!$R255), 0, 1), 5, if(ISBLANK('2025'!$S255), 0, 1), 6, if(ISBLANK('2025'!$T255), 0, 1), 7, 0))), 1, "")</f>
        <v/>
      </c>
      <c r="BB257" s="1" t="str">
        <f>IF(AND(AND(AND(BB$4&gt;='2025'!$L255,BB$4&lt;='2025'!$M255), BB$4&lt;&gt;DATE(2025,7,4)), (SWITCH(weekday(BB$4), 1, 0, 2, if(ISBLANK('2025'!$P255), 0, 1), 3, if(ISBLANK('2025'!$Q255), 0, 1), 4, if(ISBLANK('2025'!$R255), 0, 1), 5, if(ISBLANK('2025'!$S255), 0, 1), 6, if(ISBLANK('2025'!$T255), 0, 1), 7, 0))), 1, "")</f>
        <v/>
      </c>
      <c r="BC257" s="1" t="str">
        <f>IF(AND(AND(AND(BC$4&gt;='2025'!$L255,BC$4&lt;='2025'!$M255), BC$4&lt;&gt;DATE(2025,7,4)), (SWITCH(weekday(BC$4), 1, 0, 2, if(ISBLANK('2025'!$P255), 0, 1), 3, if(ISBLANK('2025'!$Q255), 0, 1), 4, if(ISBLANK('2025'!$R255), 0, 1), 5, if(ISBLANK('2025'!$S255), 0, 1), 6, if(ISBLANK('2025'!$T255), 0, 1), 7, 0))), 1, "")</f>
        <v/>
      </c>
      <c r="BD257" s="1" t="str">
        <f>IF(AND(AND(AND(BD$4&gt;='2025'!$L255,BD$4&lt;='2025'!$M255), BD$4&lt;&gt;DATE(2025,7,4)), (SWITCH(weekday(BD$4), 1, 0, 2, if(ISBLANK('2025'!$P255), 0, 1), 3, if(ISBLANK('2025'!$Q255), 0, 1), 4, if(ISBLANK('2025'!$R255), 0, 1), 5, if(ISBLANK('2025'!$S255), 0, 1), 6, if(ISBLANK('2025'!$T255), 0, 1), 7, 0))), 1, "")</f>
        <v/>
      </c>
      <c r="BE257" s="1" t="str">
        <f>IF(AND(AND(AND(BE$4&gt;='2025'!$L255,BE$4&lt;='2025'!$M255), BE$4&lt;&gt;DATE(2025,7,4)), (SWITCH(weekday(BE$4), 1, 0, 2, if(ISBLANK('2025'!$P255), 0, 1), 3, if(ISBLANK('2025'!$Q255), 0, 1), 4, if(ISBLANK('2025'!$R255), 0, 1), 5, if(ISBLANK('2025'!$S255), 0, 1), 6, if(ISBLANK('2025'!$T255), 0, 1), 7, 0))), 1, "")</f>
        <v/>
      </c>
      <c r="BF257" s="1" t="str">
        <f>IF(AND(AND(AND(BF$4&gt;='2025'!$L255,BF$4&lt;='2025'!$M255), BF$4&lt;&gt;DATE(2025,7,4)), (SWITCH(weekday(BF$4), 1, 0, 2, if(ISBLANK('2025'!$P255), 0, 1), 3, if(ISBLANK('2025'!$Q255), 0, 1), 4, if(ISBLANK('2025'!$R255), 0, 1), 5, if(ISBLANK('2025'!$S255), 0, 1), 6, if(ISBLANK('2025'!$T255), 0, 1), 7, 0))), 1, "")</f>
        <v/>
      </c>
      <c r="BG257" s="1"/>
      <c r="BH257" s="1"/>
      <c r="BI257" s="1"/>
      <c r="BJ257" s="1"/>
      <c r="BK257" s="1"/>
      <c r="BL257" s="1"/>
    </row>
    <row r="258">
      <c r="A258" s="1">
        <f t="shared" si="3"/>
        <v>258</v>
      </c>
      <c r="B258" s="1" t="str">
        <f>'2025'!D222</f>
        <v>, </v>
      </c>
      <c r="C258" s="1" t="str">
        <f>'2025'!H222</f>
        <v/>
      </c>
      <c r="D258" s="1" t="str">
        <f>IF(AND(AND(AND(D$4&gt;='2025'!$L256,D$4&lt;='2025'!$M256), D$4&lt;&gt;DATE(2025,7,4)), (SWITCH(weekday(D$4), 1, 0, 2, if(ISBLANK('2025'!$P256), 0, 1), 3, if(ISBLANK('2025'!$Q256), 0, 1), 4, if(ISBLANK('2025'!$R256), 0, 1), 5, if(ISBLANK('2025'!$S256), 0, 1), 6, if(ISBLANK('2025'!$T256), 0, 1), 7, 0))), 1, "")</f>
        <v/>
      </c>
      <c r="E258" s="1" t="str">
        <f>IF(AND(AND(AND(E$4&gt;='2025'!$L256,E$4&lt;='2025'!$M256), E$4&lt;&gt;DATE(2025,7,4)), (SWITCH(weekday(E$4), 1, 0, 2, if(ISBLANK('2025'!$P256), 0, 1), 3, if(ISBLANK('2025'!$Q256), 0, 1), 4, if(ISBLANK('2025'!$R256), 0, 1), 5, if(ISBLANK('2025'!$S256), 0, 1), 6, if(ISBLANK('2025'!$T256), 0, 1), 7, 0))), 1, "")</f>
        <v/>
      </c>
      <c r="F258" s="1" t="str">
        <f>IF(AND(AND(AND(F$4&gt;='2025'!$L256,F$4&lt;='2025'!$M256), F$4&lt;&gt;DATE(2025,7,4)), (SWITCH(weekday(F$4), 1, 0, 2, if(ISBLANK('2025'!$P256), 0, 1), 3, if(ISBLANK('2025'!$Q256), 0, 1), 4, if(ISBLANK('2025'!$R256), 0, 1), 5, if(ISBLANK('2025'!$S256), 0, 1), 6, if(ISBLANK('2025'!$T256), 0, 1), 7, 0))), 1, "")</f>
        <v/>
      </c>
      <c r="G258" s="1" t="str">
        <f>IF(AND(AND(AND(G$4&gt;='2025'!$L256,G$4&lt;='2025'!$M256), G$4&lt;&gt;DATE(2025,7,4)), (SWITCH(weekday(G$4), 1, 0, 2, if(ISBLANK('2025'!$P256), 0, 1), 3, if(ISBLANK('2025'!$Q256), 0, 1), 4, if(ISBLANK('2025'!$R256), 0, 1), 5, if(ISBLANK('2025'!$S256), 0, 1), 6, if(ISBLANK('2025'!$T256), 0, 1), 7, 0))), 1, "")</f>
        <v/>
      </c>
      <c r="H258" s="1" t="str">
        <f>IF(AND(AND(AND(H$4&gt;='2025'!$L256,H$4&lt;='2025'!$M256), H$4&lt;&gt;DATE(2025,7,4)), (SWITCH(weekday(H$4), 1, 0, 2, if(ISBLANK('2025'!$P256), 0, 1), 3, if(ISBLANK('2025'!$Q256), 0, 1), 4, if(ISBLANK('2025'!$R256), 0, 1), 5, if(ISBLANK('2025'!$S256), 0, 1), 6, if(ISBLANK('2025'!$T256), 0, 1), 7, 0))), 1, "")</f>
        <v/>
      </c>
      <c r="I258" s="1" t="str">
        <f>IF(AND(AND(AND(I$4&gt;='2025'!$L256,I$4&lt;='2025'!$M256), I$4&lt;&gt;DATE(2025,7,4)), (SWITCH(weekday(I$4), 1, 0, 2, if(ISBLANK('2025'!$P256), 0, 1), 3, if(ISBLANK('2025'!$Q256), 0, 1), 4, if(ISBLANK('2025'!$R256), 0, 1), 5, if(ISBLANK('2025'!$S256), 0, 1), 6, if(ISBLANK('2025'!$T256), 0, 1), 7, 0))), 1, "")</f>
        <v/>
      </c>
      <c r="J258" s="1" t="str">
        <f>IF(AND(AND(AND(J$4&gt;='2025'!$L256,J$4&lt;='2025'!$M256), J$4&lt;&gt;DATE(2025,7,4)), (SWITCH(weekday(J$4), 1, 0, 2, if(ISBLANK('2025'!$P256), 0, 1), 3, if(ISBLANK('2025'!$Q256), 0, 1), 4, if(ISBLANK('2025'!$R256), 0, 1), 5, if(ISBLANK('2025'!$S256), 0, 1), 6, if(ISBLANK('2025'!$T256), 0, 1), 7, 0))), 1, "")</f>
        <v/>
      </c>
      <c r="K258" s="1" t="str">
        <f>IF(AND(AND(AND(K$4&gt;='2025'!$L256,K$4&lt;='2025'!$M256), K$4&lt;&gt;DATE(2025,7,4)), (SWITCH(weekday(K$4), 1, 0, 2, if(ISBLANK('2025'!$P256), 0, 1), 3, if(ISBLANK('2025'!$Q256), 0, 1), 4, if(ISBLANK('2025'!$R256), 0, 1), 5, if(ISBLANK('2025'!$S256), 0, 1), 6, if(ISBLANK('2025'!$T256), 0, 1), 7, 0))), 1, "")</f>
        <v/>
      </c>
      <c r="L258" s="1" t="str">
        <f>IF(AND(AND(AND(L$4&gt;='2025'!$L256,L$4&lt;='2025'!$M256), L$4&lt;&gt;DATE(2025,7,4)), (SWITCH(weekday(L$4), 1, 0, 2, if(ISBLANK('2025'!$P256), 0, 1), 3, if(ISBLANK('2025'!$Q256), 0, 1), 4, if(ISBLANK('2025'!$R256), 0, 1), 5, if(ISBLANK('2025'!$S256), 0, 1), 6, if(ISBLANK('2025'!$T256), 0, 1), 7, 0))), 1, "")</f>
        <v/>
      </c>
      <c r="M258" s="1" t="str">
        <f>IF(AND(AND(AND(M$4&gt;='2025'!$L256,M$4&lt;='2025'!$M256), M$4&lt;&gt;DATE(2025,7,4)), (SWITCH(weekday(M$4), 1, 0, 2, if(ISBLANK('2025'!$P256), 0, 1), 3, if(ISBLANK('2025'!$Q256), 0, 1), 4, if(ISBLANK('2025'!$R256), 0, 1), 5, if(ISBLANK('2025'!$S256), 0, 1), 6, if(ISBLANK('2025'!$T256), 0, 1), 7, 0))), 1, "")</f>
        <v/>
      </c>
      <c r="N258" s="1" t="str">
        <f>IF(AND(AND(AND(N$4&gt;='2025'!$L256,N$4&lt;='2025'!$M256), N$4&lt;&gt;DATE(2025,7,4)), (SWITCH(weekday(N$4), 1, 0, 2, if(ISBLANK('2025'!$P256), 0, 1), 3, if(ISBLANK('2025'!$Q256), 0, 1), 4, if(ISBLANK('2025'!$R256), 0, 1), 5, if(ISBLANK('2025'!$S256), 0, 1), 6, if(ISBLANK('2025'!$T256), 0, 1), 7, 0))), 1, "")</f>
        <v/>
      </c>
      <c r="O258" s="1" t="str">
        <f>IF(AND(AND(AND(O$4&gt;='2025'!$L256,O$4&lt;='2025'!$M256), O$4&lt;&gt;DATE(2025,7,4)), (SWITCH(weekday(O$4), 1, 0, 2, if(ISBLANK('2025'!$P256), 0, 1), 3, if(ISBLANK('2025'!$Q256), 0, 1), 4, if(ISBLANK('2025'!$R256), 0, 1), 5, if(ISBLANK('2025'!$S256), 0, 1), 6, if(ISBLANK('2025'!$T256), 0, 1), 7, 0))), 1, "")</f>
        <v/>
      </c>
      <c r="P258" s="1" t="str">
        <f>IF(AND(AND(AND(P$4&gt;='2025'!$L256,P$4&lt;='2025'!$M256), P$4&lt;&gt;DATE(2025,7,4)), (SWITCH(weekday(P$4), 1, 0, 2, if(ISBLANK('2025'!$P256), 0, 1), 3, if(ISBLANK('2025'!$Q256), 0, 1), 4, if(ISBLANK('2025'!$R256), 0, 1), 5, if(ISBLANK('2025'!$S256), 0, 1), 6, if(ISBLANK('2025'!$T256), 0, 1), 7, 0))), 1, "")</f>
        <v/>
      </c>
      <c r="Q258" s="1" t="str">
        <f>IF(AND(AND(AND(Q$4&gt;='2025'!$L256,Q$4&lt;='2025'!$M256), Q$4&lt;&gt;DATE(2025,7,4)), (SWITCH(weekday(Q$4), 1, 0, 2, if(ISBLANK('2025'!$P256), 0, 1), 3, if(ISBLANK('2025'!$Q256), 0, 1), 4, if(ISBLANK('2025'!$R256), 0, 1), 5, if(ISBLANK('2025'!$S256), 0, 1), 6, if(ISBLANK('2025'!$T256), 0, 1), 7, 0))), 1, "")</f>
        <v/>
      </c>
      <c r="R258" s="1" t="str">
        <f>IF(AND(AND(AND(R$4&gt;='2025'!$L256,R$4&lt;='2025'!$M256), R$4&lt;&gt;DATE(2025,7,4)), (SWITCH(weekday(R$4), 1, 0, 2, if(ISBLANK('2025'!$P256), 0, 1), 3, if(ISBLANK('2025'!$Q256), 0, 1), 4, if(ISBLANK('2025'!$R256), 0, 1), 5, if(ISBLANK('2025'!$S256), 0, 1), 6, if(ISBLANK('2025'!$T256), 0, 1), 7, 0))), 1, "")</f>
        <v/>
      </c>
      <c r="S258" s="1" t="str">
        <f>IF(AND(AND(AND(S$4&gt;='2025'!$L256,S$4&lt;='2025'!$M256), S$4&lt;&gt;DATE(2025,7,4)), (SWITCH(weekday(S$4), 1, 0, 2, if(ISBLANK('2025'!$P256), 0, 1), 3, if(ISBLANK('2025'!$Q256), 0, 1), 4, if(ISBLANK('2025'!$R256), 0, 1), 5, if(ISBLANK('2025'!$S256), 0, 1), 6, if(ISBLANK('2025'!$T256), 0, 1), 7, 0))), 1, "")</f>
        <v/>
      </c>
      <c r="T258" s="1" t="str">
        <f>IF(AND(AND(AND(T$4&gt;='2025'!$L256,T$4&lt;='2025'!$M256), T$4&lt;&gt;DATE(2025,7,4)), (SWITCH(weekday(T$4), 1, 0, 2, if(ISBLANK('2025'!$P256), 0, 1), 3, if(ISBLANK('2025'!$Q256), 0, 1), 4, if(ISBLANK('2025'!$R256), 0, 1), 5, if(ISBLANK('2025'!$S256), 0, 1), 6, if(ISBLANK('2025'!$T256), 0, 1), 7, 0))), 1, "")</f>
        <v/>
      </c>
      <c r="U258" s="1" t="str">
        <f>IF(AND(AND(AND(U$4&gt;='2025'!$L256,U$4&lt;='2025'!$M256), U$4&lt;&gt;DATE(2025,7,4)), (SWITCH(weekday(U$4), 1, 0, 2, if(ISBLANK('2025'!$P256), 0, 1), 3, if(ISBLANK('2025'!$Q256), 0, 1), 4, if(ISBLANK('2025'!$R256), 0, 1), 5, if(ISBLANK('2025'!$S256), 0, 1), 6, if(ISBLANK('2025'!$T256), 0, 1), 7, 0))), 1, "")</f>
        <v/>
      </c>
      <c r="V258" s="1" t="str">
        <f>IF(AND(AND(AND(V$4&gt;='2025'!$L256,V$4&lt;='2025'!$M256), V$4&lt;&gt;DATE(2025,7,4)), (SWITCH(weekday(V$4), 1, 0, 2, if(ISBLANK('2025'!$P256), 0, 1), 3, if(ISBLANK('2025'!$Q256), 0, 1), 4, if(ISBLANK('2025'!$R256), 0, 1), 5, if(ISBLANK('2025'!$S256), 0, 1), 6, if(ISBLANK('2025'!$T256), 0, 1), 7, 0))), 1, "")</f>
        <v/>
      </c>
      <c r="W258" s="1" t="str">
        <f>IF(AND(AND(AND(W$4&gt;='2025'!$L256,W$4&lt;='2025'!$M256), W$4&lt;&gt;DATE(2025,7,4)), (SWITCH(weekday(W$4), 1, 0, 2, if(ISBLANK('2025'!$P256), 0, 1), 3, if(ISBLANK('2025'!$Q256), 0, 1), 4, if(ISBLANK('2025'!$R256), 0, 1), 5, if(ISBLANK('2025'!$S256), 0, 1), 6, if(ISBLANK('2025'!$T256), 0, 1), 7, 0))), 1, "")</f>
        <v/>
      </c>
      <c r="X258" s="1" t="str">
        <f>IF(AND(AND(AND(X$4&gt;='2025'!$L256,X$4&lt;='2025'!$M256), X$4&lt;&gt;DATE(2025,7,4)), (SWITCH(weekday(X$4), 1, 0, 2, if(ISBLANK('2025'!$P256), 0, 1), 3, if(ISBLANK('2025'!$Q256), 0, 1), 4, if(ISBLANK('2025'!$R256), 0, 1), 5, if(ISBLANK('2025'!$S256), 0, 1), 6, if(ISBLANK('2025'!$T256), 0, 1), 7, 0))), 1, "")</f>
        <v/>
      </c>
      <c r="Y258" s="1" t="str">
        <f>IF(AND(AND(AND(Y$4&gt;='2025'!$L256,Y$4&lt;='2025'!$M256), Y$4&lt;&gt;DATE(2025,7,4)), (SWITCH(weekday(Y$4), 1, 0, 2, if(ISBLANK('2025'!$P256), 0, 1), 3, if(ISBLANK('2025'!$Q256), 0, 1), 4, if(ISBLANK('2025'!$R256), 0, 1), 5, if(ISBLANK('2025'!$S256), 0, 1), 6, if(ISBLANK('2025'!$T256), 0, 1), 7, 0))), 1, "")</f>
        <v/>
      </c>
      <c r="Z258" s="1" t="str">
        <f>IF(AND(AND(AND(Z$4&gt;='2025'!$L256,Z$4&lt;='2025'!$M256), Z$4&lt;&gt;DATE(2025,7,4)), (SWITCH(weekday(Z$4), 1, 0, 2, if(ISBLANK('2025'!$P256), 0, 1), 3, if(ISBLANK('2025'!$Q256), 0, 1), 4, if(ISBLANK('2025'!$R256), 0, 1), 5, if(ISBLANK('2025'!$S256), 0, 1), 6, if(ISBLANK('2025'!$T256), 0, 1), 7, 0))), 1, "")</f>
        <v/>
      </c>
      <c r="AA258" s="1" t="str">
        <f>IF(AND(AND(AND(AA$4&gt;='2025'!$L256,AA$4&lt;='2025'!$M256), AA$4&lt;&gt;DATE(2025,7,4)), (SWITCH(weekday(AA$4), 1, 0, 2, if(ISBLANK('2025'!$P256), 0, 1), 3, if(ISBLANK('2025'!$Q256), 0, 1), 4, if(ISBLANK('2025'!$R256), 0, 1), 5, if(ISBLANK('2025'!$S256), 0, 1), 6, if(ISBLANK('2025'!$T256), 0, 1), 7, 0))), 1, "")</f>
        <v/>
      </c>
      <c r="AB258" s="1" t="str">
        <f>IF(AND(AND(AND(AB$4&gt;='2025'!$L256,AB$4&lt;='2025'!$M256), AB$4&lt;&gt;DATE(2025,7,4)), (SWITCH(weekday(AB$4), 1, 0, 2, if(ISBLANK('2025'!$P256), 0, 1), 3, if(ISBLANK('2025'!$Q256), 0, 1), 4, if(ISBLANK('2025'!$R256), 0, 1), 5, if(ISBLANK('2025'!$S256), 0, 1), 6, if(ISBLANK('2025'!$T256), 0, 1), 7, 0))), 1, "")</f>
        <v/>
      </c>
      <c r="AC258" s="1" t="str">
        <f>IF(AND(AND(AND(AC$4&gt;='2025'!$L256,AC$4&lt;='2025'!$M256), AC$4&lt;&gt;DATE(2025,7,4)), (SWITCH(weekday(AC$4), 1, 0, 2, if(ISBLANK('2025'!$P256), 0, 1), 3, if(ISBLANK('2025'!$Q256), 0, 1), 4, if(ISBLANK('2025'!$R256), 0, 1), 5, if(ISBLANK('2025'!$S256), 0, 1), 6, if(ISBLANK('2025'!$T256), 0, 1), 7, 0))), 1, "")</f>
        <v/>
      </c>
      <c r="AD258" s="1" t="str">
        <f>IF(AND(AND(AND(AD$4&gt;='2025'!$L256,AD$4&lt;='2025'!$M256), AD$4&lt;&gt;DATE(2025,7,4)), (SWITCH(weekday(AD$4), 1, 0, 2, if(ISBLANK('2025'!$P256), 0, 1), 3, if(ISBLANK('2025'!$Q256), 0, 1), 4, if(ISBLANK('2025'!$R256), 0, 1), 5, if(ISBLANK('2025'!$S256), 0, 1), 6, if(ISBLANK('2025'!$T256), 0, 1), 7, 0))), 1, "")</f>
        <v/>
      </c>
      <c r="AE258" s="1" t="str">
        <f>IF(AND(AND(AND(AE$4&gt;='2025'!$L256,AE$4&lt;='2025'!$M256), AE$4&lt;&gt;DATE(2025,7,4)), (SWITCH(weekday(AE$4), 1, 0, 2, if(ISBLANK('2025'!$P256), 0, 1), 3, if(ISBLANK('2025'!$Q256), 0, 1), 4, if(ISBLANK('2025'!$R256), 0, 1), 5, if(ISBLANK('2025'!$S256), 0, 1), 6, if(ISBLANK('2025'!$T256), 0, 1), 7, 0))), 1, "")</f>
        <v/>
      </c>
      <c r="AF258" s="1" t="str">
        <f>IF(AND(AND(AND(AF$4&gt;='2025'!$L256,AF$4&lt;='2025'!$M256), AF$4&lt;&gt;DATE(2025,7,4)), (SWITCH(weekday(AF$4), 1, 0, 2, if(ISBLANK('2025'!$P256), 0, 1), 3, if(ISBLANK('2025'!$Q256), 0, 1), 4, if(ISBLANK('2025'!$R256), 0, 1), 5, if(ISBLANK('2025'!$S256), 0, 1), 6, if(ISBLANK('2025'!$T256), 0, 1), 7, 0))), 1, "")</f>
        <v/>
      </c>
      <c r="AG258" s="1" t="str">
        <f>IF(AND(AND(AND(AG$4&gt;='2025'!$L256,AG$4&lt;='2025'!$M256), AG$4&lt;&gt;DATE(2025,7,4)), (SWITCH(weekday(AG$4), 1, 0, 2, if(ISBLANK('2025'!$P256), 0, 1), 3, if(ISBLANK('2025'!$Q256), 0, 1), 4, if(ISBLANK('2025'!$R256), 0, 1), 5, if(ISBLANK('2025'!$S256), 0, 1), 6, if(ISBLANK('2025'!$T256), 0, 1), 7, 0))), 1, "")</f>
        <v/>
      </c>
      <c r="AH258" s="1" t="str">
        <f>IF(AND(AND(AND(AH$4&gt;='2025'!$L256,AH$4&lt;='2025'!$M256), AH$4&lt;&gt;DATE(2025,7,4)), (SWITCH(weekday(AH$4), 1, 0, 2, if(ISBLANK('2025'!$P256), 0, 1), 3, if(ISBLANK('2025'!$Q256), 0, 1), 4, if(ISBLANK('2025'!$R256), 0, 1), 5, if(ISBLANK('2025'!$S256), 0, 1), 6, if(ISBLANK('2025'!$T256), 0, 1), 7, 0))), 1, "")</f>
        <v/>
      </c>
      <c r="AI258" s="1" t="str">
        <f>IF(AND(AND(AND(AI$4&gt;='2025'!$L256,AI$4&lt;='2025'!$M256), AI$4&lt;&gt;DATE(2025,7,4)), (SWITCH(weekday(AI$4), 1, 0, 2, if(ISBLANK('2025'!$P256), 0, 1), 3, if(ISBLANK('2025'!$Q256), 0, 1), 4, if(ISBLANK('2025'!$R256), 0, 1), 5, if(ISBLANK('2025'!$S256), 0, 1), 6, if(ISBLANK('2025'!$T256), 0, 1), 7, 0))), 1, "")</f>
        <v/>
      </c>
      <c r="AJ258" s="1" t="str">
        <f>IF(AND(AND(AND(AJ$4&gt;='2025'!$L256,AJ$4&lt;='2025'!$M256), AJ$4&lt;&gt;DATE(2025,7,4)), (SWITCH(weekday(AJ$4), 1, 0, 2, if(ISBLANK('2025'!$P256), 0, 1), 3, if(ISBLANK('2025'!$Q256), 0, 1), 4, if(ISBLANK('2025'!$R256), 0, 1), 5, if(ISBLANK('2025'!$S256), 0, 1), 6, if(ISBLANK('2025'!$T256), 0, 1), 7, 0))), 1, "")</f>
        <v/>
      </c>
      <c r="AK258" s="1" t="str">
        <f>IF(AND(AND(AND(AK$4&gt;='2025'!$L256,AK$4&lt;='2025'!$M256), AK$4&lt;&gt;DATE(2025,7,4)), (SWITCH(weekday(AK$4), 1, 0, 2, if(ISBLANK('2025'!$P256), 0, 1), 3, if(ISBLANK('2025'!$Q256), 0, 1), 4, if(ISBLANK('2025'!$R256), 0, 1), 5, if(ISBLANK('2025'!$S256), 0, 1), 6, if(ISBLANK('2025'!$T256), 0, 1), 7, 0))), 1, "")</f>
        <v/>
      </c>
      <c r="AL258" s="1" t="str">
        <f>IF(AND(AND(AND(AL$4&gt;='2025'!$L256,AL$4&lt;='2025'!$M256), AL$4&lt;&gt;DATE(2025,7,4)), (SWITCH(weekday(AL$4), 1, 0, 2, if(ISBLANK('2025'!$P256), 0, 1), 3, if(ISBLANK('2025'!$Q256), 0, 1), 4, if(ISBLANK('2025'!$R256), 0, 1), 5, if(ISBLANK('2025'!$S256), 0, 1), 6, if(ISBLANK('2025'!$T256), 0, 1), 7, 0))), 1, "")</f>
        <v/>
      </c>
      <c r="AM258" s="1" t="str">
        <f>IF(AND(AND(AND(AM$4&gt;='2025'!$L256,AM$4&lt;='2025'!$M256), AM$4&lt;&gt;DATE(2025,7,4)), (SWITCH(weekday(AM$4), 1, 0, 2, if(ISBLANK('2025'!$P256), 0, 1), 3, if(ISBLANK('2025'!$Q256), 0, 1), 4, if(ISBLANK('2025'!$R256), 0, 1), 5, if(ISBLANK('2025'!$S256), 0, 1), 6, if(ISBLANK('2025'!$T256), 0, 1), 7, 0))), 1, "")</f>
        <v/>
      </c>
      <c r="AN258" s="1" t="str">
        <f>IF(AND(AND(AND(AN$4&gt;='2025'!$L256,AN$4&lt;='2025'!$M256), AN$4&lt;&gt;DATE(2025,7,4)), (SWITCH(weekday(AN$4), 1, 0, 2, if(ISBLANK('2025'!$P256), 0, 1), 3, if(ISBLANK('2025'!$Q256), 0, 1), 4, if(ISBLANK('2025'!$R256), 0, 1), 5, if(ISBLANK('2025'!$S256), 0, 1), 6, if(ISBLANK('2025'!$T256), 0, 1), 7, 0))), 1, "")</f>
        <v/>
      </c>
      <c r="AO258" s="1" t="str">
        <f>IF(AND(AND(AND(AO$4&gt;='2025'!$L256,AO$4&lt;='2025'!$M256), AO$4&lt;&gt;DATE(2025,7,4)), (SWITCH(weekday(AO$4), 1, 0, 2, if(ISBLANK('2025'!$P256), 0, 1), 3, if(ISBLANK('2025'!$Q256), 0, 1), 4, if(ISBLANK('2025'!$R256), 0, 1), 5, if(ISBLANK('2025'!$S256), 0, 1), 6, if(ISBLANK('2025'!$T256), 0, 1), 7, 0))), 1, "")</f>
        <v/>
      </c>
      <c r="AP258" s="1" t="str">
        <f>IF(AND(AND(AND(AP$4&gt;='2025'!$L256,AP$4&lt;='2025'!$M256), AP$4&lt;&gt;DATE(2025,7,4)), (SWITCH(weekday(AP$4), 1, 0, 2, if(ISBLANK('2025'!$P256), 0, 1), 3, if(ISBLANK('2025'!$Q256), 0, 1), 4, if(ISBLANK('2025'!$R256), 0, 1), 5, if(ISBLANK('2025'!$S256), 0, 1), 6, if(ISBLANK('2025'!$T256), 0, 1), 7, 0))), 1, "")</f>
        <v/>
      </c>
      <c r="AQ258" s="1" t="str">
        <f>IF(AND(AND(AND(AQ$4&gt;='2025'!$L256,AQ$4&lt;='2025'!$M256), AQ$4&lt;&gt;DATE(2025,7,4)), (SWITCH(weekday(AQ$4), 1, 0, 2, if(ISBLANK('2025'!$P256), 0, 1), 3, if(ISBLANK('2025'!$Q256), 0, 1), 4, if(ISBLANK('2025'!$R256), 0, 1), 5, if(ISBLANK('2025'!$S256), 0, 1), 6, if(ISBLANK('2025'!$T256), 0, 1), 7, 0))), 1, "")</f>
        <v/>
      </c>
      <c r="AR258" s="1" t="str">
        <f>IF(AND(AND(AND(AR$4&gt;='2025'!$L256,AR$4&lt;='2025'!$M256), AR$4&lt;&gt;DATE(2025,7,4)), (SWITCH(weekday(AR$4), 1, 0, 2, if(ISBLANK('2025'!$P256), 0, 1), 3, if(ISBLANK('2025'!$Q256), 0, 1), 4, if(ISBLANK('2025'!$R256), 0, 1), 5, if(ISBLANK('2025'!$S256), 0, 1), 6, if(ISBLANK('2025'!$T256), 0, 1), 7, 0))), 1, "")</f>
        <v/>
      </c>
      <c r="AS258" s="1" t="str">
        <f>IF(AND(AND(AND(AS$4&gt;='2025'!$L256,AS$4&lt;='2025'!$M256), AS$4&lt;&gt;DATE(2025,7,4)), (SWITCH(weekday(AS$4), 1, 0, 2, if(ISBLANK('2025'!$P256), 0, 1), 3, if(ISBLANK('2025'!$Q256), 0, 1), 4, if(ISBLANK('2025'!$R256), 0, 1), 5, if(ISBLANK('2025'!$S256), 0, 1), 6, if(ISBLANK('2025'!$T256), 0, 1), 7, 0))), 1, "")</f>
        <v/>
      </c>
      <c r="AT258" s="1" t="str">
        <f>IF(AND(AND(AND(AT$4&gt;='2025'!$L256,AT$4&lt;='2025'!$M256), AT$4&lt;&gt;DATE(2025,7,4)), (SWITCH(weekday(AT$4), 1, 0, 2, if(ISBLANK('2025'!$P256), 0, 1), 3, if(ISBLANK('2025'!$Q256), 0, 1), 4, if(ISBLANK('2025'!$R256), 0, 1), 5, if(ISBLANK('2025'!$S256), 0, 1), 6, if(ISBLANK('2025'!$T256), 0, 1), 7, 0))), 1, "")</f>
        <v/>
      </c>
      <c r="AU258" s="1" t="str">
        <f>IF(AND(AND(AND(AU$4&gt;='2025'!$L256,AU$4&lt;='2025'!$M256), AU$4&lt;&gt;DATE(2025,7,4)), (SWITCH(weekday(AU$4), 1, 0, 2, if(ISBLANK('2025'!$P256), 0, 1), 3, if(ISBLANK('2025'!$Q256), 0, 1), 4, if(ISBLANK('2025'!$R256), 0, 1), 5, if(ISBLANK('2025'!$S256), 0, 1), 6, if(ISBLANK('2025'!$T256), 0, 1), 7, 0))), 1, "")</f>
        <v/>
      </c>
      <c r="AV258" s="1" t="str">
        <f>IF(AND(AND(AND(AV$4&gt;='2025'!$L256,AV$4&lt;='2025'!$M256), AV$4&lt;&gt;DATE(2025,7,4)), (SWITCH(weekday(AV$4), 1, 0, 2, if(ISBLANK('2025'!$P256), 0, 1), 3, if(ISBLANK('2025'!$Q256), 0, 1), 4, if(ISBLANK('2025'!$R256), 0, 1), 5, if(ISBLANK('2025'!$S256), 0, 1), 6, if(ISBLANK('2025'!$T256), 0, 1), 7, 0))), 1, "")</f>
        <v/>
      </c>
      <c r="AW258" s="1" t="str">
        <f>IF(AND(AND(AND(AW$4&gt;='2025'!$L256,AW$4&lt;='2025'!$M256), AW$4&lt;&gt;DATE(2025,7,4)), (SWITCH(weekday(AW$4), 1, 0, 2, if(ISBLANK('2025'!$P256), 0, 1), 3, if(ISBLANK('2025'!$Q256), 0, 1), 4, if(ISBLANK('2025'!$R256), 0, 1), 5, if(ISBLANK('2025'!$S256), 0, 1), 6, if(ISBLANK('2025'!$T256), 0, 1), 7, 0))), 1, "")</f>
        <v/>
      </c>
      <c r="AX258" s="1" t="str">
        <f>IF(AND(AND(AND(AX$4&gt;='2025'!$L256,AX$4&lt;='2025'!$M256), AX$4&lt;&gt;DATE(2025,7,4)), (SWITCH(weekday(AX$4), 1, 0, 2, if(ISBLANK('2025'!$P256), 0, 1), 3, if(ISBLANK('2025'!$Q256), 0, 1), 4, if(ISBLANK('2025'!$R256), 0, 1), 5, if(ISBLANK('2025'!$S256), 0, 1), 6, if(ISBLANK('2025'!$T256), 0, 1), 7, 0))), 1, "")</f>
        <v/>
      </c>
      <c r="AY258" s="1" t="str">
        <f>IF(AND(AND(AND(AY$4&gt;='2025'!$L256,AY$4&lt;='2025'!$M256), AY$4&lt;&gt;DATE(2025,7,4)), (SWITCH(weekday(AY$4), 1, 0, 2, if(ISBLANK('2025'!$P256), 0, 1), 3, if(ISBLANK('2025'!$Q256), 0, 1), 4, if(ISBLANK('2025'!$R256), 0, 1), 5, if(ISBLANK('2025'!$S256), 0, 1), 6, if(ISBLANK('2025'!$T256), 0, 1), 7, 0))), 1, "")</f>
        <v/>
      </c>
      <c r="AZ258" s="1" t="str">
        <f>IF(AND(AND(AND(AZ$4&gt;='2025'!$L256,AZ$4&lt;='2025'!$M256), AZ$4&lt;&gt;DATE(2025,7,4)), (SWITCH(weekday(AZ$4), 1, 0, 2, if(ISBLANK('2025'!$P256), 0, 1), 3, if(ISBLANK('2025'!$Q256), 0, 1), 4, if(ISBLANK('2025'!$R256), 0, 1), 5, if(ISBLANK('2025'!$S256), 0, 1), 6, if(ISBLANK('2025'!$T256), 0, 1), 7, 0))), 1, "")</f>
        <v/>
      </c>
      <c r="BA258" s="1" t="str">
        <f>IF(AND(AND(AND(BA$4&gt;='2025'!$L256,BA$4&lt;='2025'!$M256), BA$4&lt;&gt;DATE(2025,7,4)), (SWITCH(weekday(BA$4), 1, 0, 2, if(ISBLANK('2025'!$P256), 0, 1), 3, if(ISBLANK('2025'!$Q256), 0, 1), 4, if(ISBLANK('2025'!$R256), 0, 1), 5, if(ISBLANK('2025'!$S256), 0, 1), 6, if(ISBLANK('2025'!$T256), 0, 1), 7, 0))), 1, "")</f>
        <v/>
      </c>
      <c r="BB258" s="1" t="str">
        <f>IF(AND(AND(AND(BB$4&gt;='2025'!$L256,BB$4&lt;='2025'!$M256), BB$4&lt;&gt;DATE(2025,7,4)), (SWITCH(weekday(BB$4), 1, 0, 2, if(ISBLANK('2025'!$P256), 0, 1), 3, if(ISBLANK('2025'!$Q256), 0, 1), 4, if(ISBLANK('2025'!$R256), 0, 1), 5, if(ISBLANK('2025'!$S256), 0, 1), 6, if(ISBLANK('2025'!$T256), 0, 1), 7, 0))), 1, "")</f>
        <v/>
      </c>
      <c r="BC258" s="1" t="str">
        <f>IF(AND(AND(AND(BC$4&gt;='2025'!$L256,BC$4&lt;='2025'!$M256), BC$4&lt;&gt;DATE(2025,7,4)), (SWITCH(weekday(BC$4), 1, 0, 2, if(ISBLANK('2025'!$P256), 0, 1), 3, if(ISBLANK('2025'!$Q256), 0, 1), 4, if(ISBLANK('2025'!$R256), 0, 1), 5, if(ISBLANK('2025'!$S256), 0, 1), 6, if(ISBLANK('2025'!$T256), 0, 1), 7, 0))), 1, "")</f>
        <v/>
      </c>
      <c r="BD258" s="1" t="str">
        <f>IF(AND(AND(AND(BD$4&gt;='2025'!$L256,BD$4&lt;='2025'!$M256), BD$4&lt;&gt;DATE(2025,7,4)), (SWITCH(weekday(BD$4), 1, 0, 2, if(ISBLANK('2025'!$P256), 0, 1), 3, if(ISBLANK('2025'!$Q256), 0, 1), 4, if(ISBLANK('2025'!$R256), 0, 1), 5, if(ISBLANK('2025'!$S256), 0, 1), 6, if(ISBLANK('2025'!$T256), 0, 1), 7, 0))), 1, "")</f>
        <v/>
      </c>
      <c r="BE258" s="1" t="str">
        <f>IF(AND(AND(AND(BE$4&gt;='2025'!$L256,BE$4&lt;='2025'!$M256), BE$4&lt;&gt;DATE(2025,7,4)), (SWITCH(weekday(BE$4), 1, 0, 2, if(ISBLANK('2025'!$P256), 0, 1), 3, if(ISBLANK('2025'!$Q256), 0, 1), 4, if(ISBLANK('2025'!$R256), 0, 1), 5, if(ISBLANK('2025'!$S256), 0, 1), 6, if(ISBLANK('2025'!$T256), 0, 1), 7, 0))), 1, "")</f>
        <v/>
      </c>
      <c r="BF258" s="1" t="str">
        <f>IF(AND(AND(AND(BF$4&gt;='2025'!$L256,BF$4&lt;='2025'!$M256), BF$4&lt;&gt;DATE(2025,7,4)), (SWITCH(weekday(BF$4), 1, 0, 2, if(ISBLANK('2025'!$P256), 0, 1), 3, if(ISBLANK('2025'!$Q256), 0, 1), 4, if(ISBLANK('2025'!$R256), 0, 1), 5, if(ISBLANK('2025'!$S256), 0, 1), 6, if(ISBLANK('2025'!$T256), 0, 1), 7, 0))), 1, "")</f>
        <v/>
      </c>
      <c r="BG258" s="1"/>
      <c r="BH258" s="1"/>
      <c r="BI258" s="1"/>
      <c r="BJ258" s="1"/>
      <c r="BK258" s="1"/>
      <c r="BL258" s="1"/>
    </row>
    <row r="259">
      <c r="A259" s="1">
        <f t="shared" si="3"/>
        <v>259</v>
      </c>
      <c r="B259" s="1" t="str">
        <f>'2025'!D223</f>
        <v>, </v>
      </c>
      <c r="C259" s="1" t="str">
        <f>'2025'!H223</f>
        <v/>
      </c>
      <c r="D259" s="1" t="str">
        <f>IF(AND(AND(AND(D$4&gt;='2025'!$L257,D$4&lt;='2025'!$M257), D$4&lt;&gt;DATE(2025,7,4)), (SWITCH(weekday(D$4), 1, 0, 2, if(ISBLANK('2025'!$P257), 0, 1), 3, if(ISBLANK('2025'!$Q257), 0, 1), 4, if(ISBLANK('2025'!$R257), 0, 1), 5, if(ISBLANK('2025'!$S257), 0, 1), 6, if(ISBLANK('2025'!$T257), 0, 1), 7, 0))), 1, "")</f>
        <v/>
      </c>
      <c r="E259" s="1" t="str">
        <f>IF(AND(AND(AND(E$4&gt;='2025'!$L257,E$4&lt;='2025'!$M257), E$4&lt;&gt;DATE(2025,7,4)), (SWITCH(weekday(E$4), 1, 0, 2, if(ISBLANK('2025'!$P257), 0, 1), 3, if(ISBLANK('2025'!$Q257), 0, 1), 4, if(ISBLANK('2025'!$R257), 0, 1), 5, if(ISBLANK('2025'!$S257), 0, 1), 6, if(ISBLANK('2025'!$T257), 0, 1), 7, 0))), 1, "")</f>
        <v/>
      </c>
      <c r="F259" s="1" t="str">
        <f>IF(AND(AND(AND(F$4&gt;='2025'!$L257,F$4&lt;='2025'!$M257), F$4&lt;&gt;DATE(2025,7,4)), (SWITCH(weekday(F$4), 1, 0, 2, if(ISBLANK('2025'!$P257), 0, 1), 3, if(ISBLANK('2025'!$Q257), 0, 1), 4, if(ISBLANK('2025'!$R257), 0, 1), 5, if(ISBLANK('2025'!$S257), 0, 1), 6, if(ISBLANK('2025'!$T257), 0, 1), 7, 0))), 1, "")</f>
        <v/>
      </c>
      <c r="G259" s="1" t="str">
        <f>IF(AND(AND(AND(G$4&gt;='2025'!$L257,G$4&lt;='2025'!$M257), G$4&lt;&gt;DATE(2025,7,4)), (SWITCH(weekday(G$4), 1, 0, 2, if(ISBLANK('2025'!$P257), 0, 1), 3, if(ISBLANK('2025'!$Q257), 0, 1), 4, if(ISBLANK('2025'!$R257), 0, 1), 5, if(ISBLANK('2025'!$S257), 0, 1), 6, if(ISBLANK('2025'!$T257), 0, 1), 7, 0))), 1, "")</f>
        <v/>
      </c>
      <c r="H259" s="1" t="str">
        <f>IF(AND(AND(AND(H$4&gt;='2025'!$L257,H$4&lt;='2025'!$M257), H$4&lt;&gt;DATE(2025,7,4)), (SWITCH(weekday(H$4), 1, 0, 2, if(ISBLANK('2025'!$P257), 0, 1), 3, if(ISBLANK('2025'!$Q257), 0, 1), 4, if(ISBLANK('2025'!$R257), 0, 1), 5, if(ISBLANK('2025'!$S257), 0, 1), 6, if(ISBLANK('2025'!$T257), 0, 1), 7, 0))), 1, "")</f>
        <v/>
      </c>
      <c r="I259" s="1" t="str">
        <f>IF(AND(AND(AND(I$4&gt;='2025'!$L257,I$4&lt;='2025'!$M257), I$4&lt;&gt;DATE(2025,7,4)), (SWITCH(weekday(I$4), 1, 0, 2, if(ISBLANK('2025'!$P257), 0, 1), 3, if(ISBLANK('2025'!$Q257), 0, 1), 4, if(ISBLANK('2025'!$R257), 0, 1), 5, if(ISBLANK('2025'!$S257), 0, 1), 6, if(ISBLANK('2025'!$T257), 0, 1), 7, 0))), 1, "")</f>
        <v/>
      </c>
      <c r="J259" s="1" t="str">
        <f>IF(AND(AND(AND(J$4&gt;='2025'!$L257,J$4&lt;='2025'!$M257), J$4&lt;&gt;DATE(2025,7,4)), (SWITCH(weekday(J$4), 1, 0, 2, if(ISBLANK('2025'!$P257), 0, 1), 3, if(ISBLANK('2025'!$Q257), 0, 1), 4, if(ISBLANK('2025'!$R257), 0, 1), 5, if(ISBLANK('2025'!$S257), 0, 1), 6, if(ISBLANK('2025'!$T257), 0, 1), 7, 0))), 1, "")</f>
        <v/>
      </c>
      <c r="K259" s="1" t="str">
        <f>IF(AND(AND(AND(K$4&gt;='2025'!$L257,K$4&lt;='2025'!$M257), K$4&lt;&gt;DATE(2025,7,4)), (SWITCH(weekday(K$4), 1, 0, 2, if(ISBLANK('2025'!$P257), 0, 1), 3, if(ISBLANK('2025'!$Q257), 0, 1), 4, if(ISBLANK('2025'!$R257), 0, 1), 5, if(ISBLANK('2025'!$S257), 0, 1), 6, if(ISBLANK('2025'!$T257), 0, 1), 7, 0))), 1, "")</f>
        <v/>
      </c>
      <c r="L259" s="1" t="str">
        <f>IF(AND(AND(AND(L$4&gt;='2025'!$L257,L$4&lt;='2025'!$M257), L$4&lt;&gt;DATE(2025,7,4)), (SWITCH(weekday(L$4), 1, 0, 2, if(ISBLANK('2025'!$P257), 0, 1), 3, if(ISBLANK('2025'!$Q257), 0, 1), 4, if(ISBLANK('2025'!$R257), 0, 1), 5, if(ISBLANK('2025'!$S257), 0, 1), 6, if(ISBLANK('2025'!$T257), 0, 1), 7, 0))), 1, "")</f>
        <v/>
      </c>
      <c r="M259" s="1" t="str">
        <f>IF(AND(AND(AND(M$4&gt;='2025'!$L257,M$4&lt;='2025'!$M257), M$4&lt;&gt;DATE(2025,7,4)), (SWITCH(weekday(M$4), 1, 0, 2, if(ISBLANK('2025'!$P257), 0, 1), 3, if(ISBLANK('2025'!$Q257), 0, 1), 4, if(ISBLANK('2025'!$R257), 0, 1), 5, if(ISBLANK('2025'!$S257), 0, 1), 6, if(ISBLANK('2025'!$T257), 0, 1), 7, 0))), 1, "")</f>
        <v/>
      </c>
      <c r="N259" s="1" t="str">
        <f>IF(AND(AND(AND(N$4&gt;='2025'!$L257,N$4&lt;='2025'!$M257), N$4&lt;&gt;DATE(2025,7,4)), (SWITCH(weekday(N$4), 1, 0, 2, if(ISBLANK('2025'!$P257), 0, 1), 3, if(ISBLANK('2025'!$Q257), 0, 1), 4, if(ISBLANK('2025'!$R257), 0, 1), 5, if(ISBLANK('2025'!$S257), 0, 1), 6, if(ISBLANK('2025'!$T257), 0, 1), 7, 0))), 1, "")</f>
        <v/>
      </c>
      <c r="O259" s="1" t="str">
        <f>IF(AND(AND(AND(O$4&gt;='2025'!$L257,O$4&lt;='2025'!$M257), O$4&lt;&gt;DATE(2025,7,4)), (SWITCH(weekday(O$4), 1, 0, 2, if(ISBLANK('2025'!$P257), 0, 1), 3, if(ISBLANK('2025'!$Q257), 0, 1), 4, if(ISBLANK('2025'!$R257), 0, 1), 5, if(ISBLANK('2025'!$S257), 0, 1), 6, if(ISBLANK('2025'!$T257), 0, 1), 7, 0))), 1, "")</f>
        <v/>
      </c>
      <c r="P259" s="1" t="str">
        <f>IF(AND(AND(AND(P$4&gt;='2025'!$L257,P$4&lt;='2025'!$M257), P$4&lt;&gt;DATE(2025,7,4)), (SWITCH(weekday(P$4), 1, 0, 2, if(ISBLANK('2025'!$P257), 0, 1), 3, if(ISBLANK('2025'!$Q257), 0, 1), 4, if(ISBLANK('2025'!$R257), 0, 1), 5, if(ISBLANK('2025'!$S257), 0, 1), 6, if(ISBLANK('2025'!$T257), 0, 1), 7, 0))), 1, "")</f>
        <v/>
      </c>
      <c r="Q259" s="1" t="str">
        <f>IF(AND(AND(AND(Q$4&gt;='2025'!$L257,Q$4&lt;='2025'!$M257), Q$4&lt;&gt;DATE(2025,7,4)), (SWITCH(weekday(Q$4), 1, 0, 2, if(ISBLANK('2025'!$P257), 0, 1), 3, if(ISBLANK('2025'!$Q257), 0, 1), 4, if(ISBLANK('2025'!$R257), 0, 1), 5, if(ISBLANK('2025'!$S257), 0, 1), 6, if(ISBLANK('2025'!$T257), 0, 1), 7, 0))), 1, "")</f>
        <v/>
      </c>
      <c r="R259" s="1" t="str">
        <f>IF(AND(AND(AND(R$4&gt;='2025'!$L257,R$4&lt;='2025'!$M257), R$4&lt;&gt;DATE(2025,7,4)), (SWITCH(weekday(R$4), 1, 0, 2, if(ISBLANK('2025'!$P257), 0, 1), 3, if(ISBLANK('2025'!$Q257), 0, 1), 4, if(ISBLANK('2025'!$R257), 0, 1), 5, if(ISBLANK('2025'!$S257), 0, 1), 6, if(ISBLANK('2025'!$T257), 0, 1), 7, 0))), 1, "")</f>
        <v/>
      </c>
      <c r="S259" s="1" t="str">
        <f>IF(AND(AND(AND(S$4&gt;='2025'!$L257,S$4&lt;='2025'!$M257), S$4&lt;&gt;DATE(2025,7,4)), (SWITCH(weekday(S$4), 1, 0, 2, if(ISBLANK('2025'!$P257), 0, 1), 3, if(ISBLANK('2025'!$Q257), 0, 1), 4, if(ISBLANK('2025'!$R257), 0, 1), 5, if(ISBLANK('2025'!$S257), 0, 1), 6, if(ISBLANK('2025'!$T257), 0, 1), 7, 0))), 1, "")</f>
        <v/>
      </c>
      <c r="T259" s="1" t="str">
        <f>IF(AND(AND(AND(T$4&gt;='2025'!$L257,T$4&lt;='2025'!$M257), T$4&lt;&gt;DATE(2025,7,4)), (SWITCH(weekday(T$4), 1, 0, 2, if(ISBLANK('2025'!$P257), 0, 1), 3, if(ISBLANK('2025'!$Q257), 0, 1), 4, if(ISBLANK('2025'!$R257), 0, 1), 5, if(ISBLANK('2025'!$S257), 0, 1), 6, if(ISBLANK('2025'!$T257), 0, 1), 7, 0))), 1, "")</f>
        <v/>
      </c>
      <c r="U259" s="1" t="str">
        <f>IF(AND(AND(AND(U$4&gt;='2025'!$L257,U$4&lt;='2025'!$M257), U$4&lt;&gt;DATE(2025,7,4)), (SWITCH(weekday(U$4), 1, 0, 2, if(ISBLANK('2025'!$P257), 0, 1), 3, if(ISBLANK('2025'!$Q257), 0, 1), 4, if(ISBLANK('2025'!$R257), 0, 1), 5, if(ISBLANK('2025'!$S257), 0, 1), 6, if(ISBLANK('2025'!$T257), 0, 1), 7, 0))), 1, "")</f>
        <v/>
      </c>
      <c r="V259" s="1" t="str">
        <f>IF(AND(AND(AND(V$4&gt;='2025'!$L257,V$4&lt;='2025'!$M257), V$4&lt;&gt;DATE(2025,7,4)), (SWITCH(weekday(V$4), 1, 0, 2, if(ISBLANK('2025'!$P257), 0, 1), 3, if(ISBLANK('2025'!$Q257), 0, 1), 4, if(ISBLANK('2025'!$R257), 0, 1), 5, if(ISBLANK('2025'!$S257), 0, 1), 6, if(ISBLANK('2025'!$T257), 0, 1), 7, 0))), 1, "")</f>
        <v/>
      </c>
      <c r="W259" s="1" t="str">
        <f>IF(AND(AND(AND(W$4&gt;='2025'!$L257,W$4&lt;='2025'!$M257), W$4&lt;&gt;DATE(2025,7,4)), (SWITCH(weekday(W$4), 1, 0, 2, if(ISBLANK('2025'!$P257), 0, 1), 3, if(ISBLANK('2025'!$Q257), 0, 1), 4, if(ISBLANK('2025'!$R257), 0, 1), 5, if(ISBLANK('2025'!$S257), 0, 1), 6, if(ISBLANK('2025'!$T257), 0, 1), 7, 0))), 1, "")</f>
        <v/>
      </c>
      <c r="X259" s="1" t="str">
        <f>IF(AND(AND(AND(X$4&gt;='2025'!$L257,X$4&lt;='2025'!$M257), X$4&lt;&gt;DATE(2025,7,4)), (SWITCH(weekday(X$4), 1, 0, 2, if(ISBLANK('2025'!$P257), 0, 1), 3, if(ISBLANK('2025'!$Q257), 0, 1), 4, if(ISBLANK('2025'!$R257), 0, 1), 5, if(ISBLANK('2025'!$S257), 0, 1), 6, if(ISBLANK('2025'!$T257), 0, 1), 7, 0))), 1, "")</f>
        <v/>
      </c>
      <c r="Y259" s="1" t="str">
        <f>IF(AND(AND(AND(Y$4&gt;='2025'!$L257,Y$4&lt;='2025'!$M257), Y$4&lt;&gt;DATE(2025,7,4)), (SWITCH(weekday(Y$4), 1, 0, 2, if(ISBLANK('2025'!$P257), 0, 1), 3, if(ISBLANK('2025'!$Q257), 0, 1), 4, if(ISBLANK('2025'!$R257), 0, 1), 5, if(ISBLANK('2025'!$S257), 0, 1), 6, if(ISBLANK('2025'!$T257), 0, 1), 7, 0))), 1, "")</f>
        <v/>
      </c>
      <c r="Z259" s="1" t="str">
        <f>IF(AND(AND(AND(Z$4&gt;='2025'!$L257,Z$4&lt;='2025'!$M257), Z$4&lt;&gt;DATE(2025,7,4)), (SWITCH(weekday(Z$4), 1, 0, 2, if(ISBLANK('2025'!$P257), 0, 1), 3, if(ISBLANK('2025'!$Q257), 0, 1), 4, if(ISBLANK('2025'!$R257), 0, 1), 5, if(ISBLANK('2025'!$S257), 0, 1), 6, if(ISBLANK('2025'!$T257), 0, 1), 7, 0))), 1, "")</f>
        <v/>
      </c>
      <c r="AA259" s="1" t="str">
        <f>IF(AND(AND(AND(AA$4&gt;='2025'!$L257,AA$4&lt;='2025'!$M257), AA$4&lt;&gt;DATE(2025,7,4)), (SWITCH(weekday(AA$4), 1, 0, 2, if(ISBLANK('2025'!$P257), 0, 1), 3, if(ISBLANK('2025'!$Q257), 0, 1), 4, if(ISBLANK('2025'!$R257), 0, 1), 5, if(ISBLANK('2025'!$S257), 0, 1), 6, if(ISBLANK('2025'!$T257), 0, 1), 7, 0))), 1, "")</f>
        <v/>
      </c>
      <c r="AB259" s="1" t="str">
        <f>IF(AND(AND(AND(AB$4&gt;='2025'!$L257,AB$4&lt;='2025'!$M257), AB$4&lt;&gt;DATE(2025,7,4)), (SWITCH(weekday(AB$4), 1, 0, 2, if(ISBLANK('2025'!$P257), 0, 1), 3, if(ISBLANK('2025'!$Q257), 0, 1), 4, if(ISBLANK('2025'!$R257), 0, 1), 5, if(ISBLANK('2025'!$S257), 0, 1), 6, if(ISBLANK('2025'!$T257), 0, 1), 7, 0))), 1, "")</f>
        <v/>
      </c>
      <c r="AC259" s="1" t="str">
        <f>IF(AND(AND(AND(AC$4&gt;='2025'!$L257,AC$4&lt;='2025'!$M257), AC$4&lt;&gt;DATE(2025,7,4)), (SWITCH(weekday(AC$4), 1, 0, 2, if(ISBLANK('2025'!$P257), 0, 1), 3, if(ISBLANK('2025'!$Q257), 0, 1), 4, if(ISBLANK('2025'!$R257), 0, 1), 5, if(ISBLANK('2025'!$S257), 0, 1), 6, if(ISBLANK('2025'!$T257), 0, 1), 7, 0))), 1, "")</f>
        <v/>
      </c>
      <c r="AD259" s="1" t="str">
        <f>IF(AND(AND(AND(AD$4&gt;='2025'!$L257,AD$4&lt;='2025'!$M257), AD$4&lt;&gt;DATE(2025,7,4)), (SWITCH(weekday(AD$4), 1, 0, 2, if(ISBLANK('2025'!$P257), 0, 1), 3, if(ISBLANK('2025'!$Q257), 0, 1), 4, if(ISBLANK('2025'!$R257), 0, 1), 5, if(ISBLANK('2025'!$S257), 0, 1), 6, if(ISBLANK('2025'!$T257), 0, 1), 7, 0))), 1, "")</f>
        <v/>
      </c>
      <c r="AE259" s="1" t="str">
        <f>IF(AND(AND(AND(AE$4&gt;='2025'!$L257,AE$4&lt;='2025'!$M257), AE$4&lt;&gt;DATE(2025,7,4)), (SWITCH(weekday(AE$4), 1, 0, 2, if(ISBLANK('2025'!$P257), 0, 1), 3, if(ISBLANK('2025'!$Q257), 0, 1), 4, if(ISBLANK('2025'!$R257), 0, 1), 5, if(ISBLANK('2025'!$S257), 0, 1), 6, if(ISBLANK('2025'!$T257), 0, 1), 7, 0))), 1, "")</f>
        <v/>
      </c>
      <c r="AF259" s="1" t="str">
        <f>IF(AND(AND(AND(AF$4&gt;='2025'!$L257,AF$4&lt;='2025'!$M257), AF$4&lt;&gt;DATE(2025,7,4)), (SWITCH(weekday(AF$4), 1, 0, 2, if(ISBLANK('2025'!$P257), 0, 1), 3, if(ISBLANK('2025'!$Q257), 0, 1), 4, if(ISBLANK('2025'!$R257), 0, 1), 5, if(ISBLANK('2025'!$S257), 0, 1), 6, if(ISBLANK('2025'!$T257), 0, 1), 7, 0))), 1, "")</f>
        <v/>
      </c>
      <c r="AG259" s="1" t="str">
        <f>IF(AND(AND(AND(AG$4&gt;='2025'!$L257,AG$4&lt;='2025'!$M257), AG$4&lt;&gt;DATE(2025,7,4)), (SWITCH(weekday(AG$4), 1, 0, 2, if(ISBLANK('2025'!$P257), 0, 1), 3, if(ISBLANK('2025'!$Q257), 0, 1), 4, if(ISBLANK('2025'!$R257), 0, 1), 5, if(ISBLANK('2025'!$S257), 0, 1), 6, if(ISBLANK('2025'!$T257), 0, 1), 7, 0))), 1, "")</f>
        <v/>
      </c>
      <c r="AH259" s="1" t="str">
        <f>IF(AND(AND(AND(AH$4&gt;='2025'!$L257,AH$4&lt;='2025'!$M257), AH$4&lt;&gt;DATE(2025,7,4)), (SWITCH(weekday(AH$4), 1, 0, 2, if(ISBLANK('2025'!$P257), 0, 1), 3, if(ISBLANK('2025'!$Q257), 0, 1), 4, if(ISBLANK('2025'!$R257), 0, 1), 5, if(ISBLANK('2025'!$S257), 0, 1), 6, if(ISBLANK('2025'!$T257), 0, 1), 7, 0))), 1, "")</f>
        <v/>
      </c>
      <c r="AI259" s="1" t="str">
        <f>IF(AND(AND(AND(AI$4&gt;='2025'!$L257,AI$4&lt;='2025'!$M257), AI$4&lt;&gt;DATE(2025,7,4)), (SWITCH(weekday(AI$4), 1, 0, 2, if(ISBLANK('2025'!$P257), 0, 1), 3, if(ISBLANK('2025'!$Q257), 0, 1), 4, if(ISBLANK('2025'!$R257), 0, 1), 5, if(ISBLANK('2025'!$S257), 0, 1), 6, if(ISBLANK('2025'!$T257), 0, 1), 7, 0))), 1, "")</f>
        <v/>
      </c>
      <c r="AJ259" s="1" t="str">
        <f>IF(AND(AND(AND(AJ$4&gt;='2025'!$L257,AJ$4&lt;='2025'!$M257), AJ$4&lt;&gt;DATE(2025,7,4)), (SWITCH(weekday(AJ$4), 1, 0, 2, if(ISBLANK('2025'!$P257), 0, 1), 3, if(ISBLANK('2025'!$Q257), 0, 1), 4, if(ISBLANK('2025'!$R257), 0, 1), 5, if(ISBLANK('2025'!$S257), 0, 1), 6, if(ISBLANK('2025'!$T257), 0, 1), 7, 0))), 1, "")</f>
        <v/>
      </c>
      <c r="AK259" s="1" t="str">
        <f>IF(AND(AND(AND(AK$4&gt;='2025'!$L257,AK$4&lt;='2025'!$M257), AK$4&lt;&gt;DATE(2025,7,4)), (SWITCH(weekday(AK$4), 1, 0, 2, if(ISBLANK('2025'!$P257), 0, 1), 3, if(ISBLANK('2025'!$Q257), 0, 1), 4, if(ISBLANK('2025'!$R257), 0, 1), 5, if(ISBLANK('2025'!$S257), 0, 1), 6, if(ISBLANK('2025'!$T257), 0, 1), 7, 0))), 1, "")</f>
        <v/>
      </c>
      <c r="AL259" s="1" t="str">
        <f>IF(AND(AND(AND(AL$4&gt;='2025'!$L257,AL$4&lt;='2025'!$M257), AL$4&lt;&gt;DATE(2025,7,4)), (SWITCH(weekday(AL$4), 1, 0, 2, if(ISBLANK('2025'!$P257), 0, 1), 3, if(ISBLANK('2025'!$Q257), 0, 1), 4, if(ISBLANK('2025'!$R257), 0, 1), 5, if(ISBLANK('2025'!$S257), 0, 1), 6, if(ISBLANK('2025'!$T257), 0, 1), 7, 0))), 1, "")</f>
        <v/>
      </c>
      <c r="AM259" s="1" t="str">
        <f>IF(AND(AND(AND(AM$4&gt;='2025'!$L257,AM$4&lt;='2025'!$M257), AM$4&lt;&gt;DATE(2025,7,4)), (SWITCH(weekday(AM$4), 1, 0, 2, if(ISBLANK('2025'!$P257), 0, 1), 3, if(ISBLANK('2025'!$Q257), 0, 1), 4, if(ISBLANK('2025'!$R257), 0, 1), 5, if(ISBLANK('2025'!$S257), 0, 1), 6, if(ISBLANK('2025'!$T257), 0, 1), 7, 0))), 1, "")</f>
        <v/>
      </c>
      <c r="AN259" s="1" t="str">
        <f>IF(AND(AND(AND(AN$4&gt;='2025'!$L257,AN$4&lt;='2025'!$M257), AN$4&lt;&gt;DATE(2025,7,4)), (SWITCH(weekday(AN$4), 1, 0, 2, if(ISBLANK('2025'!$P257), 0, 1), 3, if(ISBLANK('2025'!$Q257), 0, 1), 4, if(ISBLANK('2025'!$R257), 0, 1), 5, if(ISBLANK('2025'!$S257), 0, 1), 6, if(ISBLANK('2025'!$T257), 0, 1), 7, 0))), 1, "")</f>
        <v/>
      </c>
      <c r="AO259" s="1" t="str">
        <f>IF(AND(AND(AND(AO$4&gt;='2025'!$L257,AO$4&lt;='2025'!$M257), AO$4&lt;&gt;DATE(2025,7,4)), (SWITCH(weekday(AO$4), 1, 0, 2, if(ISBLANK('2025'!$P257), 0, 1), 3, if(ISBLANK('2025'!$Q257), 0, 1), 4, if(ISBLANK('2025'!$R257), 0, 1), 5, if(ISBLANK('2025'!$S257), 0, 1), 6, if(ISBLANK('2025'!$T257), 0, 1), 7, 0))), 1, "")</f>
        <v/>
      </c>
      <c r="AP259" s="1" t="str">
        <f>IF(AND(AND(AND(AP$4&gt;='2025'!$L257,AP$4&lt;='2025'!$M257), AP$4&lt;&gt;DATE(2025,7,4)), (SWITCH(weekday(AP$4), 1, 0, 2, if(ISBLANK('2025'!$P257), 0, 1), 3, if(ISBLANK('2025'!$Q257), 0, 1), 4, if(ISBLANK('2025'!$R257), 0, 1), 5, if(ISBLANK('2025'!$S257), 0, 1), 6, if(ISBLANK('2025'!$T257), 0, 1), 7, 0))), 1, "")</f>
        <v/>
      </c>
      <c r="AQ259" s="1" t="str">
        <f>IF(AND(AND(AND(AQ$4&gt;='2025'!$L257,AQ$4&lt;='2025'!$M257), AQ$4&lt;&gt;DATE(2025,7,4)), (SWITCH(weekday(AQ$4), 1, 0, 2, if(ISBLANK('2025'!$P257), 0, 1), 3, if(ISBLANK('2025'!$Q257), 0, 1), 4, if(ISBLANK('2025'!$R257), 0, 1), 5, if(ISBLANK('2025'!$S257), 0, 1), 6, if(ISBLANK('2025'!$T257), 0, 1), 7, 0))), 1, "")</f>
        <v/>
      </c>
      <c r="AR259" s="1" t="str">
        <f>IF(AND(AND(AND(AR$4&gt;='2025'!$L257,AR$4&lt;='2025'!$M257), AR$4&lt;&gt;DATE(2025,7,4)), (SWITCH(weekday(AR$4), 1, 0, 2, if(ISBLANK('2025'!$P257), 0, 1), 3, if(ISBLANK('2025'!$Q257), 0, 1), 4, if(ISBLANK('2025'!$R257), 0, 1), 5, if(ISBLANK('2025'!$S257), 0, 1), 6, if(ISBLANK('2025'!$T257), 0, 1), 7, 0))), 1, "")</f>
        <v/>
      </c>
      <c r="AS259" s="1" t="str">
        <f>IF(AND(AND(AND(AS$4&gt;='2025'!$L257,AS$4&lt;='2025'!$M257), AS$4&lt;&gt;DATE(2025,7,4)), (SWITCH(weekday(AS$4), 1, 0, 2, if(ISBLANK('2025'!$P257), 0, 1), 3, if(ISBLANK('2025'!$Q257), 0, 1), 4, if(ISBLANK('2025'!$R257), 0, 1), 5, if(ISBLANK('2025'!$S257), 0, 1), 6, if(ISBLANK('2025'!$T257), 0, 1), 7, 0))), 1, "")</f>
        <v/>
      </c>
      <c r="AT259" s="1" t="str">
        <f>IF(AND(AND(AND(AT$4&gt;='2025'!$L257,AT$4&lt;='2025'!$M257), AT$4&lt;&gt;DATE(2025,7,4)), (SWITCH(weekday(AT$4), 1, 0, 2, if(ISBLANK('2025'!$P257), 0, 1), 3, if(ISBLANK('2025'!$Q257), 0, 1), 4, if(ISBLANK('2025'!$R257), 0, 1), 5, if(ISBLANK('2025'!$S257), 0, 1), 6, if(ISBLANK('2025'!$T257), 0, 1), 7, 0))), 1, "")</f>
        <v/>
      </c>
      <c r="AU259" s="1" t="str">
        <f>IF(AND(AND(AND(AU$4&gt;='2025'!$L257,AU$4&lt;='2025'!$M257), AU$4&lt;&gt;DATE(2025,7,4)), (SWITCH(weekday(AU$4), 1, 0, 2, if(ISBLANK('2025'!$P257), 0, 1), 3, if(ISBLANK('2025'!$Q257), 0, 1), 4, if(ISBLANK('2025'!$R257), 0, 1), 5, if(ISBLANK('2025'!$S257), 0, 1), 6, if(ISBLANK('2025'!$T257), 0, 1), 7, 0))), 1, "")</f>
        <v/>
      </c>
      <c r="AV259" s="1" t="str">
        <f>IF(AND(AND(AND(AV$4&gt;='2025'!$L257,AV$4&lt;='2025'!$M257), AV$4&lt;&gt;DATE(2025,7,4)), (SWITCH(weekday(AV$4), 1, 0, 2, if(ISBLANK('2025'!$P257), 0, 1), 3, if(ISBLANK('2025'!$Q257), 0, 1), 4, if(ISBLANK('2025'!$R257), 0, 1), 5, if(ISBLANK('2025'!$S257), 0, 1), 6, if(ISBLANK('2025'!$T257), 0, 1), 7, 0))), 1, "")</f>
        <v/>
      </c>
      <c r="AW259" s="1" t="str">
        <f>IF(AND(AND(AND(AW$4&gt;='2025'!$L257,AW$4&lt;='2025'!$M257), AW$4&lt;&gt;DATE(2025,7,4)), (SWITCH(weekday(AW$4), 1, 0, 2, if(ISBLANK('2025'!$P257), 0, 1), 3, if(ISBLANK('2025'!$Q257), 0, 1), 4, if(ISBLANK('2025'!$R257), 0, 1), 5, if(ISBLANK('2025'!$S257), 0, 1), 6, if(ISBLANK('2025'!$T257), 0, 1), 7, 0))), 1, "")</f>
        <v/>
      </c>
      <c r="AX259" s="1" t="str">
        <f>IF(AND(AND(AND(AX$4&gt;='2025'!$L257,AX$4&lt;='2025'!$M257), AX$4&lt;&gt;DATE(2025,7,4)), (SWITCH(weekday(AX$4), 1, 0, 2, if(ISBLANK('2025'!$P257), 0, 1), 3, if(ISBLANK('2025'!$Q257), 0, 1), 4, if(ISBLANK('2025'!$R257), 0, 1), 5, if(ISBLANK('2025'!$S257), 0, 1), 6, if(ISBLANK('2025'!$T257), 0, 1), 7, 0))), 1, "")</f>
        <v/>
      </c>
      <c r="AY259" s="1" t="str">
        <f>IF(AND(AND(AND(AY$4&gt;='2025'!$L257,AY$4&lt;='2025'!$M257), AY$4&lt;&gt;DATE(2025,7,4)), (SWITCH(weekday(AY$4), 1, 0, 2, if(ISBLANK('2025'!$P257), 0, 1), 3, if(ISBLANK('2025'!$Q257), 0, 1), 4, if(ISBLANK('2025'!$R257), 0, 1), 5, if(ISBLANK('2025'!$S257), 0, 1), 6, if(ISBLANK('2025'!$T257), 0, 1), 7, 0))), 1, "")</f>
        <v/>
      </c>
      <c r="AZ259" s="1" t="str">
        <f>IF(AND(AND(AND(AZ$4&gt;='2025'!$L257,AZ$4&lt;='2025'!$M257), AZ$4&lt;&gt;DATE(2025,7,4)), (SWITCH(weekday(AZ$4), 1, 0, 2, if(ISBLANK('2025'!$P257), 0, 1), 3, if(ISBLANK('2025'!$Q257), 0, 1), 4, if(ISBLANK('2025'!$R257), 0, 1), 5, if(ISBLANK('2025'!$S257), 0, 1), 6, if(ISBLANK('2025'!$T257), 0, 1), 7, 0))), 1, "")</f>
        <v/>
      </c>
      <c r="BA259" s="1" t="str">
        <f>IF(AND(AND(AND(BA$4&gt;='2025'!$L257,BA$4&lt;='2025'!$M257), BA$4&lt;&gt;DATE(2025,7,4)), (SWITCH(weekday(BA$4), 1, 0, 2, if(ISBLANK('2025'!$P257), 0, 1), 3, if(ISBLANK('2025'!$Q257), 0, 1), 4, if(ISBLANK('2025'!$R257), 0, 1), 5, if(ISBLANK('2025'!$S257), 0, 1), 6, if(ISBLANK('2025'!$T257), 0, 1), 7, 0))), 1, "")</f>
        <v/>
      </c>
      <c r="BB259" s="1" t="str">
        <f>IF(AND(AND(AND(BB$4&gt;='2025'!$L257,BB$4&lt;='2025'!$M257), BB$4&lt;&gt;DATE(2025,7,4)), (SWITCH(weekday(BB$4), 1, 0, 2, if(ISBLANK('2025'!$P257), 0, 1), 3, if(ISBLANK('2025'!$Q257), 0, 1), 4, if(ISBLANK('2025'!$R257), 0, 1), 5, if(ISBLANK('2025'!$S257), 0, 1), 6, if(ISBLANK('2025'!$T257), 0, 1), 7, 0))), 1, "")</f>
        <v/>
      </c>
      <c r="BC259" s="1" t="str">
        <f>IF(AND(AND(AND(BC$4&gt;='2025'!$L257,BC$4&lt;='2025'!$M257), BC$4&lt;&gt;DATE(2025,7,4)), (SWITCH(weekday(BC$4), 1, 0, 2, if(ISBLANK('2025'!$P257), 0, 1), 3, if(ISBLANK('2025'!$Q257), 0, 1), 4, if(ISBLANK('2025'!$R257), 0, 1), 5, if(ISBLANK('2025'!$S257), 0, 1), 6, if(ISBLANK('2025'!$T257), 0, 1), 7, 0))), 1, "")</f>
        <v/>
      </c>
      <c r="BD259" s="1" t="str">
        <f>IF(AND(AND(AND(BD$4&gt;='2025'!$L257,BD$4&lt;='2025'!$M257), BD$4&lt;&gt;DATE(2025,7,4)), (SWITCH(weekday(BD$4), 1, 0, 2, if(ISBLANK('2025'!$P257), 0, 1), 3, if(ISBLANK('2025'!$Q257), 0, 1), 4, if(ISBLANK('2025'!$R257), 0, 1), 5, if(ISBLANK('2025'!$S257), 0, 1), 6, if(ISBLANK('2025'!$T257), 0, 1), 7, 0))), 1, "")</f>
        <v/>
      </c>
      <c r="BE259" s="1" t="str">
        <f>IF(AND(AND(AND(BE$4&gt;='2025'!$L257,BE$4&lt;='2025'!$M257), BE$4&lt;&gt;DATE(2025,7,4)), (SWITCH(weekday(BE$4), 1, 0, 2, if(ISBLANK('2025'!$P257), 0, 1), 3, if(ISBLANK('2025'!$Q257), 0, 1), 4, if(ISBLANK('2025'!$R257), 0, 1), 5, if(ISBLANK('2025'!$S257), 0, 1), 6, if(ISBLANK('2025'!$T257), 0, 1), 7, 0))), 1, "")</f>
        <v/>
      </c>
      <c r="BF259" s="1" t="str">
        <f>IF(AND(AND(AND(BF$4&gt;='2025'!$L257,BF$4&lt;='2025'!$M257), BF$4&lt;&gt;DATE(2025,7,4)), (SWITCH(weekday(BF$4), 1, 0, 2, if(ISBLANK('2025'!$P257), 0, 1), 3, if(ISBLANK('2025'!$Q257), 0, 1), 4, if(ISBLANK('2025'!$R257), 0, 1), 5, if(ISBLANK('2025'!$S257), 0, 1), 6, if(ISBLANK('2025'!$T257), 0, 1), 7, 0))), 1, "")</f>
        <v/>
      </c>
      <c r="BG259" s="1"/>
      <c r="BH259" s="1"/>
      <c r="BI259" s="1"/>
      <c r="BJ259" s="1"/>
      <c r="BK259" s="1"/>
      <c r="BL259" s="1"/>
    </row>
    <row r="260">
      <c r="A260" s="1">
        <f t="shared" si="3"/>
        <v>260</v>
      </c>
      <c r="B260" s="1" t="str">
        <f>'2025'!D224</f>
        <v>, </v>
      </c>
      <c r="C260" s="1" t="str">
        <f>'2025'!H224</f>
        <v/>
      </c>
      <c r="D260" s="1" t="str">
        <f>IF(AND(AND(AND(D$4&gt;='2025'!$L258,D$4&lt;='2025'!$M258), D$4&lt;&gt;DATE(2025,7,4)), (SWITCH(weekday(D$4), 1, 0, 2, if(ISBLANK('2025'!$P258), 0, 1), 3, if(ISBLANK('2025'!$Q258), 0, 1), 4, if(ISBLANK('2025'!$R258), 0, 1), 5, if(ISBLANK('2025'!$S258), 0, 1), 6, if(ISBLANK('2025'!$T258), 0, 1), 7, 0))), 1, "")</f>
        <v/>
      </c>
      <c r="E260" s="1" t="str">
        <f>IF(AND(AND(AND(E$4&gt;='2025'!$L258,E$4&lt;='2025'!$M258), E$4&lt;&gt;DATE(2025,7,4)), (SWITCH(weekday(E$4), 1, 0, 2, if(ISBLANK('2025'!$P258), 0, 1), 3, if(ISBLANK('2025'!$Q258), 0, 1), 4, if(ISBLANK('2025'!$R258), 0, 1), 5, if(ISBLANK('2025'!$S258), 0, 1), 6, if(ISBLANK('2025'!$T258), 0, 1), 7, 0))), 1, "")</f>
        <v/>
      </c>
      <c r="F260" s="1" t="str">
        <f>IF(AND(AND(AND(F$4&gt;='2025'!$L258,F$4&lt;='2025'!$M258), F$4&lt;&gt;DATE(2025,7,4)), (SWITCH(weekday(F$4), 1, 0, 2, if(ISBLANK('2025'!$P258), 0, 1), 3, if(ISBLANK('2025'!$Q258), 0, 1), 4, if(ISBLANK('2025'!$R258), 0, 1), 5, if(ISBLANK('2025'!$S258), 0, 1), 6, if(ISBLANK('2025'!$T258), 0, 1), 7, 0))), 1, "")</f>
        <v/>
      </c>
      <c r="G260" s="1" t="str">
        <f>IF(AND(AND(AND(G$4&gt;='2025'!$L258,G$4&lt;='2025'!$M258), G$4&lt;&gt;DATE(2025,7,4)), (SWITCH(weekday(G$4), 1, 0, 2, if(ISBLANK('2025'!$P258), 0, 1), 3, if(ISBLANK('2025'!$Q258), 0, 1), 4, if(ISBLANK('2025'!$R258), 0, 1), 5, if(ISBLANK('2025'!$S258), 0, 1), 6, if(ISBLANK('2025'!$T258), 0, 1), 7, 0))), 1, "")</f>
        <v/>
      </c>
      <c r="H260" s="1" t="str">
        <f>IF(AND(AND(AND(H$4&gt;='2025'!$L258,H$4&lt;='2025'!$M258), H$4&lt;&gt;DATE(2025,7,4)), (SWITCH(weekday(H$4), 1, 0, 2, if(ISBLANK('2025'!$P258), 0, 1), 3, if(ISBLANK('2025'!$Q258), 0, 1), 4, if(ISBLANK('2025'!$R258), 0, 1), 5, if(ISBLANK('2025'!$S258), 0, 1), 6, if(ISBLANK('2025'!$T258), 0, 1), 7, 0))), 1, "")</f>
        <v/>
      </c>
      <c r="I260" s="1" t="str">
        <f>IF(AND(AND(AND(I$4&gt;='2025'!$L258,I$4&lt;='2025'!$M258), I$4&lt;&gt;DATE(2025,7,4)), (SWITCH(weekday(I$4), 1, 0, 2, if(ISBLANK('2025'!$P258), 0, 1), 3, if(ISBLANK('2025'!$Q258), 0, 1), 4, if(ISBLANK('2025'!$R258), 0, 1), 5, if(ISBLANK('2025'!$S258), 0, 1), 6, if(ISBLANK('2025'!$T258), 0, 1), 7, 0))), 1, "")</f>
        <v/>
      </c>
      <c r="J260" s="1" t="str">
        <f>IF(AND(AND(AND(J$4&gt;='2025'!$L258,J$4&lt;='2025'!$M258), J$4&lt;&gt;DATE(2025,7,4)), (SWITCH(weekday(J$4), 1, 0, 2, if(ISBLANK('2025'!$P258), 0, 1), 3, if(ISBLANK('2025'!$Q258), 0, 1), 4, if(ISBLANK('2025'!$R258), 0, 1), 5, if(ISBLANK('2025'!$S258), 0, 1), 6, if(ISBLANK('2025'!$T258), 0, 1), 7, 0))), 1, "")</f>
        <v/>
      </c>
      <c r="K260" s="1" t="str">
        <f>IF(AND(AND(AND(K$4&gt;='2025'!$L258,K$4&lt;='2025'!$M258), K$4&lt;&gt;DATE(2025,7,4)), (SWITCH(weekday(K$4), 1, 0, 2, if(ISBLANK('2025'!$P258), 0, 1), 3, if(ISBLANK('2025'!$Q258), 0, 1), 4, if(ISBLANK('2025'!$R258), 0, 1), 5, if(ISBLANK('2025'!$S258), 0, 1), 6, if(ISBLANK('2025'!$T258), 0, 1), 7, 0))), 1, "")</f>
        <v/>
      </c>
      <c r="L260" s="1" t="str">
        <f>IF(AND(AND(AND(L$4&gt;='2025'!$L258,L$4&lt;='2025'!$M258), L$4&lt;&gt;DATE(2025,7,4)), (SWITCH(weekday(L$4), 1, 0, 2, if(ISBLANK('2025'!$P258), 0, 1), 3, if(ISBLANK('2025'!$Q258), 0, 1), 4, if(ISBLANK('2025'!$R258), 0, 1), 5, if(ISBLANK('2025'!$S258), 0, 1), 6, if(ISBLANK('2025'!$T258), 0, 1), 7, 0))), 1, "")</f>
        <v/>
      </c>
      <c r="M260" s="1" t="str">
        <f>IF(AND(AND(AND(M$4&gt;='2025'!$L258,M$4&lt;='2025'!$M258), M$4&lt;&gt;DATE(2025,7,4)), (SWITCH(weekday(M$4), 1, 0, 2, if(ISBLANK('2025'!$P258), 0, 1), 3, if(ISBLANK('2025'!$Q258), 0, 1), 4, if(ISBLANK('2025'!$R258), 0, 1), 5, if(ISBLANK('2025'!$S258), 0, 1), 6, if(ISBLANK('2025'!$T258), 0, 1), 7, 0))), 1, "")</f>
        <v/>
      </c>
      <c r="N260" s="1" t="str">
        <f>IF(AND(AND(AND(N$4&gt;='2025'!$L258,N$4&lt;='2025'!$M258), N$4&lt;&gt;DATE(2025,7,4)), (SWITCH(weekday(N$4), 1, 0, 2, if(ISBLANK('2025'!$P258), 0, 1), 3, if(ISBLANK('2025'!$Q258), 0, 1), 4, if(ISBLANK('2025'!$R258), 0, 1), 5, if(ISBLANK('2025'!$S258), 0, 1), 6, if(ISBLANK('2025'!$T258), 0, 1), 7, 0))), 1, "")</f>
        <v/>
      </c>
      <c r="O260" s="1" t="str">
        <f>IF(AND(AND(AND(O$4&gt;='2025'!$L258,O$4&lt;='2025'!$M258), O$4&lt;&gt;DATE(2025,7,4)), (SWITCH(weekday(O$4), 1, 0, 2, if(ISBLANK('2025'!$P258), 0, 1), 3, if(ISBLANK('2025'!$Q258), 0, 1), 4, if(ISBLANK('2025'!$R258), 0, 1), 5, if(ISBLANK('2025'!$S258), 0, 1), 6, if(ISBLANK('2025'!$T258), 0, 1), 7, 0))), 1, "")</f>
        <v/>
      </c>
      <c r="P260" s="1" t="str">
        <f>IF(AND(AND(AND(P$4&gt;='2025'!$L258,P$4&lt;='2025'!$M258), P$4&lt;&gt;DATE(2025,7,4)), (SWITCH(weekday(P$4), 1, 0, 2, if(ISBLANK('2025'!$P258), 0, 1), 3, if(ISBLANK('2025'!$Q258), 0, 1), 4, if(ISBLANK('2025'!$R258), 0, 1), 5, if(ISBLANK('2025'!$S258), 0, 1), 6, if(ISBLANK('2025'!$T258), 0, 1), 7, 0))), 1, "")</f>
        <v/>
      </c>
      <c r="Q260" s="1" t="str">
        <f>IF(AND(AND(AND(Q$4&gt;='2025'!$L258,Q$4&lt;='2025'!$M258), Q$4&lt;&gt;DATE(2025,7,4)), (SWITCH(weekday(Q$4), 1, 0, 2, if(ISBLANK('2025'!$P258), 0, 1), 3, if(ISBLANK('2025'!$Q258), 0, 1), 4, if(ISBLANK('2025'!$R258), 0, 1), 5, if(ISBLANK('2025'!$S258), 0, 1), 6, if(ISBLANK('2025'!$T258), 0, 1), 7, 0))), 1, "")</f>
        <v/>
      </c>
      <c r="R260" s="1" t="str">
        <f>IF(AND(AND(AND(R$4&gt;='2025'!$L258,R$4&lt;='2025'!$M258), R$4&lt;&gt;DATE(2025,7,4)), (SWITCH(weekday(R$4), 1, 0, 2, if(ISBLANK('2025'!$P258), 0, 1), 3, if(ISBLANK('2025'!$Q258), 0, 1), 4, if(ISBLANK('2025'!$R258), 0, 1), 5, if(ISBLANK('2025'!$S258), 0, 1), 6, if(ISBLANK('2025'!$T258), 0, 1), 7, 0))), 1, "")</f>
        <v/>
      </c>
      <c r="S260" s="1" t="str">
        <f>IF(AND(AND(AND(S$4&gt;='2025'!$L258,S$4&lt;='2025'!$M258), S$4&lt;&gt;DATE(2025,7,4)), (SWITCH(weekday(S$4), 1, 0, 2, if(ISBLANK('2025'!$P258), 0, 1), 3, if(ISBLANK('2025'!$Q258), 0, 1), 4, if(ISBLANK('2025'!$R258), 0, 1), 5, if(ISBLANK('2025'!$S258), 0, 1), 6, if(ISBLANK('2025'!$T258), 0, 1), 7, 0))), 1, "")</f>
        <v/>
      </c>
      <c r="T260" s="1" t="str">
        <f>IF(AND(AND(AND(T$4&gt;='2025'!$L258,T$4&lt;='2025'!$M258), T$4&lt;&gt;DATE(2025,7,4)), (SWITCH(weekday(T$4), 1, 0, 2, if(ISBLANK('2025'!$P258), 0, 1), 3, if(ISBLANK('2025'!$Q258), 0, 1), 4, if(ISBLANK('2025'!$R258), 0, 1), 5, if(ISBLANK('2025'!$S258), 0, 1), 6, if(ISBLANK('2025'!$T258), 0, 1), 7, 0))), 1, "")</f>
        <v/>
      </c>
      <c r="U260" s="1" t="str">
        <f>IF(AND(AND(AND(U$4&gt;='2025'!$L258,U$4&lt;='2025'!$M258), U$4&lt;&gt;DATE(2025,7,4)), (SWITCH(weekday(U$4), 1, 0, 2, if(ISBLANK('2025'!$P258), 0, 1), 3, if(ISBLANK('2025'!$Q258), 0, 1), 4, if(ISBLANK('2025'!$R258), 0, 1), 5, if(ISBLANK('2025'!$S258), 0, 1), 6, if(ISBLANK('2025'!$T258), 0, 1), 7, 0))), 1, "")</f>
        <v/>
      </c>
      <c r="V260" s="1" t="str">
        <f>IF(AND(AND(AND(V$4&gt;='2025'!$L258,V$4&lt;='2025'!$M258), V$4&lt;&gt;DATE(2025,7,4)), (SWITCH(weekday(V$4), 1, 0, 2, if(ISBLANK('2025'!$P258), 0, 1), 3, if(ISBLANK('2025'!$Q258), 0, 1), 4, if(ISBLANK('2025'!$R258), 0, 1), 5, if(ISBLANK('2025'!$S258), 0, 1), 6, if(ISBLANK('2025'!$T258), 0, 1), 7, 0))), 1, "")</f>
        <v/>
      </c>
      <c r="W260" s="1" t="str">
        <f>IF(AND(AND(AND(W$4&gt;='2025'!$L258,W$4&lt;='2025'!$M258), W$4&lt;&gt;DATE(2025,7,4)), (SWITCH(weekday(W$4), 1, 0, 2, if(ISBLANK('2025'!$P258), 0, 1), 3, if(ISBLANK('2025'!$Q258), 0, 1), 4, if(ISBLANK('2025'!$R258), 0, 1), 5, if(ISBLANK('2025'!$S258), 0, 1), 6, if(ISBLANK('2025'!$T258), 0, 1), 7, 0))), 1, "")</f>
        <v/>
      </c>
      <c r="X260" s="1" t="str">
        <f>IF(AND(AND(AND(X$4&gt;='2025'!$L258,X$4&lt;='2025'!$M258), X$4&lt;&gt;DATE(2025,7,4)), (SWITCH(weekday(X$4), 1, 0, 2, if(ISBLANK('2025'!$P258), 0, 1), 3, if(ISBLANK('2025'!$Q258), 0, 1), 4, if(ISBLANK('2025'!$R258), 0, 1), 5, if(ISBLANK('2025'!$S258), 0, 1), 6, if(ISBLANK('2025'!$T258), 0, 1), 7, 0))), 1, "")</f>
        <v/>
      </c>
      <c r="Y260" s="1" t="str">
        <f>IF(AND(AND(AND(Y$4&gt;='2025'!$L258,Y$4&lt;='2025'!$M258), Y$4&lt;&gt;DATE(2025,7,4)), (SWITCH(weekday(Y$4), 1, 0, 2, if(ISBLANK('2025'!$P258), 0, 1), 3, if(ISBLANK('2025'!$Q258), 0, 1), 4, if(ISBLANK('2025'!$R258), 0, 1), 5, if(ISBLANK('2025'!$S258), 0, 1), 6, if(ISBLANK('2025'!$T258), 0, 1), 7, 0))), 1, "")</f>
        <v/>
      </c>
      <c r="Z260" s="1" t="str">
        <f>IF(AND(AND(AND(Z$4&gt;='2025'!$L258,Z$4&lt;='2025'!$M258), Z$4&lt;&gt;DATE(2025,7,4)), (SWITCH(weekday(Z$4), 1, 0, 2, if(ISBLANK('2025'!$P258), 0, 1), 3, if(ISBLANK('2025'!$Q258), 0, 1), 4, if(ISBLANK('2025'!$R258), 0, 1), 5, if(ISBLANK('2025'!$S258), 0, 1), 6, if(ISBLANK('2025'!$T258), 0, 1), 7, 0))), 1, "")</f>
        <v/>
      </c>
      <c r="AA260" s="1" t="str">
        <f>IF(AND(AND(AND(AA$4&gt;='2025'!$L258,AA$4&lt;='2025'!$M258), AA$4&lt;&gt;DATE(2025,7,4)), (SWITCH(weekday(AA$4), 1, 0, 2, if(ISBLANK('2025'!$P258), 0, 1), 3, if(ISBLANK('2025'!$Q258), 0, 1), 4, if(ISBLANK('2025'!$R258), 0, 1), 5, if(ISBLANK('2025'!$S258), 0, 1), 6, if(ISBLANK('2025'!$T258), 0, 1), 7, 0))), 1, "")</f>
        <v/>
      </c>
      <c r="AB260" s="1" t="str">
        <f>IF(AND(AND(AND(AB$4&gt;='2025'!$L258,AB$4&lt;='2025'!$M258), AB$4&lt;&gt;DATE(2025,7,4)), (SWITCH(weekday(AB$4), 1, 0, 2, if(ISBLANK('2025'!$P258), 0, 1), 3, if(ISBLANK('2025'!$Q258), 0, 1), 4, if(ISBLANK('2025'!$R258), 0, 1), 5, if(ISBLANK('2025'!$S258), 0, 1), 6, if(ISBLANK('2025'!$T258), 0, 1), 7, 0))), 1, "")</f>
        <v/>
      </c>
      <c r="AC260" s="1" t="str">
        <f>IF(AND(AND(AND(AC$4&gt;='2025'!$L258,AC$4&lt;='2025'!$M258), AC$4&lt;&gt;DATE(2025,7,4)), (SWITCH(weekday(AC$4), 1, 0, 2, if(ISBLANK('2025'!$P258), 0, 1), 3, if(ISBLANK('2025'!$Q258), 0, 1), 4, if(ISBLANK('2025'!$R258), 0, 1), 5, if(ISBLANK('2025'!$S258), 0, 1), 6, if(ISBLANK('2025'!$T258), 0, 1), 7, 0))), 1, "")</f>
        <v/>
      </c>
      <c r="AD260" s="1" t="str">
        <f>IF(AND(AND(AND(AD$4&gt;='2025'!$L258,AD$4&lt;='2025'!$M258), AD$4&lt;&gt;DATE(2025,7,4)), (SWITCH(weekday(AD$4), 1, 0, 2, if(ISBLANK('2025'!$P258), 0, 1), 3, if(ISBLANK('2025'!$Q258), 0, 1), 4, if(ISBLANK('2025'!$R258), 0, 1), 5, if(ISBLANK('2025'!$S258), 0, 1), 6, if(ISBLANK('2025'!$T258), 0, 1), 7, 0))), 1, "")</f>
        <v/>
      </c>
      <c r="AE260" s="1" t="str">
        <f>IF(AND(AND(AND(AE$4&gt;='2025'!$L258,AE$4&lt;='2025'!$M258), AE$4&lt;&gt;DATE(2025,7,4)), (SWITCH(weekday(AE$4), 1, 0, 2, if(ISBLANK('2025'!$P258), 0, 1), 3, if(ISBLANK('2025'!$Q258), 0, 1), 4, if(ISBLANK('2025'!$R258), 0, 1), 5, if(ISBLANK('2025'!$S258), 0, 1), 6, if(ISBLANK('2025'!$T258), 0, 1), 7, 0))), 1, "")</f>
        <v/>
      </c>
      <c r="AF260" s="1" t="str">
        <f>IF(AND(AND(AND(AF$4&gt;='2025'!$L258,AF$4&lt;='2025'!$M258), AF$4&lt;&gt;DATE(2025,7,4)), (SWITCH(weekday(AF$4), 1, 0, 2, if(ISBLANK('2025'!$P258), 0, 1), 3, if(ISBLANK('2025'!$Q258), 0, 1), 4, if(ISBLANK('2025'!$R258), 0, 1), 5, if(ISBLANK('2025'!$S258), 0, 1), 6, if(ISBLANK('2025'!$T258), 0, 1), 7, 0))), 1, "")</f>
        <v/>
      </c>
      <c r="AG260" s="1" t="str">
        <f>IF(AND(AND(AND(AG$4&gt;='2025'!$L258,AG$4&lt;='2025'!$M258), AG$4&lt;&gt;DATE(2025,7,4)), (SWITCH(weekday(AG$4), 1, 0, 2, if(ISBLANK('2025'!$P258), 0, 1), 3, if(ISBLANK('2025'!$Q258), 0, 1), 4, if(ISBLANK('2025'!$R258), 0, 1), 5, if(ISBLANK('2025'!$S258), 0, 1), 6, if(ISBLANK('2025'!$T258), 0, 1), 7, 0))), 1, "")</f>
        <v/>
      </c>
      <c r="AH260" s="1" t="str">
        <f>IF(AND(AND(AND(AH$4&gt;='2025'!$L258,AH$4&lt;='2025'!$M258), AH$4&lt;&gt;DATE(2025,7,4)), (SWITCH(weekday(AH$4), 1, 0, 2, if(ISBLANK('2025'!$P258), 0, 1), 3, if(ISBLANK('2025'!$Q258), 0, 1), 4, if(ISBLANK('2025'!$R258), 0, 1), 5, if(ISBLANK('2025'!$S258), 0, 1), 6, if(ISBLANK('2025'!$T258), 0, 1), 7, 0))), 1, "")</f>
        <v/>
      </c>
      <c r="AI260" s="1" t="str">
        <f>IF(AND(AND(AND(AI$4&gt;='2025'!$L258,AI$4&lt;='2025'!$M258), AI$4&lt;&gt;DATE(2025,7,4)), (SWITCH(weekday(AI$4), 1, 0, 2, if(ISBLANK('2025'!$P258), 0, 1), 3, if(ISBLANK('2025'!$Q258), 0, 1), 4, if(ISBLANK('2025'!$R258), 0, 1), 5, if(ISBLANK('2025'!$S258), 0, 1), 6, if(ISBLANK('2025'!$T258), 0, 1), 7, 0))), 1, "")</f>
        <v/>
      </c>
      <c r="AJ260" s="1" t="str">
        <f>IF(AND(AND(AND(AJ$4&gt;='2025'!$L258,AJ$4&lt;='2025'!$M258), AJ$4&lt;&gt;DATE(2025,7,4)), (SWITCH(weekday(AJ$4), 1, 0, 2, if(ISBLANK('2025'!$P258), 0, 1), 3, if(ISBLANK('2025'!$Q258), 0, 1), 4, if(ISBLANK('2025'!$R258), 0, 1), 5, if(ISBLANK('2025'!$S258), 0, 1), 6, if(ISBLANK('2025'!$T258), 0, 1), 7, 0))), 1, "")</f>
        <v/>
      </c>
      <c r="AK260" s="1" t="str">
        <f>IF(AND(AND(AND(AK$4&gt;='2025'!$L258,AK$4&lt;='2025'!$M258), AK$4&lt;&gt;DATE(2025,7,4)), (SWITCH(weekday(AK$4), 1, 0, 2, if(ISBLANK('2025'!$P258), 0, 1), 3, if(ISBLANK('2025'!$Q258), 0, 1), 4, if(ISBLANK('2025'!$R258), 0, 1), 5, if(ISBLANK('2025'!$S258), 0, 1), 6, if(ISBLANK('2025'!$T258), 0, 1), 7, 0))), 1, "")</f>
        <v/>
      </c>
      <c r="AL260" s="1" t="str">
        <f>IF(AND(AND(AND(AL$4&gt;='2025'!$L258,AL$4&lt;='2025'!$M258), AL$4&lt;&gt;DATE(2025,7,4)), (SWITCH(weekday(AL$4), 1, 0, 2, if(ISBLANK('2025'!$P258), 0, 1), 3, if(ISBLANK('2025'!$Q258), 0, 1), 4, if(ISBLANK('2025'!$R258), 0, 1), 5, if(ISBLANK('2025'!$S258), 0, 1), 6, if(ISBLANK('2025'!$T258), 0, 1), 7, 0))), 1, "")</f>
        <v/>
      </c>
      <c r="AM260" s="1" t="str">
        <f>IF(AND(AND(AND(AM$4&gt;='2025'!$L258,AM$4&lt;='2025'!$M258), AM$4&lt;&gt;DATE(2025,7,4)), (SWITCH(weekday(AM$4), 1, 0, 2, if(ISBLANK('2025'!$P258), 0, 1), 3, if(ISBLANK('2025'!$Q258), 0, 1), 4, if(ISBLANK('2025'!$R258), 0, 1), 5, if(ISBLANK('2025'!$S258), 0, 1), 6, if(ISBLANK('2025'!$T258), 0, 1), 7, 0))), 1, "")</f>
        <v/>
      </c>
      <c r="AN260" s="1" t="str">
        <f>IF(AND(AND(AND(AN$4&gt;='2025'!$L258,AN$4&lt;='2025'!$M258), AN$4&lt;&gt;DATE(2025,7,4)), (SWITCH(weekday(AN$4), 1, 0, 2, if(ISBLANK('2025'!$P258), 0, 1), 3, if(ISBLANK('2025'!$Q258), 0, 1), 4, if(ISBLANK('2025'!$R258), 0, 1), 5, if(ISBLANK('2025'!$S258), 0, 1), 6, if(ISBLANK('2025'!$T258), 0, 1), 7, 0))), 1, "")</f>
        <v/>
      </c>
      <c r="AO260" s="1" t="str">
        <f>IF(AND(AND(AND(AO$4&gt;='2025'!$L258,AO$4&lt;='2025'!$M258), AO$4&lt;&gt;DATE(2025,7,4)), (SWITCH(weekday(AO$4), 1, 0, 2, if(ISBLANK('2025'!$P258), 0, 1), 3, if(ISBLANK('2025'!$Q258), 0, 1), 4, if(ISBLANK('2025'!$R258), 0, 1), 5, if(ISBLANK('2025'!$S258), 0, 1), 6, if(ISBLANK('2025'!$T258), 0, 1), 7, 0))), 1, "")</f>
        <v/>
      </c>
      <c r="AP260" s="1" t="str">
        <f>IF(AND(AND(AND(AP$4&gt;='2025'!$L258,AP$4&lt;='2025'!$M258), AP$4&lt;&gt;DATE(2025,7,4)), (SWITCH(weekday(AP$4), 1, 0, 2, if(ISBLANK('2025'!$P258), 0, 1), 3, if(ISBLANK('2025'!$Q258), 0, 1), 4, if(ISBLANK('2025'!$R258), 0, 1), 5, if(ISBLANK('2025'!$S258), 0, 1), 6, if(ISBLANK('2025'!$T258), 0, 1), 7, 0))), 1, "")</f>
        <v/>
      </c>
      <c r="AQ260" s="1" t="str">
        <f>IF(AND(AND(AND(AQ$4&gt;='2025'!$L258,AQ$4&lt;='2025'!$M258), AQ$4&lt;&gt;DATE(2025,7,4)), (SWITCH(weekday(AQ$4), 1, 0, 2, if(ISBLANK('2025'!$P258), 0, 1), 3, if(ISBLANK('2025'!$Q258), 0, 1), 4, if(ISBLANK('2025'!$R258), 0, 1), 5, if(ISBLANK('2025'!$S258), 0, 1), 6, if(ISBLANK('2025'!$T258), 0, 1), 7, 0))), 1, "")</f>
        <v/>
      </c>
      <c r="AR260" s="1" t="str">
        <f>IF(AND(AND(AND(AR$4&gt;='2025'!$L258,AR$4&lt;='2025'!$M258), AR$4&lt;&gt;DATE(2025,7,4)), (SWITCH(weekday(AR$4), 1, 0, 2, if(ISBLANK('2025'!$P258), 0, 1), 3, if(ISBLANK('2025'!$Q258), 0, 1), 4, if(ISBLANK('2025'!$R258), 0, 1), 5, if(ISBLANK('2025'!$S258), 0, 1), 6, if(ISBLANK('2025'!$T258), 0, 1), 7, 0))), 1, "")</f>
        <v/>
      </c>
      <c r="AS260" s="1" t="str">
        <f>IF(AND(AND(AND(AS$4&gt;='2025'!$L258,AS$4&lt;='2025'!$M258), AS$4&lt;&gt;DATE(2025,7,4)), (SWITCH(weekday(AS$4), 1, 0, 2, if(ISBLANK('2025'!$P258), 0, 1), 3, if(ISBLANK('2025'!$Q258), 0, 1), 4, if(ISBLANK('2025'!$R258), 0, 1), 5, if(ISBLANK('2025'!$S258), 0, 1), 6, if(ISBLANK('2025'!$T258), 0, 1), 7, 0))), 1, "")</f>
        <v/>
      </c>
      <c r="AT260" s="1" t="str">
        <f>IF(AND(AND(AND(AT$4&gt;='2025'!$L258,AT$4&lt;='2025'!$M258), AT$4&lt;&gt;DATE(2025,7,4)), (SWITCH(weekday(AT$4), 1, 0, 2, if(ISBLANK('2025'!$P258), 0, 1), 3, if(ISBLANK('2025'!$Q258), 0, 1), 4, if(ISBLANK('2025'!$R258), 0, 1), 5, if(ISBLANK('2025'!$S258), 0, 1), 6, if(ISBLANK('2025'!$T258), 0, 1), 7, 0))), 1, "")</f>
        <v/>
      </c>
      <c r="AU260" s="1" t="str">
        <f>IF(AND(AND(AND(AU$4&gt;='2025'!$L258,AU$4&lt;='2025'!$M258), AU$4&lt;&gt;DATE(2025,7,4)), (SWITCH(weekday(AU$4), 1, 0, 2, if(ISBLANK('2025'!$P258), 0, 1), 3, if(ISBLANK('2025'!$Q258), 0, 1), 4, if(ISBLANK('2025'!$R258), 0, 1), 5, if(ISBLANK('2025'!$S258), 0, 1), 6, if(ISBLANK('2025'!$T258), 0, 1), 7, 0))), 1, "")</f>
        <v/>
      </c>
      <c r="AV260" s="1" t="str">
        <f>IF(AND(AND(AND(AV$4&gt;='2025'!$L258,AV$4&lt;='2025'!$M258), AV$4&lt;&gt;DATE(2025,7,4)), (SWITCH(weekday(AV$4), 1, 0, 2, if(ISBLANK('2025'!$P258), 0, 1), 3, if(ISBLANK('2025'!$Q258), 0, 1), 4, if(ISBLANK('2025'!$R258), 0, 1), 5, if(ISBLANK('2025'!$S258), 0, 1), 6, if(ISBLANK('2025'!$T258), 0, 1), 7, 0))), 1, "")</f>
        <v/>
      </c>
      <c r="AW260" s="1" t="str">
        <f>IF(AND(AND(AND(AW$4&gt;='2025'!$L258,AW$4&lt;='2025'!$M258), AW$4&lt;&gt;DATE(2025,7,4)), (SWITCH(weekday(AW$4), 1, 0, 2, if(ISBLANK('2025'!$P258), 0, 1), 3, if(ISBLANK('2025'!$Q258), 0, 1), 4, if(ISBLANK('2025'!$R258), 0, 1), 5, if(ISBLANK('2025'!$S258), 0, 1), 6, if(ISBLANK('2025'!$T258), 0, 1), 7, 0))), 1, "")</f>
        <v/>
      </c>
      <c r="AX260" s="1" t="str">
        <f>IF(AND(AND(AND(AX$4&gt;='2025'!$L258,AX$4&lt;='2025'!$M258), AX$4&lt;&gt;DATE(2025,7,4)), (SWITCH(weekday(AX$4), 1, 0, 2, if(ISBLANK('2025'!$P258), 0, 1), 3, if(ISBLANK('2025'!$Q258), 0, 1), 4, if(ISBLANK('2025'!$R258), 0, 1), 5, if(ISBLANK('2025'!$S258), 0, 1), 6, if(ISBLANK('2025'!$T258), 0, 1), 7, 0))), 1, "")</f>
        <v/>
      </c>
      <c r="AY260" s="1" t="str">
        <f>IF(AND(AND(AND(AY$4&gt;='2025'!$L258,AY$4&lt;='2025'!$M258), AY$4&lt;&gt;DATE(2025,7,4)), (SWITCH(weekday(AY$4), 1, 0, 2, if(ISBLANK('2025'!$P258), 0, 1), 3, if(ISBLANK('2025'!$Q258), 0, 1), 4, if(ISBLANK('2025'!$R258), 0, 1), 5, if(ISBLANK('2025'!$S258), 0, 1), 6, if(ISBLANK('2025'!$T258), 0, 1), 7, 0))), 1, "")</f>
        <v/>
      </c>
      <c r="AZ260" s="1" t="str">
        <f>IF(AND(AND(AND(AZ$4&gt;='2025'!$L258,AZ$4&lt;='2025'!$M258), AZ$4&lt;&gt;DATE(2025,7,4)), (SWITCH(weekday(AZ$4), 1, 0, 2, if(ISBLANK('2025'!$P258), 0, 1), 3, if(ISBLANK('2025'!$Q258), 0, 1), 4, if(ISBLANK('2025'!$R258), 0, 1), 5, if(ISBLANK('2025'!$S258), 0, 1), 6, if(ISBLANK('2025'!$T258), 0, 1), 7, 0))), 1, "")</f>
        <v/>
      </c>
      <c r="BA260" s="1" t="str">
        <f>IF(AND(AND(AND(BA$4&gt;='2025'!$L258,BA$4&lt;='2025'!$M258), BA$4&lt;&gt;DATE(2025,7,4)), (SWITCH(weekday(BA$4), 1, 0, 2, if(ISBLANK('2025'!$P258), 0, 1), 3, if(ISBLANK('2025'!$Q258), 0, 1), 4, if(ISBLANK('2025'!$R258), 0, 1), 5, if(ISBLANK('2025'!$S258), 0, 1), 6, if(ISBLANK('2025'!$T258), 0, 1), 7, 0))), 1, "")</f>
        <v/>
      </c>
      <c r="BB260" s="1" t="str">
        <f>IF(AND(AND(AND(BB$4&gt;='2025'!$L258,BB$4&lt;='2025'!$M258), BB$4&lt;&gt;DATE(2025,7,4)), (SWITCH(weekday(BB$4), 1, 0, 2, if(ISBLANK('2025'!$P258), 0, 1), 3, if(ISBLANK('2025'!$Q258), 0, 1), 4, if(ISBLANK('2025'!$R258), 0, 1), 5, if(ISBLANK('2025'!$S258), 0, 1), 6, if(ISBLANK('2025'!$T258), 0, 1), 7, 0))), 1, "")</f>
        <v/>
      </c>
      <c r="BC260" s="1" t="str">
        <f>IF(AND(AND(AND(BC$4&gt;='2025'!$L258,BC$4&lt;='2025'!$M258), BC$4&lt;&gt;DATE(2025,7,4)), (SWITCH(weekday(BC$4), 1, 0, 2, if(ISBLANK('2025'!$P258), 0, 1), 3, if(ISBLANK('2025'!$Q258), 0, 1), 4, if(ISBLANK('2025'!$R258), 0, 1), 5, if(ISBLANK('2025'!$S258), 0, 1), 6, if(ISBLANK('2025'!$T258), 0, 1), 7, 0))), 1, "")</f>
        <v/>
      </c>
      <c r="BD260" s="1" t="str">
        <f>IF(AND(AND(AND(BD$4&gt;='2025'!$L258,BD$4&lt;='2025'!$M258), BD$4&lt;&gt;DATE(2025,7,4)), (SWITCH(weekday(BD$4), 1, 0, 2, if(ISBLANK('2025'!$P258), 0, 1), 3, if(ISBLANK('2025'!$Q258), 0, 1), 4, if(ISBLANK('2025'!$R258), 0, 1), 5, if(ISBLANK('2025'!$S258), 0, 1), 6, if(ISBLANK('2025'!$T258), 0, 1), 7, 0))), 1, "")</f>
        <v/>
      </c>
      <c r="BE260" s="1" t="str">
        <f>IF(AND(AND(AND(BE$4&gt;='2025'!$L258,BE$4&lt;='2025'!$M258), BE$4&lt;&gt;DATE(2025,7,4)), (SWITCH(weekday(BE$4), 1, 0, 2, if(ISBLANK('2025'!$P258), 0, 1), 3, if(ISBLANK('2025'!$Q258), 0, 1), 4, if(ISBLANK('2025'!$R258), 0, 1), 5, if(ISBLANK('2025'!$S258), 0, 1), 6, if(ISBLANK('2025'!$T258), 0, 1), 7, 0))), 1, "")</f>
        <v/>
      </c>
      <c r="BF260" s="1" t="str">
        <f>IF(AND(AND(AND(BF$4&gt;='2025'!$L258,BF$4&lt;='2025'!$M258), BF$4&lt;&gt;DATE(2025,7,4)), (SWITCH(weekday(BF$4), 1, 0, 2, if(ISBLANK('2025'!$P258), 0, 1), 3, if(ISBLANK('2025'!$Q258), 0, 1), 4, if(ISBLANK('2025'!$R258), 0, 1), 5, if(ISBLANK('2025'!$S258), 0, 1), 6, if(ISBLANK('2025'!$T258), 0, 1), 7, 0))), 1, "")</f>
        <v/>
      </c>
      <c r="BG260" s="1"/>
      <c r="BH260" s="1"/>
      <c r="BI260" s="1"/>
      <c r="BJ260" s="1"/>
      <c r="BK260" s="1"/>
      <c r="BL260" s="1"/>
    </row>
    <row r="261">
      <c r="A261" s="1">
        <f t="shared" si="3"/>
        <v>261</v>
      </c>
      <c r="B261" s="1" t="str">
        <f>'2025'!D225</f>
        <v>, </v>
      </c>
      <c r="C261" s="1" t="str">
        <f>'2025'!H225</f>
        <v/>
      </c>
      <c r="D261" s="1" t="str">
        <f>IF(AND(AND(AND(D$4&gt;='2025'!$L259,D$4&lt;='2025'!$M259), D$4&lt;&gt;DATE(2025,7,4)), (SWITCH(weekday(D$4), 1, 0, 2, if(ISBLANK('2025'!$P259), 0, 1), 3, if(ISBLANK('2025'!$Q259), 0, 1), 4, if(ISBLANK('2025'!$R259), 0, 1), 5, if(ISBLANK('2025'!$S259), 0, 1), 6, if(ISBLANK('2025'!$T259), 0, 1), 7, 0))), 1, "")</f>
        <v/>
      </c>
      <c r="E261" s="1" t="str">
        <f>IF(AND(AND(AND(E$4&gt;='2025'!$L259,E$4&lt;='2025'!$M259), E$4&lt;&gt;DATE(2025,7,4)), (SWITCH(weekday(E$4), 1, 0, 2, if(ISBLANK('2025'!$P259), 0, 1), 3, if(ISBLANK('2025'!$Q259), 0, 1), 4, if(ISBLANK('2025'!$R259), 0, 1), 5, if(ISBLANK('2025'!$S259), 0, 1), 6, if(ISBLANK('2025'!$T259), 0, 1), 7, 0))), 1, "")</f>
        <v/>
      </c>
      <c r="F261" s="1" t="str">
        <f>IF(AND(AND(AND(F$4&gt;='2025'!$L259,F$4&lt;='2025'!$M259), F$4&lt;&gt;DATE(2025,7,4)), (SWITCH(weekday(F$4), 1, 0, 2, if(ISBLANK('2025'!$P259), 0, 1), 3, if(ISBLANK('2025'!$Q259), 0, 1), 4, if(ISBLANK('2025'!$R259), 0, 1), 5, if(ISBLANK('2025'!$S259), 0, 1), 6, if(ISBLANK('2025'!$T259), 0, 1), 7, 0))), 1, "")</f>
        <v/>
      </c>
      <c r="G261" s="1" t="str">
        <f>IF(AND(AND(AND(G$4&gt;='2025'!$L259,G$4&lt;='2025'!$M259), G$4&lt;&gt;DATE(2025,7,4)), (SWITCH(weekday(G$4), 1, 0, 2, if(ISBLANK('2025'!$P259), 0, 1), 3, if(ISBLANK('2025'!$Q259), 0, 1), 4, if(ISBLANK('2025'!$R259), 0, 1), 5, if(ISBLANK('2025'!$S259), 0, 1), 6, if(ISBLANK('2025'!$T259), 0, 1), 7, 0))), 1, "")</f>
        <v/>
      </c>
      <c r="H261" s="1" t="str">
        <f>IF(AND(AND(AND(H$4&gt;='2025'!$L259,H$4&lt;='2025'!$M259), H$4&lt;&gt;DATE(2025,7,4)), (SWITCH(weekday(H$4), 1, 0, 2, if(ISBLANK('2025'!$P259), 0, 1), 3, if(ISBLANK('2025'!$Q259), 0, 1), 4, if(ISBLANK('2025'!$R259), 0, 1), 5, if(ISBLANK('2025'!$S259), 0, 1), 6, if(ISBLANK('2025'!$T259), 0, 1), 7, 0))), 1, "")</f>
        <v/>
      </c>
      <c r="I261" s="1" t="str">
        <f>IF(AND(AND(AND(I$4&gt;='2025'!$L259,I$4&lt;='2025'!$M259), I$4&lt;&gt;DATE(2025,7,4)), (SWITCH(weekday(I$4), 1, 0, 2, if(ISBLANK('2025'!$P259), 0, 1), 3, if(ISBLANK('2025'!$Q259), 0, 1), 4, if(ISBLANK('2025'!$R259), 0, 1), 5, if(ISBLANK('2025'!$S259), 0, 1), 6, if(ISBLANK('2025'!$T259), 0, 1), 7, 0))), 1, "")</f>
        <v/>
      </c>
      <c r="J261" s="1" t="str">
        <f>IF(AND(AND(AND(J$4&gt;='2025'!$L259,J$4&lt;='2025'!$M259), J$4&lt;&gt;DATE(2025,7,4)), (SWITCH(weekday(J$4), 1, 0, 2, if(ISBLANK('2025'!$P259), 0, 1), 3, if(ISBLANK('2025'!$Q259), 0, 1), 4, if(ISBLANK('2025'!$R259), 0, 1), 5, if(ISBLANK('2025'!$S259), 0, 1), 6, if(ISBLANK('2025'!$T259), 0, 1), 7, 0))), 1, "")</f>
        <v/>
      </c>
      <c r="K261" s="1" t="str">
        <f>IF(AND(AND(AND(K$4&gt;='2025'!$L259,K$4&lt;='2025'!$M259), K$4&lt;&gt;DATE(2025,7,4)), (SWITCH(weekday(K$4), 1, 0, 2, if(ISBLANK('2025'!$P259), 0, 1), 3, if(ISBLANK('2025'!$Q259), 0, 1), 4, if(ISBLANK('2025'!$R259), 0, 1), 5, if(ISBLANK('2025'!$S259), 0, 1), 6, if(ISBLANK('2025'!$T259), 0, 1), 7, 0))), 1, "")</f>
        <v/>
      </c>
      <c r="L261" s="1" t="str">
        <f>IF(AND(AND(AND(L$4&gt;='2025'!$L259,L$4&lt;='2025'!$M259), L$4&lt;&gt;DATE(2025,7,4)), (SWITCH(weekday(L$4), 1, 0, 2, if(ISBLANK('2025'!$P259), 0, 1), 3, if(ISBLANK('2025'!$Q259), 0, 1), 4, if(ISBLANK('2025'!$R259), 0, 1), 5, if(ISBLANK('2025'!$S259), 0, 1), 6, if(ISBLANK('2025'!$T259), 0, 1), 7, 0))), 1, "")</f>
        <v/>
      </c>
      <c r="M261" s="1" t="str">
        <f>IF(AND(AND(AND(M$4&gt;='2025'!$L259,M$4&lt;='2025'!$M259), M$4&lt;&gt;DATE(2025,7,4)), (SWITCH(weekday(M$4), 1, 0, 2, if(ISBLANK('2025'!$P259), 0, 1), 3, if(ISBLANK('2025'!$Q259), 0, 1), 4, if(ISBLANK('2025'!$R259), 0, 1), 5, if(ISBLANK('2025'!$S259), 0, 1), 6, if(ISBLANK('2025'!$T259), 0, 1), 7, 0))), 1, "")</f>
        <v/>
      </c>
      <c r="N261" s="1" t="str">
        <f>IF(AND(AND(AND(N$4&gt;='2025'!$L259,N$4&lt;='2025'!$M259), N$4&lt;&gt;DATE(2025,7,4)), (SWITCH(weekday(N$4), 1, 0, 2, if(ISBLANK('2025'!$P259), 0, 1), 3, if(ISBLANK('2025'!$Q259), 0, 1), 4, if(ISBLANK('2025'!$R259), 0, 1), 5, if(ISBLANK('2025'!$S259), 0, 1), 6, if(ISBLANK('2025'!$T259), 0, 1), 7, 0))), 1, "")</f>
        <v/>
      </c>
      <c r="O261" s="1" t="str">
        <f>IF(AND(AND(AND(O$4&gt;='2025'!$L259,O$4&lt;='2025'!$M259), O$4&lt;&gt;DATE(2025,7,4)), (SWITCH(weekday(O$4), 1, 0, 2, if(ISBLANK('2025'!$P259), 0, 1), 3, if(ISBLANK('2025'!$Q259), 0, 1), 4, if(ISBLANK('2025'!$R259), 0, 1), 5, if(ISBLANK('2025'!$S259), 0, 1), 6, if(ISBLANK('2025'!$T259), 0, 1), 7, 0))), 1, "")</f>
        <v/>
      </c>
      <c r="P261" s="1" t="str">
        <f>IF(AND(AND(AND(P$4&gt;='2025'!$L259,P$4&lt;='2025'!$M259), P$4&lt;&gt;DATE(2025,7,4)), (SWITCH(weekday(P$4), 1, 0, 2, if(ISBLANK('2025'!$P259), 0, 1), 3, if(ISBLANK('2025'!$Q259), 0, 1), 4, if(ISBLANK('2025'!$R259), 0, 1), 5, if(ISBLANK('2025'!$S259), 0, 1), 6, if(ISBLANK('2025'!$T259), 0, 1), 7, 0))), 1, "")</f>
        <v/>
      </c>
      <c r="Q261" s="1" t="str">
        <f>IF(AND(AND(AND(Q$4&gt;='2025'!$L259,Q$4&lt;='2025'!$M259), Q$4&lt;&gt;DATE(2025,7,4)), (SWITCH(weekday(Q$4), 1, 0, 2, if(ISBLANK('2025'!$P259), 0, 1), 3, if(ISBLANK('2025'!$Q259), 0, 1), 4, if(ISBLANK('2025'!$R259), 0, 1), 5, if(ISBLANK('2025'!$S259), 0, 1), 6, if(ISBLANK('2025'!$T259), 0, 1), 7, 0))), 1, "")</f>
        <v/>
      </c>
      <c r="R261" s="1" t="str">
        <f>IF(AND(AND(AND(R$4&gt;='2025'!$L259,R$4&lt;='2025'!$M259), R$4&lt;&gt;DATE(2025,7,4)), (SWITCH(weekday(R$4), 1, 0, 2, if(ISBLANK('2025'!$P259), 0, 1), 3, if(ISBLANK('2025'!$Q259), 0, 1), 4, if(ISBLANK('2025'!$R259), 0, 1), 5, if(ISBLANK('2025'!$S259), 0, 1), 6, if(ISBLANK('2025'!$T259), 0, 1), 7, 0))), 1, "")</f>
        <v/>
      </c>
      <c r="S261" s="1" t="str">
        <f>IF(AND(AND(AND(S$4&gt;='2025'!$L259,S$4&lt;='2025'!$M259), S$4&lt;&gt;DATE(2025,7,4)), (SWITCH(weekday(S$4), 1, 0, 2, if(ISBLANK('2025'!$P259), 0, 1), 3, if(ISBLANK('2025'!$Q259), 0, 1), 4, if(ISBLANK('2025'!$R259), 0, 1), 5, if(ISBLANK('2025'!$S259), 0, 1), 6, if(ISBLANK('2025'!$T259), 0, 1), 7, 0))), 1, "")</f>
        <v/>
      </c>
      <c r="T261" s="1" t="str">
        <f>IF(AND(AND(AND(T$4&gt;='2025'!$L259,T$4&lt;='2025'!$M259), T$4&lt;&gt;DATE(2025,7,4)), (SWITCH(weekday(T$4), 1, 0, 2, if(ISBLANK('2025'!$P259), 0, 1), 3, if(ISBLANK('2025'!$Q259), 0, 1), 4, if(ISBLANK('2025'!$R259), 0, 1), 5, if(ISBLANK('2025'!$S259), 0, 1), 6, if(ISBLANK('2025'!$T259), 0, 1), 7, 0))), 1, "")</f>
        <v/>
      </c>
      <c r="U261" s="1" t="str">
        <f>IF(AND(AND(AND(U$4&gt;='2025'!$L259,U$4&lt;='2025'!$M259), U$4&lt;&gt;DATE(2025,7,4)), (SWITCH(weekday(U$4), 1, 0, 2, if(ISBLANK('2025'!$P259), 0, 1), 3, if(ISBLANK('2025'!$Q259), 0, 1), 4, if(ISBLANK('2025'!$R259), 0, 1), 5, if(ISBLANK('2025'!$S259), 0, 1), 6, if(ISBLANK('2025'!$T259), 0, 1), 7, 0))), 1, "")</f>
        <v/>
      </c>
      <c r="V261" s="1" t="str">
        <f>IF(AND(AND(AND(V$4&gt;='2025'!$L259,V$4&lt;='2025'!$M259), V$4&lt;&gt;DATE(2025,7,4)), (SWITCH(weekday(V$4), 1, 0, 2, if(ISBLANK('2025'!$P259), 0, 1), 3, if(ISBLANK('2025'!$Q259), 0, 1), 4, if(ISBLANK('2025'!$R259), 0, 1), 5, if(ISBLANK('2025'!$S259), 0, 1), 6, if(ISBLANK('2025'!$T259), 0, 1), 7, 0))), 1, "")</f>
        <v/>
      </c>
      <c r="W261" s="1" t="str">
        <f>IF(AND(AND(AND(W$4&gt;='2025'!$L259,W$4&lt;='2025'!$M259), W$4&lt;&gt;DATE(2025,7,4)), (SWITCH(weekday(W$4), 1, 0, 2, if(ISBLANK('2025'!$P259), 0, 1), 3, if(ISBLANK('2025'!$Q259), 0, 1), 4, if(ISBLANK('2025'!$R259), 0, 1), 5, if(ISBLANK('2025'!$S259), 0, 1), 6, if(ISBLANK('2025'!$T259), 0, 1), 7, 0))), 1, "")</f>
        <v/>
      </c>
      <c r="X261" s="1" t="str">
        <f>IF(AND(AND(AND(X$4&gt;='2025'!$L259,X$4&lt;='2025'!$M259), X$4&lt;&gt;DATE(2025,7,4)), (SWITCH(weekday(X$4), 1, 0, 2, if(ISBLANK('2025'!$P259), 0, 1), 3, if(ISBLANK('2025'!$Q259), 0, 1), 4, if(ISBLANK('2025'!$R259), 0, 1), 5, if(ISBLANK('2025'!$S259), 0, 1), 6, if(ISBLANK('2025'!$T259), 0, 1), 7, 0))), 1, "")</f>
        <v/>
      </c>
      <c r="Y261" s="1" t="str">
        <f>IF(AND(AND(AND(Y$4&gt;='2025'!$L259,Y$4&lt;='2025'!$M259), Y$4&lt;&gt;DATE(2025,7,4)), (SWITCH(weekday(Y$4), 1, 0, 2, if(ISBLANK('2025'!$P259), 0, 1), 3, if(ISBLANK('2025'!$Q259), 0, 1), 4, if(ISBLANK('2025'!$R259), 0, 1), 5, if(ISBLANK('2025'!$S259), 0, 1), 6, if(ISBLANK('2025'!$T259), 0, 1), 7, 0))), 1, "")</f>
        <v/>
      </c>
      <c r="Z261" s="1" t="str">
        <f>IF(AND(AND(AND(Z$4&gt;='2025'!$L259,Z$4&lt;='2025'!$M259), Z$4&lt;&gt;DATE(2025,7,4)), (SWITCH(weekday(Z$4), 1, 0, 2, if(ISBLANK('2025'!$P259), 0, 1), 3, if(ISBLANK('2025'!$Q259), 0, 1), 4, if(ISBLANK('2025'!$R259), 0, 1), 5, if(ISBLANK('2025'!$S259), 0, 1), 6, if(ISBLANK('2025'!$T259), 0, 1), 7, 0))), 1, "")</f>
        <v/>
      </c>
      <c r="AA261" s="1" t="str">
        <f>IF(AND(AND(AND(AA$4&gt;='2025'!$L259,AA$4&lt;='2025'!$M259), AA$4&lt;&gt;DATE(2025,7,4)), (SWITCH(weekday(AA$4), 1, 0, 2, if(ISBLANK('2025'!$P259), 0, 1), 3, if(ISBLANK('2025'!$Q259), 0, 1), 4, if(ISBLANK('2025'!$R259), 0, 1), 5, if(ISBLANK('2025'!$S259), 0, 1), 6, if(ISBLANK('2025'!$T259), 0, 1), 7, 0))), 1, "")</f>
        <v/>
      </c>
      <c r="AB261" s="1" t="str">
        <f>IF(AND(AND(AND(AB$4&gt;='2025'!$L259,AB$4&lt;='2025'!$M259), AB$4&lt;&gt;DATE(2025,7,4)), (SWITCH(weekday(AB$4), 1, 0, 2, if(ISBLANK('2025'!$P259), 0, 1), 3, if(ISBLANK('2025'!$Q259), 0, 1), 4, if(ISBLANK('2025'!$R259), 0, 1), 5, if(ISBLANK('2025'!$S259), 0, 1), 6, if(ISBLANK('2025'!$T259), 0, 1), 7, 0))), 1, "")</f>
        <v/>
      </c>
      <c r="AC261" s="1" t="str">
        <f>IF(AND(AND(AND(AC$4&gt;='2025'!$L259,AC$4&lt;='2025'!$M259), AC$4&lt;&gt;DATE(2025,7,4)), (SWITCH(weekday(AC$4), 1, 0, 2, if(ISBLANK('2025'!$P259), 0, 1), 3, if(ISBLANK('2025'!$Q259), 0, 1), 4, if(ISBLANK('2025'!$R259), 0, 1), 5, if(ISBLANK('2025'!$S259), 0, 1), 6, if(ISBLANK('2025'!$T259), 0, 1), 7, 0))), 1, "")</f>
        <v/>
      </c>
      <c r="AD261" s="1" t="str">
        <f>IF(AND(AND(AND(AD$4&gt;='2025'!$L259,AD$4&lt;='2025'!$M259), AD$4&lt;&gt;DATE(2025,7,4)), (SWITCH(weekday(AD$4), 1, 0, 2, if(ISBLANK('2025'!$P259), 0, 1), 3, if(ISBLANK('2025'!$Q259), 0, 1), 4, if(ISBLANK('2025'!$R259), 0, 1), 5, if(ISBLANK('2025'!$S259), 0, 1), 6, if(ISBLANK('2025'!$T259), 0, 1), 7, 0))), 1, "")</f>
        <v/>
      </c>
      <c r="AE261" s="1" t="str">
        <f>IF(AND(AND(AND(AE$4&gt;='2025'!$L259,AE$4&lt;='2025'!$M259), AE$4&lt;&gt;DATE(2025,7,4)), (SWITCH(weekday(AE$4), 1, 0, 2, if(ISBLANK('2025'!$P259), 0, 1), 3, if(ISBLANK('2025'!$Q259), 0, 1), 4, if(ISBLANK('2025'!$R259), 0, 1), 5, if(ISBLANK('2025'!$S259), 0, 1), 6, if(ISBLANK('2025'!$T259), 0, 1), 7, 0))), 1, "")</f>
        <v/>
      </c>
      <c r="AF261" s="1" t="str">
        <f>IF(AND(AND(AND(AF$4&gt;='2025'!$L259,AF$4&lt;='2025'!$M259), AF$4&lt;&gt;DATE(2025,7,4)), (SWITCH(weekday(AF$4), 1, 0, 2, if(ISBLANK('2025'!$P259), 0, 1), 3, if(ISBLANK('2025'!$Q259), 0, 1), 4, if(ISBLANK('2025'!$R259), 0, 1), 5, if(ISBLANK('2025'!$S259), 0, 1), 6, if(ISBLANK('2025'!$T259), 0, 1), 7, 0))), 1, "")</f>
        <v/>
      </c>
      <c r="AG261" s="1" t="str">
        <f>IF(AND(AND(AND(AG$4&gt;='2025'!$L259,AG$4&lt;='2025'!$M259), AG$4&lt;&gt;DATE(2025,7,4)), (SWITCH(weekday(AG$4), 1, 0, 2, if(ISBLANK('2025'!$P259), 0, 1), 3, if(ISBLANK('2025'!$Q259), 0, 1), 4, if(ISBLANK('2025'!$R259), 0, 1), 5, if(ISBLANK('2025'!$S259), 0, 1), 6, if(ISBLANK('2025'!$T259), 0, 1), 7, 0))), 1, "")</f>
        <v/>
      </c>
      <c r="AH261" s="1" t="str">
        <f>IF(AND(AND(AND(AH$4&gt;='2025'!$L259,AH$4&lt;='2025'!$M259), AH$4&lt;&gt;DATE(2025,7,4)), (SWITCH(weekday(AH$4), 1, 0, 2, if(ISBLANK('2025'!$P259), 0, 1), 3, if(ISBLANK('2025'!$Q259), 0, 1), 4, if(ISBLANK('2025'!$R259), 0, 1), 5, if(ISBLANK('2025'!$S259), 0, 1), 6, if(ISBLANK('2025'!$T259), 0, 1), 7, 0))), 1, "")</f>
        <v/>
      </c>
      <c r="AI261" s="1" t="str">
        <f>IF(AND(AND(AND(AI$4&gt;='2025'!$L259,AI$4&lt;='2025'!$M259), AI$4&lt;&gt;DATE(2025,7,4)), (SWITCH(weekday(AI$4), 1, 0, 2, if(ISBLANK('2025'!$P259), 0, 1), 3, if(ISBLANK('2025'!$Q259), 0, 1), 4, if(ISBLANK('2025'!$R259), 0, 1), 5, if(ISBLANK('2025'!$S259), 0, 1), 6, if(ISBLANK('2025'!$T259), 0, 1), 7, 0))), 1, "")</f>
        <v/>
      </c>
      <c r="AJ261" s="1" t="str">
        <f>IF(AND(AND(AND(AJ$4&gt;='2025'!$L259,AJ$4&lt;='2025'!$M259), AJ$4&lt;&gt;DATE(2025,7,4)), (SWITCH(weekday(AJ$4), 1, 0, 2, if(ISBLANK('2025'!$P259), 0, 1), 3, if(ISBLANK('2025'!$Q259), 0, 1), 4, if(ISBLANK('2025'!$R259), 0, 1), 5, if(ISBLANK('2025'!$S259), 0, 1), 6, if(ISBLANK('2025'!$T259), 0, 1), 7, 0))), 1, "")</f>
        <v/>
      </c>
      <c r="AK261" s="1" t="str">
        <f>IF(AND(AND(AND(AK$4&gt;='2025'!$L259,AK$4&lt;='2025'!$M259), AK$4&lt;&gt;DATE(2025,7,4)), (SWITCH(weekday(AK$4), 1, 0, 2, if(ISBLANK('2025'!$P259), 0, 1), 3, if(ISBLANK('2025'!$Q259), 0, 1), 4, if(ISBLANK('2025'!$R259), 0, 1), 5, if(ISBLANK('2025'!$S259), 0, 1), 6, if(ISBLANK('2025'!$T259), 0, 1), 7, 0))), 1, "")</f>
        <v/>
      </c>
      <c r="AL261" s="1" t="str">
        <f>IF(AND(AND(AND(AL$4&gt;='2025'!$L259,AL$4&lt;='2025'!$M259), AL$4&lt;&gt;DATE(2025,7,4)), (SWITCH(weekday(AL$4), 1, 0, 2, if(ISBLANK('2025'!$P259), 0, 1), 3, if(ISBLANK('2025'!$Q259), 0, 1), 4, if(ISBLANK('2025'!$R259), 0, 1), 5, if(ISBLANK('2025'!$S259), 0, 1), 6, if(ISBLANK('2025'!$T259), 0, 1), 7, 0))), 1, "")</f>
        <v/>
      </c>
      <c r="AM261" s="1" t="str">
        <f>IF(AND(AND(AND(AM$4&gt;='2025'!$L259,AM$4&lt;='2025'!$M259), AM$4&lt;&gt;DATE(2025,7,4)), (SWITCH(weekday(AM$4), 1, 0, 2, if(ISBLANK('2025'!$P259), 0, 1), 3, if(ISBLANK('2025'!$Q259), 0, 1), 4, if(ISBLANK('2025'!$R259), 0, 1), 5, if(ISBLANK('2025'!$S259), 0, 1), 6, if(ISBLANK('2025'!$T259), 0, 1), 7, 0))), 1, "")</f>
        <v/>
      </c>
      <c r="AN261" s="1" t="str">
        <f>IF(AND(AND(AND(AN$4&gt;='2025'!$L259,AN$4&lt;='2025'!$M259), AN$4&lt;&gt;DATE(2025,7,4)), (SWITCH(weekday(AN$4), 1, 0, 2, if(ISBLANK('2025'!$P259), 0, 1), 3, if(ISBLANK('2025'!$Q259), 0, 1), 4, if(ISBLANK('2025'!$R259), 0, 1), 5, if(ISBLANK('2025'!$S259), 0, 1), 6, if(ISBLANK('2025'!$T259), 0, 1), 7, 0))), 1, "")</f>
        <v/>
      </c>
      <c r="AO261" s="1" t="str">
        <f>IF(AND(AND(AND(AO$4&gt;='2025'!$L259,AO$4&lt;='2025'!$M259), AO$4&lt;&gt;DATE(2025,7,4)), (SWITCH(weekday(AO$4), 1, 0, 2, if(ISBLANK('2025'!$P259), 0, 1), 3, if(ISBLANK('2025'!$Q259), 0, 1), 4, if(ISBLANK('2025'!$R259), 0, 1), 5, if(ISBLANK('2025'!$S259), 0, 1), 6, if(ISBLANK('2025'!$T259), 0, 1), 7, 0))), 1, "")</f>
        <v/>
      </c>
      <c r="AP261" s="1" t="str">
        <f>IF(AND(AND(AND(AP$4&gt;='2025'!$L259,AP$4&lt;='2025'!$M259), AP$4&lt;&gt;DATE(2025,7,4)), (SWITCH(weekday(AP$4), 1, 0, 2, if(ISBLANK('2025'!$P259), 0, 1), 3, if(ISBLANK('2025'!$Q259), 0, 1), 4, if(ISBLANK('2025'!$R259), 0, 1), 5, if(ISBLANK('2025'!$S259), 0, 1), 6, if(ISBLANK('2025'!$T259), 0, 1), 7, 0))), 1, "")</f>
        <v/>
      </c>
      <c r="AQ261" s="1" t="str">
        <f>IF(AND(AND(AND(AQ$4&gt;='2025'!$L259,AQ$4&lt;='2025'!$M259), AQ$4&lt;&gt;DATE(2025,7,4)), (SWITCH(weekday(AQ$4), 1, 0, 2, if(ISBLANK('2025'!$P259), 0, 1), 3, if(ISBLANK('2025'!$Q259), 0, 1), 4, if(ISBLANK('2025'!$R259), 0, 1), 5, if(ISBLANK('2025'!$S259), 0, 1), 6, if(ISBLANK('2025'!$T259), 0, 1), 7, 0))), 1, "")</f>
        <v/>
      </c>
      <c r="AR261" s="1" t="str">
        <f>IF(AND(AND(AND(AR$4&gt;='2025'!$L259,AR$4&lt;='2025'!$M259), AR$4&lt;&gt;DATE(2025,7,4)), (SWITCH(weekday(AR$4), 1, 0, 2, if(ISBLANK('2025'!$P259), 0, 1), 3, if(ISBLANK('2025'!$Q259), 0, 1), 4, if(ISBLANK('2025'!$R259), 0, 1), 5, if(ISBLANK('2025'!$S259), 0, 1), 6, if(ISBLANK('2025'!$T259), 0, 1), 7, 0))), 1, "")</f>
        <v/>
      </c>
      <c r="AS261" s="1" t="str">
        <f>IF(AND(AND(AND(AS$4&gt;='2025'!$L259,AS$4&lt;='2025'!$M259), AS$4&lt;&gt;DATE(2025,7,4)), (SWITCH(weekday(AS$4), 1, 0, 2, if(ISBLANK('2025'!$P259), 0, 1), 3, if(ISBLANK('2025'!$Q259), 0, 1), 4, if(ISBLANK('2025'!$R259), 0, 1), 5, if(ISBLANK('2025'!$S259), 0, 1), 6, if(ISBLANK('2025'!$T259), 0, 1), 7, 0))), 1, "")</f>
        <v/>
      </c>
      <c r="AT261" s="1" t="str">
        <f>IF(AND(AND(AND(AT$4&gt;='2025'!$L259,AT$4&lt;='2025'!$M259), AT$4&lt;&gt;DATE(2025,7,4)), (SWITCH(weekday(AT$4), 1, 0, 2, if(ISBLANK('2025'!$P259), 0, 1), 3, if(ISBLANK('2025'!$Q259), 0, 1), 4, if(ISBLANK('2025'!$R259), 0, 1), 5, if(ISBLANK('2025'!$S259), 0, 1), 6, if(ISBLANK('2025'!$T259), 0, 1), 7, 0))), 1, "")</f>
        <v/>
      </c>
      <c r="AU261" s="1" t="str">
        <f>IF(AND(AND(AND(AU$4&gt;='2025'!$L259,AU$4&lt;='2025'!$M259), AU$4&lt;&gt;DATE(2025,7,4)), (SWITCH(weekday(AU$4), 1, 0, 2, if(ISBLANK('2025'!$P259), 0, 1), 3, if(ISBLANK('2025'!$Q259), 0, 1), 4, if(ISBLANK('2025'!$R259), 0, 1), 5, if(ISBLANK('2025'!$S259), 0, 1), 6, if(ISBLANK('2025'!$T259), 0, 1), 7, 0))), 1, "")</f>
        <v/>
      </c>
      <c r="AV261" s="1" t="str">
        <f>IF(AND(AND(AND(AV$4&gt;='2025'!$L259,AV$4&lt;='2025'!$M259), AV$4&lt;&gt;DATE(2025,7,4)), (SWITCH(weekday(AV$4), 1, 0, 2, if(ISBLANK('2025'!$P259), 0, 1), 3, if(ISBLANK('2025'!$Q259), 0, 1), 4, if(ISBLANK('2025'!$R259), 0, 1), 5, if(ISBLANK('2025'!$S259), 0, 1), 6, if(ISBLANK('2025'!$T259), 0, 1), 7, 0))), 1, "")</f>
        <v/>
      </c>
      <c r="AW261" s="1" t="str">
        <f>IF(AND(AND(AND(AW$4&gt;='2025'!$L259,AW$4&lt;='2025'!$M259), AW$4&lt;&gt;DATE(2025,7,4)), (SWITCH(weekday(AW$4), 1, 0, 2, if(ISBLANK('2025'!$P259), 0, 1), 3, if(ISBLANK('2025'!$Q259), 0, 1), 4, if(ISBLANK('2025'!$R259), 0, 1), 5, if(ISBLANK('2025'!$S259), 0, 1), 6, if(ISBLANK('2025'!$T259), 0, 1), 7, 0))), 1, "")</f>
        <v/>
      </c>
      <c r="AX261" s="1" t="str">
        <f>IF(AND(AND(AND(AX$4&gt;='2025'!$L259,AX$4&lt;='2025'!$M259), AX$4&lt;&gt;DATE(2025,7,4)), (SWITCH(weekday(AX$4), 1, 0, 2, if(ISBLANK('2025'!$P259), 0, 1), 3, if(ISBLANK('2025'!$Q259), 0, 1), 4, if(ISBLANK('2025'!$R259), 0, 1), 5, if(ISBLANK('2025'!$S259), 0, 1), 6, if(ISBLANK('2025'!$T259), 0, 1), 7, 0))), 1, "")</f>
        <v/>
      </c>
      <c r="AY261" s="1" t="str">
        <f>IF(AND(AND(AND(AY$4&gt;='2025'!$L259,AY$4&lt;='2025'!$M259), AY$4&lt;&gt;DATE(2025,7,4)), (SWITCH(weekday(AY$4), 1, 0, 2, if(ISBLANK('2025'!$P259), 0, 1), 3, if(ISBLANK('2025'!$Q259), 0, 1), 4, if(ISBLANK('2025'!$R259), 0, 1), 5, if(ISBLANK('2025'!$S259), 0, 1), 6, if(ISBLANK('2025'!$T259), 0, 1), 7, 0))), 1, "")</f>
        <v/>
      </c>
      <c r="AZ261" s="1" t="str">
        <f>IF(AND(AND(AND(AZ$4&gt;='2025'!$L259,AZ$4&lt;='2025'!$M259), AZ$4&lt;&gt;DATE(2025,7,4)), (SWITCH(weekday(AZ$4), 1, 0, 2, if(ISBLANK('2025'!$P259), 0, 1), 3, if(ISBLANK('2025'!$Q259), 0, 1), 4, if(ISBLANK('2025'!$R259), 0, 1), 5, if(ISBLANK('2025'!$S259), 0, 1), 6, if(ISBLANK('2025'!$T259), 0, 1), 7, 0))), 1, "")</f>
        <v/>
      </c>
      <c r="BA261" s="1" t="str">
        <f>IF(AND(AND(AND(BA$4&gt;='2025'!$L259,BA$4&lt;='2025'!$M259), BA$4&lt;&gt;DATE(2025,7,4)), (SWITCH(weekday(BA$4), 1, 0, 2, if(ISBLANK('2025'!$P259), 0, 1), 3, if(ISBLANK('2025'!$Q259), 0, 1), 4, if(ISBLANK('2025'!$R259), 0, 1), 5, if(ISBLANK('2025'!$S259), 0, 1), 6, if(ISBLANK('2025'!$T259), 0, 1), 7, 0))), 1, "")</f>
        <v/>
      </c>
      <c r="BB261" s="1" t="str">
        <f>IF(AND(AND(AND(BB$4&gt;='2025'!$L259,BB$4&lt;='2025'!$M259), BB$4&lt;&gt;DATE(2025,7,4)), (SWITCH(weekday(BB$4), 1, 0, 2, if(ISBLANK('2025'!$P259), 0, 1), 3, if(ISBLANK('2025'!$Q259), 0, 1), 4, if(ISBLANK('2025'!$R259), 0, 1), 5, if(ISBLANK('2025'!$S259), 0, 1), 6, if(ISBLANK('2025'!$T259), 0, 1), 7, 0))), 1, "")</f>
        <v/>
      </c>
      <c r="BC261" s="1" t="str">
        <f>IF(AND(AND(AND(BC$4&gt;='2025'!$L259,BC$4&lt;='2025'!$M259), BC$4&lt;&gt;DATE(2025,7,4)), (SWITCH(weekday(BC$4), 1, 0, 2, if(ISBLANK('2025'!$P259), 0, 1), 3, if(ISBLANK('2025'!$Q259), 0, 1), 4, if(ISBLANK('2025'!$R259), 0, 1), 5, if(ISBLANK('2025'!$S259), 0, 1), 6, if(ISBLANK('2025'!$T259), 0, 1), 7, 0))), 1, "")</f>
        <v/>
      </c>
      <c r="BD261" s="1" t="str">
        <f>IF(AND(AND(AND(BD$4&gt;='2025'!$L259,BD$4&lt;='2025'!$M259), BD$4&lt;&gt;DATE(2025,7,4)), (SWITCH(weekday(BD$4), 1, 0, 2, if(ISBLANK('2025'!$P259), 0, 1), 3, if(ISBLANK('2025'!$Q259), 0, 1), 4, if(ISBLANK('2025'!$R259), 0, 1), 5, if(ISBLANK('2025'!$S259), 0, 1), 6, if(ISBLANK('2025'!$T259), 0, 1), 7, 0))), 1, "")</f>
        <v/>
      </c>
      <c r="BE261" s="1" t="str">
        <f>IF(AND(AND(AND(BE$4&gt;='2025'!$L259,BE$4&lt;='2025'!$M259), BE$4&lt;&gt;DATE(2025,7,4)), (SWITCH(weekday(BE$4), 1, 0, 2, if(ISBLANK('2025'!$P259), 0, 1), 3, if(ISBLANK('2025'!$Q259), 0, 1), 4, if(ISBLANK('2025'!$R259), 0, 1), 5, if(ISBLANK('2025'!$S259), 0, 1), 6, if(ISBLANK('2025'!$T259), 0, 1), 7, 0))), 1, "")</f>
        <v/>
      </c>
      <c r="BF261" s="1" t="str">
        <f>IF(AND(AND(AND(BF$4&gt;='2025'!$L259,BF$4&lt;='2025'!$M259), BF$4&lt;&gt;DATE(2025,7,4)), (SWITCH(weekday(BF$4), 1, 0, 2, if(ISBLANK('2025'!$P259), 0, 1), 3, if(ISBLANK('2025'!$Q259), 0, 1), 4, if(ISBLANK('2025'!$R259), 0, 1), 5, if(ISBLANK('2025'!$S259), 0, 1), 6, if(ISBLANK('2025'!$T259), 0, 1), 7, 0))), 1, "")</f>
        <v/>
      </c>
      <c r="BG261" s="1"/>
      <c r="BH261" s="1"/>
      <c r="BI261" s="1"/>
      <c r="BJ261" s="1"/>
      <c r="BK261" s="1"/>
      <c r="BL261" s="1"/>
    </row>
    <row r="262">
      <c r="A262" s="1">
        <f t="shared" si="3"/>
        <v>262</v>
      </c>
      <c r="B262" s="1" t="str">
        <f>'2025'!D226</f>
        <v>, </v>
      </c>
      <c r="C262" s="1" t="str">
        <f>'2025'!H226</f>
        <v/>
      </c>
      <c r="D262" s="1" t="str">
        <f>IF(AND(AND(AND(D$4&gt;='2025'!$L260,D$4&lt;='2025'!$M260), D$4&lt;&gt;DATE(2025,7,4)), (SWITCH(weekday(D$4), 1, 0, 2, if(ISBLANK('2025'!$P260), 0, 1), 3, if(ISBLANK('2025'!$Q260), 0, 1), 4, if(ISBLANK('2025'!$R260), 0, 1), 5, if(ISBLANK('2025'!$S260), 0, 1), 6, if(ISBLANK('2025'!$T260), 0, 1), 7, 0))), 1, "")</f>
        <v/>
      </c>
      <c r="E262" s="1" t="str">
        <f>IF(AND(AND(AND(E$4&gt;='2025'!$L260,E$4&lt;='2025'!$M260), E$4&lt;&gt;DATE(2025,7,4)), (SWITCH(weekday(E$4), 1, 0, 2, if(ISBLANK('2025'!$P260), 0, 1), 3, if(ISBLANK('2025'!$Q260), 0, 1), 4, if(ISBLANK('2025'!$R260), 0, 1), 5, if(ISBLANK('2025'!$S260), 0, 1), 6, if(ISBLANK('2025'!$T260), 0, 1), 7, 0))), 1, "")</f>
        <v/>
      </c>
      <c r="F262" s="1" t="str">
        <f>IF(AND(AND(AND(F$4&gt;='2025'!$L260,F$4&lt;='2025'!$M260), F$4&lt;&gt;DATE(2025,7,4)), (SWITCH(weekday(F$4), 1, 0, 2, if(ISBLANK('2025'!$P260), 0, 1), 3, if(ISBLANK('2025'!$Q260), 0, 1), 4, if(ISBLANK('2025'!$R260), 0, 1), 5, if(ISBLANK('2025'!$S260), 0, 1), 6, if(ISBLANK('2025'!$T260), 0, 1), 7, 0))), 1, "")</f>
        <v/>
      </c>
      <c r="G262" s="1" t="str">
        <f>IF(AND(AND(AND(G$4&gt;='2025'!$L260,G$4&lt;='2025'!$M260), G$4&lt;&gt;DATE(2025,7,4)), (SWITCH(weekday(G$4), 1, 0, 2, if(ISBLANK('2025'!$P260), 0, 1), 3, if(ISBLANK('2025'!$Q260), 0, 1), 4, if(ISBLANK('2025'!$R260), 0, 1), 5, if(ISBLANK('2025'!$S260), 0, 1), 6, if(ISBLANK('2025'!$T260), 0, 1), 7, 0))), 1, "")</f>
        <v/>
      </c>
      <c r="H262" s="1" t="str">
        <f>IF(AND(AND(AND(H$4&gt;='2025'!$L260,H$4&lt;='2025'!$M260), H$4&lt;&gt;DATE(2025,7,4)), (SWITCH(weekday(H$4), 1, 0, 2, if(ISBLANK('2025'!$P260), 0, 1), 3, if(ISBLANK('2025'!$Q260), 0, 1), 4, if(ISBLANK('2025'!$R260), 0, 1), 5, if(ISBLANK('2025'!$S260), 0, 1), 6, if(ISBLANK('2025'!$T260), 0, 1), 7, 0))), 1, "")</f>
        <v/>
      </c>
      <c r="I262" s="1" t="str">
        <f>IF(AND(AND(AND(I$4&gt;='2025'!$L260,I$4&lt;='2025'!$M260), I$4&lt;&gt;DATE(2025,7,4)), (SWITCH(weekday(I$4), 1, 0, 2, if(ISBLANK('2025'!$P260), 0, 1), 3, if(ISBLANK('2025'!$Q260), 0, 1), 4, if(ISBLANK('2025'!$R260), 0, 1), 5, if(ISBLANK('2025'!$S260), 0, 1), 6, if(ISBLANK('2025'!$T260), 0, 1), 7, 0))), 1, "")</f>
        <v/>
      </c>
      <c r="J262" s="1" t="str">
        <f>IF(AND(AND(AND(J$4&gt;='2025'!$L260,J$4&lt;='2025'!$M260), J$4&lt;&gt;DATE(2025,7,4)), (SWITCH(weekday(J$4), 1, 0, 2, if(ISBLANK('2025'!$P260), 0, 1), 3, if(ISBLANK('2025'!$Q260), 0, 1), 4, if(ISBLANK('2025'!$R260), 0, 1), 5, if(ISBLANK('2025'!$S260), 0, 1), 6, if(ISBLANK('2025'!$T260), 0, 1), 7, 0))), 1, "")</f>
        <v/>
      </c>
      <c r="K262" s="1" t="str">
        <f>IF(AND(AND(AND(K$4&gt;='2025'!$L260,K$4&lt;='2025'!$M260), K$4&lt;&gt;DATE(2025,7,4)), (SWITCH(weekday(K$4), 1, 0, 2, if(ISBLANK('2025'!$P260), 0, 1), 3, if(ISBLANK('2025'!$Q260), 0, 1), 4, if(ISBLANK('2025'!$R260), 0, 1), 5, if(ISBLANK('2025'!$S260), 0, 1), 6, if(ISBLANK('2025'!$T260), 0, 1), 7, 0))), 1, "")</f>
        <v/>
      </c>
      <c r="L262" s="1" t="str">
        <f>IF(AND(AND(AND(L$4&gt;='2025'!$L260,L$4&lt;='2025'!$M260), L$4&lt;&gt;DATE(2025,7,4)), (SWITCH(weekday(L$4), 1, 0, 2, if(ISBLANK('2025'!$P260), 0, 1), 3, if(ISBLANK('2025'!$Q260), 0, 1), 4, if(ISBLANK('2025'!$R260), 0, 1), 5, if(ISBLANK('2025'!$S260), 0, 1), 6, if(ISBLANK('2025'!$T260), 0, 1), 7, 0))), 1, "")</f>
        <v/>
      </c>
      <c r="M262" s="1" t="str">
        <f>IF(AND(AND(AND(M$4&gt;='2025'!$L260,M$4&lt;='2025'!$M260), M$4&lt;&gt;DATE(2025,7,4)), (SWITCH(weekday(M$4), 1, 0, 2, if(ISBLANK('2025'!$P260), 0, 1), 3, if(ISBLANK('2025'!$Q260), 0, 1), 4, if(ISBLANK('2025'!$R260), 0, 1), 5, if(ISBLANK('2025'!$S260), 0, 1), 6, if(ISBLANK('2025'!$T260), 0, 1), 7, 0))), 1, "")</f>
        <v/>
      </c>
      <c r="N262" s="1" t="str">
        <f>IF(AND(AND(AND(N$4&gt;='2025'!$L260,N$4&lt;='2025'!$M260), N$4&lt;&gt;DATE(2025,7,4)), (SWITCH(weekday(N$4), 1, 0, 2, if(ISBLANK('2025'!$P260), 0, 1), 3, if(ISBLANK('2025'!$Q260), 0, 1), 4, if(ISBLANK('2025'!$R260), 0, 1), 5, if(ISBLANK('2025'!$S260), 0, 1), 6, if(ISBLANK('2025'!$T260), 0, 1), 7, 0))), 1, "")</f>
        <v/>
      </c>
      <c r="O262" s="1" t="str">
        <f>IF(AND(AND(AND(O$4&gt;='2025'!$L260,O$4&lt;='2025'!$M260), O$4&lt;&gt;DATE(2025,7,4)), (SWITCH(weekday(O$4), 1, 0, 2, if(ISBLANK('2025'!$P260), 0, 1), 3, if(ISBLANK('2025'!$Q260), 0, 1), 4, if(ISBLANK('2025'!$R260), 0, 1), 5, if(ISBLANK('2025'!$S260), 0, 1), 6, if(ISBLANK('2025'!$T260), 0, 1), 7, 0))), 1, "")</f>
        <v/>
      </c>
      <c r="P262" s="1" t="str">
        <f>IF(AND(AND(AND(P$4&gt;='2025'!$L260,P$4&lt;='2025'!$M260), P$4&lt;&gt;DATE(2025,7,4)), (SWITCH(weekday(P$4), 1, 0, 2, if(ISBLANK('2025'!$P260), 0, 1), 3, if(ISBLANK('2025'!$Q260), 0, 1), 4, if(ISBLANK('2025'!$R260), 0, 1), 5, if(ISBLANK('2025'!$S260), 0, 1), 6, if(ISBLANK('2025'!$T260), 0, 1), 7, 0))), 1, "")</f>
        <v/>
      </c>
      <c r="Q262" s="1" t="str">
        <f>IF(AND(AND(AND(Q$4&gt;='2025'!$L260,Q$4&lt;='2025'!$M260), Q$4&lt;&gt;DATE(2025,7,4)), (SWITCH(weekday(Q$4), 1, 0, 2, if(ISBLANK('2025'!$P260), 0, 1), 3, if(ISBLANK('2025'!$Q260), 0, 1), 4, if(ISBLANK('2025'!$R260), 0, 1), 5, if(ISBLANK('2025'!$S260), 0, 1), 6, if(ISBLANK('2025'!$T260), 0, 1), 7, 0))), 1, "")</f>
        <v/>
      </c>
      <c r="R262" s="1" t="str">
        <f>IF(AND(AND(AND(R$4&gt;='2025'!$L260,R$4&lt;='2025'!$M260), R$4&lt;&gt;DATE(2025,7,4)), (SWITCH(weekday(R$4), 1, 0, 2, if(ISBLANK('2025'!$P260), 0, 1), 3, if(ISBLANK('2025'!$Q260), 0, 1), 4, if(ISBLANK('2025'!$R260), 0, 1), 5, if(ISBLANK('2025'!$S260), 0, 1), 6, if(ISBLANK('2025'!$T260), 0, 1), 7, 0))), 1, "")</f>
        <v/>
      </c>
      <c r="S262" s="1" t="str">
        <f>IF(AND(AND(AND(S$4&gt;='2025'!$L260,S$4&lt;='2025'!$M260), S$4&lt;&gt;DATE(2025,7,4)), (SWITCH(weekday(S$4), 1, 0, 2, if(ISBLANK('2025'!$P260), 0, 1), 3, if(ISBLANK('2025'!$Q260), 0, 1), 4, if(ISBLANK('2025'!$R260), 0, 1), 5, if(ISBLANK('2025'!$S260), 0, 1), 6, if(ISBLANK('2025'!$T260), 0, 1), 7, 0))), 1, "")</f>
        <v/>
      </c>
      <c r="T262" s="1" t="str">
        <f>IF(AND(AND(AND(T$4&gt;='2025'!$L260,T$4&lt;='2025'!$M260), T$4&lt;&gt;DATE(2025,7,4)), (SWITCH(weekday(T$4), 1, 0, 2, if(ISBLANK('2025'!$P260), 0, 1), 3, if(ISBLANK('2025'!$Q260), 0, 1), 4, if(ISBLANK('2025'!$R260), 0, 1), 5, if(ISBLANK('2025'!$S260), 0, 1), 6, if(ISBLANK('2025'!$T260), 0, 1), 7, 0))), 1, "")</f>
        <v/>
      </c>
      <c r="U262" s="1" t="str">
        <f>IF(AND(AND(AND(U$4&gt;='2025'!$L260,U$4&lt;='2025'!$M260), U$4&lt;&gt;DATE(2025,7,4)), (SWITCH(weekday(U$4), 1, 0, 2, if(ISBLANK('2025'!$P260), 0, 1), 3, if(ISBLANK('2025'!$Q260), 0, 1), 4, if(ISBLANK('2025'!$R260), 0, 1), 5, if(ISBLANK('2025'!$S260), 0, 1), 6, if(ISBLANK('2025'!$T260), 0, 1), 7, 0))), 1, "")</f>
        <v/>
      </c>
      <c r="V262" s="1" t="str">
        <f>IF(AND(AND(AND(V$4&gt;='2025'!$L260,V$4&lt;='2025'!$M260), V$4&lt;&gt;DATE(2025,7,4)), (SWITCH(weekday(V$4), 1, 0, 2, if(ISBLANK('2025'!$P260), 0, 1), 3, if(ISBLANK('2025'!$Q260), 0, 1), 4, if(ISBLANK('2025'!$R260), 0, 1), 5, if(ISBLANK('2025'!$S260), 0, 1), 6, if(ISBLANK('2025'!$T260), 0, 1), 7, 0))), 1, "")</f>
        <v/>
      </c>
      <c r="W262" s="1" t="str">
        <f>IF(AND(AND(AND(W$4&gt;='2025'!$L260,W$4&lt;='2025'!$M260), W$4&lt;&gt;DATE(2025,7,4)), (SWITCH(weekday(W$4), 1, 0, 2, if(ISBLANK('2025'!$P260), 0, 1), 3, if(ISBLANK('2025'!$Q260), 0, 1), 4, if(ISBLANK('2025'!$R260), 0, 1), 5, if(ISBLANK('2025'!$S260), 0, 1), 6, if(ISBLANK('2025'!$T260), 0, 1), 7, 0))), 1, "")</f>
        <v/>
      </c>
      <c r="X262" s="1" t="str">
        <f>IF(AND(AND(AND(X$4&gt;='2025'!$L260,X$4&lt;='2025'!$M260), X$4&lt;&gt;DATE(2025,7,4)), (SWITCH(weekday(X$4), 1, 0, 2, if(ISBLANK('2025'!$P260), 0, 1), 3, if(ISBLANK('2025'!$Q260), 0, 1), 4, if(ISBLANK('2025'!$R260), 0, 1), 5, if(ISBLANK('2025'!$S260), 0, 1), 6, if(ISBLANK('2025'!$T260), 0, 1), 7, 0))), 1, "")</f>
        <v/>
      </c>
      <c r="Y262" s="1" t="str">
        <f>IF(AND(AND(AND(Y$4&gt;='2025'!$L260,Y$4&lt;='2025'!$M260), Y$4&lt;&gt;DATE(2025,7,4)), (SWITCH(weekday(Y$4), 1, 0, 2, if(ISBLANK('2025'!$P260), 0, 1), 3, if(ISBLANK('2025'!$Q260), 0, 1), 4, if(ISBLANK('2025'!$R260), 0, 1), 5, if(ISBLANK('2025'!$S260), 0, 1), 6, if(ISBLANK('2025'!$T260), 0, 1), 7, 0))), 1, "")</f>
        <v/>
      </c>
      <c r="Z262" s="1" t="str">
        <f>IF(AND(AND(AND(Z$4&gt;='2025'!$L260,Z$4&lt;='2025'!$M260), Z$4&lt;&gt;DATE(2025,7,4)), (SWITCH(weekday(Z$4), 1, 0, 2, if(ISBLANK('2025'!$P260), 0, 1), 3, if(ISBLANK('2025'!$Q260), 0, 1), 4, if(ISBLANK('2025'!$R260), 0, 1), 5, if(ISBLANK('2025'!$S260), 0, 1), 6, if(ISBLANK('2025'!$T260), 0, 1), 7, 0))), 1, "")</f>
        <v/>
      </c>
      <c r="AA262" s="1" t="str">
        <f>IF(AND(AND(AND(AA$4&gt;='2025'!$L260,AA$4&lt;='2025'!$M260), AA$4&lt;&gt;DATE(2025,7,4)), (SWITCH(weekday(AA$4), 1, 0, 2, if(ISBLANK('2025'!$P260), 0, 1), 3, if(ISBLANK('2025'!$Q260), 0, 1), 4, if(ISBLANK('2025'!$R260), 0, 1), 5, if(ISBLANK('2025'!$S260), 0, 1), 6, if(ISBLANK('2025'!$T260), 0, 1), 7, 0))), 1, "")</f>
        <v/>
      </c>
      <c r="AB262" s="1" t="str">
        <f>IF(AND(AND(AND(AB$4&gt;='2025'!$L260,AB$4&lt;='2025'!$M260), AB$4&lt;&gt;DATE(2025,7,4)), (SWITCH(weekday(AB$4), 1, 0, 2, if(ISBLANK('2025'!$P260), 0, 1), 3, if(ISBLANK('2025'!$Q260), 0, 1), 4, if(ISBLANK('2025'!$R260), 0, 1), 5, if(ISBLANK('2025'!$S260), 0, 1), 6, if(ISBLANK('2025'!$T260), 0, 1), 7, 0))), 1, "")</f>
        <v/>
      </c>
      <c r="AC262" s="1" t="str">
        <f>IF(AND(AND(AND(AC$4&gt;='2025'!$L260,AC$4&lt;='2025'!$M260), AC$4&lt;&gt;DATE(2025,7,4)), (SWITCH(weekday(AC$4), 1, 0, 2, if(ISBLANK('2025'!$P260), 0, 1), 3, if(ISBLANK('2025'!$Q260), 0, 1), 4, if(ISBLANK('2025'!$R260), 0, 1), 5, if(ISBLANK('2025'!$S260), 0, 1), 6, if(ISBLANK('2025'!$T260), 0, 1), 7, 0))), 1, "")</f>
        <v/>
      </c>
      <c r="AD262" s="1" t="str">
        <f>IF(AND(AND(AND(AD$4&gt;='2025'!$L260,AD$4&lt;='2025'!$M260), AD$4&lt;&gt;DATE(2025,7,4)), (SWITCH(weekday(AD$4), 1, 0, 2, if(ISBLANK('2025'!$P260), 0, 1), 3, if(ISBLANK('2025'!$Q260), 0, 1), 4, if(ISBLANK('2025'!$R260), 0, 1), 5, if(ISBLANK('2025'!$S260), 0, 1), 6, if(ISBLANK('2025'!$T260), 0, 1), 7, 0))), 1, "")</f>
        <v/>
      </c>
      <c r="AE262" s="1" t="str">
        <f>IF(AND(AND(AND(AE$4&gt;='2025'!$L260,AE$4&lt;='2025'!$M260), AE$4&lt;&gt;DATE(2025,7,4)), (SWITCH(weekday(AE$4), 1, 0, 2, if(ISBLANK('2025'!$P260), 0, 1), 3, if(ISBLANK('2025'!$Q260), 0, 1), 4, if(ISBLANK('2025'!$R260), 0, 1), 5, if(ISBLANK('2025'!$S260), 0, 1), 6, if(ISBLANK('2025'!$T260), 0, 1), 7, 0))), 1, "")</f>
        <v/>
      </c>
      <c r="AF262" s="1" t="str">
        <f>IF(AND(AND(AND(AF$4&gt;='2025'!$L260,AF$4&lt;='2025'!$M260), AF$4&lt;&gt;DATE(2025,7,4)), (SWITCH(weekday(AF$4), 1, 0, 2, if(ISBLANK('2025'!$P260), 0, 1), 3, if(ISBLANK('2025'!$Q260), 0, 1), 4, if(ISBLANK('2025'!$R260), 0, 1), 5, if(ISBLANK('2025'!$S260), 0, 1), 6, if(ISBLANK('2025'!$T260), 0, 1), 7, 0))), 1, "")</f>
        <v/>
      </c>
      <c r="AG262" s="1" t="str">
        <f>IF(AND(AND(AND(AG$4&gt;='2025'!$L260,AG$4&lt;='2025'!$M260), AG$4&lt;&gt;DATE(2025,7,4)), (SWITCH(weekday(AG$4), 1, 0, 2, if(ISBLANK('2025'!$P260), 0, 1), 3, if(ISBLANK('2025'!$Q260), 0, 1), 4, if(ISBLANK('2025'!$R260), 0, 1), 5, if(ISBLANK('2025'!$S260), 0, 1), 6, if(ISBLANK('2025'!$T260), 0, 1), 7, 0))), 1, "")</f>
        <v/>
      </c>
      <c r="AH262" s="1" t="str">
        <f>IF(AND(AND(AND(AH$4&gt;='2025'!$L260,AH$4&lt;='2025'!$M260), AH$4&lt;&gt;DATE(2025,7,4)), (SWITCH(weekday(AH$4), 1, 0, 2, if(ISBLANK('2025'!$P260), 0, 1), 3, if(ISBLANK('2025'!$Q260), 0, 1), 4, if(ISBLANK('2025'!$R260), 0, 1), 5, if(ISBLANK('2025'!$S260), 0, 1), 6, if(ISBLANK('2025'!$T260), 0, 1), 7, 0))), 1, "")</f>
        <v/>
      </c>
      <c r="AI262" s="1" t="str">
        <f>IF(AND(AND(AND(AI$4&gt;='2025'!$L260,AI$4&lt;='2025'!$M260), AI$4&lt;&gt;DATE(2025,7,4)), (SWITCH(weekday(AI$4), 1, 0, 2, if(ISBLANK('2025'!$P260), 0, 1), 3, if(ISBLANK('2025'!$Q260), 0, 1), 4, if(ISBLANK('2025'!$R260), 0, 1), 5, if(ISBLANK('2025'!$S260), 0, 1), 6, if(ISBLANK('2025'!$T260), 0, 1), 7, 0))), 1, "")</f>
        <v/>
      </c>
      <c r="AJ262" s="1" t="str">
        <f>IF(AND(AND(AND(AJ$4&gt;='2025'!$L260,AJ$4&lt;='2025'!$M260), AJ$4&lt;&gt;DATE(2025,7,4)), (SWITCH(weekday(AJ$4), 1, 0, 2, if(ISBLANK('2025'!$P260), 0, 1), 3, if(ISBLANK('2025'!$Q260), 0, 1), 4, if(ISBLANK('2025'!$R260), 0, 1), 5, if(ISBLANK('2025'!$S260), 0, 1), 6, if(ISBLANK('2025'!$T260), 0, 1), 7, 0))), 1, "")</f>
        <v/>
      </c>
      <c r="AK262" s="1" t="str">
        <f>IF(AND(AND(AND(AK$4&gt;='2025'!$L260,AK$4&lt;='2025'!$M260), AK$4&lt;&gt;DATE(2025,7,4)), (SWITCH(weekday(AK$4), 1, 0, 2, if(ISBLANK('2025'!$P260), 0, 1), 3, if(ISBLANK('2025'!$Q260), 0, 1), 4, if(ISBLANK('2025'!$R260), 0, 1), 5, if(ISBLANK('2025'!$S260), 0, 1), 6, if(ISBLANK('2025'!$T260), 0, 1), 7, 0))), 1, "")</f>
        <v/>
      </c>
      <c r="AL262" s="1" t="str">
        <f>IF(AND(AND(AND(AL$4&gt;='2025'!$L260,AL$4&lt;='2025'!$M260), AL$4&lt;&gt;DATE(2025,7,4)), (SWITCH(weekday(AL$4), 1, 0, 2, if(ISBLANK('2025'!$P260), 0, 1), 3, if(ISBLANK('2025'!$Q260), 0, 1), 4, if(ISBLANK('2025'!$R260), 0, 1), 5, if(ISBLANK('2025'!$S260), 0, 1), 6, if(ISBLANK('2025'!$T260), 0, 1), 7, 0))), 1, "")</f>
        <v/>
      </c>
      <c r="AM262" s="1" t="str">
        <f>IF(AND(AND(AND(AM$4&gt;='2025'!$L260,AM$4&lt;='2025'!$M260), AM$4&lt;&gt;DATE(2025,7,4)), (SWITCH(weekday(AM$4), 1, 0, 2, if(ISBLANK('2025'!$P260), 0, 1), 3, if(ISBLANK('2025'!$Q260), 0, 1), 4, if(ISBLANK('2025'!$R260), 0, 1), 5, if(ISBLANK('2025'!$S260), 0, 1), 6, if(ISBLANK('2025'!$T260), 0, 1), 7, 0))), 1, "")</f>
        <v/>
      </c>
      <c r="AN262" s="1" t="str">
        <f>IF(AND(AND(AND(AN$4&gt;='2025'!$L260,AN$4&lt;='2025'!$M260), AN$4&lt;&gt;DATE(2025,7,4)), (SWITCH(weekday(AN$4), 1, 0, 2, if(ISBLANK('2025'!$P260), 0, 1), 3, if(ISBLANK('2025'!$Q260), 0, 1), 4, if(ISBLANK('2025'!$R260), 0, 1), 5, if(ISBLANK('2025'!$S260), 0, 1), 6, if(ISBLANK('2025'!$T260), 0, 1), 7, 0))), 1, "")</f>
        <v/>
      </c>
      <c r="AO262" s="1" t="str">
        <f>IF(AND(AND(AND(AO$4&gt;='2025'!$L260,AO$4&lt;='2025'!$M260), AO$4&lt;&gt;DATE(2025,7,4)), (SWITCH(weekday(AO$4), 1, 0, 2, if(ISBLANK('2025'!$P260), 0, 1), 3, if(ISBLANK('2025'!$Q260), 0, 1), 4, if(ISBLANK('2025'!$R260), 0, 1), 5, if(ISBLANK('2025'!$S260), 0, 1), 6, if(ISBLANK('2025'!$T260), 0, 1), 7, 0))), 1, "")</f>
        <v/>
      </c>
      <c r="AP262" s="1" t="str">
        <f>IF(AND(AND(AND(AP$4&gt;='2025'!$L260,AP$4&lt;='2025'!$M260), AP$4&lt;&gt;DATE(2025,7,4)), (SWITCH(weekday(AP$4), 1, 0, 2, if(ISBLANK('2025'!$P260), 0, 1), 3, if(ISBLANK('2025'!$Q260), 0, 1), 4, if(ISBLANK('2025'!$R260), 0, 1), 5, if(ISBLANK('2025'!$S260), 0, 1), 6, if(ISBLANK('2025'!$T260), 0, 1), 7, 0))), 1, "")</f>
        <v/>
      </c>
      <c r="AQ262" s="1" t="str">
        <f>IF(AND(AND(AND(AQ$4&gt;='2025'!$L260,AQ$4&lt;='2025'!$M260), AQ$4&lt;&gt;DATE(2025,7,4)), (SWITCH(weekday(AQ$4), 1, 0, 2, if(ISBLANK('2025'!$P260), 0, 1), 3, if(ISBLANK('2025'!$Q260), 0, 1), 4, if(ISBLANK('2025'!$R260), 0, 1), 5, if(ISBLANK('2025'!$S260), 0, 1), 6, if(ISBLANK('2025'!$T260), 0, 1), 7, 0))), 1, "")</f>
        <v/>
      </c>
      <c r="AR262" s="1" t="str">
        <f>IF(AND(AND(AND(AR$4&gt;='2025'!$L260,AR$4&lt;='2025'!$M260), AR$4&lt;&gt;DATE(2025,7,4)), (SWITCH(weekday(AR$4), 1, 0, 2, if(ISBLANK('2025'!$P260), 0, 1), 3, if(ISBLANK('2025'!$Q260), 0, 1), 4, if(ISBLANK('2025'!$R260), 0, 1), 5, if(ISBLANK('2025'!$S260), 0, 1), 6, if(ISBLANK('2025'!$T260), 0, 1), 7, 0))), 1, "")</f>
        <v/>
      </c>
      <c r="AS262" s="1" t="str">
        <f>IF(AND(AND(AND(AS$4&gt;='2025'!$L260,AS$4&lt;='2025'!$M260), AS$4&lt;&gt;DATE(2025,7,4)), (SWITCH(weekday(AS$4), 1, 0, 2, if(ISBLANK('2025'!$P260), 0, 1), 3, if(ISBLANK('2025'!$Q260), 0, 1), 4, if(ISBLANK('2025'!$R260), 0, 1), 5, if(ISBLANK('2025'!$S260), 0, 1), 6, if(ISBLANK('2025'!$T260), 0, 1), 7, 0))), 1, "")</f>
        <v/>
      </c>
      <c r="AT262" s="1" t="str">
        <f>IF(AND(AND(AND(AT$4&gt;='2025'!$L260,AT$4&lt;='2025'!$M260), AT$4&lt;&gt;DATE(2025,7,4)), (SWITCH(weekday(AT$4), 1, 0, 2, if(ISBLANK('2025'!$P260), 0, 1), 3, if(ISBLANK('2025'!$Q260), 0, 1), 4, if(ISBLANK('2025'!$R260), 0, 1), 5, if(ISBLANK('2025'!$S260), 0, 1), 6, if(ISBLANK('2025'!$T260), 0, 1), 7, 0))), 1, "")</f>
        <v/>
      </c>
      <c r="AU262" s="1" t="str">
        <f>IF(AND(AND(AND(AU$4&gt;='2025'!$L260,AU$4&lt;='2025'!$M260), AU$4&lt;&gt;DATE(2025,7,4)), (SWITCH(weekday(AU$4), 1, 0, 2, if(ISBLANK('2025'!$P260), 0, 1), 3, if(ISBLANK('2025'!$Q260), 0, 1), 4, if(ISBLANK('2025'!$R260), 0, 1), 5, if(ISBLANK('2025'!$S260), 0, 1), 6, if(ISBLANK('2025'!$T260), 0, 1), 7, 0))), 1, "")</f>
        <v/>
      </c>
      <c r="AV262" s="1" t="str">
        <f>IF(AND(AND(AND(AV$4&gt;='2025'!$L260,AV$4&lt;='2025'!$M260), AV$4&lt;&gt;DATE(2025,7,4)), (SWITCH(weekday(AV$4), 1, 0, 2, if(ISBLANK('2025'!$P260), 0, 1), 3, if(ISBLANK('2025'!$Q260), 0, 1), 4, if(ISBLANK('2025'!$R260), 0, 1), 5, if(ISBLANK('2025'!$S260), 0, 1), 6, if(ISBLANK('2025'!$T260), 0, 1), 7, 0))), 1, "")</f>
        <v/>
      </c>
      <c r="AW262" s="1" t="str">
        <f>IF(AND(AND(AND(AW$4&gt;='2025'!$L260,AW$4&lt;='2025'!$M260), AW$4&lt;&gt;DATE(2025,7,4)), (SWITCH(weekday(AW$4), 1, 0, 2, if(ISBLANK('2025'!$P260), 0, 1), 3, if(ISBLANK('2025'!$Q260), 0, 1), 4, if(ISBLANK('2025'!$R260), 0, 1), 5, if(ISBLANK('2025'!$S260), 0, 1), 6, if(ISBLANK('2025'!$T260), 0, 1), 7, 0))), 1, "")</f>
        <v/>
      </c>
      <c r="AX262" s="1" t="str">
        <f>IF(AND(AND(AND(AX$4&gt;='2025'!$L260,AX$4&lt;='2025'!$M260), AX$4&lt;&gt;DATE(2025,7,4)), (SWITCH(weekday(AX$4), 1, 0, 2, if(ISBLANK('2025'!$P260), 0, 1), 3, if(ISBLANK('2025'!$Q260), 0, 1), 4, if(ISBLANK('2025'!$R260), 0, 1), 5, if(ISBLANK('2025'!$S260), 0, 1), 6, if(ISBLANK('2025'!$T260), 0, 1), 7, 0))), 1, "")</f>
        <v/>
      </c>
      <c r="AY262" s="1" t="str">
        <f>IF(AND(AND(AND(AY$4&gt;='2025'!$L260,AY$4&lt;='2025'!$M260), AY$4&lt;&gt;DATE(2025,7,4)), (SWITCH(weekday(AY$4), 1, 0, 2, if(ISBLANK('2025'!$P260), 0, 1), 3, if(ISBLANK('2025'!$Q260), 0, 1), 4, if(ISBLANK('2025'!$R260), 0, 1), 5, if(ISBLANK('2025'!$S260), 0, 1), 6, if(ISBLANK('2025'!$T260), 0, 1), 7, 0))), 1, "")</f>
        <v/>
      </c>
      <c r="AZ262" s="1" t="str">
        <f>IF(AND(AND(AND(AZ$4&gt;='2025'!$L260,AZ$4&lt;='2025'!$M260), AZ$4&lt;&gt;DATE(2025,7,4)), (SWITCH(weekday(AZ$4), 1, 0, 2, if(ISBLANK('2025'!$P260), 0, 1), 3, if(ISBLANK('2025'!$Q260), 0, 1), 4, if(ISBLANK('2025'!$R260), 0, 1), 5, if(ISBLANK('2025'!$S260), 0, 1), 6, if(ISBLANK('2025'!$T260), 0, 1), 7, 0))), 1, "")</f>
        <v/>
      </c>
      <c r="BA262" s="1" t="str">
        <f>IF(AND(AND(AND(BA$4&gt;='2025'!$L260,BA$4&lt;='2025'!$M260), BA$4&lt;&gt;DATE(2025,7,4)), (SWITCH(weekday(BA$4), 1, 0, 2, if(ISBLANK('2025'!$P260), 0, 1), 3, if(ISBLANK('2025'!$Q260), 0, 1), 4, if(ISBLANK('2025'!$R260), 0, 1), 5, if(ISBLANK('2025'!$S260), 0, 1), 6, if(ISBLANK('2025'!$T260), 0, 1), 7, 0))), 1, "")</f>
        <v/>
      </c>
      <c r="BB262" s="1" t="str">
        <f>IF(AND(AND(AND(BB$4&gt;='2025'!$L260,BB$4&lt;='2025'!$M260), BB$4&lt;&gt;DATE(2025,7,4)), (SWITCH(weekday(BB$4), 1, 0, 2, if(ISBLANK('2025'!$P260), 0, 1), 3, if(ISBLANK('2025'!$Q260), 0, 1), 4, if(ISBLANK('2025'!$R260), 0, 1), 5, if(ISBLANK('2025'!$S260), 0, 1), 6, if(ISBLANK('2025'!$T260), 0, 1), 7, 0))), 1, "")</f>
        <v/>
      </c>
      <c r="BC262" s="1" t="str">
        <f>IF(AND(AND(AND(BC$4&gt;='2025'!$L260,BC$4&lt;='2025'!$M260), BC$4&lt;&gt;DATE(2025,7,4)), (SWITCH(weekday(BC$4), 1, 0, 2, if(ISBLANK('2025'!$P260), 0, 1), 3, if(ISBLANK('2025'!$Q260), 0, 1), 4, if(ISBLANK('2025'!$R260), 0, 1), 5, if(ISBLANK('2025'!$S260), 0, 1), 6, if(ISBLANK('2025'!$T260), 0, 1), 7, 0))), 1, "")</f>
        <v/>
      </c>
      <c r="BD262" s="1" t="str">
        <f>IF(AND(AND(AND(BD$4&gt;='2025'!$L260,BD$4&lt;='2025'!$M260), BD$4&lt;&gt;DATE(2025,7,4)), (SWITCH(weekday(BD$4), 1, 0, 2, if(ISBLANK('2025'!$P260), 0, 1), 3, if(ISBLANK('2025'!$Q260), 0, 1), 4, if(ISBLANK('2025'!$R260), 0, 1), 5, if(ISBLANK('2025'!$S260), 0, 1), 6, if(ISBLANK('2025'!$T260), 0, 1), 7, 0))), 1, "")</f>
        <v/>
      </c>
      <c r="BE262" s="1" t="str">
        <f>IF(AND(AND(AND(BE$4&gt;='2025'!$L260,BE$4&lt;='2025'!$M260), BE$4&lt;&gt;DATE(2025,7,4)), (SWITCH(weekday(BE$4), 1, 0, 2, if(ISBLANK('2025'!$P260), 0, 1), 3, if(ISBLANK('2025'!$Q260), 0, 1), 4, if(ISBLANK('2025'!$R260), 0, 1), 5, if(ISBLANK('2025'!$S260), 0, 1), 6, if(ISBLANK('2025'!$T260), 0, 1), 7, 0))), 1, "")</f>
        <v/>
      </c>
      <c r="BF262" s="1" t="str">
        <f>IF(AND(AND(AND(BF$4&gt;='2025'!$L260,BF$4&lt;='2025'!$M260), BF$4&lt;&gt;DATE(2025,7,4)), (SWITCH(weekday(BF$4), 1, 0, 2, if(ISBLANK('2025'!$P260), 0, 1), 3, if(ISBLANK('2025'!$Q260), 0, 1), 4, if(ISBLANK('2025'!$R260), 0, 1), 5, if(ISBLANK('2025'!$S260), 0, 1), 6, if(ISBLANK('2025'!$T260), 0, 1), 7, 0))), 1, "")</f>
        <v/>
      </c>
      <c r="BG262" s="1"/>
      <c r="BH262" s="1"/>
      <c r="BI262" s="1"/>
      <c r="BJ262" s="1"/>
      <c r="BK262" s="1"/>
      <c r="BL262" s="1"/>
    </row>
    <row r="263">
      <c r="A263" s="1">
        <f t="shared" si="3"/>
        <v>263</v>
      </c>
      <c r="B263" s="1" t="str">
        <f>'2025'!D227</f>
        <v>, </v>
      </c>
      <c r="C263" s="1" t="str">
        <f>'2025'!H227</f>
        <v/>
      </c>
      <c r="D263" s="1" t="str">
        <f>IF(AND(AND(AND(D$4&gt;='2025'!$L261,D$4&lt;='2025'!$M261), D$4&lt;&gt;DATE(2025,7,4)), (SWITCH(weekday(D$4), 1, 0, 2, if(ISBLANK('2025'!$P261), 0, 1), 3, if(ISBLANK('2025'!$Q261), 0, 1), 4, if(ISBLANK('2025'!$R261), 0, 1), 5, if(ISBLANK('2025'!$S261), 0, 1), 6, if(ISBLANK('2025'!$T261), 0, 1), 7, 0))), 1, "")</f>
        <v/>
      </c>
      <c r="E263" s="1" t="str">
        <f>IF(AND(AND(AND(E$4&gt;='2025'!$L261,E$4&lt;='2025'!$M261), E$4&lt;&gt;DATE(2025,7,4)), (SWITCH(weekday(E$4), 1, 0, 2, if(ISBLANK('2025'!$P261), 0, 1), 3, if(ISBLANK('2025'!$Q261), 0, 1), 4, if(ISBLANK('2025'!$R261), 0, 1), 5, if(ISBLANK('2025'!$S261), 0, 1), 6, if(ISBLANK('2025'!$T261), 0, 1), 7, 0))), 1, "")</f>
        <v/>
      </c>
      <c r="F263" s="1" t="str">
        <f>IF(AND(AND(AND(F$4&gt;='2025'!$L261,F$4&lt;='2025'!$M261), F$4&lt;&gt;DATE(2025,7,4)), (SWITCH(weekday(F$4), 1, 0, 2, if(ISBLANK('2025'!$P261), 0, 1), 3, if(ISBLANK('2025'!$Q261), 0, 1), 4, if(ISBLANK('2025'!$R261), 0, 1), 5, if(ISBLANK('2025'!$S261), 0, 1), 6, if(ISBLANK('2025'!$T261), 0, 1), 7, 0))), 1, "")</f>
        <v/>
      </c>
      <c r="G263" s="1" t="str">
        <f>IF(AND(AND(AND(G$4&gt;='2025'!$L261,G$4&lt;='2025'!$M261), G$4&lt;&gt;DATE(2025,7,4)), (SWITCH(weekday(G$4), 1, 0, 2, if(ISBLANK('2025'!$P261), 0, 1), 3, if(ISBLANK('2025'!$Q261), 0, 1), 4, if(ISBLANK('2025'!$R261), 0, 1), 5, if(ISBLANK('2025'!$S261), 0, 1), 6, if(ISBLANK('2025'!$T261), 0, 1), 7, 0))), 1, "")</f>
        <v/>
      </c>
      <c r="H263" s="1" t="str">
        <f>IF(AND(AND(AND(H$4&gt;='2025'!$L261,H$4&lt;='2025'!$M261), H$4&lt;&gt;DATE(2025,7,4)), (SWITCH(weekday(H$4), 1, 0, 2, if(ISBLANK('2025'!$P261), 0, 1), 3, if(ISBLANK('2025'!$Q261), 0, 1), 4, if(ISBLANK('2025'!$R261), 0, 1), 5, if(ISBLANK('2025'!$S261), 0, 1), 6, if(ISBLANK('2025'!$T261), 0, 1), 7, 0))), 1, "")</f>
        <v/>
      </c>
      <c r="I263" s="1" t="str">
        <f>IF(AND(AND(AND(I$4&gt;='2025'!$L261,I$4&lt;='2025'!$M261), I$4&lt;&gt;DATE(2025,7,4)), (SWITCH(weekday(I$4), 1, 0, 2, if(ISBLANK('2025'!$P261), 0, 1), 3, if(ISBLANK('2025'!$Q261), 0, 1), 4, if(ISBLANK('2025'!$R261), 0, 1), 5, if(ISBLANK('2025'!$S261), 0, 1), 6, if(ISBLANK('2025'!$T261), 0, 1), 7, 0))), 1, "")</f>
        <v/>
      </c>
      <c r="J263" s="1" t="str">
        <f>IF(AND(AND(AND(J$4&gt;='2025'!$L261,J$4&lt;='2025'!$M261), J$4&lt;&gt;DATE(2025,7,4)), (SWITCH(weekday(J$4), 1, 0, 2, if(ISBLANK('2025'!$P261), 0, 1), 3, if(ISBLANK('2025'!$Q261), 0, 1), 4, if(ISBLANK('2025'!$R261), 0, 1), 5, if(ISBLANK('2025'!$S261), 0, 1), 6, if(ISBLANK('2025'!$T261), 0, 1), 7, 0))), 1, "")</f>
        <v/>
      </c>
      <c r="K263" s="1" t="str">
        <f>IF(AND(AND(AND(K$4&gt;='2025'!$L261,K$4&lt;='2025'!$M261), K$4&lt;&gt;DATE(2025,7,4)), (SWITCH(weekday(K$4), 1, 0, 2, if(ISBLANK('2025'!$P261), 0, 1), 3, if(ISBLANK('2025'!$Q261), 0, 1), 4, if(ISBLANK('2025'!$R261), 0, 1), 5, if(ISBLANK('2025'!$S261), 0, 1), 6, if(ISBLANK('2025'!$T261), 0, 1), 7, 0))), 1, "")</f>
        <v/>
      </c>
      <c r="L263" s="1" t="str">
        <f>IF(AND(AND(AND(L$4&gt;='2025'!$L261,L$4&lt;='2025'!$M261), L$4&lt;&gt;DATE(2025,7,4)), (SWITCH(weekday(L$4), 1, 0, 2, if(ISBLANK('2025'!$P261), 0, 1), 3, if(ISBLANK('2025'!$Q261), 0, 1), 4, if(ISBLANK('2025'!$R261), 0, 1), 5, if(ISBLANK('2025'!$S261), 0, 1), 6, if(ISBLANK('2025'!$T261), 0, 1), 7, 0))), 1, "")</f>
        <v/>
      </c>
      <c r="M263" s="1" t="str">
        <f>IF(AND(AND(AND(M$4&gt;='2025'!$L261,M$4&lt;='2025'!$M261), M$4&lt;&gt;DATE(2025,7,4)), (SWITCH(weekday(M$4), 1, 0, 2, if(ISBLANK('2025'!$P261), 0, 1), 3, if(ISBLANK('2025'!$Q261), 0, 1), 4, if(ISBLANK('2025'!$R261), 0, 1), 5, if(ISBLANK('2025'!$S261), 0, 1), 6, if(ISBLANK('2025'!$T261), 0, 1), 7, 0))), 1, "")</f>
        <v/>
      </c>
      <c r="N263" s="1" t="str">
        <f>IF(AND(AND(AND(N$4&gt;='2025'!$L261,N$4&lt;='2025'!$M261), N$4&lt;&gt;DATE(2025,7,4)), (SWITCH(weekday(N$4), 1, 0, 2, if(ISBLANK('2025'!$P261), 0, 1), 3, if(ISBLANK('2025'!$Q261), 0, 1), 4, if(ISBLANK('2025'!$R261), 0, 1), 5, if(ISBLANK('2025'!$S261), 0, 1), 6, if(ISBLANK('2025'!$T261), 0, 1), 7, 0))), 1, "")</f>
        <v/>
      </c>
      <c r="O263" s="1" t="str">
        <f>IF(AND(AND(AND(O$4&gt;='2025'!$L261,O$4&lt;='2025'!$M261), O$4&lt;&gt;DATE(2025,7,4)), (SWITCH(weekday(O$4), 1, 0, 2, if(ISBLANK('2025'!$P261), 0, 1), 3, if(ISBLANK('2025'!$Q261), 0, 1), 4, if(ISBLANK('2025'!$R261), 0, 1), 5, if(ISBLANK('2025'!$S261), 0, 1), 6, if(ISBLANK('2025'!$T261), 0, 1), 7, 0))), 1, "")</f>
        <v/>
      </c>
      <c r="P263" s="1" t="str">
        <f>IF(AND(AND(AND(P$4&gt;='2025'!$L261,P$4&lt;='2025'!$M261), P$4&lt;&gt;DATE(2025,7,4)), (SWITCH(weekday(P$4), 1, 0, 2, if(ISBLANK('2025'!$P261), 0, 1), 3, if(ISBLANK('2025'!$Q261), 0, 1), 4, if(ISBLANK('2025'!$R261), 0, 1), 5, if(ISBLANK('2025'!$S261), 0, 1), 6, if(ISBLANK('2025'!$T261), 0, 1), 7, 0))), 1, "")</f>
        <v/>
      </c>
      <c r="Q263" s="1" t="str">
        <f>IF(AND(AND(AND(Q$4&gt;='2025'!$L261,Q$4&lt;='2025'!$M261), Q$4&lt;&gt;DATE(2025,7,4)), (SWITCH(weekday(Q$4), 1, 0, 2, if(ISBLANK('2025'!$P261), 0, 1), 3, if(ISBLANK('2025'!$Q261), 0, 1), 4, if(ISBLANK('2025'!$R261), 0, 1), 5, if(ISBLANK('2025'!$S261), 0, 1), 6, if(ISBLANK('2025'!$T261), 0, 1), 7, 0))), 1, "")</f>
        <v/>
      </c>
      <c r="R263" s="1" t="str">
        <f>IF(AND(AND(AND(R$4&gt;='2025'!$L261,R$4&lt;='2025'!$M261), R$4&lt;&gt;DATE(2025,7,4)), (SWITCH(weekday(R$4), 1, 0, 2, if(ISBLANK('2025'!$P261), 0, 1), 3, if(ISBLANK('2025'!$Q261), 0, 1), 4, if(ISBLANK('2025'!$R261), 0, 1), 5, if(ISBLANK('2025'!$S261), 0, 1), 6, if(ISBLANK('2025'!$T261), 0, 1), 7, 0))), 1, "")</f>
        <v/>
      </c>
      <c r="S263" s="1" t="str">
        <f>IF(AND(AND(AND(S$4&gt;='2025'!$L261,S$4&lt;='2025'!$M261), S$4&lt;&gt;DATE(2025,7,4)), (SWITCH(weekday(S$4), 1, 0, 2, if(ISBLANK('2025'!$P261), 0, 1), 3, if(ISBLANK('2025'!$Q261), 0, 1), 4, if(ISBLANK('2025'!$R261), 0, 1), 5, if(ISBLANK('2025'!$S261), 0, 1), 6, if(ISBLANK('2025'!$T261), 0, 1), 7, 0))), 1, "")</f>
        <v/>
      </c>
      <c r="T263" s="1" t="str">
        <f>IF(AND(AND(AND(T$4&gt;='2025'!$L261,T$4&lt;='2025'!$M261), T$4&lt;&gt;DATE(2025,7,4)), (SWITCH(weekday(T$4), 1, 0, 2, if(ISBLANK('2025'!$P261), 0, 1), 3, if(ISBLANK('2025'!$Q261), 0, 1), 4, if(ISBLANK('2025'!$R261), 0, 1), 5, if(ISBLANK('2025'!$S261), 0, 1), 6, if(ISBLANK('2025'!$T261), 0, 1), 7, 0))), 1, "")</f>
        <v/>
      </c>
      <c r="U263" s="1" t="str">
        <f>IF(AND(AND(AND(U$4&gt;='2025'!$L261,U$4&lt;='2025'!$M261), U$4&lt;&gt;DATE(2025,7,4)), (SWITCH(weekday(U$4), 1, 0, 2, if(ISBLANK('2025'!$P261), 0, 1), 3, if(ISBLANK('2025'!$Q261), 0, 1), 4, if(ISBLANK('2025'!$R261), 0, 1), 5, if(ISBLANK('2025'!$S261), 0, 1), 6, if(ISBLANK('2025'!$T261), 0, 1), 7, 0))), 1, "")</f>
        <v/>
      </c>
      <c r="V263" s="1" t="str">
        <f>IF(AND(AND(AND(V$4&gt;='2025'!$L261,V$4&lt;='2025'!$M261), V$4&lt;&gt;DATE(2025,7,4)), (SWITCH(weekday(V$4), 1, 0, 2, if(ISBLANK('2025'!$P261), 0, 1), 3, if(ISBLANK('2025'!$Q261), 0, 1), 4, if(ISBLANK('2025'!$R261), 0, 1), 5, if(ISBLANK('2025'!$S261), 0, 1), 6, if(ISBLANK('2025'!$T261), 0, 1), 7, 0))), 1, "")</f>
        <v/>
      </c>
      <c r="W263" s="1" t="str">
        <f>IF(AND(AND(AND(W$4&gt;='2025'!$L261,W$4&lt;='2025'!$M261), W$4&lt;&gt;DATE(2025,7,4)), (SWITCH(weekday(W$4), 1, 0, 2, if(ISBLANK('2025'!$P261), 0, 1), 3, if(ISBLANK('2025'!$Q261), 0, 1), 4, if(ISBLANK('2025'!$R261), 0, 1), 5, if(ISBLANK('2025'!$S261), 0, 1), 6, if(ISBLANK('2025'!$T261), 0, 1), 7, 0))), 1, "")</f>
        <v/>
      </c>
      <c r="X263" s="1" t="str">
        <f>IF(AND(AND(AND(X$4&gt;='2025'!$L261,X$4&lt;='2025'!$M261), X$4&lt;&gt;DATE(2025,7,4)), (SWITCH(weekday(X$4), 1, 0, 2, if(ISBLANK('2025'!$P261), 0, 1), 3, if(ISBLANK('2025'!$Q261), 0, 1), 4, if(ISBLANK('2025'!$R261), 0, 1), 5, if(ISBLANK('2025'!$S261), 0, 1), 6, if(ISBLANK('2025'!$T261), 0, 1), 7, 0))), 1, "")</f>
        <v/>
      </c>
      <c r="Y263" s="1" t="str">
        <f>IF(AND(AND(AND(Y$4&gt;='2025'!$L261,Y$4&lt;='2025'!$M261), Y$4&lt;&gt;DATE(2025,7,4)), (SWITCH(weekday(Y$4), 1, 0, 2, if(ISBLANK('2025'!$P261), 0, 1), 3, if(ISBLANK('2025'!$Q261), 0, 1), 4, if(ISBLANK('2025'!$R261), 0, 1), 5, if(ISBLANK('2025'!$S261), 0, 1), 6, if(ISBLANK('2025'!$T261), 0, 1), 7, 0))), 1, "")</f>
        <v/>
      </c>
      <c r="Z263" s="1" t="str">
        <f>IF(AND(AND(AND(Z$4&gt;='2025'!$L261,Z$4&lt;='2025'!$M261), Z$4&lt;&gt;DATE(2025,7,4)), (SWITCH(weekday(Z$4), 1, 0, 2, if(ISBLANK('2025'!$P261), 0, 1), 3, if(ISBLANK('2025'!$Q261), 0, 1), 4, if(ISBLANK('2025'!$R261), 0, 1), 5, if(ISBLANK('2025'!$S261), 0, 1), 6, if(ISBLANK('2025'!$T261), 0, 1), 7, 0))), 1, "")</f>
        <v/>
      </c>
      <c r="AA263" s="1" t="str">
        <f>IF(AND(AND(AND(AA$4&gt;='2025'!$L261,AA$4&lt;='2025'!$M261), AA$4&lt;&gt;DATE(2025,7,4)), (SWITCH(weekday(AA$4), 1, 0, 2, if(ISBLANK('2025'!$P261), 0, 1), 3, if(ISBLANK('2025'!$Q261), 0, 1), 4, if(ISBLANK('2025'!$R261), 0, 1), 5, if(ISBLANK('2025'!$S261), 0, 1), 6, if(ISBLANK('2025'!$T261), 0, 1), 7, 0))), 1, "")</f>
        <v/>
      </c>
      <c r="AB263" s="1" t="str">
        <f>IF(AND(AND(AND(AB$4&gt;='2025'!$L261,AB$4&lt;='2025'!$M261), AB$4&lt;&gt;DATE(2025,7,4)), (SWITCH(weekday(AB$4), 1, 0, 2, if(ISBLANK('2025'!$P261), 0, 1), 3, if(ISBLANK('2025'!$Q261), 0, 1), 4, if(ISBLANK('2025'!$R261), 0, 1), 5, if(ISBLANK('2025'!$S261), 0, 1), 6, if(ISBLANK('2025'!$T261), 0, 1), 7, 0))), 1, "")</f>
        <v/>
      </c>
      <c r="AC263" s="1" t="str">
        <f>IF(AND(AND(AND(AC$4&gt;='2025'!$L261,AC$4&lt;='2025'!$M261), AC$4&lt;&gt;DATE(2025,7,4)), (SWITCH(weekday(AC$4), 1, 0, 2, if(ISBLANK('2025'!$P261), 0, 1), 3, if(ISBLANK('2025'!$Q261), 0, 1), 4, if(ISBLANK('2025'!$R261), 0, 1), 5, if(ISBLANK('2025'!$S261), 0, 1), 6, if(ISBLANK('2025'!$T261), 0, 1), 7, 0))), 1, "")</f>
        <v/>
      </c>
      <c r="AD263" s="1" t="str">
        <f>IF(AND(AND(AND(AD$4&gt;='2025'!$L261,AD$4&lt;='2025'!$M261), AD$4&lt;&gt;DATE(2025,7,4)), (SWITCH(weekday(AD$4), 1, 0, 2, if(ISBLANK('2025'!$P261), 0, 1), 3, if(ISBLANK('2025'!$Q261), 0, 1), 4, if(ISBLANK('2025'!$R261), 0, 1), 5, if(ISBLANK('2025'!$S261), 0, 1), 6, if(ISBLANK('2025'!$T261), 0, 1), 7, 0))), 1, "")</f>
        <v/>
      </c>
      <c r="AE263" s="1" t="str">
        <f>IF(AND(AND(AND(AE$4&gt;='2025'!$L261,AE$4&lt;='2025'!$M261), AE$4&lt;&gt;DATE(2025,7,4)), (SWITCH(weekday(AE$4), 1, 0, 2, if(ISBLANK('2025'!$P261), 0, 1), 3, if(ISBLANK('2025'!$Q261), 0, 1), 4, if(ISBLANK('2025'!$R261), 0, 1), 5, if(ISBLANK('2025'!$S261), 0, 1), 6, if(ISBLANK('2025'!$T261), 0, 1), 7, 0))), 1, "")</f>
        <v/>
      </c>
      <c r="AF263" s="1" t="str">
        <f>IF(AND(AND(AND(AF$4&gt;='2025'!$L261,AF$4&lt;='2025'!$M261), AF$4&lt;&gt;DATE(2025,7,4)), (SWITCH(weekday(AF$4), 1, 0, 2, if(ISBLANK('2025'!$P261), 0, 1), 3, if(ISBLANK('2025'!$Q261), 0, 1), 4, if(ISBLANK('2025'!$R261), 0, 1), 5, if(ISBLANK('2025'!$S261), 0, 1), 6, if(ISBLANK('2025'!$T261), 0, 1), 7, 0))), 1, "")</f>
        <v/>
      </c>
      <c r="AG263" s="1" t="str">
        <f>IF(AND(AND(AND(AG$4&gt;='2025'!$L261,AG$4&lt;='2025'!$M261), AG$4&lt;&gt;DATE(2025,7,4)), (SWITCH(weekday(AG$4), 1, 0, 2, if(ISBLANK('2025'!$P261), 0, 1), 3, if(ISBLANK('2025'!$Q261), 0, 1), 4, if(ISBLANK('2025'!$R261), 0, 1), 5, if(ISBLANK('2025'!$S261), 0, 1), 6, if(ISBLANK('2025'!$T261), 0, 1), 7, 0))), 1, "")</f>
        <v/>
      </c>
      <c r="AH263" s="1" t="str">
        <f>IF(AND(AND(AND(AH$4&gt;='2025'!$L261,AH$4&lt;='2025'!$M261), AH$4&lt;&gt;DATE(2025,7,4)), (SWITCH(weekday(AH$4), 1, 0, 2, if(ISBLANK('2025'!$P261), 0, 1), 3, if(ISBLANK('2025'!$Q261), 0, 1), 4, if(ISBLANK('2025'!$R261), 0, 1), 5, if(ISBLANK('2025'!$S261), 0, 1), 6, if(ISBLANK('2025'!$T261), 0, 1), 7, 0))), 1, "")</f>
        <v/>
      </c>
      <c r="AI263" s="1" t="str">
        <f>IF(AND(AND(AND(AI$4&gt;='2025'!$L261,AI$4&lt;='2025'!$M261), AI$4&lt;&gt;DATE(2025,7,4)), (SWITCH(weekday(AI$4), 1, 0, 2, if(ISBLANK('2025'!$P261), 0, 1), 3, if(ISBLANK('2025'!$Q261), 0, 1), 4, if(ISBLANK('2025'!$R261), 0, 1), 5, if(ISBLANK('2025'!$S261), 0, 1), 6, if(ISBLANK('2025'!$T261), 0, 1), 7, 0))), 1, "")</f>
        <v/>
      </c>
      <c r="AJ263" s="1" t="str">
        <f>IF(AND(AND(AND(AJ$4&gt;='2025'!$L261,AJ$4&lt;='2025'!$M261), AJ$4&lt;&gt;DATE(2025,7,4)), (SWITCH(weekday(AJ$4), 1, 0, 2, if(ISBLANK('2025'!$P261), 0, 1), 3, if(ISBLANK('2025'!$Q261), 0, 1), 4, if(ISBLANK('2025'!$R261), 0, 1), 5, if(ISBLANK('2025'!$S261), 0, 1), 6, if(ISBLANK('2025'!$T261), 0, 1), 7, 0))), 1, "")</f>
        <v/>
      </c>
      <c r="AK263" s="1" t="str">
        <f>IF(AND(AND(AND(AK$4&gt;='2025'!$L261,AK$4&lt;='2025'!$M261), AK$4&lt;&gt;DATE(2025,7,4)), (SWITCH(weekday(AK$4), 1, 0, 2, if(ISBLANK('2025'!$P261), 0, 1), 3, if(ISBLANK('2025'!$Q261), 0, 1), 4, if(ISBLANK('2025'!$R261), 0, 1), 5, if(ISBLANK('2025'!$S261), 0, 1), 6, if(ISBLANK('2025'!$T261), 0, 1), 7, 0))), 1, "")</f>
        <v/>
      </c>
      <c r="AL263" s="1" t="str">
        <f>IF(AND(AND(AND(AL$4&gt;='2025'!$L261,AL$4&lt;='2025'!$M261), AL$4&lt;&gt;DATE(2025,7,4)), (SWITCH(weekday(AL$4), 1, 0, 2, if(ISBLANK('2025'!$P261), 0, 1), 3, if(ISBLANK('2025'!$Q261), 0, 1), 4, if(ISBLANK('2025'!$R261), 0, 1), 5, if(ISBLANK('2025'!$S261), 0, 1), 6, if(ISBLANK('2025'!$T261), 0, 1), 7, 0))), 1, "")</f>
        <v/>
      </c>
      <c r="AM263" s="1" t="str">
        <f>IF(AND(AND(AND(AM$4&gt;='2025'!$L261,AM$4&lt;='2025'!$M261), AM$4&lt;&gt;DATE(2025,7,4)), (SWITCH(weekday(AM$4), 1, 0, 2, if(ISBLANK('2025'!$P261), 0, 1), 3, if(ISBLANK('2025'!$Q261), 0, 1), 4, if(ISBLANK('2025'!$R261), 0, 1), 5, if(ISBLANK('2025'!$S261), 0, 1), 6, if(ISBLANK('2025'!$T261), 0, 1), 7, 0))), 1, "")</f>
        <v/>
      </c>
      <c r="AN263" s="1" t="str">
        <f>IF(AND(AND(AND(AN$4&gt;='2025'!$L261,AN$4&lt;='2025'!$M261), AN$4&lt;&gt;DATE(2025,7,4)), (SWITCH(weekday(AN$4), 1, 0, 2, if(ISBLANK('2025'!$P261), 0, 1), 3, if(ISBLANK('2025'!$Q261), 0, 1), 4, if(ISBLANK('2025'!$R261), 0, 1), 5, if(ISBLANK('2025'!$S261), 0, 1), 6, if(ISBLANK('2025'!$T261), 0, 1), 7, 0))), 1, "")</f>
        <v/>
      </c>
      <c r="AO263" s="1" t="str">
        <f>IF(AND(AND(AND(AO$4&gt;='2025'!$L261,AO$4&lt;='2025'!$M261), AO$4&lt;&gt;DATE(2025,7,4)), (SWITCH(weekday(AO$4), 1, 0, 2, if(ISBLANK('2025'!$P261), 0, 1), 3, if(ISBLANK('2025'!$Q261), 0, 1), 4, if(ISBLANK('2025'!$R261), 0, 1), 5, if(ISBLANK('2025'!$S261), 0, 1), 6, if(ISBLANK('2025'!$T261), 0, 1), 7, 0))), 1, "")</f>
        <v/>
      </c>
      <c r="AP263" s="1" t="str">
        <f>IF(AND(AND(AND(AP$4&gt;='2025'!$L261,AP$4&lt;='2025'!$M261), AP$4&lt;&gt;DATE(2025,7,4)), (SWITCH(weekday(AP$4), 1, 0, 2, if(ISBLANK('2025'!$P261), 0, 1), 3, if(ISBLANK('2025'!$Q261), 0, 1), 4, if(ISBLANK('2025'!$R261), 0, 1), 5, if(ISBLANK('2025'!$S261), 0, 1), 6, if(ISBLANK('2025'!$T261), 0, 1), 7, 0))), 1, "")</f>
        <v/>
      </c>
      <c r="AQ263" s="1" t="str">
        <f>IF(AND(AND(AND(AQ$4&gt;='2025'!$L261,AQ$4&lt;='2025'!$M261), AQ$4&lt;&gt;DATE(2025,7,4)), (SWITCH(weekday(AQ$4), 1, 0, 2, if(ISBLANK('2025'!$P261), 0, 1), 3, if(ISBLANK('2025'!$Q261), 0, 1), 4, if(ISBLANK('2025'!$R261), 0, 1), 5, if(ISBLANK('2025'!$S261), 0, 1), 6, if(ISBLANK('2025'!$T261), 0, 1), 7, 0))), 1, "")</f>
        <v/>
      </c>
      <c r="AR263" s="1" t="str">
        <f>IF(AND(AND(AND(AR$4&gt;='2025'!$L261,AR$4&lt;='2025'!$M261), AR$4&lt;&gt;DATE(2025,7,4)), (SWITCH(weekday(AR$4), 1, 0, 2, if(ISBLANK('2025'!$P261), 0, 1), 3, if(ISBLANK('2025'!$Q261), 0, 1), 4, if(ISBLANK('2025'!$R261), 0, 1), 5, if(ISBLANK('2025'!$S261), 0, 1), 6, if(ISBLANK('2025'!$T261), 0, 1), 7, 0))), 1, "")</f>
        <v/>
      </c>
      <c r="AS263" s="1" t="str">
        <f>IF(AND(AND(AND(AS$4&gt;='2025'!$L261,AS$4&lt;='2025'!$M261), AS$4&lt;&gt;DATE(2025,7,4)), (SWITCH(weekday(AS$4), 1, 0, 2, if(ISBLANK('2025'!$P261), 0, 1), 3, if(ISBLANK('2025'!$Q261), 0, 1), 4, if(ISBLANK('2025'!$R261), 0, 1), 5, if(ISBLANK('2025'!$S261), 0, 1), 6, if(ISBLANK('2025'!$T261), 0, 1), 7, 0))), 1, "")</f>
        <v/>
      </c>
      <c r="AT263" s="1" t="str">
        <f>IF(AND(AND(AND(AT$4&gt;='2025'!$L261,AT$4&lt;='2025'!$M261), AT$4&lt;&gt;DATE(2025,7,4)), (SWITCH(weekday(AT$4), 1, 0, 2, if(ISBLANK('2025'!$P261), 0, 1), 3, if(ISBLANK('2025'!$Q261), 0, 1), 4, if(ISBLANK('2025'!$R261), 0, 1), 5, if(ISBLANK('2025'!$S261), 0, 1), 6, if(ISBLANK('2025'!$T261), 0, 1), 7, 0))), 1, "")</f>
        <v/>
      </c>
      <c r="AU263" s="1" t="str">
        <f>IF(AND(AND(AND(AU$4&gt;='2025'!$L261,AU$4&lt;='2025'!$M261), AU$4&lt;&gt;DATE(2025,7,4)), (SWITCH(weekday(AU$4), 1, 0, 2, if(ISBLANK('2025'!$P261), 0, 1), 3, if(ISBLANK('2025'!$Q261), 0, 1), 4, if(ISBLANK('2025'!$R261), 0, 1), 5, if(ISBLANK('2025'!$S261), 0, 1), 6, if(ISBLANK('2025'!$T261), 0, 1), 7, 0))), 1, "")</f>
        <v/>
      </c>
      <c r="AV263" s="1" t="str">
        <f>IF(AND(AND(AND(AV$4&gt;='2025'!$L261,AV$4&lt;='2025'!$M261), AV$4&lt;&gt;DATE(2025,7,4)), (SWITCH(weekday(AV$4), 1, 0, 2, if(ISBLANK('2025'!$P261), 0, 1), 3, if(ISBLANK('2025'!$Q261), 0, 1), 4, if(ISBLANK('2025'!$R261), 0, 1), 5, if(ISBLANK('2025'!$S261), 0, 1), 6, if(ISBLANK('2025'!$T261), 0, 1), 7, 0))), 1, "")</f>
        <v/>
      </c>
      <c r="AW263" s="1" t="str">
        <f>IF(AND(AND(AND(AW$4&gt;='2025'!$L261,AW$4&lt;='2025'!$M261), AW$4&lt;&gt;DATE(2025,7,4)), (SWITCH(weekday(AW$4), 1, 0, 2, if(ISBLANK('2025'!$P261), 0, 1), 3, if(ISBLANK('2025'!$Q261), 0, 1), 4, if(ISBLANK('2025'!$R261), 0, 1), 5, if(ISBLANK('2025'!$S261), 0, 1), 6, if(ISBLANK('2025'!$T261), 0, 1), 7, 0))), 1, "")</f>
        <v/>
      </c>
      <c r="AX263" s="1" t="str">
        <f>IF(AND(AND(AND(AX$4&gt;='2025'!$L261,AX$4&lt;='2025'!$M261), AX$4&lt;&gt;DATE(2025,7,4)), (SWITCH(weekday(AX$4), 1, 0, 2, if(ISBLANK('2025'!$P261), 0, 1), 3, if(ISBLANK('2025'!$Q261), 0, 1), 4, if(ISBLANK('2025'!$R261), 0, 1), 5, if(ISBLANK('2025'!$S261), 0, 1), 6, if(ISBLANK('2025'!$T261), 0, 1), 7, 0))), 1, "")</f>
        <v/>
      </c>
      <c r="AY263" s="1" t="str">
        <f>IF(AND(AND(AND(AY$4&gt;='2025'!$L261,AY$4&lt;='2025'!$M261), AY$4&lt;&gt;DATE(2025,7,4)), (SWITCH(weekday(AY$4), 1, 0, 2, if(ISBLANK('2025'!$P261), 0, 1), 3, if(ISBLANK('2025'!$Q261), 0, 1), 4, if(ISBLANK('2025'!$R261), 0, 1), 5, if(ISBLANK('2025'!$S261), 0, 1), 6, if(ISBLANK('2025'!$T261), 0, 1), 7, 0))), 1, "")</f>
        <v/>
      </c>
      <c r="AZ263" s="1" t="str">
        <f>IF(AND(AND(AND(AZ$4&gt;='2025'!$L261,AZ$4&lt;='2025'!$M261), AZ$4&lt;&gt;DATE(2025,7,4)), (SWITCH(weekday(AZ$4), 1, 0, 2, if(ISBLANK('2025'!$P261), 0, 1), 3, if(ISBLANK('2025'!$Q261), 0, 1), 4, if(ISBLANK('2025'!$R261), 0, 1), 5, if(ISBLANK('2025'!$S261), 0, 1), 6, if(ISBLANK('2025'!$T261), 0, 1), 7, 0))), 1, "")</f>
        <v/>
      </c>
      <c r="BA263" s="1" t="str">
        <f>IF(AND(AND(AND(BA$4&gt;='2025'!$L261,BA$4&lt;='2025'!$M261), BA$4&lt;&gt;DATE(2025,7,4)), (SWITCH(weekday(BA$4), 1, 0, 2, if(ISBLANK('2025'!$P261), 0, 1), 3, if(ISBLANK('2025'!$Q261), 0, 1), 4, if(ISBLANK('2025'!$R261), 0, 1), 5, if(ISBLANK('2025'!$S261), 0, 1), 6, if(ISBLANK('2025'!$T261), 0, 1), 7, 0))), 1, "")</f>
        <v/>
      </c>
      <c r="BB263" s="1" t="str">
        <f>IF(AND(AND(AND(BB$4&gt;='2025'!$L261,BB$4&lt;='2025'!$M261), BB$4&lt;&gt;DATE(2025,7,4)), (SWITCH(weekday(BB$4), 1, 0, 2, if(ISBLANK('2025'!$P261), 0, 1), 3, if(ISBLANK('2025'!$Q261), 0, 1), 4, if(ISBLANK('2025'!$R261), 0, 1), 5, if(ISBLANK('2025'!$S261), 0, 1), 6, if(ISBLANK('2025'!$T261), 0, 1), 7, 0))), 1, "")</f>
        <v/>
      </c>
      <c r="BC263" s="1" t="str">
        <f>IF(AND(AND(AND(BC$4&gt;='2025'!$L261,BC$4&lt;='2025'!$M261), BC$4&lt;&gt;DATE(2025,7,4)), (SWITCH(weekday(BC$4), 1, 0, 2, if(ISBLANK('2025'!$P261), 0, 1), 3, if(ISBLANK('2025'!$Q261), 0, 1), 4, if(ISBLANK('2025'!$R261), 0, 1), 5, if(ISBLANK('2025'!$S261), 0, 1), 6, if(ISBLANK('2025'!$T261), 0, 1), 7, 0))), 1, "")</f>
        <v/>
      </c>
      <c r="BD263" s="1" t="str">
        <f>IF(AND(AND(AND(BD$4&gt;='2025'!$L261,BD$4&lt;='2025'!$M261), BD$4&lt;&gt;DATE(2025,7,4)), (SWITCH(weekday(BD$4), 1, 0, 2, if(ISBLANK('2025'!$P261), 0, 1), 3, if(ISBLANK('2025'!$Q261), 0, 1), 4, if(ISBLANK('2025'!$R261), 0, 1), 5, if(ISBLANK('2025'!$S261), 0, 1), 6, if(ISBLANK('2025'!$T261), 0, 1), 7, 0))), 1, "")</f>
        <v/>
      </c>
      <c r="BE263" s="1" t="str">
        <f>IF(AND(AND(AND(BE$4&gt;='2025'!$L261,BE$4&lt;='2025'!$M261), BE$4&lt;&gt;DATE(2025,7,4)), (SWITCH(weekday(BE$4), 1, 0, 2, if(ISBLANK('2025'!$P261), 0, 1), 3, if(ISBLANK('2025'!$Q261), 0, 1), 4, if(ISBLANK('2025'!$R261), 0, 1), 5, if(ISBLANK('2025'!$S261), 0, 1), 6, if(ISBLANK('2025'!$T261), 0, 1), 7, 0))), 1, "")</f>
        <v/>
      </c>
      <c r="BF263" s="1" t="str">
        <f>IF(AND(AND(AND(BF$4&gt;='2025'!$L261,BF$4&lt;='2025'!$M261), BF$4&lt;&gt;DATE(2025,7,4)), (SWITCH(weekday(BF$4), 1, 0, 2, if(ISBLANK('2025'!$P261), 0, 1), 3, if(ISBLANK('2025'!$Q261), 0, 1), 4, if(ISBLANK('2025'!$R261), 0, 1), 5, if(ISBLANK('2025'!$S261), 0, 1), 6, if(ISBLANK('2025'!$T261), 0, 1), 7, 0))), 1, "")</f>
        <v/>
      </c>
      <c r="BG263" s="1"/>
      <c r="BH263" s="1"/>
      <c r="BI263" s="1"/>
      <c r="BJ263" s="1"/>
      <c r="BK263" s="1"/>
      <c r="BL263" s="1"/>
    </row>
    <row r="264">
      <c r="A264" s="1">
        <f t="shared" si="3"/>
        <v>264</v>
      </c>
      <c r="B264" s="1" t="str">
        <f>'2025'!D228</f>
        <v>, </v>
      </c>
      <c r="C264" s="1" t="str">
        <f>'2025'!H228</f>
        <v/>
      </c>
      <c r="D264" s="1" t="str">
        <f>IF(AND(AND(AND(D$4&gt;='2025'!$L262,D$4&lt;='2025'!$M262), D$4&lt;&gt;DATE(2025,7,4)), (SWITCH(weekday(D$4), 1, 0, 2, if(ISBLANK('2025'!$P262), 0, 1), 3, if(ISBLANK('2025'!$Q262), 0, 1), 4, if(ISBLANK('2025'!$R262), 0, 1), 5, if(ISBLANK('2025'!$S262), 0, 1), 6, if(ISBLANK('2025'!$T262), 0, 1), 7, 0))), 1, "")</f>
        <v/>
      </c>
      <c r="E264" s="1" t="str">
        <f>IF(AND(AND(AND(E$4&gt;='2025'!$L262,E$4&lt;='2025'!$M262), E$4&lt;&gt;DATE(2025,7,4)), (SWITCH(weekday(E$4), 1, 0, 2, if(ISBLANK('2025'!$P262), 0, 1), 3, if(ISBLANK('2025'!$Q262), 0, 1), 4, if(ISBLANK('2025'!$R262), 0, 1), 5, if(ISBLANK('2025'!$S262), 0, 1), 6, if(ISBLANK('2025'!$T262), 0, 1), 7, 0))), 1, "")</f>
        <v/>
      </c>
      <c r="F264" s="1" t="str">
        <f>IF(AND(AND(AND(F$4&gt;='2025'!$L262,F$4&lt;='2025'!$M262), F$4&lt;&gt;DATE(2025,7,4)), (SWITCH(weekday(F$4), 1, 0, 2, if(ISBLANK('2025'!$P262), 0, 1), 3, if(ISBLANK('2025'!$Q262), 0, 1), 4, if(ISBLANK('2025'!$R262), 0, 1), 5, if(ISBLANK('2025'!$S262), 0, 1), 6, if(ISBLANK('2025'!$T262), 0, 1), 7, 0))), 1, "")</f>
        <v/>
      </c>
      <c r="G264" s="1" t="str">
        <f>IF(AND(AND(AND(G$4&gt;='2025'!$L262,G$4&lt;='2025'!$M262), G$4&lt;&gt;DATE(2025,7,4)), (SWITCH(weekday(G$4), 1, 0, 2, if(ISBLANK('2025'!$P262), 0, 1), 3, if(ISBLANK('2025'!$Q262), 0, 1), 4, if(ISBLANK('2025'!$R262), 0, 1), 5, if(ISBLANK('2025'!$S262), 0, 1), 6, if(ISBLANK('2025'!$T262), 0, 1), 7, 0))), 1, "")</f>
        <v/>
      </c>
      <c r="H264" s="1" t="str">
        <f>IF(AND(AND(AND(H$4&gt;='2025'!$L262,H$4&lt;='2025'!$M262), H$4&lt;&gt;DATE(2025,7,4)), (SWITCH(weekday(H$4), 1, 0, 2, if(ISBLANK('2025'!$P262), 0, 1), 3, if(ISBLANK('2025'!$Q262), 0, 1), 4, if(ISBLANK('2025'!$R262), 0, 1), 5, if(ISBLANK('2025'!$S262), 0, 1), 6, if(ISBLANK('2025'!$T262), 0, 1), 7, 0))), 1, "")</f>
        <v/>
      </c>
      <c r="I264" s="1" t="str">
        <f>IF(AND(AND(AND(I$4&gt;='2025'!$L262,I$4&lt;='2025'!$M262), I$4&lt;&gt;DATE(2025,7,4)), (SWITCH(weekday(I$4), 1, 0, 2, if(ISBLANK('2025'!$P262), 0, 1), 3, if(ISBLANK('2025'!$Q262), 0, 1), 4, if(ISBLANK('2025'!$R262), 0, 1), 5, if(ISBLANK('2025'!$S262), 0, 1), 6, if(ISBLANK('2025'!$T262), 0, 1), 7, 0))), 1, "")</f>
        <v/>
      </c>
      <c r="J264" s="1" t="str">
        <f>IF(AND(AND(AND(J$4&gt;='2025'!$L262,J$4&lt;='2025'!$M262), J$4&lt;&gt;DATE(2025,7,4)), (SWITCH(weekday(J$4), 1, 0, 2, if(ISBLANK('2025'!$P262), 0, 1), 3, if(ISBLANK('2025'!$Q262), 0, 1), 4, if(ISBLANK('2025'!$R262), 0, 1), 5, if(ISBLANK('2025'!$S262), 0, 1), 6, if(ISBLANK('2025'!$T262), 0, 1), 7, 0))), 1, "")</f>
        <v/>
      </c>
      <c r="K264" s="1" t="str">
        <f>IF(AND(AND(AND(K$4&gt;='2025'!$L262,K$4&lt;='2025'!$M262), K$4&lt;&gt;DATE(2025,7,4)), (SWITCH(weekday(K$4), 1, 0, 2, if(ISBLANK('2025'!$P262), 0, 1), 3, if(ISBLANK('2025'!$Q262), 0, 1), 4, if(ISBLANK('2025'!$R262), 0, 1), 5, if(ISBLANK('2025'!$S262), 0, 1), 6, if(ISBLANK('2025'!$T262), 0, 1), 7, 0))), 1, "")</f>
        <v/>
      </c>
      <c r="L264" s="1" t="str">
        <f>IF(AND(AND(AND(L$4&gt;='2025'!$L262,L$4&lt;='2025'!$M262), L$4&lt;&gt;DATE(2025,7,4)), (SWITCH(weekday(L$4), 1, 0, 2, if(ISBLANK('2025'!$P262), 0, 1), 3, if(ISBLANK('2025'!$Q262), 0, 1), 4, if(ISBLANK('2025'!$R262), 0, 1), 5, if(ISBLANK('2025'!$S262), 0, 1), 6, if(ISBLANK('2025'!$T262), 0, 1), 7, 0))), 1, "")</f>
        <v/>
      </c>
      <c r="M264" s="1" t="str">
        <f>IF(AND(AND(AND(M$4&gt;='2025'!$L262,M$4&lt;='2025'!$M262), M$4&lt;&gt;DATE(2025,7,4)), (SWITCH(weekday(M$4), 1, 0, 2, if(ISBLANK('2025'!$P262), 0, 1), 3, if(ISBLANK('2025'!$Q262), 0, 1), 4, if(ISBLANK('2025'!$R262), 0, 1), 5, if(ISBLANK('2025'!$S262), 0, 1), 6, if(ISBLANK('2025'!$T262), 0, 1), 7, 0))), 1, "")</f>
        <v/>
      </c>
      <c r="N264" s="1" t="str">
        <f>IF(AND(AND(AND(N$4&gt;='2025'!$L262,N$4&lt;='2025'!$M262), N$4&lt;&gt;DATE(2025,7,4)), (SWITCH(weekday(N$4), 1, 0, 2, if(ISBLANK('2025'!$P262), 0, 1), 3, if(ISBLANK('2025'!$Q262), 0, 1), 4, if(ISBLANK('2025'!$R262), 0, 1), 5, if(ISBLANK('2025'!$S262), 0, 1), 6, if(ISBLANK('2025'!$T262), 0, 1), 7, 0))), 1, "")</f>
        <v/>
      </c>
      <c r="O264" s="1" t="str">
        <f>IF(AND(AND(AND(O$4&gt;='2025'!$L262,O$4&lt;='2025'!$M262), O$4&lt;&gt;DATE(2025,7,4)), (SWITCH(weekday(O$4), 1, 0, 2, if(ISBLANK('2025'!$P262), 0, 1), 3, if(ISBLANK('2025'!$Q262), 0, 1), 4, if(ISBLANK('2025'!$R262), 0, 1), 5, if(ISBLANK('2025'!$S262), 0, 1), 6, if(ISBLANK('2025'!$T262), 0, 1), 7, 0))), 1, "")</f>
        <v/>
      </c>
      <c r="P264" s="1" t="str">
        <f>IF(AND(AND(AND(P$4&gt;='2025'!$L262,P$4&lt;='2025'!$M262), P$4&lt;&gt;DATE(2025,7,4)), (SWITCH(weekday(P$4), 1, 0, 2, if(ISBLANK('2025'!$P262), 0, 1), 3, if(ISBLANK('2025'!$Q262), 0, 1), 4, if(ISBLANK('2025'!$R262), 0, 1), 5, if(ISBLANK('2025'!$S262), 0, 1), 6, if(ISBLANK('2025'!$T262), 0, 1), 7, 0))), 1, "")</f>
        <v/>
      </c>
      <c r="Q264" s="1" t="str">
        <f>IF(AND(AND(AND(Q$4&gt;='2025'!$L262,Q$4&lt;='2025'!$M262), Q$4&lt;&gt;DATE(2025,7,4)), (SWITCH(weekday(Q$4), 1, 0, 2, if(ISBLANK('2025'!$P262), 0, 1), 3, if(ISBLANK('2025'!$Q262), 0, 1), 4, if(ISBLANK('2025'!$R262), 0, 1), 5, if(ISBLANK('2025'!$S262), 0, 1), 6, if(ISBLANK('2025'!$T262), 0, 1), 7, 0))), 1, "")</f>
        <v/>
      </c>
      <c r="R264" s="1" t="str">
        <f>IF(AND(AND(AND(R$4&gt;='2025'!$L262,R$4&lt;='2025'!$M262), R$4&lt;&gt;DATE(2025,7,4)), (SWITCH(weekday(R$4), 1, 0, 2, if(ISBLANK('2025'!$P262), 0, 1), 3, if(ISBLANK('2025'!$Q262), 0, 1), 4, if(ISBLANK('2025'!$R262), 0, 1), 5, if(ISBLANK('2025'!$S262), 0, 1), 6, if(ISBLANK('2025'!$T262), 0, 1), 7, 0))), 1, "")</f>
        <v/>
      </c>
      <c r="S264" s="1" t="str">
        <f>IF(AND(AND(AND(S$4&gt;='2025'!$L262,S$4&lt;='2025'!$M262), S$4&lt;&gt;DATE(2025,7,4)), (SWITCH(weekday(S$4), 1, 0, 2, if(ISBLANK('2025'!$P262), 0, 1), 3, if(ISBLANK('2025'!$Q262), 0, 1), 4, if(ISBLANK('2025'!$R262), 0, 1), 5, if(ISBLANK('2025'!$S262), 0, 1), 6, if(ISBLANK('2025'!$T262), 0, 1), 7, 0))), 1, "")</f>
        <v/>
      </c>
      <c r="T264" s="1" t="str">
        <f>IF(AND(AND(AND(T$4&gt;='2025'!$L262,T$4&lt;='2025'!$M262), T$4&lt;&gt;DATE(2025,7,4)), (SWITCH(weekday(T$4), 1, 0, 2, if(ISBLANK('2025'!$P262), 0, 1), 3, if(ISBLANK('2025'!$Q262), 0, 1), 4, if(ISBLANK('2025'!$R262), 0, 1), 5, if(ISBLANK('2025'!$S262), 0, 1), 6, if(ISBLANK('2025'!$T262), 0, 1), 7, 0))), 1, "")</f>
        <v/>
      </c>
      <c r="U264" s="1" t="str">
        <f>IF(AND(AND(AND(U$4&gt;='2025'!$L262,U$4&lt;='2025'!$M262), U$4&lt;&gt;DATE(2025,7,4)), (SWITCH(weekday(U$4), 1, 0, 2, if(ISBLANK('2025'!$P262), 0, 1), 3, if(ISBLANK('2025'!$Q262), 0, 1), 4, if(ISBLANK('2025'!$R262), 0, 1), 5, if(ISBLANK('2025'!$S262), 0, 1), 6, if(ISBLANK('2025'!$T262), 0, 1), 7, 0))), 1, "")</f>
        <v/>
      </c>
      <c r="V264" s="1" t="str">
        <f>IF(AND(AND(AND(V$4&gt;='2025'!$L262,V$4&lt;='2025'!$M262), V$4&lt;&gt;DATE(2025,7,4)), (SWITCH(weekday(V$4), 1, 0, 2, if(ISBLANK('2025'!$P262), 0, 1), 3, if(ISBLANK('2025'!$Q262), 0, 1), 4, if(ISBLANK('2025'!$R262), 0, 1), 5, if(ISBLANK('2025'!$S262), 0, 1), 6, if(ISBLANK('2025'!$T262), 0, 1), 7, 0))), 1, "")</f>
        <v/>
      </c>
      <c r="W264" s="1" t="str">
        <f>IF(AND(AND(AND(W$4&gt;='2025'!$L262,W$4&lt;='2025'!$M262), W$4&lt;&gt;DATE(2025,7,4)), (SWITCH(weekday(W$4), 1, 0, 2, if(ISBLANK('2025'!$P262), 0, 1), 3, if(ISBLANK('2025'!$Q262), 0, 1), 4, if(ISBLANK('2025'!$R262), 0, 1), 5, if(ISBLANK('2025'!$S262), 0, 1), 6, if(ISBLANK('2025'!$T262), 0, 1), 7, 0))), 1, "")</f>
        <v/>
      </c>
      <c r="X264" s="1" t="str">
        <f>IF(AND(AND(AND(X$4&gt;='2025'!$L262,X$4&lt;='2025'!$M262), X$4&lt;&gt;DATE(2025,7,4)), (SWITCH(weekday(X$4), 1, 0, 2, if(ISBLANK('2025'!$P262), 0, 1), 3, if(ISBLANK('2025'!$Q262), 0, 1), 4, if(ISBLANK('2025'!$R262), 0, 1), 5, if(ISBLANK('2025'!$S262), 0, 1), 6, if(ISBLANK('2025'!$T262), 0, 1), 7, 0))), 1, "")</f>
        <v/>
      </c>
      <c r="Y264" s="1" t="str">
        <f>IF(AND(AND(AND(Y$4&gt;='2025'!$L262,Y$4&lt;='2025'!$M262), Y$4&lt;&gt;DATE(2025,7,4)), (SWITCH(weekday(Y$4), 1, 0, 2, if(ISBLANK('2025'!$P262), 0, 1), 3, if(ISBLANK('2025'!$Q262), 0, 1), 4, if(ISBLANK('2025'!$R262), 0, 1), 5, if(ISBLANK('2025'!$S262), 0, 1), 6, if(ISBLANK('2025'!$T262), 0, 1), 7, 0))), 1, "")</f>
        <v/>
      </c>
      <c r="Z264" s="1" t="str">
        <f>IF(AND(AND(AND(Z$4&gt;='2025'!$L262,Z$4&lt;='2025'!$M262), Z$4&lt;&gt;DATE(2025,7,4)), (SWITCH(weekday(Z$4), 1, 0, 2, if(ISBLANK('2025'!$P262), 0, 1), 3, if(ISBLANK('2025'!$Q262), 0, 1), 4, if(ISBLANK('2025'!$R262), 0, 1), 5, if(ISBLANK('2025'!$S262), 0, 1), 6, if(ISBLANK('2025'!$T262), 0, 1), 7, 0))), 1, "")</f>
        <v/>
      </c>
      <c r="AA264" s="1" t="str">
        <f>IF(AND(AND(AND(AA$4&gt;='2025'!$L262,AA$4&lt;='2025'!$M262), AA$4&lt;&gt;DATE(2025,7,4)), (SWITCH(weekday(AA$4), 1, 0, 2, if(ISBLANK('2025'!$P262), 0, 1), 3, if(ISBLANK('2025'!$Q262), 0, 1), 4, if(ISBLANK('2025'!$R262), 0, 1), 5, if(ISBLANK('2025'!$S262), 0, 1), 6, if(ISBLANK('2025'!$T262), 0, 1), 7, 0))), 1, "")</f>
        <v/>
      </c>
      <c r="AB264" s="1" t="str">
        <f>IF(AND(AND(AND(AB$4&gt;='2025'!$L262,AB$4&lt;='2025'!$M262), AB$4&lt;&gt;DATE(2025,7,4)), (SWITCH(weekday(AB$4), 1, 0, 2, if(ISBLANK('2025'!$P262), 0, 1), 3, if(ISBLANK('2025'!$Q262), 0, 1), 4, if(ISBLANK('2025'!$R262), 0, 1), 5, if(ISBLANK('2025'!$S262), 0, 1), 6, if(ISBLANK('2025'!$T262), 0, 1), 7, 0))), 1, "")</f>
        <v/>
      </c>
      <c r="AC264" s="1" t="str">
        <f>IF(AND(AND(AND(AC$4&gt;='2025'!$L262,AC$4&lt;='2025'!$M262), AC$4&lt;&gt;DATE(2025,7,4)), (SWITCH(weekday(AC$4), 1, 0, 2, if(ISBLANK('2025'!$P262), 0, 1), 3, if(ISBLANK('2025'!$Q262), 0, 1), 4, if(ISBLANK('2025'!$R262), 0, 1), 5, if(ISBLANK('2025'!$S262), 0, 1), 6, if(ISBLANK('2025'!$T262), 0, 1), 7, 0))), 1, "")</f>
        <v/>
      </c>
      <c r="AD264" s="1" t="str">
        <f>IF(AND(AND(AND(AD$4&gt;='2025'!$L262,AD$4&lt;='2025'!$M262), AD$4&lt;&gt;DATE(2025,7,4)), (SWITCH(weekday(AD$4), 1, 0, 2, if(ISBLANK('2025'!$P262), 0, 1), 3, if(ISBLANK('2025'!$Q262), 0, 1), 4, if(ISBLANK('2025'!$R262), 0, 1), 5, if(ISBLANK('2025'!$S262), 0, 1), 6, if(ISBLANK('2025'!$T262), 0, 1), 7, 0))), 1, "")</f>
        <v/>
      </c>
      <c r="AE264" s="1" t="str">
        <f>IF(AND(AND(AND(AE$4&gt;='2025'!$L262,AE$4&lt;='2025'!$M262), AE$4&lt;&gt;DATE(2025,7,4)), (SWITCH(weekday(AE$4), 1, 0, 2, if(ISBLANK('2025'!$P262), 0, 1), 3, if(ISBLANK('2025'!$Q262), 0, 1), 4, if(ISBLANK('2025'!$R262), 0, 1), 5, if(ISBLANK('2025'!$S262), 0, 1), 6, if(ISBLANK('2025'!$T262), 0, 1), 7, 0))), 1, "")</f>
        <v/>
      </c>
      <c r="AF264" s="1" t="str">
        <f>IF(AND(AND(AND(AF$4&gt;='2025'!$L262,AF$4&lt;='2025'!$M262), AF$4&lt;&gt;DATE(2025,7,4)), (SWITCH(weekday(AF$4), 1, 0, 2, if(ISBLANK('2025'!$P262), 0, 1), 3, if(ISBLANK('2025'!$Q262), 0, 1), 4, if(ISBLANK('2025'!$R262), 0, 1), 5, if(ISBLANK('2025'!$S262), 0, 1), 6, if(ISBLANK('2025'!$T262), 0, 1), 7, 0))), 1, "")</f>
        <v/>
      </c>
      <c r="AG264" s="1" t="str">
        <f>IF(AND(AND(AND(AG$4&gt;='2025'!$L262,AG$4&lt;='2025'!$M262), AG$4&lt;&gt;DATE(2025,7,4)), (SWITCH(weekday(AG$4), 1, 0, 2, if(ISBLANK('2025'!$P262), 0, 1), 3, if(ISBLANK('2025'!$Q262), 0, 1), 4, if(ISBLANK('2025'!$R262), 0, 1), 5, if(ISBLANK('2025'!$S262), 0, 1), 6, if(ISBLANK('2025'!$T262), 0, 1), 7, 0))), 1, "")</f>
        <v/>
      </c>
      <c r="AH264" s="1" t="str">
        <f>IF(AND(AND(AND(AH$4&gt;='2025'!$L262,AH$4&lt;='2025'!$M262), AH$4&lt;&gt;DATE(2025,7,4)), (SWITCH(weekday(AH$4), 1, 0, 2, if(ISBLANK('2025'!$P262), 0, 1), 3, if(ISBLANK('2025'!$Q262), 0, 1), 4, if(ISBLANK('2025'!$R262), 0, 1), 5, if(ISBLANK('2025'!$S262), 0, 1), 6, if(ISBLANK('2025'!$T262), 0, 1), 7, 0))), 1, "")</f>
        <v/>
      </c>
      <c r="AI264" s="1" t="str">
        <f>IF(AND(AND(AND(AI$4&gt;='2025'!$L262,AI$4&lt;='2025'!$M262), AI$4&lt;&gt;DATE(2025,7,4)), (SWITCH(weekday(AI$4), 1, 0, 2, if(ISBLANK('2025'!$P262), 0, 1), 3, if(ISBLANK('2025'!$Q262), 0, 1), 4, if(ISBLANK('2025'!$R262), 0, 1), 5, if(ISBLANK('2025'!$S262), 0, 1), 6, if(ISBLANK('2025'!$T262), 0, 1), 7, 0))), 1, "")</f>
        <v/>
      </c>
      <c r="AJ264" s="1" t="str">
        <f>IF(AND(AND(AND(AJ$4&gt;='2025'!$L262,AJ$4&lt;='2025'!$M262), AJ$4&lt;&gt;DATE(2025,7,4)), (SWITCH(weekday(AJ$4), 1, 0, 2, if(ISBLANK('2025'!$P262), 0, 1), 3, if(ISBLANK('2025'!$Q262), 0, 1), 4, if(ISBLANK('2025'!$R262), 0, 1), 5, if(ISBLANK('2025'!$S262), 0, 1), 6, if(ISBLANK('2025'!$T262), 0, 1), 7, 0))), 1, "")</f>
        <v/>
      </c>
      <c r="AK264" s="1" t="str">
        <f>IF(AND(AND(AND(AK$4&gt;='2025'!$L262,AK$4&lt;='2025'!$M262), AK$4&lt;&gt;DATE(2025,7,4)), (SWITCH(weekday(AK$4), 1, 0, 2, if(ISBLANK('2025'!$P262), 0, 1), 3, if(ISBLANK('2025'!$Q262), 0, 1), 4, if(ISBLANK('2025'!$R262), 0, 1), 5, if(ISBLANK('2025'!$S262), 0, 1), 6, if(ISBLANK('2025'!$T262), 0, 1), 7, 0))), 1, "")</f>
        <v/>
      </c>
      <c r="AL264" s="1" t="str">
        <f>IF(AND(AND(AND(AL$4&gt;='2025'!$L262,AL$4&lt;='2025'!$M262), AL$4&lt;&gt;DATE(2025,7,4)), (SWITCH(weekday(AL$4), 1, 0, 2, if(ISBLANK('2025'!$P262), 0, 1), 3, if(ISBLANK('2025'!$Q262), 0, 1), 4, if(ISBLANK('2025'!$R262), 0, 1), 5, if(ISBLANK('2025'!$S262), 0, 1), 6, if(ISBLANK('2025'!$T262), 0, 1), 7, 0))), 1, "")</f>
        <v/>
      </c>
      <c r="AM264" s="1" t="str">
        <f>IF(AND(AND(AND(AM$4&gt;='2025'!$L262,AM$4&lt;='2025'!$M262), AM$4&lt;&gt;DATE(2025,7,4)), (SWITCH(weekday(AM$4), 1, 0, 2, if(ISBLANK('2025'!$P262), 0, 1), 3, if(ISBLANK('2025'!$Q262), 0, 1), 4, if(ISBLANK('2025'!$R262), 0, 1), 5, if(ISBLANK('2025'!$S262), 0, 1), 6, if(ISBLANK('2025'!$T262), 0, 1), 7, 0))), 1, "")</f>
        <v/>
      </c>
      <c r="AN264" s="1" t="str">
        <f>IF(AND(AND(AND(AN$4&gt;='2025'!$L262,AN$4&lt;='2025'!$M262), AN$4&lt;&gt;DATE(2025,7,4)), (SWITCH(weekday(AN$4), 1, 0, 2, if(ISBLANK('2025'!$P262), 0, 1), 3, if(ISBLANK('2025'!$Q262), 0, 1), 4, if(ISBLANK('2025'!$R262), 0, 1), 5, if(ISBLANK('2025'!$S262), 0, 1), 6, if(ISBLANK('2025'!$T262), 0, 1), 7, 0))), 1, "")</f>
        <v/>
      </c>
      <c r="AO264" s="1" t="str">
        <f>IF(AND(AND(AND(AO$4&gt;='2025'!$L262,AO$4&lt;='2025'!$M262), AO$4&lt;&gt;DATE(2025,7,4)), (SWITCH(weekday(AO$4), 1, 0, 2, if(ISBLANK('2025'!$P262), 0, 1), 3, if(ISBLANK('2025'!$Q262), 0, 1), 4, if(ISBLANK('2025'!$R262), 0, 1), 5, if(ISBLANK('2025'!$S262), 0, 1), 6, if(ISBLANK('2025'!$T262), 0, 1), 7, 0))), 1, "")</f>
        <v/>
      </c>
      <c r="AP264" s="1" t="str">
        <f>IF(AND(AND(AND(AP$4&gt;='2025'!$L262,AP$4&lt;='2025'!$M262), AP$4&lt;&gt;DATE(2025,7,4)), (SWITCH(weekday(AP$4), 1, 0, 2, if(ISBLANK('2025'!$P262), 0, 1), 3, if(ISBLANK('2025'!$Q262), 0, 1), 4, if(ISBLANK('2025'!$R262), 0, 1), 5, if(ISBLANK('2025'!$S262), 0, 1), 6, if(ISBLANK('2025'!$T262), 0, 1), 7, 0))), 1, "")</f>
        <v/>
      </c>
      <c r="AQ264" s="1" t="str">
        <f>IF(AND(AND(AND(AQ$4&gt;='2025'!$L262,AQ$4&lt;='2025'!$M262), AQ$4&lt;&gt;DATE(2025,7,4)), (SWITCH(weekday(AQ$4), 1, 0, 2, if(ISBLANK('2025'!$P262), 0, 1), 3, if(ISBLANK('2025'!$Q262), 0, 1), 4, if(ISBLANK('2025'!$R262), 0, 1), 5, if(ISBLANK('2025'!$S262), 0, 1), 6, if(ISBLANK('2025'!$T262), 0, 1), 7, 0))), 1, "")</f>
        <v/>
      </c>
      <c r="AR264" s="1" t="str">
        <f>IF(AND(AND(AND(AR$4&gt;='2025'!$L262,AR$4&lt;='2025'!$M262), AR$4&lt;&gt;DATE(2025,7,4)), (SWITCH(weekday(AR$4), 1, 0, 2, if(ISBLANK('2025'!$P262), 0, 1), 3, if(ISBLANK('2025'!$Q262), 0, 1), 4, if(ISBLANK('2025'!$R262), 0, 1), 5, if(ISBLANK('2025'!$S262), 0, 1), 6, if(ISBLANK('2025'!$T262), 0, 1), 7, 0))), 1, "")</f>
        <v/>
      </c>
      <c r="AS264" s="1" t="str">
        <f>IF(AND(AND(AND(AS$4&gt;='2025'!$L262,AS$4&lt;='2025'!$M262), AS$4&lt;&gt;DATE(2025,7,4)), (SWITCH(weekday(AS$4), 1, 0, 2, if(ISBLANK('2025'!$P262), 0, 1), 3, if(ISBLANK('2025'!$Q262), 0, 1), 4, if(ISBLANK('2025'!$R262), 0, 1), 5, if(ISBLANK('2025'!$S262), 0, 1), 6, if(ISBLANK('2025'!$T262), 0, 1), 7, 0))), 1, "")</f>
        <v/>
      </c>
      <c r="AT264" s="1" t="str">
        <f>IF(AND(AND(AND(AT$4&gt;='2025'!$L262,AT$4&lt;='2025'!$M262), AT$4&lt;&gt;DATE(2025,7,4)), (SWITCH(weekday(AT$4), 1, 0, 2, if(ISBLANK('2025'!$P262), 0, 1), 3, if(ISBLANK('2025'!$Q262), 0, 1), 4, if(ISBLANK('2025'!$R262), 0, 1), 5, if(ISBLANK('2025'!$S262), 0, 1), 6, if(ISBLANK('2025'!$T262), 0, 1), 7, 0))), 1, "")</f>
        <v/>
      </c>
      <c r="AU264" s="1" t="str">
        <f>IF(AND(AND(AND(AU$4&gt;='2025'!$L262,AU$4&lt;='2025'!$M262), AU$4&lt;&gt;DATE(2025,7,4)), (SWITCH(weekday(AU$4), 1, 0, 2, if(ISBLANK('2025'!$P262), 0, 1), 3, if(ISBLANK('2025'!$Q262), 0, 1), 4, if(ISBLANK('2025'!$R262), 0, 1), 5, if(ISBLANK('2025'!$S262), 0, 1), 6, if(ISBLANK('2025'!$T262), 0, 1), 7, 0))), 1, "")</f>
        <v/>
      </c>
      <c r="AV264" s="1" t="str">
        <f>IF(AND(AND(AND(AV$4&gt;='2025'!$L262,AV$4&lt;='2025'!$M262), AV$4&lt;&gt;DATE(2025,7,4)), (SWITCH(weekday(AV$4), 1, 0, 2, if(ISBLANK('2025'!$P262), 0, 1), 3, if(ISBLANK('2025'!$Q262), 0, 1), 4, if(ISBLANK('2025'!$R262), 0, 1), 5, if(ISBLANK('2025'!$S262), 0, 1), 6, if(ISBLANK('2025'!$T262), 0, 1), 7, 0))), 1, "")</f>
        <v/>
      </c>
      <c r="AW264" s="1" t="str">
        <f>IF(AND(AND(AND(AW$4&gt;='2025'!$L262,AW$4&lt;='2025'!$M262), AW$4&lt;&gt;DATE(2025,7,4)), (SWITCH(weekday(AW$4), 1, 0, 2, if(ISBLANK('2025'!$P262), 0, 1), 3, if(ISBLANK('2025'!$Q262), 0, 1), 4, if(ISBLANK('2025'!$R262), 0, 1), 5, if(ISBLANK('2025'!$S262), 0, 1), 6, if(ISBLANK('2025'!$T262), 0, 1), 7, 0))), 1, "")</f>
        <v/>
      </c>
      <c r="AX264" s="1" t="str">
        <f>IF(AND(AND(AND(AX$4&gt;='2025'!$L262,AX$4&lt;='2025'!$M262), AX$4&lt;&gt;DATE(2025,7,4)), (SWITCH(weekday(AX$4), 1, 0, 2, if(ISBLANK('2025'!$P262), 0, 1), 3, if(ISBLANK('2025'!$Q262), 0, 1), 4, if(ISBLANK('2025'!$R262), 0, 1), 5, if(ISBLANK('2025'!$S262), 0, 1), 6, if(ISBLANK('2025'!$T262), 0, 1), 7, 0))), 1, "")</f>
        <v/>
      </c>
      <c r="AY264" s="1" t="str">
        <f>IF(AND(AND(AND(AY$4&gt;='2025'!$L262,AY$4&lt;='2025'!$M262), AY$4&lt;&gt;DATE(2025,7,4)), (SWITCH(weekday(AY$4), 1, 0, 2, if(ISBLANK('2025'!$P262), 0, 1), 3, if(ISBLANK('2025'!$Q262), 0, 1), 4, if(ISBLANK('2025'!$R262), 0, 1), 5, if(ISBLANK('2025'!$S262), 0, 1), 6, if(ISBLANK('2025'!$T262), 0, 1), 7, 0))), 1, "")</f>
        <v/>
      </c>
      <c r="AZ264" s="1" t="str">
        <f>IF(AND(AND(AND(AZ$4&gt;='2025'!$L262,AZ$4&lt;='2025'!$M262), AZ$4&lt;&gt;DATE(2025,7,4)), (SWITCH(weekday(AZ$4), 1, 0, 2, if(ISBLANK('2025'!$P262), 0, 1), 3, if(ISBLANK('2025'!$Q262), 0, 1), 4, if(ISBLANK('2025'!$R262), 0, 1), 5, if(ISBLANK('2025'!$S262), 0, 1), 6, if(ISBLANK('2025'!$T262), 0, 1), 7, 0))), 1, "")</f>
        <v/>
      </c>
      <c r="BA264" s="1" t="str">
        <f>IF(AND(AND(AND(BA$4&gt;='2025'!$L262,BA$4&lt;='2025'!$M262), BA$4&lt;&gt;DATE(2025,7,4)), (SWITCH(weekday(BA$4), 1, 0, 2, if(ISBLANK('2025'!$P262), 0, 1), 3, if(ISBLANK('2025'!$Q262), 0, 1), 4, if(ISBLANK('2025'!$R262), 0, 1), 5, if(ISBLANK('2025'!$S262), 0, 1), 6, if(ISBLANK('2025'!$T262), 0, 1), 7, 0))), 1, "")</f>
        <v/>
      </c>
      <c r="BB264" s="1" t="str">
        <f>IF(AND(AND(AND(BB$4&gt;='2025'!$L262,BB$4&lt;='2025'!$M262), BB$4&lt;&gt;DATE(2025,7,4)), (SWITCH(weekday(BB$4), 1, 0, 2, if(ISBLANK('2025'!$P262), 0, 1), 3, if(ISBLANK('2025'!$Q262), 0, 1), 4, if(ISBLANK('2025'!$R262), 0, 1), 5, if(ISBLANK('2025'!$S262), 0, 1), 6, if(ISBLANK('2025'!$T262), 0, 1), 7, 0))), 1, "")</f>
        <v/>
      </c>
      <c r="BC264" s="1" t="str">
        <f>IF(AND(AND(AND(BC$4&gt;='2025'!$L262,BC$4&lt;='2025'!$M262), BC$4&lt;&gt;DATE(2025,7,4)), (SWITCH(weekday(BC$4), 1, 0, 2, if(ISBLANK('2025'!$P262), 0, 1), 3, if(ISBLANK('2025'!$Q262), 0, 1), 4, if(ISBLANK('2025'!$R262), 0, 1), 5, if(ISBLANK('2025'!$S262), 0, 1), 6, if(ISBLANK('2025'!$T262), 0, 1), 7, 0))), 1, "")</f>
        <v/>
      </c>
      <c r="BD264" s="1" t="str">
        <f>IF(AND(AND(AND(BD$4&gt;='2025'!$L262,BD$4&lt;='2025'!$M262), BD$4&lt;&gt;DATE(2025,7,4)), (SWITCH(weekday(BD$4), 1, 0, 2, if(ISBLANK('2025'!$P262), 0, 1), 3, if(ISBLANK('2025'!$Q262), 0, 1), 4, if(ISBLANK('2025'!$R262), 0, 1), 5, if(ISBLANK('2025'!$S262), 0, 1), 6, if(ISBLANK('2025'!$T262), 0, 1), 7, 0))), 1, "")</f>
        <v/>
      </c>
      <c r="BE264" s="1" t="str">
        <f>IF(AND(AND(AND(BE$4&gt;='2025'!$L262,BE$4&lt;='2025'!$M262), BE$4&lt;&gt;DATE(2025,7,4)), (SWITCH(weekday(BE$4), 1, 0, 2, if(ISBLANK('2025'!$P262), 0, 1), 3, if(ISBLANK('2025'!$Q262), 0, 1), 4, if(ISBLANK('2025'!$R262), 0, 1), 5, if(ISBLANK('2025'!$S262), 0, 1), 6, if(ISBLANK('2025'!$T262), 0, 1), 7, 0))), 1, "")</f>
        <v/>
      </c>
      <c r="BF264" s="1" t="str">
        <f>IF(AND(AND(AND(BF$4&gt;='2025'!$L262,BF$4&lt;='2025'!$M262), BF$4&lt;&gt;DATE(2025,7,4)), (SWITCH(weekday(BF$4), 1, 0, 2, if(ISBLANK('2025'!$P262), 0, 1), 3, if(ISBLANK('2025'!$Q262), 0, 1), 4, if(ISBLANK('2025'!$R262), 0, 1), 5, if(ISBLANK('2025'!$S262), 0, 1), 6, if(ISBLANK('2025'!$T262), 0, 1), 7, 0))), 1, "")</f>
        <v/>
      </c>
      <c r="BG264" s="1"/>
      <c r="BH264" s="1"/>
      <c r="BI264" s="1"/>
      <c r="BJ264" s="1"/>
      <c r="BK264" s="1"/>
      <c r="BL264" s="1"/>
    </row>
    <row r="265">
      <c r="A265" s="1">
        <f t="shared" si="3"/>
        <v>265</v>
      </c>
      <c r="B265" s="1" t="str">
        <f>'2025'!D229</f>
        <v>, </v>
      </c>
      <c r="C265" s="1" t="str">
        <f>'2025'!H229</f>
        <v/>
      </c>
      <c r="D265" s="1" t="str">
        <f>IF(AND(AND(AND(D$4&gt;='2025'!$L263,D$4&lt;='2025'!$M263), D$4&lt;&gt;DATE(2025,7,4)), (SWITCH(weekday(D$4), 1, 0, 2, if(ISBLANK('2025'!$P263), 0, 1), 3, if(ISBLANK('2025'!$Q263), 0, 1), 4, if(ISBLANK('2025'!$R263), 0, 1), 5, if(ISBLANK('2025'!$S263), 0, 1), 6, if(ISBLANK('2025'!$T263), 0, 1), 7, 0))), 1, "")</f>
        <v/>
      </c>
      <c r="E265" s="1" t="str">
        <f>IF(AND(AND(AND(E$4&gt;='2025'!$L263,E$4&lt;='2025'!$M263), E$4&lt;&gt;DATE(2025,7,4)), (SWITCH(weekday(E$4), 1, 0, 2, if(ISBLANK('2025'!$P263), 0, 1), 3, if(ISBLANK('2025'!$Q263), 0, 1), 4, if(ISBLANK('2025'!$R263), 0, 1), 5, if(ISBLANK('2025'!$S263), 0, 1), 6, if(ISBLANK('2025'!$T263), 0, 1), 7, 0))), 1, "")</f>
        <v/>
      </c>
      <c r="F265" s="1" t="str">
        <f>IF(AND(AND(AND(F$4&gt;='2025'!$L263,F$4&lt;='2025'!$M263), F$4&lt;&gt;DATE(2025,7,4)), (SWITCH(weekday(F$4), 1, 0, 2, if(ISBLANK('2025'!$P263), 0, 1), 3, if(ISBLANK('2025'!$Q263), 0, 1), 4, if(ISBLANK('2025'!$R263), 0, 1), 5, if(ISBLANK('2025'!$S263), 0, 1), 6, if(ISBLANK('2025'!$T263), 0, 1), 7, 0))), 1, "")</f>
        <v/>
      </c>
      <c r="G265" s="1" t="str">
        <f>IF(AND(AND(AND(G$4&gt;='2025'!$L263,G$4&lt;='2025'!$M263), G$4&lt;&gt;DATE(2025,7,4)), (SWITCH(weekday(G$4), 1, 0, 2, if(ISBLANK('2025'!$P263), 0, 1), 3, if(ISBLANK('2025'!$Q263), 0, 1), 4, if(ISBLANK('2025'!$R263), 0, 1), 5, if(ISBLANK('2025'!$S263), 0, 1), 6, if(ISBLANK('2025'!$T263), 0, 1), 7, 0))), 1, "")</f>
        <v/>
      </c>
      <c r="H265" s="1" t="str">
        <f>IF(AND(AND(AND(H$4&gt;='2025'!$L263,H$4&lt;='2025'!$M263), H$4&lt;&gt;DATE(2025,7,4)), (SWITCH(weekday(H$4), 1, 0, 2, if(ISBLANK('2025'!$P263), 0, 1), 3, if(ISBLANK('2025'!$Q263), 0, 1), 4, if(ISBLANK('2025'!$R263), 0, 1), 5, if(ISBLANK('2025'!$S263), 0, 1), 6, if(ISBLANK('2025'!$T263), 0, 1), 7, 0))), 1, "")</f>
        <v/>
      </c>
      <c r="I265" s="1" t="str">
        <f>IF(AND(AND(AND(I$4&gt;='2025'!$L263,I$4&lt;='2025'!$M263), I$4&lt;&gt;DATE(2025,7,4)), (SWITCH(weekday(I$4), 1, 0, 2, if(ISBLANK('2025'!$P263), 0, 1), 3, if(ISBLANK('2025'!$Q263), 0, 1), 4, if(ISBLANK('2025'!$R263), 0, 1), 5, if(ISBLANK('2025'!$S263), 0, 1), 6, if(ISBLANK('2025'!$T263), 0, 1), 7, 0))), 1, "")</f>
        <v/>
      </c>
      <c r="J265" s="1" t="str">
        <f>IF(AND(AND(AND(J$4&gt;='2025'!$L263,J$4&lt;='2025'!$M263), J$4&lt;&gt;DATE(2025,7,4)), (SWITCH(weekday(J$4), 1, 0, 2, if(ISBLANK('2025'!$P263), 0, 1), 3, if(ISBLANK('2025'!$Q263), 0, 1), 4, if(ISBLANK('2025'!$R263), 0, 1), 5, if(ISBLANK('2025'!$S263), 0, 1), 6, if(ISBLANK('2025'!$T263), 0, 1), 7, 0))), 1, "")</f>
        <v/>
      </c>
      <c r="K265" s="1" t="str">
        <f>IF(AND(AND(AND(K$4&gt;='2025'!$L263,K$4&lt;='2025'!$M263), K$4&lt;&gt;DATE(2025,7,4)), (SWITCH(weekday(K$4), 1, 0, 2, if(ISBLANK('2025'!$P263), 0, 1), 3, if(ISBLANK('2025'!$Q263), 0, 1), 4, if(ISBLANK('2025'!$R263), 0, 1), 5, if(ISBLANK('2025'!$S263), 0, 1), 6, if(ISBLANK('2025'!$T263), 0, 1), 7, 0))), 1, "")</f>
        <v/>
      </c>
      <c r="L265" s="1" t="str">
        <f>IF(AND(AND(AND(L$4&gt;='2025'!$L263,L$4&lt;='2025'!$M263), L$4&lt;&gt;DATE(2025,7,4)), (SWITCH(weekday(L$4), 1, 0, 2, if(ISBLANK('2025'!$P263), 0, 1), 3, if(ISBLANK('2025'!$Q263), 0, 1), 4, if(ISBLANK('2025'!$R263), 0, 1), 5, if(ISBLANK('2025'!$S263), 0, 1), 6, if(ISBLANK('2025'!$T263), 0, 1), 7, 0))), 1, "")</f>
        <v/>
      </c>
      <c r="M265" s="1" t="str">
        <f>IF(AND(AND(AND(M$4&gt;='2025'!$L263,M$4&lt;='2025'!$M263), M$4&lt;&gt;DATE(2025,7,4)), (SWITCH(weekday(M$4), 1, 0, 2, if(ISBLANK('2025'!$P263), 0, 1), 3, if(ISBLANK('2025'!$Q263), 0, 1), 4, if(ISBLANK('2025'!$R263), 0, 1), 5, if(ISBLANK('2025'!$S263), 0, 1), 6, if(ISBLANK('2025'!$T263), 0, 1), 7, 0))), 1, "")</f>
        <v/>
      </c>
      <c r="N265" s="1" t="str">
        <f>IF(AND(AND(AND(N$4&gt;='2025'!$L263,N$4&lt;='2025'!$M263), N$4&lt;&gt;DATE(2025,7,4)), (SWITCH(weekday(N$4), 1, 0, 2, if(ISBLANK('2025'!$P263), 0, 1), 3, if(ISBLANK('2025'!$Q263), 0, 1), 4, if(ISBLANK('2025'!$R263), 0, 1), 5, if(ISBLANK('2025'!$S263), 0, 1), 6, if(ISBLANK('2025'!$T263), 0, 1), 7, 0))), 1, "")</f>
        <v/>
      </c>
      <c r="O265" s="1" t="str">
        <f>IF(AND(AND(AND(O$4&gt;='2025'!$L263,O$4&lt;='2025'!$M263), O$4&lt;&gt;DATE(2025,7,4)), (SWITCH(weekday(O$4), 1, 0, 2, if(ISBLANK('2025'!$P263), 0, 1), 3, if(ISBLANK('2025'!$Q263), 0, 1), 4, if(ISBLANK('2025'!$R263), 0, 1), 5, if(ISBLANK('2025'!$S263), 0, 1), 6, if(ISBLANK('2025'!$T263), 0, 1), 7, 0))), 1, "")</f>
        <v/>
      </c>
      <c r="P265" s="1" t="str">
        <f>IF(AND(AND(AND(P$4&gt;='2025'!$L263,P$4&lt;='2025'!$M263), P$4&lt;&gt;DATE(2025,7,4)), (SWITCH(weekday(P$4), 1, 0, 2, if(ISBLANK('2025'!$P263), 0, 1), 3, if(ISBLANK('2025'!$Q263), 0, 1), 4, if(ISBLANK('2025'!$R263), 0, 1), 5, if(ISBLANK('2025'!$S263), 0, 1), 6, if(ISBLANK('2025'!$T263), 0, 1), 7, 0))), 1, "")</f>
        <v/>
      </c>
      <c r="Q265" s="1" t="str">
        <f>IF(AND(AND(AND(Q$4&gt;='2025'!$L263,Q$4&lt;='2025'!$M263), Q$4&lt;&gt;DATE(2025,7,4)), (SWITCH(weekday(Q$4), 1, 0, 2, if(ISBLANK('2025'!$P263), 0, 1), 3, if(ISBLANK('2025'!$Q263), 0, 1), 4, if(ISBLANK('2025'!$R263), 0, 1), 5, if(ISBLANK('2025'!$S263), 0, 1), 6, if(ISBLANK('2025'!$T263), 0, 1), 7, 0))), 1, "")</f>
        <v/>
      </c>
      <c r="R265" s="1" t="str">
        <f>IF(AND(AND(AND(R$4&gt;='2025'!$L263,R$4&lt;='2025'!$M263), R$4&lt;&gt;DATE(2025,7,4)), (SWITCH(weekday(R$4), 1, 0, 2, if(ISBLANK('2025'!$P263), 0, 1), 3, if(ISBLANK('2025'!$Q263), 0, 1), 4, if(ISBLANK('2025'!$R263), 0, 1), 5, if(ISBLANK('2025'!$S263), 0, 1), 6, if(ISBLANK('2025'!$T263), 0, 1), 7, 0))), 1, "")</f>
        <v/>
      </c>
      <c r="S265" s="1" t="str">
        <f>IF(AND(AND(AND(S$4&gt;='2025'!$L263,S$4&lt;='2025'!$M263), S$4&lt;&gt;DATE(2025,7,4)), (SWITCH(weekday(S$4), 1, 0, 2, if(ISBLANK('2025'!$P263), 0, 1), 3, if(ISBLANK('2025'!$Q263), 0, 1), 4, if(ISBLANK('2025'!$R263), 0, 1), 5, if(ISBLANK('2025'!$S263), 0, 1), 6, if(ISBLANK('2025'!$T263), 0, 1), 7, 0))), 1, "")</f>
        <v/>
      </c>
      <c r="T265" s="1" t="str">
        <f>IF(AND(AND(AND(T$4&gt;='2025'!$L263,T$4&lt;='2025'!$M263), T$4&lt;&gt;DATE(2025,7,4)), (SWITCH(weekday(T$4), 1, 0, 2, if(ISBLANK('2025'!$P263), 0, 1), 3, if(ISBLANK('2025'!$Q263), 0, 1), 4, if(ISBLANK('2025'!$R263), 0, 1), 5, if(ISBLANK('2025'!$S263), 0, 1), 6, if(ISBLANK('2025'!$T263), 0, 1), 7, 0))), 1, "")</f>
        <v/>
      </c>
      <c r="U265" s="1" t="str">
        <f>IF(AND(AND(AND(U$4&gt;='2025'!$L263,U$4&lt;='2025'!$M263), U$4&lt;&gt;DATE(2025,7,4)), (SWITCH(weekday(U$4), 1, 0, 2, if(ISBLANK('2025'!$P263), 0, 1), 3, if(ISBLANK('2025'!$Q263), 0, 1), 4, if(ISBLANK('2025'!$R263), 0, 1), 5, if(ISBLANK('2025'!$S263), 0, 1), 6, if(ISBLANK('2025'!$T263), 0, 1), 7, 0))), 1, "")</f>
        <v/>
      </c>
      <c r="V265" s="1" t="str">
        <f>IF(AND(AND(AND(V$4&gt;='2025'!$L263,V$4&lt;='2025'!$M263), V$4&lt;&gt;DATE(2025,7,4)), (SWITCH(weekday(V$4), 1, 0, 2, if(ISBLANK('2025'!$P263), 0, 1), 3, if(ISBLANK('2025'!$Q263), 0, 1), 4, if(ISBLANK('2025'!$R263), 0, 1), 5, if(ISBLANK('2025'!$S263), 0, 1), 6, if(ISBLANK('2025'!$T263), 0, 1), 7, 0))), 1, "")</f>
        <v/>
      </c>
      <c r="W265" s="1" t="str">
        <f>IF(AND(AND(AND(W$4&gt;='2025'!$L263,W$4&lt;='2025'!$M263), W$4&lt;&gt;DATE(2025,7,4)), (SWITCH(weekday(W$4), 1, 0, 2, if(ISBLANK('2025'!$P263), 0, 1), 3, if(ISBLANK('2025'!$Q263), 0, 1), 4, if(ISBLANK('2025'!$R263), 0, 1), 5, if(ISBLANK('2025'!$S263), 0, 1), 6, if(ISBLANK('2025'!$T263), 0, 1), 7, 0))), 1, "")</f>
        <v/>
      </c>
      <c r="X265" s="1" t="str">
        <f>IF(AND(AND(AND(X$4&gt;='2025'!$L263,X$4&lt;='2025'!$M263), X$4&lt;&gt;DATE(2025,7,4)), (SWITCH(weekday(X$4), 1, 0, 2, if(ISBLANK('2025'!$P263), 0, 1), 3, if(ISBLANK('2025'!$Q263), 0, 1), 4, if(ISBLANK('2025'!$R263), 0, 1), 5, if(ISBLANK('2025'!$S263), 0, 1), 6, if(ISBLANK('2025'!$T263), 0, 1), 7, 0))), 1, "")</f>
        <v/>
      </c>
      <c r="Y265" s="1" t="str">
        <f>IF(AND(AND(AND(Y$4&gt;='2025'!$L263,Y$4&lt;='2025'!$M263), Y$4&lt;&gt;DATE(2025,7,4)), (SWITCH(weekday(Y$4), 1, 0, 2, if(ISBLANK('2025'!$P263), 0, 1), 3, if(ISBLANK('2025'!$Q263), 0, 1), 4, if(ISBLANK('2025'!$R263), 0, 1), 5, if(ISBLANK('2025'!$S263), 0, 1), 6, if(ISBLANK('2025'!$T263), 0, 1), 7, 0))), 1, "")</f>
        <v/>
      </c>
      <c r="Z265" s="1" t="str">
        <f>IF(AND(AND(AND(Z$4&gt;='2025'!$L263,Z$4&lt;='2025'!$M263), Z$4&lt;&gt;DATE(2025,7,4)), (SWITCH(weekday(Z$4), 1, 0, 2, if(ISBLANK('2025'!$P263), 0, 1), 3, if(ISBLANK('2025'!$Q263), 0, 1), 4, if(ISBLANK('2025'!$R263), 0, 1), 5, if(ISBLANK('2025'!$S263), 0, 1), 6, if(ISBLANK('2025'!$T263), 0, 1), 7, 0))), 1, "")</f>
        <v/>
      </c>
      <c r="AA265" s="1" t="str">
        <f>IF(AND(AND(AND(AA$4&gt;='2025'!$L263,AA$4&lt;='2025'!$M263), AA$4&lt;&gt;DATE(2025,7,4)), (SWITCH(weekday(AA$4), 1, 0, 2, if(ISBLANK('2025'!$P263), 0, 1), 3, if(ISBLANK('2025'!$Q263), 0, 1), 4, if(ISBLANK('2025'!$R263), 0, 1), 5, if(ISBLANK('2025'!$S263), 0, 1), 6, if(ISBLANK('2025'!$T263), 0, 1), 7, 0))), 1, "")</f>
        <v/>
      </c>
      <c r="AB265" s="1" t="str">
        <f>IF(AND(AND(AND(AB$4&gt;='2025'!$L263,AB$4&lt;='2025'!$M263), AB$4&lt;&gt;DATE(2025,7,4)), (SWITCH(weekday(AB$4), 1, 0, 2, if(ISBLANK('2025'!$P263), 0, 1), 3, if(ISBLANK('2025'!$Q263), 0, 1), 4, if(ISBLANK('2025'!$R263), 0, 1), 5, if(ISBLANK('2025'!$S263), 0, 1), 6, if(ISBLANK('2025'!$T263), 0, 1), 7, 0))), 1, "")</f>
        <v/>
      </c>
      <c r="AC265" s="1" t="str">
        <f>IF(AND(AND(AND(AC$4&gt;='2025'!$L263,AC$4&lt;='2025'!$M263), AC$4&lt;&gt;DATE(2025,7,4)), (SWITCH(weekday(AC$4), 1, 0, 2, if(ISBLANK('2025'!$P263), 0, 1), 3, if(ISBLANK('2025'!$Q263), 0, 1), 4, if(ISBLANK('2025'!$R263), 0, 1), 5, if(ISBLANK('2025'!$S263), 0, 1), 6, if(ISBLANK('2025'!$T263), 0, 1), 7, 0))), 1, "")</f>
        <v/>
      </c>
      <c r="AD265" s="1" t="str">
        <f>IF(AND(AND(AND(AD$4&gt;='2025'!$L263,AD$4&lt;='2025'!$M263), AD$4&lt;&gt;DATE(2025,7,4)), (SWITCH(weekday(AD$4), 1, 0, 2, if(ISBLANK('2025'!$P263), 0, 1), 3, if(ISBLANK('2025'!$Q263), 0, 1), 4, if(ISBLANK('2025'!$R263), 0, 1), 5, if(ISBLANK('2025'!$S263), 0, 1), 6, if(ISBLANK('2025'!$T263), 0, 1), 7, 0))), 1, "")</f>
        <v/>
      </c>
      <c r="AE265" s="1" t="str">
        <f>IF(AND(AND(AND(AE$4&gt;='2025'!$L263,AE$4&lt;='2025'!$M263), AE$4&lt;&gt;DATE(2025,7,4)), (SWITCH(weekday(AE$4), 1, 0, 2, if(ISBLANK('2025'!$P263), 0, 1), 3, if(ISBLANK('2025'!$Q263), 0, 1), 4, if(ISBLANK('2025'!$R263), 0, 1), 5, if(ISBLANK('2025'!$S263), 0, 1), 6, if(ISBLANK('2025'!$T263), 0, 1), 7, 0))), 1, "")</f>
        <v/>
      </c>
      <c r="AF265" s="1" t="str">
        <f>IF(AND(AND(AND(AF$4&gt;='2025'!$L263,AF$4&lt;='2025'!$M263), AF$4&lt;&gt;DATE(2025,7,4)), (SWITCH(weekday(AF$4), 1, 0, 2, if(ISBLANK('2025'!$P263), 0, 1), 3, if(ISBLANK('2025'!$Q263), 0, 1), 4, if(ISBLANK('2025'!$R263), 0, 1), 5, if(ISBLANK('2025'!$S263), 0, 1), 6, if(ISBLANK('2025'!$T263), 0, 1), 7, 0))), 1, "")</f>
        <v/>
      </c>
      <c r="AG265" s="1" t="str">
        <f>IF(AND(AND(AND(AG$4&gt;='2025'!$L263,AG$4&lt;='2025'!$M263), AG$4&lt;&gt;DATE(2025,7,4)), (SWITCH(weekday(AG$4), 1, 0, 2, if(ISBLANK('2025'!$P263), 0, 1), 3, if(ISBLANK('2025'!$Q263), 0, 1), 4, if(ISBLANK('2025'!$R263), 0, 1), 5, if(ISBLANK('2025'!$S263), 0, 1), 6, if(ISBLANK('2025'!$T263), 0, 1), 7, 0))), 1, "")</f>
        <v/>
      </c>
      <c r="AH265" s="1" t="str">
        <f>IF(AND(AND(AND(AH$4&gt;='2025'!$L263,AH$4&lt;='2025'!$M263), AH$4&lt;&gt;DATE(2025,7,4)), (SWITCH(weekday(AH$4), 1, 0, 2, if(ISBLANK('2025'!$P263), 0, 1), 3, if(ISBLANK('2025'!$Q263), 0, 1), 4, if(ISBLANK('2025'!$R263), 0, 1), 5, if(ISBLANK('2025'!$S263), 0, 1), 6, if(ISBLANK('2025'!$T263), 0, 1), 7, 0))), 1, "")</f>
        <v/>
      </c>
      <c r="AI265" s="1" t="str">
        <f>IF(AND(AND(AND(AI$4&gt;='2025'!$L263,AI$4&lt;='2025'!$M263), AI$4&lt;&gt;DATE(2025,7,4)), (SWITCH(weekday(AI$4), 1, 0, 2, if(ISBLANK('2025'!$P263), 0, 1), 3, if(ISBLANK('2025'!$Q263), 0, 1), 4, if(ISBLANK('2025'!$R263), 0, 1), 5, if(ISBLANK('2025'!$S263), 0, 1), 6, if(ISBLANK('2025'!$T263), 0, 1), 7, 0))), 1, "")</f>
        <v/>
      </c>
      <c r="AJ265" s="1" t="str">
        <f>IF(AND(AND(AND(AJ$4&gt;='2025'!$L263,AJ$4&lt;='2025'!$M263), AJ$4&lt;&gt;DATE(2025,7,4)), (SWITCH(weekday(AJ$4), 1, 0, 2, if(ISBLANK('2025'!$P263), 0, 1), 3, if(ISBLANK('2025'!$Q263), 0, 1), 4, if(ISBLANK('2025'!$R263), 0, 1), 5, if(ISBLANK('2025'!$S263), 0, 1), 6, if(ISBLANK('2025'!$T263), 0, 1), 7, 0))), 1, "")</f>
        <v/>
      </c>
      <c r="AK265" s="1" t="str">
        <f>IF(AND(AND(AND(AK$4&gt;='2025'!$L263,AK$4&lt;='2025'!$M263), AK$4&lt;&gt;DATE(2025,7,4)), (SWITCH(weekday(AK$4), 1, 0, 2, if(ISBLANK('2025'!$P263), 0, 1), 3, if(ISBLANK('2025'!$Q263), 0, 1), 4, if(ISBLANK('2025'!$R263), 0, 1), 5, if(ISBLANK('2025'!$S263), 0, 1), 6, if(ISBLANK('2025'!$T263), 0, 1), 7, 0))), 1, "")</f>
        <v/>
      </c>
      <c r="AL265" s="1" t="str">
        <f>IF(AND(AND(AND(AL$4&gt;='2025'!$L263,AL$4&lt;='2025'!$M263), AL$4&lt;&gt;DATE(2025,7,4)), (SWITCH(weekday(AL$4), 1, 0, 2, if(ISBLANK('2025'!$P263), 0, 1), 3, if(ISBLANK('2025'!$Q263), 0, 1), 4, if(ISBLANK('2025'!$R263), 0, 1), 5, if(ISBLANK('2025'!$S263), 0, 1), 6, if(ISBLANK('2025'!$T263), 0, 1), 7, 0))), 1, "")</f>
        <v/>
      </c>
      <c r="AM265" s="1" t="str">
        <f>IF(AND(AND(AND(AM$4&gt;='2025'!$L263,AM$4&lt;='2025'!$M263), AM$4&lt;&gt;DATE(2025,7,4)), (SWITCH(weekday(AM$4), 1, 0, 2, if(ISBLANK('2025'!$P263), 0, 1), 3, if(ISBLANK('2025'!$Q263), 0, 1), 4, if(ISBLANK('2025'!$R263), 0, 1), 5, if(ISBLANK('2025'!$S263), 0, 1), 6, if(ISBLANK('2025'!$T263), 0, 1), 7, 0))), 1, "")</f>
        <v/>
      </c>
      <c r="AN265" s="1" t="str">
        <f>IF(AND(AND(AND(AN$4&gt;='2025'!$L263,AN$4&lt;='2025'!$M263), AN$4&lt;&gt;DATE(2025,7,4)), (SWITCH(weekday(AN$4), 1, 0, 2, if(ISBLANK('2025'!$P263), 0, 1), 3, if(ISBLANK('2025'!$Q263), 0, 1), 4, if(ISBLANK('2025'!$R263), 0, 1), 5, if(ISBLANK('2025'!$S263), 0, 1), 6, if(ISBLANK('2025'!$T263), 0, 1), 7, 0))), 1, "")</f>
        <v/>
      </c>
      <c r="AO265" s="1" t="str">
        <f>IF(AND(AND(AND(AO$4&gt;='2025'!$L263,AO$4&lt;='2025'!$M263), AO$4&lt;&gt;DATE(2025,7,4)), (SWITCH(weekday(AO$4), 1, 0, 2, if(ISBLANK('2025'!$P263), 0, 1), 3, if(ISBLANK('2025'!$Q263), 0, 1), 4, if(ISBLANK('2025'!$R263), 0, 1), 5, if(ISBLANK('2025'!$S263), 0, 1), 6, if(ISBLANK('2025'!$T263), 0, 1), 7, 0))), 1, "")</f>
        <v/>
      </c>
      <c r="AP265" s="1" t="str">
        <f>IF(AND(AND(AND(AP$4&gt;='2025'!$L263,AP$4&lt;='2025'!$M263), AP$4&lt;&gt;DATE(2025,7,4)), (SWITCH(weekday(AP$4), 1, 0, 2, if(ISBLANK('2025'!$P263), 0, 1), 3, if(ISBLANK('2025'!$Q263), 0, 1), 4, if(ISBLANK('2025'!$R263), 0, 1), 5, if(ISBLANK('2025'!$S263), 0, 1), 6, if(ISBLANK('2025'!$T263), 0, 1), 7, 0))), 1, "")</f>
        <v/>
      </c>
      <c r="AQ265" s="1" t="str">
        <f>IF(AND(AND(AND(AQ$4&gt;='2025'!$L263,AQ$4&lt;='2025'!$M263), AQ$4&lt;&gt;DATE(2025,7,4)), (SWITCH(weekday(AQ$4), 1, 0, 2, if(ISBLANK('2025'!$P263), 0, 1), 3, if(ISBLANK('2025'!$Q263), 0, 1), 4, if(ISBLANK('2025'!$R263), 0, 1), 5, if(ISBLANK('2025'!$S263), 0, 1), 6, if(ISBLANK('2025'!$T263), 0, 1), 7, 0))), 1, "")</f>
        <v/>
      </c>
      <c r="AR265" s="1" t="str">
        <f>IF(AND(AND(AND(AR$4&gt;='2025'!$L263,AR$4&lt;='2025'!$M263), AR$4&lt;&gt;DATE(2025,7,4)), (SWITCH(weekday(AR$4), 1, 0, 2, if(ISBLANK('2025'!$P263), 0, 1), 3, if(ISBLANK('2025'!$Q263), 0, 1), 4, if(ISBLANK('2025'!$R263), 0, 1), 5, if(ISBLANK('2025'!$S263), 0, 1), 6, if(ISBLANK('2025'!$T263), 0, 1), 7, 0))), 1, "")</f>
        <v/>
      </c>
      <c r="AS265" s="1" t="str">
        <f>IF(AND(AND(AND(AS$4&gt;='2025'!$L263,AS$4&lt;='2025'!$M263), AS$4&lt;&gt;DATE(2025,7,4)), (SWITCH(weekday(AS$4), 1, 0, 2, if(ISBLANK('2025'!$P263), 0, 1), 3, if(ISBLANK('2025'!$Q263), 0, 1), 4, if(ISBLANK('2025'!$R263), 0, 1), 5, if(ISBLANK('2025'!$S263), 0, 1), 6, if(ISBLANK('2025'!$T263), 0, 1), 7, 0))), 1, "")</f>
        <v/>
      </c>
      <c r="AT265" s="1" t="str">
        <f>IF(AND(AND(AND(AT$4&gt;='2025'!$L263,AT$4&lt;='2025'!$M263), AT$4&lt;&gt;DATE(2025,7,4)), (SWITCH(weekday(AT$4), 1, 0, 2, if(ISBLANK('2025'!$P263), 0, 1), 3, if(ISBLANK('2025'!$Q263), 0, 1), 4, if(ISBLANK('2025'!$R263), 0, 1), 5, if(ISBLANK('2025'!$S263), 0, 1), 6, if(ISBLANK('2025'!$T263), 0, 1), 7, 0))), 1, "")</f>
        <v/>
      </c>
      <c r="AU265" s="1" t="str">
        <f>IF(AND(AND(AND(AU$4&gt;='2025'!$L263,AU$4&lt;='2025'!$M263), AU$4&lt;&gt;DATE(2025,7,4)), (SWITCH(weekday(AU$4), 1, 0, 2, if(ISBLANK('2025'!$P263), 0, 1), 3, if(ISBLANK('2025'!$Q263), 0, 1), 4, if(ISBLANK('2025'!$R263), 0, 1), 5, if(ISBLANK('2025'!$S263), 0, 1), 6, if(ISBLANK('2025'!$T263), 0, 1), 7, 0))), 1, "")</f>
        <v/>
      </c>
      <c r="AV265" s="1" t="str">
        <f>IF(AND(AND(AND(AV$4&gt;='2025'!$L263,AV$4&lt;='2025'!$M263), AV$4&lt;&gt;DATE(2025,7,4)), (SWITCH(weekday(AV$4), 1, 0, 2, if(ISBLANK('2025'!$P263), 0, 1), 3, if(ISBLANK('2025'!$Q263), 0, 1), 4, if(ISBLANK('2025'!$R263), 0, 1), 5, if(ISBLANK('2025'!$S263), 0, 1), 6, if(ISBLANK('2025'!$T263), 0, 1), 7, 0))), 1, "")</f>
        <v/>
      </c>
      <c r="AW265" s="1" t="str">
        <f>IF(AND(AND(AND(AW$4&gt;='2025'!$L263,AW$4&lt;='2025'!$M263), AW$4&lt;&gt;DATE(2025,7,4)), (SWITCH(weekday(AW$4), 1, 0, 2, if(ISBLANK('2025'!$P263), 0, 1), 3, if(ISBLANK('2025'!$Q263), 0, 1), 4, if(ISBLANK('2025'!$R263), 0, 1), 5, if(ISBLANK('2025'!$S263), 0, 1), 6, if(ISBLANK('2025'!$T263), 0, 1), 7, 0))), 1, "")</f>
        <v/>
      </c>
      <c r="AX265" s="1" t="str">
        <f>IF(AND(AND(AND(AX$4&gt;='2025'!$L263,AX$4&lt;='2025'!$M263), AX$4&lt;&gt;DATE(2025,7,4)), (SWITCH(weekday(AX$4), 1, 0, 2, if(ISBLANK('2025'!$P263), 0, 1), 3, if(ISBLANK('2025'!$Q263), 0, 1), 4, if(ISBLANK('2025'!$R263), 0, 1), 5, if(ISBLANK('2025'!$S263), 0, 1), 6, if(ISBLANK('2025'!$T263), 0, 1), 7, 0))), 1, "")</f>
        <v/>
      </c>
      <c r="AY265" s="1" t="str">
        <f>IF(AND(AND(AND(AY$4&gt;='2025'!$L263,AY$4&lt;='2025'!$M263), AY$4&lt;&gt;DATE(2025,7,4)), (SWITCH(weekday(AY$4), 1, 0, 2, if(ISBLANK('2025'!$P263), 0, 1), 3, if(ISBLANK('2025'!$Q263), 0, 1), 4, if(ISBLANK('2025'!$R263), 0, 1), 5, if(ISBLANK('2025'!$S263), 0, 1), 6, if(ISBLANK('2025'!$T263), 0, 1), 7, 0))), 1, "")</f>
        <v/>
      </c>
      <c r="AZ265" s="1" t="str">
        <f>IF(AND(AND(AND(AZ$4&gt;='2025'!$L263,AZ$4&lt;='2025'!$M263), AZ$4&lt;&gt;DATE(2025,7,4)), (SWITCH(weekday(AZ$4), 1, 0, 2, if(ISBLANK('2025'!$P263), 0, 1), 3, if(ISBLANK('2025'!$Q263), 0, 1), 4, if(ISBLANK('2025'!$R263), 0, 1), 5, if(ISBLANK('2025'!$S263), 0, 1), 6, if(ISBLANK('2025'!$T263), 0, 1), 7, 0))), 1, "")</f>
        <v/>
      </c>
      <c r="BA265" s="1" t="str">
        <f>IF(AND(AND(AND(BA$4&gt;='2025'!$L263,BA$4&lt;='2025'!$M263), BA$4&lt;&gt;DATE(2025,7,4)), (SWITCH(weekday(BA$4), 1, 0, 2, if(ISBLANK('2025'!$P263), 0, 1), 3, if(ISBLANK('2025'!$Q263), 0, 1), 4, if(ISBLANK('2025'!$R263), 0, 1), 5, if(ISBLANK('2025'!$S263), 0, 1), 6, if(ISBLANK('2025'!$T263), 0, 1), 7, 0))), 1, "")</f>
        <v/>
      </c>
      <c r="BB265" s="1" t="str">
        <f>IF(AND(AND(AND(BB$4&gt;='2025'!$L263,BB$4&lt;='2025'!$M263), BB$4&lt;&gt;DATE(2025,7,4)), (SWITCH(weekday(BB$4), 1, 0, 2, if(ISBLANK('2025'!$P263), 0, 1), 3, if(ISBLANK('2025'!$Q263), 0, 1), 4, if(ISBLANK('2025'!$R263), 0, 1), 5, if(ISBLANK('2025'!$S263), 0, 1), 6, if(ISBLANK('2025'!$T263), 0, 1), 7, 0))), 1, "")</f>
        <v/>
      </c>
      <c r="BC265" s="1" t="str">
        <f>IF(AND(AND(AND(BC$4&gt;='2025'!$L263,BC$4&lt;='2025'!$M263), BC$4&lt;&gt;DATE(2025,7,4)), (SWITCH(weekday(BC$4), 1, 0, 2, if(ISBLANK('2025'!$P263), 0, 1), 3, if(ISBLANK('2025'!$Q263), 0, 1), 4, if(ISBLANK('2025'!$R263), 0, 1), 5, if(ISBLANK('2025'!$S263), 0, 1), 6, if(ISBLANK('2025'!$T263), 0, 1), 7, 0))), 1, "")</f>
        <v/>
      </c>
      <c r="BD265" s="1" t="str">
        <f>IF(AND(AND(AND(BD$4&gt;='2025'!$L263,BD$4&lt;='2025'!$M263), BD$4&lt;&gt;DATE(2025,7,4)), (SWITCH(weekday(BD$4), 1, 0, 2, if(ISBLANK('2025'!$P263), 0, 1), 3, if(ISBLANK('2025'!$Q263), 0, 1), 4, if(ISBLANK('2025'!$R263), 0, 1), 5, if(ISBLANK('2025'!$S263), 0, 1), 6, if(ISBLANK('2025'!$T263), 0, 1), 7, 0))), 1, "")</f>
        <v/>
      </c>
      <c r="BE265" s="1" t="str">
        <f>IF(AND(AND(AND(BE$4&gt;='2025'!$L263,BE$4&lt;='2025'!$M263), BE$4&lt;&gt;DATE(2025,7,4)), (SWITCH(weekday(BE$4), 1, 0, 2, if(ISBLANK('2025'!$P263), 0, 1), 3, if(ISBLANK('2025'!$Q263), 0, 1), 4, if(ISBLANK('2025'!$R263), 0, 1), 5, if(ISBLANK('2025'!$S263), 0, 1), 6, if(ISBLANK('2025'!$T263), 0, 1), 7, 0))), 1, "")</f>
        <v/>
      </c>
      <c r="BF265" s="1" t="str">
        <f>IF(AND(AND(AND(BF$4&gt;='2025'!$L263,BF$4&lt;='2025'!$M263), BF$4&lt;&gt;DATE(2025,7,4)), (SWITCH(weekday(BF$4), 1, 0, 2, if(ISBLANK('2025'!$P263), 0, 1), 3, if(ISBLANK('2025'!$Q263), 0, 1), 4, if(ISBLANK('2025'!$R263), 0, 1), 5, if(ISBLANK('2025'!$S263), 0, 1), 6, if(ISBLANK('2025'!$T263), 0, 1), 7, 0))), 1, "")</f>
        <v/>
      </c>
      <c r="BG265" s="1"/>
      <c r="BH265" s="1"/>
      <c r="BI265" s="1"/>
      <c r="BJ265" s="1"/>
      <c r="BK265" s="1"/>
      <c r="BL265" s="1"/>
    </row>
    <row r="266">
      <c r="A266" s="1">
        <f t="shared" si="3"/>
        <v>266</v>
      </c>
      <c r="B266" s="1" t="str">
        <f>'2025'!D230</f>
        <v>, </v>
      </c>
      <c r="C266" s="1" t="str">
        <f>'2025'!H230</f>
        <v/>
      </c>
      <c r="D266" s="1" t="str">
        <f>IF(AND(AND(AND(D$4&gt;='2025'!$L264,D$4&lt;='2025'!$M264), D$4&lt;&gt;DATE(2025,7,4)), (SWITCH(weekday(D$4), 1, 0, 2, if(ISBLANK('2025'!$P264), 0, 1), 3, if(ISBLANK('2025'!$Q264), 0, 1), 4, if(ISBLANK('2025'!$R264), 0, 1), 5, if(ISBLANK('2025'!$S264), 0, 1), 6, if(ISBLANK('2025'!$T264), 0, 1), 7, 0))), 1, "")</f>
        <v/>
      </c>
      <c r="E266" s="1" t="str">
        <f>IF(AND(AND(AND(E$4&gt;='2025'!$L264,E$4&lt;='2025'!$M264), E$4&lt;&gt;DATE(2025,7,4)), (SWITCH(weekday(E$4), 1, 0, 2, if(ISBLANK('2025'!$P264), 0, 1), 3, if(ISBLANK('2025'!$Q264), 0, 1), 4, if(ISBLANK('2025'!$R264), 0, 1), 5, if(ISBLANK('2025'!$S264), 0, 1), 6, if(ISBLANK('2025'!$T264), 0, 1), 7, 0))), 1, "")</f>
        <v/>
      </c>
      <c r="F266" s="1" t="str">
        <f>IF(AND(AND(AND(F$4&gt;='2025'!$L264,F$4&lt;='2025'!$M264), F$4&lt;&gt;DATE(2025,7,4)), (SWITCH(weekday(F$4), 1, 0, 2, if(ISBLANK('2025'!$P264), 0, 1), 3, if(ISBLANK('2025'!$Q264), 0, 1), 4, if(ISBLANK('2025'!$R264), 0, 1), 5, if(ISBLANK('2025'!$S264), 0, 1), 6, if(ISBLANK('2025'!$T264), 0, 1), 7, 0))), 1, "")</f>
        <v/>
      </c>
      <c r="G266" s="1" t="str">
        <f>IF(AND(AND(AND(G$4&gt;='2025'!$L264,G$4&lt;='2025'!$M264), G$4&lt;&gt;DATE(2025,7,4)), (SWITCH(weekday(G$4), 1, 0, 2, if(ISBLANK('2025'!$P264), 0, 1), 3, if(ISBLANK('2025'!$Q264), 0, 1), 4, if(ISBLANK('2025'!$R264), 0, 1), 5, if(ISBLANK('2025'!$S264), 0, 1), 6, if(ISBLANK('2025'!$T264), 0, 1), 7, 0))), 1, "")</f>
        <v/>
      </c>
      <c r="H266" s="1" t="str">
        <f>IF(AND(AND(AND(H$4&gt;='2025'!$L264,H$4&lt;='2025'!$M264), H$4&lt;&gt;DATE(2025,7,4)), (SWITCH(weekday(H$4), 1, 0, 2, if(ISBLANK('2025'!$P264), 0, 1), 3, if(ISBLANK('2025'!$Q264), 0, 1), 4, if(ISBLANK('2025'!$R264), 0, 1), 5, if(ISBLANK('2025'!$S264), 0, 1), 6, if(ISBLANK('2025'!$T264), 0, 1), 7, 0))), 1, "")</f>
        <v/>
      </c>
      <c r="I266" s="1" t="str">
        <f>IF(AND(AND(AND(I$4&gt;='2025'!$L264,I$4&lt;='2025'!$M264), I$4&lt;&gt;DATE(2025,7,4)), (SWITCH(weekday(I$4), 1, 0, 2, if(ISBLANK('2025'!$P264), 0, 1), 3, if(ISBLANK('2025'!$Q264), 0, 1), 4, if(ISBLANK('2025'!$R264), 0, 1), 5, if(ISBLANK('2025'!$S264), 0, 1), 6, if(ISBLANK('2025'!$T264), 0, 1), 7, 0))), 1, "")</f>
        <v/>
      </c>
      <c r="J266" s="1" t="str">
        <f>IF(AND(AND(AND(J$4&gt;='2025'!$L264,J$4&lt;='2025'!$M264), J$4&lt;&gt;DATE(2025,7,4)), (SWITCH(weekday(J$4), 1, 0, 2, if(ISBLANK('2025'!$P264), 0, 1), 3, if(ISBLANK('2025'!$Q264), 0, 1), 4, if(ISBLANK('2025'!$R264), 0, 1), 5, if(ISBLANK('2025'!$S264), 0, 1), 6, if(ISBLANK('2025'!$T264), 0, 1), 7, 0))), 1, "")</f>
        <v/>
      </c>
      <c r="K266" s="1" t="str">
        <f>IF(AND(AND(AND(K$4&gt;='2025'!$L264,K$4&lt;='2025'!$M264), K$4&lt;&gt;DATE(2025,7,4)), (SWITCH(weekday(K$4), 1, 0, 2, if(ISBLANK('2025'!$P264), 0, 1), 3, if(ISBLANK('2025'!$Q264), 0, 1), 4, if(ISBLANK('2025'!$R264), 0, 1), 5, if(ISBLANK('2025'!$S264), 0, 1), 6, if(ISBLANK('2025'!$T264), 0, 1), 7, 0))), 1, "")</f>
        <v/>
      </c>
      <c r="L266" s="1" t="str">
        <f>IF(AND(AND(AND(L$4&gt;='2025'!$L264,L$4&lt;='2025'!$M264), L$4&lt;&gt;DATE(2025,7,4)), (SWITCH(weekday(L$4), 1, 0, 2, if(ISBLANK('2025'!$P264), 0, 1), 3, if(ISBLANK('2025'!$Q264), 0, 1), 4, if(ISBLANK('2025'!$R264), 0, 1), 5, if(ISBLANK('2025'!$S264), 0, 1), 6, if(ISBLANK('2025'!$T264), 0, 1), 7, 0))), 1, "")</f>
        <v/>
      </c>
      <c r="M266" s="1" t="str">
        <f>IF(AND(AND(AND(M$4&gt;='2025'!$L264,M$4&lt;='2025'!$M264), M$4&lt;&gt;DATE(2025,7,4)), (SWITCH(weekday(M$4), 1, 0, 2, if(ISBLANK('2025'!$P264), 0, 1), 3, if(ISBLANK('2025'!$Q264), 0, 1), 4, if(ISBLANK('2025'!$R264), 0, 1), 5, if(ISBLANK('2025'!$S264), 0, 1), 6, if(ISBLANK('2025'!$T264), 0, 1), 7, 0))), 1, "")</f>
        <v/>
      </c>
      <c r="N266" s="1" t="str">
        <f>IF(AND(AND(AND(N$4&gt;='2025'!$L264,N$4&lt;='2025'!$M264), N$4&lt;&gt;DATE(2025,7,4)), (SWITCH(weekday(N$4), 1, 0, 2, if(ISBLANK('2025'!$P264), 0, 1), 3, if(ISBLANK('2025'!$Q264), 0, 1), 4, if(ISBLANK('2025'!$R264), 0, 1), 5, if(ISBLANK('2025'!$S264), 0, 1), 6, if(ISBLANK('2025'!$T264), 0, 1), 7, 0))), 1, "")</f>
        <v/>
      </c>
      <c r="O266" s="1" t="str">
        <f>IF(AND(AND(AND(O$4&gt;='2025'!$L264,O$4&lt;='2025'!$M264), O$4&lt;&gt;DATE(2025,7,4)), (SWITCH(weekday(O$4), 1, 0, 2, if(ISBLANK('2025'!$P264), 0, 1), 3, if(ISBLANK('2025'!$Q264), 0, 1), 4, if(ISBLANK('2025'!$R264), 0, 1), 5, if(ISBLANK('2025'!$S264), 0, 1), 6, if(ISBLANK('2025'!$T264), 0, 1), 7, 0))), 1, "")</f>
        <v/>
      </c>
      <c r="P266" s="1" t="str">
        <f>IF(AND(AND(AND(P$4&gt;='2025'!$L264,P$4&lt;='2025'!$M264), P$4&lt;&gt;DATE(2025,7,4)), (SWITCH(weekday(P$4), 1, 0, 2, if(ISBLANK('2025'!$P264), 0, 1), 3, if(ISBLANK('2025'!$Q264), 0, 1), 4, if(ISBLANK('2025'!$R264), 0, 1), 5, if(ISBLANK('2025'!$S264), 0, 1), 6, if(ISBLANK('2025'!$T264), 0, 1), 7, 0))), 1, "")</f>
        <v/>
      </c>
      <c r="Q266" s="1" t="str">
        <f>IF(AND(AND(AND(Q$4&gt;='2025'!$L264,Q$4&lt;='2025'!$M264), Q$4&lt;&gt;DATE(2025,7,4)), (SWITCH(weekday(Q$4), 1, 0, 2, if(ISBLANK('2025'!$P264), 0, 1), 3, if(ISBLANK('2025'!$Q264), 0, 1), 4, if(ISBLANK('2025'!$R264), 0, 1), 5, if(ISBLANK('2025'!$S264), 0, 1), 6, if(ISBLANK('2025'!$T264), 0, 1), 7, 0))), 1, "")</f>
        <v/>
      </c>
      <c r="R266" s="1" t="str">
        <f>IF(AND(AND(AND(R$4&gt;='2025'!$L264,R$4&lt;='2025'!$M264), R$4&lt;&gt;DATE(2025,7,4)), (SWITCH(weekday(R$4), 1, 0, 2, if(ISBLANK('2025'!$P264), 0, 1), 3, if(ISBLANK('2025'!$Q264), 0, 1), 4, if(ISBLANK('2025'!$R264), 0, 1), 5, if(ISBLANK('2025'!$S264), 0, 1), 6, if(ISBLANK('2025'!$T264), 0, 1), 7, 0))), 1, "")</f>
        <v/>
      </c>
      <c r="S266" s="1" t="str">
        <f>IF(AND(AND(AND(S$4&gt;='2025'!$L264,S$4&lt;='2025'!$M264), S$4&lt;&gt;DATE(2025,7,4)), (SWITCH(weekday(S$4), 1, 0, 2, if(ISBLANK('2025'!$P264), 0, 1), 3, if(ISBLANK('2025'!$Q264), 0, 1), 4, if(ISBLANK('2025'!$R264), 0, 1), 5, if(ISBLANK('2025'!$S264), 0, 1), 6, if(ISBLANK('2025'!$T264), 0, 1), 7, 0))), 1, "")</f>
        <v/>
      </c>
      <c r="T266" s="1" t="str">
        <f>IF(AND(AND(AND(T$4&gt;='2025'!$L264,T$4&lt;='2025'!$M264), T$4&lt;&gt;DATE(2025,7,4)), (SWITCH(weekday(T$4), 1, 0, 2, if(ISBLANK('2025'!$P264), 0, 1), 3, if(ISBLANK('2025'!$Q264), 0, 1), 4, if(ISBLANK('2025'!$R264), 0, 1), 5, if(ISBLANK('2025'!$S264), 0, 1), 6, if(ISBLANK('2025'!$T264), 0, 1), 7, 0))), 1, "")</f>
        <v/>
      </c>
      <c r="U266" s="1" t="str">
        <f>IF(AND(AND(AND(U$4&gt;='2025'!$L264,U$4&lt;='2025'!$M264), U$4&lt;&gt;DATE(2025,7,4)), (SWITCH(weekday(U$4), 1, 0, 2, if(ISBLANK('2025'!$P264), 0, 1), 3, if(ISBLANK('2025'!$Q264), 0, 1), 4, if(ISBLANK('2025'!$R264), 0, 1), 5, if(ISBLANK('2025'!$S264), 0, 1), 6, if(ISBLANK('2025'!$T264), 0, 1), 7, 0))), 1, "")</f>
        <v/>
      </c>
      <c r="V266" s="1" t="str">
        <f>IF(AND(AND(AND(V$4&gt;='2025'!$L264,V$4&lt;='2025'!$M264), V$4&lt;&gt;DATE(2025,7,4)), (SWITCH(weekday(V$4), 1, 0, 2, if(ISBLANK('2025'!$P264), 0, 1), 3, if(ISBLANK('2025'!$Q264), 0, 1), 4, if(ISBLANK('2025'!$R264), 0, 1), 5, if(ISBLANK('2025'!$S264), 0, 1), 6, if(ISBLANK('2025'!$T264), 0, 1), 7, 0))), 1, "")</f>
        <v/>
      </c>
      <c r="W266" s="1" t="str">
        <f>IF(AND(AND(AND(W$4&gt;='2025'!$L264,W$4&lt;='2025'!$M264), W$4&lt;&gt;DATE(2025,7,4)), (SWITCH(weekday(W$4), 1, 0, 2, if(ISBLANK('2025'!$P264), 0, 1), 3, if(ISBLANK('2025'!$Q264), 0, 1), 4, if(ISBLANK('2025'!$R264), 0, 1), 5, if(ISBLANK('2025'!$S264), 0, 1), 6, if(ISBLANK('2025'!$T264), 0, 1), 7, 0))), 1, "")</f>
        <v/>
      </c>
      <c r="X266" s="1" t="str">
        <f>IF(AND(AND(AND(X$4&gt;='2025'!$L264,X$4&lt;='2025'!$M264), X$4&lt;&gt;DATE(2025,7,4)), (SWITCH(weekday(X$4), 1, 0, 2, if(ISBLANK('2025'!$P264), 0, 1), 3, if(ISBLANK('2025'!$Q264), 0, 1), 4, if(ISBLANK('2025'!$R264), 0, 1), 5, if(ISBLANK('2025'!$S264), 0, 1), 6, if(ISBLANK('2025'!$T264), 0, 1), 7, 0))), 1, "")</f>
        <v/>
      </c>
      <c r="Y266" s="1" t="str">
        <f>IF(AND(AND(AND(Y$4&gt;='2025'!$L264,Y$4&lt;='2025'!$M264), Y$4&lt;&gt;DATE(2025,7,4)), (SWITCH(weekday(Y$4), 1, 0, 2, if(ISBLANK('2025'!$P264), 0, 1), 3, if(ISBLANK('2025'!$Q264), 0, 1), 4, if(ISBLANK('2025'!$R264), 0, 1), 5, if(ISBLANK('2025'!$S264), 0, 1), 6, if(ISBLANK('2025'!$T264), 0, 1), 7, 0))), 1, "")</f>
        <v/>
      </c>
      <c r="Z266" s="1" t="str">
        <f>IF(AND(AND(AND(Z$4&gt;='2025'!$L264,Z$4&lt;='2025'!$M264), Z$4&lt;&gt;DATE(2025,7,4)), (SWITCH(weekday(Z$4), 1, 0, 2, if(ISBLANK('2025'!$P264), 0, 1), 3, if(ISBLANK('2025'!$Q264), 0, 1), 4, if(ISBLANK('2025'!$R264), 0, 1), 5, if(ISBLANK('2025'!$S264), 0, 1), 6, if(ISBLANK('2025'!$T264), 0, 1), 7, 0))), 1, "")</f>
        <v/>
      </c>
      <c r="AA266" s="1" t="str">
        <f>IF(AND(AND(AND(AA$4&gt;='2025'!$L264,AA$4&lt;='2025'!$M264), AA$4&lt;&gt;DATE(2025,7,4)), (SWITCH(weekday(AA$4), 1, 0, 2, if(ISBLANK('2025'!$P264), 0, 1), 3, if(ISBLANK('2025'!$Q264), 0, 1), 4, if(ISBLANK('2025'!$R264), 0, 1), 5, if(ISBLANK('2025'!$S264), 0, 1), 6, if(ISBLANK('2025'!$T264), 0, 1), 7, 0))), 1, "")</f>
        <v/>
      </c>
      <c r="AB266" s="1" t="str">
        <f>IF(AND(AND(AND(AB$4&gt;='2025'!$L264,AB$4&lt;='2025'!$M264), AB$4&lt;&gt;DATE(2025,7,4)), (SWITCH(weekday(AB$4), 1, 0, 2, if(ISBLANK('2025'!$P264), 0, 1), 3, if(ISBLANK('2025'!$Q264), 0, 1), 4, if(ISBLANK('2025'!$R264), 0, 1), 5, if(ISBLANK('2025'!$S264), 0, 1), 6, if(ISBLANK('2025'!$T264), 0, 1), 7, 0))), 1, "")</f>
        <v/>
      </c>
      <c r="AC266" s="1" t="str">
        <f>IF(AND(AND(AND(AC$4&gt;='2025'!$L264,AC$4&lt;='2025'!$M264), AC$4&lt;&gt;DATE(2025,7,4)), (SWITCH(weekday(AC$4), 1, 0, 2, if(ISBLANK('2025'!$P264), 0, 1), 3, if(ISBLANK('2025'!$Q264), 0, 1), 4, if(ISBLANK('2025'!$R264), 0, 1), 5, if(ISBLANK('2025'!$S264), 0, 1), 6, if(ISBLANK('2025'!$T264), 0, 1), 7, 0))), 1, "")</f>
        <v/>
      </c>
      <c r="AD266" s="1" t="str">
        <f>IF(AND(AND(AND(AD$4&gt;='2025'!$L264,AD$4&lt;='2025'!$M264), AD$4&lt;&gt;DATE(2025,7,4)), (SWITCH(weekday(AD$4), 1, 0, 2, if(ISBLANK('2025'!$P264), 0, 1), 3, if(ISBLANK('2025'!$Q264), 0, 1), 4, if(ISBLANK('2025'!$R264), 0, 1), 5, if(ISBLANK('2025'!$S264), 0, 1), 6, if(ISBLANK('2025'!$T264), 0, 1), 7, 0))), 1, "")</f>
        <v/>
      </c>
      <c r="AE266" s="1" t="str">
        <f>IF(AND(AND(AND(AE$4&gt;='2025'!$L264,AE$4&lt;='2025'!$M264), AE$4&lt;&gt;DATE(2025,7,4)), (SWITCH(weekday(AE$4), 1, 0, 2, if(ISBLANK('2025'!$P264), 0, 1), 3, if(ISBLANK('2025'!$Q264), 0, 1), 4, if(ISBLANK('2025'!$R264), 0, 1), 5, if(ISBLANK('2025'!$S264), 0, 1), 6, if(ISBLANK('2025'!$T264), 0, 1), 7, 0))), 1, "")</f>
        <v/>
      </c>
      <c r="AF266" s="1" t="str">
        <f>IF(AND(AND(AND(AF$4&gt;='2025'!$L264,AF$4&lt;='2025'!$M264), AF$4&lt;&gt;DATE(2025,7,4)), (SWITCH(weekday(AF$4), 1, 0, 2, if(ISBLANK('2025'!$P264), 0, 1), 3, if(ISBLANK('2025'!$Q264), 0, 1), 4, if(ISBLANK('2025'!$R264), 0, 1), 5, if(ISBLANK('2025'!$S264), 0, 1), 6, if(ISBLANK('2025'!$T264), 0, 1), 7, 0))), 1, "")</f>
        <v/>
      </c>
      <c r="AG266" s="1" t="str">
        <f>IF(AND(AND(AND(AG$4&gt;='2025'!$L264,AG$4&lt;='2025'!$M264), AG$4&lt;&gt;DATE(2025,7,4)), (SWITCH(weekday(AG$4), 1, 0, 2, if(ISBLANK('2025'!$P264), 0, 1), 3, if(ISBLANK('2025'!$Q264), 0, 1), 4, if(ISBLANK('2025'!$R264), 0, 1), 5, if(ISBLANK('2025'!$S264), 0, 1), 6, if(ISBLANK('2025'!$T264), 0, 1), 7, 0))), 1, "")</f>
        <v/>
      </c>
      <c r="AH266" s="1" t="str">
        <f>IF(AND(AND(AND(AH$4&gt;='2025'!$L264,AH$4&lt;='2025'!$M264), AH$4&lt;&gt;DATE(2025,7,4)), (SWITCH(weekday(AH$4), 1, 0, 2, if(ISBLANK('2025'!$P264), 0, 1), 3, if(ISBLANK('2025'!$Q264), 0, 1), 4, if(ISBLANK('2025'!$R264), 0, 1), 5, if(ISBLANK('2025'!$S264), 0, 1), 6, if(ISBLANK('2025'!$T264), 0, 1), 7, 0))), 1, "")</f>
        <v/>
      </c>
      <c r="AI266" s="1" t="str">
        <f>IF(AND(AND(AND(AI$4&gt;='2025'!$L264,AI$4&lt;='2025'!$M264), AI$4&lt;&gt;DATE(2025,7,4)), (SWITCH(weekday(AI$4), 1, 0, 2, if(ISBLANK('2025'!$P264), 0, 1), 3, if(ISBLANK('2025'!$Q264), 0, 1), 4, if(ISBLANK('2025'!$R264), 0, 1), 5, if(ISBLANK('2025'!$S264), 0, 1), 6, if(ISBLANK('2025'!$T264), 0, 1), 7, 0))), 1, "")</f>
        <v/>
      </c>
      <c r="AJ266" s="1" t="str">
        <f>IF(AND(AND(AND(AJ$4&gt;='2025'!$L264,AJ$4&lt;='2025'!$M264), AJ$4&lt;&gt;DATE(2025,7,4)), (SWITCH(weekday(AJ$4), 1, 0, 2, if(ISBLANK('2025'!$P264), 0, 1), 3, if(ISBLANK('2025'!$Q264), 0, 1), 4, if(ISBLANK('2025'!$R264), 0, 1), 5, if(ISBLANK('2025'!$S264), 0, 1), 6, if(ISBLANK('2025'!$T264), 0, 1), 7, 0))), 1, "")</f>
        <v/>
      </c>
      <c r="AK266" s="1" t="str">
        <f>IF(AND(AND(AND(AK$4&gt;='2025'!$L264,AK$4&lt;='2025'!$M264), AK$4&lt;&gt;DATE(2025,7,4)), (SWITCH(weekday(AK$4), 1, 0, 2, if(ISBLANK('2025'!$P264), 0, 1), 3, if(ISBLANK('2025'!$Q264), 0, 1), 4, if(ISBLANK('2025'!$R264), 0, 1), 5, if(ISBLANK('2025'!$S264), 0, 1), 6, if(ISBLANK('2025'!$T264), 0, 1), 7, 0))), 1, "")</f>
        <v/>
      </c>
      <c r="AL266" s="1" t="str">
        <f>IF(AND(AND(AND(AL$4&gt;='2025'!$L264,AL$4&lt;='2025'!$M264), AL$4&lt;&gt;DATE(2025,7,4)), (SWITCH(weekday(AL$4), 1, 0, 2, if(ISBLANK('2025'!$P264), 0, 1), 3, if(ISBLANK('2025'!$Q264), 0, 1), 4, if(ISBLANK('2025'!$R264), 0, 1), 5, if(ISBLANK('2025'!$S264), 0, 1), 6, if(ISBLANK('2025'!$T264), 0, 1), 7, 0))), 1, "")</f>
        <v/>
      </c>
      <c r="AM266" s="1" t="str">
        <f>IF(AND(AND(AND(AM$4&gt;='2025'!$L264,AM$4&lt;='2025'!$M264), AM$4&lt;&gt;DATE(2025,7,4)), (SWITCH(weekday(AM$4), 1, 0, 2, if(ISBLANK('2025'!$P264), 0, 1), 3, if(ISBLANK('2025'!$Q264), 0, 1), 4, if(ISBLANK('2025'!$R264), 0, 1), 5, if(ISBLANK('2025'!$S264), 0, 1), 6, if(ISBLANK('2025'!$T264), 0, 1), 7, 0))), 1, "")</f>
        <v/>
      </c>
      <c r="AN266" s="1" t="str">
        <f>IF(AND(AND(AND(AN$4&gt;='2025'!$L264,AN$4&lt;='2025'!$M264), AN$4&lt;&gt;DATE(2025,7,4)), (SWITCH(weekday(AN$4), 1, 0, 2, if(ISBLANK('2025'!$P264), 0, 1), 3, if(ISBLANK('2025'!$Q264), 0, 1), 4, if(ISBLANK('2025'!$R264), 0, 1), 5, if(ISBLANK('2025'!$S264), 0, 1), 6, if(ISBLANK('2025'!$T264), 0, 1), 7, 0))), 1, "")</f>
        <v/>
      </c>
      <c r="AO266" s="1" t="str">
        <f>IF(AND(AND(AND(AO$4&gt;='2025'!$L264,AO$4&lt;='2025'!$M264), AO$4&lt;&gt;DATE(2025,7,4)), (SWITCH(weekday(AO$4), 1, 0, 2, if(ISBLANK('2025'!$P264), 0, 1), 3, if(ISBLANK('2025'!$Q264), 0, 1), 4, if(ISBLANK('2025'!$R264), 0, 1), 5, if(ISBLANK('2025'!$S264), 0, 1), 6, if(ISBLANK('2025'!$T264), 0, 1), 7, 0))), 1, "")</f>
        <v/>
      </c>
      <c r="AP266" s="1" t="str">
        <f>IF(AND(AND(AND(AP$4&gt;='2025'!$L264,AP$4&lt;='2025'!$M264), AP$4&lt;&gt;DATE(2025,7,4)), (SWITCH(weekday(AP$4), 1, 0, 2, if(ISBLANK('2025'!$P264), 0, 1), 3, if(ISBLANK('2025'!$Q264), 0, 1), 4, if(ISBLANK('2025'!$R264), 0, 1), 5, if(ISBLANK('2025'!$S264), 0, 1), 6, if(ISBLANK('2025'!$T264), 0, 1), 7, 0))), 1, "")</f>
        <v/>
      </c>
      <c r="AQ266" s="1" t="str">
        <f>IF(AND(AND(AND(AQ$4&gt;='2025'!$L264,AQ$4&lt;='2025'!$M264), AQ$4&lt;&gt;DATE(2025,7,4)), (SWITCH(weekday(AQ$4), 1, 0, 2, if(ISBLANK('2025'!$P264), 0, 1), 3, if(ISBLANK('2025'!$Q264), 0, 1), 4, if(ISBLANK('2025'!$R264), 0, 1), 5, if(ISBLANK('2025'!$S264), 0, 1), 6, if(ISBLANK('2025'!$T264), 0, 1), 7, 0))), 1, "")</f>
        <v/>
      </c>
      <c r="AR266" s="1" t="str">
        <f>IF(AND(AND(AND(AR$4&gt;='2025'!$L264,AR$4&lt;='2025'!$M264), AR$4&lt;&gt;DATE(2025,7,4)), (SWITCH(weekday(AR$4), 1, 0, 2, if(ISBLANK('2025'!$P264), 0, 1), 3, if(ISBLANK('2025'!$Q264), 0, 1), 4, if(ISBLANK('2025'!$R264), 0, 1), 5, if(ISBLANK('2025'!$S264), 0, 1), 6, if(ISBLANK('2025'!$T264), 0, 1), 7, 0))), 1, "")</f>
        <v/>
      </c>
      <c r="AS266" s="1" t="str">
        <f>IF(AND(AND(AND(AS$4&gt;='2025'!$L264,AS$4&lt;='2025'!$M264), AS$4&lt;&gt;DATE(2025,7,4)), (SWITCH(weekday(AS$4), 1, 0, 2, if(ISBLANK('2025'!$P264), 0, 1), 3, if(ISBLANK('2025'!$Q264), 0, 1), 4, if(ISBLANK('2025'!$R264), 0, 1), 5, if(ISBLANK('2025'!$S264), 0, 1), 6, if(ISBLANK('2025'!$T264), 0, 1), 7, 0))), 1, "")</f>
        <v/>
      </c>
      <c r="AT266" s="1" t="str">
        <f>IF(AND(AND(AND(AT$4&gt;='2025'!$L264,AT$4&lt;='2025'!$M264), AT$4&lt;&gt;DATE(2025,7,4)), (SWITCH(weekday(AT$4), 1, 0, 2, if(ISBLANK('2025'!$P264), 0, 1), 3, if(ISBLANK('2025'!$Q264), 0, 1), 4, if(ISBLANK('2025'!$R264), 0, 1), 5, if(ISBLANK('2025'!$S264), 0, 1), 6, if(ISBLANK('2025'!$T264), 0, 1), 7, 0))), 1, "")</f>
        <v/>
      </c>
      <c r="AU266" s="1" t="str">
        <f>IF(AND(AND(AND(AU$4&gt;='2025'!$L264,AU$4&lt;='2025'!$M264), AU$4&lt;&gt;DATE(2025,7,4)), (SWITCH(weekday(AU$4), 1, 0, 2, if(ISBLANK('2025'!$P264), 0, 1), 3, if(ISBLANK('2025'!$Q264), 0, 1), 4, if(ISBLANK('2025'!$R264), 0, 1), 5, if(ISBLANK('2025'!$S264), 0, 1), 6, if(ISBLANK('2025'!$T264), 0, 1), 7, 0))), 1, "")</f>
        <v/>
      </c>
      <c r="AV266" s="1" t="str">
        <f>IF(AND(AND(AND(AV$4&gt;='2025'!$L264,AV$4&lt;='2025'!$M264), AV$4&lt;&gt;DATE(2025,7,4)), (SWITCH(weekday(AV$4), 1, 0, 2, if(ISBLANK('2025'!$P264), 0, 1), 3, if(ISBLANK('2025'!$Q264), 0, 1), 4, if(ISBLANK('2025'!$R264), 0, 1), 5, if(ISBLANK('2025'!$S264), 0, 1), 6, if(ISBLANK('2025'!$T264), 0, 1), 7, 0))), 1, "")</f>
        <v/>
      </c>
      <c r="AW266" s="1" t="str">
        <f>IF(AND(AND(AND(AW$4&gt;='2025'!$L264,AW$4&lt;='2025'!$M264), AW$4&lt;&gt;DATE(2025,7,4)), (SWITCH(weekday(AW$4), 1, 0, 2, if(ISBLANK('2025'!$P264), 0, 1), 3, if(ISBLANK('2025'!$Q264), 0, 1), 4, if(ISBLANK('2025'!$R264), 0, 1), 5, if(ISBLANK('2025'!$S264), 0, 1), 6, if(ISBLANK('2025'!$T264), 0, 1), 7, 0))), 1, "")</f>
        <v/>
      </c>
      <c r="AX266" s="1" t="str">
        <f>IF(AND(AND(AND(AX$4&gt;='2025'!$L264,AX$4&lt;='2025'!$M264), AX$4&lt;&gt;DATE(2025,7,4)), (SWITCH(weekday(AX$4), 1, 0, 2, if(ISBLANK('2025'!$P264), 0, 1), 3, if(ISBLANK('2025'!$Q264), 0, 1), 4, if(ISBLANK('2025'!$R264), 0, 1), 5, if(ISBLANK('2025'!$S264), 0, 1), 6, if(ISBLANK('2025'!$T264), 0, 1), 7, 0))), 1, "")</f>
        <v/>
      </c>
      <c r="AY266" s="1" t="str">
        <f>IF(AND(AND(AND(AY$4&gt;='2025'!$L264,AY$4&lt;='2025'!$M264), AY$4&lt;&gt;DATE(2025,7,4)), (SWITCH(weekday(AY$4), 1, 0, 2, if(ISBLANK('2025'!$P264), 0, 1), 3, if(ISBLANK('2025'!$Q264), 0, 1), 4, if(ISBLANK('2025'!$R264), 0, 1), 5, if(ISBLANK('2025'!$S264), 0, 1), 6, if(ISBLANK('2025'!$T264), 0, 1), 7, 0))), 1, "")</f>
        <v/>
      </c>
      <c r="AZ266" s="1" t="str">
        <f>IF(AND(AND(AND(AZ$4&gt;='2025'!$L264,AZ$4&lt;='2025'!$M264), AZ$4&lt;&gt;DATE(2025,7,4)), (SWITCH(weekday(AZ$4), 1, 0, 2, if(ISBLANK('2025'!$P264), 0, 1), 3, if(ISBLANK('2025'!$Q264), 0, 1), 4, if(ISBLANK('2025'!$R264), 0, 1), 5, if(ISBLANK('2025'!$S264), 0, 1), 6, if(ISBLANK('2025'!$T264), 0, 1), 7, 0))), 1, "")</f>
        <v/>
      </c>
      <c r="BA266" s="1" t="str">
        <f>IF(AND(AND(AND(BA$4&gt;='2025'!$L264,BA$4&lt;='2025'!$M264), BA$4&lt;&gt;DATE(2025,7,4)), (SWITCH(weekday(BA$4), 1, 0, 2, if(ISBLANK('2025'!$P264), 0, 1), 3, if(ISBLANK('2025'!$Q264), 0, 1), 4, if(ISBLANK('2025'!$R264), 0, 1), 5, if(ISBLANK('2025'!$S264), 0, 1), 6, if(ISBLANK('2025'!$T264), 0, 1), 7, 0))), 1, "")</f>
        <v/>
      </c>
      <c r="BB266" s="1" t="str">
        <f>IF(AND(AND(AND(BB$4&gt;='2025'!$L264,BB$4&lt;='2025'!$M264), BB$4&lt;&gt;DATE(2025,7,4)), (SWITCH(weekday(BB$4), 1, 0, 2, if(ISBLANK('2025'!$P264), 0, 1), 3, if(ISBLANK('2025'!$Q264), 0, 1), 4, if(ISBLANK('2025'!$R264), 0, 1), 5, if(ISBLANK('2025'!$S264), 0, 1), 6, if(ISBLANK('2025'!$T264), 0, 1), 7, 0))), 1, "")</f>
        <v/>
      </c>
      <c r="BC266" s="1" t="str">
        <f>IF(AND(AND(AND(BC$4&gt;='2025'!$L264,BC$4&lt;='2025'!$M264), BC$4&lt;&gt;DATE(2025,7,4)), (SWITCH(weekday(BC$4), 1, 0, 2, if(ISBLANK('2025'!$P264), 0, 1), 3, if(ISBLANK('2025'!$Q264), 0, 1), 4, if(ISBLANK('2025'!$R264), 0, 1), 5, if(ISBLANK('2025'!$S264), 0, 1), 6, if(ISBLANK('2025'!$T264), 0, 1), 7, 0))), 1, "")</f>
        <v/>
      </c>
      <c r="BD266" s="1" t="str">
        <f>IF(AND(AND(AND(BD$4&gt;='2025'!$L264,BD$4&lt;='2025'!$M264), BD$4&lt;&gt;DATE(2025,7,4)), (SWITCH(weekday(BD$4), 1, 0, 2, if(ISBLANK('2025'!$P264), 0, 1), 3, if(ISBLANK('2025'!$Q264), 0, 1), 4, if(ISBLANK('2025'!$R264), 0, 1), 5, if(ISBLANK('2025'!$S264), 0, 1), 6, if(ISBLANK('2025'!$T264), 0, 1), 7, 0))), 1, "")</f>
        <v/>
      </c>
      <c r="BE266" s="1" t="str">
        <f>IF(AND(AND(AND(BE$4&gt;='2025'!$L264,BE$4&lt;='2025'!$M264), BE$4&lt;&gt;DATE(2025,7,4)), (SWITCH(weekday(BE$4), 1, 0, 2, if(ISBLANK('2025'!$P264), 0, 1), 3, if(ISBLANK('2025'!$Q264), 0, 1), 4, if(ISBLANK('2025'!$R264), 0, 1), 5, if(ISBLANK('2025'!$S264), 0, 1), 6, if(ISBLANK('2025'!$T264), 0, 1), 7, 0))), 1, "")</f>
        <v/>
      </c>
      <c r="BF266" s="1" t="str">
        <f>IF(AND(AND(AND(BF$4&gt;='2025'!$L264,BF$4&lt;='2025'!$M264), BF$4&lt;&gt;DATE(2025,7,4)), (SWITCH(weekday(BF$4), 1, 0, 2, if(ISBLANK('2025'!$P264), 0, 1), 3, if(ISBLANK('2025'!$Q264), 0, 1), 4, if(ISBLANK('2025'!$R264), 0, 1), 5, if(ISBLANK('2025'!$S264), 0, 1), 6, if(ISBLANK('2025'!$T264), 0, 1), 7, 0))), 1, "")</f>
        <v/>
      </c>
      <c r="BG266" s="1"/>
      <c r="BH266" s="1"/>
      <c r="BI266" s="1"/>
      <c r="BJ266" s="1"/>
      <c r="BK266" s="1"/>
      <c r="BL266" s="1"/>
    </row>
    <row r="267">
      <c r="A267" s="1">
        <f t="shared" si="3"/>
        <v>267</v>
      </c>
      <c r="B267" s="1" t="str">
        <f>'2025'!D231</f>
        <v>, </v>
      </c>
      <c r="C267" s="1" t="str">
        <f>'2025'!H231</f>
        <v/>
      </c>
      <c r="D267" s="1" t="str">
        <f>IF(AND(AND(AND(D$4&gt;='2025'!$L265,D$4&lt;='2025'!$M265), D$4&lt;&gt;DATE(2025,7,4)), (SWITCH(weekday(D$4), 1, 0, 2, if(ISBLANK('2025'!$P265), 0, 1), 3, if(ISBLANK('2025'!$Q265), 0, 1), 4, if(ISBLANK('2025'!$R265), 0, 1), 5, if(ISBLANK('2025'!$S265), 0, 1), 6, if(ISBLANK('2025'!$T265), 0, 1), 7, 0))), 1, "")</f>
        <v/>
      </c>
      <c r="E267" s="1" t="str">
        <f>IF(AND(AND(AND(E$4&gt;='2025'!$L265,E$4&lt;='2025'!$M265), E$4&lt;&gt;DATE(2025,7,4)), (SWITCH(weekday(E$4), 1, 0, 2, if(ISBLANK('2025'!$P265), 0, 1), 3, if(ISBLANK('2025'!$Q265), 0, 1), 4, if(ISBLANK('2025'!$R265), 0, 1), 5, if(ISBLANK('2025'!$S265), 0, 1), 6, if(ISBLANK('2025'!$T265), 0, 1), 7, 0))), 1, "")</f>
        <v/>
      </c>
      <c r="F267" s="1" t="str">
        <f>IF(AND(AND(AND(F$4&gt;='2025'!$L265,F$4&lt;='2025'!$M265), F$4&lt;&gt;DATE(2025,7,4)), (SWITCH(weekday(F$4), 1, 0, 2, if(ISBLANK('2025'!$P265), 0, 1), 3, if(ISBLANK('2025'!$Q265), 0, 1), 4, if(ISBLANK('2025'!$R265), 0, 1), 5, if(ISBLANK('2025'!$S265), 0, 1), 6, if(ISBLANK('2025'!$T265), 0, 1), 7, 0))), 1, "")</f>
        <v/>
      </c>
      <c r="G267" s="1" t="str">
        <f>IF(AND(AND(AND(G$4&gt;='2025'!$L265,G$4&lt;='2025'!$M265), G$4&lt;&gt;DATE(2025,7,4)), (SWITCH(weekday(G$4), 1, 0, 2, if(ISBLANK('2025'!$P265), 0, 1), 3, if(ISBLANK('2025'!$Q265), 0, 1), 4, if(ISBLANK('2025'!$R265), 0, 1), 5, if(ISBLANK('2025'!$S265), 0, 1), 6, if(ISBLANK('2025'!$T265), 0, 1), 7, 0))), 1, "")</f>
        <v/>
      </c>
      <c r="H267" s="1" t="str">
        <f>IF(AND(AND(AND(H$4&gt;='2025'!$L265,H$4&lt;='2025'!$M265), H$4&lt;&gt;DATE(2025,7,4)), (SWITCH(weekday(H$4), 1, 0, 2, if(ISBLANK('2025'!$P265), 0, 1), 3, if(ISBLANK('2025'!$Q265), 0, 1), 4, if(ISBLANK('2025'!$R265), 0, 1), 5, if(ISBLANK('2025'!$S265), 0, 1), 6, if(ISBLANK('2025'!$T265), 0, 1), 7, 0))), 1, "")</f>
        <v/>
      </c>
      <c r="I267" s="1" t="str">
        <f>IF(AND(AND(AND(I$4&gt;='2025'!$L265,I$4&lt;='2025'!$M265), I$4&lt;&gt;DATE(2025,7,4)), (SWITCH(weekday(I$4), 1, 0, 2, if(ISBLANK('2025'!$P265), 0, 1), 3, if(ISBLANK('2025'!$Q265), 0, 1), 4, if(ISBLANK('2025'!$R265), 0, 1), 5, if(ISBLANK('2025'!$S265), 0, 1), 6, if(ISBLANK('2025'!$T265), 0, 1), 7, 0))), 1, "")</f>
        <v/>
      </c>
      <c r="J267" s="1" t="str">
        <f>IF(AND(AND(AND(J$4&gt;='2025'!$L265,J$4&lt;='2025'!$M265), J$4&lt;&gt;DATE(2025,7,4)), (SWITCH(weekday(J$4), 1, 0, 2, if(ISBLANK('2025'!$P265), 0, 1), 3, if(ISBLANK('2025'!$Q265), 0, 1), 4, if(ISBLANK('2025'!$R265), 0, 1), 5, if(ISBLANK('2025'!$S265), 0, 1), 6, if(ISBLANK('2025'!$T265), 0, 1), 7, 0))), 1, "")</f>
        <v/>
      </c>
      <c r="K267" s="1" t="str">
        <f>IF(AND(AND(AND(K$4&gt;='2025'!$L265,K$4&lt;='2025'!$M265), K$4&lt;&gt;DATE(2025,7,4)), (SWITCH(weekday(K$4), 1, 0, 2, if(ISBLANK('2025'!$P265), 0, 1), 3, if(ISBLANK('2025'!$Q265), 0, 1), 4, if(ISBLANK('2025'!$R265), 0, 1), 5, if(ISBLANK('2025'!$S265), 0, 1), 6, if(ISBLANK('2025'!$T265), 0, 1), 7, 0))), 1, "")</f>
        <v/>
      </c>
      <c r="L267" s="1" t="str">
        <f>IF(AND(AND(AND(L$4&gt;='2025'!$L265,L$4&lt;='2025'!$M265), L$4&lt;&gt;DATE(2025,7,4)), (SWITCH(weekday(L$4), 1, 0, 2, if(ISBLANK('2025'!$P265), 0, 1), 3, if(ISBLANK('2025'!$Q265), 0, 1), 4, if(ISBLANK('2025'!$R265), 0, 1), 5, if(ISBLANK('2025'!$S265), 0, 1), 6, if(ISBLANK('2025'!$T265), 0, 1), 7, 0))), 1, "")</f>
        <v/>
      </c>
      <c r="M267" s="1" t="str">
        <f>IF(AND(AND(AND(M$4&gt;='2025'!$L265,M$4&lt;='2025'!$M265), M$4&lt;&gt;DATE(2025,7,4)), (SWITCH(weekday(M$4), 1, 0, 2, if(ISBLANK('2025'!$P265), 0, 1), 3, if(ISBLANK('2025'!$Q265), 0, 1), 4, if(ISBLANK('2025'!$R265), 0, 1), 5, if(ISBLANK('2025'!$S265), 0, 1), 6, if(ISBLANK('2025'!$T265), 0, 1), 7, 0))), 1, "")</f>
        <v/>
      </c>
      <c r="N267" s="1" t="str">
        <f>IF(AND(AND(AND(N$4&gt;='2025'!$L265,N$4&lt;='2025'!$M265), N$4&lt;&gt;DATE(2025,7,4)), (SWITCH(weekday(N$4), 1, 0, 2, if(ISBLANK('2025'!$P265), 0, 1), 3, if(ISBLANK('2025'!$Q265), 0, 1), 4, if(ISBLANK('2025'!$R265), 0, 1), 5, if(ISBLANK('2025'!$S265), 0, 1), 6, if(ISBLANK('2025'!$T265), 0, 1), 7, 0))), 1, "")</f>
        <v/>
      </c>
      <c r="O267" s="1" t="str">
        <f>IF(AND(AND(AND(O$4&gt;='2025'!$L265,O$4&lt;='2025'!$M265), O$4&lt;&gt;DATE(2025,7,4)), (SWITCH(weekday(O$4), 1, 0, 2, if(ISBLANK('2025'!$P265), 0, 1), 3, if(ISBLANK('2025'!$Q265), 0, 1), 4, if(ISBLANK('2025'!$R265), 0, 1), 5, if(ISBLANK('2025'!$S265), 0, 1), 6, if(ISBLANK('2025'!$T265), 0, 1), 7, 0))), 1, "")</f>
        <v/>
      </c>
      <c r="P267" s="1" t="str">
        <f>IF(AND(AND(AND(P$4&gt;='2025'!$L265,P$4&lt;='2025'!$M265), P$4&lt;&gt;DATE(2025,7,4)), (SWITCH(weekday(P$4), 1, 0, 2, if(ISBLANK('2025'!$P265), 0, 1), 3, if(ISBLANK('2025'!$Q265), 0, 1), 4, if(ISBLANK('2025'!$R265), 0, 1), 5, if(ISBLANK('2025'!$S265), 0, 1), 6, if(ISBLANK('2025'!$T265), 0, 1), 7, 0))), 1, "")</f>
        <v/>
      </c>
      <c r="Q267" s="1" t="str">
        <f>IF(AND(AND(AND(Q$4&gt;='2025'!$L265,Q$4&lt;='2025'!$M265), Q$4&lt;&gt;DATE(2025,7,4)), (SWITCH(weekday(Q$4), 1, 0, 2, if(ISBLANK('2025'!$P265), 0, 1), 3, if(ISBLANK('2025'!$Q265), 0, 1), 4, if(ISBLANK('2025'!$R265), 0, 1), 5, if(ISBLANK('2025'!$S265), 0, 1), 6, if(ISBLANK('2025'!$T265), 0, 1), 7, 0))), 1, "")</f>
        <v/>
      </c>
      <c r="R267" s="1" t="str">
        <f>IF(AND(AND(AND(R$4&gt;='2025'!$L265,R$4&lt;='2025'!$M265), R$4&lt;&gt;DATE(2025,7,4)), (SWITCH(weekday(R$4), 1, 0, 2, if(ISBLANK('2025'!$P265), 0, 1), 3, if(ISBLANK('2025'!$Q265), 0, 1), 4, if(ISBLANK('2025'!$R265), 0, 1), 5, if(ISBLANK('2025'!$S265), 0, 1), 6, if(ISBLANK('2025'!$T265), 0, 1), 7, 0))), 1, "")</f>
        <v/>
      </c>
      <c r="S267" s="1" t="str">
        <f>IF(AND(AND(AND(S$4&gt;='2025'!$L265,S$4&lt;='2025'!$M265), S$4&lt;&gt;DATE(2025,7,4)), (SWITCH(weekday(S$4), 1, 0, 2, if(ISBLANK('2025'!$P265), 0, 1), 3, if(ISBLANK('2025'!$Q265), 0, 1), 4, if(ISBLANK('2025'!$R265), 0, 1), 5, if(ISBLANK('2025'!$S265), 0, 1), 6, if(ISBLANK('2025'!$T265), 0, 1), 7, 0))), 1, "")</f>
        <v/>
      </c>
      <c r="T267" s="1" t="str">
        <f>IF(AND(AND(AND(T$4&gt;='2025'!$L265,T$4&lt;='2025'!$M265), T$4&lt;&gt;DATE(2025,7,4)), (SWITCH(weekday(T$4), 1, 0, 2, if(ISBLANK('2025'!$P265), 0, 1), 3, if(ISBLANK('2025'!$Q265), 0, 1), 4, if(ISBLANK('2025'!$R265), 0, 1), 5, if(ISBLANK('2025'!$S265), 0, 1), 6, if(ISBLANK('2025'!$T265), 0, 1), 7, 0))), 1, "")</f>
        <v/>
      </c>
      <c r="U267" s="1" t="str">
        <f>IF(AND(AND(AND(U$4&gt;='2025'!$L265,U$4&lt;='2025'!$M265), U$4&lt;&gt;DATE(2025,7,4)), (SWITCH(weekday(U$4), 1, 0, 2, if(ISBLANK('2025'!$P265), 0, 1), 3, if(ISBLANK('2025'!$Q265), 0, 1), 4, if(ISBLANK('2025'!$R265), 0, 1), 5, if(ISBLANK('2025'!$S265), 0, 1), 6, if(ISBLANK('2025'!$T265), 0, 1), 7, 0))), 1, "")</f>
        <v/>
      </c>
      <c r="V267" s="1" t="str">
        <f>IF(AND(AND(AND(V$4&gt;='2025'!$L265,V$4&lt;='2025'!$M265), V$4&lt;&gt;DATE(2025,7,4)), (SWITCH(weekday(V$4), 1, 0, 2, if(ISBLANK('2025'!$P265), 0, 1), 3, if(ISBLANK('2025'!$Q265), 0, 1), 4, if(ISBLANK('2025'!$R265), 0, 1), 5, if(ISBLANK('2025'!$S265), 0, 1), 6, if(ISBLANK('2025'!$T265), 0, 1), 7, 0))), 1, "")</f>
        <v/>
      </c>
      <c r="W267" s="1" t="str">
        <f>IF(AND(AND(AND(W$4&gt;='2025'!$L265,W$4&lt;='2025'!$M265), W$4&lt;&gt;DATE(2025,7,4)), (SWITCH(weekday(W$4), 1, 0, 2, if(ISBLANK('2025'!$P265), 0, 1), 3, if(ISBLANK('2025'!$Q265), 0, 1), 4, if(ISBLANK('2025'!$R265), 0, 1), 5, if(ISBLANK('2025'!$S265), 0, 1), 6, if(ISBLANK('2025'!$T265), 0, 1), 7, 0))), 1, "")</f>
        <v/>
      </c>
      <c r="X267" s="1" t="str">
        <f>IF(AND(AND(AND(X$4&gt;='2025'!$L265,X$4&lt;='2025'!$M265), X$4&lt;&gt;DATE(2025,7,4)), (SWITCH(weekday(X$4), 1, 0, 2, if(ISBLANK('2025'!$P265), 0, 1), 3, if(ISBLANK('2025'!$Q265), 0, 1), 4, if(ISBLANK('2025'!$R265), 0, 1), 5, if(ISBLANK('2025'!$S265), 0, 1), 6, if(ISBLANK('2025'!$T265), 0, 1), 7, 0))), 1, "")</f>
        <v/>
      </c>
      <c r="Y267" s="1" t="str">
        <f>IF(AND(AND(AND(Y$4&gt;='2025'!$L265,Y$4&lt;='2025'!$M265), Y$4&lt;&gt;DATE(2025,7,4)), (SWITCH(weekday(Y$4), 1, 0, 2, if(ISBLANK('2025'!$P265), 0, 1), 3, if(ISBLANK('2025'!$Q265), 0, 1), 4, if(ISBLANK('2025'!$R265), 0, 1), 5, if(ISBLANK('2025'!$S265), 0, 1), 6, if(ISBLANK('2025'!$T265), 0, 1), 7, 0))), 1, "")</f>
        <v/>
      </c>
      <c r="Z267" s="1" t="str">
        <f>IF(AND(AND(AND(Z$4&gt;='2025'!$L265,Z$4&lt;='2025'!$M265), Z$4&lt;&gt;DATE(2025,7,4)), (SWITCH(weekday(Z$4), 1, 0, 2, if(ISBLANK('2025'!$P265), 0, 1), 3, if(ISBLANK('2025'!$Q265), 0, 1), 4, if(ISBLANK('2025'!$R265), 0, 1), 5, if(ISBLANK('2025'!$S265), 0, 1), 6, if(ISBLANK('2025'!$T265), 0, 1), 7, 0))), 1, "")</f>
        <v/>
      </c>
      <c r="AA267" s="1" t="str">
        <f>IF(AND(AND(AND(AA$4&gt;='2025'!$L265,AA$4&lt;='2025'!$M265), AA$4&lt;&gt;DATE(2025,7,4)), (SWITCH(weekday(AA$4), 1, 0, 2, if(ISBLANK('2025'!$P265), 0, 1), 3, if(ISBLANK('2025'!$Q265), 0, 1), 4, if(ISBLANK('2025'!$R265), 0, 1), 5, if(ISBLANK('2025'!$S265), 0, 1), 6, if(ISBLANK('2025'!$T265), 0, 1), 7, 0))), 1, "")</f>
        <v/>
      </c>
      <c r="AB267" s="1" t="str">
        <f>IF(AND(AND(AND(AB$4&gt;='2025'!$L265,AB$4&lt;='2025'!$M265), AB$4&lt;&gt;DATE(2025,7,4)), (SWITCH(weekday(AB$4), 1, 0, 2, if(ISBLANK('2025'!$P265), 0, 1), 3, if(ISBLANK('2025'!$Q265), 0, 1), 4, if(ISBLANK('2025'!$R265), 0, 1), 5, if(ISBLANK('2025'!$S265), 0, 1), 6, if(ISBLANK('2025'!$T265), 0, 1), 7, 0))), 1, "")</f>
        <v/>
      </c>
      <c r="AC267" s="1" t="str">
        <f>IF(AND(AND(AND(AC$4&gt;='2025'!$L265,AC$4&lt;='2025'!$M265), AC$4&lt;&gt;DATE(2025,7,4)), (SWITCH(weekday(AC$4), 1, 0, 2, if(ISBLANK('2025'!$P265), 0, 1), 3, if(ISBLANK('2025'!$Q265), 0, 1), 4, if(ISBLANK('2025'!$R265), 0, 1), 5, if(ISBLANK('2025'!$S265), 0, 1), 6, if(ISBLANK('2025'!$T265), 0, 1), 7, 0))), 1, "")</f>
        <v/>
      </c>
      <c r="AD267" s="1" t="str">
        <f>IF(AND(AND(AND(AD$4&gt;='2025'!$L265,AD$4&lt;='2025'!$M265), AD$4&lt;&gt;DATE(2025,7,4)), (SWITCH(weekday(AD$4), 1, 0, 2, if(ISBLANK('2025'!$P265), 0, 1), 3, if(ISBLANK('2025'!$Q265), 0, 1), 4, if(ISBLANK('2025'!$R265), 0, 1), 5, if(ISBLANK('2025'!$S265), 0, 1), 6, if(ISBLANK('2025'!$T265), 0, 1), 7, 0))), 1, "")</f>
        <v/>
      </c>
      <c r="AE267" s="1" t="str">
        <f>IF(AND(AND(AND(AE$4&gt;='2025'!$L265,AE$4&lt;='2025'!$M265), AE$4&lt;&gt;DATE(2025,7,4)), (SWITCH(weekday(AE$4), 1, 0, 2, if(ISBLANK('2025'!$P265), 0, 1), 3, if(ISBLANK('2025'!$Q265), 0, 1), 4, if(ISBLANK('2025'!$R265), 0, 1), 5, if(ISBLANK('2025'!$S265), 0, 1), 6, if(ISBLANK('2025'!$T265), 0, 1), 7, 0))), 1, "")</f>
        <v/>
      </c>
      <c r="AF267" s="1" t="str">
        <f>IF(AND(AND(AND(AF$4&gt;='2025'!$L265,AF$4&lt;='2025'!$M265), AF$4&lt;&gt;DATE(2025,7,4)), (SWITCH(weekday(AF$4), 1, 0, 2, if(ISBLANK('2025'!$P265), 0, 1), 3, if(ISBLANK('2025'!$Q265), 0, 1), 4, if(ISBLANK('2025'!$R265), 0, 1), 5, if(ISBLANK('2025'!$S265), 0, 1), 6, if(ISBLANK('2025'!$T265), 0, 1), 7, 0))), 1, "")</f>
        <v/>
      </c>
      <c r="AG267" s="1" t="str">
        <f>IF(AND(AND(AND(AG$4&gt;='2025'!$L265,AG$4&lt;='2025'!$M265), AG$4&lt;&gt;DATE(2025,7,4)), (SWITCH(weekday(AG$4), 1, 0, 2, if(ISBLANK('2025'!$P265), 0, 1), 3, if(ISBLANK('2025'!$Q265), 0, 1), 4, if(ISBLANK('2025'!$R265), 0, 1), 5, if(ISBLANK('2025'!$S265), 0, 1), 6, if(ISBLANK('2025'!$T265), 0, 1), 7, 0))), 1, "")</f>
        <v/>
      </c>
      <c r="AH267" s="1" t="str">
        <f>IF(AND(AND(AND(AH$4&gt;='2025'!$L265,AH$4&lt;='2025'!$M265), AH$4&lt;&gt;DATE(2025,7,4)), (SWITCH(weekday(AH$4), 1, 0, 2, if(ISBLANK('2025'!$P265), 0, 1), 3, if(ISBLANK('2025'!$Q265), 0, 1), 4, if(ISBLANK('2025'!$R265), 0, 1), 5, if(ISBLANK('2025'!$S265), 0, 1), 6, if(ISBLANK('2025'!$T265), 0, 1), 7, 0))), 1, "")</f>
        <v/>
      </c>
      <c r="AI267" s="1" t="str">
        <f>IF(AND(AND(AND(AI$4&gt;='2025'!$L265,AI$4&lt;='2025'!$M265), AI$4&lt;&gt;DATE(2025,7,4)), (SWITCH(weekday(AI$4), 1, 0, 2, if(ISBLANK('2025'!$P265), 0, 1), 3, if(ISBLANK('2025'!$Q265), 0, 1), 4, if(ISBLANK('2025'!$R265), 0, 1), 5, if(ISBLANK('2025'!$S265), 0, 1), 6, if(ISBLANK('2025'!$T265), 0, 1), 7, 0))), 1, "")</f>
        <v/>
      </c>
      <c r="AJ267" s="1" t="str">
        <f>IF(AND(AND(AND(AJ$4&gt;='2025'!$L265,AJ$4&lt;='2025'!$M265), AJ$4&lt;&gt;DATE(2025,7,4)), (SWITCH(weekday(AJ$4), 1, 0, 2, if(ISBLANK('2025'!$P265), 0, 1), 3, if(ISBLANK('2025'!$Q265), 0, 1), 4, if(ISBLANK('2025'!$R265), 0, 1), 5, if(ISBLANK('2025'!$S265), 0, 1), 6, if(ISBLANK('2025'!$T265), 0, 1), 7, 0))), 1, "")</f>
        <v/>
      </c>
      <c r="AK267" s="1" t="str">
        <f>IF(AND(AND(AND(AK$4&gt;='2025'!$L265,AK$4&lt;='2025'!$M265), AK$4&lt;&gt;DATE(2025,7,4)), (SWITCH(weekday(AK$4), 1, 0, 2, if(ISBLANK('2025'!$P265), 0, 1), 3, if(ISBLANK('2025'!$Q265), 0, 1), 4, if(ISBLANK('2025'!$R265), 0, 1), 5, if(ISBLANK('2025'!$S265), 0, 1), 6, if(ISBLANK('2025'!$T265), 0, 1), 7, 0))), 1, "")</f>
        <v/>
      </c>
      <c r="AL267" s="1" t="str">
        <f>IF(AND(AND(AND(AL$4&gt;='2025'!$L265,AL$4&lt;='2025'!$M265), AL$4&lt;&gt;DATE(2025,7,4)), (SWITCH(weekday(AL$4), 1, 0, 2, if(ISBLANK('2025'!$P265), 0, 1), 3, if(ISBLANK('2025'!$Q265), 0, 1), 4, if(ISBLANK('2025'!$R265), 0, 1), 5, if(ISBLANK('2025'!$S265), 0, 1), 6, if(ISBLANK('2025'!$T265), 0, 1), 7, 0))), 1, "")</f>
        <v/>
      </c>
      <c r="AM267" s="1" t="str">
        <f>IF(AND(AND(AND(AM$4&gt;='2025'!$L265,AM$4&lt;='2025'!$M265), AM$4&lt;&gt;DATE(2025,7,4)), (SWITCH(weekday(AM$4), 1, 0, 2, if(ISBLANK('2025'!$P265), 0, 1), 3, if(ISBLANK('2025'!$Q265), 0, 1), 4, if(ISBLANK('2025'!$R265), 0, 1), 5, if(ISBLANK('2025'!$S265), 0, 1), 6, if(ISBLANK('2025'!$T265), 0, 1), 7, 0))), 1, "")</f>
        <v/>
      </c>
      <c r="AN267" s="1" t="str">
        <f>IF(AND(AND(AND(AN$4&gt;='2025'!$L265,AN$4&lt;='2025'!$M265), AN$4&lt;&gt;DATE(2025,7,4)), (SWITCH(weekday(AN$4), 1, 0, 2, if(ISBLANK('2025'!$P265), 0, 1), 3, if(ISBLANK('2025'!$Q265), 0, 1), 4, if(ISBLANK('2025'!$R265), 0, 1), 5, if(ISBLANK('2025'!$S265), 0, 1), 6, if(ISBLANK('2025'!$T265), 0, 1), 7, 0))), 1, "")</f>
        <v/>
      </c>
      <c r="AO267" s="1" t="str">
        <f>IF(AND(AND(AND(AO$4&gt;='2025'!$L265,AO$4&lt;='2025'!$M265), AO$4&lt;&gt;DATE(2025,7,4)), (SWITCH(weekday(AO$4), 1, 0, 2, if(ISBLANK('2025'!$P265), 0, 1), 3, if(ISBLANK('2025'!$Q265), 0, 1), 4, if(ISBLANK('2025'!$R265), 0, 1), 5, if(ISBLANK('2025'!$S265), 0, 1), 6, if(ISBLANK('2025'!$T265), 0, 1), 7, 0))), 1, "")</f>
        <v/>
      </c>
      <c r="AP267" s="1" t="str">
        <f>IF(AND(AND(AND(AP$4&gt;='2025'!$L265,AP$4&lt;='2025'!$M265), AP$4&lt;&gt;DATE(2025,7,4)), (SWITCH(weekday(AP$4), 1, 0, 2, if(ISBLANK('2025'!$P265), 0, 1), 3, if(ISBLANK('2025'!$Q265), 0, 1), 4, if(ISBLANK('2025'!$R265), 0, 1), 5, if(ISBLANK('2025'!$S265), 0, 1), 6, if(ISBLANK('2025'!$T265), 0, 1), 7, 0))), 1, "")</f>
        <v/>
      </c>
      <c r="AQ267" s="1" t="str">
        <f>IF(AND(AND(AND(AQ$4&gt;='2025'!$L265,AQ$4&lt;='2025'!$M265), AQ$4&lt;&gt;DATE(2025,7,4)), (SWITCH(weekday(AQ$4), 1, 0, 2, if(ISBLANK('2025'!$P265), 0, 1), 3, if(ISBLANK('2025'!$Q265), 0, 1), 4, if(ISBLANK('2025'!$R265), 0, 1), 5, if(ISBLANK('2025'!$S265), 0, 1), 6, if(ISBLANK('2025'!$T265), 0, 1), 7, 0))), 1, "")</f>
        <v/>
      </c>
      <c r="AR267" s="1" t="str">
        <f>IF(AND(AND(AND(AR$4&gt;='2025'!$L265,AR$4&lt;='2025'!$M265), AR$4&lt;&gt;DATE(2025,7,4)), (SWITCH(weekday(AR$4), 1, 0, 2, if(ISBLANK('2025'!$P265), 0, 1), 3, if(ISBLANK('2025'!$Q265), 0, 1), 4, if(ISBLANK('2025'!$R265), 0, 1), 5, if(ISBLANK('2025'!$S265), 0, 1), 6, if(ISBLANK('2025'!$T265), 0, 1), 7, 0))), 1, "")</f>
        <v/>
      </c>
      <c r="AS267" s="1" t="str">
        <f>IF(AND(AND(AND(AS$4&gt;='2025'!$L265,AS$4&lt;='2025'!$M265), AS$4&lt;&gt;DATE(2025,7,4)), (SWITCH(weekday(AS$4), 1, 0, 2, if(ISBLANK('2025'!$P265), 0, 1), 3, if(ISBLANK('2025'!$Q265), 0, 1), 4, if(ISBLANK('2025'!$R265), 0, 1), 5, if(ISBLANK('2025'!$S265), 0, 1), 6, if(ISBLANK('2025'!$T265), 0, 1), 7, 0))), 1, "")</f>
        <v/>
      </c>
      <c r="AT267" s="1" t="str">
        <f>IF(AND(AND(AND(AT$4&gt;='2025'!$L265,AT$4&lt;='2025'!$M265), AT$4&lt;&gt;DATE(2025,7,4)), (SWITCH(weekday(AT$4), 1, 0, 2, if(ISBLANK('2025'!$P265), 0, 1), 3, if(ISBLANK('2025'!$Q265), 0, 1), 4, if(ISBLANK('2025'!$R265), 0, 1), 5, if(ISBLANK('2025'!$S265), 0, 1), 6, if(ISBLANK('2025'!$T265), 0, 1), 7, 0))), 1, "")</f>
        <v/>
      </c>
      <c r="AU267" s="1" t="str">
        <f>IF(AND(AND(AND(AU$4&gt;='2025'!$L265,AU$4&lt;='2025'!$M265), AU$4&lt;&gt;DATE(2025,7,4)), (SWITCH(weekday(AU$4), 1, 0, 2, if(ISBLANK('2025'!$P265), 0, 1), 3, if(ISBLANK('2025'!$Q265), 0, 1), 4, if(ISBLANK('2025'!$R265), 0, 1), 5, if(ISBLANK('2025'!$S265), 0, 1), 6, if(ISBLANK('2025'!$T265), 0, 1), 7, 0))), 1, "")</f>
        <v/>
      </c>
      <c r="AV267" s="1" t="str">
        <f>IF(AND(AND(AND(AV$4&gt;='2025'!$L265,AV$4&lt;='2025'!$M265), AV$4&lt;&gt;DATE(2025,7,4)), (SWITCH(weekday(AV$4), 1, 0, 2, if(ISBLANK('2025'!$P265), 0, 1), 3, if(ISBLANK('2025'!$Q265), 0, 1), 4, if(ISBLANK('2025'!$R265), 0, 1), 5, if(ISBLANK('2025'!$S265), 0, 1), 6, if(ISBLANK('2025'!$T265), 0, 1), 7, 0))), 1, "")</f>
        <v/>
      </c>
      <c r="AW267" s="1" t="str">
        <f>IF(AND(AND(AND(AW$4&gt;='2025'!$L265,AW$4&lt;='2025'!$M265), AW$4&lt;&gt;DATE(2025,7,4)), (SWITCH(weekday(AW$4), 1, 0, 2, if(ISBLANK('2025'!$P265), 0, 1), 3, if(ISBLANK('2025'!$Q265), 0, 1), 4, if(ISBLANK('2025'!$R265), 0, 1), 5, if(ISBLANK('2025'!$S265), 0, 1), 6, if(ISBLANK('2025'!$T265), 0, 1), 7, 0))), 1, "")</f>
        <v/>
      </c>
      <c r="AX267" s="1" t="str">
        <f>IF(AND(AND(AND(AX$4&gt;='2025'!$L265,AX$4&lt;='2025'!$M265), AX$4&lt;&gt;DATE(2025,7,4)), (SWITCH(weekday(AX$4), 1, 0, 2, if(ISBLANK('2025'!$P265), 0, 1), 3, if(ISBLANK('2025'!$Q265), 0, 1), 4, if(ISBLANK('2025'!$R265), 0, 1), 5, if(ISBLANK('2025'!$S265), 0, 1), 6, if(ISBLANK('2025'!$T265), 0, 1), 7, 0))), 1, "")</f>
        <v/>
      </c>
      <c r="AY267" s="1" t="str">
        <f>IF(AND(AND(AND(AY$4&gt;='2025'!$L265,AY$4&lt;='2025'!$M265), AY$4&lt;&gt;DATE(2025,7,4)), (SWITCH(weekday(AY$4), 1, 0, 2, if(ISBLANK('2025'!$P265), 0, 1), 3, if(ISBLANK('2025'!$Q265), 0, 1), 4, if(ISBLANK('2025'!$R265), 0, 1), 5, if(ISBLANK('2025'!$S265), 0, 1), 6, if(ISBLANK('2025'!$T265), 0, 1), 7, 0))), 1, "")</f>
        <v/>
      </c>
      <c r="AZ267" s="1" t="str">
        <f>IF(AND(AND(AND(AZ$4&gt;='2025'!$L265,AZ$4&lt;='2025'!$M265), AZ$4&lt;&gt;DATE(2025,7,4)), (SWITCH(weekday(AZ$4), 1, 0, 2, if(ISBLANK('2025'!$P265), 0, 1), 3, if(ISBLANK('2025'!$Q265), 0, 1), 4, if(ISBLANK('2025'!$R265), 0, 1), 5, if(ISBLANK('2025'!$S265), 0, 1), 6, if(ISBLANK('2025'!$T265), 0, 1), 7, 0))), 1, "")</f>
        <v/>
      </c>
      <c r="BA267" s="1" t="str">
        <f>IF(AND(AND(AND(BA$4&gt;='2025'!$L265,BA$4&lt;='2025'!$M265), BA$4&lt;&gt;DATE(2025,7,4)), (SWITCH(weekday(BA$4), 1, 0, 2, if(ISBLANK('2025'!$P265), 0, 1), 3, if(ISBLANK('2025'!$Q265), 0, 1), 4, if(ISBLANK('2025'!$R265), 0, 1), 5, if(ISBLANK('2025'!$S265), 0, 1), 6, if(ISBLANK('2025'!$T265), 0, 1), 7, 0))), 1, "")</f>
        <v/>
      </c>
      <c r="BB267" s="1" t="str">
        <f>IF(AND(AND(AND(BB$4&gt;='2025'!$L265,BB$4&lt;='2025'!$M265), BB$4&lt;&gt;DATE(2025,7,4)), (SWITCH(weekday(BB$4), 1, 0, 2, if(ISBLANK('2025'!$P265), 0, 1), 3, if(ISBLANK('2025'!$Q265), 0, 1), 4, if(ISBLANK('2025'!$R265), 0, 1), 5, if(ISBLANK('2025'!$S265), 0, 1), 6, if(ISBLANK('2025'!$T265), 0, 1), 7, 0))), 1, "")</f>
        <v/>
      </c>
      <c r="BC267" s="1" t="str">
        <f>IF(AND(AND(AND(BC$4&gt;='2025'!$L265,BC$4&lt;='2025'!$M265), BC$4&lt;&gt;DATE(2025,7,4)), (SWITCH(weekday(BC$4), 1, 0, 2, if(ISBLANK('2025'!$P265), 0, 1), 3, if(ISBLANK('2025'!$Q265), 0, 1), 4, if(ISBLANK('2025'!$R265), 0, 1), 5, if(ISBLANK('2025'!$S265), 0, 1), 6, if(ISBLANK('2025'!$T265), 0, 1), 7, 0))), 1, "")</f>
        <v/>
      </c>
      <c r="BD267" s="1" t="str">
        <f>IF(AND(AND(AND(BD$4&gt;='2025'!$L265,BD$4&lt;='2025'!$M265), BD$4&lt;&gt;DATE(2025,7,4)), (SWITCH(weekday(BD$4), 1, 0, 2, if(ISBLANK('2025'!$P265), 0, 1), 3, if(ISBLANK('2025'!$Q265), 0, 1), 4, if(ISBLANK('2025'!$R265), 0, 1), 5, if(ISBLANK('2025'!$S265), 0, 1), 6, if(ISBLANK('2025'!$T265), 0, 1), 7, 0))), 1, "")</f>
        <v/>
      </c>
      <c r="BE267" s="1" t="str">
        <f>IF(AND(AND(AND(BE$4&gt;='2025'!$L265,BE$4&lt;='2025'!$M265), BE$4&lt;&gt;DATE(2025,7,4)), (SWITCH(weekday(BE$4), 1, 0, 2, if(ISBLANK('2025'!$P265), 0, 1), 3, if(ISBLANK('2025'!$Q265), 0, 1), 4, if(ISBLANK('2025'!$R265), 0, 1), 5, if(ISBLANK('2025'!$S265), 0, 1), 6, if(ISBLANK('2025'!$T265), 0, 1), 7, 0))), 1, "")</f>
        <v/>
      </c>
      <c r="BF267" s="1" t="str">
        <f>IF(AND(AND(AND(BF$4&gt;='2025'!$L265,BF$4&lt;='2025'!$M265), BF$4&lt;&gt;DATE(2025,7,4)), (SWITCH(weekday(BF$4), 1, 0, 2, if(ISBLANK('2025'!$P265), 0, 1), 3, if(ISBLANK('2025'!$Q265), 0, 1), 4, if(ISBLANK('2025'!$R265), 0, 1), 5, if(ISBLANK('2025'!$S265), 0, 1), 6, if(ISBLANK('2025'!$T265), 0, 1), 7, 0))), 1, "")</f>
        <v/>
      </c>
      <c r="BG267" s="1"/>
      <c r="BH267" s="1"/>
      <c r="BI267" s="1"/>
      <c r="BJ267" s="1"/>
      <c r="BK267" s="1"/>
      <c r="BL267" s="1"/>
    </row>
    <row r="268">
      <c r="A268" s="1">
        <f t="shared" si="3"/>
        <v>268</v>
      </c>
      <c r="B268" s="1" t="str">
        <f>'2025'!D232</f>
        <v>, </v>
      </c>
      <c r="C268" s="1" t="str">
        <f>'2025'!H232</f>
        <v/>
      </c>
      <c r="D268" s="1" t="str">
        <f>IF(AND(AND(AND(D$4&gt;='2025'!$L266,D$4&lt;='2025'!$M266), D$4&lt;&gt;DATE(2025,7,4)), (SWITCH(weekday(D$4), 1, 0, 2, if(ISBLANK('2025'!$P266), 0, 1), 3, if(ISBLANK('2025'!$Q266), 0, 1), 4, if(ISBLANK('2025'!$R266), 0, 1), 5, if(ISBLANK('2025'!$S266), 0, 1), 6, if(ISBLANK('2025'!$T266), 0, 1), 7, 0))), 1, "")</f>
        <v/>
      </c>
      <c r="E268" s="1" t="str">
        <f>IF(AND(AND(AND(E$4&gt;='2025'!$L266,E$4&lt;='2025'!$M266), E$4&lt;&gt;DATE(2025,7,4)), (SWITCH(weekday(E$4), 1, 0, 2, if(ISBLANK('2025'!$P266), 0, 1), 3, if(ISBLANK('2025'!$Q266), 0, 1), 4, if(ISBLANK('2025'!$R266), 0, 1), 5, if(ISBLANK('2025'!$S266), 0, 1), 6, if(ISBLANK('2025'!$T266), 0, 1), 7, 0))), 1, "")</f>
        <v/>
      </c>
      <c r="F268" s="1" t="str">
        <f>IF(AND(AND(AND(F$4&gt;='2025'!$L266,F$4&lt;='2025'!$M266), F$4&lt;&gt;DATE(2025,7,4)), (SWITCH(weekday(F$4), 1, 0, 2, if(ISBLANK('2025'!$P266), 0, 1), 3, if(ISBLANK('2025'!$Q266), 0, 1), 4, if(ISBLANK('2025'!$R266), 0, 1), 5, if(ISBLANK('2025'!$S266), 0, 1), 6, if(ISBLANK('2025'!$T266), 0, 1), 7, 0))), 1, "")</f>
        <v/>
      </c>
      <c r="G268" s="1" t="str">
        <f>IF(AND(AND(AND(G$4&gt;='2025'!$L266,G$4&lt;='2025'!$M266), G$4&lt;&gt;DATE(2025,7,4)), (SWITCH(weekday(G$4), 1, 0, 2, if(ISBLANK('2025'!$P266), 0, 1), 3, if(ISBLANK('2025'!$Q266), 0, 1), 4, if(ISBLANK('2025'!$R266), 0, 1), 5, if(ISBLANK('2025'!$S266), 0, 1), 6, if(ISBLANK('2025'!$T266), 0, 1), 7, 0))), 1, "")</f>
        <v/>
      </c>
      <c r="H268" s="1" t="str">
        <f>IF(AND(AND(AND(H$4&gt;='2025'!$L266,H$4&lt;='2025'!$M266), H$4&lt;&gt;DATE(2025,7,4)), (SWITCH(weekday(H$4), 1, 0, 2, if(ISBLANK('2025'!$P266), 0, 1), 3, if(ISBLANK('2025'!$Q266), 0, 1), 4, if(ISBLANK('2025'!$R266), 0, 1), 5, if(ISBLANK('2025'!$S266), 0, 1), 6, if(ISBLANK('2025'!$T266), 0, 1), 7, 0))), 1, "")</f>
        <v/>
      </c>
      <c r="I268" s="1" t="str">
        <f>IF(AND(AND(AND(I$4&gt;='2025'!$L266,I$4&lt;='2025'!$M266), I$4&lt;&gt;DATE(2025,7,4)), (SWITCH(weekday(I$4), 1, 0, 2, if(ISBLANK('2025'!$P266), 0, 1), 3, if(ISBLANK('2025'!$Q266), 0, 1), 4, if(ISBLANK('2025'!$R266), 0, 1), 5, if(ISBLANK('2025'!$S266), 0, 1), 6, if(ISBLANK('2025'!$T266), 0, 1), 7, 0))), 1, "")</f>
        <v/>
      </c>
      <c r="J268" s="1" t="str">
        <f>IF(AND(AND(AND(J$4&gt;='2025'!$L266,J$4&lt;='2025'!$M266), J$4&lt;&gt;DATE(2025,7,4)), (SWITCH(weekday(J$4), 1, 0, 2, if(ISBLANK('2025'!$P266), 0, 1), 3, if(ISBLANK('2025'!$Q266), 0, 1), 4, if(ISBLANK('2025'!$R266), 0, 1), 5, if(ISBLANK('2025'!$S266), 0, 1), 6, if(ISBLANK('2025'!$T266), 0, 1), 7, 0))), 1, "")</f>
        <v/>
      </c>
      <c r="K268" s="1" t="str">
        <f>IF(AND(AND(AND(K$4&gt;='2025'!$L266,K$4&lt;='2025'!$M266), K$4&lt;&gt;DATE(2025,7,4)), (SWITCH(weekday(K$4), 1, 0, 2, if(ISBLANK('2025'!$P266), 0, 1), 3, if(ISBLANK('2025'!$Q266), 0, 1), 4, if(ISBLANK('2025'!$R266), 0, 1), 5, if(ISBLANK('2025'!$S266), 0, 1), 6, if(ISBLANK('2025'!$T266), 0, 1), 7, 0))), 1, "")</f>
        <v/>
      </c>
      <c r="L268" s="1" t="str">
        <f>IF(AND(AND(AND(L$4&gt;='2025'!$L266,L$4&lt;='2025'!$M266), L$4&lt;&gt;DATE(2025,7,4)), (SWITCH(weekday(L$4), 1, 0, 2, if(ISBLANK('2025'!$P266), 0, 1), 3, if(ISBLANK('2025'!$Q266), 0, 1), 4, if(ISBLANK('2025'!$R266), 0, 1), 5, if(ISBLANK('2025'!$S266), 0, 1), 6, if(ISBLANK('2025'!$T266), 0, 1), 7, 0))), 1, "")</f>
        <v/>
      </c>
      <c r="M268" s="1" t="str">
        <f>IF(AND(AND(AND(M$4&gt;='2025'!$L266,M$4&lt;='2025'!$M266), M$4&lt;&gt;DATE(2025,7,4)), (SWITCH(weekday(M$4), 1, 0, 2, if(ISBLANK('2025'!$P266), 0, 1), 3, if(ISBLANK('2025'!$Q266), 0, 1), 4, if(ISBLANK('2025'!$R266), 0, 1), 5, if(ISBLANK('2025'!$S266), 0, 1), 6, if(ISBLANK('2025'!$T266), 0, 1), 7, 0))), 1, "")</f>
        <v/>
      </c>
      <c r="N268" s="1" t="str">
        <f>IF(AND(AND(AND(N$4&gt;='2025'!$L266,N$4&lt;='2025'!$M266), N$4&lt;&gt;DATE(2025,7,4)), (SWITCH(weekday(N$4), 1, 0, 2, if(ISBLANK('2025'!$P266), 0, 1), 3, if(ISBLANK('2025'!$Q266), 0, 1), 4, if(ISBLANK('2025'!$R266), 0, 1), 5, if(ISBLANK('2025'!$S266), 0, 1), 6, if(ISBLANK('2025'!$T266), 0, 1), 7, 0))), 1, "")</f>
        <v/>
      </c>
      <c r="O268" s="1" t="str">
        <f>IF(AND(AND(AND(O$4&gt;='2025'!$L266,O$4&lt;='2025'!$M266), O$4&lt;&gt;DATE(2025,7,4)), (SWITCH(weekday(O$4), 1, 0, 2, if(ISBLANK('2025'!$P266), 0, 1), 3, if(ISBLANK('2025'!$Q266), 0, 1), 4, if(ISBLANK('2025'!$R266), 0, 1), 5, if(ISBLANK('2025'!$S266), 0, 1), 6, if(ISBLANK('2025'!$T266), 0, 1), 7, 0))), 1, "")</f>
        <v/>
      </c>
      <c r="P268" s="1" t="str">
        <f>IF(AND(AND(AND(P$4&gt;='2025'!$L266,P$4&lt;='2025'!$M266), P$4&lt;&gt;DATE(2025,7,4)), (SWITCH(weekday(P$4), 1, 0, 2, if(ISBLANK('2025'!$P266), 0, 1), 3, if(ISBLANK('2025'!$Q266), 0, 1), 4, if(ISBLANK('2025'!$R266), 0, 1), 5, if(ISBLANK('2025'!$S266), 0, 1), 6, if(ISBLANK('2025'!$T266), 0, 1), 7, 0))), 1, "")</f>
        <v/>
      </c>
      <c r="Q268" s="1" t="str">
        <f>IF(AND(AND(AND(Q$4&gt;='2025'!$L266,Q$4&lt;='2025'!$M266), Q$4&lt;&gt;DATE(2025,7,4)), (SWITCH(weekday(Q$4), 1, 0, 2, if(ISBLANK('2025'!$P266), 0, 1), 3, if(ISBLANK('2025'!$Q266), 0, 1), 4, if(ISBLANK('2025'!$R266), 0, 1), 5, if(ISBLANK('2025'!$S266), 0, 1), 6, if(ISBLANK('2025'!$T266), 0, 1), 7, 0))), 1, "")</f>
        <v/>
      </c>
      <c r="R268" s="1" t="str">
        <f>IF(AND(AND(AND(R$4&gt;='2025'!$L266,R$4&lt;='2025'!$M266), R$4&lt;&gt;DATE(2025,7,4)), (SWITCH(weekday(R$4), 1, 0, 2, if(ISBLANK('2025'!$P266), 0, 1), 3, if(ISBLANK('2025'!$Q266), 0, 1), 4, if(ISBLANK('2025'!$R266), 0, 1), 5, if(ISBLANK('2025'!$S266), 0, 1), 6, if(ISBLANK('2025'!$T266), 0, 1), 7, 0))), 1, "")</f>
        <v/>
      </c>
      <c r="S268" s="1" t="str">
        <f>IF(AND(AND(AND(S$4&gt;='2025'!$L266,S$4&lt;='2025'!$M266), S$4&lt;&gt;DATE(2025,7,4)), (SWITCH(weekday(S$4), 1, 0, 2, if(ISBLANK('2025'!$P266), 0, 1), 3, if(ISBLANK('2025'!$Q266), 0, 1), 4, if(ISBLANK('2025'!$R266), 0, 1), 5, if(ISBLANK('2025'!$S266), 0, 1), 6, if(ISBLANK('2025'!$T266), 0, 1), 7, 0))), 1, "")</f>
        <v/>
      </c>
      <c r="T268" s="1" t="str">
        <f>IF(AND(AND(AND(T$4&gt;='2025'!$L266,T$4&lt;='2025'!$M266), T$4&lt;&gt;DATE(2025,7,4)), (SWITCH(weekday(T$4), 1, 0, 2, if(ISBLANK('2025'!$P266), 0, 1), 3, if(ISBLANK('2025'!$Q266), 0, 1), 4, if(ISBLANK('2025'!$R266), 0, 1), 5, if(ISBLANK('2025'!$S266), 0, 1), 6, if(ISBLANK('2025'!$T266), 0, 1), 7, 0))), 1, "")</f>
        <v/>
      </c>
      <c r="U268" s="1" t="str">
        <f>IF(AND(AND(AND(U$4&gt;='2025'!$L266,U$4&lt;='2025'!$M266), U$4&lt;&gt;DATE(2025,7,4)), (SWITCH(weekday(U$4), 1, 0, 2, if(ISBLANK('2025'!$P266), 0, 1), 3, if(ISBLANK('2025'!$Q266), 0, 1), 4, if(ISBLANK('2025'!$R266), 0, 1), 5, if(ISBLANK('2025'!$S266), 0, 1), 6, if(ISBLANK('2025'!$T266), 0, 1), 7, 0))), 1, "")</f>
        <v/>
      </c>
      <c r="V268" s="1" t="str">
        <f>IF(AND(AND(AND(V$4&gt;='2025'!$L266,V$4&lt;='2025'!$M266), V$4&lt;&gt;DATE(2025,7,4)), (SWITCH(weekday(V$4), 1, 0, 2, if(ISBLANK('2025'!$P266), 0, 1), 3, if(ISBLANK('2025'!$Q266), 0, 1), 4, if(ISBLANK('2025'!$R266), 0, 1), 5, if(ISBLANK('2025'!$S266), 0, 1), 6, if(ISBLANK('2025'!$T266), 0, 1), 7, 0))), 1, "")</f>
        <v/>
      </c>
      <c r="W268" s="1" t="str">
        <f>IF(AND(AND(AND(W$4&gt;='2025'!$L266,W$4&lt;='2025'!$M266), W$4&lt;&gt;DATE(2025,7,4)), (SWITCH(weekday(W$4), 1, 0, 2, if(ISBLANK('2025'!$P266), 0, 1), 3, if(ISBLANK('2025'!$Q266), 0, 1), 4, if(ISBLANK('2025'!$R266), 0, 1), 5, if(ISBLANK('2025'!$S266), 0, 1), 6, if(ISBLANK('2025'!$T266), 0, 1), 7, 0))), 1, "")</f>
        <v/>
      </c>
      <c r="X268" s="1" t="str">
        <f>IF(AND(AND(AND(X$4&gt;='2025'!$L266,X$4&lt;='2025'!$M266), X$4&lt;&gt;DATE(2025,7,4)), (SWITCH(weekday(X$4), 1, 0, 2, if(ISBLANK('2025'!$P266), 0, 1), 3, if(ISBLANK('2025'!$Q266), 0, 1), 4, if(ISBLANK('2025'!$R266), 0, 1), 5, if(ISBLANK('2025'!$S266), 0, 1), 6, if(ISBLANK('2025'!$T266), 0, 1), 7, 0))), 1, "")</f>
        <v/>
      </c>
      <c r="Y268" s="1" t="str">
        <f>IF(AND(AND(AND(Y$4&gt;='2025'!$L266,Y$4&lt;='2025'!$M266), Y$4&lt;&gt;DATE(2025,7,4)), (SWITCH(weekday(Y$4), 1, 0, 2, if(ISBLANK('2025'!$P266), 0, 1), 3, if(ISBLANK('2025'!$Q266), 0, 1), 4, if(ISBLANK('2025'!$R266), 0, 1), 5, if(ISBLANK('2025'!$S266), 0, 1), 6, if(ISBLANK('2025'!$T266), 0, 1), 7, 0))), 1, "")</f>
        <v/>
      </c>
      <c r="Z268" s="1" t="str">
        <f>IF(AND(AND(AND(Z$4&gt;='2025'!$L266,Z$4&lt;='2025'!$M266), Z$4&lt;&gt;DATE(2025,7,4)), (SWITCH(weekday(Z$4), 1, 0, 2, if(ISBLANK('2025'!$P266), 0, 1), 3, if(ISBLANK('2025'!$Q266), 0, 1), 4, if(ISBLANK('2025'!$R266), 0, 1), 5, if(ISBLANK('2025'!$S266), 0, 1), 6, if(ISBLANK('2025'!$T266), 0, 1), 7, 0))), 1, "")</f>
        <v/>
      </c>
      <c r="AA268" s="1" t="str">
        <f>IF(AND(AND(AND(AA$4&gt;='2025'!$L266,AA$4&lt;='2025'!$M266), AA$4&lt;&gt;DATE(2025,7,4)), (SWITCH(weekday(AA$4), 1, 0, 2, if(ISBLANK('2025'!$P266), 0, 1), 3, if(ISBLANK('2025'!$Q266), 0, 1), 4, if(ISBLANK('2025'!$R266), 0, 1), 5, if(ISBLANK('2025'!$S266), 0, 1), 6, if(ISBLANK('2025'!$T266), 0, 1), 7, 0))), 1, "")</f>
        <v/>
      </c>
      <c r="AB268" s="1" t="str">
        <f>IF(AND(AND(AND(AB$4&gt;='2025'!$L266,AB$4&lt;='2025'!$M266), AB$4&lt;&gt;DATE(2025,7,4)), (SWITCH(weekday(AB$4), 1, 0, 2, if(ISBLANK('2025'!$P266), 0, 1), 3, if(ISBLANK('2025'!$Q266), 0, 1), 4, if(ISBLANK('2025'!$R266), 0, 1), 5, if(ISBLANK('2025'!$S266), 0, 1), 6, if(ISBLANK('2025'!$T266), 0, 1), 7, 0))), 1, "")</f>
        <v/>
      </c>
      <c r="AC268" s="1" t="str">
        <f>IF(AND(AND(AND(AC$4&gt;='2025'!$L266,AC$4&lt;='2025'!$M266), AC$4&lt;&gt;DATE(2025,7,4)), (SWITCH(weekday(AC$4), 1, 0, 2, if(ISBLANK('2025'!$P266), 0, 1), 3, if(ISBLANK('2025'!$Q266), 0, 1), 4, if(ISBLANK('2025'!$R266), 0, 1), 5, if(ISBLANK('2025'!$S266), 0, 1), 6, if(ISBLANK('2025'!$T266), 0, 1), 7, 0))), 1, "")</f>
        <v/>
      </c>
      <c r="AD268" s="1" t="str">
        <f>IF(AND(AND(AND(AD$4&gt;='2025'!$L266,AD$4&lt;='2025'!$M266), AD$4&lt;&gt;DATE(2025,7,4)), (SWITCH(weekday(AD$4), 1, 0, 2, if(ISBLANK('2025'!$P266), 0, 1), 3, if(ISBLANK('2025'!$Q266), 0, 1), 4, if(ISBLANK('2025'!$R266), 0, 1), 5, if(ISBLANK('2025'!$S266), 0, 1), 6, if(ISBLANK('2025'!$T266), 0, 1), 7, 0))), 1, "")</f>
        <v/>
      </c>
      <c r="AE268" s="1" t="str">
        <f>IF(AND(AND(AND(AE$4&gt;='2025'!$L266,AE$4&lt;='2025'!$M266), AE$4&lt;&gt;DATE(2025,7,4)), (SWITCH(weekday(AE$4), 1, 0, 2, if(ISBLANK('2025'!$P266), 0, 1), 3, if(ISBLANK('2025'!$Q266), 0, 1), 4, if(ISBLANK('2025'!$R266), 0, 1), 5, if(ISBLANK('2025'!$S266), 0, 1), 6, if(ISBLANK('2025'!$T266), 0, 1), 7, 0))), 1, "")</f>
        <v/>
      </c>
      <c r="AF268" s="1" t="str">
        <f>IF(AND(AND(AND(AF$4&gt;='2025'!$L266,AF$4&lt;='2025'!$M266), AF$4&lt;&gt;DATE(2025,7,4)), (SWITCH(weekday(AF$4), 1, 0, 2, if(ISBLANK('2025'!$P266), 0, 1), 3, if(ISBLANK('2025'!$Q266), 0, 1), 4, if(ISBLANK('2025'!$R266), 0, 1), 5, if(ISBLANK('2025'!$S266), 0, 1), 6, if(ISBLANK('2025'!$T266), 0, 1), 7, 0))), 1, "")</f>
        <v/>
      </c>
      <c r="AG268" s="1" t="str">
        <f>IF(AND(AND(AND(AG$4&gt;='2025'!$L266,AG$4&lt;='2025'!$M266), AG$4&lt;&gt;DATE(2025,7,4)), (SWITCH(weekday(AG$4), 1, 0, 2, if(ISBLANK('2025'!$P266), 0, 1), 3, if(ISBLANK('2025'!$Q266), 0, 1), 4, if(ISBLANK('2025'!$R266), 0, 1), 5, if(ISBLANK('2025'!$S266), 0, 1), 6, if(ISBLANK('2025'!$T266), 0, 1), 7, 0))), 1, "")</f>
        <v/>
      </c>
      <c r="AH268" s="1" t="str">
        <f>IF(AND(AND(AND(AH$4&gt;='2025'!$L266,AH$4&lt;='2025'!$M266), AH$4&lt;&gt;DATE(2025,7,4)), (SWITCH(weekday(AH$4), 1, 0, 2, if(ISBLANK('2025'!$P266), 0, 1), 3, if(ISBLANK('2025'!$Q266), 0, 1), 4, if(ISBLANK('2025'!$R266), 0, 1), 5, if(ISBLANK('2025'!$S266), 0, 1), 6, if(ISBLANK('2025'!$T266), 0, 1), 7, 0))), 1, "")</f>
        <v/>
      </c>
      <c r="AI268" s="1" t="str">
        <f>IF(AND(AND(AND(AI$4&gt;='2025'!$L266,AI$4&lt;='2025'!$M266), AI$4&lt;&gt;DATE(2025,7,4)), (SWITCH(weekday(AI$4), 1, 0, 2, if(ISBLANK('2025'!$P266), 0, 1), 3, if(ISBLANK('2025'!$Q266), 0, 1), 4, if(ISBLANK('2025'!$R266), 0, 1), 5, if(ISBLANK('2025'!$S266), 0, 1), 6, if(ISBLANK('2025'!$T266), 0, 1), 7, 0))), 1, "")</f>
        <v/>
      </c>
      <c r="AJ268" s="1" t="str">
        <f>IF(AND(AND(AND(AJ$4&gt;='2025'!$L266,AJ$4&lt;='2025'!$M266), AJ$4&lt;&gt;DATE(2025,7,4)), (SWITCH(weekday(AJ$4), 1, 0, 2, if(ISBLANK('2025'!$P266), 0, 1), 3, if(ISBLANK('2025'!$Q266), 0, 1), 4, if(ISBLANK('2025'!$R266), 0, 1), 5, if(ISBLANK('2025'!$S266), 0, 1), 6, if(ISBLANK('2025'!$T266), 0, 1), 7, 0))), 1, "")</f>
        <v/>
      </c>
      <c r="AK268" s="1" t="str">
        <f>IF(AND(AND(AND(AK$4&gt;='2025'!$L266,AK$4&lt;='2025'!$M266), AK$4&lt;&gt;DATE(2025,7,4)), (SWITCH(weekday(AK$4), 1, 0, 2, if(ISBLANK('2025'!$P266), 0, 1), 3, if(ISBLANK('2025'!$Q266), 0, 1), 4, if(ISBLANK('2025'!$R266), 0, 1), 5, if(ISBLANK('2025'!$S266), 0, 1), 6, if(ISBLANK('2025'!$T266), 0, 1), 7, 0))), 1, "")</f>
        <v/>
      </c>
      <c r="AL268" s="1" t="str">
        <f>IF(AND(AND(AND(AL$4&gt;='2025'!$L266,AL$4&lt;='2025'!$M266), AL$4&lt;&gt;DATE(2025,7,4)), (SWITCH(weekday(AL$4), 1, 0, 2, if(ISBLANK('2025'!$P266), 0, 1), 3, if(ISBLANK('2025'!$Q266), 0, 1), 4, if(ISBLANK('2025'!$R266), 0, 1), 5, if(ISBLANK('2025'!$S266), 0, 1), 6, if(ISBLANK('2025'!$T266), 0, 1), 7, 0))), 1, "")</f>
        <v/>
      </c>
      <c r="AM268" s="1" t="str">
        <f>IF(AND(AND(AND(AM$4&gt;='2025'!$L266,AM$4&lt;='2025'!$M266), AM$4&lt;&gt;DATE(2025,7,4)), (SWITCH(weekday(AM$4), 1, 0, 2, if(ISBLANK('2025'!$P266), 0, 1), 3, if(ISBLANK('2025'!$Q266), 0, 1), 4, if(ISBLANK('2025'!$R266), 0, 1), 5, if(ISBLANK('2025'!$S266), 0, 1), 6, if(ISBLANK('2025'!$T266), 0, 1), 7, 0))), 1, "")</f>
        <v/>
      </c>
      <c r="AN268" s="1" t="str">
        <f>IF(AND(AND(AND(AN$4&gt;='2025'!$L266,AN$4&lt;='2025'!$M266), AN$4&lt;&gt;DATE(2025,7,4)), (SWITCH(weekday(AN$4), 1, 0, 2, if(ISBLANK('2025'!$P266), 0, 1), 3, if(ISBLANK('2025'!$Q266), 0, 1), 4, if(ISBLANK('2025'!$R266), 0, 1), 5, if(ISBLANK('2025'!$S266), 0, 1), 6, if(ISBLANK('2025'!$T266), 0, 1), 7, 0))), 1, "")</f>
        <v/>
      </c>
      <c r="AO268" s="1" t="str">
        <f>IF(AND(AND(AND(AO$4&gt;='2025'!$L266,AO$4&lt;='2025'!$M266), AO$4&lt;&gt;DATE(2025,7,4)), (SWITCH(weekday(AO$4), 1, 0, 2, if(ISBLANK('2025'!$P266), 0, 1), 3, if(ISBLANK('2025'!$Q266), 0, 1), 4, if(ISBLANK('2025'!$R266), 0, 1), 5, if(ISBLANK('2025'!$S266), 0, 1), 6, if(ISBLANK('2025'!$T266), 0, 1), 7, 0))), 1, "")</f>
        <v/>
      </c>
      <c r="AP268" s="1" t="str">
        <f>IF(AND(AND(AND(AP$4&gt;='2025'!$L266,AP$4&lt;='2025'!$M266), AP$4&lt;&gt;DATE(2025,7,4)), (SWITCH(weekday(AP$4), 1, 0, 2, if(ISBLANK('2025'!$P266), 0, 1), 3, if(ISBLANK('2025'!$Q266), 0, 1), 4, if(ISBLANK('2025'!$R266), 0, 1), 5, if(ISBLANK('2025'!$S266), 0, 1), 6, if(ISBLANK('2025'!$T266), 0, 1), 7, 0))), 1, "")</f>
        <v/>
      </c>
      <c r="AQ268" s="1" t="str">
        <f>IF(AND(AND(AND(AQ$4&gt;='2025'!$L266,AQ$4&lt;='2025'!$M266), AQ$4&lt;&gt;DATE(2025,7,4)), (SWITCH(weekday(AQ$4), 1, 0, 2, if(ISBLANK('2025'!$P266), 0, 1), 3, if(ISBLANK('2025'!$Q266), 0, 1), 4, if(ISBLANK('2025'!$R266), 0, 1), 5, if(ISBLANK('2025'!$S266), 0, 1), 6, if(ISBLANK('2025'!$T266), 0, 1), 7, 0))), 1, "")</f>
        <v/>
      </c>
      <c r="AR268" s="1" t="str">
        <f>IF(AND(AND(AND(AR$4&gt;='2025'!$L266,AR$4&lt;='2025'!$M266), AR$4&lt;&gt;DATE(2025,7,4)), (SWITCH(weekday(AR$4), 1, 0, 2, if(ISBLANK('2025'!$P266), 0, 1), 3, if(ISBLANK('2025'!$Q266), 0, 1), 4, if(ISBLANK('2025'!$R266), 0, 1), 5, if(ISBLANK('2025'!$S266), 0, 1), 6, if(ISBLANK('2025'!$T266), 0, 1), 7, 0))), 1, "")</f>
        <v/>
      </c>
      <c r="AS268" s="1" t="str">
        <f>IF(AND(AND(AND(AS$4&gt;='2025'!$L266,AS$4&lt;='2025'!$M266), AS$4&lt;&gt;DATE(2025,7,4)), (SWITCH(weekday(AS$4), 1, 0, 2, if(ISBLANK('2025'!$P266), 0, 1), 3, if(ISBLANK('2025'!$Q266), 0, 1), 4, if(ISBLANK('2025'!$R266), 0, 1), 5, if(ISBLANK('2025'!$S266), 0, 1), 6, if(ISBLANK('2025'!$T266), 0, 1), 7, 0))), 1, "")</f>
        <v/>
      </c>
      <c r="AT268" s="1" t="str">
        <f>IF(AND(AND(AND(AT$4&gt;='2025'!$L266,AT$4&lt;='2025'!$M266), AT$4&lt;&gt;DATE(2025,7,4)), (SWITCH(weekday(AT$4), 1, 0, 2, if(ISBLANK('2025'!$P266), 0, 1), 3, if(ISBLANK('2025'!$Q266), 0, 1), 4, if(ISBLANK('2025'!$R266), 0, 1), 5, if(ISBLANK('2025'!$S266), 0, 1), 6, if(ISBLANK('2025'!$T266), 0, 1), 7, 0))), 1, "")</f>
        <v/>
      </c>
      <c r="AU268" s="1" t="str">
        <f>IF(AND(AND(AND(AU$4&gt;='2025'!$L266,AU$4&lt;='2025'!$M266), AU$4&lt;&gt;DATE(2025,7,4)), (SWITCH(weekday(AU$4), 1, 0, 2, if(ISBLANK('2025'!$P266), 0, 1), 3, if(ISBLANK('2025'!$Q266), 0, 1), 4, if(ISBLANK('2025'!$R266), 0, 1), 5, if(ISBLANK('2025'!$S266), 0, 1), 6, if(ISBLANK('2025'!$T266), 0, 1), 7, 0))), 1, "")</f>
        <v/>
      </c>
      <c r="AV268" s="1" t="str">
        <f>IF(AND(AND(AND(AV$4&gt;='2025'!$L266,AV$4&lt;='2025'!$M266), AV$4&lt;&gt;DATE(2025,7,4)), (SWITCH(weekday(AV$4), 1, 0, 2, if(ISBLANK('2025'!$P266), 0, 1), 3, if(ISBLANK('2025'!$Q266), 0, 1), 4, if(ISBLANK('2025'!$R266), 0, 1), 5, if(ISBLANK('2025'!$S266), 0, 1), 6, if(ISBLANK('2025'!$T266), 0, 1), 7, 0))), 1, "")</f>
        <v/>
      </c>
      <c r="AW268" s="1" t="str">
        <f>IF(AND(AND(AND(AW$4&gt;='2025'!$L266,AW$4&lt;='2025'!$M266), AW$4&lt;&gt;DATE(2025,7,4)), (SWITCH(weekday(AW$4), 1, 0, 2, if(ISBLANK('2025'!$P266), 0, 1), 3, if(ISBLANK('2025'!$Q266), 0, 1), 4, if(ISBLANK('2025'!$R266), 0, 1), 5, if(ISBLANK('2025'!$S266), 0, 1), 6, if(ISBLANK('2025'!$T266), 0, 1), 7, 0))), 1, "")</f>
        <v/>
      </c>
      <c r="AX268" s="1" t="str">
        <f>IF(AND(AND(AND(AX$4&gt;='2025'!$L266,AX$4&lt;='2025'!$M266), AX$4&lt;&gt;DATE(2025,7,4)), (SWITCH(weekday(AX$4), 1, 0, 2, if(ISBLANK('2025'!$P266), 0, 1), 3, if(ISBLANK('2025'!$Q266), 0, 1), 4, if(ISBLANK('2025'!$R266), 0, 1), 5, if(ISBLANK('2025'!$S266), 0, 1), 6, if(ISBLANK('2025'!$T266), 0, 1), 7, 0))), 1, "")</f>
        <v/>
      </c>
      <c r="AY268" s="1" t="str">
        <f>IF(AND(AND(AND(AY$4&gt;='2025'!$L266,AY$4&lt;='2025'!$M266), AY$4&lt;&gt;DATE(2025,7,4)), (SWITCH(weekday(AY$4), 1, 0, 2, if(ISBLANK('2025'!$P266), 0, 1), 3, if(ISBLANK('2025'!$Q266), 0, 1), 4, if(ISBLANK('2025'!$R266), 0, 1), 5, if(ISBLANK('2025'!$S266), 0, 1), 6, if(ISBLANK('2025'!$T266), 0, 1), 7, 0))), 1, "")</f>
        <v/>
      </c>
      <c r="AZ268" s="1" t="str">
        <f>IF(AND(AND(AND(AZ$4&gt;='2025'!$L266,AZ$4&lt;='2025'!$M266), AZ$4&lt;&gt;DATE(2025,7,4)), (SWITCH(weekday(AZ$4), 1, 0, 2, if(ISBLANK('2025'!$P266), 0, 1), 3, if(ISBLANK('2025'!$Q266), 0, 1), 4, if(ISBLANK('2025'!$R266), 0, 1), 5, if(ISBLANK('2025'!$S266), 0, 1), 6, if(ISBLANK('2025'!$T266), 0, 1), 7, 0))), 1, "")</f>
        <v/>
      </c>
      <c r="BA268" s="1" t="str">
        <f>IF(AND(AND(AND(BA$4&gt;='2025'!$L266,BA$4&lt;='2025'!$M266), BA$4&lt;&gt;DATE(2025,7,4)), (SWITCH(weekday(BA$4), 1, 0, 2, if(ISBLANK('2025'!$P266), 0, 1), 3, if(ISBLANK('2025'!$Q266), 0, 1), 4, if(ISBLANK('2025'!$R266), 0, 1), 5, if(ISBLANK('2025'!$S266), 0, 1), 6, if(ISBLANK('2025'!$T266), 0, 1), 7, 0))), 1, "")</f>
        <v/>
      </c>
      <c r="BB268" s="1" t="str">
        <f>IF(AND(AND(AND(BB$4&gt;='2025'!$L266,BB$4&lt;='2025'!$M266), BB$4&lt;&gt;DATE(2025,7,4)), (SWITCH(weekday(BB$4), 1, 0, 2, if(ISBLANK('2025'!$P266), 0, 1), 3, if(ISBLANK('2025'!$Q266), 0, 1), 4, if(ISBLANK('2025'!$R266), 0, 1), 5, if(ISBLANK('2025'!$S266), 0, 1), 6, if(ISBLANK('2025'!$T266), 0, 1), 7, 0))), 1, "")</f>
        <v/>
      </c>
      <c r="BC268" s="1" t="str">
        <f>IF(AND(AND(AND(BC$4&gt;='2025'!$L266,BC$4&lt;='2025'!$M266), BC$4&lt;&gt;DATE(2025,7,4)), (SWITCH(weekday(BC$4), 1, 0, 2, if(ISBLANK('2025'!$P266), 0, 1), 3, if(ISBLANK('2025'!$Q266), 0, 1), 4, if(ISBLANK('2025'!$R266), 0, 1), 5, if(ISBLANK('2025'!$S266), 0, 1), 6, if(ISBLANK('2025'!$T266), 0, 1), 7, 0))), 1, "")</f>
        <v/>
      </c>
      <c r="BD268" s="1" t="str">
        <f>IF(AND(AND(AND(BD$4&gt;='2025'!$L266,BD$4&lt;='2025'!$M266), BD$4&lt;&gt;DATE(2025,7,4)), (SWITCH(weekday(BD$4), 1, 0, 2, if(ISBLANK('2025'!$P266), 0, 1), 3, if(ISBLANK('2025'!$Q266), 0, 1), 4, if(ISBLANK('2025'!$R266), 0, 1), 5, if(ISBLANK('2025'!$S266), 0, 1), 6, if(ISBLANK('2025'!$T266), 0, 1), 7, 0))), 1, "")</f>
        <v/>
      </c>
      <c r="BE268" s="1" t="str">
        <f>IF(AND(AND(AND(BE$4&gt;='2025'!$L266,BE$4&lt;='2025'!$M266), BE$4&lt;&gt;DATE(2025,7,4)), (SWITCH(weekday(BE$4), 1, 0, 2, if(ISBLANK('2025'!$P266), 0, 1), 3, if(ISBLANK('2025'!$Q266), 0, 1), 4, if(ISBLANK('2025'!$R266), 0, 1), 5, if(ISBLANK('2025'!$S266), 0, 1), 6, if(ISBLANK('2025'!$T266), 0, 1), 7, 0))), 1, "")</f>
        <v/>
      </c>
      <c r="BF268" s="1" t="str">
        <f>IF(AND(AND(AND(BF$4&gt;='2025'!$L266,BF$4&lt;='2025'!$M266), BF$4&lt;&gt;DATE(2025,7,4)), (SWITCH(weekday(BF$4), 1, 0, 2, if(ISBLANK('2025'!$P266), 0, 1), 3, if(ISBLANK('2025'!$Q266), 0, 1), 4, if(ISBLANK('2025'!$R266), 0, 1), 5, if(ISBLANK('2025'!$S266), 0, 1), 6, if(ISBLANK('2025'!$T266), 0, 1), 7, 0))), 1, "")</f>
        <v/>
      </c>
      <c r="BG268" s="1"/>
      <c r="BH268" s="1"/>
      <c r="BI268" s="1"/>
      <c r="BJ268" s="1"/>
      <c r="BK268" s="1"/>
      <c r="BL268" s="1"/>
    </row>
    <row r="269">
      <c r="A269" s="1">
        <f t="shared" si="3"/>
        <v>269</v>
      </c>
      <c r="B269" s="1" t="str">
        <f>'2025'!D233</f>
        <v>, </v>
      </c>
      <c r="C269" s="1" t="str">
        <f>'2025'!H233</f>
        <v/>
      </c>
      <c r="D269" s="1" t="str">
        <f>IF(AND(AND(AND(D$4&gt;='2025'!$L267,D$4&lt;='2025'!$M267), D$4&lt;&gt;DATE(2025,7,4)), (SWITCH(weekday(D$4), 1, 0, 2, if(ISBLANK('2025'!$P267), 0, 1), 3, if(ISBLANK('2025'!$Q267), 0, 1), 4, if(ISBLANK('2025'!$R267), 0, 1), 5, if(ISBLANK('2025'!$S267), 0, 1), 6, if(ISBLANK('2025'!$T267), 0, 1), 7, 0))), 1, "")</f>
        <v/>
      </c>
      <c r="E269" s="1" t="str">
        <f>IF(AND(AND(AND(E$4&gt;='2025'!$L267,E$4&lt;='2025'!$M267), E$4&lt;&gt;DATE(2025,7,4)), (SWITCH(weekday(E$4), 1, 0, 2, if(ISBLANK('2025'!$P267), 0, 1), 3, if(ISBLANK('2025'!$Q267), 0, 1), 4, if(ISBLANK('2025'!$R267), 0, 1), 5, if(ISBLANK('2025'!$S267), 0, 1), 6, if(ISBLANK('2025'!$T267), 0, 1), 7, 0))), 1, "")</f>
        <v/>
      </c>
      <c r="F269" s="1" t="str">
        <f>IF(AND(AND(AND(F$4&gt;='2025'!$L267,F$4&lt;='2025'!$M267), F$4&lt;&gt;DATE(2025,7,4)), (SWITCH(weekday(F$4), 1, 0, 2, if(ISBLANK('2025'!$P267), 0, 1), 3, if(ISBLANK('2025'!$Q267), 0, 1), 4, if(ISBLANK('2025'!$R267), 0, 1), 5, if(ISBLANK('2025'!$S267), 0, 1), 6, if(ISBLANK('2025'!$T267), 0, 1), 7, 0))), 1, "")</f>
        <v/>
      </c>
      <c r="G269" s="1" t="str">
        <f>IF(AND(AND(AND(G$4&gt;='2025'!$L267,G$4&lt;='2025'!$M267), G$4&lt;&gt;DATE(2025,7,4)), (SWITCH(weekday(G$4), 1, 0, 2, if(ISBLANK('2025'!$P267), 0, 1), 3, if(ISBLANK('2025'!$Q267), 0, 1), 4, if(ISBLANK('2025'!$R267), 0, 1), 5, if(ISBLANK('2025'!$S267), 0, 1), 6, if(ISBLANK('2025'!$T267), 0, 1), 7, 0))), 1, "")</f>
        <v/>
      </c>
      <c r="H269" s="1" t="str">
        <f>IF(AND(AND(AND(H$4&gt;='2025'!$L267,H$4&lt;='2025'!$M267), H$4&lt;&gt;DATE(2025,7,4)), (SWITCH(weekday(H$4), 1, 0, 2, if(ISBLANK('2025'!$P267), 0, 1), 3, if(ISBLANK('2025'!$Q267), 0, 1), 4, if(ISBLANK('2025'!$R267), 0, 1), 5, if(ISBLANK('2025'!$S267), 0, 1), 6, if(ISBLANK('2025'!$T267), 0, 1), 7, 0))), 1, "")</f>
        <v/>
      </c>
      <c r="I269" s="1" t="str">
        <f>IF(AND(AND(AND(I$4&gt;='2025'!$L267,I$4&lt;='2025'!$M267), I$4&lt;&gt;DATE(2025,7,4)), (SWITCH(weekday(I$4), 1, 0, 2, if(ISBLANK('2025'!$P267), 0, 1), 3, if(ISBLANK('2025'!$Q267), 0, 1), 4, if(ISBLANK('2025'!$R267), 0, 1), 5, if(ISBLANK('2025'!$S267), 0, 1), 6, if(ISBLANK('2025'!$T267), 0, 1), 7, 0))), 1, "")</f>
        <v/>
      </c>
      <c r="J269" s="1" t="str">
        <f>IF(AND(AND(AND(J$4&gt;='2025'!$L267,J$4&lt;='2025'!$M267), J$4&lt;&gt;DATE(2025,7,4)), (SWITCH(weekday(J$4), 1, 0, 2, if(ISBLANK('2025'!$P267), 0, 1), 3, if(ISBLANK('2025'!$Q267), 0, 1), 4, if(ISBLANK('2025'!$R267), 0, 1), 5, if(ISBLANK('2025'!$S267), 0, 1), 6, if(ISBLANK('2025'!$T267), 0, 1), 7, 0))), 1, "")</f>
        <v/>
      </c>
      <c r="K269" s="1" t="str">
        <f>IF(AND(AND(AND(K$4&gt;='2025'!$L267,K$4&lt;='2025'!$M267), K$4&lt;&gt;DATE(2025,7,4)), (SWITCH(weekday(K$4), 1, 0, 2, if(ISBLANK('2025'!$P267), 0, 1), 3, if(ISBLANK('2025'!$Q267), 0, 1), 4, if(ISBLANK('2025'!$R267), 0, 1), 5, if(ISBLANK('2025'!$S267), 0, 1), 6, if(ISBLANK('2025'!$T267), 0, 1), 7, 0))), 1, "")</f>
        <v/>
      </c>
      <c r="L269" s="1" t="str">
        <f>IF(AND(AND(AND(L$4&gt;='2025'!$L267,L$4&lt;='2025'!$M267), L$4&lt;&gt;DATE(2025,7,4)), (SWITCH(weekday(L$4), 1, 0, 2, if(ISBLANK('2025'!$P267), 0, 1), 3, if(ISBLANK('2025'!$Q267), 0, 1), 4, if(ISBLANK('2025'!$R267), 0, 1), 5, if(ISBLANK('2025'!$S267), 0, 1), 6, if(ISBLANK('2025'!$T267), 0, 1), 7, 0))), 1, "")</f>
        <v/>
      </c>
      <c r="M269" s="1" t="str">
        <f>IF(AND(AND(AND(M$4&gt;='2025'!$L267,M$4&lt;='2025'!$M267), M$4&lt;&gt;DATE(2025,7,4)), (SWITCH(weekday(M$4), 1, 0, 2, if(ISBLANK('2025'!$P267), 0, 1), 3, if(ISBLANK('2025'!$Q267), 0, 1), 4, if(ISBLANK('2025'!$R267), 0, 1), 5, if(ISBLANK('2025'!$S267), 0, 1), 6, if(ISBLANK('2025'!$T267), 0, 1), 7, 0))), 1, "")</f>
        <v/>
      </c>
      <c r="N269" s="1" t="str">
        <f>IF(AND(AND(AND(N$4&gt;='2025'!$L267,N$4&lt;='2025'!$M267), N$4&lt;&gt;DATE(2025,7,4)), (SWITCH(weekday(N$4), 1, 0, 2, if(ISBLANK('2025'!$P267), 0, 1), 3, if(ISBLANK('2025'!$Q267), 0, 1), 4, if(ISBLANK('2025'!$R267), 0, 1), 5, if(ISBLANK('2025'!$S267), 0, 1), 6, if(ISBLANK('2025'!$T267), 0, 1), 7, 0))), 1, "")</f>
        <v/>
      </c>
      <c r="O269" s="1" t="str">
        <f>IF(AND(AND(AND(O$4&gt;='2025'!$L267,O$4&lt;='2025'!$M267), O$4&lt;&gt;DATE(2025,7,4)), (SWITCH(weekday(O$4), 1, 0, 2, if(ISBLANK('2025'!$P267), 0, 1), 3, if(ISBLANK('2025'!$Q267), 0, 1), 4, if(ISBLANK('2025'!$R267), 0, 1), 5, if(ISBLANK('2025'!$S267), 0, 1), 6, if(ISBLANK('2025'!$T267), 0, 1), 7, 0))), 1, "")</f>
        <v/>
      </c>
      <c r="P269" s="1" t="str">
        <f>IF(AND(AND(AND(P$4&gt;='2025'!$L267,P$4&lt;='2025'!$M267), P$4&lt;&gt;DATE(2025,7,4)), (SWITCH(weekday(P$4), 1, 0, 2, if(ISBLANK('2025'!$P267), 0, 1), 3, if(ISBLANK('2025'!$Q267), 0, 1), 4, if(ISBLANK('2025'!$R267), 0, 1), 5, if(ISBLANK('2025'!$S267), 0, 1), 6, if(ISBLANK('2025'!$T267), 0, 1), 7, 0))), 1, "")</f>
        <v/>
      </c>
      <c r="Q269" s="1" t="str">
        <f>IF(AND(AND(AND(Q$4&gt;='2025'!$L267,Q$4&lt;='2025'!$M267), Q$4&lt;&gt;DATE(2025,7,4)), (SWITCH(weekday(Q$4), 1, 0, 2, if(ISBLANK('2025'!$P267), 0, 1), 3, if(ISBLANK('2025'!$Q267), 0, 1), 4, if(ISBLANK('2025'!$R267), 0, 1), 5, if(ISBLANK('2025'!$S267), 0, 1), 6, if(ISBLANK('2025'!$T267), 0, 1), 7, 0))), 1, "")</f>
        <v/>
      </c>
      <c r="R269" s="1" t="str">
        <f>IF(AND(AND(AND(R$4&gt;='2025'!$L267,R$4&lt;='2025'!$M267), R$4&lt;&gt;DATE(2025,7,4)), (SWITCH(weekday(R$4), 1, 0, 2, if(ISBLANK('2025'!$P267), 0, 1), 3, if(ISBLANK('2025'!$Q267), 0, 1), 4, if(ISBLANK('2025'!$R267), 0, 1), 5, if(ISBLANK('2025'!$S267), 0, 1), 6, if(ISBLANK('2025'!$T267), 0, 1), 7, 0))), 1, "")</f>
        <v/>
      </c>
      <c r="S269" s="1" t="str">
        <f>IF(AND(AND(AND(S$4&gt;='2025'!$L267,S$4&lt;='2025'!$M267), S$4&lt;&gt;DATE(2025,7,4)), (SWITCH(weekday(S$4), 1, 0, 2, if(ISBLANK('2025'!$P267), 0, 1), 3, if(ISBLANK('2025'!$Q267), 0, 1), 4, if(ISBLANK('2025'!$R267), 0, 1), 5, if(ISBLANK('2025'!$S267), 0, 1), 6, if(ISBLANK('2025'!$T267), 0, 1), 7, 0))), 1, "")</f>
        <v/>
      </c>
      <c r="T269" s="1" t="str">
        <f>IF(AND(AND(AND(T$4&gt;='2025'!$L267,T$4&lt;='2025'!$M267), T$4&lt;&gt;DATE(2025,7,4)), (SWITCH(weekday(T$4), 1, 0, 2, if(ISBLANK('2025'!$P267), 0, 1), 3, if(ISBLANK('2025'!$Q267), 0, 1), 4, if(ISBLANK('2025'!$R267), 0, 1), 5, if(ISBLANK('2025'!$S267), 0, 1), 6, if(ISBLANK('2025'!$T267), 0, 1), 7, 0))), 1, "")</f>
        <v/>
      </c>
      <c r="U269" s="1" t="str">
        <f>IF(AND(AND(AND(U$4&gt;='2025'!$L267,U$4&lt;='2025'!$M267), U$4&lt;&gt;DATE(2025,7,4)), (SWITCH(weekday(U$4), 1, 0, 2, if(ISBLANK('2025'!$P267), 0, 1), 3, if(ISBLANK('2025'!$Q267), 0, 1), 4, if(ISBLANK('2025'!$R267), 0, 1), 5, if(ISBLANK('2025'!$S267), 0, 1), 6, if(ISBLANK('2025'!$T267), 0, 1), 7, 0))), 1, "")</f>
        <v/>
      </c>
      <c r="V269" s="1" t="str">
        <f>IF(AND(AND(AND(V$4&gt;='2025'!$L267,V$4&lt;='2025'!$M267), V$4&lt;&gt;DATE(2025,7,4)), (SWITCH(weekday(V$4), 1, 0, 2, if(ISBLANK('2025'!$P267), 0, 1), 3, if(ISBLANK('2025'!$Q267), 0, 1), 4, if(ISBLANK('2025'!$R267), 0, 1), 5, if(ISBLANK('2025'!$S267), 0, 1), 6, if(ISBLANK('2025'!$T267), 0, 1), 7, 0))), 1, "")</f>
        <v/>
      </c>
      <c r="W269" s="1" t="str">
        <f>IF(AND(AND(AND(W$4&gt;='2025'!$L267,W$4&lt;='2025'!$M267), W$4&lt;&gt;DATE(2025,7,4)), (SWITCH(weekday(W$4), 1, 0, 2, if(ISBLANK('2025'!$P267), 0, 1), 3, if(ISBLANK('2025'!$Q267), 0, 1), 4, if(ISBLANK('2025'!$R267), 0, 1), 5, if(ISBLANK('2025'!$S267), 0, 1), 6, if(ISBLANK('2025'!$T267), 0, 1), 7, 0))), 1, "")</f>
        <v/>
      </c>
      <c r="X269" s="1" t="str">
        <f>IF(AND(AND(AND(X$4&gt;='2025'!$L267,X$4&lt;='2025'!$M267), X$4&lt;&gt;DATE(2025,7,4)), (SWITCH(weekday(X$4), 1, 0, 2, if(ISBLANK('2025'!$P267), 0, 1), 3, if(ISBLANK('2025'!$Q267), 0, 1), 4, if(ISBLANK('2025'!$R267), 0, 1), 5, if(ISBLANK('2025'!$S267), 0, 1), 6, if(ISBLANK('2025'!$T267), 0, 1), 7, 0))), 1, "")</f>
        <v/>
      </c>
      <c r="Y269" s="1" t="str">
        <f>IF(AND(AND(AND(Y$4&gt;='2025'!$L267,Y$4&lt;='2025'!$M267), Y$4&lt;&gt;DATE(2025,7,4)), (SWITCH(weekday(Y$4), 1, 0, 2, if(ISBLANK('2025'!$P267), 0, 1), 3, if(ISBLANK('2025'!$Q267), 0, 1), 4, if(ISBLANK('2025'!$R267), 0, 1), 5, if(ISBLANK('2025'!$S267), 0, 1), 6, if(ISBLANK('2025'!$T267), 0, 1), 7, 0))), 1, "")</f>
        <v/>
      </c>
      <c r="Z269" s="1" t="str">
        <f>IF(AND(AND(AND(Z$4&gt;='2025'!$L267,Z$4&lt;='2025'!$M267), Z$4&lt;&gt;DATE(2025,7,4)), (SWITCH(weekday(Z$4), 1, 0, 2, if(ISBLANK('2025'!$P267), 0, 1), 3, if(ISBLANK('2025'!$Q267), 0, 1), 4, if(ISBLANK('2025'!$R267), 0, 1), 5, if(ISBLANK('2025'!$S267), 0, 1), 6, if(ISBLANK('2025'!$T267), 0, 1), 7, 0))), 1, "")</f>
        <v/>
      </c>
      <c r="AA269" s="1" t="str">
        <f>IF(AND(AND(AND(AA$4&gt;='2025'!$L267,AA$4&lt;='2025'!$M267), AA$4&lt;&gt;DATE(2025,7,4)), (SWITCH(weekday(AA$4), 1, 0, 2, if(ISBLANK('2025'!$P267), 0, 1), 3, if(ISBLANK('2025'!$Q267), 0, 1), 4, if(ISBLANK('2025'!$R267), 0, 1), 5, if(ISBLANK('2025'!$S267), 0, 1), 6, if(ISBLANK('2025'!$T267), 0, 1), 7, 0))), 1, "")</f>
        <v/>
      </c>
      <c r="AB269" s="1" t="str">
        <f>IF(AND(AND(AND(AB$4&gt;='2025'!$L267,AB$4&lt;='2025'!$M267), AB$4&lt;&gt;DATE(2025,7,4)), (SWITCH(weekday(AB$4), 1, 0, 2, if(ISBLANK('2025'!$P267), 0, 1), 3, if(ISBLANK('2025'!$Q267), 0, 1), 4, if(ISBLANK('2025'!$R267), 0, 1), 5, if(ISBLANK('2025'!$S267), 0, 1), 6, if(ISBLANK('2025'!$T267), 0, 1), 7, 0))), 1, "")</f>
        <v/>
      </c>
      <c r="AC269" s="1" t="str">
        <f>IF(AND(AND(AND(AC$4&gt;='2025'!$L267,AC$4&lt;='2025'!$M267), AC$4&lt;&gt;DATE(2025,7,4)), (SWITCH(weekday(AC$4), 1, 0, 2, if(ISBLANK('2025'!$P267), 0, 1), 3, if(ISBLANK('2025'!$Q267), 0, 1), 4, if(ISBLANK('2025'!$R267), 0, 1), 5, if(ISBLANK('2025'!$S267), 0, 1), 6, if(ISBLANK('2025'!$T267), 0, 1), 7, 0))), 1, "")</f>
        <v/>
      </c>
      <c r="AD269" s="1" t="str">
        <f>IF(AND(AND(AND(AD$4&gt;='2025'!$L267,AD$4&lt;='2025'!$M267), AD$4&lt;&gt;DATE(2025,7,4)), (SWITCH(weekday(AD$4), 1, 0, 2, if(ISBLANK('2025'!$P267), 0, 1), 3, if(ISBLANK('2025'!$Q267), 0, 1), 4, if(ISBLANK('2025'!$R267), 0, 1), 5, if(ISBLANK('2025'!$S267), 0, 1), 6, if(ISBLANK('2025'!$T267), 0, 1), 7, 0))), 1, "")</f>
        <v/>
      </c>
      <c r="AE269" s="1" t="str">
        <f>IF(AND(AND(AND(AE$4&gt;='2025'!$L267,AE$4&lt;='2025'!$M267), AE$4&lt;&gt;DATE(2025,7,4)), (SWITCH(weekday(AE$4), 1, 0, 2, if(ISBLANK('2025'!$P267), 0, 1), 3, if(ISBLANK('2025'!$Q267), 0, 1), 4, if(ISBLANK('2025'!$R267), 0, 1), 5, if(ISBLANK('2025'!$S267), 0, 1), 6, if(ISBLANK('2025'!$T267), 0, 1), 7, 0))), 1, "")</f>
        <v/>
      </c>
      <c r="AF269" s="1" t="str">
        <f>IF(AND(AND(AND(AF$4&gt;='2025'!$L267,AF$4&lt;='2025'!$M267), AF$4&lt;&gt;DATE(2025,7,4)), (SWITCH(weekday(AF$4), 1, 0, 2, if(ISBLANK('2025'!$P267), 0, 1), 3, if(ISBLANK('2025'!$Q267), 0, 1), 4, if(ISBLANK('2025'!$R267), 0, 1), 5, if(ISBLANK('2025'!$S267), 0, 1), 6, if(ISBLANK('2025'!$T267), 0, 1), 7, 0))), 1, "")</f>
        <v/>
      </c>
      <c r="AG269" s="1" t="str">
        <f>IF(AND(AND(AND(AG$4&gt;='2025'!$L267,AG$4&lt;='2025'!$M267), AG$4&lt;&gt;DATE(2025,7,4)), (SWITCH(weekday(AG$4), 1, 0, 2, if(ISBLANK('2025'!$P267), 0, 1), 3, if(ISBLANK('2025'!$Q267), 0, 1), 4, if(ISBLANK('2025'!$R267), 0, 1), 5, if(ISBLANK('2025'!$S267), 0, 1), 6, if(ISBLANK('2025'!$T267), 0, 1), 7, 0))), 1, "")</f>
        <v/>
      </c>
      <c r="AH269" s="1" t="str">
        <f>IF(AND(AND(AND(AH$4&gt;='2025'!$L267,AH$4&lt;='2025'!$M267), AH$4&lt;&gt;DATE(2025,7,4)), (SWITCH(weekday(AH$4), 1, 0, 2, if(ISBLANK('2025'!$P267), 0, 1), 3, if(ISBLANK('2025'!$Q267), 0, 1), 4, if(ISBLANK('2025'!$R267), 0, 1), 5, if(ISBLANK('2025'!$S267), 0, 1), 6, if(ISBLANK('2025'!$T267), 0, 1), 7, 0))), 1, "")</f>
        <v/>
      </c>
      <c r="AI269" s="1" t="str">
        <f>IF(AND(AND(AND(AI$4&gt;='2025'!$L267,AI$4&lt;='2025'!$M267), AI$4&lt;&gt;DATE(2025,7,4)), (SWITCH(weekday(AI$4), 1, 0, 2, if(ISBLANK('2025'!$P267), 0, 1), 3, if(ISBLANK('2025'!$Q267), 0, 1), 4, if(ISBLANK('2025'!$R267), 0, 1), 5, if(ISBLANK('2025'!$S267), 0, 1), 6, if(ISBLANK('2025'!$T267), 0, 1), 7, 0))), 1, "")</f>
        <v/>
      </c>
      <c r="AJ269" s="1" t="str">
        <f>IF(AND(AND(AND(AJ$4&gt;='2025'!$L267,AJ$4&lt;='2025'!$M267), AJ$4&lt;&gt;DATE(2025,7,4)), (SWITCH(weekday(AJ$4), 1, 0, 2, if(ISBLANK('2025'!$P267), 0, 1), 3, if(ISBLANK('2025'!$Q267), 0, 1), 4, if(ISBLANK('2025'!$R267), 0, 1), 5, if(ISBLANK('2025'!$S267), 0, 1), 6, if(ISBLANK('2025'!$T267), 0, 1), 7, 0))), 1, "")</f>
        <v/>
      </c>
      <c r="AK269" s="1" t="str">
        <f>IF(AND(AND(AND(AK$4&gt;='2025'!$L267,AK$4&lt;='2025'!$M267), AK$4&lt;&gt;DATE(2025,7,4)), (SWITCH(weekday(AK$4), 1, 0, 2, if(ISBLANK('2025'!$P267), 0, 1), 3, if(ISBLANK('2025'!$Q267), 0, 1), 4, if(ISBLANK('2025'!$R267), 0, 1), 5, if(ISBLANK('2025'!$S267), 0, 1), 6, if(ISBLANK('2025'!$T267), 0, 1), 7, 0))), 1, "")</f>
        <v/>
      </c>
      <c r="AL269" s="1" t="str">
        <f>IF(AND(AND(AND(AL$4&gt;='2025'!$L267,AL$4&lt;='2025'!$M267), AL$4&lt;&gt;DATE(2025,7,4)), (SWITCH(weekday(AL$4), 1, 0, 2, if(ISBLANK('2025'!$P267), 0, 1), 3, if(ISBLANK('2025'!$Q267), 0, 1), 4, if(ISBLANK('2025'!$R267), 0, 1), 5, if(ISBLANK('2025'!$S267), 0, 1), 6, if(ISBLANK('2025'!$T267), 0, 1), 7, 0))), 1, "")</f>
        <v/>
      </c>
      <c r="AM269" s="1" t="str">
        <f>IF(AND(AND(AND(AM$4&gt;='2025'!$L267,AM$4&lt;='2025'!$M267), AM$4&lt;&gt;DATE(2025,7,4)), (SWITCH(weekday(AM$4), 1, 0, 2, if(ISBLANK('2025'!$P267), 0, 1), 3, if(ISBLANK('2025'!$Q267), 0, 1), 4, if(ISBLANK('2025'!$R267), 0, 1), 5, if(ISBLANK('2025'!$S267), 0, 1), 6, if(ISBLANK('2025'!$T267), 0, 1), 7, 0))), 1, "")</f>
        <v/>
      </c>
      <c r="AN269" s="1" t="str">
        <f>IF(AND(AND(AND(AN$4&gt;='2025'!$L267,AN$4&lt;='2025'!$M267), AN$4&lt;&gt;DATE(2025,7,4)), (SWITCH(weekday(AN$4), 1, 0, 2, if(ISBLANK('2025'!$P267), 0, 1), 3, if(ISBLANK('2025'!$Q267), 0, 1), 4, if(ISBLANK('2025'!$R267), 0, 1), 5, if(ISBLANK('2025'!$S267), 0, 1), 6, if(ISBLANK('2025'!$T267), 0, 1), 7, 0))), 1, "")</f>
        <v/>
      </c>
      <c r="AO269" s="1" t="str">
        <f>IF(AND(AND(AND(AO$4&gt;='2025'!$L267,AO$4&lt;='2025'!$M267), AO$4&lt;&gt;DATE(2025,7,4)), (SWITCH(weekday(AO$4), 1, 0, 2, if(ISBLANK('2025'!$P267), 0, 1), 3, if(ISBLANK('2025'!$Q267), 0, 1), 4, if(ISBLANK('2025'!$R267), 0, 1), 5, if(ISBLANK('2025'!$S267), 0, 1), 6, if(ISBLANK('2025'!$T267), 0, 1), 7, 0))), 1, "")</f>
        <v/>
      </c>
      <c r="AP269" s="1" t="str">
        <f>IF(AND(AND(AND(AP$4&gt;='2025'!$L267,AP$4&lt;='2025'!$M267), AP$4&lt;&gt;DATE(2025,7,4)), (SWITCH(weekday(AP$4), 1, 0, 2, if(ISBLANK('2025'!$P267), 0, 1), 3, if(ISBLANK('2025'!$Q267), 0, 1), 4, if(ISBLANK('2025'!$R267), 0, 1), 5, if(ISBLANK('2025'!$S267), 0, 1), 6, if(ISBLANK('2025'!$T267), 0, 1), 7, 0))), 1, "")</f>
        <v/>
      </c>
      <c r="AQ269" s="1" t="str">
        <f>IF(AND(AND(AND(AQ$4&gt;='2025'!$L267,AQ$4&lt;='2025'!$M267), AQ$4&lt;&gt;DATE(2025,7,4)), (SWITCH(weekday(AQ$4), 1, 0, 2, if(ISBLANK('2025'!$P267), 0, 1), 3, if(ISBLANK('2025'!$Q267), 0, 1), 4, if(ISBLANK('2025'!$R267), 0, 1), 5, if(ISBLANK('2025'!$S267), 0, 1), 6, if(ISBLANK('2025'!$T267), 0, 1), 7, 0))), 1, "")</f>
        <v/>
      </c>
      <c r="AR269" s="1" t="str">
        <f>IF(AND(AND(AND(AR$4&gt;='2025'!$L267,AR$4&lt;='2025'!$M267), AR$4&lt;&gt;DATE(2025,7,4)), (SWITCH(weekday(AR$4), 1, 0, 2, if(ISBLANK('2025'!$P267), 0, 1), 3, if(ISBLANK('2025'!$Q267), 0, 1), 4, if(ISBLANK('2025'!$R267), 0, 1), 5, if(ISBLANK('2025'!$S267), 0, 1), 6, if(ISBLANK('2025'!$T267), 0, 1), 7, 0))), 1, "")</f>
        <v/>
      </c>
      <c r="AS269" s="1" t="str">
        <f>IF(AND(AND(AND(AS$4&gt;='2025'!$L267,AS$4&lt;='2025'!$M267), AS$4&lt;&gt;DATE(2025,7,4)), (SWITCH(weekday(AS$4), 1, 0, 2, if(ISBLANK('2025'!$P267), 0, 1), 3, if(ISBLANK('2025'!$Q267), 0, 1), 4, if(ISBLANK('2025'!$R267), 0, 1), 5, if(ISBLANK('2025'!$S267), 0, 1), 6, if(ISBLANK('2025'!$T267), 0, 1), 7, 0))), 1, "")</f>
        <v/>
      </c>
      <c r="AT269" s="1" t="str">
        <f>IF(AND(AND(AND(AT$4&gt;='2025'!$L267,AT$4&lt;='2025'!$M267), AT$4&lt;&gt;DATE(2025,7,4)), (SWITCH(weekday(AT$4), 1, 0, 2, if(ISBLANK('2025'!$P267), 0, 1), 3, if(ISBLANK('2025'!$Q267), 0, 1), 4, if(ISBLANK('2025'!$R267), 0, 1), 5, if(ISBLANK('2025'!$S267), 0, 1), 6, if(ISBLANK('2025'!$T267), 0, 1), 7, 0))), 1, "")</f>
        <v/>
      </c>
      <c r="AU269" s="1" t="str">
        <f>IF(AND(AND(AND(AU$4&gt;='2025'!$L267,AU$4&lt;='2025'!$M267), AU$4&lt;&gt;DATE(2025,7,4)), (SWITCH(weekday(AU$4), 1, 0, 2, if(ISBLANK('2025'!$P267), 0, 1), 3, if(ISBLANK('2025'!$Q267), 0, 1), 4, if(ISBLANK('2025'!$R267), 0, 1), 5, if(ISBLANK('2025'!$S267), 0, 1), 6, if(ISBLANK('2025'!$T267), 0, 1), 7, 0))), 1, "")</f>
        <v/>
      </c>
      <c r="AV269" s="1" t="str">
        <f>IF(AND(AND(AND(AV$4&gt;='2025'!$L267,AV$4&lt;='2025'!$M267), AV$4&lt;&gt;DATE(2025,7,4)), (SWITCH(weekday(AV$4), 1, 0, 2, if(ISBLANK('2025'!$P267), 0, 1), 3, if(ISBLANK('2025'!$Q267), 0, 1), 4, if(ISBLANK('2025'!$R267), 0, 1), 5, if(ISBLANK('2025'!$S267), 0, 1), 6, if(ISBLANK('2025'!$T267), 0, 1), 7, 0))), 1, "")</f>
        <v/>
      </c>
      <c r="AW269" s="1" t="str">
        <f>IF(AND(AND(AND(AW$4&gt;='2025'!$L267,AW$4&lt;='2025'!$M267), AW$4&lt;&gt;DATE(2025,7,4)), (SWITCH(weekday(AW$4), 1, 0, 2, if(ISBLANK('2025'!$P267), 0, 1), 3, if(ISBLANK('2025'!$Q267), 0, 1), 4, if(ISBLANK('2025'!$R267), 0, 1), 5, if(ISBLANK('2025'!$S267), 0, 1), 6, if(ISBLANK('2025'!$T267), 0, 1), 7, 0))), 1, "")</f>
        <v/>
      </c>
      <c r="AX269" s="1" t="str">
        <f>IF(AND(AND(AND(AX$4&gt;='2025'!$L267,AX$4&lt;='2025'!$M267), AX$4&lt;&gt;DATE(2025,7,4)), (SWITCH(weekday(AX$4), 1, 0, 2, if(ISBLANK('2025'!$P267), 0, 1), 3, if(ISBLANK('2025'!$Q267), 0, 1), 4, if(ISBLANK('2025'!$R267), 0, 1), 5, if(ISBLANK('2025'!$S267), 0, 1), 6, if(ISBLANK('2025'!$T267), 0, 1), 7, 0))), 1, "")</f>
        <v/>
      </c>
      <c r="AY269" s="1" t="str">
        <f>IF(AND(AND(AND(AY$4&gt;='2025'!$L267,AY$4&lt;='2025'!$M267), AY$4&lt;&gt;DATE(2025,7,4)), (SWITCH(weekday(AY$4), 1, 0, 2, if(ISBLANK('2025'!$P267), 0, 1), 3, if(ISBLANK('2025'!$Q267), 0, 1), 4, if(ISBLANK('2025'!$R267), 0, 1), 5, if(ISBLANK('2025'!$S267), 0, 1), 6, if(ISBLANK('2025'!$T267), 0, 1), 7, 0))), 1, "")</f>
        <v/>
      </c>
      <c r="AZ269" s="1" t="str">
        <f>IF(AND(AND(AND(AZ$4&gt;='2025'!$L267,AZ$4&lt;='2025'!$M267), AZ$4&lt;&gt;DATE(2025,7,4)), (SWITCH(weekday(AZ$4), 1, 0, 2, if(ISBLANK('2025'!$P267), 0, 1), 3, if(ISBLANK('2025'!$Q267), 0, 1), 4, if(ISBLANK('2025'!$R267), 0, 1), 5, if(ISBLANK('2025'!$S267), 0, 1), 6, if(ISBLANK('2025'!$T267), 0, 1), 7, 0))), 1, "")</f>
        <v/>
      </c>
      <c r="BA269" s="1" t="str">
        <f>IF(AND(AND(AND(BA$4&gt;='2025'!$L267,BA$4&lt;='2025'!$M267), BA$4&lt;&gt;DATE(2025,7,4)), (SWITCH(weekday(BA$4), 1, 0, 2, if(ISBLANK('2025'!$P267), 0, 1), 3, if(ISBLANK('2025'!$Q267), 0, 1), 4, if(ISBLANK('2025'!$R267), 0, 1), 5, if(ISBLANK('2025'!$S267), 0, 1), 6, if(ISBLANK('2025'!$T267), 0, 1), 7, 0))), 1, "")</f>
        <v/>
      </c>
      <c r="BB269" s="1" t="str">
        <f>IF(AND(AND(AND(BB$4&gt;='2025'!$L267,BB$4&lt;='2025'!$M267), BB$4&lt;&gt;DATE(2025,7,4)), (SWITCH(weekday(BB$4), 1, 0, 2, if(ISBLANK('2025'!$P267), 0, 1), 3, if(ISBLANK('2025'!$Q267), 0, 1), 4, if(ISBLANK('2025'!$R267), 0, 1), 5, if(ISBLANK('2025'!$S267), 0, 1), 6, if(ISBLANK('2025'!$T267), 0, 1), 7, 0))), 1, "")</f>
        <v/>
      </c>
      <c r="BC269" s="1" t="str">
        <f>IF(AND(AND(AND(BC$4&gt;='2025'!$L267,BC$4&lt;='2025'!$M267), BC$4&lt;&gt;DATE(2025,7,4)), (SWITCH(weekday(BC$4), 1, 0, 2, if(ISBLANK('2025'!$P267), 0, 1), 3, if(ISBLANK('2025'!$Q267), 0, 1), 4, if(ISBLANK('2025'!$R267), 0, 1), 5, if(ISBLANK('2025'!$S267), 0, 1), 6, if(ISBLANK('2025'!$T267), 0, 1), 7, 0))), 1, "")</f>
        <v/>
      </c>
      <c r="BD269" s="1" t="str">
        <f>IF(AND(AND(AND(BD$4&gt;='2025'!$L267,BD$4&lt;='2025'!$M267), BD$4&lt;&gt;DATE(2025,7,4)), (SWITCH(weekday(BD$4), 1, 0, 2, if(ISBLANK('2025'!$P267), 0, 1), 3, if(ISBLANK('2025'!$Q267), 0, 1), 4, if(ISBLANK('2025'!$R267), 0, 1), 5, if(ISBLANK('2025'!$S267), 0, 1), 6, if(ISBLANK('2025'!$T267), 0, 1), 7, 0))), 1, "")</f>
        <v/>
      </c>
      <c r="BE269" s="1" t="str">
        <f>IF(AND(AND(AND(BE$4&gt;='2025'!$L267,BE$4&lt;='2025'!$M267), BE$4&lt;&gt;DATE(2025,7,4)), (SWITCH(weekday(BE$4), 1, 0, 2, if(ISBLANK('2025'!$P267), 0, 1), 3, if(ISBLANK('2025'!$Q267), 0, 1), 4, if(ISBLANK('2025'!$R267), 0, 1), 5, if(ISBLANK('2025'!$S267), 0, 1), 6, if(ISBLANK('2025'!$T267), 0, 1), 7, 0))), 1, "")</f>
        <v/>
      </c>
      <c r="BF269" s="1" t="str">
        <f>IF(AND(AND(AND(BF$4&gt;='2025'!$L267,BF$4&lt;='2025'!$M267), BF$4&lt;&gt;DATE(2025,7,4)), (SWITCH(weekday(BF$4), 1, 0, 2, if(ISBLANK('2025'!$P267), 0, 1), 3, if(ISBLANK('2025'!$Q267), 0, 1), 4, if(ISBLANK('2025'!$R267), 0, 1), 5, if(ISBLANK('2025'!$S267), 0, 1), 6, if(ISBLANK('2025'!$T267), 0, 1), 7, 0))), 1, "")</f>
        <v/>
      </c>
      <c r="BG269" s="1"/>
      <c r="BH269" s="1"/>
      <c r="BI269" s="1"/>
      <c r="BJ269" s="1"/>
      <c r="BK269" s="1"/>
      <c r="BL269" s="1"/>
    </row>
    <row r="270">
      <c r="A270" s="1">
        <f t="shared" si="3"/>
        <v>270</v>
      </c>
      <c r="B270" s="1" t="str">
        <f>'2025'!D234</f>
        <v>, </v>
      </c>
      <c r="C270" s="1" t="str">
        <f>'2025'!H234</f>
        <v/>
      </c>
      <c r="D270" s="1" t="str">
        <f>IF(AND(AND(AND(D$4&gt;='2025'!$L268,D$4&lt;='2025'!$M268), D$4&lt;&gt;DATE(2025,7,4)), (SWITCH(weekday(D$4), 1, 0, 2, if(ISBLANK('2025'!$P268), 0, 1), 3, if(ISBLANK('2025'!$Q268), 0, 1), 4, if(ISBLANK('2025'!$R268), 0, 1), 5, if(ISBLANK('2025'!$S268), 0, 1), 6, if(ISBLANK('2025'!$T268), 0, 1), 7, 0))), 1, "")</f>
        <v/>
      </c>
      <c r="E270" s="1" t="str">
        <f>IF(AND(AND(AND(E$4&gt;='2025'!$L268,E$4&lt;='2025'!$M268), E$4&lt;&gt;DATE(2025,7,4)), (SWITCH(weekday(E$4), 1, 0, 2, if(ISBLANK('2025'!$P268), 0, 1), 3, if(ISBLANK('2025'!$Q268), 0, 1), 4, if(ISBLANK('2025'!$R268), 0, 1), 5, if(ISBLANK('2025'!$S268), 0, 1), 6, if(ISBLANK('2025'!$T268), 0, 1), 7, 0))), 1, "")</f>
        <v/>
      </c>
      <c r="F270" s="1" t="str">
        <f>IF(AND(AND(AND(F$4&gt;='2025'!$L268,F$4&lt;='2025'!$M268), F$4&lt;&gt;DATE(2025,7,4)), (SWITCH(weekday(F$4), 1, 0, 2, if(ISBLANK('2025'!$P268), 0, 1), 3, if(ISBLANK('2025'!$Q268), 0, 1), 4, if(ISBLANK('2025'!$R268), 0, 1), 5, if(ISBLANK('2025'!$S268), 0, 1), 6, if(ISBLANK('2025'!$T268), 0, 1), 7, 0))), 1, "")</f>
        <v/>
      </c>
      <c r="G270" s="1" t="str">
        <f>IF(AND(AND(AND(G$4&gt;='2025'!$L268,G$4&lt;='2025'!$M268), G$4&lt;&gt;DATE(2025,7,4)), (SWITCH(weekday(G$4), 1, 0, 2, if(ISBLANK('2025'!$P268), 0, 1), 3, if(ISBLANK('2025'!$Q268), 0, 1), 4, if(ISBLANK('2025'!$R268), 0, 1), 5, if(ISBLANK('2025'!$S268), 0, 1), 6, if(ISBLANK('2025'!$T268), 0, 1), 7, 0))), 1, "")</f>
        <v/>
      </c>
      <c r="H270" s="1" t="str">
        <f>IF(AND(AND(AND(H$4&gt;='2025'!$L268,H$4&lt;='2025'!$M268), H$4&lt;&gt;DATE(2025,7,4)), (SWITCH(weekday(H$4), 1, 0, 2, if(ISBLANK('2025'!$P268), 0, 1), 3, if(ISBLANK('2025'!$Q268), 0, 1), 4, if(ISBLANK('2025'!$R268), 0, 1), 5, if(ISBLANK('2025'!$S268), 0, 1), 6, if(ISBLANK('2025'!$T268), 0, 1), 7, 0))), 1, "")</f>
        <v/>
      </c>
      <c r="I270" s="1" t="str">
        <f>IF(AND(AND(AND(I$4&gt;='2025'!$L268,I$4&lt;='2025'!$M268), I$4&lt;&gt;DATE(2025,7,4)), (SWITCH(weekday(I$4), 1, 0, 2, if(ISBLANK('2025'!$P268), 0, 1), 3, if(ISBLANK('2025'!$Q268), 0, 1), 4, if(ISBLANK('2025'!$R268), 0, 1), 5, if(ISBLANK('2025'!$S268), 0, 1), 6, if(ISBLANK('2025'!$T268), 0, 1), 7, 0))), 1, "")</f>
        <v/>
      </c>
      <c r="J270" s="1" t="str">
        <f>IF(AND(AND(AND(J$4&gt;='2025'!$L268,J$4&lt;='2025'!$M268), J$4&lt;&gt;DATE(2025,7,4)), (SWITCH(weekday(J$4), 1, 0, 2, if(ISBLANK('2025'!$P268), 0, 1), 3, if(ISBLANK('2025'!$Q268), 0, 1), 4, if(ISBLANK('2025'!$R268), 0, 1), 5, if(ISBLANK('2025'!$S268), 0, 1), 6, if(ISBLANK('2025'!$T268), 0, 1), 7, 0))), 1, "")</f>
        <v/>
      </c>
      <c r="K270" s="1" t="str">
        <f>IF(AND(AND(AND(K$4&gt;='2025'!$L268,K$4&lt;='2025'!$M268), K$4&lt;&gt;DATE(2025,7,4)), (SWITCH(weekday(K$4), 1, 0, 2, if(ISBLANK('2025'!$P268), 0, 1), 3, if(ISBLANK('2025'!$Q268), 0, 1), 4, if(ISBLANK('2025'!$R268), 0, 1), 5, if(ISBLANK('2025'!$S268), 0, 1), 6, if(ISBLANK('2025'!$T268), 0, 1), 7, 0))), 1, "")</f>
        <v/>
      </c>
      <c r="L270" s="1" t="str">
        <f>IF(AND(AND(AND(L$4&gt;='2025'!$L268,L$4&lt;='2025'!$M268), L$4&lt;&gt;DATE(2025,7,4)), (SWITCH(weekday(L$4), 1, 0, 2, if(ISBLANK('2025'!$P268), 0, 1), 3, if(ISBLANK('2025'!$Q268), 0, 1), 4, if(ISBLANK('2025'!$R268), 0, 1), 5, if(ISBLANK('2025'!$S268), 0, 1), 6, if(ISBLANK('2025'!$T268), 0, 1), 7, 0))), 1, "")</f>
        <v/>
      </c>
      <c r="M270" s="1" t="str">
        <f>IF(AND(AND(AND(M$4&gt;='2025'!$L268,M$4&lt;='2025'!$M268), M$4&lt;&gt;DATE(2025,7,4)), (SWITCH(weekday(M$4), 1, 0, 2, if(ISBLANK('2025'!$P268), 0, 1), 3, if(ISBLANK('2025'!$Q268), 0, 1), 4, if(ISBLANK('2025'!$R268), 0, 1), 5, if(ISBLANK('2025'!$S268), 0, 1), 6, if(ISBLANK('2025'!$T268), 0, 1), 7, 0))), 1, "")</f>
        <v/>
      </c>
      <c r="N270" s="1" t="str">
        <f>IF(AND(AND(AND(N$4&gt;='2025'!$L268,N$4&lt;='2025'!$M268), N$4&lt;&gt;DATE(2025,7,4)), (SWITCH(weekday(N$4), 1, 0, 2, if(ISBLANK('2025'!$P268), 0, 1), 3, if(ISBLANK('2025'!$Q268), 0, 1), 4, if(ISBLANK('2025'!$R268), 0, 1), 5, if(ISBLANK('2025'!$S268), 0, 1), 6, if(ISBLANK('2025'!$T268), 0, 1), 7, 0))), 1, "")</f>
        <v/>
      </c>
      <c r="O270" s="1" t="str">
        <f>IF(AND(AND(AND(O$4&gt;='2025'!$L268,O$4&lt;='2025'!$M268), O$4&lt;&gt;DATE(2025,7,4)), (SWITCH(weekday(O$4), 1, 0, 2, if(ISBLANK('2025'!$P268), 0, 1), 3, if(ISBLANK('2025'!$Q268), 0, 1), 4, if(ISBLANK('2025'!$R268), 0, 1), 5, if(ISBLANK('2025'!$S268), 0, 1), 6, if(ISBLANK('2025'!$T268), 0, 1), 7, 0))), 1, "")</f>
        <v/>
      </c>
      <c r="P270" s="1" t="str">
        <f>IF(AND(AND(AND(P$4&gt;='2025'!$L268,P$4&lt;='2025'!$M268), P$4&lt;&gt;DATE(2025,7,4)), (SWITCH(weekday(P$4), 1, 0, 2, if(ISBLANK('2025'!$P268), 0, 1), 3, if(ISBLANK('2025'!$Q268), 0, 1), 4, if(ISBLANK('2025'!$R268), 0, 1), 5, if(ISBLANK('2025'!$S268), 0, 1), 6, if(ISBLANK('2025'!$T268), 0, 1), 7, 0))), 1, "")</f>
        <v/>
      </c>
      <c r="Q270" s="1" t="str">
        <f>IF(AND(AND(AND(Q$4&gt;='2025'!$L268,Q$4&lt;='2025'!$M268), Q$4&lt;&gt;DATE(2025,7,4)), (SWITCH(weekday(Q$4), 1, 0, 2, if(ISBLANK('2025'!$P268), 0, 1), 3, if(ISBLANK('2025'!$Q268), 0, 1), 4, if(ISBLANK('2025'!$R268), 0, 1), 5, if(ISBLANK('2025'!$S268), 0, 1), 6, if(ISBLANK('2025'!$T268), 0, 1), 7, 0))), 1, "")</f>
        <v/>
      </c>
      <c r="R270" s="1" t="str">
        <f>IF(AND(AND(AND(R$4&gt;='2025'!$L268,R$4&lt;='2025'!$M268), R$4&lt;&gt;DATE(2025,7,4)), (SWITCH(weekday(R$4), 1, 0, 2, if(ISBLANK('2025'!$P268), 0, 1), 3, if(ISBLANK('2025'!$Q268), 0, 1), 4, if(ISBLANK('2025'!$R268), 0, 1), 5, if(ISBLANK('2025'!$S268), 0, 1), 6, if(ISBLANK('2025'!$T268), 0, 1), 7, 0))), 1, "")</f>
        <v/>
      </c>
      <c r="S270" s="1" t="str">
        <f>IF(AND(AND(AND(S$4&gt;='2025'!$L268,S$4&lt;='2025'!$M268), S$4&lt;&gt;DATE(2025,7,4)), (SWITCH(weekday(S$4), 1, 0, 2, if(ISBLANK('2025'!$P268), 0, 1), 3, if(ISBLANK('2025'!$Q268), 0, 1), 4, if(ISBLANK('2025'!$R268), 0, 1), 5, if(ISBLANK('2025'!$S268), 0, 1), 6, if(ISBLANK('2025'!$T268), 0, 1), 7, 0))), 1, "")</f>
        <v/>
      </c>
      <c r="T270" s="1" t="str">
        <f>IF(AND(AND(AND(T$4&gt;='2025'!$L268,T$4&lt;='2025'!$M268), T$4&lt;&gt;DATE(2025,7,4)), (SWITCH(weekday(T$4), 1, 0, 2, if(ISBLANK('2025'!$P268), 0, 1), 3, if(ISBLANK('2025'!$Q268), 0, 1), 4, if(ISBLANK('2025'!$R268), 0, 1), 5, if(ISBLANK('2025'!$S268), 0, 1), 6, if(ISBLANK('2025'!$T268), 0, 1), 7, 0))), 1, "")</f>
        <v/>
      </c>
      <c r="U270" s="1" t="str">
        <f>IF(AND(AND(AND(U$4&gt;='2025'!$L268,U$4&lt;='2025'!$M268), U$4&lt;&gt;DATE(2025,7,4)), (SWITCH(weekday(U$4), 1, 0, 2, if(ISBLANK('2025'!$P268), 0, 1), 3, if(ISBLANK('2025'!$Q268), 0, 1), 4, if(ISBLANK('2025'!$R268), 0, 1), 5, if(ISBLANK('2025'!$S268), 0, 1), 6, if(ISBLANK('2025'!$T268), 0, 1), 7, 0))), 1, "")</f>
        <v/>
      </c>
      <c r="V270" s="1" t="str">
        <f>IF(AND(AND(AND(V$4&gt;='2025'!$L268,V$4&lt;='2025'!$M268), V$4&lt;&gt;DATE(2025,7,4)), (SWITCH(weekday(V$4), 1, 0, 2, if(ISBLANK('2025'!$P268), 0, 1), 3, if(ISBLANK('2025'!$Q268), 0, 1), 4, if(ISBLANK('2025'!$R268), 0, 1), 5, if(ISBLANK('2025'!$S268), 0, 1), 6, if(ISBLANK('2025'!$T268), 0, 1), 7, 0))), 1, "")</f>
        <v/>
      </c>
      <c r="W270" s="1" t="str">
        <f>IF(AND(AND(AND(W$4&gt;='2025'!$L268,W$4&lt;='2025'!$M268), W$4&lt;&gt;DATE(2025,7,4)), (SWITCH(weekday(W$4), 1, 0, 2, if(ISBLANK('2025'!$P268), 0, 1), 3, if(ISBLANK('2025'!$Q268), 0, 1), 4, if(ISBLANK('2025'!$R268), 0, 1), 5, if(ISBLANK('2025'!$S268), 0, 1), 6, if(ISBLANK('2025'!$T268), 0, 1), 7, 0))), 1, "")</f>
        <v/>
      </c>
      <c r="X270" s="1" t="str">
        <f>IF(AND(AND(AND(X$4&gt;='2025'!$L268,X$4&lt;='2025'!$M268), X$4&lt;&gt;DATE(2025,7,4)), (SWITCH(weekday(X$4), 1, 0, 2, if(ISBLANK('2025'!$P268), 0, 1), 3, if(ISBLANK('2025'!$Q268), 0, 1), 4, if(ISBLANK('2025'!$R268), 0, 1), 5, if(ISBLANK('2025'!$S268), 0, 1), 6, if(ISBLANK('2025'!$T268), 0, 1), 7, 0))), 1, "")</f>
        <v/>
      </c>
      <c r="Y270" s="1" t="str">
        <f>IF(AND(AND(AND(Y$4&gt;='2025'!$L268,Y$4&lt;='2025'!$M268), Y$4&lt;&gt;DATE(2025,7,4)), (SWITCH(weekday(Y$4), 1, 0, 2, if(ISBLANK('2025'!$P268), 0, 1), 3, if(ISBLANK('2025'!$Q268), 0, 1), 4, if(ISBLANK('2025'!$R268), 0, 1), 5, if(ISBLANK('2025'!$S268), 0, 1), 6, if(ISBLANK('2025'!$T268), 0, 1), 7, 0))), 1, "")</f>
        <v/>
      </c>
      <c r="Z270" s="1" t="str">
        <f>IF(AND(AND(AND(Z$4&gt;='2025'!$L268,Z$4&lt;='2025'!$M268), Z$4&lt;&gt;DATE(2025,7,4)), (SWITCH(weekday(Z$4), 1, 0, 2, if(ISBLANK('2025'!$P268), 0, 1), 3, if(ISBLANK('2025'!$Q268), 0, 1), 4, if(ISBLANK('2025'!$R268), 0, 1), 5, if(ISBLANK('2025'!$S268), 0, 1), 6, if(ISBLANK('2025'!$T268), 0, 1), 7, 0))), 1, "")</f>
        <v/>
      </c>
      <c r="AA270" s="1" t="str">
        <f>IF(AND(AND(AND(AA$4&gt;='2025'!$L268,AA$4&lt;='2025'!$M268), AA$4&lt;&gt;DATE(2025,7,4)), (SWITCH(weekday(AA$4), 1, 0, 2, if(ISBLANK('2025'!$P268), 0, 1), 3, if(ISBLANK('2025'!$Q268), 0, 1), 4, if(ISBLANK('2025'!$R268), 0, 1), 5, if(ISBLANK('2025'!$S268), 0, 1), 6, if(ISBLANK('2025'!$T268), 0, 1), 7, 0))), 1, "")</f>
        <v/>
      </c>
      <c r="AB270" s="1" t="str">
        <f>IF(AND(AND(AND(AB$4&gt;='2025'!$L268,AB$4&lt;='2025'!$M268), AB$4&lt;&gt;DATE(2025,7,4)), (SWITCH(weekday(AB$4), 1, 0, 2, if(ISBLANK('2025'!$P268), 0, 1), 3, if(ISBLANK('2025'!$Q268), 0, 1), 4, if(ISBLANK('2025'!$R268), 0, 1), 5, if(ISBLANK('2025'!$S268), 0, 1), 6, if(ISBLANK('2025'!$T268), 0, 1), 7, 0))), 1, "")</f>
        <v/>
      </c>
      <c r="AC270" s="1" t="str">
        <f>IF(AND(AND(AND(AC$4&gt;='2025'!$L268,AC$4&lt;='2025'!$M268), AC$4&lt;&gt;DATE(2025,7,4)), (SWITCH(weekday(AC$4), 1, 0, 2, if(ISBLANK('2025'!$P268), 0, 1), 3, if(ISBLANK('2025'!$Q268), 0, 1), 4, if(ISBLANK('2025'!$R268), 0, 1), 5, if(ISBLANK('2025'!$S268), 0, 1), 6, if(ISBLANK('2025'!$T268), 0, 1), 7, 0))), 1, "")</f>
        <v/>
      </c>
      <c r="AD270" s="1" t="str">
        <f>IF(AND(AND(AND(AD$4&gt;='2025'!$L268,AD$4&lt;='2025'!$M268), AD$4&lt;&gt;DATE(2025,7,4)), (SWITCH(weekday(AD$4), 1, 0, 2, if(ISBLANK('2025'!$P268), 0, 1), 3, if(ISBLANK('2025'!$Q268), 0, 1), 4, if(ISBLANK('2025'!$R268), 0, 1), 5, if(ISBLANK('2025'!$S268), 0, 1), 6, if(ISBLANK('2025'!$T268), 0, 1), 7, 0))), 1, "")</f>
        <v/>
      </c>
      <c r="AE270" s="1" t="str">
        <f>IF(AND(AND(AND(AE$4&gt;='2025'!$L268,AE$4&lt;='2025'!$M268), AE$4&lt;&gt;DATE(2025,7,4)), (SWITCH(weekday(AE$4), 1, 0, 2, if(ISBLANK('2025'!$P268), 0, 1), 3, if(ISBLANK('2025'!$Q268), 0, 1), 4, if(ISBLANK('2025'!$R268), 0, 1), 5, if(ISBLANK('2025'!$S268), 0, 1), 6, if(ISBLANK('2025'!$T268), 0, 1), 7, 0))), 1, "")</f>
        <v/>
      </c>
      <c r="AF270" s="1" t="str">
        <f>IF(AND(AND(AND(AF$4&gt;='2025'!$L268,AF$4&lt;='2025'!$M268), AF$4&lt;&gt;DATE(2025,7,4)), (SWITCH(weekday(AF$4), 1, 0, 2, if(ISBLANK('2025'!$P268), 0, 1), 3, if(ISBLANK('2025'!$Q268), 0, 1), 4, if(ISBLANK('2025'!$R268), 0, 1), 5, if(ISBLANK('2025'!$S268), 0, 1), 6, if(ISBLANK('2025'!$T268), 0, 1), 7, 0))), 1, "")</f>
        <v/>
      </c>
      <c r="AG270" s="1" t="str">
        <f>IF(AND(AND(AND(AG$4&gt;='2025'!$L268,AG$4&lt;='2025'!$M268), AG$4&lt;&gt;DATE(2025,7,4)), (SWITCH(weekday(AG$4), 1, 0, 2, if(ISBLANK('2025'!$P268), 0, 1), 3, if(ISBLANK('2025'!$Q268), 0, 1), 4, if(ISBLANK('2025'!$R268), 0, 1), 5, if(ISBLANK('2025'!$S268), 0, 1), 6, if(ISBLANK('2025'!$T268), 0, 1), 7, 0))), 1, "")</f>
        <v/>
      </c>
      <c r="AH270" s="1" t="str">
        <f>IF(AND(AND(AND(AH$4&gt;='2025'!$L268,AH$4&lt;='2025'!$M268), AH$4&lt;&gt;DATE(2025,7,4)), (SWITCH(weekday(AH$4), 1, 0, 2, if(ISBLANK('2025'!$P268), 0, 1), 3, if(ISBLANK('2025'!$Q268), 0, 1), 4, if(ISBLANK('2025'!$R268), 0, 1), 5, if(ISBLANK('2025'!$S268), 0, 1), 6, if(ISBLANK('2025'!$T268), 0, 1), 7, 0))), 1, "")</f>
        <v/>
      </c>
      <c r="AI270" s="1" t="str">
        <f>IF(AND(AND(AND(AI$4&gt;='2025'!$L268,AI$4&lt;='2025'!$M268), AI$4&lt;&gt;DATE(2025,7,4)), (SWITCH(weekday(AI$4), 1, 0, 2, if(ISBLANK('2025'!$P268), 0, 1), 3, if(ISBLANK('2025'!$Q268), 0, 1), 4, if(ISBLANK('2025'!$R268), 0, 1), 5, if(ISBLANK('2025'!$S268), 0, 1), 6, if(ISBLANK('2025'!$T268), 0, 1), 7, 0))), 1, "")</f>
        <v/>
      </c>
      <c r="AJ270" s="1" t="str">
        <f>IF(AND(AND(AND(AJ$4&gt;='2025'!$L268,AJ$4&lt;='2025'!$M268), AJ$4&lt;&gt;DATE(2025,7,4)), (SWITCH(weekday(AJ$4), 1, 0, 2, if(ISBLANK('2025'!$P268), 0, 1), 3, if(ISBLANK('2025'!$Q268), 0, 1), 4, if(ISBLANK('2025'!$R268), 0, 1), 5, if(ISBLANK('2025'!$S268), 0, 1), 6, if(ISBLANK('2025'!$T268), 0, 1), 7, 0))), 1, "")</f>
        <v/>
      </c>
      <c r="AK270" s="1" t="str">
        <f>IF(AND(AND(AND(AK$4&gt;='2025'!$L268,AK$4&lt;='2025'!$M268), AK$4&lt;&gt;DATE(2025,7,4)), (SWITCH(weekday(AK$4), 1, 0, 2, if(ISBLANK('2025'!$P268), 0, 1), 3, if(ISBLANK('2025'!$Q268), 0, 1), 4, if(ISBLANK('2025'!$R268), 0, 1), 5, if(ISBLANK('2025'!$S268), 0, 1), 6, if(ISBLANK('2025'!$T268), 0, 1), 7, 0))), 1, "")</f>
        <v/>
      </c>
      <c r="AL270" s="1" t="str">
        <f>IF(AND(AND(AND(AL$4&gt;='2025'!$L268,AL$4&lt;='2025'!$M268), AL$4&lt;&gt;DATE(2025,7,4)), (SWITCH(weekday(AL$4), 1, 0, 2, if(ISBLANK('2025'!$P268), 0, 1), 3, if(ISBLANK('2025'!$Q268), 0, 1), 4, if(ISBLANK('2025'!$R268), 0, 1), 5, if(ISBLANK('2025'!$S268), 0, 1), 6, if(ISBLANK('2025'!$T268), 0, 1), 7, 0))), 1, "")</f>
        <v/>
      </c>
      <c r="AM270" s="1" t="str">
        <f>IF(AND(AND(AND(AM$4&gt;='2025'!$L268,AM$4&lt;='2025'!$M268), AM$4&lt;&gt;DATE(2025,7,4)), (SWITCH(weekday(AM$4), 1, 0, 2, if(ISBLANK('2025'!$P268), 0, 1), 3, if(ISBLANK('2025'!$Q268), 0, 1), 4, if(ISBLANK('2025'!$R268), 0, 1), 5, if(ISBLANK('2025'!$S268), 0, 1), 6, if(ISBLANK('2025'!$T268), 0, 1), 7, 0))), 1, "")</f>
        <v/>
      </c>
      <c r="AN270" s="1" t="str">
        <f>IF(AND(AND(AND(AN$4&gt;='2025'!$L268,AN$4&lt;='2025'!$M268), AN$4&lt;&gt;DATE(2025,7,4)), (SWITCH(weekday(AN$4), 1, 0, 2, if(ISBLANK('2025'!$P268), 0, 1), 3, if(ISBLANK('2025'!$Q268), 0, 1), 4, if(ISBLANK('2025'!$R268), 0, 1), 5, if(ISBLANK('2025'!$S268), 0, 1), 6, if(ISBLANK('2025'!$T268), 0, 1), 7, 0))), 1, "")</f>
        <v/>
      </c>
      <c r="AO270" s="1" t="str">
        <f>IF(AND(AND(AND(AO$4&gt;='2025'!$L268,AO$4&lt;='2025'!$M268), AO$4&lt;&gt;DATE(2025,7,4)), (SWITCH(weekday(AO$4), 1, 0, 2, if(ISBLANK('2025'!$P268), 0, 1), 3, if(ISBLANK('2025'!$Q268), 0, 1), 4, if(ISBLANK('2025'!$R268), 0, 1), 5, if(ISBLANK('2025'!$S268), 0, 1), 6, if(ISBLANK('2025'!$T268), 0, 1), 7, 0))), 1, "")</f>
        <v/>
      </c>
      <c r="AP270" s="1" t="str">
        <f>IF(AND(AND(AND(AP$4&gt;='2025'!$L268,AP$4&lt;='2025'!$M268), AP$4&lt;&gt;DATE(2025,7,4)), (SWITCH(weekday(AP$4), 1, 0, 2, if(ISBLANK('2025'!$P268), 0, 1), 3, if(ISBLANK('2025'!$Q268), 0, 1), 4, if(ISBLANK('2025'!$R268), 0, 1), 5, if(ISBLANK('2025'!$S268), 0, 1), 6, if(ISBLANK('2025'!$T268), 0, 1), 7, 0))), 1, "")</f>
        <v/>
      </c>
      <c r="AQ270" s="1" t="str">
        <f>IF(AND(AND(AND(AQ$4&gt;='2025'!$L268,AQ$4&lt;='2025'!$M268), AQ$4&lt;&gt;DATE(2025,7,4)), (SWITCH(weekday(AQ$4), 1, 0, 2, if(ISBLANK('2025'!$P268), 0, 1), 3, if(ISBLANK('2025'!$Q268), 0, 1), 4, if(ISBLANK('2025'!$R268), 0, 1), 5, if(ISBLANK('2025'!$S268), 0, 1), 6, if(ISBLANK('2025'!$T268), 0, 1), 7, 0))), 1, "")</f>
        <v/>
      </c>
      <c r="AR270" s="1" t="str">
        <f>IF(AND(AND(AND(AR$4&gt;='2025'!$L268,AR$4&lt;='2025'!$M268), AR$4&lt;&gt;DATE(2025,7,4)), (SWITCH(weekday(AR$4), 1, 0, 2, if(ISBLANK('2025'!$P268), 0, 1), 3, if(ISBLANK('2025'!$Q268), 0, 1), 4, if(ISBLANK('2025'!$R268), 0, 1), 5, if(ISBLANK('2025'!$S268), 0, 1), 6, if(ISBLANK('2025'!$T268), 0, 1), 7, 0))), 1, "")</f>
        <v/>
      </c>
      <c r="AS270" s="1" t="str">
        <f>IF(AND(AND(AND(AS$4&gt;='2025'!$L268,AS$4&lt;='2025'!$M268), AS$4&lt;&gt;DATE(2025,7,4)), (SWITCH(weekday(AS$4), 1, 0, 2, if(ISBLANK('2025'!$P268), 0, 1), 3, if(ISBLANK('2025'!$Q268), 0, 1), 4, if(ISBLANK('2025'!$R268), 0, 1), 5, if(ISBLANK('2025'!$S268), 0, 1), 6, if(ISBLANK('2025'!$T268), 0, 1), 7, 0))), 1, "")</f>
        <v/>
      </c>
      <c r="AT270" s="1" t="str">
        <f>IF(AND(AND(AND(AT$4&gt;='2025'!$L268,AT$4&lt;='2025'!$M268), AT$4&lt;&gt;DATE(2025,7,4)), (SWITCH(weekday(AT$4), 1, 0, 2, if(ISBLANK('2025'!$P268), 0, 1), 3, if(ISBLANK('2025'!$Q268), 0, 1), 4, if(ISBLANK('2025'!$R268), 0, 1), 5, if(ISBLANK('2025'!$S268), 0, 1), 6, if(ISBLANK('2025'!$T268), 0, 1), 7, 0))), 1, "")</f>
        <v/>
      </c>
      <c r="AU270" s="1" t="str">
        <f>IF(AND(AND(AND(AU$4&gt;='2025'!$L268,AU$4&lt;='2025'!$M268), AU$4&lt;&gt;DATE(2025,7,4)), (SWITCH(weekday(AU$4), 1, 0, 2, if(ISBLANK('2025'!$P268), 0, 1), 3, if(ISBLANK('2025'!$Q268), 0, 1), 4, if(ISBLANK('2025'!$R268), 0, 1), 5, if(ISBLANK('2025'!$S268), 0, 1), 6, if(ISBLANK('2025'!$T268), 0, 1), 7, 0))), 1, "")</f>
        <v/>
      </c>
      <c r="AV270" s="1" t="str">
        <f>IF(AND(AND(AND(AV$4&gt;='2025'!$L268,AV$4&lt;='2025'!$M268), AV$4&lt;&gt;DATE(2025,7,4)), (SWITCH(weekday(AV$4), 1, 0, 2, if(ISBLANK('2025'!$P268), 0, 1), 3, if(ISBLANK('2025'!$Q268), 0, 1), 4, if(ISBLANK('2025'!$R268), 0, 1), 5, if(ISBLANK('2025'!$S268), 0, 1), 6, if(ISBLANK('2025'!$T268), 0, 1), 7, 0))), 1, "")</f>
        <v/>
      </c>
      <c r="AW270" s="1" t="str">
        <f>IF(AND(AND(AND(AW$4&gt;='2025'!$L268,AW$4&lt;='2025'!$M268), AW$4&lt;&gt;DATE(2025,7,4)), (SWITCH(weekday(AW$4), 1, 0, 2, if(ISBLANK('2025'!$P268), 0, 1), 3, if(ISBLANK('2025'!$Q268), 0, 1), 4, if(ISBLANK('2025'!$R268), 0, 1), 5, if(ISBLANK('2025'!$S268), 0, 1), 6, if(ISBLANK('2025'!$T268), 0, 1), 7, 0))), 1, "")</f>
        <v/>
      </c>
      <c r="AX270" s="1" t="str">
        <f>IF(AND(AND(AND(AX$4&gt;='2025'!$L268,AX$4&lt;='2025'!$M268), AX$4&lt;&gt;DATE(2025,7,4)), (SWITCH(weekday(AX$4), 1, 0, 2, if(ISBLANK('2025'!$P268), 0, 1), 3, if(ISBLANK('2025'!$Q268), 0, 1), 4, if(ISBLANK('2025'!$R268), 0, 1), 5, if(ISBLANK('2025'!$S268), 0, 1), 6, if(ISBLANK('2025'!$T268), 0, 1), 7, 0))), 1, "")</f>
        <v/>
      </c>
      <c r="AY270" s="1" t="str">
        <f>IF(AND(AND(AND(AY$4&gt;='2025'!$L268,AY$4&lt;='2025'!$M268), AY$4&lt;&gt;DATE(2025,7,4)), (SWITCH(weekday(AY$4), 1, 0, 2, if(ISBLANK('2025'!$P268), 0, 1), 3, if(ISBLANK('2025'!$Q268), 0, 1), 4, if(ISBLANK('2025'!$R268), 0, 1), 5, if(ISBLANK('2025'!$S268), 0, 1), 6, if(ISBLANK('2025'!$T268), 0, 1), 7, 0))), 1, "")</f>
        <v/>
      </c>
      <c r="AZ270" s="1" t="str">
        <f>IF(AND(AND(AND(AZ$4&gt;='2025'!$L268,AZ$4&lt;='2025'!$M268), AZ$4&lt;&gt;DATE(2025,7,4)), (SWITCH(weekday(AZ$4), 1, 0, 2, if(ISBLANK('2025'!$P268), 0, 1), 3, if(ISBLANK('2025'!$Q268), 0, 1), 4, if(ISBLANK('2025'!$R268), 0, 1), 5, if(ISBLANK('2025'!$S268), 0, 1), 6, if(ISBLANK('2025'!$T268), 0, 1), 7, 0))), 1, "")</f>
        <v/>
      </c>
      <c r="BA270" s="1" t="str">
        <f>IF(AND(AND(AND(BA$4&gt;='2025'!$L268,BA$4&lt;='2025'!$M268), BA$4&lt;&gt;DATE(2025,7,4)), (SWITCH(weekday(BA$4), 1, 0, 2, if(ISBLANK('2025'!$P268), 0, 1), 3, if(ISBLANK('2025'!$Q268), 0, 1), 4, if(ISBLANK('2025'!$R268), 0, 1), 5, if(ISBLANK('2025'!$S268), 0, 1), 6, if(ISBLANK('2025'!$T268), 0, 1), 7, 0))), 1, "")</f>
        <v/>
      </c>
      <c r="BB270" s="1" t="str">
        <f>IF(AND(AND(AND(BB$4&gt;='2025'!$L268,BB$4&lt;='2025'!$M268), BB$4&lt;&gt;DATE(2025,7,4)), (SWITCH(weekday(BB$4), 1, 0, 2, if(ISBLANK('2025'!$P268), 0, 1), 3, if(ISBLANK('2025'!$Q268), 0, 1), 4, if(ISBLANK('2025'!$R268), 0, 1), 5, if(ISBLANK('2025'!$S268), 0, 1), 6, if(ISBLANK('2025'!$T268), 0, 1), 7, 0))), 1, "")</f>
        <v/>
      </c>
      <c r="BC270" s="1" t="str">
        <f>IF(AND(AND(AND(BC$4&gt;='2025'!$L268,BC$4&lt;='2025'!$M268), BC$4&lt;&gt;DATE(2025,7,4)), (SWITCH(weekday(BC$4), 1, 0, 2, if(ISBLANK('2025'!$P268), 0, 1), 3, if(ISBLANK('2025'!$Q268), 0, 1), 4, if(ISBLANK('2025'!$R268), 0, 1), 5, if(ISBLANK('2025'!$S268), 0, 1), 6, if(ISBLANK('2025'!$T268), 0, 1), 7, 0))), 1, "")</f>
        <v/>
      </c>
      <c r="BD270" s="1" t="str">
        <f>IF(AND(AND(AND(BD$4&gt;='2025'!$L268,BD$4&lt;='2025'!$M268), BD$4&lt;&gt;DATE(2025,7,4)), (SWITCH(weekday(BD$4), 1, 0, 2, if(ISBLANK('2025'!$P268), 0, 1), 3, if(ISBLANK('2025'!$Q268), 0, 1), 4, if(ISBLANK('2025'!$R268), 0, 1), 5, if(ISBLANK('2025'!$S268), 0, 1), 6, if(ISBLANK('2025'!$T268), 0, 1), 7, 0))), 1, "")</f>
        <v/>
      </c>
      <c r="BE270" s="1" t="str">
        <f>IF(AND(AND(AND(BE$4&gt;='2025'!$L268,BE$4&lt;='2025'!$M268), BE$4&lt;&gt;DATE(2025,7,4)), (SWITCH(weekday(BE$4), 1, 0, 2, if(ISBLANK('2025'!$P268), 0, 1), 3, if(ISBLANK('2025'!$Q268), 0, 1), 4, if(ISBLANK('2025'!$R268), 0, 1), 5, if(ISBLANK('2025'!$S268), 0, 1), 6, if(ISBLANK('2025'!$T268), 0, 1), 7, 0))), 1, "")</f>
        <v/>
      </c>
      <c r="BF270" s="1" t="str">
        <f>IF(AND(AND(AND(BF$4&gt;='2025'!$L268,BF$4&lt;='2025'!$M268), BF$4&lt;&gt;DATE(2025,7,4)), (SWITCH(weekday(BF$4), 1, 0, 2, if(ISBLANK('2025'!$P268), 0, 1), 3, if(ISBLANK('2025'!$Q268), 0, 1), 4, if(ISBLANK('2025'!$R268), 0, 1), 5, if(ISBLANK('2025'!$S268), 0, 1), 6, if(ISBLANK('2025'!$T268), 0, 1), 7, 0))), 1, "")</f>
        <v/>
      </c>
      <c r="BG270" s="1"/>
      <c r="BH270" s="1"/>
      <c r="BI270" s="1"/>
      <c r="BJ270" s="1"/>
      <c r="BK270" s="1"/>
      <c r="BL270" s="1"/>
    </row>
    <row r="271">
      <c r="A271" s="1">
        <f t="shared" si="3"/>
        <v>271</v>
      </c>
      <c r="B271" s="1" t="str">
        <f>'2025'!D235</f>
        <v>, </v>
      </c>
      <c r="C271" s="1" t="str">
        <f>'2025'!H235</f>
        <v/>
      </c>
      <c r="D271" s="1" t="str">
        <f>IF(AND(AND(AND(D$4&gt;='2025'!$L269,D$4&lt;='2025'!$M269), D$4&lt;&gt;DATE(2025,7,4)), (SWITCH(weekday(D$4), 1, 0, 2, if(ISBLANK('2025'!$P269), 0, 1), 3, if(ISBLANK('2025'!$Q269), 0, 1), 4, if(ISBLANK('2025'!$R269), 0, 1), 5, if(ISBLANK('2025'!$S269), 0, 1), 6, if(ISBLANK('2025'!$T269), 0, 1), 7, 0))), 1, "")</f>
        <v/>
      </c>
      <c r="E271" s="1" t="str">
        <f>IF(AND(AND(AND(E$4&gt;='2025'!$L269,E$4&lt;='2025'!$M269), E$4&lt;&gt;DATE(2025,7,4)), (SWITCH(weekday(E$4), 1, 0, 2, if(ISBLANK('2025'!$P269), 0, 1), 3, if(ISBLANK('2025'!$Q269), 0, 1), 4, if(ISBLANK('2025'!$R269), 0, 1), 5, if(ISBLANK('2025'!$S269), 0, 1), 6, if(ISBLANK('2025'!$T269), 0, 1), 7, 0))), 1, "")</f>
        <v/>
      </c>
      <c r="F271" s="1" t="str">
        <f>IF(AND(AND(AND(F$4&gt;='2025'!$L269,F$4&lt;='2025'!$M269), F$4&lt;&gt;DATE(2025,7,4)), (SWITCH(weekday(F$4), 1, 0, 2, if(ISBLANK('2025'!$P269), 0, 1), 3, if(ISBLANK('2025'!$Q269), 0, 1), 4, if(ISBLANK('2025'!$R269), 0, 1), 5, if(ISBLANK('2025'!$S269), 0, 1), 6, if(ISBLANK('2025'!$T269), 0, 1), 7, 0))), 1, "")</f>
        <v/>
      </c>
      <c r="G271" s="1" t="str">
        <f>IF(AND(AND(AND(G$4&gt;='2025'!$L269,G$4&lt;='2025'!$M269), G$4&lt;&gt;DATE(2025,7,4)), (SWITCH(weekday(G$4), 1, 0, 2, if(ISBLANK('2025'!$P269), 0, 1), 3, if(ISBLANK('2025'!$Q269), 0, 1), 4, if(ISBLANK('2025'!$R269), 0, 1), 5, if(ISBLANK('2025'!$S269), 0, 1), 6, if(ISBLANK('2025'!$T269), 0, 1), 7, 0))), 1, "")</f>
        <v/>
      </c>
      <c r="H271" s="1" t="str">
        <f>IF(AND(AND(AND(H$4&gt;='2025'!$L269,H$4&lt;='2025'!$M269), H$4&lt;&gt;DATE(2025,7,4)), (SWITCH(weekday(H$4), 1, 0, 2, if(ISBLANK('2025'!$P269), 0, 1), 3, if(ISBLANK('2025'!$Q269), 0, 1), 4, if(ISBLANK('2025'!$R269), 0, 1), 5, if(ISBLANK('2025'!$S269), 0, 1), 6, if(ISBLANK('2025'!$T269), 0, 1), 7, 0))), 1, "")</f>
        <v/>
      </c>
      <c r="I271" s="1" t="str">
        <f>IF(AND(AND(AND(I$4&gt;='2025'!$L269,I$4&lt;='2025'!$M269), I$4&lt;&gt;DATE(2025,7,4)), (SWITCH(weekday(I$4), 1, 0, 2, if(ISBLANK('2025'!$P269), 0, 1), 3, if(ISBLANK('2025'!$Q269), 0, 1), 4, if(ISBLANK('2025'!$R269), 0, 1), 5, if(ISBLANK('2025'!$S269), 0, 1), 6, if(ISBLANK('2025'!$T269), 0, 1), 7, 0))), 1, "")</f>
        <v/>
      </c>
      <c r="J271" s="1" t="str">
        <f>IF(AND(AND(AND(J$4&gt;='2025'!$L269,J$4&lt;='2025'!$M269), J$4&lt;&gt;DATE(2025,7,4)), (SWITCH(weekday(J$4), 1, 0, 2, if(ISBLANK('2025'!$P269), 0, 1), 3, if(ISBLANK('2025'!$Q269), 0, 1), 4, if(ISBLANK('2025'!$R269), 0, 1), 5, if(ISBLANK('2025'!$S269), 0, 1), 6, if(ISBLANK('2025'!$T269), 0, 1), 7, 0))), 1, "")</f>
        <v/>
      </c>
      <c r="K271" s="1" t="str">
        <f>IF(AND(AND(AND(K$4&gt;='2025'!$L269,K$4&lt;='2025'!$M269), K$4&lt;&gt;DATE(2025,7,4)), (SWITCH(weekday(K$4), 1, 0, 2, if(ISBLANK('2025'!$P269), 0, 1), 3, if(ISBLANK('2025'!$Q269), 0, 1), 4, if(ISBLANK('2025'!$R269), 0, 1), 5, if(ISBLANK('2025'!$S269), 0, 1), 6, if(ISBLANK('2025'!$T269), 0, 1), 7, 0))), 1, "")</f>
        <v/>
      </c>
      <c r="L271" s="1" t="str">
        <f>IF(AND(AND(AND(L$4&gt;='2025'!$L269,L$4&lt;='2025'!$M269), L$4&lt;&gt;DATE(2025,7,4)), (SWITCH(weekday(L$4), 1, 0, 2, if(ISBLANK('2025'!$P269), 0, 1), 3, if(ISBLANK('2025'!$Q269), 0, 1), 4, if(ISBLANK('2025'!$R269), 0, 1), 5, if(ISBLANK('2025'!$S269), 0, 1), 6, if(ISBLANK('2025'!$T269), 0, 1), 7, 0))), 1, "")</f>
        <v/>
      </c>
      <c r="M271" s="1" t="str">
        <f>IF(AND(AND(AND(M$4&gt;='2025'!$L269,M$4&lt;='2025'!$M269), M$4&lt;&gt;DATE(2025,7,4)), (SWITCH(weekday(M$4), 1, 0, 2, if(ISBLANK('2025'!$P269), 0, 1), 3, if(ISBLANK('2025'!$Q269), 0, 1), 4, if(ISBLANK('2025'!$R269), 0, 1), 5, if(ISBLANK('2025'!$S269), 0, 1), 6, if(ISBLANK('2025'!$T269), 0, 1), 7, 0))), 1, "")</f>
        <v/>
      </c>
      <c r="N271" s="1" t="str">
        <f>IF(AND(AND(AND(N$4&gt;='2025'!$L269,N$4&lt;='2025'!$M269), N$4&lt;&gt;DATE(2025,7,4)), (SWITCH(weekday(N$4), 1, 0, 2, if(ISBLANK('2025'!$P269), 0, 1), 3, if(ISBLANK('2025'!$Q269), 0, 1), 4, if(ISBLANK('2025'!$R269), 0, 1), 5, if(ISBLANK('2025'!$S269), 0, 1), 6, if(ISBLANK('2025'!$T269), 0, 1), 7, 0))), 1, "")</f>
        <v/>
      </c>
      <c r="O271" s="1" t="str">
        <f>IF(AND(AND(AND(O$4&gt;='2025'!$L269,O$4&lt;='2025'!$M269), O$4&lt;&gt;DATE(2025,7,4)), (SWITCH(weekday(O$4), 1, 0, 2, if(ISBLANK('2025'!$P269), 0, 1), 3, if(ISBLANK('2025'!$Q269), 0, 1), 4, if(ISBLANK('2025'!$R269), 0, 1), 5, if(ISBLANK('2025'!$S269), 0, 1), 6, if(ISBLANK('2025'!$T269), 0, 1), 7, 0))), 1, "")</f>
        <v/>
      </c>
      <c r="P271" s="1" t="str">
        <f>IF(AND(AND(AND(P$4&gt;='2025'!$L269,P$4&lt;='2025'!$M269), P$4&lt;&gt;DATE(2025,7,4)), (SWITCH(weekday(P$4), 1, 0, 2, if(ISBLANK('2025'!$P269), 0, 1), 3, if(ISBLANK('2025'!$Q269), 0, 1), 4, if(ISBLANK('2025'!$R269), 0, 1), 5, if(ISBLANK('2025'!$S269), 0, 1), 6, if(ISBLANK('2025'!$T269), 0, 1), 7, 0))), 1, "")</f>
        <v/>
      </c>
      <c r="Q271" s="1" t="str">
        <f>IF(AND(AND(AND(Q$4&gt;='2025'!$L269,Q$4&lt;='2025'!$M269), Q$4&lt;&gt;DATE(2025,7,4)), (SWITCH(weekday(Q$4), 1, 0, 2, if(ISBLANK('2025'!$P269), 0, 1), 3, if(ISBLANK('2025'!$Q269), 0, 1), 4, if(ISBLANK('2025'!$R269), 0, 1), 5, if(ISBLANK('2025'!$S269), 0, 1), 6, if(ISBLANK('2025'!$T269), 0, 1), 7, 0))), 1, "")</f>
        <v/>
      </c>
      <c r="R271" s="1" t="str">
        <f>IF(AND(AND(AND(R$4&gt;='2025'!$L269,R$4&lt;='2025'!$M269), R$4&lt;&gt;DATE(2025,7,4)), (SWITCH(weekday(R$4), 1, 0, 2, if(ISBLANK('2025'!$P269), 0, 1), 3, if(ISBLANK('2025'!$Q269), 0, 1), 4, if(ISBLANK('2025'!$R269), 0, 1), 5, if(ISBLANK('2025'!$S269), 0, 1), 6, if(ISBLANK('2025'!$T269), 0, 1), 7, 0))), 1, "")</f>
        <v/>
      </c>
      <c r="S271" s="1" t="str">
        <f>IF(AND(AND(AND(S$4&gt;='2025'!$L269,S$4&lt;='2025'!$M269), S$4&lt;&gt;DATE(2025,7,4)), (SWITCH(weekday(S$4), 1, 0, 2, if(ISBLANK('2025'!$P269), 0, 1), 3, if(ISBLANK('2025'!$Q269), 0, 1), 4, if(ISBLANK('2025'!$R269), 0, 1), 5, if(ISBLANK('2025'!$S269), 0, 1), 6, if(ISBLANK('2025'!$T269), 0, 1), 7, 0))), 1, "")</f>
        <v/>
      </c>
      <c r="T271" s="1" t="str">
        <f>IF(AND(AND(AND(T$4&gt;='2025'!$L269,T$4&lt;='2025'!$M269), T$4&lt;&gt;DATE(2025,7,4)), (SWITCH(weekday(T$4), 1, 0, 2, if(ISBLANK('2025'!$P269), 0, 1), 3, if(ISBLANK('2025'!$Q269), 0, 1), 4, if(ISBLANK('2025'!$R269), 0, 1), 5, if(ISBLANK('2025'!$S269), 0, 1), 6, if(ISBLANK('2025'!$T269), 0, 1), 7, 0))), 1, "")</f>
        <v/>
      </c>
      <c r="U271" s="1" t="str">
        <f>IF(AND(AND(AND(U$4&gt;='2025'!$L269,U$4&lt;='2025'!$M269), U$4&lt;&gt;DATE(2025,7,4)), (SWITCH(weekday(U$4), 1, 0, 2, if(ISBLANK('2025'!$P269), 0, 1), 3, if(ISBLANK('2025'!$Q269), 0, 1), 4, if(ISBLANK('2025'!$R269), 0, 1), 5, if(ISBLANK('2025'!$S269), 0, 1), 6, if(ISBLANK('2025'!$T269), 0, 1), 7, 0))), 1, "")</f>
        <v/>
      </c>
      <c r="V271" s="1" t="str">
        <f>IF(AND(AND(AND(V$4&gt;='2025'!$L269,V$4&lt;='2025'!$M269), V$4&lt;&gt;DATE(2025,7,4)), (SWITCH(weekday(V$4), 1, 0, 2, if(ISBLANK('2025'!$P269), 0, 1), 3, if(ISBLANK('2025'!$Q269), 0, 1), 4, if(ISBLANK('2025'!$R269), 0, 1), 5, if(ISBLANK('2025'!$S269), 0, 1), 6, if(ISBLANK('2025'!$T269), 0, 1), 7, 0))), 1, "")</f>
        <v/>
      </c>
      <c r="W271" s="1" t="str">
        <f>IF(AND(AND(AND(W$4&gt;='2025'!$L269,W$4&lt;='2025'!$M269), W$4&lt;&gt;DATE(2025,7,4)), (SWITCH(weekday(W$4), 1, 0, 2, if(ISBLANK('2025'!$P269), 0, 1), 3, if(ISBLANK('2025'!$Q269), 0, 1), 4, if(ISBLANK('2025'!$R269), 0, 1), 5, if(ISBLANK('2025'!$S269), 0, 1), 6, if(ISBLANK('2025'!$T269), 0, 1), 7, 0))), 1, "")</f>
        <v/>
      </c>
      <c r="X271" s="1" t="str">
        <f>IF(AND(AND(AND(X$4&gt;='2025'!$L269,X$4&lt;='2025'!$M269), X$4&lt;&gt;DATE(2025,7,4)), (SWITCH(weekday(X$4), 1, 0, 2, if(ISBLANK('2025'!$P269), 0, 1), 3, if(ISBLANK('2025'!$Q269), 0, 1), 4, if(ISBLANK('2025'!$R269), 0, 1), 5, if(ISBLANK('2025'!$S269), 0, 1), 6, if(ISBLANK('2025'!$T269), 0, 1), 7, 0))), 1, "")</f>
        <v/>
      </c>
      <c r="Y271" s="1" t="str">
        <f>IF(AND(AND(AND(Y$4&gt;='2025'!$L269,Y$4&lt;='2025'!$M269), Y$4&lt;&gt;DATE(2025,7,4)), (SWITCH(weekday(Y$4), 1, 0, 2, if(ISBLANK('2025'!$P269), 0, 1), 3, if(ISBLANK('2025'!$Q269), 0, 1), 4, if(ISBLANK('2025'!$R269), 0, 1), 5, if(ISBLANK('2025'!$S269), 0, 1), 6, if(ISBLANK('2025'!$T269), 0, 1), 7, 0))), 1, "")</f>
        <v/>
      </c>
      <c r="Z271" s="1" t="str">
        <f>IF(AND(AND(AND(Z$4&gt;='2025'!$L269,Z$4&lt;='2025'!$M269), Z$4&lt;&gt;DATE(2025,7,4)), (SWITCH(weekday(Z$4), 1, 0, 2, if(ISBLANK('2025'!$P269), 0, 1), 3, if(ISBLANK('2025'!$Q269), 0, 1), 4, if(ISBLANK('2025'!$R269), 0, 1), 5, if(ISBLANK('2025'!$S269), 0, 1), 6, if(ISBLANK('2025'!$T269), 0, 1), 7, 0))), 1, "")</f>
        <v/>
      </c>
      <c r="AA271" s="1" t="str">
        <f>IF(AND(AND(AND(AA$4&gt;='2025'!$L269,AA$4&lt;='2025'!$M269), AA$4&lt;&gt;DATE(2025,7,4)), (SWITCH(weekday(AA$4), 1, 0, 2, if(ISBLANK('2025'!$P269), 0, 1), 3, if(ISBLANK('2025'!$Q269), 0, 1), 4, if(ISBLANK('2025'!$R269), 0, 1), 5, if(ISBLANK('2025'!$S269), 0, 1), 6, if(ISBLANK('2025'!$T269), 0, 1), 7, 0))), 1, "")</f>
        <v/>
      </c>
      <c r="AB271" s="1" t="str">
        <f>IF(AND(AND(AND(AB$4&gt;='2025'!$L269,AB$4&lt;='2025'!$M269), AB$4&lt;&gt;DATE(2025,7,4)), (SWITCH(weekday(AB$4), 1, 0, 2, if(ISBLANK('2025'!$P269), 0, 1), 3, if(ISBLANK('2025'!$Q269), 0, 1), 4, if(ISBLANK('2025'!$R269), 0, 1), 5, if(ISBLANK('2025'!$S269), 0, 1), 6, if(ISBLANK('2025'!$T269), 0, 1), 7, 0))), 1, "")</f>
        <v/>
      </c>
      <c r="AC271" s="1" t="str">
        <f>IF(AND(AND(AND(AC$4&gt;='2025'!$L269,AC$4&lt;='2025'!$M269), AC$4&lt;&gt;DATE(2025,7,4)), (SWITCH(weekday(AC$4), 1, 0, 2, if(ISBLANK('2025'!$P269), 0, 1), 3, if(ISBLANK('2025'!$Q269), 0, 1), 4, if(ISBLANK('2025'!$R269), 0, 1), 5, if(ISBLANK('2025'!$S269), 0, 1), 6, if(ISBLANK('2025'!$T269), 0, 1), 7, 0))), 1, "")</f>
        <v/>
      </c>
      <c r="AD271" s="1" t="str">
        <f>IF(AND(AND(AND(AD$4&gt;='2025'!$L269,AD$4&lt;='2025'!$M269), AD$4&lt;&gt;DATE(2025,7,4)), (SWITCH(weekday(AD$4), 1, 0, 2, if(ISBLANK('2025'!$P269), 0, 1), 3, if(ISBLANK('2025'!$Q269), 0, 1), 4, if(ISBLANK('2025'!$R269), 0, 1), 5, if(ISBLANK('2025'!$S269), 0, 1), 6, if(ISBLANK('2025'!$T269), 0, 1), 7, 0))), 1, "")</f>
        <v/>
      </c>
      <c r="AE271" s="1" t="str">
        <f>IF(AND(AND(AND(AE$4&gt;='2025'!$L269,AE$4&lt;='2025'!$M269), AE$4&lt;&gt;DATE(2025,7,4)), (SWITCH(weekday(AE$4), 1, 0, 2, if(ISBLANK('2025'!$P269), 0, 1), 3, if(ISBLANK('2025'!$Q269), 0, 1), 4, if(ISBLANK('2025'!$R269), 0, 1), 5, if(ISBLANK('2025'!$S269), 0, 1), 6, if(ISBLANK('2025'!$T269), 0, 1), 7, 0))), 1, "")</f>
        <v/>
      </c>
      <c r="AF271" s="1" t="str">
        <f>IF(AND(AND(AND(AF$4&gt;='2025'!$L269,AF$4&lt;='2025'!$M269), AF$4&lt;&gt;DATE(2025,7,4)), (SWITCH(weekday(AF$4), 1, 0, 2, if(ISBLANK('2025'!$P269), 0, 1), 3, if(ISBLANK('2025'!$Q269), 0, 1), 4, if(ISBLANK('2025'!$R269), 0, 1), 5, if(ISBLANK('2025'!$S269), 0, 1), 6, if(ISBLANK('2025'!$T269), 0, 1), 7, 0))), 1, "")</f>
        <v/>
      </c>
      <c r="AG271" s="1" t="str">
        <f>IF(AND(AND(AND(AG$4&gt;='2025'!$L269,AG$4&lt;='2025'!$M269), AG$4&lt;&gt;DATE(2025,7,4)), (SWITCH(weekday(AG$4), 1, 0, 2, if(ISBLANK('2025'!$P269), 0, 1), 3, if(ISBLANK('2025'!$Q269), 0, 1), 4, if(ISBLANK('2025'!$R269), 0, 1), 5, if(ISBLANK('2025'!$S269), 0, 1), 6, if(ISBLANK('2025'!$T269), 0, 1), 7, 0))), 1, "")</f>
        <v/>
      </c>
      <c r="AH271" s="1" t="str">
        <f>IF(AND(AND(AND(AH$4&gt;='2025'!$L269,AH$4&lt;='2025'!$M269), AH$4&lt;&gt;DATE(2025,7,4)), (SWITCH(weekday(AH$4), 1, 0, 2, if(ISBLANK('2025'!$P269), 0, 1), 3, if(ISBLANK('2025'!$Q269), 0, 1), 4, if(ISBLANK('2025'!$R269), 0, 1), 5, if(ISBLANK('2025'!$S269), 0, 1), 6, if(ISBLANK('2025'!$T269), 0, 1), 7, 0))), 1, "")</f>
        <v/>
      </c>
      <c r="AI271" s="1" t="str">
        <f>IF(AND(AND(AND(AI$4&gt;='2025'!$L269,AI$4&lt;='2025'!$M269), AI$4&lt;&gt;DATE(2025,7,4)), (SWITCH(weekday(AI$4), 1, 0, 2, if(ISBLANK('2025'!$P269), 0, 1), 3, if(ISBLANK('2025'!$Q269), 0, 1), 4, if(ISBLANK('2025'!$R269), 0, 1), 5, if(ISBLANK('2025'!$S269), 0, 1), 6, if(ISBLANK('2025'!$T269), 0, 1), 7, 0))), 1, "")</f>
        <v/>
      </c>
      <c r="AJ271" s="1" t="str">
        <f>IF(AND(AND(AND(AJ$4&gt;='2025'!$L269,AJ$4&lt;='2025'!$M269), AJ$4&lt;&gt;DATE(2025,7,4)), (SWITCH(weekday(AJ$4), 1, 0, 2, if(ISBLANK('2025'!$P269), 0, 1), 3, if(ISBLANK('2025'!$Q269), 0, 1), 4, if(ISBLANK('2025'!$R269), 0, 1), 5, if(ISBLANK('2025'!$S269), 0, 1), 6, if(ISBLANK('2025'!$T269), 0, 1), 7, 0))), 1, "")</f>
        <v/>
      </c>
      <c r="AK271" s="1" t="str">
        <f>IF(AND(AND(AND(AK$4&gt;='2025'!$L269,AK$4&lt;='2025'!$M269), AK$4&lt;&gt;DATE(2025,7,4)), (SWITCH(weekday(AK$4), 1, 0, 2, if(ISBLANK('2025'!$P269), 0, 1), 3, if(ISBLANK('2025'!$Q269), 0, 1), 4, if(ISBLANK('2025'!$R269), 0, 1), 5, if(ISBLANK('2025'!$S269), 0, 1), 6, if(ISBLANK('2025'!$T269), 0, 1), 7, 0))), 1, "")</f>
        <v/>
      </c>
      <c r="AL271" s="1" t="str">
        <f>IF(AND(AND(AND(AL$4&gt;='2025'!$L269,AL$4&lt;='2025'!$M269), AL$4&lt;&gt;DATE(2025,7,4)), (SWITCH(weekday(AL$4), 1, 0, 2, if(ISBLANK('2025'!$P269), 0, 1), 3, if(ISBLANK('2025'!$Q269), 0, 1), 4, if(ISBLANK('2025'!$R269), 0, 1), 5, if(ISBLANK('2025'!$S269), 0, 1), 6, if(ISBLANK('2025'!$T269), 0, 1), 7, 0))), 1, "")</f>
        <v/>
      </c>
      <c r="AM271" s="1" t="str">
        <f>IF(AND(AND(AND(AM$4&gt;='2025'!$L269,AM$4&lt;='2025'!$M269), AM$4&lt;&gt;DATE(2025,7,4)), (SWITCH(weekday(AM$4), 1, 0, 2, if(ISBLANK('2025'!$P269), 0, 1), 3, if(ISBLANK('2025'!$Q269), 0, 1), 4, if(ISBLANK('2025'!$R269), 0, 1), 5, if(ISBLANK('2025'!$S269), 0, 1), 6, if(ISBLANK('2025'!$T269), 0, 1), 7, 0))), 1, "")</f>
        <v/>
      </c>
      <c r="AN271" s="1" t="str">
        <f>IF(AND(AND(AND(AN$4&gt;='2025'!$L269,AN$4&lt;='2025'!$M269), AN$4&lt;&gt;DATE(2025,7,4)), (SWITCH(weekday(AN$4), 1, 0, 2, if(ISBLANK('2025'!$P269), 0, 1), 3, if(ISBLANK('2025'!$Q269), 0, 1), 4, if(ISBLANK('2025'!$R269), 0, 1), 5, if(ISBLANK('2025'!$S269), 0, 1), 6, if(ISBLANK('2025'!$T269), 0, 1), 7, 0))), 1, "")</f>
        <v/>
      </c>
      <c r="AO271" s="1" t="str">
        <f>IF(AND(AND(AND(AO$4&gt;='2025'!$L269,AO$4&lt;='2025'!$M269), AO$4&lt;&gt;DATE(2025,7,4)), (SWITCH(weekday(AO$4), 1, 0, 2, if(ISBLANK('2025'!$P269), 0, 1), 3, if(ISBLANK('2025'!$Q269), 0, 1), 4, if(ISBLANK('2025'!$R269), 0, 1), 5, if(ISBLANK('2025'!$S269), 0, 1), 6, if(ISBLANK('2025'!$T269), 0, 1), 7, 0))), 1, "")</f>
        <v/>
      </c>
      <c r="AP271" s="1" t="str">
        <f>IF(AND(AND(AND(AP$4&gt;='2025'!$L269,AP$4&lt;='2025'!$M269), AP$4&lt;&gt;DATE(2025,7,4)), (SWITCH(weekday(AP$4), 1, 0, 2, if(ISBLANK('2025'!$P269), 0, 1), 3, if(ISBLANK('2025'!$Q269), 0, 1), 4, if(ISBLANK('2025'!$R269), 0, 1), 5, if(ISBLANK('2025'!$S269), 0, 1), 6, if(ISBLANK('2025'!$T269), 0, 1), 7, 0))), 1, "")</f>
        <v/>
      </c>
      <c r="AQ271" s="1" t="str">
        <f>IF(AND(AND(AND(AQ$4&gt;='2025'!$L269,AQ$4&lt;='2025'!$M269), AQ$4&lt;&gt;DATE(2025,7,4)), (SWITCH(weekday(AQ$4), 1, 0, 2, if(ISBLANK('2025'!$P269), 0, 1), 3, if(ISBLANK('2025'!$Q269), 0, 1), 4, if(ISBLANK('2025'!$R269), 0, 1), 5, if(ISBLANK('2025'!$S269), 0, 1), 6, if(ISBLANK('2025'!$T269), 0, 1), 7, 0))), 1, "")</f>
        <v/>
      </c>
      <c r="AR271" s="1" t="str">
        <f>IF(AND(AND(AND(AR$4&gt;='2025'!$L269,AR$4&lt;='2025'!$M269), AR$4&lt;&gt;DATE(2025,7,4)), (SWITCH(weekday(AR$4), 1, 0, 2, if(ISBLANK('2025'!$P269), 0, 1), 3, if(ISBLANK('2025'!$Q269), 0, 1), 4, if(ISBLANK('2025'!$R269), 0, 1), 5, if(ISBLANK('2025'!$S269), 0, 1), 6, if(ISBLANK('2025'!$T269), 0, 1), 7, 0))), 1, "")</f>
        <v/>
      </c>
      <c r="AS271" s="1" t="str">
        <f>IF(AND(AND(AND(AS$4&gt;='2025'!$L269,AS$4&lt;='2025'!$M269), AS$4&lt;&gt;DATE(2025,7,4)), (SWITCH(weekday(AS$4), 1, 0, 2, if(ISBLANK('2025'!$P269), 0, 1), 3, if(ISBLANK('2025'!$Q269), 0, 1), 4, if(ISBLANK('2025'!$R269), 0, 1), 5, if(ISBLANK('2025'!$S269), 0, 1), 6, if(ISBLANK('2025'!$T269), 0, 1), 7, 0))), 1, "")</f>
        <v/>
      </c>
      <c r="AT271" s="1" t="str">
        <f>IF(AND(AND(AND(AT$4&gt;='2025'!$L269,AT$4&lt;='2025'!$M269), AT$4&lt;&gt;DATE(2025,7,4)), (SWITCH(weekday(AT$4), 1, 0, 2, if(ISBLANK('2025'!$P269), 0, 1), 3, if(ISBLANK('2025'!$Q269), 0, 1), 4, if(ISBLANK('2025'!$R269), 0, 1), 5, if(ISBLANK('2025'!$S269), 0, 1), 6, if(ISBLANK('2025'!$T269), 0, 1), 7, 0))), 1, "")</f>
        <v/>
      </c>
      <c r="AU271" s="1" t="str">
        <f>IF(AND(AND(AND(AU$4&gt;='2025'!$L269,AU$4&lt;='2025'!$M269), AU$4&lt;&gt;DATE(2025,7,4)), (SWITCH(weekday(AU$4), 1, 0, 2, if(ISBLANK('2025'!$P269), 0, 1), 3, if(ISBLANK('2025'!$Q269), 0, 1), 4, if(ISBLANK('2025'!$R269), 0, 1), 5, if(ISBLANK('2025'!$S269), 0, 1), 6, if(ISBLANK('2025'!$T269), 0, 1), 7, 0))), 1, "")</f>
        <v/>
      </c>
      <c r="AV271" s="1" t="str">
        <f>IF(AND(AND(AND(AV$4&gt;='2025'!$L269,AV$4&lt;='2025'!$M269), AV$4&lt;&gt;DATE(2025,7,4)), (SWITCH(weekday(AV$4), 1, 0, 2, if(ISBLANK('2025'!$P269), 0, 1), 3, if(ISBLANK('2025'!$Q269), 0, 1), 4, if(ISBLANK('2025'!$R269), 0, 1), 5, if(ISBLANK('2025'!$S269), 0, 1), 6, if(ISBLANK('2025'!$T269), 0, 1), 7, 0))), 1, "")</f>
        <v/>
      </c>
      <c r="AW271" s="1" t="str">
        <f>IF(AND(AND(AND(AW$4&gt;='2025'!$L269,AW$4&lt;='2025'!$M269), AW$4&lt;&gt;DATE(2025,7,4)), (SWITCH(weekday(AW$4), 1, 0, 2, if(ISBLANK('2025'!$P269), 0, 1), 3, if(ISBLANK('2025'!$Q269), 0, 1), 4, if(ISBLANK('2025'!$R269), 0, 1), 5, if(ISBLANK('2025'!$S269), 0, 1), 6, if(ISBLANK('2025'!$T269), 0, 1), 7, 0))), 1, "")</f>
        <v/>
      </c>
      <c r="AX271" s="1" t="str">
        <f>IF(AND(AND(AND(AX$4&gt;='2025'!$L269,AX$4&lt;='2025'!$M269), AX$4&lt;&gt;DATE(2025,7,4)), (SWITCH(weekday(AX$4), 1, 0, 2, if(ISBLANK('2025'!$P269), 0, 1), 3, if(ISBLANK('2025'!$Q269), 0, 1), 4, if(ISBLANK('2025'!$R269), 0, 1), 5, if(ISBLANK('2025'!$S269), 0, 1), 6, if(ISBLANK('2025'!$T269), 0, 1), 7, 0))), 1, "")</f>
        <v/>
      </c>
      <c r="AY271" s="1" t="str">
        <f>IF(AND(AND(AND(AY$4&gt;='2025'!$L269,AY$4&lt;='2025'!$M269), AY$4&lt;&gt;DATE(2025,7,4)), (SWITCH(weekday(AY$4), 1, 0, 2, if(ISBLANK('2025'!$P269), 0, 1), 3, if(ISBLANK('2025'!$Q269), 0, 1), 4, if(ISBLANK('2025'!$R269), 0, 1), 5, if(ISBLANK('2025'!$S269), 0, 1), 6, if(ISBLANK('2025'!$T269), 0, 1), 7, 0))), 1, "")</f>
        <v/>
      </c>
      <c r="AZ271" s="1" t="str">
        <f>IF(AND(AND(AND(AZ$4&gt;='2025'!$L269,AZ$4&lt;='2025'!$M269), AZ$4&lt;&gt;DATE(2025,7,4)), (SWITCH(weekday(AZ$4), 1, 0, 2, if(ISBLANK('2025'!$P269), 0, 1), 3, if(ISBLANK('2025'!$Q269), 0, 1), 4, if(ISBLANK('2025'!$R269), 0, 1), 5, if(ISBLANK('2025'!$S269), 0, 1), 6, if(ISBLANK('2025'!$T269), 0, 1), 7, 0))), 1, "")</f>
        <v/>
      </c>
      <c r="BA271" s="1" t="str">
        <f>IF(AND(AND(AND(BA$4&gt;='2025'!$L269,BA$4&lt;='2025'!$M269), BA$4&lt;&gt;DATE(2025,7,4)), (SWITCH(weekday(BA$4), 1, 0, 2, if(ISBLANK('2025'!$P269), 0, 1), 3, if(ISBLANK('2025'!$Q269), 0, 1), 4, if(ISBLANK('2025'!$R269), 0, 1), 5, if(ISBLANK('2025'!$S269), 0, 1), 6, if(ISBLANK('2025'!$T269), 0, 1), 7, 0))), 1, "")</f>
        <v/>
      </c>
      <c r="BB271" s="1" t="str">
        <f>IF(AND(AND(AND(BB$4&gt;='2025'!$L269,BB$4&lt;='2025'!$M269), BB$4&lt;&gt;DATE(2025,7,4)), (SWITCH(weekday(BB$4), 1, 0, 2, if(ISBLANK('2025'!$P269), 0, 1), 3, if(ISBLANK('2025'!$Q269), 0, 1), 4, if(ISBLANK('2025'!$R269), 0, 1), 5, if(ISBLANK('2025'!$S269), 0, 1), 6, if(ISBLANK('2025'!$T269), 0, 1), 7, 0))), 1, "")</f>
        <v/>
      </c>
      <c r="BC271" s="1" t="str">
        <f>IF(AND(AND(AND(BC$4&gt;='2025'!$L269,BC$4&lt;='2025'!$M269), BC$4&lt;&gt;DATE(2025,7,4)), (SWITCH(weekday(BC$4), 1, 0, 2, if(ISBLANK('2025'!$P269), 0, 1), 3, if(ISBLANK('2025'!$Q269), 0, 1), 4, if(ISBLANK('2025'!$R269), 0, 1), 5, if(ISBLANK('2025'!$S269), 0, 1), 6, if(ISBLANK('2025'!$T269), 0, 1), 7, 0))), 1, "")</f>
        <v/>
      </c>
      <c r="BD271" s="1" t="str">
        <f>IF(AND(AND(AND(BD$4&gt;='2025'!$L269,BD$4&lt;='2025'!$M269), BD$4&lt;&gt;DATE(2025,7,4)), (SWITCH(weekday(BD$4), 1, 0, 2, if(ISBLANK('2025'!$P269), 0, 1), 3, if(ISBLANK('2025'!$Q269), 0, 1), 4, if(ISBLANK('2025'!$R269), 0, 1), 5, if(ISBLANK('2025'!$S269), 0, 1), 6, if(ISBLANK('2025'!$T269), 0, 1), 7, 0))), 1, "")</f>
        <v/>
      </c>
      <c r="BE271" s="1" t="str">
        <f>IF(AND(AND(AND(BE$4&gt;='2025'!$L269,BE$4&lt;='2025'!$M269), BE$4&lt;&gt;DATE(2025,7,4)), (SWITCH(weekday(BE$4), 1, 0, 2, if(ISBLANK('2025'!$P269), 0, 1), 3, if(ISBLANK('2025'!$Q269), 0, 1), 4, if(ISBLANK('2025'!$R269), 0, 1), 5, if(ISBLANK('2025'!$S269), 0, 1), 6, if(ISBLANK('2025'!$T269), 0, 1), 7, 0))), 1, "")</f>
        <v/>
      </c>
      <c r="BF271" s="1" t="str">
        <f>IF(AND(AND(AND(BF$4&gt;='2025'!$L269,BF$4&lt;='2025'!$M269), BF$4&lt;&gt;DATE(2025,7,4)), (SWITCH(weekday(BF$4), 1, 0, 2, if(ISBLANK('2025'!$P269), 0, 1), 3, if(ISBLANK('2025'!$Q269), 0, 1), 4, if(ISBLANK('2025'!$R269), 0, 1), 5, if(ISBLANK('2025'!$S269), 0, 1), 6, if(ISBLANK('2025'!$T269), 0, 1), 7, 0))), 1, "")</f>
        <v/>
      </c>
      <c r="BG271" s="1"/>
      <c r="BH271" s="1"/>
      <c r="BI271" s="1"/>
      <c r="BJ271" s="1"/>
      <c r="BK271" s="1"/>
      <c r="BL271" s="1"/>
    </row>
    <row r="272">
      <c r="A272" s="1">
        <f t="shared" si="3"/>
        <v>272</v>
      </c>
      <c r="B272" s="1" t="str">
        <f>'2025'!D236</f>
        <v>, </v>
      </c>
      <c r="C272" s="1" t="str">
        <f>'2025'!H236</f>
        <v/>
      </c>
      <c r="D272" s="1" t="str">
        <f>IF(AND(AND(AND(D$4&gt;='2025'!$L270,D$4&lt;='2025'!$M270), D$4&lt;&gt;DATE(2025,7,4)), (SWITCH(weekday(D$4), 1, 0, 2, if(ISBLANK('2025'!$P270), 0, 1), 3, if(ISBLANK('2025'!$Q270), 0, 1), 4, if(ISBLANK('2025'!$R270), 0, 1), 5, if(ISBLANK('2025'!$S270), 0, 1), 6, if(ISBLANK('2025'!$T270), 0, 1), 7, 0))), 1, "")</f>
        <v/>
      </c>
      <c r="E272" s="1" t="str">
        <f>IF(AND(AND(AND(E$4&gt;='2025'!$L270,E$4&lt;='2025'!$M270), E$4&lt;&gt;DATE(2025,7,4)), (SWITCH(weekday(E$4), 1, 0, 2, if(ISBLANK('2025'!$P270), 0, 1), 3, if(ISBLANK('2025'!$Q270), 0, 1), 4, if(ISBLANK('2025'!$R270), 0, 1), 5, if(ISBLANK('2025'!$S270), 0, 1), 6, if(ISBLANK('2025'!$T270), 0, 1), 7, 0))), 1, "")</f>
        <v/>
      </c>
      <c r="F272" s="1" t="str">
        <f>IF(AND(AND(AND(F$4&gt;='2025'!$L270,F$4&lt;='2025'!$M270), F$4&lt;&gt;DATE(2025,7,4)), (SWITCH(weekday(F$4), 1, 0, 2, if(ISBLANK('2025'!$P270), 0, 1), 3, if(ISBLANK('2025'!$Q270), 0, 1), 4, if(ISBLANK('2025'!$R270), 0, 1), 5, if(ISBLANK('2025'!$S270), 0, 1), 6, if(ISBLANK('2025'!$T270), 0, 1), 7, 0))), 1, "")</f>
        <v/>
      </c>
      <c r="G272" s="1" t="str">
        <f>IF(AND(AND(AND(G$4&gt;='2025'!$L270,G$4&lt;='2025'!$M270), G$4&lt;&gt;DATE(2025,7,4)), (SWITCH(weekday(G$4), 1, 0, 2, if(ISBLANK('2025'!$P270), 0, 1), 3, if(ISBLANK('2025'!$Q270), 0, 1), 4, if(ISBLANK('2025'!$R270), 0, 1), 5, if(ISBLANK('2025'!$S270), 0, 1), 6, if(ISBLANK('2025'!$T270), 0, 1), 7, 0))), 1, "")</f>
        <v/>
      </c>
      <c r="H272" s="1" t="str">
        <f>IF(AND(AND(AND(H$4&gt;='2025'!$L270,H$4&lt;='2025'!$M270), H$4&lt;&gt;DATE(2025,7,4)), (SWITCH(weekday(H$4), 1, 0, 2, if(ISBLANK('2025'!$P270), 0, 1), 3, if(ISBLANK('2025'!$Q270), 0, 1), 4, if(ISBLANK('2025'!$R270), 0, 1), 5, if(ISBLANK('2025'!$S270), 0, 1), 6, if(ISBLANK('2025'!$T270), 0, 1), 7, 0))), 1, "")</f>
        <v/>
      </c>
      <c r="I272" s="1" t="str">
        <f>IF(AND(AND(AND(I$4&gt;='2025'!$L270,I$4&lt;='2025'!$M270), I$4&lt;&gt;DATE(2025,7,4)), (SWITCH(weekday(I$4), 1, 0, 2, if(ISBLANK('2025'!$P270), 0, 1), 3, if(ISBLANK('2025'!$Q270), 0, 1), 4, if(ISBLANK('2025'!$R270), 0, 1), 5, if(ISBLANK('2025'!$S270), 0, 1), 6, if(ISBLANK('2025'!$T270), 0, 1), 7, 0))), 1, "")</f>
        <v/>
      </c>
      <c r="J272" s="1" t="str">
        <f>IF(AND(AND(AND(J$4&gt;='2025'!$L270,J$4&lt;='2025'!$M270), J$4&lt;&gt;DATE(2025,7,4)), (SWITCH(weekday(J$4), 1, 0, 2, if(ISBLANK('2025'!$P270), 0, 1), 3, if(ISBLANK('2025'!$Q270), 0, 1), 4, if(ISBLANK('2025'!$R270), 0, 1), 5, if(ISBLANK('2025'!$S270), 0, 1), 6, if(ISBLANK('2025'!$T270), 0, 1), 7, 0))), 1, "")</f>
        <v/>
      </c>
      <c r="K272" s="1" t="str">
        <f>IF(AND(AND(AND(K$4&gt;='2025'!$L270,K$4&lt;='2025'!$M270), K$4&lt;&gt;DATE(2025,7,4)), (SWITCH(weekday(K$4), 1, 0, 2, if(ISBLANK('2025'!$P270), 0, 1), 3, if(ISBLANK('2025'!$Q270), 0, 1), 4, if(ISBLANK('2025'!$R270), 0, 1), 5, if(ISBLANK('2025'!$S270), 0, 1), 6, if(ISBLANK('2025'!$T270), 0, 1), 7, 0))), 1, "")</f>
        <v/>
      </c>
      <c r="L272" s="1" t="str">
        <f>IF(AND(AND(AND(L$4&gt;='2025'!$L270,L$4&lt;='2025'!$M270), L$4&lt;&gt;DATE(2025,7,4)), (SWITCH(weekday(L$4), 1, 0, 2, if(ISBLANK('2025'!$P270), 0, 1), 3, if(ISBLANK('2025'!$Q270), 0, 1), 4, if(ISBLANK('2025'!$R270), 0, 1), 5, if(ISBLANK('2025'!$S270), 0, 1), 6, if(ISBLANK('2025'!$T270), 0, 1), 7, 0))), 1, "")</f>
        <v/>
      </c>
      <c r="M272" s="1" t="str">
        <f>IF(AND(AND(AND(M$4&gt;='2025'!$L270,M$4&lt;='2025'!$M270), M$4&lt;&gt;DATE(2025,7,4)), (SWITCH(weekday(M$4), 1, 0, 2, if(ISBLANK('2025'!$P270), 0, 1), 3, if(ISBLANK('2025'!$Q270), 0, 1), 4, if(ISBLANK('2025'!$R270), 0, 1), 5, if(ISBLANK('2025'!$S270), 0, 1), 6, if(ISBLANK('2025'!$T270), 0, 1), 7, 0))), 1, "")</f>
        <v/>
      </c>
      <c r="N272" s="1" t="str">
        <f>IF(AND(AND(AND(N$4&gt;='2025'!$L270,N$4&lt;='2025'!$M270), N$4&lt;&gt;DATE(2025,7,4)), (SWITCH(weekday(N$4), 1, 0, 2, if(ISBLANK('2025'!$P270), 0, 1), 3, if(ISBLANK('2025'!$Q270), 0, 1), 4, if(ISBLANK('2025'!$R270), 0, 1), 5, if(ISBLANK('2025'!$S270), 0, 1), 6, if(ISBLANK('2025'!$T270), 0, 1), 7, 0))), 1, "")</f>
        <v/>
      </c>
      <c r="O272" s="1" t="str">
        <f>IF(AND(AND(AND(O$4&gt;='2025'!$L270,O$4&lt;='2025'!$M270), O$4&lt;&gt;DATE(2025,7,4)), (SWITCH(weekday(O$4), 1, 0, 2, if(ISBLANK('2025'!$P270), 0, 1), 3, if(ISBLANK('2025'!$Q270), 0, 1), 4, if(ISBLANK('2025'!$R270), 0, 1), 5, if(ISBLANK('2025'!$S270), 0, 1), 6, if(ISBLANK('2025'!$T270), 0, 1), 7, 0))), 1, "")</f>
        <v/>
      </c>
      <c r="P272" s="1" t="str">
        <f>IF(AND(AND(AND(P$4&gt;='2025'!$L270,P$4&lt;='2025'!$M270), P$4&lt;&gt;DATE(2025,7,4)), (SWITCH(weekday(P$4), 1, 0, 2, if(ISBLANK('2025'!$P270), 0, 1), 3, if(ISBLANK('2025'!$Q270), 0, 1), 4, if(ISBLANK('2025'!$R270), 0, 1), 5, if(ISBLANK('2025'!$S270), 0, 1), 6, if(ISBLANK('2025'!$T270), 0, 1), 7, 0))), 1, "")</f>
        <v/>
      </c>
      <c r="Q272" s="1" t="str">
        <f>IF(AND(AND(AND(Q$4&gt;='2025'!$L270,Q$4&lt;='2025'!$M270), Q$4&lt;&gt;DATE(2025,7,4)), (SWITCH(weekday(Q$4), 1, 0, 2, if(ISBLANK('2025'!$P270), 0, 1), 3, if(ISBLANK('2025'!$Q270), 0, 1), 4, if(ISBLANK('2025'!$R270), 0, 1), 5, if(ISBLANK('2025'!$S270), 0, 1), 6, if(ISBLANK('2025'!$T270), 0, 1), 7, 0))), 1, "")</f>
        <v/>
      </c>
      <c r="R272" s="1" t="str">
        <f>IF(AND(AND(AND(R$4&gt;='2025'!$L270,R$4&lt;='2025'!$M270), R$4&lt;&gt;DATE(2025,7,4)), (SWITCH(weekday(R$4), 1, 0, 2, if(ISBLANK('2025'!$P270), 0, 1), 3, if(ISBLANK('2025'!$Q270), 0, 1), 4, if(ISBLANK('2025'!$R270), 0, 1), 5, if(ISBLANK('2025'!$S270), 0, 1), 6, if(ISBLANK('2025'!$T270), 0, 1), 7, 0))), 1, "")</f>
        <v/>
      </c>
      <c r="S272" s="1" t="str">
        <f>IF(AND(AND(AND(S$4&gt;='2025'!$L270,S$4&lt;='2025'!$M270), S$4&lt;&gt;DATE(2025,7,4)), (SWITCH(weekday(S$4), 1, 0, 2, if(ISBLANK('2025'!$P270), 0, 1), 3, if(ISBLANK('2025'!$Q270), 0, 1), 4, if(ISBLANK('2025'!$R270), 0, 1), 5, if(ISBLANK('2025'!$S270), 0, 1), 6, if(ISBLANK('2025'!$T270), 0, 1), 7, 0))), 1, "")</f>
        <v/>
      </c>
      <c r="T272" s="1" t="str">
        <f>IF(AND(AND(AND(T$4&gt;='2025'!$L270,T$4&lt;='2025'!$M270), T$4&lt;&gt;DATE(2025,7,4)), (SWITCH(weekday(T$4), 1, 0, 2, if(ISBLANK('2025'!$P270), 0, 1), 3, if(ISBLANK('2025'!$Q270), 0, 1), 4, if(ISBLANK('2025'!$R270), 0, 1), 5, if(ISBLANK('2025'!$S270), 0, 1), 6, if(ISBLANK('2025'!$T270), 0, 1), 7, 0))), 1, "")</f>
        <v/>
      </c>
      <c r="U272" s="1" t="str">
        <f>IF(AND(AND(AND(U$4&gt;='2025'!$L270,U$4&lt;='2025'!$M270), U$4&lt;&gt;DATE(2025,7,4)), (SWITCH(weekday(U$4), 1, 0, 2, if(ISBLANK('2025'!$P270), 0, 1), 3, if(ISBLANK('2025'!$Q270), 0, 1), 4, if(ISBLANK('2025'!$R270), 0, 1), 5, if(ISBLANK('2025'!$S270), 0, 1), 6, if(ISBLANK('2025'!$T270), 0, 1), 7, 0))), 1, "")</f>
        <v/>
      </c>
      <c r="V272" s="1" t="str">
        <f>IF(AND(AND(AND(V$4&gt;='2025'!$L270,V$4&lt;='2025'!$M270), V$4&lt;&gt;DATE(2025,7,4)), (SWITCH(weekday(V$4), 1, 0, 2, if(ISBLANK('2025'!$P270), 0, 1), 3, if(ISBLANK('2025'!$Q270), 0, 1), 4, if(ISBLANK('2025'!$R270), 0, 1), 5, if(ISBLANK('2025'!$S270), 0, 1), 6, if(ISBLANK('2025'!$T270), 0, 1), 7, 0))), 1, "")</f>
        <v/>
      </c>
      <c r="W272" s="1" t="str">
        <f>IF(AND(AND(AND(W$4&gt;='2025'!$L270,W$4&lt;='2025'!$M270), W$4&lt;&gt;DATE(2025,7,4)), (SWITCH(weekday(W$4), 1, 0, 2, if(ISBLANK('2025'!$P270), 0, 1), 3, if(ISBLANK('2025'!$Q270), 0, 1), 4, if(ISBLANK('2025'!$R270), 0, 1), 5, if(ISBLANK('2025'!$S270), 0, 1), 6, if(ISBLANK('2025'!$T270), 0, 1), 7, 0))), 1, "")</f>
        <v/>
      </c>
      <c r="X272" s="1" t="str">
        <f>IF(AND(AND(AND(X$4&gt;='2025'!$L270,X$4&lt;='2025'!$M270), X$4&lt;&gt;DATE(2025,7,4)), (SWITCH(weekday(X$4), 1, 0, 2, if(ISBLANK('2025'!$P270), 0, 1), 3, if(ISBLANK('2025'!$Q270), 0, 1), 4, if(ISBLANK('2025'!$R270), 0, 1), 5, if(ISBLANK('2025'!$S270), 0, 1), 6, if(ISBLANK('2025'!$T270), 0, 1), 7, 0))), 1, "")</f>
        <v/>
      </c>
      <c r="Y272" s="1" t="str">
        <f>IF(AND(AND(AND(Y$4&gt;='2025'!$L270,Y$4&lt;='2025'!$M270), Y$4&lt;&gt;DATE(2025,7,4)), (SWITCH(weekday(Y$4), 1, 0, 2, if(ISBLANK('2025'!$P270), 0, 1), 3, if(ISBLANK('2025'!$Q270), 0, 1), 4, if(ISBLANK('2025'!$R270), 0, 1), 5, if(ISBLANK('2025'!$S270), 0, 1), 6, if(ISBLANK('2025'!$T270), 0, 1), 7, 0))), 1, "")</f>
        <v/>
      </c>
      <c r="Z272" s="1" t="str">
        <f>IF(AND(AND(AND(Z$4&gt;='2025'!$L270,Z$4&lt;='2025'!$M270), Z$4&lt;&gt;DATE(2025,7,4)), (SWITCH(weekday(Z$4), 1, 0, 2, if(ISBLANK('2025'!$P270), 0, 1), 3, if(ISBLANK('2025'!$Q270), 0, 1), 4, if(ISBLANK('2025'!$R270), 0, 1), 5, if(ISBLANK('2025'!$S270), 0, 1), 6, if(ISBLANK('2025'!$T270), 0, 1), 7, 0))), 1, "")</f>
        <v/>
      </c>
      <c r="AA272" s="1" t="str">
        <f>IF(AND(AND(AND(AA$4&gt;='2025'!$L270,AA$4&lt;='2025'!$M270), AA$4&lt;&gt;DATE(2025,7,4)), (SWITCH(weekday(AA$4), 1, 0, 2, if(ISBLANK('2025'!$P270), 0, 1), 3, if(ISBLANK('2025'!$Q270), 0, 1), 4, if(ISBLANK('2025'!$R270), 0, 1), 5, if(ISBLANK('2025'!$S270), 0, 1), 6, if(ISBLANK('2025'!$T270), 0, 1), 7, 0))), 1, "")</f>
        <v/>
      </c>
      <c r="AB272" s="1" t="str">
        <f>IF(AND(AND(AND(AB$4&gt;='2025'!$L270,AB$4&lt;='2025'!$M270), AB$4&lt;&gt;DATE(2025,7,4)), (SWITCH(weekday(AB$4), 1, 0, 2, if(ISBLANK('2025'!$P270), 0, 1), 3, if(ISBLANK('2025'!$Q270), 0, 1), 4, if(ISBLANK('2025'!$R270), 0, 1), 5, if(ISBLANK('2025'!$S270), 0, 1), 6, if(ISBLANK('2025'!$T270), 0, 1), 7, 0))), 1, "")</f>
        <v/>
      </c>
      <c r="AC272" s="1" t="str">
        <f>IF(AND(AND(AND(AC$4&gt;='2025'!$L270,AC$4&lt;='2025'!$M270), AC$4&lt;&gt;DATE(2025,7,4)), (SWITCH(weekday(AC$4), 1, 0, 2, if(ISBLANK('2025'!$P270), 0, 1), 3, if(ISBLANK('2025'!$Q270), 0, 1), 4, if(ISBLANK('2025'!$R270), 0, 1), 5, if(ISBLANK('2025'!$S270), 0, 1), 6, if(ISBLANK('2025'!$T270), 0, 1), 7, 0))), 1, "")</f>
        <v/>
      </c>
      <c r="AD272" s="1" t="str">
        <f>IF(AND(AND(AND(AD$4&gt;='2025'!$L270,AD$4&lt;='2025'!$M270), AD$4&lt;&gt;DATE(2025,7,4)), (SWITCH(weekday(AD$4), 1, 0, 2, if(ISBLANK('2025'!$P270), 0, 1), 3, if(ISBLANK('2025'!$Q270), 0, 1), 4, if(ISBLANK('2025'!$R270), 0, 1), 5, if(ISBLANK('2025'!$S270), 0, 1), 6, if(ISBLANK('2025'!$T270), 0, 1), 7, 0))), 1, "")</f>
        <v/>
      </c>
      <c r="AE272" s="1" t="str">
        <f>IF(AND(AND(AND(AE$4&gt;='2025'!$L270,AE$4&lt;='2025'!$M270), AE$4&lt;&gt;DATE(2025,7,4)), (SWITCH(weekday(AE$4), 1, 0, 2, if(ISBLANK('2025'!$P270), 0, 1), 3, if(ISBLANK('2025'!$Q270), 0, 1), 4, if(ISBLANK('2025'!$R270), 0, 1), 5, if(ISBLANK('2025'!$S270), 0, 1), 6, if(ISBLANK('2025'!$T270), 0, 1), 7, 0))), 1, "")</f>
        <v/>
      </c>
      <c r="AF272" s="1" t="str">
        <f>IF(AND(AND(AND(AF$4&gt;='2025'!$L270,AF$4&lt;='2025'!$M270), AF$4&lt;&gt;DATE(2025,7,4)), (SWITCH(weekday(AF$4), 1, 0, 2, if(ISBLANK('2025'!$P270), 0, 1), 3, if(ISBLANK('2025'!$Q270), 0, 1), 4, if(ISBLANK('2025'!$R270), 0, 1), 5, if(ISBLANK('2025'!$S270), 0, 1), 6, if(ISBLANK('2025'!$T270), 0, 1), 7, 0))), 1, "")</f>
        <v/>
      </c>
      <c r="AG272" s="1" t="str">
        <f>IF(AND(AND(AND(AG$4&gt;='2025'!$L270,AG$4&lt;='2025'!$M270), AG$4&lt;&gt;DATE(2025,7,4)), (SWITCH(weekday(AG$4), 1, 0, 2, if(ISBLANK('2025'!$P270), 0, 1), 3, if(ISBLANK('2025'!$Q270), 0, 1), 4, if(ISBLANK('2025'!$R270), 0, 1), 5, if(ISBLANK('2025'!$S270), 0, 1), 6, if(ISBLANK('2025'!$T270), 0, 1), 7, 0))), 1, "")</f>
        <v/>
      </c>
      <c r="AH272" s="1" t="str">
        <f>IF(AND(AND(AND(AH$4&gt;='2025'!$L270,AH$4&lt;='2025'!$M270), AH$4&lt;&gt;DATE(2025,7,4)), (SWITCH(weekday(AH$4), 1, 0, 2, if(ISBLANK('2025'!$P270), 0, 1), 3, if(ISBLANK('2025'!$Q270), 0, 1), 4, if(ISBLANK('2025'!$R270), 0, 1), 5, if(ISBLANK('2025'!$S270), 0, 1), 6, if(ISBLANK('2025'!$T270), 0, 1), 7, 0))), 1, "")</f>
        <v/>
      </c>
      <c r="AI272" s="1" t="str">
        <f>IF(AND(AND(AND(AI$4&gt;='2025'!$L270,AI$4&lt;='2025'!$M270), AI$4&lt;&gt;DATE(2025,7,4)), (SWITCH(weekday(AI$4), 1, 0, 2, if(ISBLANK('2025'!$P270), 0, 1), 3, if(ISBLANK('2025'!$Q270), 0, 1), 4, if(ISBLANK('2025'!$R270), 0, 1), 5, if(ISBLANK('2025'!$S270), 0, 1), 6, if(ISBLANK('2025'!$T270), 0, 1), 7, 0))), 1, "")</f>
        <v/>
      </c>
      <c r="AJ272" s="1" t="str">
        <f>IF(AND(AND(AND(AJ$4&gt;='2025'!$L270,AJ$4&lt;='2025'!$M270), AJ$4&lt;&gt;DATE(2025,7,4)), (SWITCH(weekday(AJ$4), 1, 0, 2, if(ISBLANK('2025'!$P270), 0, 1), 3, if(ISBLANK('2025'!$Q270), 0, 1), 4, if(ISBLANK('2025'!$R270), 0, 1), 5, if(ISBLANK('2025'!$S270), 0, 1), 6, if(ISBLANK('2025'!$T270), 0, 1), 7, 0))), 1, "")</f>
        <v/>
      </c>
      <c r="AK272" s="1" t="str">
        <f>IF(AND(AND(AND(AK$4&gt;='2025'!$L270,AK$4&lt;='2025'!$M270), AK$4&lt;&gt;DATE(2025,7,4)), (SWITCH(weekday(AK$4), 1, 0, 2, if(ISBLANK('2025'!$P270), 0, 1), 3, if(ISBLANK('2025'!$Q270), 0, 1), 4, if(ISBLANK('2025'!$R270), 0, 1), 5, if(ISBLANK('2025'!$S270), 0, 1), 6, if(ISBLANK('2025'!$T270), 0, 1), 7, 0))), 1, "")</f>
        <v/>
      </c>
      <c r="AL272" s="1" t="str">
        <f>IF(AND(AND(AND(AL$4&gt;='2025'!$L270,AL$4&lt;='2025'!$M270), AL$4&lt;&gt;DATE(2025,7,4)), (SWITCH(weekday(AL$4), 1, 0, 2, if(ISBLANK('2025'!$P270), 0, 1), 3, if(ISBLANK('2025'!$Q270), 0, 1), 4, if(ISBLANK('2025'!$R270), 0, 1), 5, if(ISBLANK('2025'!$S270), 0, 1), 6, if(ISBLANK('2025'!$T270), 0, 1), 7, 0))), 1, "")</f>
        <v/>
      </c>
      <c r="AM272" s="1" t="str">
        <f>IF(AND(AND(AND(AM$4&gt;='2025'!$L270,AM$4&lt;='2025'!$M270), AM$4&lt;&gt;DATE(2025,7,4)), (SWITCH(weekday(AM$4), 1, 0, 2, if(ISBLANK('2025'!$P270), 0, 1), 3, if(ISBLANK('2025'!$Q270), 0, 1), 4, if(ISBLANK('2025'!$R270), 0, 1), 5, if(ISBLANK('2025'!$S270), 0, 1), 6, if(ISBLANK('2025'!$T270), 0, 1), 7, 0))), 1, "")</f>
        <v/>
      </c>
      <c r="AN272" s="1" t="str">
        <f>IF(AND(AND(AND(AN$4&gt;='2025'!$L270,AN$4&lt;='2025'!$M270), AN$4&lt;&gt;DATE(2025,7,4)), (SWITCH(weekday(AN$4), 1, 0, 2, if(ISBLANK('2025'!$P270), 0, 1), 3, if(ISBLANK('2025'!$Q270), 0, 1), 4, if(ISBLANK('2025'!$R270), 0, 1), 5, if(ISBLANK('2025'!$S270), 0, 1), 6, if(ISBLANK('2025'!$T270), 0, 1), 7, 0))), 1, "")</f>
        <v/>
      </c>
      <c r="AO272" s="1" t="str">
        <f>IF(AND(AND(AND(AO$4&gt;='2025'!$L270,AO$4&lt;='2025'!$M270), AO$4&lt;&gt;DATE(2025,7,4)), (SWITCH(weekday(AO$4), 1, 0, 2, if(ISBLANK('2025'!$P270), 0, 1), 3, if(ISBLANK('2025'!$Q270), 0, 1), 4, if(ISBLANK('2025'!$R270), 0, 1), 5, if(ISBLANK('2025'!$S270), 0, 1), 6, if(ISBLANK('2025'!$T270), 0, 1), 7, 0))), 1, "")</f>
        <v/>
      </c>
      <c r="AP272" s="1" t="str">
        <f>IF(AND(AND(AND(AP$4&gt;='2025'!$L270,AP$4&lt;='2025'!$M270), AP$4&lt;&gt;DATE(2025,7,4)), (SWITCH(weekday(AP$4), 1, 0, 2, if(ISBLANK('2025'!$P270), 0, 1), 3, if(ISBLANK('2025'!$Q270), 0, 1), 4, if(ISBLANK('2025'!$R270), 0, 1), 5, if(ISBLANK('2025'!$S270), 0, 1), 6, if(ISBLANK('2025'!$T270), 0, 1), 7, 0))), 1, "")</f>
        <v/>
      </c>
      <c r="AQ272" s="1" t="str">
        <f>IF(AND(AND(AND(AQ$4&gt;='2025'!$L270,AQ$4&lt;='2025'!$M270), AQ$4&lt;&gt;DATE(2025,7,4)), (SWITCH(weekday(AQ$4), 1, 0, 2, if(ISBLANK('2025'!$P270), 0, 1), 3, if(ISBLANK('2025'!$Q270), 0, 1), 4, if(ISBLANK('2025'!$R270), 0, 1), 5, if(ISBLANK('2025'!$S270), 0, 1), 6, if(ISBLANK('2025'!$T270), 0, 1), 7, 0))), 1, "")</f>
        <v/>
      </c>
      <c r="AR272" s="1" t="str">
        <f>IF(AND(AND(AND(AR$4&gt;='2025'!$L270,AR$4&lt;='2025'!$M270), AR$4&lt;&gt;DATE(2025,7,4)), (SWITCH(weekday(AR$4), 1, 0, 2, if(ISBLANK('2025'!$P270), 0, 1), 3, if(ISBLANK('2025'!$Q270), 0, 1), 4, if(ISBLANK('2025'!$R270), 0, 1), 5, if(ISBLANK('2025'!$S270), 0, 1), 6, if(ISBLANK('2025'!$T270), 0, 1), 7, 0))), 1, "")</f>
        <v/>
      </c>
      <c r="AS272" s="1" t="str">
        <f>IF(AND(AND(AND(AS$4&gt;='2025'!$L270,AS$4&lt;='2025'!$M270), AS$4&lt;&gt;DATE(2025,7,4)), (SWITCH(weekday(AS$4), 1, 0, 2, if(ISBLANK('2025'!$P270), 0, 1), 3, if(ISBLANK('2025'!$Q270), 0, 1), 4, if(ISBLANK('2025'!$R270), 0, 1), 5, if(ISBLANK('2025'!$S270), 0, 1), 6, if(ISBLANK('2025'!$T270), 0, 1), 7, 0))), 1, "")</f>
        <v/>
      </c>
      <c r="AT272" s="1" t="str">
        <f>IF(AND(AND(AND(AT$4&gt;='2025'!$L270,AT$4&lt;='2025'!$M270), AT$4&lt;&gt;DATE(2025,7,4)), (SWITCH(weekday(AT$4), 1, 0, 2, if(ISBLANK('2025'!$P270), 0, 1), 3, if(ISBLANK('2025'!$Q270), 0, 1), 4, if(ISBLANK('2025'!$R270), 0, 1), 5, if(ISBLANK('2025'!$S270), 0, 1), 6, if(ISBLANK('2025'!$T270), 0, 1), 7, 0))), 1, "")</f>
        <v/>
      </c>
      <c r="AU272" s="1" t="str">
        <f>IF(AND(AND(AND(AU$4&gt;='2025'!$L270,AU$4&lt;='2025'!$M270), AU$4&lt;&gt;DATE(2025,7,4)), (SWITCH(weekday(AU$4), 1, 0, 2, if(ISBLANK('2025'!$P270), 0, 1), 3, if(ISBLANK('2025'!$Q270), 0, 1), 4, if(ISBLANK('2025'!$R270), 0, 1), 5, if(ISBLANK('2025'!$S270), 0, 1), 6, if(ISBLANK('2025'!$T270), 0, 1), 7, 0))), 1, "")</f>
        <v/>
      </c>
      <c r="AV272" s="1" t="str">
        <f>IF(AND(AND(AND(AV$4&gt;='2025'!$L270,AV$4&lt;='2025'!$M270), AV$4&lt;&gt;DATE(2025,7,4)), (SWITCH(weekday(AV$4), 1, 0, 2, if(ISBLANK('2025'!$P270), 0, 1), 3, if(ISBLANK('2025'!$Q270), 0, 1), 4, if(ISBLANK('2025'!$R270), 0, 1), 5, if(ISBLANK('2025'!$S270), 0, 1), 6, if(ISBLANK('2025'!$T270), 0, 1), 7, 0))), 1, "")</f>
        <v/>
      </c>
      <c r="AW272" s="1" t="str">
        <f>IF(AND(AND(AND(AW$4&gt;='2025'!$L270,AW$4&lt;='2025'!$M270), AW$4&lt;&gt;DATE(2025,7,4)), (SWITCH(weekday(AW$4), 1, 0, 2, if(ISBLANK('2025'!$P270), 0, 1), 3, if(ISBLANK('2025'!$Q270), 0, 1), 4, if(ISBLANK('2025'!$R270), 0, 1), 5, if(ISBLANK('2025'!$S270), 0, 1), 6, if(ISBLANK('2025'!$T270), 0, 1), 7, 0))), 1, "")</f>
        <v/>
      </c>
      <c r="AX272" s="1" t="str">
        <f>IF(AND(AND(AND(AX$4&gt;='2025'!$L270,AX$4&lt;='2025'!$M270), AX$4&lt;&gt;DATE(2025,7,4)), (SWITCH(weekday(AX$4), 1, 0, 2, if(ISBLANK('2025'!$P270), 0, 1), 3, if(ISBLANK('2025'!$Q270), 0, 1), 4, if(ISBLANK('2025'!$R270), 0, 1), 5, if(ISBLANK('2025'!$S270), 0, 1), 6, if(ISBLANK('2025'!$T270), 0, 1), 7, 0))), 1, "")</f>
        <v/>
      </c>
      <c r="AY272" s="1" t="str">
        <f>IF(AND(AND(AND(AY$4&gt;='2025'!$L270,AY$4&lt;='2025'!$M270), AY$4&lt;&gt;DATE(2025,7,4)), (SWITCH(weekday(AY$4), 1, 0, 2, if(ISBLANK('2025'!$P270), 0, 1), 3, if(ISBLANK('2025'!$Q270), 0, 1), 4, if(ISBLANK('2025'!$R270), 0, 1), 5, if(ISBLANK('2025'!$S270), 0, 1), 6, if(ISBLANK('2025'!$T270), 0, 1), 7, 0))), 1, "")</f>
        <v/>
      </c>
      <c r="AZ272" s="1" t="str">
        <f>IF(AND(AND(AND(AZ$4&gt;='2025'!$L270,AZ$4&lt;='2025'!$M270), AZ$4&lt;&gt;DATE(2025,7,4)), (SWITCH(weekday(AZ$4), 1, 0, 2, if(ISBLANK('2025'!$P270), 0, 1), 3, if(ISBLANK('2025'!$Q270), 0, 1), 4, if(ISBLANK('2025'!$R270), 0, 1), 5, if(ISBLANK('2025'!$S270), 0, 1), 6, if(ISBLANK('2025'!$T270), 0, 1), 7, 0))), 1, "")</f>
        <v/>
      </c>
      <c r="BA272" s="1" t="str">
        <f>IF(AND(AND(AND(BA$4&gt;='2025'!$L270,BA$4&lt;='2025'!$M270), BA$4&lt;&gt;DATE(2025,7,4)), (SWITCH(weekday(BA$4), 1, 0, 2, if(ISBLANK('2025'!$P270), 0, 1), 3, if(ISBLANK('2025'!$Q270), 0, 1), 4, if(ISBLANK('2025'!$R270), 0, 1), 5, if(ISBLANK('2025'!$S270), 0, 1), 6, if(ISBLANK('2025'!$T270), 0, 1), 7, 0))), 1, "")</f>
        <v/>
      </c>
      <c r="BB272" s="1" t="str">
        <f>IF(AND(AND(AND(BB$4&gt;='2025'!$L270,BB$4&lt;='2025'!$M270), BB$4&lt;&gt;DATE(2025,7,4)), (SWITCH(weekday(BB$4), 1, 0, 2, if(ISBLANK('2025'!$P270), 0, 1), 3, if(ISBLANK('2025'!$Q270), 0, 1), 4, if(ISBLANK('2025'!$R270), 0, 1), 5, if(ISBLANK('2025'!$S270), 0, 1), 6, if(ISBLANK('2025'!$T270), 0, 1), 7, 0))), 1, "")</f>
        <v/>
      </c>
      <c r="BC272" s="1" t="str">
        <f>IF(AND(AND(AND(BC$4&gt;='2025'!$L270,BC$4&lt;='2025'!$M270), BC$4&lt;&gt;DATE(2025,7,4)), (SWITCH(weekday(BC$4), 1, 0, 2, if(ISBLANK('2025'!$P270), 0, 1), 3, if(ISBLANK('2025'!$Q270), 0, 1), 4, if(ISBLANK('2025'!$R270), 0, 1), 5, if(ISBLANK('2025'!$S270), 0, 1), 6, if(ISBLANK('2025'!$T270), 0, 1), 7, 0))), 1, "")</f>
        <v/>
      </c>
      <c r="BD272" s="1" t="str">
        <f>IF(AND(AND(AND(BD$4&gt;='2025'!$L270,BD$4&lt;='2025'!$M270), BD$4&lt;&gt;DATE(2025,7,4)), (SWITCH(weekday(BD$4), 1, 0, 2, if(ISBLANK('2025'!$P270), 0, 1), 3, if(ISBLANK('2025'!$Q270), 0, 1), 4, if(ISBLANK('2025'!$R270), 0, 1), 5, if(ISBLANK('2025'!$S270), 0, 1), 6, if(ISBLANK('2025'!$T270), 0, 1), 7, 0))), 1, "")</f>
        <v/>
      </c>
      <c r="BE272" s="1" t="str">
        <f>IF(AND(AND(AND(BE$4&gt;='2025'!$L270,BE$4&lt;='2025'!$M270), BE$4&lt;&gt;DATE(2025,7,4)), (SWITCH(weekday(BE$4), 1, 0, 2, if(ISBLANK('2025'!$P270), 0, 1), 3, if(ISBLANK('2025'!$Q270), 0, 1), 4, if(ISBLANK('2025'!$R270), 0, 1), 5, if(ISBLANK('2025'!$S270), 0, 1), 6, if(ISBLANK('2025'!$T270), 0, 1), 7, 0))), 1, "")</f>
        <v/>
      </c>
      <c r="BF272" s="1" t="str">
        <f>IF(AND(AND(AND(BF$4&gt;='2025'!$L270,BF$4&lt;='2025'!$M270), BF$4&lt;&gt;DATE(2025,7,4)), (SWITCH(weekday(BF$4), 1, 0, 2, if(ISBLANK('2025'!$P270), 0, 1), 3, if(ISBLANK('2025'!$Q270), 0, 1), 4, if(ISBLANK('2025'!$R270), 0, 1), 5, if(ISBLANK('2025'!$S270), 0, 1), 6, if(ISBLANK('2025'!$T270), 0, 1), 7, 0))), 1, "")</f>
        <v/>
      </c>
      <c r="BG272" s="1"/>
      <c r="BH272" s="1"/>
      <c r="BI272" s="1"/>
      <c r="BJ272" s="1"/>
      <c r="BK272" s="1"/>
      <c r="BL272" s="1"/>
    </row>
    <row r="273">
      <c r="A273" s="1">
        <f t="shared" si="3"/>
        <v>273</v>
      </c>
      <c r="B273" s="1" t="str">
        <f>'2025'!D237</f>
        <v>, </v>
      </c>
      <c r="C273" s="1" t="str">
        <f>'2025'!H237</f>
        <v/>
      </c>
      <c r="D273" s="1" t="str">
        <f>IF(AND(AND(AND(D$4&gt;='2025'!$L271,D$4&lt;='2025'!$M271), D$4&lt;&gt;DATE(2025,7,4)), (SWITCH(weekday(D$4), 1, 0, 2, if(ISBLANK('2025'!$P271), 0, 1), 3, if(ISBLANK('2025'!$Q271), 0, 1), 4, if(ISBLANK('2025'!$R271), 0, 1), 5, if(ISBLANK('2025'!$S271), 0, 1), 6, if(ISBLANK('2025'!$T271), 0, 1), 7, 0))), 1, "")</f>
        <v/>
      </c>
      <c r="E273" s="1" t="str">
        <f>IF(AND(AND(AND(E$4&gt;='2025'!$L271,E$4&lt;='2025'!$M271), E$4&lt;&gt;DATE(2025,7,4)), (SWITCH(weekday(E$4), 1, 0, 2, if(ISBLANK('2025'!$P271), 0, 1), 3, if(ISBLANK('2025'!$Q271), 0, 1), 4, if(ISBLANK('2025'!$R271), 0, 1), 5, if(ISBLANK('2025'!$S271), 0, 1), 6, if(ISBLANK('2025'!$T271), 0, 1), 7, 0))), 1, "")</f>
        <v/>
      </c>
      <c r="F273" s="1" t="str">
        <f>IF(AND(AND(AND(F$4&gt;='2025'!$L271,F$4&lt;='2025'!$M271), F$4&lt;&gt;DATE(2025,7,4)), (SWITCH(weekday(F$4), 1, 0, 2, if(ISBLANK('2025'!$P271), 0, 1), 3, if(ISBLANK('2025'!$Q271), 0, 1), 4, if(ISBLANK('2025'!$R271), 0, 1), 5, if(ISBLANK('2025'!$S271), 0, 1), 6, if(ISBLANK('2025'!$T271), 0, 1), 7, 0))), 1, "")</f>
        <v/>
      </c>
      <c r="G273" s="1" t="str">
        <f>IF(AND(AND(AND(G$4&gt;='2025'!$L271,G$4&lt;='2025'!$M271), G$4&lt;&gt;DATE(2025,7,4)), (SWITCH(weekday(G$4), 1, 0, 2, if(ISBLANK('2025'!$P271), 0, 1), 3, if(ISBLANK('2025'!$Q271), 0, 1), 4, if(ISBLANK('2025'!$R271), 0, 1), 5, if(ISBLANK('2025'!$S271), 0, 1), 6, if(ISBLANK('2025'!$T271), 0, 1), 7, 0))), 1, "")</f>
        <v/>
      </c>
      <c r="H273" s="1" t="str">
        <f>IF(AND(AND(AND(H$4&gt;='2025'!$L271,H$4&lt;='2025'!$M271), H$4&lt;&gt;DATE(2025,7,4)), (SWITCH(weekday(H$4), 1, 0, 2, if(ISBLANK('2025'!$P271), 0, 1), 3, if(ISBLANK('2025'!$Q271), 0, 1), 4, if(ISBLANK('2025'!$R271), 0, 1), 5, if(ISBLANK('2025'!$S271), 0, 1), 6, if(ISBLANK('2025'!$T271), 0, 1), 7, 0))), 1, "")</f>
        <v/>
      </c>
      <c r="I273" s="1" t="str">
        <f>IF(AND(AND(AND(I$4&gt;='2025'!$L271,I$4&lt;='2025'!$M271), I$4&lt;&gt;DATE(2025,7,4)), (SWITCH(weekday(I$4), 1, 0, 2, if(ISBLANK('2025'!$P271), 0, 1), 3, if(ISBLANK('2025'!$Q271), 0, 1), 4, if(ISBLANK('2025'!$R271), 0, 1), 5, if(ISBLANK('2025'!$S271), 0, 1), 6, if(ISBLANK('2025'!$T271), 0, 1), 7, 0))), 1, "")</f>
        <v/>
      </c>
      <c r="J273" s="1" t="str">
        <f>IF(AND(AND(AND(J$4&gt;='2025'!$L271,J$4&lt;='2025'!$M271), J$4&lt;&gt;DATE(2025,7,4)), (SWITCH(weekday(J$4), 1, 0, 2, if(ISBLANK('2025'!$P271), 0, 1), 3, if(ISBLANK('2025'!$Q271), 0, 1), 4, if(ISBLANK('2025'!$R271), 0, 1), 5, if(ISBLANK('2025'!$S271), 0, 1), 6, if(ISBLANK('2025'!$T271), 0, 1), 7, 0))), 1, "")</f>
        <v/>
      </c>
      <c r="K273" s="1" t="str">
        <f>IF(AND(AND(AND(K$4&gt;='2025'!$L271,K$4&lt;='2025'!$M271), K$4&lt;&gt;DATE(2025,7,4)), (SWITCH(weekday(K$4), 1, 0, 2, if(ISBLANK('2025'!$P271), 0, 1), 3, if(ISBLANK('2025'!$Q271), 0, 1), 4, if(ISBLANK('2025'!$R271), 0, 1), 5, if(ISBLANK('2025'!$S271), 0, 1), 6, if(ISBLANK('2025'!$T271), 0, 1), 7, 0))), 1, "")</f>
        <v/>
      </c>
      <c r="L273" s="1" t="str">
        <f>IF(AND(AND(AND(L$4&gt;='2025'!$L271,L$4&lt;='2025'!$M271), L$4&lt;&gt;DATE(2025,7,4)), (SWITCH(weekday(L$4), 1, 0, 2, if(ISBLANK('2025'!$P271), 0, 1), 3, if(ISBLANK('2025'!$Q271), 0, 1), 4, if(ISBLANK('2025'!$R271), 0, 1), 5, if(ISBLANK('2025'!$S271), 0, 1), 6, if(ISBLANK('2025'!$T271), 0, 1), 7, 0))), 1, "")</f>
        <v/>
      </c>
      <c r="M273" s="1" t="str">
        <f>IF(AND(AND(AND(M$4&gt;='2025'!$L271,M$4&lt;='2025'!$M271), M$4&lt;&gt;DATE(2025,7,4)), (SWITCH(weekday(M$4), 1, 0, 2, if(ISBLANK('2025'!$P271), 0, 1), 3, if(ISBLANK('2025'!$Q271), 0, 1), 4, if(ISBLANK('2025'!$R271), 0, 1), 5, if(ISBLANK('2025'!$S271), 0, 1), 6, if(ISBLANK('2025'!$T271), 0, 1), 7, 0))), 1, "")</f>
        <v/>
      </c>
      <c r="N273" s="1" t="str">
        <f>IF(AND(AND(AND(N$4&gt;='2025'!$L271,N$4&lt;='2025'!$M271), N$4&lt;&gt;DATE(2025,7,4)), (SWITCH(weekday(N$4), 1, 0, 2, if(ISBLANK('2025'!$P271), 0, 1), 3, if(ISBLANK('2025'!$Q271), 0, 1), 4, if(ISBLANK('2025'!$R271), 0, 1), 5, if(ISBLANK('2025'!$S271), 0, 1), 6, if(ISBLANK('2025'!$T271), 0, 1), 7, 0))), 1, "")</f>
        <v/>
      </c>
      <c r="O273" s="1" t="str">
        <f>IF(AND(AND(AND(O$4&gt;='2025'!$L271,O$4&lt;='2025'!$M271), O$4&lt;&gt;DATE(2025,7,4)), (SWITCH(weekday(O$4), 1, 0, 2, if(ISBLANK('2025'!$P271), 0, 1), 3, if(ISBLANK('2025'!$Q271), 0, 1), 4, if(ISBLANK('2025'!$R271), 0, 1), 5, if(ISBLANK('2025'!$S271), 0, 1), 6, if(ISBLANK('2025'!$T271), 0, 1), 7, 0))), 1, "")</f>
        <v/>
      </c>
      <c r="P273" s="1" t="str">
        <f>IF(AND(AND(AND(P$4&gt;='2025'!$L271,P$4&lt;='2025'!$M271), P$4&lt;&gt;DATE(2025,7,4)), (SWITCH(weekday(P$4), 1, 0, 2, if(ISBLANK('2025'!$P271), 0, 1), 3, if(ISBLANK('2025'!$Q271), 0, 1), 4, if(ISBLANK('2025'!$R271), 0, 1), 5, if(ISBLANK('2025'!$S271), 0, 1), 6, if(ISBLANK('2025'!$T271), 0, 1), 7, 0))), 1, "")</f>
        <v/>
      </c>
      <c r="Q273" s="1" t="str">
        <f>IF(AND(AND(AND(Q$4&gt;='2025'!$L271,Q$4&lt;='2025'!$M271), Q$4&lt;&gt;DATE(2025,7,4)), (SWITCH(weekday(Q$4), 1, 0, 2, if(ISBLANK('2025'!$P271), 0, 1), 3, if(ISBLANK('2025'!$Q271), 0, 1), 4, if(ISBLANK('2025'!$R271), 0, 1), 5, if(ISBLANK('2025'!$S271), 0, 1), 6, if(ISBLANK('2025'!$T271), 0, 1), 7, 0))), 1, "")</f>
        <v/>
      </c>
      <c r="R273" s="1" t="str">
        <f>IF(AND(AND(AND(R$4&gt;='2025'!$L271,R$4&lt;='2025'!$M271), R$4&lt;&gt;DATE(2025,7,4)), (SWITCH(weekday(R$4), 1, 0, 2, if(ISBLANK('2025'!$P271), 0, 1), 3, if(ISBLANK('2025'!$Q271), 0, 1), 4, if(ISBLANK('2025'!$R271), 0, 1), 5, if(ISBLANK('2025'!$S271), 0, 1), 6, if(ISBLANK('2025'!$T271), 0, 1), 7, 0))), 1, "")</f>
        <v/>
      </c>
      <c r="S273" s="1" t="str">
        <f>IF(AND(AND(AND(S$4&gt;='2025'!$L271,S$4&lt;='2025'!$M271), S$4&lt;&gt;DATE(2025,7,4)), (SWITCH(weekday(S$4), 1, 0, 2, if(ISBLANK('2025'!$P271), 0, 1), 3, if(ISBLANK('2025'!$Q271), 0, 1), 4, if(ISBLANK('2025'!$R271), 0, 1), 5, if(ISBLANK('2025'!$S271), 0, 1), 6, if(ISBLANK('2025'!$T271), 0, 1), 7, 0))), 1, "")</f>
        <v/>
      </c>
      <c r="T273" s="1" t="str">
        <f>IF(AND(AND(AND(T$4&gt;='2025'!$L271,T$4&lt;='2025'!$M271), T$4&lt;&gt;DATE(2025,7,4)), (SWITCH(weekday(T$4), 1, 0, 2, if(ISBLANK('2025'!$P271), 0, 1), 3, if(ISBLANK('2025'!$Q271), 0, 1), 4, if(ISBLANK('2025'!$R271), 0, 1), 5, if(ISBLANK('2025'!$S271), 0, 1), 6, if(ISBLANK('2025'!$T271), 0, 1), 7, 0))), 1, "")</f>
        <v/>
      </c>
      <c r="U273" s="1" t="str">
        <f>IF(AND(AND(AND(U$4&gt;='2025'!$L271,U$4&lt;='2025'!$M271), U$4&lt;&gt;DATE(2025,7,4)), (SWITCH(weekday(U$4), 1, 0, 2, if(ISBLANK('2025'!$P271), 0, 1), 3, if(ISBLANK('2025'!$Q271), 0, 1), 4, if(ISBLANK('2025'!$R271), 0, 1), 5, if(ISBLANK('2025'!$S271), 0, 1), 6, if(ISBLANK('2025'!$T271), 0, 1), 7, 0))), 1, "")</f>
        <v/>
      </c>
      <c r="V273" s="1" t="str">
        <f>IF(AND(AND(AND(V$4&gt;='2025'!$L271,V$4&lt;='2025'!$M271), V$4&lt;&gt;DATE(2025,7,4)), (SWITCH(weekday(V$4), 1, 0, 2, if(ISBLANK('2025'!$P271), 0, 1), 3, if(ISBLANK('2025'!$Q271), 0, 1), 4, if(ISBLANK('2025'!$R271), 0, 1), 5, if(ISBLANK('2025'!$S271), 0, 1), 6, if(ISBLANK('2025'!$T271), 0, 1), 7, 0))), 1, "")</f>
        <v/>
      </c>
      <c r="W273" s="1" t="str">
        <f>IF(AND(AND(AND(W$4&gt;='2025'!$L271,W$4&lt;='2025'!$M271), W$4&lt;&gt;DATE(2025,7,4)), (SWITCH(weekday(W$4), 1, 0, 2, if(ISBLANK('2025'!$P271), 0, 1), 3, if(ISBLANK('2025'!$Q271), 0, 1), 4, if(ISBLANK('2025'!$R271), 0, 1), 5, if(ISBLANK('2025'!$S271), 0, 1), 6, if(ISBLANK('2025'!$T271), 0, 1), 7, 0))), 1, "")</f>
        <v/>
      </c>
      <c r="X273" s="1" t="str">
        <f>IF(AND(AND(AND(X$4&gt;='2025'!$L271,X$4&lt;='2025'!$M271), X$4&lt;&gt;DATE(2025,7,4)), (SWITCH(weekday(X$4), 1, 0, 2, if(ISBLANK('2025'!$P271), 0, 1), 3, if(ISBLANK('2025'!$Q271), 0, 1), 4, if(ISBLANK('2025'!$R271), 0, 1), 5, if(ISBLANK('2025'!$S271), 0, 1), 6, if(ISBLANK('2025'!$T271), 0, 1), 7, 0))), 1, "")</f>
        <v/>
      </c>
      <c r="Y273" s="1" t="str">
        <f>IF(AND(AND(AND(Y$4&gt;='2025'!$L271,Y$4&lt;='2025'!$M271), Y$4&lt;&gt;DATE(2025,7,4)), (SWITCH(weekday(Y$4), 1, 0, 2, if(ISBLANK('2025'!$P271), 0, 1), 3, if(ISBLANK('2025'!$Q271), 0, 1), 4, if(ISBLANK('2025'!$R271), 0, 1), 5, if(ISBLANK('2025'!$S271), 0, 1), 6, if(ISBLANK('2025'!$T271), 0, 1), 7, 0))), 1, "")</f>
        <v/>
      </c>
      <c r="Z273" s="1" t="str">
        <f>IF(AND(AND(AND(Z$4&gt;='2025'!$L271,Z$4&lt;='2025'!$M271), Z$4&lt;&gt;DATE(2025,7,4)), (SWITCH(weekday(Z$4), 1, 0, 2, if(ISBLANK('2025'!$P271), 0, 1), 3, if(ISBLANK('2025'!$Q271), 0, 1), 4, if(ISBLANK('2025'!$R271), 0, 1), 5, if(ISBLANK('2025'!$S271), 0, 1), 6, if(ISBLANK('2025'!$T271), 0, 1), 7, 0))), 1, "")</f>
        <v/>
      </c>
      <c r="AA273" s="1" t="str">
        <f>IF(AND(AND(AND(AA$4&gt;='2025'!$L271,AA$4&lt;='2025'!$M271), AA$4&lt;&gt;DATE(2025,7,4)), (SWITCH(weekday(AA$4), 1, 0, 2, if(ISBLANK('2025'!$P271), 0, 1), 3, if(ISBLANK('2025'!$Q271), 0, 1), 4, if(ISBLANK('2025'!$R271), 0, 1), 5, if(ISBLANK('2025'!$S271), 0, 1), 6, if(ISBLANK('2025'!$T271), 0, 1), 7, 0))), 1, "")</f>
        <v/>
      </c>
      <c r="AB273" s="1" t="str">
        <f>IF(AND(AND(AND(AB$4&gt;='2025'!$L271,AB$4&lt;='2025'!$M271), AB$4&lt;&gt;DATE(2025,7,4)), (SWITCH(weekday(AB$4), 1, 0, 2, if(ISBLANK('2025'!$P271), 0, 1), 3, if(ISBLANK('2025'!$Q271), 0, 1), 4, if(ISBLANK('2025'!$R271), 0, 1), 5, if(ISBLANK('2025'!$S271), 0, 1), 6, if(ISBLANK('2025'!$T271), 0, 1), 7, 0))), 1, "")</f>
        <v/>
      </c>
      <c r="AC273" s="1" t="str">
        <f>IF(AND(AND(AND(AC$4&gt;='2025'!$L271,AC$4&lt;='2025'!$M271), AC$4&lt;&gt;DATE(2025,7,4)), (SWITCH(weekday(AC$4), 1, 0, 2, if(ISBLANK('2025'!$P271), 0, 1), 3, if(ISBLANK('2025'!$Q271), 0, 1), 4, if(ISBLANK('2025'!$R271), 0, 1), 5, if(ISBLANK('2025'!$S271), 0, 1), 6, if(ISBLANK('2025'!$T271), 0, 1), 7, 0))), 1, "")</f>
        <v/>
      </c>
      <c r="AD273" s="1" t="str">
        <f>IF(AND(AND(AND(AD$4&gt;='2025'!$L271,AD$4&lt;='2025'!$M271), AD$4&lt;&gt;DATE(2025,7,4)), (SWITCH(weekday(AD$4), 1, 0, 2, if(ISBLANK('2025'!$P271), 0, 1), 3, if(ISBLANK('2025'!$Q271), 0, 1), 4, if(ISBLANK('2025'!$R271), 0, 1), 5, if(ISBLANK('2025'!$S271), 0, 1), 6, if(ISBLANK('2025'!$T271), 0, 1), 7, 0))), 1, "")</f>
        <v/>
      </c>
      <c r="AE273" s="1" t="str">
        <f>IF(AND(AND(AND(AE$4&gt;='2025'!$L271,AE$4&lt;='2025'!$M271), AE$4&lt;&gt;DATE(2025,7,4)), (SWITCH(weekday(AE$4), 1, 0, 2, if(ISBLANK('2025'!$P271), 0, 1), 3, if(ISBLANK('2025'!$Q271), 0, 1), 4, if(ISBLANK('2025'!$R271), 0, 1), 5, if(ISBLANK('2025'!$S271), 0, 1), 6, if(ISBLANK('2025'!$T271), 0, 1), 7, 0))), 1, "")</f>
        <v/>
      </c>
      <c r="AF273" s="1" t="str">
        <f>IF(AND(AND(AND(AF$4&gt;='2025'!$L271,AF$4&lt;='2025'!$M271), AF$4&lt;&gt;DATE(2025,7,4)), (SWITCH(weekday(AF$4), 1, 0, 2, if(ISBLANK('2025'!$P271), 0, 1), 3, if(ISBLANK('2025'!$Q271), 0, 1), 4, if(ISBLANK('2025'!$R271), 0, 1), 5, if(ISBLANK('2025'!$S271), 0, 1), 6, if(ISBLANK('2025'!$T271), 0, 1), 7, 0))), 1, "")</f>
        <v/>
      </c>
      <c r="AG273" s="1" t="str">
        <f>IF(AND(AND(AND(AG$4&gt;='2025'!$L271,AG$4&lt;='2025'!$M271), AG$4&lt;&gt;DATE(2025,7,4)), (SWITCH(weekday(AG$4), 1, 0, 2, if(ISBLANK('2025'!$P271), 0, 1), 3, if(ISBLANK('2025'!$Q271), 0, 1), 4, if(ISBLANK('2025'!$R271), 0, 1), 5, if(ISBLANK('2025'!$S271), 0, 1), 6, if(ISBLANK('2025'!$T271), 0, 1), 7, 0))), 1, "")</f>
        <v/>
      </c>
      <c r="AH273" s="1" t="str">
        <f>IF(AND(AND(AND(AH$4&gt;='2025'!$L271,AH$4&lt;='2025'!$M271), AH$4&lt;&gt;DATE(2025,7,4)), (SWITCH(weekday(AH$4), 1, 0, 2, if(ISBLANK('2025'!$P271), 0, 1), 3, if(ISBLANK('2025'!$Q271), 0, 1), 4, if(ISBLANK('2025'!$R271), 0, 1), 5, if(ISBLANK('2025'!$S271), 0, 1), 6, if(ISBLANK('2025'!$T271), 0, 1), 7, 0))), 1, "")</f>
        <v/>
      </c>
      <c r="AI273" s="1" t="str">
        <f>IF(AND(AND(AND(AI$4&gt;='2025'!$L271,AI$4&lt;='2025'!$M271), AI$4&lt;&gt;DATE(2025,7,4)), (SWITCH(weekday(AI$4), 1, 0, 2, if(ISBLANK('2025'!$P271), 0, 1), 3, if(ISBLANK('2025'!$Q271), 0, 1), 4, if(ISBLANK('2025'!$R271), 0, 1), 5, if(ISBLANK('2025'!$S271), 0, 1), 6, if(ISBLANK('2025'!$T271), 0, 1), 7, 0))), 1, "")</f>
        <v/>
      </c>
      <c r="AJ273" s="1" t="str">
        <f>IF(AND(AND(AND(AJ$4&gt;='2025'!$L271,AJ$4&lt;='2025'!$M271), AJ$4&lt;&gt;DATE(2025,7,4)), (SWITCH(weekday(AJ$4), 1, 0, 2, if(ISBLANK('2025'!$P271), 0, 1), 3, if(ISBLANK('2025'!$Q271), 0, 1), 4, if(ISBLANK('2025'!$R271), 0, 1), 5, if(ISBLANK('2025'!$S271), 0, 1), 6, if(ISBLANK('2025'!$T271), 0, 1), 7, 0))), 1, "")</f>
        <v/>
      </c>
      <c r="AK273" s="1" t="str">
        <f>IF(AND(AND(AND(AK$4&gt;='2025'!$L271,AK$4&lt;='2025'!$M271), AK$4&lt;&gt;DATE(2025,7,4)), (SWITCH(weekday(AK$4), 1, 0, 2, if(ISBLANK('2025'!$P271), 0, 1), 3, if(ISBLANK('2025'!$Q271), 0, 1), 4, if(ISBLANK('2025'!$R271), 0, 1), 5, if(ISBLANK('2025'!$S271), 0, 1), 6, if(ISBLANK('2025'!$T271), 0, 1), 7, 0))), 1, "")</f>
        <v/>
      </c>
      <c r="AL273" s="1" t="str">
        <f>IF(AND(AND(AND(AL$4&gt;='2025'!$L271,AL$4&lt;='2025'!$M271), AL$4&lt;&gt;DATE(2025,7,4)), (SWITCH(weekday(AL$4), 1, 0, 2, if(ISBLANK('2025'!$P271), 0, 1), 3, if(ISBLANK('2025'!$Q271), 0, 1), 4, if(ISBLANK('2025'!$R271), 0, 1), 5, if(ISBLANK('2025'!$S271), 0, 1), 6, if(ISBLANK('2025'!$T271), 0, 1), 7, 0))), 1, "")</f>
        <v/>
      </c>
      <c r="AM273" s="1" t="str">
        <f>IF(AND(AND(AND(AM$4&gt;='2025'!$L271,AM$4&lt;='2025'!$M271), AM$4&lt;&gt;DATE(2025,7,4)), (SWITCH(weekday(AM$4), 1, 0, 2, if(ISBLANK('2025'!$P271), 0, 1), 3, if(ISBLANK('2025'!$Q271), 0, 1), 4, if(ISBLANK('2025'!$R271), 0, 1), 5, if(ISBLANK('2025'!$S271), 0, 1), 6, if(ISBLANK('2025'!$T271), 0, 1), 7, 0))), 1, "")</f>
        <v/>
      </c>
      <c r="AN273" s="1" t="str">
        <f>IF(AND(AND(AND(AN$4&gt;='2025'!$L271,AN$4&lt;='2025'!$M271), AN$4&lt;&gt;DATE(2025,7,4)), (SWITCH(weekday(AN$4), 1, 0, 2, if(ISBLANK('2025'!$P271), 0, 1), 3, if(ISBLANK('2025'!$Q271), 0, 1), 4, if(ISBLANK('2025'!$R271), 0, 1), 5, if(ISBLANK('2025'!$S271), 0, 1), 6, if(ISBLANK('2025'!$T271), 0, 1), 7, 0))), 1, "")</f>
        <v/>
      </c>
      <c r="AO273" s="1" t="str">
        <f>IF(AND(AND(AND(AO$4&gt;='2025'!$L271,AO$4&lt;='2025'!$M271), AO$4&lt;&gt;DATE(2025,7,4)), (SWITCH(weekday(AO$4), 1, 0, 2, if(ISBLANK('2025'!$P271), 0, 1), 3, if(ISBLANK('2025'!$Q271), 0, 1), 4, if(ISBLANK('2025'!$R271), 0, 1), 5, if(ISBLANK('2025'!$S271), 0, 1), 6, if(ISBLANK('2025'!$T271), 0, 1), 7, 0))), 1, "")</f>
        <v/>
      </c>
      <c r="AP273" s="1" t="str">
        <f>IF(AND(AND(AND(AP$4&gt;='2025'!$L271,AP$4&lt;='2025'!$M271), AP$4&lt;&gt;DATE(2025,7,4)), (SWITCH(weekday(AP$4), 1, 0, 2, if(ISBLANK('2025'!$P271), 0, 1), 3, if(ISBLANK('2025'!$Q271), 0, 1), 4, if(ISBLANK('2025'!$R271), 0, 1), 5, if(ISBLANK('2025'!$S271), 0, 1), 6, if(ISBLANK('2025'!$T271), 0, 1), 7, 0))), 1, "")</f>
        <v/>
      </c>
      <c r="AQ273" s="1" t="str">
        <f>IF(AND(AND(AND(AQ$4&gt;='2025'!$L271,AQ$4&lt;='2025'!$M271), AQ$4&lt;&gt;DATE(2025,7,4)), (SWITCH(weekday(AQ$4), 1, 0, 2, if(ISBLANK('2025'!$P271), 0, 1), 3, if(ISBLANK('2025'!$Q271), 0, 1), 4, if(ISBLANK('2025'!$R271), 0, 1), 5, if(ISBLANK('2025'!$S271), 0, 1), 6, if(ISBLANK('2025'!$T271), 0, 1), 7, 0))), 1, "")</f>
        <v/>
      </c>
      <c r="AR273" s="1" t="str">
        <f>IF(AND(AND(AND(AR$4&gt;='2025'!$L271,AR$4&lt;='2025'!$M271), AR$4&lt;&gt;DATE(2025,7,4)), (SWITCH(weekday(AR$4), 1, 0, 2, if(ISBLANK('2025'!$P271), 0, 1), 3, if(ISBLANK('2025'!$Q271), 0, 1), 4, if(ISBLANK('2025'!$R271), 0, 1), 5, if(ISBLANK('2025'!$S271), 0, 1), 6, if(ISBLANK('2025'!$T271), 0, 1), 7, 0))), 1, "")</f>
        <v/>
      </c>
      <c r="AS273" s="1" t="str">
        <f>IF(AND(AND(AND(AS$4&gt;='2025'!$L271,AS$4&lt;='2025'!$M271), AS$4&lt;&gt;DATE(2025,7,4)), (SWITCH(weekday(AS$4), 1, 0, 2, if(ISBLANK('2025'!$P271), 0, 1), 3, if(ISBLANK('2025'!$Q271), 0, 1), 4, if(ISBLANK('2025'!$R271), 0, 1), 5, if(ISBLANK('2025'!$S271), 0, 1), 6, if(ISBLANK('2025'!$T271), 0, 1), 7, 0))), 1, "")</f>
        <v/>
      </c>
      <c r="AT273" s="1" t="str">
        <f>IF(AND(AND(AND(AT$4&gt;='2025'!$L271,AT$4&lt;='2025'!$M271), AT$4&lt;&gt;DATE(2025,7,4)), (SWITCH(weekday(AT$4), 1, 0, 2, if(ISBLANK('2025'!$P271), 0, 1), 3, if(ISBLANK('2025'!$Q271), 0, 1), 4, if(ISBLANK('2025'!$R271), 0, 1), 5, if(ISBLANK('2025'!$S271), 0, 1), 6, if(ISBLANK('2025'!$T271), 0, 1), 7, 0))), 1, "")</f>
        <v/>
      </c>
      <c r="AU273" s="1" t="str">
        <f>IF(AND(AND(AND(AU$4&gt;='2025'!$L271,AU$4&lt;='2025'!$M271), AU$4&lt;&gt;DATE(2025,7,4)), (SWITCH(weekday(AU$4), 1, 0, 2, if(ISBLANK('2025'!$P271), 0, 1), 3, if(ISBLANK('2025'!$Q271), 0, 1), 4, if(ISBLANK('2025'!$R271), 0, 1), 5, if(ISBLANK('2025'!$S271), 0, 1), 6, if(ISBLANK('2025'!$T271), 0, 1), 7, 0))), 1, "")</f>
        <v/>
      </c>
      <c r="AV273" s="1" t="str">
        <f>IF(AND(AND(AND(AV$4&gt;='2025'!$L271,AV$4&lt;='2025'!$M271), AV$4&lt;&gt;DATE(2025,7,4)), (SWITCH(weekday(AV$4), 1, 0, 2, if(ISBLANK('2025'!$P271), 0, 1), 3, if(ISBLANK('2025'!$Q271), 0, 1), 4, if(ISBLANK('2025'!$R271), 0, 1), 5, if(ISBLANK('2025'!$S271), 0, 1), 6, if(ISBLANK('2025'!$T271), 0, 1), 7, 0))), 1, "")</f>
        <v/>
      </c>
      <c r="AW273" s="1" t="str">
        <f>IF(AND(AND(AND(AW$4&gt;='2025'!$L271,AW$4&lt;='2025'!$M271), AW$4&lt;&gt;DATE(2025,7,4)), (SWITCH(weekday(AW$4), 1, 0, 2, if(ISBLANK('2025'!$P271), 0, 1), 3, if(ISBLANK('2025'!$Q271), 0, 1), 4, if(ISBLANK('2025'!$R271), 0, 1), 5, if(ISBLANK('2025'!$S271), 0, 1), 6, if(ISBLANK('2025'!$T271), 0, 1), 7, 0))), 1, "")</f>
        <v/>
      </c>
      <c r="AX273" s="1" t="str">
        <f>IF(AND(AND(AND(AX$4&gt;='2025'!$L271,AX$4&lt;='2025'!$M271), AX$4&lt;&gt;DATE(2025,7,4)), (SWITCH(weekday(AX$4), 1, 0, 2, if(ISBLANK('2025'!$P271), 0, 1), 3, if(ISBLANK('2025'!$Q271), 0, 1), 4, if(ISBLANK('2025'!$R271), 0, 1), 5, if(ISBLANK('2025'!$S271), 0, 1), 6, if(ISBLANK('2025'!$T271), 0, 1), 7, 0))), 1, "")</f>
        <v/>
      </c>
      <c r="AY273" s="1" t="str">
        <f>IF(AND(AND(AND(AY$4&gt;='2025'!$L271,AY$4&lt;='2025'!$M271), AY$4&lt;&gt;DATE(2025,7,4)), (SWITCH(weekday(AY$4), 1, 0, 2, if(ISBLANK('2025'!$P271), 0, 1), 3, if(ISBLANK('2025'!$Q271), 0, 1), 4, if(ISBLANK('2025'!$R271), 0, 1), 5, if(ISBLANK('2025'!$S271), 0, 1), 6, if(ISBLANK('2025'!$T271), 0, 1), 7, 0))), 1, "")</f>
        <v/>
      </c>
      <c r="AZ273" s="1" t="str">
        <f>IF(AND(AND(AND(AZ$4&gt;='2025'!$L271,AZ$4&lt;='2025'!$M271), AZ$4&lt;&gt;DATE(2025,7,4)), (SWITCH(weekday(AZ$4), 1, 0, 2, if(ISBLANK('2025'!$P271), 0, 1), 3, if(ISBLANK('2025'!$Q271), 0, 1), 4, if(ISBLANK('2025'!$R271), 0, 1), 5, if(ISBLANK('2025'!$S271), 0, 1), 6, if(ISBLANK('2025'!$T271), 0, 1), 7, 0))), 1, "")</f>
        <v/>
      </c>
      <c r="BA273" s="1" t="str">
        <f>IF(AND(AND(AND(BA$4&gt;='2025'!$L271,BA$4&lt;='2025'!$M271), BA$4&lt;&gt;DATE(2025,7,4)), (SWITCH(weekday(BA$4), 1, 0, 2, if(ISBLANK('2025'!$P271), 0, 1), 3, if(ISBLANK('2025'!$Q271), 0, 1), 4, if(ISBLANK('2025'!$R271), 0, 1), 5, if(ISBLANK('2025'!$S271), 0, 1), 6, if(ISBLANK('2025'!$T271), 0, 1), 7, 0))), 1, "")</f>
        <v/>
      </c>
      <c r="BB273" s="1" t="str">
        <f>IF(AND(AND(AND(BB$4&gt;='2025'!$L271,BB$4&lt;='2025'!$M271), BB$4&lt;&gt;DATE(2025,7,4)), (SWITCH(weekday(BB$4), 1, 0, 2, if(ISBLANK('2025'!$P271), 0, 1), 3, if(ISBLANK('2025'!$Q271), 0, 1), 4, if(ISBLANK('2025'!$R271), 0, 1), 5, if(ISBLANK('2025'!$S271), 0, 1), 6, if(ISBLANK('2025'!$T271), 0, 1), 7, 0))), 1, "")</f>
        <v/>
      </c>
      <c r="BC273" s="1" t="str">
        <f>IF(AND(AND(AND(BC$4&gt;='2025'!$L271,BC$4&lt;='2025'!$M271), BC$4&lt;&gt;DATE(2025,7,4)), (SWITCH(weekday(BC$4), 1, 0, 2, if(ISBLANK('2025'!$P271), 0, 1), 3, if(ISBLANK('2025'!$Q271), 0, 1), 4, if(ISBLANK('2025'!$R271), 0, 1), 5, if(ISBLANK('2025'!$S271), 0, 1), 6, if(ISBLANK('2025'!$T271), 0, 1), 7, 0))), 1, "")</f>
        <v/>
      </c>
      <c r="BD273" s="1" t="str">
        <f>IF(AND(AND(AND(BD$4&gt;='2025'!$L271,BD$4&lt;='2025'!$M271), BD$4&lt;&gt;DATE(2025,7,4)), (SWITCH(weekday(BD$4), 1, 0, 2, if(ISBLANK('2025'!$P271), 0, 1), 3, if(ISBLANK('2025'!$Q271), 0, 1), 4, if(ISBLANK('2025'!$R271), 0, 1), 5, if(ISBLANK('2025'!$S271), 0, 1), 6, if(ISBLANK('2025'!$T271), 0, 1), 7, 0))), 1, "")</f>
        <v/>
      </c>
      <c r="BE273" s="1" t="str">
        <f>IF(AND(AND(AND(BE$4&gt;='2025'!$L271,BE$4&lt;='2025'!$M271), BE$4&lt;&gt;DATE(2025,7,4)), (SWITCH(weekday(BE$4), 1, 0, 2, if(ISBLANK('2025'!$P271), 0, 1), 3, if(ISBLANK('2025'!$Q271), 0, 1), 4, if(ISBLANK('2025'!$R271), 0, 1), 5, if(ISBLANK('2025'!$S271), 0, 1), 6, if(ISBLANK('2025'!$T271), 0, 1), 7, 0))), 1, "")</f>
        <v/>
      </c>
      <c r="BF273" s="1" t="str">
        <f>IF(AND(AND(AND(BF$4&gt;='2025'!$L271,BF$4&lt;='2025'!$M271), BF$4&lt;&gt;DATE(2025,7,4)), (SWITCH(weekday(BF$4), 1, 0, 2, if(ISBLANK('2025'!$P271), 0, 1), 3, if(ISBLANK('2025'!$Q271), 0, 1), 4, if(ISBLANK('2025'!$R271), 0, 1), 5, if(ISBLANK('2025'!$S271), 0, 1), 6, if(ISBLANK('2025'!$T271), 0, 1), 7, 0))), 1, "")</f>
        <v/>
      </c>
      <c r="BG273" s="1"/>
      <c r="BH273" s="1"/>
      <c r="BI273" s="1"/>
      <c r="BJ273" s="1"/>
      <c r="BK273" s="1"/>
      <c r="BL273" s="1"/>
    </row>
    <row r="274">
      <c r="A274" s="1">
        <f t="shared" si="3"/>
        <v>274</v>
      </c>
      <c r="B274" s="1" t="str">
        <f>'2025'!D238</f>
        <v>, </v>
      </c>
      <c r="C274" s="1" t="str">
        <f>'2025'!H238</f>
        <v/>
      </c>
      <c r="D274" s="1" t="str">
        <f>IF(AND(AND(AND(D$4&gt;='2025'!$L272,D$4&lt;='2025'!$M272), D$4&lt;&gt;DATE(2025,7,4)), (SWITCH(weekday(D$4), 1, 0, 2, if(ISBLANK('2025'!$P272), 0, 1), 3, if(ISBLANK('2025'!$Q272), 0, 1), 4, if(ISBLANK('2025'!$R272), 0, 1), 5, if(ISBLANK('2025'!$S272), 0, 1), 6, if(ISBLANK('2025'!$T272), 0, 1), 7, 0))), 1, "")</f>
        <v/>
      </c>
      <c r="E274" s="1" t="str">
        <f>IF(AND(AND(AND(E$4&gt;='2025'!$L272,E$4&lt;='2025'!$M272), E$4&lt;&gt;DATE(2025,7,4)), (SWITCH(weekday(E$4), 1, 0, 2, if(ISBLANK('2025'!$P272), 0, 1), 3, if(ISBLANK('2025'!$Q272), 0, 1), 4, if(ISBLANK('2025'!$R272), 0, 1), 5, if(ISBLANK('2025'!$S272), 0, 1), 6, if(ISBLANK('2025'!$T272), 0, 1), 7, 0))), 1, "")</f>
        <v/>
      </c>
      <c r="F274" s="1" t="str">
        <f>IF(AND(AND(AND(F$4&gt;='2025'!$L272,F$4&lt;='2025'!$M272), F$4&lt;&gt;DATE(2025,7,4)), (SWITCH(weekday(F$4), 1, 0, 2, if(ISBLANK('2025'!$P272), 0, 1), 3, if(ISBLANK('2025'!$Q272), 0, 1), 4, if(ISBLANK('2025'!$R272), 0, 1), 5, if(ISBLANK('2025'!$S272), 0, 1), 6, if(ISBLANK('2025'!$T272), 0, 1), 7, 0))), 1, "")</f>
        <v/>
      </c>
      <c r="G274" s="1" t="str">
        <f>IF(AND(AND(AND(G$4&gt;='2025'!$L272,G$4&lt;='2025'!$M272), G$4&lt;&gt;DATE(2025,7,4)), (SWITCH(weekday(G$4), 1, 0, 2, if(ISBLANK('2025'!$P272), 0, 1), 3, if(ISBLANK('2025'!$Q272), 0, 1), 4, if(ISBLANK('2025'!$R272), 0, 1), 5, if(ISBLANK('2025'!$S272), 0, 1), 6, if(ISBLANK('2025'!$T272), 0, 1), 7, 0))), 1, "")</f>
        <v/>
      </c>
      <c r="H274" s="1" t="str">
        <f>IF(AND(AND(AND(H$4&gt;='2025'!$L272,H$4&lt;='2025'!$M272), H$4&lt;&gt;DATE(2025,7,4)), (SWITCH(weekday(H$4), 1, 0, 2, if(ISBLANK('2025'!$P272), 0, 1), 3, if(ISBLANK('2025'!$Q272), 0, 1), 4, if(ISBLANK('2025'!$R272), 0, 1), 5, if(ISBLANK('2025'!$S272), 0, 1), 6, if(ISBLANK('2025'!$T272), 0, 1), 7, 0))), 1, "")</f>
        <v/>
      </c>
      <c r="I274" s="1" t="str">
        <f>IF(AND(AND(AND(I$4&gt;='2025'!$L272,I$4&lt;='2025'!$M272), I$4&lt;&gt;DATE(2025,7,4)), (SWITCH(weekday(I$4), 1, 0, 2, if(ISBLANK('2025'!$P272), 0, 1), 3, if(ISBLANK('2025'!$Q272), 0, 1), 4, if(ISBLANK('2025'!$R272), 0, 1), 5, if(ISBLANK('2025'!$S272), 0, 1), 6, if(ISBLANK('2025'!$T272), 0, 1), 7, 0))), 1, "")</f>
        <v/>
      </c>
      <c r="J274" s="1" t="str">
        <f>IF(AND(AND(AND(J$4&gt;='2025'!$L272,J$4&lt;='2025'!$M272), J$4&lt;&gt;DATE(2025,7,4)), (SWITCH(weekday(J$4), 1, 0, 2, if(ISBLANK('2025'!$P272), 0, 1), 3, if(ISBLANK('2025'!$Q272), 0, 1), 4, if(ISBLANK('2025'!$R272), 0, 1), 5, if(ISBLANK('2025'!$S272), 0, 1), 6, if(ISBLANK('2025'!$T272), 0, 1), 7, 0))), 1, "")</f>
        <v/>
      </c>
      <c r="K274" s="1" t="str">
        <f>IF(AND(AND(AND(K$4&gt;='2025'!$L272,K$4&lt;='2025'!$M272), K$4&lt;&gt;DATE(2025,7,4)), (SWITCH(weekday(K$4), 1, 0, 2, if(ISBLANK('2025'!$P272), 0, 1), 3, if(ISBLANK('2025'!$Q272), 0, 1), 4, if(ISBLANK('2025'!$R272), 0, 1), 5, if(ISBLANK('2025'!$S272), 0, 1), 6, if(ISBLANK('2025'!$T272), 0, 1), 7, 0))), 1, "")</f>
        <v/>
      </c>
      <c r="L274" s="1" t="str">
        <f>IF(AND(AND(AND(L$4&gt;='2025'!$L272,L$4&lt;='2025'!$M272), L$4&lt;&gt;DATE(2025,7,4)), (SWITCH(weekday(L$4), 1, 0, 2, if(ISBLANK('2025'!$P272), 0, 1), 3, if(ISBLANK('2025'!$Q272), 0, 1), 4, if(ISBLANK('2025'!$R272), 0, 1), 5, if(ISBLANK('2025'!$S272), 0, 1), 6, if(ISBLANK('2025'!$T272), 0, 1), 7, 0))), 1, "")</f>
        <v/>
      </c>
      <c r="M274" s="1" t="str">
        <f>IF(AND(AND(AND(M$4&gt;='2025'!$L272,M$4&lt;='2025'!$M272), M$4&lt;&gt;DATE(2025,7,4)), (SWITCH(weekday(M$4), 1, 0, 2, if(ISBLANK('2025'!$P272), 0, 1), 3, if(ISBLANK('2025'!$Q272), 0, 1), 4, if(ISBLANK('2025'!$R272), 0, 1), 5, if(ISBLANK('2025'!$S272), 0, 1), 6, if(ISBLANK('2025'!$T272), 0, 1), 7, 0))), 1, "")</f>
        <v/>
      </c>
      <c r="N274" s="1" t="str">
        <f>IF(AND(AND(AND(N$4&gt;='2025'!$L272,N$4&lt;='2025'!$M272), N$4&lt;&gt;DATE(2025,7,4)), (SWITCH(weekday(N$4), 1, 0, 2, if(ISBLANK('2025'!$P272), 0, 1), 3, if(ISBLANK('2025'!$Q272), 0, 1), 4, if(ISBLANK('2025'!$R272), 0, 1), 5, if(ISBLANK('2025'!$S272), 0, 1), 6, if(ISBLANK('2025'!$T272), 0, 1), 7, 0))), 1, "")</f>
        <v/>
      </c>
      <c r="O274" s="1" t="str">
        <f>IF(AND(AND(AND(O$4&gt;='2025'!$L272,O$4&lt;='2025'!$M272), O$4&lt;&gt;DATE(2025,7,4)), (SWITCH(weekday(O$4), 1, 0, 2, if(ISBLANK('2025'!$P272), 0, 1), 3, if(ISBLANK('2025'!$Q272), 0, 1), 4, if(ISBLANK('2025'!$R272), 0, 1), 5, if(ISBLANK('2025'!$S272), 0, 1), 6, if(ISBLANK('2025'!$T272), 0, 1), 7, 0))), 1, "")</f>
        <v/>
      </c>
      <c r="P274" s="1" t="str">
        <f>IF(AND(AND(AND(P$4&gt;='2025'!$L272,P$4&lt;='2025'!$M272), P$4&lt;&gt;DATE(2025,7,4)), (SWITCH(weekday(P$4), 1, 0, 2, if(ISBLANK('2025'!$P272), 0, 1), 3, if(ISBLANK('2025'!$Q272), 0, 1), 4, if(ISBLANK('2025'!$R272), 0, 1), 5, if(ISBLANK('2025'!$S272), 0, 1), 6, if(ISBLANK('2025'!$T272), 0, 1), 7, 0))), 1, "")</f>
        <v/>
      </c>
      <c r="Q274" s="1" t="str">
        <f>IF(AND(AND(AND(Q$4&gt;='2025'!$L272,Q$4&lt;='2025'!$M272), Q$4&lt;&gt;DATE(2025,7,4)), (SWITCH(weekday(Q$4), 1, 0, 2, if(ISBLANK('2025'!$P272), 0, 1), 3, if(ISBLANK('2025'!$Q272), 0, 1), 4, if(ISBLANK('2025'!$R272), 0, 1), 5, if(ISBLANK('2025'!$S272), 0, 1), 6, if(ISBLANK('2025'!$T272), 0, 1), 7, 0))), 1, "")</f>
        <v/>
      </c>
      <c r="R274" s="1" t="str">
        <f>IF(AND(AND(AND(R$4&gt;='2025'!$L272,R$4&lt;='2025'!$M272), R$4&lt;&gt;DATE(2025,7,4)), (SWITCH(weekday(R$4), 1, 0, 2, if(ISBLANK('2025'!$P272), 0, 1), 3, if(ISBLANK('2025'!$Q272), 0, 1), 4, if(ISBLANK('2025'!$R272), 0, 1), 5, if(ISBLANK('2025'!$S272), 0, 1), 6, if(ISBLANK('2025'!$T272), 0, 1), 7, 0))), 1, "")</f>
        <v/>
      </c>
      <c r="S274" s="1" t="str">
        <f>IF(AND(AND(AND(S$4&gt;='2025'!$L272,S$4&lt;='2025'!$M272), S$4&lt;&gt;DATE(2025,7,4)), (SWITCH(weekday(S$4), 1, 0, 2, if(ISBLANK('2025'!$P272), 0, 1), 3, if(ISBLANK('2025'!$Q272), 0, 1), 4, if(ISBLANK('2025'!$R272), 0, 1), 5, if(ISBLANK('2025'!$S272), 0, 1), 6, if(ISBLANK('2025'!$T272), 0, 1), 7, 0))), 1, "")</f>
        <v/>
      </c>
      <c r="T274" s="1" t="str">
        <f>IF(AND(AND(AND(T$4&gt;='2025'!$L272,T$4&lt;='2025'!$M272), T$4&lt;&gt;DATE(2025,7,4)), (SWITCH(weekday(T$4), 1, 0, 2, if(ISBLANK('2025'!$P272), 0, 1), 3, if(ISBLANK('2025'!$Q272), 0, 1), 4, if(ISBLANK('2025'!$R272), 0, 1), 5, if(ISBLANK('2025'!$S272), 0, 1), 6, if(ISBLANK('2025'!$T272), 0, 1), 7, 0))), 1, "")</f>
        <v/>
      </c>
      <c r="U274" s="1" t="str">
        <f>IF(AND(AND(AND(U$4&gt;='2025'!$L272,U$4&lt;='2025'!$M272), U$4&lt;&gt;DATE(2025,7,4)), (SWITCH(weekday(U$4), 1, 0, 2, if(ISBLANK('2025'!$P272), 0, 1), 3, if(ISBLANK('2025'!$Q272), 0, 1), 4, if(ISBLANK('2025'!$R272), 0, 1), 5, if(ISBLANK('2025'!$S272), 0, 1), 6, if(ISBLANK('2025'!$T272), 0, 1), 7, 0))), 1, "")</f>
        <v/>
      </c>
      <c r="V274" s="1" t="str">
        <f>IF(AND(AND(AND(V$4&gt;='2025'!$L272,V$4&lt;='2025'!$M272), V$4&lt;&gt;DATE(2025,7,4)), (SWITCH(weekday(V$4), 1, 0, 2, if(ISBLANK('2025'!$P272), 0, 1), 3, if(ISBLANK('2025'!$Q272), 0, 1), 4, if(ISBLANK('2025'!$R272), 0, 1), 5, if(ISBLANK('2025'!$S272), 0, 1), 6, if(ISBLANK('2025'!$T272), 0, 1), 7, 0))), 1, "")</f>
        <v/>
      </c>
      <c r="W274" s="1" t="str">
        <f>IF(AND(AND(AND(W$4&gt;='2025'!$L272,W$4&lt;='2025'!$M272), W$4&lt;&gt;DATE(2025,7,4)), (SWITCH(weekday(W$4), 1, 0, 2, if(ISBLANK('2025'!$P272), 0, 1), 3, if(ISBLANK('2025'!$Q272), 0, 1), 4, if(ISBLANK('2025'!$R272), 0, 1), 5, if(ISBLANK('2025'!$S272), 0, 1), 6, if(ISBLANK('2025'!$T272), 0, 1), 7, 0))), 1, "")</f>
        <v/>
      </c>
      <c r="X274" s="1" t="str">
        <f>IF(AND(AND(AND(X$4&gt;='2025'!$L272,X$4&lt;='2025'!$M272), X$4&lt;&gt;DATE(2025,7,4)), (SWITCH(weekday(X$4), 1, 0, 2, if(ISBLANK('2025'!$P272), 0, 1), 3, if(ISBLANK('2025'!$Q272), 0, 1), 4, if(ISBLANK('2025'!$R272), 0, 1), 5, if(ISBLANK('2025'!$S272), 0, 1), 6, if(ISBLANK('2025'!$T272), 0, 1), 7, 0))), 1, "")</f>
        <v/>
      </c>
      <c r="Y274" s="1" t="str">
        <f>IF(AND(AND(AND(Y$4&gt;='2025'!$L272,Y$4&lt;='2025'!$M272), Y$4&lt;&gt;DATE(2025,7,4)), (SWITCH(weekday(Y$4), 1, 0, 2, if(ISBLANK('2025'!$P272), 0, 1), 3, if(ISBLANK('2025'!$Q272), 0, 1), 4, if(ISBLANK('2025'!$R272), 0, 1), 5, if(ISBLANK('2025'!$S272), 0, 1), 6, if(ISBLANK('2025'!$T272), 0, 1), 7, 0))), 1, "")</f>
        <v/>
      </c>
      <c r="Z274" s="1" t="str">
        <f>IF(AND(AND(AND(Z$4&gt;='2025'!$L272,Z$4&lt;='2025'!$M272), Z$4&lt;&gt;DATE(2025,7,4)), (SWITCH(weekday(Z$4), 1, 0, 2, if(ISBLANK('2025'!$P272), 0, 1), 3, if(ISBLANK('2025'!$Q272), 0, 1), 4, if(ISBLANK('2025'!$R272), 0, 1), 5, if(ISBLANK('2025'!$S272), 0, 1), 6, if(ISBLANK('2025'!$T272), 0, 1), 7, 0))), 1, "")</f>
        <v/>
      </c>
      <c r="AA274" s="1" t="str">
        <f>IF(AND(AND(AND(AA$4&gt;='2025'!$L272,AA$4&lt;='2025'!$M272), AA$4&lt;&gt;DATE(2025,7,4)), (SWITCH(weekday(AA$4), 1, 0, 2, if(ISBLANK('2025'!$P272), 0, 1), 3, if(ISBLANK('2025'!$Q272), 0, 1), 4, if(ISBLANK('2025'!$R272), 0, 1), 5, if(ISBLANK('2025'!$S272), 0, 1), 6, if(ISBLANK('2025'!$T272), 0, 1), 7, 0))), 1, "")</f>
        <v/>
      </c>
      <c r="AB274" s="1" t="str">
        <f>IF(AND(AND(AND(AB$4&gt;='2025'!$L272,AB$4&lt;='2025'!$M272), AB$4&lt;&gt;DATE(2025,7,4)), (SWITCH(weekday(AB$4), 1, 0, 2, if(ISBLANK('2025'!$P272), 0, 1), 3, if(ISBLANK('2025'!$Q272), 0, 1), 4, if(ISBLANK('2025'!$R272), 0, 1), 5, if(ISBLANK('2025'!$S272), 0, 1), 6, if(ISBLANK('2025'!$T272), 0, 1), 7, 0))), 1, "")</f>
        <v/>
      </c>
      <c r="AC274" s="1" t="str">
        <f>IF(AND(AND(AND(AC$4&gt;='2025'!$L272,AC$4&lt;='2025'!$M272), AC$4&lt;&gt;DATE(2025,7,4)), (SWITCH(weekday(AC$4), 1, 0, 2, if(ISBLANK('2025'!$P272), 0, 1), 3, if(ISBLANK('2025'!$Q272), 0, 1), 4, if(ISBLANK('2025'!$R272), 0, 1), 5, if(ISBLANK('2025'!$S272), 0, 1), 6, if(ISBLANK('2025'!$T272), 0, 1), 7, 0))), 1, "")</f>
        <v/>
      </c>
      <c r="AD274" s="1" t="str">
        <f>IF(AND(AND(AND(AD$4&gt;='2025'!$L272,AD$4&lt;='2025'!$M272), AD$4&lt;&gt;DATE(2025,7,4)), (SWITCH(weekday(AD$4), 1, 0, 2, if(ISBLANK('2025'!$P272), 0, 1), 3, if(ISBLANK('2025'!$Q272), 0, 1), 4, if(ISBLANK('2025'!$R272), 0, 1), 5, if(ISBLANK('2025'!$S272), 0, 1), 6, if(ISBLANK('2025'!$T272), 0, 1), 7, 0))), 1, "")</f>
        <v/>
      </c>
      <c r="AE274" s="1" t="str">
        <f>IF(AND(AND(AND(AE$4&gt;='2025'!$L272,AE$4&lt;='2025'!$M272), AE$4&lt;&gt;DATE(2025,7,4)), (SWITCH(weekday(AE$4), 1, 0, 2, if(ISBLANK('2025'!$P272), 0, 1), 3, if(ISBLANK('2025'!$Q272), 0, 1), 4, if(ISBLANK('2025'!$R272), 0, 1), 5, if(ISBLANK('2025'!$S272), 0, 1), 6, if(ISBLANK('2025'!$T272), 0, 1), 7, 0))), 1, "")</f>
        <v/>
      </c>
      <c r="AF274" s="1" t="str">
        <f>IF(AND(AND(AND(AF$4&gt;='2025'!$L272,AF$4&lt;='2025'!$M272), AF$4&lt;&gt;DATE(2025,7,4)), (SWITCH(weekday(AF$4), 1, 0, 2, if(ISBLANK('2025'!$P272), 0, 1), 3, if(ISBLANK('2025'!$Q272), 0, 1), 4, if(ISBLANK('2025'!$R272), 0, 1), 5, if(ISBLANK('2025'!$S272), 0, 1), 6, if(ISBLANK('2025'!$T272), 0, 1), 7, 0))), 1, "")</f>
        <v/>
      </c>
      <c r="AG274" s="1" t="str">
        <f>IF(AND(AND(AND(AG$4&gt;='2025'!$L272,AG$4&lt;='2025'!$M272), AG$4&lt;&gt;DATE(2025,7,4)), (SWITCH(weekday(AG$4), 1, 0, 2, if(ISBLANK('2025'!$P272), 0, 1), 3, if(ISBLANK('2025'!$Q272), 0, 1), 4, if(ISBLANK('2025'!$R272), 0, 1), 5, if(ISBLANK('2025'!$S272), 0, 1), 6, if(ISBLANK('2025'!$T272), 0, 1), 7, 0))), 1, "")</f>
        <v/>
      </c>
      <c r="AH274" s="1" t="str">
        <f>IF(AND(AND(AND(AH$4&gt;='2025'!$L272,AH$4&lt;='2025'!$M272), AH$4&lt;&gt;DATE(2025,7,4)), (SWITCH(weekday(AH$4), 1, 0, 2, if(ISBLANK('2025'!$P272), 0, 1), 3, if(ISBLANK('2025'!$Q272), 0, 1), 4, if(ISBLANK('2025'!$R272), 0, 1), 5, if(ISBLANK('2025'!$S272), 0, 1), 6, if(ISBLANK('2025'!$T272), 0, 1), 7, 0))), 1, "")</f>
        <v/>
      </c>
      <c r="AI274" s="1" t="str">
        <f>IF(AND(AND(AND(AI$4&gt;='2025'!$L272,AI$4&lt;='2025'!$M272), AI$4&lt;&gt;DATE(2025,7,4)), (SWITCH(weekday(AI$4), 1, 0, 2, if(ISBLANK('2025'!$P272), 0, 1), 3, if(ISBLANK('2025'!$Q272), 0, 1), 4, if(ISBLANK('2025'!$R272), 0, 1), 5, if(ISBLANK('2025'!$S272), 0, 1), 6, if(ISBLANK('2025'!$T272), 0, 1), 7, 0))), 1, "")</f>
        <v/>
      </c>
      <c r="AJ274" s="1" t="str">
        <f>IF(AND(AND(AND(AJ$4&gt;='2025'!$L272,AJ$4&lt;='2025'!$M272), AJ$4&lt;&gt;DATE(2025,7,4)), (SWITCH(weekday(AJ$4), 1, 0, 2, if(ISBLANK('2025'!$P272), 0, 1), 3, if(ISBLANK('2025'!$Q272), 0, 1), 4, if(ISBLANK('2025'!$R272), 0, 1), 5, if(ISBLANK('2025'!$S272), 0, 1), 6, if(ISBLANK('2025'!$T272), 0, 1), 7, 0))), 1, "")</f>
        <v/>
      </c>
      <c r="AK274" s="1" t="str">
        <f>IF(AND(AND(AND(AK$4&gt;='2025'!$L272,AK$4&lt;='2025'!$M272), AK$4&lt;&gt;DATE(2025,7,4)), (SWITCH(weekday(AK$4), 1, 0, 2, if(ISBLANK('2025'!$P272), 0, 1), 3, if(ISBLANK('2025'!$Q272), 0, 1), 4, if(ISBLANK('2025'!$R272), 0, 1), 5, if(ISBLANK('2025'!$S272), 0, 1), 6, if(ISBLANK('2025'!$T272), 0, 1), 7, 0))), 1, "")</f>
        <v/>
      </c>
      <c r="AL274" s="1" t="str">
        <f>IF(AND(AND(AND(AL$4&gt;='2025'!$L272,AL$4&lt;='2025'!$M272), AL$4&lt;&gt;DATE(2025,7,4)), (SWITCH(weekday(AL$4), 1, 0, 2, if(ISBLANK('2025'!$P272), 0, 1), 3, if(ISBLANK('2025'!$Q272), 0, 1), 4, if(ISBLANK('2025'!$R272), 0, 1), 5, if(ISBLANK('2025'!$S272), 0, 1), 6, if(ISBLANK('2025'!$T272), 0, 1), 7, 0))), 1, "")</f>
        <v/>
      </c>
      <c r="AM274" s="1" t="str">
        <f>IF(AND(AND(AND(AM$4&gt;='2025'!$L272,AM$4&lt;='2025'!$M272), AM$4&lt;&gt;DATE(2025,7,4)), (SWITCH(weekday(AM$4), 1, 0, 2, if(ISBLANK('2025'!$P272), 0, 1), 3, if(ISBLANK('2025'!$Q272), 0, 1), 4, if(ISBLANK('2025'!$R272), 0, 1), 5, if(ISBLANK('2025'!$S272), 0, 1), 6, if(ISBLANK('2025'!$T272), 0, 1), 7, 0))), 1, "")</f>
        <v/>
      </c>
      <c r="AN274" s="1" t="str">
        <f>IF(AND(AND(AND(AN$4&gt;='2025'!$L272,AN$4&lt;='2025'!$M272), AN$4&lt;&gt;DATE(2025,7,4)), (SWITCH(weekday(AN$4), 1, 0, 2, if(ISBLANK('2025'!$P272), 0, 1), 3, if(ISBLANK('2025'!$Q272), 0, 1), 4, if(ISBLANK('2025'!$R272), 0, 1), 5, if(ISBLANK('2025'!$S272), 0, 1), 6, if(ISBLANK('2025'!$T272), 0, 1), 7, 0))), 1, "")</f>
        <v/>
      </c>
      <c r="AO274" s="1" t="str">
        <f>IF(AND(AND(AND(AO$4&gt;='2025'!$L272,AO$4&lt;='2025'!$M272), AO$4&lt;&gt;DATE(2025,7,4)), (SWITCH(weekday(AO$4), 1, 0, 2, if(ISBLANK('2025'!$P272), 0, 1), 3, if(ISBLANK('2025'!$Q272), 0, 1), 4, if(ISBLANK('2025'!$R272), 0, 1), 5, if(ISBLANK('2025'!$S272), 0, 1), 6, if(ISBLANK('2025'!$T272), 0, 1), 7, 0))), 1, "")</f>
        <v/>
      </c>
      <c r="AP274" s="1" t="str">
        <f>IF(AND(AND(AND(AP$4&gt;='2025'!$L272,AP$4&lt;='2025'!$M272), AP$4&lt;&gt;DATE(2025,7,4)), (SWITCH(weekday(AP$4), 1, 0, 2, if(ISBLANK('2025'!$P272), 0, 1), 3, if(ISBLANK('2025'!$Q272), 0, 1), 4, if(ISBLANK('2025'!$R272), 0, 1), 5, if(ISBLANK('2025'!$S272), 0, 1), 6, if(ISBLANK('2025'!$T272), 0, 1), 7, 0))), 1, "")</f>
        <v/>
      </c>
      <c r="AQ274" s="1" t="str">
        <f>IF(AND(AND(AND(AQ$4&gt;='2025'!$L272,AQ$4&lt;='2025'!$M272), AQ$4&lt;&gt;DATE(2025,7,4)), (SWITCH(weekday(AQ$4), 1, 0, 2, if(ISBLANK('2025'!$P272), 0, 1), 3, if(ISBLANK('2025'!$Q272), 0, 1), 4, if(ISBLANK('2025'!$R272), 0, 1), 5, if(ISBLANK('2025'!$S272), 0, 1), 6, if(ISBLANK('2025'!$T272), 0, 1), 7, 0))), 1, "")</f>
        <v/>
      </c>
      <c r="AR274" s="1" t="str">
        <f>IF(AND(AND(AND(AR$4&gt;='2025'!$L272,AR$4&lt;='2025'!$M272), AR$4&lt;&gt;DATE(2025,7,4)), (SWITCH(weekday(AR$4), 1, 0, 2, if(ISBLANK('2025'!$P272), 0, 1), 3, if(ISBLANK('2025'!$Q272), 0, 1), 4, if(ISBLANK('2025'!$R272), 0, 1), 5, if(ISBLANK('2025'!$S272), 0, 1), 6, if(ISBLANK('2025'!$T272), 0, 1), 7, 0))), 1, "")</f>
        <v/>
      </c>
      <c r="AS274" s="1" t="str">
        <f>IF(AND(AND(AND(AS$4&gt;='2025'!$L272,AS$4&lt;='2025'!$M272), AS$4&lt;&gt;DATE(2025,7,4)), (SWITCH(weekday(AS$4), 1, 0, 2, if(ISBLANK('2025'!$P272), 0, 1), 3, if(ISBLANK('2025'!$Q272), 0, 1), 4, if(ISBLANK('2025'!$R272), 0, 1), 5, if(ISBLANK('2025'!$S272), 0, 1), 6, if(ISBLANK('2025'!$T272), 0, 1), 7, 0))), 1, "")</f>
        <v/>
      </c>
      <c r="AT274" s="1" t="str">
        <f>IF(AND(AND(AND(AT$4&gt;='2025'!$L272,AT$4&lt;='2025'!$M272), AT$4&lt;&gt;DATE(2025,7,4)), (SWITCH(weekday(AT$4), 1, 0, 2, if(ISBLANK('2025'!$P272), 0, 1), 3, if(ISBLANK('2025'!$Q272), 0, 1), 4, if(ISBLANK('2025'!$R272), 0, 1), 5, if(ISBLANK('2025'!$S272), 0, 1), 6, if(ISBLANK('2025'!$T272), 0, 1), 7, 0))), 1, "")</f>
        <v/>
      </c>
      <c r="AU274" s="1" t="str">
        <f>IF(AND(AND(AND(AU$4&gt;='2025'!$L272,AU$4&lt;='2025'!$M272), AU$4&lt;&gt;DATE(2025,7,4)), (SWITCH(weekday(AU$4), 1, 0, 2, if(ISBLANK('2025'!$P272), 0, 1), 3, if(ISBLANK('2025'!$Q272), 0, 1), 4, if(ISBLANK('2025'!$R272), 0, 1), 5, if(ISBLANK('2025'!$S272), 0, 1), 6, if(ISBLANK('2025'!$T272), 0, 1), 7, 0))), 1, "")</f>
        <v/>
      </c>
      <c r="AV274" s="1" t="str">
        <f>IF(AND(AND(AND(AV$4&gt;='2025'!$L272,AV$4&lt;='2025'!$M272), AV$4&lt;&gt;DATE(2025,7,4)), (SWITCH(weekday(AV$4), 1, 0, 2, if(ISBLANK('2025'!$P272), 0, 1), 3, if(ISBLANK('2025'!$Q272), 0, 1), 4, if(ISBLANK('2025'!$R272), 0, 1), 5, if(ISBLANK('2025'!$S272), 0, 1), 6, if(ISBLANK('2025'!$T272), 0, 1), 7, 0))), 1, "")</f>
        <v/>
      </c>
      <c r="AW274" s="1" t="str">
        <f>IF(AND(AND(AND(AW$4&gt;='2025'!$L272,AW$4&lt;='2025'!$M272), AW$4&lt;&gt;DATE(2025,7,4)), (SWITCH(weekday(AW$4), 1, 0, 2, if(ISBLANK('2025'!$P272), 0, 1), 3, if(ISBLANK('2025'!$Q272), 0, 1), 4, if(ISBLANK('2025'!$R272), 0, 1), 5, if(ISBLANK('2025'!$S272), 0, 1), 6, if(ISBLANK('2025'!$T272), 0, 1), 7, 0))), 1, "")</f>
        <v/>
      </c>
      <c r="AX274" s="1" t="str">
        <f>IF(AND(AND(AND(AX$4&gt;='2025'!$L272,AX$4&lt;='2025'!$M272), AX$4&lt;&gt;DATE(2025,7,4)), (SWITCH(weekday(AX$4), 1, 0, 2, if(ISBLANK('2025'!$P272), 0, 1), 3, if(ISBLANK('2025'!$Q272), 0, 1), 4, if(ISBLANK('2025'!$R272), 0, 1), 5, if(ISBLANK('2025'!$S272), 0, 1), 6, if(ISBLANK('2025'!$T272), 0, 1), 7, 0))), 1, "")</f>
        <v/>
      </c>
      <c r="AY274" s="1" t="str">
        <f>IF(AND(AND(AND(AY$4&gt;='2025'!$L272,AY$4&lt;='2025'!$M272), AY$4&lt;&gt;DATE(2025,7,4)), (SWITCH(weekday(AY$4), 1, 0, 2, if(ISBLANK('2025'!$P272), 0, 1), 3, if(ISBLANK('2025'!$Q272), 0, 1), 4, if(ISBLANK('2025'!$R272), 0, 1), 5, if(ISBLANK('2025'!$S272), 0, 1), 6, if(ISBLANK('2025'!$T272), 0, 1), 7, 0))), 1, "")</f>
        <v/>
      </c>
      <c r="AZ274" s="1" t="str">
        <f>IF(AND(AND(AND(AZ$4&gt;='2025'!$L272,AZ$4&lt;='2025'!$M272), AZ$4&lt;&gt;DATE(2025,7,4)), (SWITCH(weekday(AZ$4), 1, 0, 2, if(ISBLANK('2025'!$P272), 0, 1), 3, if(ISBLANK('2025'!$Q272), 0, 1), 4, if(ISBLANK('2025'!$R272), 0, 1), 5, if(ISBLANK('2025'!$S272), 0, 1), 6, if(ISBLANK('2025'!$T272), 0, 1), 7, 0))), 1, "")</f>
        <v/>
      </c>
      <c r="BA274" s="1" t="str">
        <f>IF(AND(AND(AND(BA$4&gt;='2025'!$L272,BA$4&lt;='2025'!$M272), BA$4&lt;&gt;DATE(2025,7,4)), (SWITCH(weekday(BA$4), 1, 0, 2, if(ISBLANK('2025'!$P272), 0, 1), 3, if(ISBLANK('2025'!$Q272), 0, 1), 4, if(ISBLANK('2025'!$R272), 0, 1), 5, if(ISBLANK('2025'!$S272), 0, 1), 6, if(ISBLANK('2025'!$T272), 0, 1), 7, 0))), 1, "")</f>
        <v/>
      </c>
      <c r="BB274" s="1" t="str">
        <f>IF(AND(AND(AND(BB$4&gt;='2025'!$L272,BB$4&lt;='2025'!$M272), BB$4&lt;&gt;DATE(2025,7,4)), (SWITCH(weekday(BB$4), 1, 0, 2, if(ISBLANK('2025'!$P272), 0, 1), 3, if(ISBLANK('2025'!$Q272), 0, 1), 4, if(ISBLANK('2025'!$R272), 0, 1), 5, if(ISBLANK('2025'!$S272), 0, 1), 6, if(ISBLANK('2025'!$T272), 0, 1), 7, 0))), 1, "")</f>
        <v/>
      </c>
      <c r="BC274" s="1" t="str">
        <f>IF(AND(AND(AND(BC$4&gt;='2025'!$L272,BC$4&lt;='2025'!$M272), BC$4&lt;&gt;DATE(2025,7,4)), (SWITCH(weekday(BC$4), 1, 0, 2, if(ISBLANK('2025'!$P272), 0, 1), 3, if(ISBLANK('2025'!$Q272), 0, 1), 4, if(ISBLANK('2025'!$R272), 0, 1), 5, if(ISBLANK('2025'!$S272), 0, 1), 6, if(ISBLANK('2025'!$T272), 0, 1), 7, 0))), 1, "")</f>
        <v/>
      </c>
      <c r="BD274" s="1" t="str">
        <f>IF(AND(AND(AND(BD$4&gt;='2025'!$L272,BD$4&lt;='2025'!$M272), BD$4&lt;&gt;DATE(2025,7,4)), (SWITCH(weekday(BD$4), 1, 0, 2, if(ISBLANK('2025'!$P272), 0, 1), 3, if(ISBLANK('2025'!$Q272), 0, 1), 4, if(ISBLANK('2025'!$R272), 0, 1), 5, if(ISBLANK('2025'!$S272), 0, 1), 6, if(ISBLANK('2025'!$T272), 0, 1), 7, 0))), 1, "")</f>
        <v/>
      </c>
      <c r="BE274" s="1" t="str">
        <f>IF(AND(AND(AND(BE$4&gt;='2025'!$L272,BE$4&lt;='2025'!$M272), BE$4&lt;&gt;DATE(2025,7,4)), (SWITCH(weekday(BE$4), 1, 0, 2, if(ISBLANK('2025'!$P272), 0, 1), 3, if(ISBLANK('2025'!$Q272), 0, 1), 4, if(ISBLANK('2025'!$R272), 0, 1), 5, if(ISBLANK('2025'!$S272), 0, 1), 6, if(ISBLANK('2025'!$T272), 0, 1), 7, 0))), 1, "")</f>
        <v/>
      </c>
      <c r="BF274" s="1" t="str">
        <f>IF(AND(AND(AND(BF$4&gt;='2025'!$L272,BF$4&lt;='2025'!$M272), BF$4&lt;&gt;DATE(2025,7,4)), (SWITCH(weekday(BF$4), 1, 0, 2, if(ISBLANK('2025'!$P272), 0, 1), 3, if(ISBLANK('2025'!$Q272), 0, 1), 4, if(ISBLANK('2025'!$R272), 0, 1), 5, if(ISBLANK('2025'!$S272), 0, 1), 6, if(ISBLANK('2025'!$T272), 0, 1), 7, 0))), 1, "")</f>
        <v/>
      </c>
      <c r="BG274" s="1"/>
      <c r="BH274" s="1"/>
      <c r="BI274" s="1"/>
      <c r="BJ274" s="1"/>
      <c r="BK274" s="1"/>
      <c r="BL274" s="1"/>
    </row>
    <row r="275">
      <c r="A275" s="1">
        <f t="shared" si="3"/>
        <v>275</v>
      </c>
      <c r="B275" s="1" t="str">
        <f>'2025'!D239</f>
        <v>, </v>
      </c>
      <c r="C275" s="1" t="str">
        <f>'2025'!H239</f>
        <v/>
      </c>
      <c r="D275" s="1" t="str">
        <f>IF(AND(AND(AND(D$4&gt;='2025'!$L273,D$4&lt;='2025'!$M273), D$4&lt;&gt;DATE(2025,7,4)), (SWITCH(weekday(D$4), 1, 0, 2, if(ISBLANK('2025'!$P273), 0, 1), 3, if(ISBLANK('2025'!$Q273), 0, 1), 4, if(ISBLANK('2025'!$R273), 0, 1), 5, if(ISBLANK('2025'!$S273), 0, 1), 6, if(ISBLANK('2025'!$T273), 0, 1), 7, 0))), 1, "")</f>
        <v/>
      </c>
      <c r="E275" s="1" t="str">
        <f>IF(AND(AND(AND(E$4&gt;='2025'!$L273,E$4&lt;='2025'!$M273), E$4&lt;&gt;DATE(2025,7,4)), (SWITCH(weekday(E$4), 1, 0, 2, if(ISBLANK('2025'!$P273), 0, 1), 3, if(ISBLANK('2025'!$Q273), 0, 1), 4, if(ISBLANK('2025'!$R273), 0, 1), 5, if(ISBLANK('2025'!$S273), 0, 1), 6, if(ISBLANK('2025'!$T273), 0, 1), 7, 0))), 1, "")</f>
        <v/>
      </c>
      <c r="F275" s="1" t="str">
        <f>IF(AND(AND(AND(F$4&gt;='2025'!$L273,F$4&lt;='2025'!$M273), F$4&lt;&gt;DATE(2025,7,4)), (SWITCH(weekday(F$4), 1, 0, 2, if(ISBLANK('2025'!$P273), 0, 1), 3, if(ISBLANK('2025'!$Q273), 0, 1), 4, if(ISBLANK('2025'!$R273), 0, 1), 5, if(ISBLANK('2025'!$S273), 0, 1), 6, if(ISBLANK('2025'!$T273), 0, 1), 7, 0))), 1, "")</f>
        <v/>
      </c>
      <c r="G275" s="1" t="str">
        <f>IF(AND(AND(AND(G$4&gt;='2025'!$L273,G$4&lt;='2025'!$M273), G$4&lt;&gt;DATE(2025,7,4)), (SWITCH(weekday(G$4), 1, 0, 2, if(ISBLANK('2025'!$P273), 0, 1), 3, if(ISBLANK('2025'!$Q273), 0, 1), 4, if(ISBLANK('2025'!$R273), 0, 1), 5, if(ISBLANK('2025'!$S273), 0, 1), 6, if(ISBLANK('2025'!$T273), 0, 1), 7, 0))), 1, "")</f>
        <v/>
      </c>
      <c r="H275" s="1" t="str">
        <f>IF(AND(AND(AND(H$4&gt;='2025'!$L273,H$4&lt;='2025'!$M273), H$4&lt;&gt;DATE(2025,7,4)), (SWITCH(weekday(H$4), 1, 0, 2, if(ISBLANK('2025'!$P273), 0, 1), 3, if(ISBLANK('2025'!$Q273), 0, 1), 4, if(ISBLANK('2025'!$R273), 0, 1), 5, if(ISBLANK('2025'!$S273), 0, 1), 6, if(ISBLANK('2025'!$T273), 0, 1), 7, 0))), 1, "")</f>
        <v/>
      </c>
      <c r="I275" s="1" t="str">
        <f>IF(AND(AND(AND(I$4&gt;='2025'!$L273,I$4&lt;='2025'!$M273), I$4&lt;&gt;DATE(2025,7,4)), (SWITCH(weekday(I$4), 1, 0, 2, if(ISBLANK('2025'!$P273), 0, 1), 3, if(ISBLANK('2025'!$Q273), 0, 1), 4, if(ISBLANK('2025'!$R273), 0, 1), 5, if(ISBLANK('2025'!$S273), 0, 1), 6, if(ISBLANK('2025'!$T273), 0, 1), 7, 0))), 1, "")</f>
        <v/>
      </c>
      <c r="J275" s="1" t="str">
        <f>IF(AND(AND(AND(J$4&gt;='2025'!$L273,J$4&lt;='2025'!$M273), J$4&lt;&gt;DATE(2025,7,4)), (SWITCH(weekday(J$4), 1, 0, 2, if(ISBLANK('2025'!$P273), 0, 1), 3, if(ISBLANK('2025'!$Q273), 0, 1), 4, if(ISBLANK('2025'!$R273), 0, 1), 5, if(ISBLANK('2025'!$S273), 0, 1), 6, if(ISBLANK('2025'!$T273), 0, 1), 7, 0))), 1, "")</f>
        <v/>
      </c>
      <c r="K275" s="1" t="str">
        <f>IF(AND(AND(AND(K$4&gt;='2025'!$L273,K$4&lt;='2025'!$M273), K$4&lt;&gt;DATE(2025,7,4)), (SWITCH(weekday(K$4), 1, 0, 2, if(ISBLANK('2025'!$P273), 0, 1), 3, if(ISBLANK('2025'!$Q273), 0, 1), 4, if(ISBLANK('2025'!$R273), 0, 1), 5, if(ISBLANK('2025'!$S273), 0, 1), 6, if(ISBLANK('2025'!$T273), 0, 1), 7, 0))), 1, "")</f>
        <v/>
      </c>
      <c r="L275" s="1" t="str">
        <f>IF(AND(AND(AND(L$4&gt;='2025'!$L273,L$4&lt;='2025'!$M273), L$4&lt;&gt;DATE(2025,7,4)), (SWITCH(weekday(L$4), 1, 0, 2, if(ISBLANK('2025'!$P273), 0, 1), 3, if(ISBLANK('2025'!$Q273), 0, 1), 4, if(ISBLANK('2025'!$R273), 0, 1), 5, if(ISBLANK('2025'!$S273), 0, 1), 6, if(ISBLANK('2025'!$T273), 0, 1), 7, 0))), 1, "")</f>
        <v/>
      </c>
      <c r="M275" s="1" t="str">
        <f>IF(AND(AND(AND(M$4&gt;='2025'!$L273,M$4&lt;='2025'!$M273), M$4&lt;&gt;DATE(2025,7,4)), (SWITCH(weekday(M$4), 1, 0, 2, if(ISBLANK('2025'!$P273), 0, 1), 3, if(ISBLANK('2025'!$Q273), 0, 1), 4, if(ISBLANK('2025'!$R273), 0, 1), 5, if(ISBLANK('2025'!$S273), 0, 1), 6, if(ISBLANK('2025'!$T273), 0, 1), 7, 0))), 1, "")</f>
        <v/>
      </c>
      <c r="N275" s="1" t="str">
        <f>IF(AND(AND(AND(N$4&gt;='2025'!$L273,N$4&lt;='2025'!$M273), N$4&lt;&gt;DATE(2025,7,4)), (SWITCH(weekday(N$4), 1, 0, 2, if(ISBLANK('2025'!$P273), 0, 1), 3, if(ISBLANK('2025'!$Q273), 0, 1), 4, if(ISBLANK('2025'!$R273), 0, 1), 5, if(ISBLANK('2025'!$S273), 0, 1), 6, if(ISBLANK('2025'!$T273), 0, 1), 7, 0))), 1, "")</f>
        <v/>
      </c>
      <c r="O275" s="1" t="str">
        <f>IF(AND(AND(AND(O$4&gt;='2025'!$L273,O$4&lt;='2025'!$M273), O$4&lt;&gt;DATE(2025,7,4)), (SWITCH(weekday(O$4), 1, 0, 2, if(ISBLANK('2025'!$P273), 0, 1), 3, if(ISBLANK('2025'!$Q273), 0, 1), 4, if(ISBLANK('2025'!$R273), 0, 1), 5, if(ISBLANK('2025'!$S273), 0, 1), 6, if(ISBLANK('2025'!$T273), 0, 1), 7, 0))), 1, "")</f>
        <v/>
      </c>
      <c r="P275" s="1" t="str">
        <f>IF(AND(AND(AND(P$4&gt;='2025'!$L273,P$4&lt;='2025'!$M273), P$4&lt;&gt;DATE(2025,7,4)), (SWITCH(weekday(P$4), 1, 0, 2, if(ISBLANK('2025'!$P273), 0, 1), 3, if(ISBLANK('2025'!$Q273), 0, 1), 4, if(ISBLANK('2025'!$R273), 0, 1), 5, if(ISBLANK('2025'!$S273), 0, 1), 6, if(ISBLANK('2025'!$T273), 0, 1), 7, 0))), 1, "")</f>
        <v/>
      </c>
      <c r="Q275" s="1" t="str">
        <f>IF(AND(AND(AND(Q$4&gt;='2025'!$L273,Q$4&lt;='2025'!$M273), Q$4&lt;&gt;DATE(2025,7,4)), (SWITCH(weekday(Q$4), 1, 0, 2, if(ISBLANK('2025'!$P273), 0, 1), 3, if(ISBLANK('2025'!$Q273), 0, 1), 4, if(ISBLANK('2025'!$R273), 0, 1), 5, if(ISBLANK('2025'!$S273), 0, 1), 6, if(ISBLANK('2025'!$T273), 0, 1), 7, 0))), 1, "")</f>
        <v/>
      </c>
      <c r="R275" s="1" t="str">
        <f>IF(AND(AND(AND(R$4&gt;='2025'!$L273,R$4&lt;='2025'!$M273), R$4&lt;&gt;DATE(2025,7,4)), (SWITCH(weekday(R$4), 1, 0, 2, if(ISBLANK('2025'!$P273), 0, 1), 3, if(ISBLANK('2025'!$Q273), 0, 1), 4, if(ISBLANK('2025'!$R273), 0, 1), 5, if(ISBLANK('2025'!$S273), 0, 1), 6, if(ISBLANK('2025'!$T273), 0, 1), 7, 0))), 1, "")</f>
        <v/>
      </c>
      <c r="S275" s="1" t="str">
        <f>IF(AND(AND(AND(S$4&gt;='2025'!$L273,S$4&lt;='2025'!$M273), S$4&lt;&gt;DATE(2025,7,4)), (SWITCH(weekday(S$4), 1, 0, 2, if(ISBLANK('2025'!$P273), 0, 1), 3, if(ISBLANK('2025'!$Q273), 0, 1), 4, if(ISBLANK('2025'!$R273), 0, 1), 5, if(ISBLANK('2025'!$S273), 0, 1), 6, if(ISBLANK('2025'!$T273), 0, 1), 7, 0))), 1, "")</f>
        <v/>
      </c>
      <c r="T275" s="1" t="str">
        <f>IF(AND(AND(AND(T$4&gt;='2025'!$L273,T$4&lt;='2025'!$M273), T$4&lt;&gt;DATE(2025,7,4)), (SWITCH(weekday(T$4), 1, 0, 2, if(ISBLANK('2025'!$P273), 0, 1), 3, if(ISBLANK('2025'!$Q273), 0, 1), 4, if(ISBLANK('2025'!$R273), 0, 1), 5, if(ISBLANK('2025'!$S273), 0, 1), 6, if(ISBLANK('2025'!$T273), 0, 1), 7, 0))), 1, "")</f>
        <v/>
      </c>
      <c r="U275" s="1" t="str">
        <f>IF(AND(AND(AND(U$4&gt;='2025'!$L273,U$4&lt;='2025'!$M273), U$4&lt;&gt;DATE(2025,7,4)), (SWITCH(weekday(U$4), 1, 0, 2, if(ISBLANK('2025'!$P273), 0, 1), 3, if(ISBLANK('2025'!$Q273), 0, 1), 4, if(ISBLANK('2025'!$R273), 0, 1), 5, if(ISBLANK('2025'!$S273), 0, 1), 6, if(ISBLANK('2025'!$T273), 0, 1), 7, 0))), 1, "")</f>
        <v/>
      </c>
      <c r="V275" s="1" t="str">
        <f>IF(AND(AND(AND(V$4&gt;='2025'!$L273,V$4&lt;='2025'!$M273), V$4&lt;&gt;DATE(2025,7,4)), (SWITCH(weekday(V$4), 1, 0, 2, if(ISBLANK('2025'!$P273), 0, 1), 3, if(ISBLANK('2025'!$Q273), 0, 1), 4, if(ISBLANK('2025'!$R273), 0, 1), 5, if(ISBLANK('2025'!$S273), 0, 1), 6, if(ISBLANK('2025'!$T273), 0, 1), 7, 0))), 1, "")</f>
        <v/>
      </c>
      <c r="W275" s="1" t="str">
        <f>IF(AND(AND(AND(W$4&gt;='2025'!$L273,W$4&lt;='2025'!$M273), W$4&lt;&gt;DATE(2025,7,4)), (SWITCH(weekday(W$4), 1, 0, 2, if(ISBLANK('2025'!$P273), 0, 1), 3, if(ISBLANK('2025'!$Q273), 0, 1), 4, if(ISBLANK('2025'!$R273), 0, 1), 5, if(ISBLANK('2025'!$S273), 0, 1), 6, if(ISBLANK('2025'!$T273), 0, 1), 7, 0))), 1, "")</f>
        <v/>
      </c>
      <c r="X275" s="1" t="str">
        <f>IF(AND(AND(AND(X$4&gt;='2025'!$L273,X$4&lt;='2025'!$M273), X$4&lt;&gt;DATE(2025,7,4)), (SWITCH(weekday(X$4), 1, 0, 2, if(ISBLANK('2025'!$P273), 0, 1), 3, if(ISBLANK('2025'!$Q273), 0, 1), 4, if(ISBLANK('2025'!$R273), 0, 1), 5, if(ISBLANK('2025'!$S273), 0, 1), 6, if(ISBLANK('2025'!$T273), 0, 1), 7, 0))), 1, "")</f>
        <v/>
      </c>
      <c r="Y275" s="1" t="str">
        <f>IF(AND(AND(AND(Y$4&gt;='2025'!$L273,Y$4&lt;='2025'!$M273), Y$4&lt;&gt;DATE(2025,7,4)), (SWITCH(weekday(Y$4), 1, 0, 2, if(ISBLANK('2025'!$P273), 0, 1), 3, if(ISBLANK('2025'!$Q273), 0, 1), 4, if(ISBLANK('2025'!$R273), 0, 1), 5, if(ISBLANK('2025'!$S273), 0, 1), 6, if(ISBLANK('2025'!$T273), 0, 1), 7, 0))), 1, "")</f>
        <v/>
      </c>
      <c r="Z275" s="1" t="str">
        <f>IF(AND(AND(AND(Z$4&gt;='2025'!$L273,Z$4&lt;='2025'!$M273), Z$4&lt;&gt;DATE(2025,7,4)), (SWITCH(weekday(Z$4), 1, 0, 2, if(ISBLANK('2025'!$P273), 0, 1), 3, if(ISBLANK('2025'!$Q273), 0, 1), 4, if(ISBLANK('2025'!$R273), 0, 1), 5, if(ISBLANK('2025'!$S273), 0, 1), 6, if(ISBLANK('2025'!$T273), 0, 1), 7, 0))), 1, "")</f>
        <v/>
      </c>
      <c r="AA275" s="1" t="str">
        <f>IF(AND(AND(AND(AA$4&gt;='2025'!$L273,AA$4&lt;='2025'!$M273), AA$4&lt;&gt;DATE(2025,7,4)), (SWITCH(weekday(AA$4), 1, 0, 2, if(ISBLANK('2025'!$P273), 0, 1), 3, if(ISBLANK('2025'!$Q273), 0, 1), 4, if(ISBLANK('2025'!$R273), 0, 1), 5, if(ISBLANK('2025'!$S273), 0, 1), 6, if(ISBLANK('2025'!$T273), 0, 1), 7, 0))), 1, "")</f>
        <v/>
      </c>
      <c r="AB275" s="1" t="str">
        <f>IF(AND(AND(AND(AB$4&gt;='2025'!$L273,AB$4&lt;='2025'!$M273), AB$4&lt;&gt;DATE(2025,7,4)), (SWITCH(weekday(AB$4), 1, 0, 2, if(ISBLANK('2025'!$P273), 0, 1), 3, if(ISBLANK('2025'!$Q273), 0, 1), 4, if(ISBLANK('2025'!$R273), 0, 1), 5, if(ISBLANK('2025'!$S273), 0, 1), 6, if(ISBLANK('2025'!$T273), 0, 1), 7, 0))), 1, "")</f>
        <v/>
      </c>
      <c r="AC275" s="1" t="str">
        <f>IF(AND(AND(AND(AC$4&gt;='2025'!$L273,AC$4&lt;='2025'!$M273), AC$4&lt;&gt;DATE(2025,7,4)), (SWITCH(weekday(AC$4), 1, 0, 2, if(ISBLANK('2025'!$P273), 0, 1), 3, if(ISBLANK('2025'!$Q273), 0, 1), 4, if(ISBLANK('2025'!$R273), 0, 1), 5, if(ISBLANK('2025'!$S273), 0, 1), 6, if(ISBLANK('2025'!$T273), 0, 1), 7, 0))), 1, "")</f>
        <v/>
      </c>
      <c r="AD275" s="1" t="str">
        <f>IF(AND(AND(AND(AD$4&gt;='2025'!$L273,AD$4&lt;='2025'!$M273), AD$4&lt;&gt;DATE(2025,7,4)), (SWITCH(weekday(AD$4), 1, 0, 2, if(ISBLANK('2025'!$P273), 0, 1), 3, if(ISBLANK('2025'!$Q273), 0, 1), 4, if(ISBLANK('2025'!$R273), 0, 1), 5, if(ISBLANK('2025'!$S273), 0, 1), 6, if(ISBLANK('2025'!$T273), 0, 1), 7, 0))), 1, "")</f>
        <v/>
      </c>
      <c r="AE275" s="1" t="str">
        <f>IF(AND(AND(AND(AE$4&gt;='2025'!$L273,AE$4&lt;='2025'!$M273), AE$4&lt;&gt;DATE(2025,7,4)), (SWITCH(weekday(AE$4), 1, 0, 2, if(ISBLANK('2025'!$P273), 0, 1), 3, if(ISBLANK('2025'!$Q273), 0, 1), 4, if(ISBLANK('2025'!$R273), 0, 1), 5, if(ISBLANK('2025'!$S273), 0, 1), 6, if(ISBLANK('2025'!$T273), 0, 1), 7, 0))), 1, "")</f>
        <v/>
      </c>
      <c r="AF275" s="1" t="str">
        <f>IF(AND(AND(AND(AF$4&gt;='2025'!$L273,AF$4&lt;='2025'!$M273), AF$4&lt;&gt;DATE(2025,7,4)), (SWITCH(weekday(AF$4), 1, 0, 2, if(ISBLANK('2025'!$P273), 0, 1), 3, if(ISBLANK('2025'!$Q273), 0, 1), 4, if(ISBLANK('2025'!$R273), 0, 1), 5, if(ISBLANK('2025'!$S273), 0, 1), 6, if(ISBLANK('2025'!$T273), 0, 1), 7, 0))), 1, "")</f>
        <v/>
      </c>
      <c r="AG275" s="1" t="str">
        <f>IF(AND(AND(AND(AG$4&gt;='2025'!$L273,AG$4&lt;='2025'!$M273), AG$4&lt;&gt;DATE(2025,7,4)), (SWITCH(weekday(AG$4), 1, 0, 2, if(ISBLANK('2025'!$P273), 0, 1), 3, if(ISBLANK('2025'!$Q273), 0, 1), 4, if(ISBLANK('2025'!$R273), 0, 1), 5, if(ISBLANK('2025'!$S273), 0, 1), 6, if(ISBLANK('2025'!$T273), 0, 1), 7, 0))), 1, "")</f>
        <v/>
      </c>
      <c r="AH275" s="1" t="str">
        <f>IF(AND(AND(AND(AH$4&gt;='2025'!$L273,AH$4&lt;='2025'!$M273), AH$4&lt;&gt;DATE(2025,7,4)), (SWITCH(weekday(AH$4), 1, 0, 2, if(ISBLANK('2025'!$P273), 0, 1), 3, if(ISBLANK('2025'!$Q273), 0, 1), 4, if(ISBLANK('2025'!$R273), 0, 1), 5, if(ISBLANK('2025'!$S273), 0, 1), 6, if(ISBLANK('2025'!$T273), 0, 1), 7, 0))), 1, "")</f>
        <v/>
      </c>
      <c r="AI275" s="1" t="str">
        <f>IF(AND(AND(AND(AI$4&gt;='2025'!$L273,AI$4&lt;='2025'!$M273), AI$4&lt;&gt;DATE(2025,7,4)), (SWITCH(weekday(AI$4), 1, 0, 2, if(ISBLANK('2025'!$P273), 0, 1), 3, if(ISBLANK('2025'!$Q273), 0, 1), 4, if(ISBLANK('2025'!$R273), 0, 1), 5, if(ISBLANK('2025'!$S273), 0, 1), 6, if(ISBLANK('2025'!$T273), 0, 1), 7, 0))), 1, "")</f>
        <v/>
      </c>
      <c r="AJ275" s="1" t="str">
        <f>IF(AND(AND(AND(AJ$4&gt;='2025'!$L273,AJ$4&lt;='2025'!$M273), AJ$4&lt;&gt;DATE(2025,7,4)), (SWITCH(weekday(AJ$4), 1, 0, 2, if(ISBLANK('2025'!$P273), 0, 1), 3, if(ISBLANK('2025'!$Q273), 0, 1), 4, if(ISBLANK('2025'!$R273), 0, 1), 5, if(ISBLANK('2025'!$S273), 0, 1), 6, if(ISBLANK('2025'!$T273), 0, 1), 7, 0))), 1, "")</f>
        <v/>
      </c>
      <c r="AK275" s="1" t="str">
        <f>IF(AND(AND(AND(AK$4&gt;='2025'!$L273,AK$4&lt;='2025'!$M273), AK$4&lt;&gt;DATE(2025,7,4)), (SWITCH(weekday(AK$4), 1, 0, 2, if(ISBLANK('2025'!$P273), 0, 1), 3, if(ISBLANK('2025'!$Q273), 0, 1), 4, if(ISBLANK('2025'!$R273), 0, 1), 5, if(ISBLANK('2025'!$S273), 0, 1), 6, if(ISBLANK('2025'!$T273), 0, 1), 7, 0))), 1, "")</f>
        <v/>
      </c>
      <c r="AL275" s="1" t="str">
        <f>IF(AND(AND(AND(AL$4&gt;='2025'!$L273,AL$4&lt;='2025'!$M273), AL$4&lt;&gt;DATE(2025,7,4)), (SWITCH(weekday(AL$4), 1, 0, 2, if(ISBLANK('2025'!$P273), 0, 1), 3, if(ISBLANK('2025'!$Q273), 0, 1), 4, if(ISBLANK('2025'!$R273), 0, 1), 5, if(ISBLANK('2025'!$S273), 0, 1), 6, if(ISBLANK('2025'!$T273), 0, 1), 7, 0))), 1, "")</f>
        <v/>
      </c>
      <c r="AM275" s="1" t="str">
        <f>IF(AND(AND(AND(AM$4&gt;='2025'!$L273,AM$4&lt;='2025'!$M273), AM$4&lt;&gt;DATE(2025,7,4)), (SWITCH(weekday(AM$4), 1, 0, 2, if(ISBLANK('2025'!$P273), 0, 1), 3, if(ISBLANK('2025'!$Q273), 0, 1), 4, if(ISBLANK('2025'!$R273), 0, 1), 5, if(ISBLANK('2025'!$S273), 0, 1), 6, if(ISBLANK('2025'!$T273), 0, 1), 7, 0))), 1, "")</f>
        <v/>
      </c>
      <c r="AN275" s="1" t="str">
        <f>IF(AND(AND(AND(AN$4&gt;='2025'!$L273,AN$4&lt;='2025'!$M273), AN$4&lt;&gt;DATE(2025,7,4)), (SWITCH(weekday(AN$4), 1, 0, 2, if(ISBLANK('2025'!$P273), 0, 1), 3, if(ISBLANK('2025'!$Q273), 0, 1), 4, if(ISBLANK('2025'!$R273), 0, 1), 5, if(ISBLANK('2025'!$S273), 0, 1), 6, if(ISBLANK('2025'!$T273), 0, 1), 7, 0))), 1, "")</f>
        <v/>
      </c>
      <c r="AO275" s="1" t="str">
        <f>IF(AND(AND(AND(AO$4&gt;='2025'!$L273,AO$4&lt;='2025'!$M273), AO$4&lt;&gt;DATE(2025,7,4)), (SWITCH(weekday(AO$4), 1, 0, 2, if(ISBLANK('2025'!$P273), 0, 1), 3, if(ISBLANK('2025'!$Q273), 0, 1), 4, if(ISBLANK('2025'!$R273), 0, 1), 5, if(ISBLANK('2025'!$S273), 0, 1), 6, if(ISBLANK('2025'!$T273), 0, 1), 7, 0))), 1, "")</f>
        <v/>
      </c>
      <c r="AP275" s="1" t="str">
        <f>IF(AND(AND(AND(AP$4&gt;='2025'!$L273,AP$4&lt;='2025'!$M273), AP$4&lt;&gt;DATE(2025,7,4)), (SWITCH(weekday(AP$4), 1, 0, 2, if(ISBLANK('2025'!$P273), 0, 1), 3, if(ISBLANK('2025'!$Q273), 0, 1), 4, if(ISBLANK('2025'!$R273), 0, 1), 5, if(ISBLANK('2025'!$S273), 0, 1), 6, if(ISBLANK('2025'!$T273), 0, 1), 7, 0))), 1, "")</f>
        <v/>
      </c>
      <c r="AQ275" s="1" t="str">
        <f>IF(AND(AND(AND(AQ$4&gt;='2025'!$L273,AQ$4&lt;='2025'!$M273), AQ$4&lt;&gt;DATE(2025,7,4)), (SWITCH(weekday(AQ$4), 1, 0, 2, if(ISBLANK('2025'!$P273), 0, 1), 3, if(ISBLANK('2025'!$Q273), 0, 1), 4, if(ISBLANK('2025'!$R273), 0, 1), 5, if(ISBLANK('2025'!$S273), 0, 1), 6, if(ISBLANK('2025'!$T273), 0, 1), 7, 0))), 1, "")</f>
        <v/>
      </c>
      <c r="AR275" s="1" t="str">
        <f>IF(AND(AND(AND(AR$4&gt;='2025'!$L273,AR$4&lt;='2025'!$M273), AR$4&lt;&gt;DATE(2025,7,4)), (SWITCH(weekday(AR$4), 1, 0, 2, if(ISBLANK('2025'!$P273), 0, 1), 3, if(ISBLANK('2025'!$Q273), 0, 1), 4, if(ISBLANK('2025'!$R273), 0, 1), 5, if(ISBLANK('2025'!$S273), 0, 1), 6, if(ISBLANK('2025'!$T273), 0, 1), 7, 0))), 1, "")</f>
        <v/>
      </c>
      <c r="AS275" s="1" t="str">
        <f>IF(AND(AND(AND(AS$4&gt;='2025'!$L273,AS$4&lt;='2025'!$M273), AS$4&lt;&gt;DATE(2025,7,4)), (SWITCH(weekday(AS$4), 1, 0, 2, if(ISBLANK('2025'!$P273), 0, 1), 3, if(ISBLANK('2025'!$Q273), 0, 1), 4, if(ISBLANK('2025'!$R273), 0, 1), 5, if(ISBLANK('2025'!$S273), 0, 1), 6, if(ISBLANK('2025'!$T273), 0, 1), 7, 0))), 1, "")</f>
        <v/>
      </c>
      <c r="AT275" s="1" t="str">
        <f>IF(AND(AND(AND(AT$4&gt;='2025'!$L273,AT$4&lt;='2025'!$M273), AT$4&lt;&gt;DATE(2025,7,4)), (SWITCH(weekday(AT$4), 1, 0, 2, if(ISBLANK('2025'!$P273), 0, 1), 3, if(ISBLANK('2025'!$Q273), 0, 1), 4, if(ISBLANK('2025'!$R273), 0, 1), 5, if(ISBLANK('2025'!$S273), 0, 1), 6, if(ISBLANK('2025'!$T273), 0, 1), 7, 0))), 1, "")</f>
        <v/>
      </c>
      <c r="AU275" s="1" t="str">
        <f>IF(AND(AND(AND(AU$4&gt;='2025'!$L273,AU$4&lt;='2025'!$M273), AU$4&lt;&gt;DATE(2025,7,4)), (SWITCH(weekday(AU$4), 1, 0, 2, if(ISBLANK('2025'!$P273), 0, 1), 3, if(ISBLANK('2025'!$Q273), 0, 1), 4, if(ISBLANK('2025'!$R273), 0, 1), 5, if(ISBLANK('2025'!$S273), 0, 1), 6, if(ISBLANK('2025'!$T273), 0, 1), 7, 0))), 1, "")</f>
        <v/>
      </c>
      <c r="AV275" s="1" t="str">
        <f>IF(AND(AND(AND(AV$4&gt;='2025'!$L273,AV$4&lt;='2025'!$M273), AV$4&lt;&gt;DATE(2025,7,4)), (SWITCH(weekday(AV$4), 1, 0, 2, if(ISBLANK('2025'!$P273), 0, 1), 3, if(ISBLANK('2025'!$Q273), 0, 1), 4, if(ISBLANK('2025'!$R273), 0, 1), 5, if(ISBLANK('2025'!$S273), 0, 1), 6, if(ISBLANK('2025'!$T273), 0, 1), 7, 0))), 1, "")</f>
        <v/>
      </c>
      <c r="AW275" s="1" t="str">
        <f>IF(AND(AND(AND(AW$4&gt;='2025'!$L273,AW$4&lt;='2025'!$M273), AW$4&lt;&gt;DATE(2025,7,4)), (SWITCH(weekday(AW$4), 1, 0, 2, if(ISBLANK('2025'!$P273), 0, 1), 3, if(ISBLANK('2025'!$Q273), 0, 1), 4, if(ISBLANK('2025'!$R273), 0, 1), 5, if(ISBLANK('2025'!$S273), 0, 1), 6, if(ISBLANK('2025'!$T273), 0, 1), 7, 0))), 1, "")</f>
        <v/>
      </c>
      <c r="AX275" s="1" t="str">
        <f>IF(AND(AND(AND(AX$4&gt;='2025'!$L273,AX$4&lt;='2025'!$M273), AX$4&lt;&gt;DATE(2025,7,4)), (SWITCH(weekday(AX$4), 1, 0, 2, if(ISBLANK('2025'!$P273), 0, 1), 3, if(ISBLANK('2025'!$Q273), 0, 1), 4, if(ISBLANK('2025'!$R273), 0, 1), 5, if(ISBLANK('2025'!$S273), 0, 1), 6, if(ISBLANK('2025'!$T273), 0, 1), 7, 0))), 1, "")</f>
        <v/>
      </c>
      <c r="AY275" s="1" t="str">
        <f>IF(AND(AND(AND(AY$4&gt;='2025'!$L273,AY$4&lt;='2025'!$M273), AY$4&lt;&gt;DATE(2025,7,4)), (SWITCH(weekday(AY$4), 1, 0, 2, if(ISBLANK('2025'!$P273), 0, 1), 3, if(ISBLANK('2025'!$Q273), 0, 1), 4, if(ISBLANK('2025'!$R273), 0, 1), 5, if(ISBLANK('2025'!$S273), 0, 1), 6, if(ISBLANK('2025'!$T273), 0, 1), 7, 0))), 1, "")</f>
        <v/>
      </c>
      <c r="AZ275" s="1" t="str">
        <f>IF(AND(AND(AND(AZ$4&gt;='2025'!$L273,AZ$4&lt;='2025'!$M273), AZ$4&lt;&gt;DATE(2025,7,4)), (SWITCH(weekday(AZ$4), 1, 0, 2, if(ISBLANK('2025'!$P273), 0, 1), 3, if(ISBLANK('2025'!$Q273), 0, 1), 4, if(ISBLANK('2025'!$R273), 0, 1), 5, if(ISBLANK('2025'!$S273), 0, 1), 6, if(ISBLANK('2025'!$T273), 0, 1), 7, 0))), 1, "")</f>
        <v/>
      </c>
      <c r="BA275" s="1" t="str">
        <f>IF(AND(AND(AND(BA$4&gt;='2025'!$L273,BA$4&lt;='2025'!$M273), BA$4&lt;&gt;DATE(2025,7,4)), (SWITCH(weekday(BA$4), 1, 0, 2, if(ISBLANK('2025'!$P273), 0, 1), 3, if(ISBLANK('2025'!$Q273), 0, 1), 4, if(ISBLANK('2025'!$R273), 0, 1), 5, if(ISBLANK('2025'!$S273), 0, 1), 6, if(ISBLANK('2025'!$T273), 0, 1), 7, 0))), 1, "")</f>
        <v/>
      </c>
      <c r="BB275" s="1" t="str">
        <f>IF(AND(AND(AND(BB$4&gt;='2025'!$L273,BB$4&lt;='2025'!$M273), BB$4&lt;&gt;DATE(2025,7,4)), (SWITCH(weekday(BB$4), 1, 0, 2, if(ISBLANK('2025'!$P273), 0, 1), 3, if(ISBLANK('2025'!$Q273), 0, 1), 4, if(ISBLANK('2025'!$R273), 0, 1), 5, if(ISBLANK('2025'!$S273), 0, 1), 6, if(ISBLANK('2025'!$T273), 0, 1), 7, 0))), 1, "")</f>
        <v/>
      </c>
      <c r="BC275" s="1" t="str">
        <f>IF(AND(AND(AND(BC$4&gt;='2025'!$L273,BC$4&lt;='2025'!$M273), BC$4&lt;&gt;DATE(2025,7,4)), (SWITCH(weekday(BC$4), 1, 0, 2, if(ISBLANK('2025'!$P273), 0, 1), 3, if(ISBLANK('2025'!$Q273), 0, 1), 4, if(ISBLANK('2025'!$R273), 0, 1), 5, if(ISBLANK('2025'!$S273), 0, 1), 6, if(ISBLANK('2025'!$T273), 0, 1), 7, 0))), 1, "")</f>
        <v/>
      </c>
      <c r="BD275" s="1" t="str">
        <f>IF(AND(AND(AND(BD$4&gt;='2025'!$L273,BD$4&lt;='2025'!$M273), BD$4&lt;&gt;DATE(2025,7,4)), (SWITCH(weekday(BD$4), 1, 0, 2, if(ISBLANK('2025'!$P273), 0, 1), 3, if(ISBLANK('2025'!$Q273), 0, 1), 4, if(ISBLANK('2025'!$R273), 0, 1), 5, if(ISBLANK('2025'!$S273), 0, 1), 6, if(ISBLANK('2025'!$T273), 0, 1), 7, 0))), 1, "")</f>
        <v/>
      </c>
      <c r="BE275" s="1" t="str">
        <f>IF(AND(AND(AND(BE$4&gt;='2025'!$L273,BE$4&lt;='2025'!$M273), BE$4&lt;&gt;DATE(2025,7,4)), (SWITCH(weekday(BE$4), 1, 0, 2, if(ISBLANK('2025'!$P273), 0, 1), 3, if(ISBLANK('2025'!$Q273), 0, 1), 4, if(ISBLANK('2025'!$R273), 0, 1), 5, if(ISBLANK('2025'!$S273), 0, 1), 6, if(ISBLANK('2025'!$T273), 0, 1), 7, 0))), 1, "")</f>
        <v/>
      </c>
      <c r="BF275" s="1" t="str">
        <f>IF(AND(AND(AND(BF$4&gt;='2025'!$L273,BF$4&lt;='2025'!$M273), BF$4&lt;&gt;DATE(2025,7,4)), (SWITCH(weekday(BF$4), 1, 0, 2, if(ISBLANK('2025'!$P273), 0, 1), 3, if(ISBLANK('2025'!$Q273), 0, 1), 4, if(ISBLANK('2025'!$R273), 0, 1), 5, if(ISBLANK('2025'!$S273), 0, 1), 6, if(ISBLANK('2025'!$T273), 0, 1), 7, 0))), 1, "")</f>
        <v/>
      </c>
      <c r="BG275" s="1"/>
      <c r="BH275" s="1"/>
      <c r="BI275" s="1"/>
      <c r="BJ275" s="1"/>
      <c r="BK275" s="1"/>
      <c r="BL275" s="1"/>
    </row>
    <row r="276">
      <c r="A276" s="1">
        <f t="shared" si="3"/>
        <v>276</v>
      </c>
      <c r="B276" s="1" t="str">
        <f>'2025'!D240</f>
        <v>, </v>
      </c>
      <c r="C276" s="1" t="str">
        <f>'2025'!H240</f>
        <v/>
      </c>
      <c r="D276" s="1" t="str">
        <f>IF(AND(AND(AND(D$4&gt;='2025'!$L274,D$4&lt;='2025'!$M274), D$4&lt;&gt;DATE(2025,7,4)), (SWITCH(weekday(D$4), 1, 0, 2, if(ISBLANK('2025'!$P274), 0, 1), 3, if(ISBLANK('2025'!$Q274), 0, 1), 4, if(ISBLANK('2025'!$R274), 0, 1), 5, if(ISBLANK('2025'!$S274), 0, 1), 6, if(ISBLANK('2025'!$T274), 0, 1), 7, 0))), 1, "")</f>
        <v/>
      </c>
      <c r="E276" s="1" t="str">
        <f>IF(AND(AND(AND(E$4&gt;='2025'!$L274,E$4&lt;='2025'!$M274), E$4&lt;&gt;DATE(2025,7,4)), (SWITCH(weekday(E$4), 1, 0, 2, if(ISBLANK('2025'!$P274), 0, 1), 3, if(ISBLANK('2025'!$Q274), 0, 1), 4, if(ISBLANK('2025'!$R274), 0, 1), 5, if(ISBLANK('2025'!$S274), 0, 1), 6, if(ISBLANK('2025'!$T274), 0, 1), 7, 0))), 1, "")</f>
        <v/>
      </c>
      <c r="F276" s="1" t="str">
        <f>IF(AND(AND(AND(F$4&gt;='2025'!$L274,F$4&lt;='2025'!$M274), F$4&lt;&gt;DATE(2025,7,4)), (SWITCH(weekday(F$4), 1, 0, 2, if(ISBLANK('2025'!$P274), 0, 1), 3, if(ISBLANK('2025'!$Q274), 0, 1), 4, if(ISBLANK('2025'!$R274), 0, 1), 5, if(ISBLANK('2025'!$S274), 0, 1), 6, if(ISBLANK('2025'!$T274), 0, 1), 7, 0))), 1, "")</f>
        <v/>
      </c>
      <c r="G276" s="1" t="str">
        <f>IF(AND(AND(AND(G$4&gt;='2025'!$L274,G$4&lt;='2025'!$M274), G$4&lt;&gt;DATE(2025,7,4)), (SWITCH(weekday(G$4), 1, 0, 2, if(ISBLANK('2025'!$P274), 0, 1), 3, if(ISBLANK('2025'!$Q274), 0, 1), 4, if(ISBLANK('2025'!$R274), 0, 1), 5, if(ISBLANK('2025'!$S274), 0, 1), 6, if(ISBLANK('2025'!$T274), 0, 1), 7, 0))), 1, "")</f>
        <v/>
      </c>
      <c r="H276" s="1" t="str">
        <f>IF(AND(AND(AND(H$4&gt;='2025'!$L274,H$4&lt;='2025'!$M274), H$4&lt;&gt;DATE(2025,7,4)), (SWITCH(weekday(H$4), 1, 0, 2, if(ISBLANK('2025'!$P274), 0, 1), 3, if(ISBLANK('2025'!$Q274), 0, 1), 4, if(ISBLANK('2025'!$R274), 0, 1), 5, if(ISBLANK('2025'!$S274), 0, 1), 6, if(ISBLANK('2025'!$T274), 0, 1), 7, 0))), 1, "")</f>
        <v/>
      </c>
      <c r="I276" s="1" t="str">
        <f>IF(AND(AND(AND(I$4&gt;='2025'!$L274,I$4&lt;='2025'!$M274), I$4&lt;&gt;DATE(2025,7,4)), (SWITCH(weekday(I$4), 1, 0, 2, if(ISBLANK('2025'!$P274), 0, 1), 3, if(ISBLANK('2025'!$Q274), 0, 1), 4, if(ISBLANK('2025'!$R274), 0, 1), 5, if(ISBLANK('2025'!$S274), 0, 1), 6, if(ISBLANK('2025'!$T274), 0, 1), 7, 0))), 1, "")</f>
        <v/>
      </c>
      <c r="J276" s="1" t="str">
        <f>IF(AND(AND(AND(J$4&gt;='2025'!$L274,J$4&lt;='2025'!$M274), J$4&lt;&gt;DATE(2025,7,4)), (SWITCH(weekday(J$4), 1, 0, 2, if(ISBLANK('2025'!$P274), 0, 1), 3, if(ISBLANK('2025'!$Q274), 0, 1), 4, if(ISBLANK('2025'!$R274), 0, 1), 5, if(ISBLANK('2025'!$S274), 0, 1), 6, if(ISBLANK('2025'!$T274), 0, 1), 7, 0))), 1, "")</f>
        <v/>
      </c>
      <c r="K276" s="1" t="str">
        <f>IF(AND(AND(AND(K$4&gt;='2025'!$L274,K$4&lt;='2025'!$M274), K$4&lt;&gt;DATE(2025,7,4)), (SWITCH(weekday(K$4), 1, 0, 2, if(ISBLANK('2025'!$P274), 0, 1), 3, if(ISBLANK('2025'!$Q274), 0, 1), 4, if(ISBLANK('2025'!$R274), 0, 1), 5, if(ISBLANK('2025'!$S274), 0, 1), 6, if(ISBLANK('2025'!$T274), 0, 1), 7, 0))), 1, "")</f>
        <v/>
      </c>
      <c r="L276" s="1" t="str">
        <f>IF(AND(AND(AND(L$4&gt;='2025'!$L274,L$4&lt;='2025'!$M274), L$4&lt;&gt;DATE(2025,7,4)), (SWITCH(weekday(L$4), 1, 0, 2, if(ISBLANK('2025'!$P274), 0, 1), 3, if(ISBLANK('2025'!$Q274), 0, 1), 4, if(ISBLANK('2025'!$R274), 0, 1), 5, if(ISBLANK('2025'!$S274), 0, 1), 6, if(ISBLANK('2025'!$T274), 0, 1), 7, 0))), 1, "")</f>
        <v/>
      </c>
      <c r="M276" s="1" t="str">
        <f>IF(AND(AND(AND(M$4&gt;='2025'!$L274,M$4&lt;='2025'!$M274), M$4&lt;&gt;DATE(2025,7,4)), (SWITCH(weekday(M$4), 1, 0, 2, if(ISBLANK('2025'!$P274), 0, 1), 3, if(ISBLANK('2025'!$Q274), 0, 1), 4, if(ISBLANK('2025'!$R274), 0, 1), 5, if(ISBLANK('2025'!$S274), 0, 1), 6, if(ISBLANK('2025'!$T274), 0, 1), 7, 0))), 1, "")</f>
        <v/>
      </c>
      <c r="N276" s="1" t="str">
        <f>IF(AND(AND(AND(N$4&gt;='2025'!$L274,N$4&lt;='2025'!$M274), N$4&lt;&gt;DATE(2025,7,4)), (SWITCH(weekday(N$4), 1, 0, 2, if(ISBLANK('2025'!$P274), 0, 1), 3, if(ISBLANK('2025'!$Q274), 0, 1), 4, if(ISBLANK('2025'!$R274), 0, 1), 5, if(ISBLANK('2025'!$S274), 0, 1), 6, if(ISBLANK('2025'!$T274), 0, 1), 7, 0))), 1, "")</f>
        <v/>
      </c>
      <c r="O276" s="1" t="str">
        <f>IF(AND(AND(AND(O$4&gt;='2025'!$L274,O$4&lt;='2025'!$M274), O$4&lt;&gt;DATE(2025,7,4)), (SWITCH(weekday(O$4), 1, 0, 2, if(ISBLANK('2025'!$P274), 0, 1), 3, if(ISBLANK('2025'!$Q274), 0, 1), 4, if(ISBLANK('2025'!$R274), 0, 1), 5, if(ISBLANK('2025'!$S274), 0, 1), 6, if(ISBLANK('2025'!$T274), 0, 1), 7, 0))), 1, "")</f>
        <v/>
      </c>
      <c r="P276" s="1" t="str">
        <f>IF(AND(AND(AND(P$4&gt;='2025'!$L274,P$4&lt;='2025'!$M274), P$4&lt;&gt;DATE(2025,7,4)), (SWITCH(weekday(P$4), 1, 0, 2, if(ISBLANK('2025'!$P274), 0, 1), 3, if(ISBLANK('2025'!$Q274), 0, 1), 4, if(ISBLANK('2025'!$R274), 0, 1), 5, if(ISBLANK('2025'!$S274), 0, 1), 6, if(ISBLANK('2025'!$T274), 0, 1), 7, 0))), 1, "")</f>
        <v/>
      </c>
      <c r="Q276" s="1" t="str">
        <f>IF(AND(AND(AND(Q$4&gt;='2025'!$L274,Q$4&lt;='2025'!$M274), Q$4&lt;&gt;DATE(2025,7,4)), (SWITCH(weekday(Q$4), 1, 0, 2, if(ISBLANK('2025'!$P274), 0, 1), 3, if(ISBLANK('2025'!$Q274), 0, 1), 4, if(ISBLANK('2025'!$R274), 0, 1), 5, if(ISBLANK('2025'!$S274), 0, 1), 6, if(ISBLANK('2025'!$T274), 0, 1), 7, 0))), 1, "")</f>
        <v/>
      </c>
      <c r="R276" s="1" t="str">
        <f>IF(AND(AND(AND(R$4&gt;='2025'!$L274,R$4&lt;='2025'!$M274), R$4&lt;&gt;DATE(2025,7,4)), (SWITCH(weekday(R$4), 1, 0, 2, if(ISBLANK('2025'!$P274), 0, 1), 3, if(ISBLANK('2025'!$Q274), 0, 1), 4, if(ISBLANK('2025'!$R274), 0, 1), 5, if(ISBLANK('2025'!$S274), 0, 1), 6, if(ISBLANK('2025'!$T274), 0, 1), 7, 0))), 1, "")</f>
        <v/>
      </c>
      <c r="S276" s="1" t="str">
        <f>IF(AND(AND(AND(S$4&gt;='2025'!$L274,S$4&lt;='2025'!$M274), S$4&lt;&gt;DATE(2025,7,4)), (SWITCH(weekday(S$4), 1, 0, 2, if(ISBLANK('2025'!$P274), 0, 1), 3, if(ISBLANK('2025'!$Q274), 0, 1), 4, if(ISBLANK('2025'!$R274), 0, 1), 5, if(ISBLANK('2025'!$S274), 0, 1), 6, if(ISBLANK('2025'!$T274), 0, 1), 7, 0))), 1, "")</f>
        <v/>
      </c>
      <c r="T276" s="1" t="str">
        <f>IF(AND(AND(AND(T$4&gt;='2025'!$L274,T$4&lt;='2025'!$M274), T$4&lt;&gt;DATE(2025,7,4)), (SWITCH(weekday(T$4), 1, 0, 2, if(ISBLANK('2025'!$P274), 0, 1), 3, if(ISBLANK('2025'!$Q274), 0, 1), 4, if(ISBLANK('2025'!$R274), 0, 1), 5, if(ISBLANK('2025'!$S274), 0, 1), 6, if(ISBLANK('2025'!$T274), 0, 1), 7, 0))), 1, "")</f>
        <v/>
      </c>
      <c r="U276" s="1" t="str">
        <f>IF(AND(AND(AND(U$4&gt;='2025'!$L274,U$4&lt;='2025'!$M274), U$4&lt;&gt;DATE(2025,7,4)), (SWITCH(weekday(U$4), 1, 0, 2, if(ISBLANK('2025'!$P274), 0, 1), 3, if(ISBLANK('2025'!$Q274), 0, 1), 4, if(ISBLANK('2025'!$R274), 0, 1), 5, if(ISBLANK('2025'!$S274), 0, 1), 6, if(ISBLANK('2025'!$T274), 0, 1), 7, 0))), 1, "")</f>
        <v/>
      </c>
      <c r="V276" s="1" t="str">
        <f>IF(AND(AND(AND(V$4&gt;='2025'!$L274,V$4&lt;='2025'!$M274), V$4&lt;&gt;DATE(2025,7,4)), (SWITCH(weekday(V$4), 1, 0, 2, if(ISBLANK('2025'!$P274), 0, 1), 3, if(ISBLANK('2025'!$Q274), 0, 1), 4, if(ISBLANK('2025'!$R274), 0, 1), 5, if(ISBLANK('2025'!$S274), 0, 1), 6, if(ISBLANK('2025'!$T274), 0, 1), 7, 0))), 1, "")</f>
        <v/>
      </c>
      <c r="W276" s="1" t="str">
        <f>IF(AND(AND(AND(W$4&gt;='2025'!$L274,W$4&lt;='2025'!$M274), W$4&lt;&gt;DATE(2025,7,4)), (SWITCH(weekday(W$4), 1, 0, 2, if(ISBLANK('2025'!$P274), 0, 1), 3, if(ISBLANK('2025'!$Q274), 0, 1), 4, if(ISBLANK('2025'!$R274), 0, 1), 5, if(ISBLANK('2025'!$S274), 0, 1), 6, if(ISBLANK('2025'!$T274), 0, 1), 7, 0))), 1, "")</f>
        <v/>
      </c>
      <c r="X276" s="1" t="str">
        <f>IF(AND(AND(AND(X$4&gt;='2025'!$L274,X$4&lt;='2025'!$M274), X$4&lt;&gt;DATE(2025,7,4)), (SWITCH(weekday(X$4), 1, 0, 2, if(ISBLANK('2025'!$P274), 0, 1), 3, if(ISBLANK('2025'!$Q274), 0, 1), 4, if(ISBLANK('2025'!$R274), 0, 1), 5, if(ISBLANK('2025'!$S274), 0, 1), 6, if(ISBLANK('2025'!$T274), 0, 1), 7, 0))), 1, "")</f>
        <v/>
      </c>
      <c r="Y276" s="1" t="str">
        <f>IF(AND(AND(AND(Y$4&gt;='2025'!$L274,Y$4&lt;='2025'!$M274), Y$4&lt;&gt;DATE(2025,7,4)), (SWITCH(weekday(Y$4), 1, 0, 2, if(ISBLANK('2025'!$P274), 0, 1), 3, if(ISBLANK('2025'!$Q274), 0, 1), 4, if(ISBLANK('2025'!$R274), 0, 1), 5, if(ISBLANK('2025'!$S274), 0, 1), 6, if(ISBLANK('2025'!$T274), 0, 1), 7, 0))), 1, "")</f>
        <v/>
      </c>
      <c r="Z276" s="1" t="str">
        <f>IF(AND(AND(AND(Z$4&gt;='2025'!$L274,Z$4&lt;='2025'!$M274), Z$4&lt;&gt;DATE(2025,7,4)), (SWITCH(weekday(Z$4), 1, 0, 2, if(ISBLANK('2025'!$P274), 0, 1), 3, if(ISBLANK('2025'!$Q274), 0, 1), 4, if(ISBLANK('2025'!$R274), 0, 1), 5, if(ISBLANK('2025'!$S274), 0, 1), 6, if(ISBLANK('2025'!$T274), 0, 1), 7, 0))), 1, "")</f>
        <v/>
      </c>
      <c r="AA276" s="1" t="str">
        <f>IF(AND(AND(AND(AA$4&gt;='2025'!$L274,AA$4&lt;='2025'!$M274), AA$4&lt;&gt;DATE(2025,7,4)), (SWITCH(weekday(AA$4), 1, 0, 2, if(ISBLANK('2025'!$P274), 0, 1), 3, if(ISBLANK('2025'!$Q274), 0, 1), 4, if(ISBLANK('2025'!$R274), 0, 1), 5, if(ISBLANK('2025'!$S274), 0, 1), 6, if(ISBLANK('2025'!$T274), 0, 1), 7, 0))), 1, "")</f>
        <v/>
      </c>
      <c r="AB276" s="1" t="str">
        <f>IF(AND(AND(AND(AB$4&gt;='2025'!$L274,AB$4&lt;='2025'!$M274), AB$4&lt;&gt;DATE(2025,7,4)), (SWITCH(weekday(AB$4), 1, 0, 2, if(ISBLANK('2025'!$P274), 0, 1), 3, if(ISBLANK('2025'!$Q274), 0, 1), 4, if(ISBLANK('2025'!$R274), 0, 1), 5, if(ISBLANK('2025'!$S274), 0, 1), 6, if(ISBLANK('2025'!$T274), 0, 1), 7, 0))), 1, "")</f>
        <v/>
      </c>
      <c r="AC276" s="1" t="str">
        <f>IF(AND(AND(AND(AC$4&gt;='2025'!$L274,AC$4&lt;='2025'!$M274), AC$4&lt;&gt;DATE(2025,7,4)), (SWITCH(weekday(AC$4), 1, 0, 2, if(ISBLANK('2025'!$P274), 0, 1), 3, if(ISBLANK('2025'!$Q274), 0, 1), 4, if(ISBLANK('2025'!$R274), 0, 1), 5, if(ISBLANK('2025'!$S274), 0, 1), 6, if(ISBLANK('2025'!$T274), 0, 1), 7, 0))), 1, "")</f>
        <v/>
      </c>
      <c r="AD276" s="1" t="str">
        <f>IF(AND(AND(AND(AD$4&gt;='2025'!$L274,AD$4&lt;='2025'!$M274), AD$4&lt;&gt;DATE(2025,7,4)), (SWITCH(weekday(AD$4), 1, 0, 2, if(ISBLANK('2025'!$P274), 0, 1), 3, if(ISBLANK('2025'!$Q274), 0, 1), 4, if(ISBLANK('2025'!$R274), 0, 1), 5, if(ISBLANK('2025'!$S274), 0, 1), 6, if(ISBLANK('2025'!$T274), 0, 1), 7, 0))), 1, "")</f>
        <v/>
      </c>
      <c r="AE276" s="1" t="str">
        <f>IF(AND(AND(AND(AE$4&gt;='2025'!$L274,AE$4&lt;='2025'!$M274), AE$4&lt;&gt;DATE(2025,7,4)), (SWITCH(weekday(AE$4), 1, 0, 2, if(ISBLANK('2025'!$P274), 0, 1), 3, if(ISBLANK('2025'!$Q274), 0, 1), 4, if(ISBLANK('2025'!$R274), 0, 1), 5, if(ISBLANK('2025'!$S274), 0, 1), 6, if(ISBLANK('2025'!$T274), 0, 1), 7, 0))), 1, "")</f>
        <v/>
      </c>
      <c r="AF276" s="1" t="str">
        <f>IF(AND(AND(AND(AF$4&gt;='2025'!$L274,AF$4&lt;='2025'!$M274), AF$4&lt;&gt;DATE(2025,7,4)), (SWITCH(weekday(AF$4), 1, 0, 2, if(ISBLANK('2025'!$P274), 0, 1), 3, if(ISBLANK('2025'!$Q274), 0, 1), 4, if(ISBLANK('2025'!$R274), 0, 1), 5, if(ISBLANK('2025'!$S274), 0, 1), 6, if(ISBLANK('2025'!$T274), 0, 1), 7, 0))), 1, "")</f>
        <v/>
      </c>
      <c r="AG276" s="1" t="str">
        <f>IF(AND(AND(AND(AG$4&gt;='2025'!$L274,AG$4&lt;='2025'!$M274), AG$4&lt;&gt;DATE(2025,7,4)), (SWITCH(weekday(AG$4), 1, 0, 2, if(ISBLANK('2025'!$P274), 0, 1), 3, if(ISBLANK('2025'!$Q274), 0, 1), 4, if(ISBLANK('2025'!$R274), 0, 1), 5, if(ISBLANK('2025'!$S274), 0, 1), 6, if(ISBLANK('2025'!$T274), 0, 1), 7, 0))), 1, "")</f>
        <v/>
      </c>
      <c r="AH276" s="1" t="str">
        <f>IF(AND(AND(AND(AH$4&gt;='2025'!$L274,AH$4&lt;='2025'!$M274), AH$4&lt;&gt;DATE(2025,7,4)), (SWITCH(weekday(AH$4), 1, 0, 2, if(ISBLANK('2025'!$P274), 0, 1), 3, if(ISBLANK('2025'!$Q274), 0, 1), 4, if(ISBLANK('2025'!$R274), 0, 1), 5, if(ISBLANK('2025'!$S274), 0, 1), 6, if(ISBLANK('2025'!$T274), 0, 1), 7, 0))), 1, "")</f>
        <v/>
      </c>
      <c r="AI276" s="1" t="str">
        <f>IF(AND(AND(AND(AI$4&gt;='2025'!$L274,AI$4&lt;='2025'!$M274), AI$4&lt;&gt;DATE(2025,7,4)), (SWITCH(weekday(AI$4), 1, 0, 2, if(ISBLANK('2025'!$P274), 0, 1), 3, if(ISBLANK('2025'!$Q274), 0, 1), 4, if(ISBLANK('2025'!$R274), 0, 1), 5, if(ISBLANK('2025'!$S274), 0, 1), 6, if(ISBLANK('2025'!$T274), 0, 1), 7, 0))), 1, "")</f>
        <v/>
      </c>
      <c r="AJ276" s="1" t="str">
        <f>IF(AND(AND(AND(AJ$4&gt;='2025'!$L274,AJ$4&lt;='2025'!$M274), AJ$4&lt;&gt;DATE(2025,7,4)), (SWITCH(weekday(AJ$4), 1, 0, 2, if(ISBLANK('2025'!$P274), 0, 1), 3, if(ISBLANK('2025'!$Q274), 0, 1), 4, if(ISBLANK('2025'!$R274), 0, 1), 5, if(ISBLANK('2025'!$S274), 0, 1), 6, if(ISBLANK('2025'!$T274), 0, 1), 7, 0))), 1, "")</f>
        <v/>
      </c>
      <c r="AK276" s="1" t="str">
        <f>IF(AND(AND(AND(AK$4&gt;='2025'!$L274,AK$4&lt;='2025'!$M274), AK$4&lt;&gt;DATE(2025,7,4)), (SWITCH(weekday(AK$4), 1, 0, 2, if(ISBLANK('2025'!$P274), 0, 1), 3, if(ISBLANK('2025'!$Q274), 0, 1), 4, if(ISBLANK('2025'!$R274), 0, 1), 5, if(ISBLANK('2025'!$S274), 0, 1), 6, if(ISBLANK('2025'!$T274), 0, 1), 7, 0))), 1, "")</f>
        <v/>
      </c>
      <c r="AL276" s="1" t="str">
        <f>IF(AND(AND(AND(AL$4&gt;='2025'!$L274,AL$4&lt;='2025'!$M274), AL$4&lt;&gt;DATE(2025,7,4)), (SWITCH(weekday(AL$4), 1, 0, 2, if(ISBLANK('2025'!$P274), 0, 1), 3, if(ISBLANK('2025'!$Q274), 0, 1), 4, if(ISBLANK('2025'!$R274), 0, 1), 5, if(ISBLANK('2025'!$S274), 0, 1), 6, if(ISBLANK('2025'!$T274), 0, 1), 7, 0))), 1, "")</f>
        <v/>
      </c>
      <c r="AM276" s="1" t="str">
        <f>IF(AND(AND(AND(AM$4&gt;='2025'!$L274,AM$4&lt;='2025'!$M274), AM$4&lt;&gt;DATE(2025,7,4)), (SWITCH(weekday(AM$4), 1, 0, 2, if(ISBLANK('2025'!$P274), 0, 1), 3, if(ISBLANK('2025'!$Q274), 0, 1), 4, if(ISBLANK('2025'!$R274), 0, 1), 5, if(ISBLANK('2025'!$S274), 0, 1), 6, if(ISBLANK('2025'!$T274), 0, 1), 7, 0))), 1, "")</f>
        <v/>
      </c>
      <c r="AN276" s="1" t="str">
        <f>IF(AND(AND(AND(AN$4&gt;='2025'!$L274,AN$4&lt;='2025'!$M274), AN$4&lt;&gt;DATE(2025,7,4)), (SWITCH(weekday(AN$4), 1, 0, 2, if(ISBLANK('2025'!$P274), 0, 1), 3, if(ISBLANK('2025'!$Q274), 0, 1), 4, if(ISBLANK('2025'!$R274), 0, 1), 5, if(ISBLANK('2025'!$S274), 0, 1), 6, if(ISBLANK('2025'!$T274), 0, 1), 7, 0))), 1, "")</f>
        <v/>
      </c>
      <c r="AO276" s="1" t="str">
        <f>IF(AND(AND(AND(AO$4&gt;='2025'!$L274,AO$4&lt;='2025'!$M274), AO$4&lt;&gt;DATE(2025,7,4)), (SWITCH(weekday(AO$4), 1, 0, 2, if(ISBLANK('2025'!$P274), 0, 1), 3, if(ISBLANK('2025'!$Q274), 0, 1), 4, if(ISBLANK('2025'!$R274), 0, 1), 5, if(ISBLANK('2025'!$S274), 0, 1), 6, if(ISBLANK('2025'!$T274), 0, 1), 7, 0))), 1, "")</f>
        <v/>
      </c>
      <c r="AP276" s="1" t="str">
        <f>IF(AND(AND(AND(AP$4&gt;='2025'!$L274,AP$4&lt;='2025'!$M274), AP$4&lt;&gt;DATE(2025,7,4)), (SWITCH(weekday(AP$4), 1, 0, 2, if(ISBLANK('2025'!$P274), 0, 1), 3, if(ISBLANK('2025'!$Q274), 0, 1), 4, if(ISBLANK('2025'!$R274), 0, 1), 5, if(ISBLANK('2025'!$S274), 0, 1), 6, if(ISBLANK('2025'!$T274), 0, 1), 7, 0))), 1, "")</f>
        <v/>
      </c>
      <c r="AQ276" s="1" t="str">
        <f>IF(AND(AND(AND(AQ$4&gt;='2025'!$L274,AQ$4&lt;='2025'!$M274), AQ$4&lt;&gt;DATE(2025,7,4)), (SWITCH(weekday(AQ$4), 1, 0, 2, if(ISBLANK('2025'!$P274), 0, 1), 3, if(ISBLANK('2025'!$Q274), 0, 1), 4, if(ISBLANK('2025'!$R274), 0, 1), 5, if(ISBLANK('2025'!$S274), 0, 1), 6, if(ISBLANK('2025'!$T274), 0, 1), 7, 0))), 1, "")</f>
        <v/>
      </c>
      <c r="AR276" s="1" t="str">
        <f>IF(AND(AND(AND(AR$4&gt;='2025'!$L274,AR$4&lt;='2025'!$M274), AR$4&lt;&gt;DATE(2025,7,4)), (SWITCH(weekday(AR$4), 1, 0, 2, if(ISBLANK('2025'!$P274), 0, 1), 3, if(ISBLANK('2025'!$Q274), 0, 1), 4, if(ISBLANK('2025'!$R274), 0, 1), 5, if(ISBLANK('2025'!$S274), 0, 1), 6, if(ISBLANK('2025'!$T274), 0, 1), 7, 0))), 1, "")</f>
        <v/>
      </c>
      <c r="AS276" s="1" t="str">
        <f>IF(AND(AND(AND(AS$4&gt;='2025'!$L274,AS$4&lt;='2025'!$M274), AS$4&lt;&gt;DATE(2025,7,4)), (SWITCH(weekday(AS$4), 1, 0, 2, if(ISBLANK('2025'!$P274), 0, 1), 3, if(ISBLANK('2025'!$Q274), 0, 1), 4, if(ISBLANK('2025'!$R274), 0, 1), 5, if(ISBLANK('2025'!$S274), 0, 1), 6, if(ISBLANK('2025'!$T274), 0, 1), 7, 0))), 1, "")</f>
        <v/>
      </c>
      <c r="AT276" s="1" t="str">
        <f>IF(AND(AND(AND(AT$4&gt;='2025'!$L274,AT$4&lt;='2025'!$M274), AT$4&lt;&gt;DATE(2025,7,4)), (SWITCH(weekday(AT$4), 1, 0, 2, if(ISBLANK('2025'!$P274), 0, 1), 3, if(ISBLANK('2025'!$Q274), 0, 1), 4, if(ISBLANK('2025'!$R274), 0, 1), 5, if(ISBLANK('2025'!$S274), 0, 1), 6, if(ISBLANK('2025'!$T274), 0, 1), 7, 0))), 1, "")</f>
        <v/>
      </c>
      <c r="AU276" s="1" t="str">
        <f>IF(AND(AND(AND(AU$4&gt;='2025'!$L274,AU$4&lt;='2025'!$M274), AU$4&lt;&gt;DATE(2025,7,4)), (SWITCH(weekday(AU$4), 1, 0, 2, if(ISBLANK('2025'!$P274), 0, 1), 3, if(ISBLANK('2025'!$Q274), 0, 1), 4, if(ISBLANK('2025'!$R274), 0, 1), 5, if(ISBLANK('2025'!$S274), 0, 1), 6, if(ISBLANK('2025'!$T274), 0, 1), 7, 0))), 1, "")</f>
        <v/>
      </c>
      <c r="AV276" s="1" t="str">
        <f>IF(AND(AND(AND(AV$4&gt;='2025'!$L274,AV$4&lt;='2025'!$M274), AV$4&lt;&gt;DATE(2025,7,4)), (SWITCH(weekday(AV$4), 1, 0, 2, if(ISBLANK('2025'!$P274), 0, 1), 3, if(ISBLANK('2025'!$Q274), 0, 1), 4, if(ISBLANK('2025'!$R274), 0, 1), 5, if(ISBLANK('2025'!$S274), 0, 1), 6, if(ISBLANK('2025'!$T274), 0, 1), 7, 0))), 1, "")</f>
        <v/>
      </c>
      <c r="AW276" s="1" t="str">
        <f>IF(AND(AND(AND(AW$4&gt;='2025'!$L274,AW$4&lt;='2025'!$M274), AW$4&lt;&gt;DATE(2025,7,4)), (SWITCH(weekday(AW$4), 1, 0, 2, if(ISBLANK('2025'!$P274), 0, 1), 3, if(ISBLANK('2025'!$Q274), 0, 1), 4, if(ISBLANK('2025'!$R274), 0, 1), 5, if(ISBLANK('2025'!$S274), 0, 1), 6, if(ISBLANK('2025'!$T274), 0, 1), 7, 0))), 1, "")</f>
        <v/>
      </c>
      <c r="AX276" s="1" t="str">
        <f>IF(AND(AND(AND(AX$4&gt;='2025'!$L274,AX$4&lt;='2025'!$M274), AX$4&lt;&gt;DATE(2025,7,4)), (SWITCH(weekday(AX$4), 1, 0, 2, if(ISBLANK('2025'!$P274), 0, 1), 3, if(ISBLANK('2025'!$Q274), 0, 1), 4, if(ISBLANK('2025'!$R274), 0, 1), 5, if(ISBLANK('2025'!$S274), 0, 1), 6, if(ISBLANK('2025'!$T274), 0, 1), 7, 0))), 1, "")</f>
        <v/>
      </c>
      <c r="AY276" s="1" t="str">
        <f>IF(AND(AND(AND(AY$4&gt;='2025'!$L274,AY$4&lt;='2025'!$M274), AY$4&lt;&gt;DATE(2025,7,4)), (SWITCH(weekday(AY$4), 1, 0, 2, if(ISBLANK('2025'!$P274), 0, 1), 3, if(ISBLANK('2025'!$Q274), 0, 1), 4, if(ISBLANK('2025'!$R274), 0, 1), 5, if(ISBLANK('2025'!$S274), 0, 1), 6, if(ISBLANK('2025'!$T274), 0, 1), 7, 0))), 1, "")</f>
        <v/>
      </c>
      <c r="AZ276" s="1" t="str">
        <f>IF(AND(AND(AND(AZ$4&gt;='2025'!$L274,AZ$4&lt;='2025'!$M274), AZ$4&lt;&gt;DATE(2025,7,4)), (SWITCH(weekday(AZ$4), 1, 0, 2, if(ISBLANK('2025'!$P274), 0, 1), 3, if(ISBLANK('2025'!$Q274), 0, 1), 4, if(ISBLANK('2025'!$R274), 0, 1), 5, if(ISBLANK('2025'!$S274), 0, 1), 6, if(ISBLANK('2025'!$T274), 0, 1), 7, 0))), 1, "")</f>
        <v/>
      </c>
      <c r="BA276" s="1" t="str">
        <f>IF(AND(AND(AND(BA$4&gt;='2025'!$L274,BA$4&lt;='2025'!$M274), BA$4&lt;&gt;DATE(2025,7,4)), (SWITCH(weekday(BA$4), 1, 0, 2, if(ISBLANK('2025'!$P274), 0, 1), 3, if(ISBLANK('2025'!$Q274), 0, 1), 4, if(ISBLANK('2025'!$R274), 0, 1), 5, if(ISBLANK('2025'!$S274), 0, 1), 6, if(ISBLANK('2025'!$T274), 0, 1), 7, 0))), 1, "")</f>
        <v/>
      </c>
      <c r="BB276" s="1" t="str">
        <f>IF(AND(AND(AND(BB$4&gt;='2025'!$L274,BB$4&lt;='2025'!$M274), BB$4&lt;&gt;DATE(2025,7,4)), (SWITCH(weekday(BB$4), 1, 0, 2, if(ISBLANK('2025'!$P274), 0, 1), 3, if(ISBLANK('2025'!$Q274), 0, 1), 4, if(ISBLANK('2025'!$R274), 0, 1), 5, if(ISBLANK('2025'!$S274), 0, 1), 6, if(ISBLANK('2025'!$T274), 0, 1), 7, 0))), 1, "")</f>
        <v/>
      </c>
      <c r="BC276" s="1" t="str">
        <f>IF(AND(AND(AND(BC$4&gt;='2025'!$L274,BC$4&lt;='2025'!$M274), BC$4&lt;&gt;DATE(2025,7,4)), (SWITCH(weekday(BC$4), 1, 0, 2, if(ISBLANK('2025'!$P274), 0, 1), 3, if(ISBLANK('2025'!$Q274), 0, 1), 4, if(ISBLANK('2025'!$R274), 0, 1), 5, if(ISBLANK('2025'!$S274), 0, 1), 6, if(ISBLANK('2025'!$T274), 0, 1), 7, 0))), 1, "")</f>
        <v/>
      </c>
      <c r="BD276" s="1" t="str">
        <f>IF(AND(AND(AND(BD$4&gt;='2025'!$L274,BD$4&lt;='2025'!$M274), BD$4&lt;&gt;DATE(2025,7,4)), (SWITCH(weekday(BD$4), 1, 0, 2, if(ISBLANK('2025'!$P274), 0, 1), 3, if(ISBLANK('2025'!$Q274), 0, 1), 4, if(ISBLANK('2025'!$R274), 0, 1), 5, if(ISBLANK('2025'!$S274), 0, 1), 6, if(ISBLANK('2025'!$T274), 0, 1), 7, 0))), 1, "")</f>
        <v/>
      </c>
      <c r="BE276" s="1" t="str">
        <f>IF(AND(AND(AND(BE$4&gt;='2025'!$L274,BE$4&lt;='2025'!$M274), BE$4&lt;&gt;DATE(2025,7,4)), (SWITCH(weekday(BE$4), 1, 0, 2, if(ISBLANK('2025'!$P274), 0, 1), 3, if(ISBLANK('2025'!$Q274), 0, 1), 4, if(ISBLANK('2025'!$R274), 0, 1), 5, if(ISBLANK('2025'!$S274), 0, 1), 6, if(ISBLANK('2025'!$T274), 0, 1), 7, 0))), 1, "")</f>
        <v/>
      </c>
      <c r="BF276" s="1" t="str">
        <f>IF(AND(AND(AND(BF$4&gt;='2025'!$L274,BF$4&lt;='2025'!$M274), BF$4&lt;&gt;DATE(2025,7,4)), (SWITCH(weekday(BF$4), 1, 0, 2, if(ISBLANK('2025'!$P274), 0, 1), 3, if(ISBLANK('2025'!$Q274), 0, 1), 4, if(ISBLANK('2025'!$R274), 0, 1), 5, if(ISBLANK('2025'!$S274), 0, 1), 6, if(ISBLANK('2025'!$T274), 0, 1), 7, 0))), 1, "")</f>
        <v/>
      </c>
      <c r="BG276" s="1"/>
      <c r="BH276" s="1"/>
      <c r="BI276" s="1"/>
      <c r="BJ276" s="1"/>
      <c r="BK276" s="1"/>
      <c r="BL276" s="1"/>
    </row>
    <row r="277">
      <c r="A277" s="1">
        <f t="shared" si="3"/>
        <v>277</v>
      </c>
      <c r="B277" s="1" t="str">
        <f>'2025'!D241</f>
        <v>, </v>
      </c>
      <c r="C277" s="1" t="str">
        <f>'2025'!H241</f>
        <v/>
      </c>
      <c r="D277" s="1" t="str">
        <f>IF(AND(AND(AND(D$4&gt;='2025'!$L275,D$4&lt;='2025'!$M275), D$4&lt;&gt;DATE(2025,7,4)), (SWITCH(weekday(D$4), 1, 0, 2, if(ISBLANK('2025'!$P275), 0, 1), 3, if(ISBLANK('2025'!$Q275), 0, 1), 4, if(ISBLANK('2025'!$R275), 0, 1), 5, if(ISBLANK('2025'!$S275), 0, 1), 6, if(ISBLANK('2025'!$T275), 0, 1), 7, 0))), 1, "")</f>
        <v/>
      </c>
      <c r="E277" s="1" t="str">
        <f>IF(AND(AND(AND(E$4&gt;='2025'!$L275,E$4&lt;='2025'!$M275), E$4&lt;&gt;DATE(2025,7,4)), (SWITCH(weekday(E$4), 1, 0, 2, if(ISBLANK('2025'!$P275), 0, 1), 3, if(ISBLANK('2025'!$Q275), 0, 1), 4, if(ISBLANK('2025'!$R275), 0, 1), 5, if(ISBLANK('2025'!$S275), 0, 1), 6, if(ISBLANK('2025'!$T275), 0, 1), 7, 0))), 1, "")</f>
        <v/>
      </c>
      <c r="F277" s="1" t="str">
        <f>IF(AND(AND(AND(F$4&gt;='2025'!$L275,F$4&lt;='2025'!$M275), F$4&lt;&gt;DATE(2025,7,4)), (SWITCH(weekday(F$4), 1, 0, 2, if(ISBLANK('2025'!$P275), 0, 1), 3, if(ISBLANK('2025'!$Q275), 0, 1), 4, if(ISBLANK('2025'!$R275), 0, 1), 5, if(ISBLANK('2025'!$S275), 0, 1), 6, if(ISBLANK('2025'!$T275), 0, 1), 7, 0))), 1, "")</f>
        <v/>
      </c>
      <c r="G277" s="1" t="str">
        <f>IF(AND(AND(AND(G$4&gt;='2025'!$L275,G$4&lt;='2025'!$M275), G$4&lt;&gt;DATE(2025,7,4)), (SWITCH(weekday(G$4), 1, 0, 2, if(ISBLANK('2025'!$P275), 0, 1), 3, if(ISBLANK('2025'!$Q275), 0, 1), 4, if(ISBLANK('2025'!$R275), 0, 1), 5, if(ISBLANK('2025'!$S275), 0, 1), 6, if(ISBLANK('2025'!$T275), 0, 1), 7, 0))), 1, "")</f>
        <v/>
      </c>
      <c r="H277" s="1" t="str">
        <f>IF(AND(AND(AND(H$4&gt;='2025'!$L275,H$4&lt;='2025'!$M275), H$4&lt;&gt;DATE(2025,7,4)), (SWITCH(weekday(H$4), 1, 0, 2, if(ISBLANK('2025'!$P275), 0, 1), 3, if(ISBLANK('2025'!$Q275), 0, 1), 4, if(ISBLANK('2025'!$R275), 0, 1), 5, if(ISBLANK('2025'!$S275), 0, 1), 6, if(ISBLANK('2025'!$T275), 0, 1), 7, 0))), 1, "")</f>
        <v/>
      </c>
      <c r="I277" s="1" t="str">
        <f>IF(AND(AND(AND(I$4&gt;='2025'!$L275,I$4&lt;='2025'!$M275), I$4&lt;&gt;DATE(2025,7,4)), (SWITCH(weekday(I$4), 1, 0, 2, if(ISBLANK('2025'!$P275), 0, 1), 3, if(ISBLANK('2025'!$Q275), 0, 1), 4, if(ISBLANK('2025'!$R275), 0, 1), 5, if(ISBLANK('2025'!$S275), 0, 1), 6, if(ISBLANK('2025'!$T275), 0, 1), 7, 0))), 1, "")</f>
        <v/>
      </c>
      <c r="J277" s="1" t="str">
        <f>IF(AND(AND(AND(J$4&gt;='2025'!$L275,J$4&lt;='2025'!$M275), J$4&lt;&gt;DATE(2025,7,4)), (SWITCH(weekday(J$4), 1, 0, 2, if(ISBLANK('2025'!$P275), 0, 1), 3, if(ISBLANK('2025'!$Q275), 0, 1), 4, if(ISBLANK('2025'!$R275), 0, 1), 5, if(ISBLANK('2025'!$S275), 0, 1), 6, if(ISBLANK('2025'!$T275), 0, 1), 7, 0))), 1, "")</f>
        <v/>
      </c>
      <c r="K277" s="1" t="str">
        <f>IF(AND(AND(AND(K$4&gt;='2025'!$L275,K$4&lt;='2025'!$M275), K$4&lt;&gt;DATE(2025,7,4)), (SWITCH(weekday(K$4), 1, 0, 2, if(ISBLANK('2025'!$P275), 0, 1), 3, if(ISBLANK('2025'!$Q275), 0, 1), 4, if(ISBLANK('2025'!$R275), 0, 1), 5, if(ISBLANK('2025'!$S275), 0, 1), 6, if(ISBLANK('2025'!$T275), 0, 1), 7, 0))), 1, "")</f>
        <v/>
      </c>
      <c r="L277" s="1" t="str">
        <f>IF(AND(AND(AND(L$4&gt;='2025'!$L275,L$4&lt;='2025'!$M275), L$4&lt;&gt;DATE(2025,7,4)), (SWITCH(weekday(L$4), 1, 0, 2, if(ISBLANK('2025'!$P275), 0, 1), 3, if(ISBLANK('2025'!$Q275), 0, 1), 4, if(ISBLANK('2025'!$R275), 0, 1), 5, if(ISBLANK('2025'!$S275), 0, 1), 6, if(ISBLANK('2025'!$T275), 0, 1), 7, 0))), 1, "")</f>
        <v/>
      </c>
      <c r="M277" s="1" t="str">
        <f>IF(AND(AND(AND(M$4&gt;='2025'!$L275,M$4&lt;='2025'!$M275), M$4&lt;&gt;DATE(2025,7,4)), (SWITCH(weekday(M$4), 1, 0, 2, if(ISBLANK('2025'!$P275), 0, 1), 3, if(ISBLANK('2025'!$Q275), 0, 1), 4, if(ISBLANK('2025'!$R275), 0, 1), 5, if(ISBLANK('2025'!$S275), 0, 1), 6, if(ISBLANK('2025'!$T275), 0, 1), 7, 0))), 1, "")</f>
        <v/>
      </c>
      <c r="N277" s="1" t="str">
        <f>IF(AND(AND(AND(N$4&gt;='2025'!$L275,N$4&lt;='2025'!$M275), N$4&lt;&gt;DATE(2025,7,4)), (SWITCH(weekday(N$4), 1, 0, 2, if(ISBLANK('2025'!$P275), 0, 1), 3, if(ISBLANK('2025'!$Q275), 0, 1), 4, if(ISBLANK('2025'!$R275), 0, 1), 5, if(ISBLANK('2025'!$S275), 0, 1), 6, if(ISBLANK('2025'!$T275), 0, 1), 7, 0))), 1, "")</f>
        <v/>
      </c>
      <c r="O277" s="1" t="str">
        <f>IF(AND(AND(AND(O$4&gt;='2025'!$L275,O$4&lt;='2025'!$M275), O$4&lt;&gt;DATE(2025,7,4)), (SWITCH(weekday(O$4), 1, 0, 2, if(ISBLANK('2025'!$P275), 0, 1), 3, if(ISBLANK('2025'!$Q275), 0, 1), 4, if(ISBLANK('2025'!$R275), 0, 1), 5, if(ISBLANK('2025'!$S275), 0, 1), 6, if(ISBLANK('2025'!$T275), 0, 1), 7, 0))), 1, "")</f>
        <v/>
      </c>
      <c r="P277" s="1" t="str">
        <f>IF(AND(AND(AND(P$4&gt;='2025'!$L275,P$4&lt;='2025'!$M275), P$4&lt;&gt;DATE(2025,7,4)), (SWITCH(weekday(P$4), 1, 0, 2, if(ISBLANK('2025'!$P275), 0, 1), 3, if(ISBLANK('2025'!$Q275), 0, 1), 4, if(ISBLANK('2025'!$R275), 0, 1), 5, if(ISBLANK('2025'!$S275), 0, 1), 6, if(ISBLANK('2025'!$T275), 0, 1), 7, 0))), 1, "")</f>
        <v/>
      </c>
      <c r="Q277" s="1" t="str">
        <f>IF(AND(AND(AND(Q$4&gt;='2025'!$L275,Q$4&lt;='2025'!$M275), Q$4&lt;&gt;DATE(2025,7,4)), (SWITCH(weekday(Q$4), 1, 0, 2, if(ISBLANK('2025'!$P275), 0, 1), 3, if(ISBLANK('2025'!$Q275), 0, 1), 4, if(ISBLANK('2025'!$R275), 0, 1), 5, if(ISBLANK('2025'!$S275), 0, 1), 6, if(ISBLANK('2025'!$T275), 0, 1), 7, 0))), 1, "")</f>
        <v/>
      </c>
      <c r="R277" s="1" t="str">
        <f>IF(AND(AND(AND(R$4&gt;='2025'!$L275,R$4&lt;='2025'!$M275), R$4&lt;&gt;DATE(2025,7,4)), (SWITCH(weekday(R$4), 1, 0, 2, if(ISBLANK('2025'!$P275), 0, 1), 3, if(ISBLANK('2025'!$Q275), 0, 1), 4, if(ISBLANK('2025'!$R275), 0, 1), 5, if(ISBLANK('2025'!$S275), 0, 1), 6, if(ISBLANK('2025'!$T275), 0, 1), 7, 0))), 1, "")</f>
        <v/>
      </c>
      <c r="S277" s="1" t="str">
        <f>IF(AND(AND(AND(S$4&gt;='2025'!$L275,S$4&lt;='2025'!$M275), S$4&lt;&gt;DATE(2025,7,4)), (SWITCH(weekday(S$4), 1, 0, 2, if(ISBLANK('2025'!$P275), 0, 1), 3, if(ISBLANK('2025'!$Q275), 0, 1), 4, if(ISBLANK('2025'!$R275), 0, 1), 5, if(ISBLANK('2025'!$S275), 0, 1), 6, if(ISBLANK('2025'!$T275), 0, 1), 7, 0))), 1, "")</f>
        <v/>
      </c>
      <c r="T277" s="1" t="str">
        <f>IF(AND(AND(AND(T$4&gt;='2025'!$L275,T$4&lt;='2025'!$M275), T$4&lt;&gt;DATE(2025,7,4)), (SWITCH(weekday(T$4), 1, 0, 2, if(ISBLANK('2025'!$P275), 0, 1), 3, if(ISBLANK('2025'!$Q275), 0, 1), 4, if(ISBLANK('2025'!$R275), 0, 1), 5, if(ISBLANK('2025'!$S275), 0, 1), 6, if(ISBLANK('2025'!$T275), 0, 1), 7, 0))), 1, "")</f>
        <v/>
      </c>
      <c r="U277" s="1" t="str">
        <f>IF(AND(AND(AND(U$4&gt;='2025'!$L275,U$4&lt;='2025'!$M275), U$4&lt;&gt;DATE(2025,7,4)), (SWITCH(weekday(U$4), 1, 0, 2, if(ISBLANK('2025'!$P275), 0, 1), 3, if(ISBLANK('2025'!$Q275), 0, 1), 4, if(ISBLANK('2025'!$R275), 0, 1), 5, if(ISBLANK('2025'!$S275), 0, 1), 6, if(ISBLANK('2025'!$T275), 0, 1), 7, 0))), 1, "")</f>
        <v/>
      </c>
      <c r="V277" s="1" t="str">
        <f>IF(AND(AND(AND(V$4&gt;='2025'!$L275,V$4&lt;='2025'!$M275), V$4&lt;&gt;DATE(2025,7,4)), (SWITCH(weekday(V$4), 1, 0, 2, if(ISBLANK('2025'!$P275), 0, 1), 3, if(ISBLANK('2025'!$Q275), 0, 1), 4, if(ISBLANK('2025'!$R275), 0, 1), 5, if(ISBLANK('2025'!$S275), 0, 1), 6, if(ISBLANK('2025'!$T275), 0, 1), 7, 0))), 1, "")</f>
        <v/>
      </c>
      <c r="W277" s="1" t="str">
        <f>IF(AND(AND(AND(W$4&gt;='2025'!$L275,W$4&lt;='2025'!$M275), W$4&lt;&gt;DATE(2025,7,4)), (SWITCH(weekday(W$4), 1, 0, 2, if(ISBLANK('2025'!$P275), 0, 1), 3, if(ISBLANK('2025'!$Q275), 0, 1), 4, if(ISBLANK('2025'!$R275), 0, 1), 5, if(ISBLANK('2025'!$S275), 0, 1), 6, if(ISBLANK('2025'!$T275), 0, 1), 7, 0))), 1, "")</f>
        <v/>
      </c>
      <c r="X277" s="1" t="str">
        <f>IF(AND(AND(AND(X$4&gt;='2025'!$L275,X$4&lt;='2025'!$M275), X$4&lt;&gt;DATE(2025,7,4)), (SWITCH(weekday(X$4), 1, 0, 2, if(ISBLANK('2025'!$P275), 0, 1), 3, if(ISBLANK('2025'!$Q275), 0, 1), 4, if(ISBLANK('2025'!$R275), 0, 1), 5, if(ISBLANK('2025'!$S275), 0, 1), 6, if(ISBLANK('2025'!$T275), 0, 1), 7, 0))), 1, "")</f>
        <v/>
      </c>
      <c r="Y277" s="1" t="str">
        <f>IF(AND(AND(AND(Y$4&gt;='2025'!$L275,Y$4&lt;='2025'!$M275), Y$4&lt;&gt;DATE(2025,7,4)), (SWITCH(weekday(Y$4), 1, 0, 2, if(ISBLANK('2025'!$P275), 0, 1), 3, if(ISBLANK('2025'!$Q275), 0, 1), 4, if(ISBLANK('2025'!$R275), 0, 1), 5, if(ISBLANK('2025'!$S275), 0, 1), 6, if(ISBLANK('2025'!$T275), 0, 1), 7, 0))), 1, "")</f>
        <v/>
      </c>
      <c r="Z277" s="1" t="str">
        <f>IF(AND(AND(AND(Z$4&gt;='2025'!$L275,Z$4&lt;='2025'!$M275), Z$4&lt;&gt;DATE(2025,7,4)), (SWITCH(weekday(Z$4), 1, 0, 2, if(ISBLANK('2025'!$P275), 0, 1), 3, if(ISBLANK('2025'!$Q275), 0, 1), 4, if(ISBLANK('2025'!$R275), 0, 1), 5, if(ISBLANK('2025'!$S275), 0, 1), 6, if(ISBLANK('2025'!$T275), 0, 1), 7, 0))), 1, "")</f>
        <v/>
      </c>
      <c r="AA277" s="1" t="str">
        <f>IF(AND(AND(AND(AA$4&gt;='2025'!$L275,AA$4&lt;='2025'!$M275), AA$4&lt;&gt;DATE(2025,7,4)), (SWITCH(weekday(AA$4), 1, 0, 2, if(ISBLANK('2025'!$P275), 0, 1), 3, if(ISBLANK('2025'!$Q275), 0, 1), 4, if(ISBLANK('2025'!$R275), 0, 1), 5, if(ISBLANK('2025'!$S275), 0, 1), 6, if(ISBLANK('2025'!$T275), 0, 1), 7, 0))), 1, "")</f>
        <v/>
      </c>
      <c r="AB277" s="1" t="str">
        <f>IF(AND(AND(AND(AB$4&gt;='2025'!$L275,AB$4&lt;='2025'!$M275), AB$4&lt;&gt;DATE(2025,7,4)), (SWITCH(weekday(AB$4), 1, 0, 2, if(ISBLANK('2025'!$P275), 0, 1), 3, if(ISBLANK('2025'!$Q275), 0, 1), 4, if(ISBLANK('2025'!$R275), 0, 1), 5, if(ISBLANK('2025'!$S275), 0, 1), 6, if(ISBLANK('2025'!$T275), 0, 1), 7, 0))), 1, "")</f>
        <v/>
      </c>
      <c r="AC277" s="1" t="str">
        <f>IF(AND(AND(AND(AC$4&gt;='2025'!$L275,AC$4&lt;='2025'!$M275), AC$4&lt;&gt;DATE(2025,7,4)), (SWITCH(weekday(AC$4), 1, 0, 2, if(ISBLANK('2025'!$P275), 0, 1), 3, if(ISBLANK('2025'!$Q275), 0, 1), 4, if(ISBLANK('2025'!$R275), 0, 1), 5, if(ISBLANK('2025'!$S275), 0, 1), 6, if(ISBLANK('2025'!$T275), 0, 1), 7, 0))), 1, "")</f>
        <v/>
      </c>
      <c r="AD277" s="1" t="str">
        <f>IF(AND(AND(AND(AD$4&gt;='2025'!$L275,AD$4&lt;='2025'!$M275), AD$4&lt;&gt;DATE(2025,7,4)), (SWITCH(weekday(AD$4), 1, 0, 2, if(ISBLANK('2025'!$P275), 0, 1), 3, if(ISBLANK('2025'!$Q275), 0, 1), 4, if(ISBLANK('2025'!$R275), 0, 1), 5, if(ISBLANK('2025'!$S275), 0, 1), 6, if(ISBLANK('2025'!$T275), 0, 1), 7, 0))), 1, "")</f>
        <v/>
      </c>
      <c r="AE277" s="1" t="str">
        <f>IF(AND(AND(AND(AE$4&gt;='2025'!$L275,AE$4&lt;='2025'!$M275), AE$4&lt;&gt;DATE(2025,7,4)), (SWITCH(weekday(AE$4), 1, 0, 2, if(ISBLANK('2025'!$P275), 0, 1), 3, if(ISBLANK('2025'!$Q275), 0, 1), 4, if(ISBLANK('2025'!$R275), 0, 1), 5, if(ISBLANK('2025'!$S275), 0, 1), 6, if(ISBLANK('2025'!$T275), 0, 1), 7, 0))), 1, "")</f>
        <v/>
      </c>
      <c r="AF277" s="1" t="str">
        <f>IF(AND(AND(AND(AF$4&gt;='2025'!$L275,AF$4&lt;='2025'!$M275), AF$4&lt;&gt;DATE(2025,7,4)), (SWITCH(weekday(AF$4), 1, 0, 2, if(ISBLANK('2025'!$P275), 0, 1), 3, if(ISBLANK('2025'!$Q275), 0, 1), 4, if(ISBLANK('2025'!$R275), 0, 1), 5, if(ISBLANK('2025'!$S275), 0, 1), 6, if(ISBLANK('2025'!$T275), 0, 1), 7, 0))), 1, "")</f>
        <v/>
      </c>
      <c r="AG277" s="1" t="str">
        <f>IF(AND(AND(AND(AG$4&gt;='2025'!$L275,AG$4&lt;='2025'!$M275), AG$4&lt;&gt;DATE(2025,7,4)), (SWITCH(weekday(AG$4), 1, 0, 2, if(ISBLANK('2025'!$P275), 0, 1), 3, if(ISBLANK('2025'!$Q275), 0, 1), 4, if(ISBLANK('2025'!$R275), 0, 1), 5, if(ISBLANK('2025'!$S275), 0, 1), 6, if(ISBLANK('2025'!$T275), 0, 1), 7, 0))), 1, "")</f>
        <v/>
      </c>
      <c r="AH277" s="1" t="str">
        <f>IF(AND(AND(AND(AH$4&gt;='2025'!$L275,AH$4&lt;='2025'!$M275), AH$4&lt;&gt;DATE(2025,7,4)), (SWITCH(weekday(AH$4), 1, 0, 2, if(ISBLANK('2025'!$P275), 0, 1), 3, if(ISBLANK('2025'!$Q275), 0, 1), 4, if(ISBLANK('2025'!$R275), 0, 1), 5, if(ISBLANK('2025'!$S275), 0, 1), 6, if(ISBLANK('2025'!$T275), 0, 1), 7, 0))), 1, "")</f>
        <v/>
      </c>
      <c r="AI277" s="1" t="str">
        <f>IF(AND(AND(AND(AI$4&gt;='2025'!$L275,AI$4&lt;='2025'!$M275), AI$4&lt;&gt;DATE(2025,7,4)), (SWITCH(weekday(AI$4), 1, 0, 2, if(ISBLANK('2025'!$P275), 0, 1), 3, if(ISBLANK('2025'!$Q275), 0, 1), 4, if(ISBLANK('2025'!$R275), 0, 1), 5, if(ISBLANK('2025'!$S275), 0, 1), 6, if(ISBLANK('2025'!$T275), 0, 1), 7, 0))), 1, "")</f>
        <v/>
      </c>
      <c r="AJ277" s="1" t="str">
        <f>IF(AND(AND(AND(AJ$4&gt;='2025'!$L275,AJ$4&lt;='2025'!$M275), AJ$4&lt;&gt;DATE(2025,7,4)), (SWITCH(weekday(AJ$4), 1, 0, 2, if(ISBLANK('2025'!$P275), 0, 1), 3, if(ISBLANK('2025'!$Q275), 0, 1), 4, if(ISBLANK('2025'!$R275), 0, 1), 5, if(ISBLANK('2025'!$S275), 0, 1), 6, if(ISBLANK('2025'!$T275), 0, 1), 7, 0))), 1, "")</f>
        <v/>
      </c>
      <c r="AK277" s="1" t="str">
        <f>IF(AND(AND(AND(AK$4&gt;='2025'!$L275,AK$4&lt;='2025'!$M275), AK$4&lt;&gt;DATE(2025,7,4)), (SWITCH(weekday(AK$4), 1, 0, 2, if(ISBLANK('2025'!$P275), 0, 1), 3, if(ISBLANK('2025'!$Q275), 0, 1), 4, if(ISBLANK('2025'!$R275), 0, 1), 5, if(ISBLANK('2025'!$S275), 0, 1), 6, if(ISBLANK('2025'!$T275), 0, 1), 7, 0))), 1, "")</f>
        <v/>
      </c>
      <c r="AL277" s="1" t="str">
        <f>IF(AND(AND(AND(AL$4&gt;='2025'!$L275,AL$4&lt;='2025'!$M275), AL$4&lt;&gt;DATE(2025,7,4)), (SWITCH(weekday(AL$4), 1, 0, 2, if(ISBLANK('2025'!$P275), 0, 1), 3, if(ISBLANK('2025'!$Q275), 0, 1), 4, if(ISBLANK('2025'!$R275), 0, 1), 5, if(ISBLANK('2025'!$S275), 0, 1), 6, if(ISBLANK('2025'!$T275), 0, 1), 7, 0))), 1, "")</f>
        <v/>
      </c>
      <c r="AM277" s="1" t="str">
        <f>IF(AND(AND(AND(AM$4&gt;='2025'!$L275,AM$4&lt;='2025'!$M275), AM$4&lt;&gt;DATE(2025,7,4)), (SWITCH(weekday(AM$4), 1, 0, 2, if(ISBLANK('2025'!$P275), 0, 1), 3, if(ISBLANK('2025'!$Q275), 0, 1), 4, if(ISBLANK('2025'!$R275), 0, 1), 5, if(ISBLANK('2025'!$S275), 0, 1), 6, if(ISBLANK('2025'!$T275), 0, 1), 7, 0))), 1, "")</f>
        <v/>
      </c>
      <c r="AN277" s="1" t="str">
        <f>IF(AND(AND(AND(AN$4&gt;='2025'!$L275,AN$4&lt;='2025'!$M275), AN$4&lt;&gt;DATE(2025,7,4)), (SWITCH(weekday(AN$4), 1, 0, 2, if(ISBLANK('2025'!$P275), 0, 1), 3, if(ISBLANK('2025'!$Q275), 0, 1), 4, if(ISBLANK('2025'!$R275), 0, 1), 5, if(ISBLANK('2025'!$S275), 0, 1), 6, if(ISBLANK('2025'!$T275), 0, 1), 7, 0))), 1, "")</f>
        <v/>
      </c>
      <c r="AO277" s="1" t="str">
        <f>IF(AND(AND(AND(AO$4&gt;='2025'!$L275,AO$4&lt;='2025'!$M275), AO$4&lt;&gt;DATE(2025,7,4)), (SWITCH(weekday(AO$4), 1, 0, 2, if(ISBLANK('2025'!$P275), 0, 1), 3, if(ISBLANK('2025'!$Q275), 0, 1), 4, if(ISBLANK('2025'!$R275), 0, 1), 5, if(ISBLANK('2025'!$S275), 0, 1), 6, if(ISBLANK('2025'!$T275), 0, 1), 7, 0))), 1, "")</f>
        <v/>
      </c>
      <c r="AP277" s="1" t="str">
        <f>IF(AND(AND(AND(AP$4&gt;='2025'!$L275,AP$4&lt;='2025'!$M275), AP$4&lt;&gt;DATE(2025,7,4)), (SWITCH(weekday(AP$4), 1, 0, 2, if(ISBLANK('2025'!$P275), 0, 1), 3, if(ISBLANK('2025'!$Q275), 0, 1), 4, if(ISBLANK('2025'!$R275), 0, 1), 5, if(ISBLANK('2025'!$S275), 0, 1), 6, if(ISBLANK('2025'!$T275), 0, 1), 7, 0))), 1, "")</f>
        <v/>
      </c>
      <c r="AQ277" s="1" t="str">
        <f>IF(AND(AND(AND(AQ$4&gt;='2025'!$L275,AQ$4&lt;='2025'!$M275), AQ$4&lt;&gt;DATE(2025,7,4)), (SWITCH(weekday(AQ$4), 1, 0, 2, if(ISBLANK('2025'!$P275), 0, 1), 3, if(ISBLANK('2025'!$Q275), 0, 1), 4, if(ISBLANK('2025'!$R275), 0, 1), 5, if(ISBLANK('2025'!$S275), 0, 1), 6, if(ISBLANK('2025'!$T275), 0, 1), 7, 0))), 1, "")</f>
        <v/>
      </c>
      <c r="AR277" s="1" t="str">
        <f>IF(AND(AND(AND(AR$4&gt;='2025'!$L275,AR$4&lt;='2025'!$M275), AR$4&lt;&gt;DATE(2025,7,4)), (SWITCH(weekday(AR$4), 1, 0, 2, if(ISBLANK('2025'!$P275), 0, 1), 3, if(ISBLANK('2025'!$Q275), 0, 1), 4, if(ISBLANK('2025'!$R275), 0, 1), 5, if(ISBLANK('2025'!$S275), 0, 1), 6, if(ISBLANK('2025'!$T275), 0, 1), 7, 0))), 1, "")</f>
        <v/>
      </c>
      <c r="AS277" s="1" t="str">
        <f>IF(AND(AND(AND(AS$4&gt;='2025'!$L275,AS$4&lt;='2025'!$M275), AS$4&lt;&gt;DATE(2025,7,4)), (SWITCH(weekday(AS$4), 1, 0, 2, if(ISBLANK('2025'!$P275), 0, 1), 3, if(ISBLANK('2025'!$Q275), 0, 1), 4, if(ISBLANK('2025'!$R275), 0, 1), 5, if(ISBLANK('2025'!$S275), 0, 1), 6, if(ISBLANK('2025'!$T275), 0, 1), 7, 0))), 1, "")</f>
        <v/>
      </c>
      <c r="AT277" s="1" t="str">
        <f>IF(AND(AND(AND(AT$4&gt;='2025'!$L275,AT$4&lt;='2025'!$M275), AT$4&lt;&gt;DATE(2025,7,4)), (SWITCH(weekday(AT$4), 1, 0, 2, if(ISBLANK('2025'!$P275), 0, 1), 3, if(ISBLANK('2025'!$Q275), 0, 1), 4, if(ISBLANK('2025'!$R275), 0, 1), 5, if(ISBLANK('2025'!$S275), 0, 1), 6, if(ISBLANK('2025'!$T275), 0, 1), 7, 0))), 1, "")</f>
        <v/>
      </c>
      <c r="AU277" s="1" t="str">
        <f>IF(AND(AND(AND(AU$4&gt;='2025'!$L275,AU$4&lt;='2025'!$M275), AU$4&lt;&gt;DATE(2025,7,4)), (SWITCH(weekday(AU$4), 1, 0, 2, if(ISBLANK('2025'!$P275), 0, 1), 3, if(ISBLANK('2025'!$Q275), 0, 1), 4, if(ISBLANK('2025'!$R275), 0, 1), 5, if(ISBLANK('2025'!$S275), 0, 1), 6, if(ISBLANK('2025'!$T275), 0, 1), 7, 0))), 1, "")</f>
        <v/>
      </c>
      <c r="AV277" s="1" t="str">
        <f>IF(AND(AND(AND(AV$4&gt;='2025'!$L275,AV$4&lt;='2025'!$M275), AV$4&lt;&gt;DATE(2025,7,4)), (SWITCH(weekday(AV$4), 1, 0, 2, if(ISBLANK('2025'!$P275), 0, 1), 3, if(ISBLANK('2025'!$Q275), 0, 1), 4, if(ISBLANK('2025'!$R275), 0, 1), 5, if(ISBLANK('2025'!$S275), 0, 1), 6, if(ISBLANK('2025'!$T275), 0, 1), 7, 0))), 1, "")</f>
        <v/>
      </c>
      <c r="AW277" s="1" t="str">
        <f>IF(AND(AND(AND(AW$4&gt;='2025'!$L275,AW$4&lt;='2025'!$M275), AW$4&lt;&gt;DATE(2025,7,4)), (SWITCH(weekday(AW$4), 1, 0, 2, if(ISBLANK('2025'!$P275), 0, 1), 3, if(ISBLANK('2025'!$Q275), 0, 1), 4, if(ISBLANK('2025'!$R275), 0, 1), 5, if(ISBLANK('2025'!$S275), 0, 1), 6, if(ISBLANK('2025'!$T275), 0, 1), 7, 0))), 1, "")</f>
        <v/>
      </c>
      <c r="AX277" s="1" t="str">
        <f>IF(AND(AND(AND(AX$4&gt;='2025'!$L275,AX$4&lt;='2025'!$M275), AX$4&lt;&gt;DATE(2025,7,4)), (SWITCH(weekday(AX$4), 1, 0, 2, if(ISBLANK('2025'!$P275), 0, 1), 3, if(ISBLANK('2025'!$Q275), 0, 1), 4, if(ISBLANK('2025'!$R275), 0, 1), 5, if(ISBLANK('2025'!$S275), 0, 1), 6, if(ISBLANK('2025'!$T275), 0, 1), 7, 0))), 1, "")</f>
        <v/>
      </c>
      <c r="AY277" s="1" t="str">
        <f>IF(AND(AND(AND(AY$4&gt;='2025'!$L275,AY$4&lt;='2025'!$M275), AY$4&lt;&gt;DATE(2025,7,4)), (SWITCH(weekday(AY$4), 1, 0, 2, if(ISBLANK('2025'!$P275), 0, 1), 3, if(ISBLANK('2025'!$Q275), 0, 1), 4, if(ISBLANK('2025'!$R275), 0, 1), 5, if(ISBLANK('2025'!$S275), 0, 1), 6, if(ISBLANK('2025'!$T275), 0, 1), 7, 0))), 1, "")</f>
        <v/>
      </c>
      <c r="AZ277" s="1" t="str">
        <f>IF(AND(AND(AND(AZ$4&gt;='2025'!$L275,AZ$4&lt;='2025'!$M275), AZ$4&lt;&gt;DATE(2025,7,4)), (SWITCH(weekday(AZ$4), 1, 0, 2, if(ISBLANK('2025'!$P275), 0, 1), 3, if(ISBLANK('2025'!$Q275), 0, 1), 4, if(ISBLANK('2025'!$R275), 0, 1), 5, if(ISBLANK('2025'!$S275), 0, 1), 6, if(ISBLANK('2025'!$T275), 0, 1), 7, 0))), 1, "")</f>
        <v/>
      </c>
      <c r="BA277" s="1" t="str">
        <f>IF(AND(AND(AND(BA$4&gt;='2025'!$L275,BA$4&lt;='2025'!$M275), BA$4&lt;&gt;DATE(2025,7,4)), (SWITCH(weekday(BA$4), 1, 0, 2, if(ISBLANK('2025'!$P275), 0, 1), 3, if(ISBLANK('2025'!$Q275), 0, 1), 4, if(ISBLANK('2025'!$R275), 0, 1), 5, if(ISBLANK('2025'!$S275), 0, 1), 6, if(ISBLANK('2025'!$T275), 0, 1), 7, 0))), 1, "")</f>
        <v/>
      </c>
      <c r="BB277" s="1" t="str">
        <f>IF(AND(AND(AND(BB$4&gt;='2025'!$L275,BB$4&lt;='2025'!$M275), BB$4&lt;&gt;DATE(2025,7,4)), (SWITCH(weekday(BB$4), 1, 0, 2, if(ISBLANK('2025'!$P275), 0, 1), 3, if(ISBLANK('2025'!$Q275), 0, 1), 4, if(ISBLANK('2025'!$R275), 0, 1), 5, if(ISBLANK('2025'!$S275), 0, 1), 6, if(ISBLANK('2025'!$T275), 0, 1), 7, 0))), 1, "")</f>
        <v/>
      </c>
      <c r="BC277" s="1" t="str">
        <f>IF(AND(AND(AND(BC$4&gt;='2025'!$L275,BC$4&lt;='2025'!$M275), BC$4&lt;&gt;DATE(2025,7,4)), (SWITCH(weekday(BC$4), 1, 0, 2, if(ISBLANK('2025'!$P275), 0, 1), 3, if(ISBLANK('2025'!$Q275), 0, 1), 4, if(ISBLANK('2025'!$R275), 0, 1), 5, if(ISBLANK('2025'!$S275), 0, 1), 6, if(ISBLANK('2025'!$T275), 0, 1), 7, 0))), 1, "")</f>
        <v/>
      </c>
      <c r="BD277" s="1" t="str">
        <f>IF(AND(AND(AND(BD$4&gt;='2025'!$L275,BD$4&lt;='2025'!$M275), BD$4&lt;&gt;DATE(2025,7,4)), (SWITCH(weekday(BD$4), 1, 0, 2, if(ISBLANK('2025'!$P275), 0, 1), 3, if(ISBLANK('2025'!$Q275), 0, 1), 4, if(ISBLANK('2025'!$R275), 0, 1), 5, if(ISBLANK('2025'!$S275), 0, 1), 6, if(ISBLANK('2025'!$T275), 0, 1), 7, 0))), 1, "")</f>
        <v/>
      </c>
      <c r="BE277" s="1" t="str">
        <f>IF(AND(AND(AND(BE$4&gt;='2025'!$L275,BE$4&lt;='2025'!$M275), BE$4&lt;&gt;DATE(2025,7,4)), (SWITCH(weekday(BE$4), 1, 0, 2, if(ISBLANK('2025'!$P275), 0, 1), 3, if(ISBLANK('2025'!$Q275), 0, 1), 4, if(ISBLANK('2025'!$R275), 0, 1), 5, if(ISBLANK('2025'!$S275), 0, 1), 6, if(ISBLANK('2025'!$T275), 0, 1), 7, 0))), 1, "")</f>
        <v/>
      </c>
      <c r="BF277" s="1" t="str">
        <f>IF(AND(AND(AND(BF$4&gt;='2025'!$L275,BF$4&lt;='2025'!$M275), BF$4&lt;&gt;DATE(2025,7,4)), (SWITCH(weekday(BF$4), 1, 0, 2, if(ISBLANK('2025'!$P275), 0, 1), 3, if(ISBLANK('2025'!$Q275), 0, 1), 4, if(ISBLANK('2025'!$R275), 0, 1), 5, if(ISBLANK('2025'!$S275), 0, 1), 6, if(ISBLANK('2025'!$T275), 0, 1), 7, 0))), 1, "")</f>
        <v/>
      </c>
      <c r="BG277" s="1"/>
      <c r="BH277" s="1"/>
      <c r="BI277" s="1"/>
      <c r="BJ277" s="1"/>
      <c r="BK277" s="1"/>
      <c r="BL277" s="1"/>
    </row>
    <row r="278">
      <c r="A278" s="1">
        <f t="shared" si="3"/>
        <v>278</v>
      </c>
      <c r="B278" s="1" t="str">
        <f>'2025'!D242</f>
        <v>, </v>
      </c>
      <c r="C278" s="1" t="str">
        <f>'2025'!H242</f>
        <v/>
      </c>
      <c r="D278" s="1" t="str">
        <f>IF(AND(AND(AND(D$4&gt;='2025'!$L276,D$4&lt;='2025'!$M276), D$4&lt;&gt;DATE(2025,7,4)), (SWITCH(weekday(D$4), 1, 0, 2, if(ISBLANK('2025'!$P276), 0, 1), 3, if(ISBLANK('2025'!$Q276), 0, 1), 4, if(ISBLANK('2025'!$R276), 0, 1), 5, if(ISBLANK('2025'!$S276), 0, 1), 6, if(ISBLANK('2025'!$T276), 0, 1), 7, 0))), 1, "")</f>
        <v/>
      </c>
      <c r="E278" s="1" t="str">
        <f>IF(AND(AND(AND(E$4&gt;='2025'!$L276,E$4&lt;='2025'!$M276), E$4&lt;&gt;DATE(2025,7,4)), (SWITCH(weekday(E$4), 1, 0, 2, if(ISBLANK('2025'!$P276), 0, 1), 3, if(ISBLANK('2025'!$Q276), 0, 1), 4, if(ISBLANK('2025'!$R276), 0, 1), 5, if(ISBLANK('2025'!$S276), 0, 1), 6, if(ISBLANK('2025'!$T276), 0, 1), 7, 0))), 1, "")</f>
        <v/>
      </c>
      <c r="F278" s="1" t="str">
        <f>IF(AND(AND(AND(F$4&gt;='2025'!$L276,F$4&lt;='2025'!$M276), F$4&lt;&gt;DATE(2025,7,4)), (SWITCH(weekday(F$4), 1, 0, 2, if(ISBLANK('2025'!$P276), 0, 1), 3, if(ISBLANK('2025'!$Q276), 0, 1), 4, if(ISBLANK('2025'!$R276), 0, 1), 5, if(ISBLANK('2025'!$S276), 0, 1), 6, if(ISBLANK('2025'!$T276), 0, 1), 7, 0))), 1, "")</f>
        <v/>
      </c>
      <c r="G278" s="1" t="str">
        <f>IF(AND(AND(AND(G$4&gt;='2025'!$L276,G$4&lt;='2025'!$M276), G$4&lt;&gt;DATE(2025,7,4)), (SWITCH(weekday(G$4), 1, 0, 2, if(ISBLANK('2025'!$P276), 0, 1), 3, if(ISBLANK('2025'!$Q276), 0, 1), 4, if(ISBLANK('2025'!$R276), 0, 1), 5, if(ISBLANK('2025'!$S276), 0, 1), 6, if(ISBLANK('2025'!$T276), 0, 1), 7, 0))), 1, "")</f>
        <v/>
      </c>
      <c r="H278" s="1" t="str">
        <f>IF(AND(AND(AND(H$4&gt;='2025'!$L276,H$4&lt;='2025'!$M276), H$4&lt;&gt;DATE(2025,7,4)), (SWITCH(weekday(H$4), 1, 0, 2, if(ISBLANK('2025'!$P276), 0, 1), 3, if(ISBLANK('2025'!$Q276), 0, 1), 4, if(ISBLANK('2025'!$R276), 0, 1), 5, if(ISBLANK('2025'!$S276), 0, 1), 6, if(ISBLANK('2025'!$T276), 0, 1), 7, 0))), 1, "")</f>
        <v/>
      </c>
      <c r="I278" s="1" t="str">
        <f>IF(AND(AND(AND(I$4&gt;='2025'!$L276,I$4&lt;='2025'!$M276), I$4&lt;&gt;DATE(2025,7,4)), (SWITCH(weekday(I$4), 1, 0, 2, if(ISBLANK('2025'!$P276), 0, 1), 3, if(ISBLANK('2025'!$Q276), 0, 1), 4, if(ISBLANK('2025'!$R276), 0, 1), 5, if(ISBLANK('2025'!$S276), 0, 1), 6, if(ISBLANK('2025'!$T276), 0, 1), 7, 0))), 1, "")</f>
        <v/>
      </c>
      <c r="J278" s="1" t="str">
        <f>IF(AND(AND(AND(J$4&gt;='2025'!$L276,J$4&lt;='2025'!$M276), J$4&lt;&gt;DATE(2025,7,4)), (SWITCH(weekday(J$4), 1, 0, 2, if(ISBLANK('2025'!$P276), 0, 1), 3, if(ISBLANK('2025'!$Q276), 0, 1), 4, if(ISBLANK('2025'!$R276), 0, 1), 5, if(ISBLANK('2025'!$S276), 0, 1), 6, if(ISBLANK('2025'!$T276), 0, 1), 7, 0))), 1, "")</f>
        <v/>
      </c>
      <c r="K278" s="1" t="str">
        <f>IF(AND(AND(AND(K$4&gt;='2025'!$L276,K$4&lt;='2025'!$M276), K$4&lt;&gt;DATE(2025,7,4)), (SWITCH(weekday(K$4), 1, 0, 2, if(ISBLANK('2025'!$P276), 0, 1), 3, if(ISBLANK('2025'!$Q276), 0, 1), 4, if(ISBLANK('2025'!$R276), 0, 1), 5, if(ISBLANK('2025'!$S276), 0, 1), 6, if(ISBLANK('2025'!$T276), 0, 1), 7, 0))), 1, "")</f>
        <v/>
      </c>
      <c r="L278" s="1" t="str">
        <f>IF(AND(AND(AND(L$4&gt;='2025'!$L276,L$4&lt;='2025'!$M276), L$4&lt;&gt;DATE(2025,7,4)), (SWITCH(weekday(L$4), 1, 0, 2, if(ISBLANK('2025'!$P276), 0, 1), 3, if(ISBLANK('2025'!$Q276), 0, 1), 4, if(ISBLANK('2025'!$R276), 0, 1), 5, if(ISBLANK('2025'!$S276), 0, 1), 6, if(ISBLANK('2025'!$T276), 0, 1), 7, 0))), 1, "")</f>
        <v/>
      </c>
      <c r="M278" s="1" t="str">
        <f>IF(AND(AND(AND(M$4&gt;='2025'!$L276,M$4&lt;='2025'!$M276), M$4&lt;&gt;DATE(2025,7,4)), (SWITCH(weekday(M$4), 1, 0, 2, if(ISBLANK('2025'!$P276), 0, 1), 3, if(ISBLANK('2025'!$Q276), 0, 1), 4, if(ISBLANK('2025'!$R276), 0, 1), 5, if(ISBLANK('2025'!$S276), 0, 1), 6, if(ISBLANK('2025'!$T276), 0, 1), 7, 0))), 1, "")</f>
        <v/>
      </c>
      <c r="N278" s="1" t="str">
        <f>IF(AND(AND(AND(N$4&gt;='2025'!$L276,N$4&lt;='2025'!$M276), N$4&lt;&gt;DATE(2025,7,4)), (SWITCH(weekday(N$4), 1, 0, 2, if(ISBLANK('2025'!$P276), 0, 1), 3, if(ISBLANK('2025'!$Q276), 0, 1), 4, if(ISBLANK('2025'!$R276), 0, 1), 5, if(ISBLANK('2025'!$S276), 0, 1), 6, if(ISBLANK('2025'!$T276), 0, 1), 7, 0))), 1, "")</f>
        <v/>
      </c>
      <c r="O278" s="1" t="str">
        <f>IF(AND(AND(AND(O$4&gt;='2025'!$L276,O$4&lt;='2025'!$M276), O$4&lt;&gt;DATE(2025,7,4)), (SWITCH(weekday(O$4), 1, 0, 2, if(ISBLANK('2025'!$P276), 0, 1), 3, if(ISBLANK('2025'!$Q276), 0, 1), 4, if(ISBLANK('2025'!$R276), 0, 1), 5, if(ISBLANK('2025'!$S276), 0, 1), 6, if(ISBLANK('2025'!$T276), 0, 1), 7, 0))), 1, "")</f>
        <v/>
      </c>
      <c r="P278" s="1" t="str">
        <f>IF(AND(AND(AND(P$4&gt;='2025'!$L276,P$4&lt;='2025'!$M276), P$4&lt;&gt;DATE(2025,7,4)), (SWITCH(weekday(P$4), 1, 0, 2, if(ISBLANK('2025'!$P276), 0, 1), 3, if(ISBLANK('2025'!$Q276), 0, 1), 4, if(ISBLANK('2025'!$R276), 0, 1), 5, if(ISBLANK('2025'!$S276), 0, 1), 6, if(ISBLANK('2025'!$T276), 0, 1), 7, 0))), 1, "")</f>
        <v/>
      </c>
      <c r="Q278" s="1" t="str">
        <f>IF(AND(AND(AND(Q$4&gt;='2025'!$L276,Q$4&lt;='2025'!$M276), Q$4&lt;&gt;DATE(2025,7,4)), (SWITCH(weekday(Q$4), 1, 0, 2, if(ISBLANK('2025'!$P276), 0, 1), 3, if(ISBLANK('2025'!$Q276), 0, 1), 4, if(ISBLANK('2025'!$R276), 0, 1), 5, if(ISBLANK('2025'!$S276), 0, 1), 6, if(ISBLANK('2025'!$T276), 0, 1), 7, 0))), 1, "")</f>
        <v/>
      </c>
      <c r="R278" s="1" t="str">
        <f>IF(AND(AND(AND(R$4&gt;='2025'!$L276,R$4&lt;='2025'!$M276), R$4&lt;&gt;DATE(2025,7,4)), (SWITCH(weekday(R$4), 1, 0, 2, if(ISBLANK('2025'!$P276), 0, 1), 3, if(ISBLANK('2025'!$Q276), 0, 1), 4, if(ISBLANK('2025'!$R276), 0, 1), 5, if(ISBLANK('2025'!$S276), 0, 1), 6, if(ISBLANK('2025'!$T276), 0, 1), 7, 0))), 1, "")</f>
        <v/>
      </c>
      <c r="S278" s="1" t="str">
        <f>IF(AND(AND(AND(S$4&gt;='2025'!$L276,S$4&lt;='2025'!$M276), S$4&lt;&gt;DATE(2025,7,4)), (SWITCH(weekday(S$4), 1, 0, 2, if(ISBLANK('2025'!$P276), 0, 1), 3, if(ISBLANK('2025'!$Q276), 0, 1), 4, if(ISBLANK('2025'!$R276), 0, 1), 5, if(ISBLANK('2025'!$S276), 0, 1), 6, if(ISBLANK('2025'!$T276), 0, 1), 7, 0))), 1, "")</f>
        <v/>
      </c>
      <c r="T278" s="1" t="str">
        <f>IF(AND(AND(AND(T$4&gt;='2025'!$L276,T$4&lt;='2025'!$M276), T$4&lt;&gt;DATE(2025,7,4)), (SWITCH(weekday(T$4), 1, 0, 2, if(ISBLANK('2025'!$P276), 0, 1), 3, if(ISBLANK('2025'!$Q276), 0, 1), 4, if(ISBLANK('2025'!$R276), 0, 1), 5, if(ISBLANK('2025'!$S276), 0, 1), 6, if(ISBLANK('2025'!$T276), 0, 1), 7, 0))), 1, "")</f>
        <v/>
      </c>
      <c r="U278" s="1" t="str">
        <f>IF(AND(AND(AND(U$4&gt;='2025'!$L276,U$4&lt;='2025'!$M276), U$4&lt;&gt;DATE(2025,7,4)), (SWITCH(weekday(U$4), 1, 0, 2, if(ISBLANK('2025'!$P276), 0, 1), 3, if(ISBLANK('2025'!$Q276), 0, 1), 4, if(ISBLANK('2025'!$R276), 0, 1), 5, if(ISBLANK('2025'!$S276), 0, 1), 6, if(ISBLANK('2025'!$T276), 0, 1), 7, 0))), 1, "")</f>
        <v/>
      </c>
      <c r="V278" s="1" t="str">
        <f>IF(AND(AND(AND(V$4&gt;='2025'!$L276,V$4&lt;='2025'!$M276), V$4&lt;&gt;DATE(2025,7,4)), (SWITCH(weekday(V$4), 1, 0, 2, if(ISBLANK('2025'!$P276), 0, 1), 3, if(ISBLANK('2025'!$Q276), 0, 1), 4, if(ISBLANK('2025'!$R276), 0, 1), 5, if(ISBLANK('2025'!$S276), 0, 1), 6, if(ISBLANK('2025'!$T276), 0, 1), 7, 0))), 1, "")</f>
        <v/>
      </c>
      <c r="W278" s="1" t="str">
        <f>IF(AND(AND(AND(W$4&gt;='2025'!$L276,W$4&lt;='2025'!$M276), W$4&lt;&gt;DATE(2025,7,4)), (SWITCH(weekday(W$4), 1, 0, 2, if(ISBLANK('2025'!$P276), 0, 1), 3, if(ISBLANK('2025'!$Q276), 0, 1), 4, if(ISBLANK('2025'!$R276), 0, 1), 5, if(ISBLANK('2025'!$S276), 0, 1), 6, if(ISBLANK('2025'!$T276), 0, 1), 7, 0))), 1, "")</f>
        <v/>
      </c>
      <c r="X278" s="1" t="str">
        <f>IF(AND(AND(AND(X$4&gt;='2025'!$L276,X$4&lt;='2025'!$M276), X$4&lt;&gt;DATE(2025,7,4)), (SWITCH(weekday(X$4), 1, 0, 2, if(ISBLANK('2025'!$P276), 0, 1), 3, if(ISBLANK('2025'!$Q276), 0, 1), 4, if(ISBLANK('2025'!$R276), 0, 1), 5, if(ISBLANK('2025'!$S276), 0, 1), 6, if(ISBLANK('2025'!$T276), 0, 1), 7, 0))), 1, "")</f>
        <v/>
      </c>
      <c r="Y278" s="1" t="str">
        <f>IF(AND(AND(AND(Y$4&gt;='2025'!$L276,Y$4&lt;='2025'!$M276), Y$4&lt;&gt;DATE(2025,7,4)), (SWITCH(weekday(Y$4), 1, 0, 2, if(ISBLANK('2025'!$P276), 0, 1), 3, if(ISBLANK('2025'!$Q276), 0, 1), 4, if(ISBLANK('2025'!$R276), 0, 1), 5, if(ISBLANK('2025'!$S276), 0, 1), 6, if(ISBLANK('2025'!$T276), 0, 1), 7, 0))), 1, "")</f>
        <v/>
      </c>
      <c r="Z278" s="1" t="str">
        <f>IF(AND(AND(AND(Z$4&gt;='2025'!$L276,Z$4&lt;='2025'!$M276), Z$4&lt;&gt;DATE(2025,7,4)), (SWITCH(weekday(Z$4), 1, 0, 2, if(ISBLANK('2025'!$P276), 0, 1), 3, if(ISBLANK('2025'!$Q276), 0, 1), 4, if(ISBLANK('2025'!$R276), 0, 1), 5, if(ISBLANK('2025'!$S276), 0, 1), 6, if(ISBLANK('2025'!$T276), 0, 1), 7, 0))), 1, "")</f>
        <v/>
      </c>
      <c r="AA278" s="1" t="str">
        <f>IF(AND(AND(AND(AA$4&gt;='2025'!$L276,AA$4&lt;='2025'!$M276), AA$4&lt;&gt;DATE(2025,7,4)), (SWITCH(weekday(AA$4), 1, 0, 2, if(ISBLANK('2025'!$P276), 0, 1), 3, if(ISBLANK('2025'!$Q276), 0, 1), 4, if(ISBLANK('2025'!$R276), 0, 1), 5, if(ISBLANK('2025'!$S276), 0, 1), 6, if(ISBLANK('2025'!$T276), 0, 1), 7, 0))), 1, "")</f>
        <v/>
      </c>
      <c r="AB278" s="1" t="str">
        <f>IF(AND(AND(AND(AB$4&gt;='2025'!$L276,AB$4&lt;='2025'!$M276), AB$4&lt;&gt;DATE(2025,7,4)), (SWITCH(weekday(AB$4), 1, 0, 2, if(ISBLANK('2025'!$P276), 0, 1), 3, if(ISBLANK('2025'!$Q276), 0, 1), 4, if(ISBLANK('2025'!$R276), 0, 1), 5, if(ISBLANK('2025'!$S276), 0, 1), 6, if(ISBLANK('2025'!$T276), 0, 1), 7, 0))), 1, "")</f>
        <v/>
      </c>
      <c r="AC278" s="1" t="str">
        <f>IF(AND(AND(AND(AC$4&gt;='2025'!$L276,AC$4&lt;='2025'!$M276), AC$4&lt;&gt;DATE(2025,7,4)), (SWITCH(weekday(AC$4), 1, 0, 2, if(ISBLANK('2025'!$P276), 0, 1), 3, if(ISBLANK('2025'!$Q276), 0, 1), 4, if(ISBLANK('2025'!$R276), 0, 1), 5, if(ISBLANK('2025'!$S276), 0, 1), 6, if(ISBLANK('2025'!$T276), 0, 1), 7, 0))), 1, "")</f>
        <v/>
      </c>
      <c r="AD278" s="1" t="str">
        <f>IF(AND(AND(AND(AD$4&gt;='2025'!$L276,AD$4&lt;='2025'!$M276), AD$4&lt;&gt;DATE(2025,7,4)), (SWITCH(weekday(AD$4), 1, 0, 2, if(ISBLANK('2025'!$P276), 0, 1), 3, if(ISBLANK('2025'!$Q276), 0, 1), 4, if(ISBLANK('2025'!$R276), 0, 1), 5, if(ISBLANK('2025'!$S276), 0, 1), 6, if(ISBLANK('2025'!$T276), 0, 1), 7, 0))), 1, "")</f>
        <v/>
      </c>
      <c r="AE278" s="1" t="str">
        <f>IF(AND(AND(AND(AE$4&gt;='2025'!$L276,AE$4&lt;='2025'!$M276), AE$4&lt;&gt;DATE(2025,7,4)), (SWITCH(weekday(AE$4), 1, 0, 2, if(ISBLANK('2025'!$P276), 0, 1), 3, if(ISBLANK('2025'!$Q276), 0, 1), 4, if(ISBLANK('2025'!$R276), 0, 1), 5, if(ISBLANK('2025'!$S276), 0, 1), 6, if(ISBLANK('2025'!$T276), 0, 1), 7, 0))), 1, "")</f>
        <v/>
      </c>
      <c r="AF278" s="1" t="str">
        <f>IF(AND(AND(AND(AF$4&gt;='2025'!$L276,AF$4&lt;='2025'!$M276), AF$4&lt;&gt;DATE(2025,7,4)), (SWITCH(weekday(AF$4), 1, 0, 2, if(ISBLANK('2025'!$P276), 0, 1), 3, if(ISBLANK('2025'!$Q276), 0, 1), 4, if(ISBLANK('2025'!$R276), 0, 1), 5, if(ISBLANK('2025'!$S276), 0, 1), 6, if(ISBLANK('2025'!$T276), 0, 1), 7, 0))), 1, "")</f>
        <v/>
      </c>
      <c r="AG278" s="1" t="str">
        <f>IF(AND(AND(AND(AG$4&gt;='2025'!$L276,AG$4&lt;='2025'!$M276), AG$4&lt;&gt;DATE(2025,7,4)), (SWITCH(weekday(AG$4), 1, 0, 2, if(ISBLANK('2025'!$P276), 0, 1), 3, if(ISBLANK('2025'!$Q276), 0, 1), 4, if(ISBLANK('2025'!$R276), 0, 1), 5, if(ISBLANK('2025'!$S276), 0, 1), 6, if(ISBLANK('2025'!$T276), 0, 1), 7, 0))), 1, "")</f>
        <v/>
      </c>
      <c r="AH278" s="1" t="str">
        <f>IF(AND(AND(AND(AH$4&gt;='2025'!$L276,AH$4&lt;='2025'!$M276), AH$4&lt;&gt;DATE(2025,7,4)), (SWITCH(weekday(AH$4), 1, 0, 2, if(ISBLANK('2025'!$P276), 0, 1), 3, if(ISBLANK('2025'!$Q276), 0, 1), 4, if(ISBLANK('2025'!$R276), 0, 1), 5, if(ISBLANK('2025'!$S276), 0, 1), 6, if(ISBLANK('2025'!$T276), 0, 1), 7, 0))), 1, "")</f>
        <v/>
      </c>
      <c r="AI278" s="1" t="str">
        <f>IF(AND(AND(AND(AI$4&gt;='2025'!$L276,AI$4&lt;='2025'!$M276), AI$4&lt;&gt;DATE(2025,7,4)), (SWITCH(weekday(AI$4), 1, 0, 2, if(ISBLANK('2025'!$P276), 0, 1), 3, if(ISBLANK('2025'!$Q276), 0, 1), 4, if(ISBLANK('2025'!$R276), 0, 1), 5, if(ISBLANK('2025'!$S276), 0, 1), 6, if(ISBLANK('2025'!$T276), 0, 1), 7, 0))), 1, "")</f>
        <v/>
      </c>
      <c r="AJ278" s="1" t="str">
        <f>IF(AND(AND(AND(AJ$4&gt;='2025'!$L276,AJ$4&lt;='2025'!$M276), AJ$4&lt;&gt;DATE(2025,7,4)), (SWITCH(weekday(AJ$4), 1, 0, 2, if(ISBLANK('2025'!$P276), 0, 1), 3, if(ISBLANK('2025'!$Q276), 0, 1), 4, if(ISBLANK('2025'!$R276), 0, 1), 5, if(ISBLANK('2025'!$S276), 0, 1), 6, if(ISBLANK('2025'!$T276), 0, 1), 7, 0))), 1, "")</f>
        <v/>
      </c>
      <c r="AK278" s="1" t="str">
        <f>IF(AND(AND(AND(AK$4&gt;='2025'!$L276,AK$4&lt;='2025'!$M276), AK$4&lt;&gt;DATE(2025,7,4)), (SWITCH(weekday(AK$4), 1, 0, 2, if(ISBLANK('2025'!$P276), 0, 1), 3, if(ISBLANK('2025'!$Q276), 0, 1), 4, if(ISBLANK('2025'!$R276), 0, 1), 5, if(ISBLANK('2025'!$S276), 0, 1), 6, if(ISBLANK('2025'!$T276), 0, 1), 7, 0))), 1, "")</f>
        <v/>
      </c>
      <c r="AL278" s="1" t="str">
        <f>IF(AND(AND(AND(AL$4&gt;='2025'!$L276,AL$4&lt;='2025'!$M276), AL$4&lt;&gt;DATE(2025,7,4)), (SWITCH(weekday(AL$4), 1, 0, 2, if(ISBLANK('2025'!$P276), 0, 1), 3, if(ISBLANK('2025'!$Q276), 0, 1), 4, if(ISBLANK('2025'!$R276), 0, 1), 5, if(ISBLANK('2025'!$S276), 0, 1), 6, if(ISBLANK('2025'!$T276), 0, 1), 7, 0))), 1, "")</f>
        <v/>
      </c>
      <c r="AM278" s="1" t="str">
        <f>IF(AND(AND(AND(AM$4&gt;='2025'!$L276,AM$4&lt;='2025'!$M276), AM$4&lt;&gt;DATE(2025,7,4)), (SWITCH(weekday(AM$4), 1, 0, 2, if(ISBLANK('2025'!$P276), 0, 1), 3, if(ISBLANK('2025'!$Q276), 0, 1), 4, if(ISBLANK('2025'!$R276), 0, 1), 5, if(ISBLANK('2025'!$S276), 0, 1), 6, if(ISBLANK('2025'!$T276), 0, 1), 7, 0))), 1, "")</f>
        <v/>
      </c>
      <c r="AN278" s="1" t="str">
        <f>IF(AND(AND(AND(AN$4&gt;='2025'!$L276,AN$4&lt;='2025'!$M276), AN$4&lt;&gt;DATE(2025,7,4)), (SWITCH(weekday(AN$4), 1, 0, 2, if(ISBLANK('2025'!$P276), 0, 1), 3, if(ISBLANK('2025'!$Q276), 0, 1), 4, if(ISBLANK('2025'!$R276), 0, 1), 5, if(ISBLANK('2025'!$S276), 0, 1), 6, if(ISBLANK('2025'!$T276), 0, 1), 7, 0))), 1, "")</f>
        <v/>
      </c>
      <c r="AO278" s="1" t="str">
        <f>IF(AND(AND(AND(AO$4&gt;='2025'!$L276,AO$4&lt;='2025'!$M276), AO$4&lt;&gt;DATE(2025,7,4)), (SWITCH(weekday(AO$4), 1, 0, 2, if(ISBLANK('2025'!$P276), 0, 1), 3, if(ISBLANK('2025'!$Q276), 0, 1), 4, if(ISBLANK('2025'!$R276), 0, 1), 5, if(ISBLANK('2025'!$S276), 0, 1), 6, if(ISBLANK('2025'!$T276), 0, 1), 7, 0))), 1, "")</f>
        <v/>
      </c>
      <c r="AP278" s="1" t="str">
        <f>IF(AND(AND(AND(AP$4&gt;='2025'!$L276,AP$4&lt;='2025'!$M276), AP$4&lt;&gt;DATE(2025,7,4)), (SWITCH(weekday(AP$4), 1, 0, 2, if(ISBLANK('2025'!$P276), 0, 1), 3, if(ISBLANK('2025'!$Q276), 0, 1), 4, if(ISBLANK('2025'!$R276), 0, 1), 5, if(ISBLANK('2025'!$S276), 0, 1), 6, if(ISBLANK('2025'!$T276), 0, 1), 7, 0))), 1, "")</f>
        <v/>
      </c>
      <c r="AQ278" s="1" t="str">
        <f>IF(AND(AND(AND(AQ$4&gt;='2025'!$L276,AQ$4&lt;='2025'!$M276), AQ$4&lt;&gt;DATE(2025,7,4)), (SWITCH(weekday(AQ$4), 1, 0, 2, if(ISBLANK('2025'!$P276), 0, 1), 3, if(ISBLANK('2025'!$Q276), 0, 1), 4, if(ISBLANK('2025'!$R276), 0, 1), 5, if(ISBLANK('2025'!$S276), 0, 1), 6, if(ISBLANK('2025'!$T276), 0, 1), 7, 0))), 1, "")</f>
        <v/>
      </c>
      <c r="AR278" s="1" t="str">
        <f>IF(AND(AND(AND(AR$4&gt;='2025'!$L276,AR$4&lt;='2025'!$M276), AR$4&lt;&gt;DATE(2025,7,4)), (SWITCH(weekday(AR$4), 1, 0, 2, if(ISBLANK('2025'!$P276), 0, 1), 3, if(ISBLANK('2025'!$Q276), 0, 1), 4, if(ISBLANK('2025'!$R276), 0, 1), 5, if(ISBLANK('2025'!$S276), 0, 1), 6, if(ISBLANK('2025'!$T276), 0, 1), 7, 0))), 1, "")</f>
        <v/>
      </c>
      <c r="AS278" s="1" t="str">
        <f>IF(AND(AND(AND(AS$4&gt;='2025'!$L276,AS$4&lt;='2025'!$M276), AS$4&lt;&gt;DATE(2025,7,4)), (SWITCH(weekday(AS$4), 1, 0, 2, if(ISBLANK('2025'!$P276), 0, 1), 3, if(ISBLANK('2025'!$Q276), 0, 1), 4, if(ISBLANK('2025'!$R276), 0, 1), 5, if(ISBLANK('2025'!$S276), 0, 1), 6, if(ISBLANK('2025'!$T276), 0, 1), 7, 0))), 1, "")</f>
        <v/>
      </c>
      <c r="AT278" s="1" t="str">
        <f>IF(AND(AND(AND(AT$4&gt;='2025'!$L276,AT$4&lt;='2025'!$M276), AT$4&lt;&gt;DATE(2025,7,4)), (SWITCH(weekday(AT$4), 1, 0, 2, if(ISBLANK('2025'!$P276), 0, 1), 3, if(ISBLANK('2025'!$Q276), 0, 1), 4, if(ISBLANK('2025'!$R276), 0, 1), 5, if(ISBLANK('2025'!$S276), 0, 1), 6, if(ISBLANK('2025'!$T276), 0, 1), 7, 0))), 1, "")</f>
        <v/>
      </c>
      <c r="AU278" s="1" t="str">
        <f>IF(AND(AND(AND(AU$4&gt;='2025'!$L276,AU$4&lt;='2025'!$M276), AU$4&lt;&gt;DATE(2025,7,4)), (SWITCH(weekday(AU$4), 1, 0, 2, if(ISBLANK('2025'!$P276), 0, 1), 3, if(ISBLANK('2025'!$Q276), 0, 1), 4, if(ISBLANK('2025'!$R276), 0, 1), 5, if(ISBLANK('2025'!$S276), 0, 1), 6, if(ISBLANK('2025'!$T276), 0, 1), 7, 0))), 1, "")</f>
        <v/>
      </c>
      <c r="AV278" s="1" t="str">
        <f>IF(AND(AND(AND(AV$4&gt;='2025'!$L276,AV$4&lt;='2025'!$M276), AV$4&lt;&gt;DATE(2025,7,4)), (SWITCH(weekday(AV$4), 1, 0, 2, if(ISBLANK('2025'!$P276), 0, 1), 3, if(ISBLANK('2025'!$Q276), 0, 1), 4, if(ISBLANK('2025'!$R276), 0, 1), 5, if(ISBLANK('2025'!$S276), 0, 1), 6, if(ISBLANK('2025'!$T276), 0, 1), 7, 0))), 1, "")</f>
        <v/>
      </c>
      <c r="AW278" s="1" t="str">
        <f>IF(AND(AND(AND(AW$4&gt;='2025'!$L276,AW$4&lt;='2025'!$M276), AW$4&lt;&gt;DATE(2025,7,4)), (SWITCH(weekday(AW$4), 1, 0, 2, if(ISBLANK('2025'!$P276), 0, 1), 3, if(ISBLANK('2025'!$Q276), 0, 1), 4, if(ISBLANK('2025'!$R276), 0, 1), 5, if(ISBLANK('2025'!$S276), 0, 1), 6, if(ISBLANK('2025'!$T276), 0, 1), 7, 0))), 1, "")</f>
        <v/>
      </c>
      <c r="AX278" s="1" t="str">
        <f>IF(AND(AND(AND(AX$4&gt;='2025'!$L276,AX$4&lt;='2025'!$M276), AX$4&lt;&gt;DATE(2025,7,4)), (SWITCH(weekday(AX$4), 1, 0, 2, if(ISBLANK('2025'!$P276), 0, 1), 3, if(ISBLANK('2025'!$Q276), 0, 1), 4, if(ISBLANK('2025'!$R276), 0, 1), 5, if(ISBLANK('2025'!$S276), 0, 1), 6, if(ISBLANK('2025'!$T276), 0, 1), 7, 0))), 1, "")</f>
        <v/>
      </c>
      <c r="AY278" s="1" t="str">
        <f>IF(AND(AND(AND(AY$4&gt;='2025'!$L276,AY$4&lt;='2025'!$M276), AY$4&lt;&gt;DATE(2025,7,4)), (SWITCH(weekday(AY$4), 1, 0, 2, if(ISBLANK('2025'!$P276), 0, 1), 3, if(ISBLANK('2025'!$Q276), 0, 1), 4, if(ISBLANK('2025'!$R276), 0, 1), 5, if(ISBLANK('2025'!$S276), 0, 1), 6, if(ISBLANK('2025'!$T276), 0, 1), 7, 0))), 1, "")</f>
        <v/>
      </c>
      <c r="AZ278" s="1" t="str">
        <f>IF(AND(AND(AND(AZ$4&gt;='2025'!$L276,AZ$4&lt;='2025'!$M276), AZ$4&lt;&gt;DATE(2025,7,4)), (SWITCH(weekday(AZ$4), 1, 0, 2, if(ISBLANK('2025'!$P276), 0, 1), 3, if(ISBLANK('2025'!$Q276), 0, 1), 4, if(ISBLANK('2025'!$R276), 0, 1), 5, if(ISBLANK('2025'!$S276), 0, 1), 6, if(ISBLANK('2025'!$T276), 0, 1), 7, 0))), 1, "")</f>
        <v/>
      </c>
      <c r="BA278" s="1" t="str">
        <f>IF(AND(AND(AND(BA$4&gt;='2025'!$L276,BA$4&lt;='2025'!$M276), BA$4&lt;&gt;DATE(2025,7,4)), (SWITCH(weekday(BA$4), 1, 0, 2, if(ISBLANK('2025'!$P276), 0, 1), 3, if(ISBLANK('2025'!$Q276), 0, 1), 4, if(ISBLANK('2025'!$R276), 0, 1), 5, if(ISBLANK('2025'!$S276), 0, 1), 6, if(ISBLANK('2025'!$T276), 0, 1), 7, 0))), 1, "")</f>
        <v/>
      </c>
      <c r="BB278" s="1" t="str">
        <f>IF(AND(AND(AND(BB$4&gt;='2025'!$L276,BB$4&lt;='2025'!$M276), BB$4&lt;&gt;DATE(2025,7,4)), (SWITCH(weekday(BB$4), 1, 0, 2, if(ISBLANK('2025'!$P276), 0, 1), 3, if(ISBLANK('2025'!$Q276), 0, 1), 4, if(ISBLANK('2025'!$R276), 0, 1), 5, if(ISBLANK('2025'!$S276), 0, 1), 6, if(ISBLANK('2025'!$T276), 0, 1), 7, 0))), 1, "")</f>
        <v/>
      </c>
      <c r="BC278" s="1" t="str">
        <f>IF(AND(AND(AND(BC$4&gt;='2025'!$L276,BC$4&lt;='2025'!$M276), BC$4&lt;&gt;DATE(2025,7,4)), (SWITCH(weekday(BC$4), 1, 0, 2, if(ISBLANK('2025'!$P276), 0, 1), 3, if(ISBLANK('2025'!$Q276), 0, 1), 4, if(ISBLANK('2025'!$R276), 0, 1), 5, if(ISBLANK('2025'!$S276), 0, 1), 6, if(ISBLANK('2025'!$T276), 0, 1), 7, 0))), 1, "")</f>
        <v/>
      </c>
      <c r="BD278" s="1" t="str">
        <f>IF(AND(AND(AND(BD$4&gt;='2025'!$L276,BD$4&lt;='2025'!$M276), BD$4&lt;&gt;DATE(2025,7,4)), (SWITCH(weekday(BD$4), 1, 0, 2, if(ISBLANK('2025'!$P276), 0, 1), 3, if(ISBLANK('2025'!$Q276), 0, 1), 4, if(ISBLANK('2025'!$R276), 0, 1), 5, if(ISBLANK('2025'!$S276), 0, 1), 6, if(ISBLANK('2025'!$T276), 0, 1), 7, 0))), 1, "")</f>
        <v/>
      </c>
      <c r="BE278" s="1" t="str">
        <f>IF(AND(AND(AND(BE$4&gt;='2025'!$L276,BE$4&lt;='2025'!$M276), BE$4&lt;&gt;DATE(2025,7,4)), (SWITCH(weekday(BE$4), 1, 0, 2, if(ISBLANK('2025'!$P276), 0, 1), 3, if(ISBLANK('2025'!$Q276), 0, 1), 4, if(ISBLANK('2025'!$R276), 0, 1), 5, if(ISBLANK('2025'!$S276), 0, 1), 6, if(ISBLANK('2025'!$T276), 0, 1), 7, 0))), 1, "")</f>
        <v/>
      </c>
      <c r="BF278" s="1" t="str">
        <f>IF(AND(AND(AND(BF$4&gt;='2025'!$L276,BF$4&lt;='2025'!$M276), BF$4&lt;&gt;DATE(2025,7,4)), (SWITCH(weekday(BF$4), 1, 0, 2, if(ISBLANK('2025'!$P276), 0, 1), 3, if(ISBLANK('2025'!$Q276), 0, 1), 4, if(ISBLANK('2025'!$R276), 0, 1), 5, if(ISBLANK('2025'!$S276), 0, 1), 6, if(ISBLANK('2025'!$T276), 0, 1), 7, 0))), 1, "")</f>
        <v/>
      </c>
      <c r="BG278" s="1"/>
      <c r="BH278" s="1"/>
      <c r="BI278" s="1"/>
      <c r="BJ278" s="1"/>
      <c r="BK278" s="1"/>
      <c r="BL278" s="1"/>
    </row>
    <row r="279">
      <c r="A279" s="1">
        <f t="shared" si="3"/>
        <v>279</v>
      </c>
      <c r="B279" s="1" t="str">
        <f>'2025'!D243</f>
        <v>, </v>
      </c>
      <c r="C279" s="1" t="str">
        <f>'2025'!H243</f>
        <v/>
      </c>
      <c r="D279" s="1" t="str">
        <f>IF(AND(AND(AND(D$4&gt;='2025'!$L277,D$4&lt;='2025'!$M277), D$4&lt;&gt;DATE(2025,7,4)), (SWITCH(weekday(D$4), 1, 0, 2, if(ISBLANK('2025'!$P277), 0, 1), 3, if(ISBLANK('2025'!$Q277), 0, 1), 4, if(ISBLANK('2025'!$R277), 0, 1), 5, if(ISBLANK('2025'!$S277), 0, 1), 6, if(ISBLANK('2025'!$T277), 0, 1), 7, 0))), 1, "")</f>
        <v/>
      </c>
      <c r="E279" s="1" t="str">
        <f>IF(AND(AND(AND(E$4&gt;='2025'!$L277,E$4&lt;='2025'!$M277), E$4&lt;&gt;DATE(2025,7,4)), (SWITCH(weekday(E$4), 1, 0, 2, if(ISBLANK('2025'!$P277), 0, 1), 3, if(ISBLANK('2025'!$Q277), 0, 1), 4, if(ISBLANK('2025'!$R277), 0, 1), 5, if(ISBLANK('2025'!$S277), 0, 1), 6, if(ISBLANK('2025'!$T277), 0, 1), 7, 0))), 1, "")</f>
        <v/>
      </c>
      <c r="F279" s="1" t="str">
        <f>IF(AND(AND(AND(F$4&gt;='2025'!$L277,F$4&lt;='2025'!$M277), F$4&lt;&gt;DATE(2025,7,4)), (SWITCH(weekday(F$4), 1, 0, 2, if(ISBLANK('2025'!$P277), 0, 1), 3, if(ISBLANK('2025'!$Q277), 0, 1), 4, if(ISBLANK('2025'!$R277), 0, 1), 5, if(ISBLANK('2025'!$S277), 0, 1), 6, if(ISBLANK('2025'!$T277), 0, 1), 7, 0))), 1, "")</f>
        <v/>
      </c>
      <c r="G279" s="1" t="str">
        <f>IF(AND(AND(AND(G$4&gt;='2025'!$L277,G$4&lt;='2025'!$M277), G$4&lt;&gt;DATE(2025,7,4)), (SWITCH(weekday(G$4), 1, 0, 2, if(ISBLANK('2025'!$P277), 0, 1), 3, if(ISBLANK('2025'!$Q277), 0, 1), 4, if(ISBLANK('2025'!$R277), 0, 1), 5, if(ISBLANK('2025'!$S277), 0, 1), 6, if(ISBLANK('2025'!$T277), 0, 1), 7, 0))), 1, "")</f>
        <v/>
      </c>
      <c r="H279" s="1" t="str">
        <f>IF(AND(AND(AND(H$4&gt;='2025'!$L277,H$4&lt;='2025'!$M277), H$4&lt;&gt;DATE(2025,7,4)), (SWITCH(weekday(H$4), 1, 0, 2, if(ISBLANK('2025'!$P277), 0, 1), 3, if(ISBLANK('2025'!$Q277), 0, 1), 4, if(ISBLANK('2025'!$R277), 0, 1), 5, if(ISBLANK('2025'!$S277), 0, 1), 6, if(ISBLANK('2025'!$T277), 0, 1), 7, 0))), 1, "")</f>
        <v/>
      </c>
      <c r="I279" s="1" t="str">
        <f>IF(AND(AND(AND(I$4&gt;='2025'!$L277,I$4&lt;='2025'!$M277), I$4&lt;&gt;DATE(2025,7,4)), (SWITCH(weekday(I$4), 1, 0, 2, if(ISBLANK('2025'!$P277), 0, 1), 3, if(ISBLANK('2025'!$Q277), 0, 1), 4, if(ISBLANK('2025'!$R277), 0, 1), 5, if(ISBLANK('2025'!$S277), 0, 1), 6, if(ISBLANK('2025'!$T277), 0, 1), 7, 0))), 1, "")</f>
        <v/>
      </c>
      <c r="J279" s="1" t="str">
        <f>IF(AND(AND(AND(J$4&gt;='2025'!$L277,J$4&lt;='2025'!$M277), J$4&lt;&gt;DATE(2025,7,4)), (SWITCH(weekday(J$4), 1, 0, 2, if(ISBLANK('2025'!$P277), 0, 1), 3, if(ISBLANK('2025'!$Q277), 0, 1), 4, if(ISBLANK('2025'!$R277), 0, 1), 5, if(ISBLANK('2025'!$S277), 0, 1), 6, if(ISBLANK('2025'!$T277), 0, 1), 7, 0))), 1, "")</f>
        <v/>
      </c>
      <c r="K279" s="1" t="str">
        <f>IF(AND(AND(AND(K$4&gt;='2025'!$L277,K$4&lt;='2025'!$M277), K$4&lt;&gt;DATE(2025,7,4)), (SWITCH(weekday(K$4), 1, 0, 2, if(ISBLANK('2025'!$P277), 0, 1), 3, if(ISBLANK('2025'!$Q277), 0, 1), 4, if(ISBLANK('2025'!$R277), 0, 1), 5, if(ISBLANK('2025'!$S277), 0, 1), 6, if(ISBLANK('2025'!$T277), 0, 1), 7, 0))), 1, "")</f>
        <v/>
      </c>
      <c r="L279" s="1" t="str">
        <f>IF(AND(AND(AND(L$4&gt;='2025'!$L277,L$4&lt;='2025'!$M277), L$4&lt;&gt;DATE(2025,7,4)), (SWITCH(weekday(L$4), 1, 0, 2, if(ISBLANK('2025'!$P277), 0, 1), 3, if(ISBLANK('2025'!$Q277), 0, 1), 4, if(ISBLANK('2025'!$R277), 0, 1), 5, if(ISBLANK('2025'!$S277), 0, 1), 6, if(ISBLANK('2025'!$T277), 0, 1), 7, 0))), 1, "")</f>
        <v/>
      </c>
      <c r="M279" s="1" t="str">
        <f>IF(AND(AND(AND(M$4&gt;='2025'!$L277,M$4&lt;='2025'!$M277), M$4&lt;&gt;DATE(2025,7,4)), (SWITCH(weekday(M$4), 1, 0, 2, if(ISBLANK('2025'!$P277), 0, 1), 3, if(ISBLANK('2025'!$Q277), 0, 1), 4, if(ISBLANK('2025'!$R277), 0, 1), 5, if(ISBLANK('2025'!$S277), 0, 1), 6, if(ISBLANK('2025'!$T277), 0, 1), 7, 0))), 1, "")</f>
        <v/>
      </c>
      <c r="N279" s="1" t="str">
        <f>IF(AND(AND(AND(N$4&gt;='2025'!$L277,N$4&lt;='2025'!$M277), N$4&lt;&gt;DATE(2025,7,4)), (SWITCH(weekday(N$4), 1, 0, 2, if(ISBLANK('2025'!$P277), 0, 1), 3, if(ISBLANK('2025'!$Q277), 0, 1), 4, if(ISBLANK('2025'!$R277), 0, 1), 5, if(ISBLANK('2025'!$S277), 0, 1), 6, if(ISBLANK('2025'!$T277), 0, 1), 7, 0))), 1, "")</f>
        <v/>
      </c>
      <c r="O279" s="1" t="str">
        <f>IF(AND(AND(AND(O$4&gt;='2025'!$L277,O$4&lt;='2025'!$M277), O$4&lt;&gt;DATE(2025,7,4)), (SWITCH(weekday(O$4), 1, 0, 2, if(ISBLANK('2025'!$P277), 0, 1), 3, if(ISBLANK('2025'!$Q277), 0, 1), 4, if(ISBLANK('2025'!$R277), 0, 1), 5, if(ISBLANK('2025'!$S277), 0, 1), 6, if(ISBLANK('2025'!$T277), 0, 1), 7, 0))), 1, "")</f>
        <v/>
      </c>
      <c r="P279" s="1" t="str">
        <f>IF(AND(AND(AND(P$4&gt;='2025'!$L277,P$4&lt;='2025'!$M277), P$4&lt;&gt;DATE(2025,7,4)), (SWITCH(weekday(P$4), 1, 0, 2, if(ISBLANK('2025'!$P277), 0, 1), 3, if(ISBLANK('2025'!$Q277), 0, 1), 4, if(ISBLANK('2025'!$R277), 0, 1), 5, if(ISBLANK('2025'!$S277), 0, 1), 6, if(ISBLANK('2025'!$T277), 0, 1), 7, 0))), 1, "")</f>
        <v/>
      </c>
      <c r="Q279" s="1" t="str">
        <f>IF(AND(AND(AND(Q$4&gt;='2025'!$L277,Q$4&lt;='2025'!$M277), Q$4&lt;&gt;DATE(2025,7,4)), (SWITCH(weekday(Q$4), 1, 0, 2, if(ISBLANK('2025'!$P277), 0, 1), 3, if(ISBLANK('2025'!$Q277), 0, 1), 4, if(ISBLANK('2025'!$R277), 0, 1), 5, if(ISBLANK('2025'!$S277), 0, 1), 6, if(ISBLANK('2025'!$T277), 0, 1), 7, 0))), 1, "")</f>
        <v/>
      </c>
      <c r="R279" s="1" t="str">
        <f>IF(AND(AND(AND(R$4&gt;='2025'!$L277,R$4&lt;='2025'!$M277), R$4&lt;&gt;DATE(2025,7,4)), (SWITCH(weekday(R$4), 1, 0, 2, if(ISBLANK('2025'!$P277), 0, 1), 3, if(ISBLANK('2025'!$Q277), 0, 1), 4, if(ISBLANK('2025'!$R277), 0, 1), 5, if(ISBLANK('2025'!$S277), 0, 1), 6, if(ISBLANK('2025'!$T277), 0, 1), 7, 0))), 1, "")</f>
        <v/>
      </c>
      <c r="S279" s="1" t="str">
        <f>IF(AND(AND(AND(S$4&gt;='2025'!$L277,S$4&lt;='2025'!$M277), S$4&lt;&gt;DATE(2025,7,4)), (SWITCH(weekday(S$4), 1, 0, 2, if(ISBLANK('2025'!$P277), 0, 1), 3, if(ISBLANK('2025'!$Q277), 0, 1), 4, if(ISBLANK('2025'!$R277), 0, 1), 5, if(ISBLANK('2025'!$S277), 0, 1), 6, if(ISBLANK('2025'!$T277), 0, 1), 7, 0))), 1, "")</f>
        <v/>
      </c>
      <c r="T279" s="1" t="str">
        <f>IF(AND(AND(AND(T$4&gt;='2025'!$L277,T$4&lt;='2025'!$M277), T$4&lt;&gt;DATE(2025,7,4)), (SWITCH(weekday(T$4), 1, 0, 2, if(ISBLANK('2025'!$P277), 0, 1), 3, if(ISBLANK('2025'!$Q277), 0, 1), 4, if(ISBLANK('2025'!$R277), 0, 1), 5, if(ISBLANK('2025'!$S277), 0, 1), 6, if(ISBLANK('2025'!$T277), 0, 1), 7, 0))), 1, "")</f>
        <v/>
      </c>
      <c r="U279" s="1" t="str">
        <f>IF(AND(AND(AND(U$4&gt;='2025'!$L277,U$4&lt;='2025'!$M277), U$4&lt;&gt;DATE(2025,7,4)), (SWITCH(weekday(U$4), 1, 0, 2, if(ISBLANK('2025'!$P277), 0, 1), 3, if(ISBLANK('2025'!$Q277), 0, 1), 4, if(ISBLANK('2025'!$R277), 0, 1), 5, if(ISBLANK('2025'!$S277), 0, 1), 6, if(ISBLANK('2025'!$T277), 0, 1), 7, 0))), 1, "")</f>
        <v/>
      </c>
      <c r="V279" s="1" t="str">
        <f>IF(AND(AND(AND(V$4&gt;='2025'!$L277,V$4&lt;='2025'!$M277), V$4&lt;&gt;DATE(2025,7,4)), (SWITCH(weekday(V$4), 1, 0, 2, if(ISBLANK('2025'!$P277), 0, 1), 3, if(ISBLANK('2025'!$Q277), 0, 1), 4, if(ISBLANK('2025'!$R277), 0, 1), 5, if(ISBLANK('2025'!$S277), 0, 1), 6, if(ISBLANK('2025'!$T277), 0, 1), 7, 0))), 1, "")</f>
        <v/>
      </c>
      <c r="W279" s="1" t="str">
        <f>IF(AND(AND(AND(W$4&gt;='2025'!$L277,W$4&lt;='2025'!$M277), W$4&lt;&gt;DATE(2025,7,4)), (SWITCH(weekday(W$4), 1, 0, 2, if(ISBLANK('2025'!$P277), 0, 1), 3, if(ISBLANK('2025'!$Q277), 0, 1), 4, if(ISBLANK('2025'!$R277), 0, 1), 5, if(ISBLANK('2025'!$S277), 0, 1), 6, if(ISBLANK('2025'!$T277), 0, 1), 7, 0))), 1, "")</f>
        <v/>
      </c>
      <c r="X279" s="1" t="str">
        <f>IF(AND(AND(AND(X$4&gt;='2025'!$L277,X$4&lt;='2025'!$M277), X$4&lt;&gt;DATE(2025,7,4)), (SWITCH(weekday(X$4), 1, 0, 2, if(ISBLANK('2025'!$P277), 0, 1), 3, if(ISBLANK('2025'!$Q277), 0, 1), 4, if(ISBLANK('2025'!$R277), 0, 1), 5, if(ISBLANK('2025'!$S277), 0, 1), 6, if(ISBLANK('2025'!$T277), 0, 1), 7, 0))), 1, "")</f>
        <v/>
      </c>
      <c r="Y279" s="1" t="str">
        <f>IF(AND(AND(AND(Y$4&gt;='2025'!$L277,Y$4&lt;='2025'!$M277), Y$4&lt;&gt;DATE(2025,7,4)), (SWITCH(weekday(Y$4), 1, 0, 2, if(ISBLANK('2025'!$P277), 0, 1), 3, if(ISBLANK('2025'!$Q277), 0, 1), 4, if(ISBLANK('2025'!$R277), 0, 1), 5, if(ISBLANK('2025'!$S277), 0, 1), 6, if(ISBLANK('2025'!$T277), 0, 1), 7, 0))), 1, "")</f>
        <v/>
      </c>
      <c r="Z279" s="1" t="str">
        <f>IF(AND(AND(AND(Z$4&gt;='2025'!$L277,Z$4&lt;='2025'!$M277), Z$4&lt;&gt;DATE(2025,7,4)), (SWITCH(weekday(Z$4), 1, 0, 2, if(ISBLANK('2025'!$P277), 0, 1), 3, if(ISBLANK('2025'!$Q277), 0, 1), 4, if(ISBLANK('2025'!$R277), 0, 1), 5, if(ISBLANK('2025'!$S277), 0, 1), 6, if(ISBLANK('2025'!$T277), 0, 1), 7, 0))), 1, "")</f>
        <v/>
      </c>
      <c r="AA279" s="1" t="str">
        <f>IF(AND(AND(AND(AA$4&gt;='2025'!$L277,AA$4&lt;='2025'!$M277), AA$4&lt;&gt;DATE(2025,7,4)), (SWITCH(weekday(AA$4), 1, 0, 2, if(ISBLANK('2025'!$P277), 0, 1), 3, if(ISBLANK('2025'!$Q277), 0, 1), 4, if(ISBLANK('2025'!$R277), 0, 1), 5, if(ISBLANK('2025'!$S277), 0, 1), 6, if(ISBLANK('2025'!$T277), 0, 1), 7, 0))), 1, "")</f>
        <v/>
      </c>
      <c r="AB279" s="1" t="str">
        <f>IF(AND(AND(AND(AB$4&gt;='2025'!$L277,AB$4&lt;='2025'!$M277), AB$4&lt;&gt;DATE(2025,7,4)), (SWITCH(weekday(AB$4), 1, 0, 2, if(ISBLANK('2025'!$P277), 0, 1), 3, if(ISBLANK('2025'!$Q277), 0, 1), 4, if(ISBLANK('2025'!$R277), 0, 1), 5, if(ISBLANK('2025'!$S277), 0, 1), 6, if(ISBLANK('2025'!$T277), 0, 1), 7, 0))), 1, "")</f>
        <v/>
      </c>
      <c r="AC279" s="1" t="str">
        <f>IF(AND(AND(AND(AC$4&gt;='2025'!$L277,AC$4&lt;='2025'!$M277), AC$4&lt;&gt;DATE(2025,7,4)), (SWITCH(weekday(AC$4), 1, 0, 2, if(ISBLANK('2025'!$P277), 0, 1), 3, if(ISBLANK('2025'!$Q277), 0, 1), 4, if(ISBLANK('2025'!$R277), 0, 1), 5, if(ISBLANK('2025'!$S277), 0, 1), 6, if(ISBLANK('2025'!$T277), 0, 1), 7, 0))), 1, "")</f>
        <v/>
      </c>
      <c r="AD279" s="1" t="str">
        <f>IF(AND(AND(AND(AD$4&gt;='2025'!$L277,AD$4&lt;='2025'!$M277), AD$4&lt;&gt;DATE(2025,7,4)), (SWITCH(weekday(AD$4), 1, 0, 2, if(ISBLANK('2025'!$P277), 0, 1), 3, if(ISBLANK('2025'!$Q277), 0, 1), 4, if(ISBLANK('2025'!$R277), 0, 1), 5, if(ISBLANK('2025'!$S277), 0, 1), 6, if(ISBLANK('2025'!$T277), 0, 1), 7, 0))), 1, "")</f>
        <v/>
      </c>
      <c r="AE279" s="1" t="str">
        <f>IF(AND(AND(AND(AE$4&gt;='2025'!$L277,AE$4&lt;='2025'!$M277), AE$4&lt;&gt;DATE(2025,7,4)), (SWITCH(weekday(AE$4), 1, 0, 2, if(ISBLANK('2025'!$P277), 0, 1), 3, if(ISBLANK('2025'!$Q277), 0, 1), 4, if(ISBLANK('2025'!$R277), 0, 1), 5, if(ISBLANK('2025'!$S277), 0, 1), 6, if(ISBLANK('2025'!$T277), 0, 1), 7, 0))), 1, "")</f>
        <v/>
      </c>
      <c r="AF279" s="1" t="str">
        <f>IF(AND(AND(AND(AF$4&gt;='2025'!$L277,AF$4&lt;='2025'!$M277), AF$4&lt;&gt;DATE(2025,7,4)), (SWITCH(weekday(AF$4), 1, 0, 2, if(ISBLANK('2025'!$P277), 0, 1), 3, if(ISBLANK('2025'!$Q277), 0, 1), 4, if(ISBLANK('2025'!$R277), 0, 1), 5, if(ISBLANK('2025'!$S277), 0, 1), 6, if(ISBLANK('2025'!$T277), 0, 1), 7, 0))), 1, "")</f>
        <v/>
      </c>
      <c r="AG279" s="1" t="str">
        <f>IF(AND(AND(AND(AG$4&gt;='2025'!$L277,AG$4&lt;='2025'!$M277), AG$4&lt;&gt;DATE(2025,7,4)), (SWITCH(weekday(AG$4), 1, 0, 2, if(ISBLANK('2025'!$P277), 0, 1), 3, if(ISBLANK('2025'!$Q277), 0, 1), 4, if(ISBLANK('2025'!$R277), 0, 1), 5, if(ISBLANK('2025'!$S277), 0, 1), 6, if(ISBLANK('2025'!$T277), 0, 1), 7, 0))), 1, "")</f>
        <v/>
      </c>
      <c r="AH279" s="1" t="str">
        <f>IF(AND(AND(AND(AH$4&gt;='2025'!$L277,AH$4&lt;='2025'!$M277), AH$4&lt;&gt;DATE(2025,7,4)), (SWITCH(weekday(AH$4), 1, 0, 2, if(ISBLANK('2025'!$P277), 0, 1), 3, if(ISBLANK('2025'!$Q277), 0, 1), 4, if(ISBLANK('2025'!$R277), 0, 1), 5, if(ISBLANK('2025'!$S277), 0, 1), 6, if(ISBLANK('2025'!$T277), 0, 1), 7, 0))), 1, "")</f>
        <v/>
      </c>
      <c r="AI279" s="1" t="str">
        <f>IF(AND(AND(AND(AI$4&gt;='2025'!$L277,AI$4&lt;='2025'!$M277), AI$4&lt;&gt;DATE(2025,7,4)), (SWITCH(weekday(AI$4), 1, 0, 2, if(ISBLANK('2025'!$P277), 0, 1), 3, if(ISBLANK('2025'!$Q277), 0, 1), 4, if(ISBLANK('2025'!$R277), 0, 1), 5, if(ISBLANK('2025'!$S277), 0, 1), 6, if(ISBLANK('2025'!$T277), 0, 1), 7, 0))), 1, "")</f>
        <v/>
      </c>
      <c r="AJ279" s="1" t="str">
        <f>IF(AND(AND(AND(AJ$4&gt;='2025'!$L277,AJ$4&lt;='2025'!$M277), AJ$4&lt;&gt;DATE(2025,7,4)), (SWITCH(weekday(AJ$4), 1, 0, 2, if(ISBLANK('2025'!$P277), 0, 1), 3, if(ISBLANK('2025'!$Q277), 0, 1), 4, if(ISBLANK('2025'!$R277), 0, 1), 5, if(ISBLANK('2025'!$S277), 0, 1), 6, if(ISBLANK('2025'!$T277), 0, 1), 7, 0))), 1, "")</f>
        <v/>
      </c>
      <c r="AK279" s="1" t="str">
        <f>IF(AND(AND(AND(AK$4&gt;='2025'!$L277,AK$4&lt;='2025'!$M277), AK$4&lt;&gt;DATE(2025,7,4)), (SWITCH(weekday(AK$4), 1, 0, 2, if(ISBLANK('2025'!$P277), 0, 1), 3, if(ISBLANK('2025'!$Q277), 0, 1), 4, if(ISBLANK('2025'!$R277), 0, 1), 5, if(ISBLANK('2025'!$S277), 0, 1), 6, if(ISBLANK('2025'!$T277), 0, 1), 7, 0))), 1, "")</f>
        <v/>
      </c>
      <c r="AL279" s="1" t="str">
        <f>IF(AND(AND(AND(AL$4&gt;='2025'!$L277,AL$4&lt;='2025'!$M277), AL$4&lt;&gt;DATE(2025,7,4)), (SWITCH(weekday(AL$4), 1, 0, 2, if(ISBLANK('2025'!$P277), 0, 1), 3, if(ISBLANK('2025'!$Q277), 0, 1), 4, if(ISBLANK('2025'!$R277), 0, 1), 5, if(ISBLANK('2025'!$S277), 0, 1), 6, if(ISBLANK('2025'!$T277), 0, 1), 7, 0))), 1, "")</f>
        <v/>
      </c>
      <c r="AM279" s="1" t="str">
        <f>IF(AND(AND(AND(AM$4&gt;='2025'!$L277,AM$4&lt;='2025'!$M277), AM$4&lt;&gt;DATE(2025,7,4)), (SWITCH(weekday(AM$4), 1, 0, 2, if(ISBLANK('2025'!$P277), 0, 1), 3, if(ISBLANK('2025'!$Q277), 0, 1), 4, if(ISBLANK('2025'!$R277), 0, 1), 5, if(ISBLANK('2025'!$S277), 0, 1), 6, if(ISBLANK('2025'!$T277), 0, 1), 7, 0))), 1, "")</f>
        <v/>
      </c>
      <c r="AN279" s="1" t="str">
        <f>IF(AND(AND(AND(AN$4&gt;='2025'!$L277,AN$4&lt;='2025'!$M277), AN$4&lt;&gt;DATE(2025,7,4)), (SWITCH(weekday(AN$4), 1, 0, 2, if(ISBLANK('2025'!$P277), 0, 1), 3, if(ISBLANK('2025'!$Q277), 0, 1), 4, if(ISBLANK('2025'!$R277), 0, 1), 5, if(ISBLANK('2025'!$S277), 0, 1), 6, if(ISBLANK('2025'!$T277), 0, 1), 7, 0))), 1, "")</f>
        <v/>
      </c>
      <c r="AO279" s="1" t="str">
        <f>IF(AND(AND(AND(AO$4&gt;='2025'!$L277,AO$4&lt;='2025'!$M277), AO$4&lt;&gt;DATE(2025,7,4)), (SWITCH(weekday(AO$4), 1, 0, 2, if(ISBLANK('2025'!$P277), 0, 1), 3, if(ISBLANK('2025'!$Q277), 0, 1), 4, if(ISBLANK('2025'!$R277), 0, 1), 5, if(ISBLANK('2025'!$S277), 0, 1), 6, if(ISBLANK('2025'!$T277), 0, 1), 7, 0))), 1, "")</f>
        <v/>
      </c>
      <c r="AP279" s="1" t="str">
        <f>IF(AND(AND(AND(AP$4&gt;='2025'!$L277,AP$4&lt;='2025'!$M277), AP$4&lt;&gt;DATE(2025,7,4)), (SWITCH(weekday(AP$4), 1, 0, 2, if(ISBLANK('2025'!$P277), 0, 1), 3, if(ISBLANK('2025'!$Q277), 0, 1), 4, if(ISBLANK('2025'!$R277), 0, 1), 5, if(ISBLANK('2025'!$S277), 0, 1), 6, if(ISBLANK('2025'!$T277), 0, 1), 7, 0))), 1, "")</f>
        <v/>
      </c>
      <c r="AQ279" s="1" t="str">
        <f>IF(AND(AND(AND(AQ$4&gt;='2025'!$L277,AQ$4&lt;='2025'!$M277), AQ$4&lt;&gt;DATE(2025,7,4)), (SWITCH(weekday(AQ$4), 1, 0, 2, if(ISBLANK('2025'!$P277), 0, 1), 3, if(ISBLANK('2025'!$Q277), 0, 1), 4, if(ISBLANK('2025'!$R277), 0, 1), 5, if(ISBLANK('2025'!$S277), 0, 1), 6, if(ISBLANK('2025'!$T277), 0, 1), 7, 0))), 1, "")</f>
        <v/>
      </c>
      <c r="AR279" s="1" t="str">
        <f>IF(AND(AND(AND(AR$4&gt;='2025'!$L277,AR$4&lt;='2025'!$M277), AR$4&lt;&gt;DATE(2025,7,4)), (SWITCH(weekday(AR$4), 1, 0, 2, if(ISBLANK('2025'!$P277), 0, 1), 3, if(ISBLANK('2025'!$Q277), 0, 1), 4, if(ISBLANK('2025'!$R277), 0, 1), 5, if(ISBLANK('2025'!$S277), 0, 1), 6, if(ISBLANK('2025'!$T277), 0, 1), 7, 0))), 1, "")</f>
        <v/>
      </c>
      <c r="AS279" s="1" t="str">
        <f>IF(AND(AND(AND(AS$4&gt;='2025'!$L277,AS$4&lt;='2025'!$M277), AS$4&lt;&gt;DATE(2025,7,4)), (SWITCH(weekday(AS$4), 1, 0, 2, if(ISBLANK('2025'!$P277), 0, 1), 3, if(ISBLANK('2025'!$Q277), 0, 1), 4, if(ISBLANK('2025'!$R277), 0, 1), 5, if(ISBLANK('2025'!$S277), 0, 1), 6, if(ISBLANK('2025'!$T277), 0, 1), 7, 0))), 1, "")</f>
        <v/>
      </c>
      <c r="AT279" s="1" t="str">
        <f>IF(AND(AND(AND(AT$4&gt;='2025'!$L277,AT$4&lt;='2025'!$M277), AT$4&lt;&gt;DATE(2025,7,4)), (SWITCH(weekday(AT$4), 1, 0, 2, if(ISBLANK('2025'!$P277), 0, 1), 3, if(ISBLANK('2025'!$Q277), 0, 1), 4, if(ISBLANK('2025'!$R277), 0, 1), 5, if(ISBLANK('2025'!$S277), 0, 1), 6, if(ISBLANK('2025'!$T277), 0, 1), 7, 0))), 1, "")</f>
        <v/>
      </c>
      <c r="AU279" s="1" t="str">
        <f>IF(AND(AND(AND(AU$4&gt;='2025'!$L277,AU$4&lt;='2025'!$M277), AU$4&lt;&gt;DATE(2025,7,4)), (SWITCH(weekday(AU$4), 1, 0, 2, if(ISBLANK('2025'!$P277), 0, 1), 3, if(ISBLANK('2025'!$Q277), 0, 1), 4, if(ISBLANK('2025'!$R277), 0, 1), 5, if(ISBLANK('2025'!$S277), 0, 1), 6, if(ISBLANK('2025'!$T277), 0, 1), 7, 0))), 1, "")</f>
        <v/>
      </c>
      <c r="AV279" s="1" t="str">
        <f>IF(AND(AND(AND(AV$4&gt;='2025'!$L277,AV$4&lt;='2025'!$M277), AV$4&lt;&gt;DATE(2025,7,4)), (SWITCH(weekday(AV$4), 1, 0, 2, if(ISBLANK('2025'!$P277), 0, 1), 3, if(ISBLANK('2025'!$Q277), 0, 1), 4, if(ISBLANK('2025'!$R277), 0, 1), 5, if(ISBLANK('2025'!$S277), 0, 1), 6, if(ISBLANK('2025'!$T277), 0, 1), 7, 0))), 1, "")</f>
        <v/>
      </c>
      <c r="AW279" s="1" t="str">
        <f>IF(AND(AND(AND(AW$4&gt;='2025'!$L277,AW$4&lt;='2025'!$M277), AW$4&lt;&gt;DATE(2025,7,4)), (SWITCH(weekday(AW$4), 1, 0, 2, if(ISBLANK('2025'!$P277), 0, 1), 3, if(ISBLANK('2025'!$Q277), 0, 1), 4, if(ISBLANK('2025'!$R277), 0, 1), 5, if(ISBLANK('2025'!$S277), 0, 1), 6, if(ISBLANK('2025'!$T277), 0, 1), 7, 0))), 1, "")</f>
        <v/>
      </c>
      <c r="AX279" s="1" t="str">
        <f>IF(AND(AND(AND(AX$4&gt;='2025'!$L277,AX$4&lt;='2025'!$M277), AX$4&lt;&gt;DATE(2025,7,4)), (SWITCH(weekday(AX$4), 1, 0, 2, if(ISBLANK('2025'!$P277), 0, 1), 3, if(ISBLANK('2025'!$Q277), 0, 1), 4, if(ISBLANK('2025'!$R277), 0, 1), 5, if(ISBLANK('2025'!$S277), 0, 1), 6, if(ISBLANK('2025'!$T277), 0, 1), 7, 0))), 1, "")</f>
        <v/>
      </c>
      <c r="AY279" s="1" t="str">
        <f>IF(AND(AND(AND(AY$4&gt;='2025'!$L277,AY$4&lt;='2025'!$M277), AY$4&lt;&gt;DATE(2025,7,4)), (SWITCH(weekday(AY$4), 1, 0, 2, if(ISBLANK('2025'!$P277), 0, 1), 3, if(ISBLANK('2025'!$Q277), 0, 1), 4, if(ISBLANK('2025'!$R277), 0, 1), 5, if(ISBLANK('2025'!$S277), 0, 1), 6, if(ISBLANK('2025'!$T277), 0, 1), 7, 0))), 1, "")</f>
        <v/>
      </c>
      <c r="AZ279" s="1" t="str">
        <f>IF(AND(AND(AND(AZ$4&gt;='2025'!$L277,AZ$4&lt;='2025'!$M277), AZ$4&lt;&gt;DATE(2025,7,4)), (SWITCH(weekday(AZ$4), 1, 0, 2, if(ISBLANK('2025'!$P277), 0, 1), 3, if(ISBLANK('2025'!$Q277), 0, 1), 4, if(ISBLANK('2025'!$R277), 0, 1), 5, if(ISBLANK('2025'!$S277), 0, 1), 6, if(ISBLANK('2025'!$T277), 0, 1), 7, 0))), 1, "")</f>
        <v/>
      </c>
      <c r="BA279" s="1" t="str">
        <f>IF(AND(AND(AND(BA$4&gt;='2025'!$L277,BA$4&lt;='2025'!$M277), BA$4&lt;&gt;DATE(2025,7,4)), (SWITCH(weekday(BA$4), 1, 0, 2, if(ISBLANK('2025'!$P277), 0, 1), 3, if(ISBLANK('2025'!$Q277), 0, 1), 4, if(ISBLANK('2025'!$R277), 0, 1), 5, if(ISBLANK('2025'!$S277), 0, 1), 6, if(ISBLANK('2025'!$T277), 0, 1), 7, 0))), 1, "")</f>
        <v/>
      </c>
      <c r="BB279" s="1" t="str">
        <f>IF(AND(AND(AND(BB$4&gt;='2025'!$L277,BB$4&lt;='2025'!$M277), BB$4&lt;&gt;DATE(2025,7,4)), (SWITCH(weekday(BB$4), 1, 0, 2, if(ISBLANK('2025'!$P277), 0, 1), 3, if(ISBLANK('2025'!$Q277), 0, 1), 4, if(ISBLANK('2025'!$R277), 0, 1), 5, if(ISBLANK('2025'!$S277), 0, 1), 6, if(ISBLANK('2025'!$T277), 0, 1), 7, 0))), 1, "")</f>
        <v/>
      </c>
      <c r="BC279" s="1" t="str">
        <f>IF(AND(AND(AND(BC$4&gt;='2025'!$L277,BC$4&lt;='2025'!$M277), BC$4&lt;&gt;DATE(2025,7,4)), (SWITCH(weekday(BC$4), 1, 0, 2, if(ISBLANK('2025'!$P277), 0, 1), 3, if(ISBLANK('2025'!$Q277), 0, 1), 4, if(ISBLANK('2025'!$R277), 0, 1), 5, if(ISBLANK('2025'!$S277), 0, 1), 6, if(ISBLANK('2025'!$T277), 0, 1), 7, 0))), 1, "")</f>
        <v/>
      </c>
      <c r="BD279" s="1" t="str">
        <f>IF(AND(AND(AND(BD$4&gt;='2025'!$L277,BD$4&lt;='2025'!$M277), BD$4&lt;&gt;DATE(2025,7,4)), (SWITCH(weekday(BD$4), 1, 0, 2, if(ISBLANK('2025'!$P277), 0, 1), 3, if(ISBLANK('2025'!$Q277), 0, 1), 4, if(ISBLANK('2025'!$R277), 0, 1), 5, if(ISBLANK('2025'!$S277), 0, 1), 6, if(ISBLANK('2025'!$T277), 0, 1), 7, 0))), 1, "")</f>
        <v/>
      </c>
      <c r="BE279" s="1" t="str">
        <f>IF(AND(AND(AND(BE$4&gt;='2025'!$L277,BE$4&lt;='2025'!$M277), BE$4&lt;&gt;DATE(2025,7,4)), (SWITCH(weekday(BE$4), 1, 0, 2, if(ISBLANK('2025'!$P277), 0, 1), 3, if(ISBLANK('2025'!$Q277), 0, 1), 4, if(ISBLANK('2025'!$R277), 0, 1), 5, if(ISBLANK('2025'!$S277), 0, 1), 6, if(ISBLANK('2025'!$T277), 0, 1), 7, 0))), 1, "")</f>
        <v/>
      </c>
      <c r="BF279" s="1" t="str">
        <f>IF(AND(AND(AND(BF$4&gt;='2025'!$L277,BF$4&lt;='2025'!$M277), BF$4&lt;&gt;DATE(2025,7,4)), (SWITCH(weekday(BF$4), 1, 0, 2, if(ISBLANK('2025'!$P277), 0, 1), 3, if(ISBLANK('2025'!$Q277), 0, 1), 4, if(ISBLANK('2025'!$R277), 0, 1), 5, if(ISBLANK('2025'!$S277), 0, 1), 6, if(ISBLANK('2025'!$T277), 0, 1), 7, 0))), 1, "")</f>
        <v/>
      </c>
      <c r="BG279" s="1"/>
      <c r="BH279" s="1"/>
      <c r="BI279" s="1"/>
      <c r="BJ279" s="1"/>
      <c r="BK279" s="1"/>
      <c r="BL279" s="1"/>
    </row>
    <row r="280">
      <c r="A280" s="1">
        <f t="shared" si="3"/>
        <v>280</v>
      </c>
      <c r="B280" s="1" t="str">
        <f>'2025'!D244</f>
        <v>, </v>
      </c>
      <c r="C280" s="1" t="str">
        <f>'2025'!H244</f>
        <v/>
      </c>
      <c r="D280" s="1" t="str">
        <f>IF(AND(AND(AND(D$4&gt;='2025'!$L278,D$4&lt;='2025'!$M278), D$4&lt;&gt;DATE(2025,7,4)), (SWITCH(weekday(D$4), 1, 0, 2, if(ISBLANK('2025'!$P278), 0, 1), 3, if(ISBLANK('2025'!$Q278), 0, 1), 4, if(ISBLANK('2025'!$R278), 0, 1), 5, if(ISBLANK('2025'!$S278), 0, 1), 6, if(ISBLANK('2025'!$T278), 0, 1), 7, 0))), 1, "")</f>
        <v/>
      </c>
      <c r="E280" s="1" t="str">
        <f>IF(AND(AND(AND(E$4&gt;='2025'!$L278,E$4&lt;='2025'!$M278), E$4&lt;&gt;DATE(2025,7,4)), (SWITCH(weekday(E$4), 1, 0, 2, if(ISBLANK('2025'!$P278), 0, 1), 3, if(ISBLANK('2025'!$Q278), 0, 1), 4, if(ISBLANK('2025'!$R278), 0, 1), 5, if(ISBLANK('2025'!$S278), 0, 1), 6, if(ISBLANK('2025'!$T278), 0, 1), 7, 0))), 1, "")</f>
        <v/>
      </c>
      <c r="F280" s="1" t="str">
        <f>IF(AND(AND(AND(F$4&gt;='2025'!$L278,F$4&lt;='2025'!$M278), F$4&lt;&gt;DATE(2025,7,4)), (SWITCH(weekday(F$4), 1, 0, 2, if(ISBLANK('2025'!$P278), 0, 1), 3, if(ISBLANK('2025'!$Q278), 0, 1), 4, if(ISBLANK('2025'!$R278), 0, 1), 5, if(ISBLANK('2025'!$S278), 0, 1), 6, if(ISBLANK('2025'!$T278), 0, 1), 7, 0))), 1, "")</f>
        <v/>
      </c>
      <c r="G280" s="1" t="str">
        <f>IF(AND(AND(AND(G$4&gt;='2025'!$L278,G$4&lt;='2025'!$M278), G$4&lt;&gt;DATE(2025,7,4)), (SWITCH(weekday(G$4), 1, 0, 2, if(ISBLANK('2025'!$P278), 0, 1), 3, if(ISBLANK('2025'!$Q278), 0, 1), 4, if(ISBLANK('2025'!$R278), 0, 1), 5, if(ISBLANK('2025'!$S278), 0, 1), 6, if(ISBLANK('2025'!$T278), 0, 1), 7, 0))), 1, "")</f>
        <v/>
      </c>
      <c r="H280" s="1" t="str">
        <f>IF(AND(AND(AND(H$4&gt;='2025'!$L278,H$4&lt;='2025'!$M278), H$4&lt;&gt;DATE(2025,7,4)), (SWITCH(weekday(H$4), 1, 0, 2, if(ISBLANK('2025'!$P278), 0, 1), 3, if(ISBLANK('2025'!$Q278), 0, 1), 4, if(ISBLANK('2025'!$R278), 0, 1), 5, if(ISBLANK('2025'!$S278), 0, 1), 6, if(ISBLANK('2025'!$T278), 0, 1), 7, 0))), 1, "")</f>
        <v/>
      </c>
      <c r="I280" s="1" t="str">
        <f>IF(AND(AND(AND(I$4&gt;='2025'!$L278,I$4&lt;='2025'!$M278), I$4&lt;&gt;DATE(2025,7,4)), (SWITCH(weekday(I$4), 1, 0, 2, if(ISBLANK('2025'!$P278), 0, 1), 3, if(ISBLANK('2025'!$Q278), 0, 1), 4, if(ISBLANK('2025'!$R278), 0, 1), 5, if(ISBLANK('2025'!$S278), 0, 1), 6, if(ISBLANK('2025'!$T278), 0, 1), 7, 0))), 1, "")</f>
        <v/>
      </c>
      <c r="J280" s="1" t="str">
        <f>IF(AND(AND(AND(J$4&gt;='2025'!$L278,J$4&lt;='2025'!$M278), J$4&lt;&gt;DATE(2025,7,4)), (SWITCH(weekday(J$4), 1, 0, 2, if(ISBLANK('2025'!$P278), 0, 1), 3, if(ISBLANK('2025'!$Q278), 0, 1), 4, if(ISBLANK('2025'!$R278), 0, 1), 5, if(ISBLANK('2025'!$S278), 0, 1), 6, if(ISBLANK('2025'!$T278), 0, 1), 7, 0))), 1, "")</f>
        <v/>
      </c>
      <c r="K280" s="1" t="str">
        <f>IF(AND(AND(AND(K$4&gt;='2025'!$L278,K$4&lt;='2025'!$M278), K$4&lt;&gt;DATE(2025,7,4)), (SWITCH(weekday(K$4), 1, 0, 2, if(ISBLANK('2025'!$P278), 0, 1), 3, if(ISBLANK('2025'!$Q278), 0, 1), 4, if(ISBLANK('2025'!$R278), 0, 1), 5, if(ISBLANK('2025'!$S278), 0, 1), 6, if(ISBLANK('2025'!$T278), 0, 1), 7, 0))), 1, "")</f>
        <v/>
      </c>
      <c r="L280" s="1" t="str">
        <f>IF(AND(AND(AND(L$4&gt;='2025'!$L278,L$4&lt;='2025'!$M278), L$4&lt;&gt;DATE(2025,7,4)), (SWITCH(weekday(L$4), 1, 0, 2, if(ISBLANK('2025'!$P278), 0, 1), 3, if(ISBLANK('2025'!$Q278), 0, 1), 4, if(ISBLANK('2025'!$R278), 0, 1), 5, if(ISBLANK('2025'!$S278), 0, 1), 6, if(ISBLANK('2025'!$T278), 0, 1), 7, 0))), 1, "")</f>
        <v/>
      </c>
      <c r="M280" s="1" t="str">
        <f>IF(AND(AND(AND(M$4&gt;='2025'!$L278,M$4&lt;='2025'!$M278), M$4&lt;&gt;DATE(2025,7,4)), (SWITCH(weekday(M$4), 1, 0, 2, if(ISBLANK('2025'!$P278), 0, 1), 3, if(ISBLANK('2025'!$Q278), 0, 1), 4, if(ISBLANK('2025'!$R278), 0, 1), 5, if(ISBLANK('2025'!$S278), 0, 1), 6, if(ISBLANK('2025'!$T278), 0, 1), 7, 0))), 1, "")</f>
        <v/>
      </c>
      <c r="N280" s="1" t="str">
        <f>IF(AND(AND(AND(N$4&gt;='2025'!$L278,N$4&lt;='2025'!$M278), N$4&lt;&gt;DATE(2025,7,4)), (SWITCH(weekday(N$4), 1, 0, 2, if(ISBLANK('2025'!$P278), 0, 1), 3, if(ISBLANK('2025'!$Q278), 0, 1), 4, if(ISBLANK('2025'!$R278), 0, 1), 5, if(ISBLANK('2025'!$S278), 0, 1), 6, if(ISBLANK('2025'!$T278), 0, 1), 7, 0))), 1, "")</f>
        <v/>
      </c>
      <c r="O280" s="1" t="str">
        <f>IF(AND(AND(AND(O$4&gt;='2025'!$L278,O$4&lt;='2025'!$M278), O$4&lt;&gt;DATE(2025,7,4)), (SWITCH(weekday(O$4), 1, 0, 2, if(ISBLANK('2025'!$P278), 0, 1), 3, if(ISBLANK('2025'!$Q278), 0, 1), 4, if(ISBLANK('2025'!$R278), 0, 1), 5, if(ISBLANK('2025'!$S278), 0, 1), 6, if(ISBLANK('2025'!$T278), 0, 1), 7, 0))), 1, "")</f>
        <v/>
      </c>
      <c r="P280" s="1" t="str">
        <f>IF(AND(AND(AND(P$4&gt;='2025'!$L278,P$4&lt;='2025'!$M278), P$4&lt;&gt;DATE(2025,7,4)), (SWITCH(weekday(P$4), 1, 0, 2, if(ISBLANK('2025'!$P278), 0, 1), 3, if(ISBLANK('2025'!$Q278), 0, 1), 4, if(ISBLANK('2025'!$R278), 0, 1), 5, if(ISBLANK('2025'!$S278), 0, 1), 6, if(ISBLANK('2025'!$T278), 0, 1), 7, 0))), 1, "")</f>
        <v/>
      </c>
      <c r="Q280" s="1" t="str">
        <f>IF(AND(AND(AND(Q$4&gt;='2025'!$L278,Q$4&lt;='2025'!$M278), Q$4&lt;&gt;DATE(2025,7,4)), (SWITCH(weekday(Q$4), 1, 0, 2, if(ISBLANK('2025'!$P278), 0, 1), 3, if(ISBLANK('2025'!$Q278), 0, 1), 4, if(ISBLANK('2025'!$R278), 0, 1), 5, if(ISBLANK('2025'!$S278), 0, 1), 6, if(ISBLANK('2025'!$T278), 0, 1), 7, 0))), 1, "")</f>
        <v/>
      </c>
      <c r="R280" s="1" t="str">
        <f>IF(AND(AND(AND(R$4&gt;='2025'!$L278,R$4&lt;='2025'!$M278), R$4&lt;&gt;DATE(2025,7,4)), (SWITCH(weekday(R$4), 1, 0, 2, if(ISBLANK('2025'!$P278), 0, 1), 3, if(ISBLANK('2025'!$Q278), 0, 1), 4, if(ISBLANK('2025'!$R278), 0, 1), 5, if(ISBLANK('2025'!$S278), 0, 1), 6, if(ISBLANK('2025'!$T278), 0, 1), 7, 0))), 1, "")</f>
        <v/>
      </c>
      <c r="S280" s="1" t="str">
        <f>IF(AND(AND(AND(S$4&gt;='2025'!$L278,S$4&lt;='2025'!$M278), S$4&lt;&gt;DATE(2025,7,4)), (SWITCH(weekday(S$4), 1, 0, 2, if(ISBLANK('2025'!$P278), 0, 1), 3, if(ISBLANK('2025'!$Q278), 0, 1), 4, if(ISBLANK('2025'!$R278), 0, 1), 5, if(ISBLANK('2025'!$S278), 0, 1), 6, if(ISBLANK('2025'!$T278), 0, 1), 7, 0))), 1, "")</f>
        <v/>
      </c>
      <c r="T280" s="1" t="str">
        <f>IF(AND(AND(AND(T$4&gt;='2025'!$L278,T$4&lt;='2025'!$M278), T$4&lt;&gt;DATE(2025,7,4)), (SWITCH(weekday(T$4), 1, 0, 2, if(ISBLANK('2025'!$P278), 0, 1), 3, if(ISBLANK('2025'!$Q278), 0, 1), 4, if(ISBLANK('2025'!$R278), 0, 1), 5, if(ISBLANK('2025'!$S278), 0, 1), 6, if(ISBLANK('2025'!$T278), 0, 1), 7, 0))), 1, "")</f>
        <v/>
      </c>
      <c r="U280" s="1" t="str">
        <f>IF(AND(AND(AND(U$4&gt;='2025'!$L278,U$4&lt;='2025'!$M278), U$4&lt;&gt;DATE(2025,7,4)), (SWITCH(weekday(U$4), 1, 0, 2, if(ISBLANK('2025'!$P278), 0, 1), 3, if(ISBLANK('2025'!$Q278), 0, 1), 4, if(ISBLANK('2025'!$R278), 0, 1), 5, if(ISBLANK('2025'!$S278), 0, 1), 6, if(ISBLANK('2025'!$T278), 0, 1), 7, 0))), 1, "")</f>
        <v/>
      </c>
      <c r="V280" s="1" t="str">
        <f>IF(AND(AND(AND(V$4&gt;='2025'!$L278,V$4&lt;='2025'!$M278), V$4&lt;&gt;DATE(2025,7,4)), (SWITCH(weekday(V$4), 1, 0, 2, if(ISBLANK('2025'!$P278), 0, 1), 3, if(ISBLANK('2025'!$Q278), 0, 1), 4, if(ISBLANK('2025'!$R278), 0, 1), 5, if(ISBLANK('2025'!$S278), 0, 1), 6, if(ISBLANK('2025'!$T278), 0, 1), 7, 0))), 1, "")</f>
        <v/>
      </c>
      <c r="W280" s="1" t="str">
        <f>IF(AND(AND(AND(W$4&gt;='2025'!$L278,W$4&lt;='2025'!$M278), W$4&lt;&gt;DATE(2025,7,4)), (SWITCH(weekday(W$4), 1, 0, 2, if(ISBLANK('2025'!$P278), 0, 1), 3, if(ISBLANK('2025'!$Q278), 0, 1), 4, if(ISBLANK('2025'!$R278), 0, 1), 5, if(ISBLANK('2025'!$S278), 0, 1), 6, if(ISBLANK('2025'!$T278), 0, 1), 7, 0))), 1, "")</f>
        <v/>
      </c>
      <c r="X280" s="1" t="str">
        <f>IF(AND(AND(AND(X$4&gt;='2025'!$L278,X$4&lt;='2025'!$M278), X$4&lt;&gt;DATE(2025,7,4)), (SWITCH(weekday(X$4), 1, 0, 2, if(ISBLANK('2025'!$P278), 0, 1), 3, if(ISBLANK('2025'!$Q278), 0, 1), 4, if(ISBLANK('2025'!$R278), 0, 1), 5, if(ISBLANK('2025'!$S278), 0, 1), 6, if(ISBLANK('2025'!$T278), 0, 1), 7, 0))), 1, "")</f>
        <v/>
      </c>
      <c r="Y280" s="1" t="str">
        <f>IF(AND(AND(AND(Y$4&gt;='2025'!$L278,Y$4&lt;='2025'!$M278), Y$4&lt;&gt;DATE(2025,7,4)), (SWITCH(weekday(Y$4), 1, 0, 2, if(ISBLANK('2025'!$P278), 0, 1), 3, if(ISBLANK('2025'!$Q278), 0, 1), 4, if(ISBLANK('2025'!$R278), 0, 1), 5, if(ISBLANK('2025'!$S278), 0, 1), 6, if(ISBLANK('2025'!$T278), 0, 1), 7, 0))), 1, "")</f>
        <v/>
      </c>
      <c r="Z280" s="1" t="str">
        <f>IF(AND(AND(AND(Z$4&gt;='2025'!$L278,Z$4&lt;='2025'!$M278), Z$4&lt;&gt;DATE(2025,7,4)), (SWITCH(weekday(Z$4), 1, 0, 2, if(ISBLANK('2025'!$P278), 0, 1), 3, if(ISBLANK('2025'!$Q278), 0, 1), 4, if(ISBLANK('2025'!$R278), 0, 1), 5, if(ISBLANK('2025'!$S278), 0, 1), 6, if(ISBLANK('2025'!$T278), 0, 1), 7, 0))), 1, "")</f>
        <v/>
      </c>
      <c r="AA280" s="1" t="str">
        <f>IF(AND(AND(AND(AA$4&gt;='2025'!$L278,AA$4&lt;='2025'!$M278), AA$4&lt;&gt;DATE(2025,7,4)), (SWITCH(weekday(AA$4), 1, 0, 2, if(ISBLANK('2025'!$P278), 0, 1), 3, if(ISBLANK('2025'!$Q278), 0, 1), 4, if(ISBLANK('2025'!$R278), 0, 1), 5, if(ISBLANK('2025'!$S278), 0, 1), 6, if(ISBLANK('2025'!$T278), 0, 1), 7, 0))), 1, "")</f>
        <v/>
      </c>
      <c r="AB280" s="1" t="str">
        <f>IF(AND(AND(AND(AB$4&gt;='2025'!$L278,AB$4&lt;='2025'!$M278), AB$4&lt;&gt;DATE(2025,7,4)), (SWITCH(weekday(AB$4), 1, 0, 2, if(ISBLANK('2025'!$P278), 0, 1), 3, if(ISBLANK('2025'!$Q278), 0, 1), 4, if(ISBLANK('2025'!$R278), 0, 1), 5, if(ISBLANK('2025'!$S278), 0, 1), 6, if(ISBLANK('2025'!$T278), 0, 1), 7, 0))), 1, "")</f>
        <v/>
      </c>
      <c r="AC280" s="1" t="str">
        <f>IF(AND(AND(AND(AC$4&gt;='2025'!$L278,AC$4&lt;='2025'!$M278), AC$4&lt;&gt;DATE(2025,7,4)), (SWITCH(weekday(AC$4), 1, 0, 2, if(ISBLANK('2025'!$P278), 0, 1), 3, if(ISBLANK('2025'!$Q278), 0, 1), 4, if(ISBLANK('2025'!$R278), 0, 1), 5, if(ISBLANK('2025'!$S278), 0, 1), 6, if(ISBLANK('2025'!$T278), 0, 1), 7, 0))), 1, "")</f>
        <v/>
      </c>
      <c r="AD280" s="1" t="str">
        <f>IF(AND(AND(AND(AD$4&gt;='2025'!$L278,AD$4&lt;='2025'!$M278), AD$4&lt;&gt;DATE(2025,7,4)), (SWITCH(weekday(AD$4), 1, 0, 2, if(ISBLANK('2025'!$P278), 0, 1), 3, if(ISBLANK('2025'!$Q278), 0, 1), 4, if(ISBLANK('2025'!$R278), 0, 1), 5, if(ISBLANK('2025'!$S278), 0, 1), 6, if(ISBLANK('2025'!$T278), 0, 1), 7, 0))), 1, "")</f>
        <v/>
      </c>
      <c r="AE280" s="1" t="str">
        <f>IF(AND(AND(AND(AE$4&gt;='2025'!$L278,AE$4&lt;='2025'!$M278), AE$4&lt;&gt;DATE(2025,7,4)), (SWITCH(weekday(AE$4), 1, 0, 2, if(ISBLANK('2025'!$P278), 0, 1), 3, if(ISBLANK('2025'!$Q278), 0, 1), 4, if(ISBLANK('2025'!$R278), 0, 1), 5, if(ISBLANK('2025'!$S278), 0, 1), 6, if(ISBLANK('2025'!$T278), 0, 1), 7, 0))), 1, "")</f>
        <v/>
      </c>
      <c r="AF280" s="1" t="str">
        <f>IF(AND(AND(AND(AF$4&gt;='2025'!$L278,AF$4&lt;='2025'!$M278), AF$4&lt;&gt;DATE(2025,7,4)), (SWITCH(weekday(AF$4), 1, 0, 2, if(ISBLANK('2025'!$P278), 0, 1), 3, if(ISBLANK('2025'!$Q278), 0, 1), 4, if(ISBLANK('2025'!$R278), 0, 1), 5, if(ISBLANK('2025'!$S278), 0, 1), 6, if(ISBLANK('2025'!$T278), 0, 1), 7, 0))), 1, "")</f>
        <v/>
      </c>
      <c r="AG280" s="1" t="str">
        <f>IF(AND(AND(AND(AG$4&gt;='2025'!$L278,AG$4&lt;='2025'!$M278), AG$4&lt;&gt;DATE(2025,7,4)), (SWITCH(weekday(AG$4), 1, 0, 2, if(ISBLANK('2025'!$P278), 0, 1), 3, if(ISBLANK('2025'!$Q278), 0, 1), 4, if(ISBLANK('2025'!$R278), 0, 1), 5, if(ISBLANK('2025'!$S278), 0, 1), 6, if(ISBLANK('2025'!$T278), 0, 1), 7, 0))), 1, "")</f>
        <v/>
      </c>
      <c r="AH280" s="1" t="str">
        <f>IF(AND(AND(AND(AH$4&gt;='2025'!$L278,AH$4&lt;='2025'!$M278), AH$4&lt;&gt;DATE(2025,7,4)), (SWITCH(weekday(AH$4), 1, 0, 2, if(ISBLANK('2025'!$P278), 0, 1), 3, if(ISBLANK('2025'!$Q278), 0, 1), 4, if(ISBLANK('2025'!$R278), 0, 1), 5, if(ISBLANK('2025'!$S278), 0, 1), 6, if(ISBLANK('2025'!$T278), 0, 1), 7, 0))), 1, "")</f>
        <v/>
      </c>
      <c r="AI280" s="1" t="str">
        <f>IF(AND(AND(AND(AI$4&gt;='2025'!$L278,AI$4&lt;='2025'!$M278), AI$4&lt;&gt;DATE(2025,7,4)), (SWITCH(weekday(AI$4), 1, 0, 2, if(ISBLANK('2025'!$P278), 0, 1), 3, if(ISBLANK('2025'!$Q278), 0, 1), 4, if(ISBLANK('2025'!$R278), 0, 1), 5, if(ISBLANK('2025'!$S278), 0, 1), 6, if(ISBLANK('2025'!$T278), 0, 1), 7, 0))), 1, "")</f>
        <v/>
      </c>
      <c r="AJ280" s="1" t="str">
        <f>IF(AND(AND(AND(AJ$4&gt;='2025'!$L278,AJ$4&lt;='2025'!$M278), AJ$4&lt;&gt;DATE(2025,7,4)), (SWITCH(weekday(AJ$4), 1, 0, 2, if(ISBLANK('2025'!$P278), 0, 1), 3, if(ISBLANK('2025'!$Q278), 0, 1), 4, if(ISBLANK('2025'!$R278), 0, 1), 5, if(ISBLANK('2025'!$S278), 0, 1), 6, if(ISBLANK('2025'!$T278), 0, 1), 7, 0))), 1, "")</f>
        <v/>
      </c>
      <c r="AK280" s="1" t="str">
        <f>IF(AND(AND(AND(AK$4&gt;='2025'!$L278,AK$4&lt;='2025'!$M278), AK$4&lt;&gt;DATE(2025,7,4)), (SWITCH(weekday(AK$4), 1, 0, 2, if(ISBLANK('2025'!$P278), 0, 1), 3, if(ISBLANK('2025'!$Q278), 0, 1), 4, if(ISBLANK('2025'!$R278), 0, 1), 5, if(ISBLANK('2025'!$S278), 0, 1), 6, if(ISBLANK('2025'!$T278), 0, 1), 7, 0))), 1, "")</f>
        <v/>
      </c>
      <c r="AL280" s="1" t="str">
        <f>IF(AND(AND(AND(AL$4&gt;='2025'!$L278,AL$4&lt;='2025'!$M278), AL$4&lt;&gt;DATE(2025,7,4)), (SWITCH(weekday(AL$4), 1, 0, 2, if(ISBLANK('2025'!$P278), 0, 1), 3, if(ISBLANK('2025'!$Q278), 0, 1), 4, if(ISBLANK('2025'!$R278), 0, 1), 5, if(ISBLANK('2025'!$S278), 0, 1), 6, if(ISBLANK('2025'!$T278), 0, 1), 7, 0))), 1, "")</f>
        <v/>
      </c>
      <c r="AM280" s="1" t="str">
        <f>IF(AND(AND(AND(AM$4&gt;='2025'!$L278,AM$4&lt;='2025'!$M278), AM$4&lt;&gt;DATE(2025,7,4)), (SWITCH(weekday(AM$4), 1, 0, 2, if(ISBLANK('2025'!$P278), 0, 1), 3, if(ISBLANK('2025'!$Q278), 0, 1), 4, if(ISBLANK('2025'!$R278), 0, 1), 5, if(ISBLANK('2025'!$S278), 0, 1), 6, if(ISBLANK('2025'!$T278), 0, 1), 7, 0))), 1, "")</f>
        <v/>
      </c>
      <c r="AN280" s="1" t="str">
        <f>IF(AND(AND(AND(AN$4&gt;='2025'!$L278,AN$4&lt;='2025'!$M278), AN$4&lt;&gt;DATE(2025,7,4)), (SWITCH(weekday(AN$4), 1, 0, 2, if(ISBLANK('2025'!$P278), 0, 1), 3, if(ISBLANK('2025'!$Q278), 0, 1), 4, if(ISBLANK('2025'!$R278), 0, 1), 5, if(ISBLANK('2025'!$S278), 0, 1), 6, if(ISBLANK('2025'!$T278), 0, 1), 7, 0))), 1, "")</f>
        <v/>
      </c>
      <c r="AO280" s="1" t="str">
        <f>IF(AND(AND(AND(AO$4&gt;='2025'!$L278,AO$4&lt;='2025'!$M278), AO$4&lt;&gt;DATE(2025,7,4)), (SWITCH(weekday(AO$4), 1, 0, 2, if(ISBLANK('2025'!$P278), 0, 1), 3, if(ISBLANK('2025'!$Q278), 0, 1), 4, if(ISBLANK('2025'!$R278), 0, 1), 5, if(ISBLANK('2025'!$S278), 0, 1), 6, if(ISBLANK('2025'!$T278), 0, 1), 7, 0))), 1, "")</f>
        <v/>
      </c>
      <c r="AP280" s="1" t="str">
        <f>IF(AND(AND(AND(AP$4&gt;='2025'!$L278,AP$4&lt;='2025'!$M278), AP$4&lt;&gt;DATE(2025,7,4)), (SWITCH(weekday(AP$4), 1, 0, 2, if(ISBLANK('2025'!$P278), 0, 1), 3, if(ISBLANK('2025'!$Q278), 0, 1), 4, if(ISBLANK('2025'!$R278), 0, 1), 5, if(ISBLANK('2025'!$S278), 0, 1), 6, if(ISBLANK('2025'!$T278), 0, 1), 7, 0))), 1, "")</f>
        <v/>
      </c>
      <c r="AQ280" s="1" t="str">
        <f>IF(AND(AND(AND(AQ$4&gt;='2025'!$L278,AQ$4&lt;='2025'!$M278), AQ$4&lt;&gt;DATE(2025,7,4)), (SWITCH(weekday(AQ$4), 1, 0, 2, if(ISBLANK('2025'!$P278), 0, 1), 3, if(ISBLANK('2025'!$Q278), 0, 1), 4, if(ISBLANK('2025'!$R278), 0, 1), 5, if(ISBLANK('2025'!$S278), 0, 1), 6, if(ISBLANK('2025'!$T278), 0, 1), 7, 0))), 1, "")</f>
        <v/>
      </c>
      <c r="AR280" s="1" t="str">
        <f>IF(AND(AND(AND(AR$4&gt;='2025'!$L278,AR$4&lt;='2025'!$M278), AR$4&lt;&gt;DATE(2025,7,4)), (SWITCH(weekday(AR$4), 1, 0, 2, if(ISBLANK('2025'!$P278), 0, 1), 3, if(ISBLANK('2025'!$Q278), 0, 1), 4, if(ISBLANK('2025'!$R278), 0, 1), 5, if(ISBLANK('2025'!$S278), 0, 1), 6, if(ISBLANK('2025'!$T278), 0, 1), 7, 0))), 1, "")</f>
        <v/>
      </c>
      <c r="AS280" s="1" t="str">
        <f>IF(AND(AND(AND(AS$4&gt;='2025'!$L278,AS$4&lt;='2025'!$M278), AS$4&lt;&gt;DATE(2025,7,4)), (SWITCH(weekday(AS$4), 1, 0, 2, if(ISBLANK('2025'!$P278), 0, 1), 3, if(ISBLANK('2025'!$Q278), 0, 1), 4, if(ISBLANK('2025'!$R278), 0, 1), 5, if(ISBLANK('2025'!$S278), 0, 1), 6, if(ISBLANK('2025'!$T278), 0, 1), 7, 0))), 1, "")</f>
        <v/>
      </c>
      <c r="AT280" s="1" t="str">
        <f>IF(AND(AND(AND(AT$4&gt;='2025'!$L278,AT$4&lt;='2025'!$M278), AT$4&lt;&gt;DATE(2025,7,4)), (SWITCH(weekday(AT$4), 1, 0, 2, if(ISBLANK('2025'!$P278), 0, 1), 3, if(ISBLANK('2025'!$Q278), 0, 1), 4, if(ISBLANK('2025'!$R278), 0, 1), 5, if(ISBLANK('2025'!$S278), 0, 1), 6, if(ISBLANK('2025'!$T278), 0, 1), 7, 0))), 1, "")</f>
        <v/>
      </c>
      <c r="AU280" s="1" t="str">
        <f>IF(AND(AND(AND(AU$4&gt;='2025'!$L278,AU$4&lt;='2025'!$M278), AU$4&lt;&gt;DATE(2025,7,4)), (SWITCH(weekday(AU$4), 1, 0, 2, if(ISBLANK('2025'!$P278), 0, 1), 3, if(ISBLANK('2025'!$Q278), 0, 1), 4, if(ISBLANK('2025'!$R278), 0, 1), 5, if(ISBLANK('2025'!$S278), 0, 1), 6, if(ISBLANK('2025'!$T278), 0, 1), 7, 0))), 1, "")</f>
        <v/>
      </c>
      <c r="AV280" s="1" t="str">
        <f>IF(AND(AND(AND(AV$4&gt;='2025'!$L278,AV$4&lt;='2025'!$M278), AV$4&lt;&gt;DATE(2025,7,4)), (SWITCH(weekday(AV$4), 1, 0, 2, if(ISBLANK('2025'!$P278), 0, 1), 3, if(ISBLANK('2025'!$Q278), 0, 1), 4, if(ISBLANK('2025'!$R278), 0, 1), 5, if(ISBLANK('2025'!$S278), 0, 1), 6, if(ISBLANK('2025'!$T278), 0, 1), 7, 0))), 1, "")</f>
        <v/>
      </c>
      <c r="AW280" s="1" t="str">
        <f>IF(AND(AND(AND(AW$4&gt;='2025'!$L278,AW$4&lt;='2025'!$M278), AW$4&lt;&gt;DATE(2025,7,4)), (SWITCH(weekday(AW$4), 1, 0, 2, if(ISBLANK('2025'!$P278), 0, 1), 3, if(ISBLANK('2025'!$Q278), 0, 1), 4, if(ISBLANK('2025'!$R278), 0, 1), 5, if(ISBLANK('2025'!$S278), 0, 1), 6, if(ISBLANK('2025'!$T278), 0, 1), 7, 0))), 1, "")</f>
        <v/>
      </c>
      <c r="AX280" s="1" t="str">
        <f>IF(AND(AND(AND(AX$4&gt;='2025'!$L278,AX$4&lt;='2025'!$M278), AX$4&lt;&gt;DATE(2025,7,4)), (SWITCH(weekday(AX$4), 1, 0, 2, if(ISBLANK('2025'!$P278), 0, 1), 3, if(ISBLANK('2025'!$Q278), 0, 1), 4, if(ISBLANK('2025'!$R278), 0, 1), 5, if(ISBLANK('2025'!$S278), 0, 1), 6, if(ISBLANK('2025'!$T278), 0, 1), 7, 0))), 1, "")</f>
        <v/>
      </c>
      <c r="AY280" s="1" t="str">
        <f>IF(AND(AND(AND(AY$4&gt;='2025'!$L278,AY$4&lt;='2025'!$M278), AY$4&lt;&gt;DATE(2025,7,4)), (SWITCH(weekday(AY$4), 1, 0, 2, if(ISBLANK('2025'!$P278), 0, 1), 3, if(ISBLANK('2025'!$Q278), 0, 1), 4, if(ISBLANK('2025'!$R278), 0, 1), 5, if(ISBLANK('2025'!$S278), 0, 1), 6, if(ISBLANK('2025'!$T278), 0, 1), 7, 0))), 1, "")</f>
        <v/>
      </c>
      <c r="AZ280" s="1" t="str">
        <f>IF(AND(AND(AND(AZ$4&gt;='2025'!$L278,AZ$4&lt;='2025'!$M278), AZ$4&lt;&gt;DATE(2025,7,4)), (SWITCH(weekday(AZ$4), 1, 0, 2, if(ISBLANK('2025'!$P278), 0, 1), 3, if(ISBLANK('2025'!$Q278), 0, 1), 4, if(ISBLANK('2025'!$R278), 0, 1), 5, if(ISBLANK('2025'!$S278), 0, 1), 6, if(ISBLANK('2025'!$T278), 0, 1), 7, 0))), 1, "")</f>
        <v/>
      </c>
      <c r="BA280" s="1" t="str">
        <f>IF(AND(AND(AND(BA$4&gt;='2025'!$L278,BA$4&lt;='2025'!$M278), BA$4&lt;&gt;DATE(2025,7,4)), (SWITCH(weekday(BA$4), 1, 0, 2, if(ISBLANK('2025'!$P278), 0, 1), 3, if(ISBLANK('2025'!$Q278), 0, 1), 4, if(ISBLANK('2025'!$R278), 0, 1), 5, if(ISBLANK('2025'!$S278), 0, 1), 6, if(ISBLANK('2025'!$T278), 0, 1), 7, 0))), 1, "")</f>
        <v/>
      </c>
      <c r="BB280" s="1" t="str">
        <f>IF(AND(AND(AND(BB$4&gt;='2025'!$L278,BB$4&lt;='2025'!$M278), BB$4&lt;&gt;DATE(2025,7,4)), (SWITCH(weekday(BB$4), 1, 0, 2, if(ISBLANK('2025'!$P278), 0, 1), 3, if(ISBLANK('2025'!$Q278), 0, 1), 4, if(ISBLANK('2025'!$R278), 0, 1), 5, if(ISBLANK('2025'!$S278), 0, 1), 6, if(ISBLANK('2025'!$T278), 0, 1), 7, 0))), 1, "")</f>
        <v/>
      </c>
      <c r="BC280" s="1" t="str">
        <f>IF(AND(AND(AND(BC$4&gt;='2025'!$L278,BC$4&lt;='2025'!$M278), BC$4&lt;&gt;DATE(2025,7,4)), (SWITCH(weekday(BC$4), 1, 0, 2, if(ISBLANK('2025'!$P278), 0, 1), 3, if(ISBLANK('2025'!$Q278), 0, 1), 4, if(ISBLANK('2025'!$R278), 0, 1), 5, if(ISBLANK('2025'!$S278), 0, 1), 6, if(ISBLANK('2025'!$T278), 0, 1), 7, 0))), 1, "")</f>
        <v/>
      </c>
      <c r="BD280" s="1" t="str">
        <f>IF(AND(AND(AND(BD$4&gt;='2025'!$L278,BD$4&lt;='2025'!$M278), BD$4&lt;&gt;DATE(2025,7,4)), (SWITCH(weekday(BD$4), 1, 0, 2, if(ISBLANK('2025'!$P278), 0, 1), 3, if(ISBLANK('2025'!$Q278), 0, 1), 4, if(ISBLANK('2025'!$R278), 0, 1), 5, if(ISBLANK('2025'!$S278), 0, 1), 6, if(ISBLANK('2025'!$T278), 0, 1), 7, 0))), 1, "")</f>
        <v/>
      </c>
      <c r="BE280" s="1" t="str">
        <f>IF(AND(AND(AND(BE$4&gt;='2025'!$L278,BE$4&lt;='2025'!$M278), BE$4&lt;&gt;DATE(2025,7,4)), (SWITCH(weekday(BE$4), 1, 0, 2, if(ISBLANK('2025'!$P278), 0, 1), 3, if(ISBLANK('2025'!$Q278), 0, 1), 4, if(ISBLANK('2025'!$R278), 0, 1), 5, if(ISBLANK('2025'!$S278), 0, 1), 6, if(ISBLANK('2025'!$T278), 0, 1), 7, 0))), 1, "")</f>
        <v/>
      </c>
      <c r="BF280" s="1" t="str">
        <f>IF(AND(AND(AND(BF$4&gt;='2025'!$L278,BF$4&lt;='2025'!$M278), BF$4&lt;&gt;DATE(2025,7,4)), (SWITCH(weekday(BF$4), 1, 0, 2, if(ISBLANK('2025'!$P278), 0, 1), 3, if(ISBLANK('2025'!$Q278), 0, 1), 4, if(ISBLANK('2025'!$R278), 0, 1), 5, if(ISBLANK('2025'!$S278), 0, 1), 6, if(ISBLANK('2025'!$T278), 0, 1), 7, 0))), 1, "")</f>
        <v/>
      </c>
      <c r="BG280" s="1"/>
      <c r="BH280" s="1"/>
      <c r="BI280" s="1"/>
      <c r="BJ280" s="1"/>
      <c r="BK280" s="1"/>
      <c r="BL280" s="1"/>
    </row>
    <row r="281">
      <c r="A281" s="1">
        <f t="shared" si="3"/>
        <v>281</v>
      </c>
      <c r="B281" s="1" t="str">
        <f>'2025'!D245</f>
        <v>, </v>
      </c>
      <c r="C281" s="1" t="str">
        <f>'2025'!H245</f>
        <v/>
      </c>
      <c r="D281" s="1" t="str">
        <f>IF(AND(AND(AND(D$4&gt;='2025'!$L279,D$4&lt;='2025'!$M279), D$4&lt;&gt;DATE(2025,7,4)), (SWITCH(weekday(D$4), 1, 0, 2, if(ISBLANK('2025'!$P279), 0, 1), 3, if(ISBLANK('2025'!$Q279), 0, 1), 4, if(ISBLANK('2025'!$R279), 0, 1), 5, if(ISBLANK('2025'!$S279), 0, 1), 6, if(ISBLANK('2025'!$T279), 0, 1), 7, 0))), 1, "")</f>
        <v/>
      </c>
      <c r="E281" s="1" t="str">
        <f>IF(AND(AND(AND(E$4&gt;='2025'!$L279,E$4&lt;='2025'!$M279), E$4&lt;&gt;DATE(2025,7,4)), (SWITCH(weekday(E$4), 1, 0, 2, if(ISBLANK('2025'!$P279), 0, 1), 3, if(ISBLANK('2025'!$Q279), 0, 1), 4, if(ISBLANK('2025'!$R279), 0, 1), 5, if(ISBLANK('2025'!$S279), 0, 1), 6, if(ISBLANK('2025'!$T279), 0, 1), 7, 0))), 1, "")</f>
        <v/>
      </c>
      <c r="F281" s="1" t="str">
        <f>IF(AND(AND(AND(F$4&gt;='2025'!$L279,F$4&lt;='2025'!$M279), F$4&lt;&gt;DATE(2025,7,4)), (SWITCH(weekday(F$4), 1, 0, 2, if(ISBLANK('2025'!$P279), 0, 1), 3, if(ISBLANK('2025'!$Q279), 0, 1), 4, if(ISBLANK('2025'!$R279), 0, 1), 5, if(ISBLANK('2025'!$S279), 0, 1), 6, if(ISBLANK('2025'!$T279), 0, 1), 7, 0))), 1, "")</f>
        <v/>
      </c>
      <c r="G281" s="1" t="str">
        <f>IF(AND(AND(AND(G$4&gt;='2025'!$L279,G$4&lt;='2025'!$M279), G$4&lt;&gt;DATE(2025,7,4)), (SWITCH(weekday(G$4), 1, 0, 2, if(ISBLANK('2025'!$P279), 0, 1), 3, if(ISBLANK('2025'!$Q279), 0, 1), 4, if(ISBLANK('2025'!$R279), 0, 1), 5, if(ISBLANK('2025'!$S279), 0, 1), 6, if(ISBLANK('2025'!$T279), 0, 1), 7, 0))), 1, "")</f>
        <v/>
      </c>
      <c r="H281" s="1" t="str">
        <f>IF(AND(AND(AND(H$4&gt;='2025'!$L279,H$4&lt;='2025'!$M279), H$4&lt;&gt;DATE(2025,7,4)), (SWITCH(weekday(H$4), 1, 0, 2, if(ISBLANK('2025'!$P279), 0, 1), 3, if(ISBLANK('2025'!$Q279), 0, 1), 4, if(ISBLANK('2025'!$R279), 0, 1), 5, if(ISBLANK('2025'!$S279), 0, 1), 6, if(ISBLANK('2025'!$T279), 0, 1), 7, 0))), 1, "")</f>
        <v/>
      </c>
      <c r="I281" s="1" t="str">
        <f>IF(AND(AND(AND(I$4&gt;='2025'!$L279,I$4&lt;='2025'!$M279), I$4&lt;&gt;DATE(2025,7,4)), (SWITCH(weekday(I$4), 1, 0, 2, if(ISBLANK('2025'!$P279), 0, 1), 3, if(ISBLANK('2025'!$Q279), 0, 1), 4, if(ISBLANK('2025'!$R279), 0, 1), 5, if(ISBLANK('2025'!$S279), 0, 1), 6, if(ISBLANK('2025'!$T279), 0, 1), 7, 0))), 1, "")</f>
        <v/>
      </c>
      <c r="J281" s="1" t="str">
        <f>IF(AND(AND(AND(J$4&gt;='2025'!$L279,J$4&lt;='2025'!$M279), J$4&lt;&gt;DATE(2025,7,4)), (SWITCH(weekday(J$4), 1, 0, 2, if(ISBLANK('2025'!$P279), 0, 1), 3, if(ISBLANK('2025'!$Q279), 0, 1), 4, if(ISBLANK('2025'!$R279), 0, 1), 5, if(ISBLANK('2025'!$S279), 0, 1), 6, if(ISBLANK('2025'!$T279), 0, 1), 7, 0))), 1, "")</f>
        <v/>
      </c>
      <c r="K281" s="1" t="str">
        <f>IF(AND(AND(AND(K$4&gt;='2025'!$L279,K$4&lt;='2025'!$M279), K$4&lt;&gt;DATE(2025,7,4)), (SWITCH(weekday(K$4), 1, 0, 2, if(ISBLANK('2025'!$P279), 0, 1), 3, if(ISBLANK('2025'!$Q279), 0, 1), 4, if(ISBLANK('2025'!$R279), 0, 1), 5, if(ISBLANK('2025'!$S279), 0, 1), 6, if(ISBLANK('2025'!$T279), 0, 1), 7, 0))), 1, "")</f>
        <v/>
      </c>
      <c r="L281" s="1" t="str">
        <f>IF(AND(AND(AND(L$4&gt;='2025'!$L279,L$4&lt;='2025'!$M279), L$4&lt;&gt;DATE(2025,7,4)), (SWITCH(weekday(L$4), 1, 0, 2, if(ISBLANK('2025'!$P279), 0, 1), 3, if(ISBLANK('2025'!$Q279), 0, 1), 4, if(ISBLANK('2025'!$R279), 0, 1), 5, if(ISBLANK('2025'!$S279), 0, 1), 6, if(ISBLANK('2025'!$T279), 0, 1), 7, 0))), 1, "")</f>
        <v/>
      </c>
      <c r="M281" s="1" t="str">
        <f>IF(AND(AND(AND(M$4&gt;='2025'!$L279,M$4&lt;='2025'!$M279), M$4&lt;&gt;DATE(2025,7,4)), (SWITCH(weekday(M$4), 1, 0, 2, if(ISBLANK('2025'!$P279), 0, 1), 3, if(ISBLANK('2025'!$Q279), 0, 1), 4, if(ISBLANK('2025'!$R279), 0, 1), 5, if(ISBLANK('2025'!$S279), 0, 1), 6, if(ISBLANK('2025'!$T279), 0, 1), 7, 0))), 1, "")</f>
        <v/>
      </c>
      <c r="N281" s="1" t="str">
        <f>IF(AND(AND(AND(N$4&gt;='2025'!$L279,N$4&lt;='2025'!$M279), N$4&lt;&gt;DATE(2025,7,4)), (SWITCH(weekday(N$4), 1, 0, 2, if(ISBLANK('2025'!$P279), 0, 1), 3, if(ISBLANK('2025'!$Q279), 0, 1), 4, if(ISBLANK('2025'!$R279), 0, 1), 5, if(ISBLANK('2025'!$S279), 0, 1), 6, if(ISBLANK('2025'!$T279), 0, 1), 7, 0))), 1, "")</f>
        <v/>
      </c>
      <c r="O281" s="1" t="str">
        <f>IF(AND(AND(AND(O$4&gt;='2025'!$L279,O$4&lt;='2025'!$M279), O$4&lt;&gt;DATE(2025,7,4)), (SWITCH(weekday(O$4), 1, 0, 2, if(ISBLANK('2025'!$P279), 0, 1), 3, if(ISBLANK('2025'!$Q279), 0, 1), 4, if(ISBLANK('2025'!$R279), 0, 1), 5, if(ISBLANK('2025'!$S279), 0, 1), 6, if(ISBLANK('2025'!$T279), 0, 1), 7, 0))), 1, "")</f>
        <v/>
      </c>
      <c r="P281" s="1" t="str">
        <f>IF(AND(AND(AND(P$4&gt;='2025'!$L279,P$4&lt;='2025'!$M279), P$4&lt;&gt;DATE(2025,7,4)), (SWITCH(weekday(P$4), 1, 0, 2, if(ISBLANK('2025'!$P279), 0, 1), 3, if(ISBLANK('2025'!$Q279), 0, 1), 4, if(ISBLANK('2025'!$R279), 0, 1), 5, if(ISBLANK('2025'!$S279), 0, 1), 6, if(ISBLANK('2025'!$T279), 0, 1), 7, 0))), 1, "")</f>
        <v/>
      </c>
      <c r="Q281" s="1" t="str">
        <f>IF(AND(AND(AND(Q$4&gt;='2025'!$L279,Q$4&lt;='2025'!$M279), Q$4&lt;&gt;DATE(2025,7,4)), (SWITCH(weekday(Q$4), 1, 0, 2, if(ISBLANK('2025'!$P279), 0, 1), 3, if(ISBLANK('2025'!$Q279), 0, 1), 4, if(ISBLANK('2025'!$R279), 0, 1), 5, if(ISBLANK('2025'!$S279), 0, 1), 6, if(ISBLANK('2025'!$T279), 0, 1), 7, 0))), 1, "")</f>
        <v/>
      </c>
      <c r="R281" s="1" t="str">
        <f>IF(AND(AND(AND(R$4&gt;='2025'!$L279,R$4&lt;='2025'!$M279), R$4&lt;&gt;DATE(2025,7,4)), (SWITCH(weekday(R$4), 1, 0, 2, if(ISBLANK('2025'!$P279), 0, 1), 3, if(ISBLANK('2025'!$Q279), 0, 1), 4, if(ISBLANK('2025'!$R279), 0, 1), 5, if(ISBLANK('2025'!$S279), 0, 1), 6, if(ISBLANK('2025'!$T279), 0, 1), 7, 0))), 1, "")</f>
        <v/>
      </c>
      <c r="S281" s="1" t="str">
        <f>IF(AND(AND(AND(S$4&gt;='2025'!$L279,S$4&lt;='2025'!$M279), S$4&lt;&gt;DATE(2025,7,4)), (SWITCH(weekday(S$4), 1, 0, 2, if(ISBLANK('2025'!$P279), 0, 1), 3, if(ISBLANK('2025'!$Q279), 0, 1), 4, if(ISBLANK('2025'!$R279), 0, 1), 5, if(ISBLANK('2025'!$S279), 0, 1), 6, if(ISBLANK('2025'!$T279), 0, 1), 7, 0))), 1, "")</f>
        <v/>
      </c>
      <c r="T281" s="1" t="str">
        <f>IF(AND(AND(AND(T$4&gt;='2025'!$L279,T$4&lt;='2025'!$M279), T$4&lt;&gt;DATE(2025,7,4)), (SWITCH(weekday(T$4), 1, 0, 2, if(ISBLANK('2025'!$P279), 0, 1), 3, if(ISBLANK('2025'!$Q279), 0, 1), 4, if(ISBLANK('2025'!$R279), 0, 1), 5, if(ISBLANK('2025'!$S279), 0, 1), 6, if(ISBLANK('2025'!$T279), 0, 1), 7, 0))), 1, "")</f>
        <v/>
      </c>
      <c r="U281" s="1" t="str">
        <f>IF(AND(AND(AND(U$4&gt;='2025'!$L279,U$4&lt;='2025'!$M279), U$4&lt;&gt;DATE(2025,7,4)), (SWITCH(weekday(U$4), 1, 0, 2, if(ISBLANK('2025'!$P279), 0, 1), 3, if(ISBLANK('2025'!$Q279), 0, 1), 4, if(ISBLANK('2025'!$R279), 0, 1), 5, if(ISBLANK('2025'!$S279), 0, 1), 6, if(ISBLANK('2025'!$T279), 0, 1), 7, 0))), 1, "")</f>
        <v/>
      </c>
      <c r="V281" s="1" t="str">
        <f>IF(AND(AND(AND(V$4&gt;='2025'!$L279,V$4&lt;='2025'!$M279), V$4&lt;&gt;DATE(2025,7,4)), (SWITCH(weekday(V$4), 1, 0, 2, if(ISBLANK('2025'!$P279), 0, 1), 3, if(ISBLANK('2025'!$Q279), 0, 1), 4, if(ISBLANK('2025'!$R279), 0, 1), 5, if(ISBLANK('2025'!$S279), 0, 1), 6, if(ISBLANK('2025'!$T279), 0, 1), 7, 0))), 1, "")</f>
        <v/>
      </c>
      <c r="W281" s="1" t="str">
        <f>IF(AND(AND(AND(W$4&gt;='2025'!$L279,W$4&lt;='2025'!$M279), W$4&lt;&gt;DATE(2025,7,4)), (SWITCH(weekday(W$4), 1, 0, 2, if(ISBLANK('2025'!$P279), 0, 1), 3, if(ISBLANK('2025'!$Q279), 0, 1), 4, if(ISBLANK('2025'!$R279), 0, 1), 5, if(ISBLANK('2025'!$S279), 0, 1), 6, if(ISBLANK('2025'!$T279), 0, 1), 7, 0))), 1, "")</f>
        <v/>
      </c>
      <c r="X281" s="1" t="str">
        <f>IF(AND(AND(AND(X$4&gt;='2025'!$L279,X$4&lt;='2025'!$M279), X$4&lt;&gt;DATE(2025,7,4)), (SWITCH(weekday(X$4), 1, 0, 2, if(ISBLANK('2025'!$P279), 0, 1), 3, if(ISBLANK('2025'!$Q279), 0, 1), 4, if(ISBLANK('2025'!$R279), 0, 1), 5, if(ISBLANK('2025'!$S279), 0, 1), 6, if(ISBLANK('2025'!$T279), 0, 1), 7, 0))), 1, "")</f>
        <v/>
      </c>
      <c r="Y281" s="1" t="str">
        <f>IF(AND(AND(AND(Y$4&gt;='2025'!$L279,Y$4&lt;='2025'!$M279), Y$4&lt;&gt;DATE(2025,7,4)), (SWITCH(weekday(Y$4), 1, 0, 2, if(ISBLANK('2025'!$P279), 0, 1), 3, if(ISBLANK('2025'!$Q279), 0, 1), 4, if(ISBLANK('2025'!$R279), 0, 1), 5, if(ISBLANK('2025'!$S279), 0, 1), 6, if(ISBLANK('2025'!$T279), 0, 1), 7, 0))), 1, "")</f>
        <v/>
      </c>
      <c r="Z281" s="1" t="str">
        <f>IF(AND(AND(AND(Z$4&gt;='2025'!$L279,Z$4&lt;='2025'!$M279), Z$4&lt;&gt;DATE(2025,7,4)), (SWITCH(weekday(Z$4), 1, 0, 2, if(ISBLANK('2025'!$P279), 0, 1), 3, if(ISBLANK('2025'!$Q279), 0, 1), 4, if(ISBLANK('2025'!$R279), 0, 1), 5, if(ISBLANK('2025'!$S279), 0, 1), 6, if(ISBLANK('2025'!$T279), 0, 1), 7, 0))), 1, "")</f>
        <v/>
      </c>
      <c r="AA281" s="1" t="str">
        <f>IF(AND(AND(AND(AA$4&gt;='2025'!$L279,AA$4&lt;='2025'!$M279), AA$4&lt;&gt;DATE(2025,7,4)), (SWITCH(weekday(AA$4), 1, 0, 2, if(ISBLANK('2025'!$P279), 0, 1), 3, if(ISBLANK('2025'!$Q279), 0, 1), 4, if(ISBLANK('2025'!$R279), 0, 1), 5, if(ISBLANK('2025'!$S279), 0, 1), 6, if(ISBLANK('2025'!$T279), 0, 1), 7, 0))), 1, "")</f>
        <v/>
      </c>
      <c r="AB281" s="1" t="str">
        <f>IF(AND(AND(AND(AB$4&gt;='2025'!$L279,AB$4&lt;='2025'!$M279), AB$4&lt;&gt;DATE(2025,7,4)), (SWITCH(weekday(AB$4), 1, 0, 2, if(ISBLANK('2025'!$P279), 0, 1), 3, if(ISBLANK('2025'!$Q279), 0, 1), 4, if(ISBLANK('2025'!$R279), 0, 1), 5, if(ISBLANK('2025'!$S279), 0, 1), 6, if(ISBLANK('2025'!$T279), 0, 1), 7, 0))), 1, "")</f>
        <v/>
      </c>
      <c r="AC281" s="1" t="str">
        <f>IF(AND(AND(AND(AC$4&gt;='2025'!$L279,AC$4&lt;='2025'!$M279), AC$4&lt;&gt;DATE(2025,7,4)), (SWITCH(weekday(AC$4), 1, 0, 2, if(ISBLANK('2025'!$P279), 0, 1), 3, if(ISBLANK('2025'!$Q279), 0, 1), 4, if(ISBLANK('2025'!$R279), 0, 1), 5, if(ISBLANK('2025'!$S279), 0, 1), 6, if(ISBLANK('2025'!$T279), 0, 1), 7, 0))), 1, "")</f>
        <v/>
      </c>
      <c r="AD281" s="1" t="str">
        <f>IF(AND(AND(AND(AD$4&gt;='2025'!$L279,AD$4&lt;='2025'!$M279), AD$4&lt;&gt;DATE(2025,7,4)), (SWITCH(weekday(AD$4), 1, 0, 2, if(ISBLANK('2025'!$P279), 0, 1), 3, if(ISBLANK('2025'!$Q279), 0, 1), 4, if(ISBLANK('2025'!$R279), 0, 1), 5, if(ISBLANK('2025'!$S279), 0, 1), 6, if(ISBLANK('2025'!$T279), 0, 1), 7, 0))), 1, "")</f>
        <v/>
      </c>
      <c r="AE281" s="1" t="str">
        <f>IF(AND(AND(AND(AE$4&gt;='2025'!$L279,AE$4&lt;='2025'!$M279), AE$4&lt;&gt;DATE(2025,7,4)), (SWITCH(weekday(AE$4), 1, 0, 2, if(ISBLANK('2025'!$P279), 0, 1), 3, if(ISBLANK('2025'!$Q279), 0, 1), 4, if(ISBLANK('2025'!$R279), 0, 1), 5, if(ISBLANK('2025'!$S279), 0, 1), 6, if(ISBLANK('2025'!$T279), 0, 1), 7, 0))), 1, "")</f>
        <v/>
      </c>
      <c r="AF281" s="1" t="str">
        <f>IF(AND(AND(AND(AF$4&gt;='2025'!$L279,AF$4&lt;='2025'!$M279), AF$4&lt;&gt;DATE(2025,7,4)), (SWITCH(weekday(AF$4), 1, 0, 2, if(ISBLANK('2025'!$P279), 0, 1), 3, if(ISBLANK('2025'!$Q279), 0, 1), 4, if(ISBLANK('2025'!$R279), 0, 1), 5, if(ISBLANK('2025'!$S279), 0, 1), 6, if(ISBLANK('2025'!$T279), 0, 1), 7, 0))), 1, "")</f>
        <v/>
      </c>
      <c r="AG281" s="1" t="str">
        <f>IF(AND(AND(AND(AG$4&gt;='2025'!$L279,AG$4&lt;='2025'!$M279), AG$4&lt;&gt;DATE(2025,7,4)), (SWITCH(weekday(AG$4), 1, 0, 2, if(ISBLANK('2025'!$P279), 0, 1), 3, if(ISBLANK('2025'!$Q279), 0, 1), 4, if(ISBLANK('2025'!$R279), 0, 1), 5, if(ISBLANK('2025'!$S279), 0, 1), 6, if(ISBLANK('2025'!$T279), 0, 1), 7, 0))), 1, "")</f>
        <v/>
      </c>
      <c r="AH281" s="1" t="str">
        <f>IF(AND(AND(AND(AH$4&gt;='2025'!$L279,AH$4&lt;='2025'!$M279), AH$4&lt;&gt;DATE(2025,7,4)), (SWITCH(weekday(AH$4), 1, 0, 2, if(ISBLANK('2025'!$P279), 0, 1), 3, if(ISBLANK('2025'!$Q279), 0, 1), 4, if(ISBLANK('2025'!$R279), 0, 1), 5, if(ISBLANK('2025'!$S279), 0, 1), 6, if(ISBLANK('2025'!$T279), 0, 1), 7, 0))), 1, "")</f>
        <v/>
      </c>
      <c r="AI281" s="1" t="str">
        <f>IF(AND(AND(AND(AI$4&gt;='2025'!$L279,AI$4&lt;='2025'!$M279), AI$4&lt;&gt;DATE(2025,7,4)), (SWITCH(weekday(AI$4), 1, 0, 2, if(ISBLANK('2025'!$P279), 0, 1), 3, if(ISBLANK('2025'!$Q279), 0, 1), 4, if(ISBLANK('2025'!$R279), 0, 1), 5, if(ISBLANK('2025'!$S279), 0, 1), 6, if(ISBLANK('2025'!$T279), 0, 1), 7, 0))), 1, "")</f>
        <v/>
      </c>
      <c r="AJ281" s="1" t="str">
        <f>IF(AND(AND(AND(AJ$4&gt;='2025'!$L279,AJ$4&lt;='2025'!$M279), AJ$4&lt;&gt;DATE(2025,7,4)), (SWITCH(weekday(AJ$4), 1, 0, 2, if(ISBLANK('2025'!$P279), 0, 1), 3, if(ISBLANK('2025'!$Q279), 0, 1), 4, if(ISBLANK('2025'!$R279), 0, 1), 5, if(ISBLANK('2025'!$S279), 0, 1), 6, if(ISBLANK('2025'!$T279), 0, 1), 7, 0))), 1, "")</f>
        <v/>
      </c>
      <c r="AK281" s="1" t="str">
        <f>IF(AND(AND(AND(AK$4&gt;='2025'!$L279,AK$4&lt;='2025'!$M279), AK$4&lt;&gt;DATE(2025,7,4)), (SWITCH(weekday(AK$4), 1, 0, 2, if(ISBLANK('2025'!$P279), 0, 1), 3, if(ISBLANK('2025'!$Q279), 0, 1), 4, if(ISBLANK('2025'!$R279), 0, 1), 5, if(ISBLANK('2025'!$S279), 0, 1), 6, if(ISBLANK('2025'!$T279), 0, 1), 7, 0))), 1, "")</f>
        <v/>
      </c>
      <c r="AL281" s="1" t="str">
        <f>IF(AND(AND(AND(AL$4&gt;='2025'!$L279,AL$4&lt;='2025'!$M279), AL$4&lt;&gt;DATE(2025,7,4)), (SWITCH(weekday(AL$4), 1, 0, 2, if(ISBLANK('2025'!$P279), 0, 1), 3, if(ISBLANK('2025'!$Q279), 0, 1), 4, if(ISBLANK('2025'!$R279), 0, 1), 5, if(ISBLANK('2025'!$S279), 0, 1), 6, if(ISBLANK('2025'!$T279), 0, 1), 7, 0))), 1, "")</f>
        <v/>
      </c>
      <c r="AM281" s="1" t="str">
        <f>IF(AND(AND(AND(AM$4&gt;='2025'!$L279,AM$4&lt;='2025'!$M279), AM$4&lt;&gt;DATE(2025,7,4)), (SWITCH(weekday(AM$4), 1, 0, 2, if(ISBLANK('2025'!$P279), 0, 1), 3, if(ISBLANK('2025'!$Q279), 0, 1), 4, if(ISBLANK('2025'!$R279), 0, 1), 5, if(ISBLANK('2025'!$S279), 0, 1), 6, if(ISBLANK('2025'!$T279), 0, 1), 7, 0))), 1, "")</f>
        <v/>
      </c>
      <c r="AN281" s="1" t="str">
        <f>IF(AND(AND(AND(AN$4&gt;='2025'!$L279,AN$4&lt;='2025'!$M279), AN$4&lt;&gt;DATE(2025,7,4)), (SWITCH(weekday(AN$4), 1, 0, 2, if(ISBLANK('2025'!$P279), 0, 1), 3, if(ISBLANK('2025'!$Q279), 0, 1), 4, if(ISBLANK('2025'!$R279), 0, 1), 5, if(ISBLANK('2025'!$S279), 0, 1), 6, if(ISBLANK('2025'!$T279), 0, 1), 7, 0))), 1, "")</f>
        <v/>
      </c>
      <c r="AO281" s="1" t="str">
        <f>IF(AND(AND(AND(AO$4&gt;='2025'!$L279,AO$4&lt;='2025'!$M279), AO$4&lt;&gt;DATE(2025,7,4)), (SWITCH(weekday(AO$4), 1, 0, 2, if(ISBLANK('2025'!$P279), 0, 1), 3, if(ISBLANK('2025'!$Q279), 0, 1), 4, if(ISBLANK('2025'!$R279), 0, 1), 5, if(ISBLANK('2025'!$S279), 0, 1), 6, if(ISBLANK('2025'!$T279), 0, 1), 7, 0))), 1, "")</f>
        <v/>
      </c>
      <c r="AP281" s="1" t="str">
        <f>IF(AND(AND(AND(AP$4&gt;='2025'!$L279,AP$4&lt;='2025'!$M279), AP$4&lt;&gt;DATE(2025,7,4)), (SWITCH(weekday(AP$4), 1, 0, 2, if(ISBLANK('2025'!$P279), 0, 1), 3, if(ISBLANK('2025'!$Q279), 0, 1), 4, if(ISBLANK('2025'!$R279), 0, 1), 5, if(ISBLANK('2025'!$S279), 0, 1), 6, if(ISBLANK('2025'!$T279), 0, 1), 7, 0))), 1, "")</f>
        <v/>
      </c>
      <c r="AQ281" s="1" t="str">
        <f>IF(AND(AND(AND(AQ$4&gt;='2025'!$L279,AQ$4&lt;='2025'!$M279), AQ$4&lt;&gt;DATE(2025,7,4)), (SWITCH(weekday(AQ$4), 1, 0, 2, if(ISBLANK('2025'!$P279), 0, 1), 3, if(ISBLANK('2025'!$Q279), 0, 1), 4, if(ISBLANK('2025'!$R279), 0, 1), 5, if(ISBLANK('2025'!$S279), 0, 1), 6, if(ISBLANK('2025'!$T279), 0, 1), 7, 0))), 1, "")</f>
        <v/>
      </c>
      <c r="AR281" s="1" t="str">
        <f>IF(AND(AND(AND(AR$4&gt;='2025'!$L279,AR$4&lt;='2025'!$M279), AR$4&lt;&gt;DATE(2025,7,4)), (SWITCH(weekday(AR$4), 1, 0, 2, if(ISBLANK('2025'!$P279), 0, 1), 3, if(ISBLANK('2025'!$Q279), 0, 1), 4, if(ISBLANK('2025'!$R279), 0, 1), 5, if(ISBLANK('2025'!$S279), 0, 1), 6, if(ISBLANK('2025'!$T279), 0, 1), 7, 0))), 1, "")</f>
        <v/>
      </c>
      <c r="AS281" s="1" t="str">
        <f>IF(AND(AND(AND(AS$4&gt;='2025'!$L279,AS$4&lt;='2025'!$M279), AS$4&lt;&gt;DATE(2025,7,4)), (SWITCH(weekday(AS$4), 1, 0, 2, if(ISBLANK('2025'!$P279), 0, 1), 3, if(ISBLANK('2025'!$Q279), 0, 1), 4, if(ISBLANK('2025'!$R279), 0, 1), 5, if(ISBLANK('2025'!$S279), 0, 1), 6, if(ISBLANK('2025'!$T279), 0, 1), 7, 0))), 1, "")</f>
        <v/>
      </c>
      <c r="AT281" s="1" t="str">
        <f>IF(AND(AND(AND(AT$4&gt;='2025'!$L279,AT$4&lt;='2025'!$M279), AT$4&lt;&gt;DATE(2025,7,4)), (SWITCH(weekday(AT$4), 1, 0, 2, if(ISBLANK('2025'!$P279), 0, 1), 3, if(ISBLANK('2025'!$Q279), 0, 1), 4, if(ISBLANK('2025'!$R279), 0, 1), 5, if(ISBLANK('2025'!$S279), 0, 1), 6, if(ISBLANK('2025'!$T279), 0, 1), 7, 0))), 1, "")</f>
        <v/>
      </c>
      <c r="AU281" s="1" t="str">
        <f>IF(AND(AND(AND(AU$4&gt;='2025'!$L279,AU$4&lt;='2025'!$M279), AU$4&lt;&gt;DATE(2025,7,4)), (SWITCH(weekday(AU$4), 1, 0, 2, if(ISBLANK('2025'!$P279), 0, 1), 3, if(ISBLANK('2025'!$Q279), 0, 1), 4, if(ISBLANK('2025'!$R279), 0, 1), 5, if(ISBLANK('2025'!$S279), 0, 1), 6, if(ISBLANK('2025'!$T279), 0, 1), 7, 0))), 1, "")</f>
        <v/>
      </c>
      <c r="AV281" s="1" t="str">
        <f>IF(AND(AND(AND(AV$4&gt;='2025'!$L279,AV$4&lt;='2025'!$M279), AV$4&lt;&gt;DATE(2025,7,4)), (SWITCH(weekday(AV$4), 1, 0, 2, if(ISBLANK('2025'!$P279), 0, 1), 3, if(ISBLANK('2025'!$Q279), 0, 1), 4, if(ISBLANK('2025'!$R279), 0, 1), 5, if(ISBLANK('2025'!$S279), 0, 1), 6, if(ISBLANK('2025'!$T279), 0, 1), 7, 0))), 1, "")</f>
        <v/>
      </c>
      <c r="AW281" s="1" t="str">
        <f>IF(AND(AND(AND(AW$4&gt;='2025'!$L279,AW$4&lt;='2025'!$M279), AW$4&lt;&gt;DATE(2025,7,4)), (SWITCH(weekday(AW$4), 1, 0, 2, if(ISBLANK('2025'!$P279), 0, 1), 3, if(ISBLANK('2025'!$Q279), 0, 1), 4, if(ISBLANK('2025'!$R279), 0, 1), 5, if(ISBLANK('2025'!$S279), 0, 1), 6, if(ISBLANK('2025'!$T279), 0, 1), 7, 0))), 1, "")</f>
        <v/>
      </c>
      <c r="AX281" s="1" t="str">
        <f>IF(AND(AND(AND(AX$4&gt;='2025'!$L279,AX$4&lt;='2025'!$M279), AX$4&lt;&gt;DATE(2025,7,4)), (SWITCH(weekday(AX$4), 1, 0, 2, if(ISBLANK('2025'!$P279), 0, 1), 3, if(ISBLANK('2025'!$Q279), 0, 1), 4, if(ISBLANK('2025'!$R279), 0, 1), 5, if(ISBLANK('2025'!$S279), 0, 1), 6, if(ISBLANK('2025'!$T279), 0, 1), 7, 0))), 1, "")</f>
        <v/>
      </c>
      <c r="AY281" s="1" t="str">
        <f>IF(AND(AND(AND(AY$4&gt;='2025'!$L279,AY$4&lt;='2025'!$M279), AY$4&lt;&gt;DATE(2025,7,4)), (SWITCH(weekday(AY$4), 1, 0, 2, if(ISBLANK('2025'!$P279), 0, 1), 3, if(ISBLANK('2025'!$Q279), 0, 1), 4, if(ISBLANK('2025'!$R279), 0, 1), 5, if(ISBLANK('2025'!$S279), 0, 1), 6, if(ISBLANK('2025'!$T279), 0, 1), 7, 0))), 1, "")</f>
        <v/>
      </c>
      <c r="AZ281" s="1" t="str">
        <f>IF(AND(AND(AND(AZ$4&gt;='2025'!$L279,AZ$4&lt;='2025'!$M279), AZ$4&lt;&gt;DATE(2025,7,4)), (SWITCH(weekday(AZ$4), 1, 0, 2, if(ISBLANK('2025'!$P279), 0, 1), 3, if(ISBLANK('2025'!$Q279), 0, 1), 4, if(ISBLANK('2025'!$R279), 0, 1), 5, if(ISBLANK('2025'!$S279), 0, 1), 6, if(ISBLANK('2025'!$T279), 0, 1), 7, 0))), 1, "")</f>
        <v/>
      </c>
      <c r="BA281" s="1" t="str">
        <f>IF(AND(AND(AND(BA$4&gt;='2025'!$L279,BA$4&lt;='2025'!$M279), BA$4&lt;&gt;DATE(2025,7,4)), (SWITCH(weekday(BA$4), 1, 0, 2, if(ISBLANK('2025'!$P279), 0, 1), 3, if(ISBLANK('2025'!$Q279), 0, 1), 4, if(ISBLANK('2025'!$R279), 0, 1), 5, if(ISBLANK('2025'!$S279), 0, 1), 6, if(ISBLANK('2025'!$T279), 0, 1), 7, 0))), 1, "")</f>
        <v/>
      </c>
      <c r="BB281" s="1" t="str">
        <f>IF(AND(AND(AND(BB$4&gt;='2025'!$L279,BB$4&lt;='2025'!$M279), BB$4&lt;&gt;DATE(2025,7,4)), (SWITCH(weekday(BB$4), 1, 0, 2, if(ISBLANK('2025'!$P279), 0, 1), 3, if(ISBLANK('2025'!$Q279), 0, 1), 4, if(ISBLANK('2025'!$R279), 0, 1), 5, if(ISBLANK('2025'!$S279), 0, 1), 6, if(ISBLANK('2025'!$T279), 0, 1), 7, 0))), 1, "")</f>
        <v/>
      </c>
      <c r="BC281" s="1" t="str">
        <f>IF(AND(AND(AND(BC$4&gt;='2025'!$L279,BC$4&lt;='2025'!$M279), BC$4&lt;&gt;DATE(2025,7,4)), (SWITCH(weekday(BC$4), 1, 0, 2, if(ISBLANK('2025'!$P279), 0, 1), 3, if(ISBLANK('2025'!$Q279), 0, 1), 4, if(ISBLANK('2025'!$R279), 0, 1), 5, if(ISBLANK('2025'!$S279), 0, 1), 6, if(ISBLANK('2025'!$T279), 0, 1), 7, 0))), 1, "")</f>
        <v/>
      </c>
      <c r="BD281" s="1" t="str">
        <f>IF(AND(AND(AND(BD$4&gt;='2025'!$L279,BD$4&lt;='2025'!$M279), BD$4&lt;&gt;DATE(2025,7,4)), (SWITCH(weekday(BD$4), 1, 0, 2, if(ISBLANK('2025'!$P279), 0, 1), 3, if(ISBLANK('2025'!$Q279), 0, 1), 4, if(ISBLANK('2025'!$R279), 0, 1), 5, if(ISBLANK('2025'!$S279), 0, 1), 6, if(ISBLANK('2025'!$T279), 0, 1), 7, 0))), 1, "")</f>
        <v/>
      </c>
      <c r="BE281" s="1" t="str">
        <f>IF(AND(AND(AND(BE$4&gt;='2025'!$L279,BE$4&lt;='2025'!$M279), BE$4&lt;&gt;DATE(2025,7,4)), (SWITCH(weekday(BE$4), 1, 0, 2, if(ISBLANK('2025'!$P279), 0, 1), 3, if(ISBLANK('2025'!$Q279), 0, 1), 4, if(ISBLANK('2025'!$R279), 0, 1), 5, if(ISBLANK('2025'!$S279), 0, 1), 6, if(ISBLANK('2025'!$T279), 0, 1), 7, 0))), 1, "")</f>
        <v/>
      </c>
      <c r="BF281" s="1" t="str">
        <f>IF(AND(AND(AND(BF$4&gt;='2025'!$L279,BF$4&lt;='2025'!$M279), BF$4&lt;&gt;DATE(2025,7,4)), (SWITCH(weekday(BF$4), 1, 0, 2, if(ISBLANK('2025'!$P279), 0, 1), 3, if(ISBLANK('2025'!$Q279), 0, 1), 4, if(ISBLANK('2025'!$R279), 0, 1), 5, if(ISBLANK('2025'!$S279), 0, 1), 6, if(ISBLANK('2025'!$T279), 0, 1), 7, 0))), 1, "")</f>
        <v/>
      </c>
      <c r="BG281" s="1"/>
      <c r="BH281" s="1"/>
      <c r="BI281" s="1"/>
      <c r="BJ281" s="1"/>
      <c r="BK281" s="1"/>
      <c r="BL281" s="1"/>
    </row>
    <row r="282">
      <c r="A282" s="1">
        <f t="shared" si="3"/>
        <v>282</v>
      </c>
      <c r="B282" s="1" t="str">
        <f>'2025'!D246</f>
        <v>, </v>
      </c>
      <c r="C282" s="1" t="str">
        <f>'2025'!H246</f>
        <v/>
      </c>
      <c r="D282" s="1" t="str">
        <f>IF(AND(AND(AND(D$4&gt;='2025'!$L280,D$4&lt;='2025'!$M280), D$4&lt;&gt;DATE(2025,7,4)), (SWITCH(weekday(D$4), 1, 0, 2, if(ISBLANK('2025'!$P280), 0, 1), 3, if(ISBLANK('2025'!$Q280), 0, 1), 4, if(ISBLANK('2025'!$R280), 0, 1), 5, if(ISBLANK('2025'!$S280), 0, 1), 6, if(ISBLANK('2025'!$T280), 0, 1), 7, 0))), 1, "")</f>
        <v/>
      </c>
      <c r="E282" s="1" t="str">
        <f>IF(AND(AND(AND(E$4&gt;='2025'!$L280,E$4&lt;='2025'!$M280), E$4&lt;&gt;DATE(2025,7,4)), (SWITCH(weekday(E$4), 1, 0, 2, if(ISBLANK('2025'!$P280), 0, 1), 3, if(ISBLANK('2025'!$Q280), 0, 1), 4, if(ISBLANK('2025'!$R280), 0, 1), 5, if(ISBLANK('2025'!$S280), 0, 1), 6, if(ISBLANK('2025'!$T280), 0, 1), 7, 0))), 1, "")</f>
        <v/>
      </c>
      <c r="F282" s="1" t="str">
        <f>IF(AND(AND(AND(F$4&gt;='2025'!$L280,F$4&lt;='2025'!$M280), F$4&lt;&gt;DATE(2025,7,4)), (SWITCH(weekday(F$4), 1, 0, 2, if(ISBLANK('2025'!$P280), 0, 1), 3, if(ISBLANK('2025'!$Q280), 0, 1), 4, if(ISBLANK('2025'!$R280), 0, 1), 5, if(ISBLANK('2025'!$S280), 0, 1), 6, if(ISBLANK('2025'!$T280), 0, 1), 7, 0))), 1, "")</f>
        <v/>
      </c>
      <c r="G282" s="1" t="str">
        <f>IF(AND(AND(AND(G$4&gt;='2025'!$L280,G$4&lt;='2025'!$M280), G$4&lt;&gt;DATE(2025,7,4)), (SWITCH(weekday(G$4), 1, 0, 2, if(ISBLANK('2025'!$P280), 0, 1), 3, if(ISBLANK('2025'!$Q280), 0, 1), 4, if(ISBLANK('2025'!$R280), 0, 1), 5, if(ISBLANK('2025'!$S280), 0, 1), 6, if(ISBLANK('2025'!$T280), 0, 1), 7, 0))), 1, "")</f>
        <v/>
      </c>
      <c r="H282" s="1" t="str">
        <f>IF(AND(AND(AND(H$4&gt;='2025'!$L280,H$4&lt;='2025'!$M280), H$4&lt;&gt;DATE(2025,7,4)), (SWITCH(weekday(H$4), 1, 0, 2, if(ISBLANK('2025'!$P280), 0, 1), 3, if(ISBLANK('2025'!$Q280), 0, 1), 4, if(ISBLANK('2025'!$R280), 0, 1), 5, if(ISBLANK('2025'!$S280), 0, 1), 6, if(ISBLANK('2025'!$T280), 0, 1), 7, 0))), 1, "")</f>
        <v/>
      </c>
      <c r="I282" s="1" t="str">
        <f>IF(AND(AND(AND(I$4&gt;='2025'!$L280,I$4&lt;='2025'!$M280), I$4&lt;&gt;DATE(2025,7,4)), (SWITCH(weekday(I$4), 1, 0, 2, if(ISBLANK('2025'!$P280), 0, 1), 3, if(ISBLANK('2025'!$Q280), 0, 1), 4, if(ISBLANK('2025'!$R280), 0, 1), 5, if(ISBLANK('2025'!$S280), 0, 1), 6, if(ISBLANK('2025'!$T280), 0, 1), 7, 0))), 1, "")</f>
        <v/>
      </c>
      <c r="J282" s="1" t="str">
        <f>IF(AND(AND(AND(J$4&gt;='2025'!$L280,J$4&lt;='2025'!$M280), J$4&lt;&gt;DATE(2025,7,4)), (SWITCH(weekday(J$4), 1, 0, 2, if(ISBLANK('2025'!$P280), 0, 1), 3, if(ISBLANK('2025'!$Q280), 0, 1), 4, if(ISBLANK('2025'!$R280), 0, 1), 5, if(ISBLANK('2025'!$S280), 0, 1), 6, if(ISBLANK('2025'!$T280), 0, 1), 7, 0))), 1, "")</f>
        <v/>
      </c>
      <c r="K282" s="1" t="str">
        <f>IF(AND(AND(AND(K$4&gt;='2025'!$L280,K$4&lt;='2025'!$M280), K$4&lt;&gt;DATE(2025,7,4)), (SWITCH(weekday(K$4), 1, 0, 2, if(ISBLANK('2025'!$P280), 0, 1), 3, if(ISBLANK('2025'!$Q280), 0, 1), 4, if(ISBLANK('2025'!$R280), 0, 1), 5, if(ISBLANK('2025'!$S280), 0, 1), 6, if(ISBLANK('2025'!$T280), 0, 1), 7, 0))), 1, "")</f>
        <v/>
      </c>
      <c r="L282" s="1" t="str">
        <f>IF(AND(AND(AND(L$4&gt;='2025'!$L280,L$4&lt;='2025'!$M280), L$4&lt;&gt;DATE(2025,7,4)), (SWITCH(weekday(L$4), 1, 0, 2, if(ISBLANK('2025'!$P280), 0, 1), 3, if(ISBLANK('2025'!$Q280), 0, 1), 4, if(ISBLANK('2025'!$R280), 0, 1), 5, if(ISBLANK('2025'!$S280), 0, 1), 6, if(ISBLANK('2025'!$T280), 0, 1), 7, 0))), 1, "")</f>
        <v/>
      </c>
      <c r="M282" s="1" t="str">
        <f>IF(AND(AND(AND(M$4&gt;='2025'!$L280,M$4&lt;='2025'!$M280), M$4&lt;&gt;DATE(2025,7,4)), (SWITCH(weekday(M$4), 1, 0, 2, if(ISBLANK('2025'!$P280), 0, 1), 3, if(ISBLANK('2025'!$Q280), 0, 1), 4, if(ISBLANK('2025'!$R280), 0, 1), 5, if(ISBLANK('2025'!$S280), 0, 1), 6, if(ISBLANK('2025'!$T280), 0, 1), 7, 0))), 1, "")</f>
        <v/>
      </c>
      <c r="N282" s="1" t="str">
        <f>IF(AND(AND(AND(N$4&gt;='2025'!$L280,N$4&lt;='2025'!$M280), N$4&lt;&gt;DATE(2025,7,4)), (SWITCH(weekday(N$4), 1, 0, 2, if(ISBLANK('2025'!$P280), 0, 1), 3, if(ISBLANK('2025'!$Q280), 0, 1), 4, if(ISBLANK('2025'!$R280), 0, 1), 5, if(ISBLANK('2025'!$S280), 0, 1), 6, if(ISBLANK('2025'!$T280), 0, 1), 7, 0))), 1, "")</f>
        <v/>
      </c>
      <c r="O282" s="1" t="str">
        <f>IF(AND(AND(AND(O$4&gt;='2025'!$L280,O$4&lt;='2025'!$M280), O$4&lt;&gt;DATE(2025,7,4)), (SWITCH(weekday(O$4), 1, 0, 2, if(ISBLANK('2025'!$P280), 0, 1), 3, if(ISBLANK('2025'!$Q280), 0, 1), 4, if(ISBLANK('2025'!$R280), 0, 1), 5, if(ISBLANK('2025'!$S280), 0, 1), 6, if(ISBLANK('2025'!$T280), 0, 1), 7, 0))), 1, "")</f>
        <v/>
      </c>
      <c r="P282" s="1" t="str">
        <f>IF(AND(AND(AND(P$4&gt;='2025'!$L280,P$4&lt;='2025'!$M280), P$4&lt;&gt;DATE(2025,7,4)), (SWITCH(weekday(P$4), 1, 0, 2, if(ISBLANK('2025'!$P280), 0, 1), 3, if(ISBLANK('2025'!$Q280), 0, 1), 4, if(ISBLANK('2025'!$R280), 0, 1), 5, if(ISBLANK('2025'!$S280), 0, 1), 6, if(ISBLANK('2025'!$T280), 0, 1), 7, 0))), 1, "")</f>
        <v/>
      </c>
      <c r="Q282" s="1" t="str">
        <f>IF(AND(AND(AND(Q$4&gt;='2025'!$L280,Q$4&lt;='2025'!$M280), Q$4&lt;&gt;DATE(2025,7,4)), (SWITCH(weekday(Q$4), 1, 0, 2, if(ISBLANK('2025'!$P280), 0, 1), 3, if(ISBLANK('2025'!$Q280), 0, 1), 4, if(ISBLANK('2025'!$R280), 0, 1), 5, if(ISBLANK('2025'!$S280), 0, 1), 6, if(ISBLANK('2025'!$T280), 0, 1), 7, 0))), 1, "")</f>
        <v/>
      </c>
      <c r="R282" s="1" t="str">
        <f>IF(AND(AND(AND(R$4&gt;='2025'!$L280,R$4&lt;='2025'!$M280), R$4&lt;&gt;DATE(2025,7,4)), (SWITCH(weekday(R$4), 1, 0, 2, if(ISBLANK('2025'!$P280), 0, 1), 3, if(ISBLANK('2025'!$Q280), 0, 1), 4, if(ISBLANK('2025'!$R280), 0, 1), 5, if(ISBLANK('2025'!$S280), 0, 1), 6, if(ISBLANK('2025'!$T280), 0, 1), 7, 0))), 1, "")</f>
        <v/>
      </c>
      <c r="S282" s="1" t="str">
        <f>IF(AND(AND(AND(S$4&gt;='2025'!$L280,S$4&lt;='2025'!$M280), S$4&lt;&gt;DATE(2025,7,4)), (SWITCH(weekday(S$4), 1, 0, 2, if(ISBLANK('2025'!$P280), 0, 1), 3, if(ISBLANK('2025'!$Q280), 0, 1), 4, if(ISBLANK('2025'!$R280), 0, 1), 5, if(ISBLANK('2025'!$S280), 0, 1), 6, if(ISBLANK('2025'!$T280), 0, 1), 7, 0))), 1, "")</f>
        <v/>
      </c>
      <c r="T282" s="1" t="str">
        <f>IF(AND(AND(AND(T$4&gt;='2025'!$L280,T$4&lt;='2025'!$M280), T$4&lt;&gt;DATE(2025,7,4)), (SWITCH(weekday(T$4), 1, 0, 2, if(ISBLANK('2025'!$P280), 0, 1), 3, if(ISBLANK('2025'!$Q280), 0, 1), 4, if(ISBLANK('2025'!$R280), 0, 1), 5, if(ISBLANK('2025'!$S280), 0, 1), 6, if(ISBLANK('2025'!$T280), 0, 1), 7, 0))), 1, "")</f>
        <v/>
      </c>
      <c r="U282" s="1" t="str">
        <f>IF(AND(AND(AND(U$4&gt;='2025'!$L280,U$4&lt;='2025'!$M280), U$4&lt;&gt;DATE(2025,7,4)), (SWITCH(weekday(U$4), 1, 0, 2, if(ISBLANK('2025'!$P280), 0, 1), 3, if(ISBLANK('2025'!$Q280), 0, 1), 4, if(ISBLANK('2025'!$R280), 0, 1), 5, if(ISBLANK('2025'!$S280), 0, 1), 6, if(ISBLANK('2025'!$T280), 0, 1), 7, 0))), 1, "")</f>
        <v/>
      </c>
      <c r="V282" s="1" t="str">
        <f>IF(AND(AND(AND(V$4&gt;='2025'!$L280,V$4&lt;='2025'!$M280), V$4&lt;&gt;DATE(2025,7,4)), (SWITCH(weekday(V$4), 1, 0, 2, if(ISBLANK('2025'!$P280), 0, 1), 3, if(ISBLANK('2025'!$Q280), 0, 1), 4, if(ISBLANK('2025'!$R280), 0, 1), 5, if(ISBLANK('2025'!$S280), 0, 1), 6, if(ISBLANK('2025'!$T280), 0, 1), 7, 0))), 1, "")</f>
        <v/>
      </c>
      <c r="W282" s="1" t="str">
        <f>IF(AND(AND(AND(W$4&gt;='2025'!$L280,W$4&lt;='2025'!$M280), W$4&lt;&gt;DATE(2025,7,4)), (SWITCH(weekday(W$4), 1, 0, 2, if(ISBLANK('2025'!$P280), 0, 1), 3, if(ISBLANK('2025'!$Q280), 0, 1), 4, if(ISBLANK('2025'!$R280), 0, 1), 5, if(ISBLANK('2025'!$S280), 0, 1), 6, if(ISBLANK('2025'!$T280), 0, 1), 7, 0))), 1, "")</f>
        <v/>
      </c>
      <c r="X282" s="1" t="str">
        <f>IF(AND(AND(AND(X$4&gt;='2025'!$L280,X$4&lt;='2025'!$M280), X$4&lt;&gt;DATE(2025,7,4)), (SWITCH(weekday(X$4), 1, 0, 2, if(ISBLANK('2025'!$P280), 0, 1), 3, if(ISBLANK('2025'!$Q280), 0, 1), 4, if(ISBLANK('2025'!$R280), 0, 1), 5, if(ISBLANK('2025'!$S280), 0, 1), 6, if(ISBLANK('2025'!$T280), 0, 1), 7, 0))), 1, "")</f>
        <v/>
      </c>
      <c r="Y282" s="1" t="str">
        <f>IF(AND(AND(AND(Y$4&gt;='2025'!$L280,Y$4&lt;='2025'!$M280), Y$4&lt;&gt;DATE(2025,7,4)), (SWITCH(weekday(Y$4), 1, 0, 2, if(ISBLANK('2025'!$P280), 0, 1), 3, if(ISBLANK('2025'!$Q280), 0, 1), 4, if(ISBLANK('2025'!$R280), 0, 1), 5, if(ISBLANK('2025'!$S280), 0, 1), 6, if(ISBLANK('2025'!$T280), 0, 1), 7, 0))), 1, "")</f>
        <v/>
      </c>
      <c r="Z282" s="1" t="str">
        <f>IF(AND(AND(AND(Z$4&gt;='2025'!$L280,Z$4&lt;='2025'!$M280), Z$4&lt;&gt;DATE(2025,7,4)), (SWITCH(weekday(Z$4), 1, 0, 2, if(ISBLANK('2025'!$P280), 0, 1), 3, if(ISBLANK('2025'!$Q280), 0, 1), 4, if(ISBLANK('2025'!$R280), 0, 1), 5, if(ISBLANK('2025'!$S280), 0, 1), 6, if(ISBLANK('2025'!$T280), 0, 1), 7, 0))), 1, "")</f>
        <v/>
      </c>
      <c r="AA282" s="1" t="str">
        <f>IF(AND(AND(AND(AA$4&gt;='2025'!$L280,AA$4&lt;='2025'!$M280), AA$4&lt;&gt;DATE(2025,7,4)), (SWITCH(weekday(AA$4), 1, 0, 2, if(ISBLANK('2025'!$P280), 0, 1), 3, if(ISBLANK('2025'!$Q280), 0, 1), 4, if(ISBLANK('2025'!$R280), 0, 1), 5, if(ISBLANK('2025'!$S280), 0, 1), 6, if(ISBLANK('2025'!$T280), 0, 1), 7, 0))), 1, "")</f>
        <v/>
      </c>
      <c r="AB282" s="1" t="str">
        <f>IF(AND(AND(AND(AB$4&gt;='2025'!$L280,AB$4&lt;='2025'!$M280), AB$4&lt;&gt;DATE(2025,7,4)), (SWITCH(weekday(AB$4), 1, 0, 2, if(ISBLANK('2025'!$P280), 0, 1), 3, if(ISBLANK('2025'!$Q280), 0, 1), 4, if(ISBLANK('2025'!$R280), 0, 1), 5, if(ISBLANK('2025'!$S280), 0, 1), 6, if(ISBLANK('2025'!$T280), 0, 1), 7, 0))), 1, "")</f>
        <v/>
      </c>
      <c r="AC282" s="1" t="str">
        <f>IF(AND(AND(AND(AC$4&gt;='2025'!$L280,AC$4&lt;='2025'!$M280), AC$4&lt;&gt;DATE(2025,7,4)), (SWITCH(weekday(AC$4), 1, 0, 2, if(ISBLANK('2025'!$P280), 0, 1), 3, if(ISBLANK('2025'!$Q280), 0, 1), 4, if(ISBLANK('2025'!$R280), 0, 1), 5, if(ISBLANK('2025'!$S280), 0, 1), 6, if(ISBLANK('2025'!$T280), 0, 1), 7, 0))), 1, "")</f>
        <v/>
      </c>
      <c r="AD282" s="1" t="str">
        <f>IF(AND(AND(AND(AD$4&gt;='2025'!$L280,AD$4&lt;='2025'!$M280), AD$4&lt;&gt;DATE(2025,7,4)), (SWITCH(weekday(AD$4), 1, 0, 2, if(ISBLANK('2025'!$P280), 0, 1), 3, if(ISBLANK('2025'!$Q280), 0, 1), 4, if(ISBLANK('2025'!$R280), 0, 1), 5, if(ISBLANK('2025'!$S280), 0, 1), 6, if(ISBLANK('2025'!$T280), 0, 1), 7, 0))), 1, "")</f>
        <v/>
      </c>
      <c r="AE282" s="1" t="str">
        <f>IF(AND(AND(AND(AE$4&gt;='2025'!$L280,AE$4&lt;='2025'!$M280), AE$4&lt;&gt;DATE(2025,7,4)), (SWITCH(weekday(AE$4), 1, 0, 2, if(ISBLANK('2025'!$P280), 0, 1), 3, if(ISBLANK('2025'!$Q280), 0, 1), 4, if(ISBLANK('2025'!$R280), 0, 1), 5, if(ISBLANK('2025'!$S280), 0, 1), 6, if(ISBLANK('2025'!$T280), 0, 1), 7, 0))), 1, "")</f>
        <v/>
      </c>
      <c r="AF282" s="1" t="str">
        <f>IF(AND(AND(AND(AF$4&gt;='2025'!$L280,AF$4&lt;='2025'!$M280), AF$4&lt;&gt;DATE(2025,7,4)), (SWITCH(weekday(AF$4), 1, 0, 2, if(ISBLANK('2025'!$P280), 0, 1), 3, if(ISBLANK('2025'!$Q280), 0, 1), 4, if(ISBLANK('2025'!$R280), 0, 1), 5, if(ISBLANK('2025'!$S280), 0, 1), 6, if(ISBLANK('2025'!$T280), 0, 1), 7, 0))), 1, "")</f>
        <v/>
      </c>
      <c r="AG282" s="1" t="str">
        <f>IF(AND(AND(AND(AG$4&gt;='2025'!$L280,AG$4&lt;='2025'!$M280), AG$4&lt;&gt;DATE(2025,7,4)), (SWITCH(weekday(AG$4), 1, 0, 2, if(ISBLANK('2025'!$P280), 0, 1), 3, if(ISBLANK('2025'!$Q280), 0, 1), 4, if(ISBLANK('2025'!$R280), 0, 1), 5, if(ISBLANK('2025'!$S280), 0, 1), 6, if(ISBLANK('2025'!$T280), 0, 1), 7, 0))), 1, "")</f>
        <v/>
      </c>
      <c r="AH282" s="1" t="str">
        <f>IF(AND(AND(AND(AH$4&gt;='2025'!$L280,AH$4&lt;='2025'!$M280), AH$4&lt;&gt;DATE(2025,7,4)), (SWITCH(weekday(AH$4), 1, 0, 2, if(ISBLANK('2025'!$P280), 0, 1), 3, if(ISBLANK('2025'!$Q280), 0, 1), 4, if(ISBLANK('2025'!$R280), 0, 1), 5, if(ISBLANK('2025'!$S280), 0, 1), 6, if(ISBLANK('2025'!$T280), 0, 1), 7, 0))), 1, "")</f>
        <v/>
      </c>
      <c r="AI282" s="1" t="str">
        <f>IF(AND(AND(AND(AI$4&gt;='2025'!$L280,AI$4&lt;='2025'!$M280), AI$4&lt;&gt;DATE(2025,7,4)), (SWITCH(weekday(AI$4), 1, 0, 2, if(ISBLANK('2025'!$P280), 0, 1), 3, if(ISBLANK('2025'!$Q280), 0, 1), 4, if(ISBLANK('2025'!$R280), 0, 1), 5, if(ISBLANK('2025'!$S280), 0, 1), 6, if(ISBLANK('2025'!$T280), 0, 1), 7, 0))), 1, "")</f>
        <v/>
      </c>
      <c r="AJ282" s="1" t="str">
        <f>IF(AND(AND(AND(AJ$4&gt;='2025'!$L280,AJ$4&lt;='2025'!$M280), AJ$4&lt;&gt;DATE(2025,7,4)), (SWITCH(weekday(AJ$4), 1, 0, 2, if(ISBLANK('2025'!$P280), 0, 1), 3, if(ISBLANK('2025'!$Q280), 0, 1), 4, if(ISBLANK('2025'!$R280), 0, 1), 5, if(ISBLANK('2025'!$S280), 0, 1), 6, if(ISBLANK('2025'!$T280), 0, 1), 7, 0))), 1, "")</f>
        <v/>
      </c>
      <c r="AK282" s="1" t="str">
        <f>IF(AND(AND(AND(AK$4&gt;='2025'!$L280,AK$4&lt;='2025'!$M280), AK$4&lt;&gt;DATE(2025,7,4)), (SWITCH(weekday(AK$4), 1, 0, 2, if(ISBLANK('2025'!$P280), 0, 1), 3, if(ISBLANK('2025'!$Q280), 0, 1), 4, if(ISBLANK('2025'!$R280), 0, 1), 5, if(ISBLANK('2025'!$S280), 0, 1), 6, if(ISBLANK('2025'!$T280), 0, 1), 7, 0))), 1, "")</f>
        <v/>
      </c>
      <c r="AL282" s="1" t="str">
        <f>IF(AND(AND(AND(AL$4&gt;='2025'!$L280,AL$4&lt;='2025'!$M280), AL$4&lt;&gt;DATE(2025,7,4)), (SWITCH(weekday(AL$4), 1, 0, 2, if(ISBLANK('2025'!$P280), 0, 1), 3, if(ISBLANK('2025'!$Q280), 0, 1), 4, if(ISBLANK('2025'!$R280), 0, 1), 5, if(ISBLANK('2025'!$S280), 0, 1), 6, if(ISBLANK('2025'!$T280), 0, 1), 7, 0))), 1, "")</f>
        <v/>
      </c>
      <c r="AM282" s="1" t="str">
        <f>IF(AND(AND(AND(AM$4&gt;='2025'!$L280,AM$4&lt;='2025'!$M280), AM$4&lt;&gt;DATE(2025,7,4)), (SWITCH(weekday(AM$4), 1, 0, 2, if(ISBLANK('2025'!$P280), 0, 1), 3, if(ISBLANK('2025'!$Q280), 0, 1), 4, if(ISBLANK('2025'!$R280), 0, 1), 5, if(ISBLANK('2025'!$S280), 0, 1), 6, if(ISBLANK('2025'!$T280), 0, 1), 7, 0))), 1, "")</f>
        <v/>
      </c>
      <c r="AN282" s="1" t="str">
        <f>IF(AND(AND(AND(AN$4&gt;='2025'!$L280,AN$4&lt;='2025'!$M280), AN$4&lt;&gt;DATE(2025,7,4)), (SWITCH(weekday(AN$4), 1, 0, 2, if(ISBLANK('2025'!$P280), 0, 1), 3, if(ISBLANK('2025'!$Q280), 0, 1), 4, if(ISBLANK('2025'!$R280), 0, 1), 5, if(ISBLANK('2025'!$S280), 0, 1), 6, if(ISBLANK('2025'!$T280), 0, 1), 7, 0))), 1, "")</f>
        <v/>
      </c>
      <c r="AO282" s="1" t="str">
        <f>IF(AND(AND(AND(AO$4&gt;='2025'!$L280,AO$4&lt;='2025'!$M280), AO$4&lt;&gt;DATE(2025,7,4)), (SWITCH(weekday(AO$4), 1, 0, 2, if(ISBLANK('2025'!$P280), 0, 1), 3, if(ISBLANK('2025'!$Q280), 0, 1), 4, if(ISBLANK('2025'!$R280), 0, 1), 5, if(ISBLANK('2025'!$S280), 0, 1), 6, if(ISBLANK('2025'!$T280), 0, 1), 7, 0))), 1, "")</f>
        <v/>
      </c>
      <c r="AP282" s="1" t="str">
        <f>IF(AND(AND(AND(AP$4&gt;='2025'!$L280,AP$4&lt;='2025'!$M280), AP$4&lt;&gt;DATE(2025,7,4)), (SWITCH(weekday(AP$4), 1, 0, 2, if(ISBLANK('2025'!$P280), 0, 1), 3, if(ISBLANK('2025'!$Q280), 0, 1), 4, if(ISBLANK('2025'!$R280), 0, 1), 5, if(ISBLANK('2025'!$S280), 0, 1), 6, if(ISBLANK('2025'!$T280), 0, 1), 7, 0))), 1, "")</f>
        <v/>
      </c>
      <c r="AQ282" s="1" t="str">
        <f>IF(AND(AND(AND(AQ$4&gt;='2025'!$L280,AQ$4&lt;='2025'!$M280), AQ$4&lt;&gt;DATE(2025,7,4)), (SWITCH(weekday(AQ$4), 1, 0, 2, if(ISBLANK('2025'!$P280), 0, 1), 3, if(ISBLANK('2025'!$Q280), 0, 1), 4, if(ISBLANK('2025'!$R280), 0, 1), 5, if(ISBLANK('2025'!$S280), 0, 1), 6, if(ISBLANK('2025'!$T280), 0, 1), 7, 0))), 1, "")</f>
        <v/>
      </c>
      <c r="AR282" s="1" t="str">
        <f>IF(AND(AND(AND(AR$4&gt;='2025'!$L280,AR$4&lt;='2025'!$M280), AR$4&lt;&gt;DATE(2025,7,4)), (SWITCH(weekday(AR$4), 1, 0, 2, if(ISBLANK('2025'!$P280), 0, 1), 3, if(ISBLANK('2025'!$Q280), 0, 1), 4, if(ISBLANK('2025'!$R280), 0, 1), 5, if(ISBLANK('2025'!$S280), 0, 1), 6, if(ISBLANK('2025'!$T280), 0, 1), 7, 0))), 1, "")</f>
        <v/>
      </c>
      <c r="AS282" s="1" t="str">
        <f>IF(AND(AND(AND(AS$4&gt;='2025'!$L280,AS$4&lt;='2025'!$M280), AS$4&lt;&gt;DATE(2025,7,4)), (SWITCH(weekday(AS$4), 1, 0, 2, if(ISBLANK('2025'!$P280), 0, 1), 3, if(ISBLANK('2025'!$Q280), 0, 1), 4, if(ISBLANK('2025'!$R280), 0, 1), 5, if(ISBLANK('2025'!$S280), 0, 1), 6, if(ISBLANK('2025'!$T280), 0, 1), 7, 0))), 1, "")</f>
        <v/>
      </c>
      <c r="AT282" s="1" t="str">
        <f>IF(AND(AND(AND(AT$4&gt;='2025'!$L280,AT$4&lt;='2025'!$M280), AT$4&lt;&gt;DATE(2025,7,4)), (SWITCH(weekday(AT$4), 1, 0, 2, if(ISBLANK('2025'!$P280), 0, 1), 3, if(ISBLANK('2025'!$Q280), 0, 1), 4, if(ISBLANK('2025'!$R280), 0, 1), 5, if(ISBLANK('2025'!$S280), 0, 1), 6, if(ISBLANK('2025'!$T280), 0, 1), 7, 0))), 1, "")</f>
        <v/>
      </c>
      <c r="AU282" s="1" t="str">
        <f>IF(AND(AND(AND(AU$4&gt;='2025'!$L280,AU$4&lt;='2025'!$M280), AU$4&lt;&gt;DATE(2025,7,4)), (SWITCH(weekday(AU$4), 1, 0, 2, if(ISBLANK('2025'!$P280), 0, 1), 3, if(ISBLANK('2025'!$Q280), 0, 1), 4, if(ISBLANK('2025'!$R280), 0, 1), 5, if(ISBLANK('2025'!$S280), 0, 1), 6, if(ISBLANK('2025'!$T280), 0, 1), 7, 0))), 1, "")</f>
        <v/>
      </c>
      <c r="AV282" s="1" t="str">
        <f>IF(AND(AND(AND(AV$4&gt;='2025'!$L280,AV$4&lt;='2025'!$M280), AV$4&lt;&gt;DATE(2025,7,4)), (SWITCH(weekday(AV$4), 1, 0, 2, if(ISBLANK('2025'!$P280), 0, 1), 3, if(ISBLANK('2025'!$Q280), 0, 1), 4, if(ISBLANK('2025'!$R280), 0, 1), 5, if(ISBLANK('2025'!$S280), 0, 1), 6, if(ISBLANK('2025'!$T280), 0, 1), 7, 0))), 1, "")</f>
        <v/>
      </c>
      <c r="AW282" s="1" t="str">
        <f>IF(AND(AND(AND(AW$4&gt;='2025'!$L280,AW$4&lt;='2025'!$M280), AW$4&lt;&gt;DATE(2025,7,4)), (SWITCH(weekday(AW$4), 1, 0, 2, if(ISBLANK('2025'!$P280), 0, 1), 3, if(ISBLANK('2025'!$Q280), 0, 1), 4, if(ISBLANK('2025'!$R280), 0, 1), 5, if(ISBLANK('2025'!$S280), 0, 1), 6, if(ISBLANK('2025'!$T280), 0, 1), 7, 0))), 1, "")</f>
        <v/>
      </c>
      <c r="AX282" s="1" t="str">
        <f>IF(AND(AND(AND(AX$4&gt;='2025'!$L280,AX$4&lt;='2025'!$M280), AX$4&lt;&gt;DATE(2025,7,4)), (SWITCH(weekday(AX$4), 1, 0, 2, if(ISBLANK('2025'!$P280), 0, 1), 3, if(ISBLANK('2025'!$Q280), 0, 1), 4, if(ISBLANK('2025'!$R280), 0, 1), 5, if(ISBLANK('2025'!$S280), 0, 1), 6, if(ISBLANK('2025'!$T280), 0, 1), 7, 0))), 1, "")</f>
        <v/>
      </c>
      <c r="AY282" s="1" t="str">
        <f>IF(AND(AND(AND(AY$4&gt;='2025'!$L280,AY$4&lt;='2025'!$M280), AY$4&lt;&gt;DATE(2025,7,4)), (SWITCH(weekday(AY$4), 1, 0, 2, if(ISBLANK('2025'!$P280), 0, 1), 3, if(ISBLANK('2025'!$Q280), 0, 1), 4, if(ISBLANK('2025'!$R280), 0, 1), 5, if(ISBLANK('2025'!$S280), 0, 1), 6, if(ISBLANK('2025'!$T280), 0, 1), 7, 0))), 1, "")</f>
        <v/>
      </c>
      <c r="AZ282" s="1" t="str">
        <f>IF(AND(AND(AND(AZ$4&gt;='2025'!$L280,AZ$4&lt;='2025'!$M280), AZ$4&lt;&gt;DATE(2025,7,4)), (SWITCH(weekday(AZ$4), 1, 0, 2, if(ISBLANK('2025'!$P280), 0, 1), 3, if(ISBLANK('2025'!$Q280), 0, 1), 4, if(ISBLANK('2025'!$R280), 0, 1), 5, if(ISBLANK('2025'!$S280), 0, 1), 6, if(ISBLANK('2025'!$T280), 0, 1), 7, 0))), 1, "")</f>
        <v/>
      </c>
      <c r="BA282" s="1" t="str">
        <f>IF(AND(AND(AND(BA$4&gt;='2025'!$L280,BA$4&lt;='2025'!$M280), BA$4&lt;&gt;DATE(2025,7,4)), (SWITCH(weekday(BA$4), 1, 0, 2, if(ISBLANK('2025'!$P280), 0, 1), 3, if(ISBLANK('2025'!$Q280), 0, 1), 4, if(ISBLANK('2025'!$R280), 0, 1), 5, if(ISBLANK('2025'!$S280), 0, 1), 6, if(ISBLANK('2025'!$T280), 0, 1), 7, 0))), 1, "")</f>
        <v/>
      </c>
      <c r="BB282" s="1" t="str">
        <f>IF(AND(AND(AND(BB$4&gt;='2025'!$L280,BB$4&lt;='2025'!$M280), BB$4&lt;&gt;DATE(2025,7,4)), (SWITCH(weekday(BB$4), 1, 0, 2, if(ISBLANK('2025'!$P280), 0, 1), 3, if(ISBLANK('2025'!$Q280), 0, 1), 4, if(ISBLANK('2025'!$R280), 0, 1), 5, if(ISBLANK('2025'!$S280), 0, 1), 6, if(ISBLANK('2025'!$T280), 0, 1), 7, 0))), 1, "")</f>
        <v/>
      </c>
      <c r="BC282" s="1" t="str">
        <f>IF(AND(AND(AND(BC$4&gt;='2025'!$L280,BC$4&lt;='2025'!$M280), BC$4&lt;&gt;DATE(2025,7,4)), (SWITCH(weekday(BC$4), 1, 0, 2, if(ISBLANK('2025'!$P280), 0, 1), 3, if(ISBLANK('2025'!$Q280), 0, 1), 4, if(ISBLANK('2025'!$R280), 0, 1), 5, if(ISBLANK('2025'!$S280), 0, 1), 6, if(ISBLANK('2025'!$T280), 0, 1), 7, 0))), 1, "")</f>
        <v/>
      </c>
      <c r="BD282" s="1" t="str">
        <f>IF(AND(AND(AND(BD$4&gt;='2025'!$L280,BD$4&lt;='2025'!$M280), BD$4&lt;&gt;DATE(2025,7,4)), (SWITCH(weekday(BD$4), 1, 0, 2, if(ISBLANK('2025'!$P280), 0, 1), 3, if(ISBLANK('2025'!$Q280), 0, 1), 4, if(ISBLANK('2025'!$R280), 0, 1), 5, if(ISBLANK('2025'!$S280), 0, 1), 6, if(ISBLANK('2025'!$T280), 0, 1), 7, 0))), 1, "")</f>
        <v/>
      </c>
      <c r="BE282" s="1" t="str">
        <f>IF(AND(AND(AND(BE$4&gt;='2025'!$L280,BE$4&lt;='2025'!$M280), BE$4&lt;&gt;DATE(2025,7,4)), (SWITCH(weekday(BE$4), 1, 0, 2, if(ISBLANK('2025'!$P280), 0, 1), 3, if(ISBLANK('2025'!$Q280), 0, 1), 4, if(ISBLANK('2025'!$R280), 0, 1), 5, if(ISBLANK('2025'!$S280), 0, 1), 6, if(ISBLANK('2025'!$T280), 0, 1), 7, 0))), 1, "")</f>
        <v/>
      </c>
      <c r="BF282" s="1" t="str">
        <f>IF(AND(AND(AND(BF$4&gt;='2025'!$L280,BF$4&lt;='2025'!$M280), BF$4&lt;&gt;DATE(2025,7,4)), (SWITCH(weekday(BF$4), 1, 0, 2, if(ISBLANK('2025'!$P280), 0, 1), 3, if(ISBLANK('2025'!$Q280), 0, 1), 4, if(ISBLANK('2025'!$R280), 0, 1), 5, if(ISBLANK('2025'!$S280), 0, 1), 6, if(ISBLANK('2025'!$T280), 0, 1), 7, 0))), 1, "")</f>
        <v/>
      </c>
      <c r="BG282" s="1"/>
      <c r="BH282" s="1"/>
      <c r="BI282" s="1"/>
      <c r="BJ282" s="1"/>
      <c r="BK282" s="1"/>
      <c r="BL282" s="1"/>
    </row>
    <row r="283">
      <c r="A283" s="1">
        <f t="shared" si="3"/>
        <v>283</v>
      </c>
      <c r="B283" s="1" t="str">
        <f>'2025'!D247</f>
        <v>, </v>
      </c>
      <c r="C283" s="1" t="str">
        <f>'2025'!H247</f>
        <v/>
      </c>
      <c r="D283" s="1" t="str">
        <f>IF(AND(AND(AND(D$4&gt;='2025'!$L281,D$4&lt;='2025'!$M281), D$4&lt;&gt;DATE(2025,7,4)), (SWITCH(weekday(D$4), 1, 0, 2, if(ISBLANK('2025'!$P281), 0, 1), 3, if(ISBLANK('2025'!$Q281), 0, 1), 4, if(ISBLANK('2025'!$R281), 0, 1), 5, if(ISBLANK('2025'!$S281), 0, 1), 6, if(ISBLANK('2025'!$T281), 0, 1), 7, 0))), 1, "")</f>
        <v/>
      </c>
      <c r="E283" s="1" t="str">
        <f>IF(AND(AND(AND(E$4&gt;='2025'!$L281,E$4&lt;='2025'!$M281), E$4&lt;&gt;DATE(2025,7,4)), (SWITCH(weekday(E$4), 1, 0, 2, if(ISBLANK('2025'!$P281), 0, 1), 3, if(ISBLANK('2025'!$Q281), 0, 1), 4, if(ISBLANK('2025'!$R281), 0, 1), 5, if(ISBLANK('2025'!$S281), 0, 1), 6, if(ISBLANK('2025'!$T281), 0, 1), 7, 0))), 1, "")</f>
        <v/>
      </c>
      <c r="F283" s="1" t="str">
        <f>IF(AND(AND(AND(F$4&gt;='2025'!$L281,F$4&lt;='2025'!$M281), F$4&lt;&gt;DATE(2025,7,4)), (SWITCH(weekday(F$4), 1, 0, 2, if(ISBLANK('2025'!$P281), 0, 1), 3, if(ISBLANK('2025'!$Q281), 0, 1), 4, if(ISBLANK('2025'!$R281), 0, 1), 5, if(ISBLANK('2025'!$S281), 0, 1), 6, if(ISBLANK('2025'!$T281), 0, 1), 7, 0))), 1, "")</f>
        <v/>
      </c>
      <c r="G283" s="1" t="str">
        <f>IF(AND(AND(AND(G$4&gt;='2025'!$L281,G$4&lt;='2025'!$M281), G$4&lt;&gt;DATE(2025,7,4)), (SWITCH(weekday(G$4), 1, 0, 2, if(ISBLANK('2025'!$P281), 0, 1), 3, if(ISBLANK('2025'!$Q281), 0, 1), 4, if(ISBLANK('2025'!$R281), 0, 1), 5, if(ISBLANK('2025'!$S281), 0, 1), 6, if(ISBLANK('2025'!$T281), 0, 1), 7, 0))), 1, "")</f>
        <v/>
      </c>
      <c r="H283" s="1" t="str">
        <f>IF(AND(AND(AND(H$4&gt;='2025'!$L281,H$4&lt;='2025'!$M281), H$4&lt;&gt;DATE(2025,7,4)), (SWITCH(weekday(H$4), 1, 0, 2, if(ISBLANK('2025'!$P281), 0, 1), 3, if(ISBLANK('2025'!$Q281), 0, 1), 4, if(ISBLANK('2025'!$R281), 0, 1), 5, if(ISBLANK('2025'!$S281), 0, 1), 6, if(ISBLANK('2025'!$T281), 0, 1), 7, 0))), 1, "")</f>
        <v/>
      </c>
      <c r="I283" s="1" t="str">
        <f>IF(AND(AND(AND(I$4&gt;='2025'!$L281,I$4&lt;='2025'!$M281), I$4&lt;&gt;DATE(2025,7,4)), (SWITCH(weekday(I$4), 1, 0, 2, if(ISBLANK('2025'!$P281), 0, 1), 3, if(ISBLANK('2025'!$Q281), 0, 1), 4, if(ISBLANK('2025'!$R281), 0, 1), 5, if(ISBLANK('2025'!$S281), 0, 1), 6, if(ISBLANK('2025'!$T281), 0, 1), 7, 0))), 1, "")</f>
        <v/>
      </c>
      <c r="J283" s="1" t="str">
        <f>IF(AND(AND(AND(J$4&gt;='2025'!$L281,J$4&lt;='2025'!$M281), J$4&lt;&gt;DATE(2025,7,4)), (SWITCH(weekday(J$4), 1, 0, 2, if(ISBLANK('2025'!$P281), 0, 1), 3, if(ISBLANK('2025'!$Q281), 0, 1), 4, if(ISBLANK('2025'!$R281), 0, 1), 5, if(ISBLANK('2025'!$S281), 0, 1), 6, if(ISBLANK('2025'!$T281), 0, 1), 7, 0))), 1, "")</f>
        <v/>
      </c>
      <c r="K283" s="1" t="str">
        <f>IF(AND(AND(AND(K$4&gt;='2025'!$L281,K$4&lt;='2025'!$M281), K$4&lt;&gt;DATE(2025,7,4)), (SWITCH(weekday(K$4), 1, 0, 2, if(ISBLANK('2025'!$P281), 0, 1), 3, if(ISBLANK('2025'!$Q281), 0, 1), 4, if(ISBLANK('2025'!$R281), 0, 1), 5, if(ISBLANK('2025'!$S281), 0, 1), 6, if(ISBLANK('2025'!$T281), 0, 1), 7, 0))), 1, "")</f>
        <v/>
      </c>
      <c r="L283" s="1" t="str">
        <f>IF(AND(AND(AND(L$4&gt;='2025'!$L281,L$4&lt;='2025'!$M281), L$4&lt;&gt;DATE(2025,7,4)), (SWITCH(weekday(L$4), 1, 0, 2, if(ISBLANK('2025'!$P281), 0, 1), 3, if(ISBLANK('2025'!$Q281), 0, 1), 4, if(ISBLANK('2025'!$R281), 0, 1), 5, if(ISBLANK('2025'!$S281), 0, 1), 6, if(ISBLANK('2025'!$T281), 0, 1), 7, 0))), 1, "")</f>
        <v/>
      </c>
      <c r="M283" s="1" t="str">
        <f>IF(AND(AND(AND(M$4&gt;='2025'!$L281,M$4&lt;='2025'!$M281), M$4&lt;&gt;DATE(2025,7,4)), (SWITCH(weekday(M$4), 1, 0, 2, if(ISBLANK('2025'!$P281), 0, 1), 3, if(ISBLANK('2025'!$Q281), 0, 1), 4, if(ISBLANK('2025'!$R281), 0, 1), 5, if(ISBLANK('2025'!$S281), 0, 1), 6, if(ISBLANK('2025'!$T281), 0, 1), 7, 0))), 1, "")</f>
        <v/>
      </c>
      <c r="N283" s="1" t="str">
        <f>IF(AND(AND(AND(N$4&gt;='2025'!$L281,N$4&lt;='2025'!$M281), N$4&lt;&gt;DATE(2025,7,4)), (SWITCH(weekday(N$4), 1, 0, 2, if(ISBLANK('2025'!$P281), 0, 1), 3, if(ISBLANK('2025'!$Q281), 0, 1), 4, if(ISBLANK('2025'!$R281), 0, 1), 5, if(ISBLANK('2025'!$S281), 0, 1), 6, if(ISBLANK('2025'!$T281), 0, 1), 7, 0))), 1, "")</f>
        <v/>
      </c>
      <c r="O283" s="1" t="str">
        <f>IF(AND(AND(AND(O$4&gt;='2025'!$L281,O$4&lt;='2025'!$M281), O$4&lt;&gt;DATE(2025,7,4)), (SWITCH(weekday(O$4), 1, 0, 2, if(ISBLANK('2025'!$P281), 0, 1), 3, if(ISBLANK('2025'!$Q281), 0, 1), 4, if(ISBLANK('2025'!$R281), 0, 1), 5, if(ISBLANK('2025'!$S281), 0, 1), 6, if(ISBLANK('2025'!$T281), 0, 1), 7, 0))), 1, "")</f>
        <v/>
      </c>
      <c r="P283" s="1" t="str">
        <f>IF(AND(AND(AND(P$4&gt;='2025'!$L281,P$4&lt;='2025'!$M281), P$4&lt;&gt;DATE(2025,7,4)), (SWITCH(weekday(P$4), 1, 0, 2, if(ISBLANK('2025'!$P281), 0, 1), 3, if(ISBLANK('2025'!$Q281), 0, 1), 4, if(ISBLANK('2025'!$R281), 0, 1), 5, if(ISBLANK('2025'!$S281), 0, 1), 6, if(ISBLANK('2025'!$T281), 0, 1), 7, 0))), 1, "")</f>
        <v/>
      </c>
      <c r="Q283" s="1" t="str">
        <f>IF(AND(AND(AND(Q$4&gt;='2025'!$L281,Q$4&lt;='2025'!$M281), Q$4&lt;&gt;DATE(2025,7,4)), (SWITCH(weekday(Q$4), 1, 0, 2, if(ISBLANK('2025'!$P281), 0, 1), 3, if(ISBLANK('2025'!$Q281), 0, 1), 4, if(ISBLANK('2025'!$R281), 0, 1), 5, if(ISBLANK('2025'!$S281), 0, 1), 6, if(ISBLANK('2025'!$T281), 0, 1), 7, 0))), 1, "")</f>
        <v/>
      </c>
      <c r="R283" s="1" t="str">
        <f>IF(AND(AND(AND(R$4&gt;='2025'!$L281,R$4&lt;='2025'!$M281), R$4&lt;&gt;DATE(2025,7,4)), (SWITCH(weekday(R$4), 1, 0, 2, if(ISBLANK('2025'!$P281), 0, 1), 3, if(ISBLANK('2025'!$Q281), 0, 1), 4, if(ISBLANK('2025'!$R281), 0, 1), 5, if(ISBLANK('2025'!$S281), 0, 1), 6, if(ISBLANK('2025'!$T281), 0, 1), 7, 0))), 1, "")</f>
        <v/>
      </c>
      <c r="S283" s="1" t="str">
        <f>IF(AND(AND(AND(S$4&gt;='2025'!$L281,S$4&lt;='2025'!$M281), S$4&lt;&gt;DATE(2025,7,4)), (SWITCH(weekday(S$4), 1, 0, 2, if(ISBLANK('2025'!$P281), 0, 1), 3, if(ISBLANK('2025'!$Q281), 0, 1), 4, if(ISBLANK('2025'!$R281), 0, 1), 5, if(ISBLANK('2025'!$S281), 0, 1), 6, if(ISBLANK('2025'!$T281), 0, 1), 7, 0))), 1, "")</f>
        <v/>
      </c>
      <c r="T283" s="1" t="str">
        <f>IF(AND(AND(AND(T$4&gt;='2025'!$L281,T$4&lt;='2025'!$M281), T$4&lt;&gt;DATE(2025,7,4)), (SWITCH(weekday(T$4), 1, 0, 2, if(ISBLANK('2025'!$P281), 0, 1), 3, if(ISBLANK('2025'!$Q281), 0, 1), 4, if(ISBLANK('2025'!$R281), 0, 1), 5, if(ISBLANK('2025'!$S281), 0, 1), 6, if(ISBLANK('2025'!$T281), 0, 1), 7, 0))), 1, "")</f>
        <v/>
      </c>
      <c r="U283" s="1" t="str">
        <f>IF(AND(AND(AND(U$4&gt;='2025'!$L281,U$4&lt;='2025'!$M281), U$4&lt;&gt;DATE(2025,7,4)), (SWITCH(weekday(U$4), 1, 0, 2, if(ISBLANK('2025'!$P281), 0, 1), 3, if(ISBLANK('2025'!$Q281), 0, 1), 4, if(ISBLANK('2025'!$R281), 0, 1), 5, if(ISBLANK('2025'!$S281), 0, 1), 6, if(ISBLANK('2025'!$T281), 0, 1), 7, 0))), 1, "")</f>
        <v/>
      </c>
      <c r="V283" s="1" t="str">
        <f>IF(AND(AND(AND(V$4&gt;='2025'!$L281,V$4&lt;='2025'!$M281), V$4&lt;&gt;DATE(2025,7,4)), (SWITCH(weekday(V$4), 1, 0, 2, if(ISBLANK('2025'!$P281), 0, 1), 3, if(ISBLANK('2025'!$Q281), 0, 1), 4, if(ISBLANK('2025'!$R281), 0, 1), 5, if(ISBLANK('2025'!$S281), 0, 1), 6, if(ISBLANK('2025'!$T281), 0, 1), 7, 0))), 1, "")</f>
        <v/>
      </c>
      <c r="W283" s="1" t="str">
        <f>IF(AND(AND(AND(W$4&gt;='2025'!$L281,W$4&lt;='2025'!$M281), W$4&lt;&gt;DATE(2025,7,4)), (SWITCH(weekday(W$4), 1, 0, 2, if(ISBLANK('2025'!$P281), 0, 1), 3, if(ISBLANK('2025'!$Q281), 0, 1), 4, if(ISBLANK('2025'!$R281), 0, 1), 5, if(ISBLANK('2025'!$S281), 0, 1), 6, if(ISBLANK('2025'!$T281), 0, 1), 7, 0))), 1, "")</f>
        <v/>
      </c>
      <c r="X283" s="1" t="str">
        <f>IF(AND(AND(AND(X$4&gt;='2025'!$L281,X$4&lt;='2025'!$M281), X$4&lt;&gt;DATE(2025,7,4)), (SWITCH(weekday(X$4), 1, 0, 2, if(ISBLANK('2025'!$P281), 0, 1), 3, if(ISBLANK('2025'!$Q281), 0, 1), 4, if(ISBLANK('2025'!$R281), 0, 1), 5, if(ISBLANK('2025'!$S281), 0, 1), 6, if(ISBLANK('2025'!$T281), 0, 1), 7, 0))), 1, "")</f>
        <v/>
      </c>
      <c r="Y283" s="1" t="str">
        <f>IF(AND(AND(AND(Y$4&gt;='2025'!$L281,Y$4&lt;='2025'!$M281), Y$4&lt;&gt;DATE(2025,7,4)), (SWITCH(weekday(Y$4), 1, 0, 2, if(ISBLANK('2025'!$P281), 0, 1), 3, if(ISBLANK('2025'!$Q281), 0, 1), 4, if(ISBLANK('2025'!$R281), 0, 1), 5, if(ISBLANK('2025'!$S281), 0, 1), 6, if(ISBLANK('2025'!$T281), 0, 1), 7, 0))), 1, "")</f>
        <v/>
      </c>
      <c r="Z283" s="1" t="str">
        <f>IF(AND(AND(AND(Z$4&gt;='2025'!$L281,Z$4&lt;='2025'!$M281), Z$4&lt;&gt;DATE(2025,7,4)), (SWITCH(weekday(Z$4), 1, 0, 2, if(ISBLANK('2025'!$P281), 0, 1), 3, if(ISBLANK('2025'!$Q281), 0, 1), 4, if(ISBLANK('2025'!$R281), 0, 1), 5, if(ISBLANK('2025'!$S281), 0, 1), 6, if(ISBLANK('2025'!$T281), 0, 1), 7, 0))), 1, "")</f>
        <v/>
      </c>
      <c r="AA283" s="1" t="str">
        <f>IF(AND(AND(AND(AA$4&gt;='2025'!$L281,AA$4&lt;='2025'!$M281), AA$4&lt;&gt;DATE(2025,7,4)), (SWITCH(weekday(AA$4), 1, 0, 2, if(ISBLANK('2025'!$P281), 0, 1), 3, if(ISBLANK('2025'!$Q281), 0, 1), 4, if(ISBLANK('2025'!$R281), 0, 1), 5, if(ISBLANK('2025'!$S281), 0, 1), 6, if(ISBLANK('2025'!$T281), 0, 1), 7, 0))), 1, "")</f>
        <v/>
      </c>
      <c r="AB283" s="1" t="str">
        <f>IF(AND(AND(AND(AB$4&gt;='2025'!$L281,AB$4&lt;='2025'!$M281), AB$4&lt;&gt;DATE(2025,7,4)), (SWITCH(weekday(AB$4), 1, 0, 2, if(ISBLANK('2025'!$P281), 0, 1), 3, if(ISBLANK('2025'!$Q281), 0, 1), 4, if(ISBLANK('2025'!$R281), 0, 1), 5, if(ISBLANK('2025'!$S281), 0, 1), 6, if(ISBLANK('2025'!$T281), 0, 1), 7, 0))), 1, "")</f>
        <v/>
      </c>
      <c r="AC283" s="1" t="str">
        <f>IF(AND(AND(AND(AC$4&gt;='2025'!$L281,AC$4&lt;='2025'!$M281), AC$4&lt;&gt;DATE(2025,7,4)), (SWITCH(weekday(AC$4), 1, 0, 2, if(ISBLANK('2025'!$P281), 0, 1), 3, if(ISBLANK('2025'!$Q281), 0, 1), 4, if(ISBLANK('2025'!$R281), 0, 1), 5, if(ISBLANK('2025'!$S281), 0, 1), 6, if(ISBLANK('2025'!$T281), 0, 1), 7, 0))), 1, "")</f>
        <v/>
      </c>
      <c r="AD283" s="1" t="str">
        <f>IF(AND(AND(AND(AD$4&gt;='2025'!$L281,AD$4&lt;='2025'!$M281), AD$4&lt;&gt;DATE(2025,7,4)), (SWITCH(weekday(AD$4), 1, 0, 2, if(ISBLANK('2025'!$P281), 0, 1), 3, if(ISBLANK('2025'!$Q281), 0, 1), 4, if(ISBLANK('2025'!$R281), 0, 1), 5, if(ISBLANK('2025'!$S281), 0, 1), 6, if(ISBLANK('2025'!$T281), 0, 1), 7, 0))), 1, "")</f>
        <v/>
      </c>
      <c r="AE283" s="1" t="str">
        <f>IF(AND(AND(AND(AE$4&gt;='2025'!$L281,AE$4&lt;='2025'!$M281), AE$4&lt;&gt;DATE(2025,7,4)), (SWITCH(weekday(AE$4), 1, 0, 2, if(ISBLANK('2025'!$P281), 0, 1), 3, if(ISBLANK('2025'!$Q281), 0, 1), 4, if(ISBLANK('2025'!$R281), 0, 1), 5, if(ISBLANK('2025'!$S281), 0, 1), 6, if(ISBLANK('2025'!$T281), 0, 1), 7, 0))), 1, "")</f>
        <v/>
      </c>
      <c r="AF283" s="1" t="str">
        <f>IF(AND(AND(AND(AF$4&gt;='2025'!$L281,AF$4&lt;='2025'!$M281), AF$4&lt;&gt;DATE(2025,7,4)), (SWITCH(weekday(AF$4), 1, 0, 2, if(ISBLANK('2025'!$P281), 0, 1), 3, if(ISBLANK('2025'!$Q281), 0, 1), 4, if(ISBLANK('2025'!$R281), 0, 1), 5, if(ISBLANK('2025'!$S281), 0, 1), 6, if(ISBLANK('2025'!$T281), 0, 1), 7, 0))), 1, "")</f>
        <v/>
      </c>
      <c r="AG283" s="1" t="str">
        <f>IF(AND(AND(AND(AG$4&gt;='2025'!$L281,AG$4&lt;='2025'!$M281), AG$4&lt;&gt;DATE(2025,7,4)), (SWITCH(weekday(AG$4), 1, 0, 2, if(ISBLANK('2025'!$P281), 0, 1), 3, if(ISBLANK('2025'!$Q281), 0, 1), 4, if(ISBLANK('2025'!$R281), 0, 1), 5, if(ISBLANK('2025'!$S281), 0, 1), 6, if(ISBLANK('2025'!$T281), 0, 1), 7, 0))), 1, "")</f>
        <v/>
      </c>
      <c r="AH283" s="1" t="str">
        <f>IF(AND(AND(AND(AH$4&gt;='2025'!$L281,AH$4&lt;='2025'!$M281), AH$4&lt;&gt;DATE(2025,7,4)), (SWITCH(weekday(AH$4), 1, 0, 2, if(ISBLANK('2025'!$P281), 0, 1), 3, if(ISBLANK('2025'!$Q281), 0, 1), 4, if(ISBLANK('2025'!$R281), 0, 1), 5, if(ISBLANK('2025'!$S281), 0, 1), 6, if(ISBLANK('2025'!$T281), 0, 1), 7, 0))), 1, "")</f>
        <v/>
      </c>
      <c r="AI283" s="1" t="str">
        <f>IF(AND(AND(AND(AI$4&gt;='2025'!$L281,AI$4&lt;='2025'!$M281), AI$4&lt;&gt;DATE(2025,7,4)), (SWITCH(weekday(AI$4), 1, 0, 2, if(ISBLANK('2025'!$P281), 0, 1), 3, if(ISBLANK('2025'!$Q281), 0, 1), 4, if(ISBLANK('2025'!$R281), 0, 1), 5, if(ISBLANK('2025'!$S281), 0, 1), 6, if(ISBLANK('2025'!$T281), 0, 1), 7, 0))), 1, "")</f>
        <v/>
      </c>
      <c r="AJ283" s="1" t="str">
        <f>IF(AND(AND(AND(AJ$4&gt;='2025'!$L281,AJ$4&lt;='2025'!$M281), AJ$4&lt;&gt;DATE(2025,7,4)), (SWITCH(weekday(AJ$4), 1, 0, 2, if(ISBLANK('2025'!$P281), 0, 1), 3, if(ISBLANK('2025'!$Q281), 0, 1), 4, if(ISBLANK('2025'!$R281), 0, 1), 5, if(ISBLANK('2025'!$S281), 0, 1), 6, if(ISBLANK('2025'!$T281), 0, 1), 7, 0))), 1, "")</f>
        <v/>
      </c>
      <c r="AK283" s="1" t="str">
        <f>IF(AND(AND(AND(AK$4&gt;='2025'!$L281,AK$4&lt;='2025'!$M281), AK$4&lt;&gt;DATE(2025,7,4)), (SWITCH(weekday(AK$4), 1, 0, 2, if(ISBLANK('2025'!$P281), 0, 1), 3, if(ISBLANK('2025'!$Q281), 0, 1), 4, if(ISBLANK('2025'!$R281), 0, 1), 5, if(ISBLANK('2025'!$S281), 0, 1), 6, if(ISBLANK('2025'!$T281), 0, 1), 7, 0))), 1, "")</f>
        <v/>
      </c>
      <c r="AL283" s="1" t="str">
        <f>IF(AND(AND(AND(AL$4&gt;='2025'!$L281,AL$4&lt;='2025'!$M281), AL$4&lt;&gt;DATE(2025,7,4)), (SWITCH(weekday(AL$4), 1, 0, 2, if(ISBLANK('2025'!$P281), 0, 1), 3, if(ISBLANK('2025'!$Q281), 0, 1), 4, if(ISBLANK('2025'!$R281), 0, 1), 5, if(ISBLANK('2025'!$S281), 0, 1), 6, if(ISBLANK('2025'!$T281), 0, 1), 7, 0))), 1, "")</f>
        <v/>
      </c>
      <c r="AM283" s="1" t="str">
        <f>IF(AND(AND(AND(AM$4&gt;='2025'!$L281,AM$4&lt;='2025'!$M281), AM$4&lt;&gt;DATE(2025,7,4)), (SWITCH(weekday(AM$4), 1, 0, 2, if(ISBLANK('2025'!$P281), 0, 1), 3, if(ISBLANK('2025'!$Q281), 0, 1), 4, if(ISBLANK('2025'!$R281), 0, 1), 5, if(ISBLANK('2025'!$S281), 0, 1), 6, if(ISBLANK('2025'!$T281), 0, 1), 7, 0))), 1, "")</f>
        <v/>
      </c>
      <c r="AN283" s="1" t="str">
        <f>IF(AND(AND(AND(AN$4&gt;='2025'!$L281,AN$4&lt;='2025'!$M281), AN$4&lt;&gt;DATE(2025,7,4)), (SWITCH(weekday(AN$4), 1, 0, 2, if(ISBLANK('2025'!$P281), 0, 1), 3, if(ISBLANK('2025'!$Q281), 0, 1), 4, if(ISBLANK('2025'!$R281), 0, 1), 5, if(ISBLANK('2025'!$S281), 0, 1), 6, if(ISBLANK('2025'!$T281), 0, 1), 7, 0))), 1, "")</f>
        <v/>
      </c>
      <c r="AO283" s="1" t="str">
        <f>IF(AND(AND(AND(AO$4&gt;='2025'!$L281,AO$4&lt;='2025'!$M281), AO$4&lt;&gt;DATE(2025,7,4)), (SWITCH(weekday(AO$4), 1, 0, 2, if(ISBLANK('2025'!$P281), 0, 1), 3, if(ISBLANK('2025'!$Q281), 0, 1), 4, if(ISBLANK('2025'!$R281), 0, 1), 5, if(ISBLANK('2025'!$S281), 0, 1), 6, if(ISBLANK('2025'!$T281), 0, 1), 7, 0))), 1, "")</f>
        <v/>
      </c>
      <c r="AP283" s="1" t="str">
        <f>IF(AND(AND(AND(AP$4&gt;='2025'!$L281,AP$4&lt;='2025'!$M281), AP$4&lt;&gt;DATE(2025,7,4)), (SWITCH(weekday(AP$4), 1, 0, 2, if(ISBLANK('2025'!$P281), 0, 1), 3, if(ISBLANK('2025'!$Q281), 0, 1), 4, if(ISBLANK('2025'!$R281), 0, 1), 5, if(ISBLANK('2025'!$S281), 0, 1), 6, if(ISBLANK('2025'!$T281), 0, 1), 7, 0))), 1, "")</f>
        <v/>
      </c>
      <c r="AQ283" s="1" t="str">
        <f>IF(AND(AND(AND(AQ$4&gt;='2025'!$L281,AQ$4&lt;='2025'!$M281), AQ$4&lt;&gt;DATE(2025,7,4)), (SWITCH(weekday(AQ$4), 1, 0, 2, if(ISBLANK('2025'!$P281), 0, 1), 3, if(ISBLANK('2025'!$Q281), 0, 1), 4, if(ISBLANK('2025'!$R281), 0, 1), 5, if(ISBLANK('2025'!$S281), 0, 1), 6, if(ISBLANK('2025'!$T281), 0, 1), 7, 0))), 1, "")</f>
        <v/>
      </c>
      <c r="AR283" s="1" t="str">
        <f>IF(AND(AND(AND(AR$4&gt;='2025'!$L281,AR$4&lt;='2025'!$M281), AR$4&lt;&gt;DATE(2025,7,4)), (SWITCH(weekday(AR$4), 1, 0, 2, if(ISBLANK('2025'!$P281), 0, 1), 3, if(ISBLANK('2025'!$Q281), 0, 1), 4, if(ISBLANK('2025'!$R281), 0, 1), 5, if(ISBLANK('2025'!$S281), 0, 1), 6, if(ISBLANK('2025'!$T281), 0, 1), 7, 0))), 1, "")</f>
        <v/>
      </c>
      <c r="AS283" s="1" t="str">
        <f>IF(AND(AND(AND(AS$4&gt;='2025'!$L281,AS$4&lt;='2025'!$M281), AS$4&lt;&gt;DATE(2025,7,4)), (SWITCH(weekday(AS$4), 1, 0, 2, if(ISBLANK('2025'!$P281), 0, 1), 3, if(ISBLANK('2025'!$Q281), 0, 1), 4, if(ISBLANK('2025'!$R281), 0, 1), 5, if(ISBLANK('2025'!$S281), 0, 1), 6, if(ISBLANK('2025'!$T281), 0, 1), 7, 0))), 1, "")</f>
        <v/>
      </c>
      <c r="AT283" s="1" t="str">
        <f>IF(AND(AND(AND(AT$4&gt;='2025'!$L281,AT$4&lt;='2025'!$M281), AT$4&lt;&gt;DATE(2025,7,4)), (SWITCH(weekday(AT$4), 1, 0, 2, if(ISBLANK('2025'!$P281), 0, 1), 3, if(ISBLANK('2025'!$Q281), 0, 1), 4, if(ISBLANK('2025'!$R281), 0, 1), 5, if(ISBLANK('2025'!$S281), 0, 1), 6, if(ISBLANK('2025'!$T281), 0, 1), 7, 0))), 1, "")</f>
        <v/>
      </c>
      <c r="AU283" s="1" t="str">
        <f>IF(AND(AND(AND(AU$4&gt;='2025'!$L281,AU$4&lt;='2025'!$M281), AU$4&lt;&gt;DATE(2025,7,4)), (SWITCH(weekday(AU$4), 1, 0, 2, if(ISBLANK('2025'!$P281), 0, 1), 3, if(ISBLANK('2025'!$Q281), 0, 1), 4, if(ISBLANK('2025'!$R281), 0, 1), 5, if(ISBLANK('2025'!$S281), 0, 1), 6, if(ISBLANK('2025'!$T281), 0, 1), 7, 0))), 1, "")</f>
        <v/>
      </c>
      <c r="AV283" s="1" t="str">
        <f>IF(AND(AND(AND(AV$4&gt;='2025'!$L281,AV$4&lt;='2025'!$M281), AV$4&lt;&gt;DATE(2025,7,4)), (SWITCH(weekday(AV$4), 1, 0, 2, if(ISBLANK('2025'!$P281), 0, 1), 3, if(ISBLANK('2025'!$Q281), 0, 1), 4, if(ISBLANK('2025'!$R281), 0, 1), 5, if(ISBLANK('2025'!$S281), 0, 1), 6, if(ISBLANK('2025'!$T281), 0, 1), 7, 0))), 1, "")</f>
        <v/>
      </c>
      <c r="AW283" s="1" t="str">
        <f>IF(AND(AND(AND(AW$4&gt;='2025'!$L281,AW$4&lt;='2025'!$M281), AW$4&lt;&gt;DATE(2025,7,4)), (SWITCH(weekday(AW$4), 1, 0, 2, if(ISBLANK('2025'!$P281), 0, 1), 3, if(ISBLANK('2025'!$Q281), 0, 1), 4, if(ISBLANK('2025'!$R281), 0, 1), 5, if(ISBLANK('2025'!$S281), 0, 1), 6, if(ISBLANK('2025'!$T281), 0, 1), 7, 0))), 1, "")</f>
        <v/>
      </c>
      <c r="AX283" s="1" t="str">
        <f>IF(AND(AND(AND(AX$4&gt;='2025'!$L281,AX$4&lt;='2025'!$M281), AX$4&lt;&gt;DATE(2025,7,4)), (SWITCH(weekday(AX$4), 1, 0, 2, if(ISBLANK('2025'!$P281), 0, 1), 3, if(ISBLANK('2025'!$Q281), 0, 1), 4, if(ISBLANK('2025'!$R281), 0, 1), 5, if(ISBLANK('2025'!$S281), 0, 1), 6, if(ISBLANK('2025'!$T281), 0, 1), 7, 0))), 1, "")</f>
        <v/>
      </c>
      <c r="AY283" s="1" t="str">
        <f>IF(AND(AND(AND(AY$4&gt;='2025'!$L281,AY$4&lt;='2025'!$M281), AY$4&lt;&gt;DATE(2025,7,4)), (SWITCH(weekday(AY$4), 1, 0, 2, if(ISBLANK('2025'!$P281), 0, 1), 3, if(ISBLANK('2025'!$Q281), 0, 1), 4, if(ISBLANK('2025'!$R281), 0, 1), 5, if(ISBLANK('2025'!$S281), 0, 1), 6, if(ISBLANK('2025'!$T281), 0, 1), 7, 0))), 1, "")</f>
        <v/>
      </c>
      <c r="AZ283" s="1" t="str">
        <f>IF(AND(AND(AND(AZ$4&gt;='2025'!$L281,AZ$4&lt;='2025'!$M281), AZ$4&lt;&gt;DATE(2025,7,4)), (SWITCH(weekday(AZ$4), 1, 0, 2, if(ISBLANK('2025'!$P281), 0, 1), 3, if(ISBLANK('2025'!$Q281), 0, 1), 4, if(ISBLANK('2025'!$R281), 0, 1), 5, if(ISBLANK('2025'!$S281), 0, 1), 6, if(ISBLANK('2025'!$T281), 0, 1), 7, 0))), 1, "")</f>
        <v/>
      </c>
      <c r="BA283" s="1" t="str">
        <f>IF(AND(AND(AND(BA$4&gt;='2025'!$L281,BA$4&lt;='2025'!$M281), BA$4&lt;&gt;DATE(2025,7,4)), (SWITCH(weekday(BA$4), 1, 0, 2, if(ISBLANK('2025'!$P281), 0, 1), 3, if(ISBLANK('2025'!$Q281), 0, 1), 4, if(ISBLANK('2025'!$R281), 0, 1), 5, if(ISBLANK('2025'!$S281), 0, 1), 6, if(ISBLANK('2025'!$T281), 0, 1), 7, 0))), 1, "")</f>
        <v/>
      </c>
      <c r="BB283" s="1" t="str">
        <f>IF(AND(AND(AND(BB$4&gt;='2025'!$L281,BB$4&lt;='2025'!$M281), BB$4&lt;&gt;DATE(2025,7,4)), (SWITCH(weekday(BB$4), 1, 0, 2, if(ISBLANK('2025'!$P281), 0, 1), 3, if(ISBLANK('2025'!$Q281), 0, 1), 4, if(ISBLANK('2025'!$R281), 0, 1), 5, if(ISBLANK('2025'!$S281), 0, 1), 6, if(ISBLANK('2025'!$T281), 0, 1), 7, 0))), 1, "")</f>
        <v/>
      </c>
      <c r="BC283" s="1" t="str">
        <f>IF(AND(AND(AND(BC$4&gt;='2025'!$L281,BC$4&lt;='2025'!$M281), BC$4&lt;&gt;DATE(2025,7,4)), (SWITCH(weekday(BC$4), 1, 0, 2, if(ISBLANK('2025'!$P281), 0, 1), 3, if(ISBLANK('2025'!$Q281), 0, 1), 4, if(ISBLANK('2025'!$R281), 0, 1), 5, if(ISBLANK('2025'!$S281), 0, 1), 6, if(ISBLANK('2025'!$T281), 0, 1), 7, 0))), 1, "")</f>
        <v/>
      </c>
      <c r="BD283" s="1" t="str">
        <f>IF(AND(AND(AND(BD$4&gt;='2025'!$L281,BD$4&lt;='2025'!$M281), BD$4&lt;&gt;DATE(2025,7,4)), (SWITCH(weekday(BD$4), 1, 0, 2, if(ISBLANK('2025'!$P281), 0, 1), 3, if(ISBLANK('2025'!$Q281), 0, 1), 4, if(ISBLANK('2025'!$R281), 0, 1), 5, if(ISBLANK('2025'!$S281), 0, 1), 6, if(ISBLANK('2025'!$T281), 0, 1), 7, 0))), 1, "")</f>
        <v/>
      </c>
      <c r="BE283" s="1" t="str">
        <f>IF(AND(AND(AND(BE$4&gt;='2025'!$L281,BE$4&lt;='2025'!$M281), BE$4&lt;&gt;DATE(2025,7,4)), (SWITCH(weekday(BE$4), 1, 0, 2, if(ISBLANK('2025'!$P281), 0, 1), 3, if(ISBLANK('2025'!$Q281), 0, 1), 4, if(ISBLANK('2025'!$R281), 0, 1), 5, if(ISBLANK('2025'!$S281), 0, 1), 6, if(ISBLANK('2025'!$T281), 0, 1), 7, 0))), 1, "")</f>
        <v/>
      </c>
      <c r="BF283" s="1" t="str">
        <f>IF(AND(AND(AND(BF$4&gt;='2025'!$L281,BF$4&lt;='2025'!$M281), BF$4&lt;&gt;DATE(2025,7,4)), (SWITCH(weekday(BF$4), 1, 0, 2, if(ISBLANK('2025'!$P281), 0, 1), 3, if(ISBLANK('2025'!$Q281), 0, 1), 4, if(ISBLANK('2025'!$R281), 0, 1), 5, if(ISBLANK('2025'!$S281), 0, 1), 6, if(ISBLANK('2025'!$T281), 0, 1), 7, 0))), 1, "")</f>
        <v/>
      </c>
      <c r="BG283" s="1"/>
      <c r="BH283" s="1"/>
      <c r="BI283" s="1"/>
      <c r="BJ283" s="1"/>
      <c r="BK283" s="1"/>
      <c r="BL283" s="1"/>
    </row>
    <row r="284">
      <c r="A284" s="1">
        <f t="shared" si="3"/>
        <v>284</v>
      </c>
      <c r="B284" s="1" t="str">
        <f>'2025'!D248</f>
        <v>, </v>
      </c>
      <c r="C284" s="1" t="str">
        <f>'2025'!H248</f>
        <v/>
      </c>
      <c r="D284" s="1" t="str">
        <f>IF(AND(AND(AND(D$4&gt;='2025'!$L282,D$4&lt;='2025'!$M282), D$4&lt;&gt;DATE(2025,7,4)), (SWITCH(weekday(D$4), 1, 0, 2, if(ISBLANK('2025'!$P282), 0, 1), 3, if(ISBLANK('2025'!$Q282), 0, 1), 4, if(ISBLANK('2025'!$R282), 0, 1), 5, if(ISBLANK('2025'!$S282), 0, 1), 6, if(ISBLANK('2025'!$T282), 0, 1), 7, 0))), 1, "")</f>
        <v/>
      </c>
      <c r="E284" s="1" t="str">
        <f>IF(AND(AND(AND(E$4&gt;='2025'!$L282,E$4&lt;='2025'!$M282), E$4&lt;&gt;DATE(2025,7,4)), (SWITCH(weekday(E$4), 1, 0, 2, if(ISBLANK('2025'!$P282), 0, 1), 3, if(ISBLANK('2025'!$Q282), 0, 1), 4, if(ISBLANK('2025'!$R282), 0, 1), 5, if(ISBLANK('2025'!$S282), 0, 1), 6, if(ISBLANK('2025'!$T282), 0, 1), 7, 0))), 1, "")</f>
        <v/>
      </c>
      <c r="F284" s="1" t="str">
        <f>IF(AND(AND(AND(F$4&gt;='2025'!$L282,F$4&lt;='2025'!$M282), F$4&lt;&gt;DATE(2025,7,4)), (SWITCH(weekday(F$4), 1, 0, 2, if(ISBLANK('2025'!$P282), 0, 1), 3, if(ISBLANK('2025'!$Q282), 0, 1), 4, if(ISBLANK('2025'!$R282), 0, 1), 5, if(ISBLANK('2025'!$S282), 0, 1), 6, if(ISBLANK('2025'!$T282), 0, 1), 7, 0))), 1, "")</f>
        <v/>
      </c>
      <c r="G284" s="1" t="str">
        <f>IF(AND(AND(AND(G$4&gt;='2025'!$L282,G$4&lt;='2025'!$M282), G$4&lt;&gt;DATE(2025,7,4)), (SWITCH(weekday(G$4), 1, 0, 2, if(ISBLANK('2025'!$P282), 0, 1), 3, if(ISBLANK('2025'!$Q282), 0, 1), 4, if(ISBLANK('2025'!$R282), 0, 1), 5, if(ISBLANK('2025'!$S282), 0, 1), 6, if(ISBLANK('2025'!$T282), 0, 1), 7, 0))), 1, "")</f>
        <v/>
      </c>
      <c r="H284" s="1" t="str">
        <f>IF(AND(AND(AND(H$4&gt;='2025'!$L282,H$4&lt;='2025'!$M282), H$4&lt;&gt;DATE(2025,7,4)), (SWITCH(weekday(H$4), 1, 0, 2, if(ISBLANK('2025'!$P282), 0, 1), 3, if(ISBLANK('2025'!$Q282), 0, 1), 4, if(ISBLANK('2025'!$R282), 0, 1), 5, if(ISBLANK('2025'!$S282), 0, 1), 6, if(ISBLANK('2025'!$T282), 0, 1), 7, 0))), 1, "")</f>
        <v/>
      </c>
      <c r="I284" s="1" t="str">
        <f>IF(AND(AND(AND(I$4&gt;='2025'!$L282,I$4&lt;='2025'!$M282), I$4&lt;&gt;DATE(2025,7,4)), (SWITCH(weekday(I$4), 1, 0, 2, if(ISBLANK('2025'!$P282), 0, 1), 3, if(ISBLANK('2025'!$Q282), 0, 1), 4, if(ISBLANK('2025'!$R282), 0, 1), 5, if(ISBLANK('2025'!$S282), 0, 1), 6, if(ISBLANK('2025'!$T282), 0, 1), 7, 0))), 1, "")</f>
        <v/>
      </c>
      <c r="J284" s="1" t="str">
        <f>IF(AND(AND(AND(J$4&gt;='2025'!$L282,J$4&lt;='2025'!$M282), J$4&lt;&gt;DATE(2025,7,4)), (SWITCH(weekday(J$4), 1, 0, 2, if(ISBLANK('2025'!$P282), 0, 1), 3, if(ISBLANK('2025'!$Q282), 0, 1), 4, if(ISBLANK('2025'!$R282), 0, 1), 5, if(ISBLANK('2025'!$S282), 0, 1), 6, if(ISBLANK('2025'!$T282), 0, 1), 7, 0))), 1, "")</f>
        <v/>
      </c>
      <c r="K284" s="1" t="str">
        <f>IF(AND(AND(AND(K$4&gt;='2025'!$L282,K$4&lt;='2025'!$M282), K$4&lt;&gt;DATE(2025,7,4)), (SWITCH(weekday(K$4), 1, 0, 2, if(ISBLANK('2025'!$P282), 0, 1), 3, if(ISBLANK('2025'!$Q282), 0, 1), 4, if(ISBLANK('2025'!$R282), 0, 1), 5, if(ISBLANK('2025'!$S282), 0, 1), 6, if(ISBLANK('2025'!$T282), 0, 1), 7, 0))), 1, "")</f>
        <v/>
      </c>
      <c r="L284" s="1" t="str">
        <f>IF(AND(AND(AND(L$4&gt;='2025'!$L282,L$4&lt;='2025'!$M282), L$4&lt;&gt;DATE(2025,7,4)), (SWITCH(weekday(L$4), 1, 0, 2, if(ISBLANK('2025'!$P282), 0, 1), 3, if(ISBLANK('2025'!$Q282), 0, 1), 4, if(ISBLANK('2025'!$R282), 0, 1), 5, if(ISBLANK('2025'!$S282), 0, 1), 6, if(ISBLANK('2025'!$T282), 0, 1), 7, 0))), 1, "")</f>
        <v/>
      </c>
      <c r="M284" s="1" t="str">
        <f>IF(AND(AND(AND(M$4&gt;='2025'!$L282,M$4&lt;='2025'!$M282), M$4&lt;&gt;DATE(2025,7,4)), (SWITCH(weekday(M$4), 1, 0, 2, if(ISBLANK('2025'!$P282), 0, 1), 3, if(ISBLANK('2025'!$Q282), 0, 1), 4, if(ISBLANK('2025'!$R282), 0, 1), 5, if(ISBLANK('2025'!$S282), 0, 1), 6, if(ISBLANK('2025'!$T282), 0, 1), 7, 0))), 1, "")</f>
        <v/>
      </c>
      <c r="N284" s="1" t="str">
        <f>IF(AND(AND(AND(N$4&gt;='2025'!$L282,N$4&lt;='2025'!$M282), N$4&lt;&gt;DATE(2025,7,4)), (SWITCH(weekday(N$4), 1, 0, 2, if(ISBLANK('2025'!$P282), 0, 1), 3, if(ISBLANK('2025'!$Q282), 0, 1), 4, if(ISBLANK('2025'!$R282), 0, 1), 5, if(ISBLANK('2025'!$S282), 0, 1), 6, if(ISBLANK('2025'!$T282), 0, 1), 7, 0))), 1, "")</f>
        <v/>
      </c>
      <c r="O284" s="1" t="str">
        <f>IF(AND(AND(AND(O$4&gt;='2025'!$L282,O$4&lt;='2025'!$M282), O$4&lt;&gt;DATE(2025,7,4)), (SWITCH(weekday(O$4), 1, 0, 2, if(ISBLANK('2025'!$P282), 0, 1), 3, if(ISBLANK('2025'!$Q282), 0, 1), 4, if(ISBLANK('2025'!$R282), 0, 1), 5, if(ISBLANK('2025'!$S282), 0, 1), 6, if(ISBLANK('2025'!$T282), 0, 1), 7, 0))), 1, "")</f>
        <v/>
      </c>
      <c r="P284" s="1" t="str">
        <f>IF(AND(AND(AND(P$4&gt;='2025'!$L282,P$4&lt;='2025'!$M282), P$4&lt;&gt;DATE(2025,7,4)), (SWITCH(weekday(P$4), 1, 0, 2, if(ISBLANK('2025'!$P282), 0, 1), 3, if(ISBLANK('2025'!$Q282), 0, 1), 4, if(ISBLANK('2025'!$R282), 0, 1), 5, if(ISBLANK('2025'!$S282), 0, 1), 6, if(ISBLANK('2025'!$T282), 0, 1), 7, 0))), 1, "")</f>
        <v/>
      </c>
      <c r="Q284" s="1" t="str">
        <f>IF(AND(AND(AND(Q$4&gt;='2025'!$L282,Q$4&lt;='2025'!$M282), Q$4&lt;&gt;DATE(2025,7,4)), (SWITCH(weekday(Q$4), 1, 0, 2, if(ISBLANK('2025'!$P282), 0, 1), 3, if(ISBLANK('2025'!$Q282), 0, 1), 4, if(ISBLANK('2025'!$R282), 0, 1), 5, if(ISBLANK('2025'!$S282), 0, 1), 6, if(ISBLANK('2025'!$T282), 0, 1), 7, 0))), 1, "")</f>
        <v/>
      </c>
      <c r="R284" s="1" t="str">
        <f>IF(AND(AND(AND(R$4&gt;='2025'!$L282,R$4&lt;='2025'!$M282), R$4&lt;&gt;DATE(2025,7,4)), (SWITCH(weekday(R$4), 1, 0, 2, if(ISBLANK('2025'!$P282), 0, 1), 3, if(ISBLANK('2025'!$Q282), 0, 1), 4, if(ISBLANK('2025'!$R282), 0, 1), 5, if(ISBLANK('2025'!$S282), 0, 1), 6, if(ISBLANK('2025'!$T282), 0, 1), 7, 0))), 1, "")</f>
        <v/>
      </c>
      <c r="S284" s="1" t="str">
        <f>IF(AND(AND(AND(S$4&gt;='2025'!$L282,S$4&lt;='2025'!$M282), S$4&lt;&gt;DATE(2025,7,4)), (SWITCH(weekday(S$4), 1, 0, 2, if(ISBLANK('2025'!$P282), 0, 1), 3, if(ISBLANK('2025'!$Q282), 0, 1), 4, if(ISBLANK('2025'!$R282), 0, 1), 5, if(ISBLANK('2025'!$S282), 0, 1), 6, if(ISBLANK('2025'!$T282), 0, 1), 7, 0))), 1, "")</f>
        <v/>
      </c>
      <c r="T284" s="1" t="str">
        <f>IF(AND(AND(AND(T$4&gt;='2025'!$L282,T$4&lt;='2025'!$M282), T$4&lt;&gt;DATE(2025,7,4)), (SWITCH(weekday(T$4), 1, 0, 2, if(ISBLANK('2025'!$P282), 0, 1), 3, if(ISBLANK('2025'!$Q282), 0, 1), 4, if(ISBLANK('2025'!$R282), 0, 1), 5, if(ISBLANK('2025'!$S282), 0, 1), 6, if(ISBLANK('2025'!$T282), 0, 1), 7, 0))), 1, "")</f>
        <v/>
      </c>
      <c r="U284" s="1" t="str">
        <f>IF(AND(AND(AND(U$4&gt;='2025'!$L282,U$4&lt;='2025'!$M282), U$4&lt;&gt;DATE(2025,7,4)), (SWITCH(weekday(U$4), 1, 0, 2, if(ISBLANK('2025'!$P282), 0, 1), 3, if(ISBLANK('2025'!$Q282), 0, 1), 4, if(ISBLANK('2025'!$R282), 0, 1), 5, if(ISBLANK('2025'!$S282), 0, 1), 6, if(ISBLANK('2025'!$T282), 0, 1), 7, 0))), 1, "")</f>
        <v/>
      </c>
      <c r="V284" s="1" t="str">
        <f>IF(AND(AND(AND(V$4&gt;='2025'!$L282,V$4&lt;='2025'!$M282), V$4&lt;&gt;DATE(2025,7,4)), (SWITCH(weekday(V$4), 1, 0, 2, if(ISBLANK('2025'!$P282), 0, 1), 3, if(ISBLANK('2025'!$Q282), 0, 1), 4, if(ISBLANK('2025'!$R282), 0, 1), 5, if(ISBLANK('2025'!$S282), 0, 1), 6, if(ISBLANK('2025'!$T282), 0, 1), 7, 0))), 1, "")</f>
        <v/>
      </c>
      <c r="W284" s="1" t="str">
        <f>IF(AND(AND(AND(W$4&gt;='2025'!$L282,W$4&lt;='2025'!$M282), W$4&lt;&gt;DATE(2025,7,4)), (SWITCH(weekday(W$4), 1, 0, 2, if(ISBLANK('2025'!$P282), 0, 1), 3, if(ISBLANK('2025'!$Q282), 0, 1), 4, if(ISBLANK('2025'!$R282), 0, 1), 5, if(ISBLANK('2025'!$S282), 0, 1), 6, if(ISBLANK('2025'!$T282), 0, 1), 7, 0))), 1, "")</f>
        <v/>
      </c>
      <c r="X284" s="1" t="str">
        <f>IF(AND(AND(AND(X$4&gt;='2025'!$L282,X$4&lt;='2025'!$M282), X$4&lt;&gt;DATE(2025,7,4)), (SWITCH(weekday(X$4), 1, 0, 2, if(ISBLANK('2025'!$P282), 0, 1), 3, if(ISBLANK('2025'!$Q282), 0, 1), 4, if(ISBLANK('2025'!$R282), 0, 1), 5, if(ISBLANK('2025'!$S282), 0, 1), 6, if(ISBLANK('2025'!$T282), 0, 1), 7, 0))), 1, "")</f>
        <v/>
      </c>
      <c r="Y284" s="1" t="str">
        <f>IF(AND(AND(AND(Y$4&gt;='2025'!$L282,Y$4&lt;='2025'!$M282), Y$4&lt;&gt;DATE(2025,7,4)), (SWITCH(weekday(Y$4), 1, 0, 2, if(ISBLANK('2025'!$P282), 0, 1), 3, if(ISBLANK('2025'!$Q282), 0, 1), 4, if(ISBLANK('2025'!$R282), 0, 1), 5, if(ISBLANK('2025'!$S282), 0, 1), 6, if(ISBLANK('2025'!$T282), 0, 1), 7, 0))), 1, "")</f>
        <v/>
      </c>
      <c r="Z284" s="1" t="str">
        <f>IF(AND(AND(AND(Z$4&gt;='2025'!$L282,Z$4&lt;='2025'!$M282), Z$4&lt;&gt;DATE(2025,7,4)), (SWITCH(weekday(Z$4), 1, 0, 2, if(ISBLANK('2025'!$P282), 0, 1), 3, if(ISBLANK('2025'!$Q282), 0, 1), 4, if(ISBLANK('2025'!$R282), 0, 1), 5, if(ISBLANK('2025'!$S282), 0, 1), 6, if(ISBLANK('2025'!$T282), 0, 1), 7, 0))), 1, "")</f>
        <v/>
      </c>
      <c r="AA284" s="1" t="str">
        <f>IF(AND(AND(AND(AA$4&gt;='2025'!$L282,AA$4&lt;='2025'!$M282), AA$4&lt;&gt;DATE(2025,7,4)), (SWITCH(weekday(AA$4), 1, 0, 2, if(ISBLANK('2025'!$P282), 0, 1), 3, if(ISBLANK('2025'!$Q282), 0, 1), 4, if(ISBLANK('2025'!$R282), 0, 1), 5, if(ISBLANK('2025'!$S282), 0, 1), 6, if(ISBLANK('2025'!$T282), 0, 1), 7, 0))), 1, "")</f>
        <v/>
      </c>
      <c r="AB284" s="1" t="str">
        <f>IF(AND(AND(AND(AB$4&gt;='2025'!$L282,AB$4&lt;='2025'!$M282), AB$4&lt;&gt;DATE(2025,7,4)), (SWITCH(weekday(AB$4), 1, 0, 2, if(ISBLANK('2025'!$P282), 0, 1), 3, if(ISBLANK('2025'!$Q282), 0, 1), 4, if(ISBLANK('2025'!$R282), 0, 1), 5, if(ISBLANK('2025'!$S282), 0, 1), 6, if(ISBLANK('2025'!$T282), 0, 1), 7, 0))), 1, "")</f>
        <v/>
      </c>
      <c r="AC284" s="1" t="str">
        <f>IF(AND(AND(AND(AC$4&gt;='2025'!$L282,AC$4&lt;='2025'!$M282), AC$4&lt;&gt;DATE(2025,7,4)), (SWITCH(weekday(AC$4), 1, 0, 2, if(ISBLANK('2025'!$P282), 0, 1), 3, if(ISBLANK('2025'!$Q282), 0, 1), 4, if(ISBLANK('2025'!$R282), 0, 1), 5, if(ISBLANK('2025'!$S282), 0, 1), 6, if(ISBLANK('2025'!$T282), 0, 1), 7, 0))), 1, "")</f>
        <v/>
      </c>
      <c r="AD284" s="1" t="str">
        <f>IF(AND(AND(AND(AD$4&gt;='2025'!$L282,AD$4&lt;='2025'!$M282), AD$4&lt;&gt;DATE(2025,7,4)), (SWITCH(weekday(AD$4), 1, 0, 2, if(ISBLANK('2025'!$P282), 0, 1), 3, if(ISBLANK('2025'!$Q282), 0, 1), 4, if(ISBLANK('2025'!$R282), 0, 1), 5, if(ISBLANK('2025'!$S282), 0, 1), 6, if(ISBLANK('2025'!$T282), 0, 1), 7, 0))), 1, "")</f>
        <v/>
      </c>
      <c r="AE284" s="1" t="str">
        <f>IF(AND(AND(AND(AE$4&gt;='2025'!$L282,AE$4&lt;='2025'!$M282), AE$4&lt;&gt;DATE(2025,7,4)), (SWITCH(weekday(AE$4), 1, 0, 2, if(ISBLANK('2025'!$P282), 0, 1), 3, if(ISBLANK('2025'!$Q282), 0, 1), 4, if(ISBLANK('2025'!$R282), 0, 1), 5, if(ISBLANK('2025'!$S282), 0, 1), 6, if(ISBLANK('2025'!$T282), 0, 1), 7, 0))), 1, "")</f>
        <v/>
      </c>
      <c r="AF284" s="1" t="str">
        <f>IF(AND(AND(AND(AF$4&gt;='2025'!$L282,AF$4&lt;='2025'!$M282), AF$4&lt;&gt;DATE(2025,7,4)), (SWITCH(weekday(AF$4), 1, 0, 2, if(ISBLANK('2025'!$P282), 0, 1), 3, if(ISBLANK('2025'!$Q282), 0, 1), 4, if(ISBLANK('2025'!$R282), 0, 1), 5, if(ISBLANK('2025'!$S282), 0, 1), 6, if(ISBLANK('2025'!$T282), 0, 1), 7, 0))), 1, "")</f>
        <v/>
      </c>
      <c r="AG284" s="1" t="str">
        <f>IF(AND(AND(AND(AG$4&gt;='2025'!$L282,AG$4&lt;='2025'!$M282), AG$4&lt;&gt;DATE(2025,7,4)), (SWITCH(weekday(AG$4), 1, 0, 2, if(ISBLANK('2025'!$P282), 0, 1), 3, if(ISBLANK('2025'!$Q282), 0, 1), 4, if(ISBLANK('2025'!$R282), 0, 1), 5, if(ISBLANK('2025'!$S282), 0, 1), 6, if(ISBLANK('2025'!$T282), 0, 1), 7, 0))), 1, "")</f>
        <v/>
      </c>
      <c r="AH284" s="1" t="str">
        <f>IF(AND(AND(AND(AH$4&gt;='2025'!$L282,AH$4&lt;='2025'!$M282), AH$4&lt;&gt;DATE(2025,7,4)), (SWITCH(weekday(AH$4), 1, 0, 2, if(ISBLANK('2025'!$P282), 0, 1), 3, if(ISBLANK('2025'!$Q282), 0, 1), 4, if(ISBLANK('2025'!$R282), 0, 1), 5, if(ISBLANK('2025'!$S282), 0, 1), 6, if(ISBLANK('2025'!$T282), 0, 1), 7, 0))), 1, "")</f>
        <v/>
      </c>
      <c r="AI284" s="1" t="str">
        <f>IF(AND(AND(AND(AI$4&gt;='2025'!$L282,AI$4&lt;='2025'!$M282), AI$4&lt;&gt;DATE(2025,7,4)), (SWITCH(weekday(AI$4), 1, 0, 2, if(ISBLANK('2025'!$P282), 0, 1), 3, if(ISBLANK('2025'!$Q282), 0, 1), 4, if(ISBLANK('2025'!$R282), 0, 1), 5, if(ISBLANK('2025'!$S282), 0, 1), 6, if(ISBLANK('2025'!$T282), 0, 1), 7, 0))), 1, "")</f>
        <v/>
      </c>
      <c r="AJ284" s="1" t="str">
        <f>IF(AND(AND(AND(AJ$4&gt;='2025'!$L282,AJ$4&lt;='2025'!$M282), AJ$4&lt;&gt;DATE(2025,7,4)), (SWITCH(weekday(AJ$4), 1, 0, 2, if(ISBLANK('2025'!$P282), 0, 1), 3, if(ISBLANK('2025'!$Q282), 0, 1), 4, if(ISBLANK('2025'!$R282), 0, 1), 5, if(ISBLANK('2025'!$S282), 0, 1), 6, if(ISBLANK('2025'!$T282), 0, 1), 7, 0))), 1, "")</f>
        <v/>
      </c>
      <c r="AK284" s="1" t="str">
        <f>IF(AND(AND(AND(AK$4&gt;='2025'!$L282,AK$4&lt;='2025'!$M282), AK$4&lt;&gt;DATE(2025,7,4)), (SWITCH(weekday(AK$4), 1, 0, 2, if(ISBLANK('2025'!$P282), 0, 1), 3, if(ISBLANK('2025'!$Q282), 0, 1), 4, if(ISBLANK('2025'!$R282), 0, 1), 5, if(ISBLANK('2025'!$S282), 0, 1), 6, if(ISBLANK('2025'!$T282), 0, 1), 7, 0))), 1, "")</f>
        <v/>
      </c>
      <c r="AL284" s="1" t="str">
        <f>IF(AND(AND(AND(AL$4&gt;='2025'!$L282,AL$4&lt;='2025'!$M282), AL$4&lt;&gt;DATE(2025,7,4)), (SWITCH(weekday(AL$4), 1, 0, 2, if(ISBLANK('2025'!$P282), 0, 1), 3, if(ISBLANK('2025'!$Q282), 0, 1), 4, if(ISBLANK('2025'!$R282), 0, 1), 5, if(ISBLANK('2025'!$S282), 0, 1), 6, if(ISBLANK('2025'!$T282), 0, 1), 7, 0))), 1, "")</f>
        <v/>
      </c>
      <c r="AM284" s="1" t="str">
        <f>IF(AND(AND(AND(AM$4&gt;='2025'!$L282,AM$4&lt;='2025'!$M282), AM$4&lt;&gt;DATE(2025,7,4)), (SWITCH(weekday(AM$4), 1, 0, 2, if(ISBLANK('2025'!$P282), 0, 1), 3, if(ISBLANK('2025'!$Q282), 0, 1), 4, if(ISBLANK('2025'!$R282), 0, 1), 5, if(ISBLANK('2025'!$S282), 0, 1), 6, if(ISBLANK('2025'!$T282), 0, 1), 7, 0))), 1, "")</f>
        <v/>
      </c>
      <c r="AN284" s="1" t="str">
        <f>IF(AND(AND(AND(AN$4&gt;='2025'!$L282,AN$4&lt;='2025'!$M282), AN$4&lt;&gt;DATE(2025,7,4)), (SWITCH(weekday(AN$4), 1, 0, 2, if(ISBLANK('2025'!$P282), 0, 1), 3, if(ISBLANK('2025'!$Q282), 0, 1), 4, if(ISBLANK('2025'!$R282), 0, 1), 5, if(ISBLANK('2025'!$S282), 0, 1), 6, if(ISBLANK('2025'!$T282), 0, 1), 7, 0))), 1, "")</f>
        <v/>
      </c>
      <c r="AO284" s="1" t="str">
        <f>IF(AND(AND(AND(AO$4&gt;='2025'!$L282,AO$4&lt;='2025'!$M282), AO$4&lt;&gt;DATE(2025,7,4)), (SWITCH(weekday(AO$4), 1, 0, 2, if(ISBLANK('2025'!$P282), 0, 1), 3, if(ISBLANK('2025'!$Q282), 0, 1), 4, if(ISBLANK('2025'!$R282), 0, 1), 5, if(ISBLANK('2025'!$S282), 0, 1), 6, if(ISBLANK('2025'!$T282), 0, 1), 7, 0))), 1, "")</f>
        <v/>
      </c>
      <c r="AP284" s="1" t="str">
        <f>IF(AND(AND(AND(AP$4&gt;='2025'!$L282,AP$4&lt;='2025'!$M282), AP$4&lt;&gt;DATE(2025,7,4)), (SWITCH(weekday(AP$4), 1, 0, 2, if(ISBLANK('2025'!$P282), 0, 1), 3, if(ISBLANK('2025'!$Q282), 0, 1), 4, if(ISBLANK('2025'!$R282), 0, 1), 5, if(ISBLANK('2025'!$S282), 0, 1), 6, if(ISBLANK('2025'!$T282), 0, 1), 7, 0))), 1, "")</f>
        <v/>
      </c>
      <c r="AQ284" s="1" t="str">
        <f>IF(AND(AND(AND(AQ$4&gt;='2025'!$L282,AQ$4&lt;='2025'!$M282), AQ$4&lt;&gt;DATE(2025,7,4)), (SWITCH(weekday(AQ$4), 1, 0, 2, if(ISBLANK('2025'!$P282), 0, 1), 3, if(ISBLANK('2025'!$Q282), 0, 1), 4, if(ISBLANK('2025'!$R282), 0, 1), 5, if(ISBLANK('2025'!$S282), 0, 1), 6, if(ISBLANK('2025'!$T282), 0, 1), 7, 0))), 1, "")</f>
        <v/>
      </c>
      <c r="AR284" s="1" t="str">
        <f>IF(AND(AND(AND(AR$4&gt;='2025'!$L282,AR$4&lt;='2025'!$M282), AR$4&lt;&gt;DATE(2025,7,4)), (SWITCH(weekday(AR$4), 1, 0, 2, if(ISBLANK('2025'!$P282), 0, 1), 3, if(ISBLANK('2025'!$Q282), 0, 1), 4, if(ISBLANK('2025'!$R282), 0, 1), 5, if(ISBLANK('2025'!$S282), 0, 1), 6, if(ISBLANK('2025'!$T282), 0, 1), 7, 0))), 1, "")</f>
        <v/>
      </c>
      <c r="AS284" s="1" t="str">
        <f>IF(AND(AND(AND(AS$4&gt;='2025'!$L282,AS$4&lt;='2025'!$M282), AS$4&lt;&gt;DATE(2025,7,4)), (SWITCH(weekday(AS$4), 1, 0, 2, if(ISBLANK('2025'!$P282), 0, 1), 3, if(ISBLANK('2025'!$Q282), 0, 1), 4, if(ISBLANK('2025'!$R282), 0, 1), 5, if(ISBLANK('2025'!$S282), 0, 1), 6, if(ISBLANK('2025'!$T282), 0, 1), 7, 0))), 1, "")</f>
        <v/>
      </c>
      <c r="AT284" s="1" t="str">
        <f>IF(AND(AND(AND(AT$4&gt;='2025'!$L282,AT$4&lt;='2025'!$M282), AT$4&lt;&gt;DATE(2025,7,4)), (SWITCH(weekday(AT$4), 1, 0, 2, if(ISBLANK('2025'!$P282), 0, 1), 3, if(ISBLANK('2025'!$Q282), 0, 1), 4, if(ISBLANK('2025'!$R282), 0, 1), 5, if(ISBLANK('2025'!$S282), 0, 1), 6, if(ISBLANK('2025'!$T282), 0, 1), 7, 0))), 1, "")</f>
        <v/>
      </c>
      <c r="AU284" s="1" t="str">
        <f>IF(AND(AND(AND(AU$4&gt;='2025'!$L282,AU$4&lt;='2025'!$M282), AU$4&lt;&gt;DATE(2025,7,4)), (SWITCH(weekday(AU$4), 1, 0, 2, if(ISBLANK('2025'!$P282), 0, 1), 3, if(ISBLANK('2025'!$Q282), 0, 1), 4, if(ISBLANK('2025'!$R282), 0, 1), 5, if(ISBLANK('2025'!$S282), 0, 1), 6, if(ISBLANK('2025'!$T282), 0, 1), 7, 0))), 1, "")</f>
        <v/>
      </c>
      <c r="AV284" s="1" t="str">
        <f>IF(AND(AND(AND(AV$4&gt;='2025'!$L282,AV$4&lt;='2025'!$M282), AV$4&lt;&gt;DATE(2025,7,4)), (SWITCH(weekday(AV$4), 1, 0, 2, if(ISBLANK('2025'!$P282), 0, 1), 3, if(ISBLANK('2025'!$Q282), 0, 1), 4, if(ISBLANK('2025'!$R282), 0, 1), 5, if(ISBLANK('2025'!$S282), 0, 1), 6, if(ISBLANK('2025'!$T282), 0, 1), 7, 0))), 1, "")</f>
        <v/>
      </c>
      <c r="AW284" s="1" t="str">
        <f>IF(AND(AND(AND(AW$4&gt;='2025'!$L282,AW$4&lt;='2025'!$M282), AW$4&lt;&gt;DATE(2025,7,4)), (SWITCH(weekday(AW$4), 1, 0, 2, if(ISBLANK('2025'!$P282), 0, 1), 3, if(ISBLANK('2025'!$Q282), 0, 1), 4, if(ISBLANK('2025'!$R282), 0, 1), 5, if(ISBLANK('2025'!$S282), 0, 1), 6, if(ISBLANK('2025'!$T282), 0, 1), 7, 0))), 1, "")</f>
        <v/>
      </c>
      <c r="AX284" s="1" t="str">
        <f>IF(AND(AND(AND(AX$4&gt;='2025'!$L282,AX$4&lt;='2025'!$M282), AX$4&lt;&gt;DATE(2025,7,4)), (SWITCH(weekday(AX$4), 1, 0, 2, if(ISBLANK('2025'!$P282), 0, 1), 3, if(ISBLANK('2025'!$Q282), 0, 1), 4, if(ISBLANK('2025'!$R282), 0, 1), 5, if(ISBLANK('2025'!$S282), 0, 1), 6, if(ISBLANK('2025'!$T282), 0, 1), 7, 0))), 1, "")</f>
        <v/>
      </c>
      <c r="AY284" s="1" t="str">
        <f>IF(AND(AND(AND(AY$4&gt;='2025'!$L282,AY$4&lt;='2025'!$M282), AY$4&lt;&gt;DATE(2025,7,4)), (SWITCH(weekday(AY$4), 1, 0, 2, if(ISBLANK('2025'!$P282), 0, 1), 3, if(ISBLANK('2025'!$Q282), 0, 1), 4, if(ISBLANK('2025'!$R282), 0, 1), 5, if(ISBLANK('2025'!$S282), 0, 1), 6, if(ISBLANK('2025'!$T282), 0, 1), 7, 0))), 1, "")</f>
        <v/>
      </c>
      <c r="AZ284" s="1" t="str">
        <f>IF(AND(AND(AND(AZ$4&gt;='2025'!$L282,AZ$4&lt;='2025'!$M282), AZ$4&lt;&gt;DATE(2025,7,4)), (SWITCH(weekday(AZ$4), 1, 0, 2, if(ISBLANK('2025'!$P282), 0, 1), 3, if(ISBLANK('2025'!$Q282), 0, 1), 4, if(ISBLANK('2025'!$R282), 0, 1), 5, if(ISBLANK('2025'!$S282), 0, 1), 6, if(ISBLANK('2025'!$T282), 0, 1), 7, 0))), 1, "")</f>
        <v/>
      </c>
      <c r="BA284" s="1" t="str">
        <f>IF(AND(AND(AND(BA$4&gt;='2025'!$L282,BA$4&lt;='2025'!$M282), BA$4&lt;&gt;DATE(2025,7,4)), (SWITCH(weekday(BA$4), 1, 0, 2, if(ISBLANK('2025'!$P282), 0, 1), 3, if(ISBLANK('2025'!$Q282), 0, 1), 4, if(ISBLANK('2025'!$R282), 0, 1), 5, if(ISBLANK('2025'!$S282), 0, 1), 6, if(ISBLANK('2025'!$T282), 0, 1), 7, 0))), 1, "")</f>
        <v/>
      </c>
      <c r="BB284" s="1" t="str">
        <f>IF(AND(AND(AND(BB$4&gt;='2025'!$L282,BB$4&lt;='2025'!$M282), BB$4&lt;&gt;DATE(2025,7,4)), (SWITCH(weekday(BB$4), 1, 0, 2, if(ISBLANK('2025'!$P282), 0, 1), 3, if(ISBLANK('2025'!$Q282), 0, 1), 4, if(ISBLANK('2025'!$R282), 0, 1), 5, if(ISBLANK('2025'!$S282), 0, 1), 6, if(ISBLANK('2025'!$T282), 0, 1), 7, 0))), 1, "")</f>
        <v/>
      </c>
      <c r="BC284" s="1" t="str">
        <f>IF(AND(AND(AND(BC$4&gt;='2025'!$L282,BC$4&lt;='2025'!$M282), BC$4&lt;&gt;DATE(2025,7,4)), (SWITCH(weekday(BC$4), 1, 0, 2, if(ISBLANK('2025'!$P282), 0, 1), 3, if(ISBLANK('2025'!$Q282), 0, 1), 4, if(ISBLANK('2025'!$R282), 0, 1), 5, if(ISBLANK('2025'!$S282), 0, 1), 6, if(ISBLANK('2025'!$T282), 0, 1), 7, 0))), 1, "")</f>
        <v/>
      </c>
      <c r="BD284" s="1" t="str">
        <f>IF(AND(AND(AND(BD$4&gt;='2025'!$L282,BD$4&lt;='2025'!$M282), BD$4&lt;&gt;DATE(2025,7,4)), (SWITCH(weekday(BD$4), 1, 0, 2, if(ISBLANK('2025'!$P282), 0, 1), 3, if(ISBLANK('2025'!$Q282), 0, 1), 4, if(ISBLANK('2025'!$R282), 0, 1), 5, if(ISBLANK('2025'!$S282), 0, 1), 6, if(ISBLANK('2025'!$T282), 0, 1), 7, 0))), 1, "")</f>
        <v/>
      </c>
      <c r="BE284" s="1" t="str">
        <f>IF(AND(AND(AND(BE$4&gt;='2025'!$L282,BE$4&lt;='2025'!$M282), BE$4&lt;&gt;DATE(2025,7,4)), (SWITCH(weekday(BE$4), 1, 0, 2, if(ISBLANK('2025'!$P282), 0, 1), 3, if(ISBLANK('2025'!$Q282), 0, 1), 4, if(ISBLANK('2025'!$R282), 0, 1), 5, if(ISBLANK('2025'!$S282), 0, 1), 6, if(ISBLANK('2025'!$T282), 0, 1), 7, 0))), 1, "")</f>
        <v/>
      </c>
      <c r="BF284" s="1" t="str">
        <f>IF(AND(AND(AND(BF$4&gt;='2025'!$L282,BF$4&lt;='2025'!$M282), BF$4&lt;&gt;DATE(2025,7,4)), (SWITCH(weekday(BF$4), 1, 0, 2, if(ISBLANK('2025'!$P282), 0, 1), 3, if(ISBLANK('2025'!$Q282), 0, 1), 4, if(ISBLANK('2025'!$R282), 0, 1), 5, if(ISBLANK('2025'!$S282), 0, 1), 6, if(ISBLANK('2025'!$T282), 0, 1), 7, 0))), 1, "")</f>
        <v/>
      </c>
      <c r="BG284" s="1"/>
      <c r="BH284" s="1"/>
      <c r="BI284" s="1"/>
      <c r="BJ284" s="1"/>
      <c r="BK284" s="1"/>
      <c r="BL284" s="1"/>
    </row>
    <row r="285">
      <c r="A285" s="1">
        <f t="shared" si="3"/>
        <v>285</v>
      </c>
      <c r="B285" s="1" t="str">
        <f>'2025'!D249</f>
        <v>, </v>
      </c>
      <c r="C285" s="1" t="str">
        <f>'2025'!H249</f>
        <v/>
      </c>
      <c r="D285" s="1" t="str">
        <f>IF(AND(AND(AND(D$4&gt;='2025'!$L283,D$4&lt;='2025'!$M283), D$4&lt;&gt;DATE(2025,7,4)), (SWITCH(weekday(D$4), 1, 0, 2, if(ISBLANK('2025'!$P283), 0, 1), 3, if(ISBLANK('2025'!$Q283), 0, 1), 4, if(ISBLANK('2025'!$R283), 0, 1), 5, if(ISBLANK('2025'!$S283), 0, 1), 6, if(ISBLANK('2025'!$T283), 0, 1), 7, 0))), 1, "")</f>
        <v/>
      </c>
      <c r="E285" s="1" t="str">
        <f>IF(AND(AND(AND(E$4&gt;='2025'!$L283,E$4&lt;='2025'!$M283), E$4&lt;&gt;DATE(2025,7,4)), (SWITCH(weekday(E$4), 1, 0, 2, if(ISBLANK('2025'!$P283), 0, 1), 3, if(ISBLANK('2025'!$Q283), 0, 1), 4, if(ISBLANK('2025'!$R283), 0, 1), 5, if(ISBLANK('2025'!$S283), 0, 1), 6, if(ISBLANK('2025'!$T283), 0, 1), 7, 0))), 1, "")</f>
        <v/>
      </c>
      <c r="F285" s="1" t="str">
        <f>IF(AND(AND(AND(F$4&gt;='2025'!$L283,F$4&lt;='2025'!$M283), F$4&lt;&gt;DATE(2025,7,4)), (SWITCH(weekday(F$4), 1, 0, 2, if(ISBLANK('2025'!$P283), 0, 1), 3, if(ISBLANK('2025'!$Q283), 0, 1), 4, if(ISBLANK('2025'!$R283), 0, 1), 5, if(ISBLANK('2025'!$S283), 0, 1), 6, if(ISBLANK('2025'!$T283), 0, 1), 7, 0))), 1, "")</f>
        <v/>
      </c>
      <c r="G285" s="1" t="str">
        <f>IF(AND(AND(AND(G$4&gt;='2025'!$L283,G$4&lt;='2025'!$M283), G$4&lt;&gt;DATE(2025,7,4)), (SWITCH(weekday(G$4), 1, 0, 2, if(ISBLANK('2025'!$P283), 0, 1), 3, if(ISBLANK('2025'!$Q283), 0, 1), 4, if(ISBLANK('2025'!$R283), 0, 1), 5, if(ISBLANK('2025'!$S283), 0, 1), 6, if(ISBLANK('2025'!$T283), 0, 1), 7, 0))), 1, "")</f>
        <v/>
      </c>
      <c r="H285" s="1" t="str">
        <f>IF(AND(AND(AND(H$4&gt;='2025'!$L283,H$4&lt;='2025'!$M283), H$4&lt;&gt;DATE(2025,7,4)), (SWITCH(weekday(H$4), 1, 0, 2, if(ISBLANK('2025'!$P283), 0, 1), 3, if(ISBLANK('2025'!$Q283), 0, 1), 4, if(ISBLANK('2025'!$R283), 0, 1), 5, if(ISBLANK('2025'!$S283), 0, 1), 6, if(ISBLANK('2025'!$T283), 0, 1), 7, 0))), 1, "")</f>
        <v/>
      </c>
      <c r="I285" s="1" t="str">
        <f>IF(AND(AND(AND(I$4&gt;='2025'!$L283,I$4&lt;='2025'!$M283), I$4&lt;&gt;DATE(2025,7,4)), (SWITCH(weekday(I$4), 1, 0, 2, if(ISBLANK('2025'!$P283), 0, 1), 3, if(ISBLANK('2025'!$Q283), 0, 1), 4, if(ISBLANK('2025'!$R283), 0, 1), 5, if(ISBLANK('2025'!$S283), 0, 1), 6, if(ISBLANK('2025'!$T283), 0, 1), 7, 0))), 1, "")</f>
        <v/>
      </c>
      <c r="J285" s="1" t="str">
        <f>IF(AND(AND(AND(J$4&gt;='2025'!$L283,J$4&lt;='2025'!$M283), J$4&lt;&gt;DATE(2025,7,4)), (SWITCH(weekday(J$4), 1, 0, 2, if(ISBLANK('2025'!$P283), 0, 1), 3, if(ISBLANK('2025'!$Q283), 0, 1), 4, if(ISBLANK('2025'!$R283), 0, 1), 5, if(ISBLANK('2025'!$S283), 0, 1), 6, if(ISBLANK('2025'!$T283), 0, 1), 7, 0))), 1, "")</f>
        <v/>
      </c>
      <c r="K285" s="1" t="str">
        <f>IF(AND(AND(AND(K$4&gt;='2025'!$L283,K$4&lt;='2025'!$M283), K$4&lt;&gt;DATE(2025,7,4)), (SWITCH(weekday(K$4), 1, 0, 2, if(ISBLANK('2025'!$P283), 0, 1), 3, if(ISBLANK('2025'!$Q283), 0, 1), 4, if(ISBLANK('2025'!$R283), 0, 1), 5, if(ISBLANK('2025'!$S283), 0, 1), 6, if(ISBLANK('2025'!$T283), 0, 1), 7, 0))), 1, "")</f>
        <v/>
      </c>
      <c r="L285" s="1" t="str">
        <f>IF(AND(AND(AND(L$4&gt;='2025'!$L283,L$4&lt;='2025'!$M283), L$4&lt;&gt;DATE(2025,7,4)), (SWITCH(weekday(L$4), 1, 0, 2, if(ISBLANK('2025'!$P283), 0, 1), 3, if(ISBLANK('2025'!$Q283), 0, 1), 4, if(ISBLANK('2025'!$R283), 0, 1), 5, if(ISBLANK('2025'!$S283), 0, 1), 6, if(ISBLANK('2025'!$T283), 0, 1), 7, 0))), 1, "")</f>
        <v/>
      </c>
      <c r="M285" s="1" t="str">
        <f>IF(AND(AND(AND(M$4&gt;='2025'!$L283,M$4&lt;='2025'!$M283), M$4&lt;&gt;DATE(2025,7,4)), (SWITCH(weekday(M$4), 1, 0, 2, if(ISBLANK('2025'!$P283), 0, 1), 3, if(ISBLANK('2025'!$Q283), 0, 1), 4, if(ISBLANK('2025'!$R283), 0, 1), 5, if(ISBLANK('2025'!$S283), 0, 1), 6, if(ISBLANK('2025'!$T283), 0, 1), 7, 0))), 1, "")</f>
        <v/>
      </c>
      <c r="N285" s="1" t="str">
        <f>IF(AND(AND(AND(N$4&gt;='2025'!$L283,N$4&lt;='2025'!$M283), N$4&lt;&gt;DATE(2025,7,4)), (SWITCH(weekday(N$4), 1, 0, 2, if(ISBLANK('2025'!$P283), 0, 1), 3, if(ISBLANK('2025'!$Q283), 0, 1), 4, if(ISBLANK('2025'!$R283), 0, 1), 5, if(ISBLANK('2025'!$S283), 0, 1), 6, if(ISBLANK('2025'!$T283), 0, 1), 7, 0))), 1, "")</f>
        <v/>
      </c>
      <c r="O285" s="1" t="str">
        <f>IF(AND(AND(AND(O$4&gt;='2025'!$L283,O$4&lt;='2025'!$M283), O$4&lt;&gt;DATE(2025,7,4)), (SWITCH(weekday(O$4), 1, 0, 2, if(ISBLANK('2025'!$P283), 0, 1), 3, if(ISBLANK('2025'!$Q283), 0, 1), 4, if(ISBLANK('2025'!$R283), 0, 1), 5, if(ISBLANK('2025'!$S283), 0, 1), 6, if(ISBLANK('2025'!$T283), 0, 1), 7, 0))), 1, "")</f>
        <v/>
      </c>
      <c r="P285" s="1" t="str">
        <f>IF(AND(AND(AND(P$4&gt;='2025'!$L283,P$4&lt;='2025'!$M283), P$4&lt;&gt;DATE(2025,7,4)), (SWITCH(weekday(P$4), 1, 0, 2, if(ISBLANK('2025'!$P283), 0, 1), 3, if(ISBLANK('2025'!$Q283), 0, 1), 4, if(ISBLANK('2025'!$R283), 0, 1), 5, if(ISBLANK('2025'!$S283), 0, 1), 6, if(ISBLANK('2025'!$T283), 0, 1), 7, 0))), 1, "")</f>
        <v/>
      </c>
      <c r="Q285" s="1" t="str">
        <f>IF(AND(AND(AND(Q$4&gt;='2025'!$L283,Q$4&lt;='2025'!$M283), Q$4&lt;&gt;DATE(2025,7,4)), (SWITCH(weekday(Q$4), 1, 0, 2, if(ISBLANK('2025'!$P283), 0, 1), 3, if(ISBLANK('2025'!$Q283), 0, 1), 4, if(ISBLANK('2025'!$R283), 0, 1), 5, if(ISBLANK('2025'!$S283), 0, 1), 6, if(ISBLANK('2025'!$T283), 0, 1), 7, 0))), 1, "")</f>
        <v/>
      </c>
      <c r="R285" s="1" t="str">
        <f>IF(AND(AND(AND(R$4&gt;='2025'!$L283,R$4&lt;='2025'!$M283), R$4&lt;&gt;DATE(2025,7,4)), (SWITCH(weekday(R$4), 1, 0, 2, if(ISBLANK('2025'!$P283), 0, 1), 3, if(ISBLANK('2025'!$Q283), 0, 1), 4, if(ISBLANK('2025'!$R283), 0, 1), 5, if(ISBLANK('2025'!$S283), 0, 1), 6, if(ISBLANK('2025'!$T283), 0, 1), 7, 0))), 1, "")</f>
        <v/>
      </c>
      <c r="S285" s="1" t="str">
        <f>IF(AND(AND(AND(S$4&gt;='2025'!$L283,S$4&lt;='2025'!$M283), S$4&lt;&gt;DATE(2025,7,4)), (SWITCH(weekday(S$4), 1, 0, 2, if(ISBLANK('2025'!$P283), 0, 1), 3, if(ISBLANK('2025'!$Q283), 0, 1), 4, if(ISBLANK('2025'!$R283), 0, 1), 5, if(ISBLANK('2025'!$S283), 0, 1), 6, if(ISBLANK('2025'!$T283), 0, 1), 7, 0))), 1, "")</f>
        <v/>
      </c>
      <c r="T285" s="1" t="str">
        <f>IF(AND(AND(AND(T$4&gt;='2025'!$L283,T$4&lt;='2025'!$M283), T$4&lt;&gt;DATE(2025,7,4)), (SWITCH(weekday(T$4), 1, 0, 2, if(ISBLANK('2025'!$P283), 0, 1), 3, if(ISBLANK('2025'!$Q283), 0, 1), 4, if(ISBLANK('2025'!$R283), 0, 1), 5, if(ISBLANK('2025'!$S283), 0, 1), 6, if(ISBLANK('2025'!$T283), 0, 1), 7, 0))), 1, "")</f>
        <v/>
      </c>
      <c r="U285" s="1" t="str">
        <f>IF(AND(AND(AND(U$4&gt;='2025'!$L283,U$4&lt;='2025'!$M283), U$4&lt;&gt;DATE(2025,7,4)), (SWITCH(weekday(U$4), 1, 0, 2, if(ISBLANK('2025'!$P283), 0, 1), 3, if(ISBLANK('2025'!$Q283), 0, 1), 4, if(ISBLANK('2025'!$R283), 0, 1), 5, if(ISBLANK('2025'!$S283), 0, 1), 6, if(ISBLANK('2025'!$T283), 0, 1), 7, 0))), 1, "")</f>
        <v/>
      </c>
      <c r="V285" s="1" t="str">
        <f>IF(AND(AND(AND(V$4&gt;='2025'!$L283,V$4&lt;='2025'!$M283), V$4&lt;&gt;DATE(2025,7,4)), (SWITCH(weekday(V$4), 1, 0, 2, if(ISBLANK('2025'!$P283), 0, 1), 3, if(ISBLANK('2025'!$Q283), 0, 1), 4, if(ISBLANK('2025'!$R283), 0, 1), 5, if(ISBLANK('2025'!$S283), 0, 1), 6, if(ISBLANK('2025'!$T283), 0, 1), 7, 0))), 1, "")</f>
        <v/>
      </c>
      <c r="W285" s="1" t="str">
        <f>IF(AND(AND(AND(W$4&gt;='2025'!$L283,W$4&lt;='2025'!$M283), W$4&lt;&gt;DATE(2025,7,4)), (SWITCH(weekday(W$4), 1, 0, 2, if(ISBLANK('2025'!$P283), 0, 1), 3, if(ISBLANK('2025'!$Q283), 0, 1), 4, if(ISBLANK('2025'!$R283), 0, 1), 5, if(ISBLANK('2025'!$S283), 0, 1), 6, if(ISBLANK('2025'!$T283), 0, 1), 7, 0))), 1, "")</f>
        <v/>
      </c>
      <c r="X285" s="1" t="str">
        <f>IF(AND(AND(AND(X$4&gt;='2025'!$L283,X$4&lt;='2025'!$M283), X$4&lt;&gt;DATE(2025,7,4)), (SWITCH(weekday(X$4), 1, 0, 2, if(ISBLANK('2025'!$P283), 0, 1), 3, if(ISBLANK('2025'!$Q283), 0, 1), 4, if(ISBLANK('2025'!$R283), 0, 1), 5, if(ISBLANK('2025'!$S283), 0, 1), 6, if(ISBLANK('2025'!$T283), 0, 1), 7, 0))), 1, "")</f>
        <v/>
      </c>
      <c r="Y285" s="1" t="str">
        <f>IF(AND(AND(AND(Y$4&gt;='2025'!$L283,Y$4&lt;='2025'!$M283), Y$4&lt;&gt;DATE(2025,7,4)), (SWITCH(weekday(Y$4), 1, 0, 2, if(ISBLANK('2025'!$P283), 0, 1), 3, if(ISBLANK('2025'!$Q283), 0, 1), 4, if(ISBLANK('2025'!$R283), 0, 1), 5, if(ISBLANK('2025'!$S283), 0, 1), 6, if(ISBLANK('2025'!$T283), 0, 1), 7, 0))), 1, "")</f>
        <v/>
      </c>
      <c r="Z285" s="1" t="str">
        <f>IF(AND(AND(AND(Z$4&gt;='2025'!$L283,Z$4&lt;='2025'!$M283), Z$4&lt;&gt;DATE(2025,7,4)), (SWITCH(weekday(Z$4), 1, 0, 2, if(ISBLANK('2025'!$P283), 0, 1), 3, if(ISBLANK('2025'!$Q283), 0, 1), 4, if(ISBLANK('2025'!$R283), 0, 1), 5, if(ISBLANK('2025'!$S283), 0, 1), 6, if(ISBLANK('2025'!$T283), 0, 1), 7, 0))), 1, "")</f>
        <v/>
      </c>
      <c r="AA285" s="1" t="str">
        <f>IF(AND(AND(AND(AA$4&gt;='2025'!$L283,AA$4&lt;='2025'!$M283), AA$4&lt;&gt;DATE(2025,7,4)), (SWITCH(weekday(AA$4), 1, 0, 2, if(ISBLANK('2025'!$P283), 0, 1), 3, if(ISBLANK('2025'!$Q283), 0, 1), 4, if(ISBLANK('2025'!$R283), 0, 1), 5, if(ISBLANK('2025'!$S283), 0, 1), 6, if(ISBLANK('2025'!$T283), 0, 1), 7, 0))), 1, "")</f>
        <v/>
      </c>
      <c r="AB285" s="1" t="str">
        <f>IF(AND(AND(AND(AB$4&gt;='2025'!$L283,AB$4&lt;='2025'!$M283), AB$4&lt;&gt;DATE(2025,7,4)), (SWITCH(weekday(AB$4), 1, 0, 2, if(ISBLANK('2025'!$P283), 0, 1), 3, if(ISBLANK('2025'!$Q283), 0, 1), 4, if(ISBLANK('2025'!$R283), 0, 1), 5, if(ISBLANK('2025'!$S283), 0, 1), 6, if(ISBLANK('2025'!$T283), 0, 1), 7, 0))), 1, "")</f>
        <v/>
      </c>
      <c r="AC285" s="1" t="str">
        <f>IF(AND(AND(AND(AC$4&gt;='2025'!$L283,AC$4&lt;='2025'!$M283), AC$4&lt;&gt;DATE(2025,7,4)), (SWITCH(weekday(AC$4), 1, 0, 2, if(ISBLANK('2025'!$P283), 0, 1), 3, if(ISBLANK('2025'!$Q283), 0, 1), 4, if(ISBLANK('2025'!$R283), 0, 1), 5, if(ISBLANK('2025'!$S283), 0, 1), 6, if(ISBLANK('2025'!$T283), 0, 1), 7, 0))), 1, "")</f>
        <v/>
      </c>
      <c r="AD285" s="1" t="str">
        <f>IF(AND(AND(AND(AD$4&gt;='2025'!$L283,AD$4&lt;='2025'!$M283), AD$4&lt;&gt;DATE(2025,7,4)), (SWITCH(weekday(AD$4), 1, 0, 2, if(ISBLANK('2025'!$P283), 0, 1), 3, if(ISBLANK('2025'!$Q283), 0, 1), 4, if(ISBLANK('2025'!$R283), 0, 1), 5, if(ISBLANK('2025'!$S283), 0, 1), 6, if(ISBLANK('2025'!$T283), 0, 1), 7, 0))), 1, "")</f>
        <v/>
      </c>
      <c r="AE285" s="1" t="str">
        <f>IF(AND(AND(AND(AE$4&gt;='2025'!$L283,AE$4&lt;='2025'!$M283), AE$4&lt;&gt;DATE(2025,7,4)), (SWITCH(weekday(AE$4), 1, 0, 2, if(ISBLANK('2025'!$P283), 0, 1), 3, if(ISBLANK('2025'!$Q283), 0, 1), 4, if(ISBLANK('2025'!$R283), 0, 1), 5, if(ISBLANK('2025'!$S283), 0, 1), 6, if(ISBLANK('2025'!$T283), 0, 1), 7, 0))), 1, "")</f>
        <v/>
      </c>
      <c r="AF285" s="1" t="str">
        <f>IF(AND(AND(AND(AF$4&gt;='2025'!$L283,AF$4&lt;='2025'!$M283), AF$4&lt;&gt;DATE(2025,7,4)), (SWITCH(weekday(AF$4), 1, 0, 2, if(ISBLANK('2025'!$P283), 0, 1), 3, if(ISBLANK('2025'!$Q283), 0, 1), 4, if(ISBLANK('2025'!$R283), 0, 1), 5, if(ISBLANK('2025'!$S283), 0, 1), 6, if(ISBLANK('2025'!$T283), 0, 1), 7, 0))), 1, "")</f>
        <v/>
      </c>
      <c r="AG285" s="1" t="str">
        <f>IF(AND(AND(AND(AG$4&gt;='2025'!$L283,AG$4&lt;='2025'!$M283), AG$4&lt;&gt;DATE(2025,7,4)), (SWITCH(weekday(AG$4), 1, 0, 2, if(ISBLANK('2025'!$P283), 0, 1), 3, if(ISBLANK('2025'!$Q283), 0, 1), 4, if(ISBLANK('2025'!$R283), 0, 1), 5, if(ISBLANK('2025'!$S283), 0, 1), 6, if(ISBLANK('2025'!$T283), 0, 1), 7, 0))), 1, "")</f>
        <v/>
      </c>
      <c r="AH285" s="1" t="str">
        <f>IF(AND(AND(AND(AH$4&gt;='2025'!$L283,AH$4&lt;='2025'!$M283), AH$4&lt;&gt;DATE(2025,7,4)), (SWITCH(weekday(AH$4), 1, 0, 2, if(ISBLANK('2025'!$P283), 0, 1), 3, if(ISBLANK('2025'!$Q283), 0, 1), 4, if(ISBLANK('2025'!$R283), 0, 1), 5, if(ISBLANK('2025'!$S283), 0, 1), 6, if(ISBLANK('2025'!$T283), 0, 1), 7, 0))), 1, "")</f>
        <v/>
      </c>
      <c r="AI285" s="1" t="str">
        <f>IF(AND(AND(AND(AI$4&gt;='2025'!$L283,AI$4&lt;='2025'!$M283), AI$4&lt;&gt;DATE(2025,7,4)), (SWITCH(weekday(AI$4), 1, 0, 2, if(ISBLANK('2025'!$P283), 0, 1), 3, if(ISBLANK('2025'!$Q283), 0, 1), 4, if(ISBLANK('2025'!$R283), 0, 1), 5, if(ISBLANK('2025'!$S283), 0, 1), 6, if(ISBLANK('2025'!$T283), 0, 1), 7, 0))), 1, "")</f>
        <v/>
      </c>
      <c r="AJ285" s="1" t="str">
        <f>IF(AND(AND(AND(AJ$4&gt;='2025'!$L283,AJ$4&lt;='2025'!$M283), AJ$4&lt;&gt;DATE(2025,7,4)), (SWITCH(weekday(AJ$4), 1, 0, 2, if(ISBLANK('2025'!$P283), 0, 1), 3, if(ISBLANK('2025'!$Q283), 0, 1), 4, if(ISBLANK('2025'!$R283), 0, 1), 5, if(ISBLANK('2025'!$S283), 0, 1), 6, if(ISBLANK('2025'!$T283), 0, 1), 7, 0))), 1, "")</f>
        <v/>
      </c>
      <c r="AK285" s="1" t="str">
        <f>IF(AND(AND(AND(AK$4&gt;='2025'!$L283,AK$4&lt;='2025'!$M283), AK$4&lt;&gt;DATE(2025,7,4)), (SWITCH(weekday(AK$4), 1, 0, 2, if(ISBLANK('2025'!$P283), 0, 1), 3, if(ISBLANK('2025'!$Q283), 0, 1), 4, if(ISBLANK('2025'!$R283), 0, 1), 5, if(ISBLANK('2025'!$S283), 0, 1), 6, if(ISBLANK('2025'!$T283), 0, 1), 7, 0))), 1, "")</f>
        <v/>
      </c>
      <c r="AL285" s="1" t="str">
        <f>IF(AND(AND(AND(AL$4&gt;='2025'!$L283,AL$4&lt;='2025'!$M283), AL$4&lt;&gt;DATE(2025,7,4)), (SWITCH(weekday(AL$4), 1, 0, 2, if(ISBLANK('2025'!$P283), 0, 1), 3, if(ISBLANK('2025'!$Q283), 0, 1), 4, if(ISBLANK('2025'!$R283), 0, 1), 5, if(ISBLANK('2025'!$S283), 0, 1), 6, if(ISBLANK('2025'!$T283), 0, 1), 7, 0))), 1, "")</f>
        <v/>
      </c>
      <c r="AM285" s="1" t="str">
        <f>IF(AND(AND(AND(AM$4&gt;='2025'!$L283,AM$4&lt;='2025'!$M283), AM$4&lt;&gt;DATE(2025,7,4)), (SWITCH(weekday(AM$4), 1, 0, 2, if(ISBLANK('2025'!$P283), 0, 1), 3, if(ISBLANK('2025'!$Q283), 0, 1), 4, if(ISBLANK('2025'!$R283), 0, 1), 5, if(ISBLANK('2025'!$S283), 0, 1), 6, if(ISBLANK('2025'!$T283), 0, 1), 7, 0))), 1, "")</f>
        <v/>
      </c>
      <c r="AN285" s="1" t="str">
        <f>IF(AND(AND(AND(AN$4&gt;='2025'!$L283,AN$4&lt;='2025'!$M283), AN$4&lt;&gt;DATE(2025,7,4)), (SWITCH(weekday(AN$4), 1, 0, 2, if(ISBLANK('2025'!$P283), 0, 1), 3, if(ISBLANK('2025'!$Q283), 0, 1), 4, if(ISBLANK('2025'!$R283), 0, 1), 5, if(ISBLANK('2025'!$S283), 0, 1), 6, if(ISBLANK('2025'!$T283), 0, 1), 7, 0))), 1, "")</f>
        <v/>
      </c>
      <c r="AO285" s="1" t="str">
        <f>IF(AND(AND(AND(AO$4&gt;='2025'!$L283,AO$4&lt;='2025'!$M283), AO$4&lt;&gt;DATE(2025,7,4)), (SWITCH(weekday(AO$4), 1, 0, 2, if(ISBLANK('2025'!$P283), 0, 1), 3, if(ISBLANK('2025'!$Q283), 0, 1), 4, if(ISBLANK('2025'!$R283), 0, 1), 5, if(ISBLANK('2025'!$S283), 0, 1), 6, if(ISBLANK('2025'!$T283), 0, 1), 7, 0))), 1, "")</f>
        <v/>
      </c>
      <c r="AP285" s="1" t="str">
        <f>IF(AND(AND(AND(AP$4&gt;='2025'!$L283,AP$4&lt;='2025'!$M283), AP$4&lt;&gt;DATE(2025,7,4)), (SWITCH(weekday(AP$4), 1, 0, 2, if(ISBLANK('2025'!$P283), 0, 1), 3, if(ISBLANK('2025'!$Q283), 0, 1), 4, if(ISBLANK('2025'!$R283), 0, 1), 5, if(ISBLANK('2025'!$S283), 0, 1), 6, if(ISBLANK('2025'!$T283), 0, 1), 7, 0))), 1, "")</f>
        <v/>
      </c>
      <c r="AQ285" s="1" t="str">
        <f>IF(AND(AND(AND(AQ$4&gt;='2025'!$L283,AQ$4&lt;='2025'!$M283), AQ$4&lt;&gt;DATE(2025,7,4)), (SWITCH(weekday(AQ$4), 1, 0, 2, if(ISBLANK('2025'!$P283), 0, 1), 3, if(ISBLANK('2025'!$Q283), 0, 1), 4, if(ISBLANK('2025'!$R283), 0, 1), 5, if(ISBLANK('2025'!$S283), 0, 1), 6, if(ISBLANK('2025'!$T283), 0, 1), 7, 0))), 1, "")</f>
        <v/>
      </c>
      <c r="AR285" s="1" t="str">
        <f>IF(AND(AND(AND(AR$4&gt;='2025'!$L283,AR$4&lt;='2025'!$M283), AR$4&lt;&gt;DATE(2025,7,4)), (SWITCH(weekday(AR$4), 1, 0, 2, if(ISBLANK('2025'!$P283), 0, 1), 3, if(ISBLANK('2025'!$Q283), 0, 1), 4, if(ISBLANK('2025'!$R283), 0, 1), 5, if(ISBLANK('2025'!$S283), 0, 1), 6, if(ISBLANK('2025'!$T283), 0, 1), 7, 0))), 1, "")</f>
        <v/>
      </c>
      <c r="AS285" s="1" t="str">
        <f>IF(AND(AND(AND(AS$4&gt;='2025'!$L283,AS$4&lt;='2025'!$M283), AS$4&lt;&gt;DATE(2025,7,4)), (SWITCH(weekday(AS$4), 1, 0, 2, if(ISBLANK('2025'!$P283), 0, 1), 3, if(ISBLANK('2025'!$Q283), 0, 1), 4, if(ISBLANK('2025'!$R283), 0, 1), 5, if(ISBLANK('2025'!$S283), 0, 1), 6, if(ISBLANK('2025'!$T283), 0, 1), 7, 0))), 1, "")</f>
        <v/>
      </c>
      <c r="AT285" s="1" t="str">
        <f>IF(AND(AND(AND(AT$4&gt;='2025'!$L283,AT$4&lt;='2025'!$M283), AT$4&lt;&gt;DATE(2025,7,4)), (SWITCH(weekday(AT$4), 1, 0, 2, if(ISBLANK('2025'!$P283), 0, 1), 3, if(ISBLANK('2025'!$Q283), 0, 1), 4, if(ISBLANK('2025'!$R283), 0, 1), 5, if(ISBLANK('2025'!$S283), 0, 1), 6, if(ISBLANK('2025'!$T283), 0, 1), 7, 0))), 1, "")</f>
        <v/>
      </c>
      <c r="AU285" s="1" t="str">
        <f>IF(AND(AND(AND(AU$4&gt;='2025'!$L283,AU$4&lt;='2025'!$M283), AU$4&lt;&gt;DATE(2025,7,4)), (SWITCH(weekday(AU$4), 1, 0, 2, if(ISBLANK('2025'!$P283), 0, 1), 3, if(ISBLANK('2025'!$Q283), 0, 1), 4, if(ISBLANK('2025'!$R283), 0, 1), 5, if(ISBLANK('2025'!$S283), 0, 1), 6, if(ISBLANK('2025'!$T283), 0, 1), 7, 0))), 1, "")</f>
        <v/>
      </c>
      <c r="AV285" s="1" t="str">
        <f>IF(AND(AND(AND(AV$4&gt;='2025'!$L283,AV$4&lt;='2025'!$M283), AV$4&lt;&gt;DATE(2025,7,4)), (SWITCH(weekday(AV$4), 1, 0, 2, if(ISBLANK('2025'!$P283), 0, 1), 3, if(ISBLANK('2025'!$Q283), 0, 1), 4, if(ISBLANK('2025'!$R283), 0, 1), 5, if(ISBLANK('2025'!$S283), 0, 1), 6, if(ISBLANK('2025'!$T283), 0, 1), 7, 0))), 1, "")</f>
        <v/>
      </c>
      <c r="AW285" s="1" t="str">
        <f>IF(AND(AND(AND(AW$4&gt;='2025'!$L283,AW$4&lt;='2025'!$M283), AW$4&lt;&gt;DATE(2025,7,4)), (SWITCH(weekday(AW$4), 1, 0, 2, if(ISBLANK('2025'!$P283), 0, 1), 3, if(ISBLANK('2025'!$Q283), 0, 1), 4, if(ISBLANK('2025'!$R283), 0, 1), 5, if(ISBLANK('2025'!$S283), 0, 1), 6, if(ISBLANK('2025'!$T283), 0, 1), 7, 0))), 1, "")</f>
        <v/>
      </c>
      <c r="AX285" s="1" t="str">
        <f>IF(AND(AND(AND(AX$4&gt;='2025'!$L283,AX$4&lt;='2025'!$M283), AX$4&lt;&gt;DATE(2025,7,4)), (SWITCH(weekday(AX$4), 1, 0, 2, if(ISBLANK('2025'!$P283), 0, 1), 3, if(ISBLANK('2025'!$Q283), 0, 1), 4, if(ISBLANK('2025'!$R283), 0, 1), 5, if(ISBLANK('2025'!$S283), 0, 1), 6, if(ISBLANK('2025'!$T283), 0, 1), 7, 0))), 1, "")</f>
        <v/>
      </c>
      <c r="AY285" s="1" t="str">
        <f>IF(AND(AND(AND(AY$4&gt;='2025'!$L283,AY$4&lt;='2025'!$M283), AY$4&lt;&gt;DATE(2025,7,4)), (SWITCH(weekday(AY$4), 1, 0, 2, if(ISBLANK('2025'!$P283), 0, 1), 3, if(ISBLANK('2025'!$Q283), 0, 1), 4, if(ISBLANK('2025'!$R283), 0, 1), 5, if(ISBLANK('2025'!$S283), 0, 1), 6, if(ISBLANK('2025'!$T283), 0, 1), 7, 0))), 1, "")</f>
        <v/>
      </c>
      <c r="AZ285" s="1" t="str">
        <f>IF(AND(AND(AND(AZ$4&gt;='2025'!$L283,AZ$4&lt;='2025'!$M283), AZ$4&lt;&gt;DATE(2025,7,4)), (SWITCH(weekday(AZ$4), 1, 0, 2, if(ISBLANK('2025'!$P283), 0, 1), 3, if(ISBLANK('2025'!$Q283), 0, 1), 4, if(ISBLANK('2025'!$R283), 0, 1), 5, if(ISBLANK('2025'!$S283), 0, 1), 6, if(ISBLANK('2025'!$T283), 0, 1), 7, 0))), 1, "")</f>
        <v/>
      </c>
      <c r="BA285" s="1" t="str">
        <f>IF(AND(AND(AND(BA$4&gt;='2025'!$L283,BA$4&lt;='2025'!$M283), BA$4&lt;&gt;DATE(2025,7,4)), (SWITCH(weekday(BA$4), 1, 0, 2, if(ISBLANK('2025'!$P283), 0, 1), 3, if(ISBLANK('2025'!$Q283), 0, 1), 4, if(ISBLANK('2025'!$R283), 0, 1), 5, if(ISBLANK('2025'!$S283), 0, 1), 6, if(ISBLANK('2025'!$T283), 0, 1), 7, 0))), 1, "")</f>
        <v/>
      </c>
      <c r="BB285" s="1" t="str">
        <f>IF(AND(AND(AND(BB$4&gt;='2025'!$L283,BB$4&lt;='2025'!$M283), BB$4&lt;&gt;DATE(2025,7,4)), (SWITCH(weekday(BB$4), 1, 0, 2, if(ISBLANK('2025'!$P283), 0, 1), 3, if(ISBLANK('2025'!$Q283), 0, 1), 4, if(ISBLANK('2025'!$R283), 0, 1), 5, if(ISBLANK('2025'!$S283), 0, 1), 6, if(ISBLANK('2025'!$T283), 0, 1), 7, 0))), 1, "")</f>
        <v/>
      </c>
      <c r="BC285" s="1" t="str">
        <f>IF(AND(AND(AND(BC$4&gt;='2025'!$L283,BC$4&lt;='2025'!$M283), BC$4&lt;&gt;DATE(2025,7,4)), (SWITCH(weekday(BC$4), 1, 0, 2, if(ISBLANK('2025'!$P283), 0, 1), 3, if(ISBLANK('2025'!$Q283), 0, 1), 4, if(ISBLANK('2025'!$R283), 0, 1), 5, if(ISBLANK('2025'!$S283), 0, 1), 6, if(ISBLANK('2025'!$T283), 0, 1), 7, 0))), 1, "")</f>
        <v/>
      </c>
      <c r="BD285" s="1" t="str">
        <f>IF(AND(AND(AND(BD$4&gt;='2025'!$L283,BD$4&lt;='2025'!$M283), BD$4&lt;&gt;DATE(2025,7,4)), (SWITCH(weekday(BD$4), 1, 0, 2, if(ISBLANK('2025'!$P283), 0, 1), 3, if(ISBLANK('2025'!$Q283), 0, 1), 4, if(ISBLANK('2025'!$R283), 0, 1), 5, if(ISBLANK('2025'!$S283), 0, 1), 6, if(ISBLANK('2025'!$T283), 0, 1), 7, 0))), 1, "")</f>
        <v/>
      </c>
      <c r="BE285" s="1" t="str">
        <f>IF(AND(AND(AND(BE$4&gt;='2025'!$L283,BE$4&lt;='2025'!$M283), BE$4&lt;&gt;DATE(2025,7,4)), (SWITCH(weekday(BE$4), 1, 0, 2, if(ISBLANK('2025'!$P283), 0, 1), 3, if(ISBLANK('2025'!$Q283), 0, 1), 4, if(ISBLANK('2025'!$R283), 0, 1), 5, if(ISBLANK('2025'!$S283), 0, 1), 6, if(ISBLANK('2025'!$T283), 0, 1), 7, 0))), 1, "")</f>
        <v/>
      </c>
      <c r="BF285" s="1" t="str">
        <f>IF(AND(AND(AND(BF$4&gt;='2025'!$L283,BF$4&lt;='2025'!$M283), BF$4&lt;&gt;DATE(2025,7,4)), (SWITCH(weekday(BF$4), 1, 0, 2, if(ISBLANK('2025'!$P283), 0, 1), 3, if(ISBLANK('2025'!$Q283), 0, 1), 4, if(ISBLANK('2025'!$R283), 0, 1), 5, if(ISBLANK('2025'!$S283), 0, 1), 6, if(ISBLANK('2025'!$T283), 0, 1), 7, 0))), 1, "")</f>
        <v/>
      </c>
      <c r="BG285" s="1"/>
      <c r="BH285" s="1"/>
      <c r="BI285" s="1"/>
      <c r="BJ285" s="1"/>
      <c r="BK285" s="1"/>
      <c r="BL285" s="1"/>
    </row>
    <row r="286">
      <c r="A286" s="1">
        <f t="shared" si="3"/>
        <v>286</v>
      </c>
      <c r="B286" s="1" t="str">
        <f>'2025'!D250</f>
        <v>, </v>
      </c>
      <c r="C286" s="1" t="str">
        <f>'2025'!H250</f>
        <v/>
      </c>
      <c r="D286" s="1" t="str">
        <f>IF(AND(AND(AND(D$4&gt;='2025'!$L284,D$4&lt;='2025'!$M284), D$4&lt;&gt;DATE(2025,7,4)), (SWITCH(weekday(D$4), 1, 0, 2, if(ISBLANK('2025'!$P284), 0, 1), 3, if(ISBLANK('2025'!$Q284), 0, 1), 4, if(ISBLANK('2025'!$R284), 0, 1), 5, if(ISBLANK('2025'!$S284), 0, 1), 6, if(ISBLANK('2025'!$T284), 0, 1), 7, 0))), 1, "")</f>
        <v/>
      </c>
      <c r="E286" s="1" t="str">
        <f>IF(AND(AND(AND(E$4&gt;='2025'!$L284,E$4&lt;='2025'!$M284), E$4&lt;&gt;DATE(2025,7,4)), (SWITCH(weekday(E$4), 1, 0, 2, if(ISBLANK('2025'!$P284), 0, 1), 3, if(ISBLANK('2025'!$Q284), 0, 1), 4, if(ISBLANK('2025'!$R284), 0, 1), 5, if(ISBLANK('2025'!$S284), 0, 1), 6, if(ISBLANK('2025'!$T284), 0, 1), 7, 0))), 1, "")</f>
        <v/>
      </c>
      <c r="F286" s="1" t="str">
        <f>IF(AND(AND(AND(F$4&gt;='2025'!$L284,F$4&lt;='2025'!$M284), F$4&lt;&gt;DATE(2025,7,4)), (SWITCH(weekday(F$4), 1, 0, 2, if(ISBLANK('2025'!$P284), 0, 1), 3, if(ISBLANK('2025'!$Q284), 0, 1), 4, if(ISBLANK('2025'!$R284), 0, 1), 5, if(ISBLANK('2025'!$S284), 0, 1), 6, if(ISBLANK('2025'!$T284), 0, 1), 7, 0))), 1, "")</f>
        <v/>
      </c>
      <c r="G286" s="1" t="str">
        <f>IF(AND(AND(AND(G$4&gt;='2025'!$L284,G$4&lt;='2025'!$M284), G$4&lt;&gt;DATE(2025,7,4)), (SWITCH(weekday(G$4), 1, 0, 2, if(ISBLANK('2025'!$P284), 0, 1), 3, if(ISBLANK('2025'!$Q284), 0, 1), 4, if(ISBLANK('2025'!$R284), 0, 1), 5, if(ISBLANK('2025'!$S284), 0, 1), 6, if(ISBLANK('2025'!$T284), 0, 1), 7, 0))), 1, "")</f>
        <v/>
      </c>
      <c r="H286" s="1" t="str">
        <f>IF(AND(AND(AND(H$4&gt;='2025'!$L284,H$4&lt;='2025'!$M284), H$4&lt;&gt;DATE(2025,7,4)), (SWITCH(weekday(H$4), 1, 0, 2, if(ISBLANK('2025'!$P284), 0, 1), 3, if(ISBLANK('2025'!$Q284), 0, 1), 4, if(ISBLANK('2025'!$R284), 0, 1), 5, if(ISBLANK('2025'!$S284), 0, 1), 6, if(ISBLANK('2025'!$T284), 0, 1), 7, 0))), 1, "")</f>
        <v/>
      </c>
      <c r="I286" s="1" t="str">
        <f>IF(AND(AND(AND(I$4&gt;='2025'!$L284,I$4&lt;='2025'!$M284), I$4&lt;&gt;DATE(2025,7,4)), (SWITCH(weekday(I$4), 1, 0, 2, if(ISBLANK('2025'!$P284), 0, 1), 3, if(ISBLANK('2025'!$Q284), 0, 1), 4, if(ISBLANK('2025'!$R284), 0, 1), 5, if(ISBLANK('2025'!$S284), 0, 1), 6, if(ISBLANK('2025'!$T284), 0, 1), 7, 0))), 1, "")</f>
        <v/>
      </c>
      <c r="J286" s="1" t="str">
        <f>IF(AND(AND(AND(J$4&gt;='2025'!$L284,J$4&lt;='2025'!$M284), J$4&lt;&gt;DATE(2025,7,4)), (SWITCH(weekday(J$4), 1, 0, 2, if(ISBLANK('2025'!$P284), 0, 1), 3, if(ISBLANK('2025'!$Q284), 0, 1), 4, if(ISBLANK('2025'!$R284), 0, 1), 5, if(ISBLANK('2025'!$S284), 0, 1), 6, if(ISBLANK('2025'!$T284), 0, 1), 7, 0))), 1, "")</f>
        <v/>
      </c>
      <c r="K286" s="1" t="str">
        <f>IF(AND(AND(AND(K$4&gt;='2025'!$L284,K$4&lt;='2025'!$M284), K$4&lt;&gt;DATE(2025,7,4)), (SWITCH(weekday(K$4), 1, 0, 2, if(ISBLANK('2025'!$P284), 0, 1), 3, if(ISBLANK('2025'!$Q284), 0, 1), 4, if(ISBLANK('2025'!$R284), 0, 1), 5, if(ISBLANK('2025'!$S284), 0, 1), 6, if(ISBLANK('2025'!$T284), 0, 1), 7, 0))), 1, "")</f>
        <v/>
      </c>
      <c r="L286" s="1" t="str">
        <f>IF(AND(AND(AND(L$4&gt;='2025'!$L284,L$4&lt;='2025'!$M284), L$4&lt;&gt;DATE(2025,7,4)), (SWITCH(weekday(L$4), 1, 0, 2, if(ISBLANK('2025'!$P284), 0, 1), 3, if(ISBLANK('2025'!$Q284), 0, 1), 4, if(ISBLANK('2025'!$R284), 0, 1), 5, if(ISBLANK('2025'!$S284), 0, 1), 6, if(ISBLANK('2025'!$T284), 0, 1), 7, 0))), 1, "")</f>
        <v/>
      </c>
      <c r="M286" s="1" t="str">
        <f>IF(AND(AND(AND(M$4&gt;='2025'!$L284,M$4&lt;='2025'!$M284), M$4&lt;&gt;DATE(2025,7,4)), (SWITCH(weekday(M$4), 1, 0, 2, if(ISBLANK('2025'!$P284), 0, 1), 3, if(ISBLANK('2025'!$Q284), 0, 1), 4, if(ISBLANK('2025'!$R284), 0, 1), 5, if(ISBLANK('2025'!$S284), 0, 1), 6, if(ISBLANK('2025'!$T284), 0, 1), 7, 0))), 1, "")</f>
        <v/>
      </c>
      <c r="N286" s="1" t="str">
        <f>IF(AND(AND(AND(N$4&gt;='2025'!$L284,N$4&lt;='2025'!$M284), N$4&lt;&gt;DATE(2025,7,4)), (SWITCH(weekday(N$4), 1, 0, 2, if(ISBLANK('2025'!$P284), 0, 1), 3, if(ISBLANK('2025'!$Q284), 0, 1), 4, if(ISBLANK('2025'!$R284), 0, 1), 5, if(ISBLANK('2025'!$S284), 0, 1), 6, if(ISBLANK('2025'!$T284), 0, 1), 7, 0))), 1, "")</f>
        <v/>
      </c>
      <c r="O286" s="1" t="str">
        <f>IF(AND(AND(AND(O$4&gt;='2025'!$L284,O$4&lt;='2025'!$M284), O$4&lt;&gt;DATE(2025,7,4)), (SWITCH(weekday(O$4), 1, 0, 2, if(ISBLANK('2025'!$P284), 0, 1), 3, if(ISBLANK('2025'!$Q284), 0, 1), 4, if(ISBLANK('2025'!$R284), 0, 1), 5, if(ISBLANK('2025'!$S284), 0, 1), 6, if(ISBLANK('2025'!$T284), 0, 1), 7, 0))), 1, "")</f>
        <v/>
      </c>
      <c r="P286" s="1" t="str">
        <f>IF(AND(AND(AND(P$4&gt;='2025'!$L284,P$4&lt;='2025'!$M284), P$4&lt;&gt;DATE(2025,7,4)), (SWITCH(weekday(P$4), 1, 0, 2, if(ISBLANK('2025'!$P284), 0, 1), 3, if(ISBLANK('2025'!$Q284), 0, 1), 4, if(ISBLANK('2025'!$R284), 0, 1), 5, if(ISBLANK('2025'!$S284), 0, 1), 6, if(ISBLANK('2025'!$T284), 0, 1), 7, 0))), 1, "")</f>
        <v/>
      </c>
      <c r="Q286" s="1" t="str">
        <f>IF(AND(AND(AND(Q$4&gt;='2025'!$L284,Q$4&lt;='2025'!$M284), Q$4&lt;&gt;DATE(2025,7,4)), (SWITCH(weekday(Q$4), 1, 0, 2, if(ISBLANK('2025'!$P284), 0, 1), 3, if(ISBLANK('2025'!$Q284), 0, 1), 4, if(ISBLANK('2025'!$R284), 0, 1), 5, if(ISBLANK('2025'!$S284), 0, 1), 6, if(ISBLANK('2025'!$T284), 0, 1), 7, 0))), 1, "")</f>
        <v/>
      </c>
      <c r="R286" s="1" t="str">
        <f>IF(AND(AND(AND(R$4&gt;='2025'!$L284,R$4&lt;='2025'!$M284), R$4&lt;&gt;DATE(2025,7,4)), (SWITCH(weekday(R$4), 1, 0, 2, if(ISBLANK('2025'!$P284), 0, 1), 3, if(ISBLANK('2025'!$Q284), 0, 1), 4, if(ISBLANK('2025'!$R284), 0, 1), 5, if(ISBLANK('2025'!$S284), 0, 1), 6, if(ISBLANK('2025'!$T284), 0, 1), 7, 0))), 1, "")</f>
        <v/>
      </c>
      <c r="S286" s="1" t="str">
        <f>IF(AND(AND(AND(S$4&gt;='2025'!$L284,S$4&lt;='2025'!$M284), S$4&lt;&gt;DATE(2025,7,4)), (SWITCH(weekday(S$4), 1, 0, 2, if(ISBLANK('2025'!$P284), 0, 1), 3, if(ISBLANK('2025'!$Q284), 0, 1), 4, if(ISBLANK('2025'!$R284), 0, 1), 5, if(ISBLANK('2025'!$S284), 0, 1), 6, if(ISBLANK('2025'!$T284), 0, 1), 7, 0))), 1, "")</f>
        <v/>
      </c>
      <c r="T286" s="1" t="str">
        <f>IF(AND(AND(AND(T$4&gt;='2025'!$L284,T$4&lt;='2025'!$M284), T$4&lt;&gt;DATE(2025,7,4)), (SWITCH(weekday(T$4), 1, 0, 2, if(ISBLANK('2025'!$P284), 0, 1), 3, if(ISBLANK('2025'!$Q284), 0, 1), 4, if(ISBLANK('2025'!$R284), 0, 1), 5, if(ISBLANK('2025'!$S284), 0, 1), 6, if(ISBLANK('2025'!$T284), 0, 1), 7, 0))), 1, "")</f>
        <v/>
      </c>
      <c r="U286" s="1" t="str">
        <f>IF(AND(AND(AND(U$4&gt;='2025'!$L284,U$4&lt;='2025'!$M284), U$4&lt;&gt;DATE(2025,7,4)), (SWITCH(weekday(U$4), 1, 0, 2, if(ISBLANK('2025'!$P284), 0, 1), 3, if(ISBLANK('2025'!$Q284), 0, 1), 4, if(ISBLANK('2025'!$R284), 0, 1), 5, if(ISBLANK('2025'!$S284), 0, 1), 6, if(ISBLANK('2025'!$T284), 0, 1), 7, 0))), 1, "")</f>
        <v/>
      </c>
      <c r="V286" s="1" t="str">
        <f>IF(AND(AND(AND(V$4&gt;='2025'!$L284,V$4&lt;='2025'!$M284), V$4&lt;&gt;DATE(2025,7,4)), (SWITCH(weekday(V$4), 1, 0, 2, if(ISBLANK('2025'!$P284), 0, 1), 3, if(ISBLANK('2025'!$Q284), 0, 1), 4, if(ISBLANK('2025'!$R284), 0, 1), 5, if(ISBLANK('2025'!$S284), 0, 1), 6, if(ISBLANK('2025'!$T284), 0, 1), 7, 0))), 1, "")</f>
        <v/>
      </c>
      <c r="W286" s="1" t="str">
        <f>IF(AND(AND(AND(W$4&gt;='2025'!$L284,W$4&lt;='2025'!$M284), W$4&lt;&gt;DATE(2025,7,4)), (SWITCH(weekday(W$4), 1, 0, 2, if(ISBLANK('2025'!$P284), 0, 1), 3, if(ISBLANK('2025'!$Q284), 0, 1), 4, if(ISBLANK('2025'!$R284), 0, 1), 5, if(ISBLANK('2025'!$S284), 0, 1), 6, if(ISBLANK('2025'!$T284), 0, 1), 7, 0))), 1, "")</f>
        <v/>
      </c>
      <c r="X286" s="1" t="str">
        <f>IF(AND(AND(AND(X$4&gt;='2025'!$L284,X$4&lt;='2025'!$M284), X$4&lt;&gt;DATE(2025,7,4)), (SWITCH(weekday(X$4), 1, 0, 2, if(ISBLANK('2025'!$P284), 0, 1), 3, if(ISBLANK('2025'!$Q284), 0, 1), 4, if(ISBLANK('2025'!$R284), 0, 1), 5, if(ISBLANK('2025'!$S284), 0, 1), 6, if(ISBLANK('2025'!$T284), 0, 1), 7, 0))), 1, "")</f>
        <v/>
      </c>
      <c r="Y286" s="1" t="str">
        <f>IF(AND(AND(AND(Y$4&gt;='2025'!$L284,Y$4&lt;='2025'!$M284), Y$4&lt;&gt;DATE(2025,7,4)), (SWITCH(weekday(Y$4), 1, 0, 2, if(ISBLANK('2025'!$P284), 0, 1), 3, if(ISBLANK('2025'!$Q284), 0, 1), 4, if(ISBLANK('2025'!$R284), 0, 1), 5, if(ISBLANK('2025'!$S284), 0, 1), 6, if(ISBLANK('2025'!$T284), 0, 1), 7, 0))), 1, "")</f>
        <v/>
      </c>
      <c r="Z286" s="1" t="str">
        <f>IF(AND(AND(AND(Z$4&gt;='2025'!$L284,Z$4&lt;='2025'!$M284), Z$4&lt;&gt;DATE(2025,7,4)), (SWITCH(weekday(Z$4), 1, 0, 2, if(ISBLANK('2025'!$P284), 0, 1), 3, if(ISBLANK('2025'!$Q284), 0, 1), 4, if(ISBLANK('2025'!$R284), 0, 1), 5, if(ISBLANK('2025'!$S284), 0, 1), 6, if(ISBLANK('2025'!$T284), 0, 1), 7, 0))), 1, "")</f>
        <v/>
      </c>
      <c r="AA286" s="1" t="str">
        <f>IF(AND(AND(AND(AA$4&gt;='2025'!$L284,AA$4&lt;='2025'!$M284), AA$4&lt;&gt;DATE(2025,7,4)), (SWITCH(weekday(AA$4), 1, 0, 2, if(ISBLANK('2025'!$P284), 0, 1), 3, if(ISBLANK('2025'!$Q284), 0, 1), 4, if(ISBLANK('2025'!$R284), 0, 1), 5, if(ISBLANK('2025'!$S284), 0, 1), 6, if(ISBLANK('2025'!$T284), 0, 1), 7, 0))), 1, "")</f>
        <v/>
      </c>
      <c r="AB286" s="1" t="str">
        <f>IF(AND(AND(AND(AB$4&gt;='2025'!$L284,AB$4&lt;='2025'!$M284), AB$4&lt;&gt;DATE(2025,7,4)), (SWITCH(weekday(AB$4), 1, 0, 2, if(ISBLANK('2025'!$P284), 0, 1), 3, if(ISBLANK('2025'!$Q284), 0, 1), 4, if(ISBLANK('2025'!$R284), 0, 1), 5, if(ISBLANK('2025'!$S284), 0, 1), 6, if(ISBLANK('2025'!$T284), 0, 1), 7, 0))), 1, "")</f>
        <v/>
      </c>
      <c r="AC286" s="1" t="str">
        <f>IF(AND(AND(AND(AC$4&gt;='2025'!$L284,AC$4&lt;='2025'!$M284), AC$4&lt;&gt;DATE(2025,7,4)), (SWITCH(weekday(AC$4), 1, 0, 2, if(ISBLANK('2025'!$P284), 0, 1), 3, if(ISBLANK('2025'!$Q284), 0, 1), 4, if(ISBLANK('2025'!$R284), 0, 1), 5, if(ISBLANK('2025'!$S284), 0, 1), 6, if(ISBLANK('2025'!$T284), 0, 1), 7, 0))), 1, "")</f>
        <v/>
      </c>
      <c r="AD286" s="1" t="str">
        <f>IF(AND(AND(AND(AD$4&gt;='2025'!$L284,AD$4&lt;='2025'!$M284), AD$4&lt;&gt;DATE(2025,7,4)), (SWITCH(weekday(AD$4), 1, 0, 2, if(ISBLANK('2025'!$P284), 0, 1), 3, if(ISBLANK('2025'!$Q284), 0, 1), 4, if(ISBLANK('2025'!$R284), 0, 1), 5, if(ISBLANK('2025'!$S284), 0, 1), 6, if(ISBLANK('2025'!$T284), 0, 1), 7, 0))), 1, "")</f>
        <v/>
      </c>
      <c r="AE286" s="1" t="str">
        <f>IF(AND(AND(AND(AE$4&gt;='2025'!$L284,AE$4&lt;='2025'!$M284), AE$4&lt;&gt;DATE(2025,7,4)), (SWITCH(weekday(AE$4), 1, 0, 2, if(ISBLANK('2025'!$P284), 0, 1), 3, if(ISBLANK('2025'!$Q284), 0, 1), 4, if(ISBLANK('2025'!$R284), 0, 1), 5, if(ISBLANK('2025'!$S284), 0, 1), 6, if(ISBLANK('2025'!$T284), 0, 1), 7, 0))), 1, "")</f>
        <v/>
      </c>
      <c r="AF286" s="1" t="str">
        <f>IF(AND(AND(AND(AF$4&gt;='2025'!$L284,AF$4&lt;='2025'!$M284), AF$4&lt;&gt;DATE(2025,7,4)), (SWITCH(weekday(AF$4), 1, 0, 2, if(ISBLANK('2025'!$P284), 0, 1), 3, if(ISBLANK('2025'!$Q284), 0, 1), 4, if(ISBLANK('2025'!$R284), 0, 1), 5, if(ISBLANK('2025'!$S284), 0, 1), 6, if(ISBLANK('2025'!$T284), 0, 1), 7, 0))), 1, "")</f>
        <v/>
      </c>
      <c r="AG286" s="1" t="str">
        <f>IF(AND(AND(AND(AG$4&gt;='2025'!$L284,AG$4&lt;='2025'!$M284), AG$4&lt;&gt;DATE(2025,7,4)), (SWITCH(weekday(AG$4), 1, 0, 2, if(ISBLANK('2025'!$P284), 0, 1), 3, if(ISBLANK('2025'!$Q284), 0, 1), 4, if(ISBLANK('2025'!$R284), 0, 1), 5, if(ISBLANK('2025'!$S284), 0, 1), 6, if(ISBLANK('2025'!$T284), 0, 1), 7, 0))), 1, "")</f>
        <v/>
      </c>
      <c r="AH286" s="1" t="str">
        <f>IF(AND(AND(AND(AH$4&gt;='2025'!$L284,AH$4&lt;='2025'!$M284), AH$4&lt;&gt;DATE(2025,7,4)), (SWITCH(weekday(AH$4), 1, 0, 2, if(ISBLANK('2025'!$P284), 0, 1), 3, if(ISBLANK('2025'!$Q284), 0, 1), 4, if(ISBLANK('2025'!$R284), 0, 1), 5, if(ISBLANK('2025'!$S284), 0, 1), 6, if(ISBLANK('2025'!$T284), 0, 1), 7, 0))), 1, "")</f>
        <v/>
      </c>
      <c r="AI286" s="1" t="str">
        <f>IF(AND(AND(AND(AI$4&gt;='2025'!$L284,AI$4&lt;='2025'!$M284), AI$4&lt;&gt;DATE(2025,7,4)), (SWITCH(weekday(AI$4), 1, 0, 2, if(ISBLANK('2025'!$P284), 0, 1), 3, if(ISBLANK('2025'!$Q284), 0, 1), 4, if(ISBLANK('2025'!$R284), 0, 1), 5, if(ISBLANK('2025'!$S284), 0, 1), 6, if(ISBLANK('2025'!$T284), 0, 1), 7, 0))), 1, "")</f>
        <v/>
      </c>
      <c r="AJ286" s="1" t="str">
        <f>IF(AND(AND(AND(AJ$4&gt;='2025'!$L284,AJ$4&lt;='2025'!$M284), AJ$4&lt;&gt;DATE(2025,7,4)), (SWITCH(weekday(AJ$4), 1, 0, 2, if(ISBLANK('2025'!$P284), 0, 1), 3, if(ISBLANK('2025'!$Q284), 0, 1), 4, if(ISBLANK('2025'!$R284), 0, 1), 5, if(ISBLANK('2025'!$S284), 0, 1), 6, if(ISBLANK('2025'!$T284), 0, 1), 7, 0))), 1, "")</f>
        <v/>
      </c>
      <c r="AK286" s="1" t="str">
        <f>IF(AND(AND(AND(AK$4&gt;='2025'!$L284,AK$4&lt;='2025'!$M284), AK$4&lt;&gt;DATE(2025,7,4)), (SWITCH(weekday(AK$4), 1, 0, 2, if(ISBLANK('2025'!$P284), 0, 1), 3, if(ISBLANK('2025'!$Q284), 0, 1), 4, if(ISBLANK('2025'!$R284), 0, 1), 5, if(ISBLANK('2025'!$S284), 0, 1), 6, if(ISBLANK('2025'!$T284), 0, 1), 7, 0))), 1, "")</f>
        <v/>
      </c>
      <c r="AL286" s="1" t="str">
        <f>IF(AND(AND(AND(AL$4&gt;='2025'!$L284,AL$4&lt;='2025'!$M284), AL$4&lt;&gt;DATE(2025,7,4)), (SWITCH(weekday(AL$4), 1, 0, 2, if(ISBLANK('2025'!$P284), 0, 1), 3, if(ISBLANK('2025'!$Q284), 0, 1), 4, if(ISBLANK('2025'!$R284), 0, 1), 5, if(ISBLANK('2025'!$S284), 0, 1), 6, if(ISBLANK('2025'!$T284), 0, 1), 7, 0))), 1, "")</f>
        <v/>
      </c>
      <c r="AM286" s="1" t="str">
        <f>IF(AND(AND(AND(AM$4&gt;='2025'!$L284,AM$4&lt;='2025'!$M284), AM$4&lt;&gt;DATE(2025,7,4)), (SWITCH(weekday(AM$4), 1, 0, 2, if(ISBLANK('2025'!$P284), 0, 1), 3, if(ISBLANK('2025'!$Q284), 0, 1), 4, if(ISBLANK('2025'!$R284), 0, 1), 5, if(ISBLANK('2025'!$S284), 0, 1), 6, if(ISBLANK('2025'!$T284), 0, 1), 7, 0))), 1, "")</f>
        <v/>
      </c>
      <c r="AN286" s="1" t="str">
        <f>IF(AND(AND(AND(AN$4&gt;='2025'!$L284,AN$4&lt;='2025'!$M284), AN$4&lt;&gt;DATE(2025,7,4)), (SWITCH(weekday(AN$4), 1, 0, 2, if(ISBLANK('2025'!$P284), 0, 1), 3, if(ISBLANK('2025'!$Q284), 0, 1), 4, if(ISBLANK('2025'!$R284), 0, 1), 5, if(ISBLANK('2025'!$S284), 0, 1), 6, if(ISBLANK('2025'!$T284), 0, 1), 7, 0))), 1, "")</f>
        <v/>
      </c>
      <c r="AO286" s="1" t="str">
        <f>IF(AND(AND(AND(AO$4&gt;='2025'!$L284,AO$4&lt;='2025'!$M284), AO$4&lt;&gt;DATE(2025,7,4)), (SWITCH(weekday(AO$4), 1, 0, 2, if(ISBLANK('2025'!$P284), 0, 1), 3, if(ISBLANK('2025'!$Q284), 0, 1), 4, if(ISBLANK('2025'!$R284), 0, 1), 5, if(ISBLANK('2025'!$S284), 0, 1), 6, if(ISBLANK('2025'!$T284), 0, 1), 7, 0))), 1, "")</f>
        <v/>
      </c>
      <c r="AP286" s="1" t="str">
        <f>IF(AND(AND(AND(AP$4&gt;='2025'!$L284,AP$4&lt;='2025'!$M284), AP$4&lt;&gt;DATE(2025,7,4)), (SWITCH(weekday(AP$4), 1, 0, 2, if(ISBLANK('2025'!$P284), 0, 1), 3, if(ISBLANK('2025'!$Q284), 0, 1), 4, if(ISBLANK('2025'!$R284), 0, 1), 5, if(ISBLANK('2025'!$S284), 0, 1), 6, if(ISBLANK('2025'!$T284), 0, 1), 7, 0))), 1, "")</f>
        <v/>
      </c>
      <c r="AQ286" s="1" t="str">
        <f>IF(AND(AND(AND(AQ$4&gt;='2025'!$L284,AQ$4&lt;='2025'!$M284), AQ$4&lt;&gt;DATE(2025,7,4)), (SWITCH(weekday(AQ$4), 1, 0, 2, if(ISBLANK('2025'!$P284), 0, 1), 3, if(ISBLANK('2025'!$Q284), 0, 1), 4, if(ISBLANK('2025'!$R284), 0, 1), 5, if(ISBLANK('2025'!$S284), 0, 1), 6, if(ISBLANK('2025'!$T284), 0, 1), 7, 0))), 1, "")</f>
        <v/>
      </c>
      <c r="AR286" s="1" t="str">
        <f>IF(AND(AND(AND(AR$4&gt;='2025'!$L284,AR$4&lt;='2025'!$M284), AR$4&lt;&gt;DATE(2025,7,4)), (SWITCH(weekday(AR$4), 1, 0, 2, if(ISBLANK('2025'!$P284), 0, 1), 3, if(ISBLANK('2025'!$Q284), 0, 1), 4, if(ISBLANK('2025'!$R284), 0, 1), 5, if(ISBLANK('2025'!$S284), 0, 1), 6, if(ISBLANK('2025'!$T284), 0, 1), 7, 0))), 1, "")</f>
        <v/>
      </c>
      <c r="AS286" s="1" t="str">
        <f>IF(AND(AND(AND(AS$4&gt;='2025'!$L284,AS$4&lt;='2025'!$M284), AS$4&lt;&gt;DATE(2025,7,4)), (SWITCH(weekday(AS$4), 1, 0, 2, if(ISBLANK('2025'!$P284), 0, 1), 3, if(ISBLANK('2025'!$Q284), 0, 1), 4, if(ISBLANK('2025'!$R284), 0, 1), 5, if(ISBLANK('2025'!$S284), 0, 1), 6, if(ISBLANK('2025'!$T284), 0, 1), 7, 0))), 1, "")</f>
        <v/>
      </c>
      <c r="AT286" s="1" t="str">
        <f>IF(AND(AND(AND(AT$4&gt;='2025'!$L284,AT$4&lt;='2025'!$M284), AT$4&lt;&gt;DATE(2025,7,4)), (SWITCH(weekday(AT$4), 1, 0, 2, if(ISBLANK('2025'!$P284), 0, 1), 3, if(ISBLANK('2025'!$Q284), 0, 1), 4, if(ISBLANK('2025'!$R284), 0, 1), 5, if(ISBLANK('2025'!$S284), 0, 1), 6, if(ISBLANK('2025'!$T284), 0, 1), 7, 0))), 1, "")</f>
        <v/>
      </c>
      <c r="AU286" s="1" t="str">
        <f>IF(AND(AND(AND(AU$4&gt;='2025'!$L284,AU$4&lt;='2025'!$M284), AU$4&lt;&gt;DATE(2025,7,4)), (SWITCH(weekday(AU$4), 1, 0, 2, if(ISBLANK('2025'!$P284), 0, 1), 3, if(ISBLANK('2025'!$Q284), 0, 1), 4, if(ISBLANK('2025'!$R284), 0, 1), 5, if(ISBLANK('2025'!$S284), 0, 1), 6, if(ISBLANK('2025'!$T284), 0, 1), 7, 0))), 1, "")</f>
        <v/>
      </c>
      <c r="AV286" s="1" t="str">
        <f>IF(AND(AND(AND(AV$4&gt;='2025'!$L284,AV$4&lt;='2025'!$M284), AV$4&lt;&gt;DATE(2025,7,4)), (SWITCH(weekday(AV$4), 1, 0, 2, if(ISBLANK('2025'!$P284), 0, 1), 3, if(ISBLANK('2025'!$Q284), 0, 1), 4, if(ISBLANK('2025'!$R284), 0, 1), 5, if(ISBLANK('2025'!$S284), 0, 1), 6, if(ISBLANK('2025'!$T284), 0, 1), 7, 0))), 1, "")</f>
        <v/>
      </c>
      <c r="AW286" s="1" t="str">
        <f>IF(AND(AND(AND(AW$4&gt;='2025'!$L284,AW$4&lt;='2025'!$M284), AW$4&lt;&gt;DATE(2025,7,4)), (SWITCH(weekday(AW$4), 1, 0, 2, if(ISBLANK('2025'!$P284), 0, 1), 3, if(ISBLANK('2025'!$Q284), 0, 1), 4, if(ISBLANK('2025'!$R284), 0, 1), 5, if(ISBLANK('2025'!$S284), 0, 1), 6, if(ISBLANK('2025'!$T284), 0, 1), 7, 0))), 1, "")</f>
        <v/>
      </c>
      <c r="AX286" s="1" t="str">
        <f>IF(AND(AND(AND(AX$4&gt;='2025'!$L284,AX$4&lt;='2025'!$M284), AX$4&lt;&gt;DATE(2025,7,4)), (SWITCH(weekday(AX$4), 1, 0, 2, if(ISBLANK('2025'!$P284), 0, 1), 3, if(ISBLANK('2025'!$Q284), 0, 1), 4, if(ISBLANK('2025'!$R284), 0, 1), 5, if(ISBLANK('2025'!$S284), 0, 1), 6, if(ISBLANK('2025'!$T284), 0, 1), 7, 0))), 1, "")</f>
        <v/>
      </c>
      <c r="AY286" s="1" t="str">
        <f>IF(AND(AND(AND(AY$4&gt;='2025'!$L284,AY$4&lt;='2025'!$M284), AY$4&lt;&gt;DATE(2025,7,4)), (SWITCH(weekday(AY$4), 1, 0, 2, if(ISBLANK('2025'!$P284), 0, 1), 3, if(ISBLANK('2025'!$Q284), 0, 1), 4, if(ISBLANK('2025'!$R284), 0, 1), 5, if(ISBLANK('2025'!$S284), 0, 1), 6, if(ISBLANK('2025'!$T284), 0, 1), 7, 0))), 1, "")</f>
        <v/>
      </c>
      <c r="AZ286" s="1" t="str">
        <f>IF(AND(AND(AND(AZ$4&gt;='2025'!$L284,AZ$4&lt;='2025'!$M284), AZ$4&lt;&gt;DATE(2025,7,4)), (SWITCH(weekday(AZ$4), 1, 0, 2, if(ISBLANK('2025'!$P284), 0, 1), 3, if(ISBLANK('2025'!$Q284), 0, 1), 4, if(ISBLANK('2025'!$R284), 0, 1), 5, if(ISBLANK('2025'!$S284), 0, 1), 6, if(ISBLANK('2025'!$T284), 0, 1), 7, 0))), 1, "")</f>
        <v/>
      </c>
      <c r="BA286" s="1" t="str">
        <f>IF(AND(AND(AND(BA$4&gt;='2025'!$L284,BA$4&lt;='2025'!$M284), BA$4&lt;&gt;DATE(2025,7,4)), (SWITCH(weekday(BA$4), 1, 0, 2, if(ISBLANK('2025'!$P284), 0, 1), 3, if(ISBLANK('2025'!$Q284), 0, 1), 4, if(ISBLANK('2025'!$R284), 0, 1), 5, if(ISBLANK('2025'!$S284), 0, 1), 6, if(ISBLANK('2025'!$T284), 0, 1), 7, 0))), 1, "")</f>
        <v/>
      </c>
      <c r="BB286" s="1" t="str">
        <f>IF(AND(AND(AND(BB$4&gt;='2025'!$L284,BB$4&lt;='2025'!$M284), BB$4&lt;&gt;DATE(2025,7,4)), (SWITCH(weekday(BB$4), 1, 0, 2, if(ISBLANK('2025'!$P284), 0, 1), 3, if(ISBLANK('2025'!$Q284), 0, 1), 4, if(ISBLANK('2025'!$R284), 0, 1), 5, if(ISBLANK('2025'!$S284), 0, 1), 6, if(ISBLANK('2025'!$T284), 0, 1), 7, 0))), 1, "")</f>
        <v/>
      </c>
      <c r="BC286" s="1" t="str">
        <f>IF(AND(AND(AND(BC$4&gt;='2025'!$L284,BC$4&lt;='2025'!$M284), BC$4&lt;&gt;DATE(2025,7,4)), (SWITCH(weekday(BC$4), 1, 0, 2, if(ISBLANK('2025'!$P284), 0, 1), 3, if(ISBLANK('2025'!$Q284), 0, 1), 4, if(ISBLANK('2025'!$R284), 0, 1), 5, if(ISBLANK('2025'!$S284), 0, 1), 6, if(ISBLANK('2025'!$T284), 0, 1), 7, 0))), 1, "")</f>
        <v/>
      </c>
      <c r="BD286" s="1" t="str">
        <f>IF(AND(AND(AND(BD$4&gt;='2025'!$L284,BD$4&lt;='2025'!$M284), BD$4&lt;&gt;DATE(2025,7,4)), (SWITCH(weekday(BD$4), 1, 0, 2, if(ISBLANK('2025'!$P284), 0, 1), 3, if(ISBLANK('2025'!$Q284), 0, 1), 4, if(ISBLANK('2025'!$R284), 0, 1), 5, if(ISBLANK('2025'!$S284), 0, 1), 6, if(ISBLANK('2025'!$T284), 0, 1), 7, 0))), 1, "")</f>
        <v/>
      </c>
      <c r="BE286" s="1" t="str">
        <f>IF(AND(AND(AND(BE$4&gt;='2025'!$L284,BE$4&lt;='2025'!$M284), BE$4&lt;&gt;DATE(2025,7,4)), (SWITCH(weekday(BE$4), 1, 0, 2, if(ISBLANK('2025'!$P284), 0, 1), 3, if(ISBLANK('2025'!$Q284), 0, 1), 4, if(ISBLANK('2025'!$R284), 0, 1), 5, if(ISBLANK('2025'!$S284), 0, 1), 6, if(ISBLANK('2025'!$T284), 0, 1), 7, 0))), 1, "")</f>
        <v/>
      </c>
      <c r="BF286" s="1" t="str">
        <f>IF(AND(AND(AND(BF$4&gt;='2025'!$L284,BF$4&lt;='2025'!$M284), BF$4&lt;&gt;DATE(2025,7,4)), (SWITCH(weekday(BF$4), 1, 0, 2, if(ISBLANK('2025'!$P284), 0, 1), 3, if(ISBLANK('2025'!$Q284), 0, 1), 4, if(ISBLANK('2025'!$R284), 0, 1), 5, if(ISBLANK('2025'!$S284), 0, 1), 6, if(ISBLANK('2025'!$T284), 0, 1), 7, 0))), 1, "")</f>
        <v/>
      </c>
      <c r="BG286" s="1"/>
      <c r="BH286" s="1"/>
      <c r="BI286" s="1"/>
      <c r="BJ286" s="1"/>
      <c r="BK286" s="1"/>
      <c r="BL286" s="1"/>
    </row>
    <row r="287">
      <c r="A287" s="1">
        <f t="shared" si="3"/>
        <v>287</v>
      </c>
      <c r="B287" s="1" t="str">
        <f>'2025'!D251</f>
        <v>, </v>
      </c>
      <c r="C287" s="1" t="str">
        <f>'2025'!H251</f>
        <v/>
      </c>
      <c r="D287" s="1" t="str">
        <f>IF(AND(AND(AND(D$4&gt;='2025'!$L285,D$4&lt;='2025'!$M285), D$4&lt;&gt;DATE(2025,7,4)), (SWITCH(weekday(D$4), 1, 0, 2, if(ISBLANK('2025'!$P285), 0, 1), 3, if(ISBLANK('2025'!$Q285), 0, 1), 4, if(ISBLANK('2025'!$R285), 0, 1), 5, if(ISBLANK('2025'!$S285), 0, 1), 6, if(ISBLANK('2025'!$T285), 0, 1), 7, 0))), 1, "")</f>
        <v/>
      </c>
      <c r="E287" s="1" t="str">
        <f>IF(AND(AND(AND(E$4&gt;='2025'!$L285,E$4&lt;='2025'!$M285), E$4&lt;&gt;DATE(2025,7,4)), (SWITCH(weekday(E$4), 1, 0, 2, if(ISBLANK('2025'!$P285), 0, 1), 3, if(ISBLANK('2025'!$Q285), 0, 1), 4, if(ISBLANK('2025'!$R285), 0, 1), 5, if(ISBLANK('2025'!$S285), 0, 1), 6, if(ISBLANK('2025'!$T285), 0, 1), 7, 0))), 1, "")</f>
        <v/>
      </c>
      <c r="F287" s="1" t="str">
        <f>IF(AND(AND(AND(F$4&gt;='2025'!$L285,F$4&lt;='2025'!$M285), F$4&lt;&gt;DATE(2025,7,4)), (SWITCH(weekday(F$4), 1, 0, 2, if(ISBLANK('2025'!$P285), 0, 1), 3, if(ISBLANK('2025'!$Q285), 0, 1), 4, if(ISBLANK('2025'!$R285), 0, 1), 5, if(ISBLANK('2025'!$S285), 0, 1), 6, if(ISBLANK('2025'!$T285), 0, 1), 7, 0))), 1, "")</f>
        <v/>
      </c>
      <c r="G287" s="1" t="str">
        <f>IF(AND(AND(AND(G$4&gt;='2025'!$L285,G$4&lt;='2025'!$M285), G$4&lt;&gt;DATE(2025,7,4)), (SWITCH(weekday(G$4), 1, 0, 2, if(ISBLANK('2025'!$P285), 0, 1), 3, if(ISBLANK('2025'!$Q285), 0, 1), 4, if(ISBLANK('2025'!$R285), 0, 1), 5, if(ISBLANK('2025'!$S285), 0, 1), 6, if(ISBLANK('2025'!$T285), 0, 1), 7, 0))), 1, "")</f>
        <v/>
      </c>
      <c r="H287" s="1" t="str">
        <f>IF(AND(AND(AND(H$4&gt;='2025'!$L285,H$4&lt;='2025'!$M285), H$4&lt;&gt;DATE(2025,7,4)), (SWITCH(weekday(H$4), 1, 0, 2, if(ISBLANK('2025'!$P285), 0, 1), 3, if(ISBLANK('2025'!$Q285), 0, 1), 4, if(ISBLANK('2025'!$R285), 0, 1), 5, if(ISBLANK('2025'!$S285), 0, 1), 6, if(ISBLANK('2025'!$T285), 0, 1), 7, 0))), 1, "")</f>
        <v/>
      </c>
      <c r="I287" s="1" t="str">
        <f>IF(AND(AND(AND(I$4&gt;='2025'!$L285,I$4&lt;='2025'!$M285), I$4&lt;&gt;DATE(2025,7,4)), (SWITCH(weekday(I$4), 1, 0, 2, if(ISBLANK('2025'!$P285), 0, 1), 3, if(ISBLANK('2025'!$Q285), 0, 1), 4, if(ISBLANK('2025'!$R285), 0, 1), 5, if(ISBLANK('2025'!$S285), 0, 1), 6, if(ISBLANK('2025'!$T285), 0, 1), 7, 0))), 1, "")</f>
        <v/>
      </c>
      <c r="J287" s="1" t="str">
        <f>IF(AND(AND(AND(J$4&gt;='2025'!$L285,J$4&lt;='2025'!$M285), J$4&lt;&gt;DATE(2025,7,4)), (SWITCH(weekday(J$4), 1, 0, 2, if(ISBLANK('2025'!$P285), 0, 1), 3, if(ISBLANK('2025'!$Q285), 0, 1), 4, if(ISBLANK('2025'!$R285), 0, 1), 5, if(ISBLANK('2025'!$S285), 0, 1), 6, if(ISBLANK('2025'!$T285), 0, 1), 7, 0))), 1, "")</f>
        <v/>
      </c>
      <c r="K287" s="1" t="str">
        <f>IF(AND(AND(AND(K$4&gt;='2025'!$L285,K$4&lt;='2025'!$M285), K$4&lt;&gt;DATE(2025,7,4)), (SWITCH(weekday(K$4), 1, 0, 2, if(ISBLANK('2025'!$P285), 0, 1), 3, if(ISBLANK('2025'!$Q285), 0, 1), 4, if(ISBLANK('2025'!$R285), 0, 1), 5, if(ISBLANK('2025'!$S285), 0, 1), 6, if(ISBLANK('2025'!$T285), 0, 1), 7, 0))), 1, "")</f>
        <v/>
      </c>
      <c r="L287" s="1" t="str">
        <f>IF(AND(AND(AND(L$4&gt;='2025'!$L285,L$4&lt;='2025'!$M285), L$4&lt;&gt;DATE(2025,7,4)), (SWITCH(weekday(L$4), 1, 0, 2, if(ISBLANK('2025'!$P285), 0, 1), 3, if(ISBLANK('2025'!$Q285), 0, 1), 4, if(ISBLANK('2025'!$R285), 0, 1), 5, if(ISBLANK('2025'!$S285), 0, 1), 6, if(ISBLANK('2025'!$T285), 0, 1), 7, 0))), 1, "")</f>
        <v/>
      </c>
      <c r="M287" s="1" t="str">
        <f>IF(AND(AND(AND(M$4&gt;='2025'!$L285,M$4&lt;='2025'!$M285), M$4&lt;&gt;DATE(2025,7,4)), (SWITCH(weekday(M$4), 1, 0, 2, if(ISBLANK('2025'!$P285), 0, 1), 3, if(ISBLANK('2025'!$Q285), 0, 1), 4, if(ISBLANK('2025'!$R285), 0, 1), 5, if(ISBLANK('2025'!$S285), 0, 1), 6, if(ISBLANK('2025'!$T285), 0, 1), 7, 0))), 1, "")</f>
        <v/>
      </c>
      <c r="N287" s="1" t="str">
        <f>IF(AND(AND(AND(N$4&gt;='2025'!$L285,N$4&lt;='2025'!$M285), N$4&lt;&gt;DATE(2025,7,4)), (SWITCH(weekday(N$4), 1, 0, 2, if(ISBLANK('2025'!$P285), 0, 1), 3, if(ISBLANK('2025'!$Q285), 0, 1), 4, if(ISBLANK('2025'!$R285), 0, 1), 5, if(ISBLANK('2025'!$S285), 0, 1), 6, if(ISBLANK('2025'!$T285), 0, 1), 7, 0))), 1, "")</f>
        <v/>
      </c>
      <c r="O287" s="1" t="str">
        <f>IF(AND(AND(AND(O$4&gt;='2025'!$L285,O$4&lt;='2025'!$M285), O$4&lt;&gt;DATE(2025,7,4)), (SWITCH(weekday(O$4), 1, 0, 2, if(ISBLANK('2025'!$P285), 0, 1), 3, if(ISBLANK('2025'!$Q285), 0, 1), 4, if(ISBLANK('2025'!$R285), 0, 1), 5, if(ISBLANK('2025'!$S285), 0, 1), 6, if(ISBLANK('2025'!$T285), 0, 1), 7, 0))), 1, "")</f>
        <v/>
      </c>
      <c r="P287" s="1" t="str">
        <f>IF(AND(AND(AND(P$4&gt;='2025'!$L285,P$4&lt;='2025'!$M285), P$4&lt;&gt;DATE(2025,7,4)), (SWITCH(weekday(P$4), 1, 0, 2, if(ISBLANK('2025'!$P285), 0, 1), 3, if(ISBLANK('2025'!$Q285), 0, 1), 4, if(ISBLANK('2025'!$R285), 0, 1), 5, if(ISBLANK('2025'!$S285), 0, 1), 6, if(ISBLANK('2025'!$T285), 0, 1), 7, 0))), 1, "")</f>
        <v/>
      </c>
      <c r="Q287" s="1" t="str">
        <f>IF(AND(AND(AND(Q$4&gt;='2025'!$L285,Q$4&lt;='2025'!$M285), Q$4&lt;&gt;DATE(2025,7,4)), (SWITCH(weekday(Q$4), 1, 0, 2, if(ISBLANK('2025'!$P285), 0, 1), 3, if(ISBLANK('2025'!$Q285), 0, 1), 4, if(ISBLANK('2025'!$R285), 0, 1), 5, if(ISBLANK('2025'!$S285), 0, 1), 6, if(ISBLANK('2025'!$T285), 0, 1), 7, 0))), 1, "")</f>
        <v/>
      </c>
      <c r="R287" s="1" t="str">
        <f>IF(AND(AND(AND(R$4&gt;='2025'!$L285,R$4&lt;='2025'!$M285), R$4&lt;&gt;DATE(2025,7,4)), (SWITCH(weekday(R$4), 1, 0, 2, if(ISBLANK('2025'!$P285), 0, 1), 3, if(ISBLANK('2025'!$Q285), 0, 1), 4, if(ISBLANK('2025'!$R285), 0, 1), 5, if(ISBLANK('2025'!$S285), 0, 1), 6, if(ISBLANK('2025'!$T285), 0, 1), 7, 0))), 1, "")</f>
        <v/>
      </c>
      <c r="S287" s="1" t="str">
        <f>IF(AND(AND(AND(S$4&gt;='2025'!$L285,S$4&lt;='2025'!$M285), S$4&lt;&gt;DATE(2025,7,4)), (SWITCH(weekday(S$4), 1, 0, 2, if(ISBLANK('2025'!$P285), 0, 1), 3, if(ISBLANK('2025'!$Q285), 0, 1), 4, if(ISBLANK('2025'!$R285), 0, 1), 5, if(ISBLANK('2025'!$S285), 0, 1), 6, if(ISBLANK('2025'!$T285), 0, 1), 7, 0))), 1, "")</f>
        <v/>
      </c>
      <c r="T287" s="1" t="str">
        <f>IF(AND(AND(AND(T$4&gt;='2025'!$L285,T$4&lt;='2025'!$M285), T$4&lt;&gt;DATE(2025,7,4)), (SWITCH(weekday(T$4), 1, 0, 2, if(ISBLANK('2025'!$P285), 0, 1), 3, if(ISBLANK('2025'!$Q285), 0, 1), 4, if(ISBLANK('2025'!$R285), 0, 1), 5, if(ISBLANK('2025'!$S285), 0, 1), 6, if(ISBLANK('2025'!$T285), 0, 1), 7, 0))), 1, "")</f>
        <v/>
      </c>
      <c r="U287" s="1" t="str">
        <f>IF(AND(AND(AND(U$4&gt;='2025'!$L285,U$4&lt;='2025'!$M285), U$4&lt;&gt;DATE(2025,7,4)), (SWITCH(weekday(U$4), 1, 0, 2, if(ISBLANK('2025'!$P285), 0, 1), 3, if(ISBLANK('2025'!$Q285), 0, 1), 4, if(ISBLANK('2025'!$R285), 0, 1), 5, if(ISBLANK('2025'!$S285), 0, 1), 6, if(ISBLANK('2025'!$T285), 0, 1), 7, 0))), 1, "")</f>
        <v/>
      </c>
      <c r="V287" s="1" t="str">
        <f>IF(AND(AND(AND(V$4&gt;='2025'!$L285,V$4&lt;='2025'!$M285), V$4&lt;&gt;DATE(2025,7,4)), (SWITCH(weekday(V$4), 1, 0, 2, if(ISBLANK('2025'!$P285), 0, 1), 3, if(ISBLANK('2025'!$Q285), 0, 1), 4, if(ISBLANK('2025'!$R285), 0, 1), 5, if(ISBLANK('2025'!$S285), 0, 1), 6, if(ISBLANK('2025'!$T285), 0, 1), 7, 0))), 1, "")</f>
        <v/>
      </c>
      <c r="W287" s="1" t="str">
        <f>IF(AND(AND(AND(W$4&gt;='2025'!$L285,W$4&lt;='2025'!$M285), W$4&lt;&gt;DATE(2025,7,4)), (SWITCH(weekday(W$4), 1, 0, 2, if(ISBLANK('2025'!$P285), 0, 1), 3, if(ISBLANK('2025'!$Q285), 0, 1), 4, if(ISBLANK('2025'!$R285), 0, 1), 5, if(ISBLANK('2025'!$S285), 0, 1), 6, if(ISBLANK('2025'!$T285), 0, 1), 7, 0))), 1, "")</f>
        <v/>
      </c>
      <c r="X287" s="1" t="str">
        <f>IF(AND(AND(AND(X$4&gt;='2025'!$L285,X$4&lt;='2025'!$M285), X$4&lt;&gt;DATE(2025,7,4)), (SWITCH(weekday(X$4), 1, 0, 2, if(ISBLANK('2025'!$P285), 0, 1), 3, if(ISBLANK('2025'!$Q285), 0, 1), 4, if(ISBLANK('2025'!$R285), 0, 1), 5, if(ISBLANK('2025'!$S285), 0, 1), 6, if(ISBLANK('2025'!$T285), 0, 1), 7, 0))), 1, "")</f>
        <v/>
      </c>
      <c r="Y287" s="1" t="str">
        <f>IF(AND(AND(AND(Y$4&gt;='2025'!$L285,Y$4&lt;='2025'!$M285), Y$4&lt;&gt;DATE(2025,7,4)), (SWITCH(weekday(Y$4), 1, 0, 2, if(ISBLANK('2025'!$P285), 0, 1), 3, if(ISBLANK('2025'!$Q285), 0, 1), 4, if(ISBLANK('2025'!$R285), 0, 1), 5, if(ISBLANK('2025'!$S285), 0, 1), 6, if(ISBLANK('2025'!$T285), 0, 1), 7, 0))), 1, "")</f>
        <v/>
      </c>
      <c r="Z287" s="1" t="str">
        <f>IF(AND(AND(AND(Z$4&gt;='2025'!$L285,Z$4&lt;='2025'!$M285), Z$4&lt;&gt;DATE(2025,7,4)), (SWITCH(weekday(Z$4), 1, 0, 2, if(ISBLANK('2025'!$P285), 0, 1), 3, if(ISBLANK('2025'!$Q285), 0, 1), 4, if(ISBLANK('2025'!$R285), 0, 1), 5, if(ISBLANK('2025'!$S285), 0, 1), 6, if(ISBLANK('2025'!$T285), 0, 1), 7, 0))), 1, "")</f>
        <v/>
      </c>
      <c r="AA287" s="1" t="str">
        <f>IF(AND(AND(AND(AA$4&gt;='2025'!$L285,AA$4&lt;='2025'!$M285), AA$4&lt;&gt;DATE(2025,7,4)), (SWITCH(weekday(AA$4), 1, 0, 2, if(ISBLANK('2025'!$P285), 0, 1), 3, if(ISBLANK('2025'!$Q285), 0, 1), 4, if(ISBLANK('2025'!$R285), 0, 1), 5, if(ISBLANK('2025'!$S285), 0, 1), 6, if(ISBLANK('2025'!$T285), 0, 1), 7, 0))), 1, "")</f>
        <v/>
      </c>
      <c r="AB287" s="1" t="str">
        <f>IF(AND(AND(AND(AB$4&gt;='2025'!$L285,AB$4&lt;='2025'!$M285), AB$4&lt;&gt;DATE(2025,7,4)), (SWITCH(weekday(AB$4), 1, 0, 2, if(ISBLANK('2025'!$P285), 0, 1), 3, if(ISBLANK('2025'!$Q285), 0, 1), 4, if(ISBLANK('2025'!$R285), 0, 1), 5, if(ISBLANK('2025'!$S285), 0, 1), 6, if(ISBLANK('2025'!$T285), 0, 1), 7, 0))), 1, "")</f>
        <v/>
      </c>
      <c r="AC287" s="1" t="str">
        <f>IF(AND(AND(AND(AC$4&gt;='2025'!$L285,AC$4&lt;='2025'!$M285), AC$4&lt;&gt;DATE(2025,7,4)), (SWITCH(weekday(AC$4), 1, 0, 2, if(ISBLANK('2025'!$P285), 0, 1), 3, if(ISBLANK('2025'!$Q285), 0, 1), 4, if(ISBLANK('2025'!$R285), 0, 1), 5, if(ISBLANK('2025'!$S285), 0, 1), 6, if(ISBLANK('2025'!$T285), 0, 1), 7, 0))), 1, "")</f>
        <v/>
      </c>
      <c r="AD287" s="1" t="str">
        <f>IF(AND(AND(AND(AD$4&gt;='2025'!$L285,AD$4&lt;='2025'!$M285), AD$4&lt;&gt;DATE(2025,7,4)), (SWITCH(weekday(AD$4), 1, 0, 2, if(ISBLANK('2025'!$P285), 0, 1), 3, if(ISBLANK('2025'!$Q285), 0, 1), 4, if(ISBLANK('2025'!$R285), 0, 1), 5, if(ISBLANK('2025'!$S285), 0, 1), 6, if(ISBLANK('2025'!$T285), 0, 1), 7, 0))), 1, "")</f>
        <v/>
      </c>
      <c r="AE287" s="1" t="str">
        <f>IF(AND(AND(AND(AE$4&gt;='2025'!$L285,AE$4&lt;='2025'!$M285), AE$4&lt;&gt;DATE(2025,7,4)), (SWITCH(weekday(AE$4), 1, 0, 2, if(ISBLANK('2025'!$P285), 0, 1), 3, if(ISBLANK('2025'!$Q285), 0, 1), 4, if(ISBLANK('2025'!$R285), 0, 1), 5, if(ISBLANK('2025'!$S285), 0, 1), 6, if(ISBLANK('2025'!$T285), 0, 1), 7, 0))), 1, "")</f>
        <v/>
      </c>
      <c r="AF287" s="1" t="str">
        <f>IF(AND(AND(AND(AF$4&gt;='2025'!$L285,AF$4&lt;='2025'!$M285), AF$4&lt;&gt;DATE(2025,7,4)), (SWITCH(weekday(AF$4), 1, 0, 2, if(ISBLANK('2025'!$P285), 0, 1), 3, if(ISBLANK('2025'!$Q285), 0, 1), 4, if(ISBLANK('2025'!$R285), 0, 1), 5, if(ISBLANK('2025'!$S285), 0, 1), 6, if(ISBLANK('2025'!$T285), 0, 1), 7, 0))), 1, "")</f>
        <v/>
      </c>
      <c r="AG287" s="1" t="str">
        <f>IF(AND(AND(AND(AG$4&gt;='2025'!$L285,AG$4&lt;='2025'!$M285), AG$4&lt;&gt;DATE(2025,7,4)), (SWITCH(weekday(AG$4), 1, 0, 2, if(ISBLANK('2025'!$P285), 0, 1), 3, if(ISBLANK('2025'!$Q285), 0, 1), 4, if(ISBLANK('2025'!$R285), 0, 1), 5, if(ISBLANK('2025'!$S285), 0, 1), 6, if(ISBLANK('2025'!$T285), 0, 1), 7, 0))), 1, "")</f>
        <v/>
      </c>
      <c r="AH287" s="1" t="str">
        <f>IF(AND(AND(AND(AH$4&gt;='2025'!$L285,AH$4&lt;='2025'!$M285), AH$4&lt;&gt;DATE(2025,7,4)), (SWITCH(weekday(AH$4), 1, 0, 2, if(ISBLANK('2025'!$P285), 0, 1), 3, if(ISBLANK('2025'!$Q285), 0, 1), 4, if(ISBLANK('2025'!$R285), 0, 1), 5, if(ISBLANK('2025'!$S285), 0, 1), 6, if(ISBLANK('2025'!$T285), 0, 1), 7, 0))), 1, "")</f>
        <v/>
      </c>
      <c r="AI287" s="1" t="str">
        <f>IF(AND(AND(AND(AI$4&gt;='2025'!$L285,AI$4&lt;='2025'!$M285), AI$4&lt;&gt;DATE(2025,7,4)), (SWITCH(weekday(AI$4), 1, 0, 2, if(ISBLANK('2025'!$P285), 0, 1), 3, if(ISBLANK('2025'!$Q285), 0, 1), 4, if(ISBLANK('2025'!$R285), 0, 1), 5, if(ISBLANK('2025'!$S285), 0, 1), 6, if(ISBLANK('2025'!$T285), 0, 1), 7, 0))), 1, "")</f>
        <v/>
      </c>
      <c r="AJ287" s="1" t="str">
        <f>IF(AND(AND(AND(AJ$4&gt;='2025'!$L285,AJ$4&lt;='2025'!$M285), AJ$4&lt;&gt;DATE(2025,7,4)), (SWITCH(weekday(AJ$4), 1, 0, 2, if(ISBLANK('2025'!$P285), 0, 1), 3, if(ISBLANK('2025'!$Q285), 0, 1), 4, if(ISBLANK('2025'!$R285), 0, 1), 5, if(ISBLANK('2025'!$S285), 0, 1), 6, if(ISBLANK('2025'!$T285), 0, 1), 7, 0))), 1, "")</f>
        <v/>
      </c>
      <c r="AK287" s="1" t="str">
        <f>IF(AND(AND(AND(AK$4&gt;='2025'!$L285,AK$4&lt;='2025'!$M285), AK$4&lt;&gt;DATE(2025,7,4)), (SWITCH(weekday(AK$4), 1, 0, 2, if(ISBLANK('2025'!$P285), 0, 1), 3, if(ISBLANK('2025'!$Q285), 0, 1), 4, if(ISBLANK('2025'!$R285), 0, 1), 5, if(ISBLANK('2025'!$S285), 0, 1), 6, if(ISBLANK('2025'!$T285), 0, 1), 7, 0))), 1, "")</f>
        <v/>
      </c>
      <c r="AL287" s="1" t="str">
        <f>IF(AND(AND(AND(AL$4&gt;='2025'!$L285,AL$4&lt;='2025'!$M285), AL$4&lt;&gt;DATE(2025,7,4)), (SWITCH(weekday(AL$4), 1, 0, 2, if(ISBLANK('2025'!$P285), 0, 1), 3, if(ISBLANK('2025'!$Q285), 0, 1), 4, if(ISBLANK('2025'!$R285), 0, 1), 5, if(ISBLANK('2025'!$S285), 0, 1), 6, if(ISBLANK('2025'!$T285), 0, 1), 7, 0))), 1, "")</f>
        <v/>
      </c>
      <c r="AM287" s="1" t="str">
        <f>IF(AND(AND(AND(AM$4&gt;='2025'!$L285,AM$4&lt;='2025'!$M285), AM$4&lt;&gt;DATE(2025,7,4)), (SWITCH(weekday(AM$4), 1, 0, 2, if(ISBLANK('2025'!$P285), 0, 1), 3, if(ISBLANK('2025'!$Q285), 0, 1), 4, if(ISBLANK('2025'!$R285), 0, 1), 5, if(ISBLANK('2025'!$S285), 0, 1), 6, if(ISBLANK('2025'!$T285), 0, 1), 7, 0))), 1, "")</f>
        <v/>
      </c>
      <c r="AN287" s="1" t="str">
        <f>IF(AND(AND(AND(AN$4&gt;='2025'!$L285,AN$4&lt;='2025'!$M285), AN$4&lt;&gt;DATE(2025,7,4)), (SWITCH(weekday(AN$4), 1, 0, 2, if(ISBLANK('2025'!$P285), 0, 1), 3, if(ISBLANK('2025'!$Q285), 0, 1), 4, if(ISBLANK('2025'!$R285), 0, 1), 5, if(ISBLANK('2025'!$S285), 0, 1), 6, if(ISBLANK('2025'!$T285), 0, 1), 7, 0))), 1, "")</f>
        <v/>
      </c>
      <c r="AO287" s="1" t="str">
        <f>IF(AND(AND(AND(AO$4&gt;='2025'!$L285,AO$4&lt;='2025'!$M285), AO$4&lt;&gt;DATE(2025,7,4)), (SWITCH(weekday(AO$4), 1, 0, 2, if(ISBLANK('2025'!$P285), 0, 1), 3, if(ISBLANK('2025'!$Q285), 0, 1), 4, if(ISBLANK('2025'!$R285), 0, 1), 5, if(ISBLANK('2025'!$S285), 0, 1), 6, if(ISBLANK('2025'!$T285), 0, 1), 7, 0))), 1, "")</f>
        <v/>
      </c>
      <c r="AP287" s="1" t="str">
        <f>IF(AND(AND(AND(AP$4&gt;='2025'!$L285,AP$4&lt;='2025'!$M285), AP$4&lt;&gt;DATE(2025,7,4)), (SWITCH(weekday(AP$4), 1, 0, 2, if(ISBLANK('2025'!$P285), 0, 1), 3, if(ISBLANK('2025'!$Q285), 0, 1), 4, if(ISBLANK('2025'!$R285), 0, 1), 5, if(ISBLANK('2025'!$S285), 0, 1), 6, if(ISBLANK('2025'!$T285), 0, 1), 7, 0))), 1, "")</f>
        <v/>
      </c>
      <c r="AQ287" s="1" t="str">
        <f>IF(AND(AND(AND(AQ$4&gt;='2025'!$L285,AQ$4&lt;='2025'!$M285), AQ$4&lt;&gt;DATE(2025,7,4)), (SWITCH(weekday(AQ$4), 1, 0, 2, if(ISBLANK('2025'!$P285), 0, 1), 3, if(ISBLANK('2025'!$Q285), 0, 1), 4, if(ISBLANK('2025'!$R285), 0, 1), 5, if(ISBLANK('2025'!$S285), 0, 1), 6, if(ISBLANK('2025'!$T285), 0, 1), 7, 0))), 1, "")</f>
        <v/>
      </c>
      <c r="AR287" s="1" t="str">
        <f>IF(AND(AND(AND(AR$4&gt;='2025'!$L285,AR$4&lt;='2025'!$M285), AR$4&lt;&gt;DATE(2025,7,4)), (SWITCH(weekday(AR$4), 1, 0, 2, if(ISBLANK('2025'!$P285), 0, 1), 3, if(ISBLANK('2025'!$Q285), 0, 1), 4, if(ISBLANK('2025'!$R285), 0, 1), 5, if(ISBLANK('2025'!$S285), 0, 1), 6, if(ISBLANK('2025'!$T285), 0, 1), 7, 0))), 1, "")</f>
        <v/>
      </c>
      <c r="AS287" s="1" t="str">
        <f>IF(AND(AND(AND(AS$4&gt;='2025'!$L285,AS$4&lt;='2025'!$M285), AS$4&lt;&gt;DATE(2025,7,4)), (SWITCH(weekday(AS$4), 1, 0, 2, if(ISBLANK('2025'!$P285), 0, 1), 3, if(ISBLANK('2025'!$Q285), 0, 1), 4, if(ISBLANK('2025'!$R285), 0, 1), 5, if(ISBLANK('2025'!$S285), 0, 1), 6, if(ISBLANK('2025'!$T285), 0, 1), 7, 0))), 1, "")</f>
        <v/>
      </c>
      <c r="AT287" s="1" t="str">
        <f>IF(AND(AND(AND(AT$4&gt;='2025'!$L285,AT$4&lt;='2025'!$M285), AT$4&lt;&gt;DATE(2025,7,4)), (SWITCH(weekday(AT$4), 1, 0, 2, if(ISBLANK('2025'!$P285), 0, 1), 3, if(ISBLANK('2025'!$Q285), 0, 1), 4, if(ISBLANK('2025'!$R285), 0, 1), 5, if(ISBLANK('2025'!$S285), 0, 1), 6, if(ISBLANK('2025'!$T285), 0, 1), 7, 0))), 1, "")</f>
        <v/>
      </c>
      <c r="AU287" s="1" t="str">
        <f>IF(AND(AND(AND(AU$4&gt;='2025'!$L285,AU$4&lt;='2025'!$M285), AU$4&lt;&gt;DATE(2025,7,4)), (SWITCH(weekday(AU$4), 1, 0, 2, if(ISBLANK('2025'!$P285), 0, 1), 3, if(ISBLANK('2025'!$Q285), 0, 1), 4, if(ISBLANK('2025'!$R285), 0, 1), 5, if(ISBLANK('2025'!$S285), 0, 1), 6, if(ISBLANK('2025'!$T285), 0, 1), 7, 0))), 1, "")</f>
        <v/>
      </c>
      <c r="AV287" s="1" t="str">
        <f>IF(AND(AND(AND(AV$4&gt;='2025'!$L285,AV$4&lt;='2025'!$M285), AV$4&lt;&gt;DATE(2025,7,4)), (SWITCH(weekday(AV$4), 1, 0, 2, if(ISBLANK('2025'!$P285), 0, 1), 3, if(ISBLANK('2025'!$Q285), 0, 1), 4, if(ISBLANK('2025'!$R285), 0, 1), 5, if(ISBLANK('2025'!$S285), 0, 1), 6, if(ISBLANK('2025'!$T285), 0, 1), 7, 0))), 1, "")</f>
        <v/>
      </c>
      <c r="AW287" s="1" t="str">
        <f>IF(AND(AND(AND(AW$4&gt;='2025'!$L285,AW$4&lt;='2025'!$M285), AW$4&lt;&gt;DATE(2025,7,4)), (SWITCH(weekday(AW$4), 1, 0, 2, if(ISBLANK('2025'!$P285), 0, 1), 3, if(ISBLANK('2025'!$Q285), 0, 1), 4, if(ISBLANK('2025'!$R285), 0, 1), 5, if(ISBLANK('2025'!$S285), 0, 1), 6, if(ISBLANK('2025'!$T285), 0, 1), 7, 0))), 1, "")</f>
        <v/>
      </c>
      <c r="AX287" s="1" t="str">
        <f>IF(AND(AND(AND(AX$4&gt;='2025'!$L285,AX$4&lt;='2025'!$M285), AX$4&lt;&gt;DATE(2025,7,4)), (SWITCH(weekday(AX$4), 1, 0, 2, if(ISBLANK('2025'!$P285), 0, 1), 3, if(ISBLANK('2025'!$Q285), 0, 1), 4, if(ISBLANK('2025'!$R285), 0, 1), 5, if(ISBLANK('2025'!$S285), 0, 1), 6, if(ISBLANK('2025'!$T285), 0, 1), 7, 0))), 1, "")</f>
        <v/>
      </c>
      <c r="AY287" s="1" t="str">
        <f>IF(AND(AND(AND(AY$4&gt;='2025'!$L285,AY$4&lt;='2025'!$M285), AY$4&lt;&gt;DATE(2025,7,4)), (SWITCH(weekday(AY$4), 1, 0, 2, if(ISBLANK('2025'!$P285), 0, 1), 3, if(ISBLANK('2025'!$Q285), 0, 1), 4, if(ISBLANK('2025'!$R285), 0, 1), 5, if(ISBLANK('2025'!$S285), 0, 1), 6, if(ISBLANK('2025'!$T285), 0, 1), 7, 0))), 1, "")</f>
        <v/>
      </c>
      <c r="AZ287" s="1" t="str">
        <f>IF(AND(AND(AND(AZ$4&gt;='2025'!$L285,AZ$4&lt;='2025'!$M285), AZ$4&lt;&gt;DATE(2025,7,4)), (SWITCH(weekday(AZ$4), 1, 0, 2, if(ISBLANK('2025'!$P285), 0, 1), 3, if(ISBLANK('2025'!$Q285), 0, 1), 4, if(ISBLANK('2025'!$R285), 0, 1), 5, if(ISBLANK('2025'!$S285), 0, 1), 6, if(ISBLANK('2025'!$T285), 0, 1), 7, 0))), 1, "")</f>
        <v/>
      </c>
      <c r="BA287" s="1" t="str">
        <f>IF(AND(AND(AND(BA$4&gt;='2025'!$L285,BA$4&lt;='2025'!$M285), BA$4&lt;&gt;DATE(2025,7,4)), (SWITCH(weekday(BA$4), 1, 0, 2, if(ISBLANK('2025'!$P285), 0, 1), 3, if(ISBLANK('2025'!$Q285), 0, 1), 4, if(ISBLANK('2025'!$R285), 0, 1), 5, if(ISBLANK('2025'!$S285), 0, 1), 6, if(ISBLANK('2025'!$T285), 0, 1), 7, 0))), 1, "")</f>
        <v/>
      </c>
      <c r="BB287" s="1" t="str">
        <f>IF(AND(AND(AND(BB$4&gt;='2025'!$L285,BB$4&lt;='2025'!$M285), BB$4&lt;&gt;DATE(2025,7,4)), (SWITCH(weekday(BB$4), 1, 0, 2, if(ISBLANK('2025'!$P285), 0, 1), 3, if(ISBLANK('2025'!$Q285), 0, 1), 4, if(ISBLANK('2025'!$R285), 0, 1), 5, if(ISBLANK('2025'!$S285), 0, 1), 6, if(ISBLANK('2025'!$T285), 0, 1), 7, 0))), 1, "")</f>
        <v/>
      </c>
      <c r="BC287" s="1" t="str">
        <f>IF(AND(AND(AND(BC$4&gt;='2025'!$L285,BC$4&lt;='2025'!$M285), BC$4&lt;&gt;DATE(2025,7,4)), (SWITCH(weekday(BC$4), 1, 0, 2, if(ISBLANK('2025'!$P285), 0, 1), 3, if(ISBLANK('2025'!$Q285), 0, 1), 4, if(ISBLANK('2025'!$R285), 0, 1), 5, if(ISBLANK('2025'!$S285), 0, 1), 6, if(ISBLANK('2025'!$T285), 0, 1), 7, 0))), 1, "")</f>
        <v/>
      </c>
      <c r="BD287" s="1" t="str">
        <f>IF(AND(AND(AND(BD$4&gt;='2025'!$L285,BD$4&lt;='2025'!$M285), BD$4&lt;&gt;DATE(2025,7,4)), (SWITCH(weekday(BD$4), 1, 0, 2, if(ISBLANK('2025'!$P285), 0, 1), 3, if(ISBLANK('2025'!$Q285), 0, 1), 4, if(ISBLANK('2025'!$R285), 0, 1), 5, if(ISBLANK('2025'!$S285), 0, 1), 6, if(ISBLANK('2025'!$T285), 0, 1), 7, 0))), 1, "")</f>
        <v/>
      </c>
      <c r="BE287" s="1" t="str">
        <f>IF(AND(AND(AND(BE$4&gt;='2025'!$L285,BE$4&lt;='2025'!$M285), BE$4&lt;&gt;DATE(2025,7,4)), (SWITCH(weekday(BE$4), 1, 0, 2, if(ISBLANK('2025'!$P285), 0, 1), 3, if(ISBLANK('2025'!$Q285), 0, 1), 4, if(ISBLANK('2025'!$R285), 0, 1), 5, if(ISBLANK('2025'!$S285), 0, 1), 6, if(ISBLANK('2025'!$T285), 0, 1), 7, 0))), 1, "")</f>
        <v/>
      </c>
      <c r="BF287" s="1" t="str">
        <f>IF(AND(AND(AND(BF$4&gt;='2025'!$L285,BF$4&lt;='2025'!$M285), BF$4&lt;&gt;DATE(2025,7,4)), (SWITCH(weekday(BF$4), 1, 0, 2, if(ISBLANK('2025'!$P285), 0, 1), 3, if(ISBLANK('2025'!$Q285), 0, 1), 4, if(ISBLANK('2025'!$R285), 0, 1), 5, if(ISBLANK('2025'!$S285), 0, 1), 6, if(ISBLANK('2025'!$T285), 0, 1), 7, 0))), 1, "")</f>
        <v/>
      </c>
      <c r="BG287" s="1"/>
      <c r="BH287" s="1"/>
      <c r="BI287" s="1"/>
      <c r="BJ287" s="1"/>
      <c r="BK287" s="1"/>
      <c r="BL287" s="1"/>
    </row>
    <row r="288">
      <c r="A288" s="1">
        <f t="shared" si="3"/>
        <v>288</v>
      </c>
      <c r="B288" s="1" t="str">
        <f>'2025'!D252</f>
        <v>, </v>
      </c>
      <c r="C288" s="1" t="str">
        <f>'2025'!H252</f>
        <v/>
      </c>
      <c r="D288" s="1" t="str">
        <f>IF(AND(AND(AND(D$4&gt;='2025'!$L286,D$4&lt;='2025'!$M286), D$4&lt;&gt;DATE(2025,7,4)), (SWITCH(weekday(D$4), 1, 0, 2, if(ISBLANK('2025'!$P286), 0, 1), 3, if(ISBLANK('2025'!$Q286), 0, 1), 4, if(ISBLANK('2025'!$R286), 0, 1), 5, if(ISBLANK('2025'!$S286), 0, 1), 6, if(ISBLANK('2025'!$T286), 0, 1), 7, 0))), 1, "")</f>
        <v/>
      </c>
      <c r="E288" s="1" t="str">
        <f>IF(AND(AND(AND(E$4&gt;='2025'!$L286,E$4&lt;='2025'!$M286), E$4&lt;&gt;DATE(2025,7,4)), (SWITCH(weekday(E$4), 1, 0, 2, if(ISBLANK('2025'!$P286), 0, 1), 3, if(ISBLANK('2025'!$Q286), 0, 1), 4, if(ISBLANK('2025'!$R286), 0, 1), 5, if(ISBLANK('2025'!$S286), 0, 1), 6, if(ISBLANK('2025'!$T286), 0, 1), 7, 0))), 1, "")</f>
        <v/>
      </c>
      <c r="F288" s="1" t="str">
        <f>IF(AND(AND(AND(F$4&gt;='2025'!$L286,F$4&lt;='2025'!$M286), F$4&lt;&gt;DATE(2025,7,4)), (SWITCH(weekday(F$4), 1, 0, 2, if(ISBLANK('2025'!$P286), 0, 1), 3, if(ISBLANK('2025'!$Q286), 0, 1), 4, if(ISBLANK('2025'!$R286), 0, 1), 5, if(ISBLANK('2025'!$S286), 0, 1), 6, if(ISBLANK('2025'!$T286), 0, 1), 7, 0))), 1, "")</f>
        <v/>
      </c>
      <c r="G288" s="1" t="str">
        <f>IF(AND(AND(AND(G$4&gt;='2025'!$L286,G$4&lt;='2025'!$M286), G$4&lt;&gt;DATE(2025,7,4)), (SWITCH(weekday(G$4), 1, 0, 2, if(ISBLANK('2025'!$P286), 0, 1), 3, if(ISBLANK('2025'!$Q286), 0, 1), 4, if(ISBLANK('2025'!$R286), 0, 1), 5, if(ISBLANK('2025'!$S286), 0, 1), 6, if(ISBLANK('2025'!$T286), 0, 1), 7, 0))), 1, "")</f>
        <v/>
      </c>
      <c r="H288" s="1" t="str">
        <f>IF(AND(AND(AND(H$4&gt;='2025'!$L286,H$4&lt;='2025'!$M286), H$4&lt;&gt;DATE(2025,7,4)), (SWITCH(weekday(H$4), 1, 0, 2, if(ISBLANK('2025'!$P286), 0, 1), 3, if(ISBLANK('2025'!$Q286), 0, 1), 4, if(ISBLANK('2025'!$R286), 0, 1), 5, if(ISBLANK('2025'!$S286), 0, 1), 6, if(ISBLANK('2025'!$T286), 0, 1), 7, 0))), 1, "")</f>
        <v/>
      </c>
      <c r="I288" s="1" t="str">
        <f>IF(AND(AND(AND(I$4&gt;='2025'!$L286,I$4&lt;='2025'!$M286), I$4&lt;&gt;DATE(2025,7,4)), (SWITCH(weekday(I$4), 1, 0, 2, if(ISBLANK('2025'!$P286), 0, 1), 3, if(ISBLANK('2025'!$Q286), 0, 1), 4, if(ISBLANK('2025'!$R286), 0, 1), 5, if(ISBLANK('2025'!$S286), 0, 1), 6, if(ISBLANK('2025'!$T286), 0, 1), 7, 0))), 1, "")</f>
        <v/>
      </c>
      <c r="J288" s="1" t="str">
        <f>IF(AND(AND(AND(J$4&gt;='2025'!$L286,J$4&lt;='2025'!$M286), J$4&lt;&gt;DATE(2025,7,4)), (SWITCH(weekday(J$4), 1, 0, 2, if(ISBLANK('2025'!$P286), 0, 1), 3, if(ISBLANK('2025'!$Q286), 0, 1), 4, if(ISBLANK('2025'!$R286), 0, 1), 5, if(ISBLANK('2025'!$S286), 0, 1), 6, if(ISBLANK('2025'!$T286), 0, 1), 7, 0))), 1, "")</f>
        <v/>
      </c>
      <c r="K288" s="1" t="str">
        <f>IF(AND(AND(AND(K$4&gt;='2025'!$L286,K$4&lt;='2025'!$M286), K$4&lt;&gt;DATE(2025,7,4)), (SWITCH(weekday(K$4), 1, 0, 2, if(ISBLANK('2025'!$P286), 0, 1), 3, if(ISBLANK('2025'!$Q286), 0, 1), 4, if(ISBLANK('2025'!$R286), 0, 1), 5, if(ISBLANK('2025'!$S286), 0, 1), 6, if(ISBLANK('2025'!$T286), 0, 1), 7, 0))), 1, "")</f>
        <v/>
      </c>
      <c r="L288" s="1" t="str">
        <f>IF(AND(AND(AND(L$4&gt;='2025'!$L286,L$4&lt;='2025'!$M286), L$4&lt;&gt;DATE(2025,7,4)), (SWITCH(weekday(L$4), 1, 0, 2, if(ISBLANK('2025'!$P286), 0, 1), 3, if(ISBLANK('2025'!$Q286), 0, 1), 4, if(ISBLANK('2025'!$R286), 0, 1), 5, if(ISBLANK('2025'!$S286), 0, 1), 6, if(ISBLANK('2025'!$T286), 0, 1), 7, 0))), 1, "")</f>
        <v/>
      </c>
      <c r="M288" s="1" t="str">
        <f>IF(AND(AND(AND(M$4&gt;='2025'!$L286,M$4&lt;='2025'!$M286), M$4&lt;&gt;DATE(2025,7,4)), (SWITCH(weekday(M$4), 1, 0, 2, if(ISBLANK('2025'!$P286), 0, 1), 3, if(ISBLANK('2025'!$Q286), 0, 1), 4, if(ISBLANK('2025'!$R286), 0, 1), 5, if(ISBLANK('2025'!$S286), 0, 1), 6, if(ISBLANK('2025'!$T286), 0, 1), 7, 0))), 1, "")</f>
        <v/>
      </c>
      <c r="N288" s="1" t="str">
        <f>IF(AND(AND(AND(N$4&gt;='2025'!$L286,N$4&lt;='2025'!$M286), N$4&lt;&gt;DATE(2025,7,4)), (SWITCH(weekday(N$4), 1, 0, 2, if(ISBLANK('2025'!$P286), 0, 1), 3, if(ISBLANK('2025'!$Q286), 0, 1), 4, if(ISBLANK('2025'!$R286), 0, 1), 5, if(ISBLANK('2025'!$S286), 0, 1), 6, if(ISBLANK('2025'!$T286), 0, 1), 7, 0))), 1, "")</f>
        <v/>
      </c>
      <c r="O288" s="1" t="str">
        <f>IF(AND(AND(AND(O$4&gt;='2025'!$L286,O$4&lt;='2025'!$M286), O$4&lt;&gt;DATE(2025,7,4)), (SWITCH(weekday(O$4), 1, 0, 2, if(ISBLANK('2025'!$P286), 0, 1), 3, if(ISBLANK('2025'!$Q286), 0, 1), 4, if(ISBLANK('2025'!$R286), 0, 1), 5, if(ISBLANK('2025'!$S286), 0, 1), 6, if(ISBLANK('2025'!$T286), 0, 1), 7, 0))), 1, "")</f>
        <v/>
      </c>
      <c r="P288" s="1" t="str">
        <f>IF(AND(AND(AND(P$4&gt;='2025'!$L286,P$4&lt;='2025'!$M286), P$4&lt;&gt;DATE(2025,7,4)), (SWITCH(weekday(P$4), 1, 0, 2, if(ISBLANK('2025'!$P286), 0, 1), 3, if(ISBLANK('2025'!$Q286), 0, 1), 4, if(ISBLANK('2025'!$R286), 0, 1), 5, if(ISBLANK('2025'!$S286), 0, 1), 6, if(ISBLANK('2025'!$T286), 0, 1), 7, 0))), 1, "")</f>
        <v/>
      </c>
      <c r="Q288" s="1" t="str">
        <f>IF(AND(AND(AND(Q$4&gt;='2025'!$L286,Q$4&lt;='2025'!$M286), Q$4&lt;&gt;DATE(2025,7,4)), (SWITCH(weekday(Q$4), 1, 0, 2, if(ISBLANK('2025'!$P286), 0, 1), 3, if(ISBLANK('2025'!$Q286), 0, 1), 4, if(ISBLANK('2025'!$R286), 0, 1), 5, if(ISBLANK('2025'!$S286), 0, 1), 6, if(ISBLANK('2025'!$T286), 0, 1), 7, 0))), 1, "")</f>
        <v/>
      </c>
      <c r="R288" s="1" t="str">
        <f>IF(AND(AND(AND(R$4&gt;='2025'!$L286,R$4&lt;='2025'!$M286), R$4&lt;&gt;DATE(2025,7,4)), (SWITCH(weekday(R$4), 1, 0, 2, if(ISBLANK('2025'!$P286), 0, 1), 3, if(ISBLANK('2025'!$Q286), 0, 1), 4, if(ISBLANK('2025'!$R286), 0, 1), 5, if(ISBLANK('2025'!$S286), 0, 1), 6, if(ISBLANK('2025'!$T286), 0, 1), 7, 0))), 1, "")</f>
        <v/>
      </c>
      <c r="S288" s="1" t="str">
        <f>IF(AND(AND(AND(S$4&gt;='2025'!$L286,S$4&lt;='2025'!$M286), S$4&lt;&gt;DATE(2025,7,4)), (SWITCH(weekday(S$4), 1, 0, 2, if(ISBLANK('2025'!$P286), 0, 1), 3, if(ISBLANK('2025'!$Q286), 0, 1), 4, if(ISBLANK('2025'!$R286), 0, 1), 5, if(ISBLANK('2025'!$S286), 0, 1), 6, if(ISBLANK('2025'!$T286), 0, 1), 7, 0))), 1, "")</f>
        <v/>
      </c>
      <c r="T288" s="1" t="str">
        <f>IF(AND(AND(AND(T$4&gt;='2025'!$L286,T$4&lt;='2025'!$M286), T$4&lt;&gt;DATE(2025,7,4)), (SWITCH(weekday(T$4), 1, 0, 2, if(ISBLANK('2025'!$P286), 0, 1), 3, if(ISBLANK('2025'!$Q286), 0, 1), 4, if(ISBLANK('2025'!$R286), 0, 1), 5, if(ISBLANK('2025'!$S286), 0, 1), 6, if(ISBLANK('2025'!$T286), 0, 1), 7, 0))), 1, "")</f>
        <v/>
      </c>
      <c r="U288" s="1" t="str">
        <f>IF(AND(AND(AND(U$4&gt;='2025'!$L286,U$4&lt;='2025'!$M286), U$4&lt;&gt;DATE(2025,7,4)), (SWITCH(weekday(U$4), 1, 0, 2, if(ISBLANK('2025'!$P286), 0, 1), 3, if(ISBLANK('2025'!$Q286), 0, 1), 4, if(ISBLANK('2025'!$R286), 0, 1), 5, if(ISBLANK('2025'!$S286), 0, 1), 6, if(ISBLANK('2025'!$T286), 0, 1), 7, 0))), 1, "")</f>
        <v/>
      </c>
      <c r="V288" s="1" t="str">
        <f>IF(AND(AND(AND(V$4&gt;='2025'!$L286,V$4&lt;='2025'!$M286), V$4&lt;&gt;DATE(2025,7,4)), (SWITCH(weekday(V$4), 1, 0, 2, if(ISBLANK('2025'!$P286), 0, 1), 3, if(ISBLANK('2025'!$Q286), 0, 1), 4, if(ISBLANK('2025'!$R286), 0, 1), 5, if(ISBLANK('2025'!$S286), 0, 1), 6, if(ISBLANK('2025'!$T286), 0, 1), 7, 0))), 1, "")</f>
        <v/>
      </c>
      <c r="W288" s="1" t="str">
        <f>IF(AND(AND(AND(W$4&gt;='2025'!$L286,W$4&lt;='2025'!$M286), W$4&lt;&gt;DATE(2025,7,4)), (SWITCH(weekday(W$4), 1, 0, 2, if(ISBLANK('2025'!$P286), 0, 1), 3, if(ISBLANK('2025'!$Q286), 0, 1), 4, if(ISBLANK('2025'!$R286), 0, 1), 5, if(ISBLANK('2025'!$S286), 0, 1), 6, if(ISBLANK('2025'!$T286), 0, 1), 7, 0))), 1, "")</f>
        <v/>
      </c>
      <c r="X288" s="1" t="str">
        <f>IF(AND(AND(AND(X$4&gt;='2025'!$L286,X$4&lt;='2025'!$M286), X$4&lt;&gt;DATE(2025,7,4)), (SWITCH(weekday(X$4), 1, 0, 2, if(ISBLANK('2025'!$P286), 0, 1), 3, if(ISBLANK('2025'!$Q286), 0, 1), 4, if(ISBLANK('2025'!$R286), 0, 1), 5, if(ISBLANK('2025'!$S286), 0, 1), 6, if(ISBLANK('2025'!$T286), 0, 1), 7, 0))), 1, "")</f>
        <v/>
      </c>
      <c r="Y288" s="1" t="str">
        <f>IF(AND(AND(AND(Y$4&gt;='2025'!$L286,Y$4&lt;='2025'!$M286), Y$4&lt;&gt;DATE(2025,7,4)), (SWITCH(weekday(Y$4), 1, 0, 2, if(ISBLANK('2025'!$P286), 0, 1), 3, if(ISBLANK('2025'!$Q286), 0, 1), 4, if(ISBLANK('2025'!$R286), 0, 1), 5, if(ISBLANK('2025'!$S286), 0, 1), 6, if(ISBLANK('2025'!$T286), 0, 1), 7, 0))), 1, "")</f>
        <v/>
      </c>
      <c r="Z288" s="1" t="str">
        <f>IF(AND(AND(AND(Z$4&gt;='2025'!$L286,Z$4&lt;='2025'!$M286), Z$4&lt;&gt;DATE(2025,7,4)), (SWITCH(weekday(Z$4), 1, 0, 2, if(ISBLANK('2025'!$P286), 0, 1), 3, if(ISBLANK('2025'!$Q286), 0, 1), 4, if(ISBLANK('2025'!$R286), 0, 1), 5, if(ISBLANK('2025'!$S286), 0, 1), 6, if(ISBLANK('2025'!$T286), 0, 1), 7, 0))), 1, "")</f>
        <v/>
      </c>
      <c r="AA288" s="1" t="str">
        <f>IF(AND(AND(AND(AA$4&gt;='2025'!$L286,AA$4&lt;='2025'!$M286), AA$4&lt;&gt;DATE(2025,7,4)), (SWITCH(weekday(AA$4), 1, 0, 2, if(ISBLANK('2025'!$P286), 0, 1), 3, if(ISBLANK('2025'!$Q286), 0, 1), 4, if(ISBLANK('2025'!$R286), 0, 1), 5, if(ISBLANK('2025'!$S286), 0, 1), 6, if(ISBLANK('2025'!$T286), 0, 1), 7, 0))), 1, "")</f>
        <v/>
      </c>
      <c r="AB288" s="1" t="str">
        <f>IF(AND(AND(AND(AB$4&gt;='2025'!$L286,AB$4&lt;='2025'!$M286), AB$4&lt;&gt;DATE(2025,7,4)), (SWITCH(weekday(AB$4), 1, 0, 2, if(ISBLANK('2025'!$P286), 0, 1), 3, if(ISBLANK('2025'!$Q286), 0, 1), 4, if(ISBLANK('2025'!$R286), 0, 1), 5, if(ISBLANK('2025'!$S286), 0, 1), 6, if(ISBLANK('2025'!$T286), 0, 1), 7, 0))), 1, "")</f>
        <v/>
      </c>
      <c r="AC288" s="1" t="str">
        <f>IF(AND(AND(AND(AC$4&gt;='2025'!$L286,AC$4&lt;='2025'!$M286), AC$4&lt;&gt;DATE(2025,7,4)), (SWITCH(weekday(AC$4), 1, 0, 2, if(ISBLANK('2025'!$P286), 0, 1), 3, if(ISBLANK('2025'!$Q286), 0, 1), 4, if(ISBLANK('2025'!$R286), 0, 1), 5, if(ISBLANK('2025'!$S286), 0, 1), 6, if(ISBLANK('2025'!$T286), 0, 1), 7, 0))), 1, "")</f>
        <v/>
      </c>
      <c r="AD288" s="1" t="str">
        <f>IF(AND(AND(AND(AD$4&gt;='2025'!$L286,AD$4&lt;='2025'!$M286), AD$4&lt;&gt;DATE(2025,7,4)), (SWITCH(weekday(AD$4), 1, 0, 2, if(ISBLANK('2025'!$P286), 0, 1), 3, if(ISBLANK('2025'!$Q286), 0, 1), 4, if(ISBLANK('2025'!$R286), 0, 1), 5, if(ISBLANK('2025'!$S286), 0, 1), 6, if(ISBLANK('2025'!$T286), 0, 1), 7, 0))), 1, "")</f>
        <v/>
      </c>
      <c r="AE288" s="1" t="str">
        <f>IF(AND(AND(AND(AE$4&gt;='2025'!$L286,AE$4&lt;='2025'!$M286), AE$4&lt;&gt;DATE(2025,7,4)), (SWITCH(weekday(AE$4), 1, 0, 2, if(ISBLANK('2025'!$P286), 0, 1), 3, if(ISBLANK('2025'!$Q286), 0, 1), 4, if(ISBLANK('2025'!$R286), 0, 1), 5, if(ISBLANK('2025'!$S286), 0, 1), 6, if(ISBLANK('2025'!$T286), 0, 1), 7, 0))), 1, "")</f>
        <v/>
      </c>
      <c r="AF288" s="1" t="str">
        <f>IF(AND(AND(AND(AF$4&gt;='2025'!$L286,AF$4&lt;='2025'!$M286), AF$4&lt;&gt;DATE(2025,7,4)), (SWITCH(weekday(AF$4), 1, 0, 2, if(ISBLANK('2025'!$P286), 0, 1), 3, if(ISBLANK('2025'!$Q286), 0, 1), 4, if(ISBLANK('2025'!$R286), 0, 1), 5, if(ISBLANK('2025'!$S286), 0, 1), 6, if(ISBLANK('2025'!$T286), 0, 1), 7, 0))), 1, "")</f>
        <v/>
      </c>
      <c r="AG288" s="1" t="str">
        <f>IF(AND(AND(AND(AG$4&gt;='2025'!$L286,AG$4&lt;='2025'!$M286), AG$4&lt;&gt;DATE(2025,7,4)), (SWITCH(weekday(AG$4), 1, 0, 2, if(ISBLANK('2025'!$P286), 0, 1), 3, if(ISBLANK('2025'!$Q286), 0, 1), 4, if(ISBLANK('2025'!$R286), 0, 1), 5, if(ISBLANK('2025'!$S286), 0, 1), 6, if(ISBLANK('2025'!$T286), 0, 1), 7, 0))), 1, "")</f>
        <v/>
      </c>
      <c r="AH288" s="1" t="str">
        <f>IF(AND(AND(AND(AH$4&gt;='2025'!$L286,AH$4&lt;='2025'!$M286), AH$4&lt;&gt;DATE(2025,7,4)), (SWITCH(weekday(AH$4), 1, 0, 2, if(ISBLANK('2025'!$P286), 0, 1), 3, if(ISBLANK('2025'!$Q286), 0, 1), 4, if(ISBLANK('2025'!$R286), 0, 1), 5, if(ISBLANK('2025'!$S286), 0, 1), 6, if(ISBLANK('2025'!$T286), 0, 1), 7, 0))), 1, "")</f>
        <v/>
      </c>
      <c r="AI288" s="1" t="str">
        <f>IF(AND(AND(AND(AI$4&gt;='2025'!$L286,AI$4&lt;='2025'!$M286), AI$4&lt;&gt;DATE(2025,7,4)), (SWITCH(weekday(AI$4), 1, 0, 2, if(ISBLANK('2025'!$P286), 0, 1), 3, if(ISBLANK('2025'!$Q286), 0, 1), 4, if(ISBLANK('2025'!$R286), 0, 1), 5, if(ISBLANK('2025'!$S286), 0, 1), 6, if(ISBLANK('2025'!$T286), 0, 1), 7, 0))), 1, "")</f>
        <v/>
      </c>
      <c r="AJ288" s="1" t="str">
        <f>IF(AND(AND(AND(AJ$4&gt;='2025'!$L286,AJ$4&lt;='2025'!$M286), AJ$4&lt;&gt;DATE(2025,7,4)), (SWITCH(weekday(AJ$4), 1, 0, 2, if(ISBLANK('2025'!$P286), 0, 1), 3, if(ISBLANK('2025'!$Q286), 0, 1), 4, if(ISBLANK('2025'!$R286), 0, 1), 5, if(ISBLANK('2025'!$S286), 0, 1), 6, if(ISBLANK('2025'!$T286), 0, 1), 7, 0))), 1, "")</f>
        <v/>
      </c>
      <c r="AK288" s="1" t="str">
        <f>IF(AND(AND(AND(AK$4&gt;='2025'!$L286,AK$4&lt;='2025'!$M286), AK$4&lt;&gt;DATE(2025,7,4)), (SWITCH(weekday(AK$4), 1, 0, 2, if(ISBLANK('2025'!$P286), 0, 1), 3, if(ISBLANK('2025'!$Q286), 0, 1), 4, if(ISBLANK('2025'!$R286), 0, 1), 5, if(ISBLANK('2025'!$S286), 0, 1), 6, if(ISBLANK('2025'!$T286), 0, 1), 7, 0))), 1, "")</f>
        <v/>
      </c>
      <c r="AL288" s="1" t="str">
        <f>IF(AND(AND(AND(AL$4&gt;='2025'!$L286,AL$4&lt;='2025'!$M286), AL$4&lt;&gt;DATE(2025,7,4)), (SWITCH(weekday(AL$4), 1, 0, 2, if(ISBLANK('2025'!$P286), 0, 1), 3, if(ISBLANK('2025'!$Q286), 0, 1), 4, if(ISBLANK('2025'!$R286), 0, 1), 5, if(ISBLANK('2025'!$S286), 0, 1), 6, if(ISBLANK('2025'!$T286), 0, 1), 7, 0))), 1, "")</f>
        <v/>
      </c>
      <c r="AM288" s="1" t="str">
        <f>IF(AND(AND(AND(AM$4&gt;='2025'!$L286,AM$4&lt;='2025'!$M286), AM$4&lt;&gt;DATE(2025,7,4)), (SWITCH(weekday(AM$4), 1, 0, 2, if(ISBLANK('2025'!$P286), 0, 1), 3, if(ISBLANK('2025'!$Q286), 0, 1), 4, if(ISBLANK('2025'!$R286), 0, 1), 5, if(ISBLANK('2025'!$S286), 0, 1), 6, if(ISBLANK('2025'!$T286), 0, 1), 7, 0))), 1, "")</f>
        <v/>
      </c>
      <c r="AN288" s="1" t="str">
        <f>IF(AND(AND(AND(AN$4&gt;='2025'!$L286,AN$4&lt;='2025'!$M286), AN$4&lt;&gt;DATE(2025,7,4)), (SWITCH(weekday(AN$4), 1, 0, 2, if(ISBLANK('2025'!$P286), 0, 1), 3, if(ISBLANK('2025'!$Q286), 0, 1), 4, if(ISBLANK('2025'!$R286), 0, 1), 5, if(ISBLANK('2025'!$S286), 0, 1), 6, if(ISBLANK('2025'!$T286), 0, 1), 7, 0))), 1, "")</f>
        <v/>
      </c>
      <c r="AO288" s="1" t="str">
        <f>IF(AND(AND(AND(AO$4&gt;='2025'!$L286,AO$4&lt;='2025'!$M286), AO$4&lt;&gt;DATE(2025,7,4)), (SWITCH(weekday(AO$4), 1, 0, 2, if(ISBLANK('2025'!$P286), 0, 1), 3, if(ISBLANK('2025'!$Q286), 0, 1), 4, if(ISBLANK('2025'!$R286), 0, 1), 5, if(ISBLANK('2025'!$S286), 0, 1), 6, if(ISBLANK('2025'!$T286), 0, 1), 7, 0))), 1, "")</f>
        <v/>
      </c>
      <c r="AP288" s="1" t="str">
        <f>IF(AND(AND(AND(AP$4&gt;='2025'!$L286,AP$4&lt;='2025'!$M286), AP$4&lt;&gt;DATE(2025,7,4)), (SWITCH(weekday(AP$4), 1, 0, 2, if(ISBLANK('2025'!$P286), 0, 1), 3, if(ISBLANK('2025'!$Q286), 0, 1), 4, if(ISBLANK('2025'!$R286), 0, 1), 5, if(ISBLANK('2025'!$S286), 0, 1), 6, if(ISBLANK('2025'!$T286), 0, 1), 7, 0))), 1, "")</f>
        <v/>
      </c>
      <c r="AQ288" s="1" t="str">
        <f>IF(AND(AND(AND(AQ$4&gt;='2025'!$L286,AQ$4&lt;='2025'!$M286), AQ$4&lt;&gt;DATE(2025,7,4)), (SWITCH(weekday(AQ$4), 1, 0, 2, if(ISBLANK('2025'!$P286), 0, 1), 3, if(ISBLANK('2025'!$Q286), 0, 1), 4, if(ISBLANK('2025'!$R286), 0, 1), 5, if(ISBLANK('2025'!$S286), 0, 1), 6, if(ISBLANK('2025'!$T286), 0, 1), 7, 0))), 1, "")</f>
        <v/>
      </c>
      <c r="AR288" s="1" t="str">
        <f>IF(AND(AND(AND(AR$4&gt;='2025'!$L286,AR$4&lt;='2025'!$M286), AR$4&lt;&gt;DATE(2025,7,4)), (SWITCH(weekday(AR$4), 1, 0, 2, if(ISBLANK('2025'!$P286), 0, 1), 3, if(ISBLANK('2025'!$Q286), 0, 1), 4, if(ISBLANK('2025'!$R286), 0, 1), 5, if(ISBLANK('2025'!$S286), 0, 1), 6, if(ISBLANK('2025'!$T286), 0, 1), 7, 0))), 1, "")</f>
        <v/>
      </c>
      <c r="AS288" s="1" t="str">
        <f>IF(AND(AND(AND(AS$4&gt;='2025'!$L286,AS$4&lt;='2025'!$M286), AS$4&lt;&gt;DATE(2025,7,4)), (SWITCH(weekday(AS$4), 1, 0, 2, if(ISBLANK('2025'!$P286), 0, 1), 3, if(ISBLANK('2025'!$Q286), 0, 1), 4, if(ISBLANK('2025'!$R286), 0, 1), 5, if(ISBLANK('2025'!$S286), 0, 1), 6, if(ISBLANK('2025'!$T286), 0, 1), 7, 0))), 1, "")</f>
        <v/>
      </c>
      <c r="AT288" s="1" t="str">
        <f>IF(AND(AND(AND(AT$4&gt;='2025'!$L286,AT$4&lt;='2025'!$M286), AT$4&lt;&gt;DATE(2025,7,4)), (SWITCH(weekday(AT$4), 1, 0, 2, if(ISBLANK('2025'!$P286), 0, 1), 3, if(ISBLANK('2025'!$Q286), 0, 1), 4, if(ISBLANK('2025'!$R286), 0, 1), 5, if(ISBLANK('2025'!$S286), 0, 1), 6, if(ISBLANK('2025'!$T286), 0, 1), 7, 0))), 1, "")</f>
        <v/>
      </c>
      <c r="AU288" s="1" t="str">
        <f>IF(AND(AND(AND(AU$4&gt;='2025'!$L286,AU$4&lt;='2025'!$M286), AU$4&lt;&gt;DATE(2025,7,4)), (SWITCH(weekday(AU$4), 1, 0, 2, if(ISBLANK('2025'!$P286), 0, 1), 3, if(ISBLANK('2025'!$Q286), 0, 1), 4, if(ISBLANK('2025'!$R286), 0, 1), 5, if(ISBLANK('2025'!$S286), 0, 1), 6, if(ISBLANK('2025'!$T286), 0, 1), 7, 0))), 1, "")</f>
        <v/>
      </c>
      <c r="AV288" s="1" t="str">
        <f>IF(AND(AND(AND(AV$4&gt;='2025'!$L286,AV$4&lt;='2025'!$M286), AV$4&lt;&gt;DATE(2025,7,4)), (SWITCH(weekday(AV$4), 1, 0, 2, if(ISBLANK('2025'!$P286), 0, 1), 3, if(ISBLANK('2025'!$Q286), 0, 1), 4, if(ISBLANK('2025'!$R286), 0, 1), 5, if(ISBLANK('2025'!$S286), 0, 1), 6, if(ISBLANK('2025'!$T286), 0, 1), 7, 0))), 1, "")</f>
        <v/>
      </c>
      <c r="AW288" s="1" t="str">
        <f>IF(AND(AND(AND(AW$4&gt;='2025'!$L286,AW$4&lt;='2025'!$M286), AW$4&lt;&gt;DATE(2025,7,4)), (SWITCH(weekday(AW$4), 1, 0, 2, if(ISBLANK('2025'!$P286), 0, 1), 3, if(ISBLANK('2025'!$Q286), 0, 1), 4, if(ISBLANK('2025'!$R286), 0, 1), 5, if(ISBLANK('2025'!$S286), 0, 1), 6, if(ISBLANK('2025'!$T286), 0, 1), 7, 0))), 1, "")</f>
        <v/>
      </c>
      <c r="AX288" s="1" t="str">
        <f>IF(AND(AND(AND(AX$4&gt;='2025'!$L286,AX$4&lt;='2025'!$M286), AX$4&lt;&gt;DATE(2025,7,4)), (SWITCH(weekday(AX$4), 1, 0, 2, if(ISBLANK('2025'!$P286), 0, 1), 3, if(ISBLANK('2025'!$Q286), 0, 1), 4, if(ISBLANK('2025'!$R286), 0, 1), 5, if(ISBLANK('2025'!$S286), 0, 1), 6, if(ISBLANK('2025'!$T286), 0, 1), 7, 0))), 1, "")</f>
        <v/>
      </c>
      <c r="AY288" s="1" t="str">
        <f>IF(AND(AND(AND(AY$4&gt;='2025'!$L286,AY$4&lt;='2025'!$M286), AY$4&lt;&gt;DATE(2025,7,4)), (SWITCH(weekday(AY$4), 1, 0, 2, if(ISBLANK('2025'!$P286), 0, 1), 3, if(ISBLANK('2025'!$Q286), 0, 1), 4, if(ISBLANK('2025'!$R286), 0, 1), 5, if(ISBLANK('2025'!$S286), 0, 1), 6, if(ISBLANK('2025'!$T286), 0, 1), 7, 0))), 1, "")</f>
        <v/>
      </c>
      <c r="AZ288" s="1" t="str">
        <f>IF(AND(AND(AND(AZ$4&gt;='2025'!$L286,AZ$4&lt;='2025'!$M286), AZ$4&lt;&gt;DATE(2025,7,4)), (SWITCH(weekday(AZ$4), 1, 0, 2, if(ISBLANK('2025'!$P286), 0, 1), 3, if(ISBLANK('2025'!$Q286), 0, 1), 4, if(ISBLANK('2025'!$R286), 0, 1), 5, if(ISBLANK('2025'!$S286), 0, 1), 6, if(ISBLANK('2025'!$T286), 0, 1), 7, 0))), 1, "")</f>
        <v/>
      </c>
      <c r="BA288" s="1" t="str">
        <f>IF(AND(AND(AND(BA$4&gt;='2025'!$L286,BA$4&lt;='2025'!$M286), BA$4&lt;&gt;DATE(2025,7,4)), (SWITCH(weekday(BA$4), 1, 0, 2, if(ISBLANK('2025'!$P286), 0, 1), 3, if(ISBLANK('2025'!$Q286), 0, 1), 4, if(ISBLANK('2025'!$R286), 0, 1), 5, if(ISBLANK('2025'!$S286), 0, 1), 6, if(ISBLANK('2025'!$T286), 0, 1), 7, 0))), 1, "")</f>
        <v/>
      </c>
      <c r="BB288" s="1" t="str">
        <f>IF(AND(AND(AND(BB$4&gt;='2025'!$L286,BB$4&lt;='2025'!$M286), BB$4&lt;&gt;DATE(2025,7,4)), (SWITCH(weekday(BB$4), 1, 0, 2, if(ISBLANK('2025'!$P286), 0, 1), 3, if(ISBLANK('2025'!$Q286), 0, 1), 4, if(ISBLANK('2025'!$R286), 0, 1), 5, if(ISBLANK('2025'!$S286), 0, 1), 6, if(ISBLANK('2025'!$T286), 0, 1), 7, 0))), 1, "")</f>
        <v/>
      </c>
      <c r="BC288" s="1" t="str">
        <f>IF(AND(AND(AND(BC$4&gt;='2025'!$L286,BC$4&lt;='2025'!$M286), BC$4&lt;&gt;DATE(2025,7,4)), (SWITCH(weekday(BC$4), 1, 0, 2, if(ISBLANK('2025'!$P286), 0, 1), 3, if(ISBLANK('2025'!$Q286), 0, 1), 4, if(ISBLANK('2025'!$R286), 0, 1), 5, if(ISBLANK('2025'!$S286), 0, 1), 6, if(ISBLANK('2025'!$T286), 0, 1), 7, 0))), 1, "")</f>
        <v/>
      </c>
      <c r="BD288" s="1" t="str">
        <f>IF(AND(AND(AND(BD$4&gt;='2025'!$L286,BD$4&lt;='2025'!$M286), BD$4&lt;&gt;DATE(2025,7,4)), (SWITCH(weekday(BD$4), 1, 0, 2, if(ISBLANK('2025'!$P286), 0, 1), 3, if(ISBLANK('2025'!$Q286), 0, 1), 4, if(ISBLANK('2025'!$R286), 0, 1), 5, if(ISBLANK('2025'!$S286), 0, 1), 6, if(ISBLANK('2025'!$T286), 0, 1), 7, 0))), 1, "")</f>
        <v/>
      </c>
      <c r="BE288" s="1" t="str">
        <f>IF(AND(AND(AND(BE$4&gt;='2025'!$L286,BE$4&lt;='2025'!$M286), BE$4&lt;&gt;DATE(2025,7,4)), (SWITCH(weekday(BE$4), 1, 0, 2, if(ISBLANK('2025'!$P286), 0, 1), 3, if(ISBLANK('2025'!$Q286), 0, 1), 4, if(ISBLANK('2025'!$R286), 0, 1), 5, if(ISBLANK('2025'!$S286), 0, 1), 6, if(ISBLANK('2025'!$T286), 0, 1), 7, 0))), 1, "")</f>
        <v/>
      </c>
      <c r="BF288" s="1" t="str">
        <f>IF(AND(AND(AND(BF$4&gt;='2025'!$L286,BF$4&lt;='2025'!$M286), BF$4&lt;&gt;DATE(2025,7,4)), (SWITCH(weekday(BF$4), 1, 0, 2, if(ISBLANK('2025'!$P286), 0, 1), 3, if(ISBLANK('2025'!$Q286), 0, 1), 4, if(ISBLANK('2025'!$R286), 0, 1), 5, if(ISBLANK('2025'!$S286), 0, 1), 6, if(ISBLANK('2025'!$T286), 0, 1), 7, 0))), 1, "")</f>
        <v/>
      </c>
      <c r="BG288" s="1"/>
      <c r="BH288" s="1"/>
      <c r="BI288" s="1"/>
      <c r="BJ288" s="1"/>
      <c r="BK288" s="1"/>
      <c r="BL288" s="1"/>
    </row>
    <row r="289">
      <c r="A289" s="1">
        <f t="shared" si="3"/>
        <v>289</v>
      </c>
      <c r="B289" s="1" t="str">
        <f>'2025'!D253</f>
        <v>, </v>
      </c>
      <c r="C289" s="1" t="str">
        <f>'2025'!H253</f>
        <v/>
      </c>
      <c r="D289" s="1" t="str">
        <f>IF(AND(AND(AND(D$4&gt;='2025'!$L287,D$4&lt;='2025'!$M287), D$4&lt;&gt;DATE(2025,7,4)), (SWITCH(weekday(D$4), 1, 0, 2, if(ISBLANK('2025'!$P287), 0, 1), 3, if(ISBLANK('2025'!$Q287), 0, 1), 4, if(ISBLANK('2025'!$R287), 0, 1), 5, if(ISBLANK('2025'!$S287), 0, 1), 6, if(ISBLANK('2025'!$T287), 0, 1), 7, 0))), 1, "")</f>
        <v/>
      </c>
      <c r="E289" s="1" t="str">
        <f>IF(AND(AND(AND(E$4&gt;='2025'!$L287,E$4&lt;='2025'!$M287), E$4&lt;&gt;DATE(2025,7,4)), (SWITCH(weekday(E$4), 1, 0, 2, if(ISBLANK('2025'!$P287), 0, 1), 3, if(ISBLANK('2025'!$Q287), 0, 1), 4, if(ISBLANK('2025'!$R287), 0, 1), 5, if(ISBLANK('2025'!$S287), 0, 1), 6, if(ISBLANK('2025'!$T287), 0, 1), 7, 0))), 1, "")</f>
        <v/>
      </c>
      <c r="F289" s="1" t="str">
        <f>IF(AND(AND(AND(F$4&gt;='2025'!$L287,F$4&lt;='2025'!$M287), F$4&lt;&gt;DATE(2025,7,4)), (SWITCH(weekday(F$4), 1, 0, 2, if(ISBLANK('2025'!$P287), 0, 1), 3, if(ISBLANK('2025'!$Q287), 0, 1), 4, if(ISBLANK('2025'!$R287), 0, 1), 5, if(ISBLANK('2025'!$S287), 0, 1), 6, if(ISBLANK('2025'!$T287), 0, 1), 7, 0))), 1, "")</f>
        <v/>
      </c>
      <c r="G289" s="1" t="str">
        <f>IF(AND(AND(AND(G$4&gt;='2025'!$L287,G$4&lt;='2025'!$M287), G$4&lt;&gt;DATE(2025,7,4)), (SWITCH(weekday(G$4), 1, 0, 2, if(ISBLANK('2025'!$P287), 0, 1), 3, if(ISBLANK('2025'!$Q287), 0, 1), 4, if(ISBLANK('2025'!$R287), 0, 1), 5, if(ISBLANK('2025'!$S287), 0, 1), 6, if(ISBLANK('2025'!$T287), 0, 1), 7, 0))), 1, "")</f>
        <v/>
      </c>
      <c r="H289" s="1" t="str">
        <f>IF(AND(AND(AND(H$4&gt;='2025'!$L287,H$4&lt;='2025'!$M287), H$4&lt;&gt;DATE(2025,7,4)), (SWITCH(weekday(H$4), 1, 0, 2, if(ISBLANK('2025'!$P287), 0, 1), 3, if(ISBLANK('2025'!$Q287), 0, 1), 4, if(ISBLANK('2025'!$R287), 0, 1), 5, if(ISBLANK('2025'!$S287), 0, 1), 6, if(ISBLANK('2025'!$T287), 0, 1), 7, 0))), 1, "")</f>
        <v/>
      </c>
      <c r="I289" s="1" t="str">
        <f>IF(AND(AND(AND(I$4&gt;='2025'!$L287,I$4&lt;='2025'!$M287), I$4&lt;&gt;DATE(2025,7,4)), (SWITCH(weekday(I$4), 1, 0, 2, if(ISBLANK('2025'!$P287), 0, 1), 3, if(ISBLANK('2025'!$Q287), 0, 1), 4, if(ISBLANK('2025'!$R287), 0, 1), 5, if(ISBLANK('2025'!$S287), 0, 1), 6, if(ISBLANK('2025'!$T287), 0, 1), 7, 0))), 1, "")</f>
        <v/>
      </c>
      <c r="J289" s="1" t="str">
        <f>IF(AND(AND(AND(J$4&gt;='2025'!$L287,J$4&lt;='2025'!$M287), J$4&lt;&gt;DATE(2025,7,4)), (SWITCH(weekday(J$4), 1, 0, 2, if(ISBLANK('2025'!$P287), 0, 1), 3, if(ISBLANK('2025'!$Q287), 0, 1), 4, if(ISBLANK('2025'!$R287), 0, 1), 5, if(ISBLANK('2025'!$S287), 0, 1), 6, if(ISBLANK('2025'!$T287), 0, 1), 7, 0))), 1, "")</f>
        <v/>
      </c>
      <c r="K289" s="1" t="str">
        <f>IF(AND(AND(AND(K$4&gt;='2025'!$L287,K$4&lt;='2025'!$M287), K$4&lt;&gt;DATE(2025,7,4)), (SWITCH(weekday(K$4), 1, 0, 2, if(ISBLANK('2025'!$P287), 0, 1), 3, if(ISBLANK('2025'!$Q287), 0, 1), 4, if(ISBLANK('2025'!$R287), 0, 1), 5, if(ISBLANK('2025'!$S287), 0, 1), 6, if(ISBLANK('2025'!$T287), 0, 1), 7, 0))), 1, "")</f>
        <v/>
      </c>
      <c r="L289" s="1" t="str">
        <f>IF(AND(AND(AND(L$4&gt;='2025'!$L287,L$4&lt;='2025'!$M287), L$4&lt;&gt;DATE(2025,7,4)), (SWITCH(weekday(L$4), 1, 0, 2, if(ISBLANK('2025'!$P287), 0, 1), 3, if(ISBLANK('2025'!$Q287), 0, 1), 4, if(ISBLANK('2025'!$R287), 0, 1), 5, if(ISBLANK('2025'!$S287), 0, 1), 6, if(ISBLANK('2025'!$T287), 0, 1), 7, 0))), 1, "")</f>
        <v/>
      </c>
      <c r="M289" s="1" t="str">
        <f>IF(AND(AND(AND(M$4&gt;='2025'!$L287,M$4&lt;='2025'!$M287), M$4&lt;&gt;DATE(2025,7,4)), (SWITCH(weekday(M$4), 1, 0, 2, if(ISBLANK('2025'!$P287), 0, 1), 3, if(ISBLANK('2025'!$Q287), 0, 1), 4, if(ISBLANK('2025'!$R287), 0, 1), 5, if(ISBLANK('2025'!$S287), 0, 1), 6, if(ISBLANK('2025'!$T287), 0, 1), 7, 0))), 1, "")</f>
        <v/>
      </c>
      <c r="N289" s="1" t="str">
        <f>IF(AND(AND(AND(N$4&gt;='2025'!$L287,N$4&lt;='2025'!$M287), N$4&lt;&gt;DATE(2025,7,4)), (SWITCH(weekday(N$4), 1, 0, 2, if(ISBLANK('2025'!$P287), 0, 1), 3, if(ISBLANK('2025'!$Q287), 0, 1), 4, if(ISBLANK('2025'!$R287), 0, 1), 5, if(ISBLANK('2025'!$S287), 0, 1), 6, if(ISBLANK('2025'!$T287), 0, 1), 7, 0))), 1, "")</f>
        <v/>
      </c>
      <c r="O289" s="1" t="str">
        <f>IF(AND(AND(AND(O$4&gt;='2025'!$L287,O$4&lt;='2025'!$M287), O$4&lt;&gt;DATE(2025,7,4)), (SWITCH(weekday(O$4), 1, 0, 2, if(ISBLANK('2025'!$P287), 0, 1), 3, if(ISBLANK('2025'!$Q287), 0, 1), 4, if(ISBLANK('2025'!$R287), 0, 1), 5, if(ISBLANK('2025'!$S287), 0, 1), 6, if(ISBLANK('2025'!$T287), 0, 1), 7, 0))), 1, "")</f>
        <v/>
      </c>
      <c r="P289" s="1" t="str">
        <f>IF(AND(AND(AND(P$4&gt;='2025'!$L287,P$4&lt;='2025'!$M287), P$4&lt;&gt;DATE(2025,7,4)), (SWITCH(weekday(P$4), 1, 0, 2, if(ISBLANK('2025'!$P287), 0, 1), 3, if(ISBLANK('2025'!$Q287), 0, 1), 4, if(ISBLANK('2025'!$R287), 0, 1), 5, if(ISBLANK('2025'!$S287), 0, 1), 6, if(ISBLANK('2025'!$T287), 0, 1), 7, 0))), 1, "")</f>
        <v/>
      </c>
      <c r="Q289" s="1" t="str">
        <f>IF(AND(AND(AND(Q$4&gt;='2025'!$L287,Q$4&lt;='2025'!$M287), Q$4&lt;&gt;DATE(2025,7,4)), (SWITCH(weekday(Q$4), 1, 0, 2, if(ISBLANK('2025'!$P287), 0, 1), 3, if(ISBLANK('2025'!$Q287), 0, 1), 4, if(ISBLANK('2025'!$R287), 0, 1), 5, if(ISBLANK('2025'!$S287), 0, 1), 6, if(ISBLANK('2025'!$T287), 0, 1), 7, 0))), 1, "")</f>
        <v/>
      </c>
      <c r="R289" s="1" t="str">
        <f>IF(AND(AND(AND(R$4&gt;='2025'!$L287,R$4&lt;='2025'!$M287), R$4&lt;&gt;DATE(2025,7,4)), (SWITCH(weekday(R$4), 1, 0, 2, if(ISBLANK('2025'!$P287), 0, 1), 3, if(ISBLANK('2025'!$Q287), 0, 1), 4, if(ISBLANK('2025'!$R287), 0, 1), 5, if(ISBLANK('2025'!$S287), 0, 1), 6, if(ISBLANK('2025'!$T287), 0, 1), 7, 0))), 1, "")</f>
        <v/>
      </c>
      <c r="S289" s="1" t="str">
        <f>IF(AND(AND(AND(S$4&gt;='2025'!$L287,S$4&lt;='2025'!$M287), S$4&lt;&gt;DATE(2025,7,4)), (SWITCH(weekday(S$4), 1, 0, 2, if(ISBLANK('2025'!$P287), 0, 1), 3, if(ISBLANK('2025'!$Q287), 0, 1), 4, if(ISBLANK('2025'!$R287), 0, 1), 5, if(ISBLANK('2025'!$S287), 0, 1), 6, if(ISBLANK('2025'!$T287), 0, 1), 7, 0))), 1, "")</f>
        <v/>
      </c>
      <c r="T289" s="1" t="str">
        <f>IF(AND(AND(AND(T$4&gt;='2025'!$L287,T$4&lt;='2025'!$M287), T$4&lt;&gt;DATE(2025,7,4)), (SWITCH(weekday(T$4), 1, 0, 2, if(ISBLANK('2025'!$P287), 0, 1), 3, if(ISBLANK('2025'!$Q287), 0, 1), 4, if(ISBLANK('2025'!$R287), 0, 1), 5, if(ISBLANK('2025'!$S287), 0, 1), 6, if(ISBLANK('2025'!$T287), 0, 1), 7, 0))), 1, "")</f>
        <v/>
      </c>
      <c r="U289" s="1" t="str">
        <f>IF(AND(AND(AND(U$4&gt;='2025'!$L287,U$4&lt;='2025'!$M287), U$4&lt;&gt;DATE(2025,7,4)), (SWITCH(weekday(U$4), 1, 0, 2, if(ISBLANK('2025'!$P287), 0, 1), 3, if(ISBLANK('2025'!$Q287), 0, 1), 4, if(ISBLANK('2025'!$R287), 0, 1), 5, if(ISBLANK('2025'!$S287), 0, 1), 6, if(ISBLANK('2025'!$T287), 0, 1), 7, 0))), 1, "")</f>
        <v/>
      </c>
      <c r="V289" s="1" t="str">
        <f>IF(AND(AND(AND(V$4&gt;='2025'!$L287,V$4&lt;='2025'!$M287), V$4&lt;&gt;DATE(2025,7,4)), (SWITCH(weekday(V$4), 1, 0, 2, if(ISBLANK('2025'!$P287), 0, 1), 3, if(ISBLANK('2025'!$Q287), 0, 1), 4, if(ISBLANK('2025'!$R287), 0, 1), 5, if(ISBLANK('2025'!$S287), 0, 1), 6, if(ISBLANK('2025'!$T287), 0, 1), 7, 0))), 1, "")</f>
        <v/>
      </c>
      <c r="W289" s="1" t="str">
        <f>IF(AND(AND(AND(W$4&gt;='2025'!$L287,W$4&lt;='2025'!$M287), W$4&lt;&gt;DATE(2025,7,4)), (SWITCH(weekday(W$4), 1, 0, 2, if(ISBLANK('2025'!$P287), 0, 1), 3, if(ISBLANK('2025'!$Q287), 0, 1), 4, if(ISBLANK('2025'!$R287), 0, 1), 5, if(ISBLANK('2025'!$S287), 0, 1), 6, if(ISBLANK('2025'!$T287), 0, 1), 7, 0))), 1, "")</f>
        <v/>
      </c>
      <c r="X289" s="1" t="str">
        <f>IF(AND(AND(AND(X$4&gt;='2025'!$L287,X$4&lt;='2025'!$M287), X$4&lt;&gt;DATE(2025,7,4)), (SWITCH(weekday(X$4), 1, 0, 2, if(ISBLANK('2025'!$P287), 0, 1), 3, if(ISBLANK('2025'!$Q287), 0, 1), 4, if(ISBLANK('2025'!$R287), 0, 1), 5, if(ISBLANK('2025'!$S287), 0, 1), 6, if(ISBLANK('2025'!$T287), 0, 1), 7, 0))), 1, "")</f>
        <v/>
      </c>
      <c r="Y289" s="1" t="str">
        <f>IF(AND(AND(AND(Y$4&gt;='2025'!$L287,Y$4&lt;='2025'!$M287), Y$4&lt;&gt;DATE(2025,7,4)), (SWITCH(weekday(Y$4), 1, 0, 2, if(ISBLANK('2025'!$P287), 0, 1), 3, if(ISBLANK('2025'!$Q287), 0, 1), 4, if(ISBLANK('2025'!$R287), 0, 1), 5, if(ISBLANK('2025'!$S287), 0, 1), 6, if(ISBLANK('2025'!$T287), 0, 1), 7, 0))), 1, "")</f>
        <v/>
      </c>
      <c r="Z289" s="1" t="str">
        <f>IF(AND(AND(AND(Z$4&gt;='2025'!$L287,Z$4&lt;='2025'!$M287), Z$4&lt;&gt;DATE(2025,7,4)), (SWITCH(weekday(Z$4), 1, 0, 2, if(ISBLANK('2025'!$P287), 0, 1), 3, if(ISBLANK('2025'!$Q287), 0, 1), 4, if(ISBLANK('2025'!$R287), 0, 1), 5, if(ISBLANK('2025'!$S287), 0, 1), 6, if(ISBLANK('2025'!$T287), 0, 1), 7, 0))), 1, "")</f>
        <v/>
      </c>
      <c r="AA289" s="1" t="str">
        <f>IF(AND(AND(AND(AA$4&gt;='2025'!$L287,AA$4&lt;='2025'!$M287), AA$4&lt;&gt;DATE(2025,7,4)), (SWITCH(weekday(AA$4), 1, 0, 2, if(ISBLANK('2025'!$P287), 0, 1), 3, if(ISBLANK('2025'!$Q287), 0, 1), 4, if(ISBLANK('2025'!$R287), 0, 1), 5, if(ISBLANK('2025'!$S287), 0, 1), 6, if(ISBLANK('2025'!$T287), 0, 1), 7, 0))), 1, "")</f>
        <v/>
      </c>
      <c r="AB289" s="1" t="str">
        <f>IF(AND(AND(AND(AB$4&gt;='2025'!$L287,AB$4&lt;='2025'!$M287), AB$4&lt;&gt;DATE(2025,7,4)), (SWITCH(weekday(AB$4), 1, 0, 2, if(ISBLANK('2025'!$P287), 0, 1), 3, if(ISBLANK('2025'!$Q287), 0, 1), 4, if(ISBLANK('2025'!$R287), 0, 1), 5, if(ISBLANK('2025'!$S287), 0, 1), 6, if(ISBLANK('2025'!$T287), 0, 1), 7, 0))), 1, "")</f>
        <v/>
      </c>
      <c r="AC289" s="1" t="str">
        <f>IF(AND(AND(AND(AC$4&gt;='2025'!$L287,AC$4&lt;='2025'!$M287), AC$4&lt;&gt;DATE(2025,7,4)), (SWITCH(weekday(AC$4), 1, 0, 2, if(ISBLANK('2025'!$P287), 0, 1), 3, if(ISBLANK('2025'!$Q287), 0, 1), 4, if(ISBLANK('2025'!$R287), 0, 1), 5, if(ISBLANK('2025'!$S287), 0, 1), 6, if(ISBLANK('2025'!$T287), 0, 1), 7, 0))), 1, "")</f>
        <v/>
      </c>
      <c r="AD289" s="1" t="str">
        <f>IF(AND(AND(AND(AD$4&gt;='2025'!$L287,AD$4&lt;='2025'!$M287), AD$4&lt;&gt;DATE(2025,7,4)), (SWITCH(weekday(AD$4), 1, 0, 2, if(ISBLANK('2025'!$P287), 0, 1), 3, if(ISBLANK('2025'!$Q287), 0, 1), 4, if(ISBLANK('2025'!$R287), 0, 1), 5, if(ISBLANK('2025'!$S287), 0, 1), 6, if(ISBLANK('2025'!$T287), 0, 1), 7, 0))), 1, "")</f>
        <v/>
      </c>
      <c r="AE289" s="1" t="str">
        <f>IF(AND(AND(AND(AE$4&gt;='2025'!$L287,AE$4&lt;='2025'!$M287), AE$4&lt;&gt;DATE(2025,7,4)), (SWITCH(weekday(AE$4), 1, 0, 2, if(ISBLANK('2025'!$P287), 0, 1), 3, if(ISBLANK('2025'!$Q287), 0, 1), 4, if(ISBLANK('2025'!$R287), 0, 1), 5, if(ISBLANK('2025'!$S287), 0, 1), 6, if(ISBLANK('2025'!$T287), 0, 1), 7, 0))), 1, "")</f>
        <v/>
      </c>
      <c r="AF289" s="1" t="str">
        <f>IF(AND(AND(AND(AF$4&gt;='2025'!$L287,AF$4&lt;='2025'!$M287), AF$4&lt;&gt;DATE(2025,7,4)), (SWITCH(weekday(AF$4), 1, 0, 2, if(ISBLANK('2025'!$P287), 0, 1), 3, if(ISBLANK('2025'!$Q287), 0, 1), 4, if(ISBLANK('2025'!$R287), 0, 1), 5, if(ISBLANK('2025'!$S287), 0, 1), 6, if(ISBLANK('2025'!$T287), 0, 1), 7, 0))), 1, "")</f>
        <v/>
      </c>
      <c r="AG289" s="1" t="str">
        <f>IF(AND(AND(AND(AG$4&gt;='2025'!$L287,AG$4&lt;='2025'!$M287), AG$4&lt;&gt;DATE(2025,7,4)), (SWITCH(weekday(AG$4), 1, 0, 2, if(ISBLANK('2025'!$P287), 0, 1), 3, if(ISBLANK('2025'!$Q287), 0, 1), 4, if(ISBLANK('2025'!$R287), 0, 1), 5, if(ISBLANK('2025'!$S287), 0, 1), 6, if(ISBLANK('2025'!$T287), 0, 1), 7, 0))), 1, "")</f>
        <v/>
      </c>
      <c r="AH289" s="1" t="str">
        <f>IF(AND(AND(AND(AH$4&gt;='2025'!$L287,AH$4&lt;='2025'!$M287), AH$4&lt;&gt;DATE(2025,7,4)), (SWITCH(weekday(AH$4), 1, 0, 2, if(ISBLANK('2025'!$P287), 0, 1), 3, if(ISBLANK('2025'!$Q287), 0, 1), 4, if(ISBLANK('2025'!$R287), 0, 1), 5, if(ISBLANK('2025'!$S287), 0, 1), 6, if(ISBLANK('2025'!$T287), 0, 1), 7, 0))), 1, "")</f>
        <v/>
      </c>
      <c r="AI289" s="1" t="str">
        <f>IF(AND(AND(AND(AI$4&gt;='2025'!$L287,AI$4&lt;='2025'!$M287), AI$4&lt;&gt;DATE(2025,7,4)), (SWITCH(weekday(AI$4), 1, 0, 2, if(ISBLANK('2025'!$P287), 0, 1), 3, if(ISBLANK('2025'!$Q287), 0, 1), 4, if(ISBLANK('2025'!$R287), 0, 1), 5, if(ISBLANK('2025'!$S287), 0, 1), 6, if(ISBLANK('2025'!$T287), 0, 1), 7, 0))), 1, "")</f>
        <v/>
      </c>
      <c r="AJ289" s="1" t="str">
        <f>IF(AND(AND(AND(AJ$4&gt;='2025'!$L287,AJ$4&lt;='2025'!$M287), AJ$4&lt;&gt;DATE(2025,7,4)), (SWITCH(weekday(AJ$4), 1, 0, 2, if(ISBLANK('2025'!$P287), 0, 1), 3, if(ISBLANK('2025'!$Q287), 0, 1), 4, if(ISBLANK('2025'!$R287), 0, 1), 5, if(ISBLANK('2025'!$S287), 0, 1), 6, if(ISBLANK('2025'!$T287), 0, 1), 7, 0))), 1, "")</f>
        <v/>
      </c>
      <c r="AK289" s="1" t="str">
        <f>IF(AND(AND(AND(AK$4&gt;='2025'!$L287,AK$4&lt;='2025'!$M287), AK$4&lt;&gt;DATE(2025,7,4)), (SWITCH(weekday(AK$4), 1, 0, 2, if(ISBLANK('2025'!$P287), 0, 1), 3, if(ISBLANK('2025'!$Q287), 0, 1), 4, if(ISBLANK('2025'!$R287), 0, 1), 5, if(ISBLANK('2025'!$S287), 0, 1), 6, if(ISBLANK('2025'!$T287), 0, 1), 7, 0))), 1, "")</f>
        <v/>
      </c>
      <c r="AL289" s="1" t="str">
        <f>IF(AND(AND(AND(AL$4&gt;='2025'!$L287,AL$4&lt;='2025'!$M287), AL$4&lt;&gt;DATE(2025,7,4)), (SWITCH(weekday(AL$4), 1, 0, 2, if(ISBLANK('2025'!$P287), 0, 1), 3, if(ISBLANK('2025'!$Q287), 0, 1), 4, if(ISBLANK('2025'!$R287), 0, 1), 5, if(ISBLANK('2025'!$S287), 0, 1), 6, if(ISBLANK('2025'!$T287), 0, 1), 7, 0))), 1, "")</f>
        <v/>
      </c>
      <c r="AM289" s="1" t="str">
        <f>IF(AND(AND(AND(AM$4&gt;='2025'!$L287,AM$4&lt;='2025'!$M287), AM$4&lt;&gt;DATE(2025,7,4)), (SWITCH(weekday(AM$4), 1, 0, 2, if(ISBLANK('2025'!$P287), 0, 1), 3, if(ISBLANK('2025'!$Q287), 0, 1), 4, if(ISBLANK('2025'!$R287), 0, 1), 5, if(ISBLANK('2025'!$S287), 0, 1), 6, if(ISBLANK('2025'!$T287), 0, 1), 7, 0))), 1, "")</f>
        <v/>
      </c>
      <c r="AN289" s="1" t="str">
        <f>IF(AND(AND(AND(AN$4&gt;='2025'!$L287,AN$4&lt;='2025'!$M287), AN$4&lt;&gt;DATE(2025,7,4)), (SWITCH(weekday(AN$4), 1, 0, 2, if(ISBLANK('2025'!$P287), 0, 1), 3, if(ISBLANK('2025'!$Q287), 0, 1), 4, if(ISBLANK('2025'!$R287), 0, 1), 5, if(ISBLANK('2025'!$S287), 0, 1), 6, if(ISBLANK('2025'!$T287), 0, 1), 7, 0))), 1, "")</f>
        <v/>
      </c>
      <c r="AO289" s="1" t="str">
        <f>IF(AND(AND(AND(AO$4&gt;='2025'!$L287,AO$4&lt;='2025'!$M287), AO$4&lt;&gt;DATE(2025,7,4)), (SWITCH(weekday(AO$4), 1, 0, 2, if(ISBLANK('2025'!$P287), 0, 1), 3, if(ISBLANK('2025'!$Q287), 0, 1), 4, if(ISBLANK('2025'!$R287), 0, 1), 5, if(ISBLANK('2025'!$S287), 0, 1), 6, if(ISBLANK('2025'!$T287), 0, 1), 7, 0))), 1, "")</f>
        <v/>
      </c>
      <c r="AP289" s="1" t="str">
        <f>IF(AND(AND(AND(AP$4&gt;='2025'!$L287,AP$4&lt;='2025'!$M287), AP$4&lt;&gt;DATE(2025,7,4)), (SWITCH(weekday(AP$4), 1, 0, 2, if(ISBLANK('2025'!$P287), 0, 1), 3, if(ISBLANK('2025'!$Q287), 0, 1), 4, if(ISBLANK('2025'!$R287), 0, 1), 5, if(ISBLANK('2025'!$S287), 0, 1), 6, if(ISBLANK('2025'!$T287), 0, 1), 7, 0))), 1, "")</f>
        <v/>
      </c>
      <c r="AQ289" s="1" t="str">
        <f>IF(AND(AND(AND(AQ$4&gt;='2025'!$L287,AQ$4&lt;='2025'!$M287), AQ$4&lt;&gt;DATE(2025,7,4)), (SWITCH(weekday(AQ$4), 1, 0, 2, if(ISBLANK('2025'!$P287), 0, 1), 3, if(ISBLANK('2025'!$Q287), 0, 1), 4, if(ISBLANK('2025'!$R287), 0, 1), 5, if(ISBLANK('2025'!$S287), 0, 1), 6, if(ISBLANK('2025'!$T287), 0, 1), 7, 0))), 1, "")</f>
        <v/>
      </c>
      <c r="AR289" s="1" t="str">
        <f>IF(AND(AND(AND(AR$4&gt;='2025'!$L287,AR$4&lt;='2025'!$M287), AR$4&lt;&gt;DATE(2025,7,4)), (SWITCH(weekday(AR$4), 1, 0, 2, if(ISBLANK('2025'!$P287), 0, 1), 3, if(ISBLANK('2025'!$Q287), 0, 1), 4, if(ISBLANK('2025'!$R287), 0, 1), 5, if(ISBLANK('2025'!$S287), 0, 1), 6, if(ISBLANK('2025'!$T287), 0, 1), 7, 0))), 1, "")</f>
        <v/>
      </c>
      <c r="AS289" s="1" t="str">
        <f>IF(AND(AND(AND(AS$4&gt;='2025'!$L287,AS$4&lt;='2025'!$M287), AS$4&lt;&gt;DATE(2025,7,4)), (SWITCH(weekday(AS$4), 1, 0, 2, if(ISBLANK('2025'!$P287), 0, 1), 3, if(ISBLANK('2025'!$Q287), 0, 1), 4, if(ISBLANK('2025'!$R287), 0, 1), 5, if(ISBLANK('2025'!$S287), 0, 1), 6, if(ISBLANK('2025'!$T287), 0, 1), 7, 0))), 1, "")</f>
        <v/>
      </c>
      <c r="AT289" s="1" t="str">
        <f>IF(AND(AND(AND(AT$4&gt;='2025'!$L287,AT$4&lt;='2025'!$M287), AT$4&lt;&gt;DATE(2025,7,4)), (SWITCH(weekday(AT$4), 1, 0, 2, if(ISBLANK('2025'!$P287), 0, 1), 3, if(ISBLANK('2025'!$Q287), 0, 1), 4, if(ISBLANK('2025'!$R287), 0, 1), 5, if(ISBLANK('2025'!$S287), 0, 1), 6, if(ISBLANK('2025'!$T287), 0, 1), 7, 0))), 1, "")</f>
        <v/>
      </c>
      <c r="AU289" s="1" t="str">
        <f>IF(AND(AND(AND(AU$4&gt;='2025'!$L287,AU$4&lt;='2025'!$M287), AU$4&lt;&gt;DATE(2025,7,4)), (SWITCH(weekday(AU$4), 1, 0, 2, if(ISBLANK('2025'!$P287), 0, 1), 3, if(ISBLANK('2025'!$Q287), 0, 1), 4, if(ISBLANK('2025'!$R287), 0, 1), 5, if(ISBLANK('2025'!$S287), 0, 1), 6, if(ISBLANK('2025'!$T287), 0, 1), 7, 0))), 1, "")</f>
        <v/>
      </c>
      <c r="AV289" s="1" t="str">
        <f>IF(AND(AND(AND(AV$4&gt;='2025'!$L287,AV$4&lt;='2025'!$M287), AV$4&lt;&gt;DATE(2025,7,4)), (SWITCH(weekday(AV$4), 1, 0, 2, if(ISBLANK('2025'!$P287), 0, 1), 3, if(ISBLANK('2025'!$Q287), 0, 1), 4, if(ISBLANK('2025'!$R287), 0, 1), 5, if(ISBLANK('2025'!$S287), 0, 1), 6, if(ISBLANK('2025'!$T287), 0, 1), 7, 0))), 1, "")</f>
        <v/>
      </c>
      <c r="AW289" s="1" t="str">
        <f>IF(AND(AND(AND(AW$4&gt;='2025'!$L287,AW$4&lt;='2025'!$M287), AW$4&lt;&gt;DATE(2025,7,4)), (SWITCH(weekday(AW$4), 1, 0, 2, if(ISBLANK('2025'!$P287), 0, 1), 3, if(ISBLANK('2025'!$Q287), 0, 1), 4, if(ISBLANK('2025'!$R287), 0, 1), 5, if(ISBLANK('2025'!$S287), 0, 1), 6, if(ISBLANK('2025'!$T287), 0, 1), 7, 0))), 1, "")</f>
        <v/>
      </c>
      <c r="AX289" s="1" t="str">
        <f>IF(AND(AND(AND(AX$4&gt;='2025'!$L287,AX$4&lt;='2025'!$M287), AX$4&lt;&gt;DATE(2025,7,4)), (SWITCH(weekday(AX$4), 1, 0, 2, if(ISBLANK('2025'!$P287), 0, 1), 3, if(ISBLANK('2025'!$Q287), 0, 1), 4, if(ISBLANK('2025'!$R287), 0, 1), 5, if(ISBLANK('2025'!$S287), 0, 1), 6, if(ISBLANK('2025'!$T287), 0, 1), 7, 0))), 1, "")</f>
        <v/>
      </c>
      <c r="AY289" s="1" t="str">
        <f>IF(AND(AND(AND(AY$4&gt;='2025'!$L287,AY$4&lt;='2025'!$M287), AY$4&lt;&gt;DATE(2025,7,4)), (SWITCH(weekday(AY$4), 1, 0, 2, if(ISBLANK('2025'!$P287), 0, 1), 3, if(ISBLANK('2025'!$Q287), 0, 1), 4, if(ISBLANK('2025'!$R287), 0, 1), 5, if(ISBLANK('2025'!$S287), 0, 1), 6, if(ISBLANK('2025'!$T287), 0, 1), 7, 0))), 1, "")</f>
        <v/>
      </c>
      <c r="AZ289" s="1" t="str">
        <f>IF(AND(AND(AND(AZ$4&gt;='2025'!$L287,AZ$4&lt;='2025'!$M287), AZ$4&lt;&gt;DATE(2025,7,4)), (SWITCH(weekday(AZ$4), 1, 0, 2, if(ISBLANK('2025'!$P287), 0, 1), 3, if(ISBLANK('2025'!$Q287), 0, 1), 4, if(ISBLANK('2025'!$R287), 0, 1), 5, if(ISBLANK('2025'!$S287), 0, 1), 6, if(ISBLANK('2025'!$T287), 0, 1), 7, 0))), 1, "")</f>
        <v/>
      </c>
      <c r="BA289" s="1" t="str">
        <f>IF(AND(AND(AND(BA$4&gt;='2025'!$L287,BA$4&lt;='2025'!$M287), BA$4&lt;&gt;DATE(2025,7,4)), (SWITCH(weekday(BA$4), 1, 0, 2, if(ISBLANK('2025'!$P287), 0, 1), 3, if(ISBLANK('2025'!$Q287), 0, 1), 4, if(ISBLANK('2025'!$R287), 0, 1), 5, if(ISBLANK('2025'!$S287), 0, 1), 6, if(ISBLANK('2025'!$T287), 0, 1), 7, 0))), 1, "")</f>
        <v/>
      </c>
      <c r="BB289" s="1" t="str">
        <f>IF(AND(AND(AND(BB$4&gt;='2025'!$L287,BB$4&lt;='2025'!$M287), BB$4&lt;&gt;DATE(2025,7,4)), (SWITCH(weekday(BB$4), 1, 0, 2, if(ISBLANK('2025'!$P287), 0, 1), 3, if(ISBLANK('2025'!$Q287), 0, 1), 4, if(ISBLANK('2025'!$R287), 0, 1), 5, if(ISBLANK('2025'!$S287), 0, 1), 6, if(ISBLANK('2025'!$T287), 0, 1), 7, 0))), 1, "")</f>
        <v/>
      </c>
      <c r="BC289" s="1" t="str">
        <f>IF(AND(AND(AND(BC$4&gt;='2025'!$L287,BC$4&lt;='2025'!$M287), BC$4&lt;&gt;DATE(2025,7,4)), (SWITCH(weekday(BC$4), 1, 0, 2, if(ISBLANK('2025'!$P287), 0, 1), 3, if(ISBLANK('2025'!$Q287), 0, 1), 4, if(ISBLANK('2025'!$R287), 0, 1), 5, if(ISBLANK('2025'!$S287), 0, 1), 6, if(ISBLANK('2025'!$T287), 0, 1), 7, 0))), 1, "")</f>
        <v/>
      </c>
      <c r="BD289" s="1" t="str">
        <f>IF(AND(AND(AND(BD$4&gt;='2025'!$L287,BD$4&lt;='2025'!$M287), BD$4&lt;&gt;DATE(2025,7,4)), (SWITCH(weekday(BD$4), 1, 0, 2, if(ISBLANK('2025'!$P287), 0, 1), 3, if(ISBLANK('2025'!$Q287), 0, 1), 4, if(ISBLANK('2025'!$R287), 0, 1), 5, if(ISBLANK('2025'!$S287), 0, 1), 6, if(ISBLANK('2025'!$T287), 0, 1), 7, 0))), 1, "")</f>
        <v/>
      </c>
      <c r="BE289" s="1" t="str">
        <f>IF(AND(AND(AND(BE$4&gt;='2025'!$L287,BE$4&lt;='2025'!$M287), BE$4&lt;&gt;DATE(2025,7,4)), (SWITCH(weekday(BE$4), 1, 0, 2, if(ISBLANK('2025'!$P287), 0, 1), 3, if(ISBLANK('2025'!$Q287), 0, 1), 4, if(ISBLANK('2025'!$R287), 0, 1), 5, if(ISBLANK('2025'!$S287), 0, 1), 6, if(ISBLANK('2025'!$T287), 0, 1), 7, 0))), 1, "")</f>
        <v/>
      </c>
      <c r="BF289" s="1" t="str">
        <f>IF(AND(AND(AND(BF$4&gt;='2025'!$L287,BF$4&lt;='2025'!$M287), BF$4&lt;&gt;DATE(2025,7,4)), (SWITCH(weekday(BF$4), 1, 0, 2, if(ISBLANK('2025'!$P287), 0, 1), 3, if(ISBLANK('2025'!$Q287), 0, 1), 4, if(ISBLANK('2025'!$R287), 0, 1), 5, if(ISBLANK('2025'!$S287), 0, 1), 6, if(ISBLANK('2025'!$T287), 0, 1), 7, 0))), 1, "")</f>
        <v/>
      </c>
      <c r="BG289" s="1"/>
      <c r="BH289" s="1"/>
      <c r="BI289" s="1"/>
      <c r="BJ289" s="1"/>
      <c r="BK289" s="1"/>
      <c r="BL289" s="1"/>
    </row>
    <row r="290">
      <c r="A290" s="1">
        <f t="shared" si="3"/>
        <v>290</v>
      </c>
      <c r="B290" s="1" t="str">
        <f>'2025'!D254</f>
        <v>, </v>
      </c>
      <c r="C290" s="1" t="str">
        <f>'2025'!H254</f>
        <v/>
      </c>
      <c r="D290" s="1" t="str">
        <f>IF(AND(AND(AND(D$4&gt;='2025'!$L288,D$4&lt;='2025'!$M288), D$4&lt;&gt;DATE(2025,7,4)), (SWITCH(weekday(D$4), 1, 0, 2, if(ISBLANK('2025'!$P288), 0, 1), 3, if(ISBLANK('2025'!$Q288), 0, 1), 4, if(ISBLANK('2025'!$R288), 0, 1), 5, if(ISBLANK('2025'!$S288), 0, 1), 6, if(ISBLANK('2025'!$T288), 0, 1), 7, 0))), 1, "")</f>
        <v/>
      </c>
      <c r="E290" s="1" t="str">
        <f>IF(AND(AND(AND(E$4&gt;='2025'!$L288,E$4&lt;='2025'!$M288), E$4&lt;&gt;DATE(2025,7,4)), (SWITCH(weekday(E$4), 1, 0, 2, if(ISBLANK('2025'!$P288), 0, 1), 3, if(ISBLANK('2025'!$Q288), 0, 1), 4, if(ISBLANK('2025'!$R288), 0, 1), 5, if(ISBLANK('2025'!$S288), 0, 1), 6, if(ISBLANK('2025'!$T288), 0, 1), 7, 0))), 1, "")</f>
        <v/>
      </c>
      <c r="F290" s="1" t="str">
        <f>IF(AND(AND(AND(F$4&gt;='2025'!$L288,F$4&lt;='2025'!$M288), F$4&lt;&gt;DATE(2025,7,4)), (SWITCH(weekday(F$4), 1, 0, 2, if(ISBLANK('2025'!$P288), 0, 1), 3, if(ISBLANK('2025'!$Q288), 0, 1), 4, if(ISBLANK('2025'!$R288), 0, 1), 5, if(ISBLANK('2025'!$S288), 0, 1), 6, if(ISBLANK('2025'!$T288), 0, 1), 7, 0))), 1, "")</f>
        <v/>
      </c>
      <c r="G290" s="1" t="str">
        <f>IF(AND(AND(AND(G$4&gt;='2025'!$L288,G$4&lt;='2025'!$M288), G$4&lt;&gt;DATE(2025,7,4)), (SWITCH(weekday(G$4), 1, 0, 2, if(ISBLANK('2025'!$P288), 0, 1), 3, if(ISBLANK('2025'!$Q288), 0, 1), 4, if(ISBLANK('2025'!$R288), 0, 1), 5, if(ISBLANK('2025'!$S288), 0, 1), 6, if(ISBLANK('2025'!$T288), 0, 1), 7, 0))), 1, "")</f>
        <v/>
      </c>
      <c r="H290" s="1" t="str">
        <f>IF(AND(AND(AND(H$4&gt;='2025'!$L288,H$4&lt;='2025'!$M288), H$4&lt;&gt;DATE(2025,7,4)), (SWITCH(weekday(H$4), 1, 0, 2, if(ISBLANK('2025'!$P288), 0, 1), 3, if(ISBLANK('2025'!$Q288), 0, 1), 4, if(ISBLANK('2025'!$R288), 0, 1), 5, if(ISBLANK('2025'!$S288), 0, 1), 6, if(ISBLANK('2025'!$T288), 0, 1), 7, 0))), 1, "")</f>
        <v/>
      </c>
      <c r="I290" s="1" t="str">
        <f>IF(AND(AND(AND(I$4&gt;='2025'!$L288,I$4&lt;='2025'!$M288), I$4&lt;&gt;DATE(2025,7,4)), (SWITCH(weekday(I$4), 1, 0, 2, if(ISBLANK('2025'!$P288), 0, 1), 3, if(ISBLANK('2025'!$Q288), 0, 1), 4, if(ISBLANK('2025'!$R288), 0, 1), 5, if(ISBLANK('2025'!$S288), 0, 1), 6, if(ISBLANK('2025'!$T288), 0, 1), 7, 0))), 1, "")</f>
        <v/>
      </c>
      <c r="J290" s="1" t="str">
        <f>IF(AND(AND(AND(J$4&gt;='2025'!$L288,J$4&lt;='2025'!$M288), J$4&lt;&gt;DATE(2025,7,4)), (SWITCH(weekday(J$4), 1, 0, 2, if(ISBLANK('2025'!$P288), 0, 1), 3, if(ISBLANK('2025'!$Q288), 0, 1), 4, if(ISBLANK('2025'!$R288), 0, 1), 5, if(ISBLANK('2025'!$S288), 0, 1), 6, if(ISBLANK('2025'!$T288), 0, 1), 7, 0))), 1, "")</f>
        <v/>
      </c>
      <c r="K290" s="1" t="str">
        <f>IF(AND(AND(AND(K$4&gt;='2025'!$L288,K$4&lt;='2025'!$M288), K$4&lt;&gt;DATE(2025,7,4)), (SWITCH(weekday(K$4), 1, 0, 2, if(ISBLANK('2025'!$P288), 0, 1), 3, if(ISBLANK('2025'!$Q288), 0, 1), 4, if(ISBLANK('2025'!$R288), 0, 1), 5, if(ISBLANK('2025'!$S288), 0, 1), 6, if(ISBLANK('2025'!$T288), 0, 1), 7, 0))), 1, "")</f>
        <v/>
      </c>
      <c r="L290" s="1" t="str">
        <f>IF(AND(AND(AND(L$4&gt;='2025'!$L288,L$4&lt;='2025'!$M288), L$4&lt;&gt;DATE(2025,7,4)), (SWITCH(weekday(L$4), 1, 0, 2, if(ISBLANK('2025'!$P288), 0, 1), 3, if(ISBLANK('2025'!$Q288), 0, 1), 4, if(ISBLANK('2025'!$R288), 0, 1), 5, if(ISBLANK('2025'!$S288), 0, 1), 6, if(ISBLANK('2025'!$T288), 0, 1), 7, 0))), 1, "")</f>
        <v/>
      </c>
      <c r="M290" s="1" t="str">
        <f>IF(AND(AND(AND(M$4&gt;='2025'!$L288,M$4&lt;='2025'!$M288), M$4&lt;&gt;DATE(2025,7,4)), (SWITCH(weekday(M$4), 1, 0, 2, if(ISBLANK('2025'!$P288), 0, 1), 3, if(ISBLANK('2025'!$Q288), 0, 1), 4, if(ISBLANK('2025'!$R288), 0, 1), 5, if(ISBLANK('2025'!$S288), 0, 1), 6, if(ISBLANK('2025'!$T288), 0, 1), 7, 0))), 1, "")</f>
        <v/>
      </c>
      <c r="N290" s="1" t="str">
        <f>IF(AND(AND(AND(N$4&gt;='2025'!$L288,N$4&lt;='2025'!$M288), N$4&lt;&gt;DATE(2025,7,4)), (SWITCH(weekday(N$4), 1, 0, 2, if(ISBLANK('2025'!$P288), 0, 1), 3, if(ISBLANK('2025'!$Q288), 0, 1), 4, if(ISBLANK('2025'!$R288), 0, 1), 5, if(ISBLANK('2025'!$S288), 0, 1), 6, if(ISBLANK('2025'!$T288), 0, 1), 7, 0))), 1, "")</f>
        <v/>
      </c>
      <c r="O290" s="1" t="str">
        <f>IF(AND(AND(AND(O$4&gt;='2025'!$L288,O$4&lt;='2025'!$M288), O$4&lt;&gt;DATE(2025,7,4)), (SWITCH(weekday(O$4), 1, 0, 2, if(ISBLANK('2025'!$P288), 0, 1), 3, if(ISBLANK('2025'!$Q288), 0, 1), 4, if(ISBLANK('2025'!$R288), 0, 1), 5, if(ISBLANK('2025'!$S288), 0, 1), 6, if(ISBLANK('2025'!$T288), 0, 1), 7, 0))), 1, "")</f>
        <v/>
      </c>
      <c r="P290" s="1" t="str">
        <f>IF(AND(AND(AND(P$4&gt;='2025'!$L288,P$4&lt;='2025'!$M288), P$4&lt;&gt;DATE(2025,7,4)), (SWITCH(weekday(P$4), 1, 0, 2, if(ISBLANK('2025'!$P288), 0, 1), 3, if(ISBLANK('2025'!$Q288), 0, 1), 4, if(ISBLANK('2025'!$R288), 0, 1), 5, if(ISBLANK('2025'!$S288), 0, 1), 6, if(ISBLANK('2025'!$T288), 0, 1), 7, 0))), 1, "")</f>
        <v/>
      </c>
      <c r="Q290" s="1" t="str">
        <f>IF(AND(AND(AND(Q$4&gt;='2025'!$L288,Q$4&lt;='2025'!$M288), Q$4&lt;&gt;DATE(2025,7,4)), (SWITCH(weekday(Q$4), 1, 0, 2, if(ISBLANK('2025'!$P288), 0, 1), 3, if(ISBLANK('2025'!$Q288), 0, 1), 4, if(ISBLANK('2025'!$R288), 0, 1), 5, if(ISBLANK('2025'!$S288), 0, 1), 6, if(ISBLANK('2025'!$T288), 0, 1), 7, 0))), 1, "")</f>
        <v/>
      </c>
      <c r="R290" s="1" t="str">
        <f>IF(AND(AND(AND(R$4&gt;='2025'!$L288,R$4&lt;='2025'!$M288), R$4&lt;&gt;DATE(2025,7,4)), (SWITCH(weekday(R$4), 1, 0, 2, if(ISBLANK('2025'!$P288), 0, 1), 3, if(ISBLANK('2025'!$Q288), 0, 1), 4, if(ISBLANK('2025'!$R288), 0, 1), 5, if(ISBLANK('2025'!$S288), 0, 1), 6, if(ISBLANK('2025'!$T288), 0, 1), 7, 0))), 1, "")</f>
        <v/>
      </c>
      <c r="S290" s="1" t="str">
        <f>IF(AND(AND(AND(S$4&gt;='2025'!$L288,S$4&lt;='2025'!$M288), S$4&lt;&gt;DATE(2025,7,4)), (SWITCH(weekday(S$4), 1, 0, 2, if(ISBLANK('2025'!$P288), 0, 1), 3, if(ISBLANK('2025'!$Q288), 0, 1), 4, if(ISBLANK('2025'!$R288), 0, 1), 5, if(ISBLANK('2025'!$S288), 0, 1), 6, if(ISBLANK('2025'!$T288), 0, 1), 7, 0))), 1, "")</f>
        <v/>
      </c>
      <c r="T290" s="1" t="str">
        <f>IF(AND(AND(AND(T$4&gt;='2025'!$L288,T$4&lt;='2025'!$M288), T$4&lt;&gt;DATE(2025,7,4)), (SWITCH(weekday(T$4), 1, 0, 2, if(ISBLANK('2025'!$P288), 0, 1), 3, if(ISBLANK('2025'!$Q288), 0, 1), 4, if(ISBLANK('2025'!$R288), 0, 1), 5, if(ISBLANK('2025'!$S288), 0, 1), 6, if(ISBLANK('2025'!$T288), 0, 1), 7, 0))), 1, "")</f>
        <v/>
      </c>
      <c r="U290" s="1" t="str">
        <f>IF(AND(AND(AND(U$4&gt;='2025'!$L288,U$4&lt;='2025'!$M288), U$4&lt;&gt;DATE(2025,7,4)), (SWITCH(weekday(U$4), 1, 0, 2, if(ISBLANK('2025'!$P288), 0, 1), 3, if(ISBLANK('2025'!$Q288), 0, 1), 4, if(ISBLANK('2025'!$R288), 0, 1), 5, if(ISBLANK('2025'!$S288), 0, 1), 6, if(ISBLANK('2025'!$T288), 0, 1), 7, 0))), 1, "")</f>
        <v/>
      </c>
      <c r="V290" s="1" t="str">
        <f>IF(AND(AND(AND(V$4&gt;='2025'!$L288,V$4&lt;='2025'!$M288), V$4&lt;&gt;DATE(2025,7,4)), (SWITCH(weekday(V$4), 1, 0, 2, if(ISBLANK('2025'!$P288), 0, 1), 3, if(ISBLANK('2025'!$Q288), 0, 1), 4, if(ISBLANK('2025'!$R288), 0, 1), 5, if(ISBLANK('2025'!$S288), 0, 1), 6, if(ISBLANK('2025'!$T288), 0, 1), 7, 0))), 1, "")</f>
        <v/>
      </c>
      <c r="W290" s="1" t="str">
        <f>IF(AND(AND(AND(W$4&gt;='2025'!$L288,W$4&lt;='2025'!$M288), W$4&lt;&gt;DATE(2025,7,4)), (SWITCH(weekday(W$4), 1, 0, 2, if(ISBLANK('2025'!$P288), 0, 1), 3, if(ISBLANK('2025'!$Q288), 0, 1), 4, if(ISBLANK('2025'!$R288), 0, 1), 5, if(ISBLANK('2025'!$S288), 0, 1), 6, if(ISBLANK('2025'!$T288), 0, 1), 7, 0))), 1, "")</f>
        <v/>
      </c>
      <c r="X290" s="1" t="str">
        <f>IF(AND(AND(AND(X$4&gt;='2025'!$L288,X$4&lt;='2025'!$M288), X$4&lt;&gt;DATE(2025,7,4)), (SWITCH(weekday(X$4), 1, 0, 2, if(ISBLANK('2025'!$P288), 0, 1), 3, if(ISBLANK('2025'!$Q288), 0, 1), 4, if(ISBLANK('2025'!$R288), 0, 1), 5, if(ISBLANK('2025'!$S288), 0, 1), 6, if(ISBLANK('2025'!$T288), 0, 1), 7, 0))), 1, "")</f>
        <v/>
      </c>
      <c r="Y290" s="1" t="str">
        <f>IF(AND(AND(AND(Y$4&gt;='2025'!$L288,Y$4&lt;='2025'!$M288), Y$4&lt;&gt;DATE(2025,7,4)), (SWITCH(weekday(Y$4), 1, 0, 2, if(ISBLANK('2025'!$P288), 0, 1), 3, if(ISBLANK('2025'!$Q288), 0, 1), 4, if(ISBLANK('2025'!$R288), 0, 1), 5, if(ISBLANK('2025'!$S288), 0, 1), 6, if(ISBLANK('2025'!$T288), 0, 1), 7, 0))), 1, "")</f>
        <v/>
      </c>
      <c r="Z290" s="1" t="str">
        <f>IF(AND(AND(AND(Z$4&gt;='2025'!$L288,Z$4&lt;='2025'!$M288), Z$4&lt;&gt;DATE(2025,7,4)), (SWITCH(weekday(Z$4), 1, 0, 2, if(ISBLANK('2025'!$P288), 0, 1), 3, if(ISBLANK('2025'!$Q288), 0, 1), 4, if(ISBLANK('2025'!$R288), 0, 1), 5, if(ISBLANK('2025'!$S288), 0, 1), 6, if(ISBLANK('2025'!$T288), 0, 1), 7, 0))), 1, "")</f>
        <v/>
      </c>
      <c r="AA290" s="1" t="str">
        <f>IF(AND(AND(AND(AA$4&gt;='2025'!$L288,AA$4&lt;='2025'!$M288), AA$4&lt;&gt;DATE(2025,7,4)), (SWITCH(weekday(AA$4), 1, 0, 2, if(ISBLANK('2025'!$P288), 0, 1), 3, if(ISBLANK('2025'!$Q288), 0, 1), 4, if(ISBLANK('2025'!$R288), 0, 1), 5, if(ISBLANK('2025'!$S288), 0, 1), 6, if(ISBLANK('2025'!$T288), 0, 1), 7, 0))), 1, "")</f>
        <v/>
      </c>
      <c r="AB290" s="1" t="str">
        <f>IF(AND(AND(AND(AB$4&gt;='2025'!$L288,AB$4&lt;='2025'!$M288), AB$4&lt;&gt;DATE(2025,7,4)), (SWITCH(weekday(AB$4), 1, 0, 2, if(ISBLANK('2025'!$P288), 0, 1), 3, if(ISBLANK('2025'!$Q288), 0, 1), 4, if(ISBLANK('2025'!$R288), 0, 1), 5, if(ISBLANK('2025'!$S288), 0, 1), 6, if(ISBLANK('2025'!$T288), 0, 1), 7, 0))), 1, "")</f>
        <v/>
      </c>
      <c r="AC290" s="1" t="str">
        <f>IF(AND(AND(AND(AC$4&gt;='2025'!$L288,AC$4&lt;='2025'!$M288), AC$4&lt;&gt;DATE(2025,7,4)), (SWITCH(weekday(AC$4), 1, 0, 2, if(ISBLANK('2025'!$P288), 0, 1), 3, if(ISBLANK('2025'!$Q288), 0, 1), 4, if(ISBLANK('2025'!$R288), 0, 1), 5, if(ISBLANK('2025'!$S288), 0, 1), 6, if(ISBLANK('2025'!$T288), 0, 1), 7, 0))), 1, "")</f>
        <v/>
      </c>
      <c r="AD290" s="1" t="str">
        <f>IF(AND(AND(AND(AD$4&gt;='2025'!$L288,AD$4&lt;='2025'!$M288), AD$4&lt;&gt;DATE(2025,7,4)), (SWITCH(weekday(AD$4), 1, 0, 2, if(ISBLANK('2025'!$P288), 0, 1), 3, if(ISBLANK('2025'!$Q288), 0, 1), 4, if(ISBLANK('2025'!$R288), 0, 1), 5, if(ISBLANK('2025'!$S288), 0, 1), 6, if(ISBLANK('2025'!$T288), 0, 1), 7, 0))), 1, "")</f>
        <v/>
      </c>
      <c r="AE290" s="1" t="str">
        <f>IF(AND(AND(AND(AE$4&gt;='2025'!$L288,AE$4&lt;='2025'!$M288), AE$4&lt;&gt;DATE(2025,7,4)), (SWITCH(weekday(AE$4), 1, 0, 2, if(ISBLANK('2025'!$P288), 0, 1), 3, if(ISBLANK('2025'!$Q288), 0, 1), 4, if(ISBLANK('2025'!$R288), 0, 1), 5, if(ISBLANK('2025'!$S288), 0, 1), 6, if(ISBLANK('2025'!$T288), 0, 1), 7, 0))), 1, "")</f>
        <v/>
      </c>
      <c r="AF290" s="1" t="str">
        <f>IF(AND(AND(AND(AF$4&gt;='2025'!$L288,AF$4&lt;='2025'!$M288), AF$4&lt;&gt;DATE(2025,7,4)), (SWITCH(weekday(AF$4), 1, 0, 2, if(ISBLANK('2025'!$P288), 0, 1), 3, if(ISBLANK('2025'!$Q288), 0, 1), 4, if(ISBLANK('2025'!$R288), 0, 1), 5, if(ISBLANK('2025'!$S288), 0, 1), 6, if(ISBLANK('2025'!$T288), 0, 1), 7, 0))), 1, "")</f>
        <v/>
      </c>
      <c r="AG290" s="1" t="str">
        <f>IF(AND(AND(AND(AG$4&gt;='2025'!$L288,AG$4&lt;='2025'!$M288), AG$4&lt;&gt;DATE(2025,7,4)), (SWITCH(weekday(AG$4), 1, 0, 2, if(ISBLANK('2025'!$P288), 0, 1), 3, if(ISBLANK('2025'!$Q288), 0, 1), 4, if(ISBLANK('2025'!$R288), 0, 1), 5, if(ISBLANK('2025'!$S288), 0, 1), 6, if(ISBLANK('2025'!$T288), 0, 1), 7, 0))), 1, "")</f>
        <v/>
      </c>
      <c r="AH290" s="1" t="str">
        <f>IF(AND(AND(AND(AH$4&gt;='2025'!$L288,AH$4&lt;='2025'!$M288), AH$4&lt;&gt;DATE(2025,7,4)), (SWITCH(weekday(AH$4), 1, 0, 2, if(ISBLANK('2025'!$P288), 0, 1), 3, if(ISBLANK('2025'!$Q288), 0, 1), 4, if(ISBLANK('2025'!$R288), 0, 1), 5, if(ISBLANK('2025'!$S288), 0, 1), 6, if(ISBLANK('2025'!$T288), 0, 1), 7, 0))), 1, "")</f>
        <v/>
      </c>
      <c r="AI290" s="1" t="str">
        <f>IF(AND(AND(AND(AI$4&gt;='2025'!$L288,AI$4&lt;='2025'!$M288), AI$4&lt;&gt;DATE(2025,7,4)), (SWITCH(weekday(AI$4), 1, 0, 2, if(ISBLANK('2025'!$P288), 0, 1), 3, if(ISBLANK('2025'!$Q288), 0, 1), 4, if(ISBLANK('2025'!$R288), 0, 1), 5, if(ISBLANK('2025'!$S288), 0, 1), 6, if(ISBLANK('2025'!$T288), 0, 1), 7, 0))), 1, "")</f>
        <v/>
      </c>
      <c r="AJ290" s="1" t="str">
        <f>IF(AND(AND(AND(AJ$4&gt;='2025'!$L288,AJ$4&lt;='2025'!$M288), AJ$4&lt;&gt;DATE(2025,7,4)), (SWITCH(weekday(AJ$4), 1, 0, 2, if(ISBLANK('2025'!$P288), 0, 1), 3, if(ISBLANK('2025'!$Q288), 0, 1), 4, if(ISBLANK('2025'!$R288), 0, 1), 5, if(ISBLANK('2025'!$S288), 0, 1), 6, if(ISBLANK('2025'!$T288), 0, 1), 7, 0))), 1, "")</f>
        <v/>
      </c>
      <c r="AK290" s="1" t="str">
        <f>IF(AND(AND(AND(AK$4&gt;='2025'!$L288,AK$4&lt;='2025'!$M288), AK$4&lt;&gt;DATE(2025,7,4)), (SWITCH(weekday(AK$4), 1, 0, 2, if(ISBLANK('2025'!$P288), 0, 1), 3, if(ISBLANK('2025'!$Q288), 0, 1), 4, if(ISBLANK('2025'!$R288), 0, 1), 5, if(ISBLANK('2025'!$S288), 0, 1), 6, if(ISBLANK('2025'!$T288), 0, 1), 7, 0))), 1, "")</f>
        <v/>
      </c>
      <c r="AL290" s="1" t="str">
        <f>IF(AND(AND(AND(AL$4&gt;='2025'!$L288,AL$4&lt;='2025'!$M288), AL$4&lt;&gt;DATE(2025,7,4)), (SWITCH(weekday(AL$4), 1, 0, 2, if(ISBLANK('2025'!$P288), 0, 1), 3, if(ISBLANK('2025'!$Q288), 0, 1), 4, if(ISBLANK('2025'!$R288), 0, 1), 5, if(ISBLANK('2025'!$S288), 0, 1), 6, if(ISBLANK('2025'!$T288), 0, 1), 7, 0))), 1, "")</f>
        <v/>
      </c>
      <c r="AM290" s="1" t="str">
        <f>IF(AND(AND(AND(AM$4&gt;='2025'!$L288,AM$4&lt;='2025'!$M288), AM$4&lt;&gt;DATE(2025,7,4)), (SWITCH(weekday(AM$4), 1, 0, 2, if(ISBLANK('2025'!$P288), 0, 1), 3, if(ISBLANK('2025'!$Q288), 0, 1), 4, if(ISBLANK('2025'!$R288), 0, 1), 5, if(ISBLANK('2025'!$S288), 0, 1), 6, if(ISBLANK('2025'!$T288), 0, 1), 7, 0))), 1, "")</f>
        <v/>
      </c>
      <c r="AN290" s="1" t="str">
        <f>IF(AND(AND(AND(AN$4&gt;='2025'!$L288,AN$4&lt;='2025'!$M288), AN$4&lt;&gt;DATE(2025,7,4)), (SWITCH(weekday(AN$4), 1, 0, 2, if(ISBLANK('2025'!$P288), 0, 1), 3, if(ISBLANK('2025'!$Q288), 0, 1), 4, if(ISBLANK('2025'!$R288), 0, 1), 5, if(ISBLANK('2025'!$S288), 0, 1), 6, if(ISBLANK('2025'!$T288), 0, 1), 7, 0))), 1, "")</f>
        <v/>
      </c>
      <c r="AO290" s="1" t="str">
        <f>IF(AND(AND(AND(AO$4&gt;='2025'!$L288,AO$4&lt;='2025'!$M288), AO$4&lt;&gt;DATE(2025,7,4)), (SWITCH(weekday(AO$4), 1, 0, 2, if(ISBLANK('2025'!$P288), 0, 1), 3, if(ISBLANK('2025'!$Q288), 0, 1), 4, if(ISBLANK('2025'!$R288), 0, 1), 5, if(ISBLANK('2025'!$S288), 0, 1), 6, if(ISBLANK('2025'!$T288), 0, 1), 7, 0))), 1, "")</f>
        <v/>
      </c>
      <c r="AP290" s="1" t="str">
        <f>IF(AND(AND(AND(AP$4&gt;='2025'!$L288,AP$4&lt;='2025'!$M288), AP$4&lt;&gt;DATE(2025,7,4)), (SWITCH(weekday(AP$4), 1, 0, 2, if(ISBLANK('2025'!$P288), 0, 1), 3, if(ISBLANK('2025'!$Q288), 0, 1), 4, if(ISBLANK('2025'!$R288), 0, 1), 5, if(ISBLANK('2025'!$S288), 0, 1), 6, if(ISBLANK('2025'!$T288), 0, 1), 7, 0))), 1, "")</f>
        <v/>
      </c>
      <c r="AQ290" s="1" t="str">
        <f>IF(AND(AND(AND(AQ$4&gt;='2025'!$L288,AQ$4&lt;='2025'!$M288), AQ$4&lt;&gt;DATE(2025,7,4)), (SWITCH(weekday(AQ$4), 1, 0, 2, if(ISBLANK('2025'!$P288), 0, 1), 3, if(ISBLANK('2025'!$Q288), 0, 1), 4, if(ISBLANK('2025'!$R288), 0, 1), 5, if(ISBLANK('2025'!$S288), 0, 1), 6, if(ISBLANK('2025'!$T288), 0, 1), 7, 0))), 1, "")</f>
        <v/>
      </c>
      <c r="AR290" s="1" t="str">
        <f>IF(AND(AND(AND(AR$4&gt;='2025'!$L288,AR$4&lt;='2025'!$M288), AR$4&lt;&gt;DATE(2025,7,4)), (SWITCH(weekday(AR$4), 1, 0, 2, if(ISBLANK('2025'!$P288), 0, 1), 3, if(ISBLANK('2025'!$Q288), 0, 1), 4, if(ISBLANK('2025'!$R288), 0, 1), 5, if(ISBLANK('2025'!$S288), 0, 1), 6, if(ISBLANK('2025'!$T288), 0, 1), 7, 0))), 1, "")</f>
        <v/>
      </c>
      <c r="AS290" s="1" t="str">
        <f>IF(AND(AND(AND(AS$4&gt;='2025'!$L288,AS$4&lt;='2025'!$M288), AS$4&lt;&gt;DATE(2025,7,4)), (SWITCH(weekday(AS$4), 1, 0, 2, if(ISBLANK('2025'!$P288), 0, 1), 3, if(ISBLANK('2025'!$Q288), 0, 1), 4, if(ISBLANK('2025'!$R288), 0, 1), 5, if(ISBLANK('2025'!$S288), 0, 1), 6, if(ISBLANK('2025'!$T288), 0, 1), 7, 0))), 1, "")</f>
        <v/>
      </c>
      <c r="AT290" s="1" t="str">
        <f>IF(AND(AND(AND(AT$4&gt;='2025'!$L288,AT$4&lt;='2025'!$M288), AT$4&lt;&gt;DATE(2025,7,4)), (SWITCH(weekday(AT$4), 1, 0, 2, if(ISBLANK('2025'!$P288), 0, 1), 3, if(ISBLANK('2025'!$Q288), 0, 1), 4, if(ISBLANK('2025'!$R288), 0, 1), 5, if(ISBLANK('2025'!$S288), 0, 1), 6, if(ISBLANK('2025'!$T288), 0, 1), 7, 0))), 1, "")</f>
        <v/>
      </c>
      <c r="AU290" s="1" t="str">
        <f>IF(AND(AND(AND(AU$4&gt;='2025'!$L288,AU$4&lt;='2025'!$M288), AU$4&lt;&gt;DATE(2025,7,4)), (SWITCH(weekday(AU$4), 1, 0, 2, if(ISBLANK('2025'!$P288), 0, 1), 3, if(ISBLANK('2025'!$Q288), 0, 1), 4, if(ISBLANK('2025'!$R288), 0, 1), 5, if(ISBLANK('2025'!$S288), 0, 1), 6, if(ISBLANK('2025'!$T288), 0, 1), 7, 0))), 1, "")</f>
        <v/>
      </c>
      <c r="AV290" s="1" t="str">
        <f>IF(AND(AND(AND(AV$4&gt;='2025'!$L288,AV$4&lt;='2025'!$M288), AV$4&lt;&gt;DATE(2025,7,4)), (SWITCH(weekday(AV$4), 1, 0, 2, if(ISBLANK('2025'!$P288), 0, 1), 3, if(ISBLANK('2025'!$Q288), 0, 1), 4, if(ISBLANK('2025'!$R288), 0, 1), 5, if(ISBLANK('2025'!$S288), 0, 1), 6, if(ISBLANK('2025'!$T288), 0, 1), 7, 0))), 1, "")</f>
        <v/>
      </c>
      <c r="AW290" s="1" t="str">
        <f>IF(AND(AND(AND(AW$4&gt;='2025'!$L288,AW$4&lt;='2025'!$M288), AW$4&lt;&gt;DATE(2025,7,4)), (SWITCH(weekday(AW$4), 1, 0, 2, if(ISBLANK('2025'!$P288), 0, 1), 3, if(ISBLANK('2025'!$Q288), 0, 1), 4, if(ISBLANK('2025'!$R288), 0, 1), 5, if(ISBLANK('2025'!$S288), 0, 1), 6, if(ISBLANK('2025'!$T288), 0, 1), 7, 0))), 1, "")</f>
        <v/>
      </c>
      <c r="AX290" s="1" t="str">
        <f>IF(AND(AND(AND(AX$4&gt;='2025'!$L288,AX$4&lt;='2025'!$M288), AX$4&lt;&gt;DATE(2025,7,4)), (SWITCH(weekday(AX$4), 1, 0, 2, if(ISBLANK('2025'!$P288), 0, 1), 3, if(ISBLANK('2025'!$Q288), 0, 1), 4, if(ISBLANK('2025'!$R288), 0, 1), 5, if(ISBLANK('2025'!$S288), 0, 1), 6, if(ISBLANK('2025'!$T288), 0, 1), 7, 0))), 1, "")</f>
        <v/>
      </c>
      <c r="AY290" s="1" t="str">
        <f>IF(AND(AND(AND(AY$4&gt;='2025'!$L288,AY$4&lt;='2025'!$M288), AY$4&lt;&gt;DATE(2025,7,4)), (SWITCH(weekday(AY$4), 1, 0, 2, if(ISBLANK('2025'!$P288), 0, 1), 3, if(ISBLANK('2025'!$Q288), 0, 1), 4, if(ISBLANK('2025'!$R288), 0, 1), 5, if(ISBLANK('2025'!$S288), 0, 1), 6, if(ISBLANK('2025'!$T288), 0, 1), 7, 0))), 1, "")</f>
        <v/>
      </c>
      <c r="AZ290" s="1" t="str">
        <f>IF(AND(AND(AND(AZ$4&gt;='2025'!$L288,AZ$4&lt;='2025'!$M288), AZ$4&lt;&gt;DATE(2025,7,4)), (SWITCH(weekday(AZ$4), 1, 0, 2, if(ISBLANK('2025'!$P288), 0, 1), 3, if(ISBLANK('2025'!$Q288), 0, 1), 4, if(ISBLANK('2025'!$R288), 0, 1), 5, if(ISBLANK('2025'!$S288), 0, 1), 6, if(ISBLANK('2025'!$T288), 0, 1), 7, 0))), 1, "")</f>
        <v/>
      </c>
      <c r="BA290" s="1" t="str">
        <f>IF(AND(AND(AND(BA$4&gt;='2025'!$L288,BA$4&lt;='2025'!$M288), BA$4&lt;&gt;DATE(2025,7,4)), (SWITCH(weekday(BA$4), 1, 0, 2, if(ISBLANK('2025'!$P288), 0, 1), 3, if(ISBLANK('2025'!$Q288), 0, 1), 4, if(ISBLANK('2025'!$R288), 0, 1), 5, if(ISBLANK('2025'!$S288), 0, 1), 6, if(ISBLANK('2025'!$T288), 0, 1), 7, 0))), 1, "")</f>
        <v/>
      </c>
      <c r="BB290" s="1" t="str">
        <f>IF(AND(AND(AND(BB$4&gt;='2025'!$L288,BB$4&lt;='2025'!$M288), BB$4&lt;&gt;DATE(2025,7,4)), (SWITCH(weekday(BB$4), 1, 0, 2, if(ISBLANK('2025'!$P288), 0, 1), 3, if(ISBLANK('2025'!$Q288), 0, 1), 4, if(ISBLANK('2025'!$R288), 0, 1), 5, if(ISBLANK('2025'!$S288), 0, 1), 6, if(ISBLANK('2025'!$T288), 0, 1), 7, 0))), 1, "")</f>
        <v/>
      </c>
      <c r="BC290" s="1" t="str">
        <f>IF(AND(AND(AND(BC$4&gt;='2025'!$L288,BC$4&lt;='2025'!$M288), BC$4&lt;&gt;DATE(2025,7,4)), (SWITCH(weekday(BC$4), 1, 0, 2, if(ISBLANK('2025'!$P288), 0, 1), 3, if(ISBLANK('2025'!$Q288), 0, 1), 4, if(ISBLANK('2025'!$R288), 0, 1), 5, if(ISBLANK('2025'!$S288), 0, 1), 6, if(ISBLANK('2025'!$T288), 0, 1), 7, 0))), 1, "")</f>
        <v/>
      </c>
      <c r="BD290" s="1" t="str">
        <f>IF(AND(AND(AND(BD$4&gt;='2025'!$L288,BD$4&lt;='2025'!$M288), BD$4&lt;&gt;DATE(2025,7,4)), (SWITCH(weekday(BD$4), 1, 0, 2, if(ISBLANK('2025'!$P288), 0, 1), 3, if(ISBLANK('2025'!$Q288), 0, 1), 4, if(ISBLANK('2025'!$R288), 0, 1), 5, if(ISBLANK('2025'!$S288), 0, 1), 6, if(ISBLANK('2025'!$T288), 0, 1), 7, 0))), 1, "")</f>
        <v/>
      </c>
      <c r="BE290" s="1" t="str">
        <f>IF(AND(AND(AND(BE$4&gt;='2025'!$L288,BE$4&lt;='2025'!$M288), BE$4&lt;&gt;DATE(2025,7,4)), (SWITCH(weekday(BE$4), 1, 0, 2, if(ISBLANK('2025'!$P288), 0, 1), 3, if(ISBLANK('2025'!$Q288), 0, 1), 4, if(ISBLANK('2025'!$R288), 0, 1), 5, if(ISBLANK('2025'!$S288), 0, 1), 6, if(ISBLANK('2025'!$T288), 0, 1), 7, 0))), 1, "")</f>
        <v/>
      </c>
      <c r="BF290" s="1" t="str">
        <f>IF(AND(AND(AND(BF$4&gt;='2025'!$L288,BF$4&lt;='2025'!$M288), BF$4&lt;&gt;DATE(2025,7,4)), (SWITCH(weekday(BF$4), 1, 0, 2, if(ISBLANK('2025'!$P288), 0, 1), 3, if(ISBLANK('2025'!$Q288), 0, 1), 4, if(ISBLANK('2025'!$R288), 0, 1), 5, if(ISBLANK('2025'!$S288), 0, 1), 6, if(ISBLANK('2025'!$T288), 0, 1), 7, 0))), 1, "")</f>
        <v/>
      </c>
      <c r="BG290" s="1"/>
      <c r="BH290" s="1"/>
      <c r="BI290" s="1"/>
      <c r="BJ290" s="1"/>
      <c r="BK290" s="1"/>
      <c r="BL290" s="1"/>
    </row>
    <row r="291">
      <c r="A291" s="1">
        <f t="shared" si="3"/>
        <v>291</v>
      </c>
      <c r="B291" s="1" t="str">
        <f>'2025'!D255</f>
        <v>, </v>
      </c>
      <c r="C291" s="1" t="str">
        <f>'2025'!H255</f>
        <v/>
      </c>
      <c r="D291" s="1" t="str">
        <f>IF(AND(AND(AND(D$4&gt;='2025'!$L289,D$4&lt;='2025'!$M289), D$4&lt;&gt;DATE(2025,7,4)), (SWITCH(weekday(D$4), 1, 0, 2, if(ISBLANK('2025'!$P289), 0, 1), 3, if(ISBLANK('2025'!$Q289), 0, 1), 4, if(ISBLANK('2025'!$R289), 0, 1), 5, if(ISBLANK('2025'!$S289), 0, 1), 6, if(ISBLANK('2025'!$T289), 0, 1), 7, 0))), 1, "")</f>
        <v/>
      </c>
      <c r="E291" s="1" t="str">
        <f>IF(AND(AND(AND(E$4&gt;='2025'!$L289,E$4&lt;='2025'!$M289), E$4&lt;&gt;DATE(2025,7,4)), (SWITCH(weekday(E$4), 1, 0, 2, if(ISBLANK('2025'!$P289), 0, 1), 3, if(ISBLANK('2025'!$Q289), 0, 1), 4, if(ISBLANK('2025'!$R289), 0, 1), 5, if(ISBLANK('2025'!$S289), 0, 1), 6, if(ISBLANK('2025'!$T289), 0, 1), 7, 0))), 1, "")</f>
        <v/>
      </c>
      <c r="F291" s="1" t="str">
        <f>IF(AND(AND(AND(F$4&gt;='2025'!$L289,F$4&lt;='2025'!$M289), F$4&lt;&gt;DATE(2025,7,4)), (SWITCH(weekday(F$4), 1, 0, 2, if(ISBLANK('2025'!$P289), 0, 1), 3, if(ISBLANK('2025'!$Q289), 0, 1), 4, if(ISBLANK('2025'!$R289), 0, 1), 5, if(ISBLANK('2025'!$S289), 0, 1), 6, if(ISBLANK('2025'!$T289), 0, 1), 7, 0))), 1, "")</f>
        <v/>
      </c>
      <c r="G291" s="1" t="str">
        <f>IF(AND(AND(AND(G$4&gt;='2025'!$L289,G$4&lt;='2025'!$M289), G$4&lt;&gt;DATE(2025,7,4)), (SWITCH(weekday(G$4), 1, 0, 2, if(ISBLANK('2025'!$P289), 0, 1), 3, if(ISBLANK('2025'!$Q289), 0, 1), 4, if(ISBLANK('2025'!$R289), 0, 1), 5, if(ISBLANK('2025'!$S289), 0, 1), 6, if(ISBLANK('2025'!$T289), 0, 1), 7, 0))), 1, "")</f>
        <v/>
      </c>
      <c r="H291" s="1" t="str">
        <f>IF(AND(AND(AND(H$4&gt;='2025'!$L289,H$4&lt;='2025'!$M289), H$4&lt;&gt;DATE(2025,7,4)), (SWITCH(weekday(H$4), 1, 0, 2, if(ISBLANK('2025'!$P289), 0, 1), 3, if(ISBLANK('2025'!$Q289), 0, 1), 4, if(ISBLANK('2025'!$R289), 0, 1), 5, if(ISBLANK('2025'!$S289), 0, 1), 6, if(ISBLANK('2025'!$T289), 0, 1), 7, 0))), 1, "")</f>
        <v/>
      </c>
      <c r="I291" s="1" t="str">
        <f>IF(AND(AND(AND(I$4&gt;='2025'!$L289,I$4&lt;='2025'!$M289), I$4&lt;&gt;DATE(2025,7,4)), (SWITCH(weekday(I$4), 1, 0, 2, if(ISBLANK('2025'!$P289), 0, 1), 3, if(ISBLANK('2025'!$Q289), 0, 1), 4, if(ISBLANK('2025'!$R289), 0, 1), 5, if(ISBLANK('2025'!$S289), 0, 1), 6, if(ISBLANK('2025'!$T289), 0, 1), 7, 0))), 1, "")</f>
        <v/>
      </c>
      <c r="J291" s="1" t="str">
        <f>IF(AND(AND(AND(J$4&gt;='2025'!$L289,J$4&lt;='2025'!$M289), J$4&lt;&gt;DATE(2025,7,4)), (SWITCH(weekday(J$4), 1, 0, 2, if(ISBLANK('2025'!$P289), 0, 1), 3, if(ISBLANK('2025'!$Q289), 0, 1), 4, if(ISBLANK('2025'!$R289), 0, 1), 5, if(ISBLANK('2025'!$S289), 0, 1), 6, if(ISBLANK('2025'!$T289), 0, 1), 7, 0))), 1, "")</f>
        <v/>
      </c>
      <c r="K291" s="1" t="str">
        <f>IF(AND(AND(AND(K$4&gt;='2025'!$L289,K$4&lt;='2025'!$M289), K$4&lt;&gt;DATE(2025,7,4)), (SWITCH(weekday(K$4), 1, 0, 2, if(ISBLANK('2025'!$P289), 0, 1), 3, if(ISBLANK('2025'!$Q289), 0, 1), 4, if(ISBLANK('2025'!$R289), 0, 1), 5, if(ISBLANK('2025'!$S289), 0, 1), 6, if(ISBLANK('2025'!$T289), 0, 1), 7, 0))), 1, "")</f>
        <v/>
      </c>
      <c r="L291" s="1" t="str">
        <f>IF(AND(AND(AND(L$4&gt;='2025'!$L289,L$4&lt;='2025'!$M289), L$4&lt;&gt;DATE(2025,7,4)), (SWITCH(weekday(L$4), 1, 0, 2, if(ISBLANK('2025'!$P289), 0, 1), 3, if(ISBLANK('2025'!$Q289), 0, 1), 4, if(ISBLANK('2025'!$R289), 0, 1), 5, if(ISBLANK('2025'!$S289), 0, 1), 6, if(ISBLANK('2025'!$T289), 0, 1), 7, 0))), 1, "")</f>
        <v/>
      </c>
      <c r="M291" s="1" t="str">
        <f>IF(AND(AND(AND(M$4&gt;='2025'!$L289,M$4&lt;='2025'!$M289), M$4&lt;&gt;DATE(2025,7,4)), (SWITCH(weekday(M$4), 1, 0, 2, if(ISBLANK('2025'!$P289), 0, 1), 3, if(ISBLANK('2025'!$Q289), 0, 1), 4, if(ISBLANK('2025'!$R289), 0, 1), 5, if(ISBLANK('2025'!$S289), 0, 1), 6, if(ISBLANK('2025'!$T289), 0, 1), 7, 0))), 1, "")</f>
        <v/>
      </c>
      <c r="N291" s="1" t="str">
        <f>IF(AND(AND(AND(N$4&gt;='2025'!$L289,N$4&lt;='2025'!$M289), N$4&lt;&gt;DATE(2025,7,4)), (SWITCH(weekday(N$4), 1, 0, 2, if(ISBLANK('2025'!$P289), 0, 1), 3, if(ISBLANK('2025'!$Q289), 0, 1), 4, if(ISBLANK('2025'!$R289), 0, 1), 5, if(ISBLANK('2025'!$S289), 0, 1), 6, if(ISBLANK('2025'!$T289), 0, 1), 7, 0))), 1, "")</f>
        <v/>
      </c>
      <c r="O291" s="1" t="str">
        <f>IF(AND(AND(AND(O$4&gt;='2025'!$L289,O$4&lt;='2025'!$M289), O$4&lt;&gt;DATE(2025,7,4)), (SWITCH(weekday(O$4), 1, 0, 2, if(ISBLANK('2025'!$P289), 0, 1), 3, if(ISBLANK('2025'!$Q289), 0, 1), 4, if(ISBLANK('2025'!$R289), 0, 1), 5, if(ISBLANK('2025'!$S289), 0, 1), 6, if(ISBLANK('2025'!$T289), 0, 1), 7, 0))), 1, "")</f>
        <v/>
      </c>
      <c r="P291" s="1" t="str">
        <f>IF(AND(AND(AND(P$4&gt;='2025'!$L289,P$4&lt;='2025'!$M289), P$4&lt;&gt;DATE(2025,7,4)), (SWITCH(weekday(P$4), 1, 0, 2, if(ISBLANK('2025'!$P289), 0, 1), 3, if(ISBLANK('2025'!$Q289), 0, 1), 4, if(ISBLANK('2025'!$R289), 0, 1), 5, if(ISBLANK('2025'!$S289), 0, 1), 6, if(ISBLANK('2025'!$T289), 0, 1), 7, 0))), 1, "")</f>
        <v/>
      </c>
      <c r="Q291" s="1" t="str">
        <f>IF(AND(AND(AND(Q$4&gt;='2025'!$L289,Q$4&lt;='2025'!$M289), Q$4&lt;&gt;DATE(2025,7,4)), (SWITCH(weekday(Q$4), 1, 0, 2, if(ISBLANK('2025'!$P289), 0, 1), 3, if(ISBLANK('2025'!$Q289), 0, 1), 4, if(ISBLANK('2025'!$R289), 0, 1), 5, if(ISBLANK('2025'!$S289), 0, 1), 6, if(ISBLANK('2025'!$T289), 0, 1), 7, 0))), 1, "")</f>
        <v/>
      </c>
      <c r="R291" s="1" t="str">
        <f>IF(AND(AND(AND(R$4&gt;='2025'!$L289,R$4&lt;='2025'!$M289), R$4&lt;&gt;DATE(2025,7,4)), (SWITCH(weekday(R$4), 1, 0, 2, if(ISBLANK('2025'!$P289), 0, 1), 3, if(ISBLANK('2025'!$Q289), 0, 1), 4, if(ISBLANK('2025'!$R289), 0, 1), 5, if(ISBLANK('2025'!$S289), 0, 1), 6, if(ISBLANK('2025'!$T289), 0, 1), 7, 0))), 1, "")</f>
        <v/>
      </c>
      <c r="S291" s="1" t="str">
        <f>IF(AND(AND(AND(S$4&gt;='2025'!$L289,S$4&lt;='2025'!$M289), S$4&lt;&gt;DATE(2025,7,4)), (SWITCH(weekday(S$4), 1, 0, 2, if(ISBLANK('2025'!$P289), 0, 1), 3, if(ISBLANK('2025'!$Q289), 0, 1), 4, if(ISBLANK('2025'!$R289), 0, 1), 5, if(ISBLANK('2025'!$S289), 0, 1), 6, if(ISBLANK('2025'!$T289), 0, 1), 7, 0))), 1, "")</f>
        <v/>
      </c>
      <c r="T291" s="1" t="str">
        <f>IF(AND(AND(AND(T$4&gt;='2025'!$L289,T$4&lt;='2025'!$M289), T$4&lt;&gt;DATE(2025,7,4)), (SWITCH(weekday(T$4), 1, 0, 2, if(ISBLANK('2025'!$P289), 0, 1), 3, if(ISBLANK('2025'!$Q289), 0, 1), 4, if(ISBLANK('2025'!$R289), 0, 1), 5, if(ISBLANK('2025'!$S289), 0, 1), 6, if(ISBLANK('2025'!$T289), 0, 1), 7, 0))), 1, "")</f>
        <v/>
      </c>
      <c r="U291" s="1" t="str">
        <f>IF(AND(AND(AND(U$4&gt;='2025'!$L289,U$4&lt;='2025'!$M289), U$4&lt;&gt;DATE(2025,7,4)), (SWITCH(weekday(U$4), 1, 0, 2, if(ISBLANK('2025'!$P289), 0, 1), 3, if(ISBLANK('2025'!$Q289), 0, 1), 4, if(ISBLANK('2025'!$R289), 0, 1), 5, if(ISBLANK('2025'!$S289), 0, 1), 6, if(ISBLANK('2025'!$T289), 0, 1), 7, 0))), 1, "")</f>
        <v/>
      </c>
      <c r="V291" s="1" t="str">
        <f>IF(AND(AND(AND(V$4&gt;='2025'!$L289,V$4&lt;='2025'!$M289), V$4&lt;&gt;DATE(2025,7,4)), (SWITCH(weekday(V$4), 1, 0, 2, if(ISBLANK('2025'!$P289), 0, 1), 3, if(ISBLANK('2025'!$Q289), 0, 1), 4, if(ISBLANK('2025'!$R289), 0, 1), 5, if(ISBLANK('2025'!$S289), 0, 1), 6, if(ISBLANK('2025'!$T289), 0, 1), 7, 0))), 1, "")</f>
        <v/>
      </c>
      <c r="W291" s="1" t="str">
        <f>IF(AND(AND(AND(W$4&gt;='2025'!$L289,W$4&lt;='2025'!$M289), W$4&lt;&gt;DATE(2025,7,4)), (SWITCH(weekday(W$4), 1, 0, 2, if(ISBLANK('2025'!$P289), 0, 1), 3, if(ISBLANK('2025'!$Q289), 0, 1), 4, if(ISBLANK('2025'!$R289), 0, 1), 5, if(ISBLANK('2025'!$S289), 0, 1), 6, if(ISBLANK('2025'!$T289), 0, 1), 7, 0))), 1, "")</f>
        <v/>
      </c>
      <c r="X291" s="1" t="str">
        <f>IF(AND(AND(AND(X$4&gt;='2025'!$L289,X$4&lt;='2025'!$M289), X$4&lt;&gt;DATE(2025,7,4)), (SWITCH(weekday(X$4), 1, 0, 2, if(ISBLANK('2025'!$P289), 0, 1), 3, if(ISBLANK('2025'!$Q289), 0, 1), 4, if(ISBLANK('2025'!$R289), 0, 1), 5, if(ISBLANK('2025'!$S289), 0, 1), 6, if(ISBLANK('2025'!$T289), 0, 1), 7, 0))), 1, "")</f>
        <v/>
      </c>
      <c r="Y291" s="1" t="str">
        <f>IF(AND(AND(AND(Y$4&gt;='2025'!$L289,Y$4&lt;='2025'!$M289), Y$4&lt;&gt;DATE(2025,7,4)), (SWITCH(weekday(Y$4), 1, 0, 2, if(ISBLANK('2025'!$P289), 0, 1), 3, if(ISBLANK('2025'!$Q289), 0, 1), 4, if(ISBLANK('2025'!$R289), 0, 1), 5, if(ISBLANK('2025'!$S289), 0, 1), 6, if(ISBLANK('2025'!$T289), 0, 1), 7, 0))), 1, "")</f>
        <v/>
      </c>
      <c r="Z291" s="1" t="str">
        <f>IF(AND(AND(AND(Z$4&gt;='2025'!$L289,Z$4&lt;='2025'!$M289), Z$4&lt;&gt;DATE(2025,7,4)), (SWITCH(weekday(Z$4), 1, 0, 2, if(ISBLANK('2025'!$P289), 0, 1), 3, if(ISBLANK('2025'!$Q289), 0, 1), 4, if(ISBLANK('2025'!$R289), 0, 1), 5, if(ISBLANK('2025'!$S289), 0, 1), 6, if(ISBLANK('2025'!$T289), 0, 1), 7, 0))), 1, "")</f>
        <v/>
      </c>
      <c r="AA291" s="1" t="str">
        <f>IF(AND(AND(AND(AA$4&gt;='2025'!$L289,AA$4&lt;='2025'!$M289), AA$4&lt;&gt;DATE(2025,7,4)), (SWITCH(weekday(AA$4), 1, 0, 2, if(ISBLANK('2025'!$P289), 0, 1), 3, if(ISBLANK('2025'!$Q289), 0, 1), 4, if(ISBLANK('2025'!$R289), 0, 1), 5, if(ISBLANK('2025'!$S289), 0, 1), 6, if(ISBLANK('2025'!$T289), 0, 1), 7, 0))), 1, "")</f>
        <v/>
      </c>
      <c r="AB291" s="1" t="str">
        <f>IF(AND(AND(AND(AB$4&gt;='2025'!$L289,AB$4&lt;='2025'!$M289), AB$4&lt;&gt;DATE(2025,7,4)), (SWITCH(weekday(AB$4), 1, 0, 2, if(ISBLANK('2025'!$P289), 0, 1), 3, if(ISBLANK('2025'!$Q289), 0, 1), 4, if(ISBLANK('2025'!$R289), 0, 1), 5, if(ISBLANK('2025'!$S289), 0, 1), 6, if(ISBLANK('2025'!$T289), 0, 1), 7, 0))), 1, "")</f>
        <v/>
      </c>
      <c r="AC291" s="1" t="str">
        <f>IF(AND(AND(AND(AC$4&gt;='2025'!$L289,AC$4&lt;='2025'!$M289), AC$4&lt;&gt;DATE(2025,7,4)), (SWITCH(weekday(AC$4), 1, 0, 2, if(ISBLANK('2025'!$P289), 0, 1), 3, if(ISBLANK('2025'!$Q289), 0, 1), 4, if(ISBLANK('2025'!$R289), 0, 1), 5, if(ISBLANK('2025'!$S289), 0, 1), 6, if(ISBLANK('2025'!$T289), 0, 1), 7, 0))), 1, "")</f>
        <v/>
      </c>
      <c r="AD291" s="1" t="str">
        <f>IF(AND(AND(AND(AD$4&gt;='2025'!$L289,AD$4&lt;='2025'!$M289), AD$4&lt;&gt;DATE(2025,7,4)), (SWITCH(weekday(AD$4), 1, 0, 2, if(ISBLANK('2025'!$P289), 0, 1), 3, if(ISBLANK('2025'!$Q289), 0, 1), 4, if(ISBLANK('2025'!$R289), 0, 1), 5, if(ISBLANK('2025'!$S289), 0, 1), 6, if(ISBLANK('2025'!$T289), 0, 1), 7, 0))), 1, "")</f>
        <v/>
      </c>
      <c r="AE291" s="1" t="str">
        <f>IF(AND(AND(AND(AE$4&gt;='2025'!$L289,AE$4&lt;='2025'!$M289), AE$4&lt;&gt;DATE(2025,7,4)), (SWITCH(weekday(AE$4), 1, 0, 2, if(ISBLANK('2025'!$P289), 0, 1), 3, if(ISBLANK('2025'!$Q289), 0, 1), 4, if(ISBLANK('2025'!$R289), 0, 1), 5, if(ISBLANK('2025'!$S289), 0, 1), 6, if(ISBLANK('2025'!$T289), 0, 1), 7, 0))), 1, "")</f>
        <v/>
      </c>
      <c r="AF291" s="1" t="str">
        <f>IF(AND(AND(AND(AF$4&gt;='2025'!$L289,AF$4&lt;='2025'!$M289), AF$4&lt;&gt;DATE(2025,7,4)), (SWITCH(weekday(AF$4), 1, 0, 2, if(ISBLANK('2025'!$P289), 0, 1), 3, if(ISBLANK('2025'!$Q289), 0, 1), 4, if(ISBLANK('2025'!$R289), 0, 1), 5, if(ISBLANK('2025'!$S289), 0, 1), 6, if(ISBLANK('2025'!$T289), 0, 1), 7, 0))), 1, "")</f>
        <v/>
      </c>
      <c r="AG291" s="1" t="str">
        <f>IF(AND(AND(AND(AG$4&gt;='2025'!$L289,AG$4&lt;='2025'!$M289), AG$4&lt;&gt;DATE(2025,7,4)), (SWITCH(weekday(AG$4), 1, 0, 2, if(ISBLANK('2025'!$P289), 0, 1), 3, if(ISBLANK('2025'!$Q289), 0, 1), 4, if(ISBLANK('2025'!$R289), 0, 1), 5, if(ISBLANK('2025'!$S289), 0, 1), 6, if(ISBLANK('2025'!$T289), 0, 1), 7, 0))), 1, "")</f>
        <v/>
      </c>
      <c r="AH291" s="1" t="str">
        <f>IF(AND(AND(AND(AH$4&gt;='2025'!$L289,AH$4&lt;='2025'!$M289), AH$4&lt;&gt;DATE(2025,7,4)), (SWITCH(weekday(AH$4), 1, 0, 2, if(ISBLANK('2025'!$P289), 0, 1), 3, if(ISBLANK('2025'!$Q289), 0, 1), 4, if(ISBLANK('2025'!$R289), 0, 1), 5, if(ISBLANK('2025'!$S289), 0, 1), 6, if(ISBLANK('2025'!$T289), 0, 1), 7, 0))), 1, "")</f>
        <v/>
      </c>
      <c r="AI291" s="1" t="str">
        <f>IF(AND(AND(AND(AI$4&gt;='2025'!$L289,AI$4&lt;='2025'!$M289), AI$4&lt;&gt;DATE(2025,7,4)), (SWITCH(weekday(AI$4), 1, 0, 2, if(ISBLANK('2025'!$P289), 0, 1), 3, if(ISBLANK('2025'!$Q289), 0, 1), 4, if(ISBLANK('2025'!$R289), 0, 1), 5, if(ISBLANK('2025'!$S289), 0, 1), 6, if(ISBLANK('2025'!$T289), 0, 1), 7, 0))), 1, "")</f>
        <v/>
      </c>
      <c r="AJ291" s="1" t="str">
        <f>IF(AND(AND(AND(AJ$4&gt;='2025'!$L289,AJ$4&lt;='2025'!$M289), AJ$4&lt;&gt;DATE(2025,7,4)), (SWITCH(weekday(AJ$4), 1, 0, 2, if(ISBLANK('2025'!$P289), 0, 1), 3, if(ISBLANK('2025'!$Q289), 0, 1), 4, if(ISBLANK('2025'!$R289), 0, 1), 5, if(ISBLANK('2025'!$S289), 0, 1), 6, if(ISBLANK('2025'!$T289), 0, 1), 7, 0))), 1, "")</f>
        <v/>
      </c>
      <c r="AK291" s="1" t="str">
        <f>IF(AND(AND(AND(AK$4&gt;='2025'!$L289,AK$4&lt;='2025'!$M289), AK$4&lt;&gt;DATE(2025,7,4)), (SWITCH(weekday(AK$4), 1, 0, 2, if(ISBLANK('2025'!$P289), 0, 1), 3, if(ISBLANK('2025'!$Q289), 0, 1), 4, if(ISBLANK('2025'!$R289), 0, 1), 5, if(ISBLANK('2025'!$S289), 0, 1), 6, if(ISBLANK('2025'!$T289), 0, 1), 7, 0))), 1, "")</f>
        <v/>
      </c>
      <c r="AL291" s="1" t="str">
        <f>IF(AND(AND(AND(AL$4&gt;='2025'!$L289,AL$4&lt;='2025'!$M289), AL$4&lt;&gt;DATE(2025,7,4)), (SWITCH(weekday(AL$4), 1, 0, 2, if(ISBLANK('2025'!$P289), 0, 1), 3, if(ISBLANK('2025'!$Q289), 0, 1), 4, if(ISBLANK('2025'!$R289), 0, 1), 5, if(ISBLANK('2025'!$S289), 0, 1), 6, if(ISBLANK('2025'!$T289), 0, 1), 7, 0))), 1, "")</f>
        <v/>
      </c>
      <c r="AM291" s="1" t="str">
        <f>IF(AND(AND(AND(AM$4&gt;='2025'!$L289,AM$4&lt;='2025'!$M289), AM$4&lt;&gt;DATE(2025,7,4)), (SWITCH(weekday(AM$4), 1, 0, 2, if(ISBLANK('2025'!$P289), 0, 1), 3, if(ISBLANK('2025'!$Q289), 0, 1), 4, if(ISBLANK('2025'!$R289), 0, 1), 5, if(ISBLANK('2025'!$S289), 0, 1), 6, if(ISBLANK('2025'!$T289), 0, 1), 7, 0))), 1, "")</f>
        <v/>
      </c>
      <c r="AN291" s="1" t="str">
        <f>IF(AND(AND(AND(AN$4&gt;='2025'!$L289,AN$4&lt;='2025'!$M289), AN$4&lt;&gt;DATE(2025,7,4)), (SWITCH(weekday(AN$4), 1, 0, 2, if(ISBLANK('2025'!$P289), 0, 1), 3, if(ISBLANK('2025'!$Q289), 0, 1), 4, if(ISBLANK('2025'!$R289), 0, 1), 5, if(ISBLANK('2025'!$S289), 0, 1), 6, if(ISBLANK('2025'!$T289), 0, 1), 7, 0))), 1, "")</f>
        <v/>
      </c>
      <c r="AO291" s="1" t="str">
        <f>IF(AND(AND(AND(AO$4&gt;='2025'!$L289,AO$4&lt;='2025'!$M289), AO$4&lt;&gt;DATE(2025,7,4)), (SWITCH(weekday(AO$4), 1, 0, 2, if(ISBLANK('2025'!$P289), 0, 1), 3, if(ISBLANK('2025'!$Q289), 0, 1), 4, if(ISBLANK('2025'!$R289), 0, 1), 5, if(ISBLANK('2025'!$S289), 0, 1), 6, if(ISBLANK('2025'!$T289), 0, 1), 7, 0))), 1, "")</f>
        <v/>
      </c>
      <c r="AP291" s="1" t="str">
        <f>IF(AND(AND(AND(AP$4&gt;='2025'!$L289,AP$4&lt;='2025'!$M289), AP$4&lt;&gt;DATE(2025,7,4)), (SWITCH(weekday(AP$4), 1, 0, 2, if(ISBLANK('2025'!$P289), 0, 1), 3, if(ISBLANK('2025'!$Q289), 0, 1), 4, if(ISBLANK('2025'!$R289), 0, 1), 5, if(ISBLANK('2025'!$S289), 0, 1), 6, if(ISBLANK('2025'!$T289), 0, 1), 7, 0))), 1, "")</f>
        <v/>
      </c>
      <c r="AQ291" s="1" t="str">
        <f>IF(AND(AND(AND(AQ$4&gt;='2025'!$L289,AQ$4&lt;='2025'!$M289), AQ$4&lt;&gt;DATE(2025,7,4)), (SWITCH(weekday(AQ$4), 1, 0, 2, if(ISBLANK('2025'!$P289), 0, 1), 3, if(ISBLANK('2025'!$Q289), 0, 1), 4, if(ISBLANK('2025'!$R289), 0, 1), 5, if(ISBLANK('2025'!$S289), 0, 1), 6, if(ISBLANK('2025'!$T289), 0, 1), 7, 0))), 1, "")</f>
        <v/>
      </c>
      <c r="AR291" s="1" t="str">
        <f>IF(AND(AND(AND(AR$4&gt;='2025'!$L289,AR$4&lt;='2025'!$M289), AR$4&lt;&gt;DATE(2025,7,4)), (SWITCH(weekday(AR$4), 1, 0, 2, if(ISBLANK('2025'!$P289), 0, 1), 3, if(ISBLANK('2025'!$Q289), 0, 1), 4, if(ISBLANK('2025'!$R289), 0, 1), 5, if(ISBLANK('2025'!$S289), 0, 1), 6, if(ISBLANK('2025'!$T289), 0, 1), 7, 0))), 1, "")</f>
        <v/>
      </c>
      <c r="AS291" s="1" t="str">
        <f>IF(AND(AND(AND(AS$4&gt;='2025'!$L289,AS$4&lt;='2025'!$M289), AS$4&lt;&gt;DATE(2025,7,4)), (SWITCH(weekday(AS$4), 1, 0, 2, if(ISBLANK('2025'!$P289), 0, 1), 3, if(ISBLANK('2025'!$Q289), 0, 1), 4, if(ISBLANK('2025'!$R289), 0, 1), 5, if(ISBLANK('2025'!$S289), 0, 1), 6, if(ISBLANK('2025'!$T289), 0, 1), 7, 0))), 1, "")</f>
        <v/>
      </c>
      <c r="AT291" s="1" t="str">
        <f>IF(AND(AND(AND(AT$4&gt;='2025'!$L289,AT$4&lt;='2025'!$M289), AT$4&lt;&gt;DATE(2025,7,4)), (SWITCH(weekday(AT$4), 1, 0, 2, if(ISBLANK('2025'!$P289), 0, 1), 3, if(ISBLANK('2025'!$Q289), 0, 1), 4, if(ISBLANK('2025'!$R289), 0, 1), 5, if(ISBLANK('2025'!$S289), 0, 1), 6, if(ISBLANK('2025'!$T289), 0, 1), 7, 0))), 1, "")</f>
        <v/>
      </c>
      <c r="AU291" s="1" t="str">
        <f>IF(AND(AND(AND(AU$4&gt;='2025'!$L289,AU$4&lt;='2025'!$M289), AU$4&lt;&gt;DATE(2025,7,4)), (SWITCH(weekday(AU$4), 1, 0, 2, if(ISBLANK('2025'!$P289), 0, 1), 3, if(ISBLANK('2025'!$Q289), 0, 1), 4, if(ISBLANK('2025'!$R289), 0, 1), 5, if(ISBLANK('2025'!$S289), 0, 1), 6, if(ISBLANK('2025'!$T289), 0, 1), 7, 0))), 1, "")</f>
        <v/>
      </c>
      <c r="AV291" s="1" t="str">
        <f>IF(AND(AND(AND(AV$4&gt;='2025'!$L289,AV$4&lt;='2025'!$M289), AV$4&lt;&gt;DATE(2025,7,4)), (SWITCH(weekday(AV$4), 1, 0, 2, if(ISBLANK('2025'!$P289), 0, 1), 3, if(ISBLANK('2025'!$Q289), 0, 1), 4, if(ISBLANK('2025'!$R289), 0, 1), 5, if(ISBLANK('2025'!$S289), 0, 1), 6, if(ISBLANK('2025'!$T289), 0, 1), 7, 0))), 1, "")</f>
        <v/>
      </c>
      <c r="AW291" s="1" t="str">
        <f>IF(AND(AND(AND(AW$4&gt;='2025'!$L289,AW$4&lt;='2025'!$M289), AW$4&lt;&gt;DATE(2025,7,4)), (SWITCH(weekday(AW$4), 1, 0, 2, if(ISBLANK('2025'!$P289), 0, 1), 3, if(ISBLANK('2025'!$Q289), 0, 1), 4, if(ISBLANK('2025'!$R289), 0, 1), 5, if(ISBLANK('2025'!$S289), 0, 1), 6, if(ISBLANK('2025'!$T289), 0, 1), 7, 0))), 1, "")</f>
        <v/>
      </c>
      <c r="AX291" s="1" t="str">
        <f>IF(AND(AND(AND(AX$4&gt;='2025'!$L289,AX$4&lt;='2025'!$M289), AX$4&lt;&gt;DATE(2025,7,4)), (SWITCH(weekday(AX$4), 1, 0, 2, if(ISBLANK('2025'!$P289), 0, 1), 3, if(ISBLANK('2025'!$Q289), 0, 1), 4, if(ISBLANK('2025'!$R289), 0, 1), 5, if(ISBLANK('2025'!$S289), 0, 1), 6, if(ISBLANK('2025'!$T289), 0, 1), 7, 0))), 1, "")</f>
        <v/>
      </c>
      <c r="AY291" s="1" t="str">
        <f>IF(AND(AND(AND(AY$4&gt;='2025'!$L289,AY$4&lt;='2025'!$M289), AY$4&lt;&gt;DATE(2025,7,4)), (SWITCH(weekday(AY$4), 1, 0, 2, if(ISBLANK('2025'!$P289), 0, 1), 3, if(ISBLANK('2025'!$Q289), 0, 1), 4, if(ISBLANK('2025'!$R289), 0, 1), 5, if(ISBLANK('2025'!$S289), 0, 1), 6, if(ISBLANK('2025'!$T289), 0, 1), 7, 0))), 1, "")</f>
        <v/>
      </c>
      <c r="AZ291" s="1" t="str">
        <f>IF(AND(AND(AND(AZ$4&gt;='2025'!$L289,AZ$4&lt;='2025'!$M289), AZ$4&lt;&gt;DATE(2025,7,4)), (SWITCH(weekday(AZ$4), 1, 0, 2, if(ISBLANK('2025'!$P289), 0, 1), 3, if(ISBLANK('2025'!$Q289), 0, 1), 4, if(ISBLANK('2025'!$R289), 0, 1), 5, if(ISBLANK('2025'!$S289), 0, 1), 6, if(ISBLANK('2025'!$T289), 0, 1), 7, 0))), 1, "")</f>
        <v/>
      </c>
      <c r="BA291" s="1" t="str">
        <f>IF(AND(AND(AND(BA$4&gt;='2025'!$L289,BA$4&lt;='2025'!$M289), BA$4&lt;&gt;DATE(2025,7,4)), (SWITCH(weekday(BA$4), 1, 0, 2, if(ISBLANK('2025'!$P289), 0, 1), 3, if(ISBLANK('2025'!$Q289), 0, 1), 4, if(ISBLANK('2025'!$R289), 0, 1), 5, if(ISBLANK('2025'!$S289), 0, 1), 6, if(ISBLANK('2025'!$T289), 0, 1), 7, 0))), 1, "")</f>
        <v/>
      </c>
      <c r="BB291" s="1" t="str">
        <f>IF(AND(AND(AND(BB$4&gt;='2025'!$L289,BB$4&lt;='2025'!$M289), BB$4&lt;&gt;DATE(2025,7,4)), (SWITCH(weekday(BB$4), 1, 0, 2, if(ISBLANK('2025'!$P289), 0, 1), 3, if(ISBLANK('2025'!$Q289), 0, 1), 4, if(ISBLANK('2025'!$R289), 0, 1), 5, if(ISBLANK('2025'!$S289), 0, 1), 6, if(ISBLANK('2025'!$T289), 0, 1), 7, 0))), 1, "")</f>
        <v/>
      </c>
      <c r="BC291" s="1" t="str">
        <f>IF(AND(AND(AND(BC$4&gt;='2025'!$L289,BC$4&lt;='2025'!$M289), BC$4&lt;&gt;DATE(2025,7,4)), (SWITCH(weekday(BC$4), 1, 0, 2, if(ISBLANK('2025'!$P289), 0, 1), 3, if(ISBLANK('2025'!$Q289), 0, 1), 4, if(ISBLANK('2025'!$R289), 0, 1), 5, if(ISBLANK('2025'!$S289), 0, 1), 6, if(ISBLANK('2025'!$T289), 0, 1), 7, 0))), 1, "")</f>
        <v/>
      </c>
      <c r="BD291" s="1" t="str">
        <f>IF(AND(AND(AND(BD$4&gt;='2025'!$L289,BD$4&lt;='2025'!$M289), BD$4&lt;&gt;DATE(2025,7,4)), (SWITCH(weekday(BD$4), 1, 0, 2, if(ISBLANK('2025'!$P289), 0, 1), 3, if(ISBLANK('2025'!$Q289), 0, 1), 4, if(ISBLANK('2025'!$R289), 0, 1), 5, if(ISBLANK('2025'!$S289), 0, 1), 6, if(ISBLANK('2025'!$T289), 0, 1), 7, 0))), 1, "")</f>
        <v/>
      </c>
      <c r="BE291" s="1" t="str">
        <f>IF(AND(AND(AND(BE$4&gt;='2025'!$L289,BE$4&lt;='2025'!$M289), BE$4&lt;&gt;DATE(2025,7,4)), (SWITCH(weekday(BE$4), 1, 0, 2, if(ISBLANK('2025'!$P289), 0, 1), 3, if(ISBLANK('2025'!$Q289), 0, 1), 4, if(ISBLANK('2025'!$R289), 0, 1), 5, if(ISBLANK('2025'!$S289), 0, 1), 6, if(ISBLANK('2025'!$T289), 0, 1), 7, 0))), 1, "")</f>
        <v/>
      </c>
      <c r="BF291" s="1" t="str">
        <f>IF(AND(AND(AND(BF$4&gt;='2025'!$L289,BF$4&lt;='2025'!$M289), BF$4&lt;&gt;DATE(2025,7,4)), (SWITCH(weekday(BF$4), 1, 0, 2, if(ISBLANK('2025'!$P289), 0, 1), 3, if(ISBLANK('2025'!$Q289), 0, 1), 4, if(ISBLANK('2025'!$R289), 0, 1), 5, if(ISBLANK('2025'!$S289), 0, 1), 6, if(ISBLANK('2025'!$T289), 0, 1), 7, 0))), 1, "")</f>
        <v/>
      </c>
      <c r="BG291" s="1"/>
      <c r="BH291" s="1"/>
      <c r="BI291" s="1"/>
      <c r="BJ291" s="1"/>
      <c r="BK291" s="1"/>
      <c r="BL291" s="1"/>
    </row>
    <row r="292">
      <c r="A292" s="1">
        <f t="shared" si="3"/>
        <v>292</v>
      </c>
      <c r="B292" s="1" t="str">
        <f>'2025'!D256</f>
        <v>, </v>
      </c>
      <c r="C292" s="1" t="str">
        <f>'2025'!H256</f>
        <v/>
      </c>
      <c r="D292" s="1" t="str">
        <f>IF(AND(AND(AND(D$4&gt;='2025'!$L290,D$4&lt;='2025'!$M290), D$4&lt;&gt;DATE(2025,7,4)), (SWITCH(weekday(D$4), 1, 0, 2, if(ISBLANK('2025'!$P290), 0, 1), 3, if(ISBLANK('2025'!$Q290), 0, 1), 4, if(ISBLANK('2025'!$R290), 0, 1), 5, if(ISBLANK('2025'!$S290), 0, 1), 6, if(ISBLANK('2025'!$T290), 0, 1), 7, 0))), 1, "")</f>
        <v/>
      </c>
      <c r="E292" s="1" t="str">
        <f>IF(AND(AND(AND(E$4&gt;='2025'!$L290,E$4&lt;='2025'!$M290), E$4&lt;&gt;DATE(2025,7,4)), (SWITCH(weekday(E$4), 1, 0, 2, if(ISBLANK('2025'!$P290), 0, 1), 3, if(ISBLANK('2025'!$Q290), 0, 1), 4, if(ISBLANK('2025'!$R290), 0, 1), 5, if(ISBLANK('2025'!$S290), 0, 1), 6, if(ISBLANK('2025'!$T290), 0, 1), 7, 0))), 1, "")</f>
        <v/>
      </c>
      <c r="F292" s="1" t="str">
        <f>IF(AND(AND(AND(F$4&gt;='2025'!$L290,F$4&lt;='2025'!$M290), F$4&lt;&gt;DATE(2025,7,4)), (SWITCH(weekday(F$4), 1, 0, 2, if(ISBLANK('2025'!$P290), 0, 1), 3, if(ISBLANK('2025'!$Q290), 0, 1), 4, if(ISBLANK('2025'!$R290), 0, 1), 5, if(ISBLANK('2025'!$S290), 0, 1), 6, if(ISBLANK('2025'!$T290), 0, 1), 7, 0))), 1, "")</f>
        <v/>
      </c>
      <c r="G292" s="1" t="str">
        <f>IF(AND(AND(AND(G$4&gt;='2025'!$L290,G$4&lt;='2025'!$M290), G$4&lt;&gt;DATE(2025,7,4)), (SWITCH(weekday(G$4), 1, 0, 2, if(ISBLANK('2025'!$P290), 0, 1), 3, if(ISBLANK('2025'!$Q290), 0, 1), 4, if(ISBLANK('2025'!$R290), 0, 1), 5, if(ISBLANK('2025'!$S290), 0, 1), 6, if(ISBLANK('2025'!$T290), 0, 1), 7, 0))), 1, "")</f>
        <v/>
      </c>
      <c r="H292" s="1" t="str">
        <f>IF(AND(AND(AND(H$4&gt;='2025'!$L290,H$4&lt;='2025'!$M290), H$4&lt;&gt;DATE(2025,7,4)), (SWITCH(weekday(H$4), 1, 0, 2, if(ISBLANK('2025'!$P290), 0, 1), 3, if(ISBLANK('2025'!$Q290), 0, 1), 4, if(ISBLANK('2025'!$R290), 0, 1), 5, if(ISBLANK('2025'!$S290), 0, 1), 6, if(ISBLANK('2025'!$T290), 0, 1), 7, 0))), 1, "")</f>
        <v/>
      </c>
      <c r="I292" s="1" t="str">
        <f>IF(AND(AND(AND(I$4&gt;='2025'!$L290,I$4&lt;='2025'!$M290), I$4&lt;&gt;DATE(2025,7,4)), (SWITCH(weekday(I$4), 1, 0, 2, if(ISBLANK('2025'!$P290), 0, 1), 3, if(ISBLANK('2025'!$Q290), 0, 1), 4, if(ISBLANK('2025'!$R290), 0, 1), 5, if(ISBLANK('2025'!$S290), 0, 1), 6, if(ISBLANK('2025'!$T290), 0, 1), 7, 0))), 1, "")</f>
        <v/>
      </c>
      <c r="J292" s="1" t="str">
        <f>IF(AND(AND(AND(J$4&gt;='2025'!$L290,J$4&lt;='2025'!$M290), J$4&lt;&gt;DATE(2025,7,4)), (SWITCH(weekday(J$4), 1, 0, 2, if(ISBLANK('2025'!$P290), 0, 1), 3, if(ISBLANK('2025'!$Q290), 0, 1), 4, if(ISBLANK('2025'!$R290), 0, 1), 5, if(ISBLANK('2025'!$S290), 0, 1), 6, if(ISBLANK('2025'!$T290), 0, 1), 7, 0))), 1, "")</f>
        <v/>
      </c>
      <c r="K292" s="1" t="str">
        <f>IF(AND(AND(AND(K$4&gt;='2025'!$L290,K$4&lt;='2025'!$M290), K$4&lt;&gt;DATE(2025,7,4)), (SWITCH(weekday(K$4), 1, 0, 2, if(ISBLANK('2025'!$P290), 0, 1), 3, if(ISBLANK('2025'!$Q290), 0, 1), 4, if(ISBLANK('2025'!$R290), 0, 1), 5, if(ISBLANK('2025'!$S290), 0, 1), 6, if(ISBLANK('2025'!$T290), 0, 1), 7, 0))), 1, "")</f>
        <v/>
      </c>
      <c r="L292" s="1" t="str">
        <f>IF(AND(AND(AND(L$4&gt;='2025'!$L290,L$4&lt;='2025'!$M290), L$4&lt;&gt;DATE(2025,7,4)), (SWITCH(weekday(L$4), 1, 0, 2, if(ISBLANK('2025'!$P290), 0, 1), 3, if(ISBLANK('2025'!$Q290), 0, 1), 4, if(ISBLANK('2025'!$R290), 0, 1), 5, if(ISBLANK('2025'!$S290), 0, 1), 6, if(ISBLANK('2025'!$T290), 0, 1), 7, 0))), 1, "")</f>
        <v/>
      </c>
      <c r="M292" s="1" t="str">
        <f>IF(AND(AND(AND(M$4&gt;='2025'!$L290,M$4&lt;='2025'!$M290), M$4&lt;&gt;DATE(2025,7,4)), (SWITCH(weekday(M$4), 1, 0, 2, if(ISBLANK('2025'!$P290), 0, 1), 3, if(ISBLANK('2025'!$Q290), 0, 1), 4, if(ISBLANK('2025'!$R290), 0, 1), 5, if(ISBLANK('2025'!$S290), 0, 1), 6, if(ISBLANK('2025'!$T290), 0, 1), 7, 0))), 1, "")</f>
        <v/>
      </c>
      <c r="N292" s="1" t="str">
        <f>IF(AND(AND(AND(N$4&gt;='2025'!$L290,N$4&lt;='2025'!$M290), N$4&lt;&gt;DATE(2025,7,4)), (SWITCH(weekday(N$4), 1, 0, 2, if(ISBLANK('2025'!$P290), 0, 1), 3, if(ISBLANK('2025'!$Q290), 0, 1), 4, if(ISBLANK('2025'!$R290), 0, 1), 5, if(ISBLANK('2025'!$S290), 0, 1), 6, if(ISBLANK('2025'!$T290), 0, 1), 7, 0))), 1, "")</f>
        <v/>
      </c>
      <c r="O292" s="1" t="str">
        <f>IF(AND(AND(AND(O$4&gt;='2025'!$L290,O$4&lt;='2025'!$M290), O$4&lt;&gt;DATE(2025,7,4)), (SWITCH(weekday(O$4), 1, 0, 2, if(ISBLANK('2025'!$P290), 0, 1), 3, if(ISBLANK('2025'!$Q290), 0, 1), 4, if(ISBLANK('2025'!$R290), 0, 1), 5, if(ISBLANK('2025'!$S290), 0, 1), 6, if(ISBLANK('2025'!$T290), 0, 1), 7, 0))), 1, "")</f>
        <v/>
      </c>
      <c r="P292" s="1" t="str">
        <f>IF(AND(AND(AND(P$4&gt;='2025'!$L290,P$4&lt;='2025'!$M290), P$4&lt;&gt;DATE(2025,7,4)), (SWITCH(weekday(P$4), 1, 0, 2, if(ISBLANK('2025'!$P290), 0, 1), 3, if(ISBLANK('2025'!$Q290), 0, 1), 4, if(ISBLANK('2025'!$R290), 0, 1), 5, if(ISBLANK('2025'!$S290), 0, 1), 6, if(ISBLANK('2025'!$T290), 0, 1), 7, 0))), 1, "")</f>
        <v/>
      </c>
      <c r="Q292" s="1" t="str">
        <f>IF(AND(AND(AND(Q$4&gt;='2025'!$L290,Q$4&lt;='2025'!$M290), Q$4&lt;&gt;DATE(2025,7,4)), (SWITCH(weekday(Q$4), 1, 0, 2, if(ISBLANK('2025'!$P290), 0, 1), 3, if(ISBLANK('2025'!$Q290), 0, 1), 4, if(ISBLANK('2025'!$R290), 0, 1), 5, if(ISBLANK('2025'!$S290), 0, 1), 6, if(ISBLANK('2025'!$T290), 0, 1), 7, 0))), 1, "")</f>
        <v/>
      </c>
      <c r="R292" s="1" t="str">
        <f>IF(AND(AND(AND(R$4&gt;='2025'!$L290,R$4&lt;='2025'!$M290), R$4&lt;&gt;DATE(2025,7,4)), (SWITCH(weekday(R$4), 1, 0, 2, if(ISBLANK('2025'!$P290), 0, 1), 3, if(ISBLANK('2025'!$Q290), 0, 1), 4, if(ISBLANK('2025'!$R290), 0, 1), 5, if(ISBLANK('2025'!$S290), 0, 1), 6, if(ISBLANK('2025'!$T290), 0, 1), 7, 0))), 1, "")</f>
        <v/>
      </c>
      <c r="S292" s="1" t="str">
        <f>IF(AND(AND(AND(S$4&gt;='2025'!$L290,S$4&lt;='2025'!$M290), S$4&lt;&gt;DATE(2025,7,4)), (SWITCH(weekday(S$4), 1, 0, 2, if(ISBLANK('2025'!$P290), 0, 1), 3, if(ISBLANK('2025'!$Q290), 0, 1), 4, if(ISBLANK('2025'!$R290), 0, 1), 5, if(ISBLANK('2025'!$S290), 0, 1), 6, if(ISBLANK('2025'!$T290), 0, 1), 7, 0))), 1, "")</f>
        <v/>
      </c>
      <c r="T292" s="1" t="str">
        <f>IF(AND(AND(AND(T$4&gt;='2025'!$L290,T$4&lt;='2025'!$M290), T$4&lt;&gt;DATE(2025,7,4)), (SWITCH(weekday(T$4), 1, 0, 2, if(ISBLANK('2025'!$P290), 0, 1), 3, if(ISBLANK('2025'!$Q290), 0, 1), 4, if(ISBLANK('2025'!$R290), 0, 1), 5, if(ISBLANK('2025'!$S290), 0, 1), 6, if(ISBLANK('2025'!$T290), 0, 1), 7, 0))), 1, "")</f>
        <v/>
      </c>
      <c r="U292" s="1" t="str">
        <f>IF(AND(AND(AND(U$4&gt;='2025'!$L290,U$4&lt;='2025'!$M290), U$4&lt;&gt;DATE(2025,7,4)), (SWITCH(weekday(U$4), 1, 0, 2, if(ISBLANK('2025'!$P290), 0, 1), 3, if(ISBLANK('2025'!$Q290), 0, 1), 4, if(ISBLANK('2025'!$R290), 0, 1), 5, if(ISBLANK('2025'!$S290), 0, 1), 6, if(ISBLANK('2025'!$T290), 0, 1), 7, 0))), 1, "")</f>
        <v/>
      </c>
      <c r="V292" s="1" t="str">
        <f>IF(AND(AND(AND(V$4&gt;='2025'!$L290,V$4&lt;='2025'!$M290), V$4&lt;&gt;DATE(2025,7,4)), (SWITCH(weekday(V$4), 1, 0, 2, if(ISBLANK('2025'!$P290), 0, 1), 3, if(ISBLANK('2025'!$Q290), 0, 1), 4, if(ISBLANK('2025'!$R290), 0, 1), 5, if(ISBLANK('2025'!$S290), 0, 1), 6, if(ISBLANK('2025'!$T290), 0, 1), 7, 0))), 1, "")</f>
        <v/>
      </c>
      <c r="W292" s="1" t="str">
        <f>IF(AND(AND(AND(W$4&gt;='2025'!$L290,W$4&lt;='2025'!$M290), W$4&lt;&gt;DATE(2025,7,4)), (SWITCH(weekday(W$4), 1, 0, 2, if(ISBLANK('2025'!$P290), 0, 1), 3, if(ISBLANK('2025'!$Q290), 0, 1), 4, if(ISBLANK('2025'!$R290), 0, 1), 5, if(ISBLANK('2025'!$S290), 0, 1), 6, if(ISBLANK('2025'!$T290), 0, 1), 7, 0))), 1, "")</f>
        <v/>
      </c>
      <c r="X292" s="1" t="str">
        <f>IF(AND(AND(AND(X$4&gt;='2025'!$L290,X$4&lt;='2025'!$M290), X$4&lt;&gt;DATE(2025,7,4)), (SWITCH(weekday(X$4), 1, 0, 2, if(ISBLANK('2025'!$P290), 0, 1), 3, if(ISBLANK('2025'!$Q290), 0, 1), 4, if(ISBLANK('2025'!$R290), 0, 1), 5, if(ISBLANK('2025'!$S290), 0, 1), 6, if(ISBLANK('2025'!$T290), 0, 1), 7, 0))), 1, "")</f>
        <v/>
      </c>
      <c r="Y292" s="1" t="str">
        <f>IF(AND(AND(AND(Y$4&gt;='2025'!$L290,Y$4&lt;='2025'!$M290), Y$4&lt;&gt;DATE(2025,7,4)), (SWITCH(weekday(Y$4), 1, 0, 2, if(ISBLANK('2025'!$P290), 0, 1), 3, if(ISBLANK('2025'!$Q290), 0, 1), 4, if(ISBLANK('2025'!$R290), 0, 1), 5, if(ISBLANK('2025'!$S290), 0, 1), 6, if(ISBLANK('2025'!$T290), 0, 1), 7, 0))), 1, "")</f>
        <v/>
      </c>
      <c r="Z292" s="1" t="str">
        <f>IF(AND(AND(AND(Z$4&gt;='2025'!$L290,Z$4&lt;='2025'!$M290), Z$4&lt;&gt;DATE(2025,7,4)), (SWITCH(weekday(Z$4), 1, 0, 2, if(ISBLANK('2025'!$P290), 0, 1), 3, if(ISBLANK('2025'!$Q290), 0, 1), 4, if(ISBLANK('2025'!$R290), 0, 1), 5, if(ISBLANK('2025'!$S290), 0, 1), 6, if(ISBLANK('2025'!$T290), 0, 1), 7, 0))), 1, "")</f>
        <v/>
      </c>
      <c r="AA292" s="1" t="str">
        <f>IF(AND(AND(AND(AA$4&gt;='2025'!$L290,AA$4&lt;='2025'!$M290), AA$4&lt;&gt;DATE(2025,7,4)), (SWITCH(weekday(AA$4), 1, 0, 2, if(ISBLANK('2025'!$P290), 0, 1), 3, if(ISBLANK('2025'!$Q290), 0, 1), 4, if(ISBLANK('2025'!$R290), 0, 1), 5, if(ISBLANK('2025'!$S290), 0, 1), 6, if(ISBLANK('2025'!$T290), 0, 1), 7, 0))), 1, "")</f>
        <v/>
      </c>
      <c r="AB292" s="1" t="str">
        <f>IF(AND(AND(AND(AB$4&gt;='2025'!$L290,AB$4&lt;='2025'!$M290), AB$4&lt;&gt;DATE(2025,7,4)), (SWITCH(weekday(AB$4), 1, 0, 2, if(ISBLANK('2025'!$P290), 0, 1), 3, if(ISBLANK('2025'!$Q290), 0, 1), 4, if(ISBLANK('2025'!$R290), 0, 1), 5, if(ISBLANK('2025'!$S290), 0, 1), 6, if(ISBLANK('2025'!$T290), 0, 1), 7, 0))), 1, "")</f>
        <v/>
      </c>
      <c r="AC292" s="1" t="str">
        <f>IF(AND(AND(AND(AC$4&gt;='2025'!$L290,AC$4&lt;='2025'!$M290), AC$4&lt;&gt;DATE(2025,7,4)), (SWITCH(weekday(AC$4), 1, 0, 2, if(ISBLANK('2025'!$P290), 0, 1), 3, if(ISBLANK('2025'!$Q290), 0, 1), 4, if(ISBLANK('2025'!$R290), 0, 1), 5, if(ISBLANK('2025'!$S290), 0, 1), 6, if(ISBLANK('2025'!$T290), 0, 1), 7, 0))), 1, "")</f>
        <v/>
      </c>
      <c r="AD292" s="1" t="str">
        <f>IF(AND(AND(AND(AD$4&gt;='2025'!$L290,AD$4&lt;='2025'!$M290), AD$4&lt;&gt;DATE(2025,7,4)), (SWITCH(weekday(AD$4), 1, 0, 2, if(ISBLANK('2025'!$P290), 0, 1), 3, if(ISBLANK('2025'!$Q290), 0, 1), 4, if(ISBLANK('2025'!$R290), 0, 1), 5, if(ISBLANK('2025'!$S290), 0, 1), 6, if(ISBLANK('2025'!$T290), 0, 1), 7, 0))), 1, "")</f>
        <v/>
      </c>
      <c r="AE292" s="1" t="str">
        <f>IF(AND(AND(AND(AE$4&gt;='2025'!$L290,AE$4&lt;='2025'!$M290), AE$4&lt;&gt;DATE(2025,7,4)), (SWITCH(weekday(AE$4), 1, 0, 2, if(ISBLANK('2025'!$P290), 0, 1), 3, if(ISBLANK('2025'!$Q290), 0, 1), 4, if(ISBLANK('2025'!$R290), 0, 1), 5, if(ISBLANK('2025'!$S290), 0, 1), 6, if(ISBLANK('2025'!$T290), 0, 1), 7, 0))), 1, "")</f>
        <v/>
      </c>
      <c r="AF292" s="1" t="str">
        <f>IF(AND(AND(AND(AF$4&gt;='2025'!$L290,AF$4&lt;='2025'!$M290), AF$4&lt;&gt;DATE(2025,7,4)), (SWITCH(weekday(AF$4), 1, 0, 2, if(ISBLANK('2025'!$P290), 0, 1), 3, if(ISBLANK('2025'!$Q290), 0, 1), 4, if(ISBLANK('2025'!$R290), 0, 1), 5, if(ISBLANK('2025'!$S290), 0, 1), 6, if(ISBLANK('2025'!$T290), 0, 1), 7, 0))), 1, "")</f>
        <v/>
      </c>
      <c r="AG292" s="1" t="str">
        <f>IF(AND(AND(AND(AG$4&gt;='2025'!$L290,AG$4&lt;='2025'!$M290), AG$4&lt;&gt;DATE(2025,7,4)), (SWITCH(weekday(AG$4), 1, 0, 2, if(ISBLANK('2025'!$P290), 0, 1), 3, if(ISBLANK('2025'!$Q290), 0, 1), 4, if(ISBLANK('2025'!$R290), 0, 1), 5, if(ISBLANK('2025'!$S290), 0, 1), 6, if(ISBLANK('2025'!$T290), 0, 1), 7, 0))), 1, "")</f>
        <v/>
      </c>
      <c r="AH292" s="1" t="str">
        <f>IF(AND(AND(AND(AH$4&gt;='2025'!$L290,AH$4&lt;='2025'!$M290), AH$4&lt;&gt;DATE(2025,7,4)), (SWITCH(weekday(AH$4), 1, 0, 2, if(ISBLANK('2025'!$P290), 0, 1), 3, if(ISBLANK('2025'!$Q290), 0, 1), 4, if(ISBLANK('2025'!$R290), 0, 1), 5, if(ISBLANK('2025'!$S290), 0, 1), 6, if(ISBLANK('2025'!$T290), 0, 1), 7, 0))), 1, "")</f>
        <v/>
      </c>
      <c r="AI292" s="1" t="str">
        <f>IF(AND(AND(AND(AI$4&gt;='2025'!$L290,AI$4&lt;='2025'!$M290), AI$4&lt;&gt;DATE(2025,7,4)), (SWITCH(weekday(AI$4), 1, 0, 2, if(ISBLANK('2025'!$P290), 0, 1), 3, if(ISBLANK('2025'!$Q290), 0, 1), 4, if(ISBLANK('2025'!$R290), 0, 1), 5, if(ISBLANK('2025'!$S290), 0, 1), 6, if(ISBLANK('2025'!$T290), 0, 1), 7, 0))), 1, "")</f>
        <v/>
      </c>
      <c r="AJ292" s="1" t="str">
        <f>IF(AND(AND(AND(AJ$4&gt;='2025'!$L290,AJ$4&lt;='2025'!$M290), AJ$4&lt;&gt;DATE(2025,7,4)), (SWITCH(weekday(AJ$4), 1, 0, 2, if(ISBLANK('2025'!$P290), 0, 1), 3, if(ISBLANK('2025'!$Q290), 0, 1), 4, if(ISBLANK('2025'!$R290), 0, 1), 5, if(ISBLANK('2025'!$S290), 0, 1), 6, if(ISBLANK('2025'!$T290), 0, 1), 7, 0))), 1, "")</f>
        <v/>
      </c>
      <c r="AK292" s="1" t="str">
        <f>IF(AND(AND(AND(AK$4&gt;='2025'!$L290,AK$4&lt;='2025'!$M290), AK$4&lt;&gt;DATE(2025,7,4)), (SWITCH(weekday(AK$4), 1, 0, 2, if(ISBLANK('2025'!$P290), 0, 1), 3, if(ISBLANK('2025'!$Q290), 0, 1), 4, if(ISBLANK('2025'!$R290), 0, 1), 5, if(ISBLANK('2025'!$S290), 0, 1), 6, if(ISBLANK('2025'!$T290), 0, 1), 7, 0))), 1, "")</f>
        <v/>
      </c>
      <c r="AL292" s="1" t="str">
        <f>IF(AND(AND(AND(AL$4&gt;='2025'!$L290,AL$4&lt;='2025'!$M290), AL$4&lt;&gt;DATE(2025,7,4)), (SWITCH(weekday(AL$4), 1, 0, 2, if(ISBLANK('2025'!$P290), 0, 1), 3, if(ISBLANK('2025'!$Q290), 0, 1), 4, if(ISBLANK('2025'!$R290), 0, 1), 5, if(ISBLANK('2025'!$S290), 0, 1), 6, if(ISBLANK('2025'!$T290), 0, 1), 7, 0))), 1, "")</f>
        <v/>
      </c>
      <c r="AM292" s="1" t="str">
        <f>IF(AND(AND(AND(AM$4&gt;='2025'!$L290,AM$4&lt;='2025'!$M290), AM$4&lt;&gt;DATE(2025,7,4)), (SWITCH(weekday(AM$4), 1, 0, 2, if(ISBLANK('2025'!$P290), 0, 1), 3, if(ISBLANK('2025'!$Q290), 0, 1), 4, if(ISBLANK('2025'!$R290), 0, 1), 5, if(ISBLANK('2025'!$S290), 0, 1), 6, if(ISBLANK('2025'!$T290), 0, 1), 7, 0))), 1, "")</f>
        <v/>
      </c>
      <c r="AN292" s="1" t="str">
        <f>IF(AND(AND(AND(AN$4&gt;='2025'!$L290,AN$4&lt;='2025'!$M290), AN$4&lt;&gt;DATE(2025,7,4)), (SWITCH(weekday(AN$4), 1, 0, 2, if(ISBLANK('2025'!$P290), 0, 1), 3, if(ISBLANK('2025'!$Q290), 0, 1), 4, if(ISBLANK('2025'!$R290), 0, 1), 5, if(ISBLANK('2025'!$S290), 0, 1), 6, if(ISBLANK('2025'!$T290), 0, 1), 7, 0))), 1, "")</f>
        <v/>
      </c>
      <c r="AO292" s="1" t="str">
        <f>IF(AND(AND(AND(AO$4&gt;='2025'!$L290,AO$4&lt;='2025'!$M290), AO$4&lt;&gt;DATE(2025,7,4)), (SWITCH(weekday(AO$4), 1, 0, 2, if(ISBLANK('2025'!$P290), 0, 1), 3, if(ISBLANK('2025'!$Q290), 0, 1), 4, if(ISBLANK('2025'!$R290), 0, 1), 5, if(ISBLANK('2025'!$S290), 0, 1), 6, if(ISBLANK('2025'!$T290), 0, 1), 7, 0))), 1, "")</f>
        <v/>
      </c>
      <c r="AP292" s="1" t="str">
        <f>IF(AND(AND(AND(AP$4&gt;='2025'!$L290,AP$4&lt;='2025'!$M290), AP$4&lt;&gt;DATE(2025,7,4)), (SWITCH(weekday(AP$4), 1, 0, 2, if(ISBLANK('2025'!$P290), 0, 1), 3, if(ISBLANK('2025'!$Q290), 0, 1), 4, if(ISBLANK('2025'!$R290), 0, 1), 5, if(ISBLANK('2025'!$S290), 0, 1), 6, if(ISBLANK('2025'!$T290), 0, 1), 7, 0))), 1, "")</f>
        <v/>
      </c>
      <c r="AQ292" s="1" t="str">
        <f>IF(AND(AND(AND(AQ$4&gt;='2025'!$L290,AQ$4&lt;='2025'!$M290), AQ$4&lt;&gt;DATE(2025,7,4)), (SWITCH(weekday(AQ$4), 1, 0, 2, if(ISBLANK('2025'!$P290), 0, 1), 3, if(ISBLANK('2025'!$Q290), 0, 1), 4, if(ISBLANK('2025'!$R290), 0, 1), 5, if(ISBLANK('2025'!$S290), 0, 1), 6, if(ISBLANK('2025'!$T290), 0, 1), 7, 0))), 1, "")</f>
        <v/>
      </c>
      <c r="AR292" s="1" t="str">
        <f>IF(AND(AND(AND(AR$4&gt;='2025'!$L290,AR$4&lt;='2025'!$M290), AR$4&lt;&gt;DATE(2025,7,4)), (SWITCH(weekday(AR$4), 1, 0, 2, if(ISBLANK('2025'!$P290), 0, 1), 3, if(ISBLANK('2025'!$Q290), 0, 1), 4, if(ISBLANK('2025'!$R290), 0, 1), 5, if(ISBLANK('2025'!$S290), 0, 1), 6, if(ISBLANK('2025'!$T290), 0, 1), 7, 0))), 1, "")</f>
        <v/>
      </c>
      <c r="AS292" s="1" t="str">
        <f>IF(AND(AND(AND(AS$4&gt;='2025'!$L290,AS$4&lt;='2025'!$M290), AS$4&lt;&gt;DATE(2025,7,4)), (SWITCH(weekday(AS$4), 1, 0, 2, if(ISBLANK('2025'!$P290), 0, 1), 3, if(ISBLANK('2025'!$Q290), 0, 1), 4, if(ISBLANK('2025'!$R290), 0, 1), 5, if(ISBLANK('2025'!$S290), 0, 1), 6, if(ISBLANK('2025'!$T290), 0, 1), 7, 0))), 1, "")</f>
        <v/>
      </c>
      <c r="AT292" s="1" t="str">
        <f>IF(AND(AND(AND(AT$4&gt;='2025'!$L290,AT$4&lt;='2025'!$M290), AT$4&lt;&gt;DATE(2025,7,4)), (SWITCH(weekday(AT$4), 1, 0, 2, if(ISBLANK('2025'!$P290), 0, 1), 3, if(ISBLANK('2025'!$Q290), 0, 1), 4, if(ISBLANK('2025'!$R290), 0, 1), 5, if(ISBLANK('2025'!$S290), 0, 1), 6, if(ISBLANK('2025'!$T290), 0, 1), 7, 0))), 1, "")</f>
        <v/>
      </c>
      <c r="AU292" s="1" t="str">
        <f>IF(AND(AND(AND(AU$4&gt;='2025'!$L290,AU$4&lt;='2025'!$M290), AU$4&lt;&gt;DATE(2025,7,4)), (SWITCH(weekday(AU$4), 1, 0, 2, if(ISBLANK('2025'!$P290), 0, 1), 3, if(ISBLANK('2025'!$Q290), 0, 1), 4, if(ISBLANK('2025'!$R290), 0, 1), 5, if(ISBLANK('2025'!$S290), 0, 1), 6, if(ISBLANK('2025'!$T290), 0, 1), 7, 0))), 1, "")</f>
        <v/>
      </c>
      <c r="AV292" s="1" t="str">
        <f>IF(AND(AND(AND(AV$4&gt;='2025'!$L290,AV$4&lt;='2025'!$M290), AV$4&lt;&gt;DATE(2025,7,4)), (SWITCH(weekday(AV$4), 1, 0, 2, if(ISBLANK('2025'!$P290), 0, 1), 3, if(ISBLANK('2025'!$Q290), 0, 1), 4, if(ISBLANK('2025'!$R290), 0, 1), 5, if(ISBLANK('2025'!$S290), 0, 1), 6, if(ISBLANK('2025'!$T290), 0, 1), 7, 0))), 1, "")</f>
        <v/>
      </c>
      <c r="AW292" s="1" t="str">
        <f>IF(AND(AND(AND(AW$4&gt;='2025'!$L290,AW$4&lt;='2025'!$M290), AW$4&lt;&gt;DATE(2025,7,4)), (SWITCH(weekday(AW$4), 1, 0, 2, if(ISBLANK('2025'!$P290), 0, 1), 3, if(ISBLANK('2025'!$Q290), 0, 1), 4, if(ISBLANK('2025'!$R290), 0, 1), 5, if(ISBLANK('2025'!$S290), 0, 1), 6, if(ISBLANK('2025'!$T290), 0, 1), 7, 0))), 1, "")</f>
        <v/>
      </c>
      <c r="AX292" s="1" t="str">
        <f>IF(AND(AND(AND(AX$4&gt;='2025'!$L290,AX$4&lt;='2025'!$M290), AX$4&lt;&gt;DATE(2025,7,4)), (SWITCH(weekday(AX$4), 1, 0, 2, if(ISBLANK('2025'!$P290), 0, 1), 3, if(ISBLANK('2025'!$Q290), 0, 1), 4, if(ISBLANK('2025'!$R290), 0, 1), 5, if(ISBLANK('2025'!$S290), 0, 1), 6, if(ISBLANK('2025'!$T290), 0, 1), 7, 0))), 1, "")</f>
        <v/>
      </c>
      <c r="AY292" s="1" t="str">
        <f>IF(AND(AND(AND(AY$4&gt;='2025'!$L290,AY$4&lt;='2025'!$M290), AY$4&lt;&gt;DATE(2025,7,4)), (SWITCH(weekday(AY$4), 1, 0, 2, if(ISBLANK('2025'!$P290), 0, 1), 3, if(ISBLANK('2025'!$Q290), 0, 1), 4, if(ISBLANK('2025'!$R290), 0, 1), 5, if(ISBLANK('2025'!$S290), 0, 1), 6, if(ISBLANK('2025'!$T290), 0, 1), 7, 0))), 1, "")</f>
        <v/>
      </c>
      <c r="AZ292" s="1" t="str">
        <f>IF(AND(AND(AND(AZ$4&gt;='2025'!$L290,AZ$4&lt;='2025'!$M290), AZ$4&lt;&gt;DATE(2025,7,4)), (SWITCH(weekday(AZ$4), 1, 0, 2, if(ISBLANK('2025'!$P290), 0, 1), 3, if(ISBLANK('2025'!$Q290), 0, 1), 4, if(ISBLANK('2025'!$R290), 0, 1), 5, if(ISBLANK('2025'!$S290), 0, 1), 6, if(ISBLANK('2025'!$T290), 0, 1), 7, 0))), 1, "")</f>
        <v/>
      </c>
      <c r="BA292" s="1" t="str">
        <f>IF(AND(AND(AND(BA$4&gt;='2025'!$L290,BA$4&lt;='2025'!$M290), BA$4&lt;&gt;DATE(2025,7,4)), (SWITCH(weekday(BA$4), 1, 0, 2, if(ISBLANK('2025'!$P290), 0, 1), 3, if(ISBLANK('2025'!$Q290), 0, 1), 4, if(ISBLANK('2025'!$R290), 0, 1), 5, if(ISBLANK('2025'!$S290), 0, 1), 6, if(ISBLANK('2025'!$T290), 0, 1), 7, 0))), 1, "")</f>
        <v/>
      </c>
      <c r="BB292" s="1" t="str">
        <f>IF(AND(AND(AND(BB$4&gt;='2025'!$L290,BB$4&lt;='2025'!$M290), BB$4&lt;&gt;DATE(2025,7,4)), (SWITCH(weekday(BB$4), 1, 0, 2, if(ISBLANK('2025'!$P290), 0, 1), 3, if(ISBLANK('2025'!$Q290), 0, 1), 4, if(ISBLANK('2025'!$R290), 0, 1), 5, if(ISBLANK('2025'!$S290), 0, 1), 6, if(ISBLANK('2025'!$T290), 0, 1), 7, 0))), 1, "")</f>
        <v/>
      </c>
      <c r="BC292" s="1" t="str">
        <f>IF(AND(AND(AND(BC$4&gt;='2025'!$L290,BC$4&lt;='2025'!$M290), BC$4&lt;&gt;DATE(2025,7,4)), (SWITCH(weekday(BC$4), 1, 0, 2, if(ISBLANK('2025'!$P290), 0, 1), 3, if(ISBLANK('2025'!$Q290), 0, 1), 4, if(ISBLANK('2025'!$R290), 0, 1), 5, if(ISBLANK('2025'!$S290), 0, 1), 6, if(ISBLANK('2025'!$T290), 0, 1), 7, 0))), 1, "")</f>
        <v/>
      </c>
      <c r="BD292" s="1" t="str">
        <f>IF(AND(AND(AND(BD$4&gt;='2025'!$L290,BD$4&lt;='2025'!$M290), BD$4&lt;&gt;DATE(2025,7,4)), (SWITCH(weekday(BD$4), 1, 0, 2, if(ISBLANK('2025'!$P290), 0, 1), 3, if(ISBLANK('2025'!$Q290), 0, 1), 4, if(ISBLANK('2025'!$R290), 0, 1), 5, if(ISBLANK('2025'!$S290), 0, 1), 6, if(ISBLANK('2025'!$T290), 0, 1), 7, 0))), 1, "")</f>
        <v/>
      </c>
      <c r="BE292" s="1" t="str">
        <f>IF(AND(AND(AND(BE$4&gt;='2025'!$L290,BE$4&lt;='2025'!$M290), BE$4&lt;&gt;DATE(2025,7,4)), (SWITCH(weekday(BE$4), 1, 0, 2, if(ISBLANK('2025'!$P290), 0, 1), 3, if(ISBLANK('2025'!$Q290), 0, 1), 4, if(ISBLANK('2025'!$R290), 0, 1), 5, if(ISBLANK('2025'!$S290), 0, 1), 6, if(ISBLANK('2025'!$T290), 0, 1), 7, 0))), 1, "")</f>
        <v/>
      </c>
      <c r="BF292" s="1" t="str">
        <f>IF(AND(AND(AND(BF$4&gt;='2025'!$L290,BF$4&lt;='2025'!$M290), BF$4&lt;&gt;DATE(2025,7,4)), (SWITCH(weekday(BF$4), 1, 0, 2, if(ISBLANK('2025'!$P290), 0, 1), 3, if(ISBLANK('2025'!$Q290), 0, 1), 4, if(ISBLANK('2025'!$R290), 0, 1), 5, if(ISBLANK('2025'!$S290), 0, 1), 6, if(ISBLANK('2025'!$T290), 0, 1), 7, 0))), 1, "")</f>
        <v/>
      </c>
      <c r="BG292" s="1"/>
      <c r="BH292" s="1"/>
      <c r="BI292" s="1"/>
      <c r="BJ292" s="1"/>
      <c r="BK292" s="1"/>
      <c r="BL292" s="1"/>
    </row>
    <row r="293">
      <c r="A293" s="1">
        <f t="shared" si="3"/>
        <v>293</v>
      </c>
      <c r="B293" s="1" t="str">
        <f>'2025'!D257</f>
        <v>, </v>
      </c>
      <c r="C293" s="1" t="str">
        <f>'2025'!H257</f>
        <v/>
      </c>
      <c r="D293" s="1" t="str">
        <f>IF(AND(AND(AND(D$4&gt;='2025'!$L291,D$4&lt;='2025'!$M291), D$4&lt;&gt;DATE(2025,7,4)), (SWITCH(weekday(D$4), 1, 0, 2, if(ISBLANK('2025'!$P291), 0, 1), 3, if(ISBLANK('2025'!$Q291), 0, 1), 4, if(ISBLANK('2025'!$R291), 0, 1), 5, if(ISBLANK('2025'!$S291), 0, 1), 6, if(ISBLANK('2025'!$T291), 0, 1), 7, 0))), 1, "")</f>
        <v/>
      </c>
      <c r="E293" s="1" t="str">
        <f>IF(AND(AND(AND(E$4&gt;='2025'!$L291,E$4&lt;='2025'!$M291), E$4&lt;&gt;DATE(2025,7,4)), (SWITCH(weekday(E$4), 1, 0, 2, if(ISBLANK('2025'!$P291), 0, 1), 3, if(ISBLANK('2025'!$Q291), 0, 1), 4, if(ISBLANK('2025'!$R291), 0, 1), 5, if(ISBLANK('2025'!$S291), 0, 1), 6, if(ISBLANK('2025'!$T291), 0, 1), 7, 0))), 1, "")</f>
        <v/>
      </c>
      <c r="F293" s="1" t="str">
        <f>IF(AND(AND(AND(F$4&gt;='2025'!$L291,F$4&lt;='2025'!$M291), F$4&lt;&gt;DATE(2025,7,4)), (SWITCH(weekday(F$4), 1, 0, 2, if(ISBLANK('2025'!$P291), 0, 1), 3, if(ISBLANK('2025'!$Q291), 0, 1), 4, if(ISBLANK('2025'!$R291), 0, 1), 5, if(ISBLANK('2025'!$S291), 0, 1), 6, if(ISBLANK('2025'!$T291), 0, 1), 7, 0))), 1, "")</f>
        <v/>
      </c>
      <c r="G293" s="1" t="str">
        <f>IF(AND(AND(AND(G$4&gt;='2025'!$L291,G$4&lt;='2025'!$M291), G$4&lt;&gt;DATE(2025,7,4)), (SWITCH(weekday(G$4), 1, 0, 2, if(ISBLANK('2025'!$P291), 0, 1), 3, if(ISBLANK('2025'!$Q291), 0, 1), 4, if(ISBLANK('2025'!$R291), 0, 1), 5, if(ISBLANK('2025'!$S291), 0, 1), 6, if(ISBLANK('2025'!$T291), 0, 1), 7, 0))), 1, "")</f>
        <v/>
      </c>
      <c r="H293" s="1" t="str">
        <f>IF(AND(AND(AND(H$4&gt;='2025'!$L291,H$4&lt;='2025'!$M291), H$4&lt;&gt;DATE(2025,7,4)), (SWITCH(weekday(H$4), 1, 0, 2, if(ISBLANK('2025'!$P291), 0, 1), 3, if(ISBLANK('2025'!$Q291), 0, 1), 4, if(ISBLANK('2025'!$R291), 0, 1), 5, if(ISBLANK('2025'!$S291), 0, 1), 6, if(ISBLANK('2025'!$T291), 0, 1), 7, 0))), 1, "")</f>
        <v/>
      </c>
      <c r="I293" s="1" t="str">
        <f>IF(AND(AND(AND(I$4&gt;='2025'!$L291,I$4&lt;='2025'!$M291), I$4&lt;&gt;DATE(2025,7,4)), (SWITCH(weekday(I$4), 1, 0, 2, if(ISBLANK('2025'!$P291), 0, 1), 3, if(ISBLANK('2025'!$Q291), 0, 1), 4, if(ISBLANK('2025'!$R291), 0, 1), 5, if(ISBLANK('2025'!$S291), 0, 1), 6, if(ISBLANK('2025'!$T291), 0, 1), 7, 0))), 1, "")</f>
        <v/>
      </c>
      <c r="J293" s="1" t="str">
        <f>IF(AND(AND(AND(J$4&gt;='2025'!$L291,J$4&lt;='2025'!$M291), J$4&lt;&gt;DATE(2025,7,4)), (SWITCH(weekday(J$4), 1, 0, 2, if(ISBLANK('2025'!$P291), 0, 1), 3, if(ISBLANK('2025'!$Q291), 0, 1), 4, if(ISBLANK('2025'!$R291), 0, 1), 5, if(ISBLANK('2025'!$S291), 0, 1), 6, if(ISBLANK('2025'!$T291), 0, 1), 7, 0))), 1, "")</f>
        <v/>
      </c>
      <c r="K293" s="1" t="str">
        <f>IF(AND(AND(AND(K$4&gt;='2025'!$L291,K$4&lt;='2025'!$M291), K$4&lt;&gt;DATE(2025,7,4)), (SWITCH(weekday(K$4), 1, 0, 2, if(ISBLANK('2025'!$P291), 0, 1), 3, if(ISBLANK('2025'!$Q291), 0, 1), 4, if(ISBLANK('2025'!$R291), 0, 1), 5, if(ISBLANK('2025'!$S291), 0, 1), 6, if(ISBLANK('2025'!$T291), 0, 1), 7, 0))), 1, "")</f>
        <v/>
      </c>
      <c r="L293" s="1" t="str">
        <f>IF(AND(AND(AND(L$4&gt;='2025'!$L291,L$4&lt;='2025'!$M291), L$4&lt;&gt;DATE(2025,7,4)), (SWITCH(weekday(L$4), 1, 0, 2, if(ISBLANK('2025'!$P291), 0, 1), 3, if(ISBLANK('2025'!$Q291), 0, 1), 4, if(ISBLANK('2025'!$R291), 0, 1), 5, if(ISBLANK('2025'!$S291), 0, 1), 6, if(ISBLANK('2025'!$T291), 0, 1), 7, 0))), 1, "")</f>
        <v/>
      </c>
      <c r="M293" s="1" t="str">
        <f>IF(AND(AND(AND(M$4&gt;='2025'!$L291,M$4&lt;='2025'!$M291), M$4&lt;&gt;DATE(2025,7,4)), (SWITCH(weekday(M$4), 1, 0, 2, if(ISBLANK('2025'!$P291), 0, 1), 3, if(ISBLANK('2025'!$Q291), 0, 1), 4, if(ISBLANK('2025'!$R291), 0, 1), 5, if(ISBLANK('2025'!$S291), 0, 1), 6, if(ISBLANK('2025'!$T291), 0, 1), 7, 0))), 1, "")</f>
        <v/>
      </c>
      <c r="N293" s="1" t="str">
        <f>IF(AND(AND(AND(N$4&gt;='2025'!$L291,N$4&lt;='2025'!$M291), N$4&lt;&gt;DATE(2025,7,4)), (SWITCH(weekday(N$4), 1, 0, 2, if(ISBLANK('2025'!$P291), 0, 1), 3, if(ISBLANK('2025'!$Q291), 0, 1), 4, if(ISBLANK('2025'!$R291), 0, 1), 5, if(ISBLANK('2025'!$S291), 0, 1), 6, if(ISBLANK('2025'!$T291), 0, 1), 7, 0))), 1, "")</f>
        <v/>
      </c>
      <c r="O293" s="1" t="str">
        <f>IF(AND(AND(AND(O$4&gt;='2025'!$L291,O$4&lt;='2025'!$M291), O$4&lt;&gt;DATE(2025,7,4)), (SWITCH(weekday(O$4), 1, 0, 2, if(ISBLANK('2025'!$P291), 0, 1), 3, if(ISBLANK('2025'!$Q291), 0, 1), 4, if(ISBLANK('2025'!$R291), 0, 1), 5, if(ISBLANK('2025'!$S291), 0, 1), 6, if(ISBLANK('2025'!$T291), 0, 1), 7, 0))), 1, "")</f>
        <v/>
      </c>
      <c r="P293" s="1" t="str">
        <f>IF(AND(AND(AND(P$4&gt;='2025'!$L291,P$4&lt;='2025'!$M291), P$4&lt;&gt;DATE(2025,7,4)), (SWITCH(weekday(P$4), 1, 0, 2, if(ISBLANK('2025'!$P291), 0, 1), 3, if(ISBLANK('2025'!$Q291), 0, 1), 4, if(ISBLANK('2025'!$R291), 0, 1), 5, if(ISBLANK('2025'!$S291), 0, 1), 6, if(ISBLANK('2025'!$T291), 0, 1), 7, 0))), 1, "")</f>
        <v/>
      </c>
      <c r="Q293" s="1" t="str">
        <f>IF(AND(AND(AND(Q$4&gt;='2025'!$L291,Q$4&lt;='2025'!$M291), Q$4&lt;&gt;DATE(2025,7,4)), (SWITCH(weekday(Q$4), 1, 0, 2, if(ISBLANK('2025'!$P291), 0, 1), 3, if(ISBLANK('2025'!$Q291), 0, 1), 4, if(ISBLANK('2025'!$R291), 0, 1), 5, if(ISBLANK('2025'!$S291), 0, 1), 6, if(ISBLANK('2025'!$T291), 0, 1), 7, 0))), 1, "")</f>
        <v/>
      </c>
      <c r="R293" s="1" t="str">
        <f>IF(AND(AND(AND(R$4&gt;='2025'!$L291,R$4&lt;='2025'!$M291), R$4&lt;&gt;DATE(2025,7,4)), (SWITCH(weekday(R$4), 1, 0, 2, if(ISBLANK('2025'!$P291), 0, 1), 3, if(ISBLANK('2025'!$Q291), 0, 1), 4, if(ISBLANK('2025'!$R291), 0, 1), 5, if(ISBLANK('2025'!$S291), 0, 1), 6, if(ISBLANK('2025'!$T291), 0, 1), 7, 0))), 1, "")</f>
        <v/>
      </c>
      <c r="S293" s="1" t="str">
        <f>IF(AND(AND(AND(S$4&gt;='2025'!$L291,S$4&lt;='2025'!$M291), S$4&lt;&gt;DATE(2025,7,4)), (SWITCH(weekday(S$4), 1, 0, 2, if(ISBLANK('2025'!$P291), 0, 1), 3, if(ISBLANK('2025'!$Q291), 0, 1), 4, if(ISBLANK('2025'!$R291), 0, 1), 5, if(ISBLANK('2025'!$S291), 0, 1), 6, if(ISBLANK('2025'!$T291), 0, 1), 7, 0))), 1, "")</f>
        <v/>
      </c>
      <c r="T293" s="1" t="str">
        <f>IF(AND(AND(AND(T$4&gt;='2025'!$L291,T$4&lt;='2025'!$M291), T$4&lt;&gt;DATE(2025,7,4)), (SWITCH(weekday(T$4), 1, 0, 2, if(ISBLANK('2025'!$P291), 0, 1), 3, if(ISBLANK('2025'!$Q291), 0, 1), 4, if(ISBLANK('2025'!$R291), 0, 1), 5, if(ISBLANK('2025'!$S291), 0, 1), 6, if(ISBLANK('2025'!$T291), 0, 1), 7, 0))), 1, "")</f>
        <v/>
      </c>
      <c r="U293" s="1" t="str">
        <f>IF(AND(AND(AND(U$4&gt;='2025'!$L291,U$4&lt;='2025'!$M291), U$4&lt;&gt;DATE(2025,7,4)), (SWITCH(weekday(U$4), 1, 0, 2, if(ISBLANK('2025'!$P291), 0, 1), 3, if(ISBLANK('2025'!$Q291), 0, 1), 4, if(ISBLANK('2025'!$R291), 0, 1), 5, if(ISBLANK('2025'!$S291), 0, 1), 6, if(ISBLANK('2025'!$T291), 0, 1), 7, 0))), 1, "")</f>
        <v/>
      </c>
      <c r="V293" s="1" t="str">
        <f>IF(AND(AND(AND(V$4&gt;='2025'!$L291,V$4&lt;='2025'!$M291), V$4&lt;&gt;DATE(2025,7,4)), (SWITCH(weekday(V$4), 1, 0, 2, if(ISBLANK('2025'!$P291), 0, 1), 3, if(ISBLANK('2025'!$Q291), 0, 1), 4, if(ISBLANK('2025'!$R291), 0, 1), 5, if(ISBLANK('2025'!$S291), 0, 1), 6, if(ISBLANK('2025'!$T291), 0, 1), 7, 0))), 1, "")</f>
        <v/>
      </c>
      <c r="W293" s="1" t="str">
        <f>IF(AND(AND(AND(W$4&gt;='2025'!$L291,W$4&lt;='2025'!$M291), W$4&lt;&gt;DATE(2025,7,4)), (SWITCH(weekday(W$4), 1, 0, 2, if(ISBLANK('2025'!$P291), 0, 1), 3, if(ISBLANK('2025'!$Q291), 0, 1), 4, if(ISBLANK('2025'!$R291), 0, 1), 5, if(ISBLANK('2025'!$S291), 0, 1), 6, if(ISBLANK('2025'!$T291), 0, 1), 7, 0))), 1, "")</f>
        <v/>
      </c>
      <c r="X293" s="1" t="str">
        <f>IF(AND(AND(AND(X$4&gt;='2025'!$L291,X$4&lt;='2025'!$M291), X$4&lt;&gt;DATE(2025,7,4)), (SWITCH(weekday(X$4), 1, 0, 2, if(ISBLANK('2025'!$P291), 0, 1), 3, if(ISBLANK('2025'!$Q291), 0, 1), 4, if(ISBLANK('2025'!$R291), 0, 1), 5, if(ISBLANK('2025'!$S291), 0, 1), 6, if(ISBLANK('2025'!$T291), 0, 1), 7, 0))), 1, "")</f>
        <v/>
      </c>
      <c r="Y293" s="1" t="str">
        <f>IF(AND(AND(AND(Y$4&gt;='2025'!$L291,Y$4&lt;='2025'!$M291), Y$4&lt;&gt;DATE(2025,7,4)), (SWITCH(weekday(Y$4), 1, 0, 2, if(ISBLANK('2025'!$P291), 0, 1), 3, if(ISBLANK('2025'!$Q291), 0, 1), 4, if(ISBLANK('2025'!$R291), 0, 1), 5, if(ISBLANK('2025'!$S291), 0, 1), 6, if(ISBLANK('2025'!$T291), 0, 1), 7, 0))), 1, "")</f>
        <v/>
      </c>
      <c r="Z293" s="1" t="str">
        <f>IF(AND(AND(AND(Z$4&gt;='2025'!$L291,Z$4&lt;='2025'!$M291), Z$4&lt;&gt;DATE(2025,7,4)), (SWITCH(weekday(Z$4), 1, 0, 2, if(ISBLANK('2025'!$P291), 0, 1), 3, if(ISBLANK('2025'!$Q291), 0, 1), 4, if(ISBLANK('2025'!$R291), 0, 1), 5, if(ISBLANK('2025'!$S291), 0, 1), 6, if(ISBLANK('2025'!$T291), 0, 1), 7, 0))), 1, "")</f>
        <v/>
      </c>
      <c r="AA293" s="1" t="str">
        <f>IF(AND(AND(AND(AA$4&gt;='2025'!$L291,AA$4&lt;='2025'!$M291), AA$4&lt;&gt;DATE(2025,7,4)), (SWITCH(weekday(AA$4), 1, 0, 2, if(ISBLANK('2025'!$P291), 0, 1), 3, if(ISBLANK('2025'!$Q291), 0, 1), 4, if(ISBLANK('2025'!$R291), 0, 1), 5, if(ISBLANK('2025'!$S291), 0, 1), 6, if(ISBLANK('2025'!$T291), 0, 1), 7, 0))), 1, "")</f>
        <v/>
      </c>
      <c r="AB293" s="1" t="str">
        <f>IF(AND(AND(AND(AB$4&gt;='2025'!$L291,AB$4&lt;='2025'!$M291), AB$4&lt;&gt;DATE(2025,7,4)), (SWITCH(weekday(AB$4), 1, 0, 2, if(ISBLANK('2025'!$P291), 0, 1), 3, if(ISBLANK('2025'!$Q291), 0, 1), 4, if(ISBLANK('2025'!$R291), 0, 1), 5, if(ISBLANK('2025'!$S291), 0, 1), 6, if(ISBLANK('2025'!$T291), 0, 1), 7, 0))), 1, "")</f>
        <v/>
      </c>
      <c r="AC293" s="1" t="str">
        <f>IF(AND(AND(AND(AC$4&gt;='2025'!$L291,AC$4&lt;='2025'!$M291), AC$4&lt;&gt;DATE(2025,7,4)), (SWITCH(weekday(AC$4), 1, 0, 2, if(ISBLANK('2025'!$P291), 0, 1), 3, if(ISBLANK('2025'!$Q291), 0, 1), 4, if(ISBLANK('2025'!$R291), 0, 1), 5, if(ISBLANK('2025'!$S291), 0, 1), 6, if(ISBLANK('2025'!$T291), 0, 1), 7, 0))), 1, "")</f>
        <v/>
      </c>
      <c r="AD293" s="1" t="str">
        <f>IF(AND(AND(AND(AD$4&gt;='2025'!$L291,AD$4&lt;='2025'!$M291), AD$4&lt;&gt;DATE(2025,7,4)), (SWITCH(weekday(AD$4), 1, 0, 2, if(ISBLANK('2025'!$P291), 0, 1), 3, if(ISBLANK('2025'!$Q291), 0, 1), 4, if(ISBLANK('2025'!$R291), 0, 1), 5, if(ISBLANK('2025'!$S291), 0, 1), 6, if(ISBLANK('2025'!$T291), 0, 1), 7, 0))), 1, "")</f>
        <v/>
      </c>
      <c r="AE293" s="1" t="str">
        <f>IF(AND(AND(AND(AE$4&gt;='2025'!$L291,AE$4&lt;='2025'!$M291), AE$4&lt;&gt;DATE(2025,7,4)), (SWITCH(weekday(AE$4), 1, 0, 2, if(ISBLANK('2025'!$P291), 0, 1), 3, if(ISBLANK('2025'!$Q291), 0, 1), 4, if(ISBLANK('2025'!$R291), 0, 1), 5, if(ISBLANK('2025'!$S291), 0, 1), 6, if(ISBLANK('2025'!$T291), 0, 1), 7, 0))), 1, "")</f>
        <v/>
      </c>
      <c r="AF293" s="1" t="str">
        <f>IF(AND(AND(AND(AF$4&gt;='2025'!$L291,AF$4&lt;='2025'!$M291), AF$4&lt;&gt;DATE(2025,7,4)), (SWITCH(weekday(AF$4), 1, 0, 2, if(ISBLANK('2025'!$P291), 0, 1), 3, if(ISBLANK('2025'!$Q291), 0, 1), 4, if(ISBLANK('2025'!$R291), 0, 1), 5, if(ISBLANK('2025'!$S291), 0, 1), 6, if(ISBLANK('2025'!$T291), 0, 1), 7, 0))), 1, "")</f>
        <v/>
      </c>
      <c r="AG293" s="1" t="str">
        <f>IF(AND(AND(AND(AG$4&gt;='2025'!$L291,AG$4&lt;='2025'!$M291), AG$4&lt;&gt;DATE(2025,7,4)), (SWITCH(weekday(AG$4), 1, 0, 2, if(ISBLANK('2025'!$P291), 0, 1), 3, if(ISBLANK('2025'!$Q291), 0, 1), 4, if(ISBLANK('2025'!$R291), 0, 1), 5, if(ISBLANK('2025'!$S291), 0, 1), 6, if(ISBLANK('2025'!$T291), 0, 1), 7, 0))), 1, "")</f>
        <v/>
      </c>
      <c r="AH293" s="1" t="str">
        <f>IF(AND(AND(AND(AH$4&gt;='2025'!$L291,AH$4&lt;='2025'!$M291), AH$4&lt;&gt;DATE(2025,7,4)), (SWITCH(weekday(AH$4), 1, 0, 2, if(ISBLANK('2025'!$P291), 0, 1), 3, if(ISBLANK('2025'!$Q291), 0, 1), 4, if(ISBLANK('2025'!$R291), 0, 1), 5, if(ISBLANK('2025'!$S291), 0, 1), 6, if(ISBLANK('2025'!$T291), 0, 1), 7, 0))), 1, "")</f>
        <v/>
      </c>
      <c r="AI293" s="1" t="str">
        <f>IF(AND(AND(AND(AI$4&gt;='2025'!$L291,AI$4&lt;='2025'!$M291), AI$4&lt;&gt;DATE(2025,7,4)), (SWITCH(weekday(AI$4), 1, 0, 2, if(ISBLANK('2025'!$P291), 0, 1), 3, if(ISBLANK('2025'!$Q291), 0, 1), 4, if(ISBLANK('2025'!$R291), 0, 1), 5, if(ISBLANK('2025'!$S291), 0, 1), 6, if(ISBLANK('2025'!$T291), 0, 1), 7, 0))), 1, "")</f>
        <v/>
      </c>
      <c r="AJ293" s="1" t="str">
        <f>IF(AND(AND(AND(AJ$4&gt;='2025'!$L291,AJ$4&lt;='2025'!$M291), AJ$4&lt;&gt;DATE(2025,7,4)), (SWITCH(weekday(AJ$4), 1, 0, 2, if(ISBLANK('2025'!$P291), 0, 1), 3, if(ISBLANK('2025'!$Q291), 0, 1), 4, if(ISBLANK('2025'!$R291), 0, 1), 5, if(ISBLANK('2025'!$S291), 0, 1), 6, if(ISBLANK('2025'!$T291), 0, 1), 7, 0))), 1, "")</f>
        <v/>
      </c>
      <c r="AK293" s="1" t="str">
        <f>IF(AND(AND(AND(AK$4&gt;='2025'!$L291,AK$4&lt;='2025'!$M291), AK$4&lt;&gt;DATE(2025,7,4)), (SWITCH(weekday(AK$4), 1, 0, 2, if(ISBLANK('2025'!$P291), 0, 1), 3, if(ISBLANK('2025'!$Q291), 0, 1), 4, if(ISBLANK('2025'!$R291), 0, 1), 5, if(ISBLANK('2025'!$S291), 0, 1), 6, if(ISBLANK('2025'!$T291), 0, 1), 7, 0))), 1, "")</f>
        <v/>
      </c>
      <c r="AL293" s="1" t="str">
        <f>IF(AND(AND(AND(AL$4&gt;='2025'!$L291,AL$4&lt;='2025'!$M291), AL$4&lt;&gt;DATE(2025,7,4)), (SWITCH(weekday(AL$4), 1, 0, 2, if(ISBLANK('2025'!$P291), 0, 1), 3, if(ISBLANK('2025'!$Q291), 0, 1), 4, if(ISBLANK('2025'!$R291), 0, 1), 5, if(ISBLANK('2025'!$S291), 0, 1), 6, if(ISBLANK('2025'!$T291), 0, 1), 7, 0))), 1, "")</f>
        <v/>
      </c>
      <c r="AM293" s="1" t="str">
        <f>IF(AND(AND(AND(AM$4&gt;='2025'!$L291,AM$4&lt;='2025'!$M291), AM$4&lt;&gt;DATE(2025,7,4)), (SWITCH(weekday(AM$4), 1, 0, 2, if(ISBLANK('2025'!$P291), 0, 1), 3, if(ISBLANK('2025'!$Q291), 0, 1), 4, if(ISBLANK('2025'!$R291), 0, 1), 5, if(ISBLANK('2025'!$S291), 0, 1), 6, if(ISBLANK('2025'!$T291), 0, 1), 7, 0))), 1, "")</f>
        <v/>
      </c>
      <c r="AN293" s="1" t="str">
        <f>IF(AND(AND(AND(AN$4&gt;='2025'!$L291,AN$4&lt;='2025'!$M291), AN$4&lt;&gt;DATE(2025,7,4)), (SWITCH(weekday(AN$4), 1, 0, 2, if(ISBLANK('2025'!$P291), 0, 1), 3, if(ISBLANK('2025'!$Q291), 0, 1), 4, if(ISBLANK('2025'!$R291), 0, 1), 5, if(ISBLANK('2025'!$S291), 0, 1), 6, if(ISBLANK('2025'!$T291), 0, 1), 7, 0))), 1, "")</f>
        <v/>
      </c>
      <c r="AO293" s="1" t="str">
        <f>IF(AND(AND(AND(AO$4&gt;='2025'!$L291,AO$4&lt;='2025'!$M291), AO$4&lt;&gt;DATE(2025,7,4)), (SWITCH(weekday(AO$4), 1, 0, 2, if(ISBLANK('2025'!$P291), 0, 1), 3, if(ISBLANK('2025'!$Q291), 0, 1), 4, if(ISBLANK('2025'!$R291), 0, 1), 5, if(ISBLANK('2025'!$S291), 0, 1), 6, if(ISBLANK('2025'!$T291), 0, 1), 7, 0))), 1, "")</f>
        <v/>
      </c>
      <c r="AP293" s="1" t="str">
        <f>IF(AND(AND(AND(AP$4&gt;='2025'!$L291,AP$4&lt;='2025'!$M291), AP$4&lt;&gt;DATE(2025,7,4)), (SWITCH(weekday(AP$4), 1, 0, 2, if(ISBLANK('2025'!$P291), 0, 1), 3, if(ISBLANK('2025'!$Q291), 0, 1), 4, if(ISBLANK('2025'!$R291), 0, 1), 5, if(ISBLANK('2025'!$S291), 0, 1), 6, if(ISBLANK('2025'!$T291), 0, 1), 7, 0))), 1, "")</f>
        <v/>
      </c>
      <c r="AQ293" s="1" t="str">
        <f>IF(AND(AND(AND(AQ$4&gt;='2025'!$L291,AQ$4&lt;='2025'!$M291), AQ$4&lt;&gt;DATE(2025,7,4)), (SWITCH(weekday(AQ$4), 1, 0, 2, if(ISBLANK('2025'!$P291), 0, 1), 3, if(ISBLANK('2025'!$Q291), 0, 1), 4, if(ISBLANK('2025'!$R291), 0, 1), 5, if(ISBLANK('2025'!$S291), 0, 1), 6, if(ISBLANK('2025'!$T291), 0, 1), 7, 0))), 1, "")</f>
        <v/>
      </c>
      <c r="AR293" s="1" t="str">
        <f>IF(AND(AND(AND(AR$4&gt;='2025'!$L291,AR$4&lt;='2025'!$M291), AR$4&lt;&gt;DATE(2025,7,4)), (SWITCH(weekday(AR$4), 1, 0, 2, if(ISBLANK('2025'!$P291), 0, 1), 3, if(ISBLANK('2025'!$Q291), 0, 1), 4, if(ISBLANK('2025'!$R291), 0, 1), 5, if(ISBLANK('2025'!$S291), 0, 1), 6, if(ISBLANK('2025'!$T291), 0, 1), 7, 0))), 1, "")</f>
        <v/>
      </c>
      <c r="AS293" s="1" t="str">
        <f>IF(AND(AND(AND(AS$4&gt;='2025'!$L291,AS$4&lt;='2025'!$M291), AS$4&lt;&gt;DATE(2025,7,4)), (SWITCH(weekday(AS$4), 1, 0, 2, if(ISBLANK('2025'!$P291), 0, 1), 3, if(ISBLANK('2025'!$Q291), 0, 1), 4, if(ISBLANK('2025'!$R291), 0, 1), 5, if(ISBLANK('2025'!$S291), 0, 1), 6, if(ISBLANK('2025'!$T291), 0, 1), 7, 0))), 1, "")</f>
        <v/>
      </c>
      <c r="AT293" s="1" t="str">
        <f>IF(AND(AND(AND(AT$4&gt;='2025'!$L291,AT$4&lt;='2025'!$M291), AT$4&lt;&gt;DATE(2025,7,4)), (SWITCH(weekday(AT$4), 1, 0, 2, if(ISBLANK('2025'!$P291), 0, 1), 3, if(ISBLANK('2025'!$Q291), 0, 1), 4, if(ISBLANK('2025'!$R291), 0, 1), 5, if(ISBLANK('2025'!$S291), 0, 1), 6, if(ISBLANK('2025'!$T291), 0, 1), 7, 0))), 1, "")</f>
        <v/>
      </c>
      <c r="AU293" s="1" t="str">
        <f>IF(AND(AND(AND(AU$4&gt;='2025'!$L291,AU$4&lt;='2025'!$M291), AU$4&lt;&gt;DATE(2025,7,4)), (SWITCH(weekday(AU$4), 1, 0, 2, if(ISBLANK('2025'!$P291), 0, 1), 3, if(ISBLANK('2025'!$Q291), 0, 1), 4, if(ISBLANK('2025'!$R291), 0, 1), 5, if(ISBLANK('2025'!$S291), 0, 1), 6, if(ISBLANK('2025'!$T291), 0, 1), 7, 0))), 1, "")</f>
        <v/>
      </c>
      <c r="AV293" s="1" t="str">
        <f>IF(AND(AND(AND(AV$4&gt;='2025'!$L291,AV$4&lt;='2025'!$M291), AV$4&lt;&gt;DATE(2025,7,4)), (SWITCH(weekday(AV$4), 1, 0, 2, if(ISBLANK('2025'!$P291), 0, 1), 3, if(ISBLANK('2025'!$Q291), 0, 1), 4, if(ISBLANK('2025'!$R291), 0, 1), 5, if(ISBLANK('2025'!$S291), 0, 1), 6, if(ISBLANK('2025'!$T291), 0, 1), 7, 0))), 1, "")</f>
        <v/>
      </c>
      <c r="AW293" s="1" t="str">
        <f>IF(AND(AND(AND(AW$4&gt;='2025'!$L291,AW$4&lt;='2025'!$M291), AW$4&lt;&gt;DATE(2025,7,4)), (SWITCH(weekday(AW$4), 1, 0, 2, if(ISBLANK('2025'!$P291), 0, 1), 3, if(ISBLANK('2025'!$Q291), 0, 1), 4, if(ISBLANK('2025'!$R291), 0, 1), 5, if(ISBLANK('2025'!$S291), 0, 1), 6, if(ISBLANK('2025'!$T291), 0, 1), 7, 0))), 1, "")</f>
        <v/>
      </c>
      <c r="AX293" s="1" t="str">
        <f>IF(AND(AND(AND(AX$4&gt;='2025'!$L291,AX$4&lt;='2025'!$M291), AX$4&lt;&gt;DATE(2025,7,4)), (SWITCH(weekday(AX$4), 1, 0, 2, if(ISBLANK('2025'!$P291), 0, 1), 3, if(ISBLANK('2025'!$Q291), 0, 1), 4, if(ISBLANK('2025'!$R291), 0, 1), 5, if(ISBLANK('2025'!$S291), 0, 1), 6, if(ISBLANK('2025'!$T291), 0, 1), 7, 0))), 1, "")</f>
        <v/>
      </c>
      <c r="AY293" s="1" t="str">
        <f>IF(AND(AND(AND(AY$4&gt;='2025'!$L291,AY$4&lt;='2025'!$M291), AY$4&lt;&gt;DATE(2025,7,4)), (SWITCH(weekday(AY$4), 1, 0, 2, if(ISBLANK('2025'!$P291), 0, 1), 3, if(ISBLANK('2025'!$Q291), 0, 1), 4, if(ISBLANK('2025'!$R291), 0, 1), 5, if(ISBLANK('2025'!$S291), 0, 1), 6, if(ISBLANK('2025'!$T291), 0, 1), 7, 0))), 1, "")</f>
        <v/>
      </c>
      <c r="AZ293" s="1" t="str">
        <f>IF(AND(AND(AND(AZ$4&gt;='2025'!$L291,AZ$4&lt;='2025'!$M291), AZ$4&lt;&gt;DATE(2025,7,4)), (SWITCH(weekday(AZ$4), 1, 0, 2, if(ISBLANK('2025'!$P291), 0, 1), 3, if(ISBLANK('2025'!$Q291), 0, 1), 4, if(ISBLANK('2025'!$R291), 0, 1), 5, if(ISBLANK('2025'!$S291), 0, 1), 6, if(ISBLANK('2025'!$T291), 0, 1), 7, 0))), 1, "")</f>
        <v/>
      </c>
      <c r="BA293" s="1" t="str">
        <f>IF(AND(AND(AND(BA$4&gt;='2025'!$L291,BA$4&lt;='2025'!$M291), BA$4&lt;&gt;DATE(2025,7,4)), (SWITCH(weekday(BA$4), 1, 0, 2, if(ISBLANK('2025'!$P291), 0, 1), 3, if(ISBLANK('2025'!$Q291), 0, 1), 4, if(ISBLANK('2025'!$R291), 0, 1), 5, if(ISBLANK('2025'!$S291), 0, 1), 6, if(ISBLANK('2025'!$T291), 0, 1), 7, 0))), 1, "")</f>
        <v/>
      </c>
      <c r="BB293" s="1" t="str">
        <f>IF(AND(AND(AND(BB$4&gt;='2025'!$L291,BB$4&lt;='2025'!$M291), BB$4&lt;&gt;DATE(2025,7,4)), (SWITCH(weekday(BB$4), 1, 0, 2, if(ISBLANK('2025'!$P291), 0, 1), 3, if(ISBLANK('2025'!$Q291), 0, 1), 4, if(ISBLANK('2025'!$R291), 0, 1), 5, if(ISBLANK('2025'!$S291), 0, 1), 6, if(ISBLANK('2025'!$T291), 0, 1), 7, 0))), 1, "")</f>
        <v/>
      </c>
      <c r="BC293" s="1" t="str">
        <f>IF(AND(AND(AND(BC$4&gt;='2025'!$L291,BC$4&lt;='2025'!$M291), BC$4&lt;&gt;DATE(2025,7,4)), (SWITCH(weekday(BC$4), 1, 0, 2, if(ISBLANK('2025'!$P291), 0, 1), 3, if(ISBLANK('2025'!$Q291), 0, 1), 4, if(ISBLANK('2025'!$R291), 0, 1), 5, if(ISBLANK('2025'!$S291), 0, 1), 6, if(ISBLANK('2025'!$T291), 0, 1), 7, 0))), 1, "")</f>
        <v/>
      </c>
      <c r="BD293" s="1" t="str">
        <f>IF(AND(AND(AND(BD$4&gt;='2025'!$L291,BD$4&lt;='2025'!$M291), BD$4&lt;&gt;DATE(2025,7,4)), (SWITCH(weekday(BD$4), 1, 0, 2, if(ISBLANK('2025'!$P291), 0, 1), 3, if(ISBLANK('2025'!$Q291), 0, 1), 4, if(ISBLANK('2025'!$R291), 0, 1), 5, if(ISBLANK('2025'!$S291), 0, 1), 6, if(ISBLANK('2025'!$T291), 0, 1), 7, 0))), 1, "")</f>
        <v/>
      </c>
      <c r="BE293" s="1" t="str">
        <f>IF(AND(AND(AND(BE$4&gt;='2025'!$L291,BE$4&lt;='2025'!$M291), BE$4&lt;&gt;DATE(2025,7,4)), (SWITCH(weekday(BE$4), 1, 0, 2, if(ISBLANK('2025'!$P291), 0, 1), 3, if(ISBLANK('2025'!$Q291), 0, 1), 4, if(ISBLANK('2025'!$R291), 0, 1), 5, if(ISBLANK('2025'!$S291), 0, 1), 6, if(ISBLANK('2025'!$T291), 0, 1), 7, 0))), 1, "")</f>
        <v/>
      </c>
      <c r="BF293" s="1" t="str">
        <f>IF(AND(AND(AND(BF$4&gt;='2025'!$L291,BF$4&lt;='2025'!$M291), BF$4&lt;&gt;DATE(2025,7,4)), (SWITCH(weekday(BF$4), 1, 0, 2, if(ISBLANK('2025'!$P291), 0, 1), 3, if(ISBLANK('2025'!$Q291), 0, 1), 4, if(ISBLANK('2025'!$R291), 0, 1), 5, if(ISBLANK('2025'!$S291), 0, 1), 6, if(ISBLANK('2025'!$T291), 0, 1), 7, 0))), 1, "")</f>
        <v/>
      </c>
      <c r="BG293" s="1"/>
      <c r="BH293" s="1"/>
      <c r="BI293" s="1"/>
      <c r="BJ293" s="1"/>
      <c r="BK293" s="1"/>
      <c r="BL293" s="1"/>
    </row>
    <row r="294">
      <c r="A294" s="1">
        <f t="shared" si="3"/>
        <v>294</v>
      </c>
      <c r="B294" s="1" t="str">
        <f>'2025'!D258</f>
        <v>, </v>
      </c>
      <c r="C294" s="1" t="str">
        <f>'2025'!H258</f>
        <v/>
      </c>
      <c r="D294" s="1" t="str">
        <f>IF(AND(AND(AND(D$4&gt;='2025'!$L292,D$4&lt;='2025'!$M292), D$4&lt;&gt;DATE(2025,7,4)), (SWITCH(weekday(D$4), 1, 0, 2, if(ISBLANK('2025'!$P292), 0, 1), 3, if(ISBLANK('2025'!$Q292), 0, 1), 4, if(ISBLANK('2025'!$R292), 0, 1), 5, if(ISBLANK('2025'!$S292), 0, 1), 6, if(ISBLANK('2025'!$T292), 0, 1), 7, 0))), 1, "")</f>
        <v/>
      </c>
      <c r="E294" s="1" t="str">
        <f>IF(AND(AND(AND(E$4&gt;='2025'!$L292,E$4&lt;='2025'!$M292), E$4&lt;&gt;DATE(2025,7,4)), (SWITCH(weekday(E$4), 1, 0, 2, if(ISBLANK('2025'!$P292), 0, 1), 3, if(ISBLANK('2025'!$Q292), 0, 1), 4, if(ISBLANK('2025'!$R292), 0, 1), 5, if(ISBLANK('2025'!$S292), 0, 1), 6, if(ISBLANK('2025'!$T292), 0, 1), 7, 0))), 1, "")</f>
        <v/>
      </c>
      <c r="F294" s="1" t="str">
        <f>IF(AND(AND(AND(F$4&gt;='2025'!$L292,F$4&lt;='2025'!$M292), F$4&lt;&gt;DATE(2025,7,4)), (SWITCH(weekday(F$4), 1, 0, 2, if(ISBLANK('2025'!$P292), 0, 1), 3, if(ISBLANK('2025'!$Q292), 0, 1), 4, if(ISBLANK('2025'!$R292), 0, 1), 5, if(ISBLANK('2025'!$S292), 0, 1), 6, if(ISBLANK('2025'!$T292), 0, 1), 7, 0))), 1, "")</f>
        <v/>
      </c>
      <c r="G294" s="1" t="str">
        <f>IF(AND(AND(AND(G$4&gt;='2025'!$L292,G$4&lt;='2025'!$M292), G$4&lt;&gt;DATE(2025,7,4)), (SWITCH(weekday(G$4), 1, 0, 2, if(ISBLANK('2025'!$P292), 0, 1), 3, if(ISBLANK('2025'!$Q292), 0, 1), 4, if(ISBLANK('2025'!$R292), 0, 1), 5, if(ISBLANK('2025'!$S292), 0, 1), 6, if(ISBLANK('2025'!$T292), 0, 1), 7, 0))), 1, "")</f>
        <v/>
      </c>
      <c r="H294" s="1" t="str">
        <f>IF(AND(AND(AND(H$4&gt;='2025'!$L292,H$4&lt;='2025'!$M292), H$4&lt;&gt;DATE(2025,7,4)), (SWITCH(weekday(H$4), 1, 0, 2, if(ISBLANK('2025'!$P292), 0, 1), 3, if(ISBLANK('2025'!$Q292), 0, 1), 4, if(ISBLANK('2025'!$R292), 0, 1), 5, if(ISBLANK('2025'!$S292), 0, 1), 6, if(ISBLANK('2025'!$T292), 0, 1), 7, 0))), 1, "")</f>
        <v/>
      </c>
      <c r="I294" s="1" t="str">
        <f>IF(AND(AND(AND(I$4&gt;='2025'!$L292,I$4&lt;='2025'!$M292), I$4&lt;&gt;DATE(2025,7,4)), (SWITCH(weekday(I$4), 1, 0, 2, if(ISBLANK('2025'!$P292), 0, 1), 3, if(ISBLANK('2025'!$Q292), 0, 1), 4, if(ISBLANK('2025'!$R292), 0, 1), 5, if(ISBLANK('2025'!$S292), 0, 1), 6, if(ISBLANK('2025'!$T292), 0, 1), 7, 0))), 1, "")</f>
        <v/>
      </c>
      <c r="J294" s="1" t="str">
        <f>IF(AND(AND(AND(J$4&gt;='2025'!$L292,J$4&lt;='2025'!$M292), J$4&lt;&gt;DATE(2025,7,4)), (SWITCH(weekday(J$4), 1, 0, 2, if(ISBLANK('2025'!$P292), 0, 1), 3, if(ISBLANK('2025'!$Q292), 0, 1), 4, if(ISBLANK('2025'!$R292), 0, 1), 5, if(ISBLANK('2025'!$S292), 0, 1), 6, if(ISBLANK('2025'!$T292), 0, 1), 7, 0))), 1, "")</f>
        <v/>
      </c>
      <c r="K294" s="1" t="str">
        <f>IF(AND(AND(AND(K$4&gt;='2025'!$L292,K$4&lt;='2025'!$M292), K$4&lt;&gt;DATE(2025,7,4)), (SWITCH(weekday(K$4), 1, 0, 2, if(ISBLANK('2025'!$P292), 0, 1), 3, if(ISBLANK('2025'!$Q292), 0, 1), 4, if(ISBLANK('2025'!$R292), 0, 1), 5, if(ISBLANK('2025'!$S292), 0, 1), 6, if(ISBLANK('2025'!$T292), 0, 1), 7, 0))), 1, "")</f>
        <v/>
      </c>
      <c r="L294" s="1" t="str">
        <f>IF(AND(AND(AND(L$4&gt;='2025'!$L292,L$4&lt;='2025'!$M292), L$4&lt;&gt;DATE(2025,7,4)), (SWITCH(weekday(L$4), 1, 0, 2, if(ISBLANK('2025'!$P292), 0, 1), 3, if(ISBLANK('2025'!$Q292), 0, 1), 4, if(ISBLANK('2025'!$R292), 0, 1), 5, if(ISBLANK('2025'!$S292), 0, 1), 6, if(ISBLANK('2025'!$T292), 0, 1), 7, 0))), 1, "")</f>
        <v/>
      </c>
      <c r="M294" s="1" t="str">
        <f>IF(AND(AND(AND(M$4&gt;='2025'!$L292,M$4&lt;='2025'!$M292), M$4&lt;&gt;DATE(2025,7,4)), (SWITCH(weekday(M$4), 1, 0, 2, if(ISBLANK('2025'!$P292), 0, 1), 3, if(ISBLANK('2025'!$Q292), 0, 1), 4, if(ISBLANK('2025'!$R292), 0, 1), 5, if(ISBLANK('2025'!$S292), 0, 1), 6, if(ISBLANK('2025'!$T292), 0, 1), 7, 0))), 1, "")</f>
        <v/>
      </c>
      <c r="N294" s="1" t="str">
        <f>IF(AND(AND(AND(N$4&gt;='2025'!$L292,N$4&lt;='2025'!$M292), N$4&lt;&gt;DATE(2025,7,4)), (SWITCH(weekday(N$4), 1, 0, 2, if(ISBLANK('2025'!$P292), 0, 1), 3, if(ISBLANK('2025'!$Q292), 0, 1), 4, if(ISBLANK('2025'!$R292), 0, 1), 5, if(ISBLANK('2025'!$S292), 0, 1), 6, if(ISBLANK('2025'!$T292), 0, 1), 7, 0))), 1, "")</f>
        <v/>
      </c>
      <c r="O294" s="1" t="str">
        <f>IF(AND(AND(AND(O$4&gt;='2025'!$L292,O$4&lt;='2025'!$M292), O$4&lt;&gt;DATE(2025,7,4)), (SWITCH(weekday(O$4), 1, 0, 2, if(ISBLANK('2025'!$P292), 0, 1), 3, if(ISBLANK('2025'!$Q292), 0, 1), 4, if(ISBLANK('2025'!$R292), 0, 1), 5, if(ISBLANK('2025'!$S292), 0, 1), 6, if(ISBLANK('2025'!$T292), 0, 1), 7, 0))), 1, "")</f>
        <v/>
      </c>
      <c r="P294" s="1" t="str">
        <f>IF(AND(AND(AND(P$4&gt;='2025'!$L292,P$4&lt;='2025'!$M292), P$4&lt;&gt;DATE(2025,7,4)), (SWITCH(weekday(P$4), 1, 0, 2, if(ISBLANK('2025'!$P292), 0, 1), 3, if(ISBLANK('2025'!$Q292), 0, 1), 4, if(ISBLANK('2025'!$R292), 0, 1), 5, if(ISBLANK('2025'!$S292), 0, 1), 6, if(ISBLANK('2025'!$T292), 0, 1), 7, 0))), 1, "")</f>
        <v/>
      </c>
      <c r="Q294" s="1" t="str">
        <f>IF(AND(AND(AND(Q$4&gt;='2025'!$L292,Q$4&lt;='2025'!$M292), Q$4&lt;&gt;DATE(2025,7,4)), (SWITCH(weekday(Q$4), 1, 0, 2, if(ISBLANK('2025'!$P292), 0, 1), 3, if(ISBLANK('2025'!$Q292), 0, 1), 4, if(ISBLANK('2025'!$R292), 0, 1), 5, if(ISBLANK('2025'!$S292), 0, 1), 6, if(ISBLANK('2025'!$T292), 0, 1), 7, 0))), 1, "")</f>
        <v/>
      </c>
      <c r="R294" s="1" t="str">
        <f>IF(AND(AND(AND(R$4&gt;='2025'!$L292,R$4&lt;='2025'!$M292), R$4&lt;&gt;DATE(2025,7,4)), (SWITCH(weekday(R$4), 1, 0, 2, if(ISBLANK('2025'!$P292), 0, 1), 3, if(ISBLANK('2025'!$Q292), 0, 1), 4, if(ISBLANK('2025'!$R292), 0, 1), 5, if(ISBLANK('2025'!$S292), 0, 1), 6, if(ISBLANK('2025'!$T292), 0, 1), 7, 0))), 1, "")</f>
        <v/>
      </c>
      <c r="S294" s="1" t="str">
        <f>IF(AND(AND(AND(S$4&gt;='2025'!$L292,S$4&lt;='2025'!$M292), S$4&lt;&gt;DATE(2025,7,4)), (SWITCH(weekday(S$4), 1, 0, 2, if(ISBLANK('2025'!$P292), 0, 1), 3, if(ISBLANK('2025'!$Q292), 0, 1), 4, if(ISBLANK('2025'!$R292), 0, 1), 5, if(ISBLANK('2025'!$S292), 0, 1), 6, if(ISBLANK('2025'!$T292), 0, 1), 7, 0))), 1, "")</f>
        <v/>
      </c>
      <c r="T294" s="1" t="str">
        <f>IF(AND(AND(AND(T$4&gt;='2025'!$L292,T$4&lt;='2025'!$M292), T$4&lt;&gt;DATE(2025,7,4)), (SWITCH(weekday(T$4), 1, 0, 2, if(ISBLANK('2025'!$P292), 0, 1), 3, if(ISBLANK('2025'!$Q292), 0, 1), 4, if(ISBLANK('2025'!$R292), 0, 1), 5, if(ISBLANK('2025'!$S292), 0, 1), 6, if(ISBLANK('2025'!$T292), 0, 1), 7, 0))), 1, "")</f>
        <v/>
      </c>
      <c r="U294" s="1" t="str">
        <f>IF(AND(AND(AND(U$4&gt;='2025'!$L292,U$4&lt;='2025'!$M292), U$4&lt;&gt;DATE(2025,7,4)), (SWITCH(weekday(U$4), 1, 0, 2, if(ISBLANK('2025'!$P292), 0, 1), 3, if(ISBLANK('2025'!$Q292), 0, 1), 4, if(ISBLANK('2025'!$R292), 0, 1), 5, if(ISBLANK('2025'!$S292), 0, 1), 6, if(ISBLANK('2025'!$T292), 0, 1), 7, 0))), 1, "")</f>
        <v/>
      </c>
      <c r="V294" s="1" t="str">
        <f>IF(AND(AND(AND(V$4&gt;='2025'!$L292,V$4&lt;='2025'!$M292), V$4&lt;&gt;DATE(2025,7,4)), (SWITCH(weekday(V$4), 1, 0, 2, if(ISBLANK('2025'!$P292), 0, 1), 3, if(ISBLANK('2025'!$Q292), 0, 1), 4, if(ISBLANK('2025'!$R292), 0, 1), 5, if(ISBLANK('2025'!$S292), 0, 1), 6, if(ISBLANK('2025'!$T292), 0, 1), 7, 0))), 1, "")</f>
        <v/>
      </c>
      <c r="W294" s="1" t="str">
        <f>IF(AND(AND(AND(W$4&gt;='2025'!$L292,W$4&lt;='2025'!$M292), W$4&lt;&gt;DATE(2025,7,4)), (SWITCH(weekday(W$4), 1, 0, 2, if(ISBLANK('2025'!$P292), 0, 1), 3, if(ISBLANK('2025'!$Q292), 0, 1), 4, if(ISBLANK('2025'!$R292), 0, 1), 5, if(ISBLANK('2025'!$S292), 0, 1), 6, if(ISBLANK('2025'!$T292), 0, 1), 7, 0))), 1, "")</f>
        <v/>
      </c>
      <c r="X294" s="1" t="str">
        <f>IF(AND(AND(AND(X$4&gt;='2025'!$L292,X$4&lt;='2025'!$M292), X$4&lt;&gt;DATE(2025,7,4)), (SWITCH(weekday(X$4), 1, 0, 2, if(ISBLANK('2025'!$P292), 0, 1), 3, if(ISBLANK('2025'!$Q292), 0, 1), 4, if(ISBLANK('2025'!$R292), 0, 1), 5, if(ISBLANK('2025'!$S292), 0, 1), 6, if(ISBLANK('2025'!$T292), 0, 1), 7, 0))), 1, "")</f>
        <v/>
      </c>
      <c r="Y294" s="1" t="str">
        <f>IF(AND(AND(AND(Y$4&gt;='2025'!$L292,Y$4&lt;='2025'!$M292), Y$4&lt;&gt;DATE(2025,7,4)), (SWITCH(weekday(Y$4), 1, 0, 2, if(ISBLANK('2025'!$P292), 0, 1), 3, if(ISBLANK('2025'!$Q292), 0, 1), 4, if(ISBLANK('2025'!$R292), 0, 1), 5, if(ISBLANK('2025'!$S292), 0, 1), 6, if(ISBLANK('2025'!$T292), 0, 1), 7, 0))), 1, "")</f>
        <v/>
      </c>
      <c r="Z294" s="1" t="str">
        <f>IF(AND(AND(AND(Z$4&gt;='2025'!$L292,Z$4&lt;='2025'!$M292), Z$4&lt;&gt;DATE(2025,7,4)), (SWITCH(weekday(Z$4), 1, 0, 2, if(ISBLANK('2025'!$P292), 0, 1), 3, if(ISBLANK('2025'!$Q292), 0, 1), 4, if(ISBLANK('2025'!$R292), 0, 1), 5, if(ISBLANK('2025'!$S292), 0, 1), 6, if(ISBLANK('2025'!$T292), 0, 1), 7, 0))), 1, "")</f>
        <v/>
      </c>
      <c r="AA294" s="1" t="str">
        <f>IF(AND(AND(AND(AA$4&gt;='2025'!$L292,AA$4&lt;='2025'!$M292), AA$4&lt;&gt;DATE(2025,7,4)), (SWITCH(weekday(AA$4), 1, 0, 2, if(ISBLANK('2025'!$P292), 0, 1), 3, if(ISBLANK('2025'!$Q292), 0, 1), 4, if(ISBLANK('2025'!$R292), 0, 1), 5, if(ISBLANK('2025'!$S292), 0, 1), 6, if(ISBLANK('2025'!$T292), 0, 1), 7, 0))), 1, "")</f>
        <v/>
      </c>
      <c r="AB294" s="1" t="str">
        <f>IF(AND(AND(AND(AB$4&gt;='2025'!$L292,AB$4&lt;='2025'!$M292), AB$4&lt;&gt;DATE(2025,7,4)), (SWITCH(weekday(AB$4), 1, 0, 2, if(ISBLANK('2025'!$P292), 0, 1), 3, if(ISBLANK('2025'!$Q292), 0, 1), 4, if(ISBLANK('2025'!$R292), 0, 1), 5, if(ISBLANK('2025'!$S292), 0, 1), 6, if(ISBLANK('2025'!$T292), 0, 1), 7, 0))), 1, "")</f>
        <v/>
      </c>
      <c r="AC294" s="1" t="str">
        <f>IF(AND(AND(AND(AC$4&gt;='2025'!$L292,AC$4&lt;='2025'!$M292), AC$4&lt;&gt;DATE(2025,7,4)), (SWITCH(weekday(AC$4), 1, 0, 2, if(ISBLANK('2025'!$P292), 0, 1), 3, if(ISBLANK('2025'!$Q292), 0, 1), 4, if(ISBLANK('2025'!$R292), 0, 1), 5, if(ISBLANK('2025'!$S292), 0, 1), 6, if(ISBLANK('2025'!$T292), 0, 1), 7, 0))), 1, "")</f>
        <v/>
      </c>
      <c r="AD294" s="1" t="str">
        <f>IF(AND(AND(AND(AD$4&gt;='2025'!$L292,AD$4&lt;='2025'!$M292), AD$4&lt;&gt;DATE(2025,7,4)), (SWITCH(weekday(AD$4), 1, 0, 2, if(ISBLANK('2025'!$P292), 0, 1), 3, if(ISBLANK('2025'!$Q292), 0, 1), 4, if(ISBLANK('2025'!$R292), 0, 1), 5, if(ISBLANK('2025'!$S292), 0, 1), 6, if(ISBLANK('2025'!$T292), 0, 1), 7, 0))), 1, "")</f>
        <v/>
      </c>
      <c r="AE294" s="1" t="str">
        <f>IF(AND(AND(AND(AE$4&gt;='2025'!$L292,AE$4&lt;='2025'!$M292), AE$4&lt;&gt;DATE(2025,7,4)), (SWITCH(weekday(AE$4), 1, 0, 2, if(ISBLANK('2025'!$P292), 0, 1), 3, if(ISBLANK('2025'!$Q292), 0, 1), 4, if(ISBLANK('2025'!$R292), 0, 1), 5, if(ISBLANK('2025'!$S292), 0, 1), 6, if(ISBLANK('2025'!$T292), 0, 1), 7, 0))), 1, "")</f>
        <v/>
      </c>
      <c r="AF294" s="1" t="str">
        <f>IF(AND(AND(AND(AF$4&gt;='2025'!$L292,AF$4&lt;='2025'!$M292), AF$4&lt;&gt;DATE(2025,7,4)), (SWITCH(weekday(AF$4), 1, 0, 2, if(ISBLANK('2025'!$P292), 0, 1), 3, if(ISBLANK('2025'!$Q292), 0, 1), 4, if(ISBLANK('2025'!$R292), 0, 1), 5, if(ISBLANK('2025'!$S292), 0, 1), 6, if(ISBLANK('2025'!$T292), 0, 1), 7, 0))), 1, "")</f>
        <v/>
      </c>
      <c r="AG294" s="1" t="str">
        <f>IF(AND(AND(AND(AG$4&gt;='2025'!$L292,AG$4&lt;='2025'!$M292), AG$4&lt;&gt;DATE(2025,7,4)), (SWITCH(weekday(AG$4), 1, 0, 2, if(ISBLANK('2025'!$P292), 0, 1), 3, if(ISBLANK('2025'!$Q292), 0, 1), 4, if(ISBLANK('2025'!$R292), 0, 1), 5, if(ISBLANK('2025'!$S292), 0, 1), 6, if(ISBLANK('2025'!$T292), 0, 1), 7, 0))), 1, "")</f>
        <v/>
      </c>
      <c r="AH294" s="1" t="str">
        <f>IF(AND(AND(AND(AH$4&gt;='2025'!$L292,AH$4&lt;='2025'!$M292), AH$4&lt;&gt;DATE(2025,7,4)), (SWITCH(weekday(AH$4), 1, 0, 2, if(ISBLANK('2025'!$P292), 0, 1), 3, if(ISBLANK('2025'!$Q292), 0, 1), 4, if(ISBLANK('2025'!$R292), 0, 1), 5, if(ISBLANK('2025'!$S292), 0, 1), 6, if(ISBLANK('2025'!$T292), 0, 1), 7, 0))), 1, "")</f>
        <v/>
      </c>
      <c r="AI294" s="1" t="str">
        <f>IF(AND(AND(AND(AI$4&gt;='2025'!$L292,AI$4&lt;='2025'!$M292), AI$4&lt;&gt;DATE(2025,7,4)), (SWITCH(weekday(AI$4), 1, 0, 2, if(ISBLANK('2025'!$P292), 0, 1), 3, if(ISBLANK('2025'!$Q292), 0, 1), 4, if(ISBLANK('2025'!$R292), 0, 1), 5, if(ISBLANK('2025'!$S292), 0, 1), 6, if(ISBLANK('2025'!$T292), 0, 1), 7, 0))), 1, "")</f>
        <v/>
      </c>
      <c r="AJ294" s="1" t="str">
        <f>IF(AND(AND(AND(AJ$4&gt;='2025'!$L292,AJ$4&lt;='2025'!$M292), AJ$4&lt;&gt;DATE(2025,7,4)), (SWITCH(weekday(AJ$4), 1, 0, 2, if(ISBLANK('2025'!$P292), 0, 1), 3, if(ISBLANK('2025'!$Q292), 0, 1), 4, if(ISBLANK('2025'!$R292), 0, 1), 5, if(ISBLANK('2025'!$S292), 0, 1), 6, if(ISBLANK('2025'!$T292), 0, 1), 7, 0))), 1, "")</f>
        <v/>
      </c>
      <c r="AK294" s="1" t="str">
        <f>IF(AND(AND(AND(AK$4&gt;='2025'!$L292,AK$4&lt;='2025'!$M292), AK$4&lt;&gt;DATE(2025,7,4)), (SWITCH(weekday(AK$4), 1, 0, 2, if(ISBLANK('2025'!$P292), 0, 1), 3, if(ISBLANK('2025'!$Q292), 0, 1), 4, if(ISBLANK('2025'!$R292), 0, 1), 5, if(ISBLANK('2025'!$S292), 0, 1), 6, if(ISBLANK('2025'!$T292), 0, 1), 7, 0))), 1, "")</f>
        <v/>
      </c>
      <c r="AL294" s="1" t="str">
        <f>IF(AND(AND(AND(AL$4&gt;='2025'!$L292,AL$4&lt;='2025'!$M292), AL$4&lt;&gt;DATE(2025,7,4)), (SWITCH(weekday(AL$4), 1, 0, 2, if(ISBLANK('2025'!$P292), 0, 1), 3, if(ISBLANK('2025'!$Q292), 0, 1), 4, if(ISBLANK('2025'!$R292), 0, 1), 5, if(ISBLANK('2025'!$S292), 0, 1), 6, if(ISBLANK('2025'!$T292), 0, 1), 7, 0))), 1, "")</f>
        <v/>
      </c>
      <c r="AM294" s="1" t="str">
        <f>IF(AND(AND(AND(AM$4&gt;='2025'!$L292,AM$4&lt;='2025'!$M292), AM$4&lt;&gt;DATE(2025,7,4)), (SWITCH(weekday(AM$4), 1, 0, 2, if(ISBLANK('2025'!$P292), 0, 1), 3, if(ISBLANK('2025'!$Q292), 0, 1), 4, if(ISBLANK('2025'!$R292), 0, 1), 5, if(ISBLANK('2025'!$S292), 0, 1), 6, if(ISBLANK('2025'!$T292), 0, 1), 7, 0))), 1, "")</f>
        <v/>
      </c>
      <c r="AN294" s="1" t="str">
        <f>IF(AND(AND(AND(AN$4&gt;='2025'!$L292,AN$4&lt;='2025'!$M292), AN$4&lt;&gt;DATE(2025,7,4)), (SWITCH(weekday(AN$4), 1, 0, 2, if(ISBLANK('2025'!$P292), 0, 1), 3, if(ISBLANK('2025'!$Q292), 0, 1), 4, if(ISBLANK('2025'!$R292), 0, 1), 5, if(ISBLANK('2025'!$S292), 0, 1), 6, if(ISBLANK('2025'!$T292), 0, 1), 7, 0))), 1, "")</f>
        <v/>
      </c>
      <c r="AO294" s="1" t="str">
        <f>IF(AND(AND(AND(AO$4&gt;='2025'!$L292,AO$4&lt;='2025'!$M292), AO$4&lt;&gt;DATE(2025,7,4)), (SWITCH(weekday(AO$4), 1, 0, 2, if(ISBLANK('2025'!$P292), 0, 1), 3, if(ISBLANK('2025'!$Q292), 0, 1), 4, if(ISBLANK('2025'!$R292), 0, 1), 5, if(ISBLANK('2025'!$S292), 0, 1), 6, if(ISBLANK('2025'!$T292), 0, 1), 7, 0))), 1, "")</f>
        <v/>
      </c>
      <c r="AP294" s="1" t="str">
        <f>IF(AND(AND(AND(AP$4&gt;='2025'!$L292,AP$4&lt;='2025'!$M292), AP$4&lt;&gt;DATE(2025,7,4)), (SWITCH(weekday(AP$4), 1, 0, 2, if(ISBLANK('2025'!$P292), 0, 1), 3, if(ISBLANK('2025'!$Q292), 0, 1), 4, if(ISBLANK('2025'!$R292), 0, 1), 5, if(ISBLANK('2025'!$S292), 0, 1), 6, if(ISBLANK('2025'!$T292), 0, 1), 7, 0))), 1, "")</f>
        <v/>
      </c>
      <c r="AQ294" s="1" t="str">
        <f>IF(AND(AND(AND(AQ$4&gt;='2025'!$L292,AQ$4&lt;='2025'!$M292), AQ$4&lt;&gt;DATE(2025,7,4)), (SWITCH(weekday(AQ$4), 1, 0, 2, if(ISBLANK('2025'!$P292), 0, 1), 3, if(ISBLANK('2025'!$Q292), 0, 1), 4, if(ISBLANK('2025'!$R292), 0, 1), 5, if(ISBLANK('2025'!$S292), 0, 1), 6, if(ISBLANK('2025'!$T292), 0, 1), 7, 0))), 1, "")</f>
        <v/>
      </c>
      <c r="AR294" s="1" t="str">
        <f>IF(AND(AND(AND(AR$4&gt;='2025'!$L292,AR$4&lt;='2025'!$M292), AR$4&lt;&gt;DATE(2025,7,4)), (SWITCH(weekday(AR$4), 1, 0, 2, if(ISBLANK('2025'!$P292), 0, 1), 3, if(ISBLANK('2025'!$Q292), 0, 1), 4, if(ISBLANK('2025'!$R292), 0, 1), 5, if(ISBLANK('2025'!$S292), 0, 1), 6, if(ISBLANK('2025'!$T292), 0, 1), 7, 0))), 1, "")</f>
        <v/>
      </c>
      <c r="AS294" s="1" t="str">
        <f>IF(AND(AND(AND(AS$4&gt;='2025'!$L292,AS$4&lt;='2025'!$M292), AS$4&lt;&gt;DATE(2025,7,4)), (SWITCH(weekday(AS$4), 1, 0, 2, if(ISBLANK('2025'!$P292), 0, 1), 3, if(ISBLANK('2025'!$Q292), 0, 1), 4, if(ISBLANK('2025'!$R292), 0, 1), 5, if(ISBLANK('2025'!$S292), 0, 1), 6, if(ISBLANK('2025'!$T292), 0, 1), 7, 0))), 1, "")</f>
        <v/>
      </c>
      <c r="AT294" s="1" t="str">
        <f>IF(AND(AND(AND(AT$4&gt;='2025'!$L292,AT$4&lt;='2025'!$M292), AT$4&lt;&gt;DATE(2025,7,4)), (SWITCH(weekday(AT$4), 1, 0, 2, if(ISBLANK('2025'!$P292), 0, 1), 3, if(ISBLANK('2025'!$Q292), 0, 1), 4, if(ISBLANK('2025'!$R292), 0, 1), 5, if(ISBLANK('2025'!$S292), 0, 1), 6, if(ISBLANK('2025'!$T292), 0, 1), 7, 0))), 1, "")</f>
        <v/>
      </c>
      <c r="AU294" s="1" t="str">
        <f>IF(AND(AND(AND(AU$4&gt;='2025'!$L292,AU$4&lt;='2025'!$M292), AU$4&lt;&gt;DATE(2025,7,4)), (SWITCH(weekday(AU$4), 1, 0, 2, if(ISBLANK('2025'!$P292), 0, 1), 3, if(ISBLANK('2025'!$Q292), 0, 1), 4, if(ISBLANK('2025'!$R292), 0, 1), 5, if(ISBLANK('2025'!$S292), 0, 1), 6, if(ISBLANK('2025'!$T292), 0, 1), 7, 0))), 1, "")</f>
        <v/>
      </c>
      <c r="AV294" s="1" t="str">
        <f>IF(AND(AND(AND(AV$4&gt;='2025'!$L292,AV$4&lt;='2025'!$M292), AV$4&lt;&gt;DATE(2025,7,4)), (SWITCH(weekday(AV$4), 1, 0, 2, if(ISBLANK('2025'!$P292), 0, 1), 3, if(ISBLANK('2025'!$Q292), 0, 1), 4, if(ISBLANK('2025'!$R292), 0, 1), 5, if(ISBLANK('2025'!$S292), 0, 1), 6, if(ISBLANK('2025'!$T292), 0, 1), 7, 0))), 1, "")</f>
        <v/>
      </c>
      <c r="AW294" s="1" t="str">
        <f>IF(AND(AND(AND(AW$4&gt;='2025'!$L292,AW$4&lt;='2025'!$M292), AW$4&lt;&gt;DATE(2025,7,4)), (SWITCH(weekday(AW$4), 1, 0, 2, if(ISBLANK('2025'!$P292), 0, 1), 3, if(ISBLANK('2025'!$Q292), 0, 1), 4, if(ISBLANK('2025'!$R292), 0, 1), 5, if(ISBLANK('2025'!$S292), 0, 1), 6, if(ISBLANK('2025'!$T292), 0, 1), 7, 0))), 1, "")</f>
        <v/>
      </c>
      <c r="AX294" s="1" t="str">
        <f>IF(AND(AND(AND(AX$4&gt;='2025'!$L292,AX$4&lt;='2025'!$M292), AX$4&lt;&gt;DATE(2025,7,4)), (SWITCH(weekday(AX$4), 1, 0, 2, if(ISBLANK('2025'!$P292), 0, 1), 3, if(ISBLANK('2025'!$Q292), 0, 1), 4, if(ISBLANK('2025'!$R292), 0, 1), 5, if(ISBLANK('2025'!$S292), 0, 1), 6, if(ISBLANK('2025'!$T292), 0, 1), 7, 0))), 1, "")</f>
        <v/>
      </c>
      <c r="AY294" s="1" t="str">
        <f>IF(AND(AND(AND(AY$4&gt;='2025'!$L292,AY$4&lt;='2025'!$M292), AY$4&lt;&gt;DATE(2025,7,4)), (SWITCH(weekday(AY$4), 1, 0, 2, if(ISBLANK('2025'!$P292), 0, 1), 3, if(ISBLANK('2025'!$Q292), 0, 1), 4, if(ISBLANK('2025'!$R292), 0, 1), 5, if(ISBLANK('2025'!$S292), 0, 1), 6, if(ISBLANK('2025'!$T292), 0, 1), 7, 0))), 1, "")</f>
        <v/>
      </c>
      <c r="AZ294" s="1" t="str">
        <f>IF(AND(AND(AND(AZ$4&gt;='2025'!$L292,AZ$4&lt;='2025'!$M292), AZ$4&lt;&gt;DATE(2025,7,4)), (SWITCH(weekday(AZ$4), 1, 0, 2, if(ISBLANK('2025'!$P292), 0, 1), 3, if(ISBLANK('2025'!$Q292), 0, 1), 4, if(ISBLANK('2025'!$R292), 0, 1), 5, if(ISBLANK('2025'!$S292), 0, 1), 6, if(ISBLANK('2025'!$T292), 0, 1), 7, 0))), 1, "")</f>
        <v/>
      </c>
      <c r="BA294" s="1" t="str">
        <f>IF(AND(AND(AND(BA$4&gt;='2025'!$L292,BA$4&lt;='2025'!$M292), BA$4&lt;&gt;DATE(2025,7,4)), (SWITCH(weekday(BA$4), 1, 0, 2, if(ISBLANK('2025'!$P292), 0, 1), 3, if(ISBLANK('2025'!$Q292), 0, 1), 4, if(ISBLANK('2025'!$R292), 0, 1), 5, if(ISBLANK('2025'!$S292), 0, 1), 6, if(ISBLANK('2025'!$T292), 0, 1), 7, 0))), 1, "")</f>
        <v/>
      </c>
      <c r="BB294" s="1" t="str">
        <f>IF(AND(AND(AND(BB$4&gt;='2025'!$L292,BB$4&lt;='2025'!$M292), BB$4&lt;&gt;DATE(2025,7,4)), (SWITCH(weekday(BB$4), 1, 0, 2, if(ISBLANK('2025'!$P292), 0, 1), 3, if(ISBLANK('2025'!$Q292), 0, 1), 4, if(ISBLANK('2025'!$R292), 0, 1), 5, if(ISBLANK('2025'!$S292), 0, 1), 6, if(ISBLANK('2025'!$T292), 0, 1), 7, 0))), 1, "")</f>
        <v/>
      </c>
      <c r="BC294" s="1" t="str">
        <f>IF(AND(AND(AND(BC$4&gt;='2025'!$L292,BC$4&lt;='2025'!$M292), BC$4&lt;&gt;DATE(2025,7,4)), (SWITCH(weekday(BC$4), 1, 0, 2, if(ISBLANK('2025'!$P292), 0, 1), 3, if(ISBLANK('2025'!$Q292), 0, 1), 4, if(ISBLANK('2025'!$R292), 0, 1), 5, if(ISBLANK('2025'!$S292), 0, 1), 6, if(ISBLANK('2025'!$T292), 0, 1), 7, 0))), 1, "")</f>
        <v/>
      </c>
      <c r="BD294" s="1" t="str">
        <f>IF(AND(AND(AND(BD$4&gt;='2025'!$L292,BD$4&lt;='2025'!$M292), BD$4&lt;&gt;DATE(2025,7,4)), (SWITCH(weekday(BD$4), 1, 0, 2, if(ISBLANK('2025'!$P292), 0, 1), 3, if(ISBLANK('2025'!$Q292), 0, 1), 4, if(ISBLANK('2025'!$R292), 0, 1), 5, if(ISBLANK('2025'!$S292), 0, 1), 6, if(ISBLANK('2025'!$T292), 0, 1), 7, 0))), 1, "")</f>
        <v/>
      </c>
      <c r="BE294" s="1" t="str">
        <f>IF(AND(AND(AND(BE$4&gt;='2025'!$L292,BE$4&lt;='2025'!$M292), BE$4&lt;&gt;DATE(2025,7,4)), (SWITCH(weekday(BE$4), 1, 0, 2, if(ISBLANK('2025'!$P292), 0, 1), 3, if(ISBLANK('2025'!$Q292), 0, 1), 4, if(ISBLANK('2025'!$R292), 0, 1), 5, if(ISBLANK('2025'!$S292), 0, 1), 6, if(ISBLANK('2025'!$T292), 0, 1), 7, 0))), 1, "")</f>
        <v/>
      </c>
      <c r="BF294" s="1" t="str">
        <f>IF(AND(AND(AND(BF$4&gt;='2025'!$L292,BF$4&lt;='2025'!$M292), BF$4&lt;&gt;DATE(2025,7,4)), (SWITCH(weekday(BF$4), 1, 0, 2, if(ISBLANK('2025'!$P292), 0, 1), 3, if(ISBLANK('2025'!$Q292), 0, 1), 4, if(ISBLANK('2025'!$R292), 0, 1), 5, if(ISBLANK('2025'!$S292), 0, 1), 6, if(ISBLANK('2025'!$T292), 0, 1), 7, 0))), 1, "")</f>
        <v/>
      </c>
      <c r="BG294" s="1"/>
      <c r="BH294" s="1"/>
      <c r="BI294" s="1"/>
      <c r="BJ294" s="1"/>
      <c r="BK294" s="1"/>
      <c r="BL294" s="1"/>
    </row>
    <row r="295">
      <c r="A295" s="1">
        <f t="shared" si="3"/>
        <v>295</v>
      </c>
      <c r="B295" s="1" t="str">
        <f>'2025'!D259</f>
        <v>, </v>
      </c>
      <c r="C295" s="1" t="str">
        <f>'2025'!H259</f>
        <v/>
      </c>
      <c r="D295" s="1" t="str">
        <f>IF(AND(AND(AND(D$4&gt;='2025'!$L293,D$4&lt;='2025'!$M293), D$4&lt;&gt;DATE(2025,7,4)), (SWITCH(weekday(D$4), 1, 0, 2, if(ISBLANK('2025'!$P293), 0, 1), 3, if(ISBLANK('2025'!$Q293), 0, 1), 4, if(ISBLANK('2025'!$R293), 0, 1), 5, if(ISBLANK('2025'!$S293), 0, 1), 6, if(ISBLANK('2025'!$T293), 0, 1), 7, 0))), 1, "")</f>
        <v/>
      </c>
      <c r="E295" s="1" t="str">
        <f>IF(AND(AND(AND(E$4&gt;='2025'!$L293,E$4&lt;='2025'!$M293), E$4&lt;&gt;DATE(2025,7,4)), (SWITCH(weekday(E$4), 1, 0, 2, if(ISBLANK('2025'!$P293), 0, 1), 3, if(ISBLANK('2025'!$Q293), 0, 1), 4, if(ISBLANK('2025'!$R293), 0, 1), 5, if(ISBLANK('2025'!$S293), 0, 1), 6, if(ISBLANK('2025'!$T293), 0, 1), 7, 0))), 1, "")</f>
        <v/>
      </c>
      <c r="F295" s="1" t="str">
        <f>IF(AND(AND(AND(F$4&gt;='2025'!$L293,F$4&lt;='2025'!$M293), F$4&lt;&gt;DATE(2025,7,4)), (SWITCH(weekday(F$4), 1, 0, 2, if(ISBLANK('2025'!$P293), 0, 1), 3, if(ISBLANK('2025'!$Q293), 0, 1), 4, if(ISBLANK('2025'!$R293), 0, 1), 5, if(ISBLANK('2025'!$S293), 0, 1), 6, if(ISBLANK('2025'!$T293), 0, 1), 7, 0))), 1, "")</f>
        <v/>
      </c>
      <c r="G295" s="1" t="str">
        <f>IF(AND(AND(AND(G$4&gt;='2025'!$L293,G$4&lt;='2025'!$M293), G$4&lt;&gt;DATE(2025,7,4)), (SWITCH(weekday(G$4), 1, 0, 2, if(ISBLANK('2025'!$P293), 0, 1), 3, if(ISBLANK('2025'!$Q293), 0, 1), 4, if(ISBLANK('2025'!$R293), 0, 1), 5, if(ISBLANK('2025'!$S293), 0, 1), 6, if(ISBLANK('2025'!$T293), 0, 1), 7, 0))), 1, "")</f>
        <v/>
      </c>
      <c r="H295" s="1" t="str">
        <f>IF(AND(AND(AND(H$4&gt;='2025'!$L293,H$4&lt;='2025'!$M293), H$4&lt;&gt;DATE(2025,7,4)), (SWITCH(weekday(H$4), 1, 0, 2, if(ISBLANK('2025'!$P293), 0, 1), 3, if(ISBLANK('2025'!$Q293), 0, 1), 4, if(ISBLANK('2025'!$R293), 0, 1), 5, if(ISBLANK('2025'!$S293), 0, 1), 6, if(ISBLANK('2025'!$T293), 0, 1), 7, 0))), 1, "")</f>
        <v/>
      </c>
      <c r="I295" s="1" t="str">
        <f>IF(AND(AND(AND(I$4&gt;='2025'!$L293,I$4&lt;='2025'!$M293), I$4&lt;&gt;DATE(2025,7,4)), (SWITCH(weekday(I$4), 1, 0, 2, if(ISBLANK('2025'!$P293), 0, 1), 3, if(ISBLANK('2025'!$Q293), 0, 1), 4, if(ISBLANK('2025'!$R293), 0, 1), 5, if(ISBLANK('2025'!$S293), 0, 1), 6, if(ISBLANK('2025'!$T293), 0, 1), 7, 0))), 1, "")</f>
        <v/>
      </c>
      <c r="J295" s="1" t="str">
        <f>IF(AND(AND(AND(J$4&gt;='2025'!$L293,J$4&lt;='2025'!$M293), J$4&lt;&gt;DATE(2025,7,4)), (SWITCH(weekday(J$4), 1, 0, 2, if(ISBLANK('2025'!$P293), 0, 1), 3, if(ISBLANK('2025'!$Q293), 0, 1), 4, if(ISBLANK('2025'!$R293), 0, 1), 5, if(ISBLANK('2025'!$S293), 0, 1), 6, if(ISBLANK('2025'!$T293), 0, 1), 7, 0))), 1, "")</f>
        <v/>
      </c>
      <c r="K295" s="1" t="str">
        <f>IF(AND(AND(AND(K$4&gt;='2025'!$L293,K$4&lt;='2025'!$M293), K$4&lt;&gt;DATE(2025,7,4)), (SWITCH(weekday(K$4), 1, 0, 2, if(ISBLANK('2025'!$P293), 0, 1), 3, if(ISBLANK('2025'!$Q293), 0, 1), 4, if(ISBLANK('2025'!$R293), 0, 1), 5, if(ISBLANK('2025'!$S293), 0, 1), 6, if(ISBLANK('2025'!$T293), 0, 1), 7, 0))), 1, "")</f>
        <v/>
      </c>
      <c r="L295" s="1" t="str">
        <f>IF(AND(AND(AND(L$4&gt;='2025'!$L293,L$4&lt;='2025'!$M293), L$4&lt;&gt;DATE(2025,7,4)), (SWITCH(weekday(L$4), 1, 0, 2, if(ISBLANK('2025'!$P293), 0, 1), 3, if(ISBLANK('2025'!$Q293), 0, 1), 4, if(ISBLANK('2025'!$R293), 0, 1), 5, if(ISBLANK('2025'!$S293), 0, 1), 6, if(ISBLANK('2025'!$T293), 0, 1), 7, 0))), 1, "")</f>
        <v/>
      </c>
      <c r="M295" s="1" t="str">
        <f>IF(AND(AND(AND(M$4&gt;='2025'!$L293,M$4&lt;='2025'!$M293), M$4&lt;&gt;DATE(2025,7,4)), (SWITCH(weekday(M$4), 1, 0, 2, if(ISBLANK('2025'!$P293), 0, 1), 3, if(ISBLANK('2025'!$Q293), 0, 1), 4, if(ISBLANK('2025'!$R293), 0, 1), 5, if(ISBLANK('2025'!$S293), 0, 1), 6, if(ISBLANK('2025'!$T293), 0, 1), 7, 0))), 1, "")</f>
        <v/>
      </c>
      <c r="N295" s="1" t="str">
        <f>IF(AND(AND(AND(N$4&gt;='2025'!$L293,N$4&lt;='2025'!$M293), N$4&lt;&gt;DATE(2025,7,4)), (SWITCH(weekday(N$4), 1, 0, 2, if(ISBLANK('2025'!$P293), 0, 1), 3, if(ISBLANK('2025'!$Q293), 0, 1), 4, if(ISBLANK('2025'!$R293), 0, 1), 5, if(ISBLANK('2025'!$S293), 0, 1), 6, if(ISBLANK('2025'!$T293), 0, 1), 7, 0))), 1, "")</f>
        <v/>
      </c>
      <c r="O295" s="1" t="str">
        <f>IF(AND(AND(AND(O$4&gt;='2025'!$L293,O$4&lt;='2025'!$M293), O$4&lt;&gt;DATE(2025,7,4)), (SWITCH(weekday(O$4), 1, 0, 2, if(ISBLANK('2025'!$P293), 0, 1), 3, if(ISBLANK('2025'!$Q293), 0, 1), 4, if(ISBLANK('2025'!$R293), 0, 1), 5, if(ISBLANK('2025'!$S293), 0, 1), 6, if(ISBLANK('2025'!$T293), 0, 1), 7, 0))), 1, "")</f>
        <v/>
      </c>
      <c r="P295" s="1" t="str">
        <f>IF(AND(AND(AND(P$4&gt;='2025'!$L293,P$4&lt;='2025'!$M293), P$4&lt;&gt;DATE(2025,7,4)), (SWITCH(weekday(P$4), 1, 0, 2, if(ISBLANK('2025'!$P293), 0, 1), 3, if(ISBLANK('2025'!$Q293), 0, 1), 4, if(ISBLANK('2025'!$R293), 0, 1), 5, if(ISBLANK('2025'!$S293), 0, 1), 6, if(ISBLANK('2025'!$T293), 0, 1), 7, 0))), 1, "")</f>
        <v/>
      </c>
      <c r="Q295" s="1" t="str">
        <f>IF(AND(AND(AND(Q$4&gt;='2025'!$L293,Q$4&lt;='2025'!$M293), Q$4&lt;&gt;DATE(2025,7,4)), (SWITCH(weekday(Q$4), 1, 0, 2, if(ISBLANK('2025'!$P293), 0, 1), 3, if(ISBLANK('2025'!$Q293), 0, 1), 4, if(ISBLANK('2025'!$R293), 0, 1), 5, if(ISBLANK('2025'!$S293), 0, 1), 6, if(ISBLANK('2025'!$T293), 0, 1), 7, 0))), 1, "")</f>
        <v/>
      </c>
      <c r="R295" s="1" t="str">
        <f>IF(AND(AND(AND(R$4&gt;='2025'!$L293,R$4&lt;='2025'!$M293), R$4&lt;&gt;DATE(2025,7,4)), (SWITCH(weekday(R$4), 1, 0, 2, if(ISBLANK('2025'!$P293), 0, 1), 3, if(ISBLANK('2025'!$Q293), 0, 1), 4, if(ISBLANK('2025'!$R293), 0, 1), 5, if(ISBLANK('2025'!$S293), 0, 1), 6, if(ISBLANK('2025'!$T293), 0, 1), 7, 0))), 1, "")</f>
        <v/>
      </c>
      <c r="S295" s="1" t="str">
        <f>IF(AND(AND(AND(S$4&gt;='2025'!$L293,S$4&lt;='2025'!$M293), S$4&lt;&gt;DATE(2025,7,4)), (SWITCH(weekday(S$4), 1, 0, 2, if(ISBLANK('2025'!$P293), 0, 1), 3, if(ISBLANK('2025'!$Q293), 0, 1), 4, if(ISBLANK('2025'!$R293), 0, 1), 5, if(ISBLANK('2025'!$S293), 0, 1), 6, if(ISBLANK('2025'!$T293), 0, 1), 7, 0))), 1, "")</f>
        <v/>
      </c>
      <c r="T295" s="1" t="str">
        <f>IF(AND(AND(AND(T$4&gt;='2025'!$L293,T$4&lt;='2025'!$M293), T$4&lt;&gt;DATE(2025,7,4)), (SWITCH(weekday(T$4), 1, 0, 2, if(ISBLANK('2025'!$P293), 0, 1), 3, if(ISBLANK('2025'!$Q293), 0, 1), 4, if(ISBLANK('2025'!$R293), 0, 1), 5, if(ISBLANK('2025'!$S293), 0, 1), 6, if(ISBLANK('2025'!$T293), 0, 1), 7, 0))), 1, "")</f>
        <v/>
      </c>
      <c r="U295" s="1" t="str">
        <f>IF(AND(AND(AND(U$4&gt;='2025'!$L293,U$4&lt;='2025'!$M293), U$4&lt;&gt;DATE(2025,7,4)), (SWITCH(weekday(U$4), 1, 0, 2, if(ISBLANK('2025'!$P293), 0, 1), 3, if(ISBLANK('2025'!$Q293), 0, 1), 4, if(ISBLANK('2025'!$R293), 0, 1), 5, if(ISBLANK('2025'!$S293), 0, 1), 6, if(ISBLANK('2025'!$T293), 0, 1), 7, 0))), 1, "")</f>
        <v/>
      </c>
      <c r="V295" s="1" t="str">
        <f>IF(AND(AND(AND(V$4&gt;='2025'!$L293,V$4&lt;='2025'!$M293), V$4&lt;&gt;DATE(2025,7,4)), (SWITCH(weekday(V$4), 1, 0, 2, if(ISBLANK('2025'!$P293), 0, 1), 3, if(ISBLANK('2025'!$Q293), 0, 1), 4, if(ISBLANK('2025'!$R293), 0, 1), 5, if(ISBLANK('2025'!$S293), 0, 1), 6, if(ISBLANK('2025'!$T293), 0, 1), 7, 0))), 1, "")</f>
        <v/>
      </c>
      <c r="W295" s="1" t="str">
        <f>IF(AND(AND(AND(W$4&gt;='2025'!$L293,W$4&lt;='2025'!$M293), W$4&lt;&gt;DATE(2025,7,4)), (SWITCH(weekday(W$4), 1, 0, 2, if(ISBLANK('2025'!$P293), 0, 1), 3, if(ISBLANK('2025'!$Q293), 0, 1), 4, if(ISBLANK('2025'!$R293), 0, 1), 5, if(ISBLANK('2025'!$S293), 0, 1), 6, if(ISBLANK('2025'!$T293), 0, 1), 7, 0))), 1, "")</f>
        <v/>
      </c>
      <c r="X295" s="1" t="str">
        <f>IF(AND(AND(AND(X$4&gt;='2025'!$L293,X$4&lt;='2025'!$M293), X$4&lt;&gt;DATE(2025,7,4)), (SWITCH(weekday(X$4), 1, 0, 2, if(ISBLANK('2025'!$P293), 0, 1), 3, if(ISBLANK('2025'!$Q293), 0, 1), 4, if(ISBLANK('2025'!$R293), 0, 1), 5, if(ISBLANK('2025'!$S293), 0, 1), 6, if(ISBLANK('2025'!$T293), 0, 1), 7, 0))), 1, "")</f>
        <v/>
      </c>
      <c r="Y295" s="1" t="str">
        <f>IF(AND(AND(AND(Y$4&gt;='2025'!$L293,Y$4&lt;='2025'!$M293), Y$4&lt;&gt;DATE(2025,7,4)), (SWITCH(weekday(Y$4), 1, 0, 2, if(ISBLANK('2025'!$P293), 0, 1), 3, if(ISBLANK('2025'!$Q293), 0, 1), 4, if(ISBLANK('2025'!$R293), 0, 1), 5, if(ISBLANK('2025'!$S293), 0, 1), 6, if(ISBLANK('2025'!$T293), 0, 1), 7, 0))), 1, "")</f>
        <v/>
      </c>
      <c r="Z295" s="1" t="str">
        <f>IF(AND(AND(AND(Z$4&gt;='2025'!$L293,Z$4&lt;='2025'!$M293), Z$4&lt;&gt;DATE(2025,7,4)), (SWITCH(weekday(Z$4), 1, 0, 2, if(ISBLANK('2025'!$P293), 0, 1), 3, if(ISBLANK('2025'!$Q293), 0, 1), 4, if(ISBLANK('2025'!$R293), 0, 1), 5, if(ISBLANK('2025'!$S293), 0, 1), 6, if(ISBLANK('2025'!$T293), 0, 1), 7, 0))), 1, "")</f>
        <v/>
      </c>
      <c r="AA295" s="1" t="str">
        <f>IF(AND(AND(AND(AA$4&gt;='2025'!$L293,AA$4&lt;='2025'!$M293), AA$4&lt;&gt;DATE(2025,7,4)), (SWITCH(weekday(AA$4), 1, 0, 2, if(ISBLANK('2025'!$P293), 0, 1), 3, if(ISBLANK('2025'!$Q293), 0, 1), 4, if(ISBLANK('2025'!$R293), 0, 1), 5, if(ISBLANK('2025'!$S293), 0, 1), 6, if(ISBLANK('2025'!$T293), 0, 1), 7, 0))), 1, "")</f>
        <v/>
      </c>
      <c r="AB295" s="1" t="str">
        <f>IF(AND(AND(AND(AB$4&gt;='2025'!$L293,AB$4&lt;='2025'!$M293), AB$4&lt;&gt;DATE(2025,7,4)), (SWITCH(weekday(AB$4), 1, 0, 2, if(ISBLANK('2025'!$P293), 0, 1), 3, if(ISBLANK('2025'!$Q293), 0, 1), 4, if(ISBLANK('2025'!$R293), 0, 1), 5, if(ISBLANK('2025'!$S293), 0, 1), 6, if(ISBLANK('2025'!$T293), 0, 1), 7, 0))), 1, "")</f>
        <v/>
      </c>
      <c r="AC295" s="1" t="str">
        <f>IF(AND(AND(AND(AC$4&gt;='2025'!$L293,AC$4&lt;='2025'!$M293), AC$4&lt;&gt;DATE(2025,7,4)), (SWITCH(weekday(AC$4), 1, 0, 2, if(ISBLANK('2025'!$P293), 0, 1), 3, if(ISBLANK('2025'!$Q293), 0, 1), 4, if(ISBLANK('2025'!$R293), 0, 1), 5, if(ISBLANK('2025'!$S293), 0, 1), 6, if(ISBLANK('2025'!$T293), 0, 1), 7, 0))), 1, "")</f>
        <v/>
      </c>
      <c r="AD295" s="1" t="str">
        <f>IF(AND(AND(AND(AD$4&gt;='2025'!$L293,AD$4&lt;='2025'!$M293), AD$4&lt;&gt;DATE(2025,7,4)), (SWITCH(weekday(AD$4), 1, 0, 2, if(ISBLANK('2025'!$P293), 0, 1), 3, if(ISBLANK('2025'!$Q293), 0, 1), 4, if(ISBLANK('2025'!$R293), 0, 1), 5, if(ISBLANK('2025'!$S293), 0, 1), 6, if(ISBLANK('2025'!$T293), 0, 1), 7, 0))), 1, "")</f>
        <v/>
      </c>
      <c r="AE295" s="1" t="str">
        <f>IF(AND(AND(AND(AE$4&gt;='2025'!$L293,AE$4&lt;='2025'!$M293), AE$4&lt;&gt;DATE(2025,7,4)), (SWITCH(weekday(AE$4), 1, 0, 2, if(ISBLANK('2025'!$P293), 0, 1), 3, if(ISBLANK('2025'!$Q293), 0, 1), 4, if(ISBLANK('2025'!$R293), 0, 1), 5, if(ISBLANK('2025'!$S293), 0, 1), 6, if(ISBLANK('2025'!$T293), 0, 1), 7, 0))), 1, "")</f>
        <v/>
      </c>
      <c r="AF295" s="1" t="str">
        <f>IF(AND(AND(AND(AF$4&gt;='2025'!$L293,AF$4&lt;='2025'!$M293), AF$4&lt;&gt;DATE(2025,7,4)), (SWITCH(weekday(AF$4), 1, 0, 2, if(ISBLANK('2025'!$P293), 0, 1), 3, if(ISBLANK('2025'!$Q293), 0, 1), 4, if(ISBLANK('2025'!$R293), 0, 1), 5, if(ISBLANK('2025'!$S293), 0, 1), 6, if(ISBLANK('2025'!$T293), 0, 1), 7, 0))), 1, "")</f>
        <v/>
      </c>
      <c r="AG295" s="1" t="str">
        <f>IF(AND(AND(AND(AG$4&gt;='2025'!$L293,AG$4&lt;='2025'!$M293), AG$4&lt;&gt;DATE(2025,7,4)), (SWITCH(weekday(AG$4), 1, 0, 2, if(ISBLANK('2025'!$P293), 0, 1), 3, if(ISBLANK('2025'!$Q293), 0, 1), 4, if(ISBLANK('2025'!$R293), 0, 1), 5, if(ISBLANK('2025'!$S293), 0, 1), 6, if(ISBLANK('2025'!$T293), 0, 1), 7, 0))), 1, "")</f>
        <v/>
      </c>
      <c r="AH295" s="1" t="str">
        <f>IF(AND(AND(AND(AH$4&gt;='2025'!$L293,AH$4&lt;='2025'!$M293), AH$4&lt;&gt;DATE(2025,7,4)), (SWITCH(weekday(AH$4), 1, 0, 2, if(ISBLANK('2025'!$P293), 0, 1), 3, if(ISBLANK('2025'!$Q293), 0, 1), 4, if(ISBLANK('2025'!$R293), 0, 1), 5, if(ISBLANK('2025'!$S293), 0, 1), 6, if(ISBLANK('2025'!$T293), 0, 1), 7, 0))), 1, "")</f>
        <v/>
      </c>
      <c r="AI295" s="1" t="str">
        <f>IF(AND(AND(AND(AI$4&gt;='2025'!$L293,AI$4&lt;='2025'!$M293), AI$4&lt;&gt;DATE(2025,7,4)), (SWITCH(weekday(AI$4), 1, 0, 2, if(ISBLANK('2025'!$P293), 0, 1), 3, if(ISBLANK('2025'!$Q293), 0, 1), 4, if(ISBLANK('2025'!$R293), 0, 1), 5, if(ISBLANK('2025'!$S293), 0, 1), 6, if(ISBLANK('2025'!$T293), 0, 1), 7, 0))), 1, "")</f>
        <v/>
      </c>
      <c r="AJ295" s="1" t="str">
        <f>IF(AND(AND(AND(AJ$4&gt;='2025'!$L293,AJ$4&lt;='2025'!$M293), AJ$4&lt;&gt;DATE(2025,7,4)), (SWITCH(weekday(AJ$4), 1, 0, 2, if(ISBLANK('2025'!$P293), 0, 1), 3, if(ISBLANK('2025'!$Q293), 0, 1), 4, if(ISBLANK('2025'!$R293), 0, 1), 5, if(ISBLANK('2025'!$S293), 0, 1), 6, if(ISBLANK('2025'!$T293), 0, 1), 7, 0))), 1, "")</f>
        <v/>
      </c>
      <c r="AK295" s="1" t="str">
        <f>IF(AND(AND(AND(AK$4&gt;='2025'!$L293,AK$4&lt;='2025'!$M293), AK$4&lt;&gt;DATE(2025,7,4)), (SWITCH(weekday(AK$4), 1, 0, 2, if(ISBLANK('2025'!$P293), 0, 1), 3, if(ISBLANK('2025'!$Q293), 0, 1), 4, if(ISBLANK('2025'!$R293), 0, 1), 5, if(ISBLANK('2025'!$S293), 0, 1), 6, if(ISBLANK('2025'!$T293), 0, 1), 7, 0))), 1, "")</f>
        <v/>
      </c>
      <c r="AL295" s="1" t="str">
        <f>IF(AND(AND(AND(AL$4&gt;='2025'!$L293,AL$4&lt;='2025'!$M293), AL$4&lt;&gt;DATE(2025,7,4)), (SWITCH(weekday(AL$4), 1, 0, 2, if(ISBLANK('2025'!$P293), 0, 1), 3, if(ISBLANK('2025'!$Q293), 0, 1), 4, if(ISBLANK('2025'!$R293), 0, 1), 5, if(ISBLANK('2025'!$S293), 0, 1), 6, if(ISBLANK('2025'!$T293), 0, 1), 7, 0))), 1, "")</f>
        <v/>
      </c>
      <c r="AM295" s="1" t="str">
        <f>IF(AND(AND(AND(AM$4&gt;='2025'!$L293,AM$4&lt;='2025'!$M293), AM$4&lt;&gt;DATE(2025,7,4)), (SWITCH(weekday(AM$4), 1, 0, 2, if(ISBLANK('2025'!$P293), 0, 1), 3, if(ISBLANK('2025'!$Q293), 0, 1), 4, if(ISBLANK('2025'!$R293), 0, 1), 5, if(ISBLANK('2025'!$S293), 0, 1), 6, if(ISBLANK('2025'!$T293), 0, 1), 7, 0))), 1, "")</f>
        <v/>
      </c>
      <c r="AN295" s="1" t="str">
        <f>IF(AND(AND(AND(AN$4&gt;='2025'!$L293,AN$4&lt;='2025'!$M293), AN$4&lt;&gt;DATE(2025,7,4)), (SWITCH(weekday(AN$4), 1, 0, 2, if(ISBLANK('2025'!$P293), 0, 1), 3, if(ISBLANK('2025'!$Q293), 0, 1), 4, if(ISBLANK('2025'!$R293), 0, 1), 5, if(ISBLANK('2025'!$S293), 0, 1), 6, if(ISBLANK('2025'!$T293), 0, 1), 7, 0))), 1, "")</f>
        <v/>
      </c>
      <c r="AO295" s="1" t="str">
        <f>IF(AND(AND(AND(AO$4&gt;='2025'!$L293,AO$4&lt;='2025'!$M293), AO$4&lt;&gt;DATE(2025,7,4)), (SWITCH(weekday(AO$4), 1, 0, 2, if(ISBLANK('2025'!$P293), 0, 1), 3, if(ISBLANK('2025'!$Q293), 0, 1), 4, if(ISBLANK('2025'!$R293), 0, 1), 5, if(ISBLANK('2025'!$S293), 0, 1), 6, if(ISBLANK('2025'!$T293), 0, 1), 7, 0))), 1, "")</f>
        <v/>
      </c>
      <c r="AP295" s="1" t="str">
        <f>IF(AND(AND(AND(AP$4&gt;='2025'!$L293,AP$4&lt;='2025'!$M293), AP$4&lt;&gt;DATE(2025,7,4)), (SWITCH(weekday(AP$4), 1, 0, 2, if(ISBLANK('2025'!$P293), 0, 1), 3, if(ISBLANK('2025'!$Q293), 0, 1), 4, if(ISBLANK('2025'!$R293), 0, 1), 5, if(ISBLANK('2025'!$S293), 0, 1), 6, if(ISBLANK('2025'!$T293), 0, 1), 7, 0))), 1, "")</f>
        <v/>
      </c>
      <c r="AQ295" s="1" t="str">
        <f>IF(AND(AND(AND(AQ$4&gt;='2025'!$L293,AQ$4&lt;='2025'!$M293), AQ$4&lt;&gt;DATE(2025,7,4)), (SWITCH(weekday(AQ$4), 1, 0, 2, if(ISBLANK('2025'!$P293), 0, 1), 3, if(ISBLANK('2025'!$Q293), 0, 1), 4, if(ISBLANK('2025'!$R293), 0, 1), 5, if(ISBLANK('2025'!$S293), 0, 1), 6, if(ISBLANK('2025'!$T293), 0, 1), 7, 0))), 1, "")</f>
        <v/>
      </c>
      <c r="AR295" s="1" t="str">
        <f>IF(AND(AND(AND(AR$4&gt;='2025'!$L293,AR$4&lt;='2025'!$M293), AR$4&lt;&gt;DATE(2025,7,4)), (SWITCH(weekday(AR$4), 1, 0, 2, if(ISBLANK('2025'!$P293), 0, 1), 3, if(ISBLANK('2025'!$Q293), 0, 1), 4, if(ISBLANK('2025'!$R293), 0, 1), 5, if(ISBLANK('2025'!$S293), 0, 1), 6, if(ISBLANK('2025'!$T293), 0, 1), 7, 0))), 1, "")</f>
        <v/>
      </c>
      <c r="AS295" s="1" t="str">
        <f>IF(AND(AND(AND(AS$4&gt;='2025'!$L293,AS$4&lt;='2025'!$M293), AS$4&lt;&gt;DATE(2025,7,4)), (SWITCH(weekday(AS$4), 1, 0, 2, if(ISBLANK('2025'!$P293), 0, 1), 3, if(ISBLANK('2025'!$Q293), 0, 1), 4, if(ISBLANK('2025'!$R293), 0, 1), 5, if(ISBLANK('2025'!$S293), 0, 1), 6, if(ISBLANK('2025'!$T293), 0, 1), 7, 0))), 1, "")</f>
        <v/>
      </c>
      <c r="AT295" s="1" t="str">
        <f>IF(AND(AND(AND(AT$4&gt;='2025'!$L293,AT$4&lt;='2025'!$M293), AT$4&lt;&gt;DATE(2025,7,4)), (SWITCH(weekday(AT$4), 1, 0, 2, if(ISBLANK('2025'!$P293), 0, 1), 3, if(ISBLANK('2025'!$Q293), 0, 1), 4, if(ISBLANK('2025'!$R293), 0, 1), 5, if(ISBLANK('2025'!$S293), 0, 1), 6, if(ISBLANK('2025'!$T293), 0, 1), 7, 0))), 1, "")</f>
        <v/>
      </c>
      <c r="AU295" s="1" t="str">
        <f>IF(AND(AND(AND(AU$4&gt;='2025'!$L293,AU$4&lt;='2025'!$M293), AU$4&lt;&gt;DATE(2025,7,4)), (SWITCH(weekday(AU$4), 1, 0, 2, if(ISBLANK('2025'!$P293), 0, 1), 3, if(ISBLANK('2025'!$Q293), 0, 1), 4, if(ISBLANK('2025'!$R293), 0, 1), 5, if(ISBLANK('2025'!$S293), 0, 1), 6, if(ISBLANK('2025'!$T293), 0, 1), 7, 0))), 1, "")</f>
        <v/>
      </c>
      <c r="AV295" s="1" t="str">
        <f>IF(AND(AND(AND(AV$4&gt;='2025'!$L293,AV$4&lt;='2025'!$M293), AV$4&lt;&gt;DATE(2025,7,4)), (SWITCH(weekday(AV$4), 1, 0, 2, if(ISBLANK('2025'!$P293), 0, 1), 3, if(ISBLANK('2025'!$Q293), 0, 1), 4, if(ISBLANK('2025'!$R293), 0, 1), 5, if(ISBLANK('2025'!$S293), 0, 1), 6, if(ISBLANK('2025'!$T293), 0, 1), 7, 0))), 1, "")</f>
        <v/>
      </c>
      <c r="AW295" s="1" t="str">
        <f>IF(AND(AND(AND(AW$4&gt;='2025'!$L293,AW$4&lt;='2025'!$M293), AW$4&lt;&gt;DATE(2025,7,4)), (SWITCH(weekday(AW$4), 1, 0, 2, if(ISBLANK('2025'!$P293), 0, 1), 3, if(ISBLANK('2025'!$Q293), 0, 1), 4, if(ISBLANK('2025'!$R293), 0, 1), 5, if(ISBLANK('2025'!$S293), 0, 1), 6, if(ISBLANK('2025'!$T293), 0, 1), 7, 0))), 1, "")</f>
        <v/>
      </c>
      <c r="AX295" s="1" t="str">
        <f>IF(AND(AND(AND(AX$4&gt;='2025'!$L293,AX$4&lt;='2025'!$M293), AX$4&lt;&gt;DATE(2025,7,4)), (SWITCH(weekday(AX$4), 1, 0, 2, if(ISBLANK('2025'!$P293), 0, 1), 3, if(ISBLANK('2025'!$Q293), 0, 1), 4, if(ISBLANK('2025'!$R293), 0, 1), 5, if(ISBLANK('2025'!$S293), 0, 1), 6, if(ISBLANK('2025'!$T293), 0, 1), 7, 0))), 1, "")</f>
        <v/>
      </c>
      <c r="AY295" s="1" t="str">
        <f>IF(AND(AND(AND(AY$4&gt;='2025'!$L293,AY$4&lt;='2025'!$M293), AY$4&lt;&gt;DATE(2025,7,4)), (SWITCH(weekday(AY$4), 1, 0, 2, if(ISBLANK('2025'!$P293), 0, 1), 3, if(ISBLANK('2025'!$Q293), 0, 1), 4, if(ISBLANK('2025'!$R293), 0, 1), 5, if(ISBLANK('2025'!$S293), 0, 1), 6, if(ISBLANK('2025'!$T293), 0, 1), 7, 0))), 1, "")</f>
        <v/>
      </c>
      <c r="AZ295" s="1" t="str">
        <f>IF(AND(AND(AND(AZ$4&gt;='2025'!$L293,AZ$4&lt;='2025'!$M293), AZ$4&lt;&gt;DATE(2025,7,4)), (SWITCH(weekday(AZ$4), 1, 0, 2, if(ISBLANK('2025'!$P293), 0, 1), 3, if(ISBLANK('2025'!$Q293), 0, 1), 4, if(ISBLANK('2025'!$R293), 0, 1), 5, if(ISBLANK('2025'!$S293), 0, 1), 6, if(ISBLANK('2025'!$T293), 0, 1), 7, 0))), 1, "")</f>
        <v/>
      </c>
      <c r="BA295" s="1" t="str">
        <f>IF(AND(AND(AND(BA$4&gt;='2025'!$L293,BA$4&lt;='2025'!$M293), BA$4&lt;&gt;DATE(2025,7,4)), (SWITCH(weekday(BA$4), 1, 0, 2, if(ISBLANK('2025'!$P293), 0, 1), 3, if(ISBLANK('2025'!$Q293), 0, 1), 4, if(ISBLANK('2025'!$R293), 0, 1), 5, if(ISBLANK('2025'!$S293), 0, 1), 6, if(ISBLANK('2025'!$T293), 0, 1), 7, 0))), 1, "")</f>
        <v/>
      </c>
      <c r="BB295" s="1" t="str">
        <f>IF(AND(AND(AND(BB$4&gt;='2025'!$L293,BB$4&lt;='2025'!$M293), BB$4&lt;&gt;DATE(2025,7,4)), (SWITCH(weekday(BB$4), 1, 0, 2, if(ISBLANK('2025'!$P293), 0, 1), 3, if(ISBLANK('2025'!$Q293), 0, 1), 4, if(ISBLANK('2025'!$R293), 0, 1), 5, if(ISBLANK('2025'!$S293), 0, 1), 6, if(ISBLANK('2025'!$T293), 0, 1), 7, 0))), 1, "")</f>
        <v/>
      </c>
      <c r="BC295" s="1" t="str">
        <f>IF(AND(AND(AND(BC$4&gt;='2025'!$L293,BC$4&lt;='2025'!$M293), BC$4&lt;&gt;DATE(2025,7,4)), (SWITCH(weekday(BC$4), 1, 0, 2, if(ISBLANK('2025'!$P293), 0, 1), 3, if(ISBLANK('2025'!$Q293), 0, 1), 4, if(ISBLANK('2025'!$R293), 0, 1), 5, if(ISBLANK('2025'!$S293), 0, 1), 6, if(ISBLANK('2025'!$T293), 0, 1), 7, 0))), 1, "")</f>
        <v/>
      </c>
      <c r="BD295" s="1" t="str">
        <f>IF(AND(AND(AND(BD$4&gt;='2025'!$L293,BD$4&lt;='2025'!$M293), BD$4&lt;&gt;DATE(2025,7,4)), (SWITCH(weekday(BD$4), 1, 0, 2, if(ISBLANK('2025'!$P293), 0, 1), 3, if(ISBLANK('2025'!$Q293), 0, 1), 4, if(ISBLANK('2025'!$R293), 0, 1), 5, if(ISBLANK('2025'!$S293), 0, 1), 6, if(ISBLANK('2025'!$T293), 0, 1), 7, 0))), 1, "")</f>
        <v/>
      </c>
      <c r="BE295" s="1" t="str">
        <f>IF(AND(AND(AND(BE$4&gt;='2025'!$L293,BE$4&lt;='2025'!$M293), BE$4&lt;&gt;DATE(2025,7,4)), (SWITCH(weekday(BE$4), 1, 0, 2, if(ISBLANK('2025'!$P293), 0, 1), 3, if(ISBLANK('2025'!$Q293), 0, 1), 4, if(ISBLANK('2025'!$R293), 0, 1), 5, if(ISBLANK('2025'!$S293), 0, 1), 6, if(ISBLANK('2025'!$T293), 0, 1), 7, 0))), 1, "")</f>
        <v/>
      </c>
      <c r="BF295" s="1" t="str">
        <f>IF(AND(AND(AND(BF$4&gt;='2025'!$L293,BF$4&lt;='2025'!$M293), BF$4&lt;&gt;DATE(2025,7,4)), (SWITCH(weekday(BF$4), 1, 0, 2, if(ISBLANK('2025'!$P293), 0, 1), 3, if(ISBLANK('2025'!$Q293), 0, 1), 4, if(ISBLANK('2025'!$R293), 0, 1), 5, if(ISBLANK('2025'!$S293), 0, 1), 6, if(ISBLANK('2025'!$T293), 0, 1), 7, 0))), 1, "")</f>
        <v/>
      </c>
      <c r="BG295" s="1"/>
      <c r="BH295" s="1"/>
      <c r="BI295" s="1"/>
      <c r="BJ295" s="1"/>
      <c r="BK295" s="1"/>
      <c r="BL295" s="1"/>
    </row>
    <row r="296">
      <c r="A296" s="1">
        <f t="shared" si="3"/>
        <v>296</v>
      </c>
      <c r="B296" s="1" t="str">
        <f>'2025'!D260</f>
        <v>, </v>
      </c>
      <c r="C296" s="1" t="str">
        <f>'2025'!H260</f>
        <v/>
      </c>
      <c r="D296" s="1" t="str">
        <f>IF(AND(AND(AND(D$4&gt;='2025'!$L294,D$4&lt;='2025'!$M294), D$4&lt;&gt;DATE(2025,7,4)), (SWITCH(weekday(D$4), 1, 0, 2, if(ISBLANK('2025'!$P294), 0, 1), 3, if(ISBLANK('2025'!$Q294), 0, 1), 4, if(ISBLANK('2025'!$R294), 0, 1), 5, if(ISBLANK('2025'!$S294), 0, 1), 6, if(ISBLANK('2025'!$T294), 0, 1), 7, 0))), 1, "")</f>
        <v/>
      </c>
      <c r="E296" s="1" t="str">
        <f>IF(AND(AND(AND(E$4&gt;='2025'!$L294,E$4&lt;='2025'!$M294), E$4&lt;&gt;DATE(2025,7,4)), (SWITCH(weekday(E$4), 1, 0, 2, if(ISBLANK('2025'!$P294), 0, 1), 3, if(ISBLANK('2025'!$Q294), 0, 1), 4, if(ISBLANK('2025'!$R294), 0, 1), 5, if(ISBLANK('2025'!$S294), 0, 1), 6, if(ISBLANK('2025'!$T294), 0, 1), 7, 0))), 1, "")</f>
        <v/>
      </c>
      <c r="F296" s="1" t="str">
        <f>IF(AND(AND(AND(F$4&gt;='2025'!$L294,F$4&lt;='2025'!$M294), F$4&lt;&gt;DATE(2025,7,4)), (SWITCH(weekday(F$4), 1, 0, 2, if(ISBLANK('2025'!$P294), 0, 1), 3, if(ISBLANK('2025'!$Q294), 0, 1), 4, if(ISBLANK('2025'!$R294), 0, 1), 5, if(ISBLANK('2025'!$S294), 0, 1), 6, if(ISBLANK('2025'!$T294), 0, 1), 7, 0))), 1, "")</f>
        <v/>
      </c>
      <c r="G296" s="1" t="str">
        <f>IF(AND(AND(AND(G$4&gt;='2025'!$L294,G$4&lt;='2025'!$M294), G$4&lt;&gt;DATE(2025,7,4)), (SWITCH(weekday(G$4), 1, 0, 2, if(ISBLANK('2025'!$P294), 0, 1), 3, if(ISBLANK('2025'!$Q294), 0, 1), 4, if(ISBLANK('2025'!$R294), 0, 1), 5, if(ISBLANK('2025'!$S294), 0, 1), 6, if(ISBLANK('2025'!$T294), 0, 1), 7, 0))), 1, "")</f>
        <v/>
      </c>
      <c r="H296" s="1" t="str">
        <f>IF(AND(AND(AND(H$4&gt;='2025'!$L294,H$4&lt;='2025'!$M294), H$4&lt;&gt;DATE(2025,7,4)), (SWITCH(weekday(H$4), 1, 0, 2, if(ISBLANK('2025'!$P294), 0, 1), 3, if(ISBLANK('2025'!$Q294), 0, 1), 4, if(ISBLANK('2025'!$R294), 0, 1), 5, if(ISBLANK('2025'!$S294), 0, 1), 6, if(ISBLANK('2025'!$T294), 0, 1), 7, 0))), 1, "")</f>
        <v/>
      </c>
      <c r="I296" s="1" t="str">
        <f>IF(AND(AND(AND(I$4&gt;='2025'!$L294,I$4&lt;='2025'!$M294), I$4&lt;&gt;DATE(2025,7,4)), (SWITCH(weekday(I$4), 1, 0, 2, if(ISBLANK('2025'!$P294), 0, 1), 3, if(ISBLANK('2025'!$Q294), 0, 1), 4, if(ISBLANK('2025'!$R294), 0, 1), 5, if(ISBLANK('2025'!$S294), 0, 1), 6, if(ISBLANK('2025'!$T294), 0, 1), 7, 0))), 1, "")</f>
        <v/>
      </c>
      <c r="J296" s="1" t="str">
        <f>IF(AND(AND(AND(J$4&gt;='2025'!$L294,J$4&lt;='2025'!$M294), J$4&lt;&gt;DATE(2025,7,4)), (SWITCH(weekday(J$4), 1, 0, 2, if(ISBLANK('2025'!$P294), 0, 1), 3, if(ISBLANK('2025'!$Q294), 0, 1), 4, if(ISBLANK('2025'!$R294), 0, 1), 5, if(ISBLANK('2025'!$S294), 0, 1), 6, if(ISBLANK('2025'!$T294), 0, 1), 7, 0))), 1, "")</f>
        <v/>
      </c>
      <c r="K296" s="1" t="str">
        <f>IF(AND(AND(AND(K$4&gt;='2025'!$L294,K$4&lt;='2025'!$M294), K$4&lt;&gt;DATE(2025,7,4)), (SWITCH(weekday(K$4), 1, 0, 2, if(ISBLANK('2025'!$P294), 0, 1), 3, if(ISBLANK('2025'!$Q294), 0, 1), 4, if(ISBLANK('2025'!$R294), 0, 1), 5, if(ISBLANK('2025'!$S294), 0, 1), 6, if(ISBLANK('2025'!$T294), 0, 1), 7, 0))), 1, "")</f>
        <v/>
      </c>
      <c r="L296" s="1" t="str">
        <f>IF(AND(AND(AND(L$4&gt;='2025'!$L294,L$4&lt;='2025'!$M294), L$4&lt;&gt;DATE(2025,7,4)), (SWITCH(weekday(L$4), 1, 0, 2, if(ISBLANK('2025'!$P294), 0, 1), 3, if(ISBLANK('2025'!$Q294), 0, 1), 4, if(ISBLANK('2025'!$R294), 0, 1), 5, if(ISBLANK('2025'!$S294), 0, 1), 6, if(ISBLANK('2025'!$T294), 0, 1), 7, 0))), 1, "")</f>
        <v/>
      </c>
      <c r="M296" s="1" t="str">
        <f>IF(AND(AND(AND(M$4&gt;='2025'!$L294,M$4&lt;='2025'!$M294), M$4&lt;&gt;DATE(2025,7,4)), (SWITCH(weekday(M$4), 1, 0, 2, if(ISBLANK('2025'!$P294), 0, 1), 3, if(ISBLANK('2025'!$Q294), 0, 1), 4, if(ISBLANK('2025'!$R294), 0, 1), 5, if(ISBLANK('2025'!$S294), 0, 1), 6, if(ISBLANK('2025'!$T294), 0, 1), 7, 0))), 1, "")</f>
        <v/>
      </c>
      <c r="N296" s="1" t="str">
        <f>IF(AND(AND(AND(N$4&gt;='2025'!$L294,N$4&lt;='2025'!$M294), N$4&lt;&gt;DATE(2025,7,4)), (SWITCH(weekday(N$4), 1, 0, 2, if(ISBLANK('2025'!$P294), 0, 1), 3, if(ISBLANK('2025'!$Q294), 0, 1), 4, if(ISBLANK('2025'!$R294), 0, 1), 5, if(ISBLANK('2025'!$S294), 0, 1), 6, if(ISBLANK('2025'!$T294), 0, 1), 7, 0))), 1, "")</f>
        <v/>
      </c>
      <c r="O296" s="1" t="str">
        <f>IF(AND(AND(AND(O$4&gt;='2025'!$L294,O$4&lt;='2025'!$M294), O$4&lt;&gt;DATE(2025,7,4)), (SWITCH(weekday(O$4), 1, 0, 2, if(ISBLANK('2025'!$P294), 0, 1), 3, if(ISBLANK('2025'!$Q294), 0, 1), 4, if(ISBLANK('2025'!$R294), 0, 1), 5, if(ISBLANK('2025'!$S294), 0, 1), 6, if(ISBLANK('2025'!$T294), 0, 1), 7, 0))), 1, "")</f>
        <v/>
      </c>
      <c r="P296" s="1" t="str">
        <f>IF(AND(AND(AND(P$4&gt;='2025'!$L294,P$4&lt;='2025'!$M294), P$4&lt;&gt;DATE(2025,7,4)), (SWITCH(weekday(P$4), 1, 0, 2, if(ISBLANK('2025'!$P294), 0, 1), 3, if(ISBLANK('2025'!$Q294), 0, 1), 4, if(ISBLANK('2025'!$R294), 0, 1), 5, if(ISBLANK('2025'!$S294), 0, 1), 6, if(ISBLANK('2025'!$T294), 0, 1), 7, 0))), 1, "")</f>
        <v/>
      </c>
      <c r="Q296" s="1" t="str">
        <f>IF(AND(AND(AND(Q$4&gt;='2025'!$L294,Q$4&lt;='2025'!$M294), Q$4&lt;&gt;DATE(2025,7,4)), (SWITCH(weekday(Q$4), 1, 0, 2, if(ISBLANK('2025'!$P294), 0, 1), 3, if(ISBLANK('2025'!$Q294), 0, 1), 4, if(ISBLANK('2025'!$R294), 0, 1), 5, if(ISBLANK('2025'!$S294), 0, 1), 6, if(ISBLANK('2025'!$T294), 0, 1), 7, 0))), 1, "")</f>
        <v/>
      </c>
      <c r="R296" s="1" t="str">
        <f>IF(AND(AND(AND(R$4&gt;='2025'!$L294,R$4&lt;='2025'!$M294), R$4&lt;&gt;DATE(2025,7,4)), (SWITCH(weekday(R$4), 1, 0, 2, if(ISBLANK('2025'!$P294), 0, 1), 3, if(ISBLANK('2025'!$Q294), 0, 1), 4, if(ISBLANK('2025'!$R294), 0, 1), 5, if(ISBLANK('2025'!$S294), 0, 1), 6, if(ISBLANK('2025'!$T294), 0, 1), 7, 0))), 1, "")</f>
        <v/>
      </c>
      <c r="S296" s="1" t="str">
        <f>IF(AND(AND(AND(S$4&gt;='2025'!$L294,S$4&lt;='2025'!$M294), S$4&lt;&gt;DATE(2025,7,4)), (SWITCH(weekday(S$4), 1, 0, 2, if(ISBLANK('2025'!$P294), 0, 1), 3, if(ISBLANK('2025'!$Q294), 0, 1), 4, if(ISBLANK('2025'!$R294), 0, 1), 5, if(ISBLANK('2025'!$S294), 0, 1), 6, if(ISBLANK('2025'!$T294), 0, 1), 7, 0))), 1, "")</f>
        <v/>
      </c>
      <c r="T296" s="1" t="str">
        <f>IF(AND(AND(AND(T$4&gt;='2025'!$L294,T$4&lt;='2025'!$M294), T$4&lt;&gt;DATE(2025,7,4)), (SWITCH(weekday(T$4), 1, 0, 2, if(ISBLANK('2025'!$P294), 0, 1), 3, if(ISBLANK('2025'!$Q294), 0, 1), 4, if(ISBLANK('2025'!$R294), 0, 1), 5, if(ISBLANK('2025'!$S294), 0, 1), 6, if(ISBLANK('2025'!$T294), 0, 1), 7, 0))), 1, "")</f>
        <v/>
      </c>
      <c r="U296" s="1" t="str">
        <f>IF(AND(AND(AND(U$4&gt;='2025'!$L294,U$4&lt;='2025'!$M294), U$4&lt;&gt;DATE(2025,7,4)), (SWITCH(weekday(U$4), 1, 0, 2, if(ISBLANK('2025'!$P294), 0, 1), 3, if(ISBLANK('2025'!$Q294), 0, 1), 4, if(ISBLANK('2025'!$R294), 0, 1), 5, if(ISBLANK('2025'!$S294), 0, 1), 6, if(ISBLANK('2025'!$T294), 0, 1), 7, 0))), 1, "")</f>
        <v/>
      </c>
      <c r="V296" s="1" t="str">
        <f>IF(AND(AND(AND(V$4&gt;='2025'!$L294,V$4&lt;='2025'!$M294), V$4&lt;&gt;DATE(2025,7,4)), (SWITCH(weekday(V$4), 1, 0, 2, if(ISBLANK('2025'!$P294), 0, 1), 3, if(ISBLANK('2025'!$Q294), 0, 1), 4, if(ISBLANK('2025'!$R294), 0, 1), 5, if(ISBLANK('2025'!$S294), 0, 1), 6, if(ISBLANK('2025'!$T294), 0, 1), 7, 0))), 1, "")</f>
        <v/>
      </c>
      <c r="W296" s="1" t="str">
        <f>IF(AND(AND(AND(W$4&gt;='2025'!$L294,W$4&lt;='2025'!$M294), W$4&lt;&gt;DATE(2025,7,4)), (SWITCH(weekday(W$4), 1, 0, 2, if(ISBLANK('2025'!$P294), 0, 1), 3, if(ISBLANK('2025'!$Q294), 0, 1), 4, if(ISBLANK('2025'!$R294), 0, 1), 5, if(ISBLANK('2025'!$S294), 0, 1), 6, if(ISBLANK('2025'!$T294), 0, 1), 7, 0))), 1, "")</f>
        <v/>
      </c>
      <c r="X296" s="1" t="str">
        <f>IF(AND(AND(AND(X$4&gt;='2025'!$L294,X$4&lt;='2025'!$M294), X$4&lt;&gt;DATE(2025,7,4)), (SWITCH(weekday(X$4), 1, 0, 2, if(ISBLANK('2025'!$P294), 0, 1), 3, if(ISBLANK('2025'!$Q294), 0, 1), 4, if(ISBLANK('2025'!$R294), 0, 1), 5, if(ISBLANK('2025'!$S294), 0, 1), 6, if(ISBLANK('2025'!$T294), 0, 1), 7, 0))), 1, "")</f>
        <v/>
      </c>
      <c r="Y296" s="1" t="str">
        <f>IF(AND(AND(AND(Y$4&gt;='2025'!$L294,Y$4&lt;='2025'!$M294), Y$4&lt;&gt;DATE(2025,7,4)), (SWITCH(weekday(Y$4), 1, 0, 2, if(ISBLANK('2025'!$P294), 0, 1), 3, if(ISBLANK('2025'!$Q294), 0, 1), 4, if(ISBLANK('2025'!$R294), 0, 1), 5, if(ISBLANK('2025'!$S294), 0, 1), 6, if(ISBLANK('2025'!$T294), 0, 1), 7, 0))), 1, "")</f>
        <v/>
      </c>
      <c r="Z296" s="1" t="str">
        <f>IF(AND(AND(AND(Z$4&gt;='2025'!$L294,Z$4&lt;='2025'!$M294), Z$4&lt;&gt;DATE(2025,7,4)), (SWITCH(weekday(Z$4), 1, 0, 2, if(ISBLANK('2025'!$P294), 0, 1), 3, if(ISBLANK('2025'!$Q294), 0, 1), 4, if(ISBLANK('2025'!$R294), 0, 1), 5, if(ISBLANK('2025'!$S294), 0, 1), 6, if(ISBLANK('2025'!$T294), 0, 1), 7, 0))), 1, "")</f>
        <v/>
      </c>
      <c r="AA296" s="1" t="str">
        <f>IF(AND(AND(AND(AA$4&gt;='2025'!$L294,AA$4&lt;='2025'!$M294), AA$4&lt;&gt;DATE(2025,7,4)), (SWITCH(weekday(AA$4), 1, 0, 2, if(ISBLANK('2025'!$P294), 0, 1), 3, if(ISBLANK('2025'!$Q294), 0, 1), 4, if(ISBLANK('2025'!$R294), 0, 1), 5, if(ISBLANK('2025'!$S294), 0, 1), 6, if(ISBLANK('2025'!$T294), 0, 1), 7, 0))), 1, "")</f>
        <v/>
      </c>
      <c r="AB296" s="1" t="str">
        <f>IF(AND(AND(AND(AB$4&gt;='2025'!$L294,AB$4&lt;='2025'!$M294), AB$4&lt;&gt;DATE(2025,7,4)), (SWITCH(weekday(AB$4), 1, 0, 2, if(ISBLANK('2025'!$P294), 0, 1), 3, if(ISBLANK('2025'!$Q294), 0, 1), 4, if(ISBLANK('2025'!$R294), 0, 1), 5, if(ISBLANK('2025'!$S294), 0, 1), 6, if(ISBLANK('2025'!$T294), 0, 1), 7, 0))), 1, "")</f>
        <v/>
      </c>
      <c r="AC296" s="1" t="str">
        <f>IF(AND(AND(AND(AC$4&gt;='2025'!$L294,AC$4&lt;='2025'!$M294), AC$4&lt;&gt;DATE(2025,7,4)), (SWITCH(weekday(AC$4), 1, 0, 2, if(ISBLANK('2025'!$P294), 0, 1), 3, if(ISBLANK('2025'!$Q294), 0, 1), 4, if(ISBLANK('2025'!$R294), 0, 1), 5, if(ISBLANK('2025'!$S294), 0, 1), 6, if(ISBLANK('2025'!$T294), 0, 1), 7, 0))), 1, "")</f>
        <v/>
      </c>
      <c r="AD296" s="1" t="str">
        <f>IF(AND(AND(AND(AD$4&gt;='2025'!$L294,AD$4&lt;='2025'!$M294), AD$4&lt;&gt;DATE(2025,7,4)), (SWITCH(weekday(AD$4), 1, 0, 2, if(ISBLANK('2025'!$P294), 0, 1), 3, if(ISBLANK('2025'!$Q294), 0, 1), 4, if(ISBLANK('2025'!$R294), 0, 1), 5, if(ISBLANK('2025'!$S294), 0, 1), 6, if(ISBLANK('2025'!$T294), 0, 1), 7, 0))), 1, "")</f>
        <v/>
      </c>
      <c r="AE296" s="1" t="str">
        <f>IF(AND(AND(AND(AE$4&gt;='2025'!$L294,AE$4&lt;='2025'!$M294), AE$4&lt;&gt;DATE(2025,7,4)), (SWITCH(weekday(AE$4), 1, 0, 2, if(ISBLANK('2025'!$P294), 0, 1), 3, if(ISBLANK('2025'!$Q294), 0, 1), 4, if(ISBLANK('2025'!$R294), 0, 1), 5, if(ISBLANK('2025'!$S294), 0, 1), 6, if(ISBLANK('2025'!$T294), 0, 1), 7, 0))), 1, "")</f>
        <v/>
      </c>
      <c r="AF296" s="1" t="str">
        <f>IF(AND(AND(AND(AF$4&gt;='2025'!$L294,AF$4&lt;='2025'!$M294), AF$4&lt;&gt;DATE(2025,7,4)), (SWITCH(weekday(AF$4), 1, 0, 2, if(ISBLANK('2025'!$P294), 0, 1), 3, if(ISBLANK('2025'!$Q294), 0, 1), 4, if(ISBLANK('2025'!$R294), 0, 1), 5, if(ISBLANK('2025'!$S294), 0, 1), 6, if(ISBLANK('2025'!$T294), 0, 1), 7, 0))), 1, "")</f>
        <v/>
      </c>
      <c r="AG296" s="1" t="str">
        <f>IF(AND(AND(AND(AG$4&gt;='2025'!$L294,AG$4&lt;='2025'!$M294), AG$4&lt;&gt;DATE(2025,7,4)), (SWITCH(weekday(AG$4), 1, 0, 2, if(ISBLANK('2025'!$P294), 0, 1), 3, if(ISBLANK('2025'!$Q294), 0, 1), 4, if(ISBLANK('2025'!$R294), 0, 1), 5, if(ISBLANK('2025'!$S294), 0, 1), 6, if(ISBLANK('2025'!$T294), 0, 1), 7, 0))), 1, "")</f>
        <v/>
      </c>
      <c r="AH296" s="1" t="str">
        <f>IF(AND(AND(AND(AH$4&gt;='2025'!$L294,AH$4&lt;='2025'!$M294), AH$4&lt;&gt;DATE(2025,7,4)), (SWITCH(weekday(AH$4), 1, 0, 2, if(ISBLANK('2025'!$P294), 0, 1), 3, if(ISBLANK('2025'!$Q294), 0, 1), 4, if(ISBLANK('2025'!$R294), 0, 1), 5, if(ISBLANK('2025'!$S294), 0, 1), 6, if(ISBLANK('2025'!$T294), 0, 1), 7, 0))), 1, "")</f>
        <v/>
      </c>
      <c r="AI296" s="1" t="str">
        <f>IF(AND(AND(AND(AI$4&gt;='2025'!$L294,AI$4&lt;='2025'!$M294), AI$4&lt;&gt;DATE(2025,7,4)), (SWITCH(weekday(AI$4), 1, 0, 2, if(ISBLANK('2025'!$P294), 0, 1), 3, if(ISBLANK('2025'!$Q294), 0, 1), 4, if(ISBLANK('2025'!$R294), 0, 1), 5, if(ISBLANK('2025'!$S294), 0, 1), 6, if(ISBLANK('2025'!$T294), 0, 1), 7, 0))), 1, "")</f>
        <v/>
      </c>
      <c r="AJ296" s="1" t="str">
        <f>IF(AND(AND(AND(AJ$4&gt;='2025'!$L294,AJ$4&lt;='2025'!$M294), AJ$4&lt;&gt;DATE(2025,7,4)), (SWITCH(weekday(AJ$4), 1, 0, 2, if(ISBLANK('2025'!$P294), 0, 1), 3, if(ISBLANK('2025'!$Q294), 0, 1), 4, if(ISBLANK('2025'!$R294), 0, 1), 5, if(ISBLANK('2025'!$S294), 0, 1), 6, if(ISBLANK('2025'!$T294), 0, 1), 7, 0))), 1, "")</f>
        <v/>
      </c>
      <c r="AK296" s="1" t="str">
        <f>IF(AND(AND(AND(AK$4&gt;='2025'!$L294,AK$4&lt;='2025'!$M294), AK$4&lt;&gt;DATE(2025,7,4)), (SWITCH(weekday(AK$4), 1, 0, 2, if(ISBLANK('2025'!$P294), 0, 1), 3, if(ISBLANK('2025'!$Q294), 0, 1), 4, if(ISBLANK('2025'!$R294), 0, 1), 5, if(ISBLANK('2025'!$S294), 0, 1), 6, if(ISBLANK('2025'!$T294), 0, 1), 7, 0))), 1, "")</f>
        <v/>
      </c>
      <c r="AL296" s="1" t="str">
        <f>IF(AND(AND(AND(AL$4&gt;='2025'!$L294,AL$4&lt;='2025'!$M294), AL$4&lt;&gt;DATE(2025,7,4)), (SWITCH(weekday(AL$4), 1, 0, 2, if(ISBLANK('2025'!$P294), 0, 1), 3, if(ISBLANK('2025'!$Q294), 0, 1), 4, if(ISBLANK('2025'!$R294), 0, 1), 5, if(ISBLANK('2025'!$S294), 0, 1), 6, if(ISBLANK('2025'!$T294), 0, 1), 7, 0))), 1, "")</f>
        <v/>
      </c>
      <c r="AM296" s="1" t="str">
        <f>IF(AND(AND(AND(AM$4&gt;='2025'!$L294,AM$4&lt;='2025'!$M294), AM$4&lt;&gt;DATE(2025,7,4)), (SWITCH(weekday(AM$4), 1, 0, 2, if(ISBLANK('2025'!$P294), 0, 1), 3, if(ISBLANK('2025'!$Q294), 0, 1), 4, if(ISBLANK('2025'!$R294), 0, 1), 5, if(ISBLANK('2025'!$S294), 0, 1), 6, if(ISBLANK('2025'!$T294), 0, 1), 7, 0))), 1, "")</f>
        <v/>
      </c>
      <c r="AN296" s="1" t="str">
        <f>IF(AND(AND(AND(AN$4&gt;='2025'!$L294,AN$4&lt;='2025'!$M294), AN$4&lt;&gt;DATE(2025,7,4)), (SWITCH(weekday(AN$4), 1, 0, 2, if(ISBLANK('2025'!$P294), 0, 1), 3, if(ISBLANK('2025'!$Q294), 0, 1), 4, if(ISBLANK('2025'!$R294), 0, 1), 5, if(ISBLANK('2025'!$S294), 0, 1), 6, if(ISBLANK('2025'!$T294), 0, 1), 7, 0))), 1, "")</f>
        <v/>
      </c>
      <c r="AO296" s="1" t="str">
        <f>IF(AND(AND(AND(AO$4&gt;='2025'!$L294,AO$4&lt;='2025'!$M294), AO$4&lt;&gt;DATE(2025,7,4)), (SWITCH(weekday(AO$4), 1, 0, 2, if(ISBLANK('2025'!$P294), 0, 1), 3, if(ISBLANK('2025'!$Q294), 0, 1), 4, if(ISBLANK('2025'!$R294), 0, 1), 5, if(ISBLANK('2025'!$S294), 0, 1), 6, if(ISBLANK('2025'!$T294), 0, 1), 7, 0))), 1, "")</f>
        <v/>
      </c>
      <c r="AP296" s="1" t="str">
        <f>IF(AND(AND(AND(AP$4&gt;='2025'!$L294,AP$4&lt;='2025'!$M294), AP$4&lt;&gt;DATE(2025,7,4)), (SWITCH(weekday(AP$4), 1, 0, 2, if(ISBLANK('2025'!$P294), 0, 1), 3, if(ISBLANK('2025'!$Q294), 0, 1), 4, if(ISBLANK('2025'!$R294), 0, 1), 5, if(ISBLANK('2025'!$S294), 0, 1), 6, if(ISBLANK('2025'!$T294), 0, 1), 7, 0))), 1, "")</f>
        <v/>
      </c>
      <c r="AQ296" s="1" t="str">
        <f>IF(AND(AND(AND(AQ$4&gt;='2025'!$L294,AQ$4&lt;='2025'!$M294), AQ$4&lt;&gt;DATE(2025,7,4)), (SWITCH(weekday(AQ$4), 1, 0, 2, if(ISBLANK('2025'!$P294), 0, 1), 3, if(ISBLANK('2025'!$Q294), 0, 1), 4, if(ISBLANK('2025'!$R294), 0, 1), 5, if(ISBLANK('2025'!$S294), 0, 1), 6, if(ISBLANK('2025'!$T294), 0, 1), 7, 0))), 1, "")</f>
        <v/>
      </c>
      <c r="AR296" s="1" t="str">
        <f>IF(AND(AND(AND(AR$4&gt;='2025'!$L294,AR$4&lt;='2025'!$M294), AR$4&lt;&gt;DATE(2025,7,4)), (SWITCH(weekday(AR$4), 1, 0, 2, if(ISBLANK('2025'!$P294), 0, 1), 3, if(ISBLANK('2025'!$Q294), 0, 1), 4, if(ISBLANK('2025'!$R294), 0, 1), 5, if(ISBLANK('2025'!$S294), 0, 1), 6, if(ISBLANK('2025'!$T294), 0, 1), 7, 0))), 1, "")</f>
        <v/>
      </c>
      <c r="AS296" s="1" t="str">
        <f>IF(AND(AND(AND(AS$4&gt;='2025'!$L294,AS$4&lt;='2025'!$M294), AS$4&lt;&gt;DATE(2025,7,4)), (SWITCH(weekday(AS$4), 1, 0, 2, if(ISBLANK('2025'!$P294), 0, 1), 3, if(ISBLANK('2025'!$Q294), 0, 1), 4, if(ISBLANK('2025'!$R294), 0, 1), 5, if(ISBLANK('2025'!$S294), 0, 1), 6, if(ISBLANK('2025'!$T294), 0, 1), 7, 0))), 1, "")</f>
        <v/>
      </c>
      <c r="AT296" s="1" t="str">
        <f>IF(AND(AND(AND(AT$4&gt;='2025'!$L294,AT$4&lt;='2025'!$M294), AT$4&lt;&gt;DATE(2025,7,4)), (SWITCH(weekday(AT$4), 1, 0, 2, if(ISBLANK('2025'!$P294), 0, 1), 3, if(ISBLANK('2025'!$Q294), 0, 1), 4, if(ISBLANK('2025'!$R294), 0, 1), 5, if(ISBLANK('2025'!$S294), 0, 1), 6, if(ISBLANK('2025'!$T294), 0, 1), 7, 0))), 1, "")</f>
        <v/>
      </c>
      <c r="AU296" s="1" t="str">
        <f>IF(AND(AND(AND(AU$4&gt;='2025'!$L294,AU$4&lt;='2025'!$M294), AU$4&lt;&gt;DATE(2025,7,4)), (SWITCH(weekday(AU$4), 1, 0, 2, if(ISBLANK('2025'!$P294), 0, 1), 3, if(ISBLANK('2025'!$Q294), 0, 1), 4, if(ISBLANK('2025'!$R294), 0, 1), 5, if(ISBLANK('2025'!$S294), 0, 1), 6, if(ISBLANK('2025'!$T294), 0, 1), 7, 0))), 1, "")</f>
        <v/>
      </c>
      <c r="AV296" s="1" t="str">
        <f>IF(AND(AND(AND(AV$4&gt;='2025'!$L294,AV$4&lt;='2025'!$M294), AV$4&lt;&gt;DATE(2025,7,4)), (SWITCH(weekday(AV$4), 1, 0, 2, if(ISBLANK('2025'!$P294), 0, 1), 3, if(ISBLANK('2025'!$Q294), 0, 1), 4, if(ISBLANK('2025'!$R294), 0, 1), 5, if(ISBLANK('2025'!$S294), 0, 1), 6, if(ISBLANK('2025'!$T294), 0, 1), 7, 0))), 1, "")</f>
        <v/>
      </c>
      <c r="AW296" s="1" t="str">
        <f>IF(AND(AND(AND(AW$4&gt;='2025'!$L294,AW$4&lt;='2025'!$M294), AW$4&lt;&gt;DATE(2025,7,4)), (SWITCH(weekday(AW$4), 1, 0, 2, if(ISBLANK('2025'!$P294), 0, 1), 3, if(ISBLANK('2025'!$Q294), 0, 1), 4, if(ISBLANK('2025'!$R294), 0, 1), 5, if(ISBLANK('2025'!$S294), 0, 1), 6, if(ISBLANK('2025'!$T294), 0, 1), 7, 0))), 1, "")</f>
        <v/>
      </c>
      <c r="AX296" s="1" t="str">
        <f>IF(AND(AND(AND(AX$4&gt;='2025'!$L294,AX$4&lt;='2025'!$M294), AX$4&lt;&gt;DATE(2025,7,4)), (SWITCH(weekday(AX$4), 1, 0, 2, if(ISBLANK('2025'!$P294), 0, 1), 3, if(ISBLANK('2025'!$Q294), 0, 1), 4, if(ISBLANK('2025'!$R294), 0, 1), 5, if(ISBLANK('2025'!$S294), 0, 1), 6, if(ISBLANK('2025'!$T294), 0, 1), 7, 0))), 1, "")</f>
        <v/>
      </c>
      <c r="AY296" s="1" t="str">
        <f>IF(AND(AND(AND(AY$4&gt;='2025'!$L294,AY$4&lt;='2025'!$M294), AY$4&lt;&gt;DATE(2025,7,4)), (SWITCH(weekday(AY$4), 1, 0, 2, if(ISBLANK('2025'!$P294), 0, 1), 3, if(ISBLANK('2025'!$Q294), 0, 1), 4, if(ISBLANK('2025'!$R294), 0, 1), 5, if(ISBLANK('2025'!$S294), 0, 1), 6, if(ISBLANK('2025'!$T294), 0, 1), 7, 0))), 1, "")</f>
        <v/>
      </c>
      <c r="AZ296" s="1" t="str">
        <f>IF(AND(AND(AND(AZ$4&gt;='2025'!$L294,AZ$4&lt;='2025'!$M294), AZ$4&lt;&gt;DATE(2025,7,4)), (SWITCH(weekday(AZ$4), 1, 0, 2, if(ISBLANK('2025'!$P294), 0, 1), 3, if(ISBLANK('2025'!$Q294), 0, 1), 4, if(ISBLANK('2025'!$R294), 0, 1), 5, if(ISBLANK('2025'!$S294), 0, 1), 6, if(ISBLANK('2025'!$T294), 0, 1), 7, 0))), 1, "")</f>
        <v/>
      </c>
      <c r="BA296" s="1" t="str">
        <f>IF(AND(AND(AND(BA$4&gt;='2025'!$L294,BA$4&lt;='2025'!$M294), BA$4&lt;&gt;DATE(2025,7,4)), (SWITCH(weekday(BA$4), 1, 0, 2, if(ISBLANK('2025'!$P294), 0, 1), 3, if(ISBLANK('2025'!$Q294), 0, 1), 4, if(ISBLANK('2025'!$R294), 0, 1), 5, if(ISBLANK('2025'!$S294), 0, 1), 6, if(ISBLANK('2025'!$T294), 0, 1), 7, 0))), 1, "")</f>
        <v/>
      </c>
      <c r="BB296" s="1" t="str">
        <f>IF(AND(AND(AND(BB$4&gt;='2025'!$L294,BB$4&lt;='2025'!$M294), BB$4&lt;&gt;DATE(2025,7,4)), (SWITCH(weekday(BB$4), 1, 0, 2, if(ISBLANK('2025'!$P294), 0, 1), 3, if(ISBLANK('2025'!$Q294), 0, 1), 4, if(ISBLANK('2025'!$R294), 0, 1), 5, if(ISBLANK('2025'!$S294), 0, 1), 6, if(ISBLANK('2025'!$T294), 0, 1), 7, 0))), 1, "")</f>
        <v/>
      </c>
      <c r="BC296" s="1" t="str">
        <f>IF(AND(AND(AND(BC$4&gt;='2025'!$L294,BC$4&lt;='2025'!$M294), BC$4&lt;&gt;DATE(2025,7,4)), (SWITCH(weekday(BC$4), 1, 0, 2, if(ISBLANK('2025'!$P294), 0, 1), 3, if(ISBLANK('2025'!$Q294), 0, 1), 4, if(ISBLANK('2025'!$R294), 0, 1), 5, if(ISBLANK('2025'!$S294), 0, 1), 6, if(ISBLANK('2025'!$T294), 0, 1), 7, 0))), 1, "")</f>
        <v/>
      </c>
      <c r="BD296" s="1" t="str">
        <f>IF(AND(AND(AND(BD$4&gt;='2025'!$L294,BD$4&lt;='2025'!$M294), BD$4&lt;&gt;DATE(2025,7,4)), (SWITCH(weekday(BD$4), 1, 0, 2, if(ISBLANK('2025'!$P294), 0, 1), 3, if(ISBLANK('2025'!$Q294), 0, 1), 4, if(ISBLANK('2025'!$R294), 0, 1), 5, if(ISBLANK('2025'!$S294), 0, 1), 6, if(ISBLANK('2025'!$T294), 0, 1), 7, 0))), 1, "")</f>
        <v/>
      </c>
      <c r="BE296" s="1" t="str">
        <f>IF(AND(AND(AND(BE$4&gt;='2025'!$L294,BE$4&lt;='2025'!$M294), BE$4&lt;&gt;DATE(2025,7,4)), (SWITCH(weekday(BE$4), 1, 0, 2, if(ISBLANK('2025'!$P294), 0, 1), 3, if(ISBLANK('2025'!$Q294), 0, 1), 4, if(ISBLANK('2025'!$R294), 0, 1), 5, if(ISBLANK('2025'!$S294), 0, 1), 6, if(ISBLANK('2025'!$T294), 0, 1), 7, 0))), 1, "")</f>
        <v/>
      </c>
      <c r="BF296" s="1" t="str">
        <f>IF(AND(AND(AND(BF$4&gt;='2025'!$L294,BF$4&lt;='2025'!$M294), BF$4&lt;&gt;DATE(2025,7,4)), (SWITCH(weekday(BF$4), 1, 0, 2, if(ISBLANK('2025'!$P294), 0, 1), 3, if(ISBLANK('2025'!$Q294), 0, 1), 4, if(ISBLANK('2025'!$R294), 0, 1), 5, if(ISBLANK('2025'!$S294), 0, 1), 6, if(ISBLANK('2025'!$T294), 0, 1), 7, 0))), 1, "")</f>
        <v/>
      </c>
      <c r="BG296" s="1"/>
      <c r="BH296" s="1"/>
      <c r="BI296" s="1"/>
      <c r="BJ296" s="1"/>
      <c r="BK296" s="1"/>
      <c r="BL296" s="1"/>
    </row>
    <row r="297">
      <c r="A297" s="1">
        <f t="shared" si="3"/>
        <v>297</v>
      </c>
      <c r="B297" s="1" t="str">
        <f>'2025'!D261</f>
        <v>, </v>
      </c>
      <c r="C297" s="1" t="str">
        <f>'2025'!H261</f>
        <v/>
      </c>
      <c r="D297" s="1" t="str">
        <f>IF(AND(AND(AND(D$4&gt;='2025'!$L295,D$4&lt;='2025'!$M295), D$4&lt;&gt;DATE(2025,7,4)), (SWITCH(weekday(D$4), 1, 0, 2, if(ISBLANK('2025'!$P295), 0, 1), 3, if(ISBLANK('2025'!$Q295), 0, 1), 4, if(ISBLANK('2025'!$R295), 0, 1), 5, if(ISBLANK('2025'!$S295), 0, 1), 6, if(ISBLANK('2025'!$T295), 0, 1), 7, 0))), 1, "")</f>
        <v/>
      </c>
      <c r="E297" s="1" t="str">
        <f>IF(AND(AND(AND(E$4&gt;='2025'!$L295,E$4&lt;='2025'!$M295), E$4&lt;&gt;DATE(2025,7,4)), (SWITCH(weekday(E$4), 1, 0, 2, if(ISBLANK('2025'!$P295), 0, 1), 3, if(ISBLANK('2025'!$Q295), 0, 1), 4, if(ISBLANK('2025'!$R295), 0, 1), 5, if(ISBLANK('2025'!$S295), 0, 1), 6, if(ISBLANK('2025'!$T295), 0, 1), 7, 0))), 1, "")</f>
        <v/>
      </c>
      <c r="F297" s="1" t="str">
        <f>IF(AND(AND(AND(F$4&gt;='2025'!$L295,F$4&lt;='2025'!$M295), F$4&lt;&gt;DATE(2025,7,4)), (SWITCH(weekday(F$4), 1, 0, 2, if(ISBLANK('2025'!$P295), 0, 1), 3, if(ISBLANK('2025'!$Q295), 0, 1), 4, if(ISBLANK('2025'!$R295), 0, 1), 5, if(ISBLANK('2025'!$S295), 0, 1), 6, if(ISBLANK('2025'!$T295), 0, 1), 7, 0))), 1, "")</f>
        <v/>
      </c>
      <c r="G297" s="1" t="str">
        <f>IF(AND(AND(AND(G$4&gt;='2025'!$L295,G$4&lt;='2025'!$M295), G$4&lt;&gt;DATE(2025,7,4)), (SWITCH(weekday(G$4), 1, 0, 2, if(ISBLANK('2025'!$P295), 0, 1), 3, if(ISBLANK('2025'!$Q295), 0, 1), 4, if(ISBLANK('2025'!$R295), 0, 1), 5, if(ISBLANK('2025'!$S295), 0, 1), 6, if(ISBLANK('2025'!$T295), 0, 1), 7, 0))), 1, "")</f>
        <v/>
      </c>
      <c r="H297" s="1" t="str">
        <f>IF(AND(AND(AND(H$4&gt;='2025'!$L295,H$4&lt;='2025'!$M295), H$4&lt;&gt;DATE(2025,7,4)), (SWITCH(weekday(H$4), 1, 0, 2, if(ISBLANK('2025'!$P295), 0, 1), 3, if(ISBLANK('2025'!$Q295), 0, 1), 4, if(ISBLANK('2025'!$R295), 0, 1), 5, if(ISBLANK('2025'!$S295), 0, 1), 6, if(ISBLANK('2025'!$T295), 0, 1), 7, 0))), 1, "")</f>
        <v/>
      </c>
      <c r="I297" s="1" t="str">
        <f>IF(AND(AND(AND(I$4&gt;='2025'!$L295,I$4&lt;='2025'!$M295), I$4&lt;&gt;DATE(2025,7,4)), (SWITCH(weekday(I$4), 1, 0, 2, if(ISBLANK('2025'!$P295), 0, 1), 3, if(ISBLANK('2025'!$Q295), 0, 1), 4, if(ISBLANK('2025'!$R295), 0, 1), 5, if(ISBLANK('2025'!$S295), 0, 1), 6, if(ISBLANK('2025'!$T295), 0, 1), 7, 0))), 1, "")</f>
        <v/>
      </c>
      <c r="J297" s="1" t="str">
        <f>IF(AND(AND(AND(J$4&gt;='2025'!$L295,J$4&lt;='2025'!$M295), J$4&lt;&gt;DATE(2025,7,4)), (SWITCH(weekday(J$4), 1, 0, 2, if(ISBLANK('2025'!$P295), 0, 1), 3, if(ISBLANK('2025'!$Q295), 0, 1), 4, if(ISBLANK('2025'!$R295), 0, 1), 5, if(ISBLANK('2025'!$S295), 0, 1), 6, if(ISBLANK('2025'!$T295), 0, 1), 7, 0))), 1, "")</f>
        <v/>
      </c>
      <c r="K297" s="1" t="str">
        <f>IF(AND(AND(AND(K$4&gt;='2025'!$L295,K$4&lt;='2025'!$M295), K$4&lt;&gt;DATE(2025,7,4)), (SWITCH(weekday(K$4), 1, 0, 2, if(ISBLANK('2025'!$P295), 0, 1), 3, if(ISBLANK('2025'!$Q295), 0, 1), 4, if(ISBLANK('2025'!$R295), 0, 1), 5, if(ISBLANK('2025'!$S295), 0, 1), 6, if(ISBLANK('2025'!$T295), 0, 1), 7, 0))), 1, "")</f>
        <v/>
      </c>
      <c r="L297" s="1" t="str">
        <f>IF(AND(AND(AND(L$4&gt;='2025'!$L295,L$4&lt;='2025'!$M295), L$4&lt;&gt;DATE(2025,7,4)), (SWITCH(weekday(L$4), 1, 0, 2, if(ISBLANK('2025'!$P295), 0, 1), 3, if(ISBLANK('2025'!$Q295), 0, 1), 4, if(ISBLANK('2025'!$R295), 0, 1), 5, if(ISBLANK('2025'!$S295), 0, 1), 6, if(ISBLANK('2025'!$T295), 0, 1), 7, 0))), 1, "")</f>
        <v/>
      </c>
      <c r="M297" s="1" t="str">
        <f>IF(AND(AND(AND(M$4&gt;='2025'!$L295,M$4&lt;='2025'!$M295), M$4&lt;&gt;DATE(2025,7,4)), (SWITCH(weekday(M$4), 1, 0, 2, if(ISBLANK('2025'!$P295), 0, 1), 3, if(ISBLANK('2025'!$Q295), 0, 1), 4, if(ISBLANK('2025'!$R295), 0, 1), 5, if(ISBLANK('2025'!$S295), 0, 1), 6, if(ISBLANK('2025'!$T295), 0, 1), 7, 0))), 1, "")</f>
        <v/>
      </c>
      <c r="N297" s="1" t="str">
        <f>IF(AND(AND(AND(N$4&gt;='2025'!$L295,N$4&lt;='2025'!$M295), N$4&lt;&gt;DATE(2025,7,4)), (SWITCH(weekday(N$4), 1, 0, 2, if(ISBLANK('2025'!$P295), 0, 1), 3, if(ISBLANK('2025'!$Q295), 0, 1), 4, if(ISBLANK('2025'!$R295), 0, 1), 5, if(ISBLANK('2025'!$S295), 0, 1), 6, if(ISBLANK('2025'!$T295), 0, 1), 7, 0))), 1, "")</f>
        <v/>
      </c>
      <c r="O297" s="1" t="str">
        <f>IF(AND(AND(AND(O$4&gt;='2025'!$L295,O$4&lt;='2025'!$M295), O$4&lt;&gt;DATE(2025,7,4)), (SWITCH(weekday(O$4), 1, 0, 2, if(ISBLANK('2025'!$P295), 0, 1), 3, if(ISBLANK('2025'!$Q295), 0, 1), 4, if(ISBLANK('2025'!$R295), 0, 1), 5, if(ISBLANK('2025'!$S295), 0, 1), 6, if(ISBLANK('2025'!$T295), 0, 1), 7, 0))), 1, "")</f>
        <v/>
      </c>
      <c r="P297" s="1" t="str">
        <f>IF(AND(AND(AND(P$4&gt;='2025'!$L295,P$4&lt;='2025'!$M295), P$4&lt;&gt;DATE(2025,7,4)), (SWITCH(weekday(P$4), 1, 0, 2, if(ISBLANK('2025'!$P295), 0, 1), 3, if(ISBLANK('2025'!$Q295), 0, 1), 4, if(ISBLANK('2025'!$R295), 0, 1), 5, if(ISBLANK('2025'!$S295), 0, 1), 6, if(ISBLANK('2025'!$T295), 0, 1), 7, 0))), 1, "")</f>
        <v/>
      </c>
      <c r="Q297" s="1" t="str">
        <f>IF(AND(AND(AND(Q$4&gt;='2025'!$L295,Q$4&lt;='2025'!$M295), Q$4&lt;&gt;DATE(2025,7,4)), (SWITCH(weekday(Q$4), 1, 0, 2, if(ISBLANK('2025'!$P295), 0, 1), 3, if(ISBLANK('2025'!$Q295), 0, 1), 4, if(ISBLANK('2025'!$R295), 0, 1), 5, if(ISBLANK('2025'!$S295), 0, 1), 6, if(ISBLANK('2025'!$T295), 0, 1), 7, 0))), 1, "")</f>
        <v/>
      </c>
      <c r="R297" s="1" t="str">
        <f>IF(AND(AND(AND(R$4&gt;='2025'!$L295,R$4&lt;='2025'!$M295), R$4&lt;&gt;DATE(2025,7,4)), (SWITCH(weekday(R$4), 1, 0, 2, if(ISBLANK('2025'!$P295), 0, 1), 3, if(ISBLANK('2025'!$Q295), 0, 1), 4, if(ISBLANK('2025'!$R295), 0, 1), 5, if(ISBLANK('2025'!$S295), 0, 1), 6, if(ISBLANK('2025'!$T295), 0, 1), 7, 0))), 1, "")</f>
        <v/>
      </c>
      <c r="S297" s="1" t="str">
        <f>IF(AND(AND(AND(S$4&gt;='2025'!$L295,S$4&lt;='2025'!$M295), S$4&lt;&gt;DATE(2025,7,4)), (SWITCH(weekday(S$4), 1, 0, 2, if(ISBLANK('2025'!$P295), 0, 1), 3, if(ISBLANK('2025'!$Q295), 0, 1), 4, if(ISBLANK('2025'!$R295), 0, 1), 5, if(ISBLANK('2025'!$S295), 0, 1), 6, if(ISBLANK('2025'!$T295), 0, 1), 7, 0))), 1, "")</f>
        <v/>
      </c>
      <c r="T297" s="1" t="str">
        <f>IF(AND(AND(AND(T$4&gt;='2025'!$L295,T$4&lt;='2025'!$M295), T$4&lt;&gt;DATE(2025,7,4)), (SWITCH(weekday(T$4), 1, 0, 2, if(ISBLANK('2025'!$P295), 0, 1), 3, if(ISBLANK('2025'!$Q295), 0, 1), 4, if(ISBLANK('2025'!$R295), 0, 1), 5, if(ISBLANK('2025'!$S295), 0, 1), 6, if(ISBLANK('2025'!$T295), 0, 1), 7, 0))), 1, "")</f>
        <v/>
      </c>
      <c r="U297" s="1" t="str">
        <f>IF(AND(AND(AND(U$4&gt;='2025'!$L295,U$4&lt;='2025'!$M295), U$4&lt;&gt;DATE(2025,7,4)), (SWITCH(weekday(U$4), 1, 0, 2, if(ISBLANK('2025'!$P295), 0, 1), 3, if(ISBLANK('2025'!$Q295), 0, 1), 4, if(ISBLANK('2025'!$R295), 0, 1), 5, if(ISBLANK('2025'!$S295), 0, 1), 6, if(ISBLANK('2025'!$T295), 0, 1), 7, 0))), 1, "")</f>
        <v/>
      </c>
      <c r="V297" s="1" t="str">
        <f>IF(AND(AND(AND(V$4&gt;='2025'!$L295,V$4&lt;='2025'!$M295), V$4&lt;&gt;DATE(2025,7,4)), (SWITCH(weekday(V$4), 1, 0, 2, if(ISBLANK('2025'!$P295), 0, 1), 3, if(ISBLANK('2025'!$Q295), 0, 1), 4, if(ISBLANK('2025'!$R295), 0, 1), 5, if(ISBLANK('2025'!$S295), 0, 1), 6, if(ISBLANK('2025'!$T295), 0, 1), 7, 0))), 1, "")</f>
        <v/>
      </c>
      <c r="W297" s="1" t="str">
        <f>IF(AND(AND(AND(W$4&gt;='2025'!$L295,W$4&lt;='2025'!$M295), W$4&lt;&gt;DATE(2025,7,4)), (SWITCH(weekday(W$4), 1, 0, 2, if(ISBLANK('2025'!$P295), 0, 1), 3, if(ISBLANK('2025'!$Q295), 0, 1), 4, if(ISBLANK('2025'!$R295), 0, 1), 5, if(ISBLANK('2025'!$S295), 0, 1), 6, if(ISBLANK('2025'!$T295), 0, 1), 7, 0))), 1, "")</f>
        <v/>
      </c>
      <c r="X297" s="1" t="str">
        <f>IF(AND(AND(AND(X$4&gt;='2025'!$L295,X$4&lt;='2025'!$M295), X$4&lt;&gt;DATE(2025,7,4)), (SWITCH(weekday(X$4), 1, 0, 2, if(ISBLANK('2025'!$P295), 0, 1), 3, if(ISBLANK('2025'!$Q295), 0, 1), 4, if(ISBLANK('2025'!$R295), 0, 1), 5, if(ISBLANK('2025'!$S295), 0, 1), 6, if(ISBLANK('2025'!$T295), 0, 1), 7, 0))), 1, "")</f>
        <v/>
      </c>
      <c r="Y297" s="1" t="str">
        <f>IF(AND(AND(AND(Y$4&gt;='2025'!$L295,Y$4&lt;='2025'!$M295), Y$4&lt;&gt;DATE(2025,7,4)), (SWITCH(weekday(Y$4), 1, 0, 2, if(ISBLANK('2025'!$P295), 0, 1), 3, if(ISBLANK('2025'!$Q295), 0, 1), 4, if(ISBLANK('2025'!$R295), 0, 1), 5, if(ISBLANK('2025'!$S295), 0, 1), 6, if(ISBLANK('2025'!$T295), 0, 1), 7, 0))), 1, "")</f>
        <v/>
      </c>
      <c r="Z297" s="1" t="str">
        <f>IF(AND(AND(AND(Z$4&gt;='2025'!$L295,Z$4&lt;='2025'!$M295), Z$4&lt;&gt;DATE(2025,7,4)), (SWITCH(weekday(Z$4), 1, 0, 2, if(ISBLANK('2025'!$P295), 0, 1), 3, if(ISBLANK('2025'!$Q295), 0, 1), 4, if(ISBLANK('2025'!$R295), 0, 1), 5, if(ISBLANK('2025'!$S295), 0, 1), 6, if(ISBLANK('2025'!$T295), 0, 1), 7, 0))), 1, "")</f>
        <v/>
      </c>
      <c r="AA297" s="1" t="str">
        <f>IF(AND(AND(AND(AA$4&gt;='2025'!$L295,AA$4&lt;='2025'!$M295), AA$4&lt;&gt;DATE(2025,7,4)), (SWITCH(weekday(AA$4), 1, 0, 2, if(ISBLANK('2025'!$P295), 0, 1), 3, if(ISBLANK('2025'!$Q295), 0, 1), 4, if(ISBLANK('2025'!$R295), 0, 1), 5, if(ISBLANK('2025'!$S295), 0, 1), 6, if(ISBLANK('2025'!$T295), 0, 1), 7, 0))), 1, "")</f>
        <v/>
      </c>
      <c r="AB297" s="1" t="str">
        <f>IF(AND(AND(AND(AB$4&gt;='2025'!$L295,AB$4&lt;='2025'!$M295), AB$4&lt;&gt;DATE(2025,7,4)), (SWITCH(weekday(AB$4), 1, 0, 2, if(ISBLANK('2025'!$P295), 0, 1), 3, if(ISBLANK('2025'!$Q295), 0, 1), 4, if(ISBLANK('2025'!$R295), 0, 1), 5, if(ISBLANK('2025'!$S295), 0, 1), 6, if(ISBLANK('2025'!$T295), 0, 1), 7, 0))), 1, "")</f>
        <v/>
      </c>
      <c r="AC297" s="1" t="str">
        <f>IF(AND(AND(AND(AC$4&gt;='2025'!$L295,AC$4&lt;='2025'!$M295), AC$4&lt;&gt;DATE(2025,7,4)), (SWITCH(weekday(AC$4), 1, 0, 2, if(ISBLANK('2025'!$P295), 0, 1), 3, if(ISBLANK('2025'!$Q295), 0, 1), 4, if(ISBLANK('2025'!$R295), 0, 1), 5, if(ISBLANK('2025'!$S295), 0, 1), 6, if(ISBLANK('2025'!$T295), 0, 1), 7, 0))), 1, "")</f>
        <v/>
      </c>
      <c r="AD297" s="1" t="str">
        <f>IF(AND(AND(AND(AD$4&gt;='2025'!$L295,AD$4&lt;='2025'!$M295), AD$4&lt;&gt;DATE(2025,7,4)), (SWITCH(weekday(AD$4), 1, 0, 2, if(ISBLANK('2025'!$P295), 0, 1), 3, if(ISBLANK('2025'!$Q295), 0, 1), 4, if(ISBLANK('2025'!$R295), 0, 1), 5, if(ISBLANK('2025'!$S295), 0, 1), 6, if(ISBLANK('2025'!$T295), 0, 1), 7, 0))), 1, "")</f>
        <v/>
      </c>
      <c r="AE297" s="1" t="str">
        <f>IF(AND(AND(AND(AE$4&gt;='2025'!$L295,AE$4&lt;='2025'!$M295), AE$4&lt;&gt;DATE(2025,7,4)), (SWITCH(weekday(AE$4), 1, 0, 2, if(ISBLANK('2025'!$P295), 0, 1), 3, if(ISBLANK('2025'!$Q295), 0, 1), 4, if(ISBLANK('2025'!$R295), 0, 1), 5, if(ISBLANK('2025'!$S295), 0, 1), 6, if(ISBLANK('2025'!$T295), 0, 1), 7, 0))), 1, "")</f>
        <v/>
      </c>
      <c r="AF297" s="1" t="str">
        <f>IF(AND(AND(AND(AF$4&gt;='2025'!$L295,AF$4&lt;='2025'!$M295), AF$4&lt;&gt;DATE(2025,7,4)), (SWITCH(weekday(AF$4), 1, 0, 2, if(ISBLANK('2025'!$P295), 0, 1), 3, if(ISBLANK('2025'!$Q295), 0, 1), 4, if(ISBLANK('2025'!$R295), 0, 1), 5, if(ISBLANK('2025'!$S295), 0, 1), 6, if(ISBLANK('2025'!$T295), 0, 1), 7, 0))), 1, "")</f>
        <v/>
      </c>
      <c r="AG297" s="1" t="str">
        <f>IF(AND(AND(AND(AG$4&gt;='2025'!$L295,AG$4&lt;='2025'!$M295), AG$4&lt;&gt;DATE(2025,7,4)), (SWITCH(weekday(AG$4), 1, 0, 2, if(ISBLANK('2025'!$P295), 0, 1), 3, if(ISBLANK('2025'!$Q295), 0, 1), 4, if(ISBLANK('2025'!$R295), 0, 1), 5, if(ISBLANK('2025'!$S295), 0, 1), 6, if(ISBLANK('2025'!$T295), 0, 1), 7, 0))), 1, "")</f>
        <v/>
      </c>
      <c r="AH297" s="1" t="str">
        <f>IF(AND(AND(AND(AH$4&gt;='2025'!$L295,AH$4&lt;='2025'!$M295), AH$4&lt;&gt;DATE(2025,7,4)), (SWITCH(weekday(AH$4), 1, 0, 2, if(ISBLANK('2025'!$P295), 0, 1), 3, if(ISBLANK('2025'!$Q295), 0, 1), 4, if(ISBLANK('2025'!$R295), 0, 1), 5, if(ISBLANK('2025'!$S295), 0, 1), 6, if(ISBLANK('2025'!$T295), 0, 1), 7, 0))), 1, "")</f>
        <v/>
      </c>
      <c r="AI297" s="1" t="str">
        <f>IF(AND(AND(AND(AI$4&gt;='2025'!$L295,AI$4&lt;='2025'!$M295), AI$4&lt;&gt;DATE(2025,7,4)), (SWITCH(weekday(AI$4), 1, 0, 2, if(ISBLANK('2025'!$P295), 0, 1), 3, if(ISBLANK('2025'!$Q295), 0, 1), 4, if(ISBLANK('2025'!$R295), 0, 1), 5, if(ISBLANK('2025'!$S295), 0, 1), 6, if(ISBLANK('2025'!$T295), 0, 1), 7, 0))), 1, "")</f>
        <v/>
      </c>
      <c r="AJ297" s="1" t="str">
        <f>IF(AND(AND(AND(AJ$4&gt;='2025'!$L295,AJ$4&lt;='2025'!$M295), AJ$4&lt;&gt;DATE(2025,7,4)), (SWITCH(weekday(AJ$4), 1, 0, 2, if(ISBLANK('2025'!$P295), 0, 1), 3, if(ISBLANK('2025'!$Q295), 0, 1), 4, if(ISBLANK('2025'!$R295), 0, 1), 5, if(ISBLANK('2025'!$S295), 0, 1), 6, if(ISBLANK('2025'!$T295), 0, 1), 7, 0))), 1, "")</f>
        <v/>
      </c>
      <c r="AK297" s="1" t="str">
        <f>IF(AND(AND(AND(AK$4&gt;='2025'!$L295,AK$4&lt;='2025'!$M295), AK$4&lt;&gt;DATE(2025,7,4)), (SWITCH(weekday(AK$4), 1, 0, 2, if(ISBLANK('2025'!$P295), 0, 1), 3, if(ISBLANK('2025'!$Q295), 0, 1), 4, if(ISBLANK('2025'!$R295), 0, 1), 5, if(ISBLANK('2025'!$S295), 0, 1), 6, if(ISBLANK('2025'!$T295), 0, 1), 7, 0))), 1, "")</f>
        <v/>
      </c>
      <c r="AL297" s="1" t="str">
        <f>IF(AND(AND(AND(AL$4&gt;='2025'!$L295,AL$4&lt;='2025'!$M295), AL$4&lt;&gt;DATE(2025,7,4)), (SWITCH(weekday(AL$4), 1, 0, 2, if(ISBLANK('2025'!$P295), 0, 1), 3, if(ISBLANK('2025'!$Q295), 0, 1), 4, if(ISBLANK('2025'!$R295), 0, 1), 5, if(ISBLANK('2025'!$S295), 0, 1), 6, if(ISBLANK('2025'!$T295), 0, 1), 7, 0))), 1, "")</f>
        <v/>
      </c>
      <c r="AM297" s="1" t="str">
        <f>IF(AND(AND(AND(AM$4&gt;='2025'!$L295,AM$4&lt;='2025'!$M295), AM$4&lt;&gt;DATE(2025,7,4)), (SWITCH(weekday(AM$4), 1, 0, 2, if(ISBLANK('2025'!$P295), 0, 1), 3, if(ISBLANK('2025'!$Q295), 0, 1), 4, if(ISBLANK('2025'!$R295), 0, 1), 5, if(ISBLANK('2025'!$S295), 0, 1), 6, if(ISBLANK('2025'!$T295), 0, 1), 7, 0))), 1, "")</f>
        <v/>
      </c>
      <c r="AN297" s="1" t="str">
        <f>IF(AND(AND(AND(AN$4&gt;='2025'!$L295,AN$4&lt;='2025'!$M295), AN$4&lt;&gt;DATE(2025,7,4)), (SWITCH(weekday(AN$4), 1, 0, 2, if(ISBLANK('2025'!$P295), 0, 1), 3, if(ISBLANK('2025'!$Q295), 0, 1), 4, if(ISBLANK('2025'!$R295), 0, 1), 5, if(ISBLANK('2025'!$S295), 0, 1), 6, if(ISBLANK('2025'!$T295), 0, 1), 7, 0))), 1, "")</f>
        <v/>
      </c>
      <c r="AO297" s="1" t="str">
        <f>IF(AND(AND(AND(AO$4&gt;='2025'!$L295,AO$4&lt;='2025'!$M295), AO$4&lt;&gt;DATE(2025,7,4)), (SWITCH(weekday(AO$4), 1, 0, 2, if(ISBLANK('2025'!$P295), 0, 1), 3, if(ISBLANK('2025'!$Q295), 0, 1), 4, if(ISBLANK('2025'!$R295), 0, 1), 5, if(ISBLANK('2025'!$S295), 0, 1), 6, if(ISBLANK('2025'!$T295), 0, 1), 7, 0))), 1, "")</f>
        <v/>
      </c>
      <c r="AP297" s="1" t="str">
        <f>IF(AND(AND(AND(AP$4&gt;='2025'!$L295,AP$4&lt;='2025'!$M295), AP$4&lt;&gt;DATE(2025,7,4)), (SWITCH(weekday(AP$4), 1, 0, 2, if(ISBLANK('2025'!$P295), 0, 1), 3, if(ISBLANK('2025'!$Q295), 0, 1), 4, if(ISBLANK('2025'!$R295), 0, 1), 5, if(ISBLANK('2025'!$S295), 0, 1), 6, if(ISBLANK('2025'!$T295), 0, 1), 7, 0))), 1, "")</f>
        <v/>
      </c>
      <c r="AQ297" s="1" t="str">
        <f>IF(AND(AND(AND(AQ$4&gt;='2025'!$L295,AQ$4&lt;='2025'!$M295), AQ$4&lt;&gt;DATE(2025,7,4)), (SWITCH(weekday(AQ$4), 1, 0, 2, if(ISBLANK('2025'!$P295), 0, 1), 3, if(ISBLANK('2025'!$Q295), 0, 1), 4, if(ISBLANK('2025'!$R295), 0, 1), 5, if(ISBLANK('2025'!$S295), 0, 1), 6, if(ISBLANK('2025'!$T295), 0, 1), 7, 0))), 1, "")</f>
        <v/>
      </c>
      <c r="AR297" s="1" t="str">
        <f>IF(AND(AND(AND(AR$4&gt;='2025'!$L295,AR$4&lt;='2025'!$M295), AR$4&lt;&gt;DATE(2025,7,4)), (SWITCH(weekday(AR$4), 1, 0, 2, if(ISBLANK('2025'!$P295), 0, 1), 3, if(ISBLANK('2025'!$Q295), 0, 1), 4, if(ISBLANK('2025'!$R295), 0, 1), 5, if(ISBLANK('2025'!$S295), 0, 1), 6, if(ISBLANK('2025'!$T295), 0, 1), 7, 0))), 1, "")</f>
        <v/>
      </c>
      <c r="AS297" s="1" t="str">
        <f>IF(AND(AND(AND(AS$4&gt;='2025'!$L295,AS$4&lt;='2025'!$M295), AS$4&lt;&gt;DATE(2025,7,4)), (SWITCH(weekday(AS$4), 1, 0, 2, if(ISBLANK('2025'!$P295), 0, 1), 3, if(ISBLANK('2025'!$Q295), 0, 1), 4, if(ISBLANK('2025'!$R295), 0, 1), 5, if(ISBLANK('2025'!$S295), 0, 1), 6, if(ISBLANK('2025'!$T295), 0, 1), 7, 0))), 1, "")</f>
        <v/>
      </c>
      <c r="AT297" s="1" t="str">
        <f>IF(AND(AND(AND(AT$4&gt;='2025'!$L295,AT$4&lt;='2025'!$M295), AT$4&lt;&gt;DATE(2025,7,4)), (SWITCH(weekday(AT$4), 1, 0, 2, if(ISBLANK('2025'!$P295), 0, 1), 3, if(ISBLANK('2025'!$Q295), 0, 1), 4, if(ISBLANK('2025'!$R295), 0, 1), 5, if(ISBLANK('2025'!$S295), 0, 1), 6, if(ISBLANK('2025'!$T295), 0, 1), 7, 0))), 1, "")</f>
        <v/>
      </c>
      <c r="AU297" s="1" t="str">
        <f>IF(AND(AND(AND(AU$4&gt;='2025'!$L295,AU$4&lt;='2025'!$M295), AU$4&lt;&gt;DATE(2025,7,4)), (SWITCH(weekday(AU$4), 1, 0, 2, if(ISBLANK('2025'!$P295), 0, 1), 3, if(ISBLANK('2025'!$Q295), 0, 1), 4, if(ISBLANK('2025'!$R295), 0, 1), 5, if(ISBLANK('2025'!$S295), 0, 1), 6, if(ISBLANK('2025'!$T295), 0, 1), 7, 0))), 1, "")</f>
        <v/>
      </c>
      <c r="AV297" s="1" t="str">
        <f>IF(AND(AND(AND(AV$4&gt;='2025'!$L295,AV$4&lt;='2025'!$M295), AV$4&lt;&gt;DATE(2025,7,4)), (SWITCH(weekday(AV$4), 1, 0, 2, if(ISBLANK('2025'!$P295), 0, 1), 3, if(ISBLANK('2025'!$Q295), 0, 1), 4, if(ISBLANK('2025'!$R295), 0, 1), 5, if(ISBLANK('2025'!$S295), 0, 1), 6, if(ISBLANK('2025'!$T295), 0, 1), 7, 0))), 1, "")</f>
        <v/>
      </c>
      <c r="AW297" s="1" t="str">
        <f>IF(AND(AND(AND(AW$4&gt;='2025'!$L295,AW$4&lt;='2025'!$M295), AW$4&lt;&gt;DATE(2025,7,4)), (SWITCH(weekday(AW$4), 1, 0, 2, if(ISBLANK('2025'!$P295), 0, 1), 3, if(ISBLANK('2025'!$Q295), 0, 1), 4, if(ISBLANK('2025'!$R295), 0, 1), 5, if(ISBLANK('2025'!$S295), 0, 1), 6, if(ISBLANK('2025'!$T295), 0, 1), 7, 0))), 1, "")</f>
        <v/>
      </c>
      <c r="AX297" s="1" t="str">
        <f>IF(AND(AND(AND(AX$4&gt;='2025'!$L295,AX$4&lt;='2025'!$M295), AX$4&lt;&gt;DATE(2025,7,4)), (SWITCH(weekday(AX$4), 1, 0, 2, if(ISBLANK('2025'!$P295), 0, 1), 3, if(ISBLANK('2025'!$Q295), 0, 1), 4, if(ISBLANK('2025'!$R295), 0, 1), 5, if(ISBLANK('2025'!$S295), 0, 1), 6, if(ISBLANK('2025'!$T295), 0, 1), 7, 0))), 1, "")</f>
        <v/>
      </c>
      <c r="AY297" s="1" t="str">
        <f>IF(AND(AND(AND(AY$4&gt;='2025'!$L295,AY$4&lt;='2025'!$M295), AY$4&lt;&gt;DATE(2025,7,4)), (SWITCH(weekday(AY$4), 1, 0, 2, if(ISBLANK('2025'!$P295), 0, 1), 3, if(ISBLANK('2025'!$Q295), 0, 1), 4, if(ISBLANK('2025'!$R295), 0, 1), 5, if(ISBLANK('2025'!$S295), 0, 1), 6, if(ISBLANK('2025'!$T295), 0, 1), 7, 0))), 1, "")</f>
        <v/>
      </c>
      <c r="AZ297" s="1" t="str">
        <f>IF(AND(AND(AND(AZ$4&gt;='2025'!$L295,AZ$4&lt;='2025'!$M295), AZ$4&lt;&gt;DATE(2025,7,4)), (SWITCH(weekday(AZ$4), 1, 0, 2, if(ISBLANK('2025'!$P295), 0, 1), 3, if(ISBLANK('2025'!$Q295), 0, 1), 4, if(ISBLANK('2025'!$R295), 0, 1), 5, if(ISBLANK('2025'!$S295), 0, 1), 6, if(ISBLANK('2025'!$T295), 0, 1), 7, 0))), 1, "")</f>
        <v/>
      </c>
      <c r="BA297" s="1" t="str">
        <f>IF(AND(AND(AND(BA$4&gt;='2025'!$L295,BA$4&lt;='2025'!$M295), BA$4&lt;&gt;DATE(2025,7,4)), (SWITCH(weekday(BA$4), 1, 0, 2, if(ISBLANK('2025'!$P295), 0, 1), 3, if(ISBLANK('2025'!$Q295), 0, 1), 4, if(ISBLANK('2025'!$R295), 0, 1), 5, if(ISBLANK('2025'!$S295), 0, 1), 6, if(ISBLANK('2025'!$T295), 0, 1), 7, 0))), 1, "")</f>
        <v/>
      </c>
      <c r="BB297" s="1" t="str">
        <f>IF(AND(AND(AND(BB$4&gt;='2025'!$L295,BB$4&lt;='2025'!$M295), BB$4&lt;&gt;DATE(2025,7,4)), (SWITCH(weekday(BB$4), 1, 0, 2, if(ISBLANK('2025'!$P295), 0, 1), 3, if(ISBLANK('2025'!$Q295), 0, 1), 4, if(ISBLANK('2025'!$R295), 0, 1), 5, if(ISBLANK('2025'!$S295), 0, 1), 6, if(ISBLANK('2025'!$T295), 0, 1), 7, 0))), 1, "")</f>
        <v/>
      </c>
      <c r="BC297" s="1" t="str">
        <f>IF(AND(AND(AND(BC$4&gt;='2025'!$L295,BC$4&lt;='2025'!$M295), BC$4&lt;&gt;DATE(2025,7,4)), (SWITCH(weekday(BC$4), 1, 0, 2, if(ISBLANK('2025'!$P295), 0, 1), 3, if(ISBLANK('2025'!$Q295), 0, 1), 4, if(ISBLANK('2025'!$R295), 0, 1), 5, if(ISBLANK('2025'!$S295), 0, 1), 6, if(ISBLANK('2025'!$T295), 0, 1), 7, 0))), 1, "")</f>
        <v/>
      </c>
      <c r="BD297" s="1" t="str">
        <f>IF(AND(AND(AND(BD$4&gt;='2025'!$L295,BD$4&lt;='2025'!$M295), BD$4&lt;&gt;DATE(2025,7,4)), (SWITCH(weekday(BD$4), 1, 0, 2, if(ISBLANK('2025'!$P295), 0, 1), 3, if(ISBLANK('2025'!$Q295), 0, 1), 4, if(ISBLANK('2025'!$R295), 0, 1), 5, if(ISBLANK('2025'!$S295), 0, 1), 6, if(ISBLANK('2025'!$T295), 0, 1), 7, 0))), 1, "")</f>
        <v/>
      </c>
      <c r="BE297" s="1" t="str">
        <f>IF(AND(AND(AND(BE$4&gt;='2025'!$L295,BE$4&lt;='2025'!$M295), BE$4&lt;&gt;DATE(2025,7,4)), (SWITCH(weekday(BE$4), 1, 0, 2, if(ISBLANK('2025'!$P295), 0, 1), 3, if(ISBLANK('2025'!$Q295), 0, 1), 4, if(ISBLANK('2025'!$R295), 0, 1), 5, if(ISBLANK('2025'!$S295), 0, 1), 6, if(ISBLANK('2025'!$T295), 0, 1), 7, 0))), 1, "")</f>
        <v/>
      </c>
      <c r="BF297" s="1" t="str">
        <f>IF(AND(AND(AND(BF$4&gt;='2025'!$L295,BF$4&lt;='2025'!$M295), BF$4&lt;&gt;DATE(2025,7,4)), (SWITCH(weekday(BF$4), 1, 0, 2, if(ISBLANK('2025'!$P295), 0, 1), 3, if(ISBLANK('2025'!$Q295), 0, 1), 4, if(ISBLANK('2025'!$R295), 0, 1), 5, if(ISBLANK('2025'!$S295), 0, 1), 6, if(ISBLANK('2025'!$T295), 0, 1), 7, 0))), 1, "")</f>
        <v/>
      </c>
      <c r="BG297" s="1"/>
      <c r="BH297" s="1"/>
      <c r="BI297" s="1"/>
      <c r="BJ297" s="1"/>
      <c r="BK297" s="1"/>
      <c r="BL297" s="1"/>
    </row>
    <row r="298">
      <c r="A298" s="1">
        <f t="shared" si="3"/>
        <v>298</v>
      </c>
      <c r="B298" s="1" t="str">
        <f>'2025'!D262</f>
        <v>, </v>
      </c>
      <c r="C298" s="1" t="str">
        <f>'2025'!H262</f>
        <v/>
      </c>
      <c r="D298" s="1" t="str">
        <f>IF(AND(AND(AND(D$4&gt;='2025'!$L296,D$4&lt;='2025'!$M296), D$4&lt;&gt;DATE(2025,7,4)), (SWITCH(weekday(D$4), 1, 0, 2, if(ISBLANK('2025'!$P296), 0, 1), 3, if(ISBLANK('2025'!$Q296), 0, 1), 4, if(ISBLANK('2025'!$R296), 0, 1), 5, if(ISBLANK('2025'!$S296), 0, 1), 6, if(ISBLANK('2025'!$T296), 0, 1), 7, 0))), 1, "")</f>
        <v/>
      </c>
      <c r="E298" s="1" t="str">
        <f>IF(AND(AND(AND(E$4&gt;='2025'!$L296,E$4&lt;='2025'!$M296), E$4&lt;&gt;DATE(2025,7,4)), (SWITCH(weekday(E$4), 1, 0, 2, if(ISBLANK('2025'!$P296), 0, 1), 3, if(ISBLANK('2025'!$Q296), 0, 1), 4, if(ISBLANK('2025'!$R296), 0, 1), 5, if(ISBLANK('2025'!$S296), 0, 1), 6, if(ISBLANK('2025'!$T296), 0, 1), 7, 0))), 1, "")</f>
        <v/>
      </c>
      <c r="F298" s="1" t="str">
        <f>IF(AND(AND(AND(F$4&gt;='2025'!$L296,F$4&lt;='2025'!$M296), F$4&lt;&gt;DATE(2025,7,4)), (SWITCH(weekday(F$4), 1, 0, 2, if(ISBLANK('2025'!$P296), 0, 1), 3, if(ISBLANK('2025'!$Q296), 0, 1), 4, if(ISBLANK('2025'!$R296), 0, 1), 5, if(ISBLANK('2025'!$S296), 0, 1), 6, if(ISBLANK('2025'!$T296), 0, 1), 7, 0))), 1, "")</f>
        <v/>
      </c>
      <c r="G298" s="1" t="str">
        <f>IF(AND(AND(AND(G$4&gt;='2025'!$L296,G$4&lt;='2025'!$M296), G$4&lt;&gt;DATE(2025,7,4)), (SWITCH(weekday(G$4), 1, 0, 2, if(ISBLANK('2025'!$P296), 0, 1), 3, if(ISBLANK('2025'!$Q296), 0, 1), 4, if(ISBLANK('2025'!$R296), 0, 1), 5, if(ISBLANK('2025'!$S296), 0, 1), 6, if(ISBLANK('2025'!$T296), 0, 1), 7, 0))), 1, "")</f>
        <v/>
      </c>
      <c r="H298" s="1" t="str">
        <f>IF(AND(AND(AND(H$4&gt;='2025'!$L296,H$4&lt;='2025'!$M296), H$4&lt;&gt;DATE(2025,7,4)), (SWITCH(weekday(H$4), 1, 0, 2, if(ISBLANK('2025'!$P296), 0, 1), 3, if(ISBLANK('2025'!$Q296), 0, 1), 4, if(ISBLANK('2025'!$R296), 0, 1), 5, if(ISBLANK('2025'!$S296), 0, 1), 6, if(ISBLANK('2025'!$T296), 0, 1), 7, 0))), 1, "")</f>
        <v/>
      </c>
      <c r="I298" s="1" t="str">
        <f>IF(AND(AND(AND(I$4&gt;='2025'!$L296,I$4&lt;='2025'!$M296), I$4&lt;&gt;DATE(2025,7,4)), (SWITCH(weekday(I$4), 1, 0, 2, if(ISBLANK('2025'!$P296), 0, 1), 3, if(ISBLANK('2025'!$Q296), 0, 1), 4, if(ISBLANK('2025'!$R296), 0, 1), 5, if(ISBLANK('2025'!$S296), 0, 1), 6, if(ISBLANK('2025'!$T296), 0, 1), 7, 0))), 1, "")</f>
        <v/>
      </c>
      <c r="J298" s="1" t="str">
        <f>IF(AND(AND(AND(J$4&gt;='2025'!$L296,J$4&lt;='2025'!$M296), J$4&lt;&gt;DATE(2025,7,4)), (SWITCH(weekday(J$4), 1, 0, 2, if(ISBLANK('2025'!$P296), 0, 1), 3, if(ISBLANK('2025'!$Q296), 0, 1), 4, if(ISBLANK('2025'!$R296), 0, 1), 5, if(ISBLANK('2025'!$S296), 0, 1), 6, if(ISBLANK('2025'!$T296), 0, 1), 7, 0))), 1, "")</f>
        <v/>
      </c>
      <c r="K298" s="1" t="str">
        <f>IF(AND(AND(AND(K$4&gt;='2025'!$L296,K$4&lt;='2025'!$M296), K$4&lt;&gt;DATE(2025,7,4)), (SWITCH(weekday(K$4), 1, 0, 2, if(ISBLANK('2025'!$P296), 0, 1), 3, if(ISBLANK('2025'!$Q296), 0, 1), 4, if(ISBLANK('2025'!$R296), 0, 1), 5, if(ISBLANK('2025'!$S296), 0, 1), 6, if(ISBLANK('2025'!$T296), 0, 1), 7, 0))), 1, "")</f>
        <v/>
      </c>
      <c r="L298" s="1" t="str">
        <f>IF(AND(AND(AND(L$4&gt;='2025'!$L296,L$4&lt;='2025'!$M296), L$4&lt;&gt;DATE(2025,7,4)), (SWITCH(weekday(L$4), 1, 0, 2, if(ISBLANK('2025'!$P296), 0, 1), 3, if(ISBLANK('2025'!$Q296), 0, 1), 4, if(ISBLANK('2025'!$R296), 0, 1), 5, if(ISBLANK('2025'!$S296), 0, 1), 6, if(ISBLANK('2025'!$T296), 0, 1), 7, 0))), 1, "")</f>
        <v/>
      </c>
      <c r="M298" s="1" t="str">
        <f>IF(AND(AND(AND(M$4&gt;='2025'!$L296,M$4&lt;='2025'!$M296), M$4&lt;&gt;DATE(2025,7,4)), (SWITCH(weekday(M$4), 1, 0, 2, if(ISBLANK('2025'!$P296), 0, 1), 3, if(ISBLANK('2025'!$Q296), 0, 1), 4, if(ISBLANK('2025'!$R296), 0, 1), 5, if(ISBLANK('2025'!$S296), 0, 1), 6, if(ISBLANK('2025'!$T296), 0, 1), 7, 0))), 1, "")</f>
        <v/>
      </c>
      <c r="N298" s="1" t="str">
        <f>IF(AND(AND(AND(N$4&gt;='2025'!$L296,N$4&lt;='2025'!$M296), N$4&lt;&gt;DATE(2025,7,4)), (SWITCH(weekday(N$4), 1, 0, 2, if(ISBLANK('2025'!$P296), 0, 1), 3, if(ISBLANK('2025'!$Q296), 0, 1), 4, if(ISBLANK('2025'!$R296), 0, 1), 5, if(ISBLANK('2025'!$S296), 0, 1), 6, if(ISBLANK('2025'!$T296), 0, 1), 7, 0))), 1, "")</f>
        <v/>
      </c>
      <c r="O298" s="1" t="str">
        <f>IF(AND(AND(AND(O$4&gt;='2025'!$L296,O$4&lt;='2025'!$M296), O$4&lt;&gt;DATE(2025,7,4)), (SWITCH(weekday(O$4), 1, 0, 2, if(ISBLANK('2025'!$P296), 0, 1), 3, if(ISBLANK('2025'!$Q296), 0, 1), 4, if(ISBLANK('2025'!$R296), 0, 1), 5, if(ISBLANK('2025'!$S296), 0, 1), 6, if(ISBLANK('2025'!$T296), 0, 1), 7, 0))), 1, "")</f>
        <v/>
      </c>
      <c r="P298" s="1" t="str">
        <f>IF(AND(AND(AND(P$4&gt;='2025'!$L296,P$4&lt;='2025'!$M296), P$4&lt;&gt;DATE(2025,7,4)), (SWITCH(weekday(P$4), 1, 0, 2, if(ISBLANK('2025'!$P296), 0, 1), 3, if(ISBLANK('2025'!$Q296), 0, 1), 4, if(ISBLANK('2025'!$R296), 0, 1), 5, if(ISBLANK('2025'!$S296), 0, 1), 6, if(ISBLANK('2025'!$T296), 0, 1), 7, 0))), 1, "")</f>
        <v/>
      </c>
      <c r="Q298" s="1" t="str">
        <f>IF(AND(AND(AND(Q$4&gt;='2025'!$L296,Q$4&lt;='2025'!$M296), Q$4&lt;&gt;DATE(2025,7,4)), (SWITCH(weekday(Q$4), 1, 0, 2, if(ISBLANK('2025'!$P296), 0, 1), 3, if(ISBLANK('2025'!$Q296), 0, 1), 4, if(ISBLANK('2025'!$R296), 0, 1), 5, if(ISBLANK('2025'!$S296), 0, 1), 6, if(ISBLANK('2025'!$T296), 0, 1), 7, 0))), 1, "")</f>
        <v/>
      </c>
      <c r="R298" s="1" t="str">
        <f>IF(AND(AND(AND(R$4&gt;='2025'!$L296,R$4&lt;='2025'!$M296), R$4&lt;&gt;DATE(2025,7,4)), (SWITCH(weekday(R$4), 1, 0, 2, if(ISBLANK('2025'!$P296), 0, 1), 3, if(ISBLANK('2025'!$Q296), 0, 1), 4, if(ISBLANK('2025'!$R296), 0, 1), 5, if(ISBLANK('2025'!$S296), 0, 1), 6, if(ISBLANK('2025'!$T296), 0, 1), 7, 0))), 1, "")</f>
        <v/>
      </c>
      <c r="S298" s="1" t="str">
        <f>IF(AND(AND(AND(S$4&gt;='2025'!$L296,S$4&lt;='2025'!$M296), S$4&lt;&gt;DATE(2025,7,4)), (SWITCH(weekday(S$4), 1, 0, 2, if(ISBLANK('2025'!$P296), 0, 1), 3, if(ISBLANK('2025'!$Q296), 0, 1), 4, if(ISBLANK('2025'!$R296), 0, 1), 5, if(ISBLANK('2025'!$S296), 0, 1), 6, if(ISBLANK('2025'!$T296), 0, 1), 7, 0))), 1, "")</f>
        <v/>
      </c>
      <c r="T298" s="1" t="str">
        <f>IF(AND(AND(AND(T$4&gt;='2025'!$L296,T$4&lt;='2025'!$M296), T$4&lt;&gt;DATE(2025,7,4)), (SWITCH(weekday(T$4), 1, 0, 2, if(ISBLANK('2025'!$P296), 0, 1), 3, if(ISBLANK('2025'!$Q296), 0, 1), 4, if(ISBLANK('2025'!$R296), 0, 1), 5, if(ISBLANK('2025'!$S296), 0, 1), 6, if(ISBLANK('2025'!$T296), 0, 1), 7, 0))), 1, "")</f>
        <v/>
      </c>
      <c r="U298" s="1" t="str">
        <f>IF(AND(AND(AND(U$4&gt;='2025'!$L296,U$4&lt;='2025'!$M296), U$4&lt;&gt;DATE(2025,7,4)), (SWITCH(weekday(U$4), 1, 0, 2, if(ISBLANK('2025'!$P296), 0, 1), 3, if(ISBLANK('2025'!$Q296), 0, 1), 4, if(ISBLANK('2025'!$R296), 0, 1), 5, if(ISBLANK('2025'!$S296), 0, 1), 6, if(ISBLANK('2025'!$T296), 0, 1), 7, 0))), 1, "")</f>
        <v/>
      </c>
      <c r="V298" s="1" t="str">
        <f>IF(AND(AND(AND(V$4&gt;='2025'!$L296,V$4&lt;='2025'!$M296), V$4&lt;&gt;DATE(2025,7,4)), (SWITCH(weekday(V$4), 1, 0, 2, if(ISBLANK('2025'!$P296), 0, 1), 3, if(ISBLANK('2025'!$Q296), 0, 1), 4, if(ISBLANK('2025'!$R296), 0, 1), 5, if(ISBLANK('2025'!$S296), 0, 1), 6, if(ISBLANK('2025'!$T296), 0, 1), 7, 0))), 1, "")</f>
        <v/>
      </c>
      <c r="W298" s="1" t="str">
        <f>IF(AND(AND(AND(W$4&gt;='2025'!$L296,W$4&lt;='2025'!$M296), W$4&lt;&gt;DATE(2025,7,4)), (SWITCH(weekday(W$4), 1, 0, 2, if(ISBLANK('2025'!$P296), 0, 1), 3, if(ISBLANK('2025'!$Q296), 0, 1), 4, if(ISBLANK('2025'!$R296), 0, 1), 5, if(ISBLANK('2025'!$S296), 0, 1), 6, if(ISBLANK('2025'!$T296), 0, 1), 7, 0))), 1, "")</f>
        <v/>
      </c>
      <c r="X298" s="1" t="str">
        <f>IF(AND(AND(AND(X$4&gt;='2025'!$L296,X$4&lt;='2025'!$M296), X$4&lt;&gt;DATE(2025,7,4)), (SWITCH(weekday(X$4), 1, 0, 2, if(ISBLANK('2025'!$P296), 0, 1), 3, if(ISBLANK('2025'!$Q296), 0, 1), 4, if(ISBLANK('2025'!$R296), 0, 1), 5, if(ISBLANK('2025'!$S296), 0, 1), 6, if(ISBLANK('2025'!$T296), 0, 1), 7, 0))), 1, "")</f>
        <v/>
      </c>
      <c r="Y298" s="1" t="str">
        <f>IF(AND(AND(AND(Y$4&gt;='2025'!$L296,Y$4&lt;='2025'!$M296), Y$4&lt;&gt;DATE(2025,7,4)), (SWITCH(weekday(Y$4), 1, 0, 2, if(ISBLANK('2025'!$P296), 0, 1), 3, if(ISBLANK('2025'!$Q296), 0, 1), 4, if(ISBLANK('2025'!$R296), 0, 1), 5, if(ISBLANK('2025'!$S296), 0, 1), 6, if(ISBLANK('2025'!$T296), 0, 1), 7, 0))), 1, "")</f>
        <v/>
      </c>
      <c r="Z298" s="1" t="str">
        <f>IF(AND(AND(AND(Z$4&gt;='2025'!$L296,Z$4&lt;='2025'!$M296), Z$4&lt;&gt;DATE(2025,7,4)), (SWITCH(weekday(Z$4), 1, 0, 2, if(ISBLANK('2025'!$P296), 0, 1), 3, if(ISBLANK('2025'!$Q296), 0, 1), 4, if(ISBLANK('2025'!$R296), 0, 1), 5, if(ISBLANK('2025'!$S296), 0, 1), 6, if(ISBLANK('2025'!$T296), 0, 1), 7, 0))), 1, "")</f>
        <v/>
      </c>
      <c r="AA298" s="1" t="str">
        <f>IF(AND(AND(AND(AA$4&gt;='2025'!$L296,AA$4&lt;='2025'!$M296), AA$4&lt;&gt;DATE(2025,7,4)), (SWITCH(weekday(AA$4), 1, 0, 2, if(ISBLANK('2025'!$P296), 0, 1), 3, if(ISBLANK('2025'!$Q296), 0, 1), 4, if(ISBLANK('2025'!$R296), 0, 1), 5, if(ISBLANK('2025'!$S296), 0, 1), 6, if(ISBLANK('2025'!$T296), 0, 1), 7, 0))), 1, "")</f>
        <v/>
      </c>
      <c r="AB298" s="1" t="str">
        <f>IF(AND(AND(AND(AB$4&gt;='2025'!$L296,AB$4&lt;='2025'!$M296), AB$4&lt;&gt;DATE(2025,7,4)), (SWITCH(weekday(AB$4), 1, 0, 2, if(ISBLANK('2025'!$P296), 0, 1), 3, if(ISBLANK('2025'!$Q296), 0, 1), 4, if(ISBLANK('2025'!$R296), 0, 1), 5, if(ISBLANK('2025'!$S296), 0, 1), 6, if(ISBLANK('2025'!$T296), 0, 1), 7, 0))), 1, "")</f>
        <v/>
      </c>
      <c r="AC298" s="1" t="str">
        <f>IF(AND(AND(AND(AC$4&gt;='2025'!$L296,AC$4&lt;='2025'!$M296), AC$4&lt;&gt;DATE(2025,7,4)), (SWITCH(weekday(AC$4), 1, 0, 2, if(ISBLANK('2025'!$P296), 0, 1), 3, if(ISBLANK('2025'!$Q296), 0, 1), 4, if(ISBLANK('2025'!$R296), 0, 1), 5, if(ISBLANK('2025'!$S296), 0, 1), 6, if(ISBLANK('2025'!$T296), 0, 1), 7, 0))), 1, "")</f>
        <v/>
      </c>
      <c r="AD298" s="1" t="str">
        <f>IF(AND(AND(AND(AD$4&gt;='2025'!$L296,AD$4&lt;='2025'!$M296), AD$4&lt;&gt;DATE(2025,7,4)), (SWITCH(weekday(AD$4), 1, 0, 2, if(ISBLANK('2025'!$P296), 0, 1), 3, if(ISBLANK('2025'!$Q296), 0, 1), 4, if(ISBLANK('2025'!$R296), 0, 1), 5, if(ISBLANK('2025'!$S296), 0, 1), 6, if(ISBLANK('2025'!$T296), 0, 1), 7, 0))), 1, "")</f>
        <v/>
      </c>
      <c r="AE298" s="1" t="str">
        <f>IF(AND(AND(AND(AE$4&gt;='2025'!$L296,AE$4&lt;='2025'!$M296), AE$4&lt;&gt;DATE(2025,7,4)), (SWITCH(weekday(AE$4), 1, 0, 2, if(ISBLANK('2025'!$P296), 0, 1), 3, if(ISBLANK('2025'!$Q296), 0, 1), 4, if(ISBLANK('2025'!$R296), 0, 1), 5, if(ISBLANK('2025'!$S296), 0, 1), 6, if(ISBLANK('2025'!$T296), 0, 1), 7, 0))), 1, "")</f>
        <v/>
      </c>
      <c r="AF298" s="1" t="str">
        <f>IF(AND(AND(AND(AF$4&gt;='2025'!$L296,AF$4&lt;='2025'!$M296), AF$4&lt;&gt;DATE(2025,7,4)), (SWITCH(weekday(AF$4), 1, 0, 2, if(ISBLANK('2025'!$P296), 0, 1), 3, if(ISBLANK('2025'!$Q296), 0, 1), 4, if(ISBLANK('2025'!$R296), 0, 1), 5, if(ISBLANK('2025'!$S296), 0, 1), 6, if(ISBLANK('2025'!$T296), 0, 1), 7, 0))), 1, "")</f>
        <v/>
      </c>
      <c r="AG298" s="1" t="str">
        <f>IF(AND(AND(AND(AG$4&gt;='2025'!$L296,AG$4&lt;='2025'!$M296), AG$4&lt;&gt;DATE(2025,7,4)), (SWITCH(weekday(AG$4), 1, 0, 2, if(ISBLANK('2025'!$P296), 0, 1), 3, if(ISBLANK('2025'!$Q296), 0, 1), 4, if(ISBLANK('2025'!$R296), 0, 1), 5, if(ISBLANK('2025'!$S296), 0, 1), 6, if(ISBLANK('2025'!$T296), 0, 1), 7, 0))), 1, "")</f>
        <v/>
      </c>
      <c r="AH298" s="1" t="str">
        <f>IF(AND(AND(AND(AH$4&gt;='2025'!$L296,AH$4&lt;='2025'!$M296), AH$4&lt;&gt;DATE(2025,7,4)), (SWITCH(weekday(AH$4), 1, 0, 2, if(ISBLANK('2025'!$P296), 0, 1), 3, if(ISBLANK('2025'!$Q296), 0, 1), 4, if(ISBLANK('2025'!$R296), 0, 1), 5, if(ISBLANK('2025'!$S296), 0, 1), 6, if(ISBLANK('2025'!$T296), 0, 1), 7, 0))), 1, "")</f>
        <v/>
      </c>
      <c r="AI298" s="1" t="str">
        <f>IF(AND(AND(AND(AI$4&gt;='2025'!$L296,AI$4&lt;='2025'!$M296), AI$4&lt;&gt;DATE(2025,7,4)), (SWITCH(weekday(AI$4), 1, 0, 2, if(ISBLANK('2025'!$P296), 0, 1), 3, if(ISBLANK('2025'!$Q296), 0, 1), 4, if(ISBLANK('2025'!$R296), 0, 1), 5, if(ISBLANK('2025'!$S296), 0, 1), 6, if(ISBLANK('2025'!$T296), 0, 1), 7, 0))), 1, "")</f>
        <v/>
      </c>
      <c r="AJ298" s="1" t="str">
        <f>IF(AND(AND(AND(AJ$4&gt;='2025'!$L296,AJ$4&lt;='2025'!$M296), AJ$4&lt;&gt;DATE(2025,7,4)), (SWITCH(weekday(AJ$4), 1, 0, 2, if(ISBLANK('2025'!$P296), 0, 1), 3, if(ISBLANK('2025'!$Q296), 0, 1), 4, if(ISBLANK('2025'!$R296), 0, 1), 5, if(ISBLANK('2025'!$S296), 0, 1), 6, if(ISBLANK('2025'!$T296), 0, 1), 7, 0))), 1, "")</f>
        <v/>
      </c>
      <c r="AK298" s="1" t="str">
        <f>IF(AND(AND(AND(AK$4&gt;='2025'!$L296,AK$4&lt;='2025'!$M296), AK$4&lt;&gt;DATE(2025,7,4)), (SWITCH(weekday(AK$4), 1, 0, 2, if(ISBLANK('2025'!$P296), 0, 1), 3, if(ISBLANK('2025'!$Q296), 0, 1), 4, if(ISBLANK('2025'!$R296), 0, 1), 5, if(ISBLANK('2025'!$S296), 0, 1), 6, if(ISBLANK('2025'!$T296), 0, 1), 7, 0))), 1, "")</f>
        <v/>
      </c>
      <c r="AL298" s="1" t="str">
        <f>IF(AND(AND(AND(AL$4&gt;='2025'!$L296,AL$4&lt;='2025'!$M296), AL$4&lt;&gt;DATE(2025,7,4)), (SWITCH(weekday(AL$4), 1, 0, 2, if(ISBLANK('2025'!$P296), 0, 1), 3, if(ISBLANK('2025'!$Q296), 0, 1), 4, if(ISBLANK('2025'!$R296), 0, 1), 5, if(ISBLANK('2025'!$S296), 0, 1), 6, if(ISBLANK('2025'!$T296), 0, 1), 7, 0))), 1, "")</f>
        <v/>
      </c>
      <c r="AM298" s="1" t="str">
        <f>IF(AND(AND(AND(AM$4&gt;='2025'!$L296,AM$4&lt;='2025'!$M296), AM$4&lt;&gt;DATE(2025,7,4)), (SWITCH(weekday(AM$4), 1, 0, 2, if(ISBLANK('2025'!$P296), 0, 1), 3, if(ISBLANK('2025'!$Q296), 0, 1), 4, if(ISBLANK('2025'!$R296), 0, 1), 5, if(ISBLANK('2025'!$S296), 0, 1), 6, if(ISBLANK('2025'!$T296), 0, 1), 7, 0))), 1, "")</f>
        <v/>
      </c>
      <c r="AN298" s="1" t="str">
        <f>IF(AND(AND(AND(AN$4&gt;='2025'!$L296,AN$4&lt;='2025'!$M296), AN$4&lt;&gt;DATE(2025,7,4)), (SWITCH(weekday(AN$4), 1, 0, 2, if(ISBLANK('2025'!$P296), 0, 1), 3, if(ISBLANK('2025'!$Q296), 0, 1), 4, if(ISBLANK('2025'!$R296), 0, 1), 5, if(ISBLANK('2025'!$S296), 0, 1), 6, if(ISBLANK('2025'!$T296), 0, 1), 7, 0))), 1, "")</f>
        <v/>
      </c>
      <c r="AO298" s="1" t="str">
        <f>IF(AND(AND(AND(AO$4&gt;='2025'!$L296,AO$4&lt;='2025'!$M296), AO$4&lt;&gt;DATE(2025,7,4)), (SWITCH(weekday(AO$4), 1, 0, 2, if(ISBLANK('2025'!$P296), 0, 1), 3, if(ISBLANK('2025'!$Q296), 0, 1), 4, if(ISBLANK('2025'!$R296), 0, 1), 5, if(ISBLANK('2025'!$S296), 0, 1), 6, if(ISBLANK('2025'!$T296), 0, 1), 7, 0))), 1, "")</f>
        <v/>
      </c>
      <c r="AP298" s="1" t="str">
        <f>IF(AND(AND(AND(AP$4&gt;='2025'!$L296,AP$4&lt;='2025'!$M296), AP$4&lt;&gt;DATE(2025,7,4)), (SWITCH(weekday(AP$4), 1, 0, 2, if(ISBLANK('2025'!$P296), 0, 1), 3, if(ISBLANK('2025'!$Q296), 0, 1), 4, if(ISBLANK('2025'!$R296), 0, 1), 5, if(ISBLANK('2025'!$S296), 0, 1), 6, if(ISBLANK('2025'!$T296), 0, 1), 7, 0))), 1, "")</f>
        <v/>
      </c>
      <c r="AQ298" s="1" t="str">
        <f>IF(AND(AND(AND(AQ$4&gt;='2025'!$L296,AQ$4&lt;='2025'!$M296), AQ$4&lt;&gt;DATE(2025,7,4)), (SWITCH(weekday(AQ$4), 1, 0, 2, if(ISBLANK('2025'!$P296), 0, 1), 3, if(ISBLANK('2025'!$Q296), 0, 1), 4, if(ISBLANK('2025'!$R296), 0, 1), 5, if(ISBLANK('2025'!$S296), 0, 1), 6, if(ISBLANK('2025'!$T296), 0, 1), 7, 0))), 1, "")</f>
        <v/>
      </c>
      <c r="AR298" s="1" t="str">
        <f>IF(AND(AND(AND(AR$4&gt;='2025'!$L296,AR$4&lt;='2025'!$M296), AR$4&lt;&gt;DATE(2025,7,4)), (SWITCH(weekday(AR$4), 1, 0, 2, if(ISBLANK('2025'!$P296), 0, 1), 3, if(ISBLANK('2025'!$Q296), 0, 1), 4, if(ISBLANK('2025'!$R296), 0, 1), 5, if(ISBLANK('2025'!$S296), 0, 1), 6, if(ISBLANK('2025'!$T296), 0, 1), 7, 0))), 1, "")</f>
        <v/>
      </c>
      <c r="AS298" s="1" t="str">
        <f>IF(AND(AND(AND(AS$4&gt;='2025'!$L296,AS$4&lt;='2025'!$M296), AS$4&lt;&gt;DATE(2025,7,4)), (SWITCH(weekday(AS$4), 1, 0, 2, if(ISBLANK('2025'!$P296), 0, 1), 3, if(ISBLANK('2025'!$Q296), 0, 1), 4, if(ISBLANK('2025'!$R296), 0, 1), 5, if(ISBLANK('2025'!$S296), 0, 1), 6, if(ISBLANK('2025'!$T296), 0, 1), 7, 0))), 1, "")</f>
        <v/>
      </c>
      <c r="AT298" s="1" t="str">
        <f>IF(AND(AND(AND(AT$4&gt;='2025'!$L296,AT$4&lt;='2025'!$M296), AT$4&lt;&gt;DATE(2025,7,4)), (SWITCH(weekday(AT$4), 1, 0, 2, if(ISBLANK('2025'!$P296), 0, 1), 3, if(ISBLANK('2025'!$Q296), 0, 1), 4, if(ISBLANK('2025'!$R296), 0, 1), 5, if(ISBLANK('2025'!$S296), 0, 1), 6, if(ISBLANK('2025'!$T296), 0, 1), 7, 0))), 1, "")</f>
        <v/>
      </c>
      <c r="AU298" s="1" t="str">
        <f>IF(AND(AND(AND(AU$4&gt;='2025'!$L296,AU$4&lt;='2025'!$M296), AU$4&lt;&gt;DATE(2025,7,4)), (SWITCH(weekday(AU$4), 1, 0, 2, if(ISBLANK('2025'!$P296), 0, 1), 3, if(ISBLANK('2025'!$Q296), 0, 1), 4, if(ISBLANK('2025'!$R296), 0, 1), 5, if(ISBLANK('2025'!$S296), 0, 1), 6, if(ISBLANK('2025'!$T296), 0, 1), 7, 0))), 1, "")</f>
        <v/>
      </c>
      <c r="AV298" s="1" t="str">
        <f>IF(AND(AND(AND(AV$4&gt;='2025'!$L296,AV$4&lt;='2025'!$M296), AV$4&lt;&gt;DATE(2025,7,4)), (SWITCH(weekday(AV$4), 1, 0, 2, if(ISBLANK('2025'!$P296), 0, 1), 3, if(ISBLANK('2025'!$Q296), 0, 1), 4, if(ISBLANK('2025'!$R296), 0, 1), 5, if(ISBLANK('2025'!$S296), 0, 1), 6, if(ISBLANK('2025'!$T296), 0, 1), 7, 0))), 1, "")</f>
        <v/>
      </c>
      <c r="AW298" s="1" t="str">
        <f>IF(AND(AND(AND(AW$4&gt;='2025'!$L296,AW$4&lt;='2025'!$M296), AW$4&lt;&gt;DATE(2025,7,4)), (SWITCH(weekday(AW$4), 1, 0, 2, if(ISBLANK('2025'!$P296), 0, 1), 3, if(ISBLANK('2025'!$Q296), 0, 1), 4, if(ISBLANK('2025'!$R296), 0, 1), 5, if(ISBLANK('2025'!$S296), 0, 1), 6, if(ISBLANK('2025'!$T296), 0, 1), 7, 0))), 1, "")</f>
        <v/>
      </c>
      <c r="AX298" s="1" t="str">
        <f>IF(AND(AND(AND(AX$4&gt;='2025'!$L296,AX$4&lt;='2025'!$M296), AX$4&lt;&gt;DATE(2025,7,4)), (SWITCH(weekday(AX$4), 1, 0, 2, if(ISBLANK('2025'!$P296), 0, 1), 3, if(ISBLANK('2025'!$Q296), 0, 1), 4, if(ISBLANK('2025'!$R296), 0, 1), 5, if(ISBLANK('2025'!$S296), 0, 1), 6, if(ISBLANK('2025'!$T296), 0, 1), 7, 0))), 1, "")</f>
        <v/>
      </c>
      <c r="AY298" s="1" t="str">
        <f>IF(AND(AND(AND(AY$4&gt;='2025'!$L296,AY$4&lt;='2025'!$M296), AY$4&lt;&gt;DATE(2025,7,4)), (SWITCH(weekday(AY$4), 1, 0, 2, if(ISBLANK('2025'!$P296), 0, 1), 3, if(ISBLANK('2025'!$Q296), 0, 1), 4, if(ISBLANK('2025'!$R296), 0, 1), 5, if(ISBLANK('2025'!$S296), 0, 1), 6, if(ISBLANK('2025'!$T296), 0, 1), 7, 0))), 1, "")</f>
        <v/>
      </c>
      <c r="AZ298" s="1" t="str">
        <f>IF(AND(AND(AND(AZ$4&gt;='2025'!$L296,AZ$4&lt;='2025'!$M296), AZ$4&lt;&gt;DATE(2025,7,4)), (SWITCH(weekday(AZ$4), 1, 0, 2, if(ISBLANK('2025'!$P296), 0, 1), 3, if(ISBLANK('2025'!$Q296), 0, 1), 4, if(ISBLANK('2025'!$R296), 0, 1), 5, if(ISBLANK('2025'!$S296), 0, 1), 6, if(ISBLANK('2025'!$T296), 0, 1), 7, 0))), 1, "")</f>
        <v/>
      </c>
      <c r="BA298" s="1" t="str">
        <f>IF(AND(AND(AND(BA$4&gt;='2025'!$L296,BA$4&lt;='2025'!$M296), BA$4&lt;&gt;DATE(2025,7,4)), (SWITCH(weekday(BA$4), 1, 0, 2, if(ISBLANK('2025'!$P296), 0, 1), 3, if(ISBLANK('2025'!$Q296), 0, 1), 4, if(ISBLANK('2025'!$R296), 0, 1), 5, if(ISBLANK('2025'!$S296), 0, 1), 6, if(ISBLANK('2025'!$T296), 0, 1), 7, 0))), 1, "")</f>
        <v/>
      </c>
      <c r="BB298" s="1" t="str">
        <f>IF(AND(AND(AND(BB$4&gt;='2025'!$L296,BB$4&lt;='2025'!$M296), BB$4&lt;&gt;DATE(2025,7,4)), (SWITCH(weekday(BB$4), 1, 0, 2, if(ISBLANK('2025'!$P296), 0, 1), 3, if(ISBLANK('2025'!$Q296), 0, 1), 4, if(ISBLANK('2025'!$R296), 0, 1), 5, if(ISBLANK('2025'!$S296), 0, 1), 6, if(ISBLANK('2025'!$T296), 0, 1), 7, 0))), 1, "")</f>
        <v/>
      </c>
      <c r="BC298" s="1" t="str">
        <f>IF(AND(AND(AND(BC$4&gt;='2025'!$L296,BC$4&lt;='2025'!$M296), BC$4&lt;&gt;DATE(2025,7,4)), (SWITCH(weekday(BC$4), 1, 0, 2, if(ISBLANK('2025'!$P296), 0, 1), 3, if(ISBLANK('2025'!$Q296), 0, 1), 4, if(ISBLANK('2025'!$R296), 0, 1), 5, if(ISBLANK('2025'!$S296), 0, 1), 6, if(ISBLANK('2025'!$T296), 0, 1), 7, 0))), 1, "")</f>
        <v/>
      </c>
      <c r="BD298" s="1" t="str">
        <f>IF(AND(AND(AND(BD$4&gt;='2025'!$L296,BD$4&lt;='2025'!$M296), BD$4&lt;&gt;DATE(2025,7,4)), (SWITCH(weekday(BD$4), 1, 0, 2, if(ISBLANK('2025'!$P296), 0, 1), 3, if(ISBLANK('2025'!$Q296), 0, 1), 4, if(ISBLANK('2025'!$R296), 0, 1), 5, if(ISBLANK('2025'!$S296), 0, 1), 6, if(ISBLANK('2025'!$T296), 0, 1), 7, 0))), 1, "")</f>
        <v/>
      </c>
      <c r="BE298" s="1" t="str">
        <f>IF(AND(AND(AND(BE$4&gt;='2025'!$L296,BE$4&lt;='2025'!$M296), BE$4&lt;&gt;DATE(2025,7,4)), (SWITCH(weekday(BE$4), 1, 0, 2, if(ISBLANK('2025'!$P296), 0, 1), 3, if(ISBLANK('2025'!$Q296), 0, 1), 4, if(ISBLANK('2025'!$R296), 0, 1), 5, if(ISBLANK('2025'!$S296), 0, 1), 6, if(ISBLANK('2025'!$T296), 0, 1), 7, 0))), 1, "")</f>
        <v/>
      </c>
      <c r="BF298" s="1" t="str">
        <f>IF(AND(AND(AND(BF$4&gt;='2025'!$L296,BF$4&lt;='2025'!$M296), BF$4&lt;&gt;DATE(2025,7,4)), (SWITCH(weekday(BF$4), 1, 0, 2, if(ISBLANK('2025'!$P296), 0, 1), 3, if(ISBLANK('2025'!$Q296), 0, 1), 4, if(ISBLANK('2025'!$R296), 0, 1), 5, if(ISBLANK('2025'!$S296), 0, 1), 6, if(ISBLANK('2025'!$T296), 0, 1), 7, 0))), 1, "")</f>
        <v/>
      </c>
      <c r="BG298" s="1"/>
      <c r="BH298" s="1"/>
      <c r="BI298" s="1"/>
      <c r="BJ298" s="1"/>
      <c r="BK298" s="1"/>
      <c r="BL298" s="1"/>
    </row>
    <row r="299">
      <c r="A299" s="1">
        <f t="shared" si="3"/>
        <v>299</v>
      </c>
      <c r="B299" s="1" t="str">
        <f>'2025'!D263</f>
        <v>, </v>
      </c>
      <c r="C299" s="1" t="str">
        <f>'2025'!H263</f>
        <v/>
      </c>
      <c r="D299" s="1" t="str">
        <f>IF(AND(AND(AND(D$4&gt;='2025'!$L297,D$4&lt;='2025'!$M297), D$4&lt;&gt;DATE(2025,7,4)), (SWITCH(weekday(D$4), 1, 0, 2, if(ISBLANK('2025'!$P297), 0, 1), 3, if(ISBLANK('2025'!$Q297), 0, 1), 4, if(ISBLANK('2025'!$R297), 0, 1), 5, if(ISBLANK('2025'!$S297), 0, 1), 6, if(ISBLANK('2025'!$T297), 0, 1), 7, 0))), 1, "")</f>
        <v/>
      </c>
      <c r="E299" s="1" t="str">
        <f>IF(AND(AND(AND(E$4&gt;='2025'!$L297,E$4&lt;='2025'!$M297), E$4&lt;&gt;DATE(2025,7,4)), (SWITCH(weekday(E$4), 1, 0, 2, if(ISBLANK('2025'!$P297), 0, 1), 3, if(ISBLANK('2025'!$Q297), 0, 1), 4, if(ISBLANK('2025'!$R297), 0, 1), 5, if(ISBLANK('2025'!$S297), 0, 1), 6, if(ISBLANK('2025'!$T297), 0, 1), 7, 0))), 1, "")</f>
        <v/>
      </c>
      <c r="F299" s="1" t="str">
        <f>IF(AND(AND(AND(F$4&gt;='2025'!$L297,F$4&lt;='2025'!$M297), F$4&lt;&gt;DATE(2025,7,4)), (SWITCH(weekday(F$4), 1, 0, 2, if(ISBLANK('2025'!$P297), 0, 1), 3, if(ISBLANK('2025'!$Q297), 0, 1), 4, if(ISBLANK('2025'!$R297), 0, 1), 5, if(ISBLANK('2025'!$S297), 0, 1), 6, if(ISBLANK('2025'!$T297), 0, 1), 7, 0))), 1, "")</f>
        <v/>
      </c>
      <c r="G299" s="1" t="str">
        <f>IF(AND(AND(AND(G$4&gt;='2025'!$L297,G$4&lt;='2025'!$M297), G$4&lt;&gt;DATE(2025,7,4)), (SWITCH(weekday(G$4), 1, 0, 2, if(ISBLANK('2025'!$P297), 0, 1), 3, if(ISBLANK('2025'!$Q297), 0, 1), 4, if(ISBLANK('2025'!$R297), 0, 1), 5, if(ISBLANK('2025'!$S297), 0, 1), 6, if(ISBLANK('2025'!$T297), 0, 1), 7, 0))), 1, "")</f>
        <v/>
      </c>
      <c r="H299" s="1" t="str">
        <f>IF(AND(AND(AND(H$4&gt;='2025'!$L297,H$4&lt;='2025'!$M297), H$4&lt;&gt;DATE(2025,7,4)), (SWITCH(weekday(H$4), 1, 0, 2, if(ISBLANK('2025'!$P297), 0, 1), 3, if(ISBLANK('2025'!$Q297), 0, 1), 4, if(ISBLANK('2025'!$R297), 0, 1), 5, if(ISBLANK('2025'!$S297), 0, 1), 6, if(ISBLANK('2025'!$T297), 0, 1), 7, 0))), 1, "")</f>
        <v/>
      </c>
      <c r="I299" s="1" t="str">
        <f>IF(AND(AND(AND(I$4&gt;='2025'!$L297,I$4&lt;='2025'!$M297), I$4&lt;&gt;DATE(2025,7,4)), (SWITCH(weekday(I$4), 1, 0, 2, if(ISBLANK('2025'!$P297), 0, 1), 3, if(ISBLANK('2025'!$Q297), 0, 1), 4, if(ISBLANK('2025'!$R297), 0, 1), 5, if(ISBLANK('2025'!$S297), 0, 1), 6, if(ISBLANK('2025'!$T297), 0, 1), 7, 0))), 1, "")</f>
        <v/>
      </c>
      <c r="J299" s="1" t="str">
        <f>IF(AND(AND(AND(J$4&gt;='2025'!$L297,J$4&lt;='2025'!$M297), J$4&lt;&gt;DATE(2025,7,4)), (SWITCH(weekday(J$4), 1, 0, 2, if(ISBLANK('2025'!$P297), 0, 1), 3, if(ISBLANK('2025'!$Q297), 0, 1), 4, if(ISBLANK('2025'!$R297), 0, 1), 5, if(ISBLANK('2025'!$S297), 0, 1), 6, if(ISBLANK('2025'!$T297), 0, 1), 7, 0))), 1, "")</f>
        <v/>
      </c>
      <c r="K299" s="1" t="str">
        <f>IF(AND(AND(AND(K$4&gt;='2025'!$L297,K$4&lt;='2025'!$M297), K$4&lt;&gt;DATE(2025,7,4)), (SWITCH(weekday(K$4), 1, 0, 2, if(ISBLANK('2025'!$P297), 0, 1), 3, if(ISBLANK('2025'!$Q297), 0, 1), 4, if(ISBLANK('2025'!$R297), 0, 1), 5, if(ISBLANK('2025'!$S297), 0, 1), 6, if(ISBLANK('2025'!$T297), 0, 1), 7, 0))), 1, "")</f>
        <v/>
      </c>
      <c r="L299" s="1" t="str">
        <f>IF(AND(AND(AND(L$4&gt;='2025'!$L297,L$4&lt;='2025'!$M297), L$4&lt;&gt;DATE(2025,7,4)), (SWITCH(weekday(L$4), 1, 0, 2, if(ISBLANK('2025'!$P297), 0, 1), 3, if(ISBLANK('2025'!$Q297), 0, 1), 4, if(ISBLANK('2025'!$R297), 0, 1), 5, if(ISBLANK('2025'!$S297), 0, 1), 6, if(ISBLANK('2025'!$T297), 0, 1), 7, 0))), 1, "")</f>
        <v/>
      </c>
      <c r="M299" s="1" t="str">
        <f>IF(AND(AND(AND(M$4&gt;='2025'!$L297,M$4&lt;='2025'!$M297), M$4&lt;&gt;DATE(2025,7,4)), (SWITCH(weekday(M$4), 1, 0, 2, if(ISBLANK('2025'!$P297), 0, 1), 3, if(ISBLANK('2025'!$Q297), 0, 1), 4, if(ISBLANK('2025'!$R297), 0, 1), 5, if(ISBLANK('2025'!$S297), 0, 1), 6, if(ISBLANK('2025'!$T297), 0, 1), 7, 0))), 1, "")</f>
        <v/>
      </c>
      <c r="N299" s="1" t="str">
        <f>IF(AND(AND(AND(N$4&gt;='2025'!$L297,N$4&lt;='2025'!$M297), N$4&lt;&gt;DATE(2025,7,4)), (SWITCH(weekday(N$4), 1, 0, 2, if(ISBLANK('2025'!$P297), 0, 1), 3, if(ISBLANK('2025'!$Q297), 0, 1), 4, if(ISBLANK('2025'!$R297), 0, 1), 5, if(ISBLANK('2025'!$S297), 0, 1), 6, if(ISBLANK('2025'!$T297), 0, 1), 7, 0))), 1, "")</f>
        <v/>
      </c>
      <c r="O299" s="1" t="str">
        <f>IF(AND(AND(AND(O$4&gt;='2025'!$L297,O$4&lt;='2025'!$M297), O$4&lt;&gt;DATE(2025,7,4)), (SWITCH(weekday(O$4), 1, 0, 2, if(ISBLANK('2025'!$P297), 0, 1), 3, if(ISBLANK('2025'!$Q297), 0, 1), 4, if(ISBLANK('2025'!$R297), 0, 1), 5, if(ISBLANK('2025'!$S297), 0, 1), 6, if(ISBLANK('2025'!$T297), 0, 1), 7, 0))), 1, "")</f>
        <v/>
      </c>
      <c r="P299" s="1" t="str">
        <f>IF(AND(AND(AND(P$4&gt;='2025'!$L297,P$4&lt;='2025'!$M297), P$4&lt;&gt;DATE(2025,7,4)), (SWITCH(weekday(P$4), 1, 0, 2, if(ISBLANK('2025'!$P297), 0, 1), 3, if(ISBLANK('2025'!$Q297), 0, 1), 4, if(ISBLANK('2025'!$R297), 0, 1), 5, if(ISBLANK('2025'!$S297), 0, 1), 6, if(ISBLANK('2025'!$T297), 0, 1), 7, 0))), 1, "")</f>
        <v/>
      </c>
      <c r="Q299" s="1" t="str">
        <f>IF(AND(AND(AND(Q$4&gt;='2025'!$L297,Q$4&lt;='2025'!$M297), Q$4&lt;&gt;DATE(2025,7,4)), (SWITCH(weekday(Q$4), 1, 0, 2, if(ISBLANK('2025'!$P297), 0, 1), 3, if(ISBLANK('2025'!$Q297), 0, 1), 4, if(ISBLANK('2025'!$R297), 0, 1), 5, if(ISBLANK('2025'!$S297), 0, 1), 6, if(ISBLANK('2025'!$T297), 0, 1), 7, 0))), 1, "")</f>
        <v/>
      </c>
      <c r="R299" s="1" t="str">
        <f>IF(AND(AND(AND(R$4&gt;='2025'!$L297,R$4&lt;='2025'!$M297), R$4&lt;&gt;DATE(2025,7,4)), (SWITCH(weekday(R$4), 1, 0, 2, if(ISBLANK('2025'!$P297), 0, 1), 3, if(ISBLANK('2025'!$Q297), 0, 1), 4, if(ISBLANK('2025'!$R297), 0, 1), 5, if(ISBLANK('2025'!$S297), 0, 1), 6, if(ISBLANK('2025'!$T297), 0, 1), 7, 0))), 1, "")</f>
        <v/>
      </c>
      <c r="S299" s="1" t="str">
        <f>IF(AND(AND(AND(S$4&gt;='2025'!$L297,S$4&lt;='2025'!$M297), S$4&lt;&gt;DATE(2025,7,4)), (SWITCH(weekday(S$4), 1, 0, 2, if(ISBLANK('2025'!$P297), 0, 1), 3, if(ISBLANK('2025'!$Q297), 0, 1), 4, if(ISBLANK('2025'!$R297), 0, 1), 5, if(ISBLANK('2025'!$S297), 0, 1), 6, if(ISBLANK('2025'!$T297), 0, 1), 7, 0))), 1, "")</f>
        <v/>
      </c>
      <c r="T299" s="1" t="str">
        <f>IF(AND(AND(AND(T$4&gt;='2025'!$L297,T$4&lt;='2025'!$M297), T$4&lt;&gt;DATE(2025,7,4)), (SWITCH(weekday(T$4), 1, 0, 2, if(ISBLANK('2025'!$P297), 0, 1), 3, if(ISBLANK('2025'!$Q297), 0, 1), 4, if(ISBLANK('2025'!$R297), 0, 1), 5, if(ISBLANK('2025'!$S297), 0, 1), 6, if(ISBLANK('2025'!$T297), 0, 1), 7, 0))), 1, "")</f>
        <v/>
      </c>
      <c r="U299" s="1" t="str">
        <f>IF(AND(AND(AND(U$4&gt;='2025'!$L297,U$4&lt;='2025'!$M297), U$4&lt;&gt;DATE(2025,7,4)), (SWITCH(weekday(U$4), 1, 0, 2, if(ISBLANK('2025'!$P297), 0, 1), 3, if(ISBLANK('2025'!$Q297), 0, 1), 4, if(ISBLANK('2025'!$R297), 0, 1), 5, if(ISBLANK('2025'!$S297), 0, 1), 6, if(ISBLANK('2025'!$T297), 0, 1), 7, 0))), 1, "")</f>
        <v/>
      </c>
      <c r="V299" s="1" t="str">
        <f>IF(AND(AND(AND(V$4&gt;='2025'!$L297,V$4&lt;='2025'!$M297), V$4&lt;&gt;DATE(2025,7,4)), (SWITCH(weekday(V$4), 1, 0, 2, if(ISBLANK('2025'!$P297), 0, 1), 3, if(ISBLANK('2025'!$Q297), 0, 1), 4, if(ISBLANK('2025'!$R297), 0, 1), 5, if(ISBLANK('2025'!$S297), 0, 1), 6, if(ISBLANK('2025'!$T297), 0, 1), 7, 0))), 1, "")</f>
        <v/>
      </c>
      <c r="W299" s="1" t="str">
        <f>IF(AND(AND(AND(W$4&gt;='2025'!$L297,W$4&lt;='2025'!$M297), W$4&lt;&gt;DATE(2025,7,4)), (SWITCH(weekday(W$4), 1, 0, 2, if(ISBLANK('2025'!$P297), 0, 1), 3, if(ISBLANK('2025'!$Q297), 0, 1), 4, if(ISBLANK('2025'!$R297), 0, 1), 5, if(ISBLANK('2025'!$S297), 0, 1), 6, if(ISBLANK('2025'!$T297), 0, 1), 7, 0))), 1, "")</f>
        <v/>
      </c>
      <c r="X299" s="1" t="str">
        <f>IF(AND(AND(AND(X$4&gt;='2025'!$L297,X$4&lt;='2025'!$M297), X$4&lt;&gt;DATE(2025,7,4)), (SWITCH(weekday(X$4), 1, 0, 2, if(ISBLANK('2025'!$P297), 0, 1), 3, if(ISBLANK('2025'!$Q297), 0, 1), 4, if(ISBLANK('2025'!$R297), 0, 1), 5, if(ISBLANK('2025'!$S297), 0, 1), 6, if(ISBLANK('2025'!$T297), 0, 1), 7, 0))), 1, "")</f>
        <v/>
      </c>
      <c r="Y299" s="1" t="str">
        <f>IF(AND(AND(AND(Y$4&gt;='2025'!$L297,Y$4&lt;='2025'!$M297), Y$4&lt;&gt;DATE(2025,7,4)), (SWITCH(weekday(Y$4), 1, 0, 2, if(ISBLANK('2025'!$P297), 0, 1), 3, if(ISBLANK('2025'!$Q297), 0, 1), 4, if(ISBLANK('2025'!$R297), 0, 1), 5, if(ISBLANK('2025'!$S297), 0, 1), 6, if(ISBLANK('2025'!$T297), 0, 1), 7, 0))), 1, "")</f>
        <v/>
      </c>
      <c r="Z299" s="1" t="str">
        <f>IF(AND(AND(AND(Z$4&gt;='2025'!$L297,Z$4&lt;='2025'!$M297), Z$4&lt;&gt;DATE(2025,7,4)), (SWITCH(weekday(Z$4), 1, 0, 2, if(ISBLANK('2025'!$P297), 0, 1), 3, if(ISBLANK('2025'!$Q297), 0, 1), 4, if(ISBLANK('2025'!$R297), 0, 1), 5, if(ISBLANK('2025'!$S297), 0, 1), 6, if(ISBLANK('2025'!$T297), 0, 1), 7, 0))), 1, "")</f>
        <v/>
      </c>
      <c r="AA299" s="1" t="str">
        <f>IF(AND(AND(AND(AA$4&gt;='2025'!$L297,AA$4&lt;='2025'!$M297), AA$4&lt;&gt;DATE(2025,7,4)), (SWITCH(weekday(AA$4), 1, 0, 2, if(ISBLANK('2025'!$P297), 0, 1), 3, if(ISBLANK('2025'!$Q297), 0, 1), 4, if(ISBLANK('2025'!$R297), 0, 1), 5, if(ISBLANK('2025'!$S297), 0, 1), 6, if(ISBLANK('2025'!$T297), 0, 1), 7, 0))), 1, "")</f>
        <v/>
      </c>
      <c r="AB299" s="1" t="str">
        <f>IF(AND(AND(AND(AB$4&gt;='2025'!$L297,AB$4&lt;='2025'!$M297), AB$4&lt;&gt;DATE(2025,7,4)), (SWITCH(weekday(AB$4), 1, 0, 2, if(ISBLANK('2025'!$P297), 0, 1), 3, if(ISBLANK('2025'!$Q297), 0, 1), 4, if(ISBLANK('2025'!$R297), 0, 1), 5, if(ISBLANK('2025'!$S297), 0, 1), 6, if(ISBLANK('2025'!$T297), 0, 1), 7, 0))), 1, "")</f>
        <v/>
      </c>
      <c r="AC299" s="1" t="str">
        <f>IF(AND(AND(AND(AC$4&gt;='2025'!$L297,AC$4&lt;='2025'!$M297), AC$4&lt;&gt;DATE(2025,7,4)), (SWITCH(weekday(AC$4), 1, 0, 2, if(ISBLANK('2025'!$P297), 0, 1), 3, if(ISBLANK('2025'!$Q297), 0, 1), 4, if(ISBLANK('2025'!$R297), 0, 1), 5, if(ISBLANK('2025'!$S297), 0, 1), 6, if(ISBLANK('2025'!$T297), 0, 1), 7, 0))), 1, "")</f>
        <v/>
      </c>
      <c r="AD299" s="1" t="str">
        <f>IF(AND(AND(AND(AD$4&gt;='2025'!$L297,AD$4&lt;='2025'!$M297), AD$4&lt;&gt;DATE(2025,7,4)), (SWITCH(weekday(AD$4), 1, 0, 2, if(ISBLANK('2025'!$P297), 0, 1), 3, if(ISBLANK('2025'!$Q297), 0, 1), 4, if(ISBLANK('2025'!$R297), 0, 1), 5, if(ISBLANK('2025'!$S297), 0, 1), 6, if(ISBLANK('2025'!$T297), 0, 1), 7, 0))), 1, "")</f>
        <v/>
      </c>
      <c r="AE299" s="1" t="str">
        <f>IF(AND(AND(AND(AE$4&gt;='2025'!$L297,AE$4&lt;='2025'!$M297), AE$4&lt;&gt;DATE(2025,7,4)), (SWITCH(weekday(AE$4), 1, 0, 2, if(ISBLANK('2025'!$P297), 0, 1), 3, if(ISBLANK('2025'!$Q297), 0, 1), 4, if(ISBLANK('2025'!$R297), 0, 1), 5, if(ISBLANK('2025'!$S297), 0, 1), 6, if(ISBLANK('2025'!$T297), 0, 1), 7, 0))), 1, "")</f>
        <v/>
      </c>
      <c r="AF299" s="1" t="str">
        <f>IF(AND(AND(AND(AF$4&gt;='2025'!$L297,AF$4&lt;='2025'!$M297), AF$4&lt;&gt;DATE(2025,7,4)), (SWITCH(weekday(AF$4), 1, 0, 2, if(ISBLANK('2025'!$P297), 0, 1), 3, if(ISBLANK('2025'!$Q297), 0, 1), 4, if(ISBLANK('2025'!$R297), 0, 1), 5, if(ISBLANK('2025'!$S297), 0, 1), 6, if(ISBLANK('2025'!$T297), 0, 1), 7, 0))), 1, "")</f>
        <v/>
      </c>
      <c r="AG299" s="1" t="str">
        <f>IF(AND(AND(AND(AG$4&gt;='2025'!$L297,AG$4&lt;='2025'!$M297), AG$4&lt;&gt;DATE(2025,7,4)), (SWITCH(weekday(AG$4), 1, 0, 2, if(ISBLANK('2025'!$P297), 0, 1), 3, if(ISBLANK('2025'!$Q297), 0, 1), 4, if(ISBLANK('2025'!$R297), 0, 1), 5, if(ISBLANK('2025'!$S297), 0, 1), 6, if(ISBLANK('2025'!$T297), 0, 1), 7, 0))), 1, "")</f>
        <v/>
      </c>
      <c r="AH299" s="1" t="str">
        <f>IF(AND(AND(AND(AH$4&gt;='2025'!$L297,AH$4&lt;='2025'!$M297), AH$4&lt;&gt;DATE(2025,7,4)), (SWITCH(weekday(AH$4), 1, 0, 2, if(ISBLANK('2025'!$P297), 0, 1), 3, if(ISBLANK('2025'!$Q297), 0, 1), 4, if(ISBLANK('2025'!$R297), 0, 1), 5, if(ISBLANK('2025'!$S297), 0, 1), 6, if(ISBLANK('2025'!$T297), 0, 1), 7, 0))), 1, "")</f>
        <v/>
      </c>
      <c r="AI299" s="1" t="str">
        <f>IF(AND(AND(AND(AI$4&gt;='2025'!$L297,AI$4&lt;='2025'!$M297), AI$4&lt;&gt;DATE(2025,7,4)), (SWITCH(weekday(AI$4), 1, 0, 2, if(ISBLANK('2025'!$P297), 0, 1), 3, if(ISBLANK('2025'!$Q297), 0, 1), 4, if(ISBLANK('2025'!$R297), 0, 1), 5, if(ISBLANK('2025'!$S297), 0, 1), 6, if(ISBLANK('2025'!$T297), 0, 1), 7, 0))), 1, "")</f>
        <v/>
      </c>
      <c r="AJ299" s="1" t="str">
        <f>IF(AND(AND(AND(AJ$4&gt;='2025'!$L297,AJ$4&lt;='2025'!$M297), AJ$4&lt;&gt;DATE(2025,7,4)), (SWITCH(weekday(AJ$4), 1, 0, 2, if(ISBLANK('2025'!$P297), 0, 1), 3, if(ISBLANK('2025'!$Q297), 0, 1), 4, if(ISBLANK('2025'!$R297), 0, 1), 5, if(ISBLANK('2025'!$S297), 0, 1), 6, if(ISBLANK('2025'!$T297), 0, 1), 7, 0))), 1, "")</f>
        <v/>
      </c>
      <c r="AK299" s="1" t="str">
        <f>IF(AND(AND(AND(AK$4&gt;='2025'!$L297,AK$4&lt;='2025'!$M297), AK$4&lt;&gt;DATE(2025,7,4)), (SWITCH(weekday(AK$4), 1, 0, 2, if(ISBLANK('2025'!$P297), 0, 1), 3, if(ISBLANK('2025'!$Q297), 0, 1), 4, if(ISBLANK('2025'!$R297), 0, 1), 5, if(ISBLANK('2025'!$S297), 0, 1), 6, if(ISBLANK('2025'!$T297), 0, 1), 7, 0))), 1, "")</f>
        <v/>
      </c>
      <c r="AL299" s="1" t="str">
        <f>IF(AND(AND(AND(AL$4&gt;='2025'!$L297,AL$4&lt;='2025'!$M297), AL$4&lt;&gt;DATE(2025,7,4)), (SWITCH(weekday(AL$4), 1, 0, 2, if(ISBLANK('2025'!$P297), 0, 1), 3, if(ISBLANK('2025'!$Q297), 0, 1), 4, if(ISBLANK('2025'!$R297), 0, 1), 5, if(ISBLANK('2025'!$S297), 0, 1), 6, if(ISBLANK('2025'!$T297), 0, 1), 7, 0))), 1, "")</f>
        <v/>
      </c>
      <c r="AM299" s="1" t="str">
        <f>IF(AND(AND(AND(AM$4&gt;='2025'!$L297,AM$4&lt;='2025'!$M297), AM$4&lt;&gt;DATE(2025,7,4)), (SWITCH(weekday(AM$4), 1, 0, 2, if(ISBLANK('2025'!$P297), 0, 1), 3, if(ISBLANK('2025'!$Q297), 0, 1), 4, if(ISBLANK('2025'!$R297), 0, 1), 5, if(ISBLANK('2025'!$S297), 0, 1), 6, if(ISBLANK('2025'!$T297), 0, 1), 7, 0))), 1, "")</f>
        <v/>
      </c>
      <c r="AN299" s="1" t="str">
        <f>IF(AND(AND(AND(AN$4&gt;='2025'!$L297,AN$4&lt;='2025'!$M297), AN$4&lt;&gt;DATE(2025,7,4)), (SWITCH(weekday(AN$4), 1, 0, 2, if(ISBLANK('2025'!$P297), 0, 1), 3, if(ISBLANK('2025'!$Q297), 0, 1), 4, if(ISBLANK('2025'!$R297), 0, 1), 5, if(ISBLANK('2025'!$S297), 0, 1), 6, if(ISBLANK('2025'!$T297), 0, 1), 7, 0))), 1, "")</f>
        <v/>
      </c>
      <c r="AO299" s="1" t="str">
        <f>IF(AND(AND(AND(AO$4&gt;='2025'!$L297,AO$4&lt;='2025'!$M297), AO$4&lt;&gt;DATE(2025,7,4)), (SWITCH(weekday(AO$4), 1, 0, 2, if(ISBLANK('2025'!$P297), 0, 1), 3, if(ISBLANK('2025'!$Q297), 0, 1), 4, if(ISBLANK('2025'!$R297), 0, 1), 5, if(ISBLANK('2025'!$S297), 0, 1), 6, if(ISBLANK('2025'!$T297), 0, 1), 7, 0))), 1, "")</f>
        <v/>
      </c>
      <c r="AP299" s="1" t="str">
        <f>IF(AND(AND(AND(AP$4&gt;='2025'!$L297,AP$4&lt;='2025'!$M297), AP$4&lt;&gt;DATE(2025,7,4)), (SWITCH(weekday(AP$4), 1, 0, 2, if(ISBLANK('2025'!$P297), 0, 1), 3, if(ISBLANK('2025'!$Q297), 0, 1), 4, if(ISBLANK('2025'!$R297), 0, 1), 5, if(ISBLANK('2025'!$S297), 0, 1), 6, if(ISBLANK('2025'!$T297), 0, 1), 7, 0))), 1, "")</f>
        <v/>
      </c>
      <c r="AQ299" s="1" t="str">
        <f>IF(AND(AND(AND(AQ$4&gt;='2025'!$L297,AQ$4&lt;='2025'!$M297), AQ$4&lt;&gt;DATE(2025,7,4)), (SWITCH(weekday(AQ$4), 1, 0, 2, if(ISBLANK('2025'!$P297), 0, 1), 3, if(ISBLANK('2025'!$Q297), 0, 1), 4, if(ISBLANK('2025'!$R297), 0, 1), 5, if(ISBLANK('2025'!$S297), 0, 1), 6, if(ISBLANK('2025'!$T297), 0, 1), 7, 0))), 1, "")</f>
        <v/>
      </c>
      <c r="AR299" s="1" t="str">
        <f>IF(AND(AND(AND(AR$4&gt;='2025'!$L297,AR$4&lt;='2025'!$M297), AR$4&lt;&gt;DATE(2025,7,4)), (SWITCH(weekday(AR$4), 1, 0, 2, if(ISBLANK('2025'!$P297), 0, 1), 3, if(ISBLANK('2025'!$Q297), 0, 1), 4, if(ISBLANK('2025'!$R297), 0, 1), 5, if(ISBLANK('2025'!$S297), 0, 1), 6, if(ISBLANK('2025'!$T297), 0, 1), 7, 0))), 1, "")</f>
        <v/>
      </c>
      <c r="AS299" s="1" t="str">
        <f>IF(AND(AND(AND(AS$4&gt;='2025'!$L297,AS$4&lt;='2025'!$M297), AS$4&lt;&gt;DATE(2025,7,4)), (SWITCH(weekday(AS$4), 1, 0, 2, if(ISBLANK('2025'!$P297), 0, 1), 3, if(ISBLANK('2025'!$Q297), 0, 1), 4, if(ISBLANK('2025'!$R297), 0, 1), 5, if(ISBLANK('2025'!$S297), 0, 1), 6, if(ISBLANK('2025'!$T297), 0, 1), 7, 0))), 1, "")</f>
        <v/>
      </c>
      <c r="AT299" s="1" t="str">
        <f>IF(AND(AND(AND(AT$4&gt;='2025'!$L297,AT$4&lt;='2025'!$M297), AT$4&lt;&gt;DATE(2025,7,4)), (SWITCH(weekday(AT$4), 1, 0, 2, if(ISBLANK('2025'!$P297), 0, 1), 3, if(ISBLANK('2025'!$Q297), 0, 1), 4, if(ISBLANK('2025'!$R297), 0, 1), 5, if(ISBLANK('2025'!$S297), 0, 1), 6, if(ISBLANK('2025'!$T297), 0, 1), 7, 0))), 1, "")</f>
        <v/>
      </c>
      <c r="AU299" s="1" t="str">
        <f>IF(AND(AND(AND(AU$4&gt;='2025'!$L297,AU$4&lt;='2025'!$M297), AU$4&lt;&gt;DATE(2025,7,4)), (SWITCH(weekday(AU$4), 1, 0, 2, if(ISBLANK('2025'!$P297), 0, 1), 3, if(ISBLANK('2025'!$Q297), 0, 1), 4, if(ISBLANK('2025'!$R297), 0, 1), 5, if(ISBLANK('2025'!$S297), 0, 1), 6, if(ISBLANK('2025'!$T297), 0, 1), 7, 0))), 1, "")</f>
        <v/>
      </c>
      <c r="AV299" s="1" t="str">
        <f>IF(AND(AND(AND(AV$4&gt;='2025'!$L297,AV$4&lt;='2025'!$M297), AV$4&lt;&gt;DATE(2025,7,4)), (SWITCH(weekday(AV$4), 1, 0, 2, if(ISBLANK('2025'!$P297), 0, 1), 3, if(ISBLANK('2025'!$Q297), 0, 1), 4, if(ISBLANK('2025'!$R297), 0, 1), 5, if(ISBLANK('2025'!$S297), 0, 1), 6, if(ISBLANK('2025'!$T297), 0, 1), 7, 0))), 1, "")</f>
        <v/>
      </c>
      <c r="AW299" s="1" t="str">
        <f>IF(AND(AND(AND(AW$4&gt;='2025'!$L297,AW$4&lt;='2025'!$M297), AW$4&lt;&gt;DATE(2025,7,4)), (SWITCH(weekday(AW$4), 1, 0, 2, if(ISBLANK('2025'!$P297), 0, 1), 3, if(ISBLANK('2025'!$Q297), 0, 1), 4, if(ISBLANK('2025'!$R297), 0, 1), 5, if(ISBLANK('2025'!$S297), 0, 1), 6, if(ISBLANK('2025'!$T297), 0, 1), 7, 0))), 1, "")</f>
        <v/>
      </c>
      <c r="AX299" s="1" t="str">
        <f>IF(AND(AND(AND(AX$4&gt;='2025'!$L297,AX$4&lt;='2025'!$M297), AX$4&lt;&gt;DATE(2025,7,4)), (SWITCH(weekday(AX$4), 1, 0, 2, if(ISBLANK('2025'!$P297), 0, 1), 3, if(ISBLANK('2025'!$Q297), 0, 1), 4, if(ISBLANK('2025'!$R297), 0, 1), 5, if(ISBLANK('2025'!$S297), 0, 1), 6, if(ISBLANK('2025'!$T297), 0, 1), 7, 0))), 1, "")</f>
        <v/>
      </c>
      <c r="AY299" s="1" t="str">
        <f>IF(AND(AND(AND(AY$4&gt;='2025'!$L297,AY$4&lt;='2025'!$M297), AY$4&lt;&gt;DATE(2025,7,4)), (SWITCH(weekday(AY$4), 1, 0, 2, if(ISBLANK('2025'!$P297), 0, 1), 3, if(ISBLANK('2025'!$Q297), 0, 1), 4, if(ISBLANK('2025'!$R297), 0, 1), 5, if(ISBLANK('2025'!$S297), 0, 1), 6, if(ISBLANK('2025'!$T297), 0, 1), 7, 0))), 1, "")</f>
        <v/>
      </c>
      <c r="AZ299" s="1" t="str">
        <f>IF(AND(AND(AND(AZ$4&gt;='2025'!$L297,AZ$4&lt;='2025'!$M297), AZ$4&lt;&gt;DATE(2025,7,4)), (SWITCH(weekday(AZ$4), 1, 0, 2, if(ISBLANK('2025'!$P297), 0, 1), 3, if(ISBLANK('2025'!$Q297), 0, 1), 4, if(ISBLANK('2025'!$R297), 0, 1), 5, if(ISBLANK('2025'!$S297), 0, 1), 6, if(ISBLANK('2025'!$T297), 0, 1), 7, 0))), 1, "")</f>
        <v/>
      </c>
      <c r="BA299" s="1" t="str">
        <f>IF(AND(AND(AND(BA$4&gt;='2025'!$L297,BA$4&lt;='2025'!$M297), BA$4&lt;&gt;DATE(2025,7,4)), (SWITCH(weekday(BA$4), 1, 0, 2, if(ISBLANK('2025'!$P297), 0, 1), 3, if(ISBLANK('2025'!$Q297), 0, 1), 4, if(ISBLANK('2025'!$R297), 0, 1), 5, if(ISBLANK('2025'!$S297), 0, 1), 6, if(ISBLANK('2025'!$T297), 0, 1), 7, 0))), 1, "")</f>
        <v/>
      </c>
      <c r="BB299" s="1" t="str">
        <f>IF(AND(AND(AND(BB$4&gt;='2025'!$L297,BB$4&lt;='2025'!$M297), BB$4&lt;&gt;DATE(2025,7,4)), (SWITCH(weekday(BB$4), 1, 0, 2, if(ISBLANK('2025'!$P297), 0, 1), 3, if(ISBLANK('2025'!$Q297), 0, 1), 4, if(ISBLANK('2025'!$R297), 0, 1), 5, if(ISBLANK('2025'!$S297), 0, 1), 6, if(ISBLANK('2025'!$T297), 0, 1), 7, 0))), 1, "")</f>
        <v/>
      </c>
      <c r="BC299" s="1" t="str">
        <f>IF(AND(AND(AND(BC$4&gt;='2025'!$L297,BC$4&lt;='2025'!$M297), BC$4&lt;&gt;DATE(2025,7,4)), (SWITCH(weekday(BC$4), 1, 0, 2, if(ISBLANK('2025'!$P297), 0, 1), 3, if(ISBLANK('2025'!$Q297), 0, 1), 4, if(ISBLANK('2025'!$R297), 0, 1), 5, if(ISBLANK('2025'!$S297), 0, 1), 6, if(ISBLANK('2025'!$T297), 0, 1), 7, 0))), 1, "")</f>
        <v/>
      </c>
      <c r="BD299" s="1" t="str">
        <f>IF(AND(AND(AND(BD$4&gt;='2025'!$L297,BD$4&lt;='2025'!$M297), BD$4&lt;&gt;DATE(2025,7,4)), (SWITCH(weekday(BD$4), 1, 0, 2, if(ISBLANK('2025'!$P297), 0, 1), 3, if(ISBLANK('2025'!$Q297), 0, 1), 4, if(ISBLANK('2025'!$R297), 0, 1), 5, if(ISBLANK('2025'!$S297), 0, 1), 6, if(ISBLANK('2025'!$T297), 0, 1), 7, 0))), 1, "")</f>
        <v/>
      </c>
      <c r="BE299" s="1" t="str">
        <f>IF(AND(AND(AND(BE$4&gt;='2025'!$L297,BE$4&lt;='2025'!$M297), BE$4&lt;&gt;DATE(2025,7,4)), (SWITCH(weekday(BE$4), 1, 0, 2, if(ISBLANK('2025'!$P297), 0, 1), 3, if(ISBLANK('2025'!$Q297), 0, 1), 4, if(ISBLANK('2025'!$R297), 0, 1), 5, if(ISBLANK('2025'!$S297), 0, 1), 6, if(ISBLANK('2025'!$T297), 0, 1), 7, 0))), 1, "")</f>
        <v/>
      </c>
      <c r="BF299" s="1" t="str">
        <f>IF(AND(AND(AND(BF$4&gt;='2025'!$L297,BF$4&lt;='2025'!$M297), BF$4&lt;&gt;DATE(2025,7,4)), (SWITCH(weekday(BF$4), 1, 0, 2, if(ISBLANK('2025'!$P297), 0, 1), 3, if(ISBLANK('2025'!$Q297), 0, 1), 4, if(ISBLANK('2025'!$R297), 0, 1), 5, if(ISBLANK('2025'!$S297), 0, 1), 6, if(ISBLANK('2025'!$T297), 0, 1), 7, 0))), 1, "")</f>
        <v/>
      </c>
      <c r="BG299" s="1"/>
      <c r="BH299" s="1"/>
      <c r="BI299" s="1"/>
      <c r="BJ299" s="1"/>
      <c r="BK299" s="1"/>
      <c r="BL299" s="1"/>
    </row>
    <row r="300">
      <c r="A300" s="1">
        <f t="shared" si="3"/>
        <v>300</v>
      </c>
      <c r="B300" s="1" t="str">
        <f>'2025'!D264</f>
        <v>, </v>
      </c>
      <c r="C300" s="1" t="str">
        <f>'2025'!H264</f>
        <v/>
      </c>
      <c r="D300" s="1" t="str">
        <f>IF(AND(AND(AND(D$4&gt;='2025'!$L298,D$4&lt;='2025'!$M298), D$4&lt;&gt;DATE(2025,7,4)), (SWITCH(weekday(D$4), 1, 0, 2, if(ISBLANK('2025'!$P298), 0, 1), 3, if(ISBLANK('2025'!$Q298), 0, 1), 4, if(ISBLANK('2025'!$R298), 0, 1), 5, if(ISBLANK('2025'!$S298), 0, 1), 6, if(ISBLANK('2025'!$T298), 0, 1), 7, 0))), 1, "")</f>
        <v/>
      </c>
      <c r="E300" s="1" t="str">
        <f>IF(AND(AND(AND(E$4&gt;='2025'!$L298,E$4&lt;='2025'!$M298), E$4&lt;&gt;DATE(2025,7,4)), (SWITCH(weekday(E$4), 1, 0, 2, if(ISBLANK('2025'!$P298), 0, 1), 3, if(ISBLANK('2025'!$Q298), 0, 1), 4, if(ISBLANK('2025'!$R298), 0, 1), 5, if(ISBLANK('2025'!$S298), 0, 1), 6, if(ISBLANK('2025'!$T298), 0, 1), 7, 0))), 1, "")</f>
        <v/>
      </c>
      <c r="F300" s="1" t="str">
        <f>IF(AND(AND(AND(F$4&gt;='2025'!$L298,F$4&lt;='2025'!$M298), F$4&lt;&gt;DATE(2025,7,4)), (SWITCH(weekday(F$4), 1, 0, 2, if(ISBLANK('2025'!$P298), 0, 1), 3, if(ISBLANK('2025'!$Q298), 0, 1), 4, if(ISBLANK('2025'!$R298), 0, 1), 5, if(ISBLANK('2025'!$S298), 0, 1), 6, if(ISBLANK('2025'!$T298), 0, 1), 7, 0))), 1, "")</f>
        <v/>
      </c>
      <c r="G300" s="1" t="str">
        <f>IF(AND(AND(AND(G$4&gt;='2025'!$L298,G$4&lt;='2025'!$M298), G$4&lt;&gt;DATE(2025,7,4)), (SWITCH(weekday(G$4), 1, 0, 2, if(ISBLANK('2025'!$P298), 0, 1), 3, if(ISBLANK('2025'!$Q298), 0, 1), 4, if(ISBLANK('2025'!$R298), 0, 1), 5, if(ISBLANK('2025'!$S298), 0, 1), 6, if(ISBLANK('2025'!$T298), 0, 1), 7, 0))), 1, "")</f>
        <v/>
      </c>
      <c r="H300" s="1" t="str">
        <f>IF(AND(AND(AND(H$4&gt;='2025'!$L298,H$4&lt;='2025'!$M298), H$4&lt;&gt;DATE(2025,7,4)), (SWITCH(weekday(H$4), 1, 0, 2, if(ISBLANK('2025'!$P298), 0, 1), 3, if(ISBLANK('2025'!$Q298), 0, 1), 4, if(ISBLANK('2025'!$R298), 0, 1), 5, if(ISBLANK('2025'!$S298), 0, 1), 6, if(ISBLANK('2025'!$T298), 0, 1), 7, 0))), 1, "")</f>
        <v/>
      </c>
      <c r="I300" s="1" t="str">
        <f>IF(AND(AND(AND(I$4&gt;='2025'!$L298,I$4&lt;='2025'!$M298), I$4&lt;&gt;DATE(2025,7,4)), (SWITCH(weekday(I$4), 1, 0, 2, if(ISBLANK('2025'!$P298), 0, 1), 3, if(ISBLANK('2025'!$Q298), 0, 1), 4, if(ISBLANK('2025'!$R298), 0, 1), 5, if(ISBLANK('2025'!$S298), 0, 1), 6, if(ISBLANK('2025'!$T298), 0, 1), 7, 0))), 1, "")</f>
        <v/>
      </c>
      <c r="J300" s="1" t="str">
        <f>IF(AND(AND(AND(J$4&gt;='2025'!$L298,J$4&lt;='2025'!$M298), J$4&lt;&gt;DATE(2025,7,4)), (SWITCH(weekday(J$4), 1, 0, 2, if(ISBLANK('2025'!$P298), 0, 1), 3, if(ISBLANK('2025'!$Q298), 0, 1), 4, if(ISBLANK('2025'!$R298), 0, 1), 5, if(ISBLANK('2025'!$S298), 0, 1), 6, if(ISBLANK('2025'!$T298), 0, 1), 7, 0))), 1, "")</f>
        <v/>
      </c>
      <c r="K300" s="1" t="str">
        <f>IF(AND(AND(AND(K$4&gt;='2025'!$L298,K$4&lt;='2025'!$M298), K$4&lt;&gt;DATE(2025,7,4)), (SWITCH(weekday(K$4), 1, 0, 2, if(ISBLANK('2025'!$P298), 0, 1), 3, if(ISBLANK('2025'!$Q298), 0, 1), 4, if(ISBLANK('2025'!$R298), 0, 1), 5, if(ISBLANK('2025'!$S298), 0, 1), 6, if(ISBLANK('2025'!$T298), 0, 1), 7, 0))), 1, "")</f>
        <v/>
      </c>
      <c r="L300" s="1" t="str">
        <f>IF(AND(AND(AND(L$4&gt;='2025'!$L298,L$4&lt;='2025'!$M298), L$4&lt;&gt;DATE(2025,7,4)), (SWITCH(weekday(L$4), 1, 0, 2, if(ISBLANK('2025'!$P298), 0, 1), 3, if(ISBLANK('2025'!$Q298), 0, 1), 4, if(ISBLANK('2025'!$R298), 0, 1), 5, if(ISBLANK('2025'!$S298), 0, 1), 6, if(ISBLANK('2025'!$T298), 0, 1), 7, 0))), 1, "")</f>
        <v/>
      </c>
      <c r="M300" s="1" t="str">
        <f>IF(AND(AND(AND(M$4&gt;='2025'!$L298,M$4&lt;='2025'!$M298), M$4&lt;&gt;DATE(2025,7,4)), (SWITCH(weekday(M$4), 1, 0, 2, if(ISBLANK('2025'!$P298), 0, 1), 3, if(ISBLANK('2025'!$Q298), 0, 1), 4, if(ISBLANK('2025'!$R298), 0, 1), 5, if(ISBLANK('2025'!$S298), 0, 1), 6, if(ISBLANK('2025'!$T298), 0, 1), 7, 0))), 1, "")</f>
        <v/>
      </c>
      <c r="N300" s="1" t="str">
        <f>IF(AND(AND(AND(N$4&gt;='2025'!$L298,N$4&lt;='2025'!$M298), N$4&lt;&gt;DATE(2025,7,4)), (SWITCH(weekday(N$4), 1, 0, 2, if(ISBLANK('2025'!$P298), 0, 1), 3, if(ISBLANK('2025'!$Q298), 0, 1), 4, if(ISBLANK('2025'!$R298), 0, 1), 5, if(ISBLANK('2025'!$S298), 0, 1), 6, if(ISBLANK('2025'!$T298), 0, 1), 7, 0))), 1, "")</f>
        <v/>
      </c>
      <c r="O300" s="1" t="str">
        <f>IF(AND(AND(AND(O$4&gt;='2025'!$L298,O$4&lt;='2025'!$M298), O$4&lt;&gt;DATE(2025,7,4)), (SWITCH(weekday(O$4), 1, 0, 2, if(ISBLANK('2025'!$P298), 0, 1), 3, if(ISBLANK('2025'!$Q298), 0, 1), 4, if(ISBLANK('2025'!$R298), 0, 1), 5, if(ISBLANK('2025'!$S298), 0, 1), 6, if(ISBLANK('2025'!$T298), 0, 1), 7, 0))), 1, "")</f>
        <v/>
      </c>
      <c r="P300" s="1" t="str">
        <f>IF(AND(AND(AND(P$4&gt;='2025'!$L298,P$4&lt;='2025'!$M298), P$4&lt;&gt;DATE(2025,7,4)), (SWITCH(weekday(P$4), 1, 0, 2, if(ISBLANK('2025'!$P298), 0, 1), 3, if(ISBLANK('2025'!$Q298), 0, 1), 4, if(ISBLANK('2025'!$R298), 0, 1), 5, if(ISBLANK('2025'!$S298), 0, 1), 6, if(ISBLANK('2025'!$T298), 0, 1), 7, 0))), 1, "")</f>
        <v/>
      </c>
      <c r="Q300" s="1" t="str">
        <f>IF(AND(AND(AND(Q$4&gt;='2025'!$L298,Q$4&lt;='2025'!$M298), Q$4&lt;&gt;DATE(2025,7,4)), (SWITCH(weekday(Q$4), 1, 0, 2, if(ISBLANK('2025'!$P298), 0, 1), 3, if(ISBLANK('2025'!$Q298), 0, 1), 4, if(ISBLANK('2025'!$R298), 0, 1), 5, if(ISBLANK('2025'!$S298), 0, 1), 6, if(ISBLANK('2025'!$T298), 0, 1), 7, 0))), 1, "")</f>
        <v/>
      </c>
      <c r="R300" s="1" t="str">
        <f>IF(AND(AND(AND(R$4&gt;='2025'!$L298,R$4&lt;='2025'!$M298), R$4&lt;&gt;DATE(2025,7,4)), (SWITCH(weekday(R$4), 1, 0, 2, if(ISBLANK('2025'!$P298), 0, 1), 3, if(ISBLANK('2025'!$Q298), 0, 1), 4, if(ISBLANK('2025'!$R298), 0, 1), 5, if(ISBLANK('2025'!$S298), 0, 1), 6, if(ISBLANK('2025'!$T298), 0, 1), 7, 0))), 1, "")</f>
        <v/>
      </c>
      <c r="S300" s="1" t="str">
        <f>IF(AND(AND(AND(S$4&gt;='2025'!$L298,S$4&lt;='2025'!$M298), S$4&lt;&gt;DATE(2025,7,4)), (SWITCH(weekday(S$4), 1, 0, 2, if(ISBLANK('2025'!$P298), 0, 1), 3, if(ISBLANK('2025'!$Q298), 0, 1), 4, if(ISBLANK('2025'!$R298), 0, 1), 5, if(ISBLANK('2025'!$S298), 0, 1), 6, if(ISBLANK('2025'!$T298), 0, 1), 7, 0))), 1, "")</f>
        <v/>
      </c>
      <c r="T300" s="1" t="str">
        <f>IF(AND(AND(AND(T$4&gt;='2025'!$L298,T$4&lt;='2025'!$M298), T$4&lt;&gt;DATE(2025,7,4)), (SWITCH(weekday(T$4), 1, 0, 2, if(ISBLANK('2025'!$P298), 0, 1), 3, if(ISBLANK('2025'!$Q298), 0, 1), 4, if(ISBLANK('2025'!$R298), 0, 1), 5, if(ISBLANK('2025'!$S298), 0, 1), 6, if(ISBLANK('2025'!$T298), 0, 1), 7, 0))), 1, "")</f>
        <v/>
      </c>
      <c r="U300" s="1" t="str">
        <f>IF(AND(AND(AND(U$4&gt;='2025'!$L298,U$4&lt;='2025'!$M298), U$4&lt;&gt;DATE(2025,7,4)), (SWITCH(weekday(U$4), 1, 0, 2, if(ISBLANK('2025'!$P298), 0, 1), 3, if(ISBLANK('2025'!$Q298), 0, 1), 4, if(ISBLANK('2025'!$R298), 0, 1), 5, if(ISBLANK('2025'!$S298), 0, 1), 6, if(ISBLANK('2025'!$T298), 0, 1), 7, 0))), 1, "")</f>
        <v/>
      </c>
      <c r="V300" s="1" t="str">
        <f>IF(AND(AND(AND(V$4&gt;='2025'!$L298,V$4&lt;='2025'!$M298), V$4&lt;&gt;DATE(2025,7,4)), (SWITCH(weekday(V$4), 1, 0, 2, if(ISBLANK('2025'!$P298), 0, 1), 3, if(ISBLANK('2025'!$Q298), 0, 1), 4, if(ISBLANK('2025'!$R298), 0, 1), 5, if(ISBLANK('2025'!$S298), 0, 1), 6, if(ISBLANK('2025'!$T298), 0, 1), 7, 0))), 1, "")</f>
        <v/>
      </c>
      <c r="W300" s="1" t="str">
        <f>IF(AND(AND(AND(W$4&gt;='2025'!$L298,W$4&lt;='2025'!$M298), W$4&lt;&gt;DATE(2025,7,4)), (SWITCH(weekday(W$4), 1, 0, 2, if(ISBLANK('2025'!$P298), 0, 1), 3, if(ISBLANK('2025'!$Q298), 0, 1), 4, if(ISBLANK('2025'!$R298), 0, 1), 5, if(ISBLANK('2025'!$S298), 0, 1), 6, if(ISBLANK('2025'!$T298), 0, 1), 7, 0))), 1, "")</f>
        <v/>
      </c>
      <c r="X300" s="1" t="str">
        <f>IF(AND(AND(AND(X$4&gt;='2025'!$L298,X$4&lt;='2025'!$M298), X$4&lt;&gt;DATE(2025,7,4)), (SWITCH(weekday(X$4), 1, 0, 2, if(ISBLANK('2025'!$P298), 0, 1), 3, if(ISBLANK('2025'!$Q298), 0, 1), 4, if(ISBLANK('2025'!$R298), 0, 1), 5, if(ISBLANK('2025'!$S298), 0, 1), 6, if(ISBLANK('2025'!$T298), 0, 1), 7, 0))), 1, "")</f>
        <v/>
      </c>
      <c r="Y300" s="1" t="str">
        <f>IF(AND(AND(AND(Y$4&gt;='2025'!$L298,Y$4&lt;='2025'!$M298), Y$4&lt;&gt;DATE(2025,7,4)), (SWITCH(weekday(Y$4), 1, 0, 2, if(ISBLANK('2025'!$P298), 0, 1), 3, if(ISBLANK('2025'!$Q298), 0, 1), 4, if(ISBLANK('2025'!$R298), 0, 1), 5, if(ISBLANK('2025'!$S298), 0, 1), 6, if(ISBLANK('2025'!$T298), 0, 1), 7, 0))), 1, "")</f>
        <v/>
      </c>
      <c r="Z300" s="1" t="str">
        <f>IF(AND(AND(AND(Z$4&gt;='2025'!$L298,Z$4&lt;='2025'!$M298), Z$4&lt;&gt;DATE(2025,7,4)), (SWITCH(weekday(Z$4), 1, 0, 2, if(ISBLANK('2025'!$P298), 0, 1), 3, if(ISBLANK('2025'!$Q298), 0, 1), 4, if(ISBLANK('2025'!$R298), 0, 1), 5, if(ISBLANK('2025'!$S298), 0, 1), 6, if(ISBLANK('2025'!$T298), 0, 1), 7, 0))), 1, "")</f>
        <v/>
      </c>
      <c r="AA300" s="1" t="str">
        <f>IF(AND(AND(AND(AA$4&gt;='2025'!$L298,AA$4&lt;='2025'!$M298), AA$4&lt;&gt;DATE(2025,7,4)), (SWITCH(weekday(AA$4), 1, 0, 2, if(ISBLANK('2025'!$P298), 0, 1), 3, if(ISBLANK('2025'!$Q298), 0, 1), 4, if(ISBLANK('2025'!$R298), 0, 1), 5, if(ISBLANK('2025'!$S298), 0, 1), 6, if(ISBLANK('2025'!$T298), 0, 1), 7, 0))), 1, "")</f>
        <v/>
      </c>
      <c r="AB300" s="1" t="str">
        <f>IF(AND(AND(AND(AB$4&gt;='2025'!$L298,AB$4&lt;='2025'!$M298), AB$4&lt;&gt;DATE(2025,7,4)), (SWITCH(weekday(AB$4), 1, 0, 2, if(ISBLANK('2025'!$P298), 0, 1), 3, if(ISBLANK('2025'!$Q298), 0, 1), 4, if(ISBLANK('2025'!$R298), 0, 1), 5, if(ISBLANK('2025'!$S298), 0, 1), 6, if(ISBLANK('2025'!$T298), 0, 1), 7, 0))), 1, "")</f>
        <v/>
      </c>
      <c r="AC300" s="1" t="str">
        <f>IF(AND(AND(AND(AC$4&gt;='2025'!$L298,AC$4&lt;='2025'!$M298), AC$4&lt;&gt;DATE(2025,7,4)), (SWITCH(weekday(AC$4), 1, 0, 2, if(ISBLANK('2025'!$P298), 0, 1), 3, if(ISBLANK('2025'!$Q298), 0, 1), 4, if(ISBLANK('2025'!$R298), 0, 1), 5, if(ISBLANK('2025'!$S298), 0, 1), 6, if(ISBLANK('2025'!$T298), 0, 1), 7, 0))), 1, "")</f>
        <v/>
      </c>
      <c r="AD300" s="1" t="str">
        <f>IF(AND(AND(AND(AD$4&gt;='2025'!$L298,AD$4&lt;='2025'!$M298), AD$4&lt;&gt;DATE(2025,7,4)), (SWITCH(weekday(AD$4), 1, 0, 2, if(ISBLANK('2025'!$P298), 0, 1), 3, if(ISBLANK('2025'!$Q298), 0, 1), 4, if(ISBLANK('2025'!$R298), 0, 1), 5, if(ISBLANK('2025'!$S298), 0, 1), 6, if(ISBLANK('2025'!$T298), 0, 1), 7, 0))), 1, "")</f>
        <v/>
      </c>
      <c r="AE300" s="1" t="str">
        <f>IF(AND(AND(AND(AE$4&gt;='2025'!$L298,AE$4&lt;='2025'!$M298), AE$4&lt;&gt;DATE(2025,7,4)), (SWITCH(weekday(AE$4), 1, 0, 2, if(ISBLANK('2025'!$P298), 0, 1), 3, if(ISBLANK('2025'!$Q298), 0, 1), 4, if(ISBLANK('2025'!$R298), 0, 1), 5, if(ISBLANK('2025'!$S298), 0, 1), 6, if(ISBLANK('2025'!$T298), 0, 1), 7, 0))), 1, "")</f>
        <v/>
      </c>
      <c r="AF300" s="1" t="str">
        <f>IF(AND(AND(AND(AF$4&gt;='2025'!$L298,AF$4&lt;='2025'!$M298), AF$4&lt;&gt;DATE(2025,7,4)), (SWITCH(weekday(AF$4), 1, 0, 2, if(ISBLANK('2025'!$P298), 0, 1), 3, if(ISBLANK('2025'!$Q298), 0, 1), 4, if(ISBLANK('2025'!$R298), 0, 1), 5, if(ISBLANK('2025'!$S298), 0, 1), 6, if(ISBLANK('2025'!$T298), 0, 1), 7, 0))), 1, "")</f>
        <v/>
      </c>
      <c r="AG300" s="1" t="str">
        <f>IF(AND(AND(AND(AG$4&gt;='2025'!$L298,AG$4&lt;='2025'!$M298), AG$4&lt;&gt;DATE(2025,7,4)), (SWITCH(weekday(AG$4), 1, 0, 2, if(ISBLANK('2025'!$P298), 0, 1), 3, if(ISBLANK('2025'!$Q298), 0, 1), 4, if(ISBLANK('2025'!$R298), 0, 1), 5, if(ISBLANK('2025'!$S298), 0, 1), 6, if(ISBLANK('2025'!$T298), 0, 1), 7, 0))), 1, "")</f>
        <v/>
      </c>
      <c r="AH300" s="1" t="str">
        <f>IF(AND(AND(AND(AH$4&gt;='2025'!$L298,AH$4&lt;='2025'!$M298), AH$4&lt;&gt;DATE(2025,7,4)), (SWITCH(weekday(AH$4), 1, 0, 2, if(ISBLANK('2025'!$P298), 0, 1), 3, if(ISBLANK('2025'!$Q298), 0, 1), 4, if(ISBLANK('2025'!$R298), 0, 1), 5, if(ISBLANK('2025'!$S298), 0, 1), 6, if(ISBLANK('2025'!$T298), 0, 1), 7, 0))), 1, "")</f>
        <v/>
      </c>
      <c r="AI300" s="1" t="str">
        <f>IF(AND(AND(AND(AI$4&gt;='2025'!$L298,AI$4&lt;='2025'!$M298), AI$4&lt;&gt;DATE(2025,7,4)), (SWITCH(weekday(AI$4), 1, 0, 2, if(ISBLANK('2025'!$P298), 0, 1), 3, if(ISBLANK('2025'!$Q298), 0, 1), 4, if(ISBLANK('2025'!$R298), 0, 1), 5, if(ISBLANK('2025'!$S298), 0, 1), 6, if(ISBLANK('2025'!$T298), 0, 1), 7, 0))), 1, "")</f>
        <v/>
      </c>
      <c r="AJ300" s="1" t="str">
        <f>IF(AND(AND(AND(AJ$4&gt;='2025'!$L298,AJ$4&lt;='2025'!$M298), AJ$4&lt;&gt;DATE(2025,7,4)), (SWITCH(weekday(AJ$4), 1, 0, 2, if(ISBLANK('2025'!$P298), 0, 1), 3, if(ISBLANK('2025'!$Q298), 0, 1), 4, if(ISBLANK('2025'!$R298), 0, 1), 5, if(ISBLANK('2025'!$S298), 0, 1), 6, if(ISBLANK('2025'!$T298), 0, 1), 7, 0))), 1, "")</f>
        <v/>
      </c>
      <c r="AK300" s="1" t="str">
        <f>IF(AND(AND(AND(AK$4&gt;='2025'!$L298,AK$4&lt;='2025'!$M298), AK$4&lt;&gt;DATE(2025,7,4)), (SWITCH(weekday(AK$4), 1, 0, 2, if(ISBLANK('2025'!$P298), 0, 1), 3, if(ISBLANK('2025'!$Q298), 0, 1), 4, if(ISBLANK('2025'!$R298), 0, 1), 5, if(ISBLANK('2025'!$S298), 0, 1), 6, if(ISBLANK('2025'!$T298), 0, 1), 7, 0))), 1, "")</f>
        <v/>
      </c>
      <c r="AL300" s="1" t="str">
        <f>IF(AND(AND(AND(AL$4&gt;='2025'!$L298,AL$4&lt;='2025'!$M298), AL$4&lt;&gt;DATE(2025,7,4)), (SWITCH(weekday(AL$4), 1, 0, 2, if(ISBLANK('2025'!$P298), 0, 1), 3, if(ISBLANK('2025'!$Q298), 0, 1), 4, if(ISBLANK('2025'!$R298), 0, 1), 5, if(ISBLANK('2025'!$S298), 0, 1), 6, if(ISBLANK('2025'!$T298), 0, 1), 7, 0))), 1, "")</f>
        <v/>
      </c>
      <c r="AM300" s="1" t="str">
        <f>IF(AND(AND(AND(AM$4&gt;='2025'!$L298,AM$4&lt;='2025'!$M298), AM$4&lt;&gt;DATE(2025,7,4)), (SWITCH(weekday(AM$4), 1, 0, 2, if(ISBLANK('2025'!$P298), 0, 1), 3, if(ISBLANK('2025'!$Q298), 0, 1), 4, if(ISBLANK('2025'!$R298), 0, 1), 5, if(ISBLANK('2025'!$S298), 0, 1), 6, if(ISBLANK('2025'!$T298), 0, 1), 7, 0))), 1, "")</f>
        <v/>
      </c>
      <c r="AN300" s="1" t="str">
        <f>IF(AND(AND(AND(AN$4&gt;='2025'!$L298,AN$4&lt;='2025'!$M298), AN$4&lt;&gt;DATE(2025,7,4)), (SWITCH(weekday(AN$4), 1, 0, 2, if(ISBLANK('2025'!$P298), 0, 1), 3, if(ISBLANK('2025'!$Q298), 0, 1), 4, if(ISBLANK('2025'!$R298), 0, 1), 5, if(ISBLANK('2025'!$S298), 0, 1), 6, if(ISBLANK('2025'!$T298), 0, 1), 7, 0))), 1, "")</f>
        <v/>
      </c>
      <c r="AO300" s="1" t="str">
        <f>IF(AND(AND(AND(AO$4&gt;='2025'!$L298,AO$4&lt;='2025'!$M298), AO$4&lt;&gt;DATE(2025,7,4)), (SWITCH(weekday(AO$4), 1, 0, 2, if(ISBLANK('2025'!$P298), 0, 1), 3, if(ISBLANK('2025'!$Q298), 0, 1), 4, if(ISBLANK('2025'!$R298), 0, 1), 5, if(ISBLANK('2025'!$S298), 0, 1), 6, if(ISBLANK('2025'!$T298), 0, 1), 7, 0))), 1, "")</f>
        <v/>
      </c>
      <c r="AP300" s="1" t="str">
        <f>IF(AND(AND(AND(AP$4&gt;='2025'!$L298,AP$4&lt;='2025'!$M298), AP$4&lt;&gt;DATE(2025,7,4)), (SWITCH(weekday(AP$4), 1, 0, 2, if(ISBLANK('2025'!$P298), 0, 1), 3, if(ISBLANK('2025'!$Q298), 0, 1), 4, if(ISBLANK('2025'!$R298), 0, 1), 5, if(ISBLANK('2025'!$S298), 0, 1), 6, if(ISBLANK('2025'!$T298), 0, 1), 7, 0))), 1, "")</f>
        <v/>
      </c>
      <c r="AQ300" s="1" t="str">
        <f>IF(AND(AND(AND(AQ$4&gt;='2025'!$L298,AQ$4&lt;='2025'!$M298), AQ$4&lt;&gt;DATE(2025,7,4)), (SWITCH(weekday(AQ$4), 1, 0, 2, if(ISBLANK('2025'!$P298), 0, 1), 3, if(ISBLANK('2025'!$Q298), 0, 1), 4, if(ISBLANK('2025'!$R298), 0, 1), 5, if(ISBLANK('2025'!$S298), 0, 1), 6, if(ISBLANK('2025'!$T298), 0, 1), 7, 0))), 1, "")</f>
        <v/>
      </c>
      <c r="AR300" s="1" t="str">
        <f>IF(AND(AND(AND(AR$4&gt;='2025'!$L298,AR$4&lt;='2025'!$M298), AR$4&lt;&gt;DATE(2025,7,4)), (SWITCH(weekday(AR$4), 1, 0, 2, if(ISBLANK('2025'!$P298), 0, 1), 3, if(ISBLANK('2025'!$Q298), 0, 1), 4, if(ISBLANK('2025'!$R298), 0, 1), 5, if(ISBLANK('2025'!$S298), 0, 1), 6, if(ISBLANK('2025'!$T298), 0, 1), 7, 0))), 1, "")</f>
        <v/>
      </c>
      <c r="AS300" s="1" t="str">
        <f>IF(AND(AND(AND(AS$4&gt;='2025'!$L298,AS$4&lt;='2025'!$M298), AS$4&lt;&gt;DATE(2025,7,4)), (SWITCH(weekday(AS$4), 1, 0, 2, if(ISBLANK('2025'!$P298), 0, 1), 3, if(ISBLANK('2025'!$Q298), 0, 1), 4, if(ISBLANK('2025'!$R298), 0, 1), 5, if(ISBLANK('2025'!$S298), 0, 1), 6, if(ISBLANK('2025'!$T298), 0, 1), 7, 0))), 1, "")</f>
        <v/>
      </c>
      <c r="AT300" s="1" t="str">
        <f>IF(AND(AND(AND(AT$4&gt;='2025'!$L298,AT$4&lt;='2025'!$M298), AT$4&lt;&gt;DATE(2025,7,4)), (SWITCH(weekday(AT$4), 1, 0, 2, if(ISBLANK('2025'!$P298), 0, 1), 3, if(ISBLANK('2025'!$Q298), 0, 1), 4, if(ISBLANK('2025'!$R298), 0, 1), 5, if(ISBLANK('2025'!$S298), 0, 1), 6, if(ISBLANK('2025'!$T298), 0, 1), 7, 0))), 1, "")</f>
        <v/>
      </c>
      <c r="AU300" s="1" t="str">
        <f>IF(AND(AND(AND(AU$4&gt;='2025'!$L298,AU$4&lt;='2025'!$M298), AU$4&lt;&gt;DATE(2025,7,4)), (SWITCH(weekday(AU$4), 1, 0, 2, if(ISBLANK('2025'!$P298), 0, 1), 3, if(ISBLANK('2025'!$Q298), 0, 1), 4, if(ISBLANK('2025'!$R298), 0, 1), 5, if(ISBLANK('2025'!$S298), 0, 1), 6, if(ISBLANK('2025'!$T298), 0, 1), 7, 0))), 1, "")</f>
        <v/>
      </c>
      <c r="AV300" s="1" t="str">
        <f>IF(AND(AND(AND(AV$4&gt;='2025'!$L298,AV$4&lt;='2025'!$M298), AV$4&lt;&gt;DATE(2025,7,4)), (SWITCH(weekday(AV$4), 1, 0, 2, if(ISBLANK('2025'!$P298), 0, 1), 3, if(ISBLANK('2025'!$Q298), 0, 1), 4, if(ISBLANK('2025'!$R298), 0, 1), 5, if(ISBLANK('2025'!$S298), 0, 1), 6, if(ISBLANK('2025'!$T298), 0, 1), 7, 0))), 1, "")</f>
        <v/>
      </c>
      <c r="AW300" s="1" t="str">
        <f>IF(AND(AND(AND(AW$4&gt;='2025'!$L298,AW$4&lt;='2025'!$M298), AW$4&lt;&gt;DATE(2025,7,4)), (SWITCH(weekday(AW$4), 1, 0, 2, if(ISBLANK('2025'!$P298), 0, 1), 3, if(ISBLANK('2025'!$Q298), 0, 1), 4, if(ISBLANK('2025'!$R298), 0, 1), 5, if(ISBLANK('2025'!$S298), 0, 1), 6, if(ISBLANK('2025'!$T298), 0, 1), 7, 0))), 1, "")</f>
        <v/>
      </c>
      <c r="AX300" s="1" t="str">
        <f>IF(AND(AND(AND(AX$4&gt;='2025'!$L298,AX$4&lt;='2025'!$M298), AX$4&lt;&gt;DATE(2025,7,4)), (SWITCH(weekday(AX$4), 1, 0, 2, if(ISBLANK('2025'!$P298), 0, 1), 3, if(ISBLANK('2025'!$Q298), 0, 1), 4, if(ISBLANK('2025'!$R298), 0, 1), 5, if(ISBLANK('2025'!$S298), 0, 1), 6, if(ISBLANK('2025'!$T298), 0, 1), 7, 0))), 1, "")</f>
        <v/>
      </c>
      <c r="AY300" s="1" t="str">
        <f>IF(AND(AND(AND(AY$4&gt;='2025'!$L298,AY$4&lt;='2025'!$M298), AY$4&lt;&gt;DATE(2025,7,4)), (SWITCH(weekday(AY$4), 1, 0, 2, if(ISBLANK('2025'!$P298), 0, 1), 3, if(ISBLANK('2025'!$Q298), 0, 1), 4, if(ISBLANK('2025'!$R298), 0, 1), 5, if(ISBLANK('2025'!$S298), 0, 1), 6, if(ISBLANK('2025'!$T298), 0, 1), 7, 0))), 1, "")</f>
        <v/>
      </c>
      <c r="AZ300" s="1" t="str">
        <f>IF(AND(AND(AND(AZ$4&gt;='2025'!$L298,AZ$4&lt;='2025'!$M298), AZ$4&lt;&gt;DATE(2025,7,4)), (SWITCH(weekday(AZ$4), 1, 0, 2, if(ISBLANK('2025'!$P298), 0, 1), 3, if(ISBLANK('2025'!$Q298), 0, 1), 4, if(ISBLANK('2025'!$R298), 0, 1), 5, if(ISBLANK('2025'!$S298), 0, 1), 6, if(ISBLANK('2025'!$T298), 0, 1), 7, 0))), 1, "")</f>
        <v/>
      </c>
      <c r="BA300" s="1" t="str">
        <f>IF(AND(AND(AND(BA$4&gt;='2025'!$L298,BA$4&lt;='2025'!$M298), BA$4&lt;&gt;DATE(2025,7,4)), (SWITCH(weekday(BA$4), 1, 0, 2, if(ISBLANK('2025'!$P298), 0, 1), 3, if(ISBLANK('2025'!$Q298), 0, 1), 4, if(ISBLANK('2025'!$R298), 0, 1), 5, if(ISBLANK('2025'!$S298), 0, 1), 6, if(ISBLANK('2025'!$T298), 0, 1), 7, 0))), 1, "")</f>
        <v/>
      </c>
      <c r="BB300" s="1" t="str">
        <f>IF(AND(AND(AND(BB$4&gt;='2025'!$L298,BB$4&lt;='2025'!$M298), BB$4&lt;&gt;DATE(2025,7,4)), (SWITCH(weekday(BB$4), 1, 0, 2, if(ISBLANK('2025'!$P298), 0, 1), 3, if(ISBLANK('2025'!$Q298), 0, 1), 4, if(ISBLANK('2025'!$R298), 0, 1), 5, if(ISBLANK('2025'!$S298), 0, 1), 6, if(ISBLANK('2025'!$T298), 0, 1), 7, 0))), 1, "")</f>
        <v/>
      </c>
      <c r="BC300" s="1" t="str">
        <f>IF(AND(AND(AND(BC$4&gt;='2025'!$L298,BC$4&lt;='2025'!$M298), BC$4&lt;&gt;DATE(2025,7,4)), (SWITCH(weekday(BC$4), 1, 0, 2, if(ISBLANK('2025'!$P298), 0, 1), 3, if(ISBLANK('2025'!$Q298), 0, 1), 4, if(ISBLANK('2025'!$R298), 0, 1), 5, if(ISBLANK('2025'!$S298), 0, 1), 6, if(ISBLANK('2025'!$T298), 0, 1), 7, 0))), 1, "")</f>
        <v/>
      </c>
      <c r="BD300" s="1" t="str">
        <f>IF(AND(AND(AND(BD$4&gt;='2025'!$L298,BD$4&lt;='2025'!$M298), BD$4&lt;&gt;DATE(2025,7,4)), (SWITCH(weekday(BD$4), 1, 0, 2, if(ISBLANK('2025'!$P298), 0, 1), 3, if(ISBLANK('2025'!$Q298), 0, 1), 4, if(ISBLANK('2025'!$R298), 0, 1), 5, if(ISBLANK('2025'!$S298), 0, 1), 6, if(ISBLANK('2025'!$T298), 0, 1), 7, 0))), 1, "")</f>
        <v/>
      </c>
      <c r="BE300" s="1" t="str">
        <f>IF(AND(AND(AND(BE$4&gt;='2025'!$L298,BE$4&lt;='2025'!$M298), BE$4&lt;&gt;DATE(2025,7,4)), (SWITCH(weekday(BE$4), 1, 0, 2, if(ISBLANK('2025'!$P298), 0, 1), 3, if(ISBLANK('2025'!$Q298), 0, 1), 4, if(ISBLANK('2025'!$R298), 0, 1), 5, if(ISBLANK('2025'!$S298), 0, 1), 6, if(ISBLANK('2025'!$T298), 0, 1), 7, 0))), 1, "")</f>
        <v/>
      </c>
      <c r="BF300" s="1" t="str">
        <f>IF(AND(AND(AND(BF$4&gt;='2025'!$L298,BF$4&lt;='2025'!$M298), BF$4&lt;&gt;DATE(2025,7,4)), (SWITCH(weekday(BF$4), 1, 0, 2, if(ISBLANK('2025'!$P298), 0, 1), 3, if(ISBLANK('2025'!$Q298), 0, 1), 4, if(ISBLANK('2025'!$R298), 0, 1), 5, if(ISBLANK('2025'!$S298), 0, 1), 6, if(ISBLANK('2025'!$T298), 0, 1), 7, 0))), 1, "")</f>
        <v/>
      </c>
      <c r="BG300" s="1"/>
      <c r="BH300" s="1"/>
      <c r="BI300" s="1"/>
      <c r="BJ300" s="1"/>
      <c r="BK300" s="1"/>
      <c r="BL300" s="1"/>
    </row>
    <row r="301">
      <c r="A301" s="1">
        <f t="shared" si="3"/>
        <v>301</v>
      </c>
      <c r="B301" s="1" t="str">
        <f>'2025'!D265</f>
        <v>, </v>
      </c>
      <c r="C301" s="1" t="str">
        <f>'2025'!H265</f>
        <v/>
      </c>
      <c r="D301" s="1" t="str">
        <f>IF(AND(AND(AND(D$4&gt;='2025'!$L299,D$4&lt;='2025'!$M299), D$4&lt;&gt;DATE(2025,7,4)), (SWITCH(weekday(D$4), 1, 0, 2, if(ISBLANK('2025'!$P299), 0, 1), 3, if(ISBLANK('2025'!$Q299), 0, 1), 4, if(ISBLANK('2025'!$R299), 0, 1), 5, if(ISBLANK('2025'!$S299), 0, 1), 6, if(ISBLANK('2025'!$T299), 0, 1), 7, 0))), 1, "")</f>
        <v/>
      </c>
      <c r="E301" s="1" t="str">
        <f>IF(AND(AND(AND(E$4&gt;='2025'!$L299,E$4&lt;='2025'!$M299), E$4&lt;&gt;DATE(2025,7,4)), (SWITCH(weekday(E$4), 1, 0, 2, if(ISBLANK('2025'!$P299), 0, 1), 3, if(ISBLANK('2025'!$Q299), 0, 1), 4, if(ISBLANK('2025'!$R299), 0, 1), 5, if(ISBLANK('2025'!$S299), 0, 1), 6, if(ISBLANK('2025'!$T299), 0, 1), 7, 0))), 1, "")</f>
        <v/>
      </c>
      <c r="F301" s="1" t="str">
        <f>IF(AND(AND(AND(F$4&gt;='2025'!$L299,F$4&lt;='2025'!$M299), F$4&lt;&gt;DATE(2025,7,4)), (SWITCH(weekday(F$4), 1, 0, 2, if(ISBLANK('2025'!$P299), 0, 1), 3, if(ISBLANK('2025'!$Q299), 0, 1), 4, if(ISBLANK('2025'!$R299), 0, 1), 5, if(ISBLANK('2025'!$S299), 0, 1), 6, if(ISBLANK('2025'!$T299), 0, 1), 7, 0))), 1, "")</f>
        <v/>
      </c>
      <c r="G301" s="1" t="str">
        <f>IF(AND(AND(AND(G$4&gt;='2025'!$L299,G$4&lt;='2025'!$M299), G$4&lt;&gt;DATE(2025,7,4)), (SWITCH(weekday(G$4), 1, 0, 2, if(ISBLANK('2025'!$P299), 0, 1), 3, if(ISBLANK('2025'!$Q299), 0, 1), 4, if(ISBLANK('2025'!$R299), 0, 1), 5, if(ISBLANK('2025'!$S299), 0, 1), 6, if(ISBLANK('2025'!$T299), 0, 1), 7, 0))), 1, "")</f>
        <v/>
      </c>
      <c r="H301" s="1" t="str">
        <f>IF(AND(AND(AND(H$4&gt;='2025'!$L299,H$4&lt;='2025'!$M299), H$4&lt;&gt;DATE(2025,7,4)), (SWITCH(weekday(H$4), 1, 0, 2, if(ISBLANK('2025'!$P299), 0, 1), 3, if(ISBLANK('2025'!$Q299), 0, 1), 4, if(ISBLANK('2025'!$R299), 0, 1), 5, if(ISBLANK('2025'!$S299), 0, 1), 6, if(ISBLANK('2025'!$T299), 0, 1), 7, 0))), 1, "")</f>
        <v/>
      </c>
      <c r="I301" s="1" t="str">
        <f>IF(AND(AND(AND(I$4&gt;='2025'!$L299,I$4&lt;='2025'!$M299), I$4&lt;&gt;DATE(2025,7,4)), (SWITCH(weekday(I$4), 1, 0, 2, if(ISBLANK('2025'!$P299), 0, 1), 3, if(ISBLANK('2025'!$Q299), 0, 1), 4, if(ISBLANK('2025'!$R299), 0, 1), 5, if(ISBLANK('2025'!$S299), 0, 1), 6, if(ISBLANK('2025'!$T299), 0, 1), 7, 0))), 1, "")</f>
        <v/>
      </c>
      <c r="J301" s="1" t="str">
        <f>IF(AND(AND(AND(J$4&gt;='2025'!$L299,J$4&lt;='2025'!$M299), J$4&lt;&gt;DATE(2025,7,4)), (SWITCH(weekday(J$4), 1, 0, 2, if(ISBLANK('2025'!$P299), 0, 1), 3, if(ISBLANK('2025'!$Q299), 0, 1), 4, if(ISBLANK('2025'!$R299), 0, 1), 5, if(ISBLANK('2025'!$S299), 0, 1), 6, if(ISBLANK('2025'!$T299), 0, 1), 7, 0))), 1, "")</f>
        <v/>
      </c>
      <c r="K301" s="1" t="str">
        <f>IF(AND(AND(AND(K$4&gt;='2025'!$L299,K$4&lt;='2025'!$M299), K$4&lt;&gt;DATE(2025,7,4)), (SWITCH(weekday(K$4), 1, 0, 2, if(ISBLANK('2025'!$P299), 0, 1), 3, if(ISBLANK('2025'!$Q299), 0, 1), 4, if(ISBLANK('2025'!$R299), 0, 1), 5, if(ISBLANK('2025'!$S299), 0, 1), 6, if(ISBLANK('2025'!$T299), 0, 1), 7, 0))), 1, "")</f>
        <v/>
      </c>
      <c r="L301" s="1" t="str">
        <f>IF(AND(AND(AND(L$4&gt;='2025'!$L299,L$4&lt;='2025'!$M299), L$4&lt;&gt;DATE(2025,7,4)), (SWITCH(weekday(L$4), 1, 0, 2, if(ISBLANK('2025'!$P299), 0, 1), 3, if(ISBLANK('2025'!$Q299), 0, 1), 4, if(ISBLANK('2025'!$R299), 0, 1), 5, if(ISBLANK('2025'!$S299), 0, 1), 6, if(ISBLANK('2025'!$T299), 0, 1), 7, 0))), 1, "")</f>
        <v/>
      </c>
      <c r="M301" s="1" t="str">
        <f>IF(AND(AND(AND(M$4&gt;='2025'!$L299,M$4&lt;='2025'!$M299), M$4&lt;&gt;DATE(2025,7,4)), (SWITCH(weekday(M$4), 1, 0, 2, if(ISBLANK('2025'!$P299), 0, 1), 3, if(ISBLANK('2025'!$Q299), 0, 1), 4, if(ISBLANK('2025'!$R299), 0, 1), 5, if(ISBLANK('2025'!$S299), 0, 1), 6, if(ISBLANK('2025'!$T299), 0, 1), 7, 0))), 1, "")</f>
        <v/>
      </c>
      <c r="N301" s="1" t="str">
        <f>IF(AND(AND(AND(N$4&gt;='2025'!$L299,N$4&lt;='2025'!$M299), N$4&lt;&gt;DATE(2025,7,4)), (SWITCH(weekday(N$4), 1, 0, 2, if(ISBLANK('2025'!$P299), 0, 1), 3, if(ISBLANK('2025'!$Q299), 0, 1), 4, if(ISBLANK('2025'!$R299), 0, 1), 5, if(ISBLANK('2025'!$S299), 0, 1), 6, if(ISBLANK('2025'!$T299), 0, 1), 7, 0))), 1, "")</f>
        <v/>
      </c>
      <c r="O301" s="1" t="str">
        <f>IF(AND(AND(AND(O$4&gt;='2025'!$L299,O$4&lt;='2025'!$M299), O$4&lt;&gt;DATE(2025,7,4)), (SWITCH(weekday(O$4), 1, 0, 2, if(ISBLANK('2025'!$P299), 0, 1), 3, if(ISBLANK('2025'!$Q299), 0, 1), 4, if(ISBLANK('2025'!$R299), 0, 1), 5, if(ISBLANK('2025'!$S299), 0, 1), 6, if(ISBLANK('2025'!$T299), 0, 1), 7, 0))), 1, "")</f>
        <v/>
      </c>
      <c r="P301" s="1" t="str">
        <f>IF(AND(AND(AND(P$4&gt;='2025'!$L299,P$4&lt;='2025'!$M299), P$4&lt;&gt;DATE(2025,7,4)), (SWITCH(weekday(P$4), 1, 0, 2, if(ISBLANK('2025'!$P299), 0, 1), 3, if(ISBLANK('2025'!$Q299), 0, 1), 4, if(ISBLANK('2025'!$R299), 0, 1), 5, if(ISBLANK('2025'!$S299), 0, 1), 6, if(ISBLANK('2025'!$T299), 0, 1), 7, 0))), 1, "")</f>
        <v/>
      </c>
      <c r="Q301" s="1" t="str">
        <f>IF(AND(AND(AND(Q$4&gt;='2025'!$L299,Q$4&lt;='2025'!$M299), Q$4&lt;&gt;DATE(2025,7,4)), (SWITCH(weekday(Q$4), 1, 0, 2, if(ISBLANK('2025'!$P299), 0, 1), 3, if(ISBLANK('2025'!$Q299), 0, 1), 4, if(ISBLANK('2025'!$R299), 0, 1), 5, if(ISBLANK('2025'!$S299), 0, 1), 6, if(ISBLANK('2025'!$T299), 0, 1), 7, 0))), 1, "")</f>
        <v/>
      </c>
      <c r="R301" s="1" t="str">
        <f>IF(AND(AND(AND(R$4&gt;='2025'!$L299,R$4&lt;='2025'!$M299), R$4&lt;&gt;DATE(2025,7,4)), (SWITCH(weekday(R$4), 1, 0, 2, if(ISBLANK('2025'!$P299), 0, 1), 3, if(ISBLANK('2025'!$Q299), 0, 1), 4, if(ISBLANK('2025'!$R299), 0, 1), 5, if(ISBLANK('2025'!$S299), 0, 1), 6, if(ISBLANK('2025'!$T299), 0, 1), 7, 0))), 1, "")</f>
        <v/>
      </c>
      <c r="S301" s="1" t="str">
        <f>IF(AND(AND(AND(S$4&gt;='2025'!$L299,S$4&lt;='2025'!$M299), S$4&lt;&gt;DATE(2025,7,4)), (SWITCH(weekday(S$4), 1, 0, 2, if(ISBLANK('2025'!$P299), 0, 1), 3, if(ISBLANK('2025'!$Q299), 0, 1), 4, if(ISBLANK('2025'!$R299), 0, 1), 5, if(ISBLANK('2025'!$S299), 0, 1), 6, if(ISBLANK('2025'!$T299), 0, 1), 7, 0))), 1, "")</f>
        <v/>
      </c>
      <c r="T301" s="1" t="str">
        <f>IF(AND(AND(AND(T$4&gt;='2025'!$L299,T$4&lt;='2025'!$M299), T$4&lt;&gt;DATE(2025,7,4)), (SWITCH(weekday(T$4), 1, 0, 2, if(ISBLANK('2025'!$P299), 0, 1), 3, if(ISBLANK('2025'!$Q299), 0, 1), 4, if(ISBLANK('2025'!$R299), 0, 1), 5, if(ISBLANK('2025'!$S299), 0, 1), 6, if(ISBLANK('2025'!$T299), 0, 1), 7, 0))), 1, "")</f>
        <v/>
      </c>
      <c r="U301" s="1" t="str">
        <f>IF(AND(AND(AND(U$4&gt;='2025'!$L299,U$4&lt;='2025'!$M299), U$4&lt;&gt;DATE(2025,7,4)), (SWITCH(weekday(U$4), 1, 0, 2, if(ISBLANK('2025'!$P299), 0, 1), 3, if(ISBLANK('2025'!$Q299), 0, 1), 4, if(ISBLANK('2025'!$R299), 0, 1), 5, if(ISBLANK('2025'!$S299), 0, 1), 6, if(ISBLANK('2025'!$T299), 0, 1), 7, 0))), 1, "")</f>
        <v/>
      </c>
      <c r="V301" s="1" t="str">
        <f>IF(AND(AND(AND(V$4&gt;='2025'!$L299,V$4&lt;='2025'!$M299), V$4&lt;&gt;DATE(2025,7,4)), (SWITCH(weekday(V$4), 1, 0, 2, if(ISBLANK('2025'!$P299), 0, 1), 3, if(ISBLANK('2025'!$Q299), 0, 1), 4, if(ISBLANK('2025'!$R299), 0, 1), 5, if(ISBLANK('2025'!$S299), 0, 1), 6, if(ISBLANK('2025'!$T299), 0, 1), 7, 0))), 1, "")</f>
        <v/>
      </c>
      <c r="W301" s="1" t="str">
        <f>IF(AND(AND(AND(W$4&gt;='2025'!$L299,W$4&lt;='2025'!$M299), W$4&lt;&gt;DATE(2025,7,4)), (SWITCH(weekday(W$4), 1, 0, 2, if(ISBLANK('2025'!$P299), 0, 1), 3, if(ISBLANK('2025'!$Q299), 0, 1), 4, if(ISBLANK('2025'!$R299), 0, 1), 5, if(ISBLANK('2025'!$S299), 0, 1), 6, if(ISBLANK('2025'!$T299), 0, 1), 7, 0))), 1, "")</f>
        <v/>
      </c>
      <c r="X301" s="1" t="str">
        <f>IF(AND(AND(AND(X$4&gt;='2025'!$L299,X$4&lt;='2025'!$M299), X$4&lt;&gt;DATE(2025,7,4)), (SWITCH(weekday(X$4), 1, 0, 2, if(ISBLANK('2025'!$P299), 0, 1), 3, if(ISBLANK('2025'!$Q299), 0, 1), 4, if(ISBLANK('2025'!$R299), 0, 1), 5, if(ISBLANK('2025'!$S299), 0, 1), 6, if(ISBLANK('2025'!$T299), 0, 1), 7, 0))), 1, "")</f>
        <v/>
      </c>
      <c r="Y301" s="1" t="str">
        <f>IF(AND(AND(AND(Y$4&gt;='2025'!$L299,Y$4&lt;='2025'!$M299), Y$4&lt;&gt;DATE(2025,7,4)), (SWITCH(weekday(Y$4), 1, 0, 2, if(ISBLANK('2025'!$P299), 0, 1), 3, if(ISBLANK('2025'!$Q299), 0, 1), 4, if(ISBLANK('2025'!$R299), 0, 1), 5, if(ISBLANK('2025'!$S299), 0, 1), 6, if(ISBLANK('2025'!$T299), 0, 1), 7, 0))), 1, "")</f>
        <v/>
      </c>
      <c r="Z301" s="1" t="str">
        <f>IF(AND(AND(AND(Z$4&gt;='2025'!$L299,Z$4&lt;='2025'!$M299), Z$4&lt;&gt;DATE(2025,7,4)), (SWITCH(weekday(Z$4), 1, 0, 2, if(ISBLANK('2025'!$P299), 0, 1), 3, if(ISBLANK('2025'!$Q299), 0, 1), 4, if(ISBLANK('2025'!$R299), 0, 1), 5, if(ISBLANK('2025'!$S299), 0, 1), 6, if(ISBLANK('2025'!$T299), 0, 1), 7, 0))), 1, "")</f>
        <v/>
      </c>
      <c r="AA301" s="1" t="str">
        <f>IF(AND(AND(AND(AA$4&gt;='2025'!$L299,AA$4&lt;='2025'!$M299), AA$4&lt;&gt;DATE(2025,7,4)), (SWITCH(weekday(AA$4), 1, 0, 2, if(ISBLANK('2025'!$P299), 0, 1), 3, if(ISBLANK('2025'!$Q299), 0, 1), 4, if(ISBLANK('2025'!$R299), 0, 1), 5, if(ISBLANK('2025'!$S299), 0, 1), 6, if(ISBLANK('2025'!$T299), 0, 1), 7, 0))), 1, "")</f>
        <v/>
      </c>
      <c r="AB301" s="1" t="str">
        <f>IF(AND(AND(AND(AB$4&gt;='2025'!$L299,AB$4&lt;='2025'!$M299), AB$4&lt;&gt;DATE(2025,7,4)), (SWITCH(weekday(AB$4), 1, 0, 2, if(ISBLANK('2025'!$P299), 0, 1), 3, if(ISBLANK('2025'!$Q299), 0, 1), 4, if(ISBLANK('2025'!$R299), 0, 1), 5, if(ISBLANK('2025'!$S299), 0, 1), 6, if(ISBLANK('2025'!$T299), 0, 1), 7, 0))), 1, "")</f>
        <v/>
      </c>
      <c r="AC301" s="1" t="str">
        <f>IF(AND(AND(AND(AC$4&gt;='2025'!$L299,AC$4&lt;='2025'!$M299), AC$4&lt;&gt;DATE(2025,7,4)), (SWITCH(weekday(AC$4), 1, 0, 2, if(ISBLANK('2025'!$P299), 0, 1), 3, if(ISBLANK('2025'!$Q299), 0, 1), 4, if(ISBLANK('2025'!$R299), 0, 1), 5, if(ISBLANK('2025'!$S299), 0, 1), 6, if(ISBLANK('2025'!$T299), 0, 1), 7, 0))), 1, "")</f>
        <v/>
      </c>
      <c r="AD301" s="1" t="str">
        <f>IF(AND(AND(AND(AD$4&gt;='2025'!$L299,AD$4&lt;='2025'!$M299), AD$4&lt;&gt;DATE(2025,7,4)), (SWITCH(weekday(AD$4), 1, 0, 2, if(ISBLANK('2025'!$P299), 0, 1), 3, if(ISBLANK('2025'!$Q299), 0, 1), 4, if(ISBLANK('2025'!$R299), 0, 1), 5, if(ISBLANK('2025'!$S299), 0, 1), 6, if(ISBLANK('2025'!$T299), 0, 1), 7, 0))), 1, "")</f>
        <v/>
      </c>
      <c r="AE301" s="1" t="str">
        <f>IF(AND(AND(AND(AE$4&gt;='2025'!$L299,AE$4&lt;='2025'!$M299), AE$4&lt;&gt;DATE(2025,7,4)), (SWITCH(weekday(AE$4), 1, 0, 2, if(ISBLANK('2025'!$P299), 0, 1), 3, if(ISBLANK('2025'!$Q299), 0, 1), 4, if(ISBLANK('2025'!$R299), 0, 1), 5, if(ISBLANK('2025'!$S299), 0, 1), 6, if(ISBLANK('2025'!$T299), 0, 1), 7, 0))), 1, "")</f>
        <v/>
      </c>
      <c r="AF301" s="1" t="str">
        <f>IF(AND(AND(AND(AF$4&gt;='2025'!$L299,AF$4&lt;='2025'!$M299), AF$4&lt;&gt;DATE(2025,7,4)), (SWITCH(weekday(AF$4), 1, 0, 2, if(ISBLANK('2025'!$P299), 0, 1), 3, if(ISBLANK('2025'!$Q299), 0, 1), 4, if(ISBLANK('2025'!$R299), 0, 1), 5, if(ISBLANK('2025'!$S299), 0, 1), 6, if(ISBLANK('2025'!$T299), 0, 1), 7, 0))), 1, "")</f>
        <v/>
      </c>
      <c r="AG301" s="1" t="str">
        <f>IF(AND(AND(AND(AG$4&gt;='2025'!$L299,AG$4&lt;='2025'!$M299), AG$4&lt;&gt;DATE(2025,7,4)), (SWITCH(weekday(AG$4), 1, 0, 2, if(ISBLANK('2025'!$P299), 0, 1), 3, if(ISBLANK('2025'!$Q299), 0, 1), 4, if(ISBLANK('2025'!$R299), 0, 1), 5, if(ISBLANK('2025'!$S299), 0, 1), 6, if(ISBLANK('2025'!$T299), 0, 1), 7, 0))), 1, "")</f>
        <v/>
      </c>
      <c r="AH301" s="1" t="str">
        <f>IF(AND(AND(AND(AH$4&gt;='2025'!$L299,AH$4&lt;='2025'!$M299), AH$4&lt;&gt;DATE(2025,7,4)), (SWITCH(weekday(AH$4), 1, 0, 2, if(ISBLANK('2025'!$P299), 0, 1), 3, if(ISBLANK('2025'!$Q299), 0, 1), 4, if(ISBLANK('2025'!$R299), 0, 1), 5, if(ISBLANK('2025'!$S299), 0, 1), 6, if(ISBLANK('2025'!$T299), 0, 1), 7, 0))), 1, "")</f>
        <v/>
      </c>
      <c r="AI301" s="1" t="str">
        <f>IF(AND(AND(AND(AI$4&gt;='2025'!$L299,AI$4&lt;='2025'!$M299), AI$4&lt;&gt;DATE(2025,7,4)), (SWITCH(weekday(AI$4), 1, 0, 2, if(ISBLANK('2025'!$P299), 0, 1), 3, if(ISBLANK('2025'!$Q299), 0, 1), 4, if(ISBLANK('2025'!$R299), 0, 1), 5, if(ISBLANK('2025'!$S299), 0, 1), 6, if(ISBLANK('2025'!$T299), 0, 1), 7, 0))), 1, "")</f>
        <v/>
      </c>
      <c r="AJ301" s="1" t="str">
        <f>IF(AND(AND(AND(AJ$4&gt;='2025'!$L299,AJ$4&lt;='2025'!$M299), AJ$4&lt;&gt;DATE(2025,7,4)), (SWITCH(weekday(AJ$4), 1, 0, 2, if(ISBLANK('2025'!$P299), 0, 1), 3, if(ISBLANK('2025'!$Q299), 0, 1), 4, if(ISBLANK('2025'!$R299), 0, 1), 5, if(ISBLANK('2025'!$S299), 0, 1), 6, if(ISBLANK('2025'!$T299), 0, 1), 7, 0))), 1, "")</f>
        <v/>
      </c>
      <c r="AK301" s="1" t="str">
        <f>IF(AND(AND(AND(AK$4&gt;='2025'!$L299,AK$4&lt;='2025'!$M299), AK$4&lt;&gt;DATE(2025,7,4)), (SWITCH(weekday(AK$4), 1, 0, 2, if(ISBLANK('2025'!$P299), 0, 1), 3, if(ISBLANK('2025'!$Q299), 0, 1), 4, if(ISBLANK('2025'!$R299), 0, 1), 5, if(ISBLANK('2025'!$S299), 0, 1), 6, if(ISBLANK('2025'!$T299), 0, 1), 7, 0))), 1, "")</f>
        <v/>
      </c>
      <c r="AL301" s="1" t="str">
        <f>IF(AND(AND(AND(AL$4&gt;='2025'!$L299,AL$4&lt;='2025'!$M299), AL$4&lt;&gt;DATE(2025,7,4)), (SWITCH(weekday(AL$4), 1, 0, 2, if(ISBLANK('2025'!$P299), 0, 1), 3, if(ISBLANK('2025'!$Q299), 0, 1), 4, if(ISBLANK('2025'!$R299), 0, 1), 5, if(ISBLANK('2025'!$S299), 0, 1), 6, if(ISBLANK('2025'!$T299), 0, 1), 7, 0))), 1, "")</f>
        <v/>
      </c>
      <c r="AM301" s="1" t="str">
        <f>IF(AND(AND(AND(AM$4&gt;='2025'!$L299,AM$4&lt;='2025'!$M299), AM$4&lt;&gt;DATE(2025,7,4)), (SWITCH(weekday(AM$4), 1, 0, 2, if(ISBLANK('2025'!$P299), 0, 1), 3, if(ISBLANK('2025'!$Q299), 0, 1), 4, if(ISBLANK('2025'!$R299), 0, 1), 5, if(ISBLANK('2025'!$S299), 0, 1), 6, if(ISBLANK('2025'!$T299), 0, 1), 7, 0))), 1, "")</f>
        <v/>
      </c>
      <c r="AN301" s="1" t="str">
        <f>IF(AND(AND(AND(AN$4&gt;='2025'!$L299,AN$4&lt;='2025'!$M299), AN$4&lt;&gt;DATE(2025,7,4)), (SWITCH(weekday(AN$4), 1, 0, 2, if(ISBLANK('2025'!$P299), 0, 1), 3, if(ISBLANK('2025'!$Q299), 0, 1), 4, if(ISBLANK('2025'!$R299), 0, 1), 5, if(ISBLANK('2025'!$S299), 0, 1), 6, if(ISBLANK('2025'!$T299), 0, 1), 7, 0))), 1, "")</f>
        <v/>
      </c>
      <c r="AO301" s="1" t="str">
        <f>IF(AND(AND(AND(AO$4&gt;='2025'!$L299,AO$4&lt;='2025'!$M299), AO$4&lt;&gt;DATE(2025,7,4)), (SWITCH(weekday(AO$4), 1, 0, 2, if(ISBLANK('2025'!$P299), 0, 1), 3, if(ISBLANK('2025'!$Q299), 0, 1), 4, if(ISBLANK('2025'!$R299), 0, 1), 5, if(ISBLANK('2025'!$S299), 0, 1), 6, if(ISBLANK('2025'!$T299), 0, 1), 7, 0))), 1, "")</f>
        <v/>
      </c>
      <c r="AP301" s="1" t="str">
        <f>IF(AND(AND(AND(AP$4&gt;='2025'!$L299,AP$4&lt;='2025'!$M299), AP$4&lt;&gt;DATE(2025,7,4)), (SWITCH(weekday(AP$4), 1, 0, 2, if(ISBLANK('2025'!$P299), 0, 1), 3, if(ISBLANK('2025'!$Q299), 0, 1), 4, if(ISBLANK('2025'!$R299), 0, 1), 5, if(ISBLANK('2025'!$S299), 0, 1), 6, if(ISBLANK('2025'!$T299), 0, 1), 7, 0))), 1, "")</f>
        <v/>
      </c>
      <c r="AQ301" s="1" t="str">
        <f>IF(AND(AND(AND(AQ$4&gt;='2025'!$L299,AQ$4&lt;='2025'!$M299), AQ$4&lt;&gt;DATE(2025,7,4)), (SWITCH(weekday(AQ$4), 1, 0, 2, if(ISBLANK('2025'!$P299), 0, 1), 3, if(ISBLANK('2025'!$Q299), 0, 1), 4, if(ISBLANK('2025'!$R299), 0, 1), 5, if(ISBLANK('2025'!$S299), 0, 1), 6, if(ISBLANK('2025'!$T299), 0, 1), 7, 0))), 1, "")</f>
        <v/>
      </c>
      <c r="AR301" s="1" t="str">
        <f>IF(AND(AND(AND(AR$4&gt;='2025'!$L299,AR$4&lt;='2025'!$M299), AR$4&lt;&gt;DATE(2025,7,4)), (SWITCH(weekday(AR$4), 1, 0, 2, if(ISBLANK('2025'!$P299), 0, 1), 3, if(ISBLANK('2025'!$Q299), 0, 1), 4, if(ISBLANK('2025'!$R299), 0, 1), 5, if(ISBLANK('2025'!$S299), 0, 1), 6, if(ISBLANK('2025'!$T299), 0, 1), 7, 0))), 1, "")</f>
        <v/>
      </c>
      <c r="AS301" s="1" t="str">
        <f>IF(AND(AND(AND(AS$4&gt;='2025'!$L299,AS$4&lt;='2025'!$M299), AS$4&lt;&gt;DATE(2025,7,4)), (SWITCH(weekday(AS$4), 1, 0, 2, if(ISBLANK('2025'!$P299), 0, 1), 3, if(ISBLANK('2025'!$Q299), 0, 1), 4, if(ISBLANK('2025'!$R299), 0, 1), 5, if(ISBLANK('2025'!$S299), 0, 1), 6, if(ISBLANK('2025'!$T299), 0, 1), 7, 0))), 1, "")</f>
        <v/>
      </c>
      <c r="AT301" s="1" t="str">
        <f>IF(AND(AND(AND(AT$4&gt;='2025'!$L299,AT$4&lt;='2025'!$M299), AT$4&lt;&gt;DATE(2025,7,4)), (SWITCH(weekday(AT$4), 1, 0, 2, if(ISBLANK('2025'!$P299), 0, 1), 3, if(ISBLANK('2025'!$Q299), 0, 1), 4, if(ISBLANK('2025'!$R299), 0, 1), 5, if(ISBLANK('2025'!$S299), 0, 1), 6, if(ISBLANK('2025'!$T299), 0, 1), 7, 0))), 1, "")</f>
        <v/>
      </c>
      <c r="AU301" s="1" t="str">
        <f>IF(AND(AND(AND(AU$4&gt;='2025'!$L299,AU$4&lt;='2025'!$M299), AU$4&lt;&gt;DATE(2025,7,4)), (SWITCH(weekday(AU$4), 1, 0, 2, if(ISBLANK('2025'!$P299), 0, 1), 3, if(ISBLANK('2025'!$Q299), 0, 1), 4, if(ISBLANK('2025'!$R299), 0, 1), 5, if(ISBLANK('2025'!$S299), 0, 1), 6, if(ISBLANK('2025'!$T299), 0, 1), 7, 0))), 1, "")</f>
        <v/>
      </c>
      <c r="AV301" s="1" t="str">
        <f>IF(AND(AND(AND(AV$4&gt;='2025'!$L299,AV$4&lt;='2025'!$M299), AV$4&lt;&gt;DATE(2025,7,4)), (SWITCH(weekday(AV$4), 1, 0, 2, if(ISBLANK('2025'!$P299), 0, 1), 3, if(ISBLANK('2025'!$Q299), 0, 1), 4, if(ISBLANK('2025'!$R299), 0, 1), 5, if(ISBLANK('2025'!$S299), 0, 1), 6, if(ISBLANK('2025'!$T299), 0, 1), 7, 0))), 1, "")</f>
        <v/>
      </c>
      <c r="AW301" s="1" t="str">
        <f>IF(AND(AND(AND(AW$4&gt;='2025'!$L299,AW$4&lt;='2025'!$M299), AW$4&lt;&gt;DATE(2025,7,4)), (SWITCH(weekday(AW$4), 1, 0, 2, if(ISBLANK('2025'!$P299), 0, 1), 3, if(ISBLANK('2025'!$Q299), 0, 1), 4, if(ISBLANK('2025'!$R299), 0, 1), 5, if(ISBLANK('2025'!$S299), 0, 1), 6, if(ISBLANK('2025'!$T299), 0, 1), 7, 0))), 1, "")</f>
        <v/>
      </c>
      <c r="AX301" s="1" t="str">
        <f>IF(AND(AND(AND(AX$4&gt;='2025'!$L299,AX$4&lt;='2025'!$M299), AX$4&lt;&gt;DATE(2025,7,4)), (SWITCH(weekday(AX$4), 1, 0, 2, if(ISBLANK('2025'!$P299), 0, 1), 3, if(ISBLANK('2025'!$Q299), 0, 1), 4, if(ISBLANK('2025'!$R299), 0, 1), 5, if(ISBLANK('2025'!$S299), 0, 1), 6, if(ISBLANK('2025'!$T299), 0, 1), 7, 0))), 1, "")</f>
        <v/>
      </c>
      <c r="AY301" s="1" t="str">
        <f>IF(AND(AND(AND(AY$4&gt;='2025'!$L299,AY$4&lt;='2025'!$M299), AY$4&lt;&gt;DATE(2025,7,4)), (SWITCH(weekday(AY$4), 1, 0, 2, if(ISBLANK('2025'!$P299), 0, 1), 3, if(ISBLANK('2025'!$Q299), 0, 1), 4, if(ISBLANK('2025'!$R299), 0, 1), 5, if(ISBLANK('2025'!$S299), 0, 1), 6, if(ISBLANK('2025'!$T299), 0, 1), 7, 0))), 1, "")</f>
        <v/>
      </c>
      <c r="AZ301" s="1" t="str">
        <f>IF(AND(AND(AND(AZ$4&gt;='2025'!$L299,AZ$4&lt;='2025'!$M299), AZ$4&lt;&gt;DATE(2025,7,4)), (SWITCH(weekday(AZ$4), 1, 0, 2, if(ISBLANK('2025'!$P299), 0, 1), 3, if(ISBLANK('2025'!$Q299), 0, 1), 4, if(ISBLANK('2025'!$R299), 0, 1), 5, if(ISBLANK('2025'!$S299), 0, 1), 6, if(ISBLANK('2025'!$T299), 0, 1), 7, 0))), 1, "")</f>
        <v/>
      </c>
      <c r="BA301" s="1" t="str">
        <f>IF(AND(AND(AND(BA$4&gt;='2025'!$L299,BA$4&lt;='2025'!$M299), BA$4&lt;&gt;DATE(2025,7,4)), (SWITCH(weekday(BA$4), 1, 0, 2, if(ISBLANK('2025'!$P299), 0, 1), 3, if(ISBLANK('2025'!$Q299), 0, 1), 4, if(ISBLANK('2025'!$R299), 0, 1), 5, if(ISBLANK('2025'!$S299), 0, 1), 6, if(ISBLANK('2025'!$T299), 0, 1), 7, 0))), 1, "")</f>
        <v/>
      </c>
      <c r="BB301" s="1" t="str">
        <f>IF(AND(AND(AND(BB$4&gt;='2025'!$L299,BB$4&lt;='2025'!$M299), BB$4&lt;&gt;DATE(2025,7,4)), (SWITCH(weekday(BB$4), 1, 0, 2, if(ISBLANK('2025'!$P299), 0, 1), 3, if(ISBLANK('2025'!$Q299), 0, 1), 4, if(ISBLANK('2025'!$R299), 0, 1), 5, if(ISBLANK('2025'!$S299), 0, 1), 6, if(ISBLANK('2025'!$T299), 0, 1), 7, 0))), 1, "")</f>
        <v/>
      </c>
      <c r="BC301" s="1" t="str">
        <f>IF(AND(AND(AND(BC$4&gt;='2025'!$L299,BC$4&lt;='2025'!$M299), BC$4&lt;&gt;DATE(2025,7,4)), (SWITCH(weekday(BC$4), 1, 0, 2, if(ISBLANK('2025'!$P299), 0, 1), 3, if(ISBLANK('2025'!$Q299), 0, 1), 4, if(ISBLANK('2025'!$R299), 0, 1), 5, if(ISBLANK('2025'!$S299), 0, 1), 6, if(ISBLANK('2025'!$T299), 0, 1), 7, 0))), 1, "")</f>
        <v/>
      </c>
      <c r="BD301" s="1" t="str">
        <f>IF(AND(AND(AND(BD$4&gt;='2025'!$L299,BD$4&lt;='2025'!$M299), BD$4&lt;&gt;DATE(2025,7,4)), (SWITCH(weekday(BD$4), 1, 0, 2, if(ISBLANK('2025'!$P299), 0, 1), 3, if(ISBLANK('2025'!$Q299), 0, 1), 4, if(ISBLANK('2025'!$R299), 0, 1), 5, if(ISBLANK('2025'!$S299), 0, 1), 6, if(ISBLANK('2025'!$T299), 0, 1), 7, 0))), 1, "")</f>
        <v/>
      </c>
      <c r="BE301" s="1" t="str">
        <f>IF(AND(AND(AND(BE$4&gt;='2025'!$L299,BE$4&lt;='2025'!$M299), BE$4&lt;&gt;DATE(2025,7,4)), (SWITCH(weekday(BE$4), 1, 0, 2, if(ISBLANK('2025'!$P299), 0, 1), 3, if(ISBLANK('2025'!$Q299), 0, 1), 4, if(ISBLANK('2025'!$R299), 0, 1), 5, if(ISBLANK('2025'!$S299), 0, 1), 6, if(ISBLANK('2025'!$T299), 0, 1), 7, 0))), 1, "")</f>
        <v/>
      </c>
      <c r="BF301" s="1" t="str">
        <f>IF(AND(AND(AND(BF$4&gt;='2025'!$L299,BF$4&lt;='2025'!$M299), BF$4&lt;&gt;DATE(2025,7,4)), (SWITCH(weekday(BF$4), 1, 0, 2, if(ISBLANK('2025'!$P299), 0, 1), 3, if(ISBLANK('2025'!$Q299), 0, 1), 4, if(ISBLANK('2025'!$R299), 0, 1), 5, if(ISBLANK('2025'!$S299), 0, 1), 6, if(ISBLANK('2025'!$T299), 0, 1), 7, 0))), 1, "")</f>
        <v/>
      </c>
      <c r="BG301" s="1"/>
      <c r="BH301" s="1"/>
      <c r="BI301" s="1"/>
      <c r="BJ301" s="1"/>
      <c r="BK301" s="1"/>
      <c r="BL301" s="1"/>
    </row>
    <row r="302">
      <c r="A302" s="1">
        <f t="shared" si="3"/>
        <v>302</v>
      </c>
      <c r="B302" s="1" t="str">
        <f>'2025'!D266</f>
        <v>, </v>
      </c>
      <c r="C302" s="1" t="str">
        <f>'2025'!H266</f>
        <v/>
      </c>
      <c r="D302" s="1" t="str">
        <f>IF(AND(AND(AND(D$4&gt;='2025'!$L300,D$4&lt;='2025'!$M300), D$4&lt;&gt;DATE(2025,7,4)), (SWITCH(weekday(D$4), 1, 0, 2, if(ISBLANK('2025'!$P300), 0, 1), 3, if(ISBLANK('2025'!$Q300), 0, 1), 4, if(ISBLANK('2025'!$R300), 0, 1), 5, if(ISBLANK('2025'!$S300), 0, 1), 6, if(ISBLANK('2025'!$T300), 0, 1), 7, 0))), 1, "")</f>
        <v/>
      </c>
      <c r="E302" s="1" t="str">
        <f>IF(AND(AND(AND(E$4&gt;='2025'!$L300,E$4&lt;='2025'!$M300), E$4&lt;&gt;DATE(2025,7,4)), (SWITCH(weekday(E$4), 1, 0, 2, if(ISBLANK('2025'!$P300), 0, 1), 3, if(ISBLANK('2025'!$Q300), 0, 1), 4, if(ISBLANK('2025'!$R300), 0, 1), 5, if(ISBLANK('2025'!$S300), 0, 1), 6, if(ISBLANK('2025'!$T300), 0, 1), 7, 0))), 1, "")</f>
        <v/>
      </c>
      <c r="F302" s="1" t="str">
        <f>IF(AND(AND(AND(F$4&gt;='2025'!$L300,F$4&lt;='2025'!$M300), F$4&lt;&gt;DATE(2025,7,4)), (SWITCH(weekday(F$4), 1, 0, 2, if(ISBLANK('2025'!$P300), 0, 1), 3, if(ISBLANK('2025'!$Q300), 0, 1), 4, if(ISBLANK('2025'!$R300), 0, 1), 5, if(ISBLANK('2025'!$S300), 0, 1), 6, if(ISBLANK('2025'!$T300), 0, 1), 7, 0))), 1, "")</f>
        <v/>
      </c>
      <c r="G302" s="1" t="str">
        <f>IF(AND(AND(AND(G$4&gt;='2025'!$L300,G$4&lt;='2025'!$M300), G$4&lt;&gt;DATE(2025,7,4)), (SWITCH(weekday(G$4), 1, 0, 2, if(ISBLANK('2025'!$P300), 0, 1), 3, if(ISBLANK('2025'!$Q300), 0, 1), 4, if(ISBLANK('2025'!$R300), 0, 1), 5, if(ISBLANK('2025'!$S300), 0, 1), 6, if(ISBLANK('2025'!$T300), 0, 1), 7, 0))), 1, "")</f>
        <v/>
      </c>
      <c r="H302" s="1" t="str">
        <f>IF(AND(AND(AND(H$4&gt;='2025'!$L300,H$4&lt;='2025'!$M300), H$4&lt;&gt;DATE(2025,7,4)), (SWITCH(weekday(H$4), 1, 0, 2, if(ISBLANK('2025'!$P300), 0, 1), 3, if(ISBLANK('2025'!$Q300), 0, 1), 4, if(ISBLANK('2025'!$R300), 0, 1), 5, if(ISBLANK('2025'!$S300), 0, 1), 6, if(ISBLANK('2025'!$T300), 0, 1), 7, 0))), 1, "")</f>
        <v/>
      </c>
      <c r="I302" s="1" t="str">
        <f>IF(AND(AND(AND(I$4&gt;='2025'!$L300,I$4&lt;='2025'!$M300), I$4&lt;&gt;DATE(2025,7,4)), (SWITCH(weekday(I$4), 1, 0, 2, if(ISBLANK('2025'!$P300), 0, 1), 3, if(ISBLANK('2025'!$Q300), 0, 1), 4, if(ISBLANK('2025'!$R300), 0, 1), 5, if(ISBLANK('2025'!$S300), 0, 1), 6, if(ISBLANK('2025'!$T300), 0, 1), 7, 0))), 1, "")</f>
        <v/>
      </c>
      <c r="J302" s="1" t="str">
        <f>IF(AND(AND(AND(J$4&gt;='2025'!$L300,J$4&lt;='2025'!$M300), J$4&lt;&gt;DATE(2025,7,4)), (SWITCH(weekday(J$4), 1, 0, 2, if(ISBLANK('2025'!$P300), 0, 1), 3, if(ISBLANK('2025'!$Q300), 0, 1), 4, if(ISBLANK('2025'!$R300), 0, 1), 5, if(ISBLANK('2025'!$S300), 0, 1), 6, if(ISBLANK('2025'!$T300), 0, 1), 7, 0))), 1, "")</f>
        <v/>
      </c>
      <c r="K302" s="1" t="str">
        <f>IF(AND(AND(AND(K$4&gt;='2025'!$L300,K$4&lt;='2025'!$M300), K$4&lt;&gt;DATE(2025,7,4)), (SWITCH(weekday(K$4), 1, 0, 2, if(ISBLANK('2025'!$P300), 0, 1), 3, if(ISBLANK('2025'!$Q300), 0, 1), 4, if(ISBLANK('2025'!$R300), 0, 1), 5, if(ISBLANK('2025'!$S300), 0, 1), 6, if(ISBLANK('2025'!$T300), 0, 1), 7, 0))), 1, "")</f>
        <v/>
      </c>
      <c r="L302" s="1" t="str">
        <f>IF(AND(AND(AND(L$4&gt;='2025'!$L300,L$4&lt;='2025'!$M300), L$4&lt;&gt;DATE(2025,7,4)), (SWITCH(weekday(L$4), 1, 0, 2, if(ISBLANK('2025'!$P300), 0, 1), 3, if(ISBLANK('2025'!$Q300), 0, 1), 4, if(ISBLANK('2025'!$R300), 0, 1), 5, if(ISBLANK('2025'!$S300), 0, 1), 6, if(ISBLANK('2025'!$T300), 0, 1), 7, 0))), 1, "")</f>
        <v/>
      </c>
      <c r="M302" s="1" t="str">
        <f>IF(AND(AND(AND(M$4&gt;='2025'!$L300,M$4&lt;='2025'!$M300), M$4&lt;&gt;DATE(2025,7,4)), (SWITCH(weekday(M$4), 1, 0, 2, if(ISBLANK('2025'!$P300), 0, 1), 3, if(ISBLANK('2025'!$Q300), 0, 1), 4, if(ISBLANK('2025'!$R300), 0, 1), 5, if(ISBLANK('2025'!$S300), 0, 1), 6, if(ISBLANK('2025'!$T300), 0, 1), 7, 0))), 1, "")</f>
        <v/>
      </c>
      <c r="N302" s="1" t="str">
        <f>IF(AND(AND(AND(N$4&gt;='2025'!$L300,N$4&lt;='2025'!$M300), N$4&lt;&gt;DATE(2025,7,4)), (SWITCH(weekday(N$4), 1, 0, 2, if(ISBLANK('2025'!$P300), 0, 1), 3, if(ISBLANK('2025'!$Q300), 0, 1), 4, if(ISBLANK('2025'!$R300), 0, 1), 5, if(ISBLANK('2025'!$S300), 0, 1), 6, if(ISBLANK('2025'!$T300), 0, 1), 7, 0))), 1, "")</f>
        <v/>
      </c>
      <c r="O302" s="1" t="str">
        <f>IF(AND(AND(AND(O$4&gt;='2025'!$L300,O$4&lt;='2025'!$M300), O$4&lt;&gt;DATE(2025,7,4)), (SWITCH(weekday(O$4), 1, 0, 2, if(ISBLANK('2025'!$P300), 0, 1), 3, if(ISBLANK('2025'!$Q300), 0, 1), 4, if(ISBLANK('2025'!$R300), 0, 1), 5, if(ISBLANK('2025'!$S300), 0, 1), 6, if(ISBLANK('2025'!$T300), 0, 1), 7, 0))), 1, "")</f>
        <v/>
      </c>
      <c r="P302" s="1" t="str">
        <f>IF(AND(AND(AND(P$4&gt;='2025'!$L300,P$4&lt;='2025'!$M300), P$4&lt;&gt;DATE(2025,7,4)), (SWITCH(weekday(P$4), 1, 0, 2, if(ISBLANK('2025'!$P300), 0, 1), 3, if(ISBLANK('2025'!$Q300), 0, 1), 4, if(ISBLANK('2025'!$R300), 0, 1), 5, if(ISBLANK('2025'!$S300), 0, 1), 6, if(ISBLANK('2025'!$T300), 0, 1), 7, 0))), 1, "")</f>
        <v/>
      </c>
      <c r="Q302" s="1" t="str">
        <f>IF(AND(AND(AND(Q$4&gt;='2025'!$L300,Q$4&lt;='2025'!$M300), Q$4&lt;&gt;DATE(2025,7,4)), (SWITCH(weekday(Q$4), 1, 0, 2, if(ISBLANK('2025'!$P300), 0, 1), 3, if(ISBLANK('2025'!$Q300), 0, 1), 4, if(ISBLANK('2025'!$R300), 0, 1), 5, if(ISBLANK('2025'!$S300), 0, 1), 6, if(ISBLANK('2025'!$T300), 0, 1), 7, 0))), 1, "")</f>
        <v/>
      </c>
      <c r="R302" s="1" t="str">
        <f>IF(AND(AND(AND(R$4&gt;='2025'!$L300,R$4&lt;='2025'!$M300), R$4&lt;&gt;DATE(2025,7,4)), (SWITCH(weekday(R$4), 1, 0, 2, if(ISBLANK('2025'!$P300), 0, 1), 3, if(ISBLANK('2025'!$Q300), 0, 1), 4, if(ISBLANK('2025'!$R300), 0, 1), 5, if(ISBLANK('2025'!$S300), 0, 1), 6, if(ISBLANK('2025'!$T300), 0, 1), 7, 0))), 1, "")</f>
        <v/>
      </c>
      <c r="S302" s="1" t="str">
        <f>IF(AND(AND(AND(S$4&gt;='2025'!$L300,S$4&lt;='2025'!$M300), S$4&lt;&gt;DATE(2025,7,4)), (SWITCH(weekday(S$4), 1, 0, 2, if(ISBLANK('2025'!$P300), 0, 1), 3, if(ISBLANK('2025'!$Q300), 0, 1), 4, if(ISBLANK('2025'!$R300), 0, 1), 5, if(ISBLANK('2025'!$S300), 0, 1), 6, if(ISBLANK('2025'!$T300), 0, 1), 7, 0))), 1, "")</f>
        <v/>
      </c>
      <c r="T302" s="1" t="str">
        <f>IF(AND(AND(AND(T$4&gt;='2025'!$L300,T$4&lt;='2025'!$M300), T$4&lt;&gt;DATE(2025,7,4)), (SWITCH(weekday(T$4), 1, 0, 2, if(ISBLANK('2025'!$P300), 0, 1), 3, if(ISBLANK('2025'!$Q300), 0, 1), 4, if(ISBLANK('2025'!$R300), 0, 1), 5, if(ISBLANK('2025'!$S300), 0, 1), 6, if(ISBLANK('2025'!$T300), 0, 1), 7, 0))), 1, "")</f>
        <v/>
      </c>
      <c r="U302" s="1" t="str">
        <f>IF(AND(AND(AND(U$4&gt;='2025'!$L300,U$4&lt;='2025'!$M300), U$4&lt;&gt;DATE(2025,7,4)), (SWITCH(weekday(U$4), 1, 0, 2, if(ISBLANK('2025'!$P300), 0, 1), 3, if(ISBLANK('2025'!$Q300), 0, 1), 4, if(ISBLANK('2025'!$R300), 0, 1), 5, if(ISBLANK('2025'!$S300), 0, 1), 6, if(ISBLANK('2025'!$T300), 0, 1), 7, 0))), 1, "")</f>
        <v/>
      </c>
      <c r="V302" s="1" t="str">
        <f>IF(AND(AND(AND(V$4&gt;='2025'!$L300,V$4&lt;='2025'!$M300), V$4&lt;&gt;DATE(2025,7,4)), (SWITCH(weekday(V$4), 1, 0, 2, if(ISBLANK('2025'!$P300), 0, 1), 3, if(ISBLANK('2025'!$Q300), 0, 1), 4, if(ISBLANK('2025'!$R300), 0, 1), 5, if(ISBLANK('2025'!$S300), 0, 1), 6, if(ISBLANK('2025'!$T300), 0, 1), 7, 0))), 1, "")</f>
        <v/>
      </c>
      <c r="W302" s="1" t="str">
        <f>IF(AND(AND(AND(W$4&gt;='2025'!$L300,W$4&lt;='2025'!$M300), W$4&lt;&gt;DATE(2025,7,4)), (SWITCH(weekday(W$4), 1, 0, 2, if(ISBLANK('2025'!$P300), 0, 1), 3, if(ISBLANK('2025'!$Q300), 0, 1), 4, if(ISBLANK('2025'!$R300), 0, 1), 5, if(ISBLANK('2025'!$S300), 0, 1), 6, if(ISBLANK('2025'!$T300), 0, 1), 7, 0))), 1, "")</f>
        <v/>
      </c>
      <c r="X302" s="1" t="str">
        <f>IF(AND(AND(AND(X$4&gt;='2025'!$L300,X$4&lt;='2025'!$M300), X$4&lt;&gt;DATE(2025,7,4)), (SWITCH(weekday(X$4), 1, 0, 2, if(ISBLANK('2025'!$P300), 0, 1), 3, if(ISBLANK('2025'!$Q300), 0, 1), 4, if(ISBLANK('2025'!$R300), 0, 1), 5, if(ISBLANK('2025'!$S300), 0, 1), 6, if(ISBLANK('2025'!$T300), 0, 1), 7, 0))), 1, "")</f>
        <v/>
      </c>
      <c r="Y302" s="1" t="str">
        <f>IF(AND(AND(AND(Y$4&gt;='2025'!$L300,Y$4&lt;='2025'!$M300), Y$4&lt;&gt;DATE(2025,7,4)), (SWITCH(weekday(Y$4), 1, 0, 2, if(ISBLANK('2025'!$P300), 0, 1), 3, if(ISBLANK('2025'!$Q300), 0, 1), 4, if(ISBLANK('2025'!$R300), 0, 1), 5, if(ISBLANK('2025'!$S300), 0, 1), 6, if(ISBLANK('2025'!$T300), 0, 1), 7, 0))), 1, "")</f>
        <v/>
      </c>
      <c r="Z302" s="1" t="str">
        <f>IF(AND(AND(AND(Z$4&gt;='2025'!$L300,Z$4&lt;='2025'!$M300), Z$4&lt;&gt;DATE(2025,7,4)), (SWITCH(weekday(Z$4), 1, 0, 2, if(ISBLANK('2025'!$P300), 0, 1), 3, if(ISBLANK('2025'!$Q300), 0, 1), 4, if(ISBLANK('2025'!$R300), 0, 1), 5, if(ISBLANK('2025'!$S300), 0, 1), 6, if(ISBLANK('2025'!$T300), 0, 1), 7, 0))), 1, "")</f>
        <v/>
      </c>
      <c r="AA302" s="1" t="str">
        <f>IF(AND(AND(AND(AA$4&gt;='2025'!$L300,AA$4&lt;='2025'!$M300), AA$4&lt;&gt;DATE(2025,7,4)), (SWITCH(weekday(AA$4), 1, 0, 2, if(ISBLANK('2025'!$P300), 0, 1), 3, if(ISBLANK('2025'!$Q300), 0, 1), 4, if(ISBLANK('2025'!$R300), 0, 1), 5, if(ISBLANK('2025'!$S300), 0, 1), 6, if(ISBLANK('2025'!$T300), 0, 1), 7, 0))), 1, "")</f>
        <v/>
      </c>
      <c r="AB302" s="1" t="str">
        <f>IF(AND(AND(AND(AB$4&gt;='2025'!$L300,AB$4&lt;='2025'!$M300), AB$4&lt;&gt;DATE(2025,7,4)), (SWITCH(weekday(AB$4), 1, 0, 2, if(ISBLANK('2025'!$P300), 0, 1), 3, if(ISBLANK('2025'!$Q300), 0, 1), 4, if(ISBLANK('2025'!$R300), 0, 1), 5, if(ISBLANK('2025'!$S300), 0, 1), 6, if(ISBLANK('2025'!$T300), 0, 1), 7, 0))), 1, "")</f>
        <v/>
      </c>
      <c r="AC302" s="1" t="str">
        <f>IF(AND(AND(AND(AC$4&gt;='2025'!$L300,AC$4&lt;='2025'!$M300), AC$4&lt;&gt;DATE(2025,7,4)), (SWITCH(weekday(AC$4), 1, 0, 2, if(ISBLANK('2025'!$P300), 0, 1), 3, if(ISBLANK('2025'!$Q300), 0, 1), 4, if(ISBLANK('2025'!$R300), 0, 1), 5, if(ISBLANK('2025'!$S300), 0, 1), 6, if(ISBLANK('2025'!$T300), 0, 1), 7, 0))), 1, "")</f>
        <v/>
      </c>
      <c r="AD302" s="1" t="str">
        <f>IF(AND(AND(AND(AD$4&gt;='2025'!$L300,AD$4&lt;='2025'!$M300), AD$4&lt;&gt;DATE(2025,7,4)), (SWITCH(weekday(AD$4), 1, 0, 2, if(ISBLANK('2025'!$P300), 0, 1), 3, if(ISBLANK('2025'!$Q300), 0, 1), 4, if(ISBLANK('2025'!$R300), 0, 1), 5, if(ISBLANK('2025'!$S300), 0, 1), 6, if(ISBLANK('2025'!$T300), 0, 1), 7, 0))), 1, "")</f>
        <v/>
      </c>
      <c r="AE302" s="1" t="str">
        <f>IF(AND(AND(AND(AE$4&gt;='2025'!$L300,AE$4&lt;='2025'!$M300), AE$4&lt;&gt;DATE(2025,7,4)), (SWITCH(weekday(AE$4), 1, 0, 2, if(ISBLANK('2025'!$P300), 0, 1), 3, if(ISBLANK('2025'!$Q300), 0, 1), 4, if(ISBLANK('2025'!$R300), 0, 1), 5, if(ISBLANK('2025'!$S300), 0, 1), 6, if(ISBLANK('2025'!$T300), 0, 1), 7, 0))), 1, "")</f>
        <v/>
      </c>
      <c r="AF302" s="1" t="str">
        <f>IF(AND(AND(AND(AF$4&gt;='2025'!$L300,AF$4&lt;='2025'!$M300), AF$4&lt;&gt;DATE(2025,7,4)), (SWITCH(weekday(AF$4), 1, 0, 2, if(ISBLANK('2025'!$P300), 0, 1), 3, if(ISBLANK('2025'!$Q300), 0, 1), 4, if(ISBLANK('2025'!$R300), 0, 1), 5, if(ISBLANK('2025'!$S300), 0, 1), 6, if(ISBLANK('2025'!$T300), 0, 1), 7, 0))), 1, "")</f>
        <v/>
      </c>
      <c r="AG302" s="1" t="str">
        <f>IF(AND(AND(AND(AG$4&gt;='2025'!$L300,AG$4&lt;='2025'!$M300), AG$4&lt;&gt;DATE(2025,7,4)), (SWITCH(weekday(AG$4), 1, 0, 2, if(ISBLANK('2025'!$P300), 0, 1), 3, if(ISBLANK('2025'!$Q300), 0, 1), 4, if(ISBLANK('2025'!$R300), 0, 1), 5, if(ISBLANK('2025'!$S300), 0, 1), 6, if(ISBLANK('2025'!$T300), 0, 1), 7, 0))), 1, "")</f>
        <v/>
      </c>
      <c r="AH302" s="1" t="str">
        <f>IF(AND(AND(AND(AH$4&gt;='2025'!$L300,AH$4&lt;='2025'!$M300), AH$4&lt;&gt;DATE(2025,7,4)), (SWITCH(weekday(AH$4), 1, 0, 2, if(ISBLANK('2025'!$P300), 0, 1), 3, if(ISBLANK('2025'!$Q300), 0, 1), 4, if(ISBLANK('2025'!$R300), 0, 1), 5, if(ISBLANK('2025'!$S300), 0, 1), 6, if(ISBLANK('2025'!$T300), 0, 1), 7, 0))), 1, "")</f>
        <v/>
      </c>
      <c r="AI302" s="1" t="str">
        <f>IF(AND(AND(AND(AI$4&gt;='2025'!$L300,AI$4&lt;='2025'!$M300), AI$4&lt;&gt;DATE(2025,7,4)), (SWITCH(weekday(AI$4), 1, 0, 2, if(ISBLANK('2025'!$P300), 0, 1), 3, if(ISBLANK('2025'!$Q300), 0, 1), 4, if(ISBLANK('2025'!$R300), 0, 1), 5, if(ISBLANK('2025'!$S300), 0, 1), 6, if(ISBLANK('2025'!$T300), 0, 1), 7, 0))), 1, "")</f>
        <v/>
      </c>
      <c r="AJ302" s="1" t="str">
        <f>IF(AND(AND(AND(AJ$4&gt;='2025'!$L300,AJ$4&lt;='2025'!$M300), AJ$4&lt;&gt;DATE(2025,7,4)), (SWITCH(weekday(AJ$4), 1, 0, 2, if(ISBLANK('2025'!$P300), 0, 1), 3, if(ISBLANK('2025'!$Q300), 0, 1), 4, if(ISBLANK('2025'!$R300), 0, 1), 5, if(ISBLANK('2025'!$S300), 0, 1), 6, if(ISBLANK('2025'!$T300), 0, 1), 7, 0))), 1, "")</f>
        <v/>
      </c>
      <c r="AK302" s="1" t="str">
        <f>IF(AND(AND(AND(AK$4&gt;='2025'!$L300,AK$4&lt;='2025'!$M300), AK$4&lt;&gt;DATE(2025,7,4)), (SWITCH(weekday(AK$4), 1, 0, 2, if(ISBLANK('2025'!$P300), 0, 1), 3, if(ISBLANK('2025'!$Q300), 0, 1), 4, if(ISBLANK('2025'!$R300), 0, 1), 5, if(ISBLANK('2025'!$S300), 0, 1), 6, if(ISBLANK('2025'!$T300), 0, 1), 7, 0))), 1, "")</f>
        <v/>
      </c>
      <c r="AL302" s="1" t="str">
        <f>IF(AND(AND(AND(AL$4&gt;='2025'!$L300,AL$4&lt;='2025'!$M300), AL$4&lt;&gt;DATE(2025,7,4)), (SWITCH(weekday(AL$4), 1, 0, 2, if(ISBLANK('2025'!$P300), 0, 1), 3, if(ISBLANK('2025'!$Q300), 0, 1), 4, if(ISBLANK('2025'!$R300), 0, 1), 5, if(ISBLANK('2025'!$S300), 0, 1), 6, if(ISBLANK('2025'!$T300), 0, 1), 7, 0))), 1, "")</f>
        <v/>
      </c>
      <c r="AM302" s="1" t="str">
        <f>IF(AND(AND(AND(AM$4&gt;='2025'!$L300,AM$4&lt;='2025'!$M300), AM$4&lt;&gt;DATE(2025,7,4)), (SWITCH(weekday(AM$4), 1, 0, 2, if(ISBLANK('2025'!$P300), 0, 1), 3, if(ISBLANK('2025'!$Q300), 0, 1), 4, if(ISBLANK('2025'!$R300), 0, 1), 5, if(ISBLANK('2025'!$S300), 0, 1), 6, if(ISBLANK('2025'!$T300), 0, 1), 7, 0))), 1, "")</f>
        <v/>
      </c>
      <c r="AN302" s="1" t="str">
        <f>IF(AND(AND(AND(AN$4&gt;='2025'!$L300,AN$4&lt;='2025'!$M300), AN$4&lt;&gt;DATE(2025,7,4)), (SWITCH(weekday(AN$4), 1, 0, 2, if(ISBLANK('2025'!$P300), 0, 1), 3, if(ISBLANK('2025'!$Q300), 0, 1), 4, if(ISBLANK('2025'!$R300), 0, 1), 5, if(ISBLANK('2025'!$S300), 0, 1), 6, if(ISBLANK('2025'!$T300), 0, 1), 7, 0))), 1, "")</f>
        <v/>
      </c>
      <c r="AO302" s="1" t="str">
        <f>IF(AND(AND(AND(AO$4&gt;='2025'!$L300,AO$4&lt;='2025'!$M300), AO$4&lt;&gt;DATE(2025,7,4)), (SWITCH(weekday(AO$4), 1, 0, 2, if(ISBLANK('2025'!$P300), 0, 1), 3, if(ISBLANK('2025'!$Q300), 0, 1), 4, if(ISBLANK('2025'!$R300), 0, 1), 5, if(ISBLANK('2025'!$S300), 0, 1), 6, if(ISBLANK('2025'!$T300), 0, 1), 7, 0))), 1, "")</f>
        <v/>
      </c>
      <c r="AP302" s="1" t="str">
        <f>IF(AND(AND(AND(AP$4&gt;='2025'!$L300,AP$4&lt;='2025'!$M300), AP$4&lt;&gt;DATE(2025,7,4)), (SWITCH(weekday(AP$4), 1, 0, 2, if(ISBLANK('2025'!$P300), 0, 1), 3, if(ISBLANK('2025'!$Q300), 0, 1), 4, if(ISBLANK('2025'!$R300), 0, 1), 5, if(ISBLANK('2025'!$S300), 0, 1), 6, if(ISBLANK('2025'!$T300), 0, 1), 7, 0))), 1, "")</f>
        <v/>
      </c>
      <c r="AQ302" s="1" t="str">
        <f>IF(AND(AND(AND(AQ$4&gt;='2025'!$L300,AQ$4&lt;='2025'!$M300), AQ$4&lt;&gt;DATE(2025,7,4)), (SWITCH(weekday(AQ$4), 1, 0, 2, if(ISBLANK('2025'!$P300), 0, 1), 3, if(ISBLANK('2025'!$Q300), 0, 1), 4, if(ISBLANK('2025'!$R300), 0, 1), 5, if(ISBLANK('2025'!$S300), 0, 1), 6, if(ISBLANK('2025'!$T300), 0, 1), 7, 0))), 1, "")</f>
        <v/>
      </c>
      <c r="AR302" s="1" t="str">
        <f>IF(AND(AND(AND(AR$4&gt;='2025'!$L300,AR$4&lt;='2025'!$M300), AR$4&lt;&gt;DATE(2025,7,4)), (SWITCH(weekday(AR$4), 1, 0, 2, if(ISBLANK('2025'!$P300), 0, 1), 3, if(ISBLANK('2025'!$Q300), 0, 1), 4, if(ISBLANK('2025'!$R300), 0, 1), 5, if(ISBLANK('2025'!$S300), 0, 1), 6, if(ISBLANK('2025'!$T300), 0, 1), 7, 0))), 1, "")</f>
        <v/>
      </c>
      <c r="AS302" s="1" t="str">
        <f>IF(AND(AND(AND(AS$4&gt;='2025'!$L300,AS$4&lt;='2025'!$M300), AS$4&lt;&gt;DATE(2025,7,4)), (SWITCH(weekday(AS$4), 1, 0, 2, if(ISBLANK('2025'!$P300), 0, 1), 3, if(ISBLANK('2025'!$Q300), 0, 1), 4, if(ISBLANK('2025'!$R300), 0, 1), 5, if(ISBLANK('2025'!$S300), 0, 1), 6, if(ISBLANK('2025'!$T300), 0, 1), 7, 0))), 1, "")</f>
        <v/>
      </c>
      <c r="AT302" s="1" t="str">
        <f>IF(AND(AND(AND(AT$4&gt;='2025'!$L300,AT$4&lt;='2025'!$M300), AT$4&lt;&gt;DATE(2025,7,4)), (SWITCH(weekday(AT$4), 1, 0, 2, if(ISBLANK('2025'!$P300), 0, 1), 3, if(ISBLANK('2025'!$Q300), 0, 1), 4, if(ISBLANK('2025'!$R300), 0, 1), 5, if(ISBLANK('2025'!$S300), 0, 1), 6, if(ISBLANK('2025'!$T300), 0, 1), 7, 0))), 1, "")</f>
        <v/>
      </c>
      <c r="AU302" s="1" t="str">
        <f>IF(AND(AND(AND(AU$4&gt;='2025'!$L300,AU$4&lt;='2025'!$M300), AU$4&lt;&gt;DATE(2025,7,4)), (SWITCH(weekday(AU$4), 1, 0, 2, if(ISBLANK('2025'!$P300), 0, 1), 3, if(ISBLANK('2025'!$Q300), 0, 1), 4, if(ISBLANK('2025'!$R300), 0, 1), 5, if(ISBLANK('2025'!$S300), 0, 1), 6, if(ISBLANK('2025'!$T300), 0, 1), 7, 0))), 1, "")</f>
        <v/>
      </c>
      <c r="AV302" s="1" t="str">
        <f>IF(AND(AND(AND(AV$4&gt;='2025'!$L300,AV$4&lt;='2025'!$M300), AV$4&lt;&gt;DATE(2025,7,4)), (SWITCH(weekday(AV$4), 1, 0, 2, if(ISBLANK('2025'!$P300), 0, 1), 3, if(ISBLANK('2025'!$Q300), 0, 1), 4, if(ISBLANK('2025'!$R300), 0, 1), 5, if(ISBLANK('2025'!$S300), 0, 1), 6, if(ISBLANK('2025'!$T300), 0, 1), 7, 0))), 1, "")</f>
        <v/>
      </c>
      <c r="AW302" s="1" t="str">
        <f>IF(AND(AND(AND(AW$4&gt;='2025'!$L300,AW$4&lt;='2025'!$M300), AW$4&lt;&gt;DATE(2025,7,4)), (SWITCH(weekday(AW$4), 1, 0, 2, if(ISBLANK('2025'!$P300), 0, 1), 3, if(ISBLANK('2025'!$Q300), 0, 1), 4, if(ISBLANK('2025'!$R300), 0, 1), 5, if(ISBLANK('2025'!$S300), 0, 1), 6, if(ISBLANK('2025'!$T300), 0, 1), 7, 0))), 1, "")</f>
        <v/>
      </c>
      <c r="AX302" s="1" t="str">
        <f>IF(AND(AND(AND(AX$4&gt;='2025'!$L300,AX$4&lt;='2025'!$M300), AX$4&lt;&gt;DATE(2025,7,4)), (SWITCH(weekday(AX$4), 1, 0, 2, if(ISBLANK('2025'!$P300), 0, 1), 3, if(ISBLANK('2025'!$Q300), 0, 1), 4, if(ISBLANK('2025'!$R300), 0, 1), 5, if(ISBLANK('2025'!$S300), 0, 1), 6, if(ISBLANK('2025'!$T300), 0, 1), 7, 0))), 1, "")</f>
        <v/>
      </c>
      <c r="AY302" s="1" t="str">
        <f>IF(AND(AND(AND(AY$4&gt;='2025'!$L300,AY$4&lt;='2025'!$M300), AY$4&lt;&gt;DATE(2025,7,4)), (SWITCH(weekday(AY$4), 1, 0, 2, if(ISBLANK('2025'!$P300), 0, 1), 3, if(ISBLANK('2025'!$Q300), 0, 1), 4, if(ISBLANK('2025'!$R300), 0, 1), 5, if(ISBLANK('2025'!$S300), 0, 1), 6, if(ISBLANK('2025'!$T300), 0, 1), 7, 0))), 1, "")</f>
        <v/>
      </c>
      <c r="AZ302" s="1" t="str">
        <f>IF(AND(AND(AND(AZ$4&gt;='2025'!$L300,AZ$4&lt;='2025'!$M300), AZ$4&lt;&gt;DATE(2025,7,4)), (SWITCH(weekday(AZ$4), 1, 0, 2, if(ISBLANK('2025'!$P300), 0, 1), 3, if(ISBLANK('2025'!$Q300), 0, 1), 4, if(ISBLANK('2025'!$R300), 0, 1), 5, if(ISBLANK('2025'!$S300), 0, 1), 6, if(ISBLANK('2025'!$T300), 0, 1), 7, 0))), 1, "")</f>
        <v/>
      </c>
      <c r="BA302" s="1" t="str">
        <f>IF(AND(AND(AND(BA$4&gt;='2025'!$L300,BA$4&lt;='2025'!$M300), BA$4&lt;&gt;DATE(2025,7,4)), (SWITCH(weekday(BA$4), 1, 0, 2, if(ISBLANK('2025'!$P300), 0, 1), 3, if(ISBLANK('2025'!$Q300), 0, 1), 4, if(ISBLANK('2025'!$R300), 0, 1), 5, if(ISBLANK('2025'!$S300), 0, 1), 6, if(ISBLANK('2025'!$T300), 0, 1), 7, 0))), 1, "")</f>
        <v/>
      </c>
      <c r="BB302" s="1" t="str">
        <f>IF(AND(AND(AND(BB$4&gt;='2025'!$L300,BB$4&lt;='2025'!$M300), BB$4&lt;&gt;DATE(2025,7,4)), (SWITCH(weekday(BB$4), 1, 0, 2, if(ISBLANK('2025'!$P300), 0, 1), 3, if(ISBLANK('2025'!$Q300), 0, 1), 4, if(ISBLANK('2025'!$R300), 0, 1), 5, if(ISBLANK('2025'!$S300), 0, 1), 6, if(ISBLANK('2025'!$T300), 0, 1), 7, 0))), 1, "")</f>
        <v/>
      </c>
      <c r="BC302" s="1" t="str">
        <f>IF(AND(AND(AND(BC$4&gt;='2025'!$L300,BC$4&lt;='2025'!$M300), BC$4&lt;&gt;DATE(2025,7,4)), (SWITCH(weekday(BC$4), 1, 0, 2, if(ISBLANK('2025'!$P300), 0, 1), 3, if(ISBLANK('2025'!$Q300), 0, 1), 4, if(ISBLANK('2025'!$R300), 0, 1), 5, if(ISBLANK('2025'!$S300), 0, 1), 6, if(ISBLANK('2025'!$T300), 0, 1), 7, 0))), 1, "")</f>
        <v/>
      </c>
      <c r="BD302" s="1" t="str">
        <f>IF(AND(AND(AND(BD$4&gt;='2025'!$L300,BD$4&lt;='2025'!$M300), BD$4&lt;&gt;DATE(2025,7,4)), (SWITCH(weekday(BD$4), 1, 0, 2, if(ISBLANK('2025'!$P300), 0, 1), 3, if(ISBLANK('2025'!$Q300), 0, 1), 4, if(ISBLANK('2025'!$R300), 0, 1), 5, if(ISBLANK('2025'!$S300), 0, 1), 6, if(ISBLANK('2025'!$T300), 0, 1), 7, 0))), 1, "")</f>
        <v/>
      </c>
      <c r="BE302" s="1" t="str">
        <f>IF(AND(AND(AND(BE$4&gt;='2025'!$L300,BE$4&lt;='2025'!$M300), BE$4&lt;&gt;DATE(2025,7,4)), (SWITCH(weekday(BE$4), 1, 0, 2, if(ISBLANK('2025'!$P300), 0, 1), 3, if(ISBLANK('2025'!$Q300), 0, 1), 4, if(ISBLANK('2025'!$R300), 0, 1), 5, if(ISBLANK('2025'!$S300), 0, 1), 6, if(ISBLANK('2025'!$T300), 0, 1), 7, 0))), 1, "")</f>
        <v/>
      </c>
      <c r="BF302" s="1" t="str">
        <f>IF(AND(AND(AND(BF$4&gt;='2025'!$L300,BF$4&lt;='2025'!$M300), BF$4&lt;&gt;DATE(2025,7,4)), (SWITCH(weekday(BF$4), 1, 0, 2, if(ISBLANK('2025'!$P300), 0, 1), 3, if(ISBLANK('2025'!$Q300), 0, 1), 4, if(ISBLANK('2025'!$R300), 0, 1), 5, if(ISBLANK('2025'!$S300), 0, 1), 6, if(ISBLANK('2025'!$T300), 0, 1), 7, 0))), 1, "")</f>
        <v/>
      </c>
      <c r="BG302" s="1"/>
      <c r="BH302" s="1"/>
      <c r="BI302" s="1"/>
      <c r="BJ302" s="1"/>
      <c r="BK302" s="1"/>
      <c r="BL302" s="1"/>
    </row>
    <row r="303">
      <c r="A303" s="1">
        <f t="shared" si="3"/>
        <v>303</v>
      </c>
      <c r="B303" s="1" t="str">
        <f>'2025'!D267</f>
        <v>, </v>
      </c>
      <c r="C303" s="1" t="str">
        <f>'2025'!H267</f>
        <v/>
      </c>
      <c r="D303" s="1" t="str">
        <f>IF(AND(AND(AND(D$4&gt;='2025'!$L301,D$4&lt;='2025'!$M301), D$4&lt;&gt;DATE(2025,7,4)), (SWITCH(weekday(D$4), 1, 0, 2, if(ISBLANK('2025'!$P301), 0, 1), 3, if(ISBLANK('2025'!$Q301), 0, 1), 4, if(ISBLANK('2025'!$R301), 0, 1), 5, if(ISBLANK('2025'!$S301), 0, 1), 6, if(ISBLANK('2025'!$T301), 0, 1), 7, 0))), 1, "")</f>
        <v/>
      </c>
      <c r="E303" s="1" t="str">
        <f>IF(AND(AND(AND(E$4&gt;='2025'!$L301,E$4&lt;='2025'!$M301), E$4&lt;&gt;DATE(2025,7,4)), (SWITCH(weekday(E$4), 1, 0, 2, if(ISBLANK('2025'!$P301), 0, 1), 3, if(ISBLANK('2025'!$Q301), 0, 1), 4, if(ISBLANK('2025'!$R301), 0, 1), 5, if(ISBLANK('2025'!$S301), 0, 1), 6, if(ISBLANK('2025'!$T301), 0, 1), 7, 0))), 1, "")</f>
        <v/>
      </c>
      <c r="F303" s="1" t="str">
        <f>IF(AND(AND(AND(F$4&gt;='2025'!$L301,F$4&lt;='2025'!$M301), F$4&lt;&gt;DATE(2025,7,4)), (SWITCH(weekday(F$4), 1, 0, 2, if(ISBLANK('2025'!$P301), 0, 1), 3, if(ISBLANK('2025'!$Q301), 0, 1), 4, if(ISBLANK('2025'!$R301), 0, 1), 5, if(ISBLANK('2025'!$S301), 0, 1), 6, if(ISBLANK('2025'!$T301), 0, 1), 7, 0))), 1, "")</f>
        <v/>
      </c>
      <c r="G303" s="1" t="str">
        <f>IF(AND(AND(AND(G$4&gt;='2025'!$L301,G$4&lt;='2025'!$M301), G$4&lt;&gt;DATE(2025,7,4)), (SWITCH(weekday(G$4), 1, 0, 2, if(ISBLANK('2025'!$P301), 0, 1), 3, if(ISBLANK('2025'!$Q301), 0, 1), 4, if(ISBLANK('2025'!$R301), 0, 1), 5, if(ISBLANK('2025'!$S301), 0, 1), 6, if(ISBLANK('2025'!$T301), 0, 1), 7, 0))), 1, "")</f>
        <v/>
      </c>
      <c r="H303" s="1" t="str">
        <f>IF(AND(AND(AND(H$4&gt;='2025'!$L301,H$4&lt;='2025'!$M301), H$4&lt;&gt;DATE(2025,7,4)), (SWITCH(weekday(H$4), 1, 0, 2, if(ISBLANK('2025'!$P301), 0, 1), 3, if(ISBLANK('2025'!$Q301), 0, 1), 4, if(ISBLANK('2025'!$R301), 0, 1), 5, if(ISBLANK('2025'!$S301), 0, 1), 6, if(ISBLANK('2025'!$T301), 0, 1), 7, 0))), 1, "")</f>
        <v/>
      </c>
      <c r="I303" s="1" t="str">
        <f>IF(AND(AND(AND(I$4&gt;='2025'!$L301,I$4&lt;='2025'!$M301), I$4&lt;&gt;DATE(2025,7,4)), (SWITCH(weekday(I$4), 1, 0, 2, if(ISBLANK('2025'!$P301), 0, 1), 3, if(ISBLANK('2025'!$Q301), 0, 1), 4, if(ISBLANK('2025'!$R301), 0, 1), 5, if(ISBLANK('2025'!$S301), 0, 1), 6, if(ISBLANK('2025'!$T301), 0, 1), 7, 0))), 1, "")</f>
        <v/>
      </c>
      <c r="J303" s="1" t="str">
        <f>IF(AND(AND(AND(J$4&gt;='2025'!$L301,J$4&lt;='2025'!$M301), J$4&lt;&gt;DATE(2025,7,4)), (SWITCH(weekday(J$4), 1, 0, 2, if(ISBLANK('2025'!$P301), 0, 1), 3, if(ISBLANK('2025'!$Q301), 0, 1), 4, if(ISBLANK('2025'!$R301), 0, 1), 5, if(ISBLANK('2025'!$S301), 0, 1), 6, if(ISBLANK('2025'!$T301), 0, 1), 7, 0))), 1, "")</f>
        <v/>
      </c>
      <c r="K303" s="1" t="str">
        <f>IF(AND(AND(AND(K$4&gt;='2025'!$L301,K$4&lt;='2025'!$M301), K$4&lt;&gt;DATE(2025,7,4)), (SWITCH(weekday(K$4), 1, 0, 2, if(ISBLANK('2025'!$P301), 0, 1), 3, if(ISBLANK('2025'!$Q301), 0, 1), 4, if(ISBLANK('2025'!$R301), 0, 1), 5, if(ISBLANK('2025'!$S301), 0, 1), 6, if(ISBLANK('2025'!$T301), 0, 1), 7, 0))), 1, "")</f>
        <v/>
      </c>
      <c r="L303" s="1" t="str">
        <f>IF(AND(AND(AND(L$4&gt;='2025'!$L301,L$4&lt;='2025'!$M301), L$4&lt;&gt;DATE(2025,7,4)), (SWITCH(weekday(L$4), 1, 0, 2, if(ISBLANK('2025'!$P301), 0, 1), 3, if(ISBLANK('2025'!$Q301), 0, 1), 4, if(ISBLANK('2025'!$R301), 0, 1), 5, if(ISBLANK('2025'!$S301), 0, 1), 6, if(ISBLANK('2025'!$T301), 0, 1), 7, 0))), 1, "")</f>
        <v/>
      </c>
      <c r="M303" s="1" t="str">
        <f>IF(AND(AND(AND(M$4&gt;='2025'!$L301,M$4&lt;='2025'!$M301), M$4&lt;&gt;DATE(2025,7,4)), (SWITCH(weekday(M$4), 1, 0, 2, if(ISBLANK('2025'!$P301), 0, 1), 3, if(ISBLANK('2025'!$Q301), 0, 1), 4, if(ISBLANK('2025'!$R301), 0, 1), 5, if(ISBLANK('2025'!$S301), 0, 1), 6, if(ISBLANK('2025'!$T301), 0, 1), 7, 0))), 1, "")</f>
        <v/>
      </c>
      <c r="N303" s="1" t="str">
        <f>IF(AND(AND(AND(N$4&gt;='2025'!$L301,N$4&lt;='2025'!$M301), N$4&lt;&gt;DATE(2025,7,4)), (SWITCH(weekday(N$4), 1, 0, 2, if(ISBLANK('2025'!$P301), 0, 1), 3, if(ISBLANK('2025'!$Q301), 0, 1), 4, if(ISBLANK('2025'!$R301), 0, 1), 5, if(ISBLANK('2025'!$S301), 0, 1), 6, if(ISBLANK('2025'!$T301), 0, 1), 7, 0))), 1, "")</f>
        <v/>
      </c>
      <c r="O303" s="1" t="str">
        <f>IF(AND(AND(AND(O$4&gt;='2025'!$L301,O$4&lt;='2025'!$M301), O$4&lt;&gt;DATE(2025,7,4)), (SWITCH(weekday(O$4), 1, 0, 2, if(ISBLANK('2025'!$P301), 0, 1), 3, if(ISBLANK('2025'!$Q301), 0, 1), 4, if(ISBLANK('2025'!$R301), 0, 1), 5, if(ISBLANK('2025'!$S301), 0, 1), 6, if(ISBLANK('2025'!$T301), 0, 1), 7, 0))), 1, "")</f>
        <v/>
      </c>
      <c r="P303" s="1" t="str">
        <f>IF(AND(AND(AND(P$4&gt;='2025'!$L301,P$4&lt;='2025'!$M301), P$4&lt;&gt;DATE(2025,7,4)), (SWITCH(weekday(P$4), 1, 0, 2, if(ISBLANK('2025'!$P301), 0, 1), 3, if(ISBLANK('2025'!$Q301), 0, 1), 4, if(ISBLANK('2025'!$R301), 0, 1), 5, if(ISBLANK('2025'!$S301), 0, 1), 6, if(ISBLANK('2025'!$T301), 0, 1), 7, 0))), 1, "")</f>
        <v/>
      </c>
      <c r="Q303" s="1" t="str">
        <f>IF(AND(AND(AND(Q$4&gt;='2025'!$L301,Q$4&lt;='2025'!$M301), Q$4&lt;&gt;DATE(2025,7,4)), (SWITCH(weekday(Q$4), 1, 0, 2, if(ISBLANK('2025'!$P301), 0, 1), 3, if(ISBLANK('2025'!$Q301), 0, 1), 4, if(ISBLANK('2025'!$R301), 0, 1), 5, if(ISBLANK('2025'!$S301), 0, 1), 6, if(ISBLANK('2025'!$T301), 0, 1), 7, 0))), 1, "")</f>
        <v/>
      </c>
      <c r="R303" s="1" t="str">
        <f>IF(AND(AND(AND(R$4&gt;='2025'!$L301,R$4&lt;='2025'!$M301), R$4&lt;&gt;DATE(2025,7,4)), (SWITCH(weekday(R$4), 1, 0, 2, if(ISBLANK('2025'!$P301), 0, 1), 3, if(ISBLANK('2025'!$Q301), 0, 1), 4, if(ISBLANK('2025'!$R301), 0, 1), 5, if(ISBLANK('2025'!$S301), 0, 1), 6, if(ISBLANK('2025'!$T301), 0, 1), 7, 0))), 1, "")</f>
        <v/>
      </c>
      <c r="S303" s="1" t="str">
        <f>IF(AND(AND(AND(S$4&gt;='2025'!$L301,S$4&lt;='2025'!$M301), S$4&lt;&gt;DATE(2025,7,4)), (SWITCH(weekday(S$4), 1, 0, 2, if(ISBLANK('2025'!$P301), 0, 1), 3, if(ISBLANK('2025'!$Q301), 0, 1), 4, if(ISBLANK('2025'!$R301), 0, 1), 5, if(ISBLANK('2025'!$S301), 0, 1), 6, if(ISBLANK('2025'!$T301), 0, 1), 7, 0))), 1, "")</f>
        <v/>
      </c>
      <c r="T303" s="1" t="str">
        <f>IF(AND(AND(AND(T$4&gt;='2025'!$L301,T$4&lt;='2025'!$M301), T$4&lt;&gt;DATE(2025,7,4)), (SWITCH(weekday(T$4), 1, 0, 2, if(ISBLANK('2025'!$P301), 0, 1), 3, if(ISBLANK('2025'!$Q301), 0, 1), 4, if(ISBLANK('2025'!$R301), 0, 1), 5, if(ISBLANK('2025'!$S301), 0, 1), 6, if(ISBLANK('2025'!$T301), 0, 1), 7, 0))), 1, "")</f>
        <v/>
      </c>
      <c r="U303" s="1" t="str">
        <f>IF(AND(AND(AND(U$4&gt;='2025'!$L301,U$4&lt;='2025'!$M301), U$4&lt;&gt;DATE(2025,7,4)), (SWITCH(weekday(U$4), 1, 0, 2, if(ISBLANK('2025'!$P301), 0, 1), 3, if(ISBLANK('2025'!$Q301), 0, 1), 4, if(ISBLANK('2025'!$R301), 0, 1), 5, if(ISBLANK('2025'!$S301), 0, 1), 6, if(ISBLANK('2025'!$T301), 0, 1), 7, 0))), 1, "")</f>
        <v/>
      </c>
      <c r="V303" s="1" t="str">
        <f>IF(AND(AND(AND(V$4&gt;='2025'!$L301,V$4&lt;='2025'!$M301), V$4&lt;&gt;DATE(2025,7,4)), (SWITCH(weekday(V$4), 1, 0, 2, if(ISBLANK('2025'!$P301), 0, 1), 3, if(ISBLANK('2025'!$Q301), 0, 1), 4, if(ISBLANK('2025'!$R301), 0, 1), 5, if(ISBLANK('2025'!$S301), 0, 1), 6, if(ISBLANK('2025'!$T301), 0, 1), 7, 0))), 1, "")</f>
        <v/>
      </c>
      <c r="W303" s="1" t="str">
        <f>IF(AND(AND(AND(W$4&gt;='2025'!$L301,W$4&lt;='2025'!$M301), W$4&lt;&gt;DATE(2025,7,4)), (SWITCH(weekday(W$4), 1, 0, 2, if(ISBLANK('2025'!$P301), 0, 1), 3, if(ISBLANK('2025'!$Q301), 0, 1), 4, if(ISBLANK('2025'!$R301), 0, 1), 5, if(ISBLANK('2025'!$S301), 0, 1), 6, if(ISBLANK('2025'!$T301), 0, 1), 7, 0))), 1, "")</f>
        <v/>
      </c>
      <c r="X303" s="1" t="str">
        <f>IF(AND(AND(AND(X$4&gt;='2025'!$L301,X$4&lt;='2025'!$M301), X$4&lt;&gt;DATE(2025,7,4)), (SWITCH(weekday(X$4), 1, 0, 2, if(ISBLANK('2025'!$P301), 0, 1), 3, if(ISBLANK('2025'!$Q301), 0, 1), 4, if(ISBLANK('2025'!$R301), 0, 1), 5, if(ISBLANK('2025'!$S301), 0, 1), 6, if(ISBLANK('2025'!$T301), 0, 1), 7, 0))), 1, "")</f>
        <v/>
      </c>
      <c r="Y303" s="1" t="str">
        <f>IF(AND(AND(AND(Y$4&gt;='2025'!$L301,Y$4&lt;='2025'!$M301), Y$4&lt;&gt;DATE(2025,7,4)), (SWITCH(weekday(Y$4), 1, 0, 2, if(ISBLANK('2025'!$P301), 0, 1), 3, if(ISBLANK('2025'!$Q301), 0, 1), 4, if(ISBLANK('2025'!$R301), 0, 1), 5, if(ISBLANK('2025'!$S301), 0, 1), 6, if(ISBLANK('2025'!$T301), 0, 1), 7, 0))), 1, "")</f>
        <v/>
      </c>
      <c r="Z303" s="1" t="str">
        <f>IF(AND(AND(AND(Z$4&gt;='2025'!$L301,Z$4&lt;='2025'!$M301), Z$4&lt;&gt;DATE(2025,7,4)), (SWITCH(weekday(Z$4), 1, 0, 2, if(ISBLANK('2025'!$P301), 0, 1), 3, if(ISBLANK('2025'!$Q301), 0, 1), 4, if(ISBLANK('2025'!$R301), 0, 1), 5, if(ISBLANK('2025'!$S301), 0, 1), 6, if(ISBLANK('2025'!$T301), 0, 1), 7, 0))), 1, "")</f>
        <v/>
      </c>
      <c r="AA303" s="1" t="str">
        <f>IF(AND(AND(AND(AA$4&gt;='2025'!$L301,AA$4&lt;='2025'!$M301), AA$4&lt;&gt;DATE(2025,7,4)), (SWITCH(weekday(AA$4), 1, 0, 2, if(ISBLANK('2025'!$P301), 0, 1), 3, if(ISBLANK('2025'!$Q301), 0, 1), 4, if(ISBLANK('2025'!$R301), 0, 1), 5, if(ISBLANK('2025'!$S301), 0, 1), 6, if(ISBLANK('2025'!$T301), 0, 1), 7, 0))), 1, "")</f>
        <v/>
      </c>
      <c r="AB303" s="1" t="str">
        <f>IF(AND(AND(AND(AB$4&gt;='2025'!$L301,AB$4&lt;='2025'!$M301), AB$4&lt;&gt;DATE(2025,7,4)), (SWITCH(weekday(AB$4), 1, 0, 2, if(ISBLANK('2025'!$P301), 0, 1), 3, if(ISBLANK('2025'!$Q301), 0, 1), 4, if(ISBLANK('2025'!$R301), 0, 1), 5, if(ISBLANK('2025'!$S301), 0, 1), 6, if(ISBLANK('2025'!$T301), 0, 1), 7, 0))), 1, "")</f>
        <v/>
      </c>
      <c r="AC303" s="1" t="str">
        <f>IF(AND(AND(AND(AC$4&gt;='2025'!$L301,AC$4&lt;='2025'!$M301), AC$4&lt;&gt;DATE(2025,7,4)), (SWITCH(weekday(AC$4), 1, 0, 2, if(ISBLANK('2025'!$P301), 0, 1), 3, if(ISBLANK('2025'!$Q301), 0, 1), 4, if(ISBLANK('2025'!$R301), 0, 1), 5, if(ISBLANK('2025'!$S301), 0, 1), 6, if(ISBLANK('2025'!$T301), 0, 1), 7, 0))), 1, "")</f>
        <v/>
      </c>
      <c r="AD303" s="1" t="str">
        <f>IF(AND(AND(AND(AD$4&gt;='2025'!$L301,AD$4&lt;='2025'!$M301), AD$4&lt;&gt;DATE(2025,7,4)), (SWITCH(weekday(AD$4), 1, 0, 2, if(ISBLANK('2025'!$P301), 0, 1), 3, if(ISBLANK('2025'!$Q301), 0, 1), 4, if(ISBLANK('2025'!$R301), 0, 1), 5, if(ISBLANK('2025'!$S301), 0, 1), 6, if(ISBLANK('2025'!$T301), 0, 1), 7, 0))), 1, "")</f>
        <v/>
      </c>
      <c r="AE303" s="1" t="str">
        <f>IF(AND(AND(AND(AE$4&gt;='2025'!$L301,AE$4&lt;='2025'!$M301), AE$4&lt;&gt;DATE(2025,7,4)), (SWITCH(weekday(AE$4), 1, 0, 2, if(ISBLANK('2025'!$P301), 0, 1), 3, if(ISBLANK('2025'!$Q301), 0, 1), 4, if(ISBLANK('2025'!$R301), 0, 1), 5, if(ISBLANK('2025'!$S301), 0, 1), 6, if(ISBLANK('2025'!$T301), 0, 1), 7, 0))), 1, "")</f>
        <v/>
      </c>
      <c r="AF303" s="1" t="str">
        <f>IF(AND(AND(AND(AF$4&gt;='2025'!$L301,AF$4&lt;='2025'!$M301), AF$4&lt;&gt;DATE(2025,7,4)), (SWITCH(weekday(AF$4), 1, 0, 2, if(ISBLANK('2025'!$P301), 0, 1), 3, if(ISBLANK('2025'!$Q301), 0, 1), 4, if(ISBLANK('2025'!$R301), 0, 1), 5, if(ISBLANK('2025'!$S301), 0, 1), 6, if(ISBLANK('2025'!$T301), 0, 1), 7, 0))), 1, "")</f>
        <v/>
      </c>
      <c r="AG303" s="1" t="str">
        <f>IF(AND(AND(AND(AG$4&gt;='2025'!$L301,AG$4&lt;='2025'!$M301), AG$4&lt;&gt;DATE(2025,7,4)), (SWITCH(weekday(AG$4), 1, 0, 2, if(ISBLANK('2025'!$P301), 0, 1), 3, if(ISBLANK('2025'!$Q301), 0, 1), 4, if(ISBLANK('2025'!$R301), 0, 1), 5, if(ISBLANK('2025'!$S301), 0, 1), 6, if(ISBLANK('2025'!$T301), 0, 1), 7, 0))), 1, "")</f>
        <v/>
      </c>
      <c r="AH303" s="1" t="str">
        <f>IF(AND(AND(AND(AH$4&gt;='2025'!$L301,AH$4&lt;='2025'!$M301), AH$4&lt;&gt;DATE(2025,7,4)), (SWITCH(weekday(AH$4), 1, 0, 2, if(ISBLANK('2025'!$P301), 0, 1), 3, if(ISBLANK('2025'!$Q301), 0, 1), 4, if(ISBLANK('2025'!$R301), 0, 1), 5, if(ISBLANK('2025'!$S301), 0, 1), 6, if(ISBLANK('2025'!$T301), 0, 1), 7, 0))), 1, "")</f>
        <v/>
      </c>
      <c r="AI303" s="1" t="str">
        <f>IF(AND(AND(AND(AI$4&gt;='2025'!$L301,AI$4&lt;='2025'!$M301), AI$4&lt;&gt;DATE(2025,7,4)), (SWITCH(weekday(AI$4), 1, 0, 2, if(ISBLANK('2025'!$P301), 0, 1), 3, if(ISBLANK('2025'!$Q301), 0, 1), 4, if(ISBLANK('2025'!$R301), 0, 1), 5, if(ISBLANK('2025'!$S301), 0, 1), 6, if(ISBLANK('2025'!$T301), 0, 1), 7, 0))), 1, "")</f>
        <v/>
      </c>
      <c r="AJ303" s="1" t="str">
        <f>IF(AND(AND(AND(AJ$4&gt;='2025'!$L301,AJ$4&lt;='2025'!$M301), AJ$4&lt;&gt;DATE(2025,7,4)), (SWITCH(weekday(AJ$4), 1, 0, 2, if(ISBLANK('2025'!$P301), 0, 1), 3, if(ISBLANK('2025'!$Q301), 0, 1), 4, if(ISBLANK('2025'!$R301), 0, 1), 5, if(ISBLANK('2025'!$S301), 0, 1), 6, if(ISBLANK('2025'!$T301), 0, 1), 7, 0))), 1, "")</f>
        <v/>
      </c>
      <c r="AK303" s="1" t="str">
        <f>IF(AND(AND(AND(AK$4&gt;='2025'!$L301,AK$4&lt;='2025'!$M301), AK$4&lt;&gt;DATE(2025,7,4)), (SWITCH(weekday(AK$4), 1, 0, 2, if(ISBLANK('2025'!$P301), 0, 1), 3, if(ISBLANK('2025'!$Q301), 0, 1), 4, if(ISBLANK('2025'!$R301), 0, 1), 5, if(ISBLANK('2025'!$S301), 0, 1), 6, if(ISBLANK('2025'!$T301), 0, 1), 7, 0))), 1, "")</f>
        <v/>
      </c>
      <c r="AL303" s="1" t="str">
        <f>IF(AND(AND(AND(AL$4&gt;='2025'!$L301,AL$4&lt;='2025'!$M301), AL$4&lt;&gt;DATE(2025,7,4)), (SWITCH(weekday(AL$4), 1, 0, 2, if(ISBLANK('2025'!$P301), 0, 1), 3, if(ISBLANK('2025'!$Q301), 0, 1), 4, if(ISBLANK('2025'!$R301), 0, 1), 5, if(ISBLANK('2025'!$S301), 0, 1), 6, if(ISBLANK('2025'!$T301), 0, 1), 7, 0))), 1, "")</f>
        <v/>
      </c>
      <c r="AM303" s="1" t="str">
        <f>IF(AND(AND(AND(AM$4&gt;='2025'!$L301,AM$4&lt;='2025'!$M301), AM$4&lt;&gt;DATE(2025,7,4)), (SWITCH(weekday(AM$4), 1, 0, 2, if(ISBLANK('2025'!$P301), 0, 1), 3, if(ISBLANK('2025'!$Q301), 0, 1), 4, if(ISBLANK('2025'!$R301), 0, 1), 5, if(ISBLANK('2025'!$S301), 0, 1), 6, if(ISBLANK('2025'!$T301), 0, 1), 7, 0))), 1, "")</f>
        <v/>
      </c>
      <c r="AN303" s="1" t="str">
        <f>IF(AND(AND(AND(AN$4&gt;='2025'!$L301,AN$4&lt;='2025'!$M301), AN$4&lt;&gt;DATE(2025,7,4)), (SWITCH(weekday(AN$4), 1, 0, 2, if(ISBLANK('2025'!$P301), 0, 1), 3, if(ISBLANK('2025'!$Q301), 0, 1), 4, if(ISBLANK('2025'!$R301), 0, 1), 5, if(ISBLANK('2025'!$S301), 0, 1), 6, if(ISBLANK('2025'!$T301), 0, 1), 7, 0))), 1, "")</f>
        <v/>
      </c>
      <c r="AO303" s="1" t="str">
        <f>IF(AND(AND(AND(AO$4&gt;='2025'!$L301,AO$4&lt;='2025'!$M301), AO$4&lt;&gt;DATE(2025,7,4)), (SWITCH(weekday(AO$4), 1, 0, 2, if(ISBLANK('2025'!$P301), 0, 1), 3, if(ISBLANK('2025'!$Q301), 0, 1), 4, if(ISBLANK('2025'!$R301), 0, 1), 5, if(ISBLANK('2025'!$S301), 0, 1), 6, if(ISBLANK('2025'!$T301), 0, 1), 7, 0))), 1, "")</f>
        <v/>
      </c>
      <c r="AP303" s="1" t="str">
        <f>IF(AND(AND(AND(AP$4&gt;='2025'!$L301,AP$4&lt;='2025'!$M301), AP$4&lt;&gt;DATE(2025,7,4)), (SWITCH(weekday(AP$4), 1, 0, 2, if(ISBLANK('2025'!$P301), 0, 1), 3, if(ISBLANK('2025'!$Q301), 0, 1), 4, if(ISBLANK('2025'!$R301), 0, 1), 5, if(ISBLANK('2025'!$S301), 0, 1), 6, if(ISBLANK('2025'!$T301), 0, 1), 7, 0))), 1, "")</f>
        <v/>
      </c>
      <c r="AQ303" s="1" t="str">
        <f>IF(AND(AND(AND(AQ$4&gt;='2025'!$L301,AQ$4&lt;='2025'!$M301), AQ$4&lt;&gt;DATE(2025,7,4)), (SWITCH(weekday(AQ$4), 1, 0, 2, if(ISBLANK('2025'!$P301), 0, 1), 3, if(ISBLANK('2025'!$Q301), 0, 1), 4, if(ISBLANK('2025'!$R301), 0, 1), 5, if(ISBLANK('2025'!$S301), 0, 1), 6, if(ISBLANK('2025'!$T301), 0, 1), 7, 0))), 1, "")</f>
        <v/>
      </c>
      <c r="AR303" s="1" t="str">
        <f>IF(AND(AND(AND(AR$4&gt;='2025'!$L301,AR$4&lt;='2025'!$M301), AR$4&lt;&gt;DATE(2025,7,4)), (SWITCH(weekday(AR$4), 1, 0, 2, if(ISBLANK('2025'!$P301), 0, 1), 3, if(ISBLANK('2025'!$Q301), 0, 1), 4, if(ISBLANK('2025'!$R301), 0, 1), 5, if(ISBLANK('2025'!$S301), 0, 1), 6, if(ISBLANK('2025'!$T301), 0, 1), 7, 0))), 1, "")</f>
        <v/>
      </c>
      <c r="AS303" s="1" t="str">
        <f>IF(AND(AND(AND(AS$4&gt;='2025'!$L301,AS$4&lt;='2025'!$M301), AS$4&lt;&gt;DATE(2025,7,4)), (SWITCH(weekday(AS$4), 1, 0, 2, if(ISBLANK('2025'!$P301), 0, 1), 3, if(ISBLANK('2025'!$Q301), 0, 1), 4, if(ISBLANK('2025'!$R301), 0, 1), 5, if(ISBLANK('2025'!$S301), 0, 1), 6, if(ISBLANK('2025'!$T301), 0, 1), 7, 0))), 1, "")</f>
        <v/>
      </c>
      <c r="AT303" s="1" t="str">
        <f>IF(AND(AND(AND(AT$4&gt;='2025'!$L301,AT$4&lt;='2025'!$M301), AT$4&lt;&gt;DATE(2025,7,4)), (SWITCH(weekday(AT$4), 1, 0, 2, if(ISBLANK('2025'!$P301), 0, 1), 3, if(ISBLANK('2025'!$Q301), 0, 1), 4, if(ISBLANK('2025'!$R301), 0, 1), 5, if(ISBLANK('2025'!$S301), 0, 1), 6, if(ISBLANK('2025'!$T301), 0, 1), 7, 0))), 1, "")</f>
        <v/>
      </c>
      <c r="AU303" s="1" t="str">
        <f>IF(AND(AND(AND(AU$4&gt;='2025'!$L301,AU$4&lt;='2025'!$M301), AU$4&lt;&gt;DATE(2025,7,4)), (SWITCH(weekday(AU$4), 1, 0, 2, if(ISBLANK('2025'!$P301), 0, 1), 3, if(ISBLANK('2025'!$Q301), 0, 1), 4, if(ISBLANK('2025'!$R301), 0, 1), 5, if(ISBLANK('2025'!$S301), 0, 1), 6, if(ISBLANK('2025'!$T301), 0, 1), 7, 0))), 1, "")</f>
        <v/>
      </c>
      <c r="AV303" s="1" t="str">
        <f>IF(AND(AND(AND(AV$4&gt;='2025'!$L301,AV$4&lt;='2025'!$M301), AV$4&lt;&gt;DATE(2025,7,4)), (SWITCH(weekday(AV$4), 1, 0, 2, if(ISBLANK('2025'!$P301), 0, 1), 3, if(ISBLANK('2025'!$Q301), 0, 1), 4, if(ISBLANK('2025'!$R301), 0, 1), 5, if(ISBLANK('2025'!$S301), 0, 1), 6, if(ISBLANK('2025'!$T301), 0, 1), 7, 0))), 1, "")</f>
        <v/>
      </c>
      <c r="AW303" s="1" t="str">
        <f>IF(AND(AND(AND(AW$4&gt;='2025'!$L301,AW$4&lt;='2025'!$M301), AW$4&lt;&gt;DATE(2025,7,4)), (SWITCH(weekday(AW$4), 1, 0, 2, if(ISBLANK('2025'!$P301), 0, 1), 3, if(ISBLANK('2025'!$Q301), 0, 1), 4, if(ISBLANK('2025'!$R301), 0, 1), 5, if(ISBLANK('2025'!$S301), 0, 1), 6, if(ISBLANK('2025'!$T301), 0, 1), 7, 0))), 1, "")</f>
        <v/>
      </c>
      <c r="AX303" s="1" t="str">
        <f>IF(AND(AND(AND(AX$4&gt;='2025'!$L301,AX$4&lt;='2025'!$M301), AX$4&lt;&gt;DATE(2025,7,4)), (SWITCH(weekday(AX$4), 1, 0, 2, if(ISBLANK('2025'!$P301), 0, 1), 3, if(ISBLANK('2025'!$Q301), 0, 1), 4, if(ISBLANK('2025'!$R301), 0, 1), 5, if(ISBLANK('2025'!$S301), 0, 1), 6, if(ISBLANK('2025'!$T301), 0, 1), 7, 0))), 1, "")</f>
        <v/>
      </c>
      <c r="AY303" s="1" t="str">
        <f>IF(AND(AND(AND(AY$4&gt;='2025'!$L301,AY$4&lt;='2025'!$M301), AY$4&lt;&gt;DATE(2025,7,4)), (SWITCH(weekday(AY$4), 1, 0, 2, if(ISBLANK('2025'!$P301), 0, 1), 3, if(ISBLANK('2025'!$Q301), 0, 1), 4, if(ISBLANK('2025'!$R301), 0, 1), 5, if(ISBLANK('2025'!$S301), 0, 1), 6, if(ISBLANK('2025'!$T301), 0, 1), 7, 0))), 1, "")</f>
        <v/>
      </c>
      <c r="AZ303" s="1" t="str">
        <f>IF(AND(AND(AND(AZ$4&gt;='2025'!$L301,AZ$4&lt;='2025'!$M301), AZ$4&lt;&gt;DATE(2025,7,4)), (SWITCH(weekday(AZ$4), 1, 0, 2, if(ISBLANK('2025'!$P301), 0, 1), 3, if(ISBLANK('2025'!$Q301), 0, 1), 4, if(ISBLANK('2025'!$R301), 0, 1), 5, if(ISBLANK('2025'!$S301), 0, 1), 6, if(ISBLANK('2025'!$T301), 0, 1), 7, 0))), 1, "")</f>
        <v/>
      </c>
      <c r="BA303" s="1" t="str">
        <f>IF(AND(AND(AND(BA$4&gt;='2025'!$L301,BA$4&lt;='2025'!$M301), BA$4&lt;&gt;DATE(2025,7,4)), (SWITCH(weekday(BA$4), 1, 0, 2, if(ISBLANK('2025'!$P301), 0, 1), 3, if(ISBLANK('2025'!$Q301), 0, 1), 4, if(ISBLANK('2025'!$R301), 0, 1), 5, if(ISBLANK('2025'!$S301), 0, 1), 6, if(ISBLANK('2025'!$T301), 0, 1), 7, 0))), 1, "")</f>
        <v/>
      </c>
      <c r="BB303" s="1" t="str">
        <f>IF(AND(AND(AND(BB$4&gt;='2025'!$L301,BB$4&lt;='2025'!$M301), BB$4&lt;&gt;DATE(2025,7,4)), (SWITCH(weekday(BB$4), 1, 0, 2, if(ISBLANK('2025'!$P301), 0, 1), 3, if(ISBLANK('2025'!$Q301), 0, 1), 4, if(ISBLANK('2025'!$R301), 0, 1), 5, if(ISBLANK('2025'!$S301), 0, 1), 6, if(ISBLANK('2025'!$T301), 0, 1), 7, 0))), 1, "")</f>
        <v/>
      </c>
      <c r="BC303" s="1" t="str">
        <f>IF(AND(AND(AND(BC$4&gt;='2025'!$L301,BC$4&lt;='2025'!$M301), BC$4&lt;&gt;DATE(2025,7,4)), (SWITCH(weekday(BC$4), 1, 0, 2, if(ISBLANK('2025'!$P301), 0, 1), 3, if(ISBLANK('2025'!$Q301), 0, 1), 4, if(ISBLANK('2025'!$R301), 0, 1), 5, if(ISBLANK('2025'!$S301), 0, 1), 6, if(ISBLANK('2025'!$T301), 0, 1), 7, 0))), 1, "")</f>
        <v/>
      </c>
      <c r="BD303" s="1" t="str">
        <f>IF(AND(AND(AND(BD$4&gt;='2025'!$L301,BD$4&lt;='2025'!$M301), BD$4&lt;&gt;DATE(2025,7,4)), (SWITCH(weekday(BD$4), 1, 0, 2, if(ISBLANK('2025'!$P301), 0, 1), 3, if(ISBLANK('2025'!$Q301), 0, 1), 4, if(ISBLANK('2025'!$R301), 0, 1), 5, if(ISBLANK('2025'!$S301), 0, 1), 6, if(ISBLANK('2025'!$T301), 0, 1), 7, 0))), 1, "")</f>
        <v/>
      </c>
      <c r="BE303" s="1" t="str">
        <f>IF(AND(AND(AND(BE$4&gt;='2025'!$L301,BE$4&lt;='2025'!$M301), BE$4&lt;&gt;DATE(2025,7,4)), (SWITCH(weekday(BE$4), 1, 0, 2, if(ISBLANK('2025'!$P301), 0, 1), 3, if(ISBLANK('2025'!$Q301), 0, 1), 4, if(ISBLANK('2025'!$R301), 0, 1), 5, if(ISBLANK('2025'!$S301), 0, 1), 6, if(ISBLANK('2025'!$T301), 0, 1), 7, 0))), 1, "")</f>
        <v/>
      </c>
      <c r="BF303" s="1" t="str">
        <f>IF(AND(AND(AND(BF$4&gt;='2025'!$L301,BF$4&lt;='2025'!$M301), BF$4&lt;&gt;DATE(2025,7,4)), (SWITCH(weekday(BF$4), 1, 0, 2, if(ISBLANK('2025'!$P301), 0, 1), 3, if(ISBLANK('2025'!$Q301), 0, 1), 4, if(ISBLANK('2025'!$R301), 0, 1), 5, if(ISBLANK('2025'!$S301), 0, 1), 6, if(ISBLANK('2025'!$T301), 0, 1), 7, 0))), 1, "")</f>
        <v/>
      </c>
      <c r="BG303" s="1"/>
      <c r="BH303" s="1"/>
      <c r="BI303" s="1"/>
      <c r="BJ303" s="1"/>
      <c r="BK303" s="1"/>
      <c r="BL303" s="1"/>
    </row>
    <row r="304">
      <c r="A304" s="1">
        <f t="shared" si="3"/>
        <v>304</v>
      </c>
      <c r="B304" s="1" t="str">
        <f>'2025'!D268</f>
        <v>, </v>
      </c>
      <c r="C304" s="1" t="str">
        <f>'2025'!H268</f>
        <v/>
      </c>
      <c r="D304" s="1" t="str">
        <f>IF(AND(AND(AND(D$4&gt;='2025'!$L302,D$4&lt;='2025'!$M302), D$4&lt;&gt;DATE(2025,7,4)), (SWITCH(weekday(D$4), 1, 0, 2, if(ISBLANK('2025'!$P302), 0, 1), 3, if(ISBLANK('2025'!$Q302), 0, 1), 4, if(ISBLANK('2025'!$R302), 0, 1), 5, if(ISBLANK('2025'!$S302), 0, 1), 6, if(ISBLANK('2025'!$T302), 0, 1), 7, 0))), 1, "")</f>
        <v/>
      </c>
      <c r="E304" s="1" t="str">
        <f>IF(AND(AND(AND(E$4&gt;='2025'!$L302,E$4&lt;='2025'!$M302), E$4&lt;&gt;DATE(2025,7,4)), (SWITCH(weekday(E$4), 1, 0, 2, if(ISBLANK('2025'!$P302), 0, 1), 3, if(ISBLANK('2025'!$Q302), 0, 1), 4, if(ISBLANK('2025'!$R302), 0, 1), 5, if(ISBLANK('2025'!$S302), 0, 1), 6, if(ISBLANK('2025'!$T302), 0, 1), 7, 0))), 1, "")</f>
        <v/>
      </c>
      <c r="F304" s="1" t="str">
        <f>IF(AND(AND(AND(F$4&gt;='2025'!$L302,F$4&lt;='2025'!$M302), F$4&lt;&gt;DATE(2025,7,4)), (SWITCH(weekday(F$4), 1, 0, 2, if(ISBLANK('2025'!$P302), 0, 1), 3, if(ISBLANK('2025'!$Q302), 0, 1), 4, if(ISBLANK('2025'!$R302), 0, 1), 5, if(ISBLANK('2025'!$S302), 0, 1), 6, if(ISBLANK('2025'!$T302), 0, 1), 7, 0))), 1, "")</f>
        <v/>
      </c>
      <c r="G304" s="1" t="str">
        <f>IF(AND(AND(AND(G$4&gt;='2025'!$L302,G$4&lt;='2025'!$M302), G$4&lt;&gt;DATE(2025,7,4)), (SWITCH(weekday(G$4), 1, 0, 2, if(ISBLANK('2025'!$P302), 0, 1), 3, if(ISBLANK('2025'!$Q302), 0, 1), 4, if(ISBLANK('2025'!$R302), 0, 1), 5, if(ISBLANK('2025'!$S302), 0, 1), 6, if(ISBLANK('2025'!$T302), 0, 1), 7, 0))), 1, "")</f>
        <v/>
      </c>
      <c r="H304" s="1" t="str">
        <f>IF(AND(AND(AND(H$4&gt;='2025'!$L302,H$4&lt;='2025'!$M302), H$4&lt;&gt;DATE(2025,7,4)), (SWITCH(weekday(H$4), 1, 0, 2, if(ISBLANK('2025'!$P302), 0, 1), 3, if(ISBLANK('2025'!$Q302), 0, 1), 4, if(ISBLANK('2025'!$R302), 0, 1), 5, if(ISBLANK('2025'!$S302), 0, 1), 6, if(ISBLANK('2025'!$T302), 0, 1), 7, 0))), 1, "")</f>
        <v/>
      </c>
      <c r="I304" s="1" t="str">
        <f>IF(AND(AND(AND(I$4&gt;='2025'!$L302,I$4&lt;='2025'!$M302), I$4&lt;&gt;DATE(2025,7,4)), (SWITCH(weekday(I$4), 1, 0, 2, if(ISBLANK('2025'!$P302), 0, 1), 3, if(ISBLANK('2025'!$Q302), 0, 1), 4, if(ISBLANK('2025'!$R302), 0, 1), 5, if(ISBLANK('2025'!$S302), 0, 1), 6, if(ISBLANK('2025'!$T302), 0, 1), 7, 0))), 1, "")</f>
        <v/>
      </c>
      <c r="J304" s="1" t="str">
        <f>IF(AND(AND(AND(J$4&gt;='2025'!$L302,J$4&lt;='2025'!$M302), J$4&lt;&gt;DATE(2025,7,4)), (SWITCH(weekday(J$4), 1, 0, 2, if(ISBLANK('2025'!$P302), 0, 1), 3, if(ISBLANK('2025'!$Q302), 0, 1), 4, if(ISBLANK('2025'!$R302), 0, 1), 5, if(ISBLANK('2025'!$S302), 0, 1), 6, if(ISBLANK('2025'!$T302), 0, 1), 7, 0))), 1, "")</f>
        <v/>
      </c>
      <c r="K304" s="1" t="str">
        <f>IF(AND(AND(AND(K$4&gt;='2025'!$L302,K$4&lt;='2025'!$M302), K$4&lt;&gt;DATE(2025,7,4)), (SWITCH(weekday(K$4), 1, 0, 2, if(ISBLANK('2025'!$P302), 0, 1), 3, if(ISBLANK('2025'!$Q302), 0, 1), 4, if(ISBLANK('2025'!$R302), 0, 1), 5, if(ISBLANK('2025'!$S302), 0, 1), 6, if(ISBLANK('2025'!$T302), 0, 1), 7, 0))), 1, "")</f>
        <v/>
      </c>
      <c r="L304" s="1" t="str">
        <f>IF(AND(AND(AND(L$4&gt;='2025'!$L302,L$4&lt;='2025'!$M302), L$4&lt;&gt;DATE(2025,7,4)), (SWITCH(weekday(L$4), 1, 0, 2, if(ISBLANK('2025'!$P302), 0, 1), 3, if(ISBLANK('2025'!$Q302), 0, 1), 4, if(ISBLANK('2025'!$R302), 0, 1), 5, if(ISBLANK('2025'!$S302), 0, 1), 6, if(ISBLANK('2025'!$T302), 0, 1), 7, 0))), 1, "")</f>
        <v/>
      </c>
      <c r="M304" s="1" t="str">
        <f>IF(AND(AND(AND(M$4&gt;='2025'!$L302,M$4&lt;='2025'!$M302), M$4&lt;&gt;DATE(2025,7,4)), (SWITCH(weekday(M$4), 1, 0, 2, if(ISBLANK('2025'!$P302), 0, 1), 3, if(ISBLANK('2025'!$Q302), 0, 1), 4, if(ISBLANK('2025'!$R302), 0, 1), 5, if(ISBLANK('2025'!$S302), 0, 1), 6, if(ISBLANK('2025'!$T302), 0, 1), 7, 0))), 1, "")</f>
        <v/>
      </c>
      <c r="N304" s="1" t="str">
        <f>IF(AND(AND(AND(N$4&gt;='2025'!$L302,N$4&lt;='2025'!$M302), N$4&lt;&gt;DATE(2025,7,4)), (SWITCH(weekday(N$4), 1, 0, 2, if(ISBLANK('2025'!$P302), 0, 1), 3, if(ISBLANK('2025'!$Q302), 0, 1), 4, if(ISBLANK('2025'!$R302), 0, 1), 5, if(ISBLANK('2025'!$S302), 0, 1), 6, if(ISBLANK('2025'!$T302), 0, 1), 7, 0))), 1, "")</f>
        <v/>
      </c>
      <c r="O304" s="1" t="str">
        <f>IF(AND(AND(AND(O$4&gt;='2025'!$L302,O$4&lt;='2025'!$M302), O$4&lt;&gt;DATE(2025,7,4)), (SWITCH(weekday(O$4), 1, 0, 2, if(ISBLANK('2025'!$P302), 0, 1), 3, if(ISBLANK('2025'!$Q302), 0, 1), 4, if(ISBLANK('2025'!$R302), 0, 1), 5, if(ISBLANK('2025'!$S302), 0, 1), 6, if(ISBLANK('2025'!$T302), 0, 1), 7, 0))), 1, "")</f>
        <v/>
      </c>
      <c r="P304" s="1" t="str">
        <f>IF(AND(AND(AND(P$4&gt;='2025'!$L302,P$4&lt;='2025'!$M302), P$4&lt;&gt;DATE(2025,7,4)), (SWITCH(weekday(P$4), 1, 0, 2, if(ISBLANK('2025'!$P302), 0, 1), 3, if(ISBLANK('2025'!$Q302), 0, 1), 4, if(ISBLANK('2025'!$R302), 0, 1), 5, if(ISBLANK('2025'!$S302), 0, 1), 6, if(ISBLANK('2025'!$T302), 0, 1), 7, 0))), 1, "")</f>
        <v/>
      </c>
      <c r="Q304" s="1" t="str">
        <f>IF(AND(AND(AND(Q$4&gt;='2025'!$L302,Q$4&lt;='2025'!$M302), Q$4&lt;&gt;DATE(2025,7,4)), (SWITCH(weekday(Q$4), 1, 0, 2, if(ISBLANK('2025'!$P302), 0, 1), 3, if(ISBLANK('2025'!$Q302), 0, 1), 4, if(ISBLANK('2025'!$R302), 0, 1), 5, if(ISBLANK('2025'!$S302), 0, 1), 6, if(ISBLANK('2025'!$T302), 0, 1), 7, 0))), 1, "")</f>
        <v/>
      </c>
      <c r="R304" s="1" t="str">
        <f>IF(AND(AND(AND(R$4&gt;='2025'!$L302,R$4&lt;='2025'!$M302), R$4&lt;&gt;DATE(2025,7,4)), (SWITCH(weekday(R$4), 1, 0, 2, if(ISBLANK('2025'!$P302), 0, 1), 3, if(ISBLANK('2025'!$Q302), 0, 1), 4, if(ISBLANK('2025'!$R302), 0, 1), 5, if(ISBLANK('2025'!$S302), 0, 1), 6, if(ISBLANK('2025'!$T302), 0, 1), 7, 0))), 1, "")</f>
        <v/>
      </c>
      <c r="S304" s="1" t="str">
        <f>IF(AND(AND(AND(S$4&gt;='2025'!$L302,S$4&lt;='2025'!$M302), S$4&lt;&gt;DATE(2025,7,4)), (SWITCH(weekday(S$4), 1, 0, 2, if(ISBLANK('2025'!$P302), 0, 1), 3, if(ISBLANK('2025'!$Q302), 0, 1), 4, if(ISBLANK('2025'!$R302), 0, 1), 5, if(ISBLANK('2025'!$S302), 0, 1), 6, if(ISBLANK('2025'!$T302), 0, 1), 7, 0))), 1, "")</f>
        <v/>
      </c>
      <c r="T304" s="1" t="str">
        <f>IF(AND(AND(AND(T$4&gt;='2025'!$L302,T$4&lt;='2025'!$M302), T$4&lt;&gt;DATE(2025,7,4)), (SWITCH(weekday(T$4), 1, 0, 2, if(ISBLANK('2025'!$P302), 0, 1), 3, if(ISBLANK('2025'!$Q302), 0, 1), 4, if(ISBLANK('2025'!$R302), 0, 1), 5, if(ISBLANK('2025'!$S302), 0, 1), 6, if(ISBLANK('2025'!$T302), 0, 1), 7, 0))), 1, "")</f>
        <v/>
      </c>
      <c r="U304" s="1" t="str">
        <f>IF(AND(AND(AND(U$4&gt;='2025'!$L302,U$4&lt;='2025'!$M302), U$4&lt;&gt;DATE(2025,7,4)), (SWITCH(weekday(U$4), 1, 0, 2, if(ISBLANK('2025'!$P302), 0, 1), 3, if(ISBLANK('2025'!$Q302), 0, 1), 4, if(ISBLANK('2025'!$R302), 0, 1), 5, if(ISBLANK('2025'!$S302), 0, 1), 6, if(ISBLANK('2025'!$T302), 0, 1), 7, 0))), 1, "")</f>
        <v/>
      </c>
      <c r="V304" s="1" t="str">
        <f>IF(AND(AND(AND(V$4&gt;='2025'!$L302,V$4&lt;='2025'!$M302), V$4&lt;&gt;DATE(2025,7,4)), (SWITCH(weekday(V$4), 1, 0, 2, if(ISBLANK('2025'!$P302), 0, 1), 3, if(ISBLANK('2025'!$Q302), 0, 1), 4, if(ISBLANK('2025'!$R302), 0, 1), 5, if(ISBLANK('2025'!$S302), 0, 1), 6, if(ISBLANK('2025'!$T302), 0, 1), 7, 0))), 1, "")</f>
        <v/>
      </c>
      <c r="W304" s="1" t="str">
        <f>IF(AND(AND(AND(W$4&gt;='2025'!$L302,W$4&lt;='2025'!$M302), W$4&lt;&gt;DATE(2025,7,4)), (SWITCH(weekday(W$4), 1, 0, 2, if(ISBLANK('2025'!$P302), 0, 1), 3, if(ISBLANK('2025'!$Q302), 0, 1), 4, if(ISBLANK('2025'!$R302), 0, 1), 5, if(ISBLANK('2025'!$S302), 0, 1), 6, if(ISBLANK('2025'!$T302), 0, 1), 7, 0))), 1, "")</f>
        <v/>
      </c>
      <c r="X304" s="1" t="str">
        <f>IF(AND(AND(AND(X$4&gt;='2025'!$L302,X$4&lt;='2025'!$M302), X$4&lt;&gt;DATE(2025,7,4)), (SWITCH(weekday(X$4), 1, 0, 2, if(ISBLANK('2025'!$P302), 0, 1), 3, if(ISBLANK('2025'!$Q302), 0, 1), 4, if(ISBLANK('2025'!$R302), 0, 1), 5, if(ISBLANK('2025'!$S302), 0, 1), 6, if(ISBLANK('2025'!$T302), 0, 1), 7, 0))), 1, "")</f>
        <v/>
      </c>
      <c r="Y304" s="1" t="str">
        <f>IF(AND(AND(AND(Y$4&gt;='2025'!$L302,Y$4&lt;='2025'!$M302), Y$4&lt;&gt;DATE(2025,7,4)), (SWITCH(weekday(Y$4), 1, 0, 2, if(ISBLANK('2025'!$P302), 0, 1), 3, if(ISBLANK('2025'!$Q302), 0, 1), 4, if(ISBLANK('2025'!$R302), 0, 1), 5, if(ISBLANK('2025'!$S302), 0, 1), 6, if(ISBLANK('2025'!$T302), 0, 1), 7, 0))), 1, "")</f>
        <v/>
      </c>
      <c r="Z304" s="1" t="str">
        <f>IF(AND(AND(AND(Z$4&gt;='2025'!$L302,Z$4&lt;='2025'!$M302), Z$4&lt;&gt;DATE(2025,7,4)), (SWITCH(weekday(Z$4), 1, 0, 2, if(ISBLANK('2025'!$P302), 0, 1), 3, if(ISBLANK('2025'!$Q302), 0, 1), 4, if(ISBLANK('2025'!$R302), 0, 1), 5, if(ISBLANK('2025'!$S302), 0, 1), 6, if(ISBLANK('2025'!$T302), 0, 1), 7, 0))), 1, "")</f>
        <v/>
      </c>
      <c r="AA304" s="1" t="str">
        <f>IF(AND(AND(AND(AA$4&gt;='2025'!$L302,AA$4&lt;='2025'!$M302), AA$4&lt;&gt;DATE(2025,7,4)), (SWITCH(weekday(AA$4), 1, 0, 2, if(ISBLANK('2025'!$P302), 0, 1), 3, if(ISBLANK('2025'!$Q302), 0, 1), 4, if(ISBLANK('2025'!$R302), 0, 1), 5, if(ISBLANK('2025'!$S302), 0, 1), 6, if(ISBLANK('2025'!$T302), 0, 1), 7, 0))), 1, "")</f>
        <v/>
      </c>
      <c r="AB304" s="1" t="str">
        <f>IF(AND(AND(AND(AB$4&gt;='2025'!$L302,AB$4&lt;='2025'!$M302), AB$4&lt;&gt;DATE(2025,7,4)), (SWITCH(weekday(AB$4), 1, 0, 2, if(ISBLANK('2025'!$P302), 0, 1), 3, if(ISBLANK('2025'!$Q302), 0, 1), 4, if(ISBLANK('2025'!$R302), 0, 1), 5, if(ISBLANK('2025'!$S302), 0, 1), 6, if(ISBLANK('2025'!$T302), 0, 1), 7, 0))), 1, "")</f>
        <v/>
      </c>
      <c r="AC304" s="1" t="str">
        <f>IF(AND(AND(AND(AC$4&gt;='2025'!$L302,AC$4&lt;='2025'!$M302), AC$4&lt;&gt;DATE(2025,7,4)), (SWITCH(weekday(AC$4), 1, 0, 2, if(ISBLANK('2025'!$P302), 0, 1), 3, if(ISBLANK('2025'!$Q302), 0, 1), 4, if(ISBLANK('2025'!$R302), 0, 1), 5, if(ISBLANK('2025'!$S302), 0, 1), 6, if(ISBLANK('2025'!$T302), 0, 1), 7, 0))), 1, "")</f>
        <v/>
      </c>
      <c r="AD304" s="1" t="str">
        <f>IF(AND(AND(AND(AD$4&gt;='2025'!$L302,AD$4&lt;='2025'!$M302), AD$4&lt;&gt;DATE(2025,7,4)), (SWITCH(weekday(AD$4), 1, 0, 2, if(ISBLANK('2025'!$P302), 0, 1), 3, if(ISBLANK('2025'!$Q302), 0, 1), 4, if(ISBLANK('2025'!$R302), 0, 1), 5, if(ISBLANK('2025'!$S302), 0, 1), 6, if(ISBLANK('2025'!$T302), 0, 1), 7, 0))), 1, "")</f>
        <v/>
      </c>
      <c r="AE304" s="1" t="str">
        <f>IF(AND(AND(AND(AE$4&gt;='2025'!$L302,AE$4&lt;='2025'!$M302), AE$4&lt;&gt;DATE(2025,7,4)), (SWITCH(weekday(AE$4), 1, 0, 2, if(ISBLANK('2025'!$P302), 0, 1), 3, if(ISBLANK('2025'!$Q302), 0, 1), 4, if(ISBLANK('2025'!$R302), 0, 1), 5, if(ISBLANK('2025'!$S302), 0, 1), 6, if(ISBLANK('2025'!$T302), 0, 1), 7, 0))), 1, "")</f>
        <v/>
      </c>
      <c r="AF304" s="1" t="str">
        <f>IF(AND(AND(AND(AF$4&gt;='2025'!$L302,AF$4&lt;='2025'!$M302), AF$4&lt;&gt;DATE(2025,7,4)), (SWITCH(weekday(AF$4), 1, 0, 2, if(ISBLANK('2025'!$P302), 0, 1), 3, if(ISBLANK('2025'!$Q302), 0, 1), 4, if(ISBLANK('2025'!$R302), 0, 1), 5, if(ISBLANK('2025'!$S302), 0, 1), 6, if(ISBLANK('2025'!$T302), 0, 1), 7, 0))), 1, "")</f>
        <v/>
      </c>
      <c r="AG304" s="1" t="str">
        <f>IF(AND(AND(AND(AG$4&gt;='2025'!$L302,AG$4&lt;='2025'!$M302), AG$4&lt;&gt;DATE(2025,7,4)), (SWITCH(weekday(AG$4), 1, 0, 2, if(ISBLANK('2025'!$P302), 0, 1), 3, if(ISBLANK('2025'!$Q302), 0, 1), 4, if(ISBLANK('2025'!$R302), 0, 1), 5, if(ISBLANK('2025'!$S302), 0, 1), 6, if(ISBLANK('2025'!$T302), 0, 1), 7, 0))), 1, "")</f>
        <v/>
      </c>
      <c r="AH304" s="1" t="str">
        <f>IF(AND(AND(AND(AH$4&gt;='2025'!$L302,AH$4&lt;='2025'!$M302), AH$4&lt;&gt;DATE(2025,7,4)), (SWITCH(weekday(AH$4), 1, 0, 2, if(ISBLANK('2025'!$P302), 0, 1), 3, if(ISBLANK('2025'!$Q302), 0, 1), 4, if(ISBLANK('2025'!$R302), 0, 1), 5, if(ISBLANK('2025'!$S302), 0, 1), 6, if(ISBLANK('2025'!$T302), 0, 1), 7, 0))), 1, "")</f>
        <v/>
      </c>
      <c r="AI304" s="1" t="str">
        <f>IF(AND(AND(AND(AI$4&gt;='2025'!$L302,AI$4&lt;='2025'!$M302), AI$4&lt;&gt;DATE(2025,7,4)), (SWITCH(weekday(AI$4), 1, 0, 2, if(ISBLANK('2025'!$P302), 0, 1), 3, if(ISBLANK('2025'!$Q302), 0, 1), 4, if(ISBLANK('2025'!$R302), 0, 1), 5, if(ISBLANK('2025'!$S302), 0, 1), 6, if(ISBLANK('2025'!$T302), 0, 1), 7, 0))), 1, "")</f>
        <v/>
      </c>
      <c r="AJ304" s="1" t="str">
        <f>IF(AND(AND(AND(AJ$4&gt;='2025'!$L302,AJ$4&lt;='2025'!$M302), AJ$4&lt;&gt;DATE(2025,7,4)), (SWITCH(weekday(AJ$4), 1, 0, 2, if(ISBLANK('2025'!$P302), 0, 1), 3, if(ISBLANK('2025'!$Q302), 0, 1), 4, if(ISBLANK('2025'!$R302), 0, 1), 5, if(ISBLANK('2025'!$S302), 0, 1), 6, if(ISBLANK('2025'!$T302), 0, 1), 7, 0))), 1, "")</f>
        <v/>
      </c>
      <c r="AK304" s="1" t="str">
        <f>IF(AND(AND(AND(AK$4&gt;='2025'!$L302,AK$4&lt;='2025'!$M302), AK$4&lt;&gt;DATE(2025,7,4)), (SWITCH(weekday(AK$4), 1, 0, 2, if(ISBLANK('2025'!$P302), 0, 1), 3, if(ISBLANK('2025'!$Q302), 0, 1), 4, if(ISBLANK('2025'!$R302), 0, 1), 5, if(ISBLANK('2025'!$S302), 0, 1), 6, if(ISBLANK('2025'!$T302), 0, 1), 7, 0))), 1, "")</f>
        <v/>
      </c>
      <c r="AL304" s="1" t="str">
        <f>IF(AND(AND(AND(AL$4&gt;='2025'!$L302,AL$4&lt;='2025'!$M302), AL$4&lt;&gt;DATE(2025,7,4)), (SWITCH(weekday(AL$4), 1, 0, 2, if(ISBLANK('2025'!$P302), 0, 1), 3, if(ISBLANK('2025'!$Q302), 0, 1), 4, if(ISBLANK('2025'!$R302), 0, 1), 5, if(ISBLANK('2025'!$S302), 0, 1), 6, if(ISBLANK('2025'!$T302), 0, 1), 7, 0))), 1, "")</f>
        <v/>
      </c>
      <c r="AM304" s="1" t="str">
        <f>IF(AND(AND(AND(AM$4&gt;='2025'!$L302,AM$4&lt;='2025'!$M302), AM$4&lt;&gt;DATE(2025,7,4)), (SWITCH(weekday(AM$4), 1, 0, 2, if(ISBLANK('2025'!$P302), 0, 1), 3, if(ISBLANK('2025'!$Q302), 0, 1), 4, if(ISBLANK('2025'!$R302), 0, 1), 5, if(ISBLANK('2025'!$S302), 0, 1), 6, if(ISBLANK('2025'!$T302), 0, 1), 7, 0))), 1, "")</f>
        <v/>
      </c>
      <c r="AN304" s="1" t="str">
        <f>IF(AND(AND(AND(AN$4&gt;='2025'!$L302,AN$4&lt;='2025'!$M302), AN$4&lt;&gt;DATE(2025,7,4)), (SWITCH(weekday(AN$4), 1, 0, 2, if(ISBLANK('2025'!$P302), 0, 1), 3, if(ISBLANK('2025'!$Q302), 0, 1), 4, if(ISBLANK('2025'!$R302), 0, 1), 5, if(ISBLANK('2025'!$S302), 0, 1), 6, if(ISBLANK('2025'!$T302), 0, 1), 7, 0))), 1, "")</f>
        <v/>
      </c>
      <c r="AO304" s="1" t="str">
        <f>IF(AND(AND(AND(AO$4&gt;='2025'!$L302,AO$4&lt;='2025'!$M302), AO$4&lt;&gt;DATE(2025,7,4)), (SWITCH(weekday(AO$4), 1, 0, 2, if(ISBLANK('2025'!$P302), 0, 1), 3, if(ISBLANK('2025'!$Q302), 0, 1), 4, if(ISBLANK('2025'!$R302), 0, 1), 5, if(ISBLANK('2025'!$S302), 0, 1), 6, if(ISBLANK('2025'!$T302), 0, 1), 7, 0))), 1, "")</f>
        <v/>
      </c>
      <c r="AP304" s="1" t="str">
        <f>IF(AND(AND(AND(AP$4&gt;='2025'!$L302,AP$4&lt;='2025'!$M302), AP$4&lt;&gt;DATE(2025,7,4)), (SWITCH(weekday(AP$4), 1, 0, 2, if(ISBLANK('2025'!$P302), 0, 1), 3, if(ISBLANK('2025'!$Q302), 0, 1), 4, if(ISBLANK('2025'!$R302), 0, 1), 5, if(ISBLANK('2025'!$S302), 0, 1), 6, if(ISBLANK('2025'!$T302), 0, 1), 7, 0))), 1, "")</f>
        <v/>
      </c>
      <c r="AQ304" s="1" t="str">
        <f>IF(AND(AND(AND(AQ$4&gt;='2025'!$L302,AQ$4&lt;='2025'!$M302), AQ$4&lt;&gt;DATE(2025,7,4)), (SWITCH(weekday(AQ$4), 1, 0, 2, if(ISBLANK('2025'!$P302), 0, 1), 3, if(ISBLANK('2025'!$Q302), 0, 1), 4, if(ISBLANK('2025'!$R302), 0, 1), 5, if(ISBLANK('2025'!$S302), 0, 1), 6, if(ISBLANK('2025'!$T302), 0, 1), 7, 0))), 1, "")</f>
        <v/>
      </c>
      <c r="AR304" s="1" t="str">
        <f>IF(AND(AND(AND(AR$4&gt;='2025'!$L302,AR$4&lt;='2025'!$M302), AR$4&lt;&gt;DATE(2025,7,4)), (SWITCH(weekday(AR$4), 1, 0, 2, if(ISBLANK('2025'!$P302), 0, 1), 3, if(ISBLANK('2025'!$Q302), 0, 1), 4, if(ISBLANK('2025'!$R302), 0, 1), 5, if(ISBLANK('2025'!$S302), 0, 1), 6, if(ISBLANK('2025'!$T302), 0, 1), 7, 0))), 1, "")</f>
        <v/>
      </c>
      <c r="AS304" s="1" t="str">
        <f>IF(AND(AND(AND(AS$4&gt;='2025'!$L302,AS$4&lt;='2025'!$M302), AS$4&lt;&gt;DATE(2025,7,4)), (SWITCH(weekday(AS$4), 1, 0, 2, if(ISBLANK('2025'!$P302), 0, 1), 3, if(ISBLANK('2025'!$Q302), 0, 1), 4, if(ISBLANK('2025'!$R302), 0, 1), 5, if(ISBLANK('2025'!$S302), 0, 1), 6, if(ISBLANK('2025'!$T302), 0, 1), 7, 0))), 1, "")</f>
        <v/>
      </c>
      <c r="AT304" s="1" t="str">
        <f>IF(AND(AND(AND(AT$4&gt;='2025'!$L302,AT$4&lt;='2025'!$M302), AT$4&lt;&gt;DATE(2025,7,4)), (SWITCH(weekday(AT$4), 1, 0, 2, if(ISBLANK('2025'!$P302), 0, 1), 3, if(ISBLANK('2025'!$Q302), 0, 1), 4, if(ISBLANK('2025'!$R302), 0, 1), 5, if(ISBLANK('2025'!$S302), 0, 1), 6, if(ISBLANK('2025'!$T302), 0, 1), 7, 0))), 1, "")</f>
        <v/>
      </c>
      <c r="AU304" s="1" t="str">
        <f>IF(AND(AND(AND(AU$4&gt;='2025'!$L302,AU$4&lt;='2025'!$M302), AU$4&lt;&gt;DATE(2025,7,4)), (SWITCH(weekday(AU$4), 1, 0, 2, if(ISBLANK('2025'!$P302), 0, 1), 3, if(ISBLANK('2025'!$Q302), 0, 1), 4, if(ISBLANK('2025'!$R302), 0, 1), 5, if(ISBLANK('2025'!$S302), 0, 1), 6, if(ISBLANK('2025'!$T302), 0, 1), 7, 0))), 1, "")</f>
        <v/>
      </c>
      <c r="AV304" s="1" t="str">
        <f>IF(AND(AND(AND(AV$4&gt;='2025'!$L302,AV$4&lt;='2025'!$M302), AV$4&lt;&gt;DATE(2025,7,4)), (SWITCH(weekday(AV$4), 1, 0, 2, if(ISBLANK('2025'!$P302), 0, 1), 3, if(ISBLANK('2025'!$Q302), 0, 1), 4, if(ISBLANK('2025'!$R302), 0, 1), 5, if(ISBLANK('2025'!$S302), 0, 1), 6, if(ISBLANK('2025'!$T302), 0, 1), 7, 0))), 1, "")</f>
        <v/>
      </c>
      <c r="AW304" s="1" t="str">
        <f>IF(AND(AND(AND(AW$4&gt;='2025'!$L302,AW$4&lt;='2025'!$M302), AW$4&lt;&gt;DATE(2025,7,4)), (SWITCH(weekday(AW$4), 1, 0, 2, if(ISBLANK('2025'!$P302), 0, 1), 3, if(ISBLANK('2025'!$Q302), 0, 1), 4, if(ISBLANK('2025'!$R302), 0, 1), 5, if(ISBLANK('2025'!$S302), 0, 1), 6, if(ISBLANK('2025'!$T302), 0, 1), 7, 0))), 1, "")</f>
        <v/>
      </c>
      <c r="AX304" s="1" t="str">
        <f>IF(AND(AND(AND(AX$4&gt;='2025'!$L302,AX$4&lt;='2025'!$M302), AX$4&lt;&gt;DATE(2025,7,4)), (SWITCH(weekday(AX$4), 1, 0, 2, if(ISBLANK('2025'!$P302), 0, 1), 3, if(ISBLANK('2025'!$Q302), 0, 1), 4, if(ISBLANK('2025'!$R302), 0, 1), 5, if(ISBLANK('2025'!$S302), 0, 1), 6, if(ISBLANK('2025'!$T302), 0, 1), 7, 0))), 1, "")</f>
        <v/>
      </c>
      <c r="AY304" s="1" t="str">
        <f>IF(AND(AND(AND(AY$4&gt;='2025'!$L302,AY$4&lt;='2025'!$M302), AY$4&lt;&gt;DATE(2025,7,4)), (SWITCH(weekday(AY$4), 1, 0, 2, if(ISBLANK('2025'!$P302), 0, 1), 3, if(ISBLANK('2025'!$Q302), 0, 1), 4, if(ISBLANK('2025'!$R302), 0, 1), 5, if(ISBLANK('2025'!$S302), 0, 1), 6, if(ISBLANK('2025'!$T302), 0, 1), 7, 0))), 1, "")</f>
        <v/>
      </c>
      <c r="AZ304" s="1" t="str">
        <f>IF(AND(AND(AND(AZ$4&gt;='2025'!$L302,AZ$4&lt;='2025'!$M302), AZ$4&lt;&gt;DATE(2025,7,4)), (SWITCH(weekday(AZ$4), 1, 0, 2, if(ISBLANK('2025'!$P302), 0, 1), 3, if(ISBLANK('2025'!$Q302), 0, 1), 4, if(ISBLANK('2025'!$R302), 0, 1), 5, if(ISBLANK('2025'!$S302), 0, 1), 6, if(ISBLANK('2025'!$T302), 0, 1), 7, 0))), 1, "")</f>
        <v/>
      </c>
      <c r="BA304" s="1" t="str">
        <f>IF(AND(AND(AND(BA$4&gt;='2025'!$L302,BA$4&lt;='2025'!$M302), BA$4&lt;&gt;DATE(2025,7,4)), (SWITCH(weekday(BA$4), 1, 0, 2, if(ISBLANK('2025'!$P302), 0, 1), 3, if(ISBLANK('2025'!$Q302), 0, 1), 4, if(ISBLANK('2025'!$R302), 0, 1), 5, if(ISBLANK('2025'!$S302), 0, 1), 6, if(ISBLANK('2025'!$T302), 0, 1), 7, 0))), 1, "")</f>
        <v/>
      </c>
      <c r="BB304" s="1" t="str">
        <f>IF(AND(AND(AND(BB$4&gt;='2025'!$L302,BB$4&lt;='2025'!$M302), BB$4&lt;&gt;DATE(2025,7,4)), (SWITCH(weekday(BB$4), 1, 0, 2, if(ISBLANK('2025'!$P302), 0, 1), 3, if(ISBLANK('2025'!$Q302), 0, 1), 4, if(ISBLANK('2025'!$R302), 0, 1), 5, if(ISBLANK('2025'!$S302), 0, 1), 6, if(ISBLANK('2025'!$T302), 0, 1), 7, 0))), 1, "")</f>
        <v/>
      </c>
      <c r="BC304" s="1" t="str">
        <f>IF(AND(AND(AND(BC$4&gt;='2025'!$L302,BC$4&lt;='2025'!$M302), BC$4&lt;&gt;DATE(2025,7,4)), (SWITCH(weekday(BC$4), 1, 0, 2, if(ISBLANK('2025'!$P302), 0, 1), 3, if(ISBLANK('2025'!$Q302), 0, 1), 4, if(ISBLANK('2025'!$R302), 0, 1), 5, if(ISBLANK('2025'!$S302), 0, 1), 6, if(ISBLANK('2025'!$T302), 0, 1), 7, 0))), 1, "")</f>
        <v/>
      </c>
      <c r="BD304" s="1" t="str">
        <f>IF(AND(AND(AND(BD$4&gt;='2025'!$L302,BD$4&lt;='2025'!$M302), BD$4&lt;&gt;DATE(2025,7,4)), (SWITCH(weekday(BD$4), 1, 0, 2, if(ISBLANK('2025'!$P302), 0, 1), 3, if(ISBLANK('2025'!$Q302), 0, 1), 4, if(ISBLANK('2025'!$R302), 0, 1), 5, if(ISBLANK('2025'!$S302), 0, 1), 6, if(ISBLANK('2025'!$T302), 0, 1), 7, 0))), 1, "")</f>
        <v/>
      </c>
      <c r="BE304" s="1" t="str">
        <f>IF(AND(AND(AND(BE$4&gt;='2025'!$L302,BE$4&lt;='2025'!$M302), BE$4&lt;&gt;DATE(2025,7,4)), (SWITCH(weekday(BE$4), 1, 0, 2, if(ISBLANK('2025'!$P302), 0, 1), 3, if(ISBLANK('2025'!$Q302), 0, 1), 4, if(ISBLANK('2025'!$R302), 0, 1), 5, if(ISBLANK('2025'!$S302), 0, 1), 6, if(ISBLANK('2025'!$T302), 0, 1), 7, 0))), 1, "")</f>
        <v/>
      </c>
      <c r="BF304" s="1" t="str">
        <f>IF(AND(AND(AND(BF$4&gt;='2025'!$L302,BF$4&lt;='2025'!$M302), BF$4&lt;&gt;DATE(2025,7,4)), (SWITCH(weekday(BF$4), 1, 0, 2, if(ISBLANK('2025'!$P302), 0, 1), 3, if(ISBLANK('2025'!$Q302), 0, 1), 4, if(ISBLANK('2025'!$R302), 0, 1), 5, if(ISBLANK('2025'!$S302), 0, 1), 6, if(ISBLANK('2025'!$T302), 0, 1), 7, 0))), 1, "")</f>
        <v/>
      </c>
      <c r="BG304" s="1"/>
      <c r="BH304" s="1"/>
      <c r="BI304" s="1"/>
      <c r="BJ304" s="1"/>
      <c r="BK304" s="1"/>
      <c r="BL304" s="1"/>
    </row>
    <row r="305">
      <c r="A305" s="1">
        <f t="shared" si="3"/>
        <v>305</v>
      </c>
      <c r="B305" s="1" t="str">
        <f>'2025'!D269</f>
        <v>, </v>
      </c>
      <c r="C305" s="1" t="str">
        <f>'2025'!H269</f>
        <v/>
      </c>
      <c r="D305" s="1" t="str">
        <f>IF(AND(AND(AND(D$4&gt;='2025'!$L303,D$4&lt;='2025'!$M303), D$4&lt;&gt;DATE(2025,7,4)), (SWITCH(weekday(D$4), 1, 0, 2, if(ISBLANK('2025'!$P303), 0, 1), 3, if(ISBLANK('2025'!$Q303), 0, 1), 4, if(ISBLANK('2025'!$R303), 0, 1), 5, if(ISBLANK('2025'!$S303), 0, 1), 6, if(ISBLANK('2025'!$T303), 0, 1), 7, 0))), 1, "")</f>
        <v/>
      </c>
      <c r="E305" s="1" t="str">
        <f>IF(AND(AND(AND(E$4&gt;='2025'!$L303,E$4&lt;='2025'!$M303), E$4&lt;&gt;DATE(2025,7,4)), (SWITCH(weekday(E$4), 1, 0, 2, if(ISBLANK('2025'!$P303), 0, 1), 3, if(ISBLANK('2025'!$Q303), 0, 1), 4, if(ISBLANK('2025'!$R303), 0, 1), 5, if(ISBLANK('2025'!$S303), 0, 1), 6, if(ISBLANK('2025'!$T303), 0, 1), 7, 0))), 1, "")</f>
        <v/>
      </c>
      <c r="F305" s="1" t="str">
        <f>IF(AND(AND(AND(F$4&gt;='2025'!$L303,F$4&lt;='2025'!$M303), F$4&lt;&gt;DATE(2025,7,4)), (SWITCH(weekday(F$4), 1, 0, 2, if(ISBLANK('2025'!$P303), 0, 1), 3, if(ISBLANK('2025'!$Q303), 0, 1), 4, if(ISBLANK('2025'!$R303), 0, 1), 5, if(ISBLANK('2025'!$S303), 0, 1), 6, if(ISBLANK('2025'!$T303), 0, 1), 7, 0))), 1, "")</f>
        <v/>
      </c>
      <c r="G305" s="1" t="str">
        <f>IF(AND(AND(AND(G$4&gt;='2025'!$L303,G$4&lt;='2025'!$M303), G$4&lt;&gt;DATE(2025,7,4)), (SWITCH(weekday(G$4), 1, 0, 2, if(ISBLANK('2025'!$P303), 0, 1), 3, if(ISBLANK('2025'!$Q303), 0, 1), 4, if(ISBLANK('2025'!$R303), 0, 1), 5, if(ISBLANK('2025'!$S303), 0, 1), 6, if(ISBLANK('2025'!$T303), 0, 1), 7, 0))), 1, "")</f>
        <v/>
      </c>
      <c r="H305" s="1" t="str">
        <f>IF(AND(AND(AND(H$4&gt;='2025'!$L303,H$4&lt;='2025'!$M303), H$4&lt;&gt;DATE(2025,7,4)), (SWITCH(weekday(H$4), 1, 0, 2, if(ISBLANK('2025'!$P303), 0, 1), 3, if(ISBLANK('2025'!$Q303), 0, 1), 4, if(ISBLANK('2025'!$R303), 0, 1), 5, if(ISBLANK('2025'!$S303), 0, 1), 6, if(ISBLANK('2025'!$T303), 0, 1), 7, 0))), 1, "")</f>
        <v/>
      </c>
      <c r="I305" s="1" t="str">
        <f>IF(AND(AND(AND(I$4&gt;='2025'!$L303,I$4&lt;='2025'!$M303), I$4&lt;&gt;DATE(2025,7,4)), (SWITCH(weekday(I$4), 1, 0, 2, if(ISBLANK('2025'!$P303), 0, 1), 3, if(ISBLANK('2025'!$Q303), 0, 1), 4, if(ISBLANK('2025'!$R303), 0, 1), 5, if(ISBLANK('2025'!$S303), 0, 1), 6, if(ISBLANK('2025'!$T303), 0, 1), 7, 0))), 1, "")</f>
        <v/>
      </c>
      <c r="J305" s="1" t="str">
        <f>IF(AND(AND(AND(J$4&gt;='2025'!$L303,J$4&lt;='2025'!$M303), J$4&lt;&gt;DATE(2025,7,4)), (SWITCH(weekday(J$4), 1, 0, 2, if(ISBLANK('2025'!$P303), 0, 1), 3, if(ISBLANK('2025'!$Q303), 0, 1), 4, if(ISBLANK('2025'!$R303), 0, 1), 5, if(ISBLANK('2025'!$S303), 0, 1), 6, if(ISBLANK('2025'!$T303), 0, 1), 7, 0))), 1, "")</f>
        <v/>
      </c>
      <c r="K305" s="1" t="str">
        <f>IF(AND(AND(AND(K$4&gt;='2025'!$L303,K$4&lt;='2025'!$M303), K$4&lt;&gt;DATE(2025,7,4)), (SWITCH(weekday(K$4), 1, 0, 2, if(ISBLANK('2025'!$P303), 0, 1), 3, if(ISBLANK('2025'!$Q303), 0, 1), 4, if(ISBLANK('2025'!$R303), 0, 1), 5, if(ISBLANK('2025'!$S303), 0, 1), 6, if(ISBLANK('2025'!$T303), 0, 1), 7, 0))), 1, "")</f>
        <v/>
      </c>
      <c r="L305" s="1" t="str">
        <f>IF(AND(AND(AND(L$4&gt;='2025'!$L303,L$4&lt;='2025'!$M303), L$4&lt;&gt;DATE(2025,7,4)), (SWITCH(weekday(L$4), 1, 0, 2, if(ISBLANK('2025'!$P303), 0, 1), 3, if(ISBLANK('2025'!$Q303), 0, 1), 4, if(ISBLANK('2025'!$R303), 0, 1), 5, if(ISBLANK('2025'!$S303), 0, 1), 6, if(ISBLANK('2025'!$T303), 0, 1), 7, 0))), 1, "")</f>
        <v/>
      </c>
      <c r="M305" s="1" t="str">
        <f>IF(AND(AND(AND(M$4&gt;='2025'!$L303,M$4&lt;='2025'!$M303), M$4&lt;&gt;DATE(2025,7,4)), (SWITCH(weekday(M$4), 1, 0, 2, if(ISBLANK('2025'!$P303), 0, 1), 3, if(ISBLANK('2025'!$Q303), 0, 1), 4, if(ISBLANK('2025'!$R303), 0, 1), 5, if(ISBLANK('2025'!$S303), 0, 1), 6, if(ISBLANK('2025'!$T303), 0, 1), 7, 0))), 1, "")</f>
        <v/>
      </c>
      <c r="N305" s="1" t="str">
        <f>IF(AND(AND(AND(N$4&gt;='2025'!$L303,N$4&lt;='2025'!$M303), N$4&lt;&gt;DATE(2025,7,4)), (SWITCH(weekday(N$4), 1, 0, 2, if(ISBLANK('2025'!$P303), 0, 1), 3, if(ISBLANK('2025'!$Q303), 0, 1), 4, if(ISBLANK('2025'!$R303), 0, 1), 5, if(ISBLANK('2025'!$S303), 0, 1), 6, if(ISBLANK('2025'!$T303), 0, 1), 7, 0))), 1, "")</f>
        <v/>
      </c>
      <c r="O305" s="1" t="str">
        <f>IF(AND(AND(AND(O$4&gt;='2025'!$L303,O$4&lt;='2025'!$M303), O$4&lt;&gt;DATE(2025,7,4)), (SWITCH(weekday(O$4), 1, 0, 2, if(ISBLANK('2025'!$P303), 0, 1), 3, if(ISBLANK('2025'!$Q303), 0, 1), 4, if(ISBLANK('2025'!$R303), 0, 1), 5, if(ISBLANK('2025'!$S303), 0, 1), 6, if(ISBLANK('2025'!$T303), 0, 1), 7, 0))), 1, "")</f>
        <v/>
      </c>
      <c r="P305" s="1" t="str">
        <f>IF(AND(AND(AND(P$4&gt;='2025'!$L303,P$4&lt;='2025'!$M303), P$4&lt;&gt;DATE(2025,7,4)), (SWITCH(weekday(P$4), 1, 0, 2, if(ISBLANK('2025'!$P303), 0, 1), 3, if(ISBLANK('2025'!$Q303), 0, 1), 4, if(ISBLANK('2025'!$R303), 0, 1), 5, if(ISBLANK('2025'!$S303), 0, 1), 6, if(ISBLANK('2025'!$T303), 0, 1), 7, 0))), 1, "")</f>
        <v/>
      </c>
      <c r="Q305" s="1" t="str">
        <f>IF(AND(AND(AND(Q$4&gt;='2025'!$L303,Q$4&lt;='2025'!$M303), Q$4&lt;&gt;DATE(2025,7,4)), (SWITCH(weekday(Q$4), 1, 0, 2, if(ISBLANK('2025'!$P303), 0, 1), 3, if(ISBLANK('2025'!$Q303), 0, 1), 4, if(ISBLANK('2025'!$R303), 0, 1), 5, if(ISBLANK('2025'!$S303), 0, 1), 6, if(ISBLANK('2025'!$T303), 0, 1), 7, 0))), 1, "")</f>
        <v/>
      </c>
      <c r="R305" s="1" t="str">
        <f>IF(AND(AND(AND(R$4&gt;='2025'!$L303,R$4&lt;='2025'!$M303), R$4&lt;&gt;DATE(2025,7,4)), (SWITCH(weekday(R$4), 1, 0, 2, if(ISBLANK('2025'!$P303), 0, 1), 3, if(ISBLANK('2025'!$Q303), 0, 1), 4, if(ISBLANK('2025'!$R303), 0, 1), 5, if(ISBLANK('2025'!$S303), 0, 1), 6, if(ISBLANK('2025'!$T303), 0, 1), 7, 0))), 1, "")</f>
        <v/>
      </c>
      <c r="S305" s="1" t="str">
        <f>IF(AND(AND(AND(S$4&gt;='2025'!$L303,S$4&lt;='2025'!$M303), S$4&lt;&gt;DATE(2025,7,4)), (SWITCH(weekday(S$4), 1, 0, 2, if(ISBLANK('2025'!$P303), 0, 1), 3, if(ISBLANK('2025'!$Q303), 0, 1), 4, if(ISBLANK('2025'!$R303), 0, 1), 5, if(ISBLANK('2025'!$S303), 0, 1), 6, if(ISBLANK('2025'!$T303), 0, 1), 7, 0))), 1, "")</f>
        <v/>
      </c>
      <c r="T305" s="1" t="str">
        <f>IF(AND(AND(AND(T$4&gt;='2025'!$L303,T$4&lt;='2025'!$M303), T$4&lt;&gt;DATE(2025,7,4)), (SWITCH(weekday(T$4), 1, 0, 2, if(ISBLANK('2025'!$P303), 0, 1), 3, if(ISBLANK('2025'!$Q303), 0, 1), 4, if(ISBLANK('2025'!$R303), 0, 1), 5, if(ISBLANK('2025'!$S303), 0, 1), 6, if(ISBLANK('2025'!$T303), 0, 1), 7, 0))), 1, "")</f>
        <v/>
      </c>
      <c r="U305" s="1" t="str">
        <f>IF(AND(AND(AND(U$4&gt;='2025'!$L303,U$4&lt;='2025'!$M303), U$4&lt;&gt;DATE(2025,7,4)), (SWITCH(weekday(U$4), 1, 0, 2, if(ISBLANK('2025'!$P303), 0, 1), 3, if(ISBLANK('2025'!$Q303), 0, 1), 4, if(ISBLANK('2025'!$R303), 0, 1), 5, if(ISBLANK('2025'!$S303), 0, 1), 6, if(ISBLANK('2025'!$T303), 0, 1), 7, 0))), 1, "")</f>
        <v/>
      </c>
      <c r="V305" s="1" t="str">
        <f>IF(AND(AND(AND(V$4&gt;='2025'!$L303,V$4&lt;='2025'!$M303), V$4&lt;&gt;DATE(2025,7,4)), (SWITCH(weekday(V$4), 1, 0, 2, if(ISBLANK('2025'!$P303), 0, 1), 3, if(ISBLANK('2025'!$Q303), 0, 1), 4, if(ISBLANK('2025'!$R303), 0, 1), 5, if(ISBLANK('2025'!$S303), 0, 1), 6, if(ISBLANK('2025'!$T303), 0, 1), 7, 0))), 1, "")</f>
        <v/>
      </c>
      <c r="W305" s="1" t="str">
        <f>IF(AND(AND(AND(W$4&gt;='2025'!$L303,W$4&lt;='2025'!$M303), W$4&lt;&gt;DATE(2025,7,4)), (SWITCH(weekday(W$4), 1, 0, 2, if(ISBLANK('2025'!$P303), 0, 1), 3, if(ISBLANK('2025'!$Q303), 0, 1), 4, if(ISBLANK('2025'!$R303), 0, 1), 5, if(ISBLANK('2025'!$S303), 0, 1), 6, if(ISBLANK('2025'!$T303), 0, 1), 7, 0))), 1, "")</f>
        <v/>
      </c>
      <c r="X305" s="1" t="str">
        <f>IF(AND(AND(AND(X$4&gt;='2025'!$L303,X$4&lt;='2025'!$M303), X$4&lt;&gt;DATE(2025,7,4)), (SWITCH(weekday(X$4), 1, 0, 2, if(ISBLANK('2025'!$P303), 0, 1), 3, if(ISBLANK('2025'!$Q303), 0, 1), 4, if(ISBLANK('2025'!$R303), 0, 1), 5, if(ISBLANK('2025'!$S303), 0, 1), 6, if(ISBLANK('2025'!$T303), 0, 1), 7, 0))), 1, "")</f>
        <v/>
      </c>
      <c r="Y305" s="1" t="str">
        <f>IF(AND(AND(AND(Y$4&gt;='2025'!$L303,Y$4&lt;='2025'!$M303), Y$4&lt;&gt;DATE(2025,7,4)), (SWITCH(weekday(Y$4), 1, 0, 2, if(ISBLANK('2025'!$P303), 0, 1), 3, if(ISBLANK('2025'!$Q303), 0, 1), 4, if(ISBLANK('2025'!$R303), 0, 1), 5, if(ISBLANK('2025'!$S303), 0, 1), 6, if(ISBLANK('2025'!$T303), 0, 1), 7, 0))), 1, "")</f>
        <v/>
      </c>
      <c r="Z305" s="1" t="str">
        <f>IF(AND(AND(AND(Z$4&gt;='2025'!$L303,Z$4&lt;='2025'!$M303), Z$4&lt;&gt;DATE(2025,7,4)), (SWITCH(weekday(Z$4), 1, 0, 2, if(ISBLANK('2025'!$P303), 0, 1), 3, if(ISBLANK('2025'!$Q303), 0, 1), 4, if(ISBLANK('2025'!$R303), 0, 1), 5, if(ISBLANK('2025'!$S303), 0, 1), 6, if(ISBLANK('2025'!$T303), 0, 1), 7, 0))), 1, "")</f>
        <v/>
      </c>
      <c r="AA305" s="1" t="str">
        <f>IF(AND(AND(AND(AA$4&gt;='2025'!$L303,AA$4&lt;='2025'!$M303), AA$4&lt;&gt;DATE(2025,7,4)), (SWITCH(weekday(AA$4), 1, 0, 2, if(ISBLANK('2025'!$P303), 0, 1), 3, if(ISBLANK('2025'!$Q303), 0, 1), 4, if(ISBLANK('2025'!$R303), 0, 1), 5, if(ISBLANK('2025'!$S303), 0, 1), 6, if(ISBLANK('2025'!$T303), 0, 1), 7, 0))), 1, "")</f>
        <v/>
      </c>
      <c r="AB305" s="1" t="str">
        <f>IF(AND(AND(AND(AB$4&gt;='2025'!$L303,AB$4&lt;='2025'!$M303), AB$4&lt;&gt;DATE(2025,7,4)), (SWITCH(weekday(AB$4), 1, 0, 2, if(ISBLANK('2025'!$P303), 0, 1), 3, if(ISBLANK('2025'!$Q303), 0, 1), 4, if(ISBLANK('2025'!$R303), 0, 1), 5, if(ISBLANK('2025'!$S303), 0, 1), 6, if(ISBLANK('2025'!$T303), 0, 1), 7, 0))), 1, "")</f>
        <v/>
      </c>
      <c r="AC305" s="1" t="str">
        <f>IF(AND(AND(AND(AC$4&gt;='2025'!$L303,AC$4&lt;='2025'!$M303), AC$4&lt;&gt;DATE(2025,7,4)), (SWITCH(weekday(AC$4), 1, 0, 2, if(ISBLANK('2025'!$P303), 0, 1), 3, if(ISBLANK('2025'!$Q303), 0, 1), 4, if(ISBLANK('2025'!$R303), 0, 1), 5, if(ISBLANK('2025'!$S303), 0, 1), 6, if(ISBLANK('2025'!$T303), 0, 1), 7, 0))), 1, "")</f>
        <v/>
      </c>
      <c r="AD305" s="1" t="str">
        <f>IF(AND(AND(AND(AD$4&gt;='2025'!$L303,AD$4&lt;='2025'!$M303), AD$4&lt;&gt;DATE(2025,7,4)), (SWITCH(weekday(AD$4), 1, 0, 2, if(ISBLANK('2025'!$P303), 0, 1), 3, if(ISBLANK('2025'!$Q303), 0, 1), 4, if(ISBLANK('2025'!$R303), 0, 1), 5, if(ISBLANK('2025'!$S303), 0, 1), 6, if(ISBLANK('2025'!$T303), 0, 1), 7, 0))), 1, "")</f>
        <v/>
      </c>
      <c r="AE305" s="1" t="str">
        <f>IF(AND(AND(AND(AE$4&gt;='2025'!$L303,AE$4&lt;='2025'!$M303), AE$4&lt;&gt;DATE(2025,7,4)), (SWITCH(weekday(AE$4), 1, 0, 2, if(ISBLANK('2025'!$P303), 0, 1), 3, if(ISBLANK('2025'!$Q303), 0, 1), 4, if(ISBLANK('2025'!$R303), 0, 1), 5, if(ISBLANK('2025'!$S303), 0, 1), 6, if(ISBLANK('2025'!$T303), 0, 1), 7, 0))), 1, "")</f>
        <v/>
      </c>
      <c r="AF305" s="1" t="str">
        <f>IF(AND(AND(AND(AF$4&gt;='2025'!$L303,AF$4&lt;='2025'!$M303), AF$4&lt;&gt;DATE(2025,7,4)), (SWITCH(weekday(AF$4), 1, 0, 2, if(ISBLANK('2025'!$P303), 0, 1), 3, if(ISBLANK('2025'!$Q303), 0, 1), 4, if(ISBLANK('2025'!$R303), 0, 1), 5, if(ISBLANK('2025'!$S303), 0, 1), 6, if(ISBLANK('2025'!$T303), 0, 1), 7, 0))), 1, "")</f>
        <v/>
      </c>
      <c r="AG305" s="1" t="str">
        <f>IF(AND(AND(AND(AG$4&gt;='2025'!$L303,AG$4&lt;='2025'!$M303), AG$4&lt;&gt;DATE(2025,7,4)), (SWITCH(weekday(AG$4), 1, 0, 2, if(ISBLANK('2025'!$P303), 0, 1), 3, if(ISBLANK('2025'!$Q303), 0, 1), 4, if(ISBLANK('2025'!$R303), 0, 1), 5, if(ISBLANK('2025'!$S303), 0, 1), 6, if(ISBLANK('2025'!$T303), 0, 1), 7, 0))), 1, "")</f>
        <v/>
      </c>
      <c r="AH305" s="1" t="str">
        <f>IF(AND(AND(AND(AH$4&gt;='2025'!$L303,AH$4&lt;='2025'!$M303), AH$4&lt;&gt;DATE(2025,7,4)), (SWITCH(weekday(AH$4), 1, 0, 2, if(ISBLANK('2025'!$P303), 0, 1), 3, if(ISBLANK('2025'!$Q303), 0, 1), 4, if(ISBLANK('2025'!$R303), 0, 1), 5, if(ISBLANK('2025'!$S303), 0, 1), 6, if(ISBLANK('2025'!$T303), 0, 1), 7, 0))), 1, "")</f>
        <v/>
      </c>
      <c r="AI305" s="1" t="str">
        <f>IF(AND(AND(AND(AI$4&gt;='2025'!$L303,AI$4&lt;='2025'!$M303), AI$4&lt;&gt;DATE(2025,7,4)), (SWITCH(weekday(AI$4), 1, 0, 2, if(ISBLANK('2025'!$P303), 0, 1), 3, if(ISBLANK('2025'!$Q303), 0, 1), 4, if(ISBLANK('2025'!$R303), 0, 1), 5, if(ISBLANK('2025'!$S303), 0, 1), 6, if(ISBLANK('2025'!$T303), 0, 1), 7, 0))), 1, "")</f>
        <v/>
      </c>
      <c r="AJ305" s="1" t="str">
        <f>IF(AND(AND(AND(AJ$4&gt;='2025'!$L303,AJ$4&lt;='2025'!$M303), AJ$4&lt;&gt;DATE(2025,7,4)), (SWITCH(weekday(AJ$4), 1, 0, 2, if(ISBLANK('2025'!$P303), 0, 1), 3, if(ISBLANK('2025'!$Q303), 0, 1), 4, if(ISBLANK('2025'!$R303), 0, 1), 5, if(ISBLANK('2025'!$S303), 0, 1), 6, if(ISBLANK('2025'!$T303), 0, 1), 7, 0))), 1, "")</f>
        <v/>
      </c>
      <c r="AK305" s="1" t="str">
        <f>IF(AND(AND(AND(AK$4&gt;='2025'!$L303,AK$4&lt;='2025'!$M303), AK$4&lt;&gt;DATE(2025,7,4)), (SWITCH(weekday(AK$4), 1, 0, 2, if(ISBLANK('2025'!$P303), 0, 1), 3, if(ISBLANK('2025'!$Q303), 0, 1), 4, if(ISBLANK('2025'!$R303), 0, 1), 5, if(ISBLANK('2025'!$S303), 0, 1), 6, if(ISBLANK('2025'!$T303), 0, 1), 7, 0))), 1, "")</f>
        <v/>
      </c>
      <c r="AL305" s="1" t="str">
        <f>IF(AND(AND(AND(AL$4&gt;='2025'!$L303,AL$4&lt;='2025'!$M303), AL$4&lt;&gt;DATE(2025,7,4)), (SWITCH(weekday(AL$4), 1, 0, 2, if(ISBLANK('2025'!$P303), 0, 1), 3, if(ISBLANK('2025'!$Q303), 0, 1), 4, if(ISBLANK('2025'!$R303), 0, 1), 5, if(ISBLANK('2025'!$S303), 0, 1), 6, if(ISBLANK('2025'!$T303), 0, 1), 7, 0))), 1, "")</f>
        <v/>
      </c>
      <c r="AM305" s="1" t="str">
        <f>IF(AND(AND(AND(AM$4&gt;='2025'!$L303,AM$4&lt;='2025'!$M303), AM$4&lt;&gt;DATE(2025,7,4)), (SWITCH(weekday(AM$4), 1, 0, 2, if(ISBLANK('2025'!$P303), 0, 1), 3, if(ISBLANK('2025'!$Q303), 0, 1), 4, if(ISBLANK('2025'!$R303), 0, 1), 5, if(ISBLANK('2025'!$S303), 0, 1), 6, if(ISBLANK('2025'!$T303), 0, 1), 7, 0))), 1, "")</f>
        <v/>
      </c>
      <c r="AN305" s="1" t="str">
        <f>IF(AND(AND(AND(AN$4&gt;='2025'!$L303,AN$4&lt;='2025'!$M303), AN$4&lt;&gt;DATE(2025,7,4)), (SWITCH(weekday(AN$4), 1, 0, 2, if(ISBLANK('2025'!$P303), 0, 1), 3, if(ISBLANK('2025'!$Q303), 0, 1), 4, if(ISBLANK('2025'!$R303), 0, 1), 5, if(ISBLANK('2025'!$S303), 0, 1), 6, if(ISBLANK('2025'!$T303), 0, 1), 7, 0))), 1, "")</f>
        <v/>
      </c>
      <c r="AO305" s="1" t="str">
        <f>IF(AND(AND(AND(AO$4&gt;='2025'!$L303,AO$4&lt;='2025'!$M303), AO$4&lt;&gt;DATE(2025,7,4)), (SWITCH(weekday(AO$4), 1, 0, 2, if(ISBLANK('2025'!$P303), 0, 1), 3, if(ISBLANK('2025'!$Q303), 0, 1), 4, if(ISBLANK('2025'!$R303), 0, 1), 5, if(ISBLANK('2025'!$S303), 0, 1), 6, if(ISBLANK('2025'!$T303), 0, 1), 7, 0))), 1, "")</f>
        <v/>
      </c>
      <c r="AP305" s="1" t="str">
        <f>IF(AND(AND(AND(AP$4&gt;='2025'!$L303,AP$4&lt;='2025'!$M303), AP$4&lt;&gt;DATE(2025,7,4)), (SWITCH(weekday(AP$4), 1, 0, 2, if(ISBLANK('2025'!$P303), 0, 1), 3, if(ISBLANK('2025'!$Q303), 0, 1), 4, if(ISBLANK('2025'!$R303), 0, 1), 5, if(ISBLANK('2025'!$S303), 0, 1), 6, if(ISBLANK('2025'!$T303), 0, 1), 7, 0))), 1, "")</f>
        <v/>
      </c>
      <c r="AQ305" s="1" t="str">
        <f>IF(AND(AND(AND(AQ$4&gt;='2025'!$L303,AQ$4&lt;='2025'!$M303), AQ$4&lt;&gt;DATE(2025,7,4)), (SWITCH(weekday(AQ$4), 1, 0, 2, if(ISBLANK('2025'!$P303), 0, 1), 3, if(ISBLANK('2025'!$Q303), 0, 1), 4, if(ISBLANK('2025'!$R303), 0, 1), 5, if(ISBLANK('2025'!$S303), 0, 1), 6, if(ISBLANK('2025'!$T303), 0, 1), 7, 0))), 1, "")</f>
        <v/>
      </c>
      <c r="AR305" s="1" t="str">
        <f>IF(AND(AND(AND(AR$4&gt;='2025'!$L303,AR$4&lt;='2025'!$M303), AR$4&lt;&gt;DATE(2025,7,4)), (SWITCH(weekday(AR$4), 1, 0, 2, if(ISBLANK('2025'!$P303), 0, 1), 3, if(ISBLANK('2025'!$Q303), 0, 1), 4, if(ISBLANK('2025'!$R303), 0, 1), 5, if(ISBLANK('2025'!$S303), 0, 1), 6, if(ISBLANK('2025'!$T303), 0, 1), 7, 0))), 1, "")</f>
        <v/>
      </c>
      <c r="AS305" s="1" t="str">
        <f>IF(AND(AND(AND(AS$4&gt;='2025'!$L303,AS$4&lt;='2025'!$M303), AS$4&lt;&gt;DATE(2025,7,4)), (SWITCH(weekday(AS$4), 1, 0, 2, if(ISBLANK('2025'!$P303), 0, 1), 3, if(ISBLANK('2025'!$Q303), 0, 1), 4, if(ISBLANK('2025'!$R303), 0, 1), 5, if(ISBLANK('2025'!$S303), 0, 1), 6, if(ISBLANK('2025'!$T303), 0, 1), 7, 0))), 1, "")</f>
        <v/>
      </c>
      <c r="AT305" s="1" t="str">
        <f>IF(AND(AND(AND(AT$4&gt;='2025'!$L303,AT$4&lt;='2025'!$M303), AT$4&lt;&gt;DATE(2025,7,4)), (SWITCH(weekday(AT$4), 1, 0, 2, if(ISBLANK('2025'!$P303), 0, 1), 3, if(ISBLANK('2025'!$Q303), 0, 1), 4, if(ISBLANK('2025'!$R303), 0, 1), 5, if(ISBLANK('2025'!$S303), 0, 1), 6, if(ISBLANK('2025'!$T303), 0, 1), 7, 0))), 1, "")</f>
        <v/>
      </c>
      <c r="AU305" s="1" t="str">
        <f>IF(AND(AND(AND(AU$4&gt;='2025'!$L303,AU$4&lt;='2025'!$M303), AU$4&lt;&gt;DATE(2025,7,4)), (SWITCH(weekday(AU$4), 1, 0, 2, if(ISBLANK('2025'!$P303), 0, 1), 3, if(ISBLANK('2025'!$Q303), 0, 1), 4, if(ISBLANK('2025'!$R303), 0, 1), 5, if(ISBLANK('2025'!$S303), 0, 1), 6, if(ISBLANK('2025'!$T303), 0, 1), 7, 0))), 1, "")</f>
        <v/>
      </c>
      <c r="AV305" s="1" t="str">
        <f>IF(AND(AND(AND(AV$4&gt;='2025'!$L303,AV$4&lt;='2025'!$M303), AV$4&lt;&gt;DATE(2025,7,4)), (SWITCH(weekday(AV$4), 1, 0, 2, if(ISBLANK('2025'!$P303), 0, 1), 3, if(ISBLANK('2025'!$Q303), 0, 1), 4, if(ISBLANK('2025'!$R303), 0, 1), 5, if(ISBLANK('2025'!$S303), 0, 1), 6, if(ISBLANK('2025'!$T303), 0, 1), 7, 0))), 1, "")</f>
        <v/>
      </c>
      <c r="AW305" s="1" t="str">
        <f>IF(AND(AND(AND(AW$4&gt;='2025'!$L303,AW$4&lt;='2025'!$M303), AW$4&lt;&gt;DATE(2025,7,4)), (SWITCH(weekday(AW$4), 1, 0, 2, if(ISBLANK('2025'!$P303), 0, 1), 3, if(ISBLANK('2025'!$Q303), 0, 1), 4, if(ISBLANK('2025'!$R303), 0, 1), 5, if(ISBLANK('2025'!$S303), 0, 1), 6, if(ISBLANK('2025'!$T303), 0, 1), 7, 0))), 1, "")</f>
        <v/>
      </c>
      <c r="AX305" s="1" t="str">
        <f>IF(AND(AND(AND(AX$4&gt;='2025'!$L303,AX$4&lt;='2025'!$M303), AX$4&lt;&gt;DATE(2025,7,4)), (SWITCH(weekday(AX$4), 1, 0, 2, if(ISBLANK('2025'!$P303), 0, 1), 3, if(ISBLANK('2025'!$Q303), 0, 1), 4, if(ISBLANK('2025'!$R303), 0, 1), 5, if(ISBLANK('2025'!$S303), 0, 1), 6, if(ISBLANK('2025'!$T303), 0, 1), 7, 0))), 1, "")</f>
        <v/>
      </c>
      <c r="AY305" s="1" t="str">
        <f>IF(AND(AND(AND(AY$4&gt;='2025'!$L303,AY$4&lt;='2025'!$M303), AY$4&lt;&gt;DATE(2025,7,4)), (SWITCH(weekday(AY$4), 1, 0, 2, if(ISBLANK('2025'!$P303), 0, 1), 3, if(ISBLANK('2025'!$Q303), 0, 1), 4, if(ISBLANK('2025'!$R303), 0, 1), 5, if(ISBLANK('2025'!$S303), 0, 1), 6, if(ISBLANK('2025'!$T303), 0, 1), 7, 0))), 1, "")</f>
        <v/>
      </c>
      <c r="AZ305" s="1" t="str">
        <f>IF(AND(AND(AND(AZ$4&gt;='2025'!$L303,AZ$4&lt;='2025'!$M303), AZ$4&lt;&gt;DATE(2025,7,4)), (SWITCH(weekday(AZ$4), 1, 0, 2, if(ISBLANK('2025'!$P303), 0, 1), 3, if(ISBLANK('2025'!$Q303), 0, 1), 4, if(ISBLANK('2025'!$R303), 0, 1), 5, if(ISBLANK('2025'!$S303), 0, 1), 6, if(ISBLANK('2025'!$T303), 0, 1), 7, 0))), 1, "")</f>
        <v/>
      </c>
      <c r="BA305" s="1" t="str">
        <f>IF(AND(AND(AND(BA$4&gt;='2025'!$L303,BA$4&lt;='2025'!$M303), BA$4&lt;&gt;DATE(2025,7,4)), (SWITCH(weekday(BA$4), 1, 0, 2, if(ISBLANK('2025'!$P303), 0, 1), 3, if(ISBLANK('2025'!$Q303), 0, 1), 4, if(ISBLANK('2025'!$R303), 0, 1), 5, if(ISBLANK('2025'!$S303), 0, 1), 6, if(ISBLANK('2025'!$T303), 0, 1), 7, 0))), 1, "")</f>
        <v/>
      </c>
      <c r="BB305" s="1" t="str">
        <f>IF(AND(AND(AND(BB$4&gt;='2025'!$L303,BB$4&lt;='2025'!$M303), BB$4&lt;&gt;DATE(2025,7,4)), (SWITCH(weekday(BB$4), 1, 0, 2, if(ISBLANK('2025'!$P303), 0, 1), 3, if(ISBLANK('2025'!$Q303), 0, 1), 4, if(ISBLANK('2025'!$R303), 0, 1), 5, if(ISBLANK('2025'!$S303), 0, 1), 6, if(ISBLANK('2025'!$T303), 0, 1), 7, 0))), 1, "")</f>
        <v/>
      </c>
      <c r="BC305" s="1" t="str">
        <f>IF(AND(AND(AND(BC$4&gt;='2025'!$L303,BC$4&lt;='2025'!$M303), BC$4&lt;&gt;DATE(2025,7,4)), (SWITCH(weekday(BC$4), 1, 0, 2, if(ISBLANK('2025'!$P303), 0, 1), 3, if(ISBLANK('2025'!$Q303), 0, 1), 4, if(ISBLANK('2025'!$R303), 0, 1), 5, if(ISBLANK('2025'!$S303), 0, 1), 6, if(ISBLANK('2025'!$T303), 0, 1), 7, 0))), 1, "")</f>
        <v/>
      </c>
      <c r="BD305" s="1" t="str">
        <f>IF(AND(AND(AND(BD$4&gt;='2025'!$L303,BD$4&lt;='2025'!$M303), BD$4&lt;&gt;DATE(2025,7,4)), (SWITCH(weekday(BD$4), 1, 0, 2, if(ISBLANK('2025'!$P303), 0, 1), 3, if(ISBLANK('2025'!$Q303), 0, 1), 4, if(ISBLANK('2025'!$R303), 0, 1), 5, if(ISBLANK('2025'!$S303), 0, 1), 6, if(ISBLANK('2025'!$T303), 0, 1), 7, 0))), 1, "")</f>
        <v/>
      </c>
      <c r="BE305" s="1" t="str">
        <f>IF(AND(AND(AND(BE$4&gt;='2025'!$L303,BE$4&lt;='2025'!$M303), BE$4&lt;&gt;DATE(2025,7,4)), (SWITCH(weekday(BE$4), 1, 0, 2, if(ISBLANK('2025'!$P303), 0, 1), 3, if(ISBLANK('2025'!$Q303), 0, 1), 4, if(ISBLANK('2025'!$R303), 0, 1), 5, if(ISBLANK('2025'!$S303), 0, 1), 6, if(ISBLANK('2025'!$T303), 0, 1), 7, 0))), 1, "")</f>
        <v/>
      </c>
      <c r="BF305" s="1" t="str">
        <f>IF(AND(AND(AND(BF$4&gt;='2025'!$L303,BF$4&lt;='2025'!$M303), BF$4&lt;&gt;DATE(2025,7,4)), (SWITCH(weekday(BF$4), 1, 0, 2, if(ISBLANK('2025'!$P303), 0, 1), 3, if(ISBLANK('2025'!$Q303), 0, 1), 4, if(ISBLANK('2025'!$R303), 0, 1), 5, if(ISBLANK('2025'!$S303), 0, 1), 6, if(ISBLANK('2025'!$T303), 0, 1), 7, 0))), 1, "")</f>
        <v/>
      </c>
      <c r="BG305" s="1"/>
      <c r="BH305" s="1"/>
      <c r="BI305" s="1"/>
      <c r="BJ305" s="1"/>
      <c r="BK305" s="1"/>
      <c r="BL305" s="1"/>
    </row>
    <row r="306">
      <c r="A306" s="1">
        <f t="shared" si="3"/>
        <v>306</v>
      </c>
      <c r="B306" s="1" t="str">
        <f>'2025'!D270</f>
        <v>, </v>
      </c>
      <c r="C306" s="1" t="str">
        <f>'2025'!H270</f>
        <v/>
      </c>
      <c r="D306" s="1" t="str">
        <f>IF(AND(AND(AND(D$4&gt;='2025'!$L304,D$4&lt;='2025'!$M304), D$4&lt;&gt;DATE(2025,7,4)), (SWITCH(weekday(D$4), 1, 0, 2, if(ISBLANK('2025'!$P304), 0, 1), 3, if(ISBLANK('2025'!$Q304), 0, 1), 4, if(ISBLANK('2025'!$R304), 0, 1), 5, if(ISBLANK('2025'!$S304), 0, 1), 6, if(ISBLANK('2025'!$T304), 0, 1), 7, 0))), 1, "")</f>
        <v/>
      </c>
      <c r="E306" s="1" t="str">
        <f>IF(AND(AND(AND(E$4&gt;='2025'!$L304,E$4&lt;='2025'!$M304), E$4&lt;&gt;DATE(2025,7,4)), (SWITCH(weekday(E$4), 1, 0, 2, if(ISBLANK('2025'!$P304), 0, 1), 3, if(ISBLANK('2025'!$Q304), 0, 1), 4, if(ISBLANK('2025'!$R304), 0, 1), 5, if(ISBLANK('2025'!$S304), 0, 1), 6, if(ISBLANK('2025'!$T304), 0, 1), 7, 0))), 1, "")</f>
        <v/>
      </c>
      <c r="F306" s="1" t="str">
        <f>IF(AND(AND(AND(F$4&gt;='2025'!$L304,F$4&lt;='2025'!$M304), F$4&lt;&gt;DATE(2025,7,4)), (SWITCH(weekday(F$4), 1, 0, 2, if(ISBLANK('2025'!$P304), 0, 1), 3, if(ISBLANK('2025'!$Q304), 0, 1), 4, if(ISBLANK('2025'!$R304), 0, 1), 5, if(ISBLANK('2025'!$S304), 0, 1), 6, if(ISBLANK('2025'!$T304), 0, 1), 7, 0))), 1, "")</f>
        <v/>
      </c>
      <c r="G306" s="1" t="str">
        <f>IF(AND(AND(AND(G$4&gt;='2025'!$L304,G$4&lt;='2025'!$M304), G$4&lt;&gt;DATE(2025,7,4)), (SWITCH(weekday(G$4), 1, 0, 2, if(ISBLANK('2025'!$P304), 0, 1), 3, if(ISBLANK('2025'!$Q304), 0, 1), 4, if(ISBLANK('2025'!$R304), 0, 1), 5, if(ISBLANK('2025'!$S304), 0, 1), 6, if(ISBLANK('2025'!$T304), 0, 1), 7, 0))), 1, "")</f>
        <v/>
      </c>
      <c r="H306" s="1" t="str">
        <f>IF(AND(AND(AND(H$4&gt;='2025'!$L304,H$4&lt;='2025'!$M304), H$4&lt;&gt;DATE(2025,7,4)), (SWITCH(weekday(H$4), 1, 0, 2, if(ISBLANK('2025'!$P304), 0, 1), 3, if(ISBLANK('2025'!$Q304), 0, 1), 4, if(ISBLANK('2025'!$R304), 0, 1), 5, if(ISBLANK('2025'!$S304), 0, 1), 6, if(ISBLANK('2025'!$T304), 0, 1), 7, 0))), 1, "")</f>
        <v/>
      </c>
      <c r="I306" s="1" t="str">
        <f>IF(AND(AND(AND(I$4&gt;='2025'!$L304,I$4&lt;='2025'!$M304), I$4&lt;&gt;DATE(2025,7,4)), (SWITCH(weekday(I$4), 1, 0, 2, if(ISBLANK('2025'!$P304), 0, 1), 3, if(ISBLANK('2025'!$Q304), 0, 1), 4, if(ISBLANK('2025'!$R304), 0, 1), 5, if(ISBLANK('2025'!$S304), 0, 1), 6, if(ISBLANK('2025'!$T304), 0, 1), 7, 0))), 1, "")</f>
        <v/>
      </c>
      <c r="J306" s="1" t="str">
        <f>IF(AND(AND(AND(J$4&gt;='2025'!$L304,J$4&lt;='2025'!$M304), J$4&lt;&gt;DATE(2025,7,4)), (SWITCH(weekday(J$4), 1, 0, 2, if(ISBLANK('2025'!$P304), 0, 1), 3, if(ISBLANK('2025'!$Q304), 0, 1), 4, if(ISBLANK('2025'!$R304), 0, 1), 5, if(ISBLANK('2025'!$S304), 0, 1), 6, if(ISBLANK('2025'!$T304), 0, 1), 7, 0))), 1, "")</f>
        <v/>
      </c>
      <c r="K306" s="1" t="str">
        <f>IF(AND(AND(AND(K$4&gt;='2025'!$L304,K$4&lt;='2025'!$M304), K$4&lt;&gt;DATE(2025,7,4)), (SWITCH(weekday(K$4), 1, 0, 2, if(ISBLANK('2025'!$P304), 0, 1), 3, if(ISBLANK('2025'!$Q304), 0, 1), 4, if(ISBLANK('2025'!$R304), 0, 1), 5, if(ISBLANK('2025'!$S304), 0, 1), 6, if(ISBLANK('2025'!$T304), 0, 1), 7, 0))), 1, "")</f>
        <v/>
      </c>
      <c r="L306" s="1" t="str">
        <f>IF(AND(AND(AND(L$4&gt;='2025'!$L304,L$4&lt;='2025'!$M304), L$4&lt;&gt;DATE(2025,7,4)), (SWITCH(weekday(L$4), 1, 0, 2, if(ISBLANK('2025'!$P304), 0, 1), 3, if(ISBLANK('2025'!$Q304), 0, 1), 4, if(ISBLANK('2025'!$R304), 0, 1), 5, if(ISBLANK('2025'!$S304), 0, 1), 6, if(ISBLANK('2025'!$T304), 0, 1), 7, 0))), 1, "")</f>
        <v/>
      </c>
      <c r="M306" s="1" t="str">
        <f>IF(AND(AND(AND(M$4&gt;='2025'!$L304,M$4&lt;='2025'!$M304), M$4&lt;&gt;DATE(2025,7,4)), (SWITCH(weekday(M$4), 1, 0, 2, if(ISBLANK('2025'!$P304), 0, 1), 3, if(ISBLANK('2025'!$Q304), 0, 1), 4, if(ISBLANK('2025'!$R304), 0, 1), 5, if(ISBLANK('2025'!$S304), 0, 1), 6, if(ISBLANK('2025'!$T304), 0, 1), 7, 0))), 1, "")</f>
        <v/>
      </c>
      <c r="N306" s="1" t="str">
        <f>IF(AND(AND(AND(N$4&gt;='2025'!$L304,N$4&lt;='2025'!$M304), N$4&lt;&gt;DATE(2025,7,4)), (SWITCH(weekday(N$4), 1, 0, 2, if(ISBLANK('2025'!$P304), 0, 1), 3, if(ISBLANK('2025'!$Q304), 0, 1), 4, if(ISBLANK('2025'!$R304), 0, 1), 5, if(ISBLANK('2025'!$S304), 0, 1), 6, if(ISBLANK('2025'!$T304), 0, 1), 7, 0))), 1, "")</f>
        <v/>
      </c>
      <c r="O306" s="1" t="str">
        <f>IF(AND(AND(AND(O$4&gt;='2025'!$L304,O$4&lt;='2025'!$M304), O$4&lt;&gt;DATE(2025,7,4)), (SWITCH(weekday(O$4), 1, 0, 2, if(ISBLANK('2025'!$P304), 0, 1), 3, if(ISBLANK('2025'!$Q304), 0, 1), 4, if(ISBLANK('2025'!$R304), 0, 1), 5, if(ISBLANK('2025'!$S304), 0, 1), 6, if(ISBLANK('2025'!$T304), 0, 1), 7, 0))), 1, "")</f>
        <v/>
      </c>
      <c r="P306" s="1" t="str">
        <f>IF(AND(AND(AND(P$4&gt;='2025'!$L304,P$4&lt;='2025'!$M304), P$4&lt;&gt;DATE(2025,7,4)), (SWITCH(weekday(P$4), 1, 0, 2, if(ISBLANK('2025'!$P304), 0, 1), 3, if(ISBLANK('2025'!$Q304), 0, 1), 4, if(ISBLANK('2025'!$R304), 0, 1), 5, if(ISBLANK('2025'!$S304), 0, 1), 6, if(ISBLANK('2025'!$T304), 0, 1), 7, 0))), 1, "")</f>
        <v/>
      </c>
      <c r="Q306" s="1" t="str">
        <f>IF(AND(AND(AND(Q$4&gt;='2025'!$L304,Q$4&lt;='2025'!$M304), Q$4&lt;&gt;DATE(2025,7,4)), (SWITCH(weekday(Q$4), 1, 0, 2, if(ISBLANK('2025'!$P304), 0, 1), 3, if(ISBLANK('2025'!$Q304), 0, 1), 4, if(ISBLANK('2025'!$R304), 0, 1), 5, if(ISBLANK('2025'!$S304), 0, 1), 6, if(ISBLANK('2025'!$T304), 0, 1), 7, 0))), 1, "")</f>
        <v/>
      </c>
      <c r="R306" s="1" t="str">
        <f>IF(AND(AND(AND(R$4&gt;='2025'!$L304,R$4&lt;='2025'!$M304), R$4&lt;&gt;DATE(2025,7,4)), (SWITCH(weekday(R$4), 1, 0, 2, if(ISBLANK('2025'!$P304), 0, 1), 3, if(ISBLANK('2025'!$Q304), 0, 1), 4, if(ISBLANK('2025'!$R304), 0, 1), 5, if(ISBLANK('2025'!$S304), 0, 1), 6, if(ISBLANK('2025'!$T304), 0, 1), 7, 0))), 1, "")</f>
        <v/>
      </c>
      <c r="S306" s="1" t="str">
        <f>IF(AND(AND(AND(S$4&gt;='2025'!$L304,S$4&lt;='2025'!$M304), S$4&lt;&gt;DATE(2025,7,4)), (SWITCH(weekday(S$4), 1, 0, 2, if(ISBLANK('2025'!$P304), 0, 1), 3, if(ISBLANK('2025'!$Q304), 0, 1), 4, if(ISBLANK('2025'!$R304), 0, 1), 5, if(ISBLANK('2025'!$S304), 0, 1), 6, if(ISBLANK('2025'!$T304), 0, 1), 7, 0))), 1, "")</f>
        <v/>
      </c>
      <c r="T306" s="1" t="str">
        <f>IF(AND(AND(AND(T$4&gt;='2025'!$L304,T$4&lt;='2025'!$M304), T$4&lt;&gt;DATE(2025,7,4)), (SWITCH(weekday(T$4), 1, 0, 2, if(ISBLANK('2025'!$P304), 0, 1), 3, if(ISBLANK('2025'!$Q304), 0, 1), 4, if(ISBLANK('2025'!$R304), 0, 1), 5, if(ISBLANK('2025'!$S304), 0, 1), 6, if(ISBLANK('2025'!$T304), 0, 1), 7, 0))), 1, "")</f>
        <v/>
      </c>
      <c r="U306" s="1" t="str">
        <f>IF(AND(AND(AND(U$4&gt;='2025'!$L304,U$4&lt;='2025'!$M304), U$4&lt;&gt;DATE(2025,7,4)), (SWITCH(weekday(U$4), 1, 0, 2, if(ISBLANK('2025'!$P304), 0, 1), 3, if(ISBLANK('2025'!$Q304), 0, 1), 4, if(ISBLANK('2025'!$R304), 0, 1), 5, if(ISBLANK('2025'!$S304), 0, 1), 6, if(ISBLANK('2025'!$T304), 0, 1), 7, 0))), 1, "")</f>
        <v/>
      </c>
      <c r="V306" s="1" t="str">
        <f>IF(AND(AND(AND(V$4&gt;='2025'!$L304,V$4&lt;='2025'!$M304), V$4&lt;&gt;DATE(2025,7,4)), (SWITCH(weekday(V$4), 1, 0, 2, if(ISBLANK('2025'!$P304), 0, 1), 3, if(ISBLANK('2025'!$Q304), 0, 1), 4, if(ISBLANK('2025'!$R304), 0, 1), 5, if(ISBLANK('2025'!$S304), 0, 1), 6, if(ISBLANK('2025'!$T304), 0, 1), 7, 0))), 1, "")</f>
        <v/>
      </c>
      <c r="W306" s="1" t="str">
        <f>IF(AND(AND(AND(W$4&gt;='2025'!$L304,W$4&lt;='2025'!$M304), W$4&lt;&gt;DATE(2025,7,4)), (SWITCH(weekday(W$4), 1, 0, 2, if(ISBLANK('2025'!$P304), 0, 1), 3, if(ISBLANK('2025'!$Q304), 0, 1), 4, if(ISBLANK('2025'!$R304), 0, 1), 5, if(ISBLANK('2025'!$S304), 0, 1), 6, if(ISBLANK('2025'!$T304), 0, 1), 7, 0))), 1, "")</f>
        <v/>
      </c>
      <c r="X306" s="1" t="str">
        <f>IF(AND(AND(AND(X$4&gt;='2025'!$L304,X$4&lt;='2025'!$M304), X$4&lt;&gt;DATE(2025,7,4)), (SWITCH(weekday(X$4), 1, 0, 2, if(ISBLANK('2025'!$P304), 0, 1), 3, if(ISBLANK('2025'!$Q304), 0, 1), 4, if(ISBLANK('2025'!$R304), 0, 1), 5, if(ISBLANK('2025'!$S304), 0, 1), 6, if(ISBLANK('2025'!$T304), 0, 1), 7, 0))), 1, "")</f>
        <v/>
      </c>
      <c r="Y306" s="1" t="str">
        <f>IF(AND(AND(AND(Y$4&gt;='2025'!$L304,Y$4&lt;='2025'!$M304), Y$4&lt;&gt;DATE(2025,7,4)), (SWITCH(weekday(Y$4), 1, 0, 2, if(ISBLANK('2025'!$P304), 0, 1), 3, if(ISBLANK('2025'!$Q304), 0, 1), 4, if(ISBLANK('2025'!$R304), 0, 1), 5, if(ISBLANK('2025'!$S304), 0, 1), 6, if(ISBLANK('2025'!$T304), 0, 1), 7, 0))), 1, "")</f>
        <v/>
      </c>
      <c r="Z306" s="1" t="str">
        <f>IF(AND(AND(AND(Z$4&gt;='2025'!$L304,Z$4&lt;='2025'!$M304), Z$4&lt;&gt;DATE(2025,7,4)), (SWITCH(weekday(Z$4), 1, 0, 2, if(ISBLANK('2025'!$P304), 0, 1), 3, if(ISBLANK('2025'!$Q304), 0, 1), 4, if(ISBLANK('2025'!$R304), 0, 1), 5, if(ISBLANK('2025'!$S304), 0, 1), 6, if(ISBLANK('2025'!$T304), 0, 1), 7, 0))), 1, "")</f>
        <v/>
      </c>
      <c r="AA306" s="1" t="str">
        <f>IF(AND(AND(AND(AA$4&gt;='2025'!$L304,AA$4&lt;='2025'!$M304), AA$4&lt;&gt;DATE(2025,7,4)), (SWITCH(weekday(AA$4), 1, 0, 2, if(ISBLANK('2025'!$P304), 0, 1), 3, if(ISBLANK('2025'!$Q304), 0, 1), 4, if(ISBLANK('2025'!$R304), 0, 1), 5, if(ISBLANK('2025'!$S304), 0, 1), 6, if(ISBLANK('2025'!$T304), 0, 1), 7, 0))), 1, "")</f>
        <v/>
      </c>
      <c r="AB306" s="1" t="str">
        <f>IF(AND(AND(AND(AB$4&gt;='2025'!$L304,AB$4&lt;='2025'!$M304), AB$4&lt;&gt;DATE(2025,7,4)), (SWITCH(weekday(AB$4), 1, 0, 2, if(ISBLANK('2025'!$P304), 0, 1), 3, if(ISBLANK('2025'!$Q304), 0, 1), 4, if(ISBLANK('2025'!$R304), 0, 1), 5, if(ISBLANK('2025'!$S304), 0, 1), 6, if(ISBLANK('2025'!$T304), 0, 1), 7, 0))), 1, "")</f>
        <v/>
      </c>
      <c r="AC306" s="1" t="str">
        <f>IF(AND(AND(AND(AC$4&gt;='2025'!$L304,AC$4&lt;='2025'!$M304), AC$4&lt;&gt;DATE(2025,7,4)), (SWITCH(weekday(AC$4), 1, 0, 2, if(ISBLANK('2025'!$P304), 0, 1), 3, if(ISBLANK('2025'!$Q304), 0, 1), 4, if(ISBLANK('2025'!$R304), 0, 1), 5, if(ISBLANK('2025'!$S304), 0, 1), 6, if(ISBLANK('2025'!$T304), 0, 1), 7, 0))), 1, "")</f>
        <v/>
      </c>
      <c r="AD306" s="1" t="str">
        <f>IF(AND(AND(AND(AD$4&gt;='2025'!$L304,AD$4&lt;='2025'!$M304), AD$4&lt;&gt;DATE(2025,7,4)), (SWITCH(weekday(AD$4), 1, 0, 2, if(ISBLANK('2025'!$P304), 0, 1), 3, if(ISBLANK('2025'!$Q304), 0, 1), 4, if(ISBLANK('2025'!$R304), 0, 1), 5, if(ISBLANK('2025'!$S304), 0, 1), 6, if(ISBLANK('2025'!$T304), 0, 1), 7, 0))), 1, "")</f>
        <v/>
      </c>
      <c r="AE306" s="1" t="str">
        <f>IF(AND(AND(AND(AE$4&gt;='2025'!$L304,AE$4&lt;='2025'!$M304), AE$4&lt;&gt;DATE(2025,7,4)), (SWITCH(weekday(AE$4), 1, 0, 2, if(ISBLANK('2025'!$P304), 0, 1), 3, if(ISBLANK('2025'!$Q304), 0, 1), 4, if(ISBLANK('2025'!$R304), 0, 1), 5, if(ISBLANK('2025'!$S304), 0, 1), 6, if(ISBLANK('2025'!$T304), 0, 1), 7, 0))), 1, "")</f>
        <v/>
      </c>
      <c r="AF306" s="1" t="str">
        <f>IF(AND(AND(AND(AF$4&gt;='2025'!$L304,AF$4&lt;='2025'!$M304), AF$4&lt;&gt;DATE(2025,7,4)), (SWITCH(weekday(AF$4), 1, 0, 2, if(ISBLANK('2025'!$P304), 0, 1), 3, if(ISBLANK('2025'!$Q304), 0, 1), 4, if(ISBLANK('2025'!$R304), 0, 1), 5, if(ISBLANK('2025'!$S304), 0, 1), 6, if(ISBLANK('2025'!$T304), 0, 1), 7, 0))), 1, "")</f>
        <v/>
      </c>
      <c r="AG306" s="1" t="str">
        <f>IF(AND(AND(AND(AG$4&gt;='2025'!$L304,AG$4&lt;='2025'!$M304), AG$4&lt;&gt;DATE(2025,7,4)), (SWITCH(weekday(AG$4), 1, 0, 2, if(ISBLANK('2025'!$P304), 0, 1), 3, if(ISBLANK('2025'!$Q304), 0, 1), 4, if(ISBLANK('2025'!$R304), 0, 1), 5, if(ISBLANK('2025'!$S304), 0, 1), 6, if(ISBLANK('2025'!$T304), 0, 1), 7, 0))), 1, "")</f>
        <v/>
      </c>
      <c r="AH306" s="1" t="str">
        <f>IF(AND(AND(AND(AH$4&gt;='2025'!$L304,AH$4&lt;='2025'!$M304), AH$4&lt;&gt;DATE(2025,7,4)), (SWITCH(weekday(AH$4), 1, 0, 2, if(ISBLANK('2025'!$P304), 0, 1), 3, if(ISBLANK('2025'!$Q304), 0, 1), 4, if(ISBLANK('2025'!$R304), 0, 1), 5, if(ISBLANK('2025'!$S304), 0, 1), 6, if(ISBLANK('2025'!$T304), 0, 1), 7, 0))), 1, "")</f>
        <v/>
      </c>
      <c r="AI306" s="1" t="str">
        <f>IF(AND(AND(AND(AI$4&gt;='2025'!$L304,AI$4&lt;='2025'!$M304), AI$4&lt;&gt;DATE(2025,7,4)), (SWITCH(weekday(AI$4), 1, 0, 2, if(ISBLANK('2025'!$P304), 0, 1), 3, if(ISBLANK('2025'!$Q304), 0, 1), 4, if(ISBLANK('2025'!$R304), 0, 1), 5, if(ISBLANK('2025'!$S304), 0, 1), 6, if(ISBLANK('2025'!$T304), 0, 1), 7, 0))), 1, "")</f>
        <v/>
      </c>
      <c r="AJ306" s="1" t="str">
        <f>IF(AND(AND(AND(AJ$4&gt;='2025'!$L304,AJ$4&lt;='2025'!$M304), AJ$4&lt;&gt;DATE(2025,7,4)), (SWITCH(weekday(AJ$4), 1, 0, 2, if(ISBLANK('2025'!$P304), 0, 1), 3, if(ISBLANK('2025'!$Q304), 0, 1), 4, if(ISBLANK('2025'!$R304), 0, 1), 5, if(ISBLANK('2025'!$S304), 0, 1), 6, if(ISBLANK('2025'!$T304), 0, 1), 7, 0))), 1, "")</f>
        <v/>
      </c>
      <c r="AK306" s="1" t="str">
        <f>IF(AND(AND(AND(AK$4&gt;='2025'!$L304,AK$4&lt;='2025'!$M304), AK$4&lt;&gt;DATE(2025,7,4)), (SWITCH(weekday(AK$4), 1, 0, 2, if(ISBLANK('2025'!$P304), 0, 1), 3, if(ISBLANK('2025'!$Q304), 0, 1), 4, if(ISBLANK('2025'!$R304), 0, 1), 5, if(ISBLANK('2025'!$S304), 0, 1), 6, if(ISBLANK('2025'!$T304), 0, 1), 7, 0))), 1, "")</f>
        <v/>
      </c>
      <c r="AL306" s="1" t="str">
        <f>IF(AND(AND(AND(AL$4&gt;='2025'!$L304,AL$4&lt;='2025'!$M304), AL$4&lt;&gt;DATE(2025,7,4)), (SWITCH(weekday(AL$4), 1, 0, 2, if(ISBLANK('2025'!$P304), 0, 1), 3, if(ISBLANK('2025'!$Q304), 0, 1), 4, if(ISBLANK('2025'!$R304), 0, 1), 5, if(ISBLANK('2025'!$S304), 0, 1), 6, if(ISBLANK('2025'!$T304), 0, 1), 7, 0))), 1, "")</f>
        <v/>
      </c>
      <c r="AM306" s="1" t="str">
        <f>IF(AND(AND(AND(AM$4&gt;='2025'!$L304,AM$4&lt;='2025'!$M304), AM$4&lt;&gt;DATE(2025,7,4)), (SWITCH(weekday(AM$4), 1, 0, 2, if(ISBLANK('2025'!$P304), 0, 1), 3, if(ISBLANK('2025'!$Q304), 0, 1), 4, if(ISBLANK('2025'!$R304), 0, 1), 5, if(ISBLANK('2025'!$S304), 0, 1), 6, if(ISBLANK('2025'!$T304), 0, 1), 7, 0))), 1, "")</f>
        <v/>
      </c>
      <c r="AN306" s="1" t="str">
        <f>IF(AND(AND(AND(AN$4&gt;='2025'!$L304,AN$4&lt;='2025'!$M304), AN$4&lt;&gt;DATE(2025,7,4)), (SWITCH(weekday(AN$4), 1, 0, 2, if(ISBLANK('2025'!$P304), 0, 1), 3, if(ISBLANK('2025'!$Q304), 0, 1), 4, if(ISBLANK('2025'!$R304), 0, 1), 5, if(ISBLANK('2025'!$S304), 0, 1), 6, if(ISBLANK('2025'!$T304), 0, 1), 7, 0))), 1, "")</f>
        <v/>
      </c>
      <c r="AO306" s="1" t="str">
        <f>IF(AND(AND(AND(AO$4&gt;='2025'!$L304,AO$4&lt;='2025'!$M304), AO$4&lt;&gt;DATE(2025,7,4)), (SWITCH(weekday(AO$4), 1, 0, 2, if(ISBLANK('2025'!$P304), 0, 1), 3, if(ISBLANK('2025'!$Q304), 0, 1), 4, if(ISBLANK('2025'!$R304), 0, 1), 5, if(ISBLANK('2025'!$S304), 0, 1), 6, if(ISBLANK('2025'!$T304), 0, 1), 7, 0))), 1, "")</f>
        <v/>
      </c>
      <c r="AP306" s="1" t="str">
        <f>IF(AND(AND(AND(AP$4&gt;='2025'!$L304,AP$4&lt;='2025'!$M304), AP$4&lt;&gt;DATE(2025,7,4)), (SWITCH(weekday(AP$4), 1, 0, 2, if(ISBLANK('2025'!$P304), 0, 1), 3, if(ISBLANK('2025'!$Q304), 0, 1), 4, if(ISBLANK('2025'!$R304), 0, 1), 5, if(ISBLANK('2025'!$S304), 0, 1), 6, if(ISBLANK('2025'!$T304), 0, 1), 7, 0))), 1, "")</f>
        <v/>
      </c>
      <c r="AQ306" s="1" t="str">
        <f>IF(AND(AND(AND(AQ$4&gt;='2025'!$L304,AQ$4&lt;='2025'!$M304), AQ$4&lt;&gt;DATE(2025,7,4)), (SWITCH(weekday(AQ$4), 1, 0, 2, if(ISBLANK('2025'!$P304), 0, 1), 3, if(ISBLANK('2025'!$Q304), 0, 1), 4, if(ISBLANK('2025'!$R304), 0, 1), 5, if(ISBLANK('2025'!$S304), 0, 1), 6, if(ISBLANK('2025'!$T304), 0, 1), 7, 0))), 1, "")</f>
        <v/>
      </c>
      <c r="AR306" s="1" t="str">
        <f>IF(AND(AND(AND(AR$4&gt;='2025'!$L304,AR$4&lt;='2025'!$M304), AR$4&lt;&gt;DATE(2025,7,4)), (SWITCH(weekday(AR$4), 1, 0, 2, if(ISBLANK('2025'!$P304), 0, 1), 3, if(ISBLANK('2025'!$Q304), 0, 1), 4, if(ISBLANK('2025'!$R304), 0, 1), 5, if(ISBLANK('2025'!$S304), 0, 1), 6, if(ISBLANK('2025'!$T304), 0, 1), 7, 0))), 1, "")</f>
        <v/>
      </c>
      <c r="AS306" s="1" t="str">
        <f>IF(AND(AND(AND(AS$4&gt;='2025'!$L304,AS$4&lt;='2025'!$M304), AS$4&lt;&gt;DATE(2025,7,4)), (SWITCH(weekday(AS$4), 1, 0, 2, if(ISBLANK('2025'!$P304), 0, 1), 3, if(ISBLANK('2025'!$Q304), 0, 1), 4, if(ISBLANK('2025'!$R304), 0, 1), 5, if(ISBLANK('2025'!$S304), 0, 1), 6, if(ISBLANK('2025'!$T304), 0, 1), 7, 0))), 1, "")</f>
        <v/>
      </c>
      <c r="AT306" s="1" t="str">
        <f>IF(AND(AND(AND(AT$4&gt;='2025'!$L304,AT$4&lt;='2025'!$M304), AT$4&lt;&gt;DATE(2025,7,4)), (SWITCH(weekday(AT$4), 1, 0, 2, if(ISBLANK('2025'!$P304), 0, 1), 3, if(ISBLANK('2025'!$Q304), 0, 1), 4, if(ISBLANK('2025'!$R304), 0, 1), 5, if(ISBLANK('2025'!$S304), 0, 1), 6, if(ISBLANK('2025'!$T304), 0, 1), 7, 0))), 1, "")</f>
        <v/>
      </c>
      <c r="AU306" s="1" t="str">
        <f>IF(AND(AND(AND(AU$4&gt;='2025'!$L304,AU$4&lt;='2025'!$M304), AU$4&lt;&gt;DATE(2025,7,4)), (SWITCH(weekday(AU$4), 1, 0, 2, if(ISBLANK('2025'!$P304), 0, 1), 3, if(ISBLANK('2025'!$Q304), 0, 1), 4, if(ISBLANK('2025'!$R304), 0, 1), 5, if(ISBLANK('2025'!$S304), 0, 1), 6, if(ISBLANK('2025'!$T304), 0, 1), 7, 0))), 1, "")</f>
        <v/>
      </c>
      <c r="AV306" s="1" t="str">
        <f>IF(AND(AND(AND(AV$4&gt;='2025'!$L304,AV$4&lt;='2025'!$M304), AV$4&lt;&gt;DATE(2025,7,4)), (SWITCH(weekday(AV$4), 1, 0, 2, if(ISBLANK('2025'!$P304), 0, 1), 3, if(ISBLANK('2025'!$Q304), 0, 1), 4, if(ISBLANK('2025'!$R304), 0, 1), 5, if(ISBLANK('2025'!$S304), 0, 1), 6, if(ISBLANK('2025'!$T304), 0, 1), 7, 0))), 1, "")</f>
        <v/>
      </c>
      <c r="AW306" s="1" t="str">
        <f>IF(AND(AND(AND(AW$4&gt;='2025'!$L304,AW$4&lt;='2025'!$M304), AW$4&lt;&gt;DATE(2025,7,4)), (SWITCH(weekday(AW$4), 1, 0, 2, if(ISBLANK('2025'!$P304), 0, 1), 3, if(ISBLANK('2025'!$Q304), 0, 1), 4, if(ISBLANK('2025'!$R304), 0, 1), 5, if(ISBLANK('2025'!$S304), 0, 1), 6, if(ISBLANK('2025'!$T304), 0, 1), 7, 0))), 1, "")</f>
        <v/>
      </c>
      <c r="AX306" s="1" t="str">
        <f>IF(AND(AND(AND(AX$4&gt;='2025'!$L304,AX$4&lt;='2025'!$M304), AX$4&lt;&gt;DATE(2025,7,4)), (SWITCH(weekday(AX$4), 1, 0, 2, if(ISBLANK('2025'!$P304), 0, 1), 3, if(ISBLANK('2025'!$Q304), 0, 1), 4, if(ISBLANK('2025'!$R304), 0, 1), 5, if(ISBLANK('2025'!$S304), 0, 1), 6, if(ISBLANK('2025'!$T304), 0, 1), 7, 0))), 1, "")</f>
        <v/>
      </c>
      <c r="AY306" s="1" t="str">
        <f>IF(AND(AND(AND(AY$4&gt;='2025'!$L304,AY$4&lt;='2025'!$M304), AY$4&lt;&gt;DATE(2025,7,4)), (SWITCH(weekday(AY$4), 1, 0, 2, if(ISBLANK('2025'!$P304), 0, 1), 3, if(ISBLANK('2025'!$Q304), 0, 1), 4, if(ISBLANK('2025'!$R304), 0, 1), 5, if(ISBLANK('2025'!$S304), 0, 1), 6, if(ISBLANK('2025'!$T304), 0, 1), 7, 0))), 1, "")</f>
        <v/>
      </c>
      <c r="AZ306" s="1" t="str">
        <f>IF(AND(AND(AND(AZ$4&gt;='2025'!$L304,AZ$4&lt;='2025'!$M304), AZ$4&lt;&gt;DATE(2025,7,4)), (SWITCH(weekday(AZ$4), 1, 0, 2, if(ISBLANK('2025'!$P304), 0, 1), 3, if(ISBLANK('2025'!$Q304), 0, 1), 4, if(ISBLANK('2025'!$R304), 0, 1), 5, if(ISBLANK('2025'!$S304), 0, 1), 6, if(ISBLANK('2025'!$T304), 0, 1), 7, 0))), 1, "")</f>
        <v/>
      </c>
      <c r="BA306" s="1" t="str">
        <f>IF(AND(AND(AND(BA$4&gt;='2025'!$L304,BA$4&lt;='2025'!$M304), BA$4&lt;&gt;DATE(2025,7,4)), (SWITCH(weekday(BA$4), 1, 0, 2, if(ISBLANK('2025'!$P304), 0, 1), 3, if(ISBLANK('2025'!$Q304), 0, 1), 4, if(ISBLANK('2025'!$R304), 0, 1), 5, if(ISBLANK('2025'!$S304), 0, 1), 6, if(ISBLANK('2025'!$T304), 0, 1), 7, 0))), 1, "")</f>
        <v/>
      </c>
      <c r="BB306" s="1" t="str">
        <f>IF(AND(AND(AND(BB$4&gt;='2025'!$L304,BB$4&lt;='2025'!$M304), BB$4&lt;&gt;DATE(2025,7,4)), (SWITCH(weekday(BB$4), 1, 0, 2, if(ISBLANK('2025'!$P304), 0, 1), 3, if(ISBLANK('2025'!$Q304), 0, 1), 4, if(ISBLANK('2025'!$R304), 0, 1), 5, if(ISBLANK('2025'!$S304), 0, 1), 6, if(ISBLANK('2025'!$T304), 0, 1), 7, 0))), 1, "")</f>
        <v/>
      </c>
      <c r="BC306" s="1" t="str">
        <f>IF(AND(AND(AND(BC$4&gt;='2025'!$L304,BC$4&lt;='2025'!$M304), BC$4&lt;&gt;DATE(2025,7,4)), (SWITCH(weekday(BC$4), 1, 0, 2, if(ISBLANK('2025'!$P304), 0, 1), 3, if(ISBLANK('2025'!$Q304), 0, 1), 4, if(ISBLANK('2025'!$R304), 0, 1), 5, if(ISBLANK('2025'!$S304), 0, 1), 6, if(ISBLANK('2025'!$T304), 0, 1), 7, 0))), 1, "")</f>
        <v/>
      </c>
      <c r="BD306" s="1" t="str">
        <f>IF(AND(AND(AND(BD$4&gt;='2025'!$L304,BD$4&lt;='2025'!$M304), BD$4&lt;&gt;DATE(2025,7,4)), (SWITCH(weekday(BD$4), 1, 0, 2, if(ISBLANK('2025'!$P304), 0, 1), 3, if(ISBLANK('2025'!$Q304), 0, 1), 4, if(ISBLANK('2025'!$R304), 0, 1), 5, if(ISBLANK('2025'!$S304), 0, 1), 6, if(ISBLANK('2025'!$T304), 0, 1), 7, 0))), 1, "")</f>
        <v/>
      </c>
      <c r="BE306" s="1" t="str">
        <f>IF(AND(AND(AND(BE$4&gt;='2025'!$L304,BE$4&lt;='2025'!$M304), BE$4&lt;&gt;DATE(2025,7,4)), (SWITCH(weekday(BE$4), 1, 0, 2, if(ISBLANK('2025'!$P304), 0, 1), 3, if(ISBLANK('2025'!$Q304), 0, 1), 4, if(ISBLANK('2025'!$R304), 0, 1), 5, if(ISBLANK('2025'!$S304), 0, 1), 6, if(ISBLANK('2025'!$T304), 0, 1), 7, 0))), 1, "")</f>
        <v/>
      </c>
      <c r="BF306" s="1" t="str">
        <f>IF(AND(AND(AND(BF$4&gt;='2025'!$L304,BF$4&lt;='2025'!$M304), BF$4&lt;&gt;DATE(2025,7,4)), (SWITCH(weekday(BF$4), 1, 0, 2, if(ISBLANK('2025'!$P304), 0, 1), 3, if(ISBLANK('2025'!$Q304), 0, 1), 4, if(ISBLANK('2025'!$R304), 0, 1), 5, if(ISBLANK('2025'!$S304), 0, 1), 6, if(ISBLANK('2025'!$T304), 0, 1), 7, 0))), 1, "")</f>
        <v/>
      </c>
      <c r="BG306" s="1"/>
      <c r="BH306" s="1"/>
      <c r="BI306" s="1"/>
      <c r="BJ306" s="1"/>
      <c r="BK306" s="1"/>
      <c r="BL306" s="1"/>
    </row>
    <row r="307">
      <c r="A307" s="1">
        <f t="shared" si="3"/>
        <v>307</v>
      </c>
      <c r="B307" s="1" t="str">
        <f>'2025'!D271</f>
        <v>, </v>
      </c>
      <c r="C307" s="1" t="str">
        <f>'2025'!H271</f>
        <v/>
      </c>
      <c r="D307" s="1" t="str">
        <f>IF(AND(AND(AND(D$4&gt;='2025'!$L305,D$4&lt;='2025'!$M305), D$4&lt;&gt;DATE(2025,7,4)), (SWITCH(weekday(D$4), 1, 0, 2, if(ISBLANK('2025'!$P305), 0, 1), 3, if(ISBLANK('2025'!$Q305), 0, 1), 4, if(ISBLANK('2025'!$R305), 0, 1), 5, if(ISBLANK('2025'!$S305), 0, 1), 6, if(ISBLANK('2025'!$T305), 0, 1), 7, 0))), 1, "")</f>
        <v/>
      </c>
      <c r="E307" s="1" t="str">
        <f>IF(AND(AND(AND(E$4&gt;='2025'!$L305,E$4&lt;='2025'!$M305), E$4&lt;&gt;DATE(2025,7,4)), (SWITCH(weekday(E$4), 1, 0, 2, if(ISBLANK('2025'!$P305), 0, 1), 3, if(ISBLANK('2025'!$Q305), 0, 1), 4, if(ISBLANK('2025'!$R305), 0, 1), 5, if(ISBLANK('2025'!$S305), 0, 1), 6, if(ISBLANK('2025'!$T305), 0, 1), 7, 0))), 1, "")</f>
        <v/>
      </c>
      <c r="F307" s="1" t="str">
        <f>IF(AND(AND(AND(F$4&gt;='2025'!$L305,F$4&lt;='2025'!$M305), F$4&lt;&gt;DATE(2025,7,4)), (SWITCH(weekday(F$4), 1, 0, 2, if(ISBLANK('2025'!$P305), 0, 1), 3, if(ISBLANK('2025'!$Q305), 0, 1), 4, if(ISBLANK('2025'!$R305), 0, 1), 5, if(ISBLANK('2025'!$S305), 0, 1), 6, if(ISBLANK('2025'!$T305), 0, 1), 7, 0))), 1, "")</f>
        <v/>
      </c>
      <c r="G307" s="1" t="str">
        <f>IF(AND(AND(AND(G$4&gt;='2025'!$L305,G$4&lt;='2025'!$M305), G$4&lt;&gt;DATE(2025,7,4)), (SWITCH(weekday(G$4), 1, 0, 2, if(ISBLANK('2025'!$P305), 0, 1), 3, if(ISBLANK('2025'!$Q305), 0, 1), 4, if(ISBLANK('2025'!$R305), 0, 1), 5, if(ISBLANK('2025'!$S305), 0, 1), 6, if(ISBLANK('2025'!$T305), 0, 1), 7, 0))), 1, "")</f>
        <v/>
      </c>
      <c r="H307" s="1" t="str">
        <f>IF(AND(AND(AND(H$4&gt;='2025'!$L305,H$4&lt;='2025'!$M305), H$4&lt;&gt;DATE(2025,7,4)), (SWITCH(weekday(H$4), 1, 0, 2, if(ISBLANK('2025'!$P305), 0, 1), 3, if(ISBLANK('2025'!$Q305), 0, 1), 4, if(ISBLANK('2025'!$R305), 0, 1), 5, if(ISBLANK('2025'!$S305), 0, 1), 6, if(ISBLANK('2025'!$T305), 0, 1), 7, 0))), 1, "")</f>
        <v/>
      </c>
      <c r="I307" s="1" t="str">
        <f>IF(AND(AND(AND(I$4&gt;='2025'!$L305,I$4&lt;='2025'!$M305), I$4&lt;&gt;DATE(2025,7,4)), (SWITCH(weekday(I$4), 1, 0, 2, if(ISBLANK('2025'!$P305), 0, 1), 3, if(ISBLANK('2025'!$Q305), 0, 1), 4, if(ISBLANK('2025'!$R305), 0, 1), 5, if(ISBLANK('2025'!$S305), 0, 1), 6, if(ISBLANK('2025'!$T305), 0, 1), 7, 0))), 1, "")</f>
        <v/>
      </c>
      <c r="J307" s="1" t="str">
        <f>IF(AND(AND(AND(J$4&gt;='2025'!$L305,J$4&lt;='2025'!$M305), J$4&lt;&gt;DATE(2025,7,4)), (SWITCH(weekday(J$4), 1, 0, 2, if(ISBLANK('2025'!$P305), 0, 1), 3, if(ISBLANK('2025'!$Q305), 0, 1), 4, if(ISBLANK('2025'!$R305), 0, 1), 5, if(ISBLANK('2025'!$S305), 0, 1), 6, if(ISBLANK('2025'!$T305), 0, 1), 7, 0))), 1, "")</f>
        <v/>
      </c>
      <c r="K307" s="1" t="str">
        <f>IF(AND(AND(AND(K$4&gt;='2025'!$L305,K$4&lt;='2025'!$M305), K$4&lt;&gt;DATE(2025,7,4)), (SWITCH(weekday(K$4), 1, 0, 2, if(ISBLANK('2025'!$P305), 0, 1), 3, if(ISBLANK('2025'!$Q305), 0, 1), 4, if(ISBLANK('2025'!$R305), 0, 1), 5, if(ISBLANK('2025'!$S305), 0, 1), 6, if(ISBLANK('2025'!$T305), 0, 1), 7, 0))), 1, "")</f>
        <v/>
      </c>
      <c r="L307" s="1" t="str">
        <f>IF(AND(AND(AND(L$4&gt;='2025'!$L305,L$4&lt;='2025'!$M305), L$4&lt;&gt;DATE(2025,7,4)), (SWITCH(weekday(L$4), 1, 0, 2, if(ISBLANK('2025'!$P305), 0, 1), 3, if(ISBLANK('2025'!$Q305), 0, 1), 4, if(ISBLANK('2025'!$R305), 0, 1), 5, if(ISBLANK('2025'!$S305), 0, 1), 6, if(ISBLANK('2025'!$T305), 0, 1), 7, 0))), 1, "")</f>
        <v/>
      </c>
      <c r="M307" s="1" t="str">
        <f>IF(AND(AND(AND(M$4&gt;='2025'!$L305,M$4&lt;='2025'!$M305), M$4&lt;&gt;DATE(2025,7,4)), (SWITCH(weekday(M$4), 1, 0, 2, if(ISBLANK('2025'!$P305), 0, 1), 3, if(ISBLANK('2025'!$Q305), 0, 1), 4, if(ISBLANK('2025'!$R305), 0, 1), 5, if(ISBLANK('2025'!$S305), 0, 1), 6, if(ISBLANK('2025'!$T305), 0, 1), 7, 0))), 1, "")</f>
        <v/>
      </c>
      <c r="N307" s="1" t="str">
        <f>IF(AND(AND(AND(N$4&gt;='2025'!$L305,N$4&lt;='2025'!$M305), N$4&lt;&gt;DATE(2025,7,4)), (SWITCH(weekday(N$4), 1, 0, 2, if(ISBLANK('2025'!$P305), 0, 1), 3, if(ISBLANK('2025'!$Q305), 0, 1), 4, if(ISBLANK('2025'!$R305), 0, 1), 5, if(ISBLANK('2025'!$S305), 0, 1), 6, if(ISBLANK('2025'!$T305), 0, 1), 7, 0))), 1, "")</f>
        <v/>
      </c>
      <c r="O307" s="1" t="str">
        <f>IF(AND(AND(AND(O$4&gt;='2025'!$L305,O$4&lt;='2025'!$M305), O$4&lt;&gt;DATE(2025,7,4)), (SWITCH(weekday(O$4), 1, 0, 2, if(ISBLANK('2025'!$P305), 0, 1), 3, if(ISBLANK('2025'!$Q305), 0, 1), 4, if(ISBLANK('2025'!$R305), 0, 1), 5, if(ISBLANK('2025'!$S305), 0, 1), 6, if(ISBLANK('2025'!$T305), 0, 1), 7, 0))), 1, "")</f>
        <v/>
      </c>
      <c r="P307" s="1" t="str">
        <f>IF(AND(AND(AND(P$4&gt;='2025'!$L305,P$4&lt;='2025'!$M305), P$4&lt;&gt;DATE(2025,7,4)), (SWITCH(weekday(P$4), 1, 0, 2, if(ISBLANK('2025'!$P305), 0, 1), 3, if(ISBLANK('2025'!$Q305), 0, 1), 4, if(ISBLANK('2025'!$R305), 0, 1), 5, if(ISBLANK('2025'!$S305), 0, 1), 6, if(ISBLANK('2025'!$T305), 0, 1), 7, 0))), 1, "")</f>
        <v/>
      </c>
      <c r="Q307" s="1" t="str">
        <f>IF(AND(AND(AND(Q$4&gt;='2025'!$L305,Q$4&lt;='2025'!$M305), Q$4&lt;&gt;DATE(2025,7,4)), (SWITCH(weekday(Q$4), 1, 0, 2, if(ISBLANK('2025'!$P305), 0, 1), 3, if(ISBLANK('2025'!$Q305), 0, 1), 4, if(ISBLANK('2025'!$R305), 0, 1), 5, if(ISBLANK('2025'!$S305), 0, 1), 6, if(ISBLANK('2025'!$T305), 0, 1), 7, 0))), 1, "")</f>
        <v/>
      </c>
      <c r="R307" s="1" t="str">
        <f>IF(AND(AND(AND(R$4&gt;='2025'!$L305,R$4&lt;='2025'!$M305), R$4&lt;&gt;DATE(2025,7,4)), (SWITCH(weekday(R$4), 1, 0, 2, if(ISBLANK('2025'!$P305), 0, 1), 3, if(ISBLANK('2025'!$Q305), 0, 1), 4, if(ISBLANK('2025'!$R305), 0, 1), 5, if(ISBLANK('2025'!$S305), 0, 1), 6, if(ISBLANK('2025'!$T305), 0, 1), 7, 0))), 1, "")</f>
        <v/>
      </c>
      <c r="S307" s="1" t="str">
        <f>IF(AND(AND(AND(S$4&gt;='2025'!$L305,S$4&lt;='2025'!$M305), S$4&lt;&gt;DATE(2025,7,4)), (SWITCH(weekday(S$4), 1, 0, 2, if(ISBLANK('2025'!$P305), 0, 1), 3, if(ISBLANK('2025'!$Q305), 0, 1), 4, if(ISBLANK('2025'!$R305), 0, 1), 5, if(ISBLANK('2025'!$S305), 0, 1), 6, if(ISBLANK('2025'!$T305), 0, 1), 7, 0))), 1, "")</f>
        <v/>
      </c>
      <c r="T307" s="1" t="str">
        <f>IF(AND(AND(AND(T$4&gt;='2025'!$L305,T$4&lt;='2025'!$M305), T$4&lt;&gt;DATE(2025,7,4)), (SWITCH(weekday(T$4), 1, 0, 2, if(ISBLANK('2025'!$P305), 0, 1), 3, if(ISBLANK('2025'!$Q305), 0, 1), 4, if(ISBLANK('2025'!$R305), 0, 1), 5, if(ISBLANK('2025'!$S305), 0, 1), 6, if(ISBLANK('2025'!$T305), 0, 1), 7, 0))), 1, "")</f>
        <v/>
      </c>
      <c r="U307" s="1" t="str">
        <f>IF(AND(AND(AND(U$4&gt;='2025'!$L305,U$4&lt;='2025'!$M305), U$4&lt;&gt;DATE(2025,7,4)), (SWITCH(weekday(U$4), 1, 0, 2, if(ISBLANK('2025'!$P305), 0, 1), 3, if(ISBLANK('2025'!$Q305), 0, 1), 4, if(ISBLANK('2025'!$R305), 0, 1), 5, if(ISBLANK('2025'!$S305), 0, 1), 6, if(ISBLANK('2025'!$T305), 0, 1), 7, 0))), 1, "")</f>
        <v/>
      </c>
      <c r="V307" s="1" t="str">
        <f>IF(AND(AND(AND(V$4&gt;='2025'!$L305,V$4&lt;='2025'!$M305), V$4&lt;&gt;DATE(2025,7,4)), (SWITCH(weekday(V$4), 1, 0, 2, if(ISBLANK('2025'!$P305), 0, 1), 3, if(ISBLANK('2025'!$Q305), 0, 1), 4, if(ISBLANK('2025'!$R305), 0, 1), 5, if(ISBLANK('2025'!$S305), 0, 1), 6, if(ISBLANK('2025'!$T305), 0, 1), 7, 0))), 1, "")</f>
        <v/>
      </c>
      <c r="W307" s="1" t="str">
        <f>IF(AND(AND(AND(W$4&gt;='2025'!$L305,W$4&lt;='2025'!$M305), W$4&lt;&gt;DATE(2025,7,4)), (SWITCH(weekday(W$4), 1, 0, 2, if(ISBLANK('2025'!$P305), 0, 1), 3, if(ISBLANK('2025'!$Q305), 0, 1), 4, if(ISBLANK('2025'!$R305), 0, 1), 5, if(ISBLANK('2025'!$S305), 0, 1), 6, if(ISBLANK('2025'!$T305), 0, 1), 7, 0))), 1, "")</f>
        <v/>
      </c>
      <c r="X307" s="1" t="str">
        <f>IF(AND(AND(AND(X$4&gt;='2025'!$L305,X$4&lt;='2025'!$M305), X$4&lt;&gt;DATE(2025,7,4)), (SWITCH(weekday(X$4), 1, 0, 2, if(ISBLANK('2025'!$P305), 0, 1), 3, if(ISBLANK('2025'!$Q305), 0, 1), 4, if(ISBLANK('2025'!$R305), 0, 1), 5, if(ISBLANK('2025'!$S305), 0, 1), 6, if(ISBLANK('2025'!$T305), 0, 1), 7, 0))), 1, "")</f>
        <v/>
      </c>
      <c r="Y307" s="1" t="str">
        <f>IF(AND(AND(AND(Y$4&gt;='2025'!$L305,Y$4&lt;='2025'!$M305), Y$4&lt;&gt;DATE(2025,7,4)), (SWITCH(weekday(Y$4), 1, 0, 2, if(ISBLANK('2025'!$P305), 0, 1), 3, if(ISBLANK('2025'!$Q305), 0, 1), 4, if(ISBLANK('2025'!$R305), 0, 1), 5, if(ISBLANK('2025'!$S305), 0, 1), 6, if(ISBLANK('2025'!$T305), 0, 1), 7, 0))), 1, "")</f>
        <v/>
      </c>
      <c r="Z307" s="1" t="str">
        <f>IF(AND(AND(AND(Z$4&gt;='2025'!$L305,Z$4&lt;='2025'!$M305), Z$4&lt;&gt;DATE(2025,7,4)), (SWITCH(weekday(Z$4), 1, 0, 2, if(ISBLANK('2025'!$P305), 0, 1), 3, if(ISBLANK('2025'!$Q305), 0, 1), 4, if(ISBLANK('2025'!$R305), 0, 1), 5, if(ISBLANK('2025'!$S305), 0, 1), 6, if(ISBLANK('2025'!$T305), 0, 1), 7, 0))), 1, "")</f>
        <v/>
      </c>
      <c r="AA307" s="1" t="str">
        <f>IF(AND(AND(AND(AA$4&gt;='2025'!$L305,AA$4&lt;='2025'!$M305), AA$4&lt;&gt;DATE(2025,7,4)), (SWITCH(weekday(AA$4), 1, 0, 2, if(ISBLANK('2025'!$P305), 0, 1), 3, if(ISBLANK('2025'!$Q305), 0, 1), 4, if(ISBLANK('2025'!$R305), 0, 1), 5, if(ISBLANK('2025'!$S305), 0, 1), 6, if(ISBLANK('2025'!$T305), 0, 1), 7, 0))), 1, "")</f>
        <v/>
      </c>
      <c r="AB307" s="1" t="str">
        <f>IF(AND(AND(AND(AB$4&gt;='2025'!$L305,AB$4&lt;='2025'!$M305), AB$4&lt;&gt;DATE(2025,7,4)), (SWITCH(weekday(AB$4), 1, 0, 2, if(ISBLANK('2025'!$P305), 0, 1), 3, if(ISBLANK('2025'!$Q305), 0, 1), 4, if(ISBLANK('2025'!$R305), 0, 1), 5, if(ISBLANK('2025'!$S305), 0, 1), 6, if(ISBLANK('2025'!$T305), 0, 1), 7, 0))), 1, "")</f>
        <v/>
      </c>
      <c r="AC307" s="1" t="str">
        <f>IF(AND(AND(AND(AC$4&gt;='2025'!$L305,AC$4&lt;='2025'!$M305), AC$4&lt;&gt;DATE(2025,7,4)), (SWITCH(weekday(AC$4), 1, 0, 2, if(ISBLANK('2025'!$P305), 0, 1), 3, if(ISBLANK('2025'!$Q305), 0, 1), 4, if(ISBLANK('2025'!$R305), 0, 1), 5, if(ISBLANK('2025'!$S305), 0, 1), 6, if(ISBLANK('2025'!$T305), 0, 1), 7, 0))), 1, "")</f>
        <v/>
      </c>
      <c r="AD307" s="1" t="str">
        <f>IF(AND(AND(AND(AD$4&gt;='2025'!$L305,AD$4&lt;='2025'!$M305), AD$4&lt;&gt;DATE(2025,7,4)), (SWITCH(weekday(AD$4), 1, 0, 2, if(ISBLANK('2025'!$P305), 0, 1), 3, if(ISBLANK('2025'!$Q305), 0, 1), 4, if(ISBLANK('2025'!$R305), 0, 1), 5, if(ISBLANK('2025'!$S305), 0, 1), 6, if(ISBLANK('2025'!$T305), 0, 1), 7, 0))), 1, "")</f>
        <v/>
      </c>
      <c r="AE307" s="1" t="str">
        <f>IF(AND(AND(AND(AE$4&gt;='2025'!$L305,AE$4&lt;='2025'!$M305), AE$4&lt;&gt;DATE(2025,7,4)), (SWITCH(weekday(AE$4), 1, 0, 2, if(ISBLANK('2025'!$P305), 0, 1), 3, if(ISBLANK('2025'!$Q305), 0, 1), 4, if(ISBLANK('2025'!$R305), 0, 1), 5, if(ISBLANK('2025'!$S305), 0, 1), 6, if(ISBLANK('2025'!$T305), 0, 1), 7, 0))), 1, "")</f>
        <v/>
      </c>
      <c r="AF307" s="1" t="str">
        <f>IF(AND(AND(AND(AF$4&gt;='2025'!$L305,AF$4&lt;='2025'!$M305), AF$4&lt;&gt;DATE(2025,7,4)), (SWITCH(weekday(AF$4), 1, 0, 2, if(ISBLANK('2025'!$P305), 0, 1), 3, if(ISBLANK('2025'!$Q305), 0, 1), 4, if(ISBLANK('2025'!$R305), 0, 1), 5, if(ISBLANK('2025'!$S305), 0, 1), 6, if(ISBLANK('2025'!$T305), 0, 1), 7, 0))), 1, "")</f>
        <v/>
      </c>
      <c r="AG307" s="1" t="str">
        <f>IF(AND(AND(AND(AG$4&gt;='2025'!$L305,AG$4&lt;='2025'!$M305), AG$4&lt;&gt;DATE(2025,7,4)), (SWITCH(weekday(AG$4), 1, 0, 2, if(ISBLANK('2025'!$P305), 0, 1), 3, if(ISBLANK('2025'!$Q305), 0, 1), 4, if(ISBLANK('2025'!$R305), 0, 1), 5, if(ISBLANK('2025'!$S305), 0, 1), 6, if(ISBLANK('2025'!$T305), 0, 1), 7, 0))), 1, "")</f>
        <v/>
      </c>
      <c r="AH307" s="1" t="str">
        <f>IF(AND(AND(AND(AH$4&gt;='2025'!$L305,AH$4&lt;='2025'!$M305), AH$4&lt;&gt;DATE(2025,7,4)), (SWITCH(weekday(AH$4), 1, 0, 2, if(ISBLANK('2025'!$P305), 0, 1), 3, if(ISBLANK('2025'!$Q305), 0, 1), 4, if(ISBLANK('2025'!$R305), 0, 1), 5, if(ISBLANK('2025'!$S305), 0, 1), 6, if(ISBLANK('2025'!$T305), 0, 1), 7, 0))), 1, "")</f>
        <v/>
      </c>
      <c r="AI307" s="1" t="str">
        <f>IF(AND(AND(AND(AI$4&gt;='2025'!$L305,AI$4&lt;='2025'!$M305), AI$4&lt;&gt;DATE(2025,7,4)), (SWITCH(weekday(AI$4), 1, 0, 2, if(ISBLANK('2025'!$P305), 0, 1), 3, if(ISBLANK('2025'!$Q305), 0, 1), 4, if(ISBLANK('2025'!$R305), 0, 1), 5, if(ISBLANK('2025'!$S305), 0, 1), 6, if(ISBLANK('2025'!$T305), 0, 1), 7, 0))), 1, "")</f>
        <v/>
      </c>
      <c r="AJ307" s="1" t="str">
        <f>IF(AND(AND(AND(AJ$4&gt;='2025'!$L305,AJ$4&lt;='2025'!$M305), AJ$4&lt;&gt;DATE(2025,7,4)), (SWITCH(weekday(AJ$4), 1, 0, 2, if(ISBLANK('2025'!$P305), 0, 1), 3, if(ISBLANK('2025'!$Q305), 0, 1), 4, if(ISBLANK('2025'!$R305), 0, 1), 5, if(ISBLANK('2025'!$S305), 0, 1), 6, if(ISBLANK('2025'!$T305), 0, 1), 7, 0))), 1, "")</f>
        <v/>
      </c>
      <c r="AK307" s="1" t="str">
        <f>IF(AND(AND(AND(AK$4&gt;='2025'!$L305,AK$4&lt;='2025'!$M305), AK$4&lt;&gt;DATE(2025,7,4)), (SWITCH(weekday(AK$4), 1, 0, 2, if(ISBLANK('2025'!$P305), 0, 1), 3, if(ISBLANK('2025'!$Q305), 0, 1), 4, if(ISBLANK('2025'!$R305), 0, 1), 5, if(ISBLANK('2025'!$S305), 0, 1), 6, if(ISBLANK('2025'!$T305), 0, 1), 7, 0))), 1, "")</f>
        <v/>
      </c>
      <c r="AL307" s="1" t="str">
        <f>IF(AND(AND(AND(AL$4&gt;='2025'!$L305,AL$4&lt;='2025'!$M305), AL$4&lt;&gt;DATE(2025,7,4)), (SWITCH(weekday(AL$4), 1, 0, 2, if(ISBLANK('2025'!$P305), 0, 1), 3, if(ISBLANK('2025'!$Q305), 0, 1), 4, if(ISBLANK('2025'!$R305), 0, 1), 5, if(ISBLANK('2025'!$S305), 0, 1), 6, if(ISBLANK('2025'!$T305), 0, 1), 7, 0))), 1, "")</f>
        <v/>
      </c>
      <c r="AM307" s="1" t="str">
        <f>IF(AND(AND(AND(AM$4&gt;='2025'!$L305,AM$4&lt;='2025'!$M305), AM$4&lt;&gt;DATE(2025,7,4)), (SWITCH(weekday(AM$4), 1, 0, 2, if(ISBLANK('2025'!$P305), 0, 1), 3, if(ISBLANK('2025'!$Q305), 0, 1), 4, if(ISBLANK('2025'!$R305), 0, 1), 5, if(ISBLANK('2025'!$S305), 0, 1), 6, if(ISBLANK('2025'!$T305), 0, 1), 7, 0))), 1, "")</f>
        <v/>
      </c>
      <c r="AN307" s="1" t="str">
        <f>IF(AND(AND(AND(AN$4&gt;='2025'!$L305,AN$4&lt;='2025'!$M305), AN$4&lt;&gt;DATE(2025,7,4)), (SWITCH(weekday(AN$4), 1, 0, 2, if(ISBLANK('2025'!$P305), 0, 1), 3, if(ISBLANK('2025'!$Q305), 0, 1), 4, if(ISBLANK('2025'!$R305), 0, 1), 5, if(ISBLANK('2025'!$S305), 0, 1), 6, if(ISBLANK('2025'!$T305), 0, 1), 7, 0))), 1, "")</f>
        <v/>
      </c>
      <c r="AO307" s="1" t="str">
        <f>IF(AND(AND(AND(AO$4&gt;='2025'!$L305,AO$4&lt;='2025'!$M305), AO$4&lt;&gt;DATE(2025,7,4)), (SWITCH(weekday(AO$4), 1, 0, 2, if(ISBLANK('2025'!$P305), 0, 1), 3, if(ISBLANK('2025'!$Q305), 0, 1), 4, if(ISBLANK('2025'!$R305), 0, 1), 5, if(ISBLANK('2025'!$S305), 0, 1), 6, if(ISBLANK('2025'!$T305), 0, 1), 7, 0))), 1, "")</f>
        <v/>
      </c>
      <c r="AP307" s="1" t="str">
        <f>IF(AND(AND(AND(AP$4&gt;='2025'!$L305,AP$4&lt;='2025'!$M305), AP$4&lt;&gt;DATE(2025,7,4)), (SWITCH(weekday(AP$4), 1, 0, 2, if(ISBLANK('2025'!$P305), 0, 1), 3, if(ISBLANK('2025'!$Q305), 0, 1), 4, if(ISBLANK('2025'!$R305), 0, 1), 5, if(ISBLANK('2025'!$S305), 0, 1), 6, if(ISBLANK('2025'!$T305), 0, 1), 7, 0))), 1, "")</f>
        <v/>
      </c>
      <c r="AQ307" s="1" t="str">
        <f>IF(AND(AND(AND(AQ$4&gt;='2025'!$L305,AQ$4&lt;='2025'!$M305), AQ$4&lt;&gt;DATE(2025,7,4)), (SWITCH(weekday(AQ$4), 1, 0, 2, if(ISBLANK('2025'!$P305), 0, 1), 3, if(ISBLANK('2025'!$Q305), 0, 1), 4, if(ISBLANK('2025'!$R305), 0, 1), 5, if(ISBLANK('2025'!$S305), 0, 1), 6, if(ISBLANK('2025'!$T305), 0, 1), 7, 0))), 1, "")</f>
        <v/>
      </c>
      <c r="AR307" s="1" t="str">
        <f>IF(AND(AND(AND(AR$4&gt;='2025'!$L305,AR$4&lt;='2025'!$M305), AR$4&lt;&gt;DATE(2025,7,4)), (SWITCH(weekday(AR$4), 1, 0, 2, if(ISBLANK('2025'!$P305), 0, 1), 3, if(ISBLANK('2025'!$Q305), 0, 1), 4, if(ISBLANK('2025'!$R305), 0, 1), 5, if(ISBLANK('2025'!$S305), 0, 1), 6, if(ISBLANK('2025'!$T305), 0, 1), 7, 0))), 1, "")</f>
        <v/>
      </c>
      <c r="AS307" s="1" t="str">
        <f>IF(AND(AND(AND(AS$4&gt;='2025'!$L305,AS$4&lt;='2025'!$M305), AS$4&lt;&gt;DATE(2025,7,4)), (SWITCH(weekday(AS$4), 1, 0, 2, if(ISBLANK('2025'!$P305), 0, 1), 3, if(ISBLANK('2025'!$Q305), 0, 1), 4, if(ISBLANK('2025'!$R305), 0, 1), 5, if(ISBLANK('2025'!$S305), 0, 1), 6, if(ISBLANK('2025'!$T305), 0, 1), 7, 0))), 1, "")</f>
        <v/>
      </c>
      <c r="AT307" s="1" t="str">
        <f>IF(AND(AND(AND(AT$4&gt;='2025'!$L305,AT$4&lt;='2025'!$M305), AT$4&lt;&gt;DATE(2025,7,4)), (SWITCH(weekday(AT$4), 1, 0, 2, if(ISBLANK('2025'!$P305), 0, 1), 3, if(ISBLANK('2025'!$Q305), 0, 1), 4, if(ISBLANK('2025'!$R305), 0, 1), 5, if(ISBLANK('2025'!$S305), 0, 1), 6, if(ISBLANK('2025'!$T305), 0, 1), 7, 0))), 1, "")</f>
        <v/>
      </c>
      <c r="AU307" s="1" t="str">
        <f>IF(AND(AND(AND(AU$4&gt;='2025'!$L305,AU$4&lt;='2025'!$M305), AU$4&lt;&gt;DATE(2025,7,4)), (SWITCH(weekday(AU$4), 1, 0, 2, if(ISBLANK('2025'!$P305), 0, 1), 3, if(ISBLANK('2025'!$Q305), 0, 1), 4, if(ISBLANK('2025'!$R305), 0, 1), 5, if(ISBLANK('2025'!$S305), 0, 1), 6, if(ISBLANK('2025'!$T305), 0, 1), 7, 0))), 1, "")</f>
        <v/>
      </c>
      <c r="AV307" s="1" t="str">
        <f>IF(AND(AND(AND(AV$4&gt;='2025'!$L305,AV$4&lt;='2025'!$M305), AV$4&lt;&gt;DATE(2025,7,4)), (SWITCH(weekday(AV$4), 1, 0, 2, if(ISBLANK('2025'!$P305), 0, 1), 3, if(ISBLANK('2025'!$Q305), 0, 1), 4, if(ISBLANK('2025'!$R305), 0, 1), 5, if(ISBLANK('2025'!$S305), 0, 1), 6, if(ISBLANK('2025'!$T305), 0, 1), 7, 0))), 1, "")</f>
        <v/>
      </c>
      <c r="AW307" s="1" t="str">
        <f>IF(AND(AND(AND(AW$4&gt;='2025'!$L305,AW$4&lt;='2025'!$M305), AW$4&lt;&gt;DATE(2025,7,4)), (SWITCH(weekday(AW$4), 1, 0, 2, if(ISBLANK('2025'!$P305), 0, 1), 3, if(ISBLANK('2025'!$Q305), 0, 1), 4, if(ISBLANK('2025'!$R305), 0, 1), 5, if(ISBLANK('2025'!$S305), 0, 1), 6, if(ISBLANK('2025'!$T305), 0, 1), 7, 0))), 1, "")</f>
        <v/>
      </c>
      <c r="AX307" s="1" t="str">
        <f>IF(AND(AND(AND(AX$4&gt;='2025'!$L305,AX$4&lt;='2025'!$M305), AX$4&lt;&gt;DATE(2025,7,4)), (SWITCH(weekday(AX$4), 1, 0, 2, if(ISBLANK('2025'!$P305), 0, 1), 3, if(ISBLANK('2025'!$Q305), 0, 1), 4, if(ISBLANK('2025'!$R305), 0, 1), 5, if(ISBLANK('2025'!$S305), 0, 1), 6, if(ISBLANK('2025'!$T305), 0, 1), 7, 0))), 1, "")</f>
        <v/>
      </c>
      <c r="AY307" s="1" t="str">
        <f>IF(AND(AND(AND(AY$4&gt;='2025'!$L305,AY$4&lt;='2025'!$M305), AY$4&lt;&gt;DATE(2025,7,4)), (SWITCH(weekday(AY$4), 1, 0, 2, if(ISBLANK('2025'!$P305), 0, 1), 3, if(ISBLANK('2025'!$Q305), 0, 1), 4, if(ISBLANK('2025'!$R305), 0, 1), 5, if(ISBLANK('2025'!$S305), 0, 1), 6, if(ISBLANK('2025'!$T305), 0, 1), 7, 0))), 1, "")</f>
        <v/>
      </c>
      <c r="AZ307" s="1" t="str">
        <f>IF(AND(AND(AND(AZ$4&gt;='2025'!$L305,AZ$4&lt;='2025'!$M305), AZ$4&lt;&gt;DATE(2025,7,4)), (SWITCH(weekday(AZ$4), 1, 0, 2, if(ISBLANK('2025'!$P305), 0, 1), 3, if(ISBLANK('2025'!$Q305), 0, 1), 4, if(ISBLANK('2025'!$R305), 0, 1), 5, if(ISBLANK('2025'!$S305), 0, 1), 6, if(ISBLANK('2025'!$T305), 0, 1), 7, 0))), 1, "")</f>
        <v/>
      </c>
      <c r="BA307" s="1" t="str">
        <f>IF(AND(AND(AND(BA$4&gt;='2025'!$L305,BA$4&lt;='2025'!$M305), BA$4&lt;&gt;DATE(2025,7,4)), (SWITCH(weekday(BA$4), 1, 0, 2, if(ISBLANK('2025'!$P305), 0, 1), 3, if(ISBLANK('2025'!$Q305), 0, 1), 4, if(ISBLANK('2025'!$R305), 0, 1), 5, if(ISBLANK('2025'!$S305), 0, 1), 6, if(ISBLANK('2025'!$T305), 0, 1), 7, 0))), 1, "")</f>
        <v/>
      </c>
      <c r="BB307" s="1" t="str">
        <f>IF(AND(AND(AND(BB$4&gt;='2025'!$L305,BB$4&lt;='2025'!$M305), BB$4&lt;&gt;DATE(2025,7,4)), (SWITCH(weekday(BB$4), 1, 0, 2, if(ISBLANK('2025'!$P305), 0, 1), 3, if(ISBLANK('2025'!$Q305), 0, 1), 4, if(ISBLANK('2025'!$R305), 0, 1), 5, if(ISBLANK('2025'!$S305), 0, 1), 6, if(ISBLANK('2025'!$T305), 0, 1), 7, 0))), 1, "")</f>
        <v/>
      </c>
      <c r="BC307" s="1" t="str">
        <f>IF(AND(AND(AND(BC$4&gt;='2025'!$L305,BC$4&lt;='2025'!$M305), BC$4&lt;&gt;DATE(2025,7,4)), (SWITCH(weekday(BC$4), 1, 0, 2, if(ISBLANK('2025'!$P305), 0, 1), 3, if(ISBLANK('2025'!$Q305), 0, 1), 4, if(ISBLANK('2025'!$R305), 0, 1), 5, if(ISBLANK('2025'!$S305), 0, 1), 6, if(ISBLANK('2025'!$T305), 0, 1), 7, 0))), 1, "")</f>
        <v/>
      </c>
      <c r="BD307" s="1" t="str">
        <f>IF(AND(AND(AND(BD$4&gt;='2025'!$L305,BD$4&lt;='2025'!$M305), BD$4&lt;&gt;DATE(2025,7,4)), (SWITCH(weekday(BD$4), 1, 0, 2, if(ISBLANK('2025'!$P305), 0, 1), 3, if(ISBLANK('2025'!$Q305), 0, 1), 4, if(ISBLANK('2025'!$R305), 0, 1), 5, if(ISBLANK('2025'!$S305), 0, 1), 6, if(ISBLANK('2025'!$T305), 0, 1), 7, 0))), 1, "")</f>
        <v/>
      </c>
      <c r="BE307" s="1" t="str">
        <f>IF(AND(AND(AND(BE$4&gt;='2025'!$L305,BE$4&lt;='2025'!$M305), BE$4&lt;&gt;DATE(2025,7,4)), (SWITCH(weekday(BE$4), 1, 0, 2, if(ISBLANK('2025'!$P305), 0, 1), 3, if(ISBLANK('2025'!$Q305), 0, 1), 4, if(ISBLANK('2025'!$R305), 0, 1), 5, if(ISBLANK('2025'!$S305), 0, 1), 6, if(ISBLANK('2025'!$T305), 0, 1), 7, 0))), 1, "")</f>
        <v/>
      </c>
      <c r="BF307" s="1" t="str">
        <f>IF(AND(AND(AND(BF$4&gt;='2025'!$L305,BF$4&lt;='2025'!$M305), BF$4&lt;&gt;DATE(2025,7,4)), (SWITCH(weekday(BF$4), 1, 0, 2, if(ISBLANK('2025'!$P305), 0, 1), 3, if(ISBLANK('2025'!$Q305), 0, 1), 4, if(ISBLANK('2025'!$R305), 0, 1), 5, if(ISBLANK('2025'!$S305), 0, 1), 6, if(ISBLANK('2025'!$T305), 0, 1), 7, 0))), 1, "")</f>
        <v/>
      </c>
      <c r="BG307" s="1"/>
      <c r="BH307" s="1"/>
      <c r="BI307" s="1"/>
      <c r="BJ307" s="1"/>
      <c r="BK307" s="1"/>
      <c r="BL307" s="1"/>
    </row>
    <row r="308">
      <c r="A308" s="1">
        <f t="shared" si="3"/>
        <v>308</v>
      </c>
      <c r="B308" s="1" t="str">
        <f>'2025'!D272</f>
        <v>, </v>
      </c>
      <c r="C308" s="1" t="str">
        <f>'2025'!H272</f>
        <v/>
      </c>
      <c r="D308" s="1" t="str">
        <f>IF(AND(AND(AND(D$4&gt;='2025'!$L306,D$4&lt;='2025'!$M306), D$4&lt;&gt;DATE(2025,7,4)), (SWITCH(weekday(D$4), 1, 0, 2, if(ISBLANK('2025'!$P306), 0, 1), 3, if(ISBLANK('2025'!$Q306), 0, 1), 4, if(ISBLANK('2025'!$R306), 0, 1), 5, if(ISBLANK('2025'!$S306), 0, 1), 6, if(ISBLANK('2025'!$T306), 0, 1), 7, 0))), 1, "")</f>
        <v/>
      </c>
      <c r="E308" s="1" t="str">
        <f>IF(AND(AND(AND(E$4&gt;='2025'!$L306,E$4&lt;='2025'!$M306), E$4&lt;&gt;DATE(2025,7,4)), (SWITCH(weekday(E$4), 1, 0, 2, if(ISBLANK('2025'!$P306), 0, 1), 3, if(ISBLANK('2025'!$Q306), 0, 1), 4, if(ISBLANK('2025'!$R306), 0, 1), 5, if(ISBLANK('2025'!$S306), 0, 1), 6, if(ISBLANK('2025'!$T306), 0, 1), 7, 0))), 1, "")</f>
        <v/>
      </c>
      <c r="F308" s="1" t="str">
        <f>IF(AND(AND(AND(F$4&gt;='2025'!$L306,F$4&lt;='2025'!$M306), F$4&lt;&gt;DATE(2025,7,4)), (SWITCH(weekday(F$4), 1, 0, 2, if(ISBLANK('2025'!$P306), 0, 1), 3, if(ISBLANK('2025'!$Q306), 0, 1), 4, if(ISBLANK('2025'!$R306), 0, 1), 5, if(ISBLANK('2025'!$S306), 0, 1), 6, if(ISBLANK('2025'!$T306), 0, 1), 7, 0))), 1, "")</f>
        <v/>
      </c>
      <c r="G308" s="1" t="str">
        <f>IF(AND(AND(AND(G$4&gt;='2025'!$L306,G$4&lt;='2025'!$M306), G$4&lt;&gt;DATE(2025,7,4)), (SWITCH(weekday(G$4), 1, 0, 2, if(ISBLANK('2025'!$P306), 0, 1), 3, if(ISBLANK('2025'!$Q306), 0, 1), 4, if(ISBLANK('2025'!$R306), 0, 1), 5, if(ISBLANK('2025'!$S306), 0, 1), 6, if(ISBLANK('2025'!$T306), 0, 1), 7, 0))), 1, "")</f>
        <v/>
      </c>
      <c r="H308" s="1" t="str">
        <f>IF(AND(AND(AND(H$4&gt;='2025'!$L306,H$4&lt;='2025'!$M306), H$4&lt;&gt;DATE(2025,7,4)), (SWITCH(weekday(H$4), 1, 0, 2, if(ISBLANK('2025'!$P306), 0, 1), 3, if(ISBLANK('2025'!$Q306), 0, 1), 4, if(ISBLANK('2025'!$R306), 0, 1), 5, if(ISBLANK('2025'!$S306), 0, 1), 6, if(ISBLANK('2025'!$T306), 0, 1), 7, 0))), 1, "")</f>
        <v/>
      </c>
      <c r="I308" s="1" t="str">
        <f>IF(AND(AND(AND(I$4&gt;='2025'!$L306,I$4&lt;='2025'!$M306), I$4&lt;&gt;DATE(2025,7,4)), (SWITCH(weekday(I$4), 1, 0, 2, if(ISBLANK('2025'!$P306), 0, 1), 3, if(ISBLANK('2025'!$Q306), 0, 1), 4, if(ISBLANK('2025'!$R306), 0, 1), 5, if(ISBLANK('2025'!$S306), 0, 1), 6, if(ISBLANK('2025'!$T306), 0, 1), 7, 0))), 1, "")</f>
        <v/>
      </c>
      <c r="J308" s="1" t="str">
        <f>IF(AND(AND(AND(J$4&gt;='2025'!$L306,J$4&lt;='2025'!$M306), J$4&lt;&gt;DATE(2025,7,4)), (SWITCH(weekday(J$4), 1, 0, 2, if(ISBLANK('2025'!$P306), 0, 1), 3, if(ISBLANK('2025'!$Q306), 0, 1), 4, if(ISBLANK('2025'!$R306), 0, 1), 5, if(ISBLANK('2025'!$S306), 0, 1), 6, if(ISBLANK('2025'!$T306), 0, 1), 7, 0))), 1, "")</f>
        <v/>
      </c>
      <c r="K308" s="1" t="str">
        <f>IF(AND(AND(AND(K$4&gt;='2025'!$L306,K$4&lt;='2025'!$M306), K$4&lt;&gt;DATE(2025,7,4)), (SWITCH(weekday(K$4), 1, 0, 2, if(ISBLANK('2025'!$P306), 0, 1), 3, if(ISBLANK('2025'!$Q306), 0, 1), 4, if(ISBLANK('2025'!$R306), 0, 1), 5, if(ISBLANK('2025'!$S306), 0, 1), 6, if(ISBLANK('2025'!$T306), 0, 1), 7, 0))), 1, "")</f>
        <v/>
      </c>
      <c r="L308" s="1" t="str">
        <f>IF(AND(AND(AND(L$4&gt;='2025'!$L306,L$4&lt;='2025'!$M306), L$4&lt;&gt;DATE(2025,7,4)), (SWITCH(weekday(L$4), 1, 0, 2, if(ISBLANK('2025'!$P306), 0, 1), 3, if(ISBLANK('2025'!$Q306), 0, 1), 4, if(ISBLANK('2025'!$R306), 0, 1), 5, if(ISBLANK('2025'!$S306), 0, 1), 6, if(ISBLANK('2025'!$T306), 0, 1), 7, 0))), 1, "")</f>
        <v/>
      </c>
      <c r="M308" s="1" t="str">
        <f>IF(AND(AND(AND(M$4&gt;='2025'!$L306,M$4&lt;='2025'!$M306), M$4&lt;&gt;DATE(2025,7,4)), (SWITCH(weekday(M$4), 1, 0, 2, if(ISBLANK('2025'!$P306), 0, 1), 3, if(ISBLANK('2025'!$Q306), 0, 1), 4, if(ISBLANK('2025'!$R306), 0, 1), 5, if(ISBLANK('2025'!$S306), 0, 1), 6, if(ISBLANK('2025'!$T306), 0, 1), 7, 0))), 1, "")</f>
        <v/>
      </c>
      <c r="N308" s="1" t="str">
        <f>IF(AND(AND(AND(N$4&gt;='2025'!$L306,N$4&lt;='2025'!$M306), N$4&lt;&gt;DATE(2025,7,4)), (SWITCH(weekday(N$4), 1, 0, 2, if(ISBLANK('2025'!$P306), 0, 1), 3, if(ISBLANK('2025'!$Q306), 0, 1), 4, if(ISBLANK('2025'!$R306), 0, 1), 5, if(ISBLANK('2025'!$S306), 0, 1), 6, if(ISBLANK('2025'!$T306), 0, 1), 7, 0))), 1, "")</f>
        <v/>
      </c>
      <c r="O308" s="1" t="str">
        <f>IF(AND(AND(AND(O$4&gt;='2025'!$L306,O$4&lt;='2025'!$M306), O$4&lt;&gt;DATE(2025,7,4)), (SWITCH(weekday(O$4), 1, 0, 2, if(ISBLANK('2025'!$P306), 0, 1), 3, if(ISBLANK('2025'!$Q306), 0, 1), 4, if(ISBLANK('2025'!$R306), 0, 1), 5, if(ISBLANK('2025'!$S306), 0, 1), 6, if(ISBLANK('2025'!$T306), 0, 1), 7, 0))), 1, "")</f>
        <v/>
      </c>
      <c r="P308" s="1" t="str">
        <f>IF(AND(AND(AND(P$4&gt;='2025'!$L306,P$4&lt;='2025'!$M306), P$4&lt;&gt;DATE(2025,7,4)), (SWITCH(weekday(P$4), 1, 0, 2, if(ISBLANK('2025'!$P306), 0, 1), 3, if(ISBLANK('2025'!$Q306), 0, 1), 4, if(ISBLANK('2025'!$R306), 0, 1), 5, if(ISBLANK('2025'!$S306), 0, 1), 6, if(ISBLANK('2025'!$T306), 0, 1), 7, 0))), 1, "")</f>
        <v/>
      </c>
      <c r="Q308" s="1" t="str">
        <f>IF(AND(AND(AND(Q$4&gt;='2025'!$L306,Q$4&lt;='2025'!$M306), Q$4&lt;&gt;DATE(2025,7,4)), (SWITCH(weekday(Q$4), 1, 0, 2, if(ISBLANK('2025'!$P306), 0, 1), 3, if(ISBLANK('2025'!$Q306), 0, 1), 4, if(ISBLANK('2025'!$R306), 0, 1), 5, if(ISBLANK('2025'!$S306), 0, 1), 6, if(ISBLANK('2025'!$T306), 0, 1), 7, 0))), 1, "")</f>
        <v/>
      </c>
      <c r="R308" s="1" t="str">
        <f>IF(AND(AND(AND(R$4&gt;='2025'!$L306,R$4&lt;='2025'!$M306), R$4&lt;&gt;DATE(2025,7,4)), (SWITCH(weekday(R$4), 1, 0, 2, if(ISBLANK('2025'!$P306), 0, 1), 3, if(ISBLANK('2025'!$Q306), 0, 1), 4, if(ISBLANK('2025'!$R306), 0, 1), 5, if(ISBLANK('2025'!$S306), 0, 1), 6, if(ISBLANK('2025'!$T306), 0, 1), 7, 0))), 1, "")</f>
        <v/>
      </c>
      <c r="S308" s="1" t="str">
        <f>IF(AND(AND(AND(S$4&gt;='2025'!$L306,S$4&lt;='2025'!$M306), S$4&lt;&gt;DATE(2025,7,4)), (SWITCH(weekday(S$4), 1, 0, 2, if(ISBLANK('2025'!$P306), 0, 1), 3, if(ISBLANK('2025'!$Q306), 0, 1), 4, if(ISBLANK('2025'!$R306), 0, 1), 5, if(ISBLANK('2025'!$S306), 0, 1), 6, if(ISBLANK('2025'!$T306), 0, 1), 7, 0))), 1, "")</f>
        <v/>
      </c>
      <c r="T308" s="1" t="str">
        <f>IF(AND(AND(AND(T$4&gt;='2025'!$L306,T$4&lt;='2025'!$M306), T$4&lt;&gt;DATE(2025,7,4)), (SWITCH(weekday(T$4), 1, 0, 2, if(ISBLANK('2025'!$P306), 0, 1), 3, if(ISBLANK('2025'!$Q306), 0, 1), 4, if(ISBLANK('2025'!$R306), 0, 1), 5, if(ISBLANK('2025'!$S306), 0, 1), 6, if(ISBLANK('2025'!$T306), 0, 1), 7, 0))), 1, "")</f>
        <v/>
      </c>
      <c r="U308" s="1" t="str">
        <f>IF(AND(AND(AND(U$4&gt;='2025'!$L306,U$4&lt;='2025'!$M306), U$4&lt;&gt;DATE(2025,7,4)), (SWITCH(weekday(U$4), 1, 0, 2, if(ISBLANK('2025'!$P306), 0, 1), 3, if(ISBLANK('2025'!$Q306), 0, 1), 4, if(ISBLANK('2025'!$R306), 0, 1), 5, if(ISBLANK('2025'!$S306), 0, 1), 6, if(ISBLANK('2025'!$T306), 0, 1), 7, 0))), 1, "")</f>
        <v/>
      </c>
      <c r="V308" s="1" t="str">
        <f>IF(AND(AND(AND(V$4&gt;='2025'!$L306,V$4&lt;='2025'!$M306), V$4&lt;&gt;DATE(2025,7,4)), (SWITCH(weekday(V$4), 1, 0, 2, if(ISBLANK('2025'!$P306), 0, 1), 3, if(ISBLANK('2025'!$Q306), 0, 1), 4, if(ISBLANK('2025'!$R306), 0, 1), 5, if(ISBLANK('2025'!$S306), 0, 1), 6, if(ISBLANK('2025'!$T306), 0, 1), 7, 0))), 1, "")</f>
        <v/>
      </c>
      <c r="W308" s="1" t="str">
        <f>IF(AND(AND(AND(W$4&gt;='2025'!$L306,W$4&lt;='2025'!$M306), W$4&lt;&gt;DATE(2025,7,4)), (SWITCH(weekday(W$4), 1, 0, 2, if(ISBLANK('2025'!$P306), 0, 1), 3, if(ISBLANK('2025'!$Q306), 0, 1), 4, if(ISBLANK('2025'!$R306), 0, 1), 5, if(ISBLANK('2025'!$S306), 0, 1), 6, if(ISBLANK('2025'!$T306), 0, 1), 7, 0))), 1, "")</f>
        <v/>
      </c>
      <c r="X308" s="1" t="str">
        <f>IF(AND(AND(AND(X$4&gt;='2025'!$L306,X$4&lt;='2025'!$M306), X$4&lt;&gt;DATE(2025,7,4)), (SWITCH(weekday(X$4), 1, 0, 2, if(ISBLANK('2025'!$P306), 0, 1), 3, if(ISBLANK('2025'!$Q306), 0, 1), 4, if(ISBLANK('2025'!$R306), 0, 1), 5, if(ISBLANK('2025'!$S306), 0, 1), 6, if(ISBLANK('2025'!$T306), 0, 1), 7, 0))), 1, "")</f>
        <v/>
      </c>
      <c r="Y308" s="1" t="str">
        <f>IF(AND(AND(AND(Y$4&gt;='2025'!$L306,Y$4&lt;='2025'!$M306), Y$4&lt;&gt;DATE(2025,7,4)), (SWITCH(weekday(Y$4), 1, 0, 2, if(ISBLANK('2025'!$P306), 0, 1), 3, if(ISBLANK('2025'!$Q306), 0, 1), 4, if(ISBLANK('2025'!$R306), 0, 1), 5, if(ISBLANK('2025'!$S306), 0, 1), 6, if(ISBLANK('2025'!$T306), 0, 1), 7, 0))), 1, "")</f>
        <v/>
      </c>
      <c r="Z308" s="1" t="str">
        <f>IF(AND(AND(AND(Z$4&gt;='2025'!$L306,Z$4&lt;='2025'!$M306), Z$4&lt;&gt;DATE(2025,7,4)), (SWITCH(weekday(Z$4), 1, 0, 2, if(ISBLANK('2025'!$P306), 0, 1), 3, if(ISBLANK('2025'!$Q306), 0, 1), 4, if(ISBLANK('2025'!$R306), 0, 1), 5, if(ISBLANK('2025'!$S306), 0, 1), 6, if(ISBLANK('2025'!$T306), 0, 1), 7, 0))), 1, "")</f>
        <v/>
      </c>
      <c r="AA308" s="1" t="str">
        <f>IF(AND(AND(AND(AA$4&gt;='2025'!$L306,AA$4&lt;='2025'!$M306), AA$4&lt;&gt;DATE(2025,7,4)), (SWITCH(weekday(AA$4), 1, 0, 2, if(ISBLANK('2025'!$P306), 0, 1), 3, if(ISBLANK('2025'!$Q306), 0, 1), 4, if(ISBLANK('2025'!$R306), 0, 1), 5, if(ISBLANK('2025'!$S306), 0, 1), 6, if(ISBLANK('2025'!$T306), 0, 1), 7, 0))), 1, "")</f>
        <v/>
      </c>
      <c r="AB308" s="1" t="str">
        <f>IF(AND(AND(AND(AB$4&gt;='2025'!$L306,AB$4&lt;='2025'!$M306), AB$4&lt;&gt;DATE(2025,7,4)), (SWITCH(weekday(AB$4), 1, 0, 2, if(ISBLANK('2025'!$P306), 0, 1), 3, if(ISBLANK('2025'!$Q306), 0, 1), 4, if(ISBLANK('2025'!$R306), 0, 1), 5, if(ISBLANK('2025'!$S306), 0, 1), 6, if(ISBLANK('2025'!$T306), 0, 1), 7, 0))), 1, "")</f>
        <v/>
      </c>
      <c r="AC308" s="1" t="str">
        <f>IF(AND(AND(AND(AC$4&gt;='2025'!$L306,AC$4&lt;='2025'!$M306), AC$4&lt;&gt;DATE(2025,7,4)), (SWITCH(weekday(AC$4), 1, 0, 2, if(ISBLANK('2025'!$P306), 0, 1), 3, if(ISBLANK('2025'!$Q306), 0, 1), 4, if(ISBLANK('2025'!$R306), 0, 1), 5, if(ISBLANK('2025'!$S306), 0, 1), 6, if(ISBLANK('2025'!$T306), 0, 1), 7, 0))), 1, "")</f>
        <v/>
      </c>
      <c r="AD308" s="1" t="str">
        <f>IF(AND(AND(AND(AD$4&gt;='2025'!$L306,AD$4&lt;='2025'!$M306), AD$4&lt;&gt;DATE(2025,7,4)), (SWITCH(weekday(AD$4), 1, 0, 2, if(ISBLANK('2025'!$P306), 0, 1), 3, if(ISBLANK('2025'!$Q306), 0, 1), 4, if(ISBLANK('2025'!$R306), 0, 1), 5, if(ISBLANK('2025'!$S306), 0, 1), 6, if(ISBLANK('2025'!$T306), 0, 1), 7, 0))), 1, "")</f>
        <v/>
      </c>
      <c r="AE308" s="1" t="str">
        <f>IF(AND(AND(AND(AE$4&gt;='2025'!$L306,AE$4&lt;='2025'!$M306), AE$4&lt;&gt;DATE(2025,7,4)), (SWITCH(weekday(AE$4), 1, 0, 2, if(ISBLANK('2025'!$P306), 0, 1), 3, if(ISBLANK('2025'!$Q306), 0, 1), 4, if(ISBLANK('2025'!$R306), 0, 1), 5, if(ISBLANK('2025'!$S306), 0, 1), 6, if(ISBLANK('2025'!$T306), 0, 1), 7, 0))), 1, "")</f>
        <v/>
      </c>
      <c r="AF308" s="1" t="str">
        <f>IF(AND(AND(AND(AF$4&gt;='2025'!$L306,AF$4&lt;='2025'!$M306), AF$4&lt;&gt;DATE(2025,7,4)), (SWITCH(weekday(AF$4), 1, 0, 2, if(ISBLANK('2025'!$P306), 0, 1), 3, if(ISBLANK('2025'!$Q306), 0, 1), 4, if(ISBLANK('2025'!$R306), 0, 1), 5, if(ISBLANK('2025'!$S306), 0, 1), 6, if(ISBLANK('2025'!$T306), 0, 1), 7, 0))), 1, "")</f>
        <v/>
      </c>
      <c r="AG308" s="1" t="str">
        <f>IF(AND(AND(AND(AG$4&gt;='2025'!$L306,AG$4&lt;='2025'!$M306), AG$4&lt;&gt;DATE(2025,7,4)), (SWITCH(weekday(AG$4), 1, 0, 2, if(ISBLANK('2025'!$P306), 0, 1), 3, if(ISBLANK('2025'!$Q306), 0, 1), 4, if(ISBLANK('2025'!$R306), 0, 1), 5, if(ISBLANK('2025'!$S306), 0, 1), 6, if(ISBLANK('2025'!$T306), 0, 1), 7, 0))), 1, "")</f>
        <v/>
      </c>
      <c r="AH308" s="1" t="str">
        <f>IF(AND(AND(AND(AH$4&gt;='2025'!$L306,AH$4&lt;='2025'!$M306), AH$4&lt;&gt;DATE(2025,7,4)), (SWITCH(weekday(AH$4), 1, 0, 2, if(ISBLANK('2025'!$P306), 0, 1), 3, if(ISBLANK('2025'!$Q306), 0, 1), 4, if(ISBLANK('2025'!$R306), 0, 1), 5, if(ISBLANK('2025'!$S306), 0, 1), 6, if(ISBLANK('2025'!$T306), 0, 1), 7, 0))), 1, "")</f>
        <v/>
      </c>
      <c r="AI308" s="1" t="str">
        <f>IF(AND(AND(AND(AI$4&gt;='2025'!$L306,AI$4&lt;='2025'!$M306), AI$4&lt;&gt;DATE(2025,7,4)), (SWITCH(weekday(AI$4), 1, 0, 2, if(ISBLANK('2025'!$P306), 0, 1), 3, if(ISBLANK('2025'!$Q306), 0, 1), 4, if(ISBLANK('2025'!$R306), 0, 1), 5, if(ISBLANK('2025'!$S306), 0, 1), 6, if(ISBLANK('2025'!$T306), 0, 1), 7, 0))), 1, "")</f>
        <v/>
      </c>
      <c r="AJ308" s="1" t="str">
        <f>IF(AND(AND(AND(AJ$4&gt;='2025'!$L306,AJ$4&lt;='2025'!$M306), AJ$4&lt;&gt;DATE(2025,7,4)), (SWITCH(weekday(AJ$4), 1, 0, 2, if(ISBLANK('2025'!$P306), 0, 1), 3, if(ISBLANK('2025'!$Q306), 0, 1), 4, if(ISBLANK('2025'!$R306), 0, 1), 5, if(ISBLANK('2025'!$S306), 0, 1), 6, if(ISBLANK('2025'!$T306), 0, 1), 7, 0))), 1, "")</f>
        <v/>
      </c>
      <c r="AK308" s="1" t="str">
        <f>IF(AND(AND(AND(AK$4&gt;='2025'!$L306,AK$4&lt;='2025'!$M306), AK$4&lt;&gt;DATE(2025,7,4)), (SWITCH(weekday(AK$4), 1, 0, 2, if(ISBLANK('2025'!$P306), 0, 1), 3, if(ISBLANK('2025'!$Q306), 0, 1), 4, if(ISBLANK('2025'!$R306), 0, 1), 5, if(ISBLANK('2025'!$S306), 0, 1), 6, if(ISBLANK('2025'!$T306), 0, 1), 7, 0))), 1, "")</f>
        <v/>
      </c>
      <c r="AL308" s="1" t="str">
        <f>IF(AND(AND(AND(AL$4&gt;='2025'!$L306,AL$4&lt;='2025'!$M306), AL$4&lt;&gt;DATE(2025,7,4)), (SWITCH(weekday(AL$4), 1, 0, 2, if(ISBLANK('2025'!$P306), 0, 1), 3, if(ISBLANK('2025'!$Q306), 0, 1), 4, if(ISBLANK('2025'!$R306), 0, 1), 5, if(ISBLANK('2025'!$S306), 0, 1), 6, if(ISBLANK('2025'!$T306), 0, 1), 7, 0))), 1, "")</f>
        <v/>
      </c>
      <c r="AM308" s="1" t="str">
        <f>IF(AND(AND(AND(AM$4&gt;='2025'!$L306,AM$4&lt;='2025'!$M306), AM$4&lt;&gt;DATE(2025,7,4)), (SWITCH(weekday(AM$4), 1, 0, 2, if(ISBLANK('2025'!$P306), 0, 1), 3, if(ISBLANK('2025'!$Q306), 0, 1), 4, if(ISBLANK('2025'!$R306), 0, 1), 5, if(ISBLANK('2025'!$S306), 0, 1), 6, if(ISBLANK('2025'!$T306), 0, 1), 7, 0))), 1, "")</f>
        <v/>
      </c>
      <c r="AN308" s="1" t="str">
        <f>IF(AND(AND(AND(AN$4&gt;='2025'!$L306,AN$4&lt;='2025'!$M306), AN$4&lt;&gt;DATE(2025,7,4)), (SWITCH(weekday(AN$4), 1, 0, 2, if(ISBLANK('2025'!$P306), 0, 1), 3, if(ISBLANK('2025'!$Q306), 0, 1), 4, if(ISBLANK('2025'!$R306), 0, 1), 5, if(ISBLANK('2025'!$S306), 0, 1), 6, if(ISBLANK('2025'!$T306), 0, 1), 7, 0))), 1, "")</f>
        <v/>
      </c>
      <c r="AO308" s="1" t="str">
        <f>IF(AND(AND(AND(AO$4&gt;='2025'!$L306,AO$4&lt;='2025'!$M306), AO$4&lt;&gt;DATE(2025,7,4)), (SWITCH(weekday(AO$4), 1, 0, 2, if(ISBLANK('2025'!$P306), 0, 1), 3, if(ISBLANK('2025'!$Q306), 0, 1), 4, if(ISBLANK('2025'!$R306), 0, 1), 5, if(ISBLANK('2025'!$S306), 0, 1), 6, if(ISBLANK('2025'!$T306), 0, 1), 7, 0))), 1, "")</f>
        <v/>
      </c>
      <c r="AP308" s="1" t="str">
        <f>IF(AND(AND(AND(AP$4&gt;='2025'!$L306,AP$4&lt;='2025'!$M306), AP$4&lt;&gt;DATE(2025,7,4)), (SWITCH(weekday(AP$4), 1, 0, 2, if(ISBLANK('2025'!$P306), 0, 1), 3, if(ISBLANK('2025'!$Q306), 0, 1), 4, if(ISBLANK('2025'!$R306), 0, 1), 5, if(ISBLANK('2025'!$S306), 0, 1), 6, if(ISBLANK('2025'!$T306), 0, 1), 7, 0))), 1, "")</f>
        <v/>
      </c>
      <c r="AQ308" s="1" t="str">
        <f>IF(AND(AND(AND(AQ$4&gt;='2025'!$L306,AQ$4&lt;='2025'!$M306), AQ$4&lt;&gt;DATE(2025,7,4)), (SWITCH(weekday(AQ$4), 1, 0, 2, if(ISBLANK('2025'!$P306), 0, 1), 3, if(ISBLANK('2025'!$Q306), 0, 1), 4, if(ISBLANK('2025'!$R306), 0, 1), 5, if(ISBLANK('2025'!$S306), 0, 1), 6, if(ISBLANK('2025'!$T306), 0, 1), 7, 0))), 1, "")</f>
        <v/>
      </c>
      <c r="AR308" s="1" t="str">
        <f>IF(AND(AND(AND(AR$4&gt;='2025'!$L306,AR$4&lt;='2025'!$M306), AR$4&lt;&gt;DATE(2025,7,4)), (SWITCH(weekday(AR$4), 1, 0, 2, if(ISBLANK('2025'!$P306), 0, 1), 3, if(ISBLANK('2025'!$Q306), 0, 1), 4, if(ISBLANK('2025'!$R306), 0, 1), 5, if(ISBLANK('2025'!$S306), 0, 1), 6, if(ISBLANK('2025'!$T306), 0, 1), 7, 0))), 1, "")</f>
        <v/>
      </c>
      <c r="AS308" s="1" t="str">
        <f>IF(AND(AND(AND(AS$4&gt;='2025'!$L306,AS$4&lt;='2025'!$M306), AS$4&lt;&gt;DATE(2025,7,4)), (SWITCH(weekday(AS$4), 1, 0, 2, if(ISBLANK('2025'!$P306), 0, 1), 3, if(ISBLANK('2025'!$Q306), 0, 1), 4, if(ISBLANK('2025'!$R306), 0, 1), 5, if(ISBLANK('2025'!$S306), 0, 1), 6, if(ISBLANK('2025'!$T306), 0, 1), 7, 0))), 1, "")</f>
        <v/>
      </c>
      <c r="AT308" s="1" t="str">
        <f>IF(AND(AND(AND(AT$4&gt;='2025'!$L306,AT$4&lt;='2025'!$M306), AT$4&lt;&gt;DATE(2025,7,4)), (SWITCH(weekday(AT$4), 1, 0, 2, if(ISBLANK('2025'!$P306), 0, 1), 3, if(ISBLANK('2025'!$Q306), 0, 1), 4, if(ISBLANK('2025'!$R306), 0, 1), 5, if(ISBLANK('2025'!$S306), 0, 1), 6, if(ISBLANK('2025'!$T306), 0, 1), 7, 0))), 1, "")</f>
        <v/>
      </c>
      <c r="AU308" s="1" t="str">
        <f>IF(AND(AND(AND(AU$4&gt;='2025'!$L306,AU$4&lt;='2025'!$M306), AU$4&lt;&gt;DATE(2025,7,4)), (SWITCH(weekday(AU$4), 1, 0, 2, if(ISBLANK('2025'!$P306), 0, 1), 3, if(ISBLANK('2025'!$Q306), 0, 1), 4, if(ISBLANK('2025'!$R306), 0, 1), 5, if(ISBLANK('2025'!$S306), 0, 1), 6, if(ISBLANK('2025'!$T306), 0, 1), 7, 0))), 1, "")</f>
        <v/>
      </c>
      <c r="AV308" s="1" t="str">
        <f>IF(AND(AND(AND(AV$4&gt;='2025'!$L306,AV$4&lt;='2025'!$M306), AV$4&lt;&gt;DATE(2025,7,4)), (SWITCH(weekday(AV$4), 1, 0, 2, if(ISBLANK('2025'!$P306), 0, 1), 3, if(ISBLANK('2025'!$Q306), 0, 1), 4, if(ISBLANK('2025'!$R306), 0, 1), 5, if(ISBLANK('2025'!$S306), 0, 1), 6, if(ISBLANK('2025'!$T306), 0, 1), 7, 0))), 1, "")</f>
        <v/>
      </c>
      <c r="AW308" s="1" t="str">
        <f>IF(AND(AND(AND(AW$4&gt;='2025'!$L306,AW$4&lt;='2025'!$M306), AW$4&lt;&gt;DATE(2025,7,4)), (SWITCH(weekday(AW$4), 1, 0, 2, if(ISBLANK('2025'!$P306), 0, 1), 3, if(ISBLANK('2025'!$Q306), 0, 1), 4, if(ISBLANK('2025'!$R306), 0, 1), 5, if(ISBLANK('2025'!$S306), 0, 1), 6, if(ISBLANK('2025'!$T306), 0, 1), 7, 0))), 1, "")</f>
        <v/>
      </c>
      <c r="AX308" s="1" t="str">
        <f>IF(AND(AND(AND(AX$4&gt;='2025'!$L306,AX$4&lt;='2025'!$M306), AX$4&lt;&gt;DATE(2025,7,4)), (SWITCH(weekday(AX$4), 1, 0, 2, if(ISBLANK('2025'!$P306), 0, 1), 3, if(ISBLANK('2025'!$Q306), 0, 1), 4, if(ISBLANK('2025'!$R306), 0, 1), 5, if(ISBLANK('2025'!$S306), 0, 1), 6, if(ISBLANK('2025'!$T306), 0, 1), 7, 0))), 1, "")</f>
        <v/>
      </c>
      <c r="AY308" s="1" t="str">
        <f>IF(AND(AND(AND(AY$4&gt;='2025'!$L306,AY$4&lt;='2025'!$M306), AY$4&lt;&gt;DATE(2025,7,4)), (SWITCH(weekday(AY$4), 1, 0, 2, if(ISBLANK('2025'!$P306), 0, 1), 3, if(ISBLANK('2025'!$Q306), 0, 1), 4, if(ISBLANK('2025'!$R306), 0, 1), 5, if(ISBLANK('2025'!$S306), 0, 1), 6, if(ISBLANK('2025'!$T306), 0, 1), 7, 0))), 1, "")</f>
        <v/>
      </c>
      <c r="AZ308" s="1" t="str">
        <f>IF(AND(AND(AND(AZ$4&gt;='2025'!$L306,AZ$4&lt;='2025'!$M306), AZ$4&lt;&gt;DATE(2025,7,4)), (SWITCH(weekday(AZ$4), 1, 0, 2, if(ISBLANK('2025'!$P306), 0, 1), 3, if(ISBLANK('2025'!$Q306), 0, 1), 4, if(ISBLANK('2025'!$R306), 0, 1), 5, if(ISBLANK('2025'!$S306), 0, 1), 6, if(ISBLANK('2025'!$T306), 0, 1), 7, 0))), 1, "")</f>
        <v/>
      </c>
      <c r="BA308" s="1" t="str">
        <f>IF(AND(AND(AND(BA$4&gt;='2025'!$L306,BA$4&lt;='2025'!$M306), BA$4&lt;&gt;DATE(2025,7,4)), (SWITCH(weekday(BA$4), 1, 0, 2, if(ISBLANK('2025'!$P306), 0, 1), 3, if(ISBLANK('2025'!$Q306), 0, 1), 4, if(ISBLANK('2025'!$R306), 0, 1), 5, if(ISBLANK('2025'!$S306), 0, 1), 6, if(ISBLANK('2025'!$T306), 0, 1), 7, 0))), 1, "")</f>
        <v/>
      </c>
      <c r="BB308" s="1" t="str">
        <f>IF(AND(AND(AND(BB$4&gt;='2025'!$L306,BB$4&lt;='2025'!$M306), BB$4&lt;&gt;DATE(2025,7,4)), (SWITCH(weekday(BB$4), 1, 0, 2, if(ISBLANK('2025'!$P306), 0, 1), 3, if(ISBLANK('2025'!$Q306), 0, 1), 4, if(ISBLANK('2025'!$R306), 0, 1), 5, if(ISBLANK('2025'!$S306), 0, 1), 6, if(ISBLANK('2025'!$T306), 0, 1), 7, 0))), 1, "")</f>
        <v/>
      </c>
      <c r="BC308" s="1" t="str">
        <f>IF(AND(AND(AND(BC$4&gt;='2025'!$L306,BC$4&lt;='2025'!$M306), BC$4&lt;&gt;DATE(2025,7,4)), (SWITCH(weekday(BC$4), 1, 0, 2, if(ISBLANK('2025'!$P306), 0, 1), 3, if(ISBLANK('2025'!$Q306), 0, 1), 4, if(ISBLANK('2025'!$R306), 0, 1), 5, if(ISBLANK('2025'!$S306), 0, 1), 6, if(ISBLANK('2025'!$T306), 0, 1), 7, 0))), 1, "")</f>
        <v/>
      </c>
      <c r="BD308" s="1" t="str">
        <f>IF(AND(AND(AND(BD$4&gt;='2025'!$L306,BD$4&lt;='2025'!$M306), BD$4&lt;&gt;DATE(2025,7,4)), (SWITCH(weekday(BD$4), 1, 0, 2, if(ISBLANK('2025'!$P306), 0, 1), 3, if(ISBLANK('2025'!$Q306), 0, 1), 4, if(ISBLANK('2025'!$R306), 0, 1), 5, if(ISBLANK('2025'!$S306), 0, 1), 6, if(ISBLANK('2025'!$T306), 0, 1), 7, 0))), 1, "")</f>
        <v/>
      </c>
      <c r="BE308" s="1" t="str">
        <f>IF(AND(AND(AND(BE$4&gt;='2025'!$L306,BE$4&lt;='2025'!$M306), BE$4&lt;&gt;DATE(2025,7,4)), (SWITCH(weekday(BE$4), 1, 0, 2, if(ISBLANK('2025'!$P306), 0, 1), 3, if(ISBLANK('2025'!$Q306), 0, 1), 4, if(ISBLANK('2025'!$R306), 0, 1), 5, if(ISBLANK('2025'!$S306), 0, 1), 6, if(ISBLANK('2025'!$T306), 0, 1), 7, 0))), 1, "")</f>
        <v/>
      </c>
      <c r="BF308" s="1" t="str">
        <f>IF(AND(AND(AND(BF$4&gt;='2025'!$L306,BF$4&lt;='2025'!$M306), BF$4&lt;&gt;DATE(2025,7,4)), (SWITCH(weekday(BF$4), 1, 0, 2, if(ISBLANK('2025'!$P306), 0, 1), 3, if(ISBLANK('2025'!$Q306), 0, 1), 4, if(ISBLANK('2025'!$R306), 0, 1), 5, if(ISBLANK('2025'!$S306), 0, 1), 6, if(ISBLANK('2025'!$T306), 0, 1), 7, 0))), 1, "")</f>
        <v/>
      </c>
      <c r="BG308" s="1"/>
      <c r="BH308" s="1"/>
      <c r="BI308" s="1"/>
      <c r="BJ308" s="1"/>
      <c r="BK308" s="1"/>
      <c r="BL308" s="1"/>
    </row>
    <row r="309">
      <c r="A309" s="1">
        <f t="shared" si="3"/>
        <v>309</v>
      </c>
      <c r="B309" s="1" t="str">
        <f>'2025'!D273</f>
        <v>, </v>
      </c>
      <c r="C309" s="1" t="str">
        <f>'2025'!H273</f>
        <v/>
      </c>
      <c r="D309" s="1" t="str">
        <f>IF(AND(AND(AND(D$4&gt;='2025'!$L307,D$4&lt;='2025'!$M307), D$4&lt;&gt;DATE(2025,7,4)), (SWITCH(weekday(D$4), 1, 0, 2, if(ISBLANK('2025'!$P307), 0, 1), 3, if(ISBLANK('2025'!$Q307), 0, 1), 4, if(ISBLANK('2025'!$R307), 0, 1), 5, if(ISBLANK('2025'!$S307), 0, 1), 6, if(ISBLANK('2025'!$T307), 0, 1), 7, 0))), 1, "")</f>
        <v/>
      </c>
      <c r="E309" s="1" t="str">
        <f>IF(AND(AND(AND(E$4&gt;='2025'!$L307,E$4&lt;='2025'!$M307), E$4&lt;&gt;DATE(2025,7,4)), (SWITCH(weekday(E$4), 1, 0, 2, if(ISBLANK('2025'!$P307), 0, 1), 3, if(ISBLANK('2025'!$Q307), 0, 1), 4, if(ISBLANK('2025'!$R307), 0, 1), 5, if(ISBLANK('2025'!$S307), 0, 1), 6, if(ISBLANK('2025'!$T307), 0, 1), 7, 0))), 1, "")</f>
        <v/>
      </c>
      <c r="F309" s="1" t="str">
        <f>IF(AND(AND(AND(F$4&gt;='2025'!$L307,F$4&lt;='2025'!$M307), F$4&lt;&gt;DATE(2025,7,4)), (SWITCH(weekday(F$4), 1, 0, 2, if(ISBLANK('2025'!$P307), 0, 1), 3, if(ISBLANK('2025'!$Q307), 0, 1), 4, if(ISBLANK('2025'!$R307), 0, 1), 5, if(ISBLANK('2025'!$S307), 0, 1), 6, if(ISBLANK('2025'!$T307), 0, 1), 7, 0))), 1, "")</f>
        <v/>
      </c>
      <c r="G309" s="1" t="str">
        <f>IF(AND(AND(AND(G$4&gt;='2025'!$L307,G$4&lt;='2025'!$M307), G$4&lt;&gt;DATE(2025,7,4)), (SWITCH(weekday(G$4), 1, 0, 2, if(ISBLANK('2025'!$P307), 0, 1), 3, if(ISBLANK('2025'!$Q307), 0, 1), 4, if(ISBLANK('2025'!$R307), 0, 1), 5, if(ISBLANK('2025'!$S307), 0, 1), 6, if(ISBLANK('2025'!$T307), 0, 1), 7, 0))), 1, "")</f>
        <v/>
      </c>
      <c r="H309" s="1" t="str">
        <f>IF(AND(AND(AND(H$4&gt;='2025'!$L307,H$4&lt;='2025'!$M307), H$4&lt;&gt;DATE(2025,7,4)), (SWITCH(weekday(H$4), 1, 0, 2, if(ISBLANK('2025'!$P307), 0, 1), 3, if(ISBLANK('2025'!$Q307), 0, 1), 4, if(ISBLANK('2025'!$R307), 0, 1), 5, if(ISBLANK('2025'!$S307), 0, 1), 6, if(ISBLANK('2025'!$T307), 0, 1), 7, 0))), 1, "")</f>
        <v/>
      </c>
      <c r="I309" s="1" t="str">
        <f>IF(AND(AND(AND(I$4&gt;='2025'!$L307,I$4&lt;='2025'!$M307), I$4&lt;&gt;DATE(2025,7,4)), (SWITCH(weekday(I$4), 1, 0, 2, if(ISBLANK('2025'!$P307), 0, 1), 3, if(ISBLANK('2025'!$Q307), 0, 1), 4, if(ISBLANK('2025'!$R307), 0, 1), 5, if(ISBLANK('2025'!$S307), 0, 1), 6, if(ISBLANK('2025'!$T307), 0, 1), 7, 0))), 1, "")</f>
        <v/>
      </c>
      <c r="J309" s="1" t="str">
        <f>IF(AND(AND(AND(J$4&gt;='2025'!$L307,J$4&lt;='2025'!$M307), J$4&lt;&gt;DATE(2025,7,4)), (SWITCH(weekday(J$4), 1, 0, 2, if(ISBLANK('2025'!$P307), 0, 1), 3, if(ISBLANK('2025'!$Q307), 0, 1), 4, if(ISBLANK('2025'!$R307), 0, 1), 5, if(ISBLANK('2025'!$S307), 0, 1), 6, if(ISBLANK('2025'!$T307), 0, 1), 7, 0))), 1, "")</f>
        <v/>
      </c>
      <c r="K309" s="1" t="str">
        <f>IF(AND(AND(AND(K$4&gt;='2025'!$L307,K$4&lt;='2025'!$M307), K$4&lt;&gt;DATE(2025,7,4)), (SWITCH(weekday(K$4), 1, 0, 2, if(ISBLANK('2025'!$P307), 0, 1), 3, if(ISBLANK('2025'!$Q307), 0, 1), 4, if(ISBLANK('2025'!$R307), 0, 1), 5, if(ISBLANK('2025'!$S307), 0, 1), 6, if(ISBLANK('2025'!$T307), 0, 1), 7, 0))), 1, "")</f>
        <v/>
      </c>
      <c r="L309" s="1" t="str">
        <f>IF(AND(AND(AND(L$4&gt;='2025'!$L307,L$4&lt;='2025'!$M307), L$4&lt;&gt;DATE(2025,7,4)), (SWITCH(weekday(L$4), 1, 0, 2, if(ISBLANK('2025'!$P307), 0, 1), 3, if(ISBLANK('2025'!$Q307), 0, 1), 4, if(ISBLANK('2025'!$R307), 0, 1), 5, if(ISBLANK('2025'!$S307), 0, 1), 6, if(ISBLANK('2025'!$T307), 0, 1), 7, 0))), 1, "")</f>
        <v/>
      </c>
      <c r="M309" s="1" t="str">
        <f>IF(AND(AND(AND(M$4&gt;='2025'!$L307,M$4&lt;='2025'!$M307), M$4&lt;&gt;DATE(2025,7,4)), (SWITCH(weekday(M$4), 1, 0, 2, if(ISBLANK('2025'!$P307), 0, 1), 3, if(ISBLANK('2025'!$Q307), 0, 1), 4, if(ISBLANK('2025'!$R307), 0, 1), 5, if(ISBLANK('2025'!$S307), 0, 1), 6, if(ISBLANK('2025'!$T307), 0, 1), 7, 0))), 1, "")</f>
        <v/>
      </c>
      <c r="N309" s="1" t="str">
        <f>IF(AND(AND(AND(N$4&gt;='2025'!$L307,N$4&lt;='2025'!$M307), N$4&lt;&gt;DATE(2025,7,4)), (SWITCH(weekday(N$4), 1, 0, 2, if(ISBLANK('2025'!$P307), 0, 1), 3, if(ISBLANK('2025'!$Q307), 0, 1), 4, if(ISBLANK('2025'!$R307), 0, 1), 5, if(ISBLANK('2025'!$S307), 0, 1), 6, if(ISBLANK('2025'!$T307), 0, 1), 7, 0))), 1, "")</f>
        <v/>
      </c>
      <c r="O309" s="1" t="str">
        <f>IF(AND(AND(AND(O$4&gt;='2025'!$L307,O$4&lt;='2025'!$M307), O$4&lt;&gt;DATE(2025,7,4)), (SWITCH(weekday(O$4), 1, 0, 2, if(ISBLANK('2025'!$P307), 0, 1), 3, if(ISBLANK('2025'!$Q307), 0, 1), 4, if(ISBLANK('2025'!$R307), 0, 1), 5, if(ISBLANK('2025'!$S307), 0, 1), 6, if(ISBLANK('2025'!$T307), 0, 1), 7, 0))), 1, "")</f>
        <v/>
      </c>
      <c r="P309" s="1" t="str">
        <f>IF(AND(AND(AND(P$4&gt;='2025'!$L307,P$4&lt;='2025'!$M307), P$4&lt;&gt;DATE(2025,7,4)), (SWITCH(weekday(P$4), 1, 0, 2, if(ISBLANK('2025'!$P307), 0, 1), 3, if(ISBLANK('2025'!$Q307), 0, 1), 4, if(ISBLANK('2025'!$R307), 0, 1), 5, if(ISBLANK('2025'!$S307), 0, 1), 6, if(ISBLANK('2025'!$T307), 0, 1), 7, 0))), 1, "")</f>
        <v/>
      </c>
      <c r="Q309" s="1" t="str">
        <f>IF(AND(AND(AND(Q$4&gt;='2025'!$L307,Q$4&lt;='2025'!$M307), Q$4&lt;&gt;DATE(2025,7,4)), (SWITCH(weekday(Q$4), 1, 0, 2, if(ISBLANK('2025'!$P307), 0, 1), 3, if(ISBLANK('2025'!$Q307), 0, 1), 4, if(ISBLANK('2025'!$R307), 0, 1), 5, if(ISBLANK('2025'!$S307), 0, 1), 6, if(ISBLANK('2025'!$T307), 0, 1), 7, 0))), 1, "")</f>
        <v/>
      </c>
      <c r="R309" s="1" t="str">
        <f>IF(AND(AND(AND(R$4&gt;='2025'!$L307,R$4&lt;='2025'!$M307), R$4&lt;&gt;DATE(2025,7,4)), (SWITCH(weekday(R$4), 1, 0, 2, if(ISBLANK('2025'!$P307), 0, 1), 3, if(ISBLANK('2025'!$Q307), 0, 1), 4, if(ISBLANK('2025'!$R307), 0, 1), 5, if(ISBLANK('2025'!$S307), 0, 1), 6, if(ISBLANK('2025'!$T307), 0, 1), 7, 0))), 1, "")</f>
        <v/>
      </c>
      <c r="S309" s="1" t="str">
        <f>IF(AND(AND(AND(S$4&gt;='2025'!$L307,S$4&lt;='2025'!$M307), S$4&lt;&gt;DATE(2025,7,4)), (SWITCH(weekday(S$4), 1, 0, 2, if(ISBLANK('2025'!$P307), 0, 1), 3, if(ISBLANK('2025'!$Q307), 0, 1), 4, if(ISBLANK('2025'!$R307), 0, 1), 5, if(ISBLANK('2025'!$S307), 0, 1), 6, if(ISBLANK('2025'!$T307), 0, 1), 7, 0))), 1, "")</f>
        <v/>
      </c>
      <c r="T309" s="1" t="str">
        <f>IF(AND(AND(AND(T$4&gt;='2025'!$L307,T$4&lt;='2025'!$M307), T$4&lt;&gt;DATE(2025,7,4)), (SWITCH(weekday(T$4), 1, 0, 2, if(ISBLANK('2025'!$P307), 0, 1), 3, if(ISBLANK('2025'!$Q307), 0, 1), 4, if(ISBLANK('2025'!$R307), 0, 1), 5, if(ISBLANK('2025'!$S307), 0, 1), 6, if(ISBLANK('2025'!$T307), 0, 1), 7, 0))), 1, "")</f>
        <v/>
      </c>
      <c r="U309" s="1" t="str">
        <f>IF(AND(AND(AND(U$4&gt;='2025'!$L307,U$4&lt;='2025'!$M307), U$4&lt;&gt;DATE(2025,7,4)), (SWITCH(weekday(U$4), 1, 0, 2, if(ISBLANK('2025'!$P307), 0, 1), 3, if(ISBLANK('2025'!$Q307), 0, 1), 4, if(ISBLANK('2025'!$R307), 0, 1), 5, if(ISBLANK('2025'!$S307), 0, 1), 6, if(ISBLANK('2025'!$T307), 0, 1), 7, 0))), 1, "")</f>
        <v/>
      </c>
      <c r="V309" s="1" t="str">
        <f>IF(AND(AND(AND(V$4&gt;='2025'!$L307,V$4&lt;='2025'!$M307), V$4&lt;&gt;DATE(2025,7,4)), (SWITCH(weekday(V$4), 1, 0, 2, if(ISBLANK('2025'!$P307), 0, 1), 3, if(ISBLANK('2025'!$Q307), 0, 1), 4, if(ISBLANK('2025'!$R307), 0, 1), 5, if(ISBLANK('2025'!$S307), 0, 1), 6, if(ISBLANK('2025'!$T307), 0, 1), 7, 0))), 1, "")</f>
        <v/>
      </c>
      <c r="W309" s="1" t="str">
        <f>IF(AND(AND(AND(W$4&gt;='2025'!$L307,W$4&lt;='2025'!$M307), W$4&lt;&gt;DATE(2025,7,4)), (SWITCH(weekday(W$4), 1, 0, 2, if(ISBLANK('2025'!$P307), 0, 1), 3, if(ISBLANK('2025'!$Q307), 0, 1), 4, if(ISBLANK('2025'!$R307), 0, 1), 5, if(ISBLANK('2025'!$S307), 0, 1), 6, if(ISBLANK('2025'!$T307), 0, 1), 7, 0))), 1, "")</f>
        <v/>
      </c>
      <c r="X309" s="1" t="str">
        <f>IF(AND(AND(AND(X$4&gt;='2025'!$L307,X$4&lt;='2025'!$M307), X$4&lt;&gt;DATE(2025,7,4)), (SWITCH(weekday(X$4), 1, 0, 2, if(ISBLANK('2025'!$P307), 0, 1), 3, if(ISBLANK('2025'!$Q307), 0, 1), 4, if(ISBLANK('2025'!$R307), 0, 1), 5, if(ISBLANK('2025'!$S307), 0, 1), 6, if(ISBLANK('2025'!$T307), 0, 1), 7, 0))), 1, "")</f>
        <v/>
      </c>
      <c r="Y309" s="1" t="str">
        <f>IF(AND(AND(AND(Y$4&gt;='2025'!$L307,Y$4&lt;='2025'!$M307), Y$4&lt;&gt;DATE(2025,7,4)), (SWITCH(weekday(Y$4), 1, 0, 2, if(ISBLANK('2025'!$P307), 0, 1), 3, if(ISBLANK('2025'!$Q307), 0, 1), 4, if(ISBLANK('2025'!$R307), 0, 1), 5, if(ISBLANK('2025'!$S307), 0, 1), 6, if(ISBLANK('2025'!$T307), 0, 1), 7, 0))), 1, "")</f>
        <v/>
      </c>
      <c r="Z309" s="1" t="str">
        <f>IF(AND(AND(AND(Z$4&gt;='2025'!$L307,Z$4&lt;='2025'!$M307), Z$4&lt;&gt;DATE(2025,7,4)), (SWITCH(weekday(Z$4), 1, 0, 2, if(ISBLANK('2025'!$P307), 0, 1), 3, if(ISBLANK('2025'!$Q307), 0, 1), 4, if(ISBLANK('2025'!$R307), 0, 1), 5, if(ISBLANK('2025'!$S307), 0, 1), 6, if(ISBLANK('2025'!$T307), 0, 1), 7, 0))), 1, "")</f>
        <v/>
      </c>
      <c r="AA309" s="1" t="str">
        <f>IF(AND(AND(AND(AA$4&gt;='2025'!$L307,AA$4&lt;='2025'!$M307), AA$4&lt;&gt;DATE(2025,7,4)), (SWITCH(weekday(AA$4), 1, 0, 2, if(ISBLANK('2025'!$P307), 0, 1), 3, if(ISBLANK('2025'!$Q307), 0, 1), 4, if(ISBLANK('2025'!$R307), 0, 1), 5, if(ISBLANK('2025'!$S307), 0, 1), 6, if(ISBLANK('2025'!$T307), 0, 1), 7, 0))), 1, "")</f>
        <v/>
      </c>
      <c r="AB309" s="1" t="str">
        <f>IF(AND(AND(AND(AB$4&gt;='2025'!$L307,AB$4&lt;='2025'!$M307), AB$4&lt;&gt;DATE(2025,7,4)), (SWITCH(weekday(AB$4), 1, 0, 2, if(ISBLANK('2025'!$P307), 0, 1), 3, if(ISBLANK('2025'!$Q307), 0, 1), 4, if(ISBLANK('2025'!$R307), 0, 1), 5, if(ISBLANK('2025'!$S307), 0, 1), 6, if(ISBLANK('2025'!$T307), 0, 1), 7, 0))), 1, "")</f>
        <v/>
      </c>
      <c r="AC309" s="1" t="str">
        <f>IF(AND(AND(AND(AC$4&gt;='2025'!$L307,AC$4&lt;='2025'!$M307), AC$4&lt;&gt;DATE(2025,7,4)), (SWITCH(weekday(AC$4), 1, 0, 2, if(ISBLANK('2025'!$P307), 0, 1), 3, if(ISBLANK('2025'!$Q307), 0, 1), 4, if(ISBLANK('2025'!$R307), 0, 1), 5, if(ISBLANK('2025'!$S307), 0, 1), 6, if(ISBLANK('2025'!$T307), 0, 1), 7, 0))), 1, "")</f>
        <v/>
      </c>
      <c r="AD309" s="1" t="str">
        <f>IF(AND(AND(AND(AD$4&gt;='2025'!$L307,AD$4&lt;='2025'!$M307), AD$4&lt;&gt;DATE(2025,7,4)), (SWITCH(weekday(AD$4), 1, 0, 2, if(ISBLANK('2025'!$P307), 0, 1), 3, if(ISBLANK('2025'!$Q307), 0, 1), 4, if(ISBLANK('2025'!$R307), 0, 1), 5, if(ISBLANK('2025'!$S307), 0, 1), 6, if(ISBLANK('2025'!$T307), 0, 1), 7, 0))), 1, "")</f>
        <v/>
      </c>
      <c r="AE309" s="1" t="str">
        <f>IF(AND(AND(AND(AE$4&gt;='2025'!$L307,AE$4&lt;='2025'!$M307), AE$4&lt;&gt;DATE(2025,7,4)), (SWITCH(weekday(AE$4), 1, 0, 2, if(ISBLANK('2025'!$P307), 0, 1), 3, if(ISBLANK('2025'!$Q307), 0, 1), 4, if(ISBLANK('2025'!$R307), 0, 1), 5, if(ISBLANK('2025'!$S307), 0, 1), 6, if(ISBLANK('2025'!$T307), 0, 1), 7, 0))), 1, "")</f>
        <v/>
      </c>
      <c r="AF309" s="1" t="str">
        <f>IF(AND(AND(AND(AF$4&gt;='2025'!$L307,AF$4&lt;='2025'!$M307), AF$4&lt;&gt;DATE(2025,7,4)), (SWITCH(weekday(AF$4), 1, 0, 2, if(ISBLANK('2025'!$P307), 0, 1), 3, if(ISBLANK('2025'!$Q307), 0, 1), 4, if(ISBLANK('2025'!$R307), 0, 1), 5, if(ISBLANK('2025'!$S307), 0, 1), 6, if(ISBLANK('2025'!$T307), 0, 1), 7, 0))), 1, "")</f>
        <v/>
      </c>
      <c r="AG309" s="1" t="str">
        <f>IF(AND(AND(AND(AG$4&gt;='2025'!$L307,AG$4&lt;='2025'!$M307), AG$4&lt;&gt;DATE(2025,7,4)), (SWITCH(weekday(AG$4), 1, 0, 2, if(ISBLANK('2025'!$P307), 0, 1), 3, if(ISBLANK('2025'!$Q307), 0, 1), 4, if(ISBLANK('2025'!$R307), 0, 1), 5, if(ISBLANK('2025'!$S307), 0, 1), 6, if(ISBLANK('2025'!$T307), 0, 1), 7, 0))), 1, "")</f>
        <v/>
      </c>
      <c r="AH309" s="1" t="str">
        <f>IF(AND(AND(AND(AH$4&gt;='2025'!$L307,AH$4&lt;='2025'!$M307), AH$4&lt;&gt;DATE(2025,7,4)), (SWITCH(weekday(AH$4), 1, 0, 2, if(ISBLANK('2025'!$P307), 0, 1), 3, if(ISBLANK('2025'!$Q307), 0, 1), 4, if(ISBLANK('2025'!$R307), 0, 1), 5, if(ISBLANK('2025'!$S307), 0, 1), 6, if(ISBLANK('2025'!$T307), 0, 1), 7, 0))), 1, "")</f>
        <v/>
      </c>
      <c r="AI309" s="1" t="str">
        <f>IF(AND(AND(AND(AI$4&gt;='2025'!$L307,AI$4&lt;='2025'!$M307), AI$4&lt;&gt;DATE(2025,7,4)), (SWITCH(weekday(AI$4), 1, 0, 2, if(ISBLANK('2025'!$P307), 0, 1), 3, if(ISBLANK('2025'!$Q307), 0, 1), 4, if(ISBLANK('2025'!$R307), 0, 1), 5, if(ISBLANK('2025'!$S307), 0, 1), 6, if(ISBLANK('2025'!$T307), 0, 1), 7, 0))), 1, "")</f>
        <v/>
      </c>
      <c r="AJ309" s="1" t="str">
        <f>IF(AND(AND(AND(AJ$4&gt;='2025'!$L307,AJ$4&lt;='2025'!$M307), AJ$4&lt;&gt;DATE(2025,7,4)), (SWITCH(weekday(AJ$4), 1, 0, 2, if(ISBLANK('2025'!$P307), 0, 1), 3, if(ISBLANK('2025'!$Q307), 0, 1), 4, if(ISBLANK('2025'!$R307), 0, 1), 5, if(ISBLANK('2025'!$S307), 0, 1), 6, if(ISBLANK('2025'!$T307), 0, 1), 7, 0))), 1, "")</f>
        <v/>
      </c>
      <c r="AK309" s="1" t="str">
        <f>IF(AND(AND(AND(AK$4&gt;='2025'!$L307,AK$4&lt;='2025'!$M307), AK$4&lt;&gt;DATE(2025,7,4)), (SWITCH(weekday(AK$4), 1, 0, 2, if(ISBLANK('2025'!$P307), 0, 1), 3, if(ISBLANK('2025'!$Q307), 0, 1), 4, if(ISBLANK('2025'!$R307), 0, 1), 5, if(ISBLANK('2025'!$S307), 0, 1), 6, if(ISBLANK('2025'!$T307), 0, 1), 7, 0))), 1, "")</f>
        <v/>
      </c>
      <c r="AL309" s="1" t="str">
        <f>IF(AND(AND(AND(AL$4&gt;='2025'!$L307,AL$4&lt;='2025'!$M307), AL$4&lt;&gt;DATE(2025,7,4)), (SWITCH(weekday(AL$4), 1, 0, 2, if(ISBLANK('2025'!$P307), 0, 1), 3, if(ISBLANK('2025'!$Q307), 0, 1), 4, if(ISBLANK('2025'!$R307), 0, 1), 5, if(ISBLANK('2025'!$S307), 0, 1), 6, if(ISBLANK('2025'!$T307), 0, 1), 7, 0))), 1, "")</f>
        <v/>
      </c>
      <c r="AM309" s="1" t="str">
        <f>IF(AND(AND(AND(AM$4&gt;='2025'!$L307,AM$4&lt;='2025'!$M307), AM$4&lt;&gt;DATE(2025,7,4)), (SWITCH(weekday(AM$4), 1, 0, 2, if(ISBLANK('2025'!$P307), 0, 1), 3, if(ISBLANK('2025'!$Q307), 0, 1), 4, if(ISBLANK('2025'!$R307), 0, 1), 5, if(ISBLANK('2025'!$S307), 0, 1), 6, if(ISBLANK('2025'!$T307), 0, 1), 7, 0))), 1, "")</f>
        <v/>
      </c>
      <c r="AN309" s="1" t="str">
        <f>IF(AND(AND(AND(AN$4&gt;='2025'!$L307,AN$4&lt;='2025'!$M307), AN$4&lt;&gt;DATE(2025,7,4)), (SWITCH(weekday(AN$4), 1, 0, 2, if(ISBLANK('2025'!$P307), 0, 1), 3, if(ISBLANK('2025'!$Q307), 0, 1), 4, if(ISBLANK('2025'!$R307), 0, 1), 5, if(ISBLANK('2025'!$S307), 0, 1), 6, if(ISBLANK('2025'!$T307), 0, 1), 7, 0))), 1, "")</f>
        <v/>
      </c>
      <c r="AO309" s="1" t="str">
        <f>IF(AND(AND(AND(AO$4&gt;='2025'!$L307,AO$4&lt;='2025'!$M307), AO$4&lt;&gt;DATE(2025,7,4)), (SWITCH(weekday(AO$4), 1, 0, 2, if(ISBLANK('2025'!$P307), 0, 1), 3, if(ISBLANK('2025'!$Q307), 0, 1), 4, if(ISBLANK('2025'!$R307), 0, 1), 5, if(ISBLANK('2025'!$S307), 0, 1), 6, if(ISBLANK('2025'!$T307), 0, 1), 7, 0))), 1, "")</f>
        <v/>
      </c>
      <c r="AP309" s="1" t="str">
        <f>IF(AND(AND(AND(AP$4&gt;='2025'!$L307,AP$4&lt;='2025'!$M307), AP$4&lt;&gt;DATE(2025,7,4)), (SWITCH(weekday(AP$4), 1, 0, 2, if(ISBLANK('2025'!$P307), 0, 1), 3, if(ISBLANK('2025'!$Q307), 0, 1), 4, if(ISBLANK('2025'!$R307), 0, 1), 5, if(ISBLANK('2025'!$S307), 0, 1), 6, if(ISBLANK('2025'!$T307), 0, 1), 7, 0))), 1, "")</f>
        <v/>
      </c>
      <c r="AQ309" s="1" t="str">
        <f>IF(AND(AND(AND(AQ$4&gt;='2025'!$L307,AQ$4&lt;='2025'!$M307), AQ$4&lt;&gt;DATE(2025,7,4)), (SWITCH(weekday(AQ$4), 1, 0, 2, if(ISBLANK('2025'!$P307), 0, 1), 3, if(ISBLANK('2025'!$Q307), 0, 1), 4, if(ISBLANK('2025'!$R307), 0, 1), 5, if(ISBLANK('2025'!$S307), 0, 1), 6, if(ISBLANK('2025'!$T307), 0, 1), 7, 0))), 1, "")</f>
        <v/>
      </c>
      <c r="AR309" s="1" t="str">
        <f>IF(AND(AND(AND(AR$4&gt;='2025'!$L307,AR$4&lt;='2025'!$M307), AR$4&lt;&gt;DATE(2025,7,4)), (SWITCH(weekday(AR$4), 1, 0, 2, if(ISBLANK('2025'!$P307), 0, 1), 3, if(ISBLANK('2025'!$Q307), 0, 1), 4, if(ISBLANK('2025'!$R307), 0, 1), 5, if(ISBLANK('2025'!$S307), 0, 1), 6, if(ISBLANK('2025'!$T307), 0, 1), 7, 0))), 1, "")</f>
        <v/>
      </c>
      <c r="AS309" s="1" t="str">
        <f>IF(AND(AND(AND(AS$4&gt;='2025'!$L307,AS$4&lt;='2025'!$M307), AS$4&lt;&gt;DATE(2025,7,4)), (SWITCH(weekday(AS$4), 1, 0, 2, if(ISBLANK('2025'!$P307), 0, 1), 3, if(ISBLANK('2025'!$Q307), 0, 1), 4, if(ISBLANK('2025'!$R307), 0, 1), 5, if(ISBLANK('2025'!$S307), 0, 1), 6, if(ISBLANK('2025'!$T307), 0, 1), 7, 0))), 1, "")</f>
        <v/>
      </c>
      <c r="AT309" s="1" t="str">
        <f>IF(AND(AND(AND(AT$4&gt;='2025'!$L307,AT$4&lt;='2025'!$M307), AT$4&lt;&gt;DATE(2025,7,4)), (SWITCH(weekday(AT$4), 1, 0, 2, if(ISBLANK('2025'!$P307), 0, 1), 3, if(ISBLANK('2025'!$Q307), 0, 1), 4, if(ISBLANK('2025'!$R307), 0, 1), 5, if(ISBLANK('2025'!$S307), 0, 1), 6, if(ISBLANK('2025'!$T307), 0, 1), 7, 0))), 1, "")</f>
        <v/>
      </c>
      <c r="AU309" s="1" t="str">
        <f>IF(AND(AND(AND(AU$4&gt;='2025'!$L307,AU$4&lt;='2025'!$M307), AU$4&lt;&gt;DATE(2025,7,4)), (SWITCH(weekday(AU$4), 1, 0, 2, if(ISBLANK('2025'!$P307), 0, 1), 3, if(ISBLANK('2025'!$Q307), 0, 1), 4, if(ISBLANK('2025'!$R307), 0, 1), 5, if(ISBLANK('2025'!$S307), 0, 1), 6, if(ISBLANK('2025'!$T307), 0, 1), 7, 0))), 1, "")</f>
        <v/>
      </c>
      <c r="AV309" s="1" t="str">
        <f>IF(AND(AND(AND(AV$4&gt;='2025'!$L307,AV$4&lt;='2025'!$M307), AV$4&lt;&gt;DATE(2025,7,4)), (SWITCH(weekday(AV$4), 1, 0, 2, if(ISBLANK('2025'!$P307), 0, 1), 3, if(ISBLANK('2025'!$Q307), 0, 1), 4, if(ISBLANK('2025'!$R307), 0, 1), 5, if(ISBLANK('2025'!$S307), 0, 1), 6, if(ISBLANK('2025'!$T307), 0, 1), 7, 0))), 1, "")</f>
        <v/>
      </c>
      <c r="AW309" s="1" t="str">
        <f>IF(AND(AND(AND(AW$4&gt;='2025'!$L307,AW$4&lt;='2025'!$M307), AW$4&lt;&gt;DATE(2025,7,4)), (SWITCH(weekday(AW$4), 1, 0, 2, if(ISBLANK('2025'!$P307), 0, 1), 3, if(ISBLANK('2025'!$Q307), 0, 1), 4, if(ISBLANK('2025'!$R307), 0, 1), 5, if(ISBLANK('2025'!$S307), 0, 1), 6, if(ISBLANK('2025'!$T307), 0, 1), 7, 0))), 1, "")</f>
        <v/>
      </c>
      <c r="AX309" s="1" t="str">
        <f>IF(AND(AND(AND(AX$4&gt;='2025'!$L307,AX$4&lt;='2025'!$M307), AX$4&lt;&gt;DATE(2025,7,4)), (SWITCH(weekday(AX$4), 1, 0, 2, if(ISBLANK('2025'!$P307), 0, 1), 3, if(ISBLANK('2025'!$Q307), 0, 1), 4, if(ISBLANK('2025'!$R307), 0, 1), 5, if(ISBLANK('2025'!$S307), 0, 1), 6, if(ISBLANK('2025'!$T307), 0, 1), 7, 0))), 1, "")</f>
        <v/>
      </c>
      <c r="AY309" s="1" t="str">
        <f>IF(AND(AND(AND(AY$4&gt;='2025'!$L307,AY$4&lt;='2025'!$M307), AY$4&lt;&gt;DATE(2025,7,4)), (SWITCH(weekday(AY$4), 1, 0, 2, if(ISBLANK('2025'!$P307), 0, 1), 3, if(ISBLANK('2025'!$Q307), 0, 1), 4, if(ISBLANK('2025'!$R307), 0, 1), 5, if(ISBLANK('2025'!$S307), 0, 1), 6, if(ISBLANK('2025'!$T307), 0, 1), 7, 0))), 1, "")</f>
        <v/>
      </c>
      <c r="AZ309" s="1" t="str">
        <f>IF(AND(AND(AND(AZ$4&gt;='2025'!$L307,AZ$4&lt;='2025'!$M307), AZ$4&lt;&gt;DATE(2025,7,4)), (SWITCH(weekday(AZ$4), 1, 0, 2, if(ISBLANK('2025'!$P307), 0, 1), 3, if(ISBLANK('2025'!$Q307), 0, 1), 4, if(ISBLANK('2025'!$R307), 0, 1), 5, if(ISBLANK('2025'!$S307), 0, 1), 6, if(ISBLANK('2025'!$T307), 0, 1), 7, 0))), 1, "")</f>
        <v/>
      </c>
      <c r="BA309" s="1" t="str">
        <f>IF(AND(AND(AND(BA$4&gt;='2025'!$L307,BA$4&lt;='2025'!$M307), BA$4&lt;&gt;DATE(2025,7,4)), (SWITCH(weekday(BA$4), 1, 0, 2, if(ISBLANK('2025'!$P307), 0, 1), 3, if(ISBLANK('2025'!$Q307), 0, 1), 4, if(ISBLANK('2025'!$R307), 0, 1), 5, if(ISBLANK('2025'!$S307), 0, 1), 6, if(ISBLANK('2025'!$T307), 0, 1), 7, 0))), 1, "")</f>
        <v/>
      </c>
      <c r="BB309" s="1" t="str">
        <f>IF(AND(AND(AND(BB$4&gt;='2025'!$L307,BB$4&lt;='2025'!$M307), BB$4&lt;&gt;DATE(2025,7,4)), (SWITCH(weekday(BB$4), 1, 0, 2, if(ISBLANK('2025'!$P307), 0, 1), 3, if(ISBLANK('2025'!$Q307), 0, 1), 4, if(ISBLANK('2025'!$R307), 0, 1), 5, if(ISBLANK('2025'!$S307), 0, 1), 6, if(ISBLANK('2025'!$T307), 0, 1), 7, 0))), 1, "")</f>
        <v/>
      </c>
      <c r="BC309" s="1" t="str">
        <f>IF(AND(AND(AND(BC$4&gt;='2025'!$L307,BC$4&lt;='2025'!$M307), BC$4&lt;&gt;DATE(2025,7,4)), (SWITCH(weekday(BC$4), 1, 0, 2, if(ISBLANK('2025'!$P307), 0, 1), 3, if(ISBLANK('2025'!$Q307), 0, 1), 4, if(ISBLANK('2025'!$R307), 0, 1), 5, if(ISBLANK('2025'!$S307), 0, 1), 6, if(ISBLANK('2025'!$T307), 0, 1), 7, 0))), 1, "")</f>
        <v/>
      </c>
      <c r="BD309" s="1" t="str">
        <f>IF(AND(AND(AND(BD$4&gt;='2025'!$L307,BD$4&lt;='2025'!$M307), BD$4&lt;&gt;DATE(2025,7,4)), (SWITCH(weekday(BD$4), 1, 0, 2, if(ISBLANK('2025'!$P307), 0, 1), 3, if(ISBLANK('2025'!$Q307), 0, 1), 4, if(ISBLANK('2025'!$R307), 0, 1), 5, if(ISBLANK('2025'!$S307), 0, 1), 6, if(ISBLANK('2025'!$T307), 0, 1), 7, 0))), 1, "")</f>
        <v/>
      </c>
      <c r="BE309" s="1" t="str">
        <f>IF(AND(AND(AND(BE$4&gt;='2025'!$L307,BE$4&lt;='2025'!$M307), BE$4&lt;&gt;DATE(2025,7,4)), (SWITCH(weekday(BE$4), 1, 0, 2, if(ISBLANK('2025'!$P307), 0, 1), 3, if(ISBLANK('2025'!$Q307), 0, 1), 4, if(ISBLANK('2025'!$R307), 0, 1), 5, if(ISBLANK('2025'!$S307), 0, 1), 6, if(ISBLANK('2025'!$T307), 0, 1), 7, 0))), 1, "")</f>
        <v/>
      </c>
      <c r="BF309" s="1" t="str">
        <f>IF(AND(AND(AND(BF$4&gt;='2025'!$L307,BF$4&lt;='2025'!$M307), BF$4&lt;&gt;DATE(2025,7,4)), (SWITCH(weekday(BF$4), 1, 0, 2, if(ISBLANK('2025'!$P307), 0, 1), 3, if(ISBLANK('2025'!$Q307), 0, 1), 4, if(ISBLANK('2025'!$R307), 0, 1), 5, if(ISBLANK('2025'!$S307), 0, 1), 6, if(ISBLANK('2025'!$T307), 0, 1), 7, 0))), 1, "")</f>
        <v/>
      </c>
      <c r="BG309" s="1"/>
      <c r="BH309" s="1"/>
      <c r="BI309" s="1"/>
      <c r="BJ309" s="1"/>
      <c r="BK309" s="1"/>
      <c r="BL309" s="1"/>
    </row>
    <row r="310">
      <c r="A310" s="1">
        <f t="shared" si="3"/>
        <v>310</v>
      </c>
      <c r="B310" s="1" t="str">
        <f>'2025'!D274</f>
        <v>, </v>
      </c>
      <c r="C310" s="1" t="str">
        <f>'2025'!H274</f>
        <v/>
      </c>
      <c r="D310" s="1" t="str">
        <f>IF(AND(AND(AND(D$4&gt;='2025'!$L308,D$4&lt;='2025'!$M308), D$4&lt;&gt;DATE(2025,7,4)), (SWITCH(weekday(D$4), 1, 0, 2, if(ISBLANK('2025'!$P308), 0, 1), 3, if(ISBLANK('2025'!$Q308), 0, 1), 4, if(ISBLANK('2025'!$R308), 0, 1), 5, if(ISBLANK('2025'!$S308), 0, 1), 6, if(ISBLANK('2025'!$T308), 0, 1), 7, 0))), 1, "")</f>
        <v/>
      </c>
      <c r="E310" s="1" t="str">
        <f>IF(AND(AND(AND(E$4&gt;='2025'!$L308,E$4&lt;='2025'!$M308), E$4&lt;&gt;DATE(2025,7,4)), (SWITCH(weekday(E$4), 1, 0, 2, if(ISBLANK('2025'!$P308), 0, 1), 3, if(ISBLANK('2025'!$Q308), 0, 1), 4, if(ISBLANK('2025'!$R308), 0, 1), 5, if(ISBLANK('2025'!$S308), 0, 1), 6, if(ISBLANK('2025'!$T308), 0, 1), 7, 0))), 1, "")</f>
        <v/>
      </c>
      <c r="F310" s="1" t="str">
        <f>IF(AND(AND(AND(F$4&gt;='2025'!$L308,F$4&lt;='2025'!$M308), F$4&lt;&gt;DATE(2025,7,4)), (SWITCH(weekday(F$4), 1, 0, 2, if(ISBLANK('2025'!$P308), 0, 1), 3, if(ISBLANK('2025'!$Q308), 0, 1), 4, if(ISBLANK('2025'!$R308), 0, 1), 5, if(ISBLANK('2025'!$S308), 0, 1), 6, if(ISBLANK('2025'!$T308), 0, 1), 7, 0))), 1, "")</f>
        <v/>
      </c>
      <c r="G310" s="1" t="str">
        <f>IF(AND(AND(AND(G$4&gt;='2025'!$L308,G$4&lt;='2025'!$M308), G$4&lt;&gt;DATE(2025,7,4)), (SWITCH(weekday(G$4), 1, 0, 2, if(ISBLANK('2025'!$P308), 0, 1), 3, if(ISBLANK('2025'!$Q308), 0, 1), 4, if(ISBLANK('2025'!$R308), 0, 1), 5, if(ISBLANK('2025'!$S308), 0, 1), 6, if(ISBLANK('2025'!$T308), 0, 1), 7, 0))), 1, "")</f>
        <v/>
      </c>
      <c r="H310" s="1" t="str">
        <f>IF(AND(AND(AND(H$4&gt;='2025'!$L308,H$4&lt;='2025'!$M308), H$4&lt;&gt;DATE(2025,7,4)), (SWITCH(weekday(H$4), 1, 0, 2, if(ISBLANK('2025'!$P308), 0, 1), 3, if(ISBLANK('2025'!$Q308), 0, 1), 4, if(ISBLANK('2025'!$R308), 0, 1), 5, if(ISBLANK('2025'!$S308), 0, 1), 6, if(ISBLANK('2025'!$T308), 0, 1), 7, 0))), 1, "")</f>
        <v/>
      </c>
      <c r="I310" s="1" t="str">
        <f>IF(AND(AND(AND(I$4&gt;='2025'!$L308,I$4&lt;='2025'!$M308), I$4&lt;&gt;DATE(2025,7,4)), (SWITCH(weekday(I$4), 1, 0, 2, if(ISBLANK('2025'!$P308), 0, 1), 3, if(ISBLANK('2025'!$Q308), 0, 1), 4, if(ISBLANK('2025'!$R308), 0, 1), 5, if(ISBLANK('2025'!$S308), 0, 1), 6, if(ISBLANK('2025'!$T308), 0, 1), 7, 0))), 1, "")</f>
        <v/>
      </c>
      <c r="J310" s="1" t="str">
        <f>IF(AND(AND(AND(J$4&gt;='2025'!$L308,J$4&lt;='2025'!$M308), J$4&lt;&gt;DATE(2025,7,4)), (SWITCH(weekday(J$4), 1, 0, 2, if(ISBLANK('2025'!$P308), 0, 1), 3, if(ISBLANK('2025'!$Q308), 0, 1), 4, if(ISBLANK('2025'!$R308), 0, 1), 5, if(ISBLANK('2025'!$S308), 0, 1), 6, if(ISBLANK('2025'!$T308), 0, 1), 7, 0))), 1, "")</f>
        <v/>
      </c>
      <c r="K310" s="1" t="str">
        <f>IF(AND(AND(AND(K$4&gt;='2025'!$L308,K$4&lt;='2025'!$M308), K$4&lt;&gt;DATE(2025,7,4)), (SWITCH(weekday(K$4), 1, 0, 2, if(ISBLANK('2025'!$P308), 0, 1), 3, if(ISBLANK('2025'!$Q308), 0, 1), 4, if(ISBLANK('2025'!$R308), 0, 1), 5, if(ISBLANK('2025'!$S308), 0, 1), 6, if(ISBLANK('2025'!$T308), 0, 1), 7, 0))), 1, "")</f>
        <v/>
      </c>
      <c r="L310" s="1" t="str">
        <f>IF(AND(AND(AND(L$4&gt;='2025'!$L308,L$4&lt;='2025'!$M308), L$4&lt;&gt;DATE(2025,7,4)), (SWITCH(weekday(L$4), 1, 0, 2, if(ISBLANK('2025'!$P308), 0, 1), 3, if(ISBLANK('2025'!$Q308), 0, 1), 4, if(ISBLANK('2025'!$R308), 0, 1), 5, if(ISBLANK('2025'!$S308), 0, 1), 6, if(ISBLANK('2025'!$T308), 0, 1), 7, 0))), 1, "")</f>
        <v/>
      </c>
      <c r="M310" s="1" t="str">
        <f>IF(AND(AND(AND(M$4&gt;='2025'!$L308,M$4&lt;='2025'!$M308), M$4&lt;&gt;DATE(2025,7,4)), (SWITCH(weekday(M$4), 1, 0, 2, if(ISBLANK('2025'!$P308), 0, 1), 3, if(ISBLANK('2025'!$Q308), 0, 1), 4, if(ISBLANK('2025'!$R308), 0, 1), 5, if(ISBLANK('2025'!$S308), 0, 1), 6, if(ISBLANK('2025'!$T308), 0, 1), 7, 0))), 1, "")</f>
        <v/>
      </c>
      <c r="N310" s="1" t="str">
        <f>IF(AND(AND(AND(N$4&gt;='2025'!$L308,N$4&lt;='2025'!$M308), N$4&lt;&gt;DATE(2025,7,4)), (SWITCH(weekday(N$4), 1, 0, 2, if(ISBLANK('2025'!$P308), 0, 1), 3, if(ISBLANK('2025'!$Q308), 0, 1), 4, if(ISBLANK('2025'!$R308), 0, 1), 5, if(ISBLANK('2025'!$S308), 0, 1), 6, if(ISBLANK('2025'!$T308), 0, 1), 7, 0))), 1, "")</f>
        <v/>
      </c>
      <c r="O310" s="1" t="str">
        <f>IF(AND(AND(AND(O$4&gt;='2025'!$L308,O$4&lt;='2025'!$M308), O$4&lt;&gt;DATE(2025,7,4)), (SWITCH(weekday(O$4), 1, 0, 2, if(ISBLANK('2025'!$P308), 0, 1), 3, if(ISBLANK('2025'!$Q308), 0, 1), 4, if(ISBLANK('2025'!$R308), 0, 1), 5, if(ISBLANK('2025'!$S308), 0, 1), 6, if(ISBLANK('2025'!$T308), 0, 1), 7, 0))), 1, "")</f>
        <v/>
      </c>
      <c r="P310" s="1" t="str">
        <f>IF(AND(AND(AND(P$4&gt;='2025'!$L308,P$4&lt;='2025'!$M308), P$4&lt;&gt;DATE(2025,7,4)), (SWITCH(weekday(P$4), 1, 0, 2, if(ISBLANK('2025'!$P308), 0, 1), 3, if(ISBLANK('2025'!$Q308), 0, 1), 4, if(ISBLANK('2025'!$R308), 0, 1), 5, if(ISBLANK('2025'!$S308), 0, 1), 6, if(ISBLANK('2025'!$T308), 0, 1), 7, 0))), 1, "")</f>
        <v/>
      </c>
      <c r="Q310" s="1" t="str">
        <f>IF(AND(AND(AND(Q$4&gt;='2025'!$L308,Q$4&lt;='2025'!$M308), Q$4&lt;&gt;DATE(2025,7,4)), (SWITCH(weekday(Q$4), 1, 0, 2, if(ISBLANK('2025'!$P308), 0, 1), 3, if(ISBLANK('2025'!$Q308), 0, 1), 4, if(ISBLANK('2025'!$R308), 0, 1), 5, if(ISBLANK('2025'!$S308), 0, 1), 6, if(ISBLANK('2025'!$T308), 0, 1), 7, 0))), 1, "")</f>
        <v/>
      </c>
      <c r="R310" s="1" t="str">
        <f>IF(AND(AND(AND(R$4&gt;='2025'!$L308,R$4&lt;='2025'!$M308), R$4&lt;&gt;DATE(2025,7,4)), (SWITCH(weekday(R$4), 1, 0, 2, if(ISBLANK('2025'!$P308), 0, 1), 3, if(ISBLANK('2025'!$Q308), 0, 1), 4, if(ISBLANK('2025'!$R308), 0, 1), 5, if(ISBLANK('2025'!$S308), 0, 1), 6, if(ISBLANK('2025'!$T308), 0, 1), 7, 0))), 1, "")</f>
        <v/>
      </c>
      <c r="S310" s="1" t="str">
        <f>IF(AND(AND(AND(S$4&gt;='2025'!$L308,S$4&lt;='2025'!$M308), S$4&lt;&gt;DATE(2025,7,4)), (SWITCH(weekday(S$4), 1, 0, 2, if(ISBLANK('2025'!$P308), 0, 1), 3, if(ISBLANK('2025'!$Q308), 0, 1), 4, if(ISBLANK('2025'!$R308), 0, 1), 5, if(ISBLANK('2025'!$S308), 0, 1), 6, if(ISBLANK('2025'!$T308), 0, 1), 7, 0))), 1, "")</f>
        <v/>
      </c>
      <c r="T310" s="1" t="str">
        <f>IF(AND(AND(AND(T$4&gt;='2025'!$L308,T$4&lt;='2025'!$M308), T$4&lt;&gt;DATE(2025,7,4)), (SWITCH(weekday(T$4), 1, 0, 2, if(ISBLANK('2025'!$P308), 0, 1), 3, if(ISBLANK('2025'!$Q308), 0, 1), 4, if(ISBLANK('2025'!$R308), 0, 1), 5, if(ISBLANK('2025'!$S308), 0, 1), 6, if(ISBLANK('2025'!$T308), 0, 1), 7, 0))), 1, "")</f>
        <v/>
      </c>
      <c r="U310" s="1" t="str">
        <f>IF(AND(AND(AND(U$4&gt;='2025'!$L308,U$4&lt;='2025'!$M308), U$4&lt;&gt;DATE(2025,7,4)), (SWITCH(weekday(U$4), 1, 0, 2, if(ISBLANK('2025'!$P308), 0, 1), 3, if(ISBLANK('2025'!$Q308), 0, 1), 4, if(ISBLANK('2025'!$R308), 0, 1), 5, if(ISBLANK('2025'!$S308), 0, 1), 6, if(ISBLANK('2025'!$T308), 0, 1), 7, 0))), 1, "")</f>
        <v/>
      </c>
      <c r="V310" s="1" t="str">
        <f>IF(AND(AND(AND(V$4&gt;='2025'!$L308,V$4&lt;='2025'!$M308), V$4&lt;&gt;DATE(2025,7,4)), (SWITCH(weekday(V$4), 1, 0, 2, if(ISBLANK('2025'!$P308), 0, 1), 3, if(ISBLANK('2025'!$Q308), 0, 1), 4, if(ISBLANK('2025'!$R308), 0, 1), 5, if(ISBLANK('2025'!$S308), 0, 1), 6, if(ISBLANK('2025'!$T308), 0, 1), 7, 0))), 1, "")</f>
        <v/>
      </c>
      <c r="W310" s="1" t="str">
        <f>IF(AND(AND(AND(W$4&gt;='2025'!$L308,W$4&lt;='2025'!$M308), W$4&lt;&gt;DATE(2025,7,4)), (SWITCH(weekday(W$4), 1, 0, 2, if(ISBLANK('2025'!$P308), 0, 1), 3, if(ISBLANK('2025'!$Q308), 0, 1), 4, if(ISBLANK('2025'!$R308), 0, 1), 5, if(ISBLANK('2025'!$S308), 0, 1), 6, if(ISBLANK('2025'!$T308), 0, 1), 7, 0))), 1, "")</f>
        <v/>
      </c>
      <c r="X310" s="1" t="str">
        <f>IF(AND(AND(AND(X$4&gt;='2025'!$L308,X$4&lt;='2025'!$M308), X$4&lt;&gt;DATE(2025,7,4)), (SWITCH(weekday(X$4), 1, 0, 2, if(ISBLANK('2025'!$P308), 0, 1), 3, if(ISBLANK('2025'!$Q308), 0, 1), 4, if(ISBLANK('2025'!$R308), 0, 1), 5, if(ISBLANK('2025'!$S308), 0, 1), 6, if(ISBLANK('2025'!$T308), 0, 1), 7, 0))), 1, "")</f>
        <v/>
      </c>
      <c r="Y310" s="1" t="str">
        <f>IF(AND(AND(AND(Y$4&gt;='2025'!$L308,Y$4&lt;='2025'!$M308), Y$4&lt;&gt;DATE(2025,7,4)), (SWITCH(weekday(Y$4), 1, 0, 2, if(ISBLANK('2025'!$P308), 0, 1), 3, if(ISBLANK('2025'!$Q308), 0, 1), 4, if(ISBLANK('2025'!$R308), 0, 1), 5, if(ISBLANK('2025'!$S308), 0, 1), 6, if(ISBLANK('2025'!$T308), 0, 1), 7, 0))), 1, "")</f>
        <v/>
      </c>
      <c r="Z310" s="1" t="str">
        <f>IF(AND(AND(AND(Z$4&gt;='2025'!$L308,Z$4&lt;='2025'!$M308), Z$4&lt;&gt;DATE(2025,7,4)), (SWITCH(weekday(Z$4), 1, 0, 2, if(ISBLANK('2025'!$P308), 0, 1), 3, if(ISBLANK('2025'!$Q308), 0, 1), 4, if(ISBLANK('2025'!$R308), 0, 1), 5, if(ISBLANK('2025'!$S308), 0, 1), 6, if(ISBLANK('2025'!$T308), 0, 1), 7, 0))), 1, "")</f>
        <v/>
      </c>
      <c r="AA310" s="1" t="str">
        <f>IF(AND(AND(AND(AA$4&gt;='2025'!$L308,AA$4&lt;='2025'!$M308), AA$4&lt;&gt;DATE(2025,7,4)), (SWITCH(weekday(AA$4), 1, 0, 2, if(ISBLANK('2025'!$P308), 0, 1), 3, if(ISBLANK('2025'!$Q308), 0, 1), 4, if(ISBLANK('2025'!$R308), 0, 1), 5, if(ISBLANK('2025'!$S308), 0, 1), 6, if(ISBLANK('2025'!$T308), 0, 1), 7, 0))), 1, "")</f>
        <v/>
      </c>
      <c r="AB310" s="1" t="str">
        <f>IF(AND(AND(AND(AB$4&gt;='2025'!$L308,AB$4&lt;='2025'!$M308), AB$4&lt;&gt;DATE(2025,7,4)), (SWITCH(weekday(AB$4), 1, 0, 2, if(ISBLANK('2025'!$P308), 0, 1), 3, if(ISBLANK('2025'!$Q308), 0, 1), 4, if(ISBLANK('2025'!$R308), 0, 1), 5, if(ISBLANK('2025'!$S308), 0, 1), 6, if(ISBLANK('2025'!$T308), 0, 1), 7, 0))), 1, "")</f>
        <v/>
      </c>
      <c r="AC310" s="1" t="str">
        <f>IF(AND(AND(AND(AC$4&gt;='2025'!$L308,AC$4&lt;='2025'!$M308), AC$4&lt;&gt;DATE(2025,7,4)), (SWITCH(weekday(AC$4), 1, 0, 2, if(ISBLANK('2025'!$P308), 0, 1), 3, if(ISBLANK('2025'!$Q308), 0, 1), 4, if(ISBLANK('2025'!$R308), 0, 1), 5, if(ISBLANK('2025'!$S308), 0, 1), 6, if(ISBLANK('2025'!$T308), 0, 1), 7, 0))), 1, "")</f>
        <v/>
      </c>
      <c r="AD310" s="1" t="str">
        <f>IF(AND(AND(AND(AD$4&gt;='2025'!$L308,AD$4&lt;='2025'!$M308), AD$4&lt;&gt;DATE(2025,7,4)), (SWITCH(weekday(AD$4), 1, 0, 2, if(ISBLANK('2025'!$P308), 0, 1), 3, if(ISBLANK('2025'!$Q308), 0, 1), 4, if(ISBLANK('2025'!$R308), 0, 1), 5, if(ISBLANK('2025'!$S308), 0, 1), 6, if(ISBLANK('2025'!$T308), 0, 1), 7, 0))), 1, "")</f>
        <v/>
      </c>
      <c r="AE310" s="1" t="str">
        <f>IF(AND(AND(AND(AE$4&gt;='2025'!$L308,AE$4&lt;='2025'!$M308), AE$4&lt;&gt;DATE(2025,7,4)), (SWITCH(weekday(AE$4), 1, 0, 2, if(ISBLANK('2025'!$P308), 0, 1), 3, if(ISBLANK('2025'!$Q308), 0, 1), 4, if(ISBLANK('2025'!$R308), 0, 1), 5, if(ISBLANK('2025'!$S308), 0, 1), 6, if(ISBLANK('2025'!$T308), 0, 1), 7, 0))), 1, "")</f>
        <v/>
      </c>
      <c r="AF310" s="1" t="str">
        <f>IF(AND(AND(AND(AF$4&gt;='2025'!$L308,AF$4&lt;='2025'!$M308), AF$4&lt;&gt;DATE(2025,7,4)), (SWITCH(weekday(AF$4), 1, 0, 2, if(ISBLANK('2025'!$P308), 0, 1), 3, if(ISBLANK('2025'!$Q308), 0, 1), 4, if(ISBLANK('2025'!$R308), 0, 1), 5, if(ISBLANK('2025'!$S308), 0, 1), 6, if(ISBLANK('2025'!$T308), 0, 1), 7, 0))), 1, "")</f>
        <v/>
      </c>
      <c r="AG310" s="1" t="str">
        <f>IF(AND(AND(AND(AG$4&gt;='2025'!$L308,AG$4&lt;='2025'!$M308), AG$4&lt;&gt;DATE(2025,7,4)), (SWITCH(weekday(AG$4), 1, 0, 2, if(ISBLANK('2025'!$P308), 0, 1), 3, if(ISBLANK('2025'!$Q308), 0, 1), 4, if(ISBLANK('2025'!$R308), 0, 1), 5, if(ISBLANK('2025'!$S308), 0, 1), 6, if(ISBLANK('2025'!$T308), 0, 1), 7, 0))), 1, "")</f>
        <v/>
      </c>
      <c r="AH310" s="1" t="str">
        <f>IF(AND(AND(AND(AH$4&gt;='2025'!$L308,AH$4&lt;='2025'!$M308), AH$4&lt;&gt;DATE(2025,7,4)), (SWITCH(weekday(AH$4), 1, 0, 2, if(ISBLANK('2025'!$P308), 0, 1), 3, if(ISBLANK('2025'!$Q308), 0, 1), 4, if(ISBLANK('2025'!$R308), 0, 1), 5, if(ISBLANK('2025'!$S308), 0, 1), 6, if(ISBLANK('2025'!$T308), 0, 1), 7, 0))), 1, "")</f>
        <v/>
      </c>
      <c r="AI310" s="1" t="str">
        <f>IF(AND(AND(AND(AI$4&gt;='2025'!$L308,AI$4&lt;='2025'!$M308), AI$4&lt;&gt;DATE(2025,7,4)), (SWITCH(weekday(AI$4), 1, 0, 2, if(ISBLANK('2025'!$P308), 0, 1), 3, if(ISBLANK('2025'!$Q308), 0, 1), 4, if(ISBLANK('2025'!$R308), 0, 1), 5, if(ISBLANK('2025'!$S308), 0, 1), 6, if(ISBLANK('2025'!$T308), 0, 1), 7, 0))), 1, "")</f>
        <v/>
      </c>
      <c r="AJ310" s="1" t="str">
        <f>IF(AND(AND(AND(AJ$4&gt;='2025'!$L308,AJ$4&lt;='2025'!$M308), AJ$4&lt;&gt;DATE(2025,7,4)), (SWITCH(weekday(AJ$4), 1, 0, 2, if(ISBLANK('2025'!$P308), 0, 1), 3, if(ISBLANK('2025'!$Q308), 0, 1), 4, if(ISBLANK('2025'!$R308), 0, 1), 5, if(ISBLANK('2025'!$S308), 0, 1), 6, if(ISBLANK('2025'!$T308), 0, 1), 7, 0))), 1, "")</f>
        <v/>
      </c>
      <c r="AK310" s="1" t="str">
        <f>IF(AND(AND(AND(AK$4&gt;='2025'!$L308,AK$4&lt;='2025'!$M308), AK$4&lt;&gt;DATE(2025,7,4)), (SWITCH(weekday(AK$4), 1, 0, 2, if(ISBLANK('2025'!$P308), 0, 1), 3, if(ISBLANK('2025'!$Q308), 0, 1), 4, if(ISBLANK('2025'!$R308), 0, 1), 5, if(ISBLANK('2025'!$S308), 0, 1), 6, if(ISBLANK('2025'!$T308), 0, 1), 7, 0))), 1, "")</f>
        <v/>
      </c>
      <c r="AL310" s="1" t="str">
        <f>IF(AND(AND(AND(AL$4&gt;='2025'!$L308,AL$4&lt;='2025'!$M308), AL$4&lt;&gt;DATE(2025,7,4)), (SWITCH(weekday(AL$4), 1, 0, 2, if(ISBLANK('2025'!$P308), 0, 1), 3, if(ISBLANK('2025'!$Q308), 0, 1), 4, if(ISBLANK('2025'!$R308), 0, 1), 5, if(ISBLANK('2025'!$S308), 0, 1), 6, if(ISBLANK('2025'!$T308), 0, 1), 7, 0))), 1, "")</f>
        <v/>
      </c>
      <c r="AM310" s="1" t="str">
        <f>IF(AND(AND(AND(AM$4&gt;='2025'!$L308,AM$4&lt;='2025'!$M308), AM$4&lt;&gt;DATE(2025,7,4)), (SWITCH(weekday(AM$4), 1, 0, 2, if(ISBLANK('2025'!$P308), 0, 1), 3, if(ISBLANK('2025'!$Q308), 0, 1), 4, if(ISBLANK('2025'!$R308), 0, 1), 5, if(ISBLANK('2025'!$S308), 0, 1), 6, if(ISBLANK('2025'!$T308), 0, 1), 7, 0))), 1, "")</f>
        <v/>
      </c>
      <c r="AN310" s="1" t="str">
        <f>IF(AND(AND(AND(AN$4&gt;='2025'!$L308,AN$4&lt;='2025'!$M308), AN$4&lt;&gt;DATE(2025,7,4)), (SWITCH(weekday(AN$4), 1, 0, 2, if(ISBLANK('2025'!$P308), 0, 1), 3, if(ISBLANK('2025'!$Q308), 0, 1), 4, if(ISBLANK('2025'!$R308), 0, 1), 5, if(ISBLANK('2025'!$S308), 0, 1), 6, if(ISBLANK('2025'!$T308), 0, 1), 7, 0))), 1, "")</f>
        <v/>
      </c>
      <c r="AO310" s="1" t="str">
        <f>IF(AND(AND(AND(AO$4&gt;='2025'!$L308,AO$4&lt;='2025'!$M308), AO$4&lt;&gt;DATE(2025,7,4)), (SWITCH(weekday(AO$4), 1, 0, 2, if(ISBLANK('2025'!$P308), 0, 1), 3, if(ISBLANK('2025'!$Q308), 0, 1), 4, if(ISBLANK('2025'!$R308), 0, 1), 5, if(ISBLANK('2025'!$S308), 0, 1), 6, if(ISBLANK('2025'!$T308), 0, 1), 7, 0))), 1, "")</f>
        <v/>
      </c>
      <c r="AP310" s="1" t="str">
        <f>IF(AND(AND(AND(AP$4&gt;='2025'!$L308,AP$4&lt;='2025'!$M308), AP$4&lt;&gt;DATE(2025,7,4)), (SWITCH(weekday(AP$4), 1, 0, 2, if(ISBLANK('2025'!$P308), 0, 1), 3, if(ISBLANK('2025'!$Q308), 0, 1), 4, if(ISBLANK('2025'!$R308), 0, 1), 5, if(ISBLANK('2025'!$S308), 0, 1), 6, if(ISBLANK('2025'!$T308), 0, 1), 7, 0))), 1, "")</f>
        <v/>
      </c>
      <c r="AQ310" s="1" t="str">
        <f>IF(AND(AND(AND(AQ$4&gt;='2025'!$L308,AQ$4&lt;='2025'!$M308), AQ$4&lt;&gt;DATE(2025,7,4)), (SWITCH(weekday(AQ$4), 1, 0, 2, if(ISBLANK('2025'!$P308), 0, 1), 3, if(ISBLANK('2025'!$Q308), 0, 1), 4, if(ISBLANK('2025'!$R308), 0, 1), 5, if(ISBLANK('2025'!$S308), 0, 1), 6, if(ISBLANK('2025'!$T308), 0, 1), 7, 0))), 1, "")</f>
        <v/>
      </c>
      <c r="AR310" s="1" t="str">
        <f>IF(AND(AND(AND(AR$4&gt;='2025'!$L308,AR$4&lt;='2025'!$M308), AR$4&lt;&gt;DATE(2025,7,4)), (SWITCH(weekday(AR$4), 1, 0, 2, if(ISBLANK('2025'!$P308), 0, 1), 3, if(ISBLANK('2025'!$Q308), 0, 1), 4, if(ISBLANK('2025'!$R308), 0, 1), 5, if(ISBLANK('2025'!$S308), 0, 1), 6, if(ISBLANK('2025'!$T308), 0, 1), 7, 0))), 1, "")</f>
        <v/>
      </c>
      <c r="AS310" s="1" t="str">
        <f>IF(AND(AND(AND(AS$4&gt;='2025'!$L308,AS$4&lt;='2025'!$M308), AS$4&lt;&gt;DATE(2025,7,4)), (SWITCH(weekday(AS$4), 1, 0, 2, if(ISBLANK('2025'!$P308), 0, 1), 3, if(ISBLANK('2025'!$Q308), 0, 1), 4, if(ISBLANK('2025'!$R308), 0, 1), 5, if(ISBLANK('2025'!$S308), 0, 1), 6, if(ISBLANK('2025'!$T308), 0, 1), 7, 0))), 1, "")</f>
        <v/>
      </c>
      <c r="AT310" s="1" t="str">
        <f>IF(AND(AND(AND(AT$4&gt;='2025'!$L308,AT$4&lt;='2025'!$M308), AT$4&lt;&gt;DATE(2025,7,4)), (SWITCH(weekday(AT$4), 1, 0, 2, if(ISBLANK('2025'!$P308), 0, 1), 3, if(ISBLANK('2025'!$Q308), 0, 1), 4, if(ISBLANK('2025'!$R308), 0, 1), 5, if(ISBLANK('2025'!$S308), 0, 1), 6, if(ISBLANK('2025'!$T308), 0, 1), 7, 0))), 1, "")</f>
        <v/>
      </c>
      <c r="AU310" s="1" t="str">
        <f>IF(AND(AND(AND(AU$4&gt;='2025'!$L308,AU$4&lt;='2025'!$M308), AU$4&lt;&gt;DATE(2025,7,4)), (SWITCH(weekday(AU$4), 1, 0, 2, if(ISBLANK('2025'!$P308), 0, 1), 3, if(ISBLANK('2025'!$Q308), 0, 1), 4, if(ISBLANK('2025'!$R308), 0, 1), 5, if(ISBLANK('2025'!$S308), 0, 1), 6, if(ISBLANK('2025'!$T308), 0, 1), 7, 0))), 1, "")</f>
        <v/>
      </c>
      <c r="AV310" s="1" t="str">
        <f>IF(AND(AND(AND(AV$4&gt;='2025'!$L308,AV$4&lt;='2025'!$M308), AV$4&lt;&gt;DATE(2025,7,4)), (SWITCH(weekday(AV$4), 1, 0, 2, if(ISBLANK('2025'!$P308), 0, 1), 3, if(ISBLANK('2025'!$Q308), 0, 1), 4, if(ISBLANK('2025'!$R308), 0, 1), 5, if(ISBLANK('2025'!$S308), 0, 1), 6, if(ISBLANK('2025'!$T308), 0, 1), 7, 0))), 1, "")</f>
        <v/>
      </c>
      <c r="AW310" s="1" t="str">
        <f>IF(AND(AND(AND(AW$4&gt;='2025'!$L308,AW$4&lt;='2025'!$M308), AW$4&lt;&gt;DATE(2025,7,4)), (SWITCH(weekday(AW$4), 1, 0, 2, if(ISBLANK('2025'!$P308), 0, 1), 3, if(ISBLANK('2025'!$Q308), 0, 1), 4, if(ISBLANK('2025'!$R308), 0, 1), 5, if(ISBLANK('2025'!$S308), 0, 1), 6, if(ISBLANK('2025'!$T308), 0, 1), 7, 0))), 1, "")</f>
        <v/>
      </c>
      <c r="AX310" s="1" t="str">
        <f>IF(AND(AND(AND(AX$4&gt;='2025'!$L308,AX$4&lt;='2025'!$M308), AX$4&lt;&gt;DATE(2025,7,4)), (SWITCH(weekday(AX$4), 1, 0, 2, if(ISBLANK('2025'!$P308), 0, 1), 3, if(ISBLANK('2025'!$Q308), 0, 1), 4, if(ISBLANK('2025'!$R308), 0, 1), 5, if(ISBLANK('2025'!$S308), 0, 1), 6, if(ISBLANK('2025'!$T308), 0, 1), 7, 0))), 1, "")</f>
        <v/>
      </c>
      <c r="AY310" s="1" t="str">
        <f>IF(AND(AND(AND(AY$4&gt;='2025'!$L308,AY$4&lt;='2025'!$M308), AY$4&lt;&gt;DATE(2025,7,4)), (SWITCH(weekday(AY$4), 1, 0, 2, if(ISBLANK('2025'!$P308), 0, 1), 3, if(ISBLANK('2025'!$Q308), 0, 1), 4, if(ISBLANK('2025'!$R308), 0, 1), 5, if(ISBLANK('2025'!$S308), 0, 1), 6, if(ISBLANK('2025'!$T308), 0, 1), 7, 0))), 1, "")</f>
        <v/>
      </c>
      <c r="AZ310" s="1" t="str">
        <f>IF(AND(AND(AND(AZ$4&gt;='2025'!$L308,AZ$4&lt;='2025'!$M308), AZ$4&lt;&gt;DATE(2025,7,4)), (SWITCH(weekday(AZ$4), 1, 0, 2, if(ISBLANK('2025'!$P308), 0, 1), 3, if(ISBLANK('2025'!$Q308), 0, 1), 4, if(ISBLANK('2025'!$R308), 0, 1), 5, if(ISBLANK('2025'!$S308), 0, 1), 6, if(ISBLANK('2025'!$T308), 0, 1), 7, 0))), 1, "")</f>
        <v/>
      </c>
      <c r="BA310" s="1" t="str">
        <f>IF(AND(AND(AND(BA$4&gt;='2025'!$L308,BA$4&lt;='2025'!$M308), BA$4&lt;&gt;DATE(2025,7,4)), (SWITCH(weekday(BA$4), 1, 0, 2, if(ISBLANK('2025'!$P308), 0, 1), 3, if(ISBLANK('2025'!$Q308), 0, 1), 4, if(ISBLANK('2025'!$R308), 0, 1), 5, if(ISBLANK('2025'!$S308), 0, 1), 6, if(ISBLANK('2025'!$T308), 0, 1), 7, 0))), 1, "")</f>
        <v/>
      </c>
      <c r="BB310" s="1" t="str">
        <f>IF(AND(AND(AND(BB$4&gt;='2025'!$L308,BB$4&lt;='2025'!$M308), BB$4&lt;&gt;DATE(2025,7,4)), (SWITCH(weekday(BB$4), 1, 0, 2, if(ISBLANK('2025'!$P308), 0, 1), 3, if(ISBLANK('2025'!$Q308), 0, 1), 4, if(ISBLANK('2025'!$R308), 0, 1), 5, if(ISBLANK('2025'!$S308), 0, 1), 6, if(ISBLANK('2025'!$T308), 0, 1), 7, 0))), 1, "")</f>
        <v/>
      </c>
      <c r="BC310" s="1" t="str">
        <f>IF(AND(AND(AND(BC$4&gt;='2025'!$L308,BC$4&lt;='2025'!$M308), BC$4&lt;&gt;DATE(2025,7,4)), (SWITCH(weekday(BC$4), 1, 0, 2, if(ISBLANK('2025'!$P308), 0, 1), 3, if(ISBLANK('2025'!$Q308), 0, 1), 4, if(ISBLANK('2025'!$R308), 0, 1), 5, if(ISBLANK('2025'!$S308), 0, 1), 6, if(ISBLANK('2025'!$T308), 0, 1), 7, 0))), 1, "")</f>
        <v/>
      </c>
      <c r="BD310" s="1" t="str">
        <f>IF(AND(AND(AND(BD$4&gt;='2025'!$L308,BD$4&lt;='2025'!$M308), BD$4&lt;&gt;DATE(2025,7,4)), (SWITCH(weekday(BD$4), 1, 0, 2, if(ISBLANK('2025'!$P308), 0, 1), 3, if(ISBLANK('2025'!$Q308), 0, 1), 4, if(ISBLANK('2025'!$R308), 0, 1), 5, if(ISBLANK('2025'!$S308), 0, 1), 6, if(ISBLANK('2025'!$T308), 0, 1), 7, 0))), 1, "")</f>
        <v/>
      </c>
      <c r="BE310" s="1" t="str">
        <f>IF(AND(AND(AND(BE$4&gt;='2025'!$L308,BE$4&lt;='2025'!$M308), BE$4&lt;&gt;DATE(2025,7,4)), (SWITCH(weekday(BE$4), 1, 0, 2, if(ISBLANK('2025'!$P308), 0, 1), 3, if(ISBLANK('2025'!$Q308), 0, 1), 4, if(ISBLANK('2025'!$R308), 0, 1), 5, if(ISBLANK('2025'!$S308), 0, 1), 6, if(ISBLANK('2025'!$T308), 0, 1), 7, 0))), 1, "")</f>
        <v/>
      </c>
      <c r="BF310" s="1" t="str">
        <f>IF(AND(AND(AND(BF$4&gt;='2025'!$L308,BF$4&lt;='2025'!$M308), BF$4&lt;&gt;DATE(2025,7,4)), (SWITCH(weekday(BF$4), 1, 0, 2, if(ISBLANK('2025'!$P308), 0, 1), 3, if(ISBLANK('2025'!$Q308), 0, 1), 4, if(ISBLANK('2025'!$R308), 0, 1), 5, if(ISBLANK('2025'!$S308), 0, 1), 6, if(ISBLANK('2025'!$T308), 0, 1), 7, 0))), 1, "")</f>
        <v/>
      </c>
      <c r="BG310" s="1"/>
      <c r="BH310" s="1"/>
      <c r="BI310" s="1"/>
      <c r="BJ310" s="1"/>
      <c r="BK310" s="1"/>
      <c r="BL310" s="1"/>
    </row>
    <row r="311">
      <c r="A311" s="1">
        <f t="shared" si="3"/>
        <v>311</v>
      </c>
      <c r="B311" s="1" t="str">
        <f>'2025'!D275</f>
        <v>, </v>
      </c>
      <c r="C311" s="1" t="str">
        <f>'2025'!H275</f>
        <v/>
      </c>
      <c r="D311" s="1" t="str">
        <f>IF(AND(AND(AND(D$4&gt;='2025'!$L309,D$4&lt;='2025'!$M309), D$4&lt;&gt;DATE(2025,7,4)), (SWITCH(weekday(D$4), 1, 0, 2, if(ISBLANK('2025'!$P309), 0, 1), 3, if(ISBLANK('2025'!$Q309), 0, 1), 4, if(ISBLANK('2025'!$R309), 0, 1), 5, if(ISBLANK('2025'!$S309), 0, 1), 6, if(ISBLANK('2025'!$T309), 0, 1), 7, 0))), 1, "")</f>
        <v/>
      </c>
      <c r="E311" s="1" t="str">
        <f>IF(AND(AND(AND(E$4&gt;='2025'!$L309,E$4&lt;='2025'!$M309), E$4&lt;&gt;DATE(2025,7,4)), (SWITCH(weekday(E$4), 1, 0, 2, if(ISBLANK('2025'!$P309), 0, 1), 3, if(ISBLANK('2025'!$Q309), 0, 1), 4, if(ISBLANK('2025'!$R309), 0, 1), 5, if(ISBLANK('2025'!$S309), 0, 1), 6, if(ISBLANK('2025'!$T309), 0, 1), 7, 0))), 1, "")</f>
        <v/>
      </c>
      <c r="F311" s="1" t="str">
        <f>IF(AND(AND(AND(F$4&gt;='2025'!$L309,F$4&lt;='2025'!$M309), F$4&lt;&gt;DATE(2025,7,4)), (SWITCH(weekday(F$4), 1, 0, 2, if(ISBLANK('2025'!$P309), 0, 1), 3, if(ISBLANK('2025'!$Q309), 0, 1), 4, if(ISBLANK('2025'!$R309), 0, 1), 5, if(ISBLANK('2025'!$S309), 0, 1), 6, if(ISBLANK('2025'!$T309), 0, 1), 7, 0))), 1, "")</f>
        <v/>
      </c>
      <c r="G311" s="1" t="str">
        <f>IF(AND(AND(AND(G$4&gt;='2025'!$L309,G$4&lt;='2025'!$M309), G$4&lt;&gt;DATE(2025,7,4)), (SWITCH(weekday(G$4), 1, 0, 2, if(ISBLANK('2025'!$P309), 0, 1), 3, if(ISBLANK('2025'!$Q309), 0, 1), 4, if(ISBLANK('2025'!$R309), 0, 1), 5, if(ISBLANK('2025'!$S309), 0, 1), 6, if(ISBLANK('2025'!$T309), 0, 1), 7, 0))), 1, "")</f>
        <v/>
      </c>
      <c r="H311" s="1" t="str">
        <f>IF(AND(AND(AND(H$4&gt;='2025'!$L309,H$4&lt;='2025'!$M309), H$4&lt;&gt;DATE(2025,7,4)), (SWITCH(weekday(H$4), 1, 0, 2, if(ISBLANK('2025'!$P309), 0, 1), 3, if(ISBLANK('2025'!$Q309), 0, 1), 4, if(ISBLANK('2025'!$R309), 0, 1), 5, if(ISBLANK('2025'!$S309), 0, 1), 6, if(ISBLANK('2025'!$T309), 0, 1), 7, 0))), 1, "")</f>
        <v/>
      </c>
      <c r="I311" s="1" t="str">
        <f>IF(AND(AND(AND(I$4&gt;='2025'!$L309,I$4&lt;='2025'!$M309), I$4&lt;&gt;DATE(2025,7,4)), (SWITCH(weekday(I$4), 1, 0, 2, if(ISBLANK('2025'!$P309), 0, 1), 3, if(ISBLANK('2025'!$Q309), 0, 1), 4, if(ISBLANK('2025'!$R309), 0, 1), 5, if(ISBLANK('2025'!$S309), 0, 1), 6, if(ISBLANK('2025'!$T309), 0, 1), 7, 0))), 1, "")</f>
        <v/>
      </c>
      <c r="J311" s="1" t="str">
        <f>IF(AND(AND(AND(J$4&gt;='2025'!$L309,J$4&lt;='2025'!$M309), J$4&lt;&gt;DATE(2025,7,4)), (SWITCH(weekday(J$4), 1, 0, 2, if(ISBLANK('2025'!$P309), 0, 1), 3, if(ISBLANK('2025'!$Q309), 0, 1), 4, if(ISBLANK('2025'!$R309), 0, 1), 5, if(ISBLANK('2025'!$S309), 0, 1), 6, if(ISBLANK('2025'!$T309), 0, 1), 7, 0))), 1, "")</f>
        <v/>
      </c>
      <c r="K311" s="1" t="str">
        <f>IF(AND(AND(AND(K$4&gt;='2025'!$L309,K$4&lt;='2025'!$M309), K$4&lt;&gt;DATE(2025,7,4)), (SWITCH(weekday(K$4), 1, 0, 2, if(ISBLANK('2025'!$P309), 0, 1), 3, if(ISBLANK('2025'!$Q309), 0, 1), 4, if(ISBLANK('2025'!$R309), 0, 1), 5, if(ISBLANK('2025'!$S309), 0, 1), 6, if(ISBLANK('2025'!$T309), 0, 1), 7, 0))), 1, "")</f>
        <v/>
      </c>
      <c r="L311" s="1" t="str">
        <f>IF(AND(AND(AND(L$4&gt;='2025'!$L309,L$4&lt;='2025'!$M309), L$4&lt;&gt;DATE(2025,7,4)), (SWITCH(weekday(L$4), 1, 0, 2, if(ISBLANK('2025'!$P309), 0, 1), 3, if(ISBLANK('2025'!$Q309), 0, 1), 4, if(ISBLANK('2025'!$R309), 0, 1), 5, if(ISBLANK('2025'!$S309), 0, 1), 6, if(ISBLANK('2025'!$T309), 0, 1), 7, 0))), 1, "")</f>
        <v/>
      </c>
      <c r="M311" s="1" t="str">
        <f>IF(AND(AND(AND(M$4&gt;='2025'!$L309,M$4&lt;='2025'!$M309), M$4&lt;&gt;DATE(2025,7,4)), (SWITCH(weekday(M$4), 1, 0, 2, if(ISBLANK('2025'!$P309), 0, 1), 3, if(ISBLANK('2025'!$Q309), 0, 1), 4, if(ISBLANK('2025'!$R309), 0, 1), 5, if(ISBLANK('2025'!$S309), 0, 1), 6, if(ISBLANK('2025'!$T309), 0, 1), 7, 0))), 1, "")</f>
        <v/>
      </c>
      <c r="N311" s="1" t="str">
        <f>IF(AND(AND(AND(N$4&gt;='2025'!$L309,N$4&lt;='2025'!$M309), N$4&lt;&gt;DATE(2025,7,4)), (SWITCH(weekday(N$4), 1, 0, 2, if(ISBLANK('2025'!$P309), 0, 1), 3, if(ISBLANK('2025'!$Q309), 0, 1), 4, if(ISBLANK('2025'!$R309), 0, 1), 5, if(ISBLANK('2025'!$S309), 0, 1), 6, if(ISBLANK('2025'!$T309), 0, 1), 7, 0))), 1, "")</f>
        <v/>
      </c>
      <c r="O311" s="1" t="str">
        <f>IF(AND(AND(AND(O$4&gt;='2025'!$L309,O$4&lt;='2025'!$M309), O$4&lt;&gt;DATE(2025,7,4)), (SWITCH(weekday(O$4), 1, 0, 2, if(ISBLANK('2025'!$P309), 0, 1), 3, if(ISBLANK('2025'!$Q309), 0, 1), 4, if(ISBLANK('2025'!$R309), 0, 1), 5, if(ISBLANK('2025'!$S309), 0, 1), 6, if(ISBLANK('2025'!$T309), 0, 1), 7, 0))), 1, "")</f>
        <v/>
      </c>
      <c r="P311" s="1" t="str">
        <f>IF(AND(AND(AND(P$4&gt;='2025'!$L309,P$4&lt;='2025'!$M309), P$4&lt;&gt;DATE(2025,7,4)), (SWITCH(weekday(P$4), 1, 0, 2, if(ISBLANK('2025'!$P309), 0, 1), 3, if(ISBLANK('2025'!$Q309), 0, 1), 4, if(ISBLANK('2025'!$R309), 0, 1), 5, if(ISBLANK('2025'!$S309), 0, 1), 6, if(ISBLANK('2025'!$T309), 0, 1), 7, 0))), 1, "")</f>
        <v/>
      </c>
      <c r="Q311" s="1" t="str">
        <f>IF(AND(AND(AND(Q$4&gt;='2025'!$L309,Q$4&lt;='2025'!$M309), Q$4&lt;&gt;DATE(2025,7,4)), (SWITCH(weekday(Q$4), 1, 0, 2, if(ISBLANK('2025'!$P309), 0, 1), 3, if(ISBLANK('2025'!$Q309), 0, 1), 4, if(ISBLANK('2025'!$R309), 0, 1), 5, if(ISBLANK('2025'!$S309), 0, 1), 6, if(ISBLANK('2025'!$T309), 0, 1), 7, 0))), 1, "")</f>
        <v/>
      </c>
      <c r="R311" s="1" t="str">
        <f>IF(AND(AND(AND(R$4&gt;='2025'!$L309,R$4&lt;='2025'!$M309), R$4&lt;&gt;DATE(2025,7,4)), (SWITCH(weekday(R$4), 1, 0, 2, if(ISBLANK('2025'!$P309), 0, 1), 3, if(ISBLANK('2025'!$Q309), 0, 1), 4, if(ISBLANK('2025'!$R309), 0, 1), 5, if(ISBLANK('2025'!$S309), 0, 1), 6, if(ISBLANK('2025'!$T309), 0, 1), 7, 0))), 1, "")</f>
        <v/>
      </c>
      <c r="S311" s="1" t="str">
        <f>IF(AND(AND(AND(S$4&gt;='2025'!$L309,S$4&lt;='2025'!$M309), S$4&lt;&gt;DATE(2025,7,4)), (SWITCH(weekday(S$4), 1, 0, 2, if(ISBLANK('2025'!$P309), 0, 1), 3, if(ISBLANK('2025'!$Q309), 0, 1), 4, if(ISBLANK('2025'!$R309), 0, 1), 5, if(ISBLANK('2025'!$S309), 0, 1), 6, if(ISBLANK('2025'!$T309), 0, 1), 7, 0))), 1, "")</f>
        <v/>
      </c>
      <c r="T311" s="1" t="str">
        <f>IF(AND(AND(AND(T$4&gt;='2025'!$L309,T$4&lt;='2025'!$M309), T$4&lt;&gt;DATE(2025,7,4)), (SWITCH(weekday(T$4), 1, 0, 2, if(ISBLANK('2025'!$P309), 0, 1), 3, if(ISBLANK('2025'!$Q309), 0, 1), 4, if(ISBLANK('2025'!$R309), 0, 1), 5, if(ISBLANK('2025'!$S309), 0, 1), 6, if(ISBLANK('2025'!$T309), 0, 1), 7, 0))), 1, "")</f>
        <v/>
      </c>
      <c r="U311" s="1" t="str">
        <f>IF(AND(AND(AND(U$4&gt;='2025'!$L309,U$4&lt;='2025'!$M309), U$4&lt;&gt;DATE(2025,7,4)), (SWITCH(weekday(U$4), 1, 0, 2, if(ISBLANK('2025'!$P309), 0, 1), 3, if(ISBLANK('2025'!$Q309), 0, 1), 4, if(ISBLANK('2025'!$R309), 0, 1), 5, if(ISBLANK('2025'!$S309), 0, 1), 6, if(ISBLANK('2025'!$T309), 0, 1), 7, 0))), 1, "")</f>
        <v/>
      </c>
      <c r="V311" s="1" t="str">
        <f>IF(AND(AND(AND(V$4&gt;='2025'!$L309,V$4&lt;='2025'!$M309), V$4&lt;&gt;DATE(2025,7,4)), (SWITCH(weekday(V$4), 1, 0, 2, if(ISBLANK('2025'!$P309), 0, 1), 3, if(ISBLANK('2025'!$Q309), 0, 1), 4, if(ISBLANK('2025'!$R309), 0, 1), 5, if(ISBLANK('2025'!$S309), 0, 1), 6, if(ISBLANK('2025'!$T309), 0, 1), 7, 0))), 1, "")</f>
        <v/>
      </c>
      <c r="W311" s="1" t="str">
        <f>IF(AND(AND(AND(W$4&gt;='2025'!$L309,W$4&lt;='2025'!$M309), W$4&lt;&gt;DATE(2025,7,4)), (SWITCH(weekday(W$4), 1, 0, 2, if(ISBLANK('2025'!$P309), 0, 1), 3, if(ISBLANK('2025'!$Q309), 0, 1), 4, if(ISBLANK('2025'!$R309), 0, 1), 5, if(ISBLANK('2025'!$S309), 0, 1), 6, if(ISBLANK('2025'!$T309), 0, 1), 7, 0))), 1, "")</f>
        <v/>
      </c>
      <c r="X311" s="1" t="str">
        <f>IF(AND(AND(AND(X$4&gt;='2025'!$L309,X$4&lt;='2025'!$M309), X$4&lt;&gt;DATE(2025,7,4)), (SWITCH(weekday(X$4), 1, 0, 2, if(ISBLANK('2025'!$P309), 0, 1), 3, if(ISBLANK('2025'!$Q309), 0, 1), 4, if(ISBLANK('2025'!$R309), 0, 1), 5, if(ISBLANK('2025'!$S309), 0, 1), 6, if(ISBLANK('2025'!$T309), 0, 1), 7, 0))), 1, "")</f>
        <v/>
      </c>
      <c r="Y311" s="1" t="str">
        <f>IF(AND(AND(AND(Y$4&gt;='2025'!$L309,Y$4&lt;='2025'!$M309), Y$4&lt;&gt;DATE(2025,7,4)), (SWITCH(weekday(Y$4), 1, 0, 2, if(ISBLANK('2025'!$P309), 0, 1), 3, if(ISBLANK('2025'!$Q309), 0, 1), 4, if(ISBLANK('2025'!$R309), 0, 1), 5, if(ISBLANK('2025'!$S309), 0, 1), 6, if(ISBLANK('2025'!$T309), 0, 1), 7, 0))), 1, "")</f>
        <v/>
      </c>
      <c r="Z311" s="1" t="str">
        <f>IF(AND(AND(AND(Z$4&gt;='2025'!$L309,Z$4&lt;='2025'!$M309), Z$4&lt;&gt;DATE(2025,7,4)), (SWITCH(weekday(Z$4), 1, 0, 2, if(ISBLANK('2025'!$P309), 0, 1), 3, if(ISBLANK('2025'!$Q309), 0, 1), 4, if(ISBLANK('2025'!$R309), 0, 1), 5, if(ISBLANK('2025'!$S309), 0, 1), 6, if(ISBLANK('2025'!$T309), 0, 1), 7, 0))), 1, "")</f>
        <v/>
      </c>
      <c r="AA311" s="1" t="str">
        <f>IF(AND(AND(AND(AA$4&gt;='2025'!$L309,AA$4&lt;='2025'!$M309), AA$4&lt;&gt;DATE(2025,7,4)), (SWITCH(weekday(AA$4), 1, 0, 2, if(ISBLANK('2025'!$P309), 0, 1), 3, if(ISBLANK('2025'!$Q309), 0, 1), 4, if(ISBLANK('2025'!$R309), 0, 1), 5, if(ISBLANK('2025'!$S309), 0, 1), 6, if(ISBLANK('2025'!$T309), 0, 1), 7, 0))), 1, "")</f>
        <v/>
      </c>
      <c r="AB311" s="1" t="str">
        <f>IF(AND(AND(AND(AB$4&gt;='2025'!$L309,AB$4&lt;='2025'!$M309), AB$4&lt;&gt;DATE(2025,7,4)), (SWITCH(weekday(AB$4), 1, 0, 2, if(ISBLANK('2025'!$P309), 0, 1), 3, if(ISBLANK('2025'!$Q309), 0, 1), 4, if(ISBLANK('2025'!$R309), 0, 1), 5, if(ISBLANK('2025'!$S309), 0, 1), 6, if(ISBLANK('2025'!$T309), 0, 1), 7, 0))), 1, "")</f>
        <v/>
      </c>
      <c r="AC311" s="1" t="str">
        <f>IF(AND(AND(AND(AC$4&gt;='2025'!$L309,AC$4&lt;='2025'!$M309), AC$4&lt;&gt;DATE(2025,7,4)), (SWITCH(weekday(AC$4), 1, 0, 2, if(ISBLANK('2025'!$P309), 0, 1), 3, if(ISBLANK('2025'!$Q309), 0, 1), 4, if(ISBLANK('2025'!$R309), 0, 1), 5, if(ISBLANK('2025'!$S309), 0, 1), 6, if(ISBLANK('2025'!$T309), 0, 1), 7, 0))), 1, "")</f>
        <v/>
      </c>
      <c r="AD311" s="1" t="str">
        <f>IF(AND(AND(AND(AD$4&gt;='2025'!$L309,AD$4&lt;='2025'!$M309), AD$4&lt;&gt;DATE(2025,7,4)), (SWITCH(weekday(AD$4), 1, 0, 2, if(ISBLANK('2025'!$P309), 0, 1), 3, if(ISBLANK('2025'!$Q309), 0, 1), 4, if(ISBLANK('2025'!$R309), 0, 1), 5, if(ISBLANK('2025'!$S309), 0, 1), 6, if(ISBLANK('2025'!$T309), 0, 1), 7, 0))), 1, "")</f>
        <v/>
      </c>
      <c r="AE311" s="1" t="str">
        <f>IF(AND(AND(AND(AE$4&gt;='2025'!$L309,AE$4&lt;='2025'!$M309), AE$4&lt;&gt;DATE(2025,7,4)), (SWITCH(weekday(AE$4), 1, 0, 2, if(ISBLANK('2025'!$P309), 0, 1), 3, if(ISBLANK('2025'!$Q309), 0, 1), 4, if(ISBLANK('2025'!$R309), 0, 1), 5, if(ISBLANK('2025'!$S309), 0, 1), 6, if(ISBLANK('2025'!$T309), 0, 1), 7, 0))), 1, "")</f>
        <v/>
      </c>
      <c r="AF311" s="1" t="str">
        <f>IF(AND(AND(AND(AF$4&gt;='2025'!$L309,AF$4&lt;='2025'!$M309), AF$4&lt;&gt;DATE(2025,7,4)), (SWITCH(weekday(AF$4), 1, 0, 2, if(ISBLANK('2025'!$P309), 0, 1), 3, if(ISBLANK('2025'!$Q309), 0, 1), 4, if(ISBLANK('2025'!$R309), 0, 1), 5, if(ISBLANK('2025'!$S309), 0, 1), 6, if(ISBLANK('2025'!$T309), 0, 1), 7, 0))), 1, "")</f>
        <v/>
      </c>
      <c r="AG311" s="1" t="str">
        <f>IF(AND(AND(AND(AG$4&gt;='2025'!$L309,AG$4&lt;='2025'!$M309), AG$4&lt;&gt;DATE(2025,7,4)), (SWITCH(weekday(AG$4), 1, 0, 2, if(ISBLANK('2025'!$P309), 0, 1), 3, if(ISBLANK('2025'!$Q309), 0, 1), 4, if(ISBLANK('2025'!$R309), 0, 1), 5, if(ISBLANK('2025'!$S309), 0, 1), 6, if(ISBLANK('2025'!$T309), 0, 1), 7, 0))), 1, "")</f>
        <v/>
      </c>
      <c r="AH311" s="1" t="str">
        <f>IF(AND(AND(AND(AH$4&gt;='2025'!$L309,AH$4&lt;='2025'!$M309), AH$4&lt;&gt;DATE(2025,7,4)), (SWITCH(weekday(AH$4), 1, 0, 2, if(ISBLANK('2025'!$P309), 0, 1), 3, if(ISBLANK('2025'!$Q309), 0, 1), 4, if(ISBLANK('2025'!$R309), 0, 1), 5, if(ISBLANK('2025'!$S309), 0, 1), 6, if(ISBLANK('2025'!$T309), 0, 1), 7, 0))), 1, "")</f>
        <v/>
      </c>
      <c r="AI311" s="1" t="str">
        <f>IF(AND(AND(AND(AI$4&gt;='2025'!$L309,AI$4&lt;='2025'!$M309), AI$4&lt;&gt;DATE(2025,7,4)), (SWITCH(weekday(AI$4), 1, 0, 2, if(ISBLANK('2025'!$P309), 0, 1), 3, if(ISBLANK('2025'!$Q309), 0, 1), 4, if(ISBLANK('2025'!$R309), 0, 1), 5, if(ISBLANK('2025'!$S309), 0, 1), 6, if(ISBLANK('2025'!$T309), 0, 1), 7, 0))), 1, "")</f>
        <v/>
      </c>
      <c r="AJ311" s="1" t="str">
        <f>IF(AND(AND(AND(AJ$4&gt;='2025'!$L309,AJ$4&lt;='2025'!$M309), AJ$4&lt;&gt;DATE(2025,7,4)), (SWITCH(weekday(AJ$4), 1, 0, 2, if(ISBLANK('2025'!$P309), 0, 1), 3, if(ISBLANK('2025'!$Q309), 0, 1), 4, if(ISBLANK('2025'!$R309), 0, 1), 5, if(ISBLANK('2025'!$S309), 0, 1), 6, if(ISBLANK('2025'!$T309), 0, 1), 7, 0))), 1, "")</f>
        <v/>
      </c>
      <c r="AK311" s="1" t="str">
        <f>IF(AND(AND(AND(AK$4&gt;='2025'!$L309,AK$4&lt;='2025'!$M309), AK$4&lt;&gt;DATE(2025,7,4)), (SWITCH(weekday(AK$4), 1, 0, 2, if(ISBLANK('2025'!$P309), 0, 1), 3, if(ISBLANK('2025'!$Q309), 0, 1), 4, if(ISBLANK('2025'!$R309), 0, 1), 5, if(ISBLANK('2025'!$S309), 0, 1), 6, if(ISBLANK('2025'!$T309), 0, 1), 7, 0))), 1, "")</f>
        <v/>
      </c>
      <c r="AL311" s="1" t="str">
        <f>IF(AND(AND(AND(AL$4&gt;='2025'!$L309,AL$4&lt;='2025'!$M309), AL$4&lt;&gt;DATE(2025,7,4)), (SWITCH(weekday(AL$4), 1, 0, 2, if(ISBLANK('2025'!$P309), 0, 1), 3, if(ISBLANK('2025'!$Q309), 0, 1), 4, if(ISBLANK('2025'!$R309), 0, 1), 5, if(ISBLANK('2025'!$S309), 0, 1), 6, if(ISBLANK('2025'!$T309), 0, 1), 7, 0))), 1, "")</f>
        <v/>
      </c>
      <c r="AM311" s="1" t="str">
        <f>IF(AND(AND(AND(AM$4&gt;='2025'!$L309,AM$4&lt;='2025'!$M309), AM$4&lt;&gt;DATE(2025,7,4)), (SWITCH(weekday(AM$4), 1, 0, 2, if(ISBLANK('2025'!$P309), 0, 1), 3, if(ISBLANK('2025'!$Q309), 0, 1), 4, if(ISBLANK('2025'!$R309), 0, 1), 5, if(ISBLANK('2025'!$S309), 0, 1), 6, if(ISBLANK('2025'!$T309), 0, 1), 7, 0))), 1, "")</f>
        <v/>
      </c>
      <c r="AN311" s="1" t="str">
        <f>IF(AND(AND(AND(AN$4&gt;='2025'!$L309,AN$4&lt;='2025'!$M309), AN$4&lt;&gt;DATE(2025,7,4)), (SWITCH(weekday(AN$4), 1, 0, 2, if(ISBLANK('2025'!$P309), 0, 1), 3, if(ISBLANK('2025'!$Q309), 0, 1), 4, if(ISBLANK('2025'!$R309), 0, 1), 5, if(ISBLANK('2025'!$S309), 0, 1), 6, if(ISBLANK('2025'!$T309), 0, 1), 7, 0))), 1, "")</f>
        <v/>
      </c>
      <c r="AO311" s="1" t="str">
        <f>IF(AND(AND(AND(AO$4&gt;='2025'!$L309,AO$4&lt;='2025'!$M309), AO$4&lt;&gt;DATE(2025,7,4)), (SWITCH(weekday(AO$4), 1, 0, 2, if(ISBLANK('2025'!$P309), 0, 1), 3, if(ISBLANK('2025'!$Q309), 0, 1), 4, if(ISBLANK('2025'!$R309), 0, 1), 5, if(ISBLANK('2025'!$S309), 0, 1), 6, if(ISBLANK('2025'!$T309), 0, 1), 7, 0))), 1, "")</f>
        <v/>
      </c>
      <c r="AP311" s="1" t="str">
        <f>IF(AND(AND(AND(AP$4&gt;='2025'!$L309,AP$4&lt;='2025'!$M309), AP$4&lt;&gt;DATE(2025,7,4)), (SWITCH(weekday(AP$4), 1, 0, 2, if(ISBLANK('2025'!$P309), 0, 1), 3, if(ISBLANK('2025'!$Q309), 0, 1), 4, if(ISBLANK('2025'!$R309), 0, 1), 5, if(ISBLANK('2025'!$S309), 0, 1), 6, if(ISBLANK('2025'!$T309), 0, 1), 7, 0))), 1, "")</f>
        <v/>
      </c>
      <c r="AQ311" s="1" t="str">
        <f>IF(AND(AND(AND(AQ$4&gt;='2025'!$L309,AQ$4&lt;='2025'!$M309), AQ$4&lt;&gt;DATE(2025,7,4)), (SWITCH(weekday(AQ$4), 1, 0, 2, if(ISBLANK('2025'!$P309), 0, 1), 3, if(ISBLANK('2025'!$Q309), 0, 1), 4, if(ISBLANK('2025'!$R309), 0, 1), 5, if(ISBLANK('2025'!$S309), 0, 1), 6, if(ISBLANK('2025'!$T309), 0, 1), 7, 0))), 1, "")</f>
        <v/>
      </c>
      <c r="AR311" s="1" t="str">
        <f>IF(AND(AND(AND(AR$4&gt;='2025'!$L309,AR$4&lt;='2025'!$M309), AR$4&lt;&gt;DATE(2025,7,4)), (SWITCH(weekday(AR$4), 1, 0, 2, if(ISBLANK('2025'!$P309), 0, 1), 3, if(ISBLANK('2025'!$Q309), 0, 1), 4, if(ISBLANK('2025'!$R309), 0, 1), 5, if(ISBLANK('2025'!$S309), 0, 1), 6, if(ISBLANK('2025'!$T309), 0, 1), 7, 0))), 1, "")</f>
        <v/>
      </c>
      <c r="AS311" s="1" t="str">
        <f>IF(AND(AND(AND(AS$4&gt;='2025'!$L309,AS$4&lt;='2025'!$M309), AS$4&lt;&gt;DATE(2025,7,4)), (SWITCH(weekday(AS$4), 1, 0, 2, if(ISBLANK('2025'!$P309), 0, 1), 3, if(ISBLANK('2025'!$Q309), 0, 1), 4, if(ISBLANK('2025'!$R309), 0, 1), 5, if(ISBLANK('2025'!$S309), 0, 1), 6, if(ISBLANK('2025'!$T309), 0, 1), 7, 0))), 1, "")</f>
        <v/>
      </c>
      <c r="AT311" s="1" t="str">
        <f>IF(AND(AND(AND(AT$4&gt;='2025'!$L309,AT$4&lt;='2025'!$M309), AT$4&lt;&gt;DATE(2025,7,4)), (SWITCH(weekday(AT$4), 1, 0, 2, if(ISBLANK('2025'!$P309), 0, 1), 3, if(ISBLANK('2025'!$Q309), 0, 1), 4, if(ISBLANK('2025'!$R309), 0, 1), 5, if(ISBLANK('2025'!$S309), 0, 1), 6, if(ISBLANK('2025'!$T309), 0, 1), 7, 0))), 1, "")</f>
        <v/>
      </c>
      <c r="AU311" s="1" t="str">
        <f>IF(AND(AND(AND(AU$4&gt;='2025'!$L309,AU$4&lt;='2025'!$M309), AU$4&lt;&gt;DATE(2025,7,4)), (SWITCH(weekday(AU$4), 1, 0, 2, if(ISBLANK('2025'!$P309), 0, 1), 3, if(ISBLANK('2025'!$Q309), 0, 1), 4, if(ISBLANK('2025'!$R309), 0, 1), 5, if(ISBLANK('2025'!$S309), 0, 1), 6, if(ISBLANK('2025'!$T309), 0, 1), 7, 0))), 1, "")</f>
        <v/>
      </c>
      <c r="AV311" s="1" t="str">
        <f>IF(AND(AND(AND(AV$4&gt;='2025'!$L309,AV$4&lt;='2025'!$M309), AV$4&lt;&gt;DATE(2025,7,4)), (SWITCH(weekday(AV$4), 1, 0, 2, if(ISBLANK('2025'!$P309), 0, 1), 3, if(ISBLANK('2025'!$Q309), 0, 1), 4, if(ISBLANK('2025'!$R309), 0, 1), 5, if(ISBLANK('2025'!$S309), 0, 1), 6, if(ISBLANK('2025'!$T309), 0, 1), 7, 0))), 1, "")</f>
        <v/>
      </c>
      <c r="AW311" s="1" t="str">
        <f>IF(AND(AND(AND(AW$4&gt;='2025'!$L309,AW$4&lt;='2025'!$M309), AW$4&lt;&gt;DATE(2025,7,4)), (SWITCH(weekday(AW$4), 1, 0, 2, if(ISBLANK('2025'!$P309), 0, 1), 3, if(ISBLANK('2025'!$Q309), 0, 1), 4, if(ISBLANK('2025'!$R309), 0, 1), 5, if(ISBLANK('2025'!$S309), 0, 1), 6, if(ISBLANK('2025'!$T309), 0, 1), 7, 0))), 1, "")</f>
        <v/>
      </c>
      <c r="AX311" s="1" t="str">
        <f>IF(AND(AND(AND(AX$4&gt;='2025'!$L309,AX$4&lt;='2025'!$M309), AX$4&lt;&gt;DATE(2025,7,4)), (SWITCH(weekday(AX$4), 1, 0, 2, if(ISBLANK('2025'!$P309), 0, 1), 3, if(ISBLANK('2025'!$Q309), 0, 1), 4, if(ISBLANK('2025'!$R309), 0, 1), 5, if(ISBLANK('2025'!$S309), 0, 1), 6, if(ISBLANK('2025'!$T309), 0, 1), 7, 0))), 1, "")</f>
        <v/>
      </c>
      <c r="AY311" s="1" t="str">
        <f>IF(AND(AND(AND(AY$4&gt;='2025'!$L309,AY$4&lt;='2025'!$M309), AY$4&lt;&gt;DATE(2025,7,4)), (SWITCH(weekday(AY$4), 1, 0, 2, if(ISBLANK('2025'!$P309), 0, 1), 3, if(ISBLANK('2025'!$Q309), 0, 1), 4, if(ISBLANK('2025'!$R309), 0, 1), 5, if(ISBLANK('2025'!$S309), 0, 1), 6, if(ISBLANK('2025'!$T309), 0, 1), 7, 0))), 1, "")</f>
        <v/>
      </c>
      <c r="AZ311" s="1" t="str">
        <f>IF(AND(AND(AND(AZ$4&gt;='2025'!$L309,AZ$4&lt;='2025'!$M309), AZ$4&lt;&gt;DATE(2025,7,4)), (SWITCH(weekday(AZ$4), 1, 0, 2, if(ISBLANK('2025'!$P309), 0, 1), 3, if(ISBLANK('2025'!$Q309), 0, 1), 4, if(ISBLANK('2025'!$R309), 0, 1), 5, if(ISBLANK('2025'!$S309), 0, 1), 6, if(ISBLANK('2025'!$T309), 0, 1), 7, 0))), 1, "")</f>
        <v/>
      </c>
      <c r="BA311" s="1" t="str">
        <f>IF(AND(AND(AND(BA$4&gt;='2025'!$L309,BA$4&lt;='2025'!$M309), BA$4&lt;&gt;DATE(2025,7,4)), (SWITCH(weekday(BA$4), 1, 0, 2, if(ISBLANK('2025'!$P309), 0, 1), 3, if(ISBLANK('2025'!$Q309), 0, 1), 4, if(ISBLANK('2025'!$R309), 0, 1), 5, if(ISBLANK('2025'!$S309), 0, 1), 6, if(ISBLANK('2025'!$T309), 0, 1), 7, 0))), 1, "")</f>
        <v/>
      </c>
      <c r="BB311" s="1" t="str">
        <f>IF(AND(AND(AND(BB$4&gt;='2025'!$L309,BB$4&lt;='2025'!$M309), BB$4&lt;&gt;DATE(2025,7,4)), (SWITCH(weekday(BB$4), 1, 0, 2, if(ISBLANK('2025'!$P309), 0, 1), 3, if(ISBLANK('2025'!$Q309), 0, 1), 4, if(ISBLANK('2025'!$R309), 0, 1), 5, if(ISBLANK('2025'!$S309), 0, 1), 6, if(ISBLANK('2025'!$T309), 0, 1), 7, 0))), 1, "")</f>
        <v/>
      </c>
      <c r="BC311" s="1" t="str">
        <f>IF(AND(AND(AND(BC$4&gt;='2025'!$L309,BC$4&lt;='2025'!$M309), BC$4&lt;&gt;DATE(2025,7,4)), (SWITCH(weekday(BC$4), 1, 0, 2, if(ISBLANK('2025'!$P309), 0, 1), 3, if(ISBLANK('2025'!$Q309), 0, 1), 4, if(ISBLANK('2025'!$R309), 0, 1), 5, if(ISBLANK('2025'!$S309), 0, 1), 6, if(ISBLANK('2025'!$T309), 0, 1), 7, 0))), 1, "")</f>
        <v/>
      </c>
      <c r="BD311" s="1" t="str">
        <f>IF(AND(AND(AND(BD$4&gt;='2025'!$L309,BD$4&lt;='2025'!$M309), BD$4&lt;&gt;DATE(2025,7,4)), (SWITCH(weekday(BD$4), 1, 0, 2, if(ISBLANK('2025'!$P309), 0, 1), 3, if(ISBLANK('2025'!$Q309), 0, 1), 4, if(ISBLANK('2025'!$R309), 0, 1), 5, if(ISBLANK('2025'!$S309), 0, 1), 6, if(ISBLANK('2025'!$T309), 0, 1), 7, 0))), 1, "")</f>
        <v/>
      </c>
      <c r="BE311" s="1" t="str">
        <f>IF(AND(AND(AND(BE$4&gt;='2025'!$L309,BE$4&lt;='2025'!$M309), BE$4&lt;&gt;DATE(2025,7,4)), (SWITCH(weekday(BE$4), 1, 0, 2, if(ISBLANK('2025'!$P309), 0, 1), 3, if(ISBLANK('2025'!$Q309), 0, 1), 4, if(ISBLANK('2025'!$R309), 0, 1), 5, if(ISBLANK('2025'!$S309), 0, 1), 6, if(ISBLANK('2025'!$T309), 0, 1), 7, 0))), 1, "")</f>
        <v/>
      </c>
      <c r="BF311" s="1" t="str">
        <f>IF(AND(AND(AND(BF$4&gt;='2025'!$L309,BF$4&lt;='2025'!$M309), BF$4&lt;&gt;DATE(2025,7,4)), (SWITCH(weekday(BF$4), 1, 0, 2, if(ISBLANK('2025'!$P309), 0, 1), 3, if(ISBLANK('2025'!$Q309), 0, 1), 4, if(ISBLANK('2025'!$R309), 0, 1), 5, if(ISBLANK('2025'!$S309), 0, 1), 6, if(ISBLANK('2025'!$T309), 0, 1), 7, 0))), 1, "")</f>
        <v/>
      </c>
      <c r="BG311" s="1"/>
      <c r="BH311" s="1"/>
      <c r="BI311" s="1"/>
      <c r="BJ311" s="1"/>
      <c r="BK311" s="1"/>
      <c r="BL311" s="1"/>
    </row>
    <row r="312">
      <c r="A312" s="1">
        <f t="shared" si="3"/>
        <v>312</v>
      </c>
      <c r="B312" s="1" t="str">
        <f>'2025'!D276</f>
        <v>, </v>
      </c>
      <c r="C312" s="1" t="str">
        <f>'2025'!H276</f>
        <v/>
      </c>
      <c r="D312" s="1" t="str">
        <f>IF(AND(AND(AND(D$4&gt;='2025'!$L310,D$4&lt;='2025'!$M310), D$4&lt;&gt;DATE(2025,7,4)), (SWITCH(weekday(D$4), 1, 0, 2, if(ISBLANK('2025'!$P310), 0, 1), 3, if(ISBLANK('2025'!$Q310), 0, 1), 4, if(ISBLANK('2025'!$R310), 0, 1), 5, if(ISBLANK('2025'!$S310), 0, 1), 6, if(ISBLANK('2025'!$T310), 0, 1), 7, 0))), 1, "")</f>
        <v/>
      </c>
      <c r="E312" s="1" t="str">
        <f>IF(AND(AND(AND(E$4&gt;='2025'!$L310,E$4&lt;='2025'!$M310), E$4&lt;&gt;DATE(2025,7,4)), (SWITCH(weekday(E$4), 1, 0, 2, if(ISBLANK('2025'!$P310), 0, 1), 3, if(ISBLANK('2025'!$Q310), 0, 1), 4, if(ISBLANK('2025'!$R310), 0, 1), 5, if(ISBLANK('2025'!$S310), 0, 1), 6, if(ISBLANK('2025'!$T310), 0, 1), 7, 0))), 1, "")</f>
        <v/>
      </c>
      <c r="F312" s="1" t="str">
        <f>IF(AND(AND(AND(F$4&gt;='2025'!$L310,F$4&lt;='2025'!$M310), F$4&lt;&gt;DATE(2025,7,4)), (SWITCH(weekday(F$4), 1, 0, 2, if(ISBLANK('2025'!$P310), 0, 1), 3, if(ISBLANK('2025'!$Q310), 0, 1), 4, if(ISBLANK('2025'!$R310), 0, 1), 5, if(ISBLANK('2025'!$S310), 0, 1), 6, if(ISBLANK('2025'!$T310), 0, 1), 7, 0))), 1, "")</f>
        <v/>
      </c>
      <c r="G312" s="1" t="str">
        <f>IF(AND(AND(AND(G$4&gt;='2025'!$L310,G$4&lt;='2025'!$M310), G$4&lt;&gt;DATE(2025,7,4)), (SWITCH(weekday(G$4), 1, 0, 2, if(ISBLANK('2025'!$P310), 0, 1), 3, if(ISBLANK('2025'!$Q310), 0, 1), 4, if(ISBLANK('2025'!$R310), 0, 1), 5, if(ISBLANK('2025'!$S310), 0, 1), 6, if(ISBLANK('2025'!$T310), 0, 1), 7, 0))), 1, "")</f>
        <v/>
      </c>
      <c r="H312" s="1" t="str">
        <f>IF(AND(AND(AND(H$4&gt;='2025'!$L310,H$4&lt;='2025'!$M310), H$4&lt;&gt;DATE(2025,7,4)), (SWITCH(weekday(H$4), 1, 0, 2, if(ISBLANK('2025'!$P310), 0, 1), 3, if(ISBLANK('2025'!$Q310), 0, 1), 4, if(ISBLANK('2025'!$R310), 0, 1), 5, if(ISBLANK('2025'!$S310), 0, 1), 6, if(ISBLANK('2025'!$T310), 0, 1), 7, 0))), 1, "")</f>
        <v/>
      </c>
      <c r="I312" s="1" t="str">
        <f>IF(AND(AND(AND(I$4&gt;='2025'!$L310,I$4&lt;='2025'!$M310), I$4&lt;&gt;DATE(2025,7,4)), (SWITCH(weekday(I$4), 1, 0, 2, if(ISBLANK('2025'!$P310), 0, 1), 3, if(ISBLANK('2025'!$Q310), 0, 1), 4, if(ISBLANK('2025'!$R310), 0, 1), 5, if(ISBLANK('2025'!$S310), 0, 1), 6, if(ISBLANK('2025'!$T310), 0, 1), 7, 0))), 1, "")</f>
        <v/>
      </c>
      <c r="J312" s="1" t="str">
        <f>IF(AND(AND(AND(J$4&gt;='2025'!$L310,J$4&lt;='2025'!$M310), J$4&lt;&gt;DATE(2025,7,4)), (SWITCH(weekday(J$4), 1, 0, 2, if(ISBLANK('2025'!$P310), 0, 1), 3, if(ISBLANK('2025'!$Q310), 0, 1), 4, if(ISBLANK('2025'!$R310), 0, 1), 5, if(ISBLANK('2025'!$S310), 0, 1), 6, if(ISBLANK('2025'!$T310), 0, 1), 7, 0))), 1, "")</f>
        <v/>
      </c>
      <c r="K312" s="1" t="str">
        <f>IF(AND(AND(AND(K$4&gt;='2025'!$L310,K$4&lt;='2025'!$M310), K$4&lt;&gt;DATE(2025,7,4)), (SWITCH(weekday(K$4), 1, 0, 2, if(ISBLANK('2025'!$P310), 0, 1), 3, if(ISBLANK('2025'!$Q310), 0, 1), 4, if(ISBLANK('2025'!$R310), 0, 1), 5, if(ISBLANK('2025'!$S310), 0, 1), 6, if(ISBLANK('2025'!$T310), 0, 1), 7, 0))), 1, "")</f>
        <v/>
      </c>
      <c r="L312" s="1" t="str">
        <f>IF(AND(AND(AND(L$4&gt;='2025'!$L310,L$4&lt;='2025'!$M310), L$4&lt;&gt;DATE(2025,7,4)), (SWITCH(weekday(L$4), 1, 0, 2, if(ISBLANK('2025'!$P310), 0, 1), 3, if(ISBLANK('2025'!$Q310), 0, 1), 4, if(ISBLANK('2025'!$R310), 0, 1), 5, if(ISBLANK('2025'!$S310), 0, 1), 6, if(ISBLANK('2025'!$T310), 0, 1), 7, 0))), 1, "")</f>
        <v/>
      </c>
      <c r="M312" s="1" t="str">
        <f>IF(AND(AND(AND(M$4&gt;='2025'!$L310,M$4&lt;='2025'!$M310), M$4&lt;&gt;DATE(2025,7,4)), (SWITCH(weekday(M$4), 1, 0, 2, if(ISBLANK('2025'!$P310), 0, 1), 3, if(ISBLANK('2025'!$Q310), 0, 1), 4, if(ISBLANK('2025'!$R310), 0, 1), 5, if(ISBLANK('2025'!$S310), 0, 1), 6, if(ISBLANK('2025'!$T310), 0, 1), 7, 0))), 1, "")</f>
        <v/>
      </c>
      <c r="N312" s="1" t="str">
        <f>IF(AND(AND(AND(N$4&gt;='2025'!$L310,N$4&lt;='2025'!$M310), N$4&lt;&gt;DATE(2025,7,4)), (SWITCH(weekday(N$4), 1, 0, 2, if(ISBLANK('2025'!$P310), 0, 1), 3, if(ISBLANK('2025'!$Q310), 0, 1), 4, if(ISBLANK('2025'!$R310), 0, 1), 5, if(ISBLANK('2025'!$S310), 0, 1), 6, if(ISBLANK('2025'!$T310), 0, 1), 7, 0))), 1, "")</f>
        <v/>
      </c>
      <c r="O312" s="1" t="str">
        <f>IF(AND(AND(AND(O$4&gt;='2025'!$L310,O$4&lt;='2025'!$M310), O$4&lt;&gt;DATE(2025,7,4)), (SWITCH(weekday(O$4), 1, 0, 2, if(ISBLANK('2025'!$P310), 0, 1), 3, if(ISBLANK('2025'!$Q310), 0, 1), 4, if(ISBLANK('2025'!$R310), 0, 1), 5, if(ISBLANK('2025'!$S310), 0, 1), 6, if(ISBLANK('2025'!$T310), 0, 1), 7, 0))), 1, "")</f>
        <v/>
      </c>
      <c r="P312" s="1" t="str">
        <f>IF(AND(AND(AND(P$4&gt;='2025'!$L310,P$4&lt;='2025'!$M310), P$4&lt;&gt;DATE(2025,7,4)), (SWITCH(weekday(P$4), 1, 0, 2, if(ISBLANK('2025'!$P310), 0, 1), 3, if(ISBLANK('2025'!$Q310), 0, 1), 4, if(ISBLANK('2025'!$R310), 0, 1), 5, if(ISBLANK('2025'!$S310), 0, 1), 6, if(ISBLANK('2025'!$T310), 0, 1), 7, 0))), 1, "")</f>
        <v/>
      </c>
      <c r="Q312" s="1" t="str">
        <f>IF(AND(AND(AND(Q$4&gt;='2025'!$L310,Q$4&lt;='2025'!$M310), Q$4&lt;&gt;DATE(2025,7,4)), (SWITCH(weekday(Q$4), 1, 0, 2, if(ISBLANK('2025'!$P310), 0, 1), 3, if(ISBLANK('2025'!$Q310), 0, 1), 4, if(ISBLANK('2025'!$R310), 0, 1), 5, if(ISBLANK('2025'!$S310), 0, 1), 6, if(ISBLANK('2025'!$T310), 0, 1), 7, 0))), 1, "")</f>
        <v/>
      </c>
      <c r="R312" s="1" t="str">
        <f>IF(AND(AND(AND(R$4&gt;='2025'!$L310,R$4&lt;='2025'!$M310), R$4&lt;&gt;DATE(2025,7,4)), (SWITCH(weekday(R$4), 1, 0, 2, if(ISBLANK('2025'!$P310), 0, 1), 3, if(ISBLANK('2025'!$Q310), 0, 1), 4, if(ISBLANK('2025'!$R310), 0, 1), 5, if(ISBLANK('2025'!$S310), 0, 1), 6, if(ISBLANK('2025'!$T310), 0, 1), 7, 0))), 1, "")</f>
        <v/>
      </c>
      <c r="S312" s="1" t="str">
        <f>IF(AND(AND(AND(S$4&gt;='2025'!$L310,S$4&lt;='2025'!$M310), S$4&lt;&gt;DATE(2025,7,4)), (SWITCH(weekday(S$4), 1, 0, 2, if(ISBLANK('2025'!$P310), 0, 1), 3, if(ISBLANK('2025'!$Q310), 0, 1), 4, if(ISBLANK('2025'!$R310), 0, 1), 5, if(ISBLANK('2025'!$S310), 0, 1), 6, if(ISBLANK('2025'!$T310), 0, 1), 7, 0))), 1, "")</f>
        <v/>
      </c>
      <c r="T312" s="1" t="str">
        <f>IF(AND(AND(AND(T$4&gt;='2025'!$L310,T$4&lt;='2025'!$M310), T$4&lt;&gt;DATE(2025,7,4)), (SWITCH(weekday(T$4), 1, 0, 2, if(ISBLANK('2025'!$P310), 0, 1), 3, if(ISBLANK('2025'!$Q310), 0, 1), 4, if(ISBLANK('2025'!$R310), 0, 1), 5, if(ISBLANK('2025'!$S310), 0, 1), 6, if(ISBLANK('2025'!$T310), 0, 1), 7, 0))), 1, "")</f>
        <v/>
      </c>
      <c r="U312" s="1" t="str">
        <f>IF(AND(AND(AND(U$4&gt;='2025'!$L310,U$4&lt;='2025'!$M310), U$4&lt;&gt;DATE(2025,7,4)), (SWITCH(weekday(U$4), 1, 0, 2, if(ISBLANK('2025'!$P310), 0, 1), 3, if(ISBLANK('2025'!$Q310), 0, 1), 4, if(ISBLANK('2025'!$R310), 0, 1), 5, if(ISBLANK('2025'!$S310), 0, 1), 6, if(ISBLANK('2025'!$T310), 0, 1), 7, 0))), 1, "")</f>
        <v/>
      </c>
      <c r="V312" s="1" t="str">
        <f>IF(AND(AND(AND(V$4&gt;='2025'!$L310,V$4&lt;='2025'!$M310), V$4&lt;&gt;DATE(2025,7,4)), (SWITCH(weekday(V$4), 1, 0, 2, if(ISBLANK('2025'!$P310), 0, 1), 3, if(ISBLANK('2025'!$Q310), 0, 1), 4, if(ISBLANK('2025'!$R310), 0, 1), 5, if(ISBLANK('2025'!$S310), 0, 1), 6, if(ISBLANK('2025'!$T310), 0, 1), 7, 0))), 1, "")</f>
        <v/>
      </c>
      <c r="W312" s="1" t="str">
        <f>IF(AND(AND(AND(W$4&gt;='2025'!$L310,W$4&lt;='2025'!$M310), W$4&lt;&gt;DATE(2025,7,4)), (SWITCH(weekday(W$4), 1, 0, 2, if(ISBLANK('2025'!$P310), 0, 1), 3, if(ISBLANK('2025'!$Q310), 0, 1), 4, if(ISBLANK('2025'!$R310), 0, 1), 5, if(ISBLANK('2025'!$S310), 0, 1), 6, if(ISBLANK('2025'!$T310), 0, 1), 7, 0))), 1, "")</f>
        <v/>
      </c>
      <c r="X312" s="1" t="str">
        <f>IF(AND(AND(AND(X$4&gt;='2025'!$L310,X$4&lt;='2025'!$M310), X$4&lt;&gt;DATE(2025,7,4)), (SWITCH(weekday(X$4), 1, 0, 2, if(ISBLANK('2025'!$P310), 0, 1), 3, if(ISBLANK('2025'!$Q310), 0, 1), 4, if(ISBLANK('2025'!$R310), 0, 1), 5, if(ISBLANK('2025'!$S310), 0, 1), 6, if(ISBLANK('2025'!$T310), 0, 1), 7, 0))), 1, "")</f>
        <v/>
      </c>
      <c r="Y312" s="1" t="str">
        <f>IF(AND(AND(AND(Y$4&gt;='2025'!$L310,Y$4&lt;='2025'!$M310), Y$4&lt;&gt;DATE(2025,7,4)), (SWITCH(weekday(Y$4), 1, 0, 2, if(ISBLANK('2025'!$P310), 0, 1), 3, if(ISBLANK('2025'!$Q310), 0, 1), 4, if(ISBLANK('2025'!$R310), 0, 1), 5, if(ISBLANK('2025'!$S310), 0, 1), 6, if(ISBLANK('2025'!$T310), 0, 1), 7, 0))), 1, "")</f>
        <v/>
      </c>
      <c r="Z312" s="1" t="str">
        <f>IF(AND(AND(AND(Z$4&gt;='2025'!$L310,Z$4&lt;='2025'!$M310), Z$4&lt;&gt;DATE(2025,7,4)), (SWITCH(weekday(Z$4), 1, 0, 2, if(ISBLANK('2025'!$P310), 0, 1), 3, if(ISBLANK('2025'!$Q310), 0, 1), 4, if(ISBLANK('2025'!$R310), 0, 1), 5, if(ISBLANK('2025'!$S310), 0, 1), 6, if(ISBLANK('2025'!$T310), 0, 1), 7, 0))), 1, "")</f>
        <v/>
      </c>
      <c r="AA312" s="1" t="str">
        <f>IF(AND(AND(AND(AA$4&gt;='2025'!$L310,AA$4&lt;='2025'!$M310), AA$4&lt;&gt;DATE(2025,7,4)), (SWITCH(weekday(AA$4), 1, 0, 2, if(ISBLANK('2025'!$P310), 0, 1), 3, if(ISBLANK('2025'!$Q310), 0, 1), 4, if(ISBLANK('2025'!$R310), 0, 1), 5, if(ISBLANK('2025'!$S310), 0, 1), 6, if(ISBLANK('2025'!$T310), 0, 1), 7, 0))), 1, "")</f>
        <v/>
      </c>
      <c r="AB312" s="1" t="str">
        <f>IF(AND(AND(AND(AB$4&gt;='2025'!$L310,AB$4&lt;='2025'!$M310), AB$4&lt;&gt;DATE(2025,7,4)), (SWITCH(weekday(AB$4), 1, 0, 2, if(ISBLANK('2025'!$P310), 0, 1), 3, if(ISBLANK('2025'!$Q310), 0, 1), 4, if(ISBLANK('2025'!$R310), 0, 1), 5, if(ISBLANK('2025'!$S310), 0, 1), 6, if(ISBLANK('2025'!$T310), 0, 1), 7, 0))), 1, "")</f>
        <v/>
      </c>
      <c r="AC312" s="1" t="str">
        <f>IF(AND(AND(AND(AC$4&gt;='2025'!$L310,AC$4&lt;='2025'!$M310), AC$4&lt;&gt;DATE(2025,7,4)), (SWITCH(weekday(AC$4), 1, 0, 2, if(ISBLANK('2025'!$P310), 0, 1), 3, if(ISBLANK('2025'!$Q310), 0, 1), 4, if(ISBLANK('2025'!$R310), 0, 1), 5, if(ISBLANK('2025'!$S310), 0, 1), 6, if(ISBLANK('2025'!$T310), 0, 1), 7, 0))), 1, "")</f>
        <v/>
      </c>
      <c r="AD312" s="1" t="str">
        <f>IF(AND(AND(AND(AD$4&gt;='2025'!$L310,AD$4&lt;='2025'!$M310), AD$4&lt;&gt;DATE(2025,7,4)), (SWITCH(weekday(AD$4), 1, 0, 2, if(ISBLANK('2025'!$P310), 0, 1), 3, if(ISBLANK('2025'!$Q310), 0, 1), 4, if(ISBLANK('2025'!$R310), 0, 1), 5, if(ISBLANK('2025'!$S310), 0, 1), 6, if(ISBLANK('2025'!$T310), 0, 1), 7, 0))), 1, "")</f>
        <v/>
      </c>
      <c r="AE312" s="1" t="str">
        <f>IF(AND(AND(AND(AE$4&gt;='2025'!$L310,AE$4&lt;='2025'!$M310), AE$4&lt;&gt;DATE(2025,7,4)), (SWITCH(weekday(AE$4), 1, 0, 2, if(ISBLANK('2025'!$P310), 0, 1), 3, if(ISBLANK('2025'!$Q310), 0, 1), 4, if(ISBLANK('2025'!$R310), 0, 1), 5, if(ISBLANK('2025'!$S310), 0, 1), 6, if(ISBLANK('2025'!$T310), 0, 1), 7, 0))), 1, "")</f>
        <v/>
      </c>
      <c r="AF312" s="1" t="str">
        <f>IF(AND(AND(AND(AF$4&gt;='2025'!$L310,AF$4&lt;='2025'!$M310), AF$4&lt;&gt;DATE(2025,7,4)), (SWITCH(weekday(AF$4), 1, 0, 2, if(ISBLANK('2025'!$P310), 0, 1), 3, if(ISBLANK('2025'!$Q310), 0, 1), 4, if(ISBLANK('2025'!$R310), 0, 1), 5, if(ISBLANK('2025'!$S310), 0, 1), 6, if(ISBLANK('2025'!$T310), 0, 1), 7, 0))), 1, "")</f>
        <v/>
      </c>
      <c r="AG312" s="1" t="str">
        <f>IF(AND(AND(AND(AG$4&gt;='2025'!$L310,AG$4&lt;='2025'!$M310), AG$4&lt;&gt;DATE(2025,7,4)), (SWITCH(weekday(AG$4), 1, 0, 2, if(ISBLANK('2025'!$P310), 0, 1), 3, if(ISBLANK('2025'!$Q310), 0, 1), 4, if(ISBLANK('2025'!$R310), 0, 1), 5, if(ISBLANK('2025'!$S310), 0, 1), 6, if(ISBLANK('2025'!$T310), 0, 1), 7, 0))), 1, "")</f>
        <v/>
      </c>
      <c r="AH312" s="1" t="str">
        <f>IF(AND(AND(AND(AH$4&gt;='2025'!$L310,AH$4&lt;='2025'!$M310), AH$4&lt;&gt;DATE(2025,7,4)), (SWITCH(weekday(AH$4), 1, 0, 2, if(ISBLANK('2025'!$P310), 0, 1), 3, if(ISBLANK('2025'!$Q310), 0, 1), 4, if(ISBLANK('2025'!$R310), 0, 1), 5, if(ISBLANK('2025'!$S310), 0, 1), 6, if(ISBLANK('2025'!$T310), 0, 1), 7, 0))), 1, "")</f>
        <v/>
      </c>
      <c r="AI312" s="1" t="str">
        <f>IF(AND(AND(AND(AI$4&gt;='2025'!$L310,AI$4&lt;='2025'!$M310), AI$4&lt;&gt;DATE(2025,7,4)), (SWITCH(weekday(AI$4), 1, 0, 2, if(ISBLANK('2025'!$P310), 0, 1), 3, if(ISBLANK('2025'!$Q310), 0, 1), 4, if(ISBLANK('2025'!$R310), 0, 1), 5, if(ISBLANK('2025'!$S310), 0, 1), 6, if(ISBLANK('2025'!$T310), 0, 1), 7, 0))), 1, "")</f>
        <v/>
      </c>
      <c r="AJ312" s="1" t="str">
        <f>IF(AND(AND(AND(AJ$4&gt;='2025'!$L310,AJ$4&lt;='2025'!$M310), AJ$4&lt;&gt;DATE(2025,7,4)), (SWITCH(weekday(AJ$4), 1, 0, 2, if(ISBLANK('2025'!$P310), 0, 1), 3, if(ISBLANK('2025'!$Q310), 0, 1), 4, if(ISBLANK('2025'!$R310), 0, 1), 5, if(ISBLANK('2025'!$S310), 0, 1), 6, if(ISBLANK('2025'!$T310), 0, 1), 7, 0))), 1, "")</f>
        <v/>
      </c>
      <c r="AK312" s="1" t="str">
        <f>IF(AND(AND(AND(AK$4&gt;='2025'!$L310,AK$4&lt;='2025'!$M310), AK$4&lt;&gt;DATE(2025,7,4)), (SWITCH(weekday(AK$4), 1, 0, 2, if(ISBLANK('2025'!$P310), 0, 1), 3, if(ISBLANK('2025'!$Q310), 0, 1), 4, if(ISBLANK('2025'!$R310), 0, 1), 5, if(ISBLANK('2025'!$S310), 0, 1), 6, if(ISBLANK('2025'!$T310), 0, 1), 7, 0))), 1, "")</f>
        <v/>
      </c>
      <c r="AL312" s="1" t="str">
        <f>IF(AND(AND(AND(AL$4&gt;='2025'!$L310,AL$4&lt;='2025'!$M310), AL$4&lt;&gt;DATE(2025,7,4)), (SWITCH(weekday(AL$4), 1, 0, 2, if(ISBLANK('2025'!$P310), 0, 1), 3, if(ISBLANK('2025'!$Q310), 0, 1), 4, if(ISBLANK('2025'!$R310), 0, 1), 5, if(ISBLANK('2025'!$S310), 0, 1), 6, if(ISBLANK('2025'!$T310), 0, 1), 7, 0))), 1, "")</f>
        <v/>
      </c>
      <c r="AM312" s="1" t="str">
        <f>IF(AND(AND(AND(AM$4&gt;='2025'!$L310,AM$4&lt;='2025'!$M310), AM$4&lt;&gt;DATE(2025,7,4)), (SWITCH(weekday(AM$4), 1, 0, 2, if(ISBLANK('2025'!$P310), 0, 1), 3, if(ISBLANK('2025'!$Q310), 0, 1), 4, if(ISBLANK('2025'!$R310), 0, 1), 5, if(ISBLANK('2025'!$S310), 0, 1), 6, if(ISBLANK('2025'!$T310), 0, 1), 7, 0))), 1, "")</f>
        <v/>
      </c>
      <c r="AN312" s="1" t="str">
        <f>IF(AND(AND(AND(AN$4&gt;='2025'!$L310,AN$4&lt;='2025'!$M310), AN$4&lt;&gt;DATE(2025,7,4)), (SWITCH(weekday(AN$4), 1, 0, 2, if(ISBLANK('2025'!$P310), 0, 1), 3, if(ISBLANK('2025'!$Q310), 0, 1), 4, if(ISBLANK('2025'!$R310), 0, 1), 5, if(ISBLANK('2025'!$S310), 0, 1), 6, if(ISBLANK('2025'!$T310), 0, 1), 7, 0))), 1, "")</f>
        <v/>
      </c>
      <c r="AO312" s="1" t="str">
        <f>IF(AND(AND(AND(AO$4&gt;='2025'!$L310,AO$4&lt;='2025'!$M310), AO$4&lt;&gt;DATE(2025,7,4)), (SWITCH(weekday(AO$4), 1, 0, 2, if(ISBLANK('2025'!$P310), 0, 1), 3, if(ISBLANK('2025'!$Q310), 0, 1), 4, if(ISBLANK('2025'!$R310), 0, 1), 5, if(ISBLANK('2025'!$S310), 0, 1), 6, if(ISBLANK('2025'!$T310), 0, 1), 7, 0))), 1, "")</f>
        <v/>
      </c>
      <c r="AP312" s="1" t="str">
        <f>IF(AND(AND(AND(AP$4&gt;='2025'!$L310,AP$4&lt;='2025'!$M310), AP$4&lt;&gt;DATE(2025,7,4)), (SWITCH(weekday(AP$4), 1, 0, 2, if(ISBLANK('2025'!$P310), 0, 1), 3, if(ISBLANK('2025'!$Q310), 0, 1), 4, if(ISBLANK('2025'!$R310), 0, 1), 5, if(ISBLANK('2025'!$S310), 0, 1), 6, if(ISBLANK('2025'!$T310), 0, 1), 7, 0))), 1, "")</f>
        <v/>
      </c>
      <c r="AQ312" s="1" t="str">
        <f>IF(AND(AND(AND(AQ$4&gt;='2025'!$L310,AQ$4&lt;='2025'!$M310), AQ$4&lt;&gt;DATE(2025,7,4)), (SWITCH(weekday(AQ$4), 1, 0, 2, if(ISBLANK('2025'!$P310), 0, 1), 3, if(ISBLANK('2025'!$Q310), 0, 1), 4, if(ISBLANK('2025'!$R310), 0, 1), 5, if(ISBLANK('2025'!$S310), 0, 1), 6, if(ISBLANK('2025'!$T310), 0, 1), 7, 0))), 1, "")</f>
        <v/>
      </c>
      <c r="AR312" s="1" t="str">
        <f>IF(AND(AND(AND(AR$4&gt;='2025'!$L310,AR$4&lt;='2025'!$M310), AR$4&lt;&gt;DATE(2025,7,4)), (SWITCH(weekday(AR$4), 1, 0, 2, if(ISBLANK('2025'!$P310), 0, 1), 3, if(ISBLANK('2025'!$Q310), 0, 1), 4, if(ISBLANK('2025'!$R310), 0, 1), 5, if(ISBLANK('2025'!$S310), 0, 1), 6, if(ISBLANK('2025'!$T310), 0, 1), 7, 0))), 1, "")</f>
        <v/>
      </c>
      <c r="AS312" s="1" t="str">
        <f>IF(AND(AND(AND(AS$4&gt;='2025'!$L310,AS$4&lt;='2025'!$M310), AS$4&lt;&gt;DATE(2025,7,4)), (SWITCH(weekday(AS$4), 1, 0, 2, if(ISBLANK('2025'!$P310), 0, 1), 3, if(ISBLANK('2025'!$Q310), 0, 1), 4, if(ISBLANK('2025'!$R310), 0, 1), 5, if(ISBLANK('2025'!$S310), 0, 1), 6, if(ISBLANK('2025'!$T310), 0, 1), 7, 0))), 1, "")</f>
        <v/>
      </c>
      <c r="AT312" s="1" t="str">
        <f>IF(AND(AND(AND(AT$4&gt;='2025'!$L310,AT$4&lt;='2025'!$M310), AT$4&lt;&gt;DATE(2025,7,4)), (SWITCH(weekday(AT$4), 1, 0, 2, if(ISBLANK('2025'!$P310), 0, 1), 3, if(ISBLANK('2025'!$Q310), 0, 1), 4, if(ISBLANK('2025'!$R310), 0, 1), 5, if(ISBLANK('2025'!$S310), 0, 1), 6, if(ISBLANK('2025'!$T310), 0, 1), 7, 0))), 1, "")</f>
        <v/>
      </c>
      <c r="AU312" s="1" t="str">
        <f>IF(AND(AND(AND(AU$4&gt;='2025'!$L310,AU$4&lt;='2025'!$M310), AU$4&lt;&gt;DATE(2025,7,4)), (SWITCH(weekday(AU$4), 1, 0, 2, if(ISBLANK('2025'!$P310), 0, 1), 3, if(ISBLANK('2025'!$Q310), 0, 1), 4, if(ISBLANK('2025'!$R310), 0, 1), 5, if(ISBLANK('2025'!$S310), 0, 1), 6, if(ISBLANK('2025'!$T310), 0, 1), 7, 0))), 1, "")</f>
        <v/>
      </c>
      <c r="AV312" s="1" t="str">
        <f>IF(AND(AND(AND(AV$4&gt;='2025'!$L310,AV$4&lt;='2025'!$M310), AV$4&lt;&gt;DATE(2025,7,4)), (SWITCH(weekday(AV$4), 1, 0, 2, if(ISBLANK('2025'!$P310), 0, 1), 3, if(ISBLANK('2025'!$Q310), 0, 1), 4, if(ISBLANK('2025'!$R310), 0, 1), 5, if(ISBLANK('2025'!$S310), 0, 1), 6, if(ISBLANK('2025'!$T310), 0, 1), 7, 0))), 1, "")</f>
        <v/>
      </c>
      <c r="AW312" s="1" t="str">
        <f>IF(AND(AND(AND(AW$4&gt;='2025'!$L310,AW$4&lt;='2025'!$M310), AW$4&lt;&gt;DATE(2025,7,4)), (SWITCH(weekday(AW$4), 1, 0, 2, if(ISBLANK('2025'!$P310), 0, 1), 3, if(ISBLANK('2025'!$Q310), 0, 1), 4, if(ISBLANK('2025'!$R310), 0, 1), 5, if(ISBLANK('2025'!$S310), 0, 1), 6, if(ISBLANK('2025'!$T310), 0, 1), 7, 0))), 1, "")</f>
        <v/>
      </c>
      <c r="AX312" s="1" t="str">
        <f>IF(AND(AND(AND(AX$4&gt;='2025'!$L310,AX$4&lt;='2025'!$M310), AX$4&lt;&gt;DATE(2025,7,4)), (SWITCH(weekday(AX$4), 1, 0, 2, if(ISBLANK('2025'!$P310), 0, 1), 3, if(ISBLANK('2025'!$Q310), 0, 1), 4, if(ISBLANK('2025'!$R310), 0, 1), 5, if(ISBLANK('2025'!$S310), 0, 1), 6, if(ISBLANK('2025'!$T310), 0, 1), 7, 0))), 1, "")</f>
        <v/>
      </c>
      <c r="AY312" s="1" t="str">
        <f>IF(AND(AND(AND(AY$4&gt;='2025'!$L310,AY$4&lt;='2025'!$M310), AY$4&lt;&gt;DATE(2025,7,4)), (SWITCH(weekday(AY$4), 1, 0, 2, if(ISBLANK('2025'!$P310), 0, 1), 3, if(ISBLANK('2025'!$Q310), 0, 1), 4, if(ISBLANK('2025'!$R310), 0, 1), 5, if(ISBLANK('2025'!$S310), 0, 1), 6, if(ISBLANK('2025'!$T310), 0, 1), 7, 0))), 1, "")</f>
        <v/>
      </c>
      <c r="AZ312" s="1" t="str">
        <f>IF(AND(AND(AND(AZ$4&gt;='2025'!$L310,AZ$4&lt;='2025'!$M310), AZ$4&lt;&gt;DATE(2025,7,4)), (SWITCH(weekday(AZ$4), 1, 0, 2, if(ISBLANK('2025'!$P310), 0, 1), 3, if(ISBLANK('2025'!$Q310), 0, 1), 4, if(ISBLANK('2025'!$R310), 0, 1), 5, if(ISBLANK('2025'!$S310), 0, 1), 6, if(ISBLANK('2025'!$T310), 0, 1), 7, 0))), 1, "")</f>
        <v/>
      </c>
      <c r="BA312" s="1" t="str">
        <f>IF(AND(AND(AND(BA$4&gt;='2025'!$L310,BA$4&lt;='2025'!$M310), BA$4&lt;&gt;DATE(2025,7,4)), (SWITCH(weekday(BA$4), 1, 0, 2, if(ISBLANK('2025'!$P310), 0, 1), 3, if(ISBLANK('2025'!$Q310), 0, 1), 4, if(ISBLANK('2025'!$R310), 0, 1), 5, if(ISBLANK('2025'!$S310), 0, 1), 6, if(ISBLANK('2025'!$T310), 0, 1), 7, 0))), 1, "")</f>
        <v/>
      </c>
      <c r="BB312" s="1" t="str">
        <f>IF(AND(AND(AND(BB$4&gt;='2025'!$L310,BB$4&lt;='2025'!$M310), BB$4&lt;&gt;DATE(2025,7,4)), (SWITCH(weekday(BB$4), 1, 0, 2, if(ISBLANK('2025'!$P310), 0, 1), 3, if(ISBLANK('2025'!$Q310), 0, 1), 4, if(ISBLANK('2025'!$R310), 0, 1), 5, if(ISBLANK('2025'!$S310), 0, 1), 6, if(ISBLANK('2025'!$T310), 0, 1), 7, 0))), 1, "")</f>
        <v/>
      </c>
      <c r="BC312" s="1" t="str">
        <f>IF(AND(AND(AND(BC$4&gt;='2025'!$L310,BC$4&lt;='2025'!$M310), BC$4&lt;&gt;DATE(2025,7,4)), (SWITCH(weekday(BC$4), 1, 0, 2, if(ISBLANK('2025'!$P310), 0, 1), 3, if(ISBLANK('2025'!$Q310), 0, 1), 4, if(ISBLANK('2025'!$R310), 0, 1), 5, if(ISBLANK('2025'!$S310), 0, 1), 6, if(ISBLANK('2025'!$T310), 0, 1), 7, 0))), 1, "")</f>
        <v/>
      </c>
      <c r="BD312" s="1" t="str">
        <f>IF(AND(AND(AND(BD$4&gt;='2025'!$L310,BD$4&lt;='2025'!$M310), BD$4&lt;&gt;DATE(2025,7,4)), (SWITCH(weekday(BD$4), 1, 0, 2, if(ISBLANK('2025'!$P310), 0, 1), 3, if(ISBLANK('2025'!$Q310), 0, 1), 4, if(ISBLANK('2025'!$R310), 0, 1), 5, if(ISBLANK('2025'!$S310), 0, 1), 6, if(ISBLANK('2025'!$T310), 0, 1), 7, 0))), 1, "")</f>
        <v/>
      </c>
      <c r="BE312" s="1" t="str">
        <f>IF(AND(AND(AND(BE$4&gt;='2025'!$L310,BE$4&lt;='2025'!$M310), BE$4&lt;&gt;DATE(2025,7,4)), (SWITCH(weekday(BE$4), 1, 0, 2, if(ISBLANK('2025'!$P310), 0, 1), 3, if(ISBLANK('2025'!$Q310), 0, 1), 4, if(ISBLANK('2025'!$R310), 0, 1), 5, if(ISBLANK('2025'!$S310), 0, 1), 6, if(ISBLANK('2025'!$T310), 0, 1), 7, 0))), 1, "")</f>
        <v/>
      </c>
      <c r="BF312" s="1" t="str">
        <f>IF(AND(AND(AND(BF$4&gt;='2025'!$L310,BF$4&lt;='2025'!$M310), BF$4&lt;&gt;DATE(2025,7,4)), (SWITCH(weekday(BF$4), 1, 0, 2, if(ISBLANK('2025'!$P310), 0, 1), 3, if(ISBLANK('2025'!$Q310), 0, 1), 4, if(ISBLANK('2025'!$R310), 0, 1), 5, if(ISBLANK('2025'!$S310), 0, 1), 6, if(ISBLANK('2025'!$T310), 0, 1), 7, 0))), 1, "")</f>
        <v/>
      </c>
      <c r="BG312" s="1"/>
      <c r="BH312" s="1"/>
      <c r="BI312" s="1"/>
      <c r="BJ312" s="1"/>
      <c r="BK312" s="1"/>
      <c r="BL312" s="1"/>
    </row>
    <row r="313">
      <c r="A313" s="1">
        <f t="shared" si="3"/>
        <v>313</v>
      </c>
      <c r="B313" s="1" t="str">
        <f>'2025'!D277</f>
        <v>, </v>
      </c>
      <c r="C313" s="1" t="str">
        <f>'2025'!H277</f>
        <v/>
      </c>
      <c r="D313" s="1" t="str">
        <f>IF(AND(AND(AND(D$4&gt;='2025'!$L311,D$4&lt;='2025'!$M311), D$4&lt;&gt;DATE(2025,7,4)), (SWITCH(weekday(D$4), 1, 0, 2, if(ISBLANK('2025'!$P311), 0, 1), 3, if(ISBLANK('2025'!$Q311), 0, 1), 4, if(ISBLANK('2025'!$R311), 0, 1), 5, if(ISBLANK('2025'!$S311), 0, 1), 6, if(ISBLANK('2025'!$T311), 0, 1), 7, 0))), 1, "")</f>
        <v/>
      </c>
      <c r="E313" s="1" t="str">
        <f>IF(AND(AND(AND(E$4&gt;='2025'!$L311,E$4&lt;='2025'!$M311), E$4&lt;&gt;DATE(2025,7,4)), (SWITCH(weekday(E$4), 1, 0, 2, if(ISBLANK('2025'!$P311), 0, 1), 3, if(ISBLANK('2025'!$Q311), 0, 1), 4, if(ISBLANK('2025'!$R311), 0, 1), 5, if(ISBLANK('2025'!$S311), 0, 1), 6, if(ISBLANK('2025'!$T311), 0, 1), 7, 0))), 1, "")</f>
        <v/>
      </c>
      <c r="F313" s="1" t="str">
        <f>IF(AND(AND(AND(F$4&gt;='2025'!$L311,F$4&lt;='2025'!$M311), F$4&lt;&gt;DATE(2025,7,4)), (SWITCH(weekday(F$4), 1, 0, 2, if(ISBLANK('2025'!$P311), 0, 1), 3, if(ISBLANK('2025'!$Q311), 0, 1), 4, if(ISBLANK('2025'!$R311), 0, 1), 5, if(ISBLANK('2025'!$S311), 0, 1), 6, if(ISBLANK('2025'!$T311), 0, 1), 7, 0))), 1, "")</f>
        <v/>
      </c>
      <c r="G313" s="1" t="str">
        <f>IF(AND(AND(AND(G$4&gt;='2025'!$L311,G$4&lt;='2025'!$M311), G$4&lt;&gt;DATE(2025,7,4)), (SWITCH(weekday(G$4), 1, 0, 2, if(ISBLANK('2025'!$P311), 0, 1), 3, if(ISBLANK('2025'!$Q311), 0, 1), 4, if(ISBLANK('2025'!$R311), 0, 1), 5, if(ISBLANK('2025'!$S311), 0, 1), 6, if(ISBLANK('2025'!$T311), 0, 1), 7, 0))), 1, "")</f>
        <v/>
      </c>
      <c r="H313" s="1" t="str">
        <f>IF(AND(AND(AND(H$4&gt;='2025'!$L311,H$4&lt;='2025'!$M311), H$4&lt;&gt;DATE(2025,7,4)), (SWITCH(weekday(H$4), 1, 0, 2, if(ISBLANK('2025'!$P311), 0, 1), 3, if(ISBLANK('2025'!$Q311), 0, 1), 4, if(ISBLANK('2025'!$R311), 0, 1), 5, if(ISBLANK('2025'!$S311), 0, 1), 6, if(ISBLANK('2025'!$T311), 0, 1), 7, 0))), 1, "")</f>
        <v/>
      </c>
      <c r="I313" s="1" t="str">
        <f>IF(AND(AND(AND(I$4&gt;='2025'!$L311,I$4&lt;='2025'!$M311), I$4&lt;&gt;DATE(2025,7,4)), (SWITCH(weekday(I$4), 1, 0, 2, if(ISBLANK('2025'!$P311), 0, 1), 3, if(ISBLANK('2025'!$Q311), 0, 1), 4, if(ISBLANK('2025'!$R311), 0, 1), 5, if(ISBLANK('2025'!$S311), 0, 1), 6, if(ISBLANK('2025'!$T311), 0, 1), 7, 0))), 1, "")</f>
        <v/>
      </c>
      <c r="J313" s="1" t="str">
        <f>IF(AND(AND(AND(J$4&gt;='2025'!$L311,J$4&lt;='2025'!$M311), J$4&lt;&gt;DATE(2025,7,4)), (SWITCH(weekday(J$4), 1, 0, 2, if(ISBLANK('2025'!$P311), 0, 1), 3, if(ISBLANK('2025'!$Q311), 0, 1), 4, if(ISBLANK('2025'!$R311), 0, 1), 5, if(ISBLANK('2025'!$S311), 0, 1), 6, if(ISBLANK('2025'!$T311), 0, 1), 7, 0))), 1, "")</f>
        <v/>
      </c>
      <c r="K313" s="1" t="str">
        <f>IF(AND(AND(AND(K$4&gt;='2025'!$L311,K$4&lt;='2025'!$M311), K$4&lt;&gt;DATE(2025,7,4)), (SWITCH(weekday(K$4), 1, 0, 2, if(ISBLANK('2025'!$P311), 0, 1), 3, if(ISBLANK('2025'!$Q311), 0, 1), 4, if(ISBLANK('2025'!$R311), 0, 1), 5, if(ISBLANK('2025'!$S311), 0, 1), 6, if(ISBLANK('2025'!$T311), 0, 1), 7, 0))), 1, "")</f>
        <v/>
      </c>
      <c r="L313" s="1" t="str">
        <f>IF(AND(AND(AND(L$4&gt;='2025'!$L311,L$4&lt;='2025'!$M311), L$4&lt;&gt;DATE(2025,7,4)), (SWITCH(weekday(L$4), 1, 0, 2, if(ISBLANK('2025'!$P311), 0, 1), 3, if(ISBLANK('2025'!$Q311), 0, 1), 4, if(ISBLANK('2025'!$R311), 0, 1), 5, if(ISBLANK('2025'!$S311), 0, 1), 6, if(ISBLANK('2025'!$T311), 0, 1), 7, 0))), 1, "")</f>
        <v/>
      </c>
      <c r="M313" s="1" t="str">
        <f>IF(AND(AND(AND(M$4&gt;='2025'!$L311,M$4&lt;='2025'!$M311), M$4&lt;&gt;DATE(2025,7,4)), (SWITCH(weekday(M$4), 1, 0, 2, if(ISBLANK('2025'!$P311), 0, 1), 3, if(ISBLANK('2025'!$Q311), 0, 1), 4, if(ISBLANK('2025'!$R311), 0, 1), 5, if(ISBLANK('2025'!$S311), 0, 1), 6, if(ISBLANK('2025'!$T311), 0, 1), 7, 0))), 1, "")</f>
        <v/>
      </c>
      <c r="N313" s="1" t="str">
        <f>IF(AND(AND(AND(N$4&gt;='2025'!$L311,N$4&lt;='2025'!$M311), N$4&lt;&gt;DATE(2025,7,4)), (SWITCH(weekday(N$4), 1, 0, 2, if(ISBLANK('2025'!$P311), 0, 1), 3, if(ISBLANK('2025'!$Q311), 0, 1), 4, if(ISBLANK('2025'!$R311), 0, 1), 5, if(ISBLANK('2025'!$S311), 0, 1), 6, if(ISBLANK('2025'!$T311), 0, 1), 7, 0))), 1, "")</f>
        <v/>
      </c>
      <c r="O313" s="1" t="str">
        <f>IF(AND(AND(AND(O$4&gt;='2025'!$L311,O$4&lt;='2025'!$M311), O$4&lt;&gt;DATE(2025,7,4)), (SWITCH(weekday(O$4), 1, 0, 2, if(ISBLANK('2025'!$P311), 0, 1), 3, if(ISBLANK('2025'!$Q311), 0, 1), 4, if(ISBLANK('2025'!$R311), 0, 1), 5, if(ISBLANK('2025'!$S311), 0, 1), 6, if(ISBLANK('2025'!$T311), 0, 1), 7, 0))), 1, "")</f>
        <v/>
      </c>
      <c r="P313" s="1" t="str">
        <f>IF(AND(AND(AND(P$4&gt;='2025'!$L311,P$4&lt;='2025'!$M311), P$4&lt;&gt;DATE(2025,7,4)), (SWITCH(weekday(P$4), 1, 0, 2, if(ISBLANK('2025'!$P311), 0, 1), 3, if(ISBLANK('2025'!$Q311), 0, 1), 4, if(ISBLANK('2025'!$R311), 0, 1), 5, if(ISBLANK('2025'!$S311), 0, 1), 6, if(ISBLANK('2025'!$T311), 0, 1), 7, 0))), 1, "")</f>
        <v/>
      </c>
      <c r="Q313" s="1" t="str">
        <f>IF(AND(AND(AND(Q$4&gt;='2025'!$L311,Q$4&lt;='2025'!$M311), Q$4&lt;&gt;DATE(2025,7,4)), (SWITCH(weekday(Q$4), 1, 0, 2, if(ISBLANK('2025'!$P311), 0, 1), 3, if(ISBLANK('2025'!$Q311), 0, 1), 4, if(ISBLANK('2025'!$R311), 0, 1), 5, if(ISBLANK('2025'!$S311), 0, 1), 6, if(ISBLANK('2025'!$T311), 0, 1), 7, 0))), 1, "")</f>
        <v/>
      </c>
      <c r="R313" s="1" t="str">
        <f>IF(AND(AND(AND(R$4&gt;='2025'!$L311,R$4&lt;='2025'!$M311), R$4&lt;&gt;DATE(2025,7,4)), (SWITCH(weekday(R$4), 1, 0, 2, if(ISBLANK('2025'!$P311), 0, 1), 3, if(ISBLANK('2025'!$Q311), 0, 1), 4, if(ISBLANK('2025'!$R311), 0, 1), 5, if(ISBLANK('2025'!$S311), 0, 1), 6, if(ISBLANK('2025'!$T311), 0, 1), 7, 0))), 1, "")</f>
        <v/>
      </c>
      <c r="S313" s="1" t="str">
        <f>IF(AND(AND(AND(S$4&gt;='2025'!$L311,S$4&lt;='2025'!$M311), S$4&lt;&gt;DATE(2025,7,4)), (SWITCH(weekday(S$4), 1, 0, 2, if(ISBLANK('2025'!$P311), 0, 1), 3, if(ISBLANK('2025'!$Q311), 0, 1), 4, if(ISBLANK('2025'!$R311), 0, 1), 5, if(ISBLANK('2025'!$S311), 0, 1), 6, if(ISBLANK('2025'!$T311), 0, 1), 7, 0))), 1, "")</f>
        <v/>
      </c>
      <c r="T313" s="1" t="str">
        <f>IF(AND(AND(AND(T$4&gt;='2025'!$L311,T$4&lt;='2025'!$M311), T$4&lt;&gt;DATE(2025,7,4)), (SWITCH(weekday(T$4), 1, 0, 2, if(ISBLANK('2025'!$P311), 0, 1), 3, if(ISBLANK('2025'!$Q311), 0, 1), 4, if(ISBLANK('2025'!$R311), 0, 1), 5, if(ISBLANK('2025'!$S311), 0, 1), 6, if(ISBLANK('2025'!$T311), 0, 1), 7, 0))), 1, "")</f>
        <v/>
      </c>
      <c r="U313" s="1" t="str">
        <f>IF(AND(AND(AND(U$4&gt;='2025'!$L311,U$4&lt;='2025'!$M311), U$4&lt;&gt;DATE(2025,7,4)), (SWITCH(weekday(U$4), 1, 0, 2, if(ISBLANK('2025'!$P311), 0, 1), 3, if(ISBLANK('2025'!$Q311), 0, 1), 4, if(ISBLANK('2025'!$R311), 0, 1), 5, if(ISBLANK('2025'!$S311), 0, 1), 6, if(ISBLANK('2025'!$T311), 0, 1), 7, 0))), 1, "")</f>
        <v/>
      </c>
      <c r="V313" s="1" t="str">
        <f>IF(AND(AND(AND(V$4&gt;='2025'!$L311,V$4&lt;='2025'!$M311), V$4&lt;&gt;DATE(2025,7,4)), (SWITCH(weekday(V$4), 1, 0, 2, if(ISBLANK('2025'!$P311), 0, 1), 3, if(ISBLANK('2025'!$Q311), 0, 1), 4, if(ISBLANK('2025'!$R311), 0, 1), 5, if(ISBLANK('2025'!$S311), 0, 1), 6, if(ISBLANK('2025'!$T311), 0, 1), 7, 0))), 1, "")</f>
        <v/>
      </c>
      <c r="W313" s="1" t="str">
        <f>IF(AND(AND(AND(W$4&gt;='2025'!$L311,W$4&lt;='2025'!$M311), W$4&lt;&gt;DATE(2025,7,4)), (SWITCH(weekday(W$4), 1, 0, 2, if(ISBLANK('2025'!$P311), 0, 1), 3, if(ISBLANK('2025'!$Q311), 0, 1), 4, if(ISBLANK('2025'!$R311), 0, 1), 5, if(ISBLANK('2025'!$S311), 0, 1), 6, if(ISBLANK('2025'!$T311), 0, 1), 7, 0))), 1, "")</f>
        <v/>
      </c>
      <c r="X313" s="1" t="str">
        <f>IF(AND(AND(AND(X$4&gt;='2025'!$L311,X$4&lt;='2025'!$M311), X$4&lt;&gt;DATE(2025,7,4)), (SWITCH(weekday(X$4), 1, 0, 2, if(ISBLANK('2025'!$P311), 0, 1), 3, if(ISBLANK('2025'!$Q311), 0, 1), 4, if(ISBLANK('2025'!$R311), 0, 1), 5, if(ISBLANK('2025'!$S311), 0, 1), 6, if(ISBLANK('2025'!$T311), 0, 1), 7, 0))), 1, "")</f>
        <v/>
      </c>
      <c r="Y313" s="1" t="str">
        <f>IF(AND(AND(AND(Y$4&gt;='2025'!$L311,Y$4&lt;='2025'!$M311), Y$4&lt;&gt;DATE(2025,7,4)), (SWITCH(weekday(Y$4), 1, 0, 2, if(ISBLANK('2025'!$P311), 0, 1), 3, if(ISBLANK('2025'!$Q311), 0, 1), 4, if(ISBLANK('2025'!$R311), 0, 1), 5, if(ISBLANK('2025'!$S311), 0, 1), 6, if(ISBLANK('2025'!$T311), 0, 1), 7, 0))), 1, "")</f>
        <v/>
      </c>
      <c r="Z313" s="1" t="str">
        <f>IF(AND(AND(AND(Z$4&gt;='2025'!$L311,Z$4&lt;='2025'!$M311), Z$4&lt;&gt;DATE(2025,7,4)), (SWITCH(weekday(Z$4), 1, 0, 2, if(ISBLANK('2025'!$P311), 0, 1), 3, if(ISBLANK('2025'!$Q311), 0, 1), 4, if(ISBLANK('2025'!$R311), 0, 1), 5, if(ISBLANK('2025'!$S311), 0, 1), 6, if(ISBLANK('2025'!$T311), 0, 1), 7, 0))), 1, "")</f>
        <v/>
      </c>
      <c r="AA313" s="1" t="str">
        <f>IF(AND(AND(AND(AA$4&gt;='2025'!$L311,AA$4&lt;='2025'!$M311), AA$4&lt;&gt;DATE(2025,7,4)), (SWITCH(weekday(AA$4), 1, 0, 2, if(ISBLANK('2025'!$P311), 0, 1), 3, if(ISBLANK('2025'!$Q311), 0, 1), 4, if(ISBLANK('2025'!$R311), 0, 1), 5, if(ISBLANK('2025'!$S311), 0, 1), 6, if(ISBLANK('2025'!$T311), 0, 1), 7, 0))), 1, "")</f>
        <v/>
      </c>
      <c r="AB313" s="1" t="str">
        <f>IF(AND(AND(AND(AB$4&gt;='2025'!$L311,AB$4&lt;='2025'!$M311), AB$4&lt;&gt;DATE(2025,7,4)), (SWITCH(weekday(AB$4), 1, 0, 2, if(ISBLANK('2025'!$P311), 0, 1), 3, if(ISBLANK('2025'!$Q311), 0, 1), 4, if(ISBLANK('2025'!$R311), 0, 1), 5, if(ISBLANK('2025'!$S311), 0, 1), 6, if(ISBLANK('2025'!$T311), 0, 1), 7, 0))), 1, "")</f>
        <v/>
      </c>
      <c r="AC313" s="1" t="str">
        <f>IF(AND(AND(AND(AC$4&gt;='2025'!$L311,AC$4&lt;='2025'!$M311), AC$4&lt;&gt;DATE(2025,7,4)), (SWITCH(weekday(AC$4), 1, 0, 2, if(ISBLANK('2025'!$P311), 0, 1), 3, if(ISBLANK('2025'!$Q311), 0, 1), 4, if(ISBLANK('2025'!$R311), 0, 1), 5, if(ISBLANK('2025'!$S311), 0, 1), 6, if(ISBLANK('2025'!$T311), 0, 1), 7, 0))), 1, "")</f>
        <v/>
      </c>
      <c r="AD313" s="1" t="str">
        <f>IF(AND(AND(AND(AD$4&gt;='2025'!$L311,AD$4&lt;='2025'!$M311), AD$4&lt;&gt;DATE(2025,7,4)), (SWITCH(weekday(AD$4), 1, 0, 2, if(ISBLANK('2025'!$P311), 0, 1), 3, if(ISBLANK('2025'!$Q311), 0, 1), 4, if(ISBLANK('2025'!$R311), 0, 1), 5, if(ISBLANK('2025'!$S311), 0, 1), 6, if(ISBLANK('2025'!$T311), 0, 1), 7, 0))), 1, "")</f>
        <v/>
      </c>
      <c r="AE313" s="1" t="str">
        <f>IF(AND(AND(AND(AE$4&gt;='2025'!$L311,AE$4&lt;='2025'!$M311), AE$4&lt;&gt;DATE(2025,7,4)), (SWITCH(weekday(AE$4), 1, 0, 2, if(ISBLANK('2025'!$P311), 0, 1), 3, if(ISBLANK('2025'!$Q311), 0, 1), 4, if(ISBLANK('2025'!$R311), 0, 1), 5, if(ISBLANK('2025'!$S311), 0, 1), 6, if(ISBLANK('2025'!$T311), 0, 1), 7, 0))), 1, "")</f>
        <v/>
      </c>
      <c r="AF313" s="1" t="str">
        <f>IF(AND(AND(AND(AF$4&gt;='2025'!$L311,AF$4&lt;='2025'!$M311), AF$4&lt;&gt;DATE(2025,7,4)), (SWITCH(weekday(AF$4), 1, 0, 2, if(ISBLANK('2025'!$P311), 0, 1), 3, if(ISBLANK('2025'!$Q311), 0, 1), 4, if(ISBLANK('2025'!$R311), 0, 1), 5, if(ISBLANK('2025'!$S311), 0, 1), 6, if(ISBLANK('2025'!$T311), 0, 1), 7, 0))), 1, "")</f>
        <v/>
      </c>
      <c r="AG313" s="1" t="str">
        <f>IF(AND(AND(AND(AG$4&gt;='2025'!$L311,AG$4&lt;='2025'!$M311), AG$4&lt;&gt;DATE(2025,7,4)), (SWITCH(weekday(AG$4), 1, 0, 2, if(ISBLANK('2025'!$P311), 0, 1), 3, if(ISBLANK('2025'!$Q311), 0, 1), 4, if(ISBLANK('2025'!$R311), 0, 1), 5, if(ISBLANK('2025'!$S311), 0, 1), 6, if(ISBLANK('2025'!$T311), 0, 1), 7, 0))), 1, "")</f>
        <v/>
      </c>
      <c r="AH313" s="1" t="str">
        <f>IF(AND(AND(AND(AH$4&gt;='2025'!$L311,AH$4&lt;='2025'!$M311), AH$4&lt;&gt;DATE(2025,7,4)), (SWITCH(weekday(AH$4), 1, 0, 2, if(ISBLANK('2025'!$P311), 0, 1), 3, if(ISBLANK('2025'!$Q311), 0, 1), 4, if(ISBLANK('2025'!$R311), 0, 1), 5, if(ISBLANK('2025'!$S311), 0, 1), 6, if(ISBLANK('2025'!$T311), 0, 1), 7, 0))), 1, "")</f>
        <v/>
      </c>
      <c r="AI313" s="1" t="str">
        <f>IF(AND(AND(AND(AI$4&gt;='2025'!$L311,AI$4&lt;='2025'!$M311), AI$4&lt;&gt;DATE(2025,7,4)), (SWITCH(weekday(AI$4), 1, 0, 2, if(ISBLANK('2025'!$P311), 0, 1), 3, if(ISBLANK('2025'!$Q311), 0, 1), 4, if(ISBLANK('2025'!$R311), 0, 1), 5, if(ISBLANK('2025'!$S311), 0, 1), 6, if(ISBLANK('2025'!$T311), 0, 1), 7, 0))), 1, "")</f>
        <v/>
      </c>
      <c r="AJ313" s="1" t="str">
        <f>IF(AND(AND(AND(AJ$4&gt;='2025'!$L311,AJ$4&lt;='2025'!$M311), AJ$4&lt;&gt;DATE(2025,7,4)), (SWITCH(weekday(AJ$4), 1, 0, 2, if(ISBLANK('2025'!$P311), 0, 1), 3, if(ISBLANK('2025'!$Q311), 0, 1), 4, if(ISBLANK('2025'!$R311), 0, 1), 5, if(ISBLANK('2025'!$S311), 0, 1), 6, if(ISBLANK('2025'!$T311), 0, 1), 7, 0))), 1, "")</f>
        <v/>
      </c>
      <c r="AK313" s="1" t="str">
        <f>IF(AND(AND(AND(AK$4&gt;='2025'!$L311,AK$4&lt;='2025'!$M311), AK$4&lt;&gt;DATE(2025,7,4)), (SWITCH(weekday(AK$4), 1, 0, 2, if(ISBLANK('2025'!$P311), 0, 1), 3, if(ISBLANK('2025'!$Q311), 0, 1), 4, if(ISBLANK('2025'!$R311), 0, 1), 5, if(ISBLANK('2025'!$S311), 0, 1), 6, if(ISBLANK('2025'!$T311), 0, 1), 7, 0))), 1, "")</f>
        <v/>
      </c>
      <c r="AL313" s="1" t="str">
        <f>IF(AND(AND(AND(AL$4&gt;='2025'!$L311,AL$4&lt;='2025'!$M311), AL$4&lt;&gt;DATE(2025,7,4)), (SWITCH(weekday(AL$4), 1, 0, 2, if(ISBLANK('2025'!$P311), 0, 1), 3, if(ISBLANK('2025'!$Q311), 0, 1), 4, if(ISBLANK('2025'!$R311), 0, 1), 5, if(ISBLANK('2025'!$S311), 0, 1), 6, if(ISBLANK('2025'!$T311), 0, 1), 7, 0))), 1, "")</f>
        <v/>
      </c>
      <c r="AM313" s="1" t="str">
        <f>IF(AND(AND(AND(AM$4&gt;='2025'!$L311,AM$4&lt;='2025'!$M311), AM$4&lt;&gt;DATE(2025,7,4)), (SWITCH(weekday(AM$4), 1, 0, 2, if(ISBLANK('2025'!$P311), 0, 1), 3, if(ISBLANK('2025'!$Q311), 0, 1), 4, if(ISBLANK('2025'!$R311), 0, 1), 5, if(ISBLANK('2025'!$S311), 0, 1), 6, if(ISBLANK('2025'!$T311), 0, 1), 7, 0))), 1, "")</f>
        <v/>
      </c>
      <c r="AN313" s="1" t="str">
        <f>IF(AND(AND(AND(AN$4&gt;='2025'!$L311,AN$4&lt;='2025'!$M311), AN$4&lt;&gt;DATE(2025,7,4)), (SWITCH(weekday(AN$4), 1, 0, 2, if(ISBLANK('2025'!$P311), 0, 1), 3, if(ISBLANK('2025'!$Q311), 0, 1), 4, if(ISBLANK('2025'!$R311), 0, 1), 5, if(ISBLANK('2025'!$S311), 0, 1), 6, if(ISBLANK('2025'!$T311), 0, 1), 7, 0))), 1, "")</f>
        <v/>
      </c>
      <c r="AO313" s="1" t="str">
        <f>IF(AND(AND(AND(AO$4&gt;='2025'!$L311,AO$4&lt;='2025'!$M311), AO$4&lt;&gt;DATE(2025,7,4)), (SWITCH(weekday(AO$4), 1, 0, 2, if(ISBLANK('2025'!$P311), 0, 1), 3, if(ISBLANK('2025'!$Q311), 0, 1), 4, if(ISBLANK('2025'!$R311), 0, 1), 5, if(ISBLANK('2025'!$S311), 0, 1), 6, if(ISBLANK('2025'!$T311), 0, 1), 7, 0))), 1, "")</f>
        <v/>
      </c>
      <c r="AP313" s="1" t="str">
        <f>IF(AND(AND(AND(AP$4&gt;='2025'!$L311,AP$4&lt;='2025'!$M311), AP$4&lt;&gt;DATE(2025,7,4)), (SWITCH(weekday(AP$4), 1, 0, 2, if(ISBLANK('2025'!$P311), 0, 1), 3, if(ISBLANK('2025'!$Q311), 0, 1), 4, if(ISBLANK('2025'!$R311), 0, 1), 5, if(ISBLANK('2025'!$S311), 0, 1), 6, if(ISBLANK('2025'!$T311), 0, 1), 7, 0))), 1, "")</f>
        <v/>
      </c>
      <c r="AQ313" s="1" t="str">
        <f>IF(AND(AND(AND(AQ$4&gt;='2025'!$L311,AQ$4&lt;='2025'!$M311), AQ$4&lt;&gt;DATE(2025,7,4)), (SWITCH(weekday(AQ$4), 1, 0, 2, if(ISBLANK('2025'!$P311), 0, 1), 3, if(ISBLANK('2025'!$Q311), 0, 1), 4, if(ISBLANK('2025'!$R311), 0, 1), 5, if(ISBLANK('2025'!$S311), 0, 1), 6, if(ISBLANK('2025'!$T311), 0, 1), 7, 0))), 1, "")</f>
        <v/>
      </c>
      <c r="AR313" s="1" t="str">
        <f>IF(AND(AND(AND(AR$4&gt;='2025'!$L311,AR$4&lt;='2025'!$M311), AR$4&lt;&gt;DATE(2025,7,4)), (SWITCH(weekday(AR$4), 1, 0, 2, if(ISBLANK('2025'!$P311), 0, 1), 3, if(ISBLANK('2025'!$Q311), 0, 1), 4, if(ISBLANK('2025'!$R311), 0, 1), 5, if(ISBLANK('2025'!$S311), 0, 1), 6, if(ISBLANK('2025'!$T311), 0, 1), 7, 0))), 1, "")</f>
        <v/>
      </c>
      <c r="AS313" s="1" t="str">
        <f>IF(AND(AND(AND(AS$4&gt;='2025'!$L311,AS$4&lt;='2025'!$M311), AS$4&lt;&gt;DATE(2025,7,4)), (SWITCH(weekday(AS$4), 1, 0, 2, if(ISBLANK('2025'!$P311), 0, 1), 3, if(ISBLANK('2025'!$Q311), 0, 1), 4, if(ISBLANK('2025'!$R311), 0, 1), 5, if(ISBLANK('2025'!$S311), 0, 1), 6, if(ISBLANK('2025'!$T311), 0, 1), 7, 0))), 1, "")</f>
        <v/>
      </c>
      <c r="AT313" s="1" t="str">
        <f>IF(AND(AND(AND(AT$4&gt;='2025'!$L311,AT$4&lt;='2025'!$M311), AT$4&lt;&gt;DATE(2025,7,4)), (SWITCH(weekday(AT$4), 1, 0, 2, if(ISBLANK('2025'!$P311), 0, 1), 3, if(ISBLANK('2025'!$Q311), 0, 1), 4, if(ISBLANK('2025'!$R311), 0, 1), 5, if(ISBLANK('2025'!$S311), 0, 1), 6, if(ISBLANK('2025'!$T311), 0, 1), 7, 0))), 1, "")</f>
        <v/>
      </c>
      <c r="AU313" s="1" t="str">
        <f>IF(AND(AND(AND(AU$4&gt;='2025'!$L311,AU$4&lt;='2025'!$M311), AU$4&lt;&gt;DATE(2025,7,4)), (SWITCH(weekday(AU$4), 1, 0, 2, if(ISBLANK('2025'!$P311), 0, 1), 3, if(ISBLANK('2025'!$Q311), 0, 1), 4, if(ISBLANK('2025'!$R311), 0, 1), 5, if(ISBLANK('2025'!$S311), 0, 1), 6, if(ISBLANK('2025'!$T311), 0, 1), 7, 0))), 1, "")</f>
        <v/>
      </c>
      <c r="AV313" s="1" t="str">
        <f>IF(AND(AND(AND(AV$4&gt;='2025'!$L311,AV$4&lt;='2025'!$M311), AV$4&lt;&gt;DATE(2025,7,4)), (SWITCH(weekday(AV$4), 1, 0, 2, if(ISBLANK('2025'!$P311), 0, 1), 3, if(ISBLANK('2025'!$Q311), 0, 1), 4, if(ISBLANK('2025'!$R311), 0, 1), 5, if(ISBLANK('2025'!$S311), 0, 1), 6, if(ISBLANK('2025'!$T311), 0, 1), 7, 0))), 1, "")</f>
        <v/>
      </c>
      <c r="AW313" s="1" t="str">
        <f>IF(AND(AND(AND(AW$4&gt;='2025'!$L311,AW$4&lt;='2025'!$M311), AW$4&lt;&gt;DATE(2025,7,4)), (SWITCH(weekday(AW$4), 1, 0, 2, if(ISBLANK('2025'!$P311), 0, 1), 3, if(ISBLANK('2025'!$Q311), 0, 1), 4, if(ISBLANK('2025'!$R311), 0, 1), 5, if(ISBLANK('2025'!$S311), 0, 1), 6, if(ISBLANK('2025'!$T311), 0, 1), 7, 0))), 1, "")</f>
        <v/>
      </c>
      <c r="AX313" s="1" t="str">
        <f>IF(AND(AND(AND(AX$4&gt;='2025'!$L311,AX$4&lt;='2025'!$M311), AX$4&lt;&gt;DATE(2025,7,4)), (SWITCH(weekday(AX$4), 1, 0, 2, if(ISBLANK('2025'!$P311), 0, 1), 3, if(ISBLANK('2025'!$Q311), 0, 1), 4, if(ISBLANK('2025'!$R311), 0, 1), 5, if(ISBLANK('2025'!$S311), 0, 1), 6, if(ISBLANK('2025'!$T311), 0, 1), 7, 0))), 1, "")</f>
        <v/>
      </c>
      <c r="AY313" s="1" t="str">
        <f>IF(AND(AND(AND(AY$4&gt;='2025'!$L311,AY$4&lt;='2025'!$M311), AY$4&lt;&gt;DATE(2025,7,4)), (SWITCH(weekday(AY$4), 1, 0, 2, if(ISBLANK('2025'!$P311), 0, 1), 3, if(ISBLANK('2025'!$Q311), 0, 1), 4, if(ISBLANK('2025'!$R311), 0, 1), 5, if(ISBLANK('2025'!$S311), 0, 1), 6, if(ISBLANK('2025'!$T311), 0, 1), 7, 0))), 1, "")</f>
        <v/>
      </c>
      <c r="AZ313" s="1" t="str">
        <f>IF(AND(AND(AND(AZ$4&gt;='2025'!$L311,AZ$4&lt;='2025'!$M311), AZ$4&lt;&gt;DATE(2025,7,4)), (SWITCH(weekday(AZ$4), 1, 0, 2, if(ISBLANK('2025'!$P311), 0, 1), 3, if(ISBLANK('2025'!$Q311), 0, 1), 4, if(ISBLANK('2025'!$R311), 0, 1), 5, if(ISBLANK('2025'!$S311), 0, 1), 6, if(ISBLANK('2025'!$T311), 0, 1), 7, 0))), 1, "")</f>
        <v/>
      </c>
      <c r="BA313" s="1" t="str">
        <f>IF(AND(AND(AND(BA$4&gt;='2025'!$L311,BA$4&lt;='2025'!$M311), BA$4&lt;&gt;DATE(2025,7,4)), (SWITCH(weekday(BA$4), 1, 0, 2, if(ISBLANK('2025'!$P311), 0, 1), 3, if(ISBLANK('2025'!$Q311), 0, 1), 4, if(ISBLANK('2025'!$R311), 0, 1), 5, if(ISBLANK('2025'!$S311), 0, 1), 6, if(ISBLANK('2025'!$T311), 0, 1), 7, 0))), 1, "")</f>
        <v/>
      </c>
      <c r="BB313" s="1" t="str">
        <f>IF(AND(AND(AND(BB$4&gt;='2025'!$L311,BB$4&lt;='2025'!$M311), BB$4&lt;&gt;DATE(2025,7,4)), (SWITCH(weekday(BB$4), 1, 0, 2, if(ISBLANK('2025'!$P311), 0, 1), 3, if(ISBLANK('2025'!$Q311), 0, 1), 4, if(ISBLANK('2025'!$R311), 0, 1), 5, if(ISBLANK('2025'!$S311), 0, 1), 6, if(ISBLANK('2025'!$T311), 0, 1), 7, 0))), 1, "")</f>
        <v/>
      </c>
      <c r="BC313" s="1" t="str">
        <f>IF(AND(AND(AND(BC$4&gt;='2025'!$L311,BC$4&lt;='2025'!$M311), BC$4&lt;&gt;DATE(2025,7,4)), (SWITCH(weekday(BC$4), 1, 0, 2, if(ISBLANK('2025'!$P311), 0, 1), 3, if(ISBLANK('2025'!$Q311), 0, 1), 4, if(ISBLANK('2025'!$R311), 0, 1), 5, if(ISBLANK('2025'!$S311), 0, 1), 6, if(ISBLANK('2025'!$T311), 0, 1), 7, 0))), 1, "")</f>
        <v/>
      </c>
      <c r="BD313" s="1" t="str">
        <f>IF(AND(AND(AND(BD$4&gt;='2025'!$L311,BD$4&lt;='2025'!$M311), BD$4&lt;&gt;DATE(2025,7,4)), (SWITCH(weekday(BD$4), 1, 0, 2, if(ISBLANK('2025'!$P311), 0, 1), 3, if(ISBLANK('2025'!$Q311), 0, 1), 4, if(ISBLANK('2025'!$R311), 0, 1), 5, if(ISBLANK('2025'!$S311), 0, 1), 6, if(ISBLANK('2025'!$T311), 0, 1), 7, 0))), 1, "")</f>
        <v/>
      </c>
      <c r="BE313" s="1" t="str">
        <f>IF(AND(AND(AND(BE$4&gt;='2025'!$L311,BE$4&lt;='2025'!$M311), BE$4&lt;&gt;DATE(2025,7,4)), (SWITCH(weekday(BE$4), 1, 0, 2, if(ISBLANK('2025'!$P311), 0, 1), 3, if(ISBLANK('2025'!$Q311), 0, 1), 4, if(ISBLANK('2025'!$R311), 0, 1), 5, if(ISBLANK('2025'!$S311), 0, 1), 6, if(ISBLANK('2025'!$T311), 0, 1), 7, 0))), 1, "")</f>
        <v/>
      </c>
      <c r="BF313" s="1" t="str">
        <f>IF(AND(AND(AND(BF$4&gt;='2025'!$L311,BF$4&lt;='2025'!$M311), BF$4&lt;&gt;DATE(2025,7,4)), (SWITCH(weekday(BF$4), 1, 0, 2, if(ISBLANK('2025'!$P311), 0, 1), 3, if(ISBLANK('2025'!$Q311), 0, 1), 4, if(ISBLANK('2025'!$R311), 0, 1), 5, if(ISBLANK('2025'!$S311), 0, 1), 6, if(ISBLANK('2025'!$T311), 0, 1), 7, 0))), 1, "")</f>
        <v/>
      </c>
      <c r="BG313" s="1"/>
      <c r="BH313" s="1"/>
      <c r="BI313" s="1"/>
      <c r="BJ313" s="1"/>
      <c r="BK313" s="1"/>
      <c r="BL313" s="1"/>
    </row>
    <row r="314">
      <c r="A314" s="1">
        <f t="shared" si="3"/>
        <v>314</v>
      </c>
      <c r="B314" s="1" t="str">
        <f>'2025'!D278</f>
        <v>, </v>
      </c>
      <c r="C314" s="1" t="str">
        <f>'2025'!H278</f>
        <v/>
      </c>
      <c r="D314" s="1" t="str">
        <f>IF(AND(AND(AND(D$4&gt;='2025'!$L312,D$4&lt;='2025'!$M312), D$4&lt;&gt;DATE(2025,7,4)), (SWITCH(weekday(D$4), 1, 0, 2, if(ISBLANK('2025'!$P312), 0, 1), 3, if(ISBLANK('2025'!$Q312), 0, 1), 4, if(ISBLANK('2025'!$R312), 0, 1), 5, if(ISBLANK('2025'!$S312), 0, 1), 6, if(ISBLANK('2025'!$T312), 0, 1), 7, 0))), 1, "")</f>
        <v/>
      </c>
      <c r="E314" s="1" t="str">
        <f>IF(AND(AND(AND(E$4&gt;='2025'!$L312,E$4&lt;='2025'!$M312), E$4&lt;&gt;DATE(2025,7,4)), (SWITCH(weekday(E$4), 1, 0, 2, if(ISBLANK('2025'!$P312), 0, 1), 3, if(ISBLANK('2025'!$Q312), 0, 1), 4, if(ISBLANK('2025'!$R312), 0, 1), 5, if(ISBLANK('2025'!$S312), 0, 1), 6, if(ISBLANK('2025'!$T312), 0, 1), 7, 0))), 1, "")</f>
        <v/>
      </c>
      <c r="F314" s="1" t="str">
        <f>IF(AND(AND(AND(F$4&gt;='2025'!$L312,F$4&lt;='2025'!$M312), F$4&lt;&gt;DATE(2025,7,4)), (SWITCH(weekday(F$4), 1, 0, 2, if(ISBLANK('2025'!$P312), 0, 1), 3, if(ISBLANK('2025'!$Q312), 0, 1), 4, if(ISBLANK('2025'!$R312), 0, 1), 5, if(ISBLANK('2025'!$S312), 0, 1), 6, if(ISBLANK('2025'!$T312), 0, 1), 7, 0))), 1, "")</f>
        <v/>
      </c>
      <c r="G314" s="1" t="str">
        <f>IF(AND(AND(AND(G$4&gt;='2025'!$L312,G$4&lt;='2025'!$M312), G$4&lt;&gt;DATE(2025,7,4)), (SWITCH(weekday(G$4), 1, 0, 2, if(ISBLANK('2025'!$P312), 0, 1), 3, if(ISBLANK('2025'!$Q312), 0, 1), 4, if(ISBLANK('2025'!$R312), 0, 1), 5, if(ISBLANK('2025'!$S312), 0, 1), 6, if(ISBLANK('2025'!$T312), 0, 1), 7, 0))), 1, "")</f>
        <v/>
      </c>
      <c r="H314" s="1" t="str">
        <f>IF(AND(AND(AND(H$4&gt;='2025'!$L312,H$4&lt;='2025'!$M312), H$4&lt;&gt;DATE(2025,7,4)), (SWITCH(weekday(H$4), 1, 0, 2, if(ISBLANK('2025'!$P312), 0, 1), 3, if(ISBLANK('2025'!$Q312), 0, 1), 4, if(ISBLANK('2025'!$R312), 0, 1), 5, if(ISBLANK('2025'!$S312), 0, 1), 6, if(ISBLANK('2025'!$T312), 0, 1), 7, 0))), 1, "")</f>
        <v/>
      </c>
      <c r="I314" s="1" t="str">
        <f>IF(AND(AND(AND(I$4&gt;='2025'!$L312,I$4&lt;='2025'!$M312), I$4&lt;&gt;DATE(2025,7,4)), (SWITCH(weekday(I$4), 1, 0, 2, if(ISBLANK('2025'!$P312), 0, 1), 3, if(ISBLANK('2025'!$Q312), 0, 1), 4, if(ISBLANK('2025'!$R312), 0, 1), 5, if(ISBLANK('2025'!$S312), 0, 1), 6, if(ISBLANK('2025'!$T312), 0, 1), 7, 0))), 1, "")</f>
        <v/>
      </c>
      <c r="J314" s="1" t="str">
        <f>IF(AND(AND(AND(J$4&gt;='2025'!$L312,J$4&lt;='2025'!$M312), J$4&lt;&gt;DATE(2025,7,4)), (SWITCH(weekday(J$4), 1, 0, 2, if(ISBLANK('2025'!$P312), 0, 1), 3, if(ISBLANK('2025'!$Q312), 0, 1), 4, if(ISBLANK('2025'!$R312), 0, 1), 5, if(ISBLANK('2025'!$S312), 0, 1), 6, if(ISBLANK('2025'!$T312), 0, 1), 7, 0))), 1, "")</f>
        <v/>
      </c>
      <c r="K314" s="1" t="str">
        <f>IF(AND(AND(AND(K$4&gt;='2025'!$L312,K$4&lt;='2025'!$M312), K$4&lt;&gt;DATE(2025,7,4)), (SWITCH(weekday(K$4), 1, 0, 2, if(ISBLANK('2025'!$P312), 0, 1), 3, if(ISBLANK('2025'!$Q312), 0, 1), 4, if(ISBLANK('2025'!$R312), 0, 1), 5, if(ISBLANK('2025'!$S312), 0, 1), 6, if(ISBLANK('2025'!$T312), 0, 1), 7, 0))), 1, "")</f>
        <v/>
      </c>
      <c r="L314" s="1" t="str">
        <f>IF(AND(AND(AND(L$4&gt;='2025'!$L312,L$4&lt;='2025'!$M312), L$4&lt;&gt;DATE(2025,7,4)), (SWITCH(weekday(L$4), 1, 0, 2, if(ISBLANK('2025'!$P312), 0, 1), 3, if(ISBLANK('2025'!$Q312), 0, 1), 4, if(ISBLANK('2025'!$R312), 0, 1), 5, if(ISBLANK('2025'!$S312), 0, 1), 6, if(ISBLANK('2025'!$T312), 0, 1), 7, 0))), 1, "")</f>
        <v/>
      </c>
      <c r="M314" s="1" t="str">
        <f>IF(AND(AND(AND(M$4&gt;='2025'!$L312,M$4&lt;='2025'!$M312), M$4&lt;&gt;DATE(2025,7,4)), (SWITCH(weekday(M$4), 1, 0, 2, if(ISBLANK('2025'!$P312), 0, 1), 3, if(ISBLANK('2025'!$Q312), 0, 1), 4, if(ISBLANK('2025'!$R312), 0, 1), 5, if(ISBLANK('2025'!$S312), 0, 1), 6, if(ISBLANK('2025'!$T312), 0, 1), 7, 0))), 1, "")</f>
        <v/>
      </c>
      <c r="N314" s="1" t="str">
        <f>IF(AND(AND(AND(N$4&gt;='2025'!$L312,N$4&lt;='2025'!$M312), N$4&lt;&gt;DATE(2025,7,4)), (SWITCH(weekday(N$4), 1, 0, 2, if(ISBLANK('2025'!$P312), 0, 1), 3, if(ISBLANK('2025'!$Q312), 0, 1), 4, if(ISBLANK('2025'!$R312), 0, 1), 5, if(ISBLANK('2025'!$S312), 0, 1), 6, if(ISBLANK('2025'!$T312), 0, 1), 7, 0))), 1, "")</f>
        <v/>
      </c>
      <c r="O314" s="1" t="str">
        <f>IF(AND(AND(AND(O$4&gt;='2025'!$L312,O$4&lt;='2025'!$M312), O$4&lt;&gt;DATE(2025,7,4)), (SWITCH(weekday(O$4), 1, 0, 2, if(ISBLANK('2025'!$P312), 0, 1), 3, if(ISBLANK('2025'!$Q312), 0, 1), 4, if(ISBLANK('2025'!$R312), 0, 1), 5, if(ISBLANK('2025'!$S312), 0, 1), 6, if(ISBLANK('2025'!$T312), 0, 1), 7, 0))), 1, "")</f>
        <v/>
      </c>
      <c r="P314" s="1" t="str">
        <f>IF(AND(AND(AND(P$4&gt;='2025'!$L312,P$4&lt;='2025'!$M312), P$4&lt;&gt;DATE(2025,7,4)), (SWITCH(weekday(P$4), 1, 0, 2, if(ISBLANK('2025'!$P312), 0, 1), 3, if(ISBLANK('2025'!$Q312), 0, 1), 4, if(ISBLANK('2025'!$R312), 0, 1), 5, if(ISBLANK('2025'!$S312), 0, 1), 6, if(ISBLANK('2025'!$T312), 0, 1), 7, 0))), 1, "")</f>
        <v/>
      </c>
      <c r="Q314" s="1" t="str">
        <f>IF(AND(AND(AND(Q$4&gt;='2025'!$L312,Q$4&lt;='2025'!$M312), Q$4&lt;&gt;DATE(2025,7,4)), (SWITCH(weekday(Q$4), 1, 0, 2, if(ISBLANK('2025'!$P312), 0, 1), 3, if(ISBLANK('2025'!$Q312), 0, 1), 4, if(ISBLANK('2025'!$R312), 0, 1), 5, if(ISBLANK('2025'!$S312), 0, 1), 6, if(ISBLANK('2025'!$T312), 0, 1), 7, 0))), 1, "")</f>
        <v/>
      </c>
      <c r="R314" s="1" t="str">
        <f>IF(AND(AND(AND(R$4&gt;='2025'!$L312,R$4&lt;='2025'!$M312), R$4&lt;&gt;DATE(2025,7,4)), (SWITCH(weekday(R$4), 1, 0, 2, if(ISBLANK('2025'!$P312), 0, 1), 3, if(ISBLANK('2025'!$Q312), 0, 1), 4, if(ISBLANK('2025'!$R312), 0, 1), 5, if(ISBLANK('2025'!$S312), 0, 1), 6, if(ISBLANK('2025'!$T312), 0, 1), 7, 0))), 1, "")</f>
        <v/>
      </c>
      <c r="S314" s="1" t="str">
        <f>IF(AND(AND(AND(S$4&gt;='2025'!$L312,S$4&lt;='2025'!$M312), S$4&lt;&gt;DATE(2025,7,4)), (SWITCH(weekday(S$4), 1, 0, 2, if(ISBLANK('2025'!$P312), 0, 1), 3, if(ISBLANK('2025'!$Q312), 0, 1), 4, if(ISBLANK('2025'!$R312), 0, 1), 5, if(ISBLANK('2025'!$S312), 0, 1), 6, if(ISBLANK('2025'!$T312), 0, 1), 7, 0))), 1, "")</f>
        <v/>
      </c>
      <c r="T314" s="1" t="str">
        <f>IF(AND(AND(AND(T$4&gt;='2025'!$L312,T$4&lt;='2025'!$M312), T$4&lt;&gt;DATE(2025,7,4)), (SWITCH(weekday(T$4), 1, 0, 2, if(ISBLANK('2025'!$P312), 0, 1), 3, if(ISBLANK('2025'!$Q312), 0, 1), 4, if(ISBLANK('2025'!$R312), 0, 1), 5, if(ISBLANK('2025'!$S312), 0, 1), 6, if(ISBLANK('2025'!$T312), 0, 1), 7, 0))), 1, "")</f>
        <v/>
      </c>
      <c r="U314" s="1" t="str">
        <f>IF(AND(AND(AND(U$4&gt;='2025'!$L312,U$4&lt;='2025'!$M312), U$4&lt;&gt;DATE(2025,7,4)), (SWITCH(weekday(U$4), 1, 0, 2, if(ISBLANK('2025'!$P312), 0, 1), 3, if(ISBLANK('2025'!$Q312), 0, 1), 4, if(ISBLANK('2025'!$R312), 0, 1), 5, if(ISBLANK('2025'!$S312), 0, 1), 6, if(ISBLANK('2025'!$T312), 0, 1), 7, 0))), 1, "")</f>
        <v/>
      </c>
      <c r="V314" s="1" t="str">
        <f>IF(AND(AND(AND(V$4&gt;='2025'!$L312,V$4&lt;='2025'!$M312), V$4&lt;&gt;DATE(2025,7,4)), (SWITCH(weekday(V$4), 1, 0, 2, if(ISBLANK('2025'!$P312), 0, 1), 3, if(ISBLANK('2025'!$Q312), 0, 1), 4, if(ISBLANK('2025'!$R312), 0, 1), 5, if(ISBLANK('2025'!$S312), 0, 1), 6, if(ISBLANK('2025'!$T312), 0, 1), 7, 0))), 1, "")</f>
        <v/>
      </c>
      <c r="W314" s="1" t="str">
        <f>IF(AND(AND(AND(W$4&gt;='2025'!$L312,W$4&lt;='2025'!$M312), W$4&lt;&gt;DATE(2025,7,4)), (SWITCH(weekday(W$4), 1, 0, 2, if(ISBLANK('2025'!$P312), 0, 1), 3, if(ISBLANK('2025'!$Q312), 0, 1), 4, if(ISBLANK('2025'!$R312), 0, 1), 5, if(ISBLANK('2025'!$S312), 0, 1), 6, if(ISBLANK('2025'!$T312), 0, 1), 7, 0))), 1, "")</f>
        <v/>
      </c>
      <c r="X314" s="1" t="str">
        <f>IF(AND(AND(AND(X$4&gt;='2025'!$L312,X$4&lt;='2025'!$M312), X$4&lt;&gt;DATE(2025,7,4)), (SWITCH(weekday(X$4), 1, 0, 2, if(ISBLANK('2025'!$P312), 0, 1), 3, if(ISBLANK('2025'!$Q312), 0, 1), 4, if(ISBLANK('2025'!$R312), 0, 1), 5, if(ISBLANK('2025'!$S312), 0, 1), 6, if(ISBLANK('2025'!$T312), 0, 1), 7, 0))), 1, "")</f>
        <v/>
      </c>
      <c r="Y314" s="1" t="str">
        <f>IF(AND(AND(AND(Y$4&gt;='2025'!$L312,Y$4&lt;='2025'!$M312), Y$4&lt;&gt;DATE(2025,7,4)), (SWITCH(weekday(Y$4), 1, 0, 2, if(ISBLANK('2025'!$P312), 0, 1), 3, if(ISBLANK('2025'!$Q312), 0, 1), 4, if(ISBLANK('2025'!$R312), 0, 1), 5, if(ISBLANK('2025'!$S312), 0, 1), 6, if(ISBLANK('2025'!$T312), 0, 1), 7, 0))), 1, "")</f>
        <v/>
      </c>
      <c r="Z314" s="1" t="str">
        <f>IF(AND(AND(AND(Z$4&gt;='2025'!$L312,Z$4&lt;='2025'!$M312), Z$4&lt;&gt;DATE(2025,7,4)), (SWITCH(weekday(Z$4), 1, 0, 2, if(ISBLANK('2025'!$P312), 0, 1), 3, if(ISBLANK('2025'!$Q312), 0, 1), 4, if(ISBLANK('2025'!$R312), 0, 1), 5, if(ISBLANK('2025'!$S312), 0, 1), 6, if(ISBLANK('2025'!$T312), 0, 1), 7, 0))), 1, "")</f>
        <v/>
      </c>
      <c r="AA314" s="1" t="str">
        <f>IF(AND(AND(AND(AA$4&gt;='2025'!$L312,AA$4&lt;='2025'!$M312), AA$4&lt;&gt;DATE(2025,7,4)), (SWITCH(weekday(AA$4), 1, 0, 2, if(ISBLANK('2025'!$P312), 0, 1), 3, if(ISBLANK('2025'!$Q312), 0, 1), 4, if(ISBLANK('2025'!$R312), 0, 1), 5, if(ISBLANK('2025'!$S312), 0, 1), 6, if(ISBLANK('2025'!$T312), 0, 1), 7, 0))), 1, "")</f>
        <v/>
      </c>
      <c r="AB314" s="1" t="str">
        <f>IF(AND(AND(AND(AB$4&gt;='2025'!$L312,AB$4&lt;='2025'!$M312), AB$4&lt;&gt;DATE(2025,7,4)), (SWITCH(weekday(AB$4), 1, 0, 2, if(ISBLANK('2025'!$P312), 0, 1), 3, if(ISBLANK('2025'!$Q312), 0, 1), 4, if(ISBLANK('2025'!$R312), 0, 1), 5, if(ISBLANK('2025'!$S312), 0, 1), 6, if(ISBLANK('2025'!$T312), 0, 1), 7, 0))), 1, "")</f>
        <v/>
      </c>
      <c r="AC314" s="1" t="str">
        <f>IF(AND(AND(AND(AC$4&gt;='2025'!$L312,AC$4&lt;='2025'!$M312), AC$4&lt;&gt;DATE(2025,7,4)), (SWITCH(weekday(AC$4), 1, 0, 2, if(ISBLANK('2025'!$P312), 0, 1), 3, if(ISBLANK('2025'!$Q312), 0, 1), 4, if(ISBLANK('2025'!$R312), 0, 1), 5, if(ISBLANK('2025'!$S312), 0, 1), 6, if(ISBLANK('2025'!$T312), 0, 1), 7, 0))), 1, "")</f>
        <v/>
      </c>
      <c r="AD314" s="1" t="str">
        <f>IF(AND(AND(AND(AD$4&gt;='2025'!$L312,AD$4&lt;='2025'!$M312), AD$4&lt;&gt;DATE(2025,7,4)), (SWITCH(weekday(AD$4), 1, 0, 2, if(ISBLANK('2025'!$P312), 0, 1), 3, if(ISBLANK('2025'!$Q312), 0, 1), 4, if(ISBLANK('2025'!$R312), 0, 1), 5, if(ISBLANK('2025'!$S312), 0, 1), 6, if(ISBLANK('2025'!$T312), 0, 1), 7, 0))), 1, "")</f>
        <v/>
      </c>
      <c r="AE314" s="1" t="str">
        <f>IF(AND(AND(AND(AE$4&gt;='2025'!$L312,AE$4&lt;='2025'!$M312), AE$4&lt;&gt;DATE(2025,7,4)), (SWITCH(weekday(AE$4), 1, 0, 2, if(ISBLANK('2025'!$P312), 0, 1), 3, if(ISBLANK('2025'!$Q312), 0, 1), 4, if(ISBLANK('2025'!$R312), 0, 1), 5, if(ISBLANK('2025'!$S312), 0, 1), 6, if(ISBLANK('2025'!$T312), 0, 1), 7, 0))), 1, "")</f>
        <v/>
      </c>
      <c r="AF314" s="1" t="str">
        <f>IF(AND(AND(AND(AF$4&gt;='2025'!$L312,AF$4&lt;='2025'!$M312), AF$4&lt;&gt;DATE(2025,7,4)), (SWITCH(weekday(AF$4), 1, 0, 2, if(ISBLANK('2025'!$P312), 0, 1), 3, if(ISBLANK('2025'!$Q312), 0, 1), 4, if(ISBLANK('2025'!$R312), 0, 1), 5, if(ISBLANK('2025'!$S312), 0, 1), 6, if(ISBLANK('2025'!$T312), 0, 1), 7, 0))), 1, "")</f>
        <v/>
      </c>
      <c r="AG314" s="1" t="str">
        <f>IF(AND(AND(AND(AG$4&gt;='2025'!$L312,AG$4&lt;='2025'!$M312), AG$4&lt;&gt;DATE(2025,7,4)), (SWITCH(weekday(AG$4), 1, 0, 2, if(ISBLANK('2025'!$P312), 0, 1), 3, if(ISBLANK('2025'!$Q312), 0, 1), 4, if(ISBLANK('2025'!$R312), 0, 1), 5, if(ISBLANK('2025'!$S312), 0, 1), 6, if(ISBLANK('2025'!$T312), 0, 1), 7, 0))), 1, "")</f>
        <v/>
      </c>
      <c r="AH314" s="1" t="str">
        <f>IF(AND(AND(AND(AH$4&gt;='2025'!$L312,AH$4&lt;='2025'!$M312), AH$4&lt;&gt;DATE(2025,7,4)), (SWITCH(weekday(AH$4), 1, 0, 2, if(ISBLANK('2025'!$P312), 0, 1), 3, if(ISBLANK('2025'!$Q312), 0, 1), 4, if(ISBLANK('2025'!$R312), 0, 1), 5, if(ISBLANK('2025'!$S312), 0, 1), 6, if(ISBLANK('2025'!$T312), 0, 1), 7, 0))), 1, "")</f>
        <v/>
      </c>
      <c r="AI314" s="1" t="str">
        <f>IF(AND(AND(AND(AI$4&gt;='2025'!$L312,AI$4&lt;='2025'!$M312), AI$4&lt;&gt;DATE(2025,7,4)), (SWITCH(weekday(AI$4), 1, 0, 2, if(ISBLANK('2025'!$P312), 0, 1), 3, if(ISBLANK('2025'!$Q312), 0, 1), 4, if(ISBLANK('2025'!$R312), 0, 1), 5, if(ISBLANK('2025'!$S312), 0, 1), 6, if(ISBLANK('2025'!$T312), 0, 1), 7, 0))), 1, "")</f>
        <v/>
      </c>
      <c r="AJ314" s="1" t="str">
        <f>IF(AND(AND(AND(AJ$4&gt;='2025'!$L312,AJ$4&lt;='2025'!$M312), AJ$4&lt;&gt;DATE(2025,7,4)), (SWITCH(weekday(AJ$4), 1, 0, 2, if(ISBLANK('2025'!$P312), 0, 1), 3, if(ISBLANK('2025'!$Q312), 0, 1), 4, if(ISBLANK('2025'!$R312), 0, 1), 5, if(ISBLANK('2025'!$S312), 0, 1), 6, if(ISBLANK('2025'!$T312), 0, 1), 7, 0))), 1, "")</f>
        <v/>
      </c>
      <c r="AK314" s="1" t="str">
        <f>IF(AND(AND(AND(AK$4&gt;='2025'!$L312,AK$4&lt;='2025'!$M312), AK$4&lt;&gt;DATE(2025,7,4)), (SWITCH(weekday(AK$4), 1, 0, 2, if(ISBLANK('2025'!$P312), 0, 1), 3, if(ISBLANK('2025'!$Q312), 0, 1), 4, if(ISBLANK('2025'!$R312), 0, 1), 5, if(ISBLANK('2025'!$S312), 0, 1), 6, if(ISBLANK('2025'!$T312), 0, 1), 7, 0))), 1, "")</f>
        <v/>
      </c>
      <c r="AL314" s="1" t="str">
        <f>IF(AND(AND(AND(AL$4&gt;='2025'!$L312,AL$4&lt;='2025'!$M312), AL$4&lt;&gt;DATE(2025,7,4)), (SWITCH(weekday(AL$4), 1, 0, 2, if(ISBLANK('2025'!$P312), 0, 1), 3, if(ISBLANK('2025'!$Q312), 0, 1), 4, if(ISBLANK('2025'!$R312), 0, 1), 5, if(ISBLANK('2025'!$S312), 0, 1), 6, if(ISBLANK('2025'!$T312), 0, 1), 7, 0))), 1, "")</f>
        <v/>
      </c>
      <c r="AM314" s="1" t="str">
        <f>IF(AND(AND(AND(AM$4&gt;='2025'!$L312,AM$4&lt;='2025'!$M312), AM$4&lt;&gt;DATE(2025,7,4)), (SWITCH(weekday(AM$4), 1, 0, 2, if(ISBLANK('2025'!$P312), 0, 1), 3, if(ISBLANK('2025'!$Q312), 0, 1), 4, if(ISBLANK('2025'!$R312), 0, 1), 5, if(ISBLANK('2025'!$S312), 0, 1), 6, if(ISBLANK('2025'!$T312), 0, 1), 7, 0))), 1, "")</f>
        <v/>
      </c>
      <c r="AN314" s="1" t="str">
        <f>IF(AND(AND(AND(AN$4&gt;='2025'!$L312,AN$4&lt;='2025'!$M312), AN$4&lt;&gt;DATE(2025,7,4)), (SWITCH(weekday(AN$4), 1, 0, 2, if(ISBLANK('2025'!$P312), 0, 1), 3, if(ISBLANK('2025'!$Q312), 0, 1), 4, if(ISBLANK('2025'!$R312), 0, 1), 5, if(ISBLANK('2025'!$S312), 0, 1), 6, if(ISBLANK('2025'!$T312), 0, 1), 7, 0))), 1, "")</f>
        <v/>
      </c>
      <c r="AO314" s="1" t="str">
        <f>IF(AND(AND(AND(AO$4&gt;='2025'!$L312,AO$4&lt;='2025'!$M312), AO$4&lt;&gt;DATE(2025,7,4)), (SWITCH(weekday(AO$4), 1, 0, 2, if(ISBLANK('2025'!$P312), 0, 1), 3, if(ISBLANK('2025'!$Q312), 0, 1), 4, if(ISBLANK('2025'!$R312), 0, 1), 5, if(ISBLANK('2025'!$S312), 0, 1), 6, if(ISBLANK('2025'!$T312), 0, 1), 7, 0))), 1, "")</f>
        <v/>
      </c>
      <c r="AP314" s="1" t="str">
        <f>IF(AND(AND(AND(AP$4&gt;='2025'!$L312,AP$4&lt;='2025'!$M312), AP$4&lt;&gt;DATE(2025,7,4)), (SWITCH(weekday(AP$4), 1, 0, 2, if(ISBLANK('2025'!$P312), 0, 1), 3, if(ISBLANK('2025'!$Q312), 0, 1), 4, if(ISBLANK('2025'!$R312), 0, 1), 5, if(ISBLANK('2025'!$S312), 0, 1), 6, if(ISBLANK('2025'!$T312), 0, 1), 7, 0))), 1, "")</f>
        <v/>
      </c>
      <c r="AQ314" s="1" t="str">
        <f>IF(AND(AND(AND(AQ$4&gt;='2025'!$L312,AQ$4&lt;='2025'!$M312), AQ$4&lt;&gt;DATE(2025,7,4)), (SWITCH(weekday(AQ$4), 1, 0, 2, if(ISBLANK('2025'!$P312), 0, 1), 3, if(ISBLANK('2025'!$Q312), 0, 1), 4, if(ISBLANK('2025'!$R312), 0, 1), 5, if(ISBLANK('2025'!$S312), 0, 1), 6, if(ISBLANK('2025'!$T312), 0, 1), 7, 0))), 1, "")</f>
        <v/>
      </c>
      <c r="AR314" s="1" t="str">
        <f>IF(AND(AND(AND(AR$4&gt;='2025'!$L312,AR$4&lt;='2025'!$M312), AR$4&lt;&gt;DATE(2025,7,4)), (SWITCH(weekday(AR$4), 1, 0, 2, if(ISBLANK('2025'!$P312), 0, 1), 3, if(ISBLANK('2025'!$Q312), 0, 1), 4, if(ISBLANK('2025'!$R312), 0, 1), 5, if(ISBLANK('2025'!$S312), 0, 1), 6, if(ISBLANK('2025'!$T312), 0, 1), 7, 0))), 1, "")</f>
        <v/>
      </c>
      <c r="AS314" s="1" t="str">
        <f>IF(AND(AND(AND(AS$4&gt;='2025'!$L312,AS$4&lt;='2025'!$M312), AS$4&lt;&gt;DATE(2025,7,4)), (SWITCH(weekday(AS$4), 1, 0, 2, if(ISBLANK('2025'!$P312), 0, 1), 3, if(ISBLANK('2025'!$Q312), 0, 1), 4, if(ISBLANK('2025'!$R312), 0, 1), 5, if(ISBLANK('2025'!$S312), 0, 1), 6, if(ISBLANK('2025'!$T312), 0, 1), 7, 0))), 1, "")</f>
        <v/>
      </c>
      <c r="AT314" s="1" t="str">
        <f>IF(AND(AND(AND(AT$4&gt;='2025'!$L312,AT$4&lt;='2025'!$M312), AT$4&lt;&gt;DATE(2025,7,4)), (SWITCH(weekday(AT$4), 1, 0, 2, if(ISBLANK('2025'!$P312), 0, 1), 3, if(ISBLANK('2025'!$Q312), 0, 1), 4, if(ISBLANK('2025'!$R312), 0, 1), 5, if(ISBLANK('2025'!$S312), 0, 1), 6, if(ISBLANK('2025'!$T312), 0, 1), 7, 0))), 1, "")</f>
        <v/>
      </c>
      <c r="AU314" s="1" t="str">
        <f>IF(AND(AND(AND(AU$4&gt;='2025'!$L312,AU$4&lt;='2025'!$M312), AU$4&lt;&gt;DATE(2025,7,4)), (SWITCH(weekday(AU$4), 1, 0, 2, if(ISBLANK('2025'!$P312), 0, 1), 3, if(ISBLANK('2025'!$Q312), 0, 1), 4, if(ISBLANK('2025'!$R312), 0, 1), 5, if(ISBLANK('2025'!$S312), 0, 1), 6, if(ISBLANK('2025'!$T312), 0, 1), 7, 0))), 1, "")</f>
        <v/>
      </c>
      <c r="AV314" s="1" t="str">
        <f>IF(AND(AND(AND(AV$4&gt;='2025'!$L312,AV$4&lt;='2025'!$M312), AV$4&lt;&gt;DATE(2025,7,4)), (SWITCH(weekday(AV$4), 1, 0, 2, if(ISBLANK('2025'!$P312), 0, 1), 3, if(ISBLANK('2025'!$Q312), 0, 1), 4, if(ISBLANK('2025'!$R312), 0, 1), 5, if(ISBLANK('2025'!$S312), 0, 1), 6, if(ISBLANK('2025'!$T312), 0, 1), 7, 0))), 1, "")</f>
        <v/>
      </c>
      <c r="AW314" s="1" t="str">
        <f>IF(AND(AND(AND(AW$4&gt;='2025'!$L312,AW$4&lt;='2025'!$M312), AW$4&lt;&gt;DATE(2025,7,4)), (SWITCH(weekday(AW$4), 1, 0, 2, if(ISBLANK('2025'!$P312), 0, 1), 3, if(ISBLANK('2025'!$Q312), 0, 1), 4, if(ISBLANK('2025'!$R312), 0, 1), 5, if(ISBLANK('2025'!$S312), 0, 1), 6, if(ISBLANK('2025'!$T312), 0, 1), 7, 0))), 1, "")</f>
        <v/>
      </c>
      <c r="AX314" s="1" t="str">
        <f>IF(AND(AND(AND(AX$4&gt;='2025'!$L312,AX$4&lt;='2025'!$M312), AX$4&lt;&gt;DATE(2025,7,4)), (SWITCH(weekday(AX$4), 1, 0, 2, if(ISBLANK('2025'!$P312), 0, 1), 3, if(ISBLANK('2025'!$Q312), 0, 1), 4, if(ISBLANK('2025'!$R312), 0, 1), 5, if(ISBLANK('2025'!$S312), 0, 1), 6, if(ISBLANK('2025'!$T312), 0, 1), 7, 0))), 1, "")</f>
        <v/>
      </c>
      <c r="AY314" s="1" t="str">
        <f>IF(AND(AND(AND(AY$4&gt;='2025'!$L312,AY$4&lt;='2025'!$M312), AY$4&lt;&gt;DATE(2025,7,4)), (SWITCH(weekday(AY$4), 1, 0, 2, if(ISBLANK('2025'!$P312), 0, 1), 3, if(ISBLANK('2025'!$Q312), 0, 1), 4, if(ISBLANK('2025'!$R312), 0, 1), 5, if(ISBLANK('2025'!$S312), 0, 1), 6, if(ISBLANK('2025'!$T312), 0, 1), 7, 0))), 1, "")</f>
        <v/>
      </c>
      <c r="AZ314" s="1" t="str">
        <f>IF(AND(AND(AND(AZ$4&gt;='2025'!$L312,AZ$4&lt;='2025'!$M312), AZ$4&lt;&gt;DATE(2025,7,4)), (SWITCH(weekday(AZ$4), 1, 0, 2, if(ISBLANK('2025'!$P312), 0, 1), 3, if(ISBLANK('2025'!$Q312), 0, 1), 4, if(ISBLANK('2025'!$R312), 0, 1), 5, if(ISBLANK('2025'!$S312), 0, 1), 6, if(ISBLANK('2025'!$T312), 0, 1), 7, 0))), 1, "")</f>
        <v/>
      </c>
      <c r="BA314" s="1" t="str">
        <f>IF(AND(AND(AND(BA$4&gt;='2025'!$L312,BA$4&lt;='2025'!$M312), BA$4&lt;&gt;DATE(2025,7,4)), (SWITCH(weekday(BA$4), 1, 0, 2, if(ISBLANK('2025'!$P312), 0, 1), 3, if(ISBLANK('2025'!$Q312), 0, 1), 4, if(ISBLANK('2025'!$R312), 0, 1), 5, if(ISBLANK('2025'!$S312), 0, 1), 6, if(ISBLANK('2025'!$T312), 0, 1), 7, 0))), 1, "")</f>
        <v/>
      </c>
      <c r="BB314" s="1" t="str">
        <f>IF(AND(AND(AND(BB$4&gt;='2025'!$L312,BB$4&lt;='2025'!$M312), BB$4&lt;&gt;DATE(2025,7,4)), (SWITCH(weekday(BB$4), 1, 0, 2, if(ISBLANK('2025'!$P312), 0, 1), 3, if(ISBLANK('2025'!$Q312), 0, 1), 4, if(ISBLANK('2025'!$R312), 0, 1), 5, if(ISBLANK('2025'!$S312), 0, 1), 6, if(ISBLANK('2025'!$T312), 0, 1), 7, 0))), 1, "")</f>
        <v/>
      </c>
      <c r="BC314" s="1" t="str">
        <f>IF(AND(AND(AND(BC$4&gt;='2025'!$L312,BC$4&lt;='2025'!$M312), BC$4&lt;&gt;DATE(2025,7,4)), (SWITCH(weekday(BC$4), 1, 0, 2, if(ISBLANK('2025'!$P312), 0, 1), 3, if(ISBLANK('2025'!$Q312), 0, 1), 4, if(ISBLANK('2025'!$R312), 0, 1), 5, if(ISBLANK('2025'!$S312), 0, 1), 6, if(ISBLANK('2025'!$T312), 0, 1), 7, 0))), 1, "")</f>
        <v/>
      </c>
      <c r="BD314" s="1" t="str">
        <f>IF(AND(AND(AND(BD$4&gt;='2025'!$L312,BD$4&lt;='2025'!$M312), BD$4&lt;&gt;DATE(2025,7,4)), (SWITCH(weekday(BD$4), 1, 0, 2, if(ISBLANK('2025'!$P312), 0, 1), 3, if(ISBLANK('2025'!$Q312), 0, 1), 4, if(ISBLANK('2025'!$R312), 0, 1), 5, if(ISBLANK('2025'!$S312), 0, 1), 6, if(ISBLANK('2025'!$T312), 0, 1), 7, 0))), 1, "")</f>
        <v/>
      </c>
      <c r="BE314" s="1" t="str">
        <f>IF(AND(AND(AND(BE$4&gt;='2025'!$L312,BE$4&lt;='2025'!$M312), BE$4&lt;&gt;DATE(2025,7,4)), (SWITCH(weekday(BE$4), 1, 0, 2, if(ISBLANK('2025'!$P312), 0, 1), 3, if(ISBLANK('2025'!$Q312), 0, 1), 4, if(ISBLANK('2025'!$R312), 0, 1), 5, if(ISBLANK('2025'!$S312), 0, 1), 6, if(ISBLANK('2025'!$T312), 0, 1), 7, 0))), 1, "")</f>
        <v/>
      </c>
      <c r="BF314" s="1" t="str">
        <f>IF(AND(AND(AND(BF$4&gt;='2025'!$L312,BF$4&lt;='2025'!$M312), BF$4&lt;&gt;DATE(2025,7,4)), (SWITCH(weekday(BF$4), 1, 0, 2, if(ISBLANK('2025'!$P312), 0, 1), 3, if(ISBLANK('2025'!$Q312), 0, 1), 4, if(ISBLANK('2025'!$R312), 0, 1), 5, if(ISBLANK('2025'!$S312), 0, 1), 6, if(ISBLANK('2025'!$T312), 0, 1), 7, 0))), 1, "")</f>
        <v/>
      </c>
      <c r="BG314" s="1"/>
      <c r="BH314" s="1"/>
      <c r="BI314" s="1"/>
      <c r="BJ314" s="1"/>
      <c r="BK314" s="1"/>
      <c r="BL314" s="1"/>
    </row>
    <row r="315">
      <c r="A315" s="1">
        <f t="shared" si="3"/>
        <v>315</v>
      </c>
      <c r="B315" s="1" t="str">
        <f>'2025'!D279</f>
        <v>, </v>
      </c>
      <c r="C315" s="1" t="str">
        <f>'2025'!H279</f>
        <v/>
      </c>
      <c r="D315" s="1" t="str">
        <f>IF(AND(AND(AND(D$4&gt;='2025'!$L313,D$4&lt;='2025'!$M313), D$4&lt;&gt;DATE(2025,7,4)), (SWITCH(weekday(D$4), 1, 0, 2, if(ISBLANK('2025'!$P313), 0, 1), 3, if(ISBLANK('2025'!$Q313), 0, 1), 4, if(ISBLANK('2025'!$R313), 0, 1), 5, if(ISBLANK('2025'!$S313), 0, 1), 6, if(ISBLANK('2025'!$T313), 0, 1), 7, 0))), 1, "")</f>
        <v/>
      </c>
      <c r="E315" s="1" t="str">
        <f>IF(AND(AND(AND(E$4&gt;='2025'!$L313,E$4&lt;='2025'!$M313), E$4&lt;&gt;DATE(2025,7,4)), (SWITCH(weekday(E$4), 1, 0, 2, if(ISBLANK('2025'!$P313), 0, 1), 3, if(ISBLANK('2025'!$Q313), 0, 1), 4, if(ISBLANK('2025'!$R313), 0, 1), 5, if(ISBLANK('2025'!$S313), 0, 1), 6, if(ISBLANK('2025'!$T313), 0, 1), 7, 0))), 1, "")</f>
        <v/>
      </c>
      <c r="F315" s="1" t="str">
        <f>IF(AND(AND(AND(F$4&gt;='2025'!$L313,F$4&lt;='2025'!$M313), F$4&lt;&gt;DATE(2025,7,4)), (SWITCH(weekday(F$4), 1, 0, 2, if(ISBLANK('2025'!$P313), 0, 1), 3, if(ISBLANK('2025'!$Q313), 0, 1), 4, if(ISBLANK('2025'!$R313), 0, 1), 5, if(ISBLANK('2025'!$S313), 0, 1), 6, if(ISBLANK('2025'!$T313), 0, 1), 7, 0))), 1, "")</f>
        <v/>
      </c>
      <c r="G315" s="1" t="str">
        <f>IF(AND(AND(AND(G$4&gt;='2025'!$L313,G$4&lt;='2025'!$M313), G$4&lt;&gt;DATE(2025,7,4)), (SWITCH(weekday(G$4), 1, 0, 2, if(ISBLANK('2025'!$P313), 0, 1), 3, if(ISBLANK('2025'!$Q313), 0, 1), 4, if(ISBLANK('2025'!$R313), 0, 1), 5, if(ISBLANK('2025'!$S313), 0, 1), 6, if(ISBLANK('2025'!$T313), 0, 1), 7, 0))), 1, "")</f>
        <v/>
      </c>
      <c r="H315" s="1" t="str">
        <f>IF(AND(AND(AND(H$4&gt;='2025'!$L313,H$4&lt;='2025'!$M313), H$4&lt;&gt;DATE(2025,7,4)), (SWITCH(weekday(H$4), 1, 0, 2, if(ISBLANK('2025'!$P313), 0, 1), 3, if(ISBLANK('2025'!$Q313), 0, 1), 4, if(ISBLANK('2025'!$R313), 0, 1), 5, if(ISBLANK('2025'!$S313), 0, 1), 6, if(ISBLANK('2025'!$T313), 0, 1), 7, 0))), 1, "")</f>
        <v/>
      </c>
      <c r="I315" s="1" t="str">
        <f>IF(AND(AND(AND(I$4&gt;='2025'!$L313,I$4&lt;='2025'!$M313), I$4&lt;&gt;DATE(2025,7,4)), (SWITCH(weekday(I$4), 1, 0, 2, if(ISBLANK('2025'!$P313), 0, 1), 3, if(ISBLANK('2025'!$Q313), 0, 1), 4, if(ISBLANK('2025'!$R313), 0, 1), 5, if(ISBLANK('2025'!$S313), 0, 1), 6, if(ISBLANK('2025'!$T313), 0, 1), 7, 0))), 1, "")</f>
        <v/>
      </c>
      <c r="J315" s="1" t="str">
        <f>IF(AND(AND(AND(J$4&gt;='2025'!$L313,J$4&lt;='2025'!$M313), J$4&lt;&gt;DATE(2025,7,4)), (SWITCH(weekday(J$4), 1, 0, 2, if(ISBLANK('2025'!$P313), 0, 1), 3, if(ISBLANK('2025'!$Q313), 0, 1), 4, if(ISBLANK('2025'!$R313), 0, 1), 5, if(ISBLANK('2025'!$S313), 0, 1), 6, if(ISBLANK('2025'!$T313), 0, 1), 7, 0))), 1, "")</f>
        <v/>
      </c>
      <c r="K315" s="1" t="str">
        <f>IF(AND(AND(AND(K$4&gt;='2025'!$L313,K$4&lt;='2025'!$M313), K$4&lt;&gt;DATE(2025,7,4)), (SWITCH(weekday(K$4), 1, 0, 2, if(ISBLANK('2025'!$P313), 0, 1), 3, if(ISBLANK('2025'!$Q313), 0, 1), 4, if(ISBLANK('2025'!$R313), 0, 1), 5, if(ISBLANK('2025'!$S313), 0, 1), 6, if(ISBLANK('2025'!$T313), 0, 1), 7, 0))), 1, "")</f>
        <v/>
      </c>
      <c r="L315" s="1" t="str">
        <f>IF(AND(AND(AND(L$4&gt;='2025'!$L313,L$4&lt;='2025'!$M313), L$4&lt;&gt;DATE(2025,7,4)), (SWITCH(weekday(L$4), 1, 0, 2, if(ISBLANK('2025'!$P313), 0, 1), 3, if(ISBLANK('2025'!$Q313), 0, 1), 4, if(ISBLANK('2025'!$R313), 0, 1), 5, if(ISBLANK('2025'!$S313), 0, 1), 6, if(ISBLANK('2025'!$T313), 0, 1), 7, 0))), 1, "")</f>
        <v/>
      </c>
      <c r="M315" s="1" t="str">
        <f>IF(AND(AND(AND(M$4&gt;='2025'!$L313,M$4&lt;='2025'!$M313), M$4&lt;&gt;DATE(2025,7,4)), (SWITCH(weekday(M$4), 1, 0, 2, if(ISBLANK('2025'!$P313), 0, 1), 3, if(ISBLANK('2025'!$Q313), 0, 1), 4, if(ISBLANK('2025'!$R313), 0, 1), 5, if(ISBLANK('2025'!$S313), 0, 1), 6, if(ISBLANK('2025'!$T313), 0, 1), 7, 0))), 1, "")</f>
        <v/>
      </c>
      <c r="N315" s="1" t="str">
        <f>IF(AND(AND(AND(N$4&gt;='2025'!$L313,N$4&lt;='2025'!$M313), N$4&lt;&gt;DATE(2025,7,4)), (SWITCH(weekday(N$4), 1, 0, 2, if(ISBLANK('2025'!$P313), 0, 1), 3, if(ISBLANK('2025'!$Q313), 0, 1), 4, if(ISBLANK('2025'!$R313), 0, 1), 5, if(ISBLANK('2025'!$S313), 0, 1), 6, if(ISBLANK('2025'!$T313), 0, 1), 7, 0))), 1, "")</f>
        <v/>
      </c>
      <c r="O315" s="1" t="str">
        <f>IF(AND(AND(AND(O$4&gt;='2025'!$L313,O$4&lt;='2025'!$M313), O$4&lt;&gt;DATE(2025,7,4)), (SWITCH(weekday(O$4), 1, 0, 2, if(ISBLANK('2025'!$P313), 0, 1), 3, if(ISBLANK('2025'!$Q313), 0, 1), 4, if(ISBLANK('2025'!$R313), 0, 1), 5, if(ISBLANK('2025'!$S313), 0, 1), 6, if(ISBLANK('2025'!$T313), 0, 1), 7, 0))), 1, "")</f>
        <v/>
      </c>
      <c r="P315" s="1" t="str">
        <f>IF(AND(AND(AND(P$4&gt;='2025'!$L313,P$4&lt;='2025'!$M313), P$4&lt;&gt;DATE(2025,7,4)), (SWITCH(weekday(P$4), 1, 0, 2, if(ISBLANK('2025'!$P313), 0, 1), 3, if(ISBLANK('2025'!$Q313), 0, 1), 4, if(ISBLANK('2025'!$R313), 0, 1), 5, if(ISBLANK('2025'!$S313), 0, 1), 6, if(ISBLANK('2025'!$T313), 0, 1), 7, 0))), 1, "")</f>
        <v/>
      </c>
      <c r="Q315" s="1" t="str">
        <f>IF(AND(AND(AND(Q$4&gt;='2025'!$L313,Q$4&lt;='2025'!$M313), Q$4&lt;&gt;DATE(2025,7,4)), (SWITCH(weekday(Q$4), 1, 0, 2, if(ISBLANK('2025'!$P313), 0, 1), 3, if(ISBLANK('2025'!$Q313), 0, 1), 4, if(ISBLANK('2025'!$R313), 0, 1), 5, if(ISBLANK('2025'!$S313), 0, 1), 6, if(ISBLANK('2025'!$T313), 0, 1), 7, 0))), 1, "")</f>
        <v/>
      </c>
      <c r="R315" s="1" t="str">
        <f>IF(AND(AND(AND(R$4&gt;='2025'!$L313,R$4&lt;='2025'!$M313), R$4&lt;&gt;DATE(2025,7,4)), (SWITCH(weekday(R$4), 1, 0, 2, if(ISBLANK('2025'!$P313), 0, 1), 3, if(ISBLANK('2025'!$Q313), 0, 1), 4, if(ISBLANK('2025'!$R313), 0, 1), 5, if(ISBLANK('2025'!$S313), 0, 1), 6, if(ISBLANK('2025'!$T313), 0, 1), 7, 0))), 1, "")</f>
        <v/>
      </c>
      <c r="S315" s="1" t="str">
        <f>IF(AND(AND(AND(S$4&gt;='2025'!$L313,S$4&lt;='2025'!$M313), S$4&lt;&gt;DATE(2025,7,4)), (SWITCH(weekday(S$4), 1, 0, 2, if(ISBLANK('2025'!$P313), 0, 1), 3, if(ISBLANK('2025'!$Q313), 0, 1), 4, if(ISBLANK('2025'!$R313), 0, 1), 5, if(ISBLANK('2025'!$S313), 0, 1), 6, if(ISBLANK('2025'!$T313), 0, 1), 7, 0))), 1, "")</f>
        <v/>
      </c>
      <c r="T315" s="1" t="str">
        <f>IF(AND(AND(AND(T$4&gt;='2025'!$L313,T$4&lt;='2025'!$M313), T$4&lt;&gt;DATE(2025,7,4)), (SWITCH(weekday(T$4), 1, 0, 2, if(ISBLANK('2025'!$P313), 0, 1), 3, if(ISBLANK('2025'!$Q313), 0, 1), 4, if(ISBLANK('2025'!$R313), 0, 1), 5, if(ISBLANK('2025'!$S313), 0, 1), 6, if(ISBLANK('2025'!$T313), 0, 1), 7, 0))), 1, "")</f>
        <v/>
      </c>
      <c r="U315" s="1" t="str">
        <f>IF(AND(AND(AND(U$4&gt;='2025'!$L313,U$4&lt;='2025'!$M313), U$4&lt;&gt;DATE(2025,7,4)), (SWITCH(weekday(U$4), 1, 0, 2, if(ISBLANK('2025'!$P313), 0, 1), 3, if(ISBLANK('2025'!$Q313), 0, 1), 4, if(ISBLANK('2025'!$R313), 0, 1), 5, if(ISBLANK('2025'!$S313), 0, 1), 6, if(ISBLANK('2025'!$T313), 0, 1), 7, 0))), 1, "")</f>
        <v/>
      </c>
      <c r="V315" s="1" t="str">
        <f>IF(AND(AND(AND(V$4&gt;='2025'!$L313,V$4&lt;='2025'!$M313), V$4&lt;&gt;DATE(2025,7,4)), (SWITCH(weekday(V$4), 1, 0, 2, if(ISBLANK('2025'!$P313), 0, 1), 3, if(ISBLANK('2025'!$Q313), 0, 1), 4, if(ISBLANK('2025'!$R313), 0, 1), 5, if(ISBLANK('2025'!$S313), 0, 1), 6, if(ISBLANK('2025'!$T313), 0, 1), 7, 0))), 1, "")</f>
        <v/>
      </c>
      <c r="W315" s="1" t="str">
        <f>IF(AND(AND(AND(W$4&gt;='2025'!$L313,W$4&lt;='2025'!$M313), W$4&lt;&gt;DATE(2025,7,4)), (SWITCH(weekday(W$4), 1, 0, 2, if(ISBLANK('2025'!$P313), 0, 1), 3, if(ISBLANK('2025'!$Q313), 0, 1), 4, if(ISBLANK('2025'!$R313), 0, 1), 5, if(ISBLANK('2025'!$S313), 0, 1), 6, if(ISBLANK('2025'!$T313), 0, 1), 7, 0))), 1, "")</f>
        <v/>
      </c>
      <c r="X315" s="1" t="str">
        <f>IF(AND(AND(AND(X$4&gt;='2025'!$L313,X$4&lt;='2025'!$M313), X$4&lt;&gt;DATE(2025,7,4)), (SWITCH(weekday(X$4), 1, 0, 2, if(ISBLANK('2025'!$P313), 0, 1), 3, if(ISBLANK('2025'!$Q313), 0, 1), 4, if(ISBLANK('2025'!$R313), 0, 1), 5, if(ISBLANK('2025'!$S313), 0, 1), 6, if(ISBLANK('2025'!$T313), 0, 1), 7, 0))), 1, "")</f>
        <v/>
      </c>
      <c r="Y315" s="1" t="str">
        <f>IF(AND(AND(AND(Y$4&gt;='2025'!$L313,Y$4&lt;='2025'!$M313), Y$4&lt;&gt;DATE(2025,7,4)), (SWITCH(weekday(Y$4), 1, 0, 2, if(ISBLANK('2025'!$P313), 0, 1), 3, if(ISBLANK('2025'!$Q313), 0, 1), 4, if(ISBLANK('2025'!$R313), 0, 1), 5, if(ISBLANK('2025'!$S313), 0, 1), 6, if(ISBLANK('2025'!$T313), 0, 1), 7, 0))), 1, "")</f>
        <v/>
      </c>
      <c r="Z315" s="1" t="str">
        <f>IF(AND(AND(AND(Z$4&gt;='2025'!$L313,Z$4&lt;='2025'!$M313), Z$4&lt;&gt;DATE(2025,7,4)), (SWITCH(weekday(Z$4), 1, 0, 2, if(ISBLANK('2025'!$P313), 0, 1), 3, if(ISBLANK('2025'!$Q313), 0, 1), 4, if(ISBLANK('2025'!$R313), 0, 1), 5, if(ISBLANK('2025'!$S313), 0, 1), 6, if(ISBLANK('2025'!$T313), 0, 1), 7, 0))), 1, "")</f>
        <v/>
      </c>
      <c r="AA315" s="1" t="str">
        <f>IF(AND(AND(AND(AA$4&gt;='2025'!$L313,AA$4&lt;='2025'!$M313), AA$4&lt;&gt;DATE(2025,7,4)), (SWITCH(weekday(AA$4), 1, 0, 2, if(ISBLANK('2025'!$P313), 0, 1), 3, if(ISBLANK('2025'!$Q313), 0, 1), 4, if(ISBLANK('2025'!$R313), 0, 1), 5, if(ISBLANK('2025'!$S313), 0, 1), 6, if(ISBLANK('2025'!$T313), 0, 1), 7, 0))), 1, "")</f>
        <v/>
      </c>
      <c r="AB315" s="1" t="str">
        <f>IF(AND(AND(AND(AB$4&gt;='2025'!$L313,AB$4&lt;='2025'!$M313), AB$4&lt;&gt;DATE(2025,7,4)), (SWITCH(weekday(AB$4), 1, 0, 2, if(ISBLANK('2025'!$P313), 0, 1), 3, if(ISBLANK('2025'!$Q313), 0, 1), 4, if(ISBLANK('2025'!$R313), 0, 1), 5, if(ISBLANK('2025'!$S313), 0, 1), 6, if(ISBLANK('2025'!$T313), 0, 1), 7, 0))), 1, "")</f>
        <v/>
      </c>
      <c r="AC315" s="1" t="str">
        <f>IF(AND(AND(AND(AC$4&gt;='2025'!$L313,AC$4&lt;='2025'!$M313), AC$4&lt;&gt;DATE(2025,7,4)), (SWITCH(weekday(AC$4), 1, 0, 2, if(ISBLANK('2025'!$P313), 0, 1), 3, if(ISBLANK('2025'!$Q313), 0, 1), 4, if(ISBLANK('2025'!$R313), 0, 1), 5, if(ISBLANK('2025'!$S313), 0, 1), 6, if(ISBLANK('2025'!$T313), 0, 1), 7, 0))), 1, "")</f>
        <v/>
      </c>
      <c r="AD315" s="1" t="str">
        <f>IF(AND(AND(AND(AD$4&gt;='2025'!$L313,AD$4&lt;='2025'!$M313), AD$4&lt;&gt;DATE(2025,7,4)), (SWITCH(weekday(AD$4), 1, 0, 2, if(ISBLANK('2025'!$P313), 0, 1), 3, if(ISBLANK('2025'!$Q313), 0, 1), 4, if(ISBLANK('2025'!$R313), 0, 1), 5, if(ISBLANK('2025'!$S313), 0, 1), 6, if(ISBLANK('2025'!$T313), 0, 1), 7, 0))), 1, "")</f>
        <v/>
      </c>
      <c r="AE315" s="1" t="str">
        <f>IF(AND(AND(AND(AE$4&gt;='2025'!$L313,AE$4&lt;='2025'!$M313), AE$4&lt;&gt;DATE(2025,7,4)), (SWITCH(weekday(AE$4), 1, 0, 2, if(ISBLANK('2025'!$P313), 0, 1), 3, if(ISBLANK('2025'!$Q313), 0, 1), 4, if(ISBLANK('2025'!$R313), 0, 1), 5, if(ISBLANK('2025'!$S313), 0, 1), 6, if(ISBLANK('2025'!$T313), 0, 1), 7, 0))), 1, "")</f>
        <v/>
      </c>
      <c r="AF315" s="1" t="str">
        <f>IF(AND(AND(AND(AF$4&gt;='2025'!$L313,AF$4&lt;='2025'!$M313), AF$4&lt;&gt;DATE(2025,7,4)), (SWITCH(weekday(AF$4), 1, 0, 2, if(ISBLANK('2025'!$P313), 0, 1), 3, if(ISBLANK('2025'!$Q313), 0, 1), 4, if(ISBLANK('2025'!$R313), 0, 1), 5, if(ISBLANK('2025'!$S313), 0, 1), 6, if(ISBLANK('2025'!$T313), 0, 1), 7, 0))), 1, "")</f>
        <v/>
      </c>
      <c r="AG315" s="1" t="str">
        <f>IF(AND(AND(AND(AG$4&gt;='2025'!$L313,AG$4&lt;='2025'!$M313), AG$4&lt;&gt;DATE(2025,7,4)), (SWITCH(weekday(AG$4), 1, 0, 2, if(ISBLANK('2025'!$P313), 0, 1), 3, if(ISBLANK('2025'!$Q313), 0, 1), 4, if(ISBLANK('2025'!$R313), 0, 1), 5, if(ISBLANK('2025'!$S313), 0, 1), 6, if(ISBLANK('2025'!$T313), 0, 1), 7, 0))), 1, "")</f>
        <v/>
      </c>
      <c r="AH315" s="1" t="str">
        <f>IF(AND(AND(AND(AH$4&gt;='2025'!$L313,AH$4&lt;='2025'!$M313), AH$4&lt;&gt;DATE(2025,7,4)), (SWITCH(weekday(AH$4), 1, 0, 2, if(ISBLANK('2025'!$P313), 0, 1), 3, if(ISBLANK('2025'!$Q313), 0, 1), 4, if(ISBLANK('2025'!$R313), 0, 1), 5, if(ISBLANK('2025'!$S313), 0, 1), 6, if(ISBLANK('2025'!$T313), 0, 1), 7, 0))), 1, "")</f>
        <v/>
      </c>
      <c r="AI315" s="1" t="str">
        <f>IF(AND(AND(AND(AI$4&gt;='2025'!$L313,AI$4&lt;='2025'!$M313), AI$4&lt;&gt;DATE(2025,7,4)), (SWITCH(weekday(AI$4), 1, 0, 2, if(ISBLANK('2025'!$P313), 0, 1), 3, if(ISBLANK('2025'!$Q313), 0, 1), 4, if(ISBLANK('2025'!$R313), 0, 1), 5, if(ISBLANK('2025'!$S313), 0, 1), 6, if(ISBLANK('2025'!$T313), 0, 1), 7, 0))), 1, "")</f>
        <v/>
      </c>
      <c r="AJ315" s="1" t="str">
        <f>IF(AND(AND(AND(AJ$4&gt;='2025'!$L313,AJ$4&lt;='2025'!$M313), AJ$4&lt;&gt;DATE(2025,7,4)), (SWITCH(weekday(AJ$4), 1, 0, 2, if(ISBLANK('2025'!$P313), 0, 1), 3, if(ISBLANK('2025'!$Q313), 0, 1), 4, if(ISBLANK('2025'!$R313), 0, 1), 5, if(ISBLANK('2025'!$S313), 0, 1), 6, if(ISBLANK('2025'!$T313), 0, 1), 7, 0))), 1, "")</f>
        <v/>
      </c>
      <c r="AK315" s="1" t="str">
        <f>IF(AND(AND(AND(AK$4&gt;='2025'!$L313,AK$4&lt;='2025'!$M313), AK$4&lt;&gt;DATE(2025,7,4)), (SWITCH(weekday(AK$4), 1, 0, 2, if(ISBLANK('2025'!$P313), 0, 1), 3, if(ISBLANK('2025'!$Q313), 0, 1), 4, if(ISBLANK('2025'!$R313), 0, 1), 5, if(ISBLANK('2025'!$S313), 0, 1), 6, if(ISBLANK('2025'!$T313), 0, 1), 7, 0))), 1, "")</f>
        <v/>
      </c>
      <c r="AL315" s="1" t="str">
        <f>IF(AND(AND(AND(AL$4&gt;='2025'!$L313,AL$4&lt;='2025'!$M313), AL$4&lt;&gt;DATE(2025,7,4)), (SWITCH(weekday(AL$4), 1, 0, 2, if(ISBLANK('2025'!$P313), 0, 1), 3, if(ISBLANK('2025'!$Q313), 0, 1), 4, if(ISBLANK('2025'!$R313), 0, 1), 5, if(ISBLANK('2025'!$S313), 0, 1), 6, if(ISBLANK('2025'!$T313), 0, 1), 7, 0))), 1, "")</f>
        <v/>
      </c>
      <c r="AM315" s="1" t="str">
        <f>IF(AND(AND(AND(AM$4&gt;='2025'!$L313,AM$4&lt;='2025'!$M313), AM$4&lt;&gt;DATE(2025,7,4)), (SWITCH(weekday(AM$4), 1, 0, 2, if(ISBLANK('2025'!$P313), 0, 1), 3, if(ISBLANK('2025'!$Q313), 0, 1), 4, if(ISBLANK('2025'!$R313), 0, 1), 5, if(ISBLANK('2025'!$S313), 0, 1), 6, if(ISBLANK('2025'!$T313), 0, 1), 7, 0))), 1, "")</f>
        <v/>
      </c>
      <c r="AN315" s="1" t="str">
        <f>IF(AND(AND(AND(AN$4&gt;='2025'!$L313,AN$4&lt;='2025'!$M313), AN$4&lt;&gt;DATE(2025,7,4)), (SWITCH(weekday(AN$4), 1, 0, 2, if(ISBLANK('2025'!$P313), 0, 1), 3, if(ISBLANK('2025'!$Q313), 0, 1), 4, if(ISBLANK('2025'!$R313), 0, 1), 5, if(ISBLANK('2025'!$S313), 0, 1), 6, if(ISBLANK('2025'!$T313), 0, 1), 7, 0))), 1, "")</f>
        <v/>
      </c>
      <c r="AO315" s="1" t="str">
        <f>IF(AND(AND(AND(AO$4&gt;='2025'!$L313,AO$4&lt;='2025'!$M313), AO$4&lt;&gt;DATE(2025,7,4)), (SWITCH(weekday(AO$4), 1, 0, 2, if(ISBLANK('2025'!$P313), 0, 1), 3, if(ISBLANK('2025'!$Q313), 0, 1), 4, if(ISBLANK('2025'!$R313), 0, 1), 5, if(ISBLANK('2025'!$S313), 0, 1), 6, if(ISBLANK('2025'!$T313), 0, 1), 7, 0))), 1, "")</f>
        <v/>
      </c>
      <c r="AP315" s="1" t="str">
        <f>IF(AND(AND(AND(AP$4&gt;='2025'!$L313,AP$4&lt;='2025'!$M313), AP$4&lt;&gt;DATE(2025,7,4)), (SWITCH(weekday(AP$4), 1, 0, 2, if(ISBLANK('2025'!$P313), 0, 1), 3, if(ISBLANK('2025'!$Q313), 0, 1), 4, if(ISBLANK('2025'!$R313), 0, 1), 5, if(ISBLANK('2025'!$S313), 0, 1), 6, if(ISBLANK('2025'!$T313), 0, 1), 7, 0))), 1, "")</f>
        <v/>
      </c>
      <c r="AQ315" s="1" t="str">
        <f>IF(AND(AND(AND(AQ$4&gt;='2025'!$L313,AQ$4&lt;='2025'!$M313), AQ$4&lt;&gt;DATE(2025,7,4)), (SWITCH(weekday(AQ$4), 1, 0, 2, if(ISBLANK('2025'!$P313), 0, 1), 3, if(ISBLANK('2025'!$Q313), 0, 1), 4, if(ISBLANK('2025'!$R313), 0, 1), 5, if(ISBLANK('2025'!$S313), 0, 1), 6, if(ISBLANK('2025'!$T313), 0, 1), 7, 0))), 1, "")</f>
        <v/>
      </c>
      <c r="AR315" s="1" t="str">
        <f>IF(AND(AND(AND(AR$4&gt;='2025'!$L313,AR$4&lt;='2025'!$M313), AR$4&lt;&gt;DATE(2025,7,4)), (SWITCH(weekday(AR$4), 1, 0, 2, if(ISBLANK('2025'!$P313), 0, 1), 3, if(ISBLANK('2025'!$Q313), 0, 1), 4, if(ISBLANK('2025'!$R313), 0, 1), 5, if(ISBLANK('2025'!$S313), 0, 1), 6, if(ISBLANK('2025'!$T313), 0, 1), 7, 0))), 1, "")</f>
        <v/>
      </c>
      <c r="AS315" s="1" t="str">
        <f>IF(AND(AND(AND(AS$4&gt;='2025'!$L313,AS$4&lt;='2025'!$M313), AS$4&lt;&gt;DATE(2025,7,4)), (SWITCH(weekday(AS$4), 1, 0, 2, if(ISBLANK('2025'!$P313), 0, 1), 3, if(ISBLANK('2025'!$Q313), 0, 1), 4, if(ISBLANK('2025'!$R313), 0, 1), 5, if(ISBLANK('2025'!$S313), 0, 1), 6, if(ISBLANK('2025'!$T313), 0, 1), 7, 0))), 1, "")</f>
        <v/>
      </c>
      <c r="AT315" s="1" t="str">
        <f>IF(AND(AND(AND(AT$4&gt;='2025'!$L313,AT$4&lt;='2025'!$M313), AT$4&lt;&gt;DATE(2025,7,4)), (SWITCH(weekday(AT$4), 1, 0, 2, if(ISBLANK('2025'!$P313), 0, 1), 3, if(ISBLANK('2025'!$Q313), 0, 1), 4, if(ISBLANK('2025'!$R313), 0, 1), 5, if(ISBLANK('2025'!$S313), 0, 1), 6, if(ISBLANK('2025'!$T313), 0, 1), 7, 0))), 1, "")</f>
        <v/>
      </c>
      <c r="AU315" s="1" t="str">
        <f>IF(AND(AND(AND(AU$4&gt;='2025'!$L313,AU$4&lt;='2025'!$M313), AU$4&lt;&gt;DATE(2025,7,4)), (SWITCH(weekday(AU$4), 1, 0, 2, if(ISBLANK('2025'!$P313), 0, 1), 3, if(ISBLANK('2025'!$Q313), 0, 1), 4, if(ISBLANK('2025'!$R313), 0, 1), 5, if(ISBLANK('2025'!$S313), 0, 1), 6, if(ISBLANK('2025'!$T313), 0, 1), 7, 0))), 1, "")</f>
        <v/>
      </c>
      <c r="AV315" s="1" t="str">
        <f>IF(AND(AND(AND(AV$4&gt;='2025'!$L313,AV$4&lt;='2025'!$M313), AV$4&lt;&gt;DATE(2025,7,4)), (SWITCH(weekday(AV$4), 1, 0, 2, if(ISBLANK('2025'!$P313), 0, 1), 3, if(ISBLANK('2025'!$Q313), 0, 1), 4, if(ISBLANK('2025'!$R313), 0, 1), 5, if(ISBLANK('2025'!$S313), 0, 1), 6, if(ISBLANK('2025'!$T313), 0, 1), 7, 0))), 1, "")</f>
        <v/>
      </c>
      <c r="AW315" s="1" t="str">
        <f>IF(AND(AND(AND(AW$4&gt;='2025'!$L313,AW$4&lt;='2025'!$M313), AW$4&lt;&gt;DATE(2025,7,4)), (SWITCH(weekday(AW$4), 1, 0, 2, if(ISBLANK('2025'!$P313), 0, 1), 3, if(ISBLANK('2025'!$Q313), 0, 1), 4, if(ISBLANK('2025'!$R313), 0, 1), 5, if(ISBLANK('2025'!$S313), 0, 1), 6, if(ISBLANK('2025'!$T313), 0, 1), 7, 0))), 1, "")</f>
        <v/>
      </c>
      <c r="AX315" s="1" t="str">
        <f>IF(AND(AND(AND(AX$4&gt;='2025'!$L313,AX$4&lt;='2025'!$M313), AX$4&lt;&gt;DATE(2025,7,4)), (SWITCH(weekday(AX$4), 1, 0, 2, if(ISBLANK('2025'!$P313), 0, 1), 3, if(ISBLANK('2025'!$Q313), 0, 1), 4, if(ISBLANK('2025'!$R313), 0, 1), 5, if(ISBLANK('2025'!$S313), 0, 1), 6, if(ISBLANK('2025'!$T313), 0, 1), 7, 0))), 1, "")</f>
        <v/>
      </c>
      <c r="AY315" s="1" t="str">
        <f>IF(AND(AND(AND(AY$4&gt;='2025'!$L313,AY$4&lt;='2025'!$M313), AY$4&lt;&gt;DATE(2025,7,4)), (SWITCH(weekday(AY$4), 1, 0, 2, if(ISBLANK('2025'!$P313), 0, 1), 3, if(ISBLANK('2025'!$Q313), 0, 1), 4, if(ISBLANK('2025'!$R313), 0, 1), 5, if(ISBLANK('2025'!$S313), 0, 1), 6, if(ISBLANK('2025'!$T313), 0, 1), 7, 0))), 1, "")</f>
        <v/>
      </c>
      <c r="AZ315" s="1" t="str">
        <f>IF(AND(AND(AND(AZ$4&gt;='2025'!$L313,AZ$4&lt;='2025'!$M313), AZ$4&lt;&gt;DATE(2025,7,4)), (SWITCH(weekday(AZ$4), 1, 0, 2, if(ISBLANK('2025'!$P313), 0, 1), 3, if(ISBLANK('2025'!$Q313), 0, 1), 4, if(ISBLANK('2025'!$R313), 0, 1), 5, if(ISBLANK('2025'!$S313), 0, 1), 6, if(ISBLANK('2025'!$T313), 0, 1), 7, 0))), 1, "")</f>
        <v/>
      </c>
      <c r="BA315" s="1" t="str">
        <f>IF(AND(AND(AND(BA$4&gt;='2025'!$L313,BA$4&lt;='2025'!$M313), BA$4&lt;&gt;DATE(2025,7,4)), (SWITCH(weekday(BA$4), 1, 0, 2, if(ISBLANK('2025'!$P313), 0, 1), 3, if(ISBLANK('2025'!$Q313), 0, 1), 4, if(ISBLANK('2025'!$R313), 0, 1), 5, if(ISBLANK('2025'!$S313), 0, 1), 6, if(ISBLANK('2025'!$T313), 0, 1), 7, 0))), 1, "")</f>
        <v/>
      </c>
      <c r="BB315" s="1" t="str">
        <f>IF(AND(AND(AND(BB$4&gt;='2025'!$L313,BB$4&lt;='2025'!$M313), BB$4&lt;&gt;DATE(2025,7,4)), (SWITCH(weekday(BB$4), 1, 0, 2, if(ISBLANK('2025'!$P313), 0, 1), 3, if(ISBLANK('2025'!$Q313), 0, 1), 4, if(ISBLANK('2025'!$R313), 0, 1), 5, if(ISBLANK('2025'!$S313), 0, 1), 6, if(ISBLANK('2025'!$T313), 0, 1), 7, 0))), 1, "")</f>
        <v/>
      </c>
      <c r="BC315" s="1" t="str">
        <f>IF(AND(AND(AND(BC$4&gt;='2025'!$L313,BC$4&lt;='2025'!$M313), BC$4&lt;&gt;DATE(2025,7,4)), (SWITCH(weekday(BC$4), 1, 0, 2, if(ISBLANK('2025'!$P313), 0, 1), 3, if(ISBLANK('2025'!$Q313), 0, 1), 4, if(ISBLANK('2025'!$R313), 0, 1), 5, if(ISBLANK('2025'!$S313), 0, 1), 6, if(ISBLANK('2025'!$T313), 0, 1), 7, 0))), 1, "")</f>
        <v/>
      </c>
      <c r="BD315" s="1" t="str">
        <f>IF(AND(AND(AND(BD$4&gt;='2025'!$L313,BD$4&lt;='2025'!$M313), BD$4&lt;&gt;DATE(2025,7,4)), (SWITCH(weekday(BD$4), 1, 0, 2, if(ISBLANK('2025'!$P313), 0, 1), 3, if(ISBLANK('2025'!$Q313), 0, 1), 4, if(ISBLANK('2025'!$R313), 0, 1), 5, if(ISBLANK('2025'!$S313), 0, 1), 6, if(ISBLANK('2025'!$T313), 0, 1), 7, 0))), 1, "")</f>
        <v/>
      </c>
      <c r="BE315" s="1" t="str">
        <f>IF(AND(AND(AND(BE$4&gt;='2025'!$L313,BE$4&lt;='2025'!$M313), BE$4&lt;&gt;DATE(2025,7,4)), (SWITCH(weekday(BE$4), 1, 0, 2, if(ISBLANK('2025'!$P313), 0, 1), 3, if(ISBLANK('2025'!$Q313), 0, 1), 4, if(ISBLANK('2025'!$R313), 0, 1), 5, if(ISBLANK('2025'!$S313), 0, 1), 6, if(ISBLANK('2025'!$T313), 0, 1), 7, 0))), 1, "")</f>
        <v/>
      </c>
      <c r="BF315" s="1" t="str">
        <f>IF(AND(AND(AND(BF$4&gt;='2025'!$L313,BF$4&lt;='2025'!$M313), BF$4&lt;&gt;DATE(2025,7,4)), (SWITCH(weekday(BF$4), 1, 0, 2, if(ISBLANK('2025'!$P313), 0, 1), 3, if(ISBLANK('2025'!$Q313), 0, 1), 4, if(ISBLANK('2025'!$R313), 0, 1), 5, if(ISBLANK('2025'!$S313), 0, 1), 6, if(ISBLANK('2025'!$T313), 0, 1), 7, 0))), 1, "")</f>
        <v/>
      </c>
      <c r="BG315" s="1"/>
      <c r="BH315" s="1"/>
      <c r="BI315" s="1"/>
      <c r="BJ315" s="1"/>
      <c r="BK315" s="1"/>
      <c r="BL315" s="1"/>
    </row>
    <row r="316">
      <c r="A316" s="1">
        <f t="shared" si="3"/>
        <v>316</v>
      </c>
      <c r="B316" s="1" t="str">
        <f>'2025'!D280</f>
        <v>, </v>
      </c>
      <c r="C316" s="1" t="str">
        <f>'2025'!H280</f>
        <v/>
      </c>
      <c r="D316" s="1" t="str">
        <f>IF(AND(AND(AND(D$4&gt;='2025'!$L314,D$4&lt;='2025'!$M314), D$4&lt;&gt;DATE(2025,7,4)), (SWITCH(weekday(D$4), 1, 0, 2, if(ISBLANK('2025'!$P314), 0, 1), 3, if(ISBLANK('2025'!$Q314), 0, 1), 4, if(ISBLANK('2025'!$R314), 0, 1), 5, if(ISBLANK('2025'!$S314), 0, 1), 6, if(ISBLANK('2025'!$T314), 0, 1), 7, 0))), 1, "")</f>
        <v/>
      </c>
      <c r="E316" s="1" t="str">
        <f>IF(AND(AND(AND(E$4&gt;='2025'!$L314,E$4&lt;='2025'!$M314), E$4&lt;&gt;DATE(2025,7,4)), (SWITCH(weekday(E$4), 1, 0, 2, if(ISBLANK('2025'!$P314), 0, 1), 3, if(ISBLANK('2025'!$Q314), 0, 1), 4, if(ISBLANK('2025'!$R314), 0, 1), 5, if(ISBLANK('2025'!$S314), 0, 1), 6, if(ISBLANK('2025'!$T314), 0, 1), 7, 0))), 1, "")</f>
        <v/>
      </c>
      <c r="F316" s="1" t="str">
        <f>IF(AND(AND(AND(F$4&gt;='2025'!$L314,F$4&lt;='2025'!$M314), F$4&lt;&gt;DATE(2025,7,4)), (SWITCH(weekday(F$4), 1, 0, 2, if(ISBLANK('2025'!$P314), 0, 1), 3, if(ISBLANK('2025'!$Q314), 0, 1), 4, if(ISBLANK('2025'!$R314), 0, 1), 5, if(ISBLANK('2025'!$S314), 0, 1), 6, if(ISBLANK('2025'!$T314), 0, 1), 7, 0))), 1, "")</f>
        <v/>
      </c>
      <c r="G316" s="1" t="str">
        <f>IF(AND(AND(AND(G$4&gt;='2025'!$L314,G$4&lt;='2025'!$M314), G$4&lt;&gt;DATE(2025,7,4)), (SWITCH(weekday(G$4), 1, 0, 2, if(ISBLANK('2025'!$P314), 0, 1), 3, if(ISBLANK('2025'!$Q314), 0, 1), 4, if(ISBLANK('2025'!$R314), 0, 1), 5, if(ISBLANK('2025'!$S314), 0, 1), 6, if(ISBLANK('2025'!$T314), 0, 1), 7, 0))), 1, "")</f>
        <v/>
      </c>
      <c r="H316" s="1" t="str">
        <f>IF(AND(AND(AND(H$4&gt;='2025'!$L314,H$4&lt;='2025'!$M314), H$4&lt;&gt;DATE(2025,7,4)), (SWITCH(weekday(H$4), 1, 0, 2, if(ISBLANK('2025'!$P314), 0, 1), 3, if(ISBLANK('2025'!$Q314), 0, 1), 4, if(ISBLANK('2025'!$R314), 0, 1), 5, if(ISBLANK('2025'!$S314), 0, 1), 6, if(ISBLANK('2025'!$T314), 0, 1), 7, 0))), 1, "")</f>
        <v/>
      </c>
      <c r="I316" s="1" t="str">
        <f>IF(AND(AND(AND(I$4&gt;='2025'!$L314,I$4&lt;='2025'!$M314), I$4&lt;&gt;DATE(2025,7,4)), (SWITCH(weekday(I$4), 1, 0, 2, if(ISBLANK('2025'!$P314), 0, 1), 3, if(ISBLANK('2025'!$Q314), 0, 1), 4, if(ISBLANK('2025'!$R314), 0, 1), 5, if(ISBLANK('2025'!$S314), 0, 1), 6, if(ISBLANK('2025'!$T314), 0, 1), 7, 0))), 1, "")</f>
        <v/>
      </c>
      <c r="J316" s="1" t="str">
        <f>IF(AND(AND(AND(J$4&gt;='2025'!$L314,J$4&lt;='2025'!$M314), J$4&lt;&gt;DATE(2025,7,4)), (SWITCH(weekday(J$4), 1, 0, 2, if(ISBLANK('2025'!$P314), 0, 1), 3, if(ISBLANK('2025'!$Q314), 0, 1), 4, if(ISBLANK('2025'!$R314), 0, 1), 5, if(ISBLANK('2025'!$S314), 0, 1), 6, if(ISBLANK('2025'!$T314), 0, 1), 7, 0))), 1, "")</f>
        <v/>
      </c>
      <c r="K316" s="1" t="str">
        <f>IF(AND(AND(AND(K$4&gt;='2025'!$L314,K$4&lt;='2025'!$M314), K$4&lt;&gt;DATE(2025,7,4)), (SWITCH(weekday(K$4), 1, 0, 2, if(ISBLANK('2025'!$P314), 0, 1), 3, if(ISBLANK('2025'!$Q314), 0, 1), 4, if(ISBLANK('2025'!$R314), 0, 1), 5, if(ISBLANK('2025'!$S314), 0, 1), 6, if(ISBLANK('2025'!$T314), 0, 1), 7, 0))), 1, "")</f>
        <v/>
      </c>
      <c r="L316" s="1" t="str">
        <f>IF(AND(AND(AND(L$4&gt;='2025'!$L314,L$4&lt;='2025'!$M314), L$4&lt;&gt;DATE(2025,7,4)), (SWITCH(weekday(L$4), 1, 0, 2, if(ISBLANK('2025'!$P314), 0, 1), 3, if(ISBLANK('2025'!$Q314), 0, 1), 4, if(ISBLANK('2025'!$R314), 0, 1), 5, if(ISBLANK('2025'!$S314), 0, 1), 6, if(ISBLANK('2025'!$T314), 0, 1), 7, 0))), 1, "")</f>
        <v/>
      </c>
      <c r="M316" s="1" t="str">
        <f>IF(AND(AND(AND(M$4&gt;='2025'!$L314,M$4&lt;='2025'!$M314), M$4&lt;&gt;DATE(2025,7,4)), (SWITCH(weekday(M$4), 1, 0, 2, if(ISBLANK('2025'!$P314), 0, 1), 3, if(ISBLANK('2025'!$Q314), 0, 1), 4, if(ISBLANK('2025'!$R314), 0, 1), 5, if(ISBLANK('2025'!$S314), 0, 1), 6, if(ISBLANK('2025'!$T314), 0, 1), 7, 0))), 1, "")</f>
        <v/>
      </c>
      <c r="N316" s="1" t="str">
        <f>IF(AND(AND(AND(N$4&gt;='2025'!$L314,N$4&lt;='2025'!$M314), N$4&lt;&gt;DATE(2025,7,4)), (SWITCH(weekday(N$4), 1, 0, 2, if(ISBLANK('2025'!$P314), 0, 1), 3, if(ISBLANK('2025'!$Q314), 0, 1), 4, if(ISBLANK('2025'!$R314), 0, 1), 5, if(ISBLANK('2025'!$S314), 0, 1), 6, if(ISBLANK('2025'!$T314), 0, 1), 7, 0))), 1, "")</f>
        <v/>
      </c>
      <c r="O316" s="1" t="str">
        <f>IF(AND(AND(AND(O$4&gt;='2025'!$L314,O$4&lt;='2025'!$M314), O$4&lt;&gt;DATE(2025,7,4)), (SWITCH(weekday(O$4), 1, 0, 2, if(ISBLANK('2025'!$P314), 0, 1), 3, if(ISBLANK('2025'!$Q314), 0, 1), 4, if(ISBLANK('2025'!$R314), 0, 1), 5, if(ISBLANK('2025'!$S314), 0, 1), 6, if(ISBLANK('2025'!$T314), 0, 1), 7, 0))), 1, "")</f>
        <v/>
      </c>
      <c r="P316" s="1" t="str">
        <f>IF(AND(AND(AND(P$4&gt;='2025'!$L314,P$4&lt;='2025'!$M314), P$4&lt;&gt;DATE(2025,7,4)), (SWITCH(weekday(P$4), 1, 0, 2, if(ISBLANK('2025'!$P314), 0, 1), 3, if(ISBLANK('2025'!$Q314), 0, 1), 4, if(ISBLANK('2025'!$R314), 0, 1), 5, if(ISBLANK('2025'!$S314), 0, 1), 6, if(ISBLANK('2025'!$T314), 0, 1), 7, 0))), 1, "")</f>
        <v/>
      </c>
      <c r="Q316" s="1" t="str">
        <f>IF(AND(AND(AND(Q$4&gt;='2025'!$L314,Q$4&lt;='2025'!$M314), Q$4&lt;&gt;DATE(2025,7,4)), (SWITCH(weekday(Q$4), 1, 0, 2, if(ISBLANK('2025'!$P314), 0, 1), 3, if(ISBLANK('2025'!$Q314), 0, 1), 4, if(ISBLANK('2025'!$R314), 0, 1), 5, if(ISBLANK('2025'!$S314), 0, 1), 6, if(ISBLANK('2025'!$T314), 0, 1), 7, 0))), 1, "")</f>
        <v/>
      </c>
      <c r="R316" s="1" t="str">
        <f>IF(AND(AND(AND(R$4&gt;='2025'!$L314,R$4&lt;='2025'!$M314), R$4&lt;&gt;DATE(2025,7,4)), (SWITCH(weekday(R$4), 1, 0, 2, if(ISBLANK('2025'!$P314), 0, 1), 3, if(ISBLANK('2025'!$Q314), 0, 1), 4, if(ISBLANK('2025'!$R314), 0, 1), 5, if(ISBLANK('2025'!$S314), 0, 1), 6, if(ISBLANK('2025'!$T314), 0, 1), 7, 0))), 1, "")</f>
        <v/>
      </c>
      <c r="S316" s="1" t="str">
        <f>IF(AND(AND(AND(S$4&gt;='2025'!$L314,S$4&lt;='2025'!$M314), S$4&lt;&gt;DATE(2025,7,4)), (SWITCH(weekday(S$4), 1, 0, 2, if(ISBLANK('2025'!$P314), 0, 1), 3, if(ISBLANK('2025'!$Q314), 0, 1), 4, if(ISBLANK('2025'!$R314), 0, 1), 5, if(ISBLANK('2025'!$S314), 0, 1), 6, if(ISBLANK('2025'!$T314), 0, 1), 7, 0))), 1, "")</f>
        <v/>
      </c>
      <c r="T316" s="1" t="str">
        <f>IF(AND(AND(AND(T$4&gt;='2025'!$L314,T$4&lt;='2025'!$M314), T$4&lt;&gt;DATE(2025,7,4)), (SWITCH(weekday(T$4), 1, 0, 2, if(ISBLANK('2025'!$P314), 0, 1), 3, if(ISBLANK('2025'!$Q314), 0, 1), 4, if(ISBLANK('2025'!$R314), 0, 1), 5, if(ISBLANK('2025'!$S314), 0, 1), 6, if(ISBLANK('2025'!$T314), 0, 1), 7, 0))), 1, "")</f>
        <v/>
      </c>
      <c r="U316" s="1" t="str">
        <f>IF(AND(AND(AND(U$4&gt;='2025'!$L314,U$4&lt;='2025'!$M314), U$4&lt;&gt;DATE(2025,7,4)), (SWITCH(weekday(U$4), 1, 0, 2, if(ISBLANK('2025'!$P314), 0, 1), 3, if(ISBLANK('2025'!$Q314), 0, 1), 4, if(ISBLANK('2025'!$R314), 0, 1), 5, if(ISBLANK('2025'!$S314), 0, 1), 6, if(ISBLANK('2025'!$T314), 0, 1), 7, 0))), 1, "")</f>
        <v/>
      </c>
      <c r="V316" s="1" t="str">
        <f>IF(AND(AND(AND(V$4&gt;='2025'!$L314,V$4&lt;='2025'!$M314), V$4&lt;&gt;DATE(2025,7,4)), (SWITCH(weekday(V$4), 1, 0, 2, if(ISBLANK('2025'!$P314), 0, 1), 3, if(ISBLANK('2025'!$Q314), 0, 1), 4, if(ISBLANK('2025'!$R314), 0, 1), 5, if(ISBLANK('2025'!$S314), 0, 1), 6, if(ISBLANK('2025'!$T314), 0, 1), 7, 0))), 1, "")</f>
        <v/>
      </c>
      <c r="W316" s="1" t="str">
        <f>IF(AND(AND(AND(W$4&gt;='2025'!$L314,W$4&lt;='2025'!$M314), W$4&lt;&gt;DATE(2025,7,4)), (SWITCH(weekday(W$4), 1, 0, 2, if(ISBLANK('2025'!$P314), 0, 1), 3, if(ISBLANK('2025'!$Q314), 0, 1), 4, if(ISBLANK('2025'!$R314), 0, 1), 5, if(ISBLANK('2025'!$S314), 0, 1), 6, if(ISBLANK('2025'!$T314), 0, 1), 7, 0))), 1, "")</f>
        <v/>
      </c>
      <c r="X316" s="1" t="str">
        <f>IF(AND(AND(AND(X$4&gt;='2025'!$L314,X$4&lt;='2025'!$M314), X$4&lt;&gt;DATE(2025,7,4)), (SWITCH(weekday(X$4), 1, 0, 2, if(ISBLANK('2025'!$P314), 0, 1), 3, if(ISBLANK('2025'!$Q314), 0, 1), 4, if(ISBLANK('2025'!$R314), 0, 1), 5, if(ISBLANK('2025'!$S314), 0, 1), 6, if(ISBLANK('2025'!$T314), 0, 1), 7, 0))), 1, "")</f>
        <v/>
      </c>
      <c r="Y316" s="1" t="str">
        <f>IF(AND(AND(AND(Y$4&gt;='2025'!$L314,Y$4&lt;='2025'!$M314), Y$4&lt;&gt;DATE(2025,7,4)), (SWITCH(weekday(Y$4), 1, 0, 2, if(ISBLANK('2025'!$P314), 0, 1), 3, if(ISBLANK('2025'!$Q314), 0, 1), 4, if(ISBLANK('2025'!$R314), 0, 1), 5, if(ISBLANK('2025'!$S314), 0, 1), 6, if(ISBLANK('2025'!$T314), 0, 1), 7, 0))), 1, "")</f>
        <v/>
      </c>
      <c r="Z316" s="1" t="str">
        <f>IF(AND(AND(AND(Z$4&gt;='2025'!$L314,Z$4&lt;='2025'!$M314), Z$4&lt;&gt;DATE(2025,7,4)), (SWITCH(weekday(Z$4), 1, 0, 2, if(ISBLANK('2025'!$P314), 0, 1), 3, if(ISBLANK('2025'!$Q314), 0, 1), 4, if(ISBLANK('2025'!$R314), 0, 1), 5, if(ISBLANK('2025'!$S314), 0, 1), 6, if(ISBLANK('2025'!$T314), 0, 1), 7, 0))), 1, "")</f>
        <v/>
      </c>
      <c r="AA316" s="1" t="str">
        <f>IF(AND(AND(AND(AA$4&gt;='2025'!$L314,AA$4&lt;='2025'!$M314), AA$4&lt;&gt;DATE(2025,7,4)), (SWITCH(weekday(AA$4), 1, 0, 2, if(ISBLANK('2025'!$P314), 0, 1), 3, if(ISBLANK('2025'!$Q314), 0, 1), 4, if(ISBLANK('2025'!$R314), 0, 1), 5, if(ISBLANK('2025'!$S314), 0, 1), 6, if(ISBLANK('2025'!$T314), 0, 1), 7, 0))), 1, "")</f>
        <v/>
      </c>
      <c r="AB316" s="1" t="str">
        <f>IF(AND(AND(AND(AB$4&gt;='2025'!$L314,AB$4&lt;='2025'!$M314), AB$4&lt;&gt;DATE(2025,7,4)), (SWITCH(weekday(AB$4), 1, 0, 2, if(ISBLANK('2025'!$P314), 0, 1), 3, if(ISBLANK('2025'!$Q314), 0, 1), 4, if(ISBLANK('2025'!$R314), 0, 1), 5, if(ISBLANK('2025'!$S314), 0, 1), 6, if(ISBLANK('2025'!$T314), 0, 1), 7, 0))), 1, "")</f>
        <v/>
      </c>
      <c r="AC316" s="1" t="str">
        <f>IF(AND(AND(AND(AC$4&gt;='2025'!$L314,AC$4&lt;='2025'!$M314), AC$4&lt;&gt;DATE(2025,7,4)), (SWITCH(weekday(AC$4), 1, 0, 2, if(ISBLANK('2025'!$P314), 0, 1), 3, if(ISBLANK('2025'!$Q314), 0, 1), 4, if(ISBLANK('2025'!$R314), 0, 1), 5, if(ISBLANK('2025'!$S314), 0, 1), 6, if(ISBLANK('2025'!$T314), 0, 1), 7, 0))), 1, "")</f>
        <v/>
      </c>
      <c r="AD316" s="1" t="str">
        <f>IF(AND(AND(AND(AD$4&gt;='2025'!$L314,AD$4&lt;='2025'!$M314), AD$4&lt;&gt;DATE(2025,7,4)), (SWITCH(weekday(AD$4), 1, 0, 2, if(ISBLANK('2025'!$P314), 0, 1), 3, if(ISBLANK('2025'!$Q314), 0, 1), 4, if(ISBLANK('2025'!$R314), 0, 1), 5, if(ISBLANK('2025'!$S314), 0, 1), 6, if(ISBLANK('2025'!$T314), 0, 1), 7, 0))), 1, "")</f>
        <v/>
      </c>
      <c r="AE316" s="1" t="str">
        <f>IF(AND(AND(AND(AE$4&gt;='2025'!$L314,AE$4&lt;='2025'!$M314), AE$4&lt;&gt;DATE(2025,7,4)), (SWITCH(weekday(AE$4), 1, 0, 2, if(ISBLANK('2025'!$P314), 0, 1), 3, if(ISBLANK('2025'!$Q314), 0, 1), 4, if(ISBLANK('2025'!$R314), 0, 1), 5, if(ISBLANK('2025'!$S314), 0, 1), 6, if(ISBLANK('2025'!$T314), 0, 1), 7, 0))), 1, "")</f>
        <v/>
      </c>
      <c r="AF316" s="1" t="str">
        <f>IF(AND(AND(AND(AF$4&gt;='2025'!$L314,AF$4&lt;='2025'!$M314), AF$4&lt;&gt;DATE(2025,7,4)), (SWITCH(weekday(AF$4), 1, 0, 2, if(ISBLANK('2025'!$P314), 0, 1), 3, if(ISBLANK('2025'!$Q314), 0, 1), 4, if(ISBLANK('2025'!$R314), 0, 1), 5, if(ISBLANK('2025'!$S314), 0, 1), 6, if(ISBLANK('2025'!$T314), 0, 1), 7, 0))), 1, "")</f>
        <v/>
      </c>
      <c r="AG316" s="1" t="str">
        <f>IF(AND(AND(AND(AG$4&gt;='2025'!$L314,AG$4&lt;='2025'!$M314), AG$4&lt;&gt;DATE(2025,7,4)), (SWITCH(weekday(AG$4), 1, 0, 2, if(ISBLANK('2025'!$P314), 0, 1), 3, if(ISBLANK('2025'!$Q314), 0, 1), 4, if(ISBLANK('2025'!$R314), 0, 1), 5, if(ISBLANK('2025'!$S314), 0, 1), 6, if(ISBLANK('2025'!$T314), 0, 1), 7, 0))), 1, "")</f>
        <v/>
      </c>
      <c r="AH316" s="1" t="str">
        <f>IF(AND(AND(AND(AH$4&gt;='2025'!$L314,AH$4&lt;='2025'!$M314), AH$4&lt;&gt;DATE(2025,7,4)), (SWITCH(weekday(AH$4), 1, 0, 2, if(ISBLANK('2025'!$P314), 0, 1), 3, if(ISBLANK('2025'!$Q314), 0, 1), 4, if(ISBLANK('2025'!$R314), 0, 1), 5, if(ISBLANK('2025'!$S314), 0, 1), 6, if(ISBLANK('2025'!$T314), 0, 1), 7, 0))), 1, "")</f>
        <v/>
      </c>
      <c r="AI316" s="1" t="str">
        <f>IF(AND(AND(AND(AI$4&gt;='2025'!$L314,AI$4&lt;='2025'!$M314), AI$4&lt;&gt;DATE(2025,7,4)), (SWITCH(weekday(AI$4), 1, 0, 2, if(ISBLANK('2025'!$P314), 0, 1), 3, if(ISBLANK('2025'!$Q314), 0, 1), 4, if(ISBLANK('2025'!$R314), 0, 1), 5, if(ISBLANK('2025'!$S314), 0, 1), 6, if(ISBLANK('2025'!$T314), 0, 1), 7, 0))), 1, "")</f>
        <v/>
      </c>
      <c r="AJ316" s="1" t="str">
        <f>IF(AND(AND(AND(AJ$4&gt;='2025'!$L314,AJ$4&lt;='2025'!$M314), AJ$4&lt;&gt;DATE(2025,7,4)), (SWITCH(weekday(AJ$4), 1, 0, 2, if(ISBLANK('2025'!$P314), 0, 1), 3, if(ISBLANK('2025'!$Q314), 0, 1), 4, if(ISBLANK('2025'!$R314), 0, 1), 5, if(ISBLANK('2025'!$S314), 0, 1), 6, if(ISBLANK('2025'!$T314), 0, 1), 7, 0))), 1, "")</f>
        <v/>
      </c>
      <c r="AK316" s="1" t="str">
        <f>IF(AND(AND(AND(AK$4&gt;='2025'!$L314,AK$4&lt;='2025'!$M314), AK$4&lt;&gt;DATE(2025,7,4)), (SWITCH(weekday(AK$4), 1, 0, 2, if(ISBLANK('2025'!$P314), 0, 1), 3, if(ISBLANK('2025'!$Q314), 0, 1), 4, if(ISBLANK('2025'!$R314), 0, 1), 5, if(ISBLANK('2025'!$S314), 0, 1), 6, if(ISBLANK('2025'!$T314), 0, 1), 7, 0))), 1, "")</f>
        <v/>
      </c>
      <c r="AL316" s="1" t="str">
        <f>IF(AND(AND(AND(AL$4&gt;='2025'!$L314,AL$4&lt;='2025'!$M314), AL$4&lt;&gt;DATE(2025,7,4)), (SWITCH(weekday(AL$4), 1, 0, 2, if(ISBLANK('2025'!$P314), 0, 1), 3, if(ISBLANK('2025'!$Q314), 0, 1), 4, if(ISBLANK('2025'!$R314), 0, 1), 5, if(ISBLANK('2025'!$S314), 0, 1), 6, if(ISBLANK('2025'!$T314), 0, 1), 7, 0))), 1, "")</f>
        <v/>
      </c>
      <c r="AM316" s="1" t="str">
        <f>IF(AND(AND(AND(AM$4&gt;='2025'!$L314,AM$4&lt;='2025'!$M314), AM$4&lt;&gt;DATE(2025,7,4)), (SWITCH(weekday(AM$4), 1, 0, 2, if(ISBLANK('2025'!$P314), 0, 1), 3, if(ISBLANK('2025'!$Q314), 0, 1), 4, if(ISBLANK('2025'!$R314), 0, 1), 5, if(ISBLANK('2025'!$S314), 0, 1), 6, if(ISBLANK('2025'!$T314), 0, 1), 7, 0))), 1, "")</f>
        <v/>
      </c>
      <c r="AN316" s="1" t="str">
        <f>IF(AND(AND(AND(AN$4&gt;='2025'!$L314,AN$4&lt;='2025'!$M314), AN$4&lt;&gt;DATE(2025,7,4)), (SWITCH(weekday(AN$4), 1, 0, 2, if(ISBLANK('2025'!$P314), 0, 1), 3, if(ISBLANK('2025'!$Q314), 0, 1), 4, if(ISBLANK('2025'!$R314), 0, 1), 5, if(ISBLANK('2025'!$S314), 0, 1), 6, if(ISBLANK('2025'!$T314), 0, 1), 7, 0))), 1, "")</f>
        <v/>
      </c>
      <c r="AO316" s="1" t="str">
        <f>IF(AND(AND(AND(AO$4&gt;='2025'!$L314,AO$4&lt;='2025'!$M314), AO$4&lt;&gt;DATE(2025,7,4)), (SWITCH(weekday(AO$4), 1, 0, 2, if(ISBLANK('2025'!$P314), 0, 1), 3, if(ISBLANK('2025'!$Q314), 0, 1), 4, if(ISBLANK('2025'!$R314), 0, 1), 5, if(ISBLANK('2025'!$S314), 0, 1), 6, if(ISBLANK('2025'!$T314), 0, 1), 7, 0))), 1, "")</f>
        <v/>
      </c>
      <c r="AP316" s="1" t="str">
        <f>IF(AND(AND(AND(AP$4&gt;='2025'!$L314,AP$4&lt;='2025'!$M314), AP$4&lt;&gt;DATE(2025,7,4)), (SWITCH(weekday(AP$4), 1, 0, 2, if(ISBLANK('2025'!$P314), 0, 1), 3, if(ISBLANK('2025'!$Q314), 0, 1), 4, if(ISBLANK('2025'!$R314), 0, 1), 5, if(ISBLANK('2025'!$S314), 0, 1), 6, if(ISBLANK('2025'!$T314), 0, 1), 7, 0))), 1, "")</f>
        <v/>
      </c>
      <c r="AQ316" s="1" t="str">
        <f>IF(AND(AND(AND(AQ$4&gt;='2025'!$L314,AQ$4&lt;='2025'!$M314), AQ$4&lt;&gt;DATE(2025,7,4)), (SWITCH(weekday(AQ$4), 1, 0, 2, if(ISBLANK('2025'!$P314), 0, 1), 3, if(ISBLANK('2025'!$Q314), 0, 1), 4, if(ISBLANK('2025'!$R314), 0, 1), 5, if(ISBLANK('2025'!$S314), 0, 1), 6, if(ISBLANK('2025'!$T314), 0, 1), 7, 0))), 1, "")</f>
        <v/>
      </c>
      <c r="AR316" s="1" t="str">
        <f>IF(AND(AND(AND(AR$4&gt;='2025'!$L314,AR$4&lt;='2025'!$M314), AR$4&lt;&gt;DATE(2025,7,4)), (SWITCH(weekday(AR$4), 1, 0, 2, if(ISBLANK('2025'!$P314), 0, 1), 3, if(ISBLANK('2025'!$Q314), 0, 1), 4, if(ISBLANK('2025'!$R314), 0, 1), 5, if(ISBLANK('2025'!$S314), 0, 1), 6, if(ISBLANK('2025'!$T314), 0, 1), 7, 0))), 1, "")</f>
        <v/>
      </c>
      <c r="AS316" s="1" t="str">
        <f>IF(AND(AND(AND(AS$4&gt;='2025'!$L314,AS$4&lt;='2025'!$M314), AS$4&lt;&gt;DATE(2025,7,4)), (SWITCH(weekday(AS$4), 1, 0, 2, if(ISBLANK('2025'!$P314), 0, 1), 3, if(ISBLANK('2025'!$Q314), 0, 1), 4, if(ISBLANK('2025'!$R314), 0, 1), 5, if(ISBLANK('2025'!$S314), 0, 1), 6, if(ISBLANK('2025'!$T314), 0, 1), 7, 0))), 1, "")</f>
        <v/>
      </c>
      <c r="AT316" s="1" t="str">
        <f>IF(AND(AND(AND(AT$4&gt;='2025'!$L314,AT$4&lt;='2025'!$M314), AT$4&lt;&gt;DATE(2025,7,4)), (SWITCH(weekday(AT$4), 1, 0, 2, if(ISBLANK('2025'!$P314), 0, 1), 3, if(ISBLANK('2025'!$Q314), 0, 1), 4, if(ISBLANK('2025'!$R314), 0, 1), 5, if(ISBLANK('2025'!$S314), 0, 1), 6, if(ISBLANK('2025'!$T314), 0, 1), 7, 0))), 1, "")</f>
        <v/>
      </c>
      <c r="AU316" s="1" t="str">
        <f>IF(AND(AND(AND(AU$4&gt;='2025'!$L314,AU$4&lt;='2025'!$M314), AU$4&lt;&gt;DATE(2025,7,4)), (SWITCH(weekday(AU$4), 1, 0, 2, if(ISBLANK('2025'!$P314), 0, 1), 3, if(ISBLANK('2025'!$Q314), 0, 1), 4, if(ISBLANK('2025'!$R314), 0, 1), 5, if(ISBLANK('2025'!$S314), 0, 1), 6, if(ISBLANK('2025'!$T314), 0, 1), 7, 0))), 1, "")</f>
        <v/>
      </c>
      <c r="AV316" s="1" t="str">
        <f>IF(AND(AND(AND(AV$4&gt;='2025'!$L314,AV$4&lt;='2025'!$M314), AV$4&lt;&gt;DATE(2025,7,4)), (SWITCH(weekday(AV$4), 1, 0, 2, if(ISBLANK('2025'!$P314), 0, 1), 3, if(ISBLANK('2025'!$Q314), 0, 1), 4, if(ISBLANK('2025'!$R314), 0, 1), 5, if(ISBLANK('2025'!$S314), 0, 1), 6, if(ISBLANK('2025'!$T314), 0, 1), 7, 0))), 1, "")</f>
        <v/>
      </c>
      <c r="AW316" s="1" t="str">
        <f>IF(AND(AND(AND(AW$4&gt;='2025'!$L314,AW$4&lt;='2025'!$M314), AW$4&lt;&gt;DATE(2025,7,4)), (SWITCH(weekday(AW$4), 1, 0, 2, if(ISBLANK('2025'!$P314), 0, 1), 3, if(ISBLANK('2025'!$Q314), 0, 1), 4, if(ISBLANK('2025'!$R314), 0, 1), 5, if(ISBLANK('2025'!$S314), 0, 1), 6, if(ISBLANK('2025'!$T314), 0, 1), 7, 0))), 1, "")</f>
        <v/>
      </c>
      <c r="AX316" s="1" t="str">
        <f>IF(AND(AND(AND(AX$4&gt;='2025'!$L314,AX$4&lt;='2025'!$M314), AX$4&lt;&gt;DATE(2025,7,4)), (SWITCH(weekday(AX$4), 1, 0, 2, if(ISBLANK('2025'!$P314), 0, 1), 3, if(ISBLANK('2025'!$Q314), 0, 1), 4, if(ISBLANK('2025'!$R314), 0, 1), 5, if(ISBLANK('2025'!$S314), 0, 1), 6, if(ISBLANK('2025'!$T314), 0, 1), 7, 0))), 1, "")</f>
        <v/>
      </c>
      <c r="AY316" s="1" t="str">
        <f>IF(AND(AND(AND(AY$4&gt;='2025'!$L314,AY$4&lt;='2025'!$M314), AY$4&lt;&gt;DATE(2025,7,4)), (SWITCH(weekday(AY$4), 1, 0, 2, if(ISBLANK('2025'!$P314), 0, 1), 3, if(ISBLANK('2025'!$Q314), 0, 1), 4, if(ISBLANK('2025'!$R314), 0, 1), 5, if(ISBLANK('2025'!$S314), 0, 1), 6, if(ISBLANK('2025'!$T314), 0, 1), 7, 0))), 1, "")</f>
        <v/>
      </c>
      <c r="AZ316" s="1" t="str">
        <f>IF(AND(AND(AND(AZ$4&gt;='2025'!$L314,AZ$4&lt;='2025'!$M314), AZ$4&lt;&gt;DATE(2025,7,4)), (SWITCH(weekday(AZ$4), 1, 0, 2, if(ISBLANK('2025'!$P314), 0, 1), 3, if(ISBLANK('2025'!$Q314), 0, 1), 4, if(ISBLANK('2025'!$R314), 0, 1), 5, if(ISBLANK('2025'!$S314), 0, 1), 6, if(ISBLANK('2025'!$T314), 0, 1), 7, 0))), 1, "")</f>
        <v/>
      </c>
      <c r="BA316" s="1" t="str">
        <f>IF(AND(AND(AND(BA$4&gt;='2025'!$L314,BA$4&lt;='2025'!$M314), BA$4&lt;&gt;DATE(2025,7,4)), (SWITCH(weekday(BA$4), 1, 0, 2, if(ISBLANK('2025'!$P314), 0, 1), 3, if(ISBLANK('2025'!$Q314), 0, 1), 4, if(ISBLANK('2025'!$R314), 0, 1), 5, if(ISBLANK('2025'!$S314), 0, 1), 6, if(ISBLANK('2025'!$T314), 0, 1), 7, 0))), 1, "")</f>
        <v/>
      </c>
      <c r="BB316" s="1" t="str">
        <f>IF(AND(AND(AND(BB$4&gt;='2025'!$L314,BB$4&lt;='2025'!$M314), BB$4&lt;&gt;DATE(2025,7,4)), (SWITCH(weekday(BB$4), 1, 0, 2, if(ISBLANK('2025'!$P314), 0, 1), 3, if(ISBLANK('2025'!$Q314), 0, 1), 4, if(ISBLANK('2025'!$R314), 0, 1), 5, if(ISBLANK('2025'!$S314), 0, 1), 6, if(ISBLANK('2025'!$T314), 0, 1), 7, 0))), 1, "")</f>
        <v/>
      </c>
      <c r="BC316" s="1" t="str">
        <f>IF(AND(AND(AND(BC$4&gt;='2025'!$L314,BC$4&lt;='2025'!$M314), BC$4&lt;&gt;DATE(2025,7,4)), (SWITCH(weekday(BC$4), 1, 0, 2, if(ISBLANK('2025'!$P314), 0, 1), 3, if(ISBLANK('2025'!$Q314), 0, 1), 4, if(ISBLANK('2025'!$R314), 0, 1), 5, if(ISBLANK('2025'!$S314), 0, 1), 6, if(ISBLANK('2025'!$T314), 0, 1), 7, 0))), 1, "")</f>
        <v/>
      </c>
      <c r="BD316" s="1" t="str">
        <f>IF(AND(AND(AND(BD$4&gt;='2025'!$L314,BD$4&lt;='2025'!$M314), BD$4&lt;&gt;DATE(2025,7,4)), (SWITCH(weekday(BD$4), 1, 0, 2, if(ISBLANK('2025'!$P314), 0, 1), 3, if(ISBLANK('2025'!$Q314), 0, 1), 4, if(ISBLANK('2025'!$R314), 0, 1), 5, if(ISBLANK('2025'!$S314), 0, 1), 6, if(ISBLANK('2025'!$T314), 0, 1), 7, 0))), 1, "")</f>
        <v/>
      </c>
      <c r="BE316" s="1" t="str">
        <f>IF(AND(AND(AND(BE$4&gt;='2025'!$L314,BE$4&lt;='2025'!$M314), BE$4&lt;&gt;DATE(2025,7,4)), (SWITCH(weekday(BE$4), 1, 0, 2, if(ISBLANK('2025'!$P314), 0, 1), 3, if(ISBLANK('2025'!$Q314), 0, 1), 4, if(ISBLANK('2025'!$R314), 0, 1), 5, if(ISBLANK('2025'!$S314), 0, 1), 6, if(ISBLANK('2025'!$T314), 0, 1), 7, 0))), 1, "")</f>
        <v/>
      </c>
      <c r="BF316" s="1" t="str">
        <f>IF(AND(AND(AND(BF$4&gt;='2025'!$L314,BF$4&lt;='2025'!$M314), BF$4&lt;&gt;DATE(2025,7,4)), (SWITCH(weekday(BF$4), 1, 0, 2, if(ISBLANK('2025'!$P314), 0, 1), 3, if(ISBLANK('2025'!$Q314), 0, 1), 4, if(ISBLANK('2025'!$R314), 0, 1), 5, if(ISBLANK('2025'!$S314), 0, 1), 6, if(ISBLANK('2025'!$T314), 0, 1), 7, 0))), 1, "")</f>
        <v/>
      </c>
      <c r="BG316" s="1"/>
      <c r="BH316" s="1"/>
      <c r="BI316" s="1"/>
      <c r="BJ316" s="1"/>
      <c r="BK316" s="1"/>
      <c r="BL316" s="1"/>
    </row>
    <row r="317">
      <c r="A317" s="1">
        <f t="shared" si="3"/>
        <v>317</v>
      </c>
      <c r="B317" s="1" t="str">
        <f>'2025'!D281</f>
        <v>, </v>
      </c>
      <c r="C317" s="1" t="str">
        <f>'2025'!H281</f>
        <v/>
      </c>
      <c r="D317" s="1" t="str">
        <f>IF(AND(AND(AND(D$4&gt;='2025'!$L315,D$4&lt;='2025'!$M315), D$4&lt;&gt;DATE(2025,7,4)), (SWITCH(weekday(D$4), 1, 0, 2, if(ISBLANK('2025'!$P315), 0, 1), 3, if(ISBLANK('2025'!$Q315), 0, 1), 4, if(ISBLANK('2025'!$R315), 0, 1), 5, if(ISBLANK('2025'!$S315), 0, 1), 6, if(ISBLANK('2025'!$T315), 0, 1), 7, 0))), 1, "")</f>
        <v/>
      </c>
      <c r="E317" s="1" t="str">
        <f>IF(AND(AND(AND(E$4&gt;='2025'!$L315,E$4&lt;='2025'!$M315), E$4&lt;&gt;DATE(2025,7,4)), (SWITCH(weekday(E$4), 1, 0, 2, if(ISBLANK('2025'!$P315), 0, 1), 3, if(ISBLANK('2025'!$Q315), 0, 1), 4, if(ISBLANK('2025'!$R315), 0, 1), 5, if(ISBLANK('2025'!$S315), 0, 1), 6, if(ISBLANK('2025'!$T315), 0, 1), 7, 0))), 1, "")</f>
        <v/>
      </c>
      <c r="F317" s="1" t="str">
        <f>IF(AND(AND(AND(F$4&gt;='2025'!$L315,F$4&lt;='2025'!$M315), F$4&lt;&gt;DATE(2025,7,4)), (SWITCH(weekday(F$4), 1, 0, 2, if(ISBLANK('2025'!$P315), 0, 1), 3, if(ISBLANK('2025'!$Q315), 0, 1), 4, if(ISBLANK('2025'!$R315), 0, 1), 5, if(ISBLANK('2025'!$S315), 0, 1), 6, if(ISBLANK('2025'!$T315), 0, 1), 7, 0))), 1, "")</f>
        <v/>
      </c>
      <c r="G317" s="1" t="str">
        <f>IF(AND(AND(AND(G$4&gt;='2025'!$L315,G$4&lt;='2025'!$M315), G$4&lt;&gt;DATE(2025,7,4)), (SWITCH(weekday(G$4), 1, 0, 2, if(ISBLANK('2025'!$P315), 0, 1), 3, if(ISBLANK('2025'!$Q315), 0, 1), 4, if(ISBLANK('2025'!$R315), 0, 1), 5, if(ISBLANK('2025'!$S315), 0, 1), 6, if(ISBLANK('2025'!$T315), 0, 1), 7, 0))), 1, "")</f>
        <v/>
      </c>
      <c r="H317" s="1" t="str">
        <f>IF(AND(AND(AND(H$4&gt;='2025'!$L315,H$4&lt;='2025'!$M315), H$4&lt;&gt;DATE(2025,7,4)), (SWITCH(weekday(H$4), 1, 0, 2, if(ISBLANK('2025'!$P315), 0, 1), 3, if(ISBLANK('2025'!$Q315), 0, 1), 4, if(ISBLANK('2025'!$R315), 0, 1), 5, if(ISBLANK('2025'!$S315), 0, 1), 6, if(ISBLANK('2025'!$T315), 0, 1), 7, 0))), 1, "")</f>
        <v/>
      </c>
      <c r="I317" s="1" t="str">
        <f>IF(AND(AND(AND(I$4&gt;='2025'!$L315,I$4&lt;='2025'!$M315), I$4&lt;&gt;DATE(2025,7,4)), (SWITCH(weekday(I$4), 1, 0, 2, if(ISBLANK('2025'!$P315), 0, 1), 3, if(ISBLANK('2025'!$Q315), 0, 1), 4, if(ISBLANK('2025'!$R315), 0, 1), 5, if(ISBLANK('2025'!$S315), 0, 1), 6, if(ISBLANK('2025'!$T315), 0, 1), 7, 0))), 1, "")</f>
        <v/>
      </c>
      <c r="J317" s="1" t="str">
        <f>IF(AND(AND(AND(J$4&gt;='2025'!$L315,J$4&lt;='2025'!$M315), J$4&lt;&gt;DATE(2025,7,4)), (SWITCH(weekday(J$4), 1, 0, 2, if(ISBLANK('2025'!$P315), 0, 1), 3, if(ISBLANK('2025'!$Q315), 0, 1), 4, if(ISBLANK('2025'!$R315), 0, 1), 5, if(ISBLANK('2025'!$S315), 0, 1), 6, if(ISBLANK('2025'!$T315), 0, 1), 7, 0))), 1, "")</f>
        <v/>
      </c>
      <c r="K317" s="1" t="str">
        <f>IF(AND(AND(AND(K$4&gt;='2025'!$L315,K$4&lt;='2025'!$M315), K$4&lt;&gt;DATE(2025,7,4)), (SWITCH(weekday(K$4), 1, 0, 2, if(ISBLANK('2025'!$P315), 0, 1), 3, if(ISBLANK('2025'!$Q315), 0, 1), 4, if(ISBLANK('2025'!$R315), 0, 1), 5, if(ISBLANK('2025'!$S315), 0, 1), 6, if(ISBLANK('2025'!$T315), 0, 1), 7, 0))), 1, "")</f>
        <v/>
      </c>
      <c r="L317" s="1" t="str">
        <f>IF(AND(AND(AND(L$4&gt;='2025'!$L315,L$4&lt;='2025'!$M315), L$4&lt;&gt;DATE(2025,7,4)), (SWITCH(weekday(L$4), 1, 0, 2, if(ISBLANK('2025'!$P315), 0, 1), 3, if(ISBLANK('2025'!$Q315), 0, 1), 4, if(ISBLANK('2025'!$R315), 0, 1), 5, if(ISBLANK('2025'!$S315), 0, 1), 6, if(ISBLANK('2025'!$T315), 0, 1), 7, 0))), 1, "")</f>
        <v/>
      </c>
      <c r="M317" s="1" t="str">
        <f>IF(AND(AND(AND(M$4&gt;='2025'!$L315,M$4&lt;='2025'!$M315), M$4&lt;&gt;DATE(2025,7,4)), (SWITCH(weekday(M$4), 1, 0, 2, if(ISBLANK('2025'!$P315), 0, 1), 3, if(ISBLANK('2025'!$Q315), 0, 1), 4, if(ISBLANK('2025'!$R315), 0, 1), 5, if(ISBLANK('2025'!$S315), 0, 1), 6, if(ISBLANK('2025'!$T315), 0, 1), 7, 0))), 1, "")</f>
        <v/>
      </c>
      <c r="N317" s="1" t="str">
        <f>IF(AND(AND(AND(N$4&gt;='2025'!$L315,N$4&lt;='2025'!$M315), N$4&lt;&gt;DATE(2025,7,4)), (SWITCH(weekday(N$4), 1, 0, 2, if(ISBLANK('2025'!$P315), 0, 1), 3, if(ISBLANK('2025'!$Q315), 0, 1), 4, if(ISBLANK('2025'!$R315), 0, 1), 5, if(ISBLANK('2025'!$S315), 0, 1), 6, if(ISBLANK('2025'!$T315), 0, 1), 7, 0))), 1, "")</f>
        <v/>
      </c>
      <c r="O317" s="1" t="str">
        <f>IF(AND(AND(AND(O$4&gt;='2025'!$L315,O$4&lt;='2025'!$M315), O$4&lt;&gt;DATE(2025,7,4)), (SWITCH(weekday(O$4), 1, 0, 2, if(ISBLANK('2025'!$P315), 0, 1), 3, if(ISBLANK('2025'!$Q315), 0, 1), 4, if(ISBLANK('2025'!$R315), 0, 1), 5, if(ISBLANK('2025'!$S315), 0, 1), 6, if(ISBLANK('2025'!$T315), 0, 1), 7, 0))), 1, "")</f>
        <v/>
      </c>
      <c r="P317" s="1" t="str">
        <f>IF(AND(AND(AND(P$4&gt;='2025'!$L315,P$4&lt;='2025'!$M315), P$4&lt;&gt;DATE(2025,7,4)), (SWITCH(weekday(P$4), 1, 0, 2, if(ISBLANK('2025'!$P315), 0, 1), 3, if(ISBLANK('2025'!$Q315), 0, 1), 4, if(ISBLANK('2025'!$R315), 0, 1), 5, if(ISBLANK('2025'!$S315), 0, 1), 6, if(ISBLANK('2025'!$T315), 0, 1), 7, 0))), 1, "")</f>
        <v/>
      </c>
      <c r="Q317" s="1" t="str">
        <f>IF(AND(AND(AND(Q$4&gt;='2025'!$L315,Q$4&lt;='2025'!$M315), Q$4&lt;&gt;DATE(2025,7,4)), (SWITCH(weekday(Q$4), 1, 0, 2, if(ISBLANK('2025'!$P315), 0, 1), 3, if(ISBLANK('2025'!$Q315), 0, 1), 4, if(ISBLANK('2025'!$R315), 0, 1), 5, if(ISBLANK('2025'!$S315), 0, 1), 6, if(ISBLANK('2025'!$T315), 0, 1), 7, 0))), 1, "")</f>
        <v/>
      </c>
      <c r="R317" s="1" t="str">
        <f>IF(AND(AND(AND(R$4&gt;='2025'!$L315,R$4&lt;='2025'!$M315), R$4&lt;&gt;DATE(2025,7,4)), (SWITCH(weekday(R$4), 1, 0, 2, if(ISBLANK('2025'!$P315), 0, 1), 3, if(ISBLANK('2025'!$Q315), 0, 1), 4, if(ISBLANK('2025'!$R315), 0, 1), 5, if(ISBLANK('2025'!$S315), 0, 1), 6, if(ISBLANK('2025'!$T315), 0, 1), 7, 0))), 1, "")</f>
        <v/>
      </c>
      <c r="S317" s="1" t="str">
        <f>IF(AND(AND(AND(S$4&gt;='2025'!$L315,S$4&lt;='2025'!$M315), S$4&lt;&gt;DATE(2025,7,4)), (SWITCH(weekday(S$4), 1, 0, 2, if(ISBLANK('2025'!$P315), 0, 1), 3, if(ISBLANK('2025'!$Q315), 0, 1), 4, if(ISBLANK('2025'!$R315), 0, 1), 5, if(ISBLANK('2025'!$S315), 0, 1), 6, if(ISBLANK('2025'!$T315), 0, 1), 7, 0))), 1, "")</f>
        <v/>
      </c>
      <c r="T317" s="1" t="str">
        <f>IF(AND(AND(AND(T$4&gt;='2025'!$L315,T$4&lt;='2025'!$M315), T$4&lt;&gt;DATE(2025,7,4)), (SWITCH(weekday(T$4), 1, 0, 2, if(ISBLANK('2025'!$P315), 0, 1), 3, if(ISBLANK('2025'!$Q315), 0, 1), 4, if(ISBLANK('2025'!$R315), 0, 1), 5, if(ISBLANK('2025'!$S315), 0, 1), 6, if(ISBLANK('2025'!$T315), 0, 1), 7, 0))), 1, "")</f>
        <v/>
      </c>
      <c r="U317" s="1" t="str">
        <f>IF(AND(AND(AND(U$4&gt;='2025'!$L315,U$4&lt;='2025'!$M315), U$4&lt;&gt;DATE(2025,7,4)), (SWITCH(weekday(U$4), 1, 0, 2, if(ISBLANK('2025'!$P315), 0, 1), 3, if(ISBLANK('2025'!$Q315), 0, 1), 4, if(ISBLANK('2025'!$R315), 0, 1), 5, if(ISBLANK('2025'!$S315), 0, 1), 6, if(ISBLANK('2025'!$T315), 0, 1), 7, 0))), 1, "")</f>
        <v/>
      </c>
      <c r="V317" s="1" t="str">
        <f>IF(AND(AND(AND(V$4&gt;='2025'!$L315,V$4&lt;='2025'!$M315), V$4&lt;&gt;DATE(2025,7,4)), (SWITCH(weekday(V$4), 1, 0, 2, if(ISBLANK('2025'!$P315), 0, 1), 3, if(ISBLANK('2025'!$Q315), 0, 1), 4, if(ISBLANK('2025'!$R315), 0, 1), 5, if(ISBLANK('2025'!$S315), 0, 1), 6, if(ISBLANK('2025'!$T315), 0, 1), 7, 0))), 1, "")</f>
        <v/>
      </c>
      <c r="W317" s="1" t="str">
        <f>IF(AND(AND(AND(W$4&gt;='2025'!$L315,W$4&lt;='2025'!$M315), W$4&lt;&gt;DATE(2025,7,4)), (SWITCH(weekday(W$4), 1, 0, 2, if(ISBLANK('2025'!$P315), 0, 1), 3, if(ISBLANK('2025'!$Q315), 0, 1), 4, if(ISBLANK('2025'!$R315), 0, 1), 5, if(ISBLANK('2025'!$S315), 0, 1), 6, if(ISBLANK('2025'!$T315), 0, 1), 7, 0))), 1, "")</f>
        <v/>
      </c>
      <c r="X317" s="1" t="str">
        <f>IF(AND(AND(AND(X$4&gt;='2025'!$L315,X$4&lt;='2025'!$M315), X$4&lt;&gt;DATE(2025,7,4)), (SWITCH(weekday(X$4), 1, 0, 2, if(ISBLANK('2025'!$P315), 0, 1), 3, if(ISBLANK('2025'!$Q315), 0, 1), 4, if(ISBLANK('2025'!$R315), 0, 1), 5, if(ISBLANK('2025'!$S315), 0, 1), 6, if(ISBLANK('2025'!$T315), 0, 1), 7, 0))), 1, "")</f>
        <v/>
      </c>
      <c r="Y317" s="1" t="str">
        <f>IF(AND(AND(AND(Y$4&gt;='2025'!$L315,Y$4&lt;='2025'!$M315), Y$4&lt;&gt;DATE(2025,7,4)), (SWITCH(weekday(Y$4), 1, 0, 2, if(ISBLANK('2025'!$P315), 0, 1), 3, if(ISBLANK('2025'!$Q315), 0, 1), 4, if(ISBLANK('2025'!$R315), 0, 1), 5, if(ISBLANK('2025'!$S315), 0, 1), 6, if(ISBLANK('2025'!$T315), 0, 1), 7, 0))), 1, "")</f>
        <v/>
      </c>
      <c r="Z317" s="1" t="str">
        <f>IF(AND(AND(AND(Z$4&gt;='2025'!$L315,Z$4&lt;='2025'!$M315), Z$4&lt;&gt;DATE(2025,7,4)), (SWITCH(weekday(Z$4), 1, 0, 2, if(ISBLANK('2025'!$P315), 0, 1), 3, if(ISBLANK('2025'!$Q315), 0, 1), 4, if(ISBLANK('2025'!$R315), 0, 1), 5, if(ISBLANK('2025'!$S315), 0, 1), 6, if(ISBLANK('2025'!$T315), 0, 1), 7, 0))), 1, "")</f>
        <v/>
      </c>
      <c r="AA317" s="1" t="str">
        <f>IF(AND(AND(AND(AA$4&gt;='2025'!$L315,AA$4&lt;='2025'!$M315), AA$4&lt;&gt;DATE(2025,7,4)), (SWITCH(weekday(AA$4), 1, 0, 2, if(ISBLANK('2025'!$P315), 0, 1), 3, if(ISBLANK('2025'!$Q315), 0, 1), 4, if(ISBLANK('2025'!$R315), 0, 1), 5, if(ISBLANK('2025'!$S315), 0, 1), 6, if(ISBLANK('2025'!$T315), 0, 1), 7, 0))), 1, "")</f>
        <v/>
      </c>
      <c r="AB317" s="1" t="str">
        <f>IF(AND(AND(AND(AB$4&gt;='2025'!$L315,AB$4&lt;='2025'!$M315), AB$4&lt;&gt;DATE(2025,7,4)), (SWITCH(weekday(AB$4), 1, 0, 2, if(ISBLANK('2025'!$P315), 0, 1), 3, if(ISBLANK('2025'!$Q315), 0, 1), 4, if(ISBLANK('2025'!$R315), 0, 1), 5, if(ISBLANK('2025'!$S315), 0, 1), 6, if(ISBLANK('2025'!$T315), 0, 1), 7, 0))), 1, "")</f>
        <v/>
      </c>
      <c r="AC317" s="1" t="str">
        <f>IF(AND(AND(AND(AC$4&gt;='2025'!$L315,AC$4&lt;='2025'!$M315), AC$4&lt;&gt;DATE(2025,7,4)), (SWITCH(weekday(AC$4), 1, 0, 2, if(ISBLANK('2025'!$P315), 0, 1), 3, if(ISBLANK('2025'!$Q315), 0, 1), 4, if(ISBLANK('2025'!$R315), 0, 1), 5, if(ISBLANK('2025'!$S315), 0, 1), 6, if(ISBLANK('2025'!$T315), 0, 1), 7, 0))), 1, "")</f>
        <v/>
      </c>
      <c r="AD317" s="1" t="str">
        <f>IF(AND(AND(AND(AD$4&gt;='2025'!$L315,AD$4&lt;='2025'!$M315), AD$4&lt;&gt;DATE(2025,7,4)), (SWITCH(weekday(AD$4), 1, 0, 2, if(ISBLANK('2025'!$P315), 0, 1), 3, if(ISBLANK('2025'!$Q315), 0, 1), 4, if(ISBLANK('2025'!$R315), 0, 1), 5, if(ISBLANK('2025'!$S315), 0, 1), 6, if(ISBLANK('2025'!$T315), 0, 1), 7, 0))), 1, "")</f>
        <v/>
      </c>
      <c r="AE317" s="1" t="str">
        <f>IF(AND(AND(AND(AE$4&gt;='2025'!$L315,AE$4&lt;='2025'!$M315), AE$4&lt;&gt;DATE(2025,7,4)), (SWITCH(weekday(AE$4), 1, 0, 2, if(ISBLANK('2025'!$P315), 0, 1), 3, if(ISBLANK('2025'!$Q315), 0, 1), 4, if(ISBLANK('2025'!$R315), 0, 1), 5, if(ISBLANK('2025'!$S315), 0, 1), 6, if(ISBLANK('2025'!$T315), 0, 1), 7, 0))), 1, "")</f>
        <v/>
      </c>
      <c r="AF317" s="1" t="str">
        <f>IF(AND(AND(AND(AF$4&gt;='2025'!$L315,AF$4&lt;='2025'!$M315), AF$4&lt;&gt;DATE(2025,7,4)), (SWITCH(weekday(AF$4), 1, 0, 2, if(ISBLANK('2025'!$P315), 0, 1), 3, if(ISBLANK('2025'!$Q315), 0, 1), 4, if(ISBLANK('2025'!$R315), 0, 1), 5, if(ISBLANK('2025'!$S315), 0, 1), 6, if(ISBLANK('2025'!$T315), 0, 1), 7, 0))), 1, "")</f>
        <v/>
      </c>
      <c r="AG317" s="1" t="str">
        <f>IF(AND(AND(AND(AG$4&gt;='2025'!$L315,AG$4&lt;='2025'!$M315), AG$4&lt;&gt;DATE(2025,7,4)), (SWITCH(weekday(AG$4), 1, 0, 2, if(ISBLANK('2025'!$P315), 0, 1), 3, if(ISBLANK('2025'!$Q315), 0, 1), 4, if(ISBLANK('2025'!$R315), 0, 1), 5, if(ISBLANK('2025'!$S315), 0, 1), 6, if(ISBLANK('2025'!$T315), 0, 1), 7, 0))), 1, "")</f>
        <v/>
      </c>
      <c r="AH317" s="1" t="str">
        <f>IF(AND(AND(AND(AH$4&gt;='2025'!$L315,AH$4&lt;='2025'!$M315), AH$4&lt;&gt;DATE(2025,7,4)), (SWITCH(weekday(AH$4), 1, 0, 2, if(ISBLANK('2025'!$P315), 0, 1), 3, if(ISBLANK('2025'!$Q315), 0, 1), 4, if(ISBLANK('2025'!$R315), 0, 1), 5, if(ISBLANK('2025'!$S315), 0, 1), 6, if(ISBLANK('2025'!$T315), 0, 1), 7, 0))), 1, "")</f>
        <v/>
      </c>
      <c r="AI317" s="1" t="str">
        <f>IF(AND(AND(AND(AI$4&gt;='2025'!$L315,AI$4&lt;='2025'!$M315), AI$4&lt;&gt;DATE(2025,7,4)), (SWITCH(weekday(AI$4), 1, 0, 2, if(ISBLANK('2025'!$P315), 0, 1), 3, if(ISBLANK('2025'!$Q315), 0, 1), 4, if(ISBLANK('2025'!$R315), 0, 1), 5, if(ISBLANK('2025'!$S315), 0, 1), 6, if(ISBLANK('2025'!$T315), 0, 1), 7, 0))), 1, "")</f>
        <v/>
      </c>
      <c r="AJ317" s="1" t="str">
        <f>IF(AND(AND(AND(AJ$4&gt;='2025'!$L315,AJ$4&lt;='2025'!$M315), AJ$4&lt;&gt;DATE(2025,7,4)), (SWITCH(weekday(AJ$4), 1, 0, 2, if(ISBLANK('2025'!$P315), 0, 1), 3, if(ISBLANK('2025'!$Q315), 0, 1), 4, if(ISBLANK('2025'!$R315), 0, 1), 5, if(ISBLANK('2025'!$S315), 0, 1), 6, if(ISBLANK('2025'!$T315), 0, 1), 7, 0))), 1, "")</f>
        <v/>
      </c>
      <c r="AK317" s="1" t="str">
        <f>IF(AND(AND(AND(AK$4&gt;='2025'!$L315,AK$4&lt;='2025'!$M315), AK$4&lt;&gt;DATE(2025,7,4)), (SWITCH(weekday(AK$4), 1, 0, 2, if(ISBLANK('2025'!$P315), 0, 1), 3, if(ISBLANK('2025'!$Q315), 0, 1), 4, if(ISBLANK('2025'!$R315), 0, 1), 5, if(ISBLANK('2025'!$S315), 0, 1), 6, if(ISBLANK('2025'!$T315), 0, 1), 7, 0))), 1, "")</f>
        <v/>
      </c>
      <c r="AL317" s="1" t="str">
        <f>IF(AND(AND(AND(AL$4&gt;='2025'!$L315,AL$4&lt;='2025'!$M315), AL$4&lt;&gt;DATE(2025,7,4)), (SWITCH(weekday(AL$4), 1, 0, 2, if(ISBLANK('2025'!$P315), 0, 1), 3, if(ISBLANK('2025'!$Q315), 0, 1), 4, if(ISBLANK('2025'!$R315), 0, 1), 5, if(ISBLANK('2025'!$S315), 0, 1), 6, if(ISBLANK('2025'!$T315), 0, 1), 7, 0))), 1, "")</f>
        <v/>
      </c>
      <c r="AM317" s="1" t="str">
        <f>IF(AND(AND(AND(AM$4&gt;='2025'!$L315,AM$4&lt;='2025'!$M315), AM$4&lt;&gt;DATE(2025,7,4)), (SWITCH(weekday(AM$4), 1, 0, 2, if(ISBLANK('2025'!$P315), 0, 1), 3, if(ISBLANK('2025'!$Q315), 0, 1), 4, if(ISBLANK('2025'!$R315), 0, 1), 5, if(ISBLANK('2025'!$S315), 0, 1), 6, if(ISBLANK('2025'!$T315), 0, 1), 7, 0))), 1, "")</f>
        <v/>
      </c>
      <c r="AN317" s="1" t="str">
        <f>IF(AND(AND(AND(AN$4&gt;='2025'!$L315,AN$4&lt;='2025'!$M315), AN$4&lt;&gt;DATE(2025,7,4)), (SWITCH(weekday(AN$4), 1, 0, 2, if(ISBLANK('2025'!$P315), 0, 1), 3, if(ISBLANK('2025'!$Q315), 0, 1), 4, if(ISBLANK('2025'!$R315), 0, 1), 5, if(ISBLANK('2025'!$S315), 0, 1), 6, if(ISBLANK('2025'!$T315), 0, 1), 7, 0))), 1, "")</f>
        <v/>
      </c>
      <c r="AO317" s="1" t="str">
        <f>IF(AND(AND(AND(AO$4&gt;='2025'!$L315,AO$4&lt;='2025'!$M315), AO$4&lt;&gt;DATE(2025,7,4)), (SWITCH(weekday(AO$4), 1, 0, 2, if(ISBLANK('2025'!$P315), 0, 1), 3, if(ISBLANK('2025'!$Q315), 0, 1), 4, if(ISBLANK('2025'!$R315), 0, 1), 5, if(ISBLANK('2025'!$S315), 0, 1), 6, if(ISBLANK('2025'!$T315), 0, 1), 7, 0))), 1, "")</f>
        <v/>
      </c>
      <c r="AP317" s="1" t="str">
        <f>IF(AND(AND(AND(AP$4&gt;='2025'!$L315,AP$4&lt;='2025'!$M315), AP$4&lt;&gt;DATE(2025,7,4)), (SWITCH(weekday(AP$4), 1, 0, 2, if(ISBLANK('2025'!$P315), 0, 1), 3, if(ISBLANK('2025'!$Q315), 0, 1), 4, if(ISBLANK('2025'!$R315), 0, 1), 5, if(ISBLANK('2025'!$S315), 0, 1), 6, if(ISBLANK('2025'!$T315), 0, 1), 7, 0))), 1, "")</f>
        <v/>
      </c>
      <c r="AQ317" s="1" t="str">
        <f>IF(AND(AND(AND(AQ$4&gt;='2025'!$L315,AQ$4&lt;='2025'!$M315), AQ$4&lt;&gt;DATE(2025,7,4)), (SWITCH(weekday(AQ$4), 1, 0, 2, if(ISBLANK('2025'!$P315), 0, 1), 3, if(ISBLANK('2025'!$Q315), 0, 1), 4, if(ISBLANK('2025'!$R315), 0, 1), 5, if(ISBLANK('2025'!$S315), 0, 1), 6, if(ISBLANK('2025'!$T315), 0, 1), 7, 0))), 1, "")</f>
        <v/>
      </c>
      <c r="AR317" s="1" t="str">
        <f>IF(AND(AND(AND(AR$4&gt;='2025'!$L315,AR$4&lt;='2025'!$M315), AR$4&lt;&gt;DATE(2025,7,4)), (SWITCH(weekday(AR$4), 1, 0, 2, if(ISBLANK('2025'!$P315), 0, 1), 3, if(ISBLANK('2025'!$Q315), 0, 1), 4, if(ISBLANK('2025'!$R315), 0, 1), 5, if(ISBLANK('2025'!$S315), 0, 1), 6, if(ISBLANK('2025'!$T315), 0, 1), 7, 0))), 1, "")</f>
        <v/>
      </c>
      <c r="AS317" s="1" t="str">
        <f>IF(AND(AND(AND(AS$4&gt;='2025'!$L315,AS$4&lt;='2025'!$M315), AS$4&lt;&gt;DATE(2025,7,4)), (SWITCH(weekday(AS$4), 1, 0, 2, if(ISBLANK('2025'!$P315), 0, 1), 3, if(ISBLANK('2025'!$Q315), 0, 1), 4, if(ISBLANK('2025'!$R315), 0, 1), 5, if(ISBLANK('2025'!$S315), 0, 1), 6, if(ISBLANK('2025'!$T315), 0, 1), 7, 0))), 1, "")</f>
        <v/>
      </c>
      <c r="AT317" s="1" t="str">
        <f>IF(AND(AND(AND(AT$4&gt;='2025'!$L315,AT$4&lt;='2025'!$M315), AT$4&lt;&gt;DATE(2025,7,4)), (SWITCH(weekday(AT$4), 1, 0, 2, if(ISBLANK('2025'!$P315), 0, 1), 3, if(ISBLANK('2025'!$Q315), 0, 1), 4, if(ISBLANK('2025'!$R315), 0, 1), 5, if(ISBLANK('2025'!$S315), 0, 1), 6, if(ISBLANK('2025'!$T315), 0, 1), 7, 0))), 1, "")</f>
        <v/>
      </c>
      <c r="AU317" s="1" t="str">
        <f>IF(AND(AND(AND(AU$4&gt;='2025'!$L315,AU$4&lt;='2025'!$M315), AU$4&lt;&gt;DATE(2025,7,4)), (SWITCH(weekday(AU$4), 1, 0, 2, if(ISBLANK('2025'!$P315), 0, 1), 3, if(ISBLANK('2025'!$Q315), 0, 1), 4, if(ISBLANK('2025'!$R315), 0, 1), 5, if(ISBLANK('2025'!$S315), 0, 1), 6, if(ISBLANK('2025'!$T315), 0, 1), 7, 0))), 1, "")</f>
        <v/>
      </c>
      <c r="AV317" s="1" t="str">
        <f>IF(AND(AND(AND(AV$4&gt;='2025'!$L315,AV$4&lt;='2025'!$M315), AV$4&lt;&gt;DATE(2025,7,4)), (SWITCH(weekday(AV$4), 1, 0, 2, if(ISBLANK('2025'!$P315), 0, 1), 3, if(ISBLANK('2025'!$Q315), 0, 1), 4, if(ISBLANK('2025'!$R315), 0, 1), 5, if(ISBLANK('2025'!$S315), 0, 1), 6, if(ISBLANK('2025'!$T315), 0, 1), 7, 0))), 1, "")</f>
        <v/>
      </c>
      <c r="AW317" s="1" t="str">
        <f>IF(AND(AND(AND(AW$4&gt;='2025'!$L315,AW$4&lt;='2025'!$M315), AW$4&lt;&gt;DATE(2025,7,4)), (SWITCH(weekday(AW$4), 1, 0, 2, if(ISBLANK('2025'!$P315), 0, 1), 3, if(ISBLANK('2025'!$Q315), 0, 1), 4, if(ISBLANK('2025'!$R315), 0, 1), 5, if(ISBLANK('2025'!$S315), 0, 1), 6, if(ISBLANK('2025'!$T315), 0, 1), 7, 0))), 1, "")</f>
        <v/>
      </c>
      <c r="AX317" s="1" t="str">
        <f>IF(AND(AND(AND(AX$4&gt;='2025'!$L315,AX$4&lt;='2025'!$M315), AX$4&lt;&gt;DATE(2025,7,4)), (SWITCH(weekday(AX$4), 1, 0, 2, if(ISBLANK('2025'!$P315), 0, 1), 3, if(ISBLANK('2025'!$Q315), 0, 1), 4, if(ISBLANK('2025'!$R315), 0, 1), 5, if(ISBLANK('2025'!$S315), 0, 1), 6, if(ISBLANK('2025'!$T315), 0, 1), 7, 0))), 1, "")</f>
        <v/>
      </c>
      <c r="AY317" s="1" t="str">
        <f>IF(AND(AND(AND(AY$4&gt;='2025'!$L315,AY$4&lt;='2025'!$M315), AY$4&lt;&gt;DATE(2025,7,4)), (SWITCH(weekday(AY$4), 1, 0, 2, if(ISBLANK('2025'!$P315), 0, 1), 3, if(ISBLANK('2025'!$Q315), 0, 1), 4, if(ISBLANK('2025'!$R315), 0, 1), 5, if(ISBLANK('2025'!$S315), 0, 1), 6, if(ISBLANK('2025'!$T315), 0, 1), 7, 0))), 1, "")</f>
        <v/>
      </c>
      <c r="AZ317" s="1" t="str">
        <f>IF(AND(AND(AND(AZ$4&gt;='2025'!$L315,AZ$4&lt;='2025'!$M315), AZ$4&lt;&gt;DATE(2025,7,4)), (SWITCH(weekday(AZ$4), 1, 0, 2, if(ISBLANK('2025'!$P315), 0, 1), 3, if(ISBLANK('2025'!$Q315), 0, 1), 4, if(ISBLANK('2025'!$R315), 0, 1), 5, if(ISBLANK('2025'!$S315), 0, 1), 6, if(ISBLANK('2025'!$T315), 0, 1), 7, 0))), 1, "")</f>
        <v/>
      </c>
      <c r="BA317" s="1" t="str">
        <f>IF(AND(AND(AND(BA$4&gt;='2025'!$L315,BA$4&lt;='2025'!$M315), BA$4&lt;&gt;DATE(2025,7,4)), (SWITCH(weekday(BA$4), 1, 0, 2, if(ISBLANK('2025'!$P315), 0, 1), 3, if(ISBLANK('2025'!$Q315), 0, 1), 4, if(ISBLANK('2025'!$R315), 0, 1), 5, if(ISBLANK('2025'!$S315), 0, 1), 6, if(ISBLANK('2025'!$T315), 0, 1), 7, 0))), 1, "")</f>
        <v/>
      </c>
      <c r="BB317" s="1" t="str">
        <f>IF(AND(AND(AND(BB$4&gt;='2025'!$L315,BB$4&lt;='2025'!$M315), BB$4&lt;&gt;DATE(2025,7,4)), (SWITCH(weekday(BB$4), 1, 0, 2, if(ISBLANK('2025'!$P315), 0, 1), 3, if(ISBLANK('2025'!$Q315), 0, 1), 4, if(ISBLANK('2025'!$R315), 0, 1), 5, if(ISBLANK('2025'!$S315), 0, 1), 6, if(ISBLANK('2025'!$T315), 0, 1), 7, 0))), 1, "")</f>
        <v/>
      </c>
      <c r="BC317" s="1" t="str">
        <f>IF(AND(AND(AND(BC$4&gt;='2025'!$L315,BC$4&lt;='2025'!$M315), BC$4&lt;&gt;DATE(2025,7,4)), (SWITCH(weekday(BC$4), 1, 0, 2, if(ISBLANK('2025'!$P315), 0, 1), 3, if(ISBLANK('2025'!$Q315), 0, 1), 4, if(ISBLANK('2025'!$R315), 0, 1), 5, if(ISBLANK('2025'!$S315), 0, 1), 6, if(ISBLANK('2025'!$T315), 0, 1), 7, 0))), 1, "")</f>
        <v/>
      </c>
      <c r="BD317" s="1" t="str">
        <f>IF(AND(AND(AND(BD$4&gt;='2025'!$L315,BD$4&lt;='2025'!$M315), BD$4&lt;&gt;DATE(2025,7,4)), (SWITCH(weekday(BD$4), 1, 0, 2, if(ISBLANK('2025'!$P315), 0, 1), 3, if(ISBLANK('2025'!$Q315), 0, 1), 4, if(ISBLANK('2025'!$R315), 0, 1), 5, if(ISBLANK('2025'!$S315), 0, 1), 6, if(ISBLANK('2025'!$T315), 0, 1), 7, 0))), 1, "")</f>
        <v/>
      </c>
      <c r="BE317" s="1" t="str">
        <f>IF(AND(AND(AND(BE$4&gt;='2025'!$L315,BE$4&lt;='2025'!$M315), BE$4&lt;&gt;DATE(2025,7,4)), (SWITCH(weekday(BE$4), 1, 0, 2, if(ISBLANK('2025'!$P315), 0, 1), 3, if(ISBLANK('2025'!$Q315), 0, 1), 4, if(ISBLANK('2025'!$R315), 0, 1), 5, if(ISBLANK('2025'!$S315), 0, 1), 6, if(ISBLANK('2025'!$T315), 0, 1), 7, 0))), 1, "")</f>
        <v/>
      </c>
      <c r="BF317" s="1" t="str">
        <f>IF(AND(AND(AND(BF$4&gt;='2025'!$L315,BF$4&lt;='2025'!$M315), BF$4&lt;&gt;DATE(2025,7,4)), (SWITCH(weekday(BF$4), 1, 0, 2, if(ISBLANK('2025'!$P315), 0, 1), 3, if(ISBLANK('2025'!$Q315), 0, 1), 4, if(ISBLANK('2025'!$R315), 0, 1), 5, if(ISBLANK('2025'!$S315), 0, 1), 6, if(ISBLANK('2025'!$T315), 0, 1), 7, 0))), 1, "")</f>
        <v/>
      </c>
      <c r="BG317" s="1"/>
      <c r="BH317" s="1"/>
      <c r="BI317" s="1"/>
      <c r="BJ317" s="1"/>
      <c r="BK317" s="1"/>
      <c r="BL317" s="1"/>
    </row>
    <row r="318">
      <c r="A318" s="1">
        <f t="shared" si="3"/>
        <v>318</v>
      </c>
      <c r="B318" s="1" t="str">
        <f>'2025'!D282</f>
        <v>, </v>
      </c>
      <c r="C318" s="1" t="str">
        <f>'2025'!H282</f>
        <v/>
      </c>
      <c r="D318" s="1" t="str">
        <f>IF(AND(AND(AND(D$4&gt;='2025'!$L316,D$4&lt;='2025'!$M316), D$4&lt;&gt;DATE(2025,7,4)), (SWITCH(weekday(D$4), 1, 0, 2, if(ISBLANK('2025'!$P316), 0, 1), 3, if(ISBLANK('2025'!$Q316), 0, 1), 4, if(ISBLANK('2025'!$R316), 0, 1), 5, if(ISBLANK('2025'!$S316), 0, 1), 6, if(ISBLANK('2025'!$T316), 0, 1), 7, 0))), 1, "")</f>
        <v/>
      </c>
      <c r="E318" s="1" t="str">
        <f>IF(AND(AND(AND(E$4&gt;='2025'!$L316,E$4&lt;='2025'!$M316), E$4&lt;&gt;DATE(2025,7,4)), (SWITCH(weekday(E$4), 1, 0, 2, if(ISBLANK('2025'!$P316), 0, 1), 3, if(ISBLANK('2025'!$Q316), 0, 1), 4, if(ISBLANK('2025'!$R316), 0, 1), 5, if(ISBLANK('2025'!$S316), 0, 1), 6, if(ISBLANK('2025'!$T316), 0, 1), 7, 0))), 1, "")</f>
        <v/>
      </c>
      <c r="F318" s="1" t="str">
        <f>IF(AND(AND(AND(F$4&gt;='2025'!$L316,F$4&lt;='2025'!$M316), F$4&lt;&gt;DATE(2025,7,4)), (SWITCH(weekday(F$4), 1, 0, 2, if(ISBLANK('2025'!$P316), 0, 1), 3, if(ISBLANK('2025'!$Q316), 0, 1), 4, if(ISBLANK('2025'!$R316), 0, 1), 5, if(ISBLANK('2025'!$S316), 0, 1), 6, if(ISBLANK('2025'!$T316), 0, 1), 7, 0))), 1, "")</f>
        <v/>
      </c>
      <c r="G318" s="1" t="str">
        <f>IF(AND(AND(AND(G$4&gt;='2025'!$L316,G$4&lt;='2025'!$M316), G$4&lt;&gt;DATE(2025,7,4)), (SWITCH(weekday(G$4), 1, 0, 2, if(ISBLANK('2025'!$P316), 0, 1), 3, if(ISBLANK('2025'!$Q316), 0, 1), 4, if(ISBLANK('2025'!$R316), 0, 1), 5, if(ISBLANK('2025'!$S316), 0, 1), 6, if(ISBLANK('2025'!$T316), 0, 1), 7, 0))), 1, "")</f>
        <v/>
      </c>
      <c r="H318" s="1" t="str">
        <f>IF(AND(AND(AND(H$4&gt;='2025'!$L316,H$4&lt;='2025'!$M316), H$4&lt;&gt;DATE(2025,7,4)), (SWITCH(weekday(H$4), 1, 0, 2, if(ISBLANK('2025'!$P316), 0, 1), 3, if(ISBLANK('2025'!$Q316), 0, 1), 4, if(ISBLANK('2025'!$R316), 0, 1), 5, if(ISBLANK('2025'!$S316), 0, 1), 6, if(ISBLANK('2025'!$T316), 0, 1), 7, 0))), 1, "")</f>
        <v/>
      </c>
      <c r="I318" s="1" t="str">
        <f>IF(AND(AND(AND(I$4&gt;='2025'!$L316,I$4&lt;='2025'!$M316), I$4&lt;&gt;DATE(2025,7,4)), (SWITCH(weekday(I$4), 1, 0, 2, if(ISBLANK('2025'!$P316), 0, 1), 3, if(ISBLANK('2025'!$Q316), 0, 1), 4, if(ISBLANK('2025'!$R316), 0, 1), 5, if(ISBLANK('2025'!$S316), 0, 1), 6, if(ISBLANK('2025'!$T316), 0, 1), 7, 0))), 1, "")</f>
        <v/>
      </c>
      <c r="J318" s="1" t="str">
        <f>IF(AND(AND(AND(J$4&gt;='2025'!$L316,J$4&lt;='2025'!$M316), J$4&lt;&gt;DATE(2025,7,4)), (SWITCH(weekday(J$4), 1, 0, 2, if(ISBLANK('2025'!$P316), 0, 1), 3, if(ISBLANK('2025'!$Q316), 0, 1), 4, if(ISBLANK('2025'!$R316), 0, 1), 5, if(ISBLANK('2025'!$S316), 0, 1), 6, if(ISBLANK('2025'!$T316), 0, 1), 7, 0))), 1, "")</f>
        <v/>
      </c>
      <c r="K318" s="1" t="str">
        <f>IF(AND(AND(AND(K$4&gt;='2025'!$L316,K$4&lt;='2025'!$M316), K$4&lt;&gt;DATE(2025,7,4)), (SWITCH(weekday(K$4), 1, 0, 2, if(ISBLANK('2025'!$P316), 0, 1), 3, if(ISBLANK('2025'!$Q316), 0, 1), 4, if(ISBLANK('2025'!$R316), 0, 1), 5, if(ISBLANK('2025'!$S316), 0, 1), 6, if(ISBLANK('2025'!$T316), 0, 1), 7, 0))), 1, "")</f>
        <v/>
      </c>
      <c r="L318" s="1" t="str">
        <f>IF(AND(AND(AND(L$4&gt;='2025'!$L316,L$4&lt;='2025'!$M316), L$4&lt;&gt;DATE(2025,7,4)), (SWITCH(weekday(L$4), 1, 0, 2, if(ISBLANK('2025'!$P316), 0, 1), 3, if(ISBLANK('2025'!$Q316), 0, 1), 4, if(ISBLANK('2025'!$R316), 0, 1), 5, if(ISBLANK('2025'!$S316), 0, 1), 6, if(ISBLANK('2025'!$T316), 0, 1), 7, 0))), 1, "")</f>
        <v/>
      </c>
      <c r="M318" s="1" t="str">
        <f>IF(AND(AND(AND(M$4&gt;='2025'!$L316,M$4&lt;='2025'!$M316), M$4&lt;&gt;DATE(2025,7,4)), (SWITCH(weekday(M$4), 1, 0, 2, if(ISBLANK('2025'!$P316), 0, 1), 3, if(ISBLANK('2025'!$Q316), 0, 1), 4, if(ISBLANK('2025'!$R316), 0, 1), 5, if(ISBLANK('2025'!$S316), 0, 1), 6, if(ISBLANK('2025'!$T316), 0, 1), 7, 0))), 1, "")</f>
        <v/>
      </c>
      <c r="N318" s="1" t="str">
        <f>IF(AND(AND(AND(N$4&gt;='2025'!$L316,N$4&lt;='2025'!$M316), N$4&lt;&gt;DATE(2025,7,4)), (SWITCH(weekday(N$4), 1, 0, 2, if(ISBLANK('2025'!$P316), 0, 1), 3, if(ISBLANK('2025'!$Q316), 0, 1), 4, if(ISBLANK('2025'!$R316), 0, 1), 5, if(ISBLANK('2025'!$S316), 0, 1), 6, if(ISBLANK('2025'!$T316), 0, 1), 7, 0))), 1, "")</f>
        <v/>
      </c>
      <c r="O318" s="1" t="str">
        <f>IF(AND(AND(AND(O$4&gt;='2025'!$L316,O$4&lt;='2025'!$M316), O$4&lt;&gt;DATE(2025,7,4)), (SWITCH(weekday(O$4), 1, 0, 2, if(ISBLANK('2025'!$P316), 0, 1), 3, if(ISBLANK('2025'!$Q316), 0, 1), 4, if(ISBLANK('2025'!$R316), 0, 1), 5, if(ISBLANK('2025'!$S316), 0, 1), 6, if(ISBLANK('2025'!$T316), 0, 1), 7, 0))), 1, "")</f>
        <v/>
      </c>
      <c r="P318" s="1" t="str">
        <f>IF(AND(AND(AND(P$4&gt;='2025'!$L316,P$4&lt;='2025'!$M316), P$4&lt;&gt;DATE(2025,7,4)), (SWITCH(weekday(P$4), 1, 0, 2, if(ISBLANK('2025'!$P316), 0, 1), 3, if(ISBLANK('2025'!$Q316), 0, 1), 4, if(ISBLANK('2025'!$R316), 0, 1), 5, if(ISBLANK('2025'!$S316), 0, 1), 6, if(ISBLANK('2025'!$T316), 0, 1), 7, 0))), 1, "")</f>
        <v/>
      </c>
      <c r="Q318" s="1" t="str">
        <f>IF(AND(AND(AND(Q$4&gt;='2025'!$L316,Q$4&lt;='2025'!$M316), Q$4&lt;&gt;DATE(2025,7,4)), (SWITCH(weekday(Q$4), 1, 0, 2, if(ISBLANK('2025'!$P316), 0, 1), 3, if(ISBLANK('2025'!$Q316), 0, 1), 4, if(ISBLANK('2025'!$R316), 0, 1), 5, if(ISBLANK('2025'!$S316), 0, 1), 6, if(ISBLANK('2025'!$T316), 0, 1), 7, 0))), 1, "")</f>
        <v/>
      </c>
      <c r="R318" s="1" t="str">
        <f>IF(AND(AND(AND(R$4&gt;='2025'!$L316,R$4&lt;='2025'!$M316), R$4&lt;&gt;DATE(2025,7,4)), (SWITCH(weekday(R$4), 1, 0, 2, if(ISBLANK('2025'!$P316), 0, 1), 3, if(ISBLANK('2025'!$Q316), 0, 1), 4, if(ISBLANK('2025'!$R316), 0, 1), 5, if(ISBLANK('2025'!$S316), 0, 1), 6, if(ISBLANK('2025'!$T316), 0, 1), 7, 0))), 1, "")</f>
        <v/>
      </c>
      <c r="S318" s="1" t="str">
        <f>IF(AND(AND(AND(S$4&gt;='2025'!$L316,S$4&lt;='2025'!$M316), S$4&lt;&gt;DATE(2025,7,4)), (SWITCH(weekday(S$4), 1, 0, 2, if(ISBLANK('2025'!$P316), 0, 1), 3, if(ISBLANK('2025'!$Q316), 0, 1), 4, if(ISBLANK('2025'!$R316), 0, 1), 5, if(ISBLANK('2025'!$S316), 0, 1), 6, if(ISBLANK('2025'!$T316), 0, 1), 7, 0))), 1, "")</f>
        <v/>
      </c>
      <c r="T318" s="1" t="str">
        <f>IF(AND(AND(AND(T$4&gt;='2025'!$L316,T$4&lt;='2025'!$M316), T$4&lt;&gt;DATE(2025,7,4)), (SWITCH(weekday(T$4), 1, 0, 2, if(ISBLANK('2025'!$P316), 0, 1), 3, if(ISBLANK('2025'!$Q316), 0, 1), 4, if(ISBLANK('2025'!$R316), 0, 1), 5, if(ISBLANK('2025'!$S316), 0, 1), 6, if(ISBLANK('2025'!$T316), 0, 1), 7, 0))), 1, "")</f>
        <v/>
      </c>
      <c r="U318" s="1" t="str">
        <f>IF(AND(AND(AND(U$4&gt;='2025'!$L316,U$4&lt;='2025'!$M316), U$4&lt;&gt;DATE(2025,7,4)), (SWITCH(weekday(U$4), 1, 0, 2, if(ISBLANK('2025'!$P316), 0, 1), 3, if(ISBLANK('2025'!$Q316), 0, 1), 4, if(ISBLANK('2025'!$R316), 0, 1), 5, if(ISBLANK('2025'!$S316), 0, 1), 6, if(ISBLANK('2025'!$T316), 0, 1), 7, 0))), 1, "")</f>
        <v/>
      </c>
      <c r="V318" s="1" t="str">
        <f>IF(AND(AND(AND(V$4&gt;='2025'!$L316,V$4&lt;='2025'!$M316), V$4&lt;&gt;DATE(2025,7,4)), (SWITCH(weekday(V$4), 1, 0, 2, if(ISBLANK('2025'!$P316), 0, 1), 3, if(ISBLANK('2025'!$Q316), 0, 1), 4, if(ISBLANK('2025'!$R316), 0, 1), 5, if(ISBLANK('2025'!$S316), 0, 1), 6, if(ISBLANK('2025'!$T316), 0, 1), 7, 0))), 1, "")</f>
        <v/>
      </c>
      <c r="W318" s="1" t="str">
        <f>IF(AND(AND(AND(W$4&gt;='2025'!$L316,W$4&lt;='2025'!$M316), W$4&lt;&gt;DATE(2025,7,4)), (SWITCH(weekday(W$4), 1, 0, 2, if(ISBLANK('2025'!$P316), 0, 1), 3, if(ISBLANK('2025'!$Q316), 0, 1), 4, if(ISBLANK('2025'!$R316), 0, 1), 5, if(ISBLANK('2025'!$S316), 0, 1), 6, if(ISBLANK('2025'!$T316), 0, 1), 7, 0))), 1, "")</f>
        <v/>
      </c>
      <c r="X318" s="1" t="str">
        <f>IF(AND(AND(AND(X$4&gt;='2025'!$L316,X$4&lt;='2025'!$M316), X$4&lt;&gt;DATE(2025,7,4)), (SWITCH(weekday(X$4), 1, 0, 2, if(ISBLANK('2025'!$P316), 0, 1), 3, if(ISBLANK('2025'!$Q316), 0, 1), 4, if(ISBLANK('2025'!$R316), 0, 1), 5, if(ISBLANK('2025'!$S316), 0, 1), 6, if(ISBLANK('2025'!$T316), 0, 1), 7, 0))), 1, "")</f>
        <v/>
      </c>
      <c r="Y318" s="1" t="str">
        <f>IF(AND(AND(AND(Y$4&gt;='2025'!$L316,Y$4&lt;='2025'!$M316), Y$4&lt;&gt;DATE(2025,7,4)), (SWITCH(weekday(Y$4), 1, 0, 2, if(ISBLANK('2025'!$P316), 0, 1), 3, if(ISBLANK('2025'!$Q316), 0, 1), 4, if(ISBLANK('2025'!$R316), 0, 1), 5, if(ISBLANK('2025'!$S316), 0, 1), 6, if(ISBLANK('2025'!$T316), 0, 1), 7, 0))), 1, "")</f>
        <v/>
      </c>
      <c r="Z318" s="1" t="str">
        <f>IF(AND(AND(AND(Z$4&gt;='2025'!$L316,Z$4&lt;='2025'!$M316), Z$4&lt;&gt;DATE(2025,7,4)), (SWITCH(weekday(Z$4), 1, 0, 2, if(ISBLANK('2025'!$P316), 0, 1), 3, if(ISBLANK('2025'!$Q316), 0, 1), 4, if(ISBLANK('2025'!$R316), 0, 1), 5, if(ISBLANK('2025'!$S316), 0, 1), 6, if(ISBLANK('2025'!$T316), 0, 1), 7, 0))), 1, "")</f>
        <v/>
      </c>
      <c r="AA318" s="1" t="str">
        <f>IF(AND(AND(AND(AA$4&gt;='2025'!$L316,AA$4&lt;='2025'!$M316), AA$4&lt;&gt;DATE(2025,7,4)), (SWITCH(weekday(AA$4), 1, 0, 2, if(ISBLANK('2025'!$P316), 0, 1), 3, if(ISBLANK('2025'!$Q316), 0, 1), 4, if(ISBLANK('2025'!$R316), 0, 1), 5, if(ISBLANK('2025'!$S316), 0, 1), 6, if(ISBLANK('2025'!$T316), 0, 1), 7, 0))), 1, "")</f>
        <v/>
      </c>
      <c r="AB318" s="1" t="str">
        <f>IF(AND(AND(AND(AB$4&gt;='2025'!$L316,AB$4&lt;='2025'!$M316), AB$4&lt;&gt;DATE(2025,7,4)), (SWITCH(weekday(AB$4), 1, 0, 2, if(ISBLANK('2025'!$P316), 0, 1), 3, if(ISBLANK('2025'!$Q316), 0, 1), 4, if(ISBLANK('2025'!$R316), 0, 1), 5, if(ISBLANK('2025'!$S316), 0, 1), 6, if(ISBLANK('2025'!$T316), 0, 1), 7, 0))), 1, "")</f>
        <v/>
      </c>
      <c r="AC318" s="1" t="str">
        <f>IF(AND(AND(AND(AC$4&gt;='2025'!$L316,AC$4&lt;='2025'!$M316), AC$4&lt;&gt;DATE(2025,7,4)), (SWITCH(weekday(AC$4), 1, 0, 2, if(ISBLANK('2025'!$P316), 0, 1), 3, if(ISBLANK('2025'!$Q316), 0, 1), 4, if(ISBLANK('2025'!$R316), 0, 1), 5, if(ISBLANK('2025'!$S316), 0, 1), 6, if(ISBLANK('2025'!$T316), 0, 1), 7, 0))), 1, "")</f>
        <v/>
      </c>
      <c r="AD318" s="1" t="str">
        <f>IF(AND(AND(AND(AD$4&gt;='2025'!$L316,AD$4&lt;='2025'!$M316), AD$4&lt;&gt;DATE(2025,7,4)), (SWITCH(weekday(AD$4), 1, 0, 2, if(ISBLANK('2025'!$P316), 0, 1), 3, if(ISBLANK('2025'!$Q316), 0, 1), 4, if(ISBLANK('2025'!$R316), 0, 1), 5, if(ISBLANK('2025'!$S316), 0, 1), 6, if(ISBLANK('2025'!$T316), 0, 1), 7, 0))), 1, "")</f>
        <v/>
      </c>
      <c r="AE318" s="1" t="str">
        <f>IF(AND(AND(AND(AE$4&gt;='2025'!$L316,AE$4&lt;='2025'!$M316), AE$4&lt;&gt;DATE(2025,7,4)), (SWITCH(weekday(AE$4), 1, 0, 2, if(ISBLANK('2025'!$P316), 0, 1), 3, if(ISBLANK('2025'!$Q316), 0, 1), 4, if(ISBLANK('2025'!$R316), 0, 1), 5, if(ISBLANK('2025'!$S316), 0, 1), 6, if(ISBLANK('2025'!$T316), 0, 1), 7, 0))), 1, "")</f>
        <v/>
      </c>
      <c r="AF318" s="1" t="str">
        <f>IF(AND(AND(AND(AF$4&gt;='2025'!$L316,AF$4&lt;='2025'!$M316), AF$4&lt;&gt;DATE(2025,7,4)), (SWITCH(weekday(AF$4), 1, 0, 2, if(ISBLANK('2025'!$P316), 0, 1), 3, if(ISBLANK('2025'!$Q316), 0, 1), 4, if(ISBLANK('2025'!$R316), 0, 1), 5, if(ISBLANK('2025'!$S316), 0, 1), 6, if(ISBLANK('2025'!$T316), 0, 1), 7, 0))), 1, "")</f>
        <v/>
      </c>
      <c r="AG318" s="1" t="str">
        <f>IF(AND(AND(AND(AG$4&gt;='2025'!$L316,AG$4&lt;='2025'!$M316), AG$4&lt;&gt;DATE(2025,7,4)), (SWITCH(weekday(AG$4), 1, 0, 2, if(ISBLANK('2025'!$P316), 0, 1), 3, if(ISBLANK('2025'!$Q316), 0, 1), 4, if(ISBLANK('2025'!$R316), 0, 1), 5, if(ISBLANK('2025'!$S316), 0, 1), 6, if(ISBLANK('2025'!$T316), 0, 1), 7, 0))), 1, "")</f>
        <v/>
      </c>
      <c r="AH318" s="1" t="str">
        <f>IF(AND(AND(AND(AH$4&gt;='2025'!$L316,AH$4&lt;='2025'!$M316), AH$4&lt;&gt;DATE(2025,7,4)), (SWITCH(weekday(AH$4), 1, 0, 2, if(ISBLANK('2025'!$P316), 0, 1), 3, if(ISBLANK('2025'!$Q316), 0, 1), 4, if(ISBLANK('2025'!$R316), 0, 1), 5, if(ISBLANK('2025'!$S316), 0, 1), 6, if(ISBLANK('2025'!$T316), 0, 1), 7, 0))), 1, "")</f>
        <v/>
      </c>
      <c r="AI318" s="1" t="str">
        <f>IF(AND(AND(AND(AI$4&gt;='2025'!$L316,AI$4&lt;='2025'!$M316), AI$4&lt;&gt;DATE(2025,7,4)), (SWITCH(weekday(AI$4), 1, 0, 2, if(ISBLANK('2025'!$P316), 0, 1), 3, if(ISBLANK('2025'!$Q316), 0, 1), 4, if(ISBLANK('2025'!$R316), 0, 1), 5, if(ISBLANK('2025'!$S316), 0, 1), 6, if(ISBLANK('2025'!$T316), 0, 1), 7, 0))), 1, "")</f>
        <v/>
      </c>
      <c r="AJ318" s="1" t="str">
        <f>IF(AND(AND(AND(AJ$4&gt;='2025'!$L316,AJ$4&lt;='2025'!$M316), AJ$4&lt;&gt;DATE(2025,7,4)), (SWITCH(weekday(AJ$4), 1, 0, 2, if(ISBLANK('2025'!$P316), 0, 1), 3, if(ISBLANK('2025'!$Q316), 0, 1), 4, if(ISBLANK('2025'!$R316), 0, 1), 5, if(ISBLANK('2025'!$S316), 0, 1), 6, if(ISBLANK('2025'!$T316), 0, 1), 7, 0))), 1, "")</f>
        <v/>
      </c>
      <c r="AK318" s="1" t="str">
        <f>IF(AND(AND(AND(AK$4&gt;='2025'!$L316,AK$4&lt;='2025'!$M316), AK$4&lt;&gt;DATE(2025,7,4)), (SWITCH(weekday(AK$4), 1, 0, 2, if(ISBLANK('2025'!$P316), 0, 1), 3, if(ISBLANK('2025'!$Q316), 0, 1), 4, if(ISBLANK('2025'!$R316), 0, 1), 5, if(ISBLANK('2025'!$S316), 0, 1), 6, if(ISBLANK('2025'!$T316), 0, 1), 7, 0))), 1, "")</f>
        <v/>
      </c>
      <c r="AL318" s="1" t="str">
        <f>IF(AND(AND(AND(AL$4&gt;='2025'!$L316,AL$4&lt;='2025'!$M316), AL$4&lt;&gt;DATE(2025,7,4)), (SWITCH(weekday(AL$4), 1, 0, 2, if(ISBLANK('2025'!$P316), 0, 1), 3, if(ISBLANK('2025'!$Q316), 0, 1), 4, if(ISBLANK('2025'!$R316), 0, 1), 5, if(ISBLANK('2025'!$S316), 0, 1), 6, if(ISBLANK('2025'!$T316), 0, 1), 7, 0))), 1, "")</f>
        <v/>
      </c>
      <c r="AM318" s="1" t="str">
        <f>IF(AND(AND(AND(AM$4&gt;='2025'!$L316,AM$4&lt;='2025'!$M316), AM$4&lt;&gt;DATE(2025,7,4)), (SWITCH(weekday(AM$4), 1, 0, 2, if(ISBLANK('2025'!$P316), 0, 1), 3, if(ISBLANK('2025'!$Q316), 0, 1), 4, if(ISBLANK('2025'!$R316), 0, 1), 5, if(ISBLANK('2025'!$S316), 0, 1), 6, if(ISBLANK('2025'!$T316), 0, 1), 7, 0))), 1, "")</f>
        <v/>
      </c>
      <c r="AN318" s="1" t="str">
        <f>IF(AND(AND(AND(AN$4&gt;='2025'!$L316,AN$4&lt;='2025'!$M316), AN$4&lt;&gt;DATE(2025,7,4)), (SWITCH(weekday(AN$4), 1, 0, 2, if(ISBLANK('2025'!$P316), 0, 1), 3, if(ISBLANK('2025'!$Q316), 0, 1), 4, if(ISBLANK('2025'!$R316), 0, 1), 5, if(ISBLANK('2025'!$S316), 0, 1), 6, if(ISBLANK('2025'!$T316), 0, 1), 7, 0))), 1, "")</f>
        <v/>
      </c>
      <c r="AO318" s="1" t="str">
        <f>IF(AND(AND(AND(AO$4&gt;='2025'!$L316,AO$4&lt;='2025'!$M316), AO$4&lt;&gt;DATE(2025,7,4)), (SWITCH(weekday(AO$4), 1, 0, 2, if(ISBLANK('2025'!$P316), 0, 1), 3, if(ISBLANK('2025'!$Q316), 0, 1), 4, if(ISBLANK('2025'!$R316), 0, 1), 5, if(ISBLANK('2025'!$S316), 0, 1), 6, if(ISBLANK('2025'!$T316), 0, 1), 7, 0))), 1, "")</f>
        <v/>
      </c>
      <c r="AP318" s="1" t="str">
        <f>IF(AND(AND(AND(AP$4&gt;='2025'!$L316,AP$4&lt;='2025'!$M316), AP$4&lt;&gt;DATE(2025,7,4)), (SWITCH(weekday(AP$4), 1, 0, 2, if(ISBLANK('2025'!$P316), 0, 1), 3, if(ISBLANK('2025'!$Q316), 0, 1), 4, if(ISBLANK('2025'!$R316), 0, 1), 5, if(ISBLANK('2025'!$S316), 0, 1), 6, if(ISBLANK('2025'!$T316), 0, 1), 7, 0))), 1, "")</f>
        <v/>
      </c>
      <c r="AQ318" s="1" t="str">
        <f>IF(AND(AND(AND(AQ$4&gt;='2025'!$L316,AQ$4&lt;='2025'!$M316), AQ$4&lt;&gt;DATE(2025,7,4)), (SWITCH(weekday(AQ$4), 1, 0, 2, if(ISBLANK('2025'!$P316), 0, 1), 3, if(ISBLANK('2025'!$Q316), 0, 1), 4, if(ISBLANK('2025'!$R316), 0, 1), 5, if(ISBLANK('2025'!$S316), 0, 1), 6, if(ISBLANK('2025'!$T316), 0, 1), 7, 0))), 1, "")</f>
        <v/>
      </c>
      <c r="AR318" s="1" t="str">
        <f>IF(AND(AND(AND(AR$4&gt;='2025'!$L316,AR$4&lt;='2025'!$M316), AR$4&lt;&gt;DATE(2025,7,4)), (SWITCH(weekday(AR$4), 1, 0, 2, if(ISBLANK('2025'!$P316), 0, 1), 3, if(ISBLANK('2025'!$Q316), 0, 1), 4, if(ISBLANK('2025'!$R316), 0, 1), 5, if(ISBLANK('2025'!$S316), 0, 1), 6, if(ISBLANK('2025'!$T316), 0, 1), 7, 0))), 1, "")</f>
        <v/>
      </c>
      <c r="AS318" s="1" t="str">
        <f>IF(AND(AND(AND(AS$4&gt;='2025'!$L316,AS$4&lt;='2025'!$M316), AS$4&lt;&gt;DATE(2025,7,4)), (SWITCH(weekday(AS$4), 1, 0, 2, if(ISBLANK('2025'!$P316), 0, 1), 3, if(ISBLANK('2025'!$Q316), 0, 1), 4, if(ISBLANK('2025'!$R316), 0, 1), 5, if(ISBLANK('2025'!$S316), 0, 1), 6, if(ISBLANK('2025'!$T316), 0, 1), 7, 0))), 1, "")</f>
        <v/>
      </c>
      <c r="AT318" s="1" t="str">
        <f>IF(AND(AND(AND(AT$4&gt;='2025'!$L316,AT$4&lt;='2025'!$M316), AT$4&lt;&gt;DATE(2025,7,4)), (SWITCH(weekday(AT$4), 1, 0, 2, if(ISBLANK('2025'!$P316), 0, 1), 3, if(ISBLANK('2025'!$Q316), 0, 1), 4, if(ISBLANK('2025'!$R316), 0, 1), 5, if(ISBLANK('2025'!$S316), 0, 1), 6, if(ISBLANK('2025'!$T316), 0, 1), 7, 0))), 1, "")</f>
        <v/>
      </c>
      <c r="AU318" s="1" t="str">
        <f>IF(AND(AND(AND(AU$4&gt;='2025'!$L316,AU$4&lt;='2025'!$M316), AU$4&lt;&gt;DATE(2025,7,4)), (SWITCH(weekday(AU$4), 1, 0, 2, if(ISBLANK('2025'!$P316), 0, 1), 3, if(ISBLANK('2025'!$Q316), 0, 1), 4, if(ISBLANK('2025'!$R316), 0, 1), 5, if(ISBLANK('2025'!$S316), 0, 1), 6, if(ISBLANK('2025'!$T316), 0, 1), 7, 0))), 1, "")</f>
        <v/>
      </c>
      <c r="AV318" s="1" t="str">
        <f>IF(AND(AND(AND(AV$4&gt;='2025'!$L316,AV$4&lt;='2025'!$M316), AV$4&lt;&gt;DATE(2025,7,4)), (SWITCH(weekday(AV$4), 1, 0, 2, if(ISBLANK('2025'!$P316), 0, 1), 3, if(ISBLANK('2025'!$Q316), 0, 1), 4, if(ISBLANK('2025'!$R316), 0, 1), 5, if(ISBLANK('2025'!$S316), 0, 1), 6, if(ISBLANK('2025'!$T316), 0, 1), 7, 0))), 1, "")</f>
        <v/>
      </c>
      <c r="AW318" s="1" t="str">
        <f>IF(AND(AND(AND(AW$4&gt;='2025'!$L316,AW$4&lt;='2025'!$M316), AW$4&lt;&gt;DATE(2025,7,4)), (SWITCH(weekday(AW$4), 1, 0, 2, if(ISBLANK('2025'!$P316), 0, 1), 3, if(ISBLANK('2025'!$Q316), 0, 1), 4, if(ISBLANK('2025'!$R316), 0, 1), 5, if(ISBLANK('2025'!$S316), 0, 1), 6, if(ISBLANK('2025'!$T316), 0, 1), 7, 0))), 1, "")</f>
        <v/>
      </c>
      <c r="AX318" s="1" t="str">
        <f>IF(AND(AND(AND(AX$4&gt;='2025'!$L316,AX$4&lt;='2025'!$M316), AX$4&lt;&gt;DATE(2025,7,4)), (SWITCH(weekday(AX$4), 1, 0, 2, if(ISBLANK('2025'!$P316), 0, 1), 3, if(ISBLANK('2025'!$Q316), 0, 1), 4, if(ISBLANK('2025'!$R316), 0, 1), 5, if(ISBLANK('2025'!$S316), 0, 1), 6, if(ISBLANK('2025'!$T316), 0, 1), 7, 0))), 1, "")</f>
        <v/>
      </c>
      <c r="AY318" s="1" t="str">
        <f>IF(AND(AND(AND(AY$4&gt;='2025'!$L316,AY$4&lt;='2025'!$M316), AY$4&lt;&gt;DATE(2025,7,4)), (SWITCH(weekday(AY$4), 1, 0, 2, if(ISBLANK('2025'!$P316), 0, 1), 3, if(ISBLANK('2025'!$Q316), 0, 1), 4, if(ISBLANK('2025'!$R316), 0, 1), 5, if(ISBLANK('2025'!$S316), 0, 1), 6, if(ISBLANK('2025'!$T316), 0, 1), 7, 0))), 1, "")</f>
        <v/>
      </c>
      <c r="AZ318" s="1" t="str">
        <f>IF(AND(AND(AND(AZ$4&gt;='2025'!$L316,AZ$4&lt;='2025'!$M316), AZ$4&lt;&gt;DATE(2025,7,4)), (SWITCH(weekday(AZ$4), 1, 0, 2, if(ISBLANK('2025'!$P316), 0, 1), 3, if(ISBLANK('2025'!$Q316), 0, 1), 4, if(ISBLANK('2025'!$R316), 0, 1), 5, if(ISBLANK('2025'!$S316), 0, 1), 6, if(ISBLANK('2025'!$T316), 0, 1), 7, 0))), 1, "")</f>
        <v/>
      </c>
      <c r="BA318" s="1" t="str">
        <f>IF(AND(AND(AND(BA$4&gt;='2025'!$L316,BA$4&lt;='2025'!$M316), BA$4&lt;&gt;DATE(2025,7,4)), (SWITCH(weekday(BA$4), 1, 0, 2, if(ISBLANK('2025'!$P316), 0, 1), 3, if(ISBLANK('2025'!$Q316), 0, 1), 4, if(ISBLANK('2025'!$R316), 0, 1), 5, if(ISBLANK('2025'!$S316), 0, 1), 6, if(ISBLANK('2025'!$T316), 0, 1), 7, 0))), 1, "")</f>
        <v/>
      </c>
      <c r="BB318" s="1" t="str">
        <f>IF(AND(AND(AND(BB$4&gt;='2025'!$L316,BB$4&lt;='2025'!$M316), BB$4&lt;&gt;DATE(2025,7,4)), (SWITCH(weekday(BB$4), 1, 0, 2, if(ISBLANK('2025'!$P316), 0, 1), 3, if(ISBLANK('2025'!$Q316), 0, 1), 4, if(ISBLANK('2025'!$R316), 0, 1), 5, if(ISBLANK('2025'!$S316), 0, 1), 6, if(ISBLANK('2025'!$T316), 0, 1), 7, 0))), 1, "")</f>
        <v/>
      </c>
      <c r="BC318" s="1" t="str">
        <f>IF(AND(AND(AND(BC$4&gt;='2025'!$L316,BC$4&lt;='2025'!$M316), BC$4&lt;&gt;DATE(2025,7,4)), (SWITCH(weekday(BC$4), 1, 0, 2, if(ISBLANK('2025'!$P316), 0, 1), 3, if(ISBLANK('2025'!$Q316), 0, 1), 4, if(ISBLANK('2025'!$R316), 0, 1), 5, if(ISBLANK('2025'!$S316), 0, 1), 6, if(ISBLANK('2025'!$T316), 0, 1), 7, 0))), 1, "")</f>
        <v/>
      </c>
      <c r="BD318" s="1" t="str">
        <f>IF(AND(AND(AND(BD$4&gt;='2025'!$L316,BD$4&lt;='2025'!$M316), BD$4&lt;&gt;DATE(2025,7,4)), (SWITCH(weekday(BD$4), 1, 0, 2, if(ISBLANK('2025'!$P316), 0, 1), 3, if(ISBLANK('2025'!$Q316), 0, 1), 4, if(ISBLANK('2025'!$R316), 0, 1), 5, if(ISBLANK('2025'!$S316), 0, 1), 6, if(ISBLANK('2025'!$T316), 0, 1), 7, 0))), 1, "")</f>
        <v/>
      </c>
      <c r="BE318" s="1" t="str">
        <f>IF(AND(AND(AND(BE$4&gt;='2025'!$L316,BE$4&lt;='2025'!$M316), BE$4&lt;&gt;DATE(2025,7,4)), (SWITCH(weekday(BE$4), 1, 0, 2, if(ISBLANK('2025'!$P316), 0, 1), 3, if(ISBLANK('2025'!$Q316), 0, 1), 4, if(ISBLANK('2025'!$R316), 0, 1), 5, if(ISBLANK('2025'!$S316), 0, 1), 6, if(ISBLANK('2025'!$T316), 0, 1), 7, 0))), 1, "")</f>
        <v/>
      </c>
      <c r="BF318" s="1" t="str">
        <f>IF(AND(AND(AND(BF$4&gt;='2025'!$L316,BF$4&lt;='2025'!$M316), BF$4&lt;&gt;DATE(2025,7,4)), (SWITCH(weekday(BF$4), 1, 0, 2, if(ISBLANK('2025'!$P316), 0, 1), 3, if(ISBLANK('2025'!$Q316), 0, 1), 4, if(ISBLANK('2025'!$R316), 0, 1), 5, if(ISBLANK('2025'!$S316), 0, 1), 6, if(ISBLANK('2025'!$T316), 0, 1), 7, 0))), 1, "")</f>
        <v/>
      </c>
      <c r="BG318" s="1"/>
      <c r="BH318" s="1"/>
      <c r="BI318" s="1"/>
      <c r="BJ318" s="1"/>
      <c r="BK318" s="1"/>
      <c r="BL318" s="1"/>
    </row>
    <row r="319">
      <c r="A319" s="1">
        <f t="shared" si="3"/>
        <v>319</v>
      </c>
      <c r="B319" s="1" t="str">
        <f>'2025'!D283</f>
        <v>, </v>
      </c>
      <c r="C319" s="1" t="str">
        <f>'2025'!H283</f>
        <v/>
      </c>
      <c r="D319" s="1" t="str">
        <f>IF(AND(AND(AND(D$4&gt;='2025'!$L317,D$4&lt;='2025'!$M317), D$4&lt;&gt;DATE(2025,7,4)), (SWITCH(weekday(D$4), 1, 0, 2, if(ISBLANK('2025'!$P317), 0, 1), 3, if(ISBLANK('2025'!$Q317), 0, 1), 4, if(ISBLANK('2025'!$R317), 0, 1), 5, if(ISBLANK('2025'!$S317), 0, 1), 6, if(ISBLANK('2025'!$T317), 0, 1), 7, 0))), 1, "")</f>
        <v/>
      </c>
      <c r="E319" s="1" t="str">
        <f>IF(AND(AND(AND(E$4&gt;='2025'!$L317,E$4&lt;='2025'!$M317), E$4&lt;&gt;DATE(2025,7,4)), (SWITCH(weekday(E$4), 1, 0, 2, if(ISBLANK('2025'!$P317), 0, 1), 3, if(ISBLANK('2025'!$Q317), 0, 1), 4, if(ISBLANK('2025'!$R317), 0, 1), 5, if(ISBLANK('2025'!$S317), 0, 1), 6, if(ISBLANK('2025'!$T317), 0, 1), 7, 0))), 1, "")</f>
        <v/>
      </c>
      <c r="F319" s="1" t="str">
        <f>IF(AND(AND(AND(F$4&gt;='2025'!$L317,F$4&lt;='2025'!$M317), F$4&lt;&gt;DATE(2025,7,4)), (SWITCH(weekday(F$4), 1, 0, 2, if(ISBLANK('2025'!$P317), 0, 1), 3, if(ISBLANK('2025'!$Q317), 0, 1), 4, if(ISBLANK('2025'!$R317), 0, 1), 5, if(ISBLANK('2025'!$S317), 0, 1), 6, if(ISBLANK('2025'!$T317), 0, 1), 7, 0))), 1, "")</f>
        <v/>
      </c>
      <c r="G319" s="1" t="str">
        <f>IF(AND(AND(AND(G$4&gt;='2025'!$L317,G$4&lt;='2025'!$M317), G$4&lt;&gt;DATE(2025,7,4)), (SWITCH(weekday(G$4), 1, 0, 2, if(ISBLANK('2025'!$P317), 0, 1), 3, if(ISBLANK('2025'!$Q317), 0, 1), 4, if(ISBLANK('2025'!$R317), 0, 1), 5, if(ISBLANK('2025'!$S317), 0, 1), 6, if(ISBLANK('2025'!$T317), 0, 1), 7, 0))), 1, "")</f>
        <v/>
      </c>
      <c r="H319" s="1" t="str">
        <f>IF(AND(AND(AND(H$4&gt;='2025'!$L317,H$4&lt;='2025'!$M317), H$4&lt;&gt;DATE(2025,7,4)), (SWITCH(weekday(H$4), 1, 0, 2, if(ISBLANK('2025'!$P317), 0, 1), 3, if(ISBLANK('2025'!$Q317), 0, 1), 4, if(ISBLANK('2025'!$R317), 0, 1), 5, if(ISBLANK('2025'!$S317), 0, 1), 6, if(ISBLANK('2025'!$T317), 0, 1), 7, 0))), 1, "")</f>
        <v/>
      </c>
      <c r="I319" s="1" t="str">
        <f>IF(AND(AND(AND(I$4&gt;='2025'!$L317,I$4&lt;='2025'!$M317), I$4&lt;&gt;DATE(2025,7,4)), (SWITCH(weekday(I$4), 1, 0, 2, if(ISBLANK('2025'!$P317), 0, 1), 3, if(ISBLANK('2025'!$Q317), 0, 1), 4, if(ISBLANK('2025'!$R317), 0, 1), 5, if(ISBLANK('2025'!$S317), 0, 1), 6, if(ISBLANK('2025'!$T317), 0, 1), 7, 0))), 1, "")</f>
        <v/>
      </c>
      <c r="J319" s="1" t="str">
        <f>IF(AND(AND(AND(J$4&gt;='2025'!$L317,J$4&lt;='2025'!$M317), J$4&lt;&gt;DATE(2025,7,4)), (SWITCH(weekday(J$4), 1, 0, 2, if(ISBLANK('2025'!$P317), 0, 1), 3, if(ISBLANK('2025'!$Q317), 0, 1), 4, if(ISBLANK('2025'!$R317), 0, 1), 5, if(ISBLANK('2025'!$S317), 0, 1), 6, if(ISBLANK('2025'!$T317), 0, 1), 7, 0))), 1, "")</f>
        <v/>
      </c>
      <c r="K319" s="1" t="str">
        <f>IF(AND(AND(AND(K$4&gt;='2025'!$L317,K$4&lt;='2025'!$M317), K$4&lt;&gt;DATE(2025,7,4)), (SWITCH(weekday(K$4), 1, 0, 2, if(ISBLANK('2025'!$P317), 0, 1), 3, if(ISBLANK('2025'!$Q317), 0, 1), 4, if(ISBLANK('2025'!$R317), 0, 1), 5, if(ISBLANK('2025'!$S317), 0, 1), 6, if(ISBLANK('2025'!$T317), 0, 1), 7, 0))), 1, "")</f>
        <v/>
      </c>
      <c r="L319" s="1" t="str">
        <f>IF(AND(AND(AND(L$4&gt;='2025'!$L317,L$4&lt;='2025'!$M317), L$4&lt;&gt;DATE(2025,7,4)), (SWITCH(weekday(L$4), 1, 0, 2, if(ISBLANK('2025'!$P317), 0, 1), 3, if(ISBLANK('2025'!$Q317), 0, 1), 4, if(ISBLANK('2025'!$R317), 0, 1), 5, if(ISBLANK('2025'!$S317), 0, 1), 6, if(ISBLANK('2025'!$T317), 0, 1), 7, 0))), 1, "")</f>
        <v/>
      </c>
      <c r="M319" s="1" t="str">
        <f>IF(AND(AND(AND(M$4&gt;='2025'!$L317,M$4&lt;='2025'!$M317), M$4&lt;&gt;DATE(2025,7,4)), (SWITCH(weekday(M$4), 1, 0, 2, if(ISBLANK('2025'!$P317), 0, 1), 3, if(ISBLANK('2025'!$Q317), 0, 1), 4, if(ISBLANK('2025'!$R317), 0, 1), 5, if(ISBLANK('2025'!$S317), 0, 1), 6, if(ISBLANK('2025'!$T317), 0, 1), 7, 0))), 1, "")</f>
        <v/>
      </c>
      <c r="N319" s="1" t="str">
        <f>IF(AND(AND(AND(N$4&gt;='2025'!$L317,N$4&lt;='2025'!$M317), N$4&lt;&gt;DATE(2025,7,4)), (SWITCH(weekday(N$4), 1, 0, 2, if(ISBLANK('2025'!$P317), 0, 1), 3, if(ISBLANK('2025'!$Q317), 0, 1), 4, if(ISBLANK('2025'!$R317), 0, 1), 5, if(ISBLANK('2025'!$S317), 0, 1), 6, if(ISBLANK('2025'!$T317), 0, 1), 7, 0))), 1, "")</f>
        <v/>
      </c>
      <c r="O319" s="1" t="str">
        <f>IF(AND(AND(AND(O$4&gt;='2025'!$L317,O$4&lt;='2025'!$M317), O$4&lt;&gt;DATE(2025,7,4)), (SWITCH(weekday(O$4), 1, 0, 2, if(ISBLANK('2025'!$P317), 0, 1), 3, if(ISBLANK('2025'!$Q317), 0, 1), 4, if(ISBLANK('2025'!$R317), 0, 1), 5, if(ISBLANK('2025'!$S317), 0, 1), 6, if(ISBLANK('2025'!$T317), 0, 1), 7, 0))), 1, "")</f>
        <v/>
      </c>
      <c r="P319" s="1" t="str">
        <f>IF(AND(AND(AND(P$4&gt;='2025'!$L317,P$4&lt;='2025'!$M317), P$4&lt;&gt;DATE(2025,7,4)), (SWITCH(weekday(P$4), 1, 0, 2, if(ISBLANK('2025'!$P317), 0, 1), 3, if(ISBLANK('2025'!$Q317), 0, 1), 4, if(ISBLANK('2025'!$R317), 0, 1), 5, if(ISBLANK('2025'!$S317), 0, 1), 6, if(ISBLANK('2025'!$T317), 0, 1), 7, 0))), 1, "")</f>
        <v/>
      </c>
      <c r="Q319" s="1" t="str">
        <f>IF(AND(AND(AND(Q$4&gt;='2025'!$L317,Q$4&lt;='2025'!$M317), Q$4&lt;&gt;DATE(2025,7,4)), (SWITCH(weekday(Q$4), 1, 0, 2, if(ISBLANK('2025'!$P317), 0, 1), 3, if(ISBLANK('2025'!$Q317), 0, 1), 4, if(ISBLANK('2025'!$R317), 0, 1), 5, if(ISBLANK('2025'!$S317), 0, 1), 6, if(ISBLANK('2025'!$T317), 0, 1), 7, 0))), 1, "")</f>
        <v/>
      </c>
      <c r="R319" s="1" t="str">
        <f>IF(AND(AND(AND(R$4&gt;='2025'!$L317,R$4&lt;='2025'!$M317), R$4&lt;&gt;DATE(2025,7,4)), (SWITCH(weekday(R$4), 1, 0, 2, if(ISBLANK('2025'!$P317), 0, 1), 3, if(ISBLANK('2025'!$Q317), 0, 1), 4, if(ISBLANK('2025'!$R317), 0, 1), 5, if(ISBLANK('2025'!$S317), 0, 1), 6, if(ISBLANK('2025'!$T317), 0, 1), 7, 0))), 1, "")</f>
        <v/>
      </c>
      <c r="S319" s="1" t="str">
        <f>IF(AND(AND(AND(S$4&gt;='2025'!$L317,S$4&lt;='2025'!$M317), S$4&lt;&gt;DATE(2025,7,4)), (SWITCH(weekday(S$4), 1, 0, 2, if(ISBLANK('2025'!$P317), 0, 1), 3, if(ISBLANK('2025'!$Q317), 0, 1), 4, if(ISBLANK('2025'!$R317), 0, 1), 5, if(ISBLANK('2025'!$S317), 0, 1), 6, if(ISBLANK('2025'!$T317), 0, 1), 7, 0))), 1, "")</f>
        <v/>
      </c>
      <c r="T319" s="1" t="str">
        <f>IF(AND(AND(AND(T$4&gt;='2025'!$L317,T$4&lt;='2025'!$M317), T$4&lt;&gt;DATE(2025,7,4)), (SWITCH(weekday(T$4), 1, 0, 2, if(ISBLANK('2025'!$P317), 0, 1), 3, if(ISBLANK('2025'!$Q317), 0, 1), 4, if(ISBLANK('2025'!$R317), 0, 1), 5, if(ISBLANK('2025'!$S317), 0, 1), 6, if(ISBLANK('2025'!$T317), 0, 1), 7, 0))), 1, "")</f>
        <v/>
      </c>
      <c r="U319" s="1" t="str">
        <f>IF(AND(AND(AND(U$4&gt;='2025'!$L317,U$4&lt;='2025'!$M317), U$4&lt;&gt;DATE(2025,7,4)), (SWITCH(weekday(U$4), 1, 0, 2, if(ISBLANK('2025'!$P317), 0, 1), 3, if(ISBLANK('2025'!$Q317), 0, 1), 4, if(ISBLANK('2025'!$R317), 0, 1), 5, if(ISBLANK('2025'!$S317), 0, 1), 6, if(ISBLANK('2025'!$T317), 0, 1), 7, 0))), 1, "")</f>
        <v/>
      </c>
      <c r="V319" s="1" t="str">
        <f>IF(AND(AND(AND(V$4&gt;='2025'!$L317,V$4&lt;='2025'!$M317), V$4&lt;&gt;DATE(2025,7,4)), (SWITCH(weekday(V$4), 1, 0, 2, if(ISBLANK('2025'!$P317), 0, 1), 3, if(ISBLANK('2025'!$Q317), 0, 1), 4, if(ISBLANK('2025'!$R317), 0, 1), 5, if(ISBLANK('2025'!$S317), 0, 1), 6, if(ISBLANK('2025'!$T317), 0, 1), 7, 0))), 1, "")</f>
        <v/>
      </c>
      <c r="W319" s="1" t="str">
        <f>IF(AND(AND(AND(W$4&gt;='2025'!$L317,W$4&lt;='2025'!$M317), W$4&lt;&gt;DATE(2025,7,4)), (SWITCH(weekday(W$4), 1, 0, 2, if(ISBLANK('2025'!$P317), 0, 1), 3, if(ISBLANK('2025'!$Q317), 0, 1), 4, if(ISBLANK('2025'!$R317), 0, 1), 5, if(ISBLANK('2025'!$S317), 0, 1), 6, if(ISBLANK('2025'!$T317), 0, 1), 7, 0))), 1, "")</f>
        <v/>
      </c>
      <c r="X319" s="1" t="str">
        <f>IF(AND(AND(AND(X$4&gt;='2025'!$L317,X$4&lt;='2025'!$M317), X$4&lt;&gt;DATE(2025,7,4)), (SWITCH(weekday(X$4), 1, 0, 2, if(ISBLANK('2025'!$P317), 0, 1), 3, if(ISBLANK('2025'!$Q317), 0, 1), 4, if(ISBLANK('2025'!$R317), 0, 1), 5, if(ISBLANK('2025'!$S317), 0, 1), 6, if(ISBLANK('2025'!$T317), 0, 1), 7, 0))), 1, "")</f>
        <v/>
      </c>
      <c r="Y319" s="1" t="str">
        <f>IF(AND(AND(AND(Y$4&gt;='2025'!$L317,Y$4&lt;='2025'!$M317), Y$4&lt;&gt;DATE(2025,7,4)), (SWITCH(weekday(Y$4), 1, 0, 2, if(ISBLANK('2025'!$P317), 0, 1), 3, if(ISBLANK('2025'!$Q317), 0, 1), 4, if(ISBLANK('2025'!$R317), 0, 1), 5, if(ISBLANK('2025'!$S317), 0, 1), 6, if(ISBLANK('2025'!$T317), 0, 1), 7, 0))), 1, "")</f>
        <v/>
      </c>
      <c r="Z319" s="1" t="str">
        <f>IF(AND(AND(AND(Z$4&gt;='2025'!$L317,Z$4&lt;='2025'!$M317), Z$4&lt;&gt;DATE(2025,7,4)), (SWITCH(weekday(Z$4), 1, 0, 2, if(ISBLANK('2025'!$P317), 0, 1), 3, if(ISBLANK('2025'!$Q317), 0, 1), 4, if(ISBLANK('2025'!$R317), 0, 1), 5, if(ISBLANK('2025'!$S317), 0, 1), 6, if(ISBLANK('2025'!$T317), 0, 1), 7, 0))), 1, "")</f>
        <v/>
      </c>
      <c r="AA319" s="1" t="str">
        <f>IF(AND(AND(AND(AA$4&gt;='2025'!$L317,AA$4&lt;='2025'!$M317), AA$4&lt;&gt;DATE(2025,7,4)), (SWITCH(weekday(AA$4), 1, 0, 2, if(ISBLANK('2025'!$P317), 0, 1), 3, if(ISBLANK('2025'!$Q317), 0, 1), 4, if(ISBLANK('2025'!$R317), 0, 1), 5, if(ISBLANK('2025'!$S317), 0, 1), 6, if(ISBLANK('2025'!$T317), 0, 1), 7, 0))), 1, "")</f>
        <v/>
      </c>
      <c r="AB319" s="1" t="str">
        <f>IF(AND(AND(AND(AB$4&gt;='2025'!$L317,AB$4&lt;='2025'!$M317), AB$4&lt;&gt;DATE(2025,7,4)), (SWITCH(weekday(AB$4), 1, 0, 2, if(ISBLANK('2025'!$P317), 0, 1), 3, if(ISBLANK('2025'!$Q317), 0, 1), 4, if(ISBLANK('2025'!$R317), 0, 1), 5, if(ISBLANK('2025'!$S317), 0, 1), 6, if(ISBLANK('2025'!$T317), 0, 1), 7, 0))), 1, "")</f>
        <v/>
      </c>
      <c r="AC319" s="1" t="str">
        <f>IF(AND(AND(AND(AC$4&gt;='2025'!$L317,AC$4&lt;='2025'!$M317), AC$4&lt;&gt;DATE(2025,7,4)), (SWITCH(weekday(AC$4), 1, 0, 2, if(ISBLANK('2025'!$P317), 0, 1), 3, if(ISBLANK('2025'!$Q317), 0, 1), 4, if(ISBLANK('2025'!$R317), 0, 1), 5, if(ISBLANK('2025'!$S317), 0, 1), 6, if(ISBLANK('2025'!$T317), 0, 1), 7, 0))), 1, "")</f>
        <v/>
      </c>
      <c r="AD319" s="1" t="str">
        <f>IF(AND(AND(AND(AD$4&gt;='2025'!$L317,AD$4&lt;='2025'!$M317), AD$4&lt;&gt;DATE(2025,7,4)), (SWITCH(weekday(AD$4), 1, 0, 2, if(ISBLANK('2025'!$P317), 0, 1), 3, if(ISBLANK('2025'!$Q317), 0, 1), 4, if(ISBLANK('2025'!$R317), 0, 1), 5, if(ISBLANK('2025'!$S317), 0, 1), 6, if(ISBLANK('2025'!$T317), 0, 1), 7, 0))), 1, "")</f>
        <v/>
      </c>
      <c r="AE319" s="1" t="str">
        <f>IF(AND(AND(AND(AE$4&gt;='2025'!$L317,AE$4&lt;='2025'!$M317), AE$4&lt;&gt;DATE(2025,7,4)), (SWITCH(weekday(AE$4), 1, 0, 2, if(ISBLANK('2025'!$P317), 0, 1), 3, if(ISBLANK('2025'!$Q317), 0, 1), 4, if(ISBLANK('2025'!$R317), 0, 1), 5, if(ISBLANK('2025'!$S317), 0, 1), 6, if(ISBLANK('2025'!$T317), 0, 1), 7, 0))), 1, "")</f>
        <v/>
      </c>
      <c r="AF319" s="1" t="str">
        <f>IF(AND(AND(AND(AF$4&gt;='2025'!$L317,AF$4&lt;='2025'!$M317), AF$4&lt;&gt;DATE(2025,7,4)), (SWITCH(weekday(AF$4), 1, 0, 2, if(ISBLANK('2025'!$P317), 0, 1), 3, if(ISBLANK('2025'!$Q317), 0, 1), 4, if(ISBLANK('2025'!$R317), 0, 1), 5, if(ISBLANK('2025'!$S317), 0, 1), 6, if(ISBLANK('2025'!$T317), 0, 1), 7, 0))), 1, "")</f>
        <v/>
      </c>
      <c r="AG319" s="1" t="str">
        <f>IF(AND(AND(AND(AG$4&gt;='2025'!$L317,AG$4&lt;='2025'!$M317), AG$4&lt;&gt;DATE(2025,7,4)), (SWITCH(weekday(AG$4), 1, 0, 2, if(ISBLANK('2025'!$P317), 0, 1), 3, if(ISBLANK('2025'!$Q317), 0, 1), 4, if(ISBLANK('2025'!$R317), 0, 1), 5, if(ISBLANK('2025'!$S317), 0, 1), 6, if(ISBLANK('2025'!$T317), 0, 1), 7, 0))), 1, "")</f>
        <v/>
      </c>
      <c r="AH319" s="1" t="str">
        <f>IF(AND(AND(AND(AH$4&gt;='2025'!$L317,AH$4&lt;='2025'!$M317), AH$4&lt;&gt;DATE(2025,7,4)), (SWITCH(weekday(AH$4), 1, 0, 2, if(ISBLANK('2025'!$P317), 0, 1), 3, if(ISBLANK('2025'!$Q317), 0, 1), 4, if(ISBLANK('2025'!$R317), 0, 1), 5, if(ISBLANK('2025'!$S317), 0, 1), 6, if(ISBLANK('2025'!$T317), 0, 1), 7, 0))), 1, "")</f>
        <v/>
      </c>
      <c r="AI319" s="1" t="str">
        <f>IF(AND(AND(AND(AI$4&gt;='2025'!$L317,AI$4&lt;='2025'!$M317), AI$4&lt;&gt;DATE(2025,7,4)), (SWITCH(weekday(AI$4), 1, 0, 2, if(ISBLANK('2025'!$P317), 0, 1), 3, if(ISBLANK('2025'!$Q317), 0, 1), 4, if(ISBLANK('2025'!$R317), 0, 1), 5, if(ISBLANK('2025'!$S317), 0, 1), 6, if(ISBLANK('2025'!$T317), 0, 1), 7, 0))), 1, "")</f>
        <v/>
      </c>
      <c r="AJ319" s="1" t="str">
        <f>IF(AND(AND(AND(AJ$4&gt;='2025'!$L317,AJ$4&lt;='2025'!$M317), AJ$4&lt;&gt;DATE(2025,7,4)), (SWITCH(weekday(AJ$4), 1, 0, 2, if(ISBLANK('2025'!$P317), 0, 1), 3, if(ISBLANK('2025'!$Q317), 0, 1), 4, if(ISBLANK('2025'!$R317), 0, 1), 5, if(ISBLANK('2025'!$S317), 0, 1), 6, if(ISBLANK('2025'!$T317), 0, 1), 7, 0))), 1, "")</f>
        <v/>
      </c>
      <c r="AK319" s="1" t="str">
        <f>IF(AND(AND(AND(AK$4&gt;='2025'!$L317,AK$4&lt;='2025'!$M317), AK$4&lt;&gt;DATE(2025,7,4)), (SWITCH(weekday(AK$4), 1, 0, 2, if(ISBLANK('2025'!$P317), 0, 1), 3, if(ISBLANK('2025'!$Q317), 0, 1), 4, if(ISBLANK('2025'!$R317), 0, 1), 5, if(ISBLANK('2025'!$S317), 0, 1), 6, if(ISBLANK('2025'!$T317), 0, 1), 7, 0))), 1, "")</f>
        <v/>
      </c>
      <c r="AL319" s="1" t="str">
        <f>IF(AND(AND(AND(AL$4&gt;='2025'!$L317,AL$4&lt;='2025'!$M317), AL$4&lt;&gt;DATE(2025,7,4)), (SWITCH(weekday(AL$4), 1, 0, 2, if(ISBLANK('2025'!$P317), 0, 1), 3, if(ISBLANK('2025'!$Q317), 0, 1), 4, if(ISBLANK('2025'!$R317), 0, 1), 5, if(ISBLANK('2025'!$S317), 0, 1), 6, if(ISBLANK('2025'!$T317), 0, 1), 7, 0))), 1, "")</f>
        <v/>
      </c>
      <c r="AM319" s="1" t="str">
        <f>IF(AND(AND(AND(AM$4&gt;='2025'!$L317,AM$4&lt;='2025'!$M317), AM$4&lt;&gt;DATE(2025,7,4)), (SWITCH(weekday(AM$4), 1, 0, 2, if(ISBLANK('2025'!$P317), 0, 1), 3, if(ISBLANK('2025'!$Q317), 0, 1), 4, if(ISBLANK('2025'!$R317), 0, 1), 5, if(ISBLANK('2025'!$S317), 0, 1), 6, if(ISBLANK('2025'!$T317), 0, 1), 7, 0))), 1, "")</f>
        <v/>
      </c>
      <c r="AN319" s="1" t="str">
        <f>IF(AND(AND(AND(AN$4&gt;='2025'!$L317,AN$4&lt;='2025'!$M317), AN$4&lt;&gt;DATE(2025,7,4)), (SWITCH(weekday(AN$4), 1, 0, 2, if(ISBLANK('2025'!$P317), 0, 1), 3, if(ISBLANK('2025'!$Q317), 0, 1), 4, if(ISBLANK('2025'!$R317), 0, 1), 5, if(ISBLANK('2025'!$S317), 0, 1), 6, if(ISBLANK('2025'!$T317), 0, 1), 7, 0))), 1, "")</f>
        <v/>
      </c>
      <c r="AO319" s="1" t="str">
        <f>IF(AND(AND(AND(AO$4&gt;='2025'!$L317,AO$4&lt;='2025'!$M317), AO$4&lt;&gt;DATE(2025,7,4)), (SWITCH(weekday(AO$4), 1, 0, 2, if(ISBLANK('2025'!$P317), 0, 1), 3, if(ISBLANK('2025'!$Q317), 0, 1), 4, if(ISBLANK('2025'!$R317), 0, 1), 5, if(ISBLANK('2025'!$S317), 0, 1), 6, if(ISBLANK('2025'!$T317), 0, 1), 7, 0))), 1, "")</f>
        <v/>
      </c>
      <c r="AP319" s="1" t="str">
        <f>IF(AND(AND(AND(AP$4&gt;='2025'!$L317,AP$4&lt;='2025'!$M317), AP$4&lt;&gt;DATE(2025,7,4)), (SWITCH(weekday(AP$4), 1, 0, 2, if(ISBLANK('2025'!$P317), 0, 1), 3, if(ISBLANK('2025'!$Q317), 0, 1), 4, if(ISBLANK('2025'!$R317), 0, 1), 5, if(ISBLANK('2025'!$S317), 0, 1), 6, if(ISBLANK('2025'!$T317), 0, 1), 7, 0))), 1, "")</f>
        <v/>
      </c>
      <c r="AQ319" s="1" t="str">
        <f>IF(AND(AND(AND(AQ$4&gt;='2025'!$L317,AQ$4&lt;='2025'!$M317), AQ$4&lt;&gt;DATE(2025,7,4)), (SWITCH(weekday(AQ$4), 1, 0, 2, if(ISBLANK('2025'!$P317), 0, 1), 3, if(ISBLANK('2025'!$Q317), 0, 1), 4, if(ISBLANK('2025'!$R317), 0, 1), 5, if(ISBLANK('2025'!$S317), 0, 1), 6, if(ISBLANK('2025'!$T317), 0, 1), 7, 0))), 1, "")</f>
        <v/>
      </c>
      <c r="AR319" s="1" t="str">
        <f>IF(AND(AND(AND(AR$4&gt;='2025'!$L317,AR$4&lt;='2025'!$M317), AR$4&lt;&gt;DATE(2025,7,4)), (SWITCH(weekday(AR$4), 1, 0, 2, if(ISBLANK('2025'!$P317), 0, 1), 3, if(ISBLANK('2025'!$Q317), 0, 1), 4, if(ISBLANK('2025'!$R317), 0, 1), 5, if(ISBLANK('2025'!$S317), 0, 1), 6, if(ISBLANK('2025'!$T317), 0, 1), 7, 0))), 1, "")</f>
        <v/>
      </c>
      <c r="AS319" s="1" t="str">
        <f>IF(AND(AND(AND(AS$4&gt;='2025'!$L317,AS$4&lt;='2025'!$M317), AS$4&lt;&gt;DATE(2025,7,4)), (SWITCH(weekday(AS$4), 1, 0, 2, if(ISBLANK('2025'!$P317), 0, 1), 3, if(ISBLANK('2025'!$Q317), 0, 1), 4, if(ISBLANK('2025'!$R317), 0, 1), 5, if(ISBLANK('2025'!$S317), 0, 1), 6, if(ISBLANK('2025'!$T317), 0, 1), 7, 0))), 1, "")</f>
        <v/>
      </c>
      <c r="AT319" s="1" t="str">
        <f>IF(AND(AND(AND(AT$4&gt;='2025'!$L317,AT$4&lt;='2025'!$M317), AT$4&lt;&gt;DATE(2025,7,4)), (SWITCH(weekday(AT$4), 1, 0, 2, if(ISBLANK('2025'!$P317), 0, 1), 3, if(ISBLANK('2025'!$Q317), 0, 1), 4, if(ISBLANK('2025'!$R317), 0, 1), 5, if(ISBLANK('2025'!$S317), 0, 1), 6, if(ISBLANK('2025'!$T317), 0, 1), 7, 0))), 1, "")</f>
        <v/>
      </c>
      <c r="AU319" s="1" t="str">
        <f>IF(AND(AND(AND(AU$4&gt;='2025'!$L317,AU$4&lt;='2025'!$M317), AU$4&lt;&gt;DATE(2025,7,4)), (SWITCH(weekday(AU$4), 1, 0, 2, if(ISBLANK('2025'!$P317), 0, 1), 3, if(ISBLANK('2025'!$Q317), 0, 1), 4, if(ISBLANK('2025'!$R317), 0, 1), 5, if(ISBLANK('2025'!$S317), 0, 1), 6, if(ISBLANK('2025'!$T317), 0, 1), 7, 0))), 1, "")</f>
        <v/>
      </c>
      <c r="AV319" s="1" t="str">
        <f>IF(AND(AND(AND(AV$4&gt;='2025'!$L317,AV$4&lt;='2025'!$M317), AV$4&lt;&gt;DATE(2025,7,4)), (SWITCH(weekday(AV$4), 1, 0, 2, if(ISBLANK('2025'!$P317), 0, 1), 3, if(ISBLANK('2025'!$Q317), 0, 1), 4, if(ISBLANK('2025'!$R317), 0, 1), 5, if(ISBLANK('2025'!$S317), 0, 1), 6, if(ISBLANK('2025'!$T317), 0, 1), 7, 0))), 1, "")</f>
        <v/>
      </c>
      <c r="AW319" s="1" t="str">
        <f>IF(AND(AND(AND(AW$4&gt;='2025'!$L317,AW$4&lt;='2025'!$M317), AW$4&lt;&gt;DATE(2025,7,4)), (SWITCH(weekday(AW$4), 1, 0, 2, if(ISBLANK('2025'!$P317), 0, 1), 3, if(ISBLANK('2025'!$Q317), 0, 1), 4, if(ISBLANK('2025'!$R317), 0, 1), 5, if(ISBLANK('2025'!$S317), 0, 1), 6, if(ISBLANK('2025'!$T317), 0, 1), 7, 0))), 1, "")</f>
        <v/>
      </c>
      <c r="AX319" s="1" t="str">
        <f>IF(AND(AND(AND(AX$4&gt;='2025'!$L317,AX$4&lt;='2025'!$M317), AX$4&lt;&gt;DATE(2025,7,4)), (SWITCH(weekday(AX$4), 1, 0, 2, if(ISBLANK('2025'!$P317), 0, 1), 3, if(ISBLANK('2025'!$Q317), 0, 1), 4, if(ISBLANK('2025'!$R317), 0, 1), 5, if(ISBLANK('2025'!$S317), 0, 1), 6, if(ISBLANK('2025'!$T317), 0, 1), 7, 0))), 1, "")</f>
        <v/>
      </c>
      <c r="AY319" s="1" t="str">
        <f>IF(AND(AND(AND(AY$4&gt;='2025'!$L317,AY$4&lt;='2025'!$M317), AY$4&lt;&gt;DATE(2025,7,4)), (SWITCH(weekday(AY$4), 1, 0, 2, if(ISBLANK('2025'!$P317), 0, 1), 3, if(ISBLANK('2025'!$Q317), 0, 1), 4, if(ISBLANK('2025'!$R317), 0, 1), 5, if(ISBLANK('2025'!$S317), 0, 1), 6, if(ISBLANK('2025'!$T317), 0, 1), 7, 0))), 1, "")</f>
        <v/>
      </c>
      <c r="AZ319" s="1" t="str">
        <f>IF(AND(AND(AND(AZ$4&gt;='2025'!$L317,AZ$4&lt;='2025'!$M317), AZ$4&lt;&gt;DATE(2025,7,4)), (SWITCH(weekday(AZ$4), 1, 0, 2, if(ISBLANK('2025'!$P317), 0, 1), 3, if(ISBLANK('2025'!$Q317), 0, 1), 4, if(ISBLANK('2025'!$R317), 0, 1), 5, if(ISBLANK('2025'!$S317), 0, 1), 6, if(ISBLANK('2025'!$T317), 0, 1), 7, 0))), 1, "")</f>
        <v/>
      </c>
      <c r="BA319" s="1" t="str">
        <f>IF(AND(AND(AND(BA$4&gt;='2025'!$L317,BA$4&lt;='2025'!$M317), BA$4&lt;&gt;DATE(2025,7,4)), (SWITCH(weekday(BA$4), 1, 0, 2, if(ISBLANK('2025'!$P317), 0, 1), 3, if(ISBLANK('2025'!$Q317), 0, 1), 4, if(ISBLANK('2025'!$R317), 0, 1), 5, if(ISBLANK('2025'!$S317), 0, 1), 6, if(ISBLANK('2025'!$T317), 0, 1), 7, 0))), 1, "")</f>
        <v/>
      </c>
      <c r="BB319" s="1" t="str">
        <f>IF(AND(AND(AND(BB$4&gt;='2025'!$L317,BB$4&lt;='2025'!$M317), BB$4&lt;&gt;DATE(2025,7,4)), (SWITCH(weekday(BB$4), 1, 0, 2, if(ISBLANK('2025'!$P317), 0, 1), 3, if(ISBLANK('2025'!$Q317), 0, 1), 4, if(ISBLANK('2025'!$R317), 0, 1), 5, if(ISBLANK('2025'!$S317), 0, 1), 6, if(ISBLANK('2025'!$T317), 0, 1), 7, 0))), 1, "")</f>
        <v/>
      </c>
      <c r="BC319" s="1" t="str">
        <f>IF(AND(AND(AND(BC$4&gt;='2025'!$L317,BC$4&lt;='2025'!$M317), BC$4&lt;&gt;DATE(2025,7,4)), (SWITCH(weekday(BC$4), 1, 0, 2, if(ISBLANK('2025'!$P317), 0, 1), 3, if(ISBLANK('2025'!$Q317), 0, 1), 4, if(ISBLANK('2025'!$R317), 0, 1), 5, if(ISBLANK('2025'!$S317), 0, 1), 6, if(ISBLANK('2025'!$T317), 0, 1), 7, 0))), 1, "")</f>
        <v/>
      </c>
      <c r="BD319" s="1" t="str">
        <f>IF(AND(AND(AND(BD$4&gt;='2025'!$L317,BD$4&lt;='2025'!$M317), BD$4&lt;&gt;DATE(2025,7,4)), (SWITCH(weekday(BD$4), 1, 0, 2, if(ISBLANK('2025'!$P317), 0, 1), 3, if(ISBLANK('2025'!$Q317), 0, 1), 4, if(ISBLANK('2025'!$R317), 0, 1), 5, if(ISBLANK('2025'!$S317), 0, 1), 6, if(ISBLANK('2025'!$T317), 0, 1), 7, 0))), 1, "")</f>
        <v/>
      </c>
      <c r="BE319" s="1" t="str">
        <f>IF(AND(AND(AND(BE$4&gt;='2025'!$L317,BE$4&lt;='2025'!$M317), BE$4&lt;&gt;DATE(2025,7,4)), (SWITCH(weekday(BE$4), 1, 0, 2, if(ISBLANK('2025'!$P317), 0, 1), 3, if(ISBLANK('2025'!$Q317), 0, 1), 4, if(ISBLANK('2025'!$R317), 0, 1), 5, if(ISBLANK('2025'!$S317), 0, 1), 6, if(ISBLANK('2025'!$T317), 0, 1), 7, 0))), 1, "")</f>
        <v/>
      </c>
      <c r="BF319" s="1" t="str">
        <f>IF(AND(AND(AND(BF$4&gt;='2025'!$L317,BF$4&lt;='2025'!$M317), BF$4&lt;&gt;DATE(2025,7,4)), (SWITCH(weekday(BF$4), 1, 0, 2, if(ISBLANK('2025'!$P317), 0, 1), 3, if(ISBLANK('2025'!$Q317), 0, 1), 4, if(ISBLANK('2025'!$R317), 0, 1), 5, if(ISBLANK('2025'!$S317), 0, 1), 6, if(ISBLANK('2025'!$T317), 0, 1), 7, 0))), 1, "")</f>
        <v/>
      </c>
      <c r="BG319" s="1"/>
      <c r="BH319" s="1"/>
      <c r="BI319" s="1"/>
      <c r="BJ319" s="1"/>
      <c r="BK319" s="1"/>
      <c r="BL319" s="1"/>
    </row>
    <row r="320">
      <c r="A320" s="1">
        <f t="shared" si="3"/>
        <v>320</v>
      </c>
      <c r="B320" s="1" t="str">
        <f>'2025'!D284</f>
        <v>, </v>
      </c>
      <c r="C320" s="1" t="str">
        <f>'2025'!H284</f>
        <v/>
      </c>
      <c r="D320" s="1" t="str">
        <f>IF(AND(AND(AND(D$4&gt;='2025'!$L318,D$4&lt;='2025'!$M318), D$4&lt;&gt;DATE(2025,7,4)), (SWITCH(weekday(D$4), 1, 0, 2, if(ISBLANK('2025'!$P318), 0, 1), 3, if(ISBLANK('2025'!$Q318), 0, 1), 4, if(ISBLANK('2025'!$R318), 0, 1), 5, if(ISBLANK('2025'!$S318), 0, 1), 6, if(ISBLANK('2025'!$T318), 0, 1), 7, 0))), 1, "")</f>
        <v/>
      </c>
      <c r="E320" s="1" t="str">
        <f>IF(AND(AND(AND(E$4&gt;='2025'!$L318,E$4&lt;='2025'!$M318), E$4&lt;&gt;DATE(2025,7,4)), (SWITCH(weekday(E$4), 1, 0, 2, if(ISBLANK('2025'!$P318), 0, 1), 3, if(ISBLANK('2025'!$Q318), 0, 1), 4, if(ISBLANK('2025'!$R318), 0, 1), 5, if(ISBLANK('2025'!$S318), 0, 1), 6, if(ISBLANK('2025'!$T318), 0, 1), 7, 0))), 1, "")</f>
        <v/>
      </c>
      <c r="F320" s="1" t="str">
        <f>IF(AND(AND(AND(F$4&gt;='2025'!$L318,F$4&lt;='2025'!$M318), F$4&lt;&gt;DATE(2025,7,4)), (SWITCH(weekday(F$4), 1, 0, 2, if(ISBLANK('2025'!$P318), 0, 1), 3, if(ISBLANK('2025'!$Q318), 0, 1), 4, if(ISBLANK('2025'!$R318), 0, 1), 5, if(ISBLANK('2025'!$S318), 0, 1), 6, if(ISBLANK('2025'!$T318), 0, 1), 7, 0))), 1, "")</f>
        <v/>
      </c>
      <c r="G320" s="1" t="str">
        <f>IF(AND(AND(AND(G$4&gt;='2025'!$L318,G$4&lt;='2025'!$M318), G$4&lt;&gt;DATE(2025,7,4)), (SWITCH(weekday(G$4), 1, 0, 2, if(ISBLANK('2025'!$P318), 0, 1), 3, if(ISBLANK('2025'!$Q318), 0, 1), 4, if(ISBLANK('2025'!$R318), 0, 1), 5, if(ISBLANK('2025'!$S318), 0, 1), 6, if(ISBLANK('2025'!$T318), 0, 1), 7, 0))), 1, "")</f>
        <v/>
      </c>
      <c r="H320" s="1" t="str">
        <f>IF(AND(AND(AND(H$4&gt;='2025'!$L318,H$4&lt;='2025'!$M318), H$4&lt;&gt;DATE(2025,7,4)), (SWITCH(weekday(H$4), 1, 0, 2, if(ISBLANK('2025'!$P318), 0, 1), 3, if(ISBLANK('2025'!$Q318), 0, 1), 4, if(ISBLANK('2025'!$R318), 0, 1), 5, if(ISBLANK('2025'!$S318), 0, 1), 6, if(ISBLANK('2025'!$T318), 0, 1), 7, 0))), 1, "")</f>
        <v/>
      </c>
      <c r="I320" s="1" t="str">
        <f>IF(AND(AND(AND(I$4&gt;='2025'!$L318,I$4&lt;='2025'!$M318), I$4&lt;&gt;DATE(2025,7,4)), (SWITCH(weekday(I$4), 1, 0, 2, if(ISBLANK('2025'!$P318), 0, 1), 3, if(ISBLANK('2025'!$Q318), 0, 1), 4, if(ISBLANK('2025'!$R318), 0, 1), 5, if(ISBLANK('2025'!$S318), 0, 1), 6, if(ISBLANK('2025'!$T318), 0, 1), 7, 0))), 1, "")</f>
        <v/>
      </c>
      <c r="J320" s="1" t="str">
        <f>IF(AND(AND(AND(J$4&gt;='2025'!$L318,J$4&lt;='2025'!$M318), J$4&lt;&gt;DATE(2025,7,4)), (SWITCH(weekday(J$4), 1, 0, 2, if(ISBLANK('2025'!$P318), 0, 1), 3, if(ISBLANK('2025'!$Q318), 0, 1), 4, if(ISBLANK('2025'!$R318), 0, 1), 5, if(ISBLANK('2025'!$S318), 0, 1), 6, if(ISBLANK('2025'!$T318), 0, 1), 7, 0))), 1, "")</f>
        <v/>
      </c>
      <c r="K320" s="1" t="str">
        <f>IF(AND(AND(AND(K$4&gt;='2025'!$L318,K$4&lt;='2025'!$M318), K$4&lt;&gt;DATE(2025,7,4)), (SWITCH(weekday(K$4), 1, 0, 2, if(ISBLANK('2025'!$P318), 0, 1), 3, if(ISBLANK('2025'!$Q318), 0, 1), 4, if(ISBLANK('2025'!$R318), 0, 1), 5, if(ISBLANK('2025'!$S318), 0, 1), 6, if(ISBLANK('2025'!$T318), 0, 1), 7, 0))), 1, "")</f>
        <v/>
      </c>
      <c r="L320" s="1" t="str">
        <f>IF(AND(AND(AND(L$4&gt;='2025'!$L318,L$4&lt;='2025'!$M318), L$4&lt;&gt;DATE(2025,7,4)), (SWITCH(weekday(L$4), 1, 0, 2, if(ISBLANK('2025'!$P318), 0, 1), 3, if(ISBLANK('2025'!$Q318), 0, 1), 4, if(ISBLANK('2025'!$R318), 0, 1), 5, if(ISBLANK('2025'!$S318), 0, 1), 6, if(ISBLANK('2025'!$T318), 0, 1), 7, 0))), 1, "")</f>
        <v/>
      </c>
      <c r="M320" s="1" t="str">
        <f>IF(AND(AND(AND(M$4&gt;='2025'!$L318,M$4&lt;='2025'!$M318), M$4&lt;&gt;DATE(2025,7,4)), (SWITCH(weekday(M$4), 1, 0, 2, if(ISBLANK('2025'!$P318), 0, 1), 3, if(ISBLANK('2025'!$Q318), 0, 1), 4, if(ISBLANK('2025'!$R318), 0, 1), 5, if(ISBLANK('2025'!$S318), 0, 1), 6, if(ISBLANK('2025'!$T318), 0, 1), 7, 0))), 1, "")</f>
        <v/>
      </c>
      <c r="N320" s="1" t="str">
        <f>IF(AND(AND(AND(N$4&gt;='2025'!$L318,N$4&lt;='2025'!$M318), N$4&lt;&gt;DATE(2025,7,4)), (SWITCH(weekday(N$4), 1, 0, 2, if(ISBLANK('2025'!$P318), 0, 1), 3, if(ISBLANK('2025'!$Q318), 0, 1), 4, if(ISBLANK('2025'!$R318), 0, 1), 5, if(ISBLANK('2025'!$S318), 0, 1), 6, if(ISBLANK('2025'!$T318), 0, 1), 7, 0))), 1, "")</f>
        <v/>
      </c>
      <c r="O320" s="1" t="str">
        <f>IF(AND(AND(AND(O$4&gt;='2025'!$L318,O$4&lt;='2025'!$M318), O$4&lt;&gt;DATE(2025,7,4)), (SWITCH(weekday(O$4), 1, 0, 2, if(ISBLANK('2025'!$P318), 0, 1), 3, if(ISBLANK('2025'!$Q318), 0, 1), 4, if(ISBLANK('2025'!$R318), 0, 1), 5, if(ISBLANK('2025'!$S318), 0, 1), 6, if(ISBLANK('2025'!$T318), 0, 1), 7, 0))), 1, "")</f>
        <v/>
      </c>
      <c r="P320" s="1" t="str">
        <f>IF(AND(AND(AND(P$4&gt;='2025'!$L318,P$4&lt;='2025'!$M318), P$4&lt;&gt;DATE(2025,7,4)), (SWITCH(weekday(P$4), 1, 0, 2, if(ISBLANK('2025'!$P318), 0, 1), 3, if(ISBLANK('2025'!$Q318), 0, 1), 4, if(ISBLANK('2025'!$R318), 0, 1), 5, if(ISBLANK('2025'!$S318), 0, 1), 6, if(ISBLANK('2025'!$T318), 0, 1), 7, 0))), 1, "")</f>
        <v/>
      </c>
      <c r="Q320" s="1" t="str">
        <f>IF(AND(AND(AND(Q$4&gt;='2025'!$L318,Q$4&lt;='2025'!$M318), Q$4&lt;&gt;DATE(2025,7,4)), (SWITCH(weekday(Q$4), 1, 0, 2, if(ISBLANK('2025'!$P318), 0, 1), 3, if(ISBLANK('2025'!$Q318), 0, 1), 4, if(ISBLANK('2025'!$R318), 0, 1), 5, if(ISBLANK('2025'!$S318), 0, 1), 6, if(ISBLANK('2025'!$T318), 0, 1), 7, 0))), 1, "")</f>
        <v/>
      </c>
      <c r="R320" s="1" t="str">
        <f>IF(AND(AND(AND(R$4&gt;='2025'!$L318,R$4&lt;='2025'!$M318), R$4&lt;&gt;DATE(2025,7,4)), (SWITCH(weekday(R$4), 1, 0, 2, if(ISBLANK('2025'!$P318), 0, 1), 3, if(ISBLANK('2025'!$Q318), 0, 1), 4, if(ISBLANK('2025'!$R318), 0, 1), 5, if(ISBLANK('2025'!$S318), 0, 1), 6, if(ISBLANK('2025'!$T318), 0, 1), 7, 0))), 1, "")</f>
        <v/>
      </c>
      <c r="S320" s="1" t="str">
        <f>IF(AND(AND(AND(S$4&gt;='2025'!$L318,S$4&lt;='2025'!$M318), S$4&lt;&gt;DATE(2025,7,4)), (SWITCH(weekday(S$4), 1, 0, 2, if(ISBLANK('2025'!$P318), 0, 1), 3, if(ISBLANK('2025'!$Q318), 0, 1), 4, if(ISBLANK('2025'!$R318), 0, 1), 5, if(ISBLANK('2025'!$S318), 0, 1), 6, if(ISBLANK('2025'!$T318), 0, 1), 7, 0))), 1, "")</f>
        <v/>
      </c>
      <c r="T320" s="1" t="str">
        <f>IF(AND(AND(AND(T$4&gt;='2025'!$L318,T$4&lt;='2025'!$M318), T$4&lt;&gt;DATE(2025,7,4)), (SWITCH(weekday(T$4), 1, 0, 2, if(ISBLANK('2025'!$P318), 0, 1), 3, if(ISBLANK('2025'!$Q318), 0, 1), 4, if(ISBLANK('2025'!$R318), 0, 1), 5, if(ISBLANK('2025'!$S318), 0, 1), 6, if(ISBLANK('2025'!$T318), 0, 1), 7, 0))), 1, "")</f>
        <v/>
      </c>
      <c r="U320" s="1" t="str">
        <f>IF(AND(AND(AND(U$4&gt;='2025'!$L318,U$4&lt;='2025'!$M318), U$4&lt;&gt;DATE(2025,7,4)), (SWITCH(weekday(U$4), 1, 0, 2, if(ISBLANK('2025'!$P318), 0, 1), 3, if(ISBLANK('2025'!$Q318), 0, 1), 4, if(ISBLANK('2025'!$R318), 0, 1), 5, if(ISBLANK('2025'!$S318), 0, 1), 6, if(ISBLANK('2025'!$T318), 0, 1), 7, 0))), 1, "")</f>
        <v/>
      </c>
      <c r="V320" s="1" t="str">
        <f>IF(AND(AND(AND(V$4&gt;='2025'!$L318,V$4&lt;='2025'!$M318), V$4&lt;&gt;DATE(2025,7,4)), (SWITCH(weekday(V$4), 1, 0, 2, if(ISBLANK('2025'!$P318), 0, 1), 3, if(ISBLANK('2025'!$Q318), 0, 1), 4, if(ISBLANK('2025'!$R318), 0, 1), 5, if(ISBLANK('2025'!$S318), 0, 1), 6, if(ISBLANK('2025'!$T318), 0, 1), 7, 0))), 1, "")</f>
        <v/>
      </c>
      <c r="W320" s="1" t="str">
        <f>IF(AND(AND(AND(W$4&gt;='2025'!$L318,W$4&lt;='2025'!$M318), W$4&lt;&gt;DATE(2025,7,4)), (SWITCH(weekday(W$4), 1, 0, 2, if(ISBLANK('2025'!$P318), 0, 1), 3, if(ISBLANK('2025'!$Q318), 0, 1), 4, if(ISBLANK('2025'!$R318), 0, 1), 5, if(ISBLANK('2025'!$S318), 0, 1), 6, if(ISBLANK('2025'!$T318), 0, 1), 7, 0))), 1, "")</f>
        <v/>
      </c>
      <c r="X320" s="1" t="str">
        <f>IF(AND(AND(AND(X$4&gt;='2025'!$L318,X$4&lt;='2025'!$M318), X$4&lt;&gt;DATE(2025,7,4)), (SWITCH(weekday(X$4), 1, 0, 2, if(ISBLANK('2025'!$P318), 0, 1), 3, if(ISBLANK('2025'!$Q318), 0, 1), 4, if(ISBLANK('2025'!$R318), 0, 1), 5, if(ISBLANK('2025'!$S318), 0, 1), 6, if(ISBLANK('2025'!$T318), 0, 1), 7, 0))), 1, "")</f>
        <v/>
      </c>
      <c r="Y320" s="1" t="str">
        <f>IF(AND(AND(AND(Y$4&gt;='2025'!$L318,Y$4&lt;='2025'!$M318), Y$4&lt;&gt;DATE(2025,7,4)), (SWITCH(weekday(Y$4), 1, 0, 2, if(ISBLANK('2025'!$P318), 0, 1), 3, if(ISBLANK('2025'!$Q318), 0, 1), 4, if(ISBLANK('2025'!$R318), 0, 1), 5, if(ISBLANK('2025'!$S318), 0, 1), 6, if(ISBLANK('2025'!$T318), 0, 1), 7, 0))), 1, "")</f>
        <v/>
      </c>
      <c r="Z320" s="1" t="str">
        <f>IF(AND(AND(AND(Z$4&gt;='2025'!$L318,Z$4&lt;='2025'!$M318), Z$4&lt;&gt;DATE(2025,7,4)), (SWITCH(weekday(Z$4), 1, 0, 2, if(ISBLANK('2025'!$P318), 0, 1), 3, if(ISBLANK('2025'!$Q318), 0, 1), 4, if(ISBLANK('2025'!$R318), 0, 1), 5, if(ISBLANK('2025'!$S318), 0, 1), 6, if(ISBLANK('2025'!$T318), 0, 1), 7, 0))), 1, "")</f>
        <v/>
      </c>
      <c r="AA320" s="1" t="str">
        <f>IF(AND(AND(AND(AA$4&gt;='2025'!$L318,AA$4&lt;='2025'!$M318), AA$4&lt;&gt;DATE(2025,7,4)), (SWITCH(weekday(AA$4), 1, 0, 2, if(ISBLANK('2025'!$P318), 0, 1), 3, if(ISBLANK('2025'!$Q318), 0, 1), 4, if(ISBLANK('2025'!$R318), 0, 1), 5, if(ISBLANK('2025'!$S318), 0, 1), 6, if(ISBLANK('2025'!$T318), 0, 1), 7, 0))), 1, "")</f>
        <v/>
      </c>
      <c r="AB320" s="1" t="str">
        <f>IF(AND(AND(AND(AB$4&gt;='2025'!$L318,AB$4&lt;='2025'!$M318), AB$4&lt;&gt;DATE(2025,7,4)), (SWITCH(weekday(AB$4), 1, 0, 2, if(ISBLANK('2025'!$P318), 0, 1), 3, if(ISBLANK('2025'!$Q318), 0, 1), 4, if(ISBLANK('2025'!$R318), 0, 1), 5, if(ISBLANK('2025'!$S318), 0, 1), 6, if(ISBLANK('2025'!$T318), 0, 1), 7, 0))), 1, "")</f>
        <v/>
      </c>
      <c r="AC320" s="1" t="str">
        <f>IF(AND(AND(AND(AC$4&gt;='2025'!$L318,AC$4&lt;='2025'!$M318), AC$4&lt;&gt;DATE(2025,7,4)), (SWITCH(weekday(AC$4), 1, 0, 2, if(ISBLANK('2025'!$P318), 0, 1), 3, if(ISBLANK('2025'!$Q318), 0, 1), 4, if(ISBLANK('2025'!$R318), 0, 1), 5, if(ISBLANK('2025'!$S318), 0, 1), 6, if(ISBLANK('2025'!$T318), 0, 1), 7, 0))), 1, "")</f>
        <v/>
      </c>
      <c r="AD320" s="1" t="str">
        <f>IF(AND(AND(AND(AD$4&gt;='2025'!$L318,AD$4&lt;='2025'!$M318), AD$4&lt;&gt;DATE(2025,7,4)), (SWITCH(weekday(AD$4), 1, 0, 2, if(ISBLANK('2025'!$P318), 0, 1), 3, if(ISBLANK('2025'!$Q318), 0, 1), 4, if(ISBLANK('2025'!$R318), 0, 1), 5, if(ISBLANK('2025'!$S318), 0, 1), 6, if(ISBLANK('2025'!$T318), 0, 1), 7, 0))), 1, "")</f>
        <v/>
      </c>
      <c r="AE320" s="1" t="str">
        <f>IF(AND(AND(AND(AE$4&gt;='2025'!$L318,AE$4&lt;='2025'!$M318), AE$4&lt;&gt;DATE(2025,7,4)), (SWITCH(weekday(AE$4), 1, 0, 2, if(ISBLANK('2025'!$P318), 0, 1), 3, if(ISBLANK('2025'!$Q318), 0, 1), 4, if(ISBLANK('2025'!$R318), 0, 1), 5, if(ISBLANK('2025'!$S318), 0, 1), 6, if(ISBLANK('2025'!$T318), 0, 1), 7, 0))), 1, "")</f>
        <v/>
      </c>
      <c r="AF320" s="1" t="str">
        <f>IF(AND(AND(AND(AF$4&gt;='2025'!$L318,AF$4&lt;='2025'!$M318), AF$4&lt;&gt;DATE(2025,7,4)), (SWITCH(weekday(AF$4), 1, 0, 2, if(ISBLANK('2025'!$P318), 0, 1), 3, if(ISBLANK('2025'!$Q318), 0, 1), 4, if(ISBLANK('2025'!$R318), 0, 1), 5, if(ISBLANK('2025'!$S318), 0, 1), 6, if(ISBLANK('2025'!$T318), 0, 1), 7, 0))), 1, "")</f>
        <v/>
      </c>
      <c r="AG320" s="1" t="str">
        <f>IF(AND(AND(AND(AG$4&gt;='2025'!$L318,AG$4&lt;='2025'!$M318), AG$4&lt;&gt;DATE(2025,7,4)), (SWITCH(weekday(AG$4), 1, 0, 2, if(ISBLANK('2025'!$P318), 0, 1), 3, if(ISBLANK('2025'!$Q318), 0, 1), 4, if(ISBLANK('2025'!$R318), 0, 1), 5, if(ISBLANK('2025'!$S318), 0, 1), 6, if(ISBLANK('2025'!$T318), 0, 1), 7, 0))), 1, "")</f>
        <v/>
      </c>
      <c r="AH320" s="1" t="str">
        <f>IF(AND(AND(AND(AH$4&gt;='2025'!$L318,AH$4&lt;='2025'!$M318), AH$4&lt;&gt;DATE(2025,7,4)), (SWITCH(weekday(AH$4), 1, 0, 2, if(ISBLANK('2025'!$P318), 0, 1), 3, if(ISBLANK('2025'!$Q318), 0, 1), 4, if(ISBLANK('2025'!$R318), 0, 1), 5, if(ISBLANK('2025'!$S318), 0, 1), 6, if(ISBLANK('2025'!$T318), 0, 1), 7, 0))), 1, "")</f>
        <v/>
      </c>
      <c r="AI320" s="1" t="str">
        <f>IF(AND(AND(AND(AI$4&gt;='2025'!$L318,AI$4&lt;='2025'!$M318), AI$4&lt;&gt;DATE(2025,7,4)), (SWITCH(weekday(AI$4), 1, 0, 2, if(ISBLANK('2025'!$P318), 0, 1), 3, if(ISBLANK('2025'!$Q318), 0, 1), 4, if(ISBLANK('2025'!$R318), 0, 1), 5, if(ISBLANK('2025'!$S318), 0, 1), 6, if(ISBLANK('2025'!$T318), 0, 1), 7, 0))), 1, "")</f>
        <v/>
      </c>
      <c r="AJ320" s="1" t="str">
        <f>IF(AND(AND(AND(AJ$4&gt;='2025'!$L318,AJ$4&lt;='2025'!$M318), AJ$4&lt;&gt;DATE(2025,7,4)), (SWITCH(weekday(AJ$4), 1, 0, 2, if(ISBLANK('2025'!$P318), 0, 1), 3, if(ISBLANK('2025'!$Q318), 0, 1), 4, if(ISBLANK('2025'!$R318), 0, 1), 5, if(ISBLANK('2025'!$S318), 0, 1), 6, if(ISBLANK('2025'!$T318), 0, 1), 7, 0))), 1, "")</f>
        <v/>
      </c>
      <c r="AK320" s="1" t="str">
        <f>IF(AND(AND(AND(AK$4&gt;='2025'!$L318,AK$4&lt;='2025'!$M318), AK$4&lt;&gt;DATE(2025,7,4)), (SWITCH(weekday(AK$4), 1, 0, 2, if(ISBLANK('2025'!$P318), 0, 1), 3, if(ISBLANK('2025'!$Q318), 0, 1), 4, if(ISBLANK('2025'!$R318), 0, 1), 5, if(ISBLANK('2025'!$S318), 0, 1), 6, if(ISBLANK('2025'!$T318), 0, 1), 7, 0))), 1, "")</f>
        <v/>
      </c>
      <c r="AL320" s="1" t="str">
        <f>IF(AND(AND(AND(AL$4&gt;='2025'!$L318,AL$4&lt;='2025'!$M318), AL$4&lt;&gt;DATE(2025,7,4)), (SWITCH(weekday(AL$4), 1, 0, 2, if(ISBLANK('2025'!$P318), 0, 1), 3, if(ISBLANK('2025'!$Q318), 0, 1), 4, if(ISBLANK('2025'!$R318), 0, 1), 5, if(ISBLANK('2025'!$S318), 0, 1), 6, if(ISBLANK('2025'!$T318), 0, 1), 7, 0))), 1, "")</f>
        <v/>
      </c>
      <c r="AM320" s="1" t="str">
        <f>IF(AND(AND(AND(AM$4&gt;='2025'!$L318,AM$4&lt;='2025'!$M318), AM$4&lt;&gt;DATE(2025,7,4)), (SWITCH(weekday(AM$4), 1, 0, 2, if(ISBLANK('2025'!$P318), 0, 1), 3, if(ISBLANK('2025'!$Q318), 0, 1), 4, if(ISBLANK('2025'!$R318), 0, 1), 5, if(ISBLANK('2025'!$S318), 0, 1), 6, if(ISBLANK('2025'!$T318), 0, 1), 7, 0))), 1, "")</f>
        <v/>
      </c>
      <c r="AN320" s="1" t="str">
        <f>IF(AND(AND(AND(AN$4&gt;='2025'!$L318,AN$4&lt;='2025'!$M318), AN$4&lt;&gt;DATE(2025,7,4)), (SWITCH(weekday(AN$4), 1, 0, 2, if(ISBLANK('2025'!$P318), 0, 1), 3, if(ISBLANK('2025'!$Q318), 0, 1), 4, if(ISBLANK('2025'!$R318), 0, 1), 5, if(ISBLANK('2025'!$S318), 0, 1), 6, if(ISBLANK('2025'!$T318), 0, 1), 7, 0))), 1, "")</f>
        <v/>
      </c>
      <c r="AO320" s="1" t="str">
        <f>IF(AND(AND(AND(AO$4&gt;='2025'!$L318,AO$4&lt;='2025'!$M318), AO$4&lt;&gt;DATE(2025,7,4)), (SWITCH(weekday(AO$4), 1, 0, 2, if(ISBLANK('2025'!$P318), 0, 1), 3, if(ISBLANK('2025'!$Q318), 0, 1), 4, if(ISBLANK('2025'!$R318), 0, 1), 5, if(ISBLANK('2025'!$S318), 0, 1), 6, if(ISBLANK('2025'!$T318), 0, 1), 7, 0))), 1, "")</f>
        <v/>
      </c>
      <c r="AP320" s="1" t="str">
        <f>IF(AND(AND(AND(AP$4&gt;='2025'!$L318,AP$4&lt;='2025'!$M318), AP$4&lt;&gt;DATE(2025,7,4)), (SWITCH(weekday(AP$4), 1, 0, 2, if(ISBLANK('2025'!$P318), 0, 1), 3, if(ISBLANK('2025'!$Q318), 0, 1), 4, if(ISBLANK('2025'!$R318), 0, 1), 5, if(ISBLANK('2025'!$S318), 0, 1), 6, if(ISBLANK('2025'!$T318), 0, 1), 7, 0))), 1, "")</f>
        <v/>
      </c>
      <c r="AQ320" s="1" t="str">
        <f>IF(AND(AND(AND(AQ$4&gt;='2025'!$L318,AQ$4&lt;='2025'!$M318), AQ$4&lt;&gt;DATE(2025,7,4)), (SWITCH(weekday(AQ$4), 1, 0, 2, if(ISBLANK('2025'!$P318), 0, 1), 3, if(ISBLANK('2025'!$Q318), 0, 1), 4, if(ISBLANK('2025'!$R318), 0, 1), 5, if(ISBLANK('2025'!$S318), 0, 1), 6, if(ISBLANK('2025'!$T318), 0, 1), 7, 0))), 1, "")</f>
        <v/>
      </c>
      <c r="AR320" s="1" t="str">
        <f>IF(AND(AND(AND(AR$4&gt;='2025'!$L318,AR$4&lt;='2025'!$M318), AR$4&lt;&gt;DATE(2025,7,4)), (SWITCH(weekday(AR$4), 1, 0, 2, if(ISBLANK('2025'!$P318), 0, 1), 3, if(ISBLANK('2025'!$Q318), 0, 1), 4, if(ISBLANK('2025'!$R318), 0, 1), 5, if(ISBLANK('2025'!$S318), 0, 1), 6, if(ISBLANK('2025'!$T318), 0, 1), 7, 0))), 1, "")</f>
        <v/>
      </c>
      <c r="AS320" s="1" t="str">
        <f>IF(AND(AND(AND(AS$4&gt;='2025'!$L318,AS$4&lt;='2025'!$M318), AS$4&lt;&gt;DATE(2025,7,4)), (SWITCH(weekday(AS$4), 1, 0, 2, if(ISBLANK('2025'!$P318), 0, 1), 3, if(ISBLANK('2025'!$Q318), 0, 1), 4, if(ISBLANK('2025'!$R318), 0, 1), 5, if(ISBLANK('2025'!$S318), 0, 1), 6, if(ISBLANK('2025'!$T318), 0, 1), 7, 0))), 1, "")</f>
        <v/>
      </c>
      <c r="AT320" s="1" t="str">
        <f>IF(AND(AND(AND(AT$4&gt;='2025'!$L318,AT$4&lt;='2025'!$M318), AT$4&lt;&gt;DATE(2025,7,4)), (SWITCH(weekday(AT$4), 1, 0, 2, if(ISBLANK('2025'!$P318), 0, 1), 3, if(ISBLANK('2025'!$Q318), 0, 1), 4, if(ISBLANK('2025'!$R318), 0, 1), 5, if(ISBLANK('2025'!$S318), 0, 1), 6, if(ISBLANK('2025'!$T318), 0, 1), 7, 0))), 1, "")</f>
        <v/>
      </c>
      <c r="AU320" s="1" t="str">
        <f>IF(AND(AND(AND(AU$4&gt;='2025'!$L318,AU$4&lt;='2025'!$M318), AU$4&lt;&gt;DATE(2025,7,4)), (SWITCH(weekday(AU$4), 1, 0, 2, if(ISBLANK('2025'!$P318), 0, 1), 3, if(ISBLANK('2025'!$Q318), 0, 1), 4, if(ISBLANK('2025'!$R318), 0, 1), 5, if(ISBLANK('2025'!$S318), 0, 1), 6, if(ISBLANK('2025'!$T318), 0, 1), 7, 0))), 1, "")</f>
        <v/>
      </c>
      <c r="AV320" s="1" t="str">
        <f>IF(AND(AND(AND(AV$4&gt;='2025'!$L318,AV$4&lt;='2025'!$M318), AV$4&lt;&gt;DATE(2025,7,4)), (SWITCH(weekday(AV$4), 1, 0, 2, if(ISBLANK('2025'!$P318), 0, 1), 3, if(ISBLANK('2025'!$Q318), 0, 1), 4, if(ISBLANK('2025'!$R318), 0, 1), 5, if(ISBLANK('2025'!$S318), 0, 1), 6, if(ISBLANK('2025'!$T318), 0, 1), 7, 0))), 1, "")</f>
        <v/>
      </c>
      <c r="AW320" s="1" t="str">
        <f>IF(AND(AND(AND(AW$4&gt;='2025'!$L318,AW$4&lt;='2025'!$M318), AW$4&lt;&gt;DATE(2025,7,4)), (SWITCH(weekday(AW$4), 1, 0, 2, if(ISBLANK('2025'!$P318), 0, 1), 3, if(ISBLANK('2025'!$Q318), 0, 1), 4, if(ISBLANK('2025'!$R318), 0, 1), 5, if(ISBLANK('2025'!$S318), 0, 1), 6, if(ISBLANK('2025'!$T318), 0, 1), 7, 0))), 1, "")</f>
        <v/>
      </c>
      <c r="AX320" s="1" t="str">
        <f>IF(AND(AND(AND(AX$4&gt;='2025'!$L318,AX$4&lt;='2025'!$M318), AX$4&lt;&gt;DATE(2025,7,4)), (SWITCH(weekday(AX$4), 1, 0, 2, if(ISBLANK('2025'!$P318), 0, 1), 3, if(ISBLANK('2025'!$Q318), 0, 1), 4, if(ISBLANK('2025'!$R318), 0, 1), 5, if(ISBLANK('2025'!$S318), 0, 1), 6, if(ISBLANK('2025'!$T318), 0, 1), 7, 0))), 1, "")</f>
        <v/>
      </c>
      <c r="AY320" s="1" t="str">
        <f>IF(AND(AND(AND(AY$4&gt;='2025'!$L318,AY$4&lt;='2025'!$M318), AY$4&lt;&gt;DATE(2025,7,4)), (SWITCH(weekday(AY$4), 1, 0, 2, if(ISBLANK('2025'!$P318), 0, 1), 3, if(ISBLANK('2025'!$Q318), 0, 1), 4, if(ISBLANK('2025'!$R318), 0, 1), 5, if(ISBLANK('2025'!$S318), 0, 1), 6, if(ISBLANK('2025'!$T318), 0, 1), 7, 0))), 1, "")</f>
        <v/>
      </c>
      <c r="AZ320" s="1" t="str">
        <f>IF(AND(AND(AND(AZ$4&gt;='2025'!$L318,AZ$4&lt;='2025'!$M318), AZ$4&lt;&gt;DATE(2025,7,4)), (SWITCH(weekday(AZ$4), 1, 0, 2, if(ISBLANK('2025'!$P318), 0, 1), 3, if(ISBLANK('2025'!$Q318), 0, 1), 4, if(ISBLANK('2025'!$R318), 0, 1), 5, if(ISBLANK('2025'!$S318), 0, 1), 6, if(ISBLANK('2025'!$T318), 0, 1), 7, 0))), 1, "")</f>
        <v/>
      </c>
      <c r="BA320" s="1" t="str">
        <f>IF(AND(AND(AND(BA$4&gt;='2025'!$L318,BA$4&lt;='2025'!$M318), BA$4&lt;&gt;DATE(2025,7,4)), (SWITCH(weekday(BA$4), 1, 0, 2, if(ISBLANK('2025'!$P318), 0, 1), 3, if(ISBLANK('2025'!$Q318), 0, 1), 4, if(ISBLANK('2025'!$R318), 0, 1), 5, if(ISBLANK('2025'!$S318), 0, 1), 6, if(ISBLANK('2025'!$T318), 0, 1), 7, 0))), 1, "")</f>
        <v/>
      </c>
      <c r="BB320" s="1" t="str">
        <f>IF(AND(AND(AND(BB$4&gt;='2025'!$L318,BB$4&lt;='2025'!$M318), BB$4&lt;&gt;DATE(2025,7,4)), (SWITCH(weekday(BB$4), 1, 0, 2, if(ISBLANK('2025'!$P318), 0, 1), 3, if(ISBLANK('2025'!$Q318), 0, 1), 4, if(ISBLANK('2025'!$R318), 0, 1), 5, if(ISBLANK('2025'!$S318), 0, 1), 6, if(ISBLANK('2025'!$T318), 0, 1), 7, 0))), 1, "")</f>
        <v/>
      </c>
      <c r="BC320" s="1" t="str">
        <f>IF(AND(AND(AND(BC$4&gt;='2025'!$L318,BC$4&lt;='2025'!$M318), BC$4&lt;&gt;DATE(2025,7,4)), (SWITCH(weekday(BC$4), 1, 0, 2, if(ISBLANK('2025'!$P318), 0, 1), 3, if(ISBLANK('2025'!$Q318), 0, 1), 4, if(ISBLANK('2025'!$R318), 0, 1), 5, if(ISBLANK('2025'!$S318), 0, 1), 6, if(ISBLANK('2025'!$T318), 0, 1), 7, 0))), 1, "")</f>
        <v/>
      </c>
      <c r="BD320" s="1" t="str">
        <f>IF(AND(AND(AND(BD$4&gt;='2025'!$L318,BD$4&lt;='2025'!$M318), BD$4&lt;&gt;DATE(2025,7,4)), (SWITCH(weekday(BD$4), 1, 0, 2, if(ISBLANK('2025'!$P318), 0, 1), 3, if(ISBLANK('2025'!$Q318), 0, 1), 4, if(ISBLANK('2025'!$R318), 0, 1), 5, if(ISBLANK('2025'!$S318), 0, 1), 6, if(ISBLANK('2025'!$T318), 0, 1), 7, 0))), 1, "")</f>
        <v/>
      </c>
      <c r="BE320" s="1" t="str">
        <f>IF(AND(AND(AND(BE$4&gt;='2025'!$L318,BE$4&lt;='2025'!$M318), BE$4&lt;&gt;DATE(2025,7,4)), (SWITCH(weekday(BE$4), 1, 0, 2, if(ISBLANK('2025'!$P318), 0, 1), 3, if(ISBLANK('2025'!$Q318), 0, 1), 4, if(ISBLANK('2025'!$R318), 0, 1), 5, if(ISBLANK('2025'!$S318), 0, 1), 6, if(ISBLANK('2025'!$T318), 0, 1), 7, 0))), 1, "")</f>
        <v/>
      </c>
      <c r="BF320" s="1" t="str">
        <f>IF(AND(AND(AND(BF$4&gt;='2025'!$L318,BF$4&lt;='2025'!$M318), BF$4&lt;&gt;DATE(2025,7,4)), (SWITCH(weekday(BF$4), 1, 0, 2, if(ISBLANK('2025'!$P318), 0, 1), 3, if(ISBLANK('2025'!$Q318), 0, 1), 4, if(ISBLANK('2025'!$R318), 0, 1), 5, if(ISBLANK('2025'!$S318), 0, 1), 6, if(ISBLANK('2025'!$T318), 0, 1), 7, 0))), 1, "")</f>
        <v/>
      </c>
      <c r="BG320" s="1"/>
      <c r="BH320" s="1"/>
      <c r="BI320" s="1"/>
      <c r="BJ320" s="1"/>
      <c r="BK320" s="1"/>
      <c r="BL320" s="1"/>
    </row>
    <row r="321">
      <c r="A321" s="1">
        <f t="shared" si="3"/>
        <v>321</v>
      </c>
      <c r="B321" s="1" t="str">
        <f>'2025'!D285</f>
        <v>, </v>
      </c>
      <c r="C321" s="1" t="str">
        <f>'2025'!H285</f>
        <v/>
      </c>
      <c r="D321" s="1" t="str">
        <f>IF(AND(AND(AND(D$4&gt;='2025'!$L319,D$4&lt;='2025'!$M319), D$4&lt;&gt;DATE(2025,7,4)), (SWITCH(weekday(D$4), 1, 0, 2, if(ISBLANK('2025'!$P319), 0, 1), 3, if(ISBLANK('2025'!$Q319), 0, 1), 4, if(ISBLANK('2025'!$R319), 0, 1), 5, if(ISBLANK('2025'!$S319), 0, 1), 6, if(ISBLANK('2025'!$T319), 0, 1), 7, 0))), 1, "")</f>
        <v/>
      </c>
      <c r="E321" s="1" t="str">
        <f>IF(AND(AND(AND(E$4&gt;='2025'!$L319,E$4&lt;='2025'!$M319), E$4&lt;&gt;DATE(2025,7,4)), (SWITCH(weekday(E$4), 1, 0, 2, if(ISBLANK('2025'!$P319), 0, 1), 3, if(ISBLANK('2025'!$Q319), 0, 1), 4, if(ISBLANK('2025'!$R319), 0, 1), 5, if(ISBLANK('2025'!$S319), 0, 1), 6, if(ISBLANK('2025'!$T319), 0, 1), 7, 0))), 1, "")</f>
        <v/>
      </c>
      <c r="F321" s="1" t="str">
        <f>IF(AND(AND(AND(F$4&gt;='2025'!$L319,F$4&lt;='2025'!$M319), F$4&lt;&gt;DATE(2025,7,4)), (SWITCH(weekday(F$4), 1, 0, 2, if(ISBLANK('2025'!$P319), 0, 1), 3, if(ISBLANK('2025'!$Q319), 0, 1), 4, if(ISBLANK('2025'!$R319), 0, 1), 5, if(ISBLANK('2025'!$S319), 0, 1), 6, if(ISBLANK('2025'!$T319), 0, 1), 7, 0))), 1, "")</f>
        <v/>
      </c>
      <c r="G321" s="1" t="str">
        <f>IF(AND(AND(AND(G$4&gt;='2025'!$L319,G$4&lt;='2025'!$M319), G$4&lt;&gt;DATE(2025,7,4)), (SWITCH(weekday(G$4), 1, 0, 2, if(ISBLANK('2025'!$P319), 0, 1), 3, if(ISBLANK('2025'!$Q319), 0, 1), 4, if(ISBLANK('2025'!$R319), 0, 1), 5, if(ISBLANK('2025'!$S319), 0, 1), 6, if(ISBLANK('2025'!$T319), 0, 1), 7, 0))), 1, "")</f>
        <v/>
      </c>
      <c r="H321" s="1" t="str">
        <f>IF(AND(AND(AND(H$4&gt;='2025'!$L319,H$4&lt;='2025'!$M319), H$4&lt;&gt;DATE(2025,7,4)), (SWITCH(weekday(H$4), 1, 0, 2, if(ISBLANK('2025'!$P319), 0, 1), 3, if(ISBLANK('2025'!$Q319), 0, 1), 4, if(ISBLANK('2025'!$R319), 0, 1), 5, if(ISBLANK('2025'!$S319), 0, 1), 6, if(ISBLANK('2025'!$T319), 0, 1), 7, 0))), 1, "")</f>
        <v/>
      </c>
      <c r="I321" s="1" t="str">
        <f>IF(AND(AND(AND(I$4&gt;='2025'!$L319,I$4&lt;='2025'!$M319), I$4&lt;&gt;DATE(2025,7,4)), (SWITCH(weekday(I$4), 1, 0, 2, if(ISBLANK('2025'!$P319), 0, 1), 3, if(ISBLANK('2025'!$Q319), 0, 1), 4, if(ISBLANK('2025'!$R319), 0, 1), 5, if(ISBLANK('2025'!$S319), 0, 1), 6, if(ISBLANK('2025'!$T319), 0, 1), 7, 0))), 1, "")</f>
        <v/>
      </c>
      <c r="J321" s="1" t="str">
        <f>IF(AND(AND(AND(J$4&gt;='2025'!$L319,J$4&lt;='2025'!$M319), J$4&lt;&gt;DATE(2025,7,4)), (SWITCH(weekday(J$4), 1, 0, 2, if(ISBLANK('2025'!$P319), 0, 1), 3, if(ISBLANK('2025'!$Q319), 0, 1), 4, if(ISBLANK('2025'!$R319), 0, 1), 5, if(ISBLANK('2025'!$S319), 0, 1), 6, if(ISBLANK('2025'!$T319), 0, 1), 7, 0))), 1, "")</f>
        <v/>
      </c>
      <c r="K321" s="1" t="str">
        <f>IF(AND(AND(AND(K$4&gt;='2025'!$L319,K$4&lt;='2025'!$M319), K$4&lt;&gt;DATE(2025,7,4)), (SWITCH(weekday(K$4), 1, 0, 2, if(ISBLANK('2025'!$P319), 0, 1), 3, if(ISBLANK('2025'!$Q319), 0, 1), 4, if(ISBLANK('2025'!$R319), 0, 1), 5, if(ISBLANK('2025'!$S319), 0, 1), 6, if(ISBLANK('2025'!$T319), 0, 1), 7, 0))), 1, "")</f>
        <v/>
      </c>
      <c r="L321" s="1" t="str">
        <f>IF(AND(AND(AND(L$4&gt;='2025'!$L319,L$4&lt;='2025'!$M319), L$4&lt;&gt;DATE(2025,7,4)), (SWITCH(weekday(L$4), 1, 0, 2, if(ISBLANK('2025'!$P319), 0, 1), 3, if(ISBLANK('2025'!$Q319), 0, 1), 4, if(ISBLANK('2025'!$R319), 0, 1), 5, if(ISBLANK('2025'!$S319), 0, 1), 6, if(ISBLANK('2025'!$T319), 0, 1), 7, 0))), 1, "")</f>
        <v/>
      </c>
      <c r="M321" s="1" t="str">
        <f>IF(AND(AND(AND(M$4&gt;='2025'!$L319,M$4&lt;='2025'!$M319), M$4&lt;&gt;DATE(2025,7,4)), (SWITCH(weekday(M$4), 1, 0, 2, if(ISBLANK('2025'!$P319), 0, 1), 3, if(ISBLANK('2025'!$Q319), 0, 1), 4, if(ISBLANK('2025'!$R319), 0, 1), 5, if(ISBLANK('2025'!$S319), 0, 1), 6, if(ISBLANK('2025'!$T319), 0, 1), 7, 0))), 1, "")</f>
        <v/>
      </c>
      <c r="N321" s="1" t="str">
        <f>IF(AND(AND(AND(N$4&gt;='2025'!$L319,N$4&lt;='2025'!$M319), N$4&lt;&gt;DATE(2025,7,4)), (SWITCH(weekday(N$4), 1, 0, 2, if(ISBLANK('2025'!$P319), 0, 1), 3, if(ISBLANK('2025'!$Q319), 0, 1), 4, if(ISBLANK('2025'!$R319), 0, 1), 5, if(ISBLANK('2025'!$S319), 0, 1), 6, if(ISBLANK('2025'!$T319), 0, 1), 7, 0))), 1, "")</f>
        <v/>
      </c>
      <c r="O321" s="1" t="str">
        <f>IF(AND(AND(AND(O$4&gt;='2025'!$L319,O$4&lt;='2025'!$M319), O$4&lt;&gt;DATE(2025,7,4)), (SWITCH(weekday(O$4), 1, 0, 2, if(ISBLANK('2025'!$P319), 0, 1), 3, if(ISBLANK('2025'!$Q319), 0, 1), 4, if(ISBLANK('2025'!$R319), 0, 1), 5, if(ISBLANK('2025'!$S319), 0, 1), 6, if(ISBLANK('2025'!$T319), 0, 1), 7, 0))), 1, "")</f>
        <v/>
      </c>
      <c r="P321" s="1" t="str">
        <f>IF(AND(AND(AND(P$4&gt;='2025'!$L319,P$4&lt;='2025'!$M319), P$4&lt;&gt;DATE(2025,7,4)), (SWITCH(weekday(P$4), 1, 0, 2, if(ISBLANK('2025'!$P319), 0, 1), 3, if(ISBLANK('2025'!$Q319), 0, 1), 4, if(ISBLANK('2025'!$R319), 0, 1), 5, if(ISBLANK('2025'!$S319), 0, 1), 6, if(ISBLANK('2025'!$T319), 0, 1), 7, 0))), 1, "")</f>
        <v/>
      </c>
      <c r="Q321" s="1" t="str">
        <f>IF(AND(AND(AND(Q$4&gt;='2025'!$L319,Q$4&lt;='2025'!$M319), Q$4&lt;&gt;DATE(2025,7,4)), (SWITCH(weekday(Q$4), 1, 0, 2, if(ISBLANK('2025'!$P319), 0, 1), 3, if(ISBLANK('2025'!$Q319), 0, 1), 4, if(ISBLANK('2025'!$R319), 0, 1), 5, if(ISBLANK('2025'!$S319), 0, 1), 6, if(ISBLANK('2025'!$T319), 0, 1), 7, 0))), 1, "")</f>
        <v/>
      </c>
      <c r="R321" s="1" t="str">
        <f>IF(AND(AND(AND(R$4&gt;='2025'!$L319,R$4&lt;='2025'!$M319), R$4&lt;&gt;DATE(2025,7,4)), (SWITCH(weekday(R$4), 1, 0, 2, if(ISBLANK('2025'!$P319), 0, 1), 3, if(ISBLANK('2025'!$Q319), 0, 1), 4, if(ISBLANK('2025'!$R319), 0, 1), 5, if(ISBLANK('2025'!$S319), 0, 1), 6, if(ISBLANK('2025'!$T319), 0, 1), 7, 0))), 1, "")</f>
        <v/>
      </c>
      <c r="S321" s="1" t="str">
        <f>IF(AND(AND(AND(S$4&gt;='2025'!$L319,S$4&lt;='2025'!$M319), S$4&lt;&gt;DATE(2025,7,4)), (SWITCH(weekday(S$4), 1, 0, 2, if(ISBLANK('2025'!$P319), 0, 1), 3, if(ISBLANK('2025'!$Q319), 0, 1), 4, if(ISBLANK('2025'!$R319), 0, 1), 5, if(ISBLANK('2025'!$S319), 0, 1), 6, if(ISBLANK('2025'!$T319), 0, 1), 7, 0))), 1, "")</f>
        <v/>
      </c>
      <c r="T321" s="1" t="str">
        <f>IF(AND(AND(AND(T$4&gt;='2025'!$L319,T$4&lt;='2025'!$M319), T$4&lt;&gt;DATE(2025,7,4)), (SWITCH(weekday(T$4), 1, 0, 2, if(ISBLANK('2025'!$P319), 0, 1), 3, if(ISBLANK('2025'!$Q319), 0, 1), 4, if(ISBLANK('2025'!$R319), 0, 1), 5, if(ISBLANK('2025'!$S319), 0, 1), 6, if(ISBLANK('2025'!$T319), 0, 1), 7, 0))), 1, "")</f>
        <v/>
      </c>
      <c r="U321" s="1" t="str">
        <f>IF(AND(AND(AND(U$4&gt;='2025'!$L319,U$4&lt;='2025'!$M319), U$4&lt;&gt;DATE(2025,7,4)), (SWITCH(weekday(U$4), 1, 0, 2, if(ISBLANK('2025'!$P319), 0, 1), 3, if(ISBLANK('2025'!$Q319), 0, 1), 4, if(ISBLANK('2025'!$R319), 0, 1), 5, if(ISBLANK('2025'!$S319), 0, 1), 6, if(ISBLANK('2025'!$T319), 0, 1), 7, 0))), 1, "")</f>
        <v/>
      </c>
      <c r="V321" s="1" t="str">
        <f>IF(AND(AND(AND(V$4&gt;='2025'!$L319,V$4&lt;='2025'!$M319), V$4&lt;&gt;DATE(2025,7,4)), (SWITCH(weekday(V$4), 1, 0, 2, if(ISBLANK('2025'!$P319), 0, 1), 3, if(ISBLANK('2025'!$Q319), 0, 1), 4, if(ISBLANK('2025'!$R319), 0, 1), 5, if(ISBLANK('2025'!$S319), 0, 1), 6, if(ISBLANK('2025'!$T319), 0, 1), 7, 0))), 1, "")</f>
        <v/>
      </c>
      <c r="W321" s="1" t="str">
        <f>IF(AND(AND(AND(W$4&gt;='2025'!$L319,W$4&lt;='2025'!$M319), W$4&lt;&gt;DATE(2025,7,4)), (SWITCH(weekday(W$4), 1, 0, 2, if(ISBLANK('2025'!$P319), 0, 1), 3, if(ISBLANK('2025'!$Q319), 0, 1), 4, if(ISBLANK('2025'!$R319), 0, 1), 5, if(ISBLANK('2025'!$S319), 0, 1), 6, if(ISBLANK('2025'!$T319), 0, 1), 7, 0))), 1, "")</f>
        <v/>
      </c>
      <c r="X321" s="1" t="str">
        <f>IF(AND(AND(AND(X$4&gt;='2025'!$L319,X$4&lt;='2025'!$M319), X$4&lt;&gt;DATE(2025,7,4)), (SWITCH(weekday(X$4), 1, 0, 2, if(ISBLANK('2025'!$P319), 0, 1), 3, if(ISBLANK('2025'!$Q319), 0, 1), 4, if(ISBLANK('2025'!$R319), 0, 1), 5, if(ISBLANK('2025'!$S319), 0, 1), 6, if(ISBLANK('2025'!$T319), 0, 1), 7, 0))), 1, "")</f>
        <v/>
      </c>
      <c r="Y321" s="1" t="str">
        <f>IF(AND(AND(AND(Y$4&gt;='2025'!$L319,Y$4&lt;='2025'!$M319), Y$4&lt;&gt;DATE(2025,7,4)), (SWITCH(weekday(Y$4), 1, 0, 2, if(ISBLANK('2025'!$P319), 0, 1), 3, if(ISBLANK('2025'!$Q319), 0, 1), 4, if(ISBLANK('2025'!$R319), 0, 1), 5, if(ISBLANK('2025'!$S319), 0, 1), 6, if(ISBLANK('2025'!$T319), 0, 1), 7, 0))), 1, "")</f>
        <v/>
      </c>
      <c r="Z321" s="1" t="str">
        <f>IF(AND(AND(AND(Z$4&gt;='2025'!$L319,Z$4&lt;='2025'!$M319), Z$4&lt;&gt;DATE(2025,7,4)), (SWITCH(weekday(Z$4), 1, 0, 2, if(ISBLANK('2025'!$P319), 0, 1), 3, if(ISBLANK('2025'!$Q319), 0, 1), 4, if(ISBLANK('2025'!$R319), 0, 1), 5, if(ISBLANK('2025'!$S319), 0, 1), 6, if(ISBLANK('2025'!$T319), 0, 1), 7, 0))), 1, "")</f>
        <v/>
      </c>
      <c r="AA321" s="1" t="str">
        <f>IF(AND(AND(AND(AA$4&gt;='2025'!$L319,AA$4&lt;='2025'!$M319), AA$4&lt;&gt;DATE(2025,7,4)), (SWITCH(weekday(AA$4), 1, 0, 2, if(ISBLANK('2025'!$P319), 0, 1), 3, if(ISBLANK('2025'!$Q319), 0, 1), 4, if(ISBLANK('2025'!$R319), 0, 1), 5, if(ISBLANK('2025'!$S319), 0, 1), 6, if(ISBLANK('2025'!$T319), 0, 1), 7, 0))), 1, "")</f>
        <v/>
      </c>
      <c r="AB321" s="1" t="str">
        <f>IF(AND(AND(AND(AB$4&gt;='2025'!$L319,AB$4&lt;='2025'!$M319), AB$4&lt;&gt;DATE(2025,7,4)), (SWITCH(weekday(AB$4), 1, 0, 2, if(ISBLANK('2025'!$P319), 0, 1), 3, if(ISBLANK('2025'!$Q319), 0, 1), 4, if(ISBLANK('2025'!$R319), 0, 1), 5, if(ISBLANK('2025'!$S319), 0, 1), 6, if(ISBLANK('2025'!$T319), 0, 1), 7, 0))), 1, "")</f>
        <v/>
      </c>
      <c r="AC321" s="1" t="str">
        <f>IF(AND(AND(AND(AC$4&gt;='2025'!$L319,AC$4&lt;='2025'!$M319), AC$4&lt;&gt;DATE(2025,7,4)), (SWITCH(weekday(AC$4), 1, 0, 2, if(ISBLANK('2025'!$P319), 0, 1), 3, if(ISBLANK('2025'!$Q319), 0, 1), 4, if(ISBLANK('2025'!$R319), 0, 1), 5, if(ISBLANK('2025'!$S319), 0, 1), 6, if(ISBLANK('2025'!$T319), 0, 1), 7, 0))), 1, "")</f>
        <v/>
      </c>
      <c r="AD321" s="1" t="str">
        <f>IF(AND(AND(AND(AD$4&gt;='2025'!$L319,AD$4&lt;='2025'!$M319), AD$4&lt;&gt;DATE(2025,7,4)), (SWITCH(weekday(AD$4), 1, 0, 2, if(ISBLANK('2025'!$P319), 0, 1), 3, if(ISBLANK('2025'!$Q319), 0, 1), 4, if(ISBLANK('2025'!$R319), 0, 1), 5, if(ISBLANK('2025'!$S319), 0, 1), 6, if(ISBLANK('2025'!$T319), 0, 1), 7, 0))), 1, "")</f>
        <v/>
      </c>
      <c r="AE321" s="1" t="str">
        <f>IF(AND(AND(AND(AE$4&gt;='2025'!$L319,AE$4&lt;='2025'!$M319), AE$4&lt;&gt;DATE(2025,7,4)), (SWITCH(weekday(AE$4), 1, 0, 2, if(ISBLANK('2025'!$P319), 0, 1), 3, if(ISBLANK('2025'!$Q319), 0, 1), 4, if(ISBLANK('2025'!$R319), 0, 1), 5, if(ISBLANK('2025'!$S319), 0, 1), 6, if(ISBLANK('2025'!$T319), 0, 1), 7, 0))), 1, "")</f>
        <v/>
      </c>
      <c r="AF321" s="1" t="str">
        <f>IF(AND(AND(AND(AF$4&gt;='2025'!$L319,AF$4&lt;='2025'!$M319), AF$4&lt;&gt;DATE(2025,7,4)), (SWITCH(weekday(AF$4), 1, 0, 2, if(ISBLANK('2025'!$P319), 0, 1), 3, if(ISBLANK('2025'!$Q319), 0, 1), 4, if(ISBLANK('2025'!$R319), 0, 1), 5, if(ISBLANK('2025'!$S319), 0, 1), 6, if(ISBLANK('2025'!$T319), 0, 1), 7, 0))), 1, "")</f>
        <v/>
      </c>
      <c r="AG321" s="1" t="str">
        <f>IF(AND(AND(AND(AG$4&gt;='2025'!$L319,AG$4&lt;='2025'!$M319), AG$4&lt;&gt;DATE(2025,7,4)), (SWITCH(weekday(AG$4), 1, 0, 2, if(ISBLANK('2025'!$P319), 0, 1), 3, if(ISBLANK('2025'!$Q319), 0, 1), 4, if(ISBLANK('2025'!$R319), 0, 1), 5, if(ISBLANK('2025'!$S319), 0, 1), 6, if(ISBLANK('2025'!$T319), 0, 1), 7, 0))), 1, "")</f>
        <v/>
      </c>
      <c r="AH321" s="1" t="str">
        <f>IF(AND(AND(AND(AH$4&gt;='2025'!$L319,AH$4&lt;='2025'!$M319), AH$4&lt;&gt;DATE(2025,7,4)), (SWITCH(weekday(AH$4), 1, 0, 2, if(ISBLANK('2025'!$P319), 0, 1), 3, if(ISBLANK('2025'!$Q319), 0, 1), 4, if(ISBLANK('2025'!$R319), 0, 1), 5, if(ISBLANK('2025'!$S319), 0, 1), 6, if(ISBLANK('2025'!$T319), 0, 1), 7, 0))), 1, "")</f>
        <v/>
      </c>
      <c r="AI321" s="1" t="str">
        <f>IF(AND(AND(AND(AI$4&gt;='2025'!$L319,AI$4&lt;='2025'!$M319), AI$4&lt;&gt;DATE(2025,7,4)), (SWITCH(weekday(AI$4), 1, 0, 2, if(ISBLANK('2025'!$P319), 0, 1), 3, if(ISBLANK('2025'!$Q319), 0, 1), 4, if(ISBLANK('2025'!$R319), 0, 1), 5, if(ISBLANK('2025'!$S319), 0, 1), 6, if(ISBLANK('2025'!$T319), 0, 1), 7, 0))), 1, "")</f>
        <v/>
      </c>
      <c r="AJ321" s="1" t="str">
        <f>IF(AND(AND(AND(AJ$4&gt;='2025'!$L319,AJ$4&lt;='2025'!$M319), AJ$4&lt;&gt;DATE(2025,7,4)), (SWITCH(weekday(AJ$4), 1, 0, 2, if(ISBLANK('2025'!$P319), 0, 1), 3, if(ISBLANK('2025'!$Q319), 0, 1), 4, if(ISBLANK('2025'!$R319), 0, 1), 5, if(ISBLANK('2025'!$S319), 0, 1), 6, if(ISBLANK('2025'!$T319), 0, 1), 7, 0))), 1, "")</f>
        <v/>
      </c>
      <c r="AK321" s="1" t="str">
        <f>IF(AND(AND(AND(AK$4&gt;='2025'!$L319,AK$4&lt;='2025'!$M319), AK$4&lt;&gt;DATE(2025,7,4)), (SWITCH(weekday(AK$4), 1, 0, 2, if(ISBLANK('2025'!$P319), 0, 1), 3, if(ISBLANK('2025'!$Q319), 0, 1), 4, if(ISBLANK('2025'!$R319), 0, 1), 5, if(ISBLANK('2025'!$S319), 0, 1), 6, if(ISBLANK('2025'!$T319), 0, 1), 7, 0))), 1, "")</f>
        <v/>
      </c>
      <c r="AL321" s="1" t="str">
        <f>IF(AND(AND(AND(AL$4&gt;='2025'!$L319,AL$4&lt;='2025'!$M319), AL$4&lt;&gt;DATE(2025,7,4)), (SWITCH(weekday(AL$4), 1, 0, 2, if(ISBLANK('2025'!$P319), 0, 1), 3, if(ISBLANK('2025'!$Q319), 0, 1), 4, if(ISBLANK('2025'!$R319), 0, 1), 5, if(ISBLANK('2025'!$S319), 0, 1), 6, if(ISBLANK('2025'!$T319), 0, 1), 7, 0))), 1, "")</f>
        <v/>
      </c>
      <c r="AM321" s="1" t="str">
        <f>IF(AND(AND(AND(AM$4&gt;='2025'!$L319,AM$4&lt;='2025'!$M319), AM$4&lt;&gt;DATE(2025,7,4)), (SWITCH(weekday(AM$4), 1, 0, 2, if(ISBLANK('2025'!$P319), 0, 1), 3, if(ISBLANK('2025'!$Q319), 0, 1), 4, if(ISBLANK('2025'!$R319), 0, 1), 5, if(ISBLANK('2025'!$S319), 0, 1), 6, if(ISBLANK('2025'!$T319), 0, 1), 7, 0))), 1, "")</f>
        <v/>
      </c>
      <c r="AN321" s="1" t="str">
        <f>IF(AND(AND(AND(AN$4&gt;='2025'!$L319,AN$4&lt;='2025'!$M319), AN$4&lt;&gt;DATE(2025,7,4)), (SWITCH(weekday(AN$4), 1, 0, 2, if(ISBLANK('2025'!$P319), 0, 1), 3, if(ISBLANK('2025'!$Q319), 0, 1), 4, if(ISBLANK('2025'!$R319), 0, 1), 5, if(ISBLANK('2025'!$S319), 0, 1), 6, if(ISBLANK('2025'!$T319), 0, 1), 7, 0))), 1, "")</f>
        <v/>
      </c>
      <c r="AO321" s="1" t="str">
        <f>IF(AND(AND(AND(AO$4&gt;='2025'!$L319,AO$4&lt;='2025'!$M319), AO$4&lt;&gt;DATE(2025,7,4)), (SWITCH(weekday(AO$4), 1, 0, 2, if(ISBLANK('2025'!$P319), 0, 1), 3, if(ISBLANK('2025'!$Q319), 0, 1), 4, if(ISBLANK('2025'!$R319), 0, 1), 5, if(ISBLANK('2025'!$S319), 0, 1), 6, if(ISBLANK('2025'!$T319), 0, 1), 7, 0))), 1, "")</f>
        <v/>
      </c>
      <c r="AP321" s="1" t="str">
        <f>IF(AND(AND(AND(AP$4&gt;='2025'!$L319,AP$4&lt;='2025'!$M319), AP$4&lt;&gt;DATE(2025,7,4)), (SWITCH(weekday(AP$4), 1, 0, 2, if(ISBLANK('2025'!$P319), 0, 1), 3, if(ISBLANK('2025'!$Q319), 0, 1), 4, if(ISBLANK('2025'!$R319), 0, 1), 5, if(ISBLANK('2025'!$S319), 0, 1), 6, if(ISBLANK('2025'!$T319), 0, 1), 7, 0))), 1, "")</f>
        <v/>
      </c>
      <c r="AQ321" s="1" t="str">
        <f>IF(AND(AND(AND(AQ$4&gt;='2025'!$L319,AQ$4&lt;='2025'!$M319), AQ$4&lt;&gt;DATE(2025,7,4)), (SWITCH(weekday(AQ$4), 1, 0, 2, if(ISBLANK('2025'!$P319), 0, 1), 3, if(ISBLANK('2025'!$Q319), 0, 1), 4, if(ISBLANK('2025'!$R319), 0, 1), 5, if(ISBLANK('2025'!$S319), 0, 1), 6, if(ISBLANK('2025'!$T319), 0, 1), 7, 0))), 1, "")</f>
        <v/>
      </c>
      <c r="AR321" s="1" t="str">
        <f>IF(AND(AND(AND(AR$4&gt;='2025'!$L319,AR$4&lt;='2025'!$M319), AR$4&lt;&gt;DATE(2025,7,4)), (SWITCH(weekday(AR$4), 1, 0, 2, if(ISBLANK('2025'!$P319), 0, 1), 3, if(ISBLANK('2025'!$Q319), 0, 1), 4, if(ISBLANK('2025'!$R319), 0, 1), 5, if(ISBLANK('2025'!$S319), 0, 1), 6, if(ISBLANK('2025'!$T319), 0, 1), 7, 0))), 1, "")</f>
        <v/>
      </c>
      <c r="AS321" s="1" t="str">
        <f>IF(AND(AND(AND(AS$4&gt;='2025'!$L319,AS$4&lt;='2025'!$M319), AS$4&lt;&gt;DATE(2025,7,4)), (SWITCH(weekday(AS$4), 1, 0, 2, if(ISBLANK('2025'!$P319), 0, 1), 3, if(ISBLANK('2025'!$Q319), 0, 1), 4, if(ISBLANK('2025'!$R319), 0, 1), 5, if(ISBLANK('2025'!$S319), 0, 1), 6, if(ISBLANK('2025'!$T319), 0, 1), 7, 0))), 1, "")</f>
        <v/>
      </c>
      <c r="AT321" s="1" t="str">
        <f>IF(AND(AND(AND(AT$4&gt;='2025'!$L319,AT$4&lt;='2025'!$M319), AT$4&lt;&gt;DATE(2025,7,4)), (SWITCH(weekday(AT$4), 1, 0, 2, if(ISBLANK('2025'!$P319), 0, 1), 3, if(ISBLANK('2025'!$Q319), 0, 1), 4, if(ISBLANK('2025'!$R319), 0, 1), 5, if(ISBLANK('2025'!$S319), 0, 1), 6, if(ISBLANK('2025'!$T319), 0, 1), 7, 0))), 1, "")</f>
        <v/>
      </c>
      <c r="AU321" s="1" t="str">
        <f>IF(AND(AND(AND(AU$4&gt;='2025'!$L319,AU$4&lt;='2025'!$M319), AU$4&lt;&gt;DATE(2025,7,4)), (SWITCH(weekday(AU$4), 1, 0, 2, if(ISBLANK('2025'!$P319), 0, 1), 3, if(ISBLANK('2025'!$Q319), 0, 1), 4, if(ISBLANK('2025'!$R319), 0, 1), 5, if(ISBLANK('2025'!$S319), 0, 1), 6, if(ISBLANK('2025'!$T319), 0, 1), 7, 0))), 1, "")</f>
        <v/>
      </c>
      <c r="AV321" s="1" t="str">
        <f>IF(AND(AND(AND(AV$4&gt;='2025'!$L319,AV$4&lt;='2025'!$M319), AV$4&lt;&gt;DATE(2025,7,4)), (SWITCH(weekday(AV$4), 1, 0, 2, if(ISBLANK('2025'!$P319), 0, 1), 3, if(ISBLANK('2025'!$Q319), 0, 1), 4, if(ISBLANK('2025'!$R319), 0, 1), 5, if(ISBLANK('2025'!$S319), 0, 1), 6, if(ISBLANK('2025'!$T319), 0, 1), 7, 0))), 1, "")</f>
        <v/>
      </c>
      <c r="AW321" s="1" t="str">
        <f>IF(AND(AND(AND(AW$4&gt;='2025'!$L319,AW$4&lt;='2025'!$M319), AW$4&lt;&gt;DATE(2025,7,4)), (SWITCH(weekday(AW$4), 1, 0, 2, if(ISBLANK('2025'!$P319), 0, 1), 3, if(ISBLANK('2025'!$Q319), 0, 1), 4, if(ISBLANK('2025'!$R319), 0, 1), 5, if(ISBLANK('2025'!$S319), 0, 1), 6, if(ISBLANK('2025'!$T319), 0, 1), 7, 0))), 1, "")</f>
        <v/>
      </c>
      <c r="AX321" s="1" t="str">
        <f>IF(AND(AND(AND(AX$4&gt;='2025'!$L319,AX$4&lt;='2025'!$M319), AX$4&lt;&gt;DATE(2025,7,4)), (SWITCH(weekday(AX$4), 1, 0, 2, if(ISBLANK('2025'!$P319), 0, 1), 3, if(ISBLANK('2025'!$Q319), 0, 1), 4, if(ISBLANK('2025'!$R319), 0, 1), 5, if(ISBLANK('2025'!$S319), 0, 1), 6, if(ISBLANK('2025'!$T319), 0, 1), 7, 0))), 1, "")</f>
        <v/>
      </c>
      <c r="AY321" s="1" t="str">
        <f>IF(AND(AND(AND(AY$4&gt;='2025'!$L319,AY$4&lt;='2025'!$M319), AY$4&lt;&gt;DATE(2025,7,4)), (SWITCH(weekday(AY$4), 1, 0, 2, if(ISBLANK('2025'!$P319), 0, 1), 3, if(ISBLANK('2025'!$Q319), 0, 1), 4, if(ISBLANK('2025'!$R319), 0, 1), 5, if(ISBLANK('2025'!$S319), 0, 1), 6, if(ISBLANK('2025'!$T319), 0, 1), 7, 0))), 1, "")</f>
        <v/>
      </c>
      <c r="AZ321" s="1" t="str">
        <f>IF(AND(AND(AND(AZ$4&gt;='2025'!$L319,AZ$4&lt;='2025'!$M319), AZ$4&lt;&gt;DATE(2025,7,4)), (SWITCH(weekday(AZ$4), 1, 0, 2, if(ISBLANK('2025'!$P319), 0, 1), 3, if(ISBLANK('2025'!$Q319), 0, 1), 4, if(ISBLANK('2025'!$R319), 0, 1), 5, if(ISBLANK('2025'!$S319), 0, 1), 6, if(ISBLANK('2025'!$T319), 0, 1), 7, 0))), 1, "")</f>
        <v/>
      </c>
      <c r="BA321" s="1" t="str">
        <f>IF(AND(AND(AND(BA$4&gt;='2025'!$L319,BA$4&lt;='2025'!$M319), BA$4&lt;&gt;DATE(2025,7,4)), (SWITCH(weekday(BA$4), 1, 0, 2, if(ISBLANK('2025'!$P319), 0, 1), 3, if(ISBLANK('2025'!$Q319), 0, 1), 4, if(ISBLANK('2025'!$R319), 0, 1), 5, if(ISBLANK('2025'!$S319), 0, 1), 6, if(ISBLANK('2025'!$T319), 0, 1), 7, 0))), 1, "")</f>
        <v/>
      </c>
      <c r="BB321" s="1" t="str">
        <f>IF(AND(AND(AND(BB$4&gt;='2025'!$L319,BB$4&lt;='2025'!$M319), BB$4&lt;&gt;DATE(2025,7,4)), (SWITCH(weekday(BB$4), 1, 0, 2, if(ISBLANK('2025'!$P319), 0, 1), 3, if(ISBLANK('2025'!$Q319), 0, 1), 4, if(ISBLANK('2025'!$R319), 0, 1), 5, if(ISBLANK('2025'!$S319), 0, 1), 6, if(ISBLANK('2025'!$T319), 0, 1), 7, 0))), 1, "")</f>
        <v/>
      </c>
      <c r="BC321" s="1" t="str">
        <f>IF(AND(AND(AND(BC$4&gt;='2025'!$L319,BC$4&lt;='2025'!$M319), BC$4&lt;&gt;DATE(2025,7,4)), (SWITCH(weekday(BC$4), 1, 0, 2, if(ISBLANK('2025'!$P319), 0, 1), 3, if(ISBLANK('2025'!$Q319), 0, 1), 4, if(ISBLANK('2025'!$R319), 0, 1), 5, if(ISBLANK('2025'!$S319), 0, 1), 6, if(ISBLANK('2025'!$T319), 0, 1), 7, 0))), 1, "")</f>
        <v/>
      </c>
      <c r="BD321" s="1" t="str">
        <f>IF(AND(AND(AND(BD$4&gt;='2025'!$L319,BD$4&lt;='2025'!$M319), BD$4&lt;&gt;DATE(2025,7,4)), (SWITCH(weekday(BD$4), 1, 0, 2, if(ISBLANK('2025'!$P319), 0, 1), 3, if(ISBLANK('2025'!$Q319), 0, 1), 4, if(ISBLANK('2025'!$R319), 0, 1), 5, if(ISBLANK('2025'!$S319), 0, 1), 6, if(ISBLANK('2025'!$T319), 0, 1), 7, 0))), 1, "")</f>
        <v/>
      </c>
      <c r="BE321" s="1" t="str">
        <f>IF(AND(AND(AND(BE$4&gt;='2025'!$L319,BE$4&lt;='2025'!$M319), BE$4&lt;&gt;DATE(2025,7,4)), (SWITCH(weekday(BE$4), 1, 0, 2, if(ISBLANK('2025'!$P319), 0, 1), 3, if(ISBLANK('2025'!$Q319), 0, 1), 4, if(ISBLANK('2025'!$R319), 0, 1), 5, if(ISBLANK('2025'!$S319), 0, 1), 6, if(ISBLANK('2025'!$T319), 0, 1), 7, 0))), 1, "")</f>
        <v/>
      </c>
      <c r="BF321" s="1" t="str">
        <f>IF(AND(AND(AND(BF$4&gt;='2025'!$L319,BF$4&lt;='2025'!$M319), BF$4&lt;&gt;DATE(2025,7,4)), (SWITCH(weekday(BF$4), 1, 0, 2, if(ISBLANK('2025'!$P319), 0, 1), 3, if(ISBLANK('2025'!$Q319), 0, 1), 4, if(ISBLANK('2025'!$R319), 0, 1), 5, if(ISBLANK('2025'!$S319), 0, 1), 6, if(ISBLANK('2025'!$T319), 0, 1), 7, 0))), 1, "")</f>
        <v/>
      </c>
      <c r="BG321" s="1"/>
      <c r="BH321" s="1"/>
      <c r="BI321" s="1"/>
      <c r="BJ321" s="1"/>
      <c r="BK321" s="1"/>
      <c r="BL321" s="1"/>
    </row>
    <row r="322">
      <c r="A322" s="1">
        <f t="shared" si="3"/>
        <v>322</v>
      </c>
      <c r="B322" s="1" t="str">
        <f>'2025'!D286</f>
        <v>, </v>
      </c>
      <c r="C322" s="1" t="str">
        <f>'2025'!H286</f>
        <v/>
      </c>
      <c r="D322" s="1" t="str">
        <f>IF(AND(AND(AND(D$4&gt;='2025'!$L320,D$4&lt;='2025'!$M320), D$4&lt;&gt;DATE(2025,7,4)), (SWITCH(weekday(D$4), 1, 0, 2, if(ISBLANK('2025'!$P320), 0, 1), 3, if(ISBLANK('2025'!$Q320), 0, 1), 4, if(ISBLANK('2025'!$R320), 0, 1), 5, if(ISBLANK('2025'!$S320), 0, 1), 6, if(ISBLANK('2025'!$T320), 0, 1), 7, 0))), 1, "")</f>
        <v/>
      </c>
      <c r="E322" s="1" t="str">
        <f>IF(AND(AND(AND(E$4&gt;='2025'!$L320,E$4&lt;='2025'!$M320), E$4&lt;&gt;DATE(2025,7,4)), (SWITCH(weekday(E$4), 1, 0, 2, if(ISBLANK('2025'!$P320), 0, 1), 3, if(ISBLANK('2025'!$Q320), 0, 1), 4, if(ISBLANK('2025'!$R320), 0, 1), 5, if(ISBLANK('2025'!$S320), 0, 1), 6, if(ISBLANK('2025'!$T320), 0, 1), 7, 0))), 1, "")</f>
        <v/>
      </c>
      <c r="F322" s="1" t="str">
        <f>IF(AND(AND(AND(F$4&gt;='2025'!$L320,F$4&lt;='2025'!$M320), F$4&lt;&gt;DATE(2025,7,4)), (SWITCH(weekday(F$4), 1, 0, 2, if(ISBLANK('2025'!$P320), 0, 1), 3, if(ISBLANK('2025'!$Q320), 0, 1), 4, if(ISBLANK('2025'!$R320), 0, 1), 5, if(ISBLANK('2025'!$S320), 0, 1), 6, if(ISBLANK('2025'!$T320), 0, 1), 7, 0))), 1, "")</f>
        <v/>
      </c>
      <c r="G322" s="1" t="str">
        <f>IF(AND(AND(AND(G$4&gt;='2025'!$L320,G$4&lt;='2025'!$M320), G$4&lt;&gt;DATE(2025,7,4)), (SWITCH(weekday(G$4), 1, 0, 2, if(ISBLANK('2025'!$P320), 0, 1), 3, if(ISBLANK('2025'!$Q320), 0, 1), 4, if(ISBLANK('2025'!$R320), 0, 1), 5, if(ISBLANK('2025'!$S320), 0, 1), 6, if(ISBLANK('2025'!$T320), 0, 1), 7, 0))), 1, "")</f>
        <v/>
      </c>
      <c r="H322" s="1" t="str">
        <f>IF(AND(AND(AND(H$4&gt;='2025'!$L320,H$4&lt;='2025'!$M320), H$4&lt;&gt;DATE(2025,7,4)), (SWITCH(weekday(H$4), 1, 0, 2, if(ISBLANK('2025'!$P320), 0, 1), 3, if(ISBLANK('2025'!$Q320), 0, 1), 4, if(ISBLANK('2025'!$R320), 0, 1), 5, if(ISBLANK('2025'!$S320), 0, 1), 6, if(ISBLANK('2025'!$T320), 0, 1), 7, 0))), 1, "")</f>
        <v/>
      </c>
      <c r="I322" s="1" t="str">
        <f>IF(AND(AND(AND(I$4&gt;='2025'!$L320,I$4&lt;='2025'!$M320), I$4&lt;&gt;DATE(2025,7,4)), (SWITCH(weekday(I$4), 1, 0, 2, if(ISBLANK('2025'!$P320), 0, 1), 3, if(ISBLANK('2025'!$Q320), 0, 1), 4, if(ISBLANK('2025'!$R320), 0, 1), 5, if(ISBLANK('2025'!$S320), 0, 1), 6, if(ISBLANK('2025'!$T320), 0, 1), 7, 0))), 1, "")</f>
        <v/>
      </c>
      <c r="J322" s="1" t="str">
        <f>IF(AND(AND(AND(J$4&gt;='2025'!$L320,J$4&lt;='2025'!$M320), J$4&lt;&gt;DATE(2025,7,4)), (SWITCH(weekday(J$4), 1, 0, 2, if(ISBLANK('2025'!$P320), 0, 1), 3, if(ISBLANK('2025'!$Q320), 0, 1), 4, if(ISBLANK('2025'!$R320), 0, 1), 5, if(ISBLANK('2025'!$S320), 0, 1), 6, if(ISBLANK('2025'!$T320), 0, 1), 7, 0))), 1, "")</f>
        <v/>
      </c>
      <c r="K322" s="1" t="str">
        <f>IF(AND(AND(AND(K$4&gt;='2025'!$L320,K$4&lt;='2025'!$M320), K$4&lt;&gt;DATE(2025,7,4)), (SWITCH(weekday(K$4), 1, 0, 2, if(ISBLANK('2025'!$P320), 0, 1), 3, if(ISBLANK('2025'!$Q320), 0, 1), 4, if(ISBLANK('2025'!$R320), 0, 1), 5, if(ISBLANK('2025'!$S320), 0, 1), 6, if(ISBLANK('2025'!$T320), 0, 1), 7, 0))), 1, "")</f>
        <v/>
      </c>
      <c r="L322" s="1" t="str">
        <f>IF(AND(AND(AND(L$4&gt;='2025'!$L320,L$4&lt;='2025'!$M320), L$4&lt;&gt;DATE(2025,7,4)), (SWITCH(weekday(L$4), 1, 0, 2, if(ISBLANK('2025'!$P320), 0, 1), 3, if(ISBLANK('2025'!$Q320), 0, 1), 4, if(ISBLANK('2025'!$R320), 0, 1), 5, if(ISBLANK('2025'!$S320), 0, 1), 6, if(ISBLANK('2025'!$T320), 0, 1), 7, 0))), 1, "")</f>
        <v/>
      </c>
      <c r="M322" s="1" t="str">
        <f>IF(AND(AND(AND(M$4&gt;='2025'!$L320,M$4&lt;='2025'!$M320), M$4&lt;&gt;DATE(2025,7,4)), (SWITCH(weekday(M$4), 1, 0, 2, if(ISBLANK('2025'!$P320), 0, 1), 3, if(ISBLANK('2025'!$Q320), 0, 1), 4, if(ISBLANK('2025'!$R320), 0, 1), 5, if(ISBLANK('2025'!$S320), 0, 1), 6, if(ISBLANK('2025'!$T320), 0, 1), 7, 0))), 1, "")</f>
        <v/>
      </c>
      <c r="N322" s="1" t="str">
        <f>IF(AND(AND(AND(N$4&gt;='2025'!$L320,N$4&lt;='2025'!$M320), N$4&lt;&gt;DATE(2025,7,4)), (SWITCH(weekday(N$4), 1, 0, 2, if(ISBLANK('2025'!$P320), 0, 1), 3, if(ISBLANK('2025'!$Q320), 0, 1), 4, if(ISBLANK('2025'!$R320), 0, 1), 5, if(ISBLANK('2025'!$S320), 0, 1), 6, if(ISBLANK('2025'!$T320), 0, 1), 7, 0))), 1, "")</f>
        <v/>
      </c>
      <c r="O322" s="1" t="str">
        <f>IF(AND(AND(AND(O$4&gt;='2025'!$L320,O$4&lt;='2025'!$M320), O$4&lt;&gt;DATE(2025,7,4)), (SWITCH(weekday(O$4), 1, 0, 2, if(ISBLANK('2025'!$P320), 0, 1), 3, if(ISBLANK('2025'!$Q320), 0, 1), 4, if(ISBLANK('2025'!$R320), 0, 1), 5, if(ISBLANK('2025'!$S320), 0, 1), 6, if(ISBLANK('2025'!$T320), 0, 1), 7, 0))), 1, "")</f>
        <v/>
      </c>
      <c r="P322" s="1" t="str">
        <f>IF(AND(AND(AND(P$4&gt;='2025'!$L320,P$4&lt;='2025'!$M320), P$4&lt;&gt;DATE(2025,7,4)), (SWITCH(weekday(P$4), 1, 0, 2, if(ISBLANK('2025'!$P320), 0, 1), 3, if(ISBLANK('2025'!$Q320), 0, 1), 4, if(ISBLANK('2025'!$R320), 0, 1), 5, if(ISBLANK('2025'!$S320), 0, 1), 6, if(ISBLANK('2025'!$T320), 0, 1), 7, 0))), 1, "")</f>
        <v/>
      </c>
      <c r="Q322" s="1" t="str">
        <f>IF(AND(AND(AND(Q$4&gt;='2025'!$L320,Q$4&lt;='2025'!$M320), Q$4&lt;&gt;DATE(2025,7,4)), (SWITCH(weekday(Q$4), 1, 0, 2, if(ISBLANK('2025'!$P320), 0, 1), 3, if(ISBLANK('2025'!$Q320), 0, 1), 4, if(ISBLANK('2025'!$R320), 0, 1), 5, if(ISBLANK('2025'!$S320), 0, 1), 6, if(ISBLANK('2025'!$T320), 0, 1), 7, 0))), 1, "")</f>
        <v/>
      </c>
      <c r="R322" s="1" t="str">
        <f>IF(AND(AND(AND(R$4&gt;='2025'!$L320,R$4&lt;='2025'!$M320), R$4&lt;&gt;DATE(2025,7,4)), (SWITCH(weekday(R$4), 1, 0, 2, if(ISBLANK('2025'!$P320), 0, 1), 3, if(ISBLANK('2025'!$Q320), 0, 1), 4, if(ISBLANK('2025'!$R320), 0, 1), 5, if(ISBLANK('2025'!$S320), 0, 1), 6, if(ISBLANK('2025'!$T320), 0, 1), 7, 0))), 1, "")</f>
        <v/>
      </c>
      <c r="S322" s="1" t="str">
        <f>IF(AND(AND(AND(S$4&gt;='2025'!$L320,S$4&lt;='2025'!$M320), S$4&lt;&gt;DATE(2025,7,4)), (SWITCH(weekday(S$4), 1, 0, 2, if(ISBLANK('2025'!$P320), 0, 1), 3, if(ISBLANK('2025'!$Q320), 0, 1), 4, if(ISBLANK('2025'!$R320), 0, 1), 5, if(ISBLANK('2025'!$S320), 0, 1), 6, if(ISBLANK('2025'!$T320), 0, 1), 7, 0))), 1, "")</f>
        <v/>
      </c>
      <c r="T322" s="1" t="str">
        <f>IF(AND(AND(AND(T$4&gt;='2025'!$L320,T$4&lt;='2025'!$M320), T$4&lt;&gt;DATE(2025,7,4)), (SWITCH(weekday(T$4), 1, 0, 2, if(ISBLANK('2025'!$P320), 0, 1), 3, if(ISBLANK('2025'!$Q320), 0, 1), 4, if(ISBLANK('2025'!$R320), 0, 1), 5, if(ISBLANK('2025'!$S320), 0, 1), 6, if(ISBLANK('2025'!$T320), 0, 1), 7, 0))), 1, "")</f>
        <v/>
      </c>
      <c r="U322" s="1" t="str">
        <f>IF(AND(AND(AND(U$4&gt;='2025'!$L320,U$4&lt;='2025'!$M320), U$4&lt;&gt;DATE(2025,7,4)), (SWITCH(weekday(U$4), 1, 0, 2, if(ISBLANK('2025'!$P320), 0, 1), 3, if(ISBLANK('2025'!$Q320), 0, 1), 4, if(ISBLANK('2025'!$R320), 0, 1), 5, if(ISBLANK('2025'!$S320), 0, 1), 6, if(ISBLANK('2025'!$T320), 0, 1), 7, 0))), 1, "")</f>
        <v/>
      </c>
      <c r="V322" s="1" t="str">
        <f>IF(AND(AND(AND(V$4&gt;='2025'!$L320,V$4&lt;='2025'!$M320), V$4&lt;&gt;DATE(2025,7,4)), (SWITCH(weekday(V$4), 1, 0, 2, if(ISBLANK('2025'!$P320), 0, 1), 3, if(ISBLANK('2025'!$Q320), 0, 1), 4, if(ISBLANK('2025'!$R320), 0, 1), 5, if(ISBLANK('2025'!$S320), 0, 1), 6, if(ISBLANK('2025'!$T320), 0, 1), 7, 0))), 1, "")</f>
        <v/>
      </c>
      <c r="W322" s="1" t="str">
        <f>IF(AND(AND(AND(W$4&gt;='2025'!$L320,W$4&lt;='2025'!$M320), W$4&lt;&gt;DATE(2025,7,4)), (SWITCH(weekday(W$4), 1, 0, 2, if(ISBLANK('2025'!$P320), 0, 1), 3, if(ISBLANK('2025'!$Q320), 0, 1), 4, if(ISBLANK('2025'!$R320), 0, 1), 5, if(ISBLANK('2025'!$S320), 0, 1), 6, if(ISBLANK('2025'!$T320), 0, 1), 7, 0))), 1, "")</f>
        <v/>
      </c>
      <c r="X322" s="1" t="str">
        <f>IF(AND(AND(AND(X$4&gt;='2025'!$L320,X$4&lt;='2025'!$M320), X$4&lt;&gt;DATE(2025,7,4)), (SWITCH(weekday(X$4), 1, 0, 2, if(ISBLANK('2025'!$P320), 0, 1), 3, if(ISBLANK('2025'!$Q320), 0, 1), 4, if(ISBLANK('2025'!$R320), 0, 1), 5, if(ISBLANK('2025'!$S320), 0, 1), 6, if(ISBLANK('2025'!$T320), 0, 1), 7, 0))), 1, "")</f>
        <v/>
      </c>
      <c r="Y322" s="1" t="str">
        <f>IF(AND(AND(AND(Y$4&gt;='2025'!$L320,Y$4&lt;='2025'!$M320), Y$4&lt;&gt;DATE(2025,7,4)), (SWITCH(weekday(Y$4), 1, 0, 2, if(ISBLANK('2025'!$P320), 0, 1), 3, if(ISBLANK('2025'!$Q320), 0, 1), 4, if(ISBLANK('2025'!$R320), 0, 1), 5, if(ISBLANK('2025'!$S320), 0, 1), 6, if(ISBLANK('2025'!$T320), 0, 1), 7, 0))), 1, "")</f>
        <v/>
      </c>
      <c r="Z322" s="1" t="str">
        <f>IF(AND(AND(AND(Z$4&gt;='2025'!$L320,Z$4&lt;='2025'!$M320), Z$4&lt;&gt;DATE(2025,7,4)), (SWITCH(weekday(Z$4), 1, 0, 2, if(ISBLANK('2025'!$P320), 0, 1), 3, if(ISBLANK('2025'!$Q320), 0, 1), 4, if(ISBLANK('2025'!$R320), 0, 1), 5, if(ISBLANK('2025'!$S320), 0, 1), 6, if(ISBLANK('2025'!$T320), 0, 1), 7, 0))), 1, "")</f>
        <v/>
      </c>
      <c r="AA322" s="1" t="str">
        <f>IF(AND(AND(AND(AA$4&gt;='2025'!$L320,AA$4&lt;='2025'!$M320), AA$4&lt;&gt;DATE(2025,7,4)), (SWITCH(weekday(AA$4), 1, 0, 2, if(ISBLANK('2025'!$P320), 0, 1), 3, if(ISBLANK('2025'!$Q320), 0, 1), 4, if(ISBLANK('2025'!$R320), 0, 1), 5, if(ISBLANK('2025'!$S320), 0, 1), 6, if(ISBLANK('2025'!$T320), 0, 1), 7, 0))), 1, "")</f>
        <v/>
      </c>
      <c r="AB322" s="1" t="str">
        <f>IF(AND(AND(AND(AB$4&gt;='2025'!$L320,AB$4&lt;='2025'!$M320), AB$4&lt;&gt;DATE(2025,7,4)), (SWITCH(weekday(AB$4), 1, 0, 2, if(ISBLANK('2025'!$P320), 0, 1), 3, if(ISBLANK('2025'!$Q320), 0, 1), 4, if(ISBLANK('2025'!$R320), 0, 1), 5, if(ISBLANK('2025'!$S320), 0, 1), 6, if(ISBLANK('2025'!$T320), 0, 1), 7, 0))), 1, "")</f>
        <v/>
      </c>
      <c r="AC322" s="1" t="str">
        <f>IF(AND(AND(AND(AC$4&gt;='2025'!$L320,AC$4&lt;='2025'!$M320), AC$4&lt;&gt;DATE(2025,7,4)), (SWITCH(weekday(AC$4), 1, 0, 2, if(ISBLANK('2025'!$P320), 0, 1), 3, if(ISBLANK('2025'!$Q320), 0, 1), 4, if(ISBLANK('2025'!$R320), 0, 1), 5, if(ISBLANK('2025'!$S320), 0, 1), 6, if(ISBLANK('2025'!$T320), 0, 1), 7, 0))), 1, "")</f>
        <v/>
      </c>
      <c r="AD322" s="1" t="str">
        <f>IF(AND(AND(AND(AD$4&gt;='2025'!$L320,AD$4&lt;='2025'!$M320), AD$4&lt;&gt;DATE(2025,7,4)), (SWITCH(weekday(AD$4), 1, 0, 2, if(ISBLANK('2025'!$P320), 0, 1), 3, if(ISBLANK('2025'!$Q320), 0, 1), 4, if(ISBLANK('2025'!$R320), 0, 1), 5, if(ISBLANK('2025'!$S320), 0, 1), 6, if(ISBLANK('2025'!$T320), 0, 1), 7, 0))), 1, "")</f>
        <v/>
      </c>
      <c r="AE322" s="1" t="str">
        <f>IF(AND(AND(AND(AE$4&gt;='2025'!$L320,AE$4&lt;='2025'!$M320), AE$4&lt;&gt;DATE(2025,7,4)), (SWITCH(weekday(AE$4), 1, 0, 2, if(ISBLANK('2025'!$P320), 0, 1), 3, if(ISBLANK('2025'!$Q320), 0, 1), 4, if(ISBLANK('2025'!$R320), 0, 1), 5, if(ISBLANK('2025'!$S320), 0, 1), 6, if(ISBLANK('2025'!$T320), 0, 1), 7, 0))), 1, "")</f>
        <v/>
      </c>
      <c r="AF322" s="1" t="str">
        <f>IF(AND(AND(AND(AF$4&gt;='2025'!$L320,AF$4&lt;='2025'!$M320), AF$4&lt;&gt;DATE(2025,7,4)), (SWITCH(weekday(AF$4), 1, 0, 2, if(ISBLANK('2025'!$P320), 0, 1), 3, if(ISBLANK('2025'!$Q320), 0, 1), 4, if(ISBLANK('2025'!$R320), 0, 1), 5, if(ISBLANK('2025'!$S320), 0, 1), 6, if(ISBLANK('2025'!$T320), 0, 1), 7, 0))), 1, "")</f>
        <v/>
      </c>
      <c r="AG322" s="1" t="str">
        <f>IF(AND(AND(AND(AG$4&gt;='2025'!$L320,AG$4&lt;='2025'!$M320), AG$4&lt;&gt;DATE(2025,7,4)), (SWITCH(weekday(AG$4), 1, 0, 2, if(ISBLANK('2025'!$P320), 0, 1), 3, if(ISBLANK('2025'!$Q320), 0, 1), 4, if(ISBLANK('2025'!$R320), 0, 1), 5, if(ISBLANK('2025'!$S320), 0, 1), 6, if(ISBLANK('2025'!$T320), 0, 1), 7, 0))), 1, "")</f>
        <v/>
      </c>
      <c r="AH322" s="1" t="str">
        <f>IF(AND(AND(AND(AH$4&gt;='2025'!$L320,AH$4&lt;='2025'!$M320), AH$4&lt;&gt;DATE(2025,7,4)), (SWITCH(weekday(AH$4), 1, 0, 2, if(ISBLANK('2025'!$P320), 0, 1), 3, if(ISBLANK('2025'!$Q320), 0, 1), 4, if(ISBLANK('2025'!$R320), 0, 1), 5, if(ISBLANK('2025'!$S320), 0, 1), 6, if(ISBLANK('2025'!$T320), 0, 1), 7, 0))), 1, "")</f>
        <v/>
      </c>
      <c r="AI322" s="1" t="str">
        <f>IF(AND(AND(AND(AI$4&gt;='2025'!$L320,AI$4&lt;='2025'!$M320), AI$4&lt;&gt;DATE(2025,7,4)), (SWITCH(weekday(AI$4), 1, 0, 2, if(ISBLANK('2025'!$P320), 0, 1), 3, if(ISBLANK('2025'!$Q320), 0, 1), 4, if(ISBLANK('2025'!$R320), 0, 1), 5, if(ISBLANK('2025'!$S320), 0, 1), 6, if(ISBLANK('2025'!$T320), 0, 1), 7, 0))), 1, "")</f>
        <v/>
      </c>
      <c r="AJ322" s="1" t="str">
        <f>IF(AND(AND(AND(AJ$4&gt;='2025'!$L320,AJ$4&lt;='2025'!$M320), AJ$4&lt;&gt;DATE(2025,7,4)), (SWITCH(weekday(AJ$4), 1, 0, 2, if(ISBLANK('2025'!$P320), 0, 1), 3, if(ISBLANK('2025'!$Q320), 0, 1), 4, if(ISBLANK('2025'!$R320), 0, 1), 5, if(ISBLANK('2025'!$S320), 0, 1), 6, if(ISBLANK('2025'!$T320), 0, 1), 7, 0))), 1, "")</f>
        <v/>
      </c>
      <c r="AK322" s="1" t="str">
        <f>IF(AND(AND(AND(AK$4&gt;='2025'!$L320,AK$4&lt;='2025'!$M320), AK$4&lt;&gt;DATE(2025,7,4)), (SWITCH(weekday(AK$4), 1, 0, 2, if(ISBLANK('2025'!$P320), 0, 1), 3, if(ISBLANK('2025'!$Q320), 0, 1), 4, if(ISBLANK('2025'!$R320), 0, 1), 5, if(ISBLANK('2025'!$S320), 0, 1), 6, if(ISBLANK('2025'!$T320), 0, 1), 7, 0))), 1, "")</f>
        <v/>
      </c>
      <c r="AL322" s="1" t="str">
        <f>IF(AND(AND(AND(AL$4&gt;='2025'!$L320,AL$4&lt;='2025'!$M320), AL$4&lt;&gt;DATE(2025,7,4)), (SWITCH(weekday(AL$4), 1, 0, 2, if(ISBLANK('2025'!$P320), 0, 1), 3, if(ISBLANK('2025'!$Q320), 0, 1), 4, if(ISBLANK('2025'!$R320), 0, 1), 5, if(ISBLANK('2025'!$S320), 0, 1), 6, if(ISBLANK('2025'!$T320), 0, 1), 7, 0))), 1, "")</f>
        <v/>
      </c>
      <c r="AM322" s="1" t="str">
        <f>IF(AND(AND(AND(AM$4&gt;='2025'!$L320,AM$4&lt;='2025'!$M320), AM$4&lt;&gt;DATE(2025,7,4)), (SWITCH(weekday(AM$4), 1, 0, 2, if(ISBLANK('2025'!$P320), 0, 1), 3, if(ISBLANK('2025'!$Q320), 0, 1), 4, if(ISBLANK('2025'!$R320), 0, 1), 5, if(ISBLANK('2025'!$S320), 0, 1), 6, if(ISBLANK('2025'!$T320), 0, 1), 7, 0))), 1, "")</f>
        <v/>
      </c>
      <c r="AN322" s="1" t="str">
        <f>IF(AND(AND(AND(AN$4&gt;='2025'!$L320,AN$4&lt;='2025'!$M320), AN$4&lt;&gt;DATE(2025,7,4)), (SWITCH(weekday(AN$4), 1, 0, 2, if(ISBLANK('2025'!$P320), 0, 1), 3, if(ISBLANK('2025'!$Q320), 0, 1), 4, if(ISBLANK('2025'!$R320), 0, 1), 5, if(ISBLANK('2025'!$S320), 0, 1), 6, if(ISBLANK('2025'!$T320), 0, 1), 7, 0))), 1, "")</f>
        <v/>
      </c>
      <c r="AO322" s="1" t="str">
        <f>IF(AND(AND(AND(AO$4&gt;='2025'!$L320,AO$4&lt;='2025'!$M320), AO$4&lt;&gt;DATE(2025,7,4)), (SWITCH(weekday(AO$4), 1, 0, 2, if(ISBLANK('2025'!$P320), 0, 1), 3, if(ISBLANK('2025'!$Q320), 0, 1), 4, if(ISBLANK('2025'!$R320), 0, 1), 5, if(ISBLANK('2025'!$S320), 0, 1), 6, if(ISBLANK('2025'!$T320), 0, 1), 7, 0))), 1, "")</f>
        <v/>
      </c>
      <c r="AP322" s="1" t="str">
        <f>IF(AND(AND(AND(AP$4&gt;='2025'!$L320,AP$4&lt;='2025'!$M320), AP$4&lt;&gt;DATE(2025,7,4)), (SWITCH(weekday(AP$4), 1, 0, 2, if(ISBLANK('2025'!$P320), 0, 1), 3, if(ISBLANK('2025'!$Q320), 0, 1), 4, if(ISBLANK('2025'!$R320), 0, 1), 5, if(ISBLANK('2025'!$S320), 0, 1), 6, if(ISBLANK('2025'!$T320), 0, 1), 7, 0))), 1, "")</f>
        <v/>
      </c>
      <c r="AQ322" s="1" t="str">
        <f>IF(AND(AND(AND(AQ$4&gt;='2025'!$L320,AQ$4&lt;='2025'!$M320), AQ$4&lt;&gt;DATE(2025,7,4)), (SWITCH(weekday(AQ$4), 1, 0, 2, if(ISBLANK('2025'!$P320), 0, 1), 3, if(ISBLANK('2025'!$Q320), 0, 1), 4, if(ISBLANK('2025'!$R320), 0, 1), 5, if(ISBLANK('2025'!$S320), 0, 1), 6, if(ISBLANK('2025'!$T320), 0, 1), 7, 0))), 1, "")</f>
        <v/>
      </c>
      <c r="AR322" s="1" t="str">
        <f>IF(AND(AND(AND(AR$4&gt;='2025'!$L320,AR$4&lt;='2025'!$M320), AR$4&lt;&gt;DATE(2025,7,4)), (SWITCH(weekday(AR$4), 1, 0, 2, if(ISBLANK('2025'!$P320), 0, 1), 3, if(ISBLANK('2025'!$Q320), 0, 1), 4, if(ISBLANK('2025'!$R320), 0, 1), 5, if(ISBLANK('2025'!$S320), 0, 1), 6, if(ISBLANK('2025'!$T320), 0, 1), 7, 0))), 1, "")</f>
        <v/>
      </c>
      <c r="AS322" s="1" t="str">
        <f>IF(AND(AND(AND(AS$4&gt;='2025'!$L320,AS$4&lt;='2025'!$M320), AS$4&lt;&gt;DATE(2025,7,4)), (SWITCH(weekday(AS$4), 1, 0, 2, if(ISBLANK('2025'!$P320), 0, 1), 3, if(ISBLANK('2025'!$Q320), 0, 1), 4, if(ISBLANK('2025'!$R320), 0, 1), 5, if(ISBLANK('2025'!$S320), 0, 1), 6, if(ISBLANK('2025'!$T320), 0, 1), 7, 0))), 1, "")</f>
        <v/>
      </c>
      <c r="AT322" s="1" t="str">
        <f>IF(AND(AND(AND(AT$4&gt;='2025'!$L320,AT$4&lt;='2025'!$M320), AT$4&lt;&gt;DATE(2025,7,4)), (SWITCH(weekday(AT$4), 1, 0, 2, if(ISBLANK('2025'!$P320), 0, 1), 3, if(ISBLANK('2025'!$Q320), 0, 1), 4, if(ISBLANK('2025'!$R320), 0, 1), 5, if(ISBLANK('2025'!$S320), 0, 1), 6, if(ISBLANK('2025'!$T320), 0, 1), 7, 0))), 1, "")</f>
        <v/>
      </c>
      <c r="AU322" s="1" t="str">
        <f>IF(AND(AND(AND(AU$4&gt;='2025'!$L320,AU$4&lt;='2025'!$M320), AU$4&lt;&gt;DATE(2025,7,4)), (SWITCH(weekday(AU$4), 1, 0, 2, if(ISBLANK('2025'!$P320), 0, 1), 3, if(ISBLANK('2025'!$Q320), 0, 1), 4, if(ISBLANK('2025'!$R320), 0, 1), 5, if(ISBLANK('2025'!$S320), 0, 1), 6, if(ISBLANK('2025'!$T320), 0, 1), 7, 0))), 1, "")</f>
        <v/>
      </c>
      <c r="AV322" s="1" t="str">
        <f>IF(AND(AND(AND(AV$4&gt;='2025'!$L320,AV$4&lt;='2025'!$M320), AV$4&lt;&gt;DATE(2025,7,4)), (SWITCH(weekday(AV$4), 1, 0, 2, if(ISBLANK('2025'!$P320), 0, 1), 3, if(ISBLANK('2025'!$Q320), 0, 1), 4, if(ISBLANK('2025'!$R320), 0, 1), 5, if(ISBLANK('2025'!$S320), 0, 1), 6, if(ISBLANK('2025'!$T320), 0, 1), 7, 0))), 1, "")</f>
        <v/>
      </c>
      <c r="AW322" s="1" t="str">
        <f>IF(AND(AND(AND(AW$4&gt;='2025'!$L320,AW$4&lt;='2025'!$M320), AW$4&lt;&gt;DATE(2025,7,4)), (SWITCH(weekday(AW$4), 1, 0, 2, if(ISBLANK('2025'!$P320), 0, 1), 3, if(ISBLANK('2025'!$Q320), 0, 1), 4, if(ISBLANK('2025'!$R320), 0, 1), 5, if(ISBLANK('2025'!$S320), 0, 1), 6, if(ISBLANK('2025'!$T320), 0, 1), 7, 0))), 1, "")</f>
        <v/>
      </c>
      <c r="AX322" s="1" t="str">
        <f>IF(AND(AND(AND(AX$4&gt;='2025'!$L320,AX$4&lt;='2025'!$M320), AX$4&lt;&gt;DATE(2025,7,4)), (SWITCH(weekday(AX$4), 1, 0, 2, if(ISBLANK('2025'!$P320), 0, 1), 3, if(ISBLANK('2025'!$Q320), 0, 1), 4, if(ISBLANK('2025'!$R320), 0, 1), 5, if(ISBLANK('2025'!$S320), 0, 1), 6, if(ISBLANK('2025'!$T320), 0, 1), 7, 0))), 1, "")</f>
        <v/>
      </c>
      <c r="AY322" s="1" t="str">
        <f>IF(AND(AND(AND(AY$4&gt;='2025'!$L320,AY$4&lt;='2025'!$M320), AY$4&lt;&gt;DATE(2025,7,4)), (SWITCH(weekday(AY$4), 1, 0, 2, if(ISBLANK('2025'!$P320), 0, 1), 3, if(ISBLANK('2025'!$Q320), 0, 1), 4, if(ISBLANK('2025'!$R320), 0, 1), 5, if(ISBLANK('2025'!$S320), 0, 1), 6, if(ISBLANK('2025'!$T320), 0, 1), 7, 0))), 1, "")</f>
        <v/>
      </c>
      <c r="AZ322" s="1" t="str">
        <f>IF(AND(AND(AND(AZ$4&gt;='2025'!$L320,AZ$4&lt;='2025'!$M320), AZ$4&lt;&gt;DATE(2025,7,4)), (SWITCH(weekday(AZ$4), 1, 0, 2, if(ISBLANK('2025'!$P320), 0, 1), 3, if(ISBLANK('2025'!$Q320), 0, 1), 4, if(ISBLANK('2025'!$R320), 0, 1), 5, if(ISBLANK('2025'!$S320), 0, 1), 6, if(ISBLANK('2025'!$T320), 0, 1), 7, 0))), 1, "")</f>
        <v/>
      </c>
      <c r="BA322" s="1" t="str">
        <f>IF(AND(AND(AND(BA$4&gt;='2025'!$L320,BA$4&lt;='2025'!$M320), BA$4&lt;&gt;DATE(2025,7,4)), (SWITCH(weekday(BA$4), 1, 0, 2, if(ISBLANK('2025'!$P320), 0, 1), 3, if(ISBLANK('2025'!$Q320), 0, 1), 4, if(ISBLANK('2025'!$R320), 0, 1), 5, if(ISBLANK('2025'!$S320), 0, 1), 6, if(ISBLANK('2025'!$T320), 0, 1), 7, 0))), 1, "")</f>
        <v/>
      </c>
      <c r="BB322" s="1" t="str">
        <f>IF(AND(AND(AND(BB$4&gt;='2025'!$L320,BB$4&lt;='2025'!$M320), BB$4&lt;&gt;DATE(2025,7,4)), (SWITCH(weekday(BB$4), 1, 0, 2, if(ISBLANK('2025'!$P320), 0, 1), 3, if(ISBLANK('2025'!$Q320), 0, 1), 4, if(ISBLANK('2025'!$R320), 0, 1), 5, if(ISBLANK('2025'!$S320), 0, 1), 6, if(ISBLANK('2025'!$T320), 0, 1), 7, 0))), 1, "")</f>
        <v/>
      </c>
      <c r="BC322" s="1" t="str">
        <f>IF(AND(AND(AND(BC$4&gt;='2025'!$L320,BC$4&lt;='2025'!$M320), BC$4&lt;&gt;DATE(2025,7,4)), (SWITCH(weekday(BC$4), 1, 0, 2, if(ISBLANK('2025'!$P320), 0, 1), 3, if(ISBLANK('2025'!$Q320), 0, 1), 4, if(ISBLANK('2025'!$R320), 0, 1), 5, if(ISBLANK('2025'!$S320), 0, 1), 6, if(ISBLANK('2025'!$T320), 0, 1), 7, 0))), 1, "")</f>
        <v/>
      </c>
      <c r="BD322" s="1" t="str">
        <f>IF(AND(AND(AND(BD$4&gt;='2025'!$L320,BD$4&lt;='2025'!$M320), BD$4&lt;&gt;DATE(2025,7,4)), (SWITCH(weekday(BD$4), 1, 0, 2, if(ISBLANK('2025'!$P320), 0, 1), 3, if(ISBLANK('2025'!$Q320), 0, 1), 4, if(ISBLANK('2025'!$R320), 0, 1), 5, if(ISBLANK('2025'!$S320), 0, 1), 6, if(ISBLANK('2025'!$T320), 0, 1), 7, 0))), 1, "")</f>
        <v/>
      </c>
      <c r="BE322" s="1" t="str">
        <f>IF(AND(AND(AND(BE$4&gt;='2025'!$L320,BE$4&lt;='2025'!$M320), BE$4&lt;&gt;DATE(2025,7,4)), (SWITCH(weekday(BE$4), 1, 0, 2, if(ISBLANK('2025'!$P320), 0, 1), 3, if(ISBLANK('2025'!$Q320), 0, 1), 4, if(ISBLANK('2025'!$R320), 0, 1), 5, if(ISBLANK('2025'!$S320), 0, 1), 6, if(ISBLANK('2025'!$T320), 0, 1), 7, 0))), 1, "")</f>
        <v/>
      </c>
      <c r="BF322" s="1" t="str">
        <f>IF(AND(AND(AND(BF$4&gt;='2025'!$L320,BF$4&lt;='2025'!$M320), BF$4&lt;&gt;DATE(2025,7,4)), (SWITCH(weekday(BF$4), 1, 0, 2, if(ISBLANK('2025'!$P320), 0, 1), 3, if(ISBLANK('2025'!$Q320), 0, 1), 4, if(ISBLANK('2025'!$R320), 0, 1), 5, if(ISBLANK('2025'!$S320), 0, 1), 6, if(ISBLANK('2025'!$T320), 0, 1), 7, 0))), 1, "")</f>
        <v/>
      </c>
      <c r="BG322" s="1"/>
      <c r="BH322" s="1"/>
      <c r="BI322" s="1"/>
      <c r="BJ322" s="1"/>
      <c r="BK322" s="1"/>
      <c r="BL322" s="1"/>
    </row>
    <row r="323">
      <c r="A323" s="1">
        <f t="shared" si="3"/>
        <v>323</v>
      </c>
      <c r="B323" s="1" t="str">
        <f>'2025'!D287</f>
        <v>, </v>
      </c>
      <c r="C323" s="1" t="str">
        <f>'2025'!H287</f>
        <v/>
      </c>
      <c r="D323" s="1" t="str">
        <f>IF(AND(AND(AND(D$4&gt;='2025'!$L321,D$4&lt;='2025'!$M321), D$4&lt;&gt;DATE(2025,7,4)), (SWITCH(weekday(D$4), 1, 0, 2, if(ISBLANK('2025'!$P321), 0, 1), 3, if(ISBLANK('2025'!$Q321), 0, 1), 4, if(ISBLANK('2025'!$R321), 0, 1), 5, if(ISBLANK('2025'!$S321), 0, 1), 6, if(ISBLANK('2025'!$T321), 0, 1), 7, 0))), 1, "")</f>
        <v/>
      </c>
      <c r="E323" s="1" t="str">
        <f>IF(AND(AND(AND(E$4&gt;='2025'!$L321,E$4&lt;='2025'!$M321), E$4&lt;&gt;DATE(2025,7,4)), (SWITCH(weekday(E$4), 1, 0, 2, if(ISBLANK('2025'!$P321), 0, 1), 3, if(ISBLANK('2025'!$Q321), 0, 1), 4, if(ISBLANK('2025'!$R321), 0, 1), 5, if(ISBLANK('2025'!$S321), 0, 1), 6, if(ISBLANK('2025'!$T321), 0, 1), 7, 0))), 1, "")</f>
        <v/>
      </c>
      <c r="F323" s="1" t="str">
        <f>IF(AND(AND(AND(F$4&gt;='2025'!$L321,F$4&lt;='2025'!$M321), F$4&lt;&gt;DATE(2025,7,4)), (SWITCH(weekday(F$4), 1, 0, 2, if(ISBLANK('2025'!$P321), 0, 1), 3, if(ISBLANK('2025'!$Q321), 0, 1), 4, if(ISBLANK('2025'!$R321), 0, 1), 5, if(ISBLANK('2025'!$S321), 0, 1), 6, if(ISBLANK('2025'!$T321), 0, 1), 7, 0))), 1, "")</f>
        <v/>
      </c>
      <c r="G323" s="1" t="str">
        <f>IF(AND(AND(AND(G$4&gt;='2025'!$L321,G$4&lt;='2025'!$M321), G$4&lt;&gt;DATE(2025,7,4)), (SWITCH(weekday(G$4), 1, 0, 2, if(ISBLANK('2025'!$P321), 0, 1), 3, if(ISBLANK('2025'!$Q321), 0, 1), 4, if(ISBLANK('2025'!$R321), 0, 1), 5, if(ISBLANK('2025'!$S321), 0, 1), 6, if(ISBLANK('2025'!$T321), 0, 1), 7, 0))), 1, "")</f>
        <v/>
      </c>
      <c r="H323" s="1" t="str">
        <f>IF(AND(AND(AND(H$4&gt;='2025'!$L321,H$4&lt;='2025'!$M321), H$4&lt;&gt;DATE(2025,7,4)), (SWITCH(weekday(H$4), 1, 0, 2, if(ISBLANK('2025'!$P321), 0, 1), 3, if(ISBLANK('2025'!$Q321), 0, 1), 4, if(ISBLANK('2025'!$R321), 0, 1), 5, if(ISBLANK('2025'!$S321), 0, 1), 6, if(ISBLANK('2025'!$T321), 0, 1), 7, 0))), 1, "")</f>
        <v/>
      </c>
      <c r="I323" s="1" t="str">
        <f>IF(AND(AND(AND(I$4&gt;='2025'!$L321,I$4&lt;='2025'!$M321), I$4&lt;&gt;DATE(2025,7,4)), (SWITCH(weekday(I$4), 1, 0, 2, if(ISBLANK('2025'!$P321), 0, 1), 3, if(ISBLANK('2025'!$Q321), 0, 1), 4, if(ISBLANK('2025'!$R321), 0, 1), 5, if(ISBLANK('2025'!$S321), 0, 1), 6, if(ISBLANK('2025'!$T321), 0, 1), 7, 0))), 1, "")</f>
        <v/>
      </c>
      <c r="J323" s="1" t="str">
        <f>IF(AND(AND(AND(J$4&gt;='2025'!$L321,J$4&lt;='2025'!$M321), J$4&lt;&gt;DATE(2025,7,4)), (SWITCH(weekday(J$4), 1, 0, 2, if(ISBLANK('2025'!$P321), 0, 1), 3, if(ISBLANK('2025'!$Q321), 0, 1), 4, if(ISBLANK('2025'!$R321), 0, 1), 5, if(ISBLANK('2025'!$S321), 0, 1), 6, if(ISBLANK('2025'!$T321), 0, 1), 7, 0))), 1, "")</f>
        <v/>
      </c>
      <c r="K323" s="1" t="str">
        <f>IF(AND(AND(AND(K$4&gt;='2025'!$L321,K$4&lt;='2025'!$M321), K$4&lt;&gt;DATE(2025,7,4)), (SWITCH(weekday(K$4), 1, 0, 2, if(ISBLANK('2025'!$P321), 0, 1), 3, if(ISBLANK('2025'!$Q321), 0, 1), 4, if(ISBLANK('2025'!$R321), 0, 1), 5, if(ISBLANK('2025'!$S321), 0, 1), 6, if(ISBLANK('2025'!$T321), 0, 1), 7, 0))), 1, "")</f>
        <v/>
      </c>
      <c r="L323" s="1" t="str">
        <f>IF(AND(AND(AND(L$4&gt;='2025'!$L321,L$4&lt;='2025'!$M321), L$4&lt;&gt;DATE(2025,7,4)), (SWITCH(weekday(L$4), 1, 0, 2, if(ISBLANK('2025'!$P321), 0, 1), 3, if(ISBLANK('2025'!$Q321), 0, 1), 4, if(ISBLANK('2025'!$R321), 0, 1), 5, if(ISBLANK('2025'!$S321), 0, 1), 6, if(ISBLANK('2025'!$T321), 0, 1), 7, 0))), 1, "")</f>
        <v/>
      </c>
      <c r="M323" s="1" t="str">
        <f>IF(AND(AND(AND(M$4&gt;='2025'!$L321,M$4&lt;='2025'!$M321), M$4&lt;&gt;DATE(2025,7,4)), (SWITCH(weekday(M$4), 1, 0, 2, if(ISBLANK('2025'!$P321), 0, 1), 3, if(ISBLANK('2025'!$Q321), 0, 1), 4, if(ISBLANK('2025'!$R321), 0, 1), 5, if(ISBLANK('2025'!$S321), 0, 1), 6, if(ISBLANK('2025'!$T321), 0, 1), 7, 0))), 1, "")</f>
        <v/>
      </c>
      <c r="N323" s="1" t="str">
        <f>IF(AND(AND(AND(N$4&gt;='2025'!$L321,N$4&lt;='2025'!$M321), N$4&lt;&gt;DATE(2025,7,4)), (SWITCH(weekday(N$4), 1, 0, 2, if(ISBLANK('2025'!$P321), 0, 1), 3, if(ISBLANK('2025'!$Q321), 0, 1), 4, if(ISBLANK('2025'!$R321), 0, 1), 5, if(ISBLANK('2025'!$S321), 0, 1), 6, if(ISBLANK('2025'!$T321), 0, 1), 7, 0))), 1, "")</f>
        <v/>
      </c>
      <c r="O323" s="1" t="str">
        <f>IF(AND(AND(AND(O$4&gt;='2025'!$L321,O$4&lt;='2025'!$M321), O$4&lt;&gt;DATE(2025,7,4)), (SWITCH(weekday(O$4), 1, 0, 2, if(ISBLANK('2025'!$P321), 0, 1), 3, if(ISBLANK('2025'!$Q321), 0, 1), 4, if(ISBLANK('2025'!$R321), 0, 1), 5, if(ISBLANK('2025'!$S321), 0, 1), 6, if(ISBLANK('2025'!$T321), 0, 1), 7, 0))), 1, "")</f>
        <v/>
      </c>
      <c r="P323" s="1" t="str">
        <f>IF(AND(AND(AND(P$4&gt;='2025'!$L321,P$4&lt;='2025'!$M321), P$4&lt;&gt;DATE(2025,7,4)), (SWITCH(weekday(P$4), 1, 0, 2, if(ISBLANK('2025'!$P321), 0, 1), 3, if(ISBLANK('2025'!$Q321), 0, 1), 4, if(ISBLANK('2025'!$R321), 0, 1), 5, if(ISBLANK('2025'!$S321), 0, 1), 6, if(ISBLANK('2025'!$T321), 0, 1), 7, 0))), 1, "")</f>
        <v/>
      </c>
      <c r="Q323" s="1" t="str">
        <f>IF(AND(AND(AND(Q$4&gt;='2025'!$L321,Q$4&lt;='2025'!$M321), Q$4&lt;&gt;DATE(2025,7,4)), (SWITCH(weekday(Q$4), 1, 0, 2, if(ISBLANK('2025'!$P321), 0, 1), 3, if(ISBLANK('2025'!$Q321), 0, 1), 4, if(ISBLANK('2025'!$R321), 0, 1), 5, if(ISBLANK('2025'!$S321), 0, 1), 6, if(ISBLANK('2025'!$T321), 0, 1), 7, 0))), 1, "")</f>
        <v/>
      </c>
      <c r="R323" s="1" t="str">
        <f>IF(AND(AND(AND(R$4&gt;='2025'!$L321,R$4&lt;='2025'!$M321), R$4&lt;&gt;DATE(2025,7,4)), (SWITCH(weekday(R$4), 1, 0, 2, if(ISBLANK('2025'!$P321), 0, 1), 3, if(ISBLANK('2025'!$Q321), 0, 1), 4, if(ISBLANK('2025'!$R321), 0, 1), 5, if(ISBLANK('2025'!$S321), 0, 1), 6, if(ISBLANK('2025'!$T321), 0, 1), 7, 0))), 1, "")</f>
        <v/>
      </c>
      <c r="S323" s="1" t="str">
        <f>IF(AND(AND(AND(S$4&gt;='2025'!$L321,S$4&lt;='2025'!$M321), S$4&lt;&gt;DATE(2025,7,4)), (SWITCH(weekday(S$4), 1, 0, 2, if(ISBLANK('2025'!$P321), 0, 1), 3, if(ISBLANK('2025'!$Q321), 0, 1), 4, if(ISBLANK('2025'!$R321), 0, 1), 5, if(ISBLANK('2025'!$S321), 0, 1), 6, if(ISBLANK('2025'!$T321), 0, 1), 7, 0))), 1, "")</f>
        <v/>
      </c>
      <c r="T323" s="1" t="str">
        <f>IF(AND(AND(AND(T$4&gt;='2025'!$L321,T$4&lt;='2025'!$M321), T$4&lt;&gt;DATE(2025,7,4)), (SWITCH(weekday(T$4), 1, 0, 2, if(ISBLANK('2025'!$P321), 0, 1), 3, if(ISBLANK('2025'!$Q321), 0, 1), 4, if(ISBLANK('2025'!$R321), 0, 1), 5, if(ISBLANK('2025'!$S321), 0, 1), 6, if(ISBLANK('2025'!$T321), 0, 1), 7, 0))), 1, "")</f>
        <v/>
      </c>
      <c r="U323" s="1" t="str">
        <f>IF(AND(AND(AND(U$4&gt;='2025'!$L321,U$4&lt;='2025'!$M321), U$4&lt;&gt;DATE(2025,7,4)), (SWITCH(weekday(U$4), 1, 0, 2, if(ISBLANK('2025'!$P321), 0, 1), 3, if(ISBLANK('2025'!$Q321), 0, 1), 4, if(ISBLANK('2025'!$R321), 0, 1), 5, if(ISBLANK('2025'!$S321), 0, 1), 6, if(ISBLANK('2025'!$T321), 0, 1), 7, 0))), 1, "")</f>
        <v/>
      </c>
      <c r="V323" s="1" t="str">
        <f>IF(AND(AND(AND(V$4&gt;='2025'!$L321,V$4&lt;='2025'!$M321), V$4&lt;&gt;DATE(2025,7,4)), (SWITCH(weekday(V$4), 1, 0, 2, if(ISBLANK('2025'!$P321), 0, 1), 3, if(ISBLANK('2025'!$Q321), 0, 1), 4, if(ISBLANK('2025'!$R321), 0, 1), 5, if(ISBLANK('2025'!$S321), 0, 1), 6, if(ISBLANK('2025'!$T321), 0, 1), 7, 0))), 1, "")</f>
        <v/>
      </c>
      <c r="W323" s="1" t="str">
        <f>IF(AND(AND(AND(W$4&gt;='2025'!$L321,W$4&lt;='2025'!$M321), W$4&lt;&gt;DATE(2025,7,4)), (SWITCH(weekday(W$4), 1, 0, 2, if(ISBLANK('2025'!$P321), 0, 1), 3, if(ISBLANK('2025'!$Q321), 0, 1), 4, if(ISBLANK('2025'!$R321), 0, 1), 5, if(ISBLANK('2025'!$S321), 0, 1), 6, if(ISBLANK('2025'!$T321), 0, 1), 7, 0))), 1, "")</f>
        <v/>
      </c>
      <c r="X323" s="1" t="str">
        <f>IF(AND(AND(AND(X$4&gt;='2025'!$L321,X$4&lt;='2025'!$M321), X$4&lt;&gt;DATE(2025,7,4)), (SWITCH(weekday(X$4), 1, 0, 2, if(ISBLANK('2025'!$P321), 0, 1), 3, if(ISBLANK('2025'!$Q321), 0, 1), 4, if(ISBLANK('2025'!$R321), 0, 1), 5, if(ISBLANK('2025'!$S321), 0, 1), 6, if(ISBLANK('2025'!$T321), 0, 1), 7, 0))), 1, "")</f>
        <v/>
      </c>
      <c r="Y323" s="1" t="str">
        <f>IF(AND(AND(AND(Y$4&gt;='2025'!$L321,Y$4&lt;='2025'!$M321), Y$4&lt;&gt;DATE(2025,7,4)), (SWITCH(weekday(Y$4), 1, 0, 2, if(ISBLANK('2025'!$P321), 0, 1), 3, if(ISBLANK('2025'!$Q321), 0, 1), 4, if(ISBLANK('2025'!$R321), 0, 1), 5, if(ISBLANK('2025'!$S321), 0, 1), 6, if(ISBLANK('2025'!$T321), 0, 1), 7, 0))), 1, "")</f>
        <v/>
      </c>
      <c r="Z323" s="1" t="str">
        <f>IF(AND(AND(AND(Z$4&gt;='2025'!$L321,Z$4&lt;='2025'!$M321), Z$4&lt;&gt;DATE(2025,7,4)), (SWITCH(weekday(Z$4), 1, 0, 2, if(ISBLANK('2025'!$P321), 0, 1), 3, if(ISBLANK('2025'!$Q321), 0, 1), 4, if(ISBLANK('2025'!$R321), 0, 1), 5, if(ISBLANK('2025'!$S321), 0, 1), 6, if(ISBLANK('2025'!$T321), 0, 1), 7, 0))), 1, "")</f>
        <v/>
      </c>
      <c r="AA323" s="1" t="str">
        <f>IF(AND(AND(AND(AA$4&gt;='2025'!$L321,AA$4&lt;='2025'!$M321), AA$4&lt;&gt;DATE(2025,7,4)), (SWITCH(weekday(AA$4), 1, 0, 2, if(ISBLANK('2025'!$P321), 0, 1), 3, if(ISBLANK('2025'!$Q321), 0, 1), 4, if(ISBLANK('2025'!$R321), 0, 1), 5, if(ISBLANK('2025'!$S321), 0, 1), 6, if(ISBLANK('2025'!$T321), 0, 1), 7, 0))), 1, "")</f>
        <v/>
      </c>
      <c r="AB323" s="1" t="str">
        <f>IF(AND(AND(AND(AB$4&gt;='2025'!$L321,AB$4&lt;='2025'!$M321), AB$4&lt;&gt;DATE(2025,7,4)), (SWITCH(weekday(AB$4), 1, 0, 2, if(ISBLANK('2025'!$P321), 0, 1), 3, if(ISBLANK('2025'!$Q321), 0, 1), 4, if(ISBLANK('2025'!$R321), 0, 1), 5, if(ISBLANK('2025'!$S321), 0, 1), 6, if(ISBLANK('2025'!$T321), 0, 1), 7, 0))), 1, "")</f>
        <v/>
      </c>
      <c r="AC323" s="1" t="str">
        <f>IF(AND(AND(AND(AC$4&gt;='2025'!$L321,AC$4&lt;='2025'!$M321), AC$4&lt;&gt;DATE(2025,7,4)), (SWITCH(weekday(AC$4), 1, 0, 2, if(ISBLANK('2025'!$P321), 0, 1), 3, if(ISBLANK('2025'!$Q321), 0, 1), 4, if(ISBLANK('2025'!$R321), 0, 1), 5, if(ISBLANK('2025'!$S321), 0, 1), 6, if(ISBLANK('2025'!$T321), 0, 1), 7, 0))), 1, "")</f>
        <v/>
      </c>
      <c r="AD323" s="1" t="str">
        <f>IF(AND(AND(AND(AD$4&gt;='2025'!$L321,AD$4&lt;='2025'!$M321), AD$4&lt;&gt;DATE(2025,7,4)), (SWITCH(weekday(AD$4), 1, 0, 2, if(ISBLANK('2025'!$P321), 0, 1), 3, if(ISBLANK('2025'!$Q321), 0, 1), 4, if(ISBLANK('2025'!$R321), 0, 1), 5, if(ISBLANK('2025'!$S321), 0, 1), 6, if(ISBLANK('2025'!$T321), 0, 1), 7, 0))), 1, "")</f>
        <v/>
      </c>
      <c r="AE323" s="1" t="str">
        <f>IF(AND(AND(AND(AE$4&gt;='2025'!$L321,AE$4&lt;='2025'!$M321), AE$4&lt;&gt;DATE(2025,7,4)), (SWITCH(weekday(AE$4), 1, 0, 2, if(ISBLANK('2025'!$P321), 0, 1), 3, if(ISBLANK('2025'!$Q321), 0, 1), 4, if(ISBLANK('2025'!$R321), 0, 1), 5, if(ISBLANK('2025'!$S321), 0, 1), 6, if(ISBLANK('2025'!$T321), 0, 1), 7, 0))), 1, "")</f>
        <v/>
      </c>
      <c r="AF323" s="1" t="str">
        <f>IF(AND(AND(AND(AF$4&gt;='2025'!$L321,AF$4&lt;='2025'!$M321), AF$4&lt;&gt;DATE(2025,7,4)), (SWITCH(weekday(AF$4), 1, 0, 2, if(ISBLANK('2025'!$P321), 0, 1), 3, if(ISBLANK('2025'!$Q321), 0, 1), 4, if(ISBLANK('2025'!$R321), 0, 1), 5, if(ISBLANK('2025'!$S321), 0, 1), 6, if(ISBLANK('2025'!$T321), 0, 1), 7, 0))), 1, "")</f>
        <v/>
      </c>
      <c r="AG323" s="1" t="str">
        <f>IF(AND(AND(AND(AG$4&gt;='2025'!$L321,AG$4&lt;='2025'!$M321), AG$4&lt;&gt;DATE(2025,7,4)), (SWITCH(weekday(AG$4), 1, 0, 2, if(ISBLANK('2025'!$P321), 0, 1), 3, if(ISBLANK('2025'!$Q321), 0, 1), 4, if(ISBLANK('2025'!$R321), 0, 1), 5, if(ISBLANK('2025'!$S321), 0, 1), 6, if(ISBLANK('2025'!$T321), 0, 1), 7, 0))), 1, "")</f>
        <v/>
      </c>
      <c r="AH323" s="1" t="str">
        <f>IF(AND(AND(AND(AH$4&gt;='2025'!$L321,AH$4&lt;='2025'!$M321), AH$4&lt;&gt;DATE(2025,7,4)), (SWITCH(weekday(AH$4), 1, 0, 2, if(ISBLANK('2025'!$P321), 0, 1), 3, if(ISBLANK('2025'!$Q321), 0, 1), 4, if(ISBLANK('2025'!$R321), 0, 1), 5, if(ISBLANK('2025'!$S321), 0, 1), 6, if(ISBLANK('2025'!$T321), 0, 1), 7, 0))), 1, "")</f>
        <v/>
      </c>
      <c r="AI323" s="1" t="str">
        <f>IF(AND(AND(AND(AI$4&gt;='2025'!$L321,AI$4&lt;='2025'!$M321), AI$4&lt;&gt;DATE(2025,7,4)), (SWITCH(weekday(AI$4), 1, 0, 2, if(ISBLANK('2025'!$P321), 0, 1), 3, if(ISBLANK('2025'!$Q321), 0, 1), 4, if(ISBLANK('2025'!$R321), 0, 1), 5, if(ISBLANK('2025'!$S321), 0, 1), 6, if(ISBLANK('2025'!$T321), 0, 1), 7, 0))), 1, "")</f>
        <v/>
      </c>
      <c r="AJ323" s="1" t="str">
        <f>IF(AND(AND(AND(AJ$4&gt;='2025'!$L321,AJ$4&lt;='2025'!$M321), AJ$4&lt;&gt;DATE(2025,7,4)), (SWITCH(weekday(AJ$4), 1, 0, 2, if(ISBLANK('2025'!$P321), 0, 1), 3, if(ISBLANK('2025'!$Q321), 0, 1), 4, if(ISBLANK('2025'!$R321), 0, 1), 5, if(ISBLANK('2025'!$S321), 0, 1), 6, if(ISBLANK('2025'!$T321), 0, 1), 7, 0))), 1, "")</f>
        <v/>
      </c>
      <c r="AK323" s="1" t="str">
        <f>IF(AND(AND(AND(AK$4&gt;='2025'!$L321,AK$4&lt;='2025'!$M321), AK$4&lt;&gt;DATE(2025,7,4)), (SWITCH(weekday(AK$4), 1, 0, 2, if(ISBLANK('2025'!$P321), 0, 1), 3, if(ISBLANK('2025'!$Q321), 0, 1), 4, if(ISBLANK('2025'!$R321), 0, 1), 5, if(ISBLANK('2025'!$S321), 0, 1), 6, if(ISBLANK('2025'!$T321), 0, 1), 7, 0))), 1, "")</f>
        <v/>
      </c>
      <c r="AL323" s="1" t="str">
        <f>IF(AND(AND(AND(AL$4&gt;='2025'!$L321,AL$4&lt;='2025'!$M321), AL$4&lt;&gt;DATE(2025,7,4)), (SWITCH(weekday(AL$4), 1, 0, 2, if(ISBLANK('2025'!$P321), 0, 1), 3, if(ISBLANK('2025'!$Q321), 0, 1), 4, if(ISBLANK('2025'!$R321), 0, 1), 5, if(ISBLANK('2025'!$S321), 0, 1), 6, if(ISBLANK('2025'!$T321), 0, 1), 7, 0))), 1, "")</f>
        <v/>
      </c>
      <c r="AM323" s="1" t="str">
        <f>IF(AND(AND(AND(AM$4&gt;='2025'!$L321,AM$4&lt;='2025'!$M321), AM$4&lt;&gt;DATE(2025,7,4)), (SWITCH(weekday(AM$4), 1, 0, 2, if(ISBLANK('2025'!$P321), 0, 1), 3, if(ISBLANK('2025'!$Q321), 0, 1), 4, if(ISBLANK('2025'!$R321), 0, 1), 5, if(ISBLANK('2025'!$S321), 0, 1), 6, if(ISBLANK('2025'!$T321), 0, 1), 7, 0))), 1, "")</f>
        <v/>
      </c>
      <c r="AN323" s="1" t="str">
        <f>IF(AND(AND(AND(AN$4&gt;='2025'!$L321,AN$4&lt;='2025'!$M321), AN$4&lt;&gt;DATE(2025,7,4)), (SWITCH(weekday(AN$4), 1, 0, 2, if(ISBLANK('2025'!$P321), 0, 1), 3, if(ISBLANK('2025'!$Q321), 0, 1), 4, if(ISBLANK('2025'!$R321), 0, 1), 5, if(ISBLANK('2025'!$S321), 0, 1), 6, if(ISBLANK('2025'!$T321), 0, 1), 7, 0))), 1, "")</f>
        <v/>
      </c>
      <c r="AO323" s="1" t="str">
        <f>IF(AND(AND(AND(AO$4&gt;='2025'!$L321,AO$4&lt;='2025'!$M321), AO$4&lt;&gt;DATE(2025,7,4)), (SWITCH(weekday(AO$4), 1, 0, 2, if(ISBLANK('2025'!$P321), 0, 1), 3, if(ISBLANK('2025'!$Q321), 0, 1), 4, if(ISBLANK('2025'!$R321), 0, 1), 5, if(ISBLANK('2025'!$S321), 0, 1), 6, if(ISBLANK('2025'!$T321), 0, 1), 7, 0))), 1, "")</f>
        <v/>
      </c>
      <c r="AP323" s="1" t="str">
        <f>IF(AND(AND(AND(AP$4&gt;='2025'!$L321,AP$4&lt;='2025'!$M321), AP$4&lt;&gt;DATE(2025,7,4)), (SWITCH(weekday(AP$4), 1, 0, 2, if(ISBLANK('2025'!$P321), 0, 1), 3, if(ISBLANK('2025'!$Q321), 0, 1), 4, if(ISBLANK('2025'!$R321), 0, 1), 5, if(ISBLANK('2025'!$S321), 0, 1), 6, if(ISBLANK('2025'!$T321), 0, 1), 7, 0))), 1, "")</f>
        <v/>
      </c>
      <c r="AQ323" s="1" t="str">
        <f>IF(AND(AND(AND(AQ$4&gt;='2025'!$L321,AQ$4&lt;='2025'!$M321), AQ$4&lt;&gt;DATE(2025,7,4)), (SWITCH(weekday(AQ$4), 1, 0, 2, if(ISBLANK('2025'!$P321), 0, 1), 3, if(ISBLANK('2025'!$Q321), 0, 1), 4, if(ISBLANK('2025'!$R321), 0, 1), 5, if(ISBLANK('2025'!$S321), 0, 1), 6, if(ISBLANK('2025'!$T321), 0, 1), 7, 0))), 1, "")</f>
        <v/>
      </c>
      <c r="AR323" s="1" t="str">
        <f>IF(AND(AND(AND(AR$4&gt;='2025'!$L321,AR$4&lt;='2025'!$M321), AR$4&lt;&gt;DATE(2025,7,4)), (SWITCH(weekday(AR$4), 1, 0, 2, if(ISBLANK('2025'!$P321), 0, 1), 3, if(ISBLANK('2025'!$Q321), 0, 1), 4, if(ISBLANK('2025'!$R321), 0, 1), 5, if(ISBLANK('2025'!$S321), 0, 1), 6, if(ISBLANK('2025'!$T321), 0, 1), 7, 0))), 1, "")</f>
        <v/>
      </c>
      <c r="AS323" s="1" t="str">
        <f>IF(AND(AND(AND(AS$4&gt;='2025'!$L321,AS$4&lt;='2025'!$M321), AS$4&lt;&gt;DATE(2025,7,4)), (SWITCH(weekday(AS$4), 1, 0, 2, if(ISBLANK('2025'!$P321), 0, 1), 3, if(ISBLANK('2025'!$Q321), 0, 1), 4, if(ISBLANK('2025'!$R321), 0, 1), 5, if(ISBLANK('2025'!$S321), 0, 1), 6, if(ISBLANK('2025'!$T321), 0, 1), 7, 0))), 1, "")</f>
        <v/>
      </c>
      <c r="AT323" s="1" t="str">
        <f>IF(AND(AND(AND(AT$4&gt;='2025'!$L321,AT$4&lt;='2025'!$M321), AT$4&lt;&gt;DATE(2025,7,4)), (SWITCH(weekday(AT$4), 1, 0, 2, if(ISBLANK('2025'!$P321), 0, 1), 3, if(ISBLANK('2025'!$Q321), 0, 1), 4, if(ISBLANK('2025'!$R321), 0, 1), 5, if(ISBLANK('2025'!$S321), 0, 1), 6, if(ISBLANK('2025'!$T321), 0, 1), 7, 0))), 1, "")</f>
        <v/>
      </c>
      <c r="AU323" s="1" t="str">
        <f>IF(AND(AND(AND(AU$4&gt;='2025'!$L321,AU$4&lt;='2025'!$M321), AU$4&lt;&gt;DATE(2025,7,4)), (SWITCH(weekday(AU$4), 1, 0, 2, if(ISBLANK('2025'!$P321), 0, 1), 3, if(ISBLANK('2025'!$Q321), 0, 1), 4, if(ISBLANK('2025'!$R321), 0, 1), 5, if(ISBLANK('2025'!$S321), 0, 1), 6, if(ISBLANK('2025'!$T321), 0, 1), 7, 0))), 1, "")</f>
        <v/>
      </c>
      <c r="AV323" s="1" t="str">
        <f>IF(AND(AND(AND(AV$4&gt;='2025'!$L321,AV$4&lt;='2025'!$M321), AV$4&lt;&gt;DATE(2025,7,4)), (SWITCH(weekday(AV$4), 1, 0, 2, if(ISBLANK('2025'!$P321), 0, 1), 3, if(ISBLANK('2025'!$Q321), 0, 1), 4, if(ISBLANK('2025'!$R321), 0, 1), 5, if(ISBLANK('2025'!$S321), 0, 1), 6, if(ISBLANK('2025'!$T321), 0, 1), 7, 0))), 1, "")</f>
        <v/>
      </c>
      <c r="AW323" s="1" t="str">
        <f>IF(AND(AND(AND(AW$4&gt;='2025'!$L321,AW$4&lt;='2025'!$M321), AW$4&lt;&gt;DATE(2025,7,4)), (SWITCH(weekday(AW$4), 1, 0, 2, if(ISBLANK('2025'!$P321), 0, 1), 3, if(ISBLANK('2025'!$Q321), 0, 1), 4, if(ISBLANK('2025'!$R321), 0, 1), 5, if(ISBLANK('2025'!$S321), 0, 1), 6, if(ISBLANK('2025'!$T321), 0, 1), 7, 0))), 1, "")</f>
        <v/>
      </c>
      <c r="AX323" s="1" t="str">
        <f>IF(AND(AND(AND(AX$4&gt;='2025'!$L321,AX$4&lt;='2025'!$M321), AX$4&lt;&gt;DATE(2025,7,4)), (SWITCH(weekday(AX$4), 1, 0, 2, if(ISBLANK('2025'!$P321), 0, 1), 3, if(ISBLANK('2025'!$Q321), 0, 1), 4, if(ISBLANK('2025'!$R321), 0, 1), 5, if(ISBLANK('2025'!$S321), 0, 1), 6, if(ISBLANK('2025'!$T321), 0, 1), 7, 0))), 1, "")</f>
        <v/>
      </c>
      <c r="AY323" s="1" t="str">
        <f>IF(AND(AND(AND(AY$4&gt;='2025'!$L321,AY$4&lt;='2025'!$M321), AY$4&lt;&gt;DATE(2025,7,4)), (SWITCH(weekday(AY$4), 1, 0, 2, if(ISBLANK('2025'!$P321), 0, 1), 3, if(ISBLANK('2025'!$Q321), 0, 1), 4, if(ISBLANK('2025'!$R321), 0, 1), 5, if(ISBLANK('2025'!$S321), 0, 1), 6, if(ISBLANK('2025'!$T321), 0, 1), 7, 0))), 1, "")</f>
        <v/>
      </c>
      <c r="AZ323" s="1" t="str">
        <f>IF(AND(AND(AND(AZ$4&gt;='2025'!$L321,AZ$4&lt;='2025'!$M321), AZ$4&lt;&gt;DATE(2025,7,4)), (SWITCH(weekday(AZ$4), 1, 0, 2, if(ISBLANK('2025'!$P321), 0, 1), 3, if(ISBLANK('2025'!$Q321), 0, 1), 4, if(ISBLANK('2025'!$R321), 0, 1), 5, if(ISBLANK('2025'!$S321), 0, 1), 6, if(ISBLANK('2025'!$T321), 0, 1), 7, 0))), 1, "")</f>
        <v/>
      </c>
      <c r="BA323" s="1" t="str">
        <f>IF(AND(AND(AND(BA$4&gt;='2025'!$L321,BA$4&lt;='2025'!$M321), BA$4&lt;&gt;DATE(2025,7,4)), (SWITCH(weekday(BA$4), 1, 0, 2, if(ISBLANK('2025'!$P321), 0, 1), 3, if(ISBLANK('2025'!$Q321), 0, 1), 4, if(ISBLANK('2025'!$R321), 0, 1), 5, if(ISBLANK('2025'!$S321), 0, 1), 6, if(ISBLANK('2025'!$T321), 0, 1), 7, 0))), 1, "")</f>
        <v/>
      </c>
      <c r="BB323" s="1" t="str">
        <f>IF(AND(AND(AND(BB$4&gt;='2025'!$L321,BB$4&lt;='2025'!$M321), BB$4&lt;&gt;DATE(2025,7,4)), (SWITCH(weekday(BB$4), 1, 0, 2, if(ISBLANK('2025'!$P321), 0, 1), 3, if(ISBLANK('2025'!$Q321), 0, 1), 4, if(ISBLANK('2025'!$R321), 0, 1), 5, if(ISBLANK('2025'!$S321), 0, 1), 6, if(ISBLANK('2025'!$T321), 0, 1), 7, 0))), 1, "")</f>
        <v/>
      </c>
      <c r="BC323" s="1" t="str">
        <f>IF(AND(AND(AND(BC$4&gt;='2025'!$L321,BC$4&lt;='2025'!$M321), BC$4&lt;&gt;DATE(2025,7,4)), (SWITCH(weekday(BC$4), 1, 0, 2, if(ISBLANK('2025'!$P321), 0, 1), 3, if(ISBLANK('2025'!$Q321), 0, 1), 4, if(ISBLANK('2025'!$R321), 0, 1), 5, if(ISBLANK('2025'!$S321), 0, 1), 6, if(ISBLANK('2025'!$T321), 0, 1), 7, 0))), 1, "")</f>
        <v/>
      </c>
      <c r="BD323" s="1" t="str">
        <f>IF(AND(AND(AND(BD$4&gt;='2025'!$L321,BD$4&lt;='2025'!$M321), BD$4&lt;&gt;DATE(2025,7,4)), (SWITCH(weekday(BD$4), 1, 0, 2, if(ISBLANK('2025'!$P321), 0, 1), 3, if(ISBLANK('2025'!$Q321), 0, 1), 4, if(ISBLANK('2025'!$R321), 0, 1), 5, if(ISBLANK('2025'!$S321), 0, 1), 6, if(ISBLANK('2025'!$T321), 0, 1), 7, 0))), 1, "")</f>
        <v/>
      </c>
      <c r="BE323" s="1" t="str">
        <f>IF(AND(AND(AND(BE$4&gt;='2025'!$L321,BE$4&lt;='2025'!$M321), BE$4&lt;&gt;DATE(2025,7,4)), (SWITCH(weekday(BE$4), 1, 0, 2, if(ISBLANK('2025'!$P321), 0, 1), 3, if(ISBLANK('2025'!$Q321), 0, 1), 4, if(ISBLANK('2025'!$R321), 0, 1), 5, if(ISBLANK('2025'!$S321), 0, 1), 6, if(ISBLANK('2025'!$T321), 0, 1), 7, 0))), 1, "")</f>
        <v/>
      </c>
      <c r="BF323" s="1" t="str">
        <f>IF(AND(AND(AND(BF$4&gt;='2025'!$L321,BF$4&lt;='2025'!$M321), BF$4&lt;&gt;DATE(2025,7,4)), (SWITCH(weekday(BF$4), 1, 0, 2, if(ISBLANK('2025'!$P321), 0, 1), 3, if(ISBLANK('2025'!$Q321), 0, 1), 4, if(ISBLANK('2025'!$R321), 0, 1), 5, if(ISBLANK('2025'!$S321), 0, 1), 6, if(ISBLANK('2025'!$T321), 0, 1), 7, 0))), 1, "")</f>
        <v/>
      </c>
      <c r="BG323" s="1"/>
      <c r="BH323" s="1"/>
      <c r="BI323" s="1"/>
      <c r="BJ323" s="1"/>
      <c r="BK323" s="1"/>
      <c r="BL323" s="1"/>
    </row>
    <row r="324">
      <c r="A324" s="1">
        <f t="shared" si="3"/>
        <v>324</v>
      </c>
      <c r="B324" s="1" t="str">
        <f>'2025'!D288</f>
        <v>, </v>
      </c>
      <c r="C324" s="1" t="str">
        <f>'2025'!H288</f>
        <v/>
      </c>
      <c r="D324" s="1" t="str">
        <f>IF(AND(AND(AND(D$4&gt;='2025'!$L322,D$4&lt;='2025'!$M322), D$4&lt;&gt;DATE(2025,7,4)), (SWITCH(weekday(D$4), 1, 0, 2, if(ISBLANK('2025'!$P322), 0, 1), 3, if(ISBLANK('2025'!$Q322), 0, 1), 4, if(ISBLANK('2025'!$R322), 0, 1), 5, if(ISBLANK('2025'!$S322), 0, 1), 6, if(ISBLANK('2025'!$T322), 0, 1), 7, 0))), 1, "")</f>
        <v/>
      </c>
      <c r="E324" s="1" t="str">
        <f>IF(AND(AND(AND(E$4&gt;='2025'!$L322,E$4&lt;='2025'!$M322), E$4&lt;&gt;DATE(2025,7,4)), (SWITCH(weekday(E$4), 1, 0, 2, if(ISBLANK('2025'!$P322), 0, 1), 3, if(ISBLANK('2025'!$Q322), 0, 1), 4, if(ISBLANK('2025'!$R322), 0, 1), 5, if(ISBLANK('2025'!$S322), 0, 1), 6, if(ISBLANK('2025'!$T322), 0, 1), 7, 0))), 1, "")</f>
        <v/>
      </c>
      <c r="F324" s="1" t="str">
        <f>IF(AND(AND(AND(F$4&gt;='2025'!$L322,F$4&lt;='2025'!$M322), F$4&lt;&gt;DATE(2025,7,4)), (SWITCH(weekday(F$4), 1, 0, 2, if(ISBLANK('2025'!$P322), 0, 1), 3, if(ISBLANK('2025'!$Q322), 0, 1), 4, if(ISBLANK('2025'!$R322), 0, 1), 5, if(ISBLANK('2025'!$S322), 0, 1), 6, if(ISBLANK('2025'!$T322), 0, 1), 7, 0))), 1, "")</f>
        <v/>
      </c>
      <c r="G324" s="1" t="str">
        <f>IF(AND(AND(AND(G$4&gt;='2025'!$L322,G$4&lt;='2025'!$M322), G$4&lt;&gt;DATE(2025,7,4)), (SWITCH(weekday(G$4), 1, 0, 2, if(ISBLANK('2025'!$P322), 0, 1), 3, if(ISBLANK('2025'!$Q322), 0, 1), 4, if(ISBLANK('2025'!$R322), 0, 1), 5, if(ISBLANK('2025'!$S322), 0, 1), 6, if(ISBLANK('2025'!$T322), 0, 1), 7, 0))), 1, "")</f>
        <v/>
      </c>
      <c r="H324" s="1" t="str">
        <f>IF(AND(AND(AND(H$4&gt;='2025'!$L322,H$4&lt;='2025'!$M322), H$4&lt;&gt;DATE(2025,7,4)), (SWITCH(weekday(H$4), 1, 0, 2, if(ISBLANK('2025'!$P322), 0, 1), 3, if(ISBLANK('2025'!$Q322), 0, 1), 4, if(ISBLANK('2025'!$R322), 0, 1), 5, if(ISBLANK('2025'!$S322), 0, 1), 6, if(ISBLANK('2025'!$T322), 0, 1), 7, 0))), 1, "")</f>
        <v/>
      </c>
      <c r="I324" s="1" t="str">
        <f>IF(AND(AND(AND(I$4&gt;='2025'!$L322,I$4&lt;='2025'!$M322), I$4&lt;&gt;DATE(2025,7,4)), (SWITCH(weekday(I$4), 1, 0, 2, if(ISBLANK('2025'!$P322), 0, 1), 3, if(ISBLANK('2025'!$Q322), 0, 1), 4, if(ISBLANK('2025'!$R322), 0, 1), 5, if(ISBLANK('2025'!$S322), 0, 1), 6, if(ISBLANK('2025'!$T322), 0, 1), 7, 0))), 1, "")</f>
        <v/>
      </c>
      <c r="J324" s="1" t="str">
        <f>IF(AND(AND(AND(J$4&gt;='2025'!$L322,J$4&lt;='2025'!$M322), J$4&lt;&gt;DATE(2025,7,4)), (SWITCH(weekday(J$4), 1, 0, 2, if(ISBLANK('2025'!$P322), 0, 1), 3, if(ISBLANK('2025'!$Q322), 0, 1), 4, if(ISBLANK('2025'!$R322), 0, 1), 5, if(ISBLANK('2025'!$S322), 0, 1), 6, if(ISBLANK('2025'!$T322), 0, 1), 7, 0))), 1, "")</f>
        <v/>
      </c>
      <c r="K324" s="1" t="str">
        <f>IF(AND(AND(AND(K$4&gt;='2025'!$L322,K$4&lt;='2025'!$M322), K$4&lt;&gt;DATE(2025,7,4)), (SWITCH(weekday(K$4), 1, 0, 2, if(ISBLANK('2025'!$P322), 0, 1), 3, if(ISBLANK('2025'!$Q322), 0, 1), 4, if(ISBLANK('2025'!$R322), 0, 1), 5, if(ISBLANK('2025'!$S322), 0, 1), 6, if(ISBLANK('2025'!$T322), 0, 1), 7, 0))), 1, "")</f>
        <v/>
      </c>
      <c r="L324" s="1" t="str">
        <f>IF(AND(AND(AND(L$4&gt;='2025'!$L322,L$4&lt;='2025'!$M322), L$4&lt;&gt;DATE(2025,7,4)), (SWITCH(weekday(L$4), 1, 0, 2, if(ISBLANK('2025'!$P322), 0, 1), 3, if(ISBLANK('2025'!$Q322), 0, 1), 4, if(ISBLANK('2025'!$R322), 0, 1), 5, if(ISBLANK('2025'!$S322), 0, 1), 6, if(ISBLANK('2025'!$T322), 0, 1), 7, 0))), 1, "")</f>
        <v/>
      </c>
      <c r="M324" s="1" t="str">
        <f>IF(AND(AND(AND(M$4&gt;='2025'!$L322,M$4&lt;='2025'!$M322), M$4&lt;&gt;DATE(2025,7,4)), (SWITCH(weekday(M$4), 1, 0, 2, if(ISBLANK('2025'!$P322), 0, 1), 3, if(ISBLANK('2025'!$Q322), 0, 1), 4, if(ISBLANK('2025'!$R322), 0, 1), 5, if(ISBLANK('2025'!$S322), 0, 1), 6, if(ISBLANK('2025'!$T322), 0, 1), 7, 0))), 1, "")</f>
        <v/>
      </c>
      <c r="N324" s="1" t="str">
        <f>IF(AND(AND(AND(N$4&gt;='2025'!$L322,N$4&lt;='2025'!$M322), N$4&lt;&gt;DATE(2025,7,4)), (SWITCH(weekday(N$4), 1, 0, 2, if(ISBLANK('2025'!$P322), 0, 1), 3, if(ISBLANK('2025'!$Q322), 0, 1), 4, if(ISBLANK('2025'!$R322), 0, 1), 5, if(ISBLANK('2025'!$S322), 0, 1), 6, if(ISBLANK('2025'!$T322), 0, 1), 7, 0))), 1, "")</f>
        <v/>
      </c>
      <c r="O324" s="1" t="str">
        <f>IF(AND(AND(AND(O$4&gt;='2025'!$L322,O$4&lt;='2025'!$M322), O$4&lt;&gt;DATE(2025,7,4)), (SWITCH(weekday(O$4), 1, 0, 2, if(ISBLANK('2025'!$P322), 0, 1), 3, if(ISBLANK('2025'!$Q322), 0, 1), 4, if(ISBLANK('2025'!$R322), 0, 1), 5, if(ISBLANK('2025'!$S322), 0, 1), 6, if(ISBLANK('2025'!$T322), 0, 1), 7, 0))), 1, "")</f>
        <v/>
      </c>
      <c r="P324" s="1" t="str">
        <f>IF(AND(AND(AND(P$4&gt;='2025'!$L322,P$4&lt;='2025'!$M322), P$4&lt;&gt;DATE(2025,7,4)), (SWITCH(weekday(P$4), 1, 0, 2, if(ISBLANK('2025'!$P322), 0, 1), 3, if(ISBLANK('2025'!$Q322), 0, 1), 4, if(ISBLANK('2025'!$R322), 0, 1), 5, if(ISBLANK('2025'!$S322), 0, 1), 6, if(ISBLANK('2025'!$T322), 0, 1), 7, 0))), 1, "")</f>
        <v/>
      </c>
      <c r="Q324" s="1" t="str">
        <f>IF(AND(AND(AND(Q$4&gt;='2025'!$L322,Q$4&lt;='2025'!$M322), Q$4&lt;&gt;DATE(2025,7,4)), (SWITCH(weekday(Q$4), 1, 0, 2, if(ISBLANK('2025'!$P322), 0, 1), 3, if(ISBLANK('2025'!$Q322), 0, 1), 4, if(ISBLANK('2025'!$R322), 0, 1), 5, if(ISBLANK('2025'!$S322), 0, 1), 6, if(ISBLANK('2025'!$T322), 0, 1), 7, 0))), 1, "")</f>
        <v/>
      </c>
      <c r="R324" s="1" t="str">
        <f>IF(AND(AND(AND(R$4&gt;='2025'!$L322,R$4&lt;='2025'!$M322), R$4&lt;&gt;DATE(2025,7,4)), (SWITCH(weekday(R$4), 1, 0, 2, if(ISBLANK('2025'!$P322), 0, 1), 3, if(ISBLANK('2025'!$Q322), 0, 1), 4, if(ISBLANK('2025'!$R322), 0, 1), 5, if(ISBLANK('2025'!$S322), 0, 1), 6, if(ISBLANK('2025'!$T322), 0, 1), 7, 0))), 1, "")</f>
        <v/>
      </c>
      <c r="S324" s="1" t="str">
        <f>IF(AND(AND(AND(S$4&gt;='2025'!$L322,S$4&lt;='2025'!$M322), S$4&lt;&gt;DATE(2025,7,4)), (SWITCH(weekday(S$4), 1, 0, 2, if(ISBLANK('2025'!$P322), 0, 1), 3, if(ISBLANK('2025'!$Q322), 0, 1), 4, if(ISBLANK('2025'!$R322), 0, 1), 5, if(ISBLANK('2025'!$S322), 0, 1), 6, if(ISBLANK('2025'!$T322), 0, 1), 7, 0))), 1, "")</f>
        <v/>
      </c>
      <c r="T324" s="1" t="str">
        <f>IF(AND(AND(AND(T$4&gt;='2025'!$L322,T$4&lt;='2025'!$M322), T$4&lt;&gt;DATE(2025,7,4)), (SWITCH(weekday(T$4), 1, 0, 2, if(ISBLANK('2025'!$P322), 0, 1), 3, if(ISBLANK('2025'!$Q322), 0, 1), 4, if(ISBLANK('2025'!$R322), 0, 1), 5, if(ISBLANK('2025'!$S322), 0, 1), 6, if(ISBLANK('2025'!$T322), 0, 1), 7, 0))), 1, "")</f>
        <v/>
      </c>
      <c r="U324" s="1" t="str">
        <f>IF(AND(AND(AND(U$4&gt;='2025'!$L322,U$4&lt;='2025'!$M322), U$4&lt;&gt;DATE(2025,7,4)), (SWITCH(weekday(U$4), 1, 0, 2, if(ISBLANK('2025'!$P322), 0, 1), 3, if(ISBLANK('2025'!$Q322), 0, 1), 4, if(ISBLANK('2025'!$R322), 0, 1), 5, if(ISBLANK('2025'!$S322), 0, 1), 6, if(ISBLANK('2025'!$T322), 0, 1), 7, 0))), 1, "")</f>
        <v/>
      </c>
      <c r="V324" s="1" t="str">
        <f>IF(AND(AND(AND(V$4&gt;='2025'!$L322,V$4&lt;='2025'!$M322), V$4&lt;&gt;DATE(2025,7,4)), (SWITCH(weekday(V$4), 1, 0, 2, if(ISBLANK('2025'!$P322), 0, 1), 3, if(ISBLANK('2025'!$Q322), 0, 1), 4, if(ISBLANK('2025'!$R322), 0, 1), 5, if(ISBLANK('2025'!$S322), 0, 1), 6, if(ISBLANK('2025'!$T322), 0, 1), 7, 0))), 1, "")</f>
        <v/>
      </c>
      <c r="W324" s="1" t="str">
        <f>IF(AND(AND(AND(W$4&gt;='2025'!$L322,W$4&lt;='2025'!$M322), W$4&lt;&gt;DATE(2025,7,4)), (SWITCH(weekday(W$4), 1, 0, 2, if(ISBLANK('2025'!$P322), 0, 1), 3, if(ISBLANK('2025'!$Q322), 0, 1), 4, if(ISBLANK('2025'!$R322), 0, 1), 5, if(ISBLANK('2025'!$S322), 0, 1), 6, if(ISBLANK('2025'!$T322), 0, 1), 7, 0))), 1, "")</f>
        <v/>
      </c>
      <c r="X324" s="1" t="str">
        <f>IF(AND(AND(AND(X$4&gt;='2025'!$L322,X$4&lt;='2025'!$M322), X$4&lt;&gt;DATE(2025,7,4)), (SWITCH(weekday(X$4), 1, 0, 2, if(ISBLANK('2025'!$P322), 0, 1), 3, if(ISBLANK('2025'!$Q322), 0, 1), 4, if(ISBLANK('2025'!$R322), 0, 1), 5, if(ISBLANK('2025'!$S322), 0, 1), 6, if(ISBLANK('2025'!$T322), 0, 1), 7, 0))), 1, "")</f>
        <v/>
      </c>
      <c r="Y324" s="1" t="str">
        <f>IF(AND(AND(AND(Y$4&gt;='2025'!$L322,Y$4&lt;='2025'!$M322), Y$4&lt;&gt;DATE(2025,7,4)), (SWITCH(weekday(Y$4), 1, 0, 2, if(ISBLANK('2025'!$P322), 0, 1), 3, if(ISBLANK('2025'!$Q322), 0, 1), 4, if(ISBLANK('2025'!$R322), 0, 1), 5, if(ISBLANK('2025'!$S322), 0, 1), 6, if(ISBLANK('2025'!$T322), 0, 1), 7, 0))), 1, "")</f>
        <v/>
      </c>
      <c r="Z324" s="1" t="str">
        <f>IF(AND(AND(AND(Z$4&gt;='2025'!$L322,Z$4&lt;='2025'!$M322), Z$4&lt;&gt;DATE(2025,7,4)), (SWITCH(weekday(Z$4), 1, 0, 2, if(ISBLANK('2025'!$P322), 0, 1), 3, if(ISBLANK('2025'!$Q322), 0, 1), 4, if(ISBLANK('2025'!$R322), 0, 1), 5, if(ISBLANK('2025'!$S322), 0, 1), 6, if(ISBLANK('2025'!$T322), 0, 1), 7, 0))), 1, "")</f>
        <v/>
      </c>
      <c r="AA324" s="1" t="str">
        <f>IF(AND(AND(AND(AA$4&gt;='2025'!$L322,AA$4&lt;='2025'!$M322), AA$4&lt;&gt;DATE(2025,7,4)), (SWITCH(weekday(AA$4), 1, 0, 2, if(ISBLANK('2025'!$P322), 0, 1), 3, if(ISBLANK('2025'!$Q322), 0, 1), 4, if(ISBLANK('2025'!$R322), 0, 1), 5, if(ISBLANK('2025'!$S322), 0, 1), 6, if(ISBLANK('2025'!$T322), 0, 1), 7, 0))), 1, "")</f>
        <v/>
      </c>
      <c r="AB324" s="1" t="str">
        <f>IF(AND(AND(AND(AB$4&gt;='2025'!$L322,AB$4&lt;='2025'!$M322), AB$4&lt;&gt;DATE(2025,7,4)), (SWITCH(weekday(AB$4), 1, 0, 2, if(ISBLANK('2025'!$P322), 0, 1), 3, if(ISBLANK('2025'!$Q322), 0, 1), 4, if(ISBLANK('2025'!$R322), 0, 1), 5, if(ISBLANK('2025'!$S322), 0, 1), 6, if(ISBLANK('2025'!$T322), 0, 1), 7, 0))), 1, "")</f>
        <v/>
      </c>
      <c r="AC324" s="1" t="str">
        <f>IF(AND(AND(AND(AC$4&gt;='2025'!$L322,AC$4&lt;='2025'!$M322), AC$4&lt;&gt;DATE(2025,7,4)), (SWITCH(weekday(AC$4), 1, 0, 2, if(ISBLANK('2025'!$P322), 0, 1), 3, if(ISBLANK('2025'!$Q322), 0, 1), 4, if(ISBLANK('2025'!$R322), 0, 1), 5, if(ISBLANK('2025'!$S322), 0, 1), 6, if(ISBLANK('2025'!$T322), 0, 1), 7, 0))), 1, "")</f>
        <v/>
      </c>
      <c r="AD324" s="1" t="str">
        <f>IF(AND(AND(AND(AD$4&gt;='2025'!$L322,AD$4&lt;='2025'!$M322), AD$4&lt;&gt;DATE(2025,7,4)), (SWITCH(weekday(AD$4), 1, 0, 2, if(ISBLANK('2025'!$P322), 0, 1), 3, if(ISBLANK('2025'!$Q322), 0, 1), 4, if(ISBLANK('2025'!$R322), 0, 1), 5, if(ISBLANK('2025'!$S322), 0, 1), 6, if(ISBLANK('2025'!$T322), 0, 1), 7, 0))), 1, "")</f>
        <v/>
      </c>
      <c r="AE324" s="1" t="str">
        <f>IF(AND(AND(AND(AE$4&gt;='2025'!$L322,AE$4&lt;='2025'!$M322), AE$4&lt;&gt;DATE(2025,7,4)), (SWITCH(weekday(AE$4), 1, 0, 2, if(ISBLANK('2025'!$P322), 0, 1), 3, if(ISBLANK('2025'!$Q322), 0, 1), 4, if(ISBLANK('2025'!$R322), 0, 1), 5, if(ISBLANK('2025'!$S322), 0, 1), 6, if(ISBLANK('2025'!$T322), 0, 1), 7, 0))), 1, "")</f>
        <v/>
      </c>
      <c r="AF324" s="1" t="str">
        <f>IF(AND(AND(AND(AF$4&gt;='2025'!$L322,AF$4&lt;='2025'!$M322), AF$4&lt;&gt;DATE(2025,7,4)), (SWITCH(weekday(AF$4), 1, 0, 2, if(ISBLANK('2025'!$P322), 0, 1), 3, if(ISBLANK('2025'!$Q322), 0, 1), 4, if(ISBLANK('2025'!$R322), 0, 1), 5, if(ISBLANK('2025'!$S322), 0, 1), 6, if(ISBLANK('2025'!$T322), 0, 1), 7, 0))), 1, "")</f>
        <v/>
      </c>
      <c r="AG324" s="1" t="str">
        <f>IF(AND(AND(AND(AG$4&gt;='2025'!$L322,AG$4&lt;='2025'!$M322), AG$4&lt;&gt;DATE(2025,7,4)), (SWITCH(weekday(AG$4), 1, 0, 2, if(ISBLANK('2025'!$P322), 0, 1), 3, if(ISBLANK('2025'!$Q322), 0, 1), 4, if(ISBLANK('2025'!$R322), 0, 1), 5, if(ISBLANK('2025'!$S322), 0, 1), 6, if(ISBLANK('2025'!$T322), 0, 1), 7, 0))), 1, "")</f>
        <v/>
      </c>
      <c r="AH324" s="1" t="str">
        <f>IF(AND(AND(AND(AH$4&gt;='2025'!$L322,AH$4&lt;='2025'!$M322), AH$4&lt;&gt;DATE(2025,7,4)), (SWITCH(weekday(AH$4), 1, 0, 2, if(ISBLANK('2025'!$P322), 0, 1), 3, if(ISBLANK('2025'!$Q322), 0, 1), 4, if(ISBLANK('2025'!$R322), 0, 1), 5, if(ISBLANK('2025'!$S322), 0, 1), 6, if(ISBLANK('2025'!$T322), 0, 1), 7, 0))), 1, "")</f>
        <v/>
      </c>
      <c r="AI324" s="1" t="str">
        <f>IF(AND(AND(AND(AI$4&gt;='2025'!$L322,AI$4&lt;='2025'!$M322), AI$4&lt;&gt;DATE(2025,7,4)), (SWITCH(weekday(AI$4), 1, 0, 2, if(ISBLANK('2025'!$P322), 0, 1), 3, if(ISBLANK('2025'!$Q322), 0, 1), 4, if(ISBLANK('2025'!$R322), 0, 1), 5, if(ISBLANK('2025'!$S322), 0, 1), 6, if(ISBLANK('2025'!$T322), 0, 1), 7, 0))), 1, "")</f>
        <v/>
      </c>
      <c r="AJ324" s="1" t="str">
        <f>IF(AND(AND(AND(AJ$4&gt;='2025'!$L322,AJ$4&lt;='2025'!$M322), AJ$4&lt;&gt;DATE(2025,7,4)), (SWITCH(weekday(AJ$4), 1, 0, 2, if(ISBLANK('2025'!$P322), 0, 1), 3, if(ISBLANK('2025'!$Q322), 0, 1), 4, if(ISBLANK('2025'!$R322), 0, 1), 5, if(ISBLANK('2025'!$S322), 0, 1), 6, if(ISBLANK('2025'!$T322), 0, 1), 7, 0))), 1, "")</f>
        <v/>
      </c>
      <c r="AK324" s="1" t="str">
        <f>IF(AND(AND(AND(AK$4&gt;='2025'!$L322,AK$4&lt;='2025'!$M322), AK$4&lt;&gt;DATE(2025,7,4)), (SWITCH(weekday(AK$4), 1, 0, 2, if(ISBLANK('2025'!$P322), 0, 1), 3, if(ISBLANK('2025'!$Q322), 0, 1), 4, if(ISBLANK('2025'!$R322), 0, 1), 5, if(ISBLANK('2025'!$S322), 0, 1), 6, if(ISBLANK('2025'!$T322), 0, 1), 7, 0))), 1, "")</f>
        <v/>
      </c>
      <c r="AL324" s="1" t="str">
        <f>IF(AND(AND(AND(AL$4&gt;='2025'!$L322,AL$4&lt;='2025'!$M322), AL$4&lt;&gt;DATE(2025,7,4)), (SWITCH(weekday(AL$4), 1, 0, 2, if(ISBLANK('2025'!$P322), 0, 1), 3, if(ISBLANK('2025'!$Q322), 0, 1), 4, if(ISBLANK('2025'!$R322), 0, 1), 5, if(ISBLANK('2025'!$S322), 0, 1), 6, if(ISBLANK('2025'!$T322), 0, 1), 7, 0))), 1, "")</f>
        <v/>
      </c>
      <c r="AM324" s="1" t="str">
        <f>IF(AND(AND(AND(AM$4&gt;='2025'!$L322,AM$4&lt;='2025'!$M322), AM$4&lt;&gt;DATE(2025,7,4)), (SWITCH(weekday(AM$4), 1, 0, 2, if(ISBLANK('2025'!$P322), 0, 1), 3, if(ISBLANK('2025'!$Q322), 0, 1), 4, if(ISBLANK('2025'!$R322), 0, 1), 5, if(ISBLANK('2025'!$S322), 0, 1), 6, if(ISBLANK('2025'!$T322), 0, 1), 7, 0))), 1, "")</f>
        <v/>
      </c>
      <c r="AN324" s="1" t="str">
        <f>IF(AND(AND(AND(AN$4&gt;='2025'!$L322,AN$4&lt;='2025'!$M322), AN$4&lt;&gt;DATE(2025,7,4)), (SWITCH(weekday(AN$4), 1, 0, 2, if(ISBLANK('2025'!$P322), 0, 1), 3, if(ISBLANK('2025'!$Q322), 0, 1), 4, if(ISBLANK('2025'!$R322), 0, 1), 5, if(ISBLANK('2025'!$S322), 0, 1), 6, if(ISBLANK('2025'!$T322), 0, 1), 7, 0))), 1, "")</f>
        <v/>
      </c>
      <c r="AO324" s="1" t="str">
        <f>IF(AND(AND(AND(AO$4&gt;='2025'!$L322,AO$4&lt;='2025'!$M322), AO$4&lt;&gt;DATE(2025,7,4)), (SWITCH(weekday(AO$4), 1, 0, 2, if(ISBLANK('2025'!$P322), 0, 1), 3, if(ISBLANK('2025'!$Q322), 0, 1), 4, if(ISBLANK('2025'!$R322), 0, 1), 5, if(ISBLANK('2025'!$S322), 0, 1), 6, if(ISBLANK('2025'!$T322), 0, 1), 7, 0))), 1, "")</f>
        <v/>
      </c>
      <c r="AP324" s="1" t="str">
        <f>IF(AND(AND(AND(AP$4&gt;='2025'!$L322,AP$4&lt;='2025'!$M322), AP$4&lt;&gt;DATE(2025,7,4)), (SWITCH(weekday(AP$4), 1, 0, 2, if(ISBLANK('2025'!$P322), 0, 1), 3, if(ISBLANK('2025'!$Q322), 0, 1), 4, if(ISBLANK('2025'!$R322), 0, 1), 5, if(ISBLANK('2025'!$S322), 0, 1), 6, if(ISBLANK('2025'!$T322), 0, 1), 7, 0))), 1, "")</f>
        <v/>
      </c>
      <c r="AQ324" s="1" t="str">
        <f>IF(AND(AND(AND(AQ$4&gt;='2025'!$L322,AQ$4&lt;='2025'!$M322), AQ$4&lt;&gt;DATE(2025,7,4)), (SWITCH(weekday(AQ$4), 1, 0, 2, if(ISBLANK('2025'!$P322), 0, 1), 3, if(ISBLANK('2025'!$Q322), 0, 1), 4, if(ISBLANK('2025'!$R322), 0, 1), 5, if(ISBLANK('2025'!$S322), 0, 1), 6, if(ISBLANK('2025'!$T322), 0, 1), 7, 0))), 1, "")</f>
        <v/>
      </c>
      <c r="AR324" s="1" t="str">
        <f>IF(AND(AND(AND(AR$4&gt;='2025'!$L322,AR$4&lt;='2025'!$M322), AR$4&lt;&gt;DATE(2025,7,4)), (SWITCH(weekday(AR$4), 1, 0, 2, if(ISBLANK('2025'!$P322), 0, 1), 3, if(ISBLANK('2025'!$Q322), 0, 1), 4, if(ISBLANK('2025'!$R322), 0, 1), 5, if(ISBLANK('2025'!$S322), 0, 1), 6, if(ISBLANK('2025'!$T322), 0, 1), 7, 0))), 1, "")</f>
        <v/>
      </c>
      <c r="AS324" s="1" t="str">
        <f>IF(AND(AND(AND(AS$4&gt;='2025'!$L322,AS$4&lt;='2025'!$M322), AS$4&lt;&gt;DATE(2025,7,4)), (SWITCH(weekday(AS$4), 1, 0, 2, if(ISBLANK('2025'!$P322), 0, 1), 3, if(ISBLANK('2025'!$Q322), 0, 1), 4, if(ISBLANK('2025'!$R322), 0, 1), 5, if(ISBLANK('2025'!$S322), 0, 1), 6, if(ISBLANK('2025'!$T322), 0, 1), 7, 0))), 1, "")</f>
        <v/>
      </c>
      <c r="AT324" s="1" t="str">
        <f>IF(AND(AND(AND(AT$4&gt;='2025'!$L322,AT$4&lt;='2025'!$M322), AT$4&lt;&gt;DATE(2025,7,4)), (SWITCH(weekday(AT$4), 1, 0, 2, if(ISBLANK('2025'!$P322), 0, 1), 3, if(ISBLANK('2025'!$Q322), 0, 1), 4, if(ISBLANK('2025'!$R322), 0, 1), 5, if(ISBLANK('2025'!$S322), 0, 1), 6, if(ISBLANK('2025'!$T322), 0, 1), 7, 0))), 1, "")</f>
        <v/>
      </c>
      <c r="AU324" s="1" t="str">
        <f>IF(AND(AND(AND(AU$4&gt;='2025'!$L322,AU$4&lt;='2025'!$M322), AU$4&lt;&gt;DATE(2025,7,4)), (SWITCH(weekday(AU$4), 1, 0, 2, if(ISBLANK('2025'!$P322), 0, 1), 3, if(ISBLANK('2025'!$Q322), 0, 1), 4, if(ISBLANK('2025'!$R322), 0, 1), 5, if(ISBLANK('2025'!$S322), 0, 1), 6, if(ISBLANK('2025'!$T322), 0, 1), 7, 0))), 1, "")</f>
        <v/>
      </c>
      <c r="AV324" s="1" t="str">
        <f>IF(AND(AND(AND(AV$4&gt;='2025'!$L322,AV$4&lt;='2025'!$M322), AV$4&lt;&gt;DATE(2025,7,4)), (SWITCH(weekday(AV$4), 1, 0, 2, if(ISBLANK('2025'!$P322), 0, 1), 3, if(ISBLANK('2025'!$Q322), 0, 1), 4, if(ISBLANK('2025'!$R322), 0, 1), 5, if(ISBLANK('2025'!$S322), 0, 1), 6, if(ISBLANK('2025'!$T322), 0, 1), 7, 0))), 1, "")</f>
        <v/>
      </c>
      <c r="AW324" s="1" t="str">
        <f>IF(AND(AND(AND(AW$4&gt;='2025'!$L322,AW$4&lt;='2025'!$M322), AW$4&lt;&gt;DATE(2025,7,4)), (SWITCH(weekday(AW$4), 1, 0, 2, if(ISBLANK('2025'!$P322), 0, 1), 3, if(ISBLANK('2025'!$Q322), 0, 1), 4, if(ISBLANK('2025'!$R322), 0, 1), 5, if(ISBLANK('2025'!$S322), 0, 1), 6, if(ISBLANK('2025'!$T322), 0, 1), 7, 0))), 1, "")</f>
        <v/>
      </c>
      <c r="AX324" s="1" t="str">
        <f>IF(AND(AND(AND(AX$4&gt;='2025'!$L322,AX$4&lt;='2025'!$M322), AX$4&lt;&gt;DATE(2025,7,4)), (SWITCH(weekday(AX$4), 1, 0, 2, if(ISBLANK('2025'!$P322), 0, 1), 3, if(ISBLANK('2025'!$Q322), 0, 1), 4, if(ISBLANK('2025'!$R322), 0, 1), 5, if(ISBLANK('2025'!$S322), 0, 1), 6, if(ISBLANK('2025'!$T322), 0, 1), 7, 0))), 1, "")</f>
        <v/>
      </c>
      <c r="AY324" s="1" t="str">
        <f>IF(AND(AND(AND(AY$4&gt;='2025'!$L322,AY$4&lt;='2025'!$M322), AY$4&lt;&gt;DATE(2025,7,4)), (SWITCH(weekday(AY$4), 1, 0, 2, if(ISBLANK('2025'!$P322), 0, 1), 3, if(ISBLANK('2025'!$Q322), 0, 1), 4, if(ISBLANK('2025'!$R322), 0, 1), 5, if(ISBLANK('2025'!$S322), 0, 1), 6, if(ISBLANK('2025'!$T322), 0, 1), 7, 0))), 1, "")</f>
        <v/>
      </c>
      <c r="AZ324" s="1" t="str">
        <f>IF(AND(AND(AND(AZ$4&gt;='2025'!$L322,AZ$4&lt;='2025'!$M322), AZ$4&lt;&gt;DATE(2025,7,4)), (SWITCH(weekday(AZ$4), 1, 0, 2, if(ISBLANK('2025'!$P322), 0, 1), 3, if(ISBLANK('2025'!$Q322), 0, 1), 4, if(ISBLANK('2025'!$R322), 0, 1), 5, if(ISBLANK('2025'!$S322), 0, 1), 6, if(ISBLANK('2025'!$T322), 0, 1), 7, 0))), 1, "")</f>
        <v/>
      </c>
      <c r="BA324" s="1" t="str">
        <f>IF(AND(AND(AND(BA$4&gt;='2025'!$L322,BA$4&lt;='2025'!$M322), BA$4&lt;&gt;DATE(2025,7,4)), (SWITCH(weekday(BA$4), 1, 0, 2, if(ISBLANK('2025'!$P322), 0, 1), 3, if(ISBLANK('2025'!$Q322), 0, 1), 4, if(ISBLANK('2025'!$R322), 0, 1), 5, if(ISBLANK('2025'!$S322), 0, 1), 6, if(ISBLANK('2025'!$T322), 0, 1), 7, 0))), 1, "")</f>
        <v/>
      </c>
      <c r="BB324" s="1" t="str">
        <f>IF(AND(AND(AND(BB$4&gt;='2025'!$L322,BB$4&lt;='2025'!$M322), BB$4&lt;&gt;DATE(2025,7,4)), (SWITCH(weekday(BB$4), 1, 0, 2, if(ISBLANK('2025'!$P322), 0, 1), 3, if(ISBLANK('2025'!$Q322), 0, 1), 4, if(ISBLANK('2025'!$R322), 0, 1), 5, if(ISBLANK('2025'!$S322), 0, 1), 6, if(ISBLANK('2025'!$T322), 0, 1), 7, 0))), 1, "")</f>
        <v/>
      </c>
      <c r="BC324" s="1" t="str">
        <f>IF(AND(AND(AND(BC$4&gt;='2025'!$L322,BC$4&lt;='2025'!$M322), BC$4&lt;&gt;DATE(2025,7,4)), (SWITCH(weekday(BC$4), 1, 0, 2, if(ISBLANK('2025'!$P322), 0, 1), 3, if(ISBLANK('2025'!$Q322), 0, 1), 4, if(ISBLANK('2025'!$R322), 0, 1), 5, if(ISBLANK('2025'!$S322), 0, 1), 6, if(ISBLANK('2025'!$T322), 0, 1), 7, 0))), 1, "")</f>
        <v/>
      </c>
      <c r="BD324" s="1" t="str">
        <f>IF(AND(AND(AND(BD$4&gt;='2025'!$L322,BD$4&lt;='2025'!$M322), BD$4&lt;&gt;DATE(2025,7,4)), (SWITCH(weekday(BD$4), 1, 0, 2, if(ISBLANK('2025'!$P322), 0, 1), 3, if(ISBLANK('2025'!$Q322), 0, 1), 4, if(ISBLANK('2025'!$R322), 0, 1), 5, if(ISBLANK('2025'!$S322), 0, 1), 6, if(ISBLANK('2025'!$T322), 0, 1), 7, 0))), 1, "")</f>
        <v/>
      </c>
      <c r="BE324" s="1" t="str">
        <f>IF(AND(AND(AND(BE$4&gt;='2025'!$L322,BE$4&lt;='2025'!$M322), BE$4&lt;&gt;DATE(2025,7,4)), (SWITCH(weekday(BE$4), 1, 0, 2, if(ISBLANK('2025'!$P322), 0, 1), 3, if(ISBLANK('2025'!$Q322), 0, 1), 4, if(ISBLANK('2025'!$R322), 0, 1), 5, if(ISBLANK('2025'!$S322), 0, 1), 6, if(ISBLANK('2025'!$T322), 0, 1), 7, 0))), 1, "")</f>
        <v/>
      </c>
      <c r="BF324" s="1" t="str">
        <f>IF(AND(AND(AND(BF$4&gt;='2025'!$L322,BF$4&lt;='2025'!$M322), BF$4&lt;&gt;DATE(2025,7,4)), (SWITCH(weekday(BF$4), 1, 0, 2, if(ISBLANK('2025'!$P322), 0, 1), 3, if(ISBLANK('2025'!$Q322), 0, 1), 4, if(ISBLANK('2025'!$R322), 0, 1), 5, if(ISBLANK('2025'!$S322), 0, 1), 6, if(ISBLANK('2025'!$T322), 0, 1), 7, 0))), 1, "")</f>
        <v/>
      </c>
      <c r="BG324" s="1"/>
      <c r="BH324" s="1"/>
      <c r="BI324" s="1"/>
      <c r="BJ324" s="1"/>
      <c r="BK324" s="1"/>
      <c r="BL324" s="1"/>
    </row>
    <row r="325">
      <c r="A325" s="1">
        <f t="shared" si="3"/>
        <v>325</v>
      </c>
      <c r="B325" s="1" t="str">
        <f>'2025'!D289</f>
        <v>, </v>
      </c>
      <c r="C325" s="1" t="str">
        <f>'2025'!H289</f>
        <v/>
      </c>
      <c r="D325" s="1" t="str">
        <f>IF(AND(AND(AND(D$4&gt;='2025'!$L323,D$4&lt;='2025'!$M323), D$4&lt;&gt;DATE(2025,7,4)), (SWITCH(weekday(D$4), 1, 0, 2, if(ISBLANK('2025'!$P323), 0, 1), 3, if(ISBLANK('2025'!$Q323), 0, 1), 4, if(ISBLANK('2025'!$R323), 0, 1), 5, if(ISBLANK('2025'!$S323), 0, 1), 6, if(ISBLANK('2025'!$T323), 0, 1), 7, 0))), 1, "")</f>
        <v/>
      </c>
      <c r="E325" s="1" t="str">
        <f>IF(AND(AND(AND(E$4&gt;='2025'!$L323,E$4&lt;='2025'!$M323), E$4&lt;&gt;DATE(2025,7,4)), (SWITCH(weekday(E$4), 1, 0, 2, if(ISBLANK('2025'!$P323), 0, 1), 3, if(ISBLANK('2025'!$Q323), 0, 1), 4, if(ISBLANK('2025'!$R323), 0, 1), 5, if(ISBLANK('2025'!$S323), 0, 1), 6, if(ISBLANK('2025'!$T323), 0, 1), 7, 0))), 1, "")</f>
        <v/>
      </c>
      <c r="F325" s="1" t="str">
        <f>IF(AND(AND(AND(F$4&gt;='2025'!$L323,F$4&lt;='2025'!$M323), F$4&lt;&gt;DATE(2025,7,4)), (SWITCH(weekday(F$4), 1, 0, 2, if(ISBLANK('2025'!$P323), 0, 1), 3, if(ISBLANK('2025'!$Q323), 0, 1), 4, if(ISBLANK('2025'!$R323), 0, 1), 5, if(ISBLANK('2025'!$S323), 0, 1), 6, if(ISBLANK('2025'!$T323), 0, 1), 7, 0))), 1, "")</f>
        <v/>
      </c>
      <c r="G325" s="1" t="str">
        <f>IF(AND(AND(AND(G$4&gt;='2025'!$L323,G$4&lt;='2025'!$M323), G$4&lt;&gt;DATE(2025,7,4)), (SWITCH(weekday(G$4), 1, 0, 2, if(ISBLANK('2025'!$P323), 0, 1), 3, if(ISBLANK('2025'!$Q323), 0, 1), 4, if(ISBLANK('2025'!$R323), 0, 1), 5, if(ISBLANK('2025'!$S323), 0, 1), 6, if(ISBLANK('2025'!$T323), 0, 1), 7, 0))), 1, "")</f>
        <v/>
      </c>
      <c r="H325" s="1" t="str">
        <f>IF(AND(AND(AND(H$4&gt;='2025'!$L323,H$4&lt;='2025'!$M323), H$4&lt;&gt;DATE(2025,7,4)), (SWITCH(weekday(H$4), 1, 0, 2, if(ISBLANK('2025'!$P323), 0, 1), 3, if(ISBLANK('2025'!$Q323), 0, 1), 4, if(ISBLANK('2025'!$R323), 0, 1), 5, if(ISBLANK('2025'!$S323), 0, 1), 6, if(ISBLANK('2025'!$T323), 0, 1), 7, 0))), 1, "")</f>
        <v/>
      </c>
      <c r="I325" s="1" t="str">
        <f>IF(AND(AND(AND(I$4&gt;='2025'!$L323,I$4&lt;='2025'!$M323), I$4&lt;&gt;DATE(2025,7,4)), (SWITCH(weekday(I$4), 1, 0, 2, if(ISBLANK('2025'!$P323), 0, 1), 3, if(ISBLANK('2025'!$Q323), 0, 1), 4, if(ISBLANK('2025'!$R323), 0, 1), 5, if(ISBLANK('2025'!$S323), 0, 1), 6, if(ISBLANK('2025'!$T323), 0, 1), 7, 0))), 1, "")</f>
        <v/>
      </c>
      <c r="J325" s="1" t="str">
        <f>IF(AND(AND(AND(J$4&gt;='2025'!$L323,J$4&lt;='2025'!$M323), J$4&lt;&gt;DATE(2025,7,4)), (SWITCH(weekday(J$4), 1, 0, 2, if(ISBLANK('2025'!$P323), 0, 1), 3, if(ISBLANK('2025'!$Q323), 0, 1), 4, if(ISBLANK('2025'!$R323), 0, 1), 5, if(ISBLANK('2025'!$S323), 0, 1), 6, if(ISBLANK('2025'!$T323), 0, 1), 7, 0))), 1, "")</f>
        <v/>
      </c>
      <c r="K325" s="1" t="str">
        <f>IF(AND(AND(AND(K$4&gt;='2025'!$L323,K$4&lt;='2025'!$M323), K$4&lt;&gt;DATE(2025,7,4)), (SWITCH(weekday(K$4), 1, 0, 2, if(ISBLANK('2025'!$P323), 0, 1), 3, if(ISBLANK('2025'!$Q323), 0, 1), 4, if(ISBLANK('2025'!$R323), 0, 1), 5, if(ISBLANK('2025'!$S323), 0, 1), 6, if(ISBLANK('2025'!$T323), 0, 1), 7, 0))), 1, "")</f>
        <v/>
      </c>
      <c r="L325" s="1" t="str">
        <f>IF(AND(AND(AND(L$4&gt;='2025'!$L323,L$4&lt;='2025'!$M323), L$4&lt;&gt;DATE(2025,7,4)), (SWITCH(weekday(L$4), 1, 0, 2, if(ISBLANK('2025'!$P323), 0, 1), 3, if(ISBLANK('2025'!$Q323), 0, 1), 4, if(ISBLANK('2025'!$R323), 0, 1), 5, if(ISBLANK('2025'!$S323), 0, 1), 6, if(ISBLANK('2025'!$T323), 0, 1), 7, 0))), 1, "")</f>
        <v/>
      </c>
      <c r="M325" s="1" t="str">
        <f>IF(AND(AND(AND(M$4&gt;='2025'!$L323,M$4&lt;='2025'!$M323), M$4&lt;&gt;DATE(2025,7,4)), (SWITCH(weekday(M$4), 1, 0, 2, if(ISBLANK('2025'!$P323), 0, 1), 3, if(ISBLANK('2025'!$Q323), 0, 1), 4, if(ISBLANK('2025'!$R323), 0, 1), 5, if(ISBLANK('2025'!$S323), 0, 1), 6, if(ISBLANK('2025'!$T323), 0, 1), 7, 0))), 1, "")</f>
        <v/>
      </c>
      <c r="N325" s="1" t="str">
        <f>IF(AND(AND(AND(N$4&gt;='2025'!$L323,N$4&lt;='2025'!$M323), N$4&lt;&gt;DATE(2025,7,4)), (SWITCH(weekday(N$4), 1, 0, 2, if(ISBLANK('2025'!$P323), 0, 1), 3, if(ISBLANK('2025'!$Q323), 0, 1), 4, if(ISBLANK('2025'!$R323), 0, 1), 5, if(ISBLANK('2025'!$S323), 0, 1), 6, if(ISBLANK('2025'!$T323), 0, 1), 7, 0))), 1, "")</f>
        <v/>
      </c>
      <c r="O325" s="1" t="str">
        <f>IF(AND(AND(AND(O$4&gt;='2025'!$L323,O$4&lt;='2025'!$M323), O$4&lt;&gt;DATE(2025,7,4)), (SWITCH(weekday(O$4), 1, 0, 2, if(ISBLANK('2025'!$P323), 0, 1), 3, if(ISBLANK('2025'!$Q323), 0, 1), 4, if(ISBLANK('2025'!$R323), 0, 1), 5, if(ISBLANK('2025'!$S323), 0, 1), 6, if(ISBLANK('2025'!$T323), 0, 1), 7, 0))), 1, "")</f>
        <v/>
      </c>
      <c r="P325" s="1" t="str">
        <f>IF(AND(AND(AND(P$4&gt;='2025'!$L323,P$4&lt;='2025'!$M323), P$4&lt;&gt;DATE(2025,7,4)), (SWITCH(weekday(P$4), 1, 0, 2, if(ISBLANK('2025'!$P323), 0, 1), 3, if(ISBLANK('2025'!$Q323), 0, 1), 4, if(ISBLANK('2025'!$R323), 0, 1), 5, if(ISBLANK('2025'!$S323), 0, 1), 6, if(ISBLANK('2025'!$T323), 0, 1), 7, 0))), 1, "")</f>
        <v/>
      </c>
      <c r="Q325" s="1" t="str">
        <f>IF(AND(AND(AND(Q$4&gt;='2025'!$L323,Q$4&lt;='2025'!$M323), Q$4&lt;&gt;DATE(2025,7,4)), (SWITCH(weekday(Q$4), 1, 0, 2, if(ISBLANK('2025'!$P323), 0, 1), 3, if(ISBLANK('2025'!$Q323), 0, 1), 4, if(ISBLANK('2025'!$R323), 0, 1), 5, if(ISBLANK('2025'!$S323), 0, 1), 6, if(ISBLANK('2025'!$T323), 0, 1), 7, 0))), 1, "")</f>
        <v/>
      </c>
      <c r="R325" s="1" t="str">
        <f>IF(AND(AND(AND(R$4&gt;='2025'!$L323,R$4&lt;='2025'!$M323), R$4&lt;&gt;DATE(2025,7,4)), (SWITCH(weekday(R$4), 1, 0, 2, if(ISBLANK('2025'!$P323), 0, 1), 3, if(ISBLANK('2025'!$Q323), 0, 1), 4, if(ISBLANK('2025'!$R323), 0, 1), 5, if(ISBLANK('2025'!$S323), 0, 1), 6, if(ISBLANK('2025'!$T323), 0, 1), 7, 0))), 1, "")</f>
        <v/>
      </c>
      <c r="S325" s="1" t="str">
        <f>IF(AND(AND(AND(S$4&gt;='2025'!$L323,S$4&lt;='2025'!$M323), S$4&lt;&gt;DATE(2025,7,4)), (SWITCH(weekday(S$4), 1, 0, 2, if(ISBLANK('2025'!$P323), 0, 1), 3, if(ISBLANK('2025'!$Q323), 0, 1), 4, if(ISBLANK('2025'!$R323), 0, 1), 5, if(ISBLANK('2025'!$S323), 0, 1), 6, if(ISBLANK('2025'!$T323), 0, 1), 7, 0))), 1, "")</f>
        <v/>
      </c>
      <c r="T325" s="1" t="str">
        <f>IF(AND(AND(AND(T$4&gt;='2025'!$L323,T$4&lt;='2025'!$M323), T$4&lt;&gt;DATE(2025,7,4)), (SWITCH(weekday(T$4), 1, 0, 2, if(ISBLANK('2025'!$P323), 0, 1), 3, if(ISBLANK('2025'!$Q323), 0, 1), 4, if(ISBLANK('2025'!$R323), 0, 1), 5, if(ISBLANK('2025'!$S323), 0, 1), 6, if(ISBLANK('2025'!$T323), 0, 1), 7, 0))), 1, "")</f>
        <v/>
      </c>
      <c r="U325" s="1" t="str">
        <f>IF(AND(AND(AND(U$4&gt;='2025'!$L323,U$4&lt;='2025'!$M323), U$4&lt;&gt;DATE(2025,7,4)), (SWITCH(weekday(U$4), 1, 0, 2, if(ISBLANK('2025'!$P323), 0, 1), 3, if(ISBLANK('2025'!$Q323), 0, 1), 4, if(ISBLANK('2025'!$R323), 0, 1), 5, if(ISBLANK('2025'!$S323), 0, 1), 6, if(ISBLANK('2025'!$T323), 0, 1), 7, 0))), 1, "")</f>
        <v/>
      </c>
      <c r="V325" s="1" t="str">
        <f>IF(AND(AND(AND(V$4&gt;='2025'!$L323,V$4&lt;='2025'!$M323), V$4&lt;&gt;DATE(2025,7,4)), (SWITCH(weekday(V$4), 1, 0, 2, if(ISBLANK('2025'!$P323), 0, 1), 3, if(ISBLANK('2025'!$Q323), 0, 1), 4, if(ISBLANK('2025'!$R323), 0, 1), 5, if(ISBLANK('2025'!$S323), 0, 1), 6, if(ISBLANK('2025'!$T323), 0, 1), 7, 0))), 1, "")</f>
        <v/>
      </c>
      <c r="W325" s="1" t="str">
        <f>IF(AND(AND(AND(W$4&gt;='2025'!$L323,W$4&lt;='2025'!$M323), W$4&lt;&gt;DATE(2025,7,4)), (SWITCH(weekday(W$4), 1, 0, 2, if(ISBLANK('2025'!$P323), 0, 1), 3, if(ISBLANK('2025'!$Q323), 0, 1), 4, if(ISBLANK('2025'!$R323), 0, 1), 5, if(ISBLANK('2025'!$S323), 0, 1), 6, if(ISBLANK('2025'!$T323), 0, 1), 7, 0))), 1, "")</f>
        <v/>
      </c>
      <c r="X325" s="1" t="str">
        <f>IF(AND(AND(AND(X$4&gt;='2025'!$L323,X$4&lt;='2025'!$M323), X$4&lt;&gt;DATE(2025,7,4)), (SWITCH(weekday(X$4), 1, 0, 2, if(ISBLANK('2025'!$P323), 0, 1), 3, if(ISBLANK('2025'!$Q323), 0, 1), 4, if(ISBLANK('2025'!$R323), 0, 1), 5, if(ISBLANK('2025'!$S323), 0, 1), 6, if(ISBLANK('2025'!$T323), 0, 1), 7, 0))), 1, "")</f>
        <v/>
      </c>
      <c r="Y325" s="1" t="str">
        <f>IF(AND(AND(AND(Y$4&gt;='2025'!$L323,Y$4&lt;='2025'!$M323), Y$4&lt;&gt;DATE(2025,7,4)), (SWITCH(weekday(Y$4), 1, 0, 2, if(ISBLANK('2025'!$P323), 0, 1), 3, if(ISBLANK('2025'!$Q323), 0, 1), 4, if(ISBLANK('2025'!$R323), 0, 1), 5, if(ISBLANK('2025'!$S323), 0, 1), 6, if(ISBLANK('2025'!$T323), 0, 1), 7, 0))), 1, "")</f>
        <v/>
      </c>
      <c r="Z325" s="1" t="str">
        <f>IF(AND(AND(AND(Z$4&gt;='2025'!$L323,Z$4&lt;='2025'!$M323), Z$4&lt;&gt;DATE(2025,7,4)), (SWITCH(weekday(Z$4), 1, 0, 2, if(ISBLANK('2025'!$P323), 0, 1), 3, if(ISBLANK('2025'!$Q323), 0, 1), 4, if(ISBLANK('2025'!$R323), 0, 1), 5, if(ISBLANK('2025'!$S323), 0, 1), 6, if(ISBLANK('2025'!$T323), 0, 1), 7, 0))), 1, "")</f>
        <v/>
      </c>
      <c r="AA325" s="1" t="str">
        <f>IF(AND(AND(AND(AA$4&gt;='2025'!$L323,AA$4&lt;='2025'!$M323), AA$4&lt;&gt;DATE(2025,7,4)), (SWITCH(weekday(AA$4), 1, 0, 2, if(ISBLANK('2025'!$P323), 0, 1), 3, if(ISBLANK('2025'!$Q323), 0, 1), 4, if(ISBLANK('2025'!$R323), 0, 1), 5, if(ISBLANK('2025'!$S323), 0, 1), 6, if(ISBLANK('2025'!$T323), 0, 1), 7, 0))), 1, "")</f>
        <v/>
      </c>
      <c r="AB325" s="1" t="str">
        <f>IF(AND(AND(AND(AB$4&gt;='2025'!$L323,AB$4&lt;='2025'!$M323), AB$4&lt;&gt;DATE(2025,7,4)), (SWITCH(weekday(AB$4), 1, 0, 2, if(ISBLANK('2025'!$P323), 0, 1), 3, if(ISBLANK('2025'!$Q323), 0, 1), 4, if(ISBLANK('2025'!$R323), 0, 1), 5, if(ISBLANK('2025'!$S323), 0, 1), 6, if(ISBLANK('2025'!$T323), 0, 1), 7, 0))), 1, "")</f>
        <v/>
      </c>
      <c r="AC325" s="1" t="str">
        <f>IF(AND(AND(AND(AC$4&gt;='2025'!$L323,AC$4&lt;='2025'!$M323), AC$4&lt;&gt;DATE(2025,7,4)), (SWITCH(weekday(AC$4), 1, 0, 2, if(ISBLANK('2025'!$P323), 0, 1), 3, if(ISBLANK('2025'!$Q323), 0, 1), 4, if(ISBLANK('2025'!$R323), 0, 1), 5, if(ISBLANK('2025'!$S323), 0, 1), 6, if(ISBLANK('2025'!$T323), 0, 1), 7, 0))), 1, "")</f>
        <v/>
      </c>
      <c r="AD325" s="1" t="str">
        <f>IF(AND(AND(AND(AD$4&gt;='2025'!$L323,AD$4&lt;='2025'!$M323), AD$4&lt;&gt;DATE(2025,7,4)), (SWITCH(weekday(AD$4), 1, 0, 2, if(ISBLANK('2025'!$P323), 0, 1), 3, if(ISBLANK('2025'!$Q323), 0, 1), 4, if(ISBLANK('2025'!$R323), 0, 1), 5, if(ISBLANK('2025'!$S323), 0, 1), 6, if(ISBLANK('2025'!$T323), 0, 1), 7, 0))), 1, "")</f>
        <v/>
      </c>
      <c r="AE325" s="1" t="str">
        <f>IF(AND(AND(AND(AE$4&gt;='2025'!$L323,AE$4&lt;='2025'!$M323), AE$4&lt;&gt;DATE(2025,7,4)), (SWITCH(weekday(AE$4), 1, 0, 2, if(ISBLANK('2025'!$P323), 0, 1), 3, if(ISBLANK('2025'!$Q323), 0, 1), 4, if(ISBLANK('2025'!$R323), 0, 1), 5, if(ISBLANK('2025'!$S323), 0, 1), 6, if(ISBLANK('2025'!$T323), 0, 1), 7, 0))), 1, "")</f>
        <v/>
      </c>
      <c r="AF325" s="1" t="str">
        <f>IF(AND(AND(AND(AF$4&gt;='2025'!$L323,AF$4&lt;='2025'!$M323), AF$4&lt;&gt;DATE(2025,7,4)), (SWITCH(weekday(AF$4), 1, 0, 2, if(ISBLANK('2025'!$P323), 0, 1), 3, if(ISBLANK('2025'!$Q323), 0, 1), 4, if(ISBLANK('2025'!$R323), 0, 1), 5, if(ISBLANK('2025'!$S323), 0, 1), 6, if(ISBLANK('2025'!$T323), 0, 1), 7, 0))), 1, "")</f>
        <v/>
      </c>
      <c r="AG325" s="1" t="str">
        <f>IF(AND(AND(AND(AG$4&gt;='2025'!$L323,AG$4&lt;='2025'!$M323), AG$4&lt;&gt;DATE(2025,7,4)), (SWITCH(weekday(AG$4), 1, 0, 2, if(ISBLANK('2025'!$P323), 0, 1), 3, if(ISBLANK('2025'!$Q323), 0, 1), 4, if(ISBLANK('2025'!$R323), 0, 1), 5, if(ISBLANK('2025'!$S323), 0, 1), 6, if(ISBLANK('2025'!$T323), 0, 1), 7, 0))), 1, "")</f>
        <v/>
      </c>
      <c r="AH325" s="1" t="str">
        <f>IF(AND(AND(AND(AH$4&gt;='2025'!$L323,AH$4&lt;='2025'!$M323), AH$4&lt;&gt;DATE(2025,7,4)), (SWITCH(weekday(AH$4), 1, 0, 2, if(ISBLANK('2025'!$P323), 0, 1), 3, if(ISBLANK('2025'!$Q323), 0, 1), 4, if(ISBLANK('2025'!$R323), 0, 1), 5, if(ISBLANK('2025'!$S323), 0, 1), 6, if(ISBLANK('2025'!$T323), 0, 1), 7, 0))), 1, "")</f>
        <v/>
      </c>
      <c r="AI325" s="1" t="str">
        <f>IF(AND(AND(AND(AI$4&gt;='2025'!$L323,AI$4&lt;='2025'!$M323), AI$4&lt;&gt;DATE(2025,7,4)), (SWITCH(weekday(AI$4), 1, 0, 2, if(ISBLANK('2025'!$P323), 0, 1), 3, if(ISBLANK('2025'!$Q323), 0, 1), 4, if(ISBLANK('2025'!$R323), 0, 1), 5, if(ISBLANK('2025'!$S323), 0, 1), 6, if(ISBLANK('2025'!$T323), 0, 1), 7, 0))), 1, "")</f>
        <v/>
      </c>
      <c r="AJ325" s="1" t="str">
        <f>IF(AND(AND(AND(AJ$4&gt;='2025'!$L323,AJ$4&lt;='2025'!$M323), AJ$4&lt;&gt;DATE(2025,7,4)), (SWITCH(weekday(AJ$4), 1, 0, 2, if(ISBLANK('2025'!$P323), 0, 1), 3, if(ISBLANK('2025'!$Q323), 0, 1), 4, if(ISBLANK('2025'!$R323), 0, 1), 5, if(ISBLANK('2025'!$S323), 0, 1), 6, if(ISBLANK('2025'!$T323), 0, 1), 7, 0))), 1, "")</f>
        <v/>
      </c>
      <c r="AK325" s="1" t="str">
        <f>IF(AND(AND(AND(AK$4&gt;='2025'!$L323,AK$4&lt;='2025'!$M323), AK$4&lt;&gt;DATE(2025,7,4)), (SWITCH(weekday(AK$4), 1, 0, 2, if(ISBLANK('2025'!$P323), 0, 1), 3, if(ISBLANK('2025'!$Q323), 0, 1), 4, if(ISBLANK('2025'!$R323), 0, 1), 5, if(ISBLANK('2025'!$S323), 0, 1), 6, if(ISBLANK('2025'!$T323), 0, 1), 7, 0))), 1, "")</f>
        <v/>
      </c>
      <c r="AL325" s="1" t="str">
        <f>IF(AND(AND(AND(AL$4&gt;='2025'!$L323,AL$4&lt;='2025'!$M323), AL$4&lt;&gt;DATE(2025,7,4)), (SWITCH(weekday(AL$4), 1, 0, 2, if(ISBLANK('2025'!$P323), 0, 1), 3, if(ISBLANK('2025'!$Q323), 0, 1), 4, if(ISBLANK('2025'!$R323), 0, 1), 5, if(ISBLANK('2025'!$S323), 0, 1), 6, if(ISBLANK('2025'!$T323), 0, 1), 7, 0))), 1, "")</f>
        <v/>
      </c>
      <c r="AM325" s="1" t="str">
        <f>IF(AND(AND(AND(AM$4&gt;='2025'!$L323,AM$4&lt;='2025'!$M323), AM$4&lt;&gt;DATE(2025,7,4)), (SWITCH(weekday(AM$4), 1, 0, 2, if(ISBLANK('2025'!$P323), 0, 1), 3, if(ISBLANK('2025'!$Q323), 0, 1), 4, if(ISBLANK('2025'!$R323), 0, 1), 5, if(ISBLANK('2025'!$S323), 0, 1), 6, if(ISBLANK('2025'!$T323), 0, 1), 7, 0))), 1, "")</f>
        <v/>
      </c>
      <c r="AN325" s="1" t="str">
        <f>IF(AND(AND(AND(AN$4&gt;='2025'!$L323,AN$4&lt;='2025'!$M323), AN$4&lt;&gt;DATE(2025,7,4)), (SWITCH(weekday(AN$4), 1, 0, 2, if(ISBLANK('2025'!$P323), 0, 1), 3, if(ISBLANK('2025'!$Q323), 0, 1), 4, if(ISBLANK('2025'!$R323), 0, 1), 5, if(ISBLANK('2025'!$S323), 0, 1), 6, if(ISBLANK('2025'!$T323), 0, 1), 7, 0))), 1, "")</f>
        <v/>
      </c>
      <c r="AO325" s="1" t="str">
        <f>IF(AND(AND(AND(AO$4&gt;='2025'!$L323,AO$4&lt;='2025'!$M323), AO$4&lt;&gt;DATE(2025,7,4)), (SWITCH(weekday(AO$4), 1, 0, 2, if(ISBLANK('2025'!$P323), 0, 1), 3, if(ISBLANK('2025'!$Q323), 0, 1), 4, if(ISBLANK('2025'!$R323), 0, 1), 5, if(ISBLANK('2025'!$S323), 0, 1), 6, if(ISBLANK('2025'!$T323), 0, 1), 7, 0))), 1, "")</f>
        <v/>
      </c>
      <c r="AP325" s="1" t="str">
        <f>IF(AND(AND(AND(AP$4&gt;='2025'!$L323,AP$4&lt;='2025'!$M323), AP$4&lt;&gt;DATE(2025,7,4)), (SWITCH(weekday(AP$4), 1, 0, 2, if(ISBLANK('2025'!$P323), 0, 1), 3, if(ISBLANK('2025'!$Q323), 0, 1), 4, if(ISBLANK('2025'!$R323), 0, 1), 5, if(ISBLANK('2025'!$S323), 0, 1), 6, if(ISBLANK('2025'!$T323), 0, 1), 7, 0))), 1, "")</f>
        <v/>
      </c>
      <c r="AQ325" s="1" t="str">
        <f>IF(AND(AND(AND(AQ$4&gt;='2025'!$L323,AQ$4&lt;='2025'!$M323), AQ$4&lt;&gt;DATE(2025,7,4)), (SWITCH(weekday(AQ$4), 1, 0, 2, if(ISBLANK('2025'!$P323), 0, 1), 3, if(ISBLANK('2025'!$Q323), 0, 1), 4, if(ISBLANK('2025'!$R323), 0, 1), 5, if(ISBLANK('2025'!$S323), 0, 1), 6, if(ISBLANK('2025'!$T323), 0, 1), 7, 0))), 1, "")</f>
        <v/>
      </c>
      <c r="AR325" s="1" t="str">
        <f>IF(AND(AND(AND(AR$4&gt;='2025'!$L323,AR$4&lt;='2025'!$M323), AR$4&lt;&gt;DATE(2025,7,4)), (SWITCH(weekday(AR$4), 1, 0, 2, if(ISBLANK('2025'!$P323), 0, 1), 3, if(ISBLANK('2025'!$Q323), 0, 1), 4, if(ISBLANK('2025'!$R323), 0, 1), 5, if(ISBLANK('2025'!$S323), 0, 1), 6, if(ISBLANK('2025'!$T323), 0, 1), 7, 0))), 1, "")</f>
        <v/>
      </c>
      <c r="AS325" s="1" t="str">
        <f>IF(AND(AND(AND(AS$4&gt;='2025'!$L323,AS$4&lt;='2025'!$M323), AS$4&lt;&gt;DATE(2025,7,4)), (SWITCH(weekday(AS$4), 1, 0, 2, if(ISBLANK('2025'!$P323), 0, 1), 3, if(ISBLANK('2025'!$Q323), 0, 1), 4, if(ISBLANK('2025'!$R323), 0, 1), 5, if(ISBLANK('2025'!$S323), 0, 1), 6, if(ISBLANK('2025'!$T323), 0, 1), 7, 0))), 1, "")</f>
        <v/>
      </c>
      <c r="AT325" s="1" t="str">
        <f>IF(AND(AND(AND(AT$4&gt;='2025'!$L323,AT$4&lt;='2025'!$M323), AT$4&lt;&gt;DATE(2025,7,4)), (SWITCH(weekday(AT$4), 1, 0, 2, if(ISBLANK('2025'!$P323), 0, 1), 3, if(ISBLANK('2025'!$Q323), 0, 1), 4, if(ISBLANK('2025'!$R323), 0, 1), 5, if(ISBLANK('2025'!$S323), 0, 1), 6, if(ISBLANK('2025'!$T323), 0, 1), 7, 0))), 1, "")</f>
        <v/>
      </c>
      <c r="AU325" s="1" t="str">
        <f>IF(AND(AND(AND(AU$4&gt;='2025'!$L323,AU$4&lt;='2025'!$M323), AU$4&lt;&gt;DATE(2025,7,4)), (SWITCH(weekday(AU$4), 1, 0, 2, if(ISBLANK('2025'!$P323), 0, 1), 3, if(ISBLANK('2025'!$Q323), 0, 1), 4, if(ISBLANK('2025'!$R323), 0, 1), 5, if(ISBLANK('2025'!$S323), 0, 1), 6, if(ISBLANK('2025'!$T323), 0, 1), 7, 0))), 1, "")</f>
        <v/>
      </c>
      <c r="AV325" s="1" t="str">
        <f>IF(AND(AND(AND(AV$4&gt;='2025'!$L323,AV$4&lt;='2025'!$M323), AV$4&lt;&gt;DATE(2025,7,4)), (SWITCH(weekday(AV$4), 1, 0, 2, if(ISBLANK('2025'!$P323), 0, 1), 3, if(ISBLANK('2025'!$Q323), 0, 1), 4, if(ISBLANK('2025'!$R323), 0, 1), 5, if(ISBLANK('2025'!$S323), 0, 1), 6, if(ISBLANK('2025'!$T323), 0, 1), 7, 0))), 1, "")</f>
        <v/>
      </c>
      <c r="AW325" s="1" t="str">
        <f>IF(AND(AND(AND(AW$4&gt;='2025'!$L323,AW$4&lt;='2025'!$M323), AW$4&lt;&gt;DATE(2025,7,4)), (SWITCH(weekday(AW$4), 1, 0, 2, if(ISBLANK('2025'!$P323), 0, 1), 3, if(ISBLANK('2025'!$Q323), 0, 1), 4, if(ISBLANK('2025'!$R323), 0, 1), 5, if(ISBLANK('2025'!$S323), 0, 1), 6, if(ISBLANK('2025'!$T323), 0, 1), 7, 0))), 1, "")</f>
        <v/>
      </c>
      <c r="AX325" s="1" t="str">
        <f>IF(AND(AND(AND(AX$4&gt;='2025'!$L323,AX$4&lt;='2025'!$M323), AX$4&lt;&gt;DATE(2025,7,4)), (SWITCH(weekday(AX$4), 1, 0, 2, if(ISBLANK('2025'!$P323), 0, 1), 3, if(ISBLANK('2025'!$Q323), 0, 1), 4, if(ISBLANK('2025'!$R323), 0, 1), 5, if(ISBLANK('2025'!$S323), 0, 1), 6, if(ISBLANK('2025'!$T323), 0, 1), 7, 0))), 1, "")</f>
        <v/>
      </c>
      <c r="AY325" s="1" t="str">
        <f>IF(AND(AND(AND(AY$4&gt;='2025'!$L323,AY$4&lt;='2025'!$M323), AY$4&lt;&gt;DATE(2025,7,4)), (SWITCH(weekday(AY$4), 1, 0, 2, if(ISBLANK('2025'!$P323), 0, 1), 3, if(ISBLANK('2025'!$Q323), 0, 1), 4, if(ISBLANK('2025'!$R323), 0, 1), 5, if(ISBLANK('2025'!$S323), 0, 1), 6, if(ISBLANK('2025'!$T323), 0, 1), 7, 0))), 1, "")</f>
        <v/>
      </c>
      <c r="AZ325" s="1" t="str">
        <f>IF(AND(AND(AND(AZ$4&gt;='2025'!$L323,AZ$4&lt;='2025'!$M323), AZ$4&lt;&gt;DATE(2025,7,4)), (SWITCH(weekday(AZ$4), 1, 0, 2, if(ISBLANK('2025'!$P323), 0, 1), 3, if(ISBLANK('2025'!$Q323), 0, 1), 4, if(ISBLANK('2025'!$R323), 0, 1), 5, if(ISBLANK('2025'!$S323), 0, 1), 6, if(ISBLANK('2025'!$T323), 0, 1), 7, 0))), 1, "")</f>
        <v/>
      </c>
      <c r="BA325" s="1" t="str">
        <f>IF(AND(AND(AND(BA$4&gt;='2025'!$L323,BA$4&lt;='2025'!$M323), BA$4&lt;&gt;DATE(2025,7,4)), (SWITCH(weekday(BA$4), 1, 0, 2, if(ISBLANK('2025'!$P323), 0, 1), 3, if(ISBLANK('2025'!$Q323), 0, 1), 4, if(ISBLANK('2025'!$R323), 0, 1), 5, if(ISBLANK('2025'!$S323), 0, 1), 6, if(ISBLANK('2025'!$T323), 0, 1), 7, 0))), 1, "")</f>
        <v/>
      </c>
      <c r="BB325" s="1" t="str">
        <f>IF(AND(AND(AND(BB$4&gt;='2025'!$L323,BB$4&lt;='2025'!$M323), BB$4&lt;&gt;DATE(2025,7,4)), (SWITCH(weekday(BB$4), 1, 0, 2, if(ISBLANK('2025'!$P323), 0, 1), 3, if(ISBLANK('2025'!$Q323), 0, 1), 4, if(ISBLANK('2025'!$R323), 0, 1), 5, if(ISBLANK('2025'!$S323), 0, 1), 6, if(ISBLANK('2025'!$T323), 0, 1), 7, 0))), 1, "")</f>
        <v/>
      </c>
      <c r="BC325" s="1" t="str">
        <f>IF(AND(AND(AND(BC$4&gt;='2025'!$L323,BC$4&lt;='2025'!$M323), BC$4&lt;&gt;DATE(2025,7,4)), (SWITCH(weekday(BC$4), 1, 0, 2, if(ISBLANK('2025'!$P323), 0, 1), 3, if(ISBLANK('2025'!$Q323), 0, 1), 4, if(ISBLANK('2025'!$R323), 0, 1), 5, if(ISBLANK('2025'!$S323), 0, 1), 6, if(ISBLANK('2025'!$T323), 0, 1), 7, 0))), 1, "")</f>
        <v/>
      </c>
      <c r="BD325" s="1" t="str">
        <f>IF(AND(AND(AND(BD$4&gt;='2025'!$L323,BD$4&lt;='2025'!$M323), BD$4&lt;&gt;DATE(2025,7,4)), (SWITCH(weekday(BD$4), 1, 0, 2, if(ISBLANK('2025'!$P323), 0, 1), 3, if(ISBLANK('2025'!$Q323), 0, 1), 4, if(ISBLANK('2025'!$R323), 0, 1), 5, if(ISBLANK('2025'!$S323), 0, 1), 6, if(ISBLANK('2025'!$T323), 0, 1), 7, 0))), 1, "")</f>
        <v/>
      </c>
      <c r="BE325" s="1" t="str">
        <f>IF(AND(AND(AND(BE$4&gt;='2025'!$L323,BE$4&lt;='2025'!$M323), BE$4&lt;&gt;DATE(2025,7,4)), (SWITCH(weekday(BE$4), 1, 0, 2, if(ISBLANK('2025'!$P323), 0, 1), 3, if(ISBLANK('2025'!$Q323), 0, 1), 4, if(ISBLANK('2025'!$R323), 0, 1), 5, if(ISBLANK('2025'!$S323), 0, 1), 6, if(ISBLANK('2025'!$T323), 0, 1), 7, 0))), 1, "")</f>
        <v/>
      </c>
      <c r="BF325" s="1" t="str">
        <f>IF(AND(AND(AND(BF$4&gt;='2025'!$L323,BF$4&lt;='2025'!$M323), BF$4&lt;&gt;DATE(2025,7,4)), (SWITCH(weekday(BF$4), 1, 0, 2, if(ISBLANK('2025'!$P323), 0, 1), 3, if(ISBLANK('2025'!$Q323), 0, 1), 4, if(ISBLANK('2025'!$R323), 0, 1), 5, if(ISBLANK('2025'!$S323), 0, 1), 6, if(ISBLANK('2025'!$T323), 0, 1), 7, 0))), 1, "")</f>
        <v/>
      </c>
      <c r="BG325" s="1"/>
      <c r="BH325" s="1"/>
      <c r="BI325" s="1"/>
      <c r="BJ325" s="1"/>
      <c r="BK325" s="1"/>
      <c r="BL325" s="1"/>
    </row>
    <row r="326">
      <c r="A326" s="1">
        <f t="shared" si="3"/>
        <v>326</v>
      </c>
      <c r="B326" s="1" t="str">
        <f>'2025'!D290</f>
        <v>, </v>
      </c>
      <c r="C326" s="1" t="str">
        <f>'2025'!H290</f>
        <v/>
      </c>
      <c r="D326" s="1" t="str">
        <f>IF(AND(AND(AND(D$4&gt;='2025'!$L324,D$4&lt;='2025'!$M324), D$4&lt;&gt;DATE(2025,7,4)), (SWITCH(weekday(D$4), 1, 0, 2, if(ISBLANK('2025'!$P324), 0, 1), 3, if(ISBLANK('2025'!$Q324), 0, 1), 4, if(ISBLANK('2025'!$R324), 0, 1), 5, if(ISBLANK('2025'!$S324), 0, 1), 6, if(ISBLANK('2025'!$T324), 0, 1), 7, 0))), 1, "")</f>
        <v/>
      </c>
      <c r="E326" s="1" t="str">
        <f>IF(AND(AND(AND(E$4&gt;='2025'!$L324,E$4&lt;='2025'!$M324), E$4&lt;&gt;DATE(2025,7,4)), (SWITCH(weekday(E$4), 1, 0, 2, if(ISBLANK('2025'!$P324), 0, 1), 3, if(ISBLANK('2025'!$Q324), 0, 1), 4, if(ISBLANK('2025'!$R324), 0, 1), 5, if(ISBLANK('2025'!$S324), 0, 1), 6, if(ISBLANK('2025'!$T324), 0, 1), 7, 0))), 1, "")</f>
        <v/>
      </c>
      <c r="F326" s="1" t="str">
        <f>IF(AND(AND(AND(F$4&gt;='2025'!$L324,F$4&lt;='2025'!$M324), F$4&lt;&gt;DATE(2025,7,4)), (SWITCH(weekday(F$4), 1, 0, 2, if(ISBLANK('2025'!$P324), 0, 1), 3, if(ISBLANK('2025'!$Q324), 0, 1), 4, if(ISBLANK('2025'!$R324), 0, 1), 5, if(ISBLANK('2025'!$S324), 0, 1), 6, if(ISBLANK('2025'!$T324), 0, 1), 7, 0))), 1, "")</f>
        <v/>
      </c>
      <c r="G326" s="1" t="str">
        <f>IF(AND(AND(AND(G$4&gt;='2025'!$L324,G$4&lt;='2025'!$M324), G$4&lt;&gt;DATE(2025,7,4)), (SWITCH(weekday(G$4), 1, 0, 2, if(ISBLANK('2025'!$P324), 0, 1), 3, if(ISBLANK('2025'!$Q324), 0, 1), 4, if(ISBLANK('2025'!$R324), 0, 1), 5, if(ISBLANK('2025'!$S324), 0, 1), 6, if(ISBLANK('2025'!$T324), 0, 1), 7, 0))), 1, "")</f>
        <v/>
      </c>
      <c r="H326" s="1" t="str">
        <f>IF(AND(AND(AND(H$4&gt;='2025'!$L324,H$4&lt;='2025'!$M324), H$4&lt;&gt;DATE(2025,7,4)), (SWITCH(weekday(H$4), 1, 0, 2, if(ISBLANK('2025'!$P324), 0, 1), 3, if(ISBLANK('2025'!$Q324), 0, 1), 4, if(ISBLANK('2025'!$R324), 0, 1), 5, if(ISBLANK('2025'!$S324), 0, 1), 6, if(ISBLANK('2025'!$T324), 0, 1), 7, 0))), 1, "")</f>
        <v/>
      </c>
      <c r="I326" s="1" t="str">
        <f>IF(AND(AND(AND(I$4&gt;='2025'!$L324,I$4&lt;='2025'!$M324), I$4&lt;&gt;DATE(2025,7,4)), (SWITCH(weekday(I$4), 1, 0, 2, if(ISBLANK('2025'!$P324), 0, 1), 3, if(ISBLANK('2025'!$Q324), 0, 1), 4, if(ISBLANK('2025'!$R324), 0, 1), 5, if(ISBLANK('2025'!$S324), 0, 1), 6, if(ISBLANK('2025'!$T324), 0, 1), 7, 0))), 1, "")</f>
        <v/>
      </c>
      <c r="J326" s="1" t="str">
        <f>IF(AND(AND(AND(J$4&gt;='2025'!$L324,J$4&lt;='2025'!$M324), J$4&lt;&gt;DATE(2025,7,4)), (SWITCH(weekday(J$4), 1, 0, 2, if(ISBLANK('2025'!$P324), 0, 1), 3, if(ISBLANK('2025'!$Q324), 0, 1), 4, if(ISBLANK('2025'!$R324), 0, 1), 5, if(ISBLANK('2025'!$S324), 0, 1), 6, if(ISBLANK('2025'!$T324), 0, 1), 7, 0))), 1, "")</f>
        <v/>
      </c>
      <c r="K326" s="1" t="str">
        <f>IF(AND(AND(AND(K$4&gt;='2025'!$L324,K$4&lt;='2025'!$M324), K$4&lt;&gt;DATE(2025,7,4)), (SWITCH(weekday(K$4), 1, 0, 2, if(ISBLANK('2025'!$P324), 0, 1), 3, if(ISBLANK('2025'!$Q324), 0, 1), 4, if(ISBLANK('2025'!$R324), 0, 1), 5, if(ISBLANK('2025'!$S324), 0, 1), 6, if(ISBLANK('2025'!$T324), 0, 1), 7, 0))), 1, "")</f>
        <v/>
      </c>
      <c r="L326" s="1" t="str">
        <f>IF(AND(AND(AND(L$4&gt;='2025'!$L324,L$4&lt;='2025'!$M324), L$4&lt;&gt;DATE(2025,7,4)), (SWITCH(weekday(L$4), 1, 0, 2, if(ISBLANK('2025'!$P324), 0, 1), 3, if(ISBLANK('2025'!$Q324), 0, 1), 4, if(ISBLANK('2025'!$R324), 0, 1), 5, if(ISBLANK('2025'!$S324), 0, 1), 6, if(ISBLANK('2025'!$T324), 0, 1), 7, 0))), 1, "")</f>
        <v/>
      </c>
      <c r="M326" s="1" t="str">
        <f>IF(AND(AND(AND(M$4&gt;='2025'!$L324,M$4&lt;='2025'!$M324), M$4&lt;&gt;DATE(2025,7,4)), (SWITCH(weekday(M$4), 1, 0, 2, if(ISBLANK('2025'!$P324), 0, 1), 3, if(ISBLANK('2025'!$Q324), 0, 1), 4, if(ISBLANK('2025'!$R324), 0, 1), 5, if(ISBLANK('2025'!$S324), 0, 1), 6, if(ISBLANK('2025'!$T324), 0, 1), 7, 0))), 1, "")</f>
        <v/>
      </c>
      <c r="N326" s="1" t="str">
        <f>IF(AND(AND(AND(N$4&gt;='2025'!$L324,N$4&lt;='2025'!$M324), N$4&lt;&gt;DATE(2025,7,4)), (SWITCH(weekday(N$4), 1, 0, 2, if(ISBLANK('2025'!$P324), 0, 1), 3, if(ISBLANK('2025'!$Q324), 0, 1), 4, if(ISBLANK('2025'!$R324), 0, 1), 5, if(ISBLANK('2025'!$S324), 0, 1), 6, if(ISBLANK('2025'!$T324), 0, 1), 7, 0))), 1, "")</f>
        <v/>
      </c>
      <c r="O326" s="1" t="str">
        <f>IF(AND(AND(AND(O$4&gt;='2025'!$L324,O$4&lt;='2025'!$M324), O$4&lt;&gt;DATE(2025,7,4)), (SWITCH(weekday(O$4), 1, 0, 2, if(ISBLANK('2025'!$P324), 0, 1), 3, if(ISBLANK('2025'!$Q324), 0, 1), 4, if(ISBLANK('2025'!$R324), 0, 1), 5, if(ISBLANK('2025'!$S324), 0, 1), 6, if(ISBLANK('2025'!$T324), 0, 1), 7, 0))), 1, "")</f>
        <v/>
      </c>
      <c r="P326" s="1" t="str">
        <f>IF(AND(AND(AND(P$4&gt;='2025'!$L324,P$4&lt;='2025'!$M324), P$4&lt;&gt;DATE(2025,7,4)), (SWITCH(weekday(P$4), 1, 0, 2, if(ISBLANK('2025'!$P324), 0, 1), 3, if(ISBLANK('2025'!$Q324), 0, 1), 4, if(ISBLANK('2025'!$R324), 0, 1), 5, if(ISBLANK('2025'!$S324), 0, 1), 6, if(ISBLANK('2025'!$T324), 0, 1), 7, 0))), 1, "")</f>
        <v/>
      </c>
      <c r="Q326" s="1" t="str">
        <f>IF(AND(AND(AND(Q$4&gt;='2025'!$L324,Q$4&lt;='2025'!$M324), Q$4&lt;&gt;DATE(2025,7,4)), (SWITCH(weekday(Q$4), 1, 0, 2, if(ISBLANK('2025'!$P324), 0, 1), 3, if(ISBLANK('2025'!$Q324), 0, 1), 4, if(ISBLANK('2025'!$R324), 0, 1), 5, if(ISBLANK('2025'!$S324), 0, 1), 6, if(ISBLANK('2025'!$T324), 0, 1), 7, 0))), 1, "")</f>
        <v/>
      </c>
      <c r="R326" s="1" t="str">
        <f>IF(AND(AND(AND(R$4&gt;='2025'!$L324,R$4&lt;='2025'!$M324), R$4&lt;&gt;DATE(2025,7,4)), (SWITCH(weekday(R$4), 1, 0, 2, if(ISBLANK('2025'!$P324), 0, 1), 3, if(ISBLANK('2025'!$Q324), 0, 1), 4, if(ISBLANK('2025'!$R324), 0, 1), 5, if(ISBLANK('2025'!$S324), 0, 1), 6, if(ISBLANK('2025'!$T324), 0, 1), 7, 0))), 1, "")</f>
        <v/>
      </c>
      <c r="S326" s="1" t="str">
        <f>IF(AND(AND(AND(S$4&gt;='2025'!$L324,S$4&lt;='2025'!$M324), S$4&lt;&gt;DATE(2025,7,4)), (SWITCH(weekday(S$4), 1, 0, 2, if(ISBLANK('2025'!$P324), 0, 1), 3, if(ISBLANK('2025'!$Q324), 0, 1), 4, if(ISBLANK('2025'!$R324), 0, 1), 5, if(ISBLANK('2025'!$S324), 0, 1), 6, if(ISBLANK('2025'!$T324), 0, 1), 7, 0))), 1, "")</f>
        <v/>
      </c>
      <c r="T326" s="1" t="str">
        <f>IF(AND(AND(AND(T$4&gt;='2025'!$L324,T$4&lt;='2025'!$M324), T$4&lt;&gt;DATE(2025,7,4)), (SWITCH(weekday(T$4), 1, 0, 2, if(ISBLANK('2025'!$P324), 0, 1), 3, if(ISBLANK('2025'!$Q324), 0, 1), 4, if(ISBLANK('2025'!$R324), 0, 1), 5, if(ISBLANK('2025'!$S324), 0, 1), 6, if(ISBLANK('2025'!$T324), 0, 1), 7, 0))), 1, "")</f>
        <v/>
      </c>
      <c r="U326" s="1" t="str">
        <f>IF(AND(AND(AND(U$4&gt;='2025'!$L324,U$4&lt;='2025'!$M324), U$4&lt;&gt;DATE(2025,7,4)), (SWITCH(weekday(U$4), 1, 0, 2, if(ISBLANK('2025'!$P324), 0, 1), 3, if(ISBLANK('2025'!$Q324), 0, 1), 4, if(ISBLANK('2025'!$R324), 0, 1), 5, if(ISBLANK('2025'!$S324), 0, 1), 6, if(ISBLANK('2025'!$T324), 0, 1), 7, 0))), 1, "")</f>
        <v/>
      </c>
      <c r="V326" s="1" t="str">
        <f>IF(AND(AND(AND(V$4&gt;='2025'!$L324,V$4&lt;='2025'!$M324), V$4&lt;&gt;DATE(2025,7,4)), (SWITCH(weekday(V$4), 1, 0, 2, if(ISBLANK('2025'!$P324), 0, 1), 3, if(ISBLANK('2025'!$Q324), 0, 1), 4, if(ISBLANK('2025'!$R324), 0, 1), 5, if(ISBLANK('2025'!$S324), 0, 1), 6, if(ISBLANK('2025'!$T324), 0, 1), 7, 0))), 1, "")</f>
        <v/>
      </c>
      <c r="W326" s="1" t="str">
        <f>IF(AND(AND(AND(W$4&gt;='2025'!$L324,W$4&lt;='2025'!$M324), W$4&lt;&gt;DATE(2025,7,4)), (SWITCH(weekday(W$4), 1, 0, 2, if(ISBLANK('2025'!$P324), 0, 1), 3, if(ISBLANK('2025'!$Q324), 0, 1), 4, if(ISBLANK('2025'!$R324), 0, 1), 5, if(ISBLANK('2025'!$S324), 0, 1), 6, if(ISBLANK('2025'!$T324), 0, 1), 7, 0))), 1, "")</f>
        <v/>
      </c>
      <c r="X326" s="1" t="str">
        <f>IF(AND(AND(AND(X$4&gt;='2025'!$L324,X$4&lt;='2025'!$M324), X$4&lt;&gt;DATE(2025,7,4)), (SWITCH(weekday(X$4), 1, 0, 2, if(ISBLANK('2025'!$P324), 0, 1), 3, if(ISBLANK('2025'!$Q324), 0, 1), 4, if(ISBLANK('2025'!$R324), 0, 1), 5, if(ISBLANK('2025'!$S324), 0, 1), 6, if(ISBLANK('2025'!$T324), 0, 1), 7, 0))), 1, "")</f>
        <v/>
      </c>
      <c r="Y326" s="1" t="str">
        <f>IF(AND(AND(AND(Y$4&gt;='2025'!$L324,Y$4&lt;='2025'!$M324), Y$4&lt;&gt;DATE(2025,7,4)), (SWITCH(weekday(Y$4), 1, 0, 2, if(ISBLANK('2025'!$P324), 0, 1), 3, if(ISBLANK('2025'!$Q324), 0, 1), 4, if(ISBLANK('2025'!$R324), 0, 1), 5, if(ISBLANK('2025'!$S324), 0, 1), 6, if(ISBLANK('2025'!$T324), 0, 1), 7, 0))), 1, "")</f>
        <v/>
      </c>
      <c r="Z326" s="1" t="str">
        <f>IF(AND(AND(AND(Z$4&gt;='2025'!$L324,Z$4&lt;='2025'!$M324), Z$4&lt;&gt;DATE(2025,7,4)), (SWITCH(weekday(Z$4), 1, 0, 2, if(ISBLANK('2025'!$P324), 0, 1), 3, if(ISBLANK('2025'!$Q324), 0, 1), 4, if(ISBLANK('2025'!$R324), 0, 1), 5, if(ISBLANK('2025'!$S324), 0, 1), 6, if(ISBLANK('2025'!$T324), 0, 1), 7, 0))), 1, "")</f>
        <v/>
      </c>
      <c r="AA326" s="1" t="str">
        <f>IF(AND(AND(AND(AA$4&gt;='2025'!$L324,AA$4&lt;='2025'!$M324), AA$4&lt;&gt;DATE(2025,7,4)), (SWITCH(weekday(AA$4), 1, 0, 2, if(ISBLANK('2025'!$P324), 0, 1), 3, if(ISBLANK('2025'!$Q324), 0, 1), 4, if(ISBLANK('2025'!$R324), 0, 1), 5, if(ISBLANK('2025'!$S324), 0, 1), 6, if(ISBLANK('2025'!$T324), 0, 1), 7, 0))), 1, "")</f>
        <v/>
      </c>
      <c r="AB326" s="1" t="str">
        <f>IF(AND(AND(AND(AB$4&gt;='2025'!$L324,AB$4&lt;='2025'!$M324), AB$4&lt;&gt;DATE(2025,7,4)), (SWITCH(weekday(AB$4), 1, 0, 2, if(ISBLANK('2025'!$P324), 0, 1), 3, if(ISBLANK('2025'!$Q324), 0, 1), 4, if(ISBLANK('2025'!$R324), 0, 1), 5, if(ISBLANK('2025'!$S324), 0, 1), 6, if(ISBLANK('2025'!$T324), 0, 1), 7, 0))), 1, "")</f>
        <v/>
      </c>
      <c r="AC326" s="1" t="str">
        <f>IF(AND(AND(AND(AC$4&gt;='2025'!$L324,AC$4&lt;='2025'!$M324), AC$4&lt;&gt;DATE(2025,7,4)), (SWITCH(weekday(AC$4), 1, 0, 2, if(ISBLANK('2025'!$P324), 0, 1), 3, if(ISBLANK('2025'!$Q324), 0, 1), 4, if(ISBLANK('2025'!$R324), 0, 1), 5, if(ISBLANK('2025'!$S324), 0, 1), 6, if(ISBLANK('2025'!$T324), 0, 1), 7, 0))), 1, "")</f>
        <v/>
      </c>
      <c r="AD326" s="1" t="str">
        <f>IF(AND(AND(AND(AD$4&gt;='2025'!$L324,AD$4&lt;='2025'!$M324), AD$4&lt;&gt;DATE(2025,7,4)), (SWITCH(weekday(AD$4), 1, 0, 2, if(ISBLANK('2025'!$P324), 0, 1), 3, if(ISBLANK('2025'!$Q324), 0, 1), 4, if(ISBLANK('2025'!$R324), 0, 1), 5, if(ISBLANK('2025'!$S324), 0, 1), 6, if(ISBLANK('2025'!$T324), 0, 1), 7, 0))), 1, "")</f>
        <v/>
      </c>
      <c r="AE326" s="1" t="str">
        <f>IF(AND(AND(AND(AE$4&gt;='2025'!$L324,AE$4&lt;='2025'!$M324), AE$4&lt;&gt;DATE(2025,7,4)), (SWITCH(weekday(AE$4), 1, 0, 2, if(ISBLANK('2025'!$P324), 0, 1), 3, if(ISBLANK('2025'!$Q324), 0, 1), 4, if(ISBLANK('2025'!$R324), 0, 1), 5, if(ISBLANK('2025'!$S324), 0, 1), 6, if(ISBLANK('2025'!$T324), 0, 1), 7, 0))), 1, "")</f>
        <v/>
      </c>
      <c r="AF326" s="1" t="str">
        <f>IF(AND(AND(AND(AF$4&gt;='2025'!$L324,AF$4&lt;='2025'!$M324), AF$4&lt;&gt;DATE(2025,7,4)), (SWITCH(weekday(AF$4), 1, 0, 2, if(ISBLANK('2025'!$P324), 0, 1), 3, if(ISBLANK('2025'!$Q324), 0, 1), 4, if(ISBLANK('2025'!$R324), 0, 1), 5, if(ISBLANK('2025'!$S324), 0, 1), 6, if(ISBLANK('2025'!$T324), 0, 1), 7, 0))), 1, "")</f>
        <v/>
      </c>
      <c r="AG326" s="1" t="str">
        <f>IF(AND(AND(AND(AG$4&gt;='2025'!$L324,AG$4&lt;='2025'!$M324), AG$4&lt;&gt;DATE(2025,7,4)), (SWITCH(weekday(AG$4), 1, 0, 2, if(ISBLANK('2025'!$P324), 0, 1), 3, if(ISBLANK('2025'!$Q324), 0, 1), 4, if(ISBLANK('2025'!$R324), 0, 1), 5, if(ISBLANK('2025'!$S324), 0, 1), 6, if(ISBLANK('2025'!$T324), 0, 1), 7, 0))), 1, "")</f>
        <v/>
      </c>
      <c r="AH326" s="1" t="str">
        <f>IF(AND(AND(AND(AH$4&gt;='2025'!$L324,AH$4&lt;='2025'!$M324), AH$4&lt;&gt;DATE(2025,7,4)), (SWITCH(weekday(AH$4), 1, 0, 2, if(ISBLANK('2025'!$P324), 0, 1), 3, if(ISBLANK('2025'!$Q324), 0, 1), 4, if(ISBLANK('2025'!$R324), 0, 1), 5, if(ISBLANK('2025'!$S324), 0, 1), 6, if(ISBLANK('2025'!$T324), 0, 1), 7, 0))), 1, "")</f>
        <v/>
      </c>
      <c r="AI326" s="1" t="str">
        <f>IF(AND(AND(AND(AI$4&gt;='2025'!$L324,AI$4&lt;='2025'!$M324), AI$4&lt;&gt;DATE(2025,7,4)), (SWITCH(weekday(AI$4), 1, 0, 2, if(ISBLANK('2025'!$P324), 0, 1), 3, if(ISBLANK('2025'!$Q324), 0, 1), 4, if(ISBLANK('2025'!$R324), 0, 1), 5, if(ISBLANK('2025'!$S324), 0, 1), 6, if(ISBLANK('2025'!$T324), 0, 1), 7, 0))), 1, "")</f>
        <v/>
      </c>
      <c r="AJ326" s="1" t="str">
        <f>IF(AND(AND(AND(AJ$4&gt;='2025'!$L324,AJ$4&lt;='2025'!$M324), AJ$4&lt;&gt;DATE(2025,7,4)), (SWITCH(weekday(AJ$4), 1, 0, 2, if(ISBLANK('2025'!$P324), 0, 1), 3, if(ISBLANK('2025'!$Q324), 0, 1), 4, if(ISBLANK('2025'!$R324), 0, 1), 5, if(ISBLANK('2025'!$S324), 0, 1), 6, if(ISBLANK('2025'!$T324), 0, 1), 7, 0))), 1, "")</f>
        <v/>
      </c>
      <c r="AK326" s="1" t="str">
        <f>IF(AND(AND(AND(AK$4&gt;='2025'!$L324,AK$4&lt;='2025'!$M324), AK$4&lt;&gt;DATE(2025,7,4)), (SWITCH(weekday(AK$4), 1, 0, 2, if(ISBLANK('2025'!$P324), 0, 1), 3, if(ISBLANK('2025'!$Q324), 0, 1), 4, if(ISBLANK('2025'!$R324), 0, 1), 5, if(ISBLANK('2025'!$S324), 0, 1), 6, if(ISBLANK('2025'!$T324), 0, 1), 7, 0))), 1, "")</f>
        <v/>
      </c>
      <c r="AL326" s="1" t="str">
        <f>IF(AND(AND(AND(AL$4&gt;='2025'!$L324,AL$4&lt;='2025'!$M324), AL$4&lt;&gt;DATE(2025,7,4)), (SWITCH(weekday(AL$4), 1, 0, 2, if(ISBLANK('2025'!$P324), 0, 1), 3, if(ISBLANK('2025'!$Q324), 0, 1), 4, if(ISBLANK('2025'!$R324), 0, 1), 5, if(ISBLANK('2025'!$S324), 0, 1), 6, if(ISBLANK('2025'!$T324), 0, 1), 7, 0))), 1, "")</f>
        <v/>
      </c>
      <c r="AM326" s="1" t="str">
        <f>IF(AND(AND(AND(AM$4&gt;='2025'!$L324,AM$4&lt;='2025'!$M324), AM$4&lt;&gt;DATE(2025,7,4)), (SWITCH(weekday(AM$4), 1, 0, 2, if(ISBLANK('2025'!$P324), 0, 1), 3, if(ISBLANK('2025'!$Q324), 0, 1), 4, if(ISBLANK('2025'!$R324), 0, 1), 5, if(ISBLANK('2025'!$S324), 0, 1), 6, if(ISBLANK('2025'!$T324), 0, 1), 7, 0))), 1, "")</f>
        <v/>
      </c>
      <c r="AN326" s="1" t="str">
        <f>IF(AND(AND(AND(AN$4&gt;='2025'!$L324,AN$4&lt;='2025'!$M324), AN$4&lt;&gt;DATE(2025,7,4)), (SWITCH(weekday(AN$4), 1, 0, 2, if(ISBLANK('2025'!$P324), 0, 1), 3, if(ISBLANK('2025'!$Q324), 0, 1), 4, if(ISBLANK('2025'!$R324), 0, 1), 5, if(ISBLANK('2025'!$S324), 0, 1), 6, if(ISBLANK('2025'!$T324), 0, 1), 7, 0))), 1, "")</f>
        <v/>
      </c>
      <c r="AO326" s="1" t="str">
        <f>IF(AND(AND(AND(AO$4&gt;='2025'!$L324,AO$4&lt;='2025'!$M324), AO$4&lt;&gt;DATE(2025,7,4)), (SWITCH(weekday(AO$4), 1, 0, 2, if(ISBLANK('2025'!$P324), 0, 1), 3, if(ISBLANK('2025'!$Q324), 0, 1), 4, if(ISBLANK('2025'!$R324), 0, 1), 5, if(ISBLANK('2025'!$S324), 0, 1), 6, if(ISBLANK('2025'!$T324), 0, 1), 7, 0))), 1, "")</f>
        <v/>
      </c>
      <c r="AP326" s="1" t="str">
        <f>IF(AND(AND(AND(AP$4&gt;='2025'!$L324,AP$4&lt;='2025'!$M324), AP$4&lt;&gt;DATE(2025,7,4)), (SWITCH(weekday(AP$4), 1, 0, 2, if(ISBLANK('2025'!$P324), 0, 1), 3, if(ISBLANK('2025'!$Q324), 0, 1), 4, if(ISBLANK('2025'!$R324), 0, 1), 5, if(ISBLANK('2025'!$S324), 0, 1), 6, if(ISBLANK('2025'!$T324), 0, 1), 7, 0))), 1, "")</f>
        <v/>
      </c>
      <c r="AQ326" s="1" t="str">
        <f>IF(AND(AND(AND(AQ$4&gt;='2025'!$L324,AQ$4&lt;='2025'!$M324), AQ$4&lt;&gt;DATE(2025,7,4)), (SWITCH(weekday(AQ$4), 1, 0, 2, if(ISBLANK('2025'!$P324), 0, 1), 3, if(ISBLANK('2025'!$Q324), 0, 1), 4, if(ISBLANK('2025'!$R324), 0, 1), 5, if(ISBLANK('2025'!$S324), 0, 1), 6, if(ISBLANK('2025'!$T324), 0, 1), 7, 0))), 1, "")</f>
        <v/>
      </c>
      <c r="AR326" s="1" t="str">
        <f>IF(AND(AND(AND(AR$4&gt;='2025'!$L324,AR$4&lt;='2025'!$M324), AR$4&lt;&gt;DATE(2025,7,4)), (SWITCH(weekday(AR$4), 1, 0, 2, if(ISBLANK('2025'!$P324), 0, 1), 3, if(ISBLANK('2025'!$Q324), 0, 1), 4, if(ISBLANK('2025'!$R324), 0, 1), 5, if(ISBLANK('2025'!$S324), 0, 1), 6, if(ISBLANK('2025'!$T324), 0, 1), 7, 0))), 1, "")</f>
        <v/>
      </c>
      <c r="AS326" s="1" t="str">
        <f>IF(AND(AND(AND(AS$4&gt;='2025'!$L324,AS$4&lt;='2025'!$M324), AS$4&lt;&gt;DATE(2025,7,4)), (SWITCH(weekday(AS$4), 1, 0, 2, if(ISBLANK('2025'!$P324), 0, 1), 3, if(ISBLANK('2025'!$Q324), 0, 1), 4, if(ISBLANK('2025'!$R324), 0, 1), 5, if(ISBLANK('2025'!$S324), 0, 1), 6, if(ISBLANK('2025'!$T324), 0, 1), 7, 0))), 1, "")</f>
        <v/>
      </c>
      <c r="AT326" s="1" t="str">
        <f>IF(AND(AND(AND(AT$4&gt;='2025'!$L324,AT$4&lt;='2025'!$M324), AT$4&lt;&gt;DATE(2025,7,4)), (SWITCH(weekday(AT$4), 1, 0, 2, if(ISBLANK('2025'!$P324), 0, 1), 3, if(ISBLANK('2025'!$Q324), 0, 1), 4, if(ISBLANK('2025'!$R324), 0, 1), 5, if(ISBLANK('2025'!$S324), 0, 1), 6, if(ISBLANK('2025'!$T324), 0, 1), 7, 0))), 1, "")</f>
        <v/>
      </c>
      <c r="AU326" s="1" t="str">
        <f>IF(AND(AND(AND(AU$4&gt;='2025'!$L324,AU$4&lt;='2025'!$M324), AU$4&lt;&gt;DATE(2025,7,4)), (SWITCH(weekday(AU$4), 1, 0, 2, if(ISBLANK('2025'!$P324), 0, 1), 3, if(ISBLANK('2025'!$Q324), 0, 1), 4, if(ISBLANK('2025'!$R324), 0, 1), 5, if(ISBLANK('2025'!$S324), 0, 1), 6, if(ISBLANK('2025'!$T324), 0, 1), 7, 0))), 1, "")</f>
        <v/>
      </c>
      <c r="AV326" s="1" t="str">
        <f>IF(AND(AND(AND(AV$4&gt;='2025'!$L324,AV$4&lt;='2025'!$M324), AV$4&lt;&gt;DATE(2025,7,4)), (SWITCH(weekday(AV$4), 1, 0, 2, if(ISBLANK('2025'!$P324), 0, 1), 3, if(ISBLANK('2025'!$Q324), 0, 1), 4, if(ISBLANK('2025'!$R324), 0, 1), 5, if(ISBLANK('2025'!$S324), 0, 1), 6, if(ISBLANK('2025'!$T324), 0, 1), 7, 0))), 1, "")</f>
        <v/>
      </c>
      <c r="AW326" s="1" t="str">
        <f>IF(AND(AND(AND(AW$4&gt;='2025'!$L324,AW$4&lt;='2025'!$M324), AW$4&lt;&gt;DATE(2025,7,4)), (SWITCH(weekday(AW$4), 1, 0, 2, if(ISBLANK('2025'!$P324), 0, 1), 3, if(ISBLANK('2025'!$Q324), 0, 1), 4, if(ISBLANK('2025'!$R324), 0, 1), 5, if(ISBLANK('2025'!$S324), 0, 1), 6, if(ISBLANK('2025'!$T324), 0, 1), 7, 0))), 1, "")</f>
        <v/>
      </c>
      <c r="AX326" s="1" t="str">
        <f>IF(AND(AND(AND(AX$4&gt;='2025'!$L324,AX$4&lt;='2025'!$M324), AX$4&lt;&gt;DATE(2025,7,4)), (SWITCH(weekday(AX$4), 1, 0, 2, if(ISBLANK('2025'!$P324), 0, 1), 3, if(ISBLANK('2025'!$Q324), 0, 1), 4, if(ISBLANK('2025'!$R324), 0, 1), 5, if(ISBLANK('2025'!$S324), 0, 1), 6, if(ISBLANK('2025'!$T324), 0, 1), 7, 0))), 1, "")</f>
        <v/>
      </c>
      <c r="AY326" s="1" t="str">
        <f>IF(AND(AND(AND(AY$4&gt;='2025'!$L324,AY$4&lt;='2025'!$M324), AY$4&lt;&gt;DATE(2025,7,4)), (SWITCH(weekday(AY$4), 1, 0, 2, if(ISBLANK('2025'!$P324), 0, 1), 3, if(ISBLANK('2025'!$Q324), 0, 1), 4, if(ISBLANK('2025'!$R324), 0, 1), 5, if(ISBLANK('2025'!$S324), 0, 1), 6, if(ISBLANK('2025'!$T324), 0, 1), 7, 0))), 1, "")</f>
        <v/>
      </c>
      <c r="AZ326" s="1" t="str">
        <f>IF(AND(AND(AND(AZ$4&gt;='2025'!$L324,AZ$4&lt;='2025'!$M324), AZ$4&lt;&gt;DATE(2025,7,4)), (SWITCH(weekday(AZ$4), 1, 0, 2, if(ISBLANK('2025'!$P324), 0, 1), 3, if(ISBLANK('2025'!$Q324), 0, 1), 4, if(ISBLANK('2025'!$R324), 0, 1), 5, if(ISBLANK('2025'!$S324), 0, 1), 6, if(ISBLANK('2025'!$T324), 0, 1), 7, 0))), 1, "")</f>
        <v/>
      </c>
      <c r="BA326" s="1" t="str">
        <f>IF(AND(AND(AND(BA$4&gt;='2025'!$L324,BA$4&lt;='2025'!$M324), BA$4&lt;&gt;DATE(2025,7,4)), (SWITCH(weekday(BA$4), 1, 0, 2, if(ISBLANK('2025'!$P324), 0, 1), 3, if(ISBLANK('2025'!$Q324), 0, 1), 4, if(ISBLANK('2025'!$R324), 0, 1), 5, if(ISBLANK('2025'!$S324), 0, 1), 6, if(ISBLANK('2025'!$T324), 0, 1), 7, 0))), 1, "")</f>
        <v/>
      </c>
      <c r="BB326" s="1" t="str">
        <f>IF(AND(AND(AND(BB$4&gt;='2025'!$L324,BB$4&lt;='2025'!$M324), BB$4&lt;&gt;DATE(2025,7,4)), (SWITCH(weekday(BB$4), 1, 0, 2, if(ISBLANK('2025'!$P324), 0, 1), 3, if(ISBLANK('2025'!$Q324), 0, 1), 4, if(ISBLANK('2025'!$R324), 0, 1), 5, if(ISBLANK('2025'!$S324), 0, 1), 6, if(ISBLANK('2025'!$T324), 0, 1), 7, 0))), 1, "")</f>
        <v/>
      </c>
      <c r="BC326" s="1" t="str">
        <f>IF(AND(AND(AND(BC$4&gt;='2025'!$L324,BC$4&lt;='2025'!$M324), BC$4&lt;&gt;DATE(2025,7,4)), (SWITCH(weekday(BC$4), 1, 0, 2, if(ISBLANK('2025'!$P324), 0, 1), 3, if(ISBLANK('2025'!$Q324), 0, 1), 4, if(ISBLANK('2025'!$R324), 0, 1), 5, if(ISBLANK('2025'!$S324), 0, 1), 6, if(ISBLANK('2025'!$T324), 0, 1), 7, 0))), 1, "")</f>
        <v/>
      </c>
      <c r="BD326" s="1" t="str">
        <f>IF(AND(AND(AND(BD$4&gt;='2025'!$L324,BD$4&lt;='2025'!$M324), BD$4&lt;&gt;DATE(2025,7,4)), (SWITCH(weekday(BD$4), 1, 0, 2, if(ISBLANK('2025'!$P324), 0, 1), 3, if(ISBLANK('2025'!$Q324), 0, 1), 4, if(ISBLANK('2025'!$R324), 0, 1), 5, if(ISBLANK('2025'!$S324), 0, 1), 6, if(ISBLANK('2025'!$T324), 0, 1), 7, 0))), 1, "")</f>
        <v/>
      </c>
      <c r="BE326" s="1" t="str">
        <f>IF(AND(AND(AND(BE$4&gt;='2025'!$L324,BE$4&lt;='2025'!$M324), BE$4&lt;&gt;DATE(2025,7,4)), (SWITCH(weekday(BE$4), 1, 0, 2, if(ISBLANK('2025'!$P324), 0, 1), 3, if(ISBLANK('2025'!$Q324), 0, 1), 4, if(ISBLANK('2025'!$R324), 0, 1), 5, if(ISBLANK('2025'!$S324), 0, 1), 6, if(ISBLANK('2025'!$T324), 0, 1), 7, 0))), 1, "")</f>
        <v/>
      </c>
      <c r="BF326" s="1" t="str">
        <f>IF(AND(AND(AND(BF$4&gt;='2025'!$L324,BF$4&lt;='2025'!$M324), BF$4&lt;&gt;DATE(2025,7,4)), (SWITCH(weekday(BF$4), 1, 0, 2, if(ISBLANK('2025'!$P324), 0, 1), 3, if(ISBLANK('2025'!$Q324), 0, 1), 4, if(ISBLANK('2025'!$R324), 0, 1), 5, if(ISBLANK('2025'!$S324), 0, 1), 6, if(ISBLANK('2025'!$T324), 0, 1), 7, 0))), 1, "")</f>
        <v/>
      </c>
      <c r="BG326" s="1"/>
      <c r="BH326" s="1"/>
      <c r="BI326" s="1"/>
      <c r="BJ326" s="1"/>
      <c r="BK326" s="1"/>
      <c r="BL326" s="1"/>
    </row>
    <row r="327">
      <c r="A327" s="1">
        <f t="shared" si="3"/>
        <v>327</v>
      </c>
      <c r="B327" s="1" t="str">
        <f>'2025'!D291</f>
        <v>, </v>
      </c>
      <c r="C327" s="1" t="str">
        <f>'2025'!H291</f>
        <v/>
      </c>
      <c r="D327" s="1" t="str">
        <f>IF(AND(AND(AND(D$4&gt;='2025'!$L325,D$4&lt;='2025'!$M325), D$4&lt;&gt;DATE(2025,7,4)), (SWITCH(weekday(D$4), 1, 0, 2, if(ISBLANK('2025'!$P325), 0, 1), 3, if(ISBLANK('2025'!$Q325), 0, 1), 4, if(ISBLANK('2025'!$R325), 0, 1), 5, if(ISBLANK('2025'!$S325), 0, 1), 6, if(ISBLANK('2025'!$T325), 0, 1), 7, 0))), 1, "")</f>
        <v/>
      </c>
      <c r="E327" s="1" t="str">
        <f>IF(AND(AND(AND(E$4&gt;='2025'!$L325,E$4&lt;='2025'!$M325), E$4&lt;&gt;DATE(2025,7,4)), (SWITCH(weekday(E$4), 1, 0, 2, if(ISBLANK('2025'!$P325), 0, 1), 3, if(ISBLANK('2025'!$Q325), 0, 1), 4, if(ISBLANK('2025'!$R325), 0, 1), 5, if(ISBLANK('2025'!$S325), 0, 1), 6, if(ISBLANK('2025'!$T325), 0, 1), 7, 0))), 1, "")</f>
        <v/>
      </c>
      <c r="F327" s="1" t="str">
        <f>IF(AND(AND(AND(F$4&gt;='2025'!$L325,F$4&lt;='2025'!$M325), F$4&lt;&gt;DATE(2025,7,4)), (SWITCH(weekday(F$4), 1, 0, 2, if(ISBLANK('2025'!$P325), 0, 1), 3, if(ISBLANK('2025'!$Q325), 0, 1), 4, if(ISBLANK('2025'!$R325), 0, 1), 5, if(ISBLANK('2025'!$S325), 0, 1), 6, if(ISBLANK('2025'!$T325), 0, 1), 7, 0))), 1, "")</f>
        <v/>
      </c>
      <c r="G327" s="1" t="str">
        <f>IF(AND(AND(AND(G$4&gt;='2025'!$L325,G$4&lt;='2025'!$M325), G$4&lt;&gt;DATE(2025,7,4)), (SWITCH(weekday(G$4), 1, 0, 2, if(ISBLANK('2025'!$P325), 0, 1), 3, if(ISBLANK('2025'!$Q325), 0, 1), 4, if(ISBLANK('2025'!$R325), 0, 1), 5, if(ISBLANK('2025'!$S325), 0, 1), 6, if(ISBLANK('2025'!$T325), 0, 1), 7, 0))), 1, "")</f>
        <v/>
      </c>
      <c r="H327" s="1" t="str">
        <f>IF(AND(AND(AND(H$4&gt;='2025'!$L325,H$4&lt;='2025'!$M325), H$4&lt;&gt;DATE(2025,7,4)), (SWITCH(weekday(H$4), 1, 0, 2, if(ISBLANK('2025'!$P325), 0, 1), 3, if(ISBLANK('2025'!$Q325), 0, 1), 4, if(ISBLANK('2025'!$R325), 0, 1), 5, if(ISBLANK('2025'!$S325), 0, 1), 6, if(ISBLANK('2025'!$T325), 0, 1), 7, 0))), 1, "")</f>
        <v/>
      </c>
      <c r="I327" s="1" t="str">
        <f>IF(AND(AND(AND(I$4&gt;='2025'!$L325,I$4&lt;='2025'!$M325), I$4&lt;&gt;DATE(2025,7,4)), (SWITCH(weekday(I$4), 1, 0, 2, if(ISBLANK('2025'!$P325), 0, 1), 3, if(ISBLANK('2025'!$Q325), 0, 1), 4, if(ISBLANK('2025'!$R325), 0, 1), 5, if(ISBLANK('2025'!$S325), 0, 1), 6, if(ISBLANK('2025'!$T325), 0, 1), 7, 0))), 1, "")</f>
        <v/>
      </c>
      <c r="J327" s="1" t="str">
        <f>IF(AND(AND(AND(J$4&gt;='2025'!$L325,J$4&lt;='2025'!$M325), J$4&lt;&gt;DATE(2025,7,4)), (SWITCH(weekday(J$4), 1, 0, 2, if(ISBLANK('2025'!$P325), 0, 1), 3, if(ISBLANK('2025'!$Q325), 0, 1), 4, if(ISBLANK('2025'!$R325), 0, 1), 5, if(ISBLANK('2025'!$S325), 0, 1), 6, if(ISBLANK('2025'!$T325), 0, 1), 7, 0))), 1, "")</f>
        <v/>
      </c>
      <c r="K327" s="1" t="str">
        <f>IF(AND(AND(AND(K$4&gt;='2025'!$L325,K$4&lt;='2025'!$M325), K$4&lt;&gt;DATE(2025,7,4)), (SWITCH(weekday(K$4), 1, 0, 2, if(ISBLANK('2025'!$P325), 0, 1), 3, if(ISBLANK('2025'!$Q325), 0, 1), 4, if(ISBLANK('2025'!$R325), 0, 1), 5, if(ISBLANK('2025'!$S325), 0, 1), 6, if(ISBLANK('2025'!$T325), 0, 1), 7, 0))), 1, "")</f>
        <v/>
      </c>
      <c r="L327" s="1" t="str">
        <f>IF(AND(AND(AND(L$4&gt;='2025'!$L325,L$4&lt;='2025'!$M325), L$4&lt;&gt;DATE(2025,7,4)), (SWITCH(weekday(L$4), 1, 0, 2, if(ISBLANK('2025'!$P325), 0, 1), 3, if(ISBLANK('2025'!$Q325), 0, 1), 4, if(ISBLANK('2025'!$R325), 0, 1), 5, if(ISBLANK('2025'!$S325), 0, 1), 6, if(ISBLANK('2025'!$T325), 0, 1), 7, 0))), 1, "")</f>
        <v/>
      </c>
      <c r="M327" s="1" t="str">
        <f>IF(AND(AND(AND(M$4&gt;='2025'!$L325,M$4&lt;='2025'!$M325), M$4&lt;&gt;DATE(2025,7,4)), (SWITCH(weekday(M$4), 1, 0, 2, if(ISBLANK('2025'!$P325), 0, 1), 3, if(ISBLANK('2025'!$Q325), 0, 1), 4, if(ISBLANK('2025'!$R325), 0, 1), 5, if(ISBLANK('2025'!$S325), 0, 1), 6, if(ISBLANK('2025'!$T325), 0, 1), 7, 0))), 1, "")</f>
        <v/>
      </c>
      <c r="N327" s="1" t="str">
        <f>IF(AND(AND(AND(N$4&gt;='2025'!$L325,N$4&lt;='2025'!$M325), N$4&lt;&gt;DATE(2025,7,4)), (SWITCH(weekday(N$4), 1, 0, 2, if(ISBLANK('2025'!$P325), 0, 1), 3, if(ISBLANK('2025'!$Q325), 0, 1), 4, if(ISBLANK('2025'!$R325), 0, 1), 5, if(ISBLANK('2025'!$S325), 0, 1), 6, if(ISBLANK('2025'!$T325), 0, 1), 7, 0))), 1, "")</f>
        <v/>
      </c>
      <c r="O327" s="1" t="str">
        <f>IF(AND(AND(AND(O$4&gt;='2025'!$L325,O$4&lt;='2025'!$M325), O$4&lt;&gt;DATE(2025,7,4)), (SWITCH(weekday(O$4), 1, 0, 2, if(ISBLANK('2025'!$P325), 0, 1), 3, if(ISBLANK('2025'!$Q325), 0, 1), 4, if(ISBLANK('2025'!$R325), 0, 1), 5, if(ISBLANK('2025'!$S325), 0, 1), 6, if(ISBLANK('2025'!$T325), 0, 1), 7, 0))), 1, "")</f>
        <v/>
      </c>
      <c r="P327" s="1" t="str">
        <f>IF(AND(AND(AND(P$4&gt;='2025'!$L325,P$4&lt;='2025'!$M325), P$4&lt;&gt;DATE(2025,7,4)), (SWITCH(weekday(P$4), 1, 0, 2, if(ISBLANK('2025'!$P325), 0, 1), 3, if(ISBLANK('2025'!$Q325), 0, 1), 4, if(ISBLANK('2025'!$R325), 0, 1), 5, if(ISBLANK('2025'!$S325), 0, 1), 6, if(ISBLANK('2025'!$T325), 0, 1), 7, 0))), 1, "")</f>
        <v/>
      </c>
      <c r="Q327" s="1" t="str">
        <f>IF(AND(AND(AND(Q$4&gt;='2025'!$L325,Q$4&lt;='2025'!$M325), Q$4&lt;&gt;DATE(2025,7,4)), (SWITCH(weekday(Q$4), 1, 0, 2, if(ISBLANK('2025'!$P325), 0, 1), 3, if(ISBLANK('2025'!$Q325), 0, 1), 4, if(ISBLANK('2025'!$R325), 0, 1), 5, if(ISBLANK('2025'!$S325), 0, 1), 6, if(ISBLANK('2025'!$T325), 0, 1), 7, 0))), 1, "")</f>
        <v/>
      </c>
      <c r="R327" s="1" t="str">
        <f>IF(AND(AND(AND(R$4&gt;='2025'!$L325,R$4&lt;='2025'!$M325), R$4&lt;&gt;DATE(2025,7,4)), (SWITCH(weekday(R$4), 1, 0, 2, if(ISBLANK('2025'!$P325), 0, 1), 3, if(ISBLANK('2025'!$Q325), 0, 1), 4, if(ISBLANK('2025'!$R325), 0, 1), 5, if(ISBLANK('2025'!$S325), 0, 1), 6, if(ISBLANK('2025'!$T325), 0, 1), 7, 0))), 1, "")</f>
        <v/>
      </c>
      <c r="S327" s="1" t="str">
        <f>IF(AND(AND(AND(S$4&gt;='2025'!$L325,S$4&lt;='2025'!$M325), S$4&lt;&gt;DATE(2025,7,4)), (SWITCH(weekday(S$4), 1, 0, 2, if(ISBLANK('2025'!$P325), 0, 1), 3, if(ISBLANK('2025'!$Q325), 0, 1), 4, if(ISBLANK('2025'!$R325), 0, 1), 5, if(ISBLANK('2025'!$S325), 0, 1), 6, if(ISBLANK('2025'!$T325), 0, 1), 7, 0))), 1, "")</f>
        <v/>
      </c>
      <c r="T327" s="1" t="str">
        <f>IF(AND(AND(AND(T$4&gt;='2025'!$L325,T$4&lt;='2025'!$M325), T$4&lt;&gt;DATE(2025,7,4)), (SWITCH(weekday(T$4), 1, 0, 2, if(ISBLANK('2025'!$P325), 0, 1), 3, if(ISBLANK('2025'!$Q325), 0, 1), 4, if(ISBLANK('2025'!$R325), 0, 1), 5, if(ISBLANK('2025'!$S325), 0, 1), 6, if(ISBLANK('2025'!$T325), 0, 1), 7, 0))), 1, "")</f>
        <v/>
      </c>
      <c r="U327" s="1" t="str">
        <f>IF(AND(AND(AND(U$4&gt;='2025'!$L325,U$4&lt;='2025'!$M325), U$4&lt;&gt;DATE(2025,7,4)), (SWITCH(weekday(U$4), 1, 0, 2, if(ISBLANK('2025'!$P325), 0, 1), 3, if(ISBLANK('2025'!$Q325), 0, 1), 4, if(ISBLANK('2025'!$R325), 0, 1), 5, if(ISBLANK('2025'!$S325), 0, 1), 6, if(ISBLANK('2025'!$T325), 0, 1), 7, 0))), 1, "")</f>
        <v/>
      </c>
      <c r="V327" s="1" t="str">
        <f>IF(AND(AND(AND(V$4&gt;='2025'!$L325,V$4&lt;='2025'!$M325), V$4&lt;&gt;DATE(2025,7,4)), (SWITCH(weekday(V$4), 1, 0, 2, if(ISBLANK('2025'!$P325), 0, 1), 3, if(ISBLANK('2025'!$Q325), 0, 1), 4, if(ISBLANK('2025'!$R325), 0, 1), 5, if(ISBLANK('2025'!$S325), 0, 1), 6, if(ISBLANK('2025'!$T325), 0, 1), 7, 0))), 1, "")</f>
        <v/>
      </c>
      <c r="W327" s="1" t="str">
        <f>IF(AND(AND(AND(W$4&gt;='2025'!$L325,W$4&lt;='2025'!$M325), W$4&lt;&gt;DATE(2025,7,4)), (SWITCH(weekday(W$4), 1, 0, 2, if(ISBLANK('2025'!$P325), 0, 1), 3, if(ISBLANK('2025'!$Q325), 0, 1), 4, if(ISBLANK('2025'!$R325), 0, 1), 5, if(ISBLANK('2025'!$S325), 0, 1), 6, if(ISBLANK('2025'!$T325), 0, 1), 7, 0))), 1, "")</f>
        <v/>
      </c>
      <c r="X327" s="1" t="str">
        <f>IF(AND(AND(AND(X$4&gt;='2025'!$L325,X$4&lt;='2025'!$M325), X$4&lt;&gt;DATE(2025,7,4)), (SWITCH(weekday(X$4), 1, 0, 2, if(ISBLANK('2025'!$P325), 0, 1), 3, if(ISBLANK('2025'!$Q325), 0, 1), 4, if(ISBLANK('2025'!$R325), 0, 1), 5, if(ISBLANK('2025'!$S325), 0, 1), 6, if(ISBLANK('2025'!$T325), 0, 1), 7, 0))), 1, "")</f>
        <v/>
      </c>
      <c r="Y327" s="1" t="str">
        <f>IF(AND(AND(AND(Y$4&gt;='2025'!$L325,Y$4&lt;='2025'!$M325), Y$4&lt;&gt;DATE(2025,7,4)), (SWITCH(weekday(Y$4), 1, 0, 2, if(ISBLANK('2025'!$P325), 0, 1), 3, if(ISBLANK('2025'!$Q325), 0, 1), 4, if(ISBLANK('2025'!$R325), 0, 1), 5, if(ISBLANK('2025'!$S325), 0, 1), 6, if(ISBLANK('2025'!$T325), 0, 1), 7, 0))), 1, "")</f>
        <v/>
      </c>
      <c r="Z327" s="1" t="str">
        <f>IF(AND(AND(AND(Z$4&gt;='2025'!$L325,Z$4&lt;='2025'!$M325), Z$4&lt;&gt;DATE(2025,7,4)), (SWITCH(weekday(Z$4), 1, 0, 2, if(ISBLANK('2025'!$P325), 0, 1), 3, if(ISBLANK('2025'!$Q325), 0, 1), 4, if(ISBLANK('2025'!$R325), 0, 1), 5, if(ISBLANK('2025'!$S325), 0, 1), 6, if(ISBLANK('2025'!$T325), 0, 1), 7, 0))), 1, "")</f>
        <v/>
      </c>
      <c r="AA327" s="1" t="str">
        <f>IF(AND(AND(AND(AA$4&gt;='2025'!$L325,AA$4&lt;='2025'!$M325), AA$4&lt;&gt;DATE(2025,7,4)), (SWITCH(weekday(AA$4), 1, 0, 2, if(ISBLANK('2025'!$P325), 0, 1), 3, if(ISBLANK('2025'!$Q325), 0, 1), 4, if(ISBLANK('2025'!$R325), 0, 1), 5, if(ISBLANK('2025'!$S325), 0, 1), 6, if(ISBLANK('2025'!$T325), 0, 1), 7, 0))), 1, "")</f>
        <v/>
      </c>
      <c r="AB327" s="1" t="str">
        <f>IF(AND(AND(AND(AB$4&gt;='2025'!$L325,AB$4&lt;='2025'!$M325), AB$4&lt;&gt;DATE(2025,7,4)), (SWITCH(weekday(AB$4), 1, 0, 2, if(ISBLANK('2025'!$P325), 0, 1), 3, if(ISBLANK('2025'!$Q325), 0, 1), 4, if(ISBLANK('2025'!$R325), 0, 1), 5, if(ISBLANK('2025'!$S325), 0, 1), 6, if(ISBLANK('2025'!$T325), 0, 1), 7, 0))), 1, "")</f>
        <v/>
      </c>
      <c r="AC327" s="1" t="str">
        <f>IF(AND(AND(AND(AC$4&gt;='2025'!$L325,AC$4&lt;='2025'!$M325), AC$4&lt;&gt;DATE(2025,7,4)), (SWITCH(weekday(AC$4), 1, 0, 2, if(ISBLANK('2025'!$P325), 0, 1), 3, if(ISBLANK('2025'!$Q325), 0, 1), 4, if(ISBLANK('2025'!$R325), 0, 1), 5, if(ISBLANK('2025'!$S325), 0, 1), 6, if(ISBLANK('2025'!$T325), 0, 1), 7, 0))), 1, "")</f>
        <v/>
      </c>
      <c r="AD327" s="1" t="str">
        <f>IF(AND(AND(AND(AD$4&gt;='2025'!$L325,AD$4&lt;='2025'!$M325), AD$4&lt;&gt;DATE(2025,7,4)), (SWITCH(weekday(AD$4), 1, 0, 2, if(ISBLANK('2025'!$P325), 0, 1), 3, if(ISBLANK('2025'!$Q325), 0, 1), 4, if(ISBLANK('2025'!$R325), 0, 1), 5, if(ISBLANK('2025'!$S325), 0, 1), 6, if(ISBLANK('2025'!$T325), 0, 1), 7, 0))), 1, "")</f>
        <v/>
      </c>
      <c r="AE327" s="1" t="str">
        <f>IF(AND(AND(AND(AE$4&gt;='2025'!$L325,AE$4&lt;='2025'!$M325), AE$4&lt;&gt;DATE(2025,7,4)), (SWITCH(weekday(AE$4), 1, 0, 2, if(ISBLANK('2025'!$P325), 0, 1), 3, if(ISBLANK('2025'!$Q325), 0, 1), 4, if(ISBLANK('2025'!$R325), 0, 1), 5, if(ISBLANK('2025'!$S325), 0, 1), 6, if(ISBLANK('2025'!$T325), 0, 1), 7, 0))), 1, "")</f>
        <v/>
      </c>
      <c r="AF327" s="1" t="str">
        <f>IF(AND(AND(AND(AF$4&gt;='2025'!$L325,AF$4&lt;='2025'!$M325), AF$4&lt;&gt;DATE(2025,7,4)), (SWITCH(weekday(AF$4), 1, 0, 2, if(ISBLANK('2025'!$P325), 0, 1), 3, if(ISBLANK('2025'!$Q325), 0, 1), 4, if(ISBLANK('2025'!$R325), 0, 1), 5, if(ISBLANK('2025'!$S325), 0, 1), 6, if(ISBLANK('2025'!$T325), 0, 1), 7, 0))), 1, "")</f>
        <v/>
      </c>
      <c r="AG327" s="1" t="str">
        <f>IF(AND(AND(AND(AG$4&gt;='2025'!$L325,AG$4&lt;='2025'!$M325), AG$4&lt;&gt;DATE(2025,7,4)), (SWITCH(weekday(AG$4), 1, 0, 2, if(ISBLANK('2025'!$P325), 0, 1), 3, if(ISBLANK('2025'!$Q325), 0, 1), 4, if(ISBLANK('2025'!$R325), 0, 1), 5, if(ISBLANK('2025'!$S325), 0, 1), 6, if(ISBLANK('2025'!$T325), 0, 1), 7, 0))), 1, "")</f>
        <v/>
      </c>
      <c r="AH327" s="1" t="str">
        <f>IF(AND(AND(AND(AH$4&gt;='2025'!$L325,AH$4&lt;='2025'!$M325), AH$4&lt;&gt;DATE(2025,7,4)), (SWITCH(weekday(AH$4), 1, 0, 2, if(ISBLANK('2025'!$P325), 0, 1), 3, if(ISBLANK('2025'!$Q325), 0, 1), 4, if(ISBLANK('2025'!$R325), 0, 1), 5, if(ISBLANK('2025'!$S325), 0, 1), 6, if(ISBLANK('2025'!$T325), 0, 1), 7, 0))), 1, "")</f>
        <v/>
      </c>
      <c r="AI327" s="1" t="str">
        <f>IF(AND(AND(AND(AI$4&gt;='2025'!$L325,AI$4&lt;='2025'!$M325), AI$4&lt;&gt;DATE(2025,7,4)), (SWITCH(weekday(AI$4), 1, 0, 2, if(ISBLANK('2025'!$P325), 0, 1), 3, if(ISBLANK('2025'!$Q325), 0, 1), 4, if(ISBLANK('2025'!$R325), 0, 1), 5, if(ISBLANK('2025'!$S325), 0, 1), 6, if(ISBLANK('2025'!$T325), 0, 1), 7, 0))), 1, "")</f>
        <v/>
      </c>
      <c r="AJ327" s="1" t="str">
        <f>IF(AND(AND(AND(AJ$4&gt;='2025'!$L325,AJ$4&lt;='2025'!$M325), AJ$4&lt;&gt;DATE(2025,7,4)), (SWITCH(weekday(AJ$4), 1, 0, 2, if(ISBLANK('2025'!$P325), 0, 1), 3, if(ISBLANK('2025'!$Q325), 0, 1), 4, if(ISBLANK('2025'!$R325), 0, 1), 5, if(ISBLANK('2025'!$S325), 0, 1), 6, if(ISBLANK('2025'!$T325), 0, 1), 7, 0))), 1, "")</f>
        <v/>
      </c>
      <c r="AK327" s="1" t="str">
        <f>IF(AND(AND(AND(AK$4&gt;='2025'!$L325,AK$4&lt;='2025'!$M325), AK$4&lt;&gt;DATE(2025,7,4)), (SWITCH(weekday(AK$4), 1, 0, 2, if(ISBLANK('2025'!$P325), 0, 1), 3, if(ISBLANK('2025'!$Q325), 0, 1), 4, if(ISBLANK('2025'!$R325), 0, 1), 5, if(ISBLANK('2025'!$S325), 0, 1), 6, if(ISBLANK('2025'!$T325), 0, 1), 7, 0))), 1, "")</f>
        <v/>
      </c>
      <c r="AL327" s="1" t="str">
        <f>IF(AND(AND(AND(AL$4&gt;='2025'!$L325,AL$4&lt;='2025'!$M325), AL$4&lt;&gt;DATE(2025,7,4)), (SWITCH(weekday(AL$4), 1, 0, 2, if(ISBLANK('2025'!$P325), 0, 1), 3, if(ISBLANK('2025'!$Q325), 0, 1), 4, if(ISBLANK('2025'!$R325), 0, 1), 5, if(ISBLANK('2025'!$S325), 0, 1), 6, if(ISBLANK('2025'!$T325), 0, 1), 7, 0))), 1, "")</f>
        <v/>
      </c>
      <c r="AM327" s="1" t="str">
        <f>IF(AND(AND(AND(AM$4&gt;='2025'!$L325,AM$4&lt;='2025'!$M325), AM$4&lt;&gt;DATE(2025,7,4)), (SWITCH(weekday(AM$4), 1, 0, 2, if(ISBLANK('2025'!$P325), 0, 1), 3, if(ISBLANK('2025'!$Q325), 0, 1), 4, if(ISBLANK('2025'!$R325), 0, 1), 5, if(ISBLANK('2025'!$S325), 0, 1), 6, if(ISBLANK('2025'!$T325), 0, 1), 7, 0))), 1, "")</f>
        <v/>
      </c>
      <c r="AN327" s="1" t="str">
        <f>IF(AND(AND(AND(AN$4&gt;='2025'!$L325,AN$4&lt;='2025'!$M325), AN$4&lt;&gt;DATE(2025,7,4)), (SWITCH(weekday(AN$4), 1, 0, 2, if(ISBLANK('2025'!$P325), 0, 1), 3, if(ISBLANK('2025'!$Q325), 0, 1), 4, if(ISBLANK('2025'!$R325), 0, 1), 5, if(ISBLANK('2025'!$S325), 0, 1), 6, if(ISBLANK('2025'!$T325), 0, 1), 7, 0))), 1, "")</f>
        <v/>
      </c>
      <c r="AO327" s="1" t="str">
        <f>IF(AND(AND(AND(AO$4&gt;='2025'!$L325,AO$4&lt;='2025'!$M325), AO$4&lt;&gt;DATE(2025,7,4)), (SWITCH(weekday(AO$4), 1, 0, 2, if(ISBLANK('2025'!$P325), 0, 1), 3, if(ISBLANK('2025'!$Q325), 0, 1), 4, if(ISBLANK('2025'!$R325), 0, 1), 5, if(ISBLANK('2025'!$S325), 0, 1), 6, if(ISBLANK('2025'!$T325), 0, 1), 7, 0))), 1, "")</f>
        <v/>
      </c>
      <c r="AP327" s="1" t="str">
        <f>IF(AND(AND(AND(AP$4&gt;='2025'!$L325,AP$4&lt;='2025'!$M325), AP$4&lt;&gt;DATE(2025,7,4)), (SWITCH(weekday(AP$4), 1, 0, 2, if(ISBLANK('2025'!$P325), 0, 1), 3, if(ISBLANK('2025'!$Q325), 0, 1), 4, if(ISBLANK('2025'!$R325), 0, 1), 5, if(ISBLANK('2025'!$S325), 0, 1), 6, if(ISBLANK('2025'!$T325), 0, 1), 7, 0))), 1, "")</f>
        <v/>
      </c>
      <c r="AQ327" s="1" t="str">
        <f>IF(AND(AND(AND(AQ$4&gt;='2025'!$L325,AQ$4&lt;='2025'!$M325), AQ$4&lt;&gt;DATE(2025,7,4)), (SWITCH(weekday(AQ$4), 1, 0, 2, if(ISBLANK('2025'!$P325), 0, 1), 3, if(ISBLANK('2025'!$Q325), 0, 1), 4, if(ISBLANK('2025'!$R325), 0, 1), 5, if(ISBLANK('2025'!$S325), 0, 1), 6, if(ISBLANK('2025'!$T325), 0, 1), 7, 0))), 1, "")</f>
        <v/>
      </c>
      <c r="AR327" s="1" t="str">
        <f>IF(AND(AND(AND(AR$4&gt;='2025'!$L325,AR$4&lt;='2025'!$M325), AR$4&lt;&gt;DATE(2025,7,4)), (SWITCH(weekday(AR$4), 1, 0, 2, if(ISBLANK('2025'!$P325), 0, 1), 3, if(ISBLANK('2025'!$Q325), 0, 1), 4, if(ISBLANK('2025'!$R325), 0, 1), 5, if(ISBLANK('2025'!$S325), 0, 1), 6, if(ISBLANK('2025'!$T325), 0, 1), 7, 0))), 1, "")</f>
        <v/>
      </c>
      <c r="AS327" s="1" t="str">
        <f>IF(AND(AND(AND(AS$4&gt;='2025'!$L325,AS$4&lt;='2025'!$M325), AS$4&lt;&gt;DATE(2025,7,4)), (SWITCH(weekday(AS$4), 1, 0, 2, if(ISBLANK('2025'!$P325), 0, 1), 3, if(ISBLANK('2025'!$Q325), 0, 1), 4, if(ISBLANK('2025'!$R325), 0, 1), 5, if(ISBLANK('2025'!$S325), 0, 1), 6, if(ISBLANK('2025'!$T325), 0, 1), 7, 0))), 1, "")</f>
        <v/>
      </c>
      <c r="AT327" s="1" t="str">
        <f>IF(AND(AND(AND(AT$4&gt;='2025'!$L325,AT$4&lt;='2025'!$M325), AT$4&lt;&gt;DATE(2025,7,4)), (SWITCH(weekday(AT$4), 1, 0, 2, if(ISBLANK('2025'!$P325), 0, 1), 3, if(ISBLANK('2025'!$Q325), 0, 1), 4, if(ISBLANK('2025'!$R325), 0, 1), 5, if(ISBLANK('2025'!$S325), 0, 1), 6, if(ISBLANK('2025'!$T325), 0, 1), 7, 0))), 1, "")</f>
        <v/>
      </c>
      <c r="AU327" s="1" t="str">
        <f>IF(AND(AND(AND(AU$4&gt;='2025'!$L325,AU$4&lt;='2025'!$M325), AU$4&lt;&gt;DATE(2025,7,4)), (SWITCH(weekday(AU$4), 1, 0, 2, if(ISBLANK('2025'!$P325), 0, 1), 3, if(ISBLANK('2025'!$Q325), 0, 1), 4, if(ISBLANK('2025'!$R325), 0, 1), 5, if(ISBLANK('2025'!$S325), 0, 1), 6, if(ISBLANK('2025'!$T325), 0, 1), 7, 0))), 1, "")</f>
        <v/>
      </c>
      <c r="AV327" s="1" t="str">
        <f>IF(AND(AND(AND(AV$4&gt;='2025'!$L325,AV$4&lt;='2025'!$M325), AV$4&lt;&gt;DATE(2025,7,4)), (SWITCH(weekday(AV$4), 1, 0, 2, if(ISBLANK('2025'!$P325), 0, 1), 3, if(ISBLANK('2025'!$Q325), 0, 1), 4, if(ISBLANK('2025'!$R325), 0, 1), 5, if(ISBLANK('2025'!$S325), 0, 1), 6, if(ISBLANK('2025'!$T325), 0, 1), 7, 0))), 1, "")</f>
        <v/>
      </c>
      <c r="AW327" s="1" t="str">
        <f>IF(AND(AND(AND(AW$4&gt;='2025'!$L325,AW$4&lt;='2025'!$M325), AW$4&lt;&gt;DATE(2025,7,4)), (SWITCH(weekday(AW$4), 1, 0, 2, if(ISBLANK('2025'!$P325), 0, 1), 3, if(ISBLANK('2025'!$Q325), 0, 1), 4, if(ISBLANK('2025'!$R325), 0, 1), 5, if(ISBLANK('2025'!$S325), 0, 1), 6, if(ISBLANK('2025'!$T325), 0, 1), 7, 0))), 1, "")</f>
        <v/>
      </c>
      <c r="AX327" s="1" t="str">
        <f>IF(AND(AND(AND(AX$4&gt;='2025'!$L325,AX$4&lt;='2025'!$M325), AX$4&lt;&gt;DATE(2025,7,4)), (SWITCH(weekday(AX$4), 1, 0, 2, if(ISBLANK('2025'!$P325), 0, 1), 3, if(ISBLANK('2025'!$Q325), 0, 1), 4, if(ISBLANK('2025'!$R325), 0, 1), 5, if(ISBLANK('2025'!$S325), 0, 1), 6, if(ISBLANK('2025'!$T325), 0, 1), 7, 0))), 1, "")</f>
        <v/>
      </c>
      <c r="AY327" s="1" t="str">
        <f>IF(AND(AND(AND(AY$4&gt;='2025'!$L325,AY$4&lt;='2025'!$M325), AY$4&lt;&gt;DATE(2025,7,4)), (SWITCH(weekday(AY$4), 1, 0, 2, if(ISBLANK('2025'!$P325), 0, 1), 3, if(ISBLANK('2025'!$Q325), 0, 1), 4, if(ISBLANK('2025'!$R325), 0, 1), 5, if(ISBLANK('2025'!$S325), 0, 1), 6, if(ISBLANK('2025'!$T325), 0, 1), 7, 0))), 1, "")</f>
        <v/>
      </c>
      <c r="AZ327" s="1" t="str">
        <f>IF(AND(AND(AND(AZ$4&gt;='2025'!$L325,AZ$4&lt;='2025'!$M325), AZ$4&lt;&gt;DATE(2025,7,4)), (SWITCH(weekday(AZ$4), 1, 0, 2, if(ISBLANK('2025'!$P325), 0, 1), 3, if(ISBLANK('2025'!$Q325), 0, 1), 4, if(ISBLANK('2025'!$R325), 0, 1), 5, if(ISBLANK('2025'!$S325), 0, 1), 6, if(ISBLANK('2025'!$T325), 0, 1), 7, 0))), 1, "")</f>
        <v/>
      </c>
      <c r="BA327" s="1" t="str">
        <f>IF(AND(AND(AND(BA$4&gt;='2025'!$L325,BA$4&lt;='2025'!$M325), BA$4&lt;&gt;DATE(2025,7,4)), (SWITCH(weekday(BA$4), 1, 0, 2, if(ISBLANK('2025'!$P325), 0, 1), 3, if(ISBLANK('2025'!$Q325), 0, 1), 4, if(ISBLANK('2025'!$R325), 0, 1), 5, if(ISBLANK('2025'!$S325), 0, 1), 6, if(ISBLANK('2025'!$T325), 0, 1), 7, 0))), 1, "")</f>
        <v/>
      </c>
      <c r="BB327" s="1" t="str">
        <f>IF(AND(AND(AND(BB$4&gt;='2025'!$L325,BB$4&lt;='2025'!$M325), BB$4&lt;&gt;DATE(2025,7,4)), (SWITCH(weekday(BB$4), 1, 0, 2, if(ISBLANK('2025'!$P325), 0, 1), 3, if(ISBLANK('2025'!$Q325), 0, 1), 4, if(ISBLANK('2025'!$R325), 0, 1), 5, if(ISBLANK('2025'!$S325), 0, 1), 6, if(ISBLANK('2025'!$T325), 0, 1), 7, 0))), 1, "")</f>
        <v/>
      </c>
      <c r="BC327" s="1" t="str">
        <f>IF(AND(AND(AND(BC$4&gt;='2025'!$L325,BC$4&lt;='2025'!$M325), BC$4&lt;&gt;DATE(2025,7,4)), (SWITCH(weekday(BC$4), 1, 0, 2, if(ISBLANK('2025'!$P325), 0, 1), 3, if(ISBLANK('2025'!$Q325), 0, 1), 4, if(ISBLANK('2025'!$R325), 0, 1), 5, if(ISBLANK('2025'!$S325), 0, 1), 6, if(ISBLANK('2025'!$T325), 0, 1), 7, 0))), 1, "")</f>
        <v/>
      </c>
      <c r="BD327" s="1" t="str">
        <f>IF(AND(AND(AND(BD$4&gt;='2025'!$L325,BD$4&lt;='2025'!$M325), BD$4&lt;&gt;DATE(2025,7,4)), (SWITCH(weekday(BD$4), 1, 0, 2, if(ISBLANK('2025'!$P325), 0, 1), 3, if(ISBLANK('2025'!$Q325), 0, 1), 4, if(ISBLANK('2025'!$R325), 0, 1), 5, if(ISBLANK('2025'!$S325), 0, 1), 6, if(ISBLANK('2025'!$T325), 0, 1), 7, 0))), 1, "")</f>
        <v/>
      </c>
      <c r="BE327" s="1" t="str">
        <f>IF(AND(AND(AND(BE$4&gt;='2025'!$L325,BE$4&lt;='2025'!$M325), BE$4&lt;&gt;DATE(2025,7,4)), (SWITCH(weekday(BE$4), 1, 0, 2, if(ISBLANK('2025'!$P325), 0, 1), 3, if(ISBLANK('2025'!$Q325), 0, 1), 4, if(ISBLANK('2025'!$R325), 0, 1), 5, if(ISBLANK('2025'!$S325), 0, 1), 6, if(ISBLANK('2025'!$T325), 0, 1), 7, 0))), 1, "")</f>
        <v/>
      </c>
      <c r="BF327" s="1" t="str">
        <f>IF(AND(AND(AND(BF$4&gt;='2025'!$L325,BF$4&lt;='2025'!$M325), BF$4&lt;&gt;DATE(2025,7,4)), (SWITCH(weekday(BF$4), 1, 0, 2, if(ISBLANK('2025'!$P325), 0, 1), 3, if(ISBLANK('2025'!$Q325), 0, 1), 4, if(ISBLANK('2025'!$R325), 0, 1), 5, if(ISBLANK('2025'!$S325), 0, 1), 6, if(ISBLANK('2025'!$T325), 0, 1), 7, 0))), 1, "")</f>
        <v/>
      </c>
      <c r="BG327" s="1"/>
      <c r="BH327" s="1"/>
      <c r="BI327" s="1"/>
      <c r="BJ327" s="1"/>
      <c r="BK327" s="1"/>
      <c r="BL327" s="1"/>
    </row>
    <row r="328">
      <c r="A328" s="1">
        <f t="shared" si="3"/>
        <v>328</v>
      </c>
      <c r="B328" s="1" t="str">
        <f>'2025'!D292</f>
        <v>, </v>
      </c>
      <c r="C328" s="1" t="str">
        <f>'2025'!H292</f>
        <v/>
      </c>
      <c r="D328" s="1" t="str">
        <f>IF(AND(AND(AND(D$4&gt;='2025'!$L326,D$4&lt;='2025'!$M326), D$4&lt;&gt;DATE(2025,7,4)), (SWITCH(weekday(D$4), 1, 0, 2, if(ISBLANK('2025'!$P326), 0, 1), 3, if(ISBLANK('2025'!$Q326), 0, 1), 4, if(ISBLANK('2025'!$R326), 0, 1), 5, if(ISBLANK('2025'!$S326), 0, 1), 6, if(ISBLANK('2025'!$T326), 0, 1), 7, 0))), 1, "")</f>
        <v/>
      </c>
      <c r="E328" s="1" t="str">
        <f>IF(AND(AND(AND(E$4&gt;='2025'!$L326,E$4&lt;='2025'!$M326), E$4&lt;&gt;DATE(2025,7,4)), (SWITCH(weekday(E$4), 1, 0, 2, if(ISBLANK('2025'!$P326), 0, 1), 3, if(ISBLANK('2025'!$Q326), 0, 1), 4, if(ISBLANK('2025'!$R326), 0, 1), 5, if(ISBLANK('2025'!$S326), 0, 1), 6, if(ISBLANK('2025'!$T326), 0, 1), 7, 0))), 1, "")</f>
        <v/>
      </c>
      <c r="F328" s="1" t="str">
        <f>IF(AND(AND(AND(F$4&gt;='2025'!$L326,F$4&lt;='2025'!$M326), F$4&lt;&gt;DATE(2025,7,4)), (SWITCH(weekday(F$4), 1, 0, 2, if(ISBLANK('2025'!$P326), 0, 1), 3, if(ISBLANK('2025'!$Q326), 0, 1), 4, if(ISBLANK('2025'!$R326), 0, 1), 5, if(ISBLANK('2025'!$S326), 0, 1), 6, if(ISBLANK('2025'!$T326), 0, 1), 7, 0))), 1, "")</f>
        <v/>
      </c>
      <c r="G328" s="1" t="str">
        <f>IF(AND(AND(AND(G$4&gt;='2025'!$L326,G$4&lt;='2025'!$M326), G$4&lt;&gt;DATE(2025,7,4)), (SWITCH(weekday(G$4), 1, 0, 2, if(ISBLANK('2025'!$P326), 0, 1), 3, if(ISBLANK('2025'!$Q326), 0, 1), 4, if(ISBLANK('2025'!$R326), 0, 1), 5, if(ISBLANK('2025'!$S326), 0, 1), 6, if(ISBLANK('2025'!$T326), 0, 1), 7, 0))), 1, "")</f>
        <v/>
      </c>
      <c r="H328" s="1" t="str">
        <f>IF(AND(AND(AND(H$4&gt;='2025'!$L326,H$4&lt;='2025'!$M326), H$4&lt;&gt;DATE(2025,7,4)), (SWITCH(weekday(H$4), 1, 0, 2, if(ISBLANK('2025'!$P326), 0, 1), 3, if(ISBLANK('2025'!$Q326), 0, 1), 4, if(ISBLANK('2025'!$R326), 0, 1), 5, if(ISBLANK('2025'!$S326), 0, 1), 6, if(ISBLANK('2025'!$T326), 0, 1), 7, 0))), 1, "")</f>
        <v/>
      </c>
      <c r="I328" s="1" t="str">
        <f>IF(AND(AND(AND(I$4&gt;='2025'!$L326,I$4&lt;='2025'!$M326), I$4&lt;&gt;DATE(2025,7,4)), (SWITCH(weekday(I$4), 1, 0, 2, if(ISBLANK('2025'!$P326), 0, 1), 3, if(ISBLANK('2025'!$Q326), 0, 1), 4, if(ISBLANK('2025'!$R326), 0, 1), 5, if(ISBLANK('2025'!$S326), 0, 1), 6, if(ISBLANK('2025'!$T326), 0, 1), 7, 0))), 1, "")</f>
        <v/>
      </c>
      <c r="J328" s="1" t="str">
        <f>IF(AND(AND(AND(J$4&gt;='2025'!$L326,J$4&lt;='2025'!$M326), J$4&lt;&gt;DATE(2025,7,4)), (SWITCH(weekday(J$4), 1, 0, 2, if(ISBLANK('2025'!$P326), 0, 1), 3, if(ISBLANK('2025'!$Q326), 0, 1), 4, if(ISBLANK('2025'!$R326), 0, 1), 5, if(ISBLANK('2025'!$S326), 0, 1), 6, if(ISBLANK('2025'!$T326), 0, 1), 7, 0))), 1, "")</f>
        <v/>
      </c>
      <c r="K328" s="1" t="str">
        <f>IF(AND(AND(AND(K$4&gt;='2025'!$L326,K$4&lt;='2025'!$M326), K$4&lt;&gt;DATE(2025,7,4)), (SWITCH(weekday(K$4), 1, 0, 2, if(ISBLANK('2025'!$P326), 0, 1), 3, if(ISBLANK('2025'!$Q326), 0, 1), 4, if(ISBLANK('2025'!$R326), 0, 1), 5, if(ISBLANK('2025'!$S326), 0, 1), 6, if(ISBLANK('2025'!$T326), 0, 1), 7, 0))), 1, "")</f>
        <v/>
      </c>
      <c r="L328" s="1" t="str">
        <f>IF(AND(AND(AND(L$4&gt;='2025'!$L326,L$4&lt;='2025'!$M326), L$4&lt;&gt;DATE(2025,7,4)), (SWITCH(weekday(L$4), 1, 0, 2, if(ISBLANK('2025'!$P326), 0, 1), 3, if(ISBLANK('2025'!$Q326), 0, 1), 4, if(ISBLANK('2025'!$R326), 0, 1), 5, if(ISBLANK('2025'!$S326), 0, 1), 6, if(ISBLANK('2025'!$T326), 0, 1), 7, 0))), 1, "")</f>
        <v/>
      </c>
      <c r="M328" s="1" t="str">
        <f>IF(AND(AND(AND(M$4&gt;='2025'!$L326,M$4&lt;='2025'!$M326), M$4&lt;&gt;DATE(2025,7,4)), (SWITCH(weekday(M$4), 1, 0, 2, if(ISBLANK('2025'!$P326), 0, 1), 3, if(ISBLANK('2025'!$Q326), 0, 1), 4, if(ISBLANK('2025'!$R326), 0, 1), 5, if(ISBLANK('2025'!$S326), 0, 1), 6, if(ISBLANK('2025'!$T326), 0, 1), 7, 0))), 1, "")</f>
        <v/>
      </c>
      <c r="N328" s="1" t="str">
        <f>IF(AND(AND(AND(N$4&gt;='2025'!$L326,N$4&lt;='2025'!$M326), N$4&lt;&gt;DATE(2025,7,4)), (SWITCH(weekday(N$4), 1, 0, 2, if(ISBLANK('2025'!$P326), 0, 1), 3, if(ISBLANK('2025'!$Q326), 0, 1), 4, if(ISBLANK('2025'!$R326), 0, 1), 5, if(ISBLANK('2025'!$S326), 0, 1), 6, if(ISBLANK('2025'!$T326), 0, 1), 7, 0))), 1, "")</f>
        <v/>
      </c>
      <c r="O328" s="1" t="str">
        <f>IF(AND(AND(AND(O$4&gt;='2025'!$L326,O$4&lt;='2025'!$M326), O$4&lt;&gt;DATE(2025,7,4)), (SWITCH(weekday(O$4), 1, 0, 2, if(ISBLANK('2025'!$P326), 0, 1), 3, if(ISBLANK('2025'!$Q326), 0, 1), 4, if(ISBLANK('2025'!$R326), 0, 1), 5, if(ISBLANK('2025'!$S326), 0, 1), 6, if(ISBLANK('2025'!$T326), 0, 1), 7, 0))), 1, "")</f>
        <v/>
      </c>
      <c r="P328" s="1" t="str">
        <f>IF(AND(AND(AND(P$4&gt;='2025'!$L326,P$4&lt;='2025'!$M326), P$4&lt;&gt;DATE(2025,7,4)), (SWITCH(weekday(P$4), 1, 0, 2, if(ISBLANK('2025'!$P326), 0, 1), 3, if(ISBLANK('2025'!$Q326), 0, 1), 4, if(ISBLANK('2025'!$R326), 0, 1), 5, if(ISBLANK('2025'!$S326), 0, 1), 6, if(ISBLANK('2025'!$T326), 0, 1), 7, 0))), 1, "")</f>
        <v/>
      </c>
      <c r="Q328" s="1" t="str">
        <f>IF(AND(AND(AND(Q$4&gt;='2025'!$L326,Q$4&lt;='2025'!$M326), Q$4&lt;&gt;DATE(2025,7,4)), (SWITCH(weekday(Q$4), 1, 0, 2, if(ISBLANK('2025'!$P326), 0, 1), 3, if(ISBLANK('2025'!$Q326), 0, 1), 4, if(ISBLANK('2025'!$R326), 0, 1), 5, if(ISBLANK('2025'!$S326), 0, 1), 6, if(ISBLANK('2025'!$T326), 0, 1), 7, 0))), 1, "")</f>
        <v/>
      </c>
      <c r="R328" s="1" t="str">
        <f>IF(AND(AND(AND(R$4&gt;='2025'!$L326,R$4&lt;='2025'!$M326), R$4&lt;&gt;DATE(2025,7,4)), (SWITCH(weekday(R$4), 1, 0, 2, if(ISBLANK('2025'!$P326), 0, 1), 3, if(ISBLANK('2025'!$Q326), 0, 1), 4, if(ISBLANK('2025'!$R326), 0, 1), 5, if(ISBLANK('2025'!$S326), 0, 1), 6, if(ISBLANK('2025'!$T326), 0, 1), 7, 0))), 1, "")</f>
        <v/>
      </c>
      <c r="S328" s="1" t="str">
        <f>IF(AND(AND(AND(S$4&gt;='2025'!$L326,S$4&lt;='2025'!$M326), S$4&lt;&gt;DATE(2025,7,4)), (SWITCH(weekday(S$4), 1, 0, 2, if(ISBLANK('2025'!$P326), 0, 1), 3, if(ISBLANK('2025'!$Q326), 0, 1), 4, if(ISBLANK('2025'!$R326), 0, 1), 5, if(ISBLANK('2025'!$S326), 0, 1), 6, if(ISBLANK('2025'!$T326), 0, 1), 7, 0))), 1, "")</f>
        <v/>
      </c>
      <c r="T328" s="1" t="str">
        <f>IF(AND(AND(AND(T$4&gt;='2025'!$L326,T$4&lt;='2025'!$M326), T$4&lt;&gt;DATE(2025,7,4)), (SWITCH(weekday(T$4), 1, 0, 2, if(ISBLANK('2025'!$P326), 0, 1), 3, if(ISBLANK('2025'!$Q326), 0, 1), 4, if(ISBLANK('2025'!$R326), 0, 1), 5, if(ISBLANK('2025'!$S326), 0, 1), 6, if(ISBLANK('2025'!$T326), 0, 1), 7, 0))), 1, "")</f>
        <v/>
      </c>
      <c r="U328" s="1" t="str">
        <f>IF(AND(AND(AND(U$4&gt;='2025'!$L326,U$4&lt;='2025'!$M326), U$4&lt;&gt;DATE(2025,7,4)), (SWITCH(weekday(U$4), 1, 0, 2, if(ISBLANK('2025'!$P326), 0, 1), 3, if(ISBLANK('2025'!$Q326), 0, 1), 4, if(ISBLANK('2025'!$R326), 0, 1), 5, if(ISBLANK('2025'!$S326), 0, 1), 6, if(ISBLANK('2025'!$T326), 0, 1), 7, 0))), 1, "")</f>
        <v/>
      </c>
      <c r="V328" s="1" t="str">
        <f>IF(AND(AND(AND(V$4&gt;='2025'!$L326,V$4&lt;='2025'!$M326), V$4&lt;&gt;DATE(2025,7,4)), (SWITCH(weekday(V$4), 1, 0, 2, if(ISBLANK('2025'!$P326), 0, 1), 3, if(ISBLANK('2025'!$Q326), 0, 1), 4, if(ISBLANK('2025'!$R326), 0, 1), 5, if(ISBLANK('2025'!$S326), 0, 1), 6, if(ISBLANK('2025'!$T326), 0, 1), 7, 0))), 1, "")</f>
        <v/>
      </c>
      <c r="W328" s="1" t="str">
        <f>IF(AND(AND(AND(W$4&gt;='2025'!$L326,W$4&lt;='2025'!$M326), W$4&lt;&gt;DATE(2025,7,4)), (SWITCH(weekday(W$4), 1, 0, 2, if(ISBLANK('2025'!$P326), 0, 1), 3, if(ISBLANK('2025'!$Q326), 0, 1), 4, if(ISBLANK('2025'!$R326), 0, 1), 5, if(ISBLANK('2025'!$S326), 0, 1), 6, if(ISBLANK('2025'!$T326), 0, 1), 7, 0))), 1, "")</f>
        <v/>
      </c>
      <c r="X328" s="1" t="str">
        <f>IF(AND(AND(AND(X$4&gt;='2025'!$L326,X$4&lt;='2025'!$M326), X$4&lt;&gt;DATE(2025,7,4)), (SWITCH(weekday(X$4), 1, 0, 2, if(ISBLANK('2025'!$P326), 0, 1), 3, if(ISBLANK('2025'!$Q326), 0, 1), 4, if(ISBLANK('2025'!$R326), 0, 1), 5, if(ISBLANK('2025'!$S326), 0, 1), 6, if(ISBLANK('2025'!$T326), 0, 1), 7, 0))), 1, "")</f>
        <v/>
      </c>
      <c r="Y328" s="1" t="str">
        <f>IF(AND(AND(AND(Y$4&gt;='2025'!$L326,Y$4&lt;='2025'!$M326), Y$4&lt;&gt;DATE(2025,7,4)), (SWITCH(weekday(Y$4), 1, 0, 2, if(ISBLANK('2025'!$P326), 0, 1), 3, if(ISBLANK('2025'!$Q326), 0, 1), 4, if(ISBLANK('2025'!$R326), 0, 1), 5, if(ISBLANK('2025'!$S326), 0, 1), 6, if(ISBLANK('2025'!$T326), 0, 1), 7, 0))), 1, "")</f>
        <v/>
      </c>
      <c r="Z328" s="1" t="str">
        <f>IF(AND(AND(AND(Z$4&gt;='2025'!$L326,Z$4&lt;='2025'!$M326), Z$4&lt;&gt;DATE(2025,7,4)), (SWITCH(weekday(Z$4), 1, 0, 2, if(ISBLANK('2025'!$P326), 0, 1), 3, if(ISBLANK('2025'!$Q326), 0, 1), 4, if(ISBLANK('2025'!$R326), 0, 1), 5, if(ISBLANK('2025'!$S326), 0, 1), 6, if(ISBLANK('2025'!$T326), 0, 1), 7, 0))), 1, "")</f>
        <v/>
      </c>
      <c r="AA328" s="1" t="str">
        <f>IF(AND(AND(AND(AA$4&gt;='2025'!$L326,AA$4&lt;='2025'!$M326), AA$4&lt;&gt;DATE(2025,7,4)), (SWITCH(weekday(AA$4), 1, 0, 2, if(ISBLANK('2025'!$P326), 0, 1), 3, if(ISBLANK('2025'!$Q326), 0, 1), 4, if(ISBLANK('2025'!$R326), 0, 1), 5, if(ISBLANK('2025'!$S326), 0, 1), 6, if(ISBLANK('2025'!$T326), 0, 1), 7, 0))), 1, "")</f>
        <v/>
      </c>
      <c r="AB328" s="1" t="str">
        <f>IF(AND(AND(AND(AB$4&gt;='2025'!$L326,AB$4&lt;='2025'!$M326), AB$4&lt;&gt;DATE(2025,7,4)), (SWITCH(weekday(AB$4), 1, 0, 2, if(ISBLANK('2025'!$P326), 0, 1), 3, if(ISBLANK('2025'!$Q326), 0, 1), 4, if(ISBLANK('2025'!$R326), 0, 1), 5, if(ISBLANK('2025'!$S326), 0, 1), 6, if(ISBLANK('2025'!$T326), 0, 1), 7, 0))), 1, "")</f>
        <v/>
      </c>
      <c r="AC328" s="1" t="str">
        <f>IF(AND(AND(AND(AC$4&gt;='2025'!$L326,AC$4&lt;='2025'!$M326), AC$4&lt;&gt;DATE(2025,7,4)), (SWITCH(weekday(AC$4), 1, 0, 2, if(ISBLANK('2025'!$P326), 0, 1), 3, if(ISBLANK('2025'!$Q326), 0, 1), 4, if(ISBLANK('2025'!$R326), 0, 1), 5, if(ISBLANK('2025'!$S326), 0, 1), 6, if(ISBLANK('2025'!$T326), 0, 1), 7, 0))), 1, "")</f>
        <v/>
      </c>
      <c r="AD328" s="1" t="str">
        <f>IF(AND(AND(AND(AD$4&gt;='2025'!$L326,AD$4&lt;='2025'!$M326), AD$4&lt;&gt;DATE(2025,7,4)), (SWITCH(weekday(AD$4), 1, 0, 2, if(ISBLANK('2025'!$P326), 0, 1), 3, if(ISBLANK('2025'!$Q326), 0, 1), 4, if(ISBLANK('2025'!$R326), 0, 1), 5, if(ISBLANK('2025'!$S326), 0, 1), 6, if(ISBLANK('2025'!$T326), 0, 1), 7, 0))), 1, "")</f>
        <v/>
      </c>
      <c r="AE328" s="1" t="str">
        <f>IF(AND(AND(AND(AE$4&gt;='2025'!$L326,AE$4&lt;='2025'!$M326), AE$4&lt;&gt;DATE(2025,7,4)), (SWITCH(weekday(AE$4), 1, 0, 2, if(ISBLANK('2025'!$P326), 0, 1), 3, if(ISBLANK('2025'!$Q326), 0, 1), 4, if(ISBLANK('2025'!$R326), 0, 1), 5, if(ISBLANK('2025'!$S326), 0, 1), 6, if(ISBLANK('2025'!$T326), 0, 1), 7, 0))), 1, "")</f>
        <v/>
      </c>
      <c r="AF328" s="1" t="str">
        <f>IF(AND(AND(AND(AF$4&gt;='2025'!$L326,AF$4&lt;='2025'!$M326), AF$4&lt;&gt;DATE(2025,7,4)), (SWITCH(weekday(AF$4), 1, 0, 2, if(ISBLANK('2025'!$P326), 0, 1), 3, if(ISBLANK('2025'!$Q326), 0, 1), 4, if(ISBLANK('2025'!$R326), 0, 1), 5, if(ISBLANK('2025'!$S326), 0, 1), 6, if(ISBLANK('2025'!$T326), 0, 1), 7, 0))), 1, "")</f>
        <v/>
      </c>
      <c r="AG328" s="1" t="str">
        <f>IF(AND(AND(AND(AG$4&gt;='2025'!$L326,AG$4&lt;='2025'!$M326), AG$4&lt;&gt;DATE(2025,7,4)), (SWITCH(weekday(AG$4), 1, 0, 2, if(ISBLANK('2025'!$P326), 0, 1), 3, if(ISBLANK('2025'!$Q326), 0, 1), 4, if(ISBLANK('2025'!$R326), 0, 1), 5, if(ISBLANK('2025'!$S326), 0, 1), 6, if(ISBLANK('2025'!$T326), 0, 1), 7, 0))), 1, "")</f>
        <v/>
      </c>
      <c r="AH328" s="1" t="str">
        <f>IF(AND(AND(AND(AH$4&gt;='2025'!$L326,AH$4&lt;='2025'!$M326), AH$4&lt;&gt;DATE(2025,7,4)), (SWITCH(weekday(AH$4), 1, 0, 2, if(ISBLANK('2025'!$P326), 0, 1), 3, if(ISBLANK('2025'!$Q326), 0, 1), 4, if(ISBLANK('2025'!$R326), 0, 1), 5, if(ISBLANK('2025'!$S326), 0, 1), 6, if(ISBLANK('2025'!$T326), 0, 1), 7, 0))), 1, "")</f>
        <v/>
      </c>
      <c r="AI328" s="1" t="str">
        <f>IF(AND(AND(AND(AI$4&gt;='2025'!$L326,AI$4&lt;='2025'!$M326), AI$4&lt;&gt;DATE(2025,7,4)), (SWITCH(weekday(AI$4), 1, 0, 2, if(ISBLANK('2025'!$P326), 0, 1), 3, if(ISBLANK('2025'!$Q326), 0, 1), 4, if(ISBLANK('2025'!$R326), 0, 1), 5, if(ISBLANK('2025'!$S326), 0, 1), 6, if(ISBLANK('2025'!$T326), 0, 1), 7, 0))), 1, "")</f>
        <v/>
      </c>
      <c r="AJ328" s="1" t="str">
        <f>IF(AND(AND(AND(AJ$4&gt;='2025'!$L326,AJ$4&lt;='2025'!$M326), AJ$4&lt;&gt;DATE(2025,7,4)), (SWITCH(weekday(AJ$4), 1, 0, 2, if(ISBLANK('2025'!$P326), 0, 1), 3, if(ISBLANK('2025'!$Q326), 0, 1), 4, if(ISBLANK('2025'!$R326), 0, 1), 5, if(ISBLANK('2025'!$S326), 0, 1), 6, if(ISBLANK('2025'!$T326), 0, 1), 7, 0))), 1, "")</f>
        <v/>
      </c>
      <c r="AK328" s="1" t="str">
        <f>IF(AND(AND(AND(AK$4&gt;='2025'!$L326,AK$4&lt;='2025'!$M326), AK$4&lt;&gt;DATE(2025,7,4)), (SWITCH(weekday(AK$4), 1, 0, 2, if(ISBLANK('2025'!$P326), 0, 1), 3, if(ISBLANK('2025'!$Q326), 0, 1), 4, if(ISBLANK('2025'!$R326), 0, 1), 5, if(ISBLANK('2025'!$S326), 0, 1), 6, if(ISBLANK('2025'!$T326), 0, 1), 7, 0))), 1, "")</f>
        <v/>
      </c>
      <c r="AL328" s="1" t="str">
        <f>IF(AND(AND(AND(AL$4&gt;='2025'!$L326,AL$4&lt;='2025'!$M326), AL$4&lt;&gt;DATE(2025,7,4)), (SWITCH(weekday(AL$4), 1, 0, 2, if(ISBLANK('2025'!$P326), 0, 1), 3, if(ISBLANK('2025'!$Q326), 0, 1), 4, if(ISBLANK('2025'!$R326), 0, 1), 5, if(ISBLANK('2025'!$S326), 0, 1), 6, if(ISBLANK('2025'!$T326), 0, 1), 7, 0))), 1, "")</f>
        <v/>
      </c>
      <c r="AM328" s="1" t="str">
        <f>IF(AND(AND(AND(AM$4&gt;='2025'!$L326,AM$4&lt;='2025'!$M326), AM$4&lt;&gt;DATE(2025,7,4)), (SWITCH(weekday(AM$4), 1, 0, 2, if(ISBLANK('2025'!$P326), 0, 1), 3, if(ISBLANK('2025'!$Q326), 0, 1), 4, if(ISBLANK('2025'!$R326), 0, 1), 5, if(ISBLANK('2025'!$S326), 0, 1), 6, if(ISBLANK('2025'!$T326), 0, 1), 7, 0))), 1, "")</f>
        <v/>
      </c>
      <c r="AN328" s="1" t="str">
        <f>IF(AND(AND(AND(AN$4&gt;='2025'!$L326,AN$4&lt;='2025'!$M326), AN$4&lt;&gt;DATE(2025,7,4)), (SWITCH(weekday(AN$4), 1, 0, 2, if(ISBLANK('2025'!$P326), 0, 1), 3, if(ISBLANK('2025'!$Q326), 0, 1), 4, if(ISBLANK('2025'!$R326), 0, 1), 5, if(ISBLANK('2025'!$S326), 0, 1), 6, if(ISBLANK('2025'!$T326), 0, 1), 7, 0))), 1, "")</f>
        <v/>
      </c>
      <c r="AO328" s="1" t="str">
        <f>IF(AND(AND(AND(AO$4&gt;='2025'!$L326,AO$4&lt;='2025'!$M326), AO$4&lt;&gt;DATE(2025,7,4)), (SWITCH(weekday(AO$4), 1, 0, 2, if(ISBLANK('2025'!$P326), 0, 1), 3, if(ISBLANK('2025'!$Q326), 0, 1), 4, if(ISBLANK('2025'!$R326), 0, 1), 5, if(ISBLANK('2025'!$S326), 0, 1), 6, if(ISBLANK('2025'!$T326), 0, 1), 7, 0))), 1, "")</f>
        <v/>
      </c>
      <c r="AP328" s="1" t="str">
        <f>IF(AND(AND(AND(AP$4&gt;='2025'!$L326,AP$4&lt;='2025'!$M326), AP$4&lt;&gt;DATE(2025,7,4)), (SWITCH(weekday(AP$4), 1, 0, 2, if(ISBLANK('2025'!$P326), 0, 1), 3, if(ISBLANK('2025'!$Q326), 0, 1), 4, if(ISBLANK('2025'!$R326), 0, 1), 5, if(ISBLANK('2025'!$S326), 0, 1), 6, if(ISBLANK('2025'!$T326), 0, 1), 7, 0))), 1, "")</f>
        <v/>
      </c>
      <c r="AQ328" s="1" t="str">
        <f>IF(AND(AND(AND(AQ$4&gt;='2025'!$L326,AQ$4&lt;='2025'!$M326), AQ$4&lt;&gt;DATE(2025,7,4)), (SWITCH(weekday(AQ$4), 1, 0, 2, if(ISBLANK('2025'!$P326), 0, 1), 3, if(ISBLANK('2025'!$Q326), 0, 1), 4, if(ISBLANK('2025'!$R326), 0, 1), 5, if(ISBLANK('2025'!$S326), 0, 1), 6, if(ISBLANK('2025'!$T326), 0, 1), 7, 0))), 1, "")</f>
        <v/>
      </c>
      <c r="AR328" s="1" t="str">
        <f>IF(AND(AND(AND(AR$4&gt;='2025'!$L326,AR$4&lt;='2025'!$M326), AR$4&lt;&gt;DATE(2025,7,4)), (SWITCH(weekday(AR$4), 1, 0, 2, if(ISBLANK('2025'!$P326), 0, 1), 3, if(ISBLANK('2025'!$Q326), 0, 1), 4, if(ISBLANK('2025'!$R326), 0, 1), 5, if(ISBLANK('2025'!$S326), 0, 1), 6, if(ISBLANK('2025'!$T326), 0, 1), 7, 0))), 1, "")</f>
        <v/>
      </c>
      <c r="AS328" s="1" t="str">
        <f>IF(AND(AND(AND(AS$4&gt;='2025'!$L326,AS$4&lt;='2025'!$M326), AS$4&lt;&gt;DATE(2025,7,4)), (SWITCH(weekday(AS$4), 1, 0, 2, if(ISBLANK('2025'!$P326), 0, 1), 3, if(ISBLANK('2025'!$Q326), 0, 1), 4, if(ISBLANK('2025'!$R326), 0, 1), 5, if(ISBLANK('2025'!$S326), 0, 1), 6, if(ISBLANK('2025'!$T326), 0, 1), 7, 0))), 1, "")</f>
        <v/>
      </c>
      <c r="AT328" s="1" t="str">
        <f>IF(AND(AND(AND(AT$4&gt;='2025'!$L326,AT$4&lt;='2025'!$M326), AT$4&lt;&gt;DATE(2025,7,4)), (SWITCH(weekday(AT$4), 1, 0, 2, if(ISBLANK('2025'!$P326), 0, 1), 3, if(ISBLANK('2025'!$Q326), 0, 1), 4, if(ISBLANK('2025'!$R326), 0, 1), 5, if(ISBLANK('2025'!$S326), 0, 1), 6, if(ISBLANK('2025'!$T326), 0, 1), 7, 0))), 1, "")</f>
        <v/>
      </c>
      <c r="AU328" s="1" t="str">
        <f>IF(AND(AND(AND(AU$4&gt;='2025'!$L326,AU$4&lt;='2025'!$M326), AU$4&lt;&gt;DATE(2025,7,4)), (SWITCH(weekday(AU$4), 1, 0, 2, if(ISBLANK('2025'!$P326), 0, 1), 3, if(ISBLANK('2025'!$Q326), 0, 1), 4, if(ISBLANK('2025'!$R326), 0, 1), 5, if(ISBLANK('2025'!$S326), 0, 1), 6, if(ISBLANK('2025'!$T326), 0, 1), 7, 0))), 1, "")</f>
        <v/>
      </c>
      <c r="AV328" s="1" t="str">
        <f>IF(AND(AND(AND(AV$4&gt;='2025'!$L326,AV$4&lt;='2025'!$M326), AV$4&lt;&gt;DATE(2025,7,4)), (SWITCH(weekday(AV$4), 1, 0, 2, if(ISBLANK('2025'!$P326), 0, 1), 3, if(ISBLANK('2025'!$Q326), 0, 1), 4, if(ISBLANK('2025'!$R326), 0, 1), 5, if(ISBLANK('2025'!$S326), 0, 1), 6, if(ISBLANK('2025'!$T326), 0, 1), 7, 0))), 1, "")</f>
        <v/>
      </c>
      <c r="AW328" s="1" t="str">
        <f>IF(AND(AND(AND(AW$4&gt;='2025'!$L326,AW$4&lt;='2025'!$M326), AW$4&lt;&gt;DATE(2025,7,4)), (SWITCH(weekday(AW$4), 1, 0, 2, if(ISBLANK('2025'!$P326), 0, 1), 3, if(ISBLANK('2025'!$Q326), 0, 1), 4, if(ISBLANK('2025'!$R326), 0, 1), 5, if(ISBLANK('2025'!$S326), 0, 1), 6, if(ISBLANK('2025'!$T326), 0, 1), 7, 0))), 1, "")</f>
        <v/>
      </c>
      <c r="AX328" s="1" t="str">
        <f>IF(AND(AND(AND(AX$4&gt;='2025'!$L326,AX$4&lt;='2025'!$M326), AX$4&lt;&gt;DATE(2025,7,4)), (SWITCH(weekday(AX$4), 1, 0, 2, if(ISBLANK('2025'!$P326), 0, 1), 3, if(ISBLANK('2025'!$Q326), 0, 1), 4, if(ISBLANK('2025'!$R326), 0, 1), 5, if(ISBLANK('2025'!$S326), 0, 1), 6, if(ISBLANK('2025'!$T326), 0, 1), 7, 0))), 1, "")</f>
        <v/>
      </c>
      <c r="AY328" s="1" t="str">
        <f>IF(AND(AND(AND(AY$4&gt;='2025'!$L326,AY$4&lt;='2025'!$M326), AY$4&lt;&gt;DATE(2025,7,4)), (SWITCH(weekday(AY$4), 1, 0, 2, if(ISBLANK('2025'!$P326), 0, 1), 3, if(ISBLANK('2025'!$Q326), 0, 1), 4, if(ISBLANK('2025'!$R326), 0, 1), 5, if(ISBLANK('2025'!$S326), 0, 1), 6, if(ISBLANK('2025'!$T326), 0, 1), 7, 0))), 1, "")</f>
        <v/>
      </c>
      <c r="AZ328" s="1" t="str">
        <f>IF(AND(AND(AND(AZ$4&gt;='2025'!$L326,AZ$4&lt;='2025'!$M326), AZ$4&lt;&gt;DATE(2025,7,4)), (SWITCH(weekday(AZ$4), 1, 0, 2, if(ISBLANK('2025'!$P326), 0, 1), 3, if(ISBLANK('2025'!$Q326), 0, 1), 4, if(ISBLANK('2025'!$R326), 0, 1), 5, if(ISBLANK('2025'!$S326), 0, 1), 6, if(ISBLANK('2025'!$T326), 0, 1), 7, 0))), 1, "")</f>
        <v/>
      </c>
      <c r="BA328" s="1" t="str">
        <f>IF(AND(AND(AND(BA$4&gt;='2025'!$L326,BA$4&lt;='2025'!$M326), BA$4&lt;&gt;DATE(2025,7,4)), (SWITCH(weekday(BA$4), 1, 0, 2, if(ISBLANK('2025'!$P326), 0, 1), 3, if(ISBLANK('2025'!$Q326), 0, 1), 4, if(ISBLANK('2025'!$R326), 0, 1), 5, if(ISBLANK('2025'!$S326), 0, 1), 6, if(ISBLANK('2025'!$T326), 0, 1), 7, 0))), 1, "")</f>
        <v/>
      </c>
      <c r="BB328" s="1" t="str">
        <f>IF(AND(AND(AND(BB$4&gt;='2025'!$L326,BB$4&lt;='2025'!$M326), BB$4&lt;&gt;DATE(2025,7,4)), (SWITCH(weekday(BB$4), 1, 0, 2, if(ISBLANK('2025'!$P326), 0, 1), 3, if(ISBLANK('2025'!$Q326), 0, 1), 4, if(ISBLANK('2025'!$R326), 0, 1), 5, if(ISBLANK('2025'!$S326), 0, 1), 6, if(ISBLANK('2025'!$T326), 0, 1), 7, 0))), 1, "")</f>
        <v/>
      </c>
      <c r="BC328" s="1" t="str">
        <f>IF(AND(AND(AND(BC$4&gt;='2025'!$L326,BC$4&lt;='2025'!$M326), BC$4&lt;&gt;DATE(2025,7,4)), (SWITCH(weekday(BC$4), 1, 0, 2, if(ISBLANK('2025'!$P326), 0, 1), 3, if(ISBLANK('2025'!$Q326), 0, 1), 4, if(ISBLANK('2025'!$R326), 0, 1), 5, if(ISBLANK('2025'!$S326), 0, 1), 6, if(ISBLANK('2025'!$T326), 0, 1), 7, 0))), 1, "")</f>
        <v/>
      </c>
      <c r="BD328" s="1" t="str">
        <f>IF(AND(AND(AND(BD$4&gt;='2025'!$L326,BD$4&lt;='2025'!$M326), BD$4&lt;&gt;DATE(2025,7,4)), (SWITCH(weekday(BD$4), 1, 0, 2, if(ISBLANK('2025'!$P326), 0, 1), 3, if(ISBLANK('2025'!$Q326), 0, 1), 4, if(ISBLANK('2025'!$R326), 0, 1), 5, if(ISBLANK('2025'!$S326), 0, 1), 6, if(ISBLANK('2025'!$T326), 0, 1), 7, 0))), 1, "")</f>
        <v/>
      </c>
      <c r="BE328" s="1" t="str">
        <f>IF(AND(AND(AND(BE$4&gt;='2025'!$L326,BE$4&lt;='2025'!$M326), BE$4&lt;&gt;DATE(2025,7,4)), (SWITCH(weekday(BE$4), 1, 0, 2, if(ISBLANK('2025'!$P326), 0, 1), 3, if(ISBLANK('2025'!$Q326), 0, 1), 4, if(ISBLANK('2025'!$R326), 0, 1), 5, if(ISBLANK('2025'!$S326), 0, 1), 6, if(ISBLANK('2025'!$T326), 0, 1), 7, 0))), 1, "")</f>
        <v/>
      </c>
      <c r="BF328" s="1" t="str">
        <f>IF(AND(AND(AND(BF$4&gt;='2025'!$L326,BF$4&lt;='2025'!$M326), BF$4&lt;&gt;DATE(2025,7,4)), (SWITCH(weekday(BF$4), 1, 0, 2, if(ISBLANK('2025'!$P326), 0, 1), 3, if(ISBLANK('2025'!$Q326), 0, 1), 4, if(ISBLANK('2025'!$R326), 0, 1), 5, if(ISBLANK('2025'!$S326), 0, 1), 6, if(ISBLANK('2025'!$T326), 0, 1), 7, 0))), 1, "")</f>
        <v/>
      </c>
      <c r="BG328" s="1"/>
      <c r="BH328" s="1"/>
      <c r="BI328" s="1"/>
      <c r="BJ328" s="1"/>
      <c r="BK328" s="1"/>
      <c r="BL328" s="1"/>
    </row>
    <row r="329">
      <c r="A329" s="1">
        <f t="shared" si="3"/>
        <v>329</v>
      </c>
      <c r="B329" s="1" t="str">
        <f>'2025'!D293</f>
        <v>, </v>
      </c>
      <c r="C329" s="1" t="str">
        <f>'2025'!H293</f>
        <v/>
      </c>
      <c r="D329" s="1" t="str">
        <f>IF(AND(AND(AND(D$4&gt;='2025'!$L327,D$4&lt;='2025'!$M327), D$4&lt;&gt;DATE(2025,7,4)), (SWITCH(weekday(D$4), 1, 0, 2, if(ISBLANK('2025'!$P327), 0, 1), 3, if(ISBLANK('2025'!$Q327), 0, 1), 4, if(ISBLANK('2025'!$R327), 0, 1), 5, if(ISBLANK('2025'!$S327), 0, 1), 6, if(ISBLANK('2025'!$T327), 0, 1), 7, 0))), 1, "")</f>
        <v/>
      </c>
      <c r="E329" s="1" t="str">
        <f>IF(AND(AND(AND(E$4&gt;='2025'!$L327,E$4&lt;='2025'!$M327), E$4&lt;&gt;DATE(2025,7,4)), (SWITCH(weekday(E$4), 1, 0, 2, if(ISBLANK('2025'!$P327), 0, 1), 3, if(ISBLANK('2025'!$Q327), 0, 1), 4, if(ISBLANK('2025'!$R327), 0, 1), 5, if(ISBLANK('2025'!$S327), 0, 1), 6, if(ISBLANK('2025'!$T327), 0, 1), 7, 0))), 1, "")</f>
        <v/>
      </c>
      <c r="F329" s="1" t="str">
        <f>IF(AND(AND(AND(F$4&gt;='2025'!$L327,F$4&lt;='2025'!$M327), F$4&lt;&gt;DATE(2025,7,4)), (SWITCH(weekday(F$4), 1, 0, 2, if(ISBLANK('2025'!$P327), 0, 1), 3, if(ISBLANK('2025'!$Q327), 0, 1), 4, if(ISBLANK('2025'!$R327), 0, 1), 5, if(ISBLANK('2025'!$S327), 0, 1), 6, if(ISBLANK('2025'!$T327), 0, 1), 7, 0))), 1, "")</f>
        <v/>
      </c>
      <c r="G329" s="1" t="str">
        <f>IF(AND(AND(AND(G$4&gt;='2025'!$L327,G$4&lt;='2025'!$M327), G$4&lt;&gt;DATE(2025,7,4)), (SWITCH(weekday(G$4), 1, 0, 2, if(ISBLANK('2025'!$P327), 0, 1), 3, if(ISBLANK('2025'!$Q327), 0, 1), 4, if(ISBLANK('2025'!$R327), 0, 1), 5, if(ISBLANK('2025'!$S327), 0, 1), 6, if(ISBLANK('2025'!$T327), 0, 1), 7, 0))), 1, "")</f>
        <v/>
      </c>
      <c r="H329" s="1" t="str">
        <f>IF(AND(AND(AND(H$4&gt;='2025'!$L327,H$4&lt;='2025'!$M327), H$4&lt;&gt;DATE(2025,7,4)), (SWITCH(weekday(H$4), 1, 0, 2, if(ISBLANK('2025'!$P327), 0, 1), 3, if(ISBLANK('2025'!$Q327), 0, 1), 4, if(ISBLANK('2025'!$R327), 0, 1), 5, if(ISBLANK('2025'!$S327), 0, 1), 6, if(ISBLANK('2025'!$T327), 0, 1), 7, 0))), 1, "")</f>
        <v/>
      </c>
      <c r="I329" s="1" t="str">
        <f>IF(AND(AND(AND(I$4&gt;='2025'!$L327,I$4&lt;='2025'!$M327), I$4&lt;&gt;DATE(2025,7,4)), (SWITCH(weekday(I$4), 1, 0, 2, if(ISBLANK('2025'!$P327), 0, 1), 3, if(ISBLANK('2025'!$Q327), 0, 1), 4, if(ISBLANK('2025'!$R327), 0, 1), 5, if(ISBLANK('2025'!$S327), 0, 1), 6, if(ISBLANK('2025'!$T327), 0, 1), 7, 0))), 1, "")</f>
        <v/>
      </c>
      <c r="J329" s="1" t="str">
        <f>IF(AND(AND(AND(J$4&gt;='2025'!$L327,J$4&lt;='2025'!$M327), J$4&lt;&gt;DATE(2025,7,4)), (SWITCH(weekday(J$4), 1, 0, 2, if(ISBLANK('2025'!$P327), 0, 1), 3, if(ISBLANK('2025'!$Q327), 0, 1), 4, if(ISBLANK('2025'!$R327), 0, 1), 5, if(ISBLANK('2025'!$S327), 0, 1), 6, if(ISBLANK('2025'!$T327), 0, 1), 7, 0))), 1, "")</f>
        <v/>
      </c>
      <c r="K329" s="1" t="str">
        <f>IF(AND(AND(AND(K$4&gt;='2025'!$L327,K$4&lt;='2025'!$M327), K$4&lt;&gt;DATE(2025,7,4)), (SWITCH(weekday(K$4), 1, 0, 2, if(ISBLANK('2025'!$P327), 0, 1), 3, if(ISBLANK('2025'!$Q327), 0, 1), 4, if(ISBLANK('2025'!$R327), 0, 1), 5, if(ISBLANK('2025'!$S327), 0, 1), 6, if(ISBLANK('2025'!$T327), 0, 1), 7, 0))), 1, "")</f>
        <v/>
      </c>
      <c r="L329" s="1" t="str">
        <f>IF(AND(AND(AND(L$4&gt;='2025'!$L327,L$4&lt;='2025'!$M327), L$4&lt;&gt;DATE(2025,7,4)), (SWITCH(weekday(L$4), 1, 0, 2, if(ISBLANK('2025'!$P327), 0, 1), 3, if(ISBLANK('2025'!$Q327), 0, 1), 4, if(ISBLANK('2025'!$R327), 0, 1), 5, if(ISBLANK('2025'!$S327), 0, 1), 6, if(ISBLANK('2025'!$T327), 0, 1), 7, 0))), 1, "")</f>
        <v/>
      </c>
      <c r="M329" s="1" t="str">
        <f>IF(AND(AND(AND(M$4&gt;='2025'!$L327,M$4&lt;='2025'!$M327), M$4&lt;&gt;DATE(2025,7,4)), (SWITCH(weekday(M$4), 1, 0, 2, if(ISBLANK('2025'!$P327), 0, 1), 3, if(ISBLANK('2025'!$Q327), 0, 1), 4, if(ISBLANK('2025'!$R327), 0, 1), 5, if(ISBLANK('2025'!$S327), 0, 1), 6, if(ISBLANK('2025'!$T327), 0, 1), 7, 0))), 1, "")</f>
        <v/>
      </c>
      <c r="N329" s="1" t="str">
        <f>IF(AND(AND(AND(N$4&gt;='2025'!$L327,N$4&lt;='2025'!$M327), N$4&lt;&gt;DATE(2025,7,4)), (SWITCH(weekday(N$4), 1, 0, 2, if(ISBLANK('2025'!$P327), 0, 1), 3, if(ISBLANK('2025'!$Q327), 0, 1), 4, if(ISBLANK('2025'!$R327), 0, 1), 5, if(ISBLANK('2025'!$S327), 0, 1), 6, if(ISBLANK('2025'!$T327), 0, 1), 7, 0))), 1, "")</f>
        <v/>
      </c>
      <c r="O329" s="1" t="str">
        <f>IF(AND(AND(AND(O$4&gt;='2025'!$L327,O$4&lt;='2025'!$M327), O$4&lt;&gt;DATE(2025,7,4)), (SWITCH(weekday(O$4), 1, 0, 2, if(ISBLANK('2025'!$P327), 0, 1), 3, if(ISBLANK('2025'!$Q327), 0, 1), 4, if(ISBLANK('2025'!$R327), 0, 1), 5, if(ISBLANK('2025'!$S327), 0, 1), 6, if(ISBLANK('2025'!$T327), 0, 1), 7, 0))), 1, "")</f>
        <v/>
      </c>
      <c r="P329" s="1" t="str">
        <f>IF(AND(AND(AND(P$4&gt;='2025'!$L327,P$4&lt;='2025'!$M327), P$4&lt;&gt;DATE(2025,7,4)), (SWITCH(weekday(P$4), 1, 0, 2, if(ISBLANK('2025'!$P327), 0, 1), 3, if(ISBLANK('2025'!$Q327), 0, 1), 4, if(ISBLANK('2025'!$R327), 0, 1), 5, if(ISBLANK('2025'!$S327), 0, 1), 6, if(ISBLANK('2025'!$T327), 0, 1), 7, 0))), 1, "")</f>
        <v/>
      </c>
      <c r="Q329" s="1" t="str">
        <f>IF(AND(AND(AND(Q$4&gt;='2025'!$L327,Q$4&lt;='2025'!$M327), Q$4&lt;&gt;DATE(2025,7,4)), (SWITCH(weekday(Q$4), 1, 0, 2, if(ISBLANK('2025'!$P327), 0, 1), 3, if(ISBLANK('2025'!$Q327), 0, 1), 4, if(ISBLANK('2025'!$R327), 0, 1), 5, if(ISBLANK('2025'!$S327), 0, 1), 6, if(ISBLANK('2025'!$T327), 0, 1), 7, 0))), 1, "")</f>
        <v/>
      </c>
      <c r="R329" s="1" t="str">
        <f>IF(AND(AND(AND(R$4&gt;='2025'!$L327,R$4&lt;='2025'!$M327), R$4&lt;&gt;DATE(2025,7,4)), (SWITCH(weekday(R$4), 1, 0, 2, if(ISBLANK('2025'!$P327), 0, 1), 3, if(ISBLANK('2025'!$Q327), 0, 1), 4, if(ISBLANK('2025'!$R327), 0, 1), 5, if(ISBLANK('2025'!$S327), 0, 1), 6, if(ISBLANK('2025'!$T327), 0, 1), 7, 0))), 1, "")</f>
        <v/>
      </c>
      <c r="S329" s="1" t="str">
        <f>IF(AND(AND(AND(S$4&gt;='2025'!$L327,S$4&lt;='2025'!$M327), S$4&lt;&gt;DATE(2025,7,4)), (SWITCH(weekday(S$4), 1, 0, 2, if(ISBLANK('2025'!$P327), 0, 1), 3, if(ISBLANK('2025'!$Q327), 0, 1), 4, if(ISBLANK('2025'!$R327), 0, 1), 5, if(ISBLANK('2025'!$S327), 0, 1), 6, if(ISBLANK('2025'!$T327), 0, 1), 7, 0))), 1, "")</f>
        <v/>
      </c>
      <c r="T329" s="1" t="str">
        <f>IF(AND(AND(AND(T$4&gt;='2025'!$L327,T$4&lt;='2025'!$M327), T$4&lt;&gt;DATE(2025,7,4)), (SWITCH(weekday(T$4), 1, 0, 2, if(ISBLANK('2025'!$P327), 0, 1), 3, if(ISBLANK('2025'!$Q327), 0, 1), 4, if(ISBLANK('2025'!$R327), 0, 1), 5, if(ISBLANK('2025'!$S327), 0, 1), 6, if(ISBLANK('2025'!$T327), 0, 1), 7, 0))), 1, "")</f>
        <v/>
      </c>
      <c r="U329" s="1" t="str">
        <f>IF(AND(AND(AND(U$4&gt;='2025'!$L327,U$4&lt;='2025'!$M327), U$4&lt;&gt;DATE(2025,7,4)), (SWITCH(weekday(U$4), 1, 0, 2, if(ISBLANK('2025'!$P327), 0, 1), 3, if(ISBLANK('2025'!$Q327), 0, 1), 4, if(ISBLANK('2025'!$R327), 0, 1), 5, if(ISBLANK('2025'!$S327), 0, 1), 6, if(ISBLANK('2025'!$T327), 0, 1), 7, 0))), 1, "")</f>
        <v/>
      </c>
      <c r="V329" s="1" t="str">
        <f>IF(AND(AND(AND(V$4&gt;='2025'!$L327,V$4&lt;='2025'!$M327), V$4&lt;&gt;DATE(2025,7,4)), (SWITCH(weekday(V$4), 1, 0, 2, if(ISBLANK('2025'!$P327), 0, 1), 3, if(ISBLANK('2025'!$Q327), 0, 1), 4, if(ISBLANK('2025'!$R327), 0, 1), 5, if(ISBLANK('2025'!$S327), 0, 1), 6, if(ISBLANK('2025'!$T327), 0, 1), 7, 0))), 1, "")</f>
        <v/>
      </c>
      <c r="W329" s="1" t="str">
        <f>IF(AND(AND(AND(W$4&gt;='2025'!$L327,W$4&lt;='2025'!$M327), W$4&lt;&gt;DATE(2025,7,4)), (SWITCH(weekday(W$4), 1, 0, 2, if(ISBLANK('2025'!$P327), 0, 1), 3, if(ISBLANK('2025'!$Q327), 0, 1), 4, if(ISBLANK('2025'!$R327), 0, 1), 5, if(ISBLANK('2025'!$S327), 0, 1), 6, if(ISBLANK('2025'!$T327), 0, 1), 7, 0))), 1, "")</f>
        <v/>
      </c>
      <c r="X329" s="1" t="str">
        <f>IF(AND(AND(AND(X$4&gt;='2025'!$L327,X$4&lt;='2025'!$M327), X$4&lt;&gt;DATE(2025,7,4)), (SWITCH(weekday(X$4), 1, 0, 2, if(ISBLANK('2025'!$P327), 0, 1), 3, if(ISBLANK('2025'!$Q327), 0, 1), 4, if(ISBLANK('2025'!$R327), 0, 1), 5, if(ISBLANK('2025'!$S327), 0, 1), 6, if(ISBLANK('2025'!$T327), 0, 1), 7, 0))), 1, "")</f>
        <v/>
      </c>
      <c r="Y329" s="1" t="str">
        <f>IF(AND(AND(AND(Y$4&gt;='2025'!$L327,Y$4&lt;='2025'!$M327), Y$4&lt;&gt;DATE(2025,7,4)), (SWITCH(weekday(Y$4), 1, 0, 2, if(ISBLANK('2025'!$P327), 0, 1), 3, if(ISBLANK('2025'!$Q327), 0, 1), 4, if(ISBLANK('2025'!$R327), 0, 1), 5, if(ISBLANK('2025'!$S327), 0, 1), 6, if(ISBLANK('2025'!$T327), 0, 1), 7, 0))), 1, "")</f>
        <v/>
      </c>
      <c r="Z329" s="1" t="str">
        <f>IF(AND(AND(AND(Z$4&gt;='2025'!$L327,Z$4&lt;='2025'!$M327), Z$4&lt;&gt;DATE(2025,7,4)), (SWITCH(weekday(Z$4), 1, 0, 2, if(ISBLANK('2025'!$P327), 0, 1), 3, if(ISBLANK('2025'!$Q327), 0, 1), 4, if(ISBLANK('2025'!$R327), 0, 1), 5, if(ISBLANK('2025'!$S327), 0, 1), 6, if(ISBLANK('2025'!$T327), 0, 1), 7, 0))), 1, "")</f>
        <v/>
      </c>
      <c r="AA329" s="1" t="str">
        <f>IF(AND(AND(AND(AA$4&gt;='2025'!$L327,AA$4&lt;='2025'!$M327), AA$4&lt;&gt;DATE(2025,7,4)), (SWITCH(weekday(AA$4), 1, 0, 2, if(ISBLANK('2025'!$P327), 0, 1), 3, if(ISBLANK('2025'!$Q327), 0, 1), 4, if(ISBLANK('2025'!$R327), 0, 1), 5, if(ISBLANK('2025'!$S327), 0, 1), 6, if(ISBLANK('2025'!$T327), 0, 1), 7, 0))), 1, "")</f>
        <v/>
      </c>
      <c r="AB329" s="1" t="str">
        <f>IF(AND(AND(AND(AB$4&gt;='2025'!$L327,AB$4&lt;='2025'!$M327), AB$4&lt;&gt;DATE(2025,7,4)), (SWITCH(weekday(AB$4), 1, 0, 2, if(ISBLANK('2025'!$P327), 0, 1), 3, if(ISBLANK('2025'!$Q327), 0, 1), 4, if(ISBLANK('2025'!$R327), 0, 1), 5, if(ISBLANK('2025'!$S327), 0, 1), 6, if(ISBLANK('2025'!$T327), 0, 1), 7, 0))), 1, "")</f>
        <v/>
      </c>
      <c r="AC329" s="1" t="str">
        <f>IF(AND(AND(AND(AC$4&gt;='2025'!$L327,AC$4&lt;='2025'!$M327), AC$4&lt;&gt;DATE(2025,7,4)), (SWITCH(weekday(AC$4), 1, 0, 2, if(ISBLANK('2025'!$P327), 0, 1), 3, if(ISBLANK('2025'!$Q327), 0, 1), 4, if(ISBLANK('2025'!$R327), 0, 1), 5, if(ISBLANK('2025'!$S327), 0, 1), 6, if(ISBLANK('2025'!$T327), 0, 1), 7, 0))), 1, "")</f>
        <v/>
      </c>
      <c r="AD329" s="1" t="str">
        <f>IF(AND(AND(AND(AD$4&gt;='2025'!$L327,AD$4&lt;='2025'!$M327), AD$4&lt;&gt;DATE(2025,7,4)), (SWITCH(weekday(AD$4), 1, 0, 2, if(ISBLANK('2025'!$P327), 0, 1), 3, if(ISBLANK('2025'!$Q327), 0, 1), 4, if(ISBLANK('2025'!$R327), 0, 1), 5, if(ISBLANK('2025'!$S327), 0, 1), 6, if(ISBLANK('2025'!$T327), 0, 1), 7, 0))), 1, "")</f>
        <v/>
      </c>
      <c r="AE329" s="1" t="str">
        <f>IF(AND(AND(AND(AE$4&gt;='2025'!$L327,AE$4&lt;='2025'!$M327), AE$4&lt;&gt;DATE(2025,7,4)), (SWITCH(weekday(AE$4), 1, 0, 2, if(ISBLANK('2025'!$P327), 0, 1), 3, if(ISBLANK('2025'!$Q327), 0, 1), 4, if(ISBLANK('2025'!$R327), 0, 1), 5, if(ISBLANK('2025'!$S327), 0, 1), 6, if(ISBLANK('2025'!$T327), 0, 1), 7, 0))), 1, "")</f>
        <v/>
      </c>
      <c r="AF329" s="1" t="str">
        <f>IF(AND(AND(AND(AF$4&gt;='2025'!$L327,AF$4&lt;='2025'!$M327), AF$4&lt;&gt;DATE(2025,7,4)), (SWITCH(weekday(AF$4), 1, 0, 2, if(ISBLANK('2025'!$P327), 0, 1), 3, if(ISBLANK('2025'!$Q327), 0, 1), 4, if(ISBLANK('2025'!$R327), 0, 1), 5, if(ISBLANK('2025'!$S327), 0, 1), 6, if(ISBLANK('2025'!$T327), 0, 1), 7, 0))), 1, "")</f>
        <v/>
      </c>
      <c r="AG329" s="1" t="str">
        <f>IF(AND(AND(AND(AG$4&gt;='2025'!$L327,AG$4&lt;='2025'!$M327), AG$4&lt;&gt;DATE(2025,7,4)), (SWITCH(weekday(AG$4), 1, 0, 2, if(ISBLANK('2025'!$P327), 0, 1), 3, if(ISBLANK('2025'!$Q327), 0, 1), 4, if(ISBLANK('2025'!$R327), 0, 1), 5, if(ISBLANK('2025'!$S327), 0, 1), 6, if(ISBLANK('2025'!$T327), 0, 1), 7, 0))), 1, "")</f>
        <v/>
      </c>
      <c r="AH329" s="1" t="str">
        <f>IF(AND(AND(AND(AH$4&gt;='2025'!$L327,AH$4&lt;='2025'!$M327), AH$4&lt;&gt;DATE(2025,7,4)), (SWITCH(weekday(AH$4), 1, 0, 2, if(ISBLANK('2025'!$P327), 0, 1), 3, if(ISBLANK('2025'!$Q327), 0, 1), 4, if(ISBLANK('2025'!$R327), 0, 1), 5, if(ISBLANK('2025'!$S327), 0, 1), 6, if(ISBLANK('2025'!$T327), 0, 1), 7, 0))), 1, "")</f>
        <v/>
      </c>
      <c r="AI329" s="1" t="str">
        <f>IF(AND(AND(AND(AI$4&gt;='2025'!$L327,AI$4&lt;='2025'!$M327), AI$4&lt;&gt;DATE(2025,7,4)), (SWITCH(weekday(AI$4), 1, 0, 2, if(ISBLANK('2025'!$P327), 0, 1), 3, if(ISBLANK('2025'!$Q327), 0, 1), 4, if(ISBLANK('2025'!$R327), 0, 1), 5, if(ISBLANK('2025'!$S327), 0, 1), 6, if(ISBLANK('2025'!$T327), 0, 1), 7, 0))), 1, "")</f>
        <v/>
      </c>
      <c r="AJ329" s="1" t="str">
        <f>IF(AND(AND(AND(AJ$4&gt;='2025'!$L327,AJ$4&lt;='2025'!$M327), AJ$4&lt;&gt;DATE(2025,7,4)), (SWITCH(weekday(AJ$4), 1, 0, 2, if(ISBLANK('2025'!$P327), 0, 1), 3, if(ISBLANK('2025'!$Q327), 0, 1), 4, if(ISBLANK('2025'!$R327), 0, 1), 5, if(ISBLANK('2025'!$S327), 0, 1), 6, if(ISBLANK('2025'!$T327), 0, 1), 7, 0))), 1, "")</f>
        <v/>
      </c>
      <c r="AK329" s="1" t="str">
        <f>IF(AND(AND(AND(AK$4&gt;='2025'!$L327,AK$4&lt;='2025'!$M327), AK$4&lt;&gt;DATE(2025,7,4)), (SWITCH(weekday(AK$4), 1, 0, 2, if(ISBLANK('2025'!$P327), 0, 1), 3, if(ISBLANK('2025'!$Q327), 0, 1), 4, if(ISBLANK('2025'!$R327), 0, 1), 5, if(ISBLANK('2025'!$S327), 0, 1), 6, if(ISBLANK('2025'!$T327), 0, 1), 7, 0))), 1, "")</f>
        <v/>
      </c>
      <c r="AL329" s="1" t="str">
        <f>IF(AND(AND(AND(AL$4&gt;='2025'!$L327,AL$4&lt;='2025'!$M327), AL$4&lt;&gt;DATE(2025,7,4)), (SWITCH(weekday(AL$4), 1, 0, 2, if(ISBLANK('2025'!$P327), 0, 1), 3, if(ISBLANK('2025'!$Q327), 0, 1), 4, if(ISBLANK('2025'!$R327), 0, 1), 5, if(ISBLANK('2025'!$S327), 0, 1), 6, if(ISBLANK('2025'!$T327), 0, 1), 7, 0))), 1, "")</f>
        <v/>
      </c>
      <c r="AM329" s="1" t="str">
        <f>IF(AND(AND(AND(AM$4&gt;='2025'!$L327,AM$4&lt;='2025'!$M327), AM$4&lt;&gt;DATE(2025,7,4)), (SWITCH(weekday(AM$4), 1, 0, 2, if(ISBLANK('2025'!$P327), 0, 1), 3, if(ISBLANK('2025'!$Q327), 0, 1), 4, if(ISBLANK('2025'!$R327), 0, 1), 5, if(ISBLANK('2025'!$S327), 0, 1), 6, if(ISBLANK('2025'!$T327), 0, 1), 7, 0))), 1, "")</f>
        <v/>
      </c>
      <c r="AN329" s="1" t="str">
        <f>IF(AND(AND(AND(AN$4&gt;='2025'!$L327,AN$4&lt;='2025'!$M327), AN$4&lt;&gt;DATE(2025,7,4)), (SWITCH(weekday(AN$4), 1, 0, 2, if(ISBLANK('2025'!$P327), 0, 1), 3, if(ISBLANK('2025'!$Q327), 0, 1), 4, if(ISBLANK('2025'!$R327), 0, 1), 5, if(ISBLANK('2025'!$S327), 0, 1), 6, if(ISBLANK('2025'!$T327), 0, 1), 7, 0))), 1, "")</f>
        <v/>
      </c>
      <c r="AO329" s="1" t="str">
        <f>IF(AND(AND(AND(AO$4&gt;='2025'!$L327,AO$4&lt;='2025'!$M327), AO$4&lt;&gt;DATE(2025,7,4)), (SWITCH(weekday(AO$4), 1, 0, 2, if(ISBLANK('2025'!$P327), 0, 1), 3, if(ISBLANK('2025'!$Q327), 0, 1), 4, if(ISBLANK('2025'!$R327), 0, 1), 5, if(ISBLANK('2025'!$S327), 0, 1), 6, if(ISBLANK('2025'!$T327), 0, 1), 7, 0))), 1, "")</f>
        <v/>
      </c>
      <c r="AP329" s="1" t="str">
        <f>IF(AND(AND(AND(AP$4&gt;='2025'!$L327,AP$4&lt;='2025'!$M327), AP$4&lt;&gt;DATE(2025,7,4)), (SWITCH(weekday(AP$4), 1, 0, 2, if(ISBLANK('2025'!$P327), 0, 1), 3, if(ISBLANK('2025'!$Q327), 0, 1), 4, if(ISBLANK('2025'!$R327), 0, 1), 5, if(ISBLANK('2025'!$S327), 0, 1), 6, if(ISBLANK('2025'!$T327), 0, 1), 7, 0))), 1, "")</f>
        <v/>
      </c>
      <c r="AQ329" s="1" t="str">
        <f>IF(AND(AND(AND(AQ$4&gt;='2025'!$L327,AQ$4&lt;='2025'!$M327), AQ$4&lt;&gt;DATE(2025,7,4)), (SWITCH(weekday(AQ$4), 1, 0, 2, if(ISBLANK('2025'!$P327), 0, 1), 3, if(ISBLANK('2025'!$Q327), 0, 1), 4, if(ISBLANK('2025'!$R327), 0, 1), 5, if(ISBLANK('2025'!$S327), 0, 1), 6, if(ISBLANK('2025'!$T327), 0, 1), 7, 0))), 1, "")</f>
        <v/>
      </c>
      <c r="AR329" s="1" t="str">
        <f>IF(AND(AND(AND(AR$4&gt;='2025'!$L327,AR$4&lt;='2025'!$M327), AR$4&lt;&gt;DATE(2025,7,4)), (SWITCH(weekday(AR$4), 1, 0, 2, if(ISBLANK('2025'!$P327), 0, 1), 3, if(ISBLANK('2025'!$Q327), 0, 1), 4, if(ISBLANK('2025'!$R327), 0, 1), 5, if(ISBLANK('2025'!$S327), 0, 1), 6, if(ISBLANK('2025'!$T327), 0, 1), 7, 0))), 1, "")</f>
        <v/>
      </c>
      <c r="AS329" s="1" t="str">
        <f>IF(AND(AND(AND(AS$4&gt;='2025'!$L327,AS$4&lt;='2025'!$M327), AS$4&lt;&gt;DATE(2025,7,4)), (SWITCH(weekday(AS$4), 1, 0, 2, if(ISBLANK('2025'!$P327), 0, 1), 3, if(ISBLANK('2025'!$Q327), 0, 1), 4, if(ISBLANK('2025'!$R327), 0, 1), 5, if(ISBLANK('2025'!$S327), 0, 1), 6, if(ISBLANK('2025'!$T327), 0, 1), 7, 0))), 1, "")</f>
        <v/>
      </c>
      <c r="AT329" s="1" t="str">
        <f>IF(AND(AND(AND(AT$4&gt;='2025'!$L327,AT$4&lt;='2025'!$M327), AT$4&lt;&gt;DATE(2025,7,4)), (SWITCH(weekday(AT$4), 1, 0, 2, if(ISBLANK('2025'!$P327), 0, 1), 3, if(ISBLANK('2025'!$Q327), 0, 1), 4, if(ISBLANK('2025'!$R327), 0, 1), 5, if(ISBLANK('2025'!$S327), 0, 1), 6, if(ISBLANK('2025'!$T327), 0, 1), 7, 0))), 1, "")</f>
        <v/>
      </c>
      <c r="AU329" s="1" t="str">
        <f>IF(AND(AND(AND(AU$4&gt;='2025'!$L327,AU$4&lt;='2025'!$M327), AU$4&lt;&gt;DATE(2025,7,4)), (SWITCH(weekday(AU$4), 1, 0, 2, if(ISBLANK('2025'!$P327), 0, 1), 3, if(ISBLANK('2025'!$Q327), 0, 1), 4, if(ISBLANK('2025'!$R327), 0, 1), 5, if(ISBLANK('2025'!$S327), 0, 1), 6, if(ISBLANK('2025'!$T327), 0, 1), 7, 0))), 1, "")</f>
        <v/>
      </c>
      <c r="AV329" s="1" t="str">
        <f>IF(AND(AND(AND(AV$4&gt;='2025'!$L327,AV$4&lt;='2025'!$M327), AV$4&lt;&gt;DATE(2025,7,4)), (SWITCH(weekday(AV$4), 1, 0, 2, if(ISBLANK('2025'!$P327), 0, 1), 3, if(ISBLANK('2025'!$Q327), 0, 1), 4, if(ISBLANK('2025'!$R327), 0, 1), 5, if(ISBLANK('2025'!$S327), 0, 1), 6, if(ISBLANK('2025'!$T327), 0, 1), 7, 0))), 1, "")</f>
        <v/>
      </c>
      <c r="AW329" s="1" t="str">
        <f>IF(AND(AND(AND(AW$4&gt;='2025'!$L327,AW$4&lt;='2025'!$M327), AW$4&lt;&gt;DATE(2025,7,4)), (SWITCH(weekday(AW$4), 1, 0, 2, if(ISBLANK('2025'!$P327), 0, 1), 3, if(ISBLANK('2025'!$Q327), 0, 1), 4, if(ISBLANK('2025'!$R327), 0, 1), 5, if(ISBLANK('2025'!$S327), 0, 1), 6, if(ISBLANK('2025'!$T327), 0, 1), 7, 0))), 1, "")</f>
        <v/>
      </c>
      <c r="AX329" s="1" t="str">
        <f>IF(AND(AND(AND(AX$4&gt;='2025'!$L327,AX$4&lt;='2025'!$M327), AX$4&lt;&gt;DATE(2025,7,4)), (SWITCH(weekday(AX$4), 1, 0, 2, if(ISBLANK('2025'!$P327), 0, 1), 3, if(ISBLANK('2025'!$Q327), 0, 1), 4, if(ISBLANK('2025'!$R327), 0, 1), 5, if(ISBLANK('2025'!$S327), 0, 1), 6, if(ISBLANK('2025'!$T327), 0, 1), 7, 0))), 1, "")</f>
        <v/>
      </c>
      <c r="AY329" s="1" t="str">
        <f>IF(AND(AND(AND(AY$4&gt;='2025'!$L327,AY$4&lt;='2025'!$M327), AY$4&lt;&gt;DATE(2025,7,4)), (SWITCH(weekday(AY$4), 1, 0, 2, if(ISBLANK('2025'!$P327), 0, 1), 3, if(ISBLANK('2025'!$Q327), 0, 1), 4, if(ISBLANK('2025'!$R327), 0, 1), 5, if(ISBLANK('2025'!$S327), 0, 1), 6, if(ISBLANK('2025'!$T327), 0, 1), 7, 0))), 1, "")</f>
        <v/>
      </c>
      <c r="AZ329" s="1" t="str">
        <f>IF(AND(AND(AND(AZ$4&gt;='2025'!$L327,AZ$4&lt;='2025'!$M327), AZ$4&lt;&gt;DATE(2025,7,4)), (SWITCH(weekday(AZ$4), 1, 0, 2, if(ISBLANK('2025'!$P327), 0, 1), 3, if(ISBLANK('2025'!$Q327), 0, 1), 4, if(ISBLANK('2025'!$R327), 0, 1), 5, if(ISBLANK('2025'!$S327), 0, 1), 6, if(ISBLANK('2025'!$T327), 0, 1), 7, 0))), 1, "")</f>
        <v/>
      </c>
      <c r="BA329" s="1" t="str">
        <f>IF(AND(AND(AND(BA$4&gt;='2025'!$L327,BA$4&lt;='2025'!$M327), BA$4&lt;&gt;DATE(2025,7,4)), (SWITCH(weekday(BA$4), 1, 0, 2, if(ISBLANK('2025'!$P327), 0, 1), 3, if(ISBLANK('2025'!$Q327), 0, 1), 4, if(ISBLANK('2025'!$R327), 0, 1), 5, if(ISBLANK('2025'!$S327), 0, 1), 6, if(ISBLANK('2025'!$T327), 0, 1), 7, 0))), 1, "")</f>
        <v/>
      </c>
      <c r="BB329" s="1" t="str">
        <f>IF(AND(AND(AND(BB$4&gt;='2025'!$L327,BB$4&lt;='2025'!$M327), BB$4&lt;&gt;DATE(2025,7,4)), (SWITCH(weekday(BB$4), 1, 0, 2, if(ISBLANK('2025'!$P327), 0, 1), 3, if(ISBLANK('2025'!$Q327), 0, 1), 4, if(ISBLANK('2025'!$R327), 0, 1), 5, if(ISBLANK('2025'!$S327), 0, 1), 6, if(ISBLANK('2025'!$T327), 0, 1), 7, 0))), 1, "")</f>
        <v/>
      </c>
      <c r="BC329" s="1" t="str">
        <f>IF(AND(AND(AND(BC$4&gt;='2025'!$L327,BC$4&lt;='2025'!$M327), BC$4&lt;&gt;DATE(2025,7,4)), (SWITCH(weekday(BC$4), 1, 0, 2, if(ISBLANK('2025'!$P327), 0, 1), 3, if(ISBLANK('2025'!$Q327), 0, 1), 4, if(ISBLANK('2025'!$R327), 0, 1), 5, if(ISBLANK('2025'!$S327), 0, 1), 6, if(ISBLANK('2025'!$T327), 0, 1), 7, 0))), 1, "")</f>
        <v/>
      </c>
      <c r="BD329" s="1" t="str">
        <f>IF(AND(AND(AND(BD$4&gt;='2025'!$L327,BD$4&lt;='2025'!$M327), BD$4&lt;&gt;DATE(2025,7,4)), (SWITCH(weekday(BD$4), 1, 0, 2, if(ISBLANK('2025'!$P327), 0, 1), 3, if(ISBLANK('2025'!$Q327), 0, 1), 4, if(ISBLANK('2025'!$R327), 0, 1), 5, if(ISBLANK('2025'!$S327), 0, 1), 6, if(ISBLANK('2025'!$T327), 0, 1), 7, 0))), 1, "")</f>
        <v/>
      </c>
      <c r="BE329" s="1" t="str">
        <f>IF(AND(AND(AND(BE$4&gt;='2025'!$L327,BE$4&lt;='2025'!$M327), BE$4&lt;&gt;DATE(2025,7,4)), (SWITCH(weekday(BE$4), 1, 0, 2, if(ISBLANK('2025'!$P327), 0, 1), 3, if(ISBLANK('2025'!$Q327), 0, 1), 4, if(ISBLANK('2025'!$R327), 0, 1), 5, if(ISBLANK('2025'!$S327), 0, 1), 6, if(ISBLANK('2025'!$T327), 0, 1), 7, 0))), 1, "")</f>
        <v/>
      </c>
      <c r="BF329" s="1" t="str">
        <f>IF(AND(AND(AND(BF$4&gt;='2025'!$L327,BF$4&lt;='2025'!$M327), BF$4&lt;&gt;DATE(2025,7,4)), (SWITCH(weekday(BF$4), 1, 0, 2, if(ISBLANK('2025'!$P327), 0, 1), 3, if(ISBLANK('2025'!$Q327), 0, 1), 4, if(ISBLANK('2025'!$R327), 0, 1), 5, if(ISBLANK('2025'!$S327), 0, 1), 6, if(ISBLANK('2025'!$T327), 0, 1), 7, 0))), 1, "")</f>
        <v/>
      </c>
      <c r="BG329" s="1"/>
      <c r="BH329" s="1"/>
      <c r="BI329" s="1"/>
      <c r="BJ329" s="1"/>
      <c r="BK329" s="1"/>
      <c r="BL329" s="1"/>
    </row>
    <row r="330">
      <c r="A330" s="1">
        <f t="shared" si="3"/>
        <v>330</v>
      </c>
      <c r="B330" s="1" t="str">
        <f>'2025'!D294</f>
        <v>, </v>
      </c>
      <c r="C330" s="1" t="str">
        <f>'2025'!H294</f>
        <v/>
      </c>
      <c r="D330" s="1" t="str">
        <f>IF(AND(AND(AND(D$4&gt;='2025'!$L328,D$4&lt;='2025'!$M328), D$4&lt;&gt;DATE(2025,7,4)), (SWITCH(weekday(D$4), 1, 0, 2, if(ISBLANK('2025'!$P328), 0, 1), 3, if(ISBLANK('2025'!$Q328), 0, 1), 4, if(ISBLANK('2025'!$R328), 0, 1), 5, if(ISBLANK('2025'!$S328), 0, 1), 6, if(ISBLANK('2025'!$T328), 0, 1), 7, 0))), 1, "")</f>
        <v/>
      </c>
      <c r="E330" s="1" t="str">
        <f>IF(AND(AND(AND(E$4&gt;='2025'!$L328,E$4&lt;='2025'!$M328), E$4&lt;&gt;DATE(2025,7,4)), (SWITCH(weekday(E$4), 1, 0, 2, if(ISBLANK('2025'!$P328), 0, 1), 3, if(ISBLANK('2025'!$Q328), 0, 1), 4, if(ISBLANK('2025'!$R328), 0, 1), 5, if(ISBLANK('2025'!$S328), 0, 1), 6, if(ISBLANK('2025'!$T328), 0, 1), 7, 0))), 1, "")</f>
        <v/>
      </c>
      <c r="F330" s="1" t="str">
        <f>IF(AND(AND(AND(F$4&gt;='2025'!$L328,F$4&lt;='2025'!$M328), F$4&lt;&gt;DATE(2025,7,4)), (SWITCH(weekday(F$4), 1, 0, 2, if(ISBLANK('2025'!$P328), 0, 1), 3, if(ISBLANK('2025'!$Q328), 0, 1), 4, if(ISBLANK('2025'!$R328), 0, 1), 5, if(ISBLANK('2025'!$S328), 0, 1), 6, if(ISBLANK('2025'!$T328), 0, 1), 7, 0))), 1, "")</f>
        <v/>
      </c>
      <c r="G330" s="1" t="str">
        <f>IF(AND(AND(AND(G$4&gt;='2025'!$L328,G$4&lt;='2025'!$M328), G$4&lt;&gt;DATE(2025,7,4)), (SWITCH(weekday(G$4), 1, 0, 2, if(ISBLANK('2025'!$P328), 0, 1), 3, if(ISBLANK('2025'!$Q328), 0, 1), 4, if(ISBLANK('2025'!$R328), 0, 1), 5, if(ISBLANK('2025'!$S328), 0, 1), 6, if(ISBLANK('2025'!$T328), 0, 1), 7, 0))), 1, "")</f>
        <v/>
      </c>
      <c r="H330" s="1" t="str">
        <f>IF(AND(AND(AND(H$4&gt;='2025'!$L328,H$4&lt;='2025'!$M328), H$4&lt;&gt;DATE(2025,7,4)), (SWITCH(weekday(H$4), 1, 0, 2, if(ISBLANK('2025'!$P328), 0, 1), 3, if(ISBLANK('2025'!$Q328), 0, 1), 4, if(ISBLANK('2025'!$R328), 0, 1), 5, if(ISBLANK('2025'!$S328), 0, 1), 6, if(ISBLANK('2025'!$T328), 0, 1), 7, 0))), 1, "")</f>
        <v/>
      </c>
      <c r="I330" s="1" t="str">
        <f>IF(AND(AND(AND(I$4&gt;='2025'!$L328,I$4&lt;='2025'!$M328), I$4&lt;&gt;DATE(2025,7,4)), (SWITCH(weekday(I$4), 1, 0, 2, if(ISBLANK('2025'!$P328), 0, 1), 3, if(ISBLANK('2025'!$Q328), 0, 1), 4, if(ISBLANK('2025'!$R328), 0, 1), 5, if(ISBLANK('2025'!$S328), 0, 1), 6, if(ISBLANK('2025'!$T328), 0, 1), 7, 0))), 1, "")</f>
        <v/>
      </c>
      <c r="J330" s="1" t="str">
        <f>IF(AND(AND(AND(J$4&gt;='2025'!$L328,J$4&lt;='2025'!$M328), J$4&lt;&gt;DATE(2025,7,4)), (SWITCH(weekday(J$4), 1, 0, 2, if(ISBLANK('2025'!$P328), 0, 1), 3, if(ISBLANK('2025'!$Q328), 0, 1), 4, if(ISBLANK('2025'!$R328), 0, 1), 5, if(ISBLANK('2025'!$S328), 0, 1), 6, if(ISBLANK('2025'!$T328), 0, 1), 7, 0))), 1, "")</f>
        <v/>
      </c>
      <c r="K330" s="1" t="str">
        <f>IF(AND(AND(AND(K$4&gt;='2025'!$L328,K$4&lt;='2025'!$M328), K$4&lt;&gt;DATE(2025,7,4)), (SWITCH(weekday(K$4), 1, 0, 2, if(ISBLANK('2025'!$P328), 0, 1), 3, if(ISBLANK('2025'!$Q328), 0, 1), 4, if(ISBLANK('2025'!$R328), 0, 1), 5, if(ISBLANK('2025'!$S328), 0, 1), 6, if(ISBLANK('2025'!$T328), 0, 1), 7, 0))), 1, "")</f>
        <v/>
      </c>
      <c r="L330" s="1" t="str">
        <f>IF(AND(AND(AND(L$4&gt;='2025'!$L328,L$4&lt;='2025'!$M328), L$4&lt;&gt;DATE(2025,7,4)), (SWITCH(weekday(L$4), 1, 0, 2, if(ISBLANK('2025'!$P328), 0, 1), 3, if(ISBLANK('2025'!$Q328), 0, 1), 4, if(ISBLANK('2025'!$R328), 0, 1), 5, if(ISBLANK('2025'!$S328), 0, 1), 6, if(ISBLANK('2025'!$T328), 0, 1), 7, 0))), 1, "")</f>
        <v/>
      </c>
      <c r="M330" s="1" t="str">
        <f>IF(AND(AND(AND(M$4&gt;='2025'!$L328,M$4&lt;='2025'!$M328), M$4&lt;&gt;DATE(2025,7,4)), (SWITCH(weekday(M$4), 1, 0, 2, if(ISBLANK('2025'!$P328), 0, 1), 3, if(ISBLANK('2025'!$Q328), 0, 1), 4, if(ISBLANK('2025'!$R328), 0, 1), 5, if(ISBLANK('2025'!$S328), 0, 1), 6, if(ISBLANK('2025'!$T328), 0, 1), 7, 0))), 1, "")</f>
        <v/>
      </c>
      <c r="N330" s="1" t="str">
        <f>IF(AND(AND(AND(N$4&gt;='2025'!$L328,N$4&lt;='2025'!$M328), N$4&lt;&gt;DATE(2025,7,4)), (SWITCH(weekday(N$4), 1, 0, 2, if(ISBLANK('2025'!$P328), 0, 1), 3, if(ISBLANK('2025'!$Q328), 0, 1), 4, if(ISBLANK('2025'!$R328), 0, 1), 5, if(ISBLANK('2025'!$S328), 0, 1), 6, if(ISBLANK('2025'!$T328), 0, 1), 7, 0))), 1, "")</f>
        <v/>
      </c>
      <c r="O330" s="1" t="str">
        <f>IF(AND(AND(AND(O$4&gt;='2025'!$L328,O$4&lt;='2025'!$M328), O$4&lt;&gt;DATE(2025,7,4)), (SWITCH(weekday(O$4), 1, 0, 2, if(ISBLANK('2025'!$P328), 0, 1), 3, if(ISBLANK('2025'!$Q328), 0, 1), 4, if(ISBLANK('2025'!$R328), 0, 1), 5, if(ISBLANK('2025'!$S328), 0, 1), 6, if(ISBLANK('2025'!$T328), 0, 1), 7, 0))), 1, "")</f>
        <v/>
      </c>
      <c r="P330" s="1" t="str">
        <f>IF(AND(AND(AND(P$4&gt;='2025'!$L328,P$4&lt;='2025'!$M328), P$4&lt;&gt;DATE(2025,7,4)), (SWITCH(weekday(P$4), 1, 0, 2, if(ISBLANK('2025'!$P328), 0, 1), 3, if(ISBLANK('2025'!$Q328), 0, 1), 4, if(ISBLANK('2025'!$R328), 0, 1), 5, if(ISBLANK('2025'!$S328), 0, 1), 6, if(ISBLANK('2025'!$T328), 0, 1), 7, 0))), 1, "")</f>
        <v/>
      </c>
      <c r="Q330" s="1" t="str">
        <f>IF(AND(AND(AND(Q$4&gt;='2025'!$L328,Q$4&lt;='2025'!$M328), Q$4&lt;&gt;DATE(2025,7,4)), (SWITCH(weekday(Q$4), 1, 0, 2, if(ISBLANK('2025'!$P328), 0, 1), 3, if(ISBLANK('2025'!$Q328), 0, 1), 4, if(ISBLANK('2025'!$R328), 0, 1), 5, if(ISBLANK('2025'!$S328), 0, 1), 6, if(ISBLANK('2025'!$T328), 0, 1), 7, 0))), 1, "")</f>
        <v/>
      </c>
      <c r="R330" s="1" t="str">
        <f>IF(AND(AND(AND(R$4&gt;='2025'!$L328,R$4&lt;='2025'!$M328), R$4&lt;&gt;DATE(2025,7,4)), (SWITCH(weekday(R$4), 1, 0, 2, if(ISBLANK('2025'!$P328), 0, 1), 3, if(ISBLANK('2025'!$Q328), 0, 1), 4, if(ISBLANK('2025'!$R328), 0, 1), 5, if(ISBLANK('2025'!$S328), 0, 1), 6, if(ISBLANK('2025'!$T328), 0, 1), 7, 0))), 1, "")</f>
        <v/>
      </c>
      <c r="S330" s="1" t="str">
        <f>IF(AND(AND(AND(S$4&gt;='2025'!$L328,S$4&lt;='2025'!$M328), S$4&lt;&gt;DATE(2025,7,4)), (SWITCH(weekday(S$4), 1, 0, 2, if(ISBLANK('2025'!$P328), 0, 1), 3, if(ISBLANK('2025'!$Q328), 0, 1), 4, if(ISBLANK('2025'!$R328), 0, 1), 5, if(ISBLANK('2025'!$S328), 0, 1), 6, if(ISBLANK('2025'!$T328), 0, 1), 7, 0))), 1, "")</f>
        <v/>
      </c>
      <c r="T330" s="1" t="str">
        <f>IF(AND(AND(AND(T$4&gt;='2025'!$L328,T$4&lt;='2025'!$M328), T$4&lt;&gt;DATE(2025,7,4)), (SWITCH(weekday(T$4), 1, 0, 2, if(ISBLANK('2025'!$P328), 0, 1), 3, if(ISBLANK('2025'!$Q328), 0, 1), 4, if(ISBLANK('2025'!$R328), 0, 1), 5, if(ISBLANK('2025'!$S328), 0, 1), 6, if(ISBLANK('2025'!$T328), 0, 1), 7, 0))), 1, "")</f>
        <v/>
      </c>
      <c r="U330" s="1" t="str">
        <f>IF(AND(AND(AND(U$4&gt;='2025'!$L328,U$4&lt;='2025'!$M328), U$4&lt;&gt;DATE(2025,7,4)), (SWITCH(weekday(U$4), 1, 0, 2, if(ISBLANK('2025'!$P328), 0, 1), 3, if(ISBLANK('2025'!$Q328), 0, 1), 4, if(ISBLANK('2025'!$R328), 0, 1), 5, if(ISBLANK('2025'!$S328), 0, 1), 6, if(ISBLANK('2025'!$T328), 0, 1), 7, 0))), 1, "")</f>
        <v/>
      </c>
      <c r="V330" s="1" t="str">
        <f>IF(AND(AND(AND(V$4&gt;='2025'!$L328,V$4&lt;='2025'!$M328), V$4&lt;&gt;DATE(2025,7,4)), (SWITCH(weekday(V$4), 1, 0, 2, if(ISBLANK('2025'!$P328), 0, 1), 3, if(ISBLANK('2025'!$Q328), 0, 1), 4, if(ISBLANK('2025'!$R328), 0, 1), 5, if(ISBLANK('2025'!$S328), 0, 1), 6, if(ISBLANK('2025'!$T328), 0, 1), 7, 0))), 1, "")</f>
        <v/>
      </c>
      <c r="W330" s="1" t="str">
        <f>IF(AND(AND(AND(W$4&gt;='2025'!$L328,W$4&lt;='2025'!$M328), W$4&lt;&gt;DATE(2025,7,4)), (SWITCH(weekday(W$4), 1, 0, 2, if(ISBLANK('2025'!$P328), 0, 1), 3, if(ISBLANK('2025'!$Q328), 0, 1), 4, if(ISBLANK('2025'!$R328), 0, 1), 5, if(ISBLANK('2025'!$S328), 0, 1), 6, if(ISBLANK('2025'!$T328), 0, 1), 7, 0))), 1, "")</f>
        <v/>
      </c>
      <c r="X330" s="1" t="str">
        <f>IF(AND(AND(AND(X$4&gt;='2025'!$L328,X$4&lt;='2025'!$M328), X$4&lt;&gt;DATE(2025,7,4)), (SWITCH(weekday(X$4), 1, 0, 2, if(ISBLANK('2025'!$P328), 0, 1), 3, if(ISBLANK('2025'!$Q328), 0, 1), 4, if(ISBLANK('2025'!$R328), 0, 1), 5, if(ISBLANK('2025'!$S328), 0, 1), 6, if(ISBLANK('2025'!$T328), 0, 1), 7, 0))), 1, "")</f>
        <v/>
      </c>
      <c r="Y330" s="1" t="str">
        <f>IF(AND(AND(AND(Y$4&gt;='2025'!$L328,Y$4&lt;='2025'!$M328), Y$4&lt;&gt;DATE(2025,7,4)), (SWITCH(weekday(Y$4), 1, 0, 2, if(ISBLANK('2025'!$P328), 0, 1), 3, if(ISBLANK('2025'!$Q328), 0, 1), 4, if(ISBLANK('2025'!$R328), 0, 1), 5, if(ISBLANK('2025'!$S328), 0, 1), 6, if(ISBLANK('2025'!$T328), 0, 1), 7, 0))), 1, "")</f>
        <v/>
      </c>
      <c r="Z330" s="1" t="str">
        <f>IF(AND(AND(AND(Z$4&gt;='2025'!$L328,Z$4&lt;='2025'!$M328), Z$4&lt;&gt;DATE(2025,7,4)), (SWITCH(weekday(Z$4), 1, 0, 2, if(ISBLANK('2025'!$P328), 0, 1), 3, if(ISBLANK('2025'!$Q328), 0, 1), 4, if(ISBLANK('2025'!$R328), 0, 1), 5, if(ISBLANK('2025'!$S328), 0, 1), 6, if(ISBLANK('2025'!$T328), 0, 1), 7, 0))), 1, "")</f>
        <v/>
      </c>
      <c r="AA330" s="1" t="str">
        <f>IF(AND(AND(AND(AA$4&gt;='2025'!$L328,AA$4&lt;='2025'!$M328), AA$4&lt;&gt;DATE(2025,7,4)), (SWITCH(weekday(AA$4), 1, 0, 2, if(ISBLANK('2025'!$P328), 0, 1), 3, if(ISBLANK('2025'!$Q328), 0, 1), 4, if(ISBLANK('2025'!$R328), 0, 1), 5, if(ISBLANK('2025'!$S328), 0, 1), 6, if(ISBLANK('2025'!$T328), 0, 1), 7, 0))), 1, "")</f>
        <v/>
      </c>
      <c r="AB330" s="1" t="str">
        <f>IF(AND(AND(AND(AB$4&gt;='2025'!$L328,AB$4&lt;='2025'!$M328), AB$4&lt;&gt;DATE(2025,7,4)), (SWITCH(weekday(AB$4), 1, 0, 2, if(ISBLANK('2025'!$P328), 0, 1), 3, if(ISBLANK('2025'!$Q328), 0, 1), 4, if(ISBLANK('2025'!$R328), 0, 1), 5, if(ISBLANK('2025'!$S328), 0, 1), 6, if(ISBLANK('2025'!$T328), 0, 1), 7, 0))), 1, "")</f>
        <v/>
      </c>
      <c r="AC330" s="1" t="str">
        <f>IF(AND(AND(AND(AC$4&gt;='2025'!$L328,AC$4&lt;='2025'!$M328), AC$4&lt;&gt;DATE(2025,7,4)), (SWITCH(weekday(AC$4), 1, 0, 2, if(ISBLANK('2025'!$P328), 0, 1), 3, if(ISBLANK('2025'!$Q328), 0, 1), 4, if(ISBLANK('2025'!$R328), 0, 1), 5, if(ISBLANK('2025'!$S328), 0, 1), 6, if(ISBLANK('2025'!$T328), 0, 1), 7, 0))), 1, "")</f>
        <v/>
      </c>
      <c r="AD330" s="1" t="str">
        <f>IF(AND(AND(AND(AD$4&gt;='2025'!$L328,AD$4&lt;='2025'!$M328), AD$4&lt;&gt;DATE(2025,7,4)), (SWITCH(weekday(AD$4), 1, 0, 2, if(ISBLANK('2025'!$P328), 0, 1), 3, if(ISBLANK('2025'!$Q328), 0, 1), 4, if(ISBLANK('2025'!$R328), 0, 1), 5, if(ISBLANK('2025'!$S328), 0, 1), 6, if(ISBLANK('2025'!$T328), 0, 1), 7, 0))), 1, "")</f>
        <v/>
      </c>
      <c r="AE330" s="1" t="str">
        <f>IF(AND(AND(AND(AE$4&gt;='2025'!$L328,AE$4&lt;='2025'!$M328), AE$4&lt;&gt;DATE(2025,7,4)), (SWITCH(weekday(AE$4), 1, 0, 2, if(ISBLANK('2025'!$P328), 0, 1), 3, if(ISBLANK('2025'!$Q328), 0, 1), 4, if(ISBLANK('2025'!$R328), 0, 1), 5, if(ISBLANK('2025'!$S328), 0, 1), 6, if(ISBLANK('2025'!$T328), 0, 1), 7, 0))), 1, "")</f>
        <v/>
      </c>
      <c r="AF330" s="1" t="str">
        <f>IF(AND(AND(AND(AF$4&gt;='2025'!$L328,AF$4&lt;='2025'!$M328), AF$4&lt;&gt;DATE(2025,7,4)), (SWITCH(weekday(AF$4), 1, 0, 2, if(ISBLANK('2025'!$P328), 0, 1), 3, if(ISBLANK('2025'!$Q328), 0, 1), 4, if(ISBLANK('2025'!$R328), 0, 1), 5, if(ISBLANK('2025'!$S328), 0, 1), 6, if(ISBLANK('2025'!$T328), 0, 1), 7, 0))), 1, "")</f>
        <v/>
      </c>
      <c r="AG330" s="1" t="str">
        <f>IF(AND(AND(AND(AG$4&gt;='2025'!$L328,AG$4&lt;='2025'!$M328), AG$4&lt;&gt;DATE(2025,7,4)), (SWITCH(weekday(AG$4), 1, 0, 2, if(ISBLANK('2025'!$P328), 0, 1), 3, if(ISBLANK('2025'!$Q328), 0, 1), 4, if(ISBLANK('2025'!$R328), 0, 1), 5, if(ISBLANK('2025'!$S328), 0, 1), 6, if(ISBLANK('2025'!$T328), 0, 1), 7, 0))), 1, "")</f>
        <v/>
      </c>
      <c r="AH330" s="1" t="str">
        <f>IF(AND(AND(AND(AH$4&gt;='2025'!$L328,AH$4&lt;='2025'!$M328), AH$4&lt;&gt;DATE(2025,7,4)), (SWITCH(weekday(AH$4), 1, 0, 2, if(ISBLANK('2025'!$P328), 0, 1), 3, if(ISBLANK('2025'!$Q328), 0, 1), 4, if(ISBLANK('2025'!$R328), 0, 1), 5, if(ISBLANK('2025'!$S328), 0, 1), 6, if(ISBLANK('2025'!$T328), 0, 1), 7, 0))), 1, "")</f>
        <v/>
      </c>
      <c r="AI330" s="1" t="str">
        <f>IF(AND(AND(AND(AI$4&gt;='2025'!$L328,AI$4&lt;='2025'!$M328), AI$4&lt;&gt;DATE(2025,7,4)), (SWITCH(weekday(AI$4), 1, 0, 2, if(ISBLANK('2025'!$P328), 0, 1), 3, if(ISBLANK('2025'!$Q328), 0, 1), 4, if(ISBLANK('2025'!$R328), 0, 1), 5, if(ISBLANK('2025'!$S328), 0, 1), 6, if(ISBLANK('2025'!$T328), 0, 1), 7, 0))), 1, "")</f>
        <v/>
      </c>
      <c r="AJ330" s="1" t="str">
        <f>IF(AND(AND(AND(AJ$4&gt;='2025'!$L328,AJ$4&lt;='2025'!$M328), AJ$4&lt;&gt;DATE(2025,7,4)), (SWITCH(weekday(AJ$4), 1, 0, 2, if(ISBLANK('2025'!$P328), 0, 1), 3, if(ISBLANK('2025'!$Q328), 0, 1), 4, if(ISBLANK('2025'!$R328), 0, 1), 5, if(ISBLANK('2025'!$S328), 0, 1), 6, if(ISBLANK('2025'!$T328), 0, 1), 7, 0))), 1, "")</f>
        <v/>
      </c>
      <c r="AK330" s="1" t="str">
        <f>IF(AND(AND(AND(AK$4&gt;='2025'!$L328,AK$4&lt;='2025'!$M328), AK$4&lt;&gt;DATE(2025,7,4)), (SWITCH(weekday(AK$4), 1, 0, 2, if(ISBLANK('2025'!$P328), 0, 1), 3, if(ISBLANK('2025'!$Q328), 0, 1), 4, if(ISBLANK('2025'!$R328), 0, 1), 5, if(ISBLANK('2025'!$S328), 0, 1), 6, if(ISBLANK('2025'!$T328), 0, 1), 7, 0))), 1, "")</f>
        <v/>
      </c>
      <c r="AL330" s="1" t="str">
        <f>IF(AND(AND(AND(AL$4&gt;='2025'!$L328,AL$4&lt;='2025'!$M328), AL$4&lt;&gt;DATE(2025,7,4)), (SWITCH(weekday(AL$4), 1, 0, 2, if(ISBLANK('2025'!$P328), 0, 1), 3, if(ISBLANK('2025'!$Q328), 0, 1), 4, if(ISBLANK('2025'!$R328), 0, 1), 5, if(ISBLANK('2025'!$S328), 0, 1), 6, if(ISBLANK('2025'!$T328), 0, 1), 7, 0))), 1, "")</f>
        <v/>
      </c>
      <c r="AM330" s="1" t="str">
        <f>IF(AND(AND(AND(AM$4&gt;='2025'!$L328,AM$4&lt;='2025'!$M328), AM$4&lt;&gt;DATE(2025,7,4)), (SWITCH(weekday(AM$4), 1, 0, 2, if(ISBLANK('2025'!$P328), 0, 1), 3, if(ISBLANK('2025'!$Q328), 0, 1), 4, if(ISBLANK('2025'!$R328), 0, 1), 5, if(ISBLANK('2025'!$S328), 0, 1), 6, if(ISBLANK('2025'!$T328), 0, 1), 7, 0))), 1, "")</f>
        <v/>
      </c>
      <c r="AN330" s="1" t="str">
        <f>IF(AND(AND(AND(AN$4&gt;='2025'!$L328,AN$4&lt;='2025'!$M328), AN$4&lt;&gt;DATE(2025,7,4)), (SWITCH(weekday(AN$4), 1, 0, 2, if(ISBLANK('2025'!$P328), 0, 1), 3, if(ISBLANK('2025'!$Q328), 0, 1), 4, if(ISBLANK('2025'!$R328), 0, 1), 5, if(ISBLANK('2025'!$S328), 0, 1), 6, if(ISBLANK('2025'!$T328), 0, 1), 7, 0))), 1, "")</f>
        <v/>
      </c>
      <c r="AO330" s="1" t="str">
        <f>IF(AND(AND(AND(AO$4&gt;='2025'!$L328,AO$4&lt;='2025'!$M328), AO$4&lt;&gt;DATE(2025,7,4)), (SWITCH(weekday(AO$4), 1, 0, 2, if(ISBLANK('2025'!$P328), 0, 1), 3, if(ISBLANK('2025'!$Q328), 0, 1), 4, if(ISBLANK('2025'!$R328), 0, 1), 5, if(ISBLANK('2025'!$S328), 0, 1), 6, if(ISBLANK('2025'!$T328), 0, 1), 7, 0))), 1, "")</f>
        <v/>
      </c>
      <c r="AP330" s="1" t="str">
        <f>IF(AND(AND(AND(AP$4&gt;='2025'!$L328,AP$4&lt;='2025'!$M328), AP$4&lt;&gt;DATE(2025,7,4)), (SWITCH(weekday(AP$4), 1, 0, 2, if(ISBLANK('2025'!$P328), 0, 1), 3, if(ISBLANK('2025'!$Q328), 0, 1), 4, if(ISBLANK('2025'!$R328), 0, 1), 5, if(ISBLANK('2025'!$S328), 0, 1), 6, if(ISBLANK('2025'!$T328), 0, 1), 7, 0))), 1, "")</f>
        <v/>
      </c>
      <c r="AQ330" s="1" t="str">
        <f>IF(AND(AND(AND(AQ$4&gt;='2025'!$L328,AQ$4&lt;='2025'!$M328), AQ$4&lt;&gt;DATE(2025,7,4)), (SWITCH(weekday(AQ$4), 1, 0, 2, if(ISBLANK('2025'!$P328), 0, 1), 3, if(ISBLANK('2025'!$Q328), 0, 1), 4, if(ISBLANK('2025'!$R328), 0, 1), 5, if(ISBLANK('2025'!$S328), 0, 1), 6, if(ISBLANK('2025'!$T328), 0, 1), 7, 0))), 1, "")</f>
        <v/>
      </c>
      <c r="AR330" s="1" t="str">
        <f>IF(AND(AND(AND(AR$4&gt;='2025'!$L328,AR$4&lt;='2025'!$M328), AR$4&lt;&gt;DATE(2025,7,4)), (SWITCH(weekday(AR$4), 1, 0, 2, if(ISBLANK('2025'!$P328), 0, 1), 3, if(ISBLANK('2025'!$Q328), 0, 1), 4, if(ISBLANK('2025'!$R328), 0, 1), 5, if(ISBLANK('2025'!$S328), 0, 1), 6, if(ISBLANK('2025'!$T328), 0, 1), 7, 0))), 1, "")</f>
        <v/>
      </c>
      <c r="AS330" s="1" t="str">
        <f>IF(AND(AND(AND(AS$4&gt;='2025'!$L328,AS$4&lt;='2025'!$M328), AS$4&lt;&gt;DATE(2025,7,4)), (SWITCH(weekday(AS$4), 1, 0, 2, if(ISBLANK('2025'!$P328), 0, 1), 3, if(ISBLANK('2025'!$Q328), 0, 1), 4, if(ISBLANK('2025'!$R328), 0, 1), 5, if(ISBLANK('2025'!$S328), 0, 1), 6, if(ISBLANK('2025'!$T328), 0, 1), 7, 0))), 1, "")</f>
        <v/>
      </c>
      <c r="AT330" s="1" t="str">
        <f>IF(AND(AND(AND(AT$4&gt;='2025'!$L328,AT$4&lt;='2025'!$M328), AT$4&lt;&gt;DATE(2025,7,4)), (SWITCH(weekday(AT$4), 1, 0, 2, if(ISBLANK('2025'!$P328), 0, 1), 3, if(ISBLANK('2025'!$Q328), 0, 1), 4, if(ISBLANK('2025'!$R328), 0, 1), 5, if(ISBLANK('2025'!$S328), 0, 1), 6, if(ISBLANK('2025'!$T328), 0, 1), 7, 0))), 1, "")</f>
        <v/>
      </c>
      <c r="AU330" s="1" t="str">
        <f>IF(AND(AND(AND(AU$4&gt;='2025'!$L328,AU$4&lt;='2025'!$M328), AU$4&lt;&gt;DATE(2025,7,4)), (SWITCH(weekday(AU$4), 1, 0, 2, if(ISBLANK('2025'!$P328), 0, 1), 3, if(ISBLANK('2025'!$Q328), 0, 1), 4, if(ISBLANK('2025'!$R328), 0, 1), 5, if(ISBLANK('2025'!$S328), 0, 1), 6, if(ISBLANK('2025'!$T328), 0, 1), 7, 0))), 1, "")</f>
        <v/>
      </c>
      <c r="AV330" s="1" t="str">
        <f>IF(AND(AND(AND(AV$4&gt;='2025'!$L328,AV$4&lt;='2025'!$M328), AV$4&lt;&gt;DATE(2025,7,4)), (SWITCH(weekday(AV$4), 1, 0, 2, if(ISBLANK('2025'!$P328), 0, 1), 3, if(ISBLANK('2025'!$Q328), 0, 1), 4, if(ISBLANK('2025'!$R328), 0, 1), 5, if(ISBLANK('2025'!$S328), 0, 1), 6, if(ISBLANK('2025'!$T328), 0, 1), 7, 0))), 1, "")</f>
        <v/>
      </c>
      <c r="AW330" s="1" t="str">
        <f>IF(AND(AND(AND(AW$4&gt;='2025'!$L328,AW$4&lt;='2025'!$M328), AW$4&lt;&gt;DATE(2025,7,4)), (SWITCH(weekday(AW$4), 1, 0, 2, if(ISBLANK('2025'!$P328), 0, 1), 3, if(ISBLANK('2025'!$Q328), 0, 1), 4, if(ISBLANK('2025'!$R328), 0, 1), 5, if(ISBLANK('2025'!$S328), 0, 1), 6, if(ISBLANK('2025'!$T328), 0, 1), 7, 0))), 1, "")</f>
        <v/>
      </c>
      <c r="AX330" s="1" t="str">
        <f>IF(AND(AND(AND(AX$4&gt;='2025'!$L328,AX$4&lt;='2025'!$M328), AX$4&lt;&gt;DATE(2025,7,4)), (SWITCH(weekday(AX$4), 1, 0, 2, if(ISBLANK('2025'!$P328), 0, 1), 3, if(ISBLANK('2025'!$Q328), 0, 1), 4, if(ISBLANK('2025'!$R328), 0, 1), 5, if(ISBLANK('2025'!$S328), 0, 1), 6, if(ISBLANK('2025'!$T328), 0, 1), 7, 0))), 1, "")</f>
        <v/>
      </c>
      <c r="AY330" s="1" t="str">
        <f>IF(AND(AND(AND(AY$4&gt;='2025'!$L328,AY$4&lt;='2025'!$M328), AY$4&lt;&gt;DATE(2025,7,4)), (SWITCH(weekday(AY$4), 1, 0, 2, if(ISBLANK('2025'!$P328), 0, 1), 3, if(ISBLANK('2025'!$Q328), 0, 1), 4, if(ISBLANK('2025'!$R328), 0, 1), 5, if(ISBLANK('2025'!$S328), 0, 1), 6, if(ISBLANK('2025'!$T328), 0, 1), 7, 0))), 1, "")</f>
        <v/>
      </c>
      <c r="AZ330" s="1" t="str">
        <f>IF(AND(AND(AND(AZ$4&gt;='2025'!$L328,AZ$4&lt;='2025'!$M328), AZ$4&lt;&gt;DATE(2025,7,4)), (SWITCH(weekday(AZ$4), 1, 0, 2, if(ISBLANK('2025'!$P328), 0, 1), 3, if(ISBLANK('2025'!$Q328), 0, 1), 4, if(ISBLANK('2025'!$R328), 0, 1), 5, if(ISBLANK('2025'!$S328), 0, 1), 6, if(ISBLANK('2025'!$T328), 0, 1), 7, 0))), 1, "")</f>
        <v/>
      </c>
      <c r="BA330" s="1" t="str">
        <f>IF(AND(AND(AND(BA$4&gt;='2025'!$L328,BA$4&lt;='2025'!$M328), BA$4&lt;&gt;DATE(2025,7,4)), (SWITCH(weekday(BA$4), 1, 0, 2, if(ISBLANK('2025'!$P328), 0, 1), 3, if(ISBLANK('2025'!$Q328), 0, 1), 4, if(ISBLANK('2025'!$R328), 0, 1), 5, if(ISBLANK('2025'!$S328), 0, 1), 6, if(ISBLANK('2025'!$T328), 0, 1), 7, 0))), 1, "")</f>
        <v/>
      </c>
      <c r="BB330" s="1" t="str">
        <f>IF(AND(AND(AND(BB$4&gt;='2025'!$L328,BB$4&lt;='2025'!$M328), BB$4&lt;&gt;DATE(2025,7,4)), (SWITCH(weekday(BB$4), 1, 0, 2, if(ISBLANK('2025'!$P328), 0, 1), 3, if(ISBLANK('2025'!$Q328), 0, 1), 4, if(ISBLANK('2025'!$R328), 0, 1), 5, if(ISBLANK('2025'!$S328), 0, 1), 6, if(ISBLANK('2025'!$T328), 0, 1), 7, 0))), 1, "")</f>
        <v/>
      </c>
      <c r="BC330" s="1" t="str">
        <f>IF(AND(AND(AND(BC$4&gt;='2025'!$L328,BC$4&lt;='2025'!$M328), BC$4&lt;&gt;DATE(2025,7,4)), (SWITCH(weekday(BC$4), 1, 0, 2, if(ISBLANK('2025'!$P328), 0, 1), 3, if(ISBLANK('2025'!$Q328), 0, 1), 4, if(ISBLANK('2025'!$R328), 0, 1), 5, if(ISBLANK('2025'!$S328), 0, 1), 6, if(ISBLANK('2025'!$T328), 0, 1), 7, 0))), 1, "")</f>
        <v/>
      </c>
      <c r="BD330" s="1" t="str">
        <f>IF(AND(AND(AND(BD$4&gt;='2025'!$L328,BD$4&lt;='2025'!$M328), BD$4&lt;&gt;DATE(2025,7,4)), (SWITCH(weekday(BD$4), 1, 0, 2, if(ISBLANK('2025'!$P328), 0, 1), 3, if(ISBLANK('2025'!$Q328), 0, 1), 4, if(ISBLANK('2025'!$R328), 0, 1), 5, if(ISBLANK('2025'!$S328), 0, 1), 6, if(ISBLANK('2025'!$T328), 0, 1), 7, 0))), 1, "")</f>
        <v/>
      </c>
      <c r="BE330" s="1" t="str">
        <f>IF(AND(AND(AND(BE$4&gt;='2025'!$L328,BE$4&lt;='2025'!$M328), BE$4&lt;&gt;DATE(2025,7,4)), (SWITCH(weekday(BE$4), 1, 0, 2, if(ISBLANK('2025'!$P328), 0, 1), 3, if(ISBLANK('2025'!$Q328), 0, 1), 4, if(ISBLANK('2025'!$R328), 0, 1), 5, if(ISBLANK('2025'!$S328), 0, 1), 6, if(ISBLANK('2025'!$T328), 0, 1), 7, 0))), 1, "")</f>
        <v/>
      </c>
      <c r="BF330" s="1" t="str">
        <f>IF(AND(AND(AND(BF$4&gt;='2025'!$L328,BF$4&lt;='2025'!$M328), BF$4&lt;&gt;DATE(2025,7,4)), (SWITCH(weekday(BF$4), 1, 0, 2, if(ISBLANK('2025'!$P328), 0, 1), 3, if(ISBLANK('2025'!$Q328), 0, 1), 4, if(ISBLANK('2025'!$R328), 0, 1), 5, if(ISBLANK('2025'!$S328), 0, 1), 6, if(ISBLANK('2025'!$T328), 0, 1), 7, 0))), 1, "")</f>
        <v/>
      </c>
      <c r="BG330" s="1"/>
      <c r="BH330" s="1"/>
      <c r="BI330" s="1"/>
      <c r="BJ330" s="1"/>
      <c r="BK330" s="1"/>
      <c r="BL330" s="1"/>
    </row>
    <row r="331">
      <c r="A331" s="1">
        <f t="shared" si="3"/>
        <v>331</v>
      </c>
      <c r="B331" s="1" t="str">
        <f>'2025'!D295</f>
        <v>, </v>
      </c>
      <c r="C331" s="1" t="str">
        <f>'2025'!H295</f>
        <v/>
      </c>
      <c r="D331" s="1" t="str">
        <f>IF(AND(AND(AND(D$4&gt;='2025'!$L329,D$4&lt;='2025'!$M329), D$4&lt;&gt;DATE(2025,7,4)), (SWITCH(weekday(D$4), 1, 0, 2, if(ISBLANK('2025'!$P329), 0, 1), 3, if(ISBLANK('2025'!$Q329), 0, 1), 4, if(ISBLANK('2025'!$R329), 0, 1), 5, if(ISBLANK('2025'!$S329), 0, 1), 6, if(ISBLANK('2025'!$T329), 0, 1), 7, 0))), 1, "")</f>
        <v/>
      </c>
      <c r="E331" s="1" t="str">
        <f>IF(AND(AND(AND(E$4&gt;='2025'!$L329,E$4&lt;='2025'!$M329), E$4&lt;&gt;DATE(2025,7,4)), (SWITCH(weekday(E$4), 1, 0, 2, if(ISBLANK('2025'!$P329), 0, 1), 3, if(ISBLANK('2025'!$Q329), 0, 1), 4, if(ISBLANK('2025'!$R329), 0, 1), 5, if(ISBLANK('2025'!$S329), 0, 1), 6, if(ISBLANK('2025'!$T329), 0, 1), 7, 0))), 1, "")</f>
        <v/>
      </c>
      <c r="F331" s="1" t="str">
        <f>IF(AND(AND(AND(F$4&gt;='2025'!$L329,F$4&lt;='2025'!$M329), F$4&lt;&gt;DATE(2025,7,4)), (SWITCH(weekday(F$4), 1, 0, 2, if(ISBLANK('2025'!$P329), 0, 1), 3, if(ISBLANK('2025'!$Q329), 0, 1), 4, if(ISBLANK('2025'!$R329), 0, 1), 5, if(ISBLANK('2025'!$S329), 0, 1), 6, if(ISBLANK('2025'!$T329), 0, 1), 7, 0))), 1, "")</f>
        <v/>
      </c>
      <c r="G331" s="1" t="str">
        <f>IF(AND(AND(AND(G$4&gt;='2025'!$L329,G$4&lt;='2025'!$M329), G$4&lt;&gt;DATE(2025,7,4)), (SWITCH(weekday(G$4), 1, 0, 2, if(ISBLANK('2025'!$P329), 0, 1), 3, if(ISBLANK('2025'!$Q329), 0, 1), 4, if(ISBLANK('2025'!$R329), 0, 1), 5, if(ISBLANK('2025'!$S329), 0, 1), 6, if(ISBLANK('2025'!$T329), 0, 1), 7, 0))), 1, "")</f>
        <v/>
      </c>
      <c r="H331" s="1" t="str">
        <f>IF(AND(AND(AND(H$4&gt;='2025'!$L329,H$4&lt;='2025'!$M329), H$4&lt;&gt;DATE(2025,7,4)), (SWITCH(weekday(H$4), 1, 0, 2, if(ISBLANK('2025'!$P329), 0, 1), 3, if(ISBLANK('2025'!$Q329), 0, 1), 4, if(ISBLANK('2025'!$R329), 0, 1), 5, if(ISBLANK('2025'!$S329), 0, 1), 6, if(ISBLANK('2025'!$T329), 0, 1), 7, 0))), 1, "")</f>
        <v/>
      </c>
      <c r="I331" s="1" t="str">
        <f>IF(AND(AND(AND(I$4&gt;='2025'!$L329,I$4&lt;='2025'!$M329), I$4&lt;&gt;DATE(2025,7,4)), (SWITCH(weekday(I$4), 1, 0, 2, if(ISBLANK('2025'!$P329), 0, 1), 3, if(ISBLANK('2025'!$Q329), 0, 1), 4, if(ISBLANK('2025'!$R329), 0, 1), 5, if(ISBLANK('2025'!$S329), 0, 1), 6, if(ISBLANK('2025'!$T329), 0, 1), 7, 0))), 1, "")</f>
        <v/>
      </c>
      <c r="J331" s="1" t="str">
        <f>IF(AND(AND(AND(J$4&gt;='2025'!$L329,J$4&lt;='2025'!$M329), J$4&lt;&gt;DATE(2025,7,4)), (SWITCH(weekday(J$4), 1, 0, 2, if(ISBLANK('2025'!$P329), 0, 1), 3, if(ISBLANK('2025'!$Q329), 0, 1), 4, if(ISBLANK('2025'!$R329), 0, 1), 5, if(ISBLANK('2025'!$S329), 0, 1), 6, if(ISBLANK('2025'!$T329), 0, 1), 7, 0))), 1, "")</f>
        <v/>
      </c>
      <c r="K331" s="1" t="str">
        <f>IF(AND(AND(AND(K$4&gt;='2025'!$L329,K$4&lt;='2025'!$M329), K$4&lt;&gt;DATE(2025,7,4)), (SWITCH(weekday(K$4), 1, 0, 2, if(ISBLANK('2025'!$P329), 0, 1), 3, if(ISBLANK('2025'!$Q329), 0, 1), 4, if(ISBLANK('2025'!$R329), 0, 1), 5, if(ISBLANK('2025'!$S329), 0, 1), 6, if(ISBLANK('2025'!$T329), 0, 1), 7, 0))), 1, "")</f>
        <v/>
      </c>
      <c r="L331" s="1" t="str">
        <f>IF(AND(AND(AND(L$4&gt;='2025'!$L329,L$4&lt;='2025'!$M329), L$4&lt;&gt;DATE(2025,7,4)), (SWITCH(weekday(L$4), 1, 0, 2, if(ISBLANK('2025'!$P329), 0, 1), 3, if(ISBLANK('2025'!$Q329), 0, 1), 4, if(ISBLANK('2025'!$R329), 0, 1), 5, if(ISBLANK('2025'!$S329), 0, 1), 6, if(ISBLANK('2025'!$T329), 0, 1), 7, 0))), 1, "")</f>
        <v/>
      </c>
      <c r="M331" s="1" t="str">
        <f>IF(AND(AND(AND(M$4&gt;='2025'!$L329,M$4&lt;='2025'!$M329), M$4&lt;&gt;DATE(2025,7,4)), (SWITCH(weekday(M$4), 1, 0, 2, if(ISBLANK('2025'!$P329), 0, 1), 3, if(ISBLANK('2025'!$Q329), 0, 1), 4, if(ISBLANK('2025'!$R329), 0, 1), 5, if(ISBLANK('2025'!$S329), 0, 1), 6, if(ISBLANK('2025'!$T329), 0, 1), 7, 0))), 1, "")</f>
        <v/>
      </c>
      <c r="N331" s="1" t="str">
        <f>IF(AND(AND(AND(N$4&gt;='2025'!$L329,N$4&lt;='2025'!$M329), N$4&lt;&gt;DATE(2025,7,4)), (SWITCH(weekday(N$4), 1, 0, 2, if(ISBLANK('2025'!$P329), 0, 1), 3, if(ISBLANK('2025'!$Q329), 0, 1), 4, if(ISBLANK('2025'!$R329), 0, 1), 5, if(ISBLANK('2025'!$S329), 0, 1), 6, if(ISBLANK('2025'!$T329), 0, 1), 7, 0))), 1, "")</f>
        <v/>
      </c>
      <c r="O331" s="1" t="str">
        <f>IF(AND(AND(AND(O$4&gt;='2025'!$L329,O$4&lt;='2025'!$M329), O$4&lt;&gt;DATE(2025,7,4)), (SWITCH(weekday(O$4), 1, 0, 2, if(ISBLANK('2025'!$P329), 0, 1), 3, if(ISBLANK('2025'!$Q329), 0, 1), 4, if(ISBLANK('2025'!$R329), 0, 1), 5, if(ISBLANK('2025'!$S329), 0, 1), 6, if(ISBLANK('2025'!$T329), 0, 1), 7, 0))), 1, "")</f>
        <v/>
      </c>
      <c r="P331" s="1" t="str">
        <f>IF(AND(AND(AND(P$4&gt;='2025'!$L329,P$4&lt;='2025'!$M329), P$4&lt;&gt;DATE(2025,7,4)), (SWITCH(weekday(P$4), 1, 0, 2, if(ISBLANK('2025'!$P329), 0, 1), 3, if(ISBLANK('2025'!$Q329), 0, 1), 4, if(ISBLANK('2025'!$R329), 0, 1), 5, if(ISBLANK('2025'!$S329), 0, 1), 6, if(ISBLANK('2025'!$T329), 0, 1), 7, 0))), 1, "")</f>
        <v/>
      </c>
      <c r="Q331" s="1" t="str">
        <f>IF(AND(AND(AND(Q$4&gt;='2025'!$L329,Q$4&lt;='2025'!$M329), Q$4&lt;&gt;DATE(2025,7,4)), (SWITCH(weekday(Q$4), 1, 0, 2, if(ISBLANK('2025'!$P329), 0, 1), 3, if(ISBLANK('2025'!$Q329), 0, 1), 4, if(ISBLANK('2025'!$R329), 0, 1), 5, if(ISBLANK('2025'!$S329), 0, 1), 6, if(ISBLANK('2025'!$T329), 0, 1), 7, 0))), 1, "")</f>
        <v/>
      </c>
      <c r="R331" s="1" t="str">
        <f>IF(AND(AND(AND(R$4&gt;='2025'!$L329,R$4&lt;='2025'!$M329), R$4&lt;&gt;DATE(2025,7,4)), (SWITCH(weekday(R$4), 1, 0, 2, if(ISBLANK('2025'!$P329), 0, 1), 3, if(ISBLANK('2025'!$Q329), 0, 1), 4, if(ISBLANK('2025'!$R329), 0, 1), 5, if(ISBLANK('2025'!$S329), 0, 1), 6, if(ISBLANK('2025'!$T329), 0, 1), 7, 0))), 1, "")</f>
        <v/>
      </c>
      <c r="S331" s="1" t="str">
        <f>IF(AND(AND(AND(S$4&gt;='2025'!$L329,S$4&lt;='2025'!$M329), S$4&lt;&gt;DATE(2025,7,4)), (SWITCH(weekday(S$4), 1, 0, 2, if(ISBLANK('2025'!$P329), 0, 1), 3, if(ISBLANK('2025'!$Q329), 0, 1), 4, if(ISBLANK('2025'!$R329), 0, 1), 5, if(ISBLANK('2025'!$S329), 0, 1), 6, if(ISBLANK('2025'!$T329), 0, 1), 7, 0))), 1, "")</f>
        <v/>
      </c>
      <c r="T331" s="1" t="str">
        <f>IF(AND(AND(AND(T$4&gt;='2025'!$L329,T$4&lt;='2025'!$M329), T$4&lt;&gt;DATE(2025,7,4)), (SWITCH(weekday(T$4), 1, 0, 2, if(ISBLANK('2025'!$P329), 0, 1), 3, if(ISBLANK('2025'!$Q329), 0, 1), 4, if(ISBLANK('2025'!$R329), 0, 1), 5, if(ISBLANK('2025'!$S329), 0, 1), 6, if(ISBLANK('2025'!$T329), 0, 1), 7, 0))), 1, "")</f>
        <v/>
      </c>
      <c r="U331" s="1" t="str">
        <f>IF(AND(AND(AND(U$4&gt;='2025'!$L329,U$4&lt;='2025'!$M329), U$4&lt;&gt;DATE(2025,7,4)), (SWITCH(weekday(U$4), 1, 0, 2, if(ISBLANK('2025'!$P329), 0, 1), 3, if(ISBLANK('2025'!$Q329), 0, 1), 4, if(ISBLANK('2025'!$R329), 0, 1), 5, if(ISBLANK('2025'!$S329), 0, 1), 6, if(ISBLANK('2025'!$T329), 0, 1), 7, 0))), 1, "")</f>
        <v/>
      </c>
      <c r="V331" s="1" t="str">
        <f>IF(AND(AND(AND(V$4&gt;='2025'!$L329,V$4&lt;='2025'!$M329), V$4&lt;&gt;DATE(2025,7,4)), (SWITCH(weekday(V$4), 1, 0, 2, if(ISBLANK('2025'!$P329), 0, 1), 3, if(ISBLANK('2025'!$Q329), 0, 1), 4, if(ISBLANK('2025'!$R329), 0, 1), 5, if(ISBLANK('2025'!$S329), 0, 1), 6, if(ISBLANK('2025'!$T329), 0, 1), 7, 0))), 1, "")</f>
        <v/>
      </c>
      <c r="W331" s="1" t="str">
        <f>IF(AND(AND(AND(W$4&gt;='2025'!$L329,W$4&lt;='2025'!$M329), W$4&lt;&gt;DATE(2025,7,4)), (SWITCH(weekday(W$4), 1, 0, 2, if(ISBLANK('2025'!$P329), 0, 1), 3, if(ISBLANK('2025'!$Q329), 0, 1), 4, if(ISBLANK('2025'!$R329), 0, 1), 5, if(ISBLANK('2025'!$S329), 0, 1), 6, if(ISBLANK('2025'!$T329), 0, 1), 7, 0))), 1, "")</f>
        <v/>
      </c>
      <c r="X331" s="1" t="str">
        <f>IF(AND(AND(AND(X$4&gt;='2025'!$L329,X$4&lt;='2025'!$M329), X$4&lt;&gt;DATE(2025,7,4)), (SWITCH(weekday(X$4), 1, 0, 2, if(ISBLANK('2025'!$P329), 0, 1), 3, if(ISBLANK('2025'!$Q329), 0, 1), 4, if(ISBLANK('2025'!$R329), 0, 1), 5, if(ISBLANK('2025'!$S329), 0, 1), 6, if(ISBLANK('2025'!$T329), 0, 1), 7, 0))), 1, "")</f>
        <v/>
      </c>
      <c r="Y331" s="1" t="str">
        <f>IF(AND(AND(AND(Y$4&gt;='2025'!$L329,Y$4&lt;='2025'!$M329), Y$4&lt;&gt;DATE(2025,7,4)), (SWITCH(weekday(Y$4), 1, 0, 2, if(ISBLANK('2025'!$P329), 0, 1), 3, if(ISBLANK('2025'!$Q329), 0, 1), 4, if(ISBLANK('2025'!$R329), 0, 1), 5, if(ISBLANK('2025'!$S329), 0, 1), 6, if(ISBLANK('2025'!$T329), 0, 1), 7, 0))), 1, "")</f>
        <v/>
      </c>
      <c r="Z331" s="1" t="str">
        <f>IF(AND(AND(AND(Z$4&gt;='2025'!$L329,Z$4&lt;='2025'!$M329), Z$4&lt;&gt;DATE(2025,7,4)), (SWITCH(weekday(Z$4), 1, 0, 2, if(ISBLANK('2025'!$P329), 0, 1), 3, if(ISBLANK('2025'!$Q329), 0, 1), 4, if(ISBLANK('2025'!$R329), 0, 1), 5, if(ISBLANK('2025'!$S329), 0, 1), 6, if(ISBLANK('2025'!$T329), 0, 1), 7, 0))), 1, "")</f>
        <v/>
      </c>
      <c r="AA331" s="1" t="str">
        <f>IF(AND(AND(AND(AA$4&gt;='2025'!$L329,AA$4&lt;='2025'!$M329), AA$4&lt;&gt;DATE(2025,7,4)), (SWITCH(weekday(AA$4), 1, 0, 2, if(ISBLANK('2025'!$P329), 0, 1), 3, if(ISBLANK('2025'!$Q329), 0, 1), 4, if(ISBLANK('2025'!$R329), 0, 1), 5, if(ISBLANK('2025'!$S329), 0, 1), 6, if(ISBLANK('2025'!$T329), 0, 1), 7, 0))), 1, "")</f>
        <v/>
      </c>
      <c r="AB331" s="1" t="str">
        <f>IF(AND(AND(AND(AB$4&gt;='2025'!$L329,AB$4&lt;='2025'!$M329), AB$4&lt;&gt;DATE(2025,7,4)), (SWITCH(weekday(AB$4), 1, 0, 2, if(ISBLANK('2025'!$P329), 0, 1), 3, if(ISBLANK('2025'!$Q329), 0, 1), 4, if(ISBLANK('2025'!$R329), 0, 1), 5, if(ISBLANK('2025'!$S329), 0, 1), 6, if(ISBLANK('2025'!$T329), 0, 1), 7, 0))), 1, "")</f>
        <v/>
      </c>
      <c r="AC331" s="1" t="str">
        <f>IF(AND(AND(AND(AC$4&gt;='2025'!$L329,AC$4&lt;='2025'!$M329), AC$4&lt;&gt;DATE(2025,7,4)), (SWITCH(weekday(AC$4), 1, 0, 2, if(ISBLANK('2025'!$P329), 0, 1), 3, if(ISBLANK('2025'!$Q329), 0, 1), 4, if(ISBLANK('2025'!$R329), 0, 1), 5, if(ISBLANK('2025'!$S329), 0, 1), 6, if(ISBLANK('2025'!$T329), 0, 1), 7, 0))), 1, "")</f>
        <v/>
      </c>
      <c r="AD331" s="1" t="str">
        <f>IF(AND(AND(AND(AD$4&gt;='2025'!$L329,AD$4&lt;='2025'!$M329), AD$4&lt;&gt;DATE(2025,7,4)), (SWITCH(weekday(AD$4), 1, 0, 2, if(ISBLANK('2025'!$P329), 0, 1), 3, if(ISBLANK('2025'!$Q329), 0, 1), 4, if(ISBLANK('2025'!$R329), 0, 1), 5, if(ISBLANK('2025'!$S329), 0, 1), 6, if(ISBLANK('2025'!$T329), 0, 1), 7, 0))), 1, "")</f>
        <v/>
      </c>
      <c r="AE331" s="1" t="str">
        <f>IF(AND(AND(AND(AE$4&gt;='2025'!$L329,AE$4&lt;='2025'!$M329), AE$4&lt;&gt;DATE(2025,7,4)), (SWITCH(weekday(AE$4), 1, 0, 2, if(ISBLANK('2025'!$P329), 0, 1), 3, if(ISBLANK('2025'!$Q329), 0, 1), 4, if(ISBLANK('2025'!$R329), 0, 1), 5, if(ISBLANK('2025'!$S329), 0, 1), 6, if(ISBLANK('2025'!$T329), 0, 1), 7, 0))), 1, "")</f>
        <v/>
      </c>
      <c r="AF331" s="1" t="str">
        <f>IF(AND(AND(AND(AF$4&gt;='2025'!$L329,AF$4&lt;='2025'!$M329), AF$4&lt;&gt;DATE(2025,7,4)), (SWITCH(weekday(AF$4), 1, 0, 2, if(ISBLANK('2025'!$P329), 0, 1), 3, if(ISBLANK('2025'!$Q329), 0, 1), 4, if(ISBLANK('2025'!$R329), 0, 1), 5, if(ISBLANK('2025'!$S329), 0, 1), 6, if(ISBLANK('2025'!$T329), 0, 1), 7, 0))), 1, "")</f>
        <v/>
      </c>
      <c r="AG331" s="1" t="str">
        <f>IF(AND(AND(AND(AG$4&gt;='2025'!$L329,AG$4&lt;='2025'!$M329), AG$4&lt;&gt;DATE(2025,7,4)), (SWITCH(weekday(AG$4), 1, 0, 2, if(ISBLANK('2025'!$P329), 0, 1), 3, if(ISBLANK('2025'!$Q329), 0, 1), 4, if(ISBLANK('2025'!$R329), 0, 1), 5, if(ISBLANK('2025'!$S329), 0, 1), 6, if(ISBLANK('2025'!$T329), 0, 1), 7, 0))), 1, "")</f>
        <v/>
      </c>
      <c r="AH331" s="1" t="str">
        <f>IF(AND(AND(AND(AH$4&gt;='2025'!$L329,AH$4&lt;='2025'!$M329), AH$4&lt;&gt;DATE(2025,7,4)), (SWITCH(weekday(AH$4), 1, 0, 2, if(ISBLANK('2025'!$P329), 0, 1), 3, if(ISBLANK('2025'!$Q329), 0, 1), 4, if(ISBLANK('2025'!$R329), 0, 1), 5, if(ISBLANK('2025'!$S329), 0, 1), 6, if(ISBLANK('2025'!$T329), 0, 1), 7, 0))), 1, "")</f>
        <v/>
      </c>
      <c r="AI331" s="1" t="str">
        <f>IF(AND(AND(AND(AI$4&gt;='2025'!$L329,AI$4&lt;='2025'!$M329), AI$4&lt;&gt;DATE(2025,7,4)), (SWITCH(weekday(AI$4), 1, 0, 2, if(ISBLANK('2025'!$P329), 0, 1), 3, if(ISBLANK('2025'!$Q329), 0, 1), 4, if(ISBLANK('2025'!$R329), 0, 1), 5, if(ISBLANK('2025'!$S329), 0, 1), 6, if(ISBLANK('2025'!$T329), 0, 1), 7, 0))), 1, "")</f>
        <v/>
      </c>
      <c r="AJ331" s="1" t="str">
        <f>IF(AND(AND(AND(AJ$4&gt;='2025'!$L329,AJ$4&lt;='2025'!$M329), AJ$4&lt;&gt;DATE(2025,7,4)), (SWITCH(weekday(AJ$4), 1, 0, 2, if(ISBLANK('2025'!$P329), 0, 1), 3, if(ISBLANK('2025'!$Q329), 0, 1), 4, if(ISBLANK('2025'!$R329), 0, 1), 5, if(ISBLANK('2025'!$S329), 0, 1), 6, if(ISBLANK('2025'!$T329), 0, 1), 7, 0))), 1, "")</f>
        <v/>
      </c>
      <c r="AK331" s="1" t="str">
        <f>IF(AND(AND(AND(AK$4&gt;='2025'!$L329,AK$4&lt;='2025'!$M329), AK$4&lt;&gt;DATE(2025,7,4)), (SWITCH(weekday(AK$4), 1, 0, 2, if(ISBLANK('2025'!$P329), 0, 1), 3, if(ISBLANK('2025'!$Q329), 0, 1), 4, if(ISBLANK('2025'!$R329), 0, 1), 5, if(ISBLANK('2025'!$S329), 0, 1), 6, if(ISBLANK('2025'!$T329), 0, 1), 7, 0))), 1, "")</f>
        <v/>
      </c>
      <c r="AL331" s="1" t="str">
        <f>IF(AND(AND(AND(AL$4&gt;='2025'!$L329,AL$4&lt;='2025'!$M329), AL$4&lt;&gt;DATE(2025,7,4)), (SWITCH(weekday(AL$4), 1, 0, 2, if(ISBLANK('2025'!$P329), 0, 1), 3, if(ISBLANK('2025'!$Q329), 0, 1), 4, if(ISBLANK('2025'!$R329), 0, 1), 5, if(ISBLANK('2025'!$S329), 0, 1), 6, if(ISBLANK('2025'!$T329), 0, 1), 7, 0))), 1, "")</f>
        <v/>
      </c>
      <c r="AM331" s="1" t="str">
        <f>IF(AND(AND(AND(AM$4&gt;='2025'!$L329,AM$4&lt;='2025'!$M329), AM$4&lt;&gt;DATE(2025,7,4)), (SWITCH(weekday(AM$4), 1, 0, 2, if(ISBLANK('2025'!$P329), 0, 1), 3, if(ISBLANK('2025'!$Q329), 0, 1), 4, if(ISBLANK('2025'!$R329), 0, 1), 5, if(ISBLANK('2025'!$S329), 0, 1), 6, if(ISBLANK('2025'!$T329), 0, 1), 7, 0))), 1, "")</f>
        <v/>
      </c>
      <c r="AN331" s="1" t="str">
        <f>IF(AND(AND(AND(AN$4&gt;='2025'!$L329,AN$4&lt;='2025'!$M329), AN$4&lt;&gt;DATE(2025,7,4)), (SWITCH(weekday(AN$4), 1, 0, 2, if(ISBLANK('2025'!$P329), 0, 1), 3, if(ISBLANK('2025'!$Q329), 0, 1), 4, if(ISBLANK('2025'!$R329), 0, 1), 5, if(ISBLANK('2025'!$S329), 0, 1), 6, if(ISBLANK('2025'!$T329), 0, 1), 7, 0))), 1, "")</f>
        <v/>
      </c>
      <c r="AO331" s="1" t="str">
        <f>IF(AND(AND(AND(AO$4&gt;='2025'!$L329,AO$4&lt;='2025'!$M329), AO$4&lt;&gt;DATE(2025,7,4)), (SWITCH(weekday(AO$4), 1, 0, 2, if(ISBLANK('2025'!$P329), 0, 1), 3, if(ISBLANK('2025'!$Q329), 0, 1), 4, if(ISBLANK('2025'!$R329), 0, 1), 5, if(ISBLANK('2025'!$S329), 0, 1), 6, if(ISBLANK('2025'!$T329), 0, 1), 7, 0))), 1, "")</f>
        <v/>
      </c>
      <c r="AP331" s="1" t="str">
        <f>IF(AND(AND(AND(AP$4&gt;='2025'!$L329,AP$4&lt;='2025'!$M329), AP$4&lt;&gt;DATE(2025,7,4)), (SWITCH(weekday(AP$4), 1, 0, 2, if(ISBLANK('2025'!$P329), 0, 1), 3, if(ISBLANK('2025'!$Q329), 0, 1), 4, if(ISBLANK('2025'!$R329), 0, 1), 5, if(ISBLANK('2025'!$S329), 0, 1), 6, if(ISBLANK('2025'!$T329), 0, 1), 7, 0))), 1, "")</f>
        <v/>
      </c>
      <c r="AQ331" s="1" t="str">
        <f>IF(AND(AND(AND(AQ$4&gt;='2025'!$L329,AQ$4&lt;='2025'!$M329), AQ$4&lt;&gt;DATE(2025,7,4)), (SWITCH(weekday(AQ$4), 1, 0, 2, if(ISBLANK('2025'!$P329), 0, 1), 3, if(ISBLANK('2025'!$Q329), 0, 1), 4, if(ISBLANK('2025'!$R329), 0, 1), 5, if(ISBLANK('2025'!$S329), 0, 1), 6, if(ISBLANK('2025'!$T329), 0, 1), 7, 0))), 1, "")</f>
        <v/>
      </c>
      <c r="AR331" s="1" t="str">
        <f>IF(AND(AND(AND(AR$4&gt;='2025'!$L329,AR$4&lt;='2025'!$M329), AR$4&lt;&gt;DATE(2025,7,4)), (SWITCH(weekday(AR$4), 1, 0, 2, if(ISBLANK('2025'!$P329), 0, 1), 3, if(ISBLANK('2025'!$Q329), 0, 1), 4, if(ISBLANK('2025'!$R329), 0, 1), 5, if(ISBLANK('2025'!$S329), 0, 1), 6, if(ISBLANK('2025'!$T329), 0, 1), 7, 0))), 1, "")</f>
        <v/>
      </c>
      <c r="AS331" s="1" t="str">
        <f>IF(AND(AND(AND(AS$4&gt;='2025'!$L329,AS$4&lt;='2025'!$M329), AS$4&lt;&gt;DATE(2025,7,4)), (SWITCH(weekday(AS$4), 1, 0, 2, if(ISBLANK('2025'!$P329), 0, 1), 3, if(ISBLANK('2025'!$Q329), 0, 1), 4, if(ISBLANK('2025'!$R329), 0, 1), 5, if(ISBLANK('2025'!$S329), 0, 1), 6, if(ISBLANK('2025'!$T329), 0, 1), 7, 0))), 1, "")</f>
        <v/>
      </c>
      <c r="AT331" s="1" t="str">
        <f>IF(AND(AND(AND(AT$4&gt;='2025'!$L329,AT$4&lt;='2025'!$M329), AT$4&lt;&gt;DATE(2025,7,4)), (SWITCH(weekday(AT$4), 1, 0, 2, if(ISBLANK('2025'!$P329), 0, 1), 3, if(ISBLANK('2025'!$Q329), 0, 1), 4, if(ISBLANK('2025'!$R329), 0, 1), 5, if(ISBLANK('2025'!$S329), 0, 1), 6, if(ISBLANK('2025'!$T329), 0, 1), 7, 0))), 1, "")</f>
        <v/>
      </c>
      <c r="AU331" s="1" t="str">
        <f>IF(AND(AND(AND(AU$4&gt;='2025'!$L329,AU$4&lt;='2025'!$M329), AU$4&lt;&gt;DATE(2025,7,4)), (SWITCH(weekday(AU$4), 1, 0, 2, if(ISBLANK('2025'!$P329), 0, 1), 3, if(ISBLANK('2025'!$Q329), 0, 1), 4, if(ISBLANK('2025'!$R329), 0, 1), 5, if(ISBLANK('2025'!$S329), 0, 1), 6, if(ISBLANK('2025'!$T329), 0, 1), 7, 0))), 1, "")</f>
        <v/>
      </c>
      <c r="AV331" s="1" t="str">
        <f>IF(AND(AND(AND(AV$4&gt;='2025'!$L329,AV$4&lt;='2025'!$M329), AV$4&lt;&gt;DATE(2025,7,4)), (SWITCH(weekday(AV$4), 1, 0, 2, if(ISBLANK('2025'!$P329), 0, 1), 3, if(ISBLANK('2025'!$Q329), 0, 1), 4, if(ISBLANK('2025'!$R329), 0, 1), 5, if(ISBLANK('2025'!$S329), 0, 1), 6, if(ISBLANK('2025'!$T329), 0, 1), 7, 0))), 1, "")</f>
        <v/>
      </c>
      <c r="AW331" s="1" t="str">
        <f>IF(AND(AND(AND(AW$4&gt;='2025'!$L329,AW$4&lt;='2025'!$M329), AW$4&lt;&gt;DATE(2025,7,4)), (SWITCH(weekday(AW$4), 1, 0, 2, if(ISBLANK('2025'!$P329), 0, 1), 3, if(ISBLANK('2025'!$Q329), 0, 1), 4, if(ISBLANK('2025'!$R329), 0, 1), 5, if(ISBLANK('2025'!$S329), 0, 1), 6, if(ISBLANK('2025'!$T329), 0, 1), 7, 0))), 1, "")</f>
        <v/>
      </c>
      <c r="AX331" s="1" t="str">
        <f>IF(AND(AND(AND(AX$4&gt;='2025'!$L329,AX$4&lt;='2025'!$M329), AX$4&lt;&gt;DATE(2025,7,4)), (SWITCH(weekday(AX$4), 1, 0, 2, if(ISBLANK('2025'!$P329), 0, 1), 3, if(ISBLANK('2025'!$Q329), 0, 1), 4, if(ISBLANK('2025'!$R329), 0, 1), 5, if(ISBLANK('2025'!$S329), 0, 1), 6, if(ISBLANK('2025'!$T329), 0, 1), 7, 0))), 1, "")</f>
        <v/>
      </c>
      <c r="AY331" s="1" t="str">
        <f>IF(AND(AND(AND(AY$4&gt;='2025'!$L329,AY$4&lt;='2025'!$M329), AY$4&lt;&gt;DATE(2025,7,4)), (SWITCH(weekday(AY$4), 1, 0, 2, if(ISBLANK('2025'!$P329), 0, 1), 3, if(ISBLANK('2025'!$Q329), 0, 1), 4, if(ISBLANK('2025'!$R329), 0, 1), 5, if(ISBLANK('2025'!$S329), 0, 1), 6, if(ISBLANK('2025'!$T329), 0, 1), 7, 0))), 1, "")</f>
        <v/>
      </c>
      <c r="AZ331" s="1" t="str">
        <f>IF(AND(AND(AND(AZ$4&gt;='2025'!$L329,AZ$4&lt;='2025'!$M329), AZ$4&lt;&gt;DATE(2025,7,4)), (SWITCH(weekday(AZ$4), 1, 0, 2, if(ISBLANK('2025'!$P329), 0, 1), 3, if(ISBLANK('2025'!$Q329), 0, 1), 4, if(ISBLANK('2025'!$R329), 0, 1), 5, if(ISBLANK('2025'!$S329), 0, 1), 6, if(ISBLANK('2025'!$T329), 0, 1), 7, 0))), 1, "")</f>
        <v/>
      </c>
      <c r="BA331" s="1" t="str">
        <f>IF(AND(AND(AND(BA$4&gt;='2025'!$L329,BA$4&lt;='2025'!$M329), BA$4&lt;&gt;DATE(2025,7,4)), (SWITCH(weekday(BA$4), 1, 0, 2, if(ISBLANK('2025'!$P329), 0, 1), 3, if(ISBLANK('2025'!$Q329), 0, 1), 4, if(ISBLANK('2025'!$R329), 0, 1), 5, if(ISBLANK('2025'!$S329), 0, 1), 6, if(ISBLANK('2025'!$T329), 0, 1), 7, 0))), 1, "")</f>
        <v/>
      </c>
      <c r="BB331" s="1" t="str">
        <f>IF(AND(AND(AND(BB$4&gt;='2025'!$L329,BB$4&lt;='2025'!$M329), BB$4&lt;&gt;DATE(2025,7,4)), (SWITCH(weekday(BB$4), 1, 0, 2, if(ISBLANK('2025'!$P329), 0, 1), 3, if(ISBLANK('2025'!$Q329), 0, 1), 4, if(ISBLANK('2025'!$R329), 0, 1), 5, if(ISBLANK('2025'!$S329), 0, 1), 6, if(ISBLANK('2025'!$T329), 0, 1), 7, 0))), 1, "")</f>
        <v/>
      </c>
      <c r="BC331" s="1" t="str">
        <f>IF(AND(AND(AND(BC$4&gt;='2025'!$L329,BC$4&lt;='2025'!$M329), BC$4&lt;&gt;DATE(2025,7,4)), (SWITCH(weekday(BC$4), 1, 0, 2, if(ISBLANK('2025'!$P329), 0, 1), 3, if(ISBLANK('2025'!$Q329), 0, 1), 4, if(ISBLANK('2025'!$R329), 0, 1), 5, if(ISBLANK('2025'!$S329), 0, 1), 6, if(ISBLANK('2025'!$T329), 0, 1), 7, 0))), 1, "")</f>
        <v/>
      </c>
      <c r="BD331" s="1" t="str">
        <f>IF(AND(AND(AND(BD$4&gt;='2025'!$L329,BD$4&lt;='2025'!$M329), BD$4&lt;&gt;DATE(2025,7,4)), (SWITCH(weekday(BD$4), 1, 0, 2, if(ISBLANK('2025'!$P329), 0, 1), 3, if(ISBLANK('2025'!$Q329), 0, 1), 4, if(ISBLANK('2025'!$R329), 0, 1), 5, if(ISBLANK('2025'!$S329), 0, 1), 6, if(ISBLANK('2025'!$T329), 0, 1), 7, 0))), 1, "")</f>
        <v/>
      </c>
      <c r="BE331" s="1" t="str">
        <f>IF(AND(AND(AND(BE$4&gt;='2025'!$L329,BE$4&lt;='2025'!$M329), BE$4&lt;&gt;DATE(2025,7,4)), (SWITCH(weekday(BE$4), 1, 0, 2, if(ISBLANK('2025'!$P329), 0, 1), 3, if(ISBLANK('2025'!$Q329), 0, 1), 4, if(ISBLANK('2025'!$R329), 0, 1), 5, if(ISBLANK('2025'!$S329), 0, 1), 6, if(ISBLANK('2025'!$T329), 0, 1), 7, 0))), 1, "")</f>
        <v/>
      </c>
      <c r="BF331" s="1" t="str">
        <f>IF(AND(AND(AND(BF$4&gt;='2025'!$L329,BF$4&lt;='2025'!$M329), BF$4&lt;&gt;DATE(2025,7,4)), (SWITCH(weekday(BF$4), 1, 0, 2, if(ISBLANK('2025'!$P329), 0, 1), 3, if(ISBLANK('2025'!$Q329), 0, 1), 4, if(ISBLANK('2025'!$R329), 0, 1), 5, if(ISBLANK('2025'!$S329), 0, 1), 6, if(ISBLANK('2025'!$T329), 0, 1), 7, 0))), 1, "")</f>
        <v/>
      </c>
      <c r="BG331" s="1"/>
      <c r="BH331" s="1"/>
      <c r="BI331" s="1"/>
      <c r="BJ331" s="1"/>
      <c r="BK331" s="1"/>
      <c r="BL331" s="1"/>
    </row>
    <row r="332">
      <c r="A332" s="1">
        <f t="shared" si="3"/>
        <v>332</v>
      </c>
      <c r="B332" s="1" t="str">
        <f>'2025'!D296</f>
        <v>, </v>
      </c>
      <c r="C332" s="1" t="str">
        <f>'2025'!H296</f>
        <v/>
      </c>
      <c r="D332" s="1" t="str">
        <f>IF(AND(AND(AND(D$4&gt;='2025'!$L330,D$4&lt;='2025'!$M330), D$4&lt;&gt;DATE(2025,7,4)), (SWITCH(weekday(D$4), 1, 0, 2, if(ISBLANK('2025'!$P330), 0, 1), 3, if(ISBLANK('2025'!$Q330), 0, 1), 4, if(ISBLANK('2025'!$R330), 0, 1), 5, if(ISBLANK('2025'!$S330), 0, 1), 6, if(ISBLANK('2025'!$T330), 0, 1), 7, 0))), 1, "")</f>
        <v/>
      </c>
      <c r="E332" s="1" t="str">
        <f>IF(AND(AND(AND(E$4&gt;='2025'!$L330,E$4&lt;='2025'!$M330), E$4&lt;&gt;DATE(2025,7,4)), (SWITCH(weekday(E$4), 1, 0, 2, if(ISBLANK('2025'!$P330), 0, 1), 3, if(ISBLANK('2025'!$Q330), 0, 1), 4, if(ISBLANK('2025'!$R330), 0, 1), 5, if(ISBLANK('2025'!$S330), 0, 1), 6, if(ISBLANK('2025'!$T330), 0, 1), 7, 0))), 1, "")</f>
        <v/>
      </c>
      <c r="F332" s="1" t="str">
        <f>IF(AND(AND(AND(F$4&gt;='2025'!$L330,F$4&lt;='2025'!$M330), F$4&lt;&gt;DATE(2025,7,4)), (SWITCH(weekday(F$4), 1, 0, 2, if(ISBLANK('2025'!$P330), 0, 1), 3, if(ISBLANK('2025'!$Q330), 0, 1), 4, if(ISBLANK('2025'!$R330), 0, 1), 5, if(ISBLANK('2025'!$S330), 0, 1), 6, if(ISBLANK('2025'!$T330), 0, 1), 7, 0))), 1, "")</f>
        <v/>
      </c>
      <c r="G332" s="1" t="str">
        <f>IF(AND(AND(AND(G$4&gt;='2025'!$L330,G$4&lt;='2025'!$M330), G$4&lt;&gt;DATE(2025,7,4)), (SWITCH(weekday(G$4), 1, 0, 2, if(ISBLANK('2025'!$P330), 0, 1), 3, if(ISBLANK('2025'!$Q330), 0, 1), 4, if(ISBLANK('2025'!$R330), 0, 1), 5, if(ISBLANK('2025'!$S330), 0, 1), 6, if(ISBLANK('2025'!$T330), 0, 1), 7, 0))), 1, "")</f>
        <v/>
      </c>
      <c r="H332" s="1" t="str">
        <f>IF(AND(AND(AND(H$4&gt;='2025'!$L330,H$4&lt;='2025'!$M330), H$4&lt;&gt;DATE(2025,7,4)), (SWITCH(weekday(H$4), 1, 0, 2, if(ISBLANK('2025'!$P330), 0, 1), 3, if(ISBLANK('2025'!$Q330), 0, 1), 4, if(ISBLANK('2025'!$R330), 0, 1), 5, if(ISBLANK('2025'!$S330), 0, 1), 6, if(ISBLANK('2025'!$T330), 0, 1), 7, 0))), 1, "")</f>
        <v/>
      </c>
      <c r="I332" s="1" t="str">
        <f>IF(AND(AND(AND(I$4&gt;='2025'!$L330,I$4&lt;='2025'!$M330), I$4&lt;&gt;DATE(2025,7,4)), (SWITCH(weekday(I$4), 1, 0, 2, if(ISBLANK('2025'!$P330), 0, 1), 3, if(ISBLANK('2025'!$Q330), 0, 1), 4, if(ISBLANK('2025'!$R330), 0, 1), 5, if(ISBLANK('2025'!$S330), 0, 1), 6, if(ISBLANK('2025'!$T330), 0, 1), 7, 0))), 1, "")</f>
        <v/>
      </c>
      <c r="J332" s="1" t="str">
        <f>IF(AND(AND(AND(J$4&gt;='2025'!$L330,J$4&lt;='2025'!$M330), J$4&lt;&gt;DATE(2025,7,4)), (SWITCH(weekday(J$4), 1, 0, 2, if(ISBLANK('2025'!$P330), 0, 1), 3, if(ISBLANK('2025'!$Q330), 0, 1), 4, if(ISBLANK('2025'!$R330), 0, 1), 5, if(ISBLANK('2025'!$S330), 0, 1), 6, if(ISBLANK('2025'!$T330), 0, 1), 7, 0))), 1, "")</f>
        <v/>
      </c>
      <c r="K332" s="1" t="str">
        <f>IF(AND(AND(AND(K$4&gt;='2025'!$L330,K$4&lt;='2025'!$M330), K$4&lt;&gt;DATE(2025,7,4)), (SWITCH(weekday(K$4), 1, 0, 2, if(ISBLANK('2025'!$P330), 0, 1), 3, if(ISBLANK('2025'!$Q330), 0, 1), 4, if(ISBLANK('2025'!$R330), 0, 1), 5, if(ISBLANK('2025'!$S330), 0, 1), 6, if(ISBLANK('2025'!$T330), 0, 1), 7, 0))), 1, "")</f>
        <v/>
      </c>
      <c r="L332" s="1" t="str">
        <f>IF(AND(AND(AND(L$4&gt;='2025'!$L330,L$4&lt;='2025'!$M330), L$4&lt;&gt;DATE(2025,7,4)), (SWITCH(weekday(L$4), 1, 0, 2, if(ISBLANK('2025'!$P330), 0, 1), 3, if(ISBLANK('2025'!$Q330), 0, 1), 4, if(ISBLANK('2025'!$R330), 0, 1), 5, if(ISBLANK('2025'!$S330), 0, 1), 6, if(ISBLANK('2025'!$T330), 0, 1), 7, 0))), 1, "")</f>
        <v/>
      </c>
      <c r="M332" s="1" t="str">
        <f>IF(AND(AND(AND(M$4&gt;='2025'!$L330,M$4&lt;='2025'!$M330), M$4&lt;&gt;DATE(2025,7,4)), (SWITCH(weekday(M$4), 1, 0, 2, if(ISBLANK('2025'!$P330), 0, 1), 3, if(ISBLANK('2025'!$Q330), 0, 1), 4, if(ISBLANK('2025'!$R330), 0, 1), 5, if(ISBLANK('2025'!$S330), 0, 1), 6, if(ISBLANK('2025'!$T330), 0, 1), 7, 0))), 1, "")</f>
        <v/>
      </c>
      <c r="N332" s="1" t="str">
        <f>IF(AND(AND(AND(N$4&gt;='2025'!$L330,N$4&lt;='2025'!$M330), N$4&lt;&gt;DATE(2025,7,4)), (SWITCH(weekday(N$4), 1, 0, 2, if(ISBLANK('2025'!$P330), 0, 1), 3, if(ISBLANK('2025'!$Q330), 0, 1), 4, if(ISBLANK('2025'!$R330), 0, 1), 5, if(ISBLANK('2025'!$S330), 0, 1), 6, if(ISBLANK('2025'!$T330), 0, 1), 7, 0))), 1, "")</f>
        <v/>
      </c>
      <c r="O332" s="1" t="str">
        <f>IF(AND(AND(AND(O$4&gt;='2025'!$L330,O$4&lt;='2025'!$M330), O$4&lt;&gt;DATE(2025,7,4)), (SWITCH(weekday(O$4), 1, 0, 2, if(ISBLANK('2025'!$P330), 0, 1), 3, if(ISBLANK('2025'!$Q330), 0, 1), 4, if(ISBLANK('2025'!$R330), 0, 1), 5, if(ISBLANK('2025'!$S330), 0, 1), 6, if(ISBLANK('2025'!$T330), 0, 1), 7, 0))), 1, "")</f>
        <v/>
      </c>
      <c r="P332" s="1" t="str">
        <f>IF(AND(AND(AND(P$4&gt;='2025'!$L330,P$4&lt;='2025'!$M330), P$4&lt;&gt;DATE(2025,7,4)), (SWITCH(weekday(P$4), 1, 0, 2, if(ISBLANK('2025'!$P330), 0, 1), 3, if(ISBLANK('2025'!$Q330), 0, 1), 4, if(ISBLANK('2025'!$R330), 0, 1), 5, if(ISBLANK('2025'!$S330), 0, 1), 6, if(ISBLANK('2025'!$T330), 0, 1), 7, 0))), 1, "")</f>
        <v/>
      </c>
      <c r="Q332" s="1" t="str">
        <f>IF(AND(AND(AND(Q$4&gt;='2025'!$L330,Q$4&lt;='2025'!$M330), Q$4&lt;&gt;DATE(2025,7,4)), (SWITCH(weekday(Q$4), 1, 0, 2, if(ISBLANK('2025'!$P330), 0, 1), 3, if(ISBLANK('2025'!$Q330), 0, 1), 4, if(ISBLANK('2025'!$R330), 0, 1), 5, if(ISBLANK('2025'!$S330), 0, 1), 6, if(ISBLANK('2025'!$T330), 0, 1), 7, 0))), 1, "")</f>
        <v/>
      </c>
      <c r="R332" s="1" t="str">
        <f>IF(AND(AND(AND(R$4&gt;='2025'!$L330,R$4&lt;='2025'!$M330), R$4&lt;&gt;DATE(2025,7,4)), (SWITCH(weekday(R$4), 1, 0, 2, if(ISBLANK('2025'!$P330), 0, 1), 3, if(ISBLANK('2025'!$Q330), 0, 1), 4, if(ISBLANK('2025'!$R330), 0, 1), 5, if(ISBLANK('2025'!$S330), 0, 1), 6, if(ISBLANK('2025'!$T330), 0, 1), 7, 0))), 1, "")</f>
        <v/>
      </c>
      <c r="S332" s="1" t="str">
        <f>IF(AND(AND(AND(S$4&gt;='2025'!$L330,S$4&lt;='2025'!$M330), S$4&lt;&gt;DATE(2025,7,4)), (SWITCH(weekday(S$4), 1, 0, 2, if(ISBLANK('2025'!$P330), 0, 1), 3, if(ISBLANK('2025'!$Q330), 0, 1), 4, if(ISBLANK('2025'!$R330), 0, 1), 5, if(ISBLANK('2025'!$S330), 0, 1), 6, if(ISBLANK('2025'!$T330), 0, 1), 7, 0))), 1, "")</f>
        <v/>
      </c>
      <c r="T332" s="1" t="str">
        <f>IF(AND(AND(AND(T$4&gt;='2025'!$L330,T$4&lt;='2025'!$M330), T$4&lt;&gt;DATE(2025,7,4)), (SWITCH(weekday(T$4), 1, 0, 2, if(ISBLANK('2025'!$P330), 0, 1), 3, if(ISBLANK('2025'!$Q330), 0, 1), 4, if(ISBLANK('2025'!$R330), 0, 1), 5, if(ISBLANK('2025'!$S330), 0, 1), 6, if(ISBLANK('2025'!$T330), 0, 1), 7, 0))), 1, "")</f>
        <v/>
      </c>
      <c r="U332" s="1" t="str">
        <f>IF(AND(AND(AND(U$4&gt;='2025'!$L330,U$4&lt;='2025'!$M330), U$4&lt;&gt;DATE(2025,7,4)), (SWITCH(weekday(U$4), 1, 0, 2, if(ISBLANK('2025'!$P330), 0, 1), 3, if(ISBLANK('2025'!$Q330), 0, 1), 4, if(ISBLANK('2025'!$R330), 0, 1), 5, if(ISBLANK('2025'!$S330), 0, 1), 6, if(ISBLANK('2025'!$T330), 0, 1), 7, 0))), 1, "")</f>
        <v/>
      </c>
      <c r="V332" s="1" t="str">
        <f>IF(AND(AND(AND(V$4&gt;='2025'!$L330,V$4&lt;='2025'!$M330), V$4&lt;&gt;DATE(2025,7,4)), (SWITCH(weekday(V$4), 1, 0, 2, if(ISBLANK('2025'!$P330), 0, 1), 3, if(ISBLANK('2025'!$Q330), 0, 1), 4, if(ISBLANK('2025'!$R330), 0, 1), 5, if(ISBLANK('2025'!$S330), 0, 1), 6, if(ISBLANK('2025'!$T330), 0, 1), 7, 0))), 1, "")</f>
        <v/>
      </c>
      <c r="W332" s="1" t="str">
        <f>IF(AND(AND(AND(W$4&gt;='2025'!$L330,W$4&lt;='2025'!$M330), W$4&lt;&gt;DATE(2025,7,4)), (SWITCH(weekday(W$4), 1, 0, 2, if(ISBLANK('2025'!$P330), 0, 1), 3, if(ISBLANK('2025'!$Q330), 0, 1), 4, if(ISBLANK('2025'!$R330), 0, 1), 5, if(ISBLANK('2025'!$S330), 0, 1), 6, if(ISBLANK('2025'!$T330), 0, 1), 7, 0))), 1, "")</f>
        <v/>
      </c>
      <c r="X332" s="1" t="str">
        <f>IF(AND(AND(AND(X$4&gt;='2025'!$L330,X$4&lt;='2025'!$M330), X$4&lt;&gt;DATE(2025,7,4)), (SWITCH(weekday(X$4), 1, 0, 2, if(ISBLANK('2025'!$P330), 0, 1), 3, if(ISBLANK('2025'!$Q330), 0, 1), 4, if(ISBLANK('2025'!$R330), 0, 1), 5, if(ISBLANK('2025'!$S330), 0, 1), 6, if(ISBLANK('2025'!$T330), 0, 1), 7, 0))), 1, "")</f>
        <v/>
      </c>
      <c r="Y332" s="1" t="str">
        <f>IF(AND(AND(AND(Y$4&gt;='2025'!$L330,Y$4&lt;='2025'!$M330), Y$4&lt;&gt;DATE(2025,7,4)), (SWITCH(weekday(Y$4), 1, 0, 2, if(ISBLANK('2025'!$P330), 0, 1), 3, if(ISBLANK('2025'!$Q330), 0, 1), 4, if(ISBLANK('2025'!$R330), 0, 1), 5, if(ISBLANK('2025'!$S330), 0, 1), 6, if(ISBLANK('2025'!$T330), 0, 1), 7, 0))), 1, "")</f>
        <v/>
      </c>
      <c r="Z332" s="1" t="str">
        <f>IF(AND(AND(AND(Z$4&gt;='2025'!$L330,Z$4&lt;='2025'!$M330), Z$4&lt;&gt;DATE(2025,7,4)), (SWITCH(weekday(Z$4), 1, 0, 2, if(ISBLANK('2025'!$P330), 0, 1), 3, if(ISBLANK('2025'!$Q330), 0, 1), 4, if(ISBLANK('2025'!$R330), 0, 1), 5, if(ISBLANK('2025'!$S330), 0, 1), 6, if(ISBLANK('2025'!$T330), 0, 1), 7, 0))), 1, "")</f>
        <v/>
      </c>
      <c r="AA332" s="1" t="str">
        <f>IF(AND(AND(AND(AA$4&gt;='2025'!$L330,AA$4&lt;='2025'!$M330), AA$4&lt;&gt;DATE(2025,7,4)), (SWITCH(weekday(AA$4), 1, 0, 2, if(ISBLANK('2025'!$P330), 0, 1), 3, if(ISBLANK('2025'!$Q330), 0, 1), 4, if(ISBLANK('2025'!$R330), 0, 1), 5, if(ISBLANK('2025'!$S330), 0, 1), 6, if(ISBLANK('2025'!$T330), 0, 1), 7, 0))), 1, "")</f>
        <v/>
      </c>
      <c r="AB332" s="1" t="str">
        <f>IF(AND(AND(AND(AB$4&gt;='2025'!$L330,AB$4&lt;='2025'!$M330), AB$4&lt;&gt;DATE(2025,7,4)), (SWITCH(weekday(AB$4), 1, 0, 2, if(ISBLANK('2025'!$P330), 0, 1), 3, if(ISBLANK('2025'!$Q330), 0, 1), 4, if(ISBLANK('2025'!$R330), 0, 1), 5, if(ISBLANK('2025'!$S330), 0, 1), 6, if(ISBLANK('2025'!$T330), 0, 1), 7, 0))), 1, "")</f>
        <v/>
      </c>
      <c r="AC332" s="1" t="str">
        <f>IF(AND(AND(AND(AC$4&gt;='2025'!$L330,AC$4&lt;='2025'!$M330), AC$4&lt;&gt;DATE(2025,7,4)), (SWITCH(weekday(AC$4), 1, 0, 2, if(ISBLANK('2025'!$P330), 0, 1), 3, if(ISBLANK('2025'!$Q330), 0, 1), 4, if(ISBLANK('2025'!$R330), 0, 1), 5, if(ISBLANK('2025'!$S330), 0, 1), 6, if(ISBLANK('2025'!$T330), 0, 1), 7, 0))), 1, "")</f>
        <v/>
      </c>
      <c r="AD332" s="1" t="str">
        <f>IF(AND(AND(AND(AD$4&gt;='2025'!$L330,AD$4&lt;='2025'!$M330), AD$4&lt;&gt;DATE(2025,7,4)), (SWITCH(weekday(AD$4), 1, 0, 2, if(ISBLANK('2025'!$P330), 0, 1), 3, if(ISBLANK('2025'!$Q330), 0, 1), 4, if(ISBLANK('2025'!$R330), 0, 1), 5, if(ISBLANK('2025'!$S330), 0, 1), 6, if(ISBLANK('2025'!$T330), 0, 1), 7, 0))), 1, "")</f>
        <v/>
      </c>
      <c r="AE332" s="1" t="str">
        <f>IF(AND(AND(AND(AE$4&gt;='2025'!$L330,AE$4&lt;='2025'!$M330), AE$4&lt;&gt;DATE(2025,7,4)), (SWITCH(weekday(AE$4), 1, 0, 2, if(ISBLANK('2025'!$P330), 0, 1), 3, if(ISBLANK('2025'!$Q330), 0, 1), 4, if(ISBLANK('2025'!$R330), 0, 1), 5, if(ISBLANK('2025'!$S330), 0, 1), 6, if(ISBLANK('2025'!$T330), 0, 1), 7, 0))), 1, "")</f>
        <v/>
      </c>
      <c r="AF332" s="1" t="str">
        <f>IF(AND(AND(AND(AF$4&gt;='2025'!$L330,AF$4&lt;='2025'!$M330), AF$4&lt;&gt;DATE(2025,7,4)), (SWITCH(weekday(AF$4), 1, 0, 2, if(ISBLANK('2025'!$P330), 0, 1), 3, if(ISBLANK('2025'!$Q330), 0, 1), 4, if(ISBLANK('2025'!$R330), 0, 1), 5, if(ISBLANK('2025'!$S330), 0, 1), 6, if(ISBLANK('2025'!$T330), 0, 1), 7, 0))), 1, "")</f>
        <v/>
      </c>
      <c r="AG332" s="1" t="str">
        <f>IF(AND(AND(AND(AG$4&gt;='2025'!$L330,AG$4&lt;='2025'!$M330), AG$4&lt;&gt;DATE(2025,7,4)), (SWITCH(weekday(AG$4), 1, 0, 2, if(ISBLANK('2025'!$P330), 0, 1), 3, if(ISBLANK('2025'!$Q330), 0, 1), 4, if(ISBLANK('2025'!$R330), 0, 1), 5, if(ISBLANK('2025'!$S330), 0, 1), 6, if(ISBLANK('2025'!$T330), 0, 1), 7, 0))), 1, "")</f>
        <v/>
      </c>
      <c r="AH332" s="1" t="str">
        <f>IF(AND(AND(AND(AH$4&gt;='2025'!$L330,AH$4&lt;='2025'!$M330), AH$4&lt;&gt;DATE(2025,7,4)), (SWITCH(weekday(AH$4), 1, 0, 2, if(ISBLANK('2025'!$P330), 0, 1), 3, if(ISBLANK('2025'!$Q330), 0, 1), 4, if(ISBLANK('2025'!$R330), 0, 1), 5, if(ISBLANK('2025'!$S330), 0, 1), 6, if(ISBLANK('2025'!$T330), 0, 1), 7, 0))), 1, "")</f>
        <v/>
      </c>
      <c r="AI332" s="1" t="str">
        <f>IF(AND(AND(AND(AI$4&gt;='2025'!$L330,AI$4&lt;='2025'!$M330), AI$4&lt;&gt;DATE(2025,7,4)), (SWITCH(weekday(AI$4), 1, 0, 2, if(ISBLANK('2025'!$P330), 0, 1), 3, if(ISBLANK('2025'!$Q330), 0, 1), 4, if(ISBLANK('2025'!$R330), 0, 1), 5, if(ISBLANK('2025'!$S330), 0, 1), 6, if(ISBLANK('2025'!$T330), 0, 1), 7, 0))), 1, "")</f>
        <v/>
      </c>
      <c r="AJ332" s="1" t="str">
        <f>IF(AND(AND(AND(AJ$4&gt;='2025'!$L330,AJ$4&lt;='2025'!$M330), AJ$4&lt;&gt;DATE(2025,7,4)), (SWITCH(weekday(AJ$4), 1, 0, 2, if(ISBLANK('2025'!$P330), 0, 1), 3, if(ISBLANK('2025'!$Q330), 0, 1), 4, if(ISBLANK('2025'!$R330), 0, 1), 5, if(ISBLANK('2025'!$S330), 0, 1), 6, if(ISBLANK('2025'!$T330), 0, 1), 7, 0))), 1, "")</f>
        <v/>
      </c>
      <c r="AK332" s="1" t="str">
        <f>IF(AND(AND(AND(AK$4&gt;='2025'!$L330,AK$4&lt;='2025'!$M330), AK$4&lt;&gt;DATE(2025,7,4)), (SWITCH(weekday(AK$4), 1, 0, 2, if(ISBLANK('2025'!$P330), 0, 1), 3, if(ISBLANK('2025'!$Q330), 0, 1), 4, if(ISBLANK('2025'!$R330), 0, 1), 5, if(ISBLANK('2025'!$S330), 0, 1), 6, if(ISBLANK('2025'!$T330), 0, 1), 7, 0))), 1, "")</f>
        <v/>
      </c>
      <c r="AL332" s="1" t="str">
        <f>IF(AND(AND(AND(AL$4&gt;='2025'!$L330,AL$4&lt;='2025'!$M330), AL$4&lt;&gt;DATE(2025,7,4)), (SWITCH(weekday(AL$4), 1, 0, 2, if(ISBLANK('2025'!$P330), 0, 1), 3, if(ISBLANK('2025'!$Q330), 0, 1), 4, if(ISBLANK('2025'!$R330), 0, 1), 5, if(ISBLANK('2025'!$S330), 0, 1), 6, if(ISBLANK('2025'!$T330), 0, 1), 7, 0))), 1, "")</f>
        <v/>
      </c>
      <c r="AM332" s="1" t="str">
        <f>IF(AND(AND(AND(AM$4&gt;='2025'!$L330,AM$4&lt;='2025'!$M330), AM$4&lt;&gt;DATE(2025,7,4)), (SWITCH(weekday(AM$4), 1, 0, 2, if(ISBLANK('2025'!$P330), 0, 1), 3, if(ISBLANK('2025'!$Q330), 0, 1), 4, if(ISBLANK('2025'!$R330), 0, 1), 5, if(ISBLANK('2025'!$S330), 0, 1), 6, if(ISBLANK('2025'!$T330), 0, 1), 7, 0))), 1, "")</f>
        <v/>
      </c>
      <c r="AN332" s="1" t="str">
        <f>IF(AND(AND(AND(AN$4&gt;='2025'!$L330,AN$4&lt;='2025'!$M330), AN$4&lt;&gt;DATE(2025,7,4)), (SWITCH(weekday(AN$4), 1, 0, 2, if(ISBLANK('2025'!$P330), 0, 1), 3, if(ISBLANK('2025'!$Q330), 0, 1), 4, if(ISBLANK('2025'!$R330), 0, 1), 5, if(ISBLANK('2025'!$S330), 0, 1), 6, if(ISBLANK('2025'!$T330), 0, 1), 7, 0))), 1, "")</f>
        <v/>
      </c>
      <c r="AO332" s="1" t="str">
        <f>IF(AND(AND(AND(AO$4&gt;='2025'!$L330,AO$4&lt;='2025'!$M330), AO$4&lt;&gt;DATE(2025,7,4)), (SWITCH(weekday(AO$4), 1, 0, 2, if(ISBLANK('2025'!$P330), 0, 1), 3, if(ISBLANK('2025'!$Q330), 0, 1), 4, if(ISBLANK('2025'!$R330), 0, 1), 5, if(ISBLANK('2025'!$S330), 0, 1), 6, if(ISBLANK('2025'!$T330), 0, 1), 7, 0))), 1, "")</f>
        <v/>
      </c>
      <c r="AP332" s="1" t="str">
        <f>IF(AND(AND(AND(AP$4&gt;='2025'!$L330,AP$4&lt;='2025'!$M330), AP$4&lt;&gt;DATE(2025,7,4)), (SWITCH(weekday(AP$4), 1, 0, 2, if(ISBLANK('2025'!$P330), 0, 1), 3, if(ISBLANK('2025'!$Q330), 0, 1), 4, if(ISBLANK('2025'!$R330), 0, 1), 5, if(ISBLANK('2025'!$S330), 0, 1), 6, if(ISBLANK('2025'!$T330), 0, 1), 7, 0))), 1, "")</f>
        <v/>
      </c>
      <c r="AQ332" s="1" t="str">
        <f>IF(AND(AND(AND(AQ$4&gt;='2025'!$L330,AQ$4&lt;='2025'!$M330), AQ$4&lt;&gt;DATE(2025,7,4)), (SWITCH(weekday(AQ$4), 1, 0, 2, if(ISBLANK('2025'!$P330), 0, 1), 3, if(ISBLANK('2025'!$Q330), 0, 1), 4, if(ISBLANK('2025'!$R330), 0, 1), 5, if(ISBLANK('2025'!$S330), 0, 1), 6, if(ISBLANK('2025'!$T330), 0, 1), 7, 0))), 1, "")</f>
        <v/>
      </c>
      <c r="AR332" s="1" t="str">
        <f>IF(AND(AND(AND(AR$4&gt;='2025'!$L330,AR$4&lt;='2025'!$M330), AR$4&lt;&gt;DATE(2025,7,4)), (SWITCH(weekday(AR$4), 1, 0, 2, if(ISBLANK('2025'!$P330), 0, 1), 3, if(ISBLANK('2025'!$Q330), 0, 1), 4, if(ISBLANK('2025'!$R330), 0, 1), 5, if(ISBLANK('2025'!$S330), 0, 1), 6, if(ISBLANK('2025'!$T330), 0, 1), 7, 0))), 1, "")</f>
        <v/>
      </c>
      <c r="AS332" s="1" t="str">
        <f>IF(AND(AND(AND(AS$4&gt;='2025'!$L330,AS$4&lt;='2025'!$M330), AS$4&lt;&gt;DATE(2025,7,4)), (SWITCH(weekday(AS$4), 1, 0, 2, if(ISBLANK('2025'!$P330), 0, 1), 3, if(ISBLANK('2025'!$Q330), 0, 1), 4, if(ISBLANK('2025'!$R330), 0, 1), 5, if(ISBLANK('2025'!$S330), 0, 1), 6, if(ISBLANK('2025'!$T330), 0, 1), 7, 0))), 1, "")</f>
        <v/>
      </c>
      <c r="AT332" s="1" t="str">
        <f>IF(AND(AND(AND(AT$4&gt;='2025'!$L330,AT$4&lt;='2025'!$M330), AT$4&lt;&gt;DATE(2025,7,4)), (SWITCH(weekday(AT$4), 1, 0, 2, if(ISBLANK('2025'!$P330), 0, 1), 3, if(ISBLANK('2025'!$Q330), 0, 1), 4, if(ISBLANK('2025'!$R330), 0, 1), 5, if(ISBLANK('2025'!$S330), 0, 1), 6, if(ISBLANK('2025'!$T330), 0, 1), 7, 0))), 1, "")</f>
        <v/>
      </c>
      <c r="AU332" s="1" t="str">
        <f>IF(AND(AND(AND(AU$4&gt;='2025'!$L330,AU$4&lt;='2025'!$M330), AU$4&lt;&gt;DATE(2025,7,4)), (SWITCH(weekday(AU$4), 1, 0, 2, if(ISBLANK('2025'!$P330), 0, 1), 3, if(ISBLANK('2025'!$Q330), 0, 1), 4, if(ISBLANK('2025'!$R330), 0, 1), 5, if(ISBLANK('2025'!$S330), 0, 1), 6, if(ISBLANK('2025'!$T330), 0, 1), 7, 0))), 1, "")</f>
        <v/>
      </c>
      <c r="AV332" s="1" t="str">
        <f>IF(AND(AND(AND(AV$4&gt;='2025'!$L330,AV$4&lt;='2025'!$M330), AV$4&lt;&gt;DATE(2025,7,4)), (SWITCH(weekday(AV$4), 1, 0, 2, if(ISBLANK('2025'!$P330), 0, 1), 3, if(ISBLANK('2025'!$Q330), 0, 1), 4, if(ISBLANK('2025'!$R330), 0, 1), 5, if(ISBLANK('2025'!$S330), 0, 1), 6, if(ISBLANK('2025'!$T330), 0, 1), 7, 0))), 1, "")</f>
        <v/>
      </c>
      <c r="AW332" s="1" t="str">
        <f>IF(AND(AND(AND(AW$4&gt;='2025'!$L330,AW$4&lt;='2025'!$M330), AW$4&lt;&gt;DATE(2025,7,4)), (SWITCH(weekday(AW$4), 1, 0, 2, if(ISBLANK('2025'!$P330), 0, 1), 3, if(ISBLANK('2025'!$Q330), 0, 1), 4, if(ISBLANK('2025'!$R330), 0, 1), 5, if(ISBLANK('2025'!$S330), 0, 1), 6, if(ISBLANK('2025'!$T330), 0, 1), 7, 0))), 1, "")</f>
        <v/>
      </c>
      <c r="AX332" s="1" t="str">
        <f>IF(AND(AND(AND(AX$4&gt;='2025'!$L330,AX$4&lt;='2025'!$M330), AX$4&lt;&gt;DATE(2025,7,4)), (SWITCH(weekday(AX$4), 1, 0, 2, if(ISBLANK('2025'!$P330), 0, 1), 3, if(ISBLANK('2025'!$Q330), 0, 1), 4, if(ISBLANK('2025'!$R330), 0, 1), 5, if(ISBLANK('2025'!$S330), 0, 1), 6, if(ISBLANK('2025'!$T330), 0, 1), 7, 0))), 1, "")</f>
        <v/>
      </c>
      <c r="AY332" s="1" t="str">
        <f>IF(AND(AND(AND(AY$4&gt;='2025'!$L330,AY$4&lt;='2025'!$M330), AY$4&lt;&gt;DATE(2025,7,4)), (SWITCH(weekday(AY$4), 1, 0, 2, if(ISBLANK('2025'!$P330), 0, 1), 3, if(ISBLANK('2025'!$Q330), 0, 1), 4, if(ISBLANK('2025'!$R330), 0, 1), 5, if(ISBLANK('2025'!$S330), 0, 1), 6, if(ISBLANK('2025'!$T330), 0, 1), 7, 0))), 1, "")</f>
        <v/>
      </c>
      <c r="AZ332" s="1" t="str">
        <f>IF(AND(AND(AND(AZ$4&gt;='2025'!$L330,AZ$4&lt;='2025'!$M330), AZ$4&lt;&gt;DATE(2025,7,4)), (SWITCH(weekday(AZ$4), 1, 0, 2, if(ISBLANK('2025'!$P330), 0, 1), 3, if(ISBLANK('2025'!$Q330), 0, 1), 4, if(ISBLANK('2025'!$R330), 0, 1), 5, if(ISBLANK('2025'!$S330), 0, 1), 6, if(ISBLANK('2025'!$T330), 0, 1), 7, 0))), 1, "")</f>
        <v/>
      </c>
      <c r="BA332" s="1" t="str">
        <f>IF(AND(AND(AND(BA$4&gt;='2025'!$L330,BA$4&lt;='2025'!$M330), BA$4&lt;&gt;DATE(2025,7,4)), (SWITCH(weekday(BA$4), 1, 0, 2, if(ISBLANK('2025'!$P330), 0, 1), 3, if(ISBLANK('2025'!$Q330), 0, 1), 4, if(ISBLANK('2025'!$R330), 0, 1), 5, if(ISBLANK('2025'!$S330), 0, 1), 6, if(ISBLANK('2025'!$T330), 0, 1), 7, 0))), 1, "")</f>
        <v/>
      </c>
      <c r="BB332" s="1" t="str">
        <f>IF(AND(AND(AND(BB$4&gt;='2025'!$L330,BB$4&lt;='2025'!$M330), BB$4&lt;&gt;DATE(2025,7,4)), (SWITCH(weekday(BB$4), 1, 0, 2, if(ISBLANK('2025'!$P330), 0, 1), 3, if(ISBLANK('2025'!$Q330), 0, 1), 4, if(ISBLANK('2025'!$R330), 0, 1), 5, if(ISBLANK('2025'!$S330), 0, 1), 6, if(ISBLANK('2025'!$T330), 0, 1), 7, 0))), 1, "")</f>
        <v/>
      </c>
      <c r="BC332" s="1" t="str">
        <f>IF(AND(AND(AND(BC$4&gt;='2025'!$L330,BC$4&lt;='2025'!$M330), BC$4&lt;&gt;DATE(2025,7,4)), (SWITCH(weekday(BC$4), 1, 0, 2, if(ISBLANK('2025'!$P330), 0, 1), 3, if(ISBLANK('2025'!$Q330), 0, 1), 4, if(ISBLANK('2025'!$R330), 0, 1), 5, if(ISBLANK('2025'!$S330), 0, 1), 6, if(ISBLANK('2025'!$T330), 0, 1), 7, 0))), 1, "")</f>
        <v/>
      </c>
      <c r="BD332" s="1" t="str">
        <f>IF(AND(AND(AND(BD$4&gt;='2025'!$L330,BD$4&lt;='2025'!$M330), BD$4&lt;&gt;DATE(2025,7,4)), (SWITCH(weekday(BD$4), 1, 0, 2, if(ISBLANK('2025'!$P330), 0, 1), 3, if(ISBLANK('2025'!$Q330), 0, 1), 4, if(ISBLANK('2025'!$R330), 0, 1), 5, if(ISBLANK('2025'!$S330), 0, 1), 6, if(ISBLANK('2025'!$T330), 0, 1), 7, 0))), 1, "")</f>
        <v/>
      </c>
      <c r="BE332" s="1" t="str">
        <f>IF(AND(AND(AND(BE$4&gt;='2025'!$L330,BE$4&lt;='2025'!$M330), BE$4&lt;&gt;DATE(2025,7,4)), (SWITCH(weekday(BE$4), 1, 0, 2, if(ISBLANK('2025'!$P330), 0, 1), 3, if(ISBLANK('2025'!$Q330), 0, 1), 4, if(ISBLANK('2025'!$R330), 0, 1), 5, if(ISBLANK('2025'!$S330), 0, 1), 6, if(ISBLANK('2025'!$T330), 0, 1), 7, 0))), 1, "")</f>
        <v/>
      </c>
      <c r="BF332" s="1" t="str">
        <f>IF(AND(AND(AND(BF$4&gt;='2025'!$L330,BF$4&lt;='2025'!$M330), BF$4&lt;&gt;DATE(2025,7,4)), (SWITCH(weekday(BF$4), 1, 0, 2, if(ISBLANK('2025'!$P330), 0, 1), 3, if(ISBLANK('2025'!$Q330), 0, 1), 4, if(ISBLANK('2025'!$R330), 0, 1), 5, if(ISBLANK('2025'!$S330), 0, 1), 6, if(ISBLANK('2025'!$T330), 0, 1), 7, 0))), 1, "")</f>
        <v/>
      </c>
      <c r="BG332" s="1"/>
      <c r="BH332" s="1"/>
      <c r="BI332" s="1"/>
      <c r="BJ332" s="1"/>
      <c r="BK332" s="1"/>
      <c r="BL332" s="1"/>
    </row>
    <row r="333">
      <c r="A333" s="1">
        <f t="shared" si="3"/>
        <v>333</v>
      </c>
      <c r="B333" s="1" t="str">
        <f>'2025'!D297</f>
        <v>, </v>
      </c>
      <c r="C333" s="1" t="str">
        <f>'2025'!H297</f>
        <v/>
      </c>
      <c r="D333" s="1" t="str">
        <f>IF(AND(AND(AND(D$4&gt;='2025'!$L331,D$4&lt;='2025'!$M331), D$4&lt;&gt;DATE(2025,7,4)), (SWITCH(weekday(D$4), 1, 0, 2, if(ISBLANK('2025'!$P331), 0, 1), 3, if(ISBLANK('2025'!$Q331), 0, 1), 4, if(ISBLANK('2025'!$R331), 0, 1), 5, if(ISBLANK('2025'!$S331), 0, 1), 6, if(ISBLANK('2025'!$T331), 0, 1), 7, 0))), 1, "")</f>
        <v/>
      </c>
      <c r="E333" s="1" t="str">
        <f>IF(AND(AND(AND(E$4&gt;='2025'!$L331,E$4&lt;='2025'!$M331), E$4&lt;&gt;DATE(2025,7,4)), (SWITCH(weekday(E$4), 1, 0, 2, if(ISBLANK('2025'!$P331), 0, 1), 3, if(ISBLANK('2025'!$Q331), 0, 1), 4, if(ISBLANK('2025'!$R331), 0, 1), 5, if(ISBLANK('2025'!$S331), 0, 1), 6, if(ISBLANK('2025'!$T331), 0, 1), 7, 0))), 1, "")</f>
        <v/>
      </c>
      <c r="F333" s="1" t="str">
        <f>IF(AND(AND(AND(F$4&gt;='2025'!$L331,F$4&lt;='2025'!$M331), F$4&lt;&gt;DATE(2025,7,4)), (SWITCH(weekday(F$4), 1, 0, 2, if(ISBLANK('2025'!$P331), 0, 1), 3, if(ISBLANK('2025'!$Q331), 0, 1), 4, if(ISBLANK('2025'!$R331), 0, 1), 5, if(ISBLANK('2025'!$S331), 0, 1), 6, if(ISBLANK('2025'!$T331), 0, 1), 7, 0))), 1, "")</f>
        <v/>
      </c>
      <c r="G333" s="1" t="str">
        <f>IF(AND(AND(AND(G$4&gt;='2025'!$L331,G$4&lt;='2025'!$M331), G$4&lt;&gt;DATE(2025,7,4)), (SWITCH(weekday(G$4), 1, 0, 2, if(ISBLANK('2025'!$P331), 0, 1), 3, if(ISBLANK('2025'!$Q331), 0, 1), 4, if(ISBLANK('2025'!$R331), 0, 1), 5, if(ISBLANK('2025'!$S331), 0, 1), 6, if(ISBLANK('2025'!$T331), 0, 1), 7, 0))), 1, "")</f>
        <v/>
      </c>
      <c r="H333" s="1" t="str">
        <f>IF(AND(AND(AND(H$4&gt;='2025'!$L331,H$4&lt;='2025'!$M331), H$4&lt;&gt;DATE(2025,7,4)), (SWITCH(weekday(H$4), 1, 0, 2, if(ISBLANK('2025'!$P331), 0, 1), 3, if(ISBLANK('2025'!$Q331), 0, 1), 4, if(ISBLANK('2025'!$R331), 0, 1), 5, if(ISBLANK('2025'!$S331), 0, 1), 6, if(ISBLANK('2025'!$T331), 0, 1), 7, 0))), 1, "")</f>
        <v/>
      </c>
      <c r="I333" s="1" t="str">
        <f>IF(AND(AND(AND(I$4&gt;='2025'!$L331,I$4&lt;='2025'!$M331), I$4&lt;&gt;DATE(2025,7,4)), (SWITCH(weekday(I$4), 1, 0, 2, if(ISBLANK('2025'!$P331), 0, 1), 3, if(ISBLANK('2025'!$Q331), 0, 1), 4, if(ISBLANK('2025'!$R331), 0, 1), 5, if(ISBLANK('2025'!$S331), 0, 1), 6, if(ISBLANK('2025'!$T331), 0, 1), 7, 0))), 1, "")</f>
        <v/>
      </c>
      <c r="J333" s="1" t="str">
        <f>IF(AND(AND(AND(J$4&gt;='2025'!$L331,J$4&lt;='2025'!$M331), J$4&lt;&gt;DATE(2025,7,4)), (SWITCH(weekday(J$4), 1, 0, 2, if(ISBLANK('2025'!$P331), 0, 1), 3, if(ISBLANK('2025'!$Q331), 0, 1), 4, if(ISBLANK('2025'!$R331), 0, 1), 5, if(ISBLANK('2025'!$S331), 0, 1), 6, if(ISBLANK('2025'!$T331), 0, 1), 7, 0))), 1, "")</f>
        <v/>
      </c>
      <c r="K333" s="1" t="str">
        <f>IF(AND(AND(AND(K$4&gt;='2025'!$L331,K$4&lt;='2025'!$M331), K$4&lt;&gt;DATE(2025,7,4)), (SWITCH(weekday(K$4), 1, 0, 2, if(ISBLANK('2025'!$P331), 0, 1), 3, if(ISBLANK('2025'!$Q331), 0, 1), 4, if(ISBLANK('2025'!$R331), 0, 1), 5, if(ISBLANK('2025'!$S331), 0, 1), 6, if(ISBLANK('2025'!$T331), 0, 1), 7, 0))), 1, "")</f>
        <v/>
      </c>
      <c r="L333" s="1" t="str">
        <f>IF(AND(AND(AND(L$4&gt;='2025'!$L331,L$4&lt;='2025'!$M331), L$4&lt;&gt;DATE(2025,7,4)), (SWITCH(weekday(L$4), 1, 0, 2, if(ISBLANK('2025'!$P331), 0, 1), 3, if(ISBLANK('2025'!$Q331), 0, 1), 4, if(ISBLANK('2025'!$R331), 0, 1), 5, if(ISBLANK('2025'!$S331), 0, 1), 6, if(ISBLANK('2025'!$T331), 0, 1), 7, 0))), 1, "")</f>
        <v/>
      </c>
      <c r="M333" s="1" t="str">
        <f>IF(AND(AND(AND(M$4&gt;='2025'!$L331,M$4&lt;='2025'!$M331), M$4&lt;&gt;DATE(2025,7,4)), (SWITCH(weekday(M$4), 1, 0, 2, if(ISBLANK('2025'!$P331), 0, 1), 3, if(ISBLANK('2025'!$Q331), 0, 1), 4, if(ISBLANK('2025'!$R331), 0, 1), 5, if(ISBLANK('2025'!$S331), 0, 1), 6, if(ISBLANK('2025'!$T331), 0, 1), 7, 0))), 1, "")</f>
        <v/>
      </c>
      <c r="N333" s="1" t="str">
        <f>IF(AND(AND(AND(N$4&gt;='2025'!$L331,N$4&lt;='2025'!$M331), N$4&lt;&gt;DATE(2025,7,4)), (SWITCH(weekday(N$4), 1, 0, 2, if(ISBLANK('2025'!$P331), 0, 1), 3, if(ISBLANK('2025'!$Q331), 0, 1), 4, if(ISBLANK('2025'!$R331), 0, 1), 5, if(ISBLANK('2025'!$S331), 0, 1), 6, if(ISBLANK('2025'!$T331), 0, 1), 7, 0))), 1, "")</f>
        <v/>
      </c>
      <c r="O333" s="1" t="str">
        <f>IF(AND(AND(AND(O$4&gt;='2025'!$L331,O$4&lt;='2025'!$M331), O$4&lt;&gt;DATE(2025,7,4)), (SWITCH(weekday(O$4), 1, 0, 2, if(ISBLANK('2025'!$P331), 0, 1), 3, if(ISBLANK('2025'!$Q331), 0, 1), 4, if(ISBLANK('2025'!$R331), 0, 1), 5, if(ISBLANK('2025'!$S331), 0, 1), 6, if(ISBLANK('2025'!$T331), 0, 1), 7, 0))), 1, "")</f>
        <v/>
      </c>
      <c r="P333" s="1" t="str">
        <f>IF(AND(AND(AND(P$4&gt;='2025'!$L331,P$4&lt;='2025'!$M331), P$4&lt;&gt;DATE(2025,7,4)), (SWITCH(weekday(P$4), 1, 0, 2, if(ISBLANK('2025'!$P331), 0, 1), 3, if(ISBLANK('2025'!$Q331), 0, 1), 4, if(ISBLANK('2025'!$R331), 0, 1), 5, if(ISBLANK('2025'!$S331), 0, 1), 6, if(ISBLANK('2025'!$T331), 0, 1), 7, 0))), 1, "")</f>
        <v/>
      </c>
      <c r="Q333" s="1" t="str">
        <f>IF(AND(AND(AND(Q$4&gt;='2025'!$L331,Q$4&lt;='2025'!$M331), Q$4&lt;&gt;DATE(2025,7,4)), (SWITCH(weekday(Q$4), 1, 0, 2, if(ISBLANK('2025'!$P331), 0, 1), 3, if(ISBLANK('2025'!$Q331), 0, 1), 4, if(ISBLANK('2025'!$R331), 0, 1), 5, if(ISBLANK('2025'!$S331), 0, 1), 6, if(ISBLANK('2025'!$T331), 0, 1), 7, 0))), 1, "")</f>
        <v/>
      </c>
      <c r="R333" s="1" t="str">
        <f>IF(AND(AND(AND(R$4&gt;='2025'!$L331,R$4&lt;='2025'!$M331), R$4&lt;&gt;DATE(2025,7,4)), (SWITCH(weekday(R$4), 1, 0, 2, if(ISBLANK('2025'!$P331), 0, 1), 3, if(ISBLANK('2025'!$Q331), 0, 1), 4, if(ISBLANK('2025'!$R331), 0, 1), 5, if(ISBLANK('2025'!$S331), 0, 1), 6, if(ISBLANK('2025'!$T331), 0, 1), 7, 0))), 1, "")</f>
        <v/>
      </c>
      <c r="S333" s="1" t="str">
        <f>IF(AND(AND(AND(S$4&gt;='2025'!$L331,S$4&lt;='2025'!$M331), S$4&lt;&gt;DATE(2025,7,4)), (SWITCH(weekday(S$4), 1, 0, 2, if(ISBLANK('2025'!$P331), 0, 1), 3, if(ISBLANK('2025'!$Q331), 0, 1), 4, if(ISBLANK('2025'!$R331), 0, 1), 5, if(ISBLANK('2025'!$S331), 0, 1), 6, if(ISBLANK('2025'!$T331), 0, 1), 7, 0))), 1, "")</f>
        <v/>
      </c>
      <c r="T333" s="1" t="str">
        <f>IF(AND(AND(AND(T$4&gt;='2025'!$L331,T$4&lt;='2025'!$M331), T$4&lt;&gt;DATE(2025,7,4)), (SWITCH(weekday(T$4), 1, 0, 2, if(ISBLANK('2025'!$P331), 0, 1), 3, if(ISBLANK('2025'!$Q331), 0, 1), 4, if(ISBLANK('2025'!$R331), 0, 1), 5, if(ISBLANK('2025'!$S331), 0, 1), 6, if(ISBLANK('2025'!$T331), 0, 1), 7, 0))), 1, "")</f>
        <v/>
      </c>
      <c r="U333" s="1" t="str">
        <f>IF(AND(AND(AND(U$4&gt;='2025'!$L331,U$4&lt;='2025'!$M331), U$4&lt;&gt;DATE(2025,7,4)), (SWITCH(weekday(U$4), 1, 0, 2, if(ISBLANK('2025'!$P331), 0, 1), 3, if(ISBLANK('2025'!$Q331), 0, 1), 4, if(ISBLANK('2025'!$R331), 0, 1), 5, if(ISBLANK('2025'!$S331), 0, 1), 6, if(ISBLANK('2025'!$T331), 0, 1), 7, 0))), 1, "")</f>
        <v/>
      </c>
      <c r="V333" s="1" t="str">
        <f>IF(AND(AND(AND(V$4&gt;='2025'!$L331,V$4&lt;='2025'!$M331), V$4&lt;&gt;DATE(2025,7,4)), (SWITCH(weekday(V$4), 1, 0, 2, if(ISBLANK('2025'!$P331), 0, 1), 3, if(ISBLANK('2025'!$Q331), 0, 1), 4, if(ISBLANK('2025'!$R331), 0, 1), 5, if(ISBLANK('2025'!$S331), 0, 1), 6, if(ISBLANK('2025'!$T331), 0, 1), 7, 0))), 1, "")</f>
        <v/>
      </c>
      <c r="W333" s="1" t="str">
        <f>IF(AND(AND(AND(W$4&gt;='2025'!$L331,W$4&lt;='2025'!$M331), W$4&lt;&gt;DATE(2025,7,4)), (SWITCH(weekday(W$4), 1, 0, 2, if(ISBLANK('2025'!$P331), 0, 1), 3, if(ISBLANK('2025'!$Q331), 0, 1), 4, if(ISBLANK('2025'!$R331), 0, 1), 5, if(ISBLANK('2025'!$S331), 0, 1), 6, if(ISBLANK('2025'!$T331), 0, 1), 7, 0))), 1, "")</f>
        <v/>
      </c>
      <c r="X333" s="1" t="str">
        <f>IF(AND(AND(AND(X$4&gt;='2025'!$L331,X$4&lt;='2025'!$M331), X$4&lt;&gt;DATE(2025,7,4)), (SWITCH(weekday(X$4), 1, 0, 2, if(ISBLANK('2025'!$P331), 0, 1), 3, if(ISBLANK('2025'!$Q331), 0, 1), 4, if(ISBLANK('2025'!$R331), 0, 1), 5, if(ISBLANK('2025'!$S331), 0, 1), 6, if(ISBLANK('2025'!$T331), 0, 1), 7, 0))), 1, "")</f>
        <v/>
      </c>
      <c r="Y333" s="1" t="str">
        <f>IF(AND(AND(AND(Y$4&gt;='2025'!$L331,Y$4&lt;='2025'!$M331), Y$4&lt;&gt;DATE(2025,7,4)), (SWITCH(weekday(Y$4), 1, 0, 2, if(ISBLANK('2025'!$P331), 0, 1), 3, if(ISBLANK('2025'!$Q331), 0, 1), 4, if(ISBLANK('2025'!$R331), 0, 1), 5, if(ISBLANK('2025'!$S331), 0, 1), 6, if(ISBLANK('2025'!$T331), 0, 1), 7, 0))), 1, "")</f>
        <v/>
      </c>
      <c r="Z333" s="1" t="str">
        <f>IF(AND(AND(AND(Z$4&gt;='2025'!$L331,Z$4&lt;='2025'!$M331), Z$4&lt;&gt;DATE(2025,7,4)), (SWITCH(weekday(Z$4), 1, 0, 2, if(ISBLANK('2025'!$P331), 0, 1), 3, if(ISBLANK('2025'!$Q331), 0, 1), 4, if(ISBLANK('2025'!$R331), 0, 1), 5, if(ISBLANK('2025'!$S331), 0, 1), 6, if(ISBLANK('2025'!$T331), 0, 1), 7, 0))), 1, "")</f>
        <v/>
      </c>
      <c r="AA333" s="1" t="str">
        <f>IF(AND(AND(AND(AA$4&gt;='2025'!$L331,AA$4&lt;='2025'!$M331), AA$4&lt;&gt;DATE(2025,7,4)), (SWITCH(weekday(AA$4), 1, 0, 2, if(ISBLANK('2025'!$P331), 0, 1), 3, if(ISBLANK('2025'!$Q331), 0, 1), 4, if(ISBLANK('2025'!$R331), 0, 1), 5, if(ISBLANK('2025'!$S331), 0, 1), 6, if(ISBLANK('2025'!$T331), 0, 1), 7, 0))), 1, "")</f>
        <v/>
      </c>
      <c r="AB333" s="1" t="str">
        <f>IF(AND(AND(AND(AB$4&gt;='2025'!$L331,AB$4&lt;='2025'!$M331), AB$4&lt;&gt;DATE(2025,7,4)), (SWITCH(weekday(AB$4), 1, 0, 2, if(ISBLANK('2025'!$P331), 0, 1), 3, if(ISBLANK('2025'!$Q331), 0, 1), 4, if(ISBLANK('2025'!$R331), 0, 1), 5, if(ISBLANK('2025'!$S331), 0, 1), 6, if(ISBLANK('2025'!$T331), 0, 1), 7, 0))), 1, "")</f>
        <v/>
      </c>
      <c r="AC333" s="1" t="str">
        <f>IF(AND(AND(AND(AC$4&gt;='2025'!$L331,AC$4&lt;='2025'!$M331), AC$4&lt;&gt;DATE(2025,7,4)), (SWITCH(weekday(AC$4), 1, 0, 2, if(ISBLANK('2025'!$P331), 0, 1), 3, if(ISBLANK('2025'!$Q331), 0, 1), 4, if(ISBLANK('2025'!$R331), 0, 1), 5, if(ISBLANK('2025'!$S331), 0, 1), 6, if(ISBLANK('2025'!$T331), 0, 1), 7, 0))), 1, "")</f>
        <v/>
      </c>
      <c r="AD333" s="1" t="str">
        <f>IF(AND(AND(AND(AD$4&gt;='2025'!$L331,AD$4&lt;='2025'!$M331), AD$4&lt;&gt;DATE(2025,7,4)), (SWITCH(weekday(AD$4), 1, 0, 2, if(ISBLANK('2025'!$P331), 0, 1), 3, if(ISBLANK('2025'!$Q331), 0, 1), 4, if(ISBLANK('2025'!$R331), 0, 1), 5, if(ISBLANK('2025'!$S331), 0, 1), 6, if(ISBLANK('2025'!$T331), 0, 1), 7, 0))), 1, "")</f>
        <v/>
      </c>
      <c r="AE333" s="1" t="str">
        <f>IF(AND(AND(AND(AE$4&gt;='2025'!$L331,AE$4&lt;='2025'!$M331), AE$4&lt;&gt;DATE(2025,7,4)), (SWITCH(weekday(AE$4), 1, 0, 2, if(ISBLANK('2025'!$P331), 0, 1), 3, if(ISBLANK('2025'!$Q331), 0, 1), 4, if(ISBLANK('2025'!$R331), 0, 1), 5, if(ISBLANK('2025'!$S331), 0, 1), 6, if(ISBLANK('2025'!$T331), 0, 1), 7, 0))), 1, "")</f>
        <v/>
      </c>
      <c r="AF333" s="1" t="str">
        <f>IF(AND(AND(AND(AF$4&gt;='2025'!$L331,AF$4&lt;='2025'!$M331), AF$4&lt;&gt;DATE(2025,7,4)), (SWITCH(weekday(AF$4), 1, 0, 2, if(ISBLANK('2025'!$P331), 0, 1), 3, if(ISBLANK('2025'!$Q331), 0, 1), 4, if(ISBLANK('2025'!$R331), 0, 1), 5, if(ISBLANK('2025'!$S331), 0, 1), 6, if(ISBLANK('2025'!$T331), 0, 1), 7, 0))), 1, "")</f>
        <v/>
      </c>
      <c r="AG333" s="1" t="str">
        <f>IF(AND(AND(AND(AG$4&gt;='2025'!$L331,AG$4&lt;='2025'!$M331), AG$4&lt;&gt;DATE(2025,7,4)), (SWITCH(weekday(AG$4), 1, 0, 2, if(ISBLANK('2025'!$P331), 0, 1), 3, if(ISBLANK('2025'!$Q331), 0, 1), 4, if(ISBLANK('2025'!$R331), 0, 1), 5, if(ISBLANK('2025'!$S331), 0, 1), 6, if(ISBLANK('2025'!$T331), 0, 1), 7, 0))), 1, "")</f>
        <v/>
      </c>
      <c r="AH333" s="1" t="str">
        <f>IF(AND(AND(AND(AH$4&gt;='2025'!$L331,AH$4&lt;='2025'!$M331), AH$4&lt;&gt;DATE(2025,7,4)), (SWITCH(weekday(AH$4), 1, 0, 2, if(ISBLANK('2025'!$P331), 0, 1), 3, if(ISBLANK('2025'!$Q331), 0, 1), 4, if(ISBLANK('2025'!$R331), 0, 1), 5, if(ISBLANK('2025'!$S331), 0, 1), 6, if(ISBLANK('2025'!$T331), 0, 1), 7, 0))), 1, "")</f>
        <v/>
      </c>
      <c r="AI333" s="1" t="str">
        <f>IF(AND(AND(AND(AI$4&gt;='2025'!$L331,AI$4&lt;='2025'!$M331), AI$4&lt;&gt;DATE(2025,7,4)), (SWITCH(weekday(AI$4), 1, 0, 2, if(ISBLANK('2025'!$P331), 0, 1), 3, if(ISBLANK('2025'!$Q331), 0, 1), 4, if(ISBLANK('2025'!$R331), 0, 1), 5, if(ISBLANK('2025'!$S331), 0, 1), 6, if(ISBLANK('2025'!$T331), 0, 1), 7, 0))), 1, "")</f>
        <v/>
      </c>
      <c r="AJ333" s="1" t="str">
        <f>IF(AND(AND(AND(AJ$4&gt;='2025'!$L331,AJ$4&lt;='2025'!$M331), AJ$4&lt;&gt;DATE(2025,7,4)), (SWITCH(weekday(AJ$4), 1, 0, 2, if(ISBLANK('2025'!$P331), 0, 1), 3, if(ISBLANK('2025'!$Q331), 0, 1), 4, if(ISBLANK('2025'!$R331), 0, 1), 5, if(ISBLANK('2025'!$S331), 0, 1), 6, if(ISBLANK('2025'!$T331), 0, 1), 7, 0))), 1, "")</f>
        <v/>
      </c>
      <c r="AK333" s="1" t="str">
        <f>IF(AND(AND(AND(AK$4&gt;='2025'!$L331,AK$4&lt;='2025'!$M331), AK$4&lt;&gt;DATE(2025,7,4)), (SWITCH(weekday(AK$4), 1, 0, 2, if(ISBLANK('2025'!$P331), 0, 1), 3, if(ISBLANK('2025'!$Q331), 0, 1), 4, if(ISBLANK('2025'!$R331), 0, 1), 5, if(ISBLANK('2025'!$S331), 0, 1), 6, if(ISBLANK('2025'!$T331), 0, 1), 7, 0))), 1, "")</f>
        <v/>
      </c>
      <c r="AL333" s="1" t="str">
        <f>IF(AND(AND(AND(AL$4&gt;='2025'!$L331,AL$4&lt;='2025'!$M331), AL$4&lt;&gt;DATE(2025,7,4)), (SWITCH(weekday(AL$4), 1, 0, 2, if(ISBLANK('2025'!$P331), 0, 1), 3, if(ISBLANK('2025'!$Q331), 0, 1), 4, if(ISBLANK('2025'!$R331), 0, 1), 5, if(ISBLANK('2025'!$S331), 0, 1), 6, if(ISBLANK('2025'!$T331), 0, 1), 7, 0))), 1, "")</f>
        <v/>
      </c>
      <c r="AM333" s="1" t="str">
        <f>IF(AND(AND(AND(AM$4&gt;='2025'!$L331,AM$4&lt;='2025'!$M331), AM$4&lt;&gt;DATE(2025,7,4)), (SWITCH(weekday(AM$4), 1, 0, 2, if(ISBLANK('2025'!$P331), 0, 1), 3, if(ISBLANK('2025'!$Q331), 0, 1), 4, if(ISBLANK('2025'!$R331), 0, 1), 5, if(ISBLANK('2025'!$S331), 0, 1), 6, if(ISBLANK('2025'!$T331), 0, 1), 7, 0))), 1, "")</f>
        <v/>
      </c>
      <c r="AN333" s="1" t="str">
        <f>IF(AND(AND(AND(AN$4&gt;='2025'!$L331,AN$4&lt;='2025'!$M331), AN$4&lt;&gt;DATE(2025,7,4)), (SWITCH(weekday(AN$4), 1, 0, 2, if(ISBLANK('2025'!$P331), 0, 1), 3, if(ISBLANK('2025'!$Q331), 0, 1), 4, if(ISBLANK('2025'!$R331), 0, 1), 5, if(ISBLANK('2025'!$S331), 0, 1), 6, if(ISBLANK('2025'!$T331), 0, 1), 7, 0))), 1, "")</f>
        <v/>
      </c>
      <c r="AO333" s="1" t="str">
        <f>IF(AND(AND(AND(AO$4&gt;='2025'!$L331,AO$4&lt;='2025'!$M331), AO$4&lt;&gt;DATE(2025,7,4)), (SWITCH(weekday(AO$4), 1, 0, 2, if(ISBLANK('2025'!$P331), 0, 1), 3, if(ISBLANK('2025'!$Q331), 0, 1), 4, if(ISBLANK('2025'!$R331), 0, 1), 5, if(ISBLANK('2025'!$S331), 0, 1), 6, if(ISBLANK('2025'!$T331), 0, 1), 7, 0))), 1, "")</f>
        <v/>
      </c>
      <c r="AP333" s="1" t="str">
        <f>IF(AND(AND(AND(AP$4&gt;='2025'!$L331,AP$4&lt;='2025'!$M331), AP$4&lt;&gt;DATE(2025,7,4)), (SWITCH(weekday(AP$4), 1, 0, 2, if(ISBLANK('2025'!$P331), 0, 1), 3, if(ISBLANK('2025'!$Q331), 0, 1), 4, if(ISBLANK('2025'!$R331), 0, 1), 5, if(ISBLANK('2025'!$S331), 0, 1), 6, if(ISBLANK('2025'!$T331), 0, 1), 7, 0))), 1, "")</f>
        <v/>
      </c>
      <c r="AQ333" s="1" t="str">
        <f>IF(AND(AND(AND(AQ$4&gt;='2025'!$L331,AQ$4&lt;='2025'!$M331), AQ$4&lt;&gt;DATE(2025,7,4)), (SWITCH(weekday(AQ$4), 1, 0, 2, if(ISBLANK('2025'!$P331), 0, 1), 3, if(ISBLANK('2025'!$Q331), 0, 1), 4, if(ISBLANK('2025'!$R331), 0, 1), 5, if(ISBLANK('2025'!$S331), 0, 1), 6, if(ISBLANK('2025'!$T331), 0, 1), 7, 0))), 1, "")</f>
        <v/>
      </c>
      <c r="AR333" s="1" t="str">
        <f>IF(AND(AND(AND(AR$4&gt;='2025'!$L331,AR$4&lt;='2025'!$M331), AR$4&lt;&gt;DATE(2025,7,4)), (SWITCH(weekday(AR$4), 1, 0, 2, if(ISBLANK('2025'!$P331), 0, 1), 3, if(ISBLANK('2025'!$Q331), 0, 1), 4, if(ISBLANK('2025'!$R331), 0, 1), 5, if(ISBLANK('2025'!$S331), 0, 1), 6, if(ISBLANK('2025'!$T331), 0, 1), 7, 0))), 1, "")</f>
        <v/>
      </c>
      <c r="AS333" s="1" t="str">
        <f>IF(AND(AND(AND(AS$4&gt;='2025'!$L331,AS$4&lt;='2025'!$M331), AS$4&lt;&gt;DATE(2025,7,4)), (SWITCH(weekday(AS$4), 1, 0, 2, if(ISBLANK('2025'!$P331), 0, 1), 3, if(ISBLANK('2025'!$Q331), 0, 1), 4, if(ISBLANK('2025'!$R331), 0, 1), 5, if(ISBLANK('2025'!$S331), 0, 1), 6, if(ISBLANK('2025'!$T331), 0, 1), 7, 0))), 1, "")</f>
        <v/>
      </c>
      <c r="AT333" s="1" t="str">
        <f>IF(AND(AND(AND(AT$4&gt;='2025'!$L331,AT$4&lt;='2025'!$M331), AT$4&lt;&gt;DATE(2025,7,4)), (SWITCH(weekday(AT$4), 1, 0, 2, if(ISBLANK('2025'!$P331), 0, 1), 3, if(ISBLANK('2025'!$Q331), 0, 1), 4, if(ISBLANK('2025'!$R331), 0, 1), 5, if(ISBLANK('2025'!$S331), 0, 1), 6, if(ISBLANK('2025'!$T331), 0, 1), 7, 0))), 1, "")</f>
        <v/>
      </c>
      <c r="AU333" s="1" t="str">
        <f>IF(AND(AND(AND(AU$4&gt;='2025'!$L331,AU$4&lt;='2025'!$M331), AU$4&lt;&gt;DATE(2025,7,4)), (SWITCH(weekday(AU$4), 1, 0, 2, if(ISBLANK('2025'!$P331), 0, 1), 3, if(ISBLANK('2025'!$Q331), 0, 1), 4, if(ISBLANK('2025'!$R331), 0, 1), 5, if(ISBLANK('2025'!$S331), 0, 1), 6, if(ISBLANK('2025'!$T331), 0, 1), 7, 0))), 1, "")</f>
        <v/>
      </c>
      <c r="AV333" s="1" t="str">
        <f>IF(AND(AND(AND(AV$4&gt;='2025'!$L331,AV$4&lt;='2025'!$M331), AV$4&lt;&gt;DATE(2025,7,4)), (SWITCH(weekday(AV$4), 1, 0, 2, if(ISBLANK('2025'!$P331), 0, 1), 3, if(ISBLANK('2025'!$Q331), 0, 1), 4, if(ISBLANK('2025'!$R331), 0, 1), 5, if(ISBLANK('2025'!$S331), 0, 1), 6, if(ISBLANK('2025'!$T331), 0, 1), 7, 0))), 1, "")</f>
        <v/>
      </c>
      <c r="AW333" s="1" t="str">
        <f>IF(AND(AND(AND(AW$4&gt;='2025'!$L331,AW$4&lt;='2025'!$M331), AW$4&lt;&gt;DATE(2025,7,4)), (SWITCH(weekday(AW$4), 1, 0, 2, if(ISBLANK('2025'!$P331), 0, 1), 3, if(ISBLANK('2025'!$Q331), 0, 1), 4, if(ISBLANK('2025'!$R331), 0, 1), 5, if(ISBLANK('2025'!$S331), 0, 1), 6, if(ISBLANK('2025'!$T331), 0, 1), 7, 0))), 1, "")</f>
        <v/>
      </c>
      <c r="AX333" s="1" t="str">
        <f>IF(AND(AND(AND(AX$4&gt;='2025'!$L331,AX$4&lt;='2025'!$M331), AX$4&lt;&gt;DATE(2025,7,4)), (SWITCH(weekday(AX$4), 1, 0, 2, if(ISBLANK('2025'!$P331), 0, 1), 3, if(ISBLANK('2025'!$Q331), 0, 1), 4, if(ISBLANK('2025'!$R331), 0, 1), 5, if(ISBLANK('2025'!$S331), 0, 1), 6, if(ISBLANK('2025'!$T331), 0, 1), 7, 0))), 1, "")</f>
        <v/>
      </c>
      <c r="AY333" s="1" t="str">
        <f>IF(AND(AND(AND(AY$4&gt;='2025'!$L331,AY$4&lt;='2025'!$M331), AY$4&lt;&gt;DATE(2025,7,4)), (SWITCH(weekday(AY$4), 1, 0, 2, if(ISBLANK('2025'!$P331), 0, 1), 3, if(ISBLANK('2025'!$Q331), 0, 1), 4, if(ISBLANK('2025'!$R331), 0, 1), 5, if(ISBLANK('2025'!$S331), 0, 1), 6, if(ISBLANK('2025'!$T331), 0, 1), 7, 0))), 1, "")</f>
        <v/>
      </c>
      <c r="AZ333" s="1" t="str">
        <f>IF(AND(AND(AND(AZ$4&gt;='2025'!$L331,AZ$4&lt;='2025'!$M331), AZ$4&lt;&gt;DATE(2025,7,4)), (SWITCH(weekday(AZ$4), 1, 0, 2, if(ISBLANK('2025'!$P331), 0, 1), 3, if(ISBLANK('2025'!$Q331), 0, 1), 4, if(ISBLANK('2025'!$R331), 0, 1), 5, if(ISBLANK('2025'!$S331), 0, 1), 6, if(ISBLANK('2025'!$T331), 0, 1), 7, 0))), 1, "")</f>
        <v/>
      </c>
      <c r="BA333" s="1" t="str">
        <f>IF(AND(AND(AND(BA$4&gt;='2025'!$L331,BA$4&lt;='2025'!$M331), BA$4&lt;&gt;DATE(2025,7,4)), (SWITCH(weekday(BA$4), 1, 0, 2, if(ISBLANK('2025'!$P331), 0, 1), 3, if(ISBLANK('2025'!$Q331), 0, 1), 4, if(ISBLANK('2025'!$R331), 0, 1), 5, if(ISBLANK('2025'!$S331), 0, 1), 6, if(ISBLANK('2025'!$T331), 0, 1), 7, 0))), 1, "")</f>
        <v/>
      </c>
      <c r="BB333" s="1" t="str">
        <f>IF(AND(AND(AND(BB$4&gt;='2025'!$L331,BB$4&lt;='2025'!$M331), BB$4&lt;&gt;DATE(2025,7,4)), (SWITCH(weekday(BB$4), 1, 0, 2, if(ISBLANK('2025'!$P331), 0, 1), 3, if(ISBLANK('2025'!$Q331), 0, 1), 4, if(ISBLANK('2025'!$R331), 0, 1), 5, if(ISBLANK('2025'!$S331), 0, 1), 6, if(ISBLANK('2025'!$T331), 0, 1), 7, 0))), 1, "")</f>
        <v/>
      </c>
      <c r="BC333" s="1" t="str">
        <f>IF(AND(AND(AND(BC$4&gt;='2025'!$L331,BC$4&lt;='2025'!$M331), BC$4&lt;&gt;DATE(2025,7,4)), (SWITCH(weekday(BC$4), 1, 0, 2, if(ISBLANK('2025'!$P331), 0, 1), 3, if(ISBLANK('2025'!$Q331), 0, 1), 4, if(ISBLANK('2025'!$R331), 0, 1), 5, if(ISBLANK('2025'!$S331), 0, 1), 6, if(ISBLANK('2025'!$T331), 0, 1), 7, 0))), 1, "")</f>
        <v/>
      </c>
      <c r="BD333" s="1" t="str">
        <f>IF(AND(AND(AND(BD$4&gt;='2025'!$L331,BD$4&lt;='2025'!$M331), BD$4&lt;&gt;DATE(2025,7,4)), (SWITCH(weekday(BD$4), 1, 0, 2, if(ISBLANK('2025'!$P331), 0, 1), 3, if(ISBLANK('2025'!$Q331), 0, 1), 4, if(ISBLANK('2025'!$R331), 0, 1), 5, if(ISBLANK('2025'!$S331), 0, 1), 6, if(ISBLANK('2025'!$T331), 0, 1), 7, 0))), 1, "")</f>
        <v/>
      </c>
      <c r="BE333" s="1" t="str">
        <f>IF(AND(AND(AND(BE$4&gt;='2025'!$L331,BE$4&lt;='2025'!$M331), BE$4&lt;&gt;DATE(2025,7,4)), (SWITCH(weekday(BE$4), 1, 0, 2, if(ISBLANK('2025'!$P331), 0, 1), 3, if(ISBLANK('2025'!$Q331), 0, 1), 4, if(ISBLANK('2025'!$R331), 0, 1), 5, if(ISBLANK('2025'!$S331), 0, 1), 6, if(ISBLANK('2025'!$T331), 0, 1), 7, 0))), 1, "")</f>
        <v/>
      </c>
      <c r="BF333" s="1" t="str">
        <f>IF(AND(AND(AND(BF$4&gt;='2025'!$L331,BF$4&lt;='2025'!$M331), BF$4&lt;&gt;DATE(2025,7,4)), (SWITCH(weekday(BF$4), 1, 0, 2, if(ISBLANK('2025'!$P331), 0, 1), 3, if(ISBLANK('2025'!$Q331), 0, 1), 4, if(ISBLANK('2025'!$R331), 0, 1), 5, if(ISBLANK('2025'!$S331), 0, 1), 6, if(ISBLANK('2025'!$T331), 0, 1), 7, 0))), 1, "")</f>
        <v/>
      </c>
      <c r="BG333" s="1"/>
      <c r="BH333" s="1"/>
      <c r="BI333" s="1"/>
      <c r="BJ333" s="1"/>
      <c r="BK333" s="1"/>
      <c r="BL333" s="1"/>
    </row>
    <row r="334">
      <c r="A334" s="1">
        <f t="shared" si="3"/>
        <v>334</v>
      </c>
      <c r="B334" s="1" t="str">
        <f>'2025'!D298</f>
        <v>, </v>
      </c>
      <c r="C334" s="1" t="str">
        <f>'2025'!H298</f>
        <v/>
      </c>
      <c r="D334" s="1" t="str">
        <f>IF(AND(AND(AND(D$4&gt;='2025'!$L332,D$4&lt;='2025'!$M332), D$4&lt;&gt;DATE(2025,7,4)), (SWITCH(weekday(D$4), 1, 0, 2, if(ISBLANK('2025'!$P332), 0, 1), 3, if(ISBLANK('2025'!$Q332), 0, 1), 4, if(ISBLANK('2025'!$R332), 0, 1), 5, if(ISBLANK('2025'!$S332), 0, 1), 6, if(ISBLANK('2025'!$T332), 0, 1), 7, 0))), 1, "")</f>
        <v/>
      </c>
      <c r="E334" s="1" t="str">
        <f>IF(AND(AND(AND(E$4&gt;='2025'!$L332,E$4&lt;='2025'!$M332), E$4&lt;&gt;DATE(2025,7,4)), (SWITCH(weekday(E$4), 1, 0, 2, if(ISBLANK('2025'!$P332), 0, 1), 3, if(ISBLANK('2025'!$Q332), 0, 1), 4, if(ISBLANK('2025'!$R332), 0, 1), 5, if(ISBLANK('2025'!$S332), 0, 1), 6, if(ISBLANK('2025'!$T332), 0, 1), 7, 0))), 1, "")</f>
        <v/>
      </c>
      <c r="F334" s="1" t="str">
        <f>IF(AND(AND(AND(F$4&gt;='2025'!$L332,F$4&lt;='2025'!$M332), F$4&lt;&gt;DATE(2025,7,4)), (SWITCH(weekday(F$4), 1, 0, 2, if(ISBLANK('2025'!$P332), 0, 1), 3, if(ISBLANK('2025'!$Q332), 0, 1), 4, if(ISBLANK('2025'!$R332), 0, 1), 5, if(ISBLANK('2025'!$S332), 0, 1), 6, if(ISBLANK('2025'!$T332), 0, 1), 7, 0))), 1, "")</f>
        <v/>
      </c>
      <c r="G334" s="1" t="str">
        <f>IF(AND(AND(AND(G$4&gt;='2025'!$L332,G$4&lt;='2025'!$M332), G$4&lt;&gt;DATE(2025,7,4)), (SWITCH(weekday(G$4), 1, 0, 2, if(ISBLANK('2025'!$P332), 0, 1), 3, if(ISBLANK('2025'!$Q332), 0, 1), 4, if(ISBLANK('2025'!$R332), 0, 1), 5, if(ISBLANK('2025'!$S332), 0, 1), 6, if(ISBLANK('2025'!$T332), 0, 1), 7, 0))), 1, "")</f>
        <v/>
      </c>
      <c r="H334" s="1" t="str">
        <f>IF(AND(AND(AND(H$4&gt;='2025'!$L332,H$4&lt;='2025'!$M332), H$4&lt;&gt;DATE(2025,7,4)), (SWITCH(weekday(H$4), 1, 0, 2, if(ISBLANK('2025'!$P332), 0, 1), 3, if(ISBLANK('2025'!$Q332), 0, 1), 4, if(ISBLANK('2025'!$R332), 0, 1), 5, if(ISBLANK('2025'!$S332), 0, 1), 6, if(ISBLANK('2025'!$T332), 0, 1), 7, 0))), 1, "")</f>
        <v/>
      </c>
      <c r="I334" s="1" t="str">
        <f>IF(AND(AND(AND(I$4&gt;='2025'!$L332,I$4&lt;='2025'!$M332), I$4&lt;&gt;DATE(2025,7,4)), (SWITCH(weekday(I$4), 1, 0, 2, if(ISBLANK('2025'!$P332), 0, 1), 3, if(ISBLANK('2025'!$Q332), 0, 1), 4, if(ISBLANK('2025'!$R332), 0, 1), 5, if(ISBLANK('2025'!$S332), 0, 1), 6, if(ISBLANK('2025'!$T332), 0, 1), 7, 0))), 1, "")</f>
        <v/>
      </c>
      <c r="J334" s="1" t="str">
        <f>IF(AND(AND(AND(J$4&gt;='2025'!$L332,J$4&lt;='2025'!$M332), J$4&lt;&gt;DATE(2025,7,4)), (SWITCH(weekday(J$4), 1, 0, 2, if(ISBLANK('2025'!$P332), 0, 1), 3, if(ISBLANK('2025'!$Q332), 0, 1), 4, if(ISBLANK('2025'!$R332), 0, 1), 5, if(ISBLANK('2025'!$S332), 0, 1), 6, if(ISBLANK('2025'!$T332), 0, 1), 7, 0))), 1, "")</f>
        <v/>
      </c>
      <c r="K334" s="1" t="str">
        <f>IF(AND(AND(AND(K$4&gt;='2025'!$L332,K$4&lt;='2025'!$M332), K$4&lt;&gt;DATE(2025,7,4)), (SWITCH(weekday(K$4), 1, 0, 2, if(ISBLANK('2025'!$P332), 0, 1), 3, if(ISBLANK('2025'!$Q332), 0, 1), 4, if(ISBLANK('2025'!$R332), 0, 1), 5, if(ISBLANK('2025'!$S332), 0, 1), 6, if(ISBLANK('2025'!$T332), 0, 1), 7, 0))), 1, "")</f>
        <v/>
      </c>
      <c r="L334" s="1" t="str">
        <f>IF(AND(AND(AND(L$4&gt;='2025'!$L332,L$4&lt;='2025'!$M332), L$4&lt;&gt;DATE(2025,7,4)), (SWITCH(weekday(L$4), 1, 0, 2, if(ISBLANK('2025'!$P332), 0, 1), 3, if(ISBLANK('2025'!$Q332), 0, 1), 4, if(ISBLANK('2025'!$R332), 0, 1), 5, if(ISBLANK('2025'!$S332), 0, 1), 6, if(ISBLANK('2025'!$T332), 0, 1), 7, 0))), 1, "")</f>
        <v/>
      </c>
      <c r="M334" s="1" t="str">
        <f>IF(AND(AND(AND(M$4&gt;='2025'!$L332,M$4&lt;='2025'!$M332), M$4&lt;&gt;DATE(2025,7,4)), (SWITCH(weekday(M$4), 1, 0, 2, if(ISBLANK('2025'!$P332), 0, 1), 3, if(ISBLANK('2025'!$Q332), 0, 1), 4, if(ISBLANK('2025'!$R332), 0, 1), 5, if(ISBLANK('2025'!$S332), 0, 1), 6, if(ISBLANK('2025'!$T332), 0, 1), 7, 0))), 1, "")</f>
        <v/>
      </c>
      <c r="N334" s="1" t="str">
        <f>IF(AND(AND(AND(N$4&gt;='2025'!$L332,N$4&lt;='2025'!$M332), N$4&lt;&gt;DATE(2025,7,4)), (SWITCH(weekday(N$4), 1, 0, 2, if(ISBLANK('2025'!$P332), 0, 1), 3, if(ISBLANK('2025'!$Q332), 0, 1), 4, if(ISBLANK('2025'!$R332), 0, 1), 5, if(ISBLANK('2025'!$S332), 0, 1), 6, if(ISBLANK('2025'!$T332), 0, 1), 7, 0))), 1, "")</f>
        <v/>
      </c>
      <c r="O334" s="1" t="str">
        <f>IF(AND(AND(AND(O$4&gt;='2025'!$L332,O$4&lt;='2025'!$M332), O$4&lt;&gt;DATE(2025,7,4)), (SWITCH(weekday(O$4), 1, 0, 2, if(ISBLANK('2025'!$P332), 0, 1), 3, if(ISBLANK('2025'!$Q332), 0, 1), 4, if(ISBLANK('2025'!$R332), 0, 1), 5, if(ISBLANK('2025'!$S332), 0, 1), 6, if(ISBLANK('2025'!$T332), 0, 1), 7, 0))), 1, "")</f>
        <v/>
      </c>
      <c r="P334" s="1" t="str">
        <f>IF(AND(AND(AND(P$4&gt;='2025'!$L332,P$4&lt;='2025'!$M332), P$4&lt;&gt;DATE(2025,7,4)), (SWITCH(weekday(P$4), 1, 0, 2, if(ISBLANK('2025'!$P332), 0, 1), 3, if(ISBLANK('2025'!$Q332), 0, 1), 4, if(ISBLANK('2025'!$R332), 0, 1), 5, if(ISBLANK('2025'!$S332), 0, 1), 6, if(ISBLANK('2025'!$T332), 0, 1), 7, 0))), 1, "")</f>
        <v/>
      </c>
      <c r="Q334" s="1" t="str">
        <f>IF(AND(AND(AND(Q$4&gt;='2025'!$L332,Q$4&lt;='2025'!$M332), Q$4&lt;&gt;DATE(2025,7,4)), (SWITCH(weekday(Q$4), 1, 0, 2, if(ISBLANK('2025'!$P332), 0, 1), 3, if(ISBLANK('2025'!$Q332), 0, 1), 4, if(ISBLANK('2025'!$R332), 0, 1), 5, if(ISBLANK('2025'!$S332), 0, 1), 6, if(ISBLANK('2025'!$T332), 0, 1), 7, 0))), 1, "")</f>
        <v/>
      </c>
      <c r="R334" s="1" t="str">
        <f>IF(AND(AND(AND(R$4&gt;='2025'!$L332,R$4&lt;='2025'!$M332), R$4&lt;&gt;DATE(2025,7,4)), (SWITCH(weekday(R$4), 1, 0, 2, if(ISBLANK('2025'!$P332), 0, 1), 3, if(ISBLANK('2025'!$Q332), 0, 1), 4, if(ISBLANK('2025'!$R332), 0, 1), 5, if(ISBLANK('2025'!$S332), 0, 1), 6, if(ISBLANK('2025'!$T332), 0, 1), 7, 0))), 1, "")</f>
        <v/>
      </c>
      <c r="S334" s="1" t="str">
        <f>IF(AND(AND(AND(S$4&gt;='2025'!$L332,S$4&lt;='2025'!$M332), S$4&lt;&gt;DATE(2025,7,4)), (SWITCH(weekday(S$4), 1, 0, 2, if(ISBLANK('2025'!$P332), 0, 1), 3, if(ISBLANK('2025'!$Q332), 0, 1), 4, if(ISBLANK('2025'!$R332), 0, 1), 5, if(ISBLANK('2025'!$S332), 0, 1), 6, if(ISBLANK('2025'!$T332), 0, 1), 7, 0))), 1, "")</f>
        <v/>
      </c>
      <c r="T334" s="1" t="str">
        <f>IF(AND(AND(AND(T$4&gt;='2025'!$L332,T$4&lt;='2025'!$M332), T$4&lt;&gt;DATE(2025,7,4)), (SWITCH(weekday(T$4), 1, 0, 2, if(ISBLANK('2025'!$P332), 0, 1), 3, if(ISBLANK('2025'!$Q332), 0, 1), 4, if(ISBLANK('2025'!$R332), 0, 1), 5, if(ISBLANK('2025'!$S332), 0, 1), 6, if(ISBLANK('2025'!$T332), 0, 1), 7, 0))), 1, "")</f>
        <v/>
      </c>
      <c r="U334" s="1" t="str">
        <f>IF(AND(AND(AND(U$4&gt;='2025'!$L332,U$4&lt;='2025'!$M332), U$4&lt;&gt;DATE(2025,7,4)), (SWITCH(weekday(U$4), 1, 0, 2, if(ISBLANK('2025'!$P332), 0, 1), 3, if(ISBLANK('2025'!$Q332), 0, 1), 4, if(ISBLANK('2025'!$R332), 0, 1), 5, if(ISBLANK('2025'!$S332), 0, 1), 6, if(ISBLANK('2025'!$T332), 0, 1), 7, 0))), 1, "")</f>
        <v/>
      </c>
      <c r="V334" s="1" t="str">
        <f>IF(AND(AND(AND(V$4&gt;='2025'!$L332,V$4&lt;='2025'!$M332), V$4&lt;&gt;DATE(2025,7,4)), (SWITCH(weekday(V$4), 1, 0, 2, if(ISBLANK('2025'!$P332), 0, 1), 3, if(ISBLANK('2025'!$Q332), 0, 1), 4, if(ISBLANK('2025'!$R332), 0, 1), 5, if(ISBLANK('2025'!$S332), 0, 1), 6, if(ISBLANK('2025'!$T332), 0, 1), 7, 0))), 1, "")</f>
        <v/>
      </c>
      <c r="W334" s="1" t="str">
        <f>IF(AND(AND(AND(W$4&gt;='2025'!$L332,W$4&lt;='2025'!$M332), W$4&lt;&gt;DATE(2025,7,4)), (SWITCH(weekday(W$4), 1, 0, 2, if(ISBLANK('2025'!$P332), 0, 1), 3, if(ISBLANK('2025'!$Q332), 0, 1), 4, if(ISBLANK('2025'!$R332), 0, 1), 5, if(ISBLANK('2025'!$S332), 0, 1), 6, if(ISBLANK('2025'!$T332), 0, 1), 7, 0))), 1, "")</f>
        <v/>
      </c>
      <c r="X334" s="1" t="str">
        <f>IF(AND(AND(AND(X$4&gt;='2025'!$L332,X$4&lt;='2025'!$M332), X$4&lt;&gt;DATE(2025,7,4)), (SWITCH(weekday(X$4), 1, 0, 2, if(ISBLANK('2025'!$P332), 0, 1), 3, if(ISBLANK('2025'!$Q332), 0, 1), 4, if(ISBLANK('2025'!$R332), 0, 1), 5, if(ISBLANK('2025'!$S332), 0, 1), 6, if(ISBLANK('2025'!$T332), 0, 1), 7, 0))), 1, "")</f>
        <v/>
      </c>
      <c r="Y334" s="1" t="str">
        <f>IF(AND(AND(AND(Y$4&gt;='2025'!$L332,Y$4&lt;='2025'!$M332), Y$4&lt;&gt;DATE(2025,7,4)), (SWITCH(weekday(Y$4), 1, 0, 2, if(ISBLANK('2025'!$P332), 0, 1), 3, if(ISBLANK('2025'!$Q332), 0, 1), 4, if(ISBLANK('2025'!$R332), 0, 1), 5, if(ISBLANK('2025'!$S332), 0, 1), 6, if(ISBLANK('2025'!$T332), 0, 1), 7, 0))), 1, "")</f>
        <v/>
      </c>
      <c r="Z334" s="1" t="str">
        <f>IF(AND(AND(AND(Z$4&gt;='2025'!$L332,Z$4&lt;='2025'!$M332), Z$4&lt;&gt;DATE(2025,7,4)), (SWITCH(weekday(Z$4), 1, 0, 2, if(ISBLANK('2025'!$P332), 0, 1), 3, if(ISBLANK('2025'!$Q332), 0, 1), 4, if(ISBLANK('2025'!$R332), 0, 1), 5, if(ISBLANK('2025'!$S332), 0, 1), 6, if(ISBLANK('2025'!$T332), 0, 1), 7, 0))), 1, "")</f>
        <v/>
      </c>
      <c r="AA334" s="1" t="str">
        <f>IF(AND(AND(AND(AA$4&gt;='2025'!$L332,AA$4&lt;='2025'!$M332), AA$4&lt;&gt;DATE(2025,7,4)), (SWITCH(weekday(AA$4), 1, 0, 2, if(ISBLANK('2025'!$P332), 0, 1), 3, if(ISBLANK('2025'!$Q332), 0, 1), 4, if(ISBLANK('2025'!$R332), 0, 1), 5, if(ISBLANK('2025'!$S332), 0, 1), 6, if(ISBLANK('2025'!$T332), 0, 1), 7, 0))), 1, "")</f>
        <v/>
      </c>
      <c r="AB334" s="1" t="str">
        <f>IF(AND(AND(AND(AB$4&gt;='2025'!$L332,AB$4&lt;='2025'!$M332), AB$4&lt;&gt;DATE(2025,7,4)), (SWITCH(weekday(AB$4), 1, 0, 2, if(ISBLANK('2025'!$P332), 0, 1), 3, if(ISBLANK('2025'!$Q332), 0, 1), 4, if(ISBLANK('2025'!$R332), 0, 1), 5, if(ISBLANK('2025'!$S332), 0, 1), 6, if(ISBLANK('2025'!$T332), 0, 1), 7, 0))), 1, "")</f>
        <v/>
      </c>
      <c r="AC334" s="1" t="str">
        <f>IF(AND(AND(AND(AC$4&gt;='2025'!$L332,AC$4&lt;='2025'!$M332), AC$4&lt;&gt;DATE(2025,7,4)), (SWITCH(weekday(AC$4), 1, 0, 2, if(ISBLANK('2025'!$P332), 0, 1), 3, if(ISBLANK('2025'!$Q332), 0, 1), 4, if(ISBLANK('2025'!$R332), 0, 1), 5, if(ISBLANK('2025'!$S332), 0, 1), 6, if(ISBLANK('2025'!$T332), 0, 1), 7, 0))), 1, "")</f>
        <v/>
      </c>
      <c r="AD334" s="1" t="str">
        <f>IF(AND(AND(AND(AD$4&gt;='2025'!$L332,AD$4&lt;='2025'!$M332), AD$4&lt;&gt;DATE(2025,7,4)), (SWITCH(weekday(AD$4), 1, 0, 2, if(ISBLANK('2025'!$P332), 0, 1), 3, if(ISBLANK('2025'!$Q332), 0, 1), 4, if(ISBLANK('2025'!$R332), 0, 1), 5, if(ISBLANK('2025'!$S332), 0, 1), 6, if(ISBLANK('2025'!$T332), 0, 1), 7, 0))), 1, "")</f>
        <v/>
      </c>
      <c r="AE334" s="1" t="str">
        <f>IF(AND(AND(AND(AE$4&gt;='2025'!$L332,AE$4&lt;='2025'!$M332), AE$4&lt;&gt;DATE(2025,7,4)), (SWITCH(weekday(AE$4), 1, 0, 2, if(ISBLANK('2025'!$P332), 0, 1), 3, if(ISBLANK('2025'!$Q332), 0, 1), 4, if(ISBLANK('2025'!$R332), 0, 1), 5, if(ISBLANK('2025'!$S332), 0, 1), 6, if(ISBLANK('2025'!$T332), 0, 1), 7, 0))), 1, "")</f>
        <v/>
      </c>
      <c r="AF334" s="1" t="str">
        <f>IF(AND(AND(AND(AF$4&gt;='2025'!$L332,AF$4&lt;='2025'!$M332), AF$4&lt;&gt;DATE(2025,7,4)), (SWITCH(weekday(AF$4), 1, 0, 2, if(ISBLANK('2025'!$P332), 0, 1), 3, if(ISBLANK('2025'!$Q332), 0, 1), 4, if(ISBLANK('2025'!$R332), 0, 1), 5, if(ISBLANK('2025'!$S332), 0, 1), 6, if(ISBLANK('2025'!$T332), 0, 1), 7, 0))), 1, "")</f>
        <v/>
      </c>
      <c r="AG334" s="1" t="str">
        <f>IF(AND(AND(AND(AG$4&gt;='2025'!$L332,AG$4&lt;='2025'!$M332), AG$4&lt;&gt;DATE(2025,7,4)), (SWITCH(weekday(AG$4), 1, 0, 2, if(ISBLANK('2025'!$P332), 0, 1), 3, if(ISBLANK('2025'!$Q332), 0, 1), 4, if(ISBLANK('2025'!$R332), 0, 1), 5, if(ISBLANK('2025'!$S332), 0, 1), 6, if(ISBLANK('2025'!$T332), 0, 1), 7, 0))), 1, "")</f>
        <v/>
      </c>
      <c r="AH334" s="1" t="str">
        <f>IF(AND(AND(AND(AH$4&gt;='2025'!$L332,AH$4&lt;='2025'!$M332), AH$4&lt;&gt;DATE(2025,7,4)), (SWITCH(weekday(AH$4), 1, 0, 2, if(ISBLANK('2025'!$P332), 0, 1), 3, if(ISBLANK('2025'!$Q332), 0, 1), 4, if(ISBLANK('2025'!$R332), 0, 1), 5, if(ISBLANK('2025'!$S332), 0, 1), 6, if(ISBLANK('2025'!$T332), 0, 1), 7, 0))), 1, "")</f>
        <v/>
      </c>
      <c r="AI334" s="1" t="str">
        <f>IF(AND(AND(AND(AI$4&gt;='2025'!$L332,AI$4&lt;='2025'!$M332), AI$4&lt;&gt;DATE(2025,7,4)), (SWITCH(weekday(AI$4), 1, 0, 2, if(ISBLANK('2025'!$P332), 0, 1), 3, if(ISBLANK('2025'!$Q332), 0, 1), 4, if(ISBLANK('2025'!$R332), 0, 1), 5, if(ISBLANK('2025'!$S332), 0, 1), 6, if(ISBLANK('2025'!$T332), 0, 1), 7, 0))), 1, "")</f>
        <v/>
      </c>
      <c r="AJ334" s="1" t="str">
        <f>IF(AND(AND(AND(AJ$4&gt;='2025'!$L332,AJ$4&lt;='2025'!$M332), AJ$4&lt;&gt;DATE(2025,7,4)), (SWITCH(weekday(AJ$4), 1, 0, 2, if(ISBLANK('2025'!$P332), 0, 1), 3, if(ISBLANK('2025'!$Q332), 0, 1), 4, if(ISBLANK('2025'!$R332), 0, 1), 5, if(ISBLANK('2025'!$S332), 0, 1), 6, if(ISBLANK('2025'!$T332), 0, 1), 7, 0))), 1, "")</f>
        <v/>
      </c>
      <c r="AK334" s="1" t="str">
        <f>IF(AND(AND(AND(AK$4&gt;='2025'!$L332,AK$4&lt;='2025'!$M332), AK$4&lt;&gt;DATE(2025,7,4)), (SWITCH(weekday(AK$4), 1, 0, 2, if(ISBLANK('2025'!$P332), 0, 1), 3, if(ISBLANK('2025'!$Q332), 0, 1), 4, if(ISBLANK('2025'!$R332), 0, 1), 5, if(ISBLANK('2025'!$S332), 0, 1), 6, if(ISBLANK('2025'!$T332), 0, 1), 7, 0))), 1, "")</f>
        <v/>
      </c>
      <c r="AL334" s="1" t="str">
        <f>IF(AND(AND(AND(AL$4&gt;='2025'!$L332,AL$4&lt;='2025'!$M332), AL$4&lt;&gt;DATE(2025,7,4)), (SWITCH(weekday(AL$4), 1, 0, 2, if(ISBLANK('2025'!$P332), 0, 1), 3, if(ISBLANK('2025'!$Q332), 0, 1), 4, if(ISBLANK('2025'!$R332), 0, 1), 5, if(ISBLANK('2025'!$S332), 0, 1), 6, if(ISBLANK('2025'!$T332), 0, 1), 7, 0))), 1, "")</f>
        <v/>
      </c>
      <c r="AM334" s="1" t="str">
        <f>IF(AND(AND(AND(AM$4&gt;='2025'!$L332,AM$4&lt;='2025'!$M332), AM$4&lt;&gt;DATE(2025,7,4)), (SWITCH(weekday(AM$4), 1, 0, 2, if(ISBLANK('2025'!$P332), 0, 1), 3, if(ISBLANK('2025'!$Q332), 0, 1), 4, if(ISBLANK('2025'!$R332), 0, 1), 5, if(ISBLANK('2025'!$S332), 0, 1), 6, if(ISBLANK('2025'!$T332), 0, 1), 7, 0))), 1, "")</f>
        <v/>
      </c>
      <c r="AN334" s="1" t="str">
        <f>IF(AND(AND(AND(AN$4&gt;='2025'!$L332,AN$4&lt;='2025'!$M332), AN$4&lt;&gt;DATE(2025,7,4)), (SWITCH(weekday(AN$4), 1, 0, 2, if(ISBLANK('2025'!$P332), 0, 1), 3, if(ISBLANK('2025'!$Q332), 0, 1), 4, if(ISBLANK('2025'!$R332), 0, 1), 5, if(ISBLANK('2025'!$S332), 0, 1), 6, if(ISBLANK('2025'!$T332), 0, 1), 7, 0))), 1, "")</f>
        <v/>
      </c>
      <c r="AO334" s="1" t="str">
        <f>IF(AND(AND(AND(AO$4&gt;='2025'!$L332,AO$4&lt;='2025'!$M332), AO$4&lt;&gt;DATE(2025,7,4)), (SWITCH(weekday(AO$4), 1, 0, 2, if(ISBLANK('2025'!$P332), 0, 1), 3, if(ISBLANK('2025'!$Q332), 0, 1), 4, if(ISBLANK('2025'!$R332), 0, 1), 5, if(ISBLANK('2025'!$S332), 0, 1), 6, if(ISBLANK('2025'!$T332), 0, 1), 7, 0))), 1, "")</f>
        <v/>
      </c>
      <c r="AP334" s="1" t="str">
        <f>IF(AND(AND(AND(AP$4&gt;='2025'!$L332,AP$4&lt;='2025'!$M332), AP$4&lt;&gt;DATE(2025,7,4)), (SWITCH(weekday(AP$4), 1, 0, 2, if(ISBLANK('2025'!$P332), 0, 1), 3, if(ISBLANK('2025'!$Q332), 0, 1), 4, if(ISBLANK('2025'!$R332), 0, 1), 5, if(ISBLANK('2025'!$S332), 0, 1), 6, if(ISBLANK('2025'!$T332), 0, 1), 7, 0))), 1, "")</f>
        <v/>
      </c>
      <c r="AQ334" s="1" t="str">
        <f>IF(AND(AND(AND(AQ$4&gt;='2025'!$L332,AQ$4&lt;='2025'!$M332), AQ$4&lt;&gt;DATE(2025,7,4)), (SWITCH(weekday(AQ$4), 1, 0, 2, if(ISBLANK('2025'!$P332), 0, 1), 3, if(ISBLANK('2025'!$Q332), 0, 1), 4, if(ISBLANK('2025'!$R332), 0, 1), 5, if(ISBLANK('2025'!$S332), 0, 1), 6, if(ISBLANK('2025'!$T332), 0, 1), 7, 0))), 1, "")</f>
        <v/>
      </c>
      <c r="AR334" s="1" t="str">
        <f>IF(AND(AND(AND(AR$4&gt;='2025'!$L332,AR$4&lt;='2025'!$M332), AR$4&lt;&gt;DATE(2025,7,4)), (SWITCH(weekday(AR$4), 1, 0, 2, if(ISBLANK('2025'!$P332), 0, 1), 3, if(ISBLANK('2025'!$Q332), 0, 1), 4, if(ISBLANK('2025'!$R332), 0, 1), 5, if(ISBLANK('2025'!$S332), 0, 1), 6, if(ISBLANK('2025'!$T332), 0, 1), 7, 0))), 1, "")</f>
        <v/>
      </c>
      <c r="AS334" s="1" t="str">
        <f>IF(AND(AND(AND(AS$4&gt;='2025'!$L332,AS$4&lt;='2025'!$M332), AS$4&lt;&gt;DATE(2025,7,4)), (SWITCH(weekday(AS$4), 1, 0, 2, if(ISBLANK('2025'!$P332), 0, 1), 3, if(ISBLANK('2025'!$Q332), 0, 1), 4, if(ISBLANK('2025'!$R332), 0, 1), 5, if(ISBLANK('2025'!$S332), 0, 1), 6, if(ISBLANK('2025'!$T332), 0, 1), 7, 0))), 1, "")</f>
        <v/>
      </c>
      <c r="AT334" s="1" t="str">
        <f>IF(AND(AND(AND(AT$4&gt;='2025'!$L332,AT$4&lt;='2025'!$M332), AT$4&lt;&gt;DATE(2025,7,4)), (SWITCH(weekday(AT$4), 1, 0, 2, if(ISBLANK('2025'!$P332), 0, 1), 3, if(ISBLANK('2025'!$Q332), 0, 1), 4, if(ISBLANK('2025'!$R332), 0, 1), 5, if(ISBLANK('2025'!$S332), 0, 1), 6, if(ISBLANK('2025'!$T332), 0, 1), 7, 0))), 1, "")</f>
        <v/>
      </c>
      <c r="AU334" s="1" t="str">
        <f>IF(AND(AND(AND(AU$4&gt;='2025'!$L332,AU$4&lt;='2025'!$M332), AU$4&lt;&gt;DATE(2025,7,4)), (SWITCH(weekday(AU$4), 1, 0, 2, if(ISBLANK('2025'!$P332), 0, 1), 3, if(ISBLANK('2025'!$Q332), 0, 1), 4, if(ISBLANK('2025'!$R332), 0, 1), 5, if(ISBLANK('2025'!$S332), 0, 1), 6, if(ISBLANK('2025'!$T332), 0, 1), 7, 0))), 1, "")</f>
        <v/>
      </c>
      <c r="AV334" s="1" t="str">
        <f>IF(AND(AND(AND(AV$4&gt;='2025'!$L332,AV$4&lt;='2025'!$M332), AV$4&lt;&gt;DATE(2025,7,4)), (SWITCH(weekday(AV$4), 1, 0, 2, if(ISBLANK('2025'!$P332), 0, 1), 3, if(ISBLANK('2025'!$Q332), 0, 1), 4, if(ISBLANK('2025'!$R332), 0, 1), 5, if(ISBLANK('2025'!$S332), 0, 1), 6, if(ISBLANK('2025'!$T332), 0, 1), 7, 0))), 1, "")</f>
        <v/>
      </c>
      <c r="AW334" s="1" t="str">
        <f>IF(AND(AND(AND(AW$4&gt;='2025'!$L332,AW$4&lt;='2025'!$M332), AW$4&lt;&gt;DATE(2025,7,4)), (SWITCH(weekday(AW$4), 1, 0, 2, if(ISBLANK('2025'!$P332), 0, 1), 3, if(ISBLANK('2025'!$Q332), 0, 1), 4, if(ISBLANK('2025'!$R332), 0, 1), 5, if(ISBLANK('2025'!$S332), 0, 1), 6, if(ISBLANK('2025'!$T332), 0, 1), 7, 0))), 1, "")</f>
        <v/>
      </c>
      <c r="AX334" s="1" t="str">
        <f>IF(AND(AND(AND(AX$4&gt;='2025'!$L332,AX$4&lt;='2025'!$M332), AX$4&lt;&gt;DATE(2025,7,4)), (SWITCH(weekday(AX$4), 1, 0, 2, if(ISBLANK('2025'!$P332), 0, 1), 3, if(ISBLANK('2025'!$Q332), 0, 1), 4, if(ISBLANK('2025'!$R332), 0, 1), 5, if(ISBLANK('2025'!$S332), 0, 1), 6, if(ISBLANK('2025'!$T332), 0, 1), 7, 0))), 1, "")</f>
        <v/>
      </c>
      <c r="AY334" s="1" t="str">
        <f>IF(AND(AND(AND(AY$4&gt;='2025'!$L332,AY$4&lt;='2025'!$M332), AY$4&lt;&gt;DATE(2025,7,4)), (SWITCH(weekday(AY$4), 1, 0, 2, if(ISBLANK('2025'!$P332), 0, 1), 3, if(ISBLANK('2025'!$Q332), 0, 1), 4, if(ISBLANK('2025'!$R332), 0, 1), 5, if(ISBLANK('2025'!$S332), 0, 1), 6, if(ISBLANK('2025'!$T332), 0, 1), 7, 0))), 1, "")</f>
        <v/>
      </c>
      <c r="AZ334" s="1" t="str">
        <f>IF(AND(AND(AND(AZ$4&gt;='2025'!$L332,AZ$4&lt;='2025'!$M332), AZ$4&lt;&gt;DATE(2025,7,4)), (SWITCH(weekday(AZ$4), 1, 0, 2, if(ISBLANK('2025'!$P332), 0, 1), 3, if(ISBLANK('2025'!$Q332), 0, 1), 4, if(ISBLANK('2025'!$R332), 0, 1), 5, if(ISBLANK('2025'!$S332), 0, 1), 6, if(ISBLANK('2025'!$T332), 0, 1), 7, 0))), 1, "")</f>
        <v/>
      </c>
      <c r="BA334" s="1" t="str">
        <f>IF(AND(AND(AND(BA$4&gt;='2025'!$L332,BA$4&lt;='2025'!$M332), BA$4&lt;&gt;DATE(2025,7,4)), (SWITCH(weekday(BA$4), 1, 0, 2, if(ISBLANK('2025'!$P332), 0, 1), 3, if(ISBLANK('2025'!$Q332), 0, 1), 4, if(ISBLANK('2025'!$R332), 0, 1), 5, if(ISBLANK('2025'!$S332), 0, 1), 6, if(ISBLANK('2025'!$T332), 0, 1), 7, 0))), 1, "")</f>
        <v/>
      </c>
      <c r="BB334" s="1" t="str">
        <f>IF(AND(AND(AND(BB$4&gt;='2025'!$L332,BB$4&lt;='2025'!$M332), BB$4&lt;&gt;DATE(2025,7,4)), (SWITCH(weekday(BB$4), 1, 0, 2, if(ISBLANK('2025'!$P332), 0, 1), 3, if(ISBLANK('2025'!$Q332), 0, 1), 4, if(ISBLANK('2025'!$R332), 0, 1), 5, if(ISBLANK('2025'!$S332), 0, 1), 6, if(ISBLANK('2025'!$T332), 0, 1), 7, 0))), 1, "")</f>
        <v/>
      </c>
      <c r="BC334" s="1" t="str">
        <f>IF(AND(AND(AND(BC$4&gt;='2025'!$L332,BC$4&lt;='2025'!$M332), BC$4&lt;&gt;DATE(2025,7,4)), (SWITCH(weekday(BC$4), 1, 0, 2, if(ISBLANK('2025'!$P332), 0, 1), 3, if(ISBLANK('2025'!$Q332), 0, 1), 4, if(ISBLANK('2025'!$R332), 0, 1), 5, if(ISBLANK('2025'!$S332), 0, 1), 6, if(ISBLANK('2025'!$T332), 0, 1), 7, 0))), 1, "")</f>
        <v/>
      </c>
      <c r="BD334" s="1" t="str">
        <f>IF(AND(AND(AND(BD$4&gt;='2025'!$L332,BD$4&lt;='2025'!$M332), BD$4&lt;&gt;DATE(2025,7,4)), (SWITCH(weekday(BD$4), 1, 0, 2, if(ISBLANK('2025'!$P332), 0, 1), 3, if(ISBLANK('2025'!$Q332), 0, 1), 4, if(ISBLANK('2025'!$R332), 0, 1), 5, if(ISBLANK('2025'!$S332), 0, 1), 6, if(ISBLANK('2025'!$T332), 0, 1), 7, 0))), 1, "")</f>
        <v/>
      </c>
      <c r="BE334" s="1" t="str">
        <f>IF(AND(AND(AND(BE$4&gt;='2025'!$L332,BE$4&lt;='2025'!$M332), BE$4&lt;&gt;DATE(2025,7,4)), (SWITCH(weekday(BE$4), 1, 0, 2, if(ISBLANK('2025'!$P332), 0, 1), 3, if(ISBLANK('2025'!$Q332), 0, 1), 4, if(ISBLANK('2025'!$R332), 0, 1), 5, if(ISBLANK('2025'!$S332), 0, 1), 6, if(ISBLANK('2025'!$T332), 0, 1), 7, 0))), 1, "")</f>
        <v/>
      </c>
      <c r="BF334" s="1" t="str">
        <f>IF(AND(AND(AND(BF$4&gt;='2025'!$L332,BF$4&lt;='2025'!$M332), BF$4&lt;&gt;DATE(2025,7,4)), (SWITCH(weekday(BF$4), 1, 0, 2, if(ISBLANK('2025'!$P332), 0, 1), 3, if(ISBLANK('2025'!$Q332), 0, 1), 4, if(ISBLANK('2025'!$R332), 0, 1), 5, if(ISBLANK('2025'!$S332), 0, 1), 6, if(ISBLANK('2025'!$T332), 0, 1), 7, 0))), 1, "")</f>
        <v/>
      </c>
      <c r="BG334" s="1"/>
      <c r="BH334" s="1"/>
      <c r="BI334" s="1"/>
      <c r="BJ334" s="1"/>
      <c r="BK334" s="1"/>
      <c r="BL334" s="1"/>
    </row>
    <row r="335">
      <c r="A335" s="1">
        <f t="shared" si="3"/>
        <v>335</v>
      </c>
      <c r="B335" s="1" t="str">
        <f>'2025'!D299</f>
        <v>, </v>
      </c>
      <c r="C335" s="1" t="str">
        <f>'2025'!H299</f>
        <v/>
      </c>
      <c r="D335" s="1" t="str">
        <f>IF(AND(AND(AND(D$4&gt;='2025'!$L333,D$4&lt;='2025'!$M333), D$4&lt;&gt;DATE(2025,7,4)), (SWITCH(weekday(D$4), 1, 0, 2, if(ISBLANK('2025'!$P333), 0, 1), 3, if(ISBLANK('2025'!$Q333), 0, 1), 4, if(ISBLANK('2025'!$R333), 0, 1), 5, if(ISBLANK('2025'!$S333), 0, 1), 6, if(ISBLANK('2025'!$T333), 0, 1), 7, 0))), 1, "")</f>
        <v/>
      </c>
      <c r="E335" s="1" t="str">
        <f>IF(AND(AND(AND(E$4&gt;='2025'!$L333,E$4&lt;='2025'!$M333), E$4&lt;&gt;DATE(2025,7,4)), (SWITCH(weekday(E$4), 1, 0, 2, if(ISBLANK('2025'!$P333), 0, 1), 3, if(ISBLANK('2025'!$Q333), 0, 1), 4, if(ISBLANK('2025'!$R333), 0, 1), 5, if(ISBLANK('2025'!$S333), 0, 1), 6, if(ISBLANK('2025'!$T333), 0, 1), 7, 0))), 1, "")</f>
        <v/>
      </c>
      <c r="F335" s="1" t="str">
        <f>IF(AND(AND(AND(F$4&gt;='2025'!$L333,F$4&lt;='2025'!$M333), F$4&lt;&gt;DATE(2025,7,4)), (SWITCH(weekday(F$4), 1, 0, 2, if(ISBLANK('2025'!$P333), 0, 1), 3, if(ISBLANK('2025'!$Q333), 0, 1), 4, if(ISBLANK('2025'!$R333), 0, 1), 5, if(ISBLANK('2025'!$S333), 0, 1), 6, if(ISBLANK('2025'!$T333), 0, 1), 7, 0))), 1, "")</f>
        <v/>
      </c>
      <c r="G335" s="1" t="str">
        <f>IF(AND(AND(AND(G$4&gt;='2025'!$L333,G$4&lt;='2025'!$M333), G$4&lt;&gt;DATE(2025,7,4)), (SWITCH(weekday(G$4), 1, 0, 2, if(ISBLANK('2025'!$P333), 0, 1), 3, if(ISBLANK('2025'!$Q333), 0, 1), 4, if(ISBLANK('2025'!$R333), 0, 1), 5, if(ISBLANK('2025'!$S333), 0, 1), 6, if(ISBLANK('2025'!$T333), 0, 1), 7, 0))), 1, "")</f>
        <v/>
      </c>
      <c r="H335" s="1" t="str">
        <f>IF(AND(AND(AND(H$4&gt;='2025'!$L333,H$4&lt;='2025'!$M333), H$4&lt;&gt;DATE(2025,7,4)), (SWITCH(weekday(H$4), 1, 0, 2, if(ISBLANK('2025'!$P333), 0, 1), 3, if(ISBLANK('2025'!$Q333), 0, 1), 4, if(ISBLANK('2025'!$R333), 0, 1), 5, if(ISBLANK('2025'!$S333), 0, 1), 6, if(ISBLANK('2025'!$T333), 0, 1), 7, 0))), 1, "")</f>
        <v/>
      </c>
      <c r="I335" s="1" t="str">
        <f>IF(AND(AND(AND(I$4&gt;='2025'!$L333,I$4&lt;='2025'!$M333), I$4&lt;&gt;DATE(2025,7,4)), (SWITCH(weekday(I$4), 1, 0, 2, if(ISBLANK('2025'!$P333), 0, 1), 3, if(ISBLANK('2025'!$Q333), 0, 1), 4, if(ISBLANK('2025'!$R333), 0, 1), 5, if(ISBLANK('2025'!$S333), 0, 1), 6, if(ISBLANK('2025'!$T333), 0, 1), 7, 0))), 1, "")</f>
        <v/>
      </c>
      <c r="J335" s="1" t="str">
        <f>IF(AND(AND(AND(J$4&gt;='2025'!$L333,J$4&lt;='2025'!$M333), J$4&lt;&gt;DATE(2025,7,4)), (SWITCH(weekday(J$4), 1, 0, 2, if(ISBLANK('2025'!$P333), 0, 1), 3, if(ISBLANK('2025'!$Q333), 0, 1), 4, if(ISBLANK('2025'!$R333), 0, 1), 5, if(ISBLANK('2025'!$S333), 0, 1), 6, if(ISBLANK('2025'!$T333), 0, 1), 7, 0))), 1, "")</f>
        <v/>
      </c>
      <c r="K335" s="1" t="str">
        <f>IF(AND(AND(AND(K$4&gt;='2025'!$L333,K$4&lt;='2025'!$M333), K$4&lt;&gt;DATE(2025,7,4)), (SWITCH(weekday(K$4), 1, 0, 2, if(ISBLANK('2025'!$P333), 0, 1), 3, if(ISBLANK('2025'!$Q333), 0, 1), 4, if(ISBLANK('2025'!$R333), 0, 1), 5, if(ISBLANK('2025'!$S333), 0, 1), 6, if(ISBLANK('2025'!$T333), 0, 1), 7, 0))), 1, "")</f>
        <v/>
      </c>
      <c r="L335" s="1" t="str">
        <f>IF(AND(AND(AND(L$4&gt;='2025'!$L333,L$4&lt;='2025'!$M333), L$4&lt;&gt;DATE(2025,7,4)), (SWITCH(weekday(L$4), 1, 0, 2, if(ISBLANK('2025'!$P333), 0, 1), 3, if(ISBLANK('2025'!$Q333), 0, 1), 4, if(ISBLANK('2025'!$R333), 0, 1), 5, if(ISBLANK('2025'!$S333), 0, 1), 6, if(ISBLANK('2025'!$T333), 0, 1), 7, 0))), 1, "")</f>
        <v/>
      </c>
      <c r="M335" s="1" t="str">
        <f>IF(AND(AND(AND(M$4&gt;='2025'!$L333,M$4&lt;='2025'!$M333), M$4&lt;&gt;DATE(2025,7,4)), (SWITCH(weekday(M$4), 1, 0, 2, if(ISBLANK('2025'!$P333), 0, 1), 3, if(ISBLANK('2025'!$Q333), 0, 1), 4, if(ISBLANK('2025'!$R333), 0, 1), 5, if(ISBLANK('2025'!$S333), 0, 1), 6, if(ISBLANK('2025'!$T333), 0, 1), 7, 0))), 1, "")</f>
        <v/>
      </c>
      <c r="N335" s="1" t="str">
        <f>IF(AND(AND(AND(N$4&gt;='2025'!$L333,N$4&lt;='2025'!$M333), N$4&lt;&gt;DATE(2025,7,4)), (SWITCH(weekday(N$4), 1, 0, 2, if(ISBLANK('2025'!$P333), 0, 1), 3, if(ISBLANK('2025'!$Q333), 0, 1), 4, if(ISBLANK('2025'!$R333), 0, 1), 5, if(ISBLANK('2025'!$S333), 0, 1), 6, if(ISBLANK('2025'!$T333), 0, 1), 7, 0))), 1, "")</f>
        <v/>
      </c>
      <c r="O335" s="1" t="str">
        <f>IF(AND(AND(AND(O$4&gt;='2025'!$L333,O$4&lt;='2025'!$M333), O$4&lt;&gt;DATE(2025,7,4)), (SWITCH(weekday(O$4), 1, 0, 2, if(ISBLANK('2025'!$P333), 0, 1), 3, if(ISBLANK('2025'!$Q333), 0, 1), 4, if(ISBLANK('2025'!$R333), 0, 1), 5, if(ISBLANK('2025'!$S333), 0, 1), 6, if(ISBLANK('2025'!$T333), 0, 1), 7, 0))), 1, "")</f>
        <v/>
      </c>
      <c r="P335" s="1" t="str">
        <f>IF(AND(AND(AND(P$4&gt;='2025'!$L333,P$4&lt;='2025'!$M333), P$4&lt;&gt;DATE(2025,7,4)), (SWITCH(weekday(P$4), 1, 0, 2, if(ISBLANK('2025'!$P333), 0, 1), 3, if(ISBLANK('2025'!$Q333), 0, 1), 4, if(ISBLANK('2025'!$R333), 0, 1), 5, if(ISBLANK('2025'!$S333), 0, 1), 6, if(ISBLANK('2025'!$T333), 0, 1), 7, 0))), 1, "")</f>
        <v/>
      </c>
      <c r="Q335" s="1" t="str">
        <f>IF(AND(AND(AND(Q$4&gt;='2025'!$L333,Q$4&lt;='2025'!$M333), Q$4&lt;&gt;DATE(2025,7,4)), (SWITCH(weekday(Q$4), 1, 0, 2, if(ISBLANK('2025'!$P333), 0, 1), 3, if(ISBLANK('2025'!$Q333), 0, 1), 4, if(ISBLANK('2025'!$R333), 0, 1), 5, if(ISBLANK('2025'!$S333), 0, 1), 6, if(ISBLANK('2025'!$T333), 0, 1), 7, 0))), 1, "")</f>
        <v/>
      </c>
      <c r="R335" s="1" t="str">
        <f>IF(AND(AND(AND(R$4&gt;='2025'!$L333,R$4&lt;='2025'!$M333), R$4&lt;&gt;DATE(2025,7,4)), (SWITCH(weekday(R$4), 1, 0, 2, if(ISBLANK('2025'!$P333), 0, 1), 3, if(ISBLANK('2025'!$Q333), 0, 1), 4, if(ISBLANK('2025'!$R333), 0, 1), 5, if(ISBLANK('2025'!$S333), 0, 1), 6, if(ISBLANK('2025'!$T333), 0, 1), 7, 0))), 1, "")</f>
        <v/>
      </c>
      <c r="S335" s="1" t="str">
        <f>IF(AND(AND(AND(S$4&gt;='2025'!$L333,S$4&lt;='2025'!$M333), S$4&lt;&gt;DATE(2025,7,4)), (SWITCH(weekday(S$4), 1, 0, 2, if(ISBLANK('2025'!$P333), 0, 1), 3, if(ISBLANK('2025'!$Q333), 0, 1), 4, if(ISBLANK('2025'!$R333), 0, 1), 5, if(ISBLANK('2025'!$S333), 0, 1), 6, if(ISBLANK('2025'!$T333), 0, 1), 7, 0))), 1, "")</f>
        <v/>
      </c>
      <c r="T335" s="1" t="str">
        <f>IF(AND(AND(AND(T$4&gt;='2025'!$L333,T$4&lt;='2025'!$M333), T$4&lt;&gt;DATE(2025,7,4)), (SWITCH(weekday(T$4), 1, 0, 2, if(ISBLANK('2025'!$P333), 0, 1), 3, if(ISBLANK('2025'!$Q333), 0, 1), 4, if(ISBLANK('2025'!$R333), 0, 1), 5, if(ISBLANK('2025'!$S333), 0, 1), 6, if(ISBLANK('2025'!$T333), 0, 1), 7, 0))), 1, "")</f>
        <v/>
      </c>
      <c r="U335" s="1" t="str">
        <f>IF(AND(AND(AND(U$4&gt;='2025'!$L333,U$4&lt;='2025'!$M333), U$4&lt;&gt;DATE(2025,7,4)), (SWITCH(weekday(U$4), 1, 0, 2, if(ISBLANK('2025'!$P333), 0, 1), 3, if(ISBLANK('2025'!$Q333), 0, 1), 4, if(ISBLANK('2025'!$R333), 0, 1), 5, if(ISBLANK('2025'!$S333), 0, 1), 6, if(ISBLANK('2025'!$T333), 0, 1), 7, 0))), 1, "")</f>
        <v/>
      </c>
      <c r="V335" s="1" t="str">
        <f>IF(AND(AND(AND(V$4&gt;='2025'!$L333,V$4&lt;='2025'!$M333), V$4&lt;&gt;DATE(2025,7,4)), (SWITCH(weekday(V$4), 1, 0, 2, if(ISBLANK('2025'!$P333), 0, 1), 3, if(ISBLANK('2025'!$Q333), 0, 1), 4, if(ISBLANK('2025'!$R333), 0, 1), 5, if(ISBLANK('2025'!$S333), 0, 1), 6, if(ISBLANK('2025'!$T333), 0, 1), 7, 0))), 1, "")</f>
        <v/>
      </c>
      <c r="W335" s="1" t="str">
        <f>IF(AND(AND(AND(W$4&gt;='2025'!$L333,W$4&lt;='2025'!$M333), W$4&lt;&gt;DATE(2025,7,4)), (SWITCH(weekday(W$4), 1, 0, 2, if(ISBLANK('2025'!$P333), 0, 1), 3, if(ISBLANK('2025'!$Q333), 0, 1), 4, if(ISBLANK('2025'!$R333), 0, 1), 5, if(ISBLANK('2025'!$S333), 0, 1), 6, if(ISBLANK('2025'!$T333), 0, 1), 7, 0))), 1, "")</f>
        <v/>
      </c>
      <c r="X335" s="1" t="str">
        <f>IF(AND(AND(AND(X$4&gt;='2025'!$L333,X$4&lt;='2025'!$M333), X$4&lt;&gt;DATE(2025,7,4)), (SWITCH(weekday(X$4), 1, 0, 2, if(ISBLANK('2025'!$P333), 0, 1), 3, if(ISBLANK('2025'!$Q333), 0, 1), 4, if(ISBLANK('2025'!$R333), 0, 1), 5, if(ISBLANK('2025'!$S333), 0, 1), 6, if(ISBLANK('2025'!$T333), 0, 1), 7, 0))), 1, "")</f>
        <v/>
      </c>
      <c r="Y335" s="1" t="str">
        <f>IF(AND(AND(AND(Y$4&gt;='2025'!$L333,Y$4&lt;='2025'!$M333), Y$4&lt;&gt;DATE(2025,7,4)), (SWITCH(weekday(Y$4), 1, 0, 2, if(ISBLANK('2025'!$P333), 0, 1), 3, if(ISBLANK('2025'!$Q333), 0, 1), 4, if(ISBLANK('2025'!$R333), 0, 1), 5, if(ISBLANK('2025'!$S333), 0, 1), 6, if(ISBLANK('2025'!$T333), 0, 1), 7, 0))), 1, "")</f>
        <v/>
      </c>
      <c r="Z335" s="1" t="str">
        <f>IF(AND(AND(AND(Z$4&gt;='2025'!$L333,Z$4&lt;='2025'!$M333), Z$4&lt;&gt;DATE(2025,7,4)), (SWITCH(weekday(Z$4), 1, 0, 2, if(ISBLANK('2025'!$P333), 0, 1), 3, if(ISBLANK('2025'!$Q333), 0, 1), 4, if(ISBLANK('2025'!$R333), 0, 1), 5, if(ISBLANK('2025'!$S333), 0, 1), 6, if(ISBLANK('2025'!$T333), 0, 1), 7, 0))), 1, "")</f>
        <v/>
      </c>
      <c r="AA335" s="1" t="str">
        <f>IF(AND(AND(AND(AA$4&gt;='2025'!$L333,AA$4&lt;='2025'!$M333), AA$4&lt;&gt;DATE(2025,7,4)), (SWITCH(weekday(AA$4), 1, 0, 2, if(ISBLANK('2025'!$P333), 0, 1), 3, if(ISBLANK('2025'!$Q333), 0, 1), 4, if(ISBLANK('2025'!$R333), 0, 1), 5, if(ISBLANK('2025'!$S333), 0, 1), 6, if(ISBLANK('2025'!$T333), 0, 1), 7, 0))), 1, "")</f>
        <v/>
      </c>
      <c r="AB335" s="1" t="str">
        <f>IF(AND(AND(AND(AB$4&gt;='2025'!$L333,AB$4&lt;='2025'!$M333), AB$4&lt;&gt;DATE(2025,7,4)), (SWITCH(weekday(AB$4), 1, 0, 2, if(ISBLANK('2025'!$P333), 0, 1), 3, if(ISBLANK('2025'!$Q333), 0, 1), 4, if(ISBLANK('2025'!$R333), 0, 1), 5, if(ISBLANK('2025'!$S333), 0, 1), 6, if(ISBLANK('2025'!$T333), 0, 1), 7, 0))), 1, "")</f>
        <v/>
      </c>
      <c r="AC335" s="1" t="str">
        <f>IF(AND(AND(AND(AC$4&gt;='2025'!$L333,AC$4&lt;='2025'!$M333), AC$4&lt;&gt;DATE(2025,7,4)), (SWITCH(weekday(AC$4), 1, 0, 2, if(ISBLANK('2025'!$P333), 0, 1), 3, if(ISBLANK('2025'!$Q333), 0, 1), 4, if(ISBLANK('2025'!$R333), 0, 1), 5, if(ISBLANK('2025'!$S333), 0, 1), 6, if(ISBLANK('2025'!$T333), 0, 1), 7, 0))), 1, "")</f>
        <v/>
      </c>
      <c r="AD335" s="1" t="str">
        <f>IF(AND(AND(AND(AD$4&gt;='2025'!$L333,AD$4&lt;='2025'!$M333), AD$4&lt;&gt;DATE(2025,7,4)), (SWITCH(weekday(AD$4), 1, 0, 2, if(ISBLANK('2025'!$P333), 0, 1), 3, if(ISBLANK('2025'!$Q333), 0, 1), 4, if(ISBLANK('2025'!$R333), 0, 1), 5, if(ISBLANK('2025'!$S333), 0, 1), 6, if(ISBLANK('2025'!$T333), 0, 1), 7, 0))), 1, "")</f>
        <v/>
      </c>
      <c r="AE335" s="1" t="str">
        <f>IF(AND(AND(AND(AE$4&gt;='2025'!$L333,AE$4&lt;='2025'!$M333), AE$4&lt;&gt;DATE(2025,7,4)), (SWITCH(weekday(AE$4), 1, 0, 2, if(ISBLANK('2025'!$P333), 0, 1), 3, if(ISBLANK('2025'!$Q333), 0, 1), 4, if(ISBLANK('2025'!$R333), 0, 1), 5, if(ISBLANK('2025'!$S333), 0, 1), 6, if(ISBLANK('2025'!$T333), 0, 1), 7, 0))), 1, "")</f>
        <v/>
      </c>
      <c r="AF335" s="1" t="str">
        <f>IF(AND(AND(AND(AF$4&gt;='2025'!$L333,AF$4&lt;='2025'!$M333), AF$4&lt;&gt;DATE(2025,7,4)), (SWITCH(weekday(AF$4), 1, 0, 2, if(ISBLANK('2025'!$P333), 0, 1), 3, if(ISBLANK('2025'!$Q333), 0, 1), 4, if(ISBLANK('2025'!$R333), 0, 1), 5, if(ISBLANK('2025'!$S333), 0, 1), 6, if(ISBLANK('2025'!$T333), 0, 1), 7, 0))), 1, "")</f>
        <v/>
      </c>
      <c r="AG335" s="1" t="str">
        <f>IF(AND(AND(AND(AG$4&gt;='2025'!$L333,AG$4&lt;='2025'!$M333), AG$4&lt;&gt;DATE(2025,7,4)), (SWITCH(weekday(AG$4), 1, 0, 2, if(ISBLANK('2025'!$P333), 0, 1), 3, if(ISBLANK('2025'!$Q333), 0, 1), 4, if(ISBLANK('2025'!$R333), 0, 1), 5, if(ISBLANK('2025'!$S333), 0, 1), 6, if(ISBLANK('2025'!$T333), 0, 1), 7, 0))), 1, "")</f>
        <v/>
      </c>
      <c r="AH335" s="1" t="str">
        <f>IF(AND(AND(AND(AH$4&gt;='2025'!$L333,AH$4&lt;='2025'!$M333), AH$4&lt;&gt;DATE(2025,7,4)), (SWITCH(weekday(AH$4), 1, 0, 2, if(ISBLANK('2025'!$P333), 0, 1), 3, if(ISBLANK('2025'!$Q333), 0, 1), 4, if(ISBLANK('2025'!$R333), 0, 1), 5, if(ISBLANK('2025'!$S333), 0, 1), 6, if(ISBLANK('2025'!$T333), 0, 1), 7, 0))), 1, "")</f>
        <v/>
      </c>
      <c r="AI335" s="1" t="str">
        <f>IF(AND(AND(AND(AI$4&gt;='2025'!$L333,AI$4&lt;='2025'!$M333), AI$4&lt;&gt;DATE(2025,7,4)), (SWITCH(weekday(AI$4), 1, 0, 2, if(ISBLANK('2025'!$P333), 0, 1), 3, if(ISBLANK('2025'!$Q333), 0, 1), 4, if(ISBLANK('2025'!$R333), 0, 1), 5, if(ISBLANK('2025'!$S333), 0, 1), 6, if(ISBLANK('2025'!$T333), 0, 1), 7, 0))), 1, "")</f>
        <v/>
      </c>
      <c r="AJ335" s="1" t="str">
        <f>IF(AND(AND(AND(AJ$4&gt;='2025'!$L333,AJ$4&lt;='2025'!$M333), AJ$4&lt;&gt;DATE(2025,7,4)), (SWITCH(weekday(AJ$4), 1, 0, 2, if(ISBLANK('2025'!$P333), 0, 1), 3, if(ISBLANK('2025'!$Q333), 0, 1), 4, if(ISBLANK('2025'!$R333), 0, 1), 5, if(ISBLANK('2025'!$S333), 0, 1), 6, if(ISBLANK('2025'!$T333), 0, 1), 7, 0))), 1, "")</f>
        <v/>
      </c>
      <c r="AK335" s="1" t="str">
        <f>IF(AND(AND(AND(AK$4&gt;='2025'!$L333,AK$4&lt;='2025'!$M333), AK$4&lt;&gt;DATE(2025,7,4)), (SWITCH(weekday(AK$4), 1, 0, 2, if(ISBLANK('2025'!$P333), 0, 1), 3, if(ISBLANK('2025'!$Q333), 0, 1), 4, if(ISBLANK('2025'!$R333), 0, 1), 5, if(ISBLANK('2025'!$S333), 0, 1), 6, if(ISBLANK('2025'!$T333), 0, 1), 7, 0))), 1, "")</f>
        <v/>
      </c>
      <c r="AL335" s="1" t="str">
        <f>IF(AND(AND(AND(AL$4&gt;='2025'!$L333,AL$4&lt;='2025'!$M333), AL$4&lt;&gt;DATE(2025,7,4)), (SWITCH(weekday(AL$4), 1, 0, 2, if(ISBLANK('2025'!$P333), 0, 1), 3, if(ISBLANK('2025'!$Q333), 0, 1), 4, if(ISBLANK('2025'!$R333), 0, 1), 5, if(ISBLANK('2025'!$S333), 0, 1), 6, if(ISBLANK('2025'!$T333), 0, 1), 7, 0))), 1, "")</f>
        <v/>
      </c>
      <c r="AM335" s="1" t="str">
        <f>IF(AND(AND(AND(AM$4&gt;='2025'!$L333,AM$4&lt;='2025'!$M333), AM$4&lt;&gt;DATE(2025,7,4)), (SWITCH(weekday(AM$4), 1, 0, 2, if(ISBLANK('2025'!$P333), 0, 1), 3, if(ISBLANK('2025'!$Q333), 0, 1), 4, if(ISBLANK('2025'!$R333), 0, 1), 5, if(ISBLANK('2025'!$S333), 0, 1), 6, if(ISBLANK('2025'!$T333), 0, 1), 7, 0))), 1, "")</f>
        <v/>
      </c>
      <c r="AN335" s="1" t="str">
        <f>IF(AND(AND(AND(AN$4&gt;='2025'!$L333,AN$4&lt;='2025'!$M333), AN$4&lt;&gt;DATE(2025,7,4)), (SWITCH(weekday(AN$4), 1, 0, 2, if(ISBLANK('2025'!$P333), 0, 1), 3, if(ISBLANK('2025'!$Q333), 0, 1), 4, if(ISBLANK('2025'!$R333), 0, 1), 5, if(ISBLANK('2025'!$S333), 0, 1), 6, if(ISBLANK('2025'!$T333), 0, 1), 7, 0))), 1, "")</f>
        <v/>
      </c>
      <c r="AO335" s="1" t="str">
        <f>IF(AND(AND(AND(AO$4&gt;='2025'!$L333,AO$4&lt;='2025'!$M333), AO$4&lt;&gt;DATE(2025,7,4)), (SWITCH(weekday(AO$4), 1, 0, 2, if(ISBLANK('2025'!$P333), 0, 1), 3, if(ISBLANK('2025'!$Q333), 0, 1), 4, if(ISBLANK('2025'!$R333), 0, 1), 5, if(ISBLANK('2025'!$S333), 0, 1), 6, if(ISBLANK('2025'!$T333), 0, 1), 7, 0))), 1, "")</f>
        <v/>
      </c>
      <c r="AP335" s="1" t="str">
        <f>IF(AND(AND(AND(AP$4&gt;='2025'!$L333,AP$4&lt;='2025'!$M333), AP$4&lt;&gt;DATE(2025,7,4)), (SWITCH(weekday(AP$4), 1, 0, 2, if(ISBLANK('2025'!$P333), 0, 1), 3, if(ISBLANK('2025'!$Q333), 0, 1), 4, if(ISBLANK('2025'!$R333), 0, 1), 5, if(ISBLANK('2025'!$S333), 0, 1), 6, if(ISBLANK('2025'!$T333), 0, 1), 7, 0))), 1, "")</f>
        <v/>
      </c>
      <c r="AQ335" s="1" t="str">
        <f>IF(AND(AND(AND(AQ$4&gt;='2025'!$L333,AQ$4&lt;='2025'!$M333), AQ$4&lt;&gt;DATE(2025,7,4)), (SWITCH(weekday(AQ$4), 1, 0, 2, if(ISBLANK('2025'!$P333), 0, 1), 3, if(ISBLANK('2025'!$Q333), 0, 1), 4, if(ISBLANK('2025'!$R333), 0, 1), 5, if(ISBLANK('2025'!$S333), 0, 1), 6, if(ISBLANK('2025'!$T333), 0, 1), 7, 0))), 1, "")</f>
        <v/>
      </c>
      <c r="AR335" s="1" t="str">
        <f>IF(AND(AND(AND(AR$4&gt;='2025'!$L333,AR$4&lt;='2025'!$M333), AR$4&lt;&gt;DATE(2025,7,4)), (SWITCH(weekday(AR$4), 1, 0, 2, if(ISBLANK('2025'!$P333), 0, 1), 3, if(ISBLANK('2025'!$Q333), 0, 1), 4, if(ISBLANK('2025'!$R333), 0, 1), 5, if(ISBLANK('2025'!$S333), 0, 1), 6, if(ISBLANK('2025'!$T333), 0, 1), 7, 0))), 1, "")</f>
        <v/>
      </c>
      <c r="AS335" s="1" t="str">
        <f>IF(AND(AND(AND(AS$4&gt;='2025'!$L333,AS$4&lt;='2025'!$M333), AS$4&lt;&gt;DATE(2025,7,4)), (SWITCH(weekday(AS$4), 1, 0, 2, if(ISBLANK('2025'!$P333), 0, 1), 3, if(ISBLANK('2025'!$Q333), 0, 1), 4, if(ISBLANK('2025'!$R333), 0, 1), 5, if(ISBLANK('2025'!$S333), 0, 1), 6, if(ISBLANK('2025'!$T333), 0, 1), 7, 0))), 1, "")</f>
        <v/>
      </c>
      <c r="AT335" s="1" t="str">
        <f>IF(AND(AND(AND(AT$4&gt;='2025'!$L333,AT$4&lt;='2025'!$M333), AT$4&lt;&gt;DATE(2025,7,4)), (SWITCH(weekday(AT$4), 1, 0, 2, if(ISBLANK('2025'!$P333), 0, 1), 3, if(ISBLANK('2025'!$Q333), 0, 1), 4, if(ISBLANK('2025'!$R333), 0, 1), 5, if(ISBLANK('2025'!$S333), 0, 1), 6, if(ISBLANK('2025'!$T333), 0, 1), 7, 0))), 1, "")</f>
        <v/>
      </c>
      <c r="AU335" s="1" t="str">
        <f>IF(AND(AND(AND(AU$4&gt;='2025'!$L333,AU$4&lt;='2025'!$M333), AU$4&lt;&gt;DATE(2025,7,4)), (SWITCH(weekday(AU$4), 1, 0, 2, if(ISBLANK('2025'!$P333), 0, 1), 3, if(ISBLANK('2025'!$Q333), 0, 1), 4, if(ISBLANK('2025'!$R333), 0, 1), 5, if(ISBLANK('2025'!$S333), 0, 1), 6, if(ISBLANK('2025'!$T333), 0, 1), 7, 0))), 1, "")</f>
        <v/>
      </c>
      <c r="AV335" s="1" t="str">
        <f>IF(AND(AND(AND(AV$4&gt;='2025'!$L333,AV$4&lt;='2025'!$M333), AV$4&lt;&gt;DATE(2025,7,4)), (SWITCH(weekday(AV$4), 1, 0, 2, if(ISBLANK('2025'!$P333), 0, 1), 3, if(ISBLANK('2025'!$Q333), 0, 1), 4, if(ISBLANK('2025'!$R333), 0, 1), 5, if(ISBLANK('2025'!$S333), 0, 1), 6, if(ISBLANK('2025'!$T333), 0, 1), 7, 0))), 1, "")</f>
        <v/>
      </c>
      <c r="AW335" s="1" t="str">
        <f>IF(AND(AND(AND(AW$4&gt;='2025'!$L333,AW$4&lt;='2025'!$M333), AW$4&lt;&gt;DATE(2025,7,4)), (SWITCH(weekday(AW$4), 1, 0, 2, if(ISBLANK('2025'!$P333), 0, 1), 3, if(ISBLANK('2025'!$Q333), 0, 1), 4, if(ISBLANK('2025'!$R333), 0, 1), 5, if(ISBLANK('2025'!$S333), 0, 1), 6, if(ISBLANK('2025'!$T333), 0, 1), 7, 0))), 1, "")</f>
        <v/>
      </c>
      <c r="AX335" s="1" t="str">
        <f>IF(AND(AND(AND(AX$4&gt;='2025'!$L333,AX$4&lt;='2025'!$M333), AX$4&lt;&gt;DATE(2025,7,4)), (SWITCH(weekday(AX$4), 1, 0, 2, if(ISBLANK('2025'!$P333), 0, 1), 3, if(ISBLANK('2025'!$Q333), 0, 1), 4, if(ISBLANK('2025'!$R333), 0, 1), 5, if(ISBLANK('2025'!$S333), 0, 1), 6, if(ISBLANK('2025'!$T333), 0, 1), 7, 0))), 1, "")</f>
        <v/>
      </c>
      <c r="AY335" s="1" t="str">
        <f>IF(AND(AND(AND(AY$4&gt;='2025'!$L333,AY$4&lt;='2025'!$M333), AY$4&lt;&gt;DATE(2025,7,4)), (SWITCH(weekday(AY$4), 1, 0, 2, if(ISBLANK('2025'!$P333), 0, 1), 3, if(ISBLANK('2025'!$Q333), 0, 1), 4, if(ISBLANK('2025'!$R333), 0, 1), 5, if(ISBLANK('2025'!$S333), 0, 1), 6, if(ISBLANK('2025'!$T333), 0, 1), 7, 0))), 1, "")</f>
        <v/>
      </c>
      <c r="AZ335" s="1" t="str">
        <f>IF(AND(AND(AND(AZ$4&gt;='2025'!$L333,AZ$4&lt;='2025'!$M333), AZ$4&lt;&gt;DATE(2025,7,4)), (SWITCH(weekday(AZ$4), 1, 0, 2, if(ISBLANK('2025'!$P333), 0, 1), 3, if(ISBLANK('2025'!$Q333), 0, 1), 4, if(ISBLANK('2025'!$R333), 0, 1), 5, if(ISBLANK('2025'!$S333), 0, 1), 6, if(ISBLANK('2025'!$T333), 0, 1), 7, 0))), 1, "")</f>
        <v/>
      </c>
      <c r="BA335" s="1" t="str">
        <f>IF(AND(AND(AND(BA$4&gt;='2025'!$L333,BA$4&lt;='2025'!$M333), BA$4&lt;&gt;DATE(2025,7,4)), (SWITCH(weekday(BA$4), 1, 0, 2, if(ISBLANK('2025'!$P333), 0, 1), 3, if(ISBLANK('2025'!$Q333), 0, 1), 4, if(ISBLANK('2025'!$R333), 0, 1), 5, if(ISBLANK('2025'!$S333), 0, 1), 6, if(ISBLANK('2025'!$T333), 0, 1), 7, 0))), 1, "")</f>
        <v/>
      </c>
      <c r="BB335" s="1" t="str">
        <f>IF(AND(AND(AND(BB$4&gt;='2025'!$L333,BB$4&lt;='2025'!$M333), BB$4&lt;&gt;DATE(2025,7,4)), (SWITCH(weekday(BB$4), 1, 0, 2, if(ISBLANK('2025'!$P333), 0, 1), 3, if(ISBLANK('2025'!$Q333), 0, 1), 4, if(ISBLANK('2025'!$R333), 0, 1), 5, if(ISBLANK('2025'!$S333), 0, 1), 6, if(ISBLANK('2025'!$T333), 0, 1), 7, 0))), 1, "")</f>
        <v/>
      </c>
      <c r="BC335" s="1" t="str">
        <f>IF(AND(AND(AND(BC$4&gt;='2025'!$L333,BC$4&lt;='2025'!$M333), BC$4&lt;&gt;DATE(2025,7,4)), (SWITCH(weekday(BC$4), 1, 0, 2, if(ISBLANK('2025'!$P333), 0, 1), 3, if(ISBLANK('2025'!$Q333), 0, 1), 4, if(ISBLANK('2025'!$R333), 0, 1), 5, if(ISBLANK('2025'!$S333), 0, 1), 6, if(ISBLANK('2025'!$T333), 0, 1), 7, 0))), 1, "")</f>
        <v/>
      </c>
      <c r="BD335" s="1" t="str">
        <f>IF(AND(AND(AND(BD$4&gt;='2025'!$L333,BD$4&lt;='2025'!$M333), BD$4&lt;&gt;DATE(2025,7,4)), (SWITCH(weekday(BD$4), 1, 0, 2, if(ISBLANK('2025'!$P333), 0, 1), 3, if(ISBLANK('2025'!$Q333), 0, 1), 4, if(ISBLANK('2025'!$R333), 0, 1), 5, if(ISBLANK('2025'!$S333), 0, 1), 6, if(ISBLANK('2025'!$T333), 0, 1), 7, 0))), 1, "")</f>
        <v/>
      </c>
      <c r="BE335" s="1" t="str">
        <f>IF(AND(AND(AND(BE$4&gt;='2025'!$L333,BE$4&lt;='2025'!$M333), BE$4&lt;&gt;DATE(2025,7,4)), (SWITCH(weekday(BE$4), 1, 0, 2, if(ISBLANK('2025'!$P333), 0, 1), 3, if(ISBLANK('2025'!$Q333), 0, 1), 4, if(ISBLANK('2025'!$R333), 0, 1), 5, if(ISBLANK('2025'!$S333), 0, 1), 6, if(ISBLANK('2025'!$T333), 0, 1), 7, 0))), 1, "")</f>
        <v/>
      </c>
      <c r="BF335" s="1" t="str">
        <f>IF(AND(AND(AND(BF$4&gt;='2025'!$L333,BF$4&lt;='2025'!$M333), BF$4&lt;&gt;DATE(2025,7,4)), (SWITCH(weekday(BF$4), 1, 0, 2, if(ISBLANK('2025'!$P333), 0, 1), 3, if(ISBLANK('2025'!$Q333), 0, 1), 4, if(ISBLANK('2025'!$R333), 0, 1), 5, if(ISBLANK('2025'!$S333), 0, 1), 6, if(ISBLANK('2025'!$T333), 0, 1), 7, 0))), 1, "")</f>
        <v/>
      </c>
      <c r="BG335" s="1"/>
      <c r="BH335" s="1"/>
      <c r="BI335" s="1"/>
      <c r="BJ335" s="1"/>
      <c r="BK335" s="1"/>
      <c r="BL335" s="1"/>
    </row>
    <row r="336">
      <c r="A336" s="1">
        <f t="shared" si="3"/>
        <v>336</v>
      </c>
      <c r="B336" s="1" t="str">
        <f>'2025'!D300</f>
        <v>, </v>
      </c>
      <c r="C336" s="1" t="str">
        <f>'2025'!H300</f>
        <v/>
      </c>
      <c r="D336" s="1" t="str">
        <f>IF(AND(AND(AND(D$4&gt;='2025'!$L334,D$4&lt;='2025'!$M334), D$4&lt;&gt;DATE(2025,7,4)), (SWITCH(weekday(D$4), 1, 0, 2, if(ISBLANK('2025'!$P334), 0, 1), 3, if(ISBLANK('2025'!$Q334), 0, 1), 4, if(ISBLANK('2025'!$R334), 0, 1), 5, if(ISBLANK('2025'!$S334), 0, 1), 6, if(ISBLANK('2025'!$T334), 0, 1), 7, 0))), 1, "")</f>
        <v/>
      </c>
      <c r="E336" s="1" t="str">
        <f>IF(AND(AND(AND(E$4&gt;='2025'!$L334,E$4&lt;='2025'!$M334), E$4&lt;&gt;DATE(2025,7,4)), (SWITCH(weekday(E$4), 1, 0, 2, if(ISBLANK('2025'!$P334), 0, 1), 3, if(ISBLANK('2025'!$Q334), 0, 1), 4, if(ISBLANK('2025'!$R334), 0, 1), 5, if(ISBLANK('2025'!$S334), 0, 1), 6, if(ISBLANK('2025'!$T334), 0, 1), 7, 0))), 1, "")</f>
        <v/>
      </c>
      <c r="F336" s="1" t="str">
        <f>IF(AND(AND(AND(F$4&gt;='2025'!$L334,F$4&lt;='2025'!$M334), F$4&lt;&gt;DATE(2025,7,4)), (SWITCH(weekday(F$4), 1, 0, 2, if(ISBLANK('2025'!$P334), 0, 1), 3, if(ISBLANK('2025'!$Q334), 0, 1), 4, if(ISBLANK('2025'!$R334), 0, 1), 5, if(ISBLANK('2025'!$S334), 0, 1), 6, if(ISBLANK('2025'!$T334), 0, 1), 7, 0))), 1, "")</f>
        <v/>
      </c>
      <c r="G336" s="1" t="str">
        <f>IF(AND(AND(AND(G$4&gt;='2025'!$L334,G$4&lt;='2025'!$M334), G$4&lt;&gt;DATE(2025,7,4)), (SWITCH(weekday(G$4), 1, 0, 2, if(ISBLANK('2025'!$P334), 0, 1), 3, if(ISBLANK('2025'!$Q334), 0, 1), 4, if(ISBLANK('2025'!$R334), 0, 1), 5, if(ISBLANK('2025'!$S334), 0, 1), 6, if(ISBLANK('2025'!$T334), 0, 1), 7, 0))), 1, "")</f>
        <v/>
      </c>
      <c r="H336" s="1" t="str">
        <f>IF(AND(AND(AND(H$4&gt;='2025'!$L334,H$4&lt;='2025'!$M334), H$4&lt;&gt;DATE(2025,7,4)), (SWITCH(weekday(H$4), 1, 0, 2, if(ISBLANK('2025'!$P334), 0, 1), 3, if(ISBLANK('2025'!$Q334), 0, 1), 4, if(ISBLANK('2025'!$R334), 0, 1), 5, if(ISBLANK('2025'!$S334), 0, 1), 6, if(ISBLANK('2025'!$T334), 0, 1), 7, 0))), 1, "")</f>
        <v/>
      </c>
      <c r="I336" s="1" t="str">
        <f>IF(AND(AND(AND(I$4&gt;='2025'!$L334,I$4&lt;='2025'!$M334), I$4&lt;&gt;DATE(2025,7,4)), (SWITCH(weekday(I$4), 1, 0, 2, if(ISBLANK('2025'!$P334), 0, 1), 3, if(ISBLANK('2025'!$Q334), 0, 1), 4, if(ISBLANK('2025'!$R334), 0, 1), 5, if(ISBLANK('2025'!$S334), 0, 1), 6, if(ISBLANK('2025'!$T334), 0, 1), 7, 0))), 1, "")</f>
        <v/>
      </c>
      <c r="J336" s="1" t="str">
        <f>IF(AND(AND(AND(J$4&gt;='2025'!$L334,J$4&lt;='2025'!$M334), J$4&lt;&gt;DATE(2025,7,4)), (SWITCH(weekday(J$4), 1, 0, 2, if(ISBLANK('2025'!$P334), 0, 1), 3, if(ISBLANK('2025'!$Q334), 0, 1), 4, if(ISBLANK('2025'!$R334), 0, 1), 5, if(ISBLANK('2025'!$S334), 0, 1), 6, if(ISBLANK('2025'!$T334), 0, 1), 7, 0))), 1, "")</f>
        <v/>
      </c>
      <c r="K336" s="1" t="str">
        <f>IF(AND(AND(AND(K$4&gt;='2025'!$L334,K$4&lt;='2025'!$M334), K$4&lt;&gt;DATE(2025,7,4)), (SWITCH(weekday(K$4), 1, 0, 2, if(ISBLANK('2025'!$P334), 0, 1), 3, if(ISBLANK('2025'!$Q334), 0, 1), 4, if(ISBLANK('2025'!$R334), 0, 1), 5, if(ISBLANK('2025'!$S334), 0, 1), 6, if(ISBLANK('2025'!$T334), 0, 1), 7, 0))), 1, "")</f>
        <v/>
      </c>
      <c r="L336" s="1" t="str">
        <f>IF(AND(AND(AND(L$4&gt;='2025'!$L334,L$4&lt;='2025'!$M334), L$4&lt;&gt;DATE(2025,7,4)), (SWITCH(weekday(L$4), 1, 0, 2, if(ISBLANK('2025'!$P334), 0, 1), 3, if(ISBLANK('2025'!$Q334), 0, 1), 4, if(ISBLANK('2025'!$R334), 0, 1), 5, if(ISBLANK('2025'!$S334), 0, 1), 6, if(ISBLANK('2025'!$T334), 0, 1), 7, 0))), 1, "")</f>
        <v/>
      </c>
      <c r="M336" s="1" t="str">
        <f>IF(AND(AND(AND(M$4&gt;='2025'!$L334,M$4&lt;='2025'!$M334), M$4&lt;&gt;DATE(2025,7,4)), (SWITCH(weekday(M$4), 1, 0, 2, if(ISBLANK('2025'!$P334), 0, 1), 3, if(ISBLANK('2025'!$Q334), 0, 1), 4, if(ISBLANK('2025'!$R334), 0, 1), 5, if(ISBLANK('2025'!$S334), 0, 1), 6, if(ISBLANK('2025'!$T334), 0, 1), 7, 0))), 1, "")</f>
        <v/>
      </c>
      <c r="N336" s="1" t="str">
        <f>IF(AND(AND(AND(N$4&gt;='2025'!$L334,N$4&lt;='2025'!$M334), N$4&lt;&gt;DATE(2025,7,4)), (SWITCH(weekday(N$4), 1, 0, 2, if(ISBLANK('2025'!$P334), 0, 1), 3, if(ISBLANK('2025'!$Q334), 0, 1), 4, if(ISBLANK('2025'!$R334), 0, 1), 5, if(ISBLANK('2025'!$S334), 0, 1), 6, if(ISBLANK('2025'!$T334), 0, 1), 7, 0))), 1, "")</f>
        <v/>
      </c>
      <c r="O336" s="1" t="str">
        <f>IF(AND(AND(AND(O$4&gt;='2025'!$L334,O$4&lt;='2025'!$M334), O$4&lt;&gt;DATE(2025,7,4)), (SWITCH(weekday(O$4), 1, 0, 2, if(ISBLANK('2025'!$P334), 0, 1), 3, if(ISBLANK('2025'!$Q334), 0, 1), 4, if(ISBLANK('2025'!$R334), 0, 1), 5, if(ISBLANK('2025'!$S334), 0, 1), 6, if(ISBLANK('2025'!$T334), 0, 1), 7, 0))), 1, "")</f>
        <v/>
      </c>
      <c r="P336" s="1" t="str">
        <f>IF(AND(AND(AND(P$4&gt;='2025'!$L334,P$4&lt;='2025'!$M334), P$4&lt;&gt;DATE(2025,7,4)), (SWITCH(weekday(P$4), 1, 0, 2, if(ISBLANK('2025'!$P334), 0, 1), 3, if(ISBLANK('2025'!$Q334), 0, 1), 4, if(ISBLANK('2025'!$R334), 0, 1), 5, if(ISBLANK('2025'!$S334), 0, 1), 6, if(ISBLANK('2025'!$T334), 0, 1), 7, 0))), 1, "")</f>
        <v/>
      </c>
      <c r="Q336" s="1" t="str">
        <f>IF(AND(AND(AND(Q$4&gt;='2025'!$L334,Q$4&lt;='2025'!$M334), Q$4&lt;&gt;DATE(2025,7,4)), (SWITCH(weekday(Q$4), 1, 0, 2, if(ISBLANK('2025'!$P334), 0, 1), 3, if(ISBLANK('2025'!$Q334), 0, 1), 4, if(ISBLANK('2025'!$R334), 0, 1), 5, if(ISBLANK('2025'!$S334), 0, 1), 6, if(ISBLANK('2025'!$T334), 0, 1), 7, 0))), 1, "")</f>
        <v/>
      </c>
      <c r="R336" s="1" t="str">
        <f>IF(AND(AND(AND(R$4&gt;='2025'!$L334,R$4&lt;='2025'!$M334), R$4&lt;&gt;DATE(2025,7,4)), (SWITCH(weekday(R$4), 1, 0, 2, if(ISBLANK('2025'!$P334), 0, 1), 3, if(ISBLANK('2025'!$Q334), 0, 1), 4, if(ISBLANK('2025'!$R334), 0, 1), 5, if(ISBLANK('2025'!$S334), 0, 1), 6, if(ISBLANK('2025'!$T334), 0, 1), 7, 0))), 1, "")</f>
        <v/>
      </c>
      <c r="S336" s="1" t="str">
        <f>IF(AND(AND(AND(S$4&gt;='2025'!$L334,S$4&lt;='2025'!$M334), S$4&lt;&gt;DATE(2025,7,4)), (SWITCH(weekday(S$4), 1, 0, 2, if(ISBLANK('2025'!$P334), 0, 1), 3, if(ISBLANK('2025'!$Q334), 0, 1), 4, if(ISBLANK('2025'!$R334), 0, 1), 5, if(ISBLANK('2025'!$S334), 0, 1), 6, if(ISBLANK('2025'!$T334), 0, 1), 7, 0))), 1, "")</f>
        <v/>
      </c>
      <c r="T336" s="1" t="str">
        <f>IF(AND(AND(AND(T$4&gt;='2025'!$L334,T$4&lt;='2025'!$M334), T$4&lt;&gt;DATE(2025,7,4)), (SWITCH(weekday(T$4), 1, 0, 2, if(ISBLANK('2025'!$P334), 0, 1), 3, if(ISBLANK('2025'!$Q334), 0, 1), 4, if(ISBLANK('2025'!$R334), 0, 1), 5, if(ISBLANK('2025'!$S334), 0, 1), 6, if(ISBLANK('2025'!$T334), 0, 1), 7, 0))), 1, "")</f>
        <v/>
      </c>
      <c r="U336" s="1" t="str">
        <f>IF(AND(AND(AND(U$4&gt;='2025'!$L334,U$4&lt;='2025'!$M334), U$4&lt;&gt;DATE(2025,7,4)), (SWITCH(weekday(U$4), 1, 0, 2, if(ISBLANK('2025'!$P334), 0, 1), 3, if(ISBLANK('2025'!$Q334), 0, 1), 4, if(ISBLANK('2025'!$R334), 0, 1), 5, if(ISBLANK('2025'!$S334), 0, 1), 6, if(ISBLANK('2025'!$T334), 0, 1), 7, 0))), 1, "")</f>
        <v/>
      </c>
      <c r="V336" s="1" t="str">
        <f>IF(AND(AND(AND(V$4&gt;='2025'!$L334,V$4&lt;='2025'!$M334), V$4&lt;&gt;DATE(2025,7,4)), (SWITCH(weekday(V$4), 1, 0, 2, if(ISBLANK('2025'!$P334), 0, 1), 3, if(ISBLANK('2025'!$Q334), 0, 1), 4, if(ISBLANK('2025'!$R334), 0, 1), 5, if(ISBLANK('2025'!$S334), 0, 1), 6, if(ISBLANK('2025'!$T334), 0, 1), 7, 0))), 1, "")</f>
        <v/>
      </c>
      <c r="W336" s="1" t="str">
        <f>IF(AND(AND(AND(W$4&gt;='2025'!$L334,W$4&lt;='2025'!$M334), W$4&lt;&gt;DATE(2025,7,4)), (SWITCH(weekday(W$4), 1, 0, 2, if(ISBLANK('2025'!$P334), 0, 1), 3, if(ISBLANK('2025'!$Q334), 0, 1), 4, if(ISBLANK('2025'!$R334), 0, 1), 5, if(ISBLANK('2025'!$S334), 0, 1), 6, if(ISBLANK('2025'!$T334), 0, 1), 7, 0))), 1, "")</f>
        <v/>
      </c>
      <c r="X336" s="1" t="str">
        <f>IF(AND(AND(AND(X$4&gt;='2025'!$L334,X$4&lt;='2025'!$M334), X$4&lt;&gt;DATE(2025,7,4)), (SWITCH(weekday(X$4), 1, 0, 2, if(ISBLANK('2025'!$P334), 0, 1), 3, if(ISBLANK('2025'!$Q334), 0, 1), 4, if(ISBLANK('2025'!$R334), 0, 1), 5, if(ISBLANK('2025'!$S334), 0, 1), 6, if(ISBLANK('2025'!$T334), 0, 1), 7, 0))), 1, "")</f>
        <v/>
      </c>
      <c r="Y336" s="1" t="str">
        <f>IF(AND(AND(AND(Y$4&gt;='2025'!$L334,Y$4&lt;='2025'!$M334), Y$4&lt;&gt;DATE(2025,7,4)), (SWITCH(weekday(Y$4), 1, 0, 2, if(ISBLANK('2025'!$P334), 0, 1), 3, if(ISBLANK('2025'!$Q334), 0, 1), 4, if(ISBLANK('2025'!$R334), 0, 1), 5, if(ISBLANK('2025'!$S334), 0, 1), 6, if(ISBLANK('2025'!$T334), 0, 1), 7, 0))), 1, "")</f>
        <v/>
      </c>
      <c r="Z336" s="1" t="str">
        <f>IF(AND(AND(AND(Z$4&gt;='2025'!$L334,Z$4&lt;='2025'!$M334), Z$4&lt;&gt;DATE(2025,7,4)), (SWITCH(weekday(Z$4), 1, 0, 2, if(ISBLANK('2025'!$P334), 0, 1), 3, if(ISBLANK('2025'!$Q334), 0, 1), 4, if(ISBLANK('2025'!$R334), 0, 1), 5, if(ISBLANK('2025'!$S334), 0, 1), 6, if(ISBLANK('2025'!$T334), 0, 1), 7, 0))), 1, "")</f>
        <v/>
      </c>
      <c r="AA336" s="1" t="str">
        <f>IF(AND(AND(AND(AA$4&gt;='2025'!$L334,AA$4&lt;='2025'!$M334), AA$4&lt;&gt;DATE(2025,7,4)), (SWITCH(weekday(AA$4), 1, 0, 2, if(ISBLANK('2025'!$P334), 0, 1), 3, if(ISBLANK('2025'!$Q334), 0, 1), 4, if(ISBLANK('2025'!$R334), 0, 1), 5, if(ISBLANK('2025'!$S334), 0, 1), 6, if(ISBLANK('2025'!$T334), 0, 1), 7, 0))), 1, "")</f>
        <v/>
      </c>
      <c r="AB336" s="1" t="str">
        <f>IF(AND(AND(AND(AB$4&gt;='2025'!$L334,AB$4&lt;='2025'!$M334), AB$4&lt;&gt;DATE(2025,7,4)), (SWITCH(weekday(AB$4), 1, 0, 2, if(ISBLANK('2025'!$P334), 0, 1), 3, if(ISBLANK('2025'!$Q334), 0, 1), 4, if(ISBLANK('2025'!$R334), 0, 1), 5, if(ISBLANK('2025'!$S334), 0, 1), 6, if(ISBLANK('2025'!$T334), 0, 1), 7, 0))), 1, "")</f>
        <v/>
      </c>
      <c r="AC336" s="1" t="str">
        <f>IF(AND(AND(AND(AC$4&gt;='2025'!$L334,AC$4&lt;='2025'!$M334), AC$4&lt;&gt;DATE(2025,7,4)), (SWITCH(weekday(AC$4), 1, 0, 2, if(ISBLANK('2025'!$P334), 0, 1), 3, if(ISBLANK('2025'!$Q334), 0, 1), 4, if(ISBLANK('2025'!$R334), 0, 1), 5, if(ISBLANK('2025'!$S334), 0, 1), 6, if(ISBLANK('2025'!$T334), 0, 1), 7, 0))), 1, "")</f>
        <v/>
      </c>
      <c r="AD336" s="1" t="str">
        <f>IF(AND(AND(AND(AD$4&gt;='2025'!$L334,AD$4&lt;='2025'!$M334), AD$4&lt;&gt;DATE(2025,7,4)), (SWITCH(weekday(AD$4), 1, 0, 2, if(ISBLANK('2025'!$P334), 0, 1), 3, if(ISBLANK('2025'!$Q334), 0, 1), 4, if(ISBLANK('2025'!$R334), 0, 1), 5, if(ISBLANK('2025'!$S334), 0, 1), 6, if(ISBLANK('2025'!$T334), 0, 1), 7, 0))), 1, "")</f>
        <v/>
      </c>
      <c r="AE336" s="1" t="str">
        <f>IF(AND(AND(AND(AE$4&gt;='2025'!$L334,AE$4&lt;='2025'!$M334), AE$4&lt;&gt;DATE(2025,7,4)), (SWITCH(weekday(AE$4), 1, 0, 2, if(ISBLANK('2025'!$P334), 0, 1), 3, if(ISBLANK('2025'!$Q334), 0, 1), 4, if(ISBLANK('2025'!$R334), 0, 1), 5, if(ISBLANK('2025'!$S334), 0, 1), 6, if(ISBLANK('2025'!$T334), 0, 1), 7, 0))), 1, "")</f>
        <v/>
      </c>
      <c r="AF336" s="1" t="str">
        <f>IF(AND(AND(AND(AF$4&gt;='2025'!$L334,AF$4&lt;='2025'!$M334), AF$4&lt;&gt;DATE(2025,7,4)), (SWITCH(weekday(AF$4), 1, 0, 2, if(ISBLANK('2025'!$P334), 0, 1), 3, if(ISBLANK('2025'!$Q334), 0, 1), 4, if(ISBLANK('2025'!$R334), 0, 1), 5, if(ISBLANK('2025'!$S334), 0, 1), 6, if(ISBLANK('2025'!$T334), 0, 1), 7, 0))), 1, "")</f>
        <v/>
      </c>
      <c r="AG336" s="1" t="str">
        <f>IF(AND(AND(AND(AG$4&gt;='2025'!$L334,AG$4&lt;='2025'!$M334), AG$4&lt;&gt;DATE(2025,7,4)), (SWITCH(weekday(AG$4), 1, 0, 2, if(ISBLANK('2025'!$P334), 0, 1), 3, if(ISBLANK('2025'!$Q334), 0, 1), 4, if(ISBLANK('2025'!$R334), 0, 1), 5, if(ISBLANK('2025'!$S334), 0, 1), 6, if(ISBLANK('2025'!$T334), 0, 1), 7, 0))), 1, "")</f>
        <v/>
      </c>
      <c r="AH336" s="1" t="str">
        <f>IF(AND(AND(AND(AH$4&gt;='2025'!$L334,AH$4&lt;='2025'!$M334), AH$4&lt;&gt;DATE(2025,7,4)), (SWITCH(weekday(AH$4), 1, 0, 2, if(ISBLANK('2025'!$P334), 0, 1), 3, if(ISBLANK('2025'!$Q334), 0, 1), 4, if(ISBLANK('2025'!$R334), 0, 1), 5, if(ISBLANK('2025'!$S334), 0, 1), 6, if(ISBLANK('2025'!$T334), 0, 1), 7, 0))), 1, "")</f>
        <v/>
      </c>
      <c r="AI336" s="1" t="str">
        <f>IF(AND(AND(AND(AI$4&gt;='2025'!$L334,AI$4&lt;='2025'!$M334), AI$4&lt;&gt;DATE(2025,7,4)), (SWITCH(weekday(AI$4), 1, 0, 2, if(ISBLANK('2025'!$P334), 0, 1), 3, if(ISBLANK('2025'!$Q334), 0, 1), 4, if(ISBLANK('2025'!$R334), 0, 1), 5, if(ISBLANK('2025'!$S334), 0, 1), 6, if(ISBLANK('2025'!$T334), 0, 1), 7, 0))), 1, "")</f>
        <v/>
      </c>
      <c r="AJ336" s="1" t="str">
        <f>IF(AND(AND(AND(AJ$4&gt;='2025'!$L334,AJ$4&lt;='2025'!$M334), AJ$4&lt;&gt;DATE(2025,7,4)), (SWITCH(weekday(AJ$4), 1, 0, 2, if(ISBLANK('2025'!$P334), 0, 1), 3, if(ISBLANK('2025'!$Q334), 0, 1), 4, if(ISBLANK('2025'!$R334), 0, 1), 5, if(ISBLANK('2025'!$S334), 0, 1), 6, if(ISBLANK('2025'!$T334), 0, 1), 7, 0))), 1, "")</f>
        <v/>
      </c>
      <c r="AK336" s="1" t="str">
        <f>IF(AND(AND(AND(AK$4&gt;='2025'!$L334,AK$4&lt;='2025'!$M334), AK$4&lt;&gt;DATE(2025,7,4)), (SWITCH(weekday(AK$4), 1, 0, 2, if(ISBLANK('2025'!$P334), 0, 1), 3, if(ISBLANK('2025'!$Q334), 0, 1), 4, if(ISBLANK('2025'!$R334), 0, 1), 5, if(ISBLANK('2025'!$S334), 0, 1), 6, if(ISBLANK('2025'!$T334), 0, 1), 7, 0))), 1, "")</f>
        <v/>
      </c>
      <c r="AL336" s="1" t="str">
        <f>IF(AND(AND(AND(AL$4&gt;='2025'!$L334,AL$4&lt;='2025'!$M334), AL$4&lt;&gt;DATE(2025,7,4)), (SWITCH(weekday(AL$4), 1, 0, 2, if(ISBLANK('2025'!$P334), 0, 1), 3, if(ISBLANK('2025'!$Q334), 0, 1), 4, if(ISBLANK('2025'!$R334), 0, 1), 5, if(ISBLANK('2025'!$S334), 0, 1), 6, if(ISBLANK('2025'!$T334), 0, 1), 7, 0))), 1, "")</f>
        <v/>
      </c>
      <c r="AM336" s="1" t="str">
        <f>IF(AND(AND(AND(AM$4&gt;='2025'!$L334,AM$4&lt;='2025'!$M334), AM$4&lt;&gt;DATE(2025,7,4)), (SWITCH(weekday(AM$4), 1, 0, 2, if(ISBLANK('2025'!$P334), 0, 1), 3, if(ISBLANK('2025'!$Q334), 0, 1), 4, if(ISBLANK('2025'!$R334), 0, 1), 5, if(ISBLANK('2025'!$S334), 0, 1), 6, if(ISBLANK('2025'!$T334), 0, 1), 7, 0))), 1, "")</f>
        <v/>
      </c>
      <c r="AN336" s="1" t="str">
        <f>IF(AND(AND(AND(AN$4&gt;='2025'!$L334,AN$4&lt;='2025'!$M334), AN$4&lt;&gt;DATE(2025,7,4)), (SWITCH(weekday(AN$4), 1, 0, 2, if(ISBLANK('2025'!$P334), 0, 1), 3, if(ISBLANK('2025'!$Q334), 0, 1), 4, if(ISBLANK('2025'!$R334), 0, 1), 5, if(ISBLANK('2025'!$S334), 0, 1), 6, if(ISBLANK('2025'!$T334), 0, 1), 7, 0))), 1, "")</f>
        <v/>
      </c>
      <c r="AO336" s="1" t="str">
        <f>IF(AND(AND(AND(AO$4&gt;='2025'!$L334,AO$4&lt;='2025'!$M334), AO$4&lt;&gt;DATE(2025,7,4)), (SWITCH(weekday(AO$4), 1, 0, 2, if(ISBLANK('2025'!$P334), 0, 1), 3, if(ISBLANK('2025'!$Q334), 0, 1), 4, if(ISBLANK('2025'!$R334), 0, 1), 5, if(ISBLANK('2025'!$S334), 0, 1), 6, if(ISBLANK('2025'!$T334), 0, 1), 7, 0))), 1, "")</f>
        <v/>
      </c>
      <c r="AP336" s="1" t="str">
        <f>IF(AND(AND(AND(AP$4&gt;='2025'!$L334,AP$4&lt;='2025'!$M334), AP$4&lt;&gt;DATE(2025,7,4)), (SWITCH(weekday(AP$4), 1, 0, 2, if(ISBLANK('2025'!$P334), 0, 1), 3, if(ISBLANK('2025'!$Q334), 0, 1), 4, if(ISBLANK('2025'!$R334), 0, 1), 5, if(ISBLANK('2025'!$S334), 0, 1), 6, if(ISBLANK('2025'!$T334), 0, 1), 7, 0))), 1, "")</f>
        <v/>
      </c>
      <c r="AQ336" s="1" t="str">
        <f>IF(AND(AND(AND(AQ$4&gt;='2025'!$L334,AQ$4&lt;='2025'!$M334), AQ$4&lt;&gt;DATE(2025,7,4)), (SWITCH(weekday(AQ$4), 1, 0, 2, if(ISBLANK('2025'!$P334), 0, 1), 3, if(ISBLANK('2025'!$Q334), 0, 1), 4, if(ISBLANK('2025'!$R334), 0, 1), 5, if(ISBLANK('2025'!$S334), 0, 1), 6, if(ISBLANK('2025'!$T334), 0, 1), 7, 0))), 1, "")</f>
        <v/>
      </c>
      <c r="AR336" s="1" t="str">
        <f>IF(AND(AND(AND(AR$4&gt;='2025'!$L334,AR$4&lt;='2025'!$M334), AR$4&lt;&gt;DATE(2025,7,4)), (SWITCH(weekday(AR$4), 1, 0, 2, if(ISBLANK('2025'!$P334), 0, 1), 3, if(ISBLANK('2025'!$Q334), 0, 1), 4, if(ISBLANK('2025'!$R334), 0, 1), 5, if(ISBLANK('2025'!$S334), 0, 1), 6, if(ISBLANK('2025'!$T334), 0, 1), 7, 0))), 1, "")</f>
        <v/>
      </c>
      <c r="AS336" s="1" t="str">
        <f>IF(AND(AND(AND(AS$4&gt;='2025'!$L334,AS$4&lt;='2025'!$M334), AS$4&lt;&gt;DATE(2025,7,4)), (SWITCH(weekday(AS$4), 1, 0, 2, if(ISBLANK('2025'!$P334), 0, 1), 3, if(ISBLANK('2025'!$Q334), 0, 1), 4, if(ISBLANK('2025'!$R334), 0, 1), 5, if(ISBLANK('2025'!$S334), 0, 1), 6, if(ISBLANK('2025'!$T334), 0, 1), 7, 0))), 1, "")</f>
        <v/>
      </c>
      <c r="AT336" s="1" t="str">
        <f>IF(AND(AND(AND(AT$4&gt;='2025'!$L334,AT$4&lt;='2025'!$M334), AT$4&lt;&gt;DATE(2025,7,4)), (SWITCH(weekday(AT$4), 1, 0, 2, if(ISBLANK('2025'!$P334), 0, 1), 3, if(ISBLANK('2025'!$Q334), 0, 1), 4, if(ISBLANK('2025'!$R334), 0, 1), 5, if(ISBLANK('2025'!$S334), 0, 1), 6, if(ISBLANK('2025'!$T334), 0, 1), 7, 0))), 1, "")</f>
        <v/>
      </c>
      <c r="AU336" s="1" t="str">
        <f>IF(AND(AND(AND(AU$4&gt;='2025'!$L334,AU$4&lt;='2025'!$M334), AU$4&lt;&gt;DATE(2025,7,4)), (SWITCH(weekday(AU$4), 1, 0, 2, if(ISBLANK('2025'!$P334), 0, 1), 3, if(ISBLANK('2025'!$Q334), 0, 1), 4, if(ISBLANK('2025'!$R334), 0, 1), 5, if(ISBLANK('2025'!$S334), 0, 1), 6, if(ISBLANK('2025'!$T334), 0, 1), 7, 0))), 1, "")</f>
        <v/>
      </c>
      <c r="AV336" s="1" t="str">
        <f>IF(AND(AND(AND(AV$4&gt;='2025'!$L334,AV$4&lt;='2025'!$M334), AV$4&lt;&gt;DATE(2025,7,4)), (SWITCH(weekday(AV$4), 1, 0, 2, if(ISBLANK('2025'!$P334), 0, 1), 3, if(ISBLANK('2025'!$Q334), 0, 1), 4, if(ISBLANK('2025'!$R334), 0, 1), 5, if(ISBLANK('2025'!$S334), 0, 1), 6, if(ISBLANK('2025'!$T334), 0, 1), 7, 0))), 1, "")</f>
        <v/>
      </c>
      <c r="AW336" s="1" t="str">
        <f>IF(AND(AND(AND(AW$4&gt;='2025'!$L334,AW$4&lt;='2025'!$M334), AW$4&lt;&gt;DATE(2025,7,4)), (SWITCH(weekday(AW$4), 1, 0, 2, if(ISBLANK('2025'!$P334), 0, 1), 3, if(ISBLANK('2025'!$Q334), 0, 1), 4, if(ISBLANK('2025'!$R334), 0, 1), 5, if(ISBLANK('2025'!$S334), 0, 1), 6, if(ISBLANK('2025'!$T334), 0, 1), 7, 0))), 1, "")</f>
        <v/>
      </c>
      <c r="AX336" s="1" t="str">
        <f>IF(AND(AND(AND(AX$4&gt;='2025'!$L334,AX$4&lt;='2025'!$M334), AX$4&lt;&gt;DATE(2025,7,4)), (SWITCH(weekday(AX$4), 1, 0, 2, if(ISBLANK('2025'!$P334), 0, 1), 3, if(ISBLANK('2025'!$Q334), 0, 1), 4, if(ISBLANK('2025'!$R334), 0, 1), 5, if(ISBLANK('2025'!$S334), 0, 1), 6, if(ISBLANK('2025'!$T334), 0, 1), 7, 0))), 1, "")</f>
        <v/>
      </c>
      <c r="AY336" s="1" t="str">
        <f>IF(AND(AND(AND(AY$4&gt;='2025'!$L334,AY$4&lt;='2025'!$M334), AY$4&lt;&gt;DATE(2025,7,4)), (SWITCH(weekday(AY$4), 1, 0, 2, if(ISBLANK('2025'!$P334), 0, 1), 3, if(ISBLANK('2025'!$Q334), 0, 1), 4, if(ISBLANK('2025'!$R334), 0, 1), 5, if(ISBLANK('2025'!$S334), 0, 1), 6, if(ISBLANK('2025'!$T334), 0, 1), 7, 0))), 1, "")</f>
        <v/>
      </c>
      <c r="AZ336" s="1" t="str">
        <f>IF(AND(AND(AND(AZ$4&gt;='2025'!$L334,AZ$4&lt;='2025'!$M334), AZ$4&lt;&gt;DATE(2025,7,4)), (SWITCH(weekday(AZ$4), 1, 0, 2, if(ISBLANK('2025'!$P334), 0, 1), 3, if(ISBLANK('2025'!$Q334), 0, 1), 4, if(ISBLANK('2025'!$R334), 0, 1), 5, if(ISBLANK('2025'!$S334), 0, 1), 6, if(ISBLANK('2025'!$T334), 0, 1), 7, 0))), 1, "")</f>
        <v/>
      </c>
      <c r="BA336" s="1" t="str">
        <f>IF(AND(AND(AND(BA$4&gt;='2025'!$L334,BA$4&lt;='2025'!$M334), BA$4&lt;&gt;DATE(2025,7,4)), (SWITCH(weekday(BA$4), 1, 0, 2, if(ISBLANK('2025'!$P334), 0, 1), 3, if(ISBLANK('2025'!$Q334), 0, 1), 4, if(ISBLANK('2025'!$R334), 0, 1), 5, if(ISBLANK('2025'!$S334), 0, 1), 6, if(ISBLANK('2025'!$T334), 0, 1), 7, 0))), 1, "")</f>
        <v/>
      </c>
      <c r="BB336" s="1" t="str">
        <f>IF(AND(AND(AND(BB$4&gt;='2025'!$L334,BB$4&lt;='2025'!$M334), BB$4&lt;&gt;DATE(2025,7,4)), (SWITCH(weekday(BB$4), 1, 0, 2, if(ISBLANK('2025'!$P334), 0, 1), 3, if(ISBLANK('2025'!$Q334), 0, 1), 4, if(ISBLANK('2025'!$R334), 0, 1), 5, if(ISBLANK('2025'!$S334), 0, 1), 6, if(ISBLANK('2025'!$T334), 0, 1), 7, 0))), 1, "")</f>
        <v/>
      </c>
      <c r="BC336" s="1" t="str">
        <f>IF(AND(AND(AND(BC$4&gt;='2025'!$L334,BC$4&lt;='2025'!$M334), BC$4&lt;&gt;DATE(2025,7,4)), (SWITCH(weekday(BC$4), 1, 0, 2, if(ISBLANK('2025'!$P334), 0, 1), 3, if(ISBLANK('2025'!$Q334), 0, 1), 4, if(ISBLANK('2025'!$R334), 0, 1), 5, if(ISBLANK('2025'!$S334), 0, 1), 6, if(ISBLANK('2025'!$T334), 0, 1), 7, 0))), 1, "")</f>
        <v/>
      </c>
      <c r="BD336" s="1" t="str">
        <f>IF(AND(AND(AND(BD$4&gt;='2025'!$L334,BD$4&lt;='2025'!$M334), BD$4&lt;&gt;DATE(2025,7,4)), (SWITCH(weekday(BD$4), 1, 0, 2, if(ISBLANK('2025'!$P334), 0, 1), 3, if(ISBLANK('2025'!$Q334), 0, 1), 4, if(ISBLANK('2025'!$R334), 0, 1), 5, if(ISBLANK('2025'!$S334), 0, 1), 6, if(ISBLANK('2025'!$T334), 0, 1), 7, 0))), 1, "")</f>
        <v/>
      </c>
      <c r="BE336" s="1" t="str">
        <f>IF(AND(AND(AND(BE$4&gt;='2025'!$L334,BE$4&lt;='2025'!$M334), BE$4&lt;&gt;DATE(2025,7,4)), (SWITCH(weekday(BE$4), 1, 0, 2, if(ISBLANK('2025'!$P334), 0, 1), 3, if(ISBLANK('2025'!$Q334), 0, 1), 4, if(ISBLANK('2025'!$R334), 0, 1), 5, if(ISBLANK('2025'!$S334), 0, 1), 6, if(ISBLANK('2025'!$T334), 0, 1), 7, 0))), 1, "")</f>
        <v/>
      </c>
      <c r="BF336" s="1" t="str">
        <f>IF(AND(AND(AND(BF$4&gt;='2025'!$L334,BF$4&lt;='2025'!$M334), BF$4&lt;&gt;DATE(2025,7,4)), (SWITCH(weekday(BF$4), 1, 0, 2, if(ISBLANK('2025'!$P334), 0, 1), 3, if(ISBLANK('2025'!$Q334), 0, 1), 4, if(ISBLANK('2025'!$R334), 0, 1), 5, if(ISBLANK('2025'!$S334), 0, 1), 6, if(ISBLANK('2025'!$T334), 0, 1), 7, 0))), 1, "")</f>
        <v/>
      </c>
      <c r="BG336" s="1"/>
      <c r="BH336" s="1"/>
      <c r="BI336" s="1"/>
      <c r="BJ336" s="1"/>
      <c r="BK336" s="1"/>
      <c r="BL336" s="1"/>
    </row>
    <row r="337">
      <c r="A337" s="1">
        <f t="shared" si="3"/>
        <v>337</v>
      </c>
      <c r="B337" s="1" t="str">
        <f>'2025'!D301</f>
        <v>, </v>
      </c>
      <c r="C337" s="1" t="str">
        <f>'2025'!H301</f>
        <v/>
      </c>
      <c r="D337" s="1" t="str">
        <f>IF(AND(AND(AND(D$4&gt;='2025'!$L335,D$4&lt;='2025'!$M335), D$4&lt;&gt;DATE(2025,7,4)), (SWITCH(weekday(D$4), 1, 0, 2, if(ISBLANK('2025'!$P335), 0, 1), 3, if(ISBLANK('2025'!$Q335), 0, 1), 4, if(ISBLANK('2025'!$R335), 0, 1), 5, if(ISBLANK('2025'!$S335), 0, 1), 6, if(ISBLANK('2025'!$T335), 0, 1), 7, 0))), 1, "")</f>
        <v/>
      </c>
      <c r="E337" s="1" t="str">
        <f>IF(AND(AND(AND(E$4&gt;='2025'!$L335,E$4&lt;='2025'!$M335), E$4&lt;&gt;DATE(2025,7,4)), (SWITCH(weekday(E$4), 1, 0, 2, if(ISBLANK('2025'!$P335), 0, 1), 3, if(ISBLANK('2025'!$Q335), 0, 1), 4, if(ISBLANK('2025'!$R335), 0, 1), 5, if(ISBLANK('2025'!$S335), 0, 1), 6, if(ISBLANK('2025'!$T335), 0, 1), 7, 0))), 1, "")</f>
        <v/>
      </c>
      <c r="F337" s="1" t="str">
        <f>IF(AND(AND(AND(F$4&gt;='2025'!$L335,F$4&lt;='2025'!$M335), F$4&lt;&gt;DATE(2025,7,4)), (SWITCH(weekday(F$4), 1, 0, 2, if(ISBLANK('2025'!$P335), 0, 1), 3, if(ISBLANK('2025'!$Q335), 0, 1), 4, if(ISBLANK('2025'!$R335), 0, 1), 5, if(ISBLANK('2025'!$S335), 0, 1), 6, if(ISBLANK('2025'!$T335), 0, 1), 7, 0))), 1, "")</f>
        <v/>
      </c>
      <c r="G337" s="1" t="str">
        <f>IF(AND(AND(AND(G$4&gt;='2025'!$L335,G$4&lt;='2025'!$M335), G$4&lt;&gt;DATE(2025,7,4)), (SWITCH(weekday(G$4), 1, 0, 2, if(ISBLANK('2025'!$P335), 0, 1), 3, if(ISBLANK('2025'!$Q335), 0, 1), 4, if(ISBLANK('2025'!$R335), 0, 1), 5, if(ISBLANK('2025'!$S335), 0, 1), 6, if(ISBLANK('2025'!$T335), 0, 1), 7, 0))), 1, "")</f>
        <v/>
      </c>
      <c r="H337" s="1" t="str">
        <f>IF(AND(AND(AND(H$4&gt;='2025'!$L335,H$4&lt;='2025'!$M335), H$4&lt;&gt;DATE(2025,7,4)), (SWITCH(weekday(H$4), 1, 0, 2, if(ISBLANK('2025'!$P335), 0, 1), 3, if(ISBLANK('2025'!$Q335), 0, 1), 4, if(ISBLANK('2025'!$R335), 0, 1), 5, if(ISBLANK('2025'!$S335), 0, 1), 6, if(ISBLANK('2025'!$T335), 0, 1), 7, 0))), 1, "")</f>
        <v/>
      </c>
      <c r="I337" s="1" t="str">
        <f>IF(AND(AND(AND(I$4&gt;='2025'!$L335,I$4&lt;='2025'!$M335), I$4&lt;&gt;DATE(2025,7,4)), (SWITCH(weekday(I$4), 1, 0, 2, if(ISBLANK('2025'!$P335), 0, 1), 3, if(ISBLANK('2025'!$Q335), 0, 1), 4, if(ISBLANK('2025'!$R335), 0, 1), 5, if(ISBLANK('2025'!$S335), 0, 1), 6, if(ISBLANK('2025'!$T335), 0, 1), 7, 0))), 1, "")</f>
        <v/>
      </c>
      <c r="J337" s="1" t="str">
        <f>IF(AND(AND(AND(J$4&gt;='2025'!$L335,J$4&lt;='2025'!$M335), J$4&lt;&gt;DATE(2025,7,4)), (SWITCH(weekday(J$4), 1, 0, 2, if(ISBLANK('2025'!$P335), 0, 1), 3, if(ISBLANK('2025'!$Q335), 0, 1), 4, if(ISBLANK('2025'!$R335), 0, 1), 5, if(ISBLANK('2025'!$S335), 0, 1), 6, if(ISBLANK('2025'!$T335), 0, 1), 7, 0))), 1, "")</f>
        <v/>
      </c>
      <c r="K337" s="1" t="str">
        <f>IF(AND(AND(AND(K$4&gt;='2025'!$L335,K$4&lt;='2025'!$M335), K$4&lt;&gt;DATE(2025,7,4)), (SWITCH(weekday(K$4), 1, 0, 2, if(ISBLANK('2025'!$P335), 0, 1), 3, if(ISBLANK('2025'!$Q335), 0, 1), 4, if(ISBLANK('2025'!$R335), 0, 1), 5, if(ISBLANK('2025'!$S335), 0, 1), 6, if(ISBLANK('2025'!$T335), 0, 1), 7, 0))), 1, "")</f>
        <v/>
      </c>
      <c r="L337" s="1" t="str">
        <f>IF(AND(AND(AND(L$4&gt;='2025'!$L335,L$4&lt;='2025'!$M335), L$4&lt;&gt;DATE(2025,7,4)), (SWITCH(weekday(L$4), 1, 0, 2, if(ISBLANK('2025'!$P335), 0, 1), 3, if(ISBLANK('2025'!$Q335), 0, 1), 4, if(ISBLANK('2025'!$R335), 0, 1), 5, if(ISBLANK('2025'!$S335), 0, 1), 6, if(ISBLANK('2025'!$T335), 0, 1), 7, 0))), 1, "")</f>
        <v/>
      </c>
      <c r="M337" s="1" t="str">
        <f>IF(AND(AND(AND(M$4&gt;='2025'!$L335,M$4&lt;='2025'!$M335), M$4&lt;&gt;DATE(2025,7,4)), (SWITCH(weekday(M$4), 1, 0, 2, if(ISBLANK('2025'!$P335), 0, 1), 3, if(ISBLANK('2025'!$Q335), 0, 1), 4, if(ISBLANK('2025'!$R335), 0, 1), 5, if(ISBLANK('2025'!$S335), 0, 1), 6, if(ISBLANK('2025'!$T335), 0, 1), 7, 0))), 1, "")</f>
        <v/>
      </c>
      <c r="N337" s="1" t="str">
        <f>IF(AND(AND(AND(N$4&gt;='2025'!$L335,N$4&lt;='2025'!$M335), N$4&lt;&gt;DATE(2025,7,4)), (SWITCH(weekday(N$4), 1, 0, 2, if(ISBLANK('2025'!$P335), 0, 1), 3, if(ISBLANK('2025'!$Q335), 0, 1), 4, if(ISBLANK('2025'!$R335), 0, 1), 5, if(ISBLANK('2025'!$S335), 0, 1), 6, if(ISBLANK('2025'!$T335), 0, 1), 7, 0))), 1, "")</f>
        <v/>
      </c>
      <c r="O337" s="1" t="str">
        <f>IF(AND(AND(AND(O$4&gt;='2025'!$L335,O$4&lt;='2025'!$M335), O$4&lt;&gt;DATE(2025,7,4)), (SWITCH(weekday(O$4), 1, 0, 2, if(ISBLANK('2025'!$P335), 0, 1), 3, if(ISBLANK('2025'!$Q335), 0, 1), 4, if(ISBLANK('2025'!$R335), 0, 1), 5, if(ISBLANK('2025'!$S335), 0, 1), 6, if(ISBLANK('2025'!$T335), 0, 1), 7, 0))), 1, "")</f>
        <v/>
      </c>
      <c r="P337" s="1" t="str">
        <f>IF(AND(AND(AND(P$4&gt;='2025'!$L335,P$4&lt;='2025'!$M335), P$4&lt;&gt;DATE(2025,7,4)), (SWITCH(weekday(P$4), 1, 0, 2, if(ISBLANK('2025'!$P335), 0, 1), 3, if(ISBLANK('2025'!$Q335), 0, 1), 4, if(ISBLANK('2025'!$R335), 0, 1), 5, if(ISBLANK('2025'!$S335), 0, 1), 6, if(ISBLANK('2025'!$T335), 0, 1), 7, 0))), 1, "")</f>
        <v/>
      </c>
      <c r="Q337" s="1" t="str">
        <f>IF(AND(AND(AND(Q$4&gt;='2025'!$L335,Q$4&lt;='2025'!$M335), Q$4&lt;&gt;DATE(2025,7,4)), (SWITCH(weekday(Q$4), 1, 0, 2, if(ISBLANK('2025'!$P335), 0, 1), 3, if(ISBLANK('2025'!$Q335), 0, 1), 4, if(ISBLANK('2025'!$R335), 0, 1), 5, if(ISBLANK('2025'!$S335), 0, 1), 6, if(ISBLANK('2025'!$T335), 0, 1), 7, 0))), 1, "")</f>
        <v/>
      </c>
      <c r="R337" s="1" t="str">
        <f>IF(AND(AND(AND(R$4&gt;='2025'!$L335,R$4&lt;='2025'!$M335), R$4&lt;&gt;DATE(2025,7,4)), (SWITCH(weekday(R$4), 1, 0, 2, if(ISBLANK('2025'!$P335), 0, 1), 3, if(ISBLANK('2025'!$Q335), 0, 1), 4, if(ISBLANK('2025'!$R335), 0, 1), 5, if(ISBLANK('2025'!$S335), 0, 1), 6, if(ISBLANK('2025'!$T335), 0, 1), 7, 0))), 1, "")</f>
        <v/>
      </c>
      <c r="S337" s="1" t="str">
        <f>IF(AND(AND(AND(S$4&gt;='2025'!$L335,S$4&lt;='2025'!$M335), S$4&lt;&gt;DATE(2025,7,4)), (SWITCH(weekday(S$4), 1, 0, 2, if(ISBLANK('2025'!$P335), 0, 1), 3, if(ISBLANK('2025'!$Q335), 0, 1), 4, if(ISBLANK('2025'!$R335), 0, 1), 5, if(ISBLANK('2025'!$S335), 0, 1), 6, if(ISBLANK('2025'!$T335), 0, 1), 7, 0))), 1, "")</f>
        <v/>
      </c>
      <c r="T337" s="1" t="str">
        <f>IF(AND(AND(AND(T$4&gt;='2025'!$L335,T$4&lt;='2025'!$M335), T$4&lt;&gt;DATE(2025,7,4)), (SWITCH(weekday(T$4), 1, 0, 2, if(ISBLANK('2025'!$P335), 0, 1), 3, if(ISBLANK('2025'!$Q335), 0, 1), 4, if(ISBLANK('2025'!$R335), 0, 1), 5, if(ISBLANK('2025'!$S335), 0, 1), 6, if(ISBLANK('2025'!$T335), 0, 1), 7, 0))), 1, "")</f>
        <v/>
      </c>
      <c r="U337" s="1" t="str">
        <f>IF(AND(AND(AND(U$4&gt;='2025'!$L335,U$4&lt;='2025'!$M335), U$4&lt;&gt;DATE(2025,7,4)), (SWITCH(weekday(U$4), 1, 0, 2, if(ISBLANK('2025'!$P335), 0, 1), 3, if(ISBLANK('2025'!$Q335), 0, 1), 4, if(ISBLANK('2025'!$R335), 0, 1), 5, if(ISBLANK('2025'!$S335), 0, 1), 6, if(ISBLANK('2025'!$T335), 0, 1), 7, 0))), 1, "")</f>
        <v/>
      </c>
      <c r="V337" s="1" t="str">
        <f>IF(AND(AND(AND(V$4&gt;='2025'!$L335,V$4&lt;='2025'!$M335), V$4&lt;&gt;DATE(2025,7,4)), (SWITCH(weekday(V$4), 1, 0, 2, if(ISBLANK('2025'!$P335), 0, 1), 3, if(ISBLANK('2025'!$Q335), 0, 1), 4, if(ISBLANK('2025'!$R335), 0, 1), 5, if(ISBLANK('2025'!$S335), 0, 1), 6, if(ISBLANK('2025'!$T335), 0, 1), 7, 0))), 1, "")</f>
        <v/>
      </c>
      <c r="W337" s="1" t="str">
        <f>IF(AND(AND(AND(W$4&gt;='2025'!$L335,W$4&lt;='2025'!$M335), W$4&lt;&gt;DATE(2025,7,4)), (SWITCH(weekday(W$4), 1, 0, 2, if(ISBLANK('2025'!$P335), 0, 1), 3, if(ISBLANK('2025'!$Q335), 0, 1), 4, if(ISBLANK('2025'!$R335), 0, 1), 5, if(ISBLANK('2025'!$S335), 0, 1), 6, if(ISBLANK('2025'!$T335), 0, 1), 7, 0))), 1, "")</f>
        <v/>
      </c>
      <c r="X337" s="1" t="str">
        <f>IF(AND(AND(AND(X$4&gt;='2025'!$L335,X$4&lt;='2025'!$M335), X$4&lt;&gt;DATE(2025,7,4)), (SWITCH(weekday(X$4), 1, 0, 2, if(ISBLANK('2025'!$P335), 0, 1), 3, if(ISBLANK('2025'!$Q335), 0, 1), 4, if(ISBLANK('2025'!$R335), 0, 1), 5, if(ISBLANK('2025'!$S335), 0, 1), 6, if(ISBLANK('2025'!$T335), 0, 1), 7, 0))), 1, "")</f>
        <v/>
      </c>
      <c r="Y337" s="1" t="str">
        <f>IF(AND(AND(AND(Y$4&gt;='2025'!$L335,Y$4&lt;='2025'!$M335), Y$4&lt;&gt;DATE(2025,7,4)), (SWITCH(weekday(Y$4), 1, 0, 2, if(ISBLANK('2025'!$P335), 0, 1), 3, if(ISBLANK('2025'!$Q335), 0, 1), 4, if(ISBLANK('2025'!$R335), 0, 1), 5, if(ISBLANK('2025'!$S335), 0, 1), 6, if(ISBLANK('2025'!$T335), 0, 1), 7, 0))), 1, "")</f>
        <v/>
      </c>
      <c r="Z337" s="1" t="str">
        <f>IF(AND(AND(AND(Z$4&gt;='2025'!$L335,Z$4&lt;='2025'!$M335), Z$4&lt;&gt;DATE(2025,7,4)), (SWITCH(weekday(Z$4), 1, 0, 2, if(ISBLANK('2025'!$P335), 0, 1), 3, if(ISBLANK('2025'!$Q335), 0, 1), 4, if(ISBLANK('2025'!$R335), 0, 1), 5, if(ISBLANK('2025'!$S335), 0, 1), 6, if(ISBLANK('2025'!$T335), 0, 1), 7, 0))), 1, "")</f>
        <v/>
      </c>
      <c r="AA337" s="1" t="str">
        <f>IF(AND(AND(AND(AA$4&gt;='2025'!$L335,AA$4&lt;='2025'!$M335), AA$4&lt;&gt;DATE(2025,7,4)), (SWITCH(weekday(AA$4), 1, 0, 2, if(ISBLANK('2025'!$P335), 0, 1), 3, if(ISBLANK('2025'!$Q335), 0, 1), 4, if(ISBLANK('2025'!$R335), 0, 1), 5, if(ISBLANK('2025'!$S335), 0, 1), 6, if(ISBLANK('2025'!$T335), 0, 1), 7, 0))), 1, "")</f>
        <v/>
      </c>
      <c r="AB337" s="1" t="str">
        <f>IF(AND(AND(AND(AB$4&gt;='2025'!$L335,AB$4&lt;='2025'!$M335), AB$4&lt;&gt;DATE(2025,7,4)), (SWITCH(weekday(AB$4), 1, 0, 2, if(ISBLANK('2025'!$P335), 0, 1), 3, if(ISBLANK('2025'!$Q335), 0, 1), 4, if(ISBLANK('2025'!$R335), 0, 1), 5, if(ISBLANK('2025'!$S335), 0, 1), 6, if(ISBLANK('2025'!$T335), 0, 1), 7, 0))), 1, "")</f>
        <v/>
      </c>
      <c r="AC337" s="1" t="str">
        <f>IF(AND(AND(AND(AC$4&gt;='2025'!$L335,AC$4&lt;='2025'!$M335), AC$4&lt;&gt;DATE(2025,7,4)), (SWITCH(weekday(AC$4), 1, 0, 2, if(ISBLANK('2025'!$P335), 0, 1), 3, if(ISBLANK('2025'!$Q335), 0, 1), 4, if(ISBLANK('2025'!$R335), 0, 1), 5, if(ISBLANK('2025'!$S335), 0, 1), 6, if(ISBLANK('2025'!$T335), 0, 1), 7, 0))), 1, "")</f>
        <v/>
      </c>
      <c r="AD337" s="1" t="str">
        <f>IF(AND(AND(AND(AD$4&gt;='2025'!$L335,AD$4&lt;='2025'!$M335), AD$4&lt;&gt;DATE(2025,7,4)), (SWITCH(weekday(AD$4), 1, 0, 2, if(ISBLANK('2025'!$P335), 0, 1), 3, if(ISBLANK('2025'!$Q335), 0, 1), 4, if(ISBLANK('2025'!$R335), 0, 1), 5, if(ISBLANK('2025'!$S335), 0, 1), 6, if(ISBLANK('2025'!$T335), 0, 1), 7, 0))), 1, "")</f>
        <v/>
      </c>
      <c r="AE337" s="1" t="str">
        <f>IF(AND(AND(AND(AE$4&gt;='2025'!$L335,AE$4&lt;='2025'!$M335), AE$4&lt;&gt;DATE(2025,7,4)), (SWITCH(weekday(AE$4), 1, 0, 2, if(ISBLANK('2025'!$P335), 0, 1), 3, if(ISBLANK('2025'!$Q335), 0, 1), 4, if(ISBLANK('2025'!$R335), 0, 1), 5, if(ISBLANK('2025'!$S335), 0, 1), 6, if(ISBLANK('2025'!$T335), 0, 1), 7, 0))), 1, "")</f>
        <v/>
      </c>
      <c r="AF337" s="1" t="str">
        <f>IF(AND(AND(AND(AF$4&gt;='2025'!$L335,AF$4&lt;='2025'!$M335), AF$4&lt;&gt;DATE(2025,7,4)), (SWITCH(weekday(AF$4), 1, 0, 2, if(ISBLANK('2025'!$P335), 0, 1), 3, if(ISBLANK('2025'!$Q335), 0, 1), 4, if(ISBLANK('2025'!$R335), 0, 1), 5, if(ISBLANK('2025'!$S335), 0, 1), 6, if(ISBLANK('2025'!$T335), 0, 1), 7, 0))), 1, "")</f>
        <v/>
      </c>
      <c r="AG337" s="1" t="str">
        <f>IF(AND(AND(AND(AG$4&gt;='2025'!$L335,AG$4&lt;='2025'!$M335), AG$4&lt;&gt;DATE(2025,7,4)), (SWITCH(weekday(AG$4), 1, 0, 2, if(ISBLANK('2025'!$P335), 0, 1), 3, if(ISBLANK('2025'!$Q335), 0, 1), 4, if(ISBLANK('2025'!$R335), 0, 1), 5, if(ISBLANK('2025'!$S335), 0, 1), 6, if(ISBLANK('2025'!$T335), 0, 1), 7, 0))), 1, "")</f>
        <v/>
      </c>
      <c r="AH337" s="1" t="str">
        <f>IF(AND(AND(AND(AH$4&gt;='2025'!$L335,AH$4&lt;='2025'!$M335), AH$4&lt;&gt;DATE(2025,7,4)), (SWITCH(weekday(AH$4), 1, 0, 2, if(ISBLANK('2025'!$P335), 0, 1), 3, if(ISBLANK('2025'!$Q335), 0, 1), 4, if(ISBLANK('2025'!$R335), 0, 1), 5, if(ISBLANK('2025'!$S335), 0, 1), 6, if(ISBLANK('2025'!$T335), 0, 1), 7, 0))), 1, "")</f>
        <v/>
      </c>
      <c r="AI337" s="1" t="str">
        <f>IF(AND(AND(AND(AI$4&gt;='2025'!$L335,AI$4&lt;='2025'!$M335), AI$4&lt;&gt;DATE(2025,7,4)), (SWITCH(weekday(AI$4), 1, 0, 2, if(ISBLANK('2025'!$P335), 0, 1), 3, if(ISBLANK('2025'!$Q335), 0, 1), 4, if(ISBLANK('2025'!$R335), 0, 1), 5, if(ISBLANK('2025'!$S335), 0, 1), 6, if(ISBLANK('2025'!$T335), 0, 1), 7, 0))), 1, "")</f>
        <v/>
      </c>
      <c r="AJ337" s="1" t="str">
        <f>IF(AND(AND(AND(AJ$4&gt;='2025'!$L335,AJ$4&lt;='2025'!$M335), AJ$4&lt;&gt;DATE(2025,7,4)), (SWITCH(weekday(AJ$4), 1, 0, 2, if(ISBLANK('2025'!$P335), 0, 1), 3, if(ISBLANK('2025'!$Q335), 0, 1), 4, if(ISBLANK('2025'!$R335), 0, 1), 5, if(ISBLANK('2025'!$S335), 0, 1), 6, if(ISBLANK('2025'!$T335), 0, 1), 7, 0))), 1, "")</f>
        <v/>
      </c>
      <c r="AK337" s="1" t="str">
        <f>IF(AND(AND(AND(AK$4&gt;='2025'!$L335,AK$4&lt;='2025'!$M335), AK$4&lt;&gt;DATE(2025,7,4)), (SWITCH(weekday(AK$4), 1, 0, 2, if(ISBLANK('2025'!$P335), 0, 1), 3, if(ISBLANK('2025'!$Q335), 0, 1), 4, if(ISBLANK('2025'!$R335), 0, 1), 5, if(ISBLANK('2025'!$S335), 0, 1), 6, if(ISBLANK('2025'!$T335), 0, 1), 7, 0))), 1, "")</f>
        <v/>
      </c>
      <c r="AL337" s="1" t="str">
        <f>IF(AND(AND(AND(AL$4&gt;='2025'!$L335,AL$4&lt;='2025'!$M335), AL$4&lt;&gt;DATE(2025,7,4)), (SWITCH(weekday(AL$4), 1, 0, 2, if(ISBLANK('2025'!$P335), 0, 1), 3, if(ISBLANK('2025'!$Q335), 0, 1), 4, if(ISBLANK('2025'!$R335), 0, 1), 5, if(ISBLANK('2025'!$S335), 0, 1), 6, if(ISBLANK('2025'!$T335), 0, 1), 7, 0))), 1, "")</f>
        <v/>
      </c>
      <c r="AM337" s="1" t="str">
        <f>IF(AND(AND(AND(AM$4&gt;='2025'!$L335,AM$4&lt;='2025'!$M335), AM$4&lt;&gt;DATE(2025,7,4)), (SWITCH(weekday(AM$4), 1, 0, 2, if(ISBLANK('2025'!$P335), 0, 1), 3, if(ISBLANK('2025'!$Q335), 0, 1), 4, if(ISBLANK('2025'!$R335), 0, 1), 5, if(ISBLANK('2025'!$S335), 0, 1), 6, if(ISBLANK('2025'!$T335), 0, 1), 7, 0))), 1, "")</f>
        <v/>
      </c>
      <c r="AN337" s="1" t="str">
        <f>IF(AND(AND(AND(AN$4&gt;='2025'!$L335,AN$4&lt;='2025'!$M335), AN$4&lt;&gt;DATE(2025,7,4)), (SWITCH(weekday(AN$4), 1, 0, 2, if(ISBLANK('2025'!$P335), 0, 1), 3, if(ISBLANK('2025'!$Q335), 0, 1), 4, if(ISBLANK('2025'!$R335), 0, 1), 5, if(ISBLANK('2025'!$S335), 0, 1), 6, if(ISBLANK('2025'!$T335), 0, 1), 7, 0))), 1, "")</f>
        <v/>
      </c>
      <c r="AO337" s="1" t="str">
        <f>IF(AND(AND(AND(AO$4&gt;='2025'!$L335,AO$4&lt;='2025'!$M335), AO$4&lt;&gt;DATE(2025,7,4)), (SWITCH(weekday(AO$4), 1, 0, 2, if(ISBLANK('2025'!$P335), 0, 1), 3, if(ISBLANK('2025'!$Q335), 0, 1), 4, if(ISBLANK('2025'!$R335), 0, 1), 5, if(ISBLANK('2025'!$S335), 0, 1), 6, if(ISBLANK('2025'!$T335), 0, 1), 7, 0))), 1, "")</f>
        <v/>
      </c>
      <c r="AP337" s="1" t="str">
        <f>IF(AND(AND(AND(AP$4&gt;='2025'!$L335,AP$4&lt;='2025'!$M335), AP$4&lt;&gt;DATE(2025,7,4)), (SWITCH(weekday(AP$4), 1, 0, 2, if(ISBLANK('2025'!$P335), 0, 1), 3, if(ISBLANK('2025'!$Q335), 0, 1), 4, if(ISBLANK('2025'!$R335), 0, 1), 5, if(ISBLANK('2025'!$S335), 0, 1), 6, if(ISBLANK('2025'!$T335), 0, 1), 7, 0))), 1, "")</f>
        <v/>
      </c>
      <c r="AQ337" s="1" t="str">
        <f>IF(AND(AND(AND(AQ$4&gt;='2025'!$L335,AQ$4&lt;='2025'!$M335), AQ$4&lt;&gt;DATE(2025,7,4)), (SWITCH(weekday(AQ$4), 1, 0, 2, if(ISBLANK('2025'!$P335), 0, 1), 3, if(ISBLANK('2025'!$Q335), 0, 1), 4, if(ISBLANK('2025'!$R335), 0, 1), 5, if(ISBLANK('2025'!$S335), 0, 1), 6, if(ISBLANK('2025'!$T335), 0, 1), 7, 0))), 1, "")</f>
        <v/>
      </c>
      <c r="AR337" s="1" t="str">
        <f>IF(AND(AND(AND(AR$4&gt;='2025'!$L335,AR$4&lt;='2025'!$M335), AR$4&lt;&gt;DATE(2025,7,4)), (SWITCH(weekday(AR$4), 1, 0, 2, if(ISBLANK('2025'!$P335), 0, 1), 3, if(ISBLANK('2025'!$Q335), 0, 1), 4, if(ISBLANK('2025'!$R335), 0, 1), 5, if(ISBLANK('2025'!$S335), 0, 1), 6, if(ISBLANK('2025'!$T335), 0, 1), 7, 0))), 1, "")</f>
        <v/>
      </c>
      <c r="AS337" s="1" t="str">
        <f>IF(AND(AND(AND(AS$4&gt;='2025'!$L335,AS$4&lt;='2025'!$M335), AS$4&lt;&gt;DATE(2025,7,4)), (SWITCH(weekday(AS$4), 1, 0, 2, if(ISBLANK('2025'!$P335), 0, 1), 3, if(ISBLANK('2025'!$Q335), 0, 1), 4, if(ISBLANK('2025'!$R335), 0, 1), 5, if(ISBLANK('2025'!$S335), 0, 1), 6, if(ISBLANK('2025'!$T335), 0, 1), 7, 0))), 1, "")</f>
        <v/>
      </c>
      <c r="AT337" s="1" t="str">
        <f>IF(AND(AND(AND(AT$4&gt;='2025'!$L335,AT$4&lt;='2025'!$M335), AT$4&lt;&gt;DATE(2025,7,4)), (SWITCH(weekday(AT$4), 1, 0, 2, if(ISBLANK('2025'!$P335), 0, 1), 3, if(ISBLANK('2025'!$Q335), 0, 1), 4, if(ISBLANK('2025'!$R335), 0, 1), 5, if(ISBLANK('2025'!$S335), 0, 1), 6, if(ISBLANK('2025'!$T335), 0, 1), 7, 0))), 1, "")</f>
        <v/>
      </c>
      <c r="AU337" s="1" t="str">
        <f>IF(AND(AND(AND(AU$4&gt;='2025'!$L335,AU$4&lt;='2025'!$M335), AU$4&lt;&gt;DATE(2025,7,4)), (SWITCH(weekday(AU$4), 1, 0, 2, if(ISBLANK('2025'!$P335), 0, 1), 3, if(ISBLANK('2025'!$Q335), 0, 1), 4, if(ISBLANK('2025'!$R335), 0, 1), 5, if(ISBLANK('2025'!$S335), 0, 1), 6, if(ISBLANK('2025'!$T335), 0, 1), 7, 0))), 1, "")</f>
        <v/>
      </c>
      <c r="AV337" s="1" t="str">
        <f>IF(AND(AND(AND(AV$4&gt;='2025'!$L335,AV$4&lt;='2025'!$M335), AV$4&lt;&gt;DATE(2025,7,4)), (SWITCH(weekday(AV$4), 1, 0, 2, if(ISBLANK('2025'!$P335), 0, 1), 3, if(ISBLANK('2025'!$Q335), 0, 1), 4, if(ISBLANK('2025'!$R335), 0, 1), 5, if(ISBLANK('2025'!$S335), 0, 1), 6, if(ISBLANK('2025'!$T335), 0, 1), 7, 0))), 1, "")</f>
        <v/>
      </c>
      <c r="AW337" s="1" t="str">
        <f>IF(AND(AND(AND(AW$4&gt;='2025'!$L335,AW$4&lt;='2025'!$M335), AW$4&lt;&gt;DATE(2025,7,4)), (SWITCH(weekday(AW$4), 1, 0, 2, if(ISBLANK('2025'!$P335), 0, 1), 3, if(ISBLANK('2025'!$Q335), 0, 1), 4, if(ISBLANK('2025'!$R335), 0, 1), 5, if(ISBLANK('2025'!$S335), 0, 1), 6, if(ISBLANK('2025'!$T335), 0, 1), 7, 0))), 1, "")</f>
        <v/>
      </c>
      <c r="AX337" s="1" t="str">
        <f>IF(AND(AND(AND(AX$4&gt;='2025'!$L335,AX$4&lt;='2025'!$M335), AX$4&lt;&gt;DATE(2025,7,4)), (SWITCH(weekday(AX$4), 1, 0, 2, if(ISBLANK('2025'!$P335), 0, 1), 3, if(ISBLANK('2025'!$Q335), 0, 1), 4, if(ISBLANK('2025'!$R335), 0, 1), 5, if(ISBLANK('2025'!$S335), 0, 1), 6, if(ISBLANK('2025'!$T335), 0, 1), 7, 0))), 1, "")</f>
        <v/>
      </c>
      <c r="AY337" s="1" t="str">
        <f>IF(AND(AND(AND(AY$4&gt;='2025'!$L335,AY$4&lt;='2025'!$M335), AY$4&lt;&gt;DATE(2025,7,4)), (SWITCH(weekday(AY$4), 1, 0, 2, if(ISBLANK('2025'!$P335), 0, 1), 3, if(ISBLANK('2025'!$Q335), 0, 1), 4, if(ISBLANK('2025'!$R335), 0, 1), 5, if(ISBLANK('2025'!$S335), 0, 1), 6, if(ISBLANK('2025'!$T335), 0, 1), 7, 0))), 1, "")</f>
        <v/>
      </c>
      <c r="AZ337" s="1" t="str">
        <f>IF(AND(AND(AND(AZ$4&gt;='2025'!$L335,AZ$4&lt;='2025'!$M335), AZ$4&lt;&gt;DATE(2025,7,4)), (SWITCH(weekday(AZ$4), 1, 0, 2, if(ISBLANK('2025'!$P335), 0, 1), 3, if(ISBLANK('2025'!$Q335), 0, 1), 4, if(ISBLANK('2025'!$R335), 0, 1), 5, if(ISBLANK('2025'!$S335), 0, 1), 6, if(ISBLANK('2025'!$T335), 0, 1), 7, 0))), 1, "")</f>
        <v/>
      </c>
      <c r="BA337" s="1" t="str">
        <f>IF(AND(AND(AND(BA$4&gt;='2025'!$L335,BA$4&lt;='2025'!$M335), BA$4&lt;&gt;DATE(2025,7,4)), (SWITCH(weekday(BA$4), 1, 0, 2, if(ISBLANK('2025'!$P335), 0, 1), 3, if(ISBLANK('2025'!$Q335), 0, 1), 4, if(ISBLANK('2025'!$R335), 0, 1), 5, if(ISBLANK('2025'!$S335), 0, 1), 6, if(ISBLANK('2025'!$T335), 0, 1), 7, 0))), 1, "")</f>
        <v/>
      </c>
      <c r="BB337" s="1" t="str">
        <f>IF(AND(AND(AND(BB$4&gt;='2025'!$L335,BB$4&lt;='2025'!$M335), BB$4&lt;&gt;DATE(2025,7,4)), (SWITCH(weekday(BB$4), 1, 0, 2, if(ISBLANK('2025'!$P335), 0, 1), 3, if(ISBLANK('2025'!$Q335), 0, 1), 4, if(ISBLANK('2025'!$R335), 0, 1), 5, if(ISBLANK('2025'!$S335), 0, 1), 6, if(ISBLANK('2025'!$T335), 0, 1), 7, 0))), 1, "")</f>
        <v/>
      </c>
      <c r="BC337" s="1" t="str">
        <f>IF(AND(AND(AND(BC$4&gt;='2025'!$L335,BC$4&lt;='2025'!$M335), BC$4&lt;&gt;DATE(2025,7,4)), (SWITCH(weekday(BC$4), 1, 0, 2, if(ISBLANK('2025'!$P335), 0, 1), 3, if(ISBLANK('2025'!$Q335), 0, 1), 4, if(ISBLANK('2025'!$R335), 0, 1), 5, if(ISBLANK('2025'!$S335), 0, 1), 6, if(ISBLANK('2025'!$T335), 0, 1), 7, 0))), 1, "")</f>
        <v/>
      </c>
      <c r="BD337" s="1" t="str">
        <f>IF(AND(AND(AND(BD$4&gt;='2025'!$L335,BD$4&lt;='2025'!$M335), BD$4&lt;&gt;DATE(2025,7,4)), (SWITCH(weekday(BD$4), 1, 0, 2, if(ISBLANK('2025'!$P335), 0, 1), 3, if(ISBLANK('2025'!$Q335), 0, 1), 4, if(ISBLANK('2025'!$R335), 0, 1), 5, if(ISBLANK('2025'!$S335), 0, 1), 6, if(ISBLANK('2025'!$T335), 0, 1), 7, 0))), 1, "")</f>
        <v/>
      </c>
      <c r="BE337" s="1" t="str">
        <f>IF(AND(AND(AND(BE$4&gt;='2025'!$L335,BE$4&lt;='2025'!$M335), BE$4&lt;&gt;DATE(2025,7,4)), (SWITCH(weekday(BE$4), 1, 0, 2, if(ISBLANK('2025'!$P335), 0, 1), 3, if(ISBLANK('2025'!$Q335), 0, 1), 4, if(ISBLANK('2025'!$R335), 0, 1), 5, if(ISBLANK('2025'!$S335), 0, 1), 6, if(ISBLANK('2025'!$T335), 0, 1), 7, 0))), 1, "")</f>
        <v/>
      </c>
      <c r="BF337" s="1" t="str">
        <f>IF(AND(AND(AND(BF$4&gt;='2025'!$L335,BF$4&lt;='2025'!$M335), BF$4&lt;&gt;DATE(2025,7,4)), (SWITCH(weekday(BF$4), 1, 0, 2, if(ISBLANK('2025'!$P335), 0, 1), 3, if(ISBLANK('2025'!$Q335), 0, 1), 4, if(ISBLANK('2025'!$R335), 0, 1), 5, if(ISBLANK('2025'!$S335), 0, 1), 6, if(ISBLANK('2025'!$T335), 0, 1), 7, 0))), 1, "")</f>
        <v/>
      </c>
      <c r="BG337" s="1"/>
      <c r="BH337" s="1"/>
      <c r="BI337" s="1"/>
      <c r="BJ337" s="1"/>
      <c r="BK337" s="1"/>
      <c r="BL337" s="1"/>
    </row>
    <row r="338">
      <c r="A338" s="1">
        <f t="shared" si="3"/>
        <v>338</v>
      </c>
      <c r="B338" s="1" t="str">
        <f>'2025'!D302</f>
        <v>, </v>
      </c>
      <c r="C338" s="1" t="str">
        <f>'2025'!H302</f>
        <v/>
      </c>
      <c r="D338" s="1" t="str">
        <f>IF(AND(AND(AND(D$4&gt;='2025'!$L336,D$4&lt;='2025'!$M336), D$4&lt;&gt;DATE(2025,7,4)), (SWITCH(weekday(D$4), 1, 0, 2, if(ISBLANK('2025'!$P336), 0, 1), 3, if(ISBLANK('2025'!$Q336), 0, 1), 4, if(ISBLANK('2025'!$R336), 0, 1), 5, if(ISBLANK('2025'!$S336), 0, 1), 6, if(ISBLANK('2025'!$T336), 0, 1), 7, 0))), 1, "")</f>
        <v/>
      </c>
      <c r="E338" s="1" t="str">
        <f>IF(AND(AND(AND(E$4&gt;='2025'!$L336,E$4&lt;='2025'!$M336), E$4&lt;&gt;DATE(2025,7,4)), (SWITCH(weekday(E$4), 1, 0, 2, if(ISBLANK('2025'!$P336), 0, 1), 3, if(ISBLANK('2025'!$Q336), 0, 1), 4, if(ISBLANK('2025'!$R336), 0, 1), 5, if(ISBLANK('2025'!$S336), 0, 1), 6, if(ISBLANK('2025'!$T336), 0, 1), 7, 0))), 1, "")</f>
        <v/>
      </c>
      <c r="F338" s="1" t="str">
        <f>IF(AND(AND(AND(F$4&gt;='2025'!$L336,F$4&lt;='2025'!$M336), F$4&lt;&gt;DATE(2025,7,4)), (SWITCH(weekday(F$4), 1, 0, 2, if(ISBLANK('2025'!$P336), 0, 1), 3, if(ISBLANK('2025'!$Q336), 0, 1), 4, if(ISBLANK('2025'!$R336), 0, 1), 5, if(ISBLANK('2025'!$S336), 0, 1), 6, if(ISBLANK('2025'!$T336), 0, 1), 7, 0))), 1, "")</f>
        <v/>
      </c>
      <c r="G338" s="1" t="str">
        <f>IF(AND(AND(AND(G$4&gt;='2025'!$L336,G$4&lt;='2025'!$M336), G$4&lt;&gt;DATE(2025,7,4)), (SWITCH(weekday(G$4), 1, 0, 2, if(ISBLANK('2025'!$P336), 0, 1), 3, if(ISBLANK('2025'!$Q336), 0, 1), 4, if(ISBLANK('2025'!$R336), 0, 1), 5, if(ISBLANK('2025'!$S336), 0, 1), 6, if(ISBLANK('2025'!$T336), 0, 1), 7, 0))), 1, "")</f>
        <v/>
      </c>
      <c r="H338" s="1" t="str">
        <f>IF(AND(AND(AND(H$4&gt;='2025'!$L336,H$4&lt;='2025'!$M336), H$4&lt;&gt;DATE(2025,7,4)), (SWITCH(weekday(H$4), 1, 0, 2, if(ISBLANK('2025'!$P336), 0, 1), 3, if(ISBLANK('2025'!$Q336), 0, 1), 4, if(ISBLANK('2025'!$R336), 0, 1), 5, if(ISBLANK('2025'!$S336), 0, 1), 6, if(ISBLANK('2025'!$T336), 0, 1), 7, 0))), 1, "")</f>
        <v/>
      </c>
      <c r="I338" s="1" t="str">
        <f>IF(AND(AND(AND(I$4&gt;='2025'!$L336,I$4&lt;='2025'!$M336), I$4&lt;&gt;DATE(2025,7,4)), (SWITCH(weekday(I$4), 1, 0, 2, if(ISBLANK('2025'!$P336), 0, 1), 3, if(ISBLANK('2025'!$Q336), 0, 1), 4, if(ISBLANK('2025'!$R336), 0, 1), 5, if(ISBLANK('2025'!$S336), 0, 1), 6, if(ISBLANK('2025'!$T336), 0, 1), 7, 0))), 1, "")</f>
        <v/>
      </c>
      <c r="J338" s="1" t="str">
        <f>IF(AND(AND(AND(J$4&gt;='2025'!$L336,J$4&lt;='2025'!$M336), J$4&lt;&gt;DATE(2025,7,4)), (SWITCH(weekday(J$4), 1, 0, 2, if(ISBLANK('2025'!$P336), 0, 1), 3, if(ISBLANK('2025'!$Q336), 0, 1), 4, if(ISBLANK('2025'!$R336), 0, 1), 5, if(ISBLANK('2025'!$S336), 0, 1), 6, if(ISBLANK('2025'!$T336), 0, 1), 7, 0))), 1, "")</f>
        <v/>
      </c>
      <c r="K338" s="1" t="str">
        <f>IF(AND(AND(AND(K$4&gt;='2025'!$L336,K$4&lt;='2025'!$M336), K$4&lt;&gt;DATE(2025,7,4)), (SWITCH(weekday(K$4), 1, 0, 2, if(ISBLANK('2025'!$P336), 0, 1), 3, if(ISBLANK('2025'!$Q336), 0, 1), 4, if(ISBLANK('2025'!$R336), 0, 1), 5, if(ISBLANK('2025'!$S336), 0, 1), 6, if(ISBLANK('2025'!$T336), 0, 1), 7, 0))), 1, "")</f>
        <v/>
      </c>
      <c r="L338" s="1" t="str">
        <f>IF(AND(AND(AND(L$4&gt;='2025'!$L336,L$4&lt;='2025'!$M336), L$4&lt;&gt;DATE(2025,7,4)), (SWITCH(weekday(L$4), 1, 0, 2, if(ISBLANK('2025'!$P336), 0, 1), 3, if(ISBLANK('2025'!$Q336), 0, 1), 4, if(ISBLANK('2025'!$R336), 0, 1), 5, if(ISBLANK('2025'!$S336), 0, 1), 6, if(ISBLANK('2025'!$T336), 0, 1), 7, 0))), 1, "")</f>
        <v/>
      </c>
      <c r="M338" s="1" t="str">
        <f>IF(AND(AND(AND(M$4&gt;='2025'!$L336,M$4&lt;='2025'!$M336), M$4&lt;&gt;DATE(2025,7,4)), (SWITCH(weekday(M$4), 1, 0, 2, if(ISBLANK('2025'!$P336), 0, 1), 3, if(ISBLANK('2025'!$Q336), 0, 1), 4, if(ISBLANK('2025'!$R336), 0, 1), 5, if(ISBLANK('2025'!$S336), 0, 1), 6, if(ISBLANK('2025'!$T336), 0, 1), 7, 0))), 1, "")</f>
        <v/>
      </c>
      <c r="N338" s="1" t="str">
        <f>IF(AND(AND(AND(N$4&gt;='2025'!$L336,N$4&lt;='2025'!$M336), N$4&lt;&gt;DATE(2025,7,4)), (SWITCH(weekday(N$4), 1, 0, 2, if(ISBLANK('2025'!$P336), 0, 1), 3, if(ISBLANK('2025'!$Q336), 0, 1), 4, if(ISBLANK('2025'!$R336), 0, 1), 5, if(ISBLANK('2025'!$S336), 0, 1), 6, if(ISBLANK('2025'!$T336), 0, 1), 7, 0))), 1, "")</f>
        <v/>
      </c>
      <c r="O338" s="1" t="str">
        <f>IF(AND(AND(AND(O$4&gt;='2025'!$L336,O$4&lt;='2025'!$M336), O$4&lt;&gt;DATE(2025,7,4)), (SWITCH(weekday(O$4), 1, 0, 2, if(ISBLANK('2025'!$P336), 0, 1), 3, if(ISBLANK('2025'!$Q336), 0, 1), 4, if(ISBLANK('2025'!$R336), 0, 1), 5, if(ISBLANK('2025'!$S336), 0, 1), 6, if(ISBLANK('2025'!$T336), 0, 1), 7, 0))), 1, "")</f>
        <v/>
      </c>
      <c r="P338" s="1" t="str">
        <f>IF(AND(AND(AND(P$4&gt;='2025'!$L336,P$4&lt;='2025'!$M336), P$4&lt;&gt;DATE(2025,7,4)), (SWITCH(weekday(P$4), 1, 0, 2, if(ISBLANK('2025'!$P336), 0, 1), 3, if(ISBLANK('2025'!$Q336), 0, 1), 4, if(ISBLANK('2025'!$R336), 0, 1), 5, if(ISBLANK('2025'!$S336), 0, 1), 6, if(ISBLANK('2025'!$T336), 0, 1), 7, 0))), 1, "")</f>
        <v/>
      </c>
      <c r="Q338" s="1" t="str">
        <f>IF(AND(AND(AND(Q$4&gt;='2025'!$L336,Q$4&lt;='2025'!$M336), Q$4&lt;&gt;DATE(2025,7,4)), (SWITCH(weekday(Q$4), 1, 0, 2, if(ISBLANK('2025'!$P336), 0, 1), 3, if(ISBLANK('2025'!$Q336), 0, 1), 4, if(ISBLANK('2025'!$R336), 0, 1), 5, if(ISBLANK('2025'!$S336), 0, 1), 6, if(ISBLANK('2025'!$T336), 0, 1), 7, 0))), 1, "")</f>
        <v/>
      </c>
      <c r="R338" s="1" t="str">
        <f>IF(AND(AND(AND(R$4&gt;='2025'!$L336,R$4&lt;='2025'!$M336), R$4&lt;&gt;DATE(2025,7,4)), (SWITCH(weekday(R$4), 1, 0, 2, if(ISBLANK('2025'!$P336), 0, 1), 3, if(ISBLANK('2025'!$Q336), 0, 1), 4, if(ISBLANK('2025'!$R336), 0, 1), 5, if(ISBLANK('2025'!$S336), 0, 1), 6, if(ISBLANK('2025'!$T336), 0, 1), 7, 0))), 1, "")</f>
        <v/>
      </c>
      <c r="S338" s="1" t="str">
        <f>IF(AND(AND(AND(S$4&gt;='2025'!$L336,S$4&lt;='2025'!$M336), S$4&lt;&gt;DATE(2025,7,4)), (SWITCH(weekday(S$4), 1, 0, 2, if(ISBLANK('2025'!$P336), 0, 1), 3, if(ISBLANK('2025'!$Q336), 0, 1), 4, if(ISBLANK('2025'!$R336), 0, 1), 5, if(ISBLANK('2025'!$S336), 0, 1), 6, if(ISBLANK('2025'!$T336), 0, 1), 7, 0))), 1, "")</f>
        <v/>
      </c>
      <c r="T338" s="1" t="str">
        <f>IF(AND(AND(AND(T$4&gt;='2025'!$L336,T$4&lt;='2025'!$M336), T$4&lt;&gt;DATE(2025,7,4)), (SWITCH(weekday(T$4), 1, 0, 2, if(ISBLANK('2025'!$P336), 0, 1), 3, if(ISBLANK('2025'!$Q336), 0, 1), 4, if(ISBLANK('2025'!$R336), 0, 1), 5, if(ISBLANK('2025'!$S336), 0, 1), 6, if(ISBLANK('2025'!$T336), 0, 1), 7, 0))), 1, "")</f>
        <v/>
      </c>
      <c r="U338" s="1" t="str">
        <f>IF(AND(AND(AND(U$4&gt;='2025'!$L336,U$4&lt;='2025'!$M336), U$4&lt;&gt;DATE(2025,7,4)), (SWITCH(weekday(U$4), 1, 0, 2, if(ISBLANK('2025'!$P336), 0, 1), 3, if(ISBLANK('2025'!$Q336), 0, 1), 4, if(ISBLANK('2025'!$R336), 0, 1), 5, if(ISBLANK('2025'!$S336), 0, 1), 6, if(ISBLANK('2025'!$T336), 0, 1), 7, 0))), 1, "")</f>
        <v/>
      </c>
      <c r="V338" s="1" t="str">
        <f>IF(AND(AND(AND(V$4&gt;='2025'!$L336,V$4&lt;='2025'!$M336), V$4&lt;&gt;DATE(2025,7,4)), (SWITCH(weekday(V$4), 1, 0, 2, if(ISBLANK('2025'!$P336), 0, 1), 3, if(ISBLANK('2025'!$Q336), 0, 1), 4, if(ISBLANK('2025'!$R336), 0, 1), 5, if(ISBLANK('2025'!$S336), 0, 1), 6, if(ISBLANK('2025'!$T336), 0, 1), 7, 0))), 1, "")</f>
        <v/>
      </c>
      <c r="W338" s="1" t="str">
        <f>IF(AND(AND(AND(W$4&gt;='2025'!$L336,W$4&lt;='2025'!$M336), W$4&lt;&gt;DATE(2025,7,4)), (SWITCH(weekday(W$4), 1, 0, 2, if(ISBLANK('2025'!$P336), 0, 1), 3, if(ISBLANK('2025'!$Q336), 0, 1), 4, if(ISBLANK('2025'!$R336), 0, 1), 5, if(ISBLANK('2025'!$S336), 0, 1), 6, if(ISBLANK('2025'!$T336), 0, 1), 7, 0))), 1, "")</f>
        <v/>
      </c>
      <c r="X338" s="1" t="str">
        <f>IF(AND(AND(AND(X$4&gt;='2025'!$L336,X$4&lt;='2025'!$M336), X$4&lt;&gt;DATE(2025,7,4)), (SWITCH(weekday(X$4), 1, 0, 2, if(ISBLANK('2025'!$P336), 0, 1), 3, if(ISBLANK('2025'!$Q336), 0, 1), 4, if(ISBLANK('2025'!$R336), 0, 1), 5, if(ISBLANK('2025'!$S336), 0, 1), 6, if(ISBLANK('2025'!$T336), 0, 1), 7, 0))), 1, "")</f>
        <v/>
      </c>
      <c r="Y338" s="1" t="str">
        <f>IF(AND(AND(AND(Y$4&gt;='2025'!$L336,Y$4&lt;='2025'!$M336), Y$4&lt;&gt;DATE(2025,7,4)), (SWITCH(weekday(Y$4), 1, 0, 2, if(ISBLANK('2025'!$P336), 0, 1), 3, if(ISBLANK('2025'!$Q336), 0, 1), 4, if(ISBLANK('2025'!$R336), 0, 1), 5, if(ISBLANK('2025'!$S336), 0, 1), 6, if(ISBLANK('2025'!$T336), 0, 1), 7, 0))), 1, "")</f>
        <v/>
      </c>
      <c r="Z338" s="1" t="str">
        <f>IF(AND(AND(AND(Z$4&gt;='2025'!$L336,Z$4&lt;='2025'!$M336), Z$4&lt;&gt;DATE(2025,7,4)), (SWITCH(weekday(Z$4), 1, 0, 2, if(ISBLANK('2025'!$P336), 0, 1), 3, if(ISBLANK('2025'!$Q336), 0, 1), 4, if(ISBLANK('2025'!$R336), 0, 1), 5, if(ISBLANK('2025'!$S336), 0, 1), 6, if(ISBLANK('2025'!$T336), 0, 1), 7, 0))), 1, "")</f>
        <v/>
      </c>
      <c r="AA338" s="1" t="str">
        <f>IF(AND(AND(AND(AA$4&gt;='2025'!$L336,AA$4&lt;='2025'!$M336), AA$4&lt;&gt;DATE(2025,7,4)), (SWITCH(weekday(AA$4), 1, 0, 2, if(ISBLANK('2025'!$P336), 0, 1), 3, if(ISBLANK('2025'!$Q336), 0, 1), 4, if(ISBLANK('2025'!$R336), 0, 1), 5, if(ISBLANK('2025'!$S336), 0, 1), 6, if(ISBLANK('2025'!$T336), 0, 1), 7, 0))), 1, "")</f>
        <v/>
      </c>
      <c r="AB338" s="1" t="str">
        <f>IF(AND(AND(AND(AB$4&gt;='2025'!$L336,AB$4&lt;='2025'!$M336), AB$4&lt;&gt;DATE(2025,7,4)), (SWITCH(weekday(AB$4), 1, 0, 2, if(ISBLANK('2025'!$P336), 0, 1), 3, if(ISBLANK('2025'!$Q336), 0, 1), 4, if(ISBLANK('2025'!$R336), 0, 1), 5, if(ISBLANK('2025'!$S336), 0, 1), 6, if(ISBLANK('2025'!$T336), 0, 1), 7, 0))), 1, "")</f>
        <v/>
      </c>
      <c r="AC338" s="1" t="str">
        <f>IF(AND(AND(AND(AC$4&gt;='2025'!$L336,AC$4&lt;='2025'!$M336), AC$4&lt;&gt;DATE(2025,7,4)), (SWITCH(weekday(AC$4), 1, 0, 2, if(ISBLANK('2025'!$P336), 0, 1), 3, if(ISBLANK('2025'!$Q336), 0, 1), 4, if(ISBLANK('2025'!$R336), 0, 1), 5, if(ISBLANK('2025'!$S336), 0, 1), 6, if(ISBLANK('2025'!$T336), 0, 1), 7, 0))), 1, "")</f>
        <v/>
      </c>
      <c r="AD338" s="1" t="str">
        <f>IF(AND(AND(AND(AD$4&gt;='2025'!$L336,AD$4&lt;='2025'!$M336), AD$4&lt;&gt;DATE(2025,7,4)), (SWITCH(weekday(AD$4), 1, 0, 2, if(ISBLANK('2025'!$P336), 0, 1), 3, if(ISBLANK('2025'!$Q336), 0, 1), 4, if(ISBLANK('2025'!$R336), 0, 1), 5, if(ISBLANK('2025'!$S336), 0, 1), 6, if(ISBLANK('2025'!$T336), 0, 1), 7, 0))), 1, "")</f>
        <v/>
      </c>
      <c r="AE338" s="1" t="str">
        <f>IF(AND(AND(AND(AE$4&gt;='2025'!$L336,AE$4&lt;='2025'!$M336), AE$4&lt;&gt;DATE(2025,7,4)), (SWITCH(weekday(AE$4), 1, 0, 2, if(ISBLANK('2025'!$P336), 0, 1), 3, if(ISBLANK('2025'!$Q336), 0, 1), 4, if(ISBLANK('2025'!$R336), 0, 1), 5, if(ISBLANK('2025'!$S336), 0, 1), 6, if(ISBLANK('2025'!$T336), 0, 1), 7, 0))), 1, "")</f>
        <v/>
      </c>
      <c r="AF338" s="1" t="str">
        <f>IF(AND(AND(AND(AF$4&gt;='2025'!$L336,AF$4&lt;='2025'!$M336), AF$4&lt;&gt;DATE(2025,7,4)), (SWITCH(weekday(AF$4), 1, 0, 2, if(ISBLANK('2025'!$P336), 0, 1), 3, if(ISBLANK('2025'!$Q336), 0, 1), 4, if(ISBLANK('2025'!$R336), 0, 1), 5, if(ISBLANK('2025'!$S336), 0, 1), 6, if(ISBLANK('2025'!$T336), 0, 1), 7, 0))), 1, "")</f>
        <v/>
      </c>
      <c r="AG338" s="1" t="str">
        <f>IF(AND(AND(AND(AG$4&gt;='2025'!$L336,AG$4&lt;='2025'!$M336), AG$4&lt;&gt;DATE(2025,7,4)), (SWITCH(weekday(AG$4), 1, 0, 2, if(ISBLANK('2025'!$P336), 0, 1), 3, if(ISBLANK('2025'!$Q336), 0, 1), 4, if(ISBLANK('2025'!$R336), 0, 1), 5, if(ISBLANK('2025'!$S336), 0, 1), 6, if(ISBLANK('2025'!$T336), 0, 1), 7, 0))), 1, "")</f>
        <v/>
      </c>
      <c r="AH338" s="1" t="str">
        <f>IF(AND(AND(AND(AH$4&gt;='2025'!$L336,AH$4&lt;='2025'!$M336), AH$4&lt;&gt;DATE(2025,7,4)), (SWITCH(weekday(AH$4), 1, 0, 2, if(ISBLANK('2025'!$P336), 0, 1), 3, if(ISBLANK('2025'!$Q336), 0, 1), 4, if(ISBLANK('2025'!$R336), 0, 1), 5, if(ISBLANK('2025'!$S336), 0, 1), 6, if(ISBLANK('2025'!$T336), 0, 1), 7, 0))), 1, "")</f>
        <v/>
      </c>
      <c r="AI338" s="1" t="str">
        <f>IF(AND(AND(AND(AI$4&gt;='2025'!$L336,AI$4&lt;='2025'!$M336), AI$4&lt;&gt;DATE(2025,7,4)), (SWITCH(weekday(AI$4), 1, 0, 2, if(ISBLANK('2025'!$P336), 0, 1), 3, if(ISBLANK('2025'!$Q336), 0, 1), 4, if(ISBLANK('2025'!$R336), 0, 1), 5, if(ISBLANK('2025'!$S336), 0, 1), 6, if(ISBLANK('2025'!$T336), 0, 1), 7, 0))), 1, "")</f>
        <v/>
      </c>
      <c r="AJ338" s="1" t="str">
        <f>IF(AND(AND(AND(AJ$4&gt;='2025'!$L336,AJ$4&lt;='2025'!$M336), AJ$4&lt;&gt;DATE(2025,7,4)), (SWITCH(weekday(AJ$4), 1, 0, 2, if(ISBLANK('2025'!$P336), 0, 1), 3, if(ISBLANK('2025'!$Q336), 0, 1), 4, if(ISBLANK('2025'!$R336), 0, 1), 5, if(ISBLANK('2025'!$S336), 0, 1), 6, if(ISBLANK('2025'!$T336), 0, 1), 7, 0))), 1, "")</f>
        <v/>
      </c>
      <c r="AK338" s="1" t="str">
        <f>IF(AND(AND(AND(AK$4&gt;='2025'!$L336,AK$4&lt;='2025'!$M336), AK$4&lt;&gt;DATE(2025,7,4)), (SWITCH(weekday(AK$4), 1, 0, 2, if(ISBLANK('2025'!$P336), 0, 1), 3, if(ISBLANK('2025'!$Q336), 0, 1), 4, if(ISBLANK('2025'!$R336), 0, 1), 5, if(ISBLANK('2025'!$S336), 0, 1), 6, if(ISBLANK('2025'!$T336), 0, 1), 7, 0))), 1, "")</f>
        <v/>
      </c>
      <c r="AL338" s="1" t="str">
        <f>IF(AND(AND(AND(AL$4&gt;='2025'!$L336,AL$4&lt;='2025'!$M336), AL$4&lt;&gt;DATE(2025,7,4)), (SWITCH(weekday(AL$4), 1, 0, 2, if(ISBLANK('2025'!$P336), 0, 1), 3, if(ISBLANK('2025'!$Q336), 0, 1), 4, if(ISBLANK('2025'!$R336), 0, 1), 5, if(ISBLANK('2025'!$S336), 0, 1), 6, if(ISBLANK('2025'!$T336), 0, 1), 7, 0))), 1, "")</f>
        <v/>
      </c>
      <c r="AM338" s="1" t="str">
        <f>IF(AND(AND(AND(AM$4&gt;='2025'!$L336,AM$4&lt;='2025'!$M336), AM$4&lt;&gt;DATE(2025,7,4)), (SWITCH(weekday(AM$4), 1, 0, 2, if(ISBLANK('2025'!$P336), 0, 1), 3, if(ISBLANK('2025'!$Q336), 0, 1), 4, if(ISBLANK('2025'!$R336), 0, 1), 5, if(ISBLANK('2025'!$S336), 0, 1), 6, if(ISBLANK('2025'!$T336), 0, 1), 7, 0))), 1, "")</f>
        <v/>
      </c>
      <c r="AN338" s="1" t="str">
        <f>IF(AND(AND(AND(AN$4&gt;='2025'!$L336,AN$4&lt;='2025'!$M336), AN$4&lt;&gt;DATE(2025,7,4)), (SWITCH(weekday(AN$4), 1, 0, 2, if(ISBLANK('2025'!$P336), 0, 1), 3, if(ISBLANK('2025'!$Q336), 0, 1), 4, if(ISBLANK('2025'!$R336), 0, 1), 5, if(ISBLANK('2025'!$S336), 0, 1), 6, if(ISBLANK('2025'!$T336), 0, 1), 7, 0))), 1, "")</f>
        <v/>
      </c>
      <c r="AO338" s="1" t="str">
        <f>IF(AND(AND(AND(AO$4&gt;='2025'!$L336,AO$4&lt;='2025'!$M336), AO$4&lt;&gt;DATE(2025,7,4)), (SWITCH(weekday(AO$4), 1, 0, 2, if(ISBLANK('2025'!$P336), 0, 1), 3, if(ISBLANK('2025'!$Q336), 0, 1), 4, if(ISBLANK('2025'!$R336), 0, 1), 5, if(ISBLANK('2025'!$S336), 0, 1), 6, if(ISBLANK('2025'!$T336), 0, 1), 7, 0))), 1, "")</f>
        <v/>
      </c>
      <c r="AP338" s="1" t="str">
        <f>IF(AND(AND(AND(AP$4&gt;='2025'!$L336,AP$4&lt;='2025'!$M336), AP$4&lt;&gt;DATE(2025,7,4)), (SWITCH(weekday(AP$4), 1, 0, 2, if(ISBLANK('2025'!$P336), 0, 1), 3, if(ISBLANK('2025'!$Q336), 0, 1), 4, if(ISBLANK('2025'!$R336), 0, 1), 5, if(ISBLANK('2025'!$S336), 0, 1), 6, if(ISBLANK('2025'!$T336), 0, 1), 7, 0))), 1, "")</f>
        <v/>
      </c>
      <c r="AQ338" s="1" t="str">
        <f>IF(AND(AND(AND(AQ$4&gt;='2025'!$L336,AQ$4&lt;='2025'!$M336), AQ$4&lt;&gt;DATE(2025,7,4)), (SWITCH(weekday(AQ$4), 1, 0, 2, if(ISBLANK('2025'!$P336), 0, 1), 3, if(ISBLANK('2025'!$Q336), 0, 1), 4, if(ISBLANK('2025'!$R336), 0, 1), 5, if(ISBLANK('2025'!$S336), 0, 1), 6, if(ISBLANK('2025'!$T336), 0, 1), 7, 0))), 1, "")</f>
        <v/>
      </c>
      <c r="AR338" s="1" t="str">
        <f>IF(AND(AND(AND(AR$4&gt;='2025'!$L336,AR$4&lt;='2025'!$M336), AR$4&lt;&gt;DATE(2025,7,4)), (SWITCH(weekday(AR$4), 1, 0, 2, if(ISBLANK('2025'!$P336), 0, 1), 3, if(ISBLANK('2025'!$Q336), 0, 1), 4, if(ISBLANK('2025'!$R336), 0, 1), 5, if(ISBLANK('2025'!$S336), 0, 1), 6, if(ISBLANK('2025'!$T336), 0, 1), 7, 0))), 1, "")</f>
        <v/>
      </c>
      <c r="AS338" s="1" t="str">
        <f>IF(AND(AND(AND(AS$4&gt;='2025'!$L336,AS$4&lt;='2025'!$M336), AS$4&lt;&gt;DATE(2025,7,4)), (SWITCH(weekday(AS$4), 1, 0, 2, if(ISBLANK('2025'!$P336), 0, 1), 3, if(ISBLANK('2025'!$Q336), 0, 1), 4, if(ISBLANK('2025'!$R336), 0, 1), 5, if(ISBLANK('2025'!$S336), 0, 1), 6, if(ISBLANK('2025'!$T336), 0, 1), 7, 0))), 1, "")</f>
        <v/>
      </c>
      <c r="AT338" s="1" t="str">
        <f>IF(AND(AND(AND(AT$4&gt;='2025'!$L336,AT$4&lt;='2025'!$M336), AT$4&lt;&gt;DATE(2025,7,4)), (SWITCH(weekday(AT$4), 1, 0, 2, if(ISBLANK('2025'!$P336), 0, 1), 3, if(ISBLANK('2025'!$Q336), 0, 1), 4, if(ISBLANK('2025'!$R336), 0, 1), 5, if(ISBLANK('2025'!$S336), 0, 1), 6, if(ISBLANK('2025'!$T336), 0, 1), 7, 0))), 1, "")</f>
        <v/>
      </c>
      <c r="AU338" s="1" t="str">
        <f>IF(AND(AND(AND(AU$4&gt;='2025'!$L336,AU$4&lt;='2025'!$M336), AU$4&lt;&gt;DATE(2025,7,4)), (SWITCH(weekday(AU$4), 1, 0, 2, if(ISBLANK('2025'!$P336), 0, 1), 3, if(ISBLANK('2025'!$Q336), 0, 1), 4, if(ISBLANK('2025'!$R336), 0, 1), 5, if(ISBLANK('2025'!$S336), 0, 1), 6, if(ISBLANK('2025'!$T336), 0, 1), 7, 0))), 1, "")</f>
        <v/>
      </c>
      <c r="AV338" s="1" t="str">
        <f>IF(AND(AND(AND(AV$4&gt;='2025'!$L336,AV$4&lt;='2025'!$M336), AV$4&lt;&gt;DATE(2025,7,4)), (SWITCH(weekday(AV$4), 1, 0, 2, if(ISBLANK('2025'!$P336), 0, 1), 3, if(ISBLANK('2025'!$Q336), 0, 1), 4, if(ISBLANK('2025'!$R336), 0, 1), 5, if(ISBLANK('2025'!$S336), 0, 1), 6, if(ISBLANK('2025'!$T336), 0, 1), 7, 0))), 1, "")</f>
        <v/>
      </c>
      <c r="AW338" s="1" t="str">
        <f>IF(AND(AND(AND(AW$4&gt;='2025'!$L336,AW$4&lt;='2025'!$M336), AW$4&lt;&gt;DATE(2025,7,4)), (SWITCH(weekday(AW$4), 1, 0, 2, if(ISBLANK('2025'!$P336), 0, 1), 3, if(ISBLANK('2025'!$Q336), 0, 1), 4, if(ISBLANK('2025'!$R336), 0, 1), 5, if(ISBLANK('2025'!$S336), 0, 1), 6, if(ISBLANK('2025'!$T336), 0, 1), 7, 0))), 1, "")</f>
        <v/>
      </c>
      <c r="AX338" s="1" t="str">
        <f>IF(AND(AND(AND(AX$4&gt;='2025'!$L336,AX$4&lt;='2025'!$M336), AX$4&lt;&gt;DATE(2025,7,4)), (SWITCH(weekday(AX$4), 1, 0, 2, if(ISBLANK('2025'!$P336), 0, 1), 3, if(ISBLANK('2025'!$Q336), 0, 1), 4, if(ISBLANK('2025'!$R336), 0, 1), 5, if(ISBLANK('2025'!$S336), 0, 1), 6, if(ISBLANK('2025'!$T336), 0, 1), 7, 0))), 1, "")</f>
        <v/>
      </c>
      <c r="AY338" s="1" t="str">
        <f>IF(AND(AND(AND(AY$4&gt;='2025'!$L336,AY$4&lt;='2025'!$M336), AY$4&lt;&gt;DATE(2025,7,4)), (SWITCH(weekday(AY$4), 1, 0, 2, if(ISBLANK('2025'!$P336), 0, 1), 3, if(ISBLANK('2025'!$Q336), 0, 1), 4, if(ISBLANK('2025'!$R336), 0, 1), 5, if(ISBLANK('2025'!$S336), 0, 1), 6, if(ISBLANK('2025'!$T336), 0, 1), 7, 0))), 1, "")</f>
        <v/>
      </c>
      <c r="AZ338" s="1" t="str">
        <f>IF(AND(AND(AND(AZ$4&gt;='2025'!$L336,AZ$4&lt;='2025'!$M336), AZ$4&lt;&gt;DATE(2025,7,4)), (SWITCH(weekday(AZ$4), 1, 0, 2, if(ISBLANK('2025'!$P336), 0, 1), 3, if(ISBLANK('2025'!$Q336), 0, 1), 4, if(ISBLANK('2025'!$R336), 0, 1), 5, if(ISBLANK('2025'!$S336), 0, 1), 6, if(ISBLANK('2025'!$T336), 0, 1), 7, 0))), 1, "")</f>
        <v/>
      </c>
      <c r="BA338" s="1" t="str">
        <f>IF(AND(AND(AND(BA$4&gt;='2025'!$L336,BA$4&lt;='2025'!$M336), BA$4&lt;&gt;DATE(2025,7,4)), (SWITCH(weekday(BA$4), 1, 0, 2, if(ISBLANK('2025'!$P336), 0, 1), 3, if(ISBLANK('2025'!$Q336), 0, 1), 4, if(ISBLANK('2025'!$R336), 0, 1), 5, if(ISBLANK('2025'!$S336), 0, 1), 6, if(ISBLANK('2025'!$T336), 0, 1), 7, 0))), 1, "")</f>
        <v/>
      </c>
      <c r="BB338" s="1" t="str">
        <f>IF(AND(AND(AND(BB$4&gt;='2025'!$L336,BB$4&lt;='2025'!$M336), BB$4&lt;&gt;DATE(2025,7,4)), (SWITCH(weekday(BB$4), 1, 0, 2, if(ISBLANK('2025'!$P336), 0, 1), 3, if(ISBLANK('2025'!$Q336), 0, 1), 4, if(ISBLANK('2025'!$R336), 0, 1), 5, if(ISBLANK('2025'!$S336), 0, 1), 6, if(ISBLANK('2025'!$T336), 0, 1), 7, 0))), 1, "")</f>
        <v/>
      </c>
      <c r="BC338" s="1" t="str">
        <f>IF(AND(AND(AND(BC$4&gt;='2025'!$L336,BC$4&lt;='2025'!$M336), BC$4&lt;&gt;DATE(2025,7,4)), (SWITCH(weekday(BC$4), 1, 0, 2, if(ISBLANK('2025'!$P336), 0, 1), 3, if(ISBLANK('2025'!$Q336), 0, 1), 4, if(ISBLANK('2025'!$R336), 0, 1), 5, if(ISBLANK('2025'!$S336), 0, 1), 6, if(ISBLANK('2025'!$T336), 0, 1), 7, 0))), 1, "")</f>
        <v/>
      </c>
      <c r="BD338" s="1" t="str">
        <f>IF(AND(AND(AND(BD$4&gt;='2025'!$L336,BD$4&lt;='2025'!$M336), BD$4&lt;&gt;DATE(2025,7,4)), (SWITCH(weekday(BD$4), 1, 0, 2, if(ISBLANK('2025'!$P336), 0, 1), 3, if(ISBLANK('2025'!$Q336), 0, 1), 4, if(ISBLANK('2025'!$R336), 0, 1), 5, if(ISBLANK('2025'!$S336), 0, 1), 6, if(ISBLANK('2025'!$T336), 0, 1), 7, 0))), 1, "")</f>
        <v/>
      </c>
      <c r="BE338" s="1" t="str">
        <f>IF(AND(AND(AND(BE$4&gt;='2025'!$L336,BE$4&lt;='2025'!$M336), BE$4&lt;&gt;DATE(2025,7,4)), (SWITCH(weekday(BE$4), 1, 0, 2, if(ISBLANK('2025'!$P336), 0, 1), 3, if(ISBLANK('2025'!$Q336), 0, 1), 4, if(ISBLANK('2025'!$R336), 0, 1), 5, if(ISBLANK('2025'!$S336), 0, 1), 6, if(ISBLANK('2025'!$T336), 0, 1), 7, 0))), 1, "")</f>
        <v/>
      </c>
      <c r="BF338" s="1" t="str">
        <f>IF(AND(AND(AND(BF$4&gt;='2025'!$L336,BF$4&lt;='2025'!$M336), BF$4&lt;&gt;DATE(2025,7,4)), (SWITCH(weekday(BF$4), 1, 0, 2, if(ISBLANK('2025'!$P336), 0, 1), 3, if(ISBLANK('2025'!$Q336), 0, 1), 4, if(ISBLANK('2025'!$R336), 0, 1), 5, if(ISBLANK('2025'!$S336), 0, 1), 6, if(ISBLANK('2025'!$T336), 0, 1), 7, 0))), 1, "")</f>
        <v/>
      </c>
      <c r="BG338" s="1"/>
      <c r="BH338" s="1"/>
      <c r="BI338" s="1"/>
      <c r="BJ338" s="1"/>
      <c r="BK338" s="1"/>
      <c r="BL338" s="1"/>
    </row>
    <row r="339">
      <c r="A339" s="1">
        <f t="shared" si="3"/>
        <v>339</v>
      </c>
      <c r="B339" s="1" t="str">
        <f>'2025'!D303</f>
        <v>, </v>
      </c>
      <c r="C339" s="1" t="str">
        <f>'2025'!H303</f>
        <v/>
      </c>
      <c r="D339" s="1" t="str">
        <f>IF(AND(AND(AND(D$4&gt;='2025'!$L337,D$4&lt;='2025'!$M337), D$4&lt;&gt;DATE(2025,7,4)), (SWITCH(weekday(D$4), 1, 0, 2, if(ISBLANK('2025'!$P337), 0, 1), 3, if(ISBLANK('2025'!$Q337), 0, 1), 4, if(ISBLANK('2025'!$R337), 0, 1), 5, if(ISBLANK('2025'!$S337), 0, 1), 6, if(ISBLANK('2025'!$T337), 0, 1), 7, 0))), 1, "")</f>
        <v/>
      </c>
      <c r="E339" s="1" t="str">
        <f>IF(AND(AND(AND(E$4&gt;='2025'!$L337,E$4&lt;='2025'!$M337), E$4&lt;&gt;DATE(2025,7,4)), (SWITCH(weekday(E$4), 1, 0, 2, if(ISBLANK('2025'!$P337), 0, 1), 3, if(ISBLANK('2025'!$Q337), 0, 1), 4, if(ISBLANK('2025'!$R337), 0, 1), 5, if(ISBLANK('2025'!$S337), 0, 1), 6, if(ISBLANK('2025'!$T337), 0, 1), 7, 0))), 1, "")</f>
        <v/>
      </c>
      <c r="F339" s="1" t="str">
        <f>IF(AND(AND(AND(F$4&gt;='2025'!$L337,F$4&lt;='2025'!$M337), F$4&lt;&gt;DATE(2025,7,4)), (SWITCH(weekday(F$4), 1, 0, 2, if(ISBLANK('2025'!$P337), 0, 1), 3, if(ISBLANK('2025'!$Q337), 0, 1), 4, if(ISBLANK('2025'!$R337), 0, 1), 5, if(ISBLANK('2025'!$S337), 0, 1), 6, if(ISBLANK('2025'!$T337), 0, 1), 7, 0))), 1, "")</f>
        <v/>
      </c>
      <c r="G339" s="1" t="str">
        <f>IF(AND(AND(AND(G$4&gt;='2025'!$L337,G$4&lt;='2025'!$M337), G$4&lt;&gt;DATE(2025,7,4)), (SWITCH(weekday(G$4), 1, 0, 2, if(ISBLANK('2025'!$P337), 0, 1), 3, if(ISBLANK('2025'!$Q337), 0, 1), 4, if(ISBLANK('2025'!$R337), 0, 1), 5, if(ISBLANK('2025'!$S337), 0, 1), 6, if(ISBLANK('2025'!$T337), 0, 1), 7, 0))), 1, "")</f>
        <v/>
      </c>
      <c r="H339" s="1" t="str">
        <f>IF(AND(AND(AND(H$4&gt;='2025'!$L337,H$4&lt;='2025'!$M337), H$4&lt;&gt;DATE(2025,7,4)), (SWITCH(weekday(H$4), 1, 0, 2, if(ISBLANK('2025'!$P337), 0, 1), 3, if(ISBLANK('2025'!$Q337), 0, 1), 4, if(ISBLANK('2025'!$R337), 0, 1), 5, if(ISBLANK('2025'!$S337), 0, 1), 6, if(ISBLANK('2025'!$T337), 0, 1), 7, 0))), 1, "")</f>
        <v/>
      </c>
      <c r="I339" s="1" t="str">
        <f>IF(AND(AND(AND(I$4&gt;='2025'!$L337,I$4&lt;='2025'!$M337), I$4&lt;&gt;DATE(2025,7,4)), (SWITCH(weekday(I$4), 1, 0, 2, if(ISBLANK('2025'!$P337), 0, 1), 3, if(ISBLANK('2025'!$Q337), 0, 1), 4, if(ISBLANK('2025'!$R337), 0, 1), 5, if(ISBLANK('2025'!$S337), 0, 1), 6, if(ISBLANK('2025'!$T337), 0, 1), 7, 0))), 1, "")</f>
        <v/>
      </c>
      <c r="J339" s="1" t="str">
        <f>IF(AND(AND(AND(J$4&gt;='2025'!$L337,J$4&lt;='2025'!$M337), J$4&lt;&gt;DATE(2025,7,4)), (SWITCH(weekday(J$4), 1, 0, 2, if(ISBLANK('2025'!$P337), 0, 1), 3, if(ISBLANK('2025'!$Q337), 0, 1), 4, if(ISBLANK('2025'!$R337), 0, 1), 5, if(ISBLANK('2025'!$S337), 0, 1), 6, if(ISBLANK('2025'!$T337), 0, 1), 7, 0))), 1, "")</f>
        <v/>
      </c>
      <c r="K339" s="1" t="str">
        <f>IF(AND(AND(AND(K$4&gt;='2025'!$L337,K$4&lt;='2025'!$M337), K$4&lt;&gt;DATE(2025,7,4)), (SWITCH(weekday(K$4), 1, 0, 2, if(ISBLANK('2025'!$P337), 0, 1), 3, if(ISBLANK('2025'!$Q337), 0, 1), 4, if(ISBLANK('2025'!$R337), 0, 1), 5, if(ISBLANK('2025'!$S337), 0, 1), 6, if(ISBLANK('2025'!$T337), 0, 1), 7, 0))), 1, "")</f>
        <v/>
      </c>
      <c r="L339" s="1" t="str">
        <f>IF(AND(AND(AND(L$4&gt;='2025'!$L337,L$4&lt;='2025'!$M337), L$4&lt;&gt;DATE(2025,7,4)), (SWITCH(weekday(L$4), 1, 0, 2, if(ISBLANK('2025'!$P337), 0, 1), 3, if(ISBLANK('2025'!$Q337), 0, 1), 4, if(ISBLANK('2025'!$R337), 0, 1), 5, if(ISBLANK('2025'!$S337), 0, 1), 6, if(ISBLANK('2025'!$T337), 0, 1), 7, 0))), 1, "")</f>
        <v/>
      </c>
      <c r="M339" s="1" t="str">
        <f>IF(AND(AND(AND(M$4&gt;='2025'!$L337,M$4&lt;='2025'!$M337), M$4&lt;&gt;DATE(2025,7,4)), (SWITCH(weekday(M$4), 1, 0, 2, if(ISBLANK('2025'!$P337), 0, 1), 3, if(ISBLANK('2025'!$Q337), 0, 1), 4, if(ISBLANK('2025'!$R337), 0, 1), 5, if(ISBLANK('2025'!$S337), 0, 1), 6, if(ISBLANK('2025'!$T337), 0, 1), 7, 0))), 1, "")</f>
        <v/>
      </c>
      <c r="N339" s="1" t="str">
        <f>IF(AND(AND(AND(N$4&gt;='2025'!$L337,N$4&lt;='2025'!$M337), N$4&lt;&gt;DATE(2025,7,4)), (SWITCH(weekday(N$4), 1, 0, 2, if(ISBLANK('2025'!$P337), 0, 1), 3, if(ISBLANK('2025'!$Q337), 0, 1), 4, if(ISBLANK('2025'!$R337), 0, 1), 5, if(ISBLANK('2025'!$S337), 0, 1), 6, if(ISBLANK('2025'!$T337), 0, 1), 7, 0))), 1, "")</f>
        <v/>
      </c>
      <c r="O339" s="1" t="str">
        <f>IF(AND(AND(AND(O$4&gt;='2025'!$L337,O$4&lt;='2025'!$M337), O$4&lt;&gt;DATE(2025,7,4)), (SWITCH(weekday(O$4), 1, 0, 2, if(ISBLANK('2025'!$P337), 0, 1), 3, if(ISBLANK('2025'!$Q337), 0, 1), 4, if(ISBLANK('2025'!$R337), 0, 1), 5, if(ISBLANK('2025'!$S337), 0, 1), 6, if(ISBLANK('2025'!$T337), 0, 1), 7, 0))), 1, "")</f>
        <v/>
      </c>
      <c r="P339" s="1" t="str">
        <f>IF(AND(AND(AND(P$4&gt;='2025'!$L337,P$4&lt;='2025'!$M337), P$4&lt;&gt;DATE(2025,7,4)), (SWITCH(weekday(P$4), 1, 0, 2, if(ISBLANK('2025'!$P337), 0, 1), 3, if(ISBLANK('2025'!$Q337), 0, 1), 4, if(ISBLANK('2025'!$R337), 0, 1), 5, if(ISBLANK('2025'!$S337), 0, 1), 6, if(ISBLANK('2025'!$T337), 0, 1), 7, 0))), 1, "")</f>
        <v/>
      </c>
      <c r="Q339" s="1" t="str">
        <f>IF(AND(AND(AND(Q$4&gt;='2025'!$L337,Q$4&lt;='2025'!$M337), Q$4&lt;&gt;DATE(2025,7,4)), (SWITCH(weekday(Q$4), 1, 0, 2, if(ISBLANK('2025'!$P337), 0, 1), 3, if(ISBLANK('2025'!$Q337), 0, 1), 4, if(ISBLANK('2025'!$R337), 0, 1), 5, if(ISBLANK('2025'!$S337), 0, 1), 6, if(ISBLANK('2025'!$T337), 0, 1), 7, 0))), 1, "")</f>
        <v/>
      </c>
      <c r="R339" s="1" t="str">
        <f>IF(AND(AND(AND(R$4&gt;='2025'!$L337,R$4&lt;='2025'!$M337), R$4&lt;&gt;DATE(2025,7,4)), (SWITCH(weekday(R$4), 1, 0, 2, if(ISBLANK('2025'!$P337), 0, 1), 3, if(ISBLANK('2025'!$Q337), 0, 1), 4, if(ISBLANK('2025'!$R337), 0, 1), 5, if(ISBLANK('2025'!$S337), 0, 1), 6, if(ISBLANK('2025'!$T337), 0, 1), 7, 0))), 1, "")</f>
        <v/>
      </c>
      <c r="S339" s="1" t="str">
        <f>IF(AND(AND(AND(S$4&gt;='2025'!$L337,S$4&lt;='2025'!$M337), S$4&lt;&gt;DATE(2025,7,4)), (SWITCH(weekday(S$4), 1, 0, 2, if(ISBLANK('2025'!$P337), 0, 1), 3, if(ISBLANK('2025'!$Q337), 0, 1), 4, if(ISBLANK('2025'!$R337), 0, 1), 5, if(ISBLANK('2025'!$S337), 0, 1), 6, if(ISBLANK('2025'!$T337), 0, 1), 7, 0))), 1, "")</f>
        <v/>
      </c>
      <c r="T339" s="1" t="str">
        <f>IF(AND(AND(AND(T$4&gt;='2025'!$L337,T$4&lt;='2025'!$M337), T$4&lt;&gt;DATE(2025,7,4)), (SWITCH(weekday(T$4), 1, 0, 2, if(ISBLANK('2025'!$P337), 0, 1), 3, if(ISBLANK('2025'!$Q337), 0, 1), 4, if(ISBLANK('2025'!$R337), 0, 1), 5, if(ISBLANK('2025'!$S337), 0, 1), 6, if(ISBLANK('2025'!$T337), 0, 1), 7, 0))), 1, "")</f>
        <v/>
      </c>
      <c r="U339" s="1" t="str">
        <f>IF(AND(AND(AND(U$4&gt;='2025'!$L337,U$4&lt;='2025'!$M337), U$4&lt;&gt;DATE(2025,7,4)), (SWITCH(weekday(U$4), 1, 0, 2, if(ISBLANK('2025'!$P337), 0, 1), 3, if(ISBLANK('2025'!$Q337), 0, 1), 4, if(ISBLANK('2025'!$R337), 0, 1), 5, if(ISBLANK('2025'!$S337), 0, 1), 6, if(ISBLANK('2025'!$T337), 0, 1), 7, 0))), 1, "")</f>
        <v/>
      </c>
      <c r="V339" s="1" t="str">
        <f>IF(AND(AND(AND(V$4&gt;='2025'!$L337,V$4&lt;='2025'!$M337), V$4&lt;&gt;DATE(2025,7,4)), (SWITCH(weekday(V$4), 1, 0, 2, if(ISBLANK('2025'!$P337), 0, 1), 3, if(ISBLANK('2025'!$Q337), 0, 1), 4, if(ISBLANK('2025'!$R337), 0, 1), 5, if(ISBLANK('2025'!$S337), 0, 1), 6, if(ISBLANK('2025'!$T337), 0, 1), 7, 0))), 1, "")</f>
        <v/>
      </c>
      <c r="W339" s="1" t="str">
        <f>IF(AND(AND(AND(W$4&gt;='2025'!$L337,W$4&lt;='2025'!$M337), W$4&lt;&gt;DATE(2025,7,4)), (SWITCH(weekday(W$4), 1, 0, 2, if(ISBLANK('2025'!$P337), 0, 1), 3, if(ISBLANK('2025'!$Q337), 0, 1), 4, if(ISBLANK('2025'!$R337), 0, 1), 5, if(ISBLANK('2025'!$S337), 0, 1), 6, if(ISBLANK('2025'!$T337), 0, 1), 7, 0))), 1, "")</f>
        <v/>
      </c>
      <c r="X339" s="1" t="str">
        <f>IF(AND(AND(AND(X$4&gt;='2025'!$L337,X$4&lt;='2025'!$M337), X$4&lt;&gt;DATE(2025,7,4)), (SWITCH(weekday(X$4), 1, 0, 2, if(ISBLANK('2025'!$P337), 0, 1), 3, if(ISBLANK('2025'!$Q337), 0, 1), 4, if(ISBLANK('2025'!$R337), 0, 1), 5, if(ISBLANK('2025'!$S337), 0, 1), 6, if(ISBLANK('2025'!$T337), 0, 1), 7, 0))), 1, "")</f>
        <v/>
      </c>
      <c r="Y339" s="1" t="str">
        <f>IF(AND(AND(AND(Y$4&gt;='2025'!$L337,Y$4&lt;='2025'!$M337), Y$4&lt;&gt;DATE(2025,7,4)), (SWITCH(weekday(Y$4), 1, 0, 2, if(ISBLANK('2025'!$P337), 0, 1), 3, if(ISBLANK('2025'!$Q337), 0, 1), 4, if(ISBLANK('2025'!$R337), 0, 1), 5, if(ISBLANK('2025'!$S337), 0, 1), 6, if(ISBLANK('2025'!$T337), 0, 1), 7, 0))), 1, "")</f>
        <v/>
      </c>
      <c r="Z339" s="1" t="str">
        <f>IF(AND(AND(AND(Z$4&gt;='2025'!$L337,Z$4&lt;='2025'!$M337), Z$4&lt;&gt;DATE(2025,7,4)), (SWITCH(weekday(Z$4), 1, 0, 2, if(ISBLANK('2025'!$P337), 0, 1), 3, if(ISBLANK('2025'!$Q337), 0, 1), 4, if(ISBLANK('2025'!$R337), 0, 1), 5, if(ISBLANK('2025'!$S337), 0, 1), 6, if(ISBLANK('2025'!$T337), 0, 1), 7, 0))), 1, "")</f>
        <v/>
      </c>
      <c r="AA339" s="1" t="str">
        <f>IF(AND(AND(AND(AA$4&gt;='2025'!$L337,AA$4&lt;='2025'!$M337), AA$4&lt;&gt;DATE(2025,7,4)), (SWITCH(weekday(AA$4), 1, 0, 2, if(ISBLANK('2025'!$P337), 0, 1), 3, if(ISBLANK('2025'!$Q337), 0, 1), 4, if(ISBLANK('2025'!$R337), 0, 1), 5, if(ISBLANK('2025'!$S337), 0, 1), 6, if(ISBLANK('2025'!$T337), 0, 1), 7, 0))), 1, "")</f>
        <v/>
      </c>
      <c r="AB339" s="1" t="str">
        <f>IF(AND(AND(AND(AB$4&gt;='2025'!$L337,AB$4&lt;='2025'!$M337), AB$4&lt;&gt;DATE(2025,7,4)), (SWITCH(weekday(AB$4), 1, 0, 2, if(ISBLANK('2025'!$P337), 0, 1), 3, if(ISBLANK('2025'!$Q337), 0, 1), 4, if(ISBLANK('2025'!$R337), 0, 1), 5, if(ISBLANK('2025'!$S337), 0, 1), 6, if(ISBLANK('2025'!$T337), 0, 1), 7, 0))), 1, "")</f>
        <v/>
      </c>
      <c r="AC339" s="1" t="str">
        <f>IF(AND(AND(AND(AC$4&gt;='2025'!$L337,AC$4&lt;='2025'!$M337), AC$4&lt;&gt;DATE(2025,7,4)), (SWITCH(weekday(AC$4), 1, 0, 2, if(ISBLANK('2025'!$P337), 0, 1), 3, if(ISBLANK('2025'!$Q337), 0, 1), 4, if(ISBLANK('2025'!$R337), 0, 1), 5, if(ISBLANK('2025'!$S337), 0, 1), 6, if(ISBLANK('2025'!$T337), 0, 1), 7, 0))), 1, "")</f>
        <v/>
      </c>
      <c r="AD339" s="1" t="str">
        <f>IF(AND(AND(AND(AD$4&gt;='2025'!$L337,AD$4&lt;='2025'!$M337), AD$4&lt;&gt;DATE(2025,7,4)), (SWITCH(weekday(AD$4), 1, 0, 2, if(ISBLANK('2025'!$P337), 0, 1), 3, if(ISBLANK('2025'!$Q337), 0, 1), 4, if(ISBLANK('2025'!$R337), 0, 1), 5, if(ISBLANK('2025'!$S337), 0, 1), 6, if(ISBLANK('2025'!$T337), 0, 1), 7, 0))), 1, "")</f>
        <v/>
      </c>
      <c r="AE339" s="1" t="str">
        <f>IF(AND(AND(AND(AE$4&gt;='2025'!$L337,AE$4&lt;='2025'!$M337), AE$4&lt;&gt;DATE(2025,7,4)), (SWITCH(weekday(AE$4), 1, 0, 2, if(ISBLANK('2025'!$P337), 0, 1), 3, if(ISBLANK('2025'!$Q337), 0, 1), 4, if(ISBLANK('2025'!$R337), 0, 1), 5, if(ISBLANK('2025'!$S337), 0, 1), 6, if(ISBLANK('2025'!$T337), 0, 1), 7, 0))), 1, "")</f>
        <v/>
      </c>
      <c r="AF339" s="1" t="str">
        <f>IF(AND(AND(AND(AF$4&gt;='2025'!$L337,AF$4&lt;='2025'!$M337), AF$4&lt;&gt;DATE(2025,7,4)), (SWITCH(weekday(AF$4), 1, 0, 2, if(ISBLANK('2025'!$P337), 0, 1), 3, if(ISBLANK('2025'!$Q337), 0, 1), 4, if(ISBLANK('2025'!$R337), 0, 1), 5, if(ISBLANK('2025'!$S337), 0, 1), 6, if(ISBLANK('2025'!$T337), 0, 1), 7, 0))), 1, "")</f>
        <v/>
      </c>
      <c r="AG339" s="1" t="str">
        <f>IF(AND(AND(AND(AG$4&gt;='2025'!$L337,AG$4&lt;='2025'!$M337), AG$4&lt;&gt;DATE(2025,7,4)), (SWITCH(weekday(AG$4), 1, 0, 2, if(ISBLANK('2025'!$P337), 0, 1), 3, if(ISBLANK('2025'!$Q337), 0, 1), 4, if(ISBLANK('2025'!$R337), 0, 1), 5, if(ISBLANK('2025'!$S337), 0, 1), 6, if(ISBLANK('2025'!$T337), 0, 1), 7, 0))), 1, "")</f>
        <v/>
      </c>
      <c r="AH339" s="1" t="str">
        <f>IF(AND(AND(AND(AH$4&gt;='2025'!$L337,AH$4&lt;='2025'!$M337), AH$4&lt;&gt;DATE(2025,7,4)), (SWITCH(weekday(AH$4), 1, 0, 2, if(ISBLANK('2025'!$P337), 0, 1), 3, if(ISBLANK('2025'!$Q337), 0, 1), 4, if(ISBLANK('2025'!$R337), 0, 1), 5, if(ISBLANK('2025'!$S337), 0, 1), 6, if(ISBLANK('2025'!$T337), 0, 1), 7, 0))), 1, "")</f>
        <v/>
      </c>
      <c r="AI339" s="1" t="str">
        <f>IF(AND(AND(AND(AI$4&gt;='2025'!$L337,AI$4&lt;='2025'!$M337), AI$4&lt;&gt;DATE(2025,7,4)), (SWITCH(weekday(AI$4), 1, 0, 2, if(ISBLANK('2025'!$P337), 0, 1), 3, if(ISBLANK('2025'!$Q337), 0, 1), 4, if(ISBLANK('2025'!$R337), 0, 1), 5, if(ISBLANK('2025'!$S337), 0, 1), 6, if(ISBLANK('2025'!$T337), 0, 1), 7, 0))), 1, "")</f>
        <v/>
      </c>
      <c r="AJ339" s="1" t="str">
        <f>IF(AND(AND(AND(AJ$4&gt;='2025'!$L337,AJ$4&lt;='2025'!$M337), AJ$4&lt;&gt;DATE(2025,7,4)), (SWITCH(weekday(AJ$4), 1, 0, 2, if(ISBLANK('2025'!$P337), 0, 1), 3, if(ISBLANK('2025'!$Q337), 0, 1), 4, if(ISBLANK('2025'!$R337), 0, 1), 5, if(ISBLANK('2025'!$S337), 0, 1), 6, if(ISBLANK('2025'!$T337), 0, 1), 7, 0))), 1, "")</f>
        <v/>
      </c>
      <c r="AK339" s="1" t="str">
        <f>IF(AND(AND(AND(AK$4&gt;='2025'!$L337,AK$4&lt;='2025'!$M337), AK$4&lt;&gt;DATE(2025,7,4)), (SWITCH(weekday(AK$4), 1, 0, 2, if(ISBLANK('2025'!$P337), 0, 1), 3, if(ISBLANK('2025'!$Q337), 0, 1), 4, if(ISBLANK('2025'!$R337), 0, 1), 5, if(ISBLANK('2025'!$S337), 0, 1), 6, if(ISBLANK('2025'!$T337), 0, 1), 7, 0))), 1, "")</f>
        <v/>
      </c>
      <c r="AL339" s="1" t="str">
        <f>IF(AND(AND(AND(AL$4&gt;='2025'!$L337,AL$4&lt;='2025'!$M337), AL$4&lt;&gt;DATE(2025,7,4)), (SWITCH(weekday(AL$4), 1, 0, 2, if(ISBLANK('2025'!$P337), 0, 1), 3, if(ISBLANK('2025'!$Q337), 0, 1), 4, if(ISBLANK('2025'!$R337), 0, 1), 5, if(ISBLANK('2025'!$S337), 0, 1), 6, if(ISBLANK('2025'!$T337), 0, 1), 7, 0))), 1, "")</f>
        <v/>
      </c>
      <c r="AM339" s="1" t="str">
        <f>IF(AND(AND(AND(AM$4&gt;='2025'!$L337,AM$4&lt;='2025'!$M337), AM$4&lt;&gt;DATE(2025,7,4)), (SWITCH(weekday(AM$4), 1, 0, 2, if(ISBLANK('2025'!$P337), 0, 1), 3, if(ISBLANK('2025'!$Q337), 0, 1), 4, if(ISBLANK('2025'!$R337), 0, 1), 5, if(ISBLANK('2025'!$S337), 0, 1), 6, if(ISBLANK('2025'!$T337), 0, 1), 7, 0))), 1, "")</f>
        <v/>
      </c>
      <c r="AN339" s="1" t="str">
        <f>IF(AND(AND(AND(AN$4&gt;='2025'!$L337,AN$4&lt;='2025'!$M337), AN$4&lt;&gt;DATE(2025,7,4)), (SWITCH(weekday(AN$4), 1, 0, 2, if(ISBLANK('2025'!$P337), 0, 1), 3, if(ISBLANK('2025'!$Q337), 0, 1), 4, if(ISBLANK('2025'!$R337), 0, 1), 5, if(ISBLANK('2025'!$S337), 0, 1), 6, if(ISBLANK('2025'!$T337), 0, 1), 7, 0))), 1, "")</f>
        <v/>
      </c>
      <c r="AO339" s="1" t="str">
        <f>IF(AND(AND(AND(AO$4&gt;='2025'!$L337,AO$4&lt;='2025'!$M337), AO$4&lt;&gt;DATE(2025,7,4)), (SWITCH(weekday(AO$4), 1, 0, 2, if(ISBLANK('2025'!$P337), 0, 1), 3, if(ISBLANK('2025'!$Q337), 0, 1), 4, if(ISBLANK('2025'!$R337), 0, 1), 5, if(ISBLANK('2025'!$S337), 0, 1), 6, if(ISBLANK('2025'!$T337), 0, 1), 7, 0))), 1, "")</f>
        <v/>
      </c>
      <c r="AP339" s="1" t="str">
        <f>IF(AND(AND(AND(AP$4&gt;='2025'!$L337,AP$4&lt;='2025'!$M337), AP$4&lt;&gt;DATE(2025,7,4)), (SWITCH(weekday(AP$4), 1, 0, 2, if(ISBLANK('2025'!$P337), 0, 1), 3, if(ISBLANK('2025'!$Q337), 0, 1), 4, if(ISBLANK('2025'!$R337), 0, 1), 5, if(ISBLANK('2025'!$S337), 0, 1), 6, if(ISBLANK('2025'!$T337), 0, 1), 7, 0))), 1, "")</f>
        <v/>
      </c>
      <c r="AQ339" s="1" t="str">
        <f>IF(AND(AND(AND(AQ$4&gt;='2025'!$L337,AQ$4&lt;='2025'!$M337), AQ$4&lt;&gt;DATE(2025,7,4)), (SWITCH(weekday(AQ$4), 1, 0, 2, if(ISBLANK('2025'!$P337), 0, 1), 3, if(ISBLANK('2025'!$Q337), 0, 1), 4, if(ISBLANK('2025'!$R337), 0, 1), 5, if(ISBLANK('2025'!$S337), 0, 1), 6, if(ISBLANK('2025'!$T337), 0, 1), 7, 0))), 1, "")</f>
        <v/>
      </c>
      <c r="AR339" s="1" t="str">
        <f>IF(AND(AND(AND(AR$4&gt;='2025'!$L337,AR$4&lt;='2025'!$M337), AR$4&lt;&gt;DATE(2025,7,4)), (SWITCH(weekday(AR$4), 1, 0, 2, if(ISBLANK('2025'!$P337), 0, 1), 3, if(ISBLANK('2025'!$Q337), 0, 1), 4, if(ISBLANK('2025'!$R337), 0, 1), 5, if(ISBLANK('2025'!$S337), 0, 1), 6, if(ISBLANK('2025'!$T337), 0, 1), 7, 0))), 1, "")</f>
        <v/>
      </c>
      <c r="AS339" s="1" t="str">
        <f>IF(AND(AND(AND(AS$4&gt;='2025'!$L337,AS$4&lt;='2025'!$M337), AS$4&lt;&gt;DATE(2025,7,4)), (SWITCH(weekday(AS$4), 1, 0, 2, if(ISBLANK('2025'!$P337), 0, 1), 3, if(ISBLANK('2025'!$Q337), 0, 1), 4, if(ISBLANK('2025'!$R337), 0, 1), 5, if(ISBLANK('2025'!$S337), 0, 1), 6, if(ISBLANK('2025'!$T337), 0, 1), 7, 0))), 1, "")</f>
        <v/>
      </c>
      <c r="AT339" s="1" t="str">
        <f>IF(AND(AND(AND(AT$4&gt;='2025'!$L337,AT$4&lt;='2025'!$M337), AT$4&lt;&gt;DATE(2025,7,4)), (SWITCH(weekday(AT$4), 1, 0, 2, if(ISBLANK('2025'!$P337), 0, 1), 3, if(ISBLANK('2025'!$Q337), 0, 1), 4, if(ISBLANK('2025'!$R337), 0, 1), 5, if(ISBLANK('2025'!$S337), 0, 1), 6, if(ISBLANK('2025'!$T337), 0, 1), 7, 0))), 1, "")</f>
        <v/>
      </c>
      <c r="AU339" s="1" t="str">
        <f>IF(AND(AND(AND(AU$4&gt;='2025'!$L337,AU$4&lt;='2025'!$M337), AU$4&lt;&gt;DATE(2025,7,4)), (SWITCH(weekday(AU$4), 1, 0, 2, if(ISBLANK('2025'!$P337), 0, 1), 3, if(ISBLANK('2025'!$Q337), 0, 1), 4, if(ISBLANK('2025'!$R337), 0, 1), 5, if(ISBLANK('2025'!$S337), 0, 1), 6, if(ISBLANK('2025'!$T337), 0, 1), 7, 0))), 1, "")</f>
        <v/>
      </c>
      <c r="AV339" s="1" t="str">
        <f>IF(AND(AND(AND(AV$4&gt;='2025'!$L337,AV$4&lt;='2025'!$M337), AV$4&lt;&gt;DATE(2025,7,4)), (SWITCH(weekday(AV$4), 1, 0, 2, if(ISBLANK('2025'!$P337), 0, 1), 3, if(ISBLANK('2025'!$Q337), 0, 1), 4, if(ISBLANK('2025'!$R337), 0, 1), 5, if(ISBLANK('2025'!$S337), 0, 1), 6, if(ISBLANK('2025'!$T337), 0, 1), 7, 0))), 1, "")</f>
        <v/>
      </c>
      <c r="AW339" s="1" t="str">
        <f>IF(AND(AND(AND(AW$4&gt;='2025'!$L337,AW$4&lt;='2025'!$M337), AW$4&lt;&gt;DATE(2025,7,4)), (SWITCH(weekday(AW$4), 1, 0, 2, if(ISBLANK('2025'!$P337), 0, 1), 3, if(ISBLANK('2025'!$Q337), 0, 1), 4, if(ISBLANK('2025'!$R337), 0, 1), 5, if(ISBLANK('2025'!$S337), 0, 1), 6, if(ISBLANK('2025'!$T337), 0, 1), 7, 0))), 1, "")</f>
        <v/>
      </c>
      <c r="AX339" s="1" t="str">
        <f>IF(AND(AND(AND(AX$4&gt;='2025'!$L337,AX$4&lt;='2025'!$M337), AX$4&lt;&gt;DATE(2025,7,4)), (SWITCH(weekday(AX$4), 1, 0, 2, if(ISBLANK('2025'!$P337), 0, 1), 3, if(ISBLANK('2025'!$Q337), 0, 1), 4, if(ISBLANK('2025'!$R337), 0, 1), 5, if(ISBLANK('2025'!$S337), 0, 1), 6, if(ISBLANK('2025'!$T337), 0, 1), 7, 0))), 1, "")</f>
        <v/>
      </c>
      <c r="AY339" s="1" t="str">
        <f>IF(AND(AND(AND(AY$4&gt;='2025'!$L337,AY$4&lt;='2025'!$M337), AY$4&lt;&gt;DATE(2025,7,4)), (SWITCH(weekday(AY$4), 1, 0, 2, if(ISBLANK('2025'!$P337), 0, 1), 3, if(ISBLANK('2025'!$Q337), 0, 1), 4, if(ISBLANK('2025'!$R337), 0, 1), 5, if(ISBLANK('2025'!$S337), 0, 1), 6, if(ISBLANK('2025'!$T337), 0, 1), 7, 0))), 1, "")</f>
        <v/>
      </c>
      <c r="AZ339" s="1" t="str">
        <f>IF(AND(AND(AND(AZ$4&gt;='2025'!$L337,AZ$4&lt;='2025'!$M337), AZ$4&lt;&gt;DATE(2025,7,4)), (SWITCH(weekday(AZ$4), 1, 0, 2, if(ISBLANK('2025'!$P337), 0, 1), 3, if(ISBLANK('2025'!$Q337), 0, 1), 4, if(ISBLANK('2025'!$R337), 0, 1), 5, if(ISBLANK('2025'!$S337), 0, 1), 6, if(ISBLANK('2025'!$T337), 0, 1), 7, 0))), 1, "")</f>
        <v/>
      </c>
      <c r="BA339" s="1" t="str">
        <f>IF(AND(AND(AND(BA$4&gt;='2025'!$L337,BA$4&lt;='2025'!$M337), BA$4&lt;&gt;DATE(2025,7,4)), (SWITCH(weekday(BA$4), 1, 0, 2, if(ISBLANK('2025'!$P337), 0, 1), 3, if(ISBLANK('2025'!$Q337), 0, 1), 4, if(ISBLANK('2025'!$R337), 0, 1), 5, if(ISBLANK('2025'!$S337), 0, 1), 6, if(ISBLANK('2025'!$T337), 0, 1), 7, 0))), 1, "")</f>
        <v/>
      </c>
      <c r="BB339" s="1" t="str">
        <f>IF(AND(AND(AND(BB$4&gt;='2025'!$L337,BB$4&lt;='2025'!$M337), BB$4&lt;&gt;DATE(2025,7,4)), (SWITCH(weekday(BB$4), 1, 0, 2, if(ISBLANK('2025'!$P337), 0, 1), 3, if(ISBLANK('2025'!$Q337), 0, 1), 4, if(ISBLANK('2025'!$R337), 0, 1), 5, if(ISBLANK('2025'!$S337), 0, 1), 6, if(ISBLANK('2025'!$T337), 0, 1), 7, 0))), 1, "")</f>
        <v/>
      </c>
      <c r="BC339" s="1" t="str">
        <f>IF(AND(AND(AND(BC$4&gt;='2025'!$L337,BC$4&lt;='2025'!$M337), BC$4&lt;&gt;DATE(2025,7,4)), (SWITCH(weekday(BC$4), 1, 0, 2, if(ISBLANK('2025'!$P337), 0, 1), 3, if(ISBLANK('2025'!$Q337), 0, 1), 4, if(ISBLANK('2025'!$R337), 0, 1), 5, if(ISBLANK('2025'!$S337), 0, 1), 6, if(ISBLANK('2025'!$T337), 0, 1), 7, 0))), 1, "")</f>
        <v/>
      </c>
      <c r="BD339" s="1" t="str">
        <f>IF(AND(AND(AND(BD$4&gt;='2025'!$L337,BD$4&lt;='2025'!$M337), BD$4&lt;&gt;DATE(2025,7,4)), (SWITCH(weekday(BD$4), 1, 0, 2, if(ISBLANK('2025'!$P337), 0, 1), 3, if(ISBLANK('2025'!$Q337), 0, 1), 4, if(ISBLANK('2025'!$R337), 0, 1), 5, if(ISBLANK('2025'!$S337), 0, 1), 6, if(ISBLANK('2025'!$T337), 0, 1), 7, 0))), 1, "")</f>
        <v/>
      </c>
      <c r="BE339" s="1" t="str">
        <f>IF(AND(AND(AND(BE$4&gt;='2025'!$L337,BE$4&lt;='2025'!$M337), BE$4&lt;&gt;DATE(2025,7,4)), (SWITCH(weekday(BE$4), 1, 0, 2, if(ISBLANK('2025'!$P337), 0, 1), 3, if(ISBLANK('2025'!$Q337), 0, 1), 4, if(ISBLANK('2025'!$R337), 0, 1), 5, if(ISBLANK('2025'!$S337), 0, 1), 6, if(ISBLANK('2025'!$T337), 0, 1), 7, 0))), 1, "")</f>
        <v/>
      </c>
      <c r="BF339" s="1" t="str">
        <f>IF(AND(AND(AND(BF$4&gt;='2025'!$L337,BF$4&lt;='2025'!$M337), BF$4&lt;&gt;DATE(2025,7,4)), (SWITCH(weekday(BF$4), 1, 0, 2, if(ISBLANK('2025'!$P337), 0, 1), 3, if(ISBLANK('2025'!$Q337), 0, 1), 4, if(ISBLANK('2025'!$R337), 0, 1), 5, if(ISBLANK('2025'!$S337), 0, 1), 6, if(ISBLANK('2025'!$T337), 0, 1), 7, 0))), 1, "")</f>
        <v/>
      </c>
      <c r="BG339" s="1"/>
      <c r="BH339" s="1"/>
      <c r="BI339" s="1"/>
      <c r="BJ339" s="1"/>
      <c r="BK339" s="1"/>
      <c r="BL339" s="1"/>
    </row>
    <row r="340">
      <c r="A340" s="1">
        <f t="shared" si="3"/>
        <v>340</v>
      </c>
      <c r="B340" s="1" t="str">
        <f>'2025'!D304</f>
        <v>, </v>
      </c>
      <c r="C340" s="1" t="str">
        <f>'2025'!H304</f>
        <v/>
      </c>
      <c r="D340" s="1" t="str">
        <f>IF(AND(AND(AND(D$4&gt;='2025'!$L338,D$4&lt;='2025'!$M338), D$4&lt;&gt;DATE(2025,7,4)), (SWITCH(weekday(D$4), 1, 0, 2, if(ISBLANK('2025'!$P338), 0, 1), 3, if(ISBLANK('2025'!$Q338), 0, 1), 4, if(ISBLANK('2025'!$R338), 0, 1), 5, if(ISBLANK('2025'!$S338), 0, 1), 6, if(ISBLANK('2025'!$T338), 0, 1), 7, 0))), 1, "")</f>
        <v/>
      </c>
      <c r="E340" s="1" t="str">
        <f>IF(AND(AND(AND(E$4&gt;='2025'!$L338,E$4&lt;='2025'!$M338), E$4&lt;&gt;DATE(2025,7,4)), (SWITCH(weekday(E$4), 1, 0, 2, if(ISBLANK('2025'!$P338), 0, 1), 3, if(ISBLANK('2025'!$Q338), 0, 1), 4, if(ISBLANK('2025'!$R338), 0, 1), 5, if(ISBLANK('2025'!$S338), 0, 1), 6, if(ISBLANK('2025'!$T338), 0, 1), 7, 0))), 1, "")</f>
        <v/>
      </c>
      <c r="F340" s="1" t="str">
        <f>IF(AND(AND(AND(F$4&gt;='2025'!$L338,F$4&lt;='2025'!$M338), F$4&lt;&gt;DATE(2025,7,4)), (SWITCH(weekday(F$4), 1, 0, 2, if(ISBLANK('2025'!$P338), 0, 1), 3, if(ISBLANK('2025'!$Q338), 0, 1), 4, if(ISBLANK('2025'!$R338), 0, 1), 5, if(ISBLANK('2025'!$S338), 0, 1), 6, if(ISBLANK('2025'!$T338), 0, 1), 7, 0))), 1, "")</f>
        <v/>
      </c>
      <c r="G340" s="1" t="str">
        <f>IF(AND(AND(AND(G$4&gt;='2025'!$L338,G$4&lt;='2025'!$M338), G$4&lt;&gt;DATE(2025,7,4)), (SWITCH(weekday(G$4), 1, 0, 2, if(ISBLANK('2025'!$P338), 0, 1), 3, if(ISBLANK('2025'!$Q338), 0, 1), 4, if(ISBLANK('2025'!$R338), 0, 1), 5, if(ISBLANK('2025'!$S338), 0, 1), 6, if(ISBLANK('2025'!$T338), 0, 1), 7, 0))), 1, "")</f>
        <v/>
      </c>
      <c r="H340" s="1" t="str">
        <f>IF(AND(AND(AND(H$4&gt;='2025'!$L338,H$4&lt;='2025'!$M338), H$4&lt;&gt;DATE(2025,7,4)), (SWITCH(weekday(H$4), 1, 0, 2, if(ISBLANK('2025'!$P338), 0, 1), 3, if(ISBLANK('2025'!$Q338), 0, 1), 4, if(ISBLANK('2025'!$R338), 0, 1), 5, if(ISBLANK('2025'!$S338), 0, 1), 6, if(ISBLANK('2025'!$T338), 0, 1), 7, 0))), 1, "")</f>
        <v/>
      </c>
      <c r="I340" s="1" t="str">
        <f>IF(AND(AND(AND(I$4&gt;='2025'!$L338,I$4&lt;='2025'!$M338), I$4&lt;&gt;DATE(2025,7,4)), (SWITCH(weekday(I$4), 1, 0, 2, if(ISBLANK('2025'!$P338), 0, 1), 3, if(ISBLANK('2025'!$Q338), 0, 1), 4, if(ISBLANK('2025'!$R338), 0, 1), 5, if(ISBLANK('2025'!$S338), 0, 1), 6, if(ISBLANK('2025'!$T338), 0, 1), 7, 0))), 1, "")</f>
        <v/>
      </c>
      <c r="J340" s="1" t="str">
        <f>IF(AND(AND(AND(J$4&gt;='2025'!$L338,J$4&lt;='2025'!$M338), J$4&lt;&gt;DATE(2025,7,4)), (SWITCH(weekday(J$4), 1, 0, 2, if(ISBLANK('2025'!$P338), 0, 1), 3, if(ISBLANK('2025'!$Q338), 0, 1), 4, if(ISBLANK('2025'!$R338), 0, 1), 5, if(ISBLANK('2025'!$S338), 0, 1), 6, if(ISBLANK('2025'!$T338), 0, 1), 7, 0))), 1, "")</f>
        <v/>
      </c>
      <c r="K340" s="1" t="str">
        <f>IF(AND(AND(AND(K$4&gt;='2025'!$L338,K$4&lt;='2025'!$M338), K$4&lt;&gt;DATE(2025,7,4)), (SWITCH(weekday(K$4), 1, 0, 2, if(ISBLANK('2025'!$P338), 0, 1), 3, if(ISBLANK('2025'!$Q338), 0, 1), 4, if(ISBLANK('2025'!$R338), 0, 1), 5, if(ISBLANK('2025'!$S338), 0, 1), 6, if(ISBLANK('2025'!$T338), 0, 1), 7, 0))), 1, "")</f>
        <v/>
      </c>
      <c r="L340" s="1" t="str">
        <f>IF(AND(AND(AND(L$4&gt;='2025'!$L338,L$4&lt;='2025'!$M338), L$4&lt;&gt;DATE(2025,7,4)), (SWITCH(weekday(L$4), 1, 0, 2, if(ISBLANK('2025'!$P338), 0, 1), 3, if(ISBLANK('2025'!$Q338), 0, 1), 4, if(ISBLANK('2025'!$R338), 0, 1), 5, if(ISBLANK('2025'!$S338), 0, 1), 6, if(ISBLANK('2025'!$T338), 0, 1), 7, 0))), 1, "")</f>
        <v/>
      </c>
      <c r="M340" s="1" t="str">
        <f>IF(AND(AND(AND(M$4&gt;='2025'!$L338,M$4&lt;='2025'!$M338), M$4&lt;&gt;DATE(2025,7,4)), (SWITCH(weekday(M$4), 1, 0, 2, if(ISBLANK('2025'!$P338), 0, 1), 3, if(ISBLANK('2025'!$Q338), 0, 1), 4, if(ISBLANK('2025'!$R338), 0, 1), 5, if(ISBLANK('2025'!$S338), 0, 1), 6, if(ISBLANK('2025'!$T338), 0, 1), 7, 0))), 1, "")</f>
        <v/>
      </c>
      <c r="N340" s="1" t="str">
        <f>IF(AND(AND(AND(N$4&gt;='2025'!$L338,N$4&lt;='2025'!$M338), N$4&lt;&gt;DATE(2025,7,4)), (SWITCH(weekday(N$4), 1, 0, 2, if(ISBLANK('2025'!$P338), 0, 1), 3, if(ISBLANK('2025'!$Q338), 0, 1), 4, if(ISBLANK('2025'!$R338), 0, 1), 5, if(ISBLANK('2025'!$S338), 0, 1), 6, if(ISBLANK('2025'!$T338), 0, 1), 7, 0))), 1, "")</f>
        <v/>
      </c>
      <c r="O340" s="1" t="str">
        <f>IF(AND(AND(AND(O$4&gt;='2025'!$L338,O$4&lt;='2025'!$M338), O$4&lt;&gt;DATE(2025,7,4)), (SWITCH(weekday(O$4), 1, 0, 2, if(ISBLANK('2025'!$P338), 0, 1), 3, if(ISBLANK('2025'!$Q338), 0, 1), 4, if(ISBLANK('2025'!$R338), 0, 1), 5, if(ISBLANK('2025'!$S338), 0, 1), 6, if(ISBLANK('2025'!$T338), 0, 1), 7, 0))), 1, "")</f>
        <v/>
      </c>
      <c r="P340" s="1" t="str">
        <f>IF(AND(AND(AND(P$4&gt;='2025'!$L338,P$4&lt;='2025'!$M338), P$4&lt;&gt;DATE(2025,7,4)), (SWITCH(weekday(P$4), 1, 0, 2, if(ISBLANK('2025'!$P338), 0, 1), 3, if(ISBLANK('2025'!$Q338), 0, 1), 4, if(ISBLANK('2025'!$R338), 0, 1), 5, if(ISBLANK('2025'!$S338), 0, 1), 6, if(ISBLANK('2025'!$T338), 0, 1), 7, 0))), 1, "")</f>
        <v/>
      </c>
      <c r="Q340" s="1" t="str">
        <f>IF(AND(AND(AND(Q$4&gt;='2025'!$L338,Q$4&lt;='2025'!$M338), Q$4&lt;&gt;DATE(2025,7,4)), (SWITCH(weekday(Q$4), 1, 0, 2, if(ISBLANK('2025'!$P338), 0, 1), 3, if(ISBLANK('2025'!$Q338), 0, 1), 4, if(ISBLANK('2025'!$R338), 0, 1), 5, if(ISBLANK('2025'!$S338), 0, 1), 6, if(ISBLANK('2025'!$T338), 0, 1), 7, 0))), 1, "")</f>
        <v/>
      </c>
      <c r="R340" s="1" t="str">
        <f>IF(AND(AND(AND(R$4&gt;='2025'!$L338,R$4&lt;='2025'!$M338), R$4&lt;&gt;DATE(2025,7,4)), (SWITCH(weekday(R$4), 1, 0, 2, if(ISBLANK('2025'!$P338), 0, 1), 3, if(ISBLANK('2025'!$Q338), 0, 1), 4, if(ISBLANK('2025'!$R338), 0, 1), 5, if(ISBLANK('2025'!$S338), 0, 1), 6, if(ISBLANK('2025'!$T338), 0, 1), 7, 0))), 1, "")</f>
        <v/>
      </c>
      <c r="S340" s="1" t="str">
        <f>IF(AND(AND(AND(S$4&gt;='2025'!$L338,S$4&lt;='2025'!$M338), S$4&lt;&gt;DATE(2025,7,4)), (SWITCH(weekday(S$4), 1, 0, 2, if(ISBLANK('2025'!$P338), 0, 1), 3, if(ISBLANK('2025'!$Q338), 0, 1), 4, if(ISBLANK('2025'!$R338), 0, 1), 5, if(ISBLANK('2025'!$S338), 0, 1), 6, if(ISBLANK('2025'!$T338), 0, 1), 7, 0))), 1, "")</f>
        <v/>
      </c>
      <c r="T340" s="1" t="str">
        <f>IF(AND(AND(AND(T$4&gt;='2025'!$L338,T$4&lt;='2025'!$M338), T$4&lt;&gt;DATE(2025,7,4)), (SWITCH(weekday(T$4), 1, 0, 2, if(ISBLANK('2025'!$P338), 0, 1), 3, if(ISBLANK('2025'!$Q338), 0, 1), 4, if(ISBLANK('2025'!$R338), 0, 1), 5, if(ISBLANK('2025'!$S338), 0, 1), 6, if(ISBLANK('2025'!$T338), 0, 1), 7, 0))), 1, "")</f>
        <v/>
      </c>
      <c r="U340" s="1" t="str">
        <f>IF(AND(AND(AND(U$4&gt;='2025'!$L338,U$4&lt;='2025'!$M338), U$4&lt;&gt;DATE(2025,7,4)), (SWITCH(weekday(U$4), 1, 0, 2, if(ISBLANK('2025'!$P338), 0, 1), 3, if(ISBLANK('2025'!$Q338), 0, 1), 4, if(ISBLANK('2025'!$R338), 0, 1), 5, if(ISBLANK('2025'!$S338), 0, 1), 6, if(ISBLANK('2025'!$T338), 0, 1), 7, 0))), 1, "")</f>
        <v/>
      </c>
      <c r="V340" s="1" t="str">
        <f>IF(AND(AND(AND(V$4&gt;='2025'!$L338,V$4&lt;='2025'!$M338), V$4&lt;&gt;DATE(2025,7,4)), (SWITCH(weekday(V$4), 1, 0, 2, if(ISBLANK('2025'!$P338), 0, 1), 3, if(ISBLANK('2025'!$Q338), 0, 1), 4, if(ISBLANK('2025'!$R338), 0, 1), 5, if(ISBLANK('2025'!$S338), 0, 1), 6, if(ISBLANK('2025'!$T338), 0, 1), 7, 0))), 1, "")</f>
        <v/>
      </c>
      <c r="W340" s="1" t="str">
        <f>IF(AND(AND(AND(W$4&gt;='2025'!$L338,W$4&lt;='2025'!$M338), W$4&lt;&gt;DATE(2025,7,4)), (SWITCH(weekday(W$4), 1, 0, 2, if(ISBLANK('2025'!$P338), 0, 1), 3, if(ISBLANK('2025'!$Q338), 0, 1), 4, if(ISBLANK('2025'!$R338), 0, 1), 5, if(ISBLANK('2025'!$S338), 0, 1), 6, if(ISBLANK('2025'!$T338), 0, 1), 7, 0))), 1, "")</f>
        <v/>
      </c>
      <c r="X340" s="1" t="str">
        <f>IF(AND(AND(AND(X$4&gt;='2025'!$L338,X$4&lt;='2025'!$M338), X$4&lt;&gt;DATE(2025,7,4)), (SWITCH(weekday(X$4), 1, 0, 2, if(ISBLANK('2025'!$P338), 0, 1), 3, if(ISBLANK('2025'!$Q338), 0, 1), 4, if(ISBLANK('2025'!$R338), 0, 1), 5, if(ISBLANK('2025'!$S338), 0, 1), 6, if(ISBLANK('2025'!$T338), 0, 1), 7, 0))), 1, "")</f>
        <v/>
      </c>
      <c r="Y340" s="1" t="str">
        <f>IF(AND(AND(AND(Y$4&gt;='2025'!$L338,Y$4&lt;='2025'!$M338), Y$4&lt;&gt;DATE(2025,7,4)), (SWITCH(weekday(Y$4), 1, 0, 2, if(ISBLANK('2025'!$P338), 0, 1), 3, if(ISBLANK('2025'!$Q338), 0, 1), 4, if(ISBLANK('2025'!$R338), 0, 1), 5, if(ISBLANK('2025'!$S338), 0, 1), 6, if(ISBLANK('2025'!$T338), 0, 1), 7, 0))), 1, "")</f>
        <v/>
      </c>
      <c r="Z340" s="1" t="str">
        <f>IF(AND(AND(AND(Z$4&gt;='2025'!$L338,Z$4&lt;='2025'!$M338), Z$4&lt;&gt;DATE(2025,7,4)), (SWITCH(weekday(Z$4), 1, 0, 2, if(ISBLANK('2025'!$P338), 0, 1), 3, if(ISBLANK('2025'!$Q338), 0, 1), 4, if(ISBLANK('2025'!$R338), 0, 1), 5, if(ISBLANK('2025'!$S338), 0, 1), 6, if(ISBLANK('2025'!$T338), 0, 1), 7, 0))), 1, "")</f>
        <v/>
      </c>
      <c r="AA340" s="1" t="str">
        <f>IF(AND(AND(AND(AA$4&gt;='2025'!$L338,AA$4&lt;='2025'!$M338), AA$4&lt;&gt;DATE(2025,7,4)), (SWITCH(weekday(AA$4), 1, 0, 2, if(ISBLANK('2025'!$P338), 0, 1), 3, if(ISBLANK('2025'!$Q338), 0, 1), 4, if(ISBLANK('2025'!$R338), 0, 1), 5, if(ISBLANK('2025'!$S338), 0, 1), 6, if(ISBLANK('2025'!$T338), 0, 1), 7, 0))), 1, "")</f>
        <v/>
      </c>
      <c r="AB340" s="1" t="str">
        <f>IF(AND(AND(AND(AB$4&gt;='2025'!$L338,AB$4&lt;='2025'!$M338), AB$4&lt;&gt;DATE(2025,7,4)), (SWITCH(weekday(AB$4), 1, 0, 2, if(ISBLANK('2025'!$P338), 0, 1), 3, if(ISBLANK('2025'!$Q338), 0, 1), 4, if(ISBLANK('2025'!$R338), 0, 1), 5, if(ISBLANK('2025'!$S338), 0, 1), 6, if(ISBLANK('2025'!$T338), 0, 1), 7, 0))), 1, "")</f>
        <v/>
      </c>
      <c r="AC340" s="1" t="str">
        <f>IF(AND(AND(AND(AC$4&gt;='2025'!$L338,AC$4&lt;='2025'!$M338), AC$4&lt;&gt;DATE(2025,7,4)), (SWITCH(weekday(AC$4), 1, 0, 2, if(ISBLANK('2025'!$P338), 0, 1), 3, if(ISBLANK('2025'!$Q338), 0, 1), 4, if(ISBLANK('2025'!$R338), 0, 1), 5, if(ISBLANK('2025'!$S338), 0, 1), 6, if(ISBLANK('2025'!$T338), 0, 1), 7, 0))), 1, "")</f>
        <v/>
      </c>
      <c r="AD340" s="1" t="str">
        <f>IF(AND(AND(AND(AD$4&gt;='2025'!$L338,AD$4&lt;='2025'!$M338), AD$4&lt;&gt;DATE(2025,7,4)), (SWITCH(weekday(AD$4), 1, 0, 2, if(ISBLANK('2025'!$P338), 0, 1), 3, if(ISBLANK('2025'!$Q338), 0, 1), 4, if(ISBLANK('2025'!$R338), 0, 1), 5, if(ISBLANK('2025'!$S338), 0, 1), 6, if(ISBLANK('2025'!$T338), 0, 1), 7, 0))), 1, "")</f>
        <v/>
      </c>
      <c r="AE340" s="1" t="str">
        <f>IF(AND(AND(AND(AE$4&gt;='2025'!$L338,AE$4&lt;='2025'!$M338), AE$4&lt;&gt;DATE(2025,7,4)), (SWITCH(weekday(AE$4), 1, 0, 2, if(ISBLANK('2025'!$P338), 0, 1), 3, if(ISBLANK('2025'!$Q338), 0, 1), 4, if(ISBLANK('2025'!$R338), 0, 1), 5, if(ISBLANK('2025'!$S338), 0, 1), 6, if(ISBLANK('2025'!$T338), 0, 1), 7, 0))), 1, "")</f>
        <v/>
      </c>
      <c r="AF340" s="1" t="str">
        <f>IF(AND(AND(AND(AF$4&gt;='2025'!$L338,AF$4&lt;='2025'!$M338), AF$4&lt;&gt;DATE(2025,7,4)), (SWITCH(weekday(AF$4), 1, 0, 2, if(ISBLANK('2025'!$P338), 0, 1), 3, if(ISBLANK('2025'!$Q338), 0, 1), 4, if(ISBLANK('2025'!$R338), 0, 1), 5, if(ISBLANK('2025'!$S338), 0, 1), 6, if(ISBLANK('2025'!$T338), 0, 1), 7, 0))), 1, "")</f>
        <v/>
      </c>
      <c r="AG340" s="1" t="str">
        <f>IF(AND(AND(AND(AG$4&gt;='2025'!$L338,AG$4&lt;='2025'!$M338), AG$4&lt;&gt;DATE(2025,7,4)), (SWITCH(weekday(AG$4), 1, 0, 2, if(ISBLANK('2025'!$P338), 0, 1), 3, if(ISBLANK('2025'!$Q338), 0, 1), 4, if(ISBLANK('2025'!$R338), 0, 1), 5, if(ISBLANK('2025'!$S338), 0, 1), 6, if(ISBLANK('2025'!$T338), 0, 1), 7, 0))), 1, "")</f>
        <v/>
      </c>
      <c r="AH340" s="1" t="str">
        <f>IF(AND(AND(AND(AH$4&gt;='2025'!$L338,AH$4&lt;='2025'!$M338), AH$4&lt;&gt;DATE(2025,7,4)), (SWITCH(weekday(AH$4), 1, 0, 2, if(ISBLANK('2025'!$P338), 0, 1), 3, if(ISBLANK('2025'!$Q338), 0, 1), 4, if(ISBLANK('2025'!$R338), 0, 1), 5, if(ISBLANK('2025'!$S338), 0, 1), 6, if(ISBLANK('2025'!$T338), 0, 1), 7, 0))), 1, "")</f>
        <v/>
      </c>
      <c r="AI340" s="1" t="str">
        <f>IF(AND(AND(AND(AI$4&gt;='2025'!$L338,AI$4&lt;='2025'!$M338), AI$4&lt;&gt;DATE(2025,7,4)), (SWITCH(weekday(AI$4), 1, 0, 2, if(ISBLANK('2025'!$P338), 0, 1), 3, if(ISBLANK('2025'!$Q338), 0, 1), 4, if(ISBLANK('2025'!$R338), 0, 1), 5, if(ISBLANK('2025'!$S338), 0, 1), 6, if(ISBLANK('2025'!$T338), 0, 1), 7, 0))), 1, "")</f>
        <v/>
      </c>
      <c r="AJ340" s="1" t="str">
        <f>IF(AND(AND(AND(AJ$4&gt;='2025'!$L338,AJ$4&lt;='2025'!$M338), AJ$4&lt;&gt;DATE(2025,7,4)), (SWITCH(weekday(AJ$4), 1, 0, 2, if(ISBLANK('2025'!$P338), 0, 1), 3, if(ISBLANK('2025'!$Q338), 0, 1), 4, if(ISBLANK('2025'!$R338), 0, 1), 5, if(ISBLANK('2025'!$S338), 0, 1), 6, if(ISBLANK('2025'!$T338), 0, 1), 7, 0))), 1, "")</f>
        <v/>
      </c>
      <c r="AK340" s="1" t="str">
        <f>IF(AND(AND(AND(AK$4&gt;='2025'!$L338,AK$4&lt;='2025'!$M338), AK$4&lt;&gt;DATE(2025,7,4)), (SWITCH(weekday(AK$4), 1, 0, 2, if(ISBLANK('2025'!$P338), 0, 1), 3, if(ISBLANK('2025'!$Q338), 0, 1), 4, if(ISBLANK('2025'!$R338), 0, 1), 5, if(ISBLANK('2025'!$S338), 0, 1), 6, if(ISBLANK('2025'!$T338), 0, 1), 7, 0))), 1, "")</f>
        <v/>
      </c>
      <c r="AL340" s="1" t="str">
        <f>IF(AND(AND(AND(AL$4&gt;='2025'!$L338,AL$4&lt;='2025'!$M338), AL$4&lt;&gt;DATE(2025,7,4)), (SWITCH(weekday(AL$4), 1, 0, 2, if(ISBLANK('2025'!$P338), 0, 1), 3, if(ISBLANK('2025'!$Q338), 0, 1), 4, if(ISBLANK('2025'!$R338), 0, 1), 5, if(ISBLANK('2025'!$S338), 0, 1), 6, if(ISBLANK('2025'!$T338), 0, 1), 7, 0))), 1, "")</f>
        <v/>
      </c>
      <c r="AM340" s="1" t="str">
        <f>IF(AND(AND(AND(AM$4&gt;='2025'!$L338,AM$4&lt;='2025'!$M338), AM$4&lt;&gt;DATE(2025,7,4)), (SWITCH(weekday(AM$4), 1, 0, 2, if(ISBLANK('2025'!$P338), 0, 1), 3, if(ISBLANK('2025'!$Q338), 0, 1), 4, if(ISBLANK('2025'!$R338), 0, 1), 5, if(ISBLANK('2025'!$S338), 0, 1), 6, if(ISBLANK('2025'!$T338), 0, 1), 7, 0))), 1, "")</f>
        <v/>
      </c>
      <c r="AN340" s="1" t="str">
        <f>IF(AND(AND(AND(AN$4&gt;='2025'!$L338,AN$4&lt;='2025'!$M338), AN$4&lt;&gt;DATE(2025,7,4)), (SWITCH(weekday(AN$4), 1, 0, 2, if(ISBLANK('2025'!$P338), 0, 1), 3, if(ISBLANK('2025'!$Q338), 0, 1), 4, if(ISBLANK('2025'!$R338), 0, 1), 5, if(ISBLANK('2025'!$S338), 0, 1), 6, if(ISBLANK('2025'!$T338), 0, 1), 7, 0))), 1, "")</f>
        <v/>
      </c>
      <c r="AO340" s="1" t="str">
        <f>IF(AND(AND(AND(AO$4&gt;='2025'!$L338,AO$4&lt;='2025'!$M338), AO$4&lt;&gt;DATE(2025,7,4)), (SWITCH(weekday(AO$4), 1, 0, 2, if(ISBLANK('2025'!$P338), 0, 1), 3, if(ISBLANK('2025'!$Q338), 0, 1), 4, if(ISBLANK('2025'!$R338), 0, 1), 5, if(ISBLANK('2025'!$S338), 0, 1), 6, if(ISBLANK('2025'!$T338), 0, 1), 7, 0))), 1, "")</f>
        <v/>
      </c>
      <c r="AP340" s="1" t="str">
        <f>IF(AND(AND(AND(AP$4&gt;='2025'!$L338,AP$4&lt;='2025'!$M338), AP$4&lt;&gt;DATE(2025,7,4)), (SWITCH(weekday(AP$4), 1, 0, 2, if(ISBLANK('2025'!$P338), 0, 1), 3, if(ISBLANK('2025'!$Q338), 0, 1), 4, if(ISBLANK('2025'!$R338), 0, 1), 5, if(ISBLANK('2025'!$S338), 0, 1), 6, if(ISBLANK('2025'!$T338), 0, 1), 7, 0))), 1, "")</f>
        <v/>
      </c>
      <c r="AQ340" s="1" t="str">
        <f>IF(AND(AND(AND(AQ$4&gt;='2025'!$L338,AQ$4&lt;='2025'!$M338), AQ$4&lt;&gt;DATE(2025,7,4)), (SWITCH(weekday(AQ$4), 1, 0, 2, if(ISBLANK('2025'!$P338), 0, 1), 3, if(ISBLANK('2025'!$Q338), 0, 1), 4, if(ISBLANK('2025'!$R338), 0, 1), 5, if(ISBLANK('2025'!$S338), 0, 1), 6, if(ISBLANK('2025'!$T338), 0, 1), 7, 0))), 1, "")</f>
        <v/>
      </c>
      <c r="AR340" s="1" t="str">
        <f>IF(AND(AND(AND(AR$4&gt;='2025'!$L338,AR$4&lt;='2025'!$M338), AR$4&lt;&gt;DATE(2025,7,4)), (SWITCH(weekday(AR$4), 1, 0, 2, if(ISBLANK('2025'!$P338), 0, 1), 3, if(ISBLANK('2025'!$Q338), 0, 1), 4, if(ISBLANK('2025'!$R338), 0, 1), 5, if(ISBLANK('2025'!$S338), 0, 1), 6, if(ISBLANK('2025'!$T338), 0, 1), 7, 0))), 1, "")</f>
        <v/>
      </c>
      <c r="AS340" s="1" t="str">
        <f>IF(AND(AND(AND(AS$4&gt;='2025'!$L338,AS$4&lt;='2025'!$M338), AS$4&lt;&gt;DATE(2025,7,4)), (SWITCH(weekday(AS$4), 1, 0, 2, if(ISBLANK('2025'!$P338), 0, 1), 3, if(ISBLANK('2025'!$Q338), 0, 1), 4, if(ISBLANK('2025'!$R338), 0, 1), 5, if(ISBLANK('2025'!$S338), 0, 1), 6, if(ISBLANK('2025'!$T338), 0, 1), 7, 0))), 1, "")</f>
        <v/>
      </c>
      <c r="AT340" s="1" t="str">
        <f>IF(AND(AND(AND(AT$4&gt;='2025'!$L338,AT$4&lt;='2025'!$M338), AT$4&lt;&gt;DATE(2025,7,4)), (SWITCH(weekday(AT$4), 1, 0, 2, if(ISBLANK('2025'!$P338), 0, 1), 3, if(ISBLANK('2025'!$Q338), 0, 1), 4, if(ISBLANK('2025'!$R338), 0, 1), 5, if(ISBLANK('2025'!$S338), 0, 1), 6, if(ISBLANK('2025'!$T338), 0, 1), 7, 0))), 1, "")</f>
        <v/>
      </c>
      <c r="AU340" s="1" t="str">
        <f>IF(AND(AND(AND(AU$4&gt;='2025'!$L338,AU$4&lt;='2025'!$M338), AU$4&lt;&gt;DATE(2025,7,4)), (SWITCH(weekday(AU$4), 1, 0, 2, if(ISBLANK('2025'!$P338), 0, 1), 3, if(ISBLANK('2025'!$Q338), 0, 1), 4, if(ISBLANK('2025'!$R338), 0, 1), 5, if(ISBLANK('2025'!$S338), 0, 1), 6, if(ISBLANK('2025'!$T338), 0, 1), 7, 0))), 1, "")</f>
        <v/>
      </c>
      <c r="AV340" s="1" t="str">
        <f>IF(AND(AND(AND(AV$4&gt;='2025'!$L338,AV$4&lt;='2025'!$M338), AV$4&lt;&gt;DATE(2025,7,4)), (SWITCH(weekday(AV$4), 1, 0, 2, if(ISBLANK('2025'!$P338), 0, 1), 3, if(ISBLANK('2025'!$Q338), 0, 1), 4, if(ISBLANK('2025'!$R338), 0, 1), 5, if(ISBLANK('2025'!$S338), 0, 1), 6, if(ISBLANK('2025'!$T338), 0, 1), 7, 0))), 1, "")</f>
        <v/>
      </c>
      <c r="AW340" s="1" t="str">
        <f>IF(AND(AND(AND(AW$4&gt;='2025'!$L338,AW$4&lt;='2025'!$M338), AW$4&lt;&gt;DATE(2025,7,4)), (SWITCH(weekday(AW$4), 1, 0, 2, if(ISBLANK('2025'!$P338), 0, 1), 3, if(ISBLANK('2025'!$Q338), 0, 1), 4, if(ISBLANK('2025'!$R338), 0, 1), 5, if(ISBLANK('2025'!$S338), 0, 1), 6, if(ISBLANK('2025'!$T338), 0, 1), 7, 0))), 1, "")</f>
        <v/>
      </c>
      <c r="AX340" s="1" t="str">
        <f>IF(AND(AND(AND(AX$4&gt;='2025'!$L338,AX$4&lt;='2025'!$M338), AX$4&lt;&gt;DATE(2025,7,4)), (SWITCH(weekday(AX$4), 1, 0, 2, if(ISBLANK('2025'!$P338), 0, 1), 3, if(ISBLANK('2025'!$Q338), 0, 1), 4, if(ISBLANK('2025'!$R338), 0, 1), 5, if(ISBLANK('2025'!$S338), 0, 1), 6, if(ISBLANK('2025'!$T338), 0, 1), 7, 0))), 1, "")</f>
        <v/>
      </c>
      <c r="AY340" s="1" t="str">
        <f>IF(AND(AND(AND(AY$4&gt;='2025'!$L338,AY$4&lt;='2025'!$M338), AY$4&lt;&gt;DATE(2025,7,4)), (SWITCH(weekday(AY$4), 1, 0, 2, if(ISBLANK('2025'!$P338), 0, 1), 3, if(ISBLANK('2025'!$Q338), 0, 1), 4, if(ISBLANK('2025'!$R338), 0, 1), 5, if(ISBLANK('2025'!$S338), 0, 1), 6, if(ISBLANK('2025'!$T338), 0, 1), 7, 0))), 1, "")</f>
        <v/>
      </c>
      <c r="AZ340" s="1" t="str">
        <f>IF(AND(AND(AND(AZ$4&gt;='2025'!$L338,AZ$4&lt;='2025'!$M338), AZ$4&lt;&gt;DATE(2025,7,4)), (SWITCH(weekday(AZ$4), 1, 0, 2, if(ISBLANK('2025'!$P338), 0, 1), 3, if(ISBLANK('2025'!$Q338), 0, 1), 4, if(ISBLANK('2025'!$R338), 0, 1), 5, if(ISBLANK('2025'!$S338), 0, 1), 6, if(ISBLANK('2025'!$T338), 0, 1), 7, 0))), 1, "")</f>
        <v/>
      </c>
      <c r="BA340" s="1" t="str">
        <f>IF(AND(AND(AND(BA$4&gt;='2025'!$L338,BA$4&lt;='2025'!$M338), BA$4&lt;&gt;DATE(2025,7,4)), (SWITCH(weekday(BA$4), 1, 0, 2, if(ISBLANK('2025'!$P338), 0, 1), 3, if(ISBLANK('2025'!$Q338), 0, 1), 4, if(ISBLANK('2025'!$R338), 0, 1), 5, if(ISBLANK('2025'!$S338), 0, 1), 6, if(ISBLANK('2025'!$T338), 0, 1), 7, 0))), 1, "")</f>
        <v/>
      </c>
      <c r="BB340" s="1" t="str">
        <f>IF(AND(AND(AND(BB$4&gt;='2025'!$L338,BB$4&lt;='2025'!$M338), BB$4&lt;&gt;DATE(2025,7,4)), (SWITCH(weekday(BB$4), 1, 0, 2, if(ISBLANK('2025'!$P338), 0, 1), 3, if(ISBLANK('2025'!$Q338), 0, 1), 4, if(ISBLANK('2025'!$R338), 0, 1), 5, if(ISBLANK('2025'!$S338), 0, 1), 6, if(ISBLANK('2025'!$T338), 0, 1), 7, 0))), 1, "")</f>
        <v/>
      </c>
      <c r="BC340" s="1" t="str">
        <f>IF(AND(AND(AND(BC$4&gt;='2025'!$L338,BC$4&lt;='2025'!$M338), BC$4&lt;&gt;DATE(2025,7,4)), (SWITCH(weekday(BC$4), 1, 0, 2, if(ISBLANK('2025'!$P338), 0, 1), 3, if(ISBLANK('2025'!$Q338), 0, 1), 4, if(ISBLANK('2025'!$R338), 0, 1), 5, if(ISBLANK('2025'!$S338), 0, 1), 6, if(ISBLANK('2025'!$T338), 0, 1), 7, 0))), 1, "")</f>
        <v/>
      </c>
      <c r="BD340" s="1" t="str">
        <f>IF(AND(AND(AND(BD$4&gt;='2025'!$L338,BD$4&lt;='2025'!$M338), BD$4&lt;&gt;DATE(2025,7,4)), (SWITCH(weekday(BD$4), 1, 0, 2, if(ISBLANK('2025'!$P338), 0, 1), 3, if(ISBLANK('2025'!$Q338), 0, 1), 4, if(ISBLANK('2025'!$R338), 0, 1), 5, if(ISBLANK('2025'!$S338), 0, 1), 6, if(ISBLANK('2025'!$T338), 0, 1), 7, 0))), 1, "")</f>
        <v/>
      </c>
      <c r="BE340" s="1" t="str">
        <f>IF(AND(AND(AND(BE$4&gt;='2025'!$L338,BE$4&lt;='2025'!$M338), BE$4&lt;&gt;DATE(2025,7,4)), (SWITCH(weekday(BE$4), 1, 0, 2, if(ISBLANK('2025'!$P338), 0, 1), 3, if(ISBLANK('2025'!$Q338), 0, 1), 4, if(ISBLANK('2025'!$R338), 0, 1), 5, if(ISBLANK('2025'!$S338), 0, 1), 6, if(ISBLANK('2025'!$T338), 0, 1), 7, 0))), 1, "")</f>
        <v/>
      </c>
      <c r="BF340" s="1" t="str">
        <f>IF(AND(AND(AND(BF$4&gt;='2025'!$L338,BF$4&lt;='2025'!$M338), BF$4&lt;&gt;DATE(2025,7,4)), (SWITCH(weekday(BF$4), 1, 0, 2, if(ISBLANK('2025'!$P338), 0, 1), 3, if(ISBLANK('2025'!$Q338), 0, 1), 4, if(ISBLANK('2025'!$R338), 0, 1), 5, if(ISBLANK('2025'!$S338), 0, 1), 6, if(ISBLANK('2025'!$T338), 0, 1), 7, 0))), 1, "")</f>
        <v/>
      </c>
      <c r="BG340" s="1"/>
      <c r="BH340" s="1"/>
      <c r="BI340" s="1"/>
      <c r="BJ340" s="1"/>
      <c r="BK340" s="1"/>
      <c r="BL340" s="1"/>
    </row>
    <row r="341">
      <c r="A341" s="1">
        <f t="shared" si="3"/>
        <v>341</v>
      </c>
      <c r="B341" s="1" t="str">
        <f>'2025'!D305</f>
        <v>, </v>
      </c>
      <c r="C341" s="1" t="str">
        <f>'2025'!H305</f>
        <v/>
      </c>
      <c r="D341" s="1" t="str">
        <f>IF(AND(AND(AND(D$4&gt;='2025'!$L339,D$4&lt;='2025'!$M339), D$4&lt;&gt;DATE(2025,7,4)), (SWITCH(weekday(D$4), 1, 0, 2, if(ISBLANK('2025'!$P339), 0, 1), 3, if(ISBLANK('2025'!$Q339), 0, 1), 4, if(ISBLANK('2025'!$R339), 0, 1), 5, if(ISBLANK('2025'!$S339), 0, 1), 6, if(ISBLANK('2025'!$T339), 0, 1), 7, 0))), 1, "")</f>
        <v/>
      </c>
      <c r="E341" s="1" t="str">
        <f>IF(AND(AND(AND(E$4&gt;='2025'!$L339,E$4&lt;='2025'!$M339), E$4&lt;&gt;DATE(2025,7,4)), (SWITCH(weekday(E$4), 1, 0, 2, if(ISBLANK('2025'!$P339), 0, 1), 3, if(ISBLANK('2025'!$Q339), 0, 1), 4, if(ISBLANK('2025'!$R339), 0, 1), 5, if(ISBLANK('2025'!$S339), 0, 1), 6, if(ISBLANK('2025'!$T339), 0, 1), 7, 0))), 1, "")</f>
        <v/>
      </c>
      <c r="F341" s="1" t="str">
        <f>IF(AND(AND(AND(F$4&gt;='2025'!$L339,F$4&lt;='2025'!$M339), F$4&lt;&gt;DATE(2025,7,4)), (SWITCH(weekday(F$4), 1, 0, 2, if(ISBLANK('2025'!$P339), 0, 1), 3, if(ISBLANK('2025'!$Q339), 0, 1), 4, if(ISBLANK('2025'!$R339), 0, 1), 5, if(ISBLANK('2025'!$S339), 0, 1), 6, if(ISBLANK('2025'!$T339), 0, 1), 7, 0))), 1, "")</f>
        <v/>
      </c>
      <c r="G341" s="1" t="str">
        <f>IF(AND(AND(AND(G$4&gt;='2025'!$L339,G$4&lt;='2025'!$M339), G$4&lt;&gt;DATE(2025,7,4)), (SWITCH(weekday(G$4), 1, 0, 2, if(ISBLANK('2025'!$P339), 0, 1), 3, if(ISBLANK('2025'!$Q339), 0, 1), 4, if(ISBLANK('2025'!$R339), 0, 1), 5, if(ISBLANK('2025'!$S339), 0, 1), 6, if(ISBLANK('2025'!$T339), 0, 1), 7, 0))), 1, "")</f>
        <v/>
      </c>
      <c r="H341" s="1" t="str">
        <f>IF(AND(AND(AND(H$4&gt;='2025'!$L339,H$4&lt;='2025'!$M339), H$4&lt;&gt;DATE(2025,7,4)), (SWITCH(weekday(H$4), 1, 0, 2, if(ISBLANK('2025'!$P339), 0, 1), 3, if(ISBLANK('2025'!$Q339), 0, 1), 4, if(ISBLANK('2025'!$R339), 0, 1), 5, if(ISBLANK('2025'!$S339), 0, 1), 6, if(ISBLANK('2025'!$T339), 0, 1), 7, 0))), 1, "")</f>
        <v/>
      </c>
      <c r="I341" s="1" t="str">
        <f>IF(AND(AND(AND(I$4&gt;='2025'!$L339,I$4&lt;='2025'!$M339), I$4&lt;&gt;DATE(2025,7,4)), (SWITCH(weekday(I$4), 1, 0, 2, if(ISBLANK('2025'!$P339), 0, 1), 3, if(ISBLANK('2025'!$Q339), 0, 1), 4, if(ISBLANK('2025'!$R339), 0, 1), 5, if(ISBLANK('2025'!$S339), 0, 1), 6, if(ISBLANK('2025'!$T339), 0, 1), 7, 0))), 1, "")</f>
        <v/>
      </c>
      <c r="J341" s="1" t="str">
        <f>IF(AND(AND(AND(J$4&gt;='2025'!$L339,J$4&lt;='2025'!$M339), J$4&lt;&gt;DATE(2025,7,4)), (SWITCH(weekday(J$4), 1, 0, 2, if(ISBLANK('2025'!$P339), 0, 1), 3, if(ISBLANK('2025'!$Q339), 0, 1), 4, if(ISBLANK('2025'!$R339), 0, 1), 5, if(ISBLANK('2025'!$S339), 0, 1), 6, if(ISBLANK('2025'!$T339), 0, 1), 7, 0))), 1, "")</f>
        <v/>
      </c>
      <c r="K341" s="1" t="str">
        <f>IF(AND(AND(AND(K$4&gt;='2025'!$L339,K$4&lt;='2025'!$M339), K$4&lt;&gt;DATE(2025,7,4)), (SWITCH(weekday(K$4), 1, 0, 2, if(ISBLANK('2025'!$P339), 0, 1), 3, if(ISBLANK('2025'!$Q339), 0, 1), 4, if(ISBLANK('2025'!$R339), 0, 1), 5, if(ISBLANK('2025'!$S339), 0, 1), 6, if(ISBLANK('2025'!$T339), 0, 1), 7, 0))), 1, "")</f>
        <v/>
      </c>
      <c r="L341" s="1" t="str">
        <f>IF(AND(AND(AND(L$4&gt;='2025'!$L339,L$4&lt;='2025'!$M339), L$4&lt;&gt;DATE(2025,7,4)), (SWITCH(weekday(L$4), 1, 0, 2, if(ISBLANK('2025'!$P339), 0, 1), 3, if(ISBLANK('2025'!$Q339), 0, 1), 4, if(ISBLANK('2025'!$R339), 0, 1), 5, if(ISBLANK('2025'!$S339), 0, 1), 6, if(ISBLANK('2025'!$T339), 0, 1), 7, 0))), 1, "")</f>
        <v/>
      </c>
      <c r="M341" s="1" t="str">
        <f>IF(AND(AND(AND(M$4&gt;='2025'!$L339,M$4&lt;='2025'!$M339), M$4&lt;&gt;DATE(2025,7,4)), (SWITCH(weekday(M$4), 1, 0, 2, if(ISBLANK('2025'!$P339), 0, 1), 3, if(ISBLANK('2025'!$Q339), 0, 1), 4, if(ISBLANK('2025'!$R339), 0, 1), 5, if(ISBLANK('2025'!$S339), 0, 1), 6, if(ISBLANK('2025'!$T339), 0, 1), 7, 0))), 1, "")</f>
        <v/>
      </c>
      <c r="N341" s="1" t="str">
        <f>IF(AND(AND(AND(N$4&gt;='2025'!$L339,N$4&lt;='2025'!$M339), N$4&lt;&gt;DATE(2025,7,4)), (SWITCH(weekday(N$4), 1, 0, 2, if(ISBLANK('2025'!$P339), 0, 1), 3, if(ISBLANK('2025'!$Q339), 0, 1), 4, if(ISBLANK('2025'!$R339), 0, 1), 5, if(ISBLANK('2025'!$S339), 0, 1), 6, if(ISBLANK('2025'!$T339), 0, 1), 7, 0))), 1, "")</f>
        <v/>
      </c>
      <c r="O341" s="1" t="str">
        <f>IF(AND(AND(AND(O$4&gt;='2025'!$L339,O$4&lt;='2025'!$M339), O$4&lt;&gt;DATE(2025,7,4)), (SWITCH(weekday(O$4), 1, 0, 2, if(ISBLANK('2025'!$P339), 0, 1), 3, if(ISBLANK('2025'!$Q339), 0, 1), 4, if(ISBLANK('2025'!$R339), 0, 1), 5, if(ISBLANK('2025'!$S339), 0, 1), 6, if(ISBLANK('2025'!$T339), 0, 1), 7, 0))), 1, "")</f>
        <v/>
      </c>
      <c r="P341" s="1" t="str">
        <f>IF(AND(AND(AND(P$4&gt;='2025'!$L339,P$4&lt;='2025'!$M339), P$4&lt;&gt;DATE(2025,7,4)), (SWITCH(weekday(P$4), 1, 0, 2, if(ISBLANK('2025'!$P339), 0, 1), 3, if(ISBLANK('2025'!$Q339), 0, 1), 4, if(ISBLANK('2025'!$R339), 0, 1), 5, if(ISBLANK('2025'!$S339), 0, 1), 6, if(ISBLANK('2025'!$T339), 0, 1), 7, 0))), 1, "")</f>
        <v/>
      </c>
      <c r="Q341" s="1" t="str">
        <f>IF(AND(AND(AND(Q$4&gt;='2025'!$L339,Q$4&lt;='2025'!$M339), Q$4&lt;&gt;DATE(2025,7,4)), (SWITCH(weekday(Q$4), 1, 0, 2, if(ISBLANK('2025'!$P339), 0, 1), 3, if(ISBLANK('2025'!$Q339), 0, 1), 4, if(ISBLANK('2025'!$R339), 0, 1), 5, if(ISBLANK('2025'!$S339), 0, 1), 6, if(ISBLANK('2025'!$T339), 0, 1), 7, 0))), 1, "")</f>
        <v/>
      </c>
      <c r="R341" s="1" t="str">
        <f>IF(AND(AND(AND(R$4&gt;='2025'!$L339,R$4&lt;='2025'!$M339), R$4&lt;&gt;DATE(2025,7,4)), (SWITCH(weekday(R$4), 1, 0, 2, if(ISBLANK('2025'!$P339), 0, 1), 3, if(ISBLANK('2025'!$Q339), 0, 1), 4, if(ISBLANK('2025'!$R339), 0, 1), 5, if(ISBLANK('2025'!$S339), 0, 1), 6, if(ISBLANK('2025'!$T339), 0, 1), 7, 0))), 1, "")</f>
        <v/>
      </c>
      <c r="S341" s="1" t="str">
        <f>IF(AND(AND(AND(S$4&gt;='2025'!$L339,S$4&lt;='2025'!$M339), S$4&lt;&gt;DATE(2025,7,4)), (SWITCH(weekday(S$4), 1, 0, 2, if(ISBLANK('2025'!$P339), 0, 1), 3, if(ISBLANK('2025'!$Q339), 0, 1), 4, if(ISBLANK('2025'!$R339), 0, 1), 5, if(ISBLANK('2025'!$S339), 0, 1), 6, if(ISBLANK('2025'!$T339), 0, 1), 7, 0))), 1, "")</f>
        <v/>
      </c>
      <c r="T341" s="1" t="str">
        <f>IF(AND(AND(AND(T$4&gt;='2025'!$L339,T$4&lt;='2025'!$M339), T$4&lt;&gt;DATE(2025,7,4)), (SWITCH(weekday(T$4), 1, 0, 2, if(ISBLANK('2025'!$P339), 0, 1), 3, if(ISBLANK('2025'!$Q339), 0, 1), 4, if(ISBLANK('2025'!$R339), 0, 1), 5, if(ISBLANK('2025'!$S339), 0, 1), 6, if(ISBLANK('2025'!$T339), 0, 1), 7, 0))), 1, "")</f>
        <v/>
      </c>
      <c r="U341" s="1" t="str">
        <f>IF(AND(AND(AND(U$4&gt;='2025'!$L339,U$4&lt;='2025'!$M339), U$4&lt;&gt;DATE(2025,7,4)), (SWITCH(weekday(U$4), 1, 0, 2, if(ISBLANK('2025'!$P339), 0, 1), 3, if(ISBLANK('2025'!$Q339), 0, 1), 4, if(ISBLANK('2025'!$R339), 0, 1), 5, if(ISBLANK('2025'!$S339), 0, 1), 6, if(ISBLANK('2025'!$T339), 0, 1), 7, 0))), 1, "")</f>
        <v/>
      </c>
      <c r="V341" s="1" t="str">
        <f>IF(AND(AND(AND(V$4&gt;='2025'!$L339,V$4&lt;='2025'!$M339), V$4&lt;&gt;DATE(2025,7,4)), (SWITCH(weekday(V$4), 1, 0, 2, if(ISBLANK('2025'!$P339), 0, 1), 3, if(ISBLANK('2025'!$Q339), 0, 1), 4, if(ISBLANK('2025'!$R339), 0, 1), 5, if(ISBLANK('2025'!$S339), 0, 1), 6, if(ISBLANK('2025'!$T339), 0, 1), 7, 0))), 1, "")</f>
        <v/>
      </c>
      <c r="W341" s="1" t="str">
        <f>IF(AND(AND(AND(W$4&gt;='2025'!$L339,W$4&lt;='2025'!$M339), W$4&lt;&gt;DATE(2025,7,4)), (SWITCH(weekday(W$4), 1, 0, 2, if(ISBLANK('2025'!$P339), 0, 1), 3, if(ISBLANK('2025'!$Q339), 0, 1), 4, if(ISBLANK('2025'!$R339), 0, 1), 5, if(ISBLANK('2025'!$S339), 0, 1), 6, if(ISBLANK('2025'!$T339), 0, 1), 7, 0))), 1, "")</f>
        <v/>
      </c>
      <c r="X341" s="1" t="str">
        <f>IF(AND(AND(AND(X$4&gt;='2025'!$L339,X$4&lt;='2025'!$M339), X$4&lt;&gt;DATE(2025,7,4)), (SWITCH(weekday(X$4), 1, 0, 2, if(ISBLANK('2025'!$P339), 0, 1), 3, if(ISBLANK('2025'!$Q339), 0, 1), 4, if(ISBLANK('2025'!$R339), 0, 1), 5, if(ISBLANK('2025'!$S339), 0, 1), 6, if(ISBLANK('2025'!$T339), 0, 1), 7, 0))), 1, "")</f>
        <v/>
      </c>
      <c r="Y341" s="1" t="str">
        <f>IF(AND(AND(AND(Y$4&gt;='2025'!$L339,Y$4&lt;='2025'!$M339), Y$4&lt;&gt;DATE(2025,7,4)), (SWITCH(weekday(Y$4), 1, 0, 2, if(ISBLANK('2025'!$P339), 0, 1), 3, if(ISBLANK('2025'!$Q339), 0, 1), 4, if(ISBLANK('2025'!$R339), 0, 1), 5, if(ISBLANK('2025'!$S339), 0, 1), 6, if(ISBLANK('2025'!$T339), 0, 1), 7, 0))), 1, "")</f>
        <v/>
      </c>
      <c r="Z341" s="1" t="str">
        <f>IF(AND(AND(AND(Z$4&gt;='2025'!$L339,Z$4&lt;='2025'!$M339), Z$4&lt;&gt;DATE(2025,7,4)), (SWITCH(weekday(Z$4), 1, 0, 2, if(ISBLANK('2025'!$P339), 0, 1), 3, if(ISBLANK('2025'!$Q339), 0, 1), 4, if(ISBLANK('2025'!$R339), 0, 1), 5, if(ISBLANK('2025'!$S339), 0, 1), 6, if(ISBLANK('2025'!$T339), 0, 1), 7, 0))), 1, "")</f>
        <v/>
      </c>
      <c r="AA341" s="1" t="str">
        <f>IF(AND(AND(AND(AA$4&gt;='2025'!$L339,AA$4&lt;='2025'!$M339), AA$4&lt;&gt;DATE(2025,7,4)), (SWITCH(weekday(AA$4), 1, 0, 2, if(ISBLANK('2025'!$P339), 0, 1), 3, if(ISBLANK('2025'!$Q339), 0, 1), 4, if(ISBLANK('2025'!$R339), 0, 1), 5, if(ISBLANK('2025'!$S339), 0, 1), 6, if(ISBLANK('2025'!$T339), 0, 1), 7, 0))), 1, "")</f>
        <v/>
      </c>
      <c r="AB341" s="1" t="str">
        <f>IF(AND(AND(AND(AB$4&gt;='2025'!$L339,AB$4&lt;='2025'!$M339), AB$4&lt;&gt;DATE(2025,7,4)), (SWITCH(weekday(AB$4), 1, 0, 2, if(ISBLANK('2025'!$P339), 0, 1), 3, if(ISBLANK('2025'!$Q339), 0, 1), 4, if(ISBLANK('2025'!$R339), 0, 1), 5, if(ISBLANK('2025'!$S339), 0, 1), 6, if(ISBLANK('2025'!$T339), 0, 1), 7, 0))), 1, "")</f>
        <v/>
      </c>
      <c r="AC341" s="1" t="str">
        <f>IF(AND(AND(AND(AC$4&gt;='2025'!$L339,AC$4&lt;='2025'!$M339), AC$4&lt;&gt;DATE(2025,7,4)), (SWITCH(weekday(AC$4), 1, 0, 2, if(ISBLANK('2025'!$P339), 0, 1), 3, if(ISBLANK('2025'!$Q339), 0, 1), 4, if(ISBLANK('2025'!$R339), 0, 1), 5, if(ISBLANK('2025'!$S339), 0, 1), 6, if(ISBLANK('2025'!$T339), 0, 1), 7, 0))), 1, "")</f>
        <v/>
      </c>
      <c r="AD341" s="1" t="str">
        <f>IF(AND(AND(AND(AD$4&gt;='2025'!$L339,AD$4&lt;='2025'!$M339), AD$4&lt;&gt;DATE(2025,7,4)), (SWITCH(weekday(AD$4), 1, 0, 2, if(ISBLANK('2025'!$P339), 0, 1), 3, if(ISBLANK('2025'!$Q339), 0, 1), 4, if(ISBLANK('2025'!$R339), 0, 1), 5, if(ISBLANK('2025'!$S339), 0, 1), 6, if(ISBLANK('2025'!$T339), 0, 1), 7, 0))), 1, "")</f>
        <v/>
      </c>
      <c r="AE341" s="1" t="str">
        <f>IF(AND(AND(AND(AE$4&gt;='2025'!$L339,AE$4&lt;='2025'!$M339), AE$4&lt;&gt;DATE(2025,7,4)), (SWITCH(weekday(AE$4), 1, 0, 2, if(ISBLANK('2025'!$P339), 0, 1), 3, if(ISBLANK('2025'!$Q339), 0, 1), 4, if(ISBLANK('2025'!$R339), 0, 1), 5, if(ISBLANK('2025'!$S339), 0, 1), 6, if(ISBLANK('2025'!$T339), 0, 1), 7, 0))), 1, "")</f>
        <v/>
      </c>
      <c r="AF341" s="1" t="str">
        <f>IF(AND(AND(AND(AF$4&gt;='2025'!$L339,AF$4&lt;='2025'!$M339), AF$4&lt;&gt;DATE(2025,7,4)), (SWITCH(weekday(AF$4), 1, 0, 2, if(ISBLANK('2025'!$P339), 0, 1), 3, if(ISBLANK('2025'!$Q339), 0, 1), 4, if(ISBLANK('2025'!$R339), 0, 1), 5, if(ISBLANK('2025'!$S339), 0, 1), 6, if(ISBLANK('2025'!$T339), 0, 1), 7, 0))), 1, "")</f>
        <v/>
      </c>
      <c r="AG341" s="1" t="str">
        <f>IF(AND(AND(AND(AG$4&gt;='2025'!$L339,AG$4&lt;='2025'!$M339), AG$4&lt;&gt;DATE(2025,7,4)), (SWITCH(weekday(AG$4), 1, 0, 2, if(ISBLANK('2025'!$P339), 0, 1), 3, if(ISBLANK('2025'!$Q339), 0, 1), 4, if(ISBLANK('2025'!$R339), 0, 1), 5, if(ISBLANK('2025'!$S339), 0, 1), 6, if(ISBLANK('2025'!$T339), 0, 1), 7, 0))), 1, "")</f>
        <v/>
      </c>
      <c r="AH341" s="1" t="str">
        <f>IF(AND(AND(AND(AH$4&gt;='2025'!$L339,AH$4&lt;='2025'!$M339), AH$4&lt;&gt;DATE(2025,7,4)), (SWITCH(weekday(AH$4), 1, 0, 2, if(ISBLANK('2025'!$P339), 0, 1), 3, if(ISBLANK('2025'!$Q339), 0, 1), 4, if(ISBLANK('2025'!$R339), 0, 1), 5, if(ISBLANK('2025'!$S339), 0, 1), 6, if(ISBLANK('2025'!$T339), 0, 1), 7, 0))), 1, "")</f>
        <v/>
      </c>
      <c r="AI341" s="1" t="str">
        <f>IF(AND(AND(AND(AI$4&gt;='2025'!$L339,AI$4&lt;='2025'!$M339), AI$4&lt;&gt;DATE(2025,7,4)), (SWITCH(weekday(AI$4), 1, 0, 2, if(ISBLANK('2025'!$P339), 0, 1), 3, if(ISBLANK('2025'!$Q339), 0, 1), 4, if(ISBLANK('2025'!$R339), 0, 1), 5, if(ISBLANK('2025'!$S339), 0, 1), 6, if(ISBLANK('2025'!$T339), 0, 1), 7, 0))), 1, "")</f>
        <v/>
      </c>
      <c r="AJ341" s="1" t="str">
        <f>IF(AND(AND(AND(AJ$4&gt;='2025'!$L339,AJ$4&lt;='2025'!$M339), AJ$4&lt;&gt;DATE(2025,7,4)), (SWITCH(weekday(AJ$4), 1, 0, 2, if(ISBLANK('2025'!$P339), 0, 1), 3, if(ISBLANK('2025'!$Q339), 0, 1), 4, if(ISBLANK('2025'!$R339), 0, 1), 5, if(ISBLANK('2025'!$S339), 0, 1), 6, if(ISBLANK('2025'!$T339), 0, 1), 7, 0))), 1, "")</f>
        <v/>
      </c>
      <c r="AK341" s="1" t="str">
        <f>IF(AND(AND(AND(AK$4&gt;='2025'!$L339,AK$4&lt;='2025'!$M339), AK$4&lt;&gt;DATE(2025,7,4)), (SWITCH(weekday(AK$4), 1, 0, 2, if(ISBLANK('2025'!$P339), 0, 1), 3, if(ISBLANK('2025'!$Q339), 0, 1), 4, if(ISBLANK('2025'!$R339), 0, 1), 5, if(ISBLANK('2025'!$S339), 0, 1), 6, if(ISBLANK('2025'!$T339), 0, 1), 7, 0))), 1, "")</f>
        <v/>
      </c>
      <c r="AL341" s="1" t="str">
        <f>IF(AND(AND(AND(AL$4&gt;='2025'!$L339,AL$4&lt;='2025'!$M339), AL$4&lt;&gt;DATE(2025,7,4)), (SWITCH(weekday(AL$4), 1, 0, 2, if(ISBLANK('2025'!$P339), 0, 1), 3, if(ISBLANK('2025'!$Q339), 0, 1), 4, if(ISBLANK('2025'!$R339), 0, 1), 5, if(ISBLANK('2025'!$S339), 0, 1), 6, if(ISBLANK('2025'!$T339), 0, 1), 7, 0))), 1, "")</f>
        <v/>
      </c>
      <c r="AM341" s="1" t="str">
        <f>IF(AND(AND(AND(AM$4&gt;='2025'!$L339,AM$4&lt;='2025'!$M339), AM$4&lt;&gt;DATE(2025,7,4)), (SWITCH(weekday(AM$4), 1, 0, 2, if(ISBLANK('2025'!$P339), 0, 1), 3, if(ISBLANK('2025'!$Q339), 0, 1), 4, if(ISBLANK('2025'!$R339), 0, 1), 5, if(ISBLANK('2025'!$S339), 0, 1), 6, if(ISBLANK('2025'!$T339), 0, 1), 7, 0))), 1, "")</f>
        <v/>
      </c>
      <c r="AN341" s="1" t="str">
        <f>IF(AND(AND(AND(AN$4&gt;='2025'!$L339,AN$4&lt;='2025'!$M339), AN$4&lt;&gt;DATE(2025,7,4)), (SWITCH(weekday(AN$4), 1, 0, 2, if(ISBLANK('2025'!$P339), 0, 1), 3, if(ISBLANK('2025'!$Q339), 0, 1), 4, if(ISBLANK('2025'!$R339), 0, 1), 5, if(ISBLANK('2025'!$S339), 0, 1), 6, if(ISBLANK('2025'!$T339), 0, 1), 7, 0))), 1, "")</f>
        <v/>
      </c>
      <c r="AO341" s="1" t="str">
        <f>IF(AND(AND(AND(AO$4&gt;='2025'!$L339,AO$4&lt;='2025'!$M339), AO$4&lt;&gt;DATE(2025,7,4)), (SWITCH(weekday(AO$4), 1, 0, 2, if(ISBLANK('2025'!$P339), 0, 1), 3, if(ISBLANK('2025'!$Q339), 0, 1), 4, if(ISBLANK('2025'!$R339), 0, 1), 5, if(ISBLANK('2025'!$S339), 0, 1), 6, if(ISBLANK('2025'!$T339), 0, 1), 7, 0))), 1, "")</f>
        <v/>
      </c>
      <c r="AP341" s="1" t="str">
        <f>IF(AND(AND(AND(AP$4&gt;='2025'!$L339,AP$4&lt;='2025'!$M339), AP$4&lt;&gt;DATE(2025,7,4)), (SWITCH(weekday(AP$4), 1, 0, 2, if(ISBLANK('2025'!$P339), 0, 1), 3, if(ISBLANK('2025'!$Q339), 0, 1), 4, if(ISBLANK('2025'!$R339), 0, 1), 5, if(ISBLANK('2025'!$S339), 0, 1), 6, if(ISBLANK('2025'!$T339), 0, 1), 7, 0))), 1, "")</f>
        <v/>
      </c>
      <c r="AQ341" s="1" t="str">
        <f>IF(AND(AND(AND(AQ$4&gt;='2025'!$L339,AQ$4&lt;='2025'!$M339), AQ$4&lt;&gt;DATE(2025,7,4)), (SWITCH(weekday(AQ$4), 1, 0, 2, if(ISBLANK('2025'!$P339), 0, 1), 3, if(ISBLANK('2025'!$Q339), 0, 1), 4, if(ISBLANK('2025'!$R339), 0, 1), 5, if(ISBLANK('2025'!$S339), 0, 1), 6, if(ISBLANK('2025'!$T339), 0, 1), 7, 0))), 1, "")</f>
        <v/>
      </c>
      <c r="AR341" s="1" t="str">
        <f>IF(AND(AND(AND(AR$4&gt;='2025'!$L339,AR$4&lt;='2025'!$M339), AR$4&lt;&gt;DATE(2025,7,4)), (SWITCH(weekday(AR$4), 1, 0, 2, if(ISBLANK('2025'!$P339), 0, 1), 3, if(ISBLANK('2025'!$Q339), 0, 1), 4, if(ISBLANK('2025'!$R339), 0, 1), 5, if(ISBLANK('2025'!$S339), 0, 1), 6, if(ISBLANK('2025'!$T339), 0, 1), 7, 0))), 1, "")</f>
        <v/>
      </c>
      <c r="AS341" s="1" t="str">
        <f>IF(AND(AND(AND(AS$4&gt;='2025'!$L339,AS$4&lt;='2025'!$M339), AS$4&lt;&gt;DATE(2025,7,4)), (SWITCH(weekday(AS$4), 1, 0, 2, if(ISBLANK('2025'!$P339), 0, 1), 3, if(ISBLANK('2025'!$Q339), 0, 1), 4, if(ISBLANK('2025'!$R339), 0, 1), 5, if(ISBLANK('2025'!$S339), 0, 1), 6, if(ISBLANK('2025'!$T339), 0, 1), 7, 0))), 1, "")</f>
        <v/>
      </c>
      <c r="AT341" s="1" t="str">
        <f>IF(AND(AND(AND(AT$4&gt;='2025'!$L339,AT$4&lt;='2025'!$M339), AT$4&lt;&gt;DATE(2025,7,4)), (SWITCH(weekday(AT$4), 1, 0, 2, if(ISBLANK('2025'!$P339), 0, 1), 3, if(ISBLANK('2025'!$Q339), 0, 1), 4, if(ISBLANK('2025'!$R339), 0, 1), 5, if(ISBLANK('2025'!$S339), 0, 1), 6, if(ISBLANK('2025'!$T339), 0, 1), 7, 0))), 1, "")</f>
        <v/>
      </c>
      <c r="AU341" s="1" t="str">
        <f>IF(AND(AND(AND(AU$4&gt;='2025'!$L339,AU$4&lt;='2025'!$M339), AU$4&lt;&gt;DATE(2025,7,4)), (SWITCH(weekday(AU$4), 1, 0, 2, if(ISBLANK('2025'!$P339), 0, 1), 3, if(ISBLANK('2025'!$Q339), 0, 1), 4, if(ISBLANK('2025'!$R339), 0, 1), 5, if(ISBLANK('2025'!$S339), 0, 1), 6, if(ISBLANK('2025'!$T339), 0, 1), 7, 0))), 1, "")</f>
        <v/>
      </c>
      <c r="AV341" s="1" t="str">
        <f>IF(AND(AND(AND(AV$4&gt;='2025'!$L339,AV$4&lt;='2025'!$M339), AV$4&lt;&gt;DATE(2025,7,4)), (SWITCH(weekday(AV$4), 1, 0, 2, if(ISBLANK('2025'!$P339), 0, 1), 3, if(ISBLANK('2025'!$Q339), 0, 1), 4, if(ISBLANK('2025'!$R339), 0, 1), 5, if(ISBLANK('2025'!$S339), 0, 1), 6, if(ISBLANK('2025'!$T339), 0, 1), 7, 0))), 1, "")</f>
        <v/>
      </c>
      <c r="AW341" s="1" t="str">
        <f>IF(AND(AND(AND(AW$4&gt;='2025'!$L339,AW$4&lt;='2025'!$M339), AW$4&lt;&gt;DATE(2025,7,4)), (SWITCH(weekday(AW$4), 1, 0, 2, if(ISBLANK('2025'!$P339), 0, 1), 3, if(ISBLANK('2025'!$Q339), 0, 1), 4, if(ISBLANK('2025'!$R339), 0, 1), 5, if(ISBLANK('2025'!$S339), 0, 1), 6, if(ISBLANK('2025'!$T339), 0, 1), 7, 0))), 1, "")</f>
        <v/>
      </c>
      <c r="AX341" s="1" t="str">
        <f>IF(AND(AND(AND(AX$4&gt;='2025'!$L339,AX$4&lt;='2025'!$M339), AX$4&lt;&gt;DATE(2025,7,4)), (SWITCH(weekday(AX$4), 1, 0, 2, if(ISBLANK('2025'!$P339), 0, 1), 3, if(ISBLANK('2025'!$Q339), 0, 1), 4, if(ISBLANK('2025'!$R339), 0, 1), 5, if(ISBLANK('2025'!$S339), 0, 1), 6, if(ISBLANK('2025'!$T339), 0, 1), 7, 0))), 1, "")</f>
        <v/>
      </c>
      <c r="AY341" s="1" t="str">
        <f>IF(AND(AND(AND(AY$4&gt;='2025'!$L339,AY$4&lt;='2025'!$M339), AY$4&lt;&gt;DATE(2025,7,4)), (SWITCH(weekday(AY$4), 1, 0, 2, if(ISBLANK('2025'!$P339), 0, 1), 3, if(ISBLANK('2025'!$Q339), 0, 1), 4, if(ISBLANK('2025'!$R339), 0, 1), 5, if(ISBLANK('2025'!$S339), 0, 1), 6, if(ISBLANK('2025'!$T339), 0, 1), 7, 0))), 1, "")</f>
        <v/>
      </c>
      <c r="AZ341" s="1" t="str">
        <f>IF(AND(AND(AND(AZ$4&gt;='2025'!$L339,AZ$4&lt;='2025'!$M339), AZ$4&lt;&gt;DATE(2025,7,4)), (SWITCH(weekday(AZ$4), 1, 0, 2, if(ISBLANK('2025'!$P339), 0, 1), 3, if(ISBLANK('2025'!$Q339), 0, 1), 4, if(ISBLANK('2025'!$R339), 0, 1), 5, if(ISBLANK('2025'!$S339), 0, 1), 6, if(ISBLANK('2025'!$T339), 0, 1), 7, 0))), 1, "")</f>
        <v/>
      </c>
      <c r="BA341" s="1" t="str">
        <f>IF(AND(AND(AND(BA$4&gt;='2025'!$L339,BA$4&lt;='2025'!$M339), BA$4&lt;&gt;DATE(2025,7,4)), (SWITCH(weekday(BA$4), 1, 0, 2, if(ISBLANK('2025'!$P339), 0, 1), 3, if(ISBLANK('2025'!$Q339), 0, 1), 4, if(ISBLANK('2025'!$R339), 0, 1), 5, if(ISBLANK('2025'!$S339), 0, 1), 6, if(ISBLANK('2025'!$T339), 0, 1), 7, 0))), 1, "")</f>
        <v/>
      </c>
      <c r="BB341" s="1" t="str">
        <f>IF(AND(AND(AND(BB$4&gt;='2025'!$L339,BB$4&lt;='2025'!$M339), BB$4&lt;&gt;DATE(2025,7,4)), (SWITCH(weekday(BB$4), 1, 0, 2, if(ISBLANK('2025'!$P339), 0, 1), 3, if(ISBLANK('2025'!$Q339), 0, 1), 4, if(ISBLANK('2025'!$R339), 0, 1), 5, if(ISBLANK('2025'!$S339), 0, 1), 6, if(ISBLANK('2025'!$T339), 0, 1), 7, 0))), 1, "")</f>
        <v/>
      </c>
      <c r="BC341" s="1" t="str">
        <f>IF(AND(AND(AND(BC$4&gt;='2025'!$L339,BC$4&lt;='2025'!$M339), BC$4&lt;&gt;DATE(2025,7,4)), (SWITCH(weekday(BC$4), 1, 0, 2, if(ISBLANK('2025'!$P339), 0, 1), 3, if(ISBLANK('2025'!$Q339), 0, 1), 4, if(ISBLANK('2025'!$R339), 0, 1), 5, if(ISBLANK('2025'!$S339), 0, 1), 6, if(ISBLANK('2025'!$T339), 0, 1), 7, 0))), 1, "")</f>
        <v/>
      </c>
      <c r="BD341" s="1" t="str">
        <f>IF(AND(AND(AND(BD$4&gt;='2025'!$L339,BD$4&lt;='2025'!$M339), BD$4&lt;&gt;DATE(2025,7,4)), (SWITCH(weekday(BD$4), 1, 0, 2, if(ISBLANK('2025'!$P339), 0, 1), 3, if(ISBLANK('2025'!$Q339), 0, 1), 4, if(ISBLANK('2025'!$R339), 0, 1), 5, if(ISBLANK('2025'!$S339), 0, 1), 6, if(ISBLANK('2025'!$T339), 0, 1), 7, 0))), 1, "")</f>
        <v/>
      </c>
      <c r="BE341" s="1" t="str">
        <f>IF(AND(AND(AND(BE$4&gt;='2025'!$L339,BE$4&lt;='2025'!$M339), BE$4&lt;&gt;DATE(2025,7,4)), (SWITCH(weekday(BE$4), 1, 0, 2, if(ISBLANK('2025'!$P339), 0, 1), 3, if(ISBLANK('2025'!$Q339), 0, 1), 4, if(ISBLANK('2025'!$R339), 0, 1), 5, if(ISBLANK('2025'!$S339), 0, 1), 6, if(ISBLANK('2025'!$T339), 0, 1), 7, 0))), 1, "")</f>
        <v/>
      </c>
      <c r="BF341" s="1" t="str">
        <f>IF(AND(AND(AND(BF$4&gt;='2025'!$L339,BF$4&lt;='2025'!$M339), BF$4&lt;&gt;DATE(2025,7,4)), (SWITCH(weekday(BF$4), 1, 0, 2, if(ISBLANK('2025'!$P339), 0, 1), 3, if(ISBLANK('2025'!$Q339), 0, 1), 4, if(ISBLANK('2025'!$R339), 0, 1), 5, if(ISBLANK('2025'!$S339), 0, 1), 6, if(ISBLANK('2025'!$T339), 0, 1), 7, 0))), 1, "")</f>
        <v/>
      </c>
      <c r="BG341" s="1"/>
      <c r="BH341" s="1"/>
      <c r="BI341" s="1"/>
      <c r="BJ341" s="1"/>
      <c r="BK341" s="1"/>
      <c r="BL341" s="1"/>
    </row>
    <row r="342">
      <c r="A342" s="1">
        <f t="shared" si="3"/>
        <v>342</v>
      </c>
      <c r="B342" s="1" t="str">
        <f>'2025'!D306</f>
        <v>, </v>
      </c>
      <c r="C342" s="1" t="str">
        <f>'2025'!H306</f>
        <v/>
      </c>
      <c r="D342" s="1" t="str">
        <f>IF(AND(AND(AND(D$4&gt;='2025'!$L340,D$4&lt;='2025'!$M340), D$4&lt;&gt;DATE(2025,7,4)), (SWITCH(weekday(D$4), 1, 0, 2, if(ISBLANK('2025'!$P340), 0, 1), 3, if(ISBLANK('2025'!$Q340), 0, 1), 4, if(ISBLANK('2025'!$R340), 0, 1), 5, if(ISBLANK('2025'!$S340), 0, 1), 6, if(ISBLANK('2025'!$T340), 0, 1), 7, 0))), 1, "")</f>
        <v/>
      </c>
      <c r="E342" s="1" t="str">
        <f>IF(AND(AND(AND(E$4&gt;='2025'!$L340,E$4&lt;='2025'!$M340), E$4&lt;&gt;DATE(2025,7,4)), (SWITCH(weekday(E$4), 1, 0, 2, if(ISBLANK('2025'!$P340), 0, 1), 3, if(ISBLANK('2025'!$Q340), 0, 1), 4, if(ISBLANK('2025'!$R340), 0, 1), 5, if(ISBLANK('2025'!$S340), 0, 1), 6, if(ISBLANK('2025'!$T340), 0, 1), 7, 0))), 1, "")</f>
        <v/>
      </c>
      <c r="F342" s="1" t="str">
        <f>IF(AND(AND(AND(F$4&gt;='2025'!$L340,F$4&lt;='2025'!$M340), F$4&lt;&gt;DATE(2025,7,4)), (SWITCH(weekday(F$4), 1, 0, 2, if(ISBLANK('2025'!$P340), 0, 1), 3, if(ISBLANK('2025'!$Q340), 0, 1), 4, if(ISBLANK('2025'!$R340), 0, 1), 5, if(ISBLANK('2025'!$S340), 0, 1), 6, if(ISBLANK('2025'!$T340), 0, 1), 7, 0))), 1, "")</f>
        <v/>
      </c>
      <c r="G342" s="1" t="str">
        <f>IF(AND(AND(AND(G$4&gt;='2025'!$L340,G$4&lt;='2025'!$M340), G$4&lt;&gt;DATE(2025,7,4)), (SWITCH(weekday(G$4), 1, 0, 2, if(ISBLANK('2025'!$P340), 0, 1), 3, if(ISBLANK('2025'!$Q340), 0, 1), 4, if(ISBLANK('2025'!$R340), 0, 1), 5, if(ISBLANK('2025'!$S340), 0, 1), 6, if(ISBLANK('2025'!$T340), 0, 1), 7, 0))), 1, "")</f>
        <v/>
      </c>
      <c r="H342" s="1" t="str">
        <f>IF(AND(AND(AND(H$4&gt;='2025'!$L340,H$4&lt;='2025'!$M340), H$4&lt;&gt;DATE(2025,7,4)), (SWITCH(weekday(H$4), 1, 0, 2, if(ISBLANK('2025'!$P340), 0, 1), 3, if(ISBLANK('2025'!$Q340), 0, 1), 4, if(ISBLANK('2025'!$R340), 0, 1), 5, if(ISBLANK('2025'!$S340), 0, 1), 6, if(ISBLANK('2025'!$T340), 0, 1), 7, 0))), 1, "")</f>
        <v/>
      </c>
      <c r="I342" s="1" t="str">
        <f>IF(AND(AND(AND(I$4&gt;='2025'!$L340,I$4&lt;='2025'!$M340), I$4&lt;&gt;DATE(2025,7,4)), (SWITCH(weekday(I$4), 1, 0, 2, if(ISBLANK('2025'!$P340), 0, 1), 3, if(ISBLANK('2025'!$Q340), 0, 1), 4, if(ISBLANK('2025'!$R340), 0, 1), 5, if(ISBLANK('2025'!$S340), 0, 1), 6, if(ISBLANK('2025'!$T340), 0, 1), 7, 0))), 1, "")</f>
        <v/>
      </c>
      <c r="J342" s="1" t="str">
        <f>IF(AND(AND(AND(J$4&gt;='2025'!$L340,J$4&lt;='2025'!$M340), J$4&lt;&gt;DATE(2025,7,4)), (SWITCH(weekday(J$4), 1, 0, 2, if(ISBLANK('2025'!$P340), 0, 1), 3, if(ISBLANK('2025'!$Q340), 0, 1), 4, if(ISBLANK('2025'!$R340), 0, 1), 5, if(ISBLANK('2025'!$S340), 0, 1), 6, if(ISBLANK('2025'!$T340), 0, 1), 7, 0))), 1, "")</f>
        <v/>
      </c>
      <c r="K342" s="1" t="str">
        <f>IF(AND(AND(AND(K$4&gt;='2025'!$L340,K$4&lt;='2025'!$M340), K$4&lt;&gt;DATE(2025,7,4)), (SWITCH(weekday(K$4), 1, 0, 2, if(ISBLANK('2025'!$P340), 0, 1), 3, if(ISBLANK('2025'!$Q340), 0, 1), 4, if(ISBLANK('2025'!$R340), 0, 1), 5, if(ISBLANK('2025'!$S340), 0, 1), 6, if(ISBLANK('2025'!$T340), 0, 1), 7, 0))), 1, "")</f>
        <v/>
      </c>
      <c r="L342" s="1" t="str">
        <f>IF(AND(AND(AND(L$4&gt;='2025'!$L340,L$4&lt;='2025'!$M340), L$4&lt;&gt;DATE(2025,7,4)), (SWITCH(weekday(L$4), 1, 0, 2, if(ISBLANK('2025'!$P340), 0, 1), 3, if(ISBLANK('2025'!$Q340), 0, 1), 4, if(ISBLANK('2025'!$R340), 0, 1), 5, if(ISBLANK('2025'!$S340), 0, 1), 6, if(ISBLANK('2025'!$T340), 0, 1), 7, 0))), 1, "")</f>
        <v/>
      </c>
      <c r="M342" s="1" t="str">
        <f>IF(AND(AND(AND(M$4&gt;='2025'!$L340,M$4&lt;='2025'!$M340), M$4&lt;&gt;DATE(2025,7,4)), (SWITCH(weekday(M$4), 1, 0, 2, if(ISBLANK('2025'!$P340), 0, 1), 3, if(ISBLANK('2025'!$Q340), 0, 1), 4, if(ISBLANK('2025'!$R340), 0, 1), 5, if(ISBLANK('2025'!$S340), 0, 1), 6, if(ISBLANK('2025'!$T340), 0, 1), 7, 0))), 1, "")</f>
        <v/>
      </c>
      <c r="N342" s="1" t="str">
        <f>IF(AND(AND(AND(N$4&gt;='2025'!$L340,N$4&lt;='2025'!$M340), N$4&lt;&gt;DATE(2025,7,4)), (SWITCH(weekday(N$4), 1, 0, 2, if(ISBLANK('2025'!$P340), 0, 1), 3, if(ISBLANK('2025'!$Q340), 0, 1), 4, if(ISBLANK('2025'!$R340), 0, 1), 5, if(ISBLANK('2025'!$S340), 0, 1), 6, if(ISBLANK('2025'!$T340), 0, 1), 7, 0))), 1, "")</f>
        <v/>
      </c>
      <c r="O342" s="1" t="str">
        <f>IF(AND(AND(AND(O$4&gt;='2025'!$L340,O$4&lt;='2025'!$M340), O$4&lt;&gt;DATE(2025,7,4)), (SWITCH(weekday(O$4), 1, 0, 2, if(ISBLANK('2025'!$P340), 0, 1), 3, if(ISBLANK('2025'!$Q340), 0, 1), 4, if(ISBLANK('2025'!$R340), 0, 1), 5, if(ISBLANK('2025'!$S340), 0, 1), 6, if(ISBLANK('2025'!$T340), 0, 1), 7, 0))), 1, "")</f>
        <v/>
      </c>
      <c r="P342" s="1" t="str">
        <f>IF(AND(AND(AND(P$4&gt;='2025'!$L340,P$4&lt;='2025'!$M340), P$4&lt;&gt;DATE(2025,7,4)), (SWITCH(weekday(P$4), 1, 0, 2, if(ISBLANK('2025'!$P340), 0, 1), 3, if(ISBLANK('2025'!$Q340), 0, 1), 4, if(ISBLANK('2025'!$R340), 0, 1), 5, if(ISBLANK('2025'!$S340), 0, 1), 6, if(ISBLANK('2025'!$T340), 0, 1), 7, 0))), 1, "")</f>
        <v/>
      </c>
      <c r="Q342" s="1" t="str">
        <f>IF(AND(AND(AND(Q$4&gt;='2025'!$L340,Q$4&lt;='2025'!$M340), Q$4&lt;&gt;DATE(2025,7,4)), (SWITCH(weekday(Q$4), 1, 0, 2, if(ISBLANK('2025'!$P340), 0, 1), 3, if(ISBLANK('2025'!$Q340), 0, 1), 4, if(ISBLANK('2025'!$R340), 0, 1), 5, if(ISBLANK('2025'!$S340), 0, 1), 6, if(ISBLANK('2025'!$T340), 0, 1), 7, 0))), 1, "")</f>
        <v/>
      </c>
      <c r="R342" s="1" t="str">
        <f>IF(AND(AND(AND(R$4&gt;='2025'!$L340,R$4&lt;='2025'!$M340), R$4&lt;&gt;DATE(2025,7,4)), (SWITCH(weekday(R$4), 1, 0, 2, if(ISBLANK('2025'!$P340), 0, 1), 3, if(ISBLANK('2025'!$Q340), 0, 1), 4, if(ISBLANK('2025'!$R340), 0, 1), 5, if(ISBLANK('2025'!$S340), 0, 1), 6, if(ISBLANK('2025'!$T340), 0, 1), 7, 0))), 1, "")</f>
        <v/>
      </c>
      <c r="S342" s="1" t="str">
        <f>IF(AND(AND(AND(S$4&gt;='2025'!$L340,S$4&lt;='2025'!$M340), S$4&lt;&gt;DATE(2025,7,4)), (SWITCH(weekday(S$4), 1, 0, 2, if(ISBLANK('2025'!$P340), 0, 1), 3, if(ISBLANK('2025'!$Q340), 0, 1), 4, if(ISBLANK('2025'!$R340), 0, 1), 5, if(ISBLANK('2025'!$S340), 0, 1), 6, if(ISBLANK('2025'!$T340), 0, 1), 7, 0))), 1, "")</f>
        <v/>
      </c>
      <c r="T342" s="1" t="str">
        <f>IF(AND(AND(AND(T$4&gt;='2025'!$L340,T$4&lt;='2025'!$M340), T$4&lt;&gt;DATE(2025,7,4)), (SWITCH(weekday(T$4), 1, 0, 2, if(ISBLANK('2025'!$P340), 0, 1), 3, if(ISBLANK('2025'!$Q340), 0, 1), 4, if(ISBLANK('2025'!$R340), 0, 1), 5, if(ISBLANK('2025'!$S340), 0, 1), 6, if(ISBLANK('2025'!$T340), 0, 1), 7, 0))), 1, "")</f>
        <v/>
      </c>
      <c r="U342" s="1" t="str">
        <f>IF(AND(AND(AND(U$4&gt;='2025'!$L340,U$4&lt;='2025'!$M340), U$4&lt;&gt;DATE(2025,7,4)), (SWITCH(weekday(U$4), 1, 0, 2, if(ISBLANK('2025'!$P340), 0, 1), 3, if(ISBLANK('2025'!$Q340), 0, 1), 4, if(ISBLANK('2025'!$R340), 0, 1), 5, if(ISBLANK('2025'!$S340), 0, 1), 6, if(ISBLANK('2025'!$T340), 0, 1), 7, 0))), 1, "")</f>
        <v/>
      </c>
      <c r="V342" s="1" t="str">
        <f>IF(AND(AND(AND(V$4&gt;='2025'!$L340,V$4&lt;='2025'!$M340), V$4&lt;&gt;DATE(2025,7,4)), (SWITCH(weekday(V$4), 1, 0, 2, if(ISBLANK('2025'!$P340), 0, 1), 3, if(ISBLANK('2025'!$Q340), 0, 1), 4, if(ISBLANK('2025'!$R340), 0, 1), 5, if(ISBLANK('2025'!$S340), 0, 1), 6, if(ISBLANK('2025'!$T340), 0, 1), 7, 0))), 1, "")</f>
        <v/>
      </c>
      <c r="W342" s="1" t="str">
        <f>IF(AND(AND(AND(W$4&gt;='2025'!$L340,W$4&lt;='2025'!$M340), W$4&lt;&gt;DATE(2025,7,4)), (SWITCH(weekday(W$4), 1, 0, 2, if(ISBLANK('2025'!$P340), 0, 1), 3, if(ISBLANK('2025'!$Q340), 0, 1), 4, if(ISBLANK('2025'!$R340), 0, 1), 5, if(ISBLANK('2025'!$S340), 0, 1), 6, if(ISBLANK('2025'!$T340), 0, 1), 7, 0))), 1, "")</f>
        <v/>
      </c>
      <c r="X342" s="1" t="str">
        <f>IF(AND(AND(AND(X$4&gt;='2025'!$L340,X$4&lt;='2025'!$M340), X$4&lt;&gt;DATE(2025,7,4)), (SWITCH(weekday(X$4), 1, 0, 2, if(ISBLANK('2025'!$P340), 0, 1), 3, if(ISBLANK('2025'!$Q340), 0, 1), 4, if(ISBLANK('2025'!$R340), 0, 1), 5, if(ISBLANK('2025'!$S340), 0, 1), 6, if(ISBLANK('2025'!$T340), 0, 1), 7, 0))), 1, "")</f>
        <v/>
      </c>
      <c r="Y342" s="1" t="str">
        <f>IF(AND(AND(AND(Y$4&gt;='2025'!$L340,Y$4&lt;='2025'!$M340), Y$4&lt;&gt;DATE(2025,7,4)), (SWITCH(weekday(Y$4), 1, 0, 2, if(ISBLANK('2025'!$P340), 0, 1), 3, if(ISBLANK('2025'!$Q340), 0, 1), 4, if(ISBLANK('2025'!$R340), 0, 1), 5, if(ISBLANK('2025'!$S340), 0, 1), 6, if(ISBLANK('2025'!$T340), 0, 1), 7, 0))), 1, "")</f>
        <v/>
      </c>
      <c r="Z342" s="1" t="str">
        <f>IF(AND(AND(AND(Z$4&gt;='2025'!$L340,Z$4&lt;='2025'!$M340), Z$4&lt;&gt;DATE(2025,7,4)), (SWITCH(weekday(Z$4), 1, 0, 2, if(ISBLANK('2025'!$P340), 0, 1), 3, if(ISBLANK('2025'!$Q340), 0, 1), 4, if(ISBLANK('2025'!$R340), 0, 1), 5, if(ISBLANK('2025'!$S340), 0, 1), 6, if(ISBLANK('2025'!$T340), 0, 1), 7, 0))), 1, "")</f>
        <v/>
      </c>
      <c r="AA342" s="1" t="str">
        <f>IF(AND(AND(AND(AA$4&gt;='2025'!$L340,AA$4&lt;='2025'!$M340), AA$4&lt;&gt;DATE(2025,7,4)), (SWITCH(weekday(AA$4), 1, 0, 2, if(ISBLANK('2025'!$P340), 0, 1), 3, if(ISBLANK('2025'!$Q340), 0, 1), 4, if(ISBLANK('2025'!$R340), 0, 1), 5, if(ISBLANK('2025'!$S340), 0, 1), 6, if(ISBLANK('2025'!$T340), 0, 1), 7, 0))), 1, "")</f>
        <v/>
      </c>
      <c r="AB342" s="1" t="str">
        <f>IF(AND(AND(AND(AB$4&gt;='2025'!$L340,AB$4&lt;='2025'!$M340), AB$4&lt;&gt;DATE(2025,7,4)), (SWITCH(weekday(AB$4), 1, 0, 2, if(ISBLANK('2025'!$P340), 0, 1), 3, if(ISBLANK('2025'!$Q340), 0, 1), 4, if(ISBLANK('2025'!$R340), 0, 1), 5, if(ISBLANK('2025'!$S340), 0, 1), 6, if(ISBLANK('2025'!$T340), 0, 1), 7, 0))), 1, "")</f>
        <v/>
      </c>
      <c r="AC342" s="1" t="str">
        <f>IF(AND(AND(AND(AC$4&gt;='2025'!$L340,AC$4&lt;='2025'!$M340), AC$4&lt;&gt;DATE(2025,7,4)), (SWITCH(weekday(AC$4), 1, 0, 2, if(ISBLANK('2025'!$P340), 0, 1), 3, if(ISBLANK('2025'!$Q340), 0, 1), 4, if(ISBLANK('2025'!$R340), 0, 1), 5, if(ISBLANK('2025'!$S340), 0, 1), 6, if(ISBLANK('2025'!$T340), 0, 1), 7, 0))), 1, "")</f>
        <v/>
      </c>
      <c r="AD342" s="1" t="str">
        <f>IF(AND(AND(AND(AD$4&gt;='2025'!$L340,AD$4&lt;='2025'!$M340), AD$4&lt;&gt;DATE(2025,7,4)), (SWITCH(weekday(AD$4), 1, 0, 2, if(ISBLANK('2025'!$P340), 0, 1), 3, if(ISBLANK('2025'!$Q340), 0, 1), 4, if(ISBLANK('2025'!$R340), 0, 1), 5, if(ISBLANK('2025'!$S340), 0, 1), 6, if(ISBLANK('2025'!$T340), 0, 1), 7, 0))), 1, "")</f>
        <v/>
      </c>
      <c r="AE342" s="1" t="str">
        <f>IF(AND(AND(AND(AE$4&gt;='2025'!$L340,AE$4&lt;='2025'!$M340), AE$4&lt;&gt;DATE(2025,7,4)), (SWITCH(weekday(AE$4), 1, 0, 2, if(ISBLANK('2025'!$P340), 0, 1), 3, if(ISBLANK('2025'!$Q340), 0, 1), 4, if(ISBLANK('2025'!$R340), 0, 1), 5, if(ISBLANK('2025'!$S340), 0, 1), 6, if(ISBLANK('2025'!$T340), 0, 1), 7, 0))), 1, "")</f>
        <v/>
      </c>
      <c r="AF342" s="1" t="str">
        <f>IF(AND(AND(AND(AF$4&gt;='2025'!$L340,AF$4&lt;='2025'!$M340), AF$4&lt;&gt;DATE(2025,7,4)), (SWITCH(weekday(AF$4), 1, 0, 2, if(ISBLANK('2025'!$P340), 0, 1), 3, if(ISBLANK('2025'!$Q340), 0, 1), 4, if(ISBLANK('2025'!$R340), 0, 1), 5, if(ISBLANK('2025'!$S340), 0, 1), 6, if(ISBLANK('2025'!$T340), 0, 1), 7, 0))), 1, "")</f>
        <v/>
      </c>
      <c r="AG342" s="1" t="str">
        <f>IF(AND(AND(AND(AG$4&gt;='2025'!$L340,AG$4&lt;='2025'!$M340), AG$4&lt;&gt;DATE(2025,7,4)), (SWITCH(weekday(AG$4), 1, 0, 2, if(ISBLANK('2025'!$P340), 0, 1), 3, if(ISBLANK('2025'!$Q340), 0, 1), 4, if(ISBLANK('2025'!$R340), 0, 1), 5, if(ISBLANK('2025'!$S340), 0, 1), 6, if(ISBLANK('2025'!$T340), 0, 1), 7, 0))), 1, "")</f>
        <v/>
      </c>
      <c r="AH342" s="1" t="str">
        <f>IF(AND(AND(AND(AH$4&gt;='2025'!$L340,AH$4&lt;='2025'!$M340), AH$4&lt;&gt;DATE(2025,7,4)), (SWITCH(weekday(AH$4), 1, 0, 2, if(ISBLANK('2025'!$P340), 0, 1), 3, if(ISBLANK('2025'!$Q340), 0, 1), 4, if(ISBLANK('2025'!$R340), 0, 1), 5, if(ISBLANK('2025'!$S340), 0, 1), 6, if(ISBLANK('2025'!$T340), 0, 1), 7, 0))), 1, "")</f>
        <v/>
      </c>
      <c r="AI342" s="1" t="str">
        <f>IF(AND(AND(AND(AI$4&gt;='2025'!$L340,AI$4&lt;='2025'!$M340), AI$4&lt;&gt;DATE(2025,7,4)), (SWITCH(weekday(AI$4), 1, 0, 2, if(ISBLANK('2025'!$P340), 0, 1), 3, if(ISBLANK('2025'!$Q340), 0, 1), 4, if(ISBLANK('2025'!$R340), 0, 1), 5, if(ISBLANK('2025'!$S340), 0, 1), 6, if(ISBLANK('2025'!$T340), 0, 1), 7, 0))), 1, "")</f>
        <v/>
      </c>
      <c r="AJ342" s="1" t="str">
        <f>IF(AND(AND(AND(AJ$4&gt;='2025'!$L340,AJ$4&lt;='2025'!$M340), AJ$4&lt;&gt;DATE(2025,7,4)), (SWITCH(weekday(AJ$4), 1, 0, 2, if(ISBLANK('2025'!$P340), 0, 1), 3, if(ISBLANK('2025'!$Q340), 0, 1), 4, if(ISBLANK('2025'!$R340), 0, 1), 5, if(ISBLANK('2025'!$S340), 0, 1), 6, if(ISBLANK('2025'!$T340), 0, 1), 7, 0))), 1, "")</f>
        <v/>
      </c>
      <c r="AK342" s="1" t="str">
        <f>IF(AND(AND(AND(AK$4&gt;='2025'!$L340,AK$4&lt;='2025'!$M340), AK$4&lt;&gt;DATE(2025,7,4)), (SWITCH(weekday(AK$4), 1, 0, 2, if(ISBLANK('2025'!$P340), 0, 1), 3, if(ISBLANK('2025'!$Q340), 0, 1), 4, if(ISBLANK('2025'!$R340), 0, 1), 5, if(ISBLANK('2025'!$S340), 0, 1), 6, if(ISBLANK('2025'!$T340), 0, 1), 7, 0))), 1, "")</f>
        <v/>
      </c>
      <c r="AL342" s="1" t="str">
        <f>IF(AND(AND(AND(AL$4&gt;='2025'!$L340,AL$4&lt;='2025'!$M340), AL$4&lt;&gt;DATE(2025,7,4)), (SWITCH(weekday(AL$4), 1, 0, 2, if(ISBLANK('2025'!$P340), 0, 1), 3, if(ISBLANK('2025'!$Q340), 0, 1), 4, if(ISBLANK('2025'!$R340), 0, 1), 5, if(ISBLANK('2025'!$S340), 0, 1), 6, if(ISBLANK('2025'!$T340), 0, 1), 7, 0))), 1, "")</f>
        <v/>
      </c>
      <c r="AM342" s="1" t="str">
        <f>IF(AND(AND(AND(AM$4&gt;='2025'!$L340,AM$4&lt;='2025'!$M340), AM$4&lt;&gt;DATE(2025,7,4)), (SWITCH(weekday(AM$4), 1, 0, 2, if(ISBLANK('2025'!$P340), 0, 1), 3, if(ISBLANK('2025'!$Q340), 0, 1), 4, if(ISBLANK('2025'!$R340), 0, 1), 5, if(ISBLANK('2025'!$S340), 0, 1), 6, if(ISBLANK('2025'!$T340), 0, 1), 7, 0))), 1, "")</f>
        <v/>
      </c>
      <c r="AN342" s="1" t="str">
        <f>IF(AND(AND(AND(AN$4&gt;='2025'!$L340,AN$4&lt;='2025'!$M340), AN$4&lt;&gt;DATE(2025,7,4)), (SWITCH(weekday(AN$4), 1, 0, 2, if(ISBLANK('2025'!$P340), 0, 1), 3, if(ISBLANK('2025'!$Q340), 0, 1), 4, if(ISBLANK('2025'!$R340), 0, 1), 5, if(ISBLANK('2025'!$S340), 0, 1), 6, if(ISBLANK('2025'!$T340), 0, 1), 7, 0))), 1, "")</f>
        <v/>
      </c>
      <c r="AO342" s="1" t="str">
        <f>IF(AND(AND(AND(AO$4&gt;='2025'!$L340,AO$4&lt;='2025'!$M340), AO$4&lt;&gt;DATE(2025,7,4)), (SWITCH(weekday(AO$4), 1, 0, 2, if(ISBLANK('2025'!$P340), 0, 1), 3, if(ISBLANK('2025'!$Q340), 0, 1), 4, if(ISBLANK('2025'!$R340), 0, 1), 5, if(ISBLANK('2025'!$S340), 0, 1), 6, if(ISBLANK('2025'!$T340), 0, 1), 7, 0))), 1, "")</f>
        <v/>
      </c>
      <c r="AP342" s="1" t="str">
        <f>IF(AND(AND(AND(AP$4&gt;='2025'!$L340,AP$4&lt;='2025'!$M340), AP$4&lt;&gt;DATE(2025,7,4)), (SWITCH(weekday(AP$4), 1, 0, 2, if(ISBLANK('2025'!$P340), 0, 1), 3, if(ISBLANK('2025'!$Q340), 0, 1), 4, if(ISBLANK('2025'!$R340), 0, 1), 5, if(ISBLANK('2025'!$S340), 0, 1), 6, if(ISBLANK('2025'!$T340), 0, 1), 7, 0))), 1, "")</f>
        <v/>
      </c>
      <c r="AQ342" s="1" t="str">
        <f>IF(AND(AND(AND(AQ$4&gt;='2025'!$L340,AQ$4&lt;='2025'!$M340), AQ$4&lt;&gt;DATE(2025,7,4)), (SWITCH(weekday(AQ$4), 1, 0, 2, if(ISBLANK('2025'!$P340), 0, 1), 3, if(ISBLANK('2025'!$Q340), 0, 1), 4, if(ISBLANK('2025'!$R340), 0, 1), 5, if(ISBLANK('2025'!$S340), 0, 1), 6, if(ISBLANK('2025'!$T340), 0, 1), 7, 0))), 1, "")</f>
        <v/>
      </c>
      <c r="AR342" s="1" t="str">
        <f>IF(AND(AND(AND(AR$4&gt;='2025'!$L340,AR$4&lt;='2025'!$M340), AR$4&lt;&gt;DATE(2025,7,4)), (SWITCH(weekday(AR$4), 1, 0, 2, if(ISBLANK('2025'!$P340), 0, 1), 3, if(ISBLANK('2025'!$Q340), 0, 1), 4, if(ISBLANK('2025'!$R340), 0, 1), 5, if(ISBLANK('2025'!$S340), 0, 1), 6, if(ISBLANK('2025'!$T340), 0, 1), 7, 0))), 1, "")</f>
        <v/>
      </c>
      <c r="AS342" s="1" t="str">
        <f>IF(AND(AND(AND(AS$4&gt;='2025'!$L340,AS$4&lt;='2025'!$M340), AS$4&lt;&gt;DATE(2025,7,4)), (SWITCH(weekday(AS$4), 1, 0, 2, if(ISBLANK('2025'!$P340), 0, 1), 3, if(ISBLANK('2025'!$Q340), 0, 1), 4, if(ISBLANK('2025'!$R340), 0, 1), 5, if(ISBLANK('2025'!$S340), 0, 1), 6, if(ISBLANK('2025'!$T340), 0, 1), 7, 0))), 1, "")</f>
        <v/>
      </c>
      <c r="AT342" s="1" t="str">
        <f>IF(AND(AND(AND(AT$4&gt;='2025'!$L340,AT$4&lt;='2025'!$M340), AT$4&lt;&gt;DATE(2025,7,4)), (SWITCH(weekday(AT$4), 1, 0, 2, if(ISBLANK('2025'!$P340), 0, 1), 3, if(ISBLANK('2025'!$Q340), 0, 1), 4, if(ISBLANK('2025'!$R340), 0, 1), 5, if(ISBLANK('2025'!$S340), 0, 1), 6, if(ISBLANK('2025'!$T340), 0, 1), 7, 0))), 1, "")</f>
        <v/>
      </c>
      <c r="AU342" s="1" t="str">
        <f>IF(AND(AND(AND(AU$4&gt;='2025'!$L340,AU$4&lt;='2025'!$M340), AU$4&lt;&gt;DATE(2025,7,4)), (SWITCH(weekday(AU$4), 1, 0, 2, if(ISBLANK('2025'!$P340), 0, 1), 3, if(ISBLANK('2025'!$Q340), 0, 1), 4, if(ISBLANK('2025'!$R340), 0, 1), 5, if(ISBLANK('2025'!$S340), 0, 1), 6, if(ISBLANK('2025'!$T340), 0, 1), 7, 0))), 1, "")</f>
        <v/>
      </c>
      <c r="AV342" s="1" t="str">
        <f>IF(AND(AND(AND(AV$4&gt;='2025'!$L340,AV$4&lt;='2025'!$M340), AV$4&lt;&gt;DATE(2025,7,4)), (SWITCH(weekday(AV$4), 1, 0, 2, if(ISBLANK('2025'!$P340), 0, 1), 3, if(ISBLANK('2025'!$Q340), 0, 1), 4, if(ISBLANK('2025'!$R340), 0, 1), 5, if(ISBLANK('2025'!$S340), 0, 1), 6, if(ISBLANK('2025'!$T340), 0, 1), 7, 0))), 1, "")</f>
        <v/>
      </c>
      <c r="AW342" s="1" t="str">
        <f>IF(AND(AND(AND(AW$4&gt;='2025'!$L340,AW$4&lt;='2025'!$M340), AW$4&lt;&gt;DATE(2025,7,4)), (SWITCH(weekday(AW$4), 1, 0, 2, if(ISBLANK('2025'!$P340), 0, 1), 3, if(ISBLANK('2025'!$Q340), 0, 1), 4, if(ISBLANK('2025'!$R340), 0, 1), 5, if(ISBLANK('2025'!$S340), 0, 1), 6, if(ISBLANK('2025'!$T340), 0, 1), 7, 0))), 1, "")</f>
        <v/>
      </c>
      <c r="AX342" s="1" t="str">
        <f>IF(AND(AND(AND(AX$4&gt;='2025'!$L340,AX$4&lt;='2025'!$M340), AX$4&lt;&gt;DATE(2025,7,4)), (SWITCH(weekday(AX$4), 1, 0, 2, if(ISBLANK('2025'!$P340), 0, 1), 3, if(ISBLANK('2025'!$Q340), 0, 1), 4, if(ISBLANK('2025'!$R340), 0, 1), 5, if(ISBLANK('2025'!$S340), 0, 1), 6, if(ISBLANK('2025'!$T340), 0, 1), 7, 0))), 1, "")</f>
        <v/>
      </c>
      <c r="AY342" s="1" t="str">
        <f>IF(AND(AND(AND(AY$4&gt;='2025'!$L340,AY$4&lt;='2025'!$M340), AY$4&lt;&gt;DATE(2025,7,4)), (SWITCH(weekday(AY$4), 1, 0, 2, if(ISBLANK('2025'!$P340), 0, 1), 3, if(ISBLANK('2025'!$Q340), 0, 1), 4, if(ISBLANK('2025'!$R340), 0, 1), 5, if(ISBLANK('2025'!$S340), 0, 1), 6, if(ISBLANK('2025'!$T340), 0, 1), 7, 0))), 1, "")</f>
        <v/>
      </c>
      <c r="AZ342" s="1" t="str">
        <f>IF(AND(AND(AND(AZ$4&gt;='2025'!$L340,AZ$4&lt;='2025'!$M340), AZ$4&lt;&gt;DATE(2025,7,4)), (SWITCH(weekday(AZ$4), 1, 0, 2, if(ISBLANK('2025'!$P340), 0, 1), 3, if(ISBLANK('2025'!$Q340), 0, 1), 4, if(ISBLANK('2025'!$R340), 0, 1), 5, if(ISBLANK('2025'!$S340), 0, 1), 6, if(ISBLANK('2025'!$T340), 0, 1), 7, 0))), 1, "")</f>
        <v/>
      </c>
      <c r="BA342" s="1" t="str">
        <f>IF(AND(AND(AND(BA$4&gt;='2025'!$L340,BA$4&lt;='2025'!$M340), BA$4&lt;&gt;DATE(2025,7,4)), (SWITCH(weekday(BA$4), 1, 0, 2, if(ISBLANK('2025'!$P340), 0, 1), 3, if(ISBLANK('2025'!$Q340), 0, 1), 4, if(ISBLANK('2025'!$R340), 0, 1), 5, if(ISBLANK('2025'!$S340), 0, 1), 6, if(ISBLANK('2025'!$T340), 0, 1), 7, 0))), 1, "")</f>
        <v/>
      </c>
      <c r="BB342" s="1" t="str">
        <f>IF(AND(AND(AND(BB$4&gt;='2025'!$L340,BB$4&lt;='2025'!$M340), BB$4&lt;&gt;DATE(2025,7,4)), (SWITCH(weekday(BB$4), 1, 0, 2, if(ISBLANK('2025'!$P340), 0, 1), 3, if(ISBLANK('2025'!$Q340), 0, 1), 4, if(ISBLANK('2025'!$R340), 0, 1), 5, if(ISBLANK('2025'!$S340), 0, 1), 6, if(ISBLANK('2025'!$T340), 0, 1), 7, 0))), 1, "")</f>
        <v/>
      </c>
      <c r="BC342" s="1" t="str">
        <f>IF(AND(AND(AND(BC$4&gt;='2025'!$L340,BC$4&lt;='2025'!$M340), BC$4&lt;&gt;DATE(2025,7,4)), (SWITCH(weekday(BC$4), 1, 0, 2, if(ISBLANK('2025'!$P340), 0, 1), 3, if(ISBLANK('2025'!$Q340), 0, 1), 4, if(ISBLANK('2025'!$R340), 0, 1), 5, if(ISBLANK('2025'!$S340), 0, 1), 6, if(ISBLANK('2025'!$T340), 0, 1), 7, 0))), 1, "")</f>
        <v/>
      </c>
      <c r="BD342" s="1" t="str">
        <f>IF(AND(AND(AND(BD$4&gt;='2025'!$L340,BD$4&lt;='2025'!$M340), BD$4&lt;&gt;DATE(2025,7,4)), (SWITCH(weekday(BD$4), 1, 0, 2, if(ISBLANK('2025'!$P340), 0, 1), 3, if(ISBLANK('2025'!$Q340), 0, 1), 4, if(ISBLANK('2025'!$R340), 0, 1), 5, if(ISBLANK('2025'!$S340), 0, 1), 6, if(ISBLANK('2025'!$T340), 0, 1), 7, 0))), 1, "")</f>
        <v/>
      </c>
      <c r="BE342" s="1" t="str">
        <f>IF(AND(AND(AND(BE$4&gt;='2025'!$L340,BE$4&lt;='2025'!$M340), BE$4&lt;&gt;DATE(2025,7,4)), (SWITCH(weekday(BE$4), 1, 0, 2, if(ISBLANK('2025'!$P340), 0, 1), 3, if(ISBLANK('2025'!$Q340), 0, 1), 4, if(ISBLANK('2025'!$R340), 0, 1), 5, if(ISBLANK('2025'!$S340), 0, 1), 6, if(ISBLANK('2025'!$T340), 0, 1), 7, 0))), 1, "")</f>
        <v/>
      </c>
      <c r="BF342" s="1" t="str">
        <f>IF(AND(AND(AND(BF$4&gt;='2025'!$L340,BF$4&lt;='2025'!$M340), BF$4&lt;&gt;DATE(2025,7,4)), (SWITCH(weekday(BF$4), 1, 0, 2, if(ISBLANK('2025'!$P340), 0, 1), 3, if(ISBLANK('2025'!$Q340), 0, 1), 4, if(ISBLANK('2025'!$R340), 0, 1), 5, if(ISBLANK('2025'!$S340), 0, 1), 6, if(ISBLANK('2025'!$T340), 0, 1), 7, 0))), 1, "")</f>
        <v/>
      </c>
      <c r="BG342" s="1"/>
      <c r="BH342" s="1"/>
      <c r="BI342" s="1"/>
      <c r="BJ342" s="1"/>
      <c r="BK342" s="1"/>
      <c r="BL342" s="1"/>
    </row>
    <row r="343">
      <c r="A343" s="1">
        <f t="shared" si="3"/>
        <v>343</v>
      </c>
      <c r="B343" s="1" t="str">
        <f>'2025'!D307</f>
        <v>, </v>
      </c>
      <c r="C343" s="1" t="str">
        <f>'2025'!H307</f>
        <v/>
      </c>
      <c r="D343" s="1" t="str">
        <f>IF(AND(AND(AND(D$4&gt;='2025'!$L341,D$4&lt;='2025'!$M341), D$4&lt;&gt;DATE(2025,7,4)), (SWITCH(weekday(D$4), 1, 0, 2, if(ISBLANK('2025'!$P341), 0, 1), 3, if(ISBLANK('2025'!$Q341), 0, 1), 4, if(ISBLANK('2025'!$R341), 0, 1), 5, if(ISBLANK('2025'!$S341), 0, 1), 6, if(ISBLANK('2025'!$T341), 0, 1), 7, 0))), 1, "")</f>
        <v/>
      </c>
      <c r="E343" s="1" t="str">
        <f>IF(AND(AND(AND(E$4&gt;='2025'!$L341,E$4&lt;='2025'!$M341), E$4&lt;&gt;DATE(2025,7,4)), (SWITCH(weekday(E$4), 1, 0, 2, if(ISBLANK('2025'!$P341), 0, 1), 3, if(ISBLANK('2025'!$Q341), 0, 1), 4, if(ISBLANK('2025'!$R341), 0, 1), 5, if(ISBLANK('2025'!$S341), 0, 1), 6, if(ISBLANK('2025'!$T341), 0, 1), 7, 0))), 1, "")</f>
        <v/>
      </c>
      <c r="F343" s="1" t="str">
        <f>IF(AND(AND(AND(F$4&gt;='2025'!$L341,F$4&lt;='2025'!$M341), F$4&lt;&gt;DATE(2025,7,4)), (SWITCH(weekday(F$4), 1, 0, 2, if(ISBLANK('2025'!$P341), 0, 1), 3, if(ISBLANK('2025'!$Q341), 0, 1), 4, if(ISBLANK('2025'!$R341), 0, 1), 5, if(ISBLANK('2025'!$S341), 0, 1), 6, if(ISBLANK('2025'!$T341), 0, 1), 7, 0))), 1, "")</f>
        <v/>
      </c>
      <c r="G343" s="1" t="str">
        <f>IF(AND(AND(AND(G$4&gt;='2025'!$L341,G$4&lt;='2025'!$M341), G$4&lt;&gt;DATE(2025,7,4)), (SWITCH(weekday(G$4), 1, 0, 2, if(ISBLANK('2025'!$P341), 0, 1), 3, if(ISBLANK('2025'!$Q341), 0, 1), 4, if(ISBLANK('2025'!$R341), 0, 1), 5, if(ISBLANK('2025'!$S341), 0, 1), 6, if(ISBLANK('2025'!$T341), 0, 1), 7, 0))), 1, "")</f>
        <v/>
      </c>
      <c r="H343" s="1" t="str">
        <f>IF(AND(AND(AND(H$4&gt;='2025'!$L341,H$4&lt;='2025'!$M341), H$4&lt;&gt;DATE(2025,7,4)), (SWITCH(weekday(H$4), 1, 0, 2, if(ISBLANK('2025'!$P341), 0, 1), 3, if(ISBLANK('2025'!$Q341), 0, 1), 4, if(ISBLANK('2025'!$R341), 0, 1), 5, if(ISBLANK('2025'!$S341), 0, 1), 6, if(ISBLANK('2025'!$T341), 0, 1), 7, 0))), 1, "")</f>
        <v/>
      </c>
      <c r="I343" s="1" t="str">
        <f>IF(AND(AND(AND(I$4&gt;='2025'!$L341,I$4&lt;='2025'!$M341), I$4&lt;&gt;DATE(2025,7,4)), (SWITCH(weekday(I$4), 1, 0, 2, if(ISBLANK('2025'!$P341), 0, 1), 3, if(ISBLANK('2025'!$Q341), 0, 1), 4, if(ISBLANK('2025'!$R341), 0, 1), 5, if(ISBLANK('2025'!$S341), 0, 1), 6, if(ISBLANK('2025'!$T341), 0, 1), 7, 0))), 1, "")</f>
        <v/>
      </c>
      <c r="J343" s="1" t="str">
        <f>IF(AND(AND(AND(J$4&gt;='2025'!$L341,J$4&lt;='2025'!$M341), J$4&lt;&gt;DATE(2025,7,4)), (SWITCH(weekday(J$4), 1, 0, 2, if(ISBLANK('2025'!$P341), 0, 1), 3, if(ISBLANK('2025'!$Q341), 0, 1), 4, if(ISBLANK('2025'!$R341), 0, 1), 5, if(ISBLANK('2025'!$S341), 0, 1), 6, if(ISBLANK('2025'!$T341), 0, 1), 7, 0))), 1, "")</f>
        <v/>
      </c>
      <c r="K343" s="1" t="str">
        <f>IF(AND(AND(AND(K$4&gt;='2025'!$L341,K$4&lt;='2025'!$M341), K$4&lt;&gt;DATE(2025,7,4)), (SWITCH(weekday(K$4), 1, 0, 2, if(ISBLANK('2025'!$P341), 0, 1), 3, if(ISBLANK('2025'!$Q341), 0, 1), 4, if(ISBLANK('2025'!$R341), 0, 1), 5, if(ISBLANK('2025'!$S341), 0, 1), 6, if(ISBLANK('2025'!$T341), 0, 1), 7, 0))), 1, "")</f>
        <v/>
      </c>
      <c r="L343" s="1" t="str">
        <f>IF(AND(AND(AND(L$4&gt;='2025'!$L341,L$4&lt;='2025'!$M341), L$4&lt;&gt;DATE(2025,7,4)), (SWITCH(weekday(L$4), 1, 0, 2, if(ISBLANK('2025'!$P341), 0, 1), 3, if(ISBLANK('2025'!$Q341), 0, 1), 4, if(ISBLANK('2025'!$R341), 0, 1), 5, if(ISBLANK('2025'!$S341), 0, 1), 6, if(ISBLANK('2025'!$T341), 0, 1), 7, 0))), 1, "")</f>
        <v/>
      </c>
      <c r="M343" s="1" t="str">
        <f>IF(AND(AND(AND(M$4&gt;='2025'!$L341,M$4&lt;='2025'!$M341), M$4&lt;&gt;DATE(2025,7,4)), (SWITCH(weekday(M$4), 1, 0, 2, if(ISBLANK('2025'!$P341), 0, 1), 3, if(ISBLANK('2025'!$Q341), 0, 1), 4, if(ISBLANK('2025'!$R341), 0, 1), 5, if(ISBLANK('2025'!$S341), 0, 1), 6, if(ISBLANK('2025'!$T341), 0, 1), 7, 0))), 1, "")</f>
        <v/>
      </c>
      <c r="N343" s="1" t="str">
        <f>IF(AND(AND(AND(N$4&gt;='2025'!$L341,N$4&lt;='2025'!$M341), N$4&lt;&gt;DATE(2025,7,4)), (SWITCH(weekday(N$4), 1, 0, 2, if(ISBLANK('2025'!$P341), 0, 1), 3, if(ISBLANK('2025'!$Q341), 0, 1), 4, if(ISBLANK('2025'!$R341), 0, 1), 5, if(ISBLANK('2025'!$S341), 0, 1), 6, if(ISBLANK('2025'!$T341), 0, 1), 7, 0))), 1, "")</f>
        <v/>
      </c>
      <c r="O343" s="1" t="str">
        <f>IF(AND(AND(AND(O$4&gt;='2025'!$L341,O$4&lt;='2025'!$M341), O$4&lt;&gt;DATE(2025,7,4)), (SWITCH(weekday(O$4), 1, 0, 2, if(ISBLANK('2025'!$P341), 0, 1), 3, if(ISBLANK('2025'!$Q341), 0, 1), 4, if(ISBLANK('2025'!$R341), 0, 1), 5, if(ISBLANK('2025'!$S341), 0, 1), 6, if(ISBLANK('2025'!$T341), 0, 1), 7, 0))), 1, "")</f>
        <v/>
      </c>
      <c r="P343" s="1" t="str">
        <f>IF(AND(AND(AND(P$4&gt;='2025'!$L341,P$4&lt;='2025'!$M341), P$4&lt;&gt;DATE(2025,7,4)), (SWITCH(weekday(P$4), 1, 0, 2, if(ISBLANK('2025'!$P341), 0, 1), 3, if(ISBLANK('2025'!$Q341), 0, 1), 4, if(ISBLANK('2025'!$R341), 0, 1), 5, if(ISBLANK('2025'!$S341), 0, 1), 6, if(ISBLANK('2025'!$T341), 0, 1), 7, 0))), 1, "")</f>
        <v/>
      </c>
      <c r="Q343" s="1" t="str">
        <f>IF(AND(AND(AND(Q$4&gt;='2025'!$L341,Q$4&lt;='2025'!$M341), Q$4&lt;&gt;DATE(2025,7,4)), (SWITCH(weekday(Q$4), 1, 0, 2, if(ISBLANK('2025'!$P341), 0, 1), 3, if(ISBLANK('2025'!$Q341), 0, 1), 4, if(ISBLANK('2025'!$R341), 0, 1), 5, if(ISBLANK('2025'!$S341), 0, 1), 6, if(ISBLANK('2025'!$T341), 0, 1), 7, 0))), 1, "")</f>
        <v/>
      </c>
      <c r="R343" s="1" t="str">
        <f>IF(AND(AND(AND(R$4&gt;='2025'!$L341,R$4&lt;='2025'!$M341), R$4&lt;&gt;DATE(2025,7,4)), (SWITCH(weekday(R$4), 1, 0, 2, if(ISBLANK('2025'!$P341), 0, 1), 3, if(ISBLANK('2025'!$Q341), 0, 1), 4, if(ISBLANK('2025'!$R341), 0, 1), 5, if(ISBLANK('2025'!$S341), 0, 1), 6, if(ISBLANK('2025'!$T341), 0, 1), 7, 0))), 1, "")</f>
        <v/>
      </c>
      <c r="S343" s="1" t="str">
        <f>IF(AND(AND(AND(S$4&gt;='2025'!$L341,S$4&lt;='2025'!$M341), S$4&lt;&gt;DATE(2025,7,4)), (SWITCH(weekday(S$4), 1, 0, 2, if(ISBLANK('2025'!$P341), 0, 1), 3, if(ISBLANK('2025'!$Q341), 0, 1), 4, if(ISBLANK('2025'!$R341), 0, 1), 5, if(ISBLANK('2025'!$S341), 0, 1), 6, if(ISBLANK('2025'!$T341), 0, 1), 7, 0))), 1, "")</f>
        <v/>
      </c>
      <c r="T343" s="1" t="str">
        <f>IF(AND(AND(AND(T$4&gt;='2025'!$L341,T$4&lt;='2025'!$M341), T$4&lt;&gt;DATE(2025,7,4)), (SWITCH(weekday(T$4), 1, 0, 2, if(ISBLANK('2025'!$P341), 0, 1), 3, if(ISBLANK('2025'!$Q341), 0, 1), 4, if(ISBLANK('2025'!$R341), 0, 1), 5, if(ISBLANK('2025'!$S341), 0, 1), 6, if(ISBLANK('2025'!$T341), 0, 1), 7, 0))), 1, "")</f>
        <v/>
      </c>
      <c r="U343" s="1" t="str">
        <f>IF(AND(AND(AND(U$4&gt;='2025'!$L341,U$4&lt;='2025'!$M341), U$4&lt;&gt;DATE(2025,7,4)), (SWITCH(weekday(U$4), 1, 0, 2, if(ISBLANK('2025'!$P341), 0, 1), 3, if(ISBLANK('2025'!$Q341), 0, 1), 4, if(ISBLANK('2025'!$R341), 0, 1), 5, if(ISBLANK('2025'!$S341), 0, 1), 6, if(ISBLANK('2025'!$T341), 0, 1), 7, 0))), 1, "")</f>
        <v/>
      </c>
      <c r="V343" s="1" t="str">
        <f>IF(AND(AND(AND(V$4&gt;='2025'!$L341,V$4&lt;='2025'!$M341), V$4&lt;&gt;DATE(2025,7,4)), (SWITCH(weekday(V$4), 1, 0, 2, if(ISBLANK('2025'!$P341), 0, 1), 3, if(ISBLANK('2025'!$Q341), 0, 1), 4, if(ISBLANK('2025'!$R341), 0, 1), 5, if(ISBLANK('2025'!$S341), 0, 1), 6, if(ISBLANK('2025'!$T341), 0, 1), 7, 0))), 1, "")</f>
        <v/>
      </c>
      <c r="W343" s="1" t="str">
        <f>IF(AND(AND(AND(W$4&gt;='2025'!$L341,W$4&lt;='2025'!$M341), W$4&lt;&gt;DATE(2025,7,4)), (SWITCH(weekday(W$4), 1, 0, 2, if(ISBLANK('2025'!$P341), 0, 1), 3, if(ISBLANK('2025'!$Q341), 0, 1), 4, if(ISBLANK('2025'!$R341), 0, 1), 5, if(ISBLANK('2025'!$S341), 0, 1), 6, if(ISBLANK('2025'!$T341), 0, 1), 7, 0))), 1, "")</f>
        <v/>
      </c>
      <c r="X343" s="1" t="str">
        <f>IF(AND(AND(AND(X$4&gt;='2025'!$L341,X$4&lt;='2025'!$M341), X$4&lt;&gt;DATE(2025,7,4)), (SWITCH(weekday(X$4), 1, 0, 2, if(ISBLANK('2025'!$P341), 0, 1), 3, if(ISBLANK('2025'!$Q341), 0, 1), 4, if(ISBLANK('2025'!$R341), 0, 1), 5, if(ISBLANK('2025'!$S341), 0, 1), 6, if(ISBLANK('2025'!$T341), 0, 1), 7, 0))), 1, "")</f>
        <v/>
      </c>
      <c r="Y343" s="1" t="str">
        <f>IF(AND(AND(AND(Y$4&gt;='2025'!$L341,Y$4&lt;='2025'!$M341), Y$4&lt;&gt;DATE(2025,7,4)), (SWITCH(weekday(Y$4), 1, 0, 2, if(ISBLANK('2025'!$P341), 0, 1), 3, if(ISBLANK('2025'!$Q341), 0, 1), 4, if(ISBLANK('2025'!$R341), 0, 1), 5, if(ISBLANK('2025'!$S341), 0, 1), 6, if(ISBLANK('2025'!$T341), 0, 1), 7, 0))), 1, "")</f>
        <v/>
      </c>
      <c r="Z343" s="1" t="str">
        <f>IF(AND(AND(AND(Z$4&gt;='2025'!$L341,Z$4&lt;='2025'!$M341), Z$4&lt;&gt;DATE(2025,7,4)), (SWITCH(weekday(Z$4), 1, 0, 2, if(ISBLANK('2025'!$P341), 0, 1), 3, if(ISBLANK('2025'!$Q341), 0, 1), 4, if(ISBLANK('2025'!$R341), 0, 1), 5, if(ISBLANK('2025'!$S341), 0, 1), 6, if(ISBLANK('2025'!$T341), 0, 1), 7, 0))), 1, "")</f>
        <v/>
      </c>
      <c r="AA343" s="1" t="str">
        <f>IF(AND(AND(AND(AA$4&gt;='2025'!$L341,AA$4&lt;='2025'!$M341), AA$4&lt;&gt;DATE(2025,7,4)), (SWITCH(weekday(AA$4), 1, 0, 2, if(ISBLANK('2025'!$P341), 0, 1), 3, if(ISBLANK('2025'!$Q341), 0, 1), 4, if(ISBLANK('2025'!$R341), 0, 1), 5, if(ISBLANK('2025'!$S341), 0, 1), 6, if(ISBLANK('2025'!$T341), 0, 1), 7, 0))), 1, "")</f>
        <v/>
      </c>
      <c r="AB343" s="1" t="str">
        <f>IF(AND(AND(AND(AB$4&gt;='2025'!$L341,AB$4&lt;='2025'!$M341), AB$4&lt;&gt;DATE(2025,7,4)), (SWITCH(weekday(AB$4), 1, 0, 2, if(ISBLANK('2025'!$P341), 0, 1), 3, if(ISBLANK('2025'!$Q341), 0, 1), 4, if(ISBLANK('2025'!$R341), 0, 1), 5, if(ISBLANK('2025'!$S341), 0, 1), 6, if(ISBLANK('2025'!$T341), 0, 1), 7, 0))), 1, "")</f>
        <v/>
      </c>
      <c r="AC343" s="1" t="str">
        <f>IF(AND(AND(AND(AC$4&gt;='2025'!$L341,AC$4&lt;='2025'!$M341), AC$4&lt;&gt;DATE(2025,7,4)), (SWITCH(weekday(AC$4), 1, 0, 2, if(ISBLANK('2025'!$P341), 0, 1), 3, if(ISBLANK('2025'!$Q341), 0, 1), 4, if(ISBLANK('2025'!$R341), 0, 1), 5, if(ISBLANK('2025'!$S341), 0, 1), 6, if(ISBLANK('2025'!$T341), 0, 1), 7, 0))), 1, "")</f>
        <v/>
      </c>
      <c r="AD343" s="1" t="str">
        <f>IF(AND(AND(AND(AD$4&gt;='2025'!$L341,AD$4&lt;='2025'!$M341), AD$4&lt;&gt;DATE(2025,7,4)), (SWITCH(weekday(AD$4), 1, 0, 2, if(ISBLANK('2025'!$P341), 0, 1), 3, if(ISBLANK('2025'!$Q341), 0, 1), 4, if(ISBLANK('2025'!$R341), 0, 1), 5, if(ISBLANK('2025'!$S341), 0, 1), 6, if(ISBLANK('2025'!$T341), 0, 1), 7, 0))), 1, "")</f>
        <v/>
      </c>
      <c r="AE343" s="1" t="str">
        <f>IF(AND(AND(AND(AE$4&gt;='2025'!$L341,AE$4&lt;='2025'!$M341), AE$4&lt;&gt;DATE(2025,7,4)), (SWITCH(weekday(AE$4), 1, 0, 2, if(ISBLANK('2025'!$P341), 0, 1), 3, if(ISBLANK('2025'!$Q341), 0, 1), 4, if(ISBLANK('2025'!$R341), 0, 1), 5, if(ISBLANK('2025'!$S341), 0, 1), 6, if(ISBLANK('2025'!$T341), 0, 1), 7, 0))), 1, "")</f>
        <v/>
      </c>
      <c r="AF343" s="1" t="str">
        <f>IF(AND(AND(AND(AF$4&gt;='2025'!$L341,AF$4&lt;='2025'!$M341), AF$4&lt;&gt;DATE(2025,7,4)), (SWITCH(weekday(AF$4), 1, 0, 2, if(ISBLANK('2025'!$P341), 0, 1), 3, if(ISBLANK('2025'!$Q341), 0, 1), 4, if(ISBLANK('2025'!$R341), 0, 1), 5, if(ISBLANK('2025'!$S341), 0, 1), 6, if(ISBLANK('2025'!$T341), 0, 1), 7, 0))), 1, "")</f>
        <v/>
      </c>
      <c r="AG343" s="1" t="str">
        <f>IF(AND(AND(AND(AG$4&gt;='2025'!$L341,AG$4&lt;='2025'!$M341), AG$4&lt;&gt;DATE(2025,7,4)), (SWITCH(weekday(AG$4), 1, 0, 2, if(ISBLANK('2025'!$P341), 0, 1), 3, if(ISBLANK('2025'!$Q341), 0, 1), 4, if(ISBLANK('2025'!$R341), 0, 1), 5, if(ISBLANK('2025'!$S341), 0, 1), 6, if(ISBLANK('2025'!$T341), 0, 1), 7, 0))), 1, "")</f>
        <v/>
      </c>
      <c r="AH343" s="1" t="str">
        <f>IF(AND(AND(AND(AH$4&gt;='2025'!$L341,AH$4&lt;='2025'!$M341), AH$4&lt;&gt;DATE(2025,7,4)), (SWITCH(weekday(AH$4), 1, 0, 2, if(ISBLANK('2025'!$P341), 0, 1), 3, if(ISBLANK('2025'!$Q341), 0, 1), 4, if(ISBLANK('2025'!$R341), 0, 1), 5, if(ISBLANK('2025'!$S341), 0, 1), 6, if(ISBLANK('2025'!$T341), 0, 1), 7, 0))), 1, "")</f>
        <v/>
      </c>
      <c r="AI343" s="1" t="str">
        <f>IF(AND(AND(AND(AI$4&gt;='2025'!$L341,AI$4&lt;='2025'!$M341), AI$4&lt;&gt;DATE(2025,7,4)), (SWITCH(weekday(AI$4), 1, 0, 2, if(ISBLANK('2025'!$P341), 0, 1), 3, if(ISBLANK('2025'!$Q341), 0, 1), 4, if(ISBLANK('2025'!$R341), 0, 1), 5, if(ISBLANK('2025'!$S341), 0, 1), 6, if(ISBLANK('2025'!$T341), 0, 1), 7, 0))), 1, "")</f>
        <v/>
      </c>
      <c r="AJ343" s="1" t="str">
        <f>IF(AND(AND(AND(AJ$4&gt;='2025'!$L341,AJ$4&lt;='2025'!$M341), AJ$4&lt;&gt;DATE(2025,7,4)), (SWITCH(weekday(AJ$4), 1, 0, 2, if(ISBLANK('2025'!$P341), 0, 1), 3, if(ISBLANK('2025'!$Q341), 0, 1), 4, if(ISBLANK('2025'!$R341), 0, 1), 5, if(ISBLANK('2025'!$S341), 0, 1), 6, if(ISBLANK('2025'!$T341), 0, 1), 7, 0))), 1, "")</f>
        <v/>
      </c>
      <c r="AK343" s="1" t="str">
        <f>IF(AND(AND(AND(AK$4&gt;='2025'!$L341,AK$4&lt;='2025'!$M341), AK$4&lt;&gt;DATE(2025,7,4)), (SWITCH(weekday(AK$4), 1, 0, 2, if(ISBLANK('2025'!$P341), 0, 1), 3, if(ISBLANK('2025'!$Q341), 0, 1), 4, if(ISBLANK('2025'!$R341), 0, 1), 5, if(ISBLANK('2025'!$S341), 0, 1), 6, if(ISBLANK('2025'!$T341), 0, 1), 7, 0))), 1, "")</f>
        <v/>
      </c>
      <c r="AL343" s="1" t="str">
        <f>IF(AND(AND(AND(AL$4&gt;='2025'!$L341,AL$4&lt;='2025'!$M341), AL$4&lt;&gt;DATE(2025,7,4)), (SWITCH(weekday(AL$4), 1, 0, 2, if(ISBLANK('2025'!$P341), 0, 1), 3, if(ISBLANK('2025'!$Q341), 0, 1), 4, if(ISBLANK('2025'!$R341), 0, 1), 5, if(ISBLANK('2025'!$S341), 0, 1), 6, if(ISBLANK('2025'!$T341), 0, 1), 7, 0))), 1, "")</f>
        <v/>
      </c>
      <c r="AM343" s="1" t="str">
        <f>IF(AND(AND(AND(AM$4&gt;='2025'!$L341,AM$4&lt;='2025'!$M341), AM$4&lt;&gt;DATE(2025,7,4)), (SWITCH(weekday(AM$4), 1, 0, 2, if(ISBLANK('2025'!$P341), 0, 1), 3, if(ISBLANK('2025'!$Q341), 0, 1), 4, if(ISBLANK('2025'!$R341), 0, 1), 5, if(ISBLANK('2025'!$S341), 0, 1), 6, if(ISBLANK('2025'!$T341), 0, 1), 7, 0))), 1, "")</f>
        <v/>
      </c>
      <c r="AN343" s="1" t="str">
        <f>IF(AND(AND(AND(AN$4&gt;='2025'!$L341,AN$4&lt;='2025'!$M341), AN$4&lt;&gt;DATE(2025,7,4)), (SWITCH(weekday(AN$4), 1, 0, 2, if(ISBLANK('2025'!$P341), 0, 1), 3, if(ISBLANK('2025'!$Q341), 0, 1), 4, if(ISBLANK('2025'!$R341), 0, 1), 5, if(ISBLANK('2025'!$S341), 0, 1), 6, if(ISBLANK('2025'!$T341), 0, 1), 7, 0))), 1, "")</f>
        <v/>
      </c>
      <c r="AO343" s="1" t="str">
        <f>IF(AND(AND(AND(AO$4&gt;='2025'!$L341,AO$4&lt;='2025'!$M341), AO$4&lt;&gt;DATE(2025,7,4)), (SWITCH(weekday(AO$4), 1, 0, 2, if(ISBLANK('2025'!$P341), 0, 1), 3, if(ISBLANK('2025'!$Q341), 0, 1), 4, if(ISBLANK('2025'!$R341), 0, 1), 5, if(ISBLANK('2025'!$S341), 0, 1), 6, if(ISBLANK('2025'!$T341), 0, 1), 7, 0))), 1, "")</f>
        <v/>
      </c>
      <c r="AP343" s="1" t="str">
        <f>IF(AND(AND(AND(AP$4&gt;='2025'!$L341,AP$4&lt;='2025'!$M341), AP$4&lt;&gt;DATE(2025,7,4)), (SWITCH(weekday(AP$4), 1, 0, 2, if(ISBLANK('2025'!$P341), 0, 1), 3, if(ISBLANK('2025'!$Q341), 0, 1), 4, if(ISBLANK('2025'!$R341), 0, 1), 5, if(ISBLANK('2025'!$S341), 0, 1), 6, if(ISBLANK('2025'!$T341), 0, 1), 7, 0))), 1, "")</f>
        <v/>
      </c>
      <c r="AQ343" s="1" t="str">
        <f>IF(AND(AND(AND(AQ$4&gt;='2025'!$L341,AQ$4&lt;='2025'!$M341), AQ$4&lt;&gt;DATE(2025,7,4)), (SWITCH(weekday(AQ$4), 1, 0, 2, if(ISBLANK('2025'!$P341), 0, 1), 3, if(ISBLANK('2025'!$Q341), 0, 1), 4, if(ISBLANK('2025'!$R341), 0, 1), 5, if(ISBLANK('2025'!$S341), 0, 1), 6, if(ISBLANK('2025'!$T341), 0, 1), 7, 0))), 1, "")</f>
        <v/>
      </c>
      <c r="AR343" s="1" t="str">
        <f>IF(AND(AND(AND(AR$4&gt;='2025'!$L341,AR$4&lt;='2025'!$M341), AR$4&lt;&gt;DATE(2025,7,4)), (SWITCH(weekday(AR$4), 1, 0, 2, if(ISBLANK('2025'!$P341), 0, 1), 3, if(ISBLANK('2025'!$Q341), 0, 1), 4, if(ISBLANK('2025'!$R341), 0, 1), 5, if(ISBLANK('2025'!$S341), 0, 1), 6, if(ISBLANK('2025'!$T341), 0, 1), 7, 0))), 1, "")</f>
        <v/>
      </c>
      <c r="AS343" s="1" t="str">
        <f>IF(AND(AND(AND(AS$4&gt;='2025'!$L341,AS$4&lt;='2025'!$M341), AS$4&lt;&gt;DATE(2025,7,4)), (SWITCH(weekday(AS$4), 1, 0, 2, if(ISBLANK('2025'!$P341), 0, 1), 3, if(ISBLANK('2025'!$Q341), 0, 1), 4, if(ISBLANK('2025'!$R341), 0, 1), 5, if(ISBLANK('2025'!$S341), 0, 1), 6, if(ISBLANK('2025'!$T341), 0, 1), 7, 0))), 1, "")</f>
        <v/>
      </c>
      <c r="AT343" s="1" t="str">
        <f>IF(AND(AND(AND(AT$4&gt;='2025'!$L341,AT$4&lt;='2025'!$M341), AT$4&lt;&gt;DATE(2025,7,4)), (SWITCH(weekday(AT$4), 1, 0, 2, if(ISBLANK('2025'!$P341), 0, 1), 3, if(ISBLANK('2025'!$Q341), 0, 1), 4, if(ISBLANK('2025'!$R341), 0, 1), 5, if(ISBLANK('2025'!$S341), 0, 1), 6, if(ISBLANK('2025'!$T341), 0, 1), 7, 0))), 1, "")</f>
        <v/>
      </c>
      <c r="AU343" s="1" t="str">
        <f>IF(AND(AND(AND(AU$4&gt;='2025'!$L341,AU$4&lt;='2025'!$M341), AU$4&lt;&gt;DATE(2025,7,4)), (SWITCH(weekday(AU$4), 1, 0, 2, if(ISBLANK('2025'!$P341), 0, 1), 3, if(ISBLANK('2025'!$Q341), 0, 1), 4, if(ISBLANK('2025'!$R341), 0, 1), 5, if(ISBLANK('2025'!$S341), 0, 1), 6, if(ISBLANK('2025'!$T341), 0, 1), 7, 0))), 1, "")</f>
        <v/>
      </c>
      <c r="AV343" s="1" t="str">
        <f>IF(AND(AND(AND(AV$4&gt;='2025'!$L341,AV$4&lt;='2025'!$M341), AV$4&lt;&gt;DATE(2025,7,4)), (SWITCH(weekday(AV$4), 1, 0, 2, if(ISBLANK('2025'!$P341), 0, 1), 3, if(ISBLANK('2025'!$Q341), 0, 1), 4, if(ISBLANK('2025'!$R341), 0, 1), 5, if(ISBLANK('2025'!$S341), 0, 1), 6, if(ISBLANK('2025'!$T341), 0, 1), 7, 0))), 1, "")</f>
        <v/>
      </c>
      <c r="AW343" s="1" t="str">
        <f>IF(AND(AND(AND(AW$4&gt;='2025'!$L341,AW$4&lt;='2025'!$M341), AW$4&lt;&gt;DATE(2025,7,4)), (SWITCH(weekday(AW$4), 1, 0, 2, if(ISBLANK('2025'!$P341), 0, 1), 3, if(ISBLANK('2025'!$Q341), 0, 1), 4, if(ISBLANK('2025'!$R341), 0, 1), 5, if(ISBLANK('2025'!$S341), 0, 1), 6, if(ISBLANK('2025'!$T341), 0, 1), 7, 0))), 1, "")</f>
        <v/>
      </c>
      <c r="AX343" s="1" t="str">
        <f>IF(AND(AND(AND(AX$4&gt;='2025'!$L341,AX$4&lt;='2025'!$M341), AX$4&lt;&gt;DATE(2025,7,4)), (SWITCH(weekday(AX$4), 1, 0, 2, if(ISBLANK('2025'!$P341), 0, 1), 3, if(ISBLANK('2025'!$Q341), 0, 1), 4, if(ISBLANK('2025'!$R341), 0, 1), 5, if(ISBLANK('2025'!$S341), 0, 1), 6, if(ISBLANK('2025'!$T341), 0, 1), 7, 0))), 1, "")</f>
        <v/>
      </c>
      <c r="AY343" s="1" t="str">
        <f>IF(AND(AND(AND(AY$4&gt;='2025'!$L341,AY$4&lt;='2025'!$M341), AY$4&lt;&gt;DATE(2025,7,4)), (SWITCH(weekday(AY$4), 1, 0, 2, if(ISBLANK('2025'!$P341), 0, 1), 3, if(ISBLANK('2025'!$Q341), 0, 1), 4, if(ISBLANK('2025'!$R341), 0, 1), 5, if(ISBLANK('2025'!$S341), 0, 1), 6, if(ISBLANK('2025'!$T341), 0, 1), 7, 0))), 1, "")</f>
        <v/>
      </c>
      <c r="AZ343" s="1" t="str">
        <f>IF(AND(AND(AND(AZ$4&gt;='2025'!$L341,AZ$4&lt;='2025'!$M341), AZ$4&lt;&gt;DATE(2025,7,4)), (SWITCH(weekday(AZ$4), 1, 0, 2, if(ISBLANK('2025'!$P341), 0, 1), 3, if(ISBLANK('2025'!$Q341), 0, 1), 4, if(ISBLANK('2025'!$R341), 0, 1), 5, if(ISBLANK('2025'!$S341), 0, 1), 6, if(ISBLANK('2025'!$T341), 0, 1), 7, 0))), 1, "")</f>
        <v/>
      </c>
      <c r="BA343" s="1" t="str">
        <f>IF(AND(AND(AND(BA$4&gt;='2025'!$L341,BA$4&lt;='2025'!$M341), BA$4&lt;&gt;DATE(2025,7,4)), (SWITCH(weekday(BA$4), 1, 0, 2, if(ISBLANK('2025'!$P341), 0, 1), 3, if(ISBLANK('2025'!$Q341), 0, 1), 4, if(ISBLANK('2025'!$R341), 0, 1), 5, if(ISBLANK('2025'!$S341), 0, 1), 6, if(ISBLANK('2025'!$T341), 0, 1), 7, 0))), 1, "")</f>
        <v/>
      </c>
      <c r="BB343" s="1" t="str">
        <f>IF(AND(AND(AND(BB$4&gt;='2025'!$L341,BB$4&lt;='2025'!$M341), BB$4&lt;&gt;DATE(2025,7,4)), (SWITCH(weekday(BB$4), 1, 0, 2, if(ISBLANK('2025'!$P341), 0, 1), 3, if(ISBLANK('2025'!$Q341), 0, 1), 4, if(ISBLANK('2025'!$R341), 0, 1), 5, if(ISBLANK('2025'!$S341), 0, 1), 6, if(ISBLANK('2025'!$T341), 0, 1), 7, 0))), 1, "")</f>
        <v/>
      </c>
      <c r="BC343" s="1" t="str">
        <f>IF(AND(AND(AND(BC$4&gt;='2025'!$L341,BC$4&lt;='2025'!$M341), BC$4&lt;&gt;DATE(2025,7,4)), (SWITCH(weekday(BC$4), 1, 0, 2, if(ISBLANK('2025'!$P341), 0, 1), 3, if(ISBLANK('2025'!$Q341), 0, 1), 4, if(ISBLANK('2025'!$R341), 0, 1), 5, if(ISBLANK('2025'!$S341), 0, 1), 6, if(ISBLANK('2025'!$T341), 0, 1), 7, 0))), 1, "")</f>
        <v/>
      </c>
      <c r="BD343" s="1" t="str">
        <f>IF(AND(AND(AND(BD$4&gt;='2025'!$L341,BD$4&lt;='2025'!$M341), BD$4&lt;&gt;DATE(2025,7,4)), (SWITCH(weekday(BD$4), 1, 0, 2, if(ISBLANK('2025'!$P341), 0, 1), 3, if(ISBLANK('2025'!$Q341), 0, 1), 4, if(ISBLANK('2025'!$R341), 0, 1), 5, if(ISBLANK('2025'!$S341), 0, 1), 6, if(ISBLANK('2025'!$T341), 0, 1), 7, 0))), 1, "")</f>
        <v/>
      </c>
      <c r="BE343" s="1" t="str">
        <f>IF(AND(AND(AND(BE$4&gt;='2025'!$L341,BE$4&lt;='2025'!$M341), BE$4&lt;&gt;DATE(2025,7,4)), (SWITCH(weekday(BE$4), 1, 0, 2, if(ISBLANK('2025'!$P341), 0, 1), 3, if(ISBLANK('2025'!$Q341), 0, 1), 4, if(ISBLANK('2025'!$R341), 0, 1), 5, if(ISBLANK('2025'!$S341), 0, 1), 6, if(ISBLANK('2025'!$T341), 0, 1), 7, 0))), 1, "")</f>
        <v/>
      </c>
      <c r="BF343" s="1" t="str">
        <f>IF(AND(AND(AND(BF$4&gt;='2025'!$L341,BF$4&lt;='2025'!$M341), BF$4&lt;&gt;DATE(2025,7,4)), (SWITCH(weekday(BF$4), 1, 0, 2, if(ISBLANK('2025'!$P341), 0, 1), 3, if(ISBLANK('2025'!$Q341), 0, 1), 4, if(ISBLANK('2025'!$R341), 0, 1), 5, if(ISBLANK('2025'!$S341), 0, 1), 6, if(ISBLANK('2025'!$T341), 0, 1), 7, 0))), 1, "")</f>
        <v/>
      </c>
      <c r="BG343" s="1"/>
      <c r="BH343" s="1"/>
      <c r="BI343" s="1"/>
      <c r="BJ343" s="1"/>
      <c r="BK343" s="1"/>
      <c r="BL343" s="1"/>
    </row>
    <row r="344">
      <c r="A344" s="1">
        <f t="shared" si="3"/>
        <v>344</v>
      </c>
      <c r="B344" s="1" t="str">
        <f>'2025'!D308</f>
        <v>, </v>
      </c>
      <c r="C344" s="1" t="str">
        <f>'2025'!H308</f>
        <v/>
      </c>
      <c r="D344" s="1" t="str">
        <f>IF(AND(AND(AND(D$4&gt;='2025'!$L342,D$4&lt;='2025'!$M342), D$4&lt;&gt;DATE(2025,7,4)), (SWITCH(weekday(D$4), 1, 0, 2, if(ISBLANK('2025'!$P342), 0, 1), 3, if(ISBLANK('2025'!$Q342), 0, 1), 4, if(ISBLANK('2025'!$R342), 0, 1), 5, if(ISBLANK('2025'!$S342), 0, 1), 6, if(ISBLANK('2025'!$T342), 0, 1), 7, 0))), 1, "")</f>
        <v/>
      </c>
      <c r="E344" s="1" t="str">
        <f>IF(AND(AND(AND(E$4&gt;='2025'!$L342,E$4&lt;='2025'!$M342), E$4&lt;&gt;DATE(2025,7,4)), (SWITCH(weekday(E$4), 1, 0, 2, if(ISBLANK('2025'!$P342), 0, 1), 3, if(ISBLANK('2025'!$Q342), 0, 1), 4, if(ISBLANK('2025'!$R342), 0, 1), 5, if(ISBLANK('2025'!$S342), 0, 1), 6, if(ISBLANK('2025'!$T342), 0, 1), 7, 0))), 1, "")</f>
        <v/>
      </c>
      <c r="F344" s="1" t="str">
        <f>IF(AND(AND(AND(F$4&gt;='2025'!$L342,F$4&lt;='2025'!$M342), F$4&lt;&gt;DATE(2025,7,4)), (SWITCH(weekday(F$4), 1, 0, 2, if(ISBLANK('2025'!$P342), 0, 1), 3, if(ISBLANK('2025'!$Q342), 0, 1), 4, if(ISBLANK('2025'!$R342), 0, 1), 5, if(ISBLANK('2025'!$S342), 0, 1), 6, if(ISBLANK('2025'!$T342), 0, 1), 7, 0))), 1, "")</f>
        <v/>
      </c>
      <c r="G344" s="1" t="str">
        <f>IF(AND(AND(AND(G$4&gt;='2025'!$L342,G$4&lt;='2025'!$M342), G$4&lt;&gt;DATE(2025,7,4)), (SWITCH(weekday(G$4), 1, 0, 2, if(ISBLANK('2025'!$P342), 0, 1), 3, if(ISBLANK('2025'!$Q342), 0, 1), 4, if(ISBLANK('2025'!$R342), 0, 1), 5, if(ISBLANK('2025'!$S342), 0, 1), 6, if(ISBLANK('2025'!$T342), 0, 1), 7, 0))), 1, "")</f>
        <v/>
      </c>
      <c r="H344" s="1" t="str">
        <f>IF(AND(AND(AND(H$4&gt;='2025'!$L342,H$4&lt;='2025'!$M342), H$4&lt;&gt;DATE(2025,7,4)), (SWITCH(weekday(H$4), 1, 0, 2, if(ISBLANK('2025'!$P342), 0, 1), 3, if(ISBLANK('2025'!$Q342), 0, 1), 4, if(ISBLANK('2025'!$R342), 0, 1), 5, if(ISBLANK('2025'!$S342), 0, 1), 6, if(ISBLANK('2025'!$T342), 0, 1), 7, 0))), 1, "")</f>
        <v/>
      </c>
      <c r="I344" s="1" t="str">
        <f>IF(AND(AND(AND(I$4&gt;='2025'!$L342,I$4&lt;='2025'!$M342), I$4&lt;&gt;DATE(2025,7,4)), (SWITCH(weekday(I$4), 1, 0, 2, if(ISBLANK('2025'!$P342), 0, 1), 3, if(ISBLANK('2025'!$Q342), 0, 1), 4, if(ISBLANK('2025'!$R342), 0, 1), 5, if(ISBLANK('2025'!$S342), 0, 1), 6, if(ISBLANK('2025'!$T342), 0, 1), 7, 0))), 1, "")</f>
        <v/>
      </c>
      <c r="J344" s="1" t="str">
        <f>IF(AND(AND(AND(J$4&gt;='2025'!$L342,J$4&lt;='2025'!$M342), J$4&lt;&gt;DATE(2025,7,4)), (SWITCH(weekday(J$4), 1, 0, 2, if(ISBLANK('2025'!$P342), 0, 1), 3, if(ISBLANK('2025'!$Q342), 0, 1), 4, if(ISBLANK('2025'!$R342), 0, 1), 5, if(ISBLANK('2025'!$S342), 0, 1), 6, if(ISBLANK('2025'!$T342), 0, 1), 7, 0))), 1, "")</f>
        <v/>
      </c>
      <c r="K344" s="1" t="str">
        <f>IF(AND(AND(AND(K$4&gt;='2025'!$L342,K$4&lt;='2025'!$M342), K$4&lt;&gt;DATE(2025,7,4)), (SWITCH(weekday(K$4), 1, 0, 2, if(ISBLANK('2025'!$P342), 0, 1), 3, if(ISBLANK('2025'!$Q342), 0, 1), 4, if(ISBLANK('2025'!$R342), 0, 1), 5, if(ISBLANK('2025'!$S342), 0, 1), 6, if(ISBLANK('2025'!$T342), 0, 1), 7, 0))), 1, "")</f>
        <v/>
      </c>
      <c r="L344" s="1" t="str">
        <f>IF(AND(AND(AND(L$4&gt;='2025'!$L342,L$4&lt;='2025'!$M342), L$4&lt;&gt;DATE(2025,7,4)), (SWITCH(weekday(L$4), 1, 0, 2, if(ISBLANK('2025'!$P342), 0, 1), 3, if(ISBLANK('2025'!$Q342), 0, 1), 4, if(ISBLANK('2025'!$R342), 0, 1), 5, if(ISBLANK('2025'!$S342), 0, 1), 6, if(ISBLANK('2025'!$T342), 0, 1), 7, 0))), 1, "")</f>
        <v/>
      </c>
      <c r="M344" s="1" t="str">
        <f>IF(AND(AND(AND(M$4&gt;='2025'!$L342,M$4&lt;='2025'!$M342), M$4&lt;&gt;DATE(2025,7,4)), (SWITCH(weekday(M$4), 1, 0, 2, if(ISBLANK('2025'!$P342), 0, 1), 3, if(ISBLANK('2025'!$Q342), 0, 1), 4, if(ISBLANK('2025'!$R342), 0, 1), 5, if(ISBLANK('2025'!$S342), 0, 1), 6, if(ISBLANK('2025'!$T342), 0, 1), 7, 0))), 1, "")</f>
        <v/>
      </c>
      <c r="N344" s="1" t="str">
        <f>IF(AND(AND(AND(N$4&gt;='2025'!$L342,N$4&lt;='2025'!$M342), N$4&lt;&gt;DATE(2025,7,4)), (SWITCH(weekday(N$4), 1, 0, 2, if(ISBLANK('2025'!$P342), 0, 1), 3, if(ISBLANK('2025'!$Q342), 0, 1), 4, if(ISBLANK('2025'!$R342), 0, 1), 5, if(ISBLANK('2025'!$S342), 0, 1), 6, if(ISBLANK('2025'!$T342), 0, 1), 7, 0))), 1, "")</f>
        <v/>
      </c>
      <c r="O344" s="1" t="str">
        <f>IF(AND(AND(AND(O$4&gt;='2025'!$L342,O$4&lt;='2025'!$M342), O$4&lt;&gt;DATE(2025,7,4)), (SWITCH(weekday(O$4), 1, 0, 2, if(ISBLANK('2025'!$P342), 0, 1), 3, if(ISBLANK('2025'!$Q342), 0, 1), 4, if(ISBLANK('2025'!$R342), 0, 1), 5, if(ISBLANK('2025'!$S342), 0, 1), 6, if(ISBLANK('2025'!$T342), 0, 1), 7, 0))), 1, "")</f>
        <v/>
      </c>
      <c r="P344" s="1" t="str">
        <f>IF(AND(AND(AND(P$4&gt;='2025'!$L342,P$4&lt;='2025'!$M342), P$4&lt;&gt;DATE(2025,7,4)), (SWITCH(weekday(P$4), 1, 0, 2, if(ISBLANK('2025'!$P342), 0, 1), 3, if(ISBLANK('2025'!$Q342), 0, 1), 4, if(ISBLANK('2025'!$R342), 0, 1), 5, if(ISBLANK('2025'!$S342), 0, 1), 6, if(ISBLANK('2025'!$T342), 0, 1), 7, 0))), 1, "")</f>
        <v/>
      </c>
      <c r="Q344" s="1" t="str">
        <f>IF(AND(AND(AND(Q$4&gt;='2025'!$L342,Q$4&lt;='2025'!$M342), Q$4&lt;&gt;DATE(2025,7,4)), (SWITCH(weekday(Q$4), 1, 0, 2, if(ISBLANK('2025'!$P342), 0, 1), 3, if(ISBLANK('2025'!$Q342), 0, 1), 4, if(ISBLANK('2025'!$R342), 0, 1), 5, if(ISBLANK('2025'!$S342), 0, 1), 6, if(ISBLANK('2025'!$T342), 0, 1), 7, 0))), 1, "")</f>
        <v/>
      </c>
      <c r="R344" s="1" t="str">
        <f>IF(AND(AND(AND(R$4&gt;='2025'!$L342,R$4&lt;='2025'!$M342), R$4&lt;&gt;DATE(2025,7,4)), (SWITCH(weekday(R$4), 1, 0, 2, if(ISBLANK('2025'!$P342), 0, 1), 3, if(ISBLANK('2025'!$Q342), 0, 1), 4, if(ISBLANK('2025'!$R342), 0, 1), 5, if(ISBLANK('2025'!$S342), 0, 1), 6, if(ISBLANK('2025'!$T342), 0, 1), 7, 0))), 1, "")</f>
        <v/>
      </c>
      <c r="S344" s="1" t="str">
        <f>IF(AND(AND(AND(S$4&gt;='2025'!$L342,S$4&lt;='2025'!$M342), S$4&lt;&gt;DATE(2025,7,4)), (SWITCH(weekday(S$4), 1, 0, 2, if(ISBLANK('2025'!$P342), 0, 1), 3, if(ISBLANK('2025'!$Q342), 0, 1), 4, if(ISBLANK('2025'!$R342), 0, 1), 5, if(ISBLANK('2025'!$S342), 0, 1), 6, if(ISBLANK('2025'!$T342), 0, 1), 7, 0))), 1, "")</f>
        <v/>
      </c>
      <c r="T344" s="1" t="str">
        <f>IF(AND(AND(AND(T$4&gt;='2025'!$L342,T$4&lt;='2025'!$M342), T$4&lt;&gt;DATE(2025,7,4)), (SWITCH(weekday(T$4), 1, 0, 2, if(ISBLANK('2025'!$P342), 0, 1), 3, if(ISBLANK('2025'!$Q342), 0, 1), 4, if(ISBLANK('2025'!$R342), 0, 1), 5, if(ISBLANK('2025'!$S342), 0, 1), 6, if(ISBLANK('2025'!$T342), 0, 1), 7, 0))), 1, "")</f>
        <v/>
      </c>
      <c r="U344" s="1" t="str">
        <f>IF(AND(AND(AND(U$4&gt;='2025'!$L342,U$4&lt;='2025'!$M342), U$4&lt;&gt;DATE(2025,7,4)), (SWITCH(weekday(U$4), 1, 0, 2, if(ISBLANK('2025'!$P342), 0, 1), 3, if(ISBLANK('2025'!$Q342), 0, 1), 4, if(ISBLANK('2025'!$R342), 0, 1), 5, if(ISBLANK('2025'!$S342), 0, 1), 6, if(ISBLANK('2025'!$T342), 0, 1), 7, 0))), 1, "")</f>
        <v/>
      </c>
      <c r="V344" s="1" t="str">
        <f>IF(AND(AND(AND(V$4&gt;='2025'!$L342,V$4&lt;='2025'!$M342), V$4&lt;&gt;DATE(2025,7,4)), (SWITCH(weekday(V$4), 1, 0, 2, if(ISBLANK('2025'!$P342), 0, 1), 3, if(ISBLANK('2025'!$Q342), 0, 1), 4, if(ISBLANK('2025'!$R342), 0, 1), 5, if(ISBLANK('2025'!$S342), 0, 1), 6, if(ISBLANK('2025'!$T342), 0, 1), 7, 0))), 1, "")</f>
        <v/>
      </c>
      <c r="W344" s="1" t="str">
        <f>IF(AND(AND(AND(W$4&gt;='2025'!$L342,W$4&lt;='2025'!$M342), W$4&lt;&gt;DATE(2025,7,4)), (SWITCH(weekday(W$4), 1, 0, 2, if(ISBLANK('2025'!$P342), 0, 1), 3, if(ISBLANK('2025'!$Q342), 0, 1), 4, if(ISBLANK('2025'!$R342), 0, 1), 5, if(ISBLANK('2025'!$S342), 0, 1), 6, if(ISBLANK('2025'!$T342), 0, 1), 7, 0))), 1, "")</f>
        <v/>
      </c>
      <c r="X344" s="1" t="str">
        <f>IF(AND(AND(AND(X$4&gt;='2025'!$L342,X$4&lt;='2025'!$M342), X$4&lt;&gt;DATE(2025,7,4)), (SWITCH(weekday(X$4), 1, 0, 2, if(ISBLANK('2025'!$P342), 0, 1), 3, if(ISBLANK('2025'!$Q342), 0, 1), 4, if(ISBLANK('2025'!$R342), 0, 1), 5, if(ISBLANK('2025'!$S342), 0, 1), 6, if(ISBLANK('2025'!$T342), 0, 1), 7, 0))), 1, "")</f>
        <v/>
      </c>
      <c r="Y344" s="1" t="str">
        <f>IF(AND(AND(AND(Y$4&gt;='2025'!$L342,Y$4&lt;='2025'!$M342), Y$4&lt;&gt;DATE(2025,7,4)), (SWITCH(weekday(Y$4), 1, 0, 2, if(ISBLANK('2025'!$P342), 0, 1), 3, if(ISBLANK('2025'!$Q342), 0, 1), 4, if(ISBLANK('2025'!$R342), 0, 1), 5, if(ISBLANK('2025'!$S342), 0, 1), 6, if(ISBLANK('2025'!$T342), 0, 1), 7, 0))), 1, "")</f>
        <v/>
      </c>
      <c r="Z344" s="1" t="str">
        <f>IF(AND(AND(AND(Z$4&gt;='2025'!$L342,Z$4&lt;='2025'!$M342), Z$4&lt;&gt;DATE(2025,7,4)), (SWITCH(weekday(Z$4), 1, 0, 2, if(ISBLANK('2025'!$P342), 0, 1), 3, if(ISBLANK('2025'!$Q342), 0, 1), 4, if(ISBLANK('2025'!$R342), 0, 1), 5, if(ISBLANK('2025'!$S342), 0, 1), 6, if(ISBLANK('2025'!$T342), 0, 1), 7, 0))), 1, "")</f>
        <v/>
      </c>
      <c r="AA344" s="1" t="str">
        <f>IF(AND(AND(AND(AA$4&gt;='2025'!$L342,AA$4&lt;='2025'!$M342), AA$4&lt;&gt;DATE(2025,7,4)), (SWITCH(weekday(AA$4), 1, 0, 2, if(ISBLANK('2025'!$P342), 0, 1), 3, if(ISBLANK('2025'!$Q342), 0, 1), 4, if(ISBLANK('2025'!$R342), 0, 1), 5, if(ISBLANK('2025'!$S342), 0, 1), 6, if(ISBLANK('2025'!$T342), 0, 1), 7, 0))), 1, "")</f>
        <v/>
      </c>
      <c r="AB344" s="1" t="str">
        <f>IF(AND(AND(AND(AB$4&gt;='2025'!$L342,AB$4&lt;='2025'!$M342), AB$4&lt;&gt;DATE(2025,7,4)), (SWITCH(weekday(AB$4), 1, 0, 2, if(ISBLANK('2025'!$P342), 0, 1), 3, if(ISBLANK('2025'!$Q342), 0, 1), 4, if(ISBLANK('2025'!$R342), 0, 1), 5, if(ISBLANK('2025'!$S342), 0, 1), 6, if(ISBLANK('2025'!$T342), 0, 1), 7, 0))), 1, "")</f>
        <v/>
      </c>
      <c r="AC344" s="1" t="str">
        <f>IF(AND(AND(AND(AC$4&gt;='2025'!$L342,AC$4&lt;='2025'!$M342), AC$4&lt;&gt;DATE(2025,7,4)), (SWITCH(weekday(AC$4), 1, 0, 2, if(ISBLANK('2025'!$P342), 0, 1), 3, if(ISBLANK('2025'!$Q342), 0, 1), 4, if(ISBLANK('2025'!$R342), 0, 1), 5, if(ISBLANK('2025'!$S342), 0, 1), 6, if(ISBLANK('2025'!$T342), 0, 1), 7, 0))), 1, "")</f>
        <v/>
      </c>
      <c r="AD344" s="1" t="str">
        <f>IF(AND(AND(AND(AD$4&gt;='2025'!$L342,AD$4&lt;='2025'!$M342), AD$4&lt;&gt;DATE(2025,7,4)), (SWITCH(weekday(AD$4), 1, 0, 2, if(ISBLANK('2025'!$P342), 0, 1), 3, if(ISBLANK('2025'!$Q342), 0, 1), 4, if(ISBLANK('2025'!$R342), 0, 1), 5, if(ISBLANK('2025'!$S342), 0, 1), 6, if(ISBLANK('2025'!$T342), 0, 1), 7, 0))), 1, "")</f>
        <v/>
      </c>
      <c r="AE344" s="1" t="str">
        <f>IF(AND(AND(AND(AE$4&gt;='2025'!$L342,AE$4&lt;='2025'!$M342), AE$4&lt;&gt;DATE(2025,7,4)), (SWITCH(weekday(AE$4), 1, 0, 2, if(ISBLANK('2025'!$P342), 0, 1), 3, if(ISBLANK('2025'!$Q342), 0, 1), 4, if(ISBLANK('2025'!$R342), 0, 1), 5, if(ISBLANK('2025'!$S342), 0, 1), 6, if(ISBLANK('2025'!$T342), 0, 1), 7, 0))), 1, "")</f>
        <v/>
      </c>
      <c r="AF344" s="1" t="str">
        <f>IF(AND(AND(AND(AF$4&gt;='2025'!$L342,AF$4&lt;='2025'!$M342), AF$4&lt;&gt;DATE(2025,7,4)), (SWITCH(weekday(AF$4), 1, 0, 2, if(ISBLANK('2025'!$P342), 0, 1), 3, if(ISBLANK('2025'!$Q342), 0, 1), 4, if(ISBLANK('2025'!$R342), 0, 1), 5, if(ISBLANK('2025'!$S342), 0, 1), 6, if(ISBLANK('2025'!$T342), 0, 1), 7, 0))), 1, "")</f>
        <v/>
      </c>
      <c r="AG344" s="1" t="str">
        <f>IF(AND(AND(AND(AG$4&gt;='2025'!$L342,AG$4&lt;='2025'!$M342), AG$4&lt;&gt;DATE(2025,7,4)), (SWITCH(weekday(AG$4), 1, 0, 2, if(ISBLANK('2025'!$P342), 0, 1), 3, if(ISBLANK('2025'!$Q342), 0, 1), 4, if(ISBLANK('2025'!$R342), 0, 1), 5, if(ISBLANK('2025'!$S342), 0, 1), 6, if(ISBLANK('2025'!$T342), 0, 1), 7, 0))), 1, "")</f>
        <v/>
      </c>
      <c r="AH344" s="1" t="str">
        <f>IF(AND(AND(AND(AH$4&gt;='2025'!$L342,AH$4&lt;='2025'!$M342), AH$4&lt;&gt;DATE(2025,7,4)), (SWITCH(weekday(AH$4), 1, 0, 2, if(ISBLANK('2025'!$P342), 0, 1), 3, if(ISBLANK('2025'!$Q342), 0, 1), 4, if(ISBLANK('2025'!$R342), 0, 1), 5, if(ISBLANK('2025'!$S342), 0, 1), 6, if(ISBLANK('2025'!$T342), 0, 1), 7, 0))), 1, "")</f>
        <v/>
      </c>
      <c r="AI344" s="1" t="str">
        <f>IF(AND(AND(AND(AI$4&gt;='2025'!$L342,AI$4&lt;='2025'!$M342), AI$4&lt;&gt;DATE(2025,7,4)), (SWITCH(weekday(AI$4), 1, 0, 2, if(ISBLANK('2025'!$P342), 0, 1), 3, if(ISBLANK('2025'!$Q342), 0, 1), 4, if(ISBLANK('2025'!$R342), 0, 1), 5, if(ISBLANK('2025'!$S342), 0, 1), 6, if(ISBLANK('2025'!$T342), 0, 1), 7, 0))), 1, "")</f>
        <v/>
      </c>
      <c r="AJ344" s="1" t="str">
        <f>IF(AND(AND(AND(AJ$4&gt;='2025'!$L342,AJ$4&lt;='2025'!$M342), AJ$4&lt;&gt;DATE(2025,7,4)), (SWITCH(weekday(AJ$4), 1, 0, 2, if(ISBLANK('2025'!$P342), 0, 1), 3, if(ISBLANK('2025'!$Q342), 0, 1), 4, if(ISBLANK('2025'!$R342), 0, 1), 5, if(ISBLANK('2025'!$S342), 0, 1), 6, if(ISBLANK('2025'!$T342), 0, 1), 7, 0))), 1, "")</f>
        <v/>
      </c>
      <c r="AK344" s="1" t="str">
        <f>IF(AND(AND(AND(AK$4&gt;='2025'!$L342,AK$4&lt;='2025'!$M342), AK$4&lt;&gt;DATE(2025,7,4)), (SWITCH(weekday(AK$4), 1, 0, 2, if(ISBLANK('2025'!$P342), 0, 1), 3, if(ISBLANK('2025'!$Q342), 0, 1), 4, if(ISBLANK('2025'!$R342), 0, 1), 5, if(ISBLANK('2025'!$S342), 0, 1), 6, if(ISBLANK('2025'!$T342), 0, 1), 7, 0))), 1, "")</f>
        <v/>
      </c>
      <c r="AL344" s="1" t="str">
        <f>IF(AND(AND(AND(AL$4&gt;='2025'!$L342,AL$4&lt;='2025'!$M342), AL$4&lt;&gt;DATE(2025,7,4)), (SWITCH(weekday(AL$4), 1, 0, 2, if(ISBLANK('2025'!$P342), 0, 1), 3, if(ISBLANK('2025'!$Q342), 0, 1), 4, if(ISBLANK('2025'!$R342), 0, 1), 5, if(ISBLANK('2025'!$S342), 0, 1), 6, if(ISBLANK('2025'!$T342), 0, 1), 7, 0))), 1, "")</f>
        <v/>
      </c>
      <c r="AM344" s="1" t="str">
        <f>IF(AND(AND(AND(AM$4&gt;='2025'!$L342,AM$4&lt;='2025'!$M342), AM$4&lt;&gt;DATE(2025,7,4)), (SWITCH(weekday(AM$4), 1, 0, 2, if(ISBLANK('2025'!$P342), 0, 1), 3, if(ISBLANK('2025'!$Q342), 0, 1), 4, if(ISBLANK('2025'!$R342), 0, 1), 5, if(ISBLANK('2025'!$S342), 0, 1), 6, if(ISBLANK('2025'!$T342), 0, 1), 7, 0))), 1, "")</f>
        <v/>
      </c>
      <c r="AN344" s="1" t="str">
        <f>IF(AND(AND(AND(AN$4&gt;='2025'!$L342,AN$4&lt;='2025'!$M342), AN$4&lt;&gt;DATE(2025,7,4)), (SWITCH(weekday(AN$4), 1, 0, 2, if(ISBLANK('2025'!$P342), 0, 1), 3, if(ISBLANK('2025'!$Q342), 0, 1), 4, if(ISBLANK('2025'!$R342), 0, 1), 5, if(ISBLANK('2025'!$S342), 0, 1), 6, if(ISBLANK('2025'!$T342), 0, 1), 7, 0))), 1, "")</f>
        <v/>
      </c>
      <c r="AO344" s="1" t="str">
        <f>IF(AND(AND(AND(AO$4&gt;='2025'!$L342,AO$4&lt;='2025'!$M342), AO$4&lt;&gt;DATE(2025,7,4)), (SWITCH(weekday(AO$4), 1, 0, 2, if(ISBLANK('2025'!$P342), 0, 1), 3, if(ISBLANK('2025'!$Q342), 0, 1), 4, if(ISBLANK('2025'!$R342), 0, 1), 5, if(ISBLANK('2025'!$S342), 0, 1), 6, if(ISBLANK('2025'!$T342), 0, 1), 7, 0))), 1, "")</f>
        <v/>
      </c>
      <c r="AP344" s="1" t="str">
        <f>IF(AND(AND(AND(AP$4&gt;='2025'!$L342,AP$4&lt;='2025'!$M342), AP$4&lt;&gt;DATE(2025,7,4)), (SWITCH(weekday(AP$4), 1, 0, 2, if(ISBLANK('2025'!$P342), 0, 1), 3, if(ISBLANK('2025'!$Q342), 0, 1), 4, if(ISBLANK('2025'!$R342), 0, 1), 5, if(ISBLANK('2025'!$S342), 0, 1), 6, if(ISBLANK('2025'!$T342), 0, 1), 7, 0))), 1, "")</f>
        <v/>
      </c>
      <c r="AQ344" s="1" t="str">
        <f>IF(AND(AND(AND(AQ$4&gt;='2025'!$L342,AQ$4&lt;='2025'!$M342), AQ$4&lt;&gt;DATE(2025,7,4)), (SWITCH(weekday(AQ$4), 1, 0, 2, if(ISBLANK('2025'!$P342), 0, 1), 3, if(ISBLANK('2025'!$Q342), 0, 1), 4, if(ISBLANK('2025'!$R342), 0, 1), 5, if(ISBLANK('2025'!$S342), 0, 1), 6, if(ISBLANK('2025'!$T342), 0, 1), 7, 0))), 1, "")</f>
        <v/>
      </c>
      <c r="AR344" s="1" t="str">
        <f>IF(AND(AND(AND(AR$4&gt;='2025'!$L342,AR$4&lt;='2025'!$M342), AR$4&lt;&gt;DATE(2025,7,4)), (SWITCH(weekday(AR$4), 1, 0, 2, if(ISBLANK('2025'!$P342), 0, 1), 3, if(ISBLANK('2025'!$Q342), 0, 1), 4, if(ISBLANK('2025'!$R342), 0, 1), 5, if(ISBLANK('2025'!$S342), 0, 1), 6, if(ISBLANK('2025'!$T342), 0, 1), 7, 0))), 1, "")</f>
        <v/>
      </c>
      <c r="AS344" s="1" t="str">
        <f>IF(AND(AND(AND(AS$4&gt;='2025'!$L342,AS$4&lt;='2025'!$M342), AS$4&lt;&gt;DATE(2025,7,4)), (SWITCH(weekday(AS$4), 1, 0, 2, if(ISBLANK('2025'!$P342), 0, 1), 3, if(ISBLANK('2025'!$Q342), 0, 1), 4, if(ISBLANK('2025'!$R342), 0, 1), 5, if(ISBLANK('2025'!$S342), 0, 1), 6, if(ISBLANK('2025'!$T342), 0, 1), 7, 0))), 1, "")</f>
        <v/>
      </c>
      <c r="AT344" s="1" t="str">
        <f>IF(AND(AND(AND(AT$4&gt;='2025'!$L342,AT$4&lt;='2025'!$M342), AT$4&lt;&gt;DATE(2025,7,4)), (SWITCH(weekday(AT$4), 1, 0, 2, if(ISBLANK('2025'!$P342), 0, 1), 3, if(ISBLANK('2025'!$Q342), 0, 1), 4, if(ISBLANK('2025'!$R342), 0, 1), 5, if(ISBLANK('2025'!$S342), 0, 1), 6, if(ISBLANK('2025'!$T342), 0, 1), 7, 0))), 1, "")</f>
        <v/>
      </c>
      <c r="AU344" s="1" t="str">
        <f>IF(AND(AND(AND(AU$4&gt;='2025'!$L342,AU$4&lt;='2025'!$M342), AU$4&lt;&gt;DATE(2025,7,4)), (SWITCH(weekday(AU$4), 1, 0, 2, if(ISBLANK('2025'!$P342), 0, 1), 3, if(ISBLANK('2025'!$Q342), 0, 1), 4, if(ISBLANK('2025'!$R342), 0, 1), 5, if(ISBLANK('2025'!$S342), 0, 1), 6, if(ISBLANK('2025'!$T342), 0, 1), 7, 0))), 1, "")</f>
        <v/>
      </c>
      <c r="AV344" s="1" t="str">
        <f>IF(AND(AND(AND(AV$4&gt;='2025'!$L342,AV$4&lt;='2025'!$M342), AV$4&lt;&gt;DATE(2025,7,4)), (SWITCH(weekday(AV$4), 1, 0, 2, if(ISBLANK('2025'!$P342), 0, 1), 3, if(ISBLANK('2025'!$Q342), 0, 1), 4, if(ISBLANK('2025'!$R342), 0, 1), 5, if(ISBLANK('2025'!$S342), 0, 1), 6, if(ISBLANK('2025'!$T342), 0, 1), 7, 0))), 1, "")</f>
        <v/>
      </c>
      <c r="AW344" s="1" t="str">
        <f>IF(AND(AND(AND(AW$4&gt;='2025'!$L342,AW$4&lt;='2025'!$M342), AW$4&lt;&gt;DATE(2025,7,4)), (SWITCH(weekday(AW$4), 1, 0, 2, if(ISBLANK('2025'!$P342), 0, 1), 3, if(ISBLANK('2025'!$Q342), 0, 1), 4, if(ISBLANK('2025'!$R342), 0, 1), 5, if(ISBLANK('2025'!$S342), 0, 1), 6, if(ISBLANK('2025'!$T342), 0, 1), 7, 0))), 1, "")</f>
        <v/>
      </c>
      <c r="AX344" s="1" t="str">
        <f>IF(AND(AND(AND(AX$4&gt;='2025'!$L342,AX$4&lt;='2025'!$M342), AX$4&lt;&gt;DATE(2025,7,4)), (SWITCH(weekday(AX$4), 1, 0, 2, if(ISBLANK('2025'!$P342), 0, 1), 3, if(ISBLANK('2025'!$Q342), 0, 1), 4, if(ISBLANK('2025'!$R342), 0, 1), 5, if(ISBLANK('2025'!$S342), 0, 1), 6, if(ISBLANK('2025'!$T342), 0, 1), 7, 0))), 1, "")</f>
        <v/>
      </c>
      <c r="AY344" s="1" t="str">
        <f>IF(AND(AND(AND(AY$4&gt;='2025'!$L342,AY$4&lt;='2025'!$M342), AY$4&lt;&gt;DATE(2025,7,4)), (SWITCH(weekday(AY$4), 1, 0, 2, if(ISBLANK('2025'!$P342), 0, 1), 3, if(ISBLANK('2025'!$Q342), 0, 1), 4, if(ISBLANK('2025'!$R342), 0, 1), 5, if(ISBLANK('2025'!$S342), 0, 1), 6, if(ISBLANK('2025'!$T342), 0, 1), 7, 0))), 1, "")</f>
        <v/>
      </c>
      <c r="AZ344" s="1" t="str">
        <f>IF(AND(AND(AND(AZ$4&gt;='2025'!$L342,AZ$4&lt;='2025'!$M342), AZ$4&lt;&gt;DATE(2025,7,4)), (SWITCH(weekday(AZ$4), 1, 0, 2, if(ISBLANK('2025'!$P342), 0, 1), 3, if(ISBLANK('2025'!$Q342), 0, 1), 4, if(ISBLANK('2025'!$R342), 0, 1), 5, if(ISBLANK('2025'!$S342), 0, 1), 6, if(ISBLANK('2025'!$T342), 0, 1), 7, 0))), 1, "")</f>
        <v/>
      </c>
      <c r="BA344" s="1" t="str">
        <f>IF(AND(AND(AND(BA$4&gt;='2025'!$L342,BA$4&lt;='2025'!$M342), BA$4&lt;&gt;DATE(2025,7,4)), (SWITCH(weekday(BA$4), 1, 0, 2, if(ISBLANK('2025'!$P342), 0, 1), 3, if(ISBLANK('2025'!$Q342), 0, 1), 4, if(ISBLANK('2025'!$R342), 0, 1), 5, if(ISBLANK('2025'!$S342), 0, 1), 6, if(ISBLANK('2025'!$T342), 0, 1), 7, 0))), 1, "")</f>
        <v/>
      </c>
      <c r="BB344" s="1" t="str">
        <f>IF(AND(AND(AND(BB$4&gt;='2025'!$L342,BB$4&lt;='2025'!$M342), BB$4&lt;&gt;DATE(2025,7,4)), (SWITCH(weekday(BB$4), 1, 0, 2, if(ISBLANK('2025'!$P342), 0, 1), 3, if(ISBLANK('2025'!$Q342), 0, 1), 4, if(ISBLANK('2025'!$R342), 0, 1), 5, if(ISBLANK('2025'!$S342), 0, 1), 6, if(ISBLANK('2025'!$T342), 0, 1), 7, 0))), 1, "")</f>
        <v/>
      </c>
      <c r="BC344" s="1" t="str">
        <f>IF(AND(AND(AND(BC$4&gt;='2025'!$L342,BC$4&lt;='2025'!$M342), BC$4&lt;&gt;DATE(2025,7,4)), (SWITCH(weekday(BC$4), 1, 0, 2, if(ISBLANK('2025'!$P342), 0, 1), 3, if(ISBLANK('2025'!$Q342), 0, 1), 4, if(ISBLANK('2025'!$R342), 0, 1), 5, if(ISBLANK('2025'!$S342), 0, 1), 6, if(ISBLANK('2025'!$T342), 0, 1), 7, 0))), 1, "")</f>
        <v/>
      </c>
      <c r="BD344" s="1" t="str">
        <f>IF(AND(AND(AND(BD$4&gt;='2025'!$L342,BD$4&lt;='2025'!$M342), BD$4&lt;&gt;DATE(2025,7,4)), (SWITCH(weekday(BD$4), 1, 0, 2, if(ISBLANK('2025'!$P342), 0, 1), 3, if(ISBLANK('2025'!$Q342), 0, 1), 4, if(ISBLANK('2025'!$R342), 0, 1), 5, if(ISBLANK('2025'!$S342), 0, 1), 6, if(ISBLANK('2025'!$T342), 0, 1), 7, 0))), 1, "")</f>
        <v/>
      </c>
      <c r="BE344" s="1" t="str">
        <f>IF(AND(AND(AND(BE$4&gt;='2025'!$L342,BE$4&lt;='2025'!$M342), BE$4&lt;&gt;DATE(2025,7,4)), (SWITCH(weekday(BE$4), 1, 0, 2, if(ISBLANK('2025'!$P342), 0, 1), 3, if(ISBLANK('2025'!$Q342), 0, 1), 4, if(ISBLANK('2025'!$R342), 0, 1), 5, if(ISBLANK('2025'!$S342), 0, 1), 6, if(ISBLANK('2025'!$T342), 0, 1), 7, 0))), 1, "")</f>
        <v/>
      </c>
      <c r="BF344" s="1" t="str">
        <f>IF(AND(AND(AND(BF$4&gt;='2025'!$L342,BF$4&lt;='2025'!$M342), BF$4&lt;&gt;DATE(2025,7,4)), (SWITCH(weekday(BF$4), 1, 0, 2, if(ISBLANK('2025'!$P342), 0, 1), 3, if(ISBLANK('2025'!$Q342), 0, 1), 4, if(ISBLANK('2025'!$R342), 0, 1), 5, if(ISBLANK('2025'!$S342), 0, 1), 6, if(ISBLANK('2025'!$T342), 0, 1), 7, 0))), 1, "")</f>
        <v/>
      </c>
      <c r="BG344" s="1"/>
      <c r="BH344" s="1"/>
      <c r="BI344" s="1"/>
      <c r="BJ344" s="1"/>
      <c r="BK344" s="1"/>
      <c r="BL344" s="1"/>
    </row>
    <row r="345">
      <c r="A345" s="1">
        <f t="shared" si="3"/>
        <v>345</v>
      </c>
      <c r="B345" s="1" t="str">
        <f>'2025'!D309</f>
        <v>, </v>
      </c>
      <c r="C345" s="1" t="str">
        <f>'2025'!H309</f>
        <v/>
      </c>
      <c r="D345" s="1" t="str">
        <f>IF(AND(AND(AND(D$4&gt;='2025'!$L343,D$4&lt;='2025'!$M343), D$4&lt;&gt;DATE(2025,7,4)), (SWITCH(weekday(D$4), 1, 0, 2, if(ISBLANK('2025'!$P343), 0, 1), 3, if(ISBLANK('2025'!$Q343), 0, 1), 4, if(ISBLANK('2025'!$R343), 0, 1), 5, if(ISBLANK('2025'!$S343), 0, 1), 6, if(ISBLANK('2025'!$T343), 0, 1), 7, 0))), 1, "")</f>
        <v/>
      </c>
      <c r="E345" s="1" t="str">
        <f>IF(AND(AND(AND(E$4&gt;='2025'!$L343,E$4&lt;='2025'!$M343), E$4&lt;&gt;DATE(2025,7,4)), (SWITCH(weekday(E$4), 1, 0, 2, if(ISBLANK('2025'!$P343), 0, 1), 3, if(ISBLANK('2025'!$Q343), 0, 1), 4, if(ISBLANK('2025'!$R343), 0, 1), 5, if(ISBLANK('2025'!$S343), 0, 1), 6, if(ISBLANK('2025'!$T343), 0, 1), 7, 0))), 1, "")</f>
        <v/>
      </c>
      <c r="F345" s="1" t="str">
        <f>IF(AND(AND(AND(F$4&gt;='2025'!$L343,F$4&lt;='2025'!$M343), F$4&lt;&gt;DATE(2025,7,4)), (SWITCH(weekday(F$4), 1, 0, 2, if(ISBLANK('2025'!$P343), 0, 1), 3, if(ISBLANK('2025'!$Q343), 0, 1), 4, if(ISBLANK('2025'!$R343), 0, 1), 5, if(ISBLANK('2025'!$S343), 0, 1), 6, if(ISBLANK('2025'!$T343), 0, 1), 7, 0))), 1, "")</f>
        <v/>
      </c>
      <c r="G345" s="1" t="str">
        <f>IF(AND(AND(AND(G$4&gt;='2025'!$L343,G$4&lt;='2025'!$M343), G$4&lt;&gt;DATE(2025,7,4)), (SWITCH(weekday(G$4), 1, 0, 2, if(ISBLANK('2025'!$P343), 0, 1), 3, if(ISBLANK('2025'!$Q343), 0, 1), 4, if(ISBLANK('2025'!$R343), 0, 1), 5, if(ISBLANK('2025'!$S343), 0, 1), 6, if(ISBLANK('2025'!$T343), 0, 1), 7, 0))), 1, "")</f>
        <v/>
      </c>
      <c r="H345" s="1" t="str">
        <f>IF(AND(AND(AND(H$4&gt;='2025'!$L343,H$4&lt;='2025'!$M343), H$4&lt;&gt;DATE(2025,7,4)), (SWITCH(weekday(H$4), 1, 0, 2, if(ISBLANK('2025'!$P343), 0, 1), 3, if(ISBLANK('2025'!$Q343), 0, 1), 4, if(ISBLANK('2025'!$R343), 0, 1), 5, if(ISBLANK('2025'!$S343), 0, 1), 6, if(ISBLANK('2025'!$T343), 0, 1), 7, 0))), 1, "")</f>
        <v/>
      </c>
      <c r="I345" s="1" t="str">
        <f>IF(AND(AND(AND(I$4&gt;='2025'!$L343,I$4&lt;='2025'!$M343), I$4&lt;&gt;DATE(2025,7,4)), (SWITCH(weekday(I$4), 1, 0, 2, if(ISBLANK('2025'!$P343), 0, 1), 3, if(ISBLANK('2025'!$Q343), 0, 1), 4, if(ISBLANK('2025'!$R343), 0, 1), 5, if(ISBLANK('2025'!$S343), 0, 1), 6, if(ISBLANK('2025'!$T343), 0, 1), 7, 0))), 1, "")</f>
        <v/>
      </c>
      <c r="J345" s="1" t="str">
        <f>IF(AND(AND(AND(J$4&gt;='2025'!$L343,J$4&lt;='2025'!$M343), J$4&lt;&gt;DATE(2025,7,4)), (SWITCH(weekday(J$4), 1, 0, 2, if(ISBLANK('2025'!$P343), 0, 1), 3, if(ISBLANK('2025'!$Q343), 0, 1), 4, if(ISBLANK('2025'!$R343), 0, 1), 5, if(ISBLANK('2025'!$S343), 0, 1), 6, if(ISBLANK('2025'!$T343), 0, 1), 7, 0))), 1, "")</f>
        <v/>
      </c>
      <c r="K345" s="1" t="str">
        <f>IF(AND(AND(AND(K$4&gt;='2025'!$L343,K$4&lt;='2025'!$M343), K$4&lt;&gt;DATE(2025,7,4)), (SWITCH(weekday(K$4), 1, 0, 2, if(ISBLANK('2025'!$P343), 0, 1), 3, if(ISBLANK('2025'!$Q343), 0, 1), 4, if(ISBLANK('2025'!$R343), 0, 1), 5, if(ISBLANK('2025'!$S343), 0, 1), 6, if(ISBLANK('2025'!$T343), 0, 1), 7, 0))), 1, "")</f>
        <v/>
      </c>
      <c r="L345" s="1" t="str">
        <f>IF(AND(AND(AND(L$4&gt;='2025'!$L343,L$4&lt;='2025'!$M343), L$4&lt;&gt;DATE(2025,7,4)), (SWITCH(weekday(L$4), 1, 0, 2, if(ISBLANK('2025'!$P343), 0, 1), 3, if(ISBLANK('2025'!$Q343), 0, 1), 4, if(ISBLANK('2025'!$R343), 0, 1), 5, if(ISBLANK('2025'!$S343), 0, 1), 6, if(ISBLANK('2025'!$T343), 0, 1), 7, 0))), 1, "")</f>
        <v/>
      </c>
      <c r="M345" s="1" t="str">
        <f>IF(AND(AND(AND(M$4&gt;='2025'!$L343,M$4&lt;='2025'!$M343), M$4&lt;&gt;DATE(2025,7,4)), (SWITCH(weekday(M$4), 1, 0, 2, if(ISBLANK('2025'!$P343), 0, 1), 3, if(ISBLANK('2025'!$Q343), 0, 1), 4, if(ISBLANK('2025'!$R343), 0, 1), 5, if(ISBLANK('2025'!$S343), 0, 1), 6, if(ISBLANK('2025'!$T343), 0, 1), 7, 0))), 1, "")</f>
        <v/>
      </c>
      <c r="N345" s="1" t="str">
        <f>IF(AND(AND(AND(N$4&gt;='2025'!$L343,N$4&lt;='2025'!$M343), N$4&lt;&gt;DATE(2025,7,4)), (SWITCH(weekday(N$4), 1, 0, 2, if(ISBLANK('2025'!$P343), 0, 1), 3, if(ISBLANK('2025'!$Q343), 0, 1), 4, if(ISBLANK('2025'!$R343), 0, 1), 5, if(ISBLANK('2025'!$S343), 0, 1), 6, if(ISBLANK('2025'!$T343), 0, 1), 7, 0))), 1, "")</f>
        <v/>
      </c>
      <c r="O345" s="1" t="str">
        <f>IF(AND(AND(AND(O$4&gt;='2025'!$L343,O$4&lt;='2025'!$M343), O$4&lt;&gt;DATE(2025,7,4)), (SWITCH(weekday(O$4), 1, 0, 2, if(ISBLANK('2025'!$P343), 0, 1), 3, if(ISBLANK('2025'!$Q343), 0, 1), 4, if(ISBLANK('2025'!$R343), 0, 1), 5, if(ISBLANK('2025'!$S343), 0, 1), 6, if(ISBLANK('2025'!$T343), 0, 1), 7, 0))), 1, "")</f>
        <v/>
      </c>
      <c r="P345" s="1" t="str">
        <f>IF(AND(AND(AND(P$4&gt;='2025'!$L343,P$4&lt;='2025'!$M343), P$4&lt;&gt;DATE(2025,7,4)), (SWITCH(weekday(P$4), 1, 0, 2, if(ISBLANK('2025'!$P343), 0, 1), 3, if(ISBLANK('2025'!$Q343), 0, 1), 4, if(ISBLANK('2025'!$R343), 0, 1), 5, if(ISBLANK('2025'!$S343), 0, 1), 6, if(ISBLANK('2025'!$T343), 0, 1), 7, 0))), 1, "")</f>
        <v/>
      </c>
      <c r="Q345" s="1" t="str">
        <f>IF(AND(AND(AND(Q$4&gt;='2025'!$L343,Q$4&lt;='2025'!$M343), Q$4&lt;&gt;DATE(2025,7,4)), (SWITCH(weekday(Q$4), 1, 0, 2, if(ISBLANK('2025'!$P343), 0, 1), 3, if(ISBLANK('2025'!$Q343), 0, 1), 4, if(ISBLANK('2025'!$R343), 0, 1), 5, if(ISBLANK('2025'!$S343), 0, 1), 6, if(ISBLANK('2025'!$T343), 0, 1), 7, 0))), 1, "")</f>
        <v/>
      </c>
      <c r="R345" s="1" t="str">
        <f>IF(AND(AND(AND(R$4&gt;='2025'!$L343,R$4&lt;='2025'!$M343), R$4&lt;&gt;DATE(2025,7,4)), (SWITCH(weekday(R$4), 1, 0, 2, if(ISBLANK('2025'!$P343), 0, 1), 3, if(ISBLANK('2025'!$Q343), 0, 1), 4, if(ISBLANK('2025'!$R343), 0, 1), 5, if(ISBLANK('2025'!$S343), 0, 1), 6, if(ISBLANK('2025'!$T343), 0, 1), 7, 0))), 1, "")</f>
        <v/>
      </c>
      <c r="S345" s="1" t="str">
        <f>IF(AND(AND(AND(S$4&gt;='2025'!$L343,S$4&lt;='2025'!$M343), S$4&lt;&gt;DATE(2025,7,4)), (SWITCH(weekday(S$4), 1, 0, 2, if(ISBLANK('2025'!$P343), 0, 1), 3, if(ISBLANK('2025'!$Q343), 0, 1), 4, if(ISBLANK('2025'!$R343), 0, 1), 5, if(ISBLANK('2025'!$S343), 0, 1), 6, if(ISBLANK('2025'!$T343), 0, 1), 7, 0))), 1, "")</f>
        <v/>
      </c>
      <c r="T345" s="1" t="str">
        <f>IF(AND(AND(AND(T$4&gt;='2025'!$L343,T$4&lt;='2025'!$M343), T$4&lt;&gt;DATE(2025,7,4)), (SWITCH(weekday(T$4), 1, 0, 2, if(ISBLANK('2025'!$P343), 0, 1), 3, if(ISBLANK('2025'!$Q343), 0, 1), 4, if(ISBLANK('2025'!$R343), 0, 1), 5, if(ISBLANK('2025'!$S343), 0, 1), 6, if(ISBLANK('2025'!$T343), 0, 1), 7, 0))), 1, "")</f>
        <v/>
      </c>
      <c r="U345" s="1" t="str">
        <f>IF(AND(AND(AND(U$4&gt;='2025'!$L343,U$4&lt;='2025'!$M343), U$4&lt;&gt;DATE(2025,7,4)), (SWITCH(weekday(U$4), 1, 0, 2, if(ISBLANK('2025'!$P343), 0, 1), 3, if(ISBLANK('2025'!$Q343), 0, 1), 4, if(ISBLANK('2025'!$R343), 0, 1), 5, if(ISBLANK('2025'!$S343), 0, 1), 6, if(ISBLANK('2025'!$T343), 0, 1), 7, 0))), 1, "")</f>
        <v/>
      </c>
      <c r="V345" s="1" t="str">
        <f>IF(AND(AND(AND(V$4&gt;='2025'!$L343,V$4&lt;='2025'!$M343), V$4&lt;&gt;DATE(2025,7,4)), (SWITCH(weekday(V$4), 1, 0, 2, if(ISBLANK('2025'!$P343), 0, 1), 3, if(ISBLANK('2025'!$Q343), 0, 1), 4, if(ISBLANK('2025'!$R343), 0, 1), 5, if(ISBLANK('2025'!$S343), 0, 1), 6, if(ISBLANK('2025'!$T343), 0, 1), 7, 0))), 1, "")</f>
        <v/>
      </c>
      <c r="W345" s="1" t="str">
        <f>IF(AND(AND(AND(W$4&gt;='2025'!$L343,W$4&lt;='2025'!$M343), W$4&lt;&gt;DATE(2025,7,4)), (SWITCH(weekday(W$4), 1, 0, 2, if(ISBLANK('2025'!$P343), 0, 1), 3, if(ISBLANK('2025'!$Q343), 0, 1), 4, if(ISBLANK('2025'!$R343), 0, 1), 5, if(ISBLANK('2025'!$S343), 0, 1), 6, if(ISBLANK('2025'!$T343), 0, 1), 7, 0))), 1, "")</f>
        <v/>
      </c>
      <c r="X345" s="1" t="str">
        <f>IF(AND(AND(AND(X$4&gt;='2025'!$L343,X$4&lt;='2025'!$M343), X$4&lt;&gt;DATE(2025,7,4)), (SWITCH(weekday(X$4), 1, 0, 2, if(ISBLANK('2025'!$P343), 0, 1), 3, if(ISBLANK('2025'!$Q343), 0, 1), 4, if(ISBLANK('2025'!$R343), 0, 1), 5, if(ISBLANK('2025'!$S343), 0, 1), 6, if(ISBLANK('2025'!$T343), 0, 1), 7, 0))), 1, "")</f>
        <v/>
      </c>
      <c r="Y345" s="1" t="str">
        <f>IF(AND(AND(AND(Y$4&gt;='2025'!$L343,Y$4&lt;='2025'!$M343), Y$4&lt;&gt;DATE(2025,7,4)), (SWITCH(weekday(Y$4), 1, 0, 2, if(ISBLANK('2025'!$P343), 0, 1), 3, if(ISBLANK('2025'!$Q343), 0, 1), 4, if(ISBLANK('2025'!$R343), 0, 1), 5, if(ISBLANK('2025'!$S343), 0, 1), 6, if(ISBLANK('2025'!$T343), 0, 1), 7, 0))), 1, "")</f>
        <v/>
      </c>
      <c r="Z345" s="1" t="str">
        <f>IF(AND(AND(AND(Z$4&gt;='2025'!$L343,Z$4&lt;='2025'!$M343), Z$4&lt;&gt;DATE(2025,7,4)), (SWITCH(weekday(Z$4), 1, 0, 2, if(ISBLANK('2025'!$P343), 0, 1), 3, if(ISBLANK('2025'!$Q343), 0, 1), 4, if(ISBLANK('2025'!$R343), 0, 1), 5, if(ISBLANK('2025'!$S343), 0, 1), 6, if(ISBLANK('2025'!$T343), 0, 1), 7, 0))), 1, "")</f>
        <v/>
      </c>
      <c r="AA345" s="1" t="str">
        <f>IF(AND(AND(AND(AA$4&gt;='2025'!$L343,AA$4&lt;='2025'!$M343), AA$4&lt;&gt;DATE(2025,7,4)), (SWITCH(weekday(AA$4), 1, 0, 2, if(ISBLANK('2025'!$P343), 0, 1), 3, if(ISBLANK('2025'!$Q343), 0, 1), 4, if(ISBLANK('2025'!$R343), 0, 1), 5, if(ISBLANK('2025'!$S343), 0, 1), 6, if(ISBLANK('2025'!$T343), 0, 1), 7, 0))), 1, "")</f>
        <v/>
      </c>
      <c r="AB345" s="1" t="str">
        <f>IF(AND(AND(AND(AB$4&gt;='2025'!$L343,AB$4&lt;='2025'!$M343), AB$4&lt;&gt;DATE(2025,7,4)), (SWITCH(weekday(AB$4), 1, 0, 2, if(ISBLANK('2025'!$P343), 0, 1), 3, if(ISBLANK('2025'!$Q343), 0, 1), 4, if(ISBLANK('2025'!$R343), 0, 1), 5, if(ISBLANK('2025'!$S343), 0, 1), 6, if(ISBLANK('2025'!$T343), 0, 1), 7, 0))), 1, "")</f>
        <v/>
      </c>
      <c r="AC345" s="1" t="str">
        <f>IF(AND(AND(AND(AC$4&gt;='2025'!$L343,AC$4&lt;='2025'!$M343), AC$4&lt;&gt;DATE(2025,7,4)), (SWITCH(weekday(AC$4), 1, 0, 2, if(ISBLANK('2025'!$P343), 0, 1), 3, if(ISBLANK('2025'!$Q343), 0, 1), 4, if(ISBLANK('2025'!$R343), 0, 1), 5, if(ISBLANK('2025'!$S343), 0, 1), 6, if(ISBLANK('2025'!$T343), 0, 1), 7, 0))), 1, "")</f>
        <v/>
      </c>
      <c r="AD345" s="1" t="str">
        <f>IF(AND(AND(AND(AD$4&gt;='2025'!$L343,AD$4&lt;='2025'!$M343), AD$4&lt;&gt;DATE(2025,7,4)), (SWITCH(weekday(AD$4), 1, 0, 2, if(ISBLANK('2025'!$P343), 0, 1), 3, if(ISBLANK('2025'!$Q343), 0, 1), 4, if(ISBLANK('2025'!$R343), 0, 1), 5, if(ISBLANK('2025'!$S343), 0, 1), 6, if(ISBLANK('2025'!$T343), 0, 1), 7, 0))), 1, "")</f>
        <v/>
      </c>
      <c r="AE345" s="1" t="str">
        <f>IF(AND(AND(AND(AE$4&gt;='2025'!$L343,AE$4&lt;='2025'!$M343), AE$4&lt;&gt;DATE(2025,7,4)), (SWITCH(weekday(AE$4), 1, 0, 2, if(ISBLANK('2025'!$P343), 0, 1), 3, if(ISBLANK('2025'!$Q343), 0, 1), 4, if(ISBLANK('2025'!$R343), 0, 1), 5, if(ISBLANK('2025'!$S343), 0, 1), 6, if(ISBLANK('2025'!$T343), 0, 1), 7, 0))), 1, "")</f>
        <v/>
      </c>
      <c r="AF345" s="1" t="str">
        <f>IF(AND(AND(AND(AF$4&gt;='2025'!$L343,AF$4&lt;='2025'!$M343), AF$4&lt;&gt;DATE(2025,7,4)), (SWITCH(weekday(AF$4), 1, 0, 2, if(ISBLANK('2025'!$P343), 0, 1), 3, if(ISBLANK('2025'!$Q343), 0, 1), 4, if(ISBLANK('2025'!$R343), 0, 1), 5, if(ISBLANK('2025'!$S343), 0, 1), 6, if(ISBLANK('2025'!$T343), 0, 1), 7, 0))), 1, "")</f>
        <v/>
      </c>
      <c r="AG345" s="1" t="str">
        <f>IF(AND(AND(AND(AG$4&gt;='2025'!$L343,AG$4&lt;='2025'!$M343), AG$4&lt;&gt;DATE(2025,7,4)), (SWITCH(weekday(AG$4), 1, 0, 2, if(ISBLANK('2025'!$P343), 0, 1), 3, if(ISBLANK('2025'!$Q343), 0, 1), 4, if(ISBLANK('2025'!$R343), 0, 1), 5, if(ISBLANK('2025'!$S343), 0, 1), 6, if(ISBLANK('2025'!$T343), 0, 1), 7, 0))), 1, "")</f>
        <v/>
      </c>
      <c r="AH345" s="1" t="str">
        <f>IF(AND(AND(AND(AH$4&gt;='2025'!$L343,AH$4&lt;='2025'!$M343), AH$4&lt;&gt;DATE(2025,7,4)), (SWITCH(weekday(AH$4), 1, 0, 2, if(ISBLANK('2025'!$P343), 0, 1), 3, if(ISBLANK('2025'!$Q343), 0, 1), 4, if(ISBLANK('2025'!$R343), 0, 1), 5, if(ISBLANK('2025'!$S343), 0, 1), 6, if(ISBLANK('2025'!$T343), 0, 1), 7, 0))), 1, "")</f>
        <v/>
      </c>
      <c r="AI345" s="1" t="str">
        <f>IF(AND(AND(AND(AI$4&gt;='2025'!$L343,AI$4&lt;='2025'!$M343), AI$4&lt;&gt;DATE(2025,7,4)), (SWITCH(weekday(AI$4), 1, 0, 2, if(ISBLANK('2025'!$P343), 0, 1), 3, if(ISBLANK('2025'!$Q343), 0, 1), 4, if(ISBLANK('2025'!$R343), 0, 1), 5, if(ISBLANK('2025'!$S343), 0, 1), 6, if(ISBLANK('2025'!$T343), 0, 1), 7, 0))), 1, "")</f>
        <v/>
      </c>
      <c r="AJ345" s="1" t="str">
        <f>IF(AND(AND(AND(AJ$4&gt;='2025'!$L343,AJ$4&lt;='2025'!$M343), AJ$4&lt;&gt;DATE(2025,7,4)), (SWITCH(weekday(AJ$4), 1, 0, 2, if(ISBLANK('2025'!$P343), 0, 1), 3, if(ISBLANK('2025'!$Q343), 0, 1), 4, if(ISBLANK('2025'!$R343), 0, 1), 5, if(ISBLANK('2025'!$S343), 0, 1), 6, if(ISBLANK('2025'!$T343), 0, 1), 7, 0))), 1, "")</f>
        <v/>
      </c>
      <c r="AK345" s="1" t="str">
        <f>IF(AND(AND(AND(AK$4&gt;='2025'!$L343,AK$4&lt;='2025'!$M343), AK$4&lt;&gt;DATE(2025,7,4)), (SWITCH(weekday(AK$4), 1, 0, 2, if(ISBLANK('2025'!$P343), 0, 1), 3, if(ISBLANK('2025'!$Q343), 0, 1), 4, if(ISBLANK('2025'!$R343), 0, 1), 5, if(ISBLANK('2025'!$S343), 0, 1), 6, if(ISBLANK('2025'!$T343), 0, 1), 7, 0))), 1, "")</f>
        <v/>
      </c>
      <c r="AL345" s="1" t="str">
        <f>IF(AND(AND(AND(AL$4&gt;='2025'!$L343,AL$4&lt;='2025'!$M343), AL$4&lt;&gt;DATE(2025,7,4)), (SWITCH(weekday(AL$4), 1, 0, 2, if(ISBLANK('2025'!$P343), 0, 1), 3, if(ISBLANK('2025'!$Q343), 0, 1), 4, if(ISBLANK('2025'!$R343), 0, 1), 5, if(ISBLANK('2025'!$S343), 0, 1), 6, if(ISBLANK('2025'!$T343), 0, 1), 7, 0))), 1, "")</f>
        <v/>
      </c>
      <c r="AM345" s="1" t="str">
        <f>IF(AND(AND(AND(AM$4&gt;='2025'!$L343,AM$4&lt;='2025'!$M343), AM$4&lt;&gt;DATE(2025,7,4)), (SWITCH(weekday(AM$4), 1, 0, 2, if(ISBLANK('2025'!$P343), 0, 1), 3, if(ISBLANK('2025'!$Q343), 0, 1), 4, if(ISBLANK('2025'!$R343), 0, 1), 5, if(ISBLANK('2025'!$S343), 0, 1), 6, if(ISBLANK('2025'!$T343), 0, 1), 7, 0))), 1, "")</f>
        <v/>
      </c>
      <c r="AN345" s="1" t="str">
        <f>IF(AND(AND(AND(AN$4&gt;='2025'!$L343,AN$4&lt;='2025'!$M343), AN$4&lt;&gt;DATE(2025,7,4)), (SWITCH(weekday(AN$4), 1, 0, 2, if(ISBLANK('2025'!$P343), 0, 1), 3, if(ISBLANK('2025'!$Q343), 0, 1), 4, if(ISBLANK('2025'!$R343), 0, 1), 5, if(ISBLANK('2025'!$S343), 0, 1), 6, if(ISBLANK('2025'!$T343), 0, 1), 7, 0))), 1, "")</f>
        <v/>
      </c>
      <c r="AO345" s="1" t="str">
        <f>IF(AND(AND(AND(AO$4&gt;='2025'!$L343,AO$4&lt;='2025'!$M343), AO$4&lt;&gt;DATE(2025,7,4)), (SWITCH(weekday(AO$4), 1, 0, 2, if(ISBLANK('2025'!$P343), 0, 1), 3, if(ISBLANK('2025'!$Q343), 0, 1), 4, if(ISBLANK('2025'!$R343), 0, 1), 5, if(ISBLANK('2025'!$S343), 0, 1), 6, if(ISBLANK('2025'!$T343), 0, 1), 7, 0))), 1, "")</f>
        <v/>
      </c>
      <c r="AP345" s="1" t="str">
        <f>IF(AND(AND(AND(AP$4&gt;='2025'!$L343,AP$4&lt;='2025'!$M343), AP$4&lt;&gt;DATE(2025,7,4)), (SWITCH(weekday(AP$4), 1, 0, 2, if(ISBLANK('2025'!$P343), 0, 1), 3, if(ISBLANK('2025'!$Q343), 0, 1), 4, if(ISBLANK('2025'!$R343), 0, 1), 5, if(ISBLANK('2025'!$S343), 0, 1), 6, if(ISBLANK('2025'!$T343), 0, 1), 7, 0))), 1, "")</f>
        <v/>
      </c>
      <c r="AQ345" s="1" t="str">
        <f>IF(AND(AND(AND(AQ$4&gt;='2025'!$L343,AQ$4&lt;='2025'!$M343), AQ$4&lt;&gt;DATE(2025,7,4)), (SWITCH(weekday(AQ$4), 1, 0, 2, if(ISBLANK('2025'!$P343), 0, 1), 3, if(ISBLANK('2025'!$Q343), 0, 1), 4, if(ISBLANK('2025'!$R343), 0, 1), 5, if(ISBLANK('2025'!$S343), 0, 1), 6, if(ISBLANK('2025'!$T343), 0, 1), 7, 0))), 1, "")</f>
        <v/>
      </c>
      <c r="AR345" s="1" t="str">
        <f>IF(AND(AND(AND(AR$4&gt;='2025'!$L343,AR$4&lt;='2025'!$M343), AR$4&lt;&gt;DATE(2025,7,4)), (SWITCH(weekday(AR$4), 1, 0, 2, if(ISBLANK('2025'!$P343), 0, 1), 3, if(ISBLANK('2025'!$Q343), 0, 1), 4, if(ISBLANK('2025'!$R343), 0, 1), 5, if(ISBLANK('2025'!$S343), 0, 1), 6, if(ISBLANK('2025'!$T343), 0, 1), 7, 0))), 1, "")</f>
        <v/>
      </c>
      <c r="AS345" s="1" t="str">
        <f>IF(AND(AND(AND(AS$4&gt;='2025'!$L343,AS$4&lt;='2025'!$M343), AS$4&lt;&gt;DATE(2025,7,4)), (SWITCH(weekday(AS$4), 1, 0, 2, if(ISBLANK('2025'!$P343), 0, 1), 3, if(ISBLANK('2025'!$Q343), 0, 1), 4, if(ISBLANK('2025'!$R343), 0, 1), 5, if(ISBLANK('2025'!$S343), 0, 1), 6, if(ISBLANK('2025'!$T343), 0, 1), 7, 0))), 1, "")</f>
        <v/>
      </c>
      <c r="AT345" s="1" t="str">
        <f>IF(AND(AND(AND(AT$4&gt;='2025'!$L343,AT$4&lt;='2025'!$M343), AT$4&lt;&gt;DATE(2025,7,4)), (SWITCH(weekday(AT$4), 1, 0, 2, if(ISBLANK('2025'!$P343), 0, 1), 3, if(ISBLANK('2025'!$Q343), 0, 1), 4, if(ISBLANK('2025'!$R343), 0, 1), 5, if(ISBLANK('2025'!$S343), 0, 1), 6, if(ISBLANK('2025'!$T343), 0, 1), 7, 0))), 1, "")</f>
        <v/>
      </c>
      <c r="AU345" s="1" t="str">
        <f>IF(AND(AND(AND(AU$4&gt;='2025'!$L343,AU$4&lt;='2025'!$M343), AU$4&lt;&gt;DATE(2025,7,4)), (SWITCH(weekday(AU$4), 1, 0, 2, if(ISBLANK('2025'!$P343), 0, 1), 3, if(ISBLANK('2025'!$Q343), 0, 1), 4, if(ISBLANK('2025'!$R343), 0, 1), 5, if(ISBLANK('2025'!$S343), 0, 1), 6, if(ISBLANK('2025'!$T343), 0, 1), 7, 0))), 1, "")</f>
        <v/>
      </c>
      <c r="AV345" s="1" t="str">
        <f>IF(AND(AND(AND(AV$4&gt;='2025'!$L343,AV$4&lt;='2025'!$M343), AV$4&lt;&gt;DATE(2025,7,4)), (SWITCH(weekday(AV$4), 1, 0, 2, if(ISBLANK('2025'!$P343), 0, 1), 3, if(ISBLANK('2025'!$Q343), 0, 1), 4, if(ISBLANK('2025'!$R343), 0, 1), 5, if(ISBLANK('2025'!$S343), 0, 1), 6, if(ISBLANK('2025'!$T343), 0, 1), 7, 0))), 1, "")</f>
        <v/>
      </c>
      <c r="AW345" s="1" t="str">
        <f>IF(AND(AND(AND(AW$4&gt;='2025'!$L343,AW$4&lt;='2025'!$M343), AW$4&lt;&gt;DATE(2025,7,4)), (SWITCH(weekday(AW$4), 1, 0, 2, if(ISBLANK('2025'!$P343), 0, 1), 3, if(ISBLANK('2025'!$Q343), 0, 1), 4, if(ISBLANK('2025'!$R343), 0, 1), 5, if(ISBLANK('2025'!$S343), 0, 1), 6, if(ISBLANK('2025'!$T343), 0, 1), 7, 0))), 1, "")</f>
        <v/>
      </c>
      <c r="AX345" s="1" t="str">
        <f>IF(AND(AND(AND(AX$4&gt;='2025'!$L343,AX$4&lt;='2025'!$M343), AX$4&lt;&gt;DATE(2025,7,4)), (SWITCH(weekday(AX$4), 1, 0, 2, if(ISBLANK('2025'!$P343), 0, 1), 3, if(ISBLANK('2025'!$Q343), 0, 1), 4, if(ISBLANK('2025'!$R343), 0, 1), 5, if(ISBLANK('2025'!$S343), 0, 1), 6, if(ISBLANK('2025'!$T343), 0, 1), 7, 0))), 1, "")</f>
        <v/>
      </c>
      <c r="AY345" s="1" t="str">
        <f>IF(AND(AND(AND(AY$4&gt;='2025'!$L343,AY$4&lt;='2025'!$M343), AY$4&lt;&gt;DATE(2025,7,4)), (SWITCH(weekday(AY$4), 1, 0, 2, if(ISBLANK('2025'!$P343), 0, 1), 3, if(ISBLANK('2025'!$Q343), 0, 1), 4, if(ISBLANK('2025'!$R343), 0, 1), 5, if(ISBLANK('2025'!$S343), 0, 1), 6, if(ISBLANK('2025'!$T343), 0, 1), 7, 0))), 1, "")</f>
        <v/>
      </c>
      <c r="AZ345" s="1" t="str">
        <f>IF(AND(AND(AND(AZ$4&gt;='2025'!$L343,AZ$4&lt;='2025'!$M343), AZ$4&lt;&gt;DATE(2025,7,4)), (SWITCH(weekday(AZ$4), 1, 0, 2, if(ISBLANK('2025'!$P343), 0, 1), 3, if(ISBLANK('2025'!$Q343), 0, 1), 4, if(ISBLANK('2025'!$R343), 0, 1), 5, if(ISBLANK('2025'!$S343), 0, 1), 6, if(ISBLANK('2025'!$T343), 0, 1), 7, 0))), 1, "")</f>
        <v/>
      </c>
      <c r="BA345" s="1" t="str">
        <f>IF(AND(AND(AND(BA$4&gt;='2025'!$L343,BA$4&lt;='2025'!$M343), BA$4&lt;&gt;DATE(2025,7,4)), (SWITCH(weekday(BA$4), 1, 0, 2, if(ISBLANK('2025'!$P343), 0, 1), 3, if(ISBLANK('2025'!$Q343), 0, 1), 4, if(ISBLANK('2025'!$R343), 0, 1), 5, if(ISBLANK('2025'!$S343), 0, 1), 6, if(ISBLANK('2025'!$T343), 0, 1), 7, 0))), 1, "")</f>
        <v/>
      </c>
      <c r="BB345" s="1" t="str">
        <f>IF(AND(AND(AND(BB$4&gt;='2025'!$L343,BB$4&lt;='2025'!$M343), BB$4&lt;&gt;DATE(2025,7,4)), (SWITCH(weekday(BB$4), 1, 0, 2, if(ISBLANK('2025'!$P343), 0, 1), 3, if(ISBLANK('2025'!$Q343), 0, 1), 4, if(ISBLANK('2025'!$R343), 0, 1), 5, if(ISBLANK('2025'!$S343), 0, 1), 6, if(ISBLANK('2025'!$T343), 0, 1), 7, 0))), 1, "")</f>
        <v/>
      </c>
      <c r="BC345" s="1" t="str">
        <f>IF(AND(AND(AND(BC$4&gt;='2025'!$L343,BC$4&lt;='2025'!$M343), BC$4&lt;&gt;DATE(2025,7,4)), (SWITCH(weekday(BC$4), 1, 0, 2, if(ISBLANK('2025'!$P343), 0, 1), 3, if(ISBLANK('2025'!$Q343), 0, 1), 4, if(ISBLANK('2025'!$R343), 0, 1), 5, if(ISBLANK('2025'!$S343), 0, 1), 6, if(ISBLANK('2025'!$T343), 0, 1), 7, 0))), 1, "")</f>
        <v/>
      </c>
      <c r="BD345" s="1" t="str">
        <f>IF(AND(AND(AND(BD$4&gt;='2025'!$L343,BD$4&lt;='2025'!$M343), BD$4&lt;&gt;DATE(2025,7,4)), (SWITCH(weekday(BD$4), 1, 0, 2, if(ISBLANK('2025'!$P343), 0, 1), 3, if(ISBLANK('2025'!$Q343), 0, 1), 4, if(ISBLANK('2025'!$R343), 0, 1), 5, if(ISBLANK('2025'!$S343), 0, 1), 6, if(ISBLANK('2025'!$T343), 0, 1), 7, 0))), 1, "")</f>
        <v/>
      </c>
      <c r="BE345" s="1" t="str">
        <f>IF(AND(AND(AND(BE$4&gt;='2025'!$L343,BE$4&lt;='2025'!$M343), BE$4&lt;&gt;DATE(2025,7,4)), (SWITCH(weekday(BE$4), 1, 0, 2, if(ISBLANK('2025'!$P343), 0, 1), 3, if(ISBLANK('2025'!$Q343), 0, 1), 4, if(ISBLANK('2025'!$R343), 0, 1), 5, if(ISBLANK('2025'!$S343), 0, 1), 6, if(ISBLANK('2025'!$T343), 0, 1), 7, 0))), 1, "")</f>
        <v/>
      </c>
      <c r="BF345" s="1" t="str">
        <f>IF(AND(AND(AND(BF$4&gt;='2025'!$L343,BF$4&lt;='2025'!$M343), BF$4&lt;&gt;DATE(2025,7,4)), (SWITCH(weekday(BF$4), 1, 0, 2, if(ISBLANK('2025'!$P343), 0, 1), 3, if(ISBLANK('2025'!$Q343), 0, 1), 4, if(ISBLANK('2025'!$R343), 0, 1), 5, if(ISBLANK('2025'!$S343), 0, 1), 6, if(ISBLANK('2025'!$T343), 0, 1), 7, 0))), 1, "")</f>
        <v/>
      </c>
      <c r="BG345" s="1"/>
      <c r="BH345" s="1"/>
      <c r="BI345" s="1"/>
      <c r="BJ345" s="1"/>
      <c r="BK345" s="1"/>
      <c r="BL345" s="1"/>
    </row>
    <row r="346">
      <c r="A346" s="1">
        <f t="shared" si="3"/>
        <v>346</v>
      </c>
      <c r="B346" s="1" t="str">
        <f>'2025'!D310</f>
        <v>, </v>
      </c>
      <c r="C346" s="1" t="str">
        <f>'2025'!H310</f>
        <v/>
      </c>
      <c r="D346" s="1" t="str">
        <f>IF(AND(AND(AND(D$4&gt;='2025'!$L344,D$4&lt;='2025'!$M344), D$4&lt;&gt;DATE(2025,7,4)), (SWITCH(weekday(D$4), 1, 0, 2, if(ISBLANK('2025'!$P344), 0, 1), 3, if(ISBLANK('2025'!$Q344), 0, 1), 4, if(ISBLANK('2025'!$R344), 0, 1), 5, if(ISBLANK('2025'!$S344), 0, 1), 6, if(ISBLANK('2025'!$T344), 0, 1), 7, 0))), 1, "")</f>
        <v/>
      </c>
      <c r="E346" s="1" t="str">
        <f>IF(AND(AND(AND(E$4&gt;='2025'!$L344,E$4&lt;='2025'!$M344), E$4&lt;&gt;DATE(2025,7,4)), (SWITCH(weekday(E$4), 1, 0, 2, if(ISBLANK('2025'!$P344), 0, 1), 3, if(ISBLANK('2025'!$Q344), 0, 1), 4, if(ISBLANK('2025'!$R344), 0, 1), 5, if(ISBLANK('2025'!$S344), 0, 1), 6, if(ISBLANK('2025'!$T344), 0, 1), 7, 0))), 1, "")</f>
        <v/>
      </c>
      <c r="F346" s="1" t="str">
        <f>IF(AND(AND(AND(F$4&gt;='2025'!$L344,F$4&lt;='2025'!$M344), F$4&lt;&gt;DATE(2025,7,4)), (SWITCH(weekday(F$4), 1, 0, 2, if(ISBLANK('2025'!$P344), 0, 1), 3, if(ISBLANK('2025'!$Q344), 0, 1), 4, if(ISBLANK('2025'!$R344), 0, 1), 5, if(ISBLANK('2025'!$S344), 0, 1), 6, if(ISBLANK('2025'!$T344), 0, 1), 7, 0))), 1, "")</f>
        <v/>
      </c>
      <c r="G346" s="1" t="str">
        <f>IF(AND(AND(AND(G$4&gt;='2025'!$L344,G$4&lt;='2025'!$M344), G$4&lt;&gt;DATE(2025,7,4)), (SWITCH(weekday(G$4), 1, 0, 2, if(ISBLANK('2025'!$P344), 0, 1), 3, if(ISBLANK('2025'!$Q344), 0, 1), 4, if(ISBLANK('2025'!$R344), 0, 1), 5, if(ISBLANK('2025'!$S344), 0, 1), 6, if(ISBLANK('2025'!$T344), 0, 1), 7, 0))), 1, "")</f>
        <v/>
      </c>
      <c r="H346" s="1" t="str">
        <f>IF(AND(AND(AND(H$4&gt;='2025'!$L344,H$4&lt;='2025'!$M344), H$4&lt;&gt;DATE(2025,7,4)), (SWITCH(weekday(H$4), 1, 0, 2, if(ISBLANK('2025'!$P344), 0, 1), 3, if(ISBLANK('2025'!$Q344), 0, 1), 4, if(ISBLANK('2025'!$R344), 0, 1), 5, if(ISBLANK('2025'!$S344), 0, 1), 6, if(ISBLANK('2025'!$T344), 0, 1), 7, 0))), 1, "")</f>
        <v/>
      </c>
      <c r="I346" s="1" t="str">
        <f>IF(AND(AND(AND(I$4&gt;='2025'!$L344,I$4&lt;='2025'!$M344), I$4&lt;&gt;DATE(2025,7,4)), (SWITCH(weekday(I$4), 1, 0, 2, if(ISBLANK('2025'!$P344), 0, 1), 3, if(ISBLANK('2025'!$Q344), 0, 1), 4, if(ISBLANK('2025'!$R344), 0, 1), 5, if(ISBLANK('2025'!$S344), 0, 1), 6, if(ISBLANK('2025'!$T344), 0, 1), 7, 0))), 1, "")</f>
        <v/>
      </c>
      <c r="J346" s="1" t="str">
        <f>IF(AND(AND(AND(J$4&gt;='2025'!$L344,J$4&lt;='2025'!$M344), J$4&lt;&gt;DATE(2025,7,4)), (SWITCH(weekday(J$4), 1, 0, 2, if(ISBLANK('2025'!$P344), 0, 1), 3, if(ISBLANK('2025'!$Q344), 0, 1), 4, if(ISBLANK('2025'!$R344), 0, 1), 5, if(ISBLANK('2025'!$S344), 0, 1), 6, if(ISBLANK('2025'!$T344), 0, 1), 7, 0))), 1, "")</f>
        <v/>
      </c>
      <c r="K346" s="1" t="str">
        <f>IF(AND(AND(AND(K$4&gt;='2025'!$L344,K$4&lt;='2025'!$M344), K$4&lt;&gt;DATE(2025,7,4)), (SWITCH(weekday(K$4), 1, 0, 2, if(ISBLANK('2025'!$P344), 0, 1), 3, if(ISBLANK('2025'!$Q344), 0, 1), 4, if(ISBLANK('2025'!$R344), 0, 1), 5, if(ISBLANK('2025'!$S344), 0, 1), 6, if(ISBLANK('2025'!$T344), 0, 1), 7, 0))), 1, "")</f>
        <v/>
      </c>
      <c r="L346" s="1" t="str">
        <f>IF(AND(AND(AND(L$4&gt;='2025'!$L344,L$4&lt;='2025'!$M344), L$4&lt;&gt;DATE(2025,7,4)), (SWITCH(weekday(L$4), 1, 0, 2, if(ISBLANK('2025'!$P344), 0, 1), 3, if(ISBLANK('2025'!$Q344), 0, 1), 4, if(ISBLANK('2025'!$R344), 0, 1), 5, if(ISBLANK('2025'!$S344), 0, 1), 6, if(ISBLANK('2025'!$T344), 0, 1), 7, 0))), 1, "")</f>
        <v/>
      </c>
      <c r="M346" s="1" t="str">
        <f>IF(AND(AND(AND(M$4&gt;='2025'!$L344,M$4&lt;='2025'!$M344), M$4&lt;&gt;DATE(2025,7,4)), (SWITCH(weekday(M$4), 1, 0, 2, if(ISBLANK('2025'!$P344), 0, 1), 3, if(ISBLANK('2025'!$Q344), 0, 1), 4, if(ISBLANK('2025'!$R344), 0, 1), 5, if(ISBLANK('2025'!$S344), 0, 1), 6, if(ISBLANK('2025'!$T344), 0, 1), 7, 0))), 1, "")</f>
        <v/>
      </c>
      <c r="N346" s="1" t="str">
        <f>IF(AND(AND(AND(N$4&gt;='2025'!$L344,N$4&lt;='2025'!$M344), N$4&lt;&gt;DATE(2025,7,4)), (SWITCH(weekday(N$4), 1, 0, 2, if(ISBLANK('2025'!$P344), 0, 1), 3, if(ISBLANK('2025'!$Q344), 0, 1), 4, if(ISBLANK('2025'!$R344), 0, 1), 5, if(ISBLANK('2025'!$S344), 0, 1), 6, if(ISBLANK('2025'!$T344), 0, 1), 7, 0))), 1, "")</f>
        <v/>
      </c>
      <c r="O346" s="1" t="str">
        <f>IF(AND(AND(AND(O$4&gt;='2025'!$L344,O$4&lt;='2025'!$M344), O$4&lt;&gt;DATE(2025,7,4)), (SWITCH(weekday(O$4), 1, 0, 2, if(ISBLANK('2025'!$P344), 0, 1), 3, if(ISBLANK('2025'!$Q344), 0, 1), 4, if(ISBLANK('2025'!$R344), 0, 1), 5, if(ISBLANK('2025'!$S344), 0, 1), 6, if(ISBLANK('2025'!$T344), 0, 1), 7, 0))), 1, "")</f>
        <v/>
      </c>
      <c r="P346" s="1" t="str">
        <f>IF(AND(AND(AND(P$4&gt;='2025'!$L344,P$4&lt;='2025'!$M344), P$4&lt;&gt;DATE(2025,7,4)), (SWITCH(weekday(P$4), 1, 0, 2, if(ISBLANK('2025'!$P344), 0, 1), 3, if(ISBLANK('2025'!$Q344), 0, 1), 4, if(ISBLANK('2025'!$R344), 0, 1), 5, if(ISBLANK('2025'!$S344), 0, 1), 6, if(ISBLANK('2025'!$T344), 0, 1), 7, 0))), 1, "")</f>
        <v/>
      </c>
      <c r="Q346" s="1" t="str">
        <f>IF(AND(AND(AND(Q$4&gt;='2025'!$L344,Q$4&lt;='2025'!$M344), Q$4&lt;&gt;DATE(2025,7,4)), (SWITCH(weekday(Q$4), 1, 0, 2, if(ISBLANK('2025'!$P344), 0, 1), 3, if(ISBLANK('2025'!$Q344), 0, 1), 4, if(ISBLANK('2025'!$R344), 0, 1), 5, if(ISBLANK('2025'!$S344), 0, 1), 6, if(ISBLANK('2025'!$T344), 0, 1), 7, 0))), 1, "")</f>
        <v/>
      </c>
      <c r="R346" s="1" t="str">
        <f>IF(AND(AND(AND(R$4&gt;='2025'!$L344,R$4&lt;='2025'!$M344), R$4&lt;&gt;DATE(2025,7,4)), (SWITCH(weekday(R$4), 1, 0, 2, if(ISBLANK('2025'!$P344), 0, 1), 3, if(ISBLANK('2025'!$Q344), 0, 1), 4, if(ISBLANK('2025'!$R344), 0, 1), 5, if(ISBLANK('2025'!$S344), 0, 1), 6, if(ISBLANK('2025'!$T344), 0, 1), 7, 0))), 1, "")</f>
        <v/>
      </c>
      <c r="S346" s="1" t="str">
        <f>IF(AND(AND(AND(S$4&gt;='2025'!$L344,S$4&lt;='2025'!$M344), S$4&lt;&gt;DATE(2025,7,4)), (SWITCH(weekday(S$4), 1, 0, 2, if(ISBLANK('2025'!$P344), 0, 1), 3, if(ISBLANK('2025'!$Q344), 0, 1), 4, if(ISBLANK('2025'!$R344), 0, 1), 5, if(ISBLANK('2025'!$S344), 0, 1), 6, if(ISBLANK('2025'!$T344), 0, 1), 7, 0))), 1, "")</f>
        <v/>
      </c>
      <c r="T346" s="1" t="str">
        <f>IF(AND(AND(AND(T$4&gt;='2025'!$L344,T$4&lt;='2025'!$M344), T$4&lt;&gt;DATE(2025,7,4)), (SWITCH(weekday(T$4), 1, 0, 2, if(ISBLANK('2025'!$P344), 0, 1), 3, if(ISBLANK('2025'!$Q344), 0, 1), 4, if(ISBLANK('2025'!$R344), 0, 1), 5, if(ISBLANK('2025'!$S344), 0, 1), 6, if(ISBLANK('2025'!$T344), 0, 1), 7, 0))), 1, "")</f>
        <v/>
      </c>
      <c r="U346" s="1" t="str">
        <f>IF(AND(AND(AND(U$4&gt;='2025'!$L344,U$4&lt;='2025'!$M344), U$4&lt;&gt;DATE(2025,7,4)), (SWITCH(weekday(U$4), 1, 0, 2, if(ISBLANK('2025'!$P344), 0, 1), 3, if(ISBLANK('2025'!$Q344), 0, 1), 4, if(ISBLANK('2025'!$R344), 0, 1), 5, if(ISBLANK('2025'!$S344), 0, 1), 6, if(ISBLANK('2025'!$T344), 0, 1), 7, 0))), 1, "")</f>
        <v/>
      </c>
      <c r="V346" s="1" t="str">
        <f>IF(AND(AND(AND(V$4&gt;='2025'!$L344,V$4&lt;='2025'!$M344), V$4&lt;&gt;DATE(2025,7,4)), (SWITCH(weekday(V$4), 1, 0, 2, if(ISBLANK('2025'!$P344), 0, 1), 3, if(ISBLANK('2025'!$Q344), 0, 1), 4, if(ISBLANK('2025'!$R344), 0, 1), 5, if(ISBLANK('2025'!$S344), 0, 1), 6, if(ISBLANK('2025'!$T344), 0, 1), 7, 0))), 1, "")</f>
        <v/>
      </c>
      <c r="W346" s="1" t="str">
        <f>IF(AND(AND(AND(W$4&gt;='2025'!$L344,W$4&lt;='2025'!$M344), W$4&lt;&gt;DATE(2025,7,4)), (SWITCH(weekday(W$4), 1, 0, 2, if(ISBLANK('2025'!$P344), 0, 1), 3, if(ISBLANK('2025'!$Q344), 0, 1), 4, if(ISBLANK('2025'!$R344), 0, 1), 5, if(ISBLANK('2025'!$S344), 0, 1), 6, if(ISBLANK('2025'!$T344), 0, 1), 7, 0))), 1, "")</f>
        <v/>
      </c>
      <c r="X346" s="1" t="str">
        <f>IF(AND(AND(AND(X$4&gt;='2025'!$L344,X$4&lt;='2025'!$M344), X$4&lt;&gt;DATE(2025,7,4)), (SWITCH(weekday(X$4), 1, 0, 2, if(ISBLANK('2025'!$P344), 0, 1), 3, if(ISBLANK('2025'!$Q344), 0, 1), 4, if(ISBLANK('2025'!$R344), 0, 1), 5, if(ISBLANK('2025'!$S344), 0, 1), 6, if(ISBLANK('2025'!$T344), 0, 1), 7, 0))), 1, "")</f>
        <v/>
      </c>
      <c r="Y346" s="1" t="str">
        <f>IF(AND(AND(AND(Y$4&gt;='2025'!$L344,Y$4&lt;='2025'!$M344), Y$4&lt;&gt;DATE(2025,7,4)), (SWITCH(weekday(Y$4), 1, 0, 2, if(ISBLANK('2025'!$P344), 0, 1), 3, if(ISBLANK('2025'!$Q344), 0, 1), 4, if(ISBLANK('2025'!$R344), 0, 1), 5, if(ISBLANK('2025'!$S344), 0, 1), 6, if(ISBLANK('2025'!$T344), 0, 1), 7, 0))), 1, "")</f>
        <v/>
      </c>
      <c r="Z346" s="1" t="str">
        <f>IF(AND(AND(AND(Z$4&gt;='2025'!$L344,Z$4&lt;='2025'!$M344), Z$4&lt;&gt;DATE(2025,7,4)), (SWITCH(weekday(Z$4), 1, 0, 2, if(ISBLANK('2025'!$P344), 0, 1), 3, if(ISBLANK('2025'!$Q344), 0, 1), 4, if(ISBLANK('2025'!$R344), 0, 1), 5, if(ISBLANK('2025'!$S344), 0, 1), 6, if(ISBLANK('2025'!$T344), 0, 1), 7, 0))), 1, "")</f>
        <v/>
      </c>
      <c r="AA346" s="1" t="str">
        <f>IF(AND(AND(AND(AA$4&gt;='2025'!$L344,AA$4&lt;='2025'!$M344), AA$4&lt;&gt;DATE(2025,7,4)), (SWITCH(weekday(AA$4), 1, 0, 2, if(ISBLANK('2025'!$P344), 0, 1), 3, if(ISBLANK('2025'!$Q344), 0, 1), 4, if(ISBLANK('2025'!$R344), 0, 1), 5, if(ISBLANK('2025'!$S344), 0, 1), 6, if(ISBLANK('2025'!$T344), 0, 1), 7, 0))), 1, "")</f>
        <v/>
      </c>
      <c r="AB346" s="1" t="str">
        <f>IF(AND(AND(AND(AB$4&gt;='2025'!$L344,AB$4&lt;='2025'!$M344), AB$4&lt;&gt;DATE(2025,7,4)), (SWITCH(weekday(AB$4), 1, 0, 2, if(ISBLANK('2025'!$P344), 0, 1), 3, if(ISBLANK('2025'!$Q344), 0, 1), 4, if(ISBLANK('2025'!$R344), 0, 1), 5, if(ISBLANK('2025'!$S344), 0, 1), 6, if(ISBLANK('2025'!$T344), 0, 1), 7, 0))), 1, "")</f>
        <v/>
      </c>
      <c r="AC346" s="1" t="str">
        <f>IF(AND(AND(AND(AC$4&gt;='2025'!$L344,AC$4&lt;='2025'!$M344), AC$4&lt;&gt;DATE(2025,7,4)), (SWITCH(weekday(AC$4), 1, 0, 2, if(ISBLANK('2025'!$P344), 0, 1), 3, if(ISBLANK('2025'!$Q344), 0, 1), 4, if(ISBLANK('2025'!$R344), 0, 1), 5, if(ISBLANK('2025'!$S344), 0, 1), 6, if(ISBLANK('2025'!$T344), 0, 1), 7, 0))), 1, "")</f>
        <v/>
      </c>
      <c r="AD346" s="1" t="str">
        <f>IF(AND(AND(AND(AD$4&gt;='2025'!$L344,AD$4&lt;='2025'!$M344), AD$4&lt;&gt;DATE(2025,7,4)), (SWITCH(weekday(AD$4), 1, 0, 2, if(ISBLANK('2025'!$P344), 0, 1), 3, if(ISBLANK('2025'!$Q344), 0, 1), 4, if(ISBLANK('2025'!$R344), 0, 1), 5, if(ISBLANK('2025'!$S344), 0, 1), 6, if(ISBLANK('2025'!$T344), 0, 1), 7, 0))), 1, "")</f>
        <v/>
      </c>
      <c r="AE346" s="1" t="str">
        <f>IF(AND(AND(AND(AE$4&gt;='2025'!$L344,AE$4&lt;='2025'!$M344), AE$4&lt;&gt;DATE(2025,7,4)), (SWITCH(weekday(AE$4), 1, 0, 2, if(ISBLANK('2025'!$P344), 0, 1), 3, if(ISBLANK('2025'!$Q344), 0, 1), 4, if(ISBLANK('2025'!$R344), 0, 1), 5, if(ISBLANK('2025'!$S344), 0, 1), 6, if(ISBLANK('2025'!$T344), 0, 1), 7, 0))), 1, "")</f>
        <v/>
      </c>
      <c r="AF346" s="1" t="str">
        <f>IF(AND(AND(AND(AF$4&gt;='2025'!$L344,AF$4&lt;='2025'!$M344), AF$4&lt;&gt;DATE(2025,7,4)), (SWITCH(weekday(AF$4), 1, 0, 2, if(ISBLANK('2025'!$P344), 0, 1), 3, if(ISBLANK('2025'!$Q344), 0, 1), 4, if(ISBLANK('2025'!$R344), 0, 1), 5, if(ISBLANK('2025'!$S344), 0, 1), 6, if(ISBLANK('2025'!$T344), 0, 1), 7, 0))), 1, "")</f>
        <v/>
      </c>
      <c r="AG346" s="1" t="str">
        <f>IF(AND(AND(AND(AG$4&gt;='2025'!$L344,AG$4&lt;='2025'!$M344), AG$4&lt;&gt;DATE(2025,7,4)), (SWITCH(weekday(AG$4), 1, 0, 2, if(ISBLANK('2025'!$P344), 0, 1), 3, if(ISBLANK('2025'!$Q344), 0, 1), 4, if(ISBLANK('2025'!$R344), 0, 1), 5, if(ISBLANK('2025'!$S344), 0, 1), 6, if(ISBLANK('2025'!$T344), 0, 1), 7, 0))), 1, "")</f>
        <v/>
      </c>
      <c r="AH346" s="1" t="str">
        <f>IF(AND(AND(AND(AH$4&gt;='2025'!$L344,AH$4&lt;='2025'!$M344), AH$4&lt;&gt;DATE(2025,7,4)), (SWITCH(weekday(AH$4), 1, 0, 2, if(ISBLANK('2025'!$P344), 0, 1), 3, if(ISBLANK('2025'!$Q344), 0, 1), 4, if(ISBLANK('2025'!$R344), 0, 1), 5, if(ISBLANK('2025'!$S344), 0, 1), 6, if(ISBLANK('2025'!$T344), 0, 1), 7, 0))), 1, "")</f>
        <v/>
      </c>
      <c r="AI346" s="1" t="str">
        <f>IF(AND(AND(AND(AI$4&gt;='2025'!$L344,AI$4&lt;='2025'!$M344), AI$4&lt;&gt;DATE(2025,7,4)), (SWITCH(weekday(AI$4), 1, 0, 2, if(ISBLANK('2025'!$P344), 0, 1), 3, if(ISBLANK('2025'!$Q344), 0, 1), 4, if(ISBLANK('2025'!$R344), 0, 1), 5, if(ISBLANK('2025'!$S344), 0, 1), 6, if(ISBLANK('2025'!$T344), 0, 1), 7, 0))), 1, "")</f>
        <v/>
      </c>
      <c r="AJ346" s="1" t="str">
        <f>IF(AND(AND(AND(AJ$4&gt;='2025'!$L344,AJ$4&lt;='2025'!$M344), AJ$4&lt;&gt;DATE(2025,7,4)), (SWITCH(weekday(AJ$4), 1, 0, 2, if(ISBLANK('2025'!$P344), 0, 1), 3, if(ISBLANK('2025'!$Q344), 0, 1), 4, if(ISBLANK('2025'!$R344), 0, 1), 5, if(ISBLANK('2025'!$S344), 0, 1), 6, if(ISBLANK('2025'!$T344), 0, 1), 7, 0))), 1, "")</f>
        <v/>
      </c>
      <c r="AK346" s="1" t="str">
        <f>IF(AND(AND(AND(AK$4&gt;='2025'!$L344,AK$4&lt;='2025'!$M344), AK$4&lt;&gt;DATE(2025,7,4)), (SWITCH(weekday(AK$4), 1, 0, 2, if(ISBLANK('2025'!$P344), 0, 1), 3, if(ISBLANK('2025'!$Q344), 0, 1), 4, if(ISBLANK('2025'!$R344), 0, 1), 5, if(ISBLANK('2025'!$S344), 0, 1), 6, if(ISBLANK('2025'!$T344), 0, 1), 7, 0))), 1, "")</f>
        <v/>
      </c>
      <c r="AL346" s="1" t="str">
        <f>IF(AND(AND(AND(AL$4&gt;='2025'!$L344,AL$4&lt;='2025'!$M344), AL$4&lt;&gt;DATE(2025,7,4)), (SWITCH(weekday(AL$4), 1, 0, 2, if(ISBLANK('2025'!$P344), 0, 1), 3, if(ISBLANK('2025'!$Q344), 0, 1), 4, if(ISBLANK('2025'!$R344), 0, 1), 5, if(ISBLANK('2025'!$S344), 0, 1), 6, if(ISBLANK('2025'!$T344), 0, 1), 7, 0))), 1, "")</f>
        <v/>
      </c>
      <c r="AM346" s="1" t="str">
        <f>IF(AND(AND(AND(AM$4&gt;='2025'!$L344,AM$4&lt;='2025'!$M344), AM$4&lt;&gt;DATE(2025,7,4)), (SWITCH(weekday(AM$4), 1, 0, 2, if(ISBLANK('2025'!$P344), 0, 1), 3, if(ISBLANK('2025'!$Q344), 0, 1), 4, if(ISBLANK('2025'!$R344), 0, 1), 5, if(ISBLANK('2025'!$S344), 0, 1), 6, if(ISBLANK('2025'!$T344), 0, 1), 7, 0))), 1, "")</f>
        <v/>
      </c>
      <c r="AN346" s="1" t="str">
        <f>IF(AND(AND(AND(AN$4&gt;='2025'!$L344,AN$4&lt;='2025'!$M344), AN$4&lt;&gt;DATE(2025,7,4)), (SWITCH(weekday(AN$4), 1, 0, 2, if(ISBLANK('2025'!$P344), 0, 1), 3, if(ISBLANK('2025'!$Q344), 0, 1), 4, if(ISBLANK('2025'!$R344), 0, 1), 5, if(ISBLANK('2025'!$S344), 0, 1), 6, if(ISBLANK('2025'!$T344), 0, 1), 7, 0))), 1, "")</f>
        <v/>
      </c>
      <c r="AO346" s="1" t="str">
        <f>IF(AND(AND(AND(AO$4&gt;='2025'!$L344,AO$4&lt;='2025'!$M344), AO$4&lt;&gt;DATE(2025,7,4)), (SWITCH(weekday(AO$4), 1, 0, 2, if(ISBLANK('2025'!$P344), 0, 1), 3, if(ISBLANK('2025'!$Q344), 0, 1), 4, if(ISBLANK('2025'!$R344), 0, 1), 5, if(ISBLANK('2025'!$S344), 0, 1), 6, if(ISBLANK('2025'!$T344), 0, 1), 7, 0))), 1, "")</f>
        <v/>
      </c>
      <c r="AP346" s="1" t="str">
        <f>IF(AND(AND(AND(AP$4&gt;='2025'!$L344,AP$4&lt;='2025'!$M344), AP$4&lt;&gt;DATE(2025,7,4)), (SWITCH(weekday(AP$4), 1, 0, 2, if(ISBLANK('2025'!$P344), 0, 1), 3, if(ISBLANK('2025'!$Q344), 0, 1), 4, if(ISBLANK('2025'!$R344), 0, 1), 5, if(ISBLANK('2025'!$S344), 0, 1), 6, if(ISBLANK('2025'!$T344), 0, 1), 7, 0))), 1, "")</f>
        <v/>
      </c>
      <c r="AQ346" s="1" t="str">
        <f>IF(AND(AND(AND(AQ$4&gt;='2025'!$L344,AQ$4&lt;='2025'!$M344), AQ$4&lt;&gt;DATE(2025,7,4)), (SWITCH(weekday(AQ$4), 1, 0, 2, if(ISBLANK('2025'!$P344), 0, 1), 3, if(ISBLANK('2025'!$Q344), 0, 1), 4, if(ISBLANK('2025'!$R344), 0, 1), 5, if(ISBLANK('2025'!$S344), 0, 1), 6, if(ISBLANK('2025'!$T344), 0, 1), 7, 0))), 1, "")</f>
        <v/>
      </c>
      <c r="AR346" s="1" t="str">
        <f>IF(AND(AND(AND(AR$4&gt;='2025'!$L344,AR$4&lt;='2025'!$M344), AR$4&lt;&gt;DATE(2025,7,4)), (SWITCH(weekday(AR$4), 1, 0, 2, if(ISBLANK('2025'!$P344), 0, 1), 3, if(ISBLANK('2025'!$Q344), 0, 1), 4, if(ISBLANK('2025'!$R344), 0, 1), 5, if(ISBLANK('2025'!$S344), 0, 1), 6, if(ISBLANK('2025'!$T344), 0, 1), 7, 0))), 1, "")</f>
        <v/>
      </c>
      <c r="AS346" s="1" t="str">
        <f>IF(AND(AND(AND(AS$4&gt;='2025'!$L344,AS$4&lt;='2025'!$M344), AS$4&lt;&gt;DATE(2025,7,4)), (SWITCH(weekday(AS$4), 1, 0, 2, if(ISBLANK('2025'!$P344), 0, 1), 3, if(ISBLANK('2025'!$Q344), 0, 1), 4, if(ISBLANK('2025'!$R344), 0, 1), 5, if(ISBLANK('2025'!$S344), 0, 1), 6, if(ISBLANK('2025'!$T344), 0, 1), 7, 0))), 1, "")</f>
        <v/>
      </c>
      <c r="AT346" s="1" t="str">
        <f>IF(AND(AND(AND(AT$4&gt;='2025'!$L344,AT$4&lt;='2025'!$M344), AT$4&lt;&gt;DATE(2025,7,4)), (SWITCH(weekday(AT$4), 1, 0, 2, if(ISBLANK('2025'!$P344), 0, 1), 3, if(ISBLANK('2025'!$Q344), 0, 1), 4, if(ISBLANK('2025'!$R344), 0, 1), 5, if(ISBLANK('2025'!$S344), 0, 1), 6, if(ISBLANK('2025'!$T344), 0, 1), 7, 0))), 1, "")</f>
        <v/>
      </c>
      <c r="AU346" s="1" t="str">
        <f>IF(AND(AND(AND(AU$4&gt;='2025'!$L344,AU$4&lt;='2025'!$M344), AU$4&lt;&gt;DATE(2025,7,4)), (SWITCH(weekday(AU$4), 1, 0, 2, if(ISBLANK('2025'!$P344), 0, 1), 3, if(ISBLANK('2025'!$Q344), 0, 1), 4, if(ISBLANK('2025'!$R344), 0, 1), 5, if(ISBLANK('2025'!$S344), 0, 1), 6, if(ISBLANK('2025'!$T344), 0, 1), 7, 0))), 1, "")</f>
        <v/>
      </c>
      <c r="AV346" s="1" t="str">
        <f>IF(AND(AND(AND(AV$4&gt;='2025'!$L344,AV$4&lt;='2025'!$M344), AV$4&lt;&gt;DATE(2025,7,4)), (SWITCH(weekday(AV$4), 1, 0, 2, if(ISBLANK('2025'!$P344), 0, 1), 3, if(ISBLANK('2025'!$Q344), 0, 1), 4, if(ISBLANK('2025'!$R344), 0, 1), 5, if(ISBLANK('2025'!$S344), 0, 1), 6, if(ISBLANK('2025'!$T344), 0, 1), 7, 0))), 1, "")</f>
        <v/>
      </c>
      <c r="AW346" s="1" t="str">
        <f>IF(AND(AND(AND(AW$4&gt;='2025'!$L344,AW$4&lt;='2025'!$M344), AW$4&lt;&gt;DATE(2025,7,4)), (SWITCH(weekday(AW$4), 1, 0, 2, if(ISBLANK('2025'!$P344), 0, 1), 3, if(ISBLANK('2025'!$Q344), 0, 1), 4, if(ISBLANK('2025'!$R344), 0, 1), 5, if(ISBLANK('2025'!$S344), 0, 1), 6, if(ISBLANK('2025'!$T344), 0, 1), 7, 0))), 1, "")</f>
        <v/>
      </c>
      <c r="AX346" s="1" t="str">
        <f>IF(AND(AND(AND(AX$4&gt;='2025'!$L344,AX$4&lt;='2025'!$M344), AX$4&lt;&gt;DATE(2025,7,4)), (SWITCH(weekday(AX$4), 1, 0, 2, if(ISBLANK('2025'!$P344), 0, 1), 3, if(ISBLANK('2025'!$Q344), 0, 1), 4, if(ISBLANK('2025'!$R344), 0, 1), 5, if(ISBLANK('2025'!$S344), 0, 1), 6, if(ISBLANK('2025'!$T344), 0, 1), 7, 0))), 1, "")</f>
        <v/>
      </c>
      <c r="AY346" s="1" t="str">
        <f>IF(AND(AND(AND(AY$4&gt;='2025'!$L344,AY$4&lt;='2025'!$M344), AY$4&lt;&gt;DATE(2025,7,4)), (SWITCH(weekday(AY$4), 1, 0, 2, if(ISBLANK('2025'!$P344), 0, 1), 3, if(ISBLANK('2025'!$Q344), 0, 1), 4, if(ISBLANK('2025'!$R344), 0, 1), 5, if(ISBLANK('2025'!$S344), 0, 1), 6, if(ISBLANK('2025'!$T344), 0, 1), 7, 0))), 1, "")</f>
        <v/>
      </c>
      <c r="AZ346" s="1" t="str">
        <f>IF(AND(AND(AND(AZ$4&gt;='2025'!$L344,AZ$4&lt;='2025'!$M344), AZ$4&lt;&gt;DATE(2025,7,4)), (SWITCH(weekday(AZ$4), 1, 0, 2, if(ISBLANK('2025'!$P344), 0, 1), 3, if(ISBLANK('2025'!$Q344), 0, 1), 4, if(ISBLANK('2025'!$R344), 0, 1), 5, if(ISBLANK('2025'!$S344), 0, 1), 6, if(ISBLANK('2025'!$T344), 0, 1), 7, 0))), 1, "")</f>
        <v/>
      </c>
      <c r="BA346" s="1" t="str">
        <f>IF(AND(AND(AND(BA$4&gt;='2025'!$L344,BA$4&lt;='2025'!$M344), BA$4&lt;&gt;DATE(2025,7,4)), (SWITCH(weekday(BA$4), 1, 0, 2, if(ISBLANK('2025'!$P344), 0, 1), 3, if(ISBLANK('2025'!$Q344), 0, 1), 4, if(ISBLANK('2025'!$R344), 0, 1), 5, if(ISBLANK('2025'!$S344), 0, 1), 6, if(ISBLANK('2025'!$T344), 0, 1), 7, 0))), 1, "")</f>
        <v/>
      </c>
      <c r="BB346" s="1" t="str">
        <f>IF(AND(AND(AND(BB$4&gt;='2025'!$L344,BB$4&lt;='2025'!$M344), BB$4&lt;&gt;DATE(2025,7,4)), (SWITCH(weekday(BB$4), 1, 0, 2, if(ISBLANK('2025'!$P344), 0, 1), 3, if(ISBLANK('2025'!$Q344), 0, 1), 4, if(ISBLANK('2025'!$R344), 0, 1), 5, if(ISBLANK('2025'!$S344), 0, 1), 6, if(ISBLANK('2025'!$T344), 0, 1), 7, 0))), 1, "")</f>
        <v/>
      </c>
      <c r="BC346" s="1" t="str">
        <f>IF(AND(AND(AND(BC$4&gt;='2025'!$L344,BC$4&lt;='2025'!$M344), BC$4&lt;&gt;DATE(2025,7,4)), (SWITCH(weekday(BC$4), 1, 0, 2, if(ISBLANK('2025'!$P344), 0, 1), 3, if(ISBLANK('2025'!$Q344), 0, 1), 4, if(ISBLANK('2025'!$R344), 0, 1), 5, if(ISBLANK('2025'!$S344), 0, 1), 6, if(ISBLANK('2025'!$T344), 0, 1), 7, 0))), 1, "")</f>
        <v/>
      </c>
      <c r="BD346" s="1" t="str">
        <f>IF(AND(AND(AND(BD$4&gt;='2025'!$L344,BD$4&lt;='2025'!$M344), BD$4&lt;&gt;DATE(2025,7,4)), (SWITCH(weekday(BD$4), 1, 0, 2, if(ISBLANK('2025'!$P344), 0, 1), 3, if(ISBLANK('2025'!$Q344), 0, 1), 4, if(ISBLANK('2025'!$R344), 0, 1), 5, if(ISBLANK('2025'!$S344), 0, 1), 6, if(ISBLANK('2025'!$T344), 0, 1), 7, 0))), 1, "")</f>
        <v/>
      </c>
      <c r="BE346" s="1" t="str">
        <f>IF(AND(AND(AND(BE$4&gt;='2025'!$L344,BE$4&lt;='2025'!$M344), BE$4&lt;&gt;DATE(2025,7,4)), (SWITCH(weekday(BE$4), 1, 0, 2, if(ISBLANK('2025'!$P344), 0, 1), 3, if(ISBLANK('2025'!$Q344), 0, 1), 4, if(ISBLANK('2025'!$R344), 0, 1), 5, if(ISBLANK('2025'!$S344), 0, 1), 6, if(ISBLANK('2025'!$T344), 0, 1), 7, 0))), 1, "")</f>
        <v/>
      </c>
      <c r="BF346" s="1" t="str">
        <f>IF(AND(AND(AND(BF$4&gt;='2025'!$L344,BF$4&lt;='2025'!$M344), BF$4&lt;&gt;DATE(2025,7,4)), (SWITCH(weekday(BF$4), 1, 0, 2, if(ISBLANK('2025'!$P344), 0, 1), 3, if(ISBLANK('2025'!$Q344), 0, 1), 4, if(ISBLANK('2025'!$R344), 0, 1), 5, if(ISBLANK('2025'!$S344), 0, 1), 6, if(ISBLANK('2025'!$T344), 0, 1), 7, 0))), 1, "")</f>
        <v/>
      </c>
      <c r="BG346" s="1"/>
      <c r="BH346" s="1"/>
      <c r="BI346" s="1"/>
      <c r="BJ346" s="1"/>
      <c r="BK346" s="1"/>
      <c r="BL346" s="1"/>
    </row>
    <row r="347">
      <c r="A347" s="1">
        <f t="shared" si="3"/>
        <v>347</v>
      </c>
      <c r="B347" s="1" t="str">
        <f>'2025'!D311</f>
        <v>, </v>
      </c>
      <c r="C347" s="1" t="str">
        <f>'2025'!H311</f>
        <v/>
      </c>
      <c r="D347" s="1" t="str">
        <f>IF(AND(AND(AND(D$4&gt;='2025'!$L345,D$4&lt;='2025'!$M345), D$4&lt;&gt;DATE(2025,7,4)), (SWITCH(weekday(D$4), 1, 0, 2, if(ISBLANK('2025'!$P345), 0, 1), 3, if(ISBLANK('2025'!$Q345), 0, 1), 4, if(ISBLANK('2025'!$R345), 0, 1), 5, if(ISBLANK('2025'!$S345), 0, 1), 6, if(ISBLANK('2025'!$T345), 0, 1), 7, 0))), 1, "")</f>
        <v/>
      </c>
      <c r="E347" s="1" t="str">
        <f>IF(AND(AND(AND(E$4&gt;='2025'!$L345,E$4&lt;='2025'!$M345), E$4&lt;&gt;DATE(2025,7,4)), (SWITCH(weekday(E$4), 1, 0, 2, if(ISBLANK('2025'!$P345), 0, 1), 3, if(ISBLANK('2025'!$Q345), 0, 1), 4, if(ISBLANK('2025'!$R345), 0, 1), 5, if(ISBLANK('2025'!$S345), 0, 1), 6, if(ISBLANK('2025'!$T345), 0, 1), 7, 0))), 1, "")</f>
        <v/>
      </c>
      <c r="F347" s="1" t="str">
        <f>IF(AND(AND(AND(F$4&gt;='2025'!$L345,F$4&lt;='2025'!$M345), F$4&lt;&gt;DATE(2025,7,4)), (SWITCH(weekday(F$4), 1, 0, 2, if(ISBLANK('2025'!$P345), 0, 1), 3, if(ISBLANK('2025'!$Q345), 0, 1), 4, if(ISBLANK('2025'!$R345), 0, 1), 5, if(ISBLANK('2025'!$S345), 0, 1), 6, if(ISBLANK('2025'!$T345), 0, 1), 7, 0))), 1, "")</f>
        <v/>
      </c>
      <c r="G347" s="1" t="str">
        <f>IF(AND(AND(AND(G$4&gt;='2025'!$L345,G$4&lt;='2025'!$M345), G$4&lt;&gt;DATE(2025,7,4)), (SWITCH(weekday(G$4), 1, 0, 2, if(ISBLANK('2025'!$P345), 0, 1), 3, if(ISBLANK('2025'!$Q345), 0, 1), 4, if(ISBLANK('2025'!$R345), 0, 1), 5, if(ISBLANK('2025'!$S345), 0, 1), 6, if(ISBLANK('2025'!$T345), 0, 1), 7, 0))), 1, "")</f>
        <v/>
      </c>
      <c r="H347" s="1" t="str">
        <f>IF(AND(AND(AND(H$4&gt;='2025'!$L345,H$4&lt;='2025'!$M345), H$4&lt;&gt;DATE(2025,7,4)), (SWITCH(weekday(H$4), 1, 0, 2, if(ISBLANK('2025'!$P345), 0, 1), 3, if(ISBLANK('2025'!$Q345), 0, 1), 4, if(ISBLANK('2025'!$R345), 0, 1), 5, if(ISBLANK('2025'!$S345), 0, 1), 6, if(ISBLANK('2025'!$T345), 0, 1), 7, 0))), 1, "")</f>
        <v/>
      </c>
      <c r="I347" s="1" t="str">
        <f>IF(AND(AND(AND(I$4&gt;='2025'!$L345,I$4&lt;='2025'!$M345), I$4&lt;&gt;DATE(2025,7,4)), (SWITCH(weekday(I$4), 1, 0, 2, if(ISBLANK('2025'!$P345), 0, 1), 3, if(ISBLANK('2025'!$Q345), 0, 1), 4, if(ISBLANK('2025'!$R345), 0, 1), 5, if(ISBLANK('2025'!$S345), 0, 1), 6, if(ISBLANK('2025'!$T345), 0, 1), 7, 0))), 1, "")</f>
        <v/>
      </c>
      <c r="J347" s="1" t="str">
        <f>IF(AND(AND(AND(J$4&gt;='2025'!$L345,J$4&lt;='2025'!$M345), J$4&lt;&gt;DATE(2025,7,4)), (SWITCH(weekday(J$4), 1, 0, 2, if(ISBLANK('2025'!$P345), 0, 1), 3, if(ISBLANK('2025'!$Q345), 0, 1), 4, if(ISBLANK('2025'!$R345), 0, 1), 5, if(ISBLANK('2025'!$S345), 0, 1), 6, if(ISBLANK('2025'!$T345), 0, 1), 7, 0))), 1, "")</f>
        <v/>
      </c>
      <c r="K347" s="1" t="str">
        <f>IF(AND(AND(AND(K$4&gt;='2025'!$L345,K$4&lt;='2025'!$M345), K$4&lt;&gt;DATE(2025,7,4)), (SWITCH(weekday(K$4), 1, 0, 2, if(ISBLANK('2025'!$P345), 0, 1), 3, if(ISBLANK('2025'!$Q345), 0, 1), 4, if(ISBLANK('2025'!$R345), 0, 1), 5, if(ISBLANK('2025'!$S345), 0, 1), 6, if(ISBLANK('2025'!$T345), 0, 1), 7, 0))), 1, "")</f>
        <v/>
      </c>
      <c r="L347" s="1" t="str">
        <f>IF(AND(AND(AND(L$4&gt;='2025'!$L345,L$4&lt;='2025'!$M345), L$4&lt;&gt;DATE(2025,7,4)), (SWITCH(weekday(L$4), 1, 0, 2, if(ISBLANK('2025'!$P345), 0, 1), 3, if(ISBLANK('2025'!$Q345), 0, 1), 4, if(ISBLANK('2025'!$R345), 0, 1), 5, if(ISBLANK('2025'!$S345), 0, 1), 6, if(ISBLANK('2025'!$T345), 0, 1), 7, 0))), 1, "")</f>
        <v/>
      </c>
      <c r="M347" s="1" t="str">
        <f>IF(AND(AND(AND(M$4&gt;='2025'!$L345,M$4&lt;='2025'!$M345), M$4&lt;&gt;DATE(2025,7,4)), (SWITCH(weekday(M$4), 1, 0, 2, if(ISBLANK('2025'!$P345), 0, 1), 3, if(ISBLANK('2025'!$Q345), 0, 1), 4, if(ISBLANK('2025'!$R345), 0, 1), 5, if(ISBLANK('2025'!$S345), 0, 1), 6, if(ISBLANK('2025'!$T345), 0, 1), 7, 0))), 1, "")</f>
        <v/>
      </c>
      <c r="N347" s="1" t="str">
        <f>IF(AND(AND(AND(N$4&gt;='2025'!$L345,N$4&lt;='2025'!$M345), N$4&lt;&gt;DATE(2025,7,4)), (SWITCH(weekday(N$4), 1, 0, 2, if(ISBLANK('2025'!$P345), 0, 1), 3, if(ISBLANK('2025'!$Q345), 0, 1), 4, if(ISBLANK('2025'!$R345), 0, 1), 5, if(ISBLANK('2025'!$S345), 0, 1), 6, if(ISBLANK('2025'!$T345), 0, 1), 7, 0))), 1, "")</f>
        <v/>
      </c>
      <c r="O347" s="1" t="str">
        <f>IF(AND(AND(AND(O$4&gt;='2025'!$L345,O$4&lt;='2025'!$M345), O$4&lt;&gt;DATE(2025,7,4)), (SWITCH(weekday(O$4), 1, 0, 2, if(ISBLANK('2025'!$P345), 0, 1), 3, if(ISBLANK('2025'!$Q345), 0, 1), 4, if(ISBLANK('2025'!$R345), 0, 1), 5, if(ISBLANK('2025'!$S345), 0, 1), 6, if(ISBLANK('2025'!$T345), 0, 1), 7, 0))), 1, "")</f>
        <v/>
      </c>
      <c r="P347" s="1" t="str">
        <f>IF(AND(AND(AND(P$4&gt;='2025'!$L345,P$4&lt;='2025'!$M345), P$4&lt;&gt;DATE(2025,7,4)), (SWITCH(weekday(P$4), 1, 0, 2, if(ISBLANK('2025'!$P345), 0, 1), 3, if(ISBLANK('2025'!$Q345), 0, 1), 4, if(ISBLANK('2025'!$R345), 0, 1), 5, if(ISBLANK('2025'!$S345), 0, 1), 6, if(ISBLANK('2025'!$T345), 0, 1), 7, 0))), 1, "")</f>
        <v/>
      </c>
      <c r="Q347" s="1" t="str">
        <f>IF(AND(AND(AND(Q$4&gt;='2025'!$L345,Q$4&lt;='2025'!$M345), Q$4&lt;&gt;DATE(2025,7,4)), (SWITCH(weekday(Q$4), 1, 0, 2, if(ISBLANK('2025'!$P345), 0, 1), 3, if(ISBLANK('2025'!$Q345), 0, 1), 4, if(ISBLANK('2025'!$R345), 0, 1), 5, if(ISBLANK('2025'!$S345), 0, 1), 6, if(ISBLANK('2025'!$T345), 0, 1), 7, 0))), 1, "")</f>
        <v/>
      </c>
      <c r="R347" s="1" t="str">
        <f>IF(AND(AND(AND(R$4&gt;='2025'!$L345,R$4&lt;='2025'!$M345), R$4&lt;&gt;DATE(2025,7,4)), (SWITCH(weekday(R$4), 1, 0, 2, if(ISBLANK('2025'!$P345), 0, 1), 3, if(ISBLANK('2025'!$Q345), 0, 1), 4, if(ISBLANK('2025'!$R345), 0, 1), 5, if(ISBLANK('2025'!$S345), 0, 1), 6, if(ISBLANK('2025'!$T345), 0, 1), 7, 0))), 1, "")</f>
        <v/>
      </c>
      <c r="S347" s="1" t="str">
        <f>IF(AND(AND(AND(S$4&gt;='2025'!$L345,S$4&lt;='2025'!$M345), S$4&lt;&gt;DATE(2025,7,4)), (SWITCH(weekday(S$4), 1, 0, 2, if(ISBLANK('2025'!$P345), 0, 1), 3, if(ISBLANK('2025'!$Q345), 0, 1), 4, if(ISBLANK('2025'!$R345), 0, 1), 5, if(ISBLANK('2025'!$S345), 0, 1), 6, if(ISBLANK('2025'!$T345), 0, 1), 7, 0))), 1, "")</f>
        <v/>
      </c>
      <c r="T347" s="1" t="str">
        <f>IF(AND(AND(AND(T$4&gt;='2025'!$L345,T$4&lt;='2025'!$M345), T$4&lt;&gt;DATE(2025,7,4)), (SWITCH(weekday(T$4), 1, 0, 2, if(ISBLANK('2025'!$P345), 0, 1), 3, if(ISBLANK('2025'!$Q345), 0, 1), 4, if(ISBLANK('2025'!$R345), 0, 1), 5, if(ISBLANK('2025'!$S345), 0, 1), 6, if(ISBLANK('2025'!$T345), 0, 1), 7, 0))), 1, "")</f>
        <v/>
      </c>
      <c r="U347" s="1" t="str">
        <f>IF(AND(AND(AND(U$4&gt;='2025'!$L345,U$4&lt;='2025'!$M345), U$4&lt;&gt;DATE(2025,7,4)), (SWITCH(weekday(U$4), 1, 0, 2, if(ISBLANK('2025'!$P345), 0, 1), 3, if(ISBLANK('2025'!$Q345), 0, 1), 4, if(ISBLANK('2025'!$R345), 0, 1), 5, if(ISBLANK('2025'!$S345), 0, 1), 6, if(ISBLANK('2025'!$T345), 0, 1), 7, 0))), 1, "")</f>
        <v/>
      </c>
      <c r="V347" s="1" t="str">
        <f>IF(AND(AND(AND(V$4&gt;='2025'!$L345,V$4&lt;='2025'!$M345), V$4&lt;&gt;DATE(2025,7,4)), (SWITCH(weekday(V$4), 1, 0, 2, if(ISBLANK('2025'!$P345), 0, 1), 3, if(ISBLANK('2025'!$Q345), 0, 1), 4, if(ISBLANK('2025'!$R345), 0, 1), 5, if(ISBLANK('2025'!$S345), 0, 1), 6, if(ISBLANK('2025'!$T345), 0, 1), 7, 0))), 1, "")</f>
        <v/>
      </c>
      <c r="W347" s="1" t="str">
        <f>IF(AND(AND(AND(W$4&gt;='2025'!$L345,W$4&lt;='2025'!$M345), W$4&lt;&gt;DATE(2025,7,4)), (SWITCH(weekday(W$4), 1, 0, 2, if(ISBLANK('2025'!$P345), 0, 1), 3, if(ISBLANK('2025'!$Q345), 0, 1), 4, if(ISBLANK('2025'!$R345), 0, 1), 5, if(ISBLANK('2025'!$S345), 0, 1), 6, if(ISBLANK('2025'!$T345), 0, 1), 7, 0))), 1, "")</f>
        <v/>
      </c>
      <c r="X347" s="1" t="str">
        <f>IF(AND(AND(AND(X$4&gt;='2025'!$L345,X$4&lt;='2025'!$M345), X$4&lt;&gt;DATE(2025,7,4)), (SWITCH(weekday(X$4), 1, 0, 2, if(ISBLANK('2025'!$P345), 0, 1), 3, if(ISBLANK('2025'!$Q345), 0, 1), 4, if(ISBLANK('2025'!$R345), 0, 1), 5, if(ISBLANK('2025'!$S345), 0, 1), 6, if(ISBLANK('2025'!$T345), 0, 1), 7, 0))), 1, "")</f>
        <v/>
      </c>
      <c r="Y347" s="1" t="str">
        <f>IF(AND(AND(AND(Y$4&gt;='2025'!$L345,Y$4&lt;='2025'!$M345), Y$4&lt;&gt;DATE(2025,7,4)), (SWITCH(weekday(Y$4), 1, 0, 2, if(ISBLANK('2025'!$P345), 0, 1), 3, if(ISBLANK('2025'!$Q345), 0, 1), 4, if(ISBLANK('2025'!$R345), 0, 1), 5, if(ISBLANK('2025'!$S345), 0, 1), 6, if(ISBLANK('2025'!$T345), 0, 1), 7, 0))), 1, "")</f>
        <v/>
      </c>
      <c r="Z347" s="1" t="str">
        <f>IF(AND(AND(AND(Z$4&gt;='2025'!$L345,Z$4&lt;='2025'!$M345), Z$4&lt;&gt;DATE(2025,7,4)), (SWITCH(weekday(Z$4), 1, 0, 2, if(ISBLANK('2025'!$P345), 0, 1), 3, if(ISBLANK('2025'!$Q345), 0, 1), 4, if(ISBLANK('2025'!$R345), 0, 1), 5, if(ISBLANK('2025'!$S345), 0, 1), 6, if(ISBLANK('2025'!$T345), 0, 1), 7, 0))), 1, "")</f>
        <v/>
      </c>
      <c r="AA347" s="1" t="str">
        <f>IF(AND(AND(AND(AA$4&gt;='2025'!$L345,AA$4&lt;='2025'!$M345), AA$4&lt;&gt;DATE(2025,7,4)), (SWITCH(weekday(AA$4), 1, 0, 2, if(ISBLANK('2025'!$P345), 0, 1), 3, if(ISBLANK('2025'!$Q345), 0, 1), 4, if(ISBLANK('2025'!$R345), 0, 1), 5, if(ISBLANK('2025'!$S345), 0, 1), 6, if(ISBLANK('2025'!$T345), 0, 1), 7, 0))), 1, "")</f>
        <v/>
      </c>
      <c r="AB347" s="1" t="str">
        <f>IF(AND(AND(AND(AB$4&gt;='2025'!$L345,AB$4&lt;='2025'!$M345), AB$4&lt;&gt;DATE(2025,7,4)), (SWITCH(weekday(AB$4), 1, 0, 2, if(ISBLANK('2025'!$P345), 0, 1), 3, if(ISBLANK('2025'!$Q345), 0, 1), 4, if(ISBLANK('2025'!$R345), 0, 1), 5, if(ISBLANK('2025'!$S345), 0, 1), 6, if(ISBLANK('2025'!$T345), 0, 1), 7, 0))), 1, "")</f>
        <v/>
      </c>
      <c r="AC347" s="1" t="str">
        <f>IF(AND(AND(AND(AC$4&gt;='2025'!$L345,AC$4&lt;='2025'!$M345), AC$4&lt;&gt;DATE(2025,7,4)), (SWITCH(weekday(AC$4), 1, 0, 2, if(ISBLANK('2025'!$P345), 0, 1), 3, if(ISBLANK('2025'!$Q345), 0, 1), 4, if(ISBLANK('2025'!$R345), 0, 1), 5, if(ISBLANK('2025'!$S345), 0, 1), 6, if(ISBLANK('2025'!$T345), 0, 1), 7, 0))), 1, "")</f>
        <v/>
      </c>
      <c r="AD347" s="1" t="str">
        <f>IF(AND(AND(AND(AD$4&gt;='2025'!$L345,AD$4&lt;='2025'!$M345), AD$4&lt;&gt;DATE(2025,7,4)), (SWITCH(weekday(AD$4), 1, 0, 2, if(ISBLANK('2025'!$P345), 0, 1), 3, if(ISBLANK('2025'!$Q345), 0, 1), 4, if(ISBLANK('2025'!$R345), 0, 1), 5, if(ISBLANK('2025'!$S345), 0, 1), 6, if(ISBLANK('2025'!$T345), 0, 1), 7, 0))), 1, "")</f>
        <v/>
      </c>
      <c r="AE347" s="1" t="str">
        <f>IF(AND(AND(AND(AE$4&gt;='2025'!$L345,AE$4&lt;='2025'!$M345), AE$4&lt;&gt;DATE(2025,7,4)), (SWITCH(weekday(AE$4), 1, 0, 2, if(ISBLANK('2025'!$P345), 0, 1), 3, if(ISBLANK('2025'!$Q345), 0, 1), 4, if(ISBLANK('2025'!$R345), 0, 1), 5, if(ISBLANK('2025'!$S345), 0, 1), 6, if(ISBLANK('2025'!$T345), 0, 1), 7, 0))), 1, "")</f>
        <v/>
      </c>
      <c r="AF347" s="1" t="str">
        <f>IF(AND(AND(AND(AF$4&gt;='2025'!$L345,AF$4&lt;='2025'!$M345), AF$4&lt;&gt;DATE(2025,7,4)), (SWITCH(weekday(AF$4), 1, 0, 2, if(ISBLANK('2025'!$P345), 0, 1), 3, if(ISBLANK('2025'!$Q345), 0, 1), 4, if(ISBLANK('2025'!$R345), 0, 1), 5, if(ISBLANK('2025'!$S345), 0, 1), 6, if(ISBLANK('2025'!$T345), 0, 1), 7, 0))), 1, "")</f>
        <v/>
      </c>
      <c r="AG347" s="1" t="str">
        <f>IF(AND(AND(AND(AG$4&gt;='2025'!$L345,AG$4&lt;='2025'!$M345), AG$4&lt;&gt;DATE(2025,7,4)), (SWITCH(weekday(AG$4), 1, 0, 2, if(ISBLANK('2025'!$P345), 0, 1), 3, if(ISBLANK('2025'!$Q345), 0, 1), 4, if(ISBLANK('2025'!$R345), 0, 1), 5, if(ISBLANK('2025'!$S345), 0, 1), 6, if(ISBLANK('2025'!$T345), 0, 1), 7, 0))), 1, "")</f>
        <v/>
      </c>
      <c r="AH347" s="1" t="str">
        <f>IF(AND(AND(AND(AH$4&gt;='2025'!$L345,AH$4&lt;='2025'!$M345), AH$4&lt;&gt;DATE(2025,7,4)), (SWITCH(weekday(AH$4), 1, 0, 2, if(ISBLANK('2025'!$P345), 0, 1), 3, if(ISBLANK('2025'!$Q345), 0, 1), 4, if(ISBLANK('2025'!$R345), 0, 1), 5, if(ISBLANK('2025'!$S345), 0, 1), 6, if(ISBLANK('2025'!$T345), 0, 1), 7, 0))), 1, "")</f>
        <v/>
      </c>
      <c r="AI347" s="1" t="str">
        <f>IF(AND(AND(AND(AI$4&gt;='2025'!$L345,AI$4&lt;='2025'!$M345), AI$4&lt;&gt;DATE(2025,7,4)), (SWITCH(weekday(AI$4), 1, 0, 2, if(ISBLANK('2025'!$P345), 0, 1), 3, if(ISBLANK('2025'!$Q345), 0, 1), 4, if(ISBLANK('2025'!$R345), 0, 1), 5, if(ISBLANK('2025'!$S345), 0, 1), 6, if(ISBLANK('2025'!$T345), 0, 1), 7, 0))), 1, "")</f>
        <v/>
      </c>
      <c r="AJ347" s="1" t="str">
        <f>IF(AND(AND(AND(AJ$4&gt;='2025'!$L345,AJ$4&lt;='2025'!$M345), AJ$4&lt;&gt;DATE(2025,7,4)), (SWITCH(weekday(AJ$4), 1, 0, 2, if(ISBLANK('2025'!$P345), 0, 1), 3, if(ISBLANK('2025'!$Q345), 0, 1), 4, if(ISBLANK('2025'!$R345), 0, 1), 5, if(ISBLANK('2025'!$S345), 0, 1), 6, if(ISBLANK('2025'!$T345), 0, 1), 7, 0))), 1, "")</f>
        <v/>
      </c>
      <c r="AK347" s="1" t="str">
        <f>IF(AND(AND(AND(AK$4&gt;='2025'!$L345,AK$4&lt;='2025'!$M345), AK$4&lt;&gt;DATE(2025,7,4)), (SWITCH(weekday(AK$4), 1, 0, 2, if(ISBLANK('2025'!$P345), 0, 1), 3, if(ISBLANK('2025'!$Q345), 0, 1), 4, if(ISBLANK('2025'!$R345), 0, 1), 5, if(ISBLANK('2025'!$S345), 0, 1), 6, if(ISBLANK('2025'!$T345), 0, 1), 7, 0))), 1, "")</f>
        <v/>
      </c>
      <c r="AL347" s="1" t="str">
        <f>IF(AND(AND(AND(AL$4&gt;='2025'!$L345,AL$4&lt;='2025'!$M345), AL$4&lt;&gt;DATE(2025,7,4)), (SWITCH(weekday(AL$4), 1, 0, 2, if(ISBLANK('2025'!$P345), 0, 1), 3, if(ISBLANK('2025'!$Q345), 0, 1), 4, if(ISBLANK('2025'!$R345), 0, 1), 5, if(ISBLANK('2025'!$S345), 0, 1), 6, if(ISBLANK('2025'!$T345), 0, 1), 7, 0))), 1, "")</f>
        <v/>
      </c>
      <c r="AM347" s="1" t="str">
        <f>IF(AND(AND(AND(AM$4&gt;='2025'!$L345,AM$4&lt;='2025'!$M345), AM$4&lt;&gt;DATE(2025,7,4)), (SWITCH(weekday(AM$4), 1, 0, 2, if(ISBLANK('2025'!$P345), 0, 1), 3, if(ISBLANK('2025'!$Q345), 0, 1), 4, if(ISBLANK('2025'!$R345), 0, 1), 5, if(ISBLANK('2025'!$S345), 0, 1), 6, if(ISBLANK('2025'!$T345), 0, 1), 7, 0))), 1, "")</f>
        <v/>
      </c>
      <c r="AN347" s="1" t="str">
        <f>IF(AND(AND(AND(AN$4&gt;='2025'!$L345,AN$4&lt;='2025'!$M345), AN$4&lt;&gt;DATE(2025,7,4)), (SWITCH(weekday(AN$4), 1, 0, 2, if(ISBLANK('2025'!$P345), 0, 1), 3, if(ISBLANK('2025'!$Q345), 0, 1), 4, if(ISBLANK('2025'!$R345), 0, 1), 5, if(ISBLANK('2025'!$S345), 0, 1), 6, if(ISBLANK('2025'!$T345), 0, 1), 7, 0))), 1, "")</f>
        <v/>
      </c>
      <c r="AO347" s="1" t="str">
        <f>IF(AND(AND(AND(AO$4&gt;='2025'!$L345,AO$4&lt;='2025'!$M345), AO$4&lt;&gt;DATE(2025,7,4)), (SWITCH(weekday(AO$4), 1, 0, 2, if(ISBLANK('2025'!$P345), 0, 1), 3, if(ISBLANK('2025'!$Q345), 0, 1), 4, if(ISBLANK('2025'!$R345), 0, 1), 5, if(ISBLANK('2025'!$S345), 0, 1), 6, if(ISBLANK('2025'!$T345), 0, 1), 7, 0))), 1, "")</f>
        <v/>
      </c>
      <c r="AP347" s="1" t="str">
        <f>IF(AND(AND(AND(AP$4&gt;='2025'!$L345,AP$4&lt;='2025'!$M345), AP$4&lt;&gt;DATE(2025,7,4)), (SWITCH(weekday(AP$4), 1, 0, 2, if(ISBLANK('2025'!$P345), 0, 1), 3, if(ISBLANK('2025'!$Q345), 0, 1), 4, if(ISBLANK('2025'!$R345), 0, 1), 5, if(ISBLANK('2025'!$S345), 0, 1), 6, if(ISBLANK('2025'!$T345), 0, 1), 7, 0))), 1, "")</f>
        <v/>
      </c>
      <c r="AQ347" s="1" t="str">
        <f>IF(AND(AND(AND(AQ$4&gt;='2025'!$L345,AQ$4&lt;='2025'!$M345), AQ$4&lt;&gt;DATE(2025,7,4)), (SWITCH(weekday(AQ$4), 1, 0, 2, if(ISBLANK('2025'!$P345), 0, 1), 3, if(ISBLANK('2025'!$Q345), 0, 1), 4, if(ISBLANK('2025'!$R345), 0, 1), 5, if(ISBLANK('2025'!$S345), 0, 1), 6, if(ISBLANK('2025'!$T345), 0, 1), 7, 0))), 1, "")</f>
        <v/>
      </c>
      <c r="AR347" s="1" t="str">
        <f>IF(AND(AND(AND(AR$4&gt;='2025'!$L345,AR$4&lt;='2025'!$M345), AR$4&lt;&gt;DATE(2025,7,4)), (SWITCH(weekday(AR$4), 1, 0, 2, if(ISBLANK('2025'!$P345), 0, 1), 3, if(ISBLANK('2025'!$Q345), 0, 1), 4, if(ISBLANK('2025'!$R345), 0, 1), 5, if(ISBLANK('2025'!$S345), 0, 1), 6, if(ISBLANK('2025'!$T345), 0, 1), 7, 0))), 1, "")</f>
        <v/>
      </c>
      <c r="AS347" s="1" t="str">
        <f>IF(AND(AND(AND(AS$4&gt;='2025'!$L345,AS$4&lt;='2025'!$M345), AS$4&lt;&gt;DATE(2025,7,4)), (SWITCH(weekday(AS$4), 1, 0, 2, if(ISBLANK('2025'!$P345), 0, 1), 3, if(ISBLANK('2025'!$Q345), 0, 1), 4, if(ISBLANK('2025'!$R345), 0, 1), 5, if(ISBLANK('2025'!$S345), 0, 1), 6, if(ISBLANK('2025'!$T345), 0, 1), 7, 0))), 1, "")</f>
        <v/>
      </c>
      <c r="AT347" s="1" t="str">
        <f>IF(AND(AND(AND(AT$4&gt;='2025'!$L345,AT$4&lt;='2025'!$M345), AT$4&lt;&gt;DATE(2025,7,4)), (SWITCH(weekday(AT$4), 1, 0, 2, if(ISBLANK('2025'!$P345), 0, 1), 3, if(ISBLANK('2025'!$Q345), 0, 1), 4, if(ISBLANK('2025'!$R345), 0, 1), 5, if(ISBLANK('2025'!$S345), 0, 1), 6, if(ISBLANK('2025'!$T345), 0, 1), 7, 0))), 1, "")</f>
        <v/>
      </c>
      <c r="AU347" s="1" t="str">
        <f>IF(AND(AND(AND(AU$4&gt;='2025'!$L345,AU$4&lt;='2025'!$M345), AU$4&lt;&gt;DATE(2025,7,4)), (SWITCH(weekday(AU$4), 1, 0, 2, if(ISBLANK('2025'!$P345), 0, 1), 3, if(ISBLANK('2025'!$Q345), 0, 1), 4, if(ISBLANK('2025'!$R345), 0, 1), 5, if(ISBLANK('2025'!$S345), 0, 1), 6, if(ISBLANK('2025'!$T345), 0, 1), 7, 0))), 1, "")</f>
        <v/>
      </c>
      <c r="AV347" s="1" t="str">
        <f>IF(AND(AND(AND(AV$4&gt;='2025'!$L345,AV$4&lt;='2025'!$M345), AV$4&lt;&gt;DATE(2025,7,4)), (SWITCH(weekday(AV$4), 1, 0, 2, if(ISBLANK('2025'!$P345), 0, 1), 3, if(ISBLANK('2025'!$Q345), 0, 1), 4, if(ISBLANK('2025'!$R345), 0, 1), 5, if(ISBLANK('2025'!$S345), 0, 1), 6, if(ISBLANK('2025'!$T345), 0, 1), 7, 0))), 1, "")</f>
        <v/>
      </c>
      <c r="AW347" s="1" t="str">
        <f>IF(AND(AND(AND(AW$4&gt;='2025'!$L345,AW$4&lt;='2025'!$M345), AW$4&lt;&gt;DATE(2025,7,4)), (SWITCH(weekday(AW$4), 1, 0, 2, if(ISBLANK('2025'!$P345), 0, 1), 3, if(ISBLANK('2025'!$Q345), 0, 1), 4, if(ISBLANK('2025'!$R345), 0, 1), 5, if(ISBLANK('2025'!$S345), 0, 1), 6, if(ISBLANK('2025'!$T345), 0, 1), 7, 0))), 1, "")</f>
        <v/>
      </c>
      <c r="AX347" s="1" t="str">
        <f>IF(AND(AND(AND(AX$4&gt;='2025'!$L345,AX$4&lt;='2025'!$M345), AX$4&lt;&gt;DATE(2025,7,4)), (SWITCH(weekday(AX$4), 1, 0, 2, if(ISBLANK('2025'!$P345), 0, 1), 3, if(ISBLANK('2025'!$Q345), 0, 1), 4, if(ISBLANK('2025'!$R345), 0, 1), 5, if(ISBLANK('2025'!$S345), 0, 1), 6, if(ISBLANK('2025'!$T345), 0, 1), 7, 0))), 1, "")</f>
        <v/>
      </c>
      <c r="AY347" s="1" t="str">
        <f>IF(AND(AND(AND(AY$4&gt;='2025'!$L345,AY$4&lt;='2025'!$M345), AY$4&lt;&gt;DATE(2025,7,4)), (SWITCH(weekday(AY$4), 1, 0, 2, if(ISBLANK('2025'!$P345), 0, 1), 3, if(ISBLANK('2025'!$Q345), 0, 1), 4, if(ISBLANK('2025'!$R345), 0, 1), 5, if(ISBLANK('2025'!$S345), 0, 1), 6, if(ISBLANK('2025'!$T345), 0, 1), 7, 0))), 1, "")</f>
        <v/>
      </c>
      <c r="AZ347" s="1" t="str">
        <f>IF(AND(AND(AND(AZ$4&gt;='2025'!$L345,AZ$4&lt;='2025'!$M345), AZ$4&lt;&gt;DATE(2025,7,4)), (SWITCH(weekday(AZ$4), 1, 0, 2, if(ISBLANK('2025'!$P345), 0, 1), 3, if(ISBLANK('2025'!$Q345), 0, 1), 4, if(ISBLANK('2025'!$R345), 0, 1), 5, if(ISBLANK('2025'!$S345), 0, 1), 6, if(ISBLANK('2025'!$T345), 0, 1), 7, 0))), 1, "")</f>
        <v/>
      </c>
      <c r="BA347" s="1" t="str">
        <f>IF(AND(AND(AND(BA$4&gt;='2025'!$L345,BA$4&lt;='2025'!$M345), BA$4&lt;&gt;DATE(2025,7,4)), (SWITCH(weekday(BA$4), 1, 0, 2, if(ISBLANK('2025'!$P345), 0, 1), 3, if(ISBLANK('2025'!$Q345), 0, 1), 4, if(ISBLANK('2025'!$R345), 0, 1), 5, if(ISBLANK('2025'!$S345), 0, 1), 6, if(ISBLANK('2025'!$T345), 0, 1), 7, 0))), 1, "")</f>
        <v/>
      </c>
      <c r="BB347" s="1" t="str">
        <f>IF(AND(AND(AND(BB$4&gt;='2025'!$L345,BB$4&lt;='2025'!$M345), BB$4&lt;&gt;DATE(2025,7,4)), (SWITCH(weekday(BB$4), 1, 0, 2, if(ISBLANK('2025'!$P345), 0, 1), 3, if(ISBLANK('2025'!$Q345), 0, 1), 4, if(ISBLANK('2025'!$R345), 0, 1), 5, if(ISBLANK('2025'!$S345), 0, 1), 6, if(ISBLANK('2025'!$T345), 0, 1), 7, 0))), 1, "")</f>
        <v/>
      </c>
      <c r="BC347" s="1" t="str">
        <f>IF(AND(AND(AND(BC$4&gt;='2025'!$L345,BC$4&lt;='2025'!$M345), BC$4&lt;&gt;DATE(2025,7,4)), (SWITCH(weekday(BC$4), 1, 0, 2, if(ISBLANK('2025'!$P345), 0, 1), 3, if(ISBLANK('2025'!$Q345), 0, 1), 4, if(ISBLANK('2025'!$R345), 0, 1), 5, if(ISBLANK('2025'!$S345), 0, 1), 6, if(ISBLANK('2025'!$T345), 0, 1), 7, 0))), 1, "")</f>
        <v/>
      </c>
      <c r="BD347" s="1" t="str">
        <f>IF(AND(AND(AND(BD$4&gt;='2025'!$L345,BD$4&lt;='2025'!$M345), BD$4&lt;&gt;DATE(2025,7,4)), (SWITCH(weekday(BD$4), 1, 0, 2, if(ISBLANK('2025'!$P345), 0, 1), 3, if(ISBLANK('2025'!$Q345), 0, 1), 4, if(ISBLANK('2025'!$R345), 0, 1), 5, if(ISBLANK('2025'!$S345), 0, 1), 6, if(ISBLANK('2025'!$T345), 0, 1), 7, 0))), 1, "")</f>
        <v/>
      </c>
      <c r="BE347" s="1" t="str">
        <f>IF(AND(AND(AND(BE$4&gt;='2025'!$L345,BE$4&lt;='2025'!$M345), BE$4&lt;&gt;DATE(2025,7,4)), (SWITCH(weekday(BE$4), 1, 0, 2, if(ISBLANK('2025'!$P345), 0, 1), 3, if(ISBLANK('2025'!$Q345), 0, 1), 4, if(ISBLANK('2025'!$R345), 0, 1), 5, if(ISBLANK('2025'!$S345), 0, 1), 6, if(ISBLANK('2025'!$T345), 0, 1), 7, 0))), 1, "")</f>
        <v/>
      </c>
      <c r="BF347" s="1" t="str">
        <f>IF(AND(AND(AND(BF$4&gt;='2025'!$L345,BF$4&lt;='2025'!$M345), BF$4&lt;&gt;DATE(2025,7,4)), (SWITCH(weekday(BF$4), 1, 0, 2, if(ISBLANK('2025'!$P345), 0, 1), 3, if(ISBLANK('2025'!$Q345), 0, 1), 4, if(ISBLANK('2025'!$R345), 0, 1), 5, if(ISBLANK('2025'!$S345), 0, 1), 6, if(ISBLANK('2025'!$T345), 0, 1), 7, 0))), 1, "")</f>
        <v/>
      </c>
      <c r="BG347" s="1"/>
      <c r="BH347" s="1"/>
      <c r="BI347" s="1"/>
      <c r="BJ347" s="1"/>
      <c r="BK347" s="1"/>
      <c r="BL347" s="1"/>
    </row>
    <row r="348">
      <c r="A348" s="1">
        <f t="shared" si="3"/>
        <v>348</v>
      </c>
      <c r="B348" s="1" t="str">
        <f>'2025'!D312</f>
        <v>, </v>
      </c>
      <c r="C348" s="1" t="str">
        <f>'2025'!H312</f>
        <v/>
      </c>
      <c r="D348" s="1" t="str">
        <f>IF(AND(AND(AND(D$4&gt;='2025'!$L346,D$4&lt;='2025'!$M346), D$4&lt;&gt;DATE(2025,7,4)), (SWITCH(weekday(D$4), 1, 0, 2, if(ISBLANK('2025'!$P346), 0, 1), 3, if(ISBLANK('2025'!$Q346), 0, 1), 4, if(ISBLANK('2025'!$R346), 0, 1), 5, if(ISBLANK('2025'!$S346), 0, 1), 6, if(ISBLANK('2025'!$T346), 0, 1), 7, 0))), 1, "")</f>
        <v/>
      </c>
      <c r="E348" s="1" t="str">
        <f>IF(AND(AND(AND(E$4&gt;='2025'!$L346,E$4&lt;='2025'!$M346), E$4&lt;&gt;DATE(2025,7,4)), (SWITCH(weekday(E$4), 1, 0, 2, if(ISBLANK('2025'!$P346), 0, 1), 3, if(ISBLANK('2025'!$Q346), 0, 1), 4, if(ISBLANK('2025'!$R346), 0, 1), 5, if(ISBLANK('2025'!$S346), 0, 1), 6, if(ISBLANK('2025'!$T346), 0, 1), 7, 0))), 1, "")</f>
        <v/>
      </c>
      <c r="F348" s="1" t="str">
        <f>IF(AND(AND(AND(F$4&gt;='2025'!$L346,F$4&lt;='2025'!$M346), F$4&lt;&gt;DATE(2025,7,4)), (SWITCH(weekday(F$4), 1, 0, 2, if(ISBLANK('2025'!$P346), 0, 1), 3, if(ISBLANK('2025'!$Q346), 0, 1), 4, if(ISBLANK('2025'!$R346), 0, 1), 5, if(ISBLANK('2025'!$S346), 0, 1), 6, if(ISBLANK('2025'!$T346), 0, 1), 7, 0))), 1, "")</f>
        <v/>
      </c>
      <c r="G348" s="1" t="str">
        <f>IF(AND(AND(AND(G$4&gt;='2025'!$L346,G$4&lt;='2025'!$M346), G$4&lt;&gt;DATE(2025,7,4)), (SWITCH(weekday(G$4), 1, 0, 2, if(ISBLANK('2025'!$P346), 0, 1), 3, if(ISBLANK('2025'!$Q346), 0, 1), 4, if(ISBLANK('2025'!$R346), 0, 1), 5, if(ISBLANK('2025'!$S346), 0, 1), 6, if(ISBLANK('2025'!$T346), 0, 1), 7, 0))), 1, "")</f>
        <v/>
      </c>
      <c r="H348" s="1" t="str">
        <f>IF(AND(AND(AND(H$4&gt;='2025'!$L346,H$4&lt;='2025'!$M346), H$4&lt;&gt;DATE(2025,7,4)), (SWITCH(weekday(H$4), 1, 0, 2, if(ISBLANK('2025'!$P346), 0, 1), 3, if(ISBLANK('2025'!$Q346), 0, 1), 4, if(ISBLANK('2025'!$R346), 0, 1), 5, if(ISBLANK('2025'!$S346), 0, 1), 6, if(ISBLANK('2025'!$T346), 0, 1), 7, 0))), 1, "")</f>
        <v/>
      </c>
      <c r="I348" s="1" t="str">
        <f>IF(AND(AND(AND(I$4&gt;='2025'!$L346,I$4&lt;='2025'!$M346), I$4&lt;&gt;DATE(2025,7,4)), (SWITCH(weekday(I$4), 1, 0, 2, if(ISBLANK('2025'!$P346), 0, 1), 3, if(ISBLANK('2025'!$Q346), 0, 1), 4, if(ISBLANK('2025'!$R346), 0, 1), 5, if(ISBLANK('2025'!$S346), 0, 1), 6, if(ISBLANK('2025'!$T346), 0, 1), 7, 0))), 1, "")</f>
        <v/>
      </c>
      <c r="J348" s="1" t="str">
        <f>IF(AND(AND(AND(J$4&gt;='2025'!$L346,J$4&lt;='2025'!$M346), J$4&lt;&gt;DATE(2025,7,4)), (SWITCH(weekday(J$4), 1, 0, 2, if(ISBLANK('2025'!$P346), 0, 1), 3, if(ISBLANK('2025'!$Q346), 0, 1), 4, if(ISBLANK('2025'!$R346), 0, 1), 5, if(ISBLANK('2025'!$S346), 0, 1), 6, if(ISBLANK('2025'!$T346), 0, 1), 7, 0))), 1, "")</f>
        <v/>
      </c>
      <c r="K348" s="1" t="str">
        <f>IF(AND(AND(AND(K$4&gt;='2025'!$L346,K$4&lt;='2025'!$M346), K$4&lt;&gt;DATE(2025,7,4)), (SWITCH(weekday(K$4), 1, 0, 2, if(ISBLANK('2025'!$P346), 0, 1), 3, if(ISBLANK('2025'!$Q346), 0, 1), 4, if(ISBLANK('2025'!$R346), 0, 1), 5, if(ISBLANK('2025'!$S346), 0, 1), 6, if(ISBLANK('2025'!$T346), 0, 1), 7, 0))), 1, "")</f>
        <v/>
      </c>
      <c r="L348" s="1" t="str">
        <f>IF(AND(AND(AND(L$4&gt;='2025'!$L346,L$4&lt;='2025'!$M346), L$4&lt;&gt;DATE(2025,7,4)), (SWITCH(weekday(L$4), 1, 0, 2, if(ISBLANK('2025'!$P346), 0, 1), 3, if(ISBLANK('2025'!$Q346), 0, 1), 4, if(ISBLANK('2025'!$R346), 0, 1), 5, if(ISBLANK('2025'!$S346), 0, 1), 6, if(ISBLANK('2025'!$T346), 0, 1), 7, 0))), 1, "")</f>
        <v/>
      </c>
      <c r="M348" s="1" t="str">
        <f>IF(AND(AND(AND(M$4&gt;='2025'!$L346,M$4&lt;='2025'!$M346), M$4&lt;&gt;DATE(2025,7,4)), (SWITCH(weekday(M$4), 1, 0, 2, if(ISBLANK('2025'!$P346), 0, 1), 3, if(ISBLANK('2025'!$Q346), 0, 1), 4, if(ISBLANK('2025'!$R346), 0, 1), 5, if(ISBLANK('2025'!$S346), 0, 1), 6, if(ISBLANK('2025'!$T346), 0, 1), 7, 0))), 1, "")</f>
        <v/>
      </c>
      <c r="N348" s="1" t="str">
        <f>IF(AND(AND(AND(N$4&gt;='2025'!$L346,N$4&lt;='2025'!$M346), N$4&lt;&gt;DATE(2025,7,4)), (SWITCH(weekday(N$4), 1, 0, 2, if(ISBLANK('2025'!$P346), 0, 1), 3, if(ISBLANK('2025'!$Q346), 0, 1), 4, if(ISBLANK('2025'!$R346), 0, 1), 5, if(ISBLANK('2025'!$S346), 0, 1), 6, if(ISBLANK('2025'!$T346), 0, 1), 7, 0))), 1, "")</f>
        <v/>
      </c>
      <c r="O348" s="1" t="str">
        <f>IF(AND(AND(AND(O$4&gt;='2025'!$L346,O$4&lt;='2025'!$M346), O$4&lt;&gt;DATE(2025,7,4)), (SWITCH(weekday(O$4), 1, 0, 2, if(ISBLANK('2025'!$P346), 0, 1), 3, if(ISBLANK('2025'!$Q346), 0, 1), 4, if(ISBLANK('2025'!$R346), 0, 1), 5, if(ISBLANK('2025'!$S346), 0, 1), 6, if(ISBLANK('2025'!$T346), 0, 1), 7, 0))), 1, "")</f>
        <v/>
      </c>
      <c r="P348" s="1" t="str">
        <f>IF(AND(AND(AND(P$4&gt;='2025'!$L346,P$4&lt;='2025'!$M346), P$4&lt;&gt;DATE(2025,7,4)), (SWITCH(weekday(P$4), 1, 0, 2, if(ISBLANK('2025'!$P346), 0, 1), 3, if(ISBLANK('2025'!$Q346), 0, 1), 4, if(ISBLANK('2025'!$R346), 0, 1), 5, if(ISBLANK('2025'!$S346), 0, 1), 6, if(ISBLANK('2025'!$T346), 0, 1), 7, 0))), 1, "")</f>
        <v/>
      </c>
      <c r="Q348" s="1" t="str">
        <f>IF(AND(AND(AND(Q$4&gt;='2025'!$L346,Q$4&lt;='2025'!$M346), Q$4&lt;&gt;DATE(2025,7,4)), (SWITCH(weekday(Q$4), 1, 0, 2, if(ISBLANK('2025'!$P346), 0, 1), 3, if(ISBLANK('2025'!$Q346), 0, 1), 4, if(ISBLANK('2025'!$R346), 0, 1), 5, if(ISBLANK('2025'!$S346), 0, 1), 6, if(ISBLANK('2025'!$T346), 0, 1), 7, 0))), 1, "")</f>
        <v/>
      </c>
      <c r="R348" s="1" t="str">
        <f>IF(AND(AND(AND(R$4&gt;='2025'!$L346,R$4&lt;='2025'!$M346), R$4&lt;&gt;DATE(2025,7,4)), (SWITCH(weekday(R$4), 1, 0, 2, if(ISBLANK('2025'!$P346), 0, 1), 3, if(ISBLANK('2025'!$Q346), 0, 1), 4, if(ISBLANK('2025'!$R346), 0, 1), 5, if(ISBLANK('2025'!$S346), 0, 1), 6, if(ISBLANK('2025'!$T346), 0, 1), 7, 0))), 1, "")</f>
        <v/>
      </c>
      <c r="S348" s="1" t="str">
        <f>IF(AND(AND(AND(S$4&gt;='2025'!$L346,S$4&lt;='2025'!$M346), S$4&lt;&gt;DATE(2025,7,4)), (SWITCH(weekday(S$4), 1, 0, 2, if(ISBLANK('2025'!$P346), 0, 1), 3, if(ISBLANK('2025'!$Q346), 0, 1), 4, if(ISBLANK('2025'!$R346), 0, 1), 5, if(ISBLANK('2025'!$S346), 0, 1), 6, if(ISBLANK('2025'!$T346), 0, 1), 7, 0))), 1, "")</f>
        <v/>
      </c>
      <c r="T348" s="1" t="str">
        <f>IF(AND(AND(AND(T$4&gt;='2025'!$L346,T$4&lt;='2025'!$M346), T$4&lt;&gt;DATE(2025,7,4)), (SWITCH(weekday(T$4), 1, 0, 2, if(ISBLANK('2025'!$P346), 0, 1), 3, if(ISBLANK('2025'!$Q346), 0, 1), 4, if(ISBLANK('2025'!$R346), 0, 1), 5, if(ISBLANK('2025'!$S346), 0, 1), 6, if(ISBLANK('2025'!$T346), 0, 1), 7, 0))), 1, "")</f>
        <v/>
      </c>
      <c r="U348" s="1" t="str">
        <f>IF(AND(AND(AND(U$4&gt;='2025'!$L346,U$4&lt;='2025'!$M346), U$4&lt;&gt;DATE(2025,7,4)), (SWITCH(weekday(U$4), 1, 0, 2, if(ISBLANK('2025'!$P346), 0, 1), 3, if(ISBLANK('2025'!$Q346), 0, 1), 4, if(ISBLANK('2025'!$R346), 0, 1), 5, if(ISBLANK('2025'!$S346), 0, 1), 6, if(ISBLANK('2025'!$T346), 0, 1), 7, 0))), 1, "")</f>
        <v/>
      </c>
      <c r="V348" s="1" t="str">
        <f>IF(AND(AND(AND(V$4&gt;='2025'!$L346,V$4&lt;='2025'!$M346), V$4&lt;&gt;DATE(2025,7,4)), (SWITCH(weekday(V$4), 1, 0, 2, if(ISBLANK('2025'!$P346), 0, 1), 3, if(ISBLANK('2025'!$Q346), 0, 1), 4, if(ISBLANK('2025'!$R346), 0, 1), 5, if(ISBLANK('2025'!$S346), 0, 1), 6, if(ISBLANK('2025'!$T346), 0, 1), 7, 0))), 1, "")</f>
        <v/>
      </c>
      <c r="W348" s="1" t="str">
        <f>IF(AND(AND(AND(W$4&gt;='2025'!$L346,W$4&lt;='2025'!$M346), W$4&lt;&gt;DATE(2025,7,4)), (SWITCH(weekday(W$4), 1, 0, 2, if(ISBLANK('2025'!$P346), 0, 1), 3, if(ISBLANK('2025'!$Q346), 0, 1), 4, if(ISBLANK('2025'!$R346), 0, 1), 5, if(ISBLANK('2025'!$S346), 0, 1), 6, if(ISBLANK('2025'!$T346), 0, 1), 7, 0))), 1, "")</f>
        <v/>
      </c>
      <c r="X348" s="1" t="str">
        <f>IF(AND(AND(AND(X$4&gt;='2025'!$L346,X$4&lt;='2025'!$M346), X$4&lt;&gt;DATE(2025,7,4)), (SWITCH(weekday(X$4), 1, 0, 2, if(ISBLANK('2025'!$P346), 0, 1), 3, if(ISBLANK('2025'!$Q346), 0, 1), 4, if(ISBLANK('2025'!$R346), 0, 1), 5, if(ISBLANK('2025'!$S346), 0, 1), 6, if(ISBLANK('2025'!$T346), 0, 1), 7, 0))), 1, "")</f>
        <v/>
      </c>
      <c r="Y348" s="1" t="str">
        <f>IF(AND(AND(AND(Y$4&gt;='2025'!$L346,Y$4&lt;='2025'!$M346), Y$4&lt;&gt;DATE(2025,7,4)), (SWITCH(weekday(Y$4), 1, 0, 2, if(ISBLANK('2025'!$P346), 0, 1), 3, if(ISBLANK('2025'!$Q346), 0, 1), 4, if(ISBLANK('2025'!$R346), 0, 1), 5, if(ISBLANK('2025'!$S346), 0, 1), 6, if(ISBLANK('2025'!$T346), 0, 1), 7, 0))), 1, "")</f>
        <v/>
      </c>
      <c r="Z348" s="1" t="str">
        <f>IF(AND(AND(AND(Z$4&gt;='2025'!$L346,Z$4&lt;='2025'!$M346), Z$4&lt;&gt;DATE(2025,7,4)), (SWITCH(weekday(Z$4), 1, 0, 2, if(ISBLANK('2025'!$P346), 0, 1), 3, if(ISBLANK('2025'!$Q346), 0, 1), 4, if(ISBLANK('2025'!$R346), 0, 1), 5, if(ISBLANK('2025'!$S346), 0, 1), 6, if(ISBLANK('2025'!$T346), 0, 1), 7, 0))), 1, "")</f>
        <v/>
      </c>
      <c r="AA348" s="1" t="str">
        <f>IF(AND(AND(AND(AA$4&gt;='2025'!$L346,AA$4&lt;='2025'!$M346), AA$4&lt;&gt;DATE(2025,7,4)), (SWITCH(weekday(AA$4), 1, 0, 2, if(ISBLANK('2025'!$P346), 0, 1), 3, if(ISBLANK('2025'!$Q346), 0, 1), 4, if(ISBLANK('2025'!$R346), 0, 1), 5, if(ISBLANK('2025'!$S346), 0, 1), 6, if(ISBLANK('2025'!$T346), 0, 1), 7, 0))), 1, "")</f>
        <v/>
      </c>
      <c r="AB348" s="1" t="str">
        <f>IF(AND(AND(AND(AB$4&gt;='2025'!$L346,AB$4&lt;='2025'!$M346), AB$4&lt;&gt;DATE(2025,7,4)), (SWITCH(weekday(AB$4), 1, 0, 2, if(ISBLANK('2025'!$P346), 0, 1), 3, if(ISBLANK('2025'!$Q346), 0, 1), 4, if(ISBLANK('2025'!$R346), 0, 1), 5, if(ISBLANK('2025'!$S346), 0, 1), 6, if(ISBLANK('2025'!$T346), 0, 1), 7, 0))), 1, "")</f>
        <v/>
      </c>
      <c r="AC348" s="1" t="str">
        <f>IF(AND(AND(AND(AC$4&gt;='2025'!$L346,AC$4&lt;='2025'!$M346), AC$4&lt;&gt;DATE(2025,7,4)), (SWITCH(weekday(AC$4), 1, 0, 2, if(ISBLANK('2025'!$P346), 0, 1), 3, if(ISBLANK('2025'!$Q346), 0, 1), 4, if(ISBLANK('2025'!$R346), 0, 1), 5, if(ISBLANK('2025'!$S346), 0, 1), 6, if(ISBLANK('2025'!$T346), 0, 1), 7, 0))), 1, "")</f>
        <v/>
      </c>
      <c r="AD348" s="1" t="str">
        <f>IF(AND(AND(AND(AD$4&gt;='2025'!$L346,AD$4&lt;='2025'!$M346), AD$4&lt;&gt;DATE(2025,7,4)), (SWITCH(weekday(AD$4), 1, 0, 2, if(ISBLANK('2025'!$P346), 0, 1), 3, if(ISBLANK('2025'!$Q346), 0, 1), 4, if(ISBLANK('2025'!$R346), 0, 1), 5, if(ISBLANK('2025'!$S346), 0, 1), 6, if(ISBLANK('2025'!$T346), 0, 1), 7, 0))), 1, "")</f>
        <v/>
      </c>
      <c r="AE348" s="1" t="str">
        <f>IF(AND(AND(AND(AE$4&gt;='2025'!$L346,AE$4&lt;='2025'!$M346), AE$4&lt;&gt;DATE(2025,7,4)), (SWITCH(weekday(AE$4), 1, 0, 2, if(ISBLANK('2025'!$P346), 0, 1), 3, if(ISBLANK('2025'!$Q346), 0, 1), 4, if(ISBLANK('2025'!$R346), 0, 1), 5, if(ISBLANK('2025'!$S346), 0, 1), 6, if(ISBLANK('2025'!$T346), 0, 1), 7, 0))), 1, "")</f>
        <v/>
      </c>
      <c r="AF348" s="1" t="str">
        <f>IF(AND(AND(AND(AF$4&gt;='2025'!$L346,AF$4&lt;='2025'!$M346), AF$4&lt;&gt;DATE(2025,7,4)), (SWITCH(weekday(AF$4), 1, 0, 2, if(ISBLANK('2025'!$P346), 0, 1), 3, if(ISBLANK('2025'!$Q346), 0, 1), 4, if(ISBLANK('2025'!$R346), 0, 1), 5, if(ISBLANK('2025'!$S346), 0, 1), 6, if(ISBLANK('2025'!$T346), 0, 1), 7, 0))), 1, "")</f>
        <v/>
      </c>
      <c r="AG348" s="1" t="str">
        <f>IF(AND(AND(AND(AG$4&gt;='2025'!$L346,AG$4&lt;='2025'!$M346), AG$4&lt;&gt;DATE(2025,7,4)), (SWITCH(weekday(AG$4), 1, 0, 2, if(ISBLANK('2025'!$P346), 0, 1), 3, if(ISBLANK('2025'!$Q346), 0, 1), 4, if(ISBLANK('2025'!$R346), 0, 1), 5, if(ISBLANK('2025'!$S346), 0, 1), 6, if(ISBLANK('2025'!$T346), 0, 1), 7, 0))), 1, "")</f>
        <v/>
      </c>
      <c r="AH348" s="1" t="str">
        <f>IF(AND(AND(AND(AH$4&gt;='2025'!$L346,AH$4&lt;='2025'!$M346), AH$4&lt;&gt;DATE(2025,7,4)), (SWITCH(weekday(AH$4), 1, 0, 2, if(ISBLANK('2025'!$P346), 0, 1), 3, if(ISBLANK('2025'!$Q346), 0, 1), 4, if(ISBLANK('2025'!$R346), 0, 1), 5, if(ISBLANK('2025'!$S346), 0, 1), 6, if(ISBLANK('2025'!$T346), 0, 1), 7, 0))), 1, "")</f>
        <v/>
      </c>
      <c r="AI348" s="1" t="str">
        <f>IF(AND(AND(AND(AI$4&gt;='2025'!$L346,AI$4&lt;='2025'!$M346), AI$4&lt;&gt;DATE(2025,7,4)), (SWITCH(weekday(AI$4), 1, 0, 2, if(ISBLANK('2025'!$P346), 0, 1), 3, if(ISBLANK('2025'!$Q346), 0, 1), 4, if(ISBLANK('2025'!$R346), 0, 1), 5, if(ISBLANK('2025'!$S346), 0, 1), 6, if(ISBLANK('2025'!$T346), 0, 1), 7, 0))), 1, "")</f>
        <v/>
      </c>
      <c r="AJ348" s="1" t="str">
        <f>IF(AND(AND(AND(AJ$4&gt;='2025'!$L346,AJ$4&lt;='2025'!$M346), AJ$4&lt;&gt;DATE(2025,7,4)), (SWITCH(weekday(AJ$4), 1, 0, 2, if(ISBLANK('2025'!$P346), 0, 1), 3, if(ISBLANK('2025'!$Q346), 0, 1), 4, if(ISBLANK('2025'!$R346), 0, 1), 5, if(ISBLANK('2025'!$S346), 0, 1), 6, if(ISBLANK('2025'!$T346), 0, 1), 7, 0))), 1, "")</f>
        <v/>
      </c>
      <c r="AK348" s="1" t="str">
        <f>IF(AND(AND(AND(AK$4&gt;='2025'!$L346,AK$4&lt;='2025'!$M346), AK$4&lt;&gt;DATE(2025,7,4)), (SWITCH(weekday(AK$4), 1, 0, 2, if(ISBLANK('2025'!$P346), 0, 1), 3, if(ISBLANK('2025'!$Q346), 0, 1), 4, if(ISBLANK('2025'!$R346), 0, 1), 5, if(ISBLANK('2025'!$S346), 0, 1), 6, if(ISBLANK('2025'!$T346), 0, 1), 7, 0))), 1, "")</f>
        <v/>
      </c>
      <c r="AL348" s="1" t="str">
        <f>IF(AND(AND(AND(AL$4&gt;='2025'!$L346,AL$4&lt;='2025'!$M346), AL$4&lt;&gt;DATE(2025,7,4)), (SWITCH(weekday(AL$4), 1, 0, 2, if(ISBLANK('2025'!$P346), 0, 1), 3, if(ISBLANK('2025'!$Q346), 0, 1), 4, if(ISBLANK('2025'!$R346), 0, 1), 5, if(ISBLANK('2025'!$S346), 0, 1), 6, if(ISBLANK('2025'!$T346), 0, 1), 7, 0))), 1, "")</f>
        <v/>
      </c>
      <c r="AM348" s="1" t="str">
        <f>IF(AND(AND(AND(AM$4&gt;='2025'!$L346,AM$4&lt;='2025'!$M346), AM$4&lt;&gt;DATE(2025,7,4)), (SWITCH(weekday(AM$4), 1, 0, 2, if(ISBLANK('2025'!$P346), 0, 1), 3, if(ISBLANK('2025'!$Q346), 0, 1), 4, if(ISBLANK('2025'!$R346), 0, 1), 5, if(ISBLANK('2025'!$S346), 0, 1), 6, if(ISBLANK('2025'!$T346), 0, 1), 7, 0))), 1, "")</f>
        <v/>
      </c>
      <c r="AN348" s="1" t="str">
        <f>IF(AND(AND(AND(AN$4&gt;='2025'!$L346,AN$4&lt;='2025'!$M346), AN$4&lt;&gt;DATE(2025,7,4)), (SWITCH(weekday(AN$4), 1, 0, 2, if(ISBLANK('2025'!$P346), 0, 1), 3, if(ISBLANK('2025'!$Q346), 0, 1), 4, if(ISBLANK('2025'!$R346), 0, 1), 5, if(ISBLANK('2025'!$S346), 0, 1), 6, if(ISBLANK('2025'!$T346), 0, 1), 7, 0))), 1, "")</f>
        <v/>
      </c>
      <c r="AO348" s="1" t="str">
        <f>IF(AND(AND(AND(AO$4&gt;='2025'!$L346,AO$4&lt;='2025'!$M346), AO$4&lt;&gt;DATE(2025,7,4)), (SWITCH(weekday(AO$4), 1, 0, 2, if(ISBLANK('2025'!$P346), 0, 1), 3, if(ISBLANK('2025'!$Q346), 0, 1), 4, if(ISBLANK('2025'!$R346), 0, 1), 5, if(ISBLANK('2025'!$S346), 0, 1), 6, if(ISBLANK('2025'!$T346), 0, 1), 7, 0))), 1, "")</f>
        <v/>
      </c>
      <c r="AP348" s="1" t="str">
        <f>IF(AND(AND(AND(AP$4&gt;='2025'!$L346,AP$4&lt;='2025'!$M346), AP$4&lt;&gt;DATE(2025,7,4)), (SWITCH(weekday(AP$4), 1, 0, 2, if(ISBLANK('2025'!$P346), 0, 1), 3, if(ISBLANK('2025'!$Q346), 0, 1), 4, if(ISBLANK('2025'!$R346), 0, 1), 5, if(ISBLANK('2025'!$S346), 0, 1), 6, if(ISBLANK('2025'!$T346), 0, 1), 7, 0))), 1, "")</f>
        <v/>
      </c>
      <c r="AQ348" s="1" t="str">
        <f>IF(AND(AND(AND(AQ$4&gt;='2025'!$L346,AQ$4&lt;='2025'!$M346), AQ$4&lt;&gt;DATE(2025,7,4)), (SWITCH(weekday(AQ$4), 1, 0, 2, if(ISBLANK('2025'!$P346), 0, 1), 3, if(ISBLANK('2025'!$Q346), 0, 1), 4, if(ISBLANK('2025'!$R346), 0, 1), 5, if(ISBLANK('2025'!$S346), 0, 1), 6, if(ISBLANK('2025'!$T346), 0, 1), 7, 0))), 1, "")</f>
        <v/>
      </c>
      <c r="AR348" s="1" t="str">
        <f>IF(AND(AND(AND(AR$4&gt;='2025'!$L346,AR$4&lt;='2025'!$M346), AR$4&lt;&gt;DATE(2025,7,4)), (SWITCH(weekday(AR$4), 1, 0, 2, if(ISBLANK('2025'!$P346), 0, 1), 3, if(ISBLANK('2025'!$Q346), 0, 1), 4, if(ISBLANK('2025'!$R346), 0, 1), 5, if(ISBLANK('2025'!$S346), 0, 1), 6, if(ISBLANK('2025'!$T346), 0, 1), 7, 0))), 1, "")</f>
        <v/>
      </c>
      <c r="AS348" s="1" t="str">
        <f>IF(AND(AND(AND(AS$4&gt;='2025'!$L346,AS$4&lt;='2025'!$M346), AS$4&lt;&gt;DATE(2025,7,4)), (SWITCH(weekday(AS$4), 1, 0, 2, if(ISBLANK('2025'!$P346), 0, 1), 3, if(ISBLANK('2025'!$Q346), 0, 1), 4, if(ISBLANK('2025'!$R346), 0, 1), 5, if(ISBLANK('2025'!$S346), 0, 1), 6, if(ISBLANK('2025'!$T346), 0, 1), 7, 0))), 1, "")</f>
        <v/>
      </c>
      <c r="AT348" s="1" t="str">
        <f>IF(AND(AND(AND(AT$4&gt;='2025'!$L346,AT$4&lt;='2025'!$M346), AT$4&lt;&gt;DATE(2025,7,4)), (SWITCH(weekday(AT$4), 1, 0, 2, if(ISBLANK('2025'!$P346), 0, 1), 3, if(ISBLANK('2025'!$Q346), 0, 1), 4, if(ISBLANK('2025'!$R346), 0, 1), 5, if(ISBLANK('2025'!$S346), 0, 1), 6, if(ISBLANK('2025'!$T346), 0, 1), 7, 0))), 1, "")</f>
        <v/>
      </c>
      <c r="AU348" s="1" t="str">
        <f>IF(AND(AND(AND(AU$4&gt;='2025'!$L346,AU$4&lt;='2025'!$M346), AU$4&lt;&gt;DATE(2025,7,4)), (SWITCH(weekday(AU$4), 1, 0, 2, if(ISBLANK('2025'!$P346), 0, 1), 3, if(ISBLANK('2025'!$Q346), 0, 1), 4, if(ISBLANK('2025'!$R346), 0, 1), 5, if(ISBLANK('2025'!$S346), 0, 1), 6, if(ISBLANK('2025'!$T346), 0, 1), 7, 0))), 1, "")</f>
        <v/>
      </c>
      <c r="AV348" s="1" t="str">
        <f>IF(AND(AND(AND(AV$4&gt;='2025'!$L346,AV$4&lt;='2025'!$M346), AV$4&lt;&gt;DATE(2025,7,4)), (SWITCH(weekday(AV$4), 1, 0, 2, if(ISBLANK('2025'!$P346), 0, 1), 3, if(ISBLANK('2025'!$Q346), 0, 1), 4, if(ISBLANK('2025'!$R346), 0, 1), 5, if(ISBLANK('2025'!$S346), 0, 1), 6, if(ISBLANK('2025'!$T346), 0, 1), 7, 0))), 1, "")</f>
        <v/>
      </c>
      <c r="AW348" s="1" t="str">
        <f>IF(AND(AND(AND(AW$4&gt;='2025'!$L346,AW$4&lt;='2025'!$M346), AW$4&lt;&gt;DATE(2025,7,4)), (SWITCH(weekday(AW$4), 1, 0, 2, if(ISBLANK('2025'!$P346), 0, 1), 3, if(ISBLANK('2025'!$Q346), 0, 1), 4, if(ISBLANK('2025'!$R346), 0, 1), 5, if(ISBLANK('2025'!$S346), 0, 1), 6, if(ISBLANK('2025'!$T346), 0, 1), 7, 0))), 1, "")</f>
        <v/>
      </c>
      <c r="AX348" s="1" t="str">
        <f>IF(AND(AND(AND(AX$4&gt;='2025'!$L346,AX$4&lt;='2025'!$M346), AX$4&lt;&gt;DATE(2025,7,4)), (SWITCH(weekday(AX$4), 1, 0, 2, if(ISBLANK('2025'!$P346), 0, 1), 3, if(ISBLANK('2025'!$Q346), 0, 1), 4, if(ISBLANK('2025'!$R346), 0, 1), 5, if(ISBLANK('2025'!$S346), 0, 1), 6, if(ISBLANK('2025'!$T346), 0, 1), 7, 0))), 1, "")</f>
        <v/>
      </c>
      <c r="AY348" s="1" t="str">
        <f>IF(AND(AND(AND(AY$4&gt;='2025'!$L346,AY$4&lt;='2025'!$M346), AY$4&lt;&gt;DATE(2025,7,4)), (SWITCH(weekday(AY$4), 1, 0, 2, if(ISBLANK('2025'!$P346), 0, 1), 3, if(ISBLANK('2025'!$Q346), 0, 1), 4, if(ISBLANK('2025'!$R346), 0, 1), 5, if(ISBLANK('2025'!$S346), 0, 1), 6, if(ISBLANK('2025'!$T346), 0, 1), 7, 0))), 1, "")</f>
        <v/>
      </c>
      <c r="AZ348" s="1" t="str">
        <f>IF(AND(AND(AND(AZ$4&gt;='2025'!$L346,AZ$4&lt;='2025'!$M346), AZ$4&lt;&gt;DATE(2025,7,4)), (SWITCH(weekday(AZ$4), 1, 0, 2, if(ISBLANK('2025'!$P346), 0, 1), 3, if(ISBLANK('2025'!$Q346), 0, 1), 4, if(ISBLANK('2025'!$R346), 0, 1), 5, if(ISBLANK('2025'!$S346), 0, 1), 6, if(ISBLANK('2025'!$T346), 0, 1), 7, 0))), 1, "")</f>
        <v/>
      </c>
      <c r="BA348" s="1" t="str">
        <f>IF(AND(AND(AND(BA$4&gt;='2025'!$L346,BA$4&lt;='2025'!$M346), BA$4&lt;&gt;DATE(2025,7,4)), (SWITCH(weekday(BA$4), 1, 0, 2, if(ISBLANK('2025'!$P346), 0, 1), 3, if(ISBLANK('2025'!$Q346), 0, 1), 4, if(ISBLANK('2025'!$R346), 0, 1), 5, if(ISBLANK('2025'!$S346), 0, 1), 6, if(ISBLANK('2025'!$T346), 0, 1), 7, 0))), 1, "")</f>
        <v/>
      </c>
      <c r="BB348" s="1" t="str">
        <f>IF(AND(AND(AND(BB$4&gt;='2025'!$L346,BB$4&lt;='2025'!$M346), BB$4&lt;&gt;DATE(2025,7,4)), (SWITCH(weekday(BB$4), 1, 0, 2, if(ISBLANK('2025'!$P346), 0, 1), 3, if(ISBLANK('2025'!$Q346), 0, 1), 4, if(ISBLANK('2025'!$R346), 0, 1), 5, if(ISBLANK('2025'!$S346), 0, 1), 6, if(ISBLANK('2025'!$T346), 0, 1), 7, 0))), 1, "")</f>
        <v/>
      </c>
      <c r="BC348" s="1" t="str">
        <f>IF(AND(AND(AND(BC$4&gt;='2025'!$L346,BC$4&lt;='2025'!$M346), BC$4&lt;&gt;DATE(2025,7,4)), (SWITCH(weekday(BC$4), 1, 0, 2, if(ISBLANK('2025'!$P346), 0, 1), 3, if(ISBLANK('2025'!$Q346), 0, 1), 4, if(ISBLANK('2025'!$R346), 0, 1), 5, if(ISBLANK('2025'!$S346), 0, 1), 6, if(ISBLANK('2025'!$T346), 0, 1), 7, 0))), 1, "")</f>
        <v/>
      </c>
      <c r="BD348" s="1" t="str">
        <f>IF(AND(AND(AND(BD$4&gt;='2025'!$L346,BD$4&lt;='2025'!$M346), BD$4&lt;&gt;DATE(2025,7,4)), (SWITCH(weekday(BD$4), 1, 0, 2, if(ISBLANK('2025'!$P346), 0, 1), 3, if(ISBLANK('2025'!$Q346), 0, 1), 4, if(ISBLANK('2025'!$R346), 0, 1), 5, if(ISBLANK('2025'!$S346), 0, 1), 6, if(ISBLANK('2025'!$T346), 0, 1), 7, 0))), 1, "")</f>
        <v/>
      </c>
      <c r="BE348" s="1" t="str">
        <f>IF(AND(AND(AND(BE$4&gt;='2025'!$L346,BE$4&lt;='2025'!$M346), BE$4&lt;&gt;DATE(2025,7,4)), (SWITCH(weekday(BE$4), 1, 0, 2, if(ISBLANK('2025'!$P346), 0, 1), 3, if(ISBLANK('2025'!$Q346), 0, 1), 4, if(ISBLANK('2025'!$R346), 0, 1), 5, if(ISBLANK('2025'!$S346), 0, 1), 6, if(ISBLANK('2025'!$T346), 0, 1), 7, 0))), 1, "")</f>
        <v/>
      </c>
      <c r="BF348" s="1" t="str">
        <f>IF(AND(AND(AND(BF$4&gt;='2025'!$L346,BF$4&lt;='2025'!$M346), BF$4&lt;&gt;DATE(2025,7,4)), (SWITCH(weekday(BF$4), 1, 0, 2, if(ISBLANK('2025'!$P346), 0, 1), 3, if(ISBLANK('2025'!$Q346), 0, 1), 4, if(ISBLANK('2025'!$R346), 0, 1), 5, if(ISBLANK('2025'!$S346), 0, 1), 6, if(ISBLANK('2025'!$T346), 0, 1), 7, 0))), 1, "")</f>
        <v/>
      </c>
      <c r="BG348" s="1"/>
      <c r="BH348" s="1"/>
      <c r="BI348" s="1"/>
      <c r="BJ348" s="1"/>
      <c r="BK348" s="1"/>
      <c r="BL348" s="1"/>
    </row>
    <row r="349">
      <c r="A349" s="1">
        <f t="shared" si="3"/>
        <v>349</v>
      </c>
      <c r="B349" s="1" t="str">
        <f>'2025'!D313</f>
        <v>, </v>
      </c>
      <c r="C349" s="1" t="str">
        <f>'2025'!H313</f>
        <v/>
      </c>
      <c r="D349" s="1" t="str">
        <f>IF(AND(AND(AND(D$4&gt;='2025'!$L347,D$4&lt;='2025'!$M347), D$4&lt;&gt;DATE(2025,7,4)), (SWITCH(weekday(D$4), 1, 0, 2, if(ISBLANK('2025'!$P347), 0, 1), 3, if(ISBLANK('2025'!$Q347), 0, 1), 4, if(ISBLANK('2025'!$R347), 0, 1), 5, if(ISBLANK('2025'!$S347), 0, 1), 6, if(ISBLANK('2025'!$T347), 0, 1), 7, 0))), 1, "")</f>
        <v/>
      </c>
      <c r="E349" s="1" t="str">
        <f>IF(AND(AND(AND(E$4&gt;='2025'!$L347,E$4&lt;='2025'!$M347), E$4&lt;&gt;DATE(2025,7,4)), (SWITCH(weekday(E$4), 1, 0, 2, if(ISBLANK('2025'!$P347), 0, 1), 3, if(ISBLANK('2025'!$Q347), 0, 1), 4, if(ISBLANK('2025'!$R347), 0, 1), 5, if(ISBLANK('2025'!$S347), 0, 1), 6, if(ISBLANK('2025'!$T347), 0, 1), 7, 0))), 1, "")</f>
        <v/>
      </c>
      <c r="F349" s="1" t="str">
        <f>IF(AND(AND(AND(F$4&gt;='2025'!$L347,F$4&lt;='2025'!$M347), F$4&lt;&gt;DATE(2025,7,4)), (SWITCH(weekday(F$4), 1, 0, 2, if(ISBLANK('2025'!$P347), 0, 1), 3, if(ISBLANK('2025'!$Q347), 0, 1), 4, if(ISBLANK('2025'!$R347), 0, 1), 5, if(ISBLANK('2025'!$S347), 0, 1), 6, if(ISBLANK('2025'!$T347), 0, 1), 7, 0))), 1, "")</f>
        <v/>
      </c>
      <c r="G349" s="1" t="str">
        <f>IF(AND(AND(AND(G$4&gt;='2025'!$L347,G$4&lt;='2025'!$M347), G$4&lt;&gt;DATE(2025,7,4)), (SWITCH(weekday(G$4), 1, 0, 2, if(ISBLANK('2025'!$P347), 0, 1), 3, if(ISBLANK('2025'!$Q347), 0, 1), 4, if(ISBLANK('2025'!$R347), 0, 1), 5, if(ISBLANK('2025'!$S347), 0, 1), 6, if(ISBLANK('2025'!$T347), 0, 1), 7, 0))), 1, "")</f>
        <v/>
      </c>
      <c r="H349" s="1" t="str">
        <f>IF(AND(AND(AND(H$4&gt;='2025'!$L347,H$4&lt;='2025'!$M347), H$4&lt;&gt;DATE(2025,7,4)), (SWITCH(weekday(H$4), 1, 0, 2, if(ISBLANK('2025'!$P347), 0, 1), 3, if(ISBLANK('2025'!$Q347), 0, 1), 4, if(ISBLANK('2025'!$R347), 0, 1), 5, if(ISBLANK('2025'!$S347), 0, 1), 6, if(ISBLANK('2025'!$T347), 0, 1), 7, 0))), 1, "")</f>
        <v/>
      </c>
      <c r="I349" s="1" t="str">
        <f>IF(AND(AND(AND(I$4&gt;='2025'!$L347,I$4&lt;='2025'!$M347), I$4&lt;&gt;DATE(2025,7,4)), (SWITCH(weekday(I$4), 1, 0, 2, if(ISBLANK('2025'!$P347), 0, 1), 3, if(ISBLANK('2025'!$Q347), 0, 1), 4, if(ISBLANK('2025'!$R347), 0, 1), 5, if(ISBLANK('2025'!$S347), 0, 1), 6, if(ISBLANK('2025'!$T347), 0, 1), 7, 0))), 1, "")</f>
        <v/>
      </c>
      <c r="J349" s="1" t="str">
        <f>IF(AND(AND(AND(J$4&gt;='2025'!$L347,J$4&lt;='2025'!$M347), J$4&lt;&gt;DATE(2025,7,4)), (SWITCH(weekday(J$4), 1, 0, 2, if(ISBLANK('2025'!$P347), 0, 1), 3, if(ISBLANK('2025'!$Q347), 0, 1), 4, if(ISBLANK('2025'!$R347), 0, 1), 5, if(ISBLANK('2025'!$S347), 0, 1), 6, if(ISBLANK('2025'!$T347), 0, 1), 7, 0))), 1, "")</f>
        <v/>
      </c>
      <c r="K349" s="1" t="str">
        <f>IF(AND(AND(AND(K$4&gt;='2025'!$L347,K$4&lt;='2025'!$M347), K$4&lt;&gt;DATE(2025,7,4)), (SWITCH(weekday(K$4), 1, 0, 2, if(ISBLANK('2025'!$P347), 0, 1), 3, if(ISBLANK('2025'!$Q347), 0, 1), 4, if(ISBLANK('2025'!$R347), 0, 1), 5, if(ISBLANK('2025'!$S347), 0, 1), 6, if(ISBLANK('2025'!$T347), 0, 1), 7, 0))), 1, "")</f>
        <v/>
      </c>
      <c r="L349" s="1" t="str">
        <f>IF(AND(AND(AND(L$4&gt;='2025'!$L347,L$4&lt;='2025'!$M347), L$4&lt;&gt;DATE(2025,7,4)), (SWITCH(weekday(L$4), 1, 0, 2, if(ISBLANK('2025'!$P347), 0, 1), 3, if(ISBLANK('2025'!$Q347), 0, 1), 4, if(ISBLANK('2025'!$R347), 0, 1), 5, if(ISBLANK('2025'!$S347), 0, 1), 6, if(ISBLANK('2025'!$T347), 0, 1), 7, 0))), 1, "")</f>
        <v/>
      </c>
      <c r="M349" s="1" t="str">
        <f>IF(AND(AND(AND(M$4&gt;='2025'!$L347,M$4&lt;='2025'!$M347), M$4&lt;&gt;DATE(2025,7,4)), (SWITCH(weekday(M$4), 1, 0, 2, if(ISBLANK('2025'!$P347), 0, 1), 3, if(ISBLANK('2025'!$Q347), 0, 1), 4, if(ISBLANK('2025'!$R347), 0, 1), 5, if(ISBLANK('2025'!$S347), 0, 1), 6, if(ISBLANK('2025'!$T347), 0, 1), 7, 0))), 1, "")</f>
        <v/>
      </c>
      <c r="N349" s="1" t="str">
        <f>IF(AND(AND(AND(N$4&gt;='2025'!$L347,N$4&lt;='2025'!$M347), N$4&lt;&gt;DATE(2025,7,4)), (SWITCH(weekday(N$4), 1, 0, 2, if(ISBLANK('2025'!$P347), 0, 1), 3, if(ISBLANK('2025'!$Q347), 0, 1), 4, if(ISBLANK('2025'!$R347), 0, 1), 5, if(ISBLANK('2025'!$S347), 0, 1), 6, if(ISBLANK('2025'!$T347), 0, 1), 7, 0))), 1, "")</f>
        <v/>
      </c>
      <c r="O349" s="1" t="str">
        <f>IF(AND(AND(AND(O$4&gt;='2025'!$L347,O$4&lt;='2025'!$M347), O$4&lt;&gt;DATE(2025,7,4)), (SWITCH(weekday(O$4), 1, 0, 2, if(ISBLANK('2025'!$P347), 0, 1), 3, if(ISBLANK('2025'!$Q347), 0, 1), 4, if(ISBLANK('2025'!$R347), 0, 1), 5, if(ISBLANK('2025'!$S347), 0, 1), 6, if(ISBLANK('2025'!$T347), 0, 1), 7, 0))), 1, "")</f>
        <v/>
      </c>
      <c r="P349" s="1" t="str">
        <f>IF(AND(AND(AND(P$4&gt;='2025'!$L347,P$4&lt;='2025'!$M347), P$4&lt;&gt;DATE(2025,7,4)), (SWITCH(weekday(P$4), 1, 0, 2, if(ISBLANK('2025'!$P347), 0, 1), 3, if(ISBLANK('2025'!$Q347), 0, 1), 4, if(ISBLANK('2025'!$R347), 0, 1), 5, if(ISBLANK('2025'!$S347), 0, 1), 6, if(ISBLANK('2025'!$T347), 0, 1), 7, 0))), 1, "")</f>
        <v/>
      </c>
      <c r="Q349" s="1" t="str">
        <f>IF(AND(AND(AND(Q$4&gt;='2025'!$L347,Q$4&lt;='2025'!$M347), Q$4&lt;&gt;DATE(2025,7,4)), (SWITCH(weekday(Q$4), 1, 0, 2, if(ISBLANK('2025'!$P347), 0, 1), 3, if(ISBLANK('2025'!$Q347), 0, 1), 4, if(ISBLANK('2025'!$R347), 0, 1), 5, if(ISBLANK('2025'!$S347), 0, 1), 6, if(ISBLANK('2025'!$T347), 0, 1), 7, 0))), 1, "")</f>
        <v/>
      </c>
      <c r="R349" s="1" t="str">
        <f>IF(AND(AND(AND(R$4&gt;='2025'!$L347,R$4&lt;='2025'!$M347), R$4&lt;&gt;DATE(2025,7,4)), (SWITCH(weekday(R$4), 1, 0, 2, if(ISBLANK('2025'!$P347), 0, 1), 3, if(ISBLANK('2025'!$Q347), 0, 1), 4, if(ISBLANK('2025'!$R347), 0, 1), 5, if(ISBLANK('2025'!$S347), 0, 1), 6, if(ISBLANK('2025'!$T347), 0, 1), 7, 0))), 1, "")</f>
        <v/>
      </c>
      <c r="S349" s="1" t="str">
        <f>IF(AND(AND(AND(S$4&gt;='2025'!$L347,S$4&lt;='2025'!$M347), S$4&lt;&gt;DATE(2025,7,4)), (SWITCH(weekday(S$4), 1, 0, 2, if(ISBLANK('2025'!$P347), 0, 1), 3, if(ISBLANK('2025'!$Q347), 0, 1), 4, if(ISBLANK('2025'!$R347), 0, 1), 5, if(ISBLANK('2025'!$S347), 0, 1), 6, if(ISBLANK('2025'!$T347), 0, 1), 7, 0))), 1, "")</f>
        <v/>
      </c>
      <c r="T349" s="1" t="str">
        <f>IF(AND(AND(AND(T$4&gt;='2025'!$L347,T$4&lt;='2025'!$M347), T$4&lt;&gt;DATE(2025,7,4)), (SWITCH(weekday(T$4), 1, 0, 2, if(ISBLANK('2025'!$P347), 0, 1), 3, if(ISBLANK('2025'!$Q347), 0, 1), 4, if(ISBLANK('2025'!$R347), 0, 1), 5, if(ISBLANK('2025'!$S347), 0, 1), 6, if(ISBLANK('2025'!$T347), 0, 1), 7, 0))), 1, "")</f>
        <v/>
      </c>
      <c r="U349" s="1" t="str">
        <f>IF(AND(AND(AND(U$4&gt;='2025'!$L347,U$4&lt;='2025'!$M347), U$4&lt;&gt;DATE(2025,7,4)), (SWITCH(weekday(U$4), 1, 0, 2, if(ISBLANK('2025'!$P347), 0, 1), 3, if(ISBLANK('2025'!$Q347), 0, 1), 4, if(ISBLANK('2025'!$R347), 0, 1), 5, if(ISBLANK('2025'!$S347), 0, 1), 6, if(ISBLANK('2025'!$T347), 0, 1), 7, 0))), 1, "")</f>
        <v/>
      </c>
      <c r="V349" s="1" t="str">
        <f>IF(AND(AND(AND(V$4&gt;='2025'!$L347,V$4&lt;='2025'!$M347), V$4&lt;&gt;DATE(2025,7,4)), (SWITCH(weekday(V$4), 1, 0, 2, if(ISBLANK('2025'!$P347), 0, 1), 3, if(ISBLANK('2025'!$Q347), 0, 1), 4, if(ISBLANK('2025'!$R347), 0, 1), 5, if(ISBLANK('2025'!$S347), 0, 1), 6, if(ISBLANK('2025'!$T347), 0, 1), 7, 0))), 1, "")</f>
        <v/>
      </c>
      <c r="W349" s="1" t="str">
        <f>IF(AND(AND(AND(W$4&gt;='2025'!$L347,W$4&lt;='2025'!$M347), W$4&lt;&gt;DATE(2025,7,4)), (SWITCH(weekday(W$4), 1, 0, 2, if(ISBLANK('2025'!$P347), 0, 1), 3, if(ISBLANK('2025'!$Q347), 0, 1), 4, if(ISBLANK('2025'!$R347), 0, 1), 5, if(ISBLANK('2025'!$S347), 0, 1), 6, if(ISBLANK('2025'!$T347), 0, 1), 7, 0))), 1, "")</f>
        <v/>
      </c>
      <c r="X349" s="1" t="str">
        <f>IF(AND(AND(AND(X$4&gt;='2025'!$L347,X$4&lt;='2025'!$M347), X$4&lt;&gt;DATE(2025,7,4)), (SWITCH(weekday(X$4), 1, 0, 2, if(ISBLANK('2025'!$P347), 0, 1), 3, if(ISBLANK('2025'!$Q347), 0, 1), 4, if(ISBLANK('2025'!$R347), 0, 1), 5, if(ISBLANK('2025'!$S347), 0, 1), 6, if(ISBLANK('2025'!$T347), 0, 1), 7, 0))), 1, "")</f>
        <v/>
      </c>
      <c r="Y349" s="1" t="str">
        <f>IF(AND(AND(AND(Y$4&gt;='2025'!$L347,Y$4&lt;='2025'!$M347), Y$4&lt;&gt;DATE(2025,7,4)), (SWITCH(weekday(Y$4), 1, 0, 2, if(ISBLANK('2025'!$P347), 0, 1), 3, if(ISBLANK('2025'!$Q347), 0, 1), 4, if(ISBLANK('2025'!$R347), 0, 1), 5, if(ISBLANK('2025'!$S347), 0, 1), 6, if(ISBLANK('2025'!$T347), 0, 1), 7, 0))), 1, "")</f>
        <v/>
      </c>
      <c r="Z349" s="1" t="str">
        <f>IF(AND(AND(AND(Z$4&gt;='2025'!$L347,Z$4&lt;='2025'!$M347), Z$4&lt;&gt;DATE(2025,7,4)), (SWITCH(weekday(Z$4), 1, 0, 2, if(ISBLANK('2025'!$P347), 0, 1), 3, if(ISBLANK('2025'!$Q347), 0, 1), 4, if(ISBLANK('2025'!$R347), 0, 1), 5, if(ISBLANK('2025'!$S347), 0, 1), 6, if(ISBLANK('2025'!$T347), 0, 1), 7, 0))), 1, "")</f>
        <v/>
      </c>
      <c r="AA349" s="1" t="str">
        <f>IF(AND(AND(AND(AA$4&gt;='2025'!$L347,AA$4&lt;='2025'!$M347), AA$4&lt;&gt;DATE(2025,7,4)), (SWITCH(weekday(AA$4), 1, 0, 2, if(ISBLANK('2025'!$P347), 0, 1), 3, if(ISBLANK('2025'!$Q347), 0, 1), 4, if(ISBLANK('2025'!$R347), 0, 1), 5, if(ISBLANK('2025'!$S347), 0, 1), 6, if(ISBLANK('2025'!$T347), 0, 1), 7, 0))), 1, "")</f>
        <v/>
      </c>
      <c r="AB349" s="1" t="str">
        <f>IF(AND(AND(AND(AB$4&gt;='2025'!$L347,AB$4&lt;='2025'!$M347), AB$4&lt;&gt;DATE(2025,7,4)), (SWITCH(weekday(AB$4), 1, 0, 2, if(ISBLANK('2025'!$P347), 0, 1), 3, if(ISBLANK('2025'!$Q347), 0, 1), 4, if(ISBLANK('2025'!$R347), 0, 1), 5, if(ISBLANK('2025'!$S347), 0, 1), 6, if(ISBLANK('2025'!$T347), 0, 1), 7, 0))), 1, "")</f>
        <v/>
      </c>
      <c r="AC349" s="1" t="str">
        <f>IF(AND(AND(AND(AC$4&gt;='2025'!$L347,AC$4&lt;='2025'!$M347), AC$4&lt;&gt;DATE(2025,7,4)), (SWITCH(weekday(AC$4), 1, 0, 2, if(ISBLANK('2025'!$P347), 0, 1), 3, if(ISBLANK('2025'!$Q347), 0, 1), 4, if(ISBLANK('2025'!$R347), 0, 1), 5, if(ISBLANK('2025'!$S347), 0, 1), 6, if(ISBLANK('2025'!$T347), 0, 1), 7, 0))), 1, "")</f>
        <v/>
      </c>
      <c r="AD349" s="1" t="str">
        <f>IF(AND(AND(AND(AD$4&gt;='2025'!$L347,AD$4&lt;='2025'!$M347), AD$4&lt;&gt;DATE(2025,7,4)), (SWITCH(weekday(AD$4), 1, 0, 2, if(ISBLANK('2025'!$P347), 0, 1), 3, if(ISBLANK('2025'!$Q347), 0, 1), 4, if(ISBLANK('2025'!$R347), 0, 1), 5, if(ISBLANK('2025'!$S347), 0, 1), 6, if(ISBLANK('2025'!$T347), 0, 1), 7, 0))), 1, "")</f>
        <v/>
      </c>
      <c r="AE349" s="1" t="str">
        <f>IF(AND(AND(AND(AE$4&gt;='2025'!$L347,AE$4&lt;='2025'!$M347), AE$4&lt;&gt;DATE(2025,7,4)), (SWITCH(weekday(AE$4), 1, 0, 2, if(ISBLANK('2025'!$P347), 0, 1), 3, if(ISBLANK('2025'!$Q347), 0, 1), 4, if(ISBLANK('2025'!$R347), 0, 1), 5, if(ISBLANK('2025'!$S347), 0, 1), 6, if(ISBLANK('2025'!$T347), 0, 1), 7, 0))), 1, "")</f>
        <v/>
      </c>
      <c r="AF349" s="1" t="str">
        <f>IF(AND(AND(AND(AF$4&gt;='2025'!$L347,AF$4&lt;='2025'!$M347), AF$4&lt;&gt;DATE(2025,7,4)), (SWITCH(weekday(AF$4), 1, 0, 2, if(ISBLANK('2025'!$P347), 0, 1), 3, if(ISBLANK('2025'!$Q347), 0, 1), 4, if(ISBLANK('2025'!$R347), 0, 1), 5, if(ISBLANK('2025'!$S347), 0, 1), 6, if(ISBLANK('2025'!$T347), 0, 1), 7, 0))), 1, "")</f>
        <v/>
      </c>
      <c r="AG349" s="1" t="str">
        <f>IF(AND(AND(AND(AG$4&gt;='2025'!$L347,AG$4&lt;='2025'!$M347), AG$4&lt;&gt;DATE(2025,7,4)), (SWITCH(weekday(AG$4), 1, 0, 2, if(ISBLANK('2025'!$P347), 0, 1), 3, if(ISBLANK('2025'!$Q347), 0, 1), 4, if(ISBLANK('2025'!$R347), 0, 1), 5, if(ISBLANK('2025'!$S347), 0, 1), 6, if(ISBLANK('2025'!$T347), 0, 1), 7, 0))), 1, "")</f>
        <v/>
      </c>
      <c r="AH349" s="1" t="str">
        <f>IF(AND(AND(AND(AH$4&gt;='2025'!$L347,AH$4&lt;='2025'!$M347), AH$4&lt;&gt;DATE(2025,7,4)), (SWITCH(weekday(AH$4), 1, 0, 2, if(ISBLANK('2025'!$P347), 0, 1), 3, if(ISBLANK('2025'!$Q347), 0, 1), 4, if(ISBLANK('2025'!$R347), 0, 1), 5, if(ISBLANK('2025'!$S347), 0, 1), 6, if(ISBLANK('2025'!$T347), 0, 1), 7, 0))), 1, "")</f>
        <v/>
      </c>
      <c r="AI349" s="1" t="str">
        <f>IF(AND(AND(AND(AI$4&gt;='2025'!$L347,AI$4&lt;='2025'!$M347), AI$4&lt;&gt;DATE(2025,7,4)), (SWITCH(weekday(AI$4), 1, 0, 2, if(ISBLANK('2025'!$P347), 0, 1), 3, if(ISBLANK('2025'!$Q347), 0, 1), 4, if(ISBLANK('2025'!$R347), 0, 1), 5, if(ISBLANK('2025'!$S347), 0, 1), 6, if(ISBLANK('2025'!$T347), 0, 1), 7, 0))), 1, "")</f>
        <v/>
      </c>
      <c r="AJ349" s="1" t="str">
        <f>IF(AND(AND(AND(AJ$4&gt;='2025'!$L347,AJ$4&lt;='2025'!$M347), AJ$4&lt;&gt;DATE(2025,7,4)), (SWITCH(weekday(AJ$4), 1, 0, 2, if(ISBLANK('2025'!$P347), 0, 1), 3, if(ISBLANK('2025'!$Q347), 0, 1), 4, if(ISBLANK('2025'!$R347), 0, 1), 5, if(ISBLANK('2025'!$S347), 0, 1), 6, if(ISBLANK('2025'!$T347), 0, 1), 7, 0))), 1, "")</f>
        <v/>
      </c>
      <c r="AK349" s="1" t="str">
        <f>IF(AND(AND(AND(AK$4&gt;='2025'!$L347,AK$4&lt;='2025'!$M347), AK$4&lt;&gt;DATE(2025,7,4)), (SWITCH(weekday(AK$4), 1, 0, 2, if(ISBLANK('2025'!$P347), 0, 1), 3, if(ISBLANK('2025'!$Q347), 0, 1), 4, if(ISBLANK('2025'!$R347), 0, 1), 5, if(ISBLANK('2025'!$S347), 0, 1), 6, if(ISBLANK('2025'!$T347), 0, 1), 7, 0))), 1, "")</f>
        <v/>
      </c>
      <c r="AL349" s="1" t="str">
        <f>IF(AND(AND(AND(AL$4&gt;='2025'!$L347,AL$4&lt;='2025'!$M347), AL$4&lt;&gt;DATE(2025,7,4)), (SWITCH(weekday(AL$4), 1, 0, 2, if(ISBLANK('2025'!$P347), 0, 1), 3, if(ISBLANK('2025'!$Q347), 0, 1), 4, if(ISBLANK('2025'!$R347), 0, 1), 5, if(ISBLANK('2025'!$S347), 0, 1), 6, if(ISBLANK('2025'!$T347), 0, 1), 7, 0))), 1, "")</f>
        <v/>
      </c>
      <c r="AM349" s="1" t="str">
        <f>IF(AND(AND(AND(AM$4&gt;='2025'!$L347,AM$4&lt;='2025'!$M347), AM$4&lt;&gt;DATE(2025,7,4)), (SWITCH(weekday(AM$4), 1, 0, 2, if(ISBLANK('2025'!$P347), 0, 1), 3, if(ISBLANK('2025'!$Q347), 0, 1), 4, if(ISBLANK('2025'!$R347), 0, 1), 5, if(ISBLANK('2025'!$S347), 0, 1), 6, if(ISBLANK('2025'!$T347), 0, 1), 7, 0))), 1, "")</f>
        <v/>
      </c>
      <c r="AN349" s="1" t="str">
        <f>IF(AND(AND(AND(AN$4&gt;='2025'!$L347,AN$4&lt;='2025'!$M347), AN$4&lt;&gt;DATE(2025,7,4)), (SWITCH(weekday(AN$4), 1, 0, 2, if(ISBLANK('2025'!$P347), 0, 1), 3, if(ISBLANK('2025'!$Q347), 0, 1), 4, if(ISBLANK('2025'!$R347), 0, 1), 5, if(ISBLANK('2025'!$S347), 0, 1), 6, if(ISBLANK('2025'!$T347), 0, 1), 7, 0))), 1, "")</f>
        <v/>
      </c>
      <c r="AO349" s="1" t="str">
        <f>IF(AND(AND(AND(AO$4&gt;='2025'!$L347,AO$4&lt;='2025'!$M347), AO$4&lt;&gt;DATE(2025,7,4)), (SWITCH(weekday(AO$4), 1, 0, 2, if(ISBLANK('2025'!$P347), 0, 1), 3, if(ISBLANK('2025'!$Q347), 0, 1), 4, if(ISBLANK('2025'!$R347), 0, 1), 5, if(ISBLANK('2025'!$S347), 0, 1), 6, if(ISBLANK('2025'!$T347), 0, 1), 7, 0))), 1, "")</f>
        <v/>
      </c>
      <c r="AP349" s="1" t="str">
        <f>IF(AND(AND(AND(AP$4&gt;='2025'!$L347,AP$4&lt;='2025'!$M347), AP$4&lt;&gt;DATE(2025,7,4)), (SWITCH(weekday(AP$4), 1, 0, 2, if(ISBLANK('2025'!$P347), 0, 1), 3, if(ISBLANK('2025'!$Q347), 0, 1), 4, if(ISBLANK('2025'!$R347), 0, 1), 5, if(ISBLANK('2025'!$S347), 0, 1), 6, if(ISBLANK('2025'!$T347), 0, 1), 7, 0))), 1, "")</f>
        <v/>
      </c>
      <c r="AQ349" s="1" t="str">
        <f>IF(AND(AND(AND(AQ$4&gt;='2025'!$L347,AQ$4&lt;='2025'!$M347), AQ$4&lt;&gt;DATE(2025,7,4)), (SWITCH(weekday(AQ$4), 1, 0, 2, if(ISBLANK('2025'!$P347), 0, 1), 3, if(ISBLANK('2025'!$Q347), 0, 1), 4, if(ISBLANK('2025'!$R347), 0, 1), 5, if(ISBLANK('2025'!$S347), 0, 1), 6, if(ISBLANK('2025'!$T347), 0, 1), 7, 0))), 1, "")</f>
        <v/>
      </c>
      <c r="AR349" s="1" t="str">
        <f>IF(AND(AND(AND(AR$4&gt;='2025'!$L347,AR$4&lt;='2025'!$M347), AR$4&lt;&gt;DATE(2025,7,4)), (SWITCH(weekday(AR$4), 1, 0, 2, if(ISBLANK('2025'!$P347), 0, 1), 3, if(ISBLANK('2025'!$Q347), 0, 1), 4, if(ISBLANK('2025'!$R347), 0, 1), 5, if(ISBLANK('2025'!$S347), 0, 1), 6, if(ISBLANK('2025'!$T347), 0, 1), 7, 0))), 1, "")</f>
        <v/>
      </c>
      <c r="AS349" s="1" t="str">
        <f>IF(AND(AND(AND(AS$4&gt;='2025'!$L347,AS$4&lt;='2025'!$M347), AS$4&lt;&gt;DATE(2025,7,4)), (SWITCH(weekday(AS$4), 1, 0, 2, if(ISBLANK('2025'!$P347), 0, 1), 3, if(ISBLANK('2025'!$Q347), 0, 1), 4, if(ISBLANK('2025'!$R347), 0, 1), 5, if(ISBLANK('2025'!$S347), 0, 1), 6, if(ISBLANK('2025'!$T347), 0, 1), 7, 0))), 1, "")</f>
        <v/>
      </c>
      <c r="AT349" s="1" t="str">
        <f>IF(AND(AND(AND(AT$4&gt;='2025'!$L347,AT$4&lt;='2025'!$M347), AT$4&lt;&gt;DATE(2025,7,4)), (SWITCH(weekday(AT$4), 1, 0, 2, if(ISBLANK('2025'!$P347), 0, 1), 3, if(ISBLANK('2025'!$Q347), 0, 1), 4, if(ISBLANK('2025'!$R347), 0, 1), 5, if(ISBLANK('2025'!$S347), 0, 1), 6, if(ISBLANK('2025'!$T347), 0, 1), 7, 0))), 1, "")</f>
        <v/>
      </c>
      <c r="AU349" s="1" t="str">
        <f>IF(AND(AND(AND(AU$4&gt;='2025'!$L347,AU$4&lt;='2025'!$M347), AU$4&lt;&gt;DATE(2025,7,4)), (SWITCH(weekday(AU$4), 1, 0, 2, if(ISBLANK('2025'!$P347), 0, 1), 3, if(ISBLANK('2025'!$Q347), 0, 1), 4, if(ISBLANK('2025'!$R347), 0, 1), 5, if(ISBLANK('2025'!$S347), 0, 1), 6, if(ISBLANK('2025'!$T347), 0, 1), 7, 0))), 1, "")</f>
        <v/>
      </c>
      <c r="AV349" s="1" t="str">
        <f>IF(AND(AND(AND(AV$4&gt;='2025'!$L347,AV$4&lt;='2025'!$M347), AV$4&lt;&gt;DATE(2025,7,4)), (SWITCH(weekday(AV$4), 1, 0, 2, if(ISBLANK('2025'!$P347), 0, 1), 3, if(ISBLANK('2025'!$Q347), 0, 1), 4, if(ISBLANK('2025'!$R347), 0, 1), 5, if(ISBLANK('2025'!$S347), 0, 1), 6, if(ISBLANK('2025'!$T347), 0, 1), 7, 0))), 1, "")</f>
        <v/>
      </c>
      <c r="AW349" s="1" t="str">
        <f>IF(AND(AND(AND(AW$4&gt;='2025'!$L347,AW$4&lt;='2025'!$M347), AW$4&lt;&gt;DATE(2025,7,4)), (SWITCH(weekday(AW$4), 1, 0, 2, if(ISBLANK('2025'!$P347), 0, 1), 3, if(ISBLANK('2025'!$Q347), 0, 1), 4, if(ISBLANK('2025'!$R347), 0, 1), 5, if(ISBLANK('2025'!$S347), 0, 1), 6, if(ISBLANK('2025'!$T347), 0, 1), 7, 0))), 1, "")</f>
        <v/>
      </c>
      <c r="AX349" s="1" t="str">
        <f>IF(AND(AND(AND(AX$4&gt;='2025'!$L347,AX$4&lt;='2025'!$M347), AX$4&lt;&gt;DATE(2025,7,4)), (SWITCH(weekday(AX$4), 1, 0, 2, if(ISBLANK('2025'!$P347), 0, 1), 3, if(ISBLANK('2025'!$Q347), 0, 1), 4, if(ISBLANK('2025'!$R347), 0, 1), 5, if(ISBLANK('2025'!$S347), 0, 1), 6, if(ISBLANK('2025'!$T347), 0, 1), 7, 0))), 1, "")</f>
        <v/>
      </c>
      <c r="AY349" s="1" t="str">
        <f>IF(AND(AND(AND(AY$4&gt;='2025'!$L347,AY$4&lt;='2025'!$M347), AY$4&lt;&gt;DATE(2025,7,4)), (SWITCH(weekday(AY$4), 1, 0, 2, if(ISBLANK('2025'!$P347), 0, 1), 3, if(ISBLANK('2025'!$Q347), 0, 1), 4, if(ISBLANK('2025'!$R347), 0, 1), 5, if(ISBLANK('2025'!$S347), 0, 1), 6, if(ISBLANK('2025'!$T347), 0, 1), 7, 0))), 1, "")</f>
        <v/>
      </c>
      <c r="AZ349" s="1" t="str">
        <f>IF(AND(AND(AND(AZ$4&gt;='2025'!$L347,AZ$4&lt;='2025'!$M347), AZ$4&lt;&gt;DATE(2025,7,4)), (SWITCH(weekday(AZ$4), 1, 0, 2, if(ISBLANK('2025'!$P347), 0, 1), 3, if(ISBLANK('2025'!$Q347), 0, 1), 4, if(ISBLANK('2025'!$R347), 0, 1), 5, if(ISBLANK('2025'!$S347), 0, 1), 6, if(ISBLANK('2025'!$T347), 0, 1), 7, 0))), 1, "")</f>
        <v/>
      </c>
      <c r="BA349" s="1" t="str">
        <f>IF(AND(AND(AND(BA$4&gt;='2025'!$L347,BA$4&lt;='2025'!$M347), BA$4&lt;&gt;DATE(2025,7,4)), (SWITCH(weekday(BA$4), 1, 0, 2, if(ISBLANK('2025'!$P347), 0, 1), 3, if(ISBLANK('2025'!$Q347), 0, 1), 4, if(ISBLANK('2025'!$R347), 0, 1), 5, if(ISBLANK('2025'!$S347), 0, 1), 6, if(ISBLANK('2025'!$T347), 0, 1), 7, 0))), 1, "")</f>
        <v/>
      </c>
      <c r="BB349" s="1" t="str">
        <f>IF(AND(AND(AND(BB$4&gt;='2025'!$L347,BB$4&lt;='2025'!$M347), BB$4&lt;&gt;DATE(2025,7,4)), (SWITCH(weekday(BB$4), 1, 0, 2, if(ISBLANK('2025'!$P347), 0, 1), 3, if(ISBLANK('2025'!$Q347), 0, 1), 4, if(ISBLANK('2025'!$R347), 0, 1), 5, if(ISBLANK('2025'!$S347), 0, 1), 6, if(ISBLANK('2025'!$T347), 0, 1), 7, 0))), 1, "")</f>
        <v/>
      </c>
      <c r="BC349" s="1" t="str">
        <f>IF(AND(AND(AND(BC$4&gt;='2025'!$L347,BC$4&lt;='2025'!$M347), BC$4&lt;&gt;DATE(2025,7,4)), (SWITCH(weekday(BC$4), 1, 0, 2, if(ISBLANK('2025'!$P347), 0, 1), 3, if(ISBLANK('2025'!$Q347), 0, 1), 4, if(ISBLANK('2025'!$R347), 0, 1), 5, if(ISBLANK('2025'!$S347), 0, 1), 6, if(ISBLANK('2025'!$T347), 0, 1), 7, 0))), 1, "")</f>
        <v/>
      </c>
      <c r="BD349" s="1" t="str">
        <f>IF(AND(AND(AND(BD$4&gt;='2025'!$L347,BD$4&lt;='2025'!$M347), BD$4&lt;&gt;DATE(2025,7,4)), (SWITCH(weekday(BD$4), 1, 0, 2, if(ISBLANK('2025'!$P347), 0, 1), 3, if(ISBLANK('2025'!$Q347), 0, 1), 4, if(ISBLANK('2025'!$R347), 0, 1), 5, if(ISBLANK('2025'!$S347), 0, 1), 6, if(ISBLANK('2025'!$T347), 0, 1), 7, 0))), 1, "")</f>
        <v/>
      </c>
      <c r="BE349" s="1" t="str">
        <f>IF(AND(AND(AND(BE$4&gt;='2025'!$L347,BE$4&lt;='2025'!$M347), BE$4&lt;&gt;DATE(2025,7,4)), (SWITCH(weekday(BE$4), 1, 0, 2, if(ISBLANK('2025'!$P347), 0, 1), 3, if(ISBLANK('2025'!$Q347), 0, 1), 4, if(ISBLANK('2025'!$R347), 0, 1), 5, if(ISBLANK('2025'!$S347), 0, 1), 6, if(ISBLANK('2025'!$T347), 0, 1), 7, 0))), 1, "")</f>
        <v/>
      </c>
      <c r="BF349" s="1" t="str">
        <f>IF(AND(AND(AND(BF$4&gt;='2025'!$L347,BF$4&lt;='2025'!$M347), BF$4&lt;&gt;DATE(2025,7,4)), (SWITCH(weekday(BF$4), 1, 0, 2, if(ISBLANK('2025'!$P347), 0, 1), 3, if(ISBLANK('2025'!$Q347), 0, 1), 4, if(ISBLANK('2025'!$R347), 0, 1), 5, if(ISBLANK('2025'!$S347), 0, 1), 6, if(ISBLANK('2025'!$T347), 0, 1), 7, 0))), 1, "")</f>
        <v/>
      </c>
      <c r="BG349" s="1"/>
      <c r="BH349" s="1"/>
      <c r="BI349" s="1"/>
      <c r="BJ349" s="1"/>
      <c r="BK349" s="1"/>
      <c r="BL349" s="1"/>
    </row>
    <row r="350">
      <c r="A350" s="1">
        <f t="shared" si="3"/>
        <v>350</v>
      </c>
      <c r="B350" s="1" t="str">
        <f>'2025'!D314</f>
        <v>, </v>
      </c>
      <c r="C350" s="1" t="str">
        <f>'2025'!H314</f>
        <v/>
      </c>
      <c r="D350" s="1" t="str">
        <f>IF(AND(AND(AND(D$4&gt;='2025'!$L348,D$4&lt;='2025'!$M348), D$4&lt;&gt;DATE(2025,7,4)), (SWITCH(weekday(D$4), 1, 0, 2, if(ISBLANK('2025'!$P348), 0, 1), 3, if(ISBLANK('2025'!$Q348), 0, 1), 4, if(ISBLANK('2025'!$R348), 0, 1), 5, if(ISBLANK('2025'!$S348), 0, 1), 6, if(ISBLANK('2025'!$T348), 0, 1), 7, 0))), 1, "")</f>
        <v/>
      </c>
      <c r="E350" s="1" t="str">
        <f>IF(AND(AND(AND(E$4&gt;='2025'!$L348,E$4&lt;='2025'!$M348), E$4&lt;&gt;DATE(2025,7,4)), (SWITCH(weekday(E$4), 1, 0, 2, if(ISBLANK('2025'!$P348), 0, 1), 3, if(ISBLANK('2025'!$Q348), 0, 1), 4, if(ISBLANK('2025'!$R348), 0, 1), 5, if(ISBLANK('2025'!$S348), 0, 1), 6, if(ISBLANK('2025'!$T348), 0, 1), 7, 0))), 1, "")</f>
        <v/>
      </c>
      <c r="F350" s="1" t="str">
        <f>IF(AND(AND(AND(F$4&gt;='2025'!$L348,F$4&lt;='2025'!$M348), F$4&lt;&gt;DATE(2025,7,4)), (SWITCH(weekday(F$4), 1, 0, 2, if(ISBLANK('2025'!$P348), 0, 1), 3, if(ISBLANK('2025'!$Q348), 0, 1), 4, if(ISBLANK('2025'!$R348), 0, 1), 5, if(ISBLANK('2025'!$S348), 0, 1), 6, if(ISBLANK('2025'!$T348), 0, 1), 7, 0))), 1, "")</f>
        <v/>
      </c>
      <c r="G350" s="1" t="str">
        <f>IF(AND(AND(AND(G$4&gt;='2025'!$L348,G$4&lt;='2025'!$M348), G$4&lt;&gt;DATE(2025,7,4)), (SWITCH(weekday(G$4), 1, 0, 2, if(ISBLANK('2025'!$P348), 0, 1), 3, if(ISBLANK('2025'!$Q348), 0, 1), 4, if(ISBLANK('2025'!$R348), 0, 1), 5, if(ISBLANK('2025'!$S348), 0, 1), 6, if(ISBLANK('2025'!$T348), 0, 1), 7, 0))), 1, "")</f>
        <v/>
      </c>
      <c r="H350" s="1" t="str">
        <f>IF(AND(AND(AND(H$4&gt;='2025'!$L348,H$4&lt;='2025'!$M348), H$4&lt;&gt;DATE(2025,7,4)), (SWITCH(weekday(H$4), 1, 0, 2, if(ISBLANK('2025'!$P348), 0, 1), 3, if(ISBLANK('2025'!$Q348), 0, 1), 4, if(ISBLANK('2025'!$R348), 0, 1), 5, if(ISBLANK('2025'!$S348), 0, 1), 6, if(ISBLANK('2025'!$T348), 0, 1), 7, 0))), 1, "")</f>
        <v/>
      </c>
      <c r="I350" s="1" t="str">
        <f>IF(AND(AND(AND(I$4&gt;='2025'!$L348,I$4&lt;='2025'!$M348), I$4&lt;&gt;DATE(2025,7,4)), (SWITCH(weekday(I$4), 1, 0, 2, if(ISBLANK('2025'!$P348), 0, 1), 3, if(ISBLANK('2025'!$Q348), 0, 1), 4, if(ISBLANK('2025'!$R348), 0, 1), 5, if(ISBLANK('2025'!$S348), 0, 1), 6, if(ISBLANK('2025'!$T348), 0, 1), 7, 0))), 1, "")</f>
        <v/>
      </c>
      <c r="J350" s="1" t="str">
        <f>IF(AND(AND(AND(J$4&gt;='2025'!$L348,J$4&lt;='2025'!$M348), J$4&lt;&gt;DATE(2025,7,4)), (SWITCH(weekday(J$4), 1, 0, 2, if(ISBLANK('2025'!$P348), 0, 1), 3, if(ISBLANK('2025'!$Q348), 0, 1), 4, if(ISBLANK('2025'!$R348), 0, 1), 5, if(ISBLANK('2025'!$S348), 0, 1), 6, if(ISBLANK('2025'!$T348), 0, 1), 7, 0))), 1, "")</f>
        <v/>
      </c>
      <c r="K350" s="1" t="str">
        <f>IF(AND(AND(AND(K$4&gt;='2025'!$L348,K$4&lt;='2025'!$M348), K$4&lt;&gt;DATE(2025,7,4)), (SWITCH(weekday(K$4), 1, 0, 2, if(ISBLANK('2025'!$P348), 0, 1), 3, if(ISBLANK('2025'!$Q348), 0, 1), 4, if(ISBLANK('2025'!$R348), 0, 1), 5, if(ISBLANK('2025'!$S348), 0, 1), 6, if(ISBLANK('2025'!$T348), 0, 1), 7, 0))), 1, "")</f>
        <v/>
      </c>
      <c r="L350" s="1" t="str">
        <f>IF(AND(AND(AND(L$4&gt;='2025'!$L348,L$4&lt;='2025'!$M348), L$4&lt;&gt;DATE(2025,7,4)), (SWITCH(weekday(L$4), 1, 0, 2, if(ISBLANK('2025'!$P348), 0, 1), 3, if(ISBLANK('2025'!$Q348), 0, 1), 4, if(ISBLANK('2025'!$R348), 0, 1), 5, if(ISBLANK('2025'!$S348), 0, 1), 6, if(ISBLANK('2025'!$T348), 0, 1), 7, 0))), 1, "")</f>
        <v/>
      </c>
      <c r="M350" s="1" t="str">
        <f>IF(AND(AND(AND(M$4&gt;='2025'!$L348,M$4&lt;='2025'!$M348), M$4&lt;&gt;DATE(2025,7,4)), (SWITCH(weekday(M$4), 1, 0, 2, if(ISBLANK('2025'!$P348), 0, 1), 3, if(ISBLANK('2025'!$Q348), 0, 1), 4, if(ISBLANK('2025'!$R348), 0, 1), 5, if(ISBLANK('2025'!$S348), 0, 1), 6, if(ISBLANK('2025'!$T348), 0, 1), 7, 0))), 1, "")</f>
        <v/>
      </c>
      <c r="N350" s="1" t="str">
        <f>IF(AND(AND(AND(N$4&gt;='2025'!$L348,N$4&lt;='2025'!$M348), N$4&lt;&gt;DATE(2025,7,4)), (SWITCH(weekday(N$4), 1, 0, 2, if(ISBLANK('2025'!$P348), 0, 1), 3, if(ISBLANK('2025'!$Q348), 0, 1), 4, if(ISBLANK('2025'!$R348), 0, 1), 5, if(ISBLANK('2025'!$S348), 0, 1), 6, if(ISBLANK('2025'!$T348), 0, 1), 7, 0))), 1, "")</f>
        <v/>
      </c>
      <c r="O350" s="1" t="str">
        <f>IF(AND(AND(AND(O$4&gt;='2025'!$L348,O$4&lt;='2025'!$M348), O$4&lt;&gt;DATE(2025,7,4)), (SWITCH(weekday(O$4), 1, 0, 2, if(ISBLANK('2025'!$P348), 0, 1), 3, if(ISBLANK('2025'!$Q348), 0, 1), 4, if(ISBLANK('2025'!$R348), 0, 1), 5, if(ISBLANK('2025'!$S348), 0, 1), 6, if(ISBLANK('2025'!$T348), 0, 1), 7, 0))), 1, "")</f>
        <v/>
      </c>
      <c r="P350" s="1" t="str">
        <f>IF(AND(AND(AND(P$4&gt;='2025'!$L348,P$4&lt;='2025'!$M348), P$4&lt;&gt;DATE(2025,7,4)), (SWITCH(weekday(P$4), 1, 0, 2, if(ISBLANK('2025'!$P348), 0, 1), 3, if(ISBLANK('2025'!$Q348), 0, 1), 4, if(ISBLANK('2025'!$R348), 0, 1), 5, if(ISBLANK('2025'!$S348), 0, 1), 6, if(ISBLANK('2025'!$T348), 0, 1), 7, 0))), 1, "")</f>
        <v/>
      </c>
      <c r="Q350" s="1" t="str">
        <f>IF(AND(AND(AND(Q$4&gt;='2025'!$L348,Q$4&lt;='2025'!$M348), Q$4&lt;&gt;DATE(2025,7,4)), (SWITCH(weekday(Q$4), 1, 0, 2, if(ISBLANK('2025'!$P348), 0, 1), 3, if(ISBLANK('2025'!$Q348), 0, 1), 4, if(ISBLANK('2025'!$R348), 0, 1), 5, if(ISBLANK('2025'!$S348), 0, 1), 6, if(ISBLANK('2025'!$T348), 0, 1), 7, 0))), 1, "")</f>
        <v/>
      </c>
      <c r="R350" s="1" t="str">
        <f>IF(AND(AND(AND(R$4&gt;='2025'!$L348,R$4&lt;='2025'!$M348), R$4&lt;&gt;DATE(2025,7,4)), (SWITCH(weekday(R$4), 1, 0, 2, if(ISBLANK('2025'!$P348), 0, 1), 3, if(ISBLANK('2025'!$Q348), 0, 1), 4, if(ISBLANK('2025'!$R348), 0, 1), 5, if(ISBLANK('2025'!$S348), 0, 1), 6, if(ISBLANK('2025'!$T348), 0, 1), 7, 0))), 1, "")</f>
        <v/>
      </c>
      <c r="S350" s="1" t="str">
        <f>IF(AND(AND(AND(S$4&gt;='2025'!$L348,S$4&lt;='2025'!$M348), S$4&lt;&gt;DATE(2025,7,4)), (SWITCH(weekday(S$4), 1, 0, 2, if(ISBLANK('2025'!$P348), 0, 1), 3, if(ISBLANK('2025'!$Q348), 0, 1), 4, if(ISBLANK('2025'!$R348), 0, 1), 5, if(ISBLANK('2025'!$S348), 0, 1), 6, if(ISBLANK('2025'!$T348), 0, 1), 7, 0))), 1, "")</f>
        <v/>
      </c>
      <c r="T350" s="1" t="str">
        <f>IF(AND(AND(AND(T$4&gt;='2025'!$L348,T$4&lt;='2025'!$M348), T$4&lt;&gt;DATE(2025,7,4)), (SWITCH(weekday(T$4), 1, 0, 2, if(ISBLANK('2025'!$P348), 0, 1), 3, if(ISBLANK('2025'!$Q348), 0, 1), 4, if(ISBLANK('2025'!$R348), 0, 1), 5, if(ISBLANK('2025'!$S348), 0, 1), 6, if(ISBLANK('2025'!$T348), 0, 1), 7, 0))), 1, "")</f>
        <v/>
      </c>
      <c r="U350" s="1" t="str">
        <f>IF(AND(AND(AND(U$4&gt;='2025'!$L348,U$4&lt;='2025'!$M348), U$4&lt;&gt;DATE(2025,7,4)), (SWITCH(weekday(U$4), 1, 0, 2, if(ISBLANK('2025'!$P348), 0, 1), 3, if(ISBLANK('2025'!$Q348), 0, 1), 4, if(ISBLANK('2025'!$R348), 0, 1), 5, if(ISBLANK('2025'!$S348), 0, 1), 6, if(ISBLANK('2025'!$T348), 0, 1), 7, 0))), 1, "")</f>
        <v/>
      </c>
      <c r="V350" s="1" t="str">
        <f>IF(AND(AND(AND(V$4&gt;='2025'!$L348,V$4&lt;='2025'!$M348), V$4&lt;&gt;DATE(2025,7,4)), (SWITCH(weekday(V$4), 1, 0, 2, if(ISBLANK('2025'!$P348), 0, 1), 3, if(ISBLANK('2025'!$Q348), 0, 1), 4, if(ISBLANK('2025'!$R348), 0, 1), 5, if(ISBLANK('2025'!$S348), 0, 1), 6, if(ISBLANK('2025'!$T348), 0, 1), 7, 0))), 1, "")</f>
        <v/>
      </c>
      <c r="W350" s="1" t="str">
        <f>IF(AND(AND(AND(W$4&gt;='2025'!$L348,W$4&lt;='2025'!$M348), W$4&lt;&gt;DATE(2025,7,4)), (SWITCH(weekday(W$4), 1, 0, 2, if(ISBLANK('2025'!$P348), 0, 1), 3, if(ISBLANK('2025'!$Q348), 0, 1), 4, if(ISBLANK('2025'!$R348), 0, 1), 5, if(ISBLANK('2025'!$S348), 0, 1), 6, if(ISBLANK('2025'!$T348), 0, 1), 7, 0))), 1, "")</f>
        <v/>
      </c>
      <c r="X350" s="1" t="str">
        <f>IF(AND(AND(AND(X$4&gt;='2025'!$L348,X$4&lt;='2025'!$M348), X$4&lt;&gt;DATE(2025,7,4)), (SWITCH(weekday(X$4), 1, 0, 2, if(ISBLANK('2025'!$P348), 0, 1), 3, if(ISBLANK('2025'!$Q348), 0, 1), 4, if(ISBLANK('2025'!$R348), 0, 1), 5, if(ISBLANK('2025'!$S348), 0, 1), 6, if(ISBLANK('2025'!$T348), 0, 1), 7, 0))), 1, "")</f>
        <v/>
      </c>
      <c r="Y350" s="1" t="str">
        <f>IF(AND(AND(AND(Y$4&gt;='2025'!$L348,Y$4&lt;='2025'!$M348), Y$4&lt;&gt;DATE(2025,7,4)), (SWITCH(weekday(Y$4), 1, 0, 2, if(ISBLANK('2025'!$P348), 0, 1), 3, if(ISBLANK('2025'!$Q348), 0, 1), 4, if(ISBLANK('2025'!$R348), 0, 1), 5, if(ISBLANK('2025'!$S348), 0, 1), 6, if(ISBLANK('2025'!$T348), 0, 1), 7, 0))), 1, "")</f>
        <v/>
      </c>
      <c r="Z350" s="1" t="str">
        <f>IF(AND(AND(AND(Z$4&gt;='2025'!$L348,Z$4&lt;='2025'!$M348), Z$4&lt;&gt;DATE(2025,7,4)), (SWITCH(weekday(Z$4), 1, 0, 2, if(ISBLANK('2025'!$P348), 0, 1), 3, if(ISBLANK('2025'!$Q348), 0, 1), 4, if(ISBLANK('2025'!$R348), 0, 1), 5, if(ISBLANK('2025'!$S348), 0, 1), 6, if(ISBLANK('2025'!$T348), 0, 1), 7, 0))), 1, "")</f>
        <v/>
      </c>
      <c r="AA350" s="1" t="str">
        <f>IF(AND(AND(AND(AA$4&gt;='2025'!$L348,AA$4&lt;='2025'!$M348), AA$4&lt;&gt;DATE(2025,7,4)), (SWITCH(weekday(AA$4), 1, 0, 2, if(ISBLANK('2025'!$P348), 0, 1), 3, if(ISBLANK('2025'!$Q348), 0, 1), 4, if(ISBLANK('2025'!$R348), 0, 1), 5, if(ISBLANK('2025'!$S348), 0, 1), 6, if(ISBLANK('2025'!$T348), 0, 1), 7, 0))), 1, "")</f>
        <v/>
      </c>
      <c r="AB350" s="1" t="str">
        <f>IF(AND(AND(AND(AB$4&gt;='2025'!$L348,AB$4&lt;='2025'!$M348), AB$4&lt;&gt;DATE(2025,7,4)), (SWITCH(weekday(AB$4), 1, 0, 2, if(ISBLANK('2025'!$P348), 0, 1), 3, if(ISBLANK('2025'!$Q348), 0, 1), 4, if(ISBLANK('2025'!$R348), 0, 1), 5, if(ISBLANK('2025'!$S348), 0, 1), 6, if(ISBLANK('2025'!$T348), 0, 1), 7, 0))), 1, "")</f>
        <v/>
      </c>
      <c r="AC350" s="1" t="str">
        <f>IF(AND(AND(AND(AC$4&gt;='2025'!$L348,AC$4&lt;='2025'!$M348), AC$4&lt;&gt;DATE(2025,7,4)), (SWITCH(weekday(AC$4), 1, 0, 2, if(ISBLANK('2025'!$P348), 0, 1), 3, if(ISBLANK('2025'!$Q348), 0, 1), 4, if(ISBLANK('2025'!$R348), 0, 1), 5, if(ISBLANK('2025'!$S348), 0, 1), 6, if(ISBLANK('2025'!$T348), 0, 1), 7, 0))), 1, "")</f>
        <v/>
      </c>
      <c r="AD350" s="1" t="str">
        <f>IF(AND(AND(AND(AD$4&gt;='2025'!$L348,AD$4&lt;='2025'!$M348), AD$4&lt;&gt;DATE(2025,7,4)), (SWITCH(weekday(AD$4), 1, 0, 2, if(ISBLANK('2025'!$P348), 0, 1), 3, if(ISBLANK('2025'!$Q348), 0, 1), 4, if(ISBLANK('2025'!$R348), 0, 1), 5, if(ISBLANK('2025'!$S348), 0, 1), 6, if(ISBLANK('2025'!$T348), 0, 1), 7, 0))), 1, "")</f>
        <v/>
      </c>
      <c r="AE350" s="1" t="str">
        <f>IF(AND(AND(AND(AE$4&gt;='2025'!$L348,AE$4&lt;='2025'!$M348), AE$4&lt;&gt;DATE(2025,7,4)), (SWITCH(weekday(AE$4), 1, 0, 2, if(ISBLANK('2025'!$P348), 0, 1), 3, if(ISBLANK('2025'!$Q348), 0, 1), 4, if(ISBLANK('2025'!$R348), 0, 1), 5, if(ISBLANK('2025'!$S348), 0, 1), 6, if(ISBLANK('2025'!$T348), 0, 1), 7, 0))), 1, "")</f>
        <v/>
      </c>
      <c r="AF350" s="1" t="str">
        <f>IF(AND(AND(AND(AF$4&gt;='2025'!$L348,AF$4&lt;='2025'!$M348), AF$4&lt;&gt;DATE(2025,7,4)), (SWITCH(weekday(AF$4), 1, 0, 2, if(ISBLANK('2025'!$P348), 0, 1), 3, if(ISBLANK('2025'!$Q348), 0, 1), 4, if(ISBLANK('2025'!$R348), 0, 1), 5, if(ISBLANK('2025'!$S348), 0, 1), 6, if(ISBLANK('2025'!$T348), 0, 1), 7, 0))), 1, "")</f>
        <v/>
      </c>
      <c r="AG350" s="1" t="str">
        <f>IF(AND(AND(AND(AG$4&gt;='2025'!$L348,AG$4&lt;='2025'!$M348), AG$4&lt;&gt;DATE(2025,7,4)), (SWITCH(weekday(AG$4), 1, 0, 2, if(ISBLANK('2025'!$P348), 0, 1), 3, if(ISBLANK('2025'!$Q348), 0, 1), 4, if(ISBLANK('2025'!$R348), 0, 1), 5, if(ISBLANK('2025'!$S348), 0, 1), 6, if(ISBLANK('2025'!$T348), 0, 1), 7, 0))), 1, "")</f>
        <v/>
      </c>
      <c r="AH350" s="1" t="str">
        <f>IF(AND(AND(AND(AH$4&gt;='2025'!$L348,AH$4&lt;='2025'!$M348), AH$4&lt;&gt;DATE(2025,7,4)), (SWITCH(weekday(AH$4), 1, 0, 2, if(ISBLANK('2025'!$P348), 0, 1), 3, if(ISBLANK('2025'!$Q348), 0, 1), 4, if(ISBLANK('2025'!$R348), 0, 1), 5, if(ISBLANK('2025'!$S348), 0, 1), 6, if(ISBLANK('2025'!$T348), 0, 1), 7, 0))), 1, "")</f>
        <v/>
      </c>
      <c r="AI350" s="1" t="str">
        <f>IF(AND(AND(AND(AI$4&gt;='2025'!$L348,AI$4&lt;='2025'!$M348), AI$4&lt;&gt;DATE(2025,7,4)), (SWITCH(weekday(AI$4), 1, 0, 2, if(ISBLANK('2025'!$P348), 0, 1), 3, if(ISBLANK('2025'!$Q348), 0, 1), 4, if(ISBLANK('2025'!$R348), 0, 1), 5, if(ISBLANK('2025'!$S348), 0, 1), 6, if(ISBLANK('2025'!$T348), 0, 1), 7, 0))), 1, "")</f>
        <v/>
      </c>
      <c r="AJ350" s="1" t="str">
        <f>IF(AND(AND(AND(AJ$4&gt;='2025'!$L348,AJ$4&lt;='2025'!$M348), AJ$4&lt;&gt;DATE(2025,7,4)), (SWITCH(weekday(AJ$4), 1, 0, 2, if(ISBLANK('2025'!$P348), 0, 1), 3, if(ISBLANK('2025'!$Q348), 0, 1), 4, if(ISBLANK('2025'!$R348), 0, 1), 5, if(ISBLANK('2025'!$S348), 0, 1), 6, if(ISBLANK('2025'!$T348), 0, 1), 7, 0))), 1, "")</f>
        <v/>
      </c>
      <c r="AK350" s="1" t="str">
        <f>IF(AND(AND(AND(AK$4&gt;='2025'!$L348,AK$4&lt;='2025'!$M348), AK$4&lt;&gt;DATE(2025,7,4)), (SWITCH(weekday(AK$4), 1, 0, 2, if(ISBLANK('2025'!$P348), 0, 1), 3, if(ISBLANK('2025'!$Q348), 0, 1), 4, if(ISBLANK('2025'!$R348), 0, 1), 5, if(ISBLANK('2025'!$S348), 0, 1), 6, if(ISBLANK('2025'!$T348), 0, 1), 7, 0))), 1, "")</f>
        <v/>
      </c>
      <c r="AL350" s="1" t="str">
        <f>IF(AND(AND(AND(AL$4&gt;='2025'!$L348,AL$4&lt;='2025'!$M348), AL$4&lt;&gt;DATE(2025,7,4)), (SWITCH(weekday(AL$4), 1, 0, 2, if(ISBLANK('2025'!$P348), 0, 1), 3, if(ISBLANK('2025'!$Q348), 0, 1), 4, if(ISBLANK('2025'!$R348), 0, 1), 5, if(ISBLANK('2025'!$S348), 0, 1), 6, if(ISBLANK('2025'!$T348), 0, 1), 7, 0))), 1, "")</f>
        <v/>
      </c>
      <c r="AM350" s="1" t="str">
        <f>IF(AND(AND(AND(AM$4&gt;='2025'!$L348,AM$4&lt;='2025'!$M348), AM$4&lt;&gt;DATE(2025,7,4)), (SWITCH(weekday(AM$4), 1, 0, 2, if(ISBLANK('2025'!$P348), 0, 1), 3, if(ISBLANK('2025'!$Q348), 0, 1), 4, if(ISBLANK('2025'!$R348), 0, 1), 5, if(ISBLANK('2025'!$S348), 0, 1), 6, if(ISBLANK('2025'!$T348), 0, 1), 7, 0))), 1, "")</f>
        <v/>
      </c>
      <c r="AN350" s="1" t="str">
        <f>IF(AND(AND(AND(AN$4&gt;='2025'!$L348,AN$4&lt;='2025'!$M348), AN$4&lt;&gt;DATE(2025,7,4)), (SWITCH(weekday(AN$4), 1, 0, 2, if(ISBLANK('2025'!$P348), 0, 1), 3, if(ISBLANK('2025'!$Q348), 0, 1), 4, if(ISBLANK('2025'!$R348), 0, 1), 5, if(ISBLANK('2025'!$S348), 0, 1), 6, if(ISBLANK('2025'!$T348), 0, 1), 7, 0))), 1, "")</f>
        <v/>
      </c>
      <c r="AO350" s="1" t="str">
        <f>IF(AND(AND(AND(AO$4&gt;='2025'!$L348,AO$4&lt;='2025'!$M348), AO$4&lt;&gt;DATE(2025,7,4)), (SWITCH(weekday(AO$4), 1, 0, 2, if(ISBLANK('2025'!$P348), 0, 1), 3, if(ISBLANK('2025'!$Q348), 0, 1), 4, if(ISBLANK('2025'!$R348), 0, 1), 5, if(ISBLANK('2025'!$S348), 0, 1), 6, if(ISBLANK('2025'!$T348), 0, 1), 7, 0))), 1, "")</f>
        <v/>
      </c>
      <c r="AP350" s="1" t="str">
        <f>IF(AND(AND(AND(AP$4&gt;='2025'!$L348,AP$4&lt;='2025'!$M348), AP$4&lt;&gt;DATE(2025,7,4)), (SWITCH(weekday(AP$4), 1, 0, 2, if(ISBLANK('2025'!$P348), 0, 1), 3, if(ISBLANK('2025'!$Q348), 0, 1), 4, if(ISBLANK('2025'!$R348), 0, 1), 5, if(ISBLANK('2025'!$S348), 0, 1), 6, if(ISBLANK('2025'!$T348), 0, 1), 7, 0))), 1, "")</f>
        <v/>
      </c>
      <c r="AQ350" s="1" t="str">
        <f>IF(AND(AND(AND(AQ$4&gt;='2025'!$L348,AQ$4&lt;='2025'!$M348), AQ$4&lt;&gt;DATE(2025,7,4)), (SWITCH(weekday(AQ$4), 1, 0, 2, if(ISBLANK('2025'!$P348), 0, 1), 3, if(ISBLANK('2025'!$Q348), 0, 1), 4, if(ISBLANK('2025'!$R348), 0, 1), 5, if(ISBLANK('2025'!$S348), 0, 1), 6, if(ISBLANK('2025'!$T348), 0, 1), 7, 0))), 1, "")</f>
        <v/>
      </c>
      <c r="AR350" s="1" t="str">
        <f>IF(AND(AND(AND(AR$4&gt;='2025'!$L348,AR$4&lt;='2025'!$M348), AR$4&lt;&gt;DATE(2025,7,4)), (SWITCH(weekday(AR$4), 1, 0, 2, if(ISBLANK('2025'!$P348), 0, 1), 3, if(ISBLANK('2025'!$Q348), 0, 1), 4, if(ISBLANK('2025'!$R348), 0, 1), 5, if(ISBLANK('2025'!$S348), 0, 1), 6, if(ISBLANK('2025'!$T348), 0, 1), 7, 0))), 1, "")</f>
        <v/>
      </c>
      <c r="AS350" s="1" t="str">
        <f>IF(AND(AND(AND(AS$4&gt;='2025'!$L348,AS$4&lt;='2025'!$M348), AS$4&lt;&gt;DATE(2025,7,4)), (SWITCH(weekday(AS$4), 1, 0, 2, if(ISBLANK('2025'!$P348), 0, 1), 3, if(ISBLANK('2025'!$Q348), 0, 1), 4, if(ISBLANK('2025'!$R348), 0, 1), 5, if(ISBLANK('2025'!$S348), 0, 1), 6, if(ISBLANK('2025'!$T348), 0, 1), 7, 0))), 1, "")</f>
        <v/>
      </c>
      <c r="AT350" s="1" t="str">
        <f>IF(AND(AND(AND(AT$4&gt;='2025'!$L348,AT$4&lt;='2025'!$M348), AT$4&lt;&gt;DATE(2025,7,4)), (SWITCH(weekday(AT$4), 1, 0, 2, if(ISBLANK('2025'!$P348), 0, 1), 3, if(ISBLANK('2025'!$Q348), 0, 1), 4, if(ISBLANK('2025'!$R348), 0, 1), 5, if(ISBLANK('2025'!$S348), 0, 1), 6, if(ISBLANK('2025'!$T348), 0, 1), 7, 0))), 1, "")</f>
        <v/>
      </c>
      <c r="AU350" s="1" t="str">
        <f>IF(AND(AND(AND(AU$4&gt;='2025'!$L348,AU$4&lt;='2025'!$M348), AU$4&lt;&gt;DATE(2025,7,4)), (SWITCH(weekday(AU$4), 1, 0, 2, if(ISBLANK('2025'!$P348), 0, 1), 3, if(ISBLANK('2025'!$Q348), 0, 1), 4, if(ISBLANK('2025'!$R348), 0, 1), 5, if(ISBLANK('2025'!$S348), 0, 1), 6, if(ISBLANK('2025'!$T348), 0, 1), 7, 0))), 1, "")</f>
        <v/>
      </c>
      <c r="AV350" s="1" t="str">
        <f>IF(AND(AND(AND(AV$4&gt;='2025'!$L348,AV$4&lt;='2025'!$M348), AV$4&lt;&gt;DATE(2025,7,4)), (SWITCH(weekday(AV$4), 1, 0, 2, if(ISBLANK('2025'!$P348), 0, 1), 3, if(ISBLANK('2025'!$Q348), 0, 1), 4, if(ISBLANK('2025'!$R348), 0, 1), 5, if(ISBLANK('2025'!$S348), 0, 1), 6, if(ISBLANK('2025'!$T348), 0, 1), 7, 0))), 1, "")</f>
        <v/>
      </c>
      <c r="AW350" s="1" t="str">
        <f>IF(AND(AND(AND(AW$4&gt;='2025'!$L348,AW$4&lt;='2025'!$M348), AW$4&lt;&gt;DATE(2025,7,4)), (SWITCH(weekday(AW$4), 1, 0, 2, if(ISBLANK('2025'!$P348), 0, 1), 3, if(ISBLANK('2025'!$Q348), 0, 1), 4, if(ISBLANK('2025'!$R348), 0, 1), 5, if(ISBLANK('2025'!$S348), 0, 1), 6, if(ISBLANK('2025'!$T348), 0, 1), 7, 0))), 1, "")</f>
        <v/>
      </c>
      <c r="AX350" s="1" t="str">
        <f>IF(AND(AND(AND(AX$4&gt;='2025'!$L348,AX$4&lt;='2025'!$M348), AX$4&lt;&gt;DATE(2025,7,4)), (SWITCH(weekday(AX$4), 1, 0, 2, if(ISBLANK('2025'!$P348), 0, 1), 3, if(ISBLANK('2025'!$Q348), 0, 1), 4, if(ISBLANK('2025'!$R348), 0, 1), 5, if(ISBLANK('2025'!$S348), 0, 1), 6, if(ISBLANK('2025'!$T348), 0, 1), 7, 0))), 1, "")</f>
        <v/>
      </c>
      <c r="AY350" s="1" t="str">
        <f>IF(AND(AND(AND(AY$4&gt;='2025'!$L348,AY$4&lt;='2025'!$M348), AY$4&lt;&gt;DATE(2025,7,4)), (SWITCH(weekday(AY$4), 1, 0, 2, if(ISBLANK('2025'!$P348), 0, 1), 3, if(ISBLANK('2025'!$Q348), 0, 1), 4, if(ISBLANK('2025'!$R348), 0, 1), 5, if(ISBLANK('2025'!$S348), 0, 1), 6, if(ISBLANK('2025'!$T348), 0, 1), 7, 0))), 1, "")</f>
        <v/>
      </c>
      <c r="AZ350" s="1" t="str">
        <f>IF(AND(AND(AND(AZ$4&gt;='2025'!$L348,AZ$4&lt;='2025'!$M348), AZ$4&lt;&gt;DATE(2025,7,4)), (SWITCH(weekday(AZ$4), 1, 0, 2, if(ISBLANK('2025'!$P348), 0, 1), 3, if(ISBLANK('2025'!$Q348), 0, 1), 4, if(ISBLANK('2025'!$R348), 0, 1), 5, if(ISBLANK('2025'!$S348), 0, 1), 6, if(ISBLANK('2025'!$T348), 0, 1), 7, 0))), 1, "")</f>
        <v/>
      </c>
      <c r="BA350" s="1" t="str">
        <f>IF(AND(AND(AND(BA$4&gt;='2025'!$L348,BA$4&lt;='2025'!$M348), BA$4&lt;&gt;DATE(2025,7,4)), (SWITCH(weekday(BA$4), 1, 0, 2, if(ISBLANK('2025'!$P348), 0, 1), 3, if(ISBLANK('2025'!$Q348), 0, 1), 4, if(ISBLANK('2025'!$R348), 0, 1), 5, if(ISBLANK('2025'!$S348), 0, 1), 6, if(ISBLANK('2025'!$T348), 0, 1), 7, 0))), 1, "")</f>
        <v/>
      </c>
      <c r="BB350" s="1" t="str">
        <f>IF(AND(AND(AND(BB$4&gt;='2025'!$L348,BB$4&lt;='2025'!$M348), BB$4&lt;&gt;DATE(2025,7,4)), (SWITCH(weekday(BB$4), 1, 0, 2, if(ISBLANK('2025'!$P348), 0, 1), 3, if(ISBLANK('2025'!$Q348), 0, 1), 4, if(ISBLANK('2025'!$R348), 0, 1), 5, if(ISBLANK('2025'!$S348), 0, 1), 6, if(ISBLANK('2025'!$T348), 0, 1), 7, 0))), 1, "")</f>
        <v/>
      </c>
      <c r="BC350" s="1" t="str">
        <f>IF(AND(AND(AND(BC$4&gt;='2025'!$L348,BC$4&lt;='2025'!$M348), BC$4&lt;&gt;DATE(2025,7,4)), (SWITCH(weekday(BC$4), 1, 0, 2, if(ISBLANK('2025'!$P348), 0, 1), 3, if(ISBLANK('2025'!$Q348), 0, 1), 4, if(ISBLANK('2025'!$R348), 0, 1), 5, if(ISBLANK('2025'!$S348), 0, 1), 6, if(ISBLANK('2025'!$T348), 0, 1), 7, 0))), 1, "")</f>
        <v/>
      </c>
      <c r="BD350" s="1" t="str">
        <f>IF(AND(AND(AND(BD$4&gt;='2025'!$L348,BD$4&lt;='2025'!$M348), BD$4&lt;&gt;DATE(2025,7,4)), (SWITCH(weekday(BD$4), 1, 0, 2, if(ISBLANK('2025'!$P348), 0, 1), 3, if(ISBLANK('2025'!$Q348), 0, 1), 4, if(ISBLANK('2025'!$R348), 0, 1), 5, if(ISBLANK('2025'!$S348), 0, 1), 6, if(ISBLANK('2025'!$T348), 0, 1), 7, 0))), 1, "")</f>
        <v/>
      </c>
      <c r="BE350" s="1" t="str">
        <f>IF(AND(AND(AND(BE$4&gt;='2025'!$L348,BE$4&lt;='2025'!$M348), BE$4&lt;&gt;DATE(2025,7,4)), (SWITCH(weekday(BE$4), 1, 0, 2, if(ISBLANK('2025'!$P348), 0, 1), 3, if(ISBLANK('2025'!$Q348), 0, 1), 4, if(ISBLANK('2025'!$R348), 0, 1), 5, if(ISBLANK('2025'!$S348), 0, 1), 6, if(ISBLANK('2025'!$T348), 0, 1), 7, 0))), 1, "")</f>
        <v/>
      </c>
      <c r="BF350" s="1" t="str">
        <f>IF(AND(AND(AND(BF$4&gt;='2025'!$L348,BF$4&lt;='2025'!$M348), BF$4&lt;&gt;DATE(2025,7,4)), (SWITCH(weekday(BF$4), 1, 0, 2, if(ISBLANK('2025'!$P348), 0, 1), 3, if(ISBLANK('2025'!$Q348), 0, 1), 4, if(ISBLANK('2025'!$R348), 0, 1), 5, if(ISBLANK('2025'!$S348), 0, 1), 6, if(ISBLANK('2025'!$T348), 0, 1), 7, 0))), 1, "")</f>
        <v/>
      </c>
      <c r="BG350" s="1"/>
      <c r="BH350" s="1"/>
      <c r="BI350" s="1"/>
      <c r="BJ350" s="1"/>
      <c r="BK350" s="1"/>
      <c r="BL350" s="1"/>
    </row>
    <row r="351">
      <c r="A351" s="1">
        <f t="shared" si="3"/>
        <v>351</v>
      </c>
      <c r="B351" s="1" t="str">
        <f>'2025'!D315</f>
        <v>, </v>
      </c>
      <c r="C351" s="1" t="str">
        <f>'2025'!H315</f>
        <v/>
      </c>
      <c r="D351" s="1" t="str">
        <f>IF(AND(AND(AND(D$4&gt;='2025'!$L349,D$4&lt;='2025'!$M349), D$4&lt;&gt;DATE(2025,7,4)), (SWITCH(weekday(D$4), 1, 0, 2, if(ISBLANK('2025'!$P349), 0, 1), 3, if(ISBLANK('2025'!$Q349), 0, 1), 4, if(ISBLANK('2025'!$R349), 0, 1), 5, if(ISBLANK('2025'!$S349), 0, 1), 6, if(ISBLANK('2025'!$T349), 0, 1), 7, 0))), 1, "")</f>
        <v/>
      </c>
      <c r="E351" s="1" t="str">
        <f>IF(AND(AND(AND(E$4&gt;='2025'!$L349,E$4&lt;='2025'!$M349), E$4&lt;&gt;DATE(2025,7,4)), (SWITCH(weekday(E$4), 1, 0, 2, if(ISBLANK('2025'!$P349), 0, 1), 3, if(ISBLANK('2025'!$Q349), 0, 1), 4, if(ISBLANK('2025'!$R349), 0, 1), 5, if(ISBLANK('2025'!$S349), 0, 1), 6, if(ISBLANK('2025'!$T349), 0, 1), 7, 0))), 1, "")</f>
        <v/>
      </c>
      <c r="F351" s="1" t="str">
        <f>IF(AND(AND(AND(F$4&gt;='2025'!$L349,F$4&lt;='2025'!$M349), F$4&lt;&gt;DATE(2025,7,4)), (SWITCH(weekday(F$4), 1, 0, 2, if(ISBLANK('2025'!$P349), 0, 1), 3, if(ISBLANK('2025'!$Q349), 0, 1), 4, if(ISBLANK('2025'!$R349), 0, 1), 5, if(ISBLANK('2025'!$S349), 0, 1), 6, if(ISBLANK('2025'!$T349), 0, 1), 7, 0))), 1, "")</f>
        <v/>
      </c>
      <c r="G351" s="1" t="str">
        <f>IF(AND(AND(AND(G$4&gt;='2025'!$L349,G$4&lt;='2025'!$M349), G$4&lt;&gt;DATE(2025,7,4)), (SWITCH(weekday(G$4), 1, 0, 2, if(ISBLANK('2025'!$P349), 0, 1), 3, if(ISBLANK('2025'!$Q349), 0, 1), 4, if(ISBLANK('2025'!$R349), 0, 1), 5, if(ISBLANK('2025'!$S349), 0, 1), 6, if(ISBLANK('2025'!$T349), 0, 1), 7, 0))), 1, "")</f>
        <v/>
      </c>
      <c r="H351" s="1" t="str">
        <f>IF(AND(AND(AND(H$4&gt;='2025'!$L349,H$4&lt;='2025'!$M349), H$4&lt;&gt;DATE(2025,7,4)), (SWITCH(weekday(H$4), 1, 0, 2, if(ISBLANK('2025'!$P349), 0, 1), 3, if(ISBLANK('2025'!$Q349), 0, 1), 4, if(ISBLANK('2025'!$R349), 0, 1), 5, if(ISBLANK('2025'!$S349), 0, 1), 6, if(ISBLANK('2025'!$T349), 0, 1), 7, 0))), 1, "")</f>
        <v/>
      </c>
      <c r="I351" s="1" t="str">
        <f>IF(AND(AND(AND(I$4&gt;='2025'!$L349,I$4&lt;='2025'!$M349), I$4&lt;&gt;DATE(2025,7,4)), (SWITCH(weekday(I$4), 1, 0, 2, if(ISBLANK('2025'!$P349), 0, 1), 3, if(ISBLANK('2025'!$Q349), 0, 1), 4, if(ISBLANK('2025'!$R349), 0, 1), 5, if(ISBLANK('2025'!$S349), 0, 1), 6, if(ISBLANK('2025'!$T349), 0, 1), 7, 0))), 1, "")</f>
        <v/>
      </c>
      <c r="J351" s="1" t="str">
        <f>IF(AND(AND(AND(J$4&gt;='2025'!$L349,J$4&lt;='2025'!$M349), J$4&lt;&gt;DATE(2025,7,4)), (SWITCH(weekday(J$4), 1, 0, 2, if(ISBLANK('2025'!$P349), 0, 1), 3, if(ISBLANK('2025'!$Q349), 0, 1), 4, if(ISBLANK('2025'!$R349), 0, 1), 5, if(ISBLANK('2025'!$S349), 0, 1), 6, if(ISBLANK('2025'!$T349), 0, 1), 7, 0))), 1, "")</f>
        <v/>
      </c>
      <c r="K351" s="1" t="str">
        <f>IF(AND(AND(AND(K$4&gt;='2025'!$L349,K$4&lt;='2025'!$M349), K$4&lt;&gt;DATE(2025,7,4)), (SWITCH(weekday(K$4), 1, 0, 2, if(ISBLANK('2025'!$P349), 0, 1), 3, if(ISBLANK('2025'!$Q349), 0, 1), 4, if(ISBLANK('2025'!$R349), 0, 1), 5, if(ISBLANK('2025'!$S349), 0, 1), 6, if(ISBLANK('2025'!$T349), 0, 1), 7, 0))), 1, "")</f>
        <v/>
      </c>
      <c r="L351" s="1" t="str">
        <f>IF(AND(AND(AND(L$4&gt;='2025'!$L349,L$4&lt;='2025'!$M349), L$4&lt;&gt;DATE(2025,7,4)), (SWITCH(weekday(L$4), 1, 0, 2, if(ISBLANK('2025'!$P349), 0, 1), 3, if(ISBLANK('2025'!$Q349), 0, 1), 4, if(ISBLANK('2025'!$R349), 0, 1), 5, if(ISBLANK('2025'!$S349), 0, 1), 6, if(ISBLANK('2025'!$T349), 0, 1), 7, 0))), 1, "")</f>
        <v/>
      </c>
      <c r="M351" s="1" t="str">
        <f>IF(AND(AND(AND(M$4&gt;='2025'!$L349,M$4&lt;='2025'!$M349), M$4&lt;&gt;DATE(2025,7,4)), (SWITCH(weekday(M$4), 1, 0, 2, if(ISBLANK('2025'!$P349), 0, 1), 3, if(ISBLANK('2025'!$Q349), 0, 1), 4, if(ISBLANK('2025'!$R349), 0, 1), 5, if(ISBLANK('2025'!$S349), 0, 1), 6, if(ISBLANK('2025'!$T349), 0, 1), 7, 0))), 1, "")</f>
        <v/>
      </c>
      <c r="N351" s="1" t="str">
        <f>IF(AND(AND(AND(N$4&gt;='2025'!$L349,N$4&lt;='2025'!$M349), N$4&lt;&gt;DATE(2025,7,4)), (SWITCH(weekday(N$4), 1, 0, 2, if(ISBLANK('2025'!$P349), 0, 1), 3, if(ISBLANK('2025'!$Q349), 0, 1), 4, if(ISBLANK('2025'!$R349), 0, 1), 5, if(ISBLANK('2025'!$S349), 0, 1), 6, if(ISBLANK('2025'!$T349), 0, 1), 7, 0))), 1, "")</f>
        <v/>
      </c>
      <c r="O351" s="1" t="str">
        <f>IF(AND(AND(AND(O$4&gt;='2025'!$L349,O$4&lt;='2025'!$M349), O$4&lt;&gt;DATE(2025,7,4)), (SWITCH(weekday(O$4), 1, 0, 2, if(ISBLANK('2025'!$P349), 0, 1), 3, if(ISBLANK('2025'!$Q349), 0, 1), 4, if(ISBLANK('2025'!$R349), 0, 1), 5, if(ISBLANK('2025'!$S349), 0, 1), 6, if(ISBLANK('2025'!$T349), 0, 1), 7, 0))), 1, "")</f>
        <v/>
      </c>
      <c r="P351" s="1" t="str">
        <f>IF(AND(AND(AND(P$4&gt;='2025'!$L349,P$4&lt;='2025'!$M349), P$4&lt;&gt;DATE(2025,7,4)), (SWITCH(weekday(P$4), 1, 0, 2, if(ISBLANK('2025'!$P349), 0, 1), 3, if(ISBLANK('2025'!$Q349), 0, 1), 4, if(ISBLANK('2025'!$R349), 0, 1), 5, if(ISBLANK('2025'!$S349), 0, 1), 6, if(ISBLANK('2025'!$T349), 0, 1), 7, 0))), 1, "")</f>
        <v/>
      </c>
      <c r="Q351" s="1" t="str">
        <f>IF(AND(AND(AND(Q$4&gt;='2025'!$L349,Q$4&lt;='2025'!$M349), Q$4&lt;&gt;DATE(2025,7,4)), (SWITCH(weekday(Q$4), 1, 0, 2, if(ISBLANK('2025'!$P349), 0, 1), 3, if(ISBLANK('2025'!$Q349), 0, 1), 4, if(ISBLANK('2025'!$R349), 0, 1), 5, if(ISBLANK('2025'!$S349), 0, 1), 6, if(ISBLANK('2025'!$T349), 0, 1), 7, 0))), 1, "")</f>
        <v/>
      </c>
      <c r="R351" s="1" t="str">
        <f>IF(AND(AND(AND(R$4&gt;='2025'!$L349,R$4&lt;='2025'!$M349), R$4&lt;&gt;DATE(2025,7,4)), (SWITCH(weekday(R$4), 1, 0, 2, if(ISBLANK('2025'!$P349), 0, 1), 3, if(ISBLANK('2025'!$Q349), 0, 1), 4, if(ISBLANK('2025'!$R349), 0, 1), 5, if(ISBLANK('2025'!$S349), 0, 1), 6, if(ISBLANK('2025'!$T349), 0, 1), 7, 0))), 1, "")</f>
        <v/>
      </c>
      <c r="S351" s="1" t="str">
        <f>IF(AND(AND(AND(S$4&gt;='2025'!$L349,S$4&lt;='2025'!$M349), S$4&lt;&gt;DATE(2025,7,4)), (SWITCH(weekday(S$4), 1, 0, 2, if(ISBLANK('2025'!$P349), 0, 1), 3, if(ISBLANK('2025'!$Q349), 0, 1), 4, if(ISBLANK('2025'!$R349), 0, 1), 5, if(ISBLANK('2025'!$S349), 0, 1), 6, if(ISBLANK('2025'!$T349), 0, 1), 7, 0))), 1, "")</f>
        <v/>
      </c>
      <c r="T351" s="1" t="str">
        <f>IF(AND(AND(AND(T$4&gt;='2025'!$L349,T$4&lt;='2025'!$M349), T$4&lt;&gt;DATE(2025,7,4)), (SWITCH(weekday(T$4), 1, 0, 2, if(ISBLANK('2025'!$P349), 0, 1), 3, if(ISBLANK('2025'!$Q349), 0, 1), 4, if(ISBLANK('2025'!$R349), 0, 1), 5, if(ISBLANK('2025'!$S349), 0, 1), 6, if(ISBLANK('2025'!$T349), 0, 1), 7, 0))), 1, "")</f>
        <v/>
      </c>
      <c r="U351" s="1" t="str">
        <f>IF(AND(AND(AND(U$4&gt;='2025'!$L349,U$4&lt;='2025'!$M349), U$4&lt;&gt;DATE(2025,7,4)), (SWITCH(weekday(U$4), 1, 0, 2, if(ISBLANK('2025'!$P349), 0, 1), 3, if(ISBLANK('2025'!$Q349), 0, 1), 4, if(ISBLANK('2025'!$R349), 0, 1), 5, if(ISBLANK('2025'!$S349), 0, 1), 6, if(ISBLANK('2025'!$T349), 0, 1), 7, 0))), 1, "")</f>
        <v/>
      </c>
      <c r="V351" s="1" t="str">
        <f>IF(AND(AND(AND(V$4&gt;='2025'!$L349,V$4&lt;='2025'!$M349), V$4&lt;&gt;DATE(2025,7,4)), (SWITCH(weekday(V$4), 1, 0, 2, if(ISBLANK('2025'!$P349), 0, 1), 3, if(ISBLANK('2025'!$Q349), 0, 1), 4, if(ISBLANK('2025'!$R349), 0, 1), 5, if(ISBLANK('2025'!$S349), 0, 1), 6, if(ISBLANK('2025'!$T349), 0, 1), 7, 0))), 1, "")</f>
        <v/>
      </c>
      <c r="W351" s="1" t="str">
        <f>IF(AND(AND(AND(W$4&gt;='2025'!$L349,W$4&lt;='2025'!$M349), W$4&lt;&gt;DATE(2025,7,4)), (SWITCH(weekday(W$4), 1, 0, 2, if(ISBLANK('2025'!$P349), 0, 1), 3, if(ISBLANK('2025'!$Q349), 0, 1), 4, if(ISBLANK('2025'!$R349), 0, 1), 5, if(ISBLANK('2025'!$S349), 0, 1), 6, if(ISBLANK('2025'!$T349), 0, 1), 7, 0))), 1, "")</f>
        <v/>
      </c>
      <c r="X351" s="1" t="str">
        <f>IF(AND(AND(AND(X$4&gt;='2025'!$L349,X$4&lt;='2025'!$M349), X$4&lt;&gt;DATE(2025,7,4)), (SWITCH(weekday(X$4), 1, 0, 2, if(ISBLANK('2025'!$P349), 0, 1), 3, if(ISBLANK('2025'!$Q349), 0, 1), 4, if(ISBLANK('2025'!$R349), 0, 1), 5, if(ISBLANK('2025'!$S349), 0, 1), 6, if(ISBLANK('2025'!$T349), 0, 1), 7, 0))), 1, "")</f>
        <v/>
      </c>
      <c r="Y351" s="1" t="str">
        <f>IF(AND(AND(AND(Y$4&gt;='2025'!$L349,Y$4&lt;='2025'!$M349), Y$4&lt;&gt;DATE(2025,7,4)), (SWITCH(weekday(Y$4), 1, 0, 2, if(ISBLANK('2025'!$P349), 0, 1), 3, if(ISBLANK('2025'!$Q349), 0, 1), 4, if(ISBLANK('2025'!$R349), 0, 1), 5, if(ISBLANK('2025'!$S349), 0, 1), 6, if(ISBLANK('2025'!$T349), 0, 1), 7, 0))), 1, "")</f>
        <v/>
      </c>
      <c r="Z351" s="1" t="str">
        <f>IF(AND(AND(AND(Z$4&gt;='2025'!$L349,Z$4&lt;='2025'!$M349), Z$4&lt;&gt;DATE(2025,7,4)), (SWITCH(weekday(Z$4), 1, 0, 2, if(ISBLANK('2025'!$P349), 0, 1), 3, if(ISBLANK('2025'!$Q349), 0, 1), 4, if(ISBLANK('2025'!$R349), 0, 1), 5, if(ISBLANK('2025'!$S349), 0, 1), 6, if(ISBLANK('2025'!$T349), 0, 1), 7, 0))), 1, "")</f>
        <v/>
      </c>
      <c r="AA351" s="1" t="str">
        <f>IF(AND(AND(AND(AA$4&gt;='2025'!$L349,AA$4&lt;='2025'!$M349), AA$4&lt;&gt;DATE(2025,7,4)), (SWITCH(weekday(AA$4), 1, 0, 2, if(ISBLANK('2025'!$P349), 0, 1), 3, if(ISBLANK('2025'!$Q349), 0, 1), 4, if(ISBLANK('2025'!$R349), 0, 1), 5, if(ISBLANK('2025'!$S349), 0, 1), 6, if(ISBLANK('2025'!$T349), 0, 1), 7, 0))), 1, "")</f>
        <v/>
      </c>
      <c r="AB351" s="1" t="str">
        <f>IF(AND(AND(AND(AB$4&gt;='2025'!$L349,AB$4&lt;='2025'!$M349), AB$4&lt;&gt;DATE(2025,7,4)), (SWITCH(weekday(AB$4), 1, 0, 2, if(ISBLANK('2025'!$P349), 0, 1), 3, if(ISBLANK('2025'!$Q349), 0, 1), 4, if(ISBLANK('2025'!$R349), 0, 1), 5, if(ISBLANK('2025'!$S349), 0, 1), 6, if(ISBLANK('2025'!$T349), 0, 1), 7, 0))), 1, "")</f>
        <v/>
      </c>
      <c r="AC351" s="1" t="str">
        <f>IF(AND(AND(AND(AC$4&gt;='2025'!$L349,AC$4&lt;='2025'!$M349), AC$4&lt;&gt;DATE(2025,7,4)), (SWITCH(weekday(AC$4), 1, 0, 2, if(ISBLANK('2025'!$P349), 0, 1), 3, if(ISBLANK('2025'!$Q349), 0, 1), 4, if(ISBLANK('2025'!$R349), 0, 1), 5, if(ISBLANK('2025'!$S349), 0, 1), 6, if(ISBLANK('2025'!$T349), 0, 1), 7, 0))), 1, "")</f>
        <v/>
      </c>
      <c r="AD351" s="1" t="str">
        <f>IF(AND(AND(AND(AD$4&gt;='2025'!$L349,AD$4&lt;='2025'!$M349), AD$4&lt;&gt;DATE(2025,7,4)), (SWITCH(weekday(AD$4), 1, 0, 2, if(ISBLANK('2025'!$P349), 0, 1), 3, if(ISBLANK('2025'!$Q349), 0, 1), 4, if(ISBLANK('2025'!$R349), 0, 1), 5, if(ISBLANK('2025'!$S349), 0, 1), 6, if(ISBLANK('2025'!$T349), 0, 1), 7, 0))), 1, "")</f>
        <v/>
      </c>
      <c r="AE351" s="1" t="str">
        <f>IF(AND(AND(AND(AE$4&gt;='2025'!$L349,AE$4&lt;='2025'!$M349), AE$4&lt;&gt;DATE(2025,7,4)), (SWITCH(weekday(AE$4), 1, 0, 2, if(ISBLANK('2025'!$P349), 0, 1), 3, if(ISBLANK('2025'!$Q349), 0, 1), 4, if(ISBLANK('2025'!$R349), 0, 1), 5, if(ISBLANK('2025'!$S349), 0, 1), 6, if(ISBLANK('2025'!$T349), 0, 1), 7, 0))), 1, "")</f>
        <v/>
      </c>
      <c r="AF351" s="1" t="str">
        <f>IF(AND(AND(AND(AF$4&gt;='2025'!$L349,AF$4&lt;='2025'!$M349), AF$4&lt;&gt;DATE(2025,7,4)), (SWITCH(weekday(AF$4), 1, 0, 2, if(ISBLANK('2025'!$P349), 0, 1), 3, if(ISBLANK('2025'!$Q349), 0, 1), 4, if(ISBLANK('2025'!$R349), 0, 1), 5, if(ISBLANK('2025'!$S349), 0, 1), 6, if(ISBLANK('2025'!$T349), 0, 1), 7, 0))), 1, "")</f>
        <v/>
      </c>
      <c r="AG351" s="1" t="str">
        <f>IF(AND(AND(AND(AG$4&gt;='2025'!$L349,AG$4&lt;='2025'!$M349), AG$4&lt;&gt;DATE(2025,7,4)), (SWITCH(weekday(AG$4), 1, 0, 2, if(ISBLANK('2025'!$P349), 0, 1), 3, if(ISBLANK('2025'!$Q349), 0, 1), 4, if(ISBLANK('2025'!$R349), 0, 1), 5, if(ISBLANK('2025'!$S349), 0, 1), 6, if(ISBLANK('2025'!$T349), 0, 1), 7, 0))), 1, "")</f>
        <v/>
      </c>
      <c r="AH351" s="1" t="str">
        <f>IF(AND(AND(AND(AH$4&gt;='2025'!$L349,AH$4&lt;='2025'!$M349), AH$4&lt;&gt;DATE(2025,7,4)), (SWITCH(weekday(AH$4), 1, 0, 2, if(ISBLANK('2025'!$P349), 0, 1), 3, if(ISBLANK('2025'!$Q349), 0, 1), 4, if(ISBLANK('2025'!$R349), 0, 1), 5, if(ISBLANK('2025'!$S349), 0, 1), 6, if(ISBLANK('2025'!$T349), 0, 1), 7, 0))), 1, "")</f>
        <v/>
      </c>
      <c r="AI351" s="1" t="str">
        <f>IF(AND(AND(AND(AI$4&gt;='2025'!$L349,AI$4&lt;='2025'!$M349), AI$4&lt;&gt;DATE(2025,7,4)), (SWITCH(weekday(AI$4), 1, 0, 2, if(ISBLANK('2025'!$P349), 0, 1), 3, if(ISBLANK('2025'!$Q349), 0, 1), 4, if(ISBLANK('2025'!$R349), 0, 1), 5, if(ISBLANK('2025'!$S349), 0, 1), 6, if(ISBLANK('2025'!$T349), 0, 1), 7, 0))), 1, "")</f>
        <v/>
      </c>
      <c r="AJ351" s="1" t="str">
        <f>IF(AND(AND(AND(AJ$4&gt;='2025'!$L349,AJ$4&lt;='2025'!$M349), AJ$4&lt;&gt;DATE(2025,7,4)), (SWITCH(weekday(AJ$4), 1, 0, 2, if(ISBLANK('2025'!$P349), 0, 1), 3, if(ISBLANK('2025'!$Q349), 0, 1), 4, if(ISBLANK('2025'!$R349), 0, 1), 5, if(ISBLANK('2025'!$S349), 0, 1), 6, if(ISBLANK('2025'!$T349), 0, 1), 7, 0))), 1, "")</f>
        <v/>
      </c>
      <c r="AK351" s="1" t="str">
        <f>IF(AND(AND(AND(AK$4&gt;='2025'!$L349,AK$4&lt;='2025'!$M349), AK$4&lt;&gt;DATE(2025,7,4)), (SWITCH(weekday(AK$4), 1, 0, 2, if(ISBLANK('2025'!$P349), 0, 1), 3, if(ISBLANK('2025'!$Q349), 0, 1), 4, if(ISBLANK('2025'!$R349), 0, 1), 5, if(ISBLANK('2025'!$S349), 0, 1), 6, if(ISBLANK('2025'!$T349), 0, 1), 7, 0))), 1, "")</f>
        <v/>
      </c>
      <c r="AL351" s="1" t="str">
        <f>IF(AND(AND(AND(AL$4&gt;='2025'!$L349,AL$4&lt;='2025'!$M349), AL$4&lt;&gt;DATE(2025,7,4)), (SWITCH(weekday(AL$4), 1, 0, 2, if(ISBLANK('2025'!$P349), 0, 1), 3, if(ISBLANK('2025'!$Q349), 0, 1), 4, if(ISBLANK('2025'!$R349), 0, 1), 5, if(ISBLANK('2025'!$S349), 0, 1), 6, if(ISBLANK('2025'!$T349), 0, 1), 7, 0))), 1, "")</f>
        <v/>
      </c>
      <c r="AM351" s="1" t="str">
        <f>IF(AND(AND(AND(AM$4&gt;='2025'!$L349,AM$4&lt;='2025'!$M349), AM$4&lt;&gt;DATE(2025,7,4)), (SWITCH(weekday(AM$4), 1, 0, 2, if(ISBLANK('2025'!$P349), 0, 1), 3, if(ISBLANK('2025'!$Q349), 0, 1), 4, if(ISBLANK('2025'!$R349), 0, 1), 5, if(ISBLANK('2025'!$S349), 0, 1), 6, if(ISBLANK('2025'!$T349), 0, 1), 7, 0))), 1, "")</f>
        <v/>
      </c>
      <c r="AN351" s="1" t="str">
        <f>IF(AND(AND(AND(AN$4&gt;='2025'!$L349,AN$4&lt;='2025'!$M349), AN$4&lt;&gt;DATE(2025,7,4)), (SWITCH(weekday(AN$4), 1, 0, 2, if(ISBLANK('2025'!$P349), 0, 1), 3, if(ISBLANK('2025'!$Q349), 0, 1), 4, if(ISBLANK('2025'!$R349), 0, 1), 5, if(ISBLANK('2025'!$S349), 0, 1), 6, if(ISBLANK('2025'!$T349), 0, 1), 7, 0))), 1, "")</f>
        <v/>
      </c>
      <c r="AO351" s="1" t="str">
        <f>IF(AND(AND(AND(AO$4&gt;='2025'!$L349,AO$4&lt;='2025'!$M349), AO$4&lt;&gt;DATE(2025,7,4)), (SWITCH(weekday(AO$4), 1, 0, 2, if(ISBLANK('2025'!$P349), 0, 1), 3, if(ISBLANK('2025'!$Q349), 0, 1), 4, if(ISBLANK('2025'!$R349), 0, 1), 5, if(ISBLANK('2025'!$S349), 0, 1), 6, if(ISBLANK('2025'!$T349), 0, 1), 7, 0))), 1, "")</f>
        <v/>
      </c>
      <c r="AP351" s="1" t="str">
        <f>IF(AND(AND(AND(AP$4&gt;='2025'!$L349,AP$4&lt;='2025'!$M349), AP$4&lt;&gt;DATE(2025,7,4)), (SWITCH(weekday(AP$4), 1, 0, 2, if(ISBLANK('2025'!$P349), 0, 1), 3, if(ISBLANK('2025'!$Q349), 0, 1), 4, if(ISBLANK('2025'!$R349), 0, 1), 5, if(ISBLANK('2025'!$S349), 0, 1), 6, if(ISBLANK('2025'!$T349), 0, 1), 7, 0))), 1, "")</f>
        <v/>
      </c>
      <c r="AQ351" s="1" t="str">
        <f>IF(AND(AND(AND(AQ$4&gt;='2025'!$L349,AQ$4&lt;='2025'!$M349), AQ$4&lt;&gt;DATE(2025,7,4)), (SWITCH(weekday(AQ$4), 1, 0, 2, if(ISBLANK('2025'!$P349), 0, 1), 3, if(ISBLANK('2025'!$Q349), 0, 1), 4, if(ISBLANK('2025'!$R349), 0, 1), 5, if(ISBLANK('2025'!$S349), 0, 1), 6, if(ISBLANK('2025'!$T349), 0, 1), 7, 0))), 1, "")</f>
        <v/>
      </c>
      <c r="AR351" s="1" t="str">
        <f>IF(AND(AND(AND(AR$4&gt;='2025'!$L349,AR$4&lt;='2025'!$M349), AR$4&lt;&gt;DATE(2025,7,4)), (SWITCH(weekday(AR$4), 1, 0, 2, if(ISBLANK('2025'!$P349), 0, 1), 3, if(ISBLANK('2025'!$Q349), 0, 1), 4, if(ISBLANK('2025'!$R349), 0, 1), 5, if(ISBLANK('2025'!$S349), 0, 1), 6, if(ISBLANK('2025'!$T349), 0, 1), 7, 0))), 1, "")</f>
        <v/>
      </c>
      <c r="AS351" s="1" t="str">
        <f>IF(AND(AND(AND(AS$4&gt;='2025'!$L349,AS$4&lt;='2025'!$M349), AS$4&lt;&gt;DATE(2025,7,4)), (SWITCH(weekday(AS$4), 1, 0, 2, if(ISBLANK('2025'!$P349), 0, 1), 3, if(ISBLANK('2025'!$Q349), 0, 1), 4, if(ISBLANK('2025'!$R349), 0, 1), 5, if(ISBLANK('2025'!$S349), 0, 1), 6, if(ISBLANK('2025'!$T349), 0, 1), 7, 0))), 1, "")</f>
        <v/>
      </c>
      <c r="AT351" s="1" t="str">
        <f>IF(AND(AND(AND(AT$4&gt;='2025'!$L349,AT$4&lt;='2025'!$M349), AT$4&lt;&gt;DATE(2025,7,4)), (SWITCH(weekday(AT$4), 1, 0, 2, if(ISBLANK('2025'!$P349), 0, 1), 3, if(ISBLANK('2025'!$Q349), 0, 1), 4, if(ISBLANK('2025'!$R349), 0, 1), 5, if(ISBLANK('2025'!$S349), 0, 1), 6, if(ISBLANK('2025'!$T349), 0, 1), 7, 0))), 1, "")</f>
        <v/>
      </c>
      <c r="AU351" s="1" t="str">
        <f>IF(AND(AND(AND(AU$4&gt;='2025'!$L349,AU$4&lt;='2025'!$M349), AU$4&lt;&gt;DATE(2025,7,4)), (SWITCH(weekday(AU$4), 1, 0, 2, if(ISBLANK('2025'!$P349), 0, 1), 3, if(ISBLANK('2025'!$Q349), 0, 1), 4, if(ISBLANK('2025'!$R349), 0, 1), 5, if(ISBLANK('2025'!$S349), 0, 1), 6, if(ISBLANK('2025'!$T349), 0, 1), 7, 0))), 1, "")</f>
        <v/>
      </c>
      <c r="AV351" s="1" t="str">
        <f>IF(AND(AND(AND(AV$4&gt;='2025'!$L349,AV$4&lt;='2025'!$M349), AV$4&lt;&gt;DATE(2025,7,4)), (SWITCH(weekday(AV$4), 1, 0, 2, if(ISBLANK('2025'!$P349), 0, 1), 3, if(ISBLANK('2025'!$Q349), 0, 1), 4, if(ISBLANK('2025'!$R349), 0, 1), 5, if(ISBLANK('2025'!$S349), 0, 1), 6, if(ISBLANK('2025'!$T349), 0, 1), 7, 0))), 1, "")</f>
        <v/>
      </c>
      <c r="AW351" s="1" t="str">
        <f>IF(AND(AND(AND(AW$4&gt;='2025'!$L349,AW$4&lt;='2025'!$M349), AW$4&lt;&gt;DATE(2025,7,4)), (SWITCH(weekday(AW$4), 1, 0, 2, if(ISBLANK('2025'!$P349), 0, 1), 3, if(ISBLANK('2025'!$Q349), 0, 1), 4, if(ISBLANK('2025'!$R349), 0, 1), 5, if(ISBLANK('2025'!$S349), 0, 1), 6, if(ISBLANK('2025'!$T349), 0, 1), 7, 0))), 1, "")</f>
        <v/>
      </c>
      <c r="AX351" s="1" t="str">
        <f>IF(AND(AND(AND(AX$4&gt;='2025'!$L349,AX$4&lt;='2025'!$M349), AX$4&lt;&gt;DATE(2025,7,4)), (SWITCH(weekday(AX$4), 1, 0, 2, if(ISBLANK('2025'!$P349), 0, 1), 3, if(ISBLANK('2025'!$Q349), 0, 1), 4, if(ISBLANK('2025'!$R349), 0, 1), 5, if(ISBLANK('2025'!$S349), 0, 1), 6, if(ISBLANK('2025'!$T349), 0, 1), 7, 0))), 1, "")</f>
        <v/>
      </c>
      <c r="AY351" s="1" t="str">
        <f>IF(AND(AND(AND(AY$4&gt;='2025'!$L349,AY$4&lt;='2025'!$M349), AY$4&lt;&gt;DATE(2025,7,4)), (SWITCH(weekday(AY$4), 1, 0, 2, if(ISBLANK('2025'!$P349), 0, 1), 3, if(ISBLANK('2025'!$Q349), 0, 1), 4, if(ISBLANK('2025'!$R349), 0, 1), 5, if(ISBLANK('2025'!$S349), 0, 1), 6, if(ISBLANK('2025'!$T349), 0, 1), 7, 0))), 1, "")</f>
        <v/>
      </c>
      <c r="AZ351" s="1" t="str">
        <f>IF(AND(AND(AND(AZ$4&gt;='2025'!$L349,AZ$4&lt;='2025'!$M349), AZ$4&lt;&gt;DATE(2025,7,4)), (SWITCH(weekday(AZ$4), 1, 0, 2, if(ISBLANK('2025'!$P349), 0, 1), 3, if(ISBLANK('2025'!$Q349), 0, 1), 4, if(ISBLANK('2025'!$R349), 0, 1), 5, if(ISBLANK('2025'!$S349), 0, 1), 6, if(ISBLANK('2025'!$T349), 0, 1), 7, 0))), 1, "")</f>
        <v/>
      </c>
      <c r="BA351" s="1" t="str">
        <f>IF(AND(AND(AND(BA$4&gt;='2025'!$L349,BA$4&lt;='2025'!$M349), BA$4&lt;&gt;DATE(2025,7,4)), (SWITCH(weekday(BA$4), 1, 0, 2, if(ISBLANK('2025'!$P349), 0, 1), 3, if(ISBLANK('2025'!$Q349), 0, 1), 4, if(ISBLANK('2025'!$R349), 0, 1), 5, if(ISBLANK('2025'!$S349), 0, 1), 6, if(ISBLANK('2025'!$T349), 0, 1), 7, 0))), 1, "")</f>
        <v/>
      </c>
      <c r="BB351" s="1" t="str">
        <f>IF(AND(AND(AND(BB$4&gt;='2025'!$L349,BB$4&lt;='2025'!$M349), BB$4&lt;&gt;DATE(2025,7,4)), (SWITCH(weekday(BB$4), 1, 0, 2, if(ISBLANK('2025'!$P349), 0, 1), 3, if(ISBLANK('2025'!$Q349), 0, 1), 4, if(ISBLANK('2025'!$R349), 0, 1), 5, if(ISBLANK('2025'!$S349), 0, 1), 6, if(ISBLANK('2025'!$T349), 0, 1), 7, 0))), 1, "")</f>
        <v/>
      </c>
      <c r="BC351" s="1" t="str">
        <f>IF(AND(AND(AND(BC$4&gt;='2025'!$L349,BC$4&lt;='2025'!$M349), BC$4&lt;&gt;DATE(2025,7,4)), (SWITCH(weekday(BC$4), 1, 0, 2, if(ISBLANK('2025'!$P349), 0, 1), 3, if(ISBLANK('2025'!$Q349), 0, 1), 4, if(ISBLANK('2025'!$R349), 0, 1), 5, if(ISBLANK('2025'!$S349), 0, 1), 6, if(ISBLANK('2025'!$T349), 0, 1), 7, 0))), 1, "")</f>
        <v/>
      </c>
      <c r="BD351" s="1" t="str">
        <f>IF(AND(AND(AND(BD$4&gt;='2025'!$L349,BD$4&lt;='2025'!$M349), BD$4&lt;&gt;DATE(2025,7,4)), (SWITCH(weekday(BD$4), 1, 0, 2, if(ISBLANK('2025'!$P349), 0, 1), 3, if(ISBLANK('2025'!$Q349), 0, 1), 4, if(ISBLANK('2025'!$R349), 0, 1), 5, if(ISBLANK('2025'!$S349), 0, 1), 6, if(ISBLANK('2025'!$T349), 0, 1), 7, 0))), 1, "")</f>
        <v/>
      </c>
      <c r="BE351" s="1" t="str">
        <f>IF(AND(AND(AND(BE$4&gt;='2025'!$L349,BE$4&lt;='2025'!$M349), BE$4&lt;&gt;DATE(2025,7,4)), (SWITCH(weekday(BE$4), 1, 0, 2, if(ISBLANK('2025'!$P349), 0, 1), 3, if(ISBLANK('2025'!$Q349), 0, 1), 4, if(ISBLANK('2025'!$R349), 0, 1), 5, if(ISBLANK('2025'!$S349), 0, 1), 6, if(ISBLANK('2025'!$T349), 0, 1), 7, 0))), 1, "")</f>
        <v/>
      </c>
      <c r="BF351" s="1" t="str">
        <f>IF(AND(AND(AND(BF$4&gt;='2025'!$L349,BF$4&lt;='2025'!$M349), BF$4&lt;&gt;DATE(2025,7,4)), (SWITCH(weekday(BF$4), 1, 0, 2, if(ISBLANK('2025'!$P349), 0, 1), 3, if(ISBLANK('2025'!$Q349), 0, 1), 4, if(ISBLANK('2025'!$R349), 0, 1), 5, if(ISBLANK('2025'!$S349), 0, 1), 6, if(ISBLANK('2025'!$T349), 0, 1), 7, 0))), 1, "")</f>
        <v/>
      </c>
      <c r="BG351" s="1"/>
      <c r="BH351" s="1"/>
      <c r="BI351" s="1"/>
      <c r="BJ351" s="1"/>
      <c r="BK351" s="1"/>
      <c r="BL351" s="1"/>
    </row>
    <row r="352">
      <c r="A352" s="1">
        <f t="shared" si="3"/>
        <v>352</v>
      </c>
      <c r="B352" s="1" t="str">
        <f>'2025'!D316</f>
        <v>, </v>
      </c>
      <c r="C352" s="1" t="str">
        <f>'2025'!H316</f>
        <v/>
      </c>
      <c r="D352" s="1" t="str">
        <f>IF(AND(AND(AND(D$4&gt;='2025'!$L350,D$4&lt;='2025'!$M350), D$4&lt;&gt;DATE(2025,7,4)), (SWITCH(weekday(D$4), 1, 0, 2, if(ISBLANK('2025'!$P350), 0, 1), 3, if(ISBLANK('2025'!$Q350), 0, 1), 4, if(ISBLANK('2025'!$R350), 0, 1), 5, if(ISBLANK('2025'!$S350), 0, 1), 6, if(ISBLANK('2025'!$T350), 0, 1), 7, 0))), 1, "")</f>
        <v/>
      </c>
      <c r="E352" s="1" t="str">
        <f>IF(AND(AND(AND(E$4&gt;='2025'!$L350,E$4&lt;='2025'!$M350), E$4&lt;&gt;DATE(2025,7,4)), (SWITCH(weekday(E$4), 1, 0, 2, if(ISBLANK('2025'!$P350), 0, 1), 3, if(ISBLANK('2025'!$Q350), 0, 1), 4, if(ISBLANK('2025'!$R350), 0, 1), 5, if(ISBLANK('2025'!$S350), 0, 1), 6, if(ISBLANK('2025'!$T350), 0, 1), 7, 0))), 1, "")</f>
        <v/>
      </c>
      <c r="F352" s="1" t="str">
        <f>IF(AND(AND(AND(F$4&gt;='2025'!$L350,F$4&lt;='2025'!$M350), F$4&lt;&gt;DATE(2025,7,4)), (SWITCH(weekday(F$4), 1, 0, 2, if(ISBLANK('2025'!$P350), 0, 1), 3, if(ISBLANK('2025'!$Q350), 0, 1), 4, if(ISBLANK('2025'!$R350), 0, 1), 5, if(ISBLANK('2025'!$S350), 0, 1), 6, if(ISBLANK('2025'!$T350), 0, 1), 7, 0))), 1, "")</f>
        <v/>
      </c>
      <c r="G352" s="1" t="str">
        <f>IF(AND(AND(AND(G$4&gt;='2025'!$L350,G$4&lt;='2025'!$M350), G$4&lt;&gt;DATE(2025,7,4)), (SWITCH(weekday(G$4), 1, 0, 2, if(ISBLANK('2025'!$P350), 0, 1), 3, if(ISBLANK('2025'!$Q350), 0, 1), 4, if(ISBLANK('2025'!$R350), 0, 1), 5, if(ISBLANK('2025'!$S350), 0, 1), 6, if(ISBLANK('2025'!$T350), 0, 1), 7, 0))), 1, "")</f>
        <v/>
      </c>
      <c r="H352" s="1" t="str">
        <f>IF(AND(AND(AND(H$4&gt;='2025'!$L350,H$4&lt;='2025'!$M350), H$4&lt;&gt;DATE(2025,7,4)), (SWITCH(weekday(H$4), 1, 0, 2, if(ISBLANK('2025'!$P350), 0, 1), 3, if(ISBLANK('2025'!$Q350), 0, 1), 4, if(ISBLANK('2025'!$R350), 0, 1), 5, if(ISBLANK('2025'!$S350), 0, 1), 6, if(ISBLANK('2025'!$T350), 0, 1), 7, 0))), 1, "")</f>
        <v/>
      </c>
      <c r="I352" s="1" t="str">
        <f>IF(AND(AND(AND(I$4&gt;='2025'!$L350,I$4&lt;='2025'!$M350), I$4&lt;&gt;DATE(2025,7,4)), (SWITCH(weekday(I$4), 1, 0, 2, if(ISBLANK('2025'!$P350), 0, 1), 3, if(ISBLANK('2025'!$Q350), 0, 1), 4, if(ISBLANK('2025'!$R350), 0, 1), 5, if(ISBLANK('2025'!$S350), 0, 1), 6, if(ISBLANK('2025'!$T350), 0, 1), 7, 0))), 1, "")</f>
        <v/>
      </c>
      <c r="J352" s="1" t="str">
        <f>IF(AND(AND(AND(J$4&gt;='2025'!$L350,J$4&lt;='2025'!$M350), J$4&lt;&gt;DATE(2025,7,4)), (SWITCH(weekday(J$4), 1, 0, 2, if(ISBLANK('2025'!$P350), 0, 1), 3, if(ISBLANK('2025'!$Q350), 0, 1), 4, if(ISBLANK('2025'!$R350), 0, 1), 5, if(ISBLANK('2025'!$S350), 0, 1), 6, if(ISBLANK('2025'!$T350), 0, 1), 7, 0))), 1, "")</f>
        <v/>
      </c>
      <c r="K352" s="1" t="str">
        <f>IF(AND(AND(AND(K$4&gt;='2025'!$L350,K$4&lt;='2025'!$M350), K$4&lt;&gt;DATE(2025,7,4)), (SWITCH(weekday(K$4), 1, 0, 2, if(ISBLANK('2025'!$P350), 0, 1), 3, if(ISBLANK('2025'!$Q350), 0, 1), 4, if(ISBLANK('2025'!$R350), 0, 1), 5, if(ISBLANK('2025'!$S350), 0, 1), 6, if(ISBLANK('2025'!$T350), 0, 1), 7, 0))), 1, "")</f>
        <v/>
      </c>
      <c r="L352" s="1" t="str">
        <f>IF(AND(AND(AND(L$4&gt;='2025'!$L350,L$4&lt;='2025'!$M350), L$4&lt;&gt;DATE(2025,7,4)), (SWITCH(weekday(L$4), 1, 0, 2, if(ISBLANK('2025'!$P350), 0, 1), 3, if(ISBLANK('2025'!$Q350), 0, 1), 4, if(ISBLANK('2025'!$R350), 0, 1), 5, if(ISBLANK('2025'!$S350), 0, 1), 6, if(ISBLANK('2025'!$T350), 0, 1), 7, 0))), 1, "")</f>
        <v/>
      </c>
      <c r="M352" s="1" t="str">
        <f>IF(AND(AND(AND(M$4&gt;='2025'!$L350,M$4&lt;='2025'!$M350), M$4&lt;&gt;DATE(2025,7,4)), (SWITCH(weekday(M$4), 1, 0, 2, if(ISBLANK('2025'!$P350), 0, 1), 3, if(ISBLANK('2025'!$Q350), 0, 1), 4, if(ISBLANK('2025'!$R350), 0, 1), 5, if(ISBLANK('2025'!$S350), 0, 1), 6, if(ISBLANK('2025'!$T350), 0, 1), 7, 0))), 1, "")</f>
        <v/>
      </c>
      <c r="N352" s="1" t="str">
        <f>IF(AND(AND(AND(N$4&gt;='2025'!$L350,N$4&lt;='2025'!$M350), N$4&lt;&gt;DATE(2025,7,4)), (SWITCH(weekday(N$4), 1, 0, 2, if(ISBLANK('2025'!$P350), 0, 1), 3, if(ISBLANK('2025'!$Q350), 0, 1), 4, if(ISBLANK('2025'!$R350), 0, 1), 5, if(ISBLANK('2025'!$S350), 0, 1), 6, if(ISBLANK('2025'!$T350), 0, 1), 7, 0))), 1, "")</f>
        <v/>
      </c>
      <c r="O352" s="1" t="str">
        <f>IF(AND(AND(AND(O$4&gt;='2025'!$L350,O$4&lt;='2025'!$M350), O$4&lt;&gt;DATE(2025,7,4)), (SWITCH(weekday(O$4), 1, 0, 2, if(ISBLANK('2025'!$P350), 0, 1), 3, if(ISBLANK('2025'!$Q350), 0, 1), 4, if(ISBLANK('2025'!$R350), 0, 1), 5, if(ISBLANK('2025'!$S350), 0, 1), 6, if(ISBLANK('2025'!$T350), 0, 1), 7, 0))), 1, "")</f>
        <v/>
      </c>
      <c r="P352" s="1" t="str">
        <f>IF(AND(AND(AND(P$4&gt;='2025'!$L350,P$4&lt;='2025'!$M350), P$4&lt;&gt;DATE(2025,7,4)), (SWITCH(weekday(P$4), 1, 0, 2, if(ISBLANK('2025'!$P350), 0, 1), 3, if(ISBLANK('2025'!$Q350), 0, 1), 4, if(ISBLANK('2025'!$R350), 0, 1), 5, if(ISBLANK('2025'!$S350), 0, 1), 6, if(ISBLANK('2025'!$T350), 0, 1), 7, 0))), 1, "")</f>
        <v/>
      </c>
      <c r="Q352" s="1" t="str">
        <f>IF(AND(AND(AND(Q$4&gt;='2025'!$L350,Q$4&lt;='2025'!$M350), Q$4&lt;&gt;DATE(2025,7,4)), (SWITCH(weekday(Q$4), 1, 0, 2, if(ISBLANK('2025'!$P350), 0, 1), 3, if(ISBLANK('2025'!$Q350), 0, 1), 4, if(ISBLANK('2025'!$R350), 0, 1), 5, if(ISBLANK('2025'!$S350), 0, 1), 6, if(ISBLANK('2025'!$T350), 0, 1), 7, 0))), 1, "")</f>
        <v/>
      </c>
      <c r="R352" s="1" t="str">
        <f>IF(AND(AND(AND(R$4&gt;='2025'!$L350,R$4&lt;='2025'!$M350), R$4&lt;&gt;DATE(2025,7,4)), (SWITCH(weekday(R$4), 1, 0, 2, if(ISBLANK('2025'!$P350), 0, 1), 3, if(ISBLANK('2025'!$Q350), 0, 1), 4, if(ISBLANK('2025'!$R350), 0, 1), 5, if(ISBLANK('2025'!$S350), 0, 1), 6, if(ISBLANK('2025'!$T350), 0, 1), 7, 0))), 1, "")</f>
        <v/>
      </c>
      <c r="S352" s="1" t="str">
        <f>IF(AND(AND(AND(S$4&gt;='2025'!$L350,S$4&lt;='2025'!$M350), S$4&lt;&gt;DATE(2025,7,4)), (SWITCH(weekday(S$4), 1, 0, 2, if(ISBLANK('2025'!$P350), 0, 1), 3, if(ISBLANK('2025'!$Q350), 0, 1), 4, if(ISBLANK('2025'!$R350), 0, 1), 5, if(ISBLANK('2025'!$S350), 0, 1), 6, if(ISBLANK('2025'!$T350), 0, 1), 7, 0))), 1, "")</f>
        <v/>
      </c>
      <c r="T352" s="1" t="str">
        <f>IF(AND(AND(AND(T$4&gt;='2025'!$L350,T$4&lt;='2025'!$M350), T$4&lt;&gt;DATE(2025,7,4)), (SWITCH(weekday(T$4), 1, 0, 2, if(ISBLANK('2025'!$P350), 0, 1), 3, if(ISBLANK('2025'!$Q350), 0, 1), 4, if(ISBLANK('2025'!$R350), 0, 1), 5, if(ISBLANK('2025'!$S350), 0, 1), 6, if(ISBLANK('2025'!$T350), 0, 1), 7, 0))), 1, "")</f>
        <v/>
      </c>
      <c r="U352" s="1" t="str">
        <f>IF(AND(AND(AND(U$4&gt;='2025'!$L350,U$4&lt;='2025'!$M350), U$4&lt;&gt;DATE(2025,7,4)), (SWITCH(weekday(U$4), 1, 0, 2, if(ISBLANK('2025'!$P350), 0, 1), 3, if(ISBLANK('2025'!$Q350), 0, 1), 4, if(ISBLANK('2025'!$R350), 0, 1), 5, if(ISBLANK('2025'!$S350), 0, 1), 6, if(ISBLANK('2025'!$T350), 0, 1), 7, 0))), 1, "")</f>
        <v/>
      </c>
      <c r="V352" s="1" t="str">
        <f>IF(AND(AND(AND(V$4&gt;='2025'!$L350,V$4&lt;='2025'!$M350), V$4&lt;&gt;DATE(2025,7,4)), (SWITCH(weekday(V$4), 1, 0, 2, if(ISBLANK('2025'!$P350), 0, 1), 3, if(ISBLANK('2025'!$Q350), 0, 1), 4, if(ISBLANK('2025'!$R350), 0, 1), 5, if(ISBLANK('2025'!$S350), 0, 1), 6, if(ISBLANK('2025'!$T350), 0, 1), 7, 0))), 1, "")</f>
        <v/>
      </c>
      <c r="W352" s="1" t="str">
        <f>IF(AND(AND(AND(W$4&gt;='2025'!$L350,W$4&lt;='2025'!$M350), W$4&lt;&gt;DATE(2025,7,4)), (SWITCH(weekday(W$4), 1, 0, 2, if(ISBLANK('2025'!$P350), 0, 1), 3, if(ISBLANK('2025'!$Q350), 0, 1), 4, if(ISBLANK('2025'!$R350), 0, 1), 5, if(ISBLANK('2025'!$S350), 0, 1), 6, if(ISBLANK('2025'!$T350), 0, 1), 7, 0))), 1, "")</f>
        <v/>
      </c>
      <c r="X352" s="1" t="str">
        <f>IF(AND(AND(AND(X$4&gt;='2025'!$L350,X$4&lt;='2025'!$M350), X$4&lt;&gt;DATE(2025,7,4)), (SWITCH(weekday(X$4), 1, 0, 2, if(ISBLANK('2025'!$P350), 0, 1), 3, if(ISBLANK('2025'!$Q350), 0, 1), 4, if(ISBLANK('2025'!$R350), 0, 1), 5, if(ISBLANK('2025'!$S350), 0, 1), 6, if(ISBLANK('2025'!$T350), 0, 1), 7, 0))), 1, "")</f>
        <v/>
      </c>
      <c r="Y352" s="1" t="str">
        <f>IF(AND(AND(AND(Y$4&gt;='2025'!$L350,Y$4&lt;='2025'!$M350), Y$4&lt;&gt;DATE(2025,7,4)), (SWITCH(weekday(Y$4), 1, 0, 2, if(ISBLANK('2025'!$P350), 0, 1), 3, if(ISBLANK('2025'!$Q350), 0, 1), 4, if(ISBLANK('2025'!$R350), 0, 1), 5, if(ISBLANK('2025'!$S350), 0, 1), 6, if(ISBLANK('2025'!$T350), 0, 1), 7, 0))), 1, "")</f>
        <v/>
      </c>
      <c r="Z352" s="1" t="str">
        <f>IF(AND(AND(AND(Z$4&gt;='2025'!$L350,Z$4&lt;='2025'!$M350), Z$4&lt;&gt;DATE(2025,7,4)), (SWITCH(weekday(Z$4), 1, 0, 2, if(ISBLANK('2025'!$P350), 0, 1), 3, if(ISBLANK('2025'!$Q350), 0, 1), 4, if(ISBLANK('2025'!$R350), 0, 1), 5, if(ISBLANK('2025'!$S350), 0, 1), 6, if(ISBLANK('2025'!$T350), 0, 1), 7, 0))), 1, "")</f>
        <v/>
      </c>
      <c r="AA352" s="1" t="str">
        <f>IF(AND(AND(AND(AA$4&gt;='2025'!$L350,AA$4&lt;='2025'!$M350), AA$4&lt;&gt;DATE(2025,7,4)), (SWITCH(weekday(AA$4), 1, 0, 2, if(ISBLANK('2025'!$P350), 0, 1), 3, if(ISBLANK('2025'!$Q350), 0, 1), 4, if(ISBLANK('2025'!$R350), 0, 1), 5, if(ISBLANK('2025'!$S350), 0, 1), 6, if(ISBLANK('2025'!$T350), 0, 1), 7, 0))), 1, "")</f>
        <v/>
      </c>
      <c r="AB352" s="1" t="str">
        <f>IF(AND(AND(AND(AB$4&gt;='2025'!$L350,AB$4&lt;='2025'!$M350), AB$4&lt;&gt;DATE(2025,7,4)), (SWITCH(weekday(AB$4), 1, 0, 2, if(ISBLANK('2025'!$P350), 0, 1), 3, if(ISBLANK('2025'!$Q350), 0, 1), 4, if(ISBLANK('2025'!$R350), 0, 1), 5, if(ISBLANK('2025'!$S350), 0, 1), 6, if(ISBLANK('2025'!$T350), 0, 1), 7, 0))), 1, "")</f>
        <v/>
      </c>
      <c r="AC352" s="1" t="str">
        <f>IF(AND(AND(AND(AC$4&gt;='2025'!$L350,AC$4&lt;='2025'!$M350), AC$4&lt;&gt;DATE(2025,7,4)), (SWITCH(weekday(AC$4), 1, 0, 2, if(ISBLANK('2025'!$P350), 0, 1), 3, if(ISBLANK('2025'!$Q350), 0, 1), 4, if(ISBLANK('2025'!$R350), 0, 1), 5, if(ISBLANK('2025'!$S350), 0, 1), 6, if(ISBLANK('2025'!$T350), 0, 1), 7, 0))), 1, "")</f>
        <v/>
      </c>
      <c r="AD352" s="1" t="str">
        <f>IF(AND(AND(AND(AD$4&gt;='2025'!$L350,AD$4&lt;='2025'!$M350), AD$4&lt;&gt;DATE(2025,7,4)), (SWITCH(weekday(AD$4), 1, 0, 2, if(ISBLANK('2025'!$P350), 0, 1), 3, if(ISBLANK('2025'!$Q350), 0, 1), 4, if(ISBLANK('2025'!$R350), 0, 1), 5, if(ISBLANK('2025'!$S350), 0, 1), 6, if(ISBLANK('2025'!$T350), 0, 1), 7, 0))), 1, "")</f>
        <v/>
      </c>
      <c r="AE352" s="1" t="str">
        <f>IF(AND(AND(AND(AE$4&gt;='2025'!$L350,AE$4&lt;='2025'!$M350), AE$4&lt;&gt;DATE(2025,7,4)), (SWITCH(weekday(AE$4), 1, 0, 2, if(ISBLANK('2025'!$P350), 0, 1), 3, if(ISBLANK('2025'!$Q350), 0, 1), 4, if(ISBLANK('2025'!$R350), 0, 1), 5, if(ISBLANK('2025'!$S350), 0, 1), 6, if(ISBLANK('2025'!$T350), 0, 1), 7, 0))), 1, "")</f>
        <v/>
      </c>
      <c r="AF352" s="1" t="str">
        <f>IF(AND(AND(AND(AF$4&gt;='2025'!$L350,AF$4&lt;='2025'!$M350), AF$4&lt;&gt;DATE(2025,7,4)), (SWITCH(weekday(AF$4), 1, 0, 2, if(ISBLANK('2025'!$P350), 0, 1), 3, if(ISBLANK('2025'!$Q350), 0, 1), 4, if(ISBLANK('2025'!$R350), 0, 1), 5, if(ISBLANK('2025'!$S350), 0, 1), 6, if(ISBLANK('2025'!$T350), 0, 1), 7, 0))), 1, "")</f>
        <v/>
      </c>
      <c r="AG352" s="1" t="str">
        <f>IF(AND(AND(AND(AG$4&gt;='2025'!$L350,AG$4&lt;='2025'!$M350), AG$4&lt;&gt;DATE(2025,7,4)), (SWITCH(weekday(AG$4), 1, 0, 2, if(ISBLANK('2025'!$P350), 0, 1), 3, if(ISBLANK('2025'!$Q350), 0, 1), 4, if(ISBLANK('2025'!$R350), 0, 1), 5, if(ISBLANK('2025'!$S350), 0, 1), 6, if(ISBLANK('2025'!$T350), 0, 1), 7, 0))), 1, "")</f>
        <v/>
      </c>
      <c r="AH352" s="1" t="str">
        <f>IF(AND(AND(AND(AH$4&gt;='2025'!$L350,AH$4&lt;='2025'!$M350), AH$4&lt;&gt;DATE(2025,7,4)), (SWITCH(weekday(AH$4), 1, 0, 2, if(ISBLANK('2025'!$P350), 0, 1), 3, if(ISBLANK('2025'!$Q350), 0, 1), 4, if(ISBLANK('2025'!$R350), 0, 1), 5, if(ISBLANK('2025'!$S350), 0, 1), 6, if(ISBLANK('2025'!$T350), 0, 1), 7, 0))), 1, "")</f>
        <v/>
      </c>
      <c r="AI352" s="1" t="str">
        <f>IF(AND(AND(AND(AI$4&gt;='2025'!$L350,AI$4&lt;='2025'!$M350), AI$4&lt;&gt;DATE(2025,7,4)), (SWITCH(weekday(AI$4), 1, 0, 2, if(ISBLANK('2025'!$P350), 0, 1), 3, if(ISBLANK('2025'!$Q350), 0, 1), 4, if(ISBLANK('2025'!$R350), 0, 1), 5, if(ISBLANK('2025'!$S350), 0, 1), 6, if(ISBLANK('2025'!$T350), 0, 1), 7, 0))), 1, "")</f>
        <v/>
      </c>
      <c r="AJ352" s="1" t="str">
        <f>IF(AND(AND(AND(AJ$4&gt;='2025'!$L350,AJ$4&lt;='2025'!$M350), AJ$4&lt;&gt;DATE(2025,7,4)), (SWITCH(weekday(AJ$4), 1, 0, 2, if(ISBLANK('2025'!$P350), 0, 1), 3, if(ISBLANK('2025'!$Q350), 0, 1), 4, if(ISBLANK('2025'!$R350), 0, 1), 5, if(ISBLANK('2025'!$S350), 0, 1), 6, if(ISBLANK('2025'!$T350), 0, 1), 7, 0))), 1, "")</f>
        <v/>
      </c>
      <c r="AK352" s="1" t="str">
        <f>IF(AND(AND(AND(AK$4&gt;='2025'!$L350,AK$4&lt;='2025'!$M350), AK$4&lt;&gt;DATE(2025,7,4)), (SWITCH(weekday(AK$4), 1, 0, 2, if(ISBLANK('2025'!$P350), 0, 1), 3, if(ISBLANK('2025'!$Q350), 0, 1), 4, if(ISBLANK('2025'!$R350), 0, 1), 5, if(ISBLANK('2025'!$S350), 0, 1), 6, if(ISBLANK('2025'!$T350), 0, 1), 7, 0))), 1, "")</f>
        <v/>
      </c>
      <c r="AL352" s="1" t="str">
        <f>IF(AND(AND(AND(AL$4&gt;='2025'!$L350,AL$4&lt;='2025'!$M350), AL$4&lt;&gt;DATE(2025,7,4)), (SWITCH(weekday(AL$4), 1, 0, 2, if(ISBLANK('2025'!$P350), 0, 1), 3, if(ISBLANK('2025'!$Q350), 0, 1), 4, if(ISBLANK('2025'!$R350), 0, 1), 5, if(ISBLANK('2025'!$S350), 0, 1), 6, if(ISBLANK('2025'!$T350), 0, 1), 7, 0))), 1, "")</f>
        <v/>
      </c>
      <c r="AM352" s="1" t="str">
        <f>IF(AND(AND(AND(AM$4&gt;='2025'!$L350,AM$4&lt;='2025'!$M350), AM$4&lt;&gt;DATE(2025,7,4)), (SWITCH(weekday(AM$4), 1, 0, 2, if(ISBLANK('2025'!$P350), 0, 1), 3, if(ISBLANK('2025'!$Q350), 0, 1), 4, if(ISBLANK('2025'!$R350), 0, 1), 5, if(ISBLANK('2025'!$S350), 0, 1), 6, if(ISBLANK('2025'!$T350), 0, 1), 7, 0))), 1, "")</f>
        <v/>
      </c>
      <c r="AN352" s="1" t="str">
        <f>IF(AND(AND(AND(AN$4&gt;='2025'!$L350,AN$4&lt;='2025'!$M350), AN$4&lt;&gt;DATE(2025,7,4)), (SWITCH(weekday(AN$4), 1, 0, 2, if(ISBLANK('2025'!$P350), 0, 1), 3, if(ISBLANK('2025'!$Q350), 0, 1), 4, if(ISBLANK('2025'!$R350), 0, 1), 5, if(ISBLANK('2025'!$S350), 0, 1), 6, if(ISBLANK('2025'!$T350), 0, 1), 7, 0))), 1, "")</f>
        <v/>
      </c>
      <c r="AO352" s="1" t="str">
        <f>IF(AND(AND(AND(AO$4&gt;='2025'!$L350,AO$4&lt;='2025'!$M350), AO$4&lt;&gt;DATE(2025,7,4)), (SWITCH(weekday(AO$4), 1, 0, 2, if(ISBLANK('2025'!$P350), 0, 1), 3, if(ISBLANK('2025'!$Q350), 0, 1), 4, if(ISBLANK('2025'!$R350), 0, 1), 5, if(ISBLANK('2025'!$S350), 0, 1), 6, if(ISBLANK('2025'!$T350), 0, 1), 7, 0))), 1, "")</f>
        <v/>
      </c>
      <c r="AP352" s="1" t="str">
        <f>IF(AND(AND(AND(AP$4&gt;='2025'!$L350,AP$4&lt;='2025'!$M350), AP$4&lt;&gt;DATE(2025,7,4)), (SWITCH(weekday(AP$4), 1, 0, 2, if(ISBLANK('2025'!$P350), 0, 1), 3, if(ISBLANK('2025'!$Q350), 0, 1), 4, if(ISBLANK('2025'!$R350), 0, 1), 5, if(ISBLANK('2025'!$S350), 0, 1), 6, if(ISBLANK('2025'!$T350), 0, 1), 7, 0))), 1, "")</f>
        <v/>
      </c>
      <c r="AQ352" s="1" t="str">
        <f>IF(AND(AND(AND(AQ$4&gt;='2025'!$L350,AQ$4&lt;='2025'!$M350), AQ$4&lt;&gt;DATE(2025,7,4)), (SWITCH(weekday(AQ$4), 1, 0, 2, if(ISBLANK('2025'!$P350), 0, 1), 3, if(ISBLANK('2025'!$Q350), 0, 1), 4, if(ISBLANK('2025'!$R350), 0, 1), 5, if(ISBLANK('2025'!$S350), 0, 1), 6, if(ISBLANK('2025'!$T350), 0, 1), 7, 0))), 1, "")</f>
        <v/>
      </c>
      <c r="AR352" s="1" t="str">
        <f>IF(AND(AND(AND(AR$4&gt;='2025'!$L350,AR$4&lt;='2025'!$M350), AR$4&lt;&gt;DATE(2025,7,4)), (SWITCH(weekday(AR$4), 1, 0, 2, if(ISBLANK('2025'!$P350), 0, 1), 3, if(ISBLANK('2025'!$Q350), 0, 1), 4, if(ISBLANK('2025'!$R350), 0, 1), 5, if(ISBLANK('2025'!$S350), 0, 1), 6, if(ISBLANK('2025'!$T350), 0, 1), 7, 0))), 1, "")</f>
        <v/>
      </c>
      <c r="AS352" s="1" t="str">
        <f>IF(AND(AND(AND(AS$4&gt;='2025'!$L350,AS$4&lt;='2025'!$M350), AS$4&lt;&gt;DATE(2025,7,4)), (SWITCH(weekday(AS$4), 1, 0, 2, if(ISBLANK('2025'!$P350), 0, 1), 3, if(ISBLANK('2025'!$Q350), 0, 1), 4, if(ISBLANK('2025'!$R350), 0, 1), 5, if(ISBLANK('2025'!$S350), 0, 1), 6, if(ISBLANK('2025'!$T350), 0, 1), 7, 0))), 1, "")</f>
        <v/>
      </c>
      <c r="AT352" s="1" t="str">
        <f>IF(AND(AND(AND(AT$4&gt;='2025'!$L350,AT$4&lt;='2025'!$M350), AT$4&lt;&gt;DATE(2025,7,4)), (SWITCH(weekday(AT$4), 1, 0, 2, if(ISBLANK('2025'!$P350), 0, 1), 3, if(ISBLANK('2025'!$Q350), 0, 1), 4, if(ISBLANK('2025'!$R350), 0, 1), 5, if(ISBLANK('2025'!$S350), 0, 1), 6, if(ISBLANK('2025'!$T350), 0, 1), 7, 0))), 1, "")</f>
        <v/>
      </c>
      <c r="AU352" s="1" t="str">
        <f>IF(AND(AND(AND(AU$4&gt;='2025'!$L350,AU$4&lt;='2025'!$M350), AU$4&lt;&gt;DATE(2025,7,4)), (SWITCH(weekday(AU$4), 1, 0, 2, if(ISBLANK('2025'!$P350), 0, 1), 3, if(ISBLANK('2025'!$Q350), 0, 1), 4, if(ISBLANK('2025'!$R350), 0, 1), 5, if(ISBLANK('2025'!$S350), 0, 1), 6, if(ISBLANK('2025'!$T350), 0, 1), 7, 0))), 1, "")</f>
        <v/>
      </c>
      <c r="AV352" s="1" t="str">
        <f>IF(AND(AND(AND(AV$4&gt;='2025'!$L350,AV$4&lt;='2025'!$M350), AV$4&lt;&gt;DATE(2025,7,4)), (SWITCH(weekday(AV$4), 1, 0, 2, if(ISBLANK('2025'!$P350), 0, 1), 3, if(ISBLANK('2025'!$Q350), 0, 1), 4, if(ISBLANK('2025'!$R350), 0, 1), 5, if(ISBLANK('2025'!$S350), 0, 1), 6, if(ISBLANK('2025'!$T350), 0, 1), 7, 0))), 1, "")</f>
        <v/>
      </c>
      <c r="AW352" s="1" t="str">
        <f>IF(AND(AND(AND(AW$4&gt;='2025'!$L350,AW$4&lt;='2025'!$M350), AW$4&lt;&gt;DATE(2025,7,4)), (SWITCH(weekday(AW$4), 1, 0, 2, if(ISBLANK('2025'!$P350), 0, 1), 3, if(ISBLANK('2025'!$Q350), 0, 1), 4, if(ISBLANK('2025'!$R350), 0, 1), 5, if(ISBLANK('2025'!$S350), 0, 1), 6, if(ISBLANK('2025'!$T350), 0, 1), 7, 0))), 1, "")</f>
        <v/>
      </c>
      <c r="AX352" s="1" t="str">
        <f>IF(AND(AND(AND(AX$4&gt;='2025'!$L350,AX$4&lt;='2025'!$M350), AX$4&lt;&gt;DATE(2025,7,4)), (SWITCH(weekday(AX$4), 1, 0, 2, if(ISBLANK('2025'!$P350), 0, 1), 3, if(ISBLANK('2025'!$Q350), 0, 1), 4, if(ISBLANK('2025'!$R350), 0, 1), 5, if(ISBLANK('2025'!$S350), 0, 1), 6, if(ISBLANK('2025'!$T350), 0, 1), 7, 0))), 1, "")</f>
        <v/>
      </c>
      <c r="AY352" s="1" t="str">
        <f>IF(AND(AND(AND(AY$4&gt;='2025'!$L350,AY$4&lt;='2025'!$M350), AY$4&lt;&gt;DATE(2025,7,4)), (SWITCH(weekday(AY$4), 1, 0, 2, if(ISBLANK('2025'!$P350), 0, 1), 3, if(ISBLANK('2025'!$Q350), 0, 1), 4, if(ISBLANK('2025'!$R350), 0, 1), 5, if(ISBLANK('2025'!$S350), 0, 1), 6, if(ISBLANK('2025'!$T350), 0, 1), 7, 0))), 1, "")</f>
        <v/>
      </c>
      <c r="AZ352" s="1" t="str">
        <f>IF(AND(AND(AND(AZ$4&gt;='2025'!$L350,AZ$4&lt;='2025'!$M350), AZ$4&lt;&gt;DATE(2025,7,4)), (SWITCH(weekday(AZ$4), 1, 0, 2, if(ISBLANK('2025'!$P350), 0, 1), 3, if(ISBLANK('2025'!$Q350), 0, 1), 4, if(ISBLANK('2025'!$R350), 0, 1), 5, if(ISBLANK('2025'!$S350), 0, 1), 6, if(ISBLANK('2025'!$T350), 0, 1), 7, 0))), 1, "")</f>
        <v/>
      </c>
      <c r="BA352" s="1" t="str">
        <f>IF(AND(AND(AND(BA$4&gt;='2025'!$L350,BA$4&lt;='2025'!$M350), BA$4&lt;&gt;DATE(2025,7,4)), (SWITCH(weekday(BA$4), 1, 0, 2, if(ISBLANK('2025'!$P350), 0, 1), 3, if(ISBLANK('2025'!$Q350), 0, 1), 4, if(ISBLANK('2025'!$R350), 0, 1), 5, if(ISBLANK('2025'!$S350), 0, 1), 6, if(ISBLANK('2025'!$T350), 0, 1), 7, 0))), 1, "")</f>
        <v/>
      </c>
      <c r="BB352" s="1" t="str">
        <f>IF(AND(AND(AND(BB$4&gt;='2025'!$L350,BB$4&lt;='2025'!$M350), BB$4&lt;&gt;DATE(2025,7,4)), (SWITCH(weekday(BB$4), 1, 0, 2, if(ISBLANK('2025'!$P350), 0, 1), 3, if(ISBLANK('2025'!$Q350), 0, 1), 4, if(ISBLANK('2025'!$R350), 0, 1), 5, if(ISBLANK('2025'!$S350), 0, 1), 6, if(ISBLANK('2025'!$T350), 0, 1), 7, 0))), 1, "")</f>
        <v/>
      </c>
      <c r="BC352" s="1" t="str">
        <f>IF(AND(AND(AND(BC$4&gt;='2025'!$L350,BC$4&lt;='2025'!$M350), BC$4&lt;&gt;DATE(2025,7,4)), (SWITCH(weekday(BC$4), 1, 0, 2, if(ISBLANK('2025'!$P350), 0, 1), 3, if(ISBLANK('2025'!$Q350), 0, 1), 4, if(ISBLANK('2025'!$R350), 0, 1), 5, if(ISBLANK('2025'!$S350), 0, 1), 6, if(ISBLANK('2025'!$T350), 0, 1), 7, 0))), 1, "")</f>
        <v/>
      </c>
      <c r="BD352" s="1" t="str">
        <f>IF(AND(AND(AND(BD$4&gt;='2025'!$L350,BD$4&lt;='2025'!$M350), BD$4&lt;&gt;DATE(2025,7,4)), (SWITCH(weekday(BD$4), 1, 0, 2, if(ISBLANK('2025'!$P350), 0, 1), 3, if(ISBLANK('2025'!$Q350), 0, 1), 4, if(ISBLANK('2025'!$R350), 0, 1), 5, if(ISBLANK('2025'!$S350), 0, 1), 6, if(ISBLANK('2025'!$T350), 0, 1), 7, 0))), 1, "")</f>
        <v/>
      </c>
      <c r="BE352" s="1" t="str">
        <f>IF(AND(AND(AND(BE$4&gt;='2025'!$L350,BE$4&lt;='2025'!$M350), BE$4&lt;&gt;DATE(2025,7,4)), (SWITCH(weekday(BE$4), 1, 0, 2, if(ISBLANK('2025'!$P350), 0, 1), 3, if(ISBLANK('2025'!$Q350), 0, 1), 4, if(ISBLANK('2025'!$R350), 0, 1), 5, if(ISBLANK('2025'!$S350), 0, 1), 6, if(ISBLANK('2025'!$T350), 0, 1), 7, 0))), 1, "")</f>
        <v/>
      </c>
      <c r="BF352" s="1" t="str">
        <f>IF(AND(AND(AND(BF$4&gt;='2025'!$L350,BF$4&lt;='2025'!$M350), BF$4&lt;&gt;DATE(2025,7,4)), (SWITCH(weekday(BF$4), 1, 0, 2, if(ISBLANK('2025'!$P350), 0, 1), 3, if(ISBLANK('2025'!$Q350), 0, 1), 4, if(ISBLANK('2025'!$R350), 0, 1), 5, if(ISBLANK('2025'!$S350), 0, 1), 6, if(ISBLANK('2025'!$T350), 0, 1), 7, 0))), 1, "")</f>
        <v/>
      </c>
      <c r="BG352" s="1"/>
      <c r="BH352" s="1"/>
      <c r="BI352" s="1"/>
      <c r="BJ352" s="1"/>
      <c r="BK352" s="1"/>
      <c r="BL352" s="1"/>
    </row>
    <row r="353">
      <c r="A353" s="1">
        <f t="shared" si="3"/>
        <v>353</v>
      </c>
      <c r="B353" s="1" t="str">
        <f>'2025'!D317</f>
        <v>, </v>
      </c>
      <c r="C353" s="1" t="str">
        <f>'2025'!H317</f>
        <v/>
      </c>
      <c r="D353" s="1" t="str">
        <f>IF(AND(AND(AND(D$4&gt;='2025'!$L351,D$4&lt;='2025'!$M351), D$4&lt;&gt;DATE(2025,7,4)), (SWITCH(weekday(D$4), 1, 0, 2, if(ISBLANK('2025'!$P351), 0, 1), 3, if(ISBLANK('2025'!$Q351), 0, 1), 4, if(ISBLANK('2025'!$R351), 0, 1), 5, if(ISBLANK('2025'!$S351), 0, 1), 6, if(ISBLANK('2025'!$T351), 0, 1), 7, 0))), 1, "")</f>
        <v/>
      </c>
      <c r="E353" s="1" t="str">
        <f>IF(AND(AND(AND(E$4&gt;='2025'!$L351,E$4&lt;='2025'!$M351), E$4&lt;&gt;DATE(2025,7,4)), (SWITCH(weekday(E$4), 1, 0, 2, if(ISBLANK('2025'!$P351), 0, 1), 3, if(ISBLANK('2025'!$Q351), 0, 1), 4, if(ISBLANK('2025'!$R351), 0, 1), 5, if(ISBLANK('2025'!$S351), 0, 1), 6, if(ISBLANK('2025'!$T351), 0, 1), 7, 0))), 1, "")</f>
        <v/>
      </c>
      <c r="F353" s="1" t="str">
        <f>IF(AND(AND(AND(F$4&gt;='2025'!$L351,F$4&lt;='2025'!$M351), F$4&lt;&gt;DATE(2025,7,4)), (SWITCH(weekday(F$4), 1, 0, 2, if(ISBLANK('2025'!$P351), 0, 1), 3, if(ISBLANK('2025'!$Q351), 0, 1), 4, if(ISBLANK('2025'!$R351), 0, 1), 5, if(ISBLANK('2025'!$S351), 0, 1), 6, if(ISBLANK('2025'!$T351), 0, 1), 7, 0))), 1, "")</f>
        <v/>
      </c>
      <c r="G353" s="1" t="str">
        <f>IF(AND(AND(AND(G$4&gt;='2025'!$L351,G$4&lt;='2025'!$M351), G$4&lt;&gt;DATE(2025,7,4)), (SWITCH(weekday(G$4), 1, 0, 2, if(ISBLANK('2025'!$P351), 0, 1), 3, if(ISBLANK('2025'!$Q351), 0, 1), 4, if(ISBLANK('2025'!$R351), 0, 1), 5, if(ISBLANK('2025'!$S351), 0, 1), 6, if(ISBLANK('2025'!$T351), 0, 1), 7, 0))), 1, "")</f>
        <v/>
      </c>
      <c r="H353" s="1" t="str">
        <f>IF(AND(AND(AND(H$4&gt;='2025'!$L351,H$4&lt;='2025'!$M351), H$4&lt;&gt;DATE(2025,7,4)), (SWITCH(weekday(H$4), 1, 0, 2, if(ISBLANK('2025'!$P351), 0, 1), 3, if(ISBLANK('2025'!$Q351), 0, 1), 4, if(ISBLANK('2025'!$R351), 0, 1), 5, if(ISBLANK('2025'!$S351), 0, 1), 6, if(ISBLANK('2025'!$T351), 0, 1), 7, 0))), 1, "")</f>
        <v/>
      </c>
      <c r="I353" s="1" t="str">
        <f>IF(AND(AND(AND(I$4&gt;='2025'!$L351,I$4&lt;='2025'!$M351), I$4&lt;&gt;DATE(2025,7,4)), (SWITCH(weekday(I$4), 1, 0, 2, if(ISBLANK('2025'!$P351), 0, 1), 3, if(ISBLANK('2025'!$Q351), 0, 1), 4, if(ISBLANK('2025'!$R351), 0, 1), 5, if(ISBLANK('2025'!$S351), 0, 1), 6, if(ISBLANK('2025'!$T351), 0, 1), 7, 0))), 1, "")</f>
        <v/>
      </c>
      <c r="J353" s="1" t="str">
        <f>IF(AND(AND(AND(J$4&gt;='2025'!$L351,J$4&lt;='2025'!$M351), J$4&lt;&gt;DATE(2025,7,4)), (SWITCH(weekday(J$4), 1, 0, 2, if(ISBLANK('2025'!$P351), 0, 1), 3, if(ISBLANK('2025'!$Q351), 0, 1), 4, if(ISBLANK('2025'!$R351), 0, 1), 5, if(ISBLANK('2025'!$S351), 0, 1), 6, if(ISBLANK('2025'!$T351), 0, 1), 7, 0))), 1, "")</f>
        <v/>
      </c>
      <c r="K353" s="1" t="str">
        <f>IF(AND(AND(AND(K$4&gt;='2025'!$L351,K$4&lt;='2025'!$M351), K$4&lt;&gt;DATE(2025,7,4)), (SWITCH(weekday(K$4), 1, 0, 2, if(ISBLANK('2025'!$P351), 0, 1), 3, if(ISBLANK('2025'!$Q351), 0, 1), 4, if(ISBLANK('2025'!$R351), 0, 1), 5, if(ISBLANK('2025'!$S351), 0, 1), 6, if(ISBLANK('2025'!$T351), 0, 1), 7, 0))), 1, "")</f>
        <v/>
      </c>
      <c r="L353" s="1" t="str">
        <f>IF(AND(AND(AND(L$4&gt;='2025'!$L351,L$4&lt;='2025'!$M351), L$4&lt;&gt;DATE(2025,7,4)), (SWITCH(weekday(L$4), 1, 0, 2, if(ISBLANK('2025'!$P351), 0, 1), 3, if(ISBLANK('2025'!$Q351), 0, 1), 4, if(ISBLANK('2025'!$R351), 0, 1), 5, if(ISBLANK('2025'!$S351), 0, 1), 6, if(ISBLANK('2025'!$T351), 0, 1), 7, 0))), 1, "")</f>
        <v/>
      </c>
      <c r="M353" s="1" t="str">
        <f>IF(AND(AND(AND(M$4&gt;='2025'!$L351,M$4&lt;='2025'!$M351), M$4&lt;&gt;DATE(2025,7,4)), (SWITCH(weekday(M$4), 1, 0, 2, if(ISBLANK('2025'!$P351), 0, 1), 3, if(ISBLANK('2025'!$Q351), 0, 1), 4, if(ISBLANK('2025'!$R351), 0, 1), 5, if(ISBLANK('2025'!$S351), 0, 1), 6, if(ISBLANK('2025'!$T351), 0, 1), 7, 0))), 1, "")</f>
        <v/>
      </c>
      <c r="N353" s="1" t="str">
        <f>IF(AND(AND(AND(N$4&gt;='2025'!$L351,N$4&lt;='2025'!$M351), N$4&lt;&gt;DATE(2025,7,4)), (SWITCH(weekday(N$4), 1, 0, 2, if(ISBLANK('2025'!$P351), 0, 1), 3, if(ISBLANK('2025'!$Q351), 0, 1), 4, if(ISBLANK('2025'!$R351), 0, 1), 5, if(ISBLANK('2025'!$S351), 0, 1), 6, if(ISBLANK('2025'!$T351), 0, 1), 7, 0))), 1, "")</f>
        <v/>
      </c>
      <c r="O353" s="1" t="str">
        <f>IF(AND(AND(AND(O$4&gt;='2025'!$L351,O$4&lt;='2025'!$M351), O$4&lt;&gt;DATE(2025,7,4)), (SWITCH(weekday(O$4), 1, 0, 2, if(ISBLANK('2025'!$P351), 0, 1), 3, if(ISBLANK('2025'!$Q351), 0, 1), 4, if(ISBLANK('2025'!$R351), 0, 1), 5, if(ISBLANK('2025'!$S351), 0, 1), 6, if(ISBLANK('2025'!$T351), 0, 1), 7, 0))), 1, "")</f>
        <v/>
      </c>
      <c r="P353" s="1" t="str">
        <f>IF(AND(AND(AND(P$4&gt;='2025'!$L351,P$4&lt;='2025'!$M351), P$4&lt;&gt;DATE(2025,7,4)), (SWITCH(weekday(P$4), 1, 0, 2, if(ISBLANK('2025'!$P351), 0, 1), 3, if(ISBLANK('2025'!$Q351), 0, 1), 4, if(ISBLANK('2025'!$R351), 0, 1), 5, if(ISBLANK('2025'!$S351), 0, 1), 6, if(ISBLANK('2025'!$T351), 0, 1), 7, 0))), 1, "")</f>
        <v/>
      </c>
      <c r="Q353" s="1" t="str">
        <f>IF(AND(AND(AND(Q$4&gt;='2025'!$L351,Q$4&lt;='2025'!$M351), Q$4&lt;&gt;DATE(2025,7,4)), (SWITCH(weekday(Q$4), 1, 0, 2, if(ISBLANK('2025'!$P351), 0, 1), 3, if(ISBLANK('2025'!$Q351), 0, 1), 4, if(ISBLANK('2025'!$R351), 0, 1), 5, if(ISBLANK('2025'!$S351), 0, 1), 6, if(ISBLANK('2025'!$T351), 0, 1), 7, 0))), 1, "")</f>
        <v/>
      </c>
      <c r="R353" s="1" t="str">
        <f>IF(AND(AND(AND(R$4&gt;='2025'!$L351,R$4&lt;='2025'!$M351), R$4&lt;&gt;DATE(2025,7,4)), (SWITCH(weekday(R$4), 1, 0, 2, if(ISBLANK('2025'!$P351), 0, 1), 3, if(ISBLANK('2025'!$Q351), 0, 1), 4, if(ISBLANK('2025'!$R351), 0, 1), 5, if(ISBLANK('2025'!$S351), 0, 1), 6, if(ISBLANK('2025'!$T351), 0, 1), 7, 0))), 1, "")</f>
        <v/>
      </c>
      <c r="S353" s="1" t="str">
        <f>IF(AND(AND(AND(S$4&gt;='2025'!$L351,S$4&lt;='2025'!$M351), S$4&lt;&gt;DATE(2025,7,4)), (SWITCH(weekday(S$4), 1, 0, 2, if(ISBLANK('2025'!$P351), 0, 1), 3, if(ISBLANK('2025'!$Q351), 0, 1), 4, if(ISBLANK('2025'!$R351), 0, 1), 5, if(ISBLANK('2025'!$S351), 0, 1), 6, if(ISBLANK('2025'!$T351), 0, 1), 7, 0))), 1, "")</f>
        <v/>
      </c>
      <c r="T353" s="1" t="str">
        <f>IF(AND(AND(AND(T$4&gt;='2025'!$L351,T$4&lt;='2025'!$M351), T$4&lt;&gt;DATE(2025,7,4)), (SWITCH(weekday(T$4), 1, 0, 2, if(ISBLANK('2025'!$P351), 0, 1), 3, if(ISBLANK('2025'!$Q351), 0, 1), 4, if(ISBLANK('2025'!$R351), 0, 1), 5, if(ISBLANK('2025'!$S351), 0, 1), 6, if(ISBLANK('2025'!$T351), 0, 1), 7, 0))), 1, "")</f>
        <v/>
      </c>
      <c r="U353" s="1" t="str">
        <f>IF(AND(AND(AND(U$4&gt;='2025'!$L351,U$4&lt;='2025'!$M351), U$4&lt;&gt;DATE(2025,7,4)), (SWITCH(weekday(U$4), 1, 0, 2, if(ISBLANK('2025'!$P351), 0, 1), 3, if(ISBLANK('2025'!$Q351), 0, 1), 4, if(ISBLANK('2025'!$R351), 0, 1), 5, if(ISBLANK('2025'!$S351), 0, 1), 6, if(ISBLANK('2025'!$T351), 0, 1), 7, 0))), 1, "")</f>
        <v/>
      </c>
      <c r="V353" s="1" t="str">
        <f>IF(AND(AND(AND(V$4&gt;='2025'!$L351,V$4&lt;='2025'!$M351), V$4&lt;&gt;DATE(2025,7,4)), (SWITCH(weekday(V$4), 1, 0, 2, if(ISBLANK('2025'!$P351), 0, 1), 3, if(ISBLANK('2025'!$Q351), 0, 1), 4, if(ISBLANK('2025'!$R351), 0, 1), 5, if(ISBLANK('2025'!$S351), 0, 1), 6, if(ISBLANK('2025'!$T351), 0, 1), 7, 0))), 1, "")</f>
        <v/>
      </c>
      <c r="W353" s="1" t="str">
        <f>IF(AND(AND(AND(W$4&gt;='2025'!$L351,W$4&lt;='2025'!$M351), W$4&lt;&gt;DATE(2025,7,4)), (SWITCH(weekday(W$4), 1, 0, 2, if(ISBLANK('2025'!$P351), 0, 1), 3, if(ISBLANK('2025'!$Q351), 0, 1), 4, if(ISBLANK('2025'!$R351), 0, 1), 5, if(ISBLANK('2025'!$S351), 0, 1), 6, if(ISBLANK('2025'!$T351), 0, 1), 7, 0))), 1, "")</f>
        <v/>
      </c>
      <c r="X353" s="1" t="str">
        <f>IF(AND(AND(AND(X$4&gt;='2025'!$L351,X$4&lt;='2025'!$M351), X$4&lt;&gt;DATE(2025,7,4)), (SWITCH(weekday(X$4), 1, 0, 2, if(ISBLANK('2025'!$P351), 0, 1), 3, if(ISBLANK('2025'!$Q351), 0, 1), 4, if(ISBLANK('2025'!$R351), 0, 1), 5, if(ISBLANK('2025'!$S351), 0, 1), 6, if(ISBLANK('2025'!$T351), 0, 1), 7, 0))), 1, "")</f>
        <v/>
      </c>
      <c r="Y353" s="1" t="str">
        <f>IF(AND(AND(AND(Y$4&gt;='2025'!$L351,Y$4&lt;='2025'!$M351), Y$4&lt;&gt;DATE(2025,7,4)), (SWITCH(weekday(Y$4), 1, 0, 2, if(ISBLANK('2025'!$P351), 0, 1), 3, if(ISBLANK('2025'!$Q351), 0, 1), 4, if(ISBLANK('2025'!$R351), 0, 1), 5, if(ISBLANK('2025'!$S351), 0, 1), 6, if(ISBLANK('2025'!$T351), 0, 1), 7, 0))), 1, "")</f>
        <v/>
      </c>
      <c r="Z353" s="1" t="str">
        <f>IF(AND(AND(AND(Z$4&gt;='2025'!$L351,Z$4&lt;='2025'!$M351), Z$4&lt;&gt;DATE(2025,7,4)), (SWITCH(weekday(Z$4), 1, 0, 2, if(ISBLANK('2025'!$P351), 0, 1), 3, if(ISBLANK('2025'!$Q351), 0, 1), 4, if(ISBLANK('2025'!$R351), 0, 1), 5, if(ISBLANK('2025'!$S351), 0, 1), 6, if(ISBLANK('2025'!$T351), 0, 1), 7, 0))), 1, "")</f>
        <v/>
      </c>
      <c r="AA353" s="1" t="str">
        <f>IF(AND(AND(AND(AA$4&gt;='2025'!$L351,AA$4&lt;='2025'!$M351), AA$4&lt;&gt;DATE(2025,7,4)), (SWITCH(weekday(AA$4), 1, 0, 2, if(ISBLANK('2025'!$P351), 0, 1), 3, if(ISBLANK('2025'!$Q351), 0, 1), 4, if(ISBLANK('2025'!$R351), 0, 1), 5, if(ISBLANK('2025'!$S351), 0, 1), 6, if(ISBLANK('2025'!$T351), 0, 1), 7, 0))), 1, "")</f>
        <v/>
      </c>
      <c r="AB353" s="1" t="str">
        <f>IF(AND(AND(AND(AB$4&gt;='2025'!$L351,AB$4&lt;='2025'!$M351), AB$4&lt;&gt;DATE(2025,7,4)), (SWITCH(weekday(AB$4), 1, 0, 2, if(ISBLANK('2025'!$P351), 0, 1), 3, if(ISBLANK('2025'!$Q351), 0, 1), 4, if(ISBLANK('2025'!$R351), 0, 1), 5, if(ISBLANK('2025'!$S351), 0, 1), 6, if(ISBLANK('2025'!$T351), 0, 1), 7, 0))), 1, "")</f>
        <v/>
      </c>
      <c r="AC353" s="1" t="str">
        <f>IF(AND(AND(AND(AC$4&gt;='2025'!$L351,AC$4&lt;='2025'!$M351), AC$4&lt;&gt;DATE(2025,7,4)), (SWITCH(weekday(AC$4), 1, 0, 2, if(ISBLANK('2025'!$P351), 0, 1), 3, if(ISBLANK('2025'!$Q351), 0, 1), 4, if(ISBLANK('2025'!$R351), 0, 1), 5, if(ISBLANK('2025'!$S351), 0, 1), 6, if(ISBLANK('2025'!$T351), 0, 1), 7, 0))), 1, "")</f>
        <v/>
      </c>
      <c r="AD353" s="1" t="str">
        <f>IF(AND(AND(AND(AD$4&gt;='2025'!$L351,AD$4&lt;='2025'!$M351), AD$4&lt;&gt;DATE(2025,7,4)), (SWITCH(weekday(AD$4), 1, 0, 2, if(ISBLANK('2025'!$P351), 0, 1), 3, if(ISBLANK('2025'!$Q351), 0, 1), 4, if(ISBLANK('2025'!$R351), 0, 1), 5, if(ISBLANK('2025'!$S351), 0, 1), 6, if(ISBLANK('2025'!$T351), 0, 1), 7, 0))), 1, "")</f>
        <v/>
      </c>
      <c r="AE353" s="1" t="str">
        <f>IF(AND(AND(AND(AE$4&gt;='2025'!$L351,AE$4&lt;='2025'!$M351), AE$4&lt;&gt;DATE(2025,7,4)), (SWITCH(weekday(AE$4), 1, 0, 2, if(ISBLANK('2025'!$P351), 0, 1), 3, if(ISBLANK('2025'!$Q351), 0, 1), 4, if(ISBLANK('2025'!$R351), 0, 1), 5, if(ISBLANK('2025'!$S351), 0, 1), 6, if(ISBLANK('2025'!$T351), 0, 1), 7, 0))), 1, "")</f>
        <v/>
      </c>
      <c r="AF353" s="1" t="str">
        <f>IF(AND(AND(AND(AF$4&gt;='2025'!$L351,AF$4&lt;='2025'!$M351), AF$4&lt;&gt;DATE(2025,7,4)), (SWITCH(weekday(AF$4), 1, 0, 2, if(ISBLANK('2025'!$P351), 0, 1), 3, if(ISBLANK('2025'!$Q351), 0, 1), 4, if(ISBLANK('2025'!$R351), 0, 1), 5, if(ISBLANK('2025'!$S351), 0, 1), 6, if(ISBLANK('2025'!$T351), 0, 1), 7, 0))), 1, "")</f>
        <v/>
      </c>
      <c r="AG353" s="1" t="str">
        <f>IF(AND(AND(AND(AG$4&gt;='2025'!$L351,AG$4&lt;='2025'!$M351), AG$4&lt;&gt;DATE(2025,7,4)), (SWITCH(weekday(AG$4), 1, 0, 2, if(ISBLANK('2025'!$P351), 0, 1), 3, if(ISBLANK('2025'!$Q351), 0, 1), 4, if(ISBLANK('2025'!$R351), 0, 1), 5, if(ISBLANK('2025'!$S351), 0, 1), 6, if(ISBLANK('2025'!$T351), 0, 1), 7, 0))), 1, "")</f>
        <v/>
      </c>
      <c r="AH353" s="1" t="str">
        <f>IF(AND(AND(AND(AH$4&gt;='2025'!$L351,AH$4&lt;='2025'!$M351), AH$4&lt;&gt;DATE(2025,7,4)), (SWITCH(weekday(AH$4), 1, 0, 2, if(ISBLANK('2025'!$P351), 0, 1), 3, if(ISBLANK('2025'!$Q351), 0, 1), 4, if(ISBLANK('2025'!$R351), 0, 1), 5, if(ISBLANK('2025'!$S351), 0, 1), 6, if(ISBLANK('2025'!$T351), 0, 1), 7, 0))), 1, "")</f>
        <v/>
      </c>
      <c r="AI353" s="1" t="str">
        <f>IF(AND(AND(AND(AI$4&gt;='2025'!$L351,AI$4&lt;='2025'!$M351), AI$4&lt;&gt;DATE(2025,7,4)), (SWITCH(weekday(AI$4), 1, 0, 2, if(ISBLANK('2025'!$P351), 0, 1), 3, if(ISBLANK('2025'!$Q351), 0, 1), 4, if(ISBLANK('2025'!$R351), 0, 1), 5, if(ISBLANK('2025'!$S351), 0, 1), 6, if(ISBLANK('2025'!$T351), 0, 1), 7, 0))), 1, "")</f>
        <v/>
      </c>
      <c r="AJ353" s="1" t="str">
        <f>IF(AND(AND(AND(AJ$4&gt;='2025'!$L351,AJ$4&lt;='2025'!$M351), AJ$4&lt;&gt;DATE(2025,7,4)), (SWITCH(weekday(AJ$4), 1, 0, 2, if(ISBLANK('2025'!$P351), 0, 1), 3, if(ISBLANK('2025'!$Q351), 0, 1), 4, if(ISBLANK('2025'!$R351), 0, 1), 5, if(ISBLANK('2025'!$S351), 0, 1), 6, if(ISBLANK('2025'!$T351), 0, 1), 7, 0))), 1, "")</f>
        <v/>
      </c>
      <c r="AK353" s="1" t="str">
        <f>IF(AND(AND(AND(AK$4&gt;='2025'!$L351,AK$4&lt;='2025'!$M351), AK$4&lt;&gt;DATE(2025,7,4)), (SWITCH(weekday(AK$4), 1, 0, 2, if(ISBLANK('2025'!$P351), 0, 1), 3, if(ISBLANK('2025'!$Q351), 0, 1), 4, if(ISBLANK('2025'!$R351), 0, 1), 5, if(ISBLANK('2025'!$S351), 0, 1), 6, if(ISBLANK('2025'!$T351), 0, 1), 7, 0))), 1, "")</f>
        <v/>
      </c>
      <c r="AL353" s="1" t="str">
        <f>IF(AND(AND(AND(AL$4&gt;='2025'!$L351,AL$4&lt;='2025'!$M351), AL$4&lt;&gt;DATE(2025,7,4)), (SWITCH(weekday(AL$4), 1, 0, 2, if(ISBLANK('2025'!$P351), 0, 1), 3, if(ISBLANK('2025'!$Q351), 0, 1), 4, if(ISBLANK('2025'!$R351), 0, 1), 5, if(ISBLANK('2025'!$S351), 0, 1), 6, if(ISBLANK('2025'!$T351), 0, 1), 7, 0))), 1, "")</f>
        <v/>
      </c>
      <c r="AM353" s="1" t="str">
        <f>IF(AND(AND(AND(AM$4&gt;='2025'!$L351,AM$4&lt;='2025'!$M351), AM$4&lt;&gt;DATE(2025,7,4)), (SWITCH(weekday(AM$4), 1, 0, 2, if(ISBLANK('2025'!$P351), 0, 1), 3, if(ISBLANK('2025'!$Q351), 0, 1), 4, if(ISBLANK('2025'!$R351), 0, 1), 5, if(ISBLANK('2025'!$S351), 0, 1), 6, if(ISBLANK('2025'!$T351), 0, 1), 7, 0))), 1, "")</f>
        <v/>
      </c>
      <c r="AN353" s="1" t="str">
        <f>IF(AND(AND(AND(AN$4&gt;='2025'!$L351,AN$4&lt;='2025'!$M351), AN$4&lt;&gt;DATE(2025,7,4)), (SWITCH(weekday(AN$4), 1, 0, 2, if(ISBLANK('2025'!$P351), 0, 1), 3, if(ISBLANK('2025'!$Q351), 0, 1), 4, if(ISBLANK('2025'!$R351), 0, 1), 5, if(ISBLANK('2025'!$S351), 0, 1), 6, if(ISBLANK('2025'!$T351), 0, 1), 7, 0))), 1, "")</f>
        <v/>
      </c>
      <c r="AO353" s="1" t="str">
        <f>IF(AND(AND(AND(AO$4&gt;='2025'!$L351,AO$4&lt;='2025'!$M351), AO$4&lt;&gt;DATE(2025,7,4)), (SWITCH(weekday(AO$4), 1, 0, 2, if(ISBLANK('2025'!$P351), 0, 1), 3, if(ISBLANK('2025'!$Q351), 0, 1), 4, if(ISBLANK('2025'!$R351), 0, 1), 5, if(ISBLANK('2025'!$S351), 0, 1), 6, if(ISBLANK('2025'!$T351), 0, 1), 7, 0))), 1, "")</f>
        <v/>
      </c>
      <c r="AP353" s="1" t="str">
        <f>IF(AND(AND(AND(AP$4&gt;='2025'!$L351,AP$4&lt;='2025'!$M351), AP$4&lt;&gt;DATE(2025,7,4)), (SWITCH(weekday(AP$4), 1, 0, 2, if(ISBLANK('2025'!$P351), 0, 1), 3, if(ISBLANK('2025'!$Q351), 0, 1), 4, if(ISBLANK('2025'!$R351), 0, 1), 5, if(ISBLANK('2025'!$S351), 0, 1), 6, if(ISBLANK('2025'!$T351), 0, 1), 7, 0))), 1, "")</f>
        <v/>
      </c>
      <c r="AQ353" s="1" t="str">
        <f>IF(AND(AND(AND(AQ$4&gt;='2025'!$L351,AQ$4&lt;='2025'!$M351), AQ$4&lt;&gt;DATE(2025,7,4)), (SWITCH(weekday(AQ$4), 1, 0, 2, if(ISBLANK('2025'!$P351), 0, 1), 3, if(ISBLANK('2025'!$Q351), 0, 1), 4, if(ISBLANK('2025'!$R351), 0, 1), 5, if(ISBLANK('2025'!$S351), 0, 1), 6, if(ISBLANK('2025'!$T351), 0, 1), 7, 0))), 1, "")</f>
        <v/>
      </c>
      <c r="AR353" s="1" t="str">
        <f>IF(AND(AND(AND(AR$4&gt;='2025'!$L351,AR$4&lt;='2025'!$M351), AR$4&lt;&gt;DATE(2025,7,4)), (SWITCH(weekday(AR$4), 1, 0, 2, if(ISBLANK('2025'!$P351), 0, 1), 3, if(ISBLANK('2025'!$Q351), 0, 1), 4, if(ISBLANK('2025'!$R351), 0, 1), 5, if(ISBLANK('2025'!$S351), 0, 1), 6, if(ISBLANK('2025'!$T351), 0, 1), 7, 0))), 1, "")</f>
        <v/>
      </c>
      <c r="AS353" s="1" t="str">
        <f>IF(AND(AND(AND(AS$4&gt;='2025'!$L351,AS$4&lt;='2025'!$M351), AS$4&lt;&gt;DATE(2025,7,4)), (SWITCH(weekday(AS$4), 1, 0, 2, if(ISBLANK('2025'!$P351), 0, 1), 3, if(ISBLANK('2025'!$Q351), 0, 1), 4, if(ISBLANK('2025'!$R351), 0, 1), 5, if(ISBLANK('2025'!$S351), 0, 1), 6, if(ISBLANK('2025'!$T351), 0, 1), 7, 0))), 1, "")</f>
        <v/>
      </c>
      <c r="AT353" s="1" t="str">
        <f>IF(AND(AND(AND(AT$4&gt;='2025'!$L351,AT$4&lt;='2025'!$M351), AT$4&lt;&gt;DATE(2025,7,4)), (SWITCH(weekday(AT$4), 1, 0, 2, if(ISBLANK('2025'!$P351), 0, 1), 3, if(ISBLANK('2025'!$Q351), 0, 1), 4, if(ISBLANK('2025'!$R351), 0, 1), 5, if(ISBLANK('2025'!$S351), 0, 1), 6, if(ISBLANK('2025'!$T351), 0, 1), 7, 0))), 1, "")</f>
        <v/>
      </c>
      <c r="AU353" s="1" t="str">
        <f>IF(AND(AND(AND(AU$4&gt;='2025'!$L351,AU$4&lt;='2025'!$M351), AU$4&lt;&gt;DATE(2025,7,4)), (SWITCH(weekday(AU$4), 1, 0, 2, if(ISBLANK('2025'!$P351), 0, 1), 3, if(ISBLANK('2025'!$Q351), 0, 1), 4, if(ISBLANK('2025'!$R351), 0, 1), 5, if(ISBLANK('2025'!$S351), 0, 1), 6, if(ISBLANK('2025'!$T351), 0, 1), 7, 0))), 1, "")</f>
        <v/>
      </c>
      <c r="AV353" s="1" t="str">
        <f>IF(AND(AND(AND(AV$4&gt;='2025'!$L351,AV$4&lt;='2025'!$M351), AV$4&lt;&gt;DATE(2025,7,4)), (SWITCH(weekday(AV$4), 1, 0, 2, if(ISBLANK('2025'!$P351), 0, 1), 3, if(ISBLANK('2025'!$Q351), 0, 1), 4, if(ISBLANK('2025'!$R351), 0, 1), 5, if(ISBLANK('2025'!$S351), 0, 1), 6, if(ISBLANK('2025'!$T351), 0, 1), 7, 0))), 1, "")</f>
        <v/>
      </c>
      <c r="AW353" s="1" t="str">
        <f>IF(AND(AND(AND(AW$4&gt;='2025'!$L351,AW$4&lt;='2025'!$M351), AW$4&lt;&gt;DATE(2025,7,4)), (SWITCH(weekday(AW$4), 1, 0, 2, if(ISBLANK('2025'!$P351), 0, 1), 3, if(ISBLANK('2025'!$Q351), 0, 1), 4, if(ISBLANK('2025'!$R351), 0, 1), 5, if(ISBLANK('2025'!$S351), 0, 1), 6, if(ISBLANK('2025'!$T351), 0, 1), 7, 0))), 1, "")</f>
        <v/>
      </c>
      <c r="AX353" s="1" t="str">
        <f>IF(AND(AND(AND(AX$4&gt;='2025'!$L351,AX$4&lt;='2025'!$M351), AX$4&lt;&gt;DATE(2025,7,4)), (SWITCH(weekday(AX$4), 1, 0, 2, if(ISBLANK('2025'!$P351), 0, 1), 3, if(ISBLANK('2025'!$Q351), 0, 1), 4, if(ISBLANK('2025'!$R351), 0, 1), 5, if(ISBLANK('2025'!$S351), 0, 1), 6, if(ISBLANK('2025'!$T351), 0, 1), 7, 0))), 1, "")</f>
        <v/>
      </c>
      <c r="AY353" s="1" t="str">
        <f>IF(AND(AND(AND(AY$4&gt;='2025'!$L351,AY$4&lt;='2025'!$M351), AY$4&lt;&gt;DATE(2025,7,4)), (SWITCH(weekday(AY$4), 1, 0, 2, if(ISBLANK('2025'!$P351), 0, 1), 3, if(ISBLANK('2025'!$Q351), 0, 1), 4, if(ISBLANK('2025'!$R351), 0, 1), 5, if(ISBLANK('2025'!$S351), 0, 1), 6, if(ISBLANK('2025'!$T351), 0, 1), 7, 0))), 1, "")</f>
        <v/>
      </c>
      <c r="AZ353" s="1" t="str">
        <f>IF(AND(AND(AND(AZ$4&gt;='2025'!$L351,AZ$4&lt;='2025'!$M351), AZ$4&lt;&gt;DATE(2025,7,4)), (SWITCH(weekday(AZ$4), 1, 0, 2, if(ISBLANK('2025'!$P351), 0, 1), 3, if(ISBLANK('2025'!$Q351), 0, 1), 4, if(ISBLANK('2025'!$R351), 0, 1), 5, if(ISBLANK('2025'!$S351), 0, 1), 6, if(ISBLANK('2025'!$T351), 0, 1), 7, 0))), 1, "")</f>
        <v/>
      </c>
      <c r="BA353" s="1" t="str">
        <f>IF(AND(AND(AND(BA$4&gt;='2025'!$L351,BA$4&lt;='2025'!$M351), BA$4&lt;&gt;DATE(2025,7,4)), (SWITCH(weekday(BA$4), 1, 0, 2, if(ISBLANK('2025'!$P351), 0, 1), 3, if(ISBLANK('2025'!$Q351), 0, 1), 4, if(ISBLANK('2025'!$R351), 0, 1), 5, if(ISBLANK('2025'!$S351), 0, 1), 6, if(ISBLANK('2025'!$T351), 0, 1), 7, 0))), 1, "")</f>
        <v/>
      </c>
      <c r="BB353" s="1" t="str">
        <f>IF(AND(AND(AND(BB$4&gt;='2025'!$L351,BB$4&lt;='2025'!$M351), BB$4&lt;&gt;DATE(2025,7,4)), (SWITCH(weekday(BB$4), 1, 0, 2, if(ISBLANK('2025'!$P351), 0, 1), 3, if(ISBLANK('2025'!$Q351), 0, 1), 4, if(ISBLANK('2025'!$R351), 0, 1), 5, if(ISBLANK('2025'!$S351), 0, 1), 6, if(ISBLANK('2025'!$T351), 0, 1), 7, 0))), 1, "")</f>
        <v/>
      </c>
      <c r="BC353" s="1" t="str">
        <f>IF(AND(AND(AND(BC$4&gt;='2025'!$L351,BC$4&lt;='2025'!$M351), BC$4&lt;&gt;DATE(2025,7,4)), (SWITCH(weekday(BC$4), 1, 0, 2, if(ISBLANK('2025'!$P351), 0, 1), 3, if(ISBLANK('2025'!$Q351), 0, 1), 4, if(ISBLANK('2025'!$R351), 0, 1), 5, if(ISBLANK('2025'!$S351), 0, 1), 6, if(ISBLANK('2025'!$T351), 0, 1), 7, 0))), 1, "")</f>
        <v/>
      </c>
      <c r="BD353" s="1" t="str">
        <f>IF(AND(AND(AND(BD$4&gt;='2025'!$L351,BD$4&lt;='2025'!$M351), BD$4&lt;&gt;DATE(2025,7,4)), (SWITCH(weekday(BD$4), 1, 0, 2, if(ISBLANK('2025'!$P351), 0, 1), 3, if(ISBLANK('2025'!$Q351), 0, 1), 4, if(ISBLANK('2025'!$R351), 0, 1), 5, if(ISBLANK('2025'!$S351), 0, 1), 6, if(ISBLANK('2025'!$T351), 0, 1), 7, 0))), 1, "")</f>
        <v/>
      </c>
      <c r="BE353" s="1" t="str">
        <f>IF(AND(AND(AND(BE$4&gt;='2025'!$L351,BE$4&lt;='2025'!$M351), BE$4&lt;&gt;DATE(2025,7,4)), (SWITCH(weekday(BE$4), 1, 0, 2, if(ISBLANK('2025'!$P351), 0, 1), 3, if(ISBLANK('2025'!$Q351), 0, 1), 4, if(ISBLANK('2025'!$R351), 0, 1), 5, if(ISBLANK('2025'!$S351), 0, 1), 6, if(ISBLANK('2025'!$T351), 0, 1), 7, 0))), 1, "")</f>
        <v/>
      </c>
      <c r="BF353" s="1" t="str">
        <f>IF(AND(AND(AND(BF$4&gt;='2025'!$L351,BF$4&lt;='2025'!$M351), BF$4&lt;&gt;DATE(2025,7,4)), (SWITCH(weekday(BF$4), 1, 0, 2, if(ISBLANK('2025'!$P351), 0, 1), 3, if(ISBLANK('2025'!$Q351), 0, 1), 4, if(ISBLANK('2025'!$R351), 0, 1), 5, if(ISBLANK('2025'!$S351), 0, 1), 6, if(ISBLANK('2025'!$T351), 0, 1), 7, 0))), 1, "")</f>
        <v/>
      </c>
      <c r="BG353" s="1"/>
      <c r="BH353" s="1"/>
      <c r="BI353" s="1"/>
      <c r="BJ353" s="1"/>
      <c r="BK353" s="1"/>
      <c r="BL353" s="1"/>
    </row>
    <row r="354">
      <c r="A354" s="1">
        <f t="shared" si="3"/>
        <v>354</v>
      </c>
      <c r="B354" s="1" t="str">
        <f>'2025'!D318</f>
        <v>, </v>
      </c>
      <c r="C354" s="1" t="str">
        <f>'2025'!H318</f>
        <v/>
      </c>
      <c r="D354" s="1" t="str">
        <f>IF(AND(AND(AND(D$4&gt;='2025'!$L352,D$4&lt;='2025'!$M352), D$4&lt;&gt;DATE(2025,7,4)), (SWITCH(weekday(D$4), 1, 0, 2, if(ISBLANK('2025'!$P352), 0, 1), 3, if(ISBLANK('2025'!$Q352), 0, 1), 4, if(ISBLANK('2025'!$R352), 0, 1), 5, if(ISBLANK('2025'!$S352), 0, 1), 6, if(ISBLANK('2025'!$T352), 0, 1), 7, 0))), 1, "")</f>
        <v/>
      </c>
      <c r="E354" s="1" t="str">
        <f>IF(AND(AND(AND(E$4&gt;='2025'!$L352,E$4&lt;='2025'!$M352), E$4&lt;&gt;DATE(2025,7,4)), (SWITCH(weekday(E$4), 1, 0, 2, if(ISBLANK('2025'!$P352), 0, 1), 3, if(ISBLANK('2025'!$Q352), 0, 1), 4, if(ISBLANK('2025'!$R352), 0, 1), 5, if(ISBLANK('2025'!$S352), 0, 1), 6, if(ISBLANK('2025'!$T352), 0, 1), 7, 0))), 1, "")</f>
        <v/>
      </c>
      <c r="F354" s="1" t="str">
        <f>IF(AND(AND(AND(F$4&gt;='2025'!$L352,F$4&lt;='2025'!$M352), F$4&lt;&gt;DATE(2025,7,4)), (SWITCH(weekday(F$4), 1, 0, 2, if(ISBLANK('2025'!$P352), 0, 1), 3, if(ISBLANK('2025'!$Q352), 0, 1), 4, if(ISBLANK('2025'!$R352), 0, 1), 5, if(ISBLANK('2025'!$S352), 0, 1), 6, if(ISBLANK('2025'!$T352), 0, 1), 7, 0))), 1, "")</f>
        <v/>
      </c>
      <c r="G354" s="1" t="str">
        <f>IF(AND(AND(AND(G$4&gt;='2025'!$L352,G$4&lt;='2025'!$M352), G$4&lt;&gt;DATE(2025,7,4)), (SWITCH(weekday(G$4), 1, 0, 2, if(ISBLANK('2025'!$P352), 0, 1), 3, if(ISBLANK('2025'!$Q352), 0, 1), 4, if(ISBLANK('2025'!$R352), 0, 1), 5, if(ISBLANK('2025'!$S352), 0, 1), 6, if(ISBLANK('2025'!$T352), 0, 1), 7, 0))), 1, "")</f>
        <v/>
      </c>
      <c r="H354" s="1" t="str">
        <f>IF(AND(AND(AND(H$4&gt;='2025'!$L352,H$4&lt;='2025'!$M352), H$4&lt;&gt;DATE(2025,7,4)), (SWITCH(weekday(H$4), 1, 0, 2, if(ISBLANK('2025'!$P352), 0, 1), 3, if(ISBLANK('2025'!$Q352), 0, 1), 4, if(ISBLANK('2025'!$R352), 0, 1), 5, if(ISBLANK('2025'!$S352), 0, 1), 6, if(ISBLANK('2025'!$T352), 0, 1), 7, 0))), 1, "")</f>
        <v/>
      </c>
      <c r="I354" s="1" t="str">
        <f>IF(AND(AND(AND(I$4&gt;='2025'!$L352,I$4&lt;='2025'!$M352), I$4&lt;&gt;DATE(2025,7,4)), (SWITCH(weekday(I$4), 1, 0, 2, if(ISBLANK('2025'!$P352), 0, 1), 3, if(ISBLANK('2025'!$Q352), 0, 1), 4, if(ISBLANK('2025'!$R352), 0, 1), 5, if(ISBLANK('2025'!$S352), 0, 1), 6, if(ISBLANK('2025'!$T352), 0, 1), 7, 0))), 1, "")</f>
        <v/>
      </c>
      <c r="J354" s="1" t="str">
        <f>IF(AND(AND(AND(J$4&gt;='2025'!$L352,J$4&lt;='2025'!$M352), J$4&lt;&gt;DATE(2025,7,4)), (SWITCH(weekday(J$4), 1, 0, 2, if(ISBLANK('2025'!$P352), 0, 1), 3, if(ISBLANK('2025'!$Q352), 0, 1), 4, if(ISBLANK('2025'!$R352), 0, 1), 5, if(ISBLANK('2025'!$S352), 0, 1), 6, if(ISBLANK('2025'!$T352), 0, 1), 7, 0))), 1, "")</f>
        <v/>
      </c>
      <c r="K354" s="1" t="str">
        <f>IF(AND(AND(AND(K$4&gt;='2025'!$L352,K$4&lt;='2025'!$M352), K$4&lt;&gt;DATE(2025,7,4)), (SWITCH(weekday(K$4), 1, 0, 2, if(ISBLANK('2025'!$P352), 0, 1), 3, if(ISBLANK('2025'!$Q352), 0, 1), 4, if(ISBLANK('2025'!$R352), 0, 1), 5, if(ISBLANK('2025'!$S352), 0, 1), 6, if(ISBLANK('2025'!$T352), 0, 1), 7, 0))), 1, "")</f>
        <v/>
      </c>
      <c r="L354" s="1" t="str">
        <f>IF(AND(AND(AND(L$4&gt;='2025'!$L352,L$4&lt;='2025'!$M352), L$4&lt;&gt;DATE(2025,7,4)), (SWITCH(weekday(L$4), 1, 0, 2, if(ISBLANK('2025'!$P352), 0, 1), 3, if(ISBLANK('2025'!$Q352), 0, 1), 4, if(ISBLANK('2025'!$R352), 0, 1), 5, if(ISBLANK('2025'!$S352), 0, 1), 6, if(ISBLANK('2025'!$T352), 0, 1), 7, 0))), 1, "")</f>
        <v/>
      </c>
      <c r="M354" s="1" t="str">
        <f>IF(AND(AND(AND(M$4&gt;='2025'!$L352,M$4&lt;='2025'!$M352), M$4&lt;&gt;DATE(2025,7,4)), (SWITCH(weekday(M$4), 1, 0, 2, if(ISBLANK('2025'!$P352), 0, 1), 3, if(ISBLANK('2025'!$Q352), 0, 1), 4, if(ISBLANK('2025'!$R352), 0, 1), 5, if(ISBLANK('2025'!$S352), 0, 1), 6, if(ISBLANK('2025'!$T352), 0, 1), 7, 0))), 1, "")</f>
        <v/>
      </c>
      <c r="N354" s="1" t="str">
        <f>IF(AND(AND(AND(N$4&gt;='2025'!$L352,N$4&lt;='2025'!$M352), N$4&lt;&gt;DATE(2025,7,4)), (SWITCH(weekday(N$4), 1, 0, 2, if(ISBLANK('2025'!$P352), 0, 1), 3, if(ISBLANK('2025'!$Q352), 0, 1), 4, if(ISBLANK('2025'!$R352), 0, 1), 5, if(ISBLANK('2025'!$S352), 0, 1), 6, if(ISBLANK('2025'!$T352), 0, 1), 7, 0))), 1, "")</f>
        <v/>
      </c>
      <c r="O354" s="1" t="str">
        <f>IF(AND(AND(AND(O$4&gt;='2025'!$L352,O$4&lt;='2025'!$M352), O$4&lt;&gt;DATE(2025,7,4)), (SWITCH(weekday(O$4), 1, 0, 2, if(ISBLANK('2025'!$P352), 0, 1), 3, if(ISBLANK('2025'!$Q352), 0, 1), 4, if(ISBLANK('2025'!$R352), 0, 1), 5, if(ISBLANK('2025'!$S352), 0, 1), 6, if(ISBLANK('2025'!$T352), 0, 1), 7, 0))), 1, "")</f>
        <v/>
      </c>
      <c r="P354" s="1" t="str">
        <f>IF(AND(AND(AND(P$4&gt;='2025'!$L352,P$4&lt;='2025'!$M352), P$4&lt;&gt;DATE(2025,7,4)), (SWITCH(weekday(P$4), 1, 0, 2, if(ISBLANK('2025'!$P352), 0, 1), 3, if(ISBLANK('2025'!$Q352), 0, 1), 4, if(ISBLANK('2025'!$R352), 0, 1), 5, if(ISBLANK('2025'!$S352), 0, 1), 6, if(ISBLANK('2025'!$T352), 0, 1), 7, 0))), 1, "")</f>
        <v/>
      </c>
      <c r="Q354" s="1" t="str">
        <f>IF(AND(AND(AND(Q$4&gt;='2025'!$L352,Q$4&lt;='2025'!$M352), Q$4&lt;&gt;DATE(2025,7,4)), (SWITCH(weekday(Q$4), 1, 0, 2, if(ISBLANK('2025'!$P352), 0, 1), 3, if(ISBLANK('2025'!$Q352), 0, 1), 4, if(ISBLANK('2025'!$R352), 0, 1), 5, if(ISBLANK('2025'!$S352), 0, 1), 6, if(ISBLANK('2025'!$T352), 0, 1), 7, 0))), 1, "")</f>
        <v/>
      </c>
      <c r="R354" s="1" t="str">
        <f>IF(AND(AND(AND(R$4&gt;='2025'!$L352,R$4&lt;='2025'!$M352), R$4&lt;&gt;DATE(2025,7,4)), (SWITCH(weekday(R$4), 1, 0, 2, if(ISBLANK('2025'!$P352), 0, 1), 3, if(ISBLANK('2025'!$Q352), 0, 1), 4, if(ISBLANK('2025'!$R352), 0, 1), 5, if(ISBLANK('2025'!$S352), 0, 1), 6, if(ISBLANK('2025'!$T352), 0, 1), 7, 0))), 1, "")</f>
        <v/>
      </c>
      <c r="S354" s="1" t="str">
        <f>IF(AND(AND(AND(S$4&gt;='2025'!$L352,S$4&lt;='2025'!$M352), S$4&lt;&gt;DATE(2025,7,4)), (SWITCH(weekday(S$4), 1, 0, 2, if(ISBLANK('2025'!$P352), 0, 1), 3, if(ISBLANK('2025'!$Q352), 0, 1), 4, if(ISBLANK('2025'!$R352), 0, 1), 5, if(ISBLANK('2025'!$S352), 0, 1), 6, if(ISBLANK('2025'!$T352), 0, 1), 7, 0))), 1, "")</f>
        <v/>
      </c>
      <c r="T354" s="1" t="str">
        <f>IF(AND(AND(AND(T$4&gt;='2025'!$L352,T$4&lt;='2025'!$M352), T$4&lt;&gt;DATE(2025,7,4)), (SWITCH(weekday(T$4), 1, 0, 2, if(ISBLANK('2025'!$P352), 0, 1), 3, if(ISBLANK('2025'!$Q352), 0, 1), 4, if(ISBLANK('2025'!$R352), 0, 1), 5, if(ISBLANK('2025'!$S352), 0, 1), 6, if(ISBLANK('2025'!$T352), 0, 1), 7, 0))), 1, "")</f>
        <v/>
      </c>
      <c r="U354" s="1" t="str">
        <f>IF(AND(AND(AND(U$4&gt;='2025'!$L352,U$4&lt;='2025'!$M352), U$4&lt;&gt;DATE(2025,7,4)), (SWITCH(weekday(U$4), 1, 0, 2, if(ISBLANK('2025'!$P352), 0, 1), 3, if(ISBLANK('2025'!$Q352), 0, 1), 4, if(ISBLANK('2025'!$R352), 0, 1), 5, if(ISBLANK('2025'!$S352), 0, 1), 6, if(ISBLANK('2025'!$T352), 0, 1), 7, 0))), 1, "")</f>
        <v/>
      </c>
      <c r="V354" s="1" t="str">
        <f>IF(AND(AND(AND(V$4&gt;='2025'!$L352,V$4&lt;='2025'!$M352), V$4&lt;&gt;DATE(2025,7,4)), (SWITCH(weekday(V$4), 1, 0, 2, if(ISBLANK('2025'!$P352), 0, 1), 3, if(ISBLANK('2025'!$Q352), 0, 1), 4, if(ISBLANK('2025'!$R352), 0, 1), 5, if(ISBLANK('2025'!$S352), 0, 1), 6, if(ISBLANK('2025'!$T352), 0, 1), 7, 0))), 1, "")</f>
        <v/>
      </c>
      <c r="W354" s="1" t="str">
        <f>IF(AND(AND(AND(W$4&gt;='2025'!$L352,W$4&lt;='2025'!$M352), W$4&lt;&gt;DATE(2025,7,4)), (SWITCH(weekday(W$4), 1, 0, 2, if(ISBLANK('2025'!$P352), 0, 1), 3, if(ISBLANK('2025'!$Q352), 0, 1), 4, if(ISBLANK('2025'!$R352), 0, 1), 5, if(ISBLANK('2025'!$S352), 0, 1), 6, if(ISBLANK('2025'!$T352), 0, 1), 7, 0))), 1, "")</f>
        <v/>
      </c>
      <c r="X354" s="1" t="str">
        <f>IF(AND(AND(AND(X$4&gt;='2025'!$L352,X$4&lt;='2025'!$M352), X$4&lt;&gt;DATE(2025,7,4)), (SWITCH(weekday(X$4), 1, 0, 2, if(ISBLANK('2025'!$P352), 0, 1), 3, if(ISBLANK('2025'!$Q352), 0, 1), 4, if(ISBLANK('2025'!$R352), 0, 1), 5, if(ISBLANK('2025'!$S352), 0, 1), 6, if(ISBLANK('2025'!$T352), 0, 1), 7, 0))), 1, "")</f>
        <v/>
      </c>
      <c r="Y354" s="1" t="str">
        <f>IF(AND(AND(AND(Y$4&gt;='2025'!$L352,Y$4&lt;='2025'!$M352), Y$4&lt;&gt;DATE(2025,7,4)), (SWITCH(weekday(Y$4), 1, 0, 2, if(ISBLANK('2025'!$P352), 0, 1), 3, if(ISBLANK('2025'!$Q352), 0, 1), 4, if(ISBLANK('2025'!$R352), 0, 1), 5, if(ISBLANK('2025'!$S352), 0, 1), 6, if(ISBLANK('2025'!$T352), 0, 1), 7, 0))), 1, "")</f>
        <v/>
      </c>
      <c r="Z354" s="1" t="str">
        <f>IF(AND(AND(AND(Z$4&gt;='2025'!$L352,Z$4&lt;='2025'!$M352), Z$4&lt;&gt;DATE(2025,7,4)), (SWITCH(weekday(Z$4), 1, 0, 2, if(ISBLANK('2025'!$P352), 0, 1), 3, if(ISBLANK('2025'!$Q352), 0, 1), 4, if(ISBLANK('2025'!$R352), 0, 1), 5, if(ISBLANK('2025'!$S352), 0, 1), 6, if(ISBLANK('2025'!$T352), 0, 1), 7, 0))), 1, "")</f>
        <v/>
      </c>
      <c r="AA354" s="1" t="str">
        <f>IF(AND(AND(AND(AA$4&gt;='2025'!$L352,AA$4&lt;='2025'!$M352), AA$4&lt;&gt;DATE(2025,7,4)), (SWITCH(weekday(AA$4), 1, 0, 2, if(ISBLANK('2025'!$P352), 0, 1), 3, if(ISBLANK('2025'!$Q352), 0, 1), 4, if(ISBLANK('2025'!$R352), 0, 1), 5, if(ISBLANK('2025'!$S352), 0, 1), 6, if(ISBLANK('2025'!$T352), 0, 1), 7, 0))), 1, "")</f>
        <v/>
      </c>
      <c r="AB354" s="1" t="str">
        <f>IF(AND(AND(AND(AB$4&gt;='2025'!$L352,AB$4&lt;='2025'!$M352), AB$4&lt;&gt;DATE(2025,7,4)), (SWITCH(weekday(AB$4), 1, 0, 2, if(ISBLANK('2025'!$P352), 0, 1), 3, if(ISBLANK('2025'!$Q352), 0, 1), 4, if(ISBLANK('2025'!$R352), 0, 1), 5, if(ISBLANK('2025'!$S352), 0, 1), 6, if(ISBLANK('2025'!$T352), 0, 1), 7, 0))), 1, "")</f>
        <v/>
      </c>
      <c r="AC354" s="1" t="str">
        <f>IF(AND(AND(AND(AC$4&gt;='2025'!$L352,AC$4&lt;='2025'!$M352), AC$4&lt;&gt;DATE(2025,7,4)), (SWITCH(weekday(AC$4), 1, 0, 2, if(ISBLANK('2025'!$P352), 0, 1), 3, if(ISBLANK('2025'!$Q352), 0, 1), 4, if(ISBLANK('2025'!$R352), 0, 1), 5, if(ISBLANK('2025'!$S352), 0, 1), 6, if(ISBLANK('2025'!$T352), 0, 1), 7, 0))), 1, "")</f>
        <v/>
      </c>
      <c r="AD354" s="1" t="str">
        <f>IF(AND(AND(AND(AD$4&gt;='2025'!$L352,AD$4&lt;='2025'!$M352), AD$4&lt;&gt;DATE(2025,7,4)), (SWITCH(weekday(AD$4), 1, 0, 2, if(ISBLANK('2025'!$P352), 0, 1), 3, if(ISBLANK('2025'!$Q352), 0, 1), 4, if(ISBLANK('2025'!$R352), 0, 1), 5, if(ISBLANK('2025'!$S352), 0, 1), 6, if(ISBLANK('2025'!$T352), 0, 1), 7, 0))), 1, "")</f>
        <v/>
      </c>
      <c r="AE354" s="1" t="str">
        <f>IF(AND(AND(AND(AE$4&gt;='2025'!$L352,AE$4&lt;='2025'!$M352), AE$4&lt;&gt;DATE(2025,7,4)), (SWITCH(weekday(AE$4), 1, 0, 2, if(ISBLANK('2025'!$P352), 0, 1), 3, if(ISBLANK('2025'!$Q352), 0, 1), 4, if(ISBLANK('2025'!$R352), 0, 1), 5, if(ISBLANK('2025'!$S352), 0, 1), 6, if(ISBLANK('2025'!$T352), 0, 1), 7, 0))), 1, "")</f>
        <v/>
      </c>
      <c r="AF354" s="1" t="str">
        <f>IF(AND(AND(AND(AF$4&gt;='2025'!$L352,AF$4&lt;='2025'!$M352), AF$4&lt;&gt;DATE(2025,7,4)), (SWITCH(weekday(AF$4), 1, 0, 2, if(ISBLANK('2025'!$P352), 0, 1), 3, if(ISBLANK('2025'!$Q352), 0, 1), 4, if(ISBLANK('2025'!$R352), 0, 1), 5, if(ISBLANK('2025'!$S352), 0, 1), 6, if(ISBLANK('2025'!$T352), 0, 1), 7, 0))), 1, "")</f>
        <v/>
      </c>
      <c r="AG354" s="1" t="str">
        <f>IF(AND(AND(AND(AG$4&gt;='2025'!$L352,AG$4&lt;='2025'!$M352), AG$4&lt;&gt;DATE(2025,7,4)), (SWITCH(weekday(AG$4), 1, 0, 2, if(ISBLANK('2025'!$P352), 0, 1), 3, if(ISBLANK('2025'!$Q352), 0, 1), 4, if(ISBLANK('2025'!$R352), 0, 1), 5, if(ISBLANK('2025'!$S352), 0, 1), 6, if(ISBLANK('2025'!$T352), 0, 1), 7, 0))), 1, "")</f>
        <v/>
      </c>
      <c r="AH354" s="1" t="str">
        <f>IF(AND(AND(AND(AH$4&gt;='2025'!$L352,AH$4&lt;='2025'!$M352), AH$4&lt;&gt;DATE(2025,7,4)), (SWITCH(weekday(AH$4), 1, 0, 2, if(ISBLANK('2025'!$P352), 0, 1), 3, if(ISBLANK('2025'!$Q352), 0, 1), 4, if(ISBLANK('2025'!$R352), 0, 1), 5, if(ISBLANK('2025'!$S352), 0, 1), 6, if(ISBLANK('2025'!$T352), 0, 1), 7, 0))), 1, "")</f>
        <v/>
      </c>
      <c r="AI354" s="1" t="str">
        <f>IF(AND(AND(AND(AI$4&gt;='2025'!$L352,AI$4&lt;='2025'!$M352), AI$4&lt;&gt;DATE(2025,7,4)), (SWITCH(weekday(AI$4), 1, 0, 2, if(ISBLANK('2025'!$P352), 0, 1), 3, if(ISBLANK('2025'!$Q352), 0, 1), 4, if(ISBLANK('2025'!$R352), 0, 1), 5, if(ISBLANK('2025'!$S352), 0, 1), 6, if(ISBLANK('2025'!$T352), 0, 1), 7, 0))), 1, "")</f>
        <v/>
      </c>
      <c r="AJ354" s="1" t="str">
        <f>IF(AND(AND(AND(AJ$4&gt;='2025'!$L352,AJ$4&lt;='2025'!$M352), AJ$4&lt;&gt;DATE(2025,7,4)), (SWITCH(weekday(AJ$4), 1, 0, 2, if(ISBLANK('2025'!$P352), 0, 1), 3, if(ISBLANK('2025'!$Q352), 0, 1), 4, if(ISBLANK('2025'!$R352), 0, 1), 5, if(ISBLANK('2025'!$S352), 0, 1), 6, if(ISBLANK('2025'!$T352), 0, 1), 7, 0))), 1, "")</f>
        <v/>
      </c>
      <c r="AK354" s="1" t="str">
        <f>IF(AND(AND(AND(AK$4&gt;='2025'!$L352,AK$4&lt;='2025'!$M352), AK$4&lt;&gt;DATE(2025,7,4)), (SWITCH(weekday(AK$4), 1, 0, 2, if(ISBLANK('2025'!$P352), 0, 1), 3, if(ISBLANK('2025'!$Q352), 0, 1), 4, if(ISBLANK('2025'!$R352), 0, 1), 5, if(ISBLANK('2025'!$S352), 0, 1), 6, if(ISBLANK('2025'!$T352), 0, 1), 7, 0))), 1, "")</f>
        <v/>
      </c>
      <c r="AL354" s="1" t="str">
        <f>IF(AND(AND(AND(AL$4&gt;='2025'!$L352,AL$4&lt;='2025'!$M352), AL$4&lt;&gt;DATE(2025,7,4)), (SWITCH(weekday(AL$4), 1, 0, 2, if(ISBLANK('2025'!$P352), 0, 1), 3, if(ISBLANK('2025'!$Q352), 0, 1), 4, if(ISBLANK('2025'!$R352), 0, 1), 5, if(ISBLANK('2025'!$S352), 0, 1), 6, if(ISBLANK('2025'!$T352), 0, 1), 7, 0))), 1, "")</f>
        <v/>
      </c>
      <c r="AM354" s="1" t="str">
        <f>IF(AND(AND(AND(AM$4&gt;='2025'!$L352,AM$4&lt;='2025'!$M352), AM$4&lt;&gt;DATE(2025,7,4)), (SWITCH(weekday(AM$4), 1, 0, 2, if(ISBLANK('2025'!$P352), 0, 1), 3, if(ISBLANK('2025'!$Q352), 0, 1), 4, if(ISBLANK('2025'!$R352), 0, 1), 5, if(ISBLANK('2025'!$S352), 0, 1), 6, if(ISBLANK('2025'!$T352), 0, 1), 7, 0))), 1, "")</f>
        <v/>
      </c>
      <c r="AN354" s="1" t="str">
        <f>IF(AND(AND(AND(AN$4&gt;='2025'!$L352,AN$4&lt;='2025'!$M352), AN$4&lt;&gt;DATE(2025,7,4)), (SWITCH(weekday(AN$4), 1, 0, 2, if(ISBLANK('2025'!$P352), 0, 1), 3, if(ISBLANK('2025'!$Q352), 0, 1), 4, if(ISBLANK('2025'!$R352), 0, 1), 5, if(ISBLANK('2025'!$S352), 0, 1), 6, if(ISBLANK('2025'!$T352), 0, 1), 7, 0))), 1, "")</f>
        <v/>
      </c>
      <c r="AO354" s="1" t="str">
        <f>IF(AND(AND(AND(AO$4&gt;='2025'!$L352,AO$4&lt;='2025'!$M352), AO$4&lt;&gt;DATE(2025,7,4)), (SWITCH(weekday(AO$4), 1, 0, 2, if(ISBLANK('2025'!$P352), 0, 1), 3, if(ISBLANK('2025'!$Q352), 0, 1), 4, if(ISBLANK('2025'!$R352), 0, 1), 5, if(ISBLANK('2025'!$S352), 0, 1), 6, if(ISBLANK('2025'!$T352), 0, 1), 7, 0))), 1, "")</f>
        <v/>
      </c>
      <c r="AP354" s="1" t="str">
        <f>IF(AND(AND(AND(AP$4&gt;='2025'!$L352,AP$4&lt;='2025'!$M352), AP$4&lt;&gt;DATE(2025,7,4)), (SWITCH(weekday(AP$4), 1, 0, 2, if(ISBLANK('2025'!$P352), 0, 1), 3, if(ISBLANK('2025'!$Q352), 0, 1), 4, if(ISBLANK('2025'!$R352), 0, 1), 5, if(ISBLANK('2025'!$S352), 0, 1), 6, if(ISBLANK('2025'!$T352), 0, 1), 7, 0))), 1, "")</f>
        <v/>
      </c>
      <c r="AQ354" s="1" t="str">
        <f>IF(AND(AND(AND(AQ$4&gt;='2025'!$L352,AQ$4&lt;='2025'!$M352), AQ$4&lt;&gt;DATE(2025,7,4)), (SWITCH(weekday(AQ$4), 1, 0, 2, if(ISBLANK('2025'!$P352), 0, 1), 3, if(ISBLANK('2025'!$Q352), 0, 1), 4, if(ISBLANK('2025'!$R352), 0, 1), 5, if(ISBLANK('2025'!$S352), 0, 1), 6, if(ISBLANK('2025'!$T352), 0, 1), 7, 0))), 1, "")</f>
        <v/>
      </c>
      <c r="AR354" s="1" t="str">
        <f>IF(AND(AND(AND(AR$4&gt;='2025'!$L352,AR$4&lt;='2025'!$M352), AR$4&lt;&gt;DATE(2025,7,4)), (SWITCH(weekday(AR$4), 1, 0, 2, if(ISBLANK('2025'!$P352), 0, 1), 3, if(ISBLANK('2025'!$Q352), 0, 1), 4, if(ISBLANK('2025'!$R352), 0, 1), 5, if(ISBLANK('2025'!$S352), 0, 1), 6, if(ISBLANK('2025'!$T352), 0, 1), 7, 0))), 1, "")</f>
        <v/>
      </c>
      <c r="AS354" s="1" t="str">
        <f>IF(AND(AND(AND(AS$4&gt;='2025'!$L352,AS$4&lt;='2025'!$M352), AS$4&lt;&gt;DATE(2025,7,4)), (SWITCH(weekday(AS$4), 1, 0, 2, if(ISBLANK('2025'!$P352), 0, 1), 3, if(ISBLANK('2025'!$Q352), 0, 1), 4, if(ISBLANK('2025'!$R352), 0, 1), 5, if(ISBLANK('2025'!$S352), 0, 1), 6, if(ISBLANK('2025'!$T352), 0, 1), 7, 0))), 1, "")</f>
        <v/>
      </c>
      <c r="AT354" s="1" t="str">
        <f>IF(AND(AND(AND(AT$4&gt;='2025'!$L352,AT$4&lt;='2025'!$M352), AT$4&lt;&gt;DATE(2025,7,4)), (SWITCH(weekday(AT$4), 1, 0, 2, if(ISBLANK('2025'!$P352), 0, 1), 3, if(ISBLANK('2025'!$Q352), 0, 1), 4, if(ISBLANK('2025'!$R352), 0, 1), 5, if(ISBLANK('2025'!$S352), 0, 1), 6, if(ISBLANK('2025'!$T352), 0, 1), 7, 0))), 1, "")</f>
        <v/>
      </c>
      <c r="AU354" s="1" t="str">
        <f>IF(AND(AND(AND(AU$4&gt;='2025'!$L352,AU$4&lt;='2025'!$M352), AU$4&lt;&gt;DATE(2025,7,4)), (SWITCH(weekday(AU$4), 1, 0, 2, if(ISBLANK('2025'!$P352), 0, 1), 3, if(ISBLANK('2025'!$Q352), 0, 1), 4, if(ISBLANK('2025'!$R352), 0, 1), 5, if(ISBLANK('2025'!$S352), 0, 1), 6, if(ISBLANK('2025'!$T352), 0, 1), 7, 0))), 1, "")</f>
        <v/>
      </c>
      <c r="AV354" s="1" t="str">
        <f>IF(AND(AND(AND(AV$4&gt;='2025'!$L352,AV$4&lt;='2025'!$M352), AV$4&lt;&gt;DATE(2025,7,4)), (SWITCH(weekday(AV$4), 1, 0, 2, if(ISBLANK('2025'!$P352), 0, 1), 3, if(ISBLANK('2025'!$Q352), 0, 1), 4, if(ISBLANK('2025'!$R352), 0, 1), 5, if(ISBLANK('2025'!$S352), 0, 1), 6, if(ISBLANK('2025'!$T352), 0, 1), 7, 0))), 1, "")</f>
        <v/>
      </c>
      <c r="AW354" s="1" t="str">
        <f>IF(AND(AND(AND(AW$4&gt;='2025'!$L352,AW$4&lt;='2025'!$M352), AW$4&lt;&gt;DATE(2025,7,4)), (SWITCH(weekday(AW$4), 1, 0, 2, if(ISBLANK('2025'!$P352), 0, 1), 3, if(ISBLANK('2025'!$Q352), 0, 1), 4, if(ISBLANK('2025'!$R352), 0, 1), 5, if(ISBLANK('2025'!$S352), 0, 1), 6, if(ISBLANK('2025'!$T352), 0, 1), 7, 0))), 1, "")</f>
        <v/>
      </c>
      <c r="AX354" s="1" t="str">
        <f>IF(AND(AND(AND(AX$4&gt;='2025'!$L352,AX$4&lt;='2025'!$M352), AX$4&lt;&gt;DATE(2025,7,4)), (SWITCH(weekday(AX$4), 1, 0, 2, if(ISBLANK('2025'!$P352), 0, 1), 3, if(ISBLANK('2025'!$Q352), 0, 1), 4, if(ISBLANK('2025'!$R352), 0, 1), 5, if(ISBLANK('2025'!$S352), 0, 1), 6, if(ISBLANK('2025'!$T352), 0, 1), 7, 0))), 1, "")</f>
        <v/>
      </c>
      <c r="AY354" s="1" t="str">
        <f>IF(AND(AND(AND(AY$4&gt;='2025'!$L352,AY$4&lt;='2025'!$M352), AY$4&lt;&gt;DATE(2025,7,4)), (SWITCH(weekday(AY$4), 1, 0, 2, if(ISBLANK('2025'!$P352), 0, 1), 3, if(ISBLANK('2025'!$Q352), 0, 1), 4, if(ISBLANK('2025'!$R352), 0, 1), 5, if(ISBLANK('2025'!$S352), 0, 1), 6, if(ISBLANK('2025'!$T352), 0, 1), 7, 0))), 1, "")</f>
        <v/>
      </c>
      <c r="AZ354" s="1" t="str">
        <f>IF(AND(AND(AND(AZ$4&gt;='2025'!$L352,AZ$4&lt;='2025'!$M352), AZ$4&lt;&gt;DATE(2025,7,4)), (SWITCH(weekday(AZ$4), 1, 0, 2, if(ISBLANK('2025'!$P352), 0, 1), 3, if(ISBLANK('2025'!$Q352), 0, 1), 4, if(ISBLANK('2025'!$R352), 0, 1), 5, if(ISBLANK('2025'!$S352), 0, 1), 6, if(ISBLANK('2025'!$T352), 0, 1), 7, 0))), 1, "")</f>
        <v/>
      </c>
      <c r="BA354" s="1" t="str">
        <f>IF(AND(AND(AND(BA$4&gt;='2025'!$L352,BA$4&lt;='2025'!$M352), BA$4&lt;&gt;DATE(2025,7,4)), (SWITCH(weekday(BA$4), 1, 0, 2, if(ISBLANK('2025'!$P352), 0, 1), 3, if(ISBLANK('2025'!$Q352), 0, 1), 4, if(ISBLANK('2025'!$R352), 0, 1), 5, if(ISBLANK('2025'!$S352), 0, 1), 6, if(ISBLANK('2025'!$T352), 0, 1), 7, 0))), 1, "")</f>
        <v/>
      </c>
      <c r="BB354" s="1" t="str">
        <f>IF(AND(AND(AND(BB$4&gt;='2025'!$L352,BB$4&lt;='2025'!$M352), BB$4&lt;&gt;DATE(2025,7,4)), (SWITCH(weekday(BB$4), 1, 0, 2, if(ISBLANK('2025'!$P352), 0, 1), 3, if(ISBLANK('2025'!$Q352), 0, 1), 4, if(ISBLANK('2025'!$R352), 0, 1), 5, if(ISBLANK('2025'!$S352), 0, 1), 6, if(ISBLANK('2025'!$T352), 0, 1), 7, 0))), 1, "")</f>
        <v/>
      </c>
      <c r="BC354" s="1" t="str">
        <f>IF(AND(AND(AND(BC$4&gt;='2025'!$L352,BC$4&lt;='2025'!$M352), BC$4&lt;&gt;DATE(2025,7,4)), (SWITCH(weekday(BC$4), 1, 0, 2, if(ISBLANK('2025'!$P352), 0, 1), 3, if(ISBLANK('2025'!$Q352), 0, 1), 4, if(ISBLANK('2025'!$R352), 0, 1), 5, if(ISBLANK('2025'!$S352), 0, 1), 6, if(ISBLANK('2025'!$T352), 0, 1), 7, 0))), 1, "")</f>
        <v/>
      </c>
      <c r="BD354" s="1" t="str">
        <f>IF(AND(AND(AND(BD$4&gt;='2025'!$L352,BD$4&lt;='2025'!$M352), BD$4&lt;&gt;DATE(2025,7,4)), (SWITCH(weekday(BD$4), 1, 0, 2, if(ISBLANK('2025'!$P352), 0, 1), 3, if(ISBLANK('2025'!$Q352), 0, 1), 4, if(ISBLANK('2025'!$R352), 0, 1), 5, if(ISBLANK('2025'!$S352), 0, 1), 6, if(ISBLANK('2025'!$T352), 0, 1), 7, 0))), 1, "")</f>
        <v/>
      </c>
      <c r="BE354" s="1" t="str">
        <f>IF(AND(AND(AND(BE$4&gt;='2025'!$L352,BE$4&lt;='2025'!$M352), BE$4&lt;&gt;DATE(2025,7,4)), (SWITCH(weekday(BE$4), 1, 0, 2, if(ISBLANK('2025'!$P352), 0, 1), 3, if(ISBLANK('2025'!$Q352), 0, 1), 4, if(ISBLANK('2025'!$R352), 0, 1), 5, if(ISBLANK('2025'!$S352), 0, 1), 6, if(ISBLANK('2025'!$T352), 0, 1), 7, 0))), 1, "")</f>
        <v/>
      </c>
      <c r="BF354" s="1" t="str">
        <f>IF(AND(AND(AND(BF$4&gt;='2025'!$L352,BF$4&lt;='2025'!$M352), BF$4&lt;&gt;DATE(2025,7,4)), (SWITCH(weekday(BF$4), 1, 0, 2, if(ISBLANK('2025'!$P352), 0, 1), 3, if(ISBLANK('2025'!$Q352), 0, 1), 4, if(ISBLANK('2025'!$R352), 0, 1), 5, if(ISBLANK('2025'!$S352), 0, 1), 6, if(ISBLANK('2025'!$T352), 0, 1), 7, 0))), 1, "")</f>
        <v/>
      </c>
      <c r="BG354" s="1"/>
      <c r="BH354" s="1"/>
      <c r="BI354" s="1"/>
      <c r="BJ354" s="1"/>
      <c r="BK354" s="1"/>
      <c r="BL354" s="1"/>
    </row>
    <row r="355">
      <c r="A355" s="1">
        <f t="shared" si="3"/>
        <v>355</v>
      </c>
      <c r="B355" s="1" t="str">
        <f>'2025'!D319</f>
        <v>, </v>
      </c>
      <c r="C355" s="1" t="str">
        <f>'2025'!H319</f>
        <v/>
      </c>
      <c r="D355" s="1" t="str">
        <f>IF(AND(AND(AND(D$4&gt;='2025'!$L353,D$4&lt;='2025'!$M353), D$4&lt;&gt;DATE(2025,7,4)), (SWITCH(weekday(D$4), 1, 0, 2, if(ISBLANK('2025'!$P353), 0, 1), 3, if(ISBLANK('2025'!$Q353), 0, 1), 4, if(ISBLANK('2025'!$R353), 0, 1), 5, if(ISBLANK('2025'!$S353), 0, 1), 6, if(ISBLANK('2025'!$T353), 0, 1), 7, 0))), 1, "")</f>
        <v/>
      </c>
      <c r="E355" s="1" t="str">
        <f>IF(AND(AND(AND(E$4&gt;='2025'!$L353,E$4&lt;='2025'!$M353), E$4&lt;&gt;DATE(2025,7,4)), (SWITCH(weekday(E$4), 1, 0, 2, if(ISBLANK('2025'!$P353), 0, 1), 3, if(ISBLANK('2025'!$Q353), 0, 1), 4, if(ISBLANK('2025'!$R353), 0, 1), 5, if(ISBLANK('2025'!$S353), 0, 1), 6, if(ISBLANK('2025'!$T353), 0, 1), 7, 0))), 1, "")</f>
        <v/>
      </c>
      <c r="F355" s="1" t="str">
        <f>IF(AND(AND(AND(F$4&gt;='2025'!$L353,F$4&lt;='2025'!$M353), F$4&lt;&gt;DATE(2025,7,4)), (SWITCH(weekday(F$4), 1, 0, 2, if(ISBLANK('2025'!$P353), 0, 1), 3, if(ISBLANK('2025'!$Q353), 0, 1), 4, if(ISBLANK('2025'!$R353), 0, 1), 5, if(ISBLANK('2025'!$S353), 0, 1), 6, if(ISBLANK('2025'!$T353), 0, 1), 7, 0))), 1, "")</f>
        <v/>
      </c>
      <c r="G355" s="1" t="str">
        <f>IF(AND(AND(AND(G$4&gt;='2025'!$L353,G$4&lt;='2025'!$M353), G$4&lt;&gt;DATE(2025,7,4)), (SWITCH(weekday(G$4), 1, 0, 2, if(ISBLANK('2025'!$P353), 0, 1), 3, if(ISBLANK('2025'!$Q353), 0, 1), 4, if(ISBLANK('2025'!$R353), 0, 1), 5, if(ISBLANK('2025'!$S353), 0, 1), 6, if(ISBLANK('2025'!$T353), 0, 1), 7, 0))), 1, "")</f>
        <v/>
      </c>
      <c r="H355" s="1" t="str">
        <f>IF(AND(AND(AND(H$4&gt;='2025'!$L353,H$4&lt;='2025'!$M353), H$4&lt;&gt;DATE(2025,7,4)), (SWITCH(weekday(H$4), 1, 0, 2, if(ISBLANK('2025'!$P353), 0, 1), 3, if(ISBLANK('2025'!$Q353), 0, 1), 4, if(ISBLANK('2025'!$R353), 0, 1), 5, if(ISBLANK('2025'!$S353), 0, 1), 6, if(ISBLANK('2025'!$T353), 0, 1), 7, 0))), 1, "")</f>
        <v/>
      </c>
      <c r="I355" s="1" t="str">
        <f>IF(AND(AND(AND(I$4&gt;='2025'!$L353,I$4&lt;='2025'!$M353), I$4&lt;&gt;DATE(2025,7,4)), (SWITCH(weekday(I$4), 1, 0, 2, if(ISBLANK('2025'!$P353), 0, 1), 3, if(ISBLANK('2025'!$Q353), 0, 1), 4, if(ISBLANK('2025'!$R353), 0, 1), 5, if(ISBLANK('2025'!$S353), 0, 1), 6, if(ISBLANK('2025'!$T353), 0, 1), 7, 0))), 1, "")</f>
        <v/>
      </c>
      <c r="J355" s="1" t="str">
        <f>IF(AND(AND(AND(J$4&gt;='2025'!$L353,J$4&lt;='2025'!$M353), J$4&lt;&gt;DATE(2025,7,4)), (SWITCH(weekday(J$4), 1, 0, 2, if(ISBLANK('2025'!$P353), 0, 1), 3, if(ISBLANK('2025'!$Q353), 0, 1), 4, if(ISBLANK('2025'!$R353), 0, 1), 5, if(ISBLANK('2025'!$S353), 0, 1), 6, if(ISBLANK('2025'!$T353), 0, 1), 7, 0))), 1, "")</f>
        <v/>
      </c>
      <c r="K355" s="1" t="str">
        <f>IF(AND(AND(AND(K$4&gt;='2025'!$L353,K$4&lt;='2025'!$M353), K$4&lt;&gt;DATE(2025,7,4)), (SWITCH(weekday(K$4), 1, 0, 2, if(ISBLANK('2025'!$P353), 0, 1), 3, if(ISBLANK('2025'!$Q353), 0, 1), 4, if(ISBLANK('2025'!$R353), 0, 1), 5, if(ISBLANK('2025'!$S353), 0, 1), 6, if(ISBLANK('2025'!$T353), 0, 1), 7, 0))), 1, "")</f>
        <v/>
      </c>
      <c r="L355" s="1" t="str">
        <f>IF(AND(AND(AND(L$4&gt;='2025'!$L353,L$4&lt;='2025'!$M353), L$4&lt;&gt;DATE(2025,7,4)), (SWITCH(weekday(L$4), 1, 0, 2, if(ISBLANK('2025'!$P353), 0, 1), 3, if(ISBLANK('2025'!$Q353), 0, 1), 4, if(ISBLANK('2025'!$R353), 0, 1), 5, if(ISBLANK('2025'!$S353), 0, 1), 6, if(ISBLANK('2025'!$T353), 0, 1), 7, 0))), 1, "")</f>
        <v/>
      </c>
      <c r="M355" s="1" t="str">
        <f>IF(AND(AND(AND(M$4&gt;='2025'!$L353,M$4&lt;='2025'!$M353), M$4&lt;&gt;DATE(2025,7,4)), (SWITCH(weekday(M$4), 1, 0, 2, if(ISBLANK('2025'!$P353), 0, 1), 3, if(ISBLANK('2025'!$Q353), 0, 1), 4, if(ISBLANK('2025'!$R353), 0, 1), 5, if(ISBLANK('2025'!$S353), 0, 1), 6, if(ISBLANK('2025'!$T353), 0, 1), 7, 0))), 1, "")</f>
        <v/>
      </c>
      <c r="N355" s="1" t="str">
        <f>IF(AND(AND(AND(N$4&gt;='2025'!$L353,N$4&lt;='2025'!$M353), N$4&lt;&gt;DATE(2025,7,4)), (SWITCH(weekday(N$4), 1, 0, 2, if(ISBLANK('2025'!$P353), 0, 1), 3, if(ISBLANK('2025'!$Q353), 0, 1), 4, if(ISBLANK('2025'!$R353), 0, 1), 5, if(ISBLANK('2025'!$S353), 0, 1), 6, if(ISBLANK('2025'!$T353), 0, 1), 7, 0))), 1, "")</f>
        <v/>
      </c>
      <c r="O355" s="1" t="str">
        <f>IF(AND(AND(AND(O$4&gt;='2025'!$L353,O$4&lt;='2025'!$M353), O$4&lt;&gt;DATE(2025,7,4)), (SWITCH(weekday(O$4), 1, 0, 2, if(ISBLANK('2025'!$P353), 0, 1), 3, if(ISBLANK('2025'!$Q353), 0, 1), 4, if(ISBLANK('2025'!$R353), 0, 1), 5, if(ISBLANK('2025'!$S353), 0, 1), 6, if(ISBLANK('2025'!$T353), 0, 1), 7, 0))), 1, "")</f>
        <v/>
      </c>
      <c r="P355" s="1" t="str">
        <f>IF(AND(AND(AND(P$4&gt;='2025'!$L353,P$4&lt;='2025'!$M353), P$4&lt;&gt;DATE(2025,7,4)), (SWITCH(weekday(P$4), 1, 0, 2, if(ISBLANK('2025'!$P353), 0, 1), 3, if(ISBLANK('2025'!$Q353), 0, 1), 4, if(ISBLANK('2025'!$R353), 0, 1), 5, if(ISBLANK('2025'!$S353), 0, 1), 6, if(ISBLANK('2025'!$T353), 0, 1), 7, 0))), 1, "")</f>
        <v/>
      </c>
      <c r="Q355" s="1" t="str">
        <f>IF(AND(AND(AND(Q$4&gt;='2025'!$L353,Q$4&lt;='2025'!$M353), Q$4&lt;&gt;DATE(2025,7,4)), (SWITCH(weekday(Q$4), 1, 0, 2, if(ISBLANK('2025'!$P353), 0, 1), 3, if(ISBLANK('2025'!$Q353), 0, 1), 4, if(ISBLANK('2025'!$R353), 0, 1), 5, if(ISBLANK('2025'!$S353), 0, 1), 6, if(ISBLANK('2025'!$T353), 0, 1), 7, 0))), 1, "")</f>
        <v/>
      </c>
      <c r="R355" s="1" t="str">
        <f>IF(AND(AND(AND(R$4&gt;='2025'!$L353,R$4&lt;='2025'!$M353), R$4&lt;&gt;DATE(2025,7,4)), (SWITCH(weekday(R$4), 1, 0, 2, if(ISBLANK('2025'!$P353), 0, 1), 3, if(ISBLANK('2025'!$Q353), 0, 1), 4, if(ISBLANK('2025'!$R353), 0, 1), 5, if(ISBLANK('2025'!$S353), 0, 1), 6, if(ISBLANK('2025'!$T353), 0, 1), 7, 0))), 1, "")</f>
        <v/>
      </c>
      <c r="S355" s="1" t="str">
        <f>IF(AND(AND(AND(S$4&gt;='2025'!$L353,S$4&lt;='2025'!$M353), S$4&lt;&gt;DATE(2025,7,4)), (SWITCH(weekday(S$4), 1, 0, 2, if(ISBLANK('2025'!$P353), 0, 1), 3, if(ISBLANK('2025'!$Q353), 0, 1), 4, if(ISBLANK('2025'!$R353), 0, 1), 5, if(ISBLANK('2025'!$S353), 0, 1), 6, if(ISBLANK('2025'!$T353), 0, 1), 7, 0))), 1, "")</f>
        <v/>
      </c>
      <c r="T355" s="1" t="str">
        <f>IF(AND(AND(AND(T$4&gt;='2025'!$L353,T$4&lt;='2025'!$M353), T$4&lt;&gt;DATE(2025,7,4)), (SWITCH(weekday(T$4), 1, 0, 2, if(ISBLANK('2025'!$P353), 0, 1), 3, if(ISBLANK('2025'!$Q353), 0, 1), 4, if(ISBLANK('2025'!$R353), 0, 1), 5, if(ISBLANK('2025'!$S353), 0, 1), 6, if(ISBLANK('2025'!$T353), 0, 1), 7, 0))), 1, "")</f>
        <v/>
      </c>
      <c r="U355" s="1" t="str">
        <f>IF(AND(AND(AND(U$4&gt;='2025'!$L353,U$4&lt;='2025'!$M353), U$4&lt;&gt;DATE(2025,7,4)), (SWITCH(weekday(U$4), 1, 0, 2, if(ISBLANK('2025'!$P353), 0, 1), 3, if(ISBLANK('2025'!$Q353), 0, 1), 4, if(ISBLANK('2025'!$R353), 0, 1), 5, if(ISBLANK('2025'!$S353), 0, 1), 6, if(ISBLANK('2025'!$T353), 0, 1), 7, 0))), 1, "")</f>
        <v/>
      </c>
      <c r="V355" s="1" t="str">
        <f>IF(AND(AND(AND(V$4&gt;='2025'!$L353,V$4&lt;='2025'!$M353), V$4&lt;&gt;DATE(2025,7,4)), (SWITCH(weekday(V$4), 1, 0, 2, if(ISBLANK('2025'!$P353), 0, 1), 3, if(ISBLANK('2025'!$Q353), 0, 1), 4, if(ISBLANK('2025'!$R353), 0, 1), 5, if(ISBLANK('2025'!$S353), 0, 1), 6, if(ISBLANK('2025'!$T353), 0, 1), 7, 0))), 1, "")</f>
        <v/>
      </c>
      <c r="W355" s="1" t="str">
        <f>IF(AND(AND(AND(W$4&gt;='2025'!$L353,W$4&lt;='2025'!$M353), W$4&lt;&gt;DATE(2025,7,4)), (SWITCH(weekday(W$4), 1, 0, 2, if(ISBLANK('2025'!$P353), 0, 1), 3, if(ISBLANK('2025'!$Q353), 0, 1), 4, if(ISBLANK('2025'!$R353), 0, 1), 5, if(ISBLANK('2025'!$S353), 0, 1), 6, if(ISBLANK('2025'!$T353), 0, 1), 7, 0))), 1, "")</f>
        <v/>
      </c>
      <c r="X355" s="1" t="str">
        <f>IF(AND(AND(AND(X$4&gt;='2025'!$L353,X$4&lt;='2025'!$M353), X$4&lt;&gt;DATE(2025,7,4)), (SWITCH(weekday(X$4), 1, 0, 2, if(ISBLANK('2025'!$P353), 0, 1), 3, if(ISBLANK('2025'!$Q353), 0, 1), 4, if(ISBLANK('2025'!$R353), 0, 1), 5, if(ISBLANK('2025'!$S353), 0, 1), 6, if(ISBLANK('2025'!$T353), 0, 1), 7, 0))), 1, "")</f>
        <v/>
      </c>
      <c r="Y355" s="1" t="str">
        <f>IF(AND(AND(AND(Y$4&gt;='2025'!$L353,Y$4&lt;='2025'!$M353), Y$4&lt;&gt;DATE(2025,7,4)), (SWITCH(weekday(Y$4), 1, 0, 2, if(ISBLANK('2025'!$P353), 0, 1), 3, if(ISBLANK('2025'!$Q353), 0, 1), 4, if(ISBLANK('2025'!$R353), 0, 1), 5, if(ISBLANK('2025'!$S353), 0, 1), 6, if(ISBLANK('2025'!$T353), 0, 1), 7, 0))), 1, "")</f>
        <v/>
      </c>
      <c r="Z355" s="1" t="str">
        <f>IF(AND(AND(AND(Z$4&gt;='2025'!$L353,Z$4&lt;='2025'!$M353), Z$4&lt;&gt;DATE(2025,7,4)), (SWITCH(weekday(Z$4), 1, 0, 2, if(ISBLANK('2025'!$P353), 0, 1), 3, if(ISBLANK('2025'!$Q353), 0, 1), 4, if(ISBLANK('2025'!$R353), 0, 1), 5, if(ISBLANK('2025'!$S353), 0, 1), 6, if(ISBLANK('2025'!$T353), 0, 1), 7, 0))), 1, "")</f>
        <v/>
      </c>
      <c r="AA355" s="1" t="str">
        <f>IF(AND(AND(AND(AA$4&gt;='2025'!$L353,AA$4&lt;='2025'!$M353), AA$4&lt;&gt;DATE(2025,7,4)), (SWITCH(weekday(AA$4), 1, 0, 2, if(ISBLANK('2025'!$P353), 0, 1), 3, if(ISBLANK('2025'!$Q353), 0, 1), 4, if(ISBLANK('2025'!$R353), 0, 1), 5, if(ISBLANK('2025'!$S353), 0, 1), 6, if(ISBLANK('2025'!$T353), 0, 1), 7, 0))), 1, "")</f>
        <v/>
      </c>
      <c r="AB355" s="1" t="str">
        <f>IF(AND(AND(AND(AB$4&gt;='2025'!$L353,AB$4&lt;='2025'!$M353), AB$4&lt;&gt;DATE(2025,7,4)), (SWITCH(weekday(AB$4), 1, 0, 2, if(ISBLANK('2025'!$P353), 0, 1), 3, if(ISBLANK('2025'!$Q353), 0, 1), 4, if(ISBLANK('2025'!$R353), 0, 1), 5, if(ISBLANK('2025'!$S353), 0, 1), 6, if(ISBLANK('2025'!$T353), 0, 1), 7, 0))), 1, "")</f>
        <v/>
      </c>
      <c r="AC355" s="1" t="str">
        <f>IF(AND(AND(AND(AC$4&gt;='2025'!$L353,AC$4&lt;='2025'!$M353), AC$4&lt;&gt;DATE(2025,7,4)), (SWITCH(weekday(AC$4), 1, 0, 2, if(ISBLANK('2025'!$P353), 0, 1), 3, if(ISBLANK('2025'!$Q353), 0, 1), 4, if(ISBLANK('2025'!$R353), 0, 1), 5, if(ISBLANK('2025'!$S353), 0, 1), 6, if(ISBLANK('2025'!$T353), 0, 1), 7, 0))), 1, "")</f>
        <v/>
      </c>
      <c r="AD355" s="1" t="str">
        <f>IF(AND(AND(AND(AD$4&gt;='2025'!$L353,AD$4&lt;='2025'!$M353), AD$4&lt;&gt;DATE(2025,7,4)), (SWITCH(weekday(AD$4), 1, 0, 2, if(ISBLANK('2025'!$P353), 0, 1), 3, if(ISBLANK('2025'!$Q353), 0, 1), 4, if(ISBLANK('2025'!$R353), 0, 1), 5, if(ISBLANK('2025'!$S353), 0, 1), 6, if(ISBLANK('2025'!$T353), 0, 1), 7, 0))), 1, "")</f>
        <v/>
      </c>
      <c r="AE355" s="1" t="str">
        <f>IF(AND(AND(AND(AE$4&gt;='2025'!$L353,AE$4&lt;='2025'!$M353), AE$4&lt;&gt;DATE(2025,7,4)), (SWITCH(weekday(AE$4), 1, 0, 2, if(ISBLANK('2025'!$P353), 0, 1), 3, if(ISBLANK('2025'!$Q353), 0, 1), 4, if(ISBLANK('2025'!$R353), 0, 1), 5, if(ISBLANK('2025'!$S353), 0, 1), 6, if(ISBLANK('2025'!$T353), 0, 1), 7, 0))), 1, "")</f>
        <v/>
      </c>
      <c r="AF355" s="1" t="str">
        <f>IF(AND(AND(AND(AF$4&gt;='2025'!$L353,AF$4&lt;='2025'!$M353), AF$4&lt;&gt;DATE(2025,7,4)), (SWITCH(weekday(AF$4), 1, 0, 2, if(ISBLANK('2025'!$P353), 0, 1), 3, if(ISBLANK('2025'!$Q353), 0, 1), 4, if(ISBLANK('2025'!$R353), 0, 1), 5, if(ISBLANK('2025'!$S353), 0, 1), 6, if(ISBLANK('2025'!$T353), 0, 1), 7, 0))), 1, "")</f>
        <v/>
      </c>
      <c r="AG355" s="1" t="str">
        <f>IF(AND(AND(AND(AG$4&gt;='2025'!$L353,AG$4&lt;='2025'!$M353), AG$4&lt;&gt;DATE(2025,7,4)), (SWITCH(weekday(AG$4), 1, 0, 2, if(ISBLANK('2025'!$P353), 0, 1), 3, if(ISBLANK('2025'!$Q353), 0, 1), 4, if(ISBLANK('2025'!$R353), 0, 1), 5, if(ISBLANK('2025'!$S353), 0, 1), 6, if(ISBLANK('2025'!$T353), 0, 1), 7, 0))), 1, "")</f>
        <v/>
      </c>
      <c r="AH355" s="1" t="str">
        <f>IF(AND(AND(AND(AH$4&gt;='2025'!$L353,AH$4&lt;='2025'!$M353), AH$4&lt;&gt;DATE(2025,7,4)), (SWITCH(weekday(AH$4), 1, 0, 2, if(ISBLANK('2025'!$P353), 0, 1), 3, if(ISBLANK('2025'!$Q353), 0, 1), 4, if(ISBLANK('2025'!$R353), 0, 1), 5, if(ISBLANK('2025'!$S353), 0, 1), 6, if(ISBLANK('2025'!$T353), 0, 1), 7, 0))), 1, "")</f>
        <v/>
      </c>
      <c r="AI355" s="1" t="str">
        <f>IF(AND(AND(AND(AI$4&gt;='2025'!$L353,AI$4&lt;='2025'!$M353), AI$4&lt;&gt;DATE(2025,7,4)), (SWITCH(weekday(AI$4), 1, 0, 2, if(ISBLANK('2025'!$P353), 0, 1), 3, if(ISBLANK('2025'!$Q353), 0, 1), 4, if(ISBLANK('2025'!$R353), 0, 1), 5, if(ISBLANK('2025'!$S353), 0, 1), 6, if(ISBLANK('2025'!$T353), 0, 1), 7, 0))), 1, "")</f>
        <v/>
      </c>
      <c r="AJ355" s="1" t="str">
        <f>IF(AND(AND(AND(AJ$4&gt;='2025'!$L353,AJ$4&lt;='2025'!$M353), AJ$4&lt;&gt;DATE(2025,7,4)), (SWITCH(weekday(AJ$4), 1, 0, 2, if(ISBLANK('2025'!$P353), 0, 1), 3, if(ISBLANK('2025'!$Q353), 0, 1), 4, if(ISBLANK('2025'!$R353), 0, 1), 5, if(ISBLANK('2025'!$S353), 0, 1), 6, if(ISBLANK('2025'!$T353), 0, 1), 7, 0))), 1, "")</f>
        <v/>
      </c>
      <c r="AK355" s="1" t="str">
        <f>IF(AND(AND(AND(AK$4&gt;='2025'!$L353,AK$4&lt;='2025'!$M353), AK$4&lt;&gt;DATE(2025,7,4)), (SWITCH(weekday(AK$4), 1, 0, 2, if(ISBLANK('2025'!$P353), 0, 1), 3, if(ISBLANK('2025'!$Q353), 0, 1), 4, if(ISBLANK('2025'!$R353), 0, 1), 5, if(ISBLANK('2025'!$S353), 0, 1), 6, if(ISBLANK('2025'!$T353), 0, 1), 7, 0))), 1, "")</f>
        <v/>
      </c>
      <c r="AL355" s="1" t="str">
        <f>IF(AND(AND(AND(AL$4&gt;='2025'!$L353,AL$4&lt;='2025'!$M353), AL$4&lt;&gt;DATE(2025,7,4)), (SWITCH(weekday(AL$4), 1, 0, 2, if(ISBLANK('2025'!$P353), 0, 1), 3, if(ISBLANK('2025'!$Q353), 0, 1), 4, if(ISBLANK('2025'!$R353), 0, 1), 5, if(ISBLANK('2025'!$S353), 0, 1), 6, if(ISBLANK('2025'!$T353), 0, 1), 7, 0))), 1, "")</f>
        <v/>
      </c>
      <c r="AM355" s="1" t="str">
        <f>IF(AND(AND(AND(AM$4&gt;='2025'!$L353,AM$4&lt;='2025'!$M353), AM$4&lt;&gt;DATE(2025,7,4)), (SWITCH(weekday(AM$4), 1, 0, 2, if(ISBLANK('2025'!$P353), 0, 1), 3, if(ISBLANK('2025'!$Q353), 0, 1), 4, if(ISBLANK('2025'!$R353), 0, 1), 5, if(ISBLANK('2025'!$S353), 0, 1), 6, if(ISBLANK('2025'!$T353), 0, 1), 7, 0))), 1, "")</f>
        <v/>
      </c>
      <c r="AN355" s="1" t="str">
        <f>IF(AND(AND(AND(AN$4&gt;='2025'!$L353,AN$4&lt;='2025'!$M353), AN$4&lt;&gt;DATE(2025,7,4)), (SWITCH(weekday(AN$4), 1, 0, 2, if(ISBLANK('2025'!$P353), 0, 1), 3, if(ISBLANK('2025'!$Q353), 0, 1), 4, if(ISBLANK('2025'!$R353), 0, 1), 5, if(ISBLANK('2025'!$S353), 0, 1), 6, if(ISBLANK('2025'!$T353), 0, 1), 7, 0))), 1, "")</f>
        <v/>
      </c>
      <c r="AO355" s="1" t="str">
        <f>IF(AND(AND(AND(AO$4&gt;='2025'!$L353,AO$4&lt;='2025'!$M353), AO$4&lt;&gt;DATE(2025,7,4)), (SWITCH(weekday(AO$4), 1, 0, 2, if(ISBLANK('2025'!$P353), 0, 1), 3, if(ISBLANK('2025'!$Q353), 0, 1), 4, if(ISBLANK('2025'!$R353), 0, 1), 5, if(ISBLANK('2025'!$S353), 0, 1), 6, if(ISBLANK('2025'!$T353), 0, 1), 7, 0))), 1, "")</f>
        <v/>
      </c>
      <c r="AP355" s="1" t="str">
        <f>IF(AND(AND(AND(AP$4&gt;='2025'!$L353,AP$4&lt;='2025'!$M353), AP$4&lt;&gt;DATE(2025,7,4)), (SWITCH(weekday(AP$4), 1, 0, 2, if(ISBLANK('2025'!$P353), 0, 1), 3, if(ISBLANK('2025'!$Q353), 0, 1), 4, if(ISBLANK('2025'!$R353), 0, 1), 5, if(ISBLANK('2025'!$S353), 0, 1), 6, if(ISBLANK('2025'!$T353), 0, 1), 7, 0))), 1, "")</f>
        <v/>
      </c>
      <c r="AQ355" s="1" t="str">
        <f>IF(AND(AND(AND(AQ$4&gt;='2025'!$L353,AQ$4&lt;='2025'!$M353), AQ$4&lt;&gt;DATE(2025,7,4)), (SWITCH(weekday(AQ$4), 1, 0, 2, if(ISBLANK('2025'!$P353), 0, 1), 3, if(ISBLANK('2025'!$Q353), 0, 1), 4, if(ISBLANK('2025'!$R353), 0, 1), 5, if(ISBLANK('2025'!$S353), 0, 1), 6, if(ISBLANK('2025'!$T353), 0, 1), 7, 0))), 1, "")</f>
        <v/>
      </c>
      <c r="AR355" s="1" t="str">
        <f>IF(AND(AND(AND(AR$4&gt;='2025'!$L353,AR$4&lt;='2025'!$M353), AR$4&lt;&gt;DATE(2025,7,4)), (SWITCH(weekday(AR$4), 1, 0, 2, if(ISBLANK('2025'!$P353), 0, 1), 3, if(ISBLANK('2025'!$Q353), 0, 1), 4, if(ISBLANK('2025'!$R353), 0, 1), 5, if(ISBLANK('2025'!$S353), 0, 1), 6, if(ISBLANK('2025'!$T353), 0, 1), 7, 0))), 1, "")</f>
        <v/>
      </c>
      <c r="AS355" s="1" t="str">
        <f>IF(AND(AND(AND(AS$4&gt;='2025'!$L353,AS$4&lt;='2025'!$M353), AS$4&lt;&gt;DATE(2025,7,4)), (SWITCH(weekday(AS$4), 1, 0, 2, if(ISBLANK('2025'!$P353), 0, 1), 3, if(ISBLANK('2025'!$Q353), 0, 1), 4, if(ISBLANK('2025'!$R353), 0, 1), 5, if(ISBLANK('2025'!$S353), 0, 1), 6, if(ISBLANK('2025'!$T353), 0, 1), 7, 0))), 1, "")</f>
        <v/>
      </c>
      <c r="AT355" s="1" t="str">
        <f>IF(AND(AND(AND(AT$4&gt;='2025'!$L353,AT$4&lt;='2025'!$M353), AT$4&lt;&gt;DATE(2025,7,4)), (SWITCH(weekday(AT$4), 1, 0, 2, if(ISBLANK('2025'!$P353), 0, 1), 3, if(ISBLANK('2025'!$Q353), 0, 1), 4, if(ISBLANK('2025'!$R353), 0, 1), 5, if(ISBLANK('2025'!$S353), 0, 1), 6, if(ISBLANK('2025'!$T353), 0, 1), 7, 0))), 1, "")</f>
        <v/>
      </c>
      <c r="AU355" s="1" t="str">
        <f>IF(AND(AND(AND(AU$4&gt;='2025'!$L353,AU$4&lt;='2025'!$M353), AU$4&lt;&gt;DATE(2025,7,4)), (SWITCH(weekday(AU$4), 1, 0, 2, if(ISBLANK('2025'!$P353), 0, 1), 3, if(ISBLANK('2025'!$Q353), 0, 1), 4, if(ISBLANK('2025'!$R353), 0, 1), 5, if(ISBLANK('2025'!$S353), 0, 1), 6, if(ISBLANK('2025'!$T353), 0, 1), 7, 0))), 1, "")</f>
        <v/>
      </c>
      <c r="AV355" s="1" t="str">
        <f>IF(AND(AND(AND(AV$4&gt;='2025'!$L353,AV$4&lt;='2025'!$M353), AV$4&lt;&gt;DATE(2025,7,4)), (SWITCH(weekday(AV$4), 1, 0, 2, if(ISBLANK('2025'!$P353), 0, 1), 3, if(ISBLANK('2025'!$Q353), 0, 1), 4, if(ISBLANK('2025'!$R353), 0, 1), 5, if(ISBLANK('2025'!$S353), 0, 1), 6, if(ISBLANK('2025'!$T353), 0, 1), 7, 0))), 1, "")</f>
        <v/>
      </c>
      <c r="AW355" s="1" t="str">
        <f>IF(AND(AND(AND(AW$4&gt;='2025'!$L353,AW$4&lt;='2025'!$M353), AW$4&lt;&gt;DATE(2025,7,4)), (SWITCH(weekday(AW$4), 1, 0, 2, if(ISBLANK('2025'!$P353), 0, 1), 3, if(ISBLANK('2025'!$Q353), 0, 1), 4, if(ISBLANK('2025'!$R353), 0, 1), 5, if(ISBLANK('2025'!$S353), 0, 1), 6, if(ISBLANK('2025'!$T353), 0, 1), 7, 0))), 1, "")</f>
        <v/>
      </c>
      <c r="AX355" s="1" t="str">
        <f>IF(AND(AND(AND(AX$4&gt;='2025'!$L353,AX$4&lt;='2025'!$M353), AX$4&lt;&gt;DATE(2025,7,4)), (SWITCH(weekday(AX$4), 1, 0, 2, if(ISBLANK('2025'!$P353), 0, 1), 3, if(ISBLANK('2025'!$Q353), 0, 1), 4, if(ISBLANK('2025'!$R353), 0, 1), 5, if(ISBLANK('2025'!$S353), 0, 1), 6, if(ISBLANK('2025'!$T353), 0, 1), 7, 0))), 1, "")</f>
        <v/>
      </c>
      <c r="AY355" s="1" t="str">
        <f>IF(AND(AND(AND(AY$4&gt;='2025'!$L353,AY$4&lt;='2025'!$M353), AY$4&lt;&gt;DATE(2025,7,4)), (SWITCH(weekday(AY$4), 1, 0, 2, if(ISBLANK('2025'!$P353), 0, 1), 3, if(ISBLANK('2025'!$Q353), 0, 1), 4, if(ISBLANK('2025'!$R353), 0, 1), 5, if(ISBLANK('2025'!$S353), 0, 1), 6, if(ISBLANK('2025'!$T353), 0, 1), 7, 0))), 1, "")</f>
        <v/>
      </c>
      <c r="AZ355" s="1" t="str">
        <f>IF(AND(AND(AND(AZ$4&gt;='2025'!$L353,AZ$4&lt;='2025'!$M353), AZ$4&lt;&gt;DATE(2025,7,4)), (SWITCH(weekday(AZ$4), 1, 0, 2, if(ISBLANK('2025'!$P353), 0, 1), 3, if(ISBLANK('2025'!$Q353), 0, 1), 4, if(ISBLANK('2025'!$R353), 0, 1), 5, if(ISBLANK('2025'!$S353), 0, 1), 6, if(ISBLANK('2025'!$T353), 0, 1), 7, 0))), 1, "")</f>
        <v/>
      </c>
      <c r="BA355" s="1" t="str">
        <f>IF(AND(AND(AND(BA$4&gt;='2025'!$L353,BA$4&lt;='2025'!$M353), BA$4&lt;&gt;DATE(2025,7,4)), (SWITCH(weekday(BA$4), 1, 0, 2, if(ISBLANK('2025'!$P353), 0, 1), 3, if(ISBLANK('2025'!$Q353), 0, 1), 4, if(ISBLANK('2025'!$R353), 0, 1), 5, if(ISBLANK('2025'!$S353), 0, 1), 6, if(ISBLANK('2025'!$T353), 0, 1), 7, 0))), 1, "")</f>
        <v/>
      </c>
      <c r="BB355" s="1" t="str">
        <f>IF(AND(AND(AND(BB$4&gt;='2025'!$L353,BB$4&lt;='2025'!$M353), BB$4&lt;&gt;DATE(2025,7,4)), (SWITCH(weekday(BB$4), 1, 0, 2, if(ISBLANK('2025'!$P353), 0, 1), 3, if(ISBLANK('2025'!$Q353), 0, 1), 4, if(ISBLANK('2025'!$R353), 0, 1), 5, if(ISBLANK('2025'!$S353), 0, 1), 6, if(ISBLANK('2025'!$T353), 0, 1), 7, 0))), 1, "")</f>
        <v/>
      </c>
      <c r="BC355" s="1" t="str">
        <f>IF(AND(AND(AND(BC$4&gt;='2025'!$L353,BC$4&lt;='2025'!$M353), BC$4&lt;&gt;DATE(2025,7,4)), (SWITCH(weekday(BC$4), 1, 0, 2, if(ISBLANK('2025'!$P353), 0, 1), 3, if(ISBLANK('2025'!$Q353), 0, 1), 4, if(ISBLANK('2025'!$R353), 0, 1), 5, if(ISBLANK('2025'!$S353), 0, 1), 6, if(ISBLANK('2025'!$T353), 0, 1), 7, 0))), 1, "")</f>
        <v/>
      </c>
      <c r="BD355" s="1" t="str">
        <f>IF(AND(AND(AND(BD$4&gt;='2025'!$L353,BD$4&lt;='2025'!$M353), BD$4&lt;&gt;DATE(2025,7,4)), (SWITCH(weekday(BD$4), 1, 0, 2, if(ISBLANK('2025'!$P353), 0, 1), 3, if(ISBLANK('2025'!$Q353), 0, 1), 4, if(ISBLANK('2025'!$R353), 0, 1), 5, if(ISBLANK('2025'!$S353), 0, 1), 6, if(ISBLANK('2025'!$T353), 0, 1), 7, 0))), 1, "")</f>
        <v/>
      </c>
      <c r="BE355" s="1" t="str">
        <f>IF(AND(AND(AND(BE$4&gt;='2025'!$L353,BE$4&lt;='2025'!$M353), BE$4&lt;&gt;DATE(2025,7,4)), (SWITCH(weekday(BE$4), 1, 0, 2, if(ISBLANK('2025'!$P353), 0, 1), 3, if(ISBLANK('2025'!$Q353), 0, 1), 4, if(ISBLANK('2025'!$R353), 0, 1), 5, if(ISBLANK('2025'!$S353), 0, 1), 6, if(ISBLANK('2025'!$T353), 0, 1), 7, 0))), 1, "")</f>
        <v/>
      </c>
      <c r="BF355" s="1" t="str">
        <f>IF(AND(AND(AND(BF$4&gt;='2025'!$L353,BF$4&lt;='2025'!$M353), BF$4&lt;&gt;DATE(2025,7,4)), (SWITCH(weekday(BF$4), 1, 0, 2, if(ISBLANK('2025'!$P353), 0, 1), 3, if(ISBLANK('2025'!$Q353), 0, 1), 4, if(ISBLANK('2025'!$R353), 0, 1), 5, if(ISBLANK('2025'!$S353), 0, 1), 6, if(ISBLANK('2025'!$T353), 0, 1), 7, 0))), 1, "")</f>
        <v/>
      </c>
      <c r="BG355" s="1"/>
      <c r="BH355" s="1"/>
      <c r="BI355" s="1"/>
      <c r="BJ355" s="1"/>
      <c r="BK355" s="1"/>
      <c r="BL355" s="1"/>
    </row>
    <row r="356">
      <c r="A356" s="1">
        <f t="shared" si="3"/>
        <v>356</v>
      </c>
      <c r="B356" s="1" t="str">
        <f>'2025'!D320</f>
        <v>, </v>
      </c>
      <c r="C356" s="1" t="str">
        <f>'2025'!H320</f>
        <v/>
      </c>
      <c r="D356" s="1" t="str">
        <f>IF(AND(AND(AND(D$4&gt;='2025'!$L354,D$4&lt;='2025'!$M354), D$4&lt;&gt;DATE(2025,7,4)), (SWITCH(weekday(D$4), 1, 0, 2, if(ISBLANK('2025'!$P354), 0, 1), 3, if(ISBLANK('2025'!$Q354), 0, 1), 4, if(ISBLANK('2025'!$R354), 0, 1), 5, if(ISBLANK('2025'!$S354), 0, 1), 6, if(ISBLANK('2025'!$T354), 0, 1), 7, 0))), 1, "")</f>
        <v/>
      </c>
      <c r="E356" s="1" t="str">
        <f>IF(AND(AND(AND(E$4&gt;='2025'!$L354,E$4&lt;='2025'!$M354), E$4&lt;&gt;DATE(2025,7,4)), (SWITCH(weekday(E$4), 1, 0, 2, if(ISBLANK('2025'!$P354), 0, 1), 3, if(ISBLANK('2025'!$Q354), 0, 1), 4, if(ISBLANK('2025'!$R354), 0, 1), 5, if(ISBLANK('2025'!$S354), 0, 1), 6, if(ISBLANK('2025'!$T354), 0, 1), 7, 0))), 1, "")</f>
        <v/>
      </c>
      <c r="F356" s="1" t="str">
        <f>IF(AND(AND(AND(F$4&gt;='2025'!$L354,F$4&lt;='2025'!$M354), F$4&lt;&gt;DATE(2025,7,4)), (SWITCH(weekday(F$4), 1, 0, 2, if(ISBLANK('2025'!$P354), 0, 1), 3, if(ISBLANK('2025'!$Q354), 0, 1), 4, if(ISBLANK('2025'!$R354), 0, 1), 5, if(ISBLANK('2025'!$S354), 0, 1), 6, if(ISBLANK('2025'!$T354), 0, 1), 7, 0))), 1, "")</f>
        <v/>
      </c>
      <c r="G356" s="1" t="str">
        <f>IF(AND(AND(AND(G$4&gt;='2025'!$L354,G$4&lt;='2025'!$M354), G$4&lt;&gt;DATE(2025,7,4)), (SWITCH(weekday(G$4), 1, 0, 2, if(ISBLANK('2025'!$P354), 0, 1), 3, if(ISBLANK('2025'!$Q354), 0, 1), 4, if(ISBLANK('2025'!$R354), 0, 1), 5, if(ISBLANK('2025'!$S354), 0, 1), 6, if(ISBLANK('2025'!$T354), 0, 1), 7, 0))), 1, "")</f>
        <v/>
      </c>
      <c r="H356" s="1" t="str">
        <f>IF(AND(AND(AND(H$4&gt;='2025'!$L354,H$4&lt;='2025'!$M354), H$4&lt;&gt;DATE(2025,7,4)), (SWITCH(weekday(H$4), 1, 0, 2, if(ISBLANK('2025'!$P354), 0, 1), 3, if(ISBLANK('2025'!$Q354), 0, 1), 4, if(ISBLANK('2025'!$R354), 0, 1), 5, if(ISBLANK('2025'!$S354), 0, 1), 6, if(ISBLANK('2025'!$T354), 0, 1), 7, 0))), 1, "")</f>
        <v/>
      </c>
      <c r="I356" s="1" t="str">
        <f>IF(AND(AND(AND(I$4&gt;='2025'!$L354,I$4&lt;='2025'!$M354), I$4&lt;&gt;DATE(2025,7,4)), (SWITCH(weekday(I$4), 1, 0, 2, if(ISBLANK('2025'!$P354), 0, 1), 3, if(ISBLANK('2025'!$Q354), 0, 1), 4, if(ISBLANK('2025'!$R354), 0, 1), 5, if(ISBLANK('2025'!$S354), 0, 1), 6, if(ISBLANK('2025'!$T354), 0, 1), 7, 0))), 1, "")</f>
        <v/>
      </c>
      <c r="J356" s="1" t="str">
        <f>IF(AND(AND(AND(J$4&gt;='2025'!$L354,J$4&lt;='2025'!$M354), J$4&lt;&gt;DATE(2025,7,4)), (SWITCH(weekday(J$4), 1, 0, 2, if(ISBLANK('2025'!$P354), 0, 1), 3, if(ISBLANK('2025'!$Q354), 0, 1), 4, if(ISBLANK('2025'!$R354), 0, 1), 5, if(ISBLANK('2025'!$S354), 0, 1), 6, if(ISBLANK('2025'!$T354), 0, 1), 7, 0))), 1, "")</f>
        <v/>
      </c>
      <c r="K356" s="1" t="str">
        <f>IF(AND(AND(AND(K$4&gt;='2025'!$L354,K$4&lt;='2025'!$M354), K$4&lt;&gt;DATE(2025,7,4)), (SWITCH(weekday(K$4), 1, 0, 2, if(ISBLANK('2025'!$P354), 0, 1), 3, if(ISBLANK('2025'!$Q354), 0, 1), 4, if(ISBLANK('2025'!$R354), 0, 1), 5, if(ISBLANK('2025'!$S354), 0, 1), 6, if(ISBLANK('2025'!$T354), 0, 1), 7, 0))), 1, "")</f>
        <v/>
      </c>
      <c r="L356" s="1" t="str">
        <f>IF(AND(AND(AND(L$4&gt;='2025'!$L354,L$4&lt;='2025'!$M354), L$4&lt;&gt;DATE(2025,7,4)), (SWITCH(weekday(L$4), 1, 0, 2, if(ISBLANK('2025'!$P354), 0, 1), 3, if(ISBLANK('2025'!$Q354), 0, 1), 4, if(ISBLANK('2025'!$R354), 0, 1), 5, if(ISBLANK('2025'!$S354), 0, 1), 6, if(ISBLANK('2025'!$T354), 0, 1), 7, 0))), 1, "")</f>
        <v/>
      </c>
      <c r="M356" s="1" t="str">
        <f>IF(AND(AND(AND(M$4&gt;='2025'!$L354,M$4&lt;='2025'!$M354), M$4&lt;&gt;DATE(2025,7,4)), (SWITCH(weekday(M$4), 1, 0, 2, if(ISBLANK('2025'!$P354), 0, 1), 3, if(ISBLANK('2025'!$Q354), 0, 1), 4, if(ISBLANK('2025'!$R354), 0, 1), 5, if(ISBLANK('2025'!$S354), 0, 1), 6, if(ISBLANK('2025'!$T354), 0, 1), 7, 0))), 1, "")</f>
        <v/>
      </c>
      <c r="N356" s="1" t="str">
        <f>IF(AND(AND(AND(N$4&gt;='2025'!$L354,N$4&lt;='2025'!$M354), N$4&lt;&gt;DATE(2025,7,4)), (SWITCH(weekday(N$4), 1, 0, 2, if(ISBLANK('2025'!$P354), 0, 1), 3, if(ISBLANK('2025'!$Q354), 0, 1), 4, if(ISBLANK('2025'!$R354), 0, 1), 5, if(ISBLANK('2025'!$S354), 0, 1), 6, if(ISBLANK('2025'!$T354), 0, 1), 7, 0))), 1, "")</f>
        <v/>
      </c>
      <c r="O356" s="1" t="str">
        <f>IF(AND(AND(AND(O$4&gt;='2025'!$L354,O$4&lt;='2025'!$M354), O$4&lt;&gt;DATE(2025,7,4)), (SWITCH(weekday(O$4), 1, 0, 2, if(ISBLANK('2025'!$P354), 0, 1), 3, if(ISBLANK('2025'!$Q354), 0, 1), 4, if(ISBLANK('2025'!$R354), 0, 1), 5, if(ISBLANK('2025'!$S354), 0, 1), 6, if(ISBLANK('2025'!$T354), 0, 1), 7, 0))), 1, "")</f>
        <v/>
      </c>
      <c r="P356" s="1" t="str">
        <f>IF(AND(AND(AND(P$4&gt;='2025'!$L354,P$4&lt;='2025'!$M354), P$4&lt;&gt;DATE(2025,7,4)), (SWITCH(weekday(P$4), 1, 0, 2, if(ISBLANK('2025'!$P354), 0, 1), 3, if(ISBLANK('2025'!$Q354), 0, 1), 4, if(ISBLANK('2025'!$R354), 0, 1), 5, if(ISBLANK('2025'!$S354), 0, 1), 6, if(ISBLANK('2025'!$T354), 0, 1), 7, 0))), 1, "")</f>
        <v/>
      </c>
      <c r="Q356" s="1" t="str">
        <f>IF(AND(AND(AND(Q$4&gt;='2025'!$L354,Q$4&lt;='2025'!$M354), Q$4&lt;&gt;DATE(2025,7,4)), (SWITCH(weekday(Q$4), 1, 0, 2, if(ISBLANK('2025'!$P354), 0, 1), 3, if(ISBLANK('2025'!$Q354), 0, 1), 4, if(ISBLANK('2025'!$R354), 0, 1), 5, if(ISBLANK('2025'!$S354), 0, 1), 6, if(ISBLANK('2025'!$T354), 0, 1), 7, 0))), 1, "")</f>
        <v/>
      </c>
      <c r="R356" s="1" t="str">
        <f>IF(AND(AND(AND(R$4&gt;='2025'!$L354,R$4&lt;='2025'!$M354), R$4&lt;&gt;DATE(2025,7,4)), (SWITCH(weekday(R$4), 1, 0, 2, if(ISBLANK('2025'!$P354), 0, 1), 3, if(ISBLANK('2025'!$Q354), 0, 1), 4, if(ISBLANK('2025'!$R354), 0, 1), 5, if(ISBLANK('2025'!$S354), 0, 1), 6, if(ISBLANK('2025'!$T354), 0, 1), 7, 0))), 1, "")</f>
        <v/>
      </c>
      <c r="S356" s="1" t="str">
        <f>IF(AND(AND(AND(S$4&gt;='2025'!$L354,S$4&lt;='2025'!$M354), S$4&lt;&gt;DATE(2025,7,4)), (SWITCH(weekday(S$4), 1, 0, 2, if(ISBLANK('2025'!$P354), 0, 1), 3, if(ISBLANK('2025'!$Q354), 0, 1), 4, if(ISBLANK('2025'!$R354), 0, 1), 5, if(ISBLANK('2025'!$S354), 0, 1), 6, if(ISBLANK('2025'!$T354), 0, 1), 7, 0))), 1, "")</f>
        <v/>
      </c>
      <c r="T356" s="1" t="str">
        <f>IF(AND(AND(AND(T$4&gt;='2025'!$L354,T$4&lt;='2025'!$M354), T$4&lt;&gt;DATE(2025,7,4)), (SWITCH(weekday(T$4), 1, 0, 2, if(ISBLANK('2025'!$P354), 0, 1), 3, if(ISBLANK('2025'!$Q354), 0, 1), 4, if(ISBLANK('2025'!$R354), 0, 1), 5, if(ISBLANK('2025'!$S354), 0, 1), 6, if(ISBLANK('2025'!$T354), 0, 1), 7, 0))), 1, "")</f>
        <v/>
      </c>
      <c r="U356" s="1" t="str">
        <f>IF(AND(AND(AND(U$4&gt;='2025'!$L354,U$4&lt;='2025'!$M354), U$4&lt;&gt;DATE(2025,7,4)), (SWITCH(weekday(U$4), 1, 0, 2, if(ISBLANK('2025'!$P354), 0, 1), 3, if(ISBLANK('2025'!$Q354), 0, 1), 4, if(ISBLANK('2025'!$R354), 0, 1), 5, if(ISBLANK('2025'!$S354), 0, 1), 6, if(ISBLANK('2025'!$T354), 0, 1), 7, 0))), 1, "")</f>
        <v/>
      </c>
      <c r="V356" s="1" t="str">
        <f>IF(AND(AND(AND(V$4&gt;='2025'!$L354,V$4&lt;='2025'!$M354), V$4&lt;&gt;DATE(2025,7,4)), (SWITCH(weekday(V$4), 1, 0, 2, if(ISBLANK('2025'!$P354), 0, 1), 3, if(ISBLANK('2025'!$Q354), 0, 1), 4, if(ISBLANK('2025'!$R354), 0, 1), 5, if(ISBLANK('2025'!$S354), 0, 1), 6, if(ISBLANK('2025'!$T354), 0, 1), 7, 0))), 1, "")</f>
        <v/>
      </c>
      <c r="W356" s="1" t="str">
        <f>IF(AND(AND(AND(W$4&gt;='2025'!$L354,W$4&lt;='2025'!$M354), W$4&lt;&gt;DATE(2025,7,4)), (SWITCH(weekday(W$4), 1, 0, 2, if(ISBLANK('2025'!$P354), 0, 1), 3, if(ISBLANK('2025'!$Q354), 0, 1), 4, if(ISBLANK('2025'!$R354), 0, 1), 5, if(ISBLANK('2025'!$S354), 0, 1), 6, if(ISBLANK('2025'!$T354), 0, 1), 7, 0))), 1, "")</f>
        <v/>
      </c>
      <c r="X356" s="1" t="str">
        <f>IF(AND(AND(AND(X$4&gt;='2025'!$L354,X$4&lt;='2025'!$M354), X$4&lt;&gt;DATE(2025,7,4)), (SWITCH(weekday(X$4), 1, 0, 2, if(ISBLANK('2025'!$P354), 0, 1), 3, if(ISBLANK('2025'!$Q354), 0, 1), 4, if(ISBLANK('2025'!$R354), 0, 1), 5, if(ISBLANK('2025'!$S354), 0, 1), 6, if(ISBLANK('2025'!$T354), 0, 1), 7, 0))), 1, "")</f>
        <v/>
      </c>
      <c r="Y356" s="1" t="str">
        <f>IF(AND(AND(AND(Y$4&gt;='2025'!$L354,Y$4&lt;='2025'!$M354), Y$4&lt;&gt;DATE(2025,7,4)), (SWITCH(weekday(Y$4), 1, 0, 2, if(ISBLANK('2025'!$P354), 0, 1), 3, if(ISBLANK('2025'!$Q354), 0, 1), 4, if(ISBLANK('2025'!$R354), 0, 1), 5, if(ISBLANK('2025'!$S354), 0, 1), 6, if(ISBLANK('2025'!$T354), 0, 1), 7, 0))), 1, "")</f>
        <v/>
      </c>
      <c r="Z356" s="1" t="str">
        <f>IF(AND(AND(AND(Z$4&gt;='2025'!$L354,Z$4&lt;='2025'!$M354), Z$4&lt;&gt;DATE(2025,7,4)), (SWITCH(weekday(Z$4), 1, 0, 2, if(ISBLANK('2025'!$P354), 0, 1), 3, if(ISBLANK('2025'!$Q354), 0, 1), 4, if(ISBLANK('2025'!$R354), 0, 1), 5, if(ISBLANK('2025'!$S354), 0, 1), 6, if(ISBLANK('2025'!$T354), 0, 1), 7, 0))), 1, "")</f>
        <v/>
      </c>
      <c r="AA356" s="1" t="str">
        <f>IF(AND(AND(AND(AA$4&gt;='2025'!$L354,AA$4&lt;='2025'!$M354), AA$4&lt;&gt;DATE(2025,7,4)), (SWITCH(weekday(AA$4), 1, 0, 2, if(ISBLANK('2025'!$P354), 0, 1), 3, if(ISBLANK('2025'!$Q354), 0, 1), 4, if(ISBLANK('2025'!$R354), 0, 1), 5, if(ISBLANK('2025'!$S354), 0, 1), 6, if(ISBLANK('2025'!$T354), 0, 1), 7, 0))), 1, "")</f>
        <v/>
      </c>
      <c r="AB356" s="1" t="str">
        <f>IF(AND(AND(AND(AB$4&gt;='2025'!$L354,AB$4&lt;='2025'!$M354), AB$4&lt;&gt;DATE(2025,7,4)), (SWITCH(weekday(AB$4), 1, 0, 2, if(ISBLANK('2025'!$P354), 0, 1), 3, if(ISBLANK('2025'!$Q354), 0, 1), 4, if(ISBLANK('2025'!$R354), 0, 1), 5, if(ISBLANK('2025'!$S354), 0, 1), 6, if(ISBLANK('2025'!$T354), 0, 1), 7, 0))), 1, "")</f>
        <v/>
      </c>
      <c r="AC356" s="1" t="str">
        <f>IF(AND(AND(AND(AC$4&gt;='2025'!$L354,AC$4&lt;='2025'!$M354), AC$4&lt;&gt;DATE(2025,7,4)), (SWITCH(weekday(AC$4), 1, 0, 2, if(ISBLANK('2025'!$P354), 0, 1), 3, if(ISBLANK('2025'!$Q354), 0, 1), 4, if(ISBLANK('2025'!$R354), 0, 1), 5, if(ISBLANK('2025'!$S354), 0, 1), 6, if(ISBLANK('2025'!$T354), 0, 1), 7, 0))), 1, "")</f>
        <v/>
      </c>
      <c r="AD356" s="1" t="str">
        <f>IF(AND(AND(AND(AD$4&gt;='2025'!$L354,AD$4&lt;='2025'!$M354), AD$4&lt;&gt;DATE(2025,7,4)), (SWITCH(weekday(AD$4), 1, 0, 2, if(ISBLANK('2025'!$P354), 0, 1), 3, if(ISBLANK('2025'!$Q354), 0, 1), 4, if(ISBLANK('2025'!$R354), 0, 1), 5, if(ISBLANK('2025'!$S354), 0, 1), 6, if(ISBLANK('2025'!$T354), 0, 1), 7, 0))), 1, "")</f>
        <v/>
      </c>
      <c r="AE356" s="1" t="str">
        <f>IF(AND(AND(AND(AE$4&gt;='2025'!$L354,AE$4&lt;='2025'!$M354), AE$4&lt;&gt;DATE(2025,7,4)), (SWITCH(weekday(AE$4), 1, 0, 2, if(ISBLANK('2025'!$P354), 0, 1), 3, if(ISBLANK('2025'!$Q354), 0, 1), 4, if(ISBLANK('2025'!$R354), 0, 1), 5, if(ISBLANK('2025'!$S354), 0, 1), 6, if(ISBLANK('2025'!$T354), 0, 1), 7, 0))), 1, "")</f>
        <v/>
      </c>
      <c r="AF356" s="1" t="str">
        <f>IF(AND(AND(AND(AF$4&gt;='2025'!$L354,AF$4&lt;='2025'!$M354), AF$4&lt;&gt;DATE(2025,7,4)), (SWITCH(weekday(AF$4), 1, 0, 2, if(ISBLANK('2025'!$P354), 0, 1), 3, if(ISBLANK('2025'!$Q354), 0, 1), 4, if(ISBLANK('2025'!$R354), 0, 1), 5, if(ISBLANK('2025'!$S354), 0, 1), 6, if(ISBLANK('2025'!$T354), 0, 1), 7, 0))), 1, "")</f>
        <v/>
      </c>
      <c r="AG356" s="1" t="str">
        <f>IF(AND(AND(AND(AG$4&gt;='2025'!$L354,AG$4&lt;='2025'!$M354), AG$4&lt;&gt;DATE(2025,7,4)), (SWITCH(weekday(AG$4), 1, 0, 2, if(ISBLANK('2025'!$P354), 0, 1), 3, if(ISBLANK('2025'!$Q354), 0, 1), 4, if(ISBLANK('2025'!$R354), 0, 1), 5, if(ISBLANK('2025'!$S354), 0, 1), 6, if(ISBLANK('2025'!$T354), 0, 1), 7, 0))), 1, "")</f>
        <v/>
      </c>
      <c r="AH356" s="1" t="str">
        <f>IF(AND(AND(AND(AH$4&gt;='2025'!$L354,AH$4&lt;='2025'!$M354), AH$4&lt;&gt;DATE(2025,7,4)), (SWITCH(weekday(AH$4), 1, 0, 2, if(ISBLANK('2025'!$P354), 0, 1), 3, if(ISBLANK('2025'!$Q354), 0, 1), 4, if(ISBLANK('2025'!$R354), 0, 1), 5, if(ISBLANK('2025'!$S354), 0, 1), 6, if(ISBLANK('2025'!$T354), 0, 1), 7, 0))), 1, "")</f>
        <v/>
      </c>
      <c r="AI356" s="1" t="str">
        <f>IF(AND(AND(AND(AI$4&gt;='2025'!$L354,AI$4&lt;='2025'!$M354), AI$4&lt;&gt;DATE(2025,7,4)), (SWITCH(weekday(AI$4), 1, 0, 2, if(ISBLANK('2025'!$P354), 0, 1), 3, if(ISBLANK('2025'!$Q354), 0, 1), 4, if(ISBLANK('2025'!$R354), 0, 1), 5, if(ISBLANK('2025'!$S354), 0, 1), 6, if(ISBLANK('2025'!$T354), 0, 1), 7, 0))), 1, "")</f>
        <v/>
      </c>
      <c r="AJ356" s="1" t="str">
        <f>IF(AND(AND(AND(AJ$4&gt;='2025'!$L354,AJ$4&lt;='2025'!$M354), AJ$4&lt;&gt;DATE(2025,7,4)), (SWITCH(weekday(AJ$4), 1, 0, 2, if(ISBLANK('2025'!$P354), 0, 1), 3, if(ISBLANK('2025'!$Q354), 0, 1), 4, if(ISBLANK('2025'!$R354), 0, 1), 5, if(ISBLANK('2025'!$S354), 0, 1), 6, if(ISBLANK('2025'!$T354), 0, 1), 7, 0))), 1, "")</f>
        <v/>
      </c>
      <c r="AK356" s="1" t="str">
        <f>IF(AND(AND(AND(AK$4&gt;='2025'!$L354,AK$4&lt;='2025'!$M354), AK$4&lt;&gt;DATE(2025,7,4)), (SWITCH(weekday(AK$4), 1, 0, 2, if(ISBLANK('2025'!$P354), 0, 1), 3, if(ISBLANK('2025'!$Q354), 0, 1), 4, if(ISBLANK('2025'!$R354), 0, 1), 5, if(ISBLANK('2025'!$S354), 0, 1), 6, if(ISBLANK('2025'!$T354), 0, 1), 7, 0))), 1, "")</f>
        <v/>
      </c>
      <c r="AL356" s="1" t="str">
        <f>IF(AND(AND(AND(AL$4&gt;='2025'!$L354,AL$4&lt;='2025'!$M354), AL$4&lt;&gt;DATE(2025,7,4)), (SWITCH(weekday(AL$4), 1, 0, 2, if(ISBLANK('2025'!$P354), 0, 1), 3, if(ISBLANK('2025'!$Q354), 0, 1), 4, if(ISBLANK('2025'!$R354), 0, 1), 5, if(ISBLANK('2025'!$S354), 0, 1), 6, if(ISBLANK('2025'!$T354), 0, 1), 7, 0))), 1, "")</f>
        <v/>
      </c>
      <c r="AM356" s="1" t="str">
        <f>IF(AND(AND(AND(AM$4&gt;='2025'!$L354,AM$4&lt;='2025'!$M354), AM$4&lt;&gt;DATE(2025,7,4)), (SWITCH(weekday(AM$4), 1, 0, 2, if(ISBLANK('2025'!$P354), 0, 1), 3, if(ISBLANK('2025'!$Q354), 0, 1), 4, if(ISBLANK('2025'!$R354), 0, 1), 5, if(ISBLANK('2025'!$S354), 0, 1), 6, if(ISBLANK('2025'!$T354), 0, 1), 7, 0))), 1, "")</f>
        <v/>
      </c>
      <c r="AN356" s="1" t="str">
        <f>IF(AND(AND(AND(AN$4&gt;='2025'!$L354,AN$4&lt;='2025'!$M354), AN$4&lt;&gt;DATE(2025,7,4)), (SWITCH(weekday(AN$4), 1, 0, 2, if(ISBLANK('2025'!$P354), 0, 1), 3, if(ISBLANK('2025'!$Q354), 0, 1), 4, if(ISBLANK('2025'!$R354), 0, 1), 5, if(ISBLANK('2025'!$S354), 0, 1), 6, if(ISBLANK('2025'!$T354), 0, 1), 7, 0))), 1, "")</f>
        <v/>
      </c>
      <c r="AO356" s="1" t="str">
        <f>IF(AND(AND(AND(AO$4&gt;='2025'!$L354,AO$4&lt;='2025'!$M354), AO$4&lt;&gt;DATE(2025,7,4)), (SWITCH(weekday(AO$4), 1, 0, 2, if(ISBLANK('2025'!$P354), 0, 1), 3, if(ISBLANK('2025'!$Q354), 0, 1), 4, if(ISBLANK('2025'!$R354), 0, 1), 5, if(ISBLANK('2025'!$S354), 0, 1), 6, if(ISBLANK('2025'!$T354), 0, 1), 7, 0))), 1, "")</f>
        <v/>
      </c>
      <c r="AP356" s="1" t="str">
        <f>IF(AND(AND(AND(AP$4&gt;='2025'!$L354,AP$4&lt;='2025'!$M354), AP$4&lt;&gt;DATE(2025,7,4)), (SWITCH(weekday(AP$4), 1, 0, 2, if(ISBLANK('2025'!$P354), 0, 1), 3, if(ISBLANK('2025'!$Q354), 0, 1), 4, if(ISBLANK('2025'!$R354), 0, 1), 5, if(ISBLANK('2025'!$S354), 0, 1), 6, if(ISBLANK('2025'!$T354), 0, 1), 7, 0))), 1, "")</f>
        <v/>
      </c>
      <c r="AQ356" s="1" t="str">
        <f>IF(AND(AND(AND(AQ$4&gt;='2025'!$L354,AQ$4&lt;='2025'!$M354), AQ$4&lt;&gt;DATE(2025,7,4)), (SWITCH(weekday(AQ$4), 1, 0, 2, if(ISBLANK('2025'!$P354), 0, 1), 3, if(ISBLANK('2025'!$Q354), 0, 1), 4, if(ISBLANK('2025'!$R354), 0, 1), 5, if(ISBLANK('2025'!$S354), 0, 1), 6, if(ISBLANK('2025'!$T354), 0, 1), 7, 0))), 1, "")</f>
        <v/>
      </c>
      <c r="AR356" s="1" t="str">
        <f>IF(AND(AND(AND(AR$4&gt;='2025'!$L354,AR$4&lt;='2025'!$M354), AR$4&lt;&gt;DATE(2025,7,4)), (SWITCH(weekday(AR$4), 1, 0, 2, if(ISBLANK('2025'!$P354), 0, 1), 3, if(ISBLANK('2025'!$Q354), 0, 1), 4, if(ISBLANK('2025'!$R354), 0, 1), 5, if(ISBLANK('2025'!$S354), 0, 1), 6, if(ISBLANK('2025'!$T354), 0, 1), 7, 0))), 1, "")</f>
        <v/>
      </c>
      <c r="AS356" s="1" t="str">
        <f>IF(AND(AND(AND(AS$4&gt;='2025'!$L354,AS$4&lt;='2025'!$M354), AS$4&lt;&gt;DATE(2025,7,4)), (SWITCH(weekday(AS$4), 1, 0, 2, if(ISBLANK('2025'!$P354), 0, 1), 3, if(ISBLANK('2025'!$Q354), 0, 1), 4, if(ISBLANK('2025'!$R354), 0, 1), 5, if(ISBLANK('2025'!$S354), 0, 1), 6, if(ISBLANK('2025'!$T354), 0, 1), 7, 0))), 1, "")</f>
        <v/>
      </c>
      <c r="AT356" s="1" t="str">
        <f>IF(AND(AND(AND(AT$4&gt;='2025'!$L354,AT$4&lt;='2025'!$M354), AT$4&lt;&gt;DATE(2025,7,4)), (SWITCH(weekday(AT$4), 1, 0, 2, if(ISBLANK('2025'!$P354), 0, 1), 3, if(ISBLANK('2025'!$Q354), 0, 1), 4, if(ISBLANK('2025'!$R354), 0, 1), 5, if(ISBLANK('2025'!$S354), 0, 1), 6, if(ISBLANK('2025'!$T354), 0, 1), 7, 0))), 1, "")</f>
        <v/>
      </c>
      <c r="AU356" s="1" t="str">
        <f>IF(AND(AND(AND(AU$4&gt;='2025'!$L354,AU$4&lt;='2025'!$M354), AU$4&lt;&gt;DATE(2025,7,4)), (SWITCH(weekday(AU$4), 1, 0, 2, if(ISBLANK('2025'!$P354), 0, 1), 3, if(ISBLANK('2025'!$Q354), 0, 1), 4, if(ISBLANK('2025'!$R354), 0, 1), 5, if(ISBLANK('2025'!$S354), 0, 1), 6, if(ISBLANK('2025'!$T354), 0, 1), 7, 0))), 1, "")</f>
        <v/>
      </c>
      <c r="AV356" s="1" t="str">
        <f>IF(AND(AND(AND(AV$4&gt;='2025'!$L354,AV$4&lt;='2025'!$M354), AV$4&lt;&gt;DATE(2025,7,4)), (SWITCH(weekday(AV$4), 1, 0, 2, if(ISBLANK('2025'!$P354), 0, 1), 3, if(ISBLANK('2025'!$Q354), 0, 1), 4, if(ISBLANK('2025'!$R354), 0, 1), 5, if(ISBLANK('2025'!$S354), 0, 1), 6, if(ISBLANK('2025'!$T354), 0, 1), 7, 0))), 1, "")</f>
        <v/>
      </c>
      <c r="AW356" s="1" t="str">
        <f>IF(AND(AND(AND(AW$4&gt;='2025'!$L354,AW$4&lt;='2025'!$M354), AW$4&lt;&gt;DATE(2025,7,4)), (SWITCH(weekday(AW$4), 1, 0, 2, if(ISBLANK('2025'!$P354), 0, 1), 3, if(ISBLANK('2025'!$Q354), 0, 1), 4, if(ISBLANK('2025'!$R354), 0, 1), 5, if(ISBLANK('2025'!$S354), 0, 1), 6, if(ISBLANK('2025'!$T354), 0, 1), 7, 0))), 1, "")</f>
        <v/>
      </c>
      <c r="AX356" s="1" t="str">
        <f>IF(AND(AND(AND(AX$4&gt;='2025'!$L354,AX$4&lt;='2025'!$M354), AX$4&lt;&gt;DATE(2025,7,4)), (SWITCH(weekday(AX$4), 1, 0, 2, if(ISBLANK('2025'!$P354), 0, 1), 3, if(ISBLANK('2025'!$Q354), 0, 1), 4, if(ISBLANK('2025'!$R354), 0, 1), 5, if(ISBLANK('2025'!$S354), 0, 1), 6, if(ISBLANK('2025'!$T354), 0, 1), 7, 0))), 1, "")</f>
        <v/>
      </c>
      <c r="AY356" s="1" t="str">
        <f>IF(AND(AND(AND(AY$4&gt;='2025'!$L354,AY$4&lt;='2025'!$M354), AY$4&lt;&gt;DATE(2025,7,4)), (SWITCH(weekday(AY$4), 1, 0, 2, if(ISBLANK('2025'!$P354), 0, 1), 3, if(ISBLANK('2025'!$Q354), 0, 1), 4, if(ISBLANK('2025'!$R354), 0, 1), 5, if(ISBLANK('2025'!$S354), 0, 1), 6, if(ISBLANK('2025'!$T354), 0, 1), 7, 0))), 1, "")</f>
        <v/>
      </c>
      <c r="AZ356" s="1" t="str">
        <f>IF(AND(AND(AND(AZ$4&gt;='2025'!$L354,AZ$4&lt;='2025'!$M354), AZ$4&lt;&gt;DATE(2025,7,4)), (SWITCH(weekday(AZ$4), 1, 0, 2, if(ISBLANK('2025'!$P354), 0, 1), 3, if(ISBLANK('2025'!$Q354), 0, 1), 4, if(ISBLANK('2025'!$R354), 0, 1), 5, if(ISBLANK('2025'!$S354), 0, 1), 6, if(ISBLANK('2025'!$T354), 0, 1), 7, 0))), 1, "")</f>
        <v/>
      </c>
      <c r="BA356" s="1" t="str">
        <f>IF(AND(AND(AND(BA$4&gt;='2025'!$L354,BA$4&lt;='2025'!$M354), BA$4&lt;&gt;DATE(2025,7,4)), (SWITCH(weekday(BA$4), 1, 0, 2, if(ISBLANK('2025'!$P354), 0, 1), 3, if(ISBLANK('2025'!$Q354), 0, 1), 4, if(ISBLANK('2025'!$R354), 0, 1), 5, if(ISBLANK('2025'!$S354), 0, 1), 6, if(ISBLANK('2025'!$T354), 0, 1), 7, 0))), 1, "")</f>
        <v/>
      </c>
      <c r="BB356" s="1" t="str">
        <f>IF(AND(AND(AND(BB$4&gt;='2025'!$L354,BB$4&lt;='2025'!$M354), BB$4&lt;&gt;DATE(2025,7,4)), (SWITCH(weekday(BB$4), 1, 0, 2, if(ISBLANK('2025'!$P354), 0, 1), 3, if(ISBLANK('2025'!$Q354), 0, 1), 4, if(ISBLANK('2025'!$R354), 0, 1), 5, if(ISBLANK('2025'!$S354), 0, 1), 6, if(ISBLANK('2025'!$T354), 0, 1), 7, 0))), 1, "")</f>
        <v/>
      </c>
      <c r="BC356" s="1" t="str">
        <f>IF(AND(AND(AND(BC$4&gt;='2025'!$L354,BC$4&lt;='2025'!$M354), BC$4&lt;&gt;DATE(2025,7,4)), (SWITCH(weekday(BC$4), 1, 0, 2, if(ISBLANK('2025'!$P354), 0, 1), 3, if(ISBLANK('2025'!$Q354), 0, 1), 4, if(ISBLANK('2025'!$R354), 0, 1), 5, if(ISBLANK('2025'!$S354), 0, 1), 6, if(ISBLANK('2025'!$T354), 0, 1), 7, 0))), 1, "")</f>
        <v/>
      </c>
      <c r="BD356" s="1" t="str">
        <f>IF(AND(AND(AND(BD$4&gt;='2025'!$L354,BD$4&lt;='2025'!$M354), BD$4&lt;&gt;DATE(2025,7,4)), (SWITCH(weekday(BD$4), 1, 0, 2, if(ISBLANK('2025'!$P354), 0, 1), 3, if(ISBLANK('2025'!$Q354), 0, 1), 4, if(ISBLANK('2025'!$R354), 0, 1), 5, if(ISBLANK('2025'!$S354), 0, 1), 6, if(ISBLANK('2025'!$T354), 0, 1), 7, 0))), 1, "")</f>
        <v/>
      </c>
      <c r="BE356" s="1" t="str">
        <f>IF(AND(AND(AND(BE$4&gt;='2025'!$L354,BE$4&lt;='2025'!$M354), BE$4&lt;&gt;DATE(2025,7,4)), (SWITCH(weekday(BE$4), 1, 0, 2, if(ISBLANK('2025'!$P354), 0, 1), 3, if(ISBLANK('2025'!$Q354), 0, 1), 4, if(ISBLANK('2025'!$R354), 0, 1), 5, if(ISBLANK('2025'!$S354), 0, 1), 6, if(ISBLANK('2025'!$T354), 0, 1), 7, 0))), 1, "")</f>
        <v/>
      </c>
      <c r="BF356" s="1" t="str">
        <f>IF(AND(AND(AND(BF$4&gt;='2025'!$L354,BF$4&lt;='2025'!$M354), BF$4&lt;&gt;DATE(2025,7,4)), (SWITCH(weekday(BF$4), 1, 0, 2, if(ISBLANK('2025'!$P354), 0, 1), 3, if(ISBLANK('2025'!$Q354), 0, 1), 4, if(ISBLANK('2025'!$R354), 0, 1), 5, if(ISBLANK('2025'!$S354), 0, 1), 6, if(ISBLANK('2025'!$T354), 0, 1), 7, 0))), 1, "")</f>
        <v/>
      </c>
      <c r="BG356" s="1"/>
      <c r="BH356" s="1"/>
      <c r="BI356" s="1"/>
      <c r="BJ356" s="1"/>
      <c r="BK356" s="1"/>
      <c r="BL356" s="1"/>
    </row>
    <row r="357">
      <c r="A357" s="1">
        <f t="shared" si="3"/>
        <v>357</v>
      </c>
      <c r="B357" s="1" t="str">
        <f>'2025'!D321</f>
        <v>, </v>
      </c>
      <c r="C357" s="1" t="str">
        <f>'2025'!H321</f>
        <v/>
      </c>
      <c r="D357" s="1" t="str">
        <f>IF(AND(AND(AND(D$4&gt;='2025'!$L355,D$4&lt;='2025'!$M355), D$4&lt;&gt;DATE(2025,7,4)), (SWITCH(weekday(D$4), 1, 0, 2, if(ISBLANK('2025'!$P355), 0, 1), 3, if(ISBLANK('2025'!$Q355), 0, 1), 4, if(ISBLANK('2025'!$R355), 0, 1), 5, if(ISBLANK('2025'!$S355), 0, 1), 6, if(ISBLANK('2025'!$T355), 0, 1), 7, 0))), 1, "")</f>
        <v/>
      </c>
      <c r="E357" s="1" t="str">
        <f>IF(AND(AND(AND(E$4&gt;='2025'!$L355,E$4&lt;='2025'!$M355), E$4&lt;&gt;DATE(2025,7,4)), (SWITCH(weekday(E$4), 1, 0, 2, if(ISBLANK('2025'!$P355), 0, 1), 3, if(ISBLANK('2025'!$Q355), 0, 1), 4, if(ISBLANK('2025'!$R355), 0, 1), 5, if(ISBLANK('2025'!$S355), 0, 1), 6, if(ISBLANK('2025'!$T355), 0, 1), 7, 0))), 1, "")</f>
        <v/>
      </c>
      <c r="F357" s="1" t="str">
        <f>IF(AND(AND(AND(F$4&gt;='2025'!$L355,F$4&lt;='2025'!$M355), F$4&lt;&gt;DATE(2025,7,4)), (SWITCH(weekday(F$4), 1, 0, 2, if(ISBLANK('2025'!$P355), 0, 1), 3, if(ISBLANK('2025'!$Q355), 0, 1), 4, if(ISBLANK('2025'!$R355), 0, 1), 5, if(ISBLANK('2025'!$S355), 0, 1), 6, if(ISBLANK('2025'!$T355), 0, 1), 7, 0))), 1, "")</f>
        <v/>
      </c>
      <c r="G357" s="1" t="str">
        <f>IF(AND(AND(AND(G$4&gt;='2025'!$L355,G$4&lt;='2025'!$M355), G$4&lt;&gt;DATE(2025,7,4)), (SWITCH(weekday(G$4), 1, 0, 2, if(ISBLANK('2025'!$P355), 0, 1), 3, if(ISBLANK('2025'!$Q355), 0, 1), 4, if(ISBLANK('2025'!$R355), 0, 1), 5, if(ISBLANK('2025'!$S355), 0, 1), 6, if(ISBLANK('2025'!$T355), 0, 1), 7, 0))), 1, "")</f>
        <v/>
      </c>
      <c r="H357" s="1" t="str">
        <f>IF(AND(AND(AND(H$4&gt;='2025'!$L355,H$4&lt;='2025'!$M355), H$4&lt;&gt;DATE(2025,7,4)), (SWITCH(weekday(H$4), 1, 0, 2, if(ISBLANK('2025'!$P355), 0, 1), 3, if(ISBLANK('2025'!$Q355), 0, 1), 4, if(ISBLANK('2025'!$R355), 0, 1), 5, if(ISBLANK('2025'!$S355), 0, 1), 6, if(ISBLANK('2025'!$T355), 0, 1), 7, 0))), 1, "")</f>
        <v/>
      </c>
      <c r="I357" s="1" t="str">
        <f>IF(AND(AND(AND(I$4&gt;='2025'!$L355,I$4&lt;='2025'!$M355), I$4&lt;&gt;DATE(2025,7,4)), (SWITCH(weekday(I$4), 1, 0, 2, if(ISBLANK('2025'!$P355), 0, 1), 3, if(ISBLANK('2025'!$Q355), 0, 1), 4, if(ISBLANK('2025'!$R355), 0, 1), 5, if(ISBLANK('2025'!$S355), 0, 1), 6, if(ISBLANK('2025'!$T355), 0, 1), 7, 0))), 1, "")</f>
        <v/>
      </c>
      <c r="J357" s="1" t="str">
        <f>IF(AND(AND(AND(J$4&gt;='2025'!$L355,J$4&lt;='2025'!$M355), J$4&lt;&gt;DATE(2025,7,4)), (SWITCH(weekday(J$4), 1, 0, 2, if(ISBLANK('2025'!$P355), 0, 1), 3, if(ISBLANK('2025'!$Q355), 0, 1), 4, if(ISBLANK('2025'!$R355), 0, 1), 5, if(ISBLANK('2025'!$S355), 0, 1), 6, if(ISBLANK('2025'!$T355), 0, 1), 7, 0))), 1, "")</f>
        <v/>
      </c>
      <c r="K357" s="1" t="str">
        <f>IF(AND(AND(AND(K$4&gt;='2025'!$L355,K$4&lt;='2025'!$M355), K$4&lt;&gt;DATE(2025,7,4)), (SWITCH(weekday(K$4), 1, 0, 2, if(ISBLANK('2025'!$P355), 0, 1), 3, if(ISBLANK('2025'!$Q355), 0, 1), 4, if(ISBLANK('2025'!$R355), 0, 1), 5, if(ISBLANK('2025'!$S355), 0, 1), 6, if(ISBLANK('2025'!$T355), 0, 1), 7, 0))), 1, "")</f>
        <v/>
      </c>
      <c r="L357" s="1" t="str">
        <f>IF(AND(AND(AND(L$4&gt;='2025'!$L355,L$4&lt;='2025'!$M355), L$4&lt;&gt;DATE(2025,7,4)), (SWITCH(weekday(L$4), 1, 0, 2, if(ISBLANK('2025'!$P355), 0, 1), 3, if(ISBLANK('2025'!$Q355), 0, 1), 4, if(ISBLANK('2025'!$R355), 0, 1), 5, if(ISBLANK('2025'!$S355), 0, 1), 6, if(ISBLANK('2025'!$T355), 0, 1), 7, 0))), 1, "")</f>
        <v/>
      </c>
      <c r="M357" s="1" t="str">
        <f>IF(AND(AND(AND(M$4&gt;='2025'!$L355,M$4&lt;='2025'!$M355), M$4&lt;&gt;DATE(2025,7,4)), (SWITCH(weekday(M$4), 1, 0, 2, if(ISBLANK('2025'!$P355), 0, 1), 3, if(ISBLANK('2025'!$Q355), 0, 1), 4, if(ISBLANK('2025'!$R355), 0, 1), 5, if(ISBLANK('2025'!$S355), 0, 1), 6, if(ISBLANK('2025'!$T355), 0, 1), 7, 0))), 1, "")</f>
        <v/>
      </c>
      <c r="N357" s="1" t="str">
        <f>IF(AND(AND(AND(N$4&gt;='2025'!$L355,N$4&lt;='2025'!$M355), N$4&lt;&gt;DATE(2025,7,4)), (SWITCH(weekday(N$4), 1, 0, 2, if(ISBLANK('2025'!$P355), 0, 1), 3, if(ISBLANK('2025'!$Q355), 0, 1), 4, if(ISBLANK('2025'!$R355), 0, 1), 5, if(ISBLANK('2025'!$S355), 0, 1), 6, if(ISBLANK('2025'!$T355), 0, 1), 7, 0))), 1, "")</f>
        <v/>
      </c>
      <c r="O357" s="1" t="str">
        <f>IF(AND(AND(AND(O$4&gt;='2025'!$L355,O$4&lt;='2025'!$M355), O$4&lt;&gt;DATE(2025,7,4)), (SWITCH(weekday(O$4), 1, 0, 2, if(ISBLANK('2025'!$P355), 0, 1), 3, if(ISBLANK('2025'!$Q355), 0, 1), 4, if(ISBLANK('2025'!$R355), 0, 1), 5, if(ISBLANK('2025'!$S355), 0, 1), 6, if(ISBLANK('2025'!$T355), 0, 1), 7, 0))), 1, "")</f>
        <v/>
      </c>
      <c r="P357" s="1" t="str">
        <f>IF(AND(AND(AND(P$4&gt;='2025'!$L355,P$4&lt;='2025'!$M355), P$4&lt;&gt;DATE(2025,7,4)), (SWITCH(weekday(P$4), 1, 0, 2, if(ISBLANK('2025'!$P355), 0, 1), 3, if(ISBLANK('2025'!$Q355), 0, 1), 4, if(ISBLANK('2025'!$R355), 0, 1), 5, if(ISBLANK('2025'!$S355), 0, 1), 6, if(ISBLANK('2025'!$T355), 0, 1), 7, 0))), 1, "")</f>
        <v/>
      </c>
      <c r="Q357" s="1" t="str">
        <f>IF(AND(AND(AND(Q$4&gt;='2025'!$L355,Q$4&lt;='2025'!$M355), Q$4&lt;&gt;DATE(2025,7,4)), (SWITCH(weekday(Q$4), 1, 0, 2, if(ISBLANK('2025'!$P355), 0, 1), 3, if(ISBLANK('2025'!$Q355), 0, 1), 4, if(ISBLANK('2025'!$R355), 0, 1), 5, if(ISBLANK('2025'!$S355), 0, 1), 6, if(ISBLANK('2025'!$T355), 0, 1), 7, 0))), 1, "")</f>
        <v/>
      </c>
      <c r="R357" s="1" t="str">
        <f>IF(AND(AND(AND(R$4&gt;='2025'!$L355,R$4&lt;='2025'!$M355), R$4&lt;&gt;DATE(2025,7,4)), (SWITCH(weekday(R$4), 1, 0, 2, if(ISBLANK('2025'!$P355), 0, 1), 3, if(ISBLANK('2025'!$Q355), 0, 1), 4, if(ISBLANK('2025'!$R355), 0, 1), 5, if(ISBLANK('2025'!$S355), 0, 1), 6, if(ISBLANK('2025'!$T355), 0, 1), 7, 0))), 1, "")</f>
        <v/>
      </c>
      <c r="S357" s="1" t="str">
        <f>IF(AND(AND(AND(S$4&gt;='2025'!$L355,S$4&lt;='2025'!$M355), S$4&lt;&gt;DATE(2025,7,4)), (SWITCH(weekday(S$4), 1, 0, 2, if(ISBLANK('2025'!$P355), 0, 1), 3, if(ISBLANK('2025'!$Q355), 0, 1), 4, if(ISBLANK('2025'!$R355), 0, 1), 5, if(ISBLANK('2025'!$S355), 0, 1), 6, if(ISBLANK('2025'!$T355), 0, 1), 7, 0))), 1, "")</f>
        <v/>
      </c>
      <c r="T357" s="1" t="str">
        <f>IF(AND(AND(AND(T$4&gt;='2025'!$L355,T$4&lt;='2025'!$M355), T$4&lt;&gt;DATE(2025,7,4)), (SWITCH(weekday(T$4), 1, 0, 2, if(ISBLANK('2025'!$P355), 0, 1), 3, if(ISBLANK('2025'!$Q355), 0, 1), 4, if(ISBLANK('2025'!$R355), 0, 1), 5, if(ISBLANK('2025'!$S355), 0, 1), 6, if(ISBLANK('2025'!$T355), 0, 1), 7, 0))), 1, "")</f>
        <v/>
      </c>
      <c r="U357" s="1" t="str">
        <f>IF(AND(AND(AND(U$4&gt;='2025'!$L355,U$4&lt;='2025'!$M355), U$4&lt;&gt;DATE(2025,7,4)), (SWITCH(weekday(U$4), 1, 0, 2, if(ISBLANK('2025'!$P355), 0, 1), 3, if(ISBLANK('2025'!$Q355), 0, 1), 4, if(ISBLANK('2025'!$R355), 0, 1), 5, if(ISBLANK('2025'!$S355), 0, 1), 6, if(ISBLANK('2025'!$T355), 0, 1), 7, 0))), 1, "")</f>
        <v/>
      </c>
      <c r="V357" s="1" t="str">
        <f>IF(AND(AND(AND(V$4&gt;='2025'!$L355,V$4&lt;='2025'!$M355), V$4&lt;&gt;DATE(2025,7,4)), (SWITCH(weekday(V$4), 1, 0, 2, if(ISBLANK('2025'!$P355), 0, 1), 3, if(ISBLANK('2025'!$Q355), 0, 1), 4, if(ISBLANK('2025'!$R355), 0, 1), 5, if(ISBLANK('2025'!$S355), 0, 1), 6, if(ISBLANK('2025'!$T355), 0, 1), 7, 0))), 1, "")</f>
        <v/>
      </c>
      <c r="W357" s="1" t="str">
        <f>IF(AND(AND(AND(W$4&gt;='2025'!$L355,W$4&lt;='2025'!$M355), W$4&lt;&gt;DATE(2025,7,4)), (SWITCH(weekday(W$4), 1, 0, 2, if(ISBLANK('2025'!$P355), 0, 1), 3, if(ISBLANK('2025'!$Q355), 0, 1), 4, if(ISBLANK('2025'!$R355), 0, 1), 5, if(ISBLANK('2025'!$S355), 0, 1), 6, if(ISBLANK('2025'!$T355), 0, 1), 7, 0))), 1, "")</f>
        <v/>
      </c>
      <c r="X357" s="1" t="str">
        <f>IF(AND(AND(AND(X$4&gt;='2025'!$L355,X$4&lt;='2025'!$M355), X$4&lt;&gt;DATE(2025,7,4)), (SWITCH(weekday(X$4), 1, 0, 2, if(ISBLANK('2025'!$P355), 0, 1), 3, if(ISBLANK('2025'!$Q355), 0, 1), 4, if(ISBLANK('2025'!$R355), 0, 1), 5, if(ISBLANK('2025'!$S355), 0, 1), 6, if(ISBLANK('2025'!$T355), 0, 1), 7, 0))), 1, "")</f>
        <v/>
      </c>
      <c r="Y357" s="1" t="str">
        <f>IF(AND(AND(AND(Y$4&gt;='2025'!$L355,Y$4&lt;='2025'!$M355), Y$4&lt;&gt;DATE(2025,7,4)), (SWITCH(weekday(Y$4), 1, 0, 2, if(ISBLANK('2025'!$P355), 0, 1), 3, if(ISBLANK('2025'!$Q355), 0, 1), 4, if(ISBLANK('2025'!$R355), 0, 1), 5, if(ISBLANK('2025'!$S355), 0, 1), 6, if(ISBLANK('2025'!$T355), 0, 1), 7, 0))), 1, "")</f>
        <v/>
      </c>
      <c r="Z357" s="1" t="str">
        <f>IF(AND(AND(AND(Z$4&gt;='2025'!$L355,Z$4&lt;='2025'!$M355), Z$4&lt;&gt;DATE(2025,7,4)), (SWITCH(weekday(Z$4), 1, 0, 2, if(ISBLANK('2025'!$P355), 0, 1), 3, if(ISBLANK('2025'!$Q355), 0, 1), 4, if(ISBLANK('2025'!$R355), 0, 1), 5, if(ISBLANK('2025'!$S355), 0, 1), 6, if(ISBLANK('2025'!$T355), 0, 1), 7, 0))), 1, "")</f>
        <v/>
      </c>
      <c r="AA357" s="1" t="str">
        <f>IF(AND(AND(AND(AA$4&gt;='2025'!$L355,AA$4&lt;='2025'!$M355), AA$4&lt;&gt;DATE(2025,7,4)), (SWITCH(weekday(AA$4), 1, 0, 2, if(ISBLANK('2025'!$P355), 0, 1), 3, if(ISBLANK('2025'!$Q355), 0, 1), 4, if(ISBLANK('2025'!$R355), 0, 1), 5, if(ISBLANK('2025'!$S355), 0, 1), 6, if(ISBLANK('2025'!$T355), 0, 1), 7, 0))), 1, "")</f>
        <v/>
      </c>
      <c r="AB357" s="1" t="str">
        <f>IF(AND(AND(AND(AB$4&gt;='2025'!$L355,AB$4&lt;='2025'!$M355), AB$4&lt;&gt;DATE(2025,7,4)), (SWITCH(weekday(AB$4), 1, 0, 2, if(ISBLANK('2025'!$P355), 0, 1), 3, if(ISBLANK('2025'!$Q355), 0, 1), 4, if(ISBLANK('2025'!$R355), 0, 1), 5, if(ISBLANK('2025'!$S355), 0, 1), 6, if(ISBLANK('2025'!$T355), 0, 1), 7, 0))), 1, "")</f>
        <v/>
      </c>
      <c r="AC357" s="1" t="str">
        <f>IF(AND(AND(AND(AC$4&gt;='2025'!$L355,AC$4&lt;='2025'!$M355), AC$4&lt;&gt;DATE(2025,7,4)), (SWITCH(weekday(AC$4), 1, 0, 2, if(ISBLANK('2025'!$P355), 0, 1), 3, if(ISBLANK('2025'!$Q355), 0, 1), 4, if(ISBLANK('2025'!$R355), 0, 1), 5, if(ISBLANK('2025'!$S355), 0, 1), 6, if(ISBLANK('2025'!$T355), 0, 1), 7, 0))), 1, "")</f>
        <v/>
      </c>
      <c r="AD357" s="1" t="str">
        <f>IF(AND(AND(AND(AD$4&gt;='2025'!$L355,AD$4&lt;='2025'!$M355), AD$4&lt;&gt;DATE(2025,7,4)), (SWITCH(weekday(AD$4), 1, 0, 2, if(ISBLANK('2025'!$P355), 0, 1), 3, if(ISBLANK('2025'!$Q355), 0, 1), 4, if(ISBLANK('2025'!$R355), 0, 1), 5, if(ISBLANK('2025'!$S355), 0, 1), 6, if(ISBLANK('2025'!$T355), 0, 1), 7, 0))), 1, "")</f>
        <v/>
      </c>
      <c r="AE357" s="1" t="str">
        <f>IF(AND(AND(AND(AE$4&gt;='2025'!$L355,AE$4&lt;='2025'!$M355), AE$4&lt;&gt;DATE(2025,7,4)), (SWITCH(weekday(AE$4), 1, 0, 2, if(ISBLANK('2025'!$P355), 0, 1), 3, if(ISBLANK('2025'!$Q355), 0, 1), 4, if(ISBLANK('2025'!$R355), 0, 1), 5, if(ISBLANK('2025'!$S355), 0, 1), 6, if(ISBLANK('2025'!$T355), 0, 1), 7, 0))), 1, "")</f>
        <v/>
      </c>
      <c r="AF357" s="1" t="str">
        <f>IF(AND(AND(AND(AF$4&gt;='2025'!$L355,AF$4&lt;='2025'!$M355), AF$4&lt;&gt;DATE(2025,7,4)), (SWITCH(weekday(AF$4), 1, 0, 2, if(ISBLANK('2025'!$P355), 0, 1), 3, if(ISBLANK('2025'!$Q355), 0, 1), 4, if(ISBLANK('2025'!$R355), 0, 1), 5, if(ISBLANK('2025'!$S355), 0, 1), 6, if(ISBLANK('2025'!$T355), 0, 1), 7, 0))), 1, "")</f>
        <v/>
      </c>
      <c r="AG357" s="1" t="str">
        <f>IF(AND(AND(AND(AG$4&gt;='2025'!$L355,AG$4&lt;='2025'!$M355), AG$4&lt;&gt;DATE(2025,7,4)), (SWITCH(weekday(AG$4), 1, 0, 2, if(ISBLANK('2025'!$P355), 0, 1), 3, if(ISBLANK('2025'!$Q355), 0, 1), 4, if(ISBLANK('2025'!$R355), 0, 1), 5, if(ISBLANK('2025'!$S355), 0, 1), 6, if(ISBLANK('2025'!$T355), 0, 1), 7, 0))), 1, "")</f>
        <v/>
      </c>
      <c r="AH357" s="1" t="str">
        <f>IF(AND(AND(AND(AH$4&gt;='2025'!$L355,AH$4&lt;='2025'!$M355), AH$4&lt;&gt;DATE(2025,7,4)), (SWITCH(weekday(AH$4), 1, 0, 2, if(ISBLANK('2025'!$P355), 0, 1), 3, if(ISBLANK('2025'!$Q355), 0, 1), 4, if(ISBLANK('2025'!$R355), 0, 1), 5, if(ISBLANK('2025'!$S355), 0, 1), 6, if(ISBLANK('2025'!$T355), 0, 1), 7, 0))), 1, "")</f>
        <v/>
      </c>
      <c r="AI357" s="1" t="str">
        <f>IF(AND(AND(AND(AI$4&gt;='2025'!$L355,AI$4&lt;='2025'!$M355), AI$4&lt;&gt;DATE(2025,7,4)), (SWITCH(weekday(AI$4), 1, 0, 2, if(ISBLANK('2025'!$P355), 0, 1), 3, if(ISBLANK('2025'!$Q355), 0, 1), 4, if(ISBLANK('2025'!$R355), 0, 1), 5, if(ISBLANK('2025'!$S355), 0, 1), 6, if(ISBLANK('2025'!$T355), 0, 1), 7, 0))), 1, "")</f>
        <v/>
      </c>
      <c r="AJ357" s="1" t="str">
        <f>IF(AND(AND(AND(AJ$4&gt;='2025'!$L355,AJ$4&lt;='2025'!$M355), AJ$4&lt;&gt;DATE(2025,7,4)), (SWITCH(weekday(AJ$4), 1, 0, 2, if(ISBLANK('2025'!$P355), 0, 1), 3, if(ISBLANK('2025'!$Q355), 0, 1), 4, if(ISBLANK('2025'!$R355), 0, 1), 5, if(ISBLANK('2025'!$S355), 0, 1), 6, if(ISBLANK('2025'!$T355), 0, 1), 7, 0))), 1, "")</f>
        <v/>
      </c>
      <c r="AK357" s="1" t="str">
        <f>IF(AND(AND(AND(AK$4&gt;='2025'!$L355,AK$4&lt;='2025'!$M355), AK$4&lt;&gt;DATE(2025,7,4)), (SWITCH(weekday(AK$4), 1, 0, 2, if(ISBLANK('2025'!$P355), 0, 1), 3, if(ISBLANK('2025'!$Q355), 0, 1), 4, if(ISBLANK('2025'!$R355), 0, 1), 5, if(ISBLANK('2025'!$S355), 0, 1), 6, if(ISBLANK('2025'!$T355), 0, 1), 7, 0))), 1, "")</f>
        <v/>
      </c>
      <c r="AL357" s="1" t="str">
        <f>IF(AND(AND(AND(AL$4&gt;='2025'!$L355,AL$4&lt;='2025'!$M355), AL$4&lt;&gt;DATE(2025,7,4)), (SWITCH(weekday(AL$4), 1, 0, 2, if(ISBLANK('2025'!$P355), 0, 1), 3, if(ISBLANK('2025'!$Q355), 0, 1), 4, if(ISBLANK('2025'!$R355), 0, 1), 5, if(ISBLANK('2025'!$S355), 0, 1), 6, if(ISBLANK('2025'!$T355), 0, 1), 7, 0))), 1, "")</f>
        <v/>
      </c>
      <c r="AM357" s="1" t="str">
        <f>IF(AND(AND(AND(AM$4&gt;='2025'!$L355,AM$4&lt;='2025'!$M355), AM$4&lt;&gt;DATE(2025,7,4)), (SWITCH(weekday(AM$4), 1, 0, 2, if(ISBLANK('2025'!$P355), 0, 1), 3, if(ISBLANK('2025'!$Q355), 0, 1), 4, if(ISBLANK('2025'!$R355), 0, 1), 5, if(ISBLANK('2025'!$S355), 0, 1), 6, if(ISBLANK('2025'!$T355), 0, 1), 7, 0))), 1, "")</f>
        <v/>
      </c>
      <c r="AN357" s="1" t="str">
        <f>IF(AND(AND(AND(AN$4&gt;='2025'!$L355,AN$4&lt;='2025'!$M355), AN$4&lt;&gt;DATE(2025,7,4)), (SWITCH(weekday(AN$4), 1, 0, 2, if(ISBLANK('2025'!$P355), 0, 1), 3, if(ISBLANK('2025'!$Q355), 0, 1), 4, if(ISBLANK('2025'!$R355), 0, 1), 5, if(ISBLANK('2025'!$S355), 0, 1), 6, if(ISBLANK('2025'!$T355), 0, 1), 7, 0))), 1, "")</f>
        <v/>
      </c>
      <c r="AO357" s="1" t="str">
        <f>IF(AND(AND(AND(AO$4&gt;='2025'!$L355,AO$4&lt;='2025'!$M355), AO$4&lt;&gt;DATE(2025,7,4)), (SWITCH(weekday(AO$4), 1, 0, 2, if(ISBLANK('2025'!$P355), 0, 1), 3, if(ISBLANK('2025'!$Q355), 0, 1), 4, if(ISBLANK('2025'!$R355), 0, 1), 5, if(ISBLANK('2025'!$S355), 0, 1), 6, if(ISBLANK('2025'!$T355), 0, 1), 7, 0))), 1, "")</f>
        <v/>
      </c>
      <c r="AP357" s="1" t="str">
        <f>IF(AND(AND(AND(AP$4&gt;='2025'!$L355,AP$4&lt;='2025'!$M355), AP$4&lt;&gt;DATE(2025,7,4)), (SWITCH(weekday(AP$4), 1, 0, 2, if(ISBLANK('2025'!$P355), 0, 1), 3, if(ISBLANK('2025'!$Q355), 0, 1), 4, if(ISBLANK('2025'!$R355), 0, 1), 5, if(ISBLANK('2025'!$S355), 0, 1), 6, if(ISBLANK('2025'!$T355), 0, 1), 7, 0))), 1, "")</f>
        <v/>
      </c>
      <c r="AQ357" s="1" t="str">
        <f>IF(AND(AND(AND(AQ$4&gt;='2025'!$L355,AQ$4&lt;='2025'!$M355), AQ$4&lt;&gt;DATE(2025,7,4)), (SWITCH(weekday(AQ$4), 1, 0, 2, if(ISBLANK('2025'!$P355), 0, 1), 3, if(ISBLANK('2025'!$Q355), 0, 1), 4, if(ISBLANK('2025'!$R355), 0, 1), 5, if(ISBLANK('2025'!$S355), 0, 1), 6, if(ISBLANK('2025'!$T355), 0, 1), 7, 0))), 1, "")</f>
        <v/>
      </c>
      <c r="AR357" s="1" t="str">
        <f>IF(AND(AND(AND(AR$4&gt;='2025'!$L355,AR$4&lt;='2025'!$M355), AR$4&lt;&gt;DATE(2025,7,4)), (SWITCH(weekday(AR$4), 1, 0, 2, if(ISBLANK('2025'!$P355), 0, 1), 3, if(ISBLANK('2025'!$Q355), 0, 1), 4, if(ISBLANK('2025'!$R355), 0, 1), 5, if(ISBLANK('2025'!$S355), 0, 1), 6, if(ISBLANK('2025'!$T355), 0, 1), 7, 0))), 1, "")</f>
        <v/>
      </c>
      <c r="AS357" s="1" t="str">
        <f>IF(AND(AND(AND(AS$4&gt;='2025'!$L355,AS$4&lt;='2025'!$M355), AS$4&lt;&gt;DATE(2025,7,4)), (SWITCH(weekday(AS$4), 1, 0, 2, if(ISBLANK('2025'!$P355), 0, 1), 3, if(ISBLANK('2025'!$Q355), 0, 1), 4, if(ISBLANK('2025'!$R355), 0, 1), 5, if(ISBLANK('2025'!$S355), 0, 1), 6, if(ISBLANK('2025'!$T355), 0, 1), 7, 0))), 1, "")</f>
        <v/>
      </c>
      <c r="AT357" s="1" t="str">
        <f>IF(AND(AND(AND(AT$4&gt;='2025'!$L355,AT$4&lt;='2025'!$M355), AT$4&lt;&gt;DATE(2025,7,4)), (SWITCH(weekday(AT$4), 1, 0, 2, if(ISBLANK('2025'!$P355), 0, 1), 3, if(ISBLANK('2025'!$Q355), 0, 1), 4, if(ISBLANK('2025'!$R355), 0, 1), 5, if(ISBLANK('2025'!$S355), 0, 1), 6, if(ISBLANK('2025'!$T355), 0, 1), 7, 0))), 1, "")</f>
        <v/>
      </c>
      <c r="AU357" s="1" t="str">
        <f>IF(AND(AND(AND(AU$4&gt;='2025'!$L355,AU$4&lt;='2025'!$M355), AU$4&lt;&gt;DATE(2025,7,4)), (SWITCH(weekday(AU$4), 1, 0, 2, if(ISBLANK('2025'!$P355), 0, 1), 3, if(ISBLANK('2025'!$Q355), 0, 1), 4, if(ISBLANK('2025'!$R355), 0, 1), 5, if(ISBLANK('2025'!$S355), 0, 1), 6, if(ISBLANK('2025'!$T355), 0, 1), 7, 0))), 1, "")</f>
        <v/>
      </c>
      <c r="AV357" s="1" t="str">
        <f>IF(AND(AND(AND(AV$4&gt;='2025'!$L355,AV$4&lt;='2025'!$M355), AV$4&lt;&gt;DATE(2025,7,4)), (SWITCH(weekday(AV$4), 1, 0, 2, if(ISBLANK('2025'!$P355), 0, 1), 3, if(ISBLANK('2025'!$Q355), 0, 1), 4, if(ISBLANK('2025'!$R355), 0, 1), 5, if(ISBLANK('2025'!$S355), 0, 1), 6, if(ISBLANK('2025'!$T355), 0, 1), 7, 0))), 1, "")</f>
        <v/>
      </c>
      <c r="AW357" s="1" t="str">
        <f>IF(AND(AND(AND(AW$4&gt;='2025'!$L355,AW$4&lt;='2025'!$M355), AW$4&lt;&gt;DATE(2025,7,4)), (SWITCH(weekday(AW$4), 1, 0, 2, if(ISBLANK('2025'!$P355), 0, 1), 3, if(ISBLANK('2025'!$Q355), 0, 1), 4, if(ISBLANK('2025'!$R355), 0, 1), 5, if(ISBLANK('2025'!$S355), 0, 1), 6, if(ISBLANK('2025'!$T355), 0, 1), 7, 0))), 1, "")</f>
        <v/>
      </c>
      <c r="AX357" s="1" t="str">
        <f>IF(AND(AND(AND(AX$4&gt;='2025'!$L355,AX$4&lt;='2025'!$M355), AX$4&lt;&gt;DATE(2025,7,4)), (SWITCH(weekday(AX$4), 1, 0, 2, if(ISBLANK('2025'!$P355), 0, 1), 3, if(ISBLANK('2025'!$Q355), 0, 1), 4, if(ISBLANK('2025'!$R355), 0, 1), 5, if(ISBLANK('2025'!$S355), 0, 1), 6, if(ISBLANK('2025'!$T355), 0, 1), 7, 0))), 1, "")</f>
        <v/>
      </c>
      <c r="AY357" s="1" t="str">
        <f>IF(AND(AND(AND(AY$4&gt;='2025'!$L355,AY$4&lt;='2025'!$M355), AY$4&lt;&gt;DATE(2025,7,4)), (SWITCH(weekday(AY$4), 1, 0, 2, if(ISBLANK('2025'!$P355), 0, 1), 3, if(ISBLANK('2025'!$Q355), 0, 1), 4, if(ISBLANK('2025'!$R355), 0, 1), 5, if(ISBLANK('2025'!$S355), 0, 1), 6, if(ISBLANK('2025'!$T355), 0, 1), 7, 0))), 1, "")</f>
        <v/>
      </c>
      <c r="AZ357" s="1" t="str">
        <f>IF(AND(AND(AND(AZ$4&gt;='2025'!$L355,AZ$4&lt;='2025'!$M355), AZ$4&lt;&gt;DATE(2025,7,4)), (SWITCH(weekday(AZ$4), 1, 0, 2, if(ISBLANK('2025'!$P355), 0, 1), 3, if(ISBLANK('2025'!$Q355), 0, 1), 4, if(ISBLANK('2025'!$R355), 0, 1), 5, if(ISBLANK('2025'!$S355), 0, 1), 6, if(ISBLANK('2025'!$T355), 0, 1), 7, 0))), 1, "")</f>
        <v/>
      </c>
      <c r="BA357" s="1" t="str">
        <f>IF(AND(AND(AND(BA$4&gt;='2025'!$L355,BA$4&lt;='2025'!$M355), BA$4&lt;&gt;DATE(2025,7,4)), (SWITCH(weekday(BA$4), 1, 0, 2, if(ISBLANK('2025'!$P355), 0, 1), 3, if(ISBLANK('2025'!$Q355), 0, 1), 4, if(ISBLANK('2025'!$R355), 0, 1), 5, if(ISBLANK('2025'!$S355), 0, 1), 6, if(ISBLANK('2025'!$T355), 0, 1), 7, 0))), 1, "")</f>
        <v/>
      </c>
      <c r="BB357" s="1" t="str">
        <f>IF(AND(AND(AND(BB$4&gt;='2025'!$L355,BB$4&lt;='2025'!$M355), BB$4&lt;&gt;DATE(2025,7,4)), (SWITCH(weekday(BB$4), 1, 0, 2, if(ISBLANK('2025'!$P355), 0, 1), 3, if(ISBLANK('2025'!$Q355), 0, 1), 4, if(ISBLANK('2025'!$R355), 0, 1), 5, if(ISBLANK('2025'!$S355), 0, 1), 6, if(ISBLANK('2025'!$T355), 0, 1), 7, 0))), 1, "")</f>
        <v/>
      </c>
      <c r="BC357" s="1" t="str">
        <f>IF(AND(AND(AND(BC$4&gt;='2025'!$L355,BC$4&lt;='2025'!$M355), BC$4&lt;&gt;DATE(2025,7,4)), (SWITCH(weekday(BC$4), 1, 0, 2, if(ISBLANK('2025'!$P355), 0, 1), 3, if(ISBLANK('2025'!$Q355), 0, 1), 4, if(ISBLANK('2025'!$R355), 0, 1), 5, if(ISBLANK('2025'!$S355), 0, 1), 6, if(ISBLANK('2025'!$T355), 0, 1), 7, 0))), 1, "")</f>
        <v/>
      </c>
      <c r="BD357" s="1" t="str">
        <f>IF(AND(AND(AND(BD$4&gt;='2025'!$L355,BD$4&lt;='2025'!$M355), BD$4&lt;&gt;DATE(2025,7,4)), (SWITCH(weekday(BD$4), 1, 0, 2, if(ISBLANK('2025'!$P355), 0, 1), 3, if(ISBLANK('2025'!$Q355), 0, 1), 4, if(ISBLANK('2025'!$R355), 0, 1), 5, if(ISBLANK('2025'!$S355), 0, 1), 6, if(ISBLANK('2025'!$T355), 0, 1), 7, 0))), 1, "")</f>
        <v/>
      </c>
      <c r="BE357" s="1" t="str">
        <f>IF(AND(AND(AND(BE$4&gt;='2025'!$L355,BE$4&lt;='2025'!$M355), BE$4&lt;&gt;DATE(2025,7,4)), (SWITCH(weekday(BE$4), 1, 0, 2, if(ISBLANK('2025'!$P355), 0, 1), 3, if(ISBLANK('2025'!$Q355), 0, 1), 4, if(ISBLANK('2025'!$R355), 0, 1), 5, if(ISBLANK('2025'!$S355), 0, 1), 6, if(ISBLANK('2025'!$T355), 0, 1), 7, 0))), 1, "")</f>
        <v/>
      </c>
      <c r="BF357" s="1" t="str">
        <f>IF(AND(AND(AND(BF$4&gt;='2025'!$L355,BF$4&lt;='2025'!$M355), BF$4&lt;&gt;DATE(2025,7,4)), (SWITCH(weekday(BF$4), 1, 0, 2, if(ISBLANK('2025'!$P355), 0, 1), 3, if(ISBLANK('2025'!$Q355), 0, 1), 4, if(ISBLANK('2025'!$R355), 0, 1), 5, if(ISBLANK('2025'!$S355), 0, 1), 6, if(ISBLANK('2025'!$T355), 0, 1), 7, 0))), 1, "")</f>
        <v/>
      </c>
      <c r="BG357" s="1"/>
      <c r="BH357" s="1"/>
      <c r="BI357" s="1"/>
      <c r="BJ357" s="1"/>
      <c r="BK357" s="1"/>
      <c r="BL357" s="1"/>
    </row>
    <row r="358">
      <c r="A358" s="1">
        <f t="shared" si="3"/>
        <v>358</v>
      </c>
      <c r="B358" s="1" t="str">
        <f>'2025'!D322</f>
        <v>, </v>
      </c>
      <c r="C358" s="1" t="str">
        <f>'2025'!H322</f>
        <v/>
      </c>
      <c r="D358" s="1" t="str">
        <f>IF(AND(AND(AND(D$4&gt;='2025'!$L356,D$4&lt;='2025'!$M356), D$4&lt;&gt;DATE(2025,7,4)), (SWITCH(weekday(D$4), 1, 0, 2, if(ISBLANK('2025'!$P356), 0, 1), 3, if(ISBLANK('2025'!$Q356), 0, 1), 4, if(ISBLANK('2025'!$R356), 0, 1), 5, if(ISBLANK('2025'!$S356), 0, 1), 6, if(ISBLANK('2025'!$T356), 0, 1), 7, 0))), 1, "")</f>
        <v/>
      </c>
      <c r="E358" s="1" t="str">
        <f>IF(AND(AND(AND(E$4&gt;='2025'!$L356,E$4&lt;='2025'!$M356), E$4&lt;&gt;DATE(2025,7,4)), (SWITCH(weekday(E$4), 1, 0, 2, if(ISBLANK('2025'!$P356), 0, 1), 3, if(ISBLANK('2025'!$Q356), 0, 1), 4, if(ISBLANK('2025'!$R356), 0, 1), 5, if(ISBLANK('2025'!$S356), 0, 1), 6, if(ISBLANK('2025'!$T356), 0, 1), 7, 0))), 1, "")</f>
        <v/>
      </c>
      <c r="F358" s="1" t="str">
        <f>IF(AND(AND(AND(F$4&gt;='2025'!$L356,F$4&lt;='2025'!$M356), F$4&lt;&gt;DATE(2025,7,4)), (SWITCH(weekday(F$4), 1, 0, 2, if(ISBLANK('2025'!$P356), 0, 1), 3, if(ISBLANK('2025'!$Q356), 0, 1), 4, if(ISBLANK('2025'!$R356), 0, 1), 5, if(ISBLANK('2025'!$S356), 0, 1), 6, if(ISBLANK('2025'!$T356), 0, 1), 7, 0))), 1, "")</f>
        <v/>
      </c>
      <c r="G358" s="1" t="str">
        <f>IF(AND(AND(AND(G$4&gt;='2025'!$L356,G$4&lt;='2025'!$M356), G$4&lt;&gt;DATE(2025,7,4)), (SWITCH(weekday(G$4), 1, 0, 2, if(ISBLANK('2025'!$P356), 0, 1), 3, if(ISBLANK('2025'!$Q356), 0, 1), 4, if(ISBLANK('2025'!$R356), 0, 1), 5, if(ISBLANK('2025'!$S356), 0, 1), 6, if(ISBLANK('2025'!$T356), 0, 1), 7, 0))), 1, "")</f>
        <v/>
      </c>
      <c r="H358" s="1" t="str">
        <f>IF(AND(AND(AND(H$4&gt;='2025'!$L356,H$4&lt;='2025'!$M356), H$4&lt;&gt;DATE(2025,7,4)), (SWITCH(weekday(H$4), 1, 0, 2, if(ISBLANK('2025'!$P356), 0, 1), 3, if(ISBLANK('2025'!$Q356), 0, 1), 4, if(ISBLANK('2025'!$R356), 0, 1), 5, if(ISBLANK('2025'!$S356), 0, 1), 6, if(ISBLANK('2025'!$T356), 0, 1), 7, 0))), 1, "")</f>
        <v/>
      </c>
      <c r="I358" s="1" t="str">
        <f>IF(AND(AND(AND(I$4&gt;='2025'!$L356,I$4&lt;='2025'!$M356), I$4&lt;&gt;DATE(2025,7,4)), (SWITCH(weekday(I$4), 1, 0, 2, if(ISBLANK('2025'!$P356), 0, 1), 3, if(ISBLANK('2025'!$Q356), 0, 1), 4, if(ISBLANK('2025'!$R356), 0, 1), 5, if(ISBLANK('2025'!$S356), 0, 1), 6, if(ISBLANK('2025'!$T356), 0, 1), 7, 0))), 1, "")</f>
        <v/>
      </c>
      <c r="J358" s="1" t="str">
        <f>IF(AND(AND(AND(J$4&gt;='2025'!$L356,J$4&lt;='2025'!$M356), J$4&lt;&gt;DATE(2025,7,4)), (SWITCH(weekday(J$4), 1, 0, 2, if(ISBLANK('2025'!$P356), 0, 1), 3, if(ISBLANK('2025'!$Q356), 0, 1), 4, if(ISBLANK('2025'!$R356), 0, 1), 5, if(ISBLANK('2025'!$S356), 0, 1), 6, if(ISBLANK('2025'!$T356), 0, 1), 7, 0))), 1, "")</f>
        <v/>
      </c>
      <c r="K358" s="1" t="str">
        <f>IF(AND(AND(AND(K$4&gt;='2025'!$L356,K$4&lt;='2025'!$M356), K$4&lt;&gt;DATE(2025,7,4)), (SWITCH(weekday(K$4), 1, 0, 2, if(ISBLANK('2025'!$P356), 0, 1), 3, if(ISBLANK('2025'!$Q356), 0, 1), 4, if(ISBLANK('2025'!$R356), 0, 1), 5, if(ISBLANK('2025'!$S356), 0, 1), 6, if(ISBLANK('2025'!$T356), 0, 1), 7, 0))), 1, "")</f>
        <v/>
      </c>
      <c r="L358" s="1" t="str">
        <f>IF(AND(AND(AND(L$4&gt;='2025'!$L356,L$4&lt;='2025'!$M356), L$4&lt;&gt;DATE(2025,7,4)), (SWITCH(weekday(L$4), 1, 0, 2, if(ISBLANK('2025'!$P356), 0, 1), 3, if(ISBLANK('2025'!$Q356), 0, 1), 4, if(ISBLANK('2025'!$R356), 0, 1), 5, if(ISBLANK('2025'!$S356), 0, 1), 6, if(ISBLANK('2025'!$T356), 0, 1), 7, 0))), 1, "")</f>
        <v/>
      </c>
      <c r="M358" s="1" t="str">
        <f>IF(AND(AND(AND(M$4&gt;='2025'!$L356,M$4&lt;='2025'!$M356), M$4&lt;&gt;DATE(2025,7,4)), (SWITCH(weekday(M$4), 1, 0, 2, if(ISBLANK('2025'!$P356), 0, 1), 3, if(ISBLANK('2025'!$Q356), 0, 1), 4, if(ISBLANK('2025'!$R356), 0, 1), 5, if(ISBLANK('2025'!$S356), 0, 1), 6, if(ISBLANK('2025'!$T356), 0, 1), 7, 0))), 1, "")</f>
        <v/>
      </c>
      <c r="N358" s="1" t="str">
        <f>IF(AND(AND(AND(N$4&gt;='2025'!$L356,N$4&lt;='2025'!$M356), N$4&lt;&gt;DATE(2025,7,4)), (SWITCH(weekday(N$4), 1, 0, 2, if(ISBLANK('2025'!$P356), 0, 1), 3, if(ISBLANK('2025'!$Q356), 0, 1), 4, if(ISBLANK('2025'!$R356), 0, 1), 5, if(ISBLANK('2025'!$S356), 0, 1), 6, if(ISBLANK('2025'!$T356), 0, 1), 7, 0))), 1, "")</f>
        <v/>
      </c>
      <c r="O358" s="1" t="str">
        <f>IF(AND(AND(AND(O$4&gt;='2025'!$L356,O$4&lt;='2025'!$M356), O$4&lt;&gt;DATE(2025,7,4)), (SWITCH(weekday(O$4), 1, 0, 2, if(ISBLANK('2025'!$P356), 0, 1), 3, if(ISBLANK('2025'!$Q356), 0, 1), 4, if(ISBLANK('2025'!$R356), 0, 1), 5, if(ISBLANK('2025'!$S356), 0, 1), 6, if(ISBLANK('2025'!$T356), 0, 1), 7, 0))), 1, "")</f>
        <v/>
      </c>
      <c r="P358" s="1" t="str">
        <f>IF(AND(AND(AND(P$4&gt;='2025'!$L356,P$4&lt;='2025'!$M356), P$4&lt;&gt;DATE(2025,7,4)), (SWITCH(weekday(P$4), 1, 0, 2, if(ISBLANK('2025'!$P356), 0, 1), 3, if(ISBLANK('2025'!$Q356), 0, 1), 4, if(ISBLANK('2025'!$R356), 0, 1), 5, if(ISBLANK('2025'!$S356), 0, 1), 6, if(ISBLANK('2025'!$T356), 0, 1), 7, 0))), 1, "")</f>
        <v/>
      </c>
      <c r="Q358" s="1" t="str">
        <f>IF(AND(AND(AND(Q$4&gt;='2025'!$L356,Q$4&lt;='2025'!$M356), Q$4&lt;&gt;DATE(2025,7,4)), (SWITCH(weekday(Q$4), 1, 0, 2, if(ISBLANK('2025'!$P356), 0, 1), 3, if(ISBLANK('2025'!$Q356), 0, 1), 4, if(ISBLANK('2025'!$R356), 0, 1), 5, if(ISBLANK('2025'!$S356), 0, 1), 6, if(ISBLANK('2025'!$T356), 0, 1), 7, 0))), 1, "")</f>
        <v/>
      </c>
      <c r="R358" s="1" t="str">
        <f>IF(AND(AND(AND(R$4&gt;='2025'!$L356,R$4&lt;='2025'!$M356), R$4&lt;&gt;DATE(2025,7,4)), (SWITCH(weekday(R$4), 1, 0, 2, if(ISBLANK('2025'!$P356), 0, 1), 3, if(ISBLANK('2025'!$Q356), 0, 1), 4, if(ISBLANK('2025'!$R356), 0, 1), 5, if(ISBLANK('2025'!$S356), 0, 1), 6, if(ISBLANK('2025'!$T356), 0, 1), 7, 0))), 1, "")</f>
        <v/>
      </c>
      <c r="S358" s="1" t="str">
        <f>IF(AND(AND(AND(S$4&gt;='2025'!$L356,S$4&lt;='2025'!$M356), S$4&lt;&gt;DATE(2025,7,4)), (SWITCH(weekday(S$4), 1, 0, 2, if(ISBLANK('2025'!$P356), 0, 1), 3, if(ISBLANK('2025'!$Q356), 0, 1), 4, if(ISBLANK('2025'!$R356), 0, 1), 5, if(ISBLANK('2025'!$S356), 0, 1), 6, if(ISBLANK('2025'!$T356), 0, 1), 7, 0))), 1, "")</f>
        <v/>
      </c>
      <c r="T358" s="1" t="str">
        <f>IF(AND(AND(AND(T$4&gt;='2025'!$L356,T$4&lt;='2025'!$M356), T$4&lt;&gt;DATE(2025,7,4)), (SWITCH(weekday(T$4), 1, 0, 2, if(ISBLANK('2025'!$P356), 0, 1), 3, if(ISBLANK('2025'!$Q356), 0, 1), 4, if(ISBLANK('2025'!$R356), 0, 1), 5, if(ISBLANK('2025'!$S356), 0, 1), 6, if(ISBLANK('2025'!$T356), 0, 1), 7, 0))), 1, "")</f>
        <v/>
      </c>
      <c r="U358" s="1" t="str">
        <f>IF(AND(AND(AND(U$4&gt;='2025'!$L356,U$4&lt;='2025'!$M356), U$4&lt;&gt;DATE(2025,7,4)), (SWITCH(weekday(U$4), 1, 0, 2, if(ISBLANK('2025'!$P356), 0, 1), 3, if(ISBLANK('2025'!$Q356), 0, 1), 4, if(ISBLANK('2025'!$R356), 0, 1), 5, if(ISBLANK('2025'!$S356), 0, 1), 6, if(ISBLANK('2025'!$T356), 0, 1), 7, 0))), 1, "")</f>
        <v/>
      </c>
      <c r="V358" s="1" t="str">
        <f>IF(AND(AND(AND(V$4&gt;='2025'!$L356,V$4&lt;='2025'!$M356), V$4&lt;&gt;DATE(2025,7,4)), (SWITCH(weekday(V$4), 1, 0, 2, if(ISBLANK('2025'!$P356), 0, 1), 3, if(ISBLANK('2025'!$Q356), 0, 1), 4, if(ISBLANK('2025'!$R356), 0, 1), 5, if(ISBLANK('2025'!$S356), 0, 1), 6, if(ISBLANK('2025'!$T356), 0, 1), 7, 0))), 1, "")</f>
        <v/>
      </c>
      <c r="W358" s="1" t="str">
        <f>IF(AND(AND(AND(W$4&gt;='2025'!$L356,W$4&lt;='2025'!$M356), W$4&lt;&gt;DATE(2025,7,4)), (SWITCH(weekday(W$4), 1, 0, 2, if(ISBLANK('2025'!$P356), 0, 1), 3, if(ISBLANK('2025'!$Q356), 0, 1), 4, if(ISBLANK('2025'!$R356), 0, 1), 5, if(ISBLANK('2025'!$S356), 0, 1), 6, if(ISBLANK('2025'!$T356), 0, 1), 7, 0))), 1, "")</f>
        <v/>
      </c>
      <c r="X358" s="1" t="str">
        <f>IF(AND(AND(AND(X$4&gt;='2025'!$L356,X$4&lt;='2025'!$M356), X$4&lt;&gt;DATE(2025,7,4)), (SWITCH(weekday(X$4), 1, 0, 2, if(ISBLANK('2025'!$P356), 0, 1), 3, if(ISBLANK('2025'!$Q356), 0, 1), 4, if(ISBLANK('2025'!$R356), 0, 1), 5, if(ISBLANK('2025'!$S356), 0, 1), 6, if(ISBLANK('2025'!$T356), 0, 1), 7, 0))), 1, "")</f>
        <v/>
      </c>
      <c r="Y358" s="1" t="str">
        <f>IF(AND(AND(AND(Y$4&gt;='2025'!$L356,Y$4&lt;='2025'!$M356), Y$4&lt;&gt;DATE(2025,7,4)), (SWITCH(weekday(Y$4), 1, 0, 2, if(ISBLANK('2025'!$P356), 0, 1), 3, if(ISBLANK('2025'!$Q356), 0, 1), 4, if(ISBLANK('2025'!$R356), 0, 1), 5, if(ISBLANK('2025'!$S356), 0, 1), 6, if(ISBLANK('2025'!$T356), 0, 1), 7, 0))), 1, "")</f>
        <v/>
      </c>
      <c r="Z358" s="1" t="str">
        <f>IF(AND(AND(AND(Z$4&gt;='2025'!$L356,Z$4&lt;='2025'!$M356), Z$4&lt;&gt;DATE(2025,7,4)), (SWITCH(weekday(Z$4), 1, 0, 2, if(ISBLANK('2025'!$P356), 0, 1), 3, if(ISBLANK('2025'!$Q356), 0, 1), 4, if(ISBLANK('2025'!$R356), 0, 1), 5, if(ISBLANK('2025'!$S356), 0, 1), 6, if(ISBLANK('2025'!$T356), 0, 1), 7, 0))), 1, "")</f>
        <v/>
      </c>
      <c r="AA358" s="1" t="str">
        <f>IF(AND(AND(AND(AA$4&gt;='2025'!$L356,AA$4&lt;='2025'!$M356), AA$4&lt;&gt;DATE(2025,7,4)), (SWITCH(weekday(AA$4), 1, 0, 2, if(ISBLANK('2025'!$P356), 0, 1), 3, if(ISBLANK('2025'!$Q356), 0, 1), 4, if(ISBLANK('2025'!$R356), 0, 1), 5, if(ISBLANK('2025'!$S356), 0, 1), 6, if(ISBLANK('2025'!$T356), 0, 1), 7, 0))), 1, "")</f>
        <v/>
      </c>
      <c r="AB358" s="1" t="str">
        <f>IF(AND(AND(AND(AB$4&gt;='2025'!$L356,AB$4&lt;='2025'!$M356), AB$4&lt;&gt;DATE(2025,7,4)), (SWITCH(weekday(AB$4), 1, 0, 2, if(ISBLANK('2025'!$P356), 0, 1), 3, if(ISBLANK('2025'!$Q356), 0, 1), 4, if(ISBLANK('2025'!$R356), 0, 1), 5, if(ISBLANK('2025'!$S356), 0, 1), 6, if(ISBLANK('2025'!$T356), 0, 1), 7, 0))), 1, "")</f>
        <v/>
      </c>
      <c r="AC358" s="1" t="str">
        <f>IF(AND(AND(AND(AC$4&gt;='2025'!$L356,AC$4&lt;='2025'!$M356), AC$4&lt;&gt;DATE(2025,7,4)), (SWITCH(weekday(AC$4), 1, 0, 2, if(ISBLANK('2025'!$P356), 0, 1), 3, if(ISBLANK('2025'!$Q356), 0, 1), 4, if(ISBLANK('2025'!$R356), 0, 1), 5, if(ISBLANK('2025'!$S356), 0, 1), 6, if(ISBLANK('2025'!$T356), 0, 1), 7, 0))), 1, "")</f>
        <v/>
      </c>
      <c r="AD358" s="1" t="str">
        <f>IF(AND(AND(AND(AD$4&gt;='2025'!$L356,AD$4&lt;='2025'!$M356), AD$4&lt;&gt;DATE(2025,7,4)), (SWITCH(weekday(AD$4), 1, 0, 2, if(ISBLANK('2025'!$P356), 0, 1), 3, if(ISBLANK('2025'!$Q356), 0, 1), 4, if(ISBLANK('2025'!$R356), 0, 1), 5, if(ISBLANK('2025'!$S356), 0, 1), 6, if(ISBLANK('2025'!$T356), 0, 1), 7, 0))), 1, "")</f>
        <v/>
      </c>
      <c r="AE358" s="1" t="str">
        <f>IF(AND(AND(AND(AE$4&gt;='2025'!$L356,AE$4&lt;='2025'!$M356), AE$4&lt;&gt;DATE(2025,7,4)), (SWITCH(weekday(AE$4), 1, 0, 2, if(ISBLANK('2025'!$P356), 0, 1), 3, if(ISBLANK('2025'!$Q356), 0, 1), 4, if(ISBLANK('2025'!$R356), 0, 1), 5, if(ISBLANK('2025'!$S356), 0, 1), 6, if(ISBLANK('2025'!$T356), 0, 1), 7, 0))), 1, "")</f>
        <v/>
      </c>
      <c r="AF358" s="1" t="str">
        <f>IF(AND(AND(AND(AF$4&gt;='2025'!$L356,AF$4&lt;='2025'!$M356), AF$4&lt;&gt;DATE(2025,7,4)), (SWITCH(weekday(AF$4), 1, 0, 2, if(ISBLANK('2025'!$P356), 0, 1), 3, if(ISBLANK('2025'!$Q356), 0, 1), 4, if(ISBLANK('2025'!$R356), 0, 1), 5, if(ISBLANK('2025'!$S356), 0, 1), 6, if(ISBLANK('2025'!$T356), 0, 1), 7, 0))), 1, "")</f>
        <v/>
      </c>
      <c r="AG358" s="1" t="str">
        <f>IF(AND(AND(AND(AG$4&gt;='2025'!$L356,AG$4&lt;='2025'!$M356), AG$4&lt;&gt;DATE(2025,7,4)), (SWITCH(weekday(AG$4), 1, 0, 2, if(ISBLANK('2025'!$P356), 0, 1), 3, if(ISBLANK('2025'!$Q356), 0, 1), 4, if(ISBLANK('2025'!$R356), 0, 1), 5, if(ISBLANK('2025'!$S356), 0, 1), 6, if(ISBLANK('2025'!$T356), 0, 1), 7, 0))), 1, "")</f>
        <v/>
      </c>
      <c r="AH358" s="1" t="str">
        <f>IF(AND(AND(AND(AH$4&gt;='2025'!$L356,AH$4&lt;='2025'!$M356), AH$4&lt;&gt;DATE(2025,7,4)), (SWITCH(weekday(AH$4), 1, 0, 2, if(ISBLANK('2025'!$P356), 0, 1), 3, if(ISBLANK('2025'!$Q356), 0, 1), 4, if(ISBLANK('2025'!$R356), 0, 1), 5, if(ISBLANK('2025'!$S356), 0, 1), 6, if(ISBLANK('2025'!$T356), 0, 1), 7, 0))), 1, "")</f>
        <v/>
      </c>
      <c r="AI358" s="1" t="str">
        <f>IF(AND(AND(AND(AI$4&gt;='2025'!$L356,AI$4&lt;='2025'!$M356), AI$4&lt;&gt;DATE(2025,7,4)), (SWITCH(weekday(AI$4), 1, 0, 2, if(ISBLANK('2025'!$P356), 0, 1), 3, if(ISBLANK('2025'!$Q356), 0, 1), 4, if(ISBLANK('2025'!$R356), 0, 1), 5, if(ISBLANK('2025'!$S356), 0, 1), 6, if(ISBLANK('2025'!$T356), 0, 1), 7, 0))), 1, "")</f>
        <v/>
      </c>
      <c r="AJ358" s="1" t="str">
        <f>IF(AND(AND(AND(AJ$4&gt;='2025'!$L356,AJ$4&lt;='2025'!$M356), AJ$4&lt;&gt;DATE(2025,7,4)), (SWITCH(weekday(AJ$4), 1, 0, 2, if(ISBLANK('2025'!$P356), 0, 1), 3, if(ISBLANK('2025'!$Q356), 0, 1), 4, if(ISBLANK('2025'!$R356), 0, 1), 5, if(ISBLANK('2025'!$S356), 0, 1), 6, if(ISBLANK('2025'!$T356), 0, 1), 7, 0))), 1, "")</f>
        <v/>
      </c>
      <c r="AK358" s="1" t="str">
        <f>IF(AND(AND(AND(AK$4&gt;='2025'!$L356,AK$4&lt;='2025'!$M356), AK$4&lt;&gt;DATE(2025,7,4)), (SWITCH(weekday(AK$4), 1, 0, 2, if(ISBLANK('2025'!$P356), 0, 1), 3, if(ISBLANK('2025'!$Q356), 0, 1), 4, if(ISBLANK('2025'!$R356), 0, 1), 5, if(ISBLANK('2025'!$S356), 0, 1), 6, if(ISBLANK('2025'!$T356), 0, 1), 7, 0))), 1, "")</f>
        <v/>
      </c>
      <c r="AL358" s="1" t="str">
        <f>IF(AND(AND(AND(AL$4&gt;='2025'!$L356,AL$4&lt;='2025'!$M356), AL$4&lt;&gt;DATE(2025,7,4)), (SWITCH(weekday(AL$4), 1, 0, 2, if(ISBLANK('2025'!$P356), 0, 1), 3, if(ISBLANK('2025'!$Q356), 0, 1), 4, if(ISBLANK('2025'!$R356), 0, 1), 5, if(ISBLANK('2025'!$S356), 0, 1), 6, if(ISBLANK('2025'!$T356), 0, 1), 7, 0))), 1, "")</f>
        <v/>
      </c>
      <c r="AM358" s="1" t="str">
        <f>IF(AND(AND(AND(AM$4&gt;='2025'!$L356,AM$4&lt;='2025'!$M356), AM$4&lt;&gt;DATE(2025,7,4)), (SWITCH(weekday(AM$4), 1, 0, 2, if(ISBLANK('2025'!$P356), 0, 1), 3, if(ISBLANK('2025'!$Q356), 0, 1), 4, if(ISBLANK('2025'!$R356), 0, 1), 5, if(ISBLANK('2025'!$S356), 0, 1), 6, if(ISBLANK('2025'!$T356), 0, 1), 7, 0))), 1, "")</f>
        <v/>
      </c>
      <c r="AN358" s="1" t="str">
        <f>IF(AND(AND(AND(AN$4&gt;='2025'!$L356,AN$4&lt;='2025'!$M356), AN$4&lt;&gt;DATE(2025,7,4)), (SWITCH(weekday(AN$4), 1, 0, 2, if(ISBLANK('2025'!$P356), 0, 1), 3, if(ISBLANK('2025'!$Q356), 0, 1), 4, if(ISBLANK('2025'!$R356), 0, 1), 5, if(ISBLANK('2025'!$S356), 0, 1), 6, if(ISBLANK('2025'!$T356), 0, 1), 7, 0))), 1, "")</f>
        <v/>
      </c>
      <c r="AO358" s="1" t="str">
        <f>IF(AND(AND(AND(AO$4&gt;='2025'!$L356,AO$4&lt;='2025'!$M356), AO$4&lt;&gt;DATE(2025,7,4)), (SWITCH(weekday(AO$4), 1, 0, 2, if(ISBLANK('2025'!$P356), 0, 1), 3, if(ISBLANK('2025'!$Q356), 0, 1), 4, if(ISBLANK('2025'!$R356), 0, 1), 5, if(ISBLANK('2025'!$S356), 0, 1), 6, if(ISBLANK('2025'!$T356), 0, 1), 7, 0))), 1, "")</f>
        <v/>
      </c>
      <c r="AP358" s="1" t="str">
        <f>IF(AND(AND(AND(AP$4&gt;='2025'!$L356,AP$4&lt;='2025'!$M356), AP$4&lt;&gt;DATE(2025,7,4)), (SWITCH(weekday(AP$4), 1, 0, 2, if(ISBLANK('2025'!$P356), 0, 1), 3, if(ISBLANK('2025'!$Q356), 0, 1), 4, if(ISBLANK('2025'!$R356), 0, 1), 5, if(ISBLANK('2025'!$S356), 0, 1), 6, if(ISBLANK('2025'!$T356), 0, 1), 7, 0))), 1, "")</f>
        <v/>
      </c>
      <c r="AQ358" s="1" t="str">
        <f>IF(AND(AND(AND(AQ$4&gt;='2025'!$L356,AQ$4&lt;='2025'!$M356), AQ$4&lt;&gt;DATE(2025,7,4)), (SWITCH(weekday(AQ$4), 1, 0, 2, if(ISBLANK('2025'!$P356), 0, 1), 3, if(ISBLANK('2025'!$Q356), 0, 1), 4, if(ISBLANK('2025'!$R356), 0, 1), 5, if(ISBLANK('2025'!$S356), 0, 1), 6, if(ISBLANK('2025'!$T356), 0, 1), 7, 0))), 1, "")</f>
        <v/>
      </c>
      <c r="AR358" s="1" t="str">
        <f>IF(AND(AND(AND(AR$4&gt;='2025'!$L356,AR$4&lt;='2025'!$M356), AR$4&lt;&gt;DATE(2025,7,4)), (SWITCH(weekday(AR$4), 1, 0, 2, if(ISBLANK('2025'!$P356), 0, 1), 3, if(ISBLANK('2025'!$Q356), 0, 1), 4, if(ISBLANK('2025'!$R356), 0, 1), 5, if(ISBLANK('2025'!$S356), 0, 1), 6, if(ISBLANK('2025'!$T356), 0, 1), 7, 0))), 1, "")</f>
        <v/>
      </c>
      <c r="AS358" s="1" t="str">
        <f>IF(AND(AND(AND(AS$4&gt;='2025'!$L356,AS$4&lt;='2025'!$M356), AS$4&lt;&gt;DATE(2025,7,4)), (SWITCH(weekday(AS$4), 1, 0, 2, if(ISBLANK('2025'!$P356), 0, 1), 3, if(ISBLANK('2025'!$Q356), 0, 1), 4, if(ISBLANK('2025'!$R356), 0, 1), 5, if(ISBLANK('2025'!$S356), 0, 1), 6, if(ISBLANK('2025'!$T356), 0, 1), 7, 0))), 1, "")</f>
        <v/>
      </c>
      <c r="AT358" s="1" t="str">
        <f>IF(AND(AND(AND(AT$4&gt;='2025'!$L356,AT$4&lt;='2025'!$M356), AT$4&lt;&gt;DATE(2025,7,4)), (SWITCH(weekday(AT$4), 1, 0, 2, if(ISBLANK('2025'!$P356), 0, 1), 3, if(ISBLANK('2025'!$Q356), 0, 1), 4, if(ISBLANK('2025'!$R356), 0, 1), 5, if(ISBLANK('2025'!$S356), 0, 1), 6, if(ISBLANK('2025'!$T356), 0, 1), 7, 0))), 1, "")</f>
        <v/>
      </c>
      <c r="AU358" s="1" t="str">
        <f>IF(AND(AND(AND(AU$4&gt;='2025'!$L356,AU$4&lt;='2025'!$M356), AU$4&lt;&gt;DATE(2025,7,4)), (SWITCH(weekday(AU$4), 1, 0, 2, if(ISBLANK('2025'!$P356), 0, 1), 3, if(ISBLANK('2025'!$Q356), 0, 1), 4, if(ISBLANK('2025'!$R356), 0, 1), 5, if(ISBLANK('2025'!$S356), 0, 1), 6, if(ISBLANK('2025'!$T356), 0, 1), 7, 0))), 1, "")</f>
        <v/>
      </c>
      <c r="AV358" s="1" t="str">
        <f>IF(AND(AND(AND(AV$4&gt;='2025'!$L356,AV$4&lt;='2025'!$M356), AV$4&lt;&gt;DATE(2025,7,4)), (SWITCH(weekday(AV$4), 1, 0, 2, if(ISBLANK('2025'!$P356), 0, 1), 3, if(ISBLANK('2025'!$Q356), 0, 1), 4, if(ISBLANK('2025'!$R356), 0, 1), 5, if(ISBLANK('2025'!$S356), 0, 1), 6, if(ISBLANK('2025'!$T356), 0, 1), 7, 0))), 1, "")</f>
        <v/>
      </c>
      <c r="AW358" s="1" t="str">
        <f>IF(AND(AND(AND(AW$4&gt;='2025'!$L356,AW$4&lt;='2025'!$M356), AW$4&lt;&gt;DATE(2025,7,4)), (SWITCH(weekday(AW$4), 1, 0, 2, if(ISBLANK('2025'!$P356), 0, 1), 3, if(ISBLANK('2025'!$Q356), 0, 1), 4, if(ISBLANK('2025'!$R356), 0, 1), 5, if(ISBLANK('2025'!$S356), 0, 1), 6, if(ISBLANK('2025'!$T356), 0, 1), 7, 0))), 1, "")</f>
        <v/>
      </c>
      <c r="AX358" s="1" t="str">
        <f>IF(AND(AND(AND(AX$4&gt;='2025'!$L356,AX$4&lt;='2025'!$M356), AX$4&lt;&gt;DATE(2025,7,4)), (SWITCH(weekday(AX$4), 1, 0, 2, if(ISBLANK('2025'!$P356), 0, 1), 3, if(ISBLANK('2025'!$Q356), 0, 1), 4, if(ISBLANK('2025'!$R356), 0, 1), 5, if(ISBLANK('2025'!$S356), 0, 1), 6, if(ISBLANK('2025'!$T356), 0, 1), 7, 0))), 1, "")</f>
        <v/>
      </c>
      <c r="AY358" s="1" t="str">
        <f>IF(AND(AND(AND(AY$4&gt;='2025'!$L356,AY$4&lt;='2025'!$M356), AY$4&lt;&gt;DATE(2025,7,4)), (SWITCH(weekday(AY$4), 1, 0, 2, if(ISBLANK('2025'!$P356), 0, 1), 3, if(ISBLANK('2025'!$Q356), 0, 1), 4, if(ISBLANK('2025'!$R356), 0, 1), 5, if(ISBLANK('2025'!$S356), 0, 1), 6, if(ISBLANK('2025'!$T356), 0, 1), 7, 0))), 1, "")</f>
        <v/>
      </c>
      <c r="AZ358" s="1" t="str">
        <f>IF(AND(AND(AND(AZ$4&gt;='2025'!$L356,AZ$4&lt;='2025'!$M356), AZ$4&lt;&gt;DATE(2025,7,4)), (SWITCH(weekday(AZ$4), 1, 0, 2, if(ISBLANK('2025'!$P356), 0, 1), 3, if(ISBLANK('2025'!$Q356), 0, 1), 4, if(ISBLANK('2025'!$R356), 0, 1), 5, if(ISBLANK('2025'!$S356), 0, 1), 6, if(ISBLANK('2025'!$T356), 0, 1), 7, 0))), 1, "")</f>
        <v/>
      </c>
      <c r="BA358" s="1" t="str">
        <f>IF(AND(AND(AND(BA$4&gt;='2025'!$L356,BA$4&lt;='2025'!$M356), BA$4&lt;&gt;DATE(2025,7,4)), (SWITCH(weekday(BA$4), 1, 0, 2, if(ISBLANK('2025'!$P356), 0, 1), 3, if(ISBLANK('2025'!$Q356), 0, 1), 4, if(ISBLANK('2025'!$R356), 0, 1), 5, if(ISBLANK('2025'!$S356), 0, 1), 6, if(ISBLANK('2025'!$T356), 0, 1), 7, 0))), 1, "")</f>
        <v/>
      </c>
      <c r="BB358" s="1" t="str">
        <f>IF(AND(AND(AND(BB$4&gt;='2025'!$L356,BB$4&lt;='2025'!$M356), BB$4&lt;&gt;DATE(2025,7,4)), (SWITCH(weekday(BB$4), 1, 0, 2, if(ISBLANK('2025'!$P356), 0, 1), 3, if(ISBLANK('2025'!$Q356), 0, 1), 4, if(ISBLANK('2025'!$R356), 0, 1), 5, if(ISBLANK('2025'!$S356), 0, 1), 6, if(ISBLANK('2025'!$T356), 0, 1), 7, 0))), 1, "")</f>
        <v/>
      </c>
      <c r="BC358" s="1" t="str">
        <f>IF(AND(AND(AND(BC$4&gt;='2025'!$L356,BC$4&lt;='2025'!$M356), BC$4&lt;&gt;DATE(2025,7,4)), (SWITCH(weekday(BC$4), 1, 0, 2, if(ISBLANK('2025'!$P356), 0, 1), 3, if(ISBLANK('2025'!$Q356), 0, 1), 4, if(ISBLANK('2025'!$R356), 0, 1), 5, if(ISBLANK('2025'!$S356), 0, 1), 6, if(ISBLANK('2025'!$T356), 0, 1), 7, 0))), 1, "")</f>
        <v/>
      </c>
      <c r="BD358" s="1" t="str">
        <f>IF(AND(AND(AND(BD$4&gt;='2025'!$L356,BD$4&lt;='2025'!$M356), BD$4&lt;&gt;DATE(2025,7,4)), (SWITCH(weekday(BD$4), 1, 0, 2, if(ISBLANK('2025'!$P356), 0, 1), 3, if(ISBLANK('2025'!$Q356), 0, 1), 4, if(ISBLANK('2025'!$R356), 0, 1), 5, if(ISBLANK('2025'!$S356), 0, 1), 6, if(ISBLANK('2025'!$T356), 0, 1), 7, 0))), 1, "")</f>
        <v/>
      </c>
      <c r="BE358" s="1" t="str">
        <f>IF(AND(AND(AND(BE$4&gt;='2025'!$L356,BE$4&lt;='2025'!$M356), BE$4&lt;&gt;DATE(2025,7,4)), (SWITCH(weekday(BE$4), 1, 0, 2, if(ISBLANK('2025'!$P356), 0, 1), 3, if(ISBLANK('2025'!$Q356), 0, 1), 4, if(ISBLANK('2025'!$R356), 0, 1), 5, if(ISBLANK('2025'!$S356), 0, 1), 6, if(ISBLANK('2025'!$T356), 0, 1), 7, 0))), 1, "")</f>
        <v/>
      </c>
      <c r="BF358" s="1" t="str">
        <f>IF(AND(AND(AND(BF$4&gt;='2025'!$L356,BF$4&lt;='2025'!$M356), BF$4&lt;&gt;DATE(2025,7,4)), (SWITCH(weekday(BF$4), 1, 0, 2, if(ISBLANK('2025'!$P356), 0, 1), 3, if(ISBLANK('2025'!$Q356), 0, 1), 4, if(ISBLANK('2025'!$R356), 0, 1), 5, if(ISBLANK('2025'!$S356), 0, 1), 6, if(ISBLANK('2025'!$T356), 0, 1), 7, 0))), 1, "")</f>
        <v/>
      </c>
      <c r="BG358" s="1"/>
      <c r="BH358" s="1"/>
      <c r="BI358" s="1"/>
      <c r="BJ358" s="1"/>
      <c r="BK358" s="1"/>
      <c r="BL358" s="1"/>
    </row>
    <row r="359">
      <c r="A359" s="1">
        <f t="shared" si="3"/>
        <v>359</v>
      </c>
      <c r="B359" s="1" t="str">
        <f>'2025'!D323</f>
        <v>, </v>
      </c>
      <c r="C359" s="1" t="str">
        <f>'2025'!H323</f>
        <v/>
      </c>
      <c r="D359" s="1" t="str">
        <f>IF(AND(AND(AND(D$4&gt;='2025'!$L357,D$4&lt;='2025'!$M357), D$4&lt;&gt;DATE(2025,7,4)), (SWITCH(weekday(D$4), 1, 0, 2, if(ISBLANK('2025'!$P357), 0, 1), 3, if(ISBLANK('2025'!$Q357), 0, 1), 4, if(ISBLANK('2025'!$R357), 0, 1), 5, if(ISBLANK('2025'!$S357), 0, 1), 6, if(ISBLANK('2025'!$T357), 0, 1), 7, 0))), 1, "")</f>
        <v/>
      </c>
      <c r="E359" s="1" t="str">
        <f>IF(AND(AND(AND(E$4&gt;='2025'!$L357,E$4&lt;='2025'!$M357), E$4&lt;&gt;DATE(2025,7,4)), (SWITCH(weekday(E$4), 1, 0, 2, if(ISBLANK('2025'!$P357), 0, 1), 3, if(ISBLANK('2025'!$Q357), 0, 1), 4, if(ISBLANK('2025'!$R357), 0, 1), 5, if(ISBLANK('2025'!$S357), 0, 1), 6, if(ISBLANK('2025'!$T357), 0, 1), 7, 0))), 1, "")</f>
        <v/>
      </c>
      <c r="F359" s="1" t="str">
        <f>IF(AND(AND(AND(F$4&gt;='2025'!$L357,F$4&lt;='2025'!$M357), F$4&lt;&gt;DATE(2025,7,4)), (SWITCH(weekday(F$4), 1, 0, 2, if(ISBLANK('2025'!$P357), 0, 1), 3, if(ISBLANK('2025'!$Q357), 0, 1), 4, if(ISBLANK('2025'!$R357), 0, 1), 5, if(ISBLANK('2025'!$S357), 0, 1), 6, if(ISBLANK('2025'!$T357), 0, 1), 7, 0))), 1, "")</f>
        <v/>
      </c>
      <c r="G359" s="1" t="str">
        <f>IF(AND(AND(AND(G$4&gt;='2025'!$L357,G$4&lt;='2025'!$M357), G$4&lt;&gt;DATE(2025,7,4)), (SWITCH(weekday(G$4), 1, 0, 2, if(ISBLANK('2025'!$P357), 0, 1), 3, if(ISBLANK('2025'!$Q357), 0, 1), 4, if(ISBLANK('2025'!$R357), 0, 1), 5, if(ISBLANK('2025'!$S357), 0, 1), 6, if(ISBLANK('2025'!$T357), 0, 1), 7, 0))), 1, "")</f>
        <v/>
      </c>
      <c r="H359" s="1" t="str">
        <f>IF(AND(AND(AND(H$4&gt;='2025'!$L357,H$4&lt;='2025'!$M357), H$4&lt;&gt;DATE(2025,7,4)), (SWITCH(weekday(H$4), 1, 0, 2, if(ISBLANK('2025'!$P357), 0, 1), 3, if(ISBLANK('2025'!$Q357), 0, 1), 4, if(ISBLANK('2025'!$R357), 0, 1), 5, if(ISBLANK('2025'!$S357), 0, 1), 6, if(ISBLANK('2025'!$T357), 0, 1), 7, 0))), 1, "")</f>
        <v/>
      </c>
      <c r="I359" s="1" t="str">
        <f>IF(AND(AND(AND(I$4&gt;='2025'!$L357,I$4&lt;='2025'!$M357), I$4&lt;&gt;DATE(2025,7,4)), (SWITCH(weekday(I$4), 1, 0, 2, if(ISBLANK('2025'!$P357), 0, 1), 3, if(ISBLANK('2025'!$Q357), 0, 1), 4, if(ISBLANK('2025'!$R357), 0, 1), 5, if(ISBLANK('2025'!$S357), 0, 1), 6, if(ISBLANK('2025'!$T357), 0, 1), 7, 0))), 1, "")</f>
        <v/>
      </c>
      <c r="J359" s="1" t="str">
        <f>IF(AND(AND(AND(J$4&gt;='2025'!$L357,J$4&lt;='2025'!$M357), J$4&lt;&gt;DATE(2025,7,4)), (SWITCH(weekday(J$4), 1, 0, 2, if(ISBLANK('2025'!$P357), 0, 1), 3, if(ISBLANK('2025'!$Q357), 0, 1), 4, if(ISBLANK('2025'!$R357), 0, 1), 5, if(ISBLANK('2025'!$S357), 0, 1), 6, if(ISBLANK('2025'!$T357), 0, 1), 7, 0))), 1, "")</f>
        <v/>
      </c>
      <c r="K359" s="1" t="str">
        <f>IF(AND(AND(AND(K$4&gt;='2025'!$L357,K$4&lt;='2025'!$M357), K$4&lt;&gt;DATE(2025,7,4)), (SWITCH(weekday(K$4), 1, 0, 2, if(ISBLANK('2025'!$P357), 0, 1), 3, if(ISBLANK('2025'!$Q357), 0, 1), 4, if(ISBLANK('2025'!$R357), 0, 1), 5, if(ISBLANK('2025'!$S357), 0, 1), 6, if(ISBLANK('2025'!$T357), 0, 1), 7, 0))), 1, "")</f>
        <v/>
      </c>
      <c r="L359" s="1" t="str">
        <f>IF(AND(AND(AND(L$4&gt;='2025'!$L357,L$4&lt;='2025'!$M357), L$4&lt;&gt;DATE(2025,7,4)), (SWITCH(weekday(L$4), 1, 0, 2, if(ISBLANK('2025'!$P357), 0, 1), 3, if(ISBLANK('2025'!$Q357), 0, 1), 4, if(ISBLANK('2025'!$R357), 0, 1), 5, if(ISBLANK('2025'!$S357), 0, 1), 6, if(ISBLANK('2025'!$T357), 0, 1), 7, 0))), 1, "")</f>
        <v/>
      </c>
      <c r="M359" s="1" t="str">
        <f>IF(AND(AND(AND(M$4&gt;='2025'!$L357,M$4&lt;='2025'!$M357), M$4&lt;&gt;DATE(2025,7,4)), (SWITCH(weekday(M$4), 1, 0, 2, if(ISBLANK('2025'!$P357), 0, 1), 3, if(ISBLANK('2025'!$Q357), 0, 1), 4, if(ISBLANK('2025'!$R357), 0, 1), 5, if(ISBLANK('2025'!$S357), 0, 1), 6, if(ISBLANK('2025'!$T357), 0, 1), 7, 0))), 1, "")</f>
        <v/>
      </c>
      <c r="N359" s="1" t="str">
        <f>IF(AND(AND(AND(N$4&gt;='2025'!$L357,N$4&lt;='2025'!$M357), N$4&lt;&gt;DATE(2025,7,4)), (SWITCH(weekday(N$4), 1, 0, 2, if(ISBLANK('2025'!$P357), 0, 1), 3, if(ISBLANK('2025'!$Q357), 0, 1), 4, if(ISBLANK('2025'!$R357), 0, 1), 5, if(ISBLANK('2025'!$S357), 0, 1), 6, if(ISBLANK('2025'!$T357), 0, 1), 7, 0))), 1, "")</f>
        <v/>
      </c>
      <c r="O359" s="1" t="str">
        <f>IF(AND(AND(AND(O$4&gt;='2025'!$L357,O$4&lt;='2025'!$M357), O$4&lt;&gt;DATE(2025,7,4)), (SWITCH(weekday(O$4), 1, 0, 2, if(ISBLANK('2025'!$P357), 0, 1), 3, if(ISBLANK('2025'!$Q357), 0, 1), 4, if(ISBLANK('2025'!$R357), 0, 1), 5, if(ISBLANK('2025'!$S357), 0, 1), 6, if(ISBLANK('2025'!$T357), 0, 1), 7, 0))), 1, "")</f>
        <v/>
      </c>
      <c r="P359" s="1" t="str">
        <f>IF(AND(AND(AND(P$4&gt;='2025'!$L357,P$4&lt;='2025'!$M357), P$4&lt;&gt;DATE(2025,7,4)), (SWITCH(weekday(P$4), 1, 0, 2, if(ISBLANK('2025'!$P357), 0, 1), 3, if(ISBLANK('2025'!$Q357), 0, 1), 4, if(ISBLANK('2025'!$R357), 0, 1), 5, if(ISBLANK('2025'!$S357), 0, 1), 6, if(ISBLANK('2025'!$T357), 0, 1), 7, 0))), 1, "")</f>
        <v/>
      </c>
      <c r="Q359" s="1" t="str">
        <f>IF(AND(AND(AND(Q$4&gt;='2025'!$L357,Q$4&lt;='2025'!$M357), Q$4&lt;&gt;DATE(2025,7,4)), (SWITCH(weekday(Q$4), 1, 0, 2, if(ISBLANK('2025'!$P357), 0, 1), 3, if(ISBLANK('2025'!$Q357), 0, 1), 4, if(ISBLANK('2025'!$R357), 0, 1), 5, if(ISBLANK('2025'!$S357), 0, 1), 6, if(ISBLANK('2025'!$T357), 0, 1), 7, 0))), 1, "")</f>
        <v/>
      </c>
      <c r="R359" s="1" t="str">
        <f>IF(AND(AND(AND(R$4&gt;='2025'!$L357,R$4&lt;='2025'!$M357), R$4&lt;&gt;DATE(2025,7,4)), (SWITCH(weekday(R$4), 1, 0, 2, if(ISBLANK('2025'!$P357), 0, 1), 3, if(ISBLANK('2025'!$Q357), 0, 1), 4, if(ISBLANK('2025'!$R357), 0, 1), 5, if(ISBLANK('2025'!$S357), 0, 1), 6, if(ISBLANK('2025'!$T357), 0, 1), 7, 0))), 1, "")</f>
        <v/>
      </c>
      <c r="S359" s="1" t="str">
        <f>IF(AND(AND(AND(S$4&gt;='2025'!$L357,S$4&lt;='2025'!$M357), S$4&lt;&gt;DATE(2025,7,4)), (SWITCH(weekday(S$4), 1, 0, 2, if(ISBLANK('2025'!$P357), 0, 1), 3, if(ISBLANK('2025'!$Q357), 0, 1), 4, if(ISBLANK('2025'!$R357), 0, 1), 5, if(ISBLANK('2025'!$S357), 0, 1), 6, if(ISBLANK('2025'!$T357), 0, 1), 7, 0))), 1, "")</f>
        <v/>
      </c>
      <c r="T359" s="1" t="str">
        <f>IF(AND(AND(AND(T$4&gt;='2025'!$L357,T$4&lt;='2025'!$M357), T$4&lt;&gt;DATE(2025,7,4)), (SWITCH(weekday(T$4), 1, 0, 2, if(ISBLANK('2025'!$P357), 0, 1), 3, if(ISBLANK('2025'!$Q357), 0, 1), 4, if(ISBLANK('2025'!$R357), 0, 1), 5, if(ISBLANK('2025'!$S357), 0, 1), 6, if(ISBLANK('2025'!$T357), 0, 1), 7, 0))), 1, "")</f>
        <v/>
      </c>
      <c r="U359" s="1" t="str">
        <f>IF(AND(AND(AND(U$4&gt;='2025'!$L357,U$4&lt;='2025'!$M357), U$4&lt;&gt;DATE(2025,7,4)), (SWITCH(weekday(U$4), 1, 0, 2, if(ISBLANK('2025'!$P357), 0, 1), 3, if(ISBLANK('2025'!$Q357), 0, 1), 4, if(ISBLANK('2025'!$R357), 0, 1), 5, if(ISBLANK('2025'!$S357), 0, 1), 6, if(ISBLANK('2025'!$T357), 0, 1), 7, 0))), 1, "")</f>
        <v/>
      </c>
      <c r="V359" s="1" t="str">
        <f>IF(AND(AND(AND(V$4&gt;='2025'!$L357,V$4&lt;='2025'!$M357), V$4&lt;&gt;DATE(2025,7,4)), (SWITCH(weekday(V$4), 1, 0, 2, if(ISBLANK('2025'!$P357), 0, 1), 3, if(ISBLANK('2025'!$Q357), 0, 1), 4, if(ISBLANK('2025'!$R357), 0, 1), 5, if(ISBLANK('2025'!$S357), 0, 1), 6, if(ISBLANK('2025'!$T357), 0, 1), 7, 0))), 1, "")</f>
        <v/>
      </c>
      <c r="W359" s="1" t="str">
        <f>IF(AND(AND(AND(W$4&gt;='2025'!$L357,W$4&lt;='2025'!$M357), W$4&lt;&gt;DATE(2025,7,4)), (SWITCH(weekday(W$4), 1, 0, 2, if(ISBLANK('2025'!$P357), 0, 1), 3, if(ISBLANK('2025'!$Q357), 0, 1), 4, if(ISBLANK('2025'!$R357), 0, 1), 5, if(ISBLANK('2025'!$S357), 0, 1), 6, if(ISBLANK('2025'!$T357), 0, 1), 7, 0))), 1, "")</f>
        <v/>
      </c>
      <c r="X359" s="1" t="str">
        <f>IF(AND(AND(AND(X$4&gt;='2025'!$L357,X$4&lt;='2025'!$M357), X$4&lt;&gt;DATE(2025,7,4)), (SWITCH(weekday(X$4), 1, 0, 2, if(ISBLANK('2025'!$P357), 0, 1), 3, if(ISBLANK('2025'!$Q357), 0, 1), 4, if(ISBLANK('2025'!$R357), 0, 1), 5, if(ISBLANK('2025'!$S357), 0, 1), 6, if(ISBLANK('2025'!$T357), 0, 1), 7, 0))), 1, "")</f>
        <v/>
      </c>
      <c r="Y359" s="1" t="str">
        <f>IF(AND(AND(AND(Y$4&gt;='2025'!$L357,Y$4&lt;='2025'!$M357), Y$4&lt;&gt;DATE(2025,7,4)), (SWITCH(weekday(Y$4), 1, 0, 2, if(ISBLANK('2025'!$P357), 0, 1), 3, if(ISBLANK('2025'!$Q357), 0, 1), 4, if(ISBLANK('2025'!$R357), 0, 1), 5, if(ISBLANK('2025'!$S357), 0, 1), 6, if(ISBLANK('2025'!$T357), 0, 1), 7, 0))), 1, "")</f>
        <v/>
      </c>
      <c r="Z359" s="1" t="str">
        <f>IF(AND(AND(AND(Z$4&gt;='2025'!$L357,Z$4&lt;='2025'!$M357), Z$4&lt;&gt;DATE(2025,7,4)), (SWITCH(weekday(Z$4), 1, 0, 2, if(ISBLANK('2025'!$P357), 0, 1), 3, if(ISBLANK('2025'!$Q357), 0, 1), 4, if(ISBLANK('2025'!$R357), 0, 1), 5, if(ISBLANK('2025'!$S357), 0, 1), 6, if(ISBLANK('2025'!$T357), 0, 1), 7, 0))), 1, "")</f>
        <v/>
      </c>
      <c r="AA359" s="1" t="str">
        <f>IF(AND(AND(AND(AA$4&gt;='2025'!$L357,AA$4&lt;='2025'!$M357), AA$4&lt;&gt;DATE(2025,7,4)), (SWITCH(weekday(AA$4), 1, 0, 2, if(ISBLANK('2025'!$P357), 0, 1), 3, if(ISBLANK('2025'!$Q357), 0, 1), 4, if(ISBLANK('2025'!$R357), 0, 1), 5, if(ISBLANK('2025'!$S357), 0, 1), 6, if(ISBLANK('2025'!$T357), 0, 1), 7, 0))), 1, "")</f>
        <v/>
      </c>
      <c r="AB359" s="1" t="str">
        <f>IF(AND(AND(AND(AB$4&gt;='2025'!$L357,AB$4&lt;='2025'!$M357), AB$4&lt;&gt;DATE(2025,7,4)), (SWITCH(weekday(AB$4), 1, 0, 2, if(ISBLANK('2025'!$P357), 0, 1), 3, if(ISBLANK('2025'!$Q357), 0, 1), 4, if(ISBLANK('2025'!$R357), 0, 1), 5, if(ISBLANK('2025'!$S357), 0, 1), 6, if(ISBLANK('2025'!$T357), 0, 1), 7, 0))), 1, "")</f>
        <v/>
      </c>
      <c r="AC359" s="1" t="str">
        <f>IF(AND(AND(AND(AC$4&gt;='2025'!$L357,AC$4&lt;='2025'!$M357), AC$4&lt;&gt;DATE(2025,7,4)), (SWITCH(weekday(AC$4), 1, 0, 2, if(ISBLANK('2025'!$P357), 0, 1), 3, if(ISBLANK('2025'!$Q357), 0, 1), 4, if(ISBLANK('2025'!$R357), 0, 1), 5, if(ISBLANK('2025'!$S357), 0, 1), 6, if(ISBLANK('2025'!$T357), 0, 1), 7, 0))), 1, "")</f>
        <v/>
      </c>
      <c r="AD359" s="1" t="str">
        <f>IF(AND(AND(AND(AD$4&gt;='2025'!$L357,AD$4&lt;='2025'!$M357), AD$4&lt;&gt;DATE(2025,7,4)), (SWITCH(weekday(AD$4), 1, 0, 2, if(ISBLANK('2025'!$P357), 0, 1), 3, if(ISBLANK('2025'!$Q357), 0, 1), 4, if(ISBLANK('2025'!$R357), 0, 1), 5, if(ISBLANK('2025'!$S357), 0, 1), 6, if(ISBLANK('2025'!$T357), 0, 1), 7, 0))), 1, "")</f>
        <v/>
      </c>
      <c r="AE359" s="1" t="str">
        <f>IF(AND(AND(AND(AE$4&gt;='2025'!$L357,AE$4&lt;='2025'!$M357), AE$4&lt;&gt;DATE(2025,7,4)), (SWITCH(weekday(AE$4), 1, 0, 2, if(ISBLANK('2025'!$P357), 0, 1), 3, if(ISBLANK('2025'!$Q357), 0, 1), 4, if(ISBLANK('2025'!$R357), 0, 1), 5, if(ISBLANK('2025'!$S357), 0, 1), 6, if(ISBLANK('2025'!$T357), 0, 1), 7, 0))), 1, "")</f>
        <v/>
      </c>
      <c r="AF359" s="1" t="str">
        <f>IF(AND(AND(AND(AF$4&gt;='2025'!$L357,AF$4&lt;='2025'!$M357), AF$4&lt;&gt;DATE(2025,7,4)), (SWITCH(weekday(AF$4), 1, 0, 2, if(ISBLANK('2025'!$P357), 0, 1), 3, if(ISBLANK('2025'!$Q357), 0, 1), 4, if(ISBLANK('2025'!$R357), 0, 1), 5, if(ISBLANK('2025'!$S357), 0, 1), 6, if(ISBLANK('2025'!$T357), 0, 1), 7, 0))), 1, "")</f>
        <v/>
      </c>
      <c r="AG359" s="1" t="str">
        <f>IF(AND(AND(AND(AG$4&gt;='2025'!$L357,AG$4&lt;='2025'!$M357), AG$4&lt;&gt;DATE(2025,7,4)), (SWITCH(weekday(AG$4), 1, 0, 2, if(ISBLANK('2025'!$P357), 0, 1), 3, if(ISBLANK('2025'!$Q357), 0, 1), 4, if(ISBLANK('2025'!$R357), 0, 1), 5, if(ISBLANK('2025'!$S357), 0, 1), 6, if(ISBLANK('2025'!$T357), 0, 1), 7, 0))), 1, "")</f>
        <v/>
      </c>
      <c r="AH359" s="1" t="str">
        <f>IF(AND(AND(AND(AH$4&gt;='2025'!$L357,AH$4&lt;='2025'!$M357), AH$4&lt;&gt;DATE(2025,7,4)), (SWITCH(weekday(AH$4), 1, 0, 2, if(ISBLANK('2025'!$P357), 0, 1), 3, if(ISBLANK('2025'!$Q357), 0, 1), 4, if(ISBLANK('2025'!$R357), 0, 1), 5, if(ISBLANK('2025'!$S357), 0, 1), 6, if(ISBLANK('2025'!$T357), 0, 1), 7, 0))), 1, "")</f>
        <v/>
      </c>
      <c r="AI359" s="1" t="str">
        <f>IF(AND(AND(AND(AI$4&gt;='2025'!$L357,AI$4&lt;='2025'!$M357), AI$4&lt;&gt;DATE(2025,7,4)), (SWITCH(weekday(AI$4), 1, 0, 2, if(ISBLANK('2025'!$P357), 0, 1), 3, if(ISBLANK('2025'!$Q357), 0, 1), 4, if(ISBLANK('2025'!$R357), 0, 1), 5, if(ISBLANK('2025'!$S357), 0, 1), 6, if(ISBLANK('2025'!$T357), 0, 1), 7, 0))), 1, "")</f>
        <v/>
      </c>
      <c r="AJ359" s="1" t="str">
        <f>IF(AND(AND(AND(AJ$4&gt;='2025'!$L357,AJ$4&lt;='2025'!$M357), AJ$4&lt;&gt;DATE(2025,7,4)), (SWITCH(weekday(AJ$4), 1, 0, 2, if(ISBLANK('2025'!$P357), 0, 1), 3, if(ISBLANK('2025'!$Q357), 0, 1), 4, if(ISBLANK('2025'!$R357), 0, 1), 5, if(ISBLANK('2025'!$S357), 0, 1), 6, if(ISBLANK('2025'!$T357), 0, 1), 7, 0))), 1, "")</f>
        <v/>
      </c>
      <c r="AK359" s="1" t="str">
        <f>IF(AND(AND(AND(AK$4&gt;='2025'!$L357,AK$4&lt;='2025'!$M357), AK$4&lt;&gt;DATE(2025,7,4)), (SWITCH(weekday(AK$4), 1, 0, 2, if(ISBLANK('2025'!$P357), 0, 1), 3, if(ISBLANK('2025'!$Q357), 0, 1), 4, if(ISBLANK('2025'!$R357), 0, 1), 5, if(ISBLANK('2025'!$S357), 0, 1), 6, if(ISBLANK('2025'!$T357), 0, 1), 7, 0))), 1, "")</f>
        <v/>
      </c>
      <c r="AL359" s="1" t="str">
        <f>IF(AND(AND(AND(AL$4&gt;='2025'!$L357,AL$4&lt;='2025'!$M357), AL$4&lt;&gt;DATE(2025,7,4)), (SWITCH(weekday(AL$4), 1, 0, 2, if(ISBLANK('2025'!$P357), 0, 1), 3, if(ISBLANK('2025'!$Q357), 0, 1), 4, if(ISBLANK('2025'!$R357), 0, 1), 5, if(ISBLANK('2025'!$S357), 0, 1), 6, if(ISBLANK('2025'!$T357), 0, 1), 7, 0))), 1, "")</f>
        <v/>
      </c>
      <c r="AM359" s="1" t="str">
        <f>IF(AND(AND(AND(AM$4&gt;='2025'!$L357,AM$4&lt;='2025'!$M357), AM$4&lt;&gt;DATE(2025,7,4)), (SWITCH(weekday(AM$4), 1, 0, 2, if(ISBLANK('2025'!$P357), 0, 1), 3, if(ISBLANK('2025'!$Q357), 0, 1), 4, if(ISBLANK('2025'!$R357), 0, 1), 5, if(ISBLANK('2025'!$S357), 0, 1), 6, if(ISBLANK('2025'!$T357), 0, 1), 7, 0))), 1, "")</f>
        <v/>
      </c>
      <c r="AN359" s="1" t="str">
        <f>IF(AND(AND(AND(AN$4&gt;='2025'!$L357,AN$4&lt;='2025'!$M357), AN$4&lt;&gt;DATE(2025,7,4)), (SWITCH(weekday(AN$4), 1, 0, 2, if(ISBLANK('2025'!$P357), 0, 1), 3, if(ISBLANK('2025'!$Q357), 0, 1), 4, if(ISBLANK('2025'!$R357), 0, 1), 5, if(ISBLANK('2025'!$S357), 0, 1), 6, if(ISBLANK('2025'!$T357), 0, 1), 7, 0))), 1, "")</f>
        <v/>
      </c>
      <c r="AO359" s="1" t="str">
        <f>IF(AND(AND(AND(AO$4&gt;='2025'!$L357,AO$4&lt;='2025'!$M357), AO$4&lt;&gt;DATE(2025,7,4)), (SWITCH(weekday(AO$4), 1, 0, 2, if(ISBLANK('2025'!$P357), 0, 1), 3, if(ISBLANK('2025'!$Q357), 0, 1), 4, if(ISBLANK('2025'!$R357), 0, 1), 5, if(ISBLANK('2025'!$S357), 0, 1), 6, if(ISBLANK('2025'!$T357), 0, 1), 7, 0))), 1, "")</f>
        <v/>
      </c>
      <c r="AP359" s="1" t="str">
        <f>IF(AND(AND(AND(AP$4&gt;='2025'!$L357,AP$4&lt;='2025'!$M357), AP$4&lt;&gt;DATE(2025,7,4)), (SWITCH(weekday(AP$4), 1, 0, 2, if(ISBLANK('2025'!$P357), 0, 1), 3, if(ISBLANK('2025'!$Q357), 0, 1), 4, if(ISBLANK('2025'!$R357), 0, 1), 5, if(ISBLANK('2025'!$S357), 0, 1), 6, if(ISBLANK('2025'!$T357), 0, 1), 7, 0))), 1, "")</f>
        <v/>
      </c>
      <c r="AQ359" s="1" t="str">
        <f>IF(AND(AND(AND(AQ$4&gt;='2025'!$L357,AQ$4&lt;='2025'!$M357), AQ$4&lt;&gt;DATE(2025,7,4)), (SWITCH(weekday(AQ$4), 1, 0, 2, if(ISBLANK('2025'!$P357), 0, 1), 3, if(ISBLANK('2025'!$Q357), 0, 1), 4, if(ISBLANK('2025'!$R357), 0, 1), 5, if(ISBLANK('2025'!$S357), 0, 1), 6, if(ISBLANK('2025'!$T357), 0, 1), 7, 0))), 1, "")</f>
        <v/>
      </c>
      <c r="AR359" s="1" t="str">
        <f>IF(AND(AND(AND(AR$4&gt;='2025'!$L357,AR$4&lt;='2025'!$M357), AR$4&lt;&gt;DATE(2025,7,4)), (SWITCH(weekday(AR$4), 1, 0, 2, if(ISBLANK('2025'!$P357), 0, 1), 3, if(ISBLANK('2025'!$Q357), 0, 1), 4, if(ISBLANK('2025'!$R357), 0, 1), 5, if(ISBLANK('2025'!$S357), 0, 1), 6, if(ISBLANK('2025'!$T357), 0, 1), 7, 0))), 1, "")</f>
        <v/>
      </c>
      <c r="AS359" s="1" t="str">
        <f>IF(AND(AND(AND(AS$4&gt;='2025'!$L357,AS$4&lt;='2025'!$M357), AS$4&lt;&gt;DATE(2025,7,4)), (SWITCH(weekday(AS$4), 1, 0, 2, if(ISBLANK('2025'!$P357), 0, 1), 3, if(ISBLANK('2025'!$Q357), 0, 1), 4, if(ISBLANK('2025'!$R357), 0, 1), 5, if(ISBLANK('2025'!$S357), 0, 1), 6, if(ISBLANK('2025'!$T357), 0, 1), 7, 0))), 1, "")</f>
        <v/>
      </c>
      <c r="AT359" s="1" t="str">
        <f>IF(AND(AND(AND(AT$4&gt;='2025'!$L357,AT$4&lt;='2025'!$M357), AT$4&lt;&gt;DATE(2025,7,4)), (SWITCH(weekday(AT$4), 1, 0, 2, if(ISBLANK('2025'!$P357), 0, 1), 3, if(ISBLANK('2025'!$Q357), 0, 1), 4, if(ISBLANK('2025'!$R357), 0, 1), 5, if(ISBLANK('2025'!$S357), 0, 1), 6, if(ISBLANK('2025'!$T357), 0, 1), 7, 0))), 1, "")</f>
        <v/>
      </c>
      <c r="AU359" s="1" t="str">
        <f>IF(AND(AND(AND(AU$4&gt;='2025'!$L357,AU$4&lt;='2025'!$M357), AU$4&lt;&gt;DATE(2025,7,4)), (SWITCH(weekday(AU$4), 1, 0, 2, if(ISBLANK('2025'!$P357), 0, 1), 3, if(ISBLANK('2025'!$Q357), 0, 1), 4, if(ISBLANK('2025'!$R357), 0, 1), 5, if(ISBLANK('2025'!$S357), 0, 1), 6, if(ISBLANK('2025'!$T357), 0, 1), 7, 0))), 1, "")</f>
        <v/>
      </c>
      <c r="AV359" s="1" t="str">
        <f>IF(AND(AND(AND(AV$4&gt;='2025'!$L357,AV$4&lt;='2025'!$M357), AV$4&lt;&gt;DATE(2025,7,4)), (SWITCH(weekday(AV$4), 1, 0, 2, if(ISBLANK('2025'!$P357), 0, 1), 3, if(ISBLANK('2025'!$Q357), 0, 1), 4, if(ISBLANK('2025'!$R357), 0, 1), 5, if(ISBLANK('2025'!$S357), 0, 1), 6, if(ISBLANK('2025'!$T357), 0, 1), 7, 0))), 1, "")</f>
        <v/>
      </c>
      <c r="AW359" s="1" t="str">
        <f>IF(AND(AND(AND(AW$4&gt;='2025'!$L357,AW$4&lt;='2025'!$M357), AW$4&lt;&gt;DATE(2025,7,4)), (SWITCH(weekday(AW$4), 1, 0, 2, if(ISBLANK('2025'!$P357), 0, 1), 3, if(ISBLANK('2025'!$Q357), 0, 1), 4, if(ISBLANK('2025'!$R357), 0, 1), 5, if(ISBLANK('2025'!$S357), 0, 1), 6, if(ISBLANK('2025'!$T357), 0, 1), 7, 0))), 1, "")</f>
        <v/>
      </c>
      <c r="AX359" s="1" t="str">
        <f>IF(AND(AND(AND(AX$4&gt;='2025'!$L357,AX$4&lt;='2025'!$M357), AX$4&lt;&gt;DATE(2025,7,4)), (SWITCH(weekday(AX$4), 1, 0, 2, if(ISBLANK('2025'!$P357), 0, 1), 3, if(ISBLANK('2025'!$Q357), 0, 1), 4, if(ISBLANK('2025'!$R357), 0, 1), 5, if(ISBLANK('2025'!$S357), 0, 1), 6, if(ISBLANK('2025'!$T357), 0, 1), 7, 0))), 1, "")</f>
        <v/>
      </c>
      <c r="AY359" s="1" t="str">
        <f>IF(AND(AND(AND(AY$4&gt;='2025'!$L357,AY$4&lt;='2025'!$M357), AY$4&lt;&gt;DATE(2025,7,4)), (SWITCH(weekday(AY$4), 1, 0, 2, if(ISBLANK('2025'!$P357), 0, 1), 3, if(ISBLANK('2025'!$Q357), 0, 1), 4, if(ISBLANK('2025'!$R357), 0, 1), 5, if(ISBLANK('2025'!$S357), 0, 1), 6, if(ISBLANK('2025'!$T357), 0, 1), 7, 0))), 1, "")</f>
        <v/>
      </c>
      <c r="AZ359" s="1" t="str">
        <f>IF(AND(AND(AND(AZ$4&gt;='2025'!$L357,AZ$4&lt;='2025'!$M357), AZ$4&lt;&gt;DATE(2025,7,4)), (SWITCH(weekday(AZ$4), 1, 0, 2, if(ISBLANK('2025'!$P357), 0, 1), 3, if(ISBLANK('2025'!$Q357), 0, 1), 4, if(ISBLANK('2025'!$R357), 0, 1), 5, if(ISBLANK('2025'!$S357), 0, 1), 6, if(ISBLANK('2025'!$T357), 0, 1), 7, 0))), 1, "")</f>
        <v/>
      </c>
      <c r="BA359" s="1" t="str">
        <f>IF(AND(AND(AND(BA$4&gt;='2025'!$L357,BA$4&lt;='2025'!$M357), BA$4&lt;&gt;DATE(2025,7,4)), (SWITCH(weekday(BA$4), 1, 0, 2, if(ISBLANK('2025'!$P357), 0, 1), 3, if(ISBLANK('2025'!$Q357), 0, 1), 4, if(ISBLANK('2025'!$R357), 0, 1), 5, if(ISBLANK('2025'!$S357), 0, 1), 6, if(ISBLANK('2025'!$T357), 0, 1), 7, 0))), 1, "")</f>
        <v/>
      </c>
      <c r="BB359" s="1" t="str">
        <f>IF(AND(AND(AND(BB$4&gt;='2025'!$L357,BB$4&lt;='2025'!$M357), BB$4&lt;&gt;DATE(2025,7,4)), (SWITCH(weekday(BB$4), 1, 0, 2, if(ISBLANK('2025'!$P357), 0, 1), 3, if(ISBLANK('2025'!$Q357), 0, 1), 4, if(ISBLANK('2025'!$R357), 0, 1), 5, if(ISBLANK('2025'!$S357), 0, 1), 6, if(ISBLANK('2025'!$T357), 0, 1), 7, 0))), 1, "")</f>
        <v/>
      </c>
      <c r="BC359" s="1" t="str">
        <f>IF(AND(AND(AND(BC$4&gt;='2025'!$L357,BC$4&lt;='2025'!$M357), BC$4&lt;&gt;DATE(2025,7,4)), (SWITCH(weekday(BC$4), 1, 0, 2, if(ISBLANK('2025'!$P357), 0, 1), 3, if(ISBLANK('2025'!$Q357), 0, 1), 4, if(ISBLANK('2025'!$R357), 0, 1), 5, if(ISBLANK('2025'!$S357), 0, 1), 6, if(ISBLANK('2025'!$T357), 0, 1), 7, 0))), 1, "")</f>
        <v/>
      </c>
      <c r="BD359" s="1" t="str">
        <f>IF(AND(AND(AND(BD$4&gt;='2025'!$L357,BD$4&lt;='2025'!$M357), BD$4&lt;&gt;DATE(2025,7,4)), (SWITCH(weekday(BD$4), 1, 0, 2, if(ISBLANK('2025'!$P357), 0, 1), 3, if(ISBLANK('2025'!$Q357), 0, 1), 4, if(ISBLANK('2025'!$R357), 0, 1), 5, if(ISBLANK('2025'!$S357), 0, 1), 6, if(ISBLANK('2025'!$T357), 0, 1), 7, 0))), 1, "")</f>
        <v/>
      </c>
      <c r="BE359" s="1" t="str">
        <f>IF(AND(AND(AND(BE$4&gt;='2025'!$L357,BE$4&lt;='2025'!$M357), BE$4&lt;&gt;DATE(2025,7,4)), (SWITCH(weekday(BE$4), 1, 0, 2, if(ISBLANK('2025'!$P357), 0, 1), 3, if(ISBLANK('2025'!$Q357), 0, 1), 4, if(ISBLANK('2025'!$R357), 0, 1), 5, if(ISBLANK('2025'!$S357), 0, 1), 6, if(ISBLANK('2025'!$T357), 0, 1), 7, 0))), 1, "")</f>
        <v/>
      </c>
      <c r="BF359" s="1" t="str">
        <f>IF(AND(AND(AND(BF$4&gt;='2025'!$L357,BF$4&lt;='2025'!$M357), BF$4&lt;&gt;DATE(2025,7,4)), (SWITCH(weekday(BF$4), 1, 0, 2, if(ISBLANK('2025'!$P357), 0, 1), 3, if(ISBLANK('2025'!$Q357), 0, 1), 4, if(ISBLANK('2025'!$R357), 0, 1), 5, if(ISBLANK('2025'!$S357), 0, 1), 6, if(ISBLANK('2025'!$T357), 0, 1), 7, 0))), 1, "")</f>
        <v/>
      </c>
      <c r="BG359" s="1"/>
      <c r="BH359" s="1"/>
      <c r="BI359" s="1"/>
      <c r="BJ359" s="1"/>
      <c r="BK359" s="1"/>
      <c r="BL359" s="1"/>
    </row>
    <row r="360">
      <c r="A360" s="1">
        <f t="shared" si="3"/>
        <v>360</v>
      </c>
      <c r="B360" s="1" t="str">
        <f>'2025'!D324</f>
        <v>, </v>
      </c>
      <c r="C360" s="1" t="str">
        <f>'2025'!H324</f>
        <v/>
      </c>
      <c r="D360" s="1" t="str">
        <f>IF(AND(AND(AND(D$4&gt;='2025'!$L358,D$4&lt;='2025'!$M358), D$4&lt;&gt;DATE(2025,7,4)), (SWITCH(weekday(D$4), 1, 0, 2, if(ISBLANK('2025'!$P358), 0, 1), 3, if(ISBLANK('2025'!$Q358), 0, 1), 4, if(ISBLANK('2025'!$R358), 0, 1), 5, if(ISBLANK('2025'!$S358), 0, 1), 6, if(ISBLANK('2025'!$T358), 0, 1), 7, 0))), 1, "")</f>
        <v/>
      </c>
      <c r="E360" s="1" t="str">
        <f>IF(AND(AND(AND(E$4&gt;='2025'!$L358,E$4&lt;='2025'!$M358), E$4&lt;&gt;DATE(2025,7,4)), (SWITCH(weekday(E$4), 1, 0, 2, if(ISBLANK('2025'!$P358), 0, 1), 3, if(ISBLANK('2025'!$Q358), 0, 1), 4, if(ISBLANK('2025'!$R358), 0, 1), 5, if(ISBLANK('2025'!$S358), 0, 1), 6, if(ISBLANK('2025'!$T358), 0, 1), 7, 0))), 1, "")</f>
        <v/>
      </c>
      <c r="F360" s="1" t="str">
        <f>IF(AND(AND(AND(F$4&gt;='2025'!$L358,F$4&lt;='2025'!$M358), F$4&lt;&gt;DATE(2025,7,4)), (SWITCH(weekday(F$4), 1, 0, 2, if(ISBLANK('2025'!$P358), 0, 1), 3, if(ISBLANK('2025'!$Q358), 0, 1), 4, if(ISBLANK('2025'!$R358), 0, 1), 5, if(ISBLANK('2025'!$S358), 0, 1), 6, if(ISBLANK('2025'!$T358), 0, 1), 7, 0))), 1, "")</f>
        <v/>
      </c>
      <c r="G360" s="1" t="str">
        <f>IF(AND(AND(AND(G$4&gt;='2025'!$L358,G$4&lt;='2025'!$M358), G$4&lt;&gt;DATE(2025,7,4)), (SWITCH(weekday(G$4), 1, 0, 2, if(ISBLANK('2025'!$P358), 0, 1), 3, if(ISBLANK('2025'!$Q358), 0, 1), 4, if(ISBLANK('2025'!$R358), 0, 1), 5, if(ISBLANK('2025'!$S358), 0, 1), 6, if(ISBLANK('2025'!$T358), 0, 1), 7, 0))), 1, "")</f>
        <v/>
      </c>
      <c r="H360" s="1" t="str">
        <f>IF(AND(AND(AND(H$4&gt;='2025'!$L358,H$4&lt;='2025'!$M358), H$4&lt;&gt;DATE(2025,7,4)), (SWITCH(weekday(H$4), 1, 0, 2, if(ISBLANK('2025'!$P358), 0, 1), 3, if(ISBLANK('2025'!$Q358), 0, 1), 4, if(ISBLANK('2025'!$R358), 0, 1), 5, if(ISBLANK('2025'!$S358), 0, 1), 6, if(ISBLANK('2025'!$T358), 0, 1), 7, 0))), 1, "")</f>
        <v/>
      </c>
      <c r="I360" s="1" t="str">
        <f>IF(AND(AND(AND(I$4&gt;='2025'!$L358,I$4&lt;='2025'!$M358), I$4&lt;&gt;DATE(2025,7,4)), (SWITCH(weekday(I$4), 1, 0, 2, if(ISBLANK('2025'!$P358), 0, 1), 3, if(ISBLANK('2025'!$Q358), 0, 1), 4, if(ISBLANK('2025'!$R358), 0, 1), 5, if(ISBLANK('2025'!$S358), 0, 1), 6, if(ISBLANK('2025'!$T358), 0, 1), 7, 0))), 1, "")</f>
        <v/>
      </c>
      <c r="J360" s="1" t="str">
        <f>IF(AND(AND(AND(J$4&gt;='2025'!$L358,J$4&lt;='2025'!$M358), J$4&lt;&gt;DATE(2025,7,4)), (SWITCH(weekday(J$4), 1, 0, 2, if(ISBLANK('2025'!$P358), 0, 1), 3, if(ISBLANK('2025'!$Q358), 0, 1), 4, if(ISBLANK('2025'!$R358), 0, 1), 5, if(ISBLANK('2025'!$S358), 0, 1), 6, if(ISBLANK('2025'!$T358), 0, 1), 7, 0))), 1, "")</f>
        <v/>
      </c>
      <c r="K360" s="1" t="str">
        <f>IF(AND(AND(AND(K$4&gt;='2025'!$L358,K$4&lt;='2025'!$M358), K$4&lt;&gt;DATE(2025,7,4)), (SWITCH(weekday(K$4), 1, 0, 2, if(ISBLANK('2025'!$P358), 0, 1), 3, if(ISBLANK('2025'!$Q358), 0, 1), 4, if(ISBLANK('2025'!$R358), 0, 1), 5, if(ISBLANK('2025'!$S358), 0, 1), 6, if(ISBLANK('2025'!$T358), 0, 1), 7, 0))), 1, "")</f>
        <v/>
      </c>
      <c r="L360" s="1" t="str">
        <f>IF(AND(AND(AND(L$4&gt;='2025'!$L358,L$4&lt;='2025'!$M358), L$4&lt;&gt;DATE(2025,7,4)), (SWITCH(weekday(L$4), 1, 0, 2, if(ISBLANK('2025'!$P358), 0, 1), 3, if(ISBLANK('2025'!$Q358), 0, 1), 4, if(ISBLANK('2025'!$R358), 0, 1), 5, if(ISBLANK('2025'!$S358), 0, 1), 6, if(ISBLANK('2025'!$T358), 0, 1), 7, 0))), 1, "")</f>
        <v/>
      </c>
      <c r="M360" s="1" t="str">
        <f>IF(AND(AND(AND(M$4&gt;='2025'!$L358,M$4&lt;='2025'!$M358), M$4&lt;&gt;DATE(2025,7,4)), (SWITCH(weekday(M$4), 1, 0, 2, if(ISBLANK('2025'!$P358), 0, 1), 3, if(ISBLANK('2025'!$Q358), 0, 1), 4, if(ISBLANK('2025'!$R358), 0, 1), 5, if(ISBLANK('2025'!$S358), 0, 1), 6, if(ISBLANK('2025'!$T358), 0, 1), 7, 0))), 1, "")</f>
        <v/>
      </c>
      <c r="N360" s="1" t="str">
        <f>IF(AND(AND(AND(N$4&gt;='2025'!$L358,N$4&lt;='2025'!$M358), N$4&lt;&gt;DATE(2025,7,4)), (SWITCH(weekday(N$4), 1, 0, 2, if(ISBLANK('2025'!$P358), 0, 1), 3, if(ISBLANK('2025'!$Q358), 0, 1), 4, if(ISBLANK('2025'!$R358), 0, 1), 5, if(ISBLANK('2025'!$S358), 0, 1), 6, if(ISBLANK('2025'!$T358), 0, 1), 7, 0))), 1, "")</f>
        <v/>
      </c>
      <c r="O360" s="1" t="str">
        <f>IF(AND(AND(AND(O$4&gt;='2025'!$L358,O$4&lt;='2025'!$M358), O$4&lt;&gt;DATE(2025,7,4)), (SWITCH(weekday(O$4), 1, 0, 2, if(ISBLANK('2025'!$P358), 0, 1), 3, if(ISBLANK('2025'!$Q358), 0, 1), 4, if(ISBLANK('2025'!$R358), 0, 1), 5, if(ISBLANK('2025'!$S358), 0, 1), 6, if(ISBLANK('2025'!$T358), 0, 1), 7, 0))), 1, "")</f>
        <v/>
      </c>
      <c r="P360" s="1" t="str">
        <f>IF(AND(AND(AND(P$4&gt;='2025'!$L358,P$4&lt;='2025'!$M358), P$4&lt;&gt;DATE(2025,7,4)), (SWITCH(weekday(P$4), 1, 0, 2, if(ISBLANK('2025'!$P358), 0, 1), 3, if(ISBLANK('2025'!$Q358), 0, 1), 4, if(ISBLANK('2025'!$R358), 0, 1), 5, if(ISBLANK('2025'!$S358), 0, 1), 6, if(ISBLANK('2025'!$T358), 0, 1), 7, 0))), 1, "")</f>
        <v/>
      </c>
      <c r="Q360" s="1" t="str">
        <f>IF(AND(AND(AND(Q$4&gt;='2025'!$L358,Q$4&lt;='2025'!$M358), Q$4&lt;&gt;DATE(2025,7,4)), (SWITCH(weekday(Q$4), 1, 0, 2, if(ISBLANK('2025'!$P358), 0, 1), 3, if(ISBLANK('2025'!$Q358), 0, 1), 4, if(ISBLANK('2025'!$R358), 0, 1), 5, if(ISBLANK('2025'!$S358), 0, 1), 6, if(ISBLANK('2025'!$T358), 0, 1), 7, 0))), 1, "")</f>
        <v/>
      </c>
      <c r="R360" s="1" t="str">
        <f>IF(AND(AND(AND(R$4&gt;='2025'!$L358,R$4&lt;='2025'!$M358), R$4&lt;&gt;DATE(2025,7,4)), (SWITCH(weekday(R$4), 1, 0, 2, if(ISBLANK('2025'!$P358), 0, 1), 3, if(ISBLANK('2025'!$Q358), 0, 1), 4, if(ISBLANK('2025'!$R358), 0, 1), 5, if(ISBLANK('2025'!$S358), 0, 1), 6, if(ISBLANK('2025'!$T358), 0, 1), 7, 0))), 1, "")</f>
        <v/>
      </c>
      <c r="S360" s="1" t="str">
        <f>IF(AND(AND(AND(S$4&gt;='2025'!$L358,S$4&lt;='2025'!$M358), S$4&lt;&gt;DATE(2025,7,4)), (SWITCH(weekday(S$4), 1, 0, 2, if(ISBLANK('2025'!$P358), 0, 1), 3, if(ISBLANK('2025'!$Q358), 0, 1), 4, if(ISBLANK('2025'!$R358), 0, 1), 5, if(ISBLANK('2025'!$S358), 0, 1), 6, if(ISBLANK('2025'!$T358), 0, 1), 7, 0))), 1, "")</f>
        <v/>
      </c>
      <c r="T360" s="1" t="str">
        <f>IF(AND(AND(AND(T$4&gt;='2025'!$L358,T$4&lt;='2025'!$M358), T$4&lt;&gt;DATE(2025,7,4)), (SWITCH(weekday(T$4), 1, 0, 2, if(ISBLANK('2025'!$P358), 0, 1), 3, if(ISBLANK('2025'!$Q358), 0, 1), 4, if(ISBLANK('2025'!$R358), 0, 1), 5, if(ISBLANK('2025'!$S358), 0, 1), 6, if(ISBLANK('2025'!$T358), 0, 1), 7, 0))), 1, "")</f>
        <v/>
      </c>
      <c r="U360" s="1" t="str">
        <f>IF(AND(AND(AND(U$4&gt;='2025'!$L358,U$4&lt;='2025'!$M358), U$4&lt;&gt;DATE(2025,7,4)), (SWITCH(weekday(U$4), 1, 0, 2, if(ISBLANK('2025'!$P358), 0, 1), 3, if(ISBLANK('2025'!$Q358), 0, 1), 4, if(ISBLANK('2025'!$R358), 0, 1), 5, if(ISBLANK('2025'!$S358), 0, 1), 6, if(ISBLANK('2025'!$T358), 0, 1), 7, 0))), 1, "")</f>
        <v/>
      </c>
      <c r="V360" s="1" t="str">
        <f>IF(AND(AND(AND(V$4&gt;='2025'!$L358,V$4&lt;='2025'!$M358), V$4&lt;&gt;DATE(2025,7,4)), (SWITCH(weekday(V$4), 1, 0, 2, if(ISBLANK('2025'!$P358), 0, 1), 3, if(ISBLANK('2025'!$Q358), 0, 1), 4, if(ISBLANK('2025'!$R358), 0, 1), 5, if(ISBLANK('2025'!$S358), 0, 1), 6, if(ISBLANK('2025'!$T358), 0, 1), 7, 0))), 1, "")</f>
        <v/>
      </c>
      <c r="W360" s="1" t="str">
        <f>IF(AND(AND(AND(W$4&gt;='2025'!$L358,W$4&lt;='2025'!$M358), W$4&lt;&gt;DATE(2025,7,4)), (SWITCH(weekday(W$4), 1, 0, 2, if(ISBLANK('2025'!$P358), 0, 1), 3, if(ISBLANK('2025'!$Q358), 0, 1), 4, if(ISBLANK('2025'!$R358), 0, 1), 5, if(ISBLANK('2025'!$S358), 0, 1), 6, if(ISBLANK('2025'!$T358), 0, 1), 7, 0))), 1, "")</f>
        <v/>
      </c>
      <c r="X360" s="1" t="str">
        <f>IF(AND(AND(AND(X$4&gt;='2025'!$L358,X$4&lt;='2025'!$M358), X$4&lt;&gt;DATE(2025,7,4)), (SWITCH(weekday(X$4), 1, 0, 2, if(ISBLANK('2025'!$P358), 0, 1), 3, if(ISBLANK('2025'!$Q358), 0, 1), 4, if(ISBLANK('2025'!$R358), 0, 1), 5, if(ISBLANK('2025'!$S358), 0, 1), 6, if(ISBLANK('2025'!$T358), 0, 1), 7, 0))), 1, "")</f>
        <v/>
      </c>
      <c r="Y360" s="1" t="str">
        <f>IF(AND(AND(AND(Y$4&gt;='2025'!$L358,Y$4&lt;='2025'!$M358), Y$4&lt;&gt;DATE(2025,7,4)), (SWITCH(weekday(Y$4), 1, 0, 2, if(ISBLANK('2025'!$P358), 0, 1), 3, if(ISBLANK('2025'!$Q358), 0, 1), 4, if(ISBLANK('2025'!$R358), 0, 1), 5, if(ISBLANK('2025'!$S358), 0, 1), 6, if(ISBLANK('2025'!$T358), 0, 1), 7, 0))), 1, "")</f>
        <v/>
      </c>
      <c r="Z360" s="1" t="str">
        <f>IF(AND(AND(AND(Z$4&gt;='2025'!$L358,Z$4&lt;='2025'!$M358), Z$4&lt;&gt;DATE(2025,7,4)), (SWITCH(weekday(Z$4), 1, 0, 2, if(ISBLANK('2025'!$P358), 0, 1), 3, if(ISBLANK('2025'!$Q358), 0, 1), 4, if(ISBLANK('2025'!$R358), 0, 1), 5, if(ISBLANK('2025'!$S358), 0, 1), 6, if(ISBLANK('2025'!$T358), 0, 1), 7, 0))), 1, "")</f>
        <v/>
      </c>
      <c r="AA360" s="1" t="str">
        <f>IF(AND(AND(AND(AA$4&gt;='2025'!$L358,AA$4&lt;='2025'!$M358), AA$4&lt;&gt;DATE(2025,7,4)), (SWITCH(weekday(AA$4), 1, 0, 2, if(ISBLANK('2025'!$P358), 0, 1), 3, if(ISBLANK('2025'!$Q358), 0, 1), 4, if(ISBLANK('2025'!$R358), 0, 1), 5, if(ISBLANK('2025'!$S358), 0, 1), 6, if(ISBLANK('2025'!$T358), 0, 1), 7, 0))), 1, "")</f>
        <v/>
      </c>
      <c r="AB360" s="1" t="str">
        <f>IF(AND(AND(AND(AB$4&gt;='2025'!$L358,AB$4&lt;='2025'!$M358), AB$4&lt;&gt;DATE(2025,7,4)), (SWITCH(weekday(AB$4), 1, 0, 2, if(ISBLANK('2025'!$P358), 0, 1), 3, if(ISBLANK('2025'!$Q358), 0, 1), 4, if(ISBLANK('2025'!$R358), 0, 1), 5, if(ISBLANK('2025'!$S358), 0, 1), 6, if(ISBLANK('2025'!$T358), 0, 1), 7, 0))), 1, "")</f>
        <v/>
      </c>
      <c r="AC360" s="1" t="str">
        <f>IF(AND(AND(AND(AC$4&gt;='2025'!$L358,AC$4&lt;='2025'!$M358), AC$4&lt;&gt;DATE(2025,7,4)), (SWITCH(weekday(AC$4), 1, 0, 2, if(ISBLANK('2025'!$P358), 0, 1), 3, if(ISBLANK('2025'!$Q358), 0, 1), 4, if(ISBLANK('2025'!$R358), 0, 1), 5, if(ISBLANK('2025'!$S358), 0, 1), 6, if(ISBLANK('2025'!$T358), 0, 1), 7, 0))), 1, "")</f>
        <v/>
      </c>
      <c r="AD360" s="1" t="str">
        <f>IF(AND(AND(AND(AD$4&gt;='2025'!$L358,AD$4&lt;='2025'!$M358), AD$4&lt;&gt;DATE(2025,7,4)), (SWITCH(weekday(AD$4), 1, 0, 2, if(ISBLANK('2025'!$P358), 0, 1), 3, if(ISBLANK('2025'!$Q358), 0, 1), 4, if(ISBLANK('2025'!$R358), 0, 1), 5, if(ISBLANK('2025'!$S358), 0, 1), 6, if(ISBLANK('2025'!$T358), 0, 1), 7, 0))), 1, "")</f>
        <v/>
      </c>
      <c r="AE360" s="1" t="str">
        <f>IF(AND(AND(AND(AE$4&gt;='2025'!$L358,AE$4&lt;='2025'!$M358), AE$4&lt;&gt;DATE(2025,7,4)), (SWITCH(weekday(AE$4), 1, 0, 2, if(ISBLANK('2025'!$P358), 0, 1), 3, if(ISBLANK('2025'!$Q358), 0, 1), 4, if(ISBLANK('2025'!$R358), 0, 1), 5, if(ISBLANK('2025'!$S358), 0, 1), 6, if(ISBLANK('2025'!$T358), 0, 1), 7, 0))), 1, "")</f>
        <v/>
      </c>
      <c r="AF360" s="1" t="str">
        <f>IF(AND(AND(AND(AF$4&gt;='2025'!$L358,AF$4&lt;='2025'!$M358), AF$4&lt;&gt;DATE(2025,7,4)), (SWITCH(weekday(AF$4), 1, 0, 2, if(ISBLANK('2025'!$P358), 0, 1), 3, if(ISBLANK('2025'!$Q358), 0, 1), 4, if(ISBLANK('2025'!$R358), 0, 1), 5, if(ISBLANK('2025'!$S358), 0, 1), 6, if(ISBLANK('2025'!$T358), 0, 1), 7, 0))), 1, "")</f>
        <v/>
      </c>
      <c r="AG360" s="1" t="str">
        <f>IF(AND(AND(AND(AG$4&gt;='2025'!$L358,AG$4&lt;='2025'!$M358), AG$4&lt;&gt;DATE(2025,7,4)), (SWITCH(weekday(AG$4), 1, 0, 2, if(ISBLANK('2025'!$P358), 0, 1), 3, if(ISBLANK('2025'!$Q358), 0, 1), 4, if(ISBLANK('2025'!$R358), 0, 1), 5, if(ISBLANK('2025'!$S358), 0, 1), 6, if(ISBLANK('2025'!$T358), 0, 1), 7, 0))), 1, "")</f>
        <v/>
      </c>
      <c r="AH360" s="1" t="str">
        <f>IF(AND(AND(AND(AH$4&gt;='2025'!$L358,AH$4&lt;='2025'!$M358), AH$4&lt;&gt;DATE(2025,7,4)), (SWITCH(weekday(AH$4), 1, 0, 2, if(ISBLANK('2025'!$P358), 0, 1), 3, if(ISBLANK('2025'!$Q358), 0, 1), 4, if(ISBLANK('2025'!$R358), 0, 1), 5, if(ISBLANK('2025'!$S358), 0, 1), 6, if(ISBLANK('2025'!$T358), 0, 1), 7, 0))), 1, "")</f>
        <v/>
      </c>
      <c r="AI360" s="1" t="str">
        <f>IF(AND(AND(AND(AI$4&gt;='2025'!$L358,AI$4&lt;='2025'!$M358), AI$4&lt;&gt;DATE(2025,7,4)), (SWITCH(weekday(AI$4), 1, 0, 2, if(ISBLANK('2025'!$P358), 0, 1), 3, if(ISBLANK('2025'!$Q358), 0, 1), 4, if(ISBLANK('2025'!$R358), 0, 1), 5, if(ISBLANK('2025'!$S358), 0, 1), 6, if(ISBLANK('2025'!$T358), 0, 1), 7, 0))), 1, "")</f>
        <v/>
      </c>
      <c r="AJ360" s="1" t="str">
        <f>IF(AND(AND(AND(AJ$4&gt;='2025'!$L358,AJ$4&lt;='2025'!$M358), AJ$4&lt;&gt;DATE(2025,7,4)), (SWITCH(weekday(AJ$4), 1, 0, 2, if(ISBLANK('2025'!$P358), 0, 1), 3, if(ISBLANK('2025'!$Q358), 0, 1), 4, if(ISBLANK('2025'!$R358), 0, 1), 5, if(ISBLANK('2025'!$S358), 0, 1), 6, if(ISBLANK('2025'!$T358), 0, 1), 7, 0))), 1, "")</f>
        <v/>
      </c>
      <c r="AK360" s="1" t="str">
        <f>IF(AND(AND(AND(AK$4&gt;='2025'!$L358,AK$4&lt;='2025'!$M358), AK$4&lt;&gt;DATE(2025,7,4)), (SWITCH(weekday(AK$4), 1, 0, 2, if(ISBLANK('2025'!$P358), 0, 1), 3, if(ISBLANK('2025'!$Q358), 0, 1), 4, if(ISBLANK('2025'!$R358), 0, 1), 5, if(ISBLANK('2025'!$S358), 0, 1), 6, if(ISBLANK('2025'!$T358), 0, 1), 7, 0))), 1, "")</f>
        <v/>
      </c>
      <c r="AL360" s="1" t="str">
        <f>IF(AND(AND(AND(AL$4&gt;='2025'!$L358,AL$4&lt;='2025'!$M358), AL$4&lt;&gt;DATE(2025,7,4)), (SWITCH(weekday(AL$4), 1, 0, 2, if(ISBLANK('2025'!$P358), 0, 1), 3, if(ISBLANK('2025'!$Q358), 0, 1), 4, if(ISBLANK('2025'!$R358), 0, 1), 5, if(ISBLANK('2025'!$S358), 0, 1), 6, if(ISBLANK('2025'!$T358), 0, 1), 7, 0))), 1, "")</f>
        <v/>
      </c>
      <c r="AM360" s="1" t="str">
        <f>IF(AND(AND(AND(AM$4&gt;='2025'!$L358,AM$4&lt;='2025'!$M358), AM$4&lt;&gt;DATE(2025,7,4)), (SWITCH(weekday(AM$4), 1, 0, 2, if(ISBLANK('2025'!$P358), 0, 1), 3, if(ISBLANK('2025'!$Q358), 0, 1), 4, if(ISBLANK('2025'!$R358), 0, 1), 5, if(ISBLANK('2025'!$S358), 0, 1), 6, if(ISBLANK('2025'!$T358), 0, 1), 7, 0))), 1, "")</f>
        <v/>
      </c>
      <c r="AN360" s="1" t="str">
        <f>IF(AND(AND(AND(AN$4&gt;='2025'!$L358,AN$4&lt;='2025'!$M358), AN$4&lt;&gt;DATE(2025,7,4)), (SWITCH(weekday(AN$4), 1, 0, 2, if(ISBLANK('2025'!$P358), 0, 1), 3, if(ISBLANK('2025'!$Q358), 0, 1), 4, if(ISBLANK('2025'!$R358), 0, 1), 5, if(ISBLANK('2025'!$S358), 0, 1), 6, if(ISBLANK('2025'!$T358), 0, 1), 7, 0))), 1, "")</f>
        <v/>
      </c>
      <c r="AO360" s="1" t="str">
        <f>IF(AND(AND(AND(AO$4&gt;='2025'!$L358,AO$4&lt;='2025'!$M358), AO$4&lt;&gt;DATE(2025,7,4)), (SWITCH(weekday(AO$4), 1, 0, 2, if(ISBLANK('2025'!$P358), 0, 1), 3, if(ISBLANK('2025'!$Q358), 0, 1), 4, if(ISBLANK('2025'!$R358), 0, 1), 5, if(ISBLANK('2025'!$S358), 0, 1), 6, if(ISBLANK('2025'!$T358), 0, 1), 7, 0))), 1, "")</f>
        <v/>
      </c>
      <c r="AP360" s="1" t="str">
        <f>IF(AND(AND(AND(AP$4&gt;='2025'!$L358,AP$4&lt;='2025'!$M358), AP$4&lt;&gt;DATE(2025,7,4)), (SWITCH(weekday(AP$4), 1, 0, 2, if(ISBLANK('2025'!$P358), 0, 1), 3, if(ISBLANK('2025'!$Q358), 0, 1), 4, if(ISBLANK('2025'!$R358), 0, 1), 5, if(ISBLANK('2025'!$S358), 0, 1), 6, if(ISBLANK('2025'!$T358), 0, 1), 7, 0))), 1, "")</f>
        <v/>
      </c>
      <c r="AQ360" s="1" t="str">
        <f>IF(AND(AND(AND(AQ$4&gt;='2025'!$L358,AQ$4&lt;='2025'!$M358), AQ$4&lt;&gt;DATE(2025,7,4)), (SWITCH(weekday(AQ$4), 1, 0, 2, if(ISBLANK('2025'!$P358), 0, 1), 3, if(ISBLANK('2025'!$Q358), 0, 1), 4, if(ISBLANK('2025'!$R358), 0, 1), 5, if(ISBLANK('2025'!$S358), 0, 1), 6, if(ISBLANK('2025'!$T358), 0, 1), 7, 0))), 1, "")</f>
        <v/>
      </c>
      <c r="AR360" s="1" t="str">
        <f>IF(AND(AND(AND(AR$4&gt;='2025'!$L358,AR$4&lt;='2025'!$M358), AR$4&lt;&gt;DATE(2025,7,4)), (SWITCH(weekday(AR$4), 1, 0, 2, if(ISBLANK('2025'!$P358), 0, 1), 3, if(ISBLANK('2025'!$Q358), 0, 1), 4, if(ISBLANK('2025'!$R358), 0, 1), 5, if(ISBLANK('2025'!$S358), 0, 1), 6, if(ISBLANK('2025'!$T358), 0, 1), 7, 0))), 1, "")</f>
        <v/>
      </c>
      <c r="AS360" s="1" t="str">
        <f>IF(AND(AND(AND(AS$4&gt;='2025'!$L358,AS$4&lt;='2025'!$M358), AS$4&lt;&gt;DATE(2025,7,4)), (SWITCH(weekday(AS$4), 1, 0, 2, if(ISBLANK('2025'!$P358), 0, 1), 3, if(ISBLANK('2025'!$Q358), 0, 1), 4, if(ISBLANK('2025'!$R358), 0, 1), 5, if(ISBLANK('2025'!$S358), 0, 1), 6, if(ISBLANK('2025'!$T358), 0, 1), 7, 0))), 1, "")</f>
        <v/>
      </c>
      <c r="AT360" s="1" t="str">
        <f>IF(AND(AND(AND(AT$4&gt;='2025'!$L358,AT$4&lt;='2025'!$M358), AT$4&lt;&gt;DATE(2025,7,4)), (SWITCH(weekday(AT$4), 1, 0, 2, if(ISBLANK('2025'!$P358), 0, 1), 3, if(ISBLANK('2025'!$Q358), 0, 1), 4, if(ISBLANK('2025'!$R358), 0, 1), 5, if(ISBLANK('2025'!$S358), 0, 1), 6, if(ISBLANK('2025'!$T358), 0, 1), 7, 0))), 1, "")</f>
        <v/>
      </c>
      <c r="AU360" s="1" t="str">
        <f>IF(AND(AND(AND(AU$4&gt;='2025'!$L358,AU$4&lt;='2025'!$M358), AU$4&lt;&gt;DATE(2025,7,4)), (SWITCH(weekday(AU$4), 1, 0, 2, if(ISBLANK('2025'!$P358), 0, 1), 3, if(ISBLANK('2025'!$Q358), 0, 1), 4, if(ISBLANK('2025'!$R358), 0, 1), 5, if(ISBLANK('2025'!$S358), 0, 1), 6, if(ISBLANK('2025'!$T358), 0, 1), 7, 0))), 1, "")</f>
        <v/>
      </c>
      <c r="AV360" s="1" t="str">
        <f>IF(AND(AND(AND(AV$4&gt;='2025'!$L358,AV$4&lt;='2025'!$M358), AV$4&lt;&gt;DATE(2025,7,4)), (SWITCH(weekday(AV$4), 1, 0, 2, if(ISBLANK('2025'!$P358), 0, 1), 3, if(ISBLANK('2025'!$Q358), 0, 1), 4, if(ISBLANK('2025'!$R358), 0, 1), 5, if(ISBLANK('2025'!$S358), 0, 1), 6, if(ISBLANK('2025'!$T358), 0, 1), 7, 0))), 1, "")</f>
        <v/>
      </c>
      <c r="AW360" s="1" t="str">
        <f>IF(AND(AND(AND(AW$4&gt;='2025'!$L358,AW$4&lt;='2025'!$M358), AW$4&lt;&gt;DATE(2025,7,4)), (SWITCH(weekday(AW$4), 1, 0, 2, if(ISBLANK('2025'!$P358), 0, 1), 3, if(ISBLANK('2025'!$Q358), 0, 1), 4, if(ISBLANK('2025'!$R358), 0, 1), 5, if(ISBLANK('2025'!$S358), 0, 1), 6, if(ISBLANK('2025'!$T358), 0, 1), 7, 0))), 1, "")</f>
        <v/>
      </c>
      <c r="AX360" s="1" t="str">
        <f>IF(AND(AND(AND(AX$4&gt;='2025'!$L358,AX$4&lt;='2025'!$M358), AX$4&lt;&gt;DATE(2025,7,4)), (SWITCH(weekday(AX$4), 1, 0, 2, if(ISBLANK('2025'!$P358), 0, 1), 3, if(ISBLANK('2025'!$Q358), 0, 1), 4, if(ISBLANK('2025'!$R358), 0, 1), 5, if(ISBLANK('2025'!$S358), 0, 1), 6, if(ISBLANK('2025'!$T358), 0, 1), 7, 0))), 1, "")</f>
        <v/>
      </c>
      <c r="AY360" s="1" t="str">
        <f>IF(AND(AND(AND(AY$4&gt;='2025'!$L358,AY$4&lt;='2025'!$M358), AY$4&lt;&gt;DATE(2025,7,4)), (SWITCH(weekday(AY$4), 1, 0, 2, if(ISBLANK('2025'!$P358), 0, 1), 3, if(ISBLANK('2025'!$Q358), 0, 1), 4, if(ISBLANK('2025'!$R358), 0, 1), 5, if(ISBLANK('2025'!$S358), 0, 1), 6, if(ISBLANK('2025'!$T358), 0, 1), 7, 0))), 1, "")</f>
        <v/>
      </c>
      <c r="AZ360" s="1" t="str">
        <f>IF(AND(AND(AND(AZ$4&gt;='2025'!$L358,AZ$4&lt;='2025'!$M358), AZ$4&lt;&gt;DATE(2025,7,4)), (SWITCH(weekday(AZ$4), 1, 0, 2, if(ISBLANK('2025'!$P358), 0, 1), 3, if(ISBLANK('2025'!$Q358), 0, 1), 4, if(ISBLANK('2025'!$R358), 0, 1), 5, if(ISBLANK('2025'!$S358), 0, 1), 6, if(ISBLANK('2025'!$T358), 0, 1), 7, 0))), 1, "")</f>
        <v/>
      </c>
      <c r="BA360" s="1" t="str">
        <f>IF(AND(AND(AND(BA$4&gt;='2025'!$L358,BA$4&lt;='2025'!$M358), BA$4&lt;&gt;DATE(2025,7,4)), (SWITCH(weekday(BA$4), 1, 0, 2, if(ISBLANK('2025'!$P358), 0, 1), 3, if(ISBLANK('2025'!$Q358), 0, 1), 4, if(ISBLANK('2025'!$R358), 0, 1), 5, if(ISBLANK('2025'!$S358), 0, 1), 6, if(ISBLANK('2025'!$T358), 0, 1), 7, 0))), 1, "")</f>
        <v/>
      </c>
      <c r="BB360" s="1" t="str">
        <f>IF(AND(AND(AND(BB$4&gt;='2025'!$L358,BB$4&lt;='2025'!$M358), BB$4&lt;&gt;DATE(2025,7,4)), (SWITCH(weekday(BB$4), 1, 0, 2, if(ISBLANK('2025'!$P358), 0, 1), 3, if(ISBLANK('2025'!$Q358), 0, 1), 4, if(ISBLANK('2025'!$R358), 0, 1), 5, if(ISBLANK('2025'!$S358), 0, 1), 6, if(ISBLANK('2025'!$T358), 0, 1), 7, 0))), 1, "")</f>
        <v/>
      </c>
      <c r="BC360" s="1" t="str">
        <f>IF(AND(AND(AND(BC$4&gt;='2025'!$L358,BC$4&lt;='2025'!$M358), BC$4&lt;&gt;DATE(2025,7,4)), (SWITCH(weekday(BC$4), 1, 0, 2, if(ISBLANK('2025'!$P358), 0, 1), 3, if(ISBLANK('2025'!$Q358), 0, 1), 4, if(ISBLANK('2025'!$R358), 0, 1), 5, if(ISBLANK('2025'!$S358), 0, 1), 6, if(ISBLANK('2025'!$T358), 0, 1), 7, 0))), 1, "")</f>
        <v/>
      </c>
      <c r="BD360" s="1" t="str">
        <f>IF(AND(AND(AND(BD$4&gt;='2025'!$L358,BD$4&lt;='2025'!$M358), BD$4&lt;&gt;DATE(2025,7,4)), (SWITCH(weekday(BD$4), 1, 0, 2, if(ISBLANK('2025'!$P358), 0, 1), 3, if(ISBLANK('2025'!$Q358), 0, 1), 4, if(ISBLANK('2025'!$R358), 0, 1), 5, if(ISBLANK('2025'!$S358), 0, 1), 6, if(ISBLANK('2025'!$T358), 0, 1), 7, 0))), 1, "")</f>
        <v/>
      </c>
      <c r="BE360" s="1" t="str">
        <f>IF(AND(AND(AND(BE$4&gt;='2025'!$L358,BE$4&lt;='2025'!$M358), BE$4&lt;&gt;DATE(2025,7,4)), (SWITCH(weekday(BE$4), 1, 0, 2, if(ISBLANK('2025'!$P358), 0, 1), 3, if(ISBLANK('2025'!$Q358), 0, 1), 4, if(ISBLANK('2025'!$R358), 0, 1), 5, if(ISBLANK('2025'!$S358), 0, 1), 6, if(ISBLANK('2025'!$T358), 0, 1), 7, 0))), 1, "")</f>
        <v/>
      </c>
      <c r="BF360" s="1" t="str">
        <f>IF(AND(AND(AND(BF$4&gt;='2025'!$L358,BF$4&lt;='2025'!$M358), BF$4&lt;&gt;DATE(2025,7,4)), (SWITCH(weekday(BF$4), 1, 0, 2, if(ISBLANK('2025'!$P358), 0, 1), 3, if(ISBLANK('2025'!$Q358), 0, 1), 4, if(ISBLANK('2025'!$R358), 0, 1), 5, if(ISBLANK('2025'!$S358), 0, 1), 6, if(ISBLANK('2025'!$T358), 0, 1), 7, 0))), 1, "")</f>
        <v/>
      </c>
      <c r="BG360" s="1"/>
      <c r="BH360" s="1"/>
      <c r="BI360" s="1"/>
      <c r="BJ360" s="1"/>
      <c r="BK360" s="1"/>
      <c r="BL360" s="1"/>
    </row>
    <row r="361">
      <c r="A361" s="1">
        <f t="shared" si="3"/>
        <v>361</v>
      </c>
      <c r="B361" s="1" t="str">
        <f>'2025'!D325</f>
        <v>, </v>
      </c>
      <c r="C361" s="1" t="str">
        <f>'2025'!H325</f>
        <v/>
      </c>
      <c r="D361" s="1" t="str">
        <f>IF(AND(AND(AND(D$4&gt;='2025'!$L359,D$4&lt;='2025'!$M359), D$4&lt;&gt;DATE(2025,7,4)), (SWITCH(weekday(D$4), 1, 0, 2, if(ISBLANK('2025'!$P359), 0, 1), 3, if(ISBLANK('2025'!$Q359), 0, 1), 4, if(ISBLANK('2025'!$R359), 0, 1), 5, if(ISBLANK('2025'!$S359), 0, 1), 6, if(ISBLANK('2025'!$T359), 0, 1), 7, 0))), 1, "")</f>
        <v/>
      </c>
      <c r="E361" s="1" t="str">
        <f>IF(AND(AND(AND(E$4&gt;='2025'!$L359,E$4&lt;='2025'!$M359), E$4&lt;&gt;DATE(2025,7,4)), (SWITCH(weekday(E$4), 1, 0, 2, if(ISBLANK('2025'!$P359), 0, 1), 3, if(ISBLANK('2025'!$Q359), 0, 1), 4, if(ISBLANK('2025'!$R359), 0, 1), 5, if(ISBLANK('2025'!$S359), 0, 1), 6, if(ISBLANK('2025'!$T359), 0, 1), 7, 0))), 1, "")</f>
        <v/>
      </c>
      <c r="F361" s="1" t="str">
        <f>IF(AND(AND(AND(F$4&gt;='2025'!$L359,F$4&lt;='2025'!$M359), F$4&lt;&gt;DATE(2025,7,4)), (SWITCH(weekday(F$4), 1, 0, 2, if(ISBLANK('2025'!$P359), 0, 1), 3, if(ISBLANK('2025'!$Q359), 0, 1), 4, if(ISBLANK('2025'!$R359), 0, 1), 5, if(ISBLANK('2025'!$S359), 0, 1), 6, if(ISBLANK('2025'!$T359), 0, 1), 7, 0))), 1, "")</f>
        <v/>
      </c>
      <c r="G361" s="1" t="str">
        <f>IF(AND(AND(AND(G$4&gt;='2025'!$L359,G$4&lt;='2025'!$M359), G$4&lt;&gt;DATE(2025,7,4)), (SWITCH(weekday(G$4), 1, 0, 2, if(ISBLANK('2025'!$P359), 0, 1), 3, if(ISBLANK('2025'!$Q359), 0, 1), 4, if(ISBLANK('2025'!$R359), 0, 1), 5, if(ISBLANK('2025'!$S359), 0, 1), 6, if(ISBLANK('2025'!$T359), 0, 1), 7, 0))), 1, "")</f>
        <v/>
      </c>
      <c r="H361" s="1" t="str">
        <f>IF(AND(AND(AND(H$4&gt;='2025'!$L359,H$4&lt;='2025'!$M359), H$4&lt;&gt;DATE(2025,7,4)), (SWITCH(weekday(H$4), 1, 0, 2, if(ISBLANK('2025'!$P359), 0, 1), 3, if(ISBLANK('2025'!$Q359), 0, 1), 4, if(ISBLANK('2025'!$R359), 0, 1), 5, if(ISBLANK('2025'!$S359), 0, 1), 6, if(ISBLANK('2025'!$T359), 0, 1), 7, 0))), 1, "")</f>
        <v/>
      </c>
      <c r="I361" s="1" t="str">
        <f>IF(AND(AND(AND(I$4&gt;='2025'!$L359,I$4&lt;='2025'!$M359), I$4&lt;&gt;DATE(2025,7,4)), (SWITCH(weekday(I$4), 1, 0, 2, if(ISBLANK('2025'!$P359), 0, 1), 3, if(ISBLANK('2025'!$Q359), 0, 1), 4, if(ISBLANK('2025'!$R359), 0, 1), 5, if(ISBLANK('2025'!$S359), 0, 1), 6, if(ISBLANK('2025'!$T359), 0, 1), 7, 0))), 1, "")</f>
        <v/>
      </c>
      <c r="J361" s="1" t="str">
        <f>IF(AND(AND(AND(J$4&gt;='2025'!$L359,J$4&lt;='2025'!$M359), J$4&lt;&gt;DATE(2025,7,4)), (SWITCH(weekday(J$4), 1, 0, 2, if(ISBLANK('2025'!$P359), 0, 1), 3, if(ISBLANK('2025'!$Q359), 0, 1), 4, if(ISBLANK('2025'!$R359), 0, 1), 5, if(ISBLANK('2025'!$S359), 0, 1), 6, if(ISBLANK('2025'!$T359), 0, 1), 7, 0))), 1, "")</f>
        <v/>
      </c>
      <c r="K361" s="1" t="str">
        <f>IF(AND(AND(AND(K$4&gt;='2025'!$L359,K$4&lt;='2025'!$M359), K$4&lt;&gt;DATE(2025,7,4)), (SWITCH(weekday(K$4), 1, 0, 2, if(ISBLANK('2025'!$P359), 0, 1), 3, if(ISBLANK('2025'!$Q359), 0, 1), 4, if(ISBLANK('2025'!$R359), 0, 1), 5, if(ISBLANK('2025'!$S359), 0, 1), 6, if(ISBLANK('2025'!$T359), 0, 1), 7, 0))), 1, "")</f>
        <v/>
      </c>
      <c r="L361" s="1" t="str">
        <f>IF(AND(AND(AND(L$4&gt;='2025'!$L359,L$4&lt;='2025'!$M359), L$4&lt;&gt;DATE(2025,7,4)), (SWITCH(weekday(L$4), 1, 0, 2, if(ISBLANK('2025'!$P359), 0, 1), 3, if(ISBLANK('2025'!$Q359), 0, 1), 4, if(ISBLANK('2025'!$R359), 0, 1), 5, if(ISBLANK('2025'!$S359), 0, 1), 6, if(ISBLANK('2025'!$T359), 0, 1), 7, 0))), 1, "")</f>
        <v/>
      </c>
      <c r="M361" s="1" t="str">
        <f>IF(AND(AND(AND(M$4&gt;='2025'!$L359,M$4&lt;='2025'!$M359), M$4&lt;&gt;DATE(2025,7,4)), (SWITCH(weekday(M$4), 1, 0, 2, if(ISBLANK('2025'!$P359), 0, 1), 3, if(ISBLANK('2025'!$Q359), 0, 1), 4, if(ISBLANK('2025'!$R359), 0, 1), 5, if(ISBLANK('2025'!$S359), 0, 1), 6, if(ISBLANK('2025'!$T359), 0, 1), 7, 0))), 1, "")</f>
        <v/>
      </c>
      <c r="N361" s="1" t="str">
        <f>IF(AND(AND(AND(N$4&gt;='2025'!$L359,N$4&lt;='2025'!$M359), N$4&lt;&gt;DATE(2025,7,4)), (SWITCH(weekday(N$4), 1, 0, 2, if(ISBLANK('2025'!$P359), 0, 1), 3, if(ISBLANK('2025'!$Q359), 0, 1), 4, if(ISBLANK('2025'!$R359), 0, 1), 5, if(ISBLANK('2025'!$S359), 0, 1), 6, if(ISBLANK('2025'!$T359), 0, 1), 7, 0))), 1, "")</f>
        <v/>
      </c>
      <c r="O361" s="1" t="str">
        <f>IF(AND(AND(AND(O$4&gt;='2025'!$L359,O$4&lt;='2025'!$M359), O$4&lt;&gt;DATE(2025,7,4)), (SWITCH(weekday(O$4), 1, 0, 2, if(ISBLANK('2025'!$P359), 0, 1), 3, if(ISBLANK('2025'!$Q359), 0, 1), 4, if(ISBLANK('2025'!$R359), 0, 1), 5, if(ISBLANK('2025'!$S359), 0, 1), 6, if(ISBLANK('2025'!$T359), 0, 1), 7, 0))), 1, "")</f>
        <v/>
      </c>
      <c r="P361" s="1" t="str">
        <f>IF(AND(AND(AND(P$4&gt;='2025'!$L359,P$4&lt;='2025'!$M359), P$4&lt;&gt;DATE(2025,7,4)), (SWITCH(weekday(P$4), 1, 0, 2, if(ISBLANK('2025'!$P359), 0, 1), 3, if(ISBLANK('2025'!$Q359), 0, 1), 4, if(ISBLANK('2025'!$R359), 0, 1), 5, if(ISBLANK('2025'!$S359), 0, 1), 6, if(ISBLANK('2025'!$T359), 0, 1), 7, 0))), 1, "")</f>
        <v/>
      </c>
      <c r="Q361" s="1" t="str">
        <f>IF(AND(AND(AND(Q$4&gt;='2025'!$L359,Q$4&lt;='2025'!$M359), Q$4&lt;&gt;DATE(2025,7,4)), (SWITCH(weekday(Q$4), 1, 0, 2, if(ISBLANK('2025'!$P359), 0, 1), 3, if(ISBLANK('2025'!$Q359), 0, 1), 4, if(ISBLANK('2025'!$R359), 0, 1), 5, if(ISBLANK('2025'!$S359), 0, 1), 6, if(ISBLANK('2025'!$T359), 0, 1), 7, 0))), 1, "")</f>
        <v/>
      </c>
      <c r="R361" s="1" t="str">
        <f>IF(AND(AND(AND(R$4&gt;='2025'!$L359,R$4&lt;='2025'!$M359), R$4&lt;&gt;DATE(2025,7,4)), (SWITCH(weekday(R$4), 1, 0, 2, if(ISBLANK('2025'!$P359), 0, 1), 3, if(ISBLANK('2025'!$Q359), 0, 1), 4, if(ISBLANK('2025'!$R359), 0, 1), 5, if(ISBLANK('2025'!$S359), 0, 1), 6, if(ISBLANK('2025'!$T359), 0, 1), 7, 0))), 1, "")</f>
        <v/>
      </c>
      <c r="S361" s="1" t="str">
        <f>IF(AND(AND(AND(S$4&gt;='2025'!$L359,S$4&lt;='2025'!$M359), S$4&lt;&gt;DATE(2025,7,4)), (SWITCH(weekday(S$4), 1, 0, 2, if(ISBLANK('2025'!$P359), 0, 1), 3, if(ISBLANK('2025'!$Q359), 0, 1), 4, if(ISBLANK('2025'!$R359), 0, 1), 5, if(ISBLANK('2025'!$S359), 0, 1), 6, if(ISBLANK('2025'!$T359), 0, 1), 7, 0))), 1, "")</f>
        <v/>
      </c>
      <c r="T361" s="1" t="str">
        <f>IF(AND(AND(AND(T$4&gt;='2025'!$L359,T$4&lt;='2025'!$M359), T$4&lt;&gt;DATE(2025,7,4)), (SWITCH(weekday(T$4), 1, 0, 2, if(ISBLANK('2025'!$P359), 0, 1), 3, if(ISBLANK('2025'!$Q359), 0, 1), 4, if(ISBLANK('2025'!$R359), 0, 1), 5, if(ISBLANK('2025'!$S359), 0, 1), 6, if(ISBLANK('2025'!$T359), 0, 1), 7, 0))), 1, "")</f>
        <v/>
      </c>
      <c r="U361" s="1" t="str">
        <f>IF(AND(AND(AND(U$4&gt;='2025'!$L359,U$4&lt;='2025'!$M359), U$4&lt;&gt;DATE(2025,7,4)), (SWITCH(weekday(U$4), 1, 0, 2, if(ISBLANK('2025'!$P359), 0, 1), 3, if(ISBLANK('2025'!$Q359), 0, 1), 4, if(ISBLANK('2025'!$R359), 0, 1), 5, if(ISBLANK('2025'!$S359), 0, 1), 6, if(ISBLANK('2025'!$T359), 0, 1), 7, 0))), 1, "")</f>
        <v/>
      </c>
      <c r="V361" s="1" t="str">
        <f>IF(AND(AND(AND(V$4&gt;='2025'!$L359,V$4&lt;='2025'!$M359), V$4&lt;&gt;DATE(2025,7,4)), (SWITCH(weekday(V$4), 1, 0, 2, if(ISBLANK('2025'!$P359), 0, 1), 3, if(ISBLANK('2025'!$Q359), 0, 1), 4, if(ISBLANK('2025'!$R359), 0, 1), 5, if(ISBLANK('2025'!$S359), 0, 1), 6, if(ISBLANK('2025'!$T359), 0, 1), 7, 0))), 1, "")</f>
        <v/>
      </c>
      <c r="W361" s="1" t="str">
        <f>IF(AND(AND(AND(W$4&gt;='2025'!$L359,W$4&lt;='2025'!$M359), W$4&lt;&gt;DATE(2025,7,4)), (SWITCH(weekday(W$4), 1, 0, 2, if(ISBLANK('2025'!$P359), 0, 1), 3, if(ISBLANK('2025'!$Q359), 0, 1), 4, if(ISBLANK('2025'!$R359), 0, 1), 5, if(ISBLANK('2025'!$S359), 0, 1), 6, if(ISBLANK('2025'!$T359), 0, 1), 7, 0))), 1, "")</f>
        <v/>
      </c>
      <c r="X361" s="1" t="str">
        <f>IF(AND(AND(AND(X$4&gt;='2025'!$L359,X$4&lt;='2025'!$M359), X$4&lt;&gt;DATE(2025,7,4)), (SWITCH(weekday(X$4), 1, 0, 2, if(ISBLANK('2025'!$P359), 0, 1), 3, if(ISBLANK('2025'!$Q359), 0, 1), 4, if(ISBLANK('2025'!$R359), 0, 1), 5, if(ISBLANK('2025'!$S359), 0, 1), 6, if(ISBLANK('2025'!$T359), 0, 1), 7, 0))), 1, "")</f>
        <v/>
      </c>
      <c r="Y361" s="1" t="str">
        <f>IF(AND(AND(AND(Y$4&gt;='2025'!$L359,Y$4&lt;='2025'!$M359), Y$4&lt;&gt;DATE(2025,7,4)), (SWITCH(weekday(Y$4), 1, 0, 2, if(ISBLANK('2025'!$P359), 0, 1), 3, if(ISBLANK('2025'!$Q359), 0, 1), 4, if(ISBLANK('2025'!$R359), 0, 1), 5, if(ISBLANK('2025'!$S359), 0, 1), 6, if(ISBLANK('2025'!$T359), 0, 1), 7, 0))), 1, "")</f>
        <v/>
      </c>
      <c r="Z361" s="1" t="str">
        <f>IF(AND(AND(AND(Z$4&gt;='2025'!$L359,Z$4&lt;='2025'!$M359), Z$4&lt;&gt;DATE(2025,7,4)), (SWITCH(weekday(Z$4), 1, 0, 2, if(ISBLANK('2025'!$P359), 0, 1), 3, if(ISBLANK('2025'!$Q359), 0, 1), 4, if(ISBLANK('2025'!$R359), 0, 1), 5, if(ISBLANK('2025'!$S359), 0, 1), 6, if(ISBLANK('2025'!$T359), 0, 1), 7, 0))), 1, "")</f>
        <v/>
      </c>
      <c r="AA361" s="1" t="str">
        <f>IF(AND(AND(AND(AA$4&gt;='2025'!$L359,AA$4&lt;='2025'!$M359), AA$4&lt;&gt;DATE(2025,7,4)), (SWITCH(weekday(AA$4), 1, 0, 2, if(ISBLANK('2025'!$P359), 0, 1), 3, if(ISBLANK('2025'!$Q359), 0, 1), 4, if(ISBLANK('2025'!$R359), 0, 1), 5, if(ISBLANK('2025'!$S359), 0, 1), 6, if(ISBLANK('2025'!$T359), 0, 1), 7, 0))), 1, "")</f>
        <v/>
      </c>
      <c r="AB361" s="1" t="str">
        <f>IF(AND(AND(AND(AB$4&gt;='2025'!$L359,AB$4&lt;='2025'!$M359), AB$4&lt;&gt;DATE(2025,7,4)), (SWITCH(weekday(AB$4), 1, 0, 2, if(ISBLANK('2025'!$P359), 0, 1), 3, if(ISBLANK('2025'!$Q359), 0, 1), 4, if(ISBLANK('2025'!$R359), 0, 1), 5, if(ISBLANK('2025'!$S359), 0, 1), 6, if(ISBLANK('2025'!$T359), 0, 1), 7, 0))), 1, "")</f>
        <v/>
      </c>
      <c r="AC361" s="1" t="str">
        <f>IF(AND(AND(AND(AC$4&gt;='2025'!$L359,AC$4&lt;='2025'!$M359), AC$4&lt;&gt;DATE(2025,7,4)), (SWITCH(weekday(AC$4), 1, 0, 2, if(ISBLANK('2025'!$P359), 0, 1), 3, if(ISBLANK('2025'!$Q359), 0, 1), 4, if(ISBLANK('2025'!$R359), 0, 1), 5, if(ISBLANK('2025'!$S359), 0, 1), 6, if(ISBLANK('2025'!$T359), 0, 1), 7, 0))), 1, "")</f>
        <v/>
      </c>
      <c r="AD361" s="1" t="str">
        <f>IF(AND(AND(AND(AD$4&gt;='2025'!$L359,AD$4&lt;='2025'!$M359), AD$4&lt;&gt;DATE(2025,7,4)), (SWITCH(weekday(AD$4), 1, 0, 2, if(ISBLANK('2025'!$P359), 0, 1), 3, if(ISBLANK('2025'!$Q359), 0, 1), 4, if(ISBLANK('2025'!$R359), 0, 1), 5, if(ISBLANK('2025'!$S359), 0, 1), 6, if(ISBLANK('2025'!$T359), 0, 1), 7, 0))), 1, "")</f>
        <v/>
      </c>
      <c r="AE361" s="1" t="str">
        <f>IF(AND(AND(AND(AE$4&gt;='2025'!$L359,AE$4&lt;='2025'!$M359), AE$4&lt;&gt;DATE(2025,7,4)), (SWITCH(weekday(AE$4), 1, 0, 2, if(ISBLANK('2025'!$P359), 0, 1), 3, if(ISBLANK('2025'!$Q359), 0, 1), 4, if(ISBLANK('2025'!$R359), 0, 1), 5, if(ISBLANK('2025'!$S359), 0, 1), 6, if(ISBLANK('2025'!$T359), 0, 1), 7, 0))), 1, "")</f>
        <v/>
      </c>
      <c r="AF361" s="1" t="str">
        <f>IF(AND(AND(AND(AF$4&gt;='2025'!$L359,AF$4&lt;='2025'!$M359), AF$4&lt;&gt;DATE(2025,7,4)), (SWITCH(weekday(AF$4), 1, 0, 2, if(ISBLANK('2025'!$P359), 0, 1), 3, if(ISBLANK('2025'!$Q359), 0, 1), 4, if(ISBLANK('2025'!$R359), 0, 1), 5, if(ISBLANK('2025'!$S359), 0, 1), 6, if(ISBLANK('2025'!$T359), 0, 1), 7, 0))), 1, "")</f>
        <v/>
      </c>
      <c r="AG361" s="1" t="str">
        <f>IF(AND(AND(AND(AG$4&gt;='2025'!$L359,AG$4&lt;='2025'!$M359), AG$4&lt;&gt;DATE(2025,7,4)), (SWITCH(weekday(AG$4), 1, 0, 2, if(ISBLANK('2025'!$P359), 0, 1), 3, if(ISBLANK('2025'!$Q359), 0, 1), 4, if(ISBLANK('2025'!$R359), 0, 1), 5, if(ISBLANK('2025'!$S359), 0, 1), 6, if(ISBLANK('2025'!$T359), 0, 1), 7, 0))), 1, "")</f>
        <v/>
      </c>
      <c r="AH361" s="1" t="str">
        <f>IF(AND(AND(AND(AH$4&gt;='2025'!$L359,AH$4&lt;='2025'!$M359), AH$4&lt;&gt;DATE(2025,7,4)), (SWITCH(weekday(AH$4), 1, 0, 2, if(ISBLANK('2025'!$P359), 0, 1), 3, if(ISBLANK('2025'!$Q359), 0, 1), 4, if(ISBLANK('2025'!$R359), 0, 1), 5, if(ISBLANK('2025'!$S359), 0, 1), 6, if(ISBLANK('2025'!$T359), 0, 1), 7, 0))), 1, "")</f>
        <v/>
      </c>
      <c r="AI361" s="1" t="str">
        <f>IF(AND(AND(AND(AI$4&gt;='2025'!$L359,AI$4&lt;='2025'!$M359), AI$4&lt;&gt;DATE(2025,7,4)), (SWITCH(weekday(AI$4), 1, 0, 2, if(ISBLANK('2025'!$P359), 0, 1), 3, if(ISBLANK('2025'!$Q359), 0, 1), 4, if(ISBLANK('2025'!$R359), 0, 1), 5, if(ISBLANK('2025'!$S359), 0, 1), 6, if(ISBLANK('2025'!$T359), 0, 1), 7, 0))), 1, "")</f>
        <v/>
      </c>
      <c r="AJ361" s="1" t="str">
        <f>IF(AND(AND(AND(AJ$4&gt;='2025'!$L359,AJ$4&lt;='2025'!$M359), AJ$4&lt;&gt;DATE(2025,7,4)), (SWITCH(weekday(AJ$4), 1, 0, 2, if(ISBLANK('2025'!$P359), 0, 1), 3, if(ISBLANK('2025'!$Q359), 0, 1), 4, if(ISBLANK('2025'!$R359), 0, 1), 5, if(ISBLANK('2025'!$S359), 0, 1), 6, if(ISBLANK('2025'!$T359), 0, 1), 7, 0))), 1, "")</f>
        <v/>
      </c>
      <c r="AK361" s="1" t="str">
        <f>IF(AND(AND(AND(AK$4&gt;='2025'!$L359,AK$4&lt;='2025'!$M359), AK$4&lt;&gt;DATE(2025,7,4)), (SWITCH(weekday(AK$4), 1, 0, 2, if(ISBLANK('2025'!$P359), 0, 1), 3, if(ISBLANK('2025'!$Q359), 0, 1), 4, if(ISBLANK('2025'!$R359), 0, 1), 5, if(ISBLANK('2025'!$S359), 0, 1), 6, if(ISBLANK('2025'!$T359), 0, 1), 7, 0))), 1, "")</f>
        <v/>
      </c>
      <c r="AL361" s="1" t="str">
        <f>IF(AND(AND(AND(AL$4&gt;='2025'!$L359,AL$4&lt;='2025'!$M359), AL$4&lt;&gt;DATE(2025,7,4)), (SWITCH(weekday(AL$4), 1, 0, 2, if(ISBLANK('2025'!$P359), 0, 1), 3, if(ISBLANK('2025'!$Q359), 0, 1), 4, if(ISBLANK('2025'!$R359), 0, 1), 5, if(ISBLANK('2025'!$S359), 0, 1), 6, if(ISBLANK('2025'!$T359), 0, 1), 7, 0))), 1, "")</f>
        <v/>
      </c>
      <c r="AM361" s="1" t="str">
        <f>IF(AND(AND(AND(AM$4&gt;='2025'!$L359,AM$4&lt;='2025'!$M359), AM$4&lt;&gt;DATE(2025,7,4)), (SWITCH(weekday(AM$4), 1, 0, 2, if(ISBLANK('2025'!$P359), 0, 1), 3, if(ISBLANK('2025'!$Q359), 0, 1), 4, if(ISBLANK('2025'!$R359), 0, 1), 5, if(ISBLANK('2025'!$S359), 0, 1), 6, if(ISBLANK('2025'!$T359), 0, 1), 7, 0))), 1, "")</f>
        <v/>
      </c>
      <c r="AN361" s="1" t="str">
        <f>IF(AND(AND(AND(AN$4&gt;='2025'!$L359,AN$4&lt;='2025'!$M359), AN$4&lt;&gt;DATE(2025,7,4)), (SWITCH(weekday(AN$4), 1, 0, 2, if(ISBLANK('2025'!$P359), 0, 1), 3, if(ISBLANK('2025'!$Q359), 0, 1), 4, if(ISBLANK('2025'!$R359), 0, 1), 5, if(ISBLANK('2025'!$S359), 0, 1), 6, if(ISBLANK('2025'!$T359), 0, 1), 7, 0))), 1, "")</f>
        <v/>
      </c>
      <c r="AO361" s="1" t="str">
        <f>IF(AND(AND(AND(AO$4&gt;='2025'!$L359,AO$4&lt;='2025'!$M359), AO$4&lt;&gt;DATE(2025,7,4)), (SWITCH(weekday(AO$4), 1, 0, 2, if(ISBLANK('2025'!$P359), 0, 1), 3, if(ISBLANK('2025'!$Q359), 0, 1), 4, if(ISBLANK('2025'!$R359), 0, 1), 5, if(ISBLANK('2025'!$S359), 0, 1), 6, if(ISBLANK('2025'!$T359), 0, 1), 7, 0))), 1, "")</f>
        <v/>
      </c>
      <c r="AP361" s="1" t="str">
        <f>IF(AND(AND(AND(AP$4&gt;='2025'!$L359,AP$4&lt;='2025'!$M359), AP$4&lt;&gt;DATE(2025,7,4)), (SWITCH(weekday(AP$4), 1, 0, 2, if(ISBLANK('2025'!$P359), 0, 1), 3, if(ISBLANK('2025'!$Q359), 0, 1), 4, if(ISBLANK('2025'!$R359), 0, 1), 5, if(ISBLANK('2025'!$S359), 0, 1), 6, if(ISBLANK('2025'!$T359), 0, 1), 7, 0))), 1, "")</f>
        <v/>
      </c>
      <c r="AQ361" s="1" t="str">
        <f>IF(AND(AND(AND(AQ$4&gt;='2025'!$L359,AQ$4&lt;='2025'!$M359), AQ$4&lt;&gt;DATE(2025,7,4)), (SWITCH(weekday(AQ$4), 1, 0, 2, if(ISBLANK('2025'!$P359), 0, 1), 3, if(ISBLANK('2025'!$Q359), 0, 1), 4, if(ISBLANK('2025'!$R359), 0, 1), 5, if(ISBLANK('2025'!$S359), 0, 1), 6, if(ISBLANK('2025'!$T359), 0, 1), 7, 0))), 1, "")</f>
        <v/>
      </c>
      <c r="AR361" s="1" t="str">
        <f>IF(AND(AND(AND(AR$4&gt;='2025'!$L359,AR$4&lt;='2025'!$M359), AR$4&lt;&gt;DATE(2025,7,4)), (SWITCH(weekday(AR$4), 1, 0, 2, if(ISBLANK('2025'!$P359), 0, 1), 3, if(ISBLANK('2025'!$Q359), 0, 1), 4, if(ISBLANK('2025'!$R359), 0, 1), 5, if(ISBLANK('2025'!$S359), 0, 1), 6, if(ISBLANK('2025'!$T359), 0, 1), 7, 0))), 1, "")</f>
        <v/>
      </c>
      <c r="AS361" s="1" t="str">
        <f>IF(AND(AND(AND(AS$4&gt;='2025'!$L359,AS$4&lt;='2025'!$M359), AS$4&lt;&gt;DATE(2025,7,4)), (SWITCH(weekday(AS$4), 1, 0, 2, if(ISBLANK('2025'!$P359), 0, 1), 3, if(ISBLANK('2025'!$Q359), 0, 1), 4, if(ISBLANK('2025'!$R359), 0, 1), 5, if(ISBLANK('2025'!$S359), 0, 1), 6, if(ISBLANK('2025'!$T359), 0, 1), 7, 0))), 1, "")</f>
        <v/>
      </c>
      <c r="AT361" s="1" t="str">
        <f>IF(AND(AND(AND(AT$4&gt;='2025'!$L359,AT$4&lt;='2025'!$M359), AT$4&lt;&gt;DATE(2025,7,4)), (SWITCH(weekday(AT$4), 1, 0, 2, if(ISBLANK('2025'!$P359), 0, 1), 3, if(ISBLANK('2025'!$Q359), 0, 1), 4, if(ISBLANK('2025'!$R359), 0, 1), 5, if(ISBLANK('2025'!$S359), 0, 1), 6, if(ISBLANK('2025'!$T359), 0, 1), 7, 0))), 1, "")</f>
        <v/>
      </c>
      <c r="AU361" s="1" t="str">
        <f>IF(AND(AND(AND(AU$4&gt;='2025'!$L359,AU$4&lt;='2025'!$M359), AU$4&lt;&gt;DATE(2025,7,4)), (SWITCH(weekday(AU$4), 1, 0, 2, if(ISBLANK('2025'!$P359), 0, 1), 3, if(ISBLANK('2025'!$Q359), 0, 1), 4, if(ISBLANK('2025'!$R359), 0, 1), 5, if(ISBLANK('2025'!$S359), 0, 1), 6, if(ISBLANK('2025'!$T359), 0, 1), 7, 0))), 1, "")</f>
        <v/>
      </c>
      <c r="AV361" s="1" t="str">
        <f>IF(AND(AND(AND(AV$4&gt;='2025'!$L359,AV$4&lt;='2025'!$M359), AV$4&lt;&gt;DATE(2025,7,4)), (SWITCH(weekday(AV$4), 1, 0, 2, if(ISBLANK('2025'!$P359), 0, 1), 3, if(ISBLANK('2025'!$Q359), 0, 1), 4, if(ISBLANK('2025'!$R359), 0, 1), 5, if(ISBLANK('2025'!$S359), 0, 1), 6, if(ISBLANK('2025'!$T359), 0, 1), 7, 0))), 1, "")</f>
        <v/>
      </c>
      <c r="AW361" s="1" t="str">
        <f>IF(AND(AND(AND(AW$4&gt;='2025'!$L359,AW$4&lt;='2025'!$M359), AW$4&lt;&gt;DATE(2025,7,4)), (SWITCH(weekday(AW$4), 1, 0, 2, if(ISBLANK('2025'!$P359), 0, 1), 3, if(ISBLANK('2025'!$Q359), 0, 1), 4, if(ISBLANK('2025'!$R359), 0, 1), 5, if(ISBLANK('2025'!$S359), 0, 1), 6, if(ISBLANK('2025'!$T359), 0, 1), 7, 0))), 1, "")</f>
        <v/>
      </c>
      <c r="AX361" s="1" t="str">
        <f>IF(AND(AND(AND(AX$4&gt;='2025'!$L359,AX$4&lt;='2025'!$M359), AX$4&lt;&gt;DATE(2025,7,4)), (SWITCH(weekday(AX$4), 1, 0, 2, if(ISBLANK('2025'!$P359), 0, 1), 3, if(ISBLANK('2025'!$Q359), 0, 1), 4, if(ISBLANK('2025'!$R359), 0, 1), 5, if(ISBLANK('2025'!$S359), 0, 1), 6, if(ISBLANK('2025'!$T359), 0, 1), 7, 0))), 1, "")</f>
        <v/>
      </c>
      <c r="AY361" s="1" t="str">
        <f>IF(AND(AND(AND(AY$4&gt;='2025'!$L359,AY$4&lt;='2025'!$M359), AY$4&lt;&gt;DATE(2025,7,4)), (SWITCH(weekday(AY$4), 1, 0, 2, if(ISBLANK('2025'!$P359), 0, 1), 3, if(ISBLANK('2025'!$Q359), 0, 1), 4, if(ISBLANK('2025'!$R359), 0, 1), 5, if(ISBLANK('2025'!$S359), 0, 1), 6, if(ISBLANK('2025'!$T359), 0, 1), 7, 0))), 1, "")</f>
        <v/>
      </c>
      <c r="AZ361" s="1" t="str">
        <f>IF(AND(AND(AND(AZ$4&gt;='2025'!$L359,AZ$4&lt;='2025'!$M359), AZ$4&lt;&gt;DATE(2025,7,4)), (SWITCH(weekday(AZ$4), 1, 0, 2, if(ISBLANK('2025'!$P359), 0, 1), 3, if(ISBLANK('2025'!$Q359), 0, 1), 4, if(ISBLANK('2025'!$R359), 0, 1), 5, if(ISBLANK('2025'!$S359), 0, 1), 6, if(ISBLANK('2025'!$T359), 0, 1), 7, 0))), 1, "")</f>
        <v/>
      </c>
      <c r="BA361" s="1" t="str">
        <f>IF(AND(AND(AND(BA$4&gt;='2025'!$L359,BA$4&lt;='2025'!$M359), BA$4&lt;&gt;DATE(2025,7,4)), (SWITCH(weekday(BA$4), 1, 0, 2, if(ISBLANK('2025'!$P359), 0, 1), 3, if(ISBLANK('2025'!$Q359), 0, 1), 4, if(ISBLANK('2025'!$R359), 0, 1), 5, if(ISBLANK('2025'!$S359), 0, 1), 6, if(ISBLANK('2025'!$T359), 0, 1), 7, 0))), 1, "")</f>
        <v/>
      </c>
      <c r="BB361" s="1" t="str">
        <f>IF(AND(AND(AND(BB$4&gt;='2025'!$L359,BB$4&lt;='2025'!$M359), BB$4&lt;&gt;DATE(2025,7,4)), (SWITCH(weekday(BB$4), 1, 0, 2, if(ISBLANK('2025'!$P359), 0, 1), 3, if(ISBLANK('2025'!$Q359), 0, 1), 4, if(ISBLANK('2025'!$R359), 0, 1), 5, if(ISBLANK('2025'!$S359), 0, 1), 6, if(ISBLANK('2025'!$T359), 0, 1), 7, 0))), 1, "")</f>
        <v/>
      </c>
      <c r="BC361" s="1" t="str">
        <f>IF(AND(AND(AND(BC$4&gt;='2025'!$L359,BC$4&lt;='2025'!$M359), BC$4&lt;&gt;DATE(2025,7,4)), (SWITCH(weekday(BC$4), 1, 0, 2, if(ISBLANK('2025'!$P359), 0, 1), 3, if(ISBLANK('2025'!$Q359), 0, 1), 4, if(ISBLANK('2025'!$R359), 0, 1), 5, if(ISBLANK('2025'!$S359), 0, 1), 6, if(ISBLANK('2025'!$T359), 0, 1), 7, 0))), 1, "")</f>
        <v/>
      </c>
      <c r="BD361" s="1" t="str">
        <f>IF(AND(AND(AND(BD$4&gt;='2025'!$L359,BD$4&lt;='2025'!$M359), BD$4&lt;&gt;DATE(2025,7,4)), (SWITCH(weekday(BD$4), 1, 0, 2, if(ISBLANK('2025'!$P359), 0, 1), 3, if(ISBLANK('2025'!$Q359), 0, 1), 4, if(ISBLANK('2025'!$R359), 0, 1), 5, if(ISBLANK('2025'!$S359), 0, 1), 6, if(ISBLANK('2025'!$T359), 0, 1), 7, 0))), 1, "")</f>
        <v/>
      </c>
      <c r="BE361" s="1" t="str">
        <f>IF(AND(AND(AND(BE$4&gt;='2025'!$L359,BE$4&lt;='2025'!$M359), BE$4&lt;&gt;DATE(2025,7,4)), (SWITCH(weekday(BE$4), 1, 0, 2, if(ISBLANK('2025'!$P359), 0, 1), 3, if(ISBLANK('2025'!$Q359), 0, 1), 4, if(ISBLANK('2025'!$R359), 0, 1), 5, if(ISBLANK('2025'!$S359), 0, 1), 6, if(ISBLANK('2025'!$T359), 0, 1), 7, 0))), 1, "")</f>
        <v/>
      </c>
      <c r="BF361" s="1" t="str">
        <f>IF(AND(AND(AND(BF$4&gt;='2025'!$L359,BF$4&lt;='2025'!$M359), BF$4&lt;&gt;DATE(2025,7,4)), (SWITCH(weekday(BF$4), 1, 0, 2, if(ISBLANK('2025'!$P359), 0, 1), 3, if(ISBLANK('2025'!$Q359), 0, 1), 4, if(ISBLANK('2025'!$R359), 0, 1), 5, if(ISBLANK('2025'!$S359), 0, 1), 6, if(ISBLANK('2025'!$T359), 0, 1), 7, 0))), 1, "")</f>
        <v/>
      </c>
      <c r="BG361" s="1"/>
      <c r="BH361" s="1"/>
      <c r="BI361" s="1"/>
      <c r="BJ361" s="1"/>
      <c r="BK361" s="1"/>
      <c r="BL361" s="1"/>
    </row>
    <row r="362">
      <c r="A362" s="1">
        <f t="shared" si="3"/>
        <v>362</v>
      </c>
      <c r="B362" s="1" t="str">
        <f>'2025'!D326</f>
        <v>, </v>
      </c>
      <c r="C362" s="1" t="str">
        <f>'2025'!H326</f>
        <v/>
      </c>
      <c r="D362" s="1" t="str">
        <f>IF(AND(AND(AND(D$4&gt;='2025'!$L360,D$4&lt;='2025'!$M360), D$4&lt;&gt;DATE(2025,7,4)), (SWITCH(weekday(D$4), 1, 0, 2, if(ISBLANK('2025'!$P360), 0, 1), 3, if(ISBLANK('2025'!$Q360), 0, 1), 4, if(ISBLANK('2025'!$R360), 0, 1), 5, if(ISBLANK('2025'!$S360), 0, 1), 6, if(ISBLANK('2025'!$T360), 0, 1), 7, 0))), 1, "")</f>
        <v/>
      </c>
      <c r="E362" s="1" t="str">
        <f>IF(AND(AND(AND(E$4&gt;='2025'!$L360,E$4&lt;='2025'!$M360), E$4&lt;&gt;DATE(2025,7,4)), (SWITCH(weekday(E$4), 1, 0, 2, if(ISBLANK('2025'!$P360), 0, 1), 3, if(ISBLANK('2025'!$Q360), 0, 1), 4, if(ISBLANK('2025'!$R360), 0, 1), 5, if(ISBLANK('2025'!$S360), 0, 1), 6, if(ISBLANK('2025'!$T360), 0, 1), 7, 0))), 1, "")</f>
        <v/>
      </c>
      <c r="F362" s="1" t="str">
        <f>IF(AND(AND(AND(F$4&gt;='2025'!$L360,F$4&lt;='2025'!$M360), F$4&lt;&gt;DATE(2025,7,4)), (SWITCH(weekday(F$4), 1, 0, 2, if(ISBLANK('2025'!$P360), 0, 1), 3, if(ISBLANK('2025'!$Q360), 0, 1), 4, if(ISBLANK('2025'!$R360), 0, 1), 5, if(ISBLANK('2025'!$S360), 0, 1), 6, if(ISBLANK('2025'!$T360), 0, 1), 7, 0))), 1, "")</f>
        <v/>
      </c>
      <c r="G362" s="1" t="str">
        <f>IF(AND(AND(AND(G$4&gt;='2025'!$L360,G$4&lt;='2025'!$M360), G$4&lt;&gt;DATE(2025,7,4)), (SWITCH(weekday(G$4), 1, 0, 2, if(ISBLANK('2025'!$P360), 0, 1), 3, if(ISBLANK('2025'!$Q360), 0, 1), 4, if(ISBLANK('2025'!$R360), 0, 1), 5, if(ISBLANK('2025'!$S360), 0, 1), 6, if(ISBLANK('2025'!$T360), 0, 1), 7, 0))), 1, "")</f>
        <v/>
      </c>
      <c r="H362" s="1" t="str">
        <f>IF(AND(AND(AND(H$4&gt;='2025'!$L360,H$4&lt;='2025'!$M360), H$4&lt;&gt;DATE(2025,7,4)), (SWITCH(weekday(H$4), 1, 0, 2, if(ISBLANK('2025'!$P360), 0, 1), 3, if(ISBLANK('2025'!$Q360), 0, 1), 4, if(ISBLANK('2025'!$R360), 0, 1), 5, if(ISBLANK('2025'!$S360), 0, 1), 6, if(ISBLANK('2025'!$T360), 0, 1), 7, 0))), 1, "")</f>
        <v/>
      </c>
      <c r="I362" s="1" t="str">
        <f>IF(AND(AND(AND(I$4&gt;='2025'!$L360,I$4&lt;='2025'!$M360), I$4&lt;&gt;DATE(2025,7,4)), (SWITCH(weekday(I$4), 1, 0, 2, if(ISBLANK('2025'!$P360), 0, 1), 3, if(ISBLANK('2025'!$Q360), 0, 1), 4, if(ISBLANK('2025'!$R360), 0, 1), 5, if(ISBLANK('2025'!$S360), 0, 1), 6, if(ISBLANK('2025'!$T360), 0, 1), 7, 0))), 1, "")</f>
        <v/>
      </c>
      <c r="J362" s="1" t="str">
        <f>IF(AND(AND(AND(J$4&gt;='2025'!$L360,J$4&lt;='2025'!$M360), J$4&lt;&gt;DATE(2025,7,4)), (SWITCH(weekday(J$4), 1, 0, 2, if(ISBLANK('2025'!$P360), 0, 1), 3, if(ISBLANK('2025'!$Q360), 0, 1), 4, if(ISBLANK('2025'!$R360), 0, 1), 5, if(ISBLANK('2025'!$S360), 0, 1), 6, if(ISBLANK('2025'!$T360), 0, 1), 7, 0))), 1, "")</f>
        <v/>
      </c>
      <c r="K362" s="1" t="str">
        <f>IF(AND(AND(AND(K$4&gt;='2025'!$L360,K$4&lt;='2025'!$M360), K$4&lt;&gt;DATE(2025,7,4)), (SWITCH(weekday(K$4), 1, 0, 2, if(ISBLANK('2025'!$P360), 0, 1), 3, if(ISBLANK('2025'!$Q360), 0, 1), 4, if(ISBLANK('2025'!$R360), 0, 1), 5, if(ISBLANK('2025'!$S360), 0, 1), 6, if(ISBLANK('2025'!$T360), 0, 1), 7, 0))), 1, "")</f>
        <v/>
      </c>
      <c r="L362" s="1" t="str">
        <f>IF(AND(AND(AND(L$4&gt;='2025'!$L360,L$4&lt;='2025'!$M360), L$4&lt;&gt;DATE(2025,7,4)), (SWITCH(weekday(L$4), 1, 0, 2, if(ISBLANK('2025'!$P360), 0, 1), 3, if(ISBLANK('2025'!$Q360), 0, 1), 4, if(ISBLANK('2025'!$R360), 0, 1), 5, if(ISBLANK('2025'!$S360), 0, 1), 6, if(ISBLANK('2025'!$T360), 0, 1), 7, 0))), 1, "")</f>
        <v/>
      </c>
      <c r="M362" s="1" t="str">
        <f>IF(AND(AND(AND(M$4&gt;='2025'!$L360,M$4&lt;='2025'!$M360), M$4&lt;&gt;DATE(2025,7,4)), (SWITCH(weekday(M$4), 1, 0, 2, if(ISBLANK('2025'!$P360), 0, 1), 3, if(ISBLANK('2025'!$Q360), 0, 1), 4, if(ISBLANK('2025'!$R360), 0, 1), 5, if(ISBLANK('2025'!$S360), 0, 1), 6, if(ISBLANK('2025'!$T360), 0, 1), 7, 0))), 1, "")</f>
        <v/>
      </c>
      <c r="N362" s="1" t="str">
        <f>IF(AND(AND(AND(N$4&gt;='2025'!$L360,N$4&lt;='2025'!$M360), N$4&lt;&gt;DATE(2025,7,4)), (SWITCH(weekday(N$4), 1, 0, 2, if(ISBLANK('2025'!$P360), 0, 1), 3, if(ISBLANK('2025'!$Q360), 0, 1), 4, if(ISBLANK('2025'!$R360), 0, 1), 5, if(ISBLANK('2025'!$S360), 0, 1), 6, if(ISBLANK('2025'!$T360), 0, 1), 7, 0))), 1, "")</f>
        <v/>
      </c>
      <c r="O362" s="1" t="str">
        <f>IF(AND(AND(AND(O$4&gt;='2025'!$L360,O$4&lt;='2025'!$M360), O$4&lt;&gt;DATE(2025,7,4)), (SWITCH(weekday(O$4), 1, 0, 2, if(ISBLANK('2025'!$P360), 0, 1), 3, if(ISBLANK('2025'!$Q360), 0, 1), 4, if(ISBLANK('2025'!$R360), 0, 1), 5, if(ISBLANK('2025'!$S360), 0, 1), 6, if(ISBLANK('2025'!$T360), 0, 1), 7, 0))), 1, "")</f>
        <v/>
      </c>
      <c r="P362" s="1" t="str">
        <f>IF(AND(AND(AND(P$4&gt;='2025'!$L360,P$4&lt;='2025'!$M360), P$4&lt;&gt;DATE(2025,7,4)), (SWITCH(weekday(P$4), 1, 0, 2, if(ISBLANK('2025'!$P360), 0, 1), 3, if(ISBLANK('2025'!$Q360), 0, 1), 4, if(ISBLANK('2025'!$R360), 0, 1), 5, if(ISBLANK('2025'!$S360), 0, 1), 6, if(ISBLANK('2025'!$T360), 0, 1), 7, 0))), 1, "")</f>
        <v/>
      </c>
      <c r="Q362" s="1" t="str">
        <f>IF(AND(AND(AND(Q$4&gt;='2025'!$L360,Q$4&lt;='2025'!$M360), Q$4&lt;&gt;DATE(2025,7,4)), (SWITCH(weekday(Q$4), 1, 0, 2, if(ISBLANK('2025'!$P360), 0, 1), 3, if(ISBLANK('2025'!$Q360), 0, 1), 4, if(ISBLANK('2025'!$R360), 0, 1), 5, if(ISBLANK('2025'!$S360), 0, 1), 6, if(ISBLANK('2025'!$T360), 0, 1), 7, 0))), 1, "")</f>
        <v/>
      </c>
      <c r="R362" s="1" t="str">
        <f>IF(AND(AND(AND(R$4&gt;='2025'!$L360,R$4&lt;='2025'!$M360), R$4&lt;&gt;DATE(2025,7,4)), (SWITCH(weekday(R$4), 1, 0, 2, if(ISBLANK('2025'!$P360), 0, 1), 3, if(ISBLANK('2025'!$Q360), 0, 1), 4, if(ISBLANK('2025'!$R360), 0, 1), 5, if(ISBLANK('2025'!$S360), 0, 1), 6, if(ISBLANK('2025'!$T360), 0, 1), 7, 0))), 1, "")</f>
        <v/>
      </c>
      <c r="S362" s="1" t="str">
        <f>IF(AND(AND(AND(S$4&gt;='2025'!$L360,S$4&lt;='2025'!$M360), S$4&lt;&gt;DATE(2025,7,4)), (SWITCH(weekday(S$4), 1, 0, 2, if(ISBLANK('2025'!$P360), 0, 1), 3, if(ISBLANK('2025'!$Q360), 0, 1), 4, if(ISBLANK('2025'!$R360), 0, 1), 5, if(ISBLANK('2025'!$S360), 0, 1), 6, if(ISBLANK('2025'!$T360), 0, 1), 7, 0))), 1, "")</f>
        <v/>
      </c>
      <c r="T362" s="1" t="str">
        <f>IF(AND(AND(AND(T$4&gt;='2025'!$L360,T$4&lt;='2025'!$M360), T$4&lt;&gt;DATE(2025,7,4)), (SWITCH(weekday(T$4), 1, 0, 2, if(ISBLANK('2025'!$P360), 0, 1), 3, if(ISBLANK('2025'!$Q360), 0, 1), 4, if(ISBLANK('2025'!$R360), 0, 1), 5, if(ISBLANK('2025'!$S360), 0, 1), 6, if(ISBLANK('2025'!$T360), 0, 1), 7, 0))), 1, "")</f>
        <v/>
      </c>
      <c r="U362" s="1" t="str">
        <f>IF(AND(AND(AND(U$4&gt;='2025'!$L360,U$4&lt;='2025'!$M360), U$4&lt;&gt;DATE(2025,7,4)), (SWITCH(weekday(U$4), 1, 0, 2, if(ISBLANK('2025'!$P360), 0, 1), 3, if(ISBLANK('2025'!$Q360), 0, 1), 4, if(ISBLANK('2025'!$R360), 0, 1), 5, if(ISBLANK('2025'!$S360), 0, 1), 6, if(ISBLANK('2025'!$T360), 0, 1), 7, 0))), 1, "")</f>
        <v/>
      </c>
      <c r="V362" s="1" t="str">
        <f>IF(AND(AND(AND(V$4&gt;='2025'!$L360,V$4&lt;='2025'!$M360), V$4&lt;&gt;DATE(2025,7,4)), (SWITCH(weekday(V$4), 1, 0, 2, if(ISBLANK('2025'!$P360), 0, 1), 3, if(ISBLANK('2025'!$Q360), 0, 1), 4, if(ISBLANK('2025'!$R360), 0, 1), 5, if(ISBLANK('2025'!$S360), 0, 1), 6, if(ISBLANK('2025'!$T360), 0, 1), 7, 0))), 1, "")</f>
        <v/>
      </c>
      <c r="W362" s="1" t="str">
        <f>IF(AND(AND(AND(W$4&gt;='2025'!$L360,W$4&lt;='2025'!$M360), W$4&lt;&gt;DATE(2025,7,4)), (SWITCH(weekday(W$4), 1, 0, 2, if(ISBLANK('2025'!$P360), 0, 1), 3, if(ISBLANK('2025'!$Q360), 0, 1), 4, if(ISBLANK('2025'!$R360), 0, 1), 5, if(ISBLANK('2025'!$S360), 0, 1), 6, if(ISBLANK('2025'!$T360), 0, 1), 7, 0))), 1, "")</f>
        <v/>
      </c>
      <c r="X362" s="1" t="str">
        <f>IF(AND(AND(AND(X$4&gt;='2025'!$L360,X$4&lt;='2025'!$M360), X$4&lt;&gt;DATE(2025,7,4)), (SWITCH(weekday(X$4), 1, 0, 2, if(ISBLANK('2025'!$P360), 0, 1), 3, if(ISBLANK('2025'!$Q360), 0, 1), 4, if(ISBLANK('2025'!$R360), 0, 1), 5, if(ISBLANK('2025'!$S360), 0, 1), 6, if(ISBLANK('2025'!$T360), 0, 1), 7, 0))), 1, "")</f>
        <v/>
      </c>
      <c r="Y362" s="1" t="str">
        <f>IF(AND(AND(AND(Y$4&gt;='2025'!$L360,Y$4&lt;='2025'!$M360), Y$4&lt;&gt;DATE(2025,7,4)), (SWITCH(weekday(Y$4), 1, 0, 2, if(ISBLANK('2025'!$P360), 0, 1), 3, if(ISBLANK('2025'!$Q360), 0, 1), 4, if(ISBLANK('2025'!$R360), 0, 1), 5, if(ISBLANK('2025'!$S360), 0, 1), 6, if(ISBLANK('2025'!$T360), 0, 1), 7, 0))), 1, "")</f>
        <v/>
      </c>
      <c r="Z362" s="1" t="str">
        <f>IF(AND(AND(AND(Z$4&gt;='2025'!$L360,Z$4&lt;='2025'!$M360), Z$4&lt;&gt;DATE(2025,7,4)), (SWITCH(weekday(Z$4), 1, 0, 2, if(ISBLANK('2025'!$P360), 0, 1), 3, if(ISBLANK('2025'!$Q360), 0, 1), 4, if(ISBLANK('2025'!$R360), 0, 1), 5, if(ISBLANK('2025'!$S360), 0, 1), 6, if(ISBLANK('2025'!$T360), 0, 1), 7, 0))), 1, "")</f>
        <v/>
      </c>
      <c r="AA362" s="1" t="str">
        <f>IF(AND(AND(AND(AA$4&gt;='2025'!$L360,AA$4&lt;='2025'!$M360), AA$4&lt;&gt;DATE(2025,7,4)), (SWITCH(weekday(AA$4), 1, 0, 2, if(ISBLANK('2025'!$P360), 0, 1), 3, if(ISBLANK('2025'!$Q360), 0, 1), 4, if(ISBLANK('2025'!$R360), 0, 1), 5, if(ISBLANK('2025'!$S360), 0, 1), 6, if(ISBLANK('2025'!$T360), 0, 1), 7, 0))), 1, "")</f>
        <v/>
      </c>
      <c r="AB362" s="1" t="str">
        <f>IF(AND(AND(AND(AB$4&gt;='2025'!$L360,AB$4&lt;='2025'!$M360), AB$4&lt;&gt;DATE(2025,7,4)), (SWITCH(weekday(AB$4), 1, 0, 2, if(ISBLANK('2025'!$P360), 0, 1), 3, if(ISBLANK('2025'!$Q360), 0, 1), 4, if(ISBLANK('2025'!$R360), 0, 1), 5, if(ISBLANK('2025'!$S360), 0, 1), 6, if(ISBLANK('2025'!$T360), 0, 1), 7, 0))), 1, "")</f>
        <v/>
      </c>
      <c r="AC362" s="1" t="str">
        <f>IF(AND(AND(AND(AC$4&gt;='2025'!$L360,AC$4&lt;='2025'!$M360), AC$4&lt;&gt;DATE(2025,7,4)), (SWITCH(weekday(AC$4), 1, 0, 2, if(ISBLANK('2025'!$P360), 0, 1), 3, if(ISBLANK('2025'!$Q360), 0, 1), 4, if(ISBLANK('2025'!$R360), 0, 1), 5, if(ISBLANK('2025'!$S360), 0, 1), 6, if(ISBLANK('2025'!$T360), 0, 1), 7, 0))), 1, "")</f>
        <v/>
      </c>
      <c r="AD362" s="1" t="str">
        <f>IF(AND(AND(AND(AD$4&gt;='2025'!$L360,AD$4&lt;='2025'!$M360), AD$4&lt;&gt;DATE(2025,7,4)), (SWITCH(weekday(AD$4), 1, 0, 2, if(ISBLANK('2025'!$P360), 0, 1), 3, if(ISBLANK('2025'!$Q360), 0, 1), 4, if(ISBLANK('2025'!$R360), 0, 1), 5, if(ISBLANK('2025'!$S360), 0, 1), 6, if(ISBLANK('2025'!$T360), 0, 1), 7, 0))), 1, "")</f>
        <v/>
      </c>
      <c r="AE362" s="1" t="str">
        <f>IF(AND(AND(AND(AE$4&gt;='2025'!$L360,AE$4&lt;='2025'!$M360), AE$4&lt;&gt;DATE(2025,7,4)), (SWITCH(weekday(AE$4), 1, 0, 2, if(ISBLANK('2025'!$P360), 0, 1), 3, if(ISBLANK('2025'!$Q360), 0, 1), 4, if(ISBLANK('2025'!$R360), 0, 1), 5, if(ISBLANK('2025'!$S360), 0, 1), 6, if(ISBLANK('2025'!$T360), 0, 1), 7, 0))), 1, "")</f>
        <v/>
      </c>
      <c r="AF362" s="1" t="str">
        <f>IF(AND(AND(AND(AF$4&gt;='2025'!$L360,AF$4&lt;='2025'!$M360), AF$4&lt;&gt;DATE(2025,7,4)), (SWITCH(weekday(AF$4), 1, 0, 2, if(ISBLANK('2025'!$P360), 0, 1), 3, if(ISBLANK('2025'!$Q360), 0, 1), 4, if(ISBLANK('2025'!$R360), 0, 1), 5, if(ISBLANK('2025'!$S360), 0, 1), 6, if(ISBLANK('2025'!$T360), 0, 1), 7, 0))), 1, "")</f>
        <v/>
      </c>
      <c r="AG362" s="1" t="str">
        <f>IF(AND(AND(AND(AG$4&gt;='2025'!$L360,AG$4&lt;='2025'!$M360), AG$4&lt;&gt;DATE(2025,7,4)), (SWITCH(weekday(AG$4), 1, 0, 2, if(ISBLANK('2025'!$P360), 0, 1), 3, if(ISBLANK('2025'!$Q360), 0, 1), 4, if(ISBLANK('2025'!$R360), 0, 1), 5, if(ISBLANK('2025'!$S360), 0, 1), 6, if(ISBLANK('2025'!$T360), 0, 1), 7, 0))), 1, "")</f>
        <v/>
      </c>
      <c r="AH362" s="1" t="str">
        <f>IF(AND(AND(AND(AH$4&gt;='2025'!$L360,AH$4&lt;='2025'!$M360), AH$4&lt;&gt;DATE(2025,7,4)), (SWITCH(weekday(AH$4), 1, 0, 2, if(ISBLANK('2025'!$P360), 0, 1), 3, if(ISBLANK('2025'!$Q360), 0, 1), 4, if(ISBLANK('2025'!$R360), 0, 1), 5, if(ISBLANK('2025'!$S360), 0, 1), 6, if(ISBLANK('2025'!$T360), 0, 1), 7, 0))), 1, "")</f>
        <v/>
      </c>
      <c r="AI362" s="1" t="str">
        <f>IF(AND(AND(AND(AI$4&gt;='2025'!$L360,AI$4&lt;='2025'!$M360), AI$4&lt;&gt;DATE(2025,7,4)), (SWITCH(weekday(AI$4), 1, 0, 2, if(ISBLANK('2025'!$P360), 0, 1), 3, if(ISBLANK('2025'!$Q360), 0, 1), 4, if(ISBLANK('2025'!$R360), 0, 1), 5, if(ISBLANK('2025'!$S360), 0, 1), 6, if(ISBLANK('2025'!$T360), 0, 1), 7, 0))), 1, "")</f>
        <v/>
      </c>
      <c r="AJ362" s="1" t="str">
        <f>IF(AND(AND(AND(AJ$4&gt;='2025'!$L360,AJ$4&lt;='2025'!$M360), AJ$4&lt;&gt;DATE(2025,7,4)), (SWITCH(weekday(AJ$4), 1, 0, 2, if(ISBLANK('2025'!$P360), 0, 1), 3, if(ISBLANK('2025'!$Q360), 0, 1), 4, if(ISBLANK('2025'!$R360), 0, 1), 5, if(ISBLANK('2025'!$S360), 0, 1), 6, if(ISBLANK('2025'!$T360), 0, 1), 7, 0))), 1, "")</f>
        <v/>
      </c>
      <c r="AK362" s="1" t="str">
        <f>IF(AND(AND(AND(AK$4&gt;='2025'!$L360,AK$4&lt;='2025'!$M360), AK$4&lt;&gt;DATE(2025,7,4)), (SWITCH(weekday(AK$4), 1, 0, 2, if(ISBLANK('2025'!$P360), 0, 1), 3, if(ISBLANK('2025'!$Q360), 0, 1), 4, if(ISBLANK('2025'!$R360), 0, 1), 5, if(ISBLANK('2025'!$S360), 0, 1), 6, if(ISBLANK('2025'!$T360), 0, 1), 7, 0))), 1, "")</f>
        <v/>
      </c>
      <c r="AL362" s="1" t="str">
        <f>IF(AND(AND(AND(AL$4&gt;='2025'!$L360,AL$4&lt;='2025'!$M360), AL$4&lt;&gt;DATE(2025,7,4)), (SWITCH(weekday(AL$4), 1, 0, 2, if(ISBLANK('2025'!$P360), 0, 1), 3, if(ISBLANK('2025'!$Q360), 0, 1), 4, if(ISBLANK('2025'!$R360), 0, 1), 5, if(ISBLANK('2025'!$S360), 0, 1), 6, if(ISBLANK('2025'!$T360), 0, 1), 7, 0))), 1, "")</f>
        <v/>
      </c>
      <c r="AM362" s="1" t="str">
        <f>IF(AND(AND(AND(AM$4&gt;='2025'!$L360,AM$4&lt;='2025'!$M360), AM$4&lt;&gt;DATE(2025,7,4)), (SWITCH(weekday(AM$4), 1, 0, 2, if(ISBLANK('2025'!$P360), 0, 1), 3, if(ISBLANK('2025'!$Q360), 0, 1), 4, if(ISBLANK('2025'!$R360), 0, 1), 5, if(ISBLANK('2025'!$S360), 0, 1), 6, if(ISBLANK('2025'!$T360), 0, 1), 7, 0))), 1, "")</f>
        <v/>
      </c>
      <c r="AN362" s="1" t="str">
        <f>IF(AND(AND(AND(AN$4&gt;='2025'!$L360,AN$4&lt;='2025'!$M360), AN$4&lt;&gt;DATE(2025,7,4)), (SWITCH(weekday(AN$4), 1, 0, 2, if(ISBLANK('2025'!$P360), 0, 1), 3, if(ISBLANK('2025'!$Q360), 0, 1), 4, if(ISBLANK('2025'!$R360), 0, 1), 5, if(ISBLANK('2025'!$S360), 0, 1), 6, if(ISBLANK('2025'!$T360), 0, 1), 7, 0))), 1, "")</f>
        <v/>
      </c>
      <c r="AO362" s="1" t="str">
        <f>IF(AND(AND(AND(AO$4&gt;='2025'!$L360,AO$4&lt;='2025'!$M360), AO$4&lt;&gt;DATE(2025,7,4)), (SWITCH(weekday(AO$4), 1, 0, 2, if(ISBLANK('2025'!$P360), 0, 1), 3, if(ISBLANK('2025'!$Q360), 0, 1), 4, if(ISBLANK('2025'!$R360), 0, 1), 5, if(ISBLANK('2025'!$S360), 0, 1), 6, if(ISBLANK('2025'!$T360), 0, 1), 7, 0))), 1, "")</f>
        <v/>
      </c>
      <c r="AP362" s="1" t="str">
        <f>IF(AND(AND(AND(AP$4&gt;='2025'!$L360,AP$4&lt;='2025'!$M360), AP$4&lt;&gt;DATE(2025,7,4)), (SWITCH(weekday(AP$4), 1, 0, 2, if(ISBLANK('2025'!$P360), 0, 1), 3, if(ISBLANK('2025'!$Q360), 0, 1), 4, if(ISBLANK('2025'!$R360), 0, 1), 5, if(ISBLANK('2025'!$S360), 0, 1), 6, if(ISBLANK('2025'!$T360), 0, 1), 7, 0))), 1, "")</f>
        <v/>
      </c>
      <c r="AQ362" s="1" t="str">
        <f>IF(AND(AND(AND(AQ$4&gt;='2025'!$L360,AQ$4&lt;='2025'!$M360), AQ$4&lt;&gt;DATE(2025,7,4)), (SWITCH(weekday(AQ$4), 1, 0, 2, if(ISBLANK('2025'!$P360), 0, 1), 3, if(ISBLANK('2025'!$Q360), 0, 1), 4, if(ISBLANK('2025'!$R360), 0, 1), 5, if(ISBLANK('2025'!$S360), 0, 1), 6, if(ISBLANK('2025'!$T360), 0, 1), 7, 0))), 1, "")</f>
        <v/>
      </c>
      <c r="AR362" s="1" t="str">
        <f>IF(AND(AND(AND(AR$4&gt;='2025'!$L360,AR$4&lt;='2025'!$M360), AR$4&lt;&gt;DATE(2025,7,4)), (SWITCH(weekday(AR$4), 1, 0, 2, if(ISBLANK('2025'!$P360), 0, 1), 3, if(ISBLANK('2025'!$Q360), 0, 1), 4, if(ISBLANK('2025'!$R360), 0, 1), 5, if(ISBLANK('2025'!$S360), 0, 1), 6, if(ISBLANK('2025'!$T360), 0, 1), 7, 0))), 1, "")</f>
        <v/>
      </c>
      <c r="AS362" s="1" t="str">
        <f>IF(AND(AND(AND(AS$4&gt;='2025'!$L360,AS$4&lt;='2025'!$M360), AS$4&lt;&gt;DATE(2025,7,4)), (SWITCH(weekday(AS$4), 1, 0, 2, if(ISBLANK('2025'!$P360), 0, 1), 3, if(ISBLANK('2025'!$Q360), 0, 1), 4, if(ISBLANK('2025'!$R360), 0, 1), 5, if(ISBLANK('2025'!$S360), 0, 1), 6, if(ISBLANK('2025'!$T360), 0, 1), 7, 0))), 1, "")</f>
        <v/>
      </c>
      <c r="AT362" s="1" t="str">
        <f>IF(AND(AND(AND(AT$4&gt;='2025'!$L360,AT$4&lt;='2025'!$M360), AT$4&lt;&gt;DATE(2025,7,4)), (SWITCH(weekday(AT$4), 1, 0, 2, if(ISBLANK('2025'!$P360), 0, 1), 3, if(ISBLANK('2025'!$Q360), 0, 1), 4, if(ISBLANK('2025'!$R360), 0, 1), 5, if(ISBLANK('2025'!$S360), 0, 1), 6, if(ISBLANK('2025'!$T360), 0, 1), 7, 0))), 1, "")</f>
        <v/>
      </c>
      <c r="AU362" s="1" t="str">
        <f>IF(AND(AND(AND(AU$4&gt;='2025'!$L360,AU$4&lt;='2025'!$M360), AU$4&lt;&gt;DATE(2025,7,4)), (SWITCH(weekday(AU$4), 1, 0, 2, if(ISBLANK('2025'!$P360), 0, 1), 3, if(ISBLANK('2025'!$Q360), 0, 1), 4, if(ISBLANK('2025'!$R360), 0, 1), 5, if(ISBLANK('2025'!$S360), 0, 1), 6, if(ISBLANK('2025'!$T360), 0, 1), 7, 0))), 1, "")</f>
        <v/>
      </c>
      <c r="AV362" s="1" t="str">
        <f>IF(AND(AND(AND(AV$4&gt;='2025'!$L360,AV$4&lt;='2025'!$M360), AV$4&lt;&gt;DATE(2025,7,4)), (SWITCH(weekday(AV$4), 1, 0, 2, if(ISBLANK('2025'!$P360), 0, 1), 3, if(ISBLANK('2025'!$Q360), 0, 1), 4, if(ISBLANK('2025'!$R360), 0, 1), 5, if(ISBLANK('2025'!$S360), 0, 1), 6, if(ISBLANK('2025'!$T360), 0, 1), 7, 0))), 1, "")</f>
        <v/>
      </c>
      <c r="AW362" s="1" t="str">
        <f>IF(AND(AND(AND(AW$4&gt;='2025'!$L360,AW$4&lt;='2025'!$M360), AW$4&lt;&gt;DATE(2025,7,4)), (SWITCH(weekday(AW$4), 1, 0, 2, if(ISBLANK('2025'!$P360), 0, 1), 3, if(ISBLANK('2025'!$Q360), 0, 1), 4, if(ISBLANK('2025'!$R360), 0, 1), 5, if(ISBLANK('2025'!$S360), 0, 1), 6, if(ISBLANK('2025'!$T360), 0, 1), 7, 0))), 1, "")</f>
        <v/>
      </c>
      <c r="AX362" s="1" t="str">
        <f>IF(AND(AND(AND(AX$4&gt;='2025'!$L360,AX$4&lt;='2025'!$M360), AX$4&lt;&gt;DATE(2025,7,4)), (SWITCH(weekday(AX$4), 1, 0, 2, if(ISBLANK('2025'!$P360), 0, 1), 3, if(ISBLANK('2025'!$Q360), 0, 1), 4, if(ISBLANK('2025'!$R360), 0, 1), 5, if(ISBLANK('2025'!$S360), 0, 1), 6, if(ISBLANK('2025'!$T360), 0, 1), 7, 0))), 1, "")</f>
        <v/>
      </c>
      <c r="AY362" s="1" t="str">
        <f>IF(AND(AND(AND(AY$4&gt;='2025'!$L360,AY$4&lt;='2025'!$M360), AY$4&lt;&gt;DATE(2025,7,4)), (SWITCH(weekday(AY$4), 1, 0, 2, if(ISBLANK('2025'!$P360), 0, 1), 3, if(ISBLANK('2025'!$Q360), 0, 1), 4, if(ISBLANK('2025'!$R360), 0, 1), 5, if(ISBLANK('2025'!$S360), 0, 1), 6, if(ISBLANK('2025'!$T360), 0, 1), 7, 0))), 1, "")</f>
        <v/>
      </c>
      <c r="AZ362" s="1" t="str">
        <f>IF(AND(AND(AND(AZ$4&gt;='2025'!$L360,AZ$4&lt;='2025'!$M360), AZ$4&lt;&gt;DATE(2025,7,4)), (SWITCH(weekday(AZ$4), 1, 0, 2, if(ISBLANK('2025'!$P360), 0, 1), 3, if(ISBLANK('2025'!$Q360), 0, 1), 4, if(ISBLANK('2025'!$R360), 0, 1), 5, if(ISBLANK('2025'!$S360), 0, 1), 6, if(ISBLANK('2025'!$T360), 0, 1), 7, 0))), 1, "")</f>
        <v/>
      </c>
      <c r="BA362" s="1" t="str">
        <f>IF(AND(AND(AND(BA$4&gt;='2025'!$L360,BA$4&lt;='2025'!$M360), BA$4&lt;&gt;DATE(2025,7,4)), (SWITCH(weekday(BA$4), 1, 0, 2, if(ISBLANK('2025'!$P360), 0, 1), 3, if(ISBLANK('2025'!$Q360), 0, 1), 4, if(ISBLANK('2025'!$R360), 0, 1), 5, if(ISBLANK('2025'!$S360), 0, 1), 6, if(ISBLANK('2025'!$T360), 0, 1), 7, 0))), 1, "")</f>
        <v/>
      </c>
      <c r="BB362" s="1" t="str">
        <f>IF(AND(AND(AND(BB$4&gt;='2025'!$L360,BB$4&lt;='2025'!$M360), BB$4&lt;&gt;DATE(2025,7,4)), (SWITCH(weekday(BB$4), 1, 0, 2, if(ISBLANK('2025'!$P360), 0, 1), 3, if(ISBLANK('2025'!$Q360), 0, 1), 4, if(ISBLANK('2025'!$R360), 0, 1), 5, if(ISBLANK('2025'!$S360), 0, 1), 6, if(ISBLANK('2025'!$T360), 0, 1), 7, 0))), 1, "")</f>
        <v/>
      </c>
      <c r="BC362" s="1" t="str">
        <f>IF(AND(AND(AND(BC$4&gt;='2025'!$L360,BC$4&lt;='2025'!$M360), BC$4&lt;&gt;DATE(2025,7,4)), (SWITCH(weekday(BC$4), 1, 0, 2, if(ISBLANK('2025'!$P360), 0, 1), 3, if(ISBLANK('2025'!$Q360), 0, 1), 4, if(ISBLANK('2025'!$R360), 0, 1), 5, if(ISBLANK('2025'!$S360), 0, 1), 6, if(ISBLANK('2025'!$T360), 0, 1), 7, 0))), 1, "")</f>
        <v/>
      </c>
      <c r="BD362" s="1" t="str">
        <f>IF(AND(AND(AND(BD$4&gt;='2025'!$L360,BD$4&lt;='2025'!$M360), BD$4&lt;&gt;DATE(2025,7,4)), (SWITCH(weekday(BD$4), 1, 0, 2, if(ISBLANK('2025'!$P360), 0, 1), 3, if(ISBLANK('2025'!$Q360), 0, 1), 4, if(ISBLANK('2025'!$R360), 0, 1), 5, if(ISBLANK('2025'!$S360), 0, 1), 6, if(ISBLANK('2025'!$T360), 0, 1), 7, 0))), 1, "")</f>
        <v/>
      </c>
      <c r="BE362" s="1" t="str">
        <f>IF(AND(AND(AND(BE$4&gt;='2025'!$L360,BE$4&lt;='2025'!$M360), BE$4&lt;&gt;DATE(2025,7,4)), (SWITCH(weekday(BE$4), 1, 0, 2, if(ISBLANK('2025'!$P360), 0, 1), 3, if(ISBLANK('2025'!$Q360), 0, 1), 4, if(ISBLANK('2025'!$R360), 0, 1), 5, if(ISBLANK('2025'!$S360), 0, 1), 6, if(ISBLANK('2025'!$T360), 0, 1), 7, 0))), 1, "")</f>
        <v/>
      </c>
      <c r="BF362" s="1" t="str">
        <f>IF(AND(AND(AND(BF$4&gt;='2025'!$L360,BF$4&lt;='2025'!$M360), BF$4&lt;&gt;DATE(2025,7,4)), (SWITCH(weekday(BF$4), 1, 0, 2, if(ISBLANK('2025'!$P360), 0, 1), 3, if(ISBLANK('2025'!$Q360), 0, 1), 4, if(ISBLANK('2025'!$R360), 0, 1), 5, if(ISBLANK('2025'!$S360), 0, 1), 6, if(ISBLANK('2025'!$T360), 0, 1), 7, 0))), 1, "")</f>
        <v/>
      </c>
      <c r="BG362" s="1"/>
      <c r="BH362" s="1"/>
      <c r="BI362" s="1"/>
      <c r="BJ362" s="1"/>
      <c r="BK362" s="1"/>
      <c r="BL362" s="1"/>
    </row>
    <row r="363">
      <c r="A363" s="1">
        <f t="shared" si="3"/>
        <v>363</v>
      </c>
      <c r="B363" s="1" t="str">
        <f>'2025'!D327</f>
        <v>, </v>
      </c>
      <c r="C363" s="1" t="str">
        <f>'2025'!H327</f>
        <v/>
      </c>
      <c r="D363" s="1" t="str">
        <f>IF(AND(AND(AND(D$4&gt;='2025'!$L361,D$4&lt;='2025'!$M361), D$4&lt;&gt;DATE(2025,7,4)), (SWITCH(weekday(D$4), 1, 0, 2, if(ISBLANK('2025'!$P361), 0, 1), 3, if(ISBLANK('2025'!$Q361), 0, 1), 4, if(ISBLANK('2025'!$R361), 0, 1), 5, if(ISBLANK('2025'!$S361), 0, 1), 6, if(ISBLANK('2025'!$T361), 0, 1), 7, 0))), 1, "")</f>
        <v/>
      </c>
      <c r="E363" s="1" t="str">
        <f>IF(AND(AND(AND(E$4&gt;='2025'!$L361,E$4&lt;='2025'!$M361), E$4&lt;&gt;DATE(2025,7,4)), (SWITCH(weekday(E$4), 1, 0, 2, if(ISBLANK('2025'!$P361), 0, 1), 3, if(ISBLANK('2025'!$Q361), 0, 1), 4, if(ISBLANK('2025'!$R361), 0, 1), 5, if(ISBLANK('2025'!$S361), 0, 1), 6, if(ISBLANK('2025'!$T361), 0, 1), 7, 0))), 1, "")</f>
        <v/>
      </c>
      <c r="F363" s="1" t="str">
        <f>IF(AND(AND(AND(F$4&gt;='2025'!$L361,F$4&lt;='2025'!$M361), F$4&lt;&gt;DATE(2025,7,4)), (SWITCH(weekday(F$4), 1, 0, 2, if(ISBLANK('2025'!$P361), 0, 1), 3, if(ISBLANK('2025'!$Q361), 0, 1), 4, if(ISBLANK('2025'!$R361), 0, 1), 5, if(ISBLANK('2025'!$S361), 0, 1), 6, if(ISBLANK('2025'!$T361), 0, 1), 7, 0))), 1, "")</f>
        <v/>
      </c>
      <c r="G363" s="1" t="str">
        <f>IF(AND(AND(AND(G$4&gt;='2025'!$L361,G$4&lt;='2025'!$M361), G$4&lt;&gt;DATE(2025,7,4)), (SWITCH(weekday(G$4), 1, 0, 2, if(ISBLANK('2025'!$P361), 0, 1), 3, if(ISBLANK('2025'!$Q361), 0, 1), 4, if(ISBLANK('2025'!$R361), 0, 1), 5, if(ISBLANK('2025'!$S361), 0, 1), 6, if(ISBLANK('2025'!$T361), 0, 1), 7, 0))), 1, "")</f>
        <v/>
      </c>
      <c r="H363" s="1" t="str">
        <f>IF(AND(AND(AND(H$4&gt;='2025'!$L361,H$4&lt;='2025'!$M361), H$4&lt;&gt;DATE(2025,7,4)), (SWITCH(weekday(H$4), 1, 0, 2, if(ISBLANK('2025'!$P361), 0, 1), 3, if(ISBLANK('2025'!$Q361), 0, 1), 4, if(ISBLANK('2025'!$R361), 0, 1), 5, if(ISBLANK('2025'!$S361), 0, 1), 6, if(ISBLANK('2025'!$T361), 0, 1), 7, 0))), 1, "")</f>
        <v/>
      </c>
      <c r="I363" s="1" t="str">
        <f>IF(AND(AND(AND(I$4&gt;='2025'!$L361,I$4&lt;='2025'!$M361), I$4&lt;&gt;DATE(2025,7,4)), (SWITCH(weekday(I$4), 1, 0, 2, if(ISBLANK('2025'!$P361), 0, 1), 3, if(ISBLANK('2025'!$Q361), 0, 1), 4, if(ISBLANK('2025'!$R361), 0, 1), 5, if(ISBLANK('2025'!$S361), 0, 1), 6, if(ISBLANK('2025'!$T361), 0, 1), 7, 0))), 1, "")</f>
        <v/>
      </c>
      <c r="J363" s="1" t="str">
        <f>IF(AND(AND(AND(J$4&gt;='2025'!$L361,J$4&lt;='2025'!$M361), J$4&lt;&gt;DATE(2025,7,4)), (SWITCH(weekday(J$4), 1, 0, 2, if(ISBLANK('2025'!$P361), 0, 1), 3, if(ISBLANK('2025'!$Q361), 0, 1), 4, if(ISBLANK('2025'!$R361), 0, 1), 5, if(ISBLANK('2025'!$S361), 0, 1), 6, if(ISBLANK('2025'!$T361), 0, 1), 7, 0))), 1, "")</f>
        <v/>
      </c>
      <c r="K363" s="1" t="str">
        <f>IF(AND(AND(AND(K$4&gt;='2025'!$L361,K$4&lt;='2025'!$M361), K$4&lt;&gt;DATE(2025,7,4)), (SWITCH(weekday(K$4), 1, 0, 2, if(ISBLANK('2025'!$P361), 0, 1), 3, if(ISBLANK('2025'!$Q361), 0, 1), 4, if(ISBLANK('2025'!$R361), 0, 1), 5, if(ISBLANK('2025'!$S361), 0, 1), 6, if(ISBLANK('2025'!$T361), 0, 1), 7, 0))), 1, "")</f>
        <v/>
      </c>
      <c r="L363" s="1" t="str">
        <f>IF(AND(AND(AND(L$4&gt;='2025'!$L361,L$4&lt;='2025'!$M361), L$4&lt;&gt;DATE(2025,7,4)), (SWITCH(weekday(L$4), 1, 0, 2, if(ISBLANK('2025'!$P361), 0, 1), 3, if(ISBLANK('2025'!$Q361), 0, 1), 4, if(ISBLANK('2025'!$R361), 0, 1), 5, if(ISBLANK('2025'!$S361), 0, 1), 6, if(ISBLANK('2025'!$T361), 0, 1), 7, 0))), 1, "")</f>
        <v/>
      </c>
      <c r="M363" s="1" t="str">
        <f>IF(AND(AND(AND(M$4&gt;='2025'!$L361,M$4&lt;='2025'!$M361), M$4&lt;&gt;DATE(2025,7,4)), (SWITCH(weekday(M$4), 1, 0, 2, if(ISBLANK('2025'!$P361), 0, 1), 3, if(ISBLANK('2025'!$Q361), 0, 1), 4, if(ISBLANK('2025'!$R361), 0, 1), 5, if(ISBLANK('2025'!$S361), 0, 1), 6, if(ISBLANK('2025'!$T361), 0, 1), 7, 0))), 1, "")</f>
        <v/>
      </c>
      <c r="N363" s="1" t="str">
        <f>IF(AND(AND(AND(N$4&gt;='2025'!$L361,N$4&lt;='2025'!$M361), N$4&lt;&gt;DATE(2025,7,4)), (SWITCH(weekday(N$4), 1, 0, 2, if(ISBLANK('2025'!$P361), 0, 1), 3, if(ISBLANK('2025'!$Q361), 0, 1), 4, if(ISBLANK('2025'!$R361), 0, 1), 5, if(ISBLANK('2025'!$S361), 0, 1), 6, if(ISBLANK('2025'!$T361), 0, 1), 7, 0))), 1, "")</f>
        <v/>
      </c>
      <c r="O363" s="1" t="str">
        <f>IF(AND(AND(AND(O$4&gt;='2025'!$L361,O$4&lt;='2025'!$M361), O$4&lt;&gt;DATE(2025,7,4)), (SWITCH(weekday(O$4), 1, 0, 2, if(ISBLANK('2025'!$P361), 0, 1), 3, if(ISBLANK('2025'!$Q361), 0, 1), 4, if(ISBLANK('2025'!$R361), 0, 1), 5, if(ISBLANK('2025'!$S361), 0, 1), 6, if(ISBLANK('2025'!$T361), 0, 1), 7, 0))), 1, "")</f>
        <v/>
      </c>
      <c r="P363" s="1" t="str">
        <f>IF(AND(AND(AND(P$4&gt;='2025'!$L361,P$4&lt;='2025'!$M361), P$4&lt;&gt;DATE(2025,7,4)), (SWITCH(weekday(P$4), 1, 0, 2, if(ISBLANK('2025'!$P361), 0, 1), 3, if(ISBLANK('2025'!$Q361), 0, 1), 4, if(ISBLANK('2025'!$R361), 0, 1), 5, if(ISBLANK('2025'!$S361), 0, 1), 6, if(ISBLANK('2025'!$T361), 0, 1), 7, 0))), 1, "")</f>
        <v/>
      </c>
      <c r="Q363" s="1" t="str">
        <f>IF(AND(AND(AND(Q$4&gt;='2025'!$L361,Q$4&lt;='2025'!$M361), Q$4&lt;&gt;DATE(2025,7,4)), (SWITCH(weekday(Q$4), 1, 0, 2, if(ISBLANK('2025'!$P361), 0, 1), 3, if(ISBLANK('2025'!$Q361), 0, 1), 4, if(ISBLANK('2025'!$R361), 0, 1), 5, if(ISBLANK('2025'!$S361), 0, 1), 6, if(ISBLANK('2025'!$T361), 0, 1), 7, 0))), 1, "")</f>
        <v/>
      </c>
      <c r="R363" s="1" t="str">
        <f>IF(AND(AND(AND(R$4&gt;='2025'!$L361,R$4&lt;='2025'!$M361), R$4&lt;&gt;DATE(2025,7,4)), (SWITCH(weekday(R$4), 1, 0, 2, if(ISBLANK('2025'!$P361), 0, 1), 3, if(ISBLANK('2025'!$Q361), 0, 1), 4, if(ISBLANK('2025'!$R361), 0, 1), 5, if(ISBLANK('2025'!$S361), 0, 1), 6, if(ISBLANK('2025'!$T361), 0, 1), 7, 0))), 1, "")</f>
        <v/>
      </c>
      <c r="S363" s="1" t="str">
        <f>IF(AND(AND(AND(S$4&gt;='2025'!$L361,S$4&lt;='2025'!$M361), S$4&lt;&gt;DATE(2025,7,4)), (SWITCH(weekday(S$4), 1, 0, 2, if(ISBLANK('2025'!$P361), 0, 1), 3, if(ISBLANK('2025'!$Q361), 0, 1), 4, if(ISBLANK('2025'!$R361), 0, 1), 5, if(ISBLANK('2025'!$S361), 0, 1), 6, if(ISBLANK('2025'!$T361), 0, 1), 7, 0))), 1, "")</f>
        <v/>
      </c>
      <c r="T363" s="1" t="str">
        <f>IF(AND(AND(AND(T$4&gt;='2025'!$L361,T$4&lt;='2025'!$M361), T$4&lt;&gt;DATE(2025,7,4)), (SWITCH(weekday(T$4), 1, 0, 2, if(ISBLANK('2025'!$P361), 0, 1), 3, if(ISBLANK('2025'!$Q361), 0, 1), 4, if(ISBLANK('2025'!$R361), 0, 1), 5, if(ISBLANK('2025'!$S361), 0, 1), 6, if(ISBLANK('2025'!$T361), 0, 1), 7, 0))), 1, "")</f>
        <v/>
      </c>
      <c r="U363" s="1" t="str">
        <f>IF(AND(AND(AND(U$4&gt;='2025'!$L361,U$4&lt;='2025'!$M361), U$4&lt;&gt;DATE(2025,7,4)), (SWITCH(weekday(U$4), 1, 0, 2, if(ISBLANK('2025'!$P361), 0, 1), 3, if(ISBLANK('2025'!$Q361), 0, 1), 4, if(ISBLANK('2025'!$R361), 0, 1), 5, if(ISBLANK('2025'!$S361), 0, 1), 6, if(ISBLANK('2025'!$T361), 0, 1), 7, 0))), 1, "")</f>
        <v/>
      </c>
      <c r="V363" s="1" t="str">
        <f>IF(AND(AND(AND(V$4&gt;='2025'!$L361,V$4&lt;='2025'!$M361), V$4&lt;&gt;DATE(2025,7,4)), (SWITCH(weekday(V$4), 1, 0, 2, if(ISBLANK('2025'!$P361), 0, 1), 3, if(ISBLANK('2025'!$Q361), 0, 1), 4, if(ISBLANK('2025'!$R361), 0, 1), 5, if(ISBLANK('2025'!$S361), 0, 1), 6, if(ISBLANK('2025'!$T361), 0, 1), 7, 0))), 1, "")</f>
        <v/>
      </c>
      <c r="W363" s="1" t="str">
        <f>IF(AND(AND(AND(W$4&gt;='2025'!$L361,W$4&lt;='2025'!$M361), W$4&lt;&gt;DATE(2025,7,4)), (SWITCH(weekday(W$4), 1, 0, 2, if(ISBLANK('2025'!$P361), 0, 1), 3, if(ISBLANK('2025'!$Q361), 0, 1), 4, if(ISBLANK('2025'!$R361), 0, 1), 5, if(ISBLANK('2025'!$S361), 0, 1), 6, if(ISBLANK('2025'!$T361), 0, 1), 7, 0))), 1, "")</f>
        <v/>
      </c>
      <c r="X363" s="1" t="str">
        <f>IF(AND(AND(AND(X$4&gt;='2025'!$L361,X$4&lt;='2025'!$M361), X$4&lt;&gt;DATE(2025,7,4)), (SWITCH(weekday(X$4), 1, 0, 2, if(ISBLANK('2025'!$P361), 0, 1), 3, if(ISBLANK('2025'!$Q361), 0, 1), 4, if(ISBLANK('2025'!$R361), 0, 1), 5, if(ISBLANK('2025'!$S361), 0, 1), 6, if(ISBLANK('2025'!$T361), 0, 1), 7, 0))), 1, "")</f>
        <v/>
      </c>
      <c r="Y363" s="1" t="str">
        <f>IF(AND(AND(AND(Y$4&gt;='2025'!$L361,Y$4&lt;='2025'!$M361), Y$4&lt;&gt;DATE(2025,7,4)), (SWITCH(weekday(Y$4), 1, 0, 2, if(ISBLANK('2025'!$P361), 0, 1), 3, if(ISBLANK('2025'!$Q361), 0, 1), 4, if(ISBLANK('2025'!$R361), 0, 1), 5, if(ISBLANK('2025'!$S361), 0, 1), 6, if(ISBLANK('2025'!$T361), 0, 1), 7, 0))), 1, "")</f>
        <v/>
      </c>
      <c r="Z363" s="1" t="str">
        <f>IF(AND(AND(AND(Z$4&gt;='2025'!$L361,Z$4&lt;='2025'!$M361), Z$4&lt;&gt;DATE(2025,7,4)), (SWITCH(weekday(Z$4), 1, 0, 2, if(ISBLANK('2025'!$P361), 0, 1), 3, if(ISBLANK('2025'!$Q361), 0, 1), 4, if(ISBLANK('2025'!$R361), 0, 1), 5, if(ISBLANK('2025'!$S361), 0, 1), 6, if(ISBLANK('2025'!$T361), 0, 1), 7, 0))), 1, "")</f>
        <v/>
      </c>
      <c r="AA363" s="1" t="str">
        <f>IF(AND(AND(AND(AA$4&gt;='2025'!$L361,AA$4&lt;='2025'!$M361), AA$4&lt;&gt;DATE(2025,7,4)), (SWITCH(weekday(AA$4), 1, 0, 2, if(ISBLANK('2025'!$P361), 0, 1), 3, if(ISBLANK('2025'!$Q361), 0, 1), 4, if(ISBLANK('2025'!$R361), 0, 1), 5, if(ISBLANK('2025'!$S361), 0, 1), 6, if(ISBLANK('2025'!$T361), 0, 1), 7, 0))), 1, "")</f>
        <v/>
      </c>
      <c r="AB363" s="1" t="str">
        <f>IF(AND(AND(AND(AB$4&gt;='2025'!$L361,AB$4&lt;='2025'!$M361), AB$4&lt;&gt;DATE(2025,7,4)), (SWITCH(weekday(AB$4), 1, 0, 2, if(ISBLANK('2025'!$P361), 0, 1), 3, if(ISBLANK('2025'!$Q361), 0, 1), 4, if(ISBLANK('2025'!$R361), 0, 1), 5, if(ISBLANK('2025'!$S361), 0, 1), 6, if(ISBLANK('2025'!$T361), 0, 1), 7, 0))), 1, "")</f>
        <v/>
      </c>
      <c r="AC363" s="1" t="str">
        <f>IF(AND(AND(AND(AC$4&gt;='2025'!$L361,AC$4&lt;='2025'!$M361), AC$4&lt;&gt;DATE(2025,7,4)), (SWITCH(weekday(AC$4), 1, 0, 2, if(ISBLANK('2025'!$P361), 0, 1), 3, if(ISBLANK('2025'!$Q361), 0, 1), 4, if(ISBLANK('2025'!$R361), 0, 1), 5, if(ISBLANK('2025'!$S361), 0, 1), 6, if(ISBLANK('2025'!$T361), 0, 1), 7, 0))), 1, "")</f>
        <v/>
      </c>
      <c r="AD363" s="1" t="str">
        <f>IF(AND(AND(AND(AD$4&gt;='2025'!$L361,AD$4&lt;='2025'!$M361), AD$4&lt;&gt;DATE(2025,7,4)), (SWITCH(weekday(AD$4), 1, 0, 2, if(ISBLANK('2025'!$P361), 0, 1), 3, if(ISBLANK('2025'!$Q361), 0, 1), 4, if(ISBLANK('2025'!$R361), 0, 1), 5, if(ISBLANK('2025'!$S361), 0, 1), 6, if(ISBLANK('2025'!$T361), 0, 1), 7, 0))), 1, "")</f>
        <v/>
      </c>
      <c r="AE363" s="1" t="str">
        <f>IF(AND(AND(AND(AE$4&gt;='2025'!$L361,AE$4&lt;='2025'!$M361), AE$4&lt;&gt;DATE(2025,7,4)), (SWITCH(weekday(AE$4), 1, 0, 2, if(ISBLANK('2025'!$P361), 0, 1), 3, if(ISBLANK('2025'!$Q361), 0, 1), 4, if(ISBLANK('2025'!$R361), 0, 1), 5, if(ISBLANK('2025'!$S361), 0, 1), 6, if(ISBLANK('2025'!$T361), 0, 1), 7, 0))), 1, "")</f>
        <v/>
      </c>
      <c r="AF363" s="1" t="str">
        <f>IF(AND(AND(AND(AF$4&gt;='2025'!$L361,AF$4&lt;='2025'!$M361), AF$4&lt;&gt;DATE(2025,7,4)), (SWITCH(weekday(AF$4), 1, 0, 2, if(ISBLANK('2025'!$P361), 0, 1), 3, if(ISBLANK('2025'!$Q361), 0, 1), 4, if(ISBLANK('2025'!$R361), 0, 1), 5, if(ISBLANK('2025'!$S361), 0, 1), 6, if(ISBLANK('2025'!$T361), 0, 1), 7, 0))), 1, "")</f>
        <v/>
      </c>
      <c r="AG363" s="1" t="str">
        <f>IF(AND(AND(AND(AG$4&gt;='2025'!$L361,AG$4&lt;='2025'!$M361), AG$4&lt;&gt;DATE(2025,7,4)), (SWITCH(weekday(AG$4), 1, 0, 2, if(ISBLANK('2025'!$P361), 0, 1), 3, if(ISBLANK('2025'!$Q361), 0, 1), 4, if(ISBLANK('2025'!$R361), 0, 1), 5, if(ISBLANK('2025'!$S361), 0, 1), 6, if(ISBLANK('2025'!$T361), 0, 1), 7, 0))), 1, "")</f>
        <v/>
      </c>
      <c r="AH363" s="1" t="str">
        <f>IF(AND(AND(AND(AH$4&gt;='2025'!$L361,AH$4&lt;='2025'!$M361), AH$4&lt;&gt;DATE(2025,7,4)), (SWITCH(weekday(AH$4), 1, 0, 2, if(ISBLANK('2025'!$P361), 0, 1), 3, if(ISBLANK('2025'!$Q361), 0, 1), 4, if(ISBLANK('2025'!$R361), 0, 1), 5, if(ISBLANK('2025'!$S361), 0, 1), 6, if(ISBLANK('2025'!$T361), 0, 1), 7, 0))), 1, "")</f>
        <v/>
      </c>
      <c r="AI363" s="1" t="str">
        <f>IF(AND(AND(AND(AI$4&gt;='2025'!$L361,AI$4&lt;='2025'!$M361), AI$4&lt;&gt;DATE(2025,7,4)), (SWITCH(weekday(AI$4), 1, 0, 2, if(ISBLANK('2025'!$P361), 0, 1), 3, if(ISBLANK('2025'!$Q361), 0, 1), 4, if(ISBLANK('2025'!$R361), 0, 1), 5, if(ISBLANK('2025'!$S361), 0, 1), 6, if(ISBLANK('2025'!$T361), 0, 1), 7, 0))), 1, "")</f>
        <v/>
      </c>
      <c r="AJ363" s="1" t="str">
        <f>IF(AND(AND(AND(AJ$4&gt;='2025'!$L361,AJ$4&lt;='2025'!$M361), AJ$4&lt;&gt;DATE(2025,7,4)), (SWITCH(weekday(AJ$4), 1, 0, 2, if(ISBLANK('2025'!$P361), 0, 1), 3, if(ISBLANK('2025'!$Q361), 0, 1), 4, if(ISBLANK('2025'!$R361), 0, 1), 5, if(ISBLANK('2025'!$S361), 0, 1), 6, if(ISBLANK('2025'!$T361), 0, 1), 7, 0))), 1, "")</f>
        <v/>
      </c>
      <c r="AK363" s="1" t="str">
        <f>IF(AND(AND(AND(AK$4&gt;='2025'!$L361,AK$4&lt;='2025'!$M361), AK$4&lt;&gt;DATE(2025,7,4)), (SWITCH(weekday(AK$4), 1, 0, 2, if(ISBLANK('2025'!$P361), 0, 1), 3, if(ISBLANK('2025'!$Q361), 0, 1), 4, if(ISBLANK('2025'!$R361), 0, 1), 5, if(ISBLANK('2025'!$S361), 0, 1), 6, if(ISBLANK('2025'!$T361), 0, 1), 7, 0))), 1, "")</f>
        <v/>
      </c>
      <c r="AL363" s="1" t="str">
        <f>IF(AND(AND(AND(AL$4&gt;='2025'!$L361,AL$4&lt;='2025'!$M361), AL$4&lt;&gt;DATE(2025,7,4)), (SWITCH(weekday(AL$4), 1, 0, 2, if(ISBLANK('2025'!$P361), 0, 1), 3, if(ISBLANK('2025'!$Q361), 0, 1), 4, if(ISBLANK('2025'!$R361), 0, 1), 5, if(ISBLANK('2025'!$S361), 0, 1), 6, if(ISBLANK('2025'!$T361), 0, 1), 7, 0))), 1, "")</f>
        <v/>
      </c>
      <c r="AM363" s="1" t="str">
        <f>IF(AND(AND(AND(AM$4&gt;='2025'!$L361,AM$4&lt;='2025'!$M361), AM$4&lt;&gt;DATE(2025,7,4)), (SWITCH(weekday(AM$4), 1, 0, 2, if(ISBLANK('2025'!$P361), 0, 1), 3, if(ISBLANK('2025'!$Q361), 0, 1), 4, if(ISBLANK('2025'!$R361), 0, 1), 5, if(ISBLANK('2025'!$S361), 0, 1), 6, if(ISBLANK('2025'!$T361), 0, 1), 7, 0))), 1, "")</f>
        <v/>
      </c>
      <c r="AN363" s="1" t="str">
        <f>IF(AND(AND(AND(AN$4&gt;='2025'!$L361,AN$4&lt;='2025'!$M361), AN$4&lt;&gt;DATE(2025,7,4)), (SWITCH(weekday(AN$4), 1, 0, 2, if(ISBLANK('2025'!$P361), 0, 1), 3, if(ISBLANK('2025'!$Q361), 0, 1), 4, if(ISBLANK('2025'!$R361), 0, 1), 5, if(ISBLANK('2025'!$S361), 0, 1), 6, if(ISBLANK('2025'!$T361), 0, 1), 7, 0))), 1, "")</f>
        <v/>
      </c>
      <c r="AO363" s="1" t="str">
        <f>IF(AND(AND(AND(AO$4&gt;='2025'!$L361,AO$4&lt;='2025'!$M361), AO$4&lt;&gt;DATE(2025,7,4)), (SWITCH(weekday(AO$4), 1, 0, 2, if(ISBLANK('2025'!$P361), 0, 1), 3, if(ISBLANK('2025'!$Q361), 0, 1), 4, if(ISBLANK('2025'!$R361), 0, 1), 5, if(ISBLANK('2025'!$S361), 0, 1), 6, if(ISBLANK('2025'!$T361), 0, 1), 7, 0))), 1, "")</f>
        <v/>
      </c>
      <c r="AP363" s="1" t="str">
        <f>IF(AND(AND(AND(AP$4&gt;='2025'!$L361,AP$4&lt;='2025'!$M361), AP$4&lt;&gt;DATE(2025,7,4)), (SWITCH(weekday(AP$4), 1, 0, 2, if(ISBLANK('2025'!$P361), 0, 1), 3, if(ISBLANK('2025'!$Q361), 0, 1), 4, if(ISBLANK('2025'!$R361), 0, 1), 5, if(ISBLANK('2025'!$S361), 0, 1), 6, if(ISBLANK('2025'!$T361), 0, 1), 7, 0))), 1, "")</f>
        <v/>
      </c>
      <c r="AQ363" s="1" t="str">
        <f>IF(AND(AND(AND(AQ$4&gt;='2025'!$L361,AQ$4&lt;='2025'!$M361), AQ$4&lt;&gt;DATE(2025,7,4)), (SWITCH(weekday(AQ$4), 1, 0, 2, if(ISBLANK('2025'!$P361), 0, 1), 3, if(ISBLANK('2025'!$Q361), 0, 1), 4, if(ISBLANK('2025'!$R361), 0, 1), 5, if(ISBLANK('2025'!$S361), 0, 1), 6, if(ISBLANK('2025'!$T361), 0, 1), 7, 0))), 1, "")</f>
        <v/>
      </c>
      <c r="AR363" s="1" t="str">
        <f>IF(AND(AND(AND(AR$4&gt;='2025'!$L361,AR$4&lt;='2025'!$M361), AR$4&lt;&gt;DATE(2025,7,4)), (SWITCH(weekday(AR$4), 1, 0, 2, if(ISBLANK('2025'!$P361), 0, 1), 3, if(ISBLANK('2025'!$Q361), 0, 1), 4, if(ISBLANK('2025'!$R361), 0, 1), 5, if(ISBLANK('2025'!$S361), 0, 1), 6, if(ISBLANK('2025'!$T361), 0, 1), 7, 0))), 1, "")</f>
        <v/>
      </c>
      <c r="AS363" s="1" t="str">
        <f>IF(AND(AND(AND(AS$4&gt;='2025'!$L361,AS$4&lt;='2025'!$M361), AS$4&lt;&gt;DATE(2025,7,4)), (SWITCH(weekday(AS$4), 1, 0, 2, if(ISBLANK('2025'!$P361), 0, 1), 3, if(ISBLANK('2025'!$Q361), 0, 1), 4, if(ISBLANK('2025'!$R361), 0, 1), 5, if(ISBLANK('2025'!$S361), 0, 1), 6, if(ISBLANK('2025'!$T361), 0, 1), 7, 0))), 1, "")</f>
        <v/>
      </c>
      <c r="AT363" s="1" t="str">
        <f>IF(AND(AND(AND(AT$4&gt;='2025'!$L361,AT$4&lt;='2025'!$M361), AT$4&lt;&gt;DATE(2025,7,4)), (SWITCH(weekday(AT$4), 1, 0, 2, if(ISBLANK('2025'!$P361), 0, 1), 3, if(ISBLANK('2025'!$Q361), 0, 1), 4, if(ISBLANK('2025'!$R361), 0, 1), 5, if(ISBLANK('2025'!$S361), 0, 1), 6, if(ISBLANK('2025'!$T361), 0, 1), 7, 0))), 1, "")</f>
        <v/>
      </c>
      <c r="AU363" s="1" t="str">
        <f>IF(AND(AND(AND(AU$4&gt;='2025'!$L361,AU$4&lt;='2025'!$M361), AU$4&lt;&gt;DATE(2025,7,4)), (SWITCH(weekday(AU$4), 1, 0, 2, if(ISBLANK('2025'!$P361), 0, 1), 3, if(ISBLANK('2025'!$Q361), 0, 1), 4, if(ISBLANK('2025'!$R361), 0, 1), 5, if(ISBLANK('2025'!$S361), 0, 1), 6, if(ISBLANK('2025'!$T361), 0, 1), 7, 0))), 1, "")</f>
        <v/>
      </c>
      <c r="AV363" s="1" t="str">
        <f>IF(AND(AND(AND(AV$4&gt;='2025'!$L361,AV$4&lt;='2025'!$M361), AV$4&lt;&gt;DATE(2025,7,4)), (SWITCH(weekday(AV$4), 1, 0, 2, if(ISBLANK('2025'!$P361), 0, 1), 3, if(ISBLANK('2025'!$Q361), 0, 1), 4, if(ISBLANK('2025'!$R361), 0, 1), 5, if(ISBLANK('2025'!$S361), 0, 1), 6, if(ISBLANK('2025'!$T361), 0, 1), 7, 0))), 1, "")</f>
        <v/>
      </c>
      <c r="AW363" s="1" t="str">
        <f>IF(AND(AND(AND(AW$4&gt;='2025'!$L361,AW$4&lt;='2025'!$M361), AW$4&lt;&gt;DATE(2025,7,4)), (SWITCH(weekday(AW$4), 1, 0, 2, if(ISBLANK('2025'!$P361), 0, 1), 3, if(ISBLANK('2025'!$Q361), 0, 1), 4, if(ISBLANK('2025'!$R361), 0, 1), 5, if(ISBLANK('2025'!$S361), 0, 1), 6, if(ISBLANK('2025'!$T361), 0, 1), 7, 0))), 1, "")</f>
        <v/>
      </c>
      <c r="AX363" s="1" t="str">
        <f>IF(AND(AND(AND(AX$4&gt;='2025'!$L361,AX$4&lt;='2025'!$M361), AX$4&lt;&gt;DATE(2025,7,4)), (SWITCH(weekday(AX$4), 1, 0, 2, if(ISBLANK('2025'!$P361), 0, 1), 3, if(ISBLANK('2025'!$Q361), 0, 1), 4, if(ISBLANK('2025'!$R361), 0, 1), 5, if(ISBLANK('2025'!$S361), 0, 1), 6, if(ISBLANK('2025'!$T361), 0, 1), 7, 0))), 1, "")</f>
        <v/>
      </c>
      <c r="AY363" s="1" t="str">
        <f>IF(AND(AND(AND(AY$4&gt;='2025'!$L361,AY$4&lt;='2025'!$M361), AY$4&lt;&gt;DATE(2025,7,4)), (SWITCH(weekday(AY$4), 1, 0, 2, if(ISBLANK('2025'!$P361), 0, 1), 3, if(ISBLANK('2025'!$Q361), 0, 1), 4, if(ISBLANK('2025'!$R361), 0, 1), 5, if(ISBLANK('2025'!$S361), 0, 1), 6, if(ISBLANK('2025'!$T361), 0, 1), 7, 0))), 1, "")</f>
        <v/>
      </c>
      <c r="AZ363" s="1" t="str">
        <f>IF(AND(AND(AND(AZ$4&gt;='2025'!$L361,AZ$4&lt;='2025'!$M361), AZ$4&lt;&gt;DATE(2025,7,4)), (SWITCH(weekday(AZ$4), 1, 0, 2, if(ISBLANK('2025'!$P361), 0, 1), 3, if(ISBLANK('2025'!$Q361), 0, 1), 4, if(ISBLANK('2025'!$R361), 0, 1), 5, if(ISBLANK('2025'!$S361), 0, 1), 6, if(ISBLANK('2025'!$T361), 0, 1), 7, 0))), 1, "")</f>
        <v/>
      </c>
      <c r="BA363" s="1" t="str">
        <f>IF(AND(AND(AND(BA$4&gt;='2025'!$L361,BA$4&lt;='2025'!$M361), BA$4&lt;&gt;DATE(2025,7,4)), (SWITCH(weekday(BA$4), 1, 0, 2, if(ISBLANK('2025'!$P361), 0, 1), 3, if(ISBLANK('2025'!$Q361), 0, 1), 4, if(ISBLANK('2025'!$R361), 0, 1), 5, if(ISBLANK('2025'!$S361), 0, 1), 6, if(ISBLANK('2025'!$T361), 0, 1), 7, 0))), 1, "")</f>
        <v/>
      </c>
      <c r="BB363" s="1" t="str">
        <f>IF(AND(AND(AND(BB$4&gt;='2025'!$L361,BB$4&lt;='2025'!$M361), BB$4&lt;&gt;DATE(2025,7,4)), (SWITCH(weekday(BB$4), 1, 0, 2, if(ISBLANK('2025'!$P361), 0, 1), 3, if(ISBLANK('2025'!$Q361), 0, 1), 4, if(ISBLANK('2025'!$R361), 0, 1), 5, if(ISBLANK('2025'!$S361), 0, 1), 6, if(ISBLANK('2025'!$T361), 0, 1), 7, 0))), 1, "")</f>
        <v/>
      </c>
      <c r="BC363" s="1" t="str">
        <f>IF(AND(AND(AND(BC$4&gt;='2025'!$L361,BC$4&lt;='2025'!$M361), BC$4&lt;&gt;DATE(2025,7,4)), (SWITCH(weekday(BC$4), 1, 0, 2, if(ISBLANK('2025'!$P361), 0, 1), 3, if(ISBLANK('2025'!$Q361), 0, 1), 4, if(ISBLANK('2025'!$R361), 0, 1), 5, if(ISBLANK('2025'!$S361), 0, 1), 6, if(ISBLANK('2025'!$T361), 0, 1), 7, 0))), 1, "")</f>
        <v/>
      </c>
      <c r="BD363" s="1" t="str">
        <f>IF(AND(AND(AND(BD$4&gt;='2025'!$L361,BD$4&lt;='2025'!$M361), BD$4&lt;&gt;DATE(2025,7,4)), (SWITCH(weekday(BD$4), 1, 0, 2, if(ISBLANK('2025'!$P361), 0, 1), 3, if(ISBLANK('2025'!$Q361), 0, 1), 4, if(ISBLANK('2025'!$R361), 0, 1), 5, if(ISBLANK('2025'!$S361), 0, 1), 6, if(ISBLANK('2025'!$T361), 0, 1), 7, 0))), 1, "")</f>
        <v/>
      </c>
      <c r="BE363" s="1" t="str">
        <f>IF(AND(AND(AND(BE$4&gt;='2025'!$L361,BE$4&lt;='2025'!$M361), BE$4&lt;&gt;DATE(2025,7,4)), (SWITCH(weekday(BE$4), 1, 0, 2, if(ISBLANK('2025'!$P361), 0, 1), 3, if(ISBLANK('2025'!$Q361), 0, 1), 4, if(ISBLANK('2025'!$R361), 0, 1), 5, if(ISBLANK('2025'!$S361), 0, 1), 6, if(ISBLANK('2025'!$T361), 0, 1), 7, 0))), 1, "")</f>
        <v/>
      </c>
      <c r="BF363" s="1" t="str">
        <f>IF(AND(AND(AND(BF$4&gt;='2025'!$L361,BF$4&lt;='2025'!$M361), BF$4&lt;&gt;DATE(2025,7,4)), (SWITCH(weekday(BF$4), 1, 0, 2, if(ISBLANK('2025'!$P361), 0, 1), 3, if(ISBLANK('2025'!$Q361), 0, 1), 4, if(ISBLANK('2025'!$R361), 0, 1), 5, if(ISBLANK('2025'!$S361), 0, 1), 6, if(ISBLANK('2025'!$T361), 0, 1), 7, 0))), 1, "")</f>
        <v/>
      </c>
      <c r="BG363" s="1"/>
      <c r="BH363" s="1"/>
      <c r="BI363" s="1"/>
      <c r="BJ363" s="1"/>
      <c r="BK363" s="1"/>
      <c r="BL363" s="1"/>
    </row>
    <row r="364">
      <c r="A364" s="1">
        <f t="shared" si="3"/>
        <v>364</v>
      </c>
      <c r="B364" s="1" t="str">
        <f>'2025'!D328</f>
        <v>, </v>
      </c>
      <c r="C364" s="1" t="str">
        <f>'2025'!H328</f>
        <v/>
      </c>
      <c r="D364" s="1" t="str">
        <f>IF(AND(AND(AND(D$4&gt;='2025'!$L362,D$4&lt;='2025'!$M362), D$4&lt;&gt;DATE(2025,7,4)), (SWITCH(weekday(D$4), 1, 0, 2, if(ISBLANK('2025'!$P362), 0, 1), 3, if(ISBLANK('2025'!$Q362), 0, 1), 4, if(ISBLANK('2025'!$R362), 0, 1), 5, if(ISBLANK('2025'!$S362), 0, 1), 6, if(ISBLANK('2025'!$T362), 0, 1), 7, 0))), 1, "")</f>
        <v/>
      </c>
      <c r="E364" s="1" t="str">
        <f>IF(AND(AND(AND(E$4&gt;='2025'!$L362,E$4&lt;='2025'!$M362), E$4&lt;&gt;DATE(2025,7,4)), (SWITCH(weekday(E$4), 1, 0, 2, if(ISBLANK('2025'!$P362), 0, 1), 3, if(ISBLANK('2025'!$Q362), 0, 1), 4, if(ISBLANK('2025'!$R362), 0, 1), 5, if(ISBLANK('2025'!$S362), 0, 1), 6, if(ISBLANK('2025'!$T362), 0, 1), 7, 0))), 1, "")</f>
        <v/>
      </c>
      <c r="F364" s="1" t="str">
        <f>IF(AND(AND(AND(F$4&gt;='2025'!$L362,F$4&lt;='2025'!$M362), F$4&lt;&gt;DATE(2025,7,4)), (SWITCH(weekday(F$4), 1, 0, 2, if(ISBLANK('2025'!$P362), 0, 1), 3, if(ISBLANK('2025'!$Q362), 0, 1), 4, if(ISBLANK('2025'!$R362), 0, 1), 5, if(ISBLANK('2025'!$S362), 0, 1), 6, if(ISBLANK('2025'!$T362), 0, 1), 7, 0))), 1, "")</f>
        <v/>
      </c>
      <c r="G364" s="1" t="str">
        <f>IF(AND(AND(AND(G$4&gt;='2025'!$L362,G$4&lt;='2025'!$M362), G$4&lt;&gt;DATE(2025,7,4)), (SWITCH(weekday(G$4), 1, 0, 2, if(ISBLANK('2025'!$P362), 0, 1), 3, if(ISBLANK('2025'!$Q362), 0, 1), 4, if(ISBLANK('2025'!$R362), 0, 1), 5, if(ISBLANK('2025'!$S362), 0, 1), 6, if(ISBLANK('2025'!$T362), 0, 1), 7, 0))), 1, "")</f>
        <v/>
      </c>
      <c r="H364" s="1" t="str">
        <f>IF(AND(AND(AND(H$4&gt;='2025'!$L362,H$4&lt;='2025'!$M362), H$4&lt;&gt;DATE(2025,7,4)), (SWITCH(weekday(H$4), 1, 0, 2, if(ISBLANK('2025'!$P362), 0, 1), 3, if(ISBLANK('2025'!$Q362), 0, 1), 4, if(ISBLANK('2025'!$R362), 0, 1), 5, if(ISBLANK('2025'!$S362), 0, 1), 6, if(ISBLANK('2025'!$T362), 0, 1), 7, 0))), 1, "")</f>
        <v/>
      </c>
      <c r="I364" s="1" t="str">
        <f>IF(AND(AND(AND(I$4&gt;='2025'!$L362,I$4&lt;='2025'!$M362), I$4&lt;&gt;DATE(2025,7,4)), (SWITCH(weekday(I$4), 1, 0, 2, if(ISBLANK('2025'!$P362), 0, 1), 3, if(ISBLANK('2025'!$Q362), 0, 1), 4, if(ISBLANK('2025'!$R362), 0, 1), 5, if(ISBLANK('2025'!$S362), 0, 1), 6, if(ISBLANK('2025'!$T362), 0, 1), 7, 0))), 1, "")</f>
        <v/>
      </c>
      <c r="J364" s="1" t="str">
        <f>IF(AND(AND(AND(J$4&gt;='2025'!$L362,J$4&lt;='2025'!$M362), J$4&lt;&gt;DATE(2025,7,4)), (SWITCH(weekday(J$4), 1, 0, 2, if(ISBLANK('2025'!$P362), 0, 1), 3, if(ISBLANK('2025'!$Q362), 0, 1), 4, if(ISBLANK('2025'!$R362), 0, 1), 5, if(ISBLANK('2025'!$S362), 0, 1), 6, if(ISBLANK('2025'!$T362), 0, 1), 7, 0))), 1, "")</f>
        <v/>
      </c>
      <c r="K364" s="1" t="str">
        <f>IF(AND(AND(AND(K$4&gt;='2025'!$L362,K$4&lt;='2025'!$M362), K$4&lt;&gt;DATE(2025,7,4)), (SWITCH(weekday(K$4), 1, 0, 2, if(ISBLANK('2025'!$P362), 0, 1), 3, if(ISBLANK('2025'!$Q362), 0, 1), 4, if(ISBLANK('2025'!$R362), 0, 1), 5, if(ISBLANK('2025'!$S362), 0, 1), 6, if(ISBLANK('2025'!$T362), 0, 1), 7, 0))), 1, "")</f>
        <v/>
      </c>
      <c r="L364" s="1" t="str">
        <f>IF(AND(AND(AND(L$4&gt;='2025'!$L362,L$4&lt;='2025'!$M362), L$4&lt;&gt;DATE(2025,7,4)), (SWITCH(weekday(L$4), 1, 0, 2, if(ISBLANK('2025'!$P362), 0, 1), 3, if(ISBLANK('2025'!$Q362), 0, 1), 4, if(ISBLANK('2025'!$R362), 0, 1), 5, if(ISBLANK('2025'!$S362), 0, 1), 6, if(ISBLANK('2025'!$T362), 0, 1), 7, 0))), 1, "")</f>
        <v/>
      </c>
      <c r="M364" s="1" t="str">
        <f>IF(AND(AND(AND(M$4&gt;='2025'!$L362,M$4&lt;='2025'!$M362), M$4&lt;&gt;DATE(2025,7,4)), (SWITCH(weekday(M$4), 1, 0, 2, if(ISBLANK('2025'!$P362), 0, 1), 3, if(ISBLANK('2025'!$Q362), 0, 1), 4, if(ISBLANK('2025'!$R362), 0, 1), 5, if(ISBLANK('2025'!$S362), 0, 1), 6, if(ISBLANK('2025'!$T362), 0, 1), 7, 0))), 1, "")</f>
        <v/>
      </c>
      <c r="N364" s="1" t="str">
        <f>IF(AND(AND(AND(N$4&gt;='2025'!$L362,N$4&lt;='2025'!$M362), N$4&lt;&gt;DATE(2025,7,4)), (SWITCH(weekday(N$4), 1, 0, 2, if(ISBLANK('2025'!$P362), 0, 1), 3, if(ISBLANK('2025'!$Q362), 0, 1), 4, if(ISBLANK('2025'!$R362), 0, 1), 5, if(ISBLANK('2025'!$S362), 0, 1), 6, if(ISBLANK('2025'!$T362), 0, 1), 7, 0))), 1, "")</f>
        <v/>
      </c>
      <c r="O364" s="1" t="str">
        <f>IF(AND(AND(AND(O$4&gt;='2025'!$L362,O$4&lt;='2025'!$M362), O$4&lt;&gt;DATE(2025,7,4)), (SWITCH(weekday(O$4), 1, 0, 2, if(ISBLANK('2025'!$P362), 0, 1), 3, if(ISBLANK('2025'!$Q362), 0, 1), 4, if(ISBLANK('2025'!$R362), 0, 1), 5, if(ISBLANK('2025'!$S362), 0, 1), 6, if(ISBLANK('2025'!$T362), 0, 1), 7, 0))), 1, "")</f>
        <v/>
      </c>
      <c r="P364" s="1" t="str">
        <f>IF(AND(AND(AND(P$4&gt;='2025'!$L362,P$4&lt;='2025'!$M362), P$4&lt;&gt;DATE(2025,7,4)), (SWITCH(weekday(P$4), 1, 0, 2, if(ISBLANK('2025'!$P362), 0, 1), 3, if(ISBLANK('2025'!$Q362), 0, 1), 4, if(ISBLANK('2025'!$R362), 0, 1), 5, if(ISBLANK('2025'!$S362), 0, 1), 6, if(ISBLANK('2025'!$T362), 0, 1), 7, 0))), 1, "")</f>
        <v/>
      </c>
      <c r="Q364" s="1" t="str">
        <f>IF(AND(AND(AND(Q$4&gt;='2025'!$L362,Q$4&lt;='2025'!$M362), Q$4&lt;&gt;DATE(2025,7,4)), (SWITCH(weekday(Q$4), 1, 0, 2, if(ISBLANK('2025'!$P362), 0, 1), 3, if(ISBLANK('2025'!$Q362), 0, 1), 4, if(ISBLANK('2025'!$R362), 0, 1), 5, if(ISBLANK('2025'!$S362), 0, 1), 6, if(ISBLANK('2025'!$T362), 0, 1), 7, 0))), 1, "")</f>
        <v/>
      </c>
      <c r="R364" s="1" t="str">
        <f>IF(AND(AND(AND(R$4&gt;='2025'!$L362,R$4&lt;='2025'!$M362), R$4&lt;&gt;DATE(2025,7,4)), (SWITCH(weekday(R$4), 1, 0, 2, if(ISBLANK('2025'!$P362), 0, 1), 3, if(ISBLANK('2025'!$Q362), 0, 1), 4, if(ISBLANK('2025'!$R362), 0, 1), 5, if(ISBLANK('2025'!$S362), 0, 1), 6, if(ISBLANK('2025'!$T362), 0, 1), 7, 0))), 1, "")</f>
        <v/>
      </c>
      <c r="S364" s="1" t="str">
        <f>IF(AND(AND(AND(S$4&gt;='2025'!$L362,S$4&lt;='2025'!$M362), S$4&lt;&gt;DATE(2025,7,4)), (SWITCH(weekday(S$4), 1, 0, 2, if(ISBLANK('2025'!$P362), 0, 1), 3, if(ISBLANK('2025'!$Q362), 0, 1), 4, if(ISBLANK('2025'!$R362), 0, 1), 5, if(ISBLANK('2025'!$S362), 0, 1), 6, if(ISBLANK('2025'!$T362), 0, 1), 7, 0))), 1, "")</f>
        <v/>
      </c>
      <c r="T364" s="1" t="str">
        <f>IF(AND(AND(AND(T$4&gt;='2025'!$L362,T$4&lt;='2025'!$M362), T$4&lt;&gt;DATE(2025,7,4)), (SWITCH(weekday(T$4), 1, 0, 2, if(ISBLANK('2025'!$P362), 0, 1), 3, if(ISBLANK('2025'!$Q362), 0, 1), 4, if(ISBLANK('2025'!$R362), 0, 1), 5, if(ISBLANK('2025'!$S362), 0, 1), 6, if(ISBLANK('2025'!$T362), 0, 1), 7, 0))), 1, "")</f>
        <v/>
      </c>
      <c r="U364" s="1" t="str">
        <f>IF(AND(AND(AND(U$4&gt;='2025'!$L362,U$4&lt;='2025'!$M362), U$4&lt;&gt;DATE(2025,7,4)), (SWITCH(weekday(U$4), 1, 0, 2, if(ISBLANK('2025'!$P362), 0, 1), 3, if(ISBLANK('2025'!$Q362), 0, 1), 4, if(ISBLANK('2025'!$R362), 0, 1), 5, if(ISBLANK('2025'!$S362), 0, 1), 6, if(ISBLANK('2025'!$T362), 0, 1), 7, 0))), 1, "")</f>
        <v/>
      </c>
      <c r="V364" s="1" t="str">
        <f>IF(AND(AND(AND(V$4&gt;='2025'!$L362,V$4&lt;='2025'!$M362), V$4&lt;&gt;DATE(2025,7,4)), (SWITCH(weekday(V$4), 1, 0, 2, if(ISBLANK('2025'!$P362), 0, 1), 3, if(ISBLANK('2025'!$Q362), 0, 1), 4, if(ISBLANK('2025'!$R362), 0, 1), 5, if(ISBLANK('2025'!$S362), 0, 1), 6, if(ISBLANK('2025'!$T362), 0, 1), 7, 0))), 1, "")</f>
        <v/>
      </c>
      <c r="W364" s="1" t="str">
        <f>IF(AND(AND(AND(W$4&gt;='2025'!$L362,W$4&lt;='2025'!$M362), W$4&lt;&gt;DATE(2025,7,4)), (SWITCH(weekday(W$4), 1, 0, 2, if(ISBLANK('2025'!$P362), 0, 1), 3, if(ISBLANK('2025'!$Q362), 0, 1), 4, if(ISBLANK('2025'!$R362), 0, 1), 5, if(ISBLANK('2025'!$S362), 0, 1), 6, if(ISBLANK('2025'!$T362), 0, 1), 7, 0))), 1, "")</f>
        <v/>
      </c>
      <c r="X364" s="1" t="str">
        <f>IF(AND(AND(AND(X$4&gt;='2025'!$L362,X$4&lt;='2025'!$M362), X$4&lt;&gt;DATE(2025,7,4)), (SWITCH(weekday(X$4), 1, 0, 2, if(ISBLANK('2025'!$P362), 0, 1), 3, if(ISBLANK('2025'!$Q362), 0, 1), 4, if(ISBLANK('2025'!$R362), 0, 1), 5, if(ISBLANK('2025'!$S362), 0, 1), 6, if(ISBLANK('2025'!$T362), 0, 1), 7, 0))), 1, "")</f>
        <v/>
      </c>
      <c r="Y364" s="1" t="str">
        <f>IF(AND(AND(AND(Y$4&gt;='2025'!$L362,Y$4&lt;='2025'!$M362), Y$4&lt;&gt;DATE(2025,7,4)), (SWITCH(weekday(Y$4), 1, 0, 2, if(ISBLANK('2025'!$P362), 0, 1), 3, if(ISBLANK('2025'!$Q362), 0, 1), 4, if(ISBLANK('2025'!$R362), 0, 1), 5, if(ISBLANK('2025'!$S362), 0, 1), 6, if(ISBLANK('2025'!$T362), 0, 1), 7, 0))), 1, "")</f>
        <v/>
      </c>
      <c r="Z364" s="1" t="str">
        <f>IF(AND(AND(AND(Z$4&gt;='2025'!$L362,Z$4&lt;='2025'!$M362), Z$4&lt;&gt;DATE(2025,7,4)), (SWITCH(weekday(Z$4), 1, 0, 2, if(ISBLANK('2025'!$P362), 0, 1), 3, if(ISBLANK('2025'!$Q362), 0, 1), 4, if(ISBLANK('2025'!$R362), 0, 1), 5, if(ISBLANK('2025'!$S362), 0, 1), 6, if(ISBLANK('2025'!$T362), 0, 1), 7, 0))), 1, "")</f>
        <v/>
      </c>
      <c r="AA364" s="1" t="str">
        <f>IF(AND(AND(AND(AA$4&gt;='2025'!$L362,AA$4&lt;='2025'!$M362), AA$4&lt;&gt;DATE(2025,7,4)), (SWITCH(weekday(AA$4), 1, 0, 2, if(ISBLANK('2025'!$P362), 0, 1), 3, if(ISBLANK('2025'!$Q362), 0, 1), 4, if(ISBLANK('2025'!$R362), 0, 1), 5, if(ISBLANK('2025'!$S362), 0, 1), 6, if(ISBLANK('2025'!$T362), 0, 1), 7, 0))), 1, "")</f>
        <v/>
      </c>
      <c r="AB364" s="1" t="str">
        <f>IF(AND(AND(AND(AB$4&gt;='2025'!$L362,AB$4&lt;='2025'!$M362), AB$4&lt;&gt;DATE(2025,7,4)), (SWITCH(weekday(AB$4), 1, 0, 2, if(ISBLANK('2025'!$P362), 0, 1), 3, if(ISBLANK('2025'!$Q362), 0, 1), 4, if(ISBLANK('2025'!$R362), 0, 1), 5, if(ISBLANK('2025'!$S362), 0, 1), 6, if(ISBLANK('2025'!$T362), 0, 1), 7, 0))), 1, "")</f>
        <v/>
      </c>
      <c r="AC364" s="1" t="str">
        <f>IF(AND(AND(AND(AC$4&gt;='2025'!$L362,AC$4&lt;='2025'!$M362), AC$4&lt;&gt;DATE(2025,7,4)), (SWITCH(weekday(AC$4), 1, 0, 2, if(ISBLANK('2025'!$P362), 0, 1), 3, if(ISBLANK('2025'!$Q362), 0, 1), 4, if(ISBLANK('2025'!$R362), 0, 1), 5, if(ISBLANK('2025'!$S362), 0, 1), 6, if(ISBLANK('2025'!$T362), 0, 1), 7, 0))), 1, "")</f>
        <v/>
      </c>
      <c r="AD364" s="1" t="str">
        <f>IF(AND(AND(AND(AD$4&gt;='2025'!$L362,AD$4&lt;='2025'!$M362), AD$4&lt;&gt;DATE(2025,7,4)), (SWITCH(weekday(AD$4), 1, 0, 2, if(ISBLANK('2025'!$P362), 0, 1), 3, if(ISBLANK('2025'!$Q362), 0, 1), 4, if(ISBLANK('2025'!$R362), 0, 1), 5, if(ISBLANK('2025'!$S362), 0, 1), 6, if(ISBLANK('2025'!$T362), 0, 1), 7, 0))), 1, "")</f>
        <v/>
      </c>
      <c r="AE364" s="1" t="str">
        <f>IF(AND(AND(AND(AE$4&gt;='2025'!$L362,AE$4&lt;='2025'!$M362), AE$4&lt;&gt;DATE(2025,7,4)), (SWITCH(weekday(AE$4), 1, 0, 2, if(ISBLANK('2025'!$P362), 0, 1), 3, if(ISBLANK('2025'!$Q362), 0, 1), 4, if(ISBLANK('2025'!$R362), 0, 1), 5, if(ISBLANK('2025'!$S362), 0, 1), 6, if(ISBLANK('2025'!$T362), 0, 1), 7, 0))), 1, "")</f>
        <v/>
      </c>
      <c r="AF364" s="1" t="str">
        <f>IF(AND(AND(AND(AF$4&gt;='2025'!$L362,AF$4&lt;='2025'!$M362), AF$4&lt;&gt;DATE(2025,7,4)), (SWITCH(weekday(AF$4), 1, 0, 2, if(ISBLANK('2025'!$P362), 0, 1), 3, if(ISBLANK('2025'!$Q362), 0, 1), 4, if(ISBLANK('2025'!$R362), 0, 1), 5, if(ISBLANK('2025'!$S362), 0, 1), 6, if(ISBLANK('2025'!$T362), 0, 1), 7, 0))), 1, "")</f>
        <v/>
      </c>
      <c r="AG364" s="1" t="str">
        <f>IF(AND(AND(AND(AG$4&gt;='2025'!$L362,AG$4&lt;='2025'!$M362), AG$4&lt;&gt;DATE(2025,7,4)), (SWITCH(weekday(AG$4), 1, 0, 2, if(ISBLANK('2025'!$P362), 0, 1), 3, if(ISBLANK('2025'!$Q362), 0, 1), 4, if(ISBLANK('2025'!$R362), 0, 1), 5, if(ISBLANK('2025'!$S362), 0, 1), 6, if(ISBLANK('2025'!$T362), 0, 1), 7, 0))), 1, "")</f>
        <v/>
      </c>
      <c r="AH364" s="1" t="str">
        <f>IF(AND(AND(AND(AH$4&gt;='2025'!$L362,AH$4&lt;='2025'!$M362), AH$4&lt;&gt;DATE(2025,7,4)), (SWITCH(weekday(AH$4), 1, 0, 2, if(ISBLANK('2025'!$P362), 0, 1), 3, if(ISBLANK('2025'!$Q362), 0, 1), 4, if(ISBLANK('2025'!$R362), 0, 1), 5, if(ISBLANK('2025'!$S362), 0, 1), 6, if(ISBLANK('2025'!$T362), 0, 1), 7, 0))), 1, "")</f>
        <v/>
      </c>
      <c r="AI364" s="1" t="str">
        <f>IF(AND(AND(AND(AI$4&gt;='2025'!$L362,AI$4&lt;='2025'!$M362), AI$4&lt;&gt;DATE(2025,7,4)), (SWITCH(weekday(AI$4), 1, 0, 2, if(ISBLANK('2025'!$P362), 0, 1), 3, if(ISBLANK('2025'!$Q362), 0, 1), 4, if(ISBLANK('2025'!$R362), 0, 1), 5, if(ISBLANK('2025'!$S362), 0, 1), 6, if(ISBLANK('2025'!$T362), 0, 1), 7, 0))), 1, "")</f>
        <v/>
      </c>
      <c r="AJ364" s="1" t="str">
        <f>IF(AND(AND(AND(AJ$4&gt;='2025'!$L362,AJ$4&lt;='2025'!$M362), AJ$4&lt;&gt;DATE(2025,7,4)), (SWITCH(weekday(AJ$4), 1, 0, 2, if(ISBLANK('2025'!$P362), 0, 1), 3, if(ISBLANK('2025'!$Q362), 0, 1), 4, if(ISBLANK('2025'!$R362), 0, 1), 5, if(ISBLANK('2025'!$S362), 0, 1), 6, if(ISBLANK('2025'!$T362), 0, 1), 7, 0))), 1, "")</f>
        <v/>
      </c>
      <c r="AK364" s="1" t="str">
        <f>IF(AND(AND(AND(AK$4&gt;='2025'!$L362,AK$4&lt;='2025'!$M362), AK$4&lt;&gt;DATE(2025,7,4)), (SWITCH(weekday(AK$4), 1, 0, 2, if(ISBLANK('2025'!$P362), 0, 1), 3, if(ISBLANK('2025'!$Q362), 0, 1), 4, if(ISBLANK('2025'!$R362), 0, 1), 5, if(ISBLANK('2025'!$S362), 0, 1), 6, if(ISBLANK('2025'!$T362), 0, 1), 7, 0))), 1, "")</f>
        <v/>
      </c>
      <c r="AL364" s="1" t="str">
        <f>IF(AND(AND(AND(AL$4&gt;='2025'!$L362,AL$4&lt;='2025'!$M362), AL$4&lt;&gt;DATE(2025,7,4)), (SWITCH(weekday(AL$4), 1, 0, 2, if(ISBLANK('2025'!$P362), 0, 1), 3, if(ISBLANK('2025'!$Q362), 0, 1), 4, if(ISBLANK('2025'!$R362), 0, 1), 5, if(ISBLANK('2025'!$S362), 0, 1), 6, if(ISBLANK('2025'!$T362), 0, 1), 7, 0))), 1, "")</f>
        <v/>
      </c>
      <c r="AM364" s="1" t="str">
        <f>IF(AND(AND(AND(AM$4&gt;='2025'!$L362,AM$4&lt;='2025'!$M362), AM$4&lt;&gt;DATE(2025,7,4)), (SWITCH(weekday(AM$4), 1, 0, 2, if(ISBLANK('2025'!$P362), 0, 1), 3, if(ISBLANK('2025'!$Q362), 0, 1), 4, if(ISBLANK('2025'!$R362), 0, 1), 5, if(ISBLANK('2025'!$S362), 0, 1), 6, if(ISBLANK('2025'!$T362), 0, 1), 7, 0))), 1, "")</f>
        <v/>
      </c>
      <c r="AN364" s="1" t="str">
        <f>IF(AND(AND(AND(AN$4&gt;='2025'!$L362,AN$4&lt;='2025'!$M362), AN$4&lt;&gt;DATE(2025,7,4)), (SWITCH(weekday(AN$4), 1, 0, 2, if(ISBLANK('2025'!$P362), 0, 1), 3, if(ISBLANK('2025'!$Q362), 0, 1), 4, if(ISBLANK('2025'!$R362), 0, 1), 5, if(ISBLANK('2025'!$S362), 0, 1), 6, if(ISBLANK('2025'!$T362), 0, 1), 7, 0))), 1, "")</f>
        <v/>
      </c>
      <c r="AO364" s="1" t="str">
        <f>IF(AND(AND(AND(AO$4&gt;='2025'!$L362,AO$4&lt;='2025'!$M362), AO$4&lt;&gt;DATE(2025,7,4)), (SWITCH(weekday(AO$4), 1, 0, 2, if(ISBLANK('2025'!$P362), 0, 1), 3, if(ISBLANK('2025'!$Q362), 0, 1), 4, if(ISBLANK('2025'!$R362), 0, 1), 5, if(ISBLANK('2025'!$S362), 0, 1), 6, if(ISBLANK('2025'!$T362), 0, 1), 7, 0))), 1, "")</f>
        <v/>
      </c>
      <c r="AP364" s="1" t="str">
        <f>IF(AND(AND(AND(AP$4&gt;='2025'!$L362,AP$4&lt;='2025'!$M362), AP$4&lt;&gt;DATE(2025,7,4)), (SWITCH(weekday(AP$4), 1, 0, 2, if(ISBLANK('2025'!$P362), 0, 1), 3, if(ISBLANK('2025'!$Q362), 0, 1), 4, if(ISBLANK('2025'!$R362), 0, 1), 5, if(ISBLANK('2025'!$S362), 0, 1), 6, if(ISBLANK('2025'!$T362), 0, 1), 7, 0))), 1, "")</f>
        <v/>
      </c>
      <c r="AQ364" s="1" t="str">
        <f>IF(AND(AND(AND(AQ$4&gt;='2025'!$L362,AQ$4&lt;='2025'!$M362), AQ$4&lt;&gt;DATE(2025,7,4)), (SWITCH(weekday(AQ$4), 1, 0, 2, if(ISBLANK('2025'!$P362), 0, 1), 3, if(ISBLANK('2025'!$Q362), 0, 1), 4, if(ISBLANK('2025'!$R362), 0, 1), 5, if(ISBLANK('2025'!$S362), 0, 1), 6, if(ISBLANK('2025'!$T362), 0, 1), 7, 0))), 1, "")</f>
        <v/>
      </c>
      <c r="AR364" s="1" t="str">
        <f>IF(AND(AND(AND(AR$4&gt;='2025'!$L362,AR$4&lt;='2025'!$M362), AR$4&lt;&gt;DATE(2025,7,4)), (SWITCH(weekday(AR$4), 1, 0, 2, if(ISBLANK('2025'!$P362), 0, 1), 3, if(ISBLANK('2025'!$Q362), 0, 1), 4, if(ISBLANK('2025'!$R362), 0, 1), 5, if(ISBLANK('2025'!$S362), 0, 1), 6, if(ISBLANK('2025'!$T362), 0, 1), 7, 0))), 1, "")</f>
        <v/>
      </c>
      <c r="AS364" s="1" t="str">
        <f>IF(AND(AND(AND(AS$4&gt;='2025'!$L362,AS$4&lt;='2025'!$M362), AS$4&lt;&gt;DATE(2025,7,4)), (SWITCH(weekday(AS$4), 1, 0, 2, if(ISBLANK('2025'!$P362), 0, 1), 3, if(ISBLANK('2025'!$Q362), 0, 1), 4, if(ISBLANK('2025'!$R362), 0, 1), 5, if(ISBLANK('2025'!$S362), 0, 1), 6, if(ISBLANK('2025'!$T362), 0, 1), 7, 0))), 1, "")</f>
        <v/>
      </c>
      <c r="AT364" s="1" t="str">
        <f>IF(AND(AND(AND(AT$4&gt;='2025'!$L362,AT$4&lt;='2025'!$M362), AT$4&lt;&gt;DATE(2025,7,4)), (SWITCH(weekday(AT$4), 1, 0, 2, if(ISBLANK('2025'!$P362), 0, 1), 3, if(ISBLANK('2025'!$Q362), 0, 1), 4, if(ISBLANK('2025'!$R362), 0, 1), 5, if(ISBLANK('2025'!$S362), 0, 1), 6, if(ISBLANK('2025'!$T362), 0, 1), 7, 0))), 1, "")</f>
        <v/>
      </c>
      <c r="AU364" s="1" t="str">
        <f>IF(AND(AND(AND(AU$4&gt;='2025'!$L362,AU$4&lt;='2025'!$M362), AU$4&lt;&gt;DATE(2025,7,4)), (SWITCH(weekday(AU$4), 1, 0, 2, if(ISBLANK('2025'!$P362), 0, 1), 3, if(ISBLANK('2025'!$Q362), 0, 1), 4, if(ISBLANK('2025'!$R362), 0, 1), 5, if(ISBLANK('2025'!$S362), 0, 1), 6, if(ISBLANK('2025'!$T362), 0, 1), 7, 0))), 1, "")</f>
        <v/>
      </c>
      <c r="AV364" s="1" t="str">
        <f>IF(AND(AND(AND(AV$4&gt;='2025'!$L362,AV$4&lt;='2025'!$M362), AV$4&lt;&gt;DATE(2025,7,4)), (SWITCH(weekday(AV$4), 1, 0, 2, if(ISBLANK('2025'!$P362), 0, 1), 3, if(ISBLANK('2025'!$Q362), 0, 1), 4, if(ISBLANK('2025'!$R362), 0, 1), 5, if(ISBLANK('2025'!$S362), 0, 1), 6, if(ISBLANK('2025'!$T362), 0, 1), 7, 0))), 1, "")</f>
        <v/>
      </c>
      <c r="AW364" s="1" t="str">
        <f>IF(AND(AND(AND(AW$4&gt;='2025'!$L362,AW$4&lt;='2025'!$M362), AW$4&lt;&gt;DATE(2025,7,4)), (SWITCH(weekday(AW$4), 1, 0, 2, if(ISBLANK('2025'!$P362), 0, 1), 3, if(ISBLANK('2025'!$Q362), 0, 1), 4, if(ISBLANK('2025'!$R362), 0, 1), 5, if(ISBLANK('2025'!$S362), 0, 1), 6, if(ISBLANK('2025'!$T362), 0, 1), 7, 0))), 1, "")</f>
        <v/>
      </c>
      <c r="AX364" s="1" t="str">
        <f>IF(AND(AND(AND(AX$4&gt;='2025'!$L362,AX$4&lt;='2025'!$M362), AX$4&lt;&gt;DATE(2025,7,4)), (SWITCH(weekday(AX$4), 1, 0, 2, if(ISBLANK('2025'!$P362), 0, 1), 3, if(ISBLANK('2025'!$Q362), 0, 1), 4, if(ISBLANK('2025'!$R362), 0, 1), 5, if(ISBLANK('2025'!$S362), 0, 1), 6, if(ISBLANK('2025'!$T362), 0, 1), 7, 0))), 1, "")</f>
        <v/>
      </c>
      <c r="AY364" s="1" t="str">
        <f>IF(AND(AND(AND(AY$4&gt;='2025'!$L362,AY$4&lt;='2025'!$M362), AY$4&lt;&gt;DATE(2025,7,4)), (SWITCH(weekday(AY$4), 1, 0, 2, if(ISBLANK('2025'!$P362), 0, 1), 3, if(ISBLANK('2025'!$Q362), 0, 1), 4, if(ISBLANK('2025'!$R362), 0, 1), 5, if(ISBLANK('2025'!$S362), 0, 1), 6, if(ISBLANK('2025'!$T362), 0, 1), 7, 0))), 1, "")</f>
        <v/>
      </c>
      <c r="AZ364" s="1" t="str">
        <f>IF(AND(AND(AND(AZ$4&gt;='2025'!$L362,AZ$4&lt;='2025'!$M362), AZ$4&lt;&gt;DATE(2025,7,4)), (SWITCH(weekday(AZ$4), 1, 0, 2, if(ISBLANK('2025'!$P362), 0, 1), 3, if(ISBLANK('2025'!$Q362), 0, 1), 4, if(ISBLANK('2025'!$R362), 0, 1), 5, if(ISBLANK('2025'!$S362), 0, 1), 6, if(ISBLANK('2025'!$T362), 0, 1), 7, 0))), 1, "")</f>
        <v/>
      </c>
      <c r="BA364" s="1" t="str">
        <f>IF(AND(AND(AND(BA$4&gt;='2025'!$L362,BA$4&lt;='2025'!$M362), BA$4&lt;&gt;DATE(2025,7,4)), (SWITCH(weekday(BA$4), 1, 0, 2, if(ISBLANK('2025'!$P362), 0, 1), 3, if(ISBLANK('2025'!$Q362), 0, 1), 4, if(ISBLANK('2025'!$R362), 0, 1), 5, if(ISBLANK('2025'!$S362), 0, 1), 6, if(ISBLANK('2025'!$T362), 0, 1), 7, 0))), 1, "")</f>
        <v/>
      </c>
      <c r="BB364" s="1" t="str">
        <f>IF(AND(AND(AND(BB$4&gt;='2025'!$L362,BB$4&lt;='2025'!$M362), BB$4&lt;&gt;DATE(2025,7,4)), (SWITCH(weekday(BB$4), 1, 0, 2, if(ISBLANK('2025'!$P362), 0, 1), 3, if(ISBLANK('2025'!$Q362), 0, 1), 4, if(ISBLANK('2025'!$R362), 0, 1), 5, if(ISBLANK('2025'!$S362), 0, 1), 6, if(ISBLANK('2025'!$T362), 0, 1), 7, 0))), 1, "")</f>
        <v/>
      </c>
      <c r="BC364" s="1" t="str">
        <f>IF(AND(AND(AND(BC$4&gt;='2025'!$L362,BC$4&lt;='2025'!$M362), BC$4&lt;&gt;DATE(2025,7,4)), (SWITCH(weekday(BC$4), 1, 0, 2, if(ISBLANK('2025'!$P362), 0, 1), 3, if(ISBLANK('2025'!$Q362), 0, 1), 4, if(ISBLANK('2025'!$R362), 0, 1), 5, if(ISBLANK('2025'!$S362), 0, 1), 6, if(ISBLANK('2025'!$T362), 0, 1), 7, 0))), 1, "")</f>
        <v/>
      </c>
      <c r="BD364" s="1" t="str">
        <f>IF(AND(AND(AND(BD$4&gt;='2025'!$L362,BD$4&lt;='2025'!$M362), BD$4&lt;&gt;DATE(2025,7,4)), (SWITCH(weekday(BD$4), 1, 0, 2, if(ISBLANK('2025'!$P362), 0, 1), 3, if(ISBLANK('2025'!$Q362), 0, 1), 4, if(ISBLANK('2025'!$R362), 0, 1), 5, if(ISBLANK('2025'!$S362), 0, 1), 6, if(ISBLANK('2025'!$T362), 0, 1), 7, 0))), 1, "")</f>
        <v/>
      </c>
      <c r="BE364" s="1" t="str">
        <f>IF(AND(AND(AND(BE$4&gt;='2025'!$L362,BE$4&lt;='2025'!$M362), BE$4&lt;&gt;DATE(2025,7,4)), (SWITCH(weekday(BE$4), 1, 0, 2, if(ISBLANK('2025'!$P362), 0, 1), 3, if(ISBLANK('2025'!$Q362), 0, 1), 4, if(ISBLANK('2025'!$R362), 0, 1), 5, if(ISBLANK('2025'!$S362), 0, 1), 6, if(ISBLANK('2025'!$T362), 0, 1), 7, 0))), 1, "")</f>
        <v/>
      </c>
      <c r="BF364" s="1" t="str">
        <f>IF(AND(AND(AND(BF$4&gt;='2025'!$L362,BF$4&lt;='2025'!$M362), BF$4&lt;&gt;DATE(2025,7,4)), (SWITCH(weekday(BF$4), 1, 0, 2, if(ISBLANK('2025'!$P362), 0, 1), 3, if(ISBLANK('2025'!$Q362), 0, 1), 4, if(ISBLANK('2025'!$R362), 0, 1), 5, if(ISBLANK('2025'!$S362), 0, 1), 6, if(ISBLANK('2025'!$T362), 0, 1), 7, 0))), 1, "")</f>
        <v/>
      </c>
      <c r="BG364" s="1"/>
      <c r="BH364" s="1"/>
      <c r="BI364" s="1"/>
      <c r="BJ364" s="1"/>
      <c r="BK364" s="1"/>
      <c r="BL364" s="1"/>
    </row>
    <row r="365">
      <c r="A365" s="1">
        <f t="shared" si="3"/>
        <v>365</v>
      </c>
      <c r="B365" s="1" t="str">
        <f>'2025'!D329</f>
        <v>, </v>
      </c>
      <c r="C365" s="1" t="str">
        <f>'2025'!H329</f>
        <v/>
      </c>
      <c r="D365" s="1" t="str">
        <f>IF(AND(AND(AND(D$4&gt;='2025'!$L363,D$4&lt;='2025'!$M363), D$4&lt;&gt;DATE(2025,7,4)), (SWITCH(weekday(D$4), 1, 0, 2, if(ISBLANK('2025'!$P363), 0, 1), 3, if(ISBLANK('2025'!$Q363), 0, 1), 4, if(ISBLANK('2025'!$R363), 0, 1), 5, if(ISBLANK('2025'!$S363), 0, 1), 6, if(ISBLANK('2025'!$T363), 0, 1), 7, 0))), 1, "")</f>
        <v/>
      </c>
      <c r="E365" s="1" t="str">
        <f>IF(AND(AND(AND(E$4&gt;='2025'!$L363,E$4&lt;='2025'!$M363), E$4&lt;&gt;DATE(2025,7,4)), (SWITCH(weekday(E$4), 1, 0, 2, if(ISBLANK('2025'!$P363), 0, 1), 3, if(ISBLANK('2025'!$Q363), 0, 1), 4, if(ISBLANK('2025'!$R363), 0, 1), 5, if(ISBLANK('2025'!$S363), 0, 1), 6, if(ISBLANK('2025'!$T363), 0, 1), 7, 0))), 1, "")</f>
        <v/>
      </c>
      <c r="F365" s="1" t="str">
        <f>IF(AND(AND(AND(F$4&gt;='2025'!$L363,F$4&lt;='2025'!$M363), F$4&lt;&gt;DATE(2025,7,4)), (SWITCH(weekday(F$4), 1, 0, 2, if(ISBLANK('2025'!$P363), 0, 1), 3, if(ISBLANK('2025'!$Q363), 0, 1), 4, if(ISBLANK('2025'!$R363), 0, 1), 5, if(ISBLANK('2025'!$S363), 0, 1), 6, if(ISBLANK('2025'!$T363), 0, 1), 7, 0))), 1, "")</f>
        <v/>
      </c>
      <c r="G365" s="1" t="str">
        <f>IF(AND(AND(AND(G$4&gt;='2025'!$L363,G$4&lt;='2025'!$M363), G$4&lt;&gt;DATE(2025,7,4)), (SWITCH(weekday(G$4), 1, 0, 2, if(ISBLANK('2025'!$P363), 0, 1), 3, if(ISBLANK('2025'!$Q363), 0, 1), 4, if(ISBLANK('2025'!$R363), 0, 1), 5, if(ISBLANK('2025'!$S363), 0, 1), 6, if(ISBLANK('2025'!$T363), 0, 1), 7, 0))), 1, "")</f>
        <v/>
      </c>
      <c r="H365" s="1" t="str">
        <f>IF(AND(AND(AND(H$4&gt;='2025'!$L363,H$4&lt;='2025'!$M363), H$4&lt;&gt;DATE(2025,7,4)), (SWITCH(weekday(H$4), 1, 0, 2, if(ISBLANK('2025'!$P363), 0, 1), 3, if(ISBLANK('2025'!$Q363), 0, 1), 4, if(ISBLANK('2025'!$R363), 0, 1), 5, if(ISBLANK('2025'!$S363), 0, 1), 6, if(ISBLANK('2025'!$T363), 0, 1), 7, 0))), 1, "")</f>
        <v/>
      </c>
      <c r="I365" s="1" t="str">
        <f>IF(AND(AND(AND(I$4&gt;='2025'!$L363,I$4&lt;='2025'!$M363), I$4&lt;&gt;DATE(2025,7,4)), (SWITCH(weekday(I$4), 1, 0, 2, if(ISBLANK('2025'!$P363), 0, 1), 3, if(ISBLANK('2025'!$Q363), 0, 1), 4, if(ISBLANK('2025'!$R363), 0, 1), 5, if(ISBLANK('2025'!$S363), 0, 1), 6, if(ISBLANK('2025'!$T363), 0, 1), 7, 0))), 1, "")</f>
        <v/>
      </c>
      <c r="J365" s="1" t="str">
        <f>IF(AND(AND(AND(J$4&gt;='2025'!$L363,J$4&lt;='2025'!$M363), J$4&lt;&gt;DATE(2025,7,4)), (SWITCH(weekday(J$4), 1, 0, 2, if(ISBLANK('2025'!$P363), 0, 1), 3, if(ISBLANK('2025'!$Q363), 0, 1), 4, if(ISBLANK('2025'!$R363), 0, 1), 5, if(ISBLANK('2025'!$S363), 0, 1), 6, if(ISBLANK('2025'!$T363), 0, 1), 7, 0))), 1, "")</f>
        <v/>
      </c>
      <c r="K365" s="1" t="str">
        <f>IF(AND(AND(AND(K$4&gt;='2025'!$L363,K$4&lt;='2025'!$M363), K$4&lt;&gt;DATE(2025,7,4)), (SWITCH(weekday(K$4), 1, 0, 2, if(ISBLANK('2025'!$P363), 0, 1), 3, if(ISBLANK('2025'!$Q363), 0, 1), 4, if(ISBLANK('2025'!$R363), 0, 1), 5, if(ISBLANK('2025'!$S363), 0, 1), 6, if(ISBLANK('2025'!$T363), 0, 1), 7, 0))), 1, "")</f>
        <v/>
      </c>
      <c r="L365" s="1" t="str">
        <f>IF(AND(AND(AND(L$4&gt;='2025'!$L363,L$4&lt;='2025'!$M363), L$4&lt;&gt;DATE(2025,7,4)), (SWITCH(weekday(L$4), 1, 0, 2, if(ISBLANK('2025'!$P363), 0, 1), 3, if(ISBLANK('2025'!$Q363), 0, 1), 4, if(ISBLANK('2025'!$R363), 0, 1), 5, if(ISBLANK('2025'!$S363), 0, 1), 6, if(ISBLANK('2025'!$T363), 0, 1), 7, 0))), 1, "")</f>
        <v/>
      </c>
      <c r="M365" s="1" t="str">
        <f>IF(AND(AND(AND(M$4&gt;='2025'!$L363,M$4&lt;='2025'!$M363), M$4&lt;&gt;DATE(2025,7,4)), (SWITCH(weekday(M$4), 1, 0, 2, if(ISBLANK('2025'!$P363), 0, 1), 3, if(ISBLANK('2025'!$Q363), 0, 1), 4, if(ISBLANK('2025'!$R363), 0, 1), 5, if(ISBLANK('2025'!$S363), 0, 1), 6, if(ISBLANK('2025'!$T363), 0, 1), 7, 0))), 1, "")</f>
        <v/>
      </c>
      <c r="N365" s="1" t="str">
        <f>IF(AND(AND(AND(N$4&gt;='2025'!$L363,N$4&lt;='2025'!$M363), N$4&lt;&gt;DATE(2025,7,4)), (SWITCH(weekday(N$4), 1, 0, 2, if(ISBLANK('2025'!$P363), 0, 1), 3, if(ISBLANK('2025'!$Q363), 0, 1), 4, if(ISBLANK('2025'!$R363), 0, 1), 5, if(ISBLANK('2025'!$S363), 0, 1), 6, if(ISBLANK('2025'!$T363), 0, 1), 7, 0))), 1, "")</f>
        <v/>
      </c>
      <c r="O365" s="1" t="str">
        <f>IF(AND(AND(AND(O$4&gt;='2025'!$L363,O$4&lt;='2025'!$M363), O$4&lt;&gt;DATE(2025,7,4)), (SWITCH(weekday(O$4), 1, 0, 2, if(ISBLANK('2025'!$P363), 0, 1), 3, if(ISBLANK('2025'!$Q363), 0, 1), 4, if(ISBLANK('2025'!$R363), 0, 1), 5, if(ISBLANK('2025'!$S363), 0, 1), 6, if(ISBLANK('2025'!$T363), 0, 1), 7, 0))), 1, "")</f>
        <v/>
      </c>
      <c r="P365" s="1" t="str">
        <f>IF(AND(AND(AND(P$4&gt;='2025'!$L363,P$4&lt;='2025'!$M363), P$4&lt;&gt;DATE(2025,7,4)), (SWITCH(weekday(P$4), 1, 0, 2, if(ISBLANK('2025'!$P363), 0, 1), 3, if(ISBLANK('2025'!$Q363), 0, 1), 4, if(ISBLANK('2025'!$R363), 0, 1), 5, if(ISBLANK('2025'!$S363), 0, 1), 6, if(ISBLANK('2025'!$T363), 0, 1), 7, 0))), 1, "")</f>
        <v/>
      </c>
      <c r="Q365" s="1" t="str">
        <f>IF(AND(AND(AND(Q$4&gt;='2025'!$L363,Q$4&lt;='2025'!$M363), Q$4&lt;&gt;DATE(2025,7,4)), (SWITCH(weekday(Q$4), 1, 0, 2, if(ISBLANK('2025'!$P363), 0, 1), 3, if(ISBLANK('2025'!$Q363), 0, 1), 4, if(ISBLANK('2025'!$R363), 0, 1), 5, if(ISBLANK('2025'!$S363), 0, 1), 6, if(ISBLANK('2025'!$T363), 0, 1), 7, 0))), 1, "")</f>
        <v/>
      </c>
      <c r="R365" s="1" t="str">
        <f>IF(AND(AND(AND(R$4&gt;='2025'!$L363,R$4&lt;='2025'!$M363), R$4&lt;&gt;DATE(2025,7,4)), (SWITCH(weekday(R$4), 1, 0, 2, if(ISBLANK('2025'!$P363), 0, 1), 3, if(ISBLANK('2025'!$Q363), 0, 1), 4, if(ISBLANK('2025'!$R363), 0, 1), 5, if(ISBLANK('2025'!$S363), 0, 1), 6, if(ISBLANK('2025'!$T363), 0, 1), 7, 0))), 1, "")</f>
        <v/>
      </c>
      <c r="S365" s="1" t="str">
        <f>IF(AND(AND(AND(S$4&gt;='2025'!$L363,S$4&lt;='2025'!$M363), S$4&lt;&gt;DATE(2025,7,4)), (SWITCH(weekday(S$4), 1, 0, 2, if(ISBLANK('2025'!$P363), 0, 1), 3, if(ISBLANK('2025'!$Q363), 0, 1), 4, if(ISBLANK('2025'!$R363), 0, 1), 5, if(ISBLANK('2025'!$S363), 0, 1), 6, if(ISBLANK('2025'!$T363), 0, 1), 7, 0))), 1, "")</f>
        <v/>
      </c>
      <c r="T365" s="1" t="str">
        <f>IF(AND(AND(AND(T$4&gt;='2025'!$L363,T$4&lt;='2025'!$M363), T$4&lt;&gt;DATE(2025,7,4)), (SWITCH(weekday(T$4), 1, 0, 2, if(ISBLANK('2025'!$P363), 0, 1), 3, if(ISBLANK('2025'!$Q363), 0, 1), 4, if(ISBLANK('2025'!$R363), 0, 1), 5, if(ISBLANK('2025'!$S363), 0, 1), 6, if(ISBLANK('2025'!$T363), 0, 1), 7, 0))), 1, "")</f>
        <v/>
      </c>
      <c r="U365" s="1" t="str">
        <f>IF(AND(AND(AND(U$4&gt;='2025'!$L363,U$4&lt;='2025'!$M363), U$4&lt;&gt;DATE(2025,7,4)), (SWITCH(weekday(U$4), 1, 0, 2, if(ISBLANK('2025'!$P363), 0, 1), 3, if(ISBLANK('2025'!$Q363), 0, 1), 4, if(ISBLANK('2025'!$R363), 0, 1), 5, if(ISBLANK('2025'!$S363), 0, 1), 6, if(ISBLANK('2025'!$T363), 0, 1), 7, 0))), 1, "")</f>
        <v/>
      </c>
      <c r="V365" s="1" t="str">
        <f>IF(AND(AND(AND(V$4&gt;='2025'!$L363,V$4&lt;='2025'!$M363), V$4&lt;&gt;DATE(2025,7,4)), (SWITCH(weekday(V$4), 1, 0, 2, if(ISBLANK('2025'!$P363), 0, 1), 3, if(ISBLANK('2025'!$Q363), 0, 1), 4, if(ISBLANK('2025'!$R363), 0, 1), 5, if(ISBLANK('2025'!$S363), 0, 1), 6, if(ISBLANK('2025'!$T363), 0, 1), 7, 0))), 1, "")</f>
        <v/>
      </c>
      <c r="W365" s="1" t="str">
        <f>IF(AND(AND(AND(W$4&gt;='2025'!$L363,W$4&lt;='2025'!$M363), W$4&lt;&gt;DATE(2025,7,4)), (SWITCH(weekday(W$4), 1, 0, 2, if(ISBLANK('2025'!$P363), 0, 1), 3, if(ISBLANK('2025'!$Q363), 0, 1), 4, if(ISBLANK('2025'!$R363), 0, 1), 5, if(ISBLANK('2025'!$S363), 0, 1), 6, if(ISBLANK('2025'!$T363), 0, 1), 7, 0))), 1, "")</f>
        <v/>
      </c>
      <c r="X365" s="1" t="str">
        <f>IF(AND(AND(AND(X$4&gt;='2025'!$L363,X$4&lt;='2025'!$M363), X$4&lt;&gt;DATE(2025,7,4)), (SWITCH(weekday(X$4), 1, 0, 2, if(ISBLANK('2025'!$P363), 0, 1), 3, if(ISBLANK('2025'!$Q363), 0, 1), 4, if(ISBLANK('2025'!$R363), 0, 1), 5, if(ISBLANK('2025'!$S363), 0, 1), 6, if(ISBLANK('2025'!$T363), 0, 1), 7, 0))), 1, "")</f>
        <v/>
      </c>
      <c r="Y365" s="1" t="str">
        <f>IF(AND(AND(AND(Y$4&gt;='2025'!$L363,Y$4&lt;='2025'!$M363), Y$4&lt;&gt;DATE(2025,7,4)), (SWITCH(weekday(Y$4), 1, 0, 2, if(ISBLANK('2025'!$P363), 0, 1), 3, if(ISBLANK('2025'!$Q363), 0, 1), 4, if(ISBLANK('2025'!$R363), 0, 1), 5, if(ISBLANK('2025'!$S363), 0, 1), 6, if(ISBLANK('2025'!$T363), 0, 1), 7, 0))), 1, "")</f>
        <v/>
      </c>
      <c r="Z365" s="1" t="str">
        <f>IF(AND(AND(AND(Z$4&gt;='2025'!$L363,Z$4&lt;='2025'!$M363), Z$4&lt;&gt;DATE(2025,7,4)), (SWITCH(weekday(Z$4), 1, 0, 2, if(ISBLANK('2025'!$P363), 0, 1), 3, if(ISBLANK('2025'!$Q363), 0, 1), 4, if(ISBLANK('2025'!$R363), 0, 1), 5, if(ISBLANK('2025'!$S363), 0, 1), 6, if(ISBLANK('2025'!$T363), 0, 1), 7, 0))), 1, "")</f>
        <v/>
      </c>
      <c r="AA365" s="1" t="str">
        <f>IF(AND(AND(AND(AA$4&gt;='2025'!$L363,AA$4&lt;='2025'!$M363), AA$4&lt;&gt;DATE(2025,7,4)), (SWITCH(weekday(AA$4), 1, 0, 2, if(ISBLANK('2025'!$P363), 0, 1), 3, if(ISBLANK('2025'!$Q363), 0, 1), 4, if(ISBLANK('2025'!$R363), 0, 1), 5, if(ISBLANK('2025'!$S363), 0, 1), 6, if(ISBLANK('2025'!$T363), 0, 1), 7, 0))), 1, "")</f>
        <v/>
      </c>
      <c r="AB365" s="1" t="str">
        <f>IF(AND(AND(AND(AB$4&gt;='2025'!$L363,AB$4&lt;='2025'!$M363), AB$4&lt;&gt;DATE(2025,7,4)), (SWITCH(weekday(AB$4), 1, 0, 2, if(ISBLANK('2025'!$P363), 0, 1), 3, if(ISBLANK('2025'!$Q363), 0, 1), 4, if(ISBLANK('2025'!$R363), 0, 1), 5, if(ISBLANK('2025'!$S363), 0, 1), 6, if(ISBLANK('2025'!$T363), 0, 1), 7, 0))), 1, "")</f>
        <v/>
      </c>
      <c r="AC365" s="1" t="str">
        <f>IF(AND(AND(AND(AC$4&gt;='2025'!$L363,AC$4&lt;='2025'!$M363), AC$4&lt;&gt;DATE(2025,7,4)), (SWITCH(weekday(AC$4), 1, 0, 2, if(ISBLANK('2025'!$P363), 0, 1), 3, if(ISBLANK('2025'!$Q363), 0, 1), 4, if(ISBLANK('2025'!$R363), 0, 1), 5, if(ISBLANK('2025'!$S363), 0, 1), 6, if(ISBLANK('2025'!$T363), 0, 1), 7, 0))), 1, "")</f>
        <v/>
      </c>
      <c r="AD365" s="1" t="str">
        <f>IF(AND(AND(AND(AD$4&gt;='2025'!$L363,AD$4&lt;='2025'!$M363), AD$4&lt;&gt;DATE(2025,7,4)), (SWITCH(weekday(AD$4), 1, 0, 2, if(ISBLANK('2025'!$P363), 0, 1), 3, if(ISBLANK('2025'!$Q363), 0, 1), 4, if(ISBLANK('2025'!$R363), 0, 1), 5, if(ISBLANK('2025'!$S363), 0, 1), 6, if(ISBLANK('2025'!$T363), 0, 1), 7, 0))), 1, "")</f>
        <v/>
      </c>
      <c r="AE365" s="1" t="str">
        <f>IF(AND(AND(AND(AE$4&gt;='2025'!$L363,AE$4&lt;='2025'!$M363), AE$4&lt;&gt;DATE(2025,7,4)), (SWITCH(weekday(AE$4), 1, 0, 2, if(ISBLANK('2025'!$P363), 0, 1), 3, if(ISBLANK('2025'!$Q363), 0, 1), 4, if(ISBLANK('2025'!$R363), 0, 1), 5, if(ISBLANK('2025'!$S363), 0, 1), 6, if(ISBLANK('2025'!$T363), 0, 1), 7, 0))), 1, "")</f>
        <v/>
      </c>
      <c r="AF365" s="1" t="str">
        <f>IF(AND(AND(AND(AF$4&gt;='2025'!$L363,AF$4&lt;='2025'!$M363), AF$4&lt;&gt;DATE(2025,7,4)), (SWITCH(weekday(AF$4), 1, 0, 2, if(ISBLANK('2025'!$P363), 0, 1), 3, if(ISBLANK('2025'!$Q363), 0, 1), 4, if(ISBLANK('2025'!$R363), 0, 1), 5, if(ISBLANK('2025'!$S363), 0, 1), 6, if(ISBLANK('2025'!$T363), 0, 1), 7, 0))), 1, "")</f>
        <v/>
      </c>
      <c r="AG365" s="1" t="str">
        <f>IF(AND(AND(AND(AG$4&gt;='2025'!$L363,AG$4&lt;='2025'!$M363), AG$4&lt;&gt;DATE(2025,7,4)), (SWITCH(weekday(AG$4), 1, 0, 2, if(ISBLANK('2025'!$P363), 0, 1), 3, if(ISBLANK('2025'!$Q363), 0, 1), 4, if(ISBLANK('2025'!$R363), 0, 1), 5, if(ISBLANK('2025'!$S363), 0, 1), 6, if(ISBLANK('2025'!$T363), 0, 1), 7, 0))), 1, "")</f>
        <v/>
      </c>
      <c r="AH365" s="1" t="str">
        <f>IF(AND(AND(AND(AH$4&gt;='2025'!$L363,AH$4&lt;='2025'!$M363), AH$4&lt;&gt;DATE(2025,7,4)), (SWITCH(weekday(AH$4), 1, 0, 2, if(ISBLANK('2025'!$P363), 0, 1), 3, if(ISBLANK('2025'!$Q363), 0, 1), 4, if(ISBLANK('2025'!$R363), 0, 1), 5, if(ISBLANK('2025'!$S363), 0, 1), 6, if(ISBLANK('2025'!$T363), 0, 1), 7, 0))), 1, "")</f>
        <v/>
      </c>
      <c r="AI365" s="1" t="str">
        <f>IF(AND(AND(AND(AI$4&gt;='2025'!$L363,AI$4&lt;='2025'!$M363), AI$4&lt;&gt;DATE(2025,7,4)), (SWITCH(weekday(AI$4), 1, 0, 2, if(ISBLANK('2025'!$P363), 0, 1), 3, if(ISBLANK('2025'!$Q363), 0, 1), 4, if(ISBLANK('2025'!$R363), 0, 1), 5, if(ISBLANK('2025'!$S363), 0, 1), 6, if(ISBLANK('2025'!$T363), 0, 1), 7, 0))), 1, "")</f>
        <v/>
      </c>
      <c r="AJ365" s="1" t="str">
        <f>IF(AND(AND(AND(AJ$4&gt;='2025'!$L363,AJ$4&lt;='2025'!$M363), AJ$4&lt;&gt;DATE(2025,7,4)), (SWITCH(weekday(AJ$4), 1, 0, 2, if(ISBLANK('2025'!$P363), 0, 1), 3, if(ISBLANK('2025'!$Q363), 0, 1), 4, if(ISBLANK('2025'!$R363), 0, 1), 5, if(ISBLANK('2025'!$S363), 0, 1), 6, if(ISBLANK('2025'!$T363), 0, 1), 7, 0))), 1, "")</f>
        <v/>
      </c>
      <c r="AK365" s="1" t="str">
        <f>IF(AND(AND(AND(AK$4&gt;='2025'!$L363,AK$4&lt;='2025'!$M363), AK$4&lt;&gt;DATE(2025,7,4)), (SWITCH(weekday(AK$4), 1, 0, 2, if(ISBLANK('2025'!$P363), 0, 1), 3, if(ISBLANK('2025'!$Q363), 0, 1), 4, if(ISBLANK('2025'!$R363), 0, 1), 5, if(ISBLANK('2025'!$S363), 0, 1), 6, if(ISBLANK('2025'!$T363), 0, 1), 7, 0))), 1, "")</f>
        <v/>
      </c>
      <c r="AL365" s="1" t="str">
        <f>IF(AND(AND(AND(AL$4&gt;='2025'!$L363,AL$4&lt;='2025'!$M363), AL$4&lt;&gt;DATE(2025,7,4)), (SWITCH(weekday(AL$4), 1, 0, 2, if(ISBLANK('2025'!$P363), 0, 1), 3, if(ISBLANK('2025'!$Q363), 0, 1), 4, if(ISBLANK('2025'!$R363), 0, 1), 5, if(ISBLANK('2025'!$S363), 0, 1), 6, if(ISBLANK('2025'!$T363), 0, 1), 7, 0))), 1, "")</f>
        <v/>
      </c>
      <c r="AM365" s="1" t="str">
        <f>IF(AND(AND(AND(AM$4&gt;='2025'!$L363,AM$4&lt;='2025'!$M363), AM$4&lt;&gt;DATE(2025,7,4)), (SWITCH(weekday(AM$4), 1, 0, 2, if(ISBLANK('2025'!$P363), 0, 1), 3, if(ISBLANK('2025'!$Q363), 0, 1), 4, if(ISBLANK('2025'!$R363), 0, 1), 5, if(ISBLANK('2025'!$S363), 0, 1), 6, if(ISBLANK('2025'!$T363), 0, 1), 7, 0))), 1, "")</f>
        <v/>
      </c>
      <c r="AN365" s="1" t="str">
        <f>IF(AND(AND(AND(AN$4&gt;='2025'!$L363,AN$4&lt;='2025'!$M363), AN$4&lt;&gt;DATE(2025,7,4)), (SWITCH(weekday(AN$4), 1, 0, 2, if(ISBLANK('2025'!$P363), 0, 1), 3, if(ISBLANK('2025'!$Q363), 0, 1), 4, if(ISBLANK('2025'!$R363), 0, 1), 5, if(ISBLANK('2025'!$S363), 0, 1), 6, if(ISBLANK('2025'!$T363), 0, 1), 7, 0))), 1, "")</f>
        <v/>
      </c>
      <c r="AO365" s="1" t="str">
        <f>IF(AND(AND(AND(AO$4&gt;='2025'!$L363,AO$4&lt;='2025'!$M363), AO$4&lt;&gt;DATE(2025,7,4)), (SWITCH(weekday(AO$4), 1, 0, 2, if(ISBLANK('2025'!$P363), 0, 1), 3, if(ISBLANK('2025'!$Q363), 0, 1), 4, if(ISBLANK('2025'!$R363), 0, 1), 5, if(ISBLANK('2025'!$S363), 0, 1), 6, if(ISBLANK('2025'!$T363), 0, 1), 7, 0))), 1, "")</f>
        <v/>
      </c>
      <c r="AP365" s="1" t="str">
        <f>IF(AND(AND(AND(AP$4&gt;='2025'!$L363,AP$4&lt;='2025'!$M363), AP$4&lt;&gt;DATE(2025,7,4)), (SWITCH(weekday(AP$4), 1, 0, 2, if(ISBLANK('2025'!$P363), 0, 1), 3, if(ISBLANK('2025'!$Q363), 0, 1), 4, if(ISBLANK('2025'!$R363), 0, 1), 5, if(ISBLANK('2025'!$S363), 0, 1), 6, if(ISBLANK('2025'!$T363), 0, 1), 7, 0))), 1, "")</f>
        <v/>
      </c>
      <c r="AQ365" s="1" t="str">
        <f>IF(AND(AND(AND(AQ$4&gt;='2025'!$L363,AQ$4&lt;='2025'!$M363), AQ$4&lt;&gt;DATE(2025,7,4)), (SWITCH(weekday(AQ$4), 1, 0, 2, if(ISBLANK('2025'!$P363), 0, 1), 3, if(ISBLANK('2025'!$Q363), 0, 1), 4, if(ISBLANK('2025'!$R363), 0, 1), 5, if(ISBLANK('2025'!$S363), 0, 1), 6, if(ISBLANK('2025'!$T363), 0, 1), 7, 0))), 1, "")</f>
        <v/>
      </c>
      <c r="AR365" s="1" t="str">
        <f>IF(AND(AND(AND(AR$4&gt;='2025'!$L363,AR$4&lt;='2025'!$M363), AR$4&lt;&gt;DATE(2025,7,4)), (SWITCH(weekday(AR$4), 1, 0, 2, if(ISBLANK('2025'!$P363), 0, 1), 3, if(ISBLANK('2025'!$Q363), 0, 1), 4, if(ISBLANK('2025'!$R363), 0, 1), 5, if(ISBLANK('2025'!$S363), 0, 1), 6, if(ISBLANK('2025'!$T363), 0, 1), 7, 0))), 1, "")</f>
        <v/>
      </c>
      <c r="AS365" s="1" t="str">
        <f>IF(AND(AND(AND(AS$4&gt;='2025'!$L363,AS$4&lt;='2025'!$M363), AS$4&lt;&gt;DATE(2025,7,4)), (SWITCH(weekday(AS$4), 1, 0, 2, if(ISBLANK('2025'!$P363), 0, 1), 3, if(ISBLANK('2025'!$Q363), 0, 1), 4, if(ISBLANK('2025'!$R363), 0, 1), 5, if(ISBLANK('2025'!$S363), 0, 1), 6, if(ISBLANK('2025'!$T363), 0, 1), 7, 0))), 1, "")</f>
        <v/>
      </c>
      <c r="AT365" s="1" t="str">
        <f>IF(AND(AND(AND(AT$4&gt;='2025'!$L363,AT$4&lt;='2025'!$M363), AT$4&lt;&gt;DATE(2025,7,4)), (SWITCH(weekday(AT$4), 1, 0, 2, if(ISBLANK('2025'!$P363), 0, 1), 3, if(ISBLANK('2025'!$Q363), 0, 1), 4, if(ISBLANK('2025'!$R363), 0, 1), 5, if(ISBLANK('2025'!$S363), 0, 1), 6, if(ISBLANK('2025'!$T363), 0, 1), 7, 0))), 1, "")</f>
        <v/>
      </c>
      <c r="AU365" s="1" t="str">
        <f>IF(AND(AND(AND(AU$4&gt;='2025'!$L363,AU$4&lt;='2025'!$M363), AU$4&lt;&gt;DATE(2025,7,4)), (SWITCH(weekday(AU$4), 1, 0, 2, if(ISBLANK('2025'!$P363), 0, 1), 3, if(ISBLANK('2025'!$Q363), 0, 1), 4, if(ISBLANK('2025'!$R363), 0, 1), 5, if(ISBLANK('2025'!$S363), 0, 1), 6, if(ISBLANK('2025'!$T363), 0, 1), 7, 0))), 1, "")</f>
        <v/>
      </c>
      <c r="AV365" s="1" t="str">
        <f>IF(AND(AND(AND(AV$4&gt;='2025'!$L363,AV$4&lt;='2025'!$M363), AV$4&lt;&gt;DATE(2025,7,4)), (SWITCH(weekday(AV$4), 1, 0, 2, if(ISBLANK('2025'!$P363), 0, 1), 3, if(ISBLANK('2025'!$Q363), 0, 1), 4, if(ISBLANK('2025'!$R363), 0, 1), 5, if(ISBLANK('2025'!$S363), 0, 1), 6, if(ISBLANK('2025'!$T363), 0, 1), 7, 0))), 1, "")</f>
        <v/>
      </c>
      <c r="AW365" s="1" t="str">
        <f>IF(AND(AND(AND(AW$4&gt;='2025'!$L363,AW$4&lt;='2025'!$M363), AW$4&lt;&gt;DATE(2025,7,4)), (SWITCH(weekday(AW$4), 1, 0, 2, if(ISBLANK('2025'!$P363), 0, 1), 3, if(ISBLANK('2025'!$Q363), 0, 1), 4, if(ISBLANK('2025'!$R363), 0, 1), 5, if(ISBLANK('2025'!$S363), 0, 1), 6, if(ISBLANK('2025'!$T363), 0, 1), 7, 0))), 1, "")</f>
        <v/>
      </c>
      <c r="AX365" s="1" t="str">
        <f>IF(AND(AND(AND(AX$4&gt;='2025'!$L363,AX$4&lt;='2025'!$M363), AX$4&lt;&gt;DATE(2025,7,4)), (SWITCH(weekday(AX$4), 1, 0, 2, if(ISBLANK('2025'!$P363), 0, 1), 3, if(ISBLANK('2025'!$Q363), 0, 1), 4, if(ISBLANK('2025'!$R363), 0, 1), 5, if(ISBLANK('2025'!$S363), 0, 1), 6, if(ISBLANK('2025'!$T363), 0, 1), 7, 0))), 1, "")</f>
        <v/>
      </c>
      <c r="AY365" s="1" t="str">
        <f>IF(AND(AND(AND(AY$4&gt;='2025'!$L363,AY$4&lt;='2025'!$M363), AY$4&lt;&gt;DATE(2025,7,4)), (SWITCH(weekday(AY$4), 1, 0, 2, if(ISBLANK('2025'!$P363), 0, 1), 3, if(ISBLANK('2025'!$Q363), 0, 1), 4, if(ISBLANK('2025'!$R363), 0, 1), 5, if(ISBLANK('2025'!$S363), 0, 1), 6, if(ISBLANK('2025'!$T363), 0, 1), 7, 0))), 1, "")</f>
        <v/>
      </c>
      <c r="AZ365" s="1" t="str">
        <f>IF(AND(AND(AND(AZ$4&gt;='2025'!$L363,AZ$4&lt;='2025'!$M363), AZ$4&lt;&gt;DATE(2025,7,4)), (SWITCH(weekday(AZ$4), 1, 0, 2, if(ISBLANK('2025'!$P363), 0, 1), 3, if(ISBLANK('2025'!$Q363), 0, 1), 4, if(ISBLANK('2025'!$R363), 0, 1), 5, if(ISBLANK('2025'!$S363), 0, 1), 6, if(ISBLANK('2025'!$T363), 0, 1), 7, 0))), 1, "")</f>
        <v/>
      </c>
      <c r="BA365" s="1" t="str">
        <f>IF(AND(AND(AND(BA$4&gt;='2025'!$L363,BA$4&lt;='2025'!$M363), BA$4&lt;&gt;DATE(2025,7,4)), (SWITCH(weekday(BA$4), 1, 0, 2, if(ISBLANK('2025'!$P363), 0, 1), 3, if(ISBLANK('2025'!$Q363), 0, 1), 4, if(ISBLANK('2025'!$R363), 0, 1), 5, if(ISBLANK('2025'!$S363), 0, 1), 6, if(ISBLANK('2025'!$T363), 0, 1), 7, 0))), 1, "")</f>
        <v/>
      </c>
      <c r="BB365" s="1" t="str">
        <f>IF(AND(AND(AND(BB$4&gt;='2025'!$L363,BB$4&lt;='2025'!$M363), BB$4&lt;&gt;DATE(2025,7,4)), (SWITCH(weekday(BB$4), 1, 0, 2, if(ISBLANK('2025'!$P363), 0, 1), 3, if(ISBLANK('2025'!$Q363), 0, 1), 4, if(ISBLANK('2025'!$R363), 0, 1), 5, if(ISBLANK('2025'!$S363), 0, 1), 6, if(ISBLANK('2025'!$T363), 0, 1), 7, 0))), 1, "")</f>
        <v/>
      </c>
      <c r="BC365" s="1" t="str">
        <f>IF(AND(AND(AND(BC$4&gt;='2025'!$L363,BC$4&lt;='2025'!$M363), BC$4&lt;&gt;DATE(2025,7,4)), (SWITCH(weekday(BC$4), 1, 0, 2, if(ISBLANK('2025'!$P363), 0, 1), 3, if(ISBLANK('2025'!$Q363), 0, 1), 4, if(ISBLANK('2025'!$R363), 0, 1), 5, if(ISBLANK('2025'!$S363), 0, 1), 6, if(ISBLANK('2025'!$T363), 0, 1), 7, 0))), 1, "")</f>
        <v/>
      </c>
      <c r="BD365" s="1" t="str">
        <f>IF(AND(AND(AND(BD$4&gt;='2025'!$L363,BD$4&lt;='2025'!$M363), BD$4&lt;&gt;DATE(2025,7,4)), (SWITCH(weekday(BD$4), 1, 0, 2, if(ISBLANK('2025'!$P363), 0, 1), 3, if(ISBLANK('2025'!$Q363), 0, 1), 4, if(ISBLANK('2025'!$R363), 0, 1), 5, if(ISBLANK('2025'!$S363), 0, 1), 6, if(ISBLANK('2025'!$T363), 0, 1), 7, 0))), 1, "")</f>
        <v/>
      </c>
      <c r="BE365" s="1" t="str">
        <f>IF(AND(AND(AND(BE$4&gt;='2025'!$L363,BE$4&lt;='2025'!$M363), BE$4&lt;&gt;DATE(2025,7,4)), (SWITCH(weekday(BE$4), 1, 0, 2, if(ISBLANK('2025'!$P363), 0, 1), 3, if(ISBLANK('2025'!$Q363), 0, 1), 4, if(ISBLANK('2025'!$R363), 0, 1), 5, if(ISBLANK('2025'!$S363), 0, 1), 6, if(ISBLANK('2025'!$T363), 0, 1), 7, 0))), 1, "")</f>
        <v/>
      </c>
      <c r="BF365" s="1" t="str">
        <f>IF(AND(AND(AND(BF$4&gt;='2025'!$L363,BF$4&lt;='2025'!$M363), BF$4&lt;&gt;DATE(2025,7,4)), (SWITCH(weekday(BF$4), 1, 0, 2, if(ISBLANK('2025'!$P363), 0, 1), 3, if(ISBLANK('2025'!$Q363), 0, 1), 4, if(ISBLANK('2025'!$R363), 0, 1), 5, if(ISBLANK('2025'!$S363), 0, 1), 6, if(ISBLANK('2025'!$T363), 0, 1), 7, 0))), 1, "")</f>
        <v/>
      </c>
      <c r="BG365" s="1"/>
      <c r="BH365" s="1"/>
      <c r="BI365" s="1"/>
      <c r="BJ365" s="1"/>
      <c r="BK365" s="1"/>
      <c r="BL365" s="1"/>
    </row>
    <row r="366">
      <c r="A366" s="1">
        <f t="shared" si="3"/>
        <v>366</v>
      </c>
      <c r="B366" s="1" t="str">
        <f>'2025'!D330</f>
        <v>, </v>
      </c>
      <c r="C366" s="1" t="str">
        <f>'2025'!H330</f>
        <v/>
      </c>
      <c r="D366" s="1" t="str">
        <f>IF(AND(AND(AND(D$4&gt;='2025'!$L364,D$4&lt;='2025'!$M364), D$4&lt;&gt;DATE(2025,7,4)), (SWITCH(weekday(D$4), 1, 0, 2, if(ISBLANK('2025'!$P364), 0, 1), 3, if(ISBLANK('2025'!$Q364), 0, 1), 4, if(ISBLANK('2025'!$R364), 0, 1), 5, if(ISBLANK('2025'!$S364), 0, 1), 6, if(ISBLANK('2025'!$T364), 0, 1), 7, 0))), 1, "")</f>
        <v/>
      </c>
      <c r="E366" s="1" t="str">
        <f>IF(AND(AND(AND(E$4&gt;='2025'!$L364,E$4&lt;='2025'!$M364), E$4&lt;&gt;DATE(2025,7,4)), (SWITCH(weekday(E$4), 1, 0, 2, if(ISBLANK('2025'!$P364), 0, 1), 3, if(ISBLANK('2025'!$Q364), 0, 1), 4, if(ISBLANK('2025'!$R364), 0, 1), 5, if(ISBLANK('2025'!$S364), 0, 1), 6, if(ISBLANK('2025'!$T364), 0, 1), 7, 0))), 1, "")</f>
        <v/>
      </c>
      <c r="F366" s="1" t="str">
        <f>IF(AND(AND(AND(F$4&gt;='2025'!$L364,F$4&lt;='2025'!$M364), F$4&lt;&gt;DATE(2025,7,4)), (SWITCH(weekday(F$4), 1, 0, 2, if(ISBLANK('2025'!$P364), 0, 1), 3, if(ISBLANK('2025'!$Q364), 0, 1), 4, if(ISBLANK('2025'!$R364), 0, 1), 5, if(ISBLANK('2025'!$S364), 0, 1), 6, if(ISBLANK('2025'!$T364), 0, 1), 7, 0))), 1, "")</f>
        <v/>
      </c>
      <c r="G366" s="1" t="str">
        <f>IF(AND(AND(AND(G$4&gt;='2025'!$L364,G$4&lt;='2025'!$M364), G$4&lt;&gt;DATE(2025,7,4)), (SWITCH(weekday(G$4), 1, 0, 2, if(ISBLANK('2025'!$P364), 0, 1), 3, if(ISBLANK('2025'!$Q364), 0, 1), 4, if(ISBLANK('2025'!$R364), 0, 1), 5, if(ISBLANK('2025'!$S364), 0, 1), 6, if(ISBLANK('2025'!$T364), 0, 1), 7, 0))), 1, "")</f>
        <v/>
      </c>
      <c r="H366" s="1" t="str">
        <f>IF(AND(AND(AND(H$4&gt;='2025'!$L364,H$4&lt;='2025'!$M364), H$4&lt;&gt;DATE(2025,7,4)), (SWITCH(weekday(H$4), 1, 0, 2, if(ISBLANK('2025'!$P364), 0, 1), 3, if(ISBLANK('2025'!$Q364), 0, 1), 4, if(ISBLANK('2025'!$R364), 0, 1), 5, if(ISBLANK('2025'!$S364), 0, 1), 6, if(ISBLANK('2025'!$T364), 0, 1), 7, 0))), 1, "")</f>
        <v/>
      </c>
      <c r="I366" s="1" t="str">
        <f>IF(AND(AND(AND(I$4&gt;='2025'!$L364,I$4&lt;='2025'!$M364), I$4&lt;&gt;DATE(2025,7,4)), (SWITCH(weekday(I$4), 1, 0, 2, if(ISBLANK('2025'!$P364), 0, 1), 3, if(ISBLANK('2025'!$Q364), 0, 1), 4, if(ISBLANK('2025'!$R364), 0, 1), 5, if(ISBLANK('2025'!$S364), 0, 1), 6, if(ISBLANK('2025'!$T364), 0, 1), 7, 0))), 1, "")</f>
        <v/>
      </c>
      <c r="J366" s="1" t="str">
        <f>IF(AND(AND(AND(J$4&gt;='2025'!$L364,J$4&lt;='2025'!$M364), J$4&lt;&gt;DATE(2025,7,4)), (SWITCH(weekday(J$4), 1, 0, 2, if(ISBLANK('2025'!$P364), 0, 1), 3, if(ISBLANK('2025'!$Q364), 0, 1), 4, if(ISBLANK('2025'!$R364), 0, 1), 5, if(ISBLANK('2025'!$S364), 0, 1), 6, if(ISBLANK('2025'!$T364), 0, 1), 7, 0))), 1, "")</f>
        <v/>
      </c>
      <c r="K366" s="1" t="str">
        <f>IF(AND(AND(AND(K$4&gt;='2025'!$L364,K$4&lt;='2025'!$M364), K$4&lt;&gt;DATE(2025,7,4)), (SWITCH(weekday(K$4), 1, 0, 2, if(ISBLANK('2025'!$P364), 0, 1), 3, if(ISBLANK('2025'!$Q364), 0, 1), 4, if(ISBLANK('2025'!$R364), 0, 1), 5, if(ISBLANK('2025'!$S364), 0, 1), 6, if(ISBLANK('2025'!$T364), 0, 1), 7, 0))), 1, "")</f>
        <v/>
      </c>
      <c r="L366" s="1" t="str">
        <f>IF(AND(AND(AND(L$4&gt;='2025'!$L364,L$4&lt;='2025'!$M364), L$4&lt;&gt;DATE(2025,7,4)), (SWITCH(weekday(L$4), 1, 0, 2, if(ISBLANK('2025'!$P364), 0, 1), 3, if(ISBLANK('2025'!$Q364), 0, 1), 4, if(ISBLANK('2025'!$R364), 0, 1), 5, if(ISBLANK('2025'!$S364), 0, 1), 6, if(ISBLANK('2025'!$T364), 0, 1), 7, 0))), 1, "")</f>
        <v/>
      </c>
      <c r="M366" s="1" t="str">
        <f>IF(AND(AND(AND(M$4&gt;='2025'!$L364,M$4&lt;='2025'!$M364), M$4&lt;&gt;DATE(2025,7,4)), (SWITCH(weekday(M$4), 1, 0, 2, if(ISBLANK('2025'!$P364), 0, 1), 3, if(ISBLANK('2025'!$Q364), 0, 1), 4, if(ISBLANK('2025'!$R364), 0, 1), 5, if(ISBLANK('2025'!$S364), 0, 1), 6, if(ISBLANK('2025'!$T364), 0, 1), 7, 0))), 1, "")</f>
        <v/>
      </c>
      <c r="N366" s="1" t="str">
        <f>IF(AND(AND(AND(N$4&gt;='2025'!$L364,N$4&lt;='2025'!$M364), N$4&lt;&gt;DATE(2025,7,4)), (SWITCH(weekday(N$4), 1, 0, 2, if(ISBLANK('2025'!$P364), 0, 1), 3, if(ISBLANK('2025'!$Q364), 0, 1), 4, if(ISBLANK('2025'!$R364), 0, 1), 5, if(ISBLANK('2025'!$S364), 0, 1), 6, if(ISBLANK('2025'!$T364), 0, 1), 7, 0))), 1, "")</f>
        <v/>
      </c>
      <c r="O366" s="1" t="str">
        <f>IF(AND(AND(AND(O$4&gt;='2025'!$L364,O$4&lt;='2025'!$M364), O$4&lt;&gt;DATE(2025,7,4)), (SWITCH(weekday(O$4), 1, 0, 2, if(ISBLANK('2025'!$P364), 0, 1), 3, if(ISBLANK('2025'!$Q364), 0, 1), 4, if(ISBLANK('2025'!$R364), 0, 1), 5, if(ISBLANK('2025'!$S364), 0, 1), 6, if(ISBLANK('2025'!$T364), 0, 1), 7, 0))), 1, "")</f>
        <v/>
      </c>
      <c r="P366" s="1" t="str">
        <f>IF(AND(AND(AND(P$4&gt;='2025'!$L364,P$4&lt;='2025'!$M364), P$4&lt;&gt;DATE(2025,7,4)), (SWITCH(weekday(P$4), 1, 0, 2, if(ISBLANK('2025'!$P364), 0, 1), 3, if(ISBLANK('2025'!$Q364), 0, 1), 4, if(ISBLANK('2025'!$R364), 0, 1), 5, if(ISBLANK('2025'!$S364), 0, 1), 6, if(ISBLANK('2025'!$T364), 0, 1), 7, 0))), 1, "")</f>
        <v/>
      </c>
      <c r="Q366" s="1" t="str">
        <f>IF(AND(AND(AND(Q$4&gt;='2025'!$L364,Q$4&lt;='2025'!$M364), Q$4&lt;&gt;DATE(2025,7,4)), (SWITCH(weekday(Q$4), 1, 0, 2, if(ISBLANK('2025'!$P364), 0, 1), 3, if(ISBLANK('2025'!$Q364), 0, 1), 4, if(ISBLANK('2025'!$R364), 0, 1), 5, if(ISBLANK('2025'!$S364), 0, 1), 6, if(ISBLANK('2025'!$T364), 0, 1), 7, 0))), 1, "")</f>
        <v/>
      </c>
      <c r="R366" s="1" t="str">
        <f>IF(AND(AND(AND(R$4&gt;='2025'!$L364,R$4&lt;='2025'!$M364), R$4&lt;&gt;DATE(2025,7,4)), (SWITCH(weekday(R$4), 1, 0, 2, if(ISBLANK('2025'!$P364), 0, 1), 3, if(ISBLANK('2025'!$Q364), 0, 1), 4, if(ISBLANK('2025'!$R364), 0, 1), 5, if(ISBLANK('2025'!$S364), 0, 1), 6, if(ISBLANK('2025'!$T364), 0, 1), 7, 0))), 1, "")</f>
        <v/>
      </c>
      <c r="S366" s="1" t="str">
        <f>IF(AND(AND(AND(S$4&gt;='2025'!$L364,S$4&lt;='2025'!$M364), S$4&lt;&gt;DATE(2025,7,4)), (SWITCH(weekday(S$4), 1, 0, 2, if(ISBLANK('2025'!$P364), 0, 1), 3, if(ISBLANK('2025'!$Q364), 0, 1), 4, if(ISBLANK('2025'!$R364), 0, 1), 5, if(ISBLANK('2025'!$S364), 0, 1), 6, if(ISBLANK('2025'!$T364), 0, 1), 7, 0))), 1, "")</f>
        <v/>
      </c>
      <c r="T366" s="1" t="str">
        <f>IF(AND(AND(AND(T$4&gt;='2025'!$L364,T$4&lt;='2025'!$M364), T$4&lt;&gt;DATE(2025,7,4)), (SWITCH(weekday(T$4), 1, 0, 2, if(ISBLANK('2025'!$P364), 0, 1), 3, if(ISBLANK('2025'!$Q364), 0, 1), 4, if(ISBLANK('2025'!$R364), 0, 1), 5, if(ISBLANK('2025'!$S364), 0, 1), 6, if(ISBLANK('2025'!$T364), 0, 1), 7, 0))), 1, "")</f>
        <v/>
      </c>
      <c r="U366" s="1" t="str">
        <f>IF(AND(AND(AND(U$4&gt;='2025'!$L364,U$4&lt;='2025'!$M364), U$4&lt;&gt;DATE(2025,7,4)), (SWITCH(weekday(U$4), 1, 0, 2, if(ISBLANK('2025'!$P364), 0, 1), 3, if(ISBLANK('2025'!$Q364), 0, 1), 4, if(ISBLANK('2025'!$R364), 0, 1), 5, if(ISBLANK('2025'!$S364), 0, 1), 6, if(ISBLANK('2025'!$T364), 0, 1), 7, 0))), 1, "")</f>
        <v/>
      </c>
      <c r="V366" s="1" t="str">
        <f>IF(AND(AND(AND(V$4&gt;='2025'!$L364,V$4&lt;='2025'!$M364), V$4&lt;&gt;DATE(2025,7,4)), (SWITCH(weekday(V$4), 1, 0, 2, if(ISBLANK('2025'!$P364), 0, 1), 3, if(ISBLANK('2025'!$Q364), 0, 1), 4, if(ISBLANK('2025'!$R364), 0, 1), 5, if(ISBLANK('2025'!$S364), 0, 1), 6, if(ISBLANK('2025'!$T364), 0, 1), 7, 0))), 1, "")</f>
        <v/>
      </c>
      <c r="W366" s="1" t="str">
        <f>IF(AND(AND(AND(W$4&gt;='2025'!$L364,W$4&lt;='2025'!$M364), W$4&lt;&gt;DATE(2025,7,4)), (SWITCH(weekday(W$4), 1, 0, 2, if(ISBLANK('2025'!$P364), 0, 1), 3, if(ISBLANK('2025'!$Q364), 0, 1), 4, if(ISBLANK('2025'!$R364), 0, 1), 5, if(ISBLANK('2025'!$S364), 0, 1), 6, if(ISBLANK('2025'!$T364), 0, 1), 7, 0))), 1, "")</f>
        <v/>
      </c>
      <c r="X366" s="1" t="str">
        <f>IF(AND(AND(AND(X$4&gt;='2025'!$L364,X$4&lt;='2025'!$M364), X$4&lt;&gt;DATE(2025,7,4)), (SWITCH(weekday(X$4), 1, 0, 2, if(ISBLANK('2025'!$P364), 0, 1), 3, if(ISBLANK('2025'!$Q364), 0, 1), 4, if(ISBLANK('2025'!$R364), 0, 1), 5, if(ISBLANK('2025'!$S364), 0, 1), 6, if(ISBLANK('2025'!$T364), 0, 1), 7, 0))), 1, "")</f>
        <v/>
      </c>
      <c r="Y366" s="1" t="str">
        <f>IF(AND(AND(AND(Y$4&gt;='2025'!$L364,Y$4&lt;='2025'!$M364), Y$4&lt;&gt;DATE(2025,7,4)), (SWITCH(weekday(Y$4), 1, 0, 2, if(ISBLANK('2025'!$P364), 0, 1), 3, if(ISBLANK('2025'!$Q364), 0, 1), 4, if(ISBLANK('2025'!$R364), 0, 1), 5, if(ISBLANK('2025'!$S364), 0, 1), 6, if(ISBLANK('2025'!$T364), 0, 1), 7, 0))), 1, "")</f>
        <v/>
      </c>
      <c r="Z366" s="1" t="str">
        <f>IF(AND(AND(AND(Z$4&gt;='2025'!$L364,Z$4&lt;='2025'!$M364), Z$4&lt;&gt;DATE(2025,7,4)), (SWITCH(weekday(Z$4), 1, 0, 2, if(ISBLANK('2025'!$P364), 0, 1), 3, if(ISBLANK('2025'!$Q364), 0, 1), 4, if(ISBLANK('2025'!$R364), 0, 1), 5, if(ISBLANK('2025'!$S364), 0, 1), 6, if(ISBLANK('2025'!$T364), 0, 1), 7, 0))), 1, "")</f>
        <v/>
      </c>
      <c r="AA366" s="1" t="str">
        <f>IF(AND(AND(AND(AA$4&gt;='2025'!$L364,AA$4&lt;='2025'!$M364), AA$4&lt;&gt;DATE(2025,7,4)), (SWITCH(weekday(AA$4), 1, 0, 2, if(ISBLANK('2025'!$P364), 0, 1), 3, if(ISBLANK('2025'!$Q364), 0, 1), 4, if(ISBLANK('2025'!$R364), 0, 1), 5, if(ISBLANK('2025'!$S364), 0, 1), 6, if(ISBLANK('2025'!$T364), 0, 1), 7, 0))), 1, "")</f>
        <v/>
      </c>
      <c r="AB366" s="1" t="str">
        <f>IF(AND(AND(AND(AB$4&gt;='2025'!$L364,AB$4&lt;='2025'!$M364), AB$4&lt;&gt;DATE(2025,7,4)), (SWITCH(weekday(AB$4), 1, 0, 2, if(ISBLANK('2025'!$P364), 0, 1), 3, if(ISBLANK('2025'!$Q364), 0, 1), 4, if(ISBLANK('2025'!$R364), 0, 1), 5, if(ISBLANK('2025'!$S364), 0, 1), 6, if(ISBLANK('2025'!$T364), 0, 1), 7, 0))), 1, "")</f>
        <v/>
      </c>
      <c r="AC366" s="1" t="str">
        <f>IF(AND(AND(AND(AC$4&gt;='2025'!$L364,AC$4&lt;='2025'!$M364), AC$4&lt;&gt;DATE(2025,7,4)), (SWITCH(weekday(AC$4), 1, 0, 2, if(ISBLANK('2025'!$P364), 0, 1), 3, if(ISBLANK('2025'!$Q364), 0, 1), 4, if(ISBLANK('2025'!$R364), 0, 1), 5, if(ISBLANK('2025'!$S364), 0, 1), 6, if(ISBLANK('2025'!$T364), 0, 1), 7, 0))), 1, "")</f>
        <v/>
      </c>
      <c r="AD366" s="1" t="str">
        <f>IF(AND(AND(AND(AD$4&gt;='2025'!$L364,AD$4&lt;='2025'!$M364), AD$4&lt;&gt;DATE(2025,7,4)), (SWITCH(weekday(AD$4), 1, 0, 2, if(ISBLANK('2025'!$P364), 0, 1), 3, if(ISBLANK('2025'!$Q364), 0, 1), 4, if(ISBLANK('2025'!$R364), 0, 1), 5, if(ISBLANK('2025'!$S364), 0, 1), 6, if(ISBLANK('2025'!$T364), 0, 1), 7, 0))), 1, "")</f>
        <v/>
      </c>
      <c r="AE366" s="1" t="str">
        <f>IF(AND(AND(AND(AE$4&gt;='2025'!$L364,AE$4&lt;='2025'!$M364), AE$4&lt;&gt;DATE(2025,7,4)), (SWITCH(weekday(AE$4), 1, 0, 2, if(ISBLANK('2025'!$P364), 0, 1), 3, if(ISBLANK('2025'!$Q364), 0, 1), 4, if(ISBLANK('2025'!$R364), 0, 1), 5, if(ISBLANK('2025'!$S364), 0, 1), 6, if(ISBLANK('2025'!$T364), 0, 1), 7, 0))), 1, "")</f>
        <v/>
      </c>
      <c r="AF366" s="1" t="str">
        <f>IF(AND(AND(AND(AF$4&gt;='2025'!$L364,AF$4&lt;='2025'!$M364), AF$4&lt;&gt;DATE(2025,7,4)), (SWITCH(weekday(AF$4), 1, 0, 2, if(ISBLANK('2025'!$P364), 0, 1), 3, if(ISBLANK('2025'!$Q364), 0, 1), 4, if(ISBLANK('2025'!$R364), 0, 1), 5, if(ISBLANK('2025'!$S364), 0, 1), 6, if(ISBLANK('2025'!$T364), 0, 1), 7, 0))), 1, "")</f>
        <v/>
      </c>
      <c r="AG366" s="1" t="str">
        <f>IF(AND(AND(AND(AG$4&gt;='2025'!$L364,AG$4&lt;='2025'!$M364), AG$4&lt;&gt;DATE(2025,7,4)), (SWITCH(weekday(AG$4), 1, 0, 2, if(ISBLANK('2025'!$P364), 0, 1), 3, if(ISBLANK('2025'!$Q364), 0, 1), 4, if(ISBLANK('2025'!$R364), 0, 1), 5, if(ISBLANK('2025'!$S364), 0, 1), 6, if(ISBLANK('2025'!$T364), 0, 1), 7, 0))), 1, "")</f>
        <v/>
      </c>
      <c r="AH366" s="1" t="str">
        <f>IF(AND(AND(AND(AH$4&gt;='2025'!$L364,AH$4&lt;='2025'!$M364), AH$4&lt;&gt;DATE(2025,7,4)), (SWITCH(weekday(AH$4), 1, 0, 2, if(ISBLANK('2025'!$P364), 0, 1), 3, if(ISBLANK('2025'!$Q364), 0, 1), 4, if(ISBLANK('2025'!$R364), 0, 1), 5, if(ISBLANK('2025'!$S364), 0, 1), 6, if(ISBLANK('2025'!$T364), 0, 1), 7, 0))), 1, "")</f>
        <v/>
      </c>
      <c r="AI366" s="1" t="str">
        <f>IF(AND(AND(AND(AI$4&gt;='2025'!$L364,AI$4&lt;='2025'!$M364), AI$4&lt;&gt;DATE(2025,7,4)), (SWITCH(weekday(AI$4), 1, 0, 2, if(ISBLANK('2025'!$P364), 0, 1), 3, if(ISBLANK('2025'!$Q364), 0, 1), 4, if(ISBLANK('2025'!$R364), 0, 1), 5, if(ISBLANK('2025'!$S364), 0, 1), 6, if(ISBLANK('2025'!$T364), 0, 1), 7, 0))), 1, "")</f>
        <v/>
      </c>
      <c r="AJ366" s="1" t="str">
        <f>IF(AND(AND(AND(AJ$4&gt;='2025'!$L364,AJ$4&lt;='2025'!$M364), AJ$4&lt;&gt;DATE(2025,7,4)), (SWITCH(weekday(AJ$4), 1, 0, 2, if(ISBLANK('2025'!$P364), 0, 1), 3, if(ISBLANK('2025'!$Q364), 0, 1), 4, if(ISBLANK('2025'!$R364), 0, 1), 5, if(ISBLANK('2025'!$S364), 0, 1), 6, if(ISBLANK('2025'!$T364), 0, 1), 7, 0))), 1, "")</f>
        <v/>
      </c>
      <c r="AK366" s="1" t="str">
        <f>IF(AND(AND(AND(AK$4&gt;='2025'!$L364,AK$4&lt;='2025'!$M364), AK$4&lt;&gt;DATE(2025,7,4)), (SWITCH(weekday(AK$4), 1, 0, 2, if(ISBLANK('2025'!$P364), 0, 1), 3, if(ISBLANK('2025'!$Q364), 0, 1), 4, if(ISBLANK('2025'!$R364), 0, 1), 5, if(ISBLANK('2025'!$S364), 0, 1), 6, if(ISBLANK('2025'!$T364), 0, 1), 7, 0))), 1, "")</f>
        <v/>
      </c>
      <c r="AL366" s="1" t="str">
        <f>IF(AND(AND(AND(AL$4&gt;='2025'!$L364,AL$4&lt;='2025'!$M364), AL$4&lt;&gt;DATE(2025,7,4)), (SWITCH(weekday(AL$4), 1, 0, 2, if(ISBLANK('2025'!$P364), 0, 1), 3, if(ISBLANK('2025'!$Q364), 0, 1), 4, if(ISBLANK('2025'!$R364), 0, 1), 5, if(ISBLANK('2025'!$S364), 0, 1), 6, if(ISBLANK('2025'!$T364), 0, 1), 7, 0))), 1, "")</f>
        <v/>
      </c>
      <c r="AM366" s="1" t="str">
        <f>IF(AND(AND(AND(AM$4&gt;='2025'!$L364,AM$4&lt;='2025'!$M364), AM$4&lt;&gt;DATE(2025,7,4)), (SWITCH(weekday(AM$4), 1, 0, 2, if(ISBLANK('2025'!$P364), 0, 1), 3, if(ISBLANK('2025'!$Q364), 0, 1), 4, if(ISBLANK('2025'!$R364), 0, 1), 5, if(ISBLANK('2025'!$S364), 0, 1), 6, if(ISBLANK('2025'!$T364), 0, 1), 7, 0))), 1, "")</f>
        <v/>
      </c>
      <c r="AN366" s="1" t="str">
        <f>IF(AND(AND(AND(AN$4&gt;='2025'!$L364,AN$4&lt;='2025'!$M364), AN$4&lt;&gt;DATE(2025,7,4)), (SWITCH(weekday(AN$4), 1, 0, 2, if(ISBLANK('2025'!$P364), 0, 1), 3, if(ISBLANK('2025'!$Q364), 0, 1), 4, if(ISBLANK('2025'!$R364), 0, 1), 5, if(ISBLANK('2025'!$S364), 0, 1), 6, if(ISBLANK('2025'!$T364), 0, 1), 7, 0))), 1, "")</f>
        <v/>
      </c>
      <c r="AO366" s="1" t="str">
        <f>IF(AND(AND(AND(AO$4&gt;='2025'!$L364,AO$4&lt;='2025'!$M364), AO$4&lt;&gt;DATE(2025,7,4)), (SWITCH(weekday(AO$4), 1, 0, 2, if(ISBLANK('2025'!$P364), 0, 1), 3, if(ISBLANK('2025'!$Q364), 0, 1), 4, if(ISBLANK('2025'!$R364), 0, 1), 5, if(ISBLANK('2025'!$S364), 0, 1), 6, if(ISBLANK('2025'!$T364), 0, 1), 7, 0))), 1, "")</f>
        <v/>
      </c>
      <c r="AP366" s="1" t="str">
        <f>IF(AND(AND(AND(AP$4&gt;='2025'!$L364,AP$4&lt;='2025'!$M364), AP$4&lt;&gt;DATE(2025,7,4)), (SWITCH(weekday(AP$4), 1, 0, 2, if(ISBLANK('2025'!$P364), 0, 1), 3, if(ISBLANK('2025'!$Q364), 0, 1), 4, if(ISBLANK('2025'!$R364), 0, 1), 5, if(ISBLANK('2025'!$S364), 0, 1), 6, if(ISBLANK('2025'!$T364), 0, 1), 7, 0))), 1, "")</f>
        <v/>
      </c>
      <c r="AQ366" s="1" t="str">
        <f>IF(AND(AND(AND(AQ$4&gt;='2025'!$L364,AQ$4&lt;='2025'!$M364), AQ$4&lt;&gt;DATE(2025,7,4)), (SWITCH(weekday(AQ$4), 1, 0, 2, if(ISBLANK('2025'!$P364), 0, 1), 3, if(ISBLANK('2025'!$Q364), 0, 1), 4, if(ISBLANK('2025'!$R364), 0, 1), 5, if(ISBLANK('2025'!$S364), 0, 1), 6, if(ISBLANK('2025'!$T364), 0, 1), 7, 0))), 1, "")</f>
        <v/>
      </c>
      <c r="AR366" s="1" t="str">
        <f>IF(AND(AND(AND(AR$4&gt;='2025'!$L364,AR$4&lt;='2025'!$M364), AR$4&lt;&gt;DATE(2025,7,4)), (SWITCH(weekday(AR$4), 1, 0, 2, if(ISBLANK('2025'!$P364), 0, 1), 3, if(ISBLANK('2025'!$Q364), 0, 1), 4, if(ISBLANK('2025'!$R364), 0, 1), 5, if(ISBLANK('2025'!$S364), 0, 1), 6, if(ISBLANK('2025'!$T364), 0, 1), 7, 0))), 1, "")</f>
        <v/>
      </c>
      <c r="AS366" s="1" t="str">
        <f>IF(AND(AND(AND(AS$4&gt;='2025'!$L364,AS$4&lt;='2025'!$M364), AS$4&lt;&gt;DATE(2025,7,4)), (SWITCH(weekday(AS$4), 1, 0, 2, if(ISBLANK('2025'!$P364), 0, 1), 3, if(ISBLANK('2025'!$Q364), 0, 1), 4, if(ISBLANK('2025'!$R364), 0, 1), 5, if(ISBLANK('2025'!$S364), 0, 1), 6, if(ISBLANK('2025'!$T364), 0, 1), 7, 0))), 1, "")</f>
        <v/>
      </c>
      <c r="AT366" s="1" t="str">
        <f>IF(AND(AND(AND(AT$4&gt;='2025'!$L364,AT$4&lt;='2025'!$M364), AT$4&lt;&gt;DATE(2025,7,4)), (SWITCH(weekday(AT$4), 1, 0, 2, if(ISBLANK('2025'!$P364), 0, 1), 3, if(ISBLANK('2025'!$Q364), 0, 1), 4, if(ISBLANK('2025'!$R364), 0, 1), 5, if(ISBLANK('2025'!$S364), 0, 1), 6, if(ISBLANK('2025'!$T364), 0, 1), 7, 0))), 1, "")</f>
        <v/>
      </c>
      <c r="AU366" s="1" t="str">
        <f>IF(AND(AND(AND(AU$4&gt;='2025'!$L364,AU$4&lt;='2025'!$M364), AU$4&lt;&gt;DATE(2025,7,4)), (SWITCH(weekday(AU$4), 1, 0, 2, if(ISBLANK('2025'!$P364), 0, 1), 3, if(ISBLANK('2025'!$Q364), 0, 1), 4, if(ISBLANK('2025'!$R364), 0, 1), 5, if(ISBLANK('2025'!$S364), 0, 1), 6, if(ISBLANK('2025'!$T364), 0, 1), 7, 0))), 1, "")</f>
        <v/>
      </c>
      <c r="AV366" s="1" t="str">
        <f>IF(AND(AND(AND(AV$4&gt;='2025'!$L364,AV$4&lt;='2025'!$M364), AV$4&lt;&gt;DATE(2025,7,4)), (SWITCH(weekday(AV$4), 1, 0, 2, if(ISBLANK('2025'!$P364), 0, 1), 3, if(ISBLANK('2025'!$Q364), 0, 1), 4, if(ISBLANK('2025'!$R364), 0, 1), 5, if(ISBLANK('2025'!$S364), 0, 1), 6, if(ISBLANK('2025'!$T364), 0, 1), 7, 0))), 1, "")</f>
        <v/>
      </c>
      <c r="AW366" s="1" t="str">
        <f>IF(AND(AND(AND(AW$4&gt;='2025'!$L364,AW$4&lt;='2025'!$M364), AW$4&lt;&gt;DATE(2025,7,4)), (SWITCH(weekday(AW$4), 1, 0, 2, if(ISBLANK('2025'!$P364), 0, 1), 3, if(ISBLANK('2025'!$Q364), 0, 1), 4, if(ISBLANK('2025'!$R364), 0, 1), 5, if(ISBLANK('2025'!$S364), 0, 1), 6, if(ISBLANK('2025'!$T364), 0, 1), 7, 0))), 1, "")</f>
        <v/>
      </c>
      <c r="AX366" s="1" t="str">
        <f>IF(AND(AND(AND(AX$4&gt;='2025'!$L364,AX$4&lt;='2025'!$M364), AX$4&lt;&gt;DATE(2025,7,4)), (SWITCH(weekday(AX$4), 1, 0, 2, if(ISBLANK('2025'!$P364), 0, 1), 3, if(ISBLANK('2025'!$Q364), 0, 1), 4, if(ISBLANK('2025'!$R364), 0, 1), 5, if(ISBLANK('2025'!$S364), 0, 1), 6, if(ISBLANK('2025'!$T364), 0, 1), 7, 0))), 1, "")</f>
        <v/>
      </c>
      <c r="AY366" s="1" t="str">
        <f>IF(AND(AND(AND(AY$4&gt;='2025'!$L364,AY$4&lt;='2025'!$M364), AY$4&lt;&gt;DATE(2025,7,4)), (SWITCH(weekday(AY$4), 1, 0, 2, if(ISBLANK('2025'!$P364), 0, 1), 3, if(ISBLANK('2025'!$Q364), 0, 1), 4, if(ISBLANK('2025'!$R364), 0, 1), 5, if(ISBLANK('2025'!$S364), 0, 1), 6, if(ISBLANK('2025'!$T364), 0, 1), 7, 0))), 1, "")</f>
        <v/>
      </c>
      <c r="AZ366" s="1" t="str">
        <f>IF(AND(AND(AND(AZ$4&gt;='2025'!$L364,AZ$4&lt;='2025'!$M364), AZ$4&lt;&gt;DATE(2025,7,4)), (SWITCH(weekday(AZ$4), 1, 0, 2, if(ISBLANK('2025'!$P364), 0, 1), 3, if(ISBLANK('2025'!$Q364), 0, 1), 4, if(ISBLANK('2025'!$R364), 0, 1), 5, if(ISBLANK('2025'!$S364), 0, 1), 6, if(ISBLANK('2025'!$T364), 0, 1), 7, 0))), 1, "")</f>
        <v/>
      </c>
      <c r="BA366" s="1" t="str">
        <f>IF(AND(AND(AND(BA$4&gt;='2025'!$L364,BA$4&lt;='2025'!$M364), BA$4&lt;&gt;DATE(2025,7,4)), (SWITCH(weekday(BA$4), 1, 0, 2, if(ISBLANK('2025'!$P364), 0, 1), 3, if(ISBLANK('2025'!$Q364), 0, 1), 4, if(ISBLANK('2025'!$R364), 0, 1), 5, if(ISBLANK('2025'!$S364), 0, 1), 6, if(ISBLANK('2025'!$T364), 0, 1), 7, 0))), 1, "")</f>
        <v/>
      </c>
      <c r="BB366" s="1" t="str">
        <f>IF(AND(AND(AND(BB$4&gt;='2025'!$L364,BB$4&lt;='2025'!$M364), BB$4&lt;&gt;DATE(2025,7,4)), (SWITCH(weekday(BB$4), 1, 0, 2, if(ISBLANK('2025'!$P364), 0, 1), 3, if(ISBLANK('2025'!$Q364), 0, 1), 4, if(ISBLANK('2025'!$R364), 0, 1), 5, if(ISBLANK('2025'!$S364), 0, 1), 6, if(ISBLANK('2025'!$T364), 0, 1), 7, 0))), 1, "")</f>
        <v/>
      </c>
      <c r="BC366" s="1" t="str">
        <f>IF(AND(AND(AND(BC$4&gt;='2025'!$L364,BC$4&lt;='2025'!$M364), BC$4&lt;&gt;DATE(2025,7,4)), (SWITCH(weekday(BC$4), 1, 0, 2, if(ISBLANK('2025'!$P364), 0, 1), 3, if(ISBLANK('2025'!$Q364), 0, 1), 4, if(ISBLANK('2025'!$R364), 0, 1), 5, if(ISBLANK('2025'!$S364), 0, 1), 6, if(ISBLANK('2025'!$T364), 0, 1), 7, 0))), 1, "")</f>
        <v/>
      </c>
      <c r="BD366" s="1" t="str">
        <f>IF(AND(AND(AND(BD$4&gt;='2025'!$L364,BD$4&lt;='2025'!$M364), BD$4&lt;&gt;DATE(2025,7,4)), (SWITCH(weekday(BD$4), 1, 0, 2, if(ISBLANK('2025'!$P364), 0, 1), 3, if(ISBLANK('2025'!$Q364), 0, 1), 4, if(ISBLANK('2025'!$R364), 0, 1), 5, if(ISBLANK('2025'!$S364), 0, 1), 6, if(ISBLANK('2025'!$T364), 0, 1), 7, 0))), 1, "")</f>
        <v/>
      </c>
      <c r="BE366" s="1" t="str">
        <f>IF(AND(AND(AND(BE$4&gt;='2025'!$L364,BE$4&lt;='2025'!$M364), BE$4&lt;&gt;DATE(2025,7,4)), (SWITCH(weekday(BE$4), 1, 0, 2, if(ISBLANK('2025'!$P364), 0, 1), 3, if(ISBLANK('2025'!$Q364), 0, 1), 4, if(ISBLANK('2025'!$R364), 0, 1), 5, if(ISBLANK('2025'!$S364), 0, 1), 6, if(ISBLANK('2025'!$T364), 0, 1), 7, 0))), 1, "")</f>
        <v/>
      </c>
      <c r="BF366" s="1" t="str">
        <f>IF(AND(AND(AND(BF$4&gt;='2025'!$L364,BF$4&lt;='2025'!$M364), BF$4&lt;&gt;DATE(2025,7,4)), (SWITCH(weekday(BF$4), 1, 0, 2, if(ISBLANK('2025'!$P364), 0, 1), 3, if(ISBLANK('2025'!$Q364), 0, 1), 4, if(ISBLANK('2025'!$R364), 0, 1), 5, if(ISBLANK('2025'!$S364), 0, 1), 6, if(ISBLANK('2025'!$T364), 0, 1), 7, 0))), 1, "")</f>
        <v/>
      </c>
      <c r="BG366" s="1"/>
      <c r="BH366" s="1"/>
      <c r="BI366" s="1"/>
      <c r="BJ366" s="1"/>
      <c r="BK366" s="1"/>
      <c r="BL366" s="1"/>
    </row>
    <row r="367">
      <c r="A367" s="1">
        <f t="shared" si="3"/>
        <v>367</v>
      </c>
      <c r="B367" s="1" t="str">
        <f>'2025'!D331</f>
        <v>, </v>
      </c>
      <c r="C367" s="1" t="str">
        <f>'2025'!H331</f>
        <v/>
      </c>
      <c r="D367" s="1" t="str">
        <f>IF(AND(AND(AND(D$4&gt;='2025'!$L365,D$4&lt;='2025'!$M365), D$4&lt;&gt;DATE(2025,7,4)), (SWITCH(weekday(D$4), 1, 0, 2, if(ISBLANK('2025'!$P365), 0, 1), 3, if(ISBLANK('2025'!$Q365), 0, 1), 4, if(ISBLANK('2025'!$R365), 0, 1), 5, if(ISBLANK('2025'!$S365), 0, 1), 6, if(ISBLANK('2025'!$T365), 0, 1), 7, 0))), 1, "")</f>
        <v/>
      </c>
      <c r="E367" s="1" t="str">
        <f>IF(AND(AND(AND(E$4&gt;='2025'!$L365,E$4&lt;='2025'!$M365), E$4&lt;&gt;DATE(2025,7,4)), (SWITCH(weekday(E$4), 1, 0, 2, if(ISBLANK('2025'!$P365), 0, 1), 3, if(ISBLANK('2025'!$Q365), 0, 1), 4, if(ISBLANK('2025'!$R365), 0, 1), 5, if(ISBLANK('2025'!$S365), 0, 1), 6, if(ISBLANK('2025'!$T365), 0, 1), 7, 0))), 1, "")</f>
        <v/>
      </c>
      <c r="F367" s="1" t="str">
        <f>IF(AND(AND(AND(F$4&gt;='2025'!$L365,F$4&lt;='2025'!$M365), F$4&lt;&gt;DATE(2025,7,4)), (SWITCH(weekday(F$4), 1, 0, 2, if(ISBLANK('2025'!$P365), 0, 1), 3, if(ISBLANK('2025'!$Q365), 0, 1), 4, if(ISBLANK('2025'!$R365), 0, 1), 5, if(ISBLANK('2025'!$S365), 0, 1), 6, if(ISBLANK('2025'!$T365), 0, 1), 7, 0))), 1, "")</f>
        <v/>
      </c>
      <c r="G367" s="1" t="str">
        <f>IF(AND(AND(AND(G$4&gt;='2025'!$L365,G$4&lt;='2025'!$M365), G$4&lt;&gt;DATE(2025,7,4)), (SWITCH(weekday(G$4), 1, 0, 2, if(ISBLANK('2025'!$P365), 0, 1), 3, if(ISBLANK('2025'!$Q365), 0, 1), 4, if(ISBLANK('2025'!$R365), 0, 1), 5, if(ISBLANK('2025'!$S365), 0, 1), 6, if(ISBLANK('2025'!$T365), 0, 1), 7, 0))), 1, "")</f>
        <v/>
      </c>
      <c r="H367" s="1" t="str">
        <f>IF(AND(AND(AND(H$4&gt;='2025'!$L365,H$4&lt;='2025'!$M365), H$4&lt;&gt;DATE(2025,7,4)), (SWITCH(weekday(H$4), 1, 0, 2, if(ISBLANK('2025'!$P365), 0, 1), 3, if(ISBLANK('2025'!$Q365), 0, 1), 4, if(ISBLANK('2025'!$R365), 0, 1), 5, if(ISBLANK('2025'!$S365), 0, 1), 6, if(ISBLANK('2025'!$T365), 0, 1), 7, 0))), 1, "")</f>
        <v/>
      </c>
      <c r="I367" s="1" t="str">
        <f>IF(AND(AND(AND(I$4&gt;='2025'!$L365,I$4&lt;='2025'!$M365), I$4&lt;&gt;DATE(2025,7,4)), (SWITCH(weekday(I$4), 1, 0, 2, if(ISBLANK('2025'!$P365), 0, 1), 3, if(ISBLANK('2025'!$Q365), 0, 1), 4, if(ISBLANK('2025'!$R365), 0, 1), 5, if(ISBLANK('2025'!$S365), 0, 1), 6, if(ISBLANK('2025'!$T365), 0, 1), 7, 0))), 1, "")</f>
        <v/>
      </c>
      <c r="J367" s="1" t="str">
        <f>IF(AND(AND(AND(J$4&gt;='2025'!$L365,J$4&lt;='2025'!$M365), J$4&lt;&gt;DATE(2025,7,4)), (SWITCH(weekday(J$4), 1, 0, 2, if(ISBLANK('2025'!$P365), 0, 1), 3, if(ISBLANK('2025'!$Q365), 0, 1), 4, if(ISBLANK('2025'!$R365), 0, 1), 5, if(ISBLANK('2025'!$S365), 0, 1), 6, if(ISBLANK('2025'!$T365), 0, 1), 7, 0))), 1, "")</f>
        <v/>
      </c>
      <c r="K367" s="1" t="str">
        <f>IF(AND(AND(AND(K$4&gt;='2025'!$L365,K$4&lt;='2025'!$M365), K$4&lt;&gt;DATE(2025,7,4)), (SWITCH(weekday(K$4), 1, 0, 2, if(ISBLANK('2025'!$P365), 0, 1), 3, if(ISBLANK('2025'!$Q365), 0, 1), 4, if(ISBLANK('2025'!$R365), 0, 1), 5, if(ISBLANK('2025'!$S365), 0, 1), 6, if(ISBLANK('2025'!$T365), 0, 1), 7, 0))), 1, "")</f>
        <v/>
      </c>
      <c r="L367" s="1" t="str">
        <f>IF(AND(AND(AND(L$4&gt;='2025'!$L365,L$4&lt;='2025'!$M365), L$4&lt;&gt;DATE(2025,7,4)), (SWITCH(weekday(L$4), 1, 0, 2, if(ISBLANK('2025'!$P365), 0, 1), 3, if(ISBLANK('2025'!$Q365), 0, 1), 4, if(ISBLANK('2025'!$R365), 0, 1), 5, if(ISBLANK('2025'!$S365), 0, 1), 6, if(ISBLANK('2025'!$T365), 0, 1), 7, 0))), 1, "")</f>
        <v/>
      </c>
      <c r="M367" s="1" t="str">
        <f>IF(AND(AND(AND(M$4&gt;='2025'!$L365,M$4&lt;='2025'!$M365), M$4&lt;&gt;DATE(2025,7,4)), (SWITCH(weekday(M$4), 1, 0, 2, if(ISBLANK('2025'!$P365), 0, 1), 3, if(ISBLANK('2025'!$Q365), 0, 1), 4, if(ISBLANK('2025'!$R365), 0, 1), 5, if(ISBLANK('2025'!$S365), 0, 1), 6, if(ISBLANK('2025'!$T365), 0, 1), 7, 0))), 1, "")</f>
        <v/>
      </c>
      <c r="N367" s="1" t="str">
        <f>IF(AND(AND(AND(N$4&gt;='2025'!$L365,N$4&lt;='2025'!$M365), N$4&lt;&gt;DATE(2025,7,4)), (SWITCH(weekday(N$4), 1, 0, 2, if(ISBLANK('2025'!$P365), 0, 1), 3, if(ISBLANK('2025'!$Q365), 0, 1), 4, if(ISBLANK('2025'!$R365), 0, 1), 5, if(ISBLANK('2025'!$S365), 0, 1), 6, if(ISBLANK('2025'!$T365), 0, 1), 7, 0))), 1, "")</f>
        <v/>
      </c>
      <c r="O367" s="1" t="str">
        <f>IF(AND(AND(AND(O$4&gt;='2025'!$L365,O$4&lt;='2025'!$M365), O$4&lt;&gt;DATE(2025,7,4)), (SWITCH(weekday(O$4), 1, 0, 2, if(ISBLANK('2025'!$P365), 0, 1), 3, if(ISBLANK('2025'!$Q365), 0, 1), 4, if(ISBLANK('2025'!$R365), 0, 1), 5, if(ISBLANK('2025'!$S365), 0, 1), 6, if(ISBLANK('2025'!$T365), 0, 1), 7, 0))), 1, "")</f>
        <v/>
      </c>
      <c r="P367" s="1" t="str">
        <f>IF(AND(AND(AND(P$4&gt;='2025'!$L365,P$4&lt;='2025'!$M365), P$4&lt;&gt;DATE(2025,7,4)), (SWITCH(weekday(P$4), 1, 0, 2, if(ISBLANK('2025'!$P365), 0, 1), 3, if(ISBLANK('2025'!$Q365), 0, 1), 4, if(ISBLANK('2025'!$R365), 0, 1), 5, if(ISBLANK('2025'!$S365), 0, 1), 6, if(ISBLANK('2025'!$T365), 0, 1), 7, 0))), 1, "")</f>
        <v/>
      </c>
      <c r="Q367" s="1" t="str">
        <f>IF(AND(AND(AND(Q$4&gt;='2025'!$L365,Q$4&lt;='2025'!$M365), Q$4&lt;&gt;DATE(2025,7,4)), (SWITCH(weekday(Q$4), 1, 0, 2, if(ISBLANK('2025'!$P365), 0, 1), 3, if(ISBLANK('2025'!$Q365), 0, 1), 4, if(ISBLANK('2025'!$R365), 0, 1), 5, if(ISBLANK('2025'!$S365), 0, 1), 6, if(ISBLANK('2025'!$T365), 0, 1), 7, 0))), 1, "")</f>
        <v/>
      </c>
      <c r="R367" s="1" t="str">
        <f>IF(AND(AND(AND(R$4&gt;='2025'!$L365,R$4&lt;='2025'!$M365), R$4&lt;&gt;DATE(2025,7,4)), (SWITCH(weekday(R$4), 1, 0, 2, if(ISBLANK('2025'!$P365), 0, 1), 3, if(ISBLANK('2025'!$Q365), 0, 1), 4, if(ISBLANK('2025'!$R365), 0, 1), 5, if(ISBLANK('2025'!$S365), 0, 1), 6, if(ISBLANK('2025'!$T365), 0, 1), 7, 0))), 1, "")</f>
        <v/>
      </c>
      <c r="S367" s="1" t="str">
        <f>IF(AND(AND(AND(S$4&gt;='2025'!$L365,S$4&lt;='2025'!$M365), S$4&lt;&gt;DATE(2025,7,4)), (SWITCH(weekday(S$4), 1, 0, 2, if(ISBLANK('2025'!$P365), 0, 1), 3, if(ISBLANK('2025'!$Q365), 0, 1), 4, if(ISBLANK('2025'!$R365), 0, 1), 5, if(ISBLANK('2025'!$S365), 0, 1), 6, if(ISBLANK('2025'!$T365), 0, 1), 7, 0))), 1, "")</f>
        <v/>
      </c>
      <c r="T367" s="1" t="str">
        <f>IF(AND(AND(AND(T$4&gt;='2025'!$L365,T$4&lt;='2025'!$M365), T$4&lt;&gt;DATE(2025,7,4)), (SWITCH(weekday(T$4), 1, 0, 2, if(ISBLANK('2025'!$P365), 0, 1), 3, if(ISBLANK('2025'!$Q365), 0, 1), 4, if(ISBLANK('2025'!$R365), 0, 1), 5, if(ISBLANK('2025'!$S365), 0, 1), 6, if(ISBLANK('2025'!$T365), 0, 1), 7, 0))), 1, "")</f>
        <v/>
      </c>
      <c r="U367" s="1" t="str">
        <f>IF(AND(AND(AND(U$4&gt;='2025'!$L365,U$4&lt;='2025'!$M365), U$4&lt;&gt;DATE(2025,7,4)), (SWITCH(weekday(U$4), 1, 0, 2, if(ISBLANK('2025'!$P365), 0, 1), 3, if(ISBLANK('2025'!$Q365), 0, 1), 4, if(ISBLANK('2025'!$R365), 0, 1), 5, if(ISBLANK('2025'!$S365), 0, 1), 6, if(ISBLANK('2025'!$T365), 0, 1), 7, 0))), 1, "")</f>
        <v/>
      </c>
      <c r="V367" s="1" t="str">
        <f>IF(AND(AND(AND(V$4&gt;='2025'!$L365,V$4&lt;='2025'!$M365), V$4&lt;&gt;DATE(2025,7,4)), (SWITCH(weekday(V$4), 1, 0, 2, if(ISBLANK('2025'!$P365), 0, 1), 3, if(ISBLANK('2025'!$Q365), 0, 1), 4, if(ISBLANK('2025'!$R365), 0, 1), 5, if(ISBLANK('2025'!$S365), 0, 1), 6, if(ISBLANK('2025'!$T365), 0, 1), 7, 0))), 1, "")</f>
        <v/>
      </c>
      <c r="W367" s="1" t="str">
        <f>IF(AND(AND(AND(W$4&gt;='2025'!$L365,W$4&lt;='2025'!$M365), W$4&lt;&gt;DATE(2025,7,4)), (SWITCH(weekday(W$4), 1, 0, 2, if(ISBLANK('2025'!$P365), 0, 1), 3, if(ISBLANK('2025'!$Q365), 0, 1), 4, if(ISBLANK('2025'!$R365), 0, 1), 5, if(ISBLANK('2025'!$S365), 0, 1), 6, if(ISBLANK('2025'!$T365), 0, 1), 7, 0))), 1, "")</f>
        <v/>
      </c>
      <c r="X367" s="1" t="str">
        <f>IF(AND(AND(AND(X$4&gt;='2025'!$L365,X$4&lt;='2025'!$M365), X$4&lt;&gt;DATE(2025,7,4)), (SWITCH(weekday(X$4), 1, 0, 2, if(ISBLANK('2025'!$P365), 0, 1), 3, if(ISBLANK('2025'!$Q365), 0, 1), 4, if(ISBLANK('2025'!$R365), 0, 1), 5, if(ISBLANK('2025'!$S365), 0, 1), 6, if(ISBLANK('2025'!$T365), 0, 1), 7, 0))), 1, "")</f>
        <v/>
      </c>
      <c r="Y367" s="1" t="str">
        <f>IF(AND(AND(AND(Y$4&gt;='2025'!$L365,Y$4&lt;='2025'!$M365), Y$4&lt;&gt;DATE(2025,7,4)), (SWITCH(weekday(Y$4), 1, 0, 2, if(ISBLANK('2025'!$P365), 0, 1), 3, if(ISBLANK('2025'!$Q365), 0, 1), 4, if(ISBLANK('2025'!$R365), 0, 1), 5, if(ISBLANK('2025'!$S365), 0, 1), 6, if(ISBLANK('2025'!$T365), 0, 1), 7, 0))), 1, "")</f>
        <v/>
      </c>
      <c r="Z367" s="1" t="str">
        <f>IF(AND(AND(AND(Z$4&gt;='2025'!$L365,Z$4&lt;='2025'!$M365), Z$4&lt;&gt;DATE(2025,7,4)), (SWITCH(weekday(Z$4), 1, 0, 2, if(ISBLANK('2025'!$P365), 0, 1), 3, if(ISBLANK('2025'!$Q365), 0, 1), 4, if(ISBLANK('2025'!$R365), 0, 1), 5, if(ISBLANK('2025'!$S365), 0, 1), 6, if(ISBLANK('2025'!$T365), 0, 1), 7, 0))), 1, "")</f>
        <v/>
      </c>
      <c r="AA367" s="1" t="str">
        <f>IF(AND(AND(AND(AA$4&gt;='2025'!$L365,AA$4&lt;='2025'!$M365), AA$4&lt;&gt;DATE(2025,7,4)), (SWITCH(weekday(AA$4), 1, 0, 2, if(ISBLANK('2025'!$P365), 0, 1), 3, if(ISBLANK('2025'!$Q365), 0, 1), 4, if(ISBLANK('2025'!$R365), 0, 1), 5, if(ISBLANK('2025'!$S365), 0, 1), 6, if(ISBLANK('2025'!$T365), 0, 1), 7, 0))), 1, "")</f>
        <v/>
      </c>
      <c r="AB367" s="1" t="str">
        <f>IF(AND(AND(AND(AB$4&gt;='2025'!$L365,AB$4&lt;='2025'!$M365), AB$4&lt;&gt;DATE(2025,7,4)), (SWITCH(weekday(AB$4), 1, 0, 2, if(ISBLANK('2025'!$P365), 0, 1), 3, if(ISBLANK('2025'!$Q365), 0, 1), 4, if(ISBLANK('2025'!$R365), 0, 1), 5, if(ISBLANK('2025'!$S365), 0, 1), 6, if(ISBLANK('2025'!$T365), 0, 1), 7, 0))), 1, "")</f>
        <v/>
      </c>
      <c r="AC367" s="1" t="str">
        <f>IF(AND(AND(AND(AC$4&gt;='2025'!$L365,AC$4&lt;='2025'!$M365), AC$4&lt;&gt;DATE(2025,7,4)), (SWITCH(weekday(AC$4), 1, 0, 2, if(ISBLANK('2025'!$P365), 0, 1), 3, if(ISBLANK('2025'!$Q365), 0, 1), 4, if(ISBLANK('2025'!$R365), 0, 1), 5, if(ISBLANK('2025'!$S365), 0, 1), 6, if(ISBLANK('2025'!$T365), 0, 1), 7, 0))), 1, "")</f>
        <v/>
      </c>
      <c r="AD367" s="1" t="str">
        <f>IF(AND(AND(AND(AD$4&gt;='2025'!$L365,AD$4&lt;='2025'!$M365), AD$4&lt;&gt;DATE(2025,7,4)), (SWITCH(weekday(AD$4), 1, 0, 2, if(ISBLANK('2025'!$P365), 0, 1), 3, if(ISBLANK('2025'!$Q365), 0, 1), 4, if(ISBLANK('2025'!$R365), 0, 1), 5, if(ISBLANK('2025'!$S365), 0, 1), 6, if(ISBLANK('2025'!$T365), 0, 1), 7, 0))), 1, "")</f>
        <v/>
      </c>
      <c r="AE367" s="1" t="str">
        <f>IF(AND(AND(AND(AE$4&gt;='2025'!$L365,AE$4&lt;='2025'!$M365), AE$4&lt;&gt;DATE(2025,7,4)), (SWITCH(weekday(AE$4), 1, 0, 2, if(ISBLANK('2025'!$P365), 0, 1), 3, if(ISBLANK('2025'!$Q365), 0, 1), 4, if(ISBLANK('2025'!$R365), 0, 1), 5, if(ISBLANK('2025'!$S365), 0, 1), 6, if(ISBLANK('2025'!$T365), 0, 1), 7, 0))), 1, "")</f>
        <v/>
      </c>
      <c r="AF367" s="1" t="str">
        <f>IF(AND(AND(AND(AF$4&gt;='2025'!$L365,AF$4&lt;='2025'!$M365), AF$4&lt;&gt;DATE(2025,7,4)), (SWITCH(weekday(AF$4), 1, 0, 2, if(ISBLANK('2025'!$P365), 0, 1), 3, if(ISBLANK('2025'!$Q365), 0, 1), 4, if(ISBLANK('2025'!$R365), 0, 1), 5, if(ISBLANK('2025'!$S365), 0, 1), 6, if(ISBLANK('2025'!$T365), 0, 1), 7, 0))), 1, "")</f>
        <v/>
      </c>
      <c r="AG367" s="1" t="str">
        <f>IF(AND(AND(AND(AG$4&gt;='2025'!$L365,AG$4&lt;='2025'!$M365), AG$4&lt;&gt;DATE(2025,7,4)), (SWITCH(weekday(AG$4), 1, 0, 2, if(ISBLANK('2025'!$P365), 0, 1), 3, if(ISBLANK('2025'!$Q365), 0, 1), 4, if(ISBLANK('2025'!$R365), 0, 1), 5, if(ISBLANK('2025'!$S365), 0, 1), 6, if(ISBLANK('2025'!$T365), 0, 1), 7, 0))), 1, "")</f>
        <v/>
      </c>
      <c r="AH367" s="1" t="str">
        <f>IF(AND(AND(AND(AH$4&gt;='2025'!$L365,AH$4&lt;='2025'!$M365), AH$4&lt;&gt;DATE(2025,7,4)), (SWITCH(weekday(AH$4), 1, 0, 2, if(ISBLANK('2025'!$P365), 0, 1), 3, if(ISBLANK('2025'!$Q365), 0, 1), 4, if(ISBLANK('2025'!$R365), 0, 1), 5, if(ISBLANK('2025'!$S365), 0, 1), 6, if(ISBLANK('2025'!$T365), 0, 1), 7, 0))), 1, "")</f>
        <v/>
      </c>
      <c r="AI367" s="1" t="str">
        <f>IF(AND(AND(AND(AI$4&gt;='2025'!$L365,AI$4&lt;='2025'!$M365), AI$4&lt;&gt;DATE(2025,7,4)), (SWITCH(weekday(AI$4), 1, 0, 2, if(ISBLANK('2025'!$P365), 0, 1), 3, if(ISBLANK('2025'!$Q365), 0, 1), 4, if(ISBLANK('2025'!$R365), 0, 1), 5, if(ISBLANK('2025'!$S365), 0, 1), 6, if(ISBLANK('2025'!$T365), 0, 1), 7, 0))), 1, "")</f>
        <v/>
      </c>
      <c r="AJ367" s="1" t="str">
        <f>IF(AND(AND(AND(AJ$4&gt;='2025'!$L365,AJ$4&lt;='2025'!$M365), AJ$4&lt;&gt;DATE(2025,7,4)), (SWITCH(weekday(AJ$4), 1, 0, 2, if(ISBLANK('2025'!$P365), 0, 1), 3, if(ISBLANK('2025'!$Q365), 0, 1), 4, if(ISBLANK('2025'!$R365), 0, 1), 5, if(ISBLANK('2025'!$S365), 0, 1), 6, if(ISBLANK('2025'!$T365), 0, 1), 7, 0))), 1, "")</f>
        <v/>
      </c>
      <c r="AK367" s="1" t="str">
        <f>IF(AND(AND(AND(AK$4&gt;='2025'!$L365,AK$4&lt;='2025'!$M365), AK$4&lt;&gt;DATE(2025,7,4)), (SWITCH(weekday(AK$4), 1, 0, 2, if(ISBLANK('2025'!$P365), 0, 1), 3, if(ISBLANK('2025'!$Q365), 0, 1), 4, if(ISBLANK('2025'!$R365), 0, 1), 5, if(ISBLANK('2025'!$S365), 0, 1), 6, if(ISBLANK('2025'!$T365), 0, 1), 7, 0))), 1, "")</f>
        <v/>
      </c>
      <c r="AL367" s="1" t="str">
        <f>IF(AND(AND(AND(AL$4&gt;='2025'!$L365,AL$4&lt;='2025'!$M365), AL$4&lt;&gt;DATE(2025,7,4)), (SWITCH(weekday(AL$4), 1, 0, 2, if(ISBLANK('2025'!$P365), 0, 1), 3, if(ISBLANK('2025'!$Q365), 0, 1), 4, if(ISBLANK('2025'!$R365), 0, 1), 5, if(ISBLANK('2025'!$S365), 0, 1), 6, if(ISBLANK('2025'!$T365), 0, 1), 7, 0))), 1, "")</f>
        <v/>
      </c>
      <c r="AM367" s="1" t="str">
        <f>IF(AND(AND(AND(AM$4&gt;='2025'!$L365,AM$4&lt;='2025'!$M365), AM$4&lt;&gt;DATE(2025,7,4)), (SWITCH(weekday(AM$4), 1, 0, 2, if(ISBLANK('2025'!$P365), 0, 1), 3, if(ISBLANK('2025'!$Q365), 0, 1), 4, if(ISBLANK('2025'!$R365), 0, 1), 5, if(ISBLANK('2025'!$S365), 0, 1), 6, if(ISBLANK('2025'!$T365), 0, 1), 7, 0))), 1, "")</f>
        <v/>
      </c>
      <c r="AN367" s="1" t="str">
        <f>IF(AND(AND(AND(AN$4&gt;='2025'!$L365,AN$4&lt;='2025'!$M365), AN$4&lt;&gt;DATE(2025,7,4)), (SWITCH(weekday(AN$4), 1, 0, 2, if(ISBLANK('2025'!$P365), 0, 1), 3, if(ISBLANK('2025'!$Q365), 0, 1), 4, if(ISBLANK('2025'!$R365), 0, 1), 5, if(ISBLANK('2025'!$S365), 0, 1), 6, if(ISBLANK('2025'!$T365), 0, 1), 7, 0))), 1, "")</f>
        <v/>
      </c>
      <c r="AO367" s="1" t="str">
        <f>IF(AND(AND(AND(AO$4&gt;='2025'!$L365,AO$4&lt;='2025'!$M365), AO$4&lt;&gt;DATE(2025,7,4)), (SWITCH(weekday(AO$4), 1, 0, 2, if(ISBLANK('2025'!$P365), 0, 1), 3, if(ISBLANK('2025'!$Q365), 0, 1), 4, if(ISBLANK('2025'!$R365), 0, 1), 5, if(ISBLANK('2025'!$S365), 0, 1), 6, if(ISBLANK('2025'!$T365), 0, 1), 7, 0))), 1, "")</f>
        <v/>
      </c>
      <c r="AP367" s="1" t="str">
        <f>IF(AND(AND(AND(AP$4&gt;='2025'!$L365,AP$4&lt;='2025'!$M365), AP$4&lt;&gt;DATE(2025,7,4)), (SWITCH(weekday(AP$4), 1, 0, 2, if(ISBLANK('2025'!$P365), 0, 1), 3, if(ISBLANK('2025'!$Q365), 0, 1), 4, if(ISBLANK('2025'!$R365), 0, 1), 5, if(ISBLANK('2025'!$S365), 0, 1), 6, if(ISBLANK('2025'!$T365), 0, 1), 7, 0))), 1, "")</f>
        <v/>
      </c>
      <c r="AQ367" s="1" t="str">
        <f>IF(AND(AND(AND(AQ$4&gt;='2025'!$L365,AQ$4&lt;='2025'!$M365), AQ$4&lt;&gt;DATE(2025,7,4)), (SWITCH(weekday(AQ$4), 1, 0, 2, if(ISBLANK('2025'!$P365), 0, 1), 3, if(ISBLANK('2025'!$Q365), 0, 1), 4, if(ISBLANK('2025'!$R365), 0, 1), 5, if(ISBLANK('2025'!$S365), 0, 1), 6, if(ISBLANK('2025'!$T365), 0, 1), 7, 0))), 1, "")</f>
        <v/>
      </c>
      <c r="AR367" s="1" t="str">
        <f>IF(AND(AND(AND(AR$4&gt;='2025'!$L365,AR$4&lt;='2025'!$M365), AR$4&lt;&gt;DATE(2025,7,4)), (SWITCH(weekday(AR$4), 1, 0, 2, if(ISBLANK('2025'!$P365), 0, 1), 3, if(ISBLANK('2025'!$Q365), 0, 1), 4, if(ISBLANK('2025'!$R365), 0, 1), 5, if(ISBLANK('2025'!$S365), 0, 1), 6, if(ISBLANK('2025'!$T365), 0, 1), 7, 0))), 1, "")</f>
        <v/>
      </c>
      <c r="AS367" s="1" t="str">
        <f>IF(AND(AND(AND(AS$4&gt;='2025'!$L365,AS$4&lt;='2025'!$M365), AS$4&lt;&gt;DATE(2025,7,4)), (SWITCH(weekday(AS$4), 1, 0, 2, if(ISBLANK('2025'!$P365), 0, 1), 3, if(ISBLANK('2025'!$Q365), 0, 1), 4, if(ISBLANK('2025'!$R365), 0, 1), 5, if(ISBLANK('2025'!$S365), 0, 1), 6, if(ISBLANK('2025'!$T365), 0, 1), 7, 0))), 1, "")</f>
        <v/>
      </c>
      <c r="AT367" s="1" t="str">
        <f>IF(AND(AND(AND(AT$4&gt;='2025'!$L365,AT$4&lt;='2025'!$M365), AT$4&lt;&gt;DATE(2025,7,4)), (SWITCH(weekday(AT$4), 1, 0, 2, if(ISBLANK('2025'!$P365), 0, 1), 3, if(ISBLANK('2025'!$Q365), 0, 1), 4, if(ISBLANK('2025'!$R365), 0, 1), 5, if(ISBLANK('2025'!$S365), 0, 1), 6, if(ISBLANK('2025'!$T365), 0, 1), 7, 0))), 1, "")</f>
        <v/>
      </c>
      <c r="AU367" s="1" t="str">
        <f>IF(AND(AND(AND(AU$4&gt;='2025'!$L365,AU$4&lt;='2025'!$M365), AU$4&lt;&gt;DATE(2025,7,4)), (SWITCH(weekday(AU$4), 1, 0, 2, if(ISBLANK('2025'!$P365), 0, 1), 3, if(ISBLANK('2025'!$Q365), 0, 1), 4, if(ISBLANK('2025'!$R365), 0, 1), 5, if(ISBLANK('2025'!$S365), 0, 1), 6, if(ISBLANK('2025'!$T365), 0, 1), 7, 0))), 1, "")</f>
        <v/>
      </c>
      <c r="AV367" s="1" t="str">
        <f>IF(AND(AND(AND(AV$4&gt;='2025'!$L365,AV$4&lt;='2025'!$M365), AV$4&lt;&gt;DATE(2025,7,4)), (SWITCH(weekday(AV$4), 1, 0, 2, if(ISBLANK('2025'!$P365), 0, 1), 3, if(ISBLANK('2025'!$Q365), 0, 1), 4, if(ISBLANK('2025'!$R365), 0, 1), 5, if(ISBLANK('2025'!$S365), 0, 1), 6, if(ISBLANK('2025'!$T365), 0, 1), 7, 0))), 1, "")</f>
        <v/>
      </c>
      <c r="AW367" s="1" t="str">
        <f>IF(AND(AND(AND(AW$4&gt;='2025'!$L365,AW$4&lt;='2025'!$M365), AW$4&lt;&gt;DATE(2025,7,4)), (SWITCH(weekday(AW$4), 1, 0, 2, if(ISBLANK('2025'!$P365), 0, 1), 3, if(ISBLANK('2025'!$Q365), 0, 1), 4, if(ISBLANK('2025'!$R365), 0, 1), 5, if(ISBLANK('2025'!$S365), 0, 1), 6, if(ISBLANK('2025'!$T365), 0, 1), 7, 0))), 1, "")</f>
        <v/>
      </c>
      <c r="AX367" s="1" t="str">
        <f>IF(AND(AND(AND(AX$4&gt;='2025'!$L365,AX$4&lt;='2025'!$M365), AX$4&lt;&gt;DATE(2025,7,4)), (SWITCH(weekday(AX$4), 1, 0, 2, if(ISBLANK('2025'!$P365), 0, 1), 3, if(ISBLANK('2025'!$Q365), 0, 1), 4, if(ISBLANK('2025'!$R365), 0, 1), 5, if(ISBLANK('2025'!$S365), 0, 1), 6, if(ISBLANK('2025'!$T365), 0, 1), 7, 0))), 1, "")</f>
        <v/>
      </c>
      <c r="AY367" s="1" t="str">
        <f>IF(AND(AND(AND(AY$4&gt;='2025'!$L365,AY$4&lt;='2025'!$M365), AY$4&lt;&gt;DATE(2025,7,4)), (SWITCH(weekday(AY$4), 1, 0, 2, if(ISBLANK('2025'!$P365), 0, 1), 3, if(ISBLANK('2025'!$Q365), 0, 1), 4, if(ISBLANK('2025'!$R365), 0, 1), 5, if(ISBLANK('2025'!$S365), 0, 1), 6, if(ISBLANK('2025'!$T365), 0, 1), 7, 0))), 1, "")</f>
        <v/>
      </c>
      <c r="AZ367" s="1" t="str">
        <f>IF(AND(AND(AND(AZ$4&gt;='2025'!$L365,AZ$4&lt;='2025'!$M365), AZ$4&lt;&gt;DATE(2025,7,4)), (SWITCH(weekday(AZ$4), 1, 0, 2, if(ISBLANK('2025'!$P365), 0, 1), 3, if(ISBLANK('2025'!$Q365), 0, 1), 4, if(ISBLANK('2025'!$R365), 0, 1), 5, if(ISBLANK('2025'!$S365), 0, 1), 6, if(ISBLANK('2025'!$T365), 0, 1), 7, 0))), 1, "")</f>
        <v/>
      </c>
      <c r="BA367" s="1" t="str">
        <f>IF(AND(AND(AND(BA$4&gt;='2025'!$L365,BA$4&lt;='2025'!$M365), BA$4&lt;&gt;DATE(2025,7,4)), (SWITCH(weekday(BA$4), 1, 0, 2, if(ISBLANK('2025'!$P365), 0, 1), 3, if(ISBLANK('2025'!$Q365), 0, 1), 4, if(ISBLANK('2025'!$R365), 0, 1), 5, if(ISBLANK('2025'!$S365), 0, 1), 6, if(ISBLANK('2025'!$T365), 0, 1), 7, 0))), 1, "")</f>
        <v/>
      </c>
      <c r="BB367" s="1" t="str">
        <f>IF(AND(AND(AND(BB$4&gt;='2025'!$L365,BB$4&lt;='2025'!$M365), BB$4&lt;&gt;DATE(2025,7,4)), (SWITCH(weekday(BB$4), 1, 0, 2, if(ISBLANK('2025'!$P365), 0, 1), 3, if(ISBLANK('2025'!$Q365), 0, 1), 4, if(ISBLANK('2025'!$R365), 0, 1), 5, if(ISBLANK('2025'!$S365), 0, 1), 6, if(ISBLANK('2025'!$T365), 0, 1), 7, 0))), 1, "")</f>
        <v/>
      </c>
      <c r="BC367" s="1" t="str">
        <f>IF(AND(AND(AND(BC$4&gt;='2025'!$L365,BC$4&lt;='2025'!$M365), BC$4&lt;&gt;DATE(2025,7,4)), (SWITCH(weekday(BC$4), 1, 0, 2, if(ISBLANK('2025'!$P365), 0, 1), 3, if(ISBLANK('2025'!$Q365), 0, 1), 4, if(ISBLANK('2025'!$R365), 0, 1), 5, if(ISBLANK('2025'!$S365), 0, 1), 6, if(ISBLANK('2025'!$T365), 0, 1), 7, 0))), 1, "")</f>
        <v/>
      </c>
      <c r="BD367" s="1" t="str">
        <f>IF(AND(AND(AND(BD$4&gt;='2025'!$L365,BD$4&lt;='2025'!$M365), BD$4&lt;&gt;DATE(2025,7,4)), (SWITCH(weekday(BD$4), 1, 0, 2, if(ISBLANK('2025'!$P365), 0, 1), 3, if(ISBLANK('2025'!$Q365), 0, 1), 4, if(ISBLANK('2025'!$R365), 0, 1), 5, if(ISBLANK('2025'!$S365), 0, 1), 6, if(ISBLANK('2025'!$T365), 0, 1), 7, 0))), 1, "")</f>
        <v/>
      </c>
      <c r="BE367" s="1" t="str">
        <f>IF(AND(AND(AND(BE$4&gt;='2025'!$L365,BE$4&lt;='2025'!$M365), BE$4&lt;&gt;DATE(2025,7,4)), (SWITCH(weekday(BE$4), 1, 0, 2, if(ISBLANK('2025'!$P365), 0, 1), 3, if(ISBLANK('2025'!$Q365), 0, 1), 4, if(ISBLANK('2025'!$R365), 0, 1), 5, if(ISBLANK('2025'!$S365), 0, 1), 6, if(ISBLANK('2025'!$T365), 0, 1), 7, 0))), 1, "")</f>
        <v/>
      </c>
      <c r="BF367" s="1" t="str">
        <f>IF(AND(AND(AND(BF$4&gt;='2025'!$L365,BF$4&lt;='2025'!$M365), BF$4&lt;&gt;DATE(2025,7,4)), (SWITCH(weekday(BF$4), 1, 0, 2, if(ISBLANK('2025'!$P365), 0, 1), 3, if(ISBLANK('2025'!$Q365), 0, 1), 4, if(ISBLANK('2025'!$R365), 0, 1), 5, if(ISBLANK('2025'!$S365), 0, 1), 6, if(ISBLANK('2025'!$T365), 0, 1), 7, 0))), 1, "")</f>
        <v/>
      </c>
      <c r="BG367" s="1"/>
      <c r="BH367" s="1"/>
      <c r="BI367" s="1"/>
      <c r="BJ367" s="1"/>
      <c r="BK367" s="1"/>
      <c r="BL367" s="1"/>
    </row>
    <row r="368">
      <c r="A368" s="1">
        <f t="shared" si="3"/>
        <v>368</v>
      </c>
      <c r="B368" s="1" t="str">
        <f>'2025'!D332</f>
        <v>, </v>
      </c>
      <c r="C368" s="1" t="str">
        <f>'2025'!H332</f>
        <v/>
      </c>
      <c r="D368" s="1" t="str">
        <f>IF(AND(AND(AND(D$4&gt;='2025'!$L366,D$4&lt;='2025'!$M366), D$4&lt;&gt;DATE(2025,7,4)), (SWITCH(weekday(D$4), 1, 0, 2, if(ISBLANK('2025'!$P366), 0, 1), 3, if(ISBLANK('2025'!$Q366), 0, 1), 4, if(ISBLANK('2025'!$R366), 0, 1), 5, if(ISBLANK('2025'!$S366), 0, 1), 6, if(ISBLANK('2025'!$T366), 0, 1), 7, 0))), 1, "")</f>
        <v/>
      </c>
      <c r="E368" s="1" t="str">
        <f>IF(AND(AND(AND(E$4&gt;='2025'!$L366,E$4&lt;='2025'!$M366), E$4&lt;&gt;DATE(2025,7,4)), (SWITCH(weekday(E$4), 1, 0, 2, if(ISBLANK('2025'!$P366), 0, 1), 3, if(ISBLANK('2025'!$Q366), 0, 1), 4, if(ISBLANK('2025'!$R366), 0, 1), 5, if(ISBLANK('2025'!$S366), 0, 1), 6, if(ISBLANK('2025'!$T366), 0, 1), 7, 0))), 1, "")</f>
        <v/>
      </c>
      <c r="F368" s="1" t="str">
        <f>IF(AND(AND(AND(F$4&gt;='2025'!$L366,F$4&lt;='2025'!$M366), F$4&lt;&gt;DATE(2025,7,4)), (SWITCH(weekday(F$4), 1, 0, 2, if(ISBLANK('2025'!$P366), 0, 1), 3, if(ISBLANK('2025'!$Q366), 0, 1), 4, if(ISBLANK('2025'!$R366), 0, 1), 5, if(ISBLANK('2025'!$S366), 0, 1), 6, if(ISBLANK('2025'!$T366), 0, 1), 7, 0))), 1, "")</f>
        <v/>
      </c>
      <c r="G368" s="1" t="str">
        <f>IF(AND(AND(AND(G$4&gt;='2025'!$L366,G$4&lt;='2025'!$M366), G$4&lt;&gt;DATE(2025,7,4)), (SWITCH(weekday(G$4), 1, 0, 2, if(ISBLANK('2025'!$P366), 0, 1), 3, if(ISBLANK('2025'!$Q366), 0, 1), 4, if(ISBLANK('2025'!$R366), 0, 1), 5, if(ISBLANK('2025'!$S366), 0, 1), 6, if(ISBLANK('2025'!$T366), 0, 1), 7, 0))), 1, "")</f>
        <v/>
      </c>
      <c r="H368" s="1" t="str">
        <f>IF(AND(AND(AND(H$4&gt;='2025'!$L366,H$4&lt;='2025'!$M366), H$4&lt;&gt;DATE(2025,7,4)), (SWITCH(weekday(H$4), 1, 0, 2, if(ISBLANK('2025'!$P366), 0, 1), 3, if(ISBLANK('2025'!$Q366), 0, 1), 4, if(ISBLANK('2025'!$R366), 0, 1), 5, if(ISBLANK('2025'!$S366), 0, 1), 6, if(ISBLANK('2025'!$T366), 0, 1), 7, 0))), 1, "")</f>
        <v/>
      </c>
      <c r="I368" s="1" t="str">
        <f>IF(AND(AND(AND(I$4&gt;='2025'!$L366,I$4&lt;='2025'!$M366), I$4&lt;&gt;DATE(2025,7,4)), (SWITCH(weekday(I$4), 1, 0, 2, if(ISBLANK('2025'!$P366), 0, 1), 3, if(ISBLANK('2025'!$Q366), 0, 1), 4, if(ISBLANK('2025'!$R366), 0, 1), 5, if(ISBLANK('2025'!$S366), 0, 1), 6, if(ISBLANK('2025'!$T366), 0, 1), 7, 0))), 1, "")</f>
        <v/>
      </c>
      <c r="J368" s="1" t="str">
        <f>IF(AND(AND(AND(J$4&gt;='2025'!$L366,J$4&lt;='2025'!$M366), J$4&lt;&gt;DATE(2025,7,4)), (SWITCH(weekday(J$4), 1, 0, 2, if(ISBLANK('2025'!$P366), 0, 1), 3, if(ISBLANK('2025'!$Q366), 0, 1), 4, if(ISBLANK('2025'!$R366), 0, 1), 5, if(ISBLANK('2025'!$S366), 0, 1), 6, if(ISBLANK('2025'!$T366), 0, 1), 7, 0))), 1, "")</f>
        <v/>
      </c>
      <c r="K368" s="1" t="str">
        <f>IF(AND(AND(AND(K$4&gt;='2025'!$L366,K$4&lt;='2025'!$M366), K$4&lt;&gt;DATE(2025,7,4)), (SWITCH(weekday(K$4), 1, 0, 2, if(ISBLANK('2025'!$P366), 0, 1), 3, if(ISBLANK('2025'!$Q366), 0, 1), 4, if(ISBLANK('2025'!$R366), 0, 1), 5, if(ISBLANK('2025'!$S366), 0, 1), 6, if(ISBLANK('2025'!$T366), 0, 1), 7, 0))), 1, "")</f>
        <v/>
      </c>
      <c r="L368" s="1" t="str">
        <f>IF(AND(AND(AND(L$4&gt;='2025'!$L366,L$4&lt;='2025'!$M366), L$4&lt;&gt;DATE(2025,7,4)), (SWITCH(weekday(L$4), 1, 0, 2, if(ISBLANK('2025'!$P366), 0, 1), 3, if(ISBLANK('2025'!$Q366), 0, 1), 4, if(ISBLANK('2025'!$R366), 0, 1), 5, if(ISBLANK('2025'!$S366), 0, 1), 6, if(ISBLANK('2025'!$T366), 0, 1), 7, 0))), 1, "")</f>
        <v/>
      </c>
      <c r="M368" s="1" t="str">
        <f>IF(AND(AND(AND(M$4&gt;='2025'!$L366,M$4&lt;='2025'!$M366), M$4&lt;&gt;DATE(2025,7,4)), (SWITCH(weekday(M$4), 1, 0, 2, if(ISBLANK('2025'!$P366), 0, 1), 3, if(ISBLANK('2025'!$Q366), 0, 1), 4, if(ISBLANK('2025'!$R366), 0, 1), 5, if(ISBLANK('2025'!$S366), 0, 1), 6, if(ISBLANK('2025'!$T366), 0, 1), 7, 0))), 1, "")</f>
        <v/>
      </c>
      <c r="N368" s="1" t="str">
        <f>IF(AND(AND(AND(N$4&gt;='2025'!$L366,N$4&lt;='2025'!$M366), N$4&lt;&gt;DATE(2025,7,4)), (SWITCH(weekday(N$4), 1, 0, 2, if(ISBLANK('2025'!$P366), 0, 1), 3, if(ISBLANK('2025'!$Q366), 0, 1), 4, if(ISBLANK('2025'!$R366), 0, 1), 5, if(ISBLANK('2025'!$S366), 0, 1), 6, if(ISBLANK('2025'!$T366), 0, 1), 7, 0))), 1, "")</f>
        <v/>
      </c>
      <c r="O368" s="1" t="str">
        <f>IF(AND(AND(AND(O$4&gt;='2025'!$L366,O$4&lt;='2025'!$M366), O$4&lt;&gt;DATE(2025,7,4)), (SWITCH(weekday(O$4), 1, 0, 2, if(ISBLANK('2025'!$P366), 0, 1), 3, if(ISBLANK('2025'!$Q366), 0, 1), 4, if(ISBLANK('2025'!$R366), 0, 1), 5, if(ISBLANK('2025'!$S366), 0, 1), 6, if(ISBLANK('2025'!$T366), 0, 1), 7, 0))), 1, "")</f>
        <v/>
      </c>
      <c r="P368" s="1" t="str">
        <f>IF(AND(AND(AND(P$4&gt;='2025'!$L366,P$4&lt;='2025'!$M366), P$4&lt;&gt;DATE(2025,7,4)), (SWITCH(weekday(P$4), 1, 0, 2, if(ISBLANK('2025'!$P366), 0, 1), 3, if(ISBLANK('2025'!$Q366), 0, 1), 4, if(ISBLANK('2025'!$R366), 0, 1), 5, if(ISBLANK('2025'!$S366), 0, 1), 6, if(ISBLANK('2025'!$T366), 0, 1), 7, 0))), 1, "")</f>
        <v/>
      </c>
      <c r="Q368" s="1" t="str">
        <f>IF(AND(AND(AND(Q$4&gt;='2025'!$L366,Q$4&lt;='2025'!$M366), Q$4&lt;&gt;DATE(2025,7,4)), (SWITCH(weekday(Q$4), 1, 0, 2, if(ISBLANK('2025'!$P366), 0, 1), 3, if(ISBLANK('2025'!$Q366), 0, 1), 4, if(ISBLANK('2025'!$R366), 0, 1), 5, if(ISBLANK('2025'!$S366), 0, 1), 6, if(ISBLANK('2025'!$T366), 0, 1), 7, 0))), 1, "")</f>
        <v/>
      </c>
      <c r="R368" s="1" t="str">
        <f>IF(AND(AND(AND(R$4&gt;='2025'!$L366,R$4&lt;='2025'!$M366), R$4&lt;&gt;DATE(2025,7,4)), (SWITCH(weekday(R$4), 1, 0, 2, if(ISBLANK('2025'!$P366), 0, 1), 3, if(ISBLANK('2025'!$Q366), 0, 1), 4, if(ISBLANK('2025'!$R366), 0, 1), 5, if(ISBLANK('2025'!$S366), 0, 1), 6, if(ISBLANK('2025'!$T366), 0, 1), 7, 0))), 1, "")</f>
        <v/>
      </c>
      <c r="S368" s="1" t="str">
        <f>IF(AND(AND(AND(S$4&gt;='2025'!$L366,S$4&lt;='2025'!$M366), S$4&lt;&gt;DATE(2025,7,4)), (SWITCH(weekday(S$4), 1, 0, 2, if(ISBLANK('2025'!$P366), 0, 1), 3, if(ISBLANK('2025'!$Q366), 0, 1), 4, if(ISBLANK('2025'!$R366), 0, 1), 5, if(ISBLANK('2025'!$S366), 0, 1), 6, if(ISBLANK('2025'!$T366), 0, 1), 7, 0))), 1, "")</f>
        <v/>
      </c>
      <c r="T368" s="1" t="str">
        <f>IF(AND(AND(AND(T$4&gt;='2025'!$L366,T$4&lt;='2025'!$M366), T$4&lt;&gt;DATE(2025,7,4)), (SWITCH(weekday(T$4), 1, 0, 2, if(ISBLANK('2025'!$P366), 0, 1), 3, if(ISBLANK('2025'!$Q366), 0, 1), 4, if(ISBLANK('2025'!$R366), 0, 1), 5, if(ISBLANK('2025'!$S366), 0, 1), 6, if(ISBLANK('2025'!$T366), 0, 1), 7, 0))), 1, "")</f>
        <v/>
      </c>
      <c r="U368" s="1" t="str">
        <f>IF(AND(AND(AND(U$4&gt;='2025'!$L366,U$4&lt;='2025'!$M366), U$4&lt;&gt;DATE(2025,7,4)), (SWITCH(weekday(U$4), 1, 0, 2, if(ISBLANK('2025'!$P366), 0, 1), 3, if(ISBLANK('2025'!$Q366), 0, 1), 4, if(ISBLANK('2025'!$R366), 0, 1), 5, if(ISBLANK('2025'!$S366), 0, 1), 6, if(ISBLANK('2025'!$T366), 0, 1), 7, 0))), 1, "")</f>
        <v/>
      </c>
      <c r="V368" s="1" t="str">
        <f>IF(AND(AND(AND(V$4&gt;='2025'!$L366,V$4&lt;='2025'!$M366), V$4&lt;&gt;DATE(2025,7,4)), (SWITCH(weekday(V$4), 1, 0, 2, if(ISBLANK('2025'!$P366), 0, 1), 3, if(ISBLANK('2025'!$Q366), 0, 1), 4, if(ISBLANK('2025'!$R366), 0, 1), 5, if(ISBLANK('2025'!$S366), 0, 1), 6, if(ISBLANK('2025'!$T366), 0, 1), 7, 0))), 1, "")</f>
        <v/>
      </c>
      <c r="W368" s="1" t="str">
        <f>IF(AND(AND(AND(W$4&gt;='2025'!$L366,W$4&lt;='2025'!$M366), W$4&lt;&gt;DATE(2025,7,4)), (SWITCH(weekday(W$4), 1, 0, 2, if(ISBLANK('2025'!$P366), 0, 1), 3, if(ISBLANK('2025'!$Q366), 0, 1), 4, if(ISBLANK('2025'!$R366), 0, 1), 5, if(ISBLANK('2025'!$S366), 0, 1), 6, if(ISBLANK('2025'!$T366), 0, 1), 7, 0))), 1, "")</f>
        <v/>
      </c>
      <c r="X368" s="1" t="str">
        <f>IF(AND(AND(AND(X$4&gt;='2025'!$L366,X$4&lt;='2025'!$M366), X$4&lt;&gt;DATE(2025,7,4)), (SWITCH(weekday(X$4), 1, 0, 2, if(ISBLANK('2025'!$P366), 0, 1), 3, if(ISBLANK('2025'!$Q366), 0, 1), 4, if(ISBLANK('2025'!$R366), 0, 1), 5, if(ISBLANK('2025'!$S366), 0, 1), 6, if(ISBLANK('2025'!$T366), 0, 1), 7, 0))), 1, "")</f>
        <v/>
      </c>
      <c r="Y368" s="1" t="str">
        <f>IF(AND(AND(AND(Y$4&gt;='2025'!$L366,Y$4&lt;='2025'!$M366), Y$4&lt;&gt;DATE(2025,7,4)), (SWITCH(weekday(Y$4), 1, 0, 2, if(ISBLANK('2025'!$P366), 0, 1), 3, if(ISBLANK('2025'!$Q366), 0, 1), 4, if(ISBLANK('2025'!$R366), 0, 1), 5, if(ISBLANK('2025'!$S366), 0, 1), 6, if(ISBLANK('2025'!$T366), 0, 1), 7, 0))), 1, "")</f>
        <v/>
      </c>
      <c r="Z368" s="1" t="str">
        <f>IF(AND(AND(AND(Z$4&gt;='2025'!$L366,Z$4&lt;='2025'!$M366), Z$4&lt;&gt;DATE(2025,7,4)), (SWITCH(weekday(Z$4), 1, 0, 2, if(ISBLANK('2025'!$P366), 0, 1), 3, if(ISBLANK('2025'!$Q366), 0, 1), 4, if(ISBLANK('2025'!$R366), 0, 1), 5, if(ISBLANK('2025'!$S366), 0, 1), 6, if(ISBLANK('2025'!$T366), 0, 1), 7, 0))), 1, "")</f>
        <v/>
      </c>
      <c r="AA368" s="1" t="str">
        <f>IF(AND(AND(AND(AA$4&gt;='2025'!$L366,AA$4&lt;='2025'!$M366), AA$4&lt;&gt;DATE(2025,7,4)), (SWITCH(weekday(AA$4), 1, 0, 2, if(ISBLANK('2025'!$P366), 0, 1), 3, if(ISBLANK('2025'!$Q366), 0, 1), 4, if(ISBLANK('2025'!$R366), 0, 1), 5, if(ISBLANK('2025'!$S366), 0, 1), 6, if(ISBLANK('2025'!$T366), 0, 1), 7, 0))), 1, "")</f>
        <v/>
      </c>
      <c r="AB368" s="1" t="str">
        <f>IF(AND(AND(AND(AB$4&gt;='2025'!$L366,AB$4&lt;='2025'!$M366), AB$4&lt;&gt;DATE(2025,7,4)), (SWITCH(weekday(AB$4), 1, 0, 2, if(ISBLANK('2025'!$P366), 0, 1), 3, if(ISBLANK('2025'!$Q366), 0, 1), 4, if(ISBLANK('2025'!$R366), 0, 1), 5, if(ISBLANK('2025'!$S366), 0, 1), 6, if(ISBLANK('2025'!$T366), 0, 1), 7, 0))), 1, "")</f>
        <v/>
      </c>
      <c r="AC368" s="1" t="str">
        <f>IF(AND(AND(AND(AC$4&gt;='2025'!$L366,AC$4&lt;='2025'!$M366), AC$4&lt;&gt;DATE(2025,7,4)), (SWITCH(weekday(AC$4), 1, 0, 2, if(ISBLANK('2025'!$P366), 0, 1), 3, if(ISBLANK('2025'!$Q366), 0, 1), 4, if(ISBLANK('2025'!$R366), 0, 1), 5, if(ISBLANK('2025'!$S366), 0, 1), 6, if(ISBLANK('2025'!$T366), 0, 1), 7, 0))), 1, "")</f>
        <v/>
      </c>
      <c r="AD368" s="1" t="str">
        <f>IF(AND(AND(AND(AD$4&gt;='2025'!$L366,AD$4&lt;='2025'!$M366), AD$4&lt;&gt;DATE(2025,7,4)), (SWITCH(weekday(AD$4), 1, 0, 2, if(ISBLANK('2025'!$P366), 0, 1), 3, if(ISBLANK('2025'!$Q366), 0, 1), 4, if(ISBLANK('2025'!$R366), 0, 1), 5, if(ISBLANK('2025'!$S366), 0, 1), 6, if(ISBLANK('2025'!$T366), 0, 1), 7, 0))), 1, "")</f>
        <v/>
      </c>
      <c r="AE368" s="1" t="str">
        <f>IF(AND(AND(AND(AE$4&gt;='2025'!$L366,AE$4&lt;='2025'!$M366), AE$4&lt;&gt;DATE(2025,7,4)), (SWITCH(weekday(AE$4), 1, 0, 2, if(ISBLANK('2025'!$P366), 0, 1), 3, if(ISBLANK('2025'!$Q366), 0, 1), 4, if(ISBLANK('2025'!$R366), 0, 1), 5, if(ISBLANK('2025'!$S366), 0, 1), 6, if(ISBLANK('2025'!$T366), 0, 1), 7, 0))), 1, "")</f>
        <v/>
      </c>
      <c r="AF368" s="1" t="str">
        <f>IF(AND(AND(AND(AF$4&gt;='2025'!$L366,AF$4&lt;='2025'!$M366), AF$4&lt;&gt;DATE(2025,7,4)), (SWITCH(weekday(AF$4), 1, 0, 2, if(ISBLANK('2025'!$P366), 0, 1), 3, if(ISBLANK('2025'!$Q366), 0, 1), 4, if(ISBLANK('2025'!$R366), 0, 1), 5, if(ISBLANK('2025'!$S366), 0, 1), 6, if(ISBLANK('2025'!$T366), 0, 1), 7, 0))), 1, "")</f>
        <v/>
      </c>
      <c r="AG368" s="1" t="str">
        <f>IF(AND(AND(AND(AG$4&gt;='2025'!$L366,AG$4&lt;='2025'!$M366), AG$4&lt;&gt;DATE(2025,7,4)), (SWITCH(weekday(AG$4), 1, 0, 2, if(ISBLANK('2025'!$P366), 0, 1), 3, if(ISBLANK('2025'!$Q366), 0, 1), 4, if(ISBLANK('2025'!$R366), 0, 1), 5, if(ISBLANK('2025'!$S366), 0, 1), 6, if(ISBLANK('2025'!$T366), 0, 1), 7, 0))), 1, "")</f>
        <v/>
      </c>
      <c r="AH368" s="1" t="str">
        <f>IF(AND(AND(AND(AH$4&gt;='2025'!$L366,AH$4&lt;='2025'!$M366), AH$4&lt;&gt;DATE(2025,7,4)), (SWITCH(weekday(AH$4), 1, 0, 2, if(ISBLANK('2025'!$P366), 0, 1), 3, if(ISBLANK('2025'!$Q366), 0, 1), 4, if(ISBLANK('2025'!$R366), 0, 1), 5, if(ISBLANK('2025'!$S366), 0, 1), 6, if(ISBLANK('2025'!$T366), 0, 1), 7, 0))), 1, "")</f>
        <v/>
      </c>
      <c r="AI368" s="1" t="str">
        <f>IF(AND(AND(AND(AI$4&gt;='2025'!$L366,AI$4&lt;='2025'!$M366), AI$4&lt;&gt;DATE(2025,7,4)), (SWITCH(weekday(AI$4), 1, 0, 2, if(ISBLANK('2025'!$P366), 0, 1), 3, if(ISBLANK('2025'!$Q366), 0, 1), 4, if(ISBLANK('2025'!$R366), 0, 1), 5, if(ISBLANK('2025'!$S366), 0, 1), 6, if(ISBLANK('2025'!$T366), 0, 1), 7, 0))), 1, "")</f>
        <v/>
      </c>
      <c r="AJ368" s="1" t="str">
        <f>IF(AND(AND(AND(AJ$4&gt;='2025'!$L366,AJ$4&lt;='2025'!$M366), AJ$4&lt;&gt;DATE(2025,7,4)), (SWITCH(weekday(AJ$4), 1, 0, 2, if(ISBLANK('2025'!$P366), 0, 1), 3, if(ISBLANK('2025'!$Q366), 0, 1), 4, if(ISBLANK('2025'!$R366), 0, 1), 5, if(ISBLANK('2025'!$S366), 0, 1), 6, if(ISBLANK('2025'!$T366), 0, 1), 7, 0))), 1, "")</f>
        <v/>
      </c>
      <c r="AK368" s="1" t="str">
        <f>IF(AND(AND(AND(AK$4&gt;='2025'!$L366,AK$4&lt;='2025'!$M366), AK$4&lt;&gt;DATE(2025,7,4)), (SWITCH(weekday(AK$4), 1, 0, 2, if(ISBLANK('2025'!$P366), 0, 1), 3, if(ISBLANK('2025'!$Q366), 0, 1), 4, if(ISBLANK('2025'!$R366), 0, 1), 5, if(ISBLANK('2025'!$S366), 0, 1), 6, if(ISBLANK('2025'!$T366), 0, 1), 7, 0))), 1, "")</f>
        <v/>
      </c>
      <c r="AL368" s="1" t="str">
        <f>IF(AND(AND(AND(AL$4&gt;='2025'!$L366,AL$4&lt;='2025'!$M366), AL$4&lt;&gt;DATE(2025,7,4)), (SWITCH(weekday(AL$4), 1, 0, 2, if(ISBLANK('2025'!$P366), 0, 1), 3, if(ISBLANK('2025'!$Q366), 0, 1), 4, if(ISBLANK('2025'!$R366), 0, 1), 5, if(ISBLANK('2025'!$S366), 0, 1), 6, if(ISBLANK('2025'!$T366), 0, 1), 7, 0))), 1, "")</f>
        <v/>
      </c>
      <c r="AM368" s="1" t="str">
        <f>IF(AND(AND(AND(AM$4&gt;='2025'!$L366,AM$4&lt;='2025'!$M366), AM$4&lt;&gt;DATE(2025,7,4)), (SWITCH(weekday(AM$4), 1, 0, 2, if(ISBLANK('2025'!$P366), 0, 1), 3, if(ISBLANK('2025'!$Q366), 0, 1), 4, if(ISBLANK('2025'!$R366), 0, 1), 5, if(ISBLANK('2025'!$S366), 0, 1), 6, if(ISBLANK('2025'!$T366), 0, 1), 7, 0))), 1, "")</f>
        <v/>
      </c>
      <c r="AN368" s="1" t="str">
        <f>IF(AND(AND(AND(AN$4&gt;='2025'!$L366,AN$4&lt;='2025'!$M366), AN$4&lt;&gt;DATE(2025,7,4)), (SWITCH(weekday(AN$4), 1, 0, 2, if(ISBLANK('2025'!$P366), 0, 1), 3, if(ISBLANK('2025'!$Q366), 0, 1), 4, if(ISBLANK('2025'!$R366), 0, 1), 5, if(ISBLANK('2025'!$S366), 0, 1), 6, if(ISBLANK('2025'!$T366), 0, 1), 7, 0))), 1, "")</f>
        <v/>
      </c>
      <c r="AO368" s="1" t="str">
        <f>IF(AND(AND(AND(AO$4&gt;='2025'!$L366,AO$4&lt;='2025'!$M366), AO$4&lt;&gt;DATE(2025,7,4)), (SWITCH(weekday(AO$4), 1, 0, 2, if(ISBLANK('2025'!$P366), 0, 1), 3, if(ISBLANK('2025'!$Q366), 0, 1), 4, if(ISBLANK('2025'!$R366), 0, 1), 5, if(ISBLANK('2025'!$S366), 0, 1), 6, if(ISBLANK('2025'!$T366), 0, 1), 7, 0))), 1, "")</f>
        <v/>
      </c>
      <c r="AP368" s="1" t="str">
        <f>IF(AND(AND(AND(AP$4&gt;='2025'!$L366,AP$4&lt;='2025'!$M366), AP$4&lt;&gt;DATE(2025,7,4)), (SWITCH(weekday(AP$4), 1, 0, 2, if(ISBLANK('2025'!$P366), 0, 1), 3, if(ISBLANK('2025'!$Q366), 0, 1), 4, if(ISBLANK('2025'!$R366), 0, 1), 5, if(ISBLANK('2025'!$S366), 0, 1), 6, if(ISBLANK('2025'!$T366), 0, 1), 7, 0))), 1, "")</f>
        <v/>
      </c>
      <c r="AQ368" s="1" t="str">
        <f>IF(AND(AND(AND(AQ$4&gt;='2025'!$L366,AQ$4&lt;='2025'!$M366), AQ$4&lt;&gt;DATE(2025,7,4)), (SWITCH(weekday(AQ$4), 1, 0, 2, if(ISBLANK('2025'!$P366), 0, 1), 3, if(ISBLANK('2025'!$Q366), 0, 1), 4, if(ISBLANK('2025'!$R366), 0, 1), 5, if(ISBLANK('2025'!$S366), 0, 1), 6, if(ISBLANK('2025'!$T366), 0, 1), 7, 0))), 1, "")</f>
        <v/>
      </c>
      <c r="AR368" s="1" t="str">
        <f>IF(AND(AND(AND(AR$4&gt;='2025'!$L366,AR$4&lt;='2025'!$M366), AR$4&lt;&gt;DATE(2025,7,4)), (SWITCH(weekday(AR$4), 1, 0, 2, if(ISBLANK('2025'!$P366), 0, 1), 3, if(ISBLANK('2025'!$Q366), 0, 1), 4, if(ISBLANK('2025'!$R366), 0, 1), 5, if(ISBLANK('2025'!$S366), 0, 1), 6, if(ISBLANK('2025'!$T366), 0, 1), 7, 0))), 1, "")</f>
        <v/>
      </c>
      <c r="AS368" s="1" t="str">
        <f>IF(AND(AND(AND(AS$4&gt;='2025'!$L366,AS$4&lt;='2025'!$M366), AS$4&lt;&gt;DATE(2025,7,4)), (SWITCH(weekday(AS$4), 1, 0, 2, if(ISBLANK('2025'!$P366), 0, 1), 3, if(ISBLANK('2025'!$Q366), 0, 1), 4, if(ISBLANK('2025'!$R366), 0, 1), 5, if(ISBLANK('2025'!$S366), 0, 1), 6, if(ISBLANK('2025'!$T366), 0, 1), 7, 0))), 1, "")</f>
        <v/>
      </c>
      <c r="AT368" s="1" t="str">
        <f>IF(AND(AND(AND(AT$4&gt;='2025'!$L366,AT$4&lt;='2025'!$M366), AT$4&lt;&gt;DATE(2025,7,4)), (SWITCH(weekday(AT$4), 1, 0, 2, if(ISBLANK('2025'!$P366), 0, 1), 3, if(ISBLANK('2025'!$Q366), 0, 1), 4, if(ISBLANK('2025'!$R366), 0, 1), 5, if(ISBLANK('2025'!$S366), 0, 1), 6, if(ISBLANK('2025'!$T366), 0, 1), 7, 0))), 1, "")</f>
        <v/>
      </c>
      <c r="AU368" s="1" t="str">
        <f>IF(AND(AND(AND(AU$4&gt;='2025'!$L366,AU$4&lt;='2025'!$M366), AU$4&lt;&gt;DATE(2025,7,4)), (SWITCH(weekday(AU$4), 1, 0, 2, if(ISBLANK('2025'!$P366), 0, 1), 3, if(ISBLANK('2025'!$Q366), 0, 1), 4, if(ISBLANK('2025'!$R366), 0, 1), 5, if(ISBLANK('2025'!$S366), 0, 1), 6, if(ISBLANK('2025'!$T366), 0, 1), 7, 0))), 1, "")</f>
        <v/>
      </c>
      <c r="AV368" s="1" t="str">
        <f>IF(AND(AND(AND(AV$4&gt;='2025'!$L366,AV$4&lt;='2025'!$M366), AV$4&lt;&gt;DATE(2025,7,4)), (SWITCH(weekday(AV$4), 1, 0, 2, if(ISBLANK('2025'!$P366), 0, 1), 3, if(ISBLANK('2025'!$Q366), 0, 1), 4, if(ISBLANK('2025'!$R366), 0, 1), 5, if(ISBLANK('2025'!$S366), 0, 1), 6, if(ISBLANK('2025'!$T366), 0, 1), 7, 0))), 1, "")</f>
        <v/>
      </c>
      <c r="AW368" s="1" t="str">
        <f>IF(AND(AND(AND(AW$4&gt;='2025'!$L366,AW$4&lt;='2025'!$M366), AW$4&lt;&gt;DATE(2025,7,4)), (SWITCH(weekday(AW$4), 1, 0, 2, if(ISBLANK('2025'!$P366), 0, 1), 3, if(ISBLANK('2025'!$Q366), 0, 1), 4, if(ISBLANK('2025'!$R366), 0, 1), 5, if(ISBLANK('2025'!$S366), 0, 1), 6, if(ISBLANK('2025'!$T366), 0, 1), 7, 0))), 1, "")</f>
        <v/>
      </c>
      <c r="AX368" s="1" t="str">
        <f>IF(AND(AND(AND(AX$4&gt;='2025'!$L366,AX$4&lt;='2025'!$M366), AX$4&lt;&gt;DATE(2025,7,4)), (SWITCH(weekday(AX$4), 1, 0, 2, if(ISBLANK('2025'!$P366), 0, 1), 3, if(ISBLANK('2025'!$Q366), 0, 1), 4, if(ISBLANK('2025'!$R366), 0, 1), 5, if(ISBLANK('2025'!$S366), 0, 1), 6, if(ISBLANK('2025'!$T366), 0, 1), 7, 0))), 1, "")</f>
        <v/>
      </c>
      <c r="AY368" s="1" t="str">
        <f>IF(AND(AND(AND(AY$4&gt;='2025'!$L366,AY$4&lt;='2025'!$M366), AY$4&lt;&gt;DATE(2025,7,4)), (SWITCH(weekday(AY$4), 1, 0, 2, if(ISBLANK('2025'!$P366), 0, 1), 3, if(ISBLANK('2025'!$Q366), 0, 1), 4, if(ISBLANK('2025'!$R366), 0, 1), 5, if(ISBLANK('2025'!$S366), 0, 1), 6, if(ISBLANK('2025'!$T366), 0, 1), 7, 0))), 1, "")</f>
        <v/>
      </c>
      <c r="AZ368" s="1" t="str">
        <f>IF(AND(AND(AND(AZ$4&gt;='2025'!$L366,AZ$4&lt;='2025'!$M366), AZ$4&lt;&gt;DATE(2025,7,4)), (SWITCH(weekday(AZ$4), 1, 0, 2, if(ISBLANK('2025'!$P366), 0, 1), 3, if(ISBLANK('2025'!$Q366), 0, 1), 4, if(ISBLANK('2025'!$R366), 0, 1), 5, if(ISBLANK('2025'!$S366), 0, 1), 6, if(ISBLANK('2025'!$T366), 0, 1), 7, 0))), 1, "")</f>
        <v/>
      </c>
      <c r="BA368" s="1" t="str">
        <f>IF(AND(AND(AND(BA$4&gt;='2025'!$L366,BA$4&lt;='2025'!$M366), BA$4&lt;&gt;DATE(2025,7,4)), (SWITCH(weekday(BA$4), 1, 0, 2, if(ISBLANK('2025'!$P366), 0, 1), 3, if(ISBLANK('2025'!$Q366), 0, 1), 4, if(ISBLANK('2025'!$R366), 0, 1), 5, if(ISBLANK('2025'!$S366), 0, 1), 6, if(ISBLANK('2025'!$T366), 0, 1), 7, 0))), 1, "")</f>
        <v/>
      </c>
      <c r="BB368" s="1" t="str">
        <f>IF(AND(AND(AND(BB$4&gt;='2025'!$L366,BB$4&lt;='2025'!$M366), BB$4&lt;&gt;DATE(2025,7,4)), (SWITCH(weekday(BB$4), 1, 0, 2, if(ISBLANK('2025'!$P366), 0, 1), 3, if(ISBLANK('2025'!$Q366), 0, 1), 4, if(ISBLANK('2025'!$R366), 0, 1), 5, if(ISBLANK('2025'!$S366), 0, 1), 6, if(ISBLANK('2025'!$T366), 0, 1), 7, 0))), 1, "")</f>
        <v/>
      </c>
      <c r="BC368" s="1" t="str">
        <f>IF(AND(AND(AND(BC$4&gt;='2025'!$L366,BC$4&lt;='2025'!$M366), BC$4&lt;&gt;DATE(2025,7,4)), (SWITCH(weekday(BC$4), 1, 0, 2, if(ISBLANK('2025'!$P366), 0, 1), 3, if(ISBLANK('2025'!$Q366), 0, 1), 4, if(ISBLANK('2025'!$R366), 0, 1), 5, if(ISBLANK('2025'!$S366), 0, 1), 6, if(ISBLANK('2025'!$T366), 0, 1), 7, 0))), 1, "")</f>
        <v/>
      </c>
      <c r="BD368" s="1" t="str">
        <f>IF(AND(AND(AND(BD$4&gt;='2025'!$L366,BD$4&lt;='2025'!$M366), BD$4&lt;&gt;DATE(2025,7,4)), (SWITCH(weekday(BD$4), 1, 0, 2, if(ISBLANK('2025'!$P366), 0, 1), 3, if(ISBLANK('2025'!$Q366), 0, 1), 4, if(ISBLANK('2025'!$R366), 0, 1), 5, if(ISBLANK('2025'!$S366), 0, 1), 6, if(ISBLANK('2025'!$T366), 0, 1), 7, 0))), 1, "")</f>
        <v/>
      </c>
      <c r="BE368" s="1" t="str">
        <f>IF(AND(AND(AND(BE$4&gt;='2025'!$L366,BE$4&lt;='2025'!$M366), BE$4&lt;&gt;DATE(2025,7,4)), (SWITCH(weekday(BE$4), 1, 0, 2, if(ISBLANK('2025'!$P366), 0, 1), 3, if(ISBLANK('2025'!$Q366), 0, 1), 4, if(ISBLANK('2025'!$R366), 0, 1), 5, if(ISBLANK('2025'!$S366), 0, 1), 6, if(ISBLANK('2025'!$T366), 0, 1), 7, 0))), 1, "")</f>
        <v/>
      </c>
      <c r="BF368" s="1" t="str">
        <f>IF(AND(AND(AND(BF$4&gt;='2025'!$L366,BF$4&lt;='2025'!$M366), BF$4&lt;&gt;DATE(2025,7,4)), (SWITCH(weekday(BF$4), 1, 0, 2, if(ISBLANK('2025'!$P366), 0, 1), 3, if(ISBLANK('2025'!$Q366), 0, 1), 4, if(ISBLANK('2025'!$R366), 0, 1), 5, if(ISBLANK('2025'!$S366), 0, 1), 6, if(ISBLANK('2025'!$T366), 0, 1), 7, 0))), 1, "")</f>
        <v/>
      </c>
      <c r="BG368" s="1"/>
      <c r="BH368" s="1"/>
      <c r="BI368" s="1"/>
      <c r="BJ368" s="1"/>
      <c r="BK368" s="1"/>
      <c r="BL368" s="1"/>
    </row>
    <row r="369">
      <c r="A369" s="1">
        <f t="shared" si="3"/>
        <v>369</v>
      </c>
      <c r="B369" s="1" t="str">
        <f>'2025'!D333</f>
        <v>, </v>
      </c>
      <c r="C369" s="1" t="str">
        <f>'2025'!H333</f>
        <v/>
      </c>
      <c r="D369" s="1" t="str">
        <f>IF(AND(AND(AND(D$4&gt;='2025'!$L367,D$4&lt;='2025'!$M367), D$4&lt;&gt;DATE(2025,7,4)), (SWITCH(weekday(D$4), 1, 0, 2, if(ISBLANK('2025'!$P367), 0, 1), 3, if(ISBLANK('2025'!$Q367), 0, 1), 4, if(ISBLANK('2025'!$R367), 0, 1), 5, if(ISBLANK('2025'!$S367), 0, 1), 6, if(ISBLANK('2025'!$T367), 0, 1), 7, 0))), 1, "")</f>
        <v/>
      </c>
      <c r="E369" s="1" t="str">
        <f>IF(AND(AND(AND(E$4&gt;='2025'!$L367,E$4&lt;='2025'!$M367), E$4&lt;&gt;DATE(2025,7,4)), (SWITCH(weekday(E$4), 1, 0, 2, if(ISBLANK('2025'!$P367), 0, 1), 3, if(ISBLANK('2025'!$Q367), 0, 1), 4, if(ISBLANK('2025'!$R367), 0, 1), 5, if(ISBLANK('2025'!$S367), 0, 1), 6, if(ISBLANK('2025'!$T367), 0, 1), 7, 0))), 1, "")</f>
        <v/>
      </c>
      <c r="F369" s="1" t="str">
        <f>IF(AND(AND(AND(F$4&gt;='2025'!$L367,F$4&lt;='2025'!$M367), F$4&lt;&gt;DATE(2025,7,4)), (SWITCH(weekday(F$4), 1, 0, 2, if(ISBLANK('2025'!$P367), 0, 1), 3, if(ISBLANK('2025'!$Q367), 0, 1), 4, if(ISBLANK('2025'!$R367), 0, 1), 5, if(ISBLANK('2025'!$S367), 0, 1), 6, if(ISBLANK('2025'!$T367), 0, 1), 7, 0))), 1, "")</f>
        <v/>
      </c>
      <c r="G369" s="1" t="str">
        <f>IF(AND(AND(AND(G$4&gt;='2025'!$L367,G$4&lt;='2025'!$M367), G$4&lt;&gt;DATE(2025,7,4)), (SWITCH(weekday(G$4), 1, 0, 2, if(ISBLANK('2025'!$P367), 0, 1), 3, if(ISBLANK('2025'!$Q367), 0, 1), 4, if(ISBLANK('2025'!$R367), 0, 1), 5, if(ISBLANK('2025'!$S367), 0, 1), 6, if(ISBLANK('2025'!$T367), 0, 1), 7, 0))), 1, "")</f>
        <v/>
      </c>
      <c r="H369" s="1" t="str">
        <f>IF(AND(AND(AND(H$4&gt;='2025'!$L367,H$4&lt;='2025'!$M367), H$4&lt;&gt;DATE(2025,7,4)), (SWITCH(weekday(H$4), 1, 0, 2, if(ISBLANK('2025'!$P367), 0, 1), 3, if(ISBLANK('2025'!$Q367), 0, 1), 4, if(ISBLANK('2025'!$R367), 0, 1), 5, if(ISBLANK('2025'!$S367), 0, 1), 6, if(ISBLANK('2025'!$T367), 0, 1), 7, 0))), 1, "")</f>
        <v/>
      </c>
      <c r="I369" s="1" t="str">
        <f>IF(AND(AND(AND(I$4&gt;='2025'!$L367,I$4&lt;='2025'!$M367), I$4&lt;&gt;DATE(2025,7,4)), (SWITCH(weekday(I$4), 1, 0, 2, if(ISBLANK('2025'!$P367), 0, 1), 3, if(ISBLANK('2025'!$Q367), 0, 1), 4, if(ISBLANK('2025'!$R367), 0, 1), 5, if(ISBLANK('2025'!$S367), 0, 1), 6, if(ISBLANK('2025'!$T367), 0, 1), 7, 0))), 1, "")</f>
        <v/>
      </c>
      <c r="J369" s="1" t="str">
        <f>IF(AND(AND(AND(J$4&gt;='2025'!$L367,J$4&lt;='2025'!$M367), J$4&lt;&gt;DATE(2025,7,4)), (SWITCH(weekday(J$4), 1, 0, 2, if(ISBLANK('2025'!$P367), 0, 1), 3, if(ISBLANK('2025'!$Q367), 0, 1), 4, if(ISBLANK('2025'!$R367), 0, 1), 5, if(ISBLANK('2025'!$S367), 0, 1), 6, if(ISBLANK('2025'!$T367), 0, 1), 7, 0))), 1, "")</f>
        <v/>
      </c>
      <c r="K369" s="1" t="str">
        <f>IF(AND(AND(AND(K$4&gt;='2025'!$L367,K$4&lt;='2025'!$M367), K$4&lt;&gt;DATE(2025,7,4)), (SWITCH(weekday(K$4), 1, 0, 2, if(ISBLANK('2025'!$P367), 0, 1), 3, if(ISBLANK('2025'!$Q367), 0, 1), 4, if(ISBLANK('2025'!$R367), 0, 1), 5, if(ISBLANK('2025'!$S367), 0, 1), 6, if(ISBLANK('2025'!$T367), 0, 1), 7, 0))), 1, "")</f>
        <v/>
      </c>
      <c r="L369" s="1" t="str">
        <f>IF(AND(AND(AND(L$4&gt;='2025'!$L367,L$4&lt;='2025'!$M367), L$4&lt;&gt;DATE(2025,7,4)), (SWITCH(weekday(L$4), 1, 0, 2, if(ISBLANK('2025'!$P367), 0, 1), 3, if(ISBLANK('2025'!$Q367), 0, 1), 4, if(ISBLANK('2025'!$R367), 0, 1), 5, if(ISBLANK('2025'!$S367), 0, 1), 6, if(ISBLANK('2025'!$T367), 0, 1), 7, 0))), 1, "")</f>
        <v/>
      </c>
      <c r="M369" s="1" t="str">
        <f>IF(AND(AND(AND(M$4&gt;='2025'!$L367,M$4&lt;='2025'!$M367), M$4&lt;&gt;DATE(2025,7,4)), (SWITCH(weekday(M$4), 1, 0, 2, if(ISBLANK('2025'!$P367), 0, 1), 3, if(ISBLANK('2025'!$Q367), 0, 1), 4, if(ISBLANK('2025'!$R367), 0, 1), 5, if(ISBLANK('2025'!$S367), 0, 1), 6, if(ISBLANK('2025'!$T367), 0, 1), 7, 0))), 1, "")</f>
        <v/>
      </c>
      <c r="N369" s="1" t="str">
        <f>IF(AND(AND(AND(N$4&gt;='2025'!$L367,N$4&lt;='2025'!$M367), N$4&lt;&gt;DATE(2025,7,4)), (SWITCH(weekday(N$4), 1, 0, 2, if(ISBLANK('2025'!$P367), 0, 1), 3, if(ISBLANK('2025'!$Q367), 0, 1), 4, if(ISBLANK('2025'!$R367), 0, 1), 5, if(ISBLANK('2025'!$S367), 0, 1), 6, if(ISBLANK('2025'!$T367), 0, 1), 7, 0))), 1, "")</f>
        <v/>
      </c>
      <c r="O369" s="1" t="str">
        <f>IF(AND(AND(AND(O$4&gt;='2025'!$L367,O$4&lt;='2025'!$M367), O$4&lt;&gt;DATE(2025,7,4)), (SWITCH(weekday(O$4), 1, 0, 2, if(ISBLANK('2025'!$P367), 0, 1), 3, if(ISBLANK('2025'!$Q367), 0, 1), 4, if(ISBLANK('2025'!$R367), 0, 1), 5, if(ISBLANK('2025'!$S367), 0, 1), 6, if(ISBLANK('2025'!$T367), 0, 1), 7, 0))), 1, "")</f>
        <v/>
      </c>
      <c r="P369" s="1" t="str">
        <f>IF(AND(AND(AND(P$4&gt;='2025'!$L367,P$4&lt;='2025'!$M367), P$4&lt;&gt;DATE(2025,7,4)), (SWITCH(weekday(P$4), 1, 0, 2, if(ISBLANK('2025'!$P367), 0, 1), 3, if(ISBLANK('2025'!$Q367), 0, 1), 4, if(ISBLANK('2025'!$R367), 0, 1), 5, if(ISBLANK('2025'!$S367), 0, 1), 6, if(ISBLANK('2025'!$T367), 0, 1), 7, 0))), 1, "")</f>
        <v/>
      </c>
      <c r="Q369" s="1" t="str">
        <f>IF(AND(AND(AND(Q$4&gt;='2025'!$L367,Q$4&lt;='2025'!$M367), Q$4&lt;&gt;DATE(2025,7,4)), (SWITCH(weekday(Q$4), 1, 0, 2, if(ISBLANK('2025'!$P367), 0, 1), 3, if(ISBLANK('2025'!$Q367), 0, 1), 4, if(ISBLANK('2025'!$R367), 0, 1), 5, if(ISBLANK('2025'!$S367), 0, 1), 6, if(ISBLANK('2025'!$T367), 0, 1), 7, 0))), 1, "")</f>
        <v/>
      </c>
      <c r="R369" s="1" t="str">
        <f>IF(AND(AND(AND(R$4&gt;='2025'!$L367,R$4&lt;='2025'!$M367), R$4&lt;&gt;DATE(2025,7,4)), (SWITCH(weekday(R$4), 1, 0, 2, if(ISBLANK('2025'!$P367), 0, 1), 3, if(ISBLANK('2025'!$Q367), 0, 1), 4, if(ISBLANK('2025'!$R367), 0, 1), 5, if(ISBLANK('2025'!$S367), 0, 1), 6, if(ISBLANK('2025'!$T367), 0, 1), 7, 0))), 1, "")</f>
        <v/>
      </c>
      <c r="S369" s="1" t="str">
        <f>IF(AND(AND(AND(S$4&gt;='2025'!$L367,S$4&lt;='2025'!$M367), S$4&lt;&gt;DATE(2025,7,4)), (SWITCH(weekday(S$4), 1, 0, 2, if(ISBLANK('2025'!$P367), 0, 1), 3, if(ISBLANK('2025'!$Q367), 0, 1), 4, if(ISBLANK('2025'!$R367), 0, 1), 5, if(ISBLANK('2025'!$S367), 0, 1), 6, if(ISBLANK('2025'!$T367), 0, 1), 7, 0))), 1, "")</f>
        <v/>
      </c>
      <c r="T369" s="1" t="str">
        <f>IF(AND(AND(AND(T$4&gt;='2025'!$L367,T$4&lt;='2025'!$M367), T$4&lt;&gt;DATE(2025,7,4)), (SWITCH(weekday(T$4), 1, 0, 2, if(ISBLANK('2025'!$P367), 0, 1), 3, if(ISBLANK('2025'!$Q367), 0, 1), 4, if(ISBLANK('2025'!$R367), 0, 1), 5, if(ISBLANK('2025'!$S367), 0, 1), 6, if(ISBLANK('2025'!$T367), 0, 1), 7, 0))), 1, "")</f>
        <v/>
      </c>
      <c r="U369" s="1" t="str">
        <f>IF(AND(AND(AND(U$4&gt;='2025'!$L367,U$4&lt;='2025'!$M367), U$4&lt;&gt;DATE(2025,7,4)), (SWITCH(weekday(U$4), 1, 0, 2, if(ISBLANK('2025'!$P367), 0, 1), 3, if(ISBLANK('2025'!$Q367), 0, 1), 4, if(ISBLANK('2025'!$R367), 0, 1), 5, if(ISBLANK('2025'!$S367), 0, 1), 6, if(ISBLANK('2025'!$T367), 0, 1), 7, 0))), 1, "")</f>
        <v/>
      </c>
      <c r="V369" s="1" t="str">
        <f>IF(AND(AND(AND(V$4&gt;='2025'!$L367,V$4&lt;='2025'!$M367), V$4&lt;&gt;DATE(2025,7,4)), (SWITCH(weekday(V$4), 1, 0, 2, if(ISBLANK('2025'!$P367), 0, 1), 3, if(ISBLANK('2025'!$Q367), 0, 1), 4, if(ISBLANK('2025'!$R367), 0, 1), 5, if(ISBLANK('2025'!$S367), 0, 1), 6, if(ISBLANK('2025'!$T367), 0, 1), 7, 0))), 1, "")</f>
        <v/>
      </c>
      <c r="W369" s="1" t="str">
        <f>IF(AND(AND(AND(W$4&gt;='2025'!$L367,W$4&lt;='2025'!$M367), W$4&lt;&gt;DATE(2025,7,4)), (SWITCH(weekday(W$4), 1, 0, 2, if(ISBLANK('2025'!$P367), 0, 1), 3, if(ISBLANK('2025'!$Q367), 0, 1), 4, if(ISBLANK('2025'!$R367), 0, 1), 5, if(ISBLANK('2025'!$S367), 0, 1), 6, if(ISBLANK('2025'!$T367), 0, 1), 7, 0))), 1, "")</f>
        <v/>
      </c>
      <c r="X369" s="1" t="str">
        <f>IF(AND(AND(AND(X$4&gt;='2025'!$L367,X$4&lt;='2025'!$M367), X$4&lt;&gt;DATE(2025,7,4)), (SWITCH(weekday(X$4), 1, 0, 2, if(ISBLANK('2025'!$P367), 0, 1), 3, if(ISBLANK('2025'!$Q367), 0, 1), 4, if(ISBLANK('2025'!$R367), 0, 1), 5, if(ISBLANK('2025'!$S367), 0, 1), 6, if(ISBLANK('2025'!$T367), 0, 1), 7, 0))), 1, "")</f>
        <v/>
      </c>
      <c r="Y369" s="1" t="str">
        <f>IF(AND(AND(AND(Y$4&gt;='2025'!$L367,Y$4&lt;='2025'!$M367), Y$4&lt;&gt;DATE(2025,7,4)), (SWITCH(weekday(Y$4), 1, 0, 2, if(ISBLANK('2025'!$P367), 0, 1), 3, if(ISBLANK('2025'!$Q367), 0, 1), 4, if(ISBLANK('2025'!$R367), 0, 1), 5, if(ISBLANK('2025'!$S367), 0, 1), 6, if(ISBLANK('2025'!$T367), 0, 1), 7, 0))), 1, "")</f>
        <v/>
      </c>
      <c r="Z369" s="1" t="str">
        <f>IF(AND(AND(AND(Z$4&gt;='2025'!$L367,Z$4&lt;='2025'!$M367), Z$4&lt;&gt;DATE(2025,7,4)), (SWITCH(weekday(Z$4), 1, 0, 2, if(ISBLANK('2025'!$P367), 0, 1), 3, if(ISBLANK('2025'!$Q367), 0, 1), 4, if(ISBLANK('2025'!$R367), 0, 1), 5, if(ISBLANK('2025'!$S367), 0, 1), 6, if(ISBLANK('2025'!$T367), 0, 1), 7, 0))), 1, "")</f>
        <v/>
      </c>
      <c r="AA369" s="1" t="str">
        <f>IF(AND(AND(AND(AA$4&gt;='2025'!$L367,AA$4&lt;='2025'!$M367), AA$4&lt;&gt;DATE(2025,7,4)), (SWITCH(weekday(AA$4), 1, 0, 2, if(ISBLANK('2025'!$P367), 0, 1), 3, if(ISBLANK('2025'!$Q367), 0, 1), 4, if(ISBLANK('2025'!$R367), 0, 1), 5, if(ISBLANK('2025'!$S367), 0, 1), 6, if(ISBLANK('2025'!$T367), 0, 1), 7, 0))), 1, "")</f>
        <v/>
      </c>
      <c r="AB369" s="1" t="str">
        <f>IF(AND(AND(AND(AB$4&gt;='2025'!$L367,AB$4&lt;='2025'!$M367), AB$4&lt;&gt;DATE(2025,7,4)), (SWITCH(weekday(AB$4), 1, 0, 2, if(ISBLANK('2025'!$P367), 0, 1), 3, if(ISBLANK('2025'!$Q367), 0, 1), 4, if(ISBLANK('2025'!$R367), 0, 1), 5, if(ISBLANK('2025'!$S367), 0, 1), 6, if(ISBLANK('2025'!$T367), 0, 1), 7, 0))), 1, "")</f>
        <v/>
      </c>
      <c r="AC369" s="1" t="str">
        <f>IF(AND(AND(AND(AC$4&gt;='2025'!$L367,AC$4&lt;='2025'!$M367), AC$4&lt;&gt;DATE(2025,7,4)), (SWITCH(weekday(AC$4), 1, 0, 2, if(ISBLANK('2025'!$P367), 0, 1), 3, if(ISBLANK('2025'!$Q367), 0, 1), 4, if(ISBLANK('2025'!$R367), 0, 1), 5, if(ISBLANK('2025'!$S367), 0, 1), 6, if(ISBLANK('2025'!$T367), 0, 1), 7, 0))), 1, "")</f>
        <v/>
      </c>
      <c r="AD369" s="1" t="str">
        <f>IF(AND(AND(AND(AD$4&gt;='2025'!$L367,AD$4&lt;='2025'!$M367), AD$4&lt;&gt;DATE(2025,7,4)), (SWITCH(weekday(AD$4), 1, 0, 2, if(ISBLANK('2025'!$P367), 0, 1), 3, if(ISBLANK('2025'!$Q367), 0, 1), 4, if(ISBLANK('2025'!$R367), 0, 1), 5, if(ISBLANK('2025'!$S367), 0, 1), 6, if(ISBLANK('2025'!$T367), 0, 1), 7, 0))), 1, "")</f>
        <v/>
      </c>
      <c r="AE369" s="1" t="str">
        <f>IF(AND(AND(AND(AE$4&gt;='2025'!$L367,AE$4&lt;='2025'!$M367), AE$4&lt;&gt;DATE(2025,7,4)), (SWITCH(weekday(AE$4), 1, 0, 2, if(ISBLANK('2025'!$P367), 0, 1), 3, if(ISBLANK('2025'!$Q367), 0, 1), 4, if(ISBLANK('2025'!$R367), 0, 1), 5, if(ISBLANK('2025'!$S367), 0, 1), 6, if(ISBLANK('2025'!$T367), 0, 1), 7, 0))), 1, "")</f>
        <v/>
      </c>
      <c r="AF369" s="1" t="str">
        <f>IF(AND(AND(AND(AF$4&gt;='2025'!$L367,AF$4&lt;='2025'!$M367), AF$4&lt;&gt;DATE(2025,7,4)), (SWITCH(weekday(AF$4), 1, 0, 2, if(ISBLANK('2025'!$P367), 0, 1), 3, if(ISBLANK('2025'!$Q367), 0, 1), 4, if(ISBLANK('2025'!$R367), 0, 1), 5, if(ISBLANK('2025'!$S367), 0, 1), 6, if(ISBLANK('2025'!$T367), 0, 1), 7, 0))), 1, "")</f>
        <v/>
      </c>
      <c r="AG369" s="1" t="str">
        <f>IF(AND(AND(AND(AG$4&gt;='2025'!$L367,AG$4&lt;='2025'!$M367), AG$4&lt;&gt;DATE(2025,7,4)), (SWITCH(weekday(AG$4), 1, 0, 2, if(ISBLANK('2025'!$P367), 0, 1), 3, if(ISBLANK('2025'!$Q367), 0, 1), 4, if(ISBLANK('2025'!$R367), 0, 1), 5, if(ISBLANK('2025'!$S367), 0, 1), 6, if(ISBLANK('2025'!$T367), 0, 1), 7, 0))), 1, "")</f>
        <v/>
      </c>
      <c r="AH369" s="1" t="str">
        <f>IF(AND(AND(AND(AH$4&gt;='2025'!$L367,AH$4&lt;='2025'!$M367), AH$4&lt;&gt;DATE(2025,7,4)), (SWITCH(weekday(AH$4), 1, 0, 2, if(ISBLANK('2025'!$P367), 0, 1), 3, if(ISBLANK('2025'!$Q367), 0, 1), 4, if(ISBLANK('2025'!$R367), 0, 1), 5, if(ISBLANK('2025'!$S367), 0, 1), 6, if(ISBLANK('2025'!$T367), 0, 1), 7, 0))), 1, "")</f>
        <v/>
      </c>
      <c r="AI369" s="1" t="str">
        <f>IF(AND(AND(AND(AI$4&gt;='2025'!$L367,AI$4&lt;='2025'!$M367), AI$4&lt;&gt;DATE(2025,7,4)), (SWITCH(weekday(AI$4), 1, 0, 2, if(ISBLANK('2025'!$P367), 0, 1), 3, if(ISBLANK('2025'!$Q367), 0, 1), 4, if(ISBLANK('2025'!$R367), 0, 1), 5, if(ISBLANK('2025'!$S367), 0, 1), 6, if(ISBLANK('2025'!$T367), 0, 1), 7, 0))), 1, "")</f>
        <v/>
      </c>
      <c r="AJ369" s="1" t="str">
        <f>IF(AND(AND(AND(AJ$4&gt;='2025'!$L367,AJ$4&lt;='2025'!$M367), AJ$4&lt;&gt;DATE(2025,7,4)), (SWITCH(weekday(AJ$4), 1, 0, 2, if(ISBLANK('2025'!$P367), 0, 1), 3, if(ISBLANK('2025'!$Q367), 0, 1), 4, if(ISBLANK('2025'!$R367), 0, 1), 5, if(ISBLANK('2025'!$S367), 0, 1), 6, if(ISBLANK('2025'!$T367), 0, 1), 7, 0))), 1, "")</f>
        <v/>
      </c>
      <c r="AK369" s="1" t="str">
        <f>IF(AND(AND(AND(AK$4&gt;='2025'!$L367,AK$4&lt;='2025'!$M367), AK$4&lt;&gt;DATE(2025,7,4)), (SWITCH(weekday(AK$4), 1, 0, 2, if(ISBLANK('2025'!$P367), 0, 1), 3, if(ISBLANK('2025'!$Q367), 0, 1), 4, if(ISBLANK('2025'!$R367), 0, 1), 5, if(ISBLANK('2025'!$S367), 0, 1), 6, if(ISBLANK('2025'!$T367), 0, 1), 7, 0))), 1, "")</f>
        <v/>
      </c>
      <c r="AL369" s="1" t="str">
        <f>IF(AND(AND(AND(AL$4&gt;='2025'!$L367,AL$4&lt;='2025'!$M367), AL$4&lt;&gt;DATE(2025,7,4)), (SWITCH(weekday(AL$4), 1, 0, 2, if(ISBLANK('2025'!$P367), 0, 1), 3, if(ISBLANK('2025'!$Q367), 0, 1), 4, if(ISBLANK('2025'!$R367), 0, 1), 5, if(ISBLANK('2025'!$S367), 0, 1), 6, if(ISBLANK('2025'!$T367), 0, 1), 7, 0))), 1, "")</f>
        <v/>
      </c>
      <c r="AM369" s="1" t="str">
        <f>IF(AND(AND(AND(AM$4&gt;='2025'!$L367,AM$4&lt;='2025'!$M367), AM$4&lt;&gt;DATE(2025,7,4)), (SWITCH(weekday(AM$4), 1, 0, 2, if(ISBLANK('2025'!$P367), 0, 1), 3, if(ISBLANK('2025'!$Q367), 0, 1), 4, if(ISBLANK('2025'!$R367), 0, 1), 5, if(ISBLANK('2025'!$S367), 0, 1), 6, if(ISBLANK('2025'!$T367), 0, 1), 7, 0))), 1, "")</f>
        <v/>
      </c>
      <c r="AN369" s="1" t="str">
        <f>IF(AND(AND(AND(AN$4&gt;='2025'!$L367,AN$4&lt;='2025'!$M367), AN$4&lt;&gt;DATE(2025,7,4)), (SWITCH(weekday(AN$4), 1, 0, 2, if(ISBLANK('2025'!$P367), 0, 1), 3, if(ISBLANK('2025'!$Q367), 0, 1), 4, if(ISBLANK('2025'!$R367), 0, 1), 5, if(ISBLANK('2025'!$S367), 0, 1), 6, if(ISBLANK('2025'!$T367), 0, 1), 7, 0))), 1, "")</f>
        <v/>
      </c>
      <c r="AO369" s="1" t="str">
        <f>IF(AND(AND(AND(AO$4&gt;='2025'!$L367,AO$4&lt;='2025'!$M367), AO$4&lt;&gt;DATE(2025,7,4)), (SWITCH(weekday(AO$4), 1, 0, 2, if(ISBLANK('2025'!$P367), 0, 1), 3, if(ISBLANK('2025'!$Q367), 0, 1), 4, if(ISBLANK('2025'!$R367), 0, 1), 5, if(ISBLANK('2025'!$S367), 0, 1), 6, if(ISBLANK('2025'!$T367), 0, 1), 7, 0))), 1, "")</f>
        <v/>
      </c>
      <c r="AP369" s="1" t="str">
        <f>IF(AND(AND(AND(AP$4&gt;='2025'!$L367,AP$4&lt;='2025'!$M367), AP$4&lt;&gt;DATE(2025,7,4)), (SWITCH(weekday(AP$4), 1, 0, 2, if(ISBLANK('2025'!$P367), 0, 1), 3, if(ISBLANK('2025'!$Q367), 0, 1), 4, if(ISBLANK('2025'!$R367), 0, 1), 5, if(ISBLANK('2025'!$S367), 0, 1), 6, if(ISBLANK('2025'!$T367), 0, 1), 7, 0))), 1, "")</f>
        <v/>
      </c>
      <c r="AQ369" s="1" t="str">
        <f>IF(AND(AND(AND(AQ$4&gt;='2025'!$L367,AQ$4&lt;='2025'!$M367), AQ$4&lt;&gt;DATE(2025,7,4)), (SWITCH(weekday(AQ$4), 1, 0, 2, if(ISBLANK('2025'!$P367), 0, 1), 3, if(ISBLANK('2025'!$Q367), 0, 1), 4, if(ISBLANK('2025'!$R367), 0, 1), 5, if(ISBLANK('2025'!$S367), 0, 1), 6, if(ISBLANK('2025'!$T367), 0, 1), 7, 0))), 1, "")</f>
        <v/>
      </c>
      <c r="AR369" s="1" t="str">
        <f>IF(AND(AND(AND(AR$4&gt;='2025'!$L367,AR$4&lt;='2025'!$M367), AR$4&lt;&gt;DATE(2025,7,4)), (SWITCH(weekday(AR$4), 1, 0, 2, if(ISBLANK('2025'!$P367), 0, 1), 3, if(ISBLANK('2025'!$Q367), 0, 1), 4, if(ISBLANK('2025'!$R367), 0, 1), 5, if(ISBLANK('2025'!$S367), 0, 1), 6, if(ISBLANK('2025'!$T367), 0, 1), 7, 0))), 1, "")</f>
        <v/>
      </c>
      <c r="AS369" s="1" t="str">
        <f>IF(AND(AND(AND(AS$4&gt;='2025'!$L367,AS$4&lt;='2025'!$M367), AS$4&lt;&gt;DATE(2025,7,4)), (SWITCH(weekday(AS$4), 1, 0, 2, if(ISBLANK('2025'!$P367), 0, 1), 3, if(ISBLANK('2025'!$Q367), 0, 1), 4, if(ISBLANK('2025'!$R367), 0, 1), 5, if(ISBLANK('2025'!$S367), 0, 1), 6, if(ISBLANK('2025'!$T367), 0, 1), 7, 0))), 1, "")</f>
        <v/>
      </c>
      <c r="AT369" s="1" t="str">
        <f>IF(AND(AND(AND(AT$4&gt;='2025'!$L367,AT$4&lt;='2025'!$M367), AT$4&lt;&gt;DATE(2025,7,4)), (SWITCH(weekday(AT$4), 1, 0, 2, if(ISBLANK('2025'!$P367), 0, 1), 3, if(ISBLANK('2025'!$Q367), 0, 1), 4, if(ISBLANK('2025'!$R367), 0, 1), 5, if(ISBLANK('2025'!$S367), 0, 1), 6, if(ISBLANK('2025'!$T367), 0, 1), 7, 0))), 1, "")</f>
        <v/>
      </c>
      <c r="AU369" s="1" t="str">
        <f>IF(AND(AND(AND(AU$4&gt;='2025'!$L367,AU$4&lt;='2025'!$M367), AU$4&lt;&gt;DATE(2025,7,4)), (SWITCH(weekday(AU$4), 1, 0, 2, if(ISBLANK('2025'!$P367), 0, 1), 3, if(ISBLANK('2025'!$Q367), 0, 1), 4, if(ISBLANK('2025'!$R367), 0, 1), 5, if(ISBLANK('2025'!$S367), 0, 1), 6, if(ISBLANK('2025'!$T367), 0, 1), 7, 0))), 1, "")</f>
        <v/>
      </c>
      <c r="AV369" s="1" t="str">
        <f>IF(AND(AND(AND(AV$4&gt;='2025'!$L367,AV$4&lt;='2025'!$M367), AV$4&lt;&gt;DATE(2025,7,4)), (SWITCH(weekday(AV$4), 1, 0, 2, if(ISBLANK('2025'!$P367), 0, 1), 3, if(ISBLANK('2025'!$Q367), 0, 1), 4, if(ISBLANK('2025'!$R367), 0, 1), 5, if(ISBLANK('2025'!$S367), 0, 1), 6, if(ISBLANK('2025'!$T367), 0, 1), 7, 0))), 1, "")</f>
        <v/>
      </c>
      <c r="AW369" s="1" t="str">
        <f>IF(AND(AND(AND(AW$4&gt;='2025'!$L367,AW$4&lt;='2025'!$M367), AW$4&lt;&gt;DATE(2025,7,4)), (SWITCH(weekday(AW$4), 1, 0, 2, if(ISBLANK('2025'!$P367), 0, 1), 3, if(ISBLANK('2025'!$Q367), 0, 1), 4, if(ISBLANK('2025'!$R367), 0, 1), 5, if(ISBLANK('2025'!$S367), 0, 1), 6, if(ISBLANK('2025'!$T367), 0, 1), 7, 0))), 1, "")</f>
        <v/>
      </c>
      <c r="AX369" s="1" t="str">
        <f>IF(AND(AND(AND(AX$4&gt;='2025'!$L367,AX$4&lt;='2025'!$M367), AX$4&lt;&gt;DATE(2025,7,4)), (SWITCH(weekday(AX$4), 1, 0, 2, if(ISBLANK('2025'!$P367), 0, 1), 3, if(ISBLANK('2025'!$Q367), 0, 1), 4, if(ISBLANK('2025'!$R367), 0, 1), 5, if(ISBLANK('2025'!$S367), 0, 1), 6, if(ISBLANK('2025'!$T367), 0, 1), 7, 0))), 1, "")</f>
        <v/>
      </c>
      <c r="AY369" s="1" t="str">
        <f>IF(AND(AND(AND(AY$4&gt;='2025'!$L367,AY$4&lt;='2025'!$M367), AY$4&lt;&gt;DATE(2025,7,4)), (SWITCH(weekday(AY$4), 1, 0, 2, if(ISBLANK('2025'!$P367), 0, 1), 3, if(ISBLANK('2025'!$Q367), 0, 1), 4, if(ISBLANK('2025'!$R367), 0, 1), 5, if(ISBLANK('2025'!$S367), 0, 1), 6, if(ISBLANK('2025'!$T367), 0, 1), 7, 0))), 1, "")</f>
        <v/>
      </c>
      <c r="AZ369" s="1" t="str">
        <f>IF(AND(AND(AND(AZ$4&gt;='2025'!$L367,AZ$4&lt;='2025'!$M367), AZ$4&lt;&gt;DATE(2025,7,4)), (SWITCH(weekday(AZ$4), 1, 0, 2, if(ISBLANK('2025'!$P367), 0, 1), 3, if(ISBLANK('2025'!$Q367), 0, 1), 4, if(ISBLANK('2025'!$R367), 0, 1), 5, if(ISBLANK('2025'!$S367), 0, 1), 6, if(ISBLANK('2025'!$T367), 0, 1), 7, 0))), 1, "")</f>
        <v/>
      </c>
      <c r="BA369" s="1" t="str">
        <f>IF(AND(AND(AND(BA$4&gt;='2025'!$L367,BA$4&lt;='2025'!$M367), BA$4&lt;&gt;DATE(2025,7,4)), (SWITCH(weekday(BA$4), 1, 0, 2, if(ISBLANK('2025'!$P367), 0, 1), 3, if(ISBLANK('2025'!$Q367), 0, 1), 4, if(ISBLANK('2025'!$R367), 0, 1), 5, if(ISBLANK('2025'!$S367), 0, 1), 6, if(ISBLANK('2025'!$T367), 0, 1), 7, 0))), 1, "")</f>
        <v/>
      </c>
      <c r="BB369" s="1" t="str">
        <f>IF(AND(AND(AND(BB$4&gt;='2025'!$L367,BB$4&lt;='2025'!$M367), BB$4&lt;&gt;DATE(2025,7,4)), (SWITCH(weekday(BB$4), 1, 0, 2, if(ISBLANK('2025'!$P367), 0, 1), 3, if(ISBLANK('2025'!$Q367), 0, 1), 4, if(ISBLANK('2025'!$R367), 0, 1), 5, if(ISBLANK('2025'!$S367), 0, 1), 6, if(ISBLANK('2025'!$T367), 0, 1), 7, 0))), 1, "")</f>
        <v/>
      </c>
      <c r="BC369" s="1" t="str">
        <f>IF(AND(AND(AND(BC$4&gt;='2025'!$L367,BC$4&lt;='2025'!$M367), BC$4&lt;&gt;DATE(2025,7,4)), (SWITCH(weekday(BC$4), 1, 0, 2, if(ISBLANK('2025'!$P367), 0, 1), 3, if(ISBLANK('2025'!$Q367), 0, 1), 4, if(ISBLANK('2025'!$R367), 0, 1), 5, if(ISBLANK('2025'!$S367), 0, 1), 6, if(ISBLANK('2025'!$T367), 0, 1), 7, 0))), 1, "")</f>
        <v/>
      </c>
      <c r="BD369" s="1" t="str">
        <f>IF(AND(AND(AND(BD$4&gt;='2025'!$L367,BD$4&lt;='2025'!$M367), BD$4&lt;&gt;DATE(2025,7,4)), (SWITCH(weekday(BD$4), 1, 0, 2, if(ISBLANK('2025'!$P367), 0, 1), 3, if(ISBLANK('2025'!$Q367), 0, 1), 4, if(ISBLANK('2025'!$R367), 0, 1), 5, if(ISBLANK('2025'!$S367), 0, 1), 6, if(ISBLANK('2025'!$T367), 0, 1), 7, 0))), 1, "")</f>
        <v/>
      </c>
      <c r="BE369" s="1" t="str">
        <f>IF(AND(AND(AND(BE$4&gt;='2025'!$L367,BE$4&lt;='2025'!$M367), BE$4&lt;&gt;DATE(2025,7,4)), (SWITCH(weekday(BE$4), 1, 0, 2, if(ISBLANK('2025'!$P367), 0, 1), 3, if(ISBLANK('2025'!$Q367), 0, 1), 4, if(ISBLANK('2025'!$R367), 0, 1), 5, if(ISBLANK('2025'!$S367), 0, 1), 6, if(ISBLANK('2025'!$T367), 0, 1), 7, 0))), 1, "")</f>
        <v/>
      </c>
      <c r="BF369" s="1" t="str">
        <f>IF(AND(AND(AND(BF$4&gt;='2025'!$L367,BF$4&lt;='2025'!$M367), BF$4&lt;&gt;DATE(2025,7,4)), (SWITCH(weekday(BF$4), 1, 0, 2, if(ISBLANK('2025'!$P367), 0, 1), 3, if(ISBLANK('2025'!$Q367), 0, 1), 4, if(ISBLANK('2025'!$R367), 0, 1), 5, if(ISBLANK('2025'!$S367), 0, 1), 6, if(ISBLANK('2025'!$T367), 0, 1), 7, 0))), 1, "")</f>
        <v/>
      </c>
      <c r="BG369" s="1"/>
      <c r="BH369" s="1"/>
      <c r="BI369" s="1"/>
      <c r="BJ369" s="1"/>
      <c r="BK369" s="1"/>
      <c r="BL369" s="1"/>
    </row>
    <row r="370">
      <c r="A370" s="1">
        <f t="shared" si="3"/>
        <v>370</v>
      </c>
      <c r="B370" s="1" t="str">
        <f>'2025'!D334</f>
        <v>, </v>
      </c>
      <c r="C370" s="1" t="str">
        <f>'2025'!H334</f>
        <v/>
      </c>
      <c r="D370" s="1" t="str">
        <f>IF(AND(AND(AND(D$4&gt;='2025'!$L368,D$4&lt;='2025'!$M368), D$4&lt;&gt;DATE(2025,7,4)), (SWITCH(weekday(D$4), 1, 0, 2, if(ISBLANK('2025'!$P368), 0, 1), 3, if(ISBLANK('2025'!$Q368), 0, 1), 4, if(ISBLANK('2025'!$R368), 0, 1), 5, if(ISBLANK('2025'!$S368), 0, 1), 6, if(ISBLANK('2025'!$T368), 0, 1), 7, 0))), 1, "")</f>
        <v/>
      </c>
      <c r="E370" s="1" t="str">
        <f>IF(AND(AND(AND(E$4&gt;='2025'!$L368,E$4&lt;='2025'!$M368), E$4&lt;&gt;DATE(2025,7,4)), (SWITCH(weekday(E$4), 1, 0, 2, if(ISBLANK('2025'!$P368), 0, 1), 3, if(ISBLANK('2025'!$Q368), 0, 1), 4, if(ISBLANK('2025'!$R368), 0, 1), 5, if(ISBLANK('2025'!$S368), 0, 1), 6, if(ISBLANK('2025'!$T368), 0, 1), 7, 0))), 1, "")</f>
        <v/>
      </c>
      <c r="F370" s="1" t="str">
        <f>IF(AND(AND(AND(F$4&gt;='2025'!$L368,F$4&lt;='2025'!$M368), F$4&lt;&gt;DATE(2025,7,4)), (SWITCH(weekday(F$4), 1, 0, 2, if(ISBLANK('2025'!$P368), 0, 1), 3, if(ISBLANK('2025'!$Q368), 0, 1), 4, if(ISBLANK('2025'!$R368), 0, 1), 5, if(ISBLANK('2025'!$S368), 0, 1), 6, if(ISBLANK('2025'!$T368), 0, 1), 7, 0))), 1, "")</f>
        <v/>
      </c>
      <c r="G370" s="1" t="str">
        <f>IF(AND(AND(AND(G$4&gt;='2025'!$L368,G$4&lt;='2025'!$M368), G$4&lt;&gt;DATE(2025,7,4)), (SWITCH(weekday(G$4), 1, 0, 2, if(ISBLANK('2025'!$P368), 0, 1), 3, if(ISBLANK('2025'!$Q368), 0, 1), 4, if(ISBLANK('2025'!$R368), 0, 1), 5, if(ISBLANK('2025'!$S368), 0, 1), 6, if(ISBLANK('2025'!$T368), 0, 1), 7, 0))), 1, "")</f>
        <v/>
      </c>
      <c r="H370" s="1" t="str">
        <f>IF(AND(AND(AND(H$4&gt;='2025'!$L368,H$4&lt;='2025'!$M368), H$4&lt;&gt;DATE(2025,7,4)), (SWITCH(weekday(H$4), 1, 0, 2, if(ISBLANK('2025'!$P368), 0, 1), 3, if(ISBLANK('2025'!$Q368), 0, 1), 4, if(ISBLANK('2025'!$R368), 0, 1), 5, if(ISBLANK('2025'!$S368), 0, 1), 6, if(ISBLANK('2025'!$T368), 0, 1), 7, 0))), 1, "")</f>
        <v/>
      </c>
      <c r="I370" s="1" t="str">
        <f>IF(AND(AND(AND(I$4&gt;='2025'!$L368,I$4&lt;='2025'!$M368), I$4&lt;&gt;DATE(2025,7,4)), (SWITCH(weekday(I$4), 1, 0, 2, if(ISBLANK('2025'!$P368), 0, 1), 3, if(ISBLANK('2025'!$Q368), 0, 1), 4, if(ISBLANK('2025'!$R368), 0, 1), 5, if(ISBLANK('2025'!$S368), 0, 1), 6, if(ISBLANK('2025'!$T368), 0, 1), 7, 0))), 1, "")</f>
        <v/>
      </c>
      <c r="J370" s="1" t="str">
        <f>IF(AND(AND(AND(J$4&gt;='2025'!$L368,J$4&lt;='2025'!$M368), J$4&lt;&gt;DATE(2025,7,4)), (SWITCH(weekday(J$4), 1, 0, 2, if(ISBLANK('2025'!$P368), 0, 1), 3, if(ISBLANK('2025'!$Q368), 0, 1), 4, if(ISBLANK('2025'!$R368), 0, 1), 5, if(ISBLANK('2025'!$S368), 0, 1), 6, if(ISBLANK('2025'!$T368), 0, 1), 7, 0))), 1, "")</f>
        <v/>
      </c>
      <c r="K370" s="1" t="str">
        <f>IF(AND(AND(AND(K$4&gt;='2025'!$L368,K$4&lt;='2025'!$M368), K$4&lt;&gt;DATE(2025,7,4)), (SWITCH(weekday(K$4), 1, 0, 2, if(ISBLANK('2025'!$P368), 0, 1), 3, if(ISBLANK('2025'!$Q368), 0, 1), 4, if(ISBLANK('2025'!$R368), 0, 1), 5, if(ISBLANK('2025'!$S368), 0, 1), 6, if(ISBLANK('2025'!$T368), 0, 1), 7, 0))), 1, "")</f>
        <v/>
      </c>
      <c r="L370" s="1" t="str">
        <f>IF(AND(AND(AND(L$4&gt;='2025'!$L368,L$4&lt;='2025'!$M368), L$4&lt;&gt;DATE(2025,7,4)), (SWITCH(weekday(L$4), 1, 0, 2, if(ISBLANK('2025'!$P368), 0, 1), 3, if(ISBLANK('2025'!$Q368), 0, 1), 4, if(ISBLANK('2025'!$R368), 0, 1), 5, if(ISBLANK('2025'!$S368), 0, 1), 6, if(ISBLANK('2025'!$T368), 0, 1), 7, 0))), 1, "")</f>
        <v/>
      </c>
      <c r="M370" s="1" t="str">
        <f>IF(AND(AND(AND(M$4&gt;='2025'!$L368,M$4&lt;='2025'!$M368), M$4&lt;&gt;DATE(2025,7,4)), (SWITCH(weekday(M$4), 1, 0, 2, if(ISBLANK('2025'!$P368), 0, 1), 3, if(ISBLANK('2025'!$Q368), 0, 1), 4, if(ISBLANK('2025'!$R368), 0, 1), 5, if(ISBLANK('2025'!$S368), 0, 1), 6, if(ISBLANK('2025'!$T368), 0, 1), 7, 0))), 1, "")</f>
        <v/>
      </c>
      <c r="N370" s="1" t="str">
        <f>IF(AND(AND(AND(N$4&gt;='2025'!$L368,N$4&lt;='2025'!$M368), N$4&lt;&gt;DATE(2025,7,4)), (SWITCH(weekday(N$4), 1, 0, 2, if(ISBLANK('2025'!$P368), 0, 1), 3, if(ISBLANK('2025'!$Q368), 0, 1), 4, if(ISBLANK('2025'!$R368), 0, 1), 5, if(ISBLANK('2025'!$S368), 0, 1), 6, if(ISBLANK('2025'!$T368), 0, 1), 7, 0))), 1, "")</f>
        <v/>
      </c>
      <c r="O370" s="1" t="str">
        <f>IF(AND(AND(AND(O$4&gt;='2025'!$L368,O$4&lt;='2025'!$M368), O$4&lt;&gt;DATE(2025,7,4)), (SWITCH(weekday(O$4), 1, 0, 2, if(ISBLANK('2025'!$P368), 0, 1), 3, if(ISBLANK('2025'!$Q368), 0, 1), 4, if(ISBLANK('2025'!$R368), 0, 1), 5, if(ISBLANK('2025'!$S368), 0, 1), 6, if(ISBLANK('2025'!$T368), 0, 1), 7, 0))), 1, "")</f>
        <v/>
      </c>
      <c r="P370" s="1" t="str">
        <f>IF(AND(AND(AND(P$4&gt;='2025'!$L368,P$4&lt;='2025'!$M368), P$4&lt;&gt;DATE(2025,7,4)), (SWITCH(weekday(P$4), 1, 0, 2, if(ISBLANK('2025'!$P368), 0, 1), 3, if(ISBLANK('2025'!$Q368), 0, 1), 4, if(ISBLANK('2025'!$R368), 0, 1), 5, if(ISBLANK('2025'!$S368), 0, 1), 6, if(ISBLANK('2025'!$T368), 0, 1), 7, 0))), 1, "")</f>
        <v/>
      </c>
      <c r="Q370" s="1" t="str">
        <f>IF(AND(AND(AND(Q$4&gt;='2025'!$L368,Q$4&lt;='2025'!$M368), Q$4&lt;&gt;DATE(2025,7,4)), (SWITCH(weekday(Q$4), 1, 0, 2, if(ISBLANK('2025'!$P368), 0, 1), 3, if(ISBLANK('2025'!$Q368), 0, 1), 4, if(ISBLANK('2025'!$R368), 0, 1), 5, if(ISBLANK('2025'!$S368), 0, 1), 6, if(ISBLANK('2025'!$T368), 0, 1), 7, 0))), 1, "")</f>
        <v/>
      </c>
      <c r="R370" s="1" t="str">
        <f>IF(AND(AND(AND(R$4&gt;='2025'!$L368,R$4&lt;='2025'!$M368), R$4&lt;&gt;DATE(2025,7,4)), (SWITCH(weekday(R$4), 1, 0, 2, if(ISBLANK('2025'!$P368), 0, 1), 3, if(ISBLANK('2025'!$Q368), 0, 1), 4, if(ISBLANK('2025'!$R368), 0, 1), 5, if(ISBLANK('2025'!$S368), 0, 1), 6, if(ISBLANK('2025'!$T368), 0, 1), 7, 0))), 1, "")</f>
        <v/>
      </c>
      <c r="S370" s="1" t="str">
        <f>IF(AND(AND(AND(S$4&gt;='2025'!$L368,S$4&lt;='2025'!$M368), S$4&lt;&gt;DATE(2025,7,4)), (SWITCH(weekday(S$4), 1, 0, 2, if(ISBLANK('2025'!$P368), 0, 1), 3, if(ISBLANK('2025'!$Q368), 0, 1), 4, if(ISBLANK('2025'!$R368), 0, 1), 5, if(ISBLANK('2025'!$S368), 0, 1), 6, if(ISBLANK('2025'!$T368), 0, 1), 7, 0))), 1, "")</f>
        <v/>
      </c>
      <c r="T370" s="1" t="str">
        <f>IF(AND(AND(AND(T$4&gt;='2025'!$L368,T$4&lt;='2025'!$M368), T$4&lt;&gt;DATE(2025,7,4)), (SWITCH(weekday(T$4), 1, 0, 2, if(ISBLANK('2025'!$P368), 0, 1), 3, if(ISBLANK('2025'!$Q368), 0, 1), 4, if(ISBLANK('2025'!$R368), 0, 1), 5, if(ISBLANK('2025'!$S368), 0, 1), 6, if(ISBLANK('2025'!$T368), 0, 1), 7, 0))), 1, "")</f>
        <v/>
      </c>
      <c r="U370" s="1" t="str">
        <f>IF(AND(AND(AND(U$4&gt;='2025'!$L368,U$4&lt;='2025'!$M368), U$4&lt;&gt;DATE(2025,7,4)), (SWITCH(weekday(U$4), 1, 0, 2, if(ISBLANK('2025'!$P368), 0, 1), 3, if(ISBLANK('2025'!$Q368), 0, 1), 4, if(ISBLANK('2025'!$R368), 0, 1), 5, if(ISBLANK('2025'!$S368), 0, 1), 6, if(ISBLANK('2025'!$T368), 0, 1), 7, 0))), 1, "")</f>
        <v/>
      </c>
      <c r="V370" s="1" t="str">
        <f>IF(AND(AND(AND(V$4&gt;='2025'!$L368,V$4&lt;='2025'!$M368), V$4&lt;&gt;DATE(2025,7,4)), (SWITCH(weekday(V$4), 1, 0, 2, if(ISBLANK('2025'!$P368), 0, 1), 3, if(ISBLANK('2025'!$Q368), 0, 1), 4, if(ISBLANK('2025'!$R368), 0, 1), 5, if(ISBLANK('2025'!$S368), 0, 1), 6, if(ISBLANK('2025'!$T368), 0, 1), 7, 0))), 1, "")</f>
        <v/>
      </c>
      <c r="W370" s="1" t="str">
        <f>IF(AND(AND(AND(W$4&gt;='2025'!$L368,W$4&lt;='2025'!$M368), W$4&lt;&gt;DATE(2025,7,4)), (SWITCH(weekday(W$4), 1, 0, 2, if(ISBLANK('2025'!$P368), 0, 1), 3, if(ISBLANK('2025'!$Q368), 0, 1), 4, if(ISBLANK('2025'!$R368), 0, 1), 5, if(ISBLANK('2025'!$S368), 0, 1), 6, if(ISBLANK('2025'!$T368), 0, 1), 7, 0))), 1, "")</f>
        <v/>
      </c>
      <c r="X370" s="1" t="str">
        <f>IF(AND(AND(AND(X$4&gt;='2025'!$L368,X$4&lt;='2025'!$M368), X$4&lt;&gt;DATE(2025,7,4)), (SWITCH(weekday(X$4), 1, 0, 2, if(ISBLANK('2025'!$P368), 0, 1), 3, if(ISBLANK('2025'!$Q368), 0, 1), 4, if(ISBLANK('2025'!$R368), 0, 1), 5, if(ISBLANK('2025'!$S368), 0, 1), 6, if(ISBLANK('2025'!$T368), 0, 1), 7, 0))), 1, "")</f>
        <v/>
      </c>
      <c r="Y370" s="1" t="str">
        <f>IF(AND(AND(AND(Y$4&gt;='2025'!$L368,Y$4&lt;='2025'!$M368), Y$4&lt;&gt;DATE(2025,7,4)), (SWITCH(weekday(Y$4), 1, 0, 2, if(ISBLANK('2025'!$P368), 0, 1), 3, if(ISBLANK('2025'!$Q368), 0, 1), 4, if(ISBLANK('2025'!$R368), 0, 1), 5, if(ISBLANK('2025'!$S368), 0, 1), 6, if(ISBLANK('2025'!$T368), 0, 1), 7, 0))), 1, "")</f>
        <v/>
      </c>
      <c r="Z370" s="1" t="str">
        <f>IF(AND(AND(AND(Z$4&gt;='2025'!$L368,Z$4&lt;='2025'!$M368), Z$4&lt;&gt;DATE(2025,7,4)), (SWITCH(weekday(Z$4), 1, 0, 2, if(ISBLANK('2025'!$P368), 0, 1), 3, if(ISBLANK('2025'!$Q368), 0, 1), 4, if(ISBLANK('2025'!$R368), 0, 1), 5, if(ISBLANK('2025'!$S368), 0, 1), 6, if(ISBLANK('2025'!$T368), 0, 1), 7, 0))), 1, "")</f>
        <v/>
      </c>
      <c r="AA370" s="1" t="str">
        <f>IF(AND(AND(AND(AA$4&gt;='2025'!$L368,AA$4&lt;='2025'!$M368), AA$4&lt;&gt;DATE(2025,7,4)), (SWITCH(weekday(AA$4), 1, 0, 2, if(ISBLANK('2025'!$P368), 0, 1), 3, if(ISBLANK('2025'!$Q368), 0, 1), 4, if(ISBLANK('2025'!$R368), 0, 1), 5, if(ISBLANK('2025'!$S368), 0, 1), 6, if(ISBLANK('2025'!$T368), 0, 1), 7, 0))), 1, "")</f>
        <v/>
      </c>
      <c r="AB370" s="1" t="str">
        <f>IF(AND(AND(AND(AB$4&gt;='2025'!$L368,AB$4&lt;='2025'!$M368), AB$4&lt;&gt;DATE(2025,7,4)), (SWITCH(weekday(AB$4), 1, 0, 2, if(ISBLANK('2025'!$P368), 0, 1), 3, if(ISBLANK('2025'!$Q368), 0, 1), 4, if(ISBLANK('2025'!$R368), 0, 1), 5, if(ISBLANK('2025'!$S368), 0, 1), 6, if(ISBLANK('2025'!$T368), 0, 1), 7, 0))), 1, "")</f>
        <v/>
      </c>
      <c r="AC370" s="1" t="str">
        <f>IF(AND(AND(AND(AC$4&gt;='2025'!$L368,AC$4&lt;='2025'!$M368), AC$4&lt;&gt;DATE(2025,7,4)), (SWITCH(weekday(AC$4), 1, 0, 2, if(ISBLANK('2025'!$P368), 0, 1), 3, if(ISBLANK('2025'!$Q368), 0, 1), 4, if(ISBLANK('2025'!$R368), 0, 1), 5, if(ISBLANK('2025'!$S368), 0, 1), 6, if(ISBLANK('2025'!$T368), 0, 1), 7, 0))), 1, "")</f>
        <v/>
      </c>
      <c r="AD370" s="1" t="str">
        <f>IF(AND(AND(AND(AD$4&gt;='2025'!$L368,AD$4&lt;='2025'!$M368), AD$4&lt;&gt;DATE(2025,7,4)), (SWITCH(weekday(AD$4), 1, 0, 2, if(ISBLANK('2025'!$P368), 0, 1), 3, if(ISBLANK('2025'!$Q368), 0, 1), 4, if(ISBLANK('2025'!$R368), 0, 1), 5, if(ISBLANK('2025'!$S368), 0, 1), 6, if(ISBLANK('2025'!$T368), 0, 1), 7, 0))), 1, "")</f>
        <v/>
      </c>
      <c r="AE370" s="1" t="str">
        <f>IF(AND(AND(AND(AE$4&gt;='2025'!$L368,AE$4&lt;='2025'!$M368), AE$4&lt;&gt;DATE(2025,7,4)), (SWITCH(weekday(AE$4), 1, 0, 2, if(ISBLANK('2025'!$P368), 0, 1), 3, if(ISBLANK('2025'!$Q368), 0, 1), 4, if(ISBLANK('2025'!$R368), 0, 1), 5, if(ISBLANK('2025'!$S368), 0, 1), 6, if(ISBLANK('2025'!$T368), 0, 1), 7, 0))), 1, "")</f>
        <v/>
      </c>
      <c r="AF370" s="1" t="str">
        <f>IF(AND(AND(AND(AF$4&gt;='2025'!$L368,AF$4&lt;='2025'!$M368), AF$4&lt;&gt;DATE(2025,7,4)), (SWITCH(weekday(AF$4), 1, 0, 2, if(ISBLANK('2025'!$P368), 0, 1), 3, if(ISBLANK('2025'!$Q368), 0, 1), 4, if(ISBLANK('2025'!$R368), 0, 1), 5, if(ISBLANK('2025'!$S368), 0, 1), 6, if(ISBLANK('2025'!$T368), 0, 1), 7, 0))), 1, "")</f>
        <v/>
      </c>
      <c r="AG370" s="1" t="str">
        <f>IF(AND(AND(AND(AG$4&gt;='2025'!$L368,AG$4&lt;='2025'!$M368), AG$4&lt;&gt;DATE(2025,7,4)), (SWITCH(weekday(AG$4), 1, 0, 2, if(ISBLANK('2025'!$P368), 0, 1), 3, if(ISBLANK('2025'!$Q368), 0, 1), 4, if(ISBLANK('2025'!$R368), 0, 1), 5, if(ISBLANK('2025'!$S368), 0, 1), 6, if(ISBLANK('2025'!$T368), 0, 1), 7, 0))), 1, "")</f>
        <v/>
      </c>
      <c r="AH370" s="1" t="str">
        <f>IF(AND(AND(AND(AH$4&gt;='2025'!$L368,AH$4&lt;='2025'!$M368), AH$4&lt;&gt;DATE(2025,7,4)), (SWITCH(weekday(AH$4), 1, 0, 2, if(ISBLANK('2025'!$P368), 0, 1), 3, if(ISBLANK('2025'!$Q368), 0, 1), 4, if(ISBLANK('2025'!$R368), 0, 1), 5, if(ISBLANK('2025'!$S368), 0, 1), 6, if(ISBLANK('2025'!$T368), 0, 1), 7, 0))), 1, "")</f>
        <v/>
      </c>
      <c r="AI370" s="1" t="str">
        <f>IF(AND(AND(AND(AI$4&gt;='2025'!$L368,AI$4&lt;='2025'!$M368), AI$4&lt;&gt;DATE(2025,7,4)), (SWITCH(weekday(AI$4), 1, 0, 2, if(ISBLANK('2025'!$P368), 0, 1), 3, if(ISBLANK('2025'!$Q368), 0, 1), 4, if(ISBLANK('2025'!$R368), 0, 1), 5, if(ISBLANK('2025'!$S368), 0, 1), 6, if(ISBLANK('2025'!$T368), 0, 1), 7, 0))), 1, "")</f>
        <v/>
      </c>
      <c r="AJ370" s="1" t="str">
        <f>IF(AND(AND(AND(AJ$4&gt;='2025'!$L368,AJ$4&lt;='2025'!$M368), AJ$4&lt;&gt;DATE(2025,7,4)), (SWITCH(weekday(AJ$4), 1, 0, 2, if(ISBLANK('2025'!$P368), 0, 1), 3, if(ISBLANK('2025'!$Q368), 0, 1), 4, if(ISBLANK('2025'!$R368), 0, 1), 5, if(ISBLANK('2025'!$S368), 0, 1), 6, if(ISBLANK('2025'!$T368), 0, 1), 7, 0))), 1, "")</f>
        <v/>
      </c>
      <c r="AK370" s="1" t="str">
        <f>IF(AND(AND(AND(AK$4&gt;='2025'!$L368,AK$4&lt;='2025'!$M368), AK$4&lt;&gt;DATE(2025,7,4)), (SWITCH(weekday(AK$4), 1, 0, 2, if(ISBLANK('2025'!$P368), 0, 1), 3, if(ISBLANK('2025'!$Q368), 0, 1), 4, if(ISBLANK('2025'!$R368), 0, 1), 5, if(ISBLANK('2025'!$S368), 0, 1), 6, if(ISBLANK('2025'!$T368), 0, 1), 7, 0))), 1, "")</f>
        <v/>
      </c>
      <c r="AL370" s="1" t="str">
        <f>IF(AND(AND(AND(AL$4&gt;='2025'!$L368,AL$4&lt;='2025'!$M368), AL$4&lt;&gt;DATE(2025,7,4)), (SWITCH(weekday(AL$4), 1, 0, 2, if(ISBLANK('2025'!$P368), 0, 1), 3, if(ISBLANK('2025'!$Q368), 0, 1), 4, if(ISBLANK('2025'!$R368), 0, 1), 5, if(ISBLANK('2025'!$S368), 0, 1), 6, if(ISBLANK('2025'!$T368), 0, 1), 7, 0))), 1, "")</f>
        <v/>
      </c>
      <c r="AM370" s="1" t="str">
        <f>IF(AND(AND(AND(AM$4&gt;='2025'!$L368,AM$4&lt;='2025'!$M368), AM$4&lt;&gt;DATE(2025,7,4)), (SWITCH(weekday(AM$4), 1, 0, 2, if(ISBLANK('2025'!$P368), 0, 1), 3, if(ISBLANK('2025'!$Q368), 0, 1), 4, if(ISBLANK('2025'!$R368), 0, 1), 5, if(ISBLANK('2025'!$S368), 0, 1), 6, if(ISBLANK('2025'!$T368), 0, 1), 7, 0))), 1, "")</f>
        <v/>
      </c>
      <c r="AN370" s="1" t="str">
        <f>IF(AND(AND(AND(AN$4&gt;='2025'!$L368,AN$4&lt;='2025'!$M368), AN$4&lt;&gt;DATE(2025,7,4)), (SWITCH(weekday(AN$4), 1, 0, 2, if(ISBLANK('2025'!$P368), 0, 1), 3, if(ISBLANK('2025'!$Q368), 0, 1), 4, if(ISBLANK('2025'!$R368), 0, 1), 5, if(ISBLANK('2025'!$S368), 0, 1), 6, if(ISBLANK('2025'!$T368), 0, 1), 7, 0))), 1, "")</f>
        <v/>
      </c>
      <c r="AO370" s="1" t="str">
        <f>IF(AND(AND(AND(AO$4&gt;='2025'!$L368,AO$4&lt;='2025'!$M368), AO$4&lt;&gt;DATE(2025,7,4)), (SWITCH(weekday(AO$4), 1, 0, 2, if(ISBLANK('2025'!$P368), 0, 1), 3, if(ISBLANK('2025'!$Q368), 0, 1), 4, if(ISBLANK('2025'!$R368), 0, 1), 5, if(ISBLANK('2025'!$S368), 0, 1), 6, if(ISBLANK('2025'!$T368), 0, 1), 7, 0))), 1, "")</f>
        <v/>
      </c>
      <c r="AP370" s="1" t="str">
        <f>IF(AND(AND(AND(AP$4&gt;='2025'!$L368,AP$4&lt;='2025'!$M368), AP$4&lt;&gt;DATE(2025,7,4)), (SWITCH(weekday(AP$4), 1, 0, 2, if(ISBLANK('2025'!$P368), 0, 1), 3, if(ISBLANK('2025'!$Q368), 0, 1), 4, if(ISBLANK('2025'!$R368), 0, 1), 5, if(ISBLANK('2025'!$S368), 0, 1), 6, if(ISBLANK('2025'!$T368), 0, 1), 7, 0))), 1, "")</f>
        <v/>
      </c>
      <c r="AQ370" s="1" t="str">
        <f>IF(AND(AND(AND(AQ$4&gt;='2025'!$L368,AQ$4&lt;='2025'!$M368), AQ$4&lt;&gt;DATE(2025,7,4)), (SWITCH(weekday(AQ$4), 1, 0, 2, if(ISBLANK('2025'!$P368), 0, 1), 3, if(ISBLANK('2025'!$Q368), 0, 1), 4, if(ISBLANK('2025'!$R368), 0, 1), 5, if(ISBLANK('2025'!$S368), 0, 1), 6, if(ISBLANK('2025'!$T368), 0, 1), 7, 0))), 1, "")</f>
        <v/>
      </c>
      <c r="AR370" s="1" t="str">
        <f>IF(AND(AND(AND(AR$4&gt;='2025'!$L368,AR$4&lt;='2025'!$M368), AR$4&lt;&gt;DATE(2025,7,4)), (SWITCH(weekday(AR$4), 1, 0, 2, if(ISBLANK('2025'!$P368), 0, 1), 3, if(ISBLANK('2025'!$Q368), 0, 1), 4, if(ISBLANK('2025'!$R368), 0, 1), 5, if(ISBLANK('2025'!$S368), 0, 1), 6, if(ISBLANK('2025'!$T368), 0, 1), 7, 0))), 1, "")</f>
        <v/>
      </c>
      <c r="AS370" s="1" t="str">
        <f>IF(AND(AND(AND(AS$4&gt;='2025'!$L368,AS$4&lt;='2025'!$M368), AS$4&lt;&gt;DATE(2025,7,4)), (SWITCH(weekday(AS$4), 1, 0, 2, if(ISBLANK('2025'!$P368), 0, 1), 3, if(ISBLANK('2025'!$Q368), 0, 1), 4, if(ISBLANK('2025'!$R368), 0, 1), 5, if(ISBLANK('2025'!$S368), 0, 1), 6, if(ISBLANK('2025'!$T368), 0, 1), 7, 0))), 1, "")</f>
        <v/>
      </c>
      <c r="AT370" s="1" t="str">
        <f>IF(AND(AND(AND(AT$4&gt;='2025'!$L368,AT$4&lt;='2025'!$M368), AT$4&lt;&gt;DATE(2025,7,4)), (SWITCH(weekday(AT$4), 1, 0, 2, if(ISBLANK('2025'!$P368), 0, 1), 3, if(ISBLANK('2025'!$Q368), 0, 1), 4, if(ISBLANK('2025'!$R368), 0, 1), 5, if(ISBLANK('2025'!$S368), 0, 1), 6, if(ISBLANK('2025'!$T368), 0, 1), 7, 0))), 1, "")</f>
        <v/>
      </c>
      <c r="AU370" s="1" t="str">
        <f>IF(AND(AND(AND(AU$4&gt;='2025'!$L368,AU$4&lt;='2025'!$M368), AU$4&lt;&gt;DATE(2025,7,4)), (SWITCH(weekday(AU$4), 1, 0, 2, if(ISBLANK('2025'!$P368), 0, 1), 3, if(ISBLANK('2025'!$Q368), 0, 1), 4, if(ISBLANK('2025'!$R368), 0, 1), 5, if(ISBLANK('2025'!$S368), 0, 1), 6, if(ISBLANK('2025'!$T368), 0, 1), 7, 0))), 1, "")</f>
        <v/>
      </c>
      <c r="AV370" s="1" t="str">
        <f>IF(AND(AND(AND(AV$4&gt;='2025'!$L368,AV$4&lt;='2025'!$M368), AV$4&lt;&gt;DATE(2025,7,4)), (SWITCH(weekday(AV$4), 1, 0, 2, if(ISBLANK('2025'!$P368), 0, 1), 3, if(ISBLANK('2025'!$Q368), 0, 1), 4, if(ISBLANK('2025'!$R368), 0, 1), 5, if(ISBLANK('2025'!$S368), 0, 1), 6, if(ISBLANK('2025'!$T368), 0, 1), 7, 0))), 1, "")</f>
        <v/>
      </c>
      <c r="AW370" s="1" t="str">
        <f>IF(AND(AND(AND(AW$4&gt;='2025'!$L368,AW$4&lt;='2025'!$M368), AW$4&lt;&gt;DATE(2025,7,4)), (SWITCH(weekday(AW$4), 1, 0, 2, if(ISBLANK('2025'!$P368), 0, 1), 3, if(ISBLANK('2025'!$Q368), 0, 1), 4, if(ISBLANK('2025'!$R368), 0, 1), 5, if(ISBLANK('2025'!$S368), 0, 1), 6, if(ISBLANK('2025'!$T368), 0, 1), 7, 0))), 1, "")</f>
        <v/>
      </c>
      <c r="AX370" s="1" t="str">
        <f>IF(AND(AND(AND(AX$4&gt;='2025'!$L368,AX$4&lt;='2025'!$M368), AX$4&lt;&gt;DATE(2025,7,4)), (SWITCH(weekday(AX$4), 1, 0, 2, if(ISBLANK('2025'!$P368), 0, 1), 3, if(ISBLANK('2025'!$Q368), 0, 1), 4, if(ISBLANK('2025'!$R368), 0, 1), 5, if(ISBLANK('2025'!$S368), 0, 1), 6, if(ISBLANK('2025'!$T368), 0, 1), 7, 0))), 1, "")</f>
        <v/>
      </c>
      <c r="AY370" s="1" t="str">
        <f>IF(AND(AND(AND(AY$4&gt;='2025'!$L368,AY$4&lt;='2025'!$M368), AY$4&lt;&gt;DATE(2025,7,4)), (SWITCH(weekday(AY$4), 1, 0, 2, if(ISBLANK('2025'!$P368), 0, 1), 3, if(ISBLANK('2025'!$Q368), 0, 1), 4, if(ISBLANK('2025'!$R368), 0, 1), 5, if(ISBLANK('2025'!$S368), 0, 1), 6, if(ISBLANK('2025'!$T368), 0, 1), 7, 0))), 1, "")</f>
        <v/>
      </c>
      <c r="AZ370" s="1" t="str">
        <f>IF(AND(AND(AND(AZ$4&gt;='2025'!$L368,AZ$4&lt;='2025'!$M368), AZ$4&lt;&gt;DATE(2025,7,4)), (SWITCH(weekday(AZ$4), 1, 0, 2, if(ISBLANK('2025'!$P368), 0, 1), 3, if(ISBLANK('2025'!$Q368), 0, 1), 4, if(ISBLANK('2025'!$R368), 0, 1), 5, if(ISBLANK('2025'!$S368), 0, 1), 6, if(ISBLANK('2025'!$T368), 0, 1), 7, 0))), 1, "")</f>
        <v/>
      </c>
      <c r="BA370" s="1" t="str">
        <f>IF(AND(AND(AND(BA$4&gt;='2025'!$L368,BA$4&lt;='2025'!$M368), BA$4&lt;&gt;DATE(2025,7,4)), (SWITCH(weekday(BA$4), 1, 0, 2, if(ISBLANK('2025'!$P368), 0, 1), 3, if(ISBLANK('2025'!$Q368), 0, 1), 4, if(ISBLANK('2025'!$R368), 0, 1), 5, if(ISBLANK('2025'!$S368), 0, 1), 6, if(ISBLANK('2025'!$T368), 0, 1), 7, 0))), 1, "")</f>
        <v/>
      </c>
      <c r="BB370" s="1" t="str">
        <f>IF(AND(AND(AND(BB$4&gt;='2025'!$L368,BB$4&lt;='2025'!$M368), BB$4&lt;&gt;DATE(2025,7,4)), (SWITCH(weekday(BB$4), 1, 0, 2, if(ISBLANK('2025'!$P368), 0, 1), 3, if(ISBLANK('2025'!$Q368), 0, 1), 4, if(ISBLANK('2025'!$R368), 0, 1), 5, if(ISBLANK('2025'!$S368), 0, 1), 6, if(ISBLANK('2025'!$T368), 0, 1), 7, 0))), 1, "")</f>
        <v/>
      </c>
      <c r="BC370" s="1" t="str">
        <f>IF(AND(AND(AND(BC$4&gt;='2025'!$L368,BC$4&lt;='2025'!$M368), BC$4&lt;&gt;DATE(2025,7,4)), (SWITCH(weekday(BC$4), 1, 0, 2, if(ISBLANK('2025'!$P368), 0, 1), 3, if(ISBLANK('2025'!$Q368), 0, 1), 4, if(ISBLANK('2025'!$R368), 0, 1), 5, if(ISBLANK('2025'!$S368), 0, 1), 6, if(ISBLANK('2025'!$T368), 0, 1), 7, 0))), 1, "")</f>
        <v/>
      </c>
      <c r="BD370" s="1" t="str">
        <f>IF(AND(AND(AND(BD$4&gt;='2025'!$L368,BD$4&lt;='2025'!$M368), BD$4&lt;&gt;DATE(2025,7,4)), (SWITCH(weekday(BD$4), 1, 0, 2, if(ISBLANK('2025'!$P368), 0, 1), 3, if(ISBLANK('2025'!$Q368), 0, 1), 4, if(ISBLANK('2025'!$R368), 0, 1), 5, if(ISBLANK('2025'!$S368), 0, 1), 6, if(ISBLANK('2025'!$T368), 0, 1), 7, 0))), 1, "")</f>
        <v/>
      </c>
      <c r="BE370" s="1" t="str">
        <f>IF(AND(AND(AND(BE$4&gt;='2025'!$L368,BE$4&lt;='2025'!$M368), BE$4&lt;&gt;DATE(2025,7,4)), (SWITCH(weekday(BE$4), 1, 0, 2, if(ISBLANK('2025'!$P368), 0, 1), 3, if(ISBLANK('2025'!$Q368), 0, 1), 4, if(ISBLANK('2025'!$R368), 0, 1), 5, if(ISBLANK('2025'!$S368), 0, 1), 6, if(ISBLANK('2025'!$T368), 0, 1), 7, 0))), 1, "")</f>
        <v/>
      </c>
      <c r="BF370" s="1" t="str">
        <f>IF(AND(AND(AND(BF$4&gt;='2025'!$L368,BF$4&lt;='2025'!$M368), BF$4&lt;&gt;DATE(2025,7,4)), (SWITCH(weekday(BF$4), 1, 0, 2, if(ISBLANK('2025'!$P368), 0, 1), 3, if(ISBLANK('2025'!$Q368), 0, 1), 4, if(ISBLANK('2025'!$R368), 0, 1), 5, if(ISBLANK('2025'!$S368), 0, 1), 6, if(ISBLANK('2025'!$T368), 0, 1), 7, 0))), 1, "")</f>
        <v/>
      </c>
      <c r="BG370" s="1"/>
      <c r="BH370" s="1"/>
      <c r="BI370" s="1"/>
      <c r="BJ370" s="1"/>
      <c r="BK370" s="1"/>
      <c r="BL370" s="1"/>
    </row>
    <row r="371">
      <c r="A371" s="1">
        <f t="shared" si="3"/>
        <v>371</v>
      </c>
      <c r="B371" s="1" t="str">
        <f>'2025'!D335</f>
        <v>, </v>
      </c>
      <c r="C371" s="1" t="str">
        <f>'2025'!H335</f>
        <v/>
      </c>
      <c r="D371" s="1" t="str">
        <f>IF(AND(AND(AND(D$4&gt;='2025'!$L369,D$4&lt;='2025'!$M369), D$4&lt;&gt;DATE(2025,7,4)), (SWITCH(weekday(D$4), 1, 0, 2, if(ISBLANK('2025'!$P369), 0, 1), 3, if(ISBLANK('2025'!$Q369), 0, 1), 4, if(ISBLANK('2025'!$R369), 0, 1), 5, if(ISBLANK('2025'!$S369), 0, 1), 6, if(ISBLANK('2025'!$T369), 0, 1), 7, 0))), 1, "")</f>
        <v/>
      </c>
      <c r="E371" s="1" t="str">
        <f>IF(AND(AND(AND(E$4&gt;='2025'!$L369,E$4&lt;='2025'!$M369), E$4&lt;&gt;DATE(2025,7,4)), (SWITCH(weekday(E$4), 1, 0, 2, if(ISBLANK('2025'!$P369), 0, 1), 3, if(ISBLANK('2025'!$Q369), 0, 1), 4, if(ISBLANK('2025'!$R369), 0, 1), 5, if(ISBLANK('2025'!$S369), 0, 1), 6, if(ISBLANK('2025'!$T369), 0, 1), 7, 0))), 1, "")</f>
        <v/>
      </c>
      <c r="F371" s="1" t="str">
        <f>IF(AND(AND(AND(F$4&gt;='2025'!$L369,F$4&lt;='2025'!$M369), F$4&lt;&gt;DATE(2025,7,4)), (SWITCH(weekday(F$4), 1, 0, 2, if(ISBLANK('2025'!$P369), 0, 1), 3, if(ISBLANK('2025'!$Q369), 0, 1), 4, if(ISBLANK('2025'!$R369), 0, 1), 5, if(ISBLANK('2025'!$S369), 0, 1), 6, if(ISBLANK('2025'!$T369), 0, 1), 7, 0))), 1, "")</f>
        <v/>
      </c>
      <c r="G371" s="1" t="str">
        <f>IF(AND(AND(AND(G$4&gt;='2025'!$L369,G$4&lt;='2025'!$M369), G$4&lt;&gt;DATE(2025,7,4)), (SWITCH(weekday(G$4), 1, 0, 2, if(ISBLANK('2025'!$P369), 0, 1), 3, if(ISBLANK('2025'!$Q369), 0, 1), 4, if(ISBLANK('2025'!$R369), 0, 1), 5, if(ISBLANK('2025'!$S369), 0, 1), 6, if(ISBLANK('2025'!$T369), 0, 1), 7, 0))), 1, "")</f>
        <v/>
      </c>
      <c r="H371" s="1" t="str">
        <f>IF(AND(AND(AND(H$4&gt;='2025'!$L369,H$4&lt;='2025'!$M369), H$4&lt;&gt;DATE(2025,7,4)), (SWITCH(weekday(H$4), 1, 0, 2, if(ISBLANK('2025'!$P369), 0, 1), 3, if(ISBLANK('2025'!$Q369), 0, 1), 4, if(ISBLANK('2025'!$R369), 0, 1), 5, if(ISBLANK('2025'!$S369), 0, 1), 6, if(ISBLANK('2025'!$T369), 0, 1), 7, 0))), 1, "")</f>
        <v/>
      </c>
      <c r="I371" s="1" t="str">
        <f>IF(AND(AND(AND(I$4&gt;='2025'!$L369,I$4&lt;='2025'!$M369), I$4&lt;&gt;DATE(2025,7,4)), (SWITCH(weekday(I$4), 1, 0, 2, if(ISBLANK('2025'!$P369), 0, 1), 3, if(ISBLANK('2025'!$Q369), 0, 1), 4, if(ISBLANK('2025'!$R369), 0, 1), 5, if(ISBLANK('2025'!$S369), 0, 1), 6, if(ISBLANK('2025'!$T369), 0, 1), 7, 0))), 1, "")</f>
        <v/>
      </c>
      <c r="J371" s="1" t="str">
        <f>IF(AND(AND(AND(J$4&gt;='2025'!$L369,J$4&lt;='2025'!$M369), J$4&lt;&gt;DATE(2025,7,4)), (SWITCH(weekday(J$4), 1, 0, 2, if(ISBLANK('2025'!$P369), 0, 1), 3, if(ISBLANK('2025'!$Q369), 0, 1), 4, if(ISBLANK('2025'!$R369), 0, 1), 5, if(ISBLANK('2025'!$S369), 0, 1), 6, if(ISBLANK('2025'!$T369), 0, 1), 7, 0))), 1, "")</f>
        <v/>
      </c>
      <c r="K371" s="1" t="str">
        <f>IF(AND(AND(AND(K$4&gt;='2025'!$L369,K$4&lt;='2025'!$M369), K$4&lt;&gt;DATE(2025,7,4)), (SWITCH(weekday(K$4), 1, 0, 2, if(ISBLANK('2025'!$P369), 0, 1), 3, if(ISBLANK('2025'!$Q369), 0, 1), 4, if(ISBLANK('2025'!$R369), 0, 1), 5, if(ISBLANK('2025'!$S369), 0, 1), 6, if(ISBLANK('2025'!$T369), 0, 1), 7, 0))), 1, "")</f>
        <v/>
      </c>
      <c r="L371" s="1" t="str">
        <f>IF(AND(AND(AND(L$4&gt;='2025'!$L369,L$4&lt;='2025'!$M369), L$4&lt;&gt;DATE(2025,7,4)), (SWITCH(weekday(L$4), 1, 0, 2, if(ISBLANK('2025'!$P369), 0, 1), 3, if(ISBLANK('2025'!$Q369), 0, 1), 4, if(ISBLANK('2025'!$R369), 0, 1), 5, if(ISBLANK('2025'!$S369), 0, 1), 6, if(ISBLANK('2025'!$T369), 0, 1), 7, 0))), 1, "")</f>
        <v/>
      </c>
      <c r="M371" s="1" t="str">
        <f>IF(AND(AND(AND(M$4&gt;='2025'!$L369,M$4&lt;='2025'!$M369), M$4&lt;&gt;DATE(2025,7,4)), (SWITCH(weekday(M$4), 1, 0, 2, if(ISBLANK('2025'!$P369), 0, 1), 3, if(ISBLANK('2025'!$Q369), 0, 1), 4, if(ISBLANK('2025'!$R369), 0, 1), 5, if(ISBLANK('2025'!$S369), 0, 1), 6, if(ISBLANK('2025'!$T369), 0, 1), 7, 0))), 1, "")</f>
        <v/>
      </c>
      <c r="N371" s="1" t="str">
        <f>IF(AND(AND(AND(N$4&gt;='2025'!$L369,N$4&lt;='2025'!$M369), N$4&lt;&gt;DATE(2025,7,4)), (SWITCH(weekday(N$4), 1, 0, 2, if(ISBLANK('2025'!$P369), 0, 1), 3, if(ISBLANK('2025'!$Q369), 0, 1), 4, if(ISBLANK('2025'!$R369), 0, 1), 5, if(ISBLANK('2025'!$S369), 0, 1), 6, if(ISBLANK('2025'!$T369), 0, 1), 7, 0))), 1, "")</f>
        <v/>
      </c>
      <c r="O371" s="1" t="str">
        <f>IF(AND(AND(AND(O$4&gt;='2025'!$L369,O$4&lt;='2025'!$M369), O$4&lt;&gt;DATE(2025,7,4)), (SWITCH(weekday(O$4), 1, 0, 2, if(ISBLANK('2025'!$P369), 0, 1), 3, if(ISBLANK('2025'!$Q369), 0, 1), 4, if(ISBLANK('2025'!$R369), 0, 1), 5, if(ISBLANK('2025'!$S369), 0, 1), 6, if(ISBLANK('2025'!$T369), 0, 1), 7, 0))), 1, "")</f>
        <v/>
      </c>
      <c r="P371" s="1" t="str">
        <f>IF(AND(AND(AND(P$4&gt;='2025'!$L369,P$4&lt;='2025'!$M369), P$4&lt;&gt;DATE(2025,7,4)), (SWITCH(weekday(P$4), 1, 0, 2, if(ISBLANK('2025'!$P369), 0, 1), 3, if(ISBLANK('2025'!$Q369), 0, 1), 4, if(ISBLANK('2025'!$R369), 0, 1), 5, if(ISBLANK('2025'!$S369), 0, 1), 6, if(ISBLANK('2025'!$T369), 0, 1), 7, 0))), 1, "")</f>
        <v/>
      </c>
      <c r="Q371" s="1" t="str">
        <f>IF(AND(AND(AND(Q$4&gt;='2025'!$L369,Q$4&lt;='2025'!$M369), Q$4&lt;&gt;DATE(2025,7,4)), (SWITCH(weekday(Q$4), 1, 0, 2, if(ISBLANK('2025'!$P369), 0, 1), 3, if(ISBLANK('2025'!$Q369), 0, 1), 4, if(ISBLANK('2025'!$R369), 0, 1), 5, if(ISBLANK('2025'!$S369), 0, 1), 6, if(ISBLANK('2025'!$T369), 0, 1), 7, 0))), 1, "")</f>
        <v/>
      </c>
      <c r="R371" s="1" t="str">
        <f>IF(AND(AND(AND(R$4&gt;='2025'!$L369,R$4&lt;='2025'!$M369), R$4&lt;&gt;DATE(2025,7,4)), (SWITCH(weekday(R$4), 1, 0, 2, if(ISBLANK('2025'!$P369), 0, 1), 3, if(ISBLANK('2025'!$Q369), 0, 1), 4, if(ISBLANK('2025'!$R369), 0, 1), 5, if(ISBLANK('2025'!$S369), 0, 1), 6, if(ISBLANK('2025'!$T369), 0, 1), 7, 0))), 1, "")</f>
        <v/>
      </c>
      <c r="S371" s="1" t="str">
        <f>IF(AND(AND(AND(S$4&gt;='2025'!$L369,S$4&lt;='2025'!$M369), S$4&lt;&gt;DATE(2025,7,4)), (SWITCH(weekday(S$4), 1, 0, 2, if(ISBLANK('2025'!$P369), 0, 1), 3, if(ISBLANK('2025'!$Q369), 0, 1), 4, if(ISBLANK('2025'!$R369), 0, 1), 5, if(ISBLANK('2025'!$S369), 0, 1), 6, if(ISBLANK('2025'!$T369), 0, 1), 7, 0))), 1, "")</f>
        <v/>
      </c>
      <c r="T371" s="1" t="str">
        <f>IF(AND(AND(AND(T$4&gt;='2025'!$L369,T$4&lt;='2025'!$M369), T$4&lt;&gt;DATE(2025,7,4)), (SWITCH(weekday(T$4), 1, 0, 2, if(ISBLANK('2025'!$P369), 0, 1), 3, if(ISBLANK('2025'!$Q369), 0, 1), 4, if(ISBLANK('2025'!$R369), 0, 1), 5, if(ISBLANK('2025'!$S369), 0, 1), 6, if(ISBLANK('2025'!$T369), 0, 1), 7, 0))), 1, "")</f>
        <v/>
      </c>
      <c r="U371" s="1" t="str">
        <f>IF(AND(AND(AND(U$4&gt;='2025'!$L369,U$4&lt;='2025'!$M369), U$4&lt;&gt;DATE(2025,7,4)), (SWITCH(weekday(U$4), 1, 0, 2, if(ISBLANK('2025'!$P369), 0, 1), 3, if(ISBLANK('2025'!$Q369), 0, 1), 4, if(ISBLANK('2025'!$R369), 0, 1), 5, if(ISBLANK('2025'!$S369), 0, 1), 6, if(ISBLANK('2025'!$T369), 0, 1), 7, 0))), 1, "")</f>
        <v/>
      </c>
      <c r="V371" s="1" t="str">
        <f>IF(AND(AND(AND(V$4&gt;='2025'!$L369,V$4&lt;='2025'!$M369), V$4&lt;&gt;DATE(2025,7,4)), (SWITCH(weekday(V$4), 1, 0, 2, if(ISBLANK('2025'!$P369), 0, 1), 3, if(ISBLANK('2025'!$Q369), 0, 1), 4, if(ISBLANK('2025'!$R369), 0, 1), 5, if(ISBLANK('2025'!$S369), 0, 1), 6, if(ISBLANK('2025'!$T369), 0, 1), 7, 0))), 1, "")</f>
        <v/>
      </c>
      <c r="W371" s="1" t="str">
        <f>IF(AND(AND(AND(W$4&gt;='2025'!$L369,W$4&lt;='2025'!$M369), W$4&lt;&gt;DATE(2025,7,4)), (SWITCH(weekday(W$4), 1, 0, 2, if(ISBLANK('2025'!$P369), 0, 1), 3, if(ISBLANK('2025'!$Q369), 0, 1), 4, if(ISBLANK('2025'!$R369), 0, 1), 5, if(ISBLANK('2025'!$S369), 0, 1), 6, if(ISBLANK('2025'!$T369), 0, 1), 7, 0))), 1, "")</f>
        <v/>
      </c>
      <c r="X371" s="1" t="str">
        <f>IF(AND(AND(AND(X$4&gt;='2025'!$L369,X$4&lt;='2025'!$M369), X$4&lt;&gt;DATE(2025,7,4)), (SWITCH(weekday(X$4), 1, 0, 2, if(ISBLANK('2025'!$P369), 0, 1), 3, if(ISBLANK('2025'!$Q369), 0, 1), 4, if(ISBLANK('2025'!$R369), 0, 1), 5, if(ISBLANK('2025'!$S369), 0, 1), 6, if(ISBLANK('2025'!$T369), 0, 1), 7, 0))), 1, "")</f>
        <v/>
      </c>
      <c r="Y371" s="1" t="str">
        <f>IF(AND(AND(AND(Y$4&gt;='2025'!$L369,Y$4&lt;='2025'!$M369), Y$4&lt;&gt;DATE(2025,7,4)), (SWITCH(weekday(Y$4), 1, 0, 2, if(ISBLANK('2025'!$P369), 0, 1), 3, if(ISBLANK('2025'!$Q369), 0, 1), 4, if(ISBLANK('2025'!$R369), 0, 1), 5, if(ISBLANK('2025'!$S369), 0, 1), 6, if(ISBLANK('2025'!$T369), 0, 1), 7, 0))), 1, "")</f>
        <v/>
      </c>
      <c r="Z371" s="1" t="str">
        <f>IF(AND(AND(AND(Z$4&gt;='2025'!$L369,Z$4&lt;='2025'!$M369), Z$4&lt;&gt;DATE(2025,7,4)), (SWITCH(weekday(Z$4), 1, 0, 2, if(ISBLANK('2025'!$P369), 0, 1), 3, if(ISBLANK('2025'!$Q369), 0, 1), 4, if(ISBLANK('2025'!$R369), 0, 1), 5, if(ISBLANK('2025'!$S369), 0, 1), 6, if(ISBLANK('2025'!$T369), 0, 1), 7, 0))), 1, "")</f>
        <v/>
      </c>
      <c r="AA371" s="1" t="str">
        <f>IF(AND(AND(AND(AA$4&gt;='2025'!$L369,AA$4&lt;='2025'!$M369), AA$4&lt;&gt;DATE(2025,7,4)), (SWITCH(weekday(AA$4), 1, 0, 2, if(ISBLANK('2025'!$P369), 0, 1), 3, if(ISBLANK('2025'!$Q369), 0, 1), 4, if(ISBLANK('2025'!$R369), 0, 1), 5, if(ISBLANK('2025'!$S369), 0, 1), 6, if(ISBLANK('2025'!$T369), 0, 1), 7, 0))), 1, "")</f>
        <v/>
      </c>
      <c r="AB371" s="1" t="str">
        <f>IF(AND(AND(AND(AB$4&gt;='2025'!$L369,AB$4&lt;='2025'!$M369), AB$4&lt;&gt;DATE(2025,7,4)), (SWITCH(weekday(AB$4), 1, 0, 2, if(ISBLANK('2025'!$P369), 0, 1), 3, if(ISBLANK('2025'!$Q369), 0, 1), 4, if(ISBLANK('2025'!$R369), 0, 1), 5, if(ISBLANK('2025'!$S369), 0, 1), 6, if(ISBLANK('2025'!$T369), 0, 1), 7, 0))), 1, "")</f>
        <v/>
      </c>
      <c r="AC371" s="1" t="str">
        <f>IF(AND(AND(AND(AC$4&gt;='2025'!$L369,AC$4&lt;='2025'!$M369), AC$4&lt;&gt;DATE(2025,7,4)), (SWITCH(weekday(AC$4), 1, 0, 2, if(ISBLANK('2025'!$P369), 0, 1), 3, if(ISBLANK('2025'!$Q369), 0, 1), 4, if(ISBLANK('2025'!$R369), 0, 1), 5, if(ISBLANK('2025'!$S369), 0, 1), 6, if(ISBLANK('2025'!$T369), 0, 1), 7, 0))), 1, "")</f>
        <v/>
      </c>
      <c r="AD371" s="1" t="str">
        <f>IF(AND(AND(AND(AD$4&gt;='2025'!$L369,AD$4&lt;='2025'!$M369), AD$4&lt;&gt;DATE(2025,7,4)), (SWITCH(weekday(AD$4), 1, 0, 2, if(ISBLANK('2025'!$P369), 0, 1), 3, if(ISBLANK('2025'!$Q369), 0, 1), 4, if(ISBLANK('2025'!$R369), 0, 1), 5, if(ISBLANK('2025'!$S369), 0, 1), 6, if(ISBLANK('2025'!$T369), 0, 1), 7, 0))), 1, "")</f>
        <v/>
      </c>
      <c r="AE371" s="1" t="str">
        <f>IF(AND(AND(AND(AE$4&gt;='2025'!$L369,AE$4&lt;='2025'!$M369), AE$4&lt;&gt;DATE(2025,7,4)), (SWITCH(weekday(AE$4), 1, 0, 2, if(ISBLANK('2025'!$P369), 0, 1), 3, if(ISBLANK('2025'!$Q369), 0, 1), 4, if(ISBLANK('2025'!$R369), 0, 1), 5, if(ISBLANK('2025'!$S369), 0, 1), 6, if(ISBLANK('2025'!$T369), 0, 1), 7, 0))), 1, "")</f>
        <v/>
      </c>
      <c r="AF371" s="1" t="str">
        <f>IF(AND(AND(AND(AF$4&gt;='2025'!$L369,AF$4&lt;='2025'!$M369), AF$4&lt;&gt;DATE(2025,7,4)), (SWITCH(weekday(AF$4), 1, 0, 2, if(ISBLANK('2025'!$P369), 0, 1), 3, if(ISBLANK('2025'!$Q369), 0, 1), 4, if(ISBLANK('2025'!$R369), 0, 1), 5, if(ISBLANK('2025'!$S369), 0, 1), 6, if(ISBLANK('2025'!$T369), 0, 1), 7, 0))), 1, "")</f>
        <v/>
      </c>
      <c r="AG371" s="1" t="str">
        <f>IF(AND(AND(AND(AG$4&gt;='2025'!$L369,AG$4&lt;='2025'!$M369), AG$4&lt;&gt;DATE(2025,7,4)), (SWITCH(weekday(AG$4), 1, 0, 2, if(ISBLANK('2025'!$P369), 0, 1), 3, if(ISBLANK('2025'!$Q369), 0, 1), 4, if(ISBLANK('2025'!$R369), 0, 1), 5, if(ISBLANK('2025'!$S369), 0, 1), 6, if(ISBLANK('2025'!$T369), 0, 1), 7, 0))), 1, "")</f>
        <v/>
      </c>
      <c r="AH371" s="1" t="str">
        <f>IF(AND(AND(AND(AH$4&gt;='2025'!$L369,AH$4&lt;='2025'!$M369), AH$4&lt;&gt;DATE(2025,7,4)), (SWITCH(weekday(AH$4), 1, 0, 2, if(ISBLANK('2025'!$P369), 0, 1), 3, if(ISBLANK('2025'!$Q369), 0, 1), 4, if(ISBLANK('2025'!$R369), 0, 1), 5, if(ISBLANK('2025'!$S369), 0, 1), 6, if(ISBLANK('2025'!$T369), 0, 1), 7, 0))), 1, "")</f>
        <v/>
      </c>
      <c r="AI371" s="1" t="str">
        <f>IF(AND(AND(AND(AI$4&gt;='2025'!$L369,AI$4&lt;='2025'!$M369), AI$4&lt;&gt;DATE(2025,7,4)), (SWITCH(weekday(AI$4), 1, 0, 2, if(ISBLANK('2025'!$P369), 0, 1), 3, if(ISBLANK('2025'!$Q369), 0, 1), 4, if(ISBLANK('2025'!$R369), 0, 1), 5, if(ISBLANK('2025'!$S369), 0, 1), 6, if(ISBLANK('2025'!$T369), 0, 1), 7, 0))), 1, "")</f>
        <v/>
      </c>
      <c r="AJ371" s="1" t="str">
        <f>IF(AND(AND(AND(AJ$4&gt;='2025'!$L369,AJ$4&lt;='2025'!$M369), AJ$4&lt;&gt;DATE(2025,7,4)), (SWITCH(weekday(AJ$4), 1, 0, 2, if(ISBLANK('2025'!$P369), 0, 1), 3, if(ISBLANK('2025'!$Q369), 0, 1), 4, if(ISBLANK('2025'!$R369), 0, 1), 5, if(ISBLANK('2025'!$S369), 0, 1), 6, if(ISBLANK('2025'!$T369), 0, 1), 7, 0))), 1, "")</f>
        <v/>
      </c>
      <c r="AK371" s="1" t="str">
        <f>IF(AND(AND(AND(AK$4&gt;='2025'!$L369,AK$4&lt;='2025'!$M369), AK$4&lt;&gt;DATE(2025,7,4)), (SWITCH(weekday(AK$4), 1, 0, 2, if(ISBLANK('2025'!$P369), 0, 1), 3, if(ISBLANK('2025'!$Q369), 0, 1), 4, if(ISBLANK('2025'!$R369), 0, 1), 5, if(ISBLANK('2025'!$S369), 0, 1), 6, if(ISBLANK('2025'!$T369), 0, 1), 7, 0))), 1, "")</f>
        <v/>
      </c>
      <c r="AL371" s="1" t="str">
        <f>IF(AND(AND(AND(AL$4&gt;='2025'!$L369,AL$4&lt;='2025'!$M369), AL$4&lt;&gt;DATE(2025,7,4)), (SWITCH(weekday(AL$4), 1, 0, 2, if(ISBLANK('2025'!$P369), 0, 1), 3, if(ISBLANK('2025'!$Q369), 0, 1), 4, if(ISBLANK('2025'!$R369), 0, 1), 5, if(ISBLANK('2025'!$S369), 0, 1), 6, if(ISBLANK('2025'!$T369), 0, 1), 7, 0))), 1, "")</f>
        <v/>
      </c>
      <c r="AM371" s="1" t="str">
        <f>IF(AND(AND(AND(AM$4&gt;='2025'!$L369,AM$4&lt;='2025'!$M369), AM$4&lt;&gt;DATE(2025,7,4)), (SWITCH(weekday(AM$4), 1, 0, 2, if(ISBLANK('2025'!$P369), 0, 1), 3, if(ISBLANK('2025'!$Q369), 0, 1), 4, if(ISBLANK('2025'!$R369), 0, 1), 5, if(ISBLANK('2025'!$S369), 0, 1), 6, if(ISBLANK('2025'!$T369), 0, 1), 7, 0))), 1, "")</f>
        <v/>
      </c>
      <c r="AN371" s="1" t="str">
        <f>IF(AND(AND(AND(AN$4&gt;='2025'!$L369,AN$4&lt;='2025'!$M369), AN$4&lt;&gt;DATE(2025,7,4)), (SWITCH(weekday(AN$4), 1, 0, 2, if(ISBLANK('2025'!$P369), 0, 1), 3, if(ISBLANK('2025'!$Q369), 0, 1), 4, if(ISBLANK('2025'!$R369), 0, 1), 5, if(ISBLANK('2025'!$S369), 0, 1), 6, if(ISBLANK('2025'!$T369), 0, 1), 7, 0))), 1, "")</f>
        <v/>
      </c>
      <c r="AO371" s="1" t="str">
        <f>IF(AND(AND(AND(AO$4&gt;='2025'!$L369,AO$4&lt;='2025'!$M369), AO$4&lt;&gt;DATE(2025,7,4)), (SWITCH(weekday(AO$4), 1, 0, 2, if(ISBLANK('2025'!$P369), 0, 1), 3, if(ISBLANK('2025'!$Q369), 0, 1), 4, if(ISBLANK('2025'!$R369), 0, 1), 5, if(ISBLANK('2025'!$S369), 0, 1), 6, if(ISBLANK('2025'!$T369), 0, 1), 7, 0))), 1, "")</f>
        <v/>
      </c>
      <c r="AP371" s="1" t="str">
        <f>IF(AND(AND(AND(AP$4&gt;='2025'!$L369,AP$4&lt;='2025'!$M369), AP$4&lt;&gt;DATE(2025,7,4)), (SWITCH(weekday(AP$4), 1, 0, 2, if(ISBLANK('2025'!$P369), 0, 1), 3, if(ISBLANK('2025'!$Q369), 0, 1), 4, if(ISBLANK('2025'!$R369), 0, 1), 5, if(ISBLANK('2025'!$S369), 0, 1), 6, if(ISBLANK('2025'!$T369), 0, 1), 7, 0))), 1, "")</f>
        <v/>
      </c>
      <c r="AQ371" s="1" t="str">
        <f>IF(AND(AND(AND(AQ$4&gt;='2025'!$L369,AQ$4&lt;='2025'!$M369), AQ$4&lt;&gt;DATE(2025,7,4)), (SWITCH(weekday(AQ$4), 1, 0, 2, if(ISBLANK('2025'!$P369), 0, 1), 3, if(ISBLANK('2025'!$Q369), 0, 1), 4, if(ISBLANK('2025'!$R369), 0, 1), 5, if(ISBLANK('2025'!$S369), 0, 1), 6, if(ISBLANK('2025'!$T369), 0, 1), 7, 0))), 1, "")</f>
        <v/>
      </c>
      <c r="AR371" s="1" t="str">
        <f>IF(AND(AND(AND(AR$4&gt;='2025'!$L369,AR$4&lt;='2025'!$M369), AR$4&lt;&gt;DATE(2025,7,4)), (SWITCH(weekday(AR$4), 1, 0, 2, if(ISBLANK('2025'!$P369), 0, 1), 3, if(ISBLANK('2025'!$Q369), 0, 1), 4, if(ISBLANK('2025'!$R369), 0, 1), 5, if(ISBLANK('2025'!$S369), 0, 1), 6, if(ISBLANK('2025'!$T369), 0, 1), 7, 0))), 1, "")</f>
        <v/>
      </c>
      <c r="AS371" s="1" t="str">
        <f>IF(AND(AND(AND(AS$4&gt;='2025'!$L369,AS$4&lt;='2025'!$M369), AS$4&lt;&gt;DATE(2025,7,4)), (SWITCH(weekday(AS$4), 1, 0, 2, if(ISBLANK('2025'!$P369), 0, 1), 3, if(ISBLANK('2025'!$Q369), 0, 1), 4, if(ISBLANK('2025'!$R369), 0, 1), 5, if(ISBLANK('2025'!$S369), 0, 1), 6, if(ISBLANK('2025'!$T369), 0, 1), 7, 0))), 1, "")</f>
        <v/>
      </c>
      <c r="AT371" s="1" t="str">
        <f>IF(AND(AND(AND(AT$4&gt;='2025'!$L369,AT$4&lt;='2025'!$M369), AT$4&lt;&gt;DATE(2025,7,4)), (SWITCH(weekday(AT$4), 1, 0, 2, if(ISBLANK('2025'!$P369), 0, 1), 3, if(ISBLANK('2025'!$Q369), 0, 1), 4, if(ISBLANK('2025'!$R369), 0, 1), 5, if(ISBLANK('2025'!$S369), 0, 1), 6, if(ISBLANK('2025'!$T369), 0, 1), 7, 0))), 1, "")</f>
        <v/>
      </c>
      <c r="AU371" s="1" t="str">
        <f>IF(AND(AND(AND(AU$4&gt;='2025'!$L369,AU$4&lt;='2025'!$M369), AU$4&lt;&gt;DATE(2025,7,4)), (SWITCH(weekday(AU$4), 1, 0, 2, if(ISBLANK('2025'!$P369), 0, 1), 3, if(ISBLANK('2025'!$Q369), 0, 1), 4, if(ISBLANK('2025'!$R369), 0, 1), 5, if(ISBLANK('2025'!$S369), 0, 1), 6, if(ISBLANK('2025'!$T369), 0, 1), 7, 0))), 1, "")</f>
        <v/>
      </c>
      <c r="AV371" s="1" t="str">
        <f>IF(AND(AND(AND(AV$4&gt;='2025'!$L369,AV$4&lt;='2025'!$M369), AV$4&lt;&gt;DATE(2025,7,4)), (SWITCH(weekday(AV$4), 1, 0, 2, if(ISBLANK('2025'!$P369), 0, 1), 3, if(ISBLANK('2025'!$Q369), 0, 1), 4, if(ISBLANK('2025'!$R369), 0, 1), 5, if(ISBLANK('2025'!$S369), 0, 1), 6, if(ISBLANK('2025'!$T369), 0, 1), 7, 0))), 1, "")</f>
        <v/>
      </c>
      <c r="AW371" s="1" t="str">
        <f>IF(AND(AND(AND(AW$4&gt;='2025'!$L369,AW$4&lt;='2025'!$M369), AW$4&lt;&gt;DATE(2025,7,4)), (SWITCH(weekday(AW$4), 1, 0, 2, if(ISBLANK('2025'!$P369), 0, 1), 3, if(ISBLANK('2025'!$Q369), 0, 1), 4, if(ISBLANK('2025'!$R369), 0, 1), 5, if(ISBLANK('2025'!$S369), 0, 1), 6, if(ISBLANK('2025'!$T369), 0, 1), 7, 0))), 1, "")</f>
        <v/>
      </c>
      <c r="AX371" s="1" t="str">
        <f>IF(AND(AND(AND(AX$4&gt;='2025'!$L369,AX$4&lt;='2025'!$M369), AX$4&lt;&gt;DATE(2025,7,4)), (SWITCH(weekday(AX$4), 1, 0, 2, if(ISBLANK('2025'!$P369), 0, 1), 3, if(ISBLANK('2025'!$Q369), 0, 1), 4, if(ISBLANK('2025'!$R369), 0, 1), 5, if(ISBLANK('2025'!$S369), 0, 1), 6, if(ISBLANK('2025'!$T369), 0, 1), 7, 0))), 1, "")</f>
        <v/>
      </c>
      <c r="AY371" s="1" t="str">
        <f>IF(AND(AND(AND(AY$4&gt;='2025'!$L369,AY$4&lt;='2025'!$M369), AY$4&lt;&gt;DATE(2025,7,4)), (SWITCH(weekday(AY$4), 1, 0, 2, if(ISBLANK('2025'!$P369), 0, 1), 3, if(ISBLANK('2025'!$Q369), 0, 1), 4, if(ISBLANK('2025'!$R369), 0, 1), 5, if(ISBLANK('2025'!$S369), 0, 1), 6, if(ISBLANK('2025'!$T369), 0, 1), 7, 0))), 1, "")</f>
        <v/>
      </c>
      <c r="AZ371" s="1" t="str">
        <f>IF(AND(AND(AND(AZ$4&gt;='2025'!$L369,AZ$4&lt;='2025'!$M369), AZ$4&lt;&gt;DATE(2025,7,4)), (SWITCH(weekday(AZ$4), 1, 0, 2, if(ISBLANK('2025'!$P369), 0, 1), 3, if(ISBLANK('2025'!$Q369), 0, 1), 4, if(ISBLANK('2025'!$R369), 0, 1), 5, if(ISBLANK('2025'!$S369), 0, 1), 6, if(ISBLANK('2025'!$T369), 0, 1), 7, 0))), 1, "")</f>
        <v/>
      </c>
      <c r="BA371" s="1" t="str">
        <f>IF(AND(AND(AND(BA$4&gt;='2025'!$L369,BA$4&lt;='2025'!$M369), BA$4&lt;&gt;DATE(2025,7,4)), (SWITCH(weekday(BA$4), 1, 0, 2, if(ISBLANK('2025'!$P369), 0, 1), 3, if(ISBLANK('2025'!$Q369), 0, 1), 4, if(ISBLANK('2025'!$R369), 0, 1), 5, if(ISBLANK('2025'!$S369), 0, 1), 6, if(ISBLANK('2025'!$T369), 0, 1), 7, 0))), 1, "")</f>
        <v/>
      </c>
      <c r="BB371" s="1" t="str">
        <f>IF(AND(AND(AND(BB$4&gt;='2025'!$L369,BB$4&lt;='2025'!$M369), BB$4&lt;&gt;DATE(2025,7,4)), (SWITCH(weekday(BB$4), 1, 0, 2, if(ISBLANK('2025'!$P369), 0, 1), 3, if(ISBLANK('2025'!$Q369), 0, 1), 4, if(ISBLANK('2025'!$R369), 0, 1), 5, if(ISBLANK('2025'!$S369), 0, 1), 6, if(ISBLANK('2025'!$T369), 0, 1), 7, 0))), 1, "")</f>
        <v/>
      </c>
      <c r="BC371" s="1" t="str">
        <f>IF(AND(AND(AND(BC$4&gt;='2025'!$L369,BC$4&lt;='2025'!$M369), BC$4&lt;&gt;DATE(2025,7,4)), (SWITCH(weekday(BC$4), 1, 0, 2, if(ISBLANK('2025'!$P369), 0, 1), 3, if(ISBLANK('2025'!$Q369), 0, 1), 4, if(ISBLANK('2025'!$R369), 0, 1), 5, if(ISBLANK('2025'!$S369), 0, 1), 6, if(ISBLANK('2025'!$T369), 0, 1), 7, 0))), 1, "")</f>
        <v/>
      </c>
      <c r="BD371" s="1" t="str">
        <f>IF(AND(AND(AND(BD$4&gt;='2025'!$L369,BD$4&lt;='2025'!$M369), BD$4&lt;&gt;DATE(2025,7,4)), (SWITCH(weekday(BD$4), 1, 0, 2, if(ISBLANK('2025'!$P369), 0, 1), 3, if(ISBLANK('2025'!$Q369), 0, 1), 4, if(ISBLANK('2025'!$R369), 0, 1), 5, if(ISBLANK('2025'!$S369), 0, 1), 6, if(ISBLANK('2025'!$T369), 0, 1), 7, 0))), 1, "")</f>
        <v/>
      </c>
      <c r="BE371" s="1" t="str">
        <f>IF(AND(AND(AND(BE$4&gt;='2025'!$L369,BE$4&lt;='2025'!$M369), BE$4&lt;&gt;DATE(2025,7,4)), (SWITCH(weekday(BE$4), 1, 0, 2, if(ISBLANK('2025'!$P369), 0, 1), 3, if(ISBLANK('2025'!$Q369), 0, 1), 4, if(ISBLANK('2025'!$R369), 0, 1), 5, if(ISBLANK('2025'!$S369), 0, 1), 6, if(ISBLANK('2025'!$T369), 0, 1), 7, 0))), 1, "")</f>
        <v/>
      </c>
      <c r="BF371" s="1" t="str">
        <f>IF(AND(AND(AND(BF$4&gt;='2025'!$L369,BF$4&lt;='2025'!$M369), BF$4&lt;&gt;DATE(2025,7,4)), (SWITCH(weekday(BF$4), 1, 0, 2, if(ISBLANK('2025'!$P369), 0, 1), 3, if(ISBLANK('2025'!$Q369), 0, 1), 4, if(ISBLANK('2025'!$R369), 0, 1), 5, if(ISBLANK('2025'!$S369), 0, 1), 6, if(ISBLANK('2025'!$T369), 0, 1), 7, 0))), 1, "")</f>
        <v/>
      </c>
      <c r="BG371" s="1"/>
      <c r="BH371" s="1"/>
      <c r="BI371" s="1"/>
      <c r="BJ371" s="1"/>
      <c r="BK371" s="1"/>
      <c r="BL371" s="1"/>
    </row>
    <row r="372">
      <c r="A372" s="1">
        <f t="shared" si="3"/>
        <v>372</v>
      </c>
      <c r="B372" s="1" t="str">
        <f>'2025'!D336</f>
        <v>, </v>
      </c>
      <c r="C372" s="1" t="str">
        <f>'2025'!H336</f>
        <v/>
      </c>
      <c r="D372" s="1" t="str">
        <f>IF(AND(AND(AND(D$4&gt;='2025'!$L370,D$4&lt;='2025'!$M370), D$4&lt;&gt;DATE(2025,7,4)), (SWITCH(weekday(D$4), 1, 0, 2, if(ISBLANK('2025'!$P370), 0, 1), 3, if(ISBLANK('2025'!$Q370), 0, 1), 4, if(ISBLANK('2025'!$R370), 0, 1), 5, if(ISBLANK('2025'!$S370), 0, 1), 6, if(ISBLANK('2025'!$T370), 0, 1), 7, 0))), 1, "")</f>
        <v/>
      </c>
      <c r="E372" s="1" t="str">
        <f>IF(AND(AND(AND(E$4&gt;='2025'!$L370,E$4&lt;='2025'!$M370), E$4&lt;&gt;DATE(2025,7,4)), (SWITCH(weekday(E$4), 1, 0, 2, if(ISBLANK('2025'!$P370), 0, 1), 3, if(ISBLANK('2025'!$Q370), 0, 1), 4, if(ISBLANK('2025'!$R370), 0, 1), 5, if(ISBLANK('2025'!$S370), 0, 1), 6, if(ISBLANK('2025'!$T370), 0, 1), 7, 0))), 1, "")</f>
        <v/>
      </c>
      <c r="F372" s="1" t="str">
        <f>IF(AND(AND(AND(F$4&gt;='2025'!$L370,F$4&lt;='2025'!$M370), F$4&lt;&gt;DATE(2025,7,4)), (SWITCH(weekday(F$4), 1, 0, 2, if(ISBLANK('2025'!$P370), 0, 1), 3, if(ISBLANK('2025'!$Q370), 0, 1), 4, if(ISBLANK('2025'!$R370), 0, 1), 5, if(ISBLANK('2025'!$S370), 0, 1), 6, if(ISBLANK('2025'!$T370), 0, 1), 7, 0))), 1, "")</f>
        <v/>
      </c>
      <c r="G372" s="1" t="str">
        <f>IF(AND(AND(AND(G$4&gt;='2025'!$L370,G$4&lt;='2025'!$M370), G$4&lt;&gt;DATE(2025,7,4)), (SWITCH(weekday(G$4), 1, 0, 2, if(ISBLANK('2025'!$P370), 0, 1), 3, if(ISBLANK('2025'!$Q370), 0, 1), 4, if(ISBLANK('2025'!$R370), 0, 1), 5, if(ISBLANK('2025'!$S370), 0, 1), 6, if(ISBLANK('2025'!$T370), 0, 1), 7, 0))), 1, "")</f>
        <v/>
      </c>
      <c r="H372" s="1" t="str">
        <f>IF(AND(AND(AND(H$4&gt;='2025'!$L370,H$4&lt;='2025'!$M370), H$4&lt;&gt;DATE(2025,7,4)), (SWITCH(weekday(H$4), 1, 0, 2, if(ISBLANK('2025'!$P370), 0, 1), 3, if(ISBLANK('2025'!$Q370), 0, 1), 4, if(ISBLANK('2025'!$R370), 0, 1), 5, if(ISBLANK('2025'!$S370), 0, 1), 6, if(ISBLANK('2025'!$T370), 0, 1), 7, 0))), 1, "")</f>
        <v/>
      </c>
      <c r="I372" s="1" t="str">
        <f>IF(AND(AND(AND(I$4&gt;='2025'!$L370,I$4&lt;='2025'!$M370), I$4&lt;&gt;DATE(2025,7,4)), (SWITCH(weekday(I$4), 1, 0, 2, if(ISBLANK('2025'!$P370), 0, 1), 3, if(ISBLANK('2025'!$Q370), 0, 1), 4, if(ISBLANK('2025'!$R370), 0, 1), 5, if(ISBLANK('2025'!$S370), 0, 1), 6, if(ISBLANK('2025'!$T370), 0, 1), 7, 0))), 1, "")</f>
        <v/>
      </c>
      <c r="J372" s="1" t="str">
        <f>IF(AND(AND(AND(J$4&gt;='2025'!$L370,J$4&lt;='2025'!$M370), J$4&lt;&gt;DATE(2025,7,4)), (SWITCH(weekday(J$4), 1, 0, 2, if(ISBLANK('2025'!$P370), 0, 1), 3, if(ISBLANK('2025'!$Q370), 0, 1), 4, if(ISBLANK('2025'!$R370), 0, 1), 5, if(ISBLANK('2025'!$S370), 0, 1), 6, if(ISBLANK('2025'!$T370), 0, 1), 7, 0))), 1, "")</f>
        <v/>
      </c>
      <c r="K372" s="1" t="str">
        <f>IF(AND(AND(AND(K$4&gt;='2025'!$L370,K$4&lt;='2025'!$M370), K$4&lt;&gt;DATE(2025,7,4)), (SWITCH(weekday(K$4), 1, 0, 2, if(ISBLANK('2025'!$P370), 0, 1), 3, if(ISBLANK('2025'!$Q370), 0, 1), 4, if(ISBLANK('2025'!$R370), 0, 1), 5, if(ISBLANK('2025'!$S370), 0, 1), 6, if(ISBLANK('2025'!$T370), 0, 1), 7, 0))), 1, "")</f>
        <v/>
      </c>
      <c r="L372" s="1" t="str">
        <f>IF(AND(AND(AND(L$4&gt;='2025'!$L370,L$4&lt;='2025'!$M370), L$4&lt;&gt;DATE(2025,7,4)), (SWITCH(weekday(L$4), 1, 0, 2, if(ISBLANK('2025'!$P370), 0, 1), 3, if(ISBLANK('2025'!$Q370), 0, 1), 4, if(ISBLANK('2025'!$R370), 0, 1), 5, if(ISBLANK('2025'!$S370), 0, 1), 6, if(ISBLANK('2025'!$T370), 0, 1), 7, 0))), 1, "")</f>
        <v/>
      </c>
      <c r="M372" s="1" t="str">
        <f>IF(AND(AND(AND(M$4&gt;='2025'!$L370,M$4&lt;='2025'!$M370), M$4&lt;&gt;DATE(2025,7,4)), (SWITCH(weekday(M$4), 1, 0, 2, if(ISBLANK('2025'!$P370), 0, 1), 3, if(ISBLANK('2025'!$Q370), 0, 1), 4, if(ISBLANK('2025'!$R370), 0, 1), 5, if(ISBLANK('2025'!$S370), 0, 1), 6, if(ISBLANK('2025'!$T370), 0, 1), 7, 0))), 1, "")</f>
        <v/>
      </c>
      <c r="N372" s="1" t="str">
        <f>IF(AND(AND(AND(N$4&gt;='2025'!$L370,N$4&lt;='2025'!$M370), N$4&lt;&gt;DATE(2025,7,4)), (SWITCH(weekday(N$4), 1, 0, 2, if(ISBLANK('2025'!$P370), 0, 1), 3, if(ISBLANK('2025'!$Q370), 0, 1), 4, if(ISBLANK('2025'!$R370), 0, 1), 5, if(ISBLANK('2025'!$S370), 0, 1), 6, if(ISBLANK('2025'!$T370), 0, 1), 7, 0))), 1, "")</f>
        <v/>
      </c>
      <c r="O372" s="1" t="str">
        <f>IF(AND(AND(AND(O$4&gt;='2025'!$L370,O$4&lt;='2025'!$M370), O$4&lt;&gt;DATE(2025,7,4)), (SWITCH(weekday(O$4), 1, 0, 2, if(ISBLANK('2025'!$P370), 0, 1), 3, if(ISBLANK('2025'!$Q370), 0, 1), 4, if(ISBLANK('2025'!$R370), 0, 1), 5, if(ISBLANK('2025'!$S370), 0, 1), 6, if(ISBLANK('2025'!$T370), 0, 1), 7, 0))), 1, "")</f>
        <v/>
      </c>
      <c r="P372" s="1" t="str">
        <f>IF(AND(AND(AND(P$4&gt;='2025'!$L370,P$4&lt;='2025'!$M370), P$4&lt;&gt;DATE(2025,7,4)), (SWITCH(weekday(P$4), 1, 0, 2, if(ISBLANK('2025'!$P370), 0, 1), 3, if(ISBLANK('2025'!$Q370), 0, 1), 4, if(ISBLANK('2025'!$R370), 0, 1), 5, if(ISBLANK('2025'!$S370), 0, 1), 6, if(ISBLANK('2025'!$T370), 0, 1), 7, 0))), 1, "")</f>
        <v/>
      </c>
      <c r="Q372" s="1" t="str">
        <f>IF(AND(AND(AND(Q$4&gt;='2025'!$L370,Q$4&lt;='2025'!$M370), Q$4&lt;&gt;DATE(2025,7,4)), (SWITCH(weekday(Q$4), 1, 0, 2, if(ISBLANK('2025'!$P370), 0, 1), 3, if(ISBLANK('2025'!$Q370), 0, 1), 4, if(ISBLANK('2025'!$R370), 0, 1), 5, if(ISBLANK('2025'!$S370), 0, 1), 6, if(ISBLANK('2025'!$T370), 0, 1), 7, 0))), 1, "")</f>
        <v/>
      </c>
      <c r="R372" s="1" t="str">
        <f>IF(AND(AND(AND(R$4&gt;='2025'!$L370,R$4&lt;='2025'!$M370), R$4&lt;&gt;DATE(2025,7,4)), (SWITCH(weekday(R$4), 1, 0, 2, if(ISBLANK('2025'!$P370), 0, 1), 3, if(ISBLANK('2025'!$Q370), 0, 1), 4, if(ISBLANK('2025'!$R370), 0, 1), 5, if(ISBLANK('2025'!$S370), 0, 1), 6, if(ISBLANK('2025'!$T370), 0, 1), 7, 0))), 1, "")</f>
        <v/>
      </c>
      <c r="S372" s="1" t="str">
        <f>IF(AND(AND(AND(S$4&gt;='2025'!$L370,S$4&lt;='2025'!$M370), S$4&lt;&gt;DATE(2025,7,4)), (SWITCH(weekday(S$4), 1, 0, 2, if(ISBLANK('2025'!$P370), 0, 1), 3, if(ISBLANK('2025'!$Q370), 0, 1), 4, if(ISBLANK('2025'!$R370), 0, 1), 5, if(ISBLANK('2025'!$S370), 0, 1), 6, if(ISBLANK('2025'!$T370), 0, 1), 7, 0))), 1, "")</f>
        <v/>
      </c>
      <c r="T372" s="1" t="str">
        <f>IF(AND(AND(AND(T$4&gt;='2025'!$L370,T$4&lt;='2025'!$M370), T$4&lt;&gt;DATE(2025,7,4)), (SWITCH(weekday(T$4), 1, 0, 2, if(ISBLANK('2025'!$P370), 0, 1), 3, if(ISBLANK('2025'!$Q370), 0, 1), 4, if(ISBLANK('2025'!$R370), 0, 1), 5, if(ISBLANK('2025'!$S370), 0, 1), 6, if(ISBLANK('2025'!$T370), 0, 1), 7, 0))), 1, "")</f>
        <v/>
      </c>
      <c r="U372" s="1" t="str">
        <f>IF(AND(AND(AND(U$4&gt;='2025'!$L370,U$4&lt;='2025'!$M370), U$4&lt;&gt;DATE(2025,7,4)), (SWITCH(weekday(U$4), 1, 0, 2, if(ISBLANK('2025'!$P370), 0, 1), 3, if(ISBLANK('2025'!$Q370), 0, 1), 4, if(ISBLANK('2025'!$R370), 0, 1), 5, if(ISBLANK('2025'!$S370), 0, 1), 6, if(ISBLANK('2025'!$T370), 0, 1), 7, 0))), 1, "")</f>
        <v/>
      </c>
      <c r="V372" s="1" t="str">
        <f>IF(AND(AND(AND(V$4&gt;='2025'!$L370,V$4&lt;='2025'!$M370), V$4&lt;&gt;DATE(2025,7,4)), (SWITCH(weekday(V$4), 1, 0, 2, if(ISBLANK('2025'!$P370), 0, 1), 3, if(ISBLANK('2025'!$Q370), 0, 1), 4, if(ISBLANK('2025'!$R370), 0, 1), 5, if(ISBLANK('2025'!$S370), 0, 1), 6, if(ISBLANK('2025'!$T370), 0, 1), 7, 0))), 1, "")</f>
        <v/>
      </c>
      <c r="W372" s="1" t="str">
        <f>IF(AND(AND(AND(W$4&gt;='2025'!$L370,W$4&lt;='2025'!$M370), W$4&lt;&gt;DATE(2025,7,4)), (SWITCH(weekday(W$4), 1, 0, 2, if(ISBLANK('2025'!$P370), 0, 1), 3, if(ISBLANK('2025'!$Q370), 0, 1), 4, if(ISBLANK('2025'!$R370), 0, 1), 5, if(ISBLANK('2025'!$S370), 0, 1), 6, if(ISBLANK('2025'!$T370), 0, 1), 7, 0))), 1, "")</f>
        <v/>
      </c>
      <c r="X372" s="1" t="str">
        <f>IF(AND(AND(AND(X$4&gt;='2025'!$L370,X$4&lt;='2025'!$M370), X$4&lt;&gt;DATE(2025,7,4)), (SWITCH(weekday(X$4), 1, 0, 2, if(ISBLANK('2025'!$P370), 0, 1), 3, if(ISBLANK('2025'!$Q370), 0, 1), 4, if(ISBLANK('2025'!$R370), 0, 1), 5, if(ISBLANK('2025'!$S370), 0, 1), 6, if(ISBLANK('2025'!$T370), 0, 1), 7, 0))), 1, "")</f>
        <v/>
      </c>
      <c r="Y372" s="1" t="str">
        <f>IF(AND(AND(AND(Y$4&gt;='2025'!$L370,Y$4&lt;='2025'!$M370), Y$4&lt;&gt;DATE(2025,7,4)), (SWITCH(weekday(Y$4), 1, 0, 2, if(ISBLANK('2025'!$P370), 0, 1), 3, if(ISBLANK('2025'!$Q370), 0, 1), 4, if(ISBLANK('2025'!$R370), 0, 1), 5, if(ISBLANK('2025'!$S370), 0, 1), 6, if(ISBLANK('2025'!$T370), 0, 1), 7, 0))), 1, "")</f>
        <v/>
      </c>
      <c r="Z372" s="1" t="str">
        <f>IF(AND(AND(AND(Z$4&gt;='2025'!$L370,Z$4&lt;='2025'!$M370), Z$4&lt;&gt;DATE(2025,7,4)), (SWITCH(weekday(Z$4), 1, 0, 2, if(ISBLANK('2025'!$P370), 0, 1), 3, if(ISBLANK('2025'!$Q370), 0, 1), 4, if(ISBLANK('2025'!$R370), 0, 1), 5, if(ISBLANK('2025'!$S370), 0, 1), 6, if(ISBLANK('2025'!$T370), 0, 1), 7, 0))), 1, "")</f>
        <v/>
      </c>
      <c r="AA372" s="1" t="str">
        <f>IF(AND(AND(AND(AA$4&gt;='2025'!$L370,AA$4&lt;='2025'!$M370), AA$4&lt;&gt;DATE(2025,7,4)), (SWITCH(weekday(AA$4), 1, 0, 2, if(ISBLANK('2025'!$P370), 0, 1), 3, if(ISBLANK('2025'!$Q370), 0, 1), 4, if(ISBLANK('2025'!$R370), 0, 1), 5, if(ISBLANK('2025'!$S370), 0, 1), 6, if(ISBLANK('2025'!$T370), 0, 1), 7, 0))), 1, "")</f>
        <v/>
      </c>
      <c r="AB372" s="1" t="str">
        <f>IF(AND(AND(AND(AB$4&gt;='2025'!$L370,AB$4&lt;='2025'!$M370), AB$4&lt;&gt;DATE(2025,7,4)), (SWITCH(weekday(AB$4), 1, 0, 2, if(ISBLANK('2025'!$P370), 0, 1), 3, if(ISBLANK('2025'!$Q370), 0, 1), 4, if(ISBLANK('2025'!$R370), 0, 1), 5, if(ISBLANK('2025'!$S370), 0, 1), 6, if(ISBLANK('2025'!$T370), 0, 1), 7, 0))), 1, "")</f>
        <v/>
      </c>
      <c r="AC372" s="1" t="str">
        <f>IF(AND(AND(AND(AC$4&gt;='2025'!$L370,AC$4&lt;='2025'!$M370), AC$4&lt;&gt;DATE(2025,7,4)), (SWITCH(weekday(AC$4), 1, 0, 2, if(ISBLANK('2025'!$P370), 0, 1), 3, if(ISBLANK('2025'!$Q370), 0, 1), 4, if(ISBLANK('2025'!$R370), 0, 1), 5, if(ISBLANK('2025'!$S370), 0, 1), 6, if(ISBLANK('2025'!$T370), 0, 1), 7, 0))), 1, "")</f>
        <v/>
      </c>
      <c r="AD372" s="1" t="str">
        <f>IF(AND(AND(AND(AD$4&gt;='2025'!$L370,AD$4&lt;='2025'!$M370), AD$4&lt;&gt;DATE(2025,7,4)), (SWITCH(weekday(AD$4), 1, 0, 2, if(ISBLANK('2025'!$P370), 0, 1), 3, if(ISBLANK('2025'!$Q370), 0, 1), 4, if(ISBLANK('2025'!$R370), 0, 1), 5, if(ISBLANK('2025'!$S370), 0, 1), 6, if(ISBLANK('2025'!$T370), 0, 1), 7, 0))), 1, "")</f>
        <v/>
      </c>
      <c r="AE372" s="1" t="str">
        <f>IF(AND(AND(AND(AE$4&gt;='2025'!$L370,AE$4&lt;='2025'!$M370), AE$4&lt;&gt;DATE(2025,7,4)), (SWITCH(weekday(AE$4), 1, 0, 2, if(ISBLANK('2025'!$P370), 0, 1), 3, if(ISBLANK('2025'!$Q370), 0, 1), 4, if(ISBLANK('2025'!$R370), 0, 1), 5, if(ISBLANK('2025'!$S370), 0, 1), 6, if(ISBLANK('2025'!$T370), 0, 1), 7, 0))), 1, "")</f>
        <v/>
      </c>
      <c r="AF372" s="1" t="str">
        <f>IF(AND(AND(AND(AF$4&gt;='2025'!$L370,AF$4&lt;='2025'!$M370), AF$4&lt;&gt;DATE(2025,7,4)), (SWITCH(weekday(AF$4), 1, 0, 2, if(ISBLANK('2025'!$P370), 0, 1), 3, if(ISBLANK('2025'!$Q370), 0, 1), 4, if(ISBLANK('2025'!$R370), 0, 1), 5, if(ISBLANK('2025'!$S370), 0, 1), 6, if(ISBLANK('2025'!$T370), 0, 1), 7, 0))), 1, "")</f>
        <v/>
      </c>
      <c r="AG372" s="1" t="str">
        <f>IF(AND(AND(AND(AG$4&gt;='2025'!$L370,AG$4&lt;='2025'!$M370), AG$4&lt;&gt;DATE(2025,7,4)), (SWITCH(weekday(AG$4), 1, 0, 2, if(ISBLANK('2025'!$P370), 0, 1), 3, if(ISBLANK('2025'!$Q370), 0, 1), 4, if(ISBLANK('2025'!$R370), 0, 1), 5, if(ISBLANK('2025'!$S370), 0, 1), 6, if(ISBLANK('2025'!$T370), 0, 1), 7, 0))), 1, "")</f>
        <v/>
      </c>
      <c r="AH372" s="1" t="str">
        <f>IF(AND(AND(AND(AH$4&gt;='2025'!$L370,AH$4&lt;='2025'!$M370), AH$4&lt;&gt;DATE(2025,7,4)), (SWITCH(weekday(AH$4), 1, 0, 2, if(ISBLANK('2025'!$P370), 0, 1), 3, if(ISBLANK('2025'!$Q370), 0, 1), 4, if(ISBLANK('2025'!$R370), 0, 1), 5, if(ISBLANK('2025'!$S370), 0, 1), 6, if(ISBLANK('2025'!$T370), 0, 1), 7, 0))), 1, "")</f>
        <v/>
      </c>
      <c r="AI372" s="1" t="str">
        <f>IF(AND(AND(AND(AI$4&gt;='2025'!$L370,AI$4&lt;='2025'!$M370), AI$4&lt;&gt;DATE(2025,7,4)), (SWITCH(weekday(AI$4), 1, 0, 2, if(ISBLANK('2025'!$P370), 0, 1), 3, if(ISBLANK('2025'!$Q370), 0, 1), 4, if(ISBLANK('2025'!$R370), 0, 1), 5, if(ISBLANK('2025'!$S370), 0, 1), 6, if(ISBLANK('2025'!$T370), 0, 1), 7, 0))), 1, "")</f>
        <v/>
      </c>
      <c r="AJ372" s="1" t="str">
        <f>IF(AND(AND(AND(AJ$4&gt;='2025'!$L370,AJ$4&lt;='2025'!$M370), AJ$4&lt;&gt;DATE(2025,7,4)), (SWITCH(weekday(AJ$4), 1, 0, 2, if(ISBLANK('2025'!$P370), 0, 1), 3, if(ISBLANK('2025'!$Q370), 0, 1), 4, if(ISBLANK('2025'!$R370), 0, 1), 5, if(ISBLANK('2025'!$S370), 0, 1), 6, if(ISBLANK('2025'!$T370), 0, 1), 7, 0))), 1, "")</f>
        <v/>
      </c>
      <c r="AK372" s="1" t="str">
        <f>IF(AND(AND(AND(AK$4&gt;='2025'!$L370,AK$4&lt;='2025'!$M370), AK$4&lt;&gt;DATE(2025,7,4)), (SWITCH(weekday(AK$4), 1, 0, 2, if(ISBLANK('2025'!$P370), 0, 1), 3, if(ISBLANK('2025'!$Q370), 0, 1), 4, if(ISBLANK('2025'!$R370), 0, 1), 5, if(ISBLANK('2025'!$S370), 0, 1), 6, if(ISBLANK('2025'!$T370), 0, 1), 7, 0))), 1, "")</f>
        <v/>
      </c>
      <c r="AL372" s="1" t="str">
        <f>IF(AND(AND(AND(AL$4&gt;='2025'!$L370,AL$4&lt;='2025'!$M370), AL$4&lt;&gt;DATE(2025,7,4)), (SWITCH(weekday(AL$4), 1, 0, 2, if(ISBLANK('2025'!$P370), 0, 1), 3, if(ISBLANK('2025'!$Q370), 0, 1), 4, if(ISBLANK('2025'!$R370), 0, 1), 5, if(ISBLANK('2025'!$S370), 0, 1), 6, if(ISBLANK('2025'!$T370), 0, 1), 7, 0))), 1, "")</f>
        <v/>
      </c>
      <c r="AM372" s="1" t="str">
        <f>IF(AND(AND(AND(AM$4&gt;='2025'!$L370,AM$4&lt;='2025'!$M370), AM$4&lt;&gt;DATE(2025,7,4)), (SWITCH(weekday(AM$4), 1, 0, 2, if(ISBLANK('2025'!$P370), 0, 1), 3, if(ISBLANK('2025'!$Q370), 0, 1), 4, if(ISBLANK('2025'!$R370), 0, 1), 5, if(ISBLANK('2025'!$S370), 0, 1), 6, if(ISBLANK('2025'!$T370), 0, 1), 7, 0))), 1, "")</f>
        <v/>
      </c>
      <c r="AN372" s="1" t="str">
        <f>IF(AND(AND(AND(AN$4&gt;='2025'!$L370,AN$4&lt;='2025'!$M370), AN$4&lt;&gt;DATE(2025,7,4)), (SWITCH(weekday(AN$4), 1, 0, 2, if(ISBLANK('2025'!$P370), 0, 1), 3, if(ISBLANK('2025'!$Q370), 0, 1), 4, if(ISBLANK('2025'!$R370), 0, 1), 5, if(ISBLANK('2025'!$S370), 0, 1), 6, if(ISBLANK('2025'!$T370), 0, 1), 7, 0))), 1, "")</f>
        <v/>
      </c>
      <c r="AO372" s="1" t="str">
        <f>IF(AND(AND(AND(AO$4&gt;='2025'!$L370,AO$4&lt;='2025'!$M370), AO$4&lt;&gt;DATE(2025,7,4)), (SWITCH(weekday(AO$4), 1, 0, 2, if(ISBLANK('2025'!$P370), 0, 1), 3, if(ISBLANK('2025'!$Q370), 0, 1), 4, if(ISBLANK('2025'!$R370), 0, 1), 5, if(ISBLANK('2025'!$S370), 0, 1), 6, if(ISBLANK('2025'!$T370), 0, 1), 7, 0))), 1, "")</f>
        <v/>
      </c>
      <c r="AP372" s="1" t="str">
        <f>IF(AND(AND(AND(AP$4&gt;='2025'!$L370,AP$4&lt;='2025'!$M370), AP$4&lt;&gt;DATE(2025,7,4)), (SWITCH(weekday(AP$4), 1, 0, 2, if(ISBLANK('2025'!$P370), 0, 1), 3, if(ISBLANK('2025'!$Q370), 0, 1), 4, if(ISBLANK('2025'!$R370), 0, 1), 5, if(ISBLANK('2025'!$S370), 0, 1), 6, if(ISBLANK('2025'!$T370), 0, 1), 7, 0))), 1, "")</f>
        <v/>
      </c>
      <c r="AQ372" s="1" t="str">
        <f>IF(AND(AND(AND(AQ$4&gt;='2025'!$L370,AQ$4&lt;='2025'!$M370), AQ$4&lt;&gt;DATE(2025,7,4)), (SWITCH(weekday(AQ$4), 1, 0, 2, if(ISBLANK('2025'!$P370), 0, 1), 3, if(ISBLANK('2025'!$Q370), 0, 1), 4, if(ISBLANK('2025'!$R370), 0, 1), 5, if(ISBLANK('2025'!$S370), 0, 1), 6, if(ISBLANK('2025'!$T370), 0, 1), 7, 0))), 1, "")</f>
        <v/>
      </c>
      <c r="AR372" s="1" t="str">
        <f>IF(AND(AND(AND(AR$4&gt;='2025'!$L370,AR$4&lt;='2025'!$M370), AR$4&lt;&gt;DATE(2025,7,4)), (SWITCH(weekday(AR$4), 1, 0, 2, if(ISBLANK('2025'!$P370), 0, 1), 3, if(ISBLANK('2025'!$Q370), 0, 1), 4, if(ISBLANK('2025'!$R370), 0, 1), 5, if(ISBLANK('2025'!$S370), 0, 1), 6, if(ISBLANK('2025'!$T370), 0, 1), 7, 0))), 1, "")</f>
        <v/>
      </c>
      <c r="AS372" s="1" t="str">
        <f>IF(AND(AND(AND(AS$4&gt;='2025'!$L370,AS$4&lt;='2025'!$M370), AS$4&lt;&gt;DATE(2025,7,4)), (SWITCH(weekday(AS$4), 1, 0, 2, if(ISBLANK('2025'!$P370), 0, 1), 3, if(ISBLANK('2025'!$Q370), 0, 1), 4, if(ISBLANK('2025'!$R370), 0, 1), 5, if(ISBLANK('2025'!$S370), 0, 1), 6, if(ISBLANK('2025'!$T370), 0, 1), 7, 0))), 1, "")</f>
        <v/>
      </c>
      <c r="AT372" s="1" t="str">
        <f>IF(AND(AND(AND(AT$4&gt;='2025'!$L370,AT$4&lt;='2025'!$M370), AT$4&lt;&gt;DATE(2025,7,4)), (SWITCH(weekday(AT$4), 1, 0, 2, if(ISBLANK('2025'!$P370), 0, 1), 3, if(ISBLANK('2025'!$Q370), 0, 1), 4, if(ISBLANK('2025'!$R370), 0, 1), 5, if(ISBLANK('2025'!$S370), 0, 1), 6, if(ISBLANK('2025'!$T370), 0, 1), 7, 0))), 1, "")</f>
        <v/>
      </c>
      <c r="AU372" s="1" t="str">
        <f>IF(AND(AND(AND(AU$4&gt;='2025'!$L370,AU$4&lt;='2025'!$M370), AU$4&lt;&gt;DATE(2025,7,4)), (SWITCH(weekday(AU$4), 1, 0, 2, if(ISBLANK('2025'!$P370), 0, 1), 3, if(ISBLANK('2025'!$Q370), 0, 1), 4, if(ISBLANK('2025'!$R370), 0, 1), 5, if(ISBLANK('2025'!$S370), 0, 1), 6, if(ISBLANK('2025'!$T370), 0, 1), 7, 0))), 1, "")</f>
        <v/>
      </c>
      <c r="AV372" s="1" t="str">
        <f>IF(AND(AND(AND(AV$4&gt;='2025'!$L370,AV$4&lt;='2025'!$M370), AV$4&lt;&gt;DATE(2025,7,4)), (SWITCH(weekday(AV$4), 1, 0, 2, if(ISBLANK('2025'!$P370), 0, 1), 3, if(ISBLANK('2025'!$Q370), 0, 1), 4, if(ISBLANK('2025'!$R370), 0, 1), 5, if(ISBLANK('2025'!$S370), 0, 1), 6, if(ISBLANK('2025'!$T370), 0, 1), 7, 0))), 1, "")</f>
        <v/>
      </c>
      <c r="AW372" s="1" t="str">
        <f>IF(AND(AND(AND(AW$4&gt;='2025'!$L370,AW$4&lt;='2025'!$M370), AW$4&lt;&gt;DATE(2025,7,4)), (SWITCH(weekday(AW$4), 1, 0, 2, if(ISBLANK('2025'!$P370), 0, 1), 3, if(ISBLANK('2025'!$Q370), 0, 1), 4, if(ISBLANK('2025'!$R370), 0, 1), 5, if(ISBLANK('2025'!$S370), 0, 1), 6, if(ISBLANK('2025'!$T370), 0, 1), 7, 0))), 1, "")</f>
        <v/>
      </c>
      <c r="AX372" s="1" t="str">
        <f>IF(AND(AND(AND(AX$4&gt;='2025'!$L370,AX$4&lt;='2025'!$M370), AX$4&lt;&gt;DATE(2025,7,4)), (SWITCH(weekday(AX$4), 1, 0, 2, if(ISBLANK('2025'!$P370), 0, 1), 3, if(ISBLANK('2025'!$Q370), 0, 1), 4, if(ISBLANK('2025'!$R370), 0, 1), 5, if(ISBLANK('2025'!$S370), 0, 1), 6, if(ISBLANK('2025'!$T370), 0, 1), 7, 0))), 1, "")</f>
        <v/>
      </c>
      <c r="AY372" s="1" t="str">
        <f>IF(AND(AND(AND(AY$4&gt;='2025'!$L370,AY$4&lt;='2025'!$M370), AY$4&lt;&gt;DATE(2025,7,4)), (SWITCH(weekday(AY$4), 1, 0, 2, if(ISBLANK('2025'!$P370), 0, 1), 3, if(ISBLANK('2025'!$Q370), 0, 1), 4, if(ISBLANK('2025'!$R370), 0, 1), 5, if(ISBLANK('2025'!$S370), 0, 1), 6, if(ISBLANK('2025'!$T370), 0, 1), 7, 0))), 1, "")</f>
        <v/>
      </c>
      <c r="AZ372" s="1" t="str">
        <f>IF(AND(AND(AND(AZ$4&gt;='2025'!$L370,AZ$4&lt;='2025'!$M370), AZ$4&lt;&gt;DATE(2025,7,4)), (SWITCH(weekday(AZ$4), 1, 0, 2, if(ISBLANK('2025'!$P370), 0, 1), 3, if(ISBLANK('2025'!$Q370), 0, 1), 4, if(ISBLANK('2025'!$R370), 0, 1), 5, if(ISBLANK('2025'!$S370), 0, 1), 6, if(ISBLANK('2025'!$T370), 0, 1), 7, 0))), 1, "")</f>
        <v/>
      </c>
      <c r="BA372" s="1" t="str">
        <f>IF(AND(AND(AND(BA$4&gt;='2025'!$L370,BA$4&lt;='2025'!$M370), BA$4&lt;&gt;DATE(2025,7,4)), (SWITCH(weekday(BA$4), 1, 0, 2, if(ISBLANK('2025'!$P370), 0, 1), 3, if(ISBLANK('2025'!$Q370), 0, 1), 4, if(ISBLANK('2025'!$R370), 0, 1), 5, if(ISBLANK('2025'!$S370), 0, 1), 6, if(ISBLANK('2025'!$T370), 0, 1), 7, 0))), 1, "")</f>
        <v/>
      </c>
      <c r="BB372" s="1" t="str">
        <f>IF(AND(AND(AND(BB$4&gt;='2025'!$L370,BB$4&lt;='2025'!$M370), BB$4&lt;&gt;DATE(2025,7,4)), (SWITCH(weekday(BB$4), 1, 0, 2, if(ISBLANK('2025'!$P370), 0, 1), 3, if(ISBLANK('2025'!$Q370), 0, 1), 4, if(ISBLANK('2025'!$R370), 0, 1), 5, if(ISBLANK('2025'!$S370), 0, 1), 6, if(ISBLANK('2025'!$T370), 0, 1), 7, 0))), 1, "")</f>
        <v/>
      </c>
      <c r="BC372" s="1" t="str">
        <f>IF(AND(AND(AND(BC$4&gt;='2025'!$L370,BC$4&lt;='2025'!$M370), BC$4&lt;&gt;DATE(2025,7,4)), (SWITCH(weekday(BC$4), 1, 0, 2, if(ISBLANK('2025'!$P370), 0, 1), 3, if(ISBLANK('2025'!$Q370), 0, 1), 4, if(ISBLANK('2025'!$R370), 0, 1), 5, if(ISBLANK('2025'!$S370), 0, 1), 6, if(ISBLANK('2025'!$T370), 0, 1), 7, 0))), 1, "")</f>
        <v/>
      </c>
      <c r="BD372" s="1" t="str">
        <f>IF(AND(AND(AND(BD$4&gt;='2025'!$L370,BD$4&lt;='2025'!$M370), BD$4&lt;&gt;DATE(2025,7,4)), (SWITCH(weekday(BD$4), 1, 0, 2, if(ISBLANK('2025'!$P370), 0, 1), 3, if(ISBLANK('2025'!$Q370), 0, 1), 4, if(ISBLANK('2025'!$R370), 0, 1), 5, if(ISBLANK('2025'!$S370), 0, 1), 6, if(ISBLANK('2025'!$T370), 0, 1), 7, 0))), 1, "")</f>
        <v/>
      </c>
      <c r="BE372" s="1" t="str">
        <f>IF(AND(AND(AND(BE$4&gt;='2025'!$L370,BE$4&lt;='2025'!$M370), BE$4&lt;&gt;DATE(2025,7,4)), (SWITCH(weekday(BE$4), 1, 0, 2, if(ISBLANK('2025'!$P370), 0, 1), 3, if(ISBLANK('2025'!$Q370), 0, 1), 4, if(ISBLANK('2025'!$R370), 0, 1), 5, if(ISBLANK('2025'!$S370), 0, 1), 6, if(ISBLANK('2025'!$T370), 0, 1), 7, 0))), 1, "")</f>
        <v/>
      </c>
      <c r="BF372" s="1" t="str">
        <f>IF(AND(AND(AND(BF$4&gt;='2025'!$L370,BF$4&lt;='2025'!$M370), BF$4&lt;&gt;DATE(2025,7,4)), (SWITCH(weekday(BF$4), 1, 0, 2, if(ISBLANK('2025'!$P370), 0, 1), 3, if(ISBLANK('2025'!$Q370), 0, 1), 4, if(ISBLANK('2025'!$R370), 0, 1), 5, if(ISBLANK('2025'!$S370), 0, 1), 6, if(ISBLANK('2025'!$T370), 0, 1), 7, 0))), 1, "")</f>
        <v/>
      </c>
      <c r="BG372" s="1"/>
      <c r="BH372" s="1"/>
      <c r="BI372" s="1"/>
      <c r="BJ372" s="1"/>
      <c r="BK372" s="1"/>
      <c r="BL372" s="1"/>
    </row>
    <row r="373">
      <c r="A373" s="1">
        <f t="shared" si="3"/>
        <v>373</v>
      </c>
      <c r="B373" s="1" t="str">
        <f>'2025'!D337</f>
        <v>, </v>
      </c>
      <c r="C373" s="1" t="str">
        <f>'2025'!H337</f>
        <v/>
      </c>
      <c r="D373" s="1" t="str">
        <f>IF(AND(AND(AND(D$4&gt;='2025'!$L371,D$4&lt;='2025'!$M371), D$4&lt;&gt;DATE(2025,7,4)), (SWITCH(weekday(D$4), 1, 0, 2, if(ISBLANK('2025'!$P371), 0, 1), 3, if(ISBLANK('2025'!$Q371), 0, 1), 4, if(ISBLANK('2025'!$R371), 0, 1), 5, if(ISBLANK('2025'!$S371), 0, 1), 6, if(ISBLANK('2025'!$T371), 0, 1), 7, 0))), 1, "")</f>
        <v/>
      </c>
      <c r="E373" s="1" t="str">
        <f>IF(AND(AND(AND(E$4&gt;='2025'!$L371,E$4&lt;='2025'!$M371), E$4&lt;&gt;DATE(2025,7,4)), (SWITCH(weekday(E$4), 1, 0, 2, if(ISBLANK('2025'!$P371), 0, 1), 3, if(ISBLANK('2025'!$Q371), 0, 1), 4, if(ISBLANK('2025'!$R371), 0, 1), 5, if(ISBLANK('2025'!$S371), 0, 1), 6, if(ISBLANK('2025'!$T371), 0, 1), 7, 0))), 1, "")</f>
        <v/>
      </c>
      <c r="F373" s="1" t="str">
        <f>IF(AND(AND(AND(F$4&gt;='2025'!$L371,F$4&lt;='2025'!$M371), F$4&lt;&gt;DATE(2025,7,4)), (SWITCH(weekday(F$4), 1, 0, 2, if(ISBLANK('2025'!$P371), 0, 1), 3, if(ISBLANK('2025'!$Q371), 0, 1), 4, if(ISBLANK('2025'!$R371), 0, 1), 5, if(ISBLANK('2025'!$S371), 0, 1), 6, if(ISBLANK('2025'!$T371), 0, 1), 7, 0))), 1, "")</f>
        <v/>
      </c>
      <c r="G373" s="1" t="str">
        <f>IF(AND(AND(AND(G$4&gt;='2025'!$L371,G$4&lt;='2025'!$M371), G$4&lt;&gt;DATE(2025,7,4)), (SWITCH(weekday(G$4), 1, 0, 2, if(ISBLANK('2025'!$P371), 0, 1), 3, if(ISBLANK('2025'!$Q371), 0, 1), 4, if(ISBLANK('2025'!$R371), 0, 1), 5, if(ISBLANK('2025'!$S371), 0, 1), 6, if(ISBLANK('2025'!$T371), 0, 1), 7, 0))), 1, "")</f>
        <v/>
      </c>
      <c r="H373" s="1" t="str">
        <f>IF(AND(AND(AND(H$4&gt;='2025'!$L371,H$4&lt;='2025'!$M371), H$4&lt;&gt;DATE(2025,7,4)), (SWITCH(weekday(H$4), 1, 0, 2, if(ISBLANK('2025'!$P371), 0, 1), 3, if(ISBLANK('2025'!$Q371), 0, 1), 4, if(ISBLANK('2025'!$R371), 0, 1), 5, if(ISBLANK('2025'!$S371), 0, 1), 6, if(ISBLANK('2025'!$T371), 0, 1), 7, 0))), 1, "")</f>
        <v/>
      </c>
      <c r="I373" s="1" t="str">
        <f>IF(AND(AND(AND(I$4&gt;='2025'!$L371,I$4&lt;='2025'!$M371), I$4&lt;&gt;DATE(2025,7,4)), (SWITCH(weekday(I$4), 1, 0, 2, if(ISBLANK('2025'!$P371), 0, 1), 3, if(ISBLANK('2025'!$Q371), 0, 1), 4, if(ISBLANK('2025'!$R371), 0, 1), 5, if(ISBLANK('2025'!$S371), 0, 1), 6, if(ISBLANK('2025'!$T371), 0, 1), 7, 0))), 1, "")</f>
        <v/>
      </c>
      <c r="J373" s="1" t="str">
        <f>IF(AND(AND(AND(J$4&gt;='2025'!$L371,J$4&lt;='2025'!$M371), J$4&lt;&gt;DATE(2025,7,4)), (SWITCH(weekday(J$4), 1, 0, 2, if(ISBLANK('2025'!$P371), 0, 1), 3, if(ISBLANK('2025'!$Q371), 0, 1), 4, if(ISBLANK('2025'!$R371), 0, 1), 5, if(ISBLANK('2025'!$S371), 0, 1), 6, if(ISBLANK('2025'!$T371), 0, 1), 7, 0))), 1, "")</f>
        <v/>
      </c>
      <c r="K373" s="1" t="str">
        <f>IF(AND(AND(AND(K$4&gt;='2025'!$L371,K$4&lt;='2025'!$M371), K$4&lt;&gt;DATE(2025,7,4)), (SWITCH(weekday(K$4), 1, 0, 2, if(ISBLANK('2025'!$P371), 0, 1), 3, if(ISBLANK('2025'!$Q371), 0, 1), 4, if(ISBLANK('2025'!$R371), 0, 1), 5, if(ISBLANK('2025'!$S371), 0, 1), 6, if(ISBLANK('2025'!$T371), 0, 1), 7, 0))), 1, "")</f>
        <v/>
      </c>
      <c r="L373" s="1" t="str">
        <f>IF(AND(AND(AND(L$4&gt;='2025'!$L371,L$4&lt;='2025'!$M371), L$4&lt;&gt;DATE(2025,7,4)), (SWITCH(weekday(L$4), 1, 0, 2, if(ISBLANK('2025'!$P371), 0, 1), 3, if(ISBLANK('2025'!$Q371), 0, 1), 4, if(ISBLANK('2025'!$R371), 0, 1), 5, if(ISBLANK('2025'!$S371), 0, 1), 6, if(ISBLANK('2025'!$T371), 0, 1), 7, 0))), 1, "")</f>
        <v/>
      </c>
      <c r="M373" s="1" t="str">
        <f>IF(AND(AND(AND(M$4&gt;='2025'!$L371,M$4&lt;='2025'!$M371), M$4&lt;&gt;DATE(2025,7,4)), (SWITCH(weekday(M$4), 1, 0, 2, if(ISBLANK('2025'!$P371), 0, 1), 3, if(ISBLANK('2025'!$Q371), 0, 1), 4, if(ISBLANK('2025'!$R371), 0, 1), 5, if(ISBLANK('2025'!$S371), 0, 1), 6, if(ISBLANK('2025'!$T371), 0, 1), 7, 0))), 1, "")</f>
        <v/>
      </c>
      <c r="N373" s="1" t="str">
        <f>IF(AND(AND(AND(N$4&gt;='2025'!$L371,N$4&lt;='2025'!$M371), N$4&lt;&gt;DATE(2025,7,4)), (SWITCH(weekday(N$4), 1, 0, 2, if(ISBLANK('2025'!$P371), 0, 1), 3, if(ISBLANK('2025'!$Q371), 0, 1), 4, if(ISBLANK('2025'!$R371), 0, 1), 5, if(ISBLANK('2025'!$S371), 0, 1), 6, if(ISBLANK('2025'!$T371), 0, 1), 7, 0))), 1, "")</f>
        <v/>
      </c>
      <c r="O373" s="1" t="str">
        <f>IF(AND(AND(AND(O$4&gt;='2025'!$L371,O$4&lt;='2025'!$M371), O$4&lt;&gt;DATE(2025,7,4)), (SWITCH(weekday(O$4), 1, 0, 2, if(ISBLANK('2025'!$P371), 0, 1), 3, if(ISBLANK('2025'!$Q371), 0, 1), 4, if(ISBLANK('2025'!$R371), 0, 1), 5, if(ISBLANK('2025'!$S371), 0, 1), 6, if(ISBLANK('2025'!$T371), 0, 1), 7, 0))), 1, "")</f>
        <v/>
      </c>
      <c r="P373" s="1" t="str">
        <f>IF(AND(AND(AND(P$4&gt;='2025'!$L371,P$4&lt;='2025'!$M371), P$4&lt;&gt;DATE(2025,7,4)), (SWITCH(weekday(P$4), 1, 0, 2, if(ISBLANK('2025'!$P371), 0, 1), 3, if(ISBLANK('2025'!$Q371), 0, 1), 4, if(ISBLANK('2025'!$R371), 0, 1), 5, if(ISBLANK('2025'!$S371), 0, 1), 6, if(ISBLANK('2025'!$T371), 0, 1), 7, 0))), 1, "")</f>
        <v/>
      </c>
      <c r="Q373" s="1" t="str">
        <f>IF(AND(AND(AND(Q$4&gt;='2025'!$L371,Q$4&lt;='2025'!$M371), Q$4&lt;&gt;DATE(2025,7,4)), (SWITCH(weekday(Q$4), 1, 0, 2, if(ISBLANK('2025'!$P371), 0, 1), 3, if(ISBLANK('2025'!$Q371), 0, 1), 4, if(ISBLANK('2025'!$R371), 0, 1), 5, if(ISBLANK('2025'!$S371), 0, 1), 6, if(ISBLANK('2025'!$T371), 0, 1), 7, 0))), 1, "")</f>
        <v/>
      </c>
      <c r="R373" s="1" t="str">
        <f>IF(AND(AND(AND(R$4&gt;='2025'!$L371,R$4&lt;='2025'!$M371), R$4&lt;&gt;DATE(2025,7,4)), (SWITCH(weekday(R$4), 1, 0, 2, if(ISBLANK('2025'!$P371), 0, 1), 3, if(ISBLANK('2025'!$Q371), 0, 1), 4, if(ISBLANK('2025'!$R371), 0, 1), 5, if(ISBLANK('2025'!$S371), 0, 1), 6, if(ISBLANK('2025'!$T371), 0, 1), 7, 0))), 1, "")</f>
        <v/>
      </c>
      <c r="S373" s="1" t="str">
        <f>IF(AND(AND(AND(S$4&gt;='2025'!$L371,S$4&lt;='2025'!$M371), S$4&lt;&gt;DATE(2025,7,4)), (SWITCH(weekday(S$4), 1, 0, 2, if(ISBLANK('2025'!$P371), 0, 1), 3, if(ISBLANK('2025'!$Q371), 0, 1), 4, if(ISBLANK('2025'!$R371), 0, 1), 5, if(ISBLANK('2025'!$S371), 0, 1), 6, if(ISBLANK('2025'!$T371), 0, 1), 7, 0))), 1, "")</f>
        <v/>
      </c>
      <c r="T373" s="1" t="str">
        <f>IF(AND(AND(AND(T$4&gt;='2025'!$L371,T$4&lt;='2025'!$M371), T$4&lt;&gt;DATE(2025,7,4)), (SWITCH(weekday(T$4), 1, 0, 2, if(ISBLANK('2025'!$P371), 0, 1), 3, if(ISBLANK('2025'!$Q371), 0, 1), 4, if(ISBLANK('2025'!$R371), 0, 1), 5, if(ISBLANK('2025'!$S371), 0, 1), 6, if(ISBLANK('2025'!$T371), 0, 1), 7, 0))), 1, "")</f>
        <v/>
      </c>
      <c r="U373" s="1" t="str">
        <f>IF(AND(AND(AND(U$4&gt;='2025'!$L371,U$4&lt;='2025'!$M371), U$4&lt;&gt;DATE(2025,7,4)), (SWITCH(weekday(U$4), 1, 0, 2, if(ISBLANK('2025'!$P371), 0, 1), 3, if(ISBLANK('2025'!$Q371), 0, 1), 4, if(ISBLANK('2025'!$R371), 0, 1), 5, if(ISBLANK('2025'!$S371), 0, 1), 6, if(ISBLANK('2025'!$T371), 0, 1), 7, 0))), 1, "")</f>
        <v/>
      </c>
      <c r="V373" s="1" t="str">
        <f>IF(AND(AND(AND(V$4&gt;='2025'!$L371,V$4&lt;='2025'!$M371), V$4&lt;&gt;DATE(2025,7,4)), (SWITCH(weekday(V$4), 1, 0, 2, if(ISBLANK('2025'!$P371), 0, 1), 3, if(ISBLANK('2025'!$Q371), 0, 1), 4, if(ISBLANK('2025'!$R371), 0, 1), 5, if(ISBLANK('2025'!$S371), 0, 1), 6, if(ISBLANK('2025'!$T371), 0, 1), 7, 0))), 1, "")</f>
        <v/>
      </c>
      <c r="W373" s="1" t="str">
        <f>IF(AND(AND(AND(W$4&gt;='2025'!$L371,W$4&lt;='2025'!$M371), W$4&lt;&gt;DATE(2025,7,4)), (SWITCH(weekday(W$4), 1, 0, 2, if(ISBLANK('2025'!$P371), 0, 1), 3, if(ISBLANK('2025'!$Q371), 0, 1), 4, if(ISBLANK('2025'!$R371), 0, 1), 5, if(ISBLANK('2025'!$S371), 0, 1), 6, if(ISBLANK('2025'!$T371), 0, 1), 7, 0))), 1, "")</f>
        <v/>
      </c>
      <c r="X373" s="1" t="str">
        <f>IF(AND(AND(AND(X$4&gt;='2025'!$L371,X$4&lt;='2025'!$M371), X$4&lt;&gt;DATE(2025,7,4)), (SWITCH(weekday(X$4), 1, 0, 2, if(ISBLANK('2025'!$P371), 0, 1), 3, if(ISBLANK('2025'!$Q371), 0, 1), 4, if(ISBLANK('2025'!$R371), 0, 1), 5, if(ISBLANK('2025'!$S371), 0, 1), 6, if(ISBLANK('2025'!$T371), 0, 1), 7, 0))), 1, "")</f>
        <v/>
      </c>
      <c r="Y373" s="1" t="str">
        <f>IF(AND(AND(AND(Y$4&gt;='2025'!$L371,Y$4&lt;='2025'!$M371), Y$4&lt;&gt;DATE(2025,7,4)), (SWITCH(weekday(Y$4), 1, 0, 2, if(ISBLANK('2025'!$P371), 0, 1), 3, if(ISBLANK('2025'!$Q371), 0, 1), 4, if(ISBLANK('2025'!$R371), 0, 1), 5, if(ISBLANK('2025'!$S371), 0, 1), 6, if(ISBLANK('2025'!$T371), 0, 1), 7, 0))), 1, "")</f>
        <v/>
      </c>
      <c r="Z373" s="1" t="str">
        <f>IF(AND(AND(AND(Z$4&gt;='2025'!$L371,Z$4&lt;='2025'!$M371), Z$4&lt;&gt;DATE(2025,7,4)), (SWITCH(weekday(Z$4), 1, 0, 2, if(ISBLANK('2025'!$P371), 0, 1), 3, if(ISBLANK('2025'!$Q371), 0, 1), 4, if(ISBLANK('2025'!$R371), 0, 1), 5, if(ISBLANK('2025'!$S371), 0, 1), 6, if(ISBLANK('2025'!$T371), 0, 1), 7, 0))), 1, "")</f>
        <v/>
      </c>
      <c r="AA373" s="1" t="str">
        <f>IF(AND(AND(AND(AA$4&gt;='2025'!$L371,AA$4&lt;='2025'!$M371), AA$4&lt;&gt;DATE(2025,7,4)), (SWITCH(weekday(AA$4), 1, 0, 2, if(ISBLANK('2025'!$P371), 0, 1), 3, if(ISBLANK('2025'!$Q371), 0, 1), 4, if(ISBLANK('2025'!$R371), 0, 1), 5, if(ISBLANK('2025'!$S371), 0, 1), 6, if(ISBLANK('2025'!$T371), 0, 1), 7, 0))), 1, "")</f>
        <v/>
      </c>
      <c r="AB373" s="1" t="str">
        <f>IF(AND(AND(AND(AB$4&gt;='2025'!$L371,AB$4&lt;='2025'!$M371), AB$4&lt;&gt;DATE(2025,7,4)), (SWITCH(weekday(AB$4), 1, 0, 2, if(ISBLANK('2025'!$P371), 0, 1), 3, if(ISBLANK('2025'!$Q371), 0, 1), 4, if(ISBLANK('2025'!$R371), 0, 1), 5, if(ISBLANK('2025'!$S371), 0, 1), 6, if(ISBLANK('2025'!$T371), 0, 1), 7, 0))), 1, "")</f>
        <v/>
      </c>
      <c r="AC373" s="1" t="str">
        <f>IF(AND(AND(AND(AC$4&gt;='2025'!$L371,AC$4&lt;='2025'!$M371), AC$4&lt;&gt;DATE(2025,7,4)), (SWITCH(weekday(AC$4), 1, 0, 2, if(ISBLANK('2025'!$P371), 0, 1), 3, if(ISBLANK('2025'!$Q371), 0, 1), 4, if(ISBLANK('2025'!$R371), 0, 1), 5, if(ISBLANK('2025'!$S371), 0, 1), 6, if(ISBLANK('2025'!$T371), 0, 1), 7, 0))), 1, "")</f>
        <v/>
      </c>
      <c r="AD373" s="1" t="str">
        <f>IF(AND(AND(AND(AD$4&gt;='2025'!$L371,AD$4&lt;='2025'!$M371), AD$4&lt;&gt;DATE(2025,7,4)), (SWITCH(weekday(AD$4), 1, 0, 2, if(ISBLANK('2025'!$P371), 0, 1), 3, if(ISBLANK('2025'!$Q371), 0, 1), 4, if(ISBLANK('2025'!$R371), 0, 1), 5, if(ISBLANK('2025'!$S371), 0, 1), 6, if(ISBLANK('2025'!$T371), 0, 1), 7, 0))), 1, "")</f>
        <v/>
      </c>
      <c r="AE373" s="1" t="str">
        <f>IF(AND(AND(AND(AE$4&gt;='2025'!$L371,AE$4&lt;='2025'!$M371), AE$4&lt;&gt;DATE(2025,7,4)), (SWITCH(weekday(AE$4), 1, 0, 2, if(ISBLANK('2025'!$P371), 0, 1), 3, if(ISBLANK('2025'!$Q371), 0, 1), 4, if(ISBLANK('2025'!$R371), 0, 1), 5, if(ISBLANK('2025'!$S371), 0, 1), 6, if(ISBLANK('2025'!$T371), 0, 1), 7, 0))), 1, "")</f>
        <v/>
      </c>
      <c r="AF373" s="1" t="str">
        <f>IF(AND(AND(AND(AF$4&gt;='2025'!$L371,AF$4&lt;='2025'!$M371), AF$4&lt;&gt;DATE(2025,7,4)), (SWITCH(weekday(AF$4), 1, 0, 2, if(ISBLANK('2025'!$P371), 0, 1), 3, if(ISBLANK('2025'!$Q371), 0, 1), 4, if(ISBLANK('2025'!$R371), 0, 1), 5, if(ISBLANK('2025'!$S371), 0, 1), 6, if(ISBLANK('2025'!$T371), 0, 1), 7, 0))), 1, "")</f>
        <v/>
      </c>
      <c r="AG373" s="1" t="str">
        <f>IF(AND(AND(AND(AG$4&gt;='2025'!$L371,AG$4&lt;='2025'!$M371), AG$4&lt;&gt;DATE(2025,7,4)), (SWITCH(weekday(AG$4), 1, 0, 2, if(ISBLANK('2025'!$P371), 0, 1), 3, if(ISBLANK('2025'!$Q371), 0, 1), 4, if(ISBLANK('2025'!$R371), 0, 1), 5, if(ISBLANK('2025'!$S371), 0, 1), 6, if(ISBLANK('2025'!$T371), 0, 1), 7, 0))), 1, "")</f>
        <v/>
      </c>
      <c r="AH373" s="1" t="str">
        <f>IF(AND(AND(AND(AH$4&gt;='2025'!$L371,AH$4&lt;='2025'!$M371), AH$4&lt;&gt;DATE(2025,7,4)), (SWITCH(weekday(AH$4), 1, 0, 2, if(ISBLANK('2025'!$P371), 0, 1), 3, if(ISBLANK('2025'!$Q371), 0, 1), 4, if(ISBLANK('2025'!$R371), 0, 1), 5, if(ISBLANK('2025'!$S371), 0, 1), 6, if(ISBLANK('2025'!$T371), 0, 1), 7, 0))), 1, "")</f>
        <v/>
      </c>
      <c r="AI373" s="1" t="str">
        <f>IF(AND(AND(AND(AI$4&gt;='2025'!$L371,AI$4&lt;='2025'!$M371), AI$4&lt;&gt;DATE(2025,7,4)), (SWITCH(weekday(AI$4), 1, 0, 2, if(ISBLANK('2025'!$P371), 0, 1), 3, if(ISBLANK('2025'!$Q371), 0, 1), 4, if(ISBLANK('2025'!$R371), 0, 1), 5, if(ISBLANK('2025'!$S371), 0, 1), 6, if(ISBLANK('2025'!$T371), 0, 1), 7, 0))), 1, "")</f>
        <v/>
      </c>
      <c r="AJ373" s="1" t="str">
        <f>IF(AND(AND(AND(AJ$4&gt;='2025'!$L371,AJ$4&lt;='2025'!$M371), AJ$4&lt;&gt;DATE(2025,7,4)), (SWITCH(weekday(AJ$4), 1, 0, 2, if(ISBLANK('2025'!$P371), 0, 1), 3, if(ISBLANK('2025'!$Q371), 0, 1), 4, if(ISBLANK('2025'!$R371), 0, 1), 5, if(ISBLANK('2025'!$S371), 0, 1), 6, if(ISBLANK('2025'!$T371), 0, 1), 7, 0))), 1, "")</f>
        <v/>
      </c>
      <c r="AK373" s="1" t="str">
        <f>IF(AND(AND(AND(AK$4&gt;='2025'!$L371,AK$4&lt;='2025'!$M371), AK$4&lt;&gt;DATE(2025,7,4)), (SWITCH(weekday(AK$4), 1, 0, 2, if(ISBLANK('2025'!$P371), 0, 1), 3, if(ISBLANK('2025'!$Q371), 0, 1), 4, if(ISBLANK('2025'!$R371), 0, 1), 5, if(ISBLANK('2025'!$S371), 0, 1), 6, if(ISBLANK('2025'!$T371), 0, 1), 7, 0))), 1, "")</f>
        <v/>
      </c>
      <c r="AL373" s="1" t="str">
        <f>IF(AND(AND(AND(AL$4&gt;='2025'!$L371,AL$4&lt;='2025'!$M371), AL$4&lt;&gt;DATE(2025,7,4)), (SWITCH(weekday(AL$4), 1, 0, 2, if(ISBLANK('2025'!$P371), 0, 1), 3, if(ISBLANK('2025'!$Q371), 0, 1), 4, if(ISBLANK('2025'!$R371), 0, 1), 5, if(ISBLANK('2025'!$S371), 0, 1), 6, if(ISBLANK('2025'!$T371), 0, 1), 7, 0))), 1, "")</f>
        <v/>
      </c>
      <c r="AM373" s="1" t="str">
        <f>IF(AND(AND(AND(AM$4&gt;='2025'!$L371,AM$4&lt;='2025'!$M371), AM$4&lt;&gt;DATE(2025,7,4)), (SWITCH(weekday(AM$4), 1, 0, 2, if(ISBLANK('2025'!$P371), 0, 1), 3, if(ISBLANK('2025'!$Q371), 0, 1), 4, if(ISBLANK('2025'!$R371), 0, 1), 5, if(ISBLANK('2025'!$S371), 0, 1), 6, if(ISBLANK('2025'!$T371), 0, 1), 7, 0))), 1, "")</f>
        <v/>
      </c>
      <c r="AN373" s="1" t="str">
        <f>IF(AND(AND(AND(AN$4&gt;='2025'!$L371,AN$4&lt;='2025'!$M371), AN$4&lt;&gt;DATE(2025,7,4)), (SWITCH(weekday(AN$4), 1, 0, 2, if(ISBLANK('2025'!$P371), 0, 1), 3, if(ISBLANK('2025'!$Q371), 0, 1), 4, if(ISBLANK('2025'!$R371), 0, 1), 5, if(ISBLANK('2025'!$S371), 0, 1), 6, if(ISBLANK('2025'!$T371), 0, 1), 7, 0))), 1, "")</f>
        <v/>
      </c>
      <c r="AO373" s="1" t="str">
        <f>IF(AND(AND(AND(AO$4&gt;='2025'!$L371,AO$4&lt;='2025'!$M371), AO$4&lt;&gt;DATE(2025,7,4)), (SWITCH(weekday(AO$4), 1, 0, 2, if(ISBLANK('2025'!$P371), 0, 1), 3, if(ISBLANK('2025'!$Q371), 0, 1), 4, if(ISBLANK('2025'!$R371), 0, 1), 5, if(ISBLANK('2025'!$S371), 0, 1), 6, if(ISBLANK('2025'!$T371), 0, 1), 7, 0))), 1, "")</f>
        <v/>
      </c>
      <c r="AP373" s="1" t="str">
        <f>IF(AND(AND(AND(AP$4&gt;='2025'!$L371,AP$4&lt;='2025'!$M371), AP$4&lt;&gt;DATE(2025,7,4)), (SWITCH(weekday(AP$4), 1, 0, 2, if(ISBLANK('2025'!$P371), 0, 1), 3, if(ISBLANK('2025'!$Q371), 0, 1), 4, if(ISBLANK('2025'!$R371), 0, 1), 5, if(ISBLANK('2025'!$S371), 0, 1), 6, if(ISBLANK('2025'!$T371), 0, 1), 7, 0))), 1, "")</f>
        <v/>
      </c>
      <c r="AQ373" s="1" t="str">
        <f>IF(AND(AND(AND(AQ$4&gt;='2025'!$L371,AQ$4&lt;='2025'!$M371), AQ$4&lt;&gt;DATE(2025,7,4)), (SWITCH(weekday(AQ$4), 1, 0, 2, if(ISBLANK('2025'!$P371), 0, 1), 3, if(ISBLANK('2025'!$Q371), 0, 1), 4, if(ISBLANK('2025'!$R371), 0, 1), 5, if(ISBLANK('2025'!$S371), 0, 1), 6, if(ISBLANK('2025'!$T371), 0, 1), 7, 0))), 1, "")</f>
        <v/>
      </c>
      <c r="AR373" s="1" t="str">
        <f>IF(AND(AND(AND(AR$4&gt;='2025'!$L371,AR$4&lt;='2025'!$M371), AR$4&lt;&gt;DATE(2025,7,4)), (SWITCH(weekday(AR$4), 1, 0, 2, if(ISBLANK('2025'!$P371), 0, 1), 3, if(ISBLANK('2025'!$Q371), 0, 1), 4, if(ISBLANK('2025'!$R371), 0, 1), 5, if(ISBLANK('2025'!$S371), 0, 1), 6, if(ISBLANK('2025'!$T371), 0, 1), 7, 0))), 1, "")</f>
        <v/>
      </c>
      <c r="AS373" s="1" t="str">
        <f>IF(AND(AND(AND(AS$4&gt;='2025'!$L371,AS$4&lt;='2025'!$M371), AS$4&lt;&gt;DATE(2025,7,4)), (SWITCH(weekday(AS$4), 1, 0, 2, if(ISBLANK('2025'!$P371), 0, 1), 3, if(ISBLANK('2025'!$Q371), 0, 1), 4, if(ISBLANK('2025'!$R371), 0, 1), 5, if(ISBLANK('2025'!$S371), 0, 1), 6, if(ISBLANK('2025'!$T371), 0, 1), 7, 0))), 1, "")</f>
        <v/>
      </c>
      <c r="AT373" s="1" t="str">
        <f>IF(AND(AND(AND(AT$4&gt;='2025'!$L371,AT$4&lt;='2025'!$M371), AT$4&lt;&gt;DATE(2025,7,4)), (SWITCH(weekday(AT$4), 1, 0, 2, if(ISBLANK('2025'!$P371), 0, 1), 3, if(ISBLANK('2025'!$Q371), 0, 1), 4, if(ISBLANK('2025'!$R371), 0, 1), 5, if(ISBLANK('2025'!$S371), 0, 1), 6, if(ISBLANK('2025'!$T371), 0, 1), 7, 0))), 1, "")</f>
        <v/>
      </c>
      <c r="AU373" s="1" t="str">
        <f>IF(AND(AND(AND(AU$4&gt;='2025'!$L371,AU$4&lt;='2025'!$M371), AU$4&lt;&gt;DATE(2025,7,4)), (SWITCH(weekday(AU$4), 1, 0, 2, if(ISBLANK('2025'!$P371), 0, 1), 3, if(ISBLANK('2025'!$Q371), 0, 1), 4, if(ISBLANK('2025'!$R371), 0, 1), 5, if(ISBLANK('2025'!$S371), 0, 1), 6, if(ISBLANK('2025'!$T371), 0, 1), 7, 0))), 1, "")</f>
        <v/>
      </c>
      <c r="AV373" s="1" t="str">
        <f>IF(AND(AND(AND(AV$4&gt;='2025'!$L371,AV$4&lt;='2025'!$M371), AV$4&lt;&gt;DATE(2025,7,4)), (SWITCH(weekday(AV$4), 1, 0, 2, if(ISBLANK('2025'!$P371), 0, 1), 3, if(ISBLANK('2025'!$Q371), 0, 1), 4, if(ISBLANK('2025'!$R371), 0, 1), 5, if(ISBLANK('2025'!$S371), 0, 1), 6, if(ISBLANK('2025'!$T371), 0, 1), 7, 0))), 1, "")</f>
        <v/>
      </c>
      <c r="AW373" s="1" t="str">
        <f>IF(AND(AND(AND(AW$4&gt;='2025'!$L371,AW$4&lt;='2025'!$M371), AW$4&lt;&gt;DATE(2025,7,4)), (SWITCH(weekday(AW$4), 1, 0, 2, if(ISBLANK('2025'!$P371), 0, 1), 3, if(ISBLANK('2025'!$Q371), 0, 1), 4, if(ISBLANK('2025'!$R371), 0, 1), 5, if(ISBLANK('2025'!$S371), 0, 1), 6, if(ISBLANK('2025'!$T371), 0, 1), 7, 0))), 1, "")</f>
        <v/>
      </c>
      <c r="AX373" s="1" t="str">
        <f>IF(AND(AND(AND(AX$4&gt;='2025'!$L371,AX$4&lt;='2025'!$M371), AX$4&lt;&gt;DATE(2025,7,4)), (SWITCH(weekday(AX$4), 1, 0, 2, if(ISBLANK('2025'!$P371), 0, 1), 3, if(ISBLANK('2025'!$Q371), 0, 1), 4, if(ISBLANK('2025'!$R371), 0, 1), 5, if(ISBLANK('2025'!$S371), 0, 1), 6, if(ISBLANK('2025'!$T371), 0, 1), 7, 0))), 1, "")</f>
        <v/>
      </c>
      <c r="AY373" s="1" t="str">
        <f>IF(AND(AND(AND(AY$4&gt;='2025'!$L371,AY$4&lt;='2025'!$M371), AY$4&lt;&gt;DATE(2025,7,4)), (SWITCH(weekday(AY$4), 1, 0, 2, if(ISBLANK('2025'!$P371), 0, 1), 3, if(ISBLANK('2025'!$Q371), 0, 1), 4, if(ISBLANK('2025'!$R371), 0, 1), 5, if(ISBLANK('2025'!$S371), 0, 1), 6, if(ISBLANK('2025'!$T371), 0, 1), 7, 0))), 1, "")</f>
        <v/>
      </c>
      <c r="AZ373" s="1" t="str">
        <f>IF(AND(AND(AND(AZ$4&gt;='2025'!$L371,AZ$4&lt;='2025'!$M371), AZ$4&lt;&gt;DATE(2025,7,4)), (SWITCH(weekday(AZ$4), 1, 0, 2, if(ISBLANK('2025'!$P371), 0, 1), 3, if(ISBLANK('2025'!$Q371), 0, 1), 4, if(ISBLANK('2025'!$R371), 0, 1), 5, if(ISBLANK('2025'!$S371), 0, 1), 6, if(ISBLANK('2025'!$T371), 0, 1), 7, 0))), 1, "")</f>
        <v/>
      </c>
      <c r="BA373" s="1" t="str">
        <f>IF(AND(AND(AND(BA$4&gt;='2025'!$L371,BA$4&lt;='2025'!$M371), BA$4&lt;&gt;DATE(2025,7,4)), (SWITCH(weekday(BA$4), 1, 0, 2, if(ISBLANK('2025'!$P371), 0, 1), 3, if(ISBLANK('2025'!$Q371), 0, 1), 4, if(ISBLANK('2025'!$R371), 0, 1), 5, if(ISBLANK('2025'!$S371), 0, 1), 6, if(ISBLANK('2025'!$T371), 0, 1), 7, 0))), 1, "")</f>
        <v/>
      </c>
      <c r="BB373" s="1" t="str">
        <f>IF(AND(AND(AND(BB$4&gt;='2025'!$L371,BB$4&lt;='2025'!$M371), BB$4&lt;&gt;DATE(2025,7,4)), (SWITCH(weekday(BB$4), 1, 0, 2, if(ISBLANK('2025'!$P371), 0, 1), 3, if(ISBLANK('2025'!$Q371), 0, 1), 4, if(ISBLANK('2025'!$R371), 0, 1), 5, if(ISBLANK('2025'!$S371), 0, 1), 6, if(ISBLANK('2025'!$T371), 0, 1), 7, 0))), 1, "")</f>
        <v/>
      </c>
      <c r="BC373" s="1" t="str">
        <f>IF(AND(AND(AND(BC$4&gt;='2025'!$L371,BC$4&lt;='2025'!$M371), BC$4&lt;&gt;DATE(2025,7,4)), (SWITCH(weekday(BC$4), 1, 0, 2, if(ISBLANK('2025'!$P371), 0, 1), 3, if(ISBLANK('2025'!$Q371), 0, 1), 4, if(ISBLANK('2025'!$R371), 0, 1), 5, if(ISBLANK('2025'!$S371), 0, 1), 6, if(ISBLANK('2025'!$T371), 0, 1), 7, 0))), 1, "")</f>
        <v/>
      </c>
      <c r="BD373" s="1" t="str">
        <f>IF(AND(AND(AND(BD$4&gt;='2025'!$L371,BD$4&lt;='2025'!$M371), BD$4&lt;&gt;DATE(2025,7,4)), (SWITCH(weekday(BD$4), 1, 0, 2, if(ISBLANK('2025'!$P371), 0, 1), 3, if(ISBLANK('2025'!$Q371), 0, 1), 4, if(ISBLANK('2025'!$R371), 0, 1), 5, if(ISBLANK('2025'!$S371), 0, 1), 6, if(ISBLANK('2025'!$T371), 0, 1), 7, 0))), 1, "")</f>
        <v/>
      </c>
      <c r="BE373" s="1" t="str">
        <f>IF(AND(AND(AND(BE$4&gt;='2025'!$L371,BE$4&lt;='2025'!$M371), BE$4&lt;&gt;DATE(2025,7,4)), (SWITCH(weekday(BE$4), 1, 0, 2, if(ISBLANK('2025'!$P371), 0, 1), 3, if(ISBLANK('2025'!$Q371), 0, 1), 4, if(ISBLANK('2025'!$R371), 0, 1), 5, if(ISBLANK('2025'!$S371), 0, 1), 6, if(ISBLANK('2025'!$T371), 0, 1), 7, 0))), 1, "")</f>
        <v/>
      </c>
      <c r="BF373" s="1" t="str">
        <f>IF(AND(AND(AND(BF$4&gt;='2025'!$L371,BF$4&lt;='2025'!$M371), BF$4&lt;&gt;DATE(2025,7,4)), (SWITCH(weekday(BF$4), 1, 0, 2, if(ISBLANK('2025'!$P371), 0, 1), 3, if(ISBLANK('2025'!$Q371), 0, 1), 4, if(ISBLANK('2025'!$R371), 0, 1), 5, if(ISBLANK('2025'!$S371), 0, 1), 6, if(ISBLANK('2025'!$T371), 0, 1), 7, 0))), 1, "")</f>
        <v/>
      </c>
      <c r="BG373" s="1"/>
      <c r="BH373" s="1"/>
      <c r="BI373" s="1"/>
      <c r="BJ373" s="1"/>
      <c r="BK373" s="1"/>
      <c r="BL373" s="1"/>
    </row>
    <row r="374">
      <c r="A374" s="1">
        <f t="shared" si="3"/>
        <v>374</v>
      </c>
      <c r="B374" s="1" t="str">
        <f>'2025'!D338</f>
        <v>, </v>
      </c>
      <c r="C374" s="1" t="str">
        <f>'2025'!H338</f>
        <v/>
      </c>
      <c r="D374" s="1" t="str">
        <f>IF(AND(AND(AND(D$4&gt;='2025'!$L372,D$4&lt;='2025'!$M372), D$4&lt;&gt;DATE(2025,7,4)), (SWITCH(weekday(D$4), 1, 0, 2, if(ISBLANK('2025'!$P372), 0, 1), 3, if(ISBLANK('2025'!$Q372), 0, 1), 4, if(ISBLANK('2025'!$R372), 0, 1), 5, if(ISBLANK('2025'!$S372), 0, 1), 6, if(ISBLANK('2025'!$T372), 0, 1), 7, 0))), 1, "")</f>
        <v/>
      </c>
      <c r="E374" s="1" t="str">
        <f>IF(AND(AND(AND(E$4&gt;='2025'!$L372,E$4&lt;='2025'!$M372), E$4&lt;&gt;DATE(2025,7,4)), (SWITCH(weekday(E$4), 1, 0, 2, if(ISBLANK('2025'!$P372), 0, 1), 3, if(ISBLANK('2025'!$Q372), 0, 1), 4, if(ISBLANK('2025'!$R372), 0, 1), 5, if(ISBLANK('2025'!$S372), 0, 1), 6, if(ISBLANK('2025'!$T372), 0, 1), 7, 0))), 1, "")</f>
        <v/>
      </c>
      <c r="F374" s="1" t="str">
        <f>IF(AND(AND(AND(F$4&gt;='2025'!$L372,F$4&lt;='2025'!$M372), F$4&lt;&gt;DATE(2025,7,4)), (SWITCH(weekday(F$4), 1, 0, 2, if(ISBLANK('2025'!$P372), 0, 1), 3, if(ISBLANK('2025'!$Q372), 0, 1), 4, if(ISBLANK('2025'!$R372), 0, 1), 5, if(ISBLANK('2025'!$S372), 0, 1), 6, if(ISBLANK('2025'!$T372), 0, 1), 7, 0))), 1, "")</f>
        <v/>
      </c>
      <c r="G374" s="1" t="str">
        <f>IF(AND(AND(AND(G$4&gt;='2025'!$L372,G$4&lt;='2025'!$M372), G$4&lt;&gt;DATE(2025,7,4)), (SWITCH(weekday(G$4), 1, 0, 2, if(ISBLANK('2025'!$P372), 0, 1), 3, if(ISBLANK('2025'!$Q372), 0, 1), 4, if(ISBLANK('2025'!$R372), 0, 1), 5, if(ISBLANK('2025'!$S372), 0, 1), 6, if(ISBLANK('2025'!$T372), 0, 1), 7, 0))), 1, "")</f>
        <v/>
      </c>
      <c r="H374" s="1" t="str">
        <f>IF(AND(AND(AND(H$4&gt;='2025'!$L372,H$4&lt;='2025'!$M372), H$4&lt;&gt;DATE(2025,7,4)), (SWITCH(weekday(H$4), 1, 0, 2, if(ISBLANK('2025'!$P372), 0, 1), 3, if(ISBLANK('2025'!$Q372), 0, 1), 4, if(ISBLANK('2025'!$R372), 0, 1), 5, if(ISBLANK('2025'!$S372), 0, 1), 6, if(ISBLANK('2025'!$T372), 0, 1), 7, 0))), 1, "")</f>
        <v/>
      </c>
      <c r="I374" s="1" t="str">
        <f>IF(AND(AND(AND(I$4&gt;='2025'!$L372,I$4&lt;='2025'!$M372), I$4&lt;&gt;DATE(2025,7,4)), (SWITCH(weekday(I$4), 1, 0, 2, if(ISBLANK('2025'!$P372), 0, 1), 3, if(ISBLANK('2025'!$Q372), 0, 1), 4, if(ISBLANK('2025'!$R372), 0, 1), 5, if(ISBLANK('2025'!$S372), 0, 1), 6, if(ISBLANK('2025'!$T372), 0, 1), 7, 0))), 1, "")</f>
        <v/>
      </c>
      <c r="J374" s="1" t="str">
        <f>IF(AND(AND(AND(J$4&gt;='2025'!$L372,J$4&lt;='2025'!$M372), J$4&lt;&gt;DATE(2025,7,4)), (SWITCH(weekday(J$4), 1, 0, 2, if(ISBLANK('2025'!$P372), 0, 1), 3, if(ISBLANK('2025'!$Q372), 0, 1), 4, if(ISBLANK('2025'!$R372), 0, 1), 5, if(ISBLANK('2025'!$S372), 0, 1), 6, if(ISBLANK('2025'!$T372), 0, 1), 7, 0))), 1, "")</f>
        <v/>
      </c>
      <c r="K374" s="1" t="str">
        <f>IF(AND(AND(AND(K$4&gt;='2025'!$L372,K$4&lt;='2025'!$M372), K$4&lt;&gt;DATE(2025,7,4)), (SWITCH(weekday(K$4), 1, 0, 2, if(ISBLANK('2025'!$P372), 0, 1), 3, if(ISBLANK('2025'!$Q372), 0, 1), 4, if(ISBLANK('2025'!$R372), 0, 1), 5, if(ISBLANK('2025'!$S372), 0, 1), 6, if(ISBLANK('2025'!$T372), 0, 1), 7, 0))), 1, "")</f>
        <v/>
      </c>
      <c r="L374" s="1" t="str">
        <f>IF(AND(AND(AND(L$4&gt;='2025'!$L372,L$4&lt;='2025'!$M372), L$4&lt;&gt;DATE(2025,7,4)), (SWITCH(weekday(L$4), 1, 0, 2, if(ISBLANK('2025'!$P372), 0, 1), 3, if(ISBLANK('2025'!$Q372), 0, 1), 4, if(ISBLANK('2025'!$R372), 0, 1), 5, if(ISBLANK('2025'!$S372), 0, 1), 6, if(ISBLANK('2025'!$T372), 0, 1), 7, 0))), 1, "")</f>
        <v/>
      </c>
      <c r="M374" s="1" t="str">
        <f>IF(AND(AND(AND(M$4&gt;='2025'!$L372,M$4&lt;='2025'!$M372), M$4&lt;&gt;DATE(2025,7,4)), (SWITCH(weekday(M$4), 1, 0, 2, if(ISBLANK('2025'!$P372), 0, 1), 3, if(ISBLANK('2025'!$Q372), 0, 1), 4, if(ISBLANK('2025'!$R372), 0, 1), 5, if(ISBLANK('2025'!$S372), 0, 1), 6, if(ISBLANK('2025'!$T372), 0, 1), 7, 0))), 1, "")</f>
        <v/>
      </c>
      <c r="N374" s="1" t="str">
        <f>IF(AND(AND(AND(N$4&gt;='2025'!$L372,N$4&lt;='2025'!$M372), N$4&lt;&gt;DATE(2025,7,4)), (SWITCH(weekday(N$4), 1, 0, 2, if(ISBLANK('2025'!$P372), 0, 1), 3, if(ISBLANK('2025'!$Q372), 0, 1), 4, if(ISBLANK('2025'!$R372), 0, 1), 5, if(ISBLANK('2025'!$S372), 0, 1), 6, if(ISBLANK('2025'!$T372), 0, 1), 7, 0))), 1, "")</f>
        <v/>
      </c>
      <c r="O374" s="1" t="str">
        <f>IF(AND(AND(AND(O$4&gt;='2025'!$L372,O$4&lt;='2025'!$M372), O$4&lt;&gt;DATE(2025,7,4)), (SWITCH(weekday(O$4), 1, 0, 2, if(ISBLANK('2025'!$P372), 0, 1), 3, if(ISBLANK('2025'!$Q372), 0, 1), 4, if(ISBLANK('2025'!$R372), 0, 1), 5, if(ISBLANK('2025'!$S372), 0, 1), 6, if(ISBLANK('2025'!$T372), 0, 1), 7, 0))), 1, "")</f>
        <v/>
      </c>
      <c r="P374" s="1" t="str">
        <f>IF(AND(AND(AND(P$4&gt;='2025'!$L372,P$4&lt;='2025'!$M372), P$4&lt;&gt;DATE(2025,7,4)), (SWITCH(weekday(P$4), 1, 0, 2, if(ISBLANK('2025'!$P372), 0, 1), 3, if(ISBLANK('2025'!$Q372), 0, 1), 4, if(ISBLANK('2025'!$R372), 0, 1), 5, if(ISBLANK('2025'!$S372), 0, 1), 6, if(ISBLANK('2025'!$T372), 0, 1), 7, 0))), 1, "")</f>
        <v/>
      </c>
      <c r="Q374" s="1" t="str">
        <f>IF(AND(AND(AND(Q$4&gt;='2025'!$L372,Q$4&lt;='2025'!$M372), Q$4&lt;&gt;DATE(2025,7,4)), (SWITCH(weekday(Q$4), 1, 0, 2, if(ISBLANK('2025'!$P372), 0, 1), 3, if(ISBLANK('2025'!$Q372), 0, 1), 4, if(ISBLANK('2025'!$R372), 0, 1), 5, if(ISBLANK('2025'!$S372), 0, 1), 6, if(ISBLANK('2025'!$T372), 0, 1), 7, 0))), 1, "")</f>
        <v/>
      </c>
      <c r="R374" s="1" t="str">
        <f>IF(AND(AND(AND(R$4&gt;='2025'!$L372,R$4&lt;='2025'!$M372), R$4&lt;&gt;DATE(2025,7,4)), (SWITCH(weekday(R$4), 1, 0, 2, if(ISBLANK('2025'!$P372), 0, 1), 3, if(ISBLANK('2025'!$Q372), 0, 1), 4, if(ISBLANK('2025'!$R372), 0, 1), 5, if(ISBLANK('2025'!$S372), 0, 1), 6, if(ISBLANK('2025'!$T372), 0, 1), 7, 0))), 1, "")</f>
        <v/>
      </c>
      <c r="S374" s="1" t="str">
        <f>IF(AND(AND(AND(S$4&gt;='2025'!$L372,S$4&lt;='2025'!$M372), S$4&lt;&gt;DATE(2025,7,4)), (SWITCH(weekday(S$4), 1, 0, 2, if(ISBLANK('2025'!$P372), 0, 1), 3, if(ISBLANK('2025'!$Q372), 0, 1), 4, if(ISBLANK('2025'!$R372), 0, 1), 5, if(ISBLANK('2025'!$S372), 0, 1), 6, if(ISBLANK('2025'!$T372), 0, 1), 7, 0))), 1, "")</f>
        <v/>
      </c>
      <c r="T374" s="1" t="str">
        <f>IF(AND(AND(AND(T$4&gt;='2025'!$L372,T$4&lt;='2025'!$M372), T$4&lt;&gt;DATE(2025,7,4)), (SWITCH(weekday(T$4), 1, 0, 2, if(ISBLANK('2025'!$P372), 0, 1), 3, if(ISBLANK('2025'!$Q372), 0, 1), 4, if(ISBLANK('2025'!$R372), 0, 1), 5, if(ISBLANK('2025'!$S372), 0, 1), 6, if(ISBLANK('2025'!$T372), 0, 1), 7, 0))), 1, "")</f>
        <v/>
      </c>
      <c r="U374" s="1" t="str">
        <f>IF(AND(AND(AND(U$4&gt;='2025'!$L372,U$4&lt;='2025'!$M372), U$4&lt;&gt;DATE(2025,7,4)), (SWITCH(weekday(U$4), 1, 0, 2, if(ISBLANK('2025'!$P372), 0, 1), 3, if(ISBLANK('2025'!$Q372), 0, 1), 4, if(ISBLANK('2025'!$R372), 0, 1), 5, if(ISBLANK('2025'!$S372), 0, 1), 6, if(ISBLANK('2025'!$T372), 0, 1), 7, 0))), 1, "")</f>
        <v/>
      </c>
      <c r="V374" s="1" t="str">
        <f>IF(AND(AND(AND(V$4&gt;='2025'!$L372,V$4&lt;='2025'!$M372), V$4&lt;&gt;DATE(2025,7,4)), (SWITCH(weekday(V$4), 1, 0, 2, if(ISBLANK('2025'!$P372), 0, 1), 3, if(ISBLANK('2025'!$Q372), 0, 1), 4, if(ISBLANK('2025'!$R372), 0, 1), 5, if(ISBLANK('2025'!$S372), 0, 1), 6, if(ISBLANK('2025'!$T372), 0, 1), 7, 0))), 1, "")</f>
        <v/>
      </c>
      <c r="W374" s="1" t="str">
        <f>IF(AND(AND(AND(W$4&gt;='2025'!$L372,W$4&lt;='2025'!$M372), W$4&lt;&gt;DATE(2025,7,4)), (SWITCH(weekday(W$4), 1, 0, 2, if(ISBLANK('2025'!$P372), 0, 1), 3, if(ISBLANK('2025'!$Q372), 0, 1), 4, if(ISBLANK('2025'!$R372), 0, 1), 5, if(ISBLANK('2025'!$S372), 0, 1), 6, if(ISBLANK('2025'!$T372), 0, 1), 7, 0))), 1, "")</f>
        <v/>
      </c>
      <c r="X374" s="1" t="str">
        <f>IF(AND(AND(AND(X$4&gt;='2025'!$L372,X$4&lt;='2025'!$M372), X$4&lt;&gt;DATE(2025,7,4)), (SWITCH(weekday(X$4), 1, 0, 2, if(ISBLANK('2025'!$P372), 0, 1), 3, if(ISBLANK('2025'!$Q372), 0, 1), 4, if(ISBLANK('2025'!$R372), 0, 1), 5, if(ISBLANK('2025'!$S372), 0, 1), 6, if(ISBLANK('2025'!$T372), 0, 1), 7, 0))), 1, "")</f>
        <v/>
      </c>
      <c r="Y374" s="1" t="str">
        <f>IF(AND(AND(AND(Y$4&gt;='2025'!$L372,Y$4&lt;='2025'!$M372), Y$4&lt;&gt;DATE(2025,7,4)), (SWITCH(weekday(Y$4), 1, 0, 2, if(ISBLANK('2025'!$P372), 0, 1), 3, if(ISBLANK('2025'!$Q372), 0, 1), 4, if(ISBLANK('2025'!$R372), 0, 1), 5, if(ISBLANK('2025'!$S372), 0, 1), 6, if(ISBLANK('2025'!$T372), 0, 1), 7, 0))), 1, "")</f>
        <v/>
      </c>
      <c r="Z374" s="1" t="str">
        <f>IF(AND(AND(AND(Z$4&gt;='2025'!$L372,Z$4&lt;='2025'!$M372), Z$4&lt;&gt;DATE(2025,7,4)), (SWITCH(weekday(Z$4), 1, 0, 2, if(ISBLANK('2025'!$P372), 0, 1), 3, if(ISBLANK('2025'!$Q372), 0, 1), 4, if(ISBLANK('2025'!$R372), 0, 1), 5, if(ISBLANK('2025'!$S372), 0, 1), 6, if(ISBLANK('2025'!$T372), 0, 1), 7, 0))), 1, "")</f>
        <v/>
      </c>
      <c r="AA374" s="1" t="str">
        <f>IF(AND(AND(AND(AA$4&gt;='2025'!$L372,AA$4&lt;='2025'!$M372), AA$4&lt;&gt;DATE(2025,7,4)), (SWITCH(weekday(AA$4), 1, 0, 2, if(ISBLANK('2025'!$P372), 0, 1), 3, if(ISBLANK('2025'!$Q372), 0, 1), 4, if(ISBLANK('2025'!$R372), 0, 1), 5, if(ISBLANK('2025'!$S372), 0, 1), 6, if(ISBLANK('2025'!$T372), 0, 1), 7, 0))), 1, "")</f>
        <v/>
      </c>
      <c r="AB374" s="1" t="str">
        <f>IF(AND(AND(AND(AB$4&gt;='2025'!$L372,AB$4&lt;='2025'!$M372), AB$4&lt;&gt;DATE(2025,7,4)), (SWITCH(weekday(AB$4), 1, 0, 2, if(ISBLANK('2025'!$P372), 0, 1), 3, if(ISBLANK('2025'!$Q372), 0, 1), 4, if(ISBLANK('2025'!$R372), 0, 1), 5, if(ISBLANK('2025'!$S372), 0, 1), 6, if(ISBLANK('2025'!$T372), 0, 1), 7, 0))), 1, "")</f>
        <v/>
      </c>
      <c r="AC374" s="1" t="str">
        <f>IF(AND(AND(AND(AC$4&gt;='2025'!$L372,AC$4&lt;='2025'!$M372), AC$4&lt;&gt;DATE(2025,7,4)), (SWITCH(weekday(AC$4), 1, 0, 2, if(ISBLANK('2025'!$P372), 0, 1), 3, if(ISBLANK('2025'!$Q372), 0, 1), 4, if(ISBLANK('2025'!$R372), 0, 1), 5, if(ISBLANK('2025'!$S372), 0, 1), 6, if(ISBLANK('2025'!$T372), 0, 1), 7, 0))), 1, "")</f>
        <v/>
      </c>
      <c r="AD374" s="1" t="str">
        <f>IF(AND(AND(AND(AD$4&gt;='2025'!$L372,AD$4&lt;='2025'!$M372), AD$4&lt;&gt;DATE(2025,7,4)), (SWITCH(weekday(AD$4), 1, 0, 2, if(ISBLANK('2025'!$P372), 0, 1), 3, if(ISBLANK('2025'!$Q372), 0, 1), 4, if(ISBLANK('2025'!$R372), 0, 1), 5, if(ISBLANK('2025'!$S372), 0, 1), 6, if(ISBLANK('2025'!$T372), 0, 1), 7, 0))), 1, "")</f>
        <v/>
      </c>
      <c r="AE374" s="1" t="str">
        <f>IF(AND(AND(AND(AE$4&gt;='2025'!$L372,AE$4&lt;='2025'!$M372), AE$4&lt;&gt;DATE(2025,7,4)), (SWITCH(weekday(AE$4), 1, 0, 2, if(ISBLANK('2025'!$P372), 0, 1), 3, if(ISBLANK('2025'!$Q372), 0, 1), 4, if(ISBLANK('2025'!$R372), 0, 1), 5, if(ISBLANK('2025'!$S372), 0, 1), 6, if(ISBLANK('2025'!$T372), 0, 1), 7, 0))), 1, "")</f>
        <v/>
      </c>
      <c r="AF374" s="1" t="str">
        <f>IF(AND(AND(AND(AF$4&gt;='2025'!$L372,AF$4&lt;='2025'!$M372), AF$4&lt;&gt;DATE(2025,7,4)), (SWITCH(weekday(AF$4), 1, 0, 2, if(ISBLANK('2025'!$P372), 0, 1), 3, if(ISBLANK('2025'!$Q372), 0, 1), 4, if(ISBLANK('2025'!$R372), 0, 1), 5, if(ISBLANK('2025'!$S372), 0, 1), 6, if(ISBLANK('2025'!$T372), 0, 1), 7, 0))), 1, "")</f>
        <v/>
      </c>
      <c r="AG374" s="1" t="str">
        <f>IF(AND(AND(AND(AG$4&gt;='2025'!$L372,AG$4&lt;='2025'!$M372), AG$4&lt;&gt;DATE(2025,7,4)), (SWITCH(weekday(AG$4), 1, 0, 2, if(ISBLANK('2025'!$P372), 0, 1), 3, if(ISBLANK('2025'!$Q372), 0, 1), 4, if(ISBLANK('2025'!$R372), 0, 1), 5, if(ISBLANK('2025'!$S372), 0, 1), 6, if(ISBLANK('2025'!$T372), 0, 1), 7, 0))), 1, "")</f>
        <v/>
      </c>
      <c r="AH374" s="1" t="str">
        <f>IF(AND(AND(AND(AH$4&gt;='2025'!$L372,AH$4&lt;='2025'!$M372), AH$4&lt;&gt;DATE(2025,7,4)), (SWITCH(weekday(AH$4), 1, 0, 2, if(ISBLANK('2025'!$P372), 0, 1), 3, if(ISBLANK('2025'!$Q372), 0, 1), 4, if(ISBLANK('2025'!$R372), 0, 1), 5, if(ISBLANK('2025'!$S372), 0, 1), 6, if(ISBLANK('2025'!$T372), 0, 1), 7, 0))), 1, "")</f>
        <v/>
      </c>
      <c r="AI374" s="1" t="str">
        <f>IF(AND(AND(AND(AI$4&gt;='2025'!$L372,AI$4&lt;='2025'!$M372), AI$4&lt;&gt;DATE(2025,7,4)), (SWITCH(weekday(AI$4), 1, 0, 2, if(ISBLANK('2025'!$P372), 0, 1), 3, if(ISBLANK('2025'!$Q372), 0, 1), 4, if(ISBLANK('2025'!$R372), 0, 1), 5, if(ISBLANK('2025'!$S372), 0, 1), 6, if(ISBLANK('2025'!$T372), 0, 1), 7, 0))), 1, "")</f>
        <v/>
      </c>
      <c r="AJ374" s="1" t="str">
        <f>IF(AND(AND(AND(AJ$4&gt;='2025'!$L372,AJ$4&lt;='2025'!$M372), AJ$4&lt;&gt;DATE(2025,7,4)), (SWITCH(weekday(AJ$4), 1, 0, 2, if(ISBLANK('2025'!$P372), 0, 1), 3, if(ISBLANK('2025'!$Q372), 0, 1), 4, if(ISBLANK('2025'!$R372), 0, 1), 5, if(ISBLANK('2025'!$S372), 0, 1), 6, if(ISBLANK('2025'!$T372), 0, 1), 7, 0))), 1, "")</f>
        <v/>
      </c>
      <c r="AK374" s="1" t="str">
        <f>IF(AND(AND(AND(AK$4&gt;='2025'!$L372,AK$4&lt;='2025'!$M372), AK$4&lt;&gt;DATE(2025,7,4)), (SWITCH(weekday(AK$4), 1, 0, 2, if(ISBLANK('2025'!$P372), 0, 1), 3, if(ISBLANK('2025'!$Q372), 0, 1), 4, if(ISBLANK('2025'!$R372), 0, 1), 5, if(ISBLANK('2025'!$S372), 0, 1), 6, if(ISBLANK('2025'!$T372), 0, 1), 7, 0))), 1, "")</f>
        <v/>
      </c>
      <c r="AL374" s="1" t="str">
        <f>IF(AND(AND(AND(AL$4&gt;='2025'!$L372,AL$4&lt;='2025'!$M372), AL$4&lt;&gt;DATE(2025,7,4)), (SWITCH(weekday(AL$4), 1, 0, 2, if(ISBLANK('2025'!$P372), 0, 1), 3, if(ISBLANK('2025'!$Q372), 0, 1), 4, if(ISBLANK('2025'!$R372), 0, 1), 5, if(ISBLANK('2025'!$S372), 0, 1), 6, if(ISBLANK('2025'!$T372), 0, 1), 7, 0))), 1, "")</f>
        <v/>
      </c>
      <c r="AM374" s="1" t="str">
        <f>IF(AND(AND(AND(AM$4&gt;='2025'!$L372,AM$4&lt;='2025'!$M372), AM$4&lt;&gt;DATE(2025,7,4)), (SWITCH(weekday(AM$4), 1, 0, 2, if(ISBLANK('2025'!$P372), 0, 1), 3, if(ISBLANK('2025'!$Q372), 0, 1), 4, if(ISBLANK('2025'!$R372), 0, 1), 5, if(ISBLANK('2025'!$S372), 0, 1), 6, if(ISBLANK('2025'!$T372), 0, 1), 7, 0))), 1, "")</f>
        <v/>
      </c>
      <c r="AN374" s="1" t="str">
        <f>IF(AND(AND(AND(AN$4&gt;='2025'!$L372,AN$4&lt;='2025'!$M372), AN$4&lt;&gt;DATE(2025,7,4)), (SWITCH(weekday(AN$4), 1, 0, 2, if(ISBLANK('2025'!$P372), 0, 1), 3, if(ISBLANK('2025'!$Q372), 0, 1), 4, if(ISBLANK('2025'!$R372), 0, 1), 5, if(ISBLANK('2025'!$S372), 0, 1), 6, if(ISBLANK('2025'!$T372), 0, 1), 7, 0))), 1, "")</f>
        <v/>
      </c>
      <c r="AO374" s="1" t="str">
        <f>IF(AND(AND(AND(AO$4&gt;='2025'!$L372,AO$4&lt;='2025'!$M372), AO$4&lt;&gt;DATE(2025,7,4)), (SWITCH(weekday(AO$4), 1, 0, 2, if(ISBLANK('2025'!$P372), 0, 1), 3, if(ISBLANK('2025'!$Q372), 0, 1), 4, if(ISBLANK('2025'!$R372), 0, 1), 5, if(ISBLANK('2025'!$S372), 0, 1), 6, if(ISBLANK('2025'!$T372), 0, 1), 7, 0))), 1, "")</f>
        <v/>
      </c>
      <c r="AP374" s="1" t="str">
        <f>IF(AND(AND(AND(AP$4&gt;='2025'!$L372,AP$4&lt;='2025'!$M372), AP$4&lt;&gt;DATE(2025,7,4)), (SWITCH(weekday(AP$4), 1, 0, 2, if(ISBLANK('2025'!$P372), 0, 1), 3, if(ISBLANK('2025'!$Q372), 0, 1), 4, if(ISBLANK('2025'!$R372), 0, 1), 5, if(ISBLANK('2025'!$S372), 0, 1), 6, if(ISBLANK('2025'!$T372), 0, 1), 7, 0))), 1, "")</f>
        <v/>
      </c>
      <c r="AQ374" s="1" t="str">
        <f>IF(AND(AND(AND(AQ$4&gt;='2025'!$L372,AQ$4&lt;='2025'!$M372), AQ$4&lt;&gt;DATE(2025,7,4)), (SWITCH(weekday(AQ$4), 1, 0, 2, if(ISBLANK('2025'!$P372), 0, 1), 3, if(ISBLANK('2025'!$Q372), 0, 1), 4, if(ISBLANK('2025'!$R372), 0, 1), 5, if(ISBLANK('2025'!$S372), 0, 1), 6, if(ISBLANK('2025'!$T372), 0, 1), 7, 0))), 1, "")</f>
        <v/>
      </c>
      <c r="AR374" s="1" t="str">
        <f>IF(AND(AND(AND(AR$4&gt;='2025'!$L372,AR$4&lt;='2025'!$M372), AR$4&lt;&gt;DATE(2025,7,4)), (SWITCH(weekday(AR$4), 1, 0, 2, if(ISBLANK('2025'!$P372), 0, 1), 3, if(ISBLANK('2025'!$Q372), 0, 1), 4, if(ISBLANK('2025'!$R372), 0, 1), 5, if(ISBLANK('2025'!$S372), 0, 1), 6, if(ISBLANK('2025'!$T372), 0, 1), 7, 0))), 1, "")</f>
        <v/>
      </c>
      <c r="AS374" s="1" t="str">
        <f>IF(AND(AND(AND(AS$4&gt;='2025'!$L372,AS$4&lt;='2025'!$M372), AS$4&lt;&gt;DATE(2025,7,4)), (SWITCH(weekday(AS$4), 1, 0, 2, if(ISBLANK('2025'!$P372), 0, 1), 3, if(ISBLANK('2025'!$Q372), 0, 1), 4, if(ISBLANK('2025'!$R372), 0, 1), 5, if(ISBLANK('2025'!$S372), 0, 1), 6, if(ISBLANK('2025'!$T372), 0, 1), 7, 0))), 1, "")</f>
        <v/>
      </c>
      <c r="AT374" s="1" t="str">
        <f>IF(AND(AND(AND(AT$4&gt;='2025'!$L372,AT$4&lt;='2025'!$M372), AT$4&lt;&gt;DATE(2025,7,4)), (SWITCH(weekday(AT$4), 1, 0, 2, if(ISBLANK('2025'!$P372), 0, 1), 3, if(ISBLANK('2025'!$Q372), 0, 1), 4, if(ISBLANK('2025'!$R372), 0, 1), 5, if(ISBLANK('2025'!$S372), 0, 1), 6, if(ISBLANK('2025'!$T372), 0, 1), 7, 0))), 1, "")</f>
        <v/>
      </c>
      <c r="AU374" s="1" t="str">
        <f>IF(AND(AND(AND(AU$4&gt;='2025'!$L372,AU$4&lt;='2025'!$M372), AU$4&lt;&gt;DATE(2025,7,4)), (SWITCH(weekday(AU$4), 1, 0, 2, if(ISBLANK('2025'!$P372), 0, 1), 3, if(ISBLANK('2025'!$Q372), 0, 1), 4, if(ISBLANK('2025'!$R372), 0, 1), 5, if(ISBLANK('2025'!$S372), 0, 1), 6, if(ISBLANK('2025'!$T372), 0, 1), 7, 0))), 1, "")</f>
        <v/>
      </c>
      <c r="AV374" s="1" t="str">
        <f>IF(AND(AND(AND(AV$4&gt;='2025'!$L372,AV$4&lt;='2025'!$M372), AV$4&lt;&gt;DATE(2025,7,4)), (SWITCH(weekday(AV$4), 1, 0, 2, if(ISBLANK('2025'!$P372), 0, 1), 3, if(ISBLANK('2025'!$Q372), 0, 1), 4, if(ISBLANK('2025'!$R372), 0, 1), 5, if(ISBLANK('2025'!$S372), 0, 1), 6, if(ISBLANK('2025'!$T372), 0, 1), 7, 0))), 1, "")</f>
        <v/>
      </c>
      <c r="AW374" s="1" t="str">
        <f>IF(AND(AND(AND(AW$4&gt;='2025'!$L372,AW$4&lt;='2025'!$M372), AW$4&lt;&gt;DATE(2025,7,4)), (SWITCH(weekday(AW$4), 1, 0, 2, if(ISBLANK('2025'!$P372), 0, 1), 3, if(ISBLANK('2025'!$Q372), 0, 1), 4, if(ISBLANK('2025'!$R372), 0, 1), 5, if(ISBLANK('2025'!$S372), 0, 1), 6, if(ISBLANK('2025'!$T372), 0, 1), 7, 0))), 1, "")</f>
        <v/>
      </c>
      <c r="AX374" s="1" t="str">
        <f>IF(AND(AND(AND(AX$4&gt;='2025'!$L372,AX$4&lt;='2025'!$M372), AX$4&lt;&gt;DATE(2025,7,4)), (SWITCH(weekday(AX$4), 1, 0, 2, if(ISBLANK('2025'!$P372), 0, 1), 3, if(ISBLANK('2025'!$Q372), 0, 1), 4, if(ISBLANK('2025'!$R372), 0, 1), 5, if(ISBLANK('2025'!$S372), 0, 1), 6, if(ISBLANK('2025'!$T372), 0, 1), 7, 0))), 1, "")</f>
        <v/>
      </c>
      <c r="AY374" s="1" t="str">
        <f>IF(AND(AND(AND(AY$4&gt;='2025'!$L372,AY$4&lt;='2025'!$M372), AY$4&lt;&gt;DATE(2025,7,4)), (SWITCH(weekday(AY$4), 1, 0, 2, if(ISBLANK('2025'!$P372), 0, 1), 3, if(ISBLANK('2025'!$Q372), 0, 1), 4, if(ISBLANK('2025'!$R372), 0, 1), 5, if(ISBLANK('2025'!$S372), 0, 1), 6, if(ISBLANK('2025'!$T372), 0, 1), 7, 0))), 1, "")</f>
        <v/>
      </c>
      <c r="AZ374" s="1" t="str">
        <f>IF(AND(AND(AND(AZ$4&gt;='2025'!$L372,AZ$4&lt;='2025'!$M372), AZ$4&lt;&gt;DATE(2025,7,4)), (SWITCH(weekday(AZ$4), 1, 0, 2, if(ISBLANK('2025'!$P372), 0, 1), 3, if(ISBLANK('2025'!$Q372), 0, 1), 4, if(ISBLANK('2025'!$R372), 0, 1), 5, if(ISBLANK('2025'!$S372), 0, 1), 6, if(ISBLANK('2025'!$T372), 0, 1), 7, 0))), 1, "")</f>
        <v/>
      </c>
      <c r="BA374" s="1" t="str">
        <f>IF(AND(AND(AND(BA$4&gt;='2025'!$L372,BA$4&lt;='2025'!$M372), BA$4&lt;&gt;DATE(2025,7,4)), (SWITCH(weekday(BA$4), 1, 0, 2, if(ISBLANK('2025'!$P372), 0, 1), 3, if(ISBLANK('2025'!$Q372), 0, 1), 4, if(ISBLANK('2025'!$R372), 0, 1), 5, if(ISBLANK('2025'!$S372), 0, 1), 6, if(ISBLANK('2025'!$T372), 0, 1), 7, 0))), 1, "")</f>
        <v/>
      </c>
      <c r="BB374" s="1" t="str">
        <f>IF(AND(AND(AND(BB$4&gt;='2025'!$L372,BB$4&lt;='2025'!$M372), BB$4&lt;&gt;DATE(2025,7,4)), (SWITCH(weekday(BB$4), 1, 0, 2, if(ISBLANK('2025'!$P372), 0, 1), 3, if(ISBLANK('2025'!$Q372), 0, 1), 4, if(ISBLANK('2025'!$R372), 0, 1), 5, if(ISBLANK('2025'!$S372), 0, 1), 6, if(ISBLANK('2025'!$T372), 0, 1), 7, 0))), 1, "")</f>
        <v/>
      </c>
      <c r="BC374" s="1" t="str">
        <f>IF(AND(AND(AND(BC$4&gt;='2025'!$L372,BC$4&lt;='2025'!$M372), BC$4&lt;&gt;DATE(2025,7,4)), (SWITCH(weekday(BC$4), 1, 0, 2, if(ISBLANK('2025'!$P372), 0, 1), 3, if(ISBLANK('2025'!$Q372), 0, 1), 4, if(ISBLANK('2025'!$R372), 0, 1), 5, if(ISBLANK('2025'!$S372), 0, 1), 6, if(ISBLANK('2025'!$T372), 0, 1), 7, 0))), 1, "")</f>
        <v/>
      </c>
      <c r="BD374" s="1" t="str">
        <f>IF(AND(AND(AND(BD$4&gt;='2025'!$L372,BD$4&lt;='2025'!$M372), BD$4&lt;&gt;DATE(2025,7,4)), (SWITCH(weekday(BD$4), 1, 0, 2, if(ISBLANK('2025'!$P372), 0, 1), 3, if(ISBLANK('2025'!$Q372), 0, 1), 4, if(ISBLANK('2025'!$R372), 0, 1), 5, if(ISBLANK('2025'!$S372), 0, 1), 6, if(ISBLANK('2025'!$T372), 0, 1), 7, 0))), 1, "")</f>
        <v/>
      </c>
      <c r="BE374" s="1" t="str">
        <f>IF(AND(AND(AND(BE$4&gt;='2025'!$L372,BE$4&lt;='2025'!$M372), BE$4&lt;&gt;DATE(2025,7,4)), (SWITCH(weekday(BE$4), 1, 0, 2, if(ISBLANK('2025'!$P372), 0, 1), 3, if(ISBLANK('2025'!$Q372), 0, 1), 4, if(ISBLANK('2025'!$R372), 0, 1), 5, if(ISBLANK('2025'!$S372), 0, 1), 6, if(ISBLANK('2025'!$T372), 0, 1), 7, 0))), 1, "")</f>
        <v/>
      </c>
      <c r="BF374" s="1" t="str">
        <f>IF(AND(AND(AND(BF$4&gt;='2025'!$L372,BF$4&lt;='2025'!$M372), BF$4&lt;&gt;DATE(2025,7,4)), (SWITCH(weekday(BF$4), 1, 0, 2, if(ISBLANK('2025'!$P372), 0, 1), 3, if(ISBLANK('2025'!$Q372), 0, 1), 4, if(ISBLANK('2025'!$R372), 0, 1), 5, if(ISBLANK('2025'!$S372), 0, 1), 6, if(ISBLANK('2025'!$T372), 0, 1), 7, 0))), 1, "")</f>
        <v/>
      </c>
      <c r="BG374" s="1"/>
      <c r="BH374" s="1"/>
      <c r="BI374" s="1"/>
      <c r="BJ374" s="1"/>
      <c r="BK374" s="1"/>
      <c r="BL374" s="1"/>
    </row>
    <row r="375">
      <c r="A375" s="1">
        <f t="shared" si="3"/>
        <v>375</v>
      </c>
      <c r="B375" s="1" t="str">
        <f>'2025'!D339</f>
        <v>, </v>
      </c>
      <c r="C375" s="1" t="str">
        <f>'2025'!H339</f>
        <v/>
      </c>
      <c r="D375" s="1" t="str">
        <f>IF(AND(AND(AND(D$4&gt;='2025'!$L373,D$4&lt;='2025'!$M373), D$4&lt;&gt;DATE(2025,7,4)), (SWITCH(weekday(D$4), 1, 0, 2, if(ISBLANK('2025'!$P373), 0, 1), 3, if(ISBLANK('2025'!$Q373), 0, 1), 4, if(ISBLANK('2025'!$R373), 0, 1), 5, if(ISBLANK('2025'!$S373), 0, 1), 6, if(ISBLANK('2025'!$T373), 0, 1), 7, 0))), 1, "")</f>
        <v/>
      </c>
      <c r="E375" s="1" t="str">
        <f>IF(AND(AND(AND(E$4&gt;='2025'!$L373,E$4&lt;='2025'!$M373), E$4&lt;&gt;DATE(2025,7,4)), (SWITCH(weekday(E$4), 1, 0, 2, if(ISBLANK('2025'!$P373), 0, 1), 3, if(ISBLANK('2025'!$Q373), 0, 1), 4, if(ISBLANK('2025'!$R373), 0, 1), 5, if(ISBLANK('2025'!$S373), 0, 1), 6, if(ISBLANK('2025'!$T373), 0, 1), 7, 0))), 1, "")</f>
        <v/>
      </c>
      <c r="F375" s="1" t="str">
        <f>IF(AND(AND(AND(F$4&gt;='2025'!$L373,F$4&lt;='2025'!$M373), F$4&lt;&gt;DATE(2025,7,4)), (SWITCH(weekday(F$4), 1, 0, 2, if(ISBLANK('2025'!$P373), 0, 1), 3, if(ISBLANK('2025'!$Q373), 0, 1), 4, if(ISBLANK('2025'!$R373), 0, 1), 5, if(ISBLANK('2025'!$S373), 0, 1), 6, if(ISBLANK('2025'!$T373), 0, 1), 7, 0))), 1, "")</f>
        <v/>
      </c>
      <c r="G375" s="1" t="str">
        <f>IF(AND(AND(AND(G$4&gt;='2025'!$L373,G$4&lt;='2025'!$M373), G$4&lt;&gt;DATE(2025,7,4)), (SWITCH(weekday(G$4), 1, 0, 2, if(ISBLANK('2025'!$P373), 0, 1), 3, if(ISBLANK('2025'!$Q373), 0, 1), 4, if(ISBLANK('2025'!$R373), 0, 1), 5, if(ISBLANK('2025'!$S373), 0, 1), 6, if(ISBLANK('2025'!$T373), 0, 1), 7, 0))), 1, "")</f>
        <v/>
      </c>
      <c r="H375" s="1" t="str">
        <f>IF(AND(AND(AND(H$4&gt;='2025'!$L373,H$4&lt;='2025'!$M373), H$4&lt;&gt;DATE(2025,7,4)), (SWITCH(weekday(H$4), 1, 0, 2, if(ISBLANK('2025'!$P373), 0, 1), 3, if(ISBLANK('2025'!$Q373), 0, 1), 4, if(ISBLANK('2025'!$R373), 0, 1), 5, if(ISBLANK('2025'!$S373), 0, 1), 6, if(ISBLANK('2025'!$T373), 0, 1), 7, 0))), 1, "")</f>
        <v/>
      </c>
      <c r="I375" s="1" t="str">
        <f>IF(AND(AND(AND(I$4&gt;='2025'!$L373,I$4&lt;='2025'!$M373), I$4&lt;&gt;DATE(2025,7,4)), (SWITCH(weekday(I$4), 1, 0, 2, if(ISBLANK('2025'!$P373), 0, 1), 3, if(ISBLANK('2025'!$Q373), 0, 1), 4, if(ISBLANK('2025'!$R373), 0, 1), 5, if(ISBLANK('2025'!$S373), 0, 1), 6, if(ISBLANK('2025'!$T373), 0, 1), 7, 0))), 1, "")</f>
        <v/>
      </c>
      <c r="J375" s="1" t="str">
        <f>IF(AND(AND(AND(J$4&gt;='2025'!$L373,J$4&lt;='2025'!$M373), J$4&lt;&gt;DATE(2025,7,4)), (SWITCH(weekday(J$4), 1, 0, 2, if(ISBLANK('2025'!$P373), 0, 1), 3, if(ISBLANK('2025'!$Q373), 0, 1), 4, if(ISBLANK('2025'!$R373), 0, 1), 5, if(ISBLANK('2025'!$S373), 0, 1), 6, if(ISBLANK('2025'!$T373), 0, 1), 7, 0))), 1, "")</f>
        <v/>
      </c>
      <c r="K375" s="1" t="str">
        <f>IF(AND(AND(AND(K$4&gt;='2025'!$L373,K$4&lt;='2025'!$M373), K$4&lt;&gt;DATE(2025,7,4)), (SWITCH(weekday(K$4), 1, 0, 2, if(ISBLANK('2025'!$P373), 0, 1), 3, if(ISBLANK('2025'!$Q373), 0, 1), 4, if(ISBLANK('2025'!$R373), 0, 1), 5, if(ISBLANK('2025'!$S373), 0, 1), 6, if(ISBLANK('2025'!$T373), 0, 1), 7, 0))), 1, "")</f>
        <v/>
      </c>
      <c r="L375" s="1" t="str">
        <f>IF(AND(AND(AND(L$4&gt;='2025'!$L373,L$4&lt;='2025'!$M373), L$4&lt;&gt;DATE(2025,7,4)), (SWITCH(weekday(L$4), 1, 0, 2, if(ISBLANK('2025'!$P373), 0, 1), 3, if(ISBLANK('2025'!$Q373), 0, 1), 4, if(ISBLANK('2025'!$R373), 0, 1), 5, if(ISBLANK('2025'!$S373), 0, 1), 6, if(ISBLANK('2025'!$T373), 0, 1), 7, 0))), 1, "")</f>
        <v/>
      </c>
      <c r="M375" s="1" t="str">
        <f>IF(AND(AND(AND(M$4&gt;='2025'!$L373,M$4&lt;='2025'!$M373), M$4&lt;&gt;DATE(2025,7,4)), (SWITCH(weekday(M$4), 1, 0, 2, if(ISBLANK('2025'!$P373), 0, 1), 3, if(ISBLANK('2025'!$Q373), 0, 1), 4, if(ISBLANK('2025'!$R373), 0, 1), 5, if(ISBLANK('2025'!$S373), 0, 1), 6, if(ISBLANK('2025'!$T373), 0, 1), 7, 0))), 1, "")</f>
        <v/>
      </c>
      <c r="N375" s="1" t="str">
        <f>IF(AND(AND(AND(N$4&gt;='2025'!$L373,N$4&lt;='2025'!$M373), N$4&lt;&gt;DATE(2025,7,4)), (SWITCH(weekday(N$4), 1, 0, 2, if(ISBLANK('2025'!$P373), 0, 1), 3, if(ISBLANK('2025'!$Q373), 0, 1), 4, if(ISBLANK('2025'!$R373), 0, 1), 5, if(ISBLANK('2025'!$S373), 0, 1), 6, if(ISBLANK('2025'!$T373), 0, 1), 7, 0))), 1, "")</f>
        <v/>
      </c>
      <c r="O375" s="1" t="str">
        <f>IF(AND(AND(AND(O$4&gt;='2025'!$L373,O$4&lt;='2025'!$M373), O$4&lt;&gt;DATE(2025,7,4)), (SWITCH(weekday(O$4), 1, 0, 2, if(ISBLANK('2025'!$P373), 0, 1), 3, if(ISBLANK('2025'!$Q373), 0, 1), 4, if(ISBLANK('2025'!$R373), 0, 1), 5, if(ISBLANK('2025'!$S373), 0, 1), 6, if(ISBLANK('2025'!$T373), 0, 1), 7, 0))), 1, "")</f>
        <v/>
      </c>
      <c r="P375" s="1" t="str">
        <f>IF(AND(AND(AND(P$4&gt;='2025'!$L373,P$4&lt;='2025'!$M373), P$4&lt;&gt;DATE(2025,7,4)), (SWITCH(weekday(P$4), 1, 0, 2, if(ISBLANK('2025'!$P373), 0, 1), 3, if(ISBLANK('2025'!$Q373), 0, 1), 4, if(ISBLANK('2025'!$R373), 0, 1), 5, if(ISBLANK('2025'!$S373), 0, 1), 6, if(ISBLANK('2025'!$T373), 0, 1), 7, 0))), 1, "")</f>
        <v/>
      </c>
      <c r="Q375" s="1" t="str">
        <f>IF(AND(AND(AND(Q$4&gt;='2025'!$L373,Q$4&lt;='2025'!$M373), Q$4&lt;&gt;DATE(2025,7,4)), (SWITCH(weekday(Q$4), 1, 0, 2, if(ISBLANK('2025'!$P373), 0, 1), 3, if(ISBLANK('2025'!$Q373), 0, 1), 4, if(ISBLANK('2025'!$R373), 0, 1), 5, if(ISBLANK('2025'!$S373), 0, 1), 6, if(ISBLANK('2025'!$T373), 0, 1), 7, 0))), 1, "")</f>
        <v/>
      </c>
      <c r="R375" s="1" t="str">
        <f>IF(AND(AND(AND(R$4&gt;='2025'!$L373,R$4&lt;='2025'!$M373), R$4&lt;&gt;DATE(2025,7,4)), (SWITCH(weekday(R$4), 1, 0, 2, if(ISBLANK('2025'!$P373), 0, 1), 3, if(ISBLANK('2025'!$Q373), 0, 1), 4, if(ISBLANK('2025'!$R373), 0, 1), 5, if(ISBLANK('2025'!$S373), 0, 1), 6, if(ISBLANK('2025'!$T373), 0, 1), 7, 0))), 1, "")</f>
        <v/>
      </c>
      <c r="S375" s="1" t="str">
        <f>IF(AND(AND(AND(S$4&gt;='2025'!$L373,S$4&lt;='2025'!$M373), S$4&lt;&gt;DATE(2025,7,4)), (SWITCH(weekday(S$4), 1, 0, 2, if(ISBLANK('2025'!$P373), 0, 1), 3, if(ISBLANK('2025'!$Q373), 0, 1), 4, if(ISBLANK('2025'!$R373), 0, 1), 5, if(ISBLANK('2025'!$S373), 0, 1), 6, if(ISBLANK('2025'!$T373), 0, 1), 7, 0))), 1, "")</f>
        <v/>
      </c>
      <c r="T375" s="1" t="str">
        <f>IF(AND(AND(AND(T$4&gt;='2025'!$L373,T$4&lt;='2025'!$M373), T$4&lt;&gt;DATE(2025,7,4)), (SWITCH(weekday(T$4), 1, 0, 2, if(ISBLANK('2025'!$P373), 0, 1), 3, if(ISBLANK('2025'!$Q373), 0, 1), 4, if(ISBLANK('2025'!$R373), 0, 1), 5, if(ISBLANK('2025'!$S373), 0, 1), 6, if(ISBLANK('2025'!$T373), 0, 1), 7, 0))), 1, "")</f>
        <v/>
      </c>
      <c r="U375" s="1" t="str">
        <f>IF(AND(AND(AND(U$4&gt;='2025'!$L373,U$4&lt;='2025'!$M373), U$4&lt;&gt;DATE(2025,7,4)), (SWITCH(weekday(U$4), 1, 0, 2, if(ISBLANK('2025'!$P373), 0, 1), 3, if(ISBLANK('2025'!$Q373), 0, 1), 4, if(ISBLANK('2025'!$R373), 0, 1), 5, if(ISBLANK('2025'!$S373), 0, 1), 6, if(ISBLANK('2025'!$T373), 0, 1), 7, 0))), 1, "")</f>
        <v/>
      </c>
      <c r="V375" s="1" t="str">
        <f>IF(AND(AND(AND(V$4&gt;='2025'!$L373,V$4&lt;='2025'!$M373), V$4&lt;&gt;DATE(2025,7,4)), (SWITCH(weekday(V$4), 1, 0, 2, if(ISBLANK('2025'!$P373), 0, 1), 3, if(ISBLANK('2025'!$Q373), 0, 1), 4, if(ISBLANK('2025'!$R373), 0, 1), 5, if(ISBLANK('2025'!$S373), 0, 1), 6, if(ISBLANK('2025'!$T373), 0, 1), 7, 0))), 1, "")</f>
        <v/>
      </c>
      <c r="W375" s="1" t="str">
        <f>IF(AND(AND(AND(W$4&gt;='2025'!$L373,W$4&lt;='2025'!$M373), W$4&lt;&gt;DATE(2025,7,4)), (SWITCH(weekday(W$4), 1, 0, 2, if(ISBLANK('2025'!$P373), 0, 1), 3, if(ISBLANK('2025'!$Q373), 0, 1), 4, if(ISBLANK('2025'!$R373), 0, 1), 5, if(ISBLANK('2025'!$S373), 0, 1), 6, if(ISBLANK('2025'!$T373), 0, 1), 7, 0))), 1, "")</f>
        <v/>
      </c>
      <c r="X375" s="1" t="str">
        <f>IF(AND(AND(AND(X$4&gt;='2025'!$L373,X$4&lt;='2025'!$M373), X$4&lt;&gt;DATE(2025,7,4)), (SWITCH(weekday(X$4), 1, 0, 2, if(ISBLANK('2025'!$P373), 0, 1), 3, if(ISBLANK('2025'!$Q373), 0, 1), 4, if(ISBLANK('2025'!$R373), 0, 1), 5, if(ISBLANK('2025'!$S373), 0, 1), 6, if(ISBLANK('2025'!$T373), 0, 1), 7, 0))), 1, "")</f>
        <v/>
      </c>
      <c r="Y375" s="1" t="str">
        <f>IF(AND(AND(AND(Y$4&gt;='2025'!$L373,Y$4&lt;='2025'!$M373), Y$4&lt;&gt;DATE(2025,7,4)), (SWITCH(weekday(Y$4), 1, 0, 2, if(ISBLANK('2025'!$P373), 0, 1), 3, if(ISBLANK('2025'!$Q373), 0, 1), 4, if(ISBLANK('2025'!$R373), 0, 1), 5, if(ISBLANK('2025'!$S373), 0, 1), 6, if(ISBLANK('2025'!$T373), 0, 1), 7, 0))), 1, "")</f>
        <v/>
      </c>
      <c r="Z375" s="1" t="str">
        <f>IF(AND(AND(AND(Z$4&gt;='2025'!$L373,Z$4&lt;='2025'!$M373), Z$4&lt;&gt;DATE(2025,7,4)), (SWITCH(weekday(Z$4), 1, 0, 2, if(ISBLANK('2025'!$P373), 0, 1), 3, if(ISBLANK('2025'!$Q373), 0, 1), 4, if(ISBLANK('2025'!$R373), 0, 1), 5, if(ISBLANK('2025'!$S373), 0, 1), 6, if(ISBLANK('2025'!$T373), 0, 1), 7, 0))), 1, "")</f>
        <v/>
      </c>
      <c r="AA375" s="1" t="str">
        <f>IF(AND(AND(AND(AA$4&gt;='2025'!$L373,AA$4&lt;='2025'!$M373), AA$4&lt;&gt;DATE(2025,7,4)), (SWITCH(weekday(AA$4), 1, 0, 2, if(ISBLANK('2025'!$P373), 0, 1), 3, if(ISBLANK('2025'!$Q373), 0, 1), 4, if(ISBLANK('2025'!$R373), 0, 1), 5, if(ISBLANK('2025'!$S373), 0, 1), 6, if(ISBLANK('2025'!$T373), 0, 1), 7, 0))), 1, "")</f>
        <v/>
      </c>
      <c r="AB375" s="1" t="str">
        <f>IF(AND(AND(AND(AB$4&gt;='2025'!$L373,AB$4&lt;='2025'!$M373), AB$4&lt;&gt;DATE(2025,7,4)), (SWITCH(weekday(AB$4), 1, 0, 2, if(ISBLANK('2025'!$P373), 0, 1), 3, if(ISBLANK('2025'!$Q373), 0, 1), 4, if(ISBLANK('2025'!$R373), 0, 1), 5, if(ISBLANK('2025'!$S373), 0, 1), 6, if(ISBLANK('2025'!$T373), 0, 1), 7, 0))), 1, "")</f>
        <v/>
      </c>
      <c r="AC375" s="1" t="str">
        <f>IF(AND(AND(AND(AC$4&gt;='2025'!$L373,AC$4&lt;='2025'!$M373), AC$4&lt;&gt;DATE(2025,7,4)), (SWITCH(weekday(AC$4), 1, 0, 2, if(ISBLANK('2025'!$P373), 0, 1), 3, if(ISBLANK('2025'!$Q373), 0, 1), 4, if(ISBLANK('2025'!$R373), 0, 1), 5, if(ISBLANK('2025'!$S373), 0, 1), 6, if(ISBLANK('2025'!$T373), 0, 1), 7, 0))), 1, "")</f>
        <v/>
      </c>
      <c r="AD375" s="1" t="str">
        <f>IF(AND(AND(AND(AD$4&gt;='2025'!$L373,AD$4&lt;='2025'!$M373), AD$4&lt;&gt;DATE(2025,7,4)), (SWITCH(weekday(AD$4), 1, 0, 2, if(ISBLANK('2025'!$P373), 0, 1), 3, if(ISBLANK('2025'!$Q373), 0, 1), 4, if(ISBLANK('2025'!$R373), 0, 1), 5, if(ISBLANK('2025'!$S373), 0, 1), 6, if(ISBLANK('2025'!$T373), 0, 1), 7, 0))), 1, "")</f>
        <v/>
      </c>
      <c r="AE375" s="1" t="str">
        <f>IF(AND(AND(AND(AE$4&gt;='2025'!$L373,AE$4&lt;='2025'!$M373), AE$4&lt;&gt;DATE(2025,7,4)), (SWITCH(weekday(AE$4), 1, 0, 2, if(ISBLANK('2025'!$P373), 0, 1), 3, if(ISBLANK('2025'!$Q373), 0, 1), 4, if(ISBLANK('2025'!$R373), 0, 1), 5, if(ISBLANK('2025'!$S373), 0, 1), 6, if(ISBLANK('2025'!$T373), 0, 1), 7, 0))), 1, "")</f>
        <v/>
      </c>
      <c r="AF375" s="1" t="str">
        <f>IF(AND(AND(AND(AF$4&gt;='2025'!$L373,AF$4&lt;='2025'!$M373), AF$4&lt;&gt;DATE(2025,7,4)), (SWITCH(weekday(AF$4), 1, 0, 2, if(ISBLANK('2025'!$P373), 0, 1), 3, if(ISBLANK('2025'!$Q373), 0, 1), 4, if(ISBLANK('2025'!$R373), 0, 1), 5, if(ISBLANK('2025'!$S373), 0, 1), 6, if(ISBLANK('2025'!$T373), 0, 1), 7, 0))), 1, "")</f>
        <v/>
      </c>
      <c r="AG375" s="1" t="str">
        <f>IF(AND(AND(AND(AG$4&gt;='2025'!$L373,AG$4&lt;='2025'!$M373), AG$4&lt;&gt;DATE(2025,7,4)), (SWITCH(weekday(AG$4), 1, 0, 2, if(ISBLANK('2025'!$P373), 0, 1), 3, if(ISBLANK('2025'!$Q373), 0, 1), 4, if(ISBLANK('2025'!$R373), 0, 1), 5, if(ISBLANK('2025'!$S373), 0, 1), 6, if(ISBLANK('2025'!$T373), 0, 1), 7, 0))), 1, "")</f>
        <v/>
      </c>
      <c r="AH375" s="1" t="str">
        <f>IF(AND(AND(AND(AH$4&gt;='2025'!$L373,AH$4&lt;='2025'!$M373), AH$4&lt;&gt;DATE(2025,7,4)), (SWITCH(weekday(AH$4), 1, 0, 2, if(ISBLANK('2025'!$P373), 0, 1), 3, if(ISBLANK('2025'!$Q373), 0, 1), 4, if(ISBLANK('2025'!$R373), 0, 1), 5, if(ISBLANK('2025'!$S373), 0, 1), 6, if(ISBLANK('2025'!$T373), 0, 1), 7, 0))), 1, "")</f>
        <v/>
      </c>
      <c r="AI375" s="1" t="str">
        <f>IF(AND(AND(AND(AI$4&gt;='2025'!$L373,AI$4&lt;='2025'!$M373), AI$4&lt;&gt;DATE(2025,7,4)), (SWITCH(weekday(AI$4), 1, 0, 2, if(ISBLANK('2025'!$P373), 0, 1), 3, if(ISBLANK('2025'!$Q373), 0, 1), 4, if(ISBLANK('2025'!$R373), 0, 1), 5, if(ISBLANK('2025'!$S373), 0, 1), 6, if(ISBLANK('2025'!$T373), 0, 1), 7, 0))), 1, "")</f>
        <v/>
      </c>
      <c r="AJ375" s="1" t="str">
        <f>IF(AND(AND(AND(AJ$4&gt;='2025'!$L373,AJ$4&lt;='2025'!$M373), AJ$4&lt;&gt;DATE(2025,7,4)), (SWITCH(weekday(AJ$4), 1, 0, 2, if(ISBLANK('2025'!$P373), 0, 1), 3, if(ISBLANK('2025'!$Q373), 0, 1), 4, if(ISBLANK('2025'!$R373), 0, 1), 5, if(ISBLANK('2025'!$S373), 0, 1), 6, if(ISBLANK('2025'!$T373), 0, 1), 7, 0))), 1, "")</f>
        <v/>
      </c>
      <c r="AK375" s="1" t="str">
        <f>IF(AND(AND(AND(AK$4&gt;='2025'!$L373,AK$4&lt;='2025'!$M373), AK$4&lt;&gt;DATE(2025,7,4)), (SWITCH(weekday(AK$4), 1, 0, 2, if(ISBLANK('2025'!$P373), 0, 1), 3, if(ISBLANK('2025'!$Q373), 0, 1), 4, if(ISBLANK('2025'!$R373), 0, 1), 5, if(ISBLANK('2025'!$S373), 0, 1), 6, if(ISBLANK('2025'!$T373), 0, 1), 7, 0))), 1, "")</f>
        <v/>
      </c>
      <c r="AL375" s="1" t="str">
        <f>IF(AND(AND(AND(AL$4&gt;='2025'!$L373,AL$4&lt;='2025'!$M373), AL$4&lt;&gt;DATE(2025,7,4)), (SWITCH(weekday(AL$4), 1, 0, 2, if(ISBLANK('2025'!$P373), 0, 1), 3, if(ISBLANK('2025'!$Q373), 0, 1), 4, if(ISBLANK('2025'!$R373), 0, 1), 5, if(ISBLANK('2025'!$S373), 0, 1), 6, if(ISBLANK('2025'!$T373), 0, 1), 7, 0))), 1, "")</f>
        <v/>
      </c>
      <c r="AM375" s="1" t="str">
        <f>IF(AND(AND(AND(AM$4&gt;='2025'!$L373,AM$4&lt;='2025'!$M373), AM$4&lt;&gt;DATE(2025,7,4)), (SWITCH(weekday(AM$4), 1, 0, 2, if(ISBLANK('2025'!$P373), 0, 1), 3, if(ISBLANK('2025'!$Q373), 0, 1), 4, if(ISBLANK('2025'!$R373), 0, 1), 5, if(ISBLANK('2025'!$S373), 0, 1), 6, if(ISBLANK('2025'!$T373), 0, 1), 7, 0))), 1, "")</f>
        <v/>
      </c>
      <c r="AN375" s="1" t="str">
        <f>IF(AND(AND(AND(AN$4&gt;='2025'!$L373,AN$4&lt;='2025'!$M373), AN$4&lt;&gt;DATE(2025,7,4)), (SWITCH(weekday(AN$4), 1, 0, 2, if(ISBLANK('2025'!$P373), 0, 1), 3, if(ISBLANK('2025'!$Q373), 0, 1), 4, if(ISBLANK('2025'!$R373), 0, 1), 5, if(ISBLANK('2025'!$S373), 0, 1), 6, if(ISBLANK('2025'!$T373), 0, 1), 7, 0))), 1, "")</f>
        <v/>
      </c>
      <c r="AO375" s="1" t="str">
        <f>IF(AND(AND(AND(AO$4&gt;='2025'!$L373,AO$4&lt;='2025'!$M373), AO$4&lt;&gt;DATE(2025,7,4)), (SWITCH(weekday(AO$4), 1, 0, 2, if(ISBLANK('2025'!$P373), 0, 1), 3, if(ISBLANK('2025'!$Q373), 0, 1), 4, if(ISBLANK('2025'!$R373), 0, 1), 5, if(ISBLANK('2025'!$S373), 0, 1), 6, if(ISBLANK('2025'!$T373), 0, 1), 7, 0))), 1, "")</f>
        <v/>
      </c>
      <c r="AP375" s="1" t="str">
        <f>IF(AND(AND(AND(AP$4&gt;='2025'!$L373,AP$4&lt;='2025'!$M373), AP$4&lt;&gt;DATE(2025,7,4)), (SWITCH(weekday(AP$4), 1, 0, 2, if(ISBLANK('2025'!$P373), 0, 1), 3, if(ISBLANK('2025'!$Q373), 0, 1), 4, if(ISBLANK('2025'!$R373), 0, 1), 5, if(ISBLANK('2025'!$S373), 0, 1), 6, if(ISBLANK('2025'!$T373), 0, 1), 7, 0))), 1, "")</f>
        <v/>
      </c>
      <c r="AQ375" s="1" t="str">
        <f>IF(AND(AND(AND(AQ$4&gt;='2025'!$L373,AQ$4&lt;='2025'!$M373), AQ$4&lt;&gt;DATE(2025,7,4)), (SWITCH(weekday(AQ$4), 1, 0, 2, if(ISBLANK('2025'!$P373), 0, 1), 3, if(ISBLANK('2025'!$Q373), 0, 1), 4, if(ISBLANK('2025'!$R373), 0, 1), 5, if(ISBLANK('2025'!$S373), 0, 1), 6, if(ISBLANK('2025'!$T373), 0, 1), 7, 0))), 1, "")</f>
        <v/>
      </c>
      <c r="AR375" s="1" t="str">
        <f>IF(AND(AND(AND(AR$4&gt;='2025'!$L373,AR$4&lt;='2025'!$M373), AR$4&lt;&gt;DATE(2025,7,4)), (SWITCH(weekday(AR$4), 1, 0, 2, if(ISBLANK('2025'!$P373), 0, 1), 3, if(ISBLANK('2025'!$Q373), 0, 1), 4, if(ISBLANK('2025'!$R373), 0, 1), 5, if(ISBLANK('2025'!$S373), 0, 1), 6, if(ISBLANK('2025'!$T373), 0, 1), 7, 0))), 1, "")</f>
        <v/>
      </c>
      <c r="AS375" s="1" t="str">
        <f>IF(AND(AND(AND(AS$4&gt;='2025'!$L373,AS$4&lt;='2025'!$M373), AS$4&lt;&gt;DATE(2025,7,4)), (SWITCH(weekday(AS$4), 1, 0, 2, if(ISBLANK('2025'!$P373), 0, 1), 3, if(ISBLANK('2025'!$Q373), 0, 1), 4, if(ISBLANK('2025'!$R373), 0, 1), 5, if(ISBLANK('2025'!$S373), 0, 1), 6, if(ISBLANK('2025'!$T373), 0, 1), 7, 0))), 1, "")</f>
        <v/>
      </c>
      <c r="AT375" s="1" t="str">
        <f>IF(AND(AND(AND(AT$4&gt;='2025'!$L373,AT$4&lt;='2025'!$M373), AT$4&lt;&gt;DATE(2025,7,4)), (SWITCH(weekday(AT$4), 1, 0, 2, if(ISBLANK('2025'!$P373), 0, 1), 3, if(ISBLANK('2025'!$Q373), 0, 1), 4, if(ISBLANK('2025'!$R373), 0, 1), 5, if(ISBLANK('2025'!$S373), 0, 1), 6, if(ISBLANK('2025'!$T373), 0, 1), 7, 0))), 1, "")</f>
        <v/>
      </c>
      <c r="AU375" s="1" t="str">
        <f>IF(AND(AND(AND(AU$4&gt;='2025'!$L373,AU$4&lt;='2025'!$M373), AU$4&lt;&gt;DATE(2025,7,4)), (SWITCH(weekday(AU$4), 1, 0, 2, if(ISBLANK('2025'!$P373), 0, 1), 3, if(ISBLANK('2025'!$Q373), 0, 1), 4, if(ISBLANK('2025'!$R373), 0, 1), 5, if(ISBLANK('2025'!$S373), 0, 1), 6, if(ISBLANK('2025'!$T373), 0, 1), 7, 0))), 1, "")</f>
        <v/>
      </c>
      <c r="AV375" s="1" t="str">
        <f>IF(AND(AND(AND(AV$4&gt;='2025'!$L373,AV$4&lt;='2025'!$M373), AV$4&lt;&gt;DATE(2025,7,4)), (SWITCH(weekday(AV$4), 1, 0, 2, if(ISBLANK('2025'!$P373), 0, 1), 3, if(ISBLANK('2025'!$Q373), 0, 1), 4, if(ISBLANK('2025'!$R373), 0, 1), 5, if(ISBLANK('2025'!$S373), 0, 1), 6, if(ISBLANK('2025'!$T373), 0, 1), 7, 0))), 1, "")</f>
        <v/>
      </c>
      <c r="AW375" s="1" t="str">
        <f>IF(AND(AND(AND(AW$4&gt;='2025'!$L373,AW$4&lt;='2025'!$M373), AW$4&lt;&gt;DATE(2025,7,4)), (SWITCH(weekday(AW$4), 1, 0, 2, if(ISBLANK('2025'!$P373), 0, 1), 3, if(ISBLANK('2025'!$Q373), 0, 1), 4, if(ISBLANK('2025'!$R373), 0, 1), 5, if(ISBLANK('2025'!$S373), 0, 1), 6, if(ISBLANK('2025'!$T373), 0, 1), 7, 0))), 1, "")</f>
        <v/>
      </c>
      <c r="AX375" s="1" t="str">
        <f>IF(AND(AND(AND(AX$4&gt;='2025'!$L373,AX$4&lt;='2025'!$M373), AX$4&lt;&gt;DATE(2025,7,4)), (SWITCH(weekday(AX$4), 1, 0, 2, if(ISBLANK('2025'!$P373), 0, 1), 3, if(ISBLANK('2025'!$Q373), 0, 1), 4, if(ISBLANK('2025'!$R373), 0, 1), 5, if(ISBLANK('2025'!$S373), 0, 1), 6, if(ISBLANK('2025'!$T373), 0, 1), 7, 0))), 1, "")</f>
        <v/>
      </c>
      <c r="AY375" s="1" t="str">
        <f>IF(AND(AND(AND(AY$4&gt;='2025'!$L373,AY$4&lt;='2025'!$M373), AY$4&lt;&gt;DATE(2025,7,4)), (SWITCH(weekday(AY$4), 1, 0, 2, if(ISBLANK('2025'!$P373), 0, 1), 3, if(ISBLANK('2025'!$Q373), 0, 1), 4, if(ISBLANK('2025'!$R373), 0, 1), 5, if(ISBLANK('2025'!$S373), 0, 1), 6, if(ISBLANK('2025'!$T373), 0, 1), 7, 0))), 1, "")</f>
        <v/>
      </c>
      <c r="AZ375" s="1" t="str">
        <f>IF(AND(AND(AND(AZ$4&gt;='2025'!$L373,AZ$4&lt;='2025'!$M373), AZ$4&lt;&gt;DATE(2025,7,4)), (SWITCH(weekday(AZ$4), 1, 0, 2, if(ISBLANK('2025'!$P373), 0, 1), 3, if(ISBLANK('2025'!$Q373), 0, 1), 4, if(ISBLANK('2025'!$R373), 0, 1), 5, if(ISBLANK('2025'!$S373), 0, 1), 6, if(ISBLANK('2025'!$T373), 0, 1), 7, 0))), 1, "")</f>
        <v/>
      </c>
      <c r="BA375" s="1" t="str">
        <f>IF(AND(AND(AND(BA$4&gt;='2025'!$L373,BA$4&lt;='2025'!$M373), BA$4&lt;&gt;DATE(2025,7,4)), (SWITCH(weekday(BA$4), 1, 0, 2, if(ISBLANK('2025'!$P373), 0, 1), 3, if(ISBLANK('2025'!$Q373), 0, 1), 4, if(ISBLANK('2025'!$R373), 0, 1), 5, if(ISBLANK('2025'!$S373), 0, 1), 6, if(ISBLANK('2025'!$T373), 0, 1), 7, 0))), 1, "")</f>
        <v/>
      </c>
      <c r="BB375" s="1" t="str">
        <f>IF(AND(AND(AND(BB$4&gt;='2025'!$L373,BB$4&lt;='2025'!$M373), BB$4&lt;&gt;DATE(2025,7,4)), (SWITCH(weekday(BB$4), 1, 0, 2, if(ISBLANK('2025'!$P373), 0, 1), 3, if(ISBLANK('2025'!$Q373), 0, 1), 4, if(ISBLANK('2025'!$R373), 0, 1), 5, if(ISBLANK('2025'!$S373), 0, 1), 6, if(ISBLANK('2025'!$T373), 0, 1), 7, 0))), 1, "")</f>
        <v/>
      </c>
      <c r="BC375" s="1" t="str">
        <f>IF(AND(AND(AND(BC$4&gt;='2025'!$L373,BC$4&lt;='2025'!$M373), BC$4&lt;&gt;DATE(2025,7,4)), (SWITCH(weekday(BC$4), 1, 0, 2, if(ISBLANK('2025'!$P373), 0, 1), 3, if(ISBLANK('2025'!$Q373), 0, 1), 4, if(ISBLANK('2025'!$R373), 0, 1), 5, if(ISBLANK('2025'!$S373), 0, 1), 6, if(ISBLANK('2025'!$T373), 0, 1), 7, 0))), 1, "")</f>
        <v/>
      </c>
      <c r="BD375" s="1" t="str">
        <f>IF(AND(AND(AND(BD$4&gt;='2025'!$L373,BD$4&lt;='2025'!$M373), BD$4&lt;&gt;DATE(2025,7,4)), (SWITCH(weekday(BD$4), 1, 0, 2, if(ISBLANK('2025'!$P373), 0, 1), 3, if(ISBLANK('2025'!$Q373), 0, 1), 4, if(ISBLANK('2025'!$R373), 0, 1), 5, if(ISBLANK('2025'!$S373), 0, 1), 6, if(ISBLANK('2025'!$T373), 0, 1), 7, 0))), 1, "")</f>
        <v/>
      </c>
      <c r="BE375" s="1" t="str">
        <f>IF(AND(AND(AND(BE$4&gt;='2025'!$L373,BE$4&lt;='2025'!$M373), BE$4&lt;&gt;DATE(2025,7,4)), (SWITCH(weekday(BE$4), 1, 0, 2, if(ISBLANK('2025'!$P373), 0, 1), 3, if(ISBLANK('2025'!$Q373), 0, 1), 4, if(ISBLANK('2025'!$R373), 0, 1), 5, if(ISBLANK('2025'!$S373), 0, 1), 6, if(ISBLANK('2025'!$T373), 0, 1), 7, 0))), 1, "")</f>
        <v/>
      </c>
      <c r="BF375" s="1" t="str">
        <f>IF(AND(AND(AND(BF$4&gt;='2025'!$L373,BF$4&lt;='2025'!$M373), BF$4&lt;&gt;DATE(2025,7,4)), (SWITCH(weekday(BF$4), 1, 0, 2, if(ISBLANK('2025'!$P373), 0, 1), 3, if(ISBLANK('2025'!$Q373), 0, 1), 4, if(ISBLANK('2025'!$R373), 0, 1), 5, if(ISBLANK('2025'!$S373), 0, 1), 6, if(ISBLANK('2025'!$T373), 0, 1), 7, 0))), 1, "")</f>
        <v/>
      </c>
      <c r="BG375" s="1"/>
      <c r="BH375" s="1"/>
      <c r="BI375" s="1"/>
      <c r="BJ375" s="1"/>
      <c r="BK375" s="1"/>
      <c r="BL375" s="1"/>
    </row>
    <row r="376">
      <c r="A376" s="1">
        <f t="shared" si="3"/>
        <v>376</v>
      </c>
      <c r="B376" s="1" t="str">
        <f>'2025'!D340</f>
        <v>, </v>
      </c>
      <c r="C376" s="1" t="str">
        <f>'2025'!H340</f>
        <v/>
      </c>
      <c r="D376" s="1" t="str">
        <f>IF(AND(AND(AND(D$4&gt;='2025'!$L374,D$4&lt;='2025'!$M374), D$4&lt;&gt;DATE(2025,7,4)), (SWITCH(weekday(D$4), 1, 0, 2, if(ISBLANK('2025'!$P374), 0, 1), 3, if(ISBLANK('2025'!$Q374), 0, 1), 4, if(ISBLANK('2025'!$R374), 0, 1), 5, if(ISBLANK('2025'!$S374), 0, 1), 6, if(ISBLANK('2025'!$T374), 0, 1), 7, 0))), 1, "")</f>
        <v/>
      </c>
      <c r="E376" s="1" t="str">
        <f>IF(AND(AND(AND(E$4&gt;='2025'!$L374,E$4&lt;='2025'!$M374), E$4&lt;&gt;DATE(2025,7,4)), (SWITCH(weekday(E$4), 1, 0, 2, if(ISBLANK('2025'!$P374), 0, 1), 3, if(ISBLANK('2025'!$Q374), 0, 1), 4, if(ISBLANK('2025'!$R374), 0, 1), 5, if(ISBLANK('2025'!$S374), 0, 1), 6, if(ISBLANK('2025'!$T374), 0, 1), 7, 0))), 1, "")</f>
        <v/>
      </c>
      <c r="F376" s="1" t="str">
        <f>IF(AND(AND(AND(F$4&gt;='2025'!$L374,F$4&lt;='2025'!$M374), F$4&lt;&gt;DATE(2025,7,4)), (SWITCH(weekday(F$4), 1, 0, 2, if(ISBLANK('2025'!$P374), 0, 1), 3, if(ISBLANK('2025'!$Q374), 0, 1), 4, if(ISBLANK('2025'!$R374), 0, 1), 5, if(ISBLANK('2025'!$S374), 0, 1), 6, if(ISBLANK('2025'!$T374), 0, 1), 7, 0))), 1, "")</f>
        <v/>
      </c>
      <c r="G376" s="1" t="str">
        <f>IF(AND(AND(AND(G$4&gt;='2025'!$L374,G$4&lt;='2025'!$M374), G$4&lt;&gt;DATE(2025,7,4)), (SWITCH(weekday(G$4), 1, 0, 2, if(ISBLANK('2025'!$P374), 0, 1), 3, if(ISBLANK('2025'!$Q374), 0, 1), 4, if(ISBLANK('2025'!$R374), 0, 1), 5, if(ISBLANK('2025'!$S374), 0, 1), 6, if(ISBLANK('2025'!$T374), 0, 1), 7, 0))), 1, "")</f>
        <v/>
      </c>
      <c r="H376" s="1" t="str">
        <f>IF(AND(AND(AND(H$4&gt;='2025'!$L374,H$4&lt;='2025'!$M374), H$4&lt;&gt;DATE(2025,7,4)), (SWITCH(weekday(H$4), 1, 0, 2, if(ISBLANK('2025'!$P374), 0, 1), 3, if(ISBLANK('2025'!$Q374), 0, 1), 4, if(ISBLANK('2025'!$R374), 0, 1), 5, if(ISBLANK('2025'!$S374), 0, 1), 6, if(ISBLANK('2025'!$T374), 0, 1), 7, 0))), 1, "")</f>
        <v/>
      </c>
      <c r="I376" s="1" t="str">
        <f>IF(AND(AND(AND(I$4&gt;='2025'!$L374,I$4&lt;='2025'!$M374), I$4&lt;&gt;DATE(2025,7,4)), (SWITCH(weekday(I$4), 1, 0, 2, if(ISBLANK('2025'!$P374), 0, 1), 3, if(ISBLANK('2025'!$Q374), 0, 1), 4, if(ISBLANK('2025'!$R374), 0, 1), 5, if(ISBLANK('2025'!$S374), 0, 1), 6, if(ISBLANK('2025'!$T374), 0, 1), 7, 0))), 1, "")</f>
        <v/>
      </c>
      <c r="J376" s="1" t="str">
        <f>IF(AND(AND(AND(J$4&gt;='2025'!$L374,J$4&lt;='2025'!$M374), J$4&lt;&gt;DATE(2025,7,4)), (SWITCH(weekday(J$4), 1, 0, 2, if(ISBLANK('2025'!$P374), 0, 1), 3, if(ISBLANK('2025'!$Q374), 0, 1), 4, if(ISBLANK('2025'!$R374), 0, 1), 5, if(ISBLANK('2025'!$S374), 0, 1), 6, if(ISBLANK('2025'!$T374), 0, 1), 7, 0))), 1, "")</f>
        <v/>
      </c>
      <c r="K376" s="1" t="str">
        <f>IF(AND(AND(AND(K$4&gt;='2025'!$L374,K$4&lt;='2025'!$M374), K$4&lt;&gt;DATE(2025,7,4)), (SWITCH(weekday(K$4), 1, 0, 2, if(ISBLANK('2025'!$P374), 0, 1), 3, if(ISBLANK('2025'!$Q374), 0, 1), 4, if(ISBLANK('2025'!$R374), 0, 1), 5, if(ISBLANK('2025'!$S374), 0, 1), 6, if(ISBLANK('2025'!$T374), 0, 1), 7, 0))), 1, "")</f>
        <v/>
      </c>
      <c r="L376" s="1" t="str">
        <f>IF(AND(AND(AND(L$4&gt;='2025'!$L374,L$4&lt;='2025'!$M374), L$4&lt;&gt;DATE(2025,7,4)), (SWITCH(weekday(L$4), 1, 0, 2, if(ISBLANK('2025'!$P374), 0, 1), 3, if(ISBLANK('2025'!$Q374), 0, 1), 4, if(ISBLANK('2025'!$R374), 0, 1), 5, if(ISBLANK('2025'!$S374), 0, 1), 6, if(ISBLANK('2025'!$T374), 0, 1), 7, 0))), 1, "")</f>
        <v/>
      </c>
      <c r="M376" s="1" t="str">
        <f>IF(AND(AND(AND(M$4&gt;='2025'!$L374,M$4&lt;='2025'!$M374), M$4&lt;&gt;DATE(2025,7,4)), (SWITCH(weekday(M$4), 1, 0, 2, if(ISBLANK('2025'!$P374), 0, 1), 3, if(ISBLANK('2025'!$Q374), 0, 1), 4, if(ISBLANK('2025'!$R374), 0, 1), 5, if(ISBLANK('2025'!$S374), 0, 1), 6, if(ISBLANK('2025'!$T374), 0, 1), 7, 0))), 1, "")</f>
        <v/>
      </c>
      <c r="N376" s="1" t="str">
        <f>IF(AND(AND(AND(N$4&gt;='2025'!$L374,N$4&lt;='2025'!$M374), N$4&lt;&gt;DATE(2025,7,4)), (SWITCH(weekday(N$4), 1, 0, 2, if(ISBLANK('2025'!$P374), 0, 1), 3, if(ISBLANK('2025'!$Q374), 0, 1), 4, if(ISBLANK('2025'!$R374), 0, 1), 5, if(ISBLANK('2025'!$S374), 0, 1), 6, if(ISBLANK('2025'!$T374), 0, 1), 7, 0))), 1, "")</f>
        <v/>
      </c>
      <c r="O376" s="1" t="str">
        <f>IF(AND(AND(AND(O$4&gt;='2025'!$L374,O$4&lt;='2025'!$M374), O$4&lt;&gt;DATE(2025,7,4)), (SWITCH(weekday(O$4), 1, 0, 2, if(ISBLANK('2025'!$P374), 0, 1), 3, if(ISBLANK('2025'!$Q374), 0, 1), 4, if(ISBLANK('2025'!$R374), 0, 1), 5, if(ISBLANK('2025'!$S374), 0, 1), 6, if(ISBLANK('2025'!$T374), 0, 1), 7, 0))), 1, "")</f>
        <v/>
      </c>
      <c r="P376" s="1" t="str">
        <f>IF(AND(AND(AND(P$4&gt;='2025'!$L374,P$4&lt;='2025'!$M374), P$4&lt;&gt;DATE(2025,7,4)), (SWITCH(weekday(P$4), 1, 0, 2, if(ISBLANK('2025'!$P374), 0, 1), 3, if(ISBLANK('2025'!$Q374), 0, 1), 4, if(ISBLANK('2025'!$R374), 0, 1), 5, if(ISBLANK('2025'!$S374), 0, 1), 6, if(ISBLANK('2025'!$T374), 0, 1), 7, 0))), 1, "")</f>
        <v/>
      </c>
      <c r="Q376" s="1" t="str">
        <f>IF(AND(AND(AND(Q$4&gt;='2025'!$L374,Q$4&lt;='2025'!$M374), Q$4&lt;&gt;DATE(2025,7,4)), (SWITCH(weekday(Q$4), 1, 0, 2, if(ISBLANK('2025'!$P374), 0, 1), 3, if(ISBLANK('2025'!$Q374), 0, 1), 4, if(ISBLANK('2025'!$R374), 0, 1), 5, if(ISBLANK('2025'!$S374), 0, 1), 6, if(ISBLANK('2025'!$T374), 0, 1), 7, 0))), 1, "")</f>
        <v/>
      </c>
      <c r="R376" s="1" t="str">
        <f>IF(AND(AND(AND(R$4&gt;='2025'!$L374,R$4&lt;='2025'!$M374), R$4&lt;&gt;DATE(2025,7,4)), (SWITCH(weekday(R$4), 1, 0, 2, if(ISBLANK('2025'!$P374), 0, 1), 3, if(ISBLANK('2025'!$Q374), 0, 1), 4, if(ISBLANK('2025'!$R374), 0, 1), 5, if(ISBLANK('2025'!$S374), 0, 1), 6, if(ISBLANK('2025'!$T374), 0, 1), 7, 0))), 1, "")</f>
        <v/>
      </c>
      <c r="S376" s="1" t="str">
        <f>IF(AND(AND(AND(S$4&gt;='2025'!$L374,S$4&lt;='2025'!$M374), S$4&lt;&gt;DATE(2025,7,4)), (SWITCH(weekday(S$4), 1, 0, 2, if(ISBLANK('2025'!$P374), 0, 1), 3, if(ISBLANK('2025'!$Q374), 0, 1), 4, if(ISBLANK('2025'!$R374), 0, 1), 5, if(ISBLANK('2025'!$S374), 0, 1), 6, if(ISBLANK('2025'!$T374), 0, 1), 7, 0))), 1, "")</f>
        <v/>
      </c>
      <c r="T376" s="1" t="str">
        <f>IF(AND(AND(AND(T$4&gt;='2025'!$L374,T$4&lt;='2025'!$M374), T$4&lt;&gt;DATE(2025,7,4)), (SWITCH(weekday(T$4), 1, 0, 2, if(ISBLANK('2025'!$P374), 0, 1), 3, if(ISBLANK('2025'!$Q374), 0, 1), 4, if(ISBLANK('2025'!$R374), 0, 1), 5, if(ISBLANK('2025'!$S374), 0, 1), 6, if(ISBLANK('2025'!$T374), 0, 1), 7, 0))), 1, "")</f>
        <v/>
      </c>
      <c r="U376" s="1" t="str">
        <f>IF(AND(AND(AND(U$4&gt;='2025'!$L374,U$4&lt;='2025'!$M374), U$4&lt;&gt;DATE(2025,7,4)), (SWITCH(weekday(U$4), 1, 0, 2, if(ISBLANK('2025'!$P374), 0, 1), 3, if(ISBLANK('2025'!$Q374), 0, 1), 4, if(ISBLANK('2025'!$R374), 0, 1), 5, if(ISBLANK('2025'!$S374), 0, 1), 6, if(ISBLANK('2025'!$T374), 0, 1), 7, 0))), 1, "")</f>
        <v/>
      </c>
      <c r="V376" s="1" t="str">
        <f>IF(AND(AND(AND(V$4&gt;='2025'!$L374,V$4&lt;='2025'!$M374), V$4&lt;&gt;DATE(2025,7,4)), (SWITCH(weekday(V$4), 1, 0, 2, if(ISBLANK('2025'!$P374), 0, 1), 3, if(ISBLANK('2025'!$Q374), 0, 1), 4, if(ISBLANK('2025'!$R374), 0, 1), 5, if(ISBLANK('2025'!$S374), 0, 1), 6, if(ISBLANK('2025'!$T374), 0, 1), 7, 0))), 1, "")</f>
        <v/>
      </c>
      <c r="W376" s="1" t="str">
        <f>IF(AND(AND(AND(W$4&gt;='2025'!$L374,W$4&lt;='2025'!$M374), W$4&lt;&gt;DATE(2025,7,4)), (SWITCH(weekday(W$4), 1, 0, 2, if(ISBLANK('2025'!$P374), 0, 1), 3, if(ISBLANK('2025'!$Q374), 0, 1), 4, if(ISBLANK('2025'!$R374), 0, 1), 5, if(ISBLANK('2025'!$S374), 0, 1), 6, if(ISBLANK('2025'!$T374), 0, 1), 7, 0))), 1, "")</f>
        <v/>
      </c>
      <c r="X376" s="1" t="str">
        <f>IF(AND(AND(AND(X$4&gt;='2025'!$L374,X$4&lt;='2025'!$M374), X$4&lt;&gt;DATE(2025,7,4)), (SWITCH(weekday(X$4), 1, 0, 2, if(ISBLANK('2025'!$P374), 0, 1), 3, if(ISBLANK('2025'!$Q374), 0, 1), 4, if(ISBLANK('2025'!$R374), 0, 1), 5, if(ISBLANK('2025'!$S374), 0, 1), 6, if(ISBLANK('2025'!$T374), 0, 1), 7, 0))), 1, "")</f>
        <v/>
      </c>
      <c r="Y376" s="1" t="str">
        <f>IF(AND(AND(AND(Y$4&gt;='2025'!$L374,Y$4&lt;='2025'!$M374), Y$4&lt;&gt;DATE(2025,7,4)), (SWITCH(weekday(Y$4), 1, 0, 2, if(ISBLANK('2025'!$P374), 0, 1), 3, if(ISBLANK('2025'!$Q374), 0, 1), 4, if(ISBLANK('2025'!$R374), 0, 1), 5, if(ISBLANK('2025'!$S374), 0, 1), 6, if(ISBLANK('2025'!$T374), 0, 1), 7, 0))), 1, "")</f>
        <v/>
      </c>
      <c r="Z376" s="1" t="str">
        <f>IF(AND(AND(AND(Z$4&gt;='2025'!$L374,Z$4&lt;='2025'!$M374), Z$4&lt;&gt;DATE(2025,7,4)), (SWITCH(weekday(Z$4), 1, 0, 2, if(ISBLANK('2025'!$P374), 0, 1), 3, if(ISBLANK('2025'!$Q374), 0, 1), 4, if(ISBLANK('2025'!$R374), 0, 1), 5, if(ISBLANK('2025'!$S374), 0, 1), 6, if(ISBLANK('2025'!$T374), 0, 1), 7, 0))), 1, "")</f>
        <v/>
      </c>
      <c r="AA376" s="1" t="str">
        <f>IF(AND(AND(AND(AA$4&gt;='2025'!$L374,AA$4&lt;='2025'!$M374), AA$4&lt;&gt;DATE(2025,7,4)), (SWITCH(weekday(AA$4), 1, 0, 2, if(ISBLANK('2025'!$P374), 0, 1), 3, if(ISBLANK('2025'!$Q374), 0, 1), 4, if(ISBLANK('2025'!$R374), 0, 1), 5, if(ISBLANK('2025'!$S374), 0, 1), 6, if(ISBLANK('2025'!$T374), 0, 1), 7, 0))), 1, "")</f>
        <v/>
      </c>
      <c r="AB376" s="1" t="str">
        <f>IF(AND(AND(AND(AB$4&gt;='2025'!$L374,AB$4&lt;='2025'!$M374), AB$4&lt;&gt;DATE(2025,7,4)), (SWITCH(weekday(AB$4), 1, 0, 2, if(ISBLANK('2025'!$P374), 0, 1), 3, if(ISBLANK('2025'!$Q374), 0, 1), 4, if(ISBLANK('2025'!$R374), 0, 1), 5, if(ISBLANK('2025'!$S374), 0, 1), 6, if(ISBLANK('2025'!$T374), 0, 1), 7, 0))), 1, "")</f>
        <v/>
      </c>
      <c r="AC376" s="1" t="str">
        <f>IF(AND(AND(AND(AC$4&gt;='2025'!$L374,AC$4&lt;='2025'!$M374), AC$4&lt;&gt;DATE(2025,7,4)), (SWITCH(weekday(AC$4), 1, 0, 2, if(ISBLANK('2025'!$P374), 0, 1), 3, if(ISBLANK('2025'!$Q374), 0, 1), 4, if(ISBLANK('2025'!$R374), 0, 1), 5, if(ISBLANK('2025'!$S374), 0, 1), 6, if(ISBLANK('2025'!$T374), 0, 1), 7, 0))), 1, "")</f>
        <v/>
      </c>
      <c r="AD376" s="1" t="str">
        <f>IF(AND(AND(AND(AD$4&gt;='2025'!$L374,AD$4&lt;='2025'!$M374), AD$4&lt;&gt;DATE(2025,7,4)), (SWITCH(weekday(AD$4), 1, 0, 2, if(ISBLANK('2025'!$P374), 0, 1), 3, if(ISBLANK('2025'!$Q374), 0, 1), 4, if(ISBLANK('2025'!$R374), 0, 1), 5, if(ISBLANK('2025'!$S374), 0, 1), 6, if(ISBLANK('2025'!$T374), 0, 1), 7, 0))), 1, "")</f>
        <v/>
      </c>
      <c r="AE376" s="1" t="str">
        <f>IF(AND(AND(AND(AE$4&gt;='2025'!$L374,AE$4&lt;='2025'!$M374), AE$4&lt;&gt;DATE(2025,7,4)), (SWITCH(weekday(AE$4), 1, 0, 2, if(ISBLANK('2025'!$P374), 0, 1), 3, if(ISBLANK('2025'!$Q374), 0, 1), 4, if(ISBLANK('2025'!$R374), 0, 1), 5, if(ISBLANK('2025'!$S374), 0, 1), 6, if(ISBLANK('2025'!$T374), 0, 1), 7, 0))), 1, "")</f>
        <v/>
      </c>
      <c r="AF376" s="1" t="str">
        <f>IF(AND(AND(AND(AF$4&gt;='2025'!$L374,AF$4&lt;='2025'!$M374), AF$4&lt;&gt;DATE(2025,7,4)), (SWITCH(weekday(AF$4), 1, 0, 2, if(ISBLANK('2025'!$P374), 0, 1), 3, if(ISBLANK('2025'!$Q374), 0, 1), 4, if(ISBLANK('2025'!$R374), 0, 1), 5, if(ISBLANK('2025'!$S374), 0, 1), 6, if(ISBLANK('2025'!$T374), 0, 1), 7, 0))), 1, "")</f>
        <v/>
      </c>
      <c r="AG376" s="1" t="str">
        <f>IF(AND(AND(AND(AG$4&gt;='2025'!$L374,AG$4&lt;='2025'!$M374), AG$4&lt;&gt;DATE(2025,7,4)), (SWITCH(weekday(AG$4), 1, 0, 2, if(ISBLANK('2025'!$P374), 0, 1), 3, if(ISBLANK('2025'!$Q374), 0, 1), 4, if(ISBLANK('2025'!$R374), 0, 1), 5, if(ISBLANK('2025'!$S374), 0, 1), 6, if(ISBLANK('2025'!$T374), 0, 1), 7, 0))), 1, "")</f>
        <v/>
      </c>
      <c r="AH376" s="1" t="str">
        <f>IF(AND(AND(AND(AH$4&gt;='2025'!$L374,AH$4&lt;='2025'!$M374), AH$4&lt;&gt;DATE(2025,7,4)), (SWITCH(weekday(AH$4), 1, 0, 2, if(ISBLANK('2025'!$P374), 0, 1), 3, if(ISBLANK('2025'!$Q374), 0, 1), 4, if(ISBLANK('2025'!$R374), 0, 1), 5, if(ISBLANK('2025'!$S374), 0, 1), 6, if(ISBLANK('2025'!$T374), 0, 1), 7, 0))), 1, "")</f>
        <v/>
      </c>
      <c r="AI376" s="1" t="str">
        <f>IF(AND(AND(AND(AI$4&gt;='2025'!$L374,AI$4&lt;='2025'!$M374), AI$4&lt;&gt;DATE(2025,7,4)), (SWITCH(weekday(AI$4), 1, 0, 2, if(ISBLANK('2025'!$P374), 0, 1), 3, if(ISBLANK('2025'!$Q374), 0, 1), 4, if(ISBLANK('2025'!$R374), 0, 1), 5, if(ISBLANK('2025'!$S374), 0, 1), 6, if(ISBLANK('2025'!$T374), 0, 1), 7, 0))), 1, "")</f>
        <v/>
      </c>
      <c r="AJ376" s="1" t="str">
        <f>IF(AND(AND(AND(AJ$4&gt;='2025'!$L374,AJ$4&lt;='2025'!$M374), AJ$4&lt;&gt;DATE(2025,7,4)), (SWITCH(weekday(AJ$4), 1, 0, 2, if(ISBLANK('2025'!$P374), 0, 1), 3, if(ISBLANK('2025'!$Q374), 0, 1), 4, if(ISBLANK('2025'!$R374), 0, 1), 5, if(ISBLANK('2025'!$S374), 0, 1), 6, if(ISBLANK('2025'!$T374), 0, 1), 7, 0))), 1, "")</f>
        <v/>
      </c>
      <c r="AK376" s="1" t="str">
        <f>IF(AND(AND(AND(AK$4&gt;='2025'!$L374,AK$4&lt;='2025'!$M374), AK$4&lt;&gt;DATE(2025,7,4)), (SWITCH(weekday(AK$4), 1, 0, 2, if(ISBLANK('2025'!$P374), 0, 1), 3, if(ISBLANK('2025'!$Q374), 0, 1), 4, if(ISBLANK('2025'!$R374), 0, 1), 5, if(ISBLANK('2025'!$S374), 0, 1), 6, if(ISBLANK('2025'!$T374), 0, 1), 7, 0))), 1, "")</f>
        <v/>
      </c>
      <c r="AL376" s="1" t="str">
        <f>IF(AND(AND(AND(AL$4&gt;='2025'!$L374,AL$4&lt;='2025'!$M374), AL$4&lt;&gt;DATE(2025,7,4)), (SWITCH(weekday(AL$4), 1, 0, 2, if(ISBLANK('2025'!$P374), 0, 1), 3, if(ISBLANK('2025'!$Q374), 0, 1), 4, if(ISBLANK('2025'!$R374), 0, 1), 5, if(ISBLANK('2025'!$S374), 0, 1), 6, if(ISBLANK('2025'!$T374), 0, 1), 7, 0))), 1, "")</f>
        <v/>
      </c>
      <c r="AM376" s="1" t="str">
        <f>IF(AND(AND(AND(AM$4&gt;='2025'!$L374,AM$4&lt;='2025'!$M374), AM$4&lt;&gt;DATE(2025,7,4)), (SWITCH(weekday(AM$4), 1, 0, 2, if(ISBLANK('2025'!$P374), 0, 1), 3, if(ISBLANK('2025'!$Q374), 0, 1), 4, if(ISBLANK('2025'!$R374), 0, 1), 5, if(ISBLANK('2025'!$S374), 0, 1), 6, if(ISBLANK('2025'!$T374), 0, 1), 7, 0))), 1, "")</f>
        <v/>
      </c>
      <c r="AN376" s="1" t="str">
        <f>IF(AND(AND(AND(AN$4&gt;='2025'!$L374,AN$4&lt;='2025'!$M374), AN$4&lt;&gt;DATE(2025,7,4)), (SWITCH(weekday(AN$4), 1, 0, 2, if(ISBLANK('2025'!$P374), 0, 1), 3, if(ISBLANK('2025'!$Q374), 0, 1), 4, if(ISBLANK('2025'!$R374), 0, 1), 5, if(ISBLANK('2025'!$S374), 0, 1), 6, if(ISBLANK('2025'!$T374), 0, 1), 7, 0))), 1, "")</f>
        <v/>
      </c>
      <c r="AO376" s="1" t="str">
        <f>IF(AND(AND(AND(AO$4&gt;='2025'!$L374,AO$4&lt;='2025'!$M374), AO$4&lt;&gt;DATE(2025,7,4)), (SWITCH(weekday(AO$4), 1, 0, 2, if(ISBLANK('2025'!$P374), 0, 1), 3, if(ISBLANK('2025'!$Q374), 0, 1), 4, if(ISBLANK('2025'!$R374), 0, 1), 5, if(ISBLANK('2025'!$S374), 0, 1), 6, if(ISBLANK('2025'!$T374), 0, 1), 7, 0))), 1, "")</f>
        <v/>
      </c>
      <c r="AP376" s="1" t="str">
        <f>IF(AND(AND(AND(AP$4&gt;='2025'!$L374,AP$4&lt;='2025'!$M374), AP$4&lt;&gt;DATE(2025,7,4)), (SWITCH(weekday(AP$4), 1, 0, 2, if(ISBLANK('2025'!$P374), 0, 1), 3, if(ISBLANK('2025'!$Q374), 0, 1), 4, if(ISBLANK('2025'!$R374), 0, 1), 5, if(ISBLANK('2025'!$S374), 0, 1), 6, if(ISBLANK('2025'!$T374), 0, 1), 7, 0))), 1, "")</f>
        <v/>
      </c>
      <c r="AQ376" s="1" t="str">
        <f>IF(AND(AND(AND(AQ$4&gt;='2025'!$L374,AQ$4&lt;='2025'!$M374), AQ$4&lt;&gt;DATE(2025,7,4)), (SWITCH(weekday(AQ$4), 1, 0, 2, if(ISBLANK('2025'!$P374), 0, 1), 3, if(ISBLANK('2025'!$Q374), 0, 1), 4, if(ISBLANK('2025'!$R374), 0, 1), 5, if(ISBLANK('2025'!$S374), 0, 1), 6, if(ISBLANK('2025'!$T374), 0, 1), 7, 0))), 1, "")</f>
        <v/>
      </c>
      <c r="AR376" s="1" t="str">
        <f>IF(AND(AND(AND(AR$4&gt;='2025'!$L374,AR$4&lt;='2025'!$M374), AR$4&lt;&gt;DATE(2025,7,4)), (SWITCH(weekday(AR$4), 1, 0, 2, if(ISBLANK('2025'!$P374), 0, 1), 3, if(ISBLANK('2025'!$Q374), 0, 1), 4, if(ISBLANK('2025'!$R374), 0, 1), 5, if(ISBLANK('2025'!$S374), 0, 1), 6, if(ISBLANK('2025'!$T374), 0, 1), 7, 0))), 1, "")</f>
        <v/>
      </c>
      <c r="AS376" s="1" t="str">
        <f>IF(AND(AND(AND(AS$4&gt;='2025'!$L374,AS$4&lt;='2025'!$M374), AS$4&lt;&gt;DATE(2025,7,4)), (SWITCH(weekday(AS$4), 1, 0, 2, if(ISBLANK('2025'!$P374), 0, 1), 3, if(ISBLANK('2025'!$Q374), 0, 1), 4, if(ISBLANK('2025'!$R374), 0, 1), 5, if(ISBLANK('2025'!$S374), 0, 1), 6, if(ISBLANK('2025'!$T374), 0, 1), 7, 0))), 1, "")</f>
        <v/>
      </c>
      <c r="AT376" s="1" t="str">
        <f>IF(AND(AND(AND(AT$4&gt;='2025'!$L374,AT$4&lt;='2025'!$M374), AT$4&lt;&gt;DATE(2025,7,4)), (SWITCH(weekday(AT$4), 1, 0, 2, if(ISBLANK('2025'!$P374), 0, 1), 3, if(ISBLANK('2025'!$Q374), 0, 1), 4, if(ISBLANK('2025'!$R374), 0, 1), 5, if(ISBLANK('2025'!$S374), 0, 1), 6, if(ISBLANK('2025'!$T374), 0, 1), 7, 0))), 1, "")</f>
        <v/>
      </c>
      <c r="AU376" s="1" t="str">
        <f>IF(AND(AND(AND(AU$4&gt;='2025'!$L374,AU$4&lt;='2025'!$M374), AU$4&lt;&gt;DATE(2025,7,4)), (SWITCH(weekday(AU$4), 1, 0, 2, if(ISBLANK('2025'!$P374), 0, 1), 3, if(ISBLANK('2025'!$Q374), 0, 1), 4, if(ISBLANK('2025'!$R374), 0, 1), 5, if(ISBLANK('2025'!$S374), 0, 1), 6, if(ISBLANK('2025'!$T374), 0, 1), 7, 0))), 1, "")</f>
        <v/>
      </c>
      <c r="AV376" s="1" t="str">
        <f>IF(AND(AND(AND(AV$4&gt;='2025'!$L374,AV$4&lt;='2025'!$M374), AV$4&lt;&gt;DATE(2025,7,4)), (SWITCH(weekday(AV$4), 1, 0, 2, if(ISBLANK('2025'!$P374), 0, 1), 3, if(ISBLANK('2025'!$Q374), 0, 1), 4, if(ISBLANK('2025'!$R374), 0, 1), 5, if(ISBLANK('2025'!$S374), 0, 1), 6, if(ISBLANK('2025'!$T374), 0, 1), 7, 0))), 1, "")</f>
        <v/>
      </c>
      <c r="AW376" s="1" t="str">
        <f>IF(AND(AND(AND(AW$4&gt;='2025'!$L374,AW$4&lt;='2025'!$M374), AW$4&lt;&gt;DATE(2025,7,4)), (SWITCH(weekday(AW$4), 1, 0, 2, if(ISBLANK('2025'!$P374), 0, 1), 3, if(ISBLANK('2025'!$Q374), 0, 1), 4, if(ISBLANK('2025'!$R374), 0, 1), 5, if(ISBLANK('2025'!$S374), 0, 1), 6, if(ISBLANK('2025'!$T374), 0, 1), 7, 0))), 1, "")</f>
        <v/>
      </c>
      <c r="AX376" s="1" t="str">
        <f>IF(AND(AND(AND(AX$4&gt;='2025'!$L374,AX$4&lt;='2025'!$M374), AX$4&lt;&gt;DATE(2025,7,4)), (SWITCH(weekday(AX$4), 1, 0, 2, if(ISBLANK('2025'!$P374), 0, 1), 3, if(ISBLANK('2025'!$Q374), 0, 1), 4, if(ISBLANK('2025'!$R374), 0, 1), 5, if(ISBLANK('2025'!$S374), 0, 1), 6, if(ISBLANK('2025'!$T374), 0, 1), 7, 0))), 1, "")</f>
        <v/>
      </c>
      <c r="AY376" s="1" t="str">
        <f>IF(AND(AND(AND(AY$4&gt;='2025'!$L374,AY$4&lt;='2025'!$M374), AY$4&lt;&gt;DATE(2025,7,4)), (SWITCH(weekday(AY$4), 1, 0, 2, if(ISBLANK('2025'!$P374), 0, 1), 3, if(ISBLANK('2025'!$Q374), 0, 1), 4, if(ISBLANK('2025'!$R374), 0, 1), 5, if(ISBLANK('2025'!$S374), 0, 1), 6, if(ISBLANK('2025'!$T374), 0, 1), 7, 0))), 1, "")</f>
        <v/>
      </c>
      <c r="AZ376" s="1" t="str">
        <f>IF(AND(AND(AND(AZ$4&gt;='2025'!$L374,AZ$4&lt;='2025'!$M374), AZ$4&lt;&gt;DATE(2025,7,4)), (SWITCH(weekday(AZ$4), 1, 0, 2, if(ISBLANK('2025'!$P374), 0, 1), 3, if(ISBLANK('2025'!$Q374), 0, 1), 4, if(ISBLANK('2025'!$R374), 0, 1), 5, if(ISBLANK('2025'!$S374), 0, 1), 6, if(ISBLANK('2025'!$T374), 0, 1), 7, 0))), 1, "")</f>
        <v/>
      </c>
      <c r="BA376" s="1" t="str">
        <f>IF(AND(AND(AND(BA$4&gt;='2025'!$L374,BA$4&lt;='2025'!$M374), BA$4&lt;&gt;DATE(2025,7,4)), (SWITCH(weekday(BA$4), 1, 0, 2, if(ISBLANK('2025'!$P374), 0, 1), 3, if(ISBLANK('2025'!$Q374), 0, 1), 4, if(ISBLANK('2025'!$R374), 0, 1), 5, if(ISBLANK('2025'!$S374), 0, 1), 6, if(ISBLANK('2025'!$T374), 0, 1), 7, 0))), 1, "")</f>
        <v/>
      </c>
      <c r="BB376" s="1" t="str">
        <f>IF(AND(AND(AND(BB$4&gt;='2025'!$L374,BB$4&lt;='2025'!$M374), BB$4&lt;&gt;DATE(2025,7,4)), (SWITCH(weekday(BB$4), 1, 0, 2, if(ISBLANK('2025'!$P374), 0, 1), 3, if(ISBLANK('2025'!$Q374), 0, 1), 4, if(ISBLANK('2025'!$R374), 0, 1), 5, if(ISBLANK('2025'!$S374), 0, 1), 6, if(ISBLANK('2025'!$T374), 0, 1), 7, 0))), 1, "")</f>
        <v/>
      </c>
      <c r="BC376" s="1" t="str">
        <f>IF(AND(AND(AND(BC$4&gt;='2025'!$L374,BC$4&lt;='2025'!$M374), BC$4&lt;&gt;DATE(2025,7,4)), (SWITCH(weekday(BC$4), 1, 0, 2, if(ISBLANK('2025'!$P374), 0, 1), 3, if(ISBLANK('2025'!$Q374), 0, 1), 4, if(ISBLANK('2025'!$R374), 0, 1), 5, if(ISBLANK('2025'!$S374), 0, 1), 6, if(ISBLANK('2025'!$T374), 0, 1), 7, 0))), 1, "")</f>
        <v/>
      </c>
      <c r="BD376" s="1" t="str">
        <f>IF(AND(AND(AND(BD$4&gt;='2025'!$L374,BD$4&lt;='2025'!$M374), BD$4&lt;&gt;DATE(2025,7,4)), (SWITCH(weekday(BD$4), 1, 0, 2, if(ISBLANK('2025'!$P374), 0, 1), 3, if(ISBLANK('2025'!$Q374), 0, 1), 4, if(ISBLANK('2025'!$R374), 0, 1), 5, if(ISBLANK('2025'!$S374), 0, 1), 6, if(ISBLANK('2025'!$T374), 0, 1), 7, 0))), 1, "")</f>
        <v/>
      </c>
      <c r="BE376" s="1" t="str">
        <f>IF(AND(AND(AND(BE$4&gt;='2025'!$L374,BE$4&lt;='2025'!$M374), BE$4&lt;&gt;DATE(2025,7,4)), (SWITCH(weekday(BE$4), 1, 0, 2, if(ISBLANK('2025'!$P374), 0, 1), 3, if(ISBLANK('2025'!$Q374), 0, 1), 4, if(ISBLANK('2025'!$R374), 0, 1), 5, if(ISBLANK('2025'!$S374), 0, 1), 6, if(ISBLANK('2025'!$T374), 0, 1), 7, 0))), 1, "")</f>
        <v/>
      </c>
      <c r="BF376" s="1" t="str">
        <f>IF(AND(AND(AND(BF$4&gt;='2025'!$L374,BF$4&lt;='2025'!$M374), BF$4&lt;&gt;DATE(2025,7,4)), (SWITCH(weekday(BF$4), 1, 0, 2, if(ISBLANK('2025'!$P374), 0, 1), 3, if(ISBLANK('2025'!$Q374), 0, 1), 4, if(ISBLANK('2025'!$R374), 0, 1), 5, if(ISBLANK('2025'!$S374), 0, 1), 6, if(ISBLANK('2025'!$T374), 0, 1), 7, 0))), 1, "")</f>
        <v/>
      </c>
      <c r="BG376" s="1"/>
      <c r="BH376" s="1"/>
      <c r="BI376" s="1"/>
      <c r="BJ376" s="1"/>
      <c r="BK376" s="1"/>
      <c r="BL376" s="1"/>
    </row>
    <row r="377">
      <c r="A377" s="1">
        <f t="shared" si="3"/>
        <v>377</v>
      </c>
      <c r="B377" s="1" t="str">
        <f>'2025'!D341</f>
        <v>, </v>
      </c>
      <c r="C377" s="1" t="str">
        <f>'2025'!H341</f>
        <v/>
      </c>
      <c r="D377" s="1" t="str">
        <f>IF(AND(AND(AND(D$4&gt;='2025'!$L375,D$4&lt;='2025'!$M375), D$4&lt;&gt;DATE(2025,7,4)), (SWITCH(weekday(D$4), 1, 0, 2, if(ISBLANK('2025'!$P375), 0, 1), 3, if(ISBLANK('2025'!$Q375), 0, 1), 4, if(ISBLANK('2025'!$R375), 0, 1), 5, if(ISBLANK('2025'!$S375), 0, 1), 6, if(ISBLANK('2025'!$T375), 0, 1), 7, 0))), 1, "")</f>
        <v/>
      </c>
      <c r="E377" s="1" t="str">
        <f>IF(AND(AND(AND(E$4&gt;='2025'!$L375,E$4&lt;='2025'!$M375), E$4&lt;&gt;DATE(2025,7,4)), (SWITCH(weekday(E$4), 1, 0, 2, if(ISBLANK('2025'!$P375), 0, 1), 3, if(ISBLANK('2025'!$Q375), 0, 1), 4, if(ISBLANK('2025'!$R375), 0, 1), 5, if(ISBLANK('2025'!$S375), 0, 1), 6, if(ISBLANK('2025'!$T375), 0, 1), 7, 0))), 1, "")</f>
        <v/>
      </c>
      <c r="F377" s="1" t="str">
        <f>IF(AND(AND(AND(F$4&gt;='2025'!$L375,F$4&lt;='2025'!$M375), F$4&lt;&gt;DATE(2025,7,4)), (SWITCH(weekday(F$4), 1, 0, 2, if(ISBLANK('2025'!$P375), 0, 1), 3, if(ISBLANK('2025'!$Q375), 0, 1), 4, if(ISBLANK('2025'!$R375), 0, 1), 5, if(ISBLANK('2025'!$S375), 0, 1), 6, if(ISBLANK('2025'!$T375), 0, 1), 7, 0))), 1, "")</f>
        <v/>
      </c>
      <c r="G377" s="1" t="str">
        <f>IF(AND(AND(AND(G$4&gt;='2025'!$L375,G$4&lt;='2025'!$M375), G$4&lt;&gt;DATE(2025,7,4)), (SWITCH(weekday(G$4), 1, 0, 2, if(ISBLANK('2025'!$P375), 0, 1), 3, if(ISBLANK('2025'!$Q375), 0, 1), 4, if(ISBLANK('2025'!$R375), 0, 1), 5, if(ISBLANK('2025'!$S375), 0, 1), 6, if(ISBLANK('2025'!$T375), 0, 1), 7, 0))), 1, "")</f>
        <v/>
      </c>
      <c r="H377" s="1" t="str">
        <f>IF(AND(AND(AND(H$4&gt;='2025'!$L375,H$4&lt;='2025'!$M375), H$4&lt;&gt;DATE(2025,7,4)), (SWITCH(weekday(H$4), 1, 0, 2, if(ISBLANK('2025'!$P375), 0, 1), 3, if(ISBLANK('2025'!$Q375), 0, 1), 4, if(ISBLANK('2025'!$R375), 0, 1), 5, if(ISBLANK('2025'!$S375), 0, 1), 6, if(ISBLANK('2025'!$T375), 0, 1), 7, 0))), 1, "")</f>
        <v/>
      </c>
      <c r="I377" s="1" t="str">
        <f>IF(AND(AND(AND(I$4&gt;='2025'!$L375,I$4&lt;='2025'!$M375), I$4&lt;&gt;DATE(2025,7,4)), (SWITCH(weekday(I$4), 1, 0, 2, if(ISBLANK('2025'!$P375), 0, 1), 3, if(ISBLANK('2025'!$Q375), 0, 1), 4, if(ISBLANK('2025'!$R375), 0, 1), 5, if(ISBLANK('2025'!$S375), 0, 1), 6, if(ISBLANK('2025'!$T375), 0, 1), 7, 0))), 1, "")</f>
        <v/>
      </c>
      <c r="J377" s="1" t="str">
        <f>IF(AND(AND(AND(J$4&gt;='2025'!$L375,J$4&lt;='2025'!$M375), J$4&lt;&gt;DATE(2025,7,4)), (SWITCH(weekday(J$4), 1, 0, 2, if(ISBLANK('2025'!$P375), 0, 1), 3, if(ISBLANK('2025'!$Q375), 0, 1), 4, if(ISBLANK('2025'!$R375), 0, 1), 5, if(ISBLANK('2025'!$S375), 0, 1), 6, if(ISBLANK('2025'!$T375), 0, 1), 7, 0))), 1, "")</f>
        <v/>
      </c>
      <c r="K377" s="1" t="str">
        <f>IF(AND(AND(AND(K$4&gt;='2025'!$L375,K$4&lt;='2025'!$M375), K$4&lt;&gt;DATE(2025,7,4)), (SWITCH(weekday(K$4), 1, 0, 2, if(ISBLANK('2025'!$P375), 0, 1), 3, if(ISBLANK('2025'!$Q375), 0, 1), 4, if(ISBLANK('2025'!$R375), 0, 1), 5, if(ISBLANK('2025'!$S375), 0, 1), 6, if(ISBLANK('2025'!$T375), 0, 1), 7, 0))), 1, "")</f>
        <v/>
      </c>
      <c r="L377" s="1" t="str">
        <f>IF(AND(AND(AND(L$4&gt;='2025'!$L375,L$4&lt;='2025'!$M375), L$4&lt;&gt;DATE(2025,7,4)), (SWITCH(weekday(L$4), 1, 0, 2, if(ISBLANK('2025'!$P375), 0, 1), 3, if(ISBLANK('2025'!$Q375), 0, 1), 4, if(ISBLANK('2025'!$R375), 0, 1), 5, if(ISBLANK('2025'!$S375), 0, 1), 6, if(ISBLANK('2025'!$T375), 0, 1), 7, 0))), 1, "")</f>
        <v/>
      </c>
      <c r="M377" s="1" t="str">
        <f>IF(AND(AND(AND(M$4&gt;='2025'!$L375,M$4&lt;='2025'!$M375), M$4&lt;&gt;DATE(2025,7,4)), (SWITCH(weekday(M$4), 1, 0, 2, if(ISBLANK('2025'!$P375), 0, 1), 3, if(ISBLANK('2025'!$Q375), 0, 1), 4, if(ISBLANK('2025'!$R375), 0, 1), 5, if(ISBLANK('2025'!$S375), 0, 1), 6, if(ISBLANK('2025'!$T375), 0, 1), 7, 0))), 1, "")</f>
        <v/>
      </c>
      <c r="N377" s="1" t="str">
        <f>IF(AND(AND(AND(N$4&gt;='2025'!$L375,N$4&lt;='2025'!$M375), N$4&lt;&gt;DATE(2025,7,4)), (SWITCH(weekday(N$4), 1, 0, 2, if(ISBLANK('2025'!$P375), 0, 1), 3, if(ISBLANK('2025'!$Q375), 0, 1), 4, if(ISBLANK('2025'!$R375), 0, 1), 5, if(ISBLANK('2025'!$S375), 0, 1), 6, if(ISBLANK('2025'!$T375), 0, 1), 7, 0))), 1, "")</f>
        <v/>
      </c>
      <c r="O377" s="1" t="str">
        <f>IF(AND(AND(AND(O$4&gt;='2025'!$L375,O$4&lt;='2025'!$M375), O$4&lt;&gt;DATE(2025,7,4)), (SWITCH(weekday(O$4), 1, 0, 2, if(ISBLANK('2025'!$P375), 0, 1), 3, if(ISBLANK('2025'!$Q375), 0, 1), 4, if(ISBLANK('2025'!$R375), 0, 1), 5, if(ISBLANK('2025'!$S375), 0, 1), 6, if(ISBLANK('2025'!$T375), 0, 1), 7, 0))), 1, "")</f>
        <v/>
      </c>
      <c r="P377" s="1" t="str">
        <f>IF(AND(AND(AND(P$4&gt;='2025'!$L375,P$4&lt;='2025'!$M375), P$4&lt;&gt;DATE(2025,7,4)), (SWITCH(weekday(P$4), 1, 0, 2, if(ISBLANK('2025'!$P375), 0, 1), 3, if(ISBLANK('2025'!$Q375), 0, 1), 4, if(ISBLANK('2025'!$R375), 0, 1), 5, if(ISBLANK('2025'!$S375), 0, 1), 6, if(ISBLANK('2025'!$T375), 0, 1), 7, 0))), 1, "")</f>
        <v/>
      </c>
      <c r="Q377" s="1" t="str">
        <f>IF(AND(AND(AND(Q$4&gt;='2025'!$L375,Q$4&lt;='2025'!$M375), Q$4&lt;&gt;DATE(2025,7,4)), (SWITCH(weekday(Q$4), 1, 0, 2, if(ISBLANK('2025'!$P375), 0, 1), 3, if(ISBLANK('2025'!$Q375), 0, 1), 4, if(ISBLANK('2025'!$R375), 0, 1), 5, if(ISBLANK('2025'!$S375), 0, 1), 6, if(ISBLANK('2025'!$T375), 0, 1), 7, 0))), 1, "")</f>
        <v/>
      </c>
      <c r="R377" s="1" t="str">
        <f>IF(AND(AND(AND(R$4&gt;='2025'!$L375,R$4&lt;='2025'!$M375), R$4&lt;&gt;DATE(2025,7,4)), (SWITCH(weekday(R$4), 1, 0, 2, if(ISBLANK('2025'!$P375), 0, 1), 3, if(ISBLANK('2025'!$Q375), 0, 1), 4, if(ISBLANK('2025'!$R375), 0, 1), 5, if(ISBLANK('2025'!$S375), 0, 1), 6, if(ISBLANK('2025'!$T375), 0, 1), 7, 0))), 1, "")</f>
        <v/>
      </c>
      <c r="S377" s="1" t="str">
        <f>IF(AND(AND(AND(S$4&gt;='2025'!$L375,S$4&lt;='2025'!$M375), S$4&lt;&gt;DATE(2025,7,4)), (SWITCH(weekday(S$4), 1, 0, 2, if(ISBLANK('2025'!$P375), 0, 1), 3, if(ISBLANK('2025'!$Q375), 0, 1), 4, if(ISBLANK('2025'!$R375), 0, 1), 5, if(ISBLANK('2025'!$S375), 0, 1), 6, if(ISBLANK('2025'!$T375), 0, 1), 7, 0))), 1, "")</f>
        <v/>
      </c>
      <c r="T377" s="1" t="str">
        <f>IF(AND(AND(AND(T$4&gt;='2025'!$L375,T$4&lt;='2025'!$M375), T$4&lt;&gt;DATE(2025,7,4)), (SWITCH(weekday(T$4), 1, 0, 2, if(ISBLANK('2025'!$P375), 0, 1), 3, if(ISBLANK('2025'!$Q375), 0, 1), 4, if(ISBLANK('2025'!$R375), 0, 1), 5, if(ISBLANK('2025'!$S375), 0, 1), 6, if(ISBLANK('2025'!$T375), 0, 1), 7, 0))), 1, "")</f>
        <v/>
      </c>
      <c r="U377" s="1" t="str">
        <f>IF(AND(AND(AND(U$4&gt;='2025'!$L375,U$4&lt;='2025'!$M375), U$4&lt;&gt;DATE(2025,7,4)), (SWITCH(weekday(U$4), 1, 0, 2, if(ISBLANK('2025'!$P375), 0, 1), 3, if(ISBLANK('2025'!$Q375), 0, 1), 4, if(ISBLANK('2025'!$R375), 0, 1), 5, if(ISBLANK('2025'!$S375), 0, 1), 6, if(ISBLANK('2025'!$T375), 0, 1), 7, 0))), 1, "")</f>
        <v/>
      </c>
      <c r="V377" s="1" t="str">
        <f>IF(AND(AND(AND(V$4&gt;='2025'!$L375,V$4&lt;='2025'!$M375), V$4&lt;&gt;DATE(2025,7,4)), (SWITCH(weekday(V$4), 1, 0, 2, if(ISBLANK('2025'!$P375), 0, 1), 3, if(ISBLANK('2025'!$Q375), 0, 1), 4, if(ISBLANK('2025'!$R375), 0, 1), 5, if(ISBLANK('2025'!$S375), 0, 1), 6, if(ISBLANK('2025'!$T375), 0, 1), 7, 0))), 1, "")</f>
        <v/>
      </c>
      <c r="W377" s="1" t="str">
        <f>IF(AND(AND(AND(W$4&gt;='2025'!$L375,W$4&lt;='2025'!$M375), W$4&lt;&gt;DATE(2025,7,4)), (SWITCH(weekday(W$4), 1, 0, 2, if(ISBLANK('2025'!$P375), 0, 1), 3, if(ISBLANK('2025'!$Q375), 0, 1), 4, if(ISBLANK('2025'!$R375), 0, 1), 5, if(ISBLANK('2025'!$S375), 0, 1), 6, if(ISBLANK('2025'!$T375), 0, 1), 7, 0))), 1, "")</f>
        <v/>
      </c>
      <c r="X377" s="1" t="str">
        <f>IF(AND(AND(AND(X$4&gt;='2025'!$L375,X$4&lt;='2025'!$M375), X$4&lt;&gt;DATE(2025,7,4)), (SWITCH(weekday(X$4), 1, 0, 2, if(ISBLANK('2025'!$P375), 0, 1), 3, if(ISBLANK('2025'!$Q375), 0, 1), 4, if(ISBLANK('2025'!$R375), 0, 1), 5, if(ISBLANK('2025'!$S375), 0, 1), 6, if(ISBLANK('2025'!$T375), 0, 1), 7, 0))), 1, "")</f>
        <v/>
      </c>
      <c r="Y377" s="1" t="str">
        <f>IF(AND(AND(AND(Y$4&gt;='2025'!$L375,Y$4&lt;='2025'!$M375), Y$4&lt;&gt;DATE(2025,7,4)), (SWITCH(weekday(Y$4), 1, 0, 2, if(ISBLANK('2025'!$P375), 0, 1), 3, if(ISBLANK('2025'!$Q375), 0, 1), 4, if(ISBLANK('2025'!$R375), 0, 1), 5, if(ISBLANK('2025'!$S375), 0, 1), 6, if(ISBLANK('2025'!$T375), 0, 1), 7, 0))), 1, "")</f>
        <v/>
      </c>
      <c r="Z377" s="1" t="str">
        <f>IF(AND(AND(AND(Z$4&gt;='2025'!$L375,Z$4&lt;='2025'!$M375), Z$4&lt;&gt;DATE(2025,7,4)), (SWITCH(weekday(Z$4), 1, 0, 2, if(ISBLANK('2025'!$P375), 0, 1), 3, if(ISBLANK('2025'!$Q375), 0, 1), 4, if(ISBLANK('2025'!$R375), 0, 1), 5, if(ISBLANK('2025'!$S375), 0, 1), 6, if(ISBLANK('2025'!$T375), 0, 1), 7, 0))), 1, "")</f>
        <v/>
      </c>
      <c r="AA377" s="1" t="str">
        <f>IF(AND(AND(AND(AA$4&gt;='2025'!$L375,AA$4&lt;='2025'!$M375), AA$4&lt;&gt;DATE(2025,7,4)), (SWITCH(weekday(AA$4), 1, 0, 2, if(ISBLANK('2025'!$P375), 0, 1), 3, if(ISBLANK('2025'!$Q375), 0, 1), 4, if(ISBLANK('2025'!$R375), 0, 1), 5, if(ISBLANK('2025'!$S375), 0, 1), 6, if(ISBLANK('2025'!$T375), 0, 1), 7, 0))), 1, "")</f>
        <v/>
      </c>
      <c r="AB377" s="1" t="str">
        <f>IF(AND(AND(AND(AB$4&gt;='2025'!$L375,AB$4&lt;='2025'!$M375), AB$4&lt;&gt;DATE(2025,7,4)), (SWITCH(weekday(AB$4), 1, 0, 2, if(ISBLANK('2025'!$P375), 0, 1), 3, if(ISBLANK('2025'!$Q375), 0, 1), 4, if(ISBLANK('2025'!$R375), 0, 1), 5, if(ISBLANK('2025'!$S375), 0, 1), 6, if(ISBLANK('2025'!$T375), 0, 1), 7, 0))), 1, "")</f>
        <v/>
      </c>
      <c r="AC377" s="1" t="str">
        <f>IF(AND(AND(AND(AC$4&gt;='2025'!$L375,AC$4&lt;='2025'!$M375), AC$4&lt;&gt;DATE(2025,7,4)), (SWITCH(weekday(AC$4), 1, 0, 2, if(ISBLANK('2025'!$P375), 0, 1), 3, if(ISBLANK('2025'!$Q375), 0, 1), 4, if(ISBLANK('2025'!$R375), 0, 1), 5, if(ISBLANK('2025'!$S375), 0, 1), 6, if(ISBLANK('2025'!$T375), 0, 1), 7, 0))), 1, "")</f>
        <v/>
      </c>
      <c r="AD377" s="1" t="str">
        <f>IF(AND(AND(AND(AD$4&gt;='2025'!$L375,AD$4&lt;='2025'!$M375), AD$4&lt;&gt;DATE(2025,7,4)), (SWITCH(weekday(AD$4), 1, 0, 2, if(ISBLANK('2025'!$P375), 0, 1), 3, if(ISBLANK('2025'!$Q375), 0, 1), 4, if(ISBLANK('2025'!$R375), 0, 1), 5, if(ISBLANK('2025'!$S375), 0, 1), 6, if(ISBLANK('2025'!$T375), 0, 1), 7, 0))), 1, "")</f>
        <v/>
      </c>
      <c r="AE377" s="1" t="str">
        <f>IF(AND(AND(AND(AE$4&gt;='2025'!$L375,AE$4&lt;='2025'!$M375), AE$4&lt;&gt;DATE(2025,7,4)), (SWITCH(weekday(AE$4), 1, 0, 2, if(ISBLANK('2025'!$P375), 0, 1), 3, if(ISBLANK('2025'!$Q375), 0, 1), 4, if(ISBLANK('2025'!$R375), 0, 1), 5, if(ISBLANK('2025'!$S375), 0, 1), 6, if(ISBLANK('2025'!$T375), 0, 1), 7, 0))), 1, "")</f>
        <v/>
      </c>
      <c r="AF377" s="1" t="str">
        <f>IF(AND(AND(AND(AF$4&gt;='2025'!$L375,AF$4&lt;='2025'!$M375), AF$4&lt;&gt;DATE(2025,7,4)), (SWITCH(weekday(AF$4), 1, 0, 2, if(ISBLANK('2025'!$P375), 0, 1), 3, if(ISBLANK('2025'!$Q375), 0, 1), 4, if(ISBLANK('2025'!$R375), 0, 1), 5, if(ISBLANK('2025'!$S375), 0, 1), 6, if(ISBLANK('2025'!$T375), 0, 1), 7, 0))), 1, "")</f>
        <v/>
      </c>
      <c r="AG377" s="1" t="str">
        <f>IF(AND(AND(AND(AG$4&gt;='2025'!$L375,AG$4&lt;='2025'!$M375), AG$4&lt;&gt;DATE(2025,7,4)), (SWITCH(weekday(AG$4), 1, 0, 2, if(ISBLANK('2025'!$P375), 0, 1), 3, if(ISBLANK('2025'!$Q375), 0, 1), 4, if(ISBLANK('2025'!$R375), 0, 1), 5, if(ISBLANK('2025'!$S375), 0, 1), 6, if(ISBLANK('2025'!$T375), 0, 1), 7, 0))), 1, "")</f>
        <v/>
      </c>
      <c r="AH377" s="1" t="str">
        <f>IF(AND(AND(AND(AH$4&gt;='2025'!$L375,AH$4&lt;='2025'!$M375), AH$4&lt;&gt;DATE(2025,7,4)), (SWITCH(weekday(AH$4), 1, 0, 2, if(ISBLANK('2025'!$P375), 0, 1), 3, if(ISBLANK('2025'!$Q375), 0, 1), 4, if(ISBLANK('2025'!$R375), 0, 1), 5, if(ISBLANK('2025'!$S375), 0, 1), 6, if(ISBLANK('2025'!$T375), 0, 1), 7, 0))), 1, "")</f>
        <v/>
      </c>
      <c r="AI377" s="1" t="str">
        <f>IF(AND(AND(AND(AI$4&gt;='2025'!$L375,AI$4&lt;='2025'!$M375), AI$4&lt;&gt;DATE(2025,7,4)), (SWITCH(weekday(AI$4), 1, 0, 2, if(ISBLANK('2025'!$P375), 0, 1), 3, if(ISBLANK('2025'!$Q375), 0, 1), 4, if(ISBLANK('2025'!$R375), 0, 1), 5, if(ISBLANK('2025'!$S375), 0, 1), 6, if(ISBLANK('2025'!$T375), 0, 1), 7, 0))), 1, "")</f>
        <v/>
      </c>
      <c r="AJ377" s="1" t="str">
        <f>IF(AND(AND(AND(AJ$4&gt;='2025'!$L375,AJ$4&lt;='2025'!$M375), AJ$4&lt;&gt;DATE(2025,7,4)), (SWITCH(weekday(AJ$4), 1, 0, 2, if(ISBLANK('2025'!$P375), 0, 1), 3, if(ISBLANK('2025'!$Q375), 0, 1), 4, if(ISBLANK('2025'!$R375), 0, 1), 5, if(ISBLANK('2025'!$S375), 0, 1), 6, if(ISBLANK('2025'!$T375), 0, 1), 7, 0))), 1, "")</f>
        <v/>
      </c>
      <c r="AK377" s="1" t="str">
        <f>IF(AND(AND(AND(AK$4&gt;='2025'!$L375,AK$4&lt;='2025'!$M375), AK$4&lt;&gt;DATE(2025,7,4)), (SWITCH(weekday(AK$4), 1, 0, 2, if(ISBLANK('2025'!$P375), 0, 1), 3, if(ISBLANK('2025'!$Q375), 0, 1), 4, if(ISBLANK('2025'!$R375), 0, 1), 5, if(ISBLANK('2025'!$S375), 0, 1), 6, if(ISBLANK('2025'!$T375), 0, 1), 7, 0))), 1, "")</f>
        <v/>
      </c>
      <c r="AL377" s="1" t="str">
        <f>IF(AND(AND(AND(AL$4&gt;='2025'!$L375,AL$4&lt;='2025'!$M375), AL$4&lt;&gt;DATE(2025,7,4)), (SWITCH(weekday(AL$4), 1, 0, 2, if(ISBLANK('2025'!$P375), 0, 1), 3, if(ISBLANK('2025'!$Q375), 0, 1), 4, if(ISBLANK('2025'!$R375), 0, 1), 5, if(ISBLANK('2025'!$S375), 0, 1), 6, if(ISBLANK('2025'!$T375), 0, 1), 7, 0))), 1, "")</f>
        <v/>
      </c>
      <c r="AM377" s="1" t="str">
        <f>IF(AND(AND(AND(AM$4&gt;='2025'!$L375,AM$4&lt;='2025'!$M375), AM$4&lt;&gt;DATE(2025,7,4)), (SWITCH(weekday(AM$4), 1, 0, 2, if(ISBLANK('2025'!$P375), 0, 1), 3, if(ISBLANK('2025'!$Q375), 0, 1), 4, if(ISBLANK('2025'!$R375), 0, 1), 5, if(ISBLANK('2025'!$S375), 0, 1), 6, if(ISBLANK('2025'!$T375), 0, 1), 7, 0))), 1, "")</f>
        <v/>
      </c>
      <c r="AN377" s="1" t="str">
        <f>IF(AND(AND(AND(AN$4&gt;='2025'!$L375,AN$4&lt;='2025'!$M375), AN$4&lt;&gt;DATE(2025,7,4)), (SWITCH(weekday(AN$4), 1, 0, 2, if(ISBLANK('2025'!$P375), 0, 1), 3, if(ISBLANK('2025'!$Q375), 0, 1), 4, if(ISBLANK('2025'!$R375), 0, 1), 5, if(ISBLANK('2025'!$S375), 0, 1), 6, if(ISBLANK('2025'!$T375), 0, 1), 7, 0))), 1, "")</f>
        <v/>
      </c>
      <c r="AO377" s="1" t="str">
        <f>IF(AND(AND(AND(AO$4&gt;='2025'!$L375,AO$4&lt;='2025'!$M375), AO$4&lt;&gt;DATE(2025,7,4)), (SWITCH(weekday(AO$4), 1, 0, 2, if(ISBLANK('2025'!$P375), 0, 1), 3, if(ISBLANK('2025'!$Q375), 0, 1), 4, if(ISBLANK('2025'!$R375), 0, 1), 5, if(ISBLANK('2025'!$S375), 0, 1), 6, if(ISBLANK('2025'!$T375), 0, 1), 7, 0))), 1, "")</f>
        <v/>
      </c>
      <c r="AP377" s="1" t="str">
        <f>IF(AND(AND(AND(AP$4&gt;='2025'!$L375,AP$4&lt;='2025'!$M375), AP$4&lt;&gt;DATE(2025,7,4)), (SWITCH(weekday(AP$4), 1, 0, 2, if(ISBLANK('2025'!$P375), 0, 1), 3, if(ISBLANK('2025'!$Q375), 0, 1), 4, if(ISBLANK('2025'!$R375), 0, 1), 5, if(ISBLANK('2025'!$S375), 0, 1), 6, if(ISBLANK('2025'!$T375), 0, 1), 7, 0))), 1, "")</f>
        <v/>
      </c>
      <c r="AQ377" s="1" t="str">
        <f>IF(AND(AND(AND(AQ$4&gt;='2025'!$L375,AQ$4&lt;='2025'!$M375), AQ$4&lt;&gt;DATE(2025,7,4)), (SWITCH(weekday(AQ$4), 1, 0, 2, if(ISBLANK('2025'!$P375), 0, 1), 3, if(ISBLANK('2025'!$Q375), 0, 1), 4, if(ISBLANK('2025'!$R375), 0, 1), 5, if(ISBLANK('2025'!$S375), 0, 1), 6, if(ISBLANK('2025'!$T375), 0, 1), 7, 0))), 1, "")</f>
        <v/>
      </c>
      <c r="AR377" s="1" t="str">
        <f>IF(AND(AND(AND(AR$4&gt;='2025'!$L375,AR$4&lt;='2025'!$M375), AR$4&lt;&gt;DATE(2025,7,4)), (SWITCH(weekday(AR$4), 1, 0, 2, if(ISBLANK('2025'!$P375), 0, 1), 3, if(ISBLANK('2025'!$Q375), 0, 1), 4, if(ISBLANK('2025'!$R375), 0, 1), 5, if(ISBLANK('2025'!$S375), 0, 1), 6, if(ISBLANK('2025'!$T375), 0, 1), 7, 0))), 1, "")</f>
        <v/>
      </c>
      <c r="AS377" s="1" t="str">
        <f>IF(AND(AND(AND(AS$4&gt;='2025'!$L375,AS$4&lt;='2025'!$M375), AS$4&lt;&gt;DATE(2025,7,4)), (SWITCH(weekday(AS$4), 1, 0, 2, if(ISBLANK('2025'!$P375), 0, 1), 3, if(ISBLANK('2025'!$Q375), 0, 1), 4, if(ISBLANK('2025'!$R375), 0, 1), 5, if(ISBLANK('2025'!$S375), 0, 1), 6, if(ISBLANK('2025'!$T375), 0, 1), 7, 0))), 1, "")</f>
        <v/>
      </c>
      <c r="AT377" s="1" t="str">
        <f>IF(AND(AND(AND(AT$4&gt;='2025'!$L375,AT$4&lt;='2025'!$M375), AT$4&lt;&gt;DATE(2025,7,4)), (SWITCH(weekday(AT$4), 1, 0, 2, if(ISBLANK('2025'!$P375), 0, 1), 3, if(ISBLANK('2025'!$Q375), 0, 1), 4, if(ISBLANK('2025'!$R375), 0, 1), 5, if(ISBLANK('2025'!$S375), 0, 1), 6, if(ISBLANK('2025'!$T375), 0, 1), 7, 0))), 1, "")</f>
        <v/>
      </c>
      <c r="AU377" s="1" t="str">
        <f>IF(AND(AND(AND(AU$4&gt;='2025'!$L375,AU$4&lt;='2025'!$M375), AU$4&lt;&gt;DATE(2025,7,4)), (SWITCH(weekday(AU$4), 1, 0, 2, if(ISBLANK('2025'!$P375), 0, 1), 3, if(ISBLANK('2025'!$Q375), 0, 1), 4, if(ISBLANK('2025'!$R375), 0, 1), 5, if(ISBLANK('2025'!$S375), 0, 1), 6, if(ISBLANK('2025'!$T375), 0, 1), 7, 0))), 1, "")</f>
        <v/>
      </c>
      <c r="AV377" s="1" t="str">
        <f>IF(AND(AND(AND(AV$4&gt;='2025'!$L375,AV$4&lt;='2025'!$M375), AV$4&lt;&gt;DATE(2025,7,4)), (SWITCH(weekday(AV$4), 1, 0, 2, if(ISBLANK('2025'!$P375), 0, 1), 3, if(ISBLANK('2025'!$Q375), 0, 1), 4, if(ISBLANK('2025'!$R375), 0, 1), 5, if(ISBLANK('2025'!$S375), 0, 1), 6, if(ISBLANK('2025'!$T375), 0, 1), 7, 0))), 1, "")</f>
        <v/>
      </c>
      <c r="AW377" s="1" t="str">
        <f>IF(AND(AND(AND(AW$4&gt;='2025'!$L375,AW$4&lt;='2025'!$M375), AW$4&lt;&gt;DATE(2025,7,4)), (SWITCH(weekday(AW$4), 1, 0, 2, if(ISBLANK('2025'!$P375), 0, 1), 3, if(ISBLANK('2025'!$Q375), 0, 1), 4, if(ISBLANK('2025'!$R375), 0, 1), 5, if(ISBLANK('2025'!$S375), 0, 1), 6, if(ISBLANK('2025'!$T375), 0, 1), 7, 0))), 1, "")</f>
        <v/>
      </c>
      <c r="AX377" s="1" t="str">
        <f>IF(AND(AND(AND(AX$4&gt;='2025'!$L375,AX$4&lt;='2025'!$M375), AX$4&lt;&gt;DATE(2025,7,4)), (SWITCH(weekday(AX$4), 1, 0, 2, if(ISBLANK('2025'!$P375), 0, 1), 3, if(ISBLANK('2025'!$Q375), 0, 1), 4, if(ISBLANK('2025'!$R375), 0, 1), 5, if(ISBLANK('2025'!$S375), 0, 1), 6, if(ISBLANK('2025'!$T375), 0, 1), 7, 0))), 1, "")</f>
        <v/>
      </c>
      <c r="AY377" s="1" t="str">
        <f>IF(AND(AND(AND(AY$4&gt;='2025'!$L375,AY$4&lt;='2025'!$M375), AY$4&lt;&gt;DATE(2025,7,4)), (SWITCH(weekday(AY$4), 1, 0, 2, if(ISBLANK('2025'!$P375), 0, 1), 3, if(ISBLANK('2025'!$Q375), 0, 1), 4, if(ISBLANK('2025'!$R375), 0, 1), 5, if(ISBLANK('2025'!$S375), 0, 1), 6, if(ISBLANK('2025'!$T375), 0, 1), 7, 0))), 1, "")</f>
        <v/>
      </c>
      <c r="AZ377" s="1" t="str">
        <f>IF(AND(AND(AND(AZ$4&gt;='2025'!$L375,AZ$4&lt;='2025'!$M375), AZ$4&lt;&gt;DATE(2025,7,4)), (SWITCH(weekday(AZ$4), 1, 0, 2, if(ISBLANK('2025'!$P375), 0, 1), 3, if(ISBLANK('2025'!$Q375), 0, 1), 4, if(ISBLANK('2025'!$R375), 0, 1), 5, if(ISBLANK('2025'!$S375), 0, 1), 6, if(ISBLANK('2025'!$T375), 0, 1), 7, 0))), 1, "")</f>
        <v/>
      </c>
      <c r="BA377" s="1" t="str">
        <f>IF(AND(AND(AND(BA$4&gt;='2025'!$L375,BA$4&lt;='2025'!$M375), BA$4&lt;&gt;DATE(2025,7,4)), (SWITCH(weekday(BA$4), 1, 0, 2, if(ISBLANK('2025'!$P375), 0, 1), 3, if(ISBLANK('2025'!$Q375), 0, 1), 4, if(ISBLANK('2025'!$R375), 0, 1), 5, if(ISBLANK('2025'!$S375), 0, 1), 6, if(ISBLANK('2025'!$T375), 0, 1), 7, 0))), 1, "")</f>
        <v/>
      </c>
      <c r="BB377" s="1" t="str">
        <f>IF(AND(AND(AND(BB$4&gt;='2025'!$L375,BB$4&lt;='2025'!$M375), BB$4&lt;&gt;DATE(2025,7,4)), (SWITCH(weekday(BB$4), 1, 0, 2, if(ISBLANK('2025'!$P375), 0, 1), 3, if(ISBLANK('2025'!$Q375), 0, 1), 4, if(ISBLANK('2025'!$R375), 0, 1), 5, if(ISBLANK('2025'!$S375), 0, 1), 6, if(ISBLANK('2025'!$T375), 0, 1), 7, 0))), 1, "")</f>
        <v/>
      </c>
      <c r="BC377" s="1" t="str">
        <f>IF(AND(AND(AND(BC$4&gt;='2025'!$L375,BC$4&lt;='2025'!$M375), BC$4&lt;&gt;DATE(2025,7,4)), (SWITCH(weekday(BC$4), 1, 0, 2, if(ISBLANK('2025'!$P375), 0, 1), 3, if(ISBLANK('2025'!$Q375), 0, 1), 4, if(ISBLANK('2025'!$R375), 0, 1), 5, if(ISBLANK('2025'!$S375), 0, 1), 6, if(ISBLANK('2025'!$T375), 0, 1), 7, 0))), 1, "")</f>
        <v/>
      </c>
      <c r="BD377" s="1" t="str">
        <f>IF(AND(AND(AND(BD$4&gt;='2025'!$L375,BD$4&lt;='2025'!$M375), BD$4&lt;&gt;DATE(2025,7,4)), (SWITCH(weekday(BD$4), 1, 0, 2, if(ISBLANK('2025'!$P375), 0, 1), 3, if(ISBLANK('2025'!$Q375), 0, 1), 4, if(ISBLANK('2025'!$R375), 0, 1), 5, if(ISBLANK('2025'!$S375), 0, 1), 6, if(ISBLANK('2025'!$T375), 0, 1), 7, 0))), 1, "")</f>
        <v/>
      </c>
      <c r="BE377" s="1" t="str">
        <f>IF(AND(AND(AND(BE$4&gt;='2025'!$L375,BE$4&lt;='2025'!$M375), BE$4&lt;&gt;DATE(2025,7,4)), (SWITCH(weekday(BE$4), 1, 0, 2, if(ISBLANK('2025'!$P375), 0, 1), 3, if(ISBLANK('2025'!$Q375), 0, 1), 4, if(ISBLANK('2025'!$R375), 0, 1), 5, if(ISBLANK('2025'!$S375), 0, 1), 6, if(ISBLANK('2025'!$T375), 0, 1), 7, 0))), 1, "")</f>
        <v/>
      </c>
      <c r="BF377" s="1" t="str">
        <f>IF(AND(AND(AND(BF$4&gt;='2025'!$L375,BF$4&lt;='2025'!$M375), BF$4&lt;&gt;DATE(2025,7,4)), (SWITCH(weekday(BF$4), 1, 0, 2, if(ISBLANK('2025'!$P375), 0, 1), 3, if(ISBLANK('2025'!$Q375), 0, 1), 4, if(ISBLANK('2025'!$R375), 0, 1), 5, if(ISBLANK('2025'!$S375), 0, 1), 6, if(ISBLANK('2025'!$T375), 0, 1), 7, 0))), 1, "")</f>
        <v/>
      </c>
      <c r="BG377" s="1"/>
      <c r="BH377" s="1"/>
      <c r="BI377" s="1"/>
      <c r="BJ377" s="1"/>
      <c r="BK377" s="1"/>
      <c r="BL377" s="1"/>
    </row>
    <row r="378">
      <c r="A378" s="1">
        <f t="shared" si="3"/>
        <v>378</v>
      </c>
      <c r="B378" s="1" t="str">
        <f>'2025'!D342</f>
        <v>, </v>
      </c>
      <c r="C378" s="1" t="str">
        <f>'2025'!H342</f>
        <v/>
      </c>
      <c r="D378" s="1" t="str">
        <f>IF(AND(AND(AND(D$4&gt;='2025'!$L376,D$4&lt;='2025'!$M376), D$4&lt;&gt;DATE(2025,7,4)), (SWITCH(weekday(D$4), 1, 0, 2, if(ISBLANK('2025'!$P376), 0, 1), 3, if(ISBLANK('2025'!$Q376), 0, 1), 4, if(ISBLANK('2025'!$R376), 0, 1), 5, if(ISBLANK('2025'!$S376), 0, 1), 6, if(ISBLANK('2025'!$T376), 0, 1), 7, 0))), 1, "")</f>
        <v/>
      </c>
      <c r="E378" s="1" t="str">
        <f>IF(AND(AND(AND(E$4&gt;='2025'!$L376,E$4&lt;='2025'!$M376), E$4&lt;&gt;DATE(2025,7,4)), (SWITCH(weekday(E$4), 1, 0, 2, if(ISBLANK('2025'!$P376), 0, 1), 3, if(ISBLANK('2025'!$Q376), 0, 1), 4, if(ISBLANK('2025'!$R376), 0, 1), 5, if(ISBLANK('2025'!$S376), 0, 1), 6, if(ISBLANK('2025'!$T376), 0, 1), 7, 0))), 1, "")</f>
        <v/>
      </c>
      <c r="F378" s="1" t="str">
        <f>IF(AND(AND(AND(F$4&gt;='2025'!$L376,F$4&lt;='2025'!$M376), F$4&lt;&gt;DATE(2025,7,4)), (SWITCH(weekday(F$4), 1, 0, 2, if(ISBLANK('2025'!$P376), 0, 1), 3, if(ISBLANK('2025'!$Q376), 0, 1), 4, if(ISBLANK('2025'!$R376), 0, 1), 5, if(ISBLANK('2025'!$S376), 0, 1), 6, if(ISBLANK('2025'!$T376), 0, 1), 7, 0))), 1, "")</f>
        <v/>
      </c>
      <c r="G378" s="1" t="str">
        <f>IF(AND(AND(AND(G$4&gt;='2025'!$L376,G$4&lt;='2025'!$M376), G$4&lt;&gt;DATE(2025,7,4)), (SWITCH(weekday(G$4), 1, 0, 2, if(ISBLANK('2025'!$P376), 0, 1), 3, if(ISBLANK('2025'!$Q376), 0, 1), 4, if(ISBLANK('2025'!$R376), 0, 1), 5, if(ISBLANK('2025'!$S376), 0, 1), 6, if(ISBLANK('2025'!$T376), 0, 1), 7, 0))), 1, "")</f>
        <v/>
      </c>
      <c r="H378" s="1" t="str">
        <f>IF(AND(AND(AND(H$4&gt;='2025'!$L376,H$4&lt;='2025'!$M376), H$4&lt;&gt;DATE(2025,7,4)), (SWITCH(weekday(H$4), 1, 0, 2, if(ISBLANK('2025'!$P376), 0, 1), 3, if(ISBLANK('2025'!$Q376), 0, 1), 4, if(ISBLANK('2025'!$R376), 0, 1), 5, if(ISBLANK('2025'!$S376), 0, 1), 6, if(ISBLANK('2025'!$T376), 0, 1), 7, 0))), 1, "")</f>
        <v/>
      </c>
      <c r="I378" s="1" t="str">
        <f>IF(AND(AND(AND(I$4&gt;='2025'!$L376,I$4&lt;='2025'!$M376), I$4&lt;&gt;DATE(2025,7,4)), (SWITCH(weekday(I$4), 1, 0, 2, if(ISBLANK('2025'!$P376), 0, 1), 3, if(ISBLANK('2025'!$Q376), 0, 1), 4, if(ISBLANK('2025'!$R376), 0, 1), 5, if(ISBLANK('2025'!$S376), 0, 1), 6, if(ISBLANK('2025'!$T376), 0, 1), 7, 0))), 1, "")</f>
        <v/>
      </c>
      <c r="J378" s="1" t="str">
        <f>IF(AND(AND(AND(J$4&gt;='2025'!$L376,J$4&lt;='2025'!$M376), J$4&lt;&gt;DATE(2025,7,4)), (SWITCH(weekday(J$4), 1, 0, 2, if(ISBLANK('2025'!$P376), 0, 1), 3, if(ISBLANK('2025'!$Q376), 0, 1), 4, if(ISBLANK('2025'!$R376), 0, 1), 5, if(ISBLANK('2025'!$S376), 0, 1), 6, if(ISBLANK('2025'!$T376), 0, 1), 7, 0))), 1, "")</f>
        <v/>
      </c>
      <c r="K378" s="1" t="str">
        <f>IF(AND(AND(AND(K$4&gt;='2025'!$L376,K$4&lt;='2025'!$M376), K$4&lt;&gt;DATE(2025,7,4)), (SWITCH(weekday(K$4), 1, 0, 2, if(ISBLANK('2025'!$P376), 0, 1), 3, if(ISBLANK('2025'!$Q376), 0, 1), 4, if(ISBLANK('2025'!$R376), 0, 1), 5, if(ISBLANK('2025'!$S376), 0, 1), 6, if(ISBLANK('2025'!$T376), 0, 1), 7, 0))), 1, "")</f>
        <v/>
      </c>
      <c r="L378" s="1" t="str">
        <f>IF(AND(AND(AND(L$4&gt;='2025'!$L376,L$4&lt;='2025'!$M376), L$4&lt;&gt;DATE(2025,7,4)), (SWITCH(weekday(L$4), 1, 0, 2, if(ISBLANK('2025'!$P376), 0, 1), 3, if(ISBLANK('2025'!$Q376), 0, 1), 4, if(ISBLANK('2025'!$R376), 0, 1), 5, if(ISBLANK('2025'!$S376), 0, 1), 6, if(ISBLANK('2025'!$T376), 0, 1), 7, 0))), 1, "")</f>
        <v/>
      </c>
      <c r="M378" s="1" t="str">
        <f>IF(AND(AND(AND(M$4&gt;='2025'!$L376,M$4&lt;='2025'!$M376), M$4&lt;&gt;DATE(2025,7,4)), (SWITCH(weekday(M$4), 1, 0, 2, if(ISBLANK('2025'!$P376), 0, 1), 3, if(ISBLANK('2025'!$Q376), 0, 1), 4, if(ISBLANK('2025'!$R376), 0, 1), 5, if(ISBLANK('2025'!$S376), 0, 1), 6, if(ISBLANK('2025'!$T376), 0, 1), 7, 0))), 1, "")</f>
        <v/>
      </c>
      <c r="N378" s="1" t="str">
        <f>IF(AND(AND(AND(N$4&gt;='2025'!$L376,N$4&lt;='2025'!$M376), N$4&lt;&gt;DATE(2025,7,4)), (SWITCH(weekday(N$4), 1, 0, 2, if(ISBLANK('2025'!$P376), 0, 1), 3, if(ISBLANK('2025'!$Q376), 0, 1), 4, if(ISBLANK('2025'!$R376), 0, 1), 5, if(ISBLANK('2025'!$S376), 0, 1), 6, if(ISBLANK('2025'!$T376), 0, 1), 7, 0))), 1, "")</f>
        <v/>
      </c>
      <c r="O378" s="1" t="str">
        <f>IF(AND(AND(AND(O$4&gt;='2025'!$L376,O$4&lt;='2025'!$M376), O$4&lt;&gt;DATE(2025,7,4)), (SWITCH(weekday(O$4), 1, 0, 2, if(ISBLANK('2025'!$P376), 0, 1), 3, if(ISBLANK('2025'!$Q376), 0, 1), 4, if(ISBLANK('2025'!$R376), 0, 1), 5, if(ISBLANK('2025'!$S376), 0, 1), 6, if(ISBLANK('2025'!$T376), 0, 1), 7, 0))), 1, "")</f>
        <v/>
      </c>
      <c r="P378" s="1" t="str">
        <f>IF(AND(AND(AND(P$4&gt;='2025'!$L376,P$4&lt;='2025'!$M376), P$4&lt;&gt;DATE(2025,7,4)), (SWITCH(weekday(P$4), 1, 0, 2, if(ISBLANK('2025'!$P376), 0, 1), 3, if(ISBLANK('2025'!$Q376), 0, 1), 4, if(ISBLANK('2025'!$R376), 0, 1), 5, if(ISBLANK('2025'!$S376), 0, 1), 6, if(ISBLANK('2025'!$T376), 0, 1), 7, 0))), 1, "")</f>
        <v/>
      </c>
      <c r="Q378" s="1" t="str">
        <f>IF(AND(AND(AND(Q$4&gt;='2025'!$L376,Q$4&lt;='2025'!$M376), Q$4&lt;&gt;DATE(2025,7,4)), (SWITCH(weekday(Q$4), 1, 0, 2, if(ISBLANK('2025'!$P376), 0, 1), 3, if(ISBLANK('2025'!$Q376), 0, 1), 4, if(ISBLANK('2025'!$R376), 0, 1), 5, if(ISBLANK('2025'!$S376), 0, 1), 6, if(ISBLANK('2025'!$T376), 0, 1), 7, 0))), 1, "")</f>
        <v/>
      </c>
      <c r="R378" s="1" t="str">
        <f>IF(AND(AND(AND(R$4&gt;='2025'!$L376,R$4&lt;='2025'!$M376), R$4&lt;&gt;DATE(2025,7,4)), (SWITCH(weekday(R$4), 1, 0, 2, if(ISBLANK('2025'!$P376), 0, 1), 3, if(ISBLANK('2025'!$Q376), 0, 1), 4, if(ISBLANK('2025'!$R376), 0, 1), 5, if(ISBLANK('2025'!$S376), 0, 1), 6, if(ISBLANK('2025'!$T376), 0, 1), 7, 0))), 1, "")</f>
        <v/>
      </c>
      <c r="S378" s="1" t="str">
        <f>IF(AND(AND(AND(S$4&gt;='2025'!$L376,S$4&lt;='2025'!$M376), S$4&lt;&gt;DATE(2025,7,4)), (SWITCH(weekday(S$4), 1, 0, 2, if(ISBLANK('2025'!$P376), 0, 1), 3, if(ISBLANK('2025'!$Q376), 0, 1), 4, if(ISBLANK('2025'!$R376), 0, 1), 5, if(ISBLANK('2025'!$S376), 0, 1), 6, if(ISBLANK('2025'!$T376), 0, 1), 7, 0))), 1, "")</f>
        <v/>
      </c>
      <c r="T378" s="1" t="str">
        <f>IF(AND(AND(AND(T$4&gt;='2025'!$L376,T$4&lt;='2025'!$M376), T$4&lt;&gt;DATE(2025,7,4)), (SWITCH(weekday(T$4), 1, 0, 2, if(ISBLANK('2025'!$P376), 0, 1), 3, if(ISBLANK('2025'!$Q376), 0, 1), 4, if(ISBLANK('2025'!$R376), 0, 1), 5, if(ISBLANK('2025'!$S376), 0, 1), 6, if(ISBLANK('2025'!$T376), 0, 1), 7, 0))), 1, "")</f>
        <v/>
      </c>
      <c r="U378" s="1" t="str">
        <f>IF(AND(AND(AND(U$4&gt;='2025'!$L376,U$4&lt;='2025'!$M376), U$4&lt;&gt;DATE(2025,7,4)), (SWITCH(weekday(U$4), 1, 0, 2, if(ISBLANK('2025'!$P376), 0, 1), 3, if(ISBLANK('2025'!$Q376), 0, 1), 4, if(ISBLANK('2025'!$R376), 0, 1), 5, if(ISBLANK('2025'!$S376), 0, 1), 6, if(ISBLANK('2025'!$T376), 0, 1), 7, 0))), 1, "")</f>
        <v/>
      </c>
      <c r="V378" s="1" t="str">
        <f>IF(AND(AND(AND(V$4&gt;='2025'!$L376,V$4&lt;='2025'!$M376), V$4&lt;&gt;DATE(2025,7,4)), (SWITCH(weekday(V$4), 1, 0, 2, if(ISBLANK('2025'!$P376), 0, 1), 3, if(ISBLANK('2025'!$Q376), 0, 1), 4, if(ISBLANK('2025'!$R376), 0, 1), 5, if(ISBLANK('2025'!$S376), 0, 1), 6, if(ISBLANK('2025'!$T376), 0, 1), 7, 0))), 1, "")</f>
        <v/>
      </c>
      <c r="W378" s="1" t="str">
        <f>IF(AND(AND(AND(W$4&gt;='2025'!$L376,W$4&lt;='2025'!$M376), W$4&lt;&gt;DATE(2025,7,4)), (SWITCH(weekday(W$4), 1, 0, 2, if(ISBLANK('2025'!$P376), 0, 1), 3, if(ISBLANK('2025'!$Q376), 0, 1), 4, if(ISBLANK('2025'!$R376), 0, 1), 5, if(ISBLANK('2025'!$S376), 0, 1), 6, if(ISBLANK('2025'!$T376), 0, 1), 7, 0))), 1, "")</f>
        <v/>
      </c>
      <c r="X378" s="1" t="str">
        <f>IF(AND(AND(AND(X$4&gt;='2025'!$L376,X$4&lt;='2025'!$M376), X$4&lt;&gt;DATE(2025,7,4)), (SWITCH(weekday(X$4), 1, 0, 2, if(ISBLANK('2025'!$P376), 0, 1), 3, if(ISBLANK('2025'!$Q376), 0, 1), 4, if(ISBLANK('2025'!$R376), 0, 1), 5, if(ISBLANK('2025'!$S376), 0, 1), 6, if(ISBLANK('2025'!$T376), 0, 1), 7, 0))), 1, "")</f>
        <v/>
      </c>
      <c r="Y378" s="1" t="str">
        <f>IF(AND(AND(AND(Y$4&gt;='2025'!$L376,Y$4&lt;='2025'!$M376), Y$4&lt;&gt;DATE(2025,7,4)), (SWITCH(weekday(Y$4), 1, 0, 2, if(ISBLANK('2025'!$P376), 0, 1), 3, if(ISBLANK('2025'!$Q376), 0, 1), 4, if(ISBLANK('2025'!$R376), 0, 1), 5, if(ISBLANK('2025'!$S376), 0, 1), 6, if(ISBLANK('2025'!$T376), 0, 1), 7, 0))), 1, "")</f>
        <v/>
      </c>
      <c r="Z378" s="1" t="str">
        <f>IF(AND(AND(AND(Z$4&gt;='2025'!$L376,Z$4&lt;='2025'!$M376), Z$4&lt;&gt;DATE(2025,7,4)), (SWITCH(weekday(Z$4), 1, 0, 2, if(ISBLANK('2025'!$P376), 0, 1), 3, if(ISBLANK('2025'!$Q376), 0, 1), 4, if(ISBLANK('2025'!$R376), 0, 1), 5, if(ISBLANK('2025'!$S376), 0, 1), 6, if(ISBLANK('2025'!$T376), 0, 1), 7, 0))), 1, "")</f>
        <v/>
      </c>
      <c r="AA378" s="1" t="str">
        <f>IF(AND(AND(AND(AA$4&gt;='2025'!$L376,AA$4&lt;='2025'!$M376), AA$4&lt;&gt;DATE(2025,7,4)), (SWITCH(weekday(AA$4), 1, 0, 2, if(ISBLANK('2025'!$P376), 0, 1), 3, if(ISBLANK('2025'!$Q376), 0, 1), 4, if(ISBLANK('2025'!$R376), 0, 1), 5, if(ISBLANK('2025'!$S376), 0, 1), 6, if(ISBLANK('2025'!$T376), 0, 1), 7, 0))), 1, "")</f>
        <v/>
      </c>
      <c r="AB378" s="1" t="str">
        <f>IF(AND(AND(AND(AB$4&gt;='2025'!$L376,AB$4&lt;='2025'!$M376), AB$4&lt;&gt;DATE(2025,7,4)), (SWITCH(weekday(AB$4), 1, 0, 2, if(ISBLANK('2025'!$P376), 0, 1), 3, if(ISBLANK('2025'!$Q376), 0, 1), 4, if(ISBLANK('2025'!$R376), 0, 1), 5, if(ISBLANK('2025'!$S376), 0, 1), 6, if(ISBLANK('2025'!$T376), 0, 1), 7, 0))), 1, "")</f>
        <v/>
      </c>
      <c r="AC378" s="1" t="str">
        <f>IF(AND(AND(AND(AC$4&gt;='2025'!$L376,AC$4&lt;='2025'!$M376), AC$4&lt;&gt;DATE(2025,7,4)), (SWITCH(weekday(AC$4), 1, 0, 2, if(ISBLANK('2025'!$P376), 0, 1), 3, if(ISBLANK('2025'!$Q376), 0, 1), 4, if(ISBLANK('2025'!$R376), 0, 1), 5, if(ISBLANK('2025'!$S376), 0, 1), 6, if(ISBLANK('2025'!$T376), 0, 1), 7, 0))), 1, "")</f>
        <v/>
      </c>
      <c r="AD378" s="1" t="str">
        <f>IF(AND(AND(AND(AD$4&gt;='2025'!$L376,AD$4&lt;='2025'!$M376), AD$4&lt;&gt;DATE(2025,7,4)), (SWITCH(weekday(AD$4), 1, 0, 2, if(ISBLANK('2025'!$P376), 0, 1), 3, if(ISBLANK('2025'!$Q376), 0, 1), 4, if(ISBLANK('2025'!$R376), 0, 1), 5, if(ISBLANK('2025'!$S376), 0, 1), 6, if(ISBLANK('2025'!$T376), 0, 1), 7, 0))), 1, "")</f>
        <v/>
      </c>
      <c r="AE378" s="1" t="str">
        <f>IF(AND(AND(AND(AE$4&gt;='2025'!$L376,AE$4&lt;='2025'!$M376), AE$4&lt;&gt;DATE(2025,7,4)), (SWITCH(weekday(AE$4), 1, 0, 2, if(ISBLANK('2025'!$P376), 0, 1), 3, if(ISBLANK('2025'!$Q376), 0, 1), 4, if(ISBLANK('2025'!$R376), 0, 1), 5, if(ISBLANK('2025'!$S376), 0, 1), 6, if(ISBLANK('2025'!$T376), 0, 1), 7, 0))), 1, "")</f>
        <v/>
      </c>
      <c r="AF378" s="1" t="str">
        <f>IF(AND(AND(AND(AF$4&gt;='2025'!$L376,AF$4&lt;='2025'!$M376), AF$4&lt;&gt;DATE(2025,7,4)), (SWITCH(weekday(AF$4), 1, 0, 2, if(ISBLANK('2025'!$P376), 0, 1), 3, if(ISBLANK('2025'!$Q376), 0, 1), 4, if(ISBLANK('2025'!$R376), 0, 1), 5, if(ISBLANK('2025'!$S376), 0, 1), 6, if(ISBLANK('2025'!$T376), 0, 1), 7, 0))), 1, "")</f>
        <v/>
      </c>
      <c r="AG378" s="1" t="str">
        <f>IF(AND(AND(AND(AG$4&gt;='2025'!$L376,AG$4&lt;='2025'!$M376), AG$4&lt;&gt;DATE(2025,7,4)), (SWITCH(weekday(AG$4), 1, 0, 2, if(ISBLANK('2025'!$P376), 0, 1), 3, if(ISBLANK('2025'!$Q376), 0, 1), 4, if(ISBLANK('2025'!$R376), 0, 1), 5, if(ISBLANK('2025'!$S376), 0, 1), 6, if(ISBLANK('2025'!$T376), 0, 1), 7, 0))), 1, "")</f>
        <v/>
      </c>
      <c r="AH378" s="1" t="str">
        <f>IF(AND(AND(AND(AH$4&gt;='2025'!$L376,AH$4&lt;='2025'!$M376), AH$4&lt;&gt;DATE(2025,7,4)), (SWITCH(weekday(AH$4), 1, 0, 2, if(ISBLANK('2025'!$P376), 0, 1), 3, if(ISBLANK('2025'!$Q376), 0, 1), 4, if(ISBLANK('2025'!$R376), 0, 1), 5, if(ISBLANK('2025'!$S376), 0, 1), 6, if(ISBLANK('2025'!$T376), 0, 1), 7, 0))), 1, "")</f>
        <v/>
      </c>
      <c r="AI378" s="1" t="str">
        <f>IF(AND(AND(AND(AI$4&gt;='2025'!$L376,AI$4&lt;='2025'!$M376), AI$4&lt;&gt;DATE(2025,7,4)), (SWITCH(weekday(AI$4), 1, 0, 2, if(ISBLANK('2025'!$P376), 0, 1), 3, if(ISBLANK('2025'!$Q376), 0, 1), 4, if(ISBLANK('2025'!$R376), 0, 1), 5, if(ISBLANK('2025'!$S376), 0, 1), 6, if(ISBLANK('2025'!$T376), 0, 1), 7, 0))), 1, "")</f>
        <v/>
      </c>
      <c r="AJ378" s="1" t="str">
        <f>IF(AND(AND(AND(AJ$4&gt;='2025'!$L376,AJ$4&lt;='2025'!$M376), AJ$4&lt;&gt;DATE(2025,7,4)), (SWITCH(weekday(AJ$4), 1, 0, 2, if(ISBLANK('2025'!$P376), 0, 1), 3, if(ISBLANK('2025'!$Q376), 0, 1), 4, if(ISBLANK('2025'!$R376), 0, 1), 5, if(ISBLANK('2025'!$S376), 0, 1), 6, if(ISBLANK('2025'!$T376), 0, 1), 7, 0))), 1, "")</f>
        <v/>
      </c>
      <c r="AK378" s="1" t="str">
        <f>IF(AND(AND(AND(AK$4&gt;='2025'!$L376,AK$4&lt;='2025'!$M376), AK$4&lt;&gt;DATE(2025,7,4)), (SWITCH(weekday(AK$4), 1, 0, 2, if(ISBLANK('2025'!$P376), 0, 1), 3, if(ISBLANK('2025'!$Q376), 0, 1), 4, if(ISBLANK('2025'!$R376), 0, 1), 5, if(ISBLANK('2025'!$S376), 0, 1), 6, if(ISBLANK('2025'!$T376), 0, 1), 7, 0))), 1, "")</f>
        <v/>
      </c>
      <c r="AL378" s="1" t="str">
        <f>IF(AND(AND(AND(AL$4&gt;='2025'!$L376,AL$4&lt;='2025'!$M376), AL$4&lt;&gt;DATE(2025,7,4)), (SWITCH(weekday(AL$4), 1, 0, 2, if(ISBLANK('2025'!$P376), 0, 1), 3, if(ISBLANK('2025'!$Q376), 0, 1), 4, if(ISBLANK('2025'!$R376), 0, 1), 5, if(ISBLANK('2025'!$S376), 0, 1), 6, if(ISBLANK('2025'!$T376), 0, 1), 7, 0))), 1, "")</f>
        <v/>
      </c>
      <c r="AM378" s="1" t="str">
        <f>IF(AND(AND(AND(AM$4&gt;='2025'!$L376,AM$4&lt;='2025'!$M376), AM$4&lt;&gt;DATE(2025,7,4)), (SWITCH(weekday(AM$4), 1, 0, 2, if(ISBLANK('2025'!$P376), 0, 1), 3, if(ISBLANK('2025'!$Q376), 0, 1), 4, if(ISBLANK('2025'!$R376), 0, 1), 5, if(ISBLANK('2025'!$S376), 0, 1), 6, if(ISBLANK('2025'!$T376), 0, 1), 7, 0))), 1, "")</f>
        <v/>
      </c>
      <c r="AN378" s="1" t="str">
        <f>IF(AND(AND(AND(AN$4&gt;='2025'!$L376,AN$4&lt;='2025'!$M376), AN$4&lt;&gt;DATE(2025,7,4)), (SWITCH(weekday(AN$4), 1, 0, 2, if(ISBLANK('2025'!$P376), 0, 1), 3, if(ISBLANK('2025'!$Q376), 0, 1), 4, if(ISBLANK('2025'!$R376), 0, 1), 5, if(ISBLANK('2025'!$S376), 0, 1), 6, if(ISBLANK('2025'!$T376), 0, 1), 7, 0))), 1, "")</f>
        <v/>
      </c>
      <c r="AO378" s="1" t="str">
        <f>IF(AND(AND(AND(AO$4&gt;='2025'!$L376,AO$4&lt;='2025'!$M376), AO$4&lt;&gt;DATE(2025,7,4)), (SWITCH(weekday(AO$4), 1, 0, 2, if(ISBLANK('2025'!$P376), 0, 1), 3, if(ISBLANK('2025'!$Q376), 0, 1), 4, if(ISBLANK('2025'!$R376), 0, 1), 5, if(ISBLANK('2025'!$S376), 0, 1), 6, if(ISBLANK('2025'!$T376), 0, 1), 7, 0))), 1, "")</f>
        <v/>
      </c>
      <c r="AP378" s="1" t="str">
        <f>IF(AND(AND(AND(AP$4&gt;='2025'!$L376,AP$4&lt;='2025'!$M376), AP$4&lt;&gt;DATE(2025,7,4)), (SWITCH(weekday(AP$4), 1, 0, 2, if(ISBLANK('2025'!$P376), 0, 1), 3, if(ISBLANK('2025'!$Q376), 0, 1), 4, if(ISBLANK('2025'!$R376), 0, 1), 5, if(ISBLANK('2025'!$S376), 0, 1), 6, if(ISBLANK('2025'!$T376), 0, 1), 7, 0))), 1, "")</f>
        <v/>
      </c>
      <c r="AQ378" s="1" t="str">
        <f>IF(AND(AND(AND(AQ$4&gt;='2025'!$L376,AQ$4&lt;='2025'!$M376), AQ$4&lt;&gt;DATE(2025,7,4)), (SWITCH(weekday(AQ$4), 1, 0, 2, if(ISBLANK('2025'!$P376), 0, 1), 3, if(ISBLANK('2025'!$Q376), 0, 1), 4, if(ISBLANK('2025'!$R376), 0, 1), 5, if(ISBLANK('2025'!$S376), 0, 1), 6, if(ISBLANK('2025'!$T376), 0, 1), 7, 0))), 1, "")</f>
        <v/>
      </c>
      <c r="AR378" s="1" t="str">
        <f>IF(AND(AND(AND(AR$4&gt;='2025'!$L376,AR$4&lt;='2025'!$M376), AR$4&lt;&gt;DATE(2025,7,4)), (SWITCH(weekday(AR$4), 1, 0, 2, if(ISBLANK('2025'!$P376), 0, 1), 3, if(ISBLANK('2025'!$Q376), 0, 1), 4, if(ISBLANK('2025'!$R376), 0, 1), 5, if(ISBLANK('2025'!$S376), 0, 1), 6, if(ISBLANK('2025'!$T376), 0, 1), 7, 0))), 1, "")</f>
        <v/>
      </c>
      <c r="AS378" s="1" t="str">
        <f>IF(AND(AND(AND(AS$4&gt;='2025'!$L376,AS$4&lt;='2025'!$M376), AS$4&lt;&gt;DATE(2025,7,4)), (SWITCH(weekday(AS$4), 1, 0, 2, if(ISBLANK('2025'!$P376), 0, 1), 3, if(ISBLANK('2025'!$Q376), 0, 1), 4, if(ISBLANK('2025'!$R376), 0, 1), 5, if(ISBLANK('2025'!$S376), 0, 1), 6, if(ISBLANK('2025'!$T376), 0, 1), 7, 0))), 1, "")</f>
        <v/>
      </c>
      <c r="AT378" s="1" t="str">
        <f>IF(AND(AND(AND(AT$4&gt;='2025'!$L376,AT$4&lt;='2025'!$M376), AT$4&lt;&gt;DATE(2025,7,4)), (SWITCH(weekday(AT$4), 1, 0, 2, if(ISBLANK('2025'!$P376), 0, 1), 3, if(ISBLANK('2025'!$Q376), 0, 1), 4, if(ISBLANK('2025'!$R376), 0, 1), 5, if(ISBLANK('2025'!$S376), 0, 1), 6, if(ISBLANK('2025'!$T376), 0, 1), 7, 0))), 1, "")</f>
        <v/>
      </c>
      <c r="AU378" s="1" t="str">
        <f>IF(AND(AND(AND(AU$4&gt;='2025'!$L376,AU$4&lt;='2025'!$M376), AU$4&lt;&gt;DATE(2025,7,4)), (SWITCH(weekday(AU$4), 1, 0, 2, if(ISBLANK('2025'!$P376), 0, 1), 3, if(ISBLANK('2025'!$Q376), 0, 1), 4, if(ISBLANK('2025'!$R376), 0, 1), 5, if(ISBLANK('2025'!$S376), 0, 1), 6, if(ISBLANK('2025'!$T376), 0, 1), 7, 0))), 1, "")</f>
        <v/>
      </c>
      <c r="AV378" s="1" t="str">
        <f>IF(AND(AND(AND(AV$4&gt;='2025'!$L376,AV$4&lt;='2025'!$M376), AV$4&lt;&gt;DATE(2025,7,4)), (SWITCH(weekday(AV$4), 1, 0, 2, if(ISBLANK('2025'!$P376), 0, 1), 3, if(ISBLANK('2025'!$Q376), 0, 1), 4, if(ISBLANK('2025'!$R376), 0, 1), 5, if(ISBLANK('2025'!$S376), 0, 1), 6, if(ISBLANK('2025'!$T376), 0, 1), 7, 0))), 1, "")</f>
        <v/>
      </c>
      <c r="AW378" s="1" t="str">
        <f>IF(AND(AND(AND(AW$4&gt;='2025'!$L376,AW$4&lt;='2025'!$M376), AW$4&lt;&gt;DATE(2025,7,4)), (SWITCH(weekday(AW$4), 1, 0, 2, if(ISBLANK('2025'!$P376), 0, 1), 3, if(ISBLANK('2025'!$Q376), 0, 1), 4, if(ISBLANK('2025'!$R376), 0, 1), 5, if(ISBLANK('2025'!$S376), 0, 1), 6, if(ISBLANK('2025'!$T376), 0, 1), 7, 0))), 1, "")</f>
        <v/>
      </c>
      <c r="AX378" s="1" t="str">
        <f>IF(AND(AND(AND(AX$4&gt;='2025'!$L376,AX$4&lt;='2025'!$M376), AX$4&lt;&gt;DATE(2025,7,4)), (SWITCH(weekday(AX$4), 1, 0, 2, if(ISBLANK('2025'!$P376), 0, 1), 3, if(ISBLANK('2025'!$Q376), 0, 1), 4, if(ISBLANK('2025'!$R376), 0, 1), 5, if(ISBLANK('2025'!$S376), 0, 1), 6, if(ISBLANK('2025'!$T376), 0, 1), 7, 0))), 1, "")</f>
        <v/>
      </c>
      <c r="AY378" s="1" t="str">
        <f>IF(AND(AND(AND(AY$4&gt;='2025'!$L376,AY$4&lt;='2025'!$M376), AY$4&lt;&gt;DATE(2025,7,4)), (SWITCH(weekday(AY$4), 1, 0, 2, if(ISBLANK('2025'!$P376), 0, 1), 3, if(ISBLANK('2025'!$Q376), 0, 1), 4, if(ISBLANK('2025'!$R376), 0, 1), 5, if(ISBLANK('2025'!$S376), 0, 1), 6, if(ISBLANK('2025'!$T376), 0, 1), 7, 0))), 1, "")</f>
        <v/>
      </c>
      <c r="AZ378" s="1" t="str">
        <f>IF(AND(AND(AND(AZ$4&gt;='2025'!$L376,AZ$4&lt;='2025'!$M376), AZ$4&lt;&gt;DATE(2025,7,4)), (SWITCH(weekday(AZ$4), 1, 0, 2, if(ISBLANK('2025'!$P376), 0, 1), 3, if(ISBLANK('2025'!$Q376), 0, 1), 4, if(ISBLANK('2025'!$R376), 0, 1), 5, if(ISBLANK('2025'!$S376), 0, 1), 6, if(ISBLANK('2025'!$T376), 0, 1), 7, 0))), 1, "")</f>
        <v/>
      </c>
      <c r="BA378" s="1" t="str">
        <f>IF(AND(AND(AND(BA$4&gt;='2025'!$L376,BA$4&lt;='2025'!$M376), BA$4&lt;&gt;DATE(2025,7,4)), (SWITCH(weekday(BA$4), 1, 0, 2, if(ISBLANK('2025'!$P376), 0, 1), 3, if(ISBLANK('2025'!$Q376), 0, 1), 4, if(ISBLANK('2025'!$R376), 0, 1), 5, if(ISBLANK('2025'!$S376), 0, 1), 6, if(ISBLANK('2025'!$T376), 0, 1), 7, 0))), 1, "")</f>
        <v/>
      </c>
      <c r="BB378" s="1" t="str">
        <f>IF(AND(AND(AND(BB$4&gt;='2025'!$L376,BB$4&lt;='2025'!$M376), BB$4&lt;&gt;DATE(2025,7,4)), (SWITCH(weekday(BB$4), 1, 0, 2, if(ISBLANK('2025'!$P376), 0, 1), 3, if(ISBLANK('2025'!$Q376), 0, 1), 4, if(ISBLANK('2025'!$R376), 0, 1), 5, if(ISBLANK('2025'!$S376), 0, 1), 6, if(ISBLANK('2025'!$T376), 0, 1), 7, 0))), 1, "")</f>
        <v/>
      </c>
      <c r="BC378" s="1" t="str">
        <f>IF(AND(AND(AND(BC$4&gt;='2025'!$L376,BC$4&lt;='2025'!$M376), BC$4&lt;&gt;DATE(2025,7,4)), (SWITCH(weekday(BC$4), 1, 0, 2, if(ISBLANK('2025'!$P376), 0, 1), 3, if(ISBLANK('2025'!$Q376), 0, 1), 4, if(ISBLANK('2025'!$R376), 0, 1), 5, if(ISBLANK('2025'!$S376), 0, 1), 6, if(ISBLANK('2025'!$T376), 0, 1), 7, 0))), 1, "")</f>
        <v/>
      </c>
      <c r="BD378" s="1" t="str">
        <f>IF(AND(AND(AND(BD$4&gt;='2025'!$L376,BD$4&lt;='2025'!$M376), BD$4&lt;&gt;DATE(2025,7,4)), (SWITCH(weekday(BD$4), 1, 0, 2, if(ISBLANK('2025'!$P376), 0, 1), 3, if(ISBLANK('2025'!$Q376), 0, 1), 4, if(ISBLANK('2025'!$R376), 0, 1), 5, if(ISBLANK('2025'!$S376), 0, 1), 6, if(ISBLANK('2025'!$T376), 0, 1), 7, 0))), 1, "")</f>
        <v/>
      </c>
      <c r="BE378" s="1" t="str">
        <f>IF(AND(AND(AND(BE$4&gt;='2025'!$L376,BE$4&lt;='2025'!$M376), BE$4&lt;&gt;DATE(2025,7,4)), (SWITCH(weekday(BE$4), 1, 0, 2, if(ISBLANK('2025'!$P376), 0, 1), 3, if(ISBLANK('2025'!$Q376), 0, 1), 4, if(ISBLANK('2025'!$R376), 0, 1), 5, if(ISBLANK('2025'!$S376), 0, 1), 6, if(ISBLANK('2025'!$T376), 0, 1), 7, 0))), 1, "")</f>
        <v/>
      </c>
      <c r="BF378" s="1" t="str">
        <f>IF(AND(AND(AND(BF$4&gt;='2025'!$L376,BF$4&lt;='2025'!$M376), BF$4&lt;&gt;DATE(2025,7,4)), (SWITCH(weekday(BF$4), 1, 0, 2, if(ISBLANK('2025'!$P376), 0, 1), 3, if(ISBLANK('2025'!$Q376), 0, 1), 4, if(ISBLANK('2025'!$R376), 0, 1), 5, if(ISBLANK('2025'!$S376), 0, 1), 6, if(ISBLANK('2025'!$T376), 0, 1), 7, 0))), 1, "")</f>
        <v/>
      </c>
      <c r="BG378" s="1"/>
      <c r="BH378" s="1"/>
      <c r="BI378" s="1"/>
      <c r="BJ378" s="1"/>
      <c r="BK378" s="1"/>
      <c r="BL378" s="1"/>
    </row>
    <row r="379">
      <c r="A379" s="1">
        <f t="shared" si="3"/>
        <v>379</v>
      </c>
      <c r="B379" s="1" t="str">
        <f>'2025'!D343</f>
        <v/>
      </c>
      <c r="C379" s="1" t="str">
        <f>'2025'!H343</f>
        <v/>
      </c>
      <c r="D379" s="1" t="str">
        <f>IF(AND(AND(AND(D$4&gt;='2025'!$L343,D$4&lt;='2025'!$M343), D$4&lt;&gt;DATE(2025,7,4)), (SWITCH(weekday(D$4), 1, 0, 2, if(ISBLANK('2025'!$P343), 0, 1), 3, if(ISBLANK('2025'!$Q343), 0, 1), 4, if(ISBLANK('2025'!$R343), 0, 1), 5, if(ISBLANK('2025'!$S343), 0, 1), 6, if(ISBLANK('2025'!$T343), 0, 1), 7, 0))), 1, "")</f>
        <v/>
      </c>
      <c r="E379" s="1" t="str">
        <f>IF(AND(AND(AND(E$4&gt;='2025'!$L343,E$4&lt;='2025'!$M343), E$4&lt;&gt;DATE(2025,7,4)), (SWITCH(weekday(E$4), 1, 0, 2, if(ISBLANK('2025'!$P343), 0, 1), 3, if(ISBLANK('2025'!$Q343), 0, 1), 4, if(ISBLANK('2025'!$R343), 0, 1), 5, if(ISBLANK('2025'!$S343), 0, 1), 6, if(ISBLANK('2025'!$T343), 0, 1), 7, 0))), 1, "")</f>
        <v/>
      </c>
      <c r="F379" s="1" t="str">
        <f>IF(AND(AND(AND(F$4&gt;='2025'!$L343,F$4&lt;='2025'!$M343), F$4&lt;&gt;DATE(2025,7,4)), (SWITCH(weekday(F$4), 1, 0, 2, if(ISBLANK('2025'!$P343), 0, 1), 3, if(ISBLANK('2025'!$Q343), 0, 1), 4, if(ISBLANK('2025'!$R343), 0, 1), 5, if(ISBLANK('2025'!$S343), 0, 1), 6, if(ISBLANK('2025'!$T343), 0, 1), 7, 0))), 1, "")</f>
        <v/>
      </c>
      <c r="G379" s="1" t="str">
        <f>IF(AND(AND(AND(G$4&gt;='2025'!$L343,G$4&lt;='2025'!$M343), G$4&lt;&gt;DATE(2025,7,4)), (SWITCH(weekday(G$4), 1, 0, 2, if(ISBLANK('2025'!$P343), 0, 1), 3, if(ISBLANK('2025'!$Q343), 0, 1), 4, if(ISBLANK('2025'!$R343), 0, 1), 5, if(ISBLANK('2025'!$S343), 0, 1), 6, if(ISBLANK('2025'!$T343), 0, 1), 7, 0))), 1, "")</f>
        <v/>
      </c>
      <c r="H379" s="1" t="str">
        <f>IF(AND(AND(AND(H$4&gt;='2025'!$L343,H$4&lt;='2025'!$M343), H$4&lt;&gt;DATE(2025,7,4)), (SWITCH(weekday(H$4), 1, 0, 2, if(ISBLANK('2025'!$P343), 0, 1), 3, if(ISBLANK('2025'!$Q343), 0, 1), 4, if(ISBLANK('2025'!$R343), 0, 1), 5, if(ISBLANK('2025'!$S343), 0, 1), 6, if(ISBLANK('2025'!$T343), 0, 1), 7, 0))), 1, "")</f>
        <v/>
      </c>
      <c r="I379" s="1" t="str">
        <f>IF(AND(AND(AND(I$4&gt;='2025'!$L343,I$4&lt;='2025'!$M343), I$4&lt;&gt;DATE(2025,7,4)), (SWITCH(weekday(I$4), 1, 0, 2, if(ISBLANK('2025'!$P343), 0, 1), 3, if(ISBLANK('2025'!$Q343), 0, 1), 4, if(ISBLANK('2025'!$R343), 0, 1), 5, if(ISBLANK('2025'!$S343), 0, 1), 6, if(ISBLANK('2025'!$T343), 0, 1), 7, 0))), 1, "")</f>
        <v/>
      </c>
      <c r="J379" s="1" t="str">
        <f>IF(AND(AND(AND(J$4&gt;='2025'!$L343,J$4&lt;='2025'!$M343), J$4&lt;&gt;DATE(2025,7,4)), (SWITCH(weekday(J$4), 1, 0, 2, if(ISBLANK('2025'!$P343), 0, 1), 3, if(ISBLANK('2025'!$Q343), 0, 1), 4, if(ISBLANK('2025'!$R343), 0, 1), 5, if(ISBLANK('2025'!$S343), 0, 1), 6, if(ISBLANK('2025'!$T343), 0, 1), 7, 0))), 1, "")</f>
        <v/>
      </c>
      <c r="K379" s="1" t="str">
        <f>IF(AND(AND(AND(K$4&gt;='2025'!$L343,K$4&lt;='2025'!$M343), K$4&lt;&gt;DATE(2025,7,4)), (SWITCH(weekday(K$4), 1, 0, 2, if(ISBLANK('2025'!$P343), 0, 1), 3, if(ISBLANK('2025'!$Q343), 0, 1), 4, if(ISBLANK('2025'!$R343), 0, 1), 5, if(ISBLANK('2025'!$S343), 0, 1), 6, if(ISBLANK('2025'!$T343), 0, 1), 7, 0))), 1, "")</f>
        <v/>
      </c>
      <c r="L379" s="1" t="str">
        <f>IF(AND(AND(AND(L$4&gt;='2025'!$L343,L$4&lt;='2025'!$M343), L$4&lt;&gt;DATE(2025,7,4)), (SWITCH(weekday(L$4), 1, 0, 2, if(ISBLANK('2025'!$P343), 0, 1), 3, if(ISBLANK('2025'!$Q343), 0, 1), 4, if(ISBLANK('2025'!$R343), 0, 1), 5, if(ISBLANK('2025'!$S343), 0, 1), 6, if(ISBLANK('2025'!$T343), 0, 1), 7, 0))), 1, "")</f>
        <v/>
      </c>
      <c r="M379" s="1" t="str">
        <f>IF(AND(AND(AND(M$4&gt;='2025'!$L343,M$4&lt;='2025'!$M343), M$4&lt;&gt;DATE(2025,7,4)), (SWITCH(weekday(M$4), 1, 0, 2, if(ISBLANK('2025'!$P343), 0, 1), 3, if(ISBLANK('2025'!$Q343), 0, 1), 4, if(ISBLANK('2025'!$R343), 0, 1), 5, if(ISBLANK('2025'!$S343), 0, 1), 6, if(ISBLANK('2025'!$T343), 0, 1), 7, 0))), 1, "")</f>
        <v/>
      </c>
      <c r="N379" s="1" t="str">
        <f>IF(AND(AND(AND(N$4&gt;='2025'!$L343,N$4&lt;='2025'!$M343), N$4&lt;&gt;DATE(2025,7,4)), (SWITCH(weekday(N$4), 1, 0, 2, if(ISBLANK('2025'!$P343), 0, 1), 3, if(ISBLANK('2025'!$Q343), 0, 1), 4, if(ISBLANK('2025'!$R343), 0, 1), 5, if(ISBLANK('2025'!$S343), 0, 1), 6, if(ISBLANK('2025'!$T343), 0, 1), 7, 0))), 1, "")</f>
        <v/>
      </c>
      <c r="O379" s="1" t="str">
        <f>IF(AND(AND(AND(O$4&gt;='2025'!$L343,O$4&lt;='2025'!$M343), O$4&lt;&gt;DATE(2025,7,4)), (SWITCH(weekday(O$4), 1, 0, 2, if(ISBLANK('2025'!$P343), 0, 1), 3, if(ISBLANK('2025'!$Q343), 0, 1), 4, if(ISBLANK('2025'!$R343), 0, 1), 5, if(ISBLANK('2025'!$S343), 0, 1), 6, if(ISBLANK('2025'!$T343), 0, 1), 7, 0))), 1, "")</f>
        <v/>
      </c>
      <c r="P379" s="1" t="str">
        <f>IF(AND(AND(AND(P$4&gt;='2025'!$L343,P$4&lt;='2025'!$M343), P$4&lt;&gt;DATE(2025,7,4)), (SWITCH(weekday(P$4), 1, 0, 2, if(ISBLANK('2025'!$P343), 0, 1), 3, if(ISBLANK('2025'!$Q343), 0, 1), 4, if(ISBLANK('2025'!$R343), 0, 1), 5, if(ISBLANK('2025'!$S343), 0, 1), 6, if(ISBLANK('2025'!$T343), 0, 1), 7, 0))), 1, "")</f>
        <v/>
      </c>
      <c r="Q379" s="1" t="str">
        <f>IF(AND(AND(AND(Q$4&gt;='2025'!$L343,Q$4&lt;='2025'!$M343), Q$4&lt;&gt;DATE(2025,7,4)), (SWITCH(weekday(Q$4), 1, 0, 2, if(ISBLANK('2025'!$P343), 0, 1), 3, if(ISBLANK('2025'!$Q343), 0, 1), 4, if(ISBLANK('2025'!$R343), 0, 1), 5, if(ISBLANK('2025'!$S343), 0, 1), 6, if(ISBLANK('2025'!$T343), 0, 1), 7, 0))), 1, "")</f>
        <v/>
      </c>
      <c r="R379" s="1" t="str">
        <f>IF(AND(AND(AND(R$4&gt;='2025'!$L343,R$4&lt;='2025'!$M343), R$4&lt;&gt;DATE(2025,7,4)), (SWITCH(weekday(R$4), 1, 0, 2, if(ISBLANK('2025'!$P343), 0, 1), 3, if(ISBLANK('2025'!$Q343), 0, 1), 4, if(ISBLANK('2025'!$R343), 0, 1), 5, if(ISBLANK('2025'!$S343), 0, 1), 6, if(ISBLANK('2025'!$T343), 0, 1), 7, 0))), 1, "")</f>
        <v/>
      </c>
      <c r="S379" s="1" t="str">
        <f>IF(AND(AND(AND(S$4&gt;='2025'!$L343,S$4&lt;='2025'!$M343), S$4&lt;&gt;DATE(2025,7,4)), (SWITCH(weekday(S$4), 1, 0, 2, if(ISBLANK('2025'!$P343), 0, 1), 3, if(ISBLANK('2025'!$Q343), 0, 1), 4, if(ISBLANK('2025'!$R343), 0, 1), 5, if(ISBLANK('2025'!$S343), 0, 1), 6, if(ISBLANK('2025'!$T343), 0, 1), 7, 0))), 1, "")</f>
        <v/>
      </c>
      <c r="T379" s="1" t="str">
        <f>IF(AND(AND(AND(T$4&gt;='2025'!$L343,T$4&lt;='2025'!$M343), T$4&lt;&gt;DATE(2025,7,4)), (SWITCH(weekday(T$4), 1, 0, 2, if(ISBLANK('2025'!$P343), 0, 1), 3, if(ISBLANK('2025'!$Q343), 0, 1), 4, if(ISBLANK('2025'!$R343), 0, 1), 5, if(ISBLANK('2025'!$S343), 0, 1), 6, if(ISBLANK('2025'!$T343), 0, 1), 7, 0))), 1, "")</f>
        <v/>
      </c>
      <c r="U379" s="1" t="str">
        <f>IF(AND(AND(AND(U$4&gt;='2025'!$L343,U$4&lt;='2025'!$M343), U$4&lt;&gt;DATE(2025,7,4)), (SWITCH(weekday(U$4), 1, 0, 2, if(ISBLANK('2025'!$P343), 0, 1), 3, if(ISBLANK('2025'!$Q343), 0, 1), 4, if(ISBLANK('2025'!$R343), 0, 1), 5, if(ISBLANK('2025'!$S343), 0, 1), 6, if(ISBLANK('2025'!$T343), 0, 1), 7, 0))), 1, "")</f>
        <v/>
      </c>
      <c r="V379" s="1" t="str">
        <f>IF(AND(AND(AND(V$4&gt;='2025'!$L343,V$4&lt;='2025'!$M343), V$4&lt;&gt;DATE(2025,7,4)), (SWITCH(weekday(V$4), 1, 0, 2, if(ISBLANK('2025'!$P343), 0, 1), 3, if(ISBLANK('2025'!$Q343), 0, 1), 4, if(ISBLANK('2025'!$R343), 0, 1), 5, if(ISBLANK('2025'!$S343), 0, 1), 6, if(ISBLANK('2025'!$T343), 0, 1), 7, 0))), 1, "")</f>
        <v/>
      </c>
      <c r="W379" s="1" t="str">
        <f>IF(AND(AND(AND(W$4&gt;='2025'!$L343,W$4&lt;='2025'!$M343), W$4&lt;&gt;DATE(2025,7,4)), (SWITCH(weekday(W$4), 1, 0, 2, if(ISBLANK('2025'!$P343), 0, 1), 3, if(ISBLANK('2025'!$Q343), 0, 1), 4, if(ISBLANK('2025'!$R343), 0, 1), 5, if(ISBLANK('2025'!$S343), 0, 1), 6, if(ISBLANK('2025'!$T343), 0, 1), 7, 0))), 1, "")</f>
        <v/>
      </c>
      <c r="X379" s="1" t="str">
        <f>IF(AND(AND(AND(X$4&gt;='2025'!$L343,X$4&lt;='2025'!$M343), X$4&lt;&gt;DATE(2025,7,4)), (SWITCH(weekday(X$4), 1, 0, 2, if(ISBLANK('2025'!$P343), 0, 1), 3, if(ISBLANK('2025'!$Q343), 0, 1), 4, if(ISBLANK('2025'!$R343), 0, 1), 5, if(ISBLANK('2025'!$S343), 0, 1), 6, if(ISBLANK('2025'!$T343), 0, 1), 7, 0))), 1, "")</f>
        <v/>
      </c>
      <c r="Y379" s="1" t="str">
        <f>IF(AND(AND(AND(Y$4&gt;='2025'!$L343,Y$4&lt;='2025'!$M343), Y$4&lt;&gt;DATE(2025,7,4)), (SWITCH(weekday(Y$4), 1, 0, 2, if(ISBLANK('2025'!$P343), 0, 1), 3, if(ISBLANK('2025'!$Q343), 0, 1), 4, if(ISBLANK('2025'!$R343), 0, 1), 5, if(ISBLANK('2025'!$S343), 0, 1), 6, if(ISBLANK('2025'!$T343), 0, 1), 7, 0))), 1, "")</f>
        <v/>
      </c>
      <c r="Z379" s="1" t="str">
        <f>IF(AND(AND(AND(Z$4&gt;='2025'!$L343,Z$4&lt;='2025'!$M343), Z$4&lt;&gt;DATE(2025,7,4)), (SWITCH(weekday(Z$4), 1, 0, 2, if(ISBLANK('2025'!$P343), 0, 1), 3, if(ISBLANK('2025'!$Q343), 0, 1), 4, if(ISBLANK('2025'!$R343), 0, 1), 5, if(ISBLANK('2025'!$S343), 0, 1), 6, if(ISBLANK('2025'!$T343), 0, 1), 7, 0))), 1, "")</f>
        <v/>
      </c>
      <c r="AA379" s="1" t="str">
        <f>IF(AND(AND(AND(AA$4&gt;='2025'!$L343,AA$4&lt;='2025'!$M343), AA$4&lt;&gt;DATE(2025,7,4)), (SWITCH(weekday(AA$4), 1, 0, 2, if(ISBLANK('2025'!$P343), 0, 1), 3, if(ISBLANK('2025'!$Q343), 0, 1), 4, if(ISBLANK('2025'!$R343), 0, 1), 5, if(ISBLANK('2025'!$S343), 0, 1), 6, if(ISBLANK('2025'!$T343), 0, 1), 7, 0))), 1, "")</f>
        <v/>
      </c>
      <c r="AB379" s="1" t="str">
        <f>IF(AND(AND(AND(AB$4&gt;='2025'!$L343,AB$4&lt;='2025'!$M343), AB$4&lt;&gt;DATE(2025,7,4)), (SWITCH(weekday(AB$4), 1, 0, 2, if(ISBLANK('2025'!$P343), 0, 1), 3, if(ISBLANK('2025'!$Q343), 0, 1), 4, if(ISBLANK('2025'!$R343), 0, 1), 5, if(ISBLANK('2025'!$S343), 0, 1), 6, if(ISBLANK('2025'!$T343), 0, 1), 7, 0))), 1, "")</f>
        <v/>
      </c>
      <c r="AC379" s="1" t="str">
        <f>IF(AND(AND(AND(AC$4&gt;='2025'!$L343,AC$4&lt;='2025'!$M343), AC$4&lt;&gt;DATE(2025,7,4)), (SWITCH(weekday(AC$4), 1, 0, 2, if(ISBLANK('2025'!$P343), 0, 1), 3, if(ISBLANK('2025'!$Q343), 0, 1), 4, if(ISBLANK('2025'!$R343), 0, 1), 5, if(ISBLANK('2025'!$S343), 0, 1), 6, if(ISBLANK('2025'!$T343), 0, 1), 7, 0))), 1, "")</f>
        <v/>
      </c>
      <c r="AD379" s="1" t="str">
        <f>IF(AND(AND(AND(AD$4&gt;='2025'!$L343,AD$4&lt;='2025'!$M343), AD$4&lt;&gt;DATE(2025,7,4)), (SWITCH(weekday(AD$4), 1, 0, 2, if(ISBLANK('2025'!$P343), 0, 1), 3, if(ISBLANK('2025'!$Q343), 0, 1), 4, if(ISBLANK('2025'!$R343), 0, 1), 5, if(ISBLANK('2025'!$S343), 0, 1), 6, if(ISBLANK('2025'!$T343), 0, 1), 7, 0))), 1, "")</f>
        <v/>
      </c>
      <c r="AE379" s="1" t="str">
        <f>IF(AND(AND(AND(AE$4&gt;='2025'!$L343,AE$4&lt;='2025'!$M343), AE$4&lt;&gt;DATE(2025,7,4)), (SWITCH(weekday(AE$4), 1, 0, 2, if(ISBLANK('2025'!$P343), 0, 1), 3, if(ISBLANK('2025'!$Q343), 0, 1), 4, if(ISBLANK('2025'!$R343), 0, 1), 5, if(ISBLANK('2025'!$S343), 0, 1), 6, if(ISBLANK('2025'!$T343), 0, 1), 7, 0))), 1, "")</f>
        <v/>
      </c>
      <c r="AF379" s="1" t="str">
        <f>IF(AND(AND(AND(AF$4&gt;='2025'!$L343,AF$4&lt;='2025'!$M343), AF$4&lt;&gt;DATE(2025,7,4)), (SWITCH(weekday(AF$4), 1, 0, 2, if(ISBLANK('2025'!$P343), 0, 1), 3, if(ISBLANK('2025'!$Q343), 0, 1), 4, if(ISBLANK('2025'!$R343), 0, 1), 5, if(ISBLANK('2025'!$S343), 0, 1), 6, if(ISBLANK('2025'!$T343), 0, 1), 7, 0))), 1, "")</f>
        <v/>
      </c>
      <c r="AG379" s="1" t="str">
        <f>IF(AND(AND(AND(AG$4&gt;='2025'!$L343,AG$4&lt;='2025'!$M343), AG$4&lt;&gt;DATE(2025,7,4)), (SWITCH(weekday(AG$4), 1, 0, 2, if(ISBLANK('2025'!$P343), 0, 1), 3, if(ISBLANK('2025'!$Q343), 0, 1), 4, if(ISBLANK('2025'!$R343), 0, 1), 5, if(ISBLANK('2025'!$S343), 0, 1), 6, if(ISBLANK('2025'!$T343), 0, 1), 7, 0))), 1, "")</f>
        <v/>
      </c>
      <c r="AH379" s="1" t="str">
        <f>IF(AND(AND(AND(AH$4&gt;='2025'!$L343,AH$4&lt;='2025'!$M343), AH$4&lt;&gt;DATE(2025,7,4)), (SWITCH(weekday(AH$4), 1, 0, 2, if(ISBLANK('2025'!$P343), 0, 1), 3, if(ISBLANK('2025'!$Q343), 0, 1), 4, if(ISBLANK('2025'!$R343), 0, 1), 5, if(ISBLANK('2025'!$S343), 0, 1), 6, if(ISBLANK('2025'!$T343), 0, 1), 7, 0))), 1, "")</f>
        <v/>
      </c>
      <c r="AI379" s="1" t="str">
        <f>IF(AND(AND(AND(AI$4&gt;='2025'!$L343,AI$4&lt;='2025'!$M343), AI$4&lt;&gt;DATE(2025,7,4)), (SWITCH(weekday(AI$4), 1, 0, 2, if(ISBLANK('2025'!$P343), 0, 1), 3, if(ISBLANK('2025'!$Q343), 0, 1), 4, if(ISBLANK('2025'!$R343), 0, 1), 5, if(ISBLANK('2025'!$S343), 0, 1), 6, if(ISBLANK('2025'!$T343), 0, 1), 7, 0))), 1, "")</f>
        <v/>
      </c>
      <c r="AJ379" s="1" t="str">
        <f>IF(AND(AND(AND(AJ$4&gt;='2025'!$L343,AJ$4&lt;='2025'!$M343), AJ$4&lt;&gt;DATE(2025,7,4)), (SWITCH(weekday(AJ$4), 1, 0, 2, if(ISBLANK('2025'!$P343), 0, 1), 3, if(ISBLANK('2025'!$Q343), 0, 1), 4, if(ISBLANK('2025'!$R343), 0, 1), 5, if(ISBLANK('2025'!$S343), 0, 1), 6, if(ISBLANK('2025'!$T343), 0, 1), 7, 0))), 1, "")</f>
        <v/>
      </c>
      <c r="AK379" s="1" t="str">
        <f>IF(AND(AND(AND(AK$4&gt;='2025'!$L343,AK$4&lt;='2025'!$M343), AK$4&lt;&gt;DATE(2025,7,4)), (SWITCH(weekday(AK$4), 1, 0, 2, if(ISBLANK('2025'!$P343), 0, 1), 3, if(ISBLANK('2025'!$Q343), 0, 1), 4, if(ISBLANK('2025'!$R343), 0, 1), 5, if(ISBLANK('2025'!$S343), 0, 1), 6, if(ISBLANK('2025'!$T343), 0, 1), 7, 0))), 1, "")</f>
        <v/>
      </c>
      <c r="AL379" s="1" t="str">
        <f>IF(AND(AND(AND(AL$4&gt;='2025'!$L343,AL$4&lt;='2025'!$M343), AL$4&lt;&gt;DATE(2025,7,4)), (SWITCH(weekday(AL$4), 1, 0, 2, if(ISBLANK('2025'!$P343), 0, 1), 3, if(ISBLANK('2025'!$Q343), 0, 1), 4, if(ISBLANK('2025'!$R343), 0, 1), 5, if(ISBLANK('2025'!$S343), 0, 1), 6, if(ISBLANK('2025'!$T343), 0, 1), 7, 0))), 1, "")</f>
        <v/>
      </c>
      <c r="AM379" s="1" t="str">
        <f>IF(AND(AND(AND(AM$4&gt;='2025'!$L343,AM$4&lt;='2025'!$M343), AM$4&lt;&gt;DATE(2025,7,4)), (SWITCH(weekday(AM$4), 1, 0, 2, if(ISBLANK('2025'!$P343), 0, 1), 3, if(ISBLANK('2025'!$Q343), 0, 1), 4, if(ISBLANK('2025'!$R343), 0, 1), 5, if(ISBLANK('2025'!$S343), 0, 1), 6, if(ISBLANK('2025'!$T343), 0, 1), 7, 0))), 1, "")</f>
        <v/>
      </c>
      <c r="AN379" s="1" t="str">
        <f>IF(AND(AND(AND(AN$4&gt;='2025'!$L343,AN$4&lt;='2025'!$M343), AN$4&lt;&gt;DATE(2025,7,4)), (SWITCH(weekday(AN$4), 1, 0, 2, if(ISBLANK('2025'!$P343), 0, 1), 3, if(ISBLANK('2025'!$Q343), 0, 1), 4, if(ISBLANK('2025'!$R343), 0, 1), 5, if(ISBLANK('2025'!$S343), 0, 1), 6, if(ISBLANK('2025'!$T343), 0, 1), 7, 0))), 1, "")</f>
        <v/>
      </c>
      <c r="AO379" s="1" t="str">
        <f>IF(AND(AND(AND(AO$4&gt;='2025'!$L343,AO$4&lt;='2025'!$M343), AO$4&lt;&gt;DATE(2025,7,4)), (SWITCH(weekday(AO$4), 1, 0, 2, if(ISBLANK('2025'!$P343), 0, 1), 3, if(ISBLANK('2025'!$Q343), 0, 1), 4, if(ISBLANK('2025'!$R343), 0, 1), 5, if(ISBLANK('2025'!$S343), 0, 1), 6, if(ISBLANK('2025'!$T343), 0, 1), 7, 0))), 1, "")</f>
        <v/>
      </c>
      <c r="AP379" s="1" t="str">
        <f>IF(AND(AND(AND(AP$4&gt;='2025'!$L343,AP$4&lt;='2025'!$M343), AP$4&lt;&gt;DATE(2025,7,4)), (SWITCH(weekday(AP$4), 1, 0, 2, if(ISBLANK('2025'!$P343), 0, 1), 3, if(ISBLANK('2025'!$Q343), 0, 1), 4, if(ISBLANK('2025'!$R343), 0, 1), 5, if(ISBLANK('2025'!$S343), 0, 1), 6, if(ISBLANK('2025'!$T343), 0, 1), 7, 0))), 1, "")</f>
        <v/>
      </c>
      <c r="AQ379" s="1" t="str">
        <f>IF(AND(AND(AND(AQ$4&gt;='2025'!$L343,AQ$4&lt;='2025'!$M343), AQ$4&lt;&gt;DATE(2025,7,4)), (SWITCH(weekday(AQ$4), 1, 0, 2, if(ISBLANK('2025'!$P343), 0, 1), 3, if(ISBLANK('2025'!$Q343), 0, 1), 4, if(ISBLANK('2025'!$R343), 0, 1), 5, if(ISBLANK('2025'!$S343), 0, 1), 6, if(ISBLANK('2025'!$T343), 0, 1), 7, 0))), 1, "")</f>
        <v/>
      </c>
      <c r="AR379" s="1" t="str">
        <f>IF(AND(AND(AND(AR$4&gt;='2025'!$L343,AR$4&lt;='2025'!$M343), AR$4&lt;&gt;DATE(2025,7,4)), (SWITCH(weekday(AR$4), 1, 0, 2, if(ISBLANK('2025'!$P343), 0, 1), 3, if(ISBLANK('2025'!$Q343), 0, 1), 4, if(ISBLANK('2025'!$R343), 0, 1), 5, if(ISBLANK('2025'!$S343), 0, 1), 6, if(ISBLANK('2025'!$T343), 0, 1), 7, 0))), 1, "")</f>
        <v/>
      </c>
      <c r="AS379" s="1" t="str">
        <f>IF(AND(AND(AND(AS$4&gt;='2025'!$L343,AS$4&lt;='2025'!$M343), AS$4&lt;&gt;DATE(2025,7,4)), (SWITCH(weekday(AS$4), 1, 0, 2, if(ISBLANK('2025'!$P343), 0, 1), 3, if(ISBLANK('2025'!$Q343), 0, 1), 4, if(ISBLANK('2025'!$R343), 0, 1), 5, if(ISBLANK('2025'!$S343), 0, 1), 6, if(ISBLANK('2025'!$T343), 0, 1), 7, 0))), 1, "")</f>
        <v/>
      </c>
      <c r="AT379" s="1" t="str">
        <f>IF(AND(AND(AND(AT$4&gt;='2025'!$L343,AT$4&lt;='2025'!$M343), AT$4&lt;&gt;DATE(2025,7,4)), (SWITCH(weekday(AT$4), 1, 0, 2, if(ISBLANK('2025'!$P343), 0, 1), 3, if(ISBLANK('2025'!$Q343), 0, 1), 4, if(ISBLANK('2025'!$R343), 0, 1), 5, if(ISBLANK('2025'!$S343), 0, 1), 6, if(ISBLANK('2025'!$T343), 0, 1), 7, 0))), 1, "")</f>
        <v/>
      </c>
      <c r="AU379" s="1" t="str">
        <f>IF(AND(AND(AND(AU$4&gt;='2025'!$L343,AU$4&lt;='2025'!$M343), AU$4&lt;&gt;DATE(2025,7,4)), (SWITCH(weekday(AU$4), 1, 0, 2, if(ISBLANK('2025'!$P343), 0, 1), 3, if(ISBLANK('2025'!$Q343), 0, 1), 4, if(ISBLANK('2025'!$R343), 0, 1), 5, if(ISBLANK('2025'!$S343), 0, 1), 6, if(ISBLANK('2025'!$T343), 0, 1), 7, 0))), 1, "")</f>
        <v/>
      </c>
      <c r="AV379" s="1" t="str">
        <f>IF(AND(AND(AND(AV$4&gt;='2025'!$L343,AV$4&lt;='2025'!$M343), AV$4&lt;&gt;DATE(2025,7,4)), (SWITCH(weekday(AV$4), 1, 0, 2, if(ISBLANK('2025'!$P343), 0, 1), 3, if(ISBLANK('2025'!$Q343), 0, 1), 4, if(ISBLANK('2025'!$R343), 0, 1), 5, if(ISBLANK('2025'!$S343), 0, 1), 6, if(ISBLANK('2025'!$T343), 0, 1), 7, 0))), 1, "")</f>
        <v/>
      </c>
      <c r="AW379" s="1" t="str">
        <f>IF(AND(AND(AND(AW$4&gt;='2025'!$L343,AW$4&lt;='2025'!$M343), AW$4&lt;&gt;DATE(2025,7,4)), (SWITCH(weekday(AW$4), 1, 0, 2, if(ISBLANK('2025'!$P343), 0, 1), 3, if(ISBLANK('2025'!$Q343), 0, 1), 4, if(ISBLANK('2025'!$R343), 0, 1), 5, if(ISBLANK('2025'!$S343), 0, 1), 6, if(ISBLANK('2025'!$T343), 0, 1), 7, 0))), 1, "")</f>
        <v/>
      </c>
      <c r="AX379" s="1" t="str">
        <f>IF(AND(AND(AND(AX$4&gt;='2025'!$L343,AX$4&lt;='2025'!$M343), AX$4&lt;&gt;DATE(2025,7,4)), (SWITCH(weekday(AX$4), 1, 0, 2, if(ISBLANK('2025'!$P343), 0, 1), 3, if(ISBLANK('2025'!$Q343), 0, 1), 4, if(ISBLANK('2025'!$R343), 0, 1), 5, if(ISBLANK('2025'!$S343), 0, 1), 6, if(ISBLANK('2025'!$T343), 0, 1), 7, 0))), 1, "")</f>
        <v/>
      </c>
      <c r="AY379" s="1" t="str">
        <f>IF(AND(AND(AND(AY$4&gt;='2025'!$L343,AY$4&lt;='2025'!$M343), AY$4&lt;&gt;DATE(2025,7,4)), (SWITCH(weekday(AY$4), 1, 0, 2, if(ISBLANK('2025'!$P343), 0, 1), 3, if(ISBLANK('2025'!$Q343), 0, 1), 4, if(ISBLANK('2025'!$R343), 0, 1), 5, if(ISBLANK('2025'!$S343), 0, 1), 6, if(ISBLANK('2025'!$T343), 0, 1), 7, 0))), 1, "")</f>
        <v/>
      </c>
      <c r="AZ379" s="1" t="str">
        <f>IF(AND(AND(AND(AZ$4&gt;='2025'!$L343,AZ$4&lt;='2025'!$M343), AZ$4&lt;&gt;DATE(2025,7,4)), (SWITCH(weekday(AZ$4), 1, 0, 2, if(ISBLANK('2025'!$P343), 0, 1), 3, if(ISBLANK('2025'!$Q343), 0, 1), 4, if(ISBLANK('2025'!$R343), 0, 1), 5, if(ISBLANK('2025'!$S343), 0, 1), 6, if(ISBLANK('2025'!$T343), 0, 1), 7, 0))), 1, "")</f>
        <v/>
      </c>
      <c r="BA379" s="1" t="str">
        <f>IF(AND(AND(AND(BA$4&gt;='2025'!$L343,BA$4&lt;='2025'!$M343), BA$4&lt;&gt;DATE(2025,7,4)), (SWITCH(weekday(BA$4), 1, 0, 2, if(ISBLANK('2025'!$P343), 0, 1), 3, if(ISBLANK('2025'!$Q343), 0, 1), 4, if(ISBLANK('2025'!$R343), 0, 1), 5, if(ISBLANK('2025'!$S343), 0, 1), 6, if(ISBLANK('2025'!$T343), 0, 1), 7, 0))), 1, "")</f>
        <v/>
      </c>
      <c r="BB379" s="1" t="str">
        <f>IF(AND(AND(AND(BB$4&gt;='2025'!$L343,BB$4&lt;='2025'!$M343), BB$4&lt;&gt;DATE(2025,7,4)), (SWITCH(weekday(BB$4), 1, 0, 2, if(ISBLANK('2025'!$P343), 0, 1), 3, if(ISBLANK('2025'!$Q343), 0, 1), 4, if(ISBLANK('2025'!$R343), 0, 1), 5, if(ISBLANK('2025'!$S343), 0, 1), 6, if(ISBLANK('2025'!$T343), 0, 1), 7, 0))), 1, "")</f>
        <v/>
      </c>
      <c r="BC379" s="1" t="str">
        <f>IF(AND(AND(AND(BC$4&gt;='2025'!$L343,BC$4&lt;='2025'!$M343), BC$4&lt;&gt;DATE(2025,7,4)), (SWITCH(weekday(BC$4), 1, 0, 2, if(ISBLANK('2025'!$P343), 0, 1), 3, if(ISBLANK('2025'!$Q343), 0, 1), 4, if(ISBLANK('2025'!$R343), 0, 1), 5, if(ISBLANK('2025'!$S343), 0, 1), 6, if(ISBLANK('2025'!$T343), 0, 1), 7, 0))), 1, "")</f>
        <v/>
      </c>
      <c r="BD379" s="1" t="str">
        <f>IF(AND(AND(AND(BD$4&gt;='2025'!$L343,BD$4&lt;='2025'!$M343), BD$4&lt;&gt;DATE(2025,7,4)), (SWITCH(weekday(BD$4), 1, 0, 2, if(ISBLANK('2025'!$P343), 0, 1), 3, if(ISBLANK('2025'!$Q343), 0, 1), 4, if(ISBLANK('2025'!$R343), 0, 1), 5, if(ISBLANK('2025'!$S343), 0, 1), 6, if(ISBLANK('2025'!$T343), 0, 1), 7, 0))), 1, "")</f>
        <v/>
      </c>
      <c r="BE379" s="1" t="str">
        <f>IF(AND(AND(AND(BE$4&gt;='2025'!$L343,BE$4&lt;='2025'!$M343), BE$4&lt;&gt;DATE(2025,7,4)), (SWITCH(weekday(BE$4), 1, 0, 2, if(ISBLANK('2025'!$P343), 0, 1), 3, if(ISBLANK('2025'!$Q343), 0, 1), 4, if(ISBLANK('2025'!$R343), 0, 1), 5, if(ISBLANK('2025'!$S343), 0, 1), 6, if(ISBLANK('2025'!$T343), 0, 1), 7, 0))), 1, "")</f>
        <v/>
      </c>
    </row>
    <row r="380">
      <c r="A380" s="1">
        <f t="shared" si="3"/>
        <v>380</v>
      </c>
      <c r="B380" s="1" t="str">
        <f>'2025'!D344</f>
        <v/>
      </c>
      <c r="C380" s="1" t="str">
        <f>'2025'!H344</f>
        <v/>
      </c>
      <c r="D380" s="1" t="str">
        <f>IF(AND(AND(AND(D$4&gt;='2025'!$L344,D$4&lt;='2025'!$M344), D$4&lt;&gt;DATE(2025,7,4)), (SWITCH(weekday(D$4), 1, 0, 2, if(ISBLANK('2025'!$P344), 0, 1), 3, if(ISBLANK('2025'!$Q344), 0, 1), 4, if(ISBLANK('2025'!$R344), 0, 1), 5, if(ISBLANK('2025'!$S344), 0, 1), 6, if(ISBLANK('2025'!$T344), 0, 1), 7, 0))), 1, "")</f>
        <v/>
      </c>
      <c r="E380" s="1" t="str">
        <f>IF(AND(AND(AND(E$4&gt;='2025'!$L344,E$4&lt;='2025'!$M344), E$4&lt;&gt;DATE(2025,7,4)), (SWITCH(weekday(E$4), 1, 0, 2, if(ISBLANK('2025'!$P344), 0, 1), 3, if(ISBLANK('2025'!$Q344), 0, 1), 4, if(ISBLANK('2025'!$R344), 0, 1), 5, if(ISBLANK('2025'!$S344), 0, 1), 6, if(ISBLANK('2025'!$T344), 0, 1), 7, 0))), 1, "")</f>
        <v/>
      </c>
      <c r="F380" s="1" t="str">
        <f>IF(AND(AND(AND(F$4&gt;='2025'!$L344,F$4&lt;='2025'!$M344), F$4&lt;&gt;DATE(2025,7,4)), (SWITCH(weekday(F$4), 1, 0, 2, if(ISBLANK('2025'!$P344), 0, 1), 3, if(ISBLANK('2025'!$Q344), 0, 1), 4, if(ISBLANK('2025'!$R344), 0, 1), 5, if(ISBLANK('2025'!$S344), 0, 1), 6, if(ISBLANK('2025'!$T344), 0, 1), 7, 0))), 1, "")</f>
        <v/>
      </c>
      <c r="G380" s="1" t="str">
        <f>IF(AND(AND(AND(G$4&gt;='2025'!$L344,G$4&lt;='2025'!$M344), G$4&lt;&gt;DATE(2025,7,4)), (SWITCH(weekday(G$4), 1, 0, 2, if(ISBLANK('2025'!$P344), 0, 1), 3, if(ISBLANK('2025'!$Q344), 0, 1), 4, if(ISBLANK('2025'!$R344), 0, 1), 5, if(ISBLANK('2025'!$S344), 0, 1), 6, if(ISBLANK('2025'!$T344), 0, 1), 7, 0))), 1, "")</f>
        <v/>
      </c>
      <c r="H380" s="1" t="str">
        <f>IF(AND(AND(AND(H$4&gt;='2025'!$L344,H$4&lt;='2025'!$M344), H$4&lt;&gt;DATE(2025,7,4)), (SWITCH(weekday(H$4), 1, 0, 2, if(ISBLANK('2025'!$P344), 0, 1), 3, if(ISBLANK('2025'!$Q344), 0, 1), 4, if(ISBLANK('2025'!$R344), 0, 1), 5, if(ISBLANK('2025'!$S344), 0, 1), 6, if(ISBLANK('2025'!$T344), 0, 1), 7, 0))), 1, "")</f>
        <v/>
      </c>
      <c r="I380" s="1" t="str">
        <f>IF(AND(AND(AND(I$4&gt;='2025'!$L344,I$4&lt;='2025'!$M344), I$4&lt;&gt;DATE(2025,7,4)), (SWITCH(weekday(I$4), 1, 0, 2, if(ISBLANK('2025'!$P344), 0, 1), 3, if(ISBLANK('2025'!$Q344), 0, 1), 4, if(ISBLANK('2025'!$R344), 0, 1), 5, if(ISBLANK('2025'!$S344), 0, 1), 6, if(ISBLANK('2025'!$T344), 0, 1), 7, 0))), 1, "")</f>
        <v/>
      </c>
      <c r="J380" s="1" t="str">
        <f>IF(AND(AND(AND(J$4&gt;='2025'!$L344,J$4&lt;='2025'!$M344), J$4&lt;&gt;DATE(2025,7,4)), (SWITCH(weekday(J$4), 1, 0, 2, if(ISBLANK('2025'!$P344), 0, 1), 3, if(ISBLANK('2025'!$Q344), 0, 1), 4, if(ISBLANK('2025'!$R344), 0, 1), 5, if(ISBLANK('2025'!$S344), 0, 1), 6, if(ISBLANK('2025'!$T344), 0, 1), 7, 0))), 1, "")</f>
        <v/>
      </c>
      <c r="K380" s="1" t="str">
        <f>IF(AND(AND(AND(K$4&gt;='2025'!$L344,K$4&lt;='2025'!$M344), K$4&lt;&gt;DATE(2025,7,4)), (SWITCH(weekday(K$4), 1, 0, 2, if(ISBLANK('2025'!$P344), 0, 1), 3, if(ISBLANK('2025'!$Q344), 0, 1), 4, if(ISBLANK('2025'!$R344), 0, 1), 5, if(ISBLANK('2025'!$S344), 0, 1), 6, if(ISBLANK('2025'!$T344), 0, 1), 7, 0))), 1, "")</f>
        <v/>
      </c>
      <c r="L380" s="1" t="str">
        <f>IF(AND(AND(AND(L$4&gt;='2025'!$L344,L$4&lt;='2025'!$M344), L$4&lt;&gt;DATE(2025,7,4)), (SWITCH(weekday(L$4), 1, 0, 2, if(ISBLANK('2025'!$P344), 0, 1), 3, if(ISBLANK('2025'!$Q344), 0, 1), 4, if(ISBLANK('2025'!$R344), 0, 1), 5, if(ISBLANK('2025'!$S344), 0, 1), 6, if(ISBLANK('2025'!$T344), 0, 1), 7, 0))), 1, "")</f>
        <v/>
      </c>
      <c r="M380" s="1" t="str">
        <f>IF(AND(AND(AND(M$4&gt;='2025'!$L344,M$4&lt;='2025'!$M344), M$4&lt;&gt;DATE(2025,7,4)), (SWITCH(weekday(M$4), 1, 0, 2, if(ISBLANK('2025'!$P344), 0, 1), 3, if(ISBLANK('2025'!$Q344), 0, 1), 4, if(ISBLANK('2025'!$R344), 0, 1), 5, if(ISBLANK('2025'!$S344), 0, 1), 6, if(ISBLANK('2025'!$T344), 0, 1), 7, 0))), 1, "")</f>
        <v/>
      </c>
      <c r="N380" s="1" t="str">
        <f>IF(AND(AND(AND(N$4&gt;='2025'!$L344,N$4&lt;='2025'!$M344), N$4&lt;&gt;DATE(2025,7,4)), (SWITCH(weekday(N$4), 1, 0, 2, if(ISBLANK('2025'!$P344), 0, 1), 3, if(ISBLANK('2025'!$Q344), 0, 1), 4, if(ISBLANK('2025'!$R344), 0, 1), 5, if(ISBLANK('2025'!$S344), 0, 1), 6, if(ISBLANK('2025'!$T344), 0, 1), 7, 0))), 1, "")</f>
        <v/>
      </c>
      <c r="O380" s="1" t="str">
        <f>IF(AND(AND(AND(O$4&gt;='2025'!$L344,O$4&lt;='2025'!$M344), O$4&lt;&gt;DATE(2025,7,4)), (SWITCH(weekday(O$4), 1, 0, 2, if(ISBLANK('2025'!$P344), 0, 1), 3, if(ISBLANK('2025'!$Q344), 0, 1), 4, if(ISBLANK('2025'!$R344), 0, 1), 5, if(ISBLANK('2025'!$S344), 0, 1), 6, if(ISBLANK('2025'!$T344), 0, 1), 7, 0))), 1, "")</f>
        <v/>
      </c>
      <c r="P380" s="1" t="str">
        <f>IF(AND(AND(AND(P$4&gt;='2025'!$L344,P$4&lt;='2025'!$M344), P$4&lt;&gt;DATE(2025,7,4)), (SWITCH(weekday(P$4), 1, 0, 2, if(ISBLANK('2025'!$P344), 0, 1), 3, if(ISBLANK('2025'!$Q344), 0, 1), 4, if(ISBLANK('2025'!$R344), 0, 1), 5, if(ISBLANK('2025'!$S344), 0, 1), 6, if(ISBLANK('2025'!$T344), 0, 1), 7, 0))), 1, "")</f>
        <v/>
      </c>
      <c r="Q380" s="1" t="str">
        <f>IF(AND(AND(AND(Q$4&gt;='2025'!$L344,Q$4&lt;='2025'!$M344), Q$4&lt;&gt;DATE(2025,7,4)), (SWITCH(weekday(Q$4), 1, 0, 2, if(ISBLANK('2025'!$P344), 0, 1), 3, if(ISBLANK('2025'!$Q344), 0, 1), 4, if(ISBLANK('2025'!$R344), 0, 1), 5, if(ISBLANK('2025'!$S344), 0, 1), 6, if(ISBLANK('2025'!$T344), 0, 1), 7, 0))), 1, "")</f>
        <v/>
      </c>
      <c r="R380" s="1" t="str">
        <f>IF(AND(AND(AND(R$4&gt;='2025'!$L344,R$4&lt;='2025'!$M344), R$4&lt;&gt;DATE(2025,7,4)), (SWITCH(weekday(R$4), 1, 0, 2, if(ISBLANK('2025'!$P344), 0, 1), 3, if(ISBLANK('2025'!$Q344), 0, 1), 4, if(ISBLANK('2025'!$R344), 0, 1), 5, if(ISBLANK('2025'!$S344), 0, 1), 6, if(ISBLANK('2025'!$T344), 0, 1), 7, 0))), 1, "")</f>
        <v/>
      </c>
      <c r="S380" s="1" t="str">
        <f>IF(AND(AND(AND(S$4&gt;='2025'!$L344,S$4&lt;='2025'!$M344), S$4&lt;&gt;DATE(2025,7,4)), (SWITCH(weekday(S$4), 1, 0, 2, if(ISBLANK('2025'!$P344), 0, 1), 3, if(ISBLANK('2025'!$Q344), 0, 1), 4, if(ISBLANK('2025'!$R344), 0, 1), 5, if(ISBLANK('2025'!$S344), 0, 1), 6, if(ISBLANK('2025'!$T344), 0, 1), 7, 0))), 1, "")</f>
        <v/>
      </c>
      <c r="T380" s="1" t="str">
        <f>IF(AND(AND(AND(T$4&gt;='2025'!$L344,T$4&lt;='2025'!$M344), T$4&lt;&gt;DATE(2025,7,4)), (SWITCH(weekday(T$4), 1, 0, 2, if(ISBLANK('2025'!$P344), 0, 1), 3, if(ISBLANK('2025'!$Q344), 0, 1), 4, if(ISBLANK('2025'!$R344), 0, 1), 5, if(ISBLANK('2025'!$S344), 0, 1), 6, if(ISBLANK('2025'!$T344), 0, 1), 7, 0))), 1, "")</f>
        <v/>
      </c>
      <c r="U380" s="1" t="str">
        <f>IF(AND(AND(AND(U$4&gt;='2025'!$L344,U$4&lt;='2025'!$M344), U$4&lt;&gt;DATE(2025,7,4)), (SWITCH(weekday(U$4), 1, 0, 2, if(ISBLANK('2025'!$P344), 0, 1), 3, if(ISBLANK('2025'!$Q344), 0, 1), 4, if(ISBLANK('2025'!$R344), 0, 1), 5, if(ISBLANK('2025'!$S344), 0, 1), 6, if(ISBLANK('2025'!$T344), 0, 1), 7, 0))), 1, "")</f>
        <v/>
      </c>
      <c r="V380" s="1" t="str">
        <f>IF(AND(AND(AND(V$4&gt;='2025'!$L344,V$4&lt;='2025'!$M344), V$4&lt;&gt;DATE(2025,7,4)), (SWITCH(weekday(V$4), 1, 0, 2, if(ISBLANK('2025'!$P344), 0, 1), 3, if(ISBLANK('2025'!$Q344), 0, 1), 4, if(ISBLANK('2025'!$R344), 0, 1), 5, if(ISBLANK('2025'!$S344), 0, 1), 6, if(ISBLANK('2025'!$T344), 0, 1), 7, 0))), 1, "")</f>
        <v/>
      </c>
      <c r="W380" s="1" t="str">
        <f>IF(AND(AND(AND(W$4&gt;='2025'!$L344,W$4&lt;='2025'!$M344), W$4&lt;&gt;DATE(2025,7,4)), (SWITCH(weekday(W$4), 1, 0, 2, if(ISBLANK('2025'!$P344), 0, 1), 3, if(ISBLANK('2025'!$Q344), 0, 1), 4, if(ISBLANK('2025'!$R344), 0, 1), 5, if(ISBLANK('2025'!$S344), 0, 1), 6, if(ISBLANK('2025'!$T344), 0, 1), 7, 0))), 1, "")</f>
        <v/>
      </c>
      <c r="X380" s="1" t="str">
        <f>IF(AND(AND(AND(X$4&gt;='2025'!$L344,X$4&lt;='2025'!$M344), X$4&lt;&gt;DATE(2025,7,4)), (SWITCH(weekday(X$4), 1, 0, 2, if(ISBLANK('2025'!$P344), 0, 1), 3, if(ISBLANK('2025'!$Q344), 0, 1), 4, if(ISBLANK('2025'!$R344), 0, 1), 5, if(ISBLANK('2025'!$S344), 0, 1), 6, if(ISBLANK('2025'!$T344), 0, 1), 7, 0))), 1, "")</f>
        <v/>
      </c>
      <c r="Y380" s="1" t="str">
        <f>IF(AND(AND(AND(Y$4&gt;='2025'!$L344,Y$4&lt;='2025'!$M344), Y$4&lt;&gt;DATE(2025,7,4)), (SWITCH(weekday(Y$4), 1, 0, 2, if(ISBLANK('2025'!$P344), 0, 1), 3, if(ISBLANK('2025'!$Q344), 0, 1), 4, if(ISBLANK('2025'!$R344), 0, 1), 5, if(ISBLANK('2025'!$S344), 0, 1), 6, if(ISBLANK('2025'!$T344), 0, 1), 7, 0))), 1, "")</f>
        <v/>
      </c>
      <c r="Z380" s="1" t="str">
        <f>IF(AND(AND(AND(Z$4&gt;='2025'!$L344,Z$4&lt;='2025'!$M344), Z$4&lt;&gt;DATE(2025,7,4)), (SWITCH(weekday(Z$4), 1, 0, 2, if(ISBLANK('2025'!$P344), 0, 1), 3, if(ISBLANK('2025'!$Q344), 0, 1), 4, if(ISBLANK('2025'!$R344), 0, 1), 5, if(ISBLANK('2025'!$S344), 0, 1), 6, if(ISBLANK('2025'!$T344), 0, 1), 7, 0))), 1, "")</f>
        <v/>
      </c>
      <c r="AA380" s="1" t="str">
        <f>IF(AND(AND(AND(AA$4&gt;='2025'!$L344,AA$4&lt;='2025'!$M344), AA$4&lt;&gt;DATE(2025,7,4)), (SWITCH(weekday(AA$4), 1, 0, 2, if(ISBLANK('2025'!$P344), 0, 1), 3, if(ISBLANK('2025'!$Q344), 0, 1), 4, if(ISBLANK('2025'!$R344), 0, 1), 5, if(ISBLANK('2025'!$S344), 0, 1), 6, if(ISBLANK('2025'!$T344), 0, 1), 7, 0))), 1, "")</f>
        <v/>
      </c>
      <c r="AB380" s="1" t="str">
        <f>IF(AND(AND(AND(AB$4&gt;='2025'!$L344,AB$4&lt;='2025'!$M344), AB$4&lt;&gt;DATE(2025,7,4)), (SWITCH(weekday(AB$4), 1, 0, 2, if(ISBLANK('2025'!$P344), 0, 1), 3, if(ISBLANK('2025'!$Q344), 0, 1), 4, if(ISBLANK('2025'!$R344), 0, 1), 5, if(ISBLANK('2025'!$S344), 0, 1), 6, if(ISBLANK('2025'!$T344), 0, 1), 7, 0))), 1, "")</f>
        <v/>
      </c>
      <c r="AC380" s="1" t="str">
        <f>IF(AND(AND(AND(AC$4&gt;='2025'!$L344,AC$4&lt;='2025'!$M344), AC$4&lt;&gt;DATE(2025,7,4)), (SWITCH(weekday(AC$4), 1, 0, 2, if(ISBLANK('2025'!$P344), 0, 1), 3, if(ISBLANK('2025'!$Q344), 0, 1), 4, if(ISBLANK('2025'!$R344), 0, 1), 5, if(ISBLANK('2025'!$S344), 0, 1), 6, if(ISBLANK('2025'!$T344), 0, 1), 7, 0))), 1, "")</f>
        <v/>
      </c>
      <c r="AD380" s="1" t="str">
        <f>IF(AND(AND(AND(AD$4&gt;='2025'!$L344,AD$4&lt;='2025'!$M344), AD$4&lt;&gt;DATE(2025,7,4)), (SWITCH(weekday(AD$4), 1, 0, 2, if(ISBLANK('2025'!$P344), 0, 1), 3, if(ISBLANK('2025'!$Q344), 0, 1), 4, if(ISBLANK('2025'!$R344), 0, 1), 5, if(ISBLANK('2025'!$S344), 0, 1), 6, if(ISBLANK('2025'!$T344), 0, 1), 7, 0))), 1, "")</f>
        <v/>
      </c>
      <c r="AE380" s="1" t="str">
        <f>IF(AND(AND(AND(AE$4&gt;='2025'!$L344,AE$4&lt;='2025'!$M344), AE$4&lt;&gt;DATE(2025,7,4)), (SWITCH(weekday(AE$4), 1, 0, 2, if(ISBLANK('2025'!$P344), 0, 1), 3, if(ISBLANK('2025'!$Q344), 0, 1), 4, if(ISBLANK('2025'!$R344), 0, 1), 5, if(ISBLANK('2025'!$S344), 0, 1), 6, if(ISBLANK('2025'!$T344), 0, 1), 7, 0))), 1, "")</f>
        <v/>
      </c>
      <c r="AF380" s="1" t="str">
        <f>IF(AND(AND(AND(AF$4&gt;='2025'!$L344,AF$4&lt;='2025'!$M344), AF$4&lt;&gt;DATE(2025,7,4)), (SWITCH(weekday(AF$4), 1, 0, 2, if(ISBLANK('2025'!$P344), 0, 1), 3, if(ISBLANK('2025'!$Q344), 0, 1), 4, if(ISBLANK('2025'!$R344), 0, 1), 5, if(ISBLANK('2025'!$S344), 0, 1), 6, if(ISBLANK('2025'!$T344), 0, 1), 7, 0))), 1, "")</f>
        <v/>
      </c>
      <c r="AG380" s="1" t="str">
        <f>IF(AND(AND(AND(AG$4&gt;='2025'!$L344,AG$4&lt;='2025'!$M344), AG$4&lt;&gt;DATE(2025,7,4)), (SWITCH(weekday(AG$4), 1, 0, 2, if(ISBLANK('2025'!$P344), 0, 1), 3, if(ISBLANK('2025'!$Q344), 0, 1), 4, if(ISBLANK('2025'!$R344), 0, 1), 5, if(ISBLANK('2025'!$S344), 0, 1), 6, if(ISBLANK('2025'!$T344), 0, 1), 7, 0))), 1, "")</f>
        <v/>
      </c>
      <c r="AH380" s="1" t="str">
        <f>IF(AND(AND(AND(AH$4&gt;='2025'!$L344,AH$4&lt;='2025'!$M344), AH$4&lt;&gt;DATE(2025,7,4)), (SWITCH(weekday(AH$4), 1, 0, 2, if(ISBLANK('2025'!$P344), 0, 1), 3, if(ISBLANK('2025'!$Q344), 0, 1), 4, if(ISBLANK('2025'!$R344), 0, 1), 5, if(ISBLANK('2025'!$S344), 0, 1), 6, if(ISBLANK('2025'!$T344), 0, 1), 7, 0))), 1, "")</f>
        <v/>
      </c>
      <c r="AI380" s="1" t="str">
        <f>IF(AND(AND(AND(AI$4&gt;='2025'!$L344,AI$4&lt;='2025'!$M344), AI$4&lt;&gt;DATE(2025,7,4)), (SWITCH(weekday(AI$4), 1, 0, 2, if(ISBLANK('2025'!$P344), 0, 1), 3, if(ISBLANK('2025'!$Q344), 0, 1), 4, if(ISBLANK('2025'!$R344), 0, 1), 5, if(ISBLANK('2025'!$S344), 0, 1), 6, if(ISBLANK('2025'!$T344), 0, 1), 7, 0))), 1, "")</f>
        <v/>
      </c>
      <c r="AJ380" s="1" t="str">
        <f>IF(AND(AND(AND(AJ$4&gt;='2025'!$L344,AJ$4&lt;='2025'!$M344), AJ$4&lt;&gt;DATE(2025,7,4)), (SWITCH(weekday(AJ$4), 1, 0, 2, if(ISBLANK('2025'!$P344), 0, 1), 3, if(ISBLANK('2025'!$Q344), 0, 1), 4, if(ISBLANK('2025'!$R344), 0, 1), 5, if(ISBLANK('2025'!$S344), 0, 1), 6, if(ISBLANK('2025'!$T344), 0, 1), 7, 0))), 1, "")</f>
        <v/>
      </c>
      <c r="AK380" s="1" t="str">
        <f>IF(AND(AND(AND(AK$4&gt;='2025'!$L344,AK$4&lt;='2025'!$M344), AK$4&lt;&gt;DATE(2025,7,4)), (SWITCH(weekday(AK$4), 1, 0, 2, if(ISBLANK('2025'!$P344), 0, 1), 3, if(ISBLANK('2025'!$Q344), 0, 1), 4, if(ISBLANK('2025'!$R344), 0, 1), 5, if(ISBLANK('2025'!$S344), 0, 1), 6, if(ISBLANK('2025'!$T344), 0, 1), 7, 0))), 1, "")</f>
        <v/>
      </c>
      <c r="AL380" s="1" t="str">
        <f>IF(AND(AND(AND(AL$4&gt;='2025'!$L344,AL$4&lt;='2025'!$M344), AL$4&lt;&gt;DATE(2025,7,4)), (SWITCH(weekday(AL$4), 1, 0, 2, if(ISBLANK('2025'!$P344), 0, 1), 3, if(ISBLANK('2025'!$Q344), 0, 1), 4, if(ISBLANK('2025'!$R344), 0, 1), 5, if(ISBLANK('2025'!$S344), 0, 1), 6, if(ISBLANK('2025'!$T344), 0, 1), 7, 0))), 1, "")</f>
        <v/>
      </c>
      <c r="AM380" s="1" t="str">
        <f>IF(AND(AND(AND(AM$4&gt;='2025'!$L344,AM$4&lt;='2025'!$M344), AM$4&lt;&gt;DATE(2025,7,4)), (SWITCH(weekday(AM$4), 1, 0, 2, if(ISBLANK('2025'!$P344), 0, 1), 3, if(ISBLANK('2025'!$Q344), 0, 1), 4, if(ISBLANK('2025'!$R344), 0, 1), 5, if(ISBLANK('2025'!$S344), 0, 1), 6, if(ISBLANK('2025'!$T344), 0, 1), 7, 0))), 1, "")</f>
        <v/>
      </c>
      <c r="AN380" s="1" t="str">
        <f>IF(AND(AND(AND(AN$4&gt;='2025'!$L344,AN$4&lt;='2025'!$M344), AN$4&lt;&gt;DATE(2025,7,4)), (SWITCH(weekday(AN$4), 1, 0, 2, if(ISBLANK('2025'!$P344), 0, 1), 3, if(ISBLANK('2025'!$Q344), 0, 1), 4, if(ISBLANK('2025'!$R344), 0, 1), 5, if(ISBLANK('2025'!$S344), 0, 1), 6, if(ISBLANK('2025'!$T344), 0, 1), 7, 0))), 1, "")</f>
        <v/>
      </c>
      <c r="AO380" s="1" t="str">
        <f>IF(AND(AND(AND(AO$4&gt;='2025'!$L344,AO$4&lt;='2025'!$M344), AO$4&lt;&gt;DATE(2025,7,4)), (SWITCH(weekday(AO$4), 1, 0, 2, if(ISBLANK('2025'!$P344), 0, 1), 3, if(ISBLANK('2025'!$Q344), 0, 1), 4, if(ISBLANK('2025'!$R344), 0, 1), 5, if(ISBLANK('2025'!$S344), 0, 1), 6, if(ISBLANK('2025'!$T344), 0, 1), 7, 0))), 1, "")</f>
        <v/>
      </c>
      <c r="AP380" s="1" t="str">
        <f>IF(AND(AND(AND(AP$4&gt;='2025'!$L344,AP$4&lt;='2025'!$M344), AP$4&lt;&gt;DATE(2025,7,4)), (SWITCH(weekday(AP$4), 1, 0, 2, if(ISBLANK('2025'!$P344), 0, 1), 3, if(ISBLANK('2025'!$Q344), 0, 1), 4, if(ISBLANK('2025'!$R344), 0, 1), 5, if(ISBLANK('2025'!$S344), 0, 1), 6, if(ISBLANK('2025'!$T344), 0, 1), 7, 0))), 1, "")</f>
        <v/>
      </c>
      <c r="AQ380" s="1" t="str">
        <f>IF(AND(AND(AND(AQ$4&gt;='2025'!$L344,AQ$4&lt;='2025'!$M344), AQ$4&lt;&gt;DATE(2025,7,4)), (SWITCH(weekday(AQ$4), 1, 0, 2, if(ISBLANK('2025'!$P344), 0, 1), 3, if(ISBLANK('2025'!$Q344), 0, 1), 4, if(ISBLANK('2025'!$R344), 0, 1), 5, if(ISBLANK('2025'!$S344), 0, 1), 6, if(ISBLANK('2025'!$T344), 0, 1), 7, 0))), 1, "")</f>
        <v/>
      </c>
      <c r="AR380" s="1" t="str">
        <f>IF(AND(AND(AND(AR$4&gt;='2025'!$L344,AR$4&lt;='2025'!$M344), AR$4&lt;&gt;DATE(2025,7,4)), (SWITCH(weekday(AR$4), 1, 0, 2, if(ISBLANK('2025'!$P344), 0, 1), 3, if(ISBLANK('2025'!$Q344), 0, 1), 4, if(ISBLANK('2025'!$R344), 0, 1), 5, if(ISBLANK('2025'!$S344), 0, 1), 6, if(ISBLANK('2025'!$T344), 0, 1), 7, 0))), 1, "")</f>
        <v/>
      </c>
      <c r="AS380" s="1" t="str">
        <f>IF(AND(AND(AND(AS$4&gt;='2025'!$L344,AS$4&lt;='2025'!$M344), AS$4&lt;&gt;DATE(2025,7,4)), (SWITCH(weekday(AS$4), 1, 0, 2, if(ISBLANK('2025'!$P344), 0, 1), 3, if(ISBLANK('2025'!$Q344), 0, 1), 4, if(ISBLANK('2025'!$R344), 0, 1), 5, if(ISBLANK('2025'!$S344), 0, 1), 6, if(ISBLANK('2025'!$T344), 0, 1), 7, 0))), 1, "")</f>
        <v/>
      </c>
      <c r="AT380" s="1" t="str">
        <f>IF(AND(AND(AND(AT$4&gt;='2025'!$L344,AT$4&lt;='2025'!$M344), AT$4&lt;&gt;DATE(2025,7,4)), (SWITCH(weekday(AT$4), 1, 0, 2, if(ISBLANK('2025'!$P344), 0, 1), 3, if(ISBLANK('2025'!$Q344), 0, 1), 4, if(ISBLANK('2025'!$R344), 0, 1), 5, if(ISBLANK('2025'!$S344), 0, 1), 6, if(ISBLANK('2025'!$T344), 0, 1), 7, 0))), 1, "")</f>
        <v/>
      </c>
      <c r="AU380" s="1" t="str">
        <f>IF(AND(AND(AND(AU$4&gt;='2025'!$L344,AU$4&lt;='2025'!$M344), AU$4&lt;&gt;DATE(2025,7,4)), (SWITCH(weekday(AU$4), 1, 0, 2, if(ISBLANK('2025'!$P344), 0, 1), 3, if(ISBLANK('2025'!$Q344), 0, 1), 4, if(ISBLANK('2025'!$R344), 0, 1), 5, if(ISBLANK('2025'!$S344), 0, 1), 6, if(ISBLANK('2025'!$T344), 0, 1), 7, 0))), 1, "")</f>
        <v/>
      </c>
      <c r="AV380" s="1" t="str">
        <f>IF(AND(AND(AND(AV$4&gt;='2025'!$L344,AV$4&lt;='2025'!$M344), AV$4&lt;&gt;DATE(2025,7,4)), (SWITCH(weekday(AV$4), 1, 0, 2, if(ISBLANK('2025'!$P344), 0, 1), 3, if(ISBLANK('2025'!$Q344), 0, 1), 4, if(ISBLANK('2025'!$R344), 0, 1), 5, if(ISBLANK('2025'!$S344), 0, 1), 6, if(ISBLANK('2025'!$T344), 0, 1), 7, 0))), 1, "")</f>
        <v/>
      </c>
      <c r="AW380" s="1" t="str">
        <f>IF(AND(AND(AND(AW$4&gt;='2025'!$L344,AW$4&lt;='2025'!$M344), AW$4&lt;&gt;DATE(2025,7,4)), (SWITCH(weekday(AW$4), 1, 0, 2, if(ISBLANK('2025'!$P344), 0, 1), 3, if(ISBLANK('2025'!$Q344), 0, 1), 4, if(ISBLANK('2025'!$R344), 0, 1), 5, if(ISBLANK('2025'!$S344), 0, 1), 6, if(ISBLANK('2025'!$T344), 0, 1), 7, 0))), 1, "")</f>
        <v/>
      </c>
      <c r="AX380" s="1" t="str">
        <f>IF(AND(AND(AND(AX$4&gt;='2025'!$L344,AX$4&lt;='2025'!$M344), AX$4&lt;&gt;DATE(2025,7,4)), (SWITCH(weekday(AX$4), 1, 0, 2, if(ISBLANK('2025'!$P344), 0, 1), 3, if(ISBLANK('2025'!$Q344), 0, 1), 4, if(ISBLANK('2025'!$R344), 0, 1), 5, if(ISBLANK('2025'!$S344), 0, 1), 6, if(ISBLANK('2025'!$T344), 0, 1), 7, 0))), 1, "")</f>
        <v/>
      </c>
      <c r="AY380" s="1" t="str">
        <f>IF(AND(AND(AND(AY$4&gt;='2025'!$L344,AY$4&lt;='2025'!$M344), AY$4&lt;&gt;DATE(2025,7,4)), (SWITCH(weekday(AY$4), 1, 0, 2, if(ISBLANK('2025'!$P344), 0, 1), 3, if(ISBLANK('2025'!$Q344), 0, 1), 4, if(ISBLANK('2025'!$R344), 0, 1), 5, if(ISBLANK('2025'!$S344), 0, 1), 6, if(ISBLANK('2025'!$T344), 0, 1), 7, 0))), 1, "")</f>
        <v/>
      </c>
      <c r="AZ380" s="1" t="str">
        <f>IF(AND(AND(AND(AZ$4&gt;='2025'!$L344,AZ$4&lt;='2025'!$M344), AZ$4&lt;&gt;DATE(2025,7,4)), (SWITCH(weekday(AZ$4), 1, 0, 2, if(ISBLANK('2025'!$P344), 0, 1), 3, if(ISBLANK('2025'!$Q344), 0, 1), 4, if(ISBLANK('2025'!$R344), 0, 1), 5, if(ISBLANK('2025'!$S344), 0, 1), 6, if(ISBLANK('2025'!$T344), 0, 1), 7, 0))), 1, "")</f>
        <v/>
      </c>
      <c r="BA380" s="1" t="str">
        <f>IF(AND(AND(AND(BA$4&gt;='2025'!$L344,BA$4&lt;='2025'!$M344), BA$4&lt;&gt;DATE(2025,7,4)), (SWITCH(weekday(BA$4), 1, 0, 2, if(ISBLANK('2025'!$P344), 0, 1), 3, if(ISBLANK('2025'!$Q344), 0, 1), 4, if(ISBLANK('2025'!$R344), 0, 1), 5, if(ISBLANK('2025'!$S344), 0, 1), 6, if(ISBLANK('2025'!$T344), 0, 1), 7, 0))), 1, "")</f>
        <v/>
      </c>
      <c r="BB380" s="1" t="str">
        <f>IF(AND(AND(AND(BB$4&gt;='2025'!$L344,BB$4&lt;='2025'!$M344), BB$4&lt;&gt;DATE(2025,7,4)), (SWITCH(weekday(BB$4), 1, 0, 2, if(ISBLANK('2025'!$P344), 0, 1), 3, if(ISBLANK('2025'!$Q344), 0, 1), 4, if(ISBLANK('2025'!$R344), 0, 1), 5, if(ISBLANK('2025'!$S344), 0, 1), 6, if(ISBLANK('2025'!$T344), 0, 1), 7, 0))), 1, "")</f>
        <v/>
      </c>
      <c r="BC380" s="1" t="str">
        <f>IF(AND(AND(AND(BC$4&gt;='2025'!$L344,BC$4&lt;='2025'!$M344), BC$4&lt;&gt;DATE(2025,7,4)), (SWITCH(weekday(BC$4), 1, 0, 2, if(ISBLANK('2025'!$P344), 0, 1), 3, if(ISBLANK('2025'!$Q344), 0, 1), 4, if(ISBLANK('2025'!$R344), 0, 1), 5, if(ISBLANK('2025'!$S344), 0, 1), 6, if(ISBLANK('2025'!$T344), 0, 1), 7, 0))), 1, "")</f>
        <v/>
      </c>
      <c r="BD380" s="1" t="str">
        <f>IF(AND(AND(AND(BD$4&gt;='2025'!$L344,BD$4&lt;='2025'!$M344), BD$4&lt;&gt;DATE(2025,7,4)), (SWITCH(weekday(BD$4), 1, 0, 2, if(ISBLANK('2025'!$P344), 0, 1), 3, if(ISBLANK('2025'!$Q344), 0, 1), 4, if(ISBLANK('2025'!$R344), 0, 1), 5, if(ISBLANK('2025'!$S344), 0, 1), 6, if(ISBLANK('2025'!$T344), 0, 1), 7, 0))), 1, "")</f>
        <v/>
      </c>
      <c r="BE380" s="1" t="str">
        <f>IF(AND(AND(AND(BE$4&gt;='2025'!$L344,BE$4&lt;='2025'!$M344), BE$4&lt;&gt;DATE(2025,7,4)), (SWITCH(weekday(BE$4), 1, 0, 2, if(ISBLANK('2025'!$P344), 0, 1), 3, if(ISBLANK('2025'!$Q344), 0, 1), 4, if(ISBLANK('2025'!$R344), 0, 1), 5, if(ISBLANK('2025'!$S344), 0, 1), 6, if(ISBLANK('2025'!$T344), 0, 1), 7, 0))), 1, "")</f>
        <v/>
      </c>
    </row>
    <row r="381">
      <c r="A381" s="1">
        <f t="shared" si="3"/>
        <v>381</v>
      </c>
      <c r="B381" s="1" t="str">
        <f>'2025'!D345</f>
        <v/>
      </c>
      <c r="C381" s="1" t="str">
        <f>'2025'!H345</f>
        <v/>
      </c>
      <c r="D381" s="1" t="str">
        <f>IF(AND(AND(AND(D$4&gt;='2025'!$L345,D$4&lt;='2025'!$M345), D$4&lt;&gt;DATE(2025,7,4)), (SWITCH(weekday(D$4), 1, 0, 2, if(ISBLANK('2025'!$P345), 0, 1), 3, if(ISBLANK('2025'!$Q345), 0, 1), 4, if(ISBLANK('2025'!$R345), 0, 1), 5, if(ISBLANK('2025'!$S345), 0, 1), 6, if(ISBLANK('2025'!$T345), 0, 1), 7, 0))), 1, "")</f>
        <v/>
      </c>
      <c r="E381" s="1" t="str">
        <f>IF(AND(AND(AND(E$4&gt;='2025'!$L345,E$4&lt;='2025'!$M345), E$4&lt;&gt;DATE(2025,7,4)), (SWITCH(weekday(E$4), 1, 0, 2, if(ISBLANK('2025'!$P345), 0, 1), 3, if(ISBLANK('2025'!$Q345), 0, 1), 4, if(ISBLANK('2025'!$R345), 0, 1), 5, if(ISBLANK('2025'!$S345), 0, 1), 6, if(ISBLANK('2025'!$T345), 0, 1), 7, 0))), 1, "")</f>
        <v/>
      </c>
      <c r="F381" s="1" t="str">
        <f>IF(AND(AND(AND(F$4&gt;='2025'!$L345,F$4&lt;='2025'!$M345), F$4&lt;&gt;DATE(2025,7,4)), (SWITCH(weekday(F$4), 1, 0, 2, if(ISBLANK('2025'!$P345), 0, 1), 3, if(ISBLANK('2025'!$Q345), 0, 1), 4, if(ISBLANK('2025'!$R345), 0, 1), 5, if(ISBLANK('2025'!$S345), 0, 1), 6, if(ISBLANK('2025'!$T345), 0, 1), 7, 0))), 1, "")</f>
        <v/>
      </c>
      <c r="G381" s="1" t="str">
        <f>IF(AND(AND(AND(G$4&gt;='2025'!$L345,G$4&lt;='2025'!$M345), G$4&lt;&gt;DATE(2025,7,4)), (SWITCH(weekday(G$4), 1, 0, 2, if(ISBLANK('2025'!$P345), 0, 1), 3, if(ISBLANK('2025'!$Q345), 0, 1), 4, if(ISBLANK('2025'!$R345), 0, 1), 5, if(ISBLANK('2025'!$S345), 0, 1), 6, if(ISBLANK('2025'!$T345), 0, 1), 7, 0))), 1, "")</f>
        <v/>
      </c>
      <c r="H381" s="1" t="str">
        <f>IF(AND(AND(AND(H$4&gt;='2025'!$L345,H$4&lt;='2025'!$M345), H$4&lt;&gt;DATE(2025,7,4)), (SWITCH(weekday(H$4), 1, 0, 2, if(ISBLANK('2025'!$P345), 0, 1), 3, if(ISBLANK('2025'!$Q345), 0, 1), 4, if(ISBLANK('2025'!$R345), 0, 1), 5, if(ISBLANK('2025'!$S345), 0, 1), 6, if(ISBLANK('2025'!$T345), 0, 1), 7, 0))), 1, "")</f>
        <v/>
      </c>
      <c r="I381" s="1" t="str">
        <f>IF(AND(AND(AND(I$4&gt;='2025'!$L345,I$4&lt;='2025'!$M345), I$4&lt;&gt;DATE(2025,7,4)), (SWITCH(weekday(I$4), 1, 0, 2, if(ISBLANK('2025'!$P345), 0, 1), 3, if(ISBLANK('2025'!$Q345), 0, 1), 4, if(ISBLANK('2025'!$R345), 0, 1), 5, if(ISBLANK('2025'!$S345), 0, 1), 6, if(ISBLANK('2025'!$T345), 0, 1), 7, 0))), 1, "")</f>
        <v/>
      </c>
      <c r="J381" s="1" t="str">
        <f>IF(AND(AND(AND(J$4&gt;='2025'!$L345,J$4&lt;='2025'!$M345), J$4&lt;&gt;DATE(2025,7,4)), (SWITCH(weekday(J$4), 1, 0, 2, if(ISBLANK('2025'!$P345), 0, 1), 3, if(ISBLANK('2025'!$Q345), 0, 1), 4, if(ISBLANK('2025'!$R345), 0, 1), 5, if(ISBLANK('2025'!$S345), 0, 1), 6, if(ISBLANK('2025'!$T345), 0, 1), 7, 0))), 1, "")</f>
        <v/>
      </c>
      <c r="K381" s="1" t="str">
        <f>IF(AND(AND(AND(K$4&gt;='2025'!$L345,K$4&lt;='2025'!$M345), K$4&lt;&gt;DATE(2025,7,4)), (SWITCH(weekday(K$4), 1, 0, 2, if(ISBLANK('2025'!$P345), 0, 1), 3, if(ISBLANK('2025'!$Q345), 0, 1), 4, if(ISBLANK('2025'!$R345), 0, 1), 5, if(ISBLANK('2025'!$S345), 0, 1), 6, if(ISBLANK('2025'!$T345), 0, 1), 7, 0))), 1, "")</f>
        <v/>
      </c>
      <c r="L381" s="1" t="str">
        <f>IF(AND(AND(AND(L$4&gt;='2025'!$L345,L$4&lt;='2025'!$M345), L$4&lt;&gt;DATE(2025,7,4)), (SWITCH(weekday(L$4), 1, 0, 2, if(ISBLANK('2025'!$P345), 0, 1), 3, if(ISBLANK('2025'!$Q345), 0, 1), 4, if(ISBLANK('2025'!$R345), 0, 1), 5, if(ISBLANK('2025'!$S345), 0, 1), 6, if(ISBLANK('2025'!$T345), 0, 1), 7, 0))), 1, "")</f>
        <v/>
      </c>
      <c r="M381" s="1" t="str">
        <f>IF(AND(AND(AND(M$4&gt;='2025'!$L345,M$4&lt;='2025'!$M345), M$4&lt;&gt;DATE(2025,7,4)), (SWITCH(weekday(M$4), 1, 0, 2, if(ISBLANK('2025'!$P345), 0, 1), 3, if(ISBLANK('2025'!$Q345), 0, 1), 4, if(ISBLANK('2025'!$R345), 0, 1), 5, if(ISBLANK('2025'!$S345), 0, 1), 6, if(ISBLANK('2025'!$T345), 0, 1), 7, 0))), 1, "")</f>
        <v/>
      </c>
      <c r="N381" s="1" t="str">
        <f>IF(AND(AND(AND(N$4&gt;='2025'!$L345,N$4&lt;='2025'!$M345), N$4&lt;&gt;DATE(2025,7,4)), (SWITCH(weekday(N$4), 1, 0, 2, if(ISBLANK('2025'!$P345), 0, 1), 3, if(ISBLANK('2025'!$Q345), 0, 1), 4, if(ISBLANK('2025'!$R345), 0, 1), 5, if(ISBLANK('2025'!$S345), 0, 1), 6, if(ISBLANK('2025'!$T345), 0, 1), 7, 0))), 1, "")</f>
        <v/>
      </c>
      <c r="O381" s="1" t="str">
        <f>IF(AND(AND(AND(O$4&gt;='2025'!$L345,O$4&lt;='2025'!$M345), O$4&lt;&gt;DATE(2025,7,4)), (SWITCH(weekday(O$4), 1, 0, 2, if(ISBLANK('2025'!$P345), 0, 1), 3, if(ISBLANK('2025'!$Q345), 0, 1), 4, if(ISBLANK('2025'!$R345), 0, 1), 5, if(ISBLANK('2025'!$S345), 0, 1), 6, if(ISBLANK('2025'!$T345), 0, 1), 7, 0))), 1, "")</f>
        <v/>
      </c>
      <c r="P381" s="1" t="str">
        <f>IF(AND(AND(AND(P$4&gt;='2025'!$L345,P$4&lt;='2025'!$M345), P$4&lt;&gt;DATE(2025,7,4)), (SWITCH(weekday(P$4), 1, 0, 2, if(ISBLANK('2025'!$P345), 0, 1), 3, if(ISBLANK('2025'!$Q345), 0, 1), 4, if(ISBLANK('2025'!$R345), 0, 1), 5, if(ISBLANK('2025'!$S345), 0, 1), 6, if(ISBLANK('2025'!$T345), 0, 1), 7, 0))), 1, "")</f>
        <v/>
      </c>
      <c r="Q381" s="1" t="str">
        <f>IF(AND(AND(AND(Q$4&gt;='2025'!$L345,Q$4&lt;='2025'!$M345), Q$4&lt;&gt;DATE(2025,7,4)), (SWITCH(weekday(Q$4), 1, 0, 2, if(ISBLANK('2025'!$P345), 0, 1), 3, if(ISBLANK('2025'!$Q345), 0, 1), 4, if(ISBLANK('2025'!$R345), 0, 1), 5, if(ISBLANK('2025'!$S345), 0, 1), 6, if(ISBLANK('2025'!$T345), 0, 1), 7, 0))), 1, "")</f>
        <v/>
      </c>
      <c r="R381" s="1" t="str">
        <f>IF(AND(AND(AND(R$4&gt;='2025'!$L345,R$4&lt;='2025'!$M345), R$4&lt;&gt;DATE(2025,7,4)), (SWITCH(weekday(R$4), 1, 0, 2, if(ISBLANK('2025'!$P345), 0, 1), 3, if(ISBLANK('2025'!$Q345), 0, 1), 4, if(ISBLANK('2025'!$R345), 0, 1), 5, if(ISBLANK('2025'!$S345), 0, 1), 6, if(ISBLANK('2025'!$T345), 0, 1), 7, 0))), 1, "")</f>
        <v/>
      </c>
      <c r="S381" s="1" t="str">
        <f>IF(AND(AND(AND(S$4&gt;='2025'!$L345,S$4&lt;='2025'!$M345), S$4&lt;&gt;DATE(2025,7,4)), (SWITCH(weekday(S$4), 1, 0, 2, if(ISBLANK('2025'!$P345), 0, 1), 3, if(ISBLANK('2025'!$Q345), 0, 1), 4, if(ISBLANK('2025'!$R345), 0, 1), 5, if(ISBLANK('2025'!$S345), 0, 1), 6, if(ISBLANK('2025'!$T345), 0, 1), 7, 0))), 1, "")</f>
        <v/>
      </c>
      <c r="T381" s="1" t="str">
        <f>IF(AND(AND(AND(T$4&gt;='2025'!$L345,T$4&lt;='2025'!$M345), T$4&lt;&gt;DATE(2025,7,4)), (SWITCH(weekday(T$4), 1, 0, 2, if(ISBLANK('2025'!$P345), 0, 1), 3, if(ISBLANK('2025'!$Q345), 0, 1), 4, if(ISBLANK('2025'!$R345), 0, 1), 5, if(ISBLANK('2025'!$S345), 0, 1), 6, if(ISBLANK('2025'!$T345), 0, 1), 7, 0))), 1, "")</f>
        <v/>
      </c>
      <c r="U381" s="1" t="str">
        <f>IF(AND(AND(AND(U$4&gt;='2025'!$L345,U$4&lt;='2025'!$M345), U$4&lt;&gt;DATE(2025,7,4)), (SWITCH(weekday(U$4), 1, 0, 2, if(ISBLANK('2025'!$P345), 0, 1), 3, if(ISBLANK('2025'!$Q345), 0, 1), 4, if(ISBLANK('2025'!$R345), 0, 1), 5, if(ISBLANK('2025'!$S345), 0, 1), 6, if(ISBLANK('2025'!$T345), 0, 1), 7, 0))), 1, "")</f>
        <v/>
      </c>
      <c r="V381" s="1" t="str">
        <f>IF(AND(AND(AND(V$4&gt;='2025'!$L345,V$4&lt;='2025'!$M345), V$4&lt;&gt;DATE(2025,7,4)), (SWITCH(weekday(V$4), 1, 0, 2, if(ISBLANK('2025'!$P345), 0, 1), 3, if(ISBLANK('2025'!$Q345), 0, 1), 4, if(ISBLANK('2025'!$R345), 0, 1), 5, if(ISBLANK('2025'!$S345), 0, 1), 6, if(ISBLANK('2025'!$T345), 0, 1), 7, 0))), 1, "")</f>
        <v/>
      </c>
      <c r="W381" s="1" t="str">
        <f>IF(AND(AND(AND(W$4&gt;='2025'!$L345,W$4&lt;='2025'!$M345), W$4&lt;&gt;DATE(2025,7,4)), (SWITCH(weekday(W$4), 1, 0, 2, if(ISBLANK('2025'!$P345), 0, 1), 3, if(ISBLANK('2025'!$Q345), 0, 1), 4, if(ISBLANK('2025'!$R345), 0, 1), 5, if(ISBLANK('2025'!$S345), 0, 1), 6, if(ISBLANK('2025'!$T345), 0, 1), 7, 0))), 1, "")</f>
        <v/>
      </c>
      <c r="X381" s="1" t="str">
        <f>IF(AND(AND(AND(X$4&gt;='2025'!$L345,X$4&lt;='2025'!$M345), X$4&lt;&gt;DATE(2025,7,4)), (SWITCH(weekday(X$4), 1, 0, 2, if(ISBLANK('2025'!$P345), 0, 1), 3, if(ISBLANK('2025'!$Q345), 0, 1), 4, if(ISBLANK('2025'!$R345), 0, 1), 5, if(ISBLANK('2025'!$S345), 0, 1), 6, if(ISBLANK('2025'!$T345), 0, 1), 7, 0))), 1, "")</f>
        <v/>
      </c>
      <c r="Y381" s="1" t="str">
        <f>IF(AND(AND(AND(Y$4&gt;='2025'!$L345,Y$4&lt;='2025'!$M345), Y$4&lt;&gt;DATE(2025,7,4)), (SWITCH(weekday(Y$4), 1, 0, 2, if(ISBLANK('2025'!$P345), 0, 1), 3, if(ISBLANK('2025'!$Q345), 0, 1), 4, if(ISBLANK('2025'!$R345), 0, 1), 5, if(ISBLANK('2025'!$S345), 0, 1), 6, if(ISBLANK('2025'!$T345), 0, 1), 7, 0))), 1, "")</f>
        <v/>
      </c>
      <c r="Z381" s="1" t="str">
        <f>IF(AND(AND(AND(Z$4&gt;='2025'!$L345,Z$4&lt;='2025'!$M345), Z$4&lt;&gt;DATE(2025,7,4)), (SWITCH(weekday(Z$4), 1, 0, 2, if(ISBLANK('2025'!$P345), 0, 1), 3, if(ISBLANK('2025'!$Q345), 0, 1), 4, if(ISBLANK('2025'!$R345), 0, 1), 5, if(ISBLANK('2025'!$S345), 0, 1), 6, if(ISBLANK('2025'!$T345), 0, 1), 7, 0))), 1, "")</f>
        <v/>
      </c>
      <c r="AA381" s="1" t="str">
        <f>IF(AND(AND(AND(AA$4&gt;='2025'!$L345,AA$4&lt;='2025'!$M345), AA$4&lt;&gt;DATE(2025,7,4)), (SWITCH(weekday(AA$4), 1, 0, 2, if(ISBLANK('2025'!$P345), 0, 1), 3, if(ISBLANK('2025'!$Q345), 0, 1), 4, if(ISBLANK('2025'!$R345), 0, 1), 5, if(ISBLANK('2025'!$S345), 0, 1), 6, if(ISBLANK('2025'!$T345), 0, 1), 7, 0))), 1, "")</f>
        <v/>
      </c>
      <c r="AB381" s="1" t="str">
        <f>IF(AND(AND(AND(AB$4&gt;='2025'!$L345,AB$4&lt;='2025'!$M345), AB$4&lt;&gt;DATE(2025,7,4)), (SWITCH(weekday(AB$4), 1, 0, 2, if(ISBLANK('2025'!$P345), 0, 1), 3, if(ISBLANK('2025'!$Q345), 0, 1), 4, if(ISBLANK('2025'!$R345), 0, 1), 5, if(ISBLANK('2025'!$S345), 0, 1), 6, if(ISBLANK('2025'!$T345), 0, 1), 7, 0))), 1, "")</f>
        <v/>
      </c>
      <c r="AC381" s="1" t="str">
        <f>IF(AND(AND(AND(AC$4&gt;='2025'!$L345,AC$4&lt;='2025'!$M345), AC$4&lt;&gt;DATE(2025,7,4)), (SWITCH(weekday(AC$4), 1, 0, 2, if(ISBLANK('2025'!$P345), 0, 1), 3, if(ISBLANK('2025'!$Q345), 0, 1), 4, if(ISBLANK('2025'!$R345), 0, 1), 5, if(ISBLANK('2025'!$S345), 0, 1), 6, if(ISBLANK('2025'!$T345), 0, 1), 7, 0))), 1, "")</f>
        <v/>
      </c>
      <c r="AD381" s="1" t="str">
        <f>IF(AND(AND(AND(AD$4&gt;='2025'!$L345,AD$4&lt;='2025'!$M345), AD$4&lt;&gt;DATE(2025,7,4)), (SWITCH(weekday(AD$4), 1, 0, 2, if(ISBLANK('2025'!$P345), 0, 1), 3, if(ISBLANK('2025'!$Q345), 0, 1), 4, if(ISBLANK('2025'!$R345), 0, 1), 5, if(ISBLANK('2025'!$S345), 0, 1), 6, if(ISBLANK('2025'!$T345), 0, 1), 7, 0))), 1, "")</f>
        <v/>
      </c>
      <c r="AE381" s="1" t="str">
        <f>IF(AND(AND(AND(AE$4&gt;='2025'!$L345,AE$4&lt;='2025'!$M345), AE$4&lt;&gt;DATE(2025,7,4)), (SWITCH(weekday(AE$4), 1, 0, 2, if(ISBLANK('2025'!$P345), 0, 1), 3, if(ISBLANK('2025'!$Q345), 0, 1), 4, if(ISBLANK('2025'!$R345), 0, 1), 5, if(ISBLANK('2025'!$S345), 0, 1), 6, if(ISBLANK('2025'!$T345), 0, 1), 7, 0))), 1, "")</f>
        <v/>
      </c>
      <c r="AF381" s="1" t="str">
        <f>IF(AND(AND(AND(AF$4&gt;='2025'!$L345,AF$4&lt;='2025'!$M345), AF$4&lt;&gt;DATE(2025,7,4)), (SWITCH(weekday(AF$4), 1, 0, 2, if(ISBLANK('2025'!$P345), 0, 1), 3, if(ISBLANK('2025'!$Q345), 0, 1), 4, if(ISBLANK('2025'!$R345), 0, 1), 5, if(ISBLANK('2025'!$S345), 0, 1), 6, if(ISBLANK('2025'!$T345), 0, 1), 7, 0))), 1, "")</f>
        <v/>
      </c>
      <c r="AG381" s="1" t="str">
        <f>IF(AND(AND(AND(AG$4&gt;='2025'!$L345,AG$4&lt;='2025'!$M345), AG$4&lt;&gt;DATE(2025,7,4)), (SWITCH(weekday(AG$4), 1, 0, 2, if(ISBLANK('2025'!$P345), 0, 1), 3, if(ISBLANK('2025'!$Q345), 0, 1), 4, if(ISBLANK('2025'!$R345), 0, 1), 5, if(ISBLANK('2025'!$S345), 0, 1), 6, if(ISBLANK('2025'!$T345), 0, 1), 7, 0))), 1, "")</f>
        <v/>
      </c>
      <c r="AH381" s="1" t="str">
        <f>IF(AND(AND(AND(AH$4&gt;='2025'!$L345,AH$4&lt;='2025'!$M345), AH$4&lt;&gt;DATE(2025,7,4)), (SWITCH(weekday(AH$4), 1, 0, 2, if(ISBLANK('2025'!$P345), 0, 1), 3, if(ISBLANK('2025'!$Q345), 0, 1), 4, if(ISBLANK('2025'!$R345), 0, 1), 5, if(ISBLANK('2025'!$S345), 0, 1), 6, if(ISBLANK('2025'!$T345), 0, 1), 7, 0))), 1, "")</f>
        <v/>
      </c>
      <c r="AI381" s="1" t="str">
        <f>IF(AND(AND(AND(AI$4&gt;='2025'!$L345,AI$4&lt;='2025'!$M345), AI$4&lt;&gt;DATE(2025,7,4)), (SWITCH(weekday(AI$4), 1, 0, 2, if(ISBLANK('2025'!$P345), 0, 1), 3, if(ISBLANK('2025'!$Q345), 0, 1), 4, if(ISBLANK('2025'!$R345), 0, 1), 5, if(ISBLANK('2025'!$S345), 0, 1), 6, if(ISBLANK('2025'!$T345), 0, 1), 7, 0))), 1, "")</f>
        <v/>
      </c>
      <c r="AJ381" s="1" t="str">
        <f>IF(AND(AND(AND(AJ$4&gt;='2025'!$L345,AJ$4&lt;='2025'!$M345), AJ$4&lt;&gt;DATE(2025,7,4)), (SWITCH(weekday(AJ$4), 1, 0, 2, if(ISBLANK('2025'!$P345), 0, 1), 3, if(ISBLANK('2025'!$Q345), 0, 1), 4, if(ISBLANK('2025'!$R345), 0, 1), 5, if(ISBLANK('2025'!$S345), 0, 1), 6, if(ISBLANK('2025'!$T345), 0, 1), 7, 0))), 1, "")</f>
        <v/>
      </c>
      <c r="AK381" s="1" t="str">
        <f>IF(AND(AND(AND(AK$4&gt;='2025'!$L345,AK$4&lt;='2025'!$M345), AK$4&lt;&gt;DATE(2025,7,4)), (SWITCH(weekday(AK$4), 1, 0, 2, if(ISBLANK('2025'!$P345), 0, 1), 3, if(ISBLANK('2025'!$Q345), 0, 1), 4, if(ISBLANK('2025'!$R345), 0, 1), 5, if(ISBLANK('2025'!$S345), 0, 1), 6, if(ISBLANK('2025'!$T345), 0, 1), 7, 0))), 1, "")</f>
        <v/>
      </c>
      <c r="AL381" s="1" t="str">
        <f>IF(AND(AND(AND(AL$4&gt;='2025'!$L345,AL$4&lt;='2025'!$M345), AL$4&lt;&gt;DATE(2025,7,4)), (SWITCH(weekday(AL$4), 1, 0, 2, if(ISBLANK('2025'!$P345), 0, 1), 3, if(ISBLANK('2025'!$Q345), 0, 1), 4, if(ISBLANK('2025'!$R345), 0, 1), 5, if(ISBLANK('2025'!$S345), 0, 1), 6, if(ISBLANK('2025'!$T345), 0, 1), 7, 0))), 1, "")</f>
        <v/>
      </c>
      <c r="AM381" s="1" t="str">
        <f>IF(AND(AND(AND(AM$4&gt;='2025'!$L345,AM$4&lt;='2025'!$M345), AM$4&lt;&gt;DATE(2025,7,4)), (SWITCH(weekday(AM$4), 1, 0, 2, if(ISBLANK('2025'!$P345), 0, 1), 3, if(ISBLANK('2025'!$Q345), 0, 1), 4, if(ISBLANK('2025'!$R345), 0, 1), 5, if(ISBLANK('2025'!$S345), 0, 1), 6, if(ISBLANK('2025'!$T345), 0, 1), 7, 0))), 1, "")</f>
        <v/>
      </c>
      <c r="AN381" s="1" t="str">
        <f>IF(AND(AND(AND(AN$4&gt;='2025'!$L345,AN$4&lt;='2025'!$M345), AN$4&lt;&gt;DATE(2025,7,4)), (SWITCH(weekday(AN$4), 1, 0, 2, if(ISBLANK('2025'!$P345), 0, 1), 3, if(ISBLANK('2025'!$Q345), 0, 1), 4, if(ISBLANK('2025'!$R345), 0, 1), 5, if(ISBLANK('2025'!$S345), 0, 1), 6, if(ISBLANK('2025'!$T345), 0, 1), 7, 0))), 1, "")</f>
        <v/>
      </c>
      <c r="AO381" s="1" t="str">
        <f>IF(AND(AND(AND(AO$4&gt;='2025'!$L345,AO$4&lt;='2025'!$M345), AO$4&lt;&gt;DATE(2025,7,4)), (SWITCH(weekday(AO$4), 1, 0, 2, if(ISBLANK('2025'!$P345), 0, 1), 3, if(ISBLANK('2025'!$Q345), 0, 1), 4, if(ISBLANK('2025'!$R345), 0, 1), 5, if(ISBLANK('2025'!$S345), 0, 1), 6, if(ISBLANK('2025'!$T345), 0, 1), 7, 0))), 1, "")</f>
        <v/>
      </c>
      <c r="AP381" s="1" t="str">
        <f>IF(AND(AND(AND(AP$4&gt;='2025'!$L345,AP$4&lt;='2025'!$M345), AP$4&lt;&gt;DATE(2025,7,4)), (SWITCH(weekday(AP$4), 1, 0, 2, if(ISBLANK('2025'!$P345), 0, 1), 3, if(ISBLANK('2025'!$Q345), 0, 1), 4, if(ISBLANK('2025'!$R345), 0, 1), 5, if(ISBLANK('2025'!$S345), 0, 1), 6, if(ISBLANK('2025'!$T345), 0, 1), 7, 0))), 1, "")</f>
        <v/>
      </c>
      <c r="AQ381" s="1" t="str">
        <f>IF(AND(AND(AND(AQ$4&gt;='2025'!$L345,AQ$4&lt;='2025'!$M345), AQ$4&lt;&gt;DATE(2025,7,4)), (SWITCH(weekday(AQ$4), 1, 0, 2, if(ISBLANK('2025'!$P345), 0, 1), 3, if(ISBLANK('2025'!$Q345), 0, 1), 4, if(ISBLANK('2025'!$R345), 0, 1), 5, if(ISBLANK('2025'!$S345), 0, 1), 6, if(ISBLANK('2025'!$T345), 0, 1), 7, 0))), 1, "")</f>
        <v/>
      </c>
      <c r="AR381" s="1" t="str">
        <f>IF(AND(AND(AND(AR$4&gt;='2025'!$L345,AR$4&lt;='2025'!$M345), AR$4&lt;&gt;DATE(2025,7,4)), (SWITCH(weekday(AR$4), 1, 0, 2, if(ISBLANK('2025'!$P345), 0, 1), 3, if(ISBLANK('2025'!$Q345), 0, 1), 4, if(ISBLANK('2025'!$R345), 0, 1), 5, if(ISBLANK('2025'!$S345), 0, 1), 6, if(ISBLANK('2025'!$T345), 0, 1), 7, 0))), 1, "")</f>
        <v/>
      </c>
      <c r="AS381" s="1" t="str">
        <f>IF(AND(AND(AND(AS$4&gt;='2025'!$L345,AS$4&lt;='2025'!$M345), AS$4&lt;&gt;DATE(2025,7,4)), (SWITCH(weekday(AS$4), 1, 0, 2, if(ISBLANK('2025'!$P345), 0, 1), 3, if(ISBLANK('2025'!$Q345), 0, 1), 4, if(ISBLANK('2025'!$R345), 0, 1), 5, if(ISBLANK('2025'!$S345), 0, 1), 6, if(ISBLANK('2025'!$T345), 0, 1), 7, 0))), 1, "")</f>
        <v/>
      </c>
      <c r="AT381" s="1" t="str">
        <f>IF(AND(AND(AND(AT$4&gt;='2025'!$L345,AT$4&lt;='2025'!$M345), AT$4&lt;&gt;DATE(2025,7,4)), (SWITCH(weekday(AT$4), 1, 0, 2, if(ISBLANK('2025'!$P345), 0, 1), 3, if(ISBLANK('2025'!$Q345), 0, 1), 4, if(ISBLANK('2025'!$R345), 0, 1), 5, if(ISBLANK('2025'!$S345), 0, 1), 6, if(ISBLANK('2025'!$T345), 0, 1), 7, 0))), 1, "")</f>
        <v/>
      </c>
      <c r="AU381" s="1" t="str">
        <f>IF(AND(AND(AND(AU$4&gt;='2025'!$L345,AU$4&lt;='2025'!$M345), AU$4&lt;&gt;DATE(2025,7,4)), (SWITCH(weekday(AU$4), 1, 0, 2, if(ISBLANK('2025'!$P345), 0, 1), 3, if(ISBLANK('2025'!$Q345), 0, 1), 4, if(ISBLANK('2025'!$R345), 0, 1), 5, if(ISBLANK('2025'!$S345), 0, 1), 6, if(ISBLANK('2025'!$T345), 0, 1), 7, 0))), 1, "")</f>
        <v/>
      </c>
      <c r="AV381" s="1" t="str">
        <f>IF(AND(AND(AND(AV$4&gt;='2025'!$L345,AV$4&lt;='2025'!$M345), AV$4&lt;&gt;DATE(2025,7,4)), (SWITCH(weekday(AV$4), 1, 0, 2, if(ISBLANK('2025'!$P345), 0, 1), 3, if(ISBLANK('2025'!$Q345), 0, 1), 4, if(ISBLANK('2025'!$R345), 0, 1), 5, if(ISBLANK('2025'!$S345), 0, 1), 6, if(ISBLANK('2025'!$T345), 0, 1), 7, 0))), 1, "")</f>
        <v/>
      </c>
      <c r="AW381" s="1" t="str">
        <f>IF(AND(AND(AND(AW$4&gt;='2025'!$L345,AW$4&lt;='2025'!$M345), AW$4&lt;&gt;DATE(2025,7,4)), (SWITCH(weekday(AW$4), 1, 0, 2, if(ISBLANK('2025'!$P345), 0, 1), 3, if(ISBLANK('2025'!$Q345), 0, 1), 4, if(ISBLANK('2025'!$R345), 0, 1), 5, if(ISBLANK('2025'!$S345), 0, 1), 6, if(ISBLANK('2025'!$T345), 0, 1), 7, 0))), 1, "")</f>
        <v/>
      </c>
      <c r="AX381" s="1" t="str">
        <f>IF(AND(AND(AND(AX$4&gt;='2025'!$L345,AX$4&lt;='2025'!$M345), AX$4&lt;&gt;DATE(2025,7,4)), (SWITCH(weekday(AX$4), 1, 0, 2, if(ISBLANK('2025'!$P345), 0, 1), 3, if(ISBLANK('2025'!$Q345), 0, 1), 4, if(ISBLANK('2025'!$R345), 0, 1), 5, if(ISBLANK('2025'!$S345), 0, 1), 6, if(ISBLANK('2025'!$T345), 0, 1), 7, 0))), 1, "")</f>
        <v/>
      </c>
      <c r="AY381" s="1" t="str">
        <f>IF(AND(AND(AND(AY$4&gt;='2025'!$L345,AY$4&lt;='2025'!$M345), AY$4&lt;&gt;DATE(2025,7,4)), (SWITCH(weekday(AY$4), 1, 0, 2, if(ISBLANK('2025'!$P345), 0, 1), 3, if(ISBLANK('2025'!$Q345), 0, 1), 4, if(ISBLANK('2025'!$R345), 0, 1), 5, if(ISBLANK('2025'!$S345), 0, 1), 6, if(ISBLANK('2025'!$T345), 0, 1), 7, 0))), 1, "")</f>
        <v/>
      </c>
      <c r="AZ381" s="1" t="str">
        <f>IF(AND(AND(AND(AZ$4&gt;='2025'!$L345,AZ$4&lt;='2025'!$M345), AZ$4&lt;&gt;DATE(2025,7,4)), (SWITCH(weekday(AZ$4), 1, 0, 2, if(ISBLANK('2025'!$P345), 0, 1), 3, if(ISBLANK('2025'!$Q345), 0, 1), 4, if(ISBLANK('2025'!$R345), 0, 1), 5, if(ISBLANK('2025'!$S345), 0, 1), 6, if(ISBLANK('2025'!$T345), 0, 1), 7, 0))), 1, "")</f>
        <v/>
      </c>
      <c r="BA381" s="1" t="str">
        <f>IF(AND(AND(AND(BA$4&gt;='2025'!$L345,BA$4&lt;='2025'!$M345), BA$4&lt;&gt;DATE(2025,7,4)), (SWITCH(weekday(BA$4), 1, 0, 2, if(ISBLANK('2025'!$P345), 0, 1), 3, if(ISBLANK('2025'!$Q345), 0, 1), 4, if(ISBLANK('2025'!$R345), 0, 1), 5, if(ISBLANK('2025'!$S345), 0, 1), 6, if(ISBLANK('2025'!$T345), 0, 1), 7, 0))), 1, "")</f>
        <v/>
      </c>
      <c r="BB381" s="1" t="str">
        <f>IF(AND(AND(AND(BB$4&gt;='2025'!$L345,BB$4&lt;='2025'!$M345), BB$4&lt;&gt;DATE(2025,7,4)), (SWITCH(weekday(BB$4), 1, 0, 2, if(ISBLANK('2025'!$P345), 0, 1), 3, if(ISBLANK('2025'!$Q345), 0, 1), 4, if(ISBLANK('2025'!$R345), 0, 1), 5, if(ISBLANK('2025'!$S345), 0, 1), 6, if(ISBLANK('2025'!$T345), 0, 1), 7, 0))), 1, "")</f>
        <v/>
      </c>
      <c r="BC381" s="1" t="str">
        <f>IF(AND(AND(AND(BC$4&gt;='2025'!$L345,BC$4&lt;='2025'!$M345), BC$4&lt;&gt;DATE(2025,7,4)), (SWITCH(weekday(BC$4), 1, 0, 2, if(ISBLANK('2025'!$P345), 0, 1), 3, if(ISBLANK('2025'!$Q345), 0, 1), 4, if(ISBLANK('2025'!$R345), 0, 1), 5, if(ISBLANK('2025'!$S345), 0, 1), 6, if(ISBLANK('2025'!$T345), 0, 1), 7, 0))), 1, "")</f>
        <v/>
      </c>
      <c r="BD381" s="1" t="str">
        <f>IF(AND(AND(AND(BD$4&gt;='2025'!$L345,BD$4&lt;='2025'!$M345), BD$4&lt;&gt;DATE(2025,7,4)), (SWITCH(weekday(BD$4), 1, 0, 2, if(ISBLANK('2025'!$P345), 0, 1), 3, if(ISBLANK('2025'!$Q345), 0, 1), 4, if(ISBLANK('2025'!$R345), 0, 1), 5, if(ISBLANK('2025'!$S345), 0, 1), 6, if(ISBLANK('2025'!$T345), 0, 1), 7, 0))), 1, "")</f>
        <v/>
      </c>
      <c r="BE381" s="1" t="str">
        <f>IF(AND(AND(AND(BE$4&gt;='2025'!$L345,BE$4&lt;='2025'!$M345), BE$4&lt;&gt;DATE(2025,7,4)), (SWITCH(weekday(BE$4), 1, 0, 2, if(ISBLANK('2025'!$P345), 0, 1), 3, if(ISBLANK('2025'!$Q345), 0, 1), 4, if(ISBLANK('2025'!$R345), 0, 1), 5, if(ISBLANK('2025'!$S345), 0, 1), 6, if(ISBLANK('2025'!$T345), 0, 1), 7, 0))), 1, "")</f>
        <v/>
      </c>
    </row>
    <row r="382">
      <c r="A382" s="1">
        <f t="shared" si="3"/>
        <v>382</v>
      </c>
      <c r="B382" s="1" t="str">
        <f>'2025'!D346</f>
        <v/>
      </c>
      <c r="C382" s="1" t="str">
        <f>'2025'!H346</f>
        <v/>
      </c>
      <c r="D382" s="1" t="str">
        <f>IF(AND(AND(AND(D$4&gt;='2025'!$L346,D$4&lt;='2025'!$M346), D$4&lt;&gt;DATE(2025,7,4)), (SWITCH(weekday(D$4), 1, 0, 2, if(ISBLANK('2025'!$P346), 0, 1), 3, if(ISBLANK('2025'!$Q346), 0, 1), 4, if(ISBLANK('2025'!$R346), 0, 1), 5, if(ISBLANK('2025'!$S346), 0, 1), 6, if(ISBLANK('2025'!$T346), 0, 1), 7, 0))), 1, "")</f>
        <v/>
      </c>
      <c r="E382" s="1" t="str">
        <f>IF(AND(AND(AND(E$4&gt;='2025'!$L346,E$4&lt;='2025'!$M346), E$4&lt;&gt;DATE(2025,7,4)), (SWITCH(weekday(E$4), 1, 0, 2, if(ISBLANK('2025'!$P346), 0, 1), 3, if(ISBLANK('2025'!$Q346), 0, 1), 4, if(ISBLANK('2025'!$R346), 0, 1), 5, if(ISBLANK('2025'!$S346), 0, 1), 6, if(ISBLANK('2025'!$T346), 0, 1), 7, 0))), 1, "")</f>
        <v/>
      </c>
      <c r="F382" s="1" t="str">
        <f>IF(AND(AND(AND(F$4&gt;='2025'!$L346,F$4&lt;='2025'!$M346), F$4&lt;&gt;DATE(2025,7,4)), (SWITCH(weekday(F$4), 1, 0, 2, if(ISBLANK('2025'!$P346), 0, 1), 3, if(ISBLANK('2025'!$Q346), 0, 1), 4, if(ISBLANK('2025'!$R346), 0, 1), 5, if(ISBLANK('2025'!$S346), 0, 1), 6, if(ISBLANK('2025'!$T346), 0, 1), 7, 0))), 1, "")</f>
        <v/>
      </c>
      <c r="G382" s="1" t="str">
        <f>IF(AND(AND(AND(G$4&gt;='2025'!$L346,G$4&lt;='2025'!$M346), G$4&lt;&gt;DATE(2025,7,4)), (SWITCH(weekday(G$4), 1, 0, 2, if(ISBLANK('2025'!$P346), 0, 1), 3, if(ISBLANK('2025'!$Q346), 0, 1), 4, if(ISBLANK('2025'!$R346), 0, 1), 5, if(ISBLANK('2025'!$S346), 0, 1), 6, if(ISBLANK('2025'!$T346), 0, 1), 7, 0))), 1, "")</f>
        <v/>
      </c>
      <c r="H382" s="1" t="str">
        <f>IF(AND(AND(AND(H$4&gt;='2025'!$L346,H$4&lt;='2025'!$M346), H$4&lt;&gt;DATE(2025,7,4)), (SWITCH(weekday(H$4), 1, 0, 2, if(ISBLANK('2025'!$P346), 0, 1), 3, if(ISBLANK('2025'!$Q346), 0, 1), 4, if(ISBLANK('2025'!$R346), 0, 1), 5, if(ISBLANK('2025'!$S346), 0, 1), 6, if(ISBLANK('2025'!$T346), 0, 1), 7, 0))), 1, "")</f>
        <v/>
      </c>
      <c r="I382" s="1" t="str">
        <f>IF(AND(AND(AND(I$4&gt;='2025'!$L346,I$4&lt;='2025'!$M346), I$4&lt;&gt;DATE(2025,7,4)), (SWITCH(weekday(I$4), 1, 0, 2, if(ISBLANK('2025'!$P346), 0, 1), 3, if(ISBLANK('2025'!$Q346), 0, 1), 4, if(ISBLANK('2025'!$R346), 0, 1), 5, if(ISBLANK('2025'!$S346), 0, 1), 6, if(ISBLANK('2025'!$T346), 0, 1), 7, 0))), 1, "")</f>
        <v/>
      </c>
      <c r="J382" s="1" t="str">
        <f>IF(AND(AND(AND(J$4&gt;='2025'!$L346,J$4&lt;='2025'!$M346), J$4&lt;&gt;DATE(2025,7,4)), (SWITCH(weekday(J$4), 1, 0, 2, if(ISBLANK('2025'!$P346), 0, 1), 3, if(ISBLANK('2025'!$Q346), 0, 1), 4, if(ISBLANK('2025'!$R346), 0, 1), 5, if(ISBLANK('2025'!$S346), 0, 1), 6, if(ISBLANK('2025'!$T346), 0, 1), 7, 0))), 1, "")</f>
        <v/>
      </c>
      <c r="K382" s="1" t="str">
        <f>IF(AND(AND(AND(K$4&gt;='2025'!$L346,K$4&lt;='2025'!$M346), K$4&lt;&gt;DATE(2025,7,4)), (SWITCH(weekday(K$4), 1, 0, 2, if(ISBLANK('2025'!$P346), 0, 1), 3, if(ISBLANK('2025'!$Q346), 0, 1), 4, if(ISBLANK('2025'!$R346), 0, 1), 5, if(ISBLANK('2025'!$S346), 0, 1), 6, if(ISBLANK('2025'!$T346), 0, 1), 7, 0))), 1, "")</f>
        <v/>
      </c>
      <c r="L382" s="1" t="str">
        <f>IF(AND(AND(AND(L$4&gt;='2025'!$L346,L$4&lt;='2025'!$M346), L$4&lt;&gt;DATE(2025,7,4)), (SWITCH(weekday(L$4), 1, 0, 2, if(ISBLANK('2025'!$P346), 0, 1), 3, if(ISBLANK('2025'!$Q346), 0, 1), 4, if(ISBLANK('2025'!$R346), 0, 1), 5, if(ISBLANK('2025'!$S346), 0, 1), 6, if(ISBLANK('2025'!$T346), 0, 1), 7, 0))), 1, "")</f>
        <v/>
      </c>
      <c r="M382" s="1" t="str">
        <f>IF(AND(AND(AND(M$4&gt;='2025'!$L346,M$4&lt;='2025'!$M346), M$4&lt;&gt;DATE(2025,7,4)), (SWITCH(weekday(M$4), 1, 0, 2, if(ISBLANK('2025'!$P346), 0, 1), 3, if(ISBLANK('2025'!$Q346), 0, 1), 4, if(ISBLANK('2025'!$R346), 0, 1), 5, if(ISBLANK('2025'!$S346), 0, 1), 6, if(ISBLANK('2025'!$T346), 0, 1), 7, 0))), 1, "")</f>
        <v/>
      </c>
      <c r="N382" s="1" t="str">
        <f>IF(AND(AND(AND(N$4&gt;='2025'!$L346,N$4&lt;='2025'!$M346), N$4&lt;&gt;DATE(2025,7,4)), (SWITCH(weekday(N$4), 1, 0, 2, if(ISBLANK('2025'!$P346), 0, 1), 3, if(ISBLANK('2025'!$Q346), 0, 1), 4, if(ISBLANK('2025'!$R346), 0, 1), 5, if(ISBLANK('2025'!$S346), 0, 1), 6, if(ISBLANK('2025'!$T346), 0, 1), 7, 0))), 1, "")</f>
        <v/>
      </c>
      <c r="O382" s="1" t="str">
        <f>IF(AND(AND(AND(O$4&gt;='2025'!$L346,O$4&lt;='2025'!$M346), O$4&lt;&gt;DATE(2025,7,4)), (SWITCH(weekday(O$4), 1, 0, 2, if(ISBLANK('2025'!$P346), 0, 1), 3, if(ISBLANK('2025'!$Q346), 0, 1), 4, if(ISBLANK('2025'!$R346), 0, 1), 5, if(ISBLANK('2025'!$S346), 0, 1), 6, if(ISBLANK('2025'!$T346), 0, 1), 7, 0))), 1, "")</f>
        <v/>
      </c>
      <c r="P382" s="1" t="str">
        <f>IF(AND(AND(AND(P$4&gt;='2025'!$L346,P$4&lt;='2025'!$M346), P$4&lt;&gt;DATE(2025,7,4)), (SWITCH(weekday(P$4), 1, 0, 2, if(ISBLANK('2025'!$P346), 0, 1), 3, if(ISBLANK('2025'!$Q346), 0, 1), 4, if(ISBLANK('2025'!$R346), 0, 1), 5, if(ISBLANK('2025'!$S346), 0, 1), 6, if(ISBLANK('2025'!$T346), 0, 1), 7, 0))), 1, "")</f>
        <v/>
      </c>
      <c r="Q382" s="1" t="str">
        <f>IF(AND(AND(AND(Q$4&gt;='2025'!$L346,Q$4&lt;='2025'!$M346), Q$4&lt;&gt;DATE(2025,7,4)), (SWITCH(weekday(Q$4), 1, 0, 2, if(ISBLANK('2025'!$P346), 0, 1), 3, if(ISBLANK('2025'!$Q346), 0, 1), 4, if(ISBLANK('2025'!$R346), 0, 1), 5, if(ISBLANK('2025'!$S346), 0, 1), 6, if(ISBLANK('2025'!$T346), 0, 1), 7, 0))), 1, "")</f>
        <v/>
      </c>
      <c r="R382" s="1" t="str">
        <f>IF(AND(AND(AND(R$4&gt;='2025'!$L346,R$4&lt;='2025'!$M346), R$4&lt;&gt;DATE(2025,7,4)), (SWITCH(weekday(R$4), 1, 0, 2, if(ISBLANK('2025'!$P346), 0, 1), 3, if(ISBLANK('2025'!$Q346), 0, 1), 4, if(ISBLANK('2025'!$R346), 0, 1), 5, if(ISBLANK('2025'!$S346), 0, 1), 6, if(ISBLANK('2025'!$T346), 0, 1), 7, 0))), 1, "")</f>
        <v/>
      </c>
      <c r="S382" s="1" t="str">
        <f>IF(AND(AND(AND(S$4&gt;='2025'!$L346,S$4&lt;='2025'!$M346), S$4&lt;&gt;DATE(2025,7,4)), (SWITCH(weekday(S$4), 1, 0, 2, if(ISBLANK('2025'!$P346), 0, 1), 3, if(ISBLANK('2025'!$Q346), 0, 1), 4, if(ISBLANK('2025'!$R346), 0, 1), 5, if(ISBLANK('2025'!$S346), 0, 1), 6, if(ISBLANK('2025'!$T346), 0, 1), 7, 0))), 1, "")</f>
        <v/>
      </c>
      <c r="T382" s="1" t="str">
        <f>IF(AND(AND(AND(T$4&gt;='2025'!$L346,T$4&lt;='2025'!$M346), T$4&lt;&gt;DATE(2025,7,4)), (SWITCH(weekday(T$4), 1, 0, 2, if(ISBLANK('2025'!$P346), 0, 1), 3, if(ISBLANK('2025'!$Q346), 0, 1), 4, if(ISBLANK('2025'!$R346), 0, 1), 5, if(ISBLANK('2025'!$S346), 0, 1), 6, if(ISBLANK('2025'!$T346), 0, 1), 7, 0))), 1, "")</f>
        <v/>
      </c>
      <c r="U382" s="1" t="str">
        <f>IF(AND(AND(AND(U$4&gt;='2025'!$L346,U$4&lt;='2025'!$M346), U$4&lt;&gt;DATE(2025,7,4)), (SWITCH(weekday(U$4), 1, 0, 2, if(ISBLANK('2025'!$P346), 0, 1), 3, if(ISBLANK('2025'!$Q346), 0, 1), 4, if(ISBLANK('2025'!$R346), 0, 1), 5, if(ISBLANK('2025'!$S346), 0, 1), 6, if(ISBLANK('2025'!$T346), 0, 1), 7, 0))), 1, "")</f>
        <v/>
      </c>
      <c r="V382" s="1" t="str">
        <f>IF(AND(AND(AND(V$4&gt;='2025'!$L346,V$4&lt;='2025'!$M346), V$4&lt;&gt;DATE(2025,7,4)), (SWITCH(weekday(V$4), 1, 0, 2, if(ISBLANK('2025'!$P346), 0, 1), 3, if(ISBLANK('2025'!$Q346), 0, 1), 4, if(ISBLANK('2025'!$R346), 0, 1), 5, if(ISBLANK('2025'!$S346), 0, 1), 6, if(ISBLANK('2025'!$T346), 0, 1), 7, 0))), 1, "")</f>
        <v/>
      </c>
      <c r="W382" s="1" t="str">
        <f>IF(AND(AND(AND(W$4&gt;='2025'!$L346,W$4&lt;='2025'!$M346), W$4&lt;&gt;DATE(2025,7,4)), (SWITCH(weekday(W$4), 1, 0, 2, if(ISBLANK('2025'!$P346), 0, 1), 3, if(ISBLANK('2025'!$Q346), 0, 1), 4, if(ISBLANK('2025'!$R346), 0, 1), 5, if(ISBLANK('2025'!$S346), 0, 1), 6, if(ISBLANK('2025'!$T346), 0, 1), 7, 0))), 1, "")</f>
        <v/>
      </c>
      <c r="X382" s="1" t="str">
        <f>IF(AND(AND(AND(X$4&gt;='2025'!$L346,X$4&lt;='2025'!$M346), X$4&lt;&gt;DATE(2025,7,4)), (SWITCH(weekday(X$4), 1, 0, 2, if(ISBLANK('2025'!$P346), 0, 1), 3, if(ISBLANK('2025'!$Q346), 0, 1), 4, if(ISBLANK('2025'!$R346), 0, 1), 5, if(ISBLANK('2025'!$S346), 0, 1), 6, if(ISBLANK('2025'!$T346), 0, 1), 7, 0))), 1, "")</f>
        <v/>
      </c>
      <c r="Y382" s="1" t="str">
        <f>IF(AND(AND(AND(Y$4&gt;='2025'!$L346,Y$4&lt;='2025'!$M346), Y$4&lt;&gt;DATE(2025,7,4)), (SWITCH(weekday(Y$4), 1, 0, 2, if(ISBLANK('2025'!$P346), 0, 1), 3, if(ISBLANK('2025'!$Q346), 0, 1), 4, if(ISBLANK('2025'!$R346), 0, 1), 5, if(ISBLANK('2025'!$S346), 0, 1), 6, if(ISBLANK('2025'!$T346), 0, 1), 7, 0))), 1, "")</f>
        <v/>
      </c>
      <c r="Z382" s="1" t="str">
        <f>IF(AND(AND(AND(Z$4&gt;='2025'!$L346,Z$4&lt;='2025'!$M346), Z$4&lt;&gt;DATE(2025,7,4)), (SWITCH(weekday(Z$4), 1, 0, 2, if(ISBLANK('2025'!$P346), 0, 1), 3, if(ISBLANK('2025'!$Q346), 0, 1), 4, if(ISBLANK('2025'!$R346), 0, 1), 5, if(ISBLANK('2025'!$S346), 0, 1), 6, if(ISBLANK('2025'!$T346), 0, 1), 7, 0))), 1, "")</f>
        <v/>
      </c>
      <c r="AA382" s="1" t="str">
        <f>IF(AND(AND(AND(AA$4&gt;='2025'!$L346,AA$4&lt;='2025'!$M346), AA$4&lt;&gt;DATE(2025,7,4)), (SWITCH(weekday(AA$4), 1, 0, 2, if(ISBLANK('2025'!$P346), 0, 1), 3, if(ISBLANK('2025'!$Q346), 0, 1), 4, if(ISBLANK('2025'!$R346), 0, 1), 5, if(ISBLANK('2025'!$S346), 0, 1), 6, if(ISBLANK('2025'!$T346), 0, 1), 7, 0))), 1, "")</f>
        <v/>
      </c>
      <c r="AB382" s="1" t="str">
        <f>IF(AND(AND(AND(AB$4&gt;='2025'!$L346,AB$4&lt;='2025'!$M346), AB$4&lt;&gt;DATE(2025,7,4)), (SWITCH(weekday(AB$4), 1, 0, 2, if(ISBLANK('2025'!$P346), 0, 1), 3, if(ISBLANK('2025'!$Q346), 0, 1), 4, if(ISBLANK('2025'!$R346), 0, 1), 5, if(ISBLANK('2025'!$S346), 0, 1), 6, if(ISBLANK('2025'!$T346), 0, 1), 7, 0))), 1, "")</f>
        <v/>
      </c>
      <c r="AC382" s="1" t="str">
        <f>IF(AND(AND(AND(AC$4&gt;='2025'!$L346,AC$4&lt;='2025'!$M346), AC$4&lt;&gt;DATE(2025,7,4)), (SWITCH(weekday(AC$4), 1, 0, 2, if(ISBLANK('2025'!$P346), 0, 1), 3, if(ISBLANK('2025'!$Q346), 0, 1), 4, if(ISBLANK('2025'!$R346), 0, 1), 5, if(ISBLANK('2025'!$S346), 0, 1), 6, if(ISBLANK('2025'!$T346), 0, 1), 7, 0))), 1, "")</f>
        <v/>
      </c>
      <c r="AD382" s="1" t="str">
        <f>IF(AND(AND(AND(AD$4&gt;='2025'!$L346,AD$4&lt;='2025'!$M346), AD$4&lt;&gt;DATE(2025,7,4)), (SWITCH(weekday(AD$4), 1, 0, 2, if(ISBLANK('2025'!$P346), 0, 1), 3, if(ISBLANK('2025'!$Q346), 0, 1), 4, if(ISBLANK('2025'!$R346), 0, 1), 5, if(ISBLANK('2025'!$S346), 0, 1), 6, if(ISBLANK('2025'!$T346), 0, 1), 7, 0))), 1, "")</f>
        <v/>
      </c>
      <c r="AE382" s="1" t="str">
        <f>IF(AND(AND(AND(AE$4&gt;='2025'!$L346,AE$4&lt;='2025'!$M346), AE$4&lt;&gt;DATE(2025,7,4)), (SWITCH(weekday(AE$4), 1, 0, 2, if(ISBLANK('2025'!$P346), 0, 1), 3, if(ISBLANK('2025'!$Q346), 0, 1), 4, if(ISBLANK('2025'!$R346), 0, 1), 5, if(ISBLANK('2025'!$S346), 0, 1), 6, if(ISBLANK('2025'!$T346), 0, 1), 7, 0))), 1, "")</f>
        <v/>
      </c>
      <c r="AF382" s="1" t="str">
        <f>IF(AND(AND(AND(AF$4&gt;='2025'!$L346,AF$4&lt;='2025'!$M346), AF$4&lt;&gt;DATE(2025,7,4)), (SWITCH(weekday(AF$4), 1, 0, 2, if(ISBLANK('2025'!$P346), 0, 1), 3, if(ISBLANK('2025'!$Q346), 0, 1), 4, if(ISBLANK('2025'!$R346), 0, 1), 5, if(ISBLANK('2025'!$S346), 0, 1), 6, if(ISBLANK('2025'!$T346), 0, 1), 7, 0))), 1, "")</f>
        <v/>
      </c>
      <c r="AG382" s="1" t="str">
        <f>IF(AND(AND(AND(AG$4&gt;='2025'!$L346,AG$4&lt;='2025'!$M346), AG$4&lt;&gt;DATE(2025,7,4)), (SWITCH(weekday(AG$4), 1, 0, 2, if(ISBLANK('2025'!$P346), 0, 1), 3, if(ISBLANK('2025'!$Q346), 0, 1), 4, if(ISBLANK('2025'!$R346), 0, 1), 5, if(ISBLANK('2025'!$S346), 0, 1), 6, if(ISBLANK('2025'!$T346), 0, 1), 7, 0))), 1, "")</f>
        <v/>
      </c>
      <c r="AH382" s="1" t="str">
        <f>IF(AND(AND(AND(AH$4&gt;='2025'!$L346,AH$4&lt;='2025'!$M346), AH$4&lt;&gt;DATE(2025,7,4)), (SWITCH(weekday(AH$4), 1, 0, 2, if(ISBLANK('2025'!$P346), 0, 1), 3, if(ISBLANK('2025'!$Q346), 0, 1), 4, if(ISBLANK('2025'!$R346), 0, 1), 5, if(ISBLANK('2025'!$S346), 0, 1), 6, if(ISBLANK('2025'!$T346), 0, 1), 7, 0))), 1, "")</f>
        <v/>
      </c>
      <c r="AI382" s="1" t="str">
        <f>IF(AND(AND(AND(AI$4&gt;='2025'!$L346,AI$4&lt;='2025'!$M346), AI$4&lt;&gt;DATE(2025,7,4)), (SWITCH(weekday(AI$4), 1, 0, 2, if(ISBLANK('2025'!$P346), 0, 1), 3, if(ISBLANK('2025'!$Q346), 0, 1), 4, if(ISBLANK('2025'!$R346), 0, 1), 5, if(ISBLANK('2025'!$S346), 0, 1), 6, if(ISBLANK('2025'!$T346), 0, 1), 7, 0))), 1, "")</f>
        <v/>
      </c>
      <c r="AJ382" s="1" t="str">
        <f>IF(AND(AND(AND(AJ$4&gt;='2025'!$L346,AJ$4&lt;='2025'!$M346), AJ$4&lt;&gt;DATE(2025,7,4)), (SWITCH(weekday(AJ$4), 1, 0, 2, if(ISBLANK('2025'!$P346), 0, 1), 3, if(ISBLANK('2025'!$Q346), 0, 1), 4, if(ISBLANK('2025'!$R346), 0, 1), 5, if(ISBLANK('2025'!$S346), 0, 1), 6, if(ISBLANK('2025'!$T346), 0, 1), 7, 0))), 1, "")</f>
        <v/>
      </c>
      <c r="AK382" s="1" t="str">
        <f>IF(AND(AND(AND(AK$4&gt;='2025'!$L346,AK$4&lt;='2025'!$M346), AK$4&lt;&gt;DATE(2025,7,4)), (SWITCH(weekday(AK$4), 1, 0, 2, if(ISBLANK('2025'!$P346), 0, 1), 3, if(ISBLANK('2025'!$Q346), 0, 1), 4, if(ISBLANK('2025'!$R346), 0, 1), 5, if(ISBLANK('2025'!$S346), 0, 1), 6, if(ISBLANK('2025'!$T346), 0, 1), 7, 0))), 1, "")</f>
        <v/>
      </c>
      <c r="AL382" s="1" t="str">
        <f>IF(AND(AND(AND(AL$4&gt;='2025'!$L346,AL$4&lt;='2025'!$M346), AL$4&lt;&gt;DATE(2025,7,4)), (SWITCH(weekday(AL$4), 1, 0, 2, if(ISBLANK('2025'!$P346), 0, 1), 3, if(ISBLANK('2025'!$Q346), 0, 1), 4, if(ISBLANK('2025'!$R346), 0, 1), 5, if(ISBLANK('2025'!$S346), 0, 1), 6, if(ISBLANK('2025'!$T346), 0, 1), 7, 0))), 1, "")</f>
        <v/>
      </c>
      <c r="AM382" s="1" t="str">
        <f>IF(AND(AND(AND(AM$4&gt;='2025'!$L346,AM$4&lt;='2025'!$M346), AM$4&lt;&gt;DATE(2025,7,4)), (SWITCH(weekday(AM$4), 1, 0, 2, if(ISBLANK('2025'!$P346), 0, 1), 3, if(ISBLANK('2025'!$Q346), 0, 1), 4, if(ISBLANK('2025'!$R346), 0, 1), 5, if(ISBLANK('2025'!$S346), 0, 1), 6, if(ISBLANK('2025'!$T346), 0, 1), 7, 0))), 1, "")</f>
        <v/>
      </c>
      <c r="AN382" s="1" t="str">
        <f>IF(AND(AND(AND(AN$4&gt;='2025'!$L346,AN$4&lt;='2025'!$M346), AN$4&lt;&gt;DATE(2025,7,4)), (SWITCH(weekday(AN$4), 1, 0, 2, if(ISBLANK('2025'!$P346), 0, 1), 3, if(ISBLANK('2025'!$Q346), 0, 1), 4, if(ISBLANK('2025'!$R346), 0, 1), 5, if(ISBLANK('2025'!$S346), 0, 1), 6, if(ISBLANK('2025'!$T346), 0, 1), 7, 0))), 1, "")</f>
        <v/>
      </c>
      <c r="AO382" s="1" t="str">
        <f>IF(AND(AND(AND(AO$4&gt;='2025'!$L346,AO$4&lt;='2025'!$M346), AO$4&lt;&gt;DATE(2025,7,4)), (SWITCH(weekday(AO$4), 1, 0, 2, if(ISBLANK('2025'!$P346), 0, 1), 3, if(ISBLANK('2025'!$Q346), 0, 1), 4, if(ISBLANK('2025'!$R346), 0, 1), 5, if(ISBLANK('2025'!$S346), 0, 1), 6, if(ISBLANK('2025'!$T346), 0, 1), 7, 0))), 1, "")</f>
        <v/>
      </c>
      <c r="AP382" s="1" t="str">
        <f>IF(AND(AND(AND(AP$4&gt;='2025'!$L346,AP$4&lt;='2025'!$M346), AP$4&lt;&gt;DATE(2025,7,4)), (SWITCH(weekday(AP$4), 1, 0, 2, if(ISBLANK('2025'!$P346), 0, 1), 3, if(ISBLANK('2025'!$Q346), 0, 1), 4, if(ISBLANK('2025'!$R346), 0, 1), 5, if(ISBLANK('2025'!$S346), 0, 1), 6, if(ISBLANK('2025'!$T346), 0, 1), 7, 0))), 1, "")</f>
        <v/>
      </c>
      <c r="AQ382" s="1" t="str">
        <f>IF(AND(AND(AND(AQ$4&gt;='2025'!$L346,AQ$4&lt;='2025'!$M346), AQ$4&lt;&gt;DATE(2025,7,4)), (SWITCH(weekday(AQ$4), 1, 0, 2, if(ISBLANK('2025'!$P346), 0, 1), 3, if(ISBLANK('2025'!$Q346), 0, 1), 4, if(ISBLANK('2025'!$R346), 0, 1), 5, if(ISBLANK('2025'!$S346), 0, 1), 6, if(ISBLANK('2025'!$T346), 0, 1), 7, 0))), 1, "")</f>
        <v/>
      </c>
      <c r="AR382" s="1" t="str">
        <f>IF(AND(AND(AND(AR$4&gt;='2025'!$L346,AR$4&lt;='2025'!$M346), AR$4&lt;&gt;DATE(2025,7,4)), (SWITCH(weekday(AR$4), 1, 0, 2, if(ISBLANK('2025'!$P346), 0, 1), 3, if(ISBLANK('2025'!$Q346), 0, 1), 4, if(ISBLANK('2025'!$R346), 0, 1), 5, if(ISBLANK('2025'!$S346), 0, 1), 6, if(ISBLANK('2025'!$T346), 0, 1), 7, 0))), 1, "")</f>
        <v/>
      </c>
      <c r="AS382" s="1" t="str">
        <f>IF(AND(AND(AND(AS$4&gt;='2025'!$L346,AS$4&lt;='2025'!$M346), AS$4&lt;&gt;DATE(2025,7,4)), (SWITCH(weekday(AS$4), 1, 0, 2, if(ISBLANK('2025'!$P346), 0, 1), 3, if(ISBLANK('2025'!$Q346), 0, 1), 4, if(ISBLANK('2025'!$R346), 0, 1), 5, if(ISBLANK('2025'!$S346), 0, 1), 6, if(ISBLANK('2025'!$T346), 0, 1), 7, 0))), 1, "")</f>
        <v/>
      </c>
      <c r="AT382" s="1" t="str">
        <f>IF(AND(AND(AND(AT$4&gt;='2025'!$L346,AT$4&lt;='2025'!$M346), AT$4&lt;&gt;DATE(2025,7,4)), (SWITCH(weekday(AT$4), 1, 0, 2, if(ISBLANK('2025'!$P346), 0, 1), 3, if(ISBLANK('2025'!$Q346), 0, 1), 4, if(ISBLANK('2025'!$R346), 0, 1), 5, if(ISBLANK('2025'!$S346), 0, 1), 6, if(ISBLANK('2025'!$T346), 0, 1), 7, 0))), 1, "")</f>
        <v/>
      </c>
      <c r="AU382" s="1" t="str">
        <f>IF(AND(AND(AND(AU$4&gt;='2025'!$L346,AU$4&lt;='2025'!$M346), AU$4&lt;&gt;DATE(2025,7,4)), (SWITCH(weekday(AU$4), 1, 0, 2, if(ISBLANK('2025'!$P346), 0, 1), 3, if(ISBLANK('2025'!$Q346), 0, 1), 4, if(ISBLANK('2025'!$R346), 0, 1), 5, if(ISBLANK('2025'!$S346), 0, 1), 6, if(ISBLANK('2025'!$T346), 0, 1), 7, 0))), 1, "")</f>
        <v/>
      </c>
      <c r="AV382" s="1" t="str">
        <f>IF(AND(AND(AND(AV$4&gt;='2025'!$L346,AV$4&lt;='2025'!$M346), AV$4&lt;&gt;DATE(2025,7,4)), (SWITCH(weekday(AV$4), 1, 0, 2, if(ISBLANK('2025'!$P346), 0, 1), 3, if(ISBLANK('2025'!$Q346), 0, 1), 4, if(ISBLANK('2025'!$R346), 0, 1), 5, if(ISBLANK('2025'!$S346), 0, 1), 6, if(ISBLANK('2025'!$T346), 0, 1), 7, 0))), 1, "")</f>
        <v/>
      </c>
      <c r="AW382" s="1" t="str">
        <f>IF(AND(AND(AND(AW$4&gt;='2025'!$L346,AW$4&lt;='2025'!$M346), AW$4&lt;&gt;DATE(2025,7,4)), (SWITCH(weekday(AW$4), 1, 0, 2, if(ISBLANK('2025'!$P346), 0, 1), 3, if(ISBLANK('2025'!$Q346), 0, 1), 4, if(ISBLANK('2025'!$R346), 0, 1), 5, if(ISBLANK('2025'!$S346), 0, 1), 6, if(ISBLANK('2025'!$T346), 0, 1), 7, 0))), 1, "")</f>
        <v/>
      </c>
      <c r="AX382" s="1" t="str">
        <f>IF(AND(AND(AND(AX$4&gt;='2025'!$L346,AX$4&lt;='2025'!$M346), AX$4&lt;&gt;DATE(2025,7,4)), (SWITCH(weekday(AX$4), 1, 0, 2, if(ISBLANK('2025'!$P346), 0, 1), 3, if(ISBLANK('2025'!$Q346), 0, 1), 4, if(ISBLANK('2025'!$R346), 0, 1), 5, if(ISBLANK('2025'!$S346), 0, 1), 6, if(ISBLANK('2025'!$T346), 0, 1), 7, 0))), 1, "")</f>
        <v/>
      </c>
      <c r="AY382" s="1" t="str">
        <f>IF(AND(AND(AND(AY$4&gt;='2025'!$L346,AY$4&lt;='2025'!$M346), AY$4&lt;&gt;DATE(2025,7,4)), (SWITCH(weekday(AY$4), 1, 0, 2, if(ISBLANK('2025'!$P346), 0, 1), 3, if(ISBLANK('2025'!$Q346), 0, 1), 4, if(ISBLANK('2025'!$R346), 0, 1), 5, if(ISBLANK('2025'!$S346), 0, 1), 6, if(ISBLANK('2025'!$T346), 0, 1), 7, 0))), 1, "")</f>
        <v/>
      </c>
      <c r="AZ382" s="1" t="str">
        <f>IF(AND(AND(AND(AZ$4&gt;='2025'!$L346,AZ$4&lt;='2025'!$M346), AZ$4&lt;&gt;DATE(2025,7,4)), (SWITCH(weekday(AZ$4), 1, 0, 2, if(ISBLANK('2025'!$P346), 0, 1), 3, if(ISBLANK('2025'!$Q346), 0, 1), 4, if(ISBLANK('2025'!$R346), 0, 1), 5, if(ISBLANK('2025'!$S346), 0, 1), 6, if(ISBLANK('2025'!$T346), 0, 1), 7, 0))), 1, "")</f>
        <v/>
      </c>
      <c r="BA382" s="1" t="str">
        <f>IF(AND(AND(AND(BA$4&gt;='2025'!$L346,BA$4&lt;='2025'!$M346), BA$4&lt;&gt;DATE(2025,7,4)), (SWITCH(weekday(BA$4), 1, 0, 2, if(ISBLANK('2025'!$P346), 0, 1), 3, if(ISBLANK('2025'!$Q346), 0, 1), 4, if(ISBLANK('2025'!$R346), 0, 1), 5, if(ISBLANK('2025'!$S346), 0, 1), 6, if(ISBLANK('2025'!$T346), 0, 1), 7, 0))), 1, "")</f>
        <v/>
      </c>
      <c r="BB382" s="1" t="str">
        <f>IF(AND(AND(AND(BB$4&gt;='2025'!$L346,BB$4&lt;='2025'!$M346), BB$4&lt;&gt;DATE(2025,7,4)), (SWITCH(weekday(BB$4), 1, 0, 2, if(ISBLANK('2025'!$P346), 0, 1), 3, if(ISBLANK('2025'!$Q346), 0, 1), 4, if(ISBLANK('2025'!$R346), 0, 1), 5, if(ISBLANK('2025'!$S346), 0, 1), 6, if(ISBLANK('2025'!$T346), 0, 1), 7, 0))), 1, "")</f>
        <v/>
      </c>
      <c r="BC382" s="1" t="str">
        <f>IF(AND(AND(AND(BC$4&gt;='2025'!$L346,BC$4&lt;='2025'!$M346), BC$4&lt;&gt;DATE(2025,7,4)), (SWITCH(weekday(BC$4), 1, 0, 2, if(ISBLANK('2025'!$P346), 0, 1), 3, if(ISBLANK('2025'!$Q346), 0, 1), 4, if(ISBLANK('2025'!$R346), 0, 1), 5, if(ISBLANK('2025'!$S346), 0, 1), 6, if(ISBLANK('2025'!$T346), 0, 1), 7, 0))), 1, "")</f>
        <v/>
      </c>
      <c r="BD382" s="1" t="str">
        <f>IF(AND(AND(AND(BD$4&gt;='2025'!$L346,BD$4&lt;='2025'!$M346), BD$4&lt;&gt;DATE(2025,7,4)), (SWITCH(weekday(BD$4), 1, 0, 2, if(ISBLANK('2025'!$P346), 0, 1), 3, if(ISBLANK('2025'!$Q346), 0, 1), 4, if(ISBLANK('2025'!$R346), 0, 1), 5, if(ISBLANK('2025'!$S346), 0, 1), 6, if(ISBLANK('2025'!$T346), 0, 1), 7, 0))), 1, "")</f>
        <v/>
      </c>
      <c r="BE382" s="1" t="str">
        <f>IF(AND(AND(AND(BE$4&gt;='2025'!$L346,BE$4&lt;='2025'!$M346), BE$4&lt;&gt;DATE(2025,7,4)), (SWITCH(weekday(BE$4), 1, 0, 2, if(ISBLANK('2025'!$P346), 0, 1), 3, if(ISBLANK('2025'!$Q346), 0, 1), 4, if(ISBLANK('2025'!$R346), 0, 1), 5, if(ISBLANK('2025'!$S346), 0, 1), 6, if(ISBLANK('2025'!$T346), 0, 1), 7, 0))), 1, "")</f>
        <v/>
      </c>
    </row>
    <row r="383">
      <c r="A383" s="1">
        <f t="shared" si="3"/>
        <v>383</v>
      </c>
      <c r="B383" s="1" t="str">
        <f>'2025'!D347</f>
        <v/>
      </c>
      <c r="C383" s="1" t="str">
        <f>'2025'!H347</f>
        <v/>
      </c>
      <c r="D383" s="1" t="str">
        <f>IF(AND(AND(AND(D$4&gt;='2025'!$L347,D$4&lt;='2025'!$M347), D$4&lt;&gt;DATE(2025,7,4)), (SWITCH(weekday(D$4), 1, 0, 2, if(ISBLANK('2025'!$P347), 0, 1), 3, if(ISBLANK('2025'!$Q347), 0, 1), 4, if(ISBLANK('2025'!$R347), 0, 1), 5, if(ISBLANK('2025'!$S347), 0, 1), 6, if(ISBLANK('2025'!$T347), 0, 1), 7, 0))), 1, "")</f>
        <v/>
      </c>
      <c r="E383" s="1" t="str">
        <f>IF(AND(AND(AND(E$4&gt;='2025'!$L347,E$4&lt;='2025'!$M347), E$4&lt;&gt;DATE(2025,7,4)), (SWITCH(weekday(E$4), 1, 0, 2, if(ISBLANK('2025'!$P347), 0, 1), 3, if(ISBLANK('2025'!$Q347), 0, 1), 4, if(ISBLANK('2025'!$R347), 0, 1), 5, if(ISBLANK('2025'!$S347), 0, 1), 6, if(ISBLANK('2025'!$T347), 0, 1), 7, 0))), 1, "")</f>
        <v/>
      </c>
      <c r="F383" s="1" t="str">
        <f>IF(AND(AND(AND(F$4&gt;='2025'!$L347,F$4&lt;='2025'!$M347), F$4&lt;&gt;DATE(2025,7,4)), (SWITCH(weekday(F$4), 1, 0, 2, if(ISBLANK('2025'!$P347), 0, 1), 3, if(ISBLANK('2025'!$Q347), 0, 1), 4, if(ISBLANK('2025'!$R347), 0, 1), 5, if(ISBLANK('2025'!$S347), 0, 1), 6, if(ISBLANK('2025'!$T347), 0, 1), 7, 0))), 1, "")</f>
        <v/>
      </c>
      <c r="G383" s="1" t="str">
        <f>IF(AND(AND(AND(G$4&gt;='2025'!$L347,G$4&lt;='2025'!$M347), G$4&lt;&gt;DATE(2025,7,4)), (SWITCH(weekday(G$4), 1, 0, 2, if(ISBLANK('2025'!$P347), 0, 1), 3, if(ISBLANK('2025'!$Q347), 0, 1), 4, if(ISBLANK('2025'!$R347), 0, 1), 5, if(ISBLANK('2025'!$S347), 0, 1), 6, if(ISBLANK('2025'!$T347), 0, 1), 7, 0))), 1, "")</f>
        <v/>
      </c>
      <c r="H383" s="1" t="str">
        <f>IF(AND(AND(AND(H$4&gt;='2025'!$L347,H$4&lt;='2025'!$M347), H$4&lt;&gt;DATE(2025,7,4)), (SWITCH(weekday(H$4), 1, 0, 2, if(ISBLANK('2025'!$P347), 0, 1), 3, if(ISBLANK('2025'!$Q347), 0, 1), 4, if(ISBLANK('2025'!$R347), 0, 1), 5, if(ISBLANK('2025'!$S347), 0, 1), 6, if(ISBLANK('2025'!$T347), 0, 1), 7, 0))), 1, "")</f>
        <v/>
      </c>
      <c r="I383" s="1" t="str">
        <f>IF(AND(AND(AND(I$4&gt;='2025'!$L347,I$4&lt;='2025'!$M347), I$4&lt;&gt;DATE(2025,7,4)), (SWITCH(weekday(I$4), 1, 0, 2, if(ISBLANK('2025'!$P347), 0, 1), 3, if(ISBLANK('2025'!$Q347), 0, 1), 4, if(ISBLANK('2025'!$R347), 0, 1), 5, if(ISBLANK('2025'!$S347), 0, 1), 6, if(ISBLANK('2025'!$T347), 0, 1), 7, 0))), 1, "")</f>
        <v/>
      </c>
      <c r="J383" s="1" t="str">
        <f>IF(AND(AND(AND(J$4&gt;='2025'!$L347,J$4&lt;='2025'!$M347), J$4&lt;&gt;DATE(2025,7,4)), (SWITCH(weekday(J$4), 1, 0, 2, if(ISBLANK('2025'!$P347), 0, 1), 3, if(ISBLANK('2025'!$Q347), 0, 1), 4, if(ISBLANK('2025'!$R347), 0, 1), 5, if(ISBLANK('2025'!$S347), 0, 1), 6, if(ISBLANK('2025'!$T347), 0, 1), 7, 0))), 1, "")</f>
        <v/>
      </c>
      <c r="K383" s="1" t="str">
        <f>IF(AND(AND(AND(K$4&gt;='2025'!$L347,K$4&lt;='2025'!$M347), K$4&lt;&gt;DATE(2025,7,4)), (SWITCH(weekday(K$4), 1, 0, 2, if(ISBLANK('2025'!$P347), 0, 1), 3, if(ISBLANK('2025'!$Q347), 0, 1), 4, if(ISBLANK('2025'!$R347), 0, 1), 5, if(ISBLANK('2025'!$S347), 0, 1), 6, if(ISBLANK('2025'!$T347), 0, 1), 7, 0))), 1, "")</f>
        <v/>
      </c>
      <c r="L383" s="1" t="str">
        <f>IF(AND(AND(AND(L$4&gt;='2025'!$L347,L$4&lt;='2025'!$M347), L$4&lt;&gt;DATE(2025,7,4)), (SWITCH(weekday(L$4), 1, 0, 2, if(ISBLANK('2025'!$P347), 0, 1), 3, if(ISBLANK('2025'!$Q347), 0, 1), 4, if(ISBLANK('2025'!$R347), 0, 1), 5, if(ISBLANK('2025'!$S347), 0, 1), 6, if(ISBLANK('2025'!$T347), 0, 1), 7, 0))), 1, "")</f>
        <v/>
      </c>
      <c r="M383" s="1" t="str">
        <f>IF(AND(AND(AND(M$4&gt;='2025'!$L347,M$4&lt;='2025'!$M347), M$4&lt;&gt;DATE(2025,7,4)), (SWITCH(weekday(M$4), 1, 0, 2, if(ISBLANK('2025'!$P347), 0, 1), 3, if(ISBLANK('2025'!$Q347), 0, 1), 4, if(ISBLANK('2025'!$R347), 0, 1), 5, if(ISBLANK('2025'!$S347), 0, 1), 6, if(ISBLANK('2025'!$T347), 0, 1), 7, 0))), 1, "")</f>
        <v/>
      </c>
      <c r="N383" s="1" t="str">
        <f>IF(AND(AND(AND(N$4&gt;='2025'!$L347,N$4&lt;='2025'!$M347), N$4&lt;&gt;DATE(2025,7,4)), (SWITCH(weekday(N$4), 1, 0, 2, if(ISBLANK('2025'!$P347), 0, 1), 3, if(ISBLANK('2025'!$Q347), 0, 1), 4, if(ISBLANK('2025'!$R347), 0, 1), 5, if(ISBLANK('2025'!$S347), 0, 1), 6, if(ISBLANK('2025'!$T347), 0, 1), 7, 0))), 1, "")</f>
        <v/>
      </c>
      <c r="O383" s="1" t="str">
        <f>IF(AND(AND(AND(O$4&gt;='2025'!$L347,O$4&lt;='2025'!$M347), O$4&lt;&gt;DATE(2025,7,4)), (SWITCH(weekday(O$4), 1, 0, 2, if(ISBLANK('2025'!$P347), 0, 1), 3, if(ISBLANK('2025'!$Q347), 0, 1), 4, if(ISBLANK('2025'!$R347), 0, 1), 5, if(ISBLANK('2025'!$S347), 0, 1), 6, if(ISBLANK('2025'!$T347), 0, 1), 7, 0))), 1, "")</f>
        <v/>
      </c>
      <c r="P383" s="1" t="str">
        <f>IF(AND(AND(AND(P$4&gt;='2025'!$L347,P$4&lt;='2025'!$M347), P$4&lt;&gt;DATE(2025,7,4)), (SWITCH(weekday(P$4), 1, 0, 2, if(ISBLANK('2025'!$P347), 0, 1), 3, if(ISBLANK('2025'!$Q347), 0, 1), 4, if(ISBLANK('2025'!$R347), 0, 1), 5, if(ISBLANK('2025'!$S347), 0, 1), 6, if(ISBLANK('2025'!$T347), 0, 1), 7, 0))), 1, "")</f>
        <v/>
      </c>
      <c r="Q383" s="1" t="str">
        <f>IF(AND(AND(AND(Q$4&gt;='2025'!$L347,Q$4&lt;='2025'!$M347), Q$4&lt;&gt;DATE(2025,7,4)), (SWITCH(weekday(Q$4), 1, 0, 2, if(ISBLANK('2025'!$P347), 0, 1), 3, if(ISBLANK('2025'!$Q347), 0, 1), 4, if(ISBLANK('2025'!$R347), 0, 1), 5, if(ISBLANK('2025'!$S347), 0, 1), 6, if(ISBLANK('2025'!$T347), 0, 1), 7, 0))), 1, "")</f>
        <v/>
      </c>
      <c r="R383" s="1" t="str">
        <f>IF(AND(AND(AND(R$4&gt;='2025'!$L347,R$4&lt;='2025'!$M347), R$4&lt;&gt;DATE(2025,7,4)), (SWITCH(weekday(R$4), 1, 0, 2, if(ISBLANK('2025'!$P347), 0, 1), 3, if(ISBLANK('2025'!$Q347), 0, 1), 4, if(ISBLANK('2025'!$R347), 0, 1), 5, if(ISBLANK('2025'!$S347), 0, 1), 6, if(ISBLANK('2025'!$T347), 0, 1), 7, 0))), 1, "")</f>
        <v/>
      </c>
      <c r="S383" s="1" t="str">
        <f>IF(AND(AND(AND(S$4&gt;='2025'!$L347,S$4&lt;='2025'!$M347), S$4&lt;&gt;DATE(2025,7,4)), (SWITCH(weekday(S$4), 1, 0, 2, if(ISBLANK('2025'!$P347), 0, 1), 3, if(ISBLANK('2025'!$Q347), 0, 1), 4, if(ISBLANK('2025'!$R347), 0, 1), 5, if(ISBLANK('2025'!$S347), 0, 1), 6, if(ISBLANK('2025'!$T347), 0, 1), 7, 0))), 1, "")</f>
        <v/>
      </c>
      <c r="T383" s="1" t="str">
        <f>IF(AND(AND(AND(T$4&gt;='2025'!$L347,T$4&lt;='2025'!$M347), T$4&lt;&gt;DATE(2025,7,4)), (SWITCH(weekday(T$4), 1, 0, 2, if(ISBLANK('2025'!$P347), 0, 1), 3, if(ISBLANK('2025'!$Q347), 0, 1), 4, if(ISBLANK('2025'!$R347), 0, 1), 5, if(ISBLANK('2025'!$S347), 0, 1), 6, if(ISBLANK('2025'!$T347), 0, 1), 7, 0))), 1, "")</f>
        <v/>
      </c>
      <c r="U383" s="1" t="str">
        <f>IF(AND(AND(AND(U$4&gt;='2025'!$L347,U$4&lt;='2025'!$M347), U$4&lt;&gt;DATE(2025,7,4)), (SWITCH(weekday(U$4), 1, 0, 2, if(ISBLANK('2025'!$P347), 0, 1), 3, if(ISBLANK('2025'!$Q347), 0, 1), 4, if(ISBLANK('2025'!$R347), 0, 1), 5, if(ISBLANK('2025'!$S347), 0, 1), 6, if(ISBLANK('2025'!$T347), 0, 1), 7, 0))), 1, "")</f>
        <v/>
      </c>
      <c r="V383" s="1" t="str">
        <f>IF(AND(AND(AND(V$4&gt;='2025'!$L347,V$4&lt;='2025'!$M347), V$4&lt;&gt;DATE(2025,7,4)), (SWITCH(weekday(V$4), 1, 0, 2, if(ISBLANK('2025'!$P347), 0, 1), 3, if(ISBLANK('2025'!$Q347), 0, 1), 4, if(ISBLANK('2025'!$R347), 0, 1), 5, if(ISBLANK('2025'!$S347), 0, 1), 6, if(ISBLANK('2025'!$T347), 0, 1), 7, 0))), 1, "")</f>
        <v/>
      </c>
      <c r="W383" s="1" t="str">
        <f>IF(AND(AND(AND(W$4&gt;='2025'!$L347,W$4&lt;='2025'!$M347), W$4&lt;&gt;DATE(2025,7,4)), (SWITCH(weekday(W$4), 1, 0, 2, if(ISBLANK('2025'!$P347), 0, 1), 3, if(ISBLANK('2025'!$Q347), 0, 1), 4, if(ISBLANK('2025'!$R347), 0, 1), 5, if(ISBLANK('2025'!$S347), 0, 1), 6, if(ISBLANK('2025'!$T347), 0, 1), 7, 0))), 1, "")</f>
        <v/>
      </c>
      <c r="X383" s="1" t="str">
        <f>IF(AND(AND(AND(X$4&gt;='2025'!$L347,X$4&lt;='2025'!$M347), X$4&lt;&gt;DATE(2025,7,4)), (SWITCH(weekday(X$4), 1, 0, 2, if(ISBLANK('2025'!$P347), 0, 1), 3, if(ISBLANK('2025'!$Q347), 0, 1), 4, if(ISBLANK('2025'!$R347), 0, 1), 5, if(ISBLANK('2025'!$S347), 0, 1), 6, if(ISBLANK('2025'!$T347), 0, 1), 7, 0))), 1, "")</f>
        <v/>
      </c>
      <c r="Y383" s="1" t="str">
        <f>IF(AND(AND(AND(Y$4&gt;='2025'!$L347,Y$4&lt;='2025'!$M347), Y$4&lt;&gt;DATE(2025,7,4)), (SWITCH(weekday(Y$4), 1, 0, 2, if(ISBLANK('2025'!$P347), 0, 1), 3, if(ISBLANK('2025'!$Q347), 0, 1), 4, if(ISBLANK('2025'!$R347), 0, 1), 5, if(ISBLANK('2025'!$S347), 0, 1), 6, if(ISBLANK('2025'!$T347), 0, 1), 7, 0))), 1, "")</f>
        <v/>
      </c>
      <c r="Z383" s="1" t="str">
        <f>IF(AND(AND(AND(Z$4&gt;='2025'!$L347,Z$4&lt;='2025'!$M347), Z$4&lt;&gt;DATE(2025,7,4)), (SWITCH(weekday(Z$4), 1, 0, 2, if(ISBLANK('2025'!$P347), 0, 1), 3, if(ISBLANK('2025'!$Q347), 0, 1), 4, if(ISBLANK('2025'!$R347), 0, 1), 5, if(ISBLANK('2025'!$S347), 0, 1), 6, if(ISBLANK('2025'!$T347), 0, 1), 7, 0))), 1, "")</f>
        <v/>
      </c>
      <c r="AA383" s="1" t="str">
        <f>IF(AND(AND(AND(AA$4&gt;='2025'!$L347,AA$4&lt;='2025'!$M347), AA$4&lt;&gt;DATE(2025,7,4)), (SWITCH(weekday(AA$4), 1, 0, 2, if(ISBLANK('2025'!$P347), 0, 1), 3, if(ISBLANK('2025'!$Q347), 0, 1), 4, if(ISBLANK('2025'!$R347), 0, 1), 5, if(ISBLANK('2025'!$S347), 0, 1), 6, if(ISBLANK('2025'!$T347), 0, 1), 7, 0))), 1, "")</f>
        <v/>
      </c>
      <c r="AB383" s="1" t="str">
        <f>IF(AND(AND(AND(AB$4&gt;='2025'!$L347,AB$4&lt;='2025'!$M347), AB$4&lt;&gt;DATE(2025,7,4)), (SWITCH(weekday(AB$4), 1, 0, 2, if(ISBLANK('2025'!$P347), 0, 1), 3, if(ISBLANK('2025'!$Q347), 0, 1), 4, if(ISBLANK('2025'!$R347), 0, 1), 5, if(ISBLANK('2025'!$S347), 0, 1), 6, if(ISBLANK('2025'!$T347), 0, 1), 7, 0))), 1, "")</f>
        <v/>
      </c>
      <c r="AC383" s="1" t="str">
        <f>IF(AND(AND(AND(AC$4&gt;='2025'!$L347,AC$4&lt;='2025'!$M347), AC$4&lt;&gt;DATE(2025,7,4)), (SWITCH(weekday(AC$4), 1, 0, 2, if(ISBLANK('2025'!$P347), 0, 1), 3, if(ISBLANK('2025'!$Q347), 0, 1), 4, if(ISBLANK('2025'!$R347), 0, 1), 5, if(ISBLANK('2025'!$S347), 0, 1), 6, if(ISBLANK('2025'!$T347), 0, 1), 7, 0))), 1, "")</f>
        <v/>
      </c>
      <c r="AD383" s="1" t="str">
        <f>IF(AND(AND(AND(AD$4&gt;='2025'!$L347,AD$4&lt;='2025'!$M347), AD$4&lt;&gt;DATE(2025,7,4)), (SWITCH(weekday(AD$4), 1, 0, 2, if(ISBLANK('2025'!$P347), 0, 1), 3, if(ISBLANK('2025'!$Q347), 0, 1), 4, if(ISBLANK('2025'!$R347), 0, 1), 5, if(ISBLANK('2025'!$S347), 0, 1), 6, if(ISBLANK('2025'!$T347), 0, 1), 7, 0))), 1, "")</f>
        <v/>
      </c>
      <c r="AE383" s="1" t="str">
        <f>IF(AND(AND(AND(AE$4&gt;='2025'!$L347,AE$4&lt;='2025'!$M347), AE$4&lt;&gt;DATE(2025,7,4)), (SWITCH(weekday(AE$4), 1, 0, 2, if(ISBLANK('2025'!$P347), 0, 1), 3, if(ISBLANK('2025'!$Q347), 0, 1), 4, if(ISBLANK('2025'!$R347), 0, 1), 5, if(ISBLANK('2025'!$S347), 0, 1), 6, if(ISBLANK('2025'!$T347), 0, 1), 7, 0))), 1, "")</f>
        <v/>
      </c>
      <c r="AF383" s="1" t="str">
        <f>IF(AND(AND(AND(AF$4&gt;='2025'!$L347,AF$4&lt;='2025'!$M347), AF$4&lt;&gt;DATE(2025,7,4)), (SWITCH(weekday(AF$4), 1, 0, 2, if(ISBLANK('2025'!$P347), 0, 1), 3, if(ISBLANK('2025'!$Q347), 0, 1), 4, if(ISBLANK('2025'!$R347), 0, 1), 5, if(ISBLANK('2025'!$S347), 0, 1), 6, if(ISBLANK('2025'!$T347), 0, 1), 7, 0))), 1, "")</f>
        <v/>
      </c>
      <c r="AG383" s="1" t="str">
        <f>IF(AND(AND(AND(AG$4&gt;='2025'!$L347,AG$4&lt;='2025'!$M347), AG$4&lt;&gt;DATE(2025,7,4)), (SWITCH(weekday(AG$4), 1, 0, 2, if(ISBLANK('2025'!$P347), 0, 1), 3, if(ISBLANK('2025'!$Q347), 0, 1), 4, if(ISBLANK('2025'!$R347), 0, 1), 5, if(ISBLANK('2025'!$S347), 0, 1), 6, if(ISBLANK('2025'!$T347), 0, 1), 7, 0))), 1, "")</f>
        <v/>
      </c>
      <c r="AH383" s="1" t="str">
        <f>IF(AND(AND(AND(AH$4&gt;='2025'!$L347,AH$4&lt;='2025'!$M347), AH$4&lt;&gt;DATE(2025,7,4)), (SWITCH(weekday(AH$4), 1, 0, 2, if(ISBLANK('2025'!$P347), 0, 1), 3, if(ISBLANK('2025'!$Q347), 0, 1), 4, if(ISBLANK('2025'!$R347), 0, 1), 5, if(ISBLANK('2025'!$S347), 0, 1), 6, if(ISBLANK('2025'!$T347), 0, 1), 7, 0))), 1, "")</f>
        <v/>
      </c>
      <c r="AI383" s="1" t="str">
        <f>IF(AND(AND(AND(AI$4&gt;='2025'!$L347,AI$4&lt;='2025'!$M347), AI$4&lt;&gt;DATE(2025,7,4)), (SWITCH(weekday(AI$4), 1, 0, 2, if(ISBLANK('2025'!$P347), 0, 1), 3, if(ISBLANK('2025'!$Q347), 0, 1), 4, if(ISBLANK('2025'!$R347), 0, 1), 5, if(ISBLANK('2025'!$S347), 0, 1), 6, if(ISBLANK('2025'!$T347), 0, 1), 7, 0))), 1, "")</f>
        <v/>
      </c>
      <c r="AJ383" s="1" t="str">
        <f>IF(AND(AND(AND(AJ$4&gt;='2025'!$L347,AJ$4&lt;='2025'!$M347), AJ$4&lt;&gt;DATE(2025,7,4)), (SWITCH(weekday(AJ$4), 1, 0, 2, if(ISBLANK('2025'!$P347), 0, 1), 3, if(ISBLANK('2025'!$Q347), 0, 1), 4, if(ISBLANK('2025'!$R347), 0, 1), 5, if(ISBLANK('2025'!$S347), 0, 1), 6, if(ISBLANK('2025'!$T347), 0, 1), 7, 0))), 1, "")</f>
        <v/>
      </c>
      <c r="AK383" s="1" t="str">
        <f>IF(AND(AND(AND(AK$4&gt;='2025'!$L347,AK$4&lt;='2025'!$M347), AK$4&lt;&gt;DATE(2025,7,4)), (SWITCH(weekday(AK$4), 1, 0, 2, if(ISBLANK('2025'!$P347), 0, 1), 3, if(ISBLANK('2025'!$Q347), 0, 1), 4, if(ISBLANK('2025'!$R347), 0, 1), 5, if(ISBLANK('2025'!$S347), 0, 1), 6, if(ISBLANK('2025'!$T347), 0, 1), 7, 0))), 1, "")</f>
        <v/>
      </c>
      <c r="AL383" s="1" t="str">
        <f>IF(AND(AND(AND(AL$4&gt;='2025'!$L347,AL$4&lt;='2025'!$M347), AL$4&lt;&gt;DATE(2025,7,4)), (SWITCH(weekday(AL$4), 1, 0, 2, if(ISBLANK('2025'!$P347), 0, 1), 3, if(ISBLANK('2025'!$Q347), 0, 1), 4, if(ISBLANK('2025'!$R347), 0, 1), 5, if(ISBLANK('2025'!$S347), 0, 1), 6, if(ISBLANK('2025'!$T347), 0, 1), 7, 0))), 1, "")</f>
        <v/>
      </c>
      <c r="AM383" s="1" t="str">
        <f>IF(AND(AND(AND(AM$4&gt;='2025'!$L347,AM$4&lt;='2025'!$M347), AM$4&lt;&gt;DATE(2025,7,4)), (SWITCH(weekday(AM$4), 1, 0, 2, if(ISBLANK('2025'!$P347), 0, 1), 3, if(ISBLANK('2025'!$Q347), 0, 1), 4, if(ISBLANK('2025'!$R347), 0, 1), 5, if(ISBLANK('2025'!$S347), 0, 1), 6, if(ISBLANK('2025'!$T347), 0, 1), 7, 0))), 1, "")</f>
        <v/>
      </c>
      <c r="AN383" s="1" t="str">
        <f>IF(AND(AND(AND(AN$4&gt;='2025'!$L347,AN$4&lt;='2025'!$M347), AN$4&lt;&gt;DATE(2025,7,4)), (SWITCH(weekday(AN$4), 1, 0, 2, if(ISBLANK('2025'!$P347), 0, 1), 3, if(ISBLANK('2025'!$Q347), 0, 1), 4, if(ISBLANK('2025'!$R347), 0, 1), 5, if(ISBLANK('2025'!$S347), 0, 1), 6, if(ISBLANK('2025'!$T347), 0, 1), 7, 0))), 1, "")</f>
        <v/>
      </c>
      <c r="AO383" s="1" t="str">
        <f>IF(AND(AND(AND(AO$4&gt;='2025'!$L347,AO$4&lt;='2025'!$M347), AO$4&lt;&gt;DATE(2025,7,4)), (SWITCH(weekday(AO$4), 1, 0, 2, if(ISBLANK('2025'!$P347), 0, 1), 3, if(ISBLANK('2025'!$Q347), 0, 1), 4, if(ISBLANK('2025'!$R347), 0, 1), 5, if(ISBLANK('2025'!$S347), 0, 1), 6, if(ISBLANK('2025'!$T347), 0, 1), 7, 0))), 1, "")</f>
        <v/>
      </c>
      <c r="AP383" s="1" t="str">
        <f>IF(AND(AND(AND(AP$4&gt;='2025'!$L347,AP$4&lt;='2025'!$M347), AP$4&lt;&gt;DATE(2025,7,4)), (SWITCH(weekday(AP$4), 1, 0, 2, if(ISBLANK('2025'!$P347), 0, 1), 3, if(ISBLANK('2025'!$Q347), 0, 1), 4, if(ISBLANK('2025'!$R347), 0, 1), 5, if(ISBLANK('2025'!$S347), 0, 1), 6, if(ISBLANK('2025'!$T347), 0, 1), 7, 0))), 1, "")</f>
        <v/>
      </c>
      <c r="AQ383" s="1" t="str">
        <f>IF(AND(AND(AND(AQ$4&gt;='2025'!$L347,AQ$4&lt;='2025'!$M347), AQ$4&lt;&gt;DATE(2025,7,4)), (SWITCH(weekday(AQ$4), 1, 0, 2, if(ISBLANK('2025'!$P347), 0, 1), 3, if(ISBLANK('2025'!$Q347), 0, 1), 4, if(ISBLANK('2025'!$R347), 0, 1), 5, if(ISBLANK('2025'!$S347), 0, 1), 6, if(ISBLANK('2025'!$T347), 0, 1), 7, 0))), 1, "")</f>
        <v/>
      </c>
      <c r="AR383" s="1" t="str">
        <f>IF(AND(AND(AND(AR$4&gt;='2025'!$L347,AR$4&lt;='2025'!$M347), AR$4&lt;&gt;DATE(2025,7,4)), (SWITCH(weekday(AR$4), 1, 0, 2, if(ISBLANK('2025'!$P347), 0, 1), 3, if(ISBLANK('2025'!$Q347), 0, 1), 4, if(ISBLANK('2025'!$R347), 0, 1), 5, if(ISBLANK('2025'!$S347), 0, 1), 6, if(ISBLANK('2025'!$T347), 0, 1), 7, 0))), 1, "")</f>
        <v/>
      </c>
      <c r="AS383" s="1" t="str">
        <f>IF(AND(AND(AND(AS$4&gt;='2025'!$L347,AS$4&lt;='2025'!$M347), AS$4&lt;&gt;DATE(2025,7,4)), (SWITCH(weekday(AS$4), 1, 0, 2, if(ISBLANK('2025'!$P347), 0, 1), 3, if(ISBLANK('2025'!$Q347), 0, 1), 4, if(ISBLANK('2025'!$R347), 0, 1), 5, if(ISBLANK('2025'!$S347), 0, 1), 6, if(ISBLANK('2025'!$T347), 0, 1), 7, 0))), 1, "")</f>
        <v/>
      </c>
      <c r="AT383" s="1" t="str">
        <f>IF(AND(AND(AND(AT$4&gt;='2025'!$L347,AT$4&lt;='2025'!$M347), AT$4&lt;&gt;DATE(2025,7,4)), (SWITCH(weekday(AT$4), 1, 0, 2, if(ISBLANK('2025'!$P347), 0, 1), 3, if(ISBLANK('2025'!$Q347), 0, 1), 4, if(ISBLANK('2025'!$R347), 0, 1), 5, if(ISBLANK('2025'!$S347), 0, 1), 6, if(ISBLANK('2025'!$T347), 0, 1), 7, 0))), 1, "")</f>
        <v/>
      </c>
      <c r="AU383" s="1" t="str">
        <f>IF(AND(AND(AND(AU$4&gt;='2025'!$L347,AU$4&lt;='2025'!$M347), AU$4&lt;&gt;DATE(2025,7,4)), (SWITCH(weekday(AU$4), 1, 0, 2, if(ISBLANK('2025'!$P347), 0, 1), 3, if(ISBLANK('2025'!$Q347), 0, 1), 4, if(ISBLANK('2025'!$R347), 0, 1), 5, if(ISBLANK('2025'!$S347), 0, 1), 6, if(ISBLANK('2025'!$T347), 0, 1), 7, 0))), 1, "")</f>
        <v/>
      </c>
      <c r="AV383" s="1" t="str">
        <f>IF(AND(AND(AND(AV$4&gt;='2025'!$L347,AV$4&lt;='2025'!$M347), AV$4&lt;&gt;DATE(2025,7,4)), (SWITCH(weekday(AV$4), 1, 0, 2, if(ISBLANK('2025'!$P347), 0, 1), 3, if(ISBLANK('2025'!$Q347), 0, 1), 4, if(ISBLANK('2025'!$R347), 0, 1), 5, if(ISBLANK('2025'!$S347), 0, 1), 6, if(ISBLANK('2025'!$T347), 0, 1), 7, 0))), 1, "")</f>
        <v/>
      </c>
      <c r="AW383" s="1" t="str">
        <f>IF(AND(AND(AND(AW$4&gt;='2025'!$L347,AW$4&lt;='2025'!$M347), AW$4&lt;&gt;DATE(2025,7,4)), (SWITCH(weekday(AW$4), 1, 0, 2, if(ISBLANK('2025'!$P347), 0, 1), 3, if(ISBLANK('2025'!$Q347), 0, 1), 4, if(ISBLANK('2025'!$R347), 0, 1), 5, if(ISBLANK('2025'!$S347), 0, 1), 6, if(ISBLANK('2025'!$T347), 0, 1), 7, 0))), 1, "")</f>
        <v/>
      </c>
      <c r="AX383" s="1" t="str">
        <f>IF(AND(AND(AND(AX$4&gt;='2025'!$L347,AX$4&lt;='2025'!$M347), AX$4&lt;&gt;DATE(2025,7,4)), (SWITCH(weekday(AX$4), 1, 0, 2, if(ISBLANK('2025'!$P347), 0, 1), 3, if(ISBLANK('2025'!$Q347), 0, 1), 4, if(ISBLANK('2025'!$R347), 0, 1), 5, if(ISBLANK('2025'!$S347), 0, 1), 6, if(ISBLANK('2025'!$T347), 0, 1), 7, 0))), 1, "")</f>
        <v/>
      </c>
      <c r="AY383" s="1" t="str">
        <f>IF(AND(AND(AND(AY$4&gt;='2025'!$L347,AY$4&lt;='2025'!$M347), AY$4&lt;&gt;DATE(2025,7,4)), (SWITCH(weekday(AY$4), 1, 0, 2, if(ISBLANK('2025'!$P347), 0, 1), 3, if(ISBLANK('2025'!$Q347), 0, 1), 4, if(ISBLANK('2025'!$R347), 0, 1), 5, if(ISBLANK('2025'!$S347), 0, 1), 6, if(ISBLANK('2025'!$T347), 0, 1), 7, 0))), 1, "")</f>
        <v/>
      </c>
      <c r="AZ383" s="1" t="str">
        <f>IF(AND(AND(AND(AZ$4&gt;='2025'!$L347,AZ$4&lt;='2025'!$M347), AZ$4&lt;&gt;DATE(2025,7,4)), (SWITCH(weekday(AZ$4), 1, 0, 2, if(ISBLANK('2025'!$P347), 0, 1), 3, if(ISBLANK('2025'!$Q347), 0, 1), 4, if(ISBLANK('2025'!$R347), 0, 1), 5, if(ISBLANK('2025'!$S347), 0, 1), 6, if(ISBLANK('2025'!$T347), 0, 1), 7, 0))), 1, "")</f>
        <v/>
      </c>
      <c r="BA383" s="1" t="str">
        <f>IF(AND(AND(AND(BA$4&gt;='2025'!$L347,BA$4&lt;='2025'!$M347), BA$4&lt;&gt;DATE(2025,7,4)), (SWITCH(weekday(BA$4), 1, 0, 2, if(ISBLANK('2025'!$P347), 0, 1), 3, if(ISBLANK('2025'!$Q347), 0, 1), 4, if(ISBLANK('2025'!$R347), 0, 1), 5, if(ISBLANK('2025'!$S347), 0, 1), 6, if(ISBLANK('2025'!$T347), 0, 1), 7, 0))), 1, "")</f>
        <v/>
      </c>
      <c r="BB383" s="1" t="str">
        <f>IF(AND(AND(AND(BB$4&gt;='2025'!$L347,BB$4&lt;='2025'!$M347), BB$4&lt;&gt;DATE(2025,7,4)), (SWITCH(weekday(BB$4), 1, 0, 2, if(ISBLANK('2025'!$P347), 0, 1), 3, if(ISBLANK('2025'!$Q347), 0, 1), 4, if(ISBLANK('2025'!$R347), 0, 1), 5, if(ISBLANK('2025'!$S347), 0, 1), 6, if(ISBLANK('2025'!$T347), 0, 1), 7, 0))), 1, "")</f>
        <v/>
      </c>
      <c r="BC383" s="1" t="str">
        <f>IF(AND(AND(AND(BC$4&gt;='2025'!$L347,BC$4&lt;='2025'!$M347), BC$4&lt;&gt;DATE(2025,7,4)), (SWITCH(weekday(BC$4), 1, 0, 2, if(ISBLANK('2025'!$P347), 0, 1), 3, if(ISBLANK('2025'!$Q347), 0, 1), 4, if(ISBLANK('2025'!$R347), 0, 1), 5, if(ISBLANK('2025'!$S347), 0, 1), 6, if(ISBLANK('2025'!$T347), 0, 1), 7, 0))), 1, "")</f>
        <v/>
      </c>
      <c r="BD383" s="1" t="str">
        <f>IF(AND(AND(AND(BD$4&gt;='2025'!$L347,BD$4&lt;='2025'!$M347), BD$4&lt;&gt;DATE(2025,7,4)), (SWITCH(weekday(BD$4), 1, 0, 2, if(ISBLANK('2025'!$P347), 0, 1), 3, if(ISBLANK('2025'!$Q347), 0, 1), 4, if(ISBLANK('2025'!$R347), 0, 1), 5, if(ISBLANK('2025'!$S347), 0, 1), 6, if(ISBLANK('2025'!$T347), 0, 1), 7, 0))), 1, "")</f>
        <v/>
      </c>
      <c r="BE383" s="1" t="str">
        <f>IF(AND(AND(AND(BE$4&gt;='2025'!$L347,BE$4&lt;='2025'!$M347), BE$4&lt;&gt;DATE(2025,7,4)), (SWITCH(weekday(BE$4), 1, 0, 2, if(ISBLANK('2025'!$P347), 0, 1), 3, if(ISBLANK('2025'!$Q347), 0, 1), 4, if(ISBLANK('2025'!$R347), 0, 1), 5, if(ISBLANK('2025'!$S347), 0, 1), 6, if(ISBLANK('2025'!$T347), 0, 1), 7, 0))), 1, "")</f>
        <v/>
      </c>
    </row>
    <row r="384">
      <c r="A384" s="1">
        <f t="shared" si="3"/>
        <v>384</v>
      </c>
      <c r="B384" s="1" t="str">
        <f>'2025'!D348</f>
        <v/>
      </c>
      <c r="C384" s="1" t="str">
        <f>'2025'!H348</f>
        <v/>
      </c>
      <c r="D384" s="1" t="str">
        <f>IF(AND(AND(AND(D$4&gt;='2025'!$L348,D$4&lt;='2025'!$M348), D$4&lt;&gt;DATE(2025,7,4)), (SWITCH(weekday(D$4), 1, 0, 2, if(ISBLANK('2025'!$P348), 0, 1), 3, if(ISBLANK('2025'!$Q348), 0, 1), 4, if(ISBLANK('2025'!$R348), 0, 1), 5, if(ISBLANK('2025'!$S348), 0, 1), 6, if(ISBLANK('2025'!$T348), 0, 1), 7, 0))), 1, "")</f>
        <v/>
      </c>
      <c r="E384" s="1" t="str">
        <f>IF(AND(AND(AND(E$4&gt;='2025'!$L348,E$4&lt;='2025'!$M348), E$4&lt;&gt;DATE(2025,7,4)), (SWITCH(weekday(E$4), 1, 0, 2, if(ISBLANK('2025'!$P348), 0, 1), 3, if(ISBLANK('2025'!$Q348), 0, 1), 4, if(ISBLANK('2025'!$R348), 0, 1), 5, if(ISBLANK('2025'!$S348), 0, 1), 6, if(ISBLANK('2025'!$T348), 0, 1), 7, 0))), 1, "")</f>
        <v/>
      </c>
      <c r="F384" s="1" t="str">
        <f>IF(AND(AND(AND(F$4&gt;='2025'!$L348,F$4&lt;='2025'!$M348), F$4&lt;&gt;DATE(2025,7,4)), (SWITCH(weekday(F$4), 1, 0, 2, if(ISBLANK('2025'!$P348), 0, 1), 3, if(ISBLANK('2025'!$Q348), 0, 1), 4, if(ISBLANK('2025'!$R348), 0, 1), 5, if(ISBLANK('2025'!$S348), 0, 1), 6, if(ISBLANK('2025'!$T348), 0, 1), 7, 0))), 1, "")</f>
        <v/>
      </c>
      <c r="G384" s="1" t="str">
        <f>IF(AND(AND(AND(G$4&gt;='2025'!$L348,G$4&lt;='2025'!$M348), G$4&lt;&gt;DATE(2025,7,4)), (SWITCH(weekday(G$4), 1, 0, 2, if(ISBLANK('2025'!$P348), 0, 1), 3, if(ISBLANK('2025'!$Q348), 0, 1), 4, if(ISBLANK('2025'!$R348), 0, 1), 5, if(ISBLANK('2025'!$S348), 0, 1), 6, if(ISBLANK('2025'!$T348), 0, 1), 7, 0))), 1, "")</f>
        <v/>
      </c>
      <c r="H384" s="1" t="str">
        <f>IF(AND(AND(AND(H$4&gt;='2025'!$L348,H$4&lt;='2025'!$M348), H$4&lt;&gt;DATE(2025,7,4)), (SWITCH(weekday(H$4), 1, 0, 2, if(ISBLANK('2025'!$P348), 0, 1), 3, if(ISBLANK('2025'!$Q348), 0, 1), 4, if(ISBLANK('2025'!$R348), 0, 1), 5, if(ISBLANK('2025'!$S348), 0, 1), 6, if(ISBLANK('2025'!$T348), 0, 1), 7, 0))), 1, "")</f>
        <v/>
      </c>
      <c r="I384" s="1" t="str">
        <f>IF(AND(AND(AND(I$4&gt;='2025'!$L348,I$4&lt;='2025'!$M348), I$4&lt;&gt;DATE(2025,7,4)), (SWITCH(weekday(I$4), 1, 0, 2, if(ISBLANK('2025'!$P348), 0, 1), 3, if(ISBLANK('2025'!$Q348), 0, 1), 4, if(ISBLANK('2025'!$R348), 0, 1), 5, if(ISBLANK('2025'!$S348), 0, 1), 6, if(ISBLANK('2025'!$T348), 0, 1), 7, 0))), 1, "")</f>
        <v/>
      </c>
      <c r="J384" s="1" t="str">
        <f>IF(AND(AND(AND(J$4&gt;='2025'!$L348,J$4&lt;='2025'!$M348), J$4&lt;&gt;DATE(2025,7,4)), (SWITCH(weekday(J$4), 1, 0, 2, if(ISBLANK('2025'!$P348), 0, 1), 3, if(ISBLANK('2025'!$Q348), 0, 1), 4, if(ISBLANK('2025'!$R348), 0, 1), 5, if(ISBLANK('2025'!$S348), 0, 1), 6, if(ISBLANK('2025'!$T348), 0, 1), 7, 0))), 1, "")</f>
        <v/>
      </c>
      <c r="K384" s="1" t="str">
        <f>IF(AND(AND(AND(K$4&gt;='2025'!$L348,K$4&lt;='2025'!$M348), K$4&lt;&gt;DATE(2025,7,4)), (SWITCH(weekday(K$4), 1, 0, 2, if(ISBLANK('2025'!$P348), 0, 1), 3, if(ISBLANK('2025'!$Q348), 0, 1), 4, if(ISBLANK('2025'!$R348), 0, 1), 5, if(ISBLANK('2025'!$S348), 0, 1), 6, if(ISBLANK('2025'!$T348), 0, 1), 7, 0))), 1, "")</f>
        <v/>
      </c>
      <c r="L384" s="1" t="str">
        <f>IF(AND(AND(AND(L$4&gt;='2025'!$L348,L$4&lt;='2025'!$M348), L$4&lt;&gt;DATE(2025,7,4)), (SWITCH(weekday(L$4), 1, 0, 2, if(ISBLANK('2025'!$P348), 0, 1), 3, if(ISBLANK('2025'!$Q348), 0, 1), 4, if(ISBLANK('2025'!$R348), 0, 1), 5, if(ISBLANK('2025'!$S348), 0, 1), 6, if(ISBLANK('2025'!$T348), 0, 1), 7, 0))), 1, "")</f>
        <v/>
      </c>
      <c r="M384" s="1" t="str">
        <f>IF(AND(AND(AND(M$4&gt;='2025'!$L348,M$4&lt;='2025'!$M348), M$4&lt;&gt;DATE(2025,7,4)), (SWITCH(weekday(M$4), 1, 0, 2, if(ISBLANK('2025'!$P348), 0, 1), 3, if(ISBLANK('2025'!$Q348), 0, 1), 4, if(ISBLANK('2025'!$R348), 0, 1), 5, if(ISBLANK('2025'!$S348), 0, 1), 6, if(ISBLANK('2025'!$T348), 0, 1), 7, 0))), 1, "")</f>
        <v/>
      </c>
      <c r="N384" s="1" t="str">
        <f>IF(AND(AND(AND(N$4&gt;='2025'!$L348,N$4&lt;='2025'!$M348), N$4&lt;&gt;DATE(2025,7,4)), (SWITCH(weekday(N$4), 1, 0, 2, if(ISBLANK('2025'!$P348), 0, 1), 3, if(ISBLANK('2025'!$Q348), 0, 1), 4, if(ISBLANK('2025'!$R348), 0, 1), 5, if(ISBLANK('2025'!$S348), 0, 1), 6, if(ISBLANK('2025'!$T348), 0, 1), 7, 0))), 1, "")</f>
        <v/>
      </c>
      <c r="O384" s="1" t="str">
        <f>IF(AND(AND(AND(O$4&gt;='2025'!$L348,O$4&lt;='2025'!$M348), O$4&lt;&gt;DATE(2025,7,4)), (SWITCH(weekday(O$4), 1, 0, 2, if(ISBLANK('2025'!$P348), 0, 1), 3, if(ISBLANK('2025'!$Q348), 0, 1), 4, if(ISBLANK('2025'!$R348), 0, 1), 5, if(ISBLANK('2025'!$S348), 0, 1), 6, if(ISBLANK('2025'!$T348), 0, 1), 7, 0))), 1, "")</f>
        <v/>
      </c>
      <c r="P384" s="1" t="str">
        <f>IF(AND(AND(AND(P$4&gt;='2025'!$L348,P$4&lt;='2025'!$M348), P$4&lt;&gt;DATE(2025,7,4)), (SWITCH(weekday(P$4), 1, 0, 2, if(ISBLANK('2025'!$P348), 0, 1), 3, if(ISBLANK('2025'!$Q348), 0, 1), 4, if(ISBLANK('2025'!$R348), 0, 1), 5, if(ISBLANK('2025'!$S348), 0, 1), 6, if(ISBLANK('2025'!$T348), 0, 1), 7, 0))), 1, "")</f>
        <v/>
      </c>
      <c r="Q384" s="1" t="str">
        <f>IF(AND(AND(AND(Q$4&gt;='2025'!$L348,Q$4&lt;='2025'!$M348), Q$4&lt;&gt;DATE(2025,7,4)), (SWITCH(weekday(Q$4), 1, 0, 2, if(ISBLANK('2025'!$P348), 0, 1), 3, if(ISBLANK('2025'!$Q348), 0, 1), 4, if(ISBLANK('2025'!$R348), 0, 1), 5, if(ISBLANK('2025'!$S348), 0, 1), 6, if(ISBLANK('2025'!$T348), 0, 1), 7, 0))), 1, "")</f>
        <v/>
      </c>
      <c r="R384" s="1" t="str">
        <f>IF(AND(AND(AND(R$4&gt;='2025'!$L348,R$4&lt;='2025'!$M348), R$4&lt;&gt;DATE(2025,7,4)), (SWITCH(weekday(R$4), 1, 0, 2, if(ISBLANK('2025'!$P348), 0, 1), 3, if(ISBLANK('2025'!$Q348), 0, 1), 4, if(ISBLANK('2025'!$R348), 0, 1), 5, if(ISBLANK('2025'!$S348), 0, 1), 6, if(ISBLANK('2025'!$T348), 0, 1), 7, 0))), 1, "")</f>
        <v/>
      </c>
      <c r="S384" s="1" t="str">
        <f>IF(AND(AND(AND(S$4&gt;='2025'!$L348,S$4&lt;='2025'!$M348), S$4&lt;&gt;DATE(2025,7,4)), (SWITCH(weekday(S$4), 1, 0, 2, if(ISBLANK('2025'!$P348), 0, 1), 3, if(ISBLANK('2025'!$Q348), 0, 1), 4, if(ISBLANK('2025'!$R348), 0, 1), 5, if(ISBLANK('2025'!$S348), 0, 1), 6, if(ISBLANK('2025'!$T348), 0, 1), 7, 0))), 1, "")</f>
        <v/>
      </c>
      <c r="T384" s="1" t="str">
        <f>IF(AND(AND(AND(T$4&gt;='2025'!$L348,T$4&lt;='2025'!$M348), T$4&lt;&gt;DATE(2025,7,4)), (SWITCH(weekday(T$4), 1, 0, 2, if(ISBLANK('2025'!$P348), 0, 1), 3, if(ISBLANK('2025'!$Q348), 0, 1), 4, if(ISBLANK('2025'!$R348), 0, 1), 5, if(ISBLANK('2025'!$S348), 0, 1), 6, if(ISBLANK('2025'!$T348), 0, 1), 7, 0))), 1, "")</f>
        <v/>
      </c>
      <c r="U384" s="1" t="str">
        <f>IF(AND(AND(AND(U$4&gt;='2025'!$L348,U$4&lt;='2025'!$M348), U$4&lt;&gt;DATE(2025,7,4)), (SWITCH(weekday(U$4), 1, 0, 2, if(ISBLANK('2025'!$P348), 0, 1), 3, if(ISBLANK('2025'!$Q348), 0, 1), 4, if(ISBLANK('2025'!$R348), 0, 1), 5, if(ISBLANK('2025'!$S348), 0, 1), 6, if(ISBLANK('2025'!$T348), 0, 1), 7, 0))), 1, "")</f>
        <v/>
      </c>
      <c r="V384" s="1" t="str">
        <f>IF(AND(AND(AND(V$4&gt;='2025'!$L348,V$4&lt;='2025'!$M348), V$4&lt;&gt;DATE(2025,7,4)), (SWITCH(weekday(V$4), 1, 0, 2, if(ISBLANK('2025'!$P348), 0, 1), 3, if(ISBLANK('2025'!$Q348), 0, 1), 4, if(ISBLANK('2025'!$R348), 0, 1), 5, if(ISBLANK('2025'!$S348), 0, 1), 6, if(ISBLANK('2025'!$T348), 0, 1), 7, 0))), 1, "")</f>
        <v/>
      </c>
      <c r="W384" s="1" t="str">
        <f>IF(AND(AND(AND(W$4&gt;='2025'!$L348,W$4&lt;='2025'!$M348), W$4&lt;&gt;DATE(2025,7,4)), (SWITCH(weekday(W$4), 1, 0, 2, if(ISBLANK('2025'!$P348), 0, 1), 3, if(ISBLANK('2025'!$Q348), 0, 1), 4, if(ISBLANK('2025'!$R348), 0, 1), 5, if(ISBLANK('2025'!$S348), 0, 1), 6, if(ISBLANK('2025'!$T348), 0, 1), 7, 0))), 1, "")</f>
        <v/>
      </c>
      <c r="X384" s="1" t="str">
        <f>IF(AND(AND(AND(X$4&gt;='2025'!$L348,X$4&lt;='2025'!$M348), X$4&lt;&gt;DATE(2025,7,4)), (SWITCH(weekday(X$4), 1, 0, 2, if(ISBLANK('2025'!$P348), 0, 1), 3, if(ISBLANK('2025'!$Q348), 0, 1), 4, if(ISBLANK('2025'!$R348), 0, 1), 5, if(ISBLANK('2025'!$S348), 0, 1), 6, if(ISBLANK('2025'!$T348), 0, 1), 7, 0))), 1, "")</f>
        <v/>
      </c>
      <c r="Y384" s="1" t="str">
        <f>IF(AND(AND(AND(Y$4&gt;='2025'!$L348,Y$4&lt;='2025'!$M348), Y$4&lt;&gt;DATE(2025,7,4)), (SWITCH(weekday(Y$4), 1, 0, 2, if(ISBLANK('2025'!$P348), 0, 1), 3, if(ISBLANK('2025'!$Q348), 0, 1), 4, if(ISBLANK('2025'!$R348), 0, 1), 5, if(ISBLANK('2025'!$S348), 0, 1), 6, if(ISBLANK('2025'!$T348), 0, 1), 7, 0))), 1, "")</f>
        <v/>
      </c>
      <c r="Z384" s="1" t="str">
        <f>IF(AND(AND(AND(Z$4&gt;='2025'!$L348,Z$4&lt;='2025'!$M348), Z$4&lt;&gt;DATE(2025,7,4)), (SWITCH(weekday(Z$4), 1, 0, 2, if(ISBLANK('2025'!$P348), 0, 1), 3, if(ISBLANK('2025'!$Q348), 0, 1), 4, if(ISBLANK('2025'!$R348), 0, 1), 5, if(ISBLANK('2025'!$S348), 0, 1), 6, if(ISBLANK('2025'!$T348), 0, 1), 7, 0))), 1, "")</f>
        <v/>
      </c>
      <c r="AA384" s="1" t="str">
        <f>IF(AND(AND(AND(AA$4&gt;='2025'!$L348,AA$4&lt;='2025'!$M348), AA$4&lt;&gt;DATE(2025,7,4)), (SWITCH(weekday(AA$4), 1, 0, 2, if(ISBLANK('2025'!$P348), 0, 1), 3, if(ISBLANK('2025'!$Q348), 0, 1), 4, if(ISBLANK('2025'!$R348), 0, 1), 5, if(ISBLANK('2025'!$S348), 0, 1), 6, if(ISBLANK('2025'!$T348), 0, 1), 7, 0))), 1, "")</f>
        <v/>
      </c>
      <c r="AB384" s="1" t="str">
        <f>IF(AND(AND(AND(AB$4&gt;='2025'!$L348,AB$4&lt;='2025'!$M348), AB$4&lt;&gt;DATE(2025,7,4)), (SWITCH(weekday(AB$4), 1, 0, 2, if(ISBLANK('2025'!$P348), 0, 1), 3, if(ISBLANK('2025'!$Q348), 0, 1), 4, if(ISBLANK('2025'!$R348), 0, 1), 5, if(ISBLANK('2025'!$S348), 0, 1), 6, if(ISBLANK('2025'!$T348), 0, 1), 7, 0))), 1, "")</f>
        <v/>
      </c>
      <c r="AC384" s="1" t="str">
        <f>IF(AND(AND(AND(AC$4&gt;='2025'!$L348,AC$4&lt;='2025'!$M348), AC$4&lt;&gt;DATE(2025,7,4)), (SWITCH(weekday(AC$4), 1, 0, 2, if(ISBLANK('2025'!$P348), 0, 1), 3, if(ISBLANK('2025'!$Q348), 0, 1), 4, if(ISBLANK('2025'!$R348), 0, 1), 5, if(ISBLANK('2025'!$S348), 0, 1), 6, if(ISBLANK('2025'!$T348), 0, 1), 7, 0))), 1, "")</f>
        <v/>
      </c>
      <c r="AD384" s="1" t="str">
        <f>IF(AND(AND(AND(AD$4&gt;='2025'!$L348,AD$4&lt;='2025'!$M348), AD$4&lt;&gt;DATE(2025,7,4)), (SWITCH(weekday(AD$4), 1, 0, 2, if(ISBLANK('2025'!$P348), 0, 1), 3, if(ISBLANK('2025'!$Q348), 0, 1), 4, if(ISBLANK('2025'!$R348), 0, 1), 5, if(ISBLANK('2025'!$S348), 0, 1), 6, if(ISBLANK('2025'!$T348), 0, 1), 7, 0))), 1, "")</f>
        <v/>
      </c>
      <c r="AE384" s="1" t="str">
        <f>IF(AND(AND(AND(AE$4&gt;='2025'!$L348,AE$4&lt;='2025'!$M348), AE$4&lt;&gt;DATE(2025,7,4)), (SWITCH(weekday(AE$4), 1, 0, 2, if(ISBLANK('2025'!$P348), 0, 1), 3, if(ISBLANK('2025'!$Q348), 0, 1), 4, if(ISBLANK('2025'!$R348), 0, 1), 5, if(ISBLANK('2025'!$S348), 0, 1), 6, if(ISBLANK('2025'!$T348), 0, 1), 7, 0))), 1, "")</f>
        <v/>
      </c>
      <c r="AF384" s="1" t="str">
        <f>IF(AND(AND(AND(AF$4&gt;='2025'!$L348,AF$4&lt;='2025'!$M348), AF$4&lt;&gt;DATE(2025,7,4)), (SWITCH(weekday(AF$4), 1, 0, 2, if(ISBLANK('2025'!$P348), 0, 1), 3, if(ISBLANK('2025'!$Q348), 0, 1), 4, if(ISBLANK('2025'!$R348), 0, 1), 5, if(ISBLANK('2025'!$S348), 0, 1), 6, if(ISBLANK('2025'!$T348), 0, 1), 7, 0))), 1, "")</f>
        <v/>
      </c>
      <c r="AG384" s="1" t="str">
        <f>IF(AND(AND(AND(AG$4&gt;='2025'!$L348,AG$4&lt;='2025'!$M348), AG$4&lt;&gt;DATE(2025,7,4)), (SWITCH(weekday(AG$4), 1, 0, 2, if(ISBLANK('2025'!$P348), 0, 1), 3, if(ISBLANK('2025'!$Q348), 0, 1), 4, if(ISBLANK('2025'!$R348), 0, 1), 5, if(ISBLANK('2025'!$S348), 0, 1), 6, if(ISBLANK('2025'!$T348), 0, 1), 7, 0))), 1, "")</f>
        <v/>
      </c>
      <c r="AH384" s="1" t="str">
        <f>IF(AND(AND(AND(AH$4&gt;='2025'!$L348,AH$4&lt;='2025'!$M348), AH$4&lt;&gt;DATE(2025,7,4)), (SWITCH(weekday(AH$4), 1, 0, 2, if(ISBLANK('2025'!$P348), 0, 1), 3, if(ISBLANK('2025'!$Q348), 0, 1), 4, if(ISBLANK('2025'!$R348), 0, 1), 5, if(ISBLANK('2025'!$S348), 0, 1), 6, if(ISBLANK('2025'!$T348), 0, 1), 7, 0))), 1, "")</f>
        <v/>
      </c>
      <c r="AI384" s="1" t="str">
        <f>IF(AND(AND(AND(AI$4&gt;='2025'!$L348,AI$4&lt;='2025'!$M348), AI$4&lt;&gt;DATE(2025,7,4)), (SWITCH(weekday(AI$4), 1, 0, 2, if(ISBLANK('2025'!$P348), 0, 1), 3, if(ISBLANK('2025'!$Q348), 0, 1), 4, if(ISBLANK('2025'!$R348), 0, 1), 5, if(ISBLANK('2025'!$S348), 0, 1), 6, if(ISBLANK('2025'!$T348), 0, 1), 7, 0))), 1, "")</f>
        <v/>
      </c>
      <c r="AJ384" s="1" t="str">
        <f>IF(AND(AND(AND(AJ$4&gt;='2025'!$L348,AJ$4&lt;='2025'!$M348), AJ$4&lt;&gt;DATE(2025,7,4)), (SWITCH(weekday(AJ$4), 1, 0, 2, if(ISBLANK('2025'!$P348), 0, 1), 3, if(ISBLANK('2025'!$Q348), 0, 1), 4, if(ISBLANK('2025'!$R348), 0, 1), 5, if(ISBLANK('2025'!$S348), 0, 1), 6, if(ISBLANK('2025'!$T348), 0, 1), 7, 0))), 1, "")</f>
        <v/>
      </c>
      <c r="AK384" s="1" t="str">
        <f>IF(AND(AND(AND(AK$4&gt;='2025'!$L348,AK$4&lt;='2025'!$M348), AK$4&lt;&gt;DATE(2025,7,4)), (SWITCH(weekday(AK$4), 1, 0, 2, if(ISBLANK('2025'!$P348), 0, 1), 3, if(ISBLANK('2025'!$Q348), 0, 1), 4, if(ISBLANK('2025'!$R348), 0, 1), 5, if(ISBLANK('2025'!$S348), 0, 1), 6, if(ISBLANK('2025'!$T348), 0, 1), 7, 0))), 1, "")</f>
        <v/>
      </c>
      <c r="AL384" s="1" t="str">
        <f>IF(AND(AND(AND(AL$4&gt;='2025'!$L348,AL$4&lt;='2025'!$M348), AL$4&lt;&gt;DATE(2025,7,4)), (SWITCH(weekday(AL$4), 1, 0, 2, if(ISBLANK('2025'!$P348), 0, 1), 3, if(ISBLANK('2025'!$Q348), 0, 1), 4, if(ISBLANK('2025'!$R348), 0, 1), 5, if(ISBLANK('2025'!$S348), 0, 1), 6, if(ISBLANK('2025'!$T348), 0, 1), 7, 0))), 1, "")</f>
        <v/>
      </c>
      <c r="AM384" s="1" t="str">
        <f>IF(AND(AND(AND(AM$4&gt;='2025'!$L348,AM$4&lt;='2025'!$M348), AM$4&lt;&gt;DATE(2025,7,4)), (SWITCH(weekday(AM$4), 1, 0, 2, if(ISBLANK('2025'!$P348), 0, 1), 3, if(ISBLANK('2025'!$Q348), 0, 1), 4, if(ISBLANK('2025'!$R348), 0, 1), 5, if(ISBLANK('2025'!$S348), 0, 1), 6, if(ISBLANK('2025'!$T348), 0, 1), 7, 0))), 1, "")</f>
        <v/>
      </c>
      <c r="AN384" s="1" t="str">
        <f>IF(AND(AND(AND(AN$4&gt;='2025'!$L348,AN$4&lt;='2025'!$M348), AN$4&lt;&gt;DATE(2025,7,4)), (SWITCH(weekday(AN$4), 1, 0, 2, if(ISBLANK('2025'!$P348), 0, 1), 3, if(ISBLANK('2025'!$Q348), 0, 1), 4, if(ISBLANK('2025'!$R348), 0, 1), 5, if(ISBLANK('2025'!$S348), 0, 1), 6, if(ISBLANK('2025'!$T348), 0, 1), 7, 0))), 1, "")</f>
        <v/>
      </c>
      <c r="AO384" s="1" t="str">
        <f>IF(AND(AND(AND(AO$4&gt;='2025'!$L348,AO$4&lt;='2025'!$M348), AO$4&lt;&gt;DATE(2025,7,4)), (SWITCH(weekday(AO$4), 1, 0, 2, if(ISBLANK('2025'!$P348), 0, 1), 3, if(ISBLANK('2025'!$Q348), 0, 1), 4, if(ISBLANK('2025'!$R348), 0, 1), 5, if(ISBLANK('2025'!$S348), 0, 1), 6, if(ISBLANK('2025'!$T348), 0, 1), 7, 0))), 1, "")</f>
        <v/>
      </c>
      <c r="AP384" s="1" t="str">
        <f>IF(AND(AND(AND(AP$4&gt;='2025'!$L348,AP$4&lt;='2025'!$M348), AP$4&lt;&gt;DATE(2025,7,4)), (SWITCH(weekday(AP$4), 1, 0, 2, if(ISBLANK('2025'!$P348), 0, 1), 3, if(ISBLANK('2025'!$Q348), 0, 1), 4, if(ISBLANK('2025'!$R348), 0, 1), 5, if(ISBLANK('2025'!$S348), 0, 1), 6, if(ISBLANK('2025'!$T348), 0, 1), 7, 0))), 1, "")</f>
        <v/>
      </c>
      <c r="AQ384" s="1" t="str">
        <f>IF(AND(AND(AND(AQ$4&gt;='2025'!$L348,AQ$4&lt;='2025'!$M348), AQ$4&lt;&gt;DATE(2025,7,4)), (SWITCH(weekday(AQ$4), 1, 0, 2, if(ISBLANK('2025'!$P348), 0, 1), 3, if(ISBLANK('2025'!$Q348), 0, 1), 4, if(ISBLANK('2025'!$R348), 0, 1), 5, if(ISBLANK('2025'!$S348), 0, 1), 6, if(ISBLANK('2025'!$T348), 0, 1), 7, 0))), 1, "")</f>
        <v/>
      </c>
      <c r="AR384" s="1" t="str">
        <f>IF(AND(AND(AND(AR$4&gt;='2025'!$L348,AR$4&lt;='2025'!$M348), AR$4&lt;&gt;DATE(2025,7,4)), (SWITCH(weekday(AR$4), 1, 0, 2, if(ISBLANK('2025'!$P348), 0, 1), 3, if(ISBLANK('2025'!$Q348), 0, 1), 4, if(ISBLANK('2025'!$R348), 0, 1), 5, if(ISBLANK('2025'!$S348), 0, 1), 6, if(ISBLANK('2025'!$T348), 0, 1), 7, 0))), 1, "")</f>
        <v/>
      </c>
      <c r="AS384" s="1" t="str">
        <f>IF(AND(AND(AND(AS$4&gt;='2025'!$L348,AS$4&lt;='2025'!$M348), AS$4&lt;&gt;DATE(2025,7,4)), (SWITCH(weekday(AS$4), 1, 0, 2, if(ISBLANK('2025'!$P348), 0, 1), 3, if(ISBLANK('2025'!$Q348), 0, 1), 4, if(ISBLANK('2025'!$R348), 0, 1), 5, if(ISBLANK('2025'!$S348), 0, 1), 6, if(ISBLANK('2025'!$T348), 0, 1), 7, 0))), 1, "")</f>
        <v/>
      </c>
      <c r="AT384" s="1" t="str">
        <f>IF(AND(AND(AND(AT$4&gt;='2025'!$L348,AT$4&lt;='2025'!$M348), AT$4&lt;&gt;DATE(2025,7,4)), (SWITCH(weekday(AT$4), 1, 0, 2, if(ISBLANK('2025'!$P348), 0, 1), 3, if(ISBLANK('2025'!$Q348), 0, 1), 4, if(ISBLANK('2025'!$R348), 0, 1), 5, if(ISBLANK('2025'!$S348), 0, 1), 6, if(ISBLANK('2025'!$T348), 0, 1), 7, 0))), 1, "")</f>
        <v/>
      </c>
      <c r="AU384" s="1" t="str">
        <f>IF(AND(AND(AND(AU$4&gt;='2025'!$L348,AU$4&lt;='2025'!$M348), AU$4&lt;&gt;DATE(2025,7,4)), (SWITCH(weekday(AU$4), 1, 0, 2, if(ISBLANK('2025'!$P348), 0, 1), 3, if(ISBLANK('2025'!$Q348), 0, 1), 4, if(ISBLANK('2025'!$R348), 0, 1), 5, if(ISBLANK('2025'!$S348), 0, 1), 6, if(ISBLANK('2025'!$T348), 0, 1), 7, 0))), 1, "")</f>
        <v/>
      </c>
      <c r="AV384" s="1" t="str">
        <f>IF(AND(AND(AND(AV$4&gt;='2025'!$L348,AV$4&lt;='2025'!$M348), AV$4&lt;&gt;DATE(2025,7,4)), (SWITCH(weekday(AV$4), 1, 0, 2, if(ISBLANK('2025'!$P348), 0, 1), 3, if(ISBLANK('2025'!$Q348), 0, 1), 4, if(ISBLANK('2025'!$R348), 0, 1), 5, if(ISBLANK('2025'!$S348), 0, 1), 6, if(ISBLANK('2025'!$T348), 0, 1), 7, 0))), 1, "")</f>
        <v/>
      </c>
      <c r="AW384" s="1" t="str">
        <f>IF(AND(AND(AND(AW$4&gt;='2025'!$L348,AW$4&lt;='2025'!$M348), AW$4&lt;&gt;DATE(2025,7,4)), (SWITCH(weekday(AW$4), 1, 0, 2, if(ISBLANK('2025'!$P348), 0, 1), 3, if(ISBLANK('2025'!$Q348), 0, 1), 4, if(ISBLANK('2025'!$R348), 0, 1), 5, if(ISBLANK('2025'!$S348), 0, 1), 6, if(ISBLANK('2025'!$T348), 0, 1), 7, 0))), 1, "")</f>
        <v/>
      </c>
      <c r="AX384" s="1" t="str">
        <f>IF(AND(AND(AND(AX$4&gt;='2025'!$L348,AX$4&lt;='2025'!$M348), AX$4&lt;&gt;DATE(2025,7,4)), (SWITCH(weekday(AX$4), 1, 0, 2, if(ISBLANK('2025'!$P348), 0, 1), 3, if(ISBLANK('2025'!$Q348), 0, 1), 4, if(ISBLANK('2025'!$R348), 0, 1), 5, if(ISBLANK('2025'!$S348), 0, 1), 6, if(ISBLANK('2025'!$T348), 0, 1), 7, 0))), 1, "")</f>
        <v/>
      </c>
      <c r="AY384" s="1" t="str">
        <f>IF(AND(AND(AND(AY$4&gt;='2025'!$L348,AY$4&lt;='2025'!$M348), AY$4&lt;&gt;DATE(2025,7,4)), (SWITCH(weekday(AY$4), 1, 0, 2, if(ISBLANK('2025'!$P348), 0, 1), 3, if(ISBLANK('2025'!$Q348), 0, 1), 4, if(ISBLANK('2025'!$R348), 0, 1), 5, if(ISBLANK('2025'!$S348), 0, 1), 6, if(ISBLANK('2025'!$T348), 0, 1), 7, 0))), 1, "")</f>
        <v/>
      </c>
      <c r="AZ384" s="1" t="str">
        <f>IF(AND(AND(AND(AZ$4&gt;='2025'!$L348,AZ$4&lt;='2025'!$M348), AZ$4&lt;&gt;DATE(2025,7,4)), (SWITCH(weekday(AZ$4), 1, 0, 2, if(ISBLANK('2025'!$P348), 0, 1), 3, if(ISBLANK('2025'!$Q348), 0, 1), 4, if(ISBLANK('2025'!$R348), 0, 1), 5, if(ISBLANK('2025'!$S348), 0, 1), 6, if(ISBLANK('2025'!$T348), 0, 1), 7, 0))), 1, "")</f>
        <v/>
      </c>
      <c r="BA384" s="1" t="str">
        <f>IF(AND(AND(AND(BA$4&gt;='2025'!$L348,BA$4&lt;='2025'!$M348), BA$4&lt;&gt;DATE(2025,7,4)), (SWITCH(weekday(BA$4), 1, 0, 2, if(ISBLANK('2025'!$P348), 0, 1), 3, if(ISBLANK('2025'!$Q348), 0, 1), 4, if(ISBLANK('2025'!$R348), 0, 1), 5, if(ISBLANK('2025'!$S348), 0, 1), 6, if(ISBLANK('2025'!$T348), 0, 1), 7, 0))), 1, "")</f>
        <v/>
      </c>
      <c r="BB384" s="1" t="str">
        <f>IF(AND(AND(AND(BB$4&gt;='2025'!$L348,BB$4&lt;='2025'!$M348), BB$4&lt;&gt;DATE(2025,7,4)), (SWITCH(weekday(BB$4), 1, 0, 2, if(ISBLANK('2025'!$P348), 0, 1), 3, if(ISBLANK('2025'!$Q348), 0, 1), 4, if(ISBLANK('2025'!$R348), 0, 1), 5, if(ISBLANK('2025'!$S348), 0, 1), 6, if(ISBLANK('2025'!$T348), 0, 1), 7, 0))), 1, "")</f>
        <v/>
      </c>
      <c r="BC384" s="1" t="str">
        <f>IF(AND(AND(AND(BC$4&gt;='2025'!$L348,BC$4&lt;='2025'!$M348), BC$4&lt;&gt;DATE(2025,7,4)), (SWITCH(weekday(BC$4), 1, 0, 2, if(ISBLANK('2025'!$P348), 0, 1), 3, if(ISBLANK('2025'!$Q348), 0, 1), 4, if(ISBLANK('2025'!$R348), 0, 1), 5, if(ISBLANK('2025'!$S348), 0, 1), 6, if(ISBLANK('2025'!$T348), 0, 1), 7, 0))), 1, "")</f>
        <v/>
      </c>
      <c r="BD384" s="1" t="str">
        <f>IF(AND(AND(AND(BD$4&gt;='2025'!$L348,BD$4&lt;='2025'!$M348), BD$4&lt;&gt;DATE(2025,7,4)), (SWITCH(weekday(BD$4), 1, 0, 2, if(ISBLANK('2025'!$P348), 0, 1), 3, if(ISBLANK('2025'!$Q348), 0, 1), 4, if(ISBLANK('2025'!$R348), 0, 1), 5, if(ISBLANK('2025'!$S348), 0, 1), 6, if(ISBLANK('2025'!$T348), 0, 1), 7, 0))), 1, "")</f>
        <v/>
      </c>
      <c r="BE384" s="1" t="str">
        <f>IF(AND(AND(AND(BE$4&gt;='2025'!$L348,BE$4&lt;='2025'!$M348), BE$4&lt;&gt;DATE(2025,7,4)), (SWITCH(weekday(BE$4), 1, 0, 2, if(ISBLANK('2025'!$P348), 0, 1), 3, if(ISBLANK('2025'!$Q348), 0, 1), 4, if(ISBLANK('2025'!$R348), 0, 1), 5, if(ISBLANK('2025'!$S348), 0, 1), 6, if(ISBLANK('2025'!$T348), 0, 1), 7, 0))), 1, "")</f>
        <v/>
      </c>
    </row>
    <row r="385">
      <c r="A385" s="1">
        <f t="shared" si="3"/>
        <v>385</v>
      </c>
      <c r="B385" s="1" t="str">
        <f>'2025'!D349</f>
        <v/>
      </c>
      <c r="C385" s="1" t="str">
        <f>'2025'!H349</f>
        <v/>
      </c>
      <c r="D385" s="1" t="str">
        <f>IF(AND(AND(AND(D$4&gt;='2025'!$L349,D$4&lt;='2025'!$M349), D$4&lt;&gt;DATE(2025,7,4)), (SWITCH(weekday(D$4), 1, 0, 2, if(ISBLANK('2025'!$P349), 0, 1), 3, if(ISBLANK('2025'!$Q349), 0, 1), 4, if(ISBLANK('2025'!$R349), 0, 1), 5, if(ISBLANK('2025'!$S349), 0, 1), 6, if(ISBLANK('2025'!$T349), 0, 1), 7, 0))), 1, "")</f>
        <v/>
      </c>
      <c r="E385" s="1" t="str">
        <f>IF(AND(AND(AND(E$4&gt;='2025'!$L349,E$4&lt;='2025'!$M349), E$4&lt;&gt;DATE(2025,7,4)), (SWITCH(weekday(E$4), 1, 0, 2, if(ISBLANK('2025'!$P349), 0, 1), 3, if(ISBLANK('2025'!$Q349), 0, 1), 4, if(ISBLANK('2025'!$R349), 0, 1), 5, if(ISBLANK('2025'!$S349), 0, 1), 6, if(ISBLANK('2025'!$T349), 0, 1), 7, 0))), 1, "")</f>
        <v/>
      </c>
      <c r="F385" s="1" t="str">
        <f>IF(AND(AND(AND(F$4&gt;='2025'!$L349,F$4&lt;='2025'!$M349), F$4&lt;&gt;DATE(2025,7,4)), (SWITCH(weekday(F$4), 1, 0, 2, if(ISBLANK('2025'!$P349), 0, 1), 3, if(ISBLANK('2025'!$Q349), 0, 1), 4, if(ISBLANK('2025'!$R349), 0, 1), 5, if(ISBLANK('2025'!$S349), 0, 1), 6, if(ISBLANK('2025'!$T349), 0, 1), 7, 0))), 1, "")</f>
        <v/>
      </c>
      <c r="G385" s="1" t="str">
        <f>IF(AND(AND(AND(G$4&gt;='2025'!$L349,G$4&lt;='2025'!$M349), G$4&lt;&gt;DATE(2025,7,4)), (SWITCH(weekday(G$4), 1, 0, 2, if(ISBLANK('2025'!$P349), 0, 1), 3, if(ISBLANK('2025'!$Q349), 0, 1), 4, if(ISBLANK('2025'!$R349), 0, 1), 5, if(ISBLANK('2025'!$S349), 0, 1), 6, if(ISBLANK('2025'!$T349), 0, 1), 7, 0))), 1, "")</f>
        <v/>
      </c>
      <c r="H385" s="1" t="str">
        <f>IF(AND(AND(AND(H$4&gt;='2025'!$L349,H$4&lt;='2025'!$M349), H$4&lt;&gt;DATE(2025,7,4)), (SWITCH(weekday(H$4), 1, 0, 2, if(ISBLANK('2025'!$P349), 0, 1), 3, if(ISBLANK('2025'!$Q349), 0, 1), 4, if(ISBLANK('2025'!$R349), 0, 1), 5, if(ISBLANK('2025'!$S349), 0, 1), 6, if(ISBLANK('2025'!$T349), 0, 1), 7, 0))), 1, "")</f>
        <v/>
      </c>
      <c r="I385" s="1" t="str">
        <f>IF(AND(AND(AND(I$4&gt;='2025'!$L349,I$4&lt;='2025'!$M349), I$4&lt;&gt;DATE(2025,7,4)), (SWITCH(weekday(I$4), 1, 0, 2, if(ISBLANK('2025'!$P349), 0, 1), 3, if(ISBLANK('2025'!$Q349), 0, 1), 4, if(ISBLANK('2025'!$R349), 0, 1), 5, if(ISBLANK('2025'!$S349), 0, 1), 6, if(ISBLANK('2025'!$T349), 0, 1), 7, 0))), 1, "")</f>
        <v/>
      </c>
      <c r="J385" s="1" t="str">
        <f>IF(AND(AND(AND(J$4&gt;='2025'!$L349,J$4&lt;='2025'!$M349), J$4&lt;&gt;DATE(2025,7,4)), (SWITCH(weekday(J$4), 1, 0, 2, if(ISBLANK('2025'!$P349), 0, 1), 3, if(ISBLANK('2025'!$Q349), 0, 1), 4, if(ISBLANK('2025'!$R349), 0, 1), 5, if(ISBLANK('2025'!$S349), 0, 1), 6, if(ISBLANK('2025'!$T349), 0, 1), 7, 0))), 1, "")</f>
        <v/>
      </c>
      <c r="K385" s="1" t="str">
        <f>IF(AND(AND(AND(K$4&gt;='2025'!$L349,K$4&lt;='2025'!$M349), K$4&lt;&gt;DATE(2025,7,4)), (SWITCH(weekday(K$4), 1, 0, 2, if(ISBLANK('2025'!$P349), 0, 1), 3, if(ISBLANK('2025'!$Q349), 0, 1), 4, if(ISBLANK('2025'!$R349), 0, 1), 5, if(ISBLANK('2025'!$S349), 0, 1), 6, if(ISBLANK('2025'!$T349), 0, 1), 7, 0))), 1, "")</f>
        <v/>
      </c>
      <c r="L385" s="1" t="str">
        <f>IF(AND(AND(AND(L$4&gt;='2025'!$L349,L$4&lt;='2025'!$M349), L$4&lt;&gt;DATE(2025,7,4)), (SWITCH(weekday(L$4), 1, 0, 2, if(ISBLANK('2025'!$P349), 0, 1), 3, if(ISBLANK('2025'!$Q349), 0, 1), 4, if(ISBLANK('2025'!$R349), 0, 1), 5, if(ISBLANK('2025'!$S349), 0, 1), 6, if(ISBLANK('2025'!$T349), 0, 1), 7, 0))), 1, "")</f>
        <v/>
      </c>
      <c r="M385" s="1" t="str">
        <f>IF(AND(AND(AND(M$4&gt;='2025'!$L349,M$4&lt;='2025'!$M349), M$4&lt;&gt;DATE(2025,7,4)), (SWITCH(weekday(M$4), 1, 0, 2, if(ISBLANK('2025'!$P349), 0, 1), 3, if(ISBLANK('2025'!$Q349), 0, 1), 4, if(ISBLANK('2025'!$R349), 0, 1), 5, if(ISBLANK('2025'!$S349), 0, 1), 6, if(ISBLANK('2025'!$T349), 0, 1), 7, 0))), 1, "")</f>
        <v/>
      </c>
      <c r="N385" s="1" t="str">
        <f>IF(AND(AND(AND(N$4&gt;='2025'!$L349,N$4&lt;='2025'!$M349), N$4&lt;&gt;DATE(2025,7,4)), (SWITCH(weekday(N$4), 1, 0, 2, if(ISBLANK('2025'!$P349), 0, 1), 3, if(ISBLANK('2025'!$Q349), 0, 1), 4, if(ISBLANK('2025'!$R349), 0, 1), 5, if(ISBLANK('2025'!$S349), 0, 1), 6, if(ISBLANK('2025'!$T349), 0, 1), 7, 0))), 1, "")</f>
        <v/>
      </c>
      <c r="O385" s="1" t="str">
        <f>IF(AND(AND(AND(O$4&gt;='2025'!$L349,O$4&lt;='2025'!$M349), O$4&lt;&gt;DATE(2025,7,4)), (SWITCH(weekday(O$4), 1, 0, 2, if(ISBLANK('2025'!$P349), 0, 1), 3, if(ISBLANK('2025'!$Q349), 0, 1), 4, if(ISBLANK('2025'!$R349), 0, 1), 5, if(ISBLANK('2025'!$S349), 0, 1), 6, if(ISBLANK('2025'!$T349), 0, 1), 7, 0))), 1, "")</f>
        <v/>
      </c>
      <c r="P385" s="1" t="str">
        <f>IF(AND(AND(AND(P$4&gt;='2025'!$L349,P$4&lt;='2025'!$M349), P$4&lt;&gt;DATE(2025,7,4)), (SWITCH(weekday(P$4), 1, 0, 2, if(ISBLANK('2025'!$P349), 0, 1), 3, if(ISBLANK('2025'!$Q349), 0, 1), 4, if(ISBLANK('2025'!$R349), 0, 1), 5, if(ISBLANK('2025'!$S349), 0, 1), 6, if(ISBLANK('2025'!$T349), 0, 1), 7, 0))), 1, "")</f>
        <v/>
      </c>
      <c r="Q385" s="1" t="str">
        <f>IF(AND(AND(AND(Q$4&gt;='2025'!$L349,Q$4&lt;='2025'!$M349), Q$4&lt;&gt;DATE(2025,7,4)), (SWITCH(weekday(Q$4), 1, 0, 2, if(ISBLANK('2025'!$P349), 0, 1), 3, if(ISBLANK('2025'!$Q349), 0, 1), 4, if(ISBLANK('2025'!$R349), 0, 1), 5, if(ISBLANK('2025'!$S349), 0, 1), 6, if(ISBLANK('2025'!$T349), 0, 1), 7, 0))), 1, "")</f>
        <v/>
      </c>
      <c r="R385" s="1" t="str">
        <f>IF(AND(AND(AND(R$4&gt;='2025'!$L349,R$4&lt;='2025'!$M349), R$4&lt;&gt;DATE(2025,7,4)), (SWITCH(weekday(R$4), 1, 0, 2, if(ISBLANK('2025'!$P349), 0, 1), 3, if(ISBLANK('2025'!$Q349), 0, 1), 4, if(ISBLANK('2025'!$R349), 0, 1), 5, if(ISBLANK('2025'!$S349), 0, 1), 6, if(ISBLANK('2025'!$T349), 0, 1), 7, 0))), 1, "")</f>
        <v/>
      </c>
      <c r="S385" s="1" t="str">
        <f>IF(AND(AND(AND(S$4&gt;='2025'!$L349,S$4&lt;='2025'!$M349), S$4&lt;&gt;DATE(2025,7,4)), (SWITCH(weekday(S$4), 1, 0, 2, if(ISBLANK('2025'!$P349), 0, 1), 3, if(ISBLANK('2025'!$Q349), 0, 1), 4, if(ISBLANK('2025'!$R349), 0, 1), 5, if(ISBLANK('2025'!$S349), 0, 1), 6, if(ISBLANK('2025'!$T349), 0, 1), 7, 0))), 1, "")</f>
        <v/>
      </c>
      <c r="T385" s="1" t="str">
        <f>IF(AND(AND(AND(T$4&gt;='2025'!$L349,T$4&lt;='2025'!$M349), T$4&lt;&gt;DATE(2025,7,4)), (SWITCH(weekday(T$4), 1, 0, 2, if(ISBLANK('2025'!$P349), 0, 1), 3, if(ISBLANK('2025'!$Q349), 0, 1), 4, if(ISBLANK('2025'!$R349), 0, 1), 5, if(ISBLANK('2025'!$S349), 0, 1), 6, if(ISBLANK('2025'!$T349), 0, 1), 7, 0))), 1, "")</f>
        <v/>
      </c>
      <c r="U385" s="1" t="str">
        <f>IF(AND(AND(AND(U$4&gt;='2025'!$L349,U$4&lt;='2025'!$M349), U$4&lt;&gt;DATE(2025,7,4)), (SWITCH(weekday(U$4), 1, 0, 2, if(ISBLANK('2025'!$P349), 0, 1), 3, if(ISBLANK('2025'!$Q349), 0, 1), 4, if(ISBLANK('2025'!$R349), 0, 1), 5, if(ISBLANK('2025'!$S349), 0, 1), 6, if(ISBLANK('2025'!$T349), 0, 1), 7, 0))), 1, "")</f>
        <v/>
      </c>
      <c r="V385" s="1" t="str">
        <f>IF(AND(AND(AND(V$4&gt;='2025'!$L349,V$4&lt;='2025'!$M349), V$4&lt;&gt;DATE(2025,7,4)), (SWITCH(weekday(V$4), 1, 0, 2, if(ISBLANK('2025'!$P349), 0, 1), 3, if(ISBLANK('2025'!$Q349), 0, 1), 4, if(ISBLANK('2025'!$R349), 0, 1), 5, if(ISBLANK('2025'!$S349), 0, 1), 6, if(ISBLANK('2025'!$T349), 0, 1), 7, 0))), 1, "")</f>
        <v/>
      </c>
      <c r="W385" s="1" t="str">
        <f>IF(AND(AND(AND(W$4&gt;='2025'!$L349,W$4&lt;='2025'!$M349), W$4&lt;&gt;DATE(2025,7,4)), (SWITCH(weekday(W$4), 1, 0, 2, if(ISBLANK('2025'!$P349), 0, 1), 3, if(ISBLANK('2025'!$Q349), 0, 1), 4, if(ISBLANK('2025'!$R349), 0, 1), 5, if(ISBLANK('2025'!$S349), 0, 1), 6, if(ISBLANK('2025'!$T349), 0, 1), 7, 0))), 1, "")</f>
        <v/>
      </c>
      <c r="X385" s="1" t="str">
        <f>IF(AND(AND(AND(X$4&gt;='2025'!$L349,X$4&lt;='2025'!$M349), X$4&lt;&gt;DATE(2025,7,4)), (SWITCH(weekday(X$4), 1, 0, 2, if(ISBLANK('2025'!$P349), 0, 1), 3, if(ISBLANK('2025'!$Q349), 0, 1), 4, if(ISBLANK('2025'!$R349), 0, 1), 5, if(ISBLANK('2025'!$S349), 0, 1), 6, if(ISBLANK('2025'!$T349), 0, 1), 7, 0))), 1, "")</f>
        <v/>
      </c>
      <c r="Y385" s="1" t="str">
        <f>IF(AND(AND(AND(Y$4&gt;='2025'!$L349,Y$4&lt;='2025'!$M349), Y$4&lt;&gt;DATE(2025,7,4)), (SWITCH(weekday(Y$4), 1, 0, 2, if(ISBLANK('2025'!$P349), 0, 1), 3, if(ISBLANK('2025'!$Q349), 0, 1), 4, if(ISBLANK('2025'!$R349), 0, 1), 5, if(ISBLANK('2025'!$S349), 0, 1), 6, if(ISBLANK('2025'!$T349), 0, 1), 7, 0))), 1, "")</f>
        <v/>
      </c>
      <c r="Z385" s="1" t="str">
        <f>IF(AND(AND(AND(Z$4&gt;='2025'!$L349,Z$4&lt;='2025'!$M349), Z$4&lt;&gt;DATE(2025,7,4)), (SWITCH(weekday(Z$4), 1, 0, 2, if(ISBLANK('2025'!$P349), 0, 1), 3, if(ISBLANK('2025'!$Q349), 0, 1), 4, if(ISBLANK('2025'!$R349), 0, 1), 5, if(ISBLANK('2025'!$S349), 0, 1), 6, if(ISBLANK('2025'!$T349), 0, 1), 7, 0))), 1, "")</f>
        <v/>
      </c>
      <c r="AA385" s="1" t="str">
        <f>IF(AND(AND(AND(AA$4&gt;='2025'!$L349,AA$4&lt;='2025'!$M349), AA$4&lt;&gt;DATE(2025,7,4)), (SWITCH(weekday(AA$4), 1, 0, 2, if(ISBLANK('2025'!$P349), 0, 1), 3, if(ISBLANK('2025'!$Q349), 0, 1), 4, if(ISBLANK('2025'!$R349), 0, 1), 5, if(ISBLANK('2025'!$S349), 0, 1), 6, if(ISBLANK('2025'!$T349), 0, 1), 7, 0))), 1, "")</f>
        <v/>
      </c>
      <c r="AB385" s="1" t="str">
        <f>IF(AND(AND(AND(AB$4&gt;='2025'!$L349,AB$4&lt;='2025'!$M349), AB$4&lt;&gt;DATE(2025,7,4)), (SWITCH(weekday(AB$4), 1, 0, 2, if(ISBLANK('2025'!$P349), 0, 1), 3, if(ISBLANK('2025'!$Q349), 0, 1), 4, if(ISBLANK('2025'!$R349), 0, 1), 5, if(ISBLANK('2025'!$S349), 0, 1), 6, if(ISBLANK('2025'!$T349), 0, 1), 7, 0))), 1, "")</f>
        <v/>
      </c>
      <c r="AC385" s="1" t="str">
        <f>IF(AND(AND(AND(AC$4&gt;='2025'!$L349,AC$4&lt;='2025'!$M349), AC$4&lt;&gt;DATE(2025,7,4)), (SWITCH(weekday(AC$4), 1, 0, 2, if(ISBLANK('2025'!$P349), 0, 1), 3, if(ISBLANK('2025'!$Q349), 0, 1), 4, if(ISBLANK('2025'!$R349), 0, 1), 5, if(ISBLANK('2025'!$S349), 0, 1), 6, if(ISBLANK('2025'!$T349), 0, 1), 7, 0))), 1, "")</f>
        <v/>
      </c>
      <c r="AD385" s="1" t="str">
        <f>IF(AND(AND(AND(AD$4&gt;='2025'!$L349,AD$4&lt;='2025'!$M349), AD$4&lt;&gt;DATE(2025,7,4)), (SWITCH(weekday(AD$4), 1, 0, 2, if(ISBLANK('2025'!$P349), 0, 1), 3, if(ISBLANK('2025'!$Q349), 0, 1), 4, if(ISBLANK('2025'!$R349), 0, 1), 5, if(ISBLANK('2025'!$S349), 0, 1), 6, if(ISBLANK('2025'!$T349), 0, 1), 7, 0))), 1, "")</f>
        <v/>
      </c>
      <c r="AE385" s="1" t="str">
        <f>IF(AND(AND(AND(AE$4&gt;='2025'!$L349,AE$4&lt;='2025'!$M349), AE$4&lt;&gt;DATE(2025,7,4)), (SWITCH(weekday(AE$4), 1, 0, 2, if(ISBLANK('2025'!$P349), 0, 1), 3, if(ISBLANK('2025'!$Q349), 0, 1), 4, if(ISBLANK('2025'!$R349), 0, 1), 5, if(ISBLANK('2025'!$S349), 0, 1), 6, if(ISBLANK('2025'!$T349), 0, 1), 7, 0))), 1, "")</f>
        <v/>
      </c>
      <c r="AF385" s="1" t="str">
        <f>IF(AND(AND(AND(AF$4&gt;='2025'!$L349,AF$4&lt;='2025'!$M349), AF$4&lt;&gt;DATE(2025,7,4)), (SWITCH(weekday(AF$4), 1, 0, 2, if(ISBLANK('2025'!$P349), 0, 1), 3, if(ISBLANK('2025'!$Q349), 0, 1), 4, if(ISBLANK('2025'!$R349), 0, 1), 5, if(ISBLANK('2025'!$S349), 0, 1), 6, if(ISBLANK('2025'!$T349), 0, 1), 7, 0))), 1, "")</f>
        <v/>
      </c>
      <c r="AG385" s="1" t="str">
        <f>IF(AND(AND(AND(AG$4&gt;='2025'!$L349,AG$4&lt;='2025'!$M349), AG$4&lt;&gt;DATE(2025,7,4)), (SWITCH(weekday(AG$4), 1, 0, 2, if(ISBLANK('2025'!$P349), 0, 1), 3, if(ISBLANK('2025'!$Q349), 0, 1), 4, if(ISBLANK('2025'!$R349), 0, 1), 5, if(ISBLANK('2025'!$S349), 0, 1), 6, if(ISBLANK('2025'!$T349), 0, 1), 7, 0))), 1, "")</f>
        <v/>
      </c>
      <c r="AH385" s="1" t="str">
        <f>IF(AND(AND(AND(AH$4&gt;='2025'!$L349,AH$4&lt;='2025'!$M349), AH$4&lt;&gt;DATE(2025,7,4)), (SWITCH(weekday(AH$4), 1, 0, 2, if(ISBLANK('2025'!$P349), 0, 1), 3, if(ISBLANK('2025'!$Q349), 0, 1), 4, if(ISBLANK('2025'!$R349), 0, 1), 5, if(ISBLANK('2025'!$S349), 0, 1), 6, if(ISBLANK('2025'!$T349), 0, 1), 7, 0))), 1, "")</f>
        <v/>
      </c>
      <c r="AI385" s="1" t="str">
        <f>IF(AND(AND(AND(AI$4&gt;='2025'!$L349,AI$4&lt;='2025'!$M349), AI$4&lt;&gt;DATE(2025,7,4)), (SWITCH(weekday(AI$4), 1, 0, 2, if(ISBLANK('2025'!$P349), 0, 1), 3, if(ISBLANK('2025'!$Q349), 0, 1), 4, if(ISBLANK('2025'!$R349), 0, 1), 5, if(ISBLANK('2025'!$S349), 0, 1), 6, if(ISBLANK('2025'!$T349), 0, 1), 7, 0))), 1, "")</f>
        <v/>
      </c>
      <c r="AJ385" s="1" t="str">
        <f>IF(AND(AND(AND(AJ$4&gt;='2025'!$L349,AJ$4&lt;='2025'!$M349), AJ$4&lt;&gt;DATE(2025,7,4)), (SWITCH(weekday(AJ$4), 1, 0, 2, if(ISBLANK('2025'!$P349), 0, 1), 3, if(ISBLANK('2025'!$Q349), 0, 1), 4, if(ISBLANK('2025'!$R349), 0, 1), 5, if(ISBLANK('2025'!$S349), 0, 1), 6, if(ISBLANK('2025'!$T349), 0, 1), 7, 0))), 1, "")</f>
        <v/>
      </c>
      <c r="AK385" s="1" t="str">
        <f>IF(AND(AND(AND(AK$4&gt;='2025'!$L349,AK$4&lt;='2025'!$M349), AK$4&lt;&gt;DATE(2025,7,4)), (SWITCH(weekday(AK$4), 1, 0, 2, if(ISBLANK('2025'!$P349), 0, 1), 3, if(ISBLANK('2025'!$Q349), 0, 1), 4, if(ISBLANK('2025'!$R349), 0, 1), 5, if(ISBLANK('2025'!$S349), 0, 1), 6, if(ISBLANK('2025'!$T349), 0, 1), 7, 0))), 1, "")</f>
        <v/>
      </c>
      <c r="AL385" s="1" t="str">
        <f>IF(AND(AND(AND(AL$4&gt;='2025'!$L349,AL$4&lt;='2025'!$M349), AL$4&lt;&gt;DATE(2025,7,4)), (SWITCH(weekday(AL$4), 1, 0, 2, if(ISBLANK('2025'!$P349), 0, 1), 3, if(ISBLANK('2025'!$Q349), 0, 1), 4, if(ISBLANK('2025'!$R349), 0, 1), 5, if(ISBLANK('2025'!$S349), 0, 1), 6, if(ISBLANK('2025'!$T349), 0, 1), 7, 0))), 1, "")</f>
        <v/>
      </c>
      <c r="AM385" s="1" t="str">
        <f>IF(AND(AND(AND(AM$4&gt;='2025'!$L349,AM$4&lt;='2025'!$M349), AM$4&lt;&gt;DATE(2025,7,4)), (SWITCH(weekday(AM$4), 1, 0, 2, if(ISBLANK('2025'!$P349), 0, 1), 3, if(ISBLANK('2025'!$Q349), 0, 1), 4, if(ISBLANK('2025'!$R349), 0, 1), 5, if(ISBLANK('2025'!$S349), 0, 1), 6, if(ISBLANK('2025'!$T349), 0, 1), 7, 0))), 1, "")</f>
        <v/>
      </c>
      <c r="AN385" s="1" t="str">
        <f>IF(AND(AND(AND(AN$4&gt;='2025'!$L349,AN$4&lt;='2025'!$M349), AN$4&lt;&gt;DATE(2025,7,4)), (SWITCH(weekday(AN$4), 1, 0, 2, if(ISBLANK('2025'!$P349), 0, 1), 3, if(ISBLANK('2025'!$Q349), 0, 1), 4, if(ISBLANK('2025'!$R349), 0, 1), 5, if(ISBLANK('2025'!$S349), 0, 1), 6, if(ISBLANK('2025'!$T349), 0, 1), 7, 0))), 1, "")</f>
        <v/>
      </c>
      <c r="AO385" s="1" t="str">
        <f>IF(AND(AND(AND(AO$4&gt;='2025'!$L349,AO$4&lt;='2025'!$M349), AO$4&lt;&gt;DATE(2025,7,4)), (SWITCH(weekday(AO$4), 1, 0, 2, if(ISBLANK('2025'!$P349), 0, 1), 3, if(ISBLANK('2025'!$Q349), 0, 1), 4, if(ISBLANK('2025'!$R349), 0, 1), 5, if(ISBLANK('2025'!$S349), 0, 1), 6, if(ISBLANK('2025'!$T349), 0, 1), 7, 0))), 1, "")</f>
        <v/>
      </c>
      <c r="AP385" s="1" t="str">
        <f>IF(AND(AND(AND(AP$4&gt;='2025'!$L349,AP$4&lt;='2025'!$M349), AP$4&lt;&gt;DATE(2025,7,4)), (SWITCH(weekday(AP$4), 1, 0, 2, if(ISBLANK('2025'!$P349), 0, 1), 3, if(ISBLANK('2025'!$Q349), 0, 1), 4, if(ISBLANK('2025'!$R349), 0, 1), 5, if(ISBLANK('2025'!$S349), 0, 1), 6, if(ISBLANK('2025'!$T349), 0, 1), 7, 0))), 1, "")</f>
        <v/>
      </c>
      <c r="AQ385" s="1" t="str">
        <f>IF(AND(AND(AND(AQ$4&gt;='2025'!$L349,AQ$4&lt;='2025'!$M349), AQ$4&lt;&gt;DATE(2025,7,4)), (SWITCH(weekday(AQ$4), 1, 0, 2, if(ISBLANK('2025'!$P349), 0, 1), 3, if(ISBLANK('2025'!$Q349), 0, 1), 4, if(ISBLANK('2025'!$R349), 0, 1), 5, if(ISBLANK('2025'!$S349), 0, 1), 6, if(ISBLANK('2025'!$T349), 0, 1), 7, 0))), 1, "")</f>
        <v/>
      </c>
      <c r="AR385" s="1" t="str">
        <f>IF(AND(AND(AND(AR$4&gt;='2025'!$L349,AR$4&lt;='2025'!$M349), AR$4&lt;&gt;DATE(2025,7,4)), (SWITCH(weekday(AR$4), 1, 0, 2, if(ISBLANK('2025'!$P349), 0, 1), 3, if(ISBLANK('2025'!$Q349), 0, 1), 4, if(ISBLANK('2025'!$R349), 0, 1), 5, if(ISBLANK('2025'!$S349), 0, 1), 6, if(ISBLANK('2025'!$T349), 0, 1), 7, 0))), 1, "")</f>
        <v/>
      </c>
      <c r="AS385" s="1" t="str">
        <f>IF(AND(AND(AND(AS$4&gt;='2025'!$L349,AS$4&lt;='2025'!$M349), AS$4&lt;&gt;DATE(2025,7,4)), (SWITCH(weekday(AS$4), 1, 0, 2, if(ISBLANK('2025'!$P349), 0, 1), 3, if(ISBLANK('2025'!$Q349), 0, 1), 4, if(ISBLANK('2025'!$R349), 0, 1), 5, if(ISBLANK('2025'!$S349), 0, 1), 6, if(ISBLANK('2025'!$T349), 0, 1), 7, 0))), 1, "")</f>
        <v/>
      </c>
      <c r="AT385" s="1" t="str">
        <f>IF(AND(AND(AND(AT$4&gt;='2025'!$L349,AT$4&lt;='2025'!$M349), AT$4&lt;&gt;DATE(2025,7,4)), (SWITCH(weekday(AT$4), 1, 0, 2, if(ISBLANK('2025'!$P349), 0, 1), 3, if(ISBLANK('2025'!$Q349), 0, 1), 4, if(ISBLANK('2025'!$R349), 0, 1), 5, if(ISBLANK('2025'!$S349), 0, 1), 6, if(ISBLANK('2025'!$T349), 0, 1), 7, 0))), 1, "")</f>
        <v/>
      </c>
      <c r="AU385" s="1" t="str">
        <f>IF(AND(AND(AND(AU$4&gt;='2025'!$L349,AU$4&lt;='2025'!$M349), AU$4&lt;&gt;DATE(2025,7,4)), (SWITCH(weekday(AU$4), 1, 0, 2, if(ISBLANK('2025'!$P349), 0, 1), 3, if(ISBLANK('2025'!$Q349), 0, 1), 4, if(ISBLANK('2025'!$R349), 0, 1), 5, if(ISBLANK('2025'!$S349), 0, 1), 6, if(ISBLANK('2025'!$T349), 0, 1), 7, 0))), 1, "")</f>
        <v/>
      </c>
      <c r="AV385" s="1" t="str">
        <f>IF(AND(AND(AND(AV$4&gt;='2025'!$L349,AV$4&lt;='2025'!$M349), AV$4&lt;&gt;DATE(2025,7,4)), (SWITCH(weekday(AV$4), 1, 0, 2, if(ISBLANK('2025'!$P349), 0, 1), 3, if(ISBLANK('2025'!$Q349), 0, 1), 4, if(ISBLANK('2025'!$R349), 0, 1), 5, if(ISBLANK('2025'!$S349), 0, 1), 6, if(ISBLANK('2025'!$T349), 0, 1), 7, 0))), 1, "")</f>
        <v/>
      </c>
      <c r="AW385" s="1" t="str">
        <f>IF(AND(AND(AND(AW$4&gt;='2025'!$L349,AW$4&lt;='2025'!$M349), AW$4&lt;&gt;DATE(2025,7,4)), (SWITCH(weekday(AW$4), 1, 0, 2, if(ISBLANK('2025'!$P349), 0, 1), 3, if(ISBLANK('2025'!$Q349), 0, 1), 4, if(ISBLANK('2025'!$R349), 0, 1), 5, if(ISBLANK('2025'!$S349), 0, 1), 6, if(ISBLANK('2025'!$T349), 0, 1), 7, 0))), 1, "")</f>
        <v/>
      </c>
      <c r="AX385" s="1" t="str">
        <f>IF(AND(AND(AND(AX$4&gt;='2025'!$L349,AX$4&lt;='2025'!$M349), AX$4&lt;&gt;DATE(2025,7,4)), (SWITCH(weekday(AX$4), 1, 0, 2, if(ISBLANK('2025'!$P349), 0, 1), 3, if(ISBLANK('2025'!$Q349), 0, 1), 4, if(ISBLANK('2025'!$R349), 0, 1), 5, if(ISBLANK('2025'!$S349), 0, 1), 6, if(ISBLANK('2025'!$T349), 0, 1), 7, 0))), 1, "")</f>
        <v/>
      </c>
      <c r="AY385" s="1" t="str">
        <f>IF(AND(AND(AND(AY$4&gt;='2025'!$L349,AY$4&lt;='2025'!$M349), AY$4&lt;&gt;DATE(2025,7,4)), (SWITCH(weekday(AY$4), 1, 0, 2, if(ISBLANK('2025'!$P349), 0, 1), 3, if(ISBLANK('2025'!$Q349), 0, 1), 4, if(ISBLANK('2025'!$R349), 0, 1), 5, if(ISBLANK('2025'!$S349), 0, 1), 6, if(ISBLANK('2025'!$T349), 0, 1), 7, 0))), 1, "")</f>
        <v/>
      </c>
      <c r="AZ385" s="1" t="str">
        <f>IF(AND(AND(AND(AZ$4&gt;='2025'!$L349,AZ$4&lt;='2025'!$M349), AZ$4&lt;&gt;DATE(2025,7,4)), (SWITCH(weekday(AZ$4), 1, 0, 2, if(ISBLANK('2025'!$P349), 0, 1), 3, if(ISBLANK('2025'!$Q349), 0, 1), 4, if(ISBLANK('2025'!$R349), 0, 1), 5, if(ISBLANK('2025'!$S349), 0, 1), 6, if(ISBLANK('2025'!$T349), 0, 1), 7, 0))), 1, "")</f>
        <v/>
      </c>
      <c r="BA385" s="1" t="str">
        <f>IF(AND(AND(AND(BA$4&gt;='2025'!$L349,BA$4&lt;='2025'!$M349), BA$4&lt;&gt;DATE(2025,7,4)), (SWITCH(weekday(BA$4), 1, 0, 2, if(ISBLANK('2025'!$P349), 0, 1), 3, if(ISBLANK('2025'!$Q349), 0, 1), 4, if(ISBLANK('2025'!$R349), 0, 1), 5, if(ISBLANK('2025'!$S349), 0, 1), 6, if(ISBLANK('2025'!$T349), 0, 1), 7, 0))), 1, "")</f>
        <v/>
      </c>
      <c r="BB385" s="1" t="str">
        <f>IF(AND(AND(AND(BB$4&gt;='2025'!$L349,BB$4&lt;='2025'!$M349), BB$4&lt;&gt;DATE(2025,7,4)), (SWITCH(weekday(BB$4), 1, 0, 2, if(ISBLANK('2025'!$P349), 0, 1), 3, if(ISBLANK('2025'!$Q349), 0, 1), 4, if(ISBLANK('2025'!$R349), 0, 1), 5, if(ISBLANK('2025'!$S349), 0, 1), 6, if(ISBLANK('2025'!$T349), 0, 1), 7, 0))), 1, "")</f>
        <v/>
      </c>
      <c r="BC385" s="1" t="str">
        <f>IF(AND(AND(AND(BC$4&gt;='2025'!$L349,BC$4&lt;='2025'!$M349), BC$4&lt;&gt;DATE(2025,7,4)), (SWITCH(weekday(BC$4), 1, 0, 2, if(ISBLANK('2025'!$P349), 0, 1), 3, if(ISBLANK('2025'!$Q349), 0, 1), 4, if(ISBLANK('2025'!$R349), 0, 1), 5, if(ISBLANK('2025'!$S349), 0, 1), 6, if(ISBLANK('2025'!$T349), 0, 1), 7, 0))), 1, "")</f>
        <v/>
      </c>
      <c r="BD385" s="1" t="str">
        <f>IF(AND(AND(AND(BD$4&gt;='2025'!$L349,BD$4&lt;='2025'!$M349), BD$4&lt;&gt;DATE(2025,7,4)), (SWITCH(weekday(BD$4), 1, 0, 2, if(ISBLANK('2025'!$P349), 0, 1), 3, if(ISBLANK('2025'!$Q349), 0, 1), 4, if(ISBLANK('2025'!$R349), 0, 1), 5, if(ISBLANK('2025'!$S349), 0, 1), 6, if(ISBLANK('2025'!$T349), 0, 1), 7, 0))), 1, "")</f>
        <v/>
      </c>
      <c r="BE385" s="1" t="str">
        <f>IF(AND(AND(AND(BE$4&gt;='2025'!$L349,BE$4&lt;='2025'!$M349), BE$4&lt;&gt;DATE(2025,7,4)), (SWITCH(weekday(BE$4), 1, 0, 2, if(ISBLANK('2025'!$P349), 0, 1), 3, if(ISBLANK('2025'!$Q349), 0, 1), 4, if(ISBLANK('2025'!$R349), 0, 1), 5, if(ISBLANK('2025'!$S349), 0, 1), 6, if(ISBLANK('2025'!$T349), 0, 1), 7, 0))), 1, "")</f>
        <v/>
      </c>
    </row>
    <row r="386">
      <c r="A386" s="1">
        <f t="shared" si="3"/>
        <v>386</v>
      </c>
      <c r="B386" s="1" t="str">
        <f>'2025'!D350</f>
        <v/>
      </c>
      <c r="C386" s="1" t="str">
        <f>'2025'!H350</f>
        <v/>
      </c>
      <c r="D386" s="1" t="str">
        <f>IF(AND(AND(AND(D$4&gt;='2025'!$L350,D$4&lt;='2025'!$M350), D$4&lt;&gt;DATE(2025,7,4)), (SWITCH(weekday(D$4), 1, 0, 2, if(ISBLANK('2025'!$P350), 0, 1), 3, if(ISBLANK('2025'!$Q350), 0, 1), 4, if(ISBLANK('2025'!$R350), 0, 1), 5, if(ISBLANK('2025'!$S350), 0, 1), 6, if(ISBLANK('2025'!$T350), 0, 1), 7, 0))), 1, "")</f>
        <v/>
      </c>
      <c r="E386" s="1" t="str">
        <f>IF(AND(AND(AND(E$4&gt;='2025'!$L350,E$4&lt;='2025'!$M350), E$4&lt;&gt;DATE(2025,7,4)), (SWITCH(weekday(E$4), 1, 0, 2, if(ISBLANK('2025'!$P350), 0, 1), 3, if(ISBLANK('2025'!$Q350), 0, 1), 4, if(ISBLANK('2025'!$R350), 0, 1), 5, if(ISBLANK('2025'!$S350), 0, 1), 6, if(ISBLANK('2025'!$T350), 0, 1), 7, 0))), 1, "")</f>
        <v/>
      </c>
      <c r="F386" s="1" t="str">
        <f>IF(AND(AND(AND(F$4&gt;='2025'!$L350,F$4&lt;='2025'!$M350), F$4&lt;&gt;DATE(2025,7,4)), (SWITCH(weekday(F$4), 1, 0, 2, if(ISBLANK('2025'!$P350), 0, 1), 3, if(ISBLANK('2025'!$Q350), 0, 1), 4, if(ISBLANK('2025'!$R350), 0, 1), 5, if(ISBLANK('2025'!$S350), 0, 1), 6, if(ISBLANK('2025'!$T350), 0, 1), 7, 0))), 1, "")</f>
        <v/>
      </c>
      <c r="G386" s="1" t="str">
        <f>IF(AND(AND(AND(G$4&gt;='2025'!$L350,G$4&lt;='2025'!$M350), G$4&lt;&gt;DATE(2025,7,4)), (SWITCH(weekday(G$4), 1, 0, 2, if(ISBLANK('2025'!$P350), 0, 1), 3, if(ISBLANK('2025'!$Q350), 0, 1), 4, if(ISBLANK('2025'!$R350), 0, 1), 5, if(ISBLANK('2025'!$S350), 0, 1), 6, if(ISBLANK('2025'!$T350), 0, 1), 7, 0))), 1, "")</f>
        <v/>
      </c>
      <c r="H386" s="1" t="str">
        <f>IF(AND(AND(AND(H$4&gt;='2025'!$L350,H$4&lt;='2025'!$M350), H$4&lt;&gt;DATE(2025,7,4)), (SWITCH(weekday(H$4), 1, 0, 2, if(ISBLANK('2025'!$P350), 0, 1), 3, if(ISBLANK('2025'!$Q350), 0, 1), 4, if(ISBLANK('2025'!$R350), 0, 1), 5, if(ISBLANK('2025'!$S350), 0, 1), 6, if(ISBLANK('2025'!$T350), 0, 1), 7, 0))), 1, "")</f>
        <v/>
      </c>
      <c r="I386" s="1" t="str">
        <f>IF(AND(AND(AND(I$4&gt;='2025'!$L350,I$4&lt;='2025'!$M350), I$4&lt;&gt;DATE(2025,7,4)), (SWITCH(weekday(I$4), 1, 0, 2, if(ISBLANK('2025'!$P350), 0, 1), 3, if(ISBLANK('2025'!$Q350), 0, 1), 4, if(ISBLANK('2025'!$R350), 0, 1), 5, if(ISBLANK('2025'!$S350), 0, 1), 6, if(ISBLANK('2025'!$T350), 0, 1), 7, 0))), 1, "")</f>
        <v/>
      </c>
      <c r="J386" s="1" t="str">
        <f>IF(AND(AND(AND(J$4&gt;='2025'!$L350,J$4&lt;='2025'!$M350), J$4&lt;&gt;DATE(2025,7,4)), (SWITCH(weekday(J$4), 1, 0, 2, if(ISBLANK('2025'!$P350), 0, 1), 3, if(ISBLANK('2025'!$Q350), 0, 1), 4, if(ISBLANK('2025'!$R350), 0, 1), 5, if(ISBLANK('2025'!$S350), 0, 1), 6, if(ISBLANK('2025'!$T350), 0, 1), 7, 0))), 1, "")</f>
        <v/>
      </c>
      <c r="K386" s="1" t="str">
        <f>IF(AND(AND(AND(K$4&gt;='2025'!$L350,K$4&lt;='2025'!$M350), K$4&lt;&gt;DATE(2025,7,4)), (SWITCH(weekday(K$4), 1, 0, 2, if(ISBLANK('2025'!$P350), 0, 1), 3, if(ISBLANK('2025'!$Q350), 0, 1), 4, if(ISBLANK('2025'!$R350), 0, 1), 5, if(ISBLANK('2025'!$S350), 0, 1), 6, if(ISBLANK('2025'!$T350), 0, 1), 7, 0))), 1, "")</f>
        <v/>
      </c>
      <c r="L386" s="1" t="str">
        <f>IF(AND(AND(AND(L$4&gt;='2025'!$L350,L$4&lt;='2025'!$M350), L$4&lt;&gt;DATE(2025,7,4)), (SWITCH(weekday(L$4), 1, 0, 2, if(ISBLANK('2025'!$P350), 0, 1), 3, if(ISBLANK('2025'!$Q350), 0, 1), 4, if(ISBLANK('2025'!$R350), 0, 1), 5, if(ISBLANK('2025'!$S350), 0, 1), 6, if(ISBLANK('2025'!$T350), 0, 1), 7, 0))), 1, "")</f>
        <v/>
      </c>
      <c r="M386" s="1" t="str">
        <f>IF(AND(AND(AND(M$4&gt;='2025'!$L350,M$4&lt;='2025'!$M350), M$4&lt;&gt;DATE(2025,7,4)), (SWITCH(weekday(M$4), 1, 0, 2, if(ISBLANK('2025'!$P350), 0, 1), 3, if(ISBLANK('2025'!$Q350), 0, 1), 4, if(ISBLANK('2025'!$R350), 0, 1), 5, if(ISBLANK('2025'!$S350), 0, 1), 6, if(ISBLANK('2025'!$T350), 0, 1), 7, 0))), 1, "")</f>
        <v/>
      </c>
      <c r="N386" s="1" t="str">
        <f>IF(AND(AND(AND(N$4&gt;='2025'!$L350,N$4&lt;='2025'!$M350), N$4&lt;&gt;DATE(2025,7,4)), (SWITCH(weekday(N$4), 1, 0, 2, if(ISBLANK('2025'!$P350), 0, 1), 3, if(ISBLANK('2025'!$Q350), 0, 1), 4, if(ISBLANK('2025'!$R350), 0, 1), 5, if(ISBLANK('2025'!$S350), 0, 1), 6, if(ISBLANK('2025'!$T350), 0, 1), 7, 0))), 1, "")</f>
        <v/>
      </c>
      <c r="O386" s="1" t="str">
        <f>IF(AND(AND(AND(O$4&gt;='2025'!$L350,O$4&lt;='2025'!$M350), O$4&lt;&gt;DATE(2025,7,4)), (SWITCH(weekday(O$4), 1, 0, 2, if(ISBLANK('2025'!$P350), 0, 1), 3, if(ISBLANK('2025'!$Q350), 0, 1), 4, if(ISBLANK('2025'!$R350), 0, 1), 5, if(ISBLANK('2025'!$S350), 0, 1), 6, if(ISBLANK('2025'!$T350), 0, 1), 7, 0))), 1, "")</f>
        <v/>
      </c>
      <c r="P386" s="1" t="str">
        <f>IF(AND(AND(AND(P$4&gt;='2025'!$L350,P$4&lt;='2025'!$M350), P$4&lt;&gt;DATE(2025,7,4)), (SWITCH(weekday(P$4), 1, 0, 2, if(ISBLANK('2025'!$P350), 0, 1), 3, if(ISBLANK('2025'!$Q350), 0, 1), 4, if(ISBLANK('2025'!$R350), 0, 1), 5, if(ISBLANK('2025'!$S350), 0, 1), 6, if(ISBLANK('2025'!$T350), 0, 1), 7, 0))), 1, "")</f>
        <v/>
      </c>
      <c r="Q386" s="1" t="str">
        <f>IF(AND(AND(AND(Q$4&gt;='2025'!$L350,Q$4&lt;='2025'!$M350), Q$4&lt;&gt;DATE(2025,7,4)), (SWITCH(weekday(Q$4), 1, 0, 2, if(ISBLANK('2025'!$P350), 0, 1), 3, if(ISBLANK('2025'!$Q350), 0, 1), 4, if(ISBLANK('2025'!$R350), 0, 1), 5, if(ISBLANK('2025'!$S350), 0, 1), 6, if(ISBLANK('2025'!$T350), 0, 1), 7, 0))), 1, "")</f>
        <v/>
      </c>
      <c r="R386" s="1" t="str">
        <f>IF(AND(AND(AND(R$4&gt;='2025'!$L350,R$4&lt;='2025'!$M350), R$4&lt;&gt;DATE(2025,7,4)), (SWITCH(weekday(R$4), 1, 0, 2, if(ISBLANK('2025'!$P350), 0, 1), 3, if(ISBLANK('2025'!$Q350), 0, 1), 4, if(ISBLANK('2025'!$R350), 0, 1), 5, if(ISBLANK('2025'!$S350), 0, 1), 6, if(ISBLANK('2025'!$T350), 0, 1), 7, 0))), 1, "")</f>
        <v/>
      </c>
      <c r="S386" s="1" t="str">
        <f>IF(AND(AND(AND(S$4&gt;='2025'!$L350,S$4&lt;='2025'!$M350), S$4&lt;&gt;DATE(2025,7,4)), (SWITCH(weekday(S$4), 1, 0, 2, if(ISBLANK('2025'!$P350), 0, 1), 3, if(ISBLANK('2025'!$Q350), 0, 1), 4, if(ISBLANK('2025'!$R350), 0, 1), 5, if(ISBLANK('2025'!$S350), 0, 1), 6, if(ISBLANK('2025'!$T350), 0, 1), 7, 0))), 1, "")</f>
        <v/>
      </c>
      <c r="T386" s="1" t="str">
        <f>IF(AND(AND(AND(T$4&gt;='2025'!$L350,T$4&lt;='2025'!$M350), T$4&lt;&gt;DATE(2025,7,4)), (SWITCH(weekday(T$4), 1, 0, 2, if(ISBLANK('2025'!$P350), 0, 1), 3, if(ISBLANK('2025'!$Q350), 0, 1), 4, if(ISBLANK('2025'!$R350), 0, 1), 5, if(ISBLANK('2025'!$S350), 0, 1), 6, if(ISBLANK('2025'!$T350), 0, 1), 7, 0))), 1, "")</f>
        <v/>
      </c>
      <c r="U386" s="1" t="str">
        <f>IF(AND(AND(AND(U$4&gt;='2025'!$L350,U$4&lt;='2025'!$M350), U$4&lt;&gt;DATE(2025,7,4)), (SWITCH(weekday(U$4), 1, 0, 2, if(ISBLANK('2025'!$P350), 0, 1), 3, if(ISBLANK('2025'!$Q350), 0, 1), 4, if(ISBLANK('2025'!$R350), 0, 1), 5, if(ISBLANK('2025'!$S350), 0, 1), 6, if(ISBLANK('2025'!$T350), 0, 1), 7, 0))), 1, "")</f>
        <v/>
      </c>
      <c r="V386" s="1" t="str">
        <f>IF(AND(AND(AND(V$4&gt;='2025'!$L350,V$4&lt;='2025'!$M350), V$4&lt;&gt;DATE(2025,7,4)), (SWITCH(weekday(V$4), 1, 0, 2, if(ISBLANK('2025'!$P350), 0, 1), 3, if(ISBLANK('2025'!$Q350), 0, 1), 4, if(ISBLANK('2025'!$R350), 0, 1), 5, if(ISBLANK('2025'!$S350), 0, 1), 6, if(ISBLANK('2025'!$T350), 0, 1), 7, 0))), 1, "")</f>
        <v/>
      </c>
      <c r="W386" s="1" t="str">
        <f>IF(AND(AND(AND(W$4&gt;='2025'!$L350,W$4&lt;='2025'!$M350), W$4&lt;&gt;DATE(2025,7,4)), (SWITCH(weekday(W$4), 1, 0, 2, if(ISBLANK('2025'!$P350), 0, 1), 3, if(ISBLANK('2025'!$Q350), 0, 1), 4, if(ISBLANK('2025'!$R350), 0, 1), 5, if(ISBLANK('2025'!$S350), 0, 1), 6, if(ISBLANK('2025'!$T350), 0, 1), 7, 0))), 1, "")</f>
        <v/>
      </c>
      <c r="X386" s="1" t="str">
        <f>IF(AND(AND(AND(X$4&gt;='2025'!$L350,X$4&lt;='2025'!$M350), X$4&lt;&gt;DATE(2025,7,4)), (SWITCH(weekday(X$4), 1, 0, 2, if(ISBLANK('2025'!$P350), 0, 1), 3, if(ISBLANK('2025'!$Q350), 0, 1), 4, if(ISBLANK('2025'!$R350), 0, 1), 5, if(ISBLANK('2025'!$S350), 0, 1), 6, if(ISBLANK('2025'!$T350), 0, 1), 7, 0))), 1, "")</f>
        <v/>
      </c>
      <c r="Y386" s="1" t="str">
        <f>IF(AND(AND(AND(Y$4&gt;='2025'!$L350,Y$4&lt;='2025'!$M350), Y$4&lt;&gt;DATE(2025,7,4)), (SWITCH(weekday(Y$4), 1, 0, 2, if(ISBLANK('2025'!$P350), 0, 1), 3, if(ISBLANK('2025'!$Q350), 0, 1), 4, if(ISBLANK('2025'!$R350), 0, 1), 5, if(ISBLANK('2025'!$S350), 0, 1), 6, if(ISBLANK('2025'!$T350), 0, 1), 7, 0))), 1, "")</f>
        <v/>
      </c>
      <c r="Z386" s="1" t="str">
        <f>IF(AND(AND(AND(Z$4&gt;='2025'!$L350,Z$4&lt;='2025'!$M350), Z$4&lt;&gt;DATE(2025,7,4)), (SWITCH(weekday(Z$4), 1, 0, 2, if(ISBLANK('2025'!$P350), 0, 1), 3, if(ISBLANK('2025'!$Q350), 0, 1), 4, if(ISBLANK('2025'!$R350), 0, 1), 5, if(ISBLANK('2025'!$S350), 0, 1), 6, if(ISBLANK('2025'!$T350), 0, 1), 7, 0))), 1, "")</f>
        <v/>
      </c>
      <c r="AA386" s="1" t="str">
        <f>IF(AND(AND(AND(AA$4&gt;='2025'!$L350,AA$4&lt;='2025'!$M350), AA$4&lt;&gt;DATE(2025,7,4)), (SWITCH(weekday(AA$4), 1, 0, 2, if(ISBLANK('2025'!$P350), 0, 1), 3, if(ISBLANK('2025'!$Q350), 0, 1), 4, if(ISBLANK('2025'!$R350), 0, 1), 5, if(ISBLANK('2025'!$S350), 0, 1), 6, if(ISBLANK('2025'!$T350), 0, 1), 7, 0))), 1, "")</f>
        <v/>
      </c>
      <c r="AB386" s="1" t="str">
        <f>IF(AND(AND(AND(AB$4&gt;='2025'!$L350,AB$4&lt;='2025'!$M350), AB$4&lt;&gt;DATE(2025,7,4)), (SWITCH(weekday(AB$4), 1, 0, 2, if(ISBLANK('2025'!$P350), 0, 1), 3, if(ISBLANK('2025'!$Q350), 0, 1), 4, if(ISBLANK('2025'!$R350), 0, 1), 5, if(ISBLANK('2025'!$S350), 0, 1), 6, if(ISBLANK('2025'!$T350), 0, 1), 7, 0))), 1, "")</f>
        <v/>
      </c>
      <c r="AC386" s="1" t="str">
        <f>IF(AND(AND(AND(AC$4&gt;='2025'!$L350,AC$4&lt;='2025'!$M350), AC$4&lt;&gt;DATE(2025,7,4)), (SWITCH(weekday(AC$4), 1, 0, 2, if(ISBLANK('2025'!$P350), 0, 1), 3, if(ISBLANK('2025'!$Q350), 0, 1), 4, if(ISBLANK('2025'!$R350), 0, 1), 5, if(ISBLANK('2025'!$S350), 0, 1), 6, if(ISBLANK('2025'!$T350), 0, 1), 7, 0))), 1, "")</f>
        <v/>
      </c>
      <c r="AD386" s="1" t="str">
        <f>IF(AND(AND(AND(AD$4&gt;='2025'!$L350,AD$4&lt;='2025'!$M350), AD$4&lt;&gt;DATE(2025,7,4)), (SWITCH(weekday(AD$4), 1, 0, 2, if(ISBLANK('2025'!$P350), 0, 1), 3, if(ISBLANK('2025'!$Q350), 0, 1), 4, if(ISBLANK('2025'!$R350), 0, 1), 5, if(ISBLANK('2025'!$S350), 0, 1), 6, if(ISBLANK('2025'!$T350), 0, 1), 7, 0))), 1, "")</f>
        <v/>
      </c>
      <c r="AE386" s="1" t="str">
        <f>IF(AND(AND(AND(AE$4&gt;='2025'!$L350,AE$4&lt;='2025'!$M350), AE$4&lt;&gt;DATE(2025,7,4)), (SWITCH(weekday(AE$4), 1, 0, 2, if(ISBLANK('2025'!$P350), 0, 1), 3, if(ISBLANK('2025'!$Q350), 0, 1), 4, if(ISBLANK('2025'!$R350), 0, 1), 5, if(ISBLANK('2025'!$S350), 0, 1), 6, if(ISBLANK('2025'!$T350), 0, 1), 7, 0))), 1, "")</f>
        <v/>
      </c>
      <c r="AF386" s="1" t="str">
        <f>IF(AND(AND(AND(AF$4&gt;='2025'!$L350,AF$4&lt;='2025'!$M350), AF$4&lt;&gt;DATE(2025,7,4)), (SWITCH(weekday(AF$4), 1, 0, 2, if(ISBLANK('2025'!$P350), 0, 1), 3, if(ISBLANK('2025'!$Q350), 0, 1), 4, if(ISBLANK('2025'!$R350), 0, 1), 5, if(ISBLANK('2025'!$S350), 0, 1), 6, if(ISBLANK('2025'!$T350), 0, 1), 7, 0))), 1, "")</f>
        <v/>
      </c>
      <c r="AG386" s="1" t="str">
        <f>IF(AND(AND(AND(AG$4&gt;='2025'!$L350,AG$4&lt;='2025'!$M350), AG$4&lt;&gt;DATE(2025,7,4)), (SWITCH(weekday(AG$4), 1, 0, 2, if(ISBLANK('2025'!$P350), 0, 1), 3, if(ISBLANK('2025'!$Q350), 0, 1), 4, if(ISBLANK('2025'!$R350), 0, 1), 5, if(ISBLANK('2025'!$S350), 0, 1), 6, if(ISBLANK('2025'!$T350), 0, 1), 7, 0))), 1, "")</f>
        <v/>
      </c>
      <c r="AH386" s="1" t="str">
        <f>IF(AND(AND(AND(AH$4&gt;='2025'!$L350,AH$4&lt;='2025'!$M350), AH$4&lt;&gt;DATE(2025,7,4)), (SWITCH(weekday(AH$4), 1, 0, 2, if(ISBLANK('2025'!$P350), 0, 1), 3, if(ISBLANK('2025'!$Q350), 0, 1), 4, if(ISBLANK('2025'!$R350), 0, 1), 5, if(ISBLANK('2025'!$S350), 0, 1), 6, if(ISBLANK('2025'!$T350), 0, 1), 7, 0))), 1, "")</f>
        <v/>
      </c>
      <c r="AI386" s="1" t="str">
        <f>IF(AND(AND(AND(AI$4&gt;='2025'!$L350,AI$4&lt;='2025'!$M350), AI$4&lt;&gt;DATE(2025,7,4)), (SWITCH(weekday(AI$4), 1, 0, 2, if(ISBLANK('2025'!$P350), 0, 1), 3, if(ISBLANK('2025'!$Q350), 0, 1), 4, if(ISBLANK('2025'!$R350), 0, 1), 5, if(ISBLANK('2025'!$S350), 0, 1), 6, if(ISBLANK('2025'!$T350), 0, 1), 7, 0))), 1, "")</f>
        <v/>
      </c>
      <c r="AJ386" s="1" t="str">
        <f>IF(AND(AND(AND(AJ$4&gt;='2025'!$L350,AJ$4&lt;='2025'!$M350), AJ$4&lt;&gt;DATE(2025,7,4)), (SWITCH(weekday(AJ$4), 1, 0, 2, if(ISBLANK('2025'!$P350), 0, 1), 3, if(ISBLANK('2025'!$Q350), 0, 1), 4, if(ISBLANK('2025'!$R350), 0, 1), 5, if(ISBLANK('2025'!$S350), 0, 1), 6, if(ISBLANK('2025'!$T350), 0, 1), 7, 0))), 1, "")</f>
        <v/>
      </c>
      <c r="AK386" s="1" t="str">
        <f>IF(AND(AND(AND(AK$4&gt;='2025'!$L350,AK$4&lt;='2025'!$M350), AK$4&lt;&gt;DATE(2025,7,4)), (SWITCH(weekday(AK$4), 1, 0, 2, if(ISBLANK('2025'!$P350), 0, 1), 3, if(ISBLANK('2025'!$Q350), 0, 1), 4, if(ISBLANK('2025'!$R350), 0, 1), 5, if(ISBLANK('2025'!$S350), 0, 1), 6, if(ISBLANK('2025'!$T350), 0, 1), 7, 0))), 1, "")</f>
        <v/>
      </c>
      <c r="AL386" s="1" t="str">
        <f>IF(AND(AND(AND(AL$4&gt;='2025'!$L350,AL$4&lt;='2025'!$M350), AL$4&lt;&gt;DATE(2025,7,4)), (SWITCH(weekday(AL$4), 1, 0, 2, if(ISBLANK('2025'!$P350), 0, 1), 3, if(ISBLANK('2025'!$Q350), 0, 1), 4, if(ISBLANK('2025'!$R350), 0, 1), 5, if(ISBLANK('2025'!$S350), 0, 1), 6, if(ISBLANK('2025'!$T350), 0, 1), 7, 0))), 1, "")</f>
        <v/>
      </c>
      <c r="AM386" s="1" t="str">
        <f>IF(AND(AND(AND(AM$4&gt;='2025'!$L350,AM$4&lt;='2025'!$M350), AM$4&lt;&gt;DATE(2025,7,4)), (SWITCH(weekday(AM$4), 1, 0, 2, if(ISBLANK('2025'!$P350), 0, 1), 3, if(ISBLANK('2025'!$Q350), 0, 1), 4, if(ISBLANK('2025'!$R350), 0, 1), 5, if(ISBLANK('2025'!$S350), 0, 1), 6, if(ISBLANK('2025'!$T350), 0, 1), 7, 0))), 1, "")</f>
        <v/>
      </c>
      <c r="AN386" s="1" t="str">
        <f>IF(AND(AND(AND(AN$4&gt;='2025'!$L350,AN$4&lt;='2025'!$M350), AN$4&lt;&gt;DATE(2025,7,4)), (SWITCH(weekday(AN$4), 1, 0, 2, if(ISBLANK('2025'!$P350), 0, 1), 3, if(ISBLANK('2025'!$Q350), 0, 1), 4, if(ISBLANK('2025'!$R350), 0, 1), 5, if(ISBLANK('2025'!$S350), 0, 1), 6, if(ISBLANK('2025'!$T350), 0, 1), 7, 0))), 1, "")</f>
        <v/>
      </c>
      <c r="AO386" s="1" t="str">
        <f>IF(AND(AND(AND(AO$4&gt;='2025'!$L350,AO$4&lt;='2025'!$M350), AO$4&lt;&gt;DATE(2025,7,4)), (SWITCH(weekday(AO$4), 1, 0, 2, if(ISBLANK('2025'!$P350), 0, 1), 3, if(ISBLANK('2025'!$Q350), 0, 1), 4, if(ISBLANK('2025'!$R350), 0, 1), 5, if(ISBLANK('2025'!$S350), 0, 1), 6, if(ISBLANK('2025'!$T350), 0, 1), 7, 0))), 1, "")</f>
        <v/>
      </c>
      <c r="AP386" s="1" t="str">
        <f>IF(AND(AND(AND(AP$4&gt;='2025'!$L350,AP$4&lt;='2025'!$M350), AP$4&lt;&gt;DATE(2025,7,4)), (SWITCH(weekday(AP$4), 1, 0, 2, if(ISBLANK('2025'!$P350), 0, 1), 3, if(ISBLANK('2025'!$Q350), 0, 1), 4, if(ISBLANK('2025'!$R350), 0, 1), 5, if(ISBLANK('2025'!$S350), 0, 1), 6, if(ISBLANK('2025'!$T350), 0, 1), 7, 0))), 1, "")</f>
        <v/>
      </c>
      <c r="AQ386" s="1" t="str">
        <f>IF(AND(AND(AND(AQ$4&gt;='2025'!$L350,AQ$4&lt;='2025'!$M350), AQ$4&lt;&gt;DATE(2025,7,4)), (SWITCH(weekday(AQ$4), 1, 0, 2, if(ISBLANK('2025'!$P350), 0, 1), 3, if(ISBLANK('2025'!$Q350), 0, 1), 4, if(ISBLANK('2025'!$R350), 0, 1), 5, if(ISBLANK('2025'!$S350), 0, 1), 6, if(ISBLANK('2025'!$T350), 0, 1), 7, 0))), 1, "")</f>
        <v/>
      </c>
      <c r="AR386" s="1" t="str">
        <f>IF(AND(AND(AND(AR$4&gt;='2025'!$L350,AR$4&lt;='2025'!$M350), AR$4&lt;&gt;DATE(2025,7,4)), (SWITCH(weekday(AR$4), 1, 0, 2, if(ISBLANK('2025'!$P350), 0, 1), 3, if(ISBLANK('2025'!$Q350), 0, 1), 4, if(ISBLANK('2025'!$R350), 0, 1), 5, if(ISBLANK('2025'!$S350), 0, 1), 6, if(ISBLANK('2025'!$T350), 0, 1), 7, 0))), 1, "")</f>
        <v/>
      </c>
      <c r="AS386" s="1" t="str">
        <f>IF(AND(AND(AND(AS$4&gt;='2025'!$L350,AS$4&lt;='2025'!$M350), AS$4&lt;&gt;DATE(2025,7,4)), (SWITCH(weekday(AS$4), 1, 0, 2, if(ISBLANK('2025'!$P350), 0, 1), 3, if(ISBLANK('2025'!$Q350), 0, 1), 4, if(ISBLANK('2025'!$R350), 0, 1), 5, if(ISBLANK('2025'!$S350), 0, 1), 6, if(ISBLANK('2025'!$T350), 0, 1), 7, 0))), 1, "")</f>
        <v/>
      </c>
      <c r="AT386" s="1" t="str">
        <f>IF(AND(AND(AND(AT$4&gt;='2025'!$L350,AT$4&lt;='2025'!$M350), AT$4&lt;&gt;DATE(2025,7,4)), (SWITCH(weekday(AT$4), 1, 0, 2, if(ISBLANK('2025'!$P350), 0, 1), 3, if(ISBLANK('2025'!$Q350), 0, 1), 4, if(ISBLANK('2025'!$R350), 0, 1), 5, if(ISBLANK('2025'!$S350), 0, 1), 6, if(ISBLANK('2025'!$T350), 0, 1), 7, 0))), 1, "")</f>
        <v/>
      </c>
      <c r="AU386" s="1" t="str">
        <f>IF(AND(AND(AND(AU$4&gt;='2025'!$L350,AU$4&lt;='2025'!$M350), AU$4&lt;&gt;DATE(2025,7,4)), (SWITCH(weekday(AU$4), 1, 0, 2, if(ISBLANK('2025'!$P350), 0, 1), 3, if(ISBLANK('2025'!$Q350), 0, 1), 4, if(ISBLANK('2025'!$R350), 0, 1), 5, if(ISBLANK('2025'!$S350), 0, 1), 6, if(ISBLANK('2025'!$T350), 0, 1), 7, 0))), 1, "")</f>
        <v/>
      </c>
      <c r="AV386" s="1" t="str">
        <f>IF(AND(AND(AND(AV$4&gt;='2025'!$L350,AV$4&lt;='2025'!$M350), AV$4&lt;&gt;DATE(2025,7,4)), (SWITCH(weekday(AV$4), 1, 0, 2, if(ISBLANK('2025'!$P350), 0, 1), 3, if(ISBLANK('2025'!$Q350), 0, 1), 4, if(ISBLANK('2025'!$R350), 0, 1), 5, if(ISBLANK('2025'!$S350), 0, 1), 6, if(ISBLANK('2025'!$T350), 0, 1), 7, 0))), 1, "")</f>
        <v/>
      </c>
      <c r="AW386" s="1" t="str">
        <f>IF(AND(AND(AND(AW$4&gt;='2025'!$L350,AW$4&lt;='2025'!$M350), AW$4&lt;&gt;DATE(2025,7,4)), (SWITCH(weekday(AW$4), 1, 0, 2, if(ISBLANK('2025'!$P350), 0, 1), 3, if(ISBLANK('2025'!$Q350), 0, 1), 4, if(ISBLANK('2025'!$R350), 0, 1), 5, if(ISBLANK('2025'!$S350), 0, 1), 6, if(ISBLANK('2025'!$T350), 0, 1), 7, 0))), 1, "")</f>
        <v/>
      </c>
      <c r="AX386" s="1" t="str">
        <f>IF(AND(AND(AND(AX$4&gt;='2025'!$L350,AX$4&lt;='2025'!$M350), AX$4&lt;&gt;DATE(2025,7,4)), (SWITCH(weekday(AX$4), 1, 0, 2, if(ISBLANK('2025'!$P350), 0, 1), 3, if(ISBLANK('2025'!$Q350), 0, 1), 4, if(ISBLANK('2025'!$R350), 0, 1), 5, if(ISBLANK('2025'!$S350), 0, 1), 6, if(ISBLANK('2025'!$T350), 0, 1), 7, 0))), 1, "")</f>
        <v/>
      </c>
      <c r="AY386" s="1" t="str">
        <f>IF(AND(AND(AND(AY$4&gt;='2025'!$L350,AY$4&lt;='2025'!$M350), AY$4&lt;&gt;DATE(2025,7,4)), (SWITCH(weekday(AY$4), 1, 0, 2, if(ISBLANK('2025'!$P350), 0, 1), 3, if(ISBLANK('2025'!$Q350), 0, 1), 4, if(ISBLANK('2025'!$R350), 0, 1), 5, if(ISBLANK('2025'!$S350), 0, 1), 6, if(ISBLANK('2025'!$T350), 0, 1), 7, 0))), 1, "")</f>
        <v/>
      </c>
      <c r="AZ386" s="1" t="str">
        <f>IF(AND(AND(AND(AZ$4&gt;='2025'!$L350,AZ$4&lt;='2025'!$M350), AZ$4&lt;&gt;DATE(2025,7,4)), (SWITCH(weekday(AZ$4), 1, 0, 2, if(ISBLANK('2025'!$P350), 0, 1), 3, if(ISBLANK('2025'!$Q350), 0, 1), 4, if(ISBLANK('2025'!$R350), 0, 1), 5, if(ISBLANK('2025'!$S350), 0, 1), 6, if(ISBLANK('2025'!$T350), 0, 1), 7, 0))), 1, "")</f>
        <v/>
      </c>
      <c r="BA386" s="1" t="str">
        <f>IF(AND(AND(AND(BA$4&gt;='2025'!$L350,BA$4&lt;='2025'!$M350), BA$4&lt;&gt;DATE(2025,7,4)), (SWITCH(weekday(BA$4), 1, 0, 2, if(ISBLANK('2025'!$P350), 0, 1), 3, if(ISBLANK('2025'!$Q350), 0, 1), 4, if(ISBLANK('2025'!$R350), 0, 1), 5, if(ISBLANK('2025'!$S350), 0, 1), 6, if(ISBLANK('2025'!$T350), 0, 1), 7, 0))), 1, "")</f>
        <v/>
      </c>
      <c r="BB386" s="1" t="str">
        <f>IF(AND(AND(AND(BB$4&gt;='2025'!$L350,BB$4&lt;='2025'!$M350), BB$4&lt;&gt;DATE(2025,7,4)), (SWITCH(weekday(BB$4), 1, 0, 2, if(ISBLANK('2025'!$P350), 0, 1), 3, if(ISBLANK('2025'!$Q350), 0, 1), 4, if(ISBLANK('2025'!$R350), 0, 1), 5, if(ISBLANK('2025'!$S350), 0, 1), 6, if(ISBLANK('2025'!$T350), 0, 1), 7, 0))), 1, "")</f>
        <v/>
      </c>
      <c r="BC386" s="1" t="str">
        <f>IF(AND(AND(AND(BC$4&gt;='2025'!$L350,BC$4&lt;='2025'!$M350), BC$4&lt;&gt;DATE(2025,7,4)), (SWITCH(weekday(BC$4), 1, 0, 2, if(ISBLANK('2025'!$P350), 0, 1), 3, if(ISBLANK('2025'!$Q350), 0, 1), 4, if(ISBLANK('2025'!$R350), 0, 1), 5, if(ISBLANK('2025'!$S350), 0, 1), 6, if(ISBLANK('2025'!$T350), 0, 1), 7, 0))), 1, "")</f>
        <v/>
      </c>
      <c r="BD386" s="1" t="str">
        <f>IF(AND(AND(AND(BD$4&gt;='2025'!$L350,BD$4&lt;='2025'!$M350), BD$4&lt;&gt;DATE(2025,7,4)), (SWITCH(weekday(BD$4), 1, 0, 2, if(ISBLANK('2025'!$P350), 0, 1), 3, if(ISBLANK('2025'!$Q350), 0, 1), 4, if(ISBLANK('2025'!$R350), 0, 1), 5, if(ISBLANK('2025'!$S350), 0, 1), 6, if(ISBLANK('2025'!$T350), 0, 1), 7, 0))), 1, "")</f>
        <v/>
      </c>
      <c r="BE386" s="1" t="str">
        <f>IF(AND(AND(AND(BE$4&gt;='2025'!$L350,BE$4&lt;='2025'!$M350), BE$4&lt;&gt;DATE(2025,7,4)), (SWITCH(weekday(BE$4), 1, 0, 2, if(ISBLANK('2025'!$P350), 0, 1), 3, if(ISBLANK('2025'!$Q350), 0, 1), 4, if(ISBLANK('2025'!$R350), 0, 1), 5, if(ISBLANK('2025'!$S350), 0, 1), 6, if(ISBLANK('2025'!$T350), 0, 1), 7, 0))), 1, "")</f>
        <v/>
      </c>
    </row>
    <row r="387">
      <c r="A387" s="1">
        <f t="shared" si="3"/>
        <v>387</v>
      </c>
      <c r="B387" s="1" t="str">
        <f>'2025'!D351</f>
        <v/>
      </c>
      <c r="C387" s="1" t="str">
        <f>'2025'!H351</f>
        <v/>
      </c>
      <c r="D387" s="1" t="str">
        <f>IF(AND(AND(AND(D$4&gt;='2025'!$L351,D$4&lt;='2025'!$M351), D$4&lt;&gt;DATE(2025,7,4)), (SWITCH(weekday(D$4), 1, 0, 2, if(ISBLANK('2025'!$P351), 0, 1), 3, if(ISBLANK('2025'!$Q351), 0, 1), 4, if(ISBLANK('2025'!$R351), 0, 1), 5, if(ISBLANK('2025'!$S351), 0, 1), 6, if(ISBLANK('2025'!$T351), 0, 1), 7, 0))), 1, "")</f>
        <v/>
      </c>
      <c r="E387" s="1" t="str">
        <f>IF(AND(AND(AND(E$4&gt;='2025'!$L351,E$4&lt;='2025'!$M351), E$4&lt;&gt;DATE(2025,7,4)), (SWITCH(weekday(E$4), 1, 0, 2, if(ISBLANK('2025'!$P351), 0, 1), 3, if(ISBLANK('2025'!$Q351), 0, 1), 4, if(ISBLANK('2025'!$R351), 0, 1), 5, if(ISBLANK('2025'!$S351), 0, 1), 6, if(ISBLANK('2025'!$T351), 0, 1), 7, 0))), 1, "")</f>
        <v/>
      </c>
      <c r="F387" s="1" t="str">
        <f>IF(AND(AND(AND(F$4&gt;='2025'!$L351,F$4&lt;='2025'!$M351), F$4&lt;&gt;DATE(2025,7,4)), (SWITCH(weekday(F$4), 1, 0, 2, if(ISBLANK('2025'!$P351), 0, 1), 3, if(ISBLANK('2025'!$Q351), 0, 1), 4, if(ISBLANK('2025'!$R351), 0, 1), 5, if(ISBLANK('2025'!$S351), 0, 1), 6, if(ISBLANK('2025'!$T351), 0, 1), 7, 0))), 1, "")</f>
        <v/>
      </c>
      <c r="G387" s="1" t="str">
        <f>IF(AND(AND(AND(G$4&gt;='2025'!$L351,G$4&lt;='2025'!$M351), G$4&lt;&gt;DATE(2025,7,4)), (SWITCH(weekday(G$4), 1, 0, 2, if(ISBLANK('2025'!$P351), 0, 1), 3, if(ISBLANK('2025'!$Q351), 0, 1), 4, if(ISBLANK('2025'!$R351), 0, 1), 5, if(ISBLANK('2025'!$S351), 0, 1), 6, if(ISBLANK('2025'!$T351), 0, 1), 7, 0))), 1, "")</f>
        <v/>
      </c>
      <c r="H387" s="1" t="str">
        <f>IF(AND(AND(AND(H$4&gt;='2025'!$L351,H$4&lt;='2025'!$M351), H$4&lt;&gt;DATE(2025,7,4)), (SWITCH(weekday(H$4), 1, 0, 2, if(ISBLANK('2025'!$P351), 0, 1), 3, if(ISBLANK('2025'!$Q351), 0, 1), 4, if(ISBLANK('2025'!$R351), 0, 1), 5, if(ISBLANK('2025'!$S351), 0, 1), 6, if(ISBLANK('2025'!$T351), 0, 1), 7, 0))), 1, "")</f>
        <v/>
      </c>
      <c r="I387" s="1" t="str">
        <f>IF(AND(AND(AND(I$4&gt;='2025'!$L351,I$4&lt;='2025'!$M351), I$4&lt;&gt;DATE(2025,7,4)), (SWITCH(weekday(I$4), 1, 0, 2, if(ISBLANK('2025'!$P351), 0, 1), 3, if(ISBLANK('2025'!$Q351), 0, 1), 4, if(ISBLANK('2025'!$R351), 0, 1), 5, if(ISBLANK('2025'!$S351), 0, 1), 6, if(ISBLANK('2025'!$T351), 0, 1), 7, 0))), 1, "")</f>
        <v/>
      </c>
      <c r="J387" s="1" t="str">
        <f>IF(AND(AND(AND(J$4&gt;='2025'!$L351,J$4&lt;='2025'!$M351), J$4&lt;&gt;DATE(2025,7,4)), (SWITCH(weekday(J$4), 1, 0, 2, if(ISBLANK('2025'!$P351), 0, 1), 3, if(ISBLANK('2025'!$Q351), 0, 1), 4, if(ISBLANK('2025'!$R351), 0, 1), 5, if(ISBLANK('2025'!$S351), 0, 1), 6, if(ISBLANK('2025'!$T351), 0, 1), 7, 0))), 1, "")</f>
        <v/>
      </c>
      <c r="K387" s="1" t="str">
        <f>IF(AND(AND(AND(K$4&gt;='2025'!$L351,K$4&lt;='2025'!$M351), K$4&lt;&gt;DATE(2025,7,4)), (SWITCH(weekday(K$4), 1, 0, 2, if(ISBLANK('2025'!$P351), 0, 1), 3, if(ISBLANK('2025'!$Q351), 0, 1), 4, if(ISBLANK('2025'!$R351), 0, 1), 5, if(ISBLANK('2025'!$S351), 0, 1), 6, if(ISBLANK('2025'!$T351), 0, 1), 7, 0))), 1, "")</f>
        <v/>
      </c>
      <c r="L387" s="1" t="str">
        <f>IF(AND(AND(AND(L$4&gt;='2025'!$L351,L$4&lt;='2025'!$M351), L$4&lt;&gt;DATE(2025,7,4)), (SWITCH(weekday(L$4), 1, 0, 2, if(ISBLANK('2025'!$P351), 0, 1), 3, if(ISBLANK('2025'!$Q351), 0, 1), 4, if(ISBLANK('2025'!$R351), 0, 1), 5, if(ISBLANK('2025'!$S351), 0, 1), 6, if(ISBLANK('2025'!$T351), 0, 1), 7, 0))), 1, "")</f>
        <v/>
      </c>
      <c r="M387" s="1" t="str">
        <f>IF(AND(AND(AND(M$4&gt;='2025'!$L351,M$4&lt;='2025'!$M351), M$4&lt;&gt;DATE(2025,7,4)), (SWITCH(weekday(M$4), 1, 0, 2, if(ISBLANK('2025'!$P351), 0, 1), 3, if(ISBLANK('2025'!$Q351), 0, 1), 4, if(ISBLANK('2025'!$R351), 0, 1), 5, if(ISBLANK('2025'!$S351), 0, 1), 6, if(ISBLANK('2025'!$T351), 0, 1), 7, 0))), 1, "")</f>
        <v/>
      </c>
      <c r="N387" s="1" t="str">
        <f>IF(AND(AND(AND(N$4&gt;='2025'!$L351,N$4&lt;='2025'!$M351), N$4&lt;&gt;DATE(2025,7,4)), (SWITCH(weekday(N$4), 1, 0, 2, if(ISBLANK('2025'!$P351), 0, 1), 3, if(ISBLANK('2025'!$Q351), 0, 1), 4, if(ISBLANK('2025'!$R351), 0, 1), 5, if(ISBLANK('2025'!$S351), 0, 1), 6, if(ISBLANK('2025'!$T351), 0, 1), 7, 0))), 1, "")</f>
        <v/>
      </c>
      <c r="O387" s="1" t="str">
        <f>IF(AND(AND(AND(O$4&gt;='2025'!$L351,O$4&lt;='2025'!$M351), O$4&lt;&gt;DATE(2025,7,4)), (SWITCH(weekday(O$4), 1, 0, 2, if(ISBLANK('2025'!$P351), 0, 1), 3, if(ISBLANK('2025'!$Q351), 0, 1), 4, if(ISBLANK('2025'!$R351), 0, 1), 5, if(ISBLANK('2025'!$S351), 0, 1), 6, if(ISBLANK('2025'!$T351), 0, 1), 7, 0))), 1, "")</f>
        <v/>
      </c>
      <c r="P387" s="1" t="str">
        <f>IF(AND(AND(AND(P$4&gt;='2025'!$L351,P$4&lt;='2025'!$M351), P$4&lt;&gt;DATE(2025,7,4)), (SWITCH(weekday(P$4), 1, 0, 2, if(ISBLANK('2025'!$P351), 0, 1), 3, if(ISBLANK('2025'!$Q351), 0, 1), 4, if(ISBLANK('2025'!$R351), 0, 1), 5, if(ISBLANK('2025'!$S351), 0, 1), 6, if(ISBLANK('2025'!$T351), 0, 1), 7, 0))), 1, "")</f>
        <v/>
      </c>
      <c r="Q387" s="1" t="str">
        <f>IF(AND(AND(AND(Q$4&gt;='2025'!$L351,Q$4&lt;='2025'!$M351), Q$4&lt;&gt;DATE(2025,7,4)), (SWITCH(weekday(Q$4), 1, 0, 2, if(ISBLANK('2025'!$P351), 0, 1), 3, if(ISBLANK('2025'!$Q351), 0, 1), 4, if(ISBLANK('2025'!$R351), 0, 1), 5, if(ISBLANK('2025'!$S351), 0, 1), 6, if(ISBLANK('2025'!$T351), 0, 1), 7, 0))), 1, "")</f>
        <v/>
      </c>
      <c r="R387" s="1" t="str">
        <f>IF(AND(AND(AND(R$4&gt;='2025'!$L351,R$4&lt;='2025'!$M351), R$4&lt;&gt;DATE(2025,7,4)), (SWITCH(weekday(R$4), 1, 0, 2, if(ISBLANK('2025'!$P351), 0, 1), 3, if(ISBLANK('2025'!$Q351), 0, 1), 4, if(ISBLANK('2025'!$R351), 0, 1), 5, if(ISBLANK('2025'!$S351), 0, 1), 6, if(ISBLANK('2025'!$T351), 0, 1), 7, 0))), 1, "")</f>
        <v/>
      </c>
      <c r="S387" s="1" t="str">
        <f>IF(AND(AND(AND(S$4&gt;='2025'!$L351,S$4&lt;='2025'!$M351), S$4&lt;&gt;DATE(2025,7,4)), (SWITCH(weekday(S$4), 1, 0, 2, if(ISBLANK('2025'!$P351), 0, 1), 3, if(ISBLANK('2025'!$Q351), 0, 1), 4, if(ISBLANK('2025'!$R351), 0, 1), 5, if(ISBLANK('2025'!$S351), 0, 1), 6, if(ISBLANK('2025'!$T351), 0, 1), 7, 0))), 1, "")</f>
        <v/>
      </c>
      <c r="T387" s="1" t="str">
        <f>IF(AND(AND(AND(T$4&gt;='2025'!$L351,T$4&lt;='2025'!$M351), T$4&lt;&gt;DATE(2025,7,4)), (SWITCH(weekday(T$4), 1, 0, 2, if(ISBLANK('2025'!$P351), 0, 1), 3, if(ISBLANK('2025'!$Q351), 0, 1), 4, if(ISBLANK('2025'!$R351), 0, 1), 5, if(ISBLANK('2025'!$S351), 0, 1), 6, if(ISBLANK('2025'!$T351), 0, 1), 7, 0))), 1, "")</f>
        <v/>
      </c>
      <c r="U387" s="1" t="str">
        <f>IF(AND(AND(AND(U$4&gt;='2025'!$L351,U$4&lt;='2025'!$M351), U$4&lt;&gt;DATE(2025,7,4)), (SWITCH(weekday(U$4), 1, 0, 2, if(ISBLANK('2025'!$P351), 0, 1), 3, if(ISBLANK('2025'!$Q351), 0, 1), 4, if(ISBLANK('2025'!$R351), 0, 1), 5, if(ISBLANK('2025'!$S351), 0, 1), 6, if(ISBLANK('2025'!$T351), 0, 1), 7, 0))), 1, "")</f>
        <v/>
      </c>
      <c r="V387" s="1" t="str">
        <f>IF(AND(AND(AND(V$4&gt;='2025'!$L351,V$4&lt;='2025'!$M351), V$4&lt;&gt;DATE(2025,7,4)), (SWITCH(weekday(V$4), 1, 0, 2, if(ISBLANK('2025'!$P351), 0, 1), 3, if(ISBLANK('2025'!$Q351), 0, 1), 4, if(ISBLANK('2025'!$R351), 0, 1), 5, if(ISBLANK('2025'!$S351), 0, 1), 6, if(ISBLANK('2025'!$T351), 0, 1), 7, 0))), 1, "")</f>
        <v/>
      </c>
      <c r="W387" s="1" t="str">
        <f>IF(AND(AND(AND(W$4&gt;='2025'!$L351,W$4&lt;='2025'!$M351), W$4&lt;&gt;DATE(2025,7,4)), (SWITCH(weekday(W$4), 1, 0, 2, if(ISBLANK('2025'!$P351), 0, 1), 3, if(ISBLANK('2025'!$Q351), 0, 1), 4, if(ISBLANK('2025'!$R351), 0, 1), 5, if(ISBLANK('2025'!$S351), 0, 1), 6, if(ISBLANK('2025'!$T351), 0, 1), 7, 0))), 1, "")</f>
        <v/>
      </c>
      <c r="X387" s="1" t="str">
        <f>IF(AND(AND(AND(X$4&gt;='2025'!$L351,X$4&lt;='2025'!$M351), X$4&lt;&gt;DATE(2025,7,4)), (SWITCH(weekday(X$4), 1, 0, 2, if(ISBLANK('2025'!$P351), 0, 1), 3, if(ISBLANK('2025'!$Q351), 0, 1), 4, if(ISBLANK('2025'!$R351), 0, 1), 5, if(ISBLANK('2025'!$S351), 0, 1), 6, if(ISBLANK('2025'!$T351), 0, 1), 7, 0))), 1, "")</f>
        <v/>
      </c>
      <c r="Y387" s="1" t="str">
        <f>IF(AND(AND(AND(Y$4&gt;='2025'!$L351,Y$4&lt;='2025'!$M351), Y$4&lt;&gt;DATE(2025,7,4)), (SWITCH(weekday(Y$4), 1, 0, 2, if(ISBLANK('2025'!$P351), 0, 1), 3, if(ISBLANK('2025'!$Q351), 0, 1), 4, if(ISBLANK('2025'!$R351), 0, 1), 5, if(ISBLANK('2025'!$S351), 0, 1), 6, if(ISBLANK('2025'!$T351), 0, 1), 7, 0))), 1, "")</f>
        <v/>
      </c>
      <c r="Z387" s="1" t="str">
        <f>IF(AND(AND(AND(Z$4&gt;='2025'!$L351,Z$4&lt;='2025'!$M351), Z$4&lt;&gt;DATE(2025,7,4)), (SWITCH(weekday(Z$4), 1, 0, 2, if(ISBLANK('2025'!$P351), 0, 1), 3, if(ISBLANK('2025'!$Q351), 0, 1), 4, if(ISBLANK('2025'!$R351), 0, 1), 5, if(ISBLANK('2025'!$S351), 0, 1), 6, if(ISBLANK('2025'!$T351), 0, 1), 7, 0))), 1, "")</f>
        <v/>
      </c>
      <c r="AA387" s="1" t="str">
        <f>IF(AND(AND(AND(AA$4&gt;='2025'!$L351,AA$4&lt;='2025'!$M351), AA$4&lt;&gt;DATE(2025,7,4)), (SWITCH(weekday(AA$4), 1, 0, 2, if(ISBLANK('2025'!$P351), 0, 1), 3, if(ISBLANK('2025'!$Q351), 0, 1), 4, if(ISBLANK('2025'!$R351), 0, 1), 5, if(ISBLANK('2025'!$S351), 0, 1), 6, if(ISBLANK('2025'!$T351), 0, 1), 7, 0))), 1, "")</f>
        <v/>
      </c>
      <c r="AB387" s="1" t="str">
        <f>IF(AND(AND(AND(AB$4&gt;='2025'!$L351,AB$4&lt;='2025'!$M351), AB$4&lt;&gt;DATE(2025,7,4)), (SWITCH(weekday(AB$4), 1, 0, 2, if(ISBLANK('2025'!$P351), 0, 1), 3, if(ISBLANK('2025'!$Q351), 0, 1), 4, if(ISBLANK('2025'!$R351), 0, 1), 5, if(ISBLANK('2025'!$S351), 0, 1), 6, if(ISBLANK('2025'!$T351), 0, 1), 7, 0))), 1, "")</f>
        <v/>
      </c>
      <c r="AC387" s="1" t="str">
        <f>IF(AND(AND(AND(AC$4&gt;='2025'!$L351,AC$4&lt;='2025'!$M351), AC$4&lt;&gt;DATE(2025,7,4)), (SWITCH(weekday(AC$4), 1, 0, 2, if(ISBLANK('2025'!$P351), 0, 1), 3, if(ISBLANK('2025'!$Q351), 0, 1), 4, if(ISBLANK('2025'!$R351), 0, 1), 5, if(ISBLANK('2025'!$S351), 0, 1), 6, if(ISBLANK('2025'!$T351), 0, 1), 7, 0))), 1, "")</f>
        <v/>
      </c>
      <c r="AD387" s="1" t="str">
        <f>IF(AND(AND(AND(AD$4&gt;='2025'!$L351,AD$4&lt;='2025'!$M351), AD$4&lt;&gt;DATE(2025,7,4)), (SWITCH(weekday(AD$4), 1, 0, 2, if(ISBLANK('2025'!$P351), 0, 1), 3, if(ISBLANK('2025'!$Q351), 0, 1), 4, if(ISBLANK('2025'!$R351), 0, 1), 5, if(ISBLANK('2025'!$S351), 0, 1), 6, if(ISBLANK('2025'!$T351), 0, 1), 7, 0))), 1, "")</f>
        <v/>
      </c>
      <c r="AE387" s="1" t="str">
        <f>IF(AND(AND(AND(AE$4&gt;='2025'!$L351,AE$4&lt;='2025'!$M351), AE$4&lt;&gt;DATE(2025,7,4)), (SWITCH(weekday(AE$4), 1, 0, 2, if(ISBLANK('2025'!$P351), 0, 1), 3, if(ISBLANK('2025'!$Q351), 0, 1), 4, if(ISBLANK('2025'!$R351), 0, 1), 5, if(ISBLANK('2025'!$S351), 0, 1), 6, if(ISBLANK('2025'!$T351), 0, 1), 7, 0))), 1, "")</f>
        <v/>
      </c>
      <c r="AF387" s="1" t="str">
        <f>IF(AND(AND(AND(AF$4&gt;='2025'!$L351,AF$4&lt;='2025'!$M351), AF$4&lt;&gt;DATE(2025,7,4)), (SWITCH(weekday(AF$4), 1, 0, 2, if(ISBLANK('2025'!$P351), 0, 1), 3, if(ISBLANK('2025'!$Q351), 0, 1), 4, if(ISBLANK('2025'!$R351), 0, 1), 5, if(ISBLANK('2025'!$S351), 0, 1), 6, if(ISBLANK('2025'!$T351), 0, 1), 7, 0))), 1, "")</f>
        <v/>
      </c>
      <c r="AG387" s="1" t="str">
        <f>IF(AND(AND(AND(AG$4&gt;='2025'!$L351,AG$4&lt;='2025'!$M351), AG$4&lt;&gt;DATE(2025,7,4)), (SWITCH(weekday(AG$4), 1, 0, 2, if(ISBLANK('2025'!$P351), 0, 1), 3, if(ISBLANK('2025'!$Q351), 0, 1), 4, if(ISBLANK('2025'!$R351), 0, 1), 5, if(ISBLANK('2025'!$S351), 0, 1), 6, if(ISBLANK('2025'!$T351), 0, 1), 7, 0))), 1, "")</f>
        <v/>
      </c>
      <c r="AH387" s="1" t="str">
        <f>IF(AND(AND(AND(AH$4&gt;='2025'!$L351,AH$4&lt;='2025'!$M351), AH$4&lt;&gt;DATE(2025,7,4)), (SWITCH(weekday(AH$4), 1, 0, 2, if(ISBLANK('2025'!$P351), 0, 1), 3, if(ISBLANK('2025'!$Q351), 0, 1), 4, if(ISBLANK('2025'!$R351), 0, 1), 5, if(ISBLANK('2025'!$S351), 0, 1), 6, if(ISBLANK('2025'!$T351), 0, 1), 7, 0))), 1, "")</f>
        <v/>
      </c>
      <c r="AI387" s="1" t="str">
        <f>IF(AND(AND(AND(AI$4&gt;='2025'!$L351,AI$4&lt;='2025'!$M351), AI$4&lt;&gt;DATE(2025,7,4)), (SWITCH(weekday(AI$4), 1, 0, 2, if(ISBLANK('2025'!$P351), 0, 1), 3, if(ISBLANK('2025'!$Q351), 0, 1), 4, if(ISBLANK('2025'!$R351), 0, 1), 5, if(ISBLANK('2025'!$S351), 0, 1), 6, if(ISBLANK('2025'!$T351), 0, 1), 7, 0))), 1, "")</f>
        <v/>
      </c>
      <c r="AJ387" s="1" t="str">
        <f>IF(AND(AND(AND(AJ$4&gt;='2025'!$L351,AJ$4&lt;='2025'!$M351), AJ$4&lt;&gt;DATE(2025,7,4)), (SWITCH(weekday(AJ$4), 1, 0, 2, if(ISBLANK('2025'!$P351), 0, 1), 3, if(ISBLANK('2025'!$Q351), 0, 1), 4, if(ISBLANK('2025'!$R351), 0, 1), 5, if(ISBLANK('2025'!$S351), 0, 1), 6, if(ISBLANK('2025'!$T351), 0, 1), 7, 0))), 1, "")</f>
        <v/>
      </c>
      <c r="AK387" s="1" t="str">
        <f>IF(AND(AND(AND(AK$4&gt;='2025'!$L351,AK$4&lt;='2025'!$M351), AK$4&lt;&gt;DATE(2025,7,4)), (SWITCH(weekday(AK$4), 1, 0, 2, if(ISBLANK('2025'!$P351), 0, 1), 3, if(ISBLANK('2025'!$Q351), 0, 1), 4, if(ISBLANK('2025'!$R351), 0, 1), 5, if(ISBLANK('2025'!$S351), 0, 1), 6, if(ISBLANK('2025'!$T351), 0, 1), 7, 0))), 1, "")</f>
        <v/>
      </c>
      <c r="AL387" s="1" t="str">
        <f>IF(AND(AND(AND(AL$4&gt;='2025'!$L351,AL$4&lt;='2025'!$M351), AL$4&lt;&gt;DATE(2025,7,4)), (SWITCH(weekday(AL$4), 1, 0, 2, if(ISBLANK('2025'!$P351), 0, 1), 3, if(ISBLANK('2025'!$Q351), 0, 1), 4, if(ISBLANK('2025'!$R351), 0, 1), 5, if(ISBLANK('2025'!$S351), 0, 1), 6, if(ISBLANK('2025'!$T351), 0, 1), 7, 0))), 1, "")</f>
        <v/>
      </c>
      <c r="AM387" s="1" t="str">
        <f>IF(AND(AND(AND(AM$4&gt;='2025'!$L351,AM$4&lt;='2025'!$M351), AM$4&lt;&gt;DATE(2025,7,4)), (SWITCH(weekday(AM$4), 1, 0, 2, if(ISBLANK('2025'!$P351), 0, 1), 3, if(ISBLANK('2025'!$Q351), 0, 1), 4, if(ISBLANK('2025'!$R351), 0, 1), 5, if(ISBLANK('2025'!$S351), 0, 1), 6, if(ISBLANK('2025'!$T351), 0, 1), 7, 0))), 1, "")</f>
        <v/>
      </c>
      <c r="AN387" s="1" t="str">
        <f>IF(AND(AND(AND(AN$4&gt;='2025'!$L351,AN$4&lt;='2025'!$M351), AN$4&lt;&gt;DATE(2025,7,4)), (SWITCH(weekday(AN$4), 1, 0, 2, if(ISBLANK('2025'!$P351), 0, 1), 3, if(ISBLANK('2025'!$Q351), 0, 1), 4, if(ISBLANK('2025'!$R351), 0, 1), 5, if(ISBLANK('2025'!$S351), 0, 1), 6, if(ISBLANK('2025'!$T351), 0, 1), 7, 0))), 1, "")</f>
        <v/>
      </c>
      <c r="AO387" s="1" t="str">
        <f>IF(AND(AND(AND(AO$4&gt;='2025'!$L351,AO$4&lt;='2025'!$M351), AO$4&lt;&gt;DATE(2025,7,4)), (SWITCH(weekday(AO$4), 1, 0, 2, if(ISBLANK('2025'!$P351), 0, 1), 3, if(ISBLANK('2025'!$Q351), 0, 1), 4, if(ISBLANK('2025'!$R351), 0, 1), 5, if(ISBLANK('2025'!$S351), 0, 1), 6, if(ISBLANK('2025'!$T351), 0, 1), 7, 0))), 1, "")</f>
        <v/>
      </c>
      <c r="AP387" s="1" t="str">
        <f>IF(AND(AND(AND(AP$4&gt;='2025'!$L351,AP$4&lt;='2025'!$M351), AP$4&lt;&gt;DATE(2025,7,4)), (SWITCH(weekday(AP$4), 1, 0, 2, if(ISBLANK('2025'!$P351), 0, 1), 3, if(ISBLANK('2025'!$Q351), 0, 1), 4, if(ISBLANK('2025'!$R351), 0, 1), 5, if(ISBLANK('2025'!$S351), 0, 1), 6, if(ISBLANK('2025'!$T351), 0, 1), 7, 0))), 1, "")</f>
        <v/>
      </c>
      <c r="AQ387" s="1" t="str">
        <f>IF(AND(AND(AND(AQ$4&gt;='2025'!$L351,AQ$4&lt;='2025'!$M351), AQ$4&lt;&gt;DATE(2025,7,4)), (SWITCH(weekday(AQ$4), 1, 0, 2, if(ISBLANK('2025'!$P351), 0, 1), 3, if(ISBLANK('2025'!$Q351), 0, 1), 4, if(ISBLANK('2025'!$R351), 0, 1), 5, if(ISBLANK('2025'!$S351), 0, 1), 6, if(ISBLANK('2025'!$T351), 0, 1), 7, 0))), 1, "")</f>
        <v/>
      </c>
      <c r="AR387" s="1" t="str">
        <f>IF(AND(AND(AND(AR$4&gt;='2025'!$L351,AR$4&lt;='2025'!$M351), AR$4&lt;&gt;DATE(2025,7,4)), (SWITCH(weekday(AR$4), 1, 0, 2, if(ISBLANK('2025'!$P351), 0, 1), 3, if(ISBLANK('2025'!$Q351), 0, 1), 4, if(ISBLANK('2025'!$R351), 0, 1), 5, if(ISBLANK('2025'!$S351), 0, 1), 6, if(ISBLANK('2025'!$T351), 0, 1), 7, 0))), 1, "")</f>
        <v/>
      </c>
      <c r="AS387" s="1" t="str">
        <f>IF(AND(AND(AND(AS$4&gt;='2025'!$L351,AS$4&lt;='2025'!$M351), AS$4&lt;&gt;DATE(2025,7,4)), (SWITCH(weekday(AS$4), 1, 0, 2, if(ISBLANK('2025'!$P351), 0, 1), 3, if(ISBLANK('2025'!$Q351), 0, 1), 4, if(ISBLANK('2025'!$R351), 0, 1), 5, if(ISBLANK('2025'!$S351), 0, 1), 6, if(ISBLANK('2025'!$T351), 0, 1), 7, 0))), 1, "")</f>
        <v/>
      </c>
      <c r="AT387" s="1" t="str">
        <f>IF(AND(AND(AND(AT$4&gt;='2025'!$L351,AT$4&lt;='2025'!$M351), AT$4&lt;&gt;DATE(2025,7,4)), (SWITCH(weekday(AT$4), 1, 0, 2, if(ISBLANK('2025'!$P351), 0, 1), 3, if(ISBLANK('2025'!$Q351), 0, 1), 4, if(ISBLANK('2025'!$R351), 0, 1), 5, if(ISBLANK('2025'!$S351), 0, 1), 6, if(ISBLANK('2025'!$T351), 0, 1), 7, 0))), 1, "")</f>
        <v/>
      </c>
      <c r="AU387" s="1" t="str">
        <f>IF(AND(AND(AND(AU$4&gt;='2025'!$L351,AU$4&lt;='2025'!$M351), AU$4&lt;&gt;DATE(2025,7,4)), (SWITCH(weekday(AU$4), 1, 0, 2, if(ISBLANK('2025'!$P351), 0, 1), 3, if(ISBLANK('2025'!$Q351), 0, 1), 4, if(ISBLANK('2025'!$R351), 0, 1), 5, if(ISBLANK('2025'!$S351), 0, 1), 6, if(ISBLANK('2025'!$T351), 0, 1), 7, 0))), 1, "")</f>
        <v/>
      </c>
      <c r="AV387" s="1" t="str">
        <f>IF(AND(AND(AND(AV$4&gt;='2025'!$L351,AV$4&lt;='2025'!$M351), AV$4&lt;&gt;DATE(2025,7,4)), (SWITCH(weekday(AV$4), 1, 0, 2, if(ISBLANK('2025'!$P351), 0, 1), 3, if(ISBLANK('2025'!$Q351), 0, 1), 4, if(ISBLANK('2025'!$R351), 0, 1), 5, if(ISBLANK('2025'!$S351), 0, 1), 6, if(ISBLANK('2025'!$T351), 0, 1), 7, 0))), 1, "")</f>
        <v/>
      </c>
      <c r="AW387" s="1" t="str">
        <f>IF(AND(AND(AND(AW$4&gt;='2025'!$L351,AW$4&lt;='2025'!$M351), AW$4&lt;&gt;DATE(2025,7,4)), (SWITCH(weekday(AW$4), 1, 0, 2, if(ISBLANK('2025'!$P351), 0, 1), 3, if(ISBLANK('2025'!$Q351), 0, 1), 4, if(ISBLANK('2025'!$R351), 0, 1), 5, if(ISBLANK('2025'!$S351), 0, 1), 6, if(ISBLANK('2025'!$T351), 0, 1), 7, 0))), 1, "")</f>
        <v/>
      </c>
      <c r="AX387" s="1" t="str">
        <f>IF(AND(AND(AND(AX$4&gt;='2025'!$L351,AX$4&lt;='2025'!$M351), AX$4&lt;&gt;DATE(2025,7,4)), (SWITCH(weekday(AX$4), 1, 0, 2, if(ISBLANK('2025'!$P351), 0, 1), 3, if(ISBLANK('2025'!$Q351), 0, 1), 4, if(ISBLANK('2025'!$R351), 0, 1), 5, if(ISBLANK('2025'!$S351), 0, 1), 6, if(ISBLANK('2025'!$T351), 0, 1), 7, 0))), 1, "")</f>
        <v/>
      </c>
      <c r="AY387" s="1" t="str">
        <f>IF(AND(AND(AND(AY$4&gt;='2025'!$L351,AY$4&lt;='2025'!$M351), AY$4&lt;&gt;DATE(2025,7,4)), (SWITCH(weekday(AY$4), 1, 0, 2, if(ISBLANK('2025'!$P351), 0, 1), 3, if(ISBLANK('2025'!$Q351), 0, 1), 4, if(ISBLANK('2025'!$R351), 0, 1), 5, if(ISBLANK('2025'!$S351), 0, 1), 6, if(ISBLANK('2025'!$T351), 0, 1), 7, 0))), 1, "")</f>
        <v/>
      </c>
      <c r="AZ387" s="1" t="str">
        <f>IF(AND(AND(AND(AZ$4&gt;='2025'!$L351,AZ$4&lt;='2025'!$M351), AZ$4&lt;&gt;DATE(2025,7,4)), (SWITCH(weekday(AZ$4), 1, 0, 2, if(ISBLANK('2025'!$P351), 0, 1), 3, if(ISBLANK('2025'!$Q351), 0, 1), 4, if(ISBLANK('2025'!$R351), 0, 1), 5, if(ISBLANK('2025'!$S351), 0, 1), 6, if(ISBLANK('2025'!$T351), 0, 1), 7, 0))), 1, "")</f>
        <v/>
      </c>
      <c r="BA387" s="1" t="str">
        <f>IF(AND(AND(AND(BA$4&gt;='2025'!$L351,BA$4&lt;='2025'!$M351), BA$4&lt;&gt;DATE(2025,7,4)), (SWITCH(weekday(BA$4), 1, 0, 2, if(ISBLANK('2025'!$P351), 0, 1), 3, if(ISBLANK('2025'!$Q351), 0, 1), 4, if(ISBLANK('2025'!$R351), 0, 1), 5, if(ISBLANK('2025'!$S351), 0, 1), 6, if(ISBLANK('2025'!$T351), 0, 1), 7, 0))), 1, "")</f>
        <v/>
      </c>
      <c r="BB387" s="1" t="str">
        <f>IF(AND(AND(AND(BB$4&gt;='2025'!$L351,BB$4&lt;='2025'!$M351), BB$4&lt;&gt;DATE(2025,7,4)), (SWITCH(weekday(BB$4), 1, 0, 2, if(ISBLANK('2025'!$P351), 0, 1), 3, if(ISBLANK('2025'!$Q351), 0, 1), 4, if(ISBLANK('2025'!$R351), 0, 1), 5, if(ISBLANK('2025'!$S351), 0, 1), 6, if(ISBLANK('2025'!$T351), 0, 1), 7, 0))), 1, "")</f>
        <v/>
      </c>
      <c r="BC387" s="1" t="str">
        <f>IF(AND(AND(AND(BC$4&gt;='2025'!$L351,BC$4&lt;='2025'!$M351), BC$4&lt;&gt;DATE(2025,7,4)), (SWITCH(weekday(BC$4), 1, 0, 2, if(ISBLANK('2025'!$P351), 0, 1), 3, if(ISBLANK('2025'!$Q351), 0, 1), 4, if(ISBLANK('2025'!$R351), 0, 1), 5, if(ISBLANK('2025'!$S351), 0, 1), 6, if(ISBLANK('2025'!$T351), 0, 1), 7, 0))), 1, "")</f>
        <v/>
      </c>
      <c r="BD387" s="1" t="str">
        <f>IF(AND(AND(AND(BD$4&gt;='2025'!$L351,BD$4&lt;='2025'!$M351), BD$4&lt;&gt;DATE(2025,7,4)), (SWITCH(weekday(BD$4), 1, 0, 2, if(ISBLANK('2025'!$P351), 0, 1), 3, if(ISBLANK('2025'!$Q351), 0, 1), 4, if(ISBLANK('2025'!$R351), 0, 1), 5, if(ISBLANK('2025'!$S351), 0, 1), 6, if(ISBLANK('2025'!$T351), 0, 1), 7, 0))), 1, "")</f>
        <v/>
      </c>
      <c r="BE387" s="1" t="str">
        <f>IF(AND(AND(AND(BE$4&gt;='2025'!$L351,BE$4&lt;='2025'!$M351), BE$4&lt;&gt;DATE(2025,7,4)), (SWITCH(weekday(BE$4), 1, 0, 2, if(ISBLANK('2025'!$P351), 0, 1), 3, if(ISBLANK('2025'!$Q351), 0, 1), 4, if(ISBLANK('2025'!$R351), 0, 1), 5, if(ISBLANK('2025'!$S351), 0, 1), 6, if(ISBLANK('2025'!$T351), 0, 1), 7, 0))), 1, "")</f>
        <v/>
      </c>
    </row>
    <row r="388">
      <c r="A388" s="1">
        <f t="shared" si="3"/>
        <v>388</v>
      </c>
      <c r="B388" s="1" t="str">
        <f>'2025'!D352</f>
        <v/>
      </c>
      <c r="C388" s="1" t="str">
        <f>'2025'!H352</f>
        <v/>
      </c>
      <c r="D388" s="1" t="str">
        <f>IF(AND(AND(AND(D$4&gt;='2025'!$L352,D$4&lt;='2025'!$M352), D$4&lt;&gt;DATE(2025,7,4)), (SWITCH(weekday(D$4), 1, 0, 2, if(ISBLANK('2025'!$P352), 0, 1), 3, if(ISBLANK('2025'!$Q352), 0, 1), 4, if(ISBLANK('2025'!$R352), 0, 1), 5, if(ISBLANK('2025'!$S352), 0, 1), 6, if(ISBLANK('2025'!$T352), 0, 1), 7, 0))), 1, "")</f>
        <v/>
      </c>
      <c r="E388" s="1" t="str">
        <f>IF(AND(AND(AND(E$4&gt;='2025'!$L352,E$4&lt;='2025'!$M352), E$4&lt;&gt;DATE(2025,7,4)), (SWITCH(weekday(E$4), 1, 0, 2, if(ISBLANK('2025'!$P352), 0, 1), 3, if(ISBLANK('2025'!$Q352), 0, 1), 4, if(ISBLANK('2025'!$R352), 0, 1), 5, if(ISBLANK('2025'!$S352), 0, 1), 6, if(ISBLANK('2025'!$T352), 0, 1), 7, 0))), 1, "")</f>
        <v/>
      </c>
      <c r="F388" s="1" t="str">
        <f>IF(AND(AND(AND(F$4&gt;='2025'!$L352,F$4&lt;='2025'!$M352), F$4&lt;&gt;DATE(2025,7,4)), (SWITCH(weekday(F$4), 1, 0, 2, if(ISBLANK('2025'!$P352), 0, 1), 3, if(ISBLANK('2025'!$Q352), 0, 1), 4, if(ISBLANK('2025'!$R352), 0, 1), 5, if(ISBLANK('2025'!$S352), 0, 1), 6, if(ISBLANK('2025'!$T352), 0, 1), 7, 0))), 1, "")</f>
        <v/>
      </c>
      <c r="G388" s="1" t="str">
        <f>IF(AND(AND(AND(G$4&gt;='2025'!$L352,G$4&lt;='2025'!$M352), G$4&lt;&gt;DATE(2025,7,4)), (SWITCH(weekday(G$4), 1, 0, 2, if(ISBLANK('2025'!$P352), 0, 1), 3, if(ISBLANK('2025'!$Q352), 0, 1), 4, if(ISBLANK('2025'!$R352), 0, 1), 5, if(ISBLANK('2025'!$S352), 0, 1), 6, if(ISBLANK('2025'!$T352), 0, 1), 7, 0))), 1, "")</f>
        <v/>
      </c>
      <c r="H388" s="1" t="str">
        <f>IF(AND(AND(AND(H$4&gt;='2025'!$L352,H$4&lt;='2025'!$M352), H$4&lt;&gt;DATE(2025,7,4)), (SWITCH(weekday(H$4), 1, 0, 2, if(ISBLANK('2025'!$P352), 0, 1), 3, if(ISBLANK('2025'!$Q352), 0, 1), 4, if(ISBLANK('2025'!$R352), 0, 1), 5, if(ISBLANK('2025'!$S352), 0, 1), 6, if(ISBLANK('2025'!$T352), 0, 1), 7, 0))), 1, "")</f>
        <v/>
      </c>
      <c r="I388" s="1" t="str">
        <f>IF(AND(AND(AND(I$4&gt;='2025'!$L352,I$4&lt;='2025'!$M352), I$4&lt;&gt;DATE(2025,7,4)), (SWITCH(weekday(I$4), 1, 0, 2, if(ISBLANK('2025'!$P352), 0, 1), 3, if(ISBLANK('2025'!$Q352), 0, 1), 4, if(ISBLANK('2025'!$R352), 0, 1), 5, if(ISBLANK('2025'!$S352), 0, 1), 6, if(ISBLANK('2025'!$T352), 0, 1), 7, 0))), 1, "")</f>
        <v/>
      </c>
      <c r="J388" s="1" t="str">
        <f>IF(AND(AND(AND(J$4&gt;='2025'!$L352,J$4&lt;='2025'!$M352), J$4&lt;&gt;DATE(2025,7,4)), (SWITCH(weekday(J$4), 1, 0, 2, if(ISBLANK('2025'!$P352), 0, 1), 3, if(ISBLANK('2025'!$Q352), 0, 1), 4, if(ISBLANK('2025'!$R352), 0, 1), 5, if(ISBLANK('2025'!$S352), 0, 1), 6, if(ISBLANK('2025'!$T352), 0, 1), 7, 0))), 1, "")</f>
        <v/>
      </c>
      <c r="K388" s="1" t="str">
        <f>IF(AND(AND(AND(K$4&gt;='2025'!$L352,K$4&lt;='2025'!$M352), K$4&lt;&gt;DATE(2025,7,4)), (SWITCH(weekday(K$4), 1, 0, 2, if(ISBLANK('2025'!$P352), 0, 1), 3, if(ISBLANK('2025'!$Q352), 0, 1), 4, if(ISBLANK('2025'!$R352), 0, 1), 5, if(ISBLANK('2025'!$S352), 0, 1), 6, if(ISBLANK('2025'!$T352), 0, 1), 7, 0))), 1, "")</f>
        <v/>
      </c>
      <c r="L388" s="1" t="str">
        <f>IF(AND(AND(AND(L$4&gt;='2025'!$L352,L$4&lt;='2025'!$M352), L$4&lt;&gt;DATE(2025,7,4)), (SWITCH(weekday(L$4), 1, 0, 2, if(ISBLANK('2025'!$P352), 0, 1), 3, if(ISBLANK('2025'!$Q352), 0, 1), 4, if(ISBLANK('2025'!$R352), 0, 1), 5, if(ISBLANK('2025'!$S352), 0, 1), 6, if(ISBLANK('2025'!$T352), 0, 1), 7, 0))), 1, "")</f>
        <v/>
      </c>
      <c r="M388" s="1" t="str">
        <f>IF(AND(AND(AND(M$4&gt;='2025'!$L352,M$4&lt;='2025'!$M352), M$4&lt;&gt;DATE(2025,7,4)), (SWITCH(weekday(M$4), 1, 0, 2, if(ISBLANK('2025'!$P352), 0, 1), 3, if(ISBLANK('2025'!$Q352), 0, 1), 4, if(ISBLANK('2025'!$R352), 0, 1), 5, if(ISBLANK('2025'!$S352), 0, 1), 6, if(ISBLANK('2025'!$T352), 0, 1), 7, 0))), 1, "")</f>
        <v/>
      </c>
      <c r="N388" s="1" t="str">
        <f>IF(AND(AND(AND(N$4&gt;='2025'!$L352,N$4&lt;='2025'!$M352), N$4&lt;&gt;DATE(2025,7,4)), (SWITCH(weekday(N$4), 1, 0, 2, if(ISBLANK('2025'!$P352), 0, 1), 3, if(ISBLANK('2025'!$Q352), 0, 1), 4, if(ISBLANK('2025'!$R352), 0, 1), 5, if(ISBLANK('2025'!$S352), 0, 1), 6, if(ISBLANK('2025'!$T352), 0, 1), 7, 0))), 1, "")</f>
        <v/>
      </c>
      <c r="O388" s="1" t="str">
        <f>IF(AND(AND(AND(O$4&gt;='2025'!$L352,O$4&lt;='2025'!$M352), O$4&lt;&gt;DATE(2025,7,4)), (SWITCH(weekday(O$4), 1, 0, 2, if(ISBLANK('2025'!$P352), 0, 1), 3, if(ISBLANK('2025'!$Q352), 0, 1), 4, if(ISBLANK('2025'!$R352), 0, 1), 5, if(ISBLANK('2025'!$S352), 0, 1), 6, if(ISBLANK('2025'!$T352), 0, 1), 7, 0))), 1, "")</f>
        <v/>
      </c>
      <c r="P388" s="1" t="str">
        <f>IF(AND(AND(AND(P$4&gt;='2025'!$L352,P$4&lt;='2025'!$M352), P$4&lt;&gt;DATE(2025,7,4)), (SWITCH(weekday(P$4), 1, 0, 2, if(ISBLANK('2025'!$P352), 0, 1), 3, if(ISBLANK('2025'!$Q352), 0, 1), 4, if(ISBLANK('2025'!$R352), 0, 1), 5, if(ISBLANK('2025'!$S352), 0, 1), 6, if(ISBLANK('2025'!$T352), 0, 1), 7, 0))), 1, "")</f>
        <v/>
      </c>
      <c r="Q388" s="1" t="str">
        <f>IF(AND(AND(AND(Q$4&gt;='2025'!$L352,Q$4&lt;='2025'!$M352), Q$4&lt;&gt;DATE(2025,7,4)), (SWITCH(weekday(Q$4), 1, 0, 2, if(ISBLANK('2025'!$P352), 0, 1), 3, if(ISBLANK('2025'!$Q352), 0, 1), 4, if(ISBLANK('2025'!$R352), 0, 1), 5, if(ISBLANK('2025'!$S352), 0, 1), 6, if(ISBLANK('2025'!$T352), 0, 1), 7, 0))), 1, "")</f>
        <v/>
      </c>
      <c r="R388" s="1" t="str">
        <f>IF(AND(AND(AND(R$4&gt;='2025'!$L352,R$4&lt;='2025'!$M352), R$4&lt;&gt;DATE(2025,7,4)), (SWITCH(weekday(R$4), 1, 0, 2, if(ISBLANK('2025'!$P352), 0, 1), 3, if(ISBLANK('2025'!$Q352), 0, 1), 4, if(ISBLANK('2025'!$R352), 0, 1), 5, if(ISBLANK('2025'!$S352), 0, 1), 6, if(ISBLANK('2025'!$T352), 0, 1), 7, 0))), 1, "")</f>
        <v/>
      </c>
      <c r="S388" s="1" t="str">
        <f>IF(AND(AND(AND(S$4&gt;='2025'!$L352,S$4&lt;='2025'!$M352), S$4&lt;&gt;DATE(2025,7,4)), (SWITCH(weekday(S$4), 1, 0, 2, if(ISBLANK('2025'!$P352), 0, 1), 3, if(ISBLANK('2025'!$Q352), 0, 1), 4, if(ISBLANK('2025'!$R352), 0, 1), 5, if(ISBLANK('2025'!$S352), 0, 1), 6, if(ISBLANK('2025'!$T352), 0, 1), 7, 0))), 1, "")</f>
        <v/>
      </c>
      <c r="T388" s="1" t="str">
        <f>IF(AND(AND(AND(T$4&gt;='2025'!$L352,T$4&lt;='2025'!$M352), T$4&lt;&gt;DATE(2025,7,4)), (SWITCH(weekday(T$4), 1, 0, 2, if(ISBLANK('2025'!$P352), 0, 1), 3, if(ISBLANK('2025'!$Q352), 0, 1), 4, if(ISBLANK('2025'!$R352), 0, 1), 5, if(ISBLANK('2025'!$S352), 0, 1), 6, if(ISBLANK('2025'!$T352), 0, 1), 7, 0))), 1, "")</f>
        <v/>
      </c>
      <c r="U388" s="1" t="str">
        <f>IF(AND(AND(AND(U$4&gt;='2025'!$L352,U$4&lt;='2025'!$M352), U$4&lt;&gt;DATE(2025,7,4)), (SWITCH(weekday(U$4), 1, 0, 2, if(ISBLANK('2025'!$P352), 0, 1), 3, if(ISBLANK('2025'!$Q352), 0, 1), 4, if(ISBLANK('2025'!$R352), 0, 1), 5, if(ISBLANK('2025'!$S352), 0, 1), 6, if(ISBLANK('2025'!$T352), 0, 1), 7, 0))), 1, "")</f>
        <v/>
      </c>
      <c r="V388" s="1" t="str">
        <f>IF(AND(AND(AND(V$4&gt;='2025'!$L352,V$4&lt;='2025'!$M352), V$4&lt;&gt;DATE(2025,7,4)), (SWITCH(weekday(V$4), 1, 0, 2, if(ISBLANK('2025'!$P352), 0, 1), 3, if(ISBLANK('2025'!$Q352), 0, 1), 4, if(ISBLANK('2025'!$R352), 0, 1), 5, if(ISBLANK('2025'!$S352), 0, 1), 6, if(ISBLANK('2025'!$T352), 0, 1), 7, 0))), 1, "")</f>
        <v/>
      </c>
      <c r="W388" s="1" t="str">
        <f>IF(AND(AND(AND(W$4&gt;='2025'!$L352,W$4&lt;='2025'!$M352), W$4&lt;&gt;DATE(2025,7,4)), (SWITCH(weekday(W$4), 1, 0, 2, if(ISBLANK('2025'!$P352), 0, 1), 3, if(ISBLANK('2025'!$Q352), 0, 1), 4, if(ISBLANK('2025'!$R352), 0, 1), 5, if(ISBLANK('2025'!$S352), 0, 1), 6, if(ISBLANK('2025'!$T352), 0, 1), 7, 0))), 1, "")</f>
        <v/>
      </c>
      <c r="X388" s="1" t="str">
        <f>IF(AND(AND(AND(X$4&gt;='2025'!$L352,X$4&lt;='2025'!$M352), X$4&lt;&gt;DATE(2025,7,4)), (SWITCH(weekday(X$4), 1, 0, 2, if(ISBLANK('2025'!$P352), 0, 1), 3, if(ISBLANK('2025'!$Q352), 0, 1), 4, if(ISBLANK('2025'!$R352), 0, 1), 5, if(ISBLANK('2025'!$S352), 0, 1), 6, if(ISBLANK('2025'!$T352), 0, 1), 7, 0))), 1, "")</f>
        <v/>
      </c>
      <c r="Y388" s="1" t="str">
        <f>IF(AND(AND(AND(Y$4&gt;='2025'!$L352,Y$4&lt;='2025'!$M352), Y$4&lt;&gt;DATE(2025,7,4)), (SWITCH(weekday(Y$4), 1, 0, 2, if(ISBLANK('2025'!$P352), 0, 1), 3, if(ISBLANK('2025'!$Q352), 0, 1), 4, if(ISBLANK('2025'!$R352), 0, 1), 5, if(ISBLANK('2025'!$S352), 0, 1), 6, if(ISBLANK('2025'!$T352), 0, 1), 7, 0))), 1, "")</f>
        <v/>
      </c>
      <c r="Z388" s="1" t="str">
        <f>IF(AND(AND(AND(Z$4&gt;='2025'!$L352,Z$4&lt;='2025'!$M352), Z$4&lt;&gt;DATE(2025,7,4)), (SWITCH(weekday(Z$4), 1, 0, 2, if(ISBLANK('2025'!$P352), 0, 1), 3, if(ISBLANK('2025'!$Q352), 0, 1), 4, if(ISBLANK('2025'!$R352), 0, 1), 5, if(ISBLANK('2025'!$S352), 0, 1), 6, if(ISBLANK('2025'!$T352), 0, 1), 7, 0))), 1, "")</f>
        <v/>
      </c>
      <c r="AA388" s="1" t="str">
        <f>IF(AND(AND(AND(AA$4&gt;='2025'!$L352,AA$4&lt;='2025'!$M352), AA$4&lt;&gt;DATE(2025,7,4)), (SWITCH(weekday(AA$4), 1, 0, 2, if(ISBLANK('2025'!$P352), 0, 1), 3, if(ISBLANK('2025'!$Q352), 0, 1), 4, if(ISBLANK('2025'!$R352), 0, 1), 5, if(ISBLANK('2025'!$S352), 0, 1), 6, if(ISBLANK('2025'!$T352), 0, 1), 7, 0))), 1, "")</f>
        <v/>
      </c>
      <c r="AB388" s="1" t="str">
        <f>IF(AND(AND(AND(AB$4&gt;='2025'!$L352,AB$4&lt;='2025'!$M352), AB$4&lt;&gt;DATE(2025,7,4)), (SWITCH(weekday(AB$4), 1, 0, 2, if(ISBLANK('2025'!$P352), 0, 1), 3, if(ISBLANK('2025'!$Q352), 0, 1), 4, if(ISBLANK('2025'!$R352), 0, 1), 5, if(ISBLANK('2025'!$S352), 0, 1), 6, if(ISBLANK('2025'!$T352), 0, 1), 7, 0))), 1, "")</f>
        <v/>
      </c>
      <c r="AC388" s="1" t="str">
        <f>IF(AND(AND(AND(AC$4&gt;='2025'!$L352,AC$4&lt;='2025'!$M352), AC$4&lt;&gt;DATE(2025,7,4)), (SWITCH(weekday(AC$4), 1, 0, 2, if(ISBLANK('2025'!$P352), 0, 1), 3, if(ISBLANK('2025'!$Q352), 0, 1), 4, if(ISBLANK('2025'!$R352), 0, 1), 5, if(ISBLANK('2025'!$S352), 0, 1), 6, if(ISBLANK('2025'!$T352), 0, 1), 7, 0))), 1, "")</f>
        <v/>
      </c>
      <c r="AD388" s="1" t="str">
        <f>IF(AND(AND(AND(AD$4&gt;='2025'!$L352,AD$4&lt;='2025'!$M352), AD$4&lt;&gt;DATE(2025,7,4)), (SWITCH(weekday(AD$4), 1, 0, 2, if(ISBLANK('2025'!$P352), 0, 1), 3, if(ISBLANK('2025'!$Q352), 0, 1), 4, if(ISBLANK('2025'!$R352), 0, 1), 5, if(ISBLANK('2025'!$S352), 0, 1), 6, if(ISBLANK('2025'!$T352), 0, 1), 7, 0))), 1, "")</f>
        <v/>
      </c>
      <c r="AE388" s="1" t="str">
        <f>IF(AND(AND(AND(AE$4&gt;='2025'!$L352,AE$4&lt;='2025'!$M352), AE$4&lt;&gt;DATE(2025,7,4)), (SWITCH(weekday(AE$4), 1, 0, 2, if(ISBLANK('2025'!$P352), 0, 1), 3, if(ISBLANK('2025'!$Q352), 0, 1), 4, if(ISBLANK('2025'!$R352), 0, 1), 5, if(ISBLANK('2025'!$S352), 0, 1), 6, if(ISBLANK('2025'!$T352), 0, 1), 7, 0))), 1, "")</f>
        <v/>
      </c>
      <c r="AF388" s="1" t="str">
        <f>IF(AND(AND(AND(AF$4&gt;='2025'!$L352,AF$4&lt;='2025'!$M352), AF$4&lt;&gt;DATE(2025,7,4)), (SWITCH(weekday(AF$4), 1, 0, 2, if(ISBLANK('2025'!$P352), 0, 1), 3, if(ISBLANK('2025'!$Q352), 0, 1), 4, if(ISBLANK('2025'!$R352), 0, 1), 5, if(ISBLANK('2025'!$S352), 0, 1), 6, if(ISBLANK('2025'!$T352), 0, 1), 7, 0))), 1, "")</f>
        <v/>
      </c>
      <c r="AG388" s="1" t="str">
        <f>IF(AND(AND(AND(AG$4&gt;='2025'!$L352,AG$4&lt;='2025'!$M352), AG$4&lt;&gt;DATE(2025,7,4)), (SWITCH(weekday(AG$4), 1, 0, 2, if(ISBLANK('2025'!$P352), 0, 1), 3, if(ISBLANK('2025'!$Q352), 0, 1), 4, if(ISBLANK('2025'!$R352), 0, 1), 5, if(ISBLANK('2025'!$S352), 0, 1), 6, if(ISBLANK('2025'!$T352), 0, 1), 7, 0))), 1, "")</f>
        <v/>
      </c>
      <c r="AH388" s="1" t="str">
        <f>IF(AND(AND(AND(AH$4&gt;='2025'!$L352,AH$4&lt;='2025'!$M352), AH$4&lt;&gt;DATE(2025,7,4)), (SWITCH(weekday(AH$4), 1, 0, 2, if(ISBLANK('2025'!$P352), 0, 1), 3, if(ISBLANK('2025'!$Q352), 0, 1), 4, if(ISBLANK('2025'!$R352), 0, 1), 5, if(ISBLANK('2025'!$S352), 0, 1), 6, if(ISBLANK('2025'!$T352), 0, 1), 7, 0))), 1, "")</f>
        <v/>
      </c>
      <c r="AI388" s="1" t="str">
        <f>IF(AND(AND(AND(AI$4&gt;='2025'!$L352,AI$4&lt;='2025'!$M352), AI$4&lt;&gt;DATE(2025,7,4)), (SWITCH(weekday(AI$4), 1, 0, 2, if(ISBLANK('2025'!$P352), 0, 1), 3, if(ISBLANK('2025'!$Q352), 0, 1), 4, if(ISBLANK('2025'!$R352), 0, 1), 5, if(ISBLANK('2025'!$S352), 0, 1), 6, if(ISBLANK('2025'!$T352), 0, 1), 7, 0))), 1, "")</f>
        <v/>
      </c>
      <c r="AJ388" s="1" t="str">
        <f>IF(AND(AND(AND(AJ$4&gt;='2025'!$L352,AJ$4&lt;='2025'!$M352), AJ$4&lt;&gt;DATE(2025,7,4)), (SWITCH(weekday(AJ$4), 1, 0, 2, if(ISBLANK('2025'!$P352), 0, 1), 3, if(ISBLANK('2025'!$Q352), 0, 1), 4, if(ISBLANK('2025'!$R352), 0, 1), 5, if(ISBLANK('2025'!$S352), 0, 1), 6, if(ISBLANK('2025'!$T352), 0, 1), 7, 0))), 1, "")</f>
        <v/>
      </c>
      <c r="AK388" s="1" t="str">
        <f>IF(AND(AND(AND(AK$4&gt;='2025'!$L352,AK$4&lt;='2025'!$M352), AK$4&lt;&gt;DATE(2025,7,4)), (SWITCH(weekday(AK$4), 1, 0, 2, if(ISBLANK('2025'!$P352), 0, 1), 3, if(ISBLANK('2025'!$Q352), 0, 1), 4, if(ISBLANK('2025'!$R352), 0, 1), 5, if(ISBLANK('2025'!$S352), 0, 1), 6, if(ISBLANK('2025'!$T352), 0, 1), 7, 0))), 1, "")</f>
        <v/>
      </c>
      <c r="AL388" s="1" t="str">
        <f>IF(AND(AND(AND(AL$4&gt;='2025'!$L352,AL$4&lt;='2025'!$M352), AL$4&lt;&gt;DATE(2025,7,4)), (SWITCH(weekday(AL$4), 1, 0, 2, if(ISBLANK('2025'!$P352), 0, 1), 3, if(ISBLANK('2025'!$Q352), 0, 1), 4, if(ISBLANK('2025'!$R352), 0, 1), 5, if(ISBLANK('2025'!$S352), 0, 1), 6, if(ISBLANK('2025'!$T352), 0, 1), 7, 0))), 1, "")</f>
        <v/>
      </c>
      <c r="AM388" s="1" t="str">
        <f>IF(AND(AND(AND(AM$4&gt;='2025'!$L352,AM$4&lt;='2025'!$M352), AM$4&lt;&gt;DATE(2025,7,4)), (SWITCH(weekday(AM$4), 1, 0, 2, if(ISBLANK('2025'!$P352), 0, 1), 3, if(ISBLANK('2025'!$Q352), 0, 1), 4, if(ISBLANK('2025'!$R352), 0, 1), 5, if(ISBLANK('2025'!$S352), 0, 1), 6, if(ISBLANK('2025'!$T352), 0, 1), 7, 0))), 1, "")</f>
        <v/>
      </c>
      <c r="AN388" s="1" t="str">
        <f>IF(AND(AND(AND(AN$4&gt;='2025'!$L352,AN$4&lt;='2025'!$M352), AN$4&lt;&gt;DATE(2025,7,4)), (SWITCH(weekday(AN$4), 1, 0, 2, if(ISBLANK('2025'!$P352), 0, 1), 3, if(ISBLANK('2025'!$Q352), 0, 1), 4, if(ISBLANK('2025'!$R352), 0, 1), 5, if(ISBLANK('2025'!$S352), 0, 1), 6, if(ISBLANK('2025'!$T352), 0, 1), 7, 0))), 1, "")</f>
        <v/>
      </c>
      <c r="AO388" s="1" t="str">
        <f>IF(AND(AND(AND(AO$4&gt;='2025'!$L352,AO$4&lt;='2025'!$M352), AO$4&lt;&gt;DATE(2025,7,4)), (SWITCH(weekday(AO$4), 1, 0, 2, if(ISBLANK('2025'!$P352), 0, 1), 3, if(ISBLANK('2025'!$Q352), 0, 1), 4, if(ISBLANK('2025'!$R352), 0, 1), 5, if(ISBLANK('2025'!$S352), 0, 1), 6, if(ISBLANK('2025'!$T352), 0, 1), 7, 0))), 1, "")</f>
        <v/>
      </c>
      <c r="AP388" s="1" t="str">
        <f>IF(AND(AND(AND(AP$4&gt;='2025'!$L352,AP$4&lt;='2025'!$M352), AP$4&lt;&gt;DATE(2025,7,4)), (SWITCH(weekday(AP$4), 1, 0, 2, if(ISBLANK('2025'!$P352), 0, 1), 3, if(ISBLANK('2025'!$Q352), 0, 1), 4, if(ISBLANK('2025'!$R352), 0, 1), 5, if(ISBLANK('2025'!$S352), 0, 1), 6, if(ISBLANK('2025'!$T352), 0, 1), 7, 0))), 1, "")</f>
        <v/>
      </c>
      <c r="AQ388" s="1" t="str">
        <f>IF(AND(AND(AND(AQ$4&gt;='2025'!$L352,AQ$4&lt;='2025'!$M352), AQ$4&lt;&gt;DATE(2025,7,4)), (SWITCH(weekday(AQ$4), 1, 0, 2, if(ISBLANK('2025'!$P352), 0, 1), 3, if(ISBLANK('2025'!$Q352), 0, 1), 4, if(ISBLANK('2025'!$R352), 0, 1), 5, if(ISBLANK('2025'!$S352), 0, 1), 6, if(ISBLANK('2025'!$T352), 0, 1), 7, 0))), 1, "")</f>
        <v/>
      </c>
      <c r="AR388" s="1" t="str">
        <f>IF(AND(AND(AND(AR$4&gt;='2025'!$L352,AR$4&lt;='2025'!$M352), AR$4&lt;&gt;DATE(2025,7,4)), (SWITCH(weekday(AR$4), 1, 0, 2, if(ISBLANK('2025'!$P352), 0, 1), 3, if(ISBLANK('2025'!$Q352), 0, 1), 4, if(ISBLANK('2025'!$R352), 0, 1), 5, if(ISBLANK('2025'!$S352), 0, 1), 6, if(ISBLANK('2025'!$T352), 0, 1), 7, 0))), 1, "")</f>
        <v/>
      </c>
      <c r="AS388" s="1" t="str">
        <f>IF(AND(AND(AND(AS$4&gt;='2025'!$L352,AS$4&lt;='2025'!$M352), AS$4&lt;&gt;DATE(2025,7,4)), (SWITCH(weekday(AS$4), 1, 0, 2, if(ISBLANK('2025'!$P352), 0, 1), 3, if(ISBLANK('2025'!$Q352), 0, 1), 4, if(ISBLANK('2025'!$R352), 0, 1), 5, if(ISBLANK('2025'!$S352), 0, 1), 6, if(ISBLANK('2025'!$T352), 0, 1), 7, 0))), 1, "")</f>
        <v/>
      </c>
      <c r="AT388" s="1" t="str">
        <f>IF(AND(AND(AND(AT$4&gt;='2025'!$L352,AT$4&lt;='2025'!$M352), AT$4&lt;&gt;DATE(2025,7,4)), (SWITCH(weekday(AT$4), 1, 0, 2, if(ISBLANK('2025'!$P352), 0, 1), 3, if(ISBLANK('2025'!$Q352), 0, 1), 4, if(ISBLANK('2025'!$R352), 0, 1), 5, if(ISBLANK('2025'!$S352), 0, 1), 6, if(ISBLANK('2025'!$T352), 0, 1), 7, 0))), 1, "")</f>
        <v/>
      </c>
      <c r="AU388" s="1" t="str">
        <f>IF(AND(AND(AND(AU$4&gt;='2025'!$L352,AU$4&lt;='2025'!$M352), AU$4&lt;&gt;DATE(2025,7,4)), (SWITCH(weekday(AU$4), 1, 0, 2, if(ISBLANK('2025'!$P352), 0, 1), 3, if(ISBLANK('2025'!$Q352), 0, 1), 4, if(ISBLANK('2025'!$R352), 0, 1), 5, if(ISBLANK('2025'!$S352), 0, 1), 6, if(ISBLANK('2025'!$T352), 0, 1), 7, 0))), 1, "")</f>
        <v/>
      </c>
      <c r="AV388" s="1" t="str">
        <f>IF(AND(AND(AND(AV$4&gt;='2025'!$L352,AV$4&lt;='2025'!$M352), AV$4&lt;&gt;DATE(2025,7,4)), (SWITCH(weekday(AV$4), 1, 0, 2, if(ISBLANK('2025'!$P352), 0, 1), 3, if(ISBLANK('2025'!$Q352), 0, 1), 4, if(ISBLANK('2025'!$R352), 0, 1), 5, if(ISBLANK('2025'!$S352), 0, 1), 6, if(ISBLANK('2025'!$T352), 0, 1), 7, 0))), 1, "")</f>
        <v/>
      </c>
      <c r="AW388" s="1" t="str">
        <f>IF(AND(AND(AND(AW$4&gt;='2025'!$L352,AW$4&lt;='2025'!$M352), AW$4&lt;&gt;DATE(2025,7,4)), (SWITCH(weekday(AW$4), 1, 0, 2, if(ISBLANK('2025'!$P352), 0, 1), 3, if(ISBLANK('2025'!$Q352), 0, 1), 4, if(ISBLANK('2025'!$R352), 0, 1), 5, if(ISBLANK('2025'!$S352), 0, 1), 6, if(ISBLANK('2025'!$T352), 0, 1), 7, 0))), 1, "")</f>
        <v/>
      </c>
      <c r="AX388" s="1" t="str">
        <f>IF(AND(AND(AND(AX$4&gt;='2025'!$L352,AX$4&lt;='2025'!$M352), AX$4&lt;&gt;DATE(2025,7,4)), (SWITCH(weekday(AX$4), 1, 0, 2, if(ISBLANK('2025'!$P352), 0, 1), 3, if(ISBLANK('2025'!$Q352), 0, 1), 4, if(ISBLANK('2025'!$R352), 0, 1), 5, if(ISBLANK('2025'!$S352), 0, 1), 6, if(ISBLANK('2025'!$T352), 0, 1), 7, 0))), 1, "")</f>
        <v/>
      </c>
      <c r="AY388" s="1" t="str">
        <f>IF(AND(AND(AND(AY$4&gt;='2025'!$L352,AY$4&lt;='2025'!$M352), AY$4&lt;&gt;DATE(2025,7,4)), (SWITCH(weekday(AY$4), 1, 0, 2, if(ISBLANK('2025'!$P352), 0, 1), 3, if(ISBLANK('2025'!$Q352), 0, 1), 4, if(ISBLANK('2025'!$R352), 0, 1), 5, if(ISBLANK('2025'!$S352), 0, 1), 6, if(ISBLANK('2025'!$T352), 0, 1), 7, 0))), 1, "")</f>
        <v/>
      </c>
      <c r="AZ388" s="1" t="str">
        <f>IF(AND(AND(AND(AZ$4&gt;='2025'!$L352,AZ$4&lt;='2025'!$M352), AZ$4&lt;&gt;DATE(2025,7,4)), (SWITCH(weekday(AZ$4), 1, 0, 2, if(ISBLANK('2025'!$P352), 0, 1), 3, if(ISBLANK('2025'!$Q352), 0, 1), 4, if(ISBLANK('2025'!$R352), 0, 1), 5, if(ISBLANK('2025'!$S352), 0, 1), 6, if(ISBLANK('2025'!$T352), 0, 1), 7, 0))), 1, "")</f>
        <v/>
      </c>
      <c r="BA388" s="1" t="str">
        <f>IF(AND(AND(AND(BA$4&gt;='2025'!$L352,BA$4&lt;='2025'!$M352), BA$4&lt;&gt;DATE(2025,7,4)), (SWITCH(weekday(BA$4), 1, 0, 2, if(ISBLANK('2025'!$P352), 0, 1), 3, if(ISBLANK('2025'!$Q352), 0, 1), 4, if(ISBLANK('2025'!$R352), 0, 1), 5, if(ISBLANK('2025'!$S352), 0, 1), 6, if(ISBLANK('2025'!$T352), 0, 1), 7, 0))), 1, "")</f>
        <v/>
      </c>
      <c r="BB388" s="1" t="str">
        <f>IF(AND(AND(AND(BB$4&gt;='2025'!$L352,BB$4&lt;='2025'!$M352), BB$4&lt;&gt;DATE(2025,7,4)), (SWITCH(weekday(BB$4), 1, 0, 2, if(ISBLANK('2025'!$P352), 0, 1), 3, if(ISBLANK('2025'!$Q352), 0, 1), 4, if(ISBLANK('2025'!$R352), 0, 1), 5, if(ISBLANK('2025'!$S352), 0, 1), 6, if(ISBLANK('2025'!$T352), 0, 1), 7, 0))), 1, "")</f>
        <v/>
      </c>
      <c r="BC388" s="1" t="str">
        <f>IF(AND(AND(AND(BC$4&gt;='2025'!$L352,BC$4&lt;='2025'!$M352), BC$4&lt;&gt;DATE(2025,7,4)), (SWITCH(weekday(BC$4), 1, 0, 2, if(ISBLANK('2025'!$P352), 0, 1), 3, if(ISBLANK('2025'!$Q352), 0, 1), 4, if(ISBLANK('2025'!$R352), 0, 1), 5, if(ISBLANK('2025'!$S352), 0, 1), 6, if(ISBLANK('2025'!$T352), 0, 1), 7, 0))), 1, "")</f>
        <v/>
      </c>
      <c r="BD388" s="1" t="str">
        <f>IF(AND(AND(AND(BD$4&gt;='2025'!$L352,BD$4&lt;='2025'!$M352), BD$4&lt;&gt;DATE(2025,7,4)), (SWITCH(weekday(BD$4), 1, 0, 2, if(ISBLANK('2025'!$P352), 0, 1), 3, if(ISBLANK('2025'!$Q352), 0, 1), 4, if(ISBLANK('2025'!$R352), 0, 1), 5, if(ISBLANK('2025'!$S352), 0, 1), 6, if(ISBLANK('2025'!$T352), 0, 1), 7, 0))), 1, "")</f>
        <v/>
      </c>
      <c r="BE388" s="1" t="str">
        <f>IF(AND(AND(AND(BE$4&gt;='2025'!$L352,BE$4&lt;='2025'!$M352), BE$4&lt;&gt;DATE(2025,7,4)), (SWITCH(weekday(BE$4), 1, 0, 2, if(ISBLANK('2025'!$P352), 0, 1), 3, if(ISBLANK('2025'!$Q352), 0, 1), 4, if(ISBLANK('2025'!$R352), 0, 1), 5, if(ISBLANK('2025'!$S352), 0, 1), 6, if(ISBLANK('2025'!$T352), 0, 1), 7, 0))), 1, "")</f>
        <v/>
      </c>
    </row>
    <row r="389">
      <c r="A389" s="1">
        <f t="shared" si="3"/>
        <v>389</v>
      </c>
      <c r="B389" s="1" t="str">
        <f>'2025'!D353</f>
        <v/>
      </c>
      <c r="C389" s="1" t="str">
        <f>'2025'!H353</f>
        <v/>
      </c>
      <c r="D389" s="1" t="str">
        <f>IF(AND(AND(AND(D$4&gt;='2025'!$L353,D$4&lt;='2025'!$M353), D$4&lt;&gt;DATE(2025,7,4)), (SWITCH(weekday(D$4), 1, 0, 2, if(ISBLANK('2025'!$P353), 0, 1), 3, if(ISBLANK('2025'!$Q353), 0, 1), 4, if(ISBLANK('2025'!$R353), 0, 1), 5, if(ISBLANK('2025'!$S353), 0, 1), 6, if(ISBLANK('2025'!$T353), 0, 1), 7, 0))), 1, "")</f>
        <v/>
      </c>
      <c r="E389" s="1" t="str">
        <f>IF(AND(AND(AND(E$4&gt;='2025'!$L353,E$4&lt;='2025'!$M353), E$4&lt;&gt;DATE(2025,7,4)), (SWITCH(weekday(E$4), 1, 0, 2, if(ISBLANK('2025'!$P353), 0, 1), 3, if(ISBLANK('2025'!$Q353), 0, 1), 4, if(ISBLANK('2025'!$R353), 0, 1), 5, if(ISBLANK('2025'!$S353), 0, 1), 6, if(ISBLANK('2025'!$T353), 0, 1), 7, 0))), 1, "")</f>
        <v/>
      </c>
      <c r="F389" s="1" t="str">
        <f>IF(AND(AND(AND(F$4&gt;='2025'!$L353,F$4&lt;='2025'!$M353), F$4&lt;&gt;DATE(2025,7,4)), (SWITCH(weekday(F$4), 1, 0, 2, if(ISBLANK('2025'!$P353), 0, 1), 3, if(ISBLANK('2025'!$Q353), 0, 1), 4, if(ISBLANK('2025'!$R353), 0, 1), 5, if(ISBLANK('2025'!$S353), 0, 1), 6, if(ISBLANK('2025'!$T353), 0, 1), 7, 0))), 1, "")</f>
        <v/>
      </c>
      <c r="G389" s="1" t="str">
        <f>IF(AND(AND(AND(G$4&gt;='2025'!$L353,G$4&lt;='2025'!$M353), G$4&lt;&gt;DATE(2025,7,4)), (SWITCH(weekday(G$4), 1, 0, 2, if(ISBLANK('2025'!$P353), 0, 1), 3, if(ISBLANK('2025'!$Q353), 0, 1), 4, if(ISBLANK('2025'!$R353), 0, 1), 5, if(ISBLANK('2025'!$S353), 0, 1), 6, if(ISBLANK('2025'!$T353), 0, 1), 7, 0))), 1, "")</f>
        <v/>
      </c>
      <c r="H389" s="1" t="str">
        <f>IF(AND(AND(AND(H$4&gt;='2025'!$L353,H$4&lt;='2025'!$M353), H$4&lt;&gt;DATE(2025,7,4)), (SWITCH(weekday(H$4), 1, 0, 2, if(ISBLANK('2025'!$P353), 0, 1), 3, if(ISBLANK('2025'!$Q353), 0, 1), 4, if(ISBLANK('2025'!$R353), 0, 1), 5, if(ISBLANK('2025'!$S353), 0, 1), 6, if(ISBLANK('2025'!$T353), 0, 1), 7, 0))), 1, "")</f>
        <v/>
      </c>
      <c r="I389" s="1" t="str">
        <f>IF(AND(AND(AND(I$4&gt;='2025'!$L353,I$4&lt;='2025'!$M353), I$4&lt;&gt;DATE(2025,7,4)), (SWITCH(weekday(I$4), 1, 0, 2, if(ISBLANK('2025'!$P353), 0, 1), 3, if(ISBLANK('2025'!$Q353), 0, 1), 4, if(ISBLANK('2025'!$R353), 0, 1), 5, if(ISBLANK('2025'!$S353), 0, 1), 6, if(ISBLANK('2025'!$T353), 0, 1), 7, 0))), 1, "")</f>
        <v/>
      </c>
      <c r="J389" s="1" t="str">
        <f>IF(AND(AND(AND(J$4&gt;='2025'!$L353,J$4&lt;='2025'!$M353), J$4&lt;&gt;DATE(2025,7,4)), (SWITCH(weekday(J$4), 1, 0, 2, if(ISBLANK('2025'!$P353), 0, 1), 3, if(ISBLANK('2025'!$Q353), 0, 1), 4, if(ISBLANK('2025'!$R353), 0, 1), 5, if(ISBLANK('2025'!$S353), 0, 1), 6, if(ISBLANK('2025'!$T353), 0, 1), 7, 0))), 1, "")</f>
        <v/>
      </c>
      <c r="K389" s="1" t="str">
        <f>IF(AND(AND(AND(K$4&gt;='2025'!$L353,K$4&lt;='2025'!$M353), K$4&lt;&gt;DATE(2025,7,4)), (SWITCH(weekday(K$4), 1, 0, 2, if(ISBLANK('2025'!$P353), 0, 1), 3, if(ISBLANK('2025'!$Q353), 0, 1), 4, if(ISBLANK('2025'!$R353), 0, 1), 5, if(ISBLANK('2025'!$S353), 0, 1), 6, if(ISBLANK('2025'!$T353), 0, 1), 7, 0))), 1, "")</f>
        <v/>
      </c>
      <c r="L389" s="1" t="str">
        <f>IF(AND(AND(AND(L$4&gt;='2025'!$L353,L$4&lt;='2025'!$M353), L$4&lt;&gt;DATE(2025,7,4)), (SWITCH(weekday(L$4), 1, 0, 2, if(ISBLANK('2025'!$P353), 0, 1), 3, if(ISBLANK('2025'!$Q353), 0, 1), 4, if(ISBLANK('2025'!$R353), 0, 1), 5, if(ISBLANK('2025'!$S353), 0, 1), 6, if(ISBLANK('2025'!$T353), 0, 1), 7, 0))), 1, "")</f>
        <v/>
      </c>
      <c r="M389" s="1" t="str">
        <f>IF(AND(AND(AND(M$4&gt;='2025'!$L353,M$4&lt;='2025'!$M353), M$4&lt;&gt;DATE(2025,7,4)), (SWITCH(weekday(M$4), 1, 0, 2, if(ISBLANK('2025'!$P353), 0, 1), 3, if(ISBLANK('2025'!$Q353), 0, 1), 4, if(ISBLANK('2025'!$R353), 0, 1), 5, if(ISBLANK('2025'!$S353), 0, 1), 6, if(ISBLANK('2025'!$T353), 0, 1), 7, 0))), 1, "")</f>
        <v/>
      </c>
      <c r="N389" s="1" t="str">
        <f>IF(AND(AND(AND(N$4&gt;='2025'!$L353,N$4&lt;='2025'!$M353), N$4&lt;&gt;DATE(2025,7,4)), (SWITCH(weekday(N$4), 1, 0, 2, if(ISBLANK('2025'!$P353), 0, 1), 3, if(ISBLANK('2025'!$Q353), 0, 1), 4, if(ISBLANK('2025'!$R353), 0, 1), 5, if(ISBLANK('2025'!$S353), 0, 1), 6, if(ISBLANK('2025'!$T353), 0, 1), 7, 0))), 1, "")</f>
        <v/>
      </c>
      <c r="O389" s="1" t="str">
        <f>IF(AND(AND(AND(O$4&gt;='2025'!$L353,O$4&lt;='2025'!$M353), O$4&lt;&gt;DATE(2025,7,4)), (SWITCH(weekday(O$4), 1, 0, 2, if(ISBLANK('2025'!$P353), 0, 1), 3, if(ISBLANK('2025'!$Q353), 0, 1), 4, if(ISBLANK('2025'!$R353), 0, 1), 5, if(ISBLANK('2025'!$S353), 0, 1), 6, if(ISBLANK('2025'!$T353), 0, 1), 7, 0))), 1, "")</f>
        <v/>
      </c>
      <c r="P389" s="1" t="str">
        <f>IF(AND(AND(AND(P$4&gt;='2025'!$L353,P$4&lt;='2025'!$M353), P$4&lt;&gt;DATE(2025,7,4)), (SWITCH(weekday(P$4), 1, 0, 2, if(ISBLANK('2025'!$P353), 0, 1), 3, if(ISBLANK('2025'!$Q353), 0, 1), 4, if(ISBLANK('2025'!$R353), 0, 1), 5, if(ISBLANK('2025'!$S353), 0, 1), 6, if(ISBLANK('2025'!$T353), 0, 1), 7, 0))), 1, "")</f>
        <v/>
      </c>
      <c r="Q389" s="1" t="str">
        <f>IF(AND(AND(AND(Q$4&gt;='2025'!$L353,Q$4&lt;='2025'!$M353), Q$4&lt;&gt;DATE(2025,7,4)), (SWITCH(weekday(Q$4), 1, 0, 2, if(ISBLANK('2025'!$P353), 0, 1), 3, if(ISBLANK('2025'!$Q353), 0, 1), 4, if(ISBLANK('2025'!$R353), 0, 1), 5, if(ISBLANK('2025'!$S353), 0, 1), 6, if(ISBLANK('2025'!$T353), 0, 1), 7, 0))), 1, "")</f>
        <v/>
      </c>
      <c r="R389" s="1" t="str">
        <f>IF(AND(AND(AND(R$4&gt;='2025'!$L353,R$4&lt;='2025'!$M353), R$4&lt;&gt;DATE(2025,7,4)), (SWITCH(weekday(R$4), 1, 0, 2, if(ISBLANK('2025'!$P353), 0, 1), 3, if(ISBLANK('2025'!$Q353), 0, 1), 4, if(ISBLANK('2025'!$R353), 0, 1), 5, if(ISBLANK('2025'!$S353), 0, 1), 6, if(ISBLANK('2025'!$T353), 0, 1), 7, 0))), 1, "")</f>
        <v/>
      </c>
      <c r="S389" s="1" t="str">
        <f>IF(AND(AND(AND(S$4&gt;='2025'!$L353,S$4&lt;='2025'!$M353), S$4&lt;&gt;DATE(2025,7,4)), (SWITCH(weekday(S$4), 1, 0, 2, if(ISBLANK('2025'!$P353), 0, 1), 3, if(ISBLANK('2025'!$Q353), 0, 1), 4, if(ISBLANK('2025'!$R353), 0, 1), 5, if(ISBLANK('2025'!$S353), 0, 1), 6, if(ISBLANK('2025'!$T353), 0, 1), 7, 0))), 1, "")</f>
        <v/>
      </c>
      <c r="T389" s="1" t="str">
        <f>IF(AND(AND(AND(T$4&gt;='2025'!$L353,T$4&lt;='2025'!$M353), T$4&lt;&gt;DATE(2025,7,4)), (SWITCH(weekday(T$4), 1, 0, 2, if(ISBLANK('2025'!$P353), 0, 1), 3, if(ISBLANK('2025'!$Q353), 0, 1), 4, if(ISBLANK('2025'!$R353), 0, 1), 5, if(ISBLANK('2025'!$S353), 0, 1), 6, if(ISBLANK('2025'!$T353), 0, 1), 7, 0))), 1, "")</f>
        <v/>
      </c>
      <c r="U389" s="1" t="str">
        <f>IF(AND(AND(AND(U$4&gt;='2025'!$L353,U$4&lt;='2025'!$M353), U$4&lt;&gt;DATE(2025,7,4)), (SWITCH(weekday(U$4), 1, 0, 2, if(ISBLANK('2025'!$P353), 0, 1), 3, if(ISBLANK('2025'!$Q353), 0, 1), 4, if(ISBLANK('2025'!$R353), 0, 1), 5, if(ISBLANK('2025'!$S353), 0, 1), 6, if(ISBLANK('2025'!$T353), 0, 1), 7, 0))), 1, "")</f>
        <v/>
      </c>
      <c r="V389" s="1" t="str">
        <f>IF(AND(AND(AND(V$4&gt;='2025'!$L353,V$4&lt;='2025'!$M353), V$4&lt;&gt;DATE(2025,7,4)), (SWITCH(weekday(V$4), 1, 0, 2, if(ISBLANK('2025'!$P353), 0, 1), 3, if(ISBLANK('2025'!$Q353), 0, 1), 4, if(ISBLANK('2025'!$R353), 0, 1), 5, if(ISBLANK('2025'!$S353), 0, 1), 6, if(ISBLANK('2025'!$T353), 0, 1), 7, 0))), 1, "")</f>
        <v/>
      </c>
      <c r="W389" s="1" t="str">
        <f>IF(AND(AND(AND(W$4&gt;='2025'!$L353,W$4&lt;='2025'!$M353), W$4&lt;&gt;DATE(2025,7,4)), (SWITCH(weekday(W$4), 1, 0, 2, if(ISBLANK('2025'!$P353), 0, 1), 3, if(ISBLANK('2025'!$Q353), 0, 1), 4, if(ISBLANK('2025'!$R353), 0, 1), 5, if(ISBLANK('2025'!$S353), 0, 1), 6, if(ISBLANK('2025'!$T353), 0, 1), 7, 0))), 1, "")</f>
        <v/>
      </c>
      <c r="X389" s="1" t="str">
        <f>IF(AND(AND(AND(X$4&gt;='2025'!$L353,X$4&lt;='2025'!$M353), X$4&lt;&gt;DATE(2025,7,4)), (SWITCH(weekday(X$4), 1, 0, 2, if(ISBLANK('2025'!$P353), 0, 1), 3, if(ISBLANK('2025'!$Q353), 0, 1), 4, if(ISBLANK('2025'!$R353), 0, 1), 5, if(ISBLANK('2025'!$S353), 0, 1), 6, if(ISBLANK('2025'!$T353), 0, 1), 7, 0))), 1, "")</f>
        <v/>
      </c>
      <c r="Y389" s="1" t="str">
        <f>IF(AND(AND(AND(Y$4&gt;='2025'!$L353,Y$4&lt;='2025'!$M353), Y$4&lt;&gt;DATE(2025,7,4)), (SWITCH(weekday(Y$4), 1, 0, 2, if(ISBLANK('2025'!$P353), 0, 1), 3, if(ISBLANK('2025'!$Q353), 0, 1), 4, if(ISBLANK('2025'!$R353), 0, 1), 5, if(ISBLANK('2025'!$S353), 0, 1), 6, if(ISBLANK('2025'!$T353), 0, 1), 7, 0))), 1, "")</f>
        <v/>
      </c>
      <c r="Z389" s="1" t="str">
        <f>IF(AND(AND(AND(Z$4&gt;='2025'!$L353,Z$4&lt;='2025'!$M353), Z$4&lt;&gt;DATE(2025,7,4)), (SWITCH(weekday(Z$4), 1, 0, 2, if(ISBLANK('2025'!$P353), 0, 1), 3, if(ISBLANK('2025'!$Q353), 0, 1), 4, if(ISBLANK('2025'!$R353), 0, 1), 5, if(ISBLANK('2025'!$S353), 0, 1), 6, if(ISBLANK('2025'!$T353), 0, 1), 7, 0))), 1, "")</f>
        <v/>
      </c>
      <c r="AA389" s="1" t="str">
        <f>IF(AND(AND(AND(AA$4&gt;='2025'!$L353,AA$4&lt;='2025'!$M353), AA$4&lt;&gt;DATE(2025,7,4)), (SWITCH(weekday(AA$4), 1, 0, 2, if(ISBLANK('2025'!$P353), 0, 1), 3, if(ISBLANK('2025'!$Q353), 0, 1), 4, if(ISBLANK('2025'!$R353), 0, 1), 5, if(ISBLANK('2025'!$S353), 0, 1), 6, if(ISBLANK('2025'!$T353), 0, 1), 7, 0))), 1, "")</f>
        <v/>
      </c>
      <c r="AB389" s="1" t="str">
        <f>IF(AND(AND(AND(AB$4&gt;='2025'!$L353,AB$4&lt;='2025'!$M353), AB$4&lt;&gt;DATE(2025,7,4)), (SWITCH(weekday(AB$4), 1, 0, 2, if(ISBLANK('2025'!$P353), 0, 1), 3, if(ISBLANK('2025'!$Q353), 0, 1), 4, if(ISBLANK('2025'!$R353), 0, 1), 5, if(ISBLANK('2025'!$S353), 0, 1), 6, if(ISBLANK('2025'!$T353), 0, 1), 7, 0))), 1, "")</f>
        <v/>
      </c>
      <c r="AC389" s="1" t="str">
        <f>IF(AND(AND(AND(AC$4&gt;='2025'!$L353,AC$4&lt;='2025'!$M353), AC$4&lt;&gt;DATE(2025,7,4)), (SWITCH(weekday(AC$4), 1, 0, 2, if(ISBLANK('2025'!$P353), 0, 1), 3, if(ISBLANK('2025'!$Q353), 0, 1), 4, if(ISBLANK('2025'!$R353), 0, 1), 5, if(ISBLANK('2025'!$S353), 0, 1), 6, if(ISBLANK('2025'!$T353), 0, 1), 7, 0))), 1, "")</f>
        <v/>
      </c>
      <c r="AD389" s="1" t="str">
        <f>IF(AND(AND(AND(AD$4&gt;='2025'!$L353,AD$4&lt;='2025'!$M353), AD$4&lt;&gt;DATE(2025,7,4)), (SWITCH(weekday(AD$4), 1, 0, 2, if(ISBLANK('2025'!$P353), 0, 1), 3, if(ISBLANK('2025'!$Q353), 0, 1), 4, if(ISBLANK('2025'!$R353), 0, 1), 5, if(ISBLANK('2025'!$S353), 0, 1), 6, if(ISBLANK('2025'!$T353), 0, 1), 7, 0))), 1, "")</f>
        <v/>
      </c>
      <c r="AE389" s="1" t="str">
        <f>IF(AND(AND(AND(AE$4&gt;='2025'!$L353,AE$4&lt;='2025'!$M353), AE$4&lt;&gt;DATE(2025,7,4)), (SWITCH(weekday(AE$4), 1, 0, 2, if(ISBLANK('2025'!$P353), 0, 1), 3, if(ISBLANK('2025'!$Q353), 0, 1), 4, if(ISBLANK('2025'!$R353), 0, 1), 5, if(ISBLANK('2025'!$S353), 0, 1), 6, if(ISBLANK('2025'!$T353), 0, 1), 7, 0))), 1, "")</f>
        <v/>
      </c>
      <c r="AF389" s="1" t="str">
        <f>IF(AND(AND(AND(AF$4&gt;='2025'!$L353,AF$4&lt;='2025'!$M353), AF$4&lt;&gt;DATE(2025,7,4)), (SWITCH(weekday(AF$4), 1, 0, 2, if(ISBLANK('2025'!$P353), 0, 1), 3, if(ISBLANK('2025'!$Q353), 0, 1), 4, if(ISBLANK('2025'!$R353), 0, 1), 5, if(ISBLANK('2025'!$S353), 0, 1), 6, if(ISBLANK('2025'!$T353), 0, 1), 7, 0))), 1, "")</f>
        <v/>
      </c>
      <c r="AG389" s="1" t="str">
        <f>IF(AND(AND(AND(AG$4&gt;='2025'!$L353,AG$4&lt;='2025'!$M353), AG$4&lt;&gt;DATE(2025,7,4)), (SWITCH(weekday(AG$4), 1, 0, 2, if(ISBLANK('2025'!$P353), 0, 1), 3, if(ISBLANK('2025'!$Q353), 0, 1), 4, if(ISBLANK('2025'!$R353), 0, 1), 5, if(ISBLANK('2025'!$S353), 0, 1), 6, if(ISBLANK('2025'!$T353), 0, 1), 7, 0))), 1, "")</f>
        <v/>
      </c>
      <c r="AH389" s="1" t="str">
        <f>IF(AND(AND(AND(AH$4&gt;='2025'!$L353,AH$4&lt;='2025'!$M353), AH$4&lt;&gt;DATE(2025,7,4)), (SWITCH(weekday(AH$4), 1, 0, 2, if(ISBLANK('2025'!$P353), 0, 1), 3, if(ISBLANK('2025'!$Q353), 0, 1), 4, if(ISBLANK('2025'!$R353), 0, 1), 5, if(ISBLANK('2025'!$S353), 0, 1), 6, if(ISBLANK('2025'!$T353), 0, 1), 7, 0))), 1, "")</f>
        <v/>
      </c>
      <c r="AI389" s="1" t="str">
        <f>IF(AND(AND(AND(AI$4&gt;='2025'!$L353,AI$4&lt;='2025'!$M353), AI$4&lt;&gt;DATE(2025,7,4)), (SWITCH(weekday(AI$4), 1, 0, 2, if(ISBLANK('2025'!$P353), 0, 1), 3, if(ISBLANK('2025'!$Q353), 0, 1), 4, if(ISBLANK('2025'!$R353), 0, 1), 5, if(ISBLANK('2025'!$S353), 0, 1), 6, if(ISBLANK('2025'!$T353), 0, 1), 7, 0))), 1, "")</f>
        <v/>
      </c>
      <c r="AJ389" s="1" t="str">
        <f>IF(AND(AND(AND(AJ$4&gt;='2025'!$L353,AJ$4&lt;='2025'!$M353), AJ$4&lt;&gt;DATE(2025,7,4)), (SWITCH(weekday(AJ$4), 1, 0, 2, if(ISBLANK('2025'!$P353), 0, 1), 3, if(ISBLANK('2025'!$Q353), 0, 1), 4, if(ISBLANK('2025'!$R353), 0, 1), 5, if(ISBLANK('2025'!$S353), 0, 1), 6, if(ISBLANK('2025'!$T353), 0, 1), 7, 0))), 1, "")</f>
        <v/>
      </c>
      <c r="AK389" s="1" t="str">
        <f>IF(AND(AND(AND(AK$4&gt;='2025'!$L353,AK$4&lt;='2025'!$M353), AK$4&lt;&gt;DATE(2025,7,4)), (SWITCH(weekday(AK$4), 1, 0, 2, if(ISBLANK('2025'!$P353), 0, 1), 3, if(ISBLANK('2025'!$Q353), 0, 1), 4, if(ISBLANK('2025'!$R353), 0, 1), 5, if(ISBLANK('2025'!$S353), 0, 1), 6, if(ISBLANK('2025'!$T353), 0, 1), 7, 0))), 1, "")</f>
        <v/>
      </c>
      <c r="AL389" s="1" t="str">
        <f>IF(AND(AND(AND(AL$4&gt;='2025'!$L353,AL$4&lt;='2025'!$M353), AL$4&lt;&gt;DATE(2025,7,4)), (SWITCH(weekday(AL$4), 1, 0, 2, if(ISBLANK('2025'!$P353), 0, 1), 3, if(ISBLANK('2025'!$Q353), 0, 1), 4, if(ISBLANK('2025'!$R353), 0, 1), 5, if(ISBLANK('2025'!$S353), 0, 1), 6, if(ISBLANK('2025'!$T353), 0, 1), 7, 0))), 1, "")</f>
        <v/>
      </c>
      <c r="AM389" s="1" t="str">
        <f>IF(AND(AND(AND(AM$4&gt;='2025'!$L353,AM$4&lt;='2025'!$M353), AM$4&lt;&gt;DATE(2025,7,4)), (SWITCH(weekday(AM$4), 1, 0, 2, if(ISBLANK('2025'!$P353), 0, 1), 3, if(ISBLANK('2025'!$Q353), 0, 1), 4, if(ISBLANK('2025'!$R353), 0, 1), 5, if(ISBLANK('2025'!$S353), 0, 1), 6, if(ISBLANK('2025'!$T353), 0, 1), 7, 0))), 1, "")</f>
        <v/>
      </c>
      <c r="AN389" s="1" t="str">
        <f>IF(AND(AND(AND(AN$4&gt;='2025'!$L353,AN$4&lt;='2025'!$M353), AN$4&lt;&gt;DATE(2025,7,4)), (SWITCH(weekday(AN$4), 1, 0, 2, if(ISBLANK('2025'!$P353), 0, 1), 3, if(ISBLANK('2025'!$Q353), 0, 1), 4, if(ISBLANK('2025'!$R353), 0, 1), 5, if(ISBLANK('2025'!$S353), 0, 1), 6, if(ISBLANK('2025'!$T353), 0, 1), 7, 0))), 1, "")</f>
        <v/>
      </c>
      <c r="AO389" s="1" t="str">
        <f>IF(AND(AND(AND(AO$4&gt;='2025'!$L353,AO$4&lt;='2025'!$M353), AO$4&lt;&gt;DATE(2025,7,4)), (SWITCH(weekday(AO$4), 1, 0, 2, if(ISBLANK('2025'!$P353), 0, 1), 3, if(ISBLANK('2025'!$Q353), 0, 1), 4, if(ISBLANK('2025'!$R353), 0, 1), 5, if(ISBLANK('2025'!$S353), 0, 1), 6, if(ISBLANK('2025'!$T353), 0, 1), 7, 0))), 1, "")</f>
        <v/>
      </c>
      <c r="AP389" s="1" t="str">
        <f>IF(AND(AND(AND(AP$4&gt;='2025'!$L353,AP$4&lt;='2025'!$M353), AP$4&lt;&gt;DATE(2025,7,4)), (SWITCH(weekday(AP$4), 1, 0, 2, if(ISBLANK('2025'!$P353), 0, 1), 3, if(ISBLANK('2025'!$Q353), 0, 1), 4, if(ISBLANK('2025'!$R353), 0, 1), 5, if(ISBLANK('2025'!$S353), 0, 1), 6, if(ISBLANK('2025'!$T353), 0, 1), 7, 0))), 1, "")</f>
        <v/>
      </c>
      <c r="AQ389" s="1" t="str">
        <f>IF(AND(AND(AND(AQ$4&gt;='2025'!$L353,AQ$4&lt;='2025'!$M353), AQ$4&lt;&gt;DATE(2025,7,4)), (SWITCH(weekday(AQ$4), 1, 0, 2, if(ISBLANK('2025'!$P353), 0, 1), 3, if(ISBLANK('2025'!$Q353), 0, 1), 4, if(ISBLANK('2025'!$R353), 0, 1), 5, if(ISBLANK('2025'!$S353), 0, 1), 6, if(ISBLANK('2025'!$T353), 0, 1), 7, 0))), 1, "")</f>
        <v/>
      </c>
      <c r="AR389" s="1" t="str">
        <f>IF(AND(AND(AND(AR$4&gt;='2025'!$L353,AR$4&lt;='2025'!$M353), AR$4&lt;&gt;DATE(2025,7,4)), (SWITCH(weekday(AR$4), 1, 0, 2, if(ISBLANK('2025'!$P353), 0, 1), 3, if(ISBLANK('2025'!$Q353), 0, 1), 4, if(ISBLANK('2025'!$R353), 0, 1), 5, if(ISBLANK('2025'!$S353), 0, 1), 6, if(ISBLANK('2025'!$T353), 0, 1), 7, 0))), 1, "")</f>
        <v/>
      </c>
      <c r="AS389" s="1" t="str">
        <f>IF(AND(AND(AND(AS$4&gt;='2025'!$L353,AS$4&lt;='2025'!$M353), AS$4&lt;&gt;DATE(2025,7,4)), (SWITCH(weekday(AS$4), 1, 0, 2, if(ISBLANK('2025'!$P353), 0, 1), 3, if(ISBLANK('2025'!$Q353), 0, 1), 4, if(ISBLANK('2025'!$R353), 0, 1), 5, if(ISBLANK('2025'!$S353), 0, 1), 6, if(ISBLANK('2025'!$T353), 0, 1), 7, 0))), 1, "")</f>
        <v/>
      </c>
      <c r="AT389" s="1" t="str">
        <f>IF(AND(AND(AND(AT$4&gt;='2025'!$L353,AT$4&lt;='2025'!$M353), AT$4&lt;&gt;DATE(2025,7,4)), (SWITCH(weekday(AT$4), 1, 0, 2, if(ISBLANK('2025'!$P353), 0, 1), 3, if(ISBLANK('2025'!$Q353), 0, 1), 4, if(ISBLANK('2025'!$R353), 0, 1), 5, if(ISBLANK('2025'!$S353), 0, 1), 6, if(ISBLANK('2025'!$T353), 0, 1), 7, 0))), 1, "")</f>
        <v/>
      </c>
      <c r="AU389" s="1" t="str">
        <f>IF(AND(AND(AND(AU$4&gt;='2025'!$L353,AU$4&lt;='2025'!$M353), AU$4&lt;&gt;DATE(2025,7,4)), (SWITCH(weekday(AU$4), 1, 0, 2, if(ISBLANK('2025'!$P353), 0, 1), 3, if(ISBLANK('2025'!$Q353), 0, 1), 4, if(ISBLANK('2025'!$R353), 0, 1), 5, if(ISBLANK('2025'!$S353), 0, 1), 6, if(ISBLANK('2025'!$T353), 0, 1), 7, 0))), 1, "")</f>
        <v/>
      </c>
      <c r="AV389" s="1" t="str">
        <f>IF(AND(AND(AND(AV$4&gt;='2025'!$L353,AV$4&lt;='2025'!$M353), AV$4&lt;&gt;DATE(2025,7,4)), (SWITCH(weekday(AV$4), 1, 0, 2, if(ISBLANK('2025'!$P353), 0, 1), 3, if(ISBLANK('2025'!$Q353), 0, 1), 4, if(ISBLANK('2025'!$R353), 0, 1), 5, if(ISBLANK('2025'!$S353), 0, 1), 6, if(ISBLANK('2025'!$T353), 0, 1), 7, 0))), 1, "")</f>
        <v/>
      </c>
      <c r="AW389" s="1" t="str">
        <f>IF(AND(AND(AND(AW$4&gt;='2025'!$L353,AW$4&lt;='2025'!$M353), AW$4&lt;&gt;DATE(2025,7,4)), (SWITCH(weekday(AW$4), 1, 0, 2, if(ISBLANK('2025'!$P353), 0, 1), 3, if(ISBLANK('2025'!$Q353), 0, 1), 4, if(ISBLANK('2025'!$R353), 0, 1), 5, if(ISBLANK('2025'!$S353), 0, 1), 6, if(ISBLANK('2025'!$T353), 0, 1), 7, 0))), 1, "")</f>
        <v/>
      </c>
      <c r="AX389" s="1" t="str">
        <f>IF(AND(AND(AND(AX$4&gt;='2025'!$L353,AX$4&lt;='2025'!$M353), AX$4&lt;&gt;DATE(2025,7,4)), (SWITCH(weekday(AX$4), 1, 0, 2, if(ISBLANK('2025'!$P353), 0, 1), 3, if(ISBLANK('2025'!$Q353), 0, 1), 4, if(ISBLANK('2025'!$R353), 0, 1), 5, if(ISBLANK('2025'!$S353), 0, 1), 6, if(ISBLANK('2025'!$T353), 0, 1), 7, 0))), 1, "")</f>
        <v/>
      </c>
      <c r="AY389" s="1" t="str">
        <f>IF(AND(AND(AND(AY$4&gt;='2025'!$L353,AY$4&lt;='2025'!$M353), AY$4&lt;&gt;DATE(2025,7,4)), (SWITCH(weekday(AY$4), 1, 0, 2, if(ISBLANK('2025'!$P353), 0, 1), 3, if(ISBLANK('2025'!$Q353), 0, 1), 4, if(ISBLANK('2025'!$R353), 0, 1), 5, if(ISBLANK('2025'!$S353), 0, 1), 6, if(ISBLANK('2025'!$T353), 0, 1), 7, 0))), 1, "")</f>
        <v/>
      </c>
      <c r="AZ389" s="1" t="str">
        <f>IF(AND(AND(AND(AZ$4&gt;='2025'!$L353,AZ$4&lt;='2025'!$M353), AZ$4&lt;&gt;DATE(2025,7,4)), (SWITCH(weekday(AZ$4), 1, 0, 2, if(ISBLANK('2025'!$P353), 0, 1), 3, if(ISBLANK('2025'!$Q353), 0, 1), 4, if(ISBLANK('2025'!$R353), 0, 1), 5, if(ISBLANK('2025'!$S353), 0, 1), 6, if(ISBLANK('2025'!$T353), 0, 1), 7, 0))), 1, "")</f>
        <v/>
      </c>
      <c r="BA389" s="1" t="str">
        <f>IF(AND(AND(AND(BA$4&gt;='2025'!$L353,BA$4&lt;='2025'!$M353), BA$4&lt;&gt;DATE(2025,7,4)), (SWITCH(weekday(BA$4), 1, 0, 2, if(ISBLANK('2025'!$P353), 0, 1), 3, if(ISBLANK('2025'!$Q353), 0, 1), 4, if(ISBLANK('2025'!$R353), 0, 1), 5, if(ISBLANK('2025'!$S353), 0, 1), 6, if(ISBLANK('2025'!$T353), 0, 1), 7, 0))), 1, "")</f>
        <v/>
      </c>
      <c r="BB389" s="1" t="str">
        <f>IF(AND(AND(AND(BB$4&gt;='2025'!$L353,BB$4&lt;='2025'!$M353), BB$4&lt;&gt;DATE(2025,7,4)), (SWITCH(weekday(BB$4), 1, 0, 2, if(ISBLANK('2025'!$P353), 0, 1), 3, if(ISBLANK('2025'!$Q353), 0, 1), 4, if(ISBLANK('2025'!$R353), 0, 1), 5, if(ISBLANK('2025'!$S353), 0, 1), 6, if(ISBLANK('2025'!$T353), 0, 1), 7, 0))), 1, "")</f>
        <v/>
      </c>
      <c r="BC389" s="1" t="str">
        <f>IF(AND(AND(AND(BC$4&gt;='2025'!$L353,BC$4&lt;='2025'!$M353), BC$4&lt;&gt;DATE(2025,7,4)), (SWITCH(weekday(BC$4), 1, 0, 2, if(ISBLANK('2025'!$P353), 0, 1), 3, if(ISBLANK('2025'!$Q353), 0, 1), 4, if(ISBLANK('2025'!$R353), 0, 1), 5, if(ISBLANK('2025'!$S353), 0, 1), 6, if(ISBLANK('2025'!$T353), 0, 1), 7, 0))), 1, "")</f>
        <v/>
      </c>
      <c r="BD389" s="1" t="str">
        <f>IF(AND(AND(AND(BD$4&gt;='2025'!$L353,BD$4&lt;='2025'!$M353), BD$4&lt;&gt;DATE(2025,7,4)), (SWITCH(weekday(BD$4), 1, 0, 2, if(ISBLANK('2025'!$P353), 0, 1), 3, if(ISBLANK('2025'!$Q353), 0, 1), 4, if(ISBLANK('2025'!$R353), 0, 1), 5, if(ISBLANK('2025'!$S353), 0, 1), 6, if(ISBLANK('2025'!$T353), 0, 1), 7, 0))), 1, "")</f>
        <v/>
      </c>
      <c r="BE389" s="1" t="str">
        <f>IF(AND(AND(AND(BE$4&gt;='2025'!$L353,BE$4&lt;='2025'!$M353), BE$4&lt;&gt;DATE(2025,7,4)), (SWITCH(weekday(BE$4), 1, 0, 2, if(ISBLANK('2025'!$P353), 0, 1), 3, if(ISBLANK('2025'!$Q353), 0, 1), 4, if(ISBLANK('2025'!$R353), 0, 1), 5, if(ISBLANK('2025'!$S353), 0, 1), 6, if(ISBLANK('2025'!$T353), 0, 1), 7, 0))), 1, "")</f>
        <v/>
      </c>
    </row>
    <row r="390">
      <c r="A390" s="1">
        <f t="shared" si="3"/>
        <v>390</v>
      </c>
      <c r="B390" s="1" t="str">
        <f>'2025'!D354</f>
        <v/>
      </c>
      <c r="C390" s="1" t="str">
        <f>'2025'!H354</f>
        <v/>
      </c>
      <c r="D390" s="1" t="str">
        <f>IF(AND(AND(AND(D$4&gt;='2025'!$L354,D$4&lt;='2025'!$M354), D$4&lt;&gt;DATE(2025,7,4)), (SWITCH(weekday(D$4), 1, 0, 2, if(ISBLANK('2025'!$P354), 0, 1), 3, if(ISBLANK('2025'!$Q354), 0, 1), 4, if(ISBLANK('2025'!$R354), 0, 1), 5, if(ISBLANK('2025'!$S354), 0, 1), 6, if(ISBLANK('2025'!$T354), 0, 1), 7, 0))), 1, "")</f>
        <v/>
      </c>
      <c r="E390" s="1" t="str">
        <f>IF(AND(AND(AND(E$4&gt;='2025'!$L354,E$4&lt;='2025'!$M354), E$4&lt;&gt;DATE(2025,7,4)), (SWITCH(weekday(E$4), 1, 0, 2, if(ISBLANK('2025'!$P354), 0, 1), 3, if(ISBLANK('2025'!$Q354), 0, 1), 4, if(ISBLANK('2025'!$R354), 0, 1), 5, if(ISBLANK('2025'!$S354), 0, 1), 6, if(ISBLANK('2025'!$T354), 0, 1), 7, 0))), 1, "")</f>
        <v/>
      </c>
      <c r="F390" s="1" t="str">
        <f>IF(AND(AND(AND(F$4&gt;='2025'!$L354,F$4&lt;='2025'!$M354), F$4&lt;&gt;DATE(2025,7,4)), (SWITCH(weekday(F$4), 1, 0, 2, if(ISBLANK('2025'!$P354), 0, 1), 3, if(ISBLANK('2025'!$Q354), 0, 1), 4, if(ISBLANK('2025'!$R354), 0, 1), 5, if(ISBLANK('2025'!$S354), 0, 1), 6, if(ISBLANK('2025'!$T354), 0, 1), 7, 0))), 1, "")</f>
        <v/>
      </c>
      <c r="G390" s="1" t="str">
        <f>IF(AND(AND(AND(G$4&gt;='2025'!$L354,G$4&lt;='2025'!$M354), G$4&lt;&gt;DATE(2025,7,4)), (SWITCH(weekday(G$4), 1, 0, 2, if(ISBLANK('2025'!$P354), 0, 1), 3, if(ISBLANK('2025'!$Q354), 0, 1), 4, if(ISBLANK('2025'!$R354), 0, 1), 5, if(ISBLANK('2025'!$S354), 0, 1), 6, if(ISBLANK('2025'!$T354), 0, 1), 7, 0))), 1, "")</f>
        <v/>
      </c>
      <c r="H390" s="1" t="str">
        <f>IF(AND(AND(AND(H$4&gt;='2025'!$L354,H$4&lt;='2025'!$M354), H$4&lt;&gt;DATE(2025,7,4)), (SWITCH(weekday(H$4), 1, 0, 2, if(ISBLANK('2025'!$P354), 0, 1), 3, if(ISBLANK('2025'!$Q354), 0, 1), 4, if(ISBLANK('2025'!$R354), 0, 1), 5, if(ISBLANK('2025'!$S354), 0, 1), 6, if(ISBLANK('2025'!$T354), 0, 1), 7, 0))), 1, "")</f>
        <v/>
      </c>
      <c r="I390" s="1" t="str">
        <f>IF(AND(AND(AND(I$4&gt;='2025'!$L354,I$4&lt;='2025'!$M354), I$4&lt;&gt;DATE(2025,7,4)), (SWITCH(weekday(I$4), 1, 0, 2, if(ISBLANK('2025'!$P354), 0, 1), 3, if(ISBLANK('2025'!$Q354), 0, 1), 4, if(ISBLANK('2025'!$R354), 0, 1), 5, if(ISBLANK('2025'!$S354), 0, 1), 6, if(ISBLANK('2025'!$T354), 0, 1), 7, 0))), 1, "")</f>
        <v/>
      </c>
      <c r="J390" s="1" t="str">
        <f>IF(AND(AND(AND(J$4&gt;='2025'!$L354,J$4&lt;='2025'!$M354), J$4&lt;&gt;DATE(2025,7,4)), (SWITCH(weekday(J$4), 1, 0, 2, if(ISBLANK('2025'!$P354), 0, 1), 3, if(ISBLANK('2025'!$Q354), 0, 1), 4, if(ISBLANK('2025'!$R354), 0, 1), 5, if(ISBLANK('2025'!$S354), 0, 1), 6, if(ISBLANK('2025'!$T354), 0, 1), 7, 0))), 1, "")</f>
        <v/>
      </c>
      <c r="K390" s="1" t="str">
        <f>IF(AND(AND(AND(K$4&gt;='2025'!$L354,K$4&lt;='2025'!$M354), K$4&lt;&gt;DATE(2025,7,4)), (SWITCH(weekday(K$4), 1, 0, 2, if(ISBLANK('2025'!$P354), 0, 1), 3, if(ISBLANK('2025'!$Q354), 0, 1), 4, if(ISBLANK('2025'!$R354), 0, 1), 5, if(ISBLANK('2025'!$S354), 0, 1), 6, if(ISBLANK('2025'!$T354), 0, 1), 7, 0))), 1, "")</f>
        <v/>
      </c>
      <c r="L390" s="1" t="str">
        <f>IF(AND(AND(AND(L$4&gt;='2025'!$L354,L$4&lt;='2025'!$M354), L$4&lt;&gt;DATE(2025,7,4)), (SWITCH(weekday(L$4), 1, 0, 2, if(ISBLANK('2025'!$P354), 0, 1), 3, if(ISBLANK('2025'!$Q354), 0, 1), 4, if(ISBLANK('2025'!$R354), 0, 1), 5, if(ISBLANK('2025'!$S354), 0, 1), 6, if(ISBLANK('2025'!$T354), 0, 1), 7, 0))), 1, "")</f>
        <v/>
      </c>
      <c r="M390" s="1" t="str">
        <f>IF(AND(AND(AND(M$4&gt;='2025'!$L354,M$4&lt;='2025'!$M354), M$4&lt;&gt;DATE(2025,7,4)), (SWITCH(weekday(M$4), 1, 0, 2, if(ISBLANK('2025'!$P354), 0, 1), 3, if(ISBLANK('2025'!$Q354), 0, 1), 4, if(ISBLANK('2025'!$R354), 0, 1), 5, if(ISBLANK('2025'!$S354), 0, 1), 6, if(ISBLANK('2025'!$T354), 0, 1), 7, 0))), 1, "")</f>
        <v/>
      </c>
      <c r="N390" s="1" t="str">
        <f>IF(AND(AND(AND(N$4&gt;='2025'!$L354,N$4&lt;='2025'!$M354), N$4&lt;&gt;DATE(2025,7,4)), (SWITCH(weekday(N$4), 1, 0, 2, if(ISBLANK('2025'!$P354), 0, 1), 3, if(ISBLANK('2025'!$Q354), 0, 1), 4, if(ISBLANK('2025'!$R354), 0, 1), 5, if(ISBLANK('2025'!$S354), 0, 1), 6, if(ISBLANK('2025'!$T354), 0, 1), 7, 0))), 1, "")</f>
        <v/>
      </c>
      <c r="O390" s="1" t="str">
        <f>IF(AND(AND(AND(O$4&gt;='2025'!$L354,O$4&lt;='2025'!$M354), O$4&lt;&gt;DATE(2025,7,4)), (SWITCH(weekday(O$4), 1, 0, 2, if(ISBLANK('2025'!$P354), 0, 1), 3, if(ISBLANK('2025'!$Q354), 0, 1), 4, if(ISBLANK('2025'!$R354), 0, 1), 5, if(ISBLANK('2025'!$S354), 0, 1), 6, if(ISBLANK('2025'!$T354), 0, 1), 7, 0))), 1, "")</f>
        <v/>
      </c>
      <c r="P390" s="1" t="str">
        <f>IF(AND(AND(AND(P$4&gt;='2025'!$L354,P$4&lt;='2025'!$M354), P$4&lt;&gt;DATE(2025,7,4)), (SWITCH(weekday(P$4), 1, 0, 2, if(ISBLANK('2025'!$P354), 0, 1), 3, if(ISBLANK('2025'!$Q354), 0, 1), 4, if(ISBLANK('2025'!$R354), 0, 1), 5, if(ISBLANK('2025'!$S354), 0, 1), 6, if(ISBLANK('2025'!$T354), 0, 1), 7, 0))), 1, "")</f>
        <v/>
      </c>
      <c r="Q390" s="1" t="str">
        <f>IF(AND(AND(AND(Q$4&gt;='2025'!$L354,Q$4&lt;='2025'!$M354), Q$4&lt;&gt;DATE(2025,7,4)), (SWITCH(weekday(Q$4), 1, 0, 2, if(ISBLANK('2025'!$P354), 0, 1), 3, if(ISBLANK('2025'!$Q354), 0, 1), 4, if(ISBLANK('2025'!$R354), 0, 1), 5, if(ISBLANK('2025'!$S354), 0, 1), 6, if(ISBLANK('2025'!$T354), 0, 1), 7, 0))), 1, "")</f>
        <v/>
      </c>
      <c r="R390" s="1" t="str">
        <f>IF(AND(AND(AND(R$4&gt;='2025'!$L354,R$4&lt;='2025'!$M354), R$4&lt;&gt;DATE(2025,7,4)), (SWITCH(weekday(R$4), 1, 0, 2, if(ISBLANK('2025'!$P354), 0, 1), 3, if(ISBLANK('2025'!$Q354), 0, 1), 4, if(ISBLANK('2025'!$R354), 0, 1), 5, if(ISBLANK('2025'!$S354), 0, 1), 6, if(ISBLANK('2025'!$T354), 0, 1), 7, 0))), 1, "")</f>
        <v/>
      </c>
      <c r="S390" s="1" t="str">
        <f>IF(AND(AND(AND(S$4&gt;='2025'!$L354,S$4&lt;='2025'!$M354), S$4&lt;&gt;DATE(2025,7,4)), (SWITCH(weekday(S$4), 1, 0, 2, if(ISBLANK('2025'!$P354), 0, 1), 3, if(ISBLANK('2025'!$Q354), 0, 1), 4, if(ISBLANK('2025'!$R354), 0, 1), 5, if(ISBLANK('2025'!$S354), 0, 1), 6, if(ISBLANK('2025'!$T354), 0, 1), 7, 0))), 1, "")</f>
        <v/>
      </c>
      <c r="T390" s="1" t="str">
        <f>IF(AND(AND(AND(T$4&gt;='2025'!$L354,T$4&lt;='2025'!$M354), T$4&lt;&gt;DATE(2025,7,4)), (SWITCH(weekday(T$4), 1, 0, 2, if(ISBLANK('2025'!$P354), 0, 1), 3, if(ISBLANK('2025'!$Q354), 0, 1), 4, if(ISBLANK('2025'!$R354), 0, 1), 5, if(ISBLANK('2025'!$S354), 0, 1), 6, if(ISBLANK('2025'!$T354), 0, 1), 7, 0))), 1, "")</f>
        <v/>
      </c>
      <c r="U390" s="1" t="str">
        <f>IF(AND(AND(AND(U$4&gt;='2025'!$L354,U$4&lt;='2025'!$M354), U$4&lt;&gt;DATE(2025,7,4)), (SWITCH(weekday(U$4), 1, 0, 2, if(ISBLANK('2025'!$P354), 0, 1), 3, if(ISBLANK('2025'!$Q354), 0, 1), 4, if(ISBLANK('2025'!$R354), 0, 1), 5, if(ISBLANK('2025'!$S354), 0, 1), 6, if(ISBLANK('2025'!$T354), 0, 1), 7, 0))), 1, "")</f>
        <v/>
      </c>
      <c r="V390" s="1" t="str">
        <f>IF(AND(AND(AND(V$4&gt;='2025'!$L354,V$4&lt;='2025'!$M354), V$4&lt;&gt;DATE(2025,7,4)), (SWITCH(weekday(V$4), 1, 0, 2, if(ISBLANK('2025'!$P354), 0, 1), 3, if(ISBLANK('2025'!$Q354), 0, 1), 4, if(ISBLANK('2025'!$R354), 0, 1), 5, if(ISBLANK('2025'!$S354), 0, 1), 6, if(ISBLANK('2025'!$T354), 0, 1), 7, 0))), 1, "")</f>
        <v/>
      </c>
      <c r="W390" s="1" t="str">
        <f>IF(AND(AND(AND(W$4&gt;='2025'!$L354,W$4&lt;='2025'!$M354), W$4&lt;&gt;DATE(2025,7,4)), (SWITCH(weekday(W$4), 1, 0, 2, if(ISBLANK('2025'!$P354), 0, 1), 3, if(ISBLANK('2025'!$Q354), 0, 1), 4, if(ISBLANK('2025'!$R354), 0, 1), 5, if(ISBLANK('2025'!$S354), 0, 1), 6, if(ISBLANK('2025'!$T354), 0, 1), 7, 0))), 1, "")</f>
        <v/>
      </c>
      <c r="X390" s="1" t="str">
        <f>IF(AND(AND(AND(X$4&gt;='2025'!$L354,X$4&lt;='2025'!$M354), X$4&lt;&gt;DATE(2025,7,4)), (SWITCH(weekday(X$4), 1, 0, 2, if(ISBLANK('2025'!$P354), 0, 1), 3, if(ISBLANK('2025'!$Q354), 0, 1), 4, if(ISBLANK('2025'!$R354), 0, 1), 5, if(ISBLANK('2025'!$S354), 0, 1), 6, if(ISBLANK('2025'!$T354), 0, 1), 7, 0))), 1, "")</f>
        <v/>
      </c>
      <c r="Y390" s="1" t="str">
        <f>IF(AND(AND(AND(Y$4&gt;='2025'!$L354,Y$4&lt;='2025'!$M354), Y$4&lt;&gt;DATE(2025,7,4)), (SWITCH(weekday(Y$4), 1, 0, 2, if(ISBLANK('2025'!$P354), 0, 1), 3, if(ISBLANK('2025'!$Q354), 0, 1), 4, if(ISBLANK('2025'!$R354), 0, 1), 5, if(ISBLANK('2025'!$S354), 0, 1), 6, if(ISBLANK('2025'!$T354), 0, 1), 7, 0))), 1, "")</f>
        <v/>
      </c>
      <c r="Z390" s="1" t="str">
        <f>IF(AND(AND(AND(Z$4&gt;='2025'!$L354,Z$4&lt;='2025'!$M354), Z$4&lt;&gt;DATE(2025,7,4)), (SWITCH(weekday(Z$4), 1, 0, 2, if(ISBLANK('2025'!$P354), 0, 1), 3, if(ISBLANK('2025'!$Q354), 0, 1), 4, if(ISBLANK('2025'!$R354), 0, 1), 5, if(ISBLANK('2025'!$S354), 0, 1), 6, if(ISBLANK('2025'!$T354), 0, 1), 7, 0))), 1, "")</f>
        <v/>
      </c>
      <c r="AA390" s="1" t="str">
        <f>IF(AND(AND(AND(AA$4&gt;='2025'!$L354,AA$4&lt;='2025'!$M354), AA$4&lt;&gt;DATE(2025,7,4)), (SWITCH(weekday(AA$4), 1, 0, 2, if(ISBLANK('2025'!$P354), 0, 1), 3, if(ISBLANK('2025'!$Q354), 0, 1), 4, if(ISBLANK('2025'!$R354), 0, 1), 5, if(ISBLANK('2025'!$S354), 0, 1), 6, if(ISBLANK('2025'!$T354), 0, 1), 7, 0))), 1, "")</f>
        <v/>
      </c>
      <c r="AB390" s="1" t="str">
        <f>IF(AND(AND(AND(AB$4&gt;='2025'!$L354,AB$4&lt;='2025'!$M354), AB$4&lt;&gt;DATE(2025,7,4)), (SWITCH(weekday(AB$4), 1, 0, 2, if(ISBLANK('2025'!$P354), 0, 1), 3, if(ISBLANK('2025'!$Q354), 0, 1), 4, if(ISBLANK('2025'!$R354), 0, 1), 5, if(ISBLANK('2025'!$S354), 0, 1), 6, if(ISBLANK('2025'!$T354), 0, 1), 7, 0))), 1, "")</f>
        <v/>
      </c>
      <c r="AC390" s="1" t="str">
        <f>IF(AND(AND(AND(AC$4&gt;='2025'!$L354,AC$4&lt;='2025'!$M354), AC$4&lt;&gt;DATE(2025,7,4)), (SWITCH(weekday(AC$4), 1, 0, 2, if(ISBLANK('2025'!$P354), 0, 1), 3, if(ISBLANK('2025'!$Q354), 0, 1), 4, if(ISBLANK('2025'!$R354), 0, 1), 5, if(ISBLANK('2025'!$S354), 0, 1), 6, if(ISBLANK('2025'!$T354), 0, 1), 7, 0))), 1, "")</f>
        <v/>
      </c>
      <c r="AD390" s="1" t="str">
        <f>IF(AND(AND(AND(AD$4&gt;='2025'!$L354,AD$4&lt;='2025'!$M354), AD$4&lt;&gt;DATE(2025,7,4)), (SWITCH(weekday(AD$4), 1, 0, 2, if(ISBLANK('2025'!$P354), 0, 1), 3, if(ISBLANK('2025'!$Q354), 0, 1), 4, if(ISBLANK('2025'!$R354), 0, 1), 5, if(ISBLANK('2025'!$S354), 0, 1), 6, if(ISBLANK('2025'!$T354), 0, 1), 7, 0))), 1, "")</f>
        <v/>
      </c>
      <c r="AE390" s="1" t="str">
        <f>IF(AND(AND(AND(AE$4&gt;='2025'!$L354,AE$4&lt;='2025'!$M354), AE$4&lt;&gt;DATE(2025,7,4)), (SWITCH(weekday(AE$4), 1, 0, 2, if(ISBLANK('2025'!$P354), 0, 1), 3, if(ISBLANK('2025'!$Q354), 0, 1), 4, if(ISBLANK('2025'!$R354), 0, 1), 5, if(ISBLANK('2025'!$S354), 0, 1), 6, if(ISBLANK('2025'!$T354), 0, 1), 7, 0))), 1, "")</f>
        <v/>
      </c>
      <c r="AF390" s="1" t="str">
        <f>IF(AND(AND(AND(AF$4&gt;='2025'!$L354,AF$4&lt;='2025'!$M354), AF$4&lt;&gt;DATE(2025,7,4)), (SWITCH(weekday(AF$4), 1, 0, 2, if(ISBLANK('2025'!$P354), 0, 1), 3, if(ISBLANK('2025'!$Q354), 0, 1), 4, if(ISBLANK('2025'!$R354), 0, 1), 5, if(ISBLANK('2025'!$S354), 0, 1), 6, if(ISBLANK('2025'!$T354), 0, 1), 7, 0))), 1, "")</f>
        <v/>
      </c>
      <c r="AG390" s="1" t="str">
        <f>IF(AND(AND(AND(AG$4&gt;='2025'!$L354,AG$4&lt;='2025'!$M354), AG$4&lt;&gt;DATE(2025,7,4)), (SWITCH(weekday(AG$4), 1, 0, 2, if(ISBLANK('2025'!$P354), 0, 1), 3, if(ISBLANK('2025'!$Q354), 0, 1), 4, if(ISBLANK('2025'!$R354), 0, 1), 5, if(ISBLANK('2025'!$S354), 0, 1), 6, if(ISBLANK('2025'!$T354), 0, 1), 7, 0))), 1, "")</f>
        <v/>
      </c>
      <c r="AH390" s="1" t="str">
        <f>IF(AND(AND(AND(AH$4&gt;='2025'!$L354,AH$4&lt;='2025'!$M354), AH$4&lt;&gt;DATE(2025,7,4)), (SWITCH(weekday(AH$4), 1, 0, 2, if(ISBLANK('2025'!$P354), 0, 1), 3, if(ISBLANK('2025'!$Q354), 0, 1), 4, if(ISBLANK('2025'!$R354), 0, 1), 5, if(ISBLANK('2025'!$S354), 0, 1), 6, if(ISBLANK('2025'!$T354), 0, 1), 7, 0))), 1, "")</f>
        <v/>
      </c>
      <c r="AI390" s="1" t="str">
        <f>IF(AND(AND(AND(AI$4&gt;='2025'!$L354,AI$4&lt;='2025'!$M354), AI$4&lt;&gt;DATE(2025,7,4)), (SWITCH(weekday(AI$4), 1, 0, 2, if(ISBLANK('2025'!$P354), 0, 1), 3, if(ISBLANK('2025'!$Q354), 0, 1), 4, if(ISBLANK('2025'!$R354), 0, 1), 5, if(ISBLANK('2025'!$S354), 0, 1), 6, if(ISBLANK('2025'!$T354), 0, 1), 7, 0))), 1, "")</f>
        <v/>
      </c>
      <c r="AJ390" s="1" t="str">
        <f>IF(AND(AND(AND(AJ$4&gt;='2025'!$L354,AJ$4&lt;='2025'!$M354), AJ$4&lt;&gt;DATE(2025,7,4)), (SWITCH(weekday(AJ$4), 1, 0, 2, if(ISBLANK('2025'!$P354), 0, 1), 3, if(ISBLANK('2025'!$Q354), 0, 1), 4, if(ISBLANK('2025'!$R354), 0, 1), 5, if(ISBLANK('2025'!$S354), 0, 1), 6, if(ISBLANK('2025'!$T354), 0, 1), 7, 0))), 1, "")</f>
        <v/>
      </c>
      <c r="AK390" s="1" t="str">
        <f>IF(AND(AND(AND(AK$4&gt;='2025'!$L354,AK$4&lt;='2025'!$M354), AK$4&lt;&gt;DATE(2025,7,4)), (SWITCH(weekday(AK$4), 1, 0, 2, if(ISBLANK('2025'!$P354), 0, 1), 3, if(ISBLANK('2025'!$Q354), 0, 1), 4, if(ISBLANK('2025'!$R354), 0, 1), 5, if(ISBLANK('2025'!$S354), 0, 1), 6, if(ISBLANK('2025'!$T354), 0, 1), 7, 0))), 1, "")</f>
        <v/>
      </c>
      <c r="AL390" s="1" t="str">
        <f>IF(AND(AND(AND(AL$4&gt;='2025'!$L354,AL$4&lt;='2025'!$M354), AL$4&lt;&gt;DATE(2025,7,4)), (SWITCH(weekday(AL$4), 1, 0, 2, if(ISBLANK('2025'!$P354), 0, 1), 3, if(ISBLANK('2025'!$Q354), 0, 1), 4, if(ISBLANK('2025'!$R354), 0, 1), 5, if(ISBLANK('2025'!$S354), 0, 1), 6, if(ISBLANK('2025'!$T354), 0, 1), 7, 0))), 1, "")</f>
        <v/>
      </c>
      <c r="AM390" s="1" t="str">
        <f>IF(AND(AND(AND(AM$4&gt;='2025'!$L354,AM$4&lt;='2025'!$M354), AM$4&lt;&gt;DATE(2025,7,4)), (SWITCH(weekday(AM$4), 1, 0, 2, if(ISBLANK('2025'!$P354), 0, 1), 3, if(ISBLANK('2025'!$Q354), 0, 1), 4, if(ISBLANK('2025'!$R354), 0, 1), 5, if(ISBLANK('2025'!$S354), 0, 1), 6, if(ISBLANK('2025'!$T354), 0, 1), 7, 0))), 1, "")</f>
        <v/>
      </c>
      <c r="AN390" s="1" t="str">
        <f>IF(AND(AND(AND(AN$4&gt;='2025'!$L354,AN$4&lt;='2025'!$M354), AN$4&lt;&gt;DATE(2025,7,4)), (SWITCH(weekday(AN$4), 1, 0, 2, if(ISBLANK('2025'!$P354), 0, 1), 3, if(ISBLANK('2025'!$Q354), 0, 1), 4, if(ISBLANK('2025'!$R354), 0, 1), 5, if(ISBLANK('2025'!$S354), 0, 1), 6, if(ISBLANK('2025'!$T354), 0, 1), 7, 0))), 1, "")</f>
        <v/>
      </c>
      <c r="AO390" s="1" t="str">
        <f>IF(AND(AND(AND(AO$4&gt;='2025'!$L354,AO$4&lt;='2025'!$M354), AO$4&lt;&gt;DATE(2025,7,4)), (SWITCH(weekday(AO$4), 1, 0, 2, if(ISBLANK('2025'!$P354), 0, 1), 3, if(ISBLANK('2025'!$Q354), 0, 1), 4, if(ISBLANK('2025'!$R354), 0, 1), 5, if(ISBLANK('2025'!$S354), 0, 1), 6, if(ISBLANK('2025'!$T354), 0, 1), 7, 0))), 1, "")</f>
        <v/>
      </c>
      <c r="AP390" s="1" t="str">
        <f>IF(AND(AND(AND(AP$4&gt;='2025'!$L354,AP$4&lt;='2025'!$M354), AP$4&lt;&gt;DATE(2025,7,4)), (SWITCH(weekday(AP$4), 1, 0, 2, if(ISBLANK('2025'!$P354), 0, 1), 3, if(ISBLANK('2025'!$Q354), 0, 1), 4, if(ISBLANK('2025'!$R354), 0, 1), 5, if(ISBLANK('2025'!$S354), 0, 1), 6, if(ISBLANK('2025'!$T354), 0, 1), 7, 0))), 1, "")</f>
        <v/>
      </c>
      <c r="AQ390" s="1" t="str">
        <f>IF(AND(AND(AND(AQ$4&gt;='2025'!$L354,AQ$4&lt;='2025'!$M354), AQ$4&lt;&gt;DATE(2025,7,4)), (SWITCH(weekday(AQ$4), 1, 0, 2, if(ISBLANK('2025'!$P354), 0, 1), 3, if(ISBLANK('2025'!$Q354), 0, 1), 4, if(ISBLANK('2025'!$R354), 0, 1), 5, if(ISBLANK('2025'!$S354), 0, 1), 6, if(ISBLANK('2025'!$T354), 0, 1), 7, 0))), 1, "")</f>
        <v/>
      </c>
      <c r="AR390" s="1" t="str">
        <f>IF(AND(AND(AND(AR$4&gt;='2025'!$L354,AR$4&lt;='2025'!$M354), AR$4&lt;&gt;DATE(2025,7,4)), (SWITCH(weekday(AR$4), 1, 0, 2, if(ISBLANK('2025'!$P354), 0, 1), 3, if(ISBLANK('2025'!$Q354), 0, 1), 4, if(ISBLANK('2025'!$R354), 0, 1), 5, if(ISBLANK('2025'!$S354), 0, 1), 6, if(ISBLANK('2025'!$T354), 0, 1), 7, 0))), 1, "")</f>
        <v/>
      </c>
      <c r="AS390" s="1" t="str">
        <f>IF(AND(AND(AND(AS$4&gt;='2025'!$L354,AS$4&lt;='2025'!$M354), AS$4&lt;&gt;DATE(2025,7,4)), (SWITCH(weekday(AS$4), 1, 0, 2, if(ISBLANK('2025'!$P354), 0, 1), 3, if(ISBLANK('2025'!$Q354), 0, 1), 4, if(ISBLANK('2025'!$R354), 0, 1), 5, if(ISBLANK('2025'!$S354), 0, 1), 6, if(ISBLANK('2025'!$T354), 0, 1), 7, 0))), 1, "")</f>
        <v/>
      </c>
      <c r="AT390" s="1" t="str">
        <f>IF(AND(AND(AND(AT$4&gt;='2025'!$L354,AT$4&lt;='2025'!$M354), AT$4&lt;&gt;DATE(2025,7,4)), (SWITCH(weekday(AT$4), 1, 0, 2, if(ISBLANK('2025'!$P354), 0, 1), 3, if(ISBLANK('2025'!$Q354), 0, 1), 4, if(ISBLANK('2025'!$R354), 0, 1), 5, if(ISBLANK('2025'!$S354), 0, 1), 6, if(ISBLANK('2025'!$T354), 0, 1), 7, 0))), 1, "")</f>
        <v/>
      </c>
      <c r="AU390" s="1" t="str">
        <f>IF(AND(AND(AND(AU$4&gt;='2025'!$L354,AU$4&lt;='2025'!$M354), AU$4&lt;&gt;DATE(2025,7,4)), (SWITCH(weekday(AU$4), 1, 0, 2, if(ISBLANK('2025'!$P354), 0, 1), 3, if(ISBLANK('2025'!$Q354), 0, 1), 4, if(ISBLANK('2025'!$R354), 0, 1), 5, if(ISBLANK('2025'!$S354), 0, 1), 6, if(ISBLANK('2025'!$T354), 0, 1), 7, 0))), 1, "")</f>
        <v/>
      </c>
      <c r="AV390" s="1" t="str">
        <f>IF(AND(AND(AND(AV$4&gt;='2025'!$L354,AV$4&lt;='2025'!$M354), AV$4&lt;&gt;DATE(2025,7,4)), (SWITCH(weekday(AV$4), 1, 0, 2, if(ISBLANK('2025'!$P354), 0, 1), 3, if(ISBLANK('2025'!$Q354), 0, 1), 4, if(ISBLANK('2025'!$R354), 0, 1), 5, if(ISBLANK('2025'!$S354), 0, 1), 6, if(ISBLANK('2025'!$T354), 0, 1), 7, 0))), 1, "")</f>
        <v/>
      </c>
      <c r="AW390" s="1" t="str">
        <f>IF(AND(AND(AND(AW$4&gt;='2025'!$L354,AW$4&lt;='2025'!$M354), AW$4&lt;&gt;DATE(2025,7,4)), (SWITCH(weekday(AW$4), 1, 0, 2, if(ISBLANK('2025'!$P354), 0, 1), 3, if(ISBLANK('2025'!$Q354), 0, 1), 4, if(ISBLANK('2025'!$R354), 0, 1), 5, if(ISBLANK('2025'!$S354), 0, 1), 6, if(ISBLANK('2025'!$T354), 0, 1), 7, 0))), 1, "")</f>
        <v/>
      </c>
      <c r="AX390" s="1" t="str">
        <f>IF(AND(AND(AND(AX$4&gt;='2025'!$L354,AX$4&lt;='2025'!$M354), AX$4&lt;&gt;DATE(2025,7,4)), (SWITCH(weekday(AX$4), 1, 0, 2, if(ISBLANK('2025'!$P354), 0, 1), 3, if(ISBLANK('2025'!$Q354), 0, 1), 4, if(ISBLANK('2025'!$R354), 0, 1), 5, if(ISBLANK('2025'!$S354), 0, 1), 6, if(ISBLANK('2025'!$T354), 0, 1), 7, 0))), 1, "")</f>
        <v/>
      </c>
      <c r="AY390" s="1" t="str">
        <f>IF(AND(AND(AND(AY$4&gt;='2025'!$L354,AY$4&lt;='2025'!$M354), AY$4&lt;&gt;DATE(2025,7,4)), (SWITCH(weekday(AY$4), 1, 0, 2, if(ISBLANK('2025'!$P354), 0, 1), 3, if(ISBLANK('2025'!$Q354), 0, 1), 4, if(ISBLANK('2025'!$R354), 0, 1), 5, if(ISBLANK('2025'!$S354), 0, 1), 6, if(ISBLANK('2025'!$T354), 0, 1), 7, 0))), 1, "")</f>
        <v/>
      </c>
      <c r="AZ390" s="1" t="str">
        <f>IF(AND(AND(AND(AZ$4&gt;='2025'!$L354,AZ$4&lt;='2025'!$M354), AZ$4&lt;&gt;DATE(2025,7,4)), (SWITCH(weekday(AZ$4), 1, 0, 2, if(ISBLANK('2025'!$P354), 0, 1), 3, if(ISBLANK('2025'!$Q354), 0, 1), 4, if(ISBLANK('2025'!$R354), 0, 1), 5, if(ISBLANK('2025'!$S354), 0, 1), 6, if(ISBLANK('2025'!$T354), 0, 1), 7, 0))), 1, "")</f>
        <v/>
      </c>
      <c r="BA390" s="1" t="str">
        <f>IF(AND(AND(AND(BA$4&gt;='2025'!$L354,BA$4&lt;='2025'!$M354), BA$4&lt;&gt;DATE(2025,7,4)), (SWITCH(weekday(BA$4), 1, 0, 2, if(ISBLANK('2025'!$P354), 0, 1), 3, if(ISBLANK('2025'!$Q354), 0, 1), 4, if(ISBLANK('2025'!$R354), 0, 1), 5, if(ISBLANK('2025'!$S354), 0, 1), 6, if(ISBLANK('2025'!$T354), 0, 1), 7, 0))), 1, "")</f>
        <v/>
      </c>
      <c r="BB390" s="1" t="str">
        <f>IF(AND(AND(AND(BB$4&gt;='2025'!$L354,BB$4&lt;='2025'!$M354), BB$4&lt;&gt;DATE(2025,7,4)), (SWITCH(weekday(BB$4), 1, 0, 2, if(ISBLANK('2025'!$P354), 0, 1), 3, if(ISBLANK('2025'!$Q354), 0, 1), 4, if(ISBLANK('2025'!$R354), 0, 1), 5, if(ISBLANK('2025'!$S354), 0, 1), 6, if(ISBLANK('2025'!$T354), 0, 1), 7, 0))), 1, "")</f>
        <v/>
      </c>
      <c r="BC390" s="1" t="str">
        <f>IF(AND(AND(AND(BC$4&gt;='2025'!$L354,BC$4&lt;='2025'!$M354), BC$4&lt;&gt;DATE(2025,7,4)), (SWITCH(weekday(BC$4), 1, 0, 2, if(ISBLANK('2025'!$P354), 0, 1), 3, if(ISBLANK('2025'!$Q354), 0, 1), 4, if(ISBLANK('2025'!$R354), 0, 1), 5, if(ISBLANK('2025'!$S354), 0, 1), 6, if(ISBLANK('2025'!$T354), 0, 1), 7, 0))), 1, "")</f>
        <v/>
      </c>
      <c r="BD390" s="1" t="str">
        <f>IF(AND(AND(AND(BD$4&gt;='2025'!$L354,BD$4&lt;='2025'!$M354), BD$4&lt;&gt;DATE(2025,7,4)), (SWITCH(weekday(BD$4), 1, 0, 2, if(ISBLANK('2025'!$P354), 0, 1), 3, if(ISBLANK('2025'!$Q354), 0, 1), 4, if(ISBLANK('2025'!$R354), 0, 1), 5, if(ISBLANK('2025'!$S354), 0, 1), 6, if(ISBLANK('2025'!$T354), 0, 1), 7, 0))), 1, "")</f>
        <v/>
      </c>
      <c r="BE390" s="1" t="str">
        <f>IF(AND(AND(AND(BE$4&gt;='2025'!$L354,BE$4&lt;='2025'!$M354), BE$4&lt;&gt;DATE(2025,7,4)), (SWITCH(weekday(BE$4), 1, 0, 2, if(ISBLANK('2025'!$P354), 0, 1), 3, if(ISBLANK('2025'!$Q354), 0, 1), 4, if(ISBLANK('2025'!$R354), 0, 1), 5, if(ISBLANK('2025'!$S354), 0, 1), 6, if(ISBLANK('2025'!$T354), 0, 1), 7, 0))), 1, "")</f>
        <v/>
      </c>
    </row>
    <row r="391">
      <c r="A391" s="1">
        <f t="shared" si="3"/>
        <v>391</v>
      </c>
      <c r="B391" s="1" t="str">
        <f>'2025'!D355</f>
        <v/>
      </c>
      <c r="C391" s="1" t="str">
        <f>'2025'!H355</f>
        <v/>
      </c>
      <c r="D391" s="1" t="str">
        <f>IF(AND(AND(AND(D$4&gt;='2025'!$L355,D$4&lt;='2025'!$M355), D$4&lt;&gt;DATE(2025,7,4)), (SWITCH(weekday(D$4), 1, 0, 2, if(ISBLANK('2025'!$P355), 0, 1), 3, if(ISBLANK('2025'!$Q355), 0, 1), 4, if(ISBLANK('2025'!$R355), 0, 1), 5, if(ISBLANK('2025'!$S355), 0, 1), 6, if(ISBLANK('2025'!$T355), 0, 1), 7, 0))), 1, "")</f>
        <v/>
      </c>
      <c r="E391" s="1" t="str">
        <f>IF(AND(AND(AND(E$4&gt;='2025'!$L355,E$4&lt;='2025'!$M355), E$4&lt;&gt;DATE(2025,7,4)), (SWITCH(weekday(E$4), 1, 0, 2, if(ISBLANK('2025'!$P355), 0, 1), 3, if(ISBLANK('2025'!$Q355), 0, 1), 4, if(ISBLANK('2025'!$R355), 0, 1), 5, if(ISBLANK('2025'!$S355), 0, 1), 6, if(ISBLANK('2025'!$T355), 0, 1), 7, 0))), 1, "")</f>
        <v/>
      </c>
      <c r="F391" s="1" t="str">
        <f>IF(AND(AND(AND(F$4&gt;='2025'!$L355,F$4&lt;='2025'!$M355), F$4&lt;&gt;DATE(2025,7,4)), (SWITCH(weekday(F$4), 1, 0, 2, if(ISBLANK('2025'!$P355), 0, 1), 3, if(ISBLANK('2025'!$Q355), 0, 1), 4, if(ISBLANK('2025'!$R355), 0, 1), 5, if(ISBLANK('2025'!$S355), 0, 1), 6, if(ISBLANK('2025'!$T355), 0, 1), 7, 0))), 1, "")</f>
        <v/>
      </c>
      <c r="G391" s="1" t="str">
        <f>IF(AND(AND(AND(G$4&gt;='2025'!$L355,G$4&lt;='2025'!$M355), G$4&lt;&gt;DATE(2025,7,4)), (SWITCH(weekday(G$4), 1, 0, 2, if(ISBLANK('2025'!$P355), 0, 1), 3, if(ISBLANK('2025'!$Q355), 0, 1), 4, if(ISBLANK('2025'!$R355), 0, 1), 5, if(ISBLANK('2025'!$S355), 0, 1), 6, if(ISBLANK('2025'!$T355), 0, 1), 7, 0))), 1, "")</f>
        <v/>
      </c>
      <c r="H391" s="1" t="str">
        <f>IF(AND(AND(AND(H$4&gt;='2025'!$L355,H$4&lt;='2025'!$M355), H$4&lt;&gt;DATE(2025,7,4)), (SWITCH(weekday(H$4), 1, 0, 2, if(ISBLANK('2025'!$P355), 0, 1), 3, if(ISBLANK('2025'!$Q355), 0, 1), 4, if(ISBLANK('2025'!$R355), 0, 1), 5, if(ISBLANK('2025'!$S355), 0, 1), 6, if(ISBLANK('2025'!$T355), 0, 1), 7, 0))), 1, "")</f>
        <v/>
      </c>
      <c r="I391" s="1" t="str">
        <f>IF(AND(AND(AND(I$4&gt;='2025'!$L355,I$4&lt;='2025'!$M355), I$4&lt;&gt;DATE(2025,7,4)), (SWITCH(weekday(I$4), 1, 0, 2, if(ISBLANK('2025'!$P355), 0, 1), 3, if(ISBLANK('2025'!$Q355), 0, 1), 4, if(ISBLANK('2025'!$R355), 0, 1), 5, if(ISBLANK('2025'!$S355), 0, 1), 6, if(ISBLANK('2025'!$T355), 0, 1), 7, 0))), 1, "")</f>
        <v/>
      </c>
      <c r="J391" s="1" t="str">
        <f>IF(AND(AND(AND(J$4&gt;='2025'!$L355,J$4&lt;='2025'!$M355), J$4&lt;&gt;DATE(2025,7,4)), (SWITCH(weekday(J$4), 1, 0, 2, if(ISBLANK('2025'!$P355), 0, 1), 3, if(ISBLANK('2025'!$Q355), 0, 1), 4, if(ISBLANK('2025'!$R355), 0, 1), 5, if(ISBLANK('2025'!$S355), 0, 1), 6, if(ISBLANK('2025'!$T355), 0, 1), 7, 0))), 1, "")</f>
        <v/>
      </c>
      <c r="K391" s="1" t="str">
        <f>IF(AND(AND(AND(K$4&gt;='2025'!$L355,K$4&lt;='2025'!$M355), K$4&lt;&gt;DATE(2025,7,4)), (SWITCH(weekday(K$4), 1, 0, 2, if(ISBLANK('2025'!$P355), 0, 1), 3, if(ISBLANK('2025'!$Q355), 0, 1), 4, if(ISBLANK('2025'!$R355), 0, 1), 5, if(ISBLANK('2025'!$S355), 0, 1), 6, if(ISBLANK('2025'!$T355), 0, 1), 7, 0))), 1, "")</f>
        <v/>
      </c>
      <c r="L391" s="1" t="str">
        <f>IF(AND(AND(AND(L$4&gt;='2025'!$L355,L$4&lt;='2025'!$M355), L$4&lt;&gt;DATE(2025,7,4)), (SWITCH(weekday(L$4), 1, 0, 2, if(ISBLANK('2025'!$P355), 0, 1), 3, if(ISBLANK('2025'!$Q355), 0, 1), 4, if(ISBLANK('2025'!$R355), 0, 1), 5, if(ISBLANK('2025'!$S355), 0, 1), 6, if(ISBLANK('2025'!$T355), 0, 1), 7, 0))), 1, "")</f>
        <v/>
      </c>
      <c r="M391" s="1" t="str">
        <f>IF(AND(AND(AND(M$4&gt;='2025'!$L355,M$4&lt;='2025'!$M355), M$4&lt;&gt;DATE(2025,7,4)), (SWITCH(weekday(M$4), 1, 0, 2, if(ISBLANK('2025'!$P355), 0, 1), 3, if(ISBLANK('2025'!$Q355), 0, 1), 4, if(ISBLANK('2025'!$R355), 0, 1), 5, if(ISBLANK('2025'!$S355), 0, 1), 6, if(ISBLANK('2025'!$T355), 0, 1), 7, 0))), 1, "")</f>
        <v/>
      </c>
      <c r="N391" s="1" t="str">
        <f>IF(AND(AND(AND(N$4&gt;='2025'!$L355,N$4&lt;='2025'!$M355), N$4&lt;&gt;DATE(2025,7,4)), (SWITCH(weekday(N$4), 1, 0, 2, if(ISBLANK('2025'!$P355), 0, 1), 3, if(ISBLANK('2025'!$Q355), 0, 1), 4, if(ISBLANK('2025'!$R355), 0, 1), 5, if(ISBLANK('2025'!$S355), 0, 1), 6, if(ISBLANK('2025'!$T355), 0, 1), 7, 0))), 1, "")</f>
        <v/>
      </c>
      <c r="O391" s="1" t="str">
        <f>IF(AND(AND(AND(O$4&gt;='2025'!$L355,O$4&lt;='2025'!$M355), O$4&lt;&gt;DATE(2025,7,4)), (SWITCH(weekday(O$4), 1, 0, 2, if(ISBLANK('2025'!$P355), 0, 1), 3, if(ISBLANK('2025'!$Q355), 0, 1), 4, if(ISBLANK('2025'!$R355), 0, 1), 5, if(ISBLANK('2025'!$S355), 0, 1), 6, if(ISBLANK('2025'!$T355), 0, 1), 7, 0))), 1, "")</f>
        <v/>
      </c>
      <c r="P391" s="1" t="str">
        <f>IF(AND(AND(AND(P$4&gt;='2025'!$L355,P$4&lt;='2025'!$M355), P$4&lt;&gt;DATE(2025,7,4)), (SWITCH(weekday(P$4), 1, 0, 2, if(ISBLANK('2025'!$P355), 0, 1), 3, if(ISBLANK('2025'!$Q355), 0, 1), 4, if(ISBLANK('2025'!$R355), 0, 1), 5, if(ISBLANK('2025'!$S355), 0, 1), 6, if(ISBLANK('2025'!$T355), 0, 1), 7, 0))), 1, "")</f>
        <v/>
      </c>
      <c r="Q391" s="1" t="str">
        <f>IF(AND(AND(AND(Q$4&gt;='2025'!$L355,Q$4&lt;='2025'!$M355), Q$4&lt;&gt;DATE(2025,7,4)), (SWITCH(weekday(Q$4), 1, 0, 2, if(ISBLANK('2025'!$P355), 0, 1), 3, if(ISBLANK('2025'!$Q355), 0, 1), 4, if(ISBLANK('2025'!$R355), 0, 1), 5, if(ISBLANK('2025'!$S355), 0, 1), 6, if(ISBLANK('2025'!$T355), 0, 1), 7, 0))), 1, "")</f>
        <v/>
      </c>
      <c r="R391" s="1" t="str">
        <f>IF(AND(AND(AND(R$4&gt;='2025'!$L355,R$4&lt;='2025'!$M355), R$4&lt;&gt;DATE(2025,7,4)), (SWITCH(weekday(R$4), 1, 0, 2, if(ISBLANK('2025'!$P355), 0, 1), 3, if(ISBLANK('2025'!$Q355), 0, 1), 4, if(ISBLANK('2025'!$R355), 0, 1), 5, if(ISBLANK('2025'!$S355), 0, 1), 6, if(ISBLANK('2025'!$T355), 0, 1), 7, 0))), 1, "")</f>
        <v/>
      </c>
      <c r="S391" s="1" t="str">
        <f>IF(AND(AND(AND(S$4&gt;='2025'!$L355,S$4&lt;='2025'!$M355), S$4&lt;&gt;DATE(2025,7,4)), (SWITCH(weekday(S$4), 1, 0, 2, if(ISBLANK('2025'!$P355), 0, 1), 3, if(ISBLANK('2025'!$Q355), 0, 1), 4, if(ISBLANK('2025'!$R355), 0, 1), 5, if(ISBLANK('2025'!$S355), 0, 1), 6, if(ISBLANK('2025'!$T355), 0, 1), 7, 0))), 1, "")</f>
        <v/>
      </c>
      <c r="T391" s="1" t="str">
        <f>IF(AND(AND(AND(T$4&gt;='2025'!$L355,T$4&lt;='2025'!$M355), T$4&lt;&gt;DATE(2025,7,4)), (SWITCH(weekday(T$4), 1, 0, 2, if(ISBLANK('2025'!$P355), 0, 1), 3, if(ISBLANK('2025'!$Q355), 0, 1), 4, if(ISBLANK('2025'!$R355), 0, 1), 5, if(ISBLANK('2025'!$S355), 0, 1), 6, if(ISBLANK('2025'!$T355), 0, 1), 7, 0))), 1, "")</f>
        <v/>
      </c>
      <c r="U391" s="1" t="str">
        <f>IF(AND(AND(AND(U$4&gt;='2025'!$L355,U$4&lt;='2025'!$M355), U$4&lt;&gt;DATE(2025,7,4)), (SWITCH(weekday(U$4), 1, 0, 2, if(ISBLANK('2025'!$P355), 0, 1), 3, if(ISBLANK('2025'!$Q355), 0, 1), 4, if(ISBLANK('2025'!$R355), 0, 1), 5, if(ISBLANK('2025'!$S355), 0, 1), 6, if(ISBLANK('2025'!$T355), 0, 1), 7, 0))), 1, "")</f>
        <v/>
      </c>
      <c r="V391" s="1" t="str">
        <f>IF(AND(AND(AND(V$4&gt;='2025'!$L355,V$4&lt;='2025'!$M355), V$4&lt;&gt;DATE(2025,7,4)), (SWITCH(weekday(V$4), 1, 0, 2, if(ISBLANK('2025'!$P355), 0, 1), 3, if(ISBLANK('2025'!$Q355), 0, 1), 4, if(ISBLANK('2025'!$R355), 0, 1), 5, if(ISBLANK('2025'!$S355), 0, 1), 6, if(ISBLANK('2025'!$T355), 0, 1), 7, 0))), 1, "")</f>
        <v/>
      </c>
      <c r="W391" s="1" t="str">
        <f>IF(AND(AND(AND(W$4&gt;='2025'!$L355,W$4&lt;='2025'!$M355), W$4&lt;&gt;DATE(2025,7,4)), (SWITCH(weekday(W$4), 1, 0, 2, if(ISBLANK('2025'!$P355), 0, 1), 3, if(ISBLANK('2025'!$Q355), 0, 1), 4, if(ISBLANK('2025'!$R355), 0, 1), 5, if(ISBLANK('2025'!$S355), 0, 1), 6, if(ISBLANK('2025'!$T355), 0, 1), 7, 0))), 1, "")</f>
        <v/>
      </c>
      <c r="X391" s="1" t="str">
        <f>IF(AND(AND(AND(X$4&gt;='2025'!$L355,X$4&lt;='2025'!$M355), X$4&lt;&gt;DATE(2025,7,4)), (SWITCH(weekday(X$4), 1, 0, 2, if(ISBLANK('2025'!$P355), 0, 1), 3, if(ISBLANK('2025'!$Q355), 0, 1), 4, if(ISBLANK('2025'!$R355), 0, 1), 5, if(ISBLANK('2025'!$S355), 0, 1), 6, if(ISBLANK('2025'!$T355), 0, 1), 7, 0))), 1, "")</f>
        <v/>
      </c>
      <c r="Y391" s="1" t="str">
        <f>IF(AND(AND(AND(Y$4&gt;='2025'!$L355,Y$4&lt;='2025'!$M355), Y$4&lt;&gt;DATE(2025,7,4)), (SWITCH(weekday(Y$4), 1, 0, 2, if(ISBLANK('2025'!$P355), 0, 1), 3, if(ISBLANK('2025'!$Q355), 0, 1), 4, if(ISBLANK('2025'!$R355), 0, 1), 5, if(ISBLANK('2025'!$S355), 0, 1), 6, if(ISBLANK('2025'!$T355), 0, 1), 7, 0))), 1, "")</f>
        <v/>
      </c>
      <c r="Z391" s="1" t="str">
        <f>IF(AND(AND(AND(Z$4&gt;='2025'!$L355,Z$4&lt;='2025'!$M355), Z$4&lt;&gt;DATE(2025,7,4)), (SWITCH(weekday(Z$4), 1, 0, 2, if(ISBLANK('2025'!$P355), 0, 1), 3, if(ISBLANK('2025'!$Q355), 0, 1), 4, if(ISBLANK('2025'!$R355), 0, 1), 5, if(ISBLANK('2025'!$S355), 0, 1), 6, if(ISBLANK('2025'!$T355), 0, 1), 7, 0))), 1, "")</f>
        <v/>
      </c>
      <c r="AA391" s="1" t="str">
        <f>IF(AND(AND(AND(AA$4&gt;='2025'!$L355,AA$4&lt;='2025'!$M355), AA$4&lt;&gt;DATE(2025,7,4)), (SWITCH(weekday(AA$4), 1, 0, 2, if(ISBLANK('2025'!$P355), 0, 1), 3, if(ISBLANK('2025'!$Q355), 0, 1), 4, if(ISBLANK('2025'!$R355), 0, 1), 5, if(ISBLANK('2025'!$S355), 0, 1), 6, if(ISBLANK('2025'!$T355), 0, 1), 7, 0))), 1, "")</f>
        <v/>
      </c>
      <c r="AB391" s="1" t="str">
        <f>IF(AND(AND(AND(AB$4&gt;='2025'!$L355,AB$4&lt;='2025'!$M355), AB$4&lt;&gt;DATE(2025,7,4)), (SWITCH(weekday(AB$4), 1, 0, 2, if(ISBLANK('2025'!$P355), 0, 1), 3, if(ISBLANK('2025'!$Q355), 0, 1), 4, if(ISBLANK('2025'!$R355), 0, 1), 5, if(ISBLANK('2025'!$S355), 0, 1), 6, if(ISBLANK('2025'!$T355), 0, 1), 7, 0))), 1, "")</f>
        <v/>
      </c>
      <c r="AC391" s="1" t="str">
        <f>IF(AND(AND(AND(AC$4&gt;='2025'!$L355,AC$4&lt;='2025'!$M355), AC$4&lt;&gt;DATE(2025,7,4)), (SWITCH(weekday(AC$4), 1, 0, 2, if(ISBLANK('2025'!$P355), 0, 1), 3, if(ISBLANK('2025'!$Q355), 0, 1), 4, if(ISBLANK('2025'!$R355), 0, 1), 5, if(ISBLANK('2025'!$S355), 0, 1), 6, if(ISBLANK('2025'!$T355), 0, 1), 7, 0))), 1, "")</f>
        <v/>
      </c>
      <c r="AD391" s="1" t="str">
        <f>IF(AND(AND(AND(AD$4&gt;='2025'!$L355,AD$4&lt;='2025'!$M355), AD$4&lt;&gt;DATE(2025,7,4)), (SWITCH(weekday(AD$4), 1, 0, 2, if(ISBLANK('2025'!$P355), 0, 1), 3, if(ISBLANK('2025'!$Q355), 0, 1), 4, if(ISBLANK('2025'!$R355), 0, 1), 5, if(ISBLANK('2025'!$S355), 0, 1), 6, if(ISBLANK('2025'!$T355), 0, 1), 7, 0))), 1, "")</f>
        <v/>
      </c>
      <c r="AE391" s="1" t="str">
        <f>IF(AND(AND(AND(AE$4&gt;='2025'!$L355,AE$4&lt;='2025'!$M355), AE$4&lt;&gt;DATE(2025,7,4)), (SWITCH(weekday(AE$4), 1, 0, 2, if(ISBLANK('2025'!$P355), 0, 1), 3, if(ISBLANK('2025'!$Q355), 0, 1), 4, if(ISBLANK('2025'!$R355), 0, 1), 5, if(ISBLANK('2025'!$S355), 0, 1), 6, if(ISBLANK('2025'!$T355), 0, 1), 7, 0))), 1, "")</f>
        <v/>
      </c>
      <c r="AF391" s="1" t="str">
        <f>IF(AND(AND(AND(AF$4&gt;='2025'!$L355,AF$4&lt;='2025'!$M355), AF$4&lt;&gt;DATE(2025,7,4)), (SWITCH(weekday(AF$4), 1, 0, 2, if(ISBLANK('2025'!$P355), 0, 1), 3, if(ISBLANK('2025'!$Q355), 0, 1), 4, if(ISBLANK('2025'!$R355), 0, 1), 5, if(ISBLANK('2025'!$S355), 0, 1), 6, if(ISBLANK('2025'!$T355), 0, 1), 7, 0))), 1, "")</f>
        <v/>
      </c>
      <c r="AG391" s="1" t="str">
        <f>IF(AND(AND(AND(AG$4&gt;='2025'!$L355,AG$4&lt;='2025'!$M355), AG$4&lt;&gt;DATE(2025,7,4)), (SWITCH(weekday(AG$4), 1, 0, 2, if(ISBLANK('2025'!$P355), 0, 1), 3, if(ISBLANK('2025'!$Q355), 0, 1), 4, if(ISBLANK('2025'!$R355), 0, 1), 5, if(ISBLANK('2025'!$S355), 0, 1), 6, if(ISBLANK('2025'!$T355), 0, 1), 7, 0))), 1, "")</f>
        <v/>
      </c>
      <c r="AH391" s="1" t="str">
        <f>IF(AND(AND(AND(AH$4&gt;='2025'!$L355,AH$4&lt;='2025'!$M355), AH$4&lt;&gt;DATE(2025,7,4)), (SWITCH(weekday(AH$4), 1, 0, 2, if(ISBLANK('2025'!$P355), 0, 1), 3, if(ISBLANK('2025'!$Q355), 0, 1), 4, if(ISBLANK('2025'!$R355), 0, 1), 5, if(ISBLANK('2025'!$S355), 0, 1), 6, if(ISBLANK('2025'!$T355), 0, 1), 7, 0))), 1, "")</f>
        <v/>
      </c>
      <c r="AI391" s="1" t="str">
        <f>IF(AND(AND(AND(AI$4&gt;='2025'!$L355,AI$4&lt;='2025'!$M355), AI$4&lt;&gt;DATE(2025,7,4)), (SWITCH(weekday(AI$4), 1, 0, 2, if(ISBLANK('2025'!$P355), 0, 1), 3, if(ISBLANK('2025'!$Q355), 0, 1), 4, if(ISBLANK('2025'!$R355), 0, 1), 5, if(ISBLANK('2025'!$S355), 0, 1), 6, if(ISBLANK('2025'!$T355), 0, 1), 7, 0))), 1, "")</f>
        <v/>
      </c>
      <c r="AJ391" s="1" t="str">
        <f>IF(AND(AND(AND(AJ$4&gt;='2025'!$L355,AJ$4&lt;='2025'!$M355), AJ$4&lt;&gt;DATE(2025,7,4)), (SWITCH(weekday(AJ$4), 1, 0, 2, if(ISBLANK('2025'!$P355), 0, 1), 3, if(ISBLANK('2025'!$Q355), 0, 1), 4, if(ISBLANK('2025'!$R355), 0, 1), 5, if(ISBLANK('2025'!$S355), 0, 1), 6, if(ISBLANK('2025'!$T355), 0, 1), 7, 0))), 1, "")</f>
        <v/>
      </c>
      <c r="AK391" s="1" t="str">
        <f>IF(AND(AND(AND(AK$4&gt;='2025'!$L355,AK$4&lt;='2025'!$M355), AK$4&lt;&gt;DATE(2025,7,4)), (SWITCH(weekday(AK$4), 1, 0, 2, if(ISBLANK('2025'!$P355), 0, 1), 3, if(ISBLANK('2025'!$Q355), 0, 1), 4, if(ISBLANK('2025'!$R355), 0, 1), 5, if(ISBLANK('2025'!$S355), 0, 1), 6, if(ISBLANK('2025'!$T355), 0, 1), 7, 0))), 1, "")</f>
        <v/>
      </c>
      <c r="AL391" s="1" t="str">
        <f>IF(AND(AND(AND(AL$4&gt;='2025'!$L355,AL$4&lt;='2025'!$M355), AL$4&lt;&gt;DATE(2025,7,4)), (SWITCH(weekday(AL$4), 1, 0, 2, if(ISBLANK('2025'!$P355), 0, 1), 3, if(ISBLANK('2025'!$Q355), 0, 1), 4, if(ISBLANK('2025'!$R355), 0, 1), 5, if(ISBLANK('2025'!$S355), 0, 1), 6, if(ISBLANK('2025'!$T355), 0, 1), 7, 0))), 1, "")</f>
        <v/>
      </c>
      <c r="AM391" s="1" t="str">
        <f>IF(AND(AND(AND(AM$4&gt;='2025'!$L355,AM$4&lt;='2025'!$M355), AM$4&lt;&gt;DATE(2025,7,4)), (SWITCH(weekday(AM$4), 1, 0, 2, if(ISBLANK('2025'!$P355), 0, 1), 3, if(ISBLANK('2025'!$Q355), 0, 1), 4, if(ISBLANK('2025'!$R355), 0, 1), 5, if(ISBLANK('2025'!$S355), 0, 1), 6, if(ISBLANK('2025'!$T355), 0, 1), 7, 0))), 1, "")</f>
        <v/>
      </c>
      <c r="AN391" s="1" t="str">
        <f>IF(AND(AND(AND(AN$4&gt;='2025'!$L355,AN$4&lt;='2025'!$M355), AN$4&lt;&gt;DATE(2025,7,4)), (SWITCH(weekday(AN$4), 1, 0, 2, if(ISBLANK('2025'!$P355), 0, 1), 3, if(ISBLANK('2025'!$Q355), 0, 1), 4, if(ISBLANK('2025'!$R355), 0, 1), 5, if(ISBLANK('2025'!$S355), 0, 1), 6, if(ISBLANK('2025'!$T355), 0, 1), 7, 0))), 1, "")</f>
        <v/>
      </c>
      <c r="AO391" s="1" t="str">
        <f>IF(AND(AND(AND(AO$4&gt;='2025'!$L355,AO$4&lt;='2025'!$M355), AO$4&lt;&gt;DATE(2025,7,4)), (SWITCH(weekday(AO$4), 1, 0, 2, if(ISBLANK('2025'!$P355), 0, 1), 3, if(ISBLANK('2025'!$Q355), 0, 1), 4, if(ISBLANK('2025'!$R355), 0, 1), 5, if(ISBLANK('2025'!$S355), 0, 1), 6, if(ISBLANK('2025'!$T355), 0, 1), 7, 0))), 1, "")</f>
        <v/>
      </c>
      <c r="AP391" s="1" t="str">
        <f>IF(AND(AND(AND(AP$4&gt;='2025'!$L355,AP$4&lt;='2025'!$M355), AP$4&lt;&gt;DATE(2025,7,4)), (SWITCH(weekday(AP$4), 1, 0, 2, if(ISBLANK('2025'!$P355), 0, 1), 3, if(ISBLANK('2025'!$Q355), 0, 1), 4, if(ISBLANK('2025'!$R355), 0, 1), 5, if(ISBLANK('2025'!$S355), 0, 1), 6, if(ISBLANK('2025'!$T355), 0, 1), 7, 0))), 1, "")</f>
        <v/>
      </c>
      <c r="AQ391" s="1" t="str">
        <f>IF(AND(AND(AND(AQ$4&gt;='2025'!$L355,AQ$4&lt;='2025'!$M355), AQ$4&lt;&gt;DATE(2025,7,4)), (SWITCH(weekday(AQ$4), 1, 0, 2, if(ISBLANK('2025'!$P355), 0, 1), 3, if(ISBLANK('2025'!$Q355), 0, 1), 4, if(ISBLANK('2025'!$R355), 0, 1), 5, if(ISBLANK('2025'!$S355), 0, 1), 6, if(ISBLANK('2025'!$T355), 0, 1), 7, 0))), 1, "")</f>
        <v/>
      </c>
      <c r="AR391" s="1" t="str">
        <f>IF(AND(AND(AND(AR$4&gt;='2025'!$L355,AR$4&lt;='2025'!$M355), AR$4&lt;&gt;DATE(2025,7,4)), (SWITCH(weekday(AR$4), 1, 0, 2, if(ISBLANK('2025'!$P355), 0, 1), 3, if(ISBLANK('2025'!$Q355), 0, 1), 4, if(ISBLANK('2025'!$R355), 0, 1), 5, if(ISBLANK('2025'!$S355), 0, 1), 6, if(ISBLANK('2025'!$T355), 0, 1), 7, 0))), 1, "")</f>
        <v/>
      </c>
      <c r="AS391" s="1" t="str">
        <f>IF(AND(AND(AND(AS$4&gt;='2025'!$L355,AS$4&lt;='2025'!$M355), AS$4&lt;&gt;DATE(2025,7,4)), (SWITCH(weekday(AS$4), 1, 0, 2, if(ISBLANK('2025'!$P355), 0, 1), 3, if(ISBLANK('2025'!$Q355), 0, 1), 4, if(ISBLANK('2025'!$R355), 0, 1), 5, if(ISBLANK('2025'!$S355), 0, 1), 6, if(ISBLANK('2025'!$T355), 0, 1), 7, 0))), 1, "")</f>
        <v/>
      </c>
      <c r="AT391" s="1" t="str">
        <f>IF(AND(AND(AND(AT$4&gt;='2025'!$L355,AT$4&lt;='2025'!$M355), AT$4&lt;&gt;DATE(2025,7,4)), (SWITCH(weekday(AT$4), 1, 0, 2, if(ISBLANK('2025'!$P355), 0, 1), 3, if(ISBLANK('2025'!$Q355), 0, 1), 4, if(ISBLANK('2025'!$R355), 0, 1), 5, if(ISBLANK('2025'!$S355), 0, 1), 6, if(ISBLANK('2025'!$T355), 0, 1), 7, 0))), 1, "")</f>
        <v/>
      </c>
      <c r="AU391" s="1" t="str">
        <f>IF(AND(AND(AND(AU$4&gt;='2025'!$L355,AU$4&lt;='2025'!$M355), AU$4&lt;&gt;DATE(2025,7,4)), (SWITCH(weekday(AU$4), 1, 0, 2, if(ISBLANK('2025'!$P355), 0, 1), 3, if(ISBLANK('2025'!$Q355), 0, 1), 4, if(ISBLANK('2025'!$R355), 0, 1), 5, if(ISBLANK('2025'!$S355), 0, 1), 6, if(ISBLANK('2025'!$T355), 0, 1), 7, 0))), 1, "")</f>
        <v/>
      </c>
      <c r="AV391" s="1" t="str">
        <f>IF(AND(AND(AND(AV$4&gt;='2025'!$L355,AV$4&lt;='2025'!$M355), AV$4&lt;&gt;DATE(2025,7,4)), (SWITCH(weekday(AV$4), 1, 0, 2, if(ISBLANK('2025'!$P355), 0, 1), 3, if(ISBLANK('2025'!$Q355), 0, 1), 4, if(ISBLANK('2025'!$R355), 0, 1), 5, if(ISBLANK('2025'!$S355), 0, 1), 6, if(ISBLANK('2025'!$T355), 0, 1), 7, 0))), 1, "")</f>
        <v/>
      </c>
      <c r="AW391" s="1" t="str">
        <f>IF(AND(AND(AND(AW$4&gt;='2025'!$L355,AW$4&lt;='2025'!$M355), AW$4&lt;&gt;DATE(2025,7,4)), (SWITCH(weekday(AW$4), 1, 0, 2, if(ISBLANK('2025'!$P355), 0, 1), 3, if(ISBLANK('2025'!$Q355), 0, 1), 4, if(ISBLANK('2025'!$R355), 0, 1), 5, if(ISBLANK('2025'!$S355), 0, 1), 6, if(ISBLANK('2025'!$T355), 0, 1), 7, 0))), 1, "")</f>
        <v/>
      </c>
      <c r="AX391" s="1" t="str">
        <f>IF(AND(AND(AND(AX$4&gt;='2025'!$L355,AX$4&lt;='2025'!$M355), AX$4&lt;&gt;DATE(2025,7,4)), (SWITCH(weekday(AX$4), 1, 0, 2, if(ISBLANK('2025'!$P355), 0, 1), 3, if(ISBLANK('2025'!$Q355), 0, 1), 4, if(ISBLANK('2025'!$R355), 0, 1), 5, if(ISBLANK('2025'!$S355), 0, 1), 6, if(ISBLANK('2025'!$T355), 0, 1), 7, 0))), 1, "")</f>
        <v/>
      </c>
      <c r="AY391" s="1" t="str">
        <f>IF(AND(AND(AND(AY$4&gt;='2025'!$L355,AY$4&lt;='2025'!$M355), AY$4&lt;&gt;DATE(2025,7,4)), (SWITCH(weekday(AY$4), 1, 0, 2, if(ISBLANK('2025'!$P355), 0, 1), 3, if(ISBLANK('2025'!$Q355), 0, 1), 4, if(ISBLANK('2025'!$R355), 0, 1), 5, if(ISBLANK('2025'!$S355), 0, 1), 6, if(ISBLANK('2025'!$T355), 0, 1), 7, 0))), 1, "")</f>
        <v/>
      </c>
      <c r="AZ391" s="1" t="str">
        <f>IF(AND(AND(AND(AZ$4&gt;='2025'!$L355,AZ$4&lt;='2025'!$M355), AZ$4&lt;&gt;DATE(2025,7,4)), (SWITCH(weekday(AZ$4), 1, 0, 2, if(ISBLANK('2025'!$P355), 0, 1), 3, if(ISBLANK('2025'!$Q355), 0, 1), 4, if(ISBLANK('2025'!$R355), 0, 1), 5, if(ISBLANK('2025'!$S355), 0, 1), 6, if(ISBLANK('2025'!$T355), 0, 1), 7, 0))), 1, "")</f>
        <v/>
      </c>
      <c r="BA391" s="1" t="str">
        <f>IF(AND(AND(AND(BA$4&gt;='2025'!$L355,BA$4&lt;='2025'!$M355), BA$4&lt;&gt;DATE(2025,7,4)), (SWITCH(weekday(BA$4), 1, 0, 2, if(ISBLANK('2025'!$P355), 0, 1), 3, if(ISBLANK('2025'!$Q355), 0, 1), 4, if(ISBLANK('2025'!$R355), 0, 1), 5, if(ISBLANK('2025'!$S355), 0, 1), 6, if(ISBLANK('2025'!$T355), 0, 1), 7, 0))), 1, "")</f>
        <v/>
      </c>
      <c r="BB391" s="1" t="str">
        <f>IF(AND(AND(AND(BB$4&gt;='2025'!$L355,BB$4&lt;='2025'!$M355), BB$4&lt;&gt;DATE(2025,7,4)), (SWITCH(weekday(BB$4), 1, 0, 2, if(ISBLANK('2025'!$P355), 0, 1), 3, if(ISBLANK('2025'!$Q355), 0, 1), 4, if(ISBLANK('2025'!$R355), 0, 1), 5, if(ISBLANK('2025'!$S355), 0, 1), 6, if(ISBLANK('2025'!$T355), 0, 1), 7, 0))), 1, "")</f>
        <v/>
      </c>
      <c r="BC391" s="1" t="str">
        <f>IF(AND(AND(AND(BC$4&gt;='2025'!$L355,BC$4&lt;='2025'!$M355), BC$4&lt;&gt;DATE(2025,7,4)), (SWITCH(weekday(BC$4), 1, 0, 2, if(ISBLANK('2025'!$P355), 0, 1), 3, if(ISBLANK('2025'!$Q355), 0, 1), 4, if(ISBLANK('2025'!$R355), 0, 1), 5, if(ISBLANK('2025'!$S355), 0, 1), 6, if(ISBLANK('2025'!$T355), 0, 1), 7, 0))), 1, "")</f>
        <v/>
      </c>
      <c r="BD391" s="1" t="str">
        <f>IF(AND(AND(AND(BD$4&gt;='2025'!$L355,BD$4&lt;='2025'!$M355), BD$4&lt;&gt;DATE(2025,7,4)), (SWITCH(weekday(BD$4), 1, 0, 2, if(ISBLANK('2025'!$P355), 0, 1), 3, if(ISBLANK('2025'!$Q355), 0, 1), 4, if(ISBLANK('2025'!$R355), 0, 1), 5, if(ISBLANK('2025'!$S355), 0, 1), 6, if(ISBLANK('2025'!$T355), 0, 1), 7, 0))), 1, "")</f>
        <v/>
      </c>
      <c r="BE391" s="1" t="str">
        <f>IF(AND(AND(AND(BE$4&gt;='2025'!$L355,BE$4&lt;='2025'!$M355), BE$4&lt;&gt;DATE(2025,7,4)), (SWITCH(weekday(BE$4), 1, 0, 2, if(ISBLANK('2025'!$P355), 0, 1), 3, if(ISBLANK('2025'!$Q355), 0, 1), 4, if(ISBLANK('2025'!$R355), 0, 1), 5, if(ISBLANK('2025'!$S355), 0, 1), 6, if(ISBLANK('2025'!$T355), 0, 1), 7, 0))), 1, "")</f>
        <v/>
      </c>
    </row>
    <row r="392">
      <c r="A392" s="1">
        <f t="shared" si="3"/>
        <v>392</v>
      </c>
      <c r="B392" s="1" t="str">
        <f>'2025'!D356</f>
        <v/>
      </c>
      <c r="C392" s="1" t="str">
        <f>'2025'!H356</f>
        <v/>
      </c>
      <c r="D392" s="1" t="str">
        <f>IF(AND(AND(AND(D$4&gt;='2025'!$L356,D$4&lt;='2025'!$M356), D$4&lt;&gt;DATE(2025,7,4)), (SWITCH(weekday(D$4), 1, 0, 2, if(ISBLANK('2025'!$P356), 0, 1), 3, if(ISBLANK('2025'!$Q356), 0, 1), 4, if(ISBLANK('2025'!$R356), 0, 1), 5, if(ISBLANK('2025'!$S356), 0, 1), 6, if(ISBLANK('2025'!$T356), 0, 1), 7, 0))), 1, "")</f>
        <v/>
      </c>
      <c r="E392" s="1" t="str">
        <f>IF(AND(AND(AND(E$4&gt;='2025'!$L356,E$4&lt;='2025'!$M356), E$4&lt;&gt;DATE(2025,7,4)), (SWITCH(weekday(E$4), 1, 0, 2, if(ISBLANK('2025'!$P356), 0, 1), 3, if(ISBLANK('2025'!$Q356), 0, 1), 4, if(ISBLANK('2025'!$R356), 0, 1), 5, if(ISBLANK('2025'!$S356), 0, 1), 6, if(ISBLANK('2025'!$T356), 0, 1), 7, 0))), 1, "")</f>
        <v/>
      </c>
      <c r="F392" s="1" t="str">
        <f>IF(AND(AND(AND(F$4&gt;='2025'!$L356,F$4&lt;='2025'!$M356), F$4&lt;&gt;DATE(2025,7,4)), (SWITCH(weekday(F$4), 1, 0, 2, if(ISBLANK('2025'!$P356), 0, 1), 3, if(ISBLANK('2025'!$Q356), 0, 1), 4, if(ISBLANK('2025'!$R356), 0, 1), 5, if(ISBLANK('2025'!$S356), 0, 1), 6, if(ISBLANK('2025'!$T356), 0, 1), 7, 0))), 1, "")</f>
        <v/>
      </c>
      <c r="G392" s="1" t="str">
        <f>IF(AND(AND(AND(G$4&gt;='2025'!$L356,G$4&lt;='2025'!$M356), G$4&lt;&gt;DATE(2025,7,4)), (SWITCH(weekday(G$4), 1, 0, 2, if(ISBLANK('2025'!$P356), 0, 1), 3, if(ISBLANK('2025'!$Q356), 0, 1), 4, if(ISBLANK('2025'!$R356), 0, 1), 5, if(ISBLANK('2025'!$S356), 0, 1), 6, if(ISBLANK('2025'!$T356), 0, 1), 7, 0))), 1, "")</f>
        <v/>
      </c>
      <c r="H392" s="1" t="str">
        <f>IF(AND(AND(AND(H$4&gt;='2025'!$L356,H$4&lt;='2025'!$M356), H$4&lt;&gt;DATE(2025,7,4)), (SWITCH(weekday(H$4), 1, 0, 2, if(ISBLANK('2025'!$P356), 0, 1), 3, if(ISBLANK('2025'!$Q356), 0, 1), 4, if(ISBLANK('2025'!$R356), 0, 1), 5, if(ISBLANK('2025'!$S356), 0, 1), 6, if(ISBLANK('2025'!$T356), 0, 1), 7, 0))), 1, "")</f>
        <v/>
      </c>
      <c r="I392" s="1" t="str">
        <f>IF(AND(AND(AND(I$4&gt;='2025'!$L356,I$4&lt;='2025'!$M356), I$4&lt;&gt;DATE(2025,7,4)), (SWITCH(weekday(I$4), 1, 0, 2, if(ISBLANK('2025'!$P356), 0, 1), 3, if(ISBLANK('2025'!$Q356), 0, 1), 4, if(ISBLANK('2025'!$R356), 0, 1), 5, if(ISBLANK('2025'!$S356), 0, 1), 6, if(ISBLANK('2025'!$T356), 0, 1), 7, 0))), 1, "")</f>
        <v/>
      </c>
      <c r="J392" s="1" t="str">
        <f>IF(AND(AND(AND(J$4&gt;='2025'!$L356,J$4&lt;='2025'!$M356), J$4&lt;&gt;DATE(2025,7,4)), (SWITCH(weekday(J$4), 1, 0, 2, if(ISBLANK('2025'!$P356), 0, 1), 3, if(ISBLANK('2025'!$Q356), 0, 1), 4, if(ISBLANK('2025'!$R356), 0, 1), 5, if(ISBLANK('2025'!$S356), 0, 1), 6, if(ISBLANK('2025'!$T356), 0, 1), 7, 0))), 1, "")</f>
        <v/>
      </c>
      <c r="K392" s="1" t="str">
        <f>IF(AND(AND(AND(K$4&gt;='2025'!$L356,K$4&lt;='2025'!$M356), K$4&lt;&gt;DATE(2025,7,4)), (SWITCH(weekday(K$4), 1, 0, 2, if(ISBLANK('2025'!$P356), 0, 1), 3, if(ISBLANK('2025'!$Q356), 0, 1), 4, if(ISBLANK('2025'!$R356), 0, 1), 5, if(ISBLANK('2025'!$S356), 0, 1), 6, if(ISBLANK('2025'!$T356), 0, 1), 7, 0))), 1, "")</f>
        <v/>
      </c>
      <c r="L392" s="1" t="str">
        <f>IF(AND(AND(AND(L$4&gt;='2025'!$L356,L$4&lt;='2025'!$M356), L$4&lt;&gt;DATE(2025,7,4)), (SWITCH(weekday(L$4), 1, 0, 2, if(ISBLANK('2025'!$P356), 0, 1), 3, if(ISBLANK('2025'!$Q356), 0, 1), 4, if(ISBLANK('2025'!$R356), 0, 1), 5, if(ISBLANK('2025'!$S356), 0, 1), 6, if(ISBLANK('2025'!$T356), 0, 1), 7, 0))), 1, "")</f>
        <v/>
      </c>
      <c r="M392" s="1" t="str">
        <f>IF(AND(AND(AND(M$4&gt;='2025'!$L356,M$4&lt;='2025'!$M356), M$4&lt;&gt;DATE(2025,7,4)), (SWITCH(weekday(M$4), 1, 0, 2, if(ISBLANK('2025'!$P356), 0, 1), 3, if(ISBLANK('2025'!$Q356), 0, 1), 4, if(ISBLANK('2025'!$R356), 0, 1), 5, if(ISBLANK('2025'!$S356), 0, 1), 6, if(ISBLANK('2025'!$T356), 0, 1), 7, 0))), 1, "")</f>
        <v/>
      </c>
      <c r="N392" s="1" t="str">
        <f>IF(AND(AND(AND(N$4&gt;='2025'!$L356,N$4&lt;='2025'!$M356), N$4&lt;&gt;DATE(2025,7,4)), (SWITCH(weekday(N$4), 1, 0, 2, if(ISBLANK('2025'!$P356), 0, 1), 3, if(ISBLANK('2025'!$Q356), 0, 1), 4, if(ISBLANK('2025'!$R356), 0, 1), 5, if(ISBLANK('2025'!$S356), 0, 1), 6, if(ISBLANK('2025'!$T356), 0, 1), 7, 0))), 1, "")</f>
        <v/>
      </c>
      <c r="O392" s="1" t="str">
        <f>IF(AND(AND(AND(O$4&gt;='2025'!$L356,O$4&lt;='2025'!$M356), O$4&lt;&gt;DATE(2025,7,4)), (SWITCH(weekday(O$4), 1, 0, 2, if(ISBLANK('2025'!$P356), 0, 1), 3, if(ISBLANK('2025'!$Q356), 0, 1), 4, if(ISBLANK('2025'!$R356), 0, 1), 5, if(ISBLANK('2025'!$S356), 0, 1), 6, if(ISBLANK('2025'!$T356), 0, 1), 7, 0))), 1, "")</f>
        <v/>
      </c>
      <c r="P392" s="1" t="str">
        <f>IF(AND(AND(AND(P$4&gt;='2025'!$L356,P$4&lt;='2025'!$M356), P$4&lt;&gt;DATE(2025,7,4)), (SWITCH(weekday(P$4), 1, 0, 2, if(ISBLANK('2025'!$P356), 0, 1), 3, if(ISBLANK('2025'!$Q356), 0, 1), 4, if(ISBLANK('2025'!$R356), 0, 1), 5, if(ISBLANK('2025'!$S356), 0, 1), 6, if(ISBLANK('2025'!$T356), 0, 1), 7, 0))), 1, "")</f>
        <v/>
      </c>
      <c r="Q392" s="1" t="str">
        <f>IF(AND(AND(AND(Q$4&gt;='2025'!$L356,Q$4&lt;='2025'!$M356), Q$4&lt;&gt;DATE(2025,7,4)), (SWITCH(weekday(Q$4), 1, 0, 2, if(ISBLANK('2025'!$P356), 0, 1), 3, if(ISBLANK('2025'!$Q356), 0, 1), 4, if(ISBLANK('2025'!$R356), 0, 1), 5, if(ISBLANK('2025'!$S356), 0, 1), 6, if(ISBLANK('2025'!$T356), 0, 1), 7, 0))), 1, "")</f>
        <v/>
      </c>
      <c r="R392" s="1" t="str">
        <f>IF(AND(AND(AND(R$4&gt;='2025'!$L356,R$4&lt;='2025'!$M356), R$4&lt;&gt;DATE(2025,7,4)), (SWITCH(weekday(R$4), 1, 0, 2, if(ISBLANK('2025'!$P356), 0, 1), 3, if(ISBLANK('2025'!$Q356), 0, 1), 4, if(ISBLANK('2025'!$R356), 0, 1), 5, if(ISBLANK('2025'!$S356), 0, 1), 6, if(ISBLANK('2025'!$T356), 0, 1), 7, 0))), 1, "")</f>
        <v/>
      </c>
      <c r="S392" s="1" t="str">
        <f>IF(AND(AND(AND(S$4&gt;='2025'!$L356,S$4&lt;='2025'!$M356), S$4&lt;&gt;DATE(2025,7,4)), (SWITCH(weekday(S$4), 1, 0, 2, if(ISBLANK('2025'!$P356), 0, 1), 3, if(ISBLANK('2025'!$Q356), 0, 1), 4, if(ISBLANK('2025'!$R356), 0, 1), 5, if(ISBLANK('2025'!$S356), 0, 1), 6, if(ISBLANK('2025'!$T356), 0, 1), 7, 0))), 1, "")</f>
        <v/>
      </c>
      <c r="T392" s="1" t="str">
        <f>IF(AND(AND(AND(T$4&gt;='2025'!$L356,T$4&lt;='2025'!$M356), T$4&lt;&gt;DATE(2025,7,4)), (SWITCH(weekday(T$4), 1, 0, 2, if(ISBLANK('2025'!$P356), 0, 1), 3, if(ISBLANK('2025'!$Q356), 0, 1), 4, if(ISBLANK('2025'!$R356), 0, 1), 5, if(ISBLANK('2025'!$S356), 0, 1), 6, if(ISBLANK('2025'!$T356), 0, 1), 7, 0))), 1, "")</f>
        <v/>
      </c>
      <c r="U392" s="1" t="str">
        <f>IF(AND(AND(AND(U$4&gt;='2025'!$L356,U$4&lt;='2025'!$M356), U$4&lt;&gt;DATE(2025,7,4)), (SWITCH(weekday(U$4), 1, 0, 2, if(ISBLANK('2025'!$P356), 0, 1), 3, if(ISBLANK('2025'!$Q356), 0, 1), 4, if(ISBLANK('2025'!$R356), 0, 1), 5, if(ISBLANK('2025'!$S356), 0, 1), 6, if(ISBLANK('2025'!$T356), 0, 1), 7, 0))), 1, "")</f>
        <v/>
      </c>
      <c r="V392" s="1" t="str">
        <f>IF(AND(AND(AND(V$4&gt;='2025'!$L356,V$4&lt;='2025'!$M356), V$4&lt;&gt;DATE(2025,7,4)), (SWITCH(weekday(V$4), 1, 0, 2, if(ISBLANK('2025'!$P356), 0, 1), 3, if(ISBLANK('2025'!$Q356), 0, 1), 4, if(ISBLANK('2025'!$R356), 0, 1), 5, if(ISBLANK('2025'!$S356), 0, 1), 6, if(ISBLANK('2025'!$T356), 0, 1), 7, 0))), 1, "")</f>
        <v/>
      </c>
      <c r="W392" s="1" t="str">
        <f>IF(AND(AND(AND(W$4&gt;='2025'!$L356,W$4&lt;='2025'!$M356), W$4&lt;&gt;DATE(2025,7,4)), (SWITCH(weekday(W$4), 1, 0, 2, if(ISBLANK('2025'!$P356), 0, 1), 3, if(ISBLANK('2025'!$Q356), 0, 1), 4, if(ISBLANK('2025'!$R356), 0, 1), 5, if(ISBLANK('2025'!$S356), 0, 1), 6, if(ISBLANK('2025'!$T356), 0, 1), 7, 0))), 1, "")</f>
        <v/>
      </c>
      <c r="X392" s="1" t="str">
        <f>IF(AND(AND(AND(X$4&gt;='2025'!$L356,X$4&lt;='2025'!$M356), X$4&lt;&gt;DATE(2025,7,4)), (SWITCH(weekday(X$4), 1, 0, 2, if(ISBLANK('2025'!$P356), 0, 1), 3, if(ISBLANK('2025'!$Q356), 0, 1), 4, if(ISBLANK('2025'!$R356), 0, 1), 5, if(ISBLANK('2025'!$S356), 0, 1), 6, if(ISBLANK('2025'!$T356), 0, 1), 7, 0))), 1, "")</f>
        <v/>
      </c>
      <c r="Y392" s="1" t="str">
        <f>IF(AND(AND(AND(Y$4&gt;='2025'!$L356,Y$4&lt;='2025'!$M356), Y$4&lt;&gt;DATE(2025,7,4)), (SWITCH(weekday(Y$4), 1, 0, 2, if(ISBLANK('2025'!$P356), 0, 1), 3, if(ISBLANK('2025'!$Q356), 0, 1), 4, if(ISBLANK('2025'!$R356), 0, 1), 5, if(ISBLANK('2025'!$S356), 0, 1), 6, if(ISBLANK('2025'!$T356), 0, 1), 7, 0))), 1, "")</f>
        <v/>
      </c>
      <c r="Z392" s="1" t="str">
        <f>IF(AND(AND(AND(Z$4&gt;='2025'!$L356,Z$4&lt;='2025'!$M356), Z$4&lt;&gt;DATE(2025,7,4)), (SWITCH(weekday(Z$4), 1, 0, 2, if(ISBLANK('2025'!$P356), 0, 1), 3, if(ISBLANK('2025'!$Q356), 0, 1), 4, if(ISBLANK('2025'!$R356), 0, 1), 5, if(ISBLANK('2025'!$S356), 0, 1), 6, if(ISBLANK('2025'!$T356), 0, 1), 7, 0))), 1, "")</f>
        <v/>
      </c>
      <c r="AA392" s="1" t="str">
        <f>IF(AND(AND(AND(AA$4&gt;='2025'!$L356,AA$4&lt;='2025'!$M356), AA$4&lt;&gt;DATE(2025,7,4)), (SWITCH(weekday(AA$4), 1, 0, 2, if(ISBLANK('2025'!$P356), 0, 1), 3, if(ISBLANK('2025'!$Q356), 0, 1), 4, if(ISBLANK('2025'!$R356), 0, 1), 5, if(ISBLANK('2025'!$S356), 0, 1), 6, if(ISBLANK('2025'!$T356), 0, 1), 7, 0))), 1, "")</f>
        <v/>
      </c>
      <c r="AB392" s="1" t="str">
        <f>IF(AND(AND(AND(AB$4&gt;='2025'!$L356,AB$4&lt;='2025'!$M356), AB$4&lt;&gt;DATE(2025,7,4)), (SWITCH(weekday(AB$4), 1, 0, 2, if(ISBLANK('2025'!$P356), 0, 1), 3, if(ISBLANK('2025'!$Q356), 0, 1), 4, if(ISBLANK('2025'!$R356), 0, 1), 5, if(ISBLANK('2025'!$S356), 0, 1), 6, if(ISBLANK('2025'!$T356), 0, 1), 7, 0))), 1, "")</f>
        <v/>
      </c>
      <c r="AC392" s="1" t="str">
        <f>IF(AND(AND(AND(AC$4&gt;='2025'!$L356,AC$4&lt;='2025'!$M356), AC$4&lt;&gt;DATE(2025,7,4)), (SWITCH(weekday(AC$4), 1, 0, 2, if(ISBLANK('2025'!$P356), 0, 1), 3, if(ISBLANK('2025'!$Q356), 0, 1), 4, if(ISBLANK('2025'!$R356), 0, 1), 5, if(ISBLANK('2025'!$S356), 0, 1), 6, if(ISBLANK('2025'!$T356), 0, 1), 7, 0))), 1, "")</f>
        <v/>
      </c>
      <c r="AD392" s="1" t="str">
        <f>IF(AND(AND(AND(AD$4&gt;='2025'!$L356,AD$4&lt;='2025'!$M356), AD$4&lt;&gt;DATE(2025,7,4)), (SWITCH(weekday(AD$4), 1, 0, 2, if(ISBLANK('2025'!$P356), 0, 1), 3, if(ISBLANK('2025'!$Q356), 0, 1), 4, if(ISBLANK('2025'!$R356), 0, 1), 5, if(ISBLANK('2025'!$S356), 0, 1), 6, if(ISBLANK('2025'!$T356), 0, 1), 7, 0))), 1, "")</f>
        <v/>
      </c>
      <c r="AE392" s="1" t="str">
        <f>IF(AND(AND(AND(AE$4&gt;='2025'!$L356,AE$4&lt;='2025'!$M356), AE$4&lt;&gt;DATE(2025,7,4)), (SWITCH(weekday(AE$4), 1, 0, 2, if(ISBLANK('2025'!$P356), 0, 1), 3, if(ISBLANK('2025'!$Q356), 0, 1), 4, if(ISBLANK('2025'!$R356), 0, 1), 5, if(ISBLANK('2025'!$S356), 0, 1), 6, if(ISBLANK('2025'!$T356), 0, 1), 7, 0))), 1, "")</f>
        <v/>
      </c>
      <c r="AF392" s="1" t="str">
        <f>IF(AND(AND(AND(AF$4&gt;='2025'!$L356,AF$4&lt;='2025'!$M356), AF$4&lt;&gt;DATE(2025,7,4)), (SWITCH(weekday(AF$4), 1, 0, 2, if(ISBLANK('2025'!$P356), 0, 1), 3, if(ISBLANK('2025'!$Q356), 0, 1), 4, if(ISBLANK('2025'!$R356), 0, 1), 5, if(ISBLANK('2025'!$S356), 0, 1), 6, if(ISBLANK('2025'!$T356), 0, 1), 7, 0))), 1, "")</f>
        <v/>
      </c>
      <c r="AG392" s="1" t="str">
        <f>IF(AND(AND(AND(AG$4&gt;='2025'!$L356,AG$4&lt;='2025'!$M356), AG$4&lt;&gt;DATE(2025,7,4)), (SWITCH(weekday(AG$4), 1, 0, 2, if(ISBLANK('2025'!$P356), 0, 1), 3, if(ISBLANK('2025'!$Q356), 0, 1), 4, if(ISBLANK('2025'!$R356), 0, 1), 5, if(ISBLANK('2025'!$S356), 0, 1), 6, if(ISBLANK('2025'!$T356), 0, 1), 7, 0))), 1, "")</f>
        <v/>
      </c>
      <c r="AH392" s="1" t="str">
        <f>IF(AND(AND(AND(AH$4&gt;='2025'!$L356,AH$4&lt;='2025'!$M356), AH$4&lt;&gt;DATE(2025,7,4)), (SWITCH(weekday(AH$4), 1, 0, 2, if(ISBLANK('2025'!$P356), 0, 1), 3, if(ISBLANK('2025'!$Q356), 0, 1), 4, if(ISBLANK('2025'!$R356), 0, 1), 5, if(ISBLANK('2025'!$S356), 0, 1), 6, if(ISBLANK('2025'!$T356), 0, 1), 7, 0))), 1, "")</f>
        <v/>
      </c>
      <c r="AI392" s="1" t="str">
        <f>IF(AND(AND(AND(AI$4&gt;='2025'!$L356,AI$4&lt;='2025'!$M356), AI$4&lt;&gt;DATE(2025,7,4)), (SWITCH(weekday(AI$4), 1, 0, 2, if(ISBLANK('2025'!$P356), 0, 1), 3, if(ISBLANK('2025'!$Q356), 0, 1), 4, if(ISBLANK('2025'!$R356), 0, 1), 5, if(ISBLANK('2025'!$S356), 0, 1), 6, if(ISBLANK('2025'!$T356), 0, 1), 7, 0))), 1, "")</f>
        <v/>
      </c>
      <c r="AJ392" s="1" t="str">
        <f>IF(AND(AND(AND(AJ$4&gt;='2025'!$L356,AJ$4&lt;='2025'!$M356), AJ$4&lt;&gt;DATE(2025,7,4)), (SWITCH(weekday(AJ$4), 1, 0, 2, if(ISBLANK('2025'!$P356), 0, 1), 3, if(ISBLANK('2025'!$Q356), 0, 1), 4, if(ISBLANK('2025'!$R356), 0, 1), 5, if(ISBLANK('2025'!$S356), 0, 1), 6, if(ISBLANK('2025'!$T356), 0, 1), 7, 0))), 1, "")</f>
        <v/>
      </c>
      <c r="AK392" s="1" t="str">
        <f>IF(AND(AND(AND(AK$4&gt;='2025'!$L356,AK$4&lt;='2025'!$M356), AK$4&lt;&gt;DATE(2025,7,4)), (SWITCH(weekday(AK$4), 1, 0, 2, if(ISBLANK('2025'!$P356), 0, 1), 3, if(ISBLANK('2025'!$Q356), 0, 1), 4, if(ISBLANK('2025'!$R356), 0, 1), 5, if(ISBLANK('2025'!$S356), 0, 1), 6, if(ISBLANK('2025'!$T356), 0, 1), 7, 0))), 1, "")</f>
        <v/>
      </c>
      <c r="AL392" s="1" t="str">
        <f>IF(AND(AND(AND(AL$4&gt;='2025'!$L356,AL$4&lt;='2025'!$M356), AL$4&lt;&gt;DATE(2025,7,4)), (SWITCH(weekday(AL$4), 1, 0, 2, if(ISBLANK('2025'!$P356), 0, 1), 3, if(ISBLANK('2025'!$Q356), 0, 1), 4, if(ISBLANK('2025'!$R356), 0, 1), 5, if(ISBLANK('2025'!$S356), 0, 1), 6, if(ISBLANK('2025'!$T356), 0, 1), 7, 0))), 1, "")</f>
        <v/>
      </c>
      <c r="AM392" s="1" t="str">
        <f>IF(AND(AND(AND(AM$4&gt;='2025'!$L356,AM$4&lt;='2025'!$M356), AM$4&lt;&gt;DATE(2025,7,4)), (SWITCH(weekday(AM$4), 1, 0, 2, if(ISBLANK('2025'!$P356), 0, 1), 3, if(ISBLANK('2025'!$Q356), 0, 1), 4, if(ISBLANK('2025'!$R356), 0, 1), 5, if(ISBLANK('2025'!$S356), 0, 1), 6, if(ISBLANK('2025'!$T356), 0, 1), 7, 0))), 1, "")</f>
        <v/>
      </c>
      <c r="AN392" s="1" t="str">
        <f>IF(AND(AND(AND(AN$4&gt;='2025'!$L356,AN$4&lt;='2025'!$M356), AN$4&lt;&gt;DATE(2025,7,4)), (SWITCH(weekday(AN$4), 1, 0, 2, if(ISBLANK('2025'!$P356), 0, 1), 3, if(ISBLANK('2025'!$Q356), 0, 1), 4, if(ISBLANK('2025'!$R356), 0, 1), 5, if(ISBLANK('2025'!$S356), 0, 1), 6, if(ISBLANK('2025'!$T356), 0, 1), 7, 0))), 1, "")</f>
        <v/>
      </c>
      <c r="AO392" s="1" t="str">
        <f>IF(AND(AND(AND(AO$4&gt;='2025'!$L356,AO$4&lt;='2025'!$M356), AO$4&lt;&gt;DATE(2025,7,4)), (SWITCH(weekday(AO$4), 1, 0, 2, if(ISBLANK('2025'!$P356), 0, 1), 3, if(ISBLANK('2025'!$Q356), 0, 1), 4, if(ISBLANK('2025'!$R356), 0, 1), 5, if(ISBLANK('2025'!$S356), 0, 1), 6, if(ISBLANK('2025'!$T356), 0, 1), 7, 0))), 1, "")</f>
        <v/>
      </c>
      <c r="AP392" s="1" t="str">
        <f>IF(AND(AND(AND(AP$4&gt;='2025'!$L356,AP$4&lt;='2025'!$M356), AP$4&lt;&gt;DATE(2025,7,4)), (SWITCH(weekday(AP$4), 1, 0, 2, if(ISBLANK('2025'!$P356), 0, 1), 3, if(ISBLANK('2025'!$Q356), 0, 1), 4, if(ISBLANK('2025'!$R356), 0, 1), 5, if(ISBLANK('2025'!$S356), 0, 1), 6, if(ISBLANK('2025'!$T356), 0, 1), 7, 0))), 1, "")</f>
        <v/>
      </c>
      <c r="AQ392" s="1" t="str">
        <f>IF(AND(AND(AND(AQ$4&gt;='2025'!$L356,AQ$4&lt;='2025'!$M356), AQ$4&lt;&gt;DATE(2025,7,4)), (SWITCH(weekday(AQ$4), 1, 0, 2, if(ISBLANK('2025'!$P356), 0, 1), 3, if(ISBLANK('2025'!$Q356), 0, 1), 4, if(ISBLANK('2025'!$R356), 0, 1), 5, if(ISBLANK('2025'!$S356), 0, 1), 6, if(ISBLANK('2025'!$T356), 0, 1), 7, 0))), 1, "")</f>
        <v/>
      </c>
      <c r="AR392" s="1" t="str">
        <f>IF(AND(AND(AND(AR$4&gt;='2025'!$L356,AR$4&lt;='2025'!$M356), AR$4&lt;&gt;DATE(2025,7,4)), (SWITCH(weekday(AR$4), 1, 0, 2, if(ISBLANK('2025'!$P356), 0, 1), 3, if(ISBLANK('2025'!$Q356), 0, 1), 4, if(ISBLANK('2025'!$R356), 0, 1), 5, if(ISBLANK('2025'!$S356), 0, 1), 6, if(ISBLANK('2025'!$T356), 0, 1), 7, 0))), 1, "")</f>
        <v/>
      </c>
      <c r="AS392" s="1" t="str">
        <f>IF(AND(AND(AND(AS$4&gt;='2025'!$L356,AS$4&lt;='2025'!$M356), AS$4&lt;&gt;DATE(2025,7,4)), (SWITCH(weekday(AS$4), 1, 0, 2, if(ISBLANK('2025'!$P356), 0, 1), 3, if(ISBLANK('2025'!$Q356), 0, 1), 4, if(ISBLANK('2025'!$R356), 0, 1), 5, if(ISBLANK('2025'!$S356), 0, 1), 6, if(ISBLANK('2025'!$T356), 0, 1), 7, 0))), 1, "")</f>
        <v/>
      </c>
      <c r="AT392" s="1" t="str">
        <f>IF(AND(AND(AND(AT$4&gt;='2025'!$L356,AT$4&lt;='2025'!$M356), AT$4&lt;&gt;DATE(2025,7,4)), (SWITCH(weekday(AT$4), 1, 0, 2, if(ISBLANK('2025'!$P356), 0, 1), 3, if(ISBLANK('2025'!$Q356), 0, 1), 4, if(ISBLANK('2025'!$R356), 0, 1), 5, if(ISBLANK('2025'!$S356), 0, 1), 6, if(ISBLANK('2025'!$T356), 0, 1), 7, 0))), 1, "")</f>
        <v/>
      </c>
      <c r="AU392" s="1" t="str">
        <f>IF(AND(AND(AND(AU$4&gt;='2025'!$L356,AU$4&lt;='2025'!$M356), AU$4&lt;&gt;DATE(2025,7,4)), (SWITCH(weekday(AU$4), 1, 0, 2, if(ISBLANK('2025'!$P356), 0, 1), 3, if(ISBLANK('2025'!$Q356), 0, 1), 4, if(ISBLANK('2025'!$R356), 0, 1), 5, if(ISBLANK('2025'!$S356), 0, 1), 6, if(ISBLANK('2025'!$T356), 0, 1), 7, 0))), 1, "")</f>
        <v/>
      </c>
      <c r="AV392" s="1" t="str">
        <f>IF(AND(AND(AND(AV$4&gt;='2025'!$L356,AV$4&lt;='2025'!$M356), AV$4&lt;&gt;DATE(2025,7,4)), (SWITCH(weekday(AV$4), 1, 0, 2, if(ISBLANK('2025'!$P356), 0, 1), 3, if(ISBLANK('2025'!$Q356), 0, 1), 4, if(ISBLANK('2025'!$R356), 0, 1), 5, if(ISBLANK('2025'!$S356), 0, 1), 6, if(ISBLANK('2025'!$T356), 0, 1), 7, 0))), 1, "")</f>
        <v/>
      </c>
      <c r="AW392" s="1" t="str">
        <f>IF(AND(AND(AND(AW$4&gt;='2025'!$L356,AW$4&lt;='2025'!$M356), AW$4&lt;&gt;DATE(2025,7,4)), (SWITCH(weekday(AW$4), 1, 0, 2, if(ISBLANK('2025'!$P356), 0, 1), 3, if(ISBLANK('2025'!$Q356), 0, 1), 4, if(ISBLANK('2025'!$R356), 0, 1), 5, if(ISBLANK('2025'!$S356), 0, 1), 6, if(ISBLANK('2025'!$T356), 0, 1), 7, 0))), 1, "")</f>
        <v/>
      </c>
      <c r="AX392" s="1" t="str">
        <f>IF(AND(AND(AND(AX$4&gt;='2025'!$L356,AX$4&lt;='2025'!$M356), AX$4&lt;&gt;DATE(2025,7,4)), (SWITCH(weekday(AX$4), 1, 0, 2, if(ISBLANK('2025'!$P356), 0, 1), 3, if(ISBLANK('2025'!$Q356), 0, 1), 4, if(ISBLANK('2025'!$R356), 0, 1), 5, if(ISBLANK('2025'!$S356), 0, 1), 6, if(ISBLANK('2025'!$T356), 0, 1), 7, 0))), 1, "")</f>
        <v/>
      </c>
      <c r="AY392" s="1" t="str">
        <f>IF(AND(AND(AND(AY$4&gt;='2025'!$L356,AY$4&lt;='2025'!$M356), AY$4&lt;&gt;DATE(2025,7,4)), (SWITCH(weekday(AY$4), 1, 0, 2, if(ISBLANK('2025'!$P356), 0, 1), 3, if(ISBLANK('2025'!$Q356), 0, 1), 4, if(ISBLANK('2025'!$R356), 0, 1), 5, if(ISBLANK('2025'!$S356), 0, 1), 6, if(ISBLANK('2025'!$T356), 0, 1), 7, 0))), 1, "")</f>
        <v/>
      </c>
      <c r="AZ392" s="1" t="str">
        <f>IF(AND(AND(AND(AZ$4&gt;='2025'!$L356,AZ$4&lt;='2025'!$M356), AZ$4&lt;&gt;DATE(2025,7,4)), (SWITCH(weekday(AZ$4), 1, 0, 2, if(ISBLANK('2025'!$P356), 0, 1), 3, if(ISBLANK('2025'!$Q356), 0, 1), 4, if(ISBLANK('2025'!$R356), 0, 1), 5, if(ISBLANK('2025'!$S356), 0, 1), 6, if(ISBLANK('2025'!$T356), 0, 1), 7, 0))), 1, "")</f>
        <v/>
      </c>
      <c r="BA392" s="1" t="str">
        <f>IF(AND(AND(AND(BA$4&gt;='2025'!$L356,BA$4&lt;='2025'!$M356), BA$4&lt;&gt;DATE(2025,7,4)), (SWITCH(weekday(BA$4), 1, 0, 2, if(ISBLANK('2025'!$P356), 0, 1), 3, if(ISBLANK('2025'!$Q356), 0, 1), 4, if(ISBLANK('2025'!$R356), 0, 1), 5, if(ISBLANK('2025'!$S356), 0, 1), 6, if(ISBLANK('2025'!$T356), 0, 1), 7, 0))), 1, "")</f>
        <v/>
      </c>
      <c r="BB392" s="1" t="str">
        <f>IF(AND(AND(AND(BB$4&gt;='2025'!$L356,BB$4&lt;='2025'!$M356), BB$4&lt;&gt;DATE(2025,7,4)), (SWITCH(weekday(BB$4), 1, 0, 2, if(ISBLANK('2025'!$P356), 0, 1), 3, if(ISBLANK('2025'!$Q356), 0, 1), 4, if(ISBLANK('2025'!$R356), 0, 1), 5, if(ISBLANK('2025'!$S356), 0, 1), 6, if(ISBLANK('2025'!$T356), 0, 1), 7, 0))), 1, "")</f>
        <v/>
      </c>
      <c r="BC392" s="1" t="str">
        <f>IF(AND(AND(AND(BC$4&gt;='2025'!$L356,BC$4&lt;='2025'!$M356), BC$4&lt;&gt;DATE(2025,7,4)), (SWITCH(weekday(BC$4), 1, 0, 2, if(ISBLANK('2025'!$P356), 0, 1), 3, if(ISBLANK('2025'!$Q356), 0, 1), 4, if(ISBLANK('2025'!$R356), 0, 1), 5, if(ISBLANK('2025'!$S356), 0, 1), 6, if(ISBLANK('2025'!$T356), 0, 1), 7, 0))), 1, "")</f>
        <v/>
      </c>
      <c r="BD392" s="1" t="str">
        <f>IF(AND(AND(AND(BD$4&gt;='2025'!$L356,BD$4&lt;='2025'!$M356), BD$4&lt;&gt;DATE(2025,7,4)), (SWITCH(weekday(BD$4), 1, 0, 2, if(ISBLANK('2025'!$P356), 0, 1), 3, if(ISBLANK('2025'!$Q356), 0, 1), 4, if(ISBLANK('2025'!$R356), 0, 1), 5, if(ISBLANK('2025'!$S356), 0, 1), 6, if(ISBLANK('2025'!$T356), 0, 1), 7, 0))), 1, "")</f>
        <v/>
      </c>
      <c r="BE392" s="1" t="str">
        <f>IF(AND(AND(AND(BE$4&gt;='2025'!$L356,BE$4&lt;='2025'!$M356), BE$4&lt;&gt;DATE(2025,7,4)), (SWITCH(weekday(BE$4), 1, 0, 2, if(ISBLANK('2025'!$P356), 0, 1), 3, if(ISBLANK('2025'!$Q356), 0, 1), 4, if(ISBLANK('2025'!$R356), 0, 1), 5, if(ISBLANK('2025'!$S356), 0, 1), 6, if(ISBLANK('2025'!$T356), 0, 1), 7, 0))), 1, "")</f>
        <v/>
      </c>
    </row>
    <row r="393">
      <c r="A393" s="1">
        <f t="shared" si="3"/>
        <v>393</v>
      </c>
      <c r="B393" s="1" t="str">
        <f>'2025'!D357</f>
        <v/>
      </c>
      <c r="C393" s="1" t="str">
        <f>'2025'!H357</f>
        <v/>
      </c>
      <c r="D393" s="1" t="str">
        <f>IF(AND(AND(AND(D$4&gt;='2025'!$L357,D$4&lt;='2025'!$M357), D$4&lt;&gt;DATE(2025,7,4)), (SWITCH(weekday(D$4), 1, 0, 2, if(ISBLANK('2025'!$P357), 0, 1), 3, if(ISBLANK('2025'!$Q357), 0, 1), 4, if(ISBLANK('2025'!$R357), 0, 1), 5, if(ISBLANK('2025'!$S357), 0, 1), 6, if(ISBLANK('2025'!$T357), 0, 1), 7, 0))), 1, "")</f>
        <v/>
      </c>
      <c r="E393" s="1" t="str">
        <f>IF(AND(AND(AND(E$4&gt;='2025'!$L357,E$4&lt;='2025'!$M357), E$4&lt;&gt;DATE(2025,7,4)), (SWITCH(weekday(E$4), 1, 0, 2, if(ISBLANK('2025'!$P357), 0, 1), 3, if(ISBLANK('2025'!$Q357), 0, 1), 4, if(ISBLANK('2025'!$R357), 0, 1), 5, if(ISBLANK('2025'!$S357), 0, 1), 6, if(ISBLANK('2025'!$T357), 0, 1), 7, 0))), 1, "")</f>
        <v/>
      </c>
      <c r="F393" s="1" t="str">
        <f>IF(AND(AND(AND(F$4&gt;='2025'!$L357,F$4&lt;='2025'!$M357), F$4&lt;&gt;DATE(2025,7,4)), (SWITCH(weekday(F$4), 1, 0, 2, if(ISBLANK('2025'!$P357), 0, 1), 3, if(ISBLANK('2025'!$Q357), 0, 1), 4, if(ISBLANK('2025'!$R357), 0, 1), 5, if(ISBLANK('2025'!$S357), 0, 1), 6, if(ISBLANK('2025'!$T357), 0, 1), 7, 0))), 1, "")</f>
        <v/>
      </c>
      <c r="G393" s="1" t="str">
        <f>IF(AND(AND(AND(G$4&gt;='2025'!$L357,G$4&lt;='2025'!$M357), G$4&lt;&gt;DATE(2025,7,4)), (SWITCH(weekday(G$4), 1, 0, 2, if(ISBLANK('2025'!$P357), 0, 1), 3, if(ISBLANK('2025'!$Q357), 0, 1), 4, if(ISBLANK('2025'!$R357), 0, 1), 5, if(ISBLANK('2025'!$S357), 0, 1), 6, if(ISBLANK('2025'!$T357), 0, 1), 7, 0))), 1, "")</f>
        <v/>
      </c>
      <c r="H393" s="1" t="str">
        <f>IF(AND(AND(AND(H$4&gt;='2025'!$L357,H$4&lt;='2025'!$M357), H$4&lt;&gt;DATE(2025,7,4)), (SWITCH(weekday(H$4), 1, 0, 2, if(ISBLANK('2025'!$P357), 0, 1), 3, if(ISBLANK('2025'!$Q357), 0, 1), 4, if(ISBLANK('2025'!$R357), 0, 1), 5, if(ISBLANK('2025'!$S357), 0, 1), 6, if(ISBLANK('2025'!$T357), 0, 1), 7, 0))), 1, "")</f>
        <v/>
      </c>
      <c r="I393" s="1" t="str">
        <f>IF(AND(AND(AND(I$4&gt;='2025'!$L357,I$4&lt;='2025'!$M357), I$4&lt;&gt;DATE(2025,7,4)), (SWITCH(weekday(I$4), 1, 0, 2, if(ISBLANK('2025'!$P357), 0, 1), 3, if(ISBLANK('2025'!$Q357), 0, 1), 4, if(ISBLANK('2025'!$R357), 0, 1), 5, if(ISBLANK('2025'!$S357), 0, 1), 6, if(ISBLANK('2025'!$T357), 0, 1), 7, 0))), 1, "")</f>
        <v/>
      </c>
      <c r="J393" s="1" t="str">
        <f>IF(AND(AND(AND(J$4&gt;='2025'!$L357,J$4&lt;='2025'!$M357), J$4&lt;&gt;DATE(2025,7,4)), (SWITCH(weekday(J$4), 1, 0, 2, if(ISBLANK('2025'!$P357), 0, 1), 3, if(ISBLANK('2025'!$Q357), 0, 1), 4, if(ISBLANK('2025'!$R357), 0, 1), 5, if(ISBLANK('2025'!$S357), 0, 1), 6, if(ISBLANK('2025'!$T357), 0, 1), 7, 0))), 1, "")</f>
        <v/>
      </c>
      <c r="K393" s="1" t="str">
        <f>IF(AND(AND(AND(K$4&gt;='2025'!$L357,K$4&lt;='2025'!$M357), K$4&lt;&gt;DATE(2025,7,4)), (SWITCH(weekday(K$4), 1, 0, 2, if(ISBLANK('2025'!$P357), 0, 1), 3, if(ISBLANK('2025'!$Q357), 0, 1), 4, if(ISBLANK('2025'!$R357), 0, 1), 5, if(ISBLANK('2025'!$S357), 0, 1), 6, if(ISBLANK('2025'!$T357), 0, 1), 7, 0))), 1, "")</f>
        <v/>
      </c>
      <c r="L393" s="1" t="str">
        <f>IF(AND(AND(AND(L$4&gt;='2025'!$L357,L$4&lt;='2025'!$M357), L$4&lt;&gt;DATE(2025,7,4)), (SWITCH(weekday(L$4), 1, 0, 2, if(ISBLANK('2025'!$P357), 0, 1), 3, if(ISBLANK('2025'!$Q357), 0, 1), 4, if(ISBLANK('2025'!$R357), 0, 1), 5, if(ISBLANK('2025'!$S357), 0, 1), 6, if(ISBLANK('2025'!$T357), 0, 1), 7, 0))), 1, "")</f>
        <v/>
      </c>
      <c r="M393" s="1" t="str">
        <f>IF(AND(AND(AND(M$4&gt;='2025'!$L357,M$4&lt;='2025'!$M357), M$4&lt;&gt;DATE(2025,7,4)), (SWITCH(weekday(M$4), 1, 0, 2, if(ISBLANK('2025'!$P357), 0, 1), 3, if(ISBLANK('2025'!$Q357), 0, 1), 4, if(ISBLANK('2025'!$R357), 0, 1), 5, if(ISBLANK('2025'!$S357), 0, 1), 6, if(ISBLANK('2025'!$T357), 0, 1), 7, 0))), 1, "")</f>
        <v/>
      </c>
      <c r="N393" s="1" t="str">
        <f>IF(AND(AND(AND(N$4&gt;='2025'!$L357,N$4&lt;='2025'!$M357), N$4&lt;&gt;DATE(2025,7,4)), (SWITCH(weekday(N$4), 1, 0, 2, if(ISBLANK('2025'!$P357), 0, 1), 3, if(ISBLANK('2025'!$Q357), 0, 1), 4, if(ISBLANK('2025'!$R357), 0, 1), 5, if(ISBLANK('2025'!$S357), 0, 1), 6, if(ISBLANK('2025'!$T357), 0, 1), 7, 0))), 1, "")</f>
        <v/>
      </c>
      <c r="O393" s="1" t="str">
        <f>IF(AND(AND(AND(O$4&gt;='2025'!$L357,O$4&lt;='2025'!$M357), O$4&lt;&gt;DATE(2025,7,4)), (SWITCH(weekday(O$4), 1, 0, 2, if(ISBLANK('2025'!$P357), 0, 1), 3, if(ISBLANK('2025'!$Q357), 0, 1), 4, if(ISBLANK('2025'!$R357), 0, 1), 5, if(ISBLANK('2025'!$S357), 0, 1), 6, if(ISBLANK('2025'!$T357), 0, 1), 7, 0))), 1, "")</f>
        <v/>
      </c>
      <c r="P393" s="1" t="str">
        <f>IF(AND(AND(AND(P$4&gt;='2025'!$L357,P$4&lt;='2025'!$M357), P$4&lt;&gt;DATE(2025,7,4)), (SWITCH(weekday(P$4), 1, 0, 2, if(ISBLANK('2025'!$P357), 0, 1), 3, if(ISBLANK('2025'!$Q357), 0, 1), 4, if(ISBLANK('2025'!$R357), 0, 1), 5, if(ISBLANK('2025'!$S357), 0, 1), 6, if(ISBLANK('2025'!$T357), 0, 1), 7, 0))), 1, "")</f>
        <v/>
      </c>
      <c r="Q393" s="1" t="str">
        <f>IF(AND(AND(AND(Q$4&gt;='2025'!$L357,Q$4&lt;='2025'!$M357), Q$4&lt;&gt;DATE(2025,7,4)), (SWITCH(weekday(Q$4), 1, 0, 2, if(ISBLANK('2025'!$P357), 0, 1), 3, if(ISBLANK('2025'!$Q357), 0, 1), 4, if(ISBLANK('2025'!$R357), 0, 1), 5, if(ISBLANK('2025'!$S357), 0, 1), 6, if(ISBLANK('2025'!$T357), 0, 1), 7, 0))), 1, "")</f>
        <v/>
      </c>
      <c r="R393" s="1" t="str">
        <f>IF(AND(AND(AND(R$4&gt;='2025'!$L357,R$4&lt;='2025'!$M357), R$4&lt;&gt;DATE(2025,7,4)), (SWITCH(weekday(R$4), 1, 0, 2, if(ISBLANK('2025'!$P357), 0, 1), 3, if(ISBLANK('2025'!$Q357), 0, 1), 4, if(ISBLANK('2025'!$R357), 0, 1), 5, if(ISBLANK('2025'!$S357), 0, 1), 6, if(ISBLANK('2025'!$T357), 0, 1), 7, 0))), 1, "")</f>
        <v/>
      </c>
      <c r="S393" s="1" t="str">
        <f>IF(AND(AND(AND(S$4&gt;='2025'!$L357,S$4&lt;='2025'!$M357), S$4&lt;&gt;DATE(2025,7,4)), (SWITCH(weekday(S$4), 1, 0, 2, if(ISBLANK('2025'!$P357), 0, 1), 3, if(ISBLANK('2025'!$Q357), 0, 1), 4, if(ISBLANK('2025'!$R357), 0, 1), 5, if(ISBLANK('2025'!$S357), 0, 1), 6, if(ISBLANK('2025'!$T357), 0, 1), 7, 0))), 1, "")</f>
        <v/>
      </c>
      <c r="T393" s="1" t="str">
        <f>IF(AND(AND(AND(T$4&gt;='2025'!$L357,T$4&lt;='2025'!$M357), T$4&lt;&gt;DATE(2025,7,4)), (SWITCH(weekday(T$4), 1, 0, 2, if(ISBLANK('2025'!$P357), 0, 1), 3, if(ISBLANK('2025'!$Q357), 0, 1), 4, if(ISBLANK('2025'!$R357), 0, 1), 5, if(ISBLANK('2025'!$S357), 0, 1), 6, if(ISBLANK('2025'!$T357), 0, 1), 7, 0))), 1, "")</f>
        <v/>
      </c>
      <c r="U393" s="1" t="str">
        <f>IF(AND(AND(AND(U$4&gt;='2025'!$L357,U$4&lt;='2025'!$M357), U$4&lt;&gt;DATE(2025,7,4)), (SWITCH(weekday(U$4), 1, 0, 2, if(ISBLANK('2025'!$P357), 0, 1), 3, if(ISBLANK('2025'!$Q357), 0, 1), 4, if(ISBLANK('2025'!$R357), 0, 1), 5, if(ISBLANK('2025'!$S357), 0, 1), 6, if(ISBLANK('2025'!$T357), 0, 1), 7, 0))), 1, "")</f>
        <v/>
      </c>
      <c r="V393" s="1" t="str">
        <f>IF(AND(AND(AND(V$4&gt;='2025'!$L357,V$4&lt;='2025'!$M357), V$4&lt;&gt;DATE(2025,7,4)), (SWITCH(weekday(V$4), 1, 0, 2, if(ISBLANK('2025'!$P357), 0, 1), 3, if(ISBLANK('2025'!$Q357), 0, 1), 4, if(ISBLANK('2025'!$R357), 0, 1), 5, if(ISBLANK('2025'!$S357), 0, 1), 6, if(ISBLANK('2025'!$T357), 0, 1), 7, 0))), 1, "")</f>
        <v/>
      </c>
      <c r="W393" s="1" t="str">
        <f>IF(AND(AND(AND(W$4&gt;='2025'!$L357,W$4&lt;='2025'!$M357), W$4&lt;&gt;DATE(2025,7,4)), (SWITCH(weekday(W$4), 1, 0, 2, if(ISBLANK('2025'!$P357), 0, 1), 3, if(ISBLANK('2025'!$Q357), 0, 1), 4, if(ISBLANK('2025'!$R357), 0, 1), 5, if(ISBLANK('2025'!$S357), 0, 1), 6, if(ISBLANK('2025'!$T357), 0, 1), 7, 0))), 1, "")</f>
        <v/>
      </c>
      <c r="X393" s="1" t="str">
        <f>IF(AND(AND(AND(X$4&gt;='2025'!$L357,X$4&lt;='2025'!$M357), X$4&lt;&gt;DATE(2025,7,4)), (SWITCH(weekday(X$4), 1, 0, 2, if(ISBLANK('2025'!$P357), 0, 1), 3, if(ISBLANK('2025'!$Q357), 0, 1), 4, if(ISBLANK('2025'!$R357), 0, 1), 5, if(ISBLANK('2025'!$S357), 0, 1), 6, if(ISBLANK('2025'!$T357), 0, 1), 7, 0))), 1, "")</f>
        <v/>
      </c>
      <c r="Y393" s="1" t="str">
        <f>IF(AND(AND(AND(Y$4&gt;='2025'!$L357,Y$4&lt;='2025'!$M357), Y$4&lt;&gt;DATE(2025,7,4)), (SWITCH(weekday(Y$4), 1, 0, 2, if(ISBLANK('2025'!$P357), 0, 1), 3, if(ISBLANK('2025'!$Q357), 0, 1), 4, if(ISBLANK('2025'!$R357), 0, 1), 5, if(ISBLANK('2025'!$S357), 0, 1), 6, if(ISBLANK('2025'!$T357), 0, 1), 7, 0))), 1, "")</f>
        <v/>
      </c>
      <c r="Z393" s="1" t="str">
        <f>IF(AND(AND(AND(Z$4&gt;='2025'!$L357,Z$4&lt;='2025'!$M357), Z$4&lt;&gt;DATE(2025,7,4)), (SWITCH(weekday(Z$4), 1, 0, 2, if(ISBLANK('2025'!$P357), 0, 1), 3, if(ISBLANK('2025'!$Q357), 0, 1), 4, if(ISBLANK('2025'!$R357), 0, 1), 5, if(ISBLANK('2025'!$S357), 0, 1), 6, if(ISBLANK('2025'!$T357), 0, 1), 7, 0))), 1, "")</f>
        <v/>
      </c>
      <c r="AA393" s="1" t="str">
        <f>IF(AND(AND(AND(AA$4&gt;='2025'!$L357,AA$4&lt;='2025'!$M357), AA$4&lt;&gt;DATE(2025,7,4)), (SWITCH(weekday(AA$4), 1, 0, 2, if(ISBLANK('2025'!$P357), 0, 1), 3, if(ISBLANK('2025'!$Q357), 0, 1), 4, if(ISBLANK('2025'!$R357), 0, 1), 5, if(ISBLANK('2025'!$S357), 0, 1), 6, if(ISBLANK('2025'!$T357), 0, 1), 7, 0))), 1, "")</f>
        <v/>
      </c>
      <c r="AB393" s="1" t="str">
        <f>IF(AND(AND(AND(AB$4&gt;='2025'!$L357,AB$4&lt;='2025'!$M357), AB$4&lt;&gt;DATE(2025,7,4)), (SWITCH(weekday(AB$4), 1, 0, 2, if(ISBLANK('2025'!$P357), 0, 1), 3, if(ISBLANK('2025'!$Q357), 0, 1), 4, if(ISBLANK('2025'!$R357), 0, 1), 5, if(ISBLANK('2025'!$S357), 0, 1), 6, if(ISBLANK('2025'!$T357), 0, 1), 7, 0))), 1, "")</f>
        <v/>
      </c>
      <c r="AC393" s="1" t="str">
        <f>IF(AND(AND(AND(AC$4&gt;='2025'!$L357,AC$4&lt;='2025'!$M357), AC$4&lt;&gt;DATE(2025,7,4)), (SWITCH(weekday(AC$4), 1, 0, 2, if(ISBLANK('2025'!$P357), 0, 1), 3, if(ISBLANK('2025'!$Q357), 0, 1), 4, if(ISBLANK('2025'!$R357), 0, 1), 5, if(ISBLANK('2025'!$S357), 0, 1), 6, if(ISBLANK('2025'!$T357), 0, 1), 7, 0))), 1, "")</f>
        <v/>
      </c>
      <c r="AD393" s="1" t="str">
        <f>IF(AND(AND(AND(AD$4&gt;='2025'!$L357,AD$4&lt;='2025'!$M357), AD$4&lt;&gt;DATE(2025,7,4)), (SWITCH(weekday(AD$4), 1, 0, 2, if(ISBLANK('2025'!$P357), 0, 1), 3, if(ISBLANK('2025'!$Q357), 0, 1), 4, if(ISBLANK('2025'!$R357), 0, 1), 5, if(ISBLANK('2025'!$S357), 0, 1), 6, if(ISBLANK('2025'!$T357), 0, 1), 7, 0))), 1, "")</f>
        <v/>
      </c>
      <c r="AE393" s="1" t="str">
        <f>IF(AND(AND(AND(AE$4&gt;='2025'!$L357,AE$4&lt;='2025'!$M357), AE$4&lt;&gt;DATE(2025,7,4)), (SWITCH(weekday(AE$4), 1, 0, 2, if(ISBLANK('2025'!$P357), 0, 1), 3, if(ISBLANK('2025'!$Q357), 0, 1), 4, if(ISBLANK('2025'!$R357), 0, 1), 5, if(ISBLANK('2025'!$S357), 0, 1), 6, if(ISBLANK('2025'!$T357), 0, 1), 7, 0))), 1, "")</f>
        <v/>
      </c>
      <c r="AF393" s="1" t="str">
        <f>IF(AND(AND(AND(AF$4&gt;='2025'!$L357,AF$4&lt;='2025'!$M357), AF$4&lt;&gt;DATE(2025,7,4)), (SWITCH(weekday(AF$4), 1, 0, 2, if(ISBLANK('2025'!$P357), 0, 1), 3, if(ISBLANK('2025'!$Q357), 0, 1), 4, if(ISBLANK('2025'!$R357), 0, 1), 5, if(ISBLANK('2025'!$S357), 0, 1), 6, if(ISBLANK('2025'!$T357), 0, 1), 7, 0))), 1, "")</f>
        <v/>
      </c>
      <c r="AG393" s="1" t="str">
        <f>IF(AND(AND(AND(AG$4&gt;='2025'!$L357,AG$4&lt;='2025'!$M357), AG$4&lt;&gt;DATE(2025,7,4)), (SWITCH(weekday(AG$4), 1, 0, 2, if(ISBLANK('2025'!$P357), 0, 1), 3, if(ISBLANK('2025'!$Q357), 0, 1), 4, if(ISBLANK('2025'!$R357), 0, 1), 5, if(ISBLANK('2025'!$S357), 0, 1), 6, if(ISBLANK('2025'!$T357), 0, 1), 7, 0))), 1, "")</f>
        <v/>
      </c>
      <c r="AH393" s="1" t="str">
        <f>IF(AND(AND(AND(AH$4&gt;='2025'!$L357,AH$4&lt;='2025'!$M357), AH$4&lt;&gt;DATE(2025,7,4)), (SWITCH(weekday(AH$4), 1, 0, 2, if(ISBLANK('2025'!$P357), 0, 1), 3, if(ISBLANK('2025'!$Q357), 0, 1), 4, if(ISBLANK('2025'!$R357), 0, 1), 5, if(ISBLANK('2025'!$S357), 0, 1), 6, if(ISBLANK('2025'!$T357), 0, 1), 7, 0))), 1, "")</f>
        <v/>
      </c>
      <c r="AI393" s="1" t="str">
        <f>IF(AND(AND(AND(AI$4&gt;='2025'!$L357,AI$4&lt;='2025'!$M357), AI$4&lt;&gt;DATE(2025,7,4)), (SWITCH(weekday(AI$4), 1, 0, 2, if(ISBLANK('2025'!$P357), 0, 1), 3, if(ISBLANK('2025'!$Q357), 0, 1), 4, if(ISBLANK('2025'!$R357), 0, 1), 5, if(ISBLANK('2025'!$S357), 0, 1), 6, if(ISBLANK('2025'!$T357), 0, 1), 7, 0))), 1, "")</f>
        <v/>
      </c>
      <c r="AJ393" s="1" t="str">
        <f>IF(AND(AND(AND(AJ$4&gt;='2025'!$L357,AJ$4&lt;='2025'!$M357), AJ$4&lt;&gt;DATE(2025,7,4)), (SWITCH(weekday(AJ$4), 1, 0, 2, if(ISBLANK('2025'!$P357), 0, 1), 3, if(ISBLANK('2025'!$Q357), 0, 1), 4, if(ISBLANK('2025'!$R357), 0, 1), 5, if(ISBLANK('2025'!$S357), 0, 1), 6, if(ISBLANK('2025'!$T357), 0, 1), 7, 0))), 1, "")</f>
        <v/>
      </c>
      <c r="AK393" s="1" t="str">
        <f>IF(AND(AND(AND(AK$4&gt;='2025'!$L357,AK$4&lt;='2025'!$M357), AK$4&lt;&gt;DATE(2025,7,4)), (SWITCH(weekday(AK$4), 1, 0, 2, if(ISBLANK('2025'!$P357), 0, 1), 3, if(ISBLANK('2025'!$Q357), 0, 1), 4, if(ISBLANK('2025'!$R357), 0, 1), 5, if(ISBLANK('2025'!$S357), 0, 1), 6, if(ISBLANK('2025'!$T357), 0, 1), 7, 0))), 1, "")</f>
        <v/>
      </c>
      <c r="AL393" s="1" t="str">
        <f>IF(AND(AND(AND(AL$4&gt;='2025'!$L357,AL$4&lt;='2025'!$M357), AL$4&lt;&gt;DATE(2025,7,4)), (SWITCH(weekday(AL$4), 1, 0, 2, if(ISBLANK('2025'!$P357), 0, 1), 3, if(ISBLANK('2025'!$Q357), 0, 1), 4, if(ISBLANK('2025'!$R357), 0, 1), 5, if(ISBLANK('2025'!$S357), 0, 1), 6, if(ISBLANK('2025'!$T357), 0, 1), 7, 0))), 1, "")</f>
        <v/>
      </c>
      <c r="AM393" s="1" t="str">
        <f>IF(AND(AND(AND(AM$4&gt;='2025'!$L357,AM$4&lt;='2025'!$M357), AM$4&lt;&gt;DATE(2025,7,4)), (SWITCH(weekday(AM$4), 1, 0, 2, if(ISBLANK('2025'!$P357), 0, 1), 3, if(ISBLANK('2025'!$Q357), 0, 1), 4, if(ISBLANK('2025'!$R357), 0, 1), 5, if(ISBLANK('2025'!$S357), 0, 1), 6, if(ISBLANK('2025'!$T357), 0, 1), 7, 0))), 1, "")</f>
        <v/>
      </c>
      <c r="AN393" s="1" t="str">
        <f>IF(AND(AND(AND(AN$4&gt;='2025'!$L357,AN$4&lt;='2025'!$M357), AN$4&lt;&gt;DATE(2025,7,4)), (SWITCH(weekday(AN$4), 1, 0, 2, if(ISBLANK('2025'!$P357), 0, 1), 3, if(ISBLANK('2025'!$Q357), 0, 1), 4, if(ISBLANK('2025'!$R357), 0, 1), 5, if(ISBLANK('2025'!$S357), 0, 1), 6, if(ISBLANK('2025'!$T357), 0, 1), 7, 0))), 1, "")</f>
        <v/>
      </c>
      <c r="AO393" s="1" t="str">
        <f>IF(AND(AND(AND(AO$4&gt;='2025'!$L357,AO$4&lt;='2025'!$M357), AO$4&lt;&gt;DATE(2025,7,4)), (SWITCH(weekday(AO$4), 1, 0, 2, if(ISBLANK('2025'!$P357), 0, 1), 3, if(ISBLANK('2025'!$Q357), 0, 1), 4, if(ISBLANK('2025'!$R357), 0, 1), 5, if(ISBLANK('2025'!$S357), 0, 1), 6, if(ISBLANK('2025'!$T357), 0, 1), 7, 0))), 1, "")</f>
        <v/>
      </c>
      <c r="AP393" s="1" t="str">
        <f>IF(AND(AND(AND(AP$4&gt;='2025'!$L357,AP$4&lt;='2025'!$M357), AP$4&lt;&gt;DATE(2025,7,4)), (SWITCH(weekday(AP$4), 1, 0, 2, if(ISBLANK('2025'!$P357), 0, 1), 3, if(ISBLANK('2025'!$Q357), 0, 1), 4, if(ISBLANK('2025'!$R357), 0, 1), 5, if(ISBLANK('2025'!$S357), 0, 1), 6, if(ISBLANK('2025'!$T357), 0, 1), 7, 0))), 1, "")</f>
        <v/>
      </c>
      <c r="AQ393" s="1" t="str">
        <f>IF(AND(AND(AND(AQ$4&gt;='2025'!$L357,AQ$4&lt;='2025'!$M357), AQ$4&lt;&gt;DATE(2025,7,4)), (SWITCH(weekday(AQ$4), 1, 0, 2, if(ISBLANK('2025'!$P357), 0, 1), 3, if(ISBLANK('2025'!$Q357), 0, 1), 4, if(ISBLANK('2025'!$R357), 0, 1), 5, if(ISBLANK('2025'!$S357), 0, 1), 6, if(ISBLANK('2025'!$T357), 0, 1), 7, 0))), 1, "")</f>
        <v/>
      </c>
      <c r="AR393" s="1" t="str">
        <f>IF(AND(AND(AND(AR$4&gt;='2025'!$L357,AR$4&lt;='2025'!$M357), AR$4&lt;&gt;DATE(2025,7,4)), (SWITCH(weekday(AR$4), 1, 0, 2, if(ISBLANK('2025'!$P357), 0, 1), 3, if(ISBLANK('2025'!$Q357), 0, 1), 4, if(ISBLANK('2025'!$R357), 0, 1), 5, if(ISBLANK('2025'!$S357), 0, 1), 6, if(ISBLANK('2025'!$T357), 0, 1), 7, 0))), 1, "")</f>
        <v/>
      </c>
      <c r="AS393" s="1" t="str">
        <f>IF(AND(AND(AND(AS$4&gt;='2025'!$L357,AS$4&lt;='2025'!$M357), AS$4&lt;&gt;DATE(2025,7,4)), (SWITCH(weekday(AS$4), 1, 0, 2, if(ISBLANK('2025'!$P357), 0, 1), 3, if(ISBLANK('2025'!$Q357), 0, 1), 4, if(ISBLANK('2025'!$R357), 0, 1), 5, if(ISBLANK('2025'!$S357), 0, 1), 6, if(ISBLANK('2025'!$T357), 0, 1), 7, 0))), 1, "")</f>
        <v/>
      </c>
      <c r="AT393" s="1" t="str">
        <f>IF(AND(AND(AND(AT$4&gt;='2025'!$L357,AT$4&lt;='2025'!$M357), AT$4&lt;&gt;DATE(2025,7,4)), (SWITCH(weekday(AT$4), 1, 0, 2, if(ISBLANK('2025'!$P357), 0, 1), 3, if(ISBLANK('2025'!$Q357), 0, 1), 4, if(ISBLANK('2025'!$R357), 0, 1), 5, if(ISBLANK('2025'!$S357), 0, 1), 6, if(ISBLANK('2025'!$T357), 0, 1), 7, 0))), 1, "")</f>
        <v/>
      </c>
      <c r="AU393" s="1" t="str">
        <f>IF(AND(AND(AND(AU$4&gt;='2025'!$L357,AU$4&lt;='2025'!$M357), AU$4&lt;&gt;DATE(2025,7,4)), (SWITCH(weekday(AU$4), 1, 0, 2, if(ISBLANK('2025'!$P357), 0, 1), 3, if(ISBLANK('2025'!$Q357), 0, 1), 4, if(ISBLANK('2025'!$R357), 0, 1), 5, if(ISBLANK('2025'!$S357), 0, 1), 6, if(ISBLANK('2025'!$T357), 0, 1), 7, 0))), 1, "")</f>
        <v/>
      </c>
      <c r="AV393" s="1" t="str">
        <f>IF(AND(AND(AND(AV$4&gt;='2025'!$L357,AV$4&lt;='2025'!$M357), AV$4&lt;&gt;DATE(2025,7,4)), (SWITCH(weekday(AV$4), 1, 0, 2, if(ISBLANK('2025'!$P357), 0, 1), 3, if(ISBLANK('2025'!$Q357), 0, 1), 4, if(ISBLANK('2025'!$R357), 0, 1), 5, if(ISBLANK('2025'!$S357), 0, 1), 6, if(ISBLANK('2025'!$T357), 0, 1), 7, 0))), 1, "")</f>
        <v/>
      </c>
      <c r="AW393" s="1" t="str">
        <f>IF(AND(AND(AND(AW$4&gt;='2025'!$L357,AW$4&lt;='2025'!$M357), AW$4&lt;&gt;DATE(2025,7,4)), (SWITCH(weekday(AW$4), 1, 0, 2, if(ISBLANK('2025'!$P357), 0, 1), 3, if(ISBLANK('2025'!$Q357), 0, 1), 4, if(ISBLANK('2025'!$R357), 0, 1), 5, if(ISBLANK('2025'!$S357), 0, 1), 6, if(ISBLANK('2025'!$T357), 0, 1), 7, 0))), 1, "")</f>
        <v/>
      </c>
      <c r="AX393" s="1" t="str">
        <f>IF(AND(AND(AND(AX$4&gt;='2025'!$L357,AX$4&lt;='2025'!$M357), AX$4&lt;&gt;DATE(2025,7,4)), (SWITCH(weekday(AX$4), 1, 0, 2, if(ISBLANK('2025'!$P357), 0, 1), 3, if(ISBLANK('2025'!$Q357), 0, 1), 4, if(ISBLANK('2025'!$R357), 0, 1), 5, if(ISBLANK('2025'!$S357), 0, 1), 6, if(ISBLANK('2025'!$T357), 0, 1), 7, 0))), 1, "")</f>
        <v/>
      </c>
      <c r="AY393" s="1" t="str">
        <f>IF(AND(AND(AND(AY$4&gt;='2025'!$L357,AY$4&lt;='2025'!$M357), AY$4&lt;&gt;DATE(2025,7,4)), (SWITCH(weekday(AY$4), 1, 0, 2, if(ISBLANK('2025'!$P357), 0, 1), 3, if(ISBLANK('2025'!$Q357), 0, 1), 4, if(ISBLANK('2025'!$R357), 0, 1), 5, if(ISBLANK('2025'!$S357), 0, 1), 6, if(ISBLANK('2025'!$T357), 0, 1), 7, 0))), 1, "")</f>
        <v/>
      </c>
      <c r="AZ393" s="1" t="str">
        <f>IF(AND(AND(AND(AZ$4&gt;='2025'!$L357,AZ$4&lt;='2025'!$M357), AZ$4&lt;&gt;DATE(2025,7,4)), (SWITCH(weekday(AZ$4), 1, 0, 2, if(ISBLANK('2025'!$P357), 0, 1), 3, if(ISBLANK('2025'!$Q357), 0, 1), 4, if(ISBLANK('2025'!$R357), 0, 1), 5, if(ISBLANK('2025'!$S357), 0, 1), 6, if(ISBLANK('2025'!$T357), 0, 1), 7, 0))), 1, "")</f>
        <v/>
      </c>
      <c r="BA393" s="1" t="str">
        <f>IF(AND(AND(AND(BA$4&gt;='2025'!$L357,BA$4&lt;='2025'!$M357), BA$4&lt;&gt;DATE(2025,7,4)), (SWITCH(weekday(BA$4), 1, 0, 2, if(ISBLANK('2025'!$P357), 0, 1), 3, if(ISBLANK('2025'!$Q357), 0, 1), 4, if(ISBLANK('2025'!$R357), 0, 1), 5, if(ISBLANK('2025'!$S357), 0, 1), 6, if(ISBLANK('2025'!$T357), 0, 1), 7, 0))), 1, "")</f>
        <v/>
      </c>
      <c r="BB393" s="1" t="str">
        <f>IF(AND(AND(AND(BB$4&gt;='2025'!$L357,BB$4&lt;='2025'!$M357), BB$4&lt;&gt;DATE(2025,7,4)), (SWITCH(weekday(BB$4), 1, 0, 2, if(ISBLANK('2025'!$P357), 0, 1), 3, if(ISBLANK('2025'!$Q357), 0, 1), 4, if(ISBLANK('2025'!$R357), 0, 1), 5, if(ISBLANK('2025'!$S357), 0, 1), 6, if(ISBLANK('2025'!$T357), 0, 1), 7, 0))), 1, "")</f>
        <v/>
      </c>
      <c r="BC393" s="1" t="str">
        <f>IF(AND(AND(AND(BC$4&gt;='2025'!$L357,BC$4&lt;='2025'!$M357), BC$4&lt;&gt;DATE(2025,7,4)), (SWITCH(weekday(BC$4), 1, 0, 2, if(ISBLANK('2025'!$P357), 0, 1), 3, if(ISBLANK('2025'!$Q357), 0, 1), 4, if(ISBLANK('2025'!$R357), 0, 1), 5, if(ISBLANK('2025'!$S357), 0, 1), 6, if(ISBLANK('2025'!$T357), 0, 1), 7, 0))), 1, "")</f>
        <v/>
      </c>
      <c r="BD393" s="1" t="str">
        <f>IF(AND(AND(AND(BD$4&gt;='2025'!$L357,BD$4&lt;='2025'!$M357), BD$4&lt;&gt;DATE(2025,7,4)), (SWITCH(weekday(BD$4), 1, 0, 2, if(ISBLANK('2025'!$P357), 0, 1), 3, if(ISBLANK('2025'!$Q357), 0, 1), 4, if(ISBLANK('2025'!$R357), 0, 1), 5, if(ISBLANK('2025'!$S357), 0, 1), 6, if(ISBLANK('2025'!$T357), 0, 1), 7, 0))), 1, "")</f>
        <v/>
      </c>
      <c r="BE393" s="1" t="str">
        <f>IF(AND(AND(AND(BE$4&gt;='2025'!$L357,BE$4&lt;='2025'!$M357), BE$4&lt;&gt;DATE(2025,7,4)), (SWITCH(weekday(BE$4), 1, 0, 2, if(ISBLANK('2025'!$P357), 0, 1), 3, if(ISBLANK('2025'!$Q357), 0, 1), 4, if(ISBLANK('2025'!$R357), 0, 1), 5, if(ISBLANK('2025'!$S357), 0, 1), 6, if(ISBLANK('2025'!$T357), 0, 1), 7, 0))), 1, "")</f>
        <v/>
      </c>
    </row>
    <row r="394">
      <c r="A394" s="1">
        <f t="shared" si="3"/>
        <v>394</v>
      </c>
      <c r="B394" s="1" t="str">
        <f>'2025'!D358</f>
        <v/>
      </c>
      <c r="C394" s="1" t="str">
        <f>'2025'!H358</f>
        <v/>
      </c>
      <c r="D394" s="1" t="str">
        <f>IF(AND(AND(AND(D$4&gt;='2025'!$L358,D$4&lt;='2025'!$M358), D$4&lt;&gt;DATE(2025,7,4)), (SWITCH(weekday(D$4), 1, 0, 2, if(ISBLANK('2025'!$P358), 0, 1), 3, if(ISBLANK('2025'!$Q358), 0, 1), 4, if(ISBLANK('2025'!$R358), 0, 1), 5, if(ISBLANK('2025'!$S358), 0, 1), 6, if(ISBLANK('2025'!$T358), 0, 1), 7, 0))), 1, "")</f>
        <v/>
      </c>
      <c r="E394" s="1" t="str">
        <f>IF(AND(AND(AND(E$4&gt;='2025'!$L358,E$4&lt;='2025'!$M358), E$4&lt;&gt;DATE(2025,7,4)), (SWITCH(weekday(E$4), 1, 0, 2, if(ISBLANK('2025'!$P358), 0, 1), 3, if(ISBLANK('2025'!$Q358), 0, 1), 4, if(ISBLANK('2025'!$R358), 0, 1), 5, if(ISBLANK('2025'!$S358), 0, 1), 6, if(ISBLANK('2025'!$T358), 0, 1), 7, 0))), 1, "")</f>
        <v/>
      </c>
      <c r="F394" s="1" t="str">
        <f>IF(AND(AND(AND(F$4&gt;='2025'!$L358,F$4&lt;='2025'!$M358), F$4&lt;&gt;DATE(2025,7,4)), (SWITCH(weekday(F$4), 1, 0, 2, if(ISBLANK('2025'!$P358), 0, 1), 3, if(ISBLANK('2025'!$Q358), 0, 1), 4, if(ISBLANK('2025'!$R358), 0, 1), 5, if(ISBLANK('2025'!$S358), 0, 1), 6, if(ISBLANK('2025'!$T358), 0, 1), 7, 0))), 1, "")</f>
        <v/>
      </c>
      <c r="G394" s="1" t="str">
        <f>IF(AND(AND(AND(G$4&gt;='2025'!$L358,G$4&lt;='2025'!$M358), G$4&lt;&gt;DATE(2025,7,4)), (SWITCH(weekday(G$4), 1, 0, 2, if(ISBLANK('2025'!$P358), 0, 1), 3, if(ISBLANK('2025'!$Q358), 0, 1), 4, if(ISBLANK('2025'!$R358), 0, 1), 5, if(ISBLANK('2025'!$S358), 0, 1), 6, if(ISBLANK('2025'!$T358), 0, 1), 7, 0))), 1, "")</f>
        <v/>
      </c>
      <c r="H394" s="1" t="str">
        <f>IF(AND(AND(AND(H$4&gt;='2025'!$L358,H$4&lt;='2025'!$M358), H$4&lt;&gt;DATE(2025,7,4)), (SWITCH(weekday(H$4), 1, 0, 2, if(ISBLANK('2025'!$P358), 0, 1), 3, if(ISBLANK('2025'!$Q358), 0, 1), 4, if(ISBLANK('2025'!$R358), 0, 1), 5, if(ISBLANK('2025'!$S358), 0, 1), 6, if(ISBLANK('2025'!$T358), 0, 1), 7, 0))), 1, "")</f>
        <v/>
      </c>
      <c r="I394" s="1" t="str">
        <f>IF(AND(AND(AND(I$4&gt;='2025'!$L358,I$4&lt;='2025'!$M358), I$4&lt;&gt;DATE(2025,7,4)), (SWITCH(weekday(I$4), 1, 0, 2, if(ISBLANK('2025'!$P358), 0, 1), 3, if(ISBLANK('2025'!$Q358), 0, 1), 4, if(ISBLANK('2025'!$R358), 0, 1), 5, if(ISBLANK('2025'!$S358), 0, 1), 6, if(ISBLANK('2025'!$T358), 0, 1), 7, 0))), 1, "")</f>
        <v/>
      </c>
      <c r="J394" s="1" t="str">
        <f>IF(AND(AND(AND(J$4&gt;='2025'!$L358,J$4&lt;='2025'!$M358), J$4&lt;&gt;DATE(2025,7,4)), (SWITCH(weekday(J$4), 1, 0, 2, if(ISBLANK('2025'!$P358), 0, 1), 3, if(ISBLANK('2025'!$Q358), 0, 1), 4, if(ISBLANK('2025'!$R358), 0, 1), 5, if(ISBLANK('2025'!$S358), 0, 1), 6, if(ISBLANK('2025'!$T358), 0, 1), 7, 0))), 1, "")</f>
        <v/>
      </c>
      <c r="K394" s="1" t="str">
        <f>IF(AND(AND(AND(K$4&gt;='2025'!$L358,K$4&lt;='2025'!$M358), K$4&lt;&gt;DATE(2025,7,4)), (SWITCH(weekday(K$4), 1, 0, 2, if(ISBLANK('2025'!$P358), 0, 1), 3, if(ISBLANK('2025'!$Q358), 0, 1), 4, if(ISBLANK('2025'!$R358), 0, 1), 5, if(ISBLANK('2025'!$S358), 0, 1), 6, if(ISBLANK('2025'!$T358), 0, 1), 7, 0))), 1, "")</f>
        <v/>
      </c>
      <c r="L394" s="1" t="str">
        <f>IF(AND(AND(AND(L$4&gt;='2025'!$L358,L$4&lt;='2025'!$M358), L$4&lt;&gt;DATE(2025,7,4)), (SWITCH(weekday(L$4), 1, 0, 2, if(ISBLANK('2025'!$P358), 0, 1), 3, if(ISBLANK('2025'!$Q358), 0, 1), 4, if(ISBLANK('2025'!$R358), 0, 1), 5, if(ISBLANK('2025'!$S358), 0, 1), 6, if(ISBLANK('2025'!$T358), 0, 1), 7, 0))), 1, "")</f>
        <v/>
      </c>
      <c r="M394" s="1" t="str">
        <f>IF(AND(AND(AND(M$4&gt;='2025'!$L358,M$4&lt;='2025'!$M358), M$4&lt;&gt;DATE(2025,7,4)), (SWITCH(weekday(M$4), 1, 0, 2, if(ISBLANK('2025'!$P358), 0, 1), 3, if(ISBLANK('2025'!$Q358), 0, 1), 4, if(ISBLANK('2025'!$R358), 0, 1), 5, if(ISBLANK('2025'!$S358), 0, 1), 6, if(ISBLANK('2025'!$T358), 0, 1), 7, 0))), 1, "")</f>
        <v/>
      </c>
      <c r="N394" s="1" t="str">
        <f>IF(AND(AND(AND(N$4&gt;='2025'!$L358,N$4&lt;='2025'!$M358), N$4&lt;&gt;DATE(2025,7,4)), (SWITCH(weekday(N$4), 1, 0, 2, if(ISBLANK('2025'!$P358), 0, 1), 3, if(ISBLANK('2025'!$Q358), 0, 1), 4, if(ISBLANK('2025'!$R358), 0, 1), 5, if(ISBLANK('2025'!$S358), 0, 1), 6, if(ISBLANK('2025'!$T358), 0, 1), 7, 0))), 1, "")</f>
        <v/>
      </c>
      <c r="O394" s="1" t="str">
        <f>IF(AND(AND(AND(O$4&gt;='2025'!$L358,O$4&lt;='2025'!$M358), O$4&lt;&gt;DATE(2025,7,4)), (SWITCH(weekday(O$4), 1, 0, 2, if(ISBLANK('2025'!$P358), 0, 1), 3, if(ISBLANK('2025'!$Q358), 0, 1), 4, if(ISBLANK('2025'!$R358), 0, 1), 5, if(ISBLANK('2025'!$S358), 0, 1), 6, if(ISBLANK('2025'!$T358), 0, 1), 7, 0))), 1, "")</f>
        <v/>
      </c>
      <c r="P394" s="1" t="str">
        <f>IF(AND(AND(AND(P$4&gt;='2025'!$L358,P$4&lt;='2025'!$M358), P$4&lt;&gt;DATE(2025,7,4)), (SWITCH(weekday(P$4), 1, 0, 2, if(ISBLANK('2025'!$P358), 0, 1), 3, if(ISBLANK('2025'!$Q358), 0, 1), 4, if(ISBLANK('2025'!$R358), 0, 1), 5, if(ISBLANK('2025'!$S358), 0, 1), 6, if(ISBLANK('2025'!$T358), 0, 1), 7, 0))), 1, "")</f>
        <v/>
      </c>
      <c r="Q394" s="1" t="str">
        <f>IF(AND(AND(AND(Q$4&gt;='2025'!$L358,Q$4&lt;='2025'!$M358), Q$4&lt;&gt;DATE(2025,7,4)), (SWITCH(weekday(Q$4), 1, 0, 2, if(ISBLANK('2025'!$P358), 0, 1), 3, if(ISBLANK('2025'!$Q358), 0, 1), 4, if(ISBLANK('2025'!$R358), 0, 1), 5, if(ISBLANK('2025'!$S358), 0, 1), 6, if(ISBLANK('2025'!$T358), 0, 1), 7, 0))), 1, "")</f>
        <v/>
      </c>
      <c r="R394" s="1" t="str">
        <f>IF(AND(AND(AND(R$4&gt;='2025'!$L358,R$4&lt;='2025'!$M358), R$4&lt;&gt;DATE(2025,7,4)), (SWITCH(weekday(R$4), 1, 0, 2, if(ISBLANK('2025'!$P358), 0, 1), 3, if(ISBLANK('2025'!$Q358), 0, 1), 4, if(ISBLANK('2025'!$R358), 0, 1), 5, if(ISBLANK('2025'!$S358), 0, 1), 6, if(ISBLANK('2025'!$T358), 0, 1), 7, 0))), 1, "")</f>
        <v/>
      </c>
      <c r="S394" s="1" t="str">
        <f>IF(AND(AND(AND(S$4&gt;='2025'!$L358,S$4&lt;='2025'!$M358), S$4&lt;&gt;DATE(2025,7,4)), (SWITCH(weekday(S$4), 1, 0, 2, if(ISBLANK('2025'!$P358), 0, 1), 3, if(ISBLANK('2025'!$Q358), 0, 1), 4, if(ISBLANK('2025'!$R358), 0, 1), 5, if(ISBLANK('2025'!$S358), 0, 1), 6, if(ISBLANK('2025'!$T358), 0, 1), 7, 0))), 1, "")</f>
        <v/>
      </c>
      <c r="T394" s="1" t="str">
        <f>IF(AND(AND(AND(T$4&gt;='2025'!$L358,T$4&lt;='2025'!$M358), T$4&lt;&gt;DATE(2025,7,4)), (SWITCH(weekday(T$4), 1, 0, 2, if(ISBLANK('2025'!$P358), 0, 1), 3, if(ISBLANK('2025'!$Q358), 0, 1), 4, if(ISBLANK('2025'!$R358), 0, 1), 5, if(ISBLANK('2025'!$S358), 0, 1), 6, if(ISBLANK('2025'!$T358), 0, 1), 7, 0))), 1, "")</f>
        <v/>
      </c>
      <c r="U394" s="1" t="str">
        <f>IF(AND(AND(AND(U$4&gt;='2025'!$L358,U$4&lt;='2025'!$M358), U$4&lt;&gt;DATE(2025,7,4)), (SWITCH(weekday(U$4), 1, 0, 2, if(ISBLANK('2025'!$P358), 0, 1), 3, if(ISBLANK('2025'!$Q358), 0, 1), 4, if(ISBLANK('2025'!$R358), 0, 1), 5, if(ISBLANK('2025'!$S358), 0, 1), 6, if(ISBLANK('2025'!$T358), 0, 1), 7, 0))), 1, "")</f>
        <v/>
      </c>
      <c r="V394" s="1" t="str">
        <f>IF(AND(AND(AND(V$4&gt;='2025'!$L358,V$4&lt;='2025'!$M358), V$4&lt;&gt;DATE(2025,7,4)), (SWITCH(weekday(V$4), 1, 0, 2, if(ISBLANK('2025'!$P358), 0, 1), 3, if(ISBLANK('2025'!$Q358), 0, 1), 4, if(ISBLANK('2025'!$R358), 0, 1), 5, if(ISBLANK('2025'!$S358), 0, 1), 6, if(ISBLANK('2025'!$T358), 0, 1), 7, 0))), 1, "")</f>
        <v/>
      </c>
      <c r="W394" s="1" t="str">
        <f>IF(AND(AND(AND(W$4&gt;='2025'!$L358,W$4&lt;='2025'!$M358), W$4&lt;&gt;DATE(2025,7,4)), (SWITCH(weekday(W$4), 1, 0, 2, if(ISBLANK('2025'!$P358), 0, 1), 3, if(ISBLANK('2025'!$Q358), 0, 1), 4, if(ISBLANK('2025'!$R358), 0, 1), 5, if(ISBLANK('2025'!$S358), 0, 1), 6, if(ISBLANK('2025'!$T358), 0, 1), 7, 0))), 1, "")</f>
        <v/>
      </c>
      <c r="X394" s="1" t="str">
        <f>IF(AND(AND(AND(X$4&gt;='2025'!$L358,X$4&lt;='2025'!$M358), X$4&lt;&gt;DATE(2025,7,4)), (SWITCH(weekday(X$4), 1, 0, 2, if(ISBLANK('2025'!$P358), 0, 1), 3, if(ISBLANK('2025'!$Q358), 0, 1), 4, if(ISBLANK('2025'!$R358), 0, 1), 5, if(ISBLANK('2025'!$S358), 0, 1), 6, if(ISBLANK('2025'!$T358), 0, 1), 7, 0))), 1, "")</f>
        <v/>
      </c>
      <c r="Y394" s="1" t="str">
        <f>IF(AND(AND(AND(Y$4&gt;='2025'!$L358,Y$4&lt;='2025'!$M358), Y$4&lt;&gt;DATE(2025,7,4)), (SWITCH(weekday(Y$4), 1, 0, 2, if(ISBLANK('2025'!$P358), 0, 1), 3, if(ISBLANK('2025'!$Q358), 0, 1), 4, if(ISBLANK('2025'!$R358), 0, 1), 5, if(ISBLANK('2025'!$S358), 0, 1), 6, if(ISBLANK('2025'!$T358), 0, 1), 7, 0))), 1, "")</f>
        <v/>
      </c>
      <c r="Z394" s="1" t="str">
        <f>IF(AND(AND(AND(Z$4&gt;='2025'!$L358,Z$4&lt;='2025'!$M358), Z$4&lt;&gt;DATE(2025,7,4)), (SWITCH(weekday(Z$4), 1, 0, 2, if(ISBLANK('2025'!$P358), 0, 1), 3, if(ISBLANK('2025'!$Q358), 0, 1), 4, if(ISBLANK('2025'!$R358), 0, 1), 5, if(ISBLANK('2025'!$S358), 0, 1), 6, if(ISBLANK('2025'!$T358), 0, 1), 7, 0))), 1, "")</f>
        <v/>
      </c>
      <c r="AA394" s="1" t="str">
        <f>IF(AND(AND(AND(AA$4&gt;='2025'!$L358,AA$4&lt;='2025'!$M358), AA$4&lt;&gt;DATE(2025,7,4)), (SWITCH(weekday(AA$4), 1, 0, 2, if(ISBLANK('2025'!$P358), 0, 1), 3, if(ISBLANK('2025'!$Q358), 0, 1), 4, if(ISBLANK('2025'!$R358), 0, 1), 5, if(ISBLANK('2025'!$S358), 0, 1), 6, if(ISBLANK('2025'!$T358), 0, 1), 7, 0))), 1, "")</f>
        <v/>
      </c>
      <c r="AB394" s="1" t="str">
        <f>IF(AND(AND(AND(AB$4&gt;='2025'!$L358,AB$4&lt;='2025'!$M358), AB$4&lt;&gt;DATE(2025,7,4)), (SWITCH(weekday(AB$4), 1, 0, 2, if(ISBLANK('2025'!$P358), 0, 1), 3, if(ISBLANK('2025'!$Q358), 0, 1), 4, if(ISBLANK('2025'!$R358), 0, 1), 5, if(ISBLANK('2025'!$S358), 0, 1), 6, if(ISBLANK('2025'!$T358), 0, 1), 7, 0))), 1, "")</f>
        <v/>
      </c>
      <c r="AC394" s="1" t="str">
        <f>IF(AND(AND(AND(AC$4&gt;='2025'!$L358,AC$4&lt;='2025'!$M358), AC$4&lt;&gt;DATE(2025,7,4)), (SWITCH(weekday(AC$4), 1, 0, 2, if(ISBLANK('2025'!$P358), 0, 1), 3, if(ISBLANK('2025'!$Q358), 0, 1), 4, if(ISBLANK('2025'!$R358), 0, 1), 5, if(ISBLANK('2025'!$S358), 0, 1), 6, if(ISBLANK('2025'!$T358), 0, 1), 7, 0))), 1, "")</f>
        <v/>
      </c>
      <c r="AD394" s="1" t="str">
        <f>IF(AND(AND(AND(AD$4&gt;='2025'!$L358,AD$4&lt;='2025'!$M358), AD$4&lt;&gt;DATE(2025,7,4)), (SWITCH(weekday(AD$4), 1, 0, 2, if(ISBLANK('2025'!$P358), 0, 1), 3, if(ISBLANK('2025'!$Q358), 0, 1), 4, if(ISBLANK('2025'!$R358), 0, 1), 5, if(ISBLANK('2025'!$S358), 0, 1), 6, if(ISBLANK('2025'!$T358), 0, 1), 7, 0))), 1, "")</f>
        <v/>
      </c>
      <c r="AE394" s="1" t="str">
        <f>IF(AND(AND(AND(AE$4&gt;='2025'!$L358,AE$4&lt;='2025'!$M358), AE$4&lt;&gt;DATE(2025,7,4)), (SWITCH(weekday(AE$4), 1, 0, 2, if(ISBLANK('2025'!$P358), 0, 1), 3, if(ISBLANK('2025'!$Q358), 0, 1), 4, if(ISBLANK('2025'!$R358), 0, 1), 5, if(ISBLANK('2025'!$S358), 0, 1), 6, if(ISBLANK('2025'!$T358), 0, 1), 7, 0))), 1, "")</f>
        <v/>
      </c>
      <c r="AF394" s="1" t="str">
        <f>IF(AND(AND(AND(AF$4&gt;='2025'!$L358,AF$4&lt;='2025'!$M358), AF$4&lt;&gt;DATE(2025,7,4)), (SWITCH(weekday(AF$4), 1, 0, 2, if(ISBLANK('2025'!$P358), 0, 1), 3, if(ISBLANK('2025'!$Q358), 0, 1), 4, if(ISBLANK('2025'!$R358), 0, 1), 5, if(ISBLANK('2025'!$S358), 0, 1), 6, if(ISBLANK('2025'!$T358), 0, 1), 7, 0))), 1, "")</f>
        <v/>
      </c>
      <c r="AG394" s="1" t="str">
        <f>IF(AND(AND(AND(AG$4&gt;='2025'!$L358,AG$4&lt;='2025'!$M358), AG$4&lt;&gt;DATE(2025,7,4)), (SWITCH(weekday(AG$4), 1, 0, 2, if(ISBLANK('2025'!$P358), 0, 1), 3, if(ISBLANK('2025'!$Q358), 0, 1), 4, if(ISBLANK('2025'!$R358), 0, 1), 5, if(ISBLANK('2025'!$S358), 0, 1), 6, if(ISBLANK('2025'!$T358), 0, 1), 7, 0))), 1, "")</f>
        <v/>
      </c>
      <c r="AH394" s="1" t="str">
        <f>IF(AND(AND(AND(AH$4&gt;='2025'!$L358,AH$4&lt;='2025'!$M358), AH$4&lt;&gt;DATE(2025,7,4)), (SWITCH(weekday(AH$4), 1, 0, 2, if(ISBLANK('2025'!$P358), 0, 1), 3, if(ISBLANK('2025'!$Q358), 0, 1), 4, if(ISBLANK('2025'!$R358), 0, 1), 5, if(ISBLANK('2025'!$S358), 0, 1), 6, if(ISBLANK('2025'!$T358), 0, 1), 7, 0))), 1, "")</f>
        <v/>
      </c>
      <c r="AI394" s="1" t="str">
        <f>IF(AND(AND(AND(AI$4&gt;='2025'!$L358,AI$4&lt;='2025'!$M358), AI$4&lt;&gt;DATE(2025,7,4)), (SWITCH(weekday(AI$4), 1, 0, 2, if(ISBLANK('2025'!$P358), 0, 1), 3, if(ISBLANK('2025'!$Q358), 0, 1), 4, if(ISBLANK('2025'!$R358), 0, 1), 5, if(ISBLANK('2025'!$S358), 0, 1), 6, if(ISBLANK('2025'!$T358), 0, 1), 7, 0))), 1, "")</f>
        <v/>
      </c>
      <c r="AJ394" s="1" t="str">
        <f>IF(AND(AND(AND(AJ$4&gt;='2025'!$L358,AJ$4&lt;='2025'!$M358), AJ$4&lt;&gt;DATE(2025,7,4)), (SWITCH(weekday(AJ$4), 1, 0, 2, if(ISBLANK('2025'!$P358), 0, 1), 3, if(ISBLANK('2025'!$Q358), 0, 1), 4, if(ISBLANK('2025'!$R358), 0, 1), 5, if(ISBLANK('2025'!$S358), 0, 1), 6, if(ISBLANK('2025'!$T358), 0, 1), 7, 0))), 1, "")</f>
        <v/>
      </c>
      <c r="AK394" s="1" t="str">
        <f>IF(AND(AND(AND(AK$4&gt;='2025'!$L358,AK$4&lt;='2025'!$M358), AK$4&lt;&gt;DATE(2025,7,4)), (SWITCH(weekday(AK$4), 1, 0, 2, if(ISBLANK('2025'!$P358), 0, 1), 3, if(ISBLANK('2025'!$Q358), 0, 1), 4, if(ISBLANK('2025'!$R358), 0, 1), 5, if(ISBLANK('2025'!$S358), 0, 1), 6, if(ISBLANK('2025'!$T358), 0, 1), 7, 0))), 1, "")</f>
        <v/>
      </c>
      <c r="AL394" s="1" t="str">
        <f>IF(AND(AND(AND(AL$4&gt;='2025'!$L358,AL$4&lt;='2025'!$M358), AL$4&lt;&gt;DATE(2025,7,4)), (SWITCH(weekday(AL$4), 1, 0, 2, if(ISBLANK('2025'!$P358), 0, 1), 3, if(ISBLANK('2025'!$Q358), 0, 1), 4, if(ISBLANK('2025'!$R358), 0, 1), 5, if(ISBLANK('2025'!$S358), 0, 1), 6, if(ISBLANK('2025'!$T358), 0, 1), 7, 0))), 1, "")</f>
        <v/>
      </c>
      <c r="AM394" s="1" t="str">
        <f>IF(AND(AND(AND(AM$4&gt;='2025'!$L358,AM$4&lt;='2025'!$M358), AM$4&lt;&gt;DATE(2025,7,4)), (SWITCH(weekday(AM$4), 1, 0, 2, if(ISBLANK('2025'!$P358), 0, 1), 3, if(ISBLANK('2025'!$Q358), 0, 1), 4, if(ISBLANK('2025'!$R358), 0, 1), 5, if(ISBLANK('2025'!$S358), 0, 1), 6, if(ISBLANK('2025'!$T358), 0, 1), 7, 0))), 1, "")</f>
        <v/>
      </c>
      <c r="AN394" s="1" t="str">
        <f>IF(AND(AND(AND(AN$4&gt;='2025'!$L358,AN$4&lt;='2025'!$M358), AN$4&lt;&gt;DATE(2025,7,4)), (SWITCH(weekday(AN$4), 1, 0, 2, if(ISBLANK('2025'!$P358), 0, 1), 3, if(ISBLANK('2025'!$Q358), 0, 1), 4, if(ISBLANK('2025'!$R358), 0, 1), 5, if(ISBLANK('2025'!$S358), 0, 1), 6, if(ISBLANK('2025'!$T358), 0, 1), 7, 0))), 1, "")</f>
        <v/>
      </c>
      <c r="AO394" s="1" t="str">
        <f>IF(AND(AND(AND(AO$4&gt;='2025'!$L358,AO$4&lt;='2025'!$M358), AO$4&lt;&gt;DATE(2025,7,4)), (SWITCH(weekday(AO$4), 1, 0, 2, if(ISBLANK('2025'!$P358), 0, 1), 3, if(ISBLANK('2025'!$Q358), 0, 1), 4, if(ISBLANK('2025'!$R358), 0, 1), 5, if(ISBLANK('2025'!$S358), 0, 1), 6, if(ISBLANK('2025'!$T358), 0, 1), 7, 0))), 1, "")</f>
        <v/>
      </c>
      <c r="AP394" s="1" t="str">
        <f>IF(AND(AND(AND(AP$4&gt;='2025'!$L358,AP$4&lt;='2025'!$M358), AP$4&lt;&gt;DATE(2025,7,4)), (SWITCH(weekday(AP$4), 1, 0, 2, if(ISBLANK('2025'!$P358), 0, 1), 3, if(ISBLANK('2025'!$Q358), 0, 1), 4, if(ISBLANK('2025'!$R358), 0, 1), 5, if(ISBLANK('2025'!$S358), 0, 1), 6, if(ISBLANK('2025'!$T358), 0, 1), 7, 0))), 1, "")</f>
        <v/>
      </c>
      <c r="AQ394" s="1" t="str">
        <f>IF(AND(AND(AND(AQ$4&gt;='2025'!$L358,AQ$4&lt;='2025'!$M358), AQ$4&lt;&gt;DATE(2025,7,4)), (SWITCH(weekday(AQ$4), 1, 0, 2, if(ISBLANK('2025'!$P358), 0, 1), 3, if(ISBLANK('2025'!$Q358), 0, 1), 4, if(ISBLANK('2025'!$R358), 0, 1), 5, if(ISBLANK('2025'!$S358), 0, 1), 6, if(ISBLANK('2025'!$T358), 0, 1), 7, 0))), 1, "")</f>
        <v/>
      </c>
      <c r="AR394" s="1" t="str">
        <f>IF(AND(AND(AND(AR$4&gt;='2025'!$L358,AR$4&lt;='2025'!$M358), AR$4&lt;&gt;DATE(2025,7,4)), (SWITCH(weekday(AR$4), 1, 0, 2, if(ISBLANK('2025'!$P358), 0, 1), 3, if(ISBLANK('2025'!$Q358), 0, 1), 4, if(ISBLANK('2025'!$R358), 0, 1), 5, if(ISBLANK('2025'!$S358), 0, 1), 6, if(ISBLANK('2025'!$T358), 0, 1), 7, 0))), 1, "")</f>
        <v/>
      </c>
      <c r="AS394" s="1" t="str">
        <f>IF(AND(AND(AND(AS$4&gt;='2025'!$L358,AS$4&lt;='2025'!$M358), AS$4&lt;&gt;DATE(2025,7,4)), (SWITCH(weekday(AS$4), 1, 0, 2, if(ISBLANK('2025'!$P358), 0, 1), 3, if(ISBLANK('2025'!$Q358), 0, 1), 4, if(ISBLANK('2025'!$R358), 0, 1), 5, if(ISBLANK('2025'!$S358), 0, 1), 6, if(ISBLANK('2025'!$T358), 0, 1), 7, 0))), 1, "")</f>
        <v/>
      </c>
      <c r="AT394" s="1" t="str">
        <f>IF(AND(AND(AND(AT$4&gt;='2025'!$L358,AT$4&lt;='2025'!$M358), AT$4&lt;&gt;DATE(2025,7,4)), (SWITCH(weekday(AT$4), 1, 0, 2, if(ISBLANK('2025'!$P358), 0, 1), 3, if(ISBLANK('2025'!$Q358), 0, 1), 4, if(ISBLANK('2025'!$R358), 0, 1), 5, if(ISBLANK('2025'!$S358), 0, 1), 6, if(ISBLANK('2025'!$T358), 0, 1), 7, 0))), 1, "")</f>
        <v/>
      </c>
      <c r="AU394" s="1" t="str">
        <f>IF(AND(AND(AND(AU$4&gt;='2025'!$L358,AU$4&lt;='2025'!$M358), AU$4&lt;&gt;DATE(2025,7,4)), (SWITCH(weekday(AU$4), 1, 0, 2, if(ISBLANK('2025'!$P358), 0, 1), 3, if(ISBLANK('2025'!$Q358), 0, 1), 4, if(ISBLANK('2025'!$R358), 0, 1), 5, if(ISBLANK('2025'!$S358), 0, 1), 6, if(ISBLANK('2025'!$T358), 0, 1), 7, 0))), 1, "")</f>
        <v/>
      </c>
      <c r="AV394" s="1" t="str">
        <f>IF(AND(AND(AND(AV$4&gt;='2025'!$L358,AV$4&lt;='2025'!$M358), AV$4&lt;&gt;DATE(2025,7,4)), (SWITCH(weekday(AV$4), 1, 0, 2, if(ISBLANK('2025'!$P358), 0, 1), 3, if(ISBLANK('2025'!$Q358), 0, 1), 4, if(ISBLANK('2025'!$R358), 0, 1), 5, if(ISBLANK('2025'!$S358), 0, 1), 6, if(ISBLANK('2025'!$T358), 0, 1), 7, 0))), 1, "")</f>
        <v/>
      </c>
      <c r="AW394" s="1" t="str">
        <f>IF(AND(AND(AND(AW$4&gt;='2025'!$L358,AW$4&lt;='2025'!$M358), AW$4&lt;&gt;DATE(2025,7,4)), (SWITCH(weekday(AW$4), 1, 0, 2, if(ISBLANK('2025'!$P358), 0, 1), 3, if(ISBLANK('2025'!$Q358), 0, 1), 4, if(ISBLANK('2025'!$R358), 0, 1), 5, if(ISBLANK('2025'!$S358), 0, 1), 6, if(ISBLANK('2025'!$T358), 0, 1), 7, 0))), 1, "")</f>
        <v/>
      </c>
      <c r="AX394" s="1" t="str">
        <f>IF(AND(AND(AND(AX$4&gt;='2025'!$L358,AX$4&lt;='2025'!$M358), AX$4&lt;&gt;DATE(2025,7,4)), (SWITCH(weekday(AX$4), 1, 0, 2, if(ISBLANK('2025'!$P358), 0, 1), 3, if(ISBLANK('2025'!$Q358), 0, 1), 4, if(ISBLANK('2025'!$R358), 0, 1), 5, if(ISBLANK('2025'!$S358), 0, 1), 6, if(ISBLANK('2025'!$T358), 0, 1), 7, 0))), 1, "")</f>
        <v/>
      </c>
      <c r="AY394" s="1" t="str">
        <f>IF(AND(AND(AND(AY$4&gt;='2025'!$L358,AY$4&lt;='2025'!$M358), AY$4&lt;&gt;DATE(2025,7,4)), (SWITCH(weekday(AY$4), 1, 0, 2, if(ISBLANK('2025'!$P358), 0, 1), 3, if(ISBLANK('2025'!$Q358), 0, 1), 4, if(ISBLANK('2025'!$R358), 0, 1), 5, if(ISBLANK('2025'!$S358), 0, 1), 6, if(ISBLANK('2025'!$T358), 0, 1), 7, 0))), 1, "")</f>
        <v/>
      </c>
      <c r="AZ394" s="1" t="str">
        <f>IF(AND(AND(AND(AZ$4&gt;='2025'!$L358,AZ$4&lt;='2025'!$M358), AZ$4&lt;&gt;DATE(2025,7,4)), (SWITCH(weekday(AZ$4), 1, 0, 2, if(ISBLANK('2025'!$P358), 0, 1), 3, if(ISBLANK('2025'!$Q358), 0, 1), 4, if(ISBLANK('2025'!$R358), 0, 1), 5, if(ISBLANK('2025'!$S358), 0, 1), 6, if(ISBLANK('2025'!$T358), 0, 1), 7, 0))), 1, "")</f>
        <v/>
      </c>
      <c r="BA394" s="1" t="str">
        <f>IF(AND(AND(AND(BA$4&gt;='2025'!$L358,BA$4&lt;='2025'!$M358), BA$4&lt;&gt;DATE(2025,7,4)), (SWITCH(weekday(BA$4), 1, 0, 2, if(ISBLANK('2025'!$P358), 0, 1), 3, if(ISBLANK('2025'!$Q358), 0, 1), 4, if(ISBLANK('2025'!$R358), 0, 1), 5, if(ISBLANK('2025'!$S358), 0, 1), 6, if(ISBLANK('2025'!$T358), 0, 1), 7, 0))), 1, "")</f>
        <v/>
      </c>
      <c r="BB394" s="1" t="str">
        <f>IF(AND(AND(AND(BB$4&gt;='2025'!$L358,BB$4&lt;='2025'!$M358), BB$4&lt;&gt;DATE(2025,7,4)), (SWITCH(weekday(BB$4), 1, 0, 2, if(ISBLANK('2025'!$P358), 0, 1), 3, if(ISBLANK('2025'!$Q358), 0, 1), 4, if(ISBLANK('2025'!$R358), 0, 1), 5, if(ISBLANK('2025'!$S358), 0, 1), 6, if(ISBLANK('2025'!$T358), 0, 1), 7, 0))), 1, "")</f>
        <v/>
      </c>
      <c r="BC394" s="1" t="str">
        <f>IF(AND(AND(AND(BC$4&gt;='2025'!$L358,BC$4&lt;='2025'!$M358), BC$4&lt;&gt;DATE(2025,7,4)), (SWITCH(weekday(BC$4), 1, 0, 2, if(ISBLANK('2025'!$P358), 0, 1), 3, if(ISBLANK('2025'!$Q358), 0, 1), 4, if(ISBLANK('2025'!$R358), 0, 1), 5, if(ISBLANK('2025'!$S358), 0, 1), 6, if(ISBLANK('2025'!$T358), 0, 1), 7, 0))), 1, "")</f>
        <v/>
      </c>
      <c r="BD394" s="1" t="str">
        <f>IF(AND(AND(AND(BD$4&gt;='2025'!$L358,BD$4&lt;='2025'!$M358), BD$4&lt;&gt;DATE(2025,7,4)), (SWITCH(weekday(BD$4), 1, 0, 2, if(ISBLANK('2025'!$P358), 0, 1), 3, if(ISBLANK('2025'!$Q358), 0, 1), 4, if(ISBLANK('2025'!$R358), 0, 1), 5, if(ISBLANK('2025'!$S358), 0, 1), 6, if(ISBLANK('2025'!$T358), 0, 1), 7, 0))), 1, "")</f>
        <v/>
      </c>
      <c r="BE394" s="1" t="str">
        <f>IF(AND(AND(AND(BE$4&gt;='2025'!$L358,BE$4&lt;='2025'!$M358), BE$4&lt;&gt;DATE(2025,7,4)), (SWITCH(weekday(BE$4), 1, 0, 2, if(ISBLANK('2025'!$P358), 0, 1), 3, if(ISBLANK('2025'!$Q358), 0, 1), 4, if(ISBLANK('2025'!$R358), 0, 1), 5, if(ISBLANK('2025'!$S358), 0, 1), 6, if(ISBLANK('2025'!$T358), 0, 1), 7, 0))), 1, "")</f>
        <v/>
      </c>
    </row>
    <row r="395">
      <c r="A395" s="1">
        <f t="shared" si="3"/>
        <v>395</v>
      </c>
      <c r="B395" s="1" t="str">
        <f>'2025'!D359</f>
        <v/>
      </c>
      <c r="C395" s="1" t="str">
        <f>'2025'!H359</f>
        <v/>
      </c>
      <c r="D395" s="1" t="str">
        <f>IF(AND(AND(AND(D$4&gt;='2025'!$L359,D$4&lt;='2025'!$M359), D$4&lt;&gt;DATE(2025,7,4)), (SWITCH(weekday(D$4), 1, 0, 2, if(ISBLANK('2025'!$P359), 0, 1), 3, if(ISBLANK('2025'!$Q359), 0, 1), 4, if(ISBLANK('2025'!$R359), 0, 1), 5, if(ISBLANK('2025'!$S359), 0, 1), 6, if(ISBLANK('2025'!$T359), 0, 1), 7, 0))), 1, "")</f>
        <v/>
      </c>
      <c r="E395" s="1" t="str">
        <f>IF(AND(AND(AND(E$4&gt;='2025'!$L359,E$4&lt;='2025'!$M359), E$4&lt;&gt;DATE(2025,7,4)), (SWITCH(weekday(E$4), 1, 0, 2, if(ISBLANK('2025'!$P359), 0, 1), 3, if(ISBLANK('2025'!$Q359), 0, 1), 4, if(ISBLANK('2025'!$R359), 0, 1), 5, if(ISBLANK('2025'!$S359), 0, 1), 6, if(ISBLANK('2025'!$T359), 0, 1), 7, 0))), 1, "")</f>
        <v/>
      </c>
      <c r="F395" s="1" t="str">
        <f>IF(AND(AND(AND(F$4&gt;='2025'!$L359,F$4&lt;='2025'!$M359), F$4&lt;&gt;DATE(2025,7,4)), (SWITCH(weekday(F$4), 1, 0, 2, if(ISBLANK('2025'!$P359), 0, 1), 3, if(ISBLANK('2025'!$Q359), 0, 1), 4, if(ISBLANK('2025'!$R359), 0, 1), 5, if(ISBLANK('2025'!$S359), 0, 1), 6, if(ISBLANK('2025'!$T359), 0, 1), 7, 0))), 1, "")</f>
        <v/>
      </c>
      <c r="G395" s="1" t="str">
        <f>IF(AND(AND(AND(G$4&gt;='2025'!$L359,G$4&lt;='2025'!$M359), G$4&lt;&gt;DATE(2025,7,4)), (SWITCH(weekday(G$4), 1, 0, 2, if(ISBLANK('2025'!$P359), 0, 1), 3, if(ISBLANK('2025'!$Q359), 0, 1), 4, if(ISBLANK('2025'!$R359), 0, 1), 5, if(ISBLANK('2025'!$S359), 0, 1), 6, if(ISBLANK('2025'!$T359), 0, 1), 7, 0))), 1, "")</f>
        <v/>
      </c>
      <c r="H395" s="1" t="str">
        <f>IF(AND(AND(AND(H$4&gt;='2025'!$L359,H$4&lt;='2025'!$M359), H$4&lt;&gt;DATE(2025,7,4)), (SWITCH(weekday(H$4), 1, 0, 2, if(ISBLANK('2025'!$P359), 0, 1), 3, if(ISBLANK('2025'!$Q359), 0, 1), 4, if(ISBLANK('2025'!$R359), 0, 1), 5, if(ISBLANK('2025'!$S359), 0, 1), 6, if(ISBLANK('2025'!$T359), 0, 1), 7, 0))), 1, "")</f>
        <v/>
      </c>
      <c r="I395" s="1" t="str">
        <f>IF(AND(AND(AND(I$4&gt;='2025'!$L359,I$4&lt;='2025'!$M359), I$4&lt;&gt;DATE(2025,7,4)), (SWITCH(weekday(I$4), 1, 0, 2, if(ISBLANK('2025'!$P359), 0, 1), 3, if(ISBLANK('2025'!$Q359), 0, 1), 4, if(ISBLANK('2025'!$R359), 0, 1), 5, if(ISBLANK('2025'!$S359), 0, 1), 6, if(ISBLANK('2025'!$T359), 0, 1), 7, 0))), 1, "")</f>
        <v/>
      </c>
      <c r="J395" s="1" t="str">
        <f>IF(AND(AND(AND(J$4&gt;='2025'!$L359,J$4&lt;='2025'!$M359), J$4&lt;&gt;DATE(2025,7,4)), (SWITCH(weekday(J$4), 1, 0, 2, if(ISBLANK('2025'!$P359), 0, 1), 3, if(ISBLANK('2025'!$Q359), 0, 1), 4, if(ISBLANK('2025'!$R359), 0, 1), 5, if(ISBLANK('2025'!$S359), 0, 1), 6, if(ISBLANK('2025'!$T359), 0, 1), 7, 0))), 1, "")</f>
        <v/>
      </c>
      <c r="K395" s="1" t="str">
        <f>IF(AND(AND(AND(K$4&gt;='2025'!$L359,K$4&lt;='2025'!$M359), K$4&lt;&gt;DATE(2025,7,4)), (SWITCH(weekday(K$4), 1, 0, 2, if(ISBLANK('2025'!$P359), 0, 1), 3, if(ISBLANK('2025'!$Q359), 0, 1), 4, if(ISBLANK('2025'!$R359), 0, 1), 5, if(ISBLANK('2025'!$S359), 0, 1), 6, if(ISBLANK('2025'!$T359), 0, 1), 7, 0))), 1, "")</f>
        <v/>
      </c>
      <c r="L395" s="1" t="str">
        <f>IF(AND(AND(AND(L$4&gt;='2025'!$L359,L$4&lt;='2025'!$M359), L$4&lt;&gt;DATE(2025,7,4)), (SWITCH(weekday(L$4), 1, 0, 2, if(ISBLANK('2025'!$P359), 0, 1), 3, if(ISBLANK('2025'!$Q359), 0, 1), 4, if(ISBLANK('2025'!$R359), 0, 1), 5, if(ISBLANK('2025'!$S359), 0, 1), 6, if(ISBLANK('2025'!$T359), 0, 1), 7, 0))), 1, "")</f>
        <v/>
      </c>
      <c r="M395" s="1" t="str">
        <f>IF(AND(AND(AND(M$4&gt;='2025'!$L359,M$4&lt;='2025'!$M359), M$4&lt;&gt;DATE(2025,7,4)), (SWITCH(weekday(M$4), 1, 0, 2, if(ISBLANK('2025'!$P359), 0, 1), 3, if(ISBLANK('2025'!$Q359), 0, 1), 4, if(ISBLANK('2025'!$R359), 0, 1), 5, if(ISBLANK('2025'!$S359), 0, 1), 6, if(ISBLANK('2025'!$T359), 0, 1), 7, 0))), 1, "")</f>
        <v/>
      </c>
      <c r="N395" s="1" t="str">
        <f>IF(AND(AND(AND(N$4&gt;='2025'!$L359,N$4&lt;='2025'!$M359), N$4&lt;&gt;DATE(2025,7,4)), (SWITCH(weekday(N$4), 1, 0, 2, if(ISBLANK('2025'!$P359), 0, 1), 3, if(ISBLANK('2025'!$Q359), 0, 1), 4, if(ISBLANK('2025'!$R359), 0, 1), 5, if(ISBLANK('2025'!$S359), 0, 1), 6, if(ISBLANK('2025'!$T359), 0, 1), 7, 0))), 1, "")</f>
        <v/>
      </c>
      <c r="O395" s="1" t="str">
        <f>IF(AND(AND(AND(O$4&gt;='2025'!$L359,O$4&lt;='2025'!$M359), O$4&lt;&gt;DATE(2025,7,4)), (SWITCH(weekday(O$4), 1, 0, 2, if(ISBLANK('2025'!$P359), 0, 1), 3, if(ISBLANK('2025'!$Q359), 0, 1), 4, if(ISBLANK('2025'!$R359), 0, 1), 5, if(ISBLANK('2025'!$S359), 0, 1), 6, if(ISBLANK('2025'!$T359), 0, 1), 7, 0))), 1, "")</f>
        <v/>
      </c>
      <c r="P395" s="1" t="str">
        <f>IF(AND(AND(AND(P$4&gt;='2025'!$L359,P$4&lt;='2025'!$M359), P$4&lt;&gt;DATE(2025,7,4)), (SWITCH(weekday(P$4), 1, 0, 2, if(ISBLANK('2025'!$P359), 0, 1), 3, if(ISBLANK('2025'!$Q359), 0, 1), 4, if(ISBLANK('2025'!$R359), 0, 1), 5, if(ISBLANK('2025'!$S359), 0, 1), 6, if(ISBLANK('2025'!$T359), 0, 1), 7, 0))), 1, "")</f>
        <v/>
      </c>
      <c r="Q395" s="1" t="str">
        <f>IF(AND(AND(AND(Q$4&gt;='2025'!$L359,Q$4&lt;='2025'!$M359), Q$4&lt;&gt;DATE(2025,7,4)), (SWITCH(weekday(Q$4), 1, 0, 2, if(ISBLANK('2025'!$P359), 0, 1), 3, if(ISBLANK('2025'!$Q359), 0, 1), 4, if(ISBLANK('2025'!$R359), 0, 1), 5, if(ISBLANK('2025'!$S359), 0, 1), 6, if(ISBLANK('2025'!$T359), 0, 1), 7, 0))), 1, "")</f>
        <v/>
      </c>
      <c r="R395" s="1" t="str">
        <f>IF(AND(AND(AND(R$4&gt;='2025'!$L359,R$4&lt;='2025'!$M359), R$4&lt;&gt;DATE(2025,7,4)), (SWITCH(weekday(R$4), 1, 0, 2, if(ISBLANK('2025'!$P359), 0, 1), 3, if(ISBLANK('2025'!$Q359), 0, 1), 4, if(ISBLANK('2025'!$R359), 0, 1), 5, if(ISBLANK('2025'!$S359), 0, 1), 6, if(ISBLANK('2025'!$T359), 0, 1), 7, 0))), 1, "")</f>
        <v/>
      </c>
      <c r="S395" s="1" t="str">
        <f>IF(AND(AND(AND(S$4&gt;='2025'!$L359,S$4&lt;='2025'!$M359), S$4&lt;&gt;DATE(2025,7,4)), (SWITCH(weekday(S$4), 1, 0, 2, if(ISBLANK('2025'!$P359), 0, 1), 3, if(ISBLANK('2025'!$Q359), 0, 1), 4, if(ISBLANK('2025'!$R359), 0, 1), 5, if(ISBLANK('2025'!$S359), 0, 1), 6, if(ISBLANK('2025'!$T359), 0, 1), 7, 0))), 1, "")</f>
        <v/>
      </c>
      <c r="T395" s="1" t="str">
        <f>IF(AND(AND(AND(T$4&gt;='2025'!$L359,T$4&lt;='2025'!$M359), T$4&lt;&gt;DATE(2025,7,4)), (SWITCH(weekday(T$4), 1, 0, 2, if(ISBLANK('2025'!$P359), 0, 1), 3, if(ISBLANK('2025'!$Q359), 0, 1), 4, if(ISBLANK('2025'!$R359), 0, 1), 5, if(ISBLANK('2025'!$S359), 0, 1), 6, if(ISBLANK('2025'!$T359), 0, 1), 7, 0))), 1, "")</f>
        <v/>
      </c>
      <c r="U395" s="1" t="str">
        <f>IF(AND(AND(AND(U$4&gt;='2025'!$L359,U$4&lt;='2025'!$M359), U$4&lt;&gt;DATE(2025,7,4)), (SWITCH(weekday(U$4), 1, 0, 2, if(ISBLANK('2025'!$P359), 0, 1), 3, if(ISBLANK('2025'!$Q359), 0, 1), 4, if(ISBLANK('2025'!$R359), 0, 1), 5, if(ISBLANK('2025'!$S359), 0, 1), 6, if(ISBLANK('2025'!$T359), 0, 1), 7, 0))), 1, "")</f>
        <v/>
      </c>
      <c r="V395" s="1" t="str">
        <f>IF(AND(AND(AND(V$4&gt;='2025'!$L359,V$4&lt;='2025'!$M359), V$4&lt;&gt;DATE(2025,7,4)), (SWITCH(weekday(V$4), 1, 0, 2, if(ISBLANK('2025'!$P359), 0, 1), 3, if(ISBLANK('2025'!$Q359), 0, 1), 4, if(ISBLANK('2025'!$R359), 0, 1), 5, if(ISBLANK('2025'!$S359), 0, 1), 6, if(ISBLANK('2025'!$T359), 0, 1), 7, 0))), 1, "")</f>
        <v/>
      </c>
      <c r="W395" s="1" t="str">
        <f>IF(AND(AND(AND(W$4&gt;='2025'!$L359,W$4&lt;='2025'!$M359), W$4&lt;&gt;DATE(2025,7,4)), (SWITCH(weekday(W$4), 1, 0, 2, if(ISBLANK('2025'!$P359), 0, 1), 3, if(ISBLANK('2025'!$Q359), 0, 1), 4, if(ISBLANK('2025'!$R359), 0, 1), 5, if(ISBLANK('2025'!$S359), 0, 1), 6, if(ISBLANK('2025'!$T359), 0, 1), 7, 0))), 1, "")</f>
        <v/>
      </c>
      <c r="X395" s="1" t="str">
        <f>IF(AND(AND(AND(X$4&gt;='2025'!$L359,X$4&lt;='2025'!$M359), X$4&lt;&gt;DATE(2025,7,4)), (SWITCH(weekday(X$4), 1, 0, 2, if(ISBLANK('2025'!$P359), 0, 1), 3, if(ISBLANK('2025'!$Q359), 0, 1), 4, if(ISBLANK('2025'!$R359), 0, 1), 5, if(ISBLANK('2025'!$S359), 0, 1), 6, if(ISBLANK('2025'!$T359), 0, 1), 7, 0))), 1, "")</f>
        <v/>
      </c>
      <c r="Y395" s="1" t="str">
        <f>IF(AND(AND(AND(Y$4&gt;='2025'!$L359,Y$4&lt;='2025'!$M359), Y$4&lt;&gt;DATE(2025,7,4)), (SWITCH(weekday(Y$4), 1, 0, 2, if(ISBLANK('2025'!$P359), 0, 1), 3, if(ISBLANK('2025'!$Q359), 0, 1), 4, if(ISBLANK('2025'!$R359), 0, 1), 5, if(ISBLANK('2025'!$S359), 0, 1), 6, if(ISBLANK('2025'!$T359), 0, 1), 7, 0))), 1, "")</f>
        <v/>
      </c>
      <c r="Z395" s="1" t="str">
        <f>IF(AND(AND(AND(Z$4&gt;='2025'!$L359,Z$4&lt;='2025'!$M359), Z$4&lt;&gt;DATE(2025,7,4)), (SWITCH(weekday(Z$4), 1, 0, 2, if(ISBLANK('2025'!$P359), 0, 1), 3, if(ISBLANK('2025'!$Q359), 0, 1), 4, if(ISBLANK('2025'!$R359), 0, 1), 5, if(ISBLANK('2025'!$S359), 0, 1), 6, if(ISBLANK('2025'!$T359), 0, 1), 7, 0))), 1, "")</f>
        <v/>
      </c>
      <c r="AA395" s="1" t="str">
        <f>IF(AND(AND(AND(AA$4&gt;='2025'!$L359,AA$4&lt;='2025'!$M359), AA$4&lt;&gt;DATE(2025,7,4)), (SWITCH(weekday(AA$4), 1, 0, 2, if(ISBLANK('2025'!$P359), 0, 1), 3, if(ISBLANK('2025'!$Q359), 0, 1), 4, if(ISBLANK('2025'!$R359), 0, 1), 5, if(ISBLANK('2025'!$S359), 0, 1), 6, if(ISBLANK('2025'!$T359), 0, 1), 7, 0))), 1, "")</f>
        <v/>
      </c>
      <c r="AB395" s="1" t="str">
        <f>IF(AND(AND(AND(AB$4&gt;='2025'!$L359,AB$4&lt;='2025'!$M359), AB$4&lt;&gt;DATE(2025,7,4)), (SWITCH(weekday(AB$4), 1, 0, 2, if(ISBLANK('2025'!$P359), 0, 1), 3, if(ISBLANK('2025'!$Q359), 0, 1), 4, if(ISBLANK('2025'!$R359), 0, 1), 5, if(ISBLANK('2025'!$S359), 0, 1), 6, if(ISBLANK('2025'!$T359), 0, 1), 7, 0))), 1, "")</f>
        <v/>
      </c>
      <c r="AC395" s="1" t="str">
        <f>IF(AND(AND(AND(AC$4&gt;='2025'!$L359,AC$4&lt;='2025'!$M359), AC$4&lt;&gt;DATE(2025,7,4)), (SWITCH(weekday(AC$4), 1, 0, 2, if(ISBLANK('2025'!$P359), 0, 1), 3, if(ISBLANK('2025'!$Q359), 0, 1), 4, if(ISBLANK('2025'!$R359), 0, 1), 5, if(ISBLANK('2025'!$S359), 0, 1), 6, if(ISBLANK('2025'!$T359), 0, 1), 7, 0))), 1, "")</f>
        <v/>
      </c>
      <c r="AD395" s="1" t="str">
        <f>IF(AND(AND(AND(AD$4&gt;='2025'!$L359,AD$4&lt;='2025'!$M359), AD$4&lt;&gt;DATE(2025,7,4)), (SWITCH(weekday(AD$4), 1, 0, 2, if(ISBLANK('2025'!$P359), 0, 1), 3, if(ISBLANK('2025'!$Q359), 0, 1), 4, if(ISBLANK('2025'!$R359), 0, 1), 5, if(ISBLANK('2025'!$S359), 0, 1), 6, if(ISBLANK('2025'!$T359), 0, 1), 7, 0))), 1, "")</f>
        <v/>
      </c>
      <c r="AE395" s="1" t="str">
        <f>IF(AND(AND(AND(AE$4&gt;='2025'!$L359,AE$4&lt;='2025'!$M359), AE$4&lt;&gt;DATE(2025,7,4)), (SWITCH(weekday(AE$4), 1, 0, 2, if(ISBLANK('2025'!$P359), 0, 1), 3, if(ISBLANK('2025'!$Q359), 0, 1), 4, if(ISBLANK('2025'!$R359), 0, 1), 5, if(ISBLANK('2025'!$S359), 0, 1), 6, if(ISBLANK('2025'!$T359), 0, 1), 7, 0))), 1, "")</f>
        <v/>
      </c>
      <c r="AF395" s="1" t="str">
        <f>IF(AND(AND(AND(AF$4&gt;='2025'!$L359,AF$4&lt;='2025'!$M359), AF$4&lt;&gt;DATE(2025,7,4)), (SWITCH(weekday(AF$4), 1, 0, 2, if(ISBLANK('2025'!$P359), 0, 1), 3, if(ISBLANK('2025'!$Q359), 0, 1), 4, if(ISBLANK('2025'!$R359), 0, 1), 5, if(ISBLANK('2025'!$S359), 0, 1), 6, if(ISBLANK('2025'!$T359), 0, 1), 7, 0))), 1, "")</f>
        <v/>
      </c>
      <c r="AG395" s="1" t="str">
        <f>IF(AND(AND(AND(AG$4&gt;='2025'!$L359,AG$4&lt;='2025'!$M359), AG$4&lt;&gt;DATE(2025,7,4)), (SWITCH(weekday(AG$4), 1, 0, 2, if(ISBLANK('2025'!$P359), 0, 1), 3, if(ISBLANK('2025'!$Q359), 0, 1), 4, if(ISBLANK('2025'!$R359), 0, 1), 5, if(ISBLANK('2025'!$S359), 0, 1), 6, if(ISBLANK('2025'!$T359), 0, 1), 7, 0))), 1, "")</f>
        <v/>
      </c>
      <c r="AH395" s="1" t="str">
        <f>IF(AND(AND(AND(AH$4&gt;='2025'!$L359,AH$4&lt;='2025'!$M359), AH$4&lt;&gt;DATE(2025,7,4)), (SWITCH(weekday(AH$4), 1, 0, 2, if(ISBLANK('2025'!$P359), 0, 1), 3, if(ISBLANK('2025'!$Q359), 0, 1), 4, if(ISBLANK('2025'!$R359), 0, 1), 5, if(ISBLANK('2025'!$S359), 0, 1), 6, if(ISBLANK('2025'!$T359), 0, 1), 7, 0))), 1, "")</f>
        <v/>
      </c>
      <c r="AI395" s="1" t="str">
        <f>IF(AND(AND(AND(AI$4&gt;='2025'!$L359,AI$4&lt;='2025'!$M359), AI$4&lt;&gt;DATE(2025,7,4)), (SWITCH(weekday(AI$4), 1, 0, 2, if(ISBLANK('2025'!$P359), 0, 1), 3, if(ISBLANK('2025'!$Q359), 0, 1), 4, if(ISBLANK('2025'!$R359), 0, 1), 5, if(ISBLANK('2025'!$S359), 0, 1), 6, if(ISBLANK('2025'!$T359), 0, 1), 7, 0))), 1, "")</f>
        <v/>
      </c>
      <c r="AJ395" s="1" t="str">
        <f>IF(AND(AND(AND(AJ$4&gt;='2025'!$L359,AJ$4&lt;='2025'!$M359), AJ$4&lt;&gt;DATE(2025,7,4)), (SWITCH(weekday(AJ$4), 1, 0, 2, if(ISBLANK('2025'!$P359), 0, 1), 3, if(ISBLANK('2025'!$Q359), 0, 1), 4, if(ISBLANK('2025'!$R359), 0, 1), 5, if(ISBLANK('2025'!$S359), 0, 1), 6, if(ISBLANK('2025'!$T359), 0, 1), 7, 0))), 1, "")</f>
        <v/>
      </c>
      <c r="AK395" s="1" t="str">
        <f>IF(AND(AND(AND(AK$4&gt;='2025'!$L359,AK$4&lt;='2025'!$M359), AK$4&lt;&gt;DATE(2025,7,4)), (SWITCH(weekday(AK$4), 1, 0, 2, if(ISBLANK('2025'!$P359), 0, 1), 3, if(ISBLANK('2025'!$Q359), 0, 1), 4, if(ISBLANK('2025'!$R359), 0, 1), 5, if(ISBLANK('2025'!$S359), 0, 1), 6, if(ISBLANK('2025'!$T359), 0, 1), 7, 0))), 1, "")</f>
        <v/>
      </c>
      <c r="AL395" s="1" t="str">
        <f>IF(AND(AND(AND(AL$4&gt;='2025'!$L359,AL$4&lt;='2025'!$M359), AL$4&lt;&gt;DATE(2025,7,4)), (SWITCH(weekday(AL$4), 1, 0, 2, if(ISBLANK('2025'!$P359), 0, 1), 3, if(ISBLANK('2025'!$Q359), 0, 1), 4, if(ISBLANK('2025'!$R359), 0, 1), 5, if(ISBLANK('2025'!$S359), 0, 1), 6, if(ISBLANK('2025'!$T359), 0, 1), 7, 0))), 1, "")</f>
        <v/>
      </c>
      <c r="AM395" s="1" t="str">
        <f>IF(AND(AND(AND(AM$4&gt;='2025'!$L359,AM$4&lt;='2025'!$M359), AM$4&lt;&gt;DATE(2025,7,4)), (SWITCH(weekday(AM$4), 1, 0, 2, if(ISBLANK('2025'!$P359), 0, 1), 3, if(ISBLANK('2025'!$Q359), 0, 1), 4, if(ISBLANK('2025'!$R359), 0, 1), 5, if(ISBLANK('2025'!$S359), 0, 1), 6, if(ISBLANK('2025'!$T359), 0, 1), 7, 0))), 1, "")</f>
        <v/>
      </c>
      <c r="AN395" s="1" t="str">
        <f>IF(AND(AND(AND(AN$4&gt;='2025'!$L359,AN$4&lt;='2025'!$M359), AN$4&lt;&gt;DATE(2025,7,4)), (SWITCH(weekday(AN$4), 1, 0, 2, if(ISBLANK('2025'!$P359), 0, 1), 3, if(ISBLANK('2025'!$Q359), 0, 1), 4, if(ISBLANK('2025'!$R359), 0, 1), 5, if(ISBLANK('2025'!$S359), 0, 1), 6, if(ISBLANK('2025'!$T359), 0, 1), 7, 0))), 1, "")</f>
        <v/>
      </c>
      <c r="AO395" s="1" t="str">
        <f>IF(AND(AND(AND(AO$4&gt;='2025'!$L359,AO$4&lt;='2025'!$M359), AO$4&lt;&gt;DATE(2025,7,4)), (SWITCH(weekday(AO$4), 1, 0, 2, if(ISBLANK('2025'!$P359), 0, 1), 3, if(ISBLANK('2025'!$Q359), 0, 1), 4, if(ISBLANK('2025'!$R359), 0, 1), 5, if(ISBLANK('2025'!$S359), 0, 1), 6, if(ISBLANK('2025'!$T359), 0, 1), 7, 0))), 1, "")</f>
        <v/>
      </c>
      <c r="AP395" s="1" t="str">
        <f>IF(AND(AND(AND(AP$4&gt;='2025'!$L359,AP$4&lt;='2025'!$M359), AP$4&lt;&gt;DATE(2025,7,4)), (SWITCH(weekday(AP$4), 1, 0, 2, if(ISBLANK('2025'!$P359), 0, 1), 3, if(ISBLANK('2025'!$Q359), 0, 1), 4, if(ISBLANK('2025'!$R359), 0, 1), 5, if(ISBLANK('2025'!$S359), 0, 1), 6, if(ISBLANK('2025'!$T359), 0, 1), 7, 0))), 1, "")</f>
        <v/>
      </c>
      <c r="AQ395" s="1" t="str">
        <f>IF(AND(AND(AND(AQ$4&gt;='2025'!$L359,AQ$4&lt;='2025'!$M359), AQ$4&lt;&gt;DATE(2025,7,4)), (SWITCH(weekday(AQ$4), 1, 0, 2, if(ISBLANK('2025'!$P359), 0, 1), 3, if(ISBLANK('2025'!$Q359), 0, 1), 4, if(ISBLANK('2025'!$R359), 0, 1), 5, if(ISBLANK('2025'!$S359), 0, 1), 6, if(ISBLANK('2025'!$T359), 0, 1), 7, 0))), 1, "")</f>
        <v/>
      </c>
      <c r="AR395" s="1" t="str">
        <f>IF(AND(AND(AND(AR$4&gt;='2025'!$L359,AR$4&lt;='2025'!$M359), AR$4&lt;&gt;DATE(2025,7,4)), (SWITCH(weekday(AR$4), 1, 0, 2, if(ISBLANK('2025'!$P359), 0, 1), 3, if(ISBLANK('2025'!$Q359), 0, 1), 4, if(ISBLANK('2025'!$R359), 0, 1), 5, if(ISBLANK('2025'!$S359), 0, 1), 6, if(ISBLANK('2025'!$T359), 0, 1), 7, 0))), 1, "")</f>
        <v/>
      </c>
      <c r="AS395" s="1" t="str">
        <f>IF(AND(AND(AND(AS$4&gt;='2025'!$L359,AS$4&lt;='2025'!$M359), AS$4&lt;&gt;DATE(2025,7,4)), (SWITCH(weekday(AS$4), 1, 0, 2, if(ISBLANK('2025'!$P359), 0, 1), 3, if(ISBLANK('2025'!$Q359), 0, 1), 4, if(ISBLANK('2025'!$R359), 0, 1), 5, if(ISBLANK('2025'!$S359), 0, 1), 6, if(ISBLANK('2025'!$T359), 0, 1), 7, 0))), 1, "")</f>
        <v/>
      </c>
      <c r="AT395" s="1" t="str">
        <f>IF(AND(AND(AND(AT$4&gt;='2025'!$L359,AT$4&lt;='2025'!$M359), AT$4&lt;&gt;DATE(2025,7,4)), (SWITCH(weekday(AT$4), 1, 0, 2, if(ISBLANK('2025'!$P359), 0, 1), 3, if(ISBLANK('2025'!$Q359), 0, 1), 4, if(ISBLANK('2025'!$R359), 0, 1), 5, if(ISBLANK('2025'!$S359), 0, 1), 6, if(ISBLANK('2025'!$T359), 0, 1), 7, 0))), 1, "")</f>
        <v/>
      </c>
      <c r="AU395" s="1" t="str">
        <f>IF(AND(AND(AND(AU$4&gt;='2025'!$L359,AU$4&lt;='2025'!$M359), AU$4&lt;&gt;DATE(2025,7,4)), (SWITCH(weekday(AU$4), 1, 0, 2, if(ISBLANK('2025'!$P359), 0, 1), 3, if(ISBLANK('2025'!$Q359), 0, 1), 4, if(ISBLANK('2025'!$R359), 0, 1), 5, if(ISBLANK('2025'!$S359), 0, 1), 6, if(ISBLANK('2025'!$T359), 0, 1), 7, 0))), 1, "")</f>
        <v/>
      </c>
      <c r="AV395" s="1" t="str">
        <f>IF(AND(AND(AND(AV$4&gt;='2025'!$L359,AV$4&lt;='2025'!$M359), AV$4&lt;&gt;DATE(2025,7,4)), (SWITCH(weekday(AV$4), 1, 0, 2, if(ISBLANK('2025'!$P359), 0, 1), 3, if(ISBLANK('2025'!$Q359), 0, 1), 4, if(ISBLANK('2025'!$R359), 0, 1), 5, if(ISBLANK('2025'!$S359), 0, 1), 6, if(ISBLANK('2025'!$T359), 0, 1), 7, 0))), 1, "")</f>
        <v/>
      </c>
      <c r="AW395" s="1" t="str">
        <f>IF(AND(AND(AND(AW$4&gt;='2025'!$L359,AW$4&lt;='2025'!$M359), AW$4&lt;&gt;DATE(2025,7,4)), (SWITCH(weekday(AW$4), 1, 0, 2, if(ISBLANK('2025'!$P359), 0, 1), 3, if(ISBLANK('2025'!$Q359), 0, 1), 4, if(ISBLANK('2025'!$R359), 0, 1), 5, if(ISBLANK('2025'!$S359), 0, 1), 6, if(ISBLANK('2025'!$T359), 0, 1), 7, 0))), 1, "")</f>
        <v/>
      </c>
      <c r="AX395" s="1" t="str">
        <f>IF(AND(AND(AND(AX$4&gt;='2025'!$L359,AX$4&lt;='2025'!$M359), AX$4&lt;&gt;DATE(2025,7,4)), (SWITCH(weekday(AX$4), 1, 0, 2, if(ISBLANK('2025'!$P359), 0, 1), 3, if(ISBLANK('2025'!$Q359), 0, 1), 4, if(ISBLANK('2025'!$R359), 0, 1), 5, if(ISBLANK('2025'!$S359), 0, 1), 6, if(ISBLANK('2025'!$T359), 0, 1), 7, 0))), 1, "")</f>
        <v/>
      </c>
      <c r="AY395" s="1" t="str">
        <f>IF(AND(AND(AND(AY$4&gt;='2025'!$L359,AY$4&lt;='2025'!$M359), AY$4&lt;&gt;DATE(2025,7,4)), (SWITCH(weekday(AY$4), 1, 0, 2, if(ISBLANK('2025'!$P359), 0, 1), 3, if(ISBLANK('2025'!$Q359), 0, 1), 4, if(ISBLANK('2025'!$R359), 0, 1), 5, if(ISBLANK('2025'!$S359), 0, 1), 6, if(ISBLANK('2025'!$T359), 0, 1), 7, 0))), 1, "")</f>
        <v/>
      </c>
      <c r="AZ395" s="1" t="str">
        <f>IF(AND(AND(AND(AZ$4&gt;='2025'!$L359,AZ$4&lt;='2025'!$M359), AZ$4&lt;&gt;DATE(2025,7,4)), (SWITCH(weekday(AZ$4), 1, 0, 2, if(ISBLANK('2025'!$P359), 0, 1), 3, if(ISBLANK('2025'!$Q359), 0, 1), 4, if(ISBLANK('2025'!$R359), 0, 1), 5, if(ISBLANK('2025'!$S359), 0, 1), 6, if(ISBLANK('2025'!$T359), 0, 1), 7, 0))), 1, "")</f>
        <v/>
      </c>
      <c r="BA395" s="1" t="str">
        <f>IF(AND(AND(AND(BA$4&gt;='2025'!$L359,BA$4&lt;='2025'!$M359), BA$4&lt;&gt;DATE(2025,7,4)), (SWITCH(weekday(BA$4), 1, 0, 2, if(ISBLANK('2025'!$P359), 0, 1), 3, if(ISBLANK('2025'!$Q359), 0, 1), 4, if(ISBLANK('2025'!$R359), 0, 1), 5, if(ISBLANK('2025'!$S359), 0, 1), 6, if(ISBLANK('2025'!$T359), 0, 1), 7, 0))), 1, "")</f>
        <v/>
      </c>
      <c r="BB395" s="1" t="str">
        <f>IF(AND(AND(AND(BB$4&gt;='2025'!$L359,BB$4&lt;='2025'!$M359), BB$4&lt;&gt;DATE(2025,7,4)), (SWITCH(weekday(BB$4), 1, 0, 2, if(ISBLANK('2025'!$P359), 0, 1), 3, if(ISBLANK('2025'!$Q359), 0, 1), 4, if(ISBLANK('2025'!$R359), 0, 1), 5, if(ISBLANK('2025'!$S359), 0, 1), 6, if(ISBLANK('2025'!$T359), 0, 1), 7, 0))), 1, "")</f>
        <v/>
      </c>
      <c r="BC395" s="1" t="str">
        <f>IF(AND(AND(AND(BC$4&gt;='2025'!$L359,BC$4&lt;='2025'!$M359), BC$4&lt;&gt;DATE(2025,7,4)), (SWITCH(weekday(BC$4), 1, 0, 2, if(ISBLANK('2025'!$P359), 0, 1), 3, if(ISBLANK('2025'!$Q359), 0, 1), 4, if(ISBLANK('2025'!$R359), 0, 1), 5, if(ISBLANK('2025'!$S359), 0, 1), 6, if(ISBLANK('2025'!$T359), 0, 1), 7, 0))), 1, "")</f>
        <v/>
      </c>
      <c r="BD395" s="1" t="str">
        <f>IF(AND(AND(AND(BD$4&gt;='2025'!$L359,BD$4&lt;='2025'!$M359), BD$4&lt;&gt;DATE(2025,7,4)), (SWITCH(weekday(BD$4), 1, 0, 2, if(ISBLANK('2025'!$P359), 0, 1), 3, if(ISBLANK('2025'!$Q359), 0, 1), 4, if(ISBLANK('2025'!$R359), 0, 1), 5, if(ISBLANK('2025'!$S359), 0, 1), 6, if(ISBLANK('2025'!$T359), 0, 1), 7, 0))), 1, "")</f>
        <v/>
      </c>
      <c r="BE395" s="1" t="str">
        <f>IF(AND(AND(AND(BE$4&gt;='2025'!$L359,BE$4&lt;='2025'!$M359), BE$4&lt;&gt;DATE(2025,7,4)), (SWITCH(weekday(BE$4), 1, 0, 2, if(ISBLANK('2025'!$P359), 0, 1), 3, if(ISBLANK('2025'!$Q359), 0, 1), 4, if(ISBLANK('2025'!$R359), 0, 1), 5, if(ISBLANK('2025'!$S359), 0, 1), 6, if(ISBLANK('2025'!$T359), 0, 1), 7, 0))), 1, "")</f>
        <v/>
      </c>
    </row>
    <row r="396">
      <c r="A396" s="1">
        <f t="shared" si="3"/>
        <v>396</v>
      </c>
      <c r="B396" s="1" t="str">
        <f>'2025'!D360</f>
        <v/>
      </c>
      <c r="C396" s="1" t="str">
        <f>'2025'!H360</f>
        <v/>
      </c>
      <c r="D396" s="1" t="str">
        <f>IF(AND(AND(AND(D$4&gt;='2025'!$L360,D$4&lt;='2025'!$M360), D$4&lt;&gt;DATE(2025,7,4)), (SWITCH(weekday(D$4), 1, 0, 2, if(ISBLANK('2025'!$P360), 0, 1), 3, if(ISBLANK('2025'!$Q360), 0, 1), 4, if(ISBLANK('2025'!$R360), 0, 1), 5, if(ISBLANK('2025'!$S360), 0, 1), 6, if(ISBLANK('2025'!$T360), 0, 1), 7, 0))), 1, "")</f>
        <v/>
      </c>
      <c r="E396" s="1" t="str">
        <f>IF(AND(AND(AND(E$4&gt;='2025'!$L360,E$4&lt;='2025'!$M360), E$4&lt;&gt;DATE(2025,7,4)), (SWITCH(weekday(E$4), 1, 0, 2, if(ISBLANK('2025'!$P360), 0, 1), 3, if(ISBLANK('2025'!$Q360), 0, 1), 4, if(ISBLANK('2025'!$R360), 0, 1), 5, if(ISBLANK('2025'!$S360), 0, 1), 6, if(ISBLANK('2025'!$T360), 0, 1), 7, 0))), 1, "")</f>
        <v/>
      </c>
      <c r="F396" s="1" t="str">
        <f>IF(AND(AND(AND(F$4&gt;='2025'!$L360,F$4&lt;='2025'!$M360), F$4&lt;&gt;DATE(2025,7,4)), (SWITCH(weekday(F$4), 1, 0, 2, if(ISBLANK('2025'!$P360), 0, 1), 3, if(ISBLANK('2025'!$Q360), 0, 1), 4, if(ISBLANK('2025'!$R360), 0, 1), 5, if(ISBLANK('2025'!$S360), 0, 1), 6, if(ISBLANK('2025'!$T360), 0, 1), 7, 0))), 1, "")</f>
        <v/>
      </c>
      <c r="G396" s="1" t="str">
        <f>IF(AND(AND(AND(G$4&gt;='2025'!$L360,G$4&lt;='2025'!$M360), G$4&lt;&gt;DATE(2025,7,4)), (SWITCH(weekday(G$4), 1, 0, 2, if(ISBLANK('2025'!$P360), 0, 1), 3, if(ISBLANK('2025'!$Q360), 0, 1), 4, if(ISBLANK('2025'!$R360), 0, 1), 5, if(ISBLANK('2025'!$S360), 0, 1), 6, if(ISBLANK('2025'!$T360), 0, 1), 7, 0))), 1, "")</f>
        <v/>
      </c>
      <c r="H396" s="1" t="str">
        <f>IF(AND(AND(AND(H$4&gt;='2025'!$L360,H$4&lt;='2025'!$M360), H$4&lt;&gt;DATE(2025,7,4)), (SWITCH(weekday(H$4), 1, 0, 2, if(ISBLANK('2025'!$P360), 0, 1), 3, if(ISBLANK('2025'!$Q360), 0, 1), 4, if(ISBLANK('2025'!$R360), 0, 1), 5, if(ISBLANK('2025'!$S360), 0, 1), 6, if(ISBLANK('2025'!$T360), 0, 1), 7, 0))), 1, "")</f>
        <v/>
      </c>
      <c r="I396" s="1" t="str">
        <f>IF(AND(AND(AND(I$4&gt;='2025'!$L360,I$4&lt;='2025'!$M360), I$4&lt;&gt;DATE(2025,7,4)), (SWITCH(weekday(I$4), 1, 0, 2, if(ISBLANK('2025'!$P360), 0, 1), 3, if(ISBLANK('2025'!$Q360), 0, 1), 4, if(ISBLANK('2025'!$R360), 0, 1), 5, if(ISBLANK('2025'!$S360), 0, 1), 6, if(ISBLANK('2025'!$T360), 0, 1), 7, 0))), 1, "")</f>
        <v/>
      </c>
      <c r="J396" s="1" t="str">
        <f>IF(AND(AND(AND(J$4&gt;='2025'!$L360,J$4&lt;='2025'!$M360), J$4&lt;&gt;DATE(2025,7,4)), (SWITCH(weekday(J$4), 1, 0, 2, if(ISBLANK('2025'!$P360), 0, 1), 3, if(ISBLANK('2025'!$Q360), 0, 1), 4, if(ISBLANK('2025'!$R360), 0, 1), 5, if(ISBLANK('2025'!$S360), 0, 1), 6, if(ISBLANK('2025'!$T360), 0, 1), 7, 0))), 1, "")</f>
        <v/>
      </c>
      <c r="K396" s="1" t="str">
        <f>IF(AND(AND(AND(K$4&gt;='2025'!$L360,K$4&lt;='2025'!$M360), K$4&lt;&gt;DATE(2025,7,4)), (SWITCH(weekday(K$4), 1, 0, 2, if(ISBLANK('2025'!$P360), 0, 1), 3, if(ISBLANK('2025'!$Q360), 0, 1), 4, if(ISBLANK('2025'!$R360), 0, 1), 5, if(ISBLANK('2025'!$S360), 0, 1), 6, if(ISBLANK('2025'!$T360), 0, 1), 7, 0))), 1, "")</f>
        <v/>
      </c>
      <c r="L396" s="1" t="str">
        <f>IF(AND(AND(AND(L$4&gt;='2025'!$L360,L$4&lt;='2025'!$M360), L$4&lt;&gt;DATE(2025,7,4)), (SWITCH(weekday(L$4), 1, 0, 2, if(ISBLANK('2025'!$P360), 0, 1), 3, if(ISBLANK('2025'!$Q360), 0, 1), 4, if(ISBLANK('2025'!$R360), 0, 1), 5, if(ISBLANK('2025'!$S360), 0, 1), 6, if(ISBLANK('2025'!$T360), 0, 1), 7, 0))), 1, "")</f>
        <v/>
      </c>
      <c r="M396" s="1" t="str">
        <f>IF(AND(AND(AND(M$4&gt;='2025'!$L360,M$4&lt;='2025'!$M360), M$4&lt;&gt;DATE(2025,7,4)), (SWITCH(weekday(M$4), 1, 0, 2, if(ISBLANK('2025'!$P360), 0, 1), 3, if(ISBLANK('2025'!$Q360), 0, 1), 4, if(ISBLANK('2025'!$R360), 0, 1), 5, if(ISBLANK('2025'!$S360), 0, 1), 6, if(ISBLANK('2025'!$T360), 0, 1), 7, 0))), 1, "")</f>
        <v/>
      </c>
      <c r="N396" s="1" t="str">
        <f>IF(AND(AND(AND(N$4&gt;='2025'!$L360,N$4&lt;='2025'!$M360), N$4&lt;&gt;DATE(2025,7,4)), (SWITCH(weekday(N$4), 1, 0, 2, if(ISBLANK('2025'!$P360), 0, 1), 3, if(ISBLANK('2025'!$Q360), 0, 1), 4, if(ISBLANK('2025'!$R360), 0, 1), 5, if(ISBLANK('2025'!$S360), 0, 1), 6, if(ISBLANK('2025'!$T360), 0, 1), 7, 0))), 1, "")</f>
        <v/>
      </c>
      <c r="O396" s="1" t="str">
        <f>IF(AND(AND(AND(O$4&gt;='2025'!$L360,O$4&lt;='2025'!$M360), O$4&lt;&gt;DATE(2025,7,4)), (SWITCH(weekday(O$4), 1, 0, 2, if(ISBLANK('2025'!$P360), 0, 1), 3, if(ISBLANK('2025'!$Q360), 0, 1), 4, if(ISBLANK('2025'!$R360), 0, 1), 5, if(ISBLANK('2025'!$S360), 0, 1), 6, if(ISBLANK('2025'!$T360), 0, 1), 7, 0))), 1, "")</f>
        <v/>
      </c>
      <c r="P396" s="1" t="str">
        <f>IF(AND(AND(AND(P$4&gt;='2025'!$L360,P$4&lt;='2025'!$M360), P$4&lt;&gt;DATE(2025,7,4)), (SWITCH(weekday(P$4), 1, 0, 2, if(ISBLANK('2025'!$P360), 0, 1), 3, if(ISBLANK('2025'!$Q360), 0, 1), 4, if(ISBLANK('2025'!$R360), 0, 1), 5, if(ISBLANK('2025'!$S360), 0, 1), 6, if(ISBLANK('2025'!$T360), 0, 1), 7, 0))), 1, "")</f>
        <v/>
      </c>
      <c r="Q396" s="1" t="str">
        <f>IF(AND(AND(AND(Q$4&gt;='2025'!$L360,Q$4&lt;='2025'!$M360), Q$4&lt;&gt;DATE(2025,7,4)), (SWITCH(weekday(Q$4), 1, 0, 2, if(ISBLANK('2025'!$P360), 0, 1), 3, if(ISBLANK('2025'!$Q360), 0, 1), 4, if(ISBLANK('2025'!$R360), 0, 1), 5, if(ISBLANK('2025'!$S360), 0, 1), 6, if(ISBLANK('2025'!$T360), 0, 1), 7, 0))), 1, "")</f>
        <v/>
      </c>
      <c r="R396" s="1" t="str">
        <f>IF(AND(AND(AND(R$4&gt;='2025'!$L360,R$4&lt;='2025'!$M360), R$4&lt;&gt;DATE(2025,7,4)), (SWITCH(weekday(R$4), 1, 0, 2, if(ISBLANK('2025'!$P360), 0, 1), 3, if(ISBLANK('2025'!$Q360), 0, 1), 4, if(ISBLANK('2025'!$R360), 0, 1), 5, if(ISBLANK('2025'!$S360), 0, 1), 6, if(ISBLANK('2025'!$T360), 0, 1), 7, 0))), 1, "")</f>
        <v/>
      </c>
      <c r="S396" s="1" t="str">
        <f>IF(AND(AND(AND(S$4&gt;='2025'!$L360,S$4&lt;='2025'!$M360), S$4&lt;&gt;DATE(2025,7,4)), (SWITCH(weekday(S$4), 1, 0, 2, if(ISBLANK('2025'!$P360), 0, 1), 3, if(ISBLANK('2025'!$Q360), 0, 1), 4, if(ISBLANK('2025'!$R360), 0, 1), 5, if(ISBLANK('2025'!$S360), 0, 1), 6, if(ISBLANK('2025'!$T360), 0, 1), 7, 0))), 1, "")</f>
        <v/>
      </c>
      <c r="T396" s="1" t="str">
        <f>IF(AND(AND(AND(T$4&gt;='2025'!$L360,T$4&lt;='2025'!$M360), T$4&lt;&gt;DATE(2025,7,4)), (SWITCH(weekday(T$4), 1, 0, 2, if(ISBLANK('2025'!$P360), 0, 1), 3, if(ISBLANK('2025'!$Q360), 0, 1), 4, if(ISBLANK('2025'!$R360), 0, 1), 5, if(ISBLANK('2025'!$S360), 0, 1), 6, if(ISBLANK('2025'!$T360), 0, 1), 7, 0))), 1, "")</f>
        <v/>
      </c>
      <c r="U396" s="1" t="str">
        <f>IF(AND(AND(AND(U$4&gt;='2025'!$L360,U$4&lt;='2025'!$M360), U$4&lt;&gt;DATE(2025,7,4)), (SWITCH(weekday(U$4), 1, 0, 2, if(ISBLANK('2025'!$P360), 0, 1), 3, if(ISBLANK('2025'!$Q360), 0, 1), 4, if(ISBLANK('2025'!$R360), 0, 1), 5, if(ISBLANK('2025'!$S360), 0, 1), 6, if(ISBLANK('2025'!$T360), 0, 1), 7, 0))), 1, "")</f>
        <v/>
      </c>
      <c r="V396" s="1" t="str">
        <f>IF(AND(AND(AND(V$4&gt;='2025'!$L360,V$4&lt;='2025'!$M360), V$4&lt;&gt;DATE(2025,7,4)), (SWITCH(weekday(V$4), 1, 0, 2, if(ISBLANK('2025'!$P360), 0, 1), 3, if(ISBLANK('2025'!$Q360), 0, 1), 4, if(ISBLANK('2025'!$R360), 0, 1), 5, if(ISBLANK('2025'!$S360), 0, 1), 6, if(ISBLANK('2025'!$T360), 0, 1), 7, 0))), 1, "")</f>
        <v/>
      </c>
      <c r="W396" s="1" t="str">
        <f>IF(AND(AND(AND(W$4&gt;='2025'!$L360,W$4&lt;='2025'!$M360), W$4&lt;&gt;DATE(2025,7,4)), (SWITCH(weekday(W$4), 1, 0, 2, if(ISBLANK('2025'!$P360), 0, 1), 3, if(ISBLANK('2025'!$Q360), 0, 1), 4, if(ISBLANK('2025'!$R360), 0, 1), 5, if(ISBLANK('2025'!$S360), 0, 1), 6, if(ISBLANK('2025'!$T360), 0, 1), 7, 0))), 1, "")</f>
        <v/>
      </c>
      <c r="X396" s="1" t="str">
        <f>IF(AND(AND(AND(X$4&gt;='2025'!$L360,X$4&lt;='2025'!$M360), X$4&lt;&gt;DATE(2025,7,4)), (SWITCH(weekday(X$4), 1, 0, 2, if(ISBLANK('2025'!$P360), 0, 1), 3, if(ISBLANK('2025'!$Q360), 0, 1), 4, if(ISBLANK('2025'!$R360), 0, 1), 5, if(ISBLANK('2025'!$S360), 0, 1), 6, if(ISBLANK('2025'!$T360), 0, 1), 7, 0))), 1, "")</f>
        <v/>
      </c>
      <c r="Y396" s="1" t="str">
        <f>IF(AND(AND(AND(Y$4&gt;='2025'!$L360,Y$4&lt;='2025'!$M360), Y$4&lt;&gt;DATE(2025,7,4)), (SWITCH(weekday(Y$4), 1, 0, 2, if(ISBLANK('2025'!$P360), 0, 1), 3, if(ISBLANK('2025'!$Q360), 0, 1), 4, if(ISBLANK('2025'!$R360), 0, 1), 5, if(ISBLANK('2025'!$S360), 0, 1), 6, if(ISBLANK('2025'!$T360), 0, 1), 7, 0))), 1, "")</f>
        <v/>
      </c>
      <c r="Z396" s="1" t="str">
        <f>IF(AND(AND(AND(Z$4&gt;='2025'!$L360,Z$4&lt;='2025'!$M360), Z$4&lt;&gt;DATE(2025,7,4)), (SWITCH(weekday(Z$4), 1, 0, 2, if(ISBLANK('2025'!$P360), 0, 1), 3, if(ISBLANK('2025'!$Q360), 0, 1), 4, if(ISBLANK('2025'!$R360), 0, 1), 5, if(ISBLANK('2025'!$S360), 0, 1), 6, if(ISBLANK('2025'!$T360), 0, 1), 7, 0))), 1, "")</f>
        <v/>
      </c>
      <c r="AA396" s="1" t="str">
        <f>IF(AND(AND(AND(AA$4&gt;='2025'!$L360,AA$4&lt;='2025'!$M360), AA$4&lt;&gt;DATE(2025,7,4)), (SWITCH(weekday(AA$4), 1, 0, 2, if(ISBLANK('2025'!$P360), 0, 1), 3, if(ISBLANK('2025'!$Q360), 0, 1), 4, if(ISBLANK('2025'!$R360), 0, 1), 5, if(ISBLANK('2025'!$S360), 0, 1), 6, if(ISBLANK('2025'!$T360), 0, 1), 7, 0))), 1, "")</f>
        <v/>
      </c>
      <c r="AB396" s="1" t="str">
        <f>IF(AND(AND(AND(AB$4&gt;='2025'!$L360,AB$4&lt;='2025'!$M360), AB$4&lt;&gt;DATE(2025,7,4)), (SWITCH(weekday(AB$4), 1, 0, 2, if(ISBLANK('2025'!$P360), 0, 1), 3, if(ISBLANK('2025'!$Q360), 0, 1), 4, if(ISBLANK('2025'!$R360), 0, 1), 5, if(ISBLANK('2025'!$S360), 0, 1), 6, if(ISBLANK('2025'!$T360), 0, 1), 7, 0))), 1, "")</f>
        <v/>
      </c>
      <c r="AC396" s="1" t="str">
        <f>IF(AND(AND(AND(AC$4&gt;='2025'!$L360,AC$4&lt;='2025'!$M360), AC$4&lt;&gt;DATE(2025,7,4)), (SWITCH(weekday(AC$4), 1, 0, 2, if(ISBLANK('2025'!$P360), 0, 1), 3, if(ISBLANK('2025'!$Q360), 0, 1), 4, if(ISBLANK('2025'!$R360), 0, 1), 5, if(ISBLANK('2025'!$S360), 0, 1), 6, if(ISBLANK('2025'!$T360), 0, 1), 7, 0))), 1, "")</f>
        <v/>
      </c>
      <c r="AD396" s="1" t="str">
        <f>IF(AND(AND(AND(AD$4&gt;='2025'!$L360,AD$4&lt;='2025'!$M360), AD$4&lt;&gt;DATE(2025,7,4)), (SWITCH(weekday(AD$4), 1, 0, 2, if(ISBLANK('2025'!$P360), 0, 1), 3, if(ISBLANK('2025'!$Q360), 0, 1), 4, if(ISBLANK('2025'!$R360), 0, 1), 5, if(ISBLANK('2025'!$S360), 0, 1), 6, if(ISBLANK('2025'!$T360), 0, 1), 7, 0))), 1, "")</f>
        <v/>
      </c>
      <c r="AE396" s="1" t="str">
        <f>IF(AND(AND(AND(AE$4&gt;='2025'!$L360,AE$4&lt;='2025'!$M360), AE$4&lt;&gt;DATE(2025,7,4)), (SWITCH(weekday(AE$4), 1, 0, 2, if(ISBLANK('2025'!$P360), 0, 1), 3, if(ISBLANK('2025'!$Q360), 0, 1), 4, if(ISBLANK('2025'!$R360), 0, 1), 5, if(ISBLANK('2025'!$S360), 0, 1), 6, if(ISBLANK('2025'!$T360), 0, 1), 7, 0))), 1, "")</f>
        <v/>
      </c>
      <c r="AF396" s="1" t="str">
        <f>IF(AND(AND(AND(AF$4&gt;='2025'!$L360,AF$4&lt;='2025'!$M360), AF$4&lt;&gt;DATE(2025,7,4)), (SWITCH(weekday(AF$4), 1, 0, 2, if(ISBLANK('2025'!$P360), 0, 1), 3, if(ISBLANK('2025'!$Q360), 0, 1), 4, if(ISBLANK('2025'!$R360), 0, 1), 5, if(ISBLANK('2025'!$S360), 0, 1), 6, if(ISBLANK('2025'!$T360), 0, 1), 7, 0))), 1, "")</f>
        <v/>
      </c>
      <c r="AG396" s="1" t="str">
        <f>IF(AND(AND(AND(AG$4&gt;='2025'!$L360,AG$4&lt;='2025'!$M360), AG$4&lt;&gt;DATE(2025,7,4)), (SWITCH(weekday(AG$4), 1, 0, 2, if(ISBLANK('2025'!$P360), 0, 1), 3, if(ISBLANK('2025'!$Q360), 0, 1), 4, if(ISBLANK('2025'!$R360), 0, 1), 5, if(ISBLANK('2025'!$S360), 0, 1), 6, if(ISBLANK('2025'!$T360), 0, 1), 7, 0))), 1, "")</f>
        <v/>
      </c>
      <c r="AH396" s="1" t="str">
        <f>IF(AND(AND(AND(AH$4&gt;='2025'!$L360,AH$4&lt;='2025'!$M360), AH$4&lt;&gt;DATE(2025,7,4)), (SWITCH(weekday(AH$4), 1, 0, 2, if(ISBLANK('2025'!$P360), 0, 1), 3, if(ISBLANK('2025'!$Q360), 0, 1), 4, if(ISBLANK('2025'!$R360), 0, 1), 5, if(ISBLANK('2025'!$S360), 0, 1), 6, if(ISBLANK('2025'!$T360), 0, 1), 7, 0))), 1, "")</f>
        <v/>
      </c>
      <c r="AI396" s="1" t="str">
        <f>IF(AND(AND(AND(AI$4&gt;='2025'!$L360,AI$4&lt;='2025'!$M360), AI$4&lt;&gt;DATE(2025,7,4)), (SWITCH(weekday(AI$4), 1, 0, 2, if(ISBLANK('2025'!$P360), 0, 1), 3, if(ISBLANK('2025'!$Q360), 0, 1), 4, if(ISBLANK('2025'!$R360), 0, 1), 5, if(ISBLANK('2025'!$S360), 0, 1), 6, if(ISBLANK('2025'!$T360), 0, 1), 7, 0))), 1, "")</f>
        <v/>
      </c>
      <c r="AJ396" s="1" t="str">
        <f>IF(AND(AND(AND(AJ$4&gt;='2025'!$L360,AJ$4&lt;='2025'!$M360), AJ$4&lt;&gt;DATE(2025,7,4)), (SWITCH(weekday(AJ$4), 1, 0, 2, if(ISBLANK('2025'!$P360), 0, 1), 3, if(ISBLANK('2025'!$Q360), 0, 1), 4, if(ISBLANK('2025'!$R360), 0, 1), 5, if(ISBLANK('2025'!$S360), 0, 1), 6, if(ISBLANK('2025'!$T360), 0, 1), 7, 0))), 1, "")</f>
        <v/>
      </c>
      <c r="AK396" s="1" t="str">
        <f>IF(AND(AND(AND(AK$4&gt;='2025'!$L360,AK$4&lt;='2025'!$M360), AK$4&lt;&gt;DATE(2025,7,4)), (SWITCH(weekday(AK$4), 1, 0, 2, if(ISBLANK('2025'!$P360), 0, 1), 3, if(ISBLANK('2025'!$Q360), 0, 1), 4, if(ISBLANK('2025'!$R360), 0, 1), 5, if(ISBLANK('2025'!$S360), 0, 1), 6, if(ISBLANK('2025'!$T360), 0, 1), 7, 0))), 1, "")</f>
        <v/>
      </c>
      <c r="AL396" s="1" t="str">
        <f>IF(AND(AND(AND(AL$4&gt;='2025'!$L360,AL$4&lt;='2025'!$M360), AL$4&lt;&gt;DATE(2025,7,4)), (SWITCH(weekday(AL$4), 1, 0, 2, if(ISBLANK('2025'!$P360), 0, 1), 3, if(ISBLANK('2025'!$Q360), 0, 1), 4, if(ISBLANK('2025'!$R360), 0, 1), 5, if(ISBLANK('2025'!$S360), 0, 1), 6, if(ISBLANK('2025'!$T360), 0, 1), 7, 0))), 1, "")</f>
        <v/>
      </c>
      <c r="AM396" s="1" t="str">
        <f>IF(AND(AND(AND(AM$4&gt;='2025'!$L360,AM$4&lt;='2025'!$M360), AM$4&lt;&gt;DATE(2025,7,4)), (SWITCH(weekday(AM$4), 1, 0, 2, if(ISBLANK('2025'!$P360), 0, 1), 3, if(ISBLANK('2025'!$Q360), 0, 1), 4, if(ISBLANK('2025'!$R360), 0, 1), 5, if(ISBLANK('2025'!$S360), 0, 1), 6, if(ISBLANK('2025'!$T360), 0, 1), 7, 0))), 1, "")</f>
        <v/>
      </c>
      <c r="AN396" s="1" t="str">
        <f>IF(AND(AND(AND(AN$4&gt;='2025'!$L360,AN$4&lt;='2025'!$M360), AN$4&lt;&gt;DATE(2025,7,4)), (SWITCH(weekday(AN$4), 1, 0, 2, if(ISBLANK('2025'!$P360), 0, 1), 3, if(ISBLANK('2025'!$Q360), 0, 1), 4, if(ISBLANK('2025'!$R360), 0, 1), 5, if(ISBLANK('2025'!$S360), 0, 1), 6, if(ISBLANK('2025'!$T360), 0, 1), 7, 0))), 1, "")</f>
        <v/>
      </c>
      <c r="AO396" s="1" t="str">
        <f>IF(AND(AND(AND(AO$4&gt;='2025'!$L360,AO$4&lt;='2025'!$M360), AO$4&lt;&gt;DATE(2025,7,4)), (SWITCH(weekday(AO$4), 1, 0, 2, if(ISBLANK('2025'!$P360), 0, 1), 3, if(ISBLANK('2025'!$Q360), 0, 1), 4, if(ISBLANK('2025'!$R360), 0, 1), 5, if(ISBLANK('2025'!$S360), 0, 1), 6, if(ISBLANK('2025'!$T360), 0, 1), 7, 0))), 1, "")</f>
        <v/>
      </c>
      <c r="AP396" s="1" t="str">
        <f>IF(AND(AND(AND(AP$4&gt;='2025'!$L360,AP$4&lt;='2025'!$M360), AP$4&lt;&gt;DATE(2025,7,4)), (SWITCH(weekday(AP$4), 1, 0, 2, if(ISBLANK('2025'!$P360), 0, 1), 3, if(ISBLANK('2025'!$Q360), 0, 1), 4, if(ISBLANK('2025'!$R360), 0, 1), 5, if(ISBLANK('2025'!$S360), 0, 1), 6, if(ISBLANK('2025'!$T360), 0, 1), 7, 0))), 1, "")</f>
        <v/>
      </c>
      <c r="AQ396" s="1" t="str">
        <f>IF(AND(AND(AND(AQ$4&gt;='2025'!$L360,AQ$4&lt;='2025'!$M360), AQ$4&lt;&gt;DATE(2025,7,4)), (SWITCH(weekday(AQ$4), 1, 0, 2, if(ISBLANK('2025'!$P360), 0, 1), 3, if(ISBLANK('2025'!$Q360), 0, 1), 4, if(ISBLANK('2025'!$R360), 0, 1), 5, if(ISBLANK('2025'!$S360), 0, 1), 6, if(ISBLANK('2025'!$T360), 0, 1), 7, 0))), 1, "")</f>
        <v/>
      </c>
      <c r="AR396" s="1" t="str">
        <f>IF(AND(AND(AND(AR$4&gt;='2025'!$L360,AR$4&lt;='2025'!$M360), AR$4&lt;&gt;DATE(2025,7,4)), (SWITCH(weekday(AR$4), 1, 0, 2, if(ISBLANK('2025'!$P360), 0, 1), 3, if(ISBLANK('2025'!$Q360), 0, 1), 4, if(ISBLANK('2025'!$R360), 0, 1), 5, if(ISBLANK('2025'!$S360), 0, 1), 6, if(ISBLANK('2025'!$T360), 0, 1), 7, 0))), 1, "")</f>
        <v/>
      </c>
      <c r="AS396" s="1" t="str">
        <f>IF(AND(AND(AND(AS$4&gt;='2025'!$L360,AS$4&lt;='2025'!$M360), AS$4&lt;&gt;DATE(2025,7,4)), (SWITCH(weekday(AS$4), 1, 0, 2, if(ISBLANK('2025'!$P360), 0, 1), 3, if(ISBLANK('2025'!$Q360), 0, 1), 4, if(ISBLANK('2025'!$R360), 0, 1), 5, if(ISBLANK('2025'!$S360), 0, 1), 6, if(ISBLANK('2025'!$T360), 0, 1), 7, 0))), 1, "")</f>
        <v/>
      </c>
      <c r="AT396" s="1" t="str">
        <f>IF(AND(AND(AND(AT$4&gt;='2025'!$L360,AT$4&lt;='2025'!$M360), AT$4&lt;&gt;DATE(2025,7,4)), (SWITCH(weekday(AT$4), 1, 0, 2, if(ISBLANK('2025'!$P360), 0, 1), 3, if(ISBLANK('2025'!$Q360), 0, 1), 4, if(ISBLANK('2025'!$R360), 0, 1), 5, if(ISBLANK('2025'!$S360), 0, 1), 6, if(ISBLANK('2025'!$T360), 0, 1), 7, 0))), 1, "")</f>
        <v/>
      </c>
      <c r="AU396" s="1" t="str">
        <f>IF(AND(AND(AND(AU$4&gt;='2025'!$L360,AU$4&lt;='2025'!$M360), AU$4&lt;&gt;DATE(2025,7,4)), (SWITCH(weekday(AU$4), 1, 0, 2, if(ISBLANK('2025'!$P360), 0, 1), 3, if(ISBLANK('2025'!$Q360), 0, 1), 4, if(ISBLANK('2025'!$R360), 0, 1), 5, if(ISBLANK('2025'!$S360), 0, 1), 6, if(ISBLANK('2025'!$T360), 0, 1), 7, 0))), 1, "")</f>
        <v/>
      </c>
      <c r="AV396" s="1" t="str">
        <f>IF(AND(AND(AND(AV$4&gt;='2025'!$L360,AV$4&lt;='2025'!$M360), AV$4&lt;&gt;DATE(2025,7,4)), (SWITCH(weekday(AV$4), 1, 0, 2, if(ISBLANK('2025'!$P360), 0, 1), 3, if(ISBLANK('2025'!$Q360), 0, 1), 4, if(ISBLANK('2025'!$R360), 0, 1), 5, if(ISBLANK('2025'!$S360), 0, 1), 6, if(ISBLANK('2025'!$T360), 0, 1), 7, 0))), 1, "")</f>
        <v/>
      </c>
      <c r="AW396" s="1" t="str">
        <f>IF(AND(AND(AND(AW$4&gt;='2025'!$L360,AW$4&lt;='2025'!$M360), AW$4&lt;&gt;DATE(2025,7,4)), (SWITCH(weekday(AW$4), 1, 0, 2, if(ISBLANK('2025'!$P360), 0, 1), 3, if(ISBLANK('2025'!$Q360), 0, 1), 4, if(ISBLANK('2025'!$R360), 0, 1), 5, if(ISBLANK('2025'!$S360), 0, 1), 6, if(ISBLANK('2025'!$T360), 0, 1), 7, 0))), 1, "")</f>
        <v/>
      </c>
      <c r="AX396" s="1" t="str">
        <f>IF(AND(AND(AND(AX$4&gt;='2025'!$L360,AX$4&lt;='2025'!$M360), AX$4&lt;&gt;DATE(2025,7,4)), (SWITCH(weekday(AX$4), 1, 0, 2, if(ISBLANK('2025'!$P360), 0, 1), 3, if(ISBLANK('2025'!$Q360), 0, 1), 4, if(ISBLANK('2025'!$R360), 0, 1), 5, if(ISBLANK('2025'!$S360), 0, 1), 6, if(ISBLANK('2025'!$T360), 0, 1), 7, 0))), 1, "")</f>
        <v/>
      </c>
      <c r="AY396" s="1" t="str">
        <f>IF(AND(AND(AND(AY$4&gt;='2025'!$L360,AY$4&lt;='2025'!$M360), AY$4&lt;&gt;DATE(2025,7,4)), (SWITCH(weekday(AY$4), 1, 0, 2, if(ISBLANK('2025'!$P360), 0, 1), 3, if(ISBLANK('2025'!$Q360), 0, 1), 4, if(ISBLANK('2025'!$R360), 0, 1), 5, if(ISBLANK('2025'!$S360), 0, 1), 6, if(ISBLANK('2025'!$T360), 0, 1), 7, 0))), 1, "")</f>
        <v/>
      </c>
      <c r="AZ396" s="1" t="str">
        <f>IF(AND(AND(AND(AZ$4&gt;='2025'!$L360,AZ$4&lt;='2025'!$M360), AZ$4&lt;&gt;DATE(2025,7,4)), (SWITCH(weekday(AZ$4), 1, 0, 2, if(ISBLANK('2025'!$P360), 0, 1), 3, if(ISBLANK('2025'!$Q360), 0, 1), 4, if(ISBLANK('2025'!$R360), 0, 1), 5, if(ISBLANK('2025'!$S360), 0, 1), 6, if(ISBLANK('2025'!$T360), 0, 1), 7, 0))), 1, "")</f>
        <v/>
      </c>
      <c r="BA396" s="1" t="str">
        <f>IF(AND(AND(AND(BA$4&gt;='2025'!$L360,BA$4&lt;='2025'!$M360), BA$4&lt;&gt;DATE(2025,7,4)), (SWITCH(weekday(BA$4), 1, 0, 2, if(ISBLANK('2025'!$P360), 0, 1), 3, if(ISBLANK('2025'!$Q360), 0, 1), 4, if(ISBLANK('2025'!$R360), 0, 1), 5, if(ISBLANK('2025'!$S360), 0, 1), 6, if(ISBLANK('2025'!$T360), 0, 1), 7, 0))), 1, "")</f>
        <v/>
      </c>
      <c r="BB396" s="1" t="str">
        <f>IF(AND(AND(AND(BB$4&gt;='2025'!$L360,BB$4&lt;='2025'!$M360), BB$4&lt;&gt;DATE(2025,7,4)), (SWITCH(weekday(BB$4), 1, 0, 2, if(ISBLANK('2025'!$P360), 0, 1), 3, if(ISBLANK('2025'!$Q360), 0, 1), 4, if(ISBLANK('2025'!$R360), 0, 1), 5, if(ISBLANK('2025'!$S360), 0, 1), 6, if(ISBLANK('2025'!$T360), 0, 1), 7, 0))), 1, "")</f>
        <v/>
      </c>
      <c r="BC396" s="1" t="str">
        <f>IF(AND(AND(AND(BC$4&gt;='2025'!$L360,BC$4&lt;='2025'!$M360), BC$4&lt;&gt;DATE(2025,7,4)), (SWITCH(weekday(BC$4), 1, 0, 2, if(ISBLANK('2025'!$P360), 0, 1), 3, if(ISBLANK('2025'!$Q360), 0, 1), 4, if(ISBLANK('2025'!$R360), 0, 1), 5, if(ISBLANK('2025'!$S360), 0, 1), 6, if(ISBLANK('2025'!$T360), 0, 1), 7, 0))), 1, "")</f>
        <v/>
      </c>
      <c r="BD396" s="1" t="str">
        <f>IF(AND(AND(AND(BD$4&gt;='2025'!$L360,BD$4&lt;='2025'!$M360), BD$4&lt;&gt;DATE(2025,7,4)), (SWITCH(weekday(BD$4), 1, 0, 2, if(ISBLANK('2025'!$P360), 0, 1), 3, if(ISBLANK('2025'!$Q360), 0, 1), 4, if(ISBLANK('2025'!$R360), 0, 1), 5, if(ISBLANK('2025'!$S360), 0, 1), 6, if(ISBLANK('2025'!$T360), 0, 1), 7, 0))), 1, "")</f>
        <v/>
      </c>
      <c r="BE396" s="1" t="str">
        <f>IF(AND(AND(AND(BE$4&gt;='2025'!$L360,BE$4&lt;='2025'!$M360), BE$4&lt;&gt;DATE(2025,7,4)), (SWITCH(weekday(BE$4), 1, 0, 2, if(ISBLANK('2025'!$P360), 0, 1), 3, if(ISBLANK('2025'!$Q360), 0, 1), 4, if(ISBLANK('2025'!$R360), 0, 1), 5, if(ISBLANK('2025'!$S360), 0, 1), 6, if(ISBLANK('2025'!$T360), 0, 1), 7, 0))), 1, "")</f>
        <v/>
      </c>
    </row>
    <row r="397">
      <c r="A397" s="1">
        <f t="shared" si="3"/>
        <v>397</v>
      </c>
      <c r="B397" s="1" t="str">
        <f>'2025'!D361</f>
        <v/>
      </c>
      <c r="C397" s="1" t="str">
        <f>'2025'!H361</f>
        <v/>
      </c>
      <c r="D397" s="1" t="str">
        <f>IF(AND(AND(AND(D$4&gt;='2025'!$L361,D$4&lt;='2025'!$M361), D$4&lt;&gt;DATE(2025,7,4)), (SWITCH(weekday(D$4), 1, 0, 2, if(ISBLANK('2025'!$P361), 0, 1), 3, if(ISBLANK('2025'!$Q361), 0, 1), 4, if(ISBLANK('2025'!$R361), 0, 1), 5, if(ISBLANK('2025'!$S361), 0, 1), 6, if(ISBLANK('2025'!$T361), 0, 1), 7, 0))), 1, "")</f>
        <v/>
      </c>
      <c r="E397" s="1" t="str">
        <f>IF(AND(AND(AND(E$4&gt;='2025'!$L361,E$4&lt;='2025'!$M361), E$4&lt;&gt;DATE(2025,7,4)), (SWITCH(weekday(E$4), 1, 0, 2, if(ISBLANK('2025'!$P361), 0, 1), 3, if(ISBLANK('2025'!$Q361), 0, 1), 4, if(ISBLANK('2025'!$R361), 0, 1), 5, if(ISBLANK('2025'!$S361), 0, 1), 6, if(ISBLANK('2025'!$T361), 0, 1), 7, 0))), 1, "")</f>
        <v/>
      </c>
      <c r="F397" s="1" t="str">
        <f>IF(AND(AND(AND(F$4&gt;='2025'!$L361,F$4&lt;='2025'!$M361), F$4&lt;&gt;DATE(2025,7,4)), (SWITCH(weekday(F$4), 1, 0, 2, if(ISBLANK('2025'!$P361), 0, 1), 3, if(ISBLANK('2025'!$Q361), 0, 1), 4, if(ISBLANK('2025'!$R361), 0, 1), 5, if(ISBLANK('2025'!$S361), 0, 1), 6, if(ISBLANK('2025'!$T361), 0, 1), 7, 0))), 1, "")</f>
        <v/>
      </c>
      <c r="G397" s="1" t="str">
        <f>IF(AND(AND(AND(G$4&gt;='2025'!$L361,G$4&lt;='2025'!$M361), G$4&lt;&gt;DATE(2025,7,4)), (SWITCH(weekday(G$4), 1, 0, 2, if(ISBLANK('2025'!$P361), 0, 1), 3, if(ISBLANK('2025'!$Q361), 0, 1), 4, if(ISBLANK('2025'!$R361), 0, 1), 5, if(ISBLANK('2025'!$S361), 0, 1), 6, if(ISBLANK('2025'!$T361), 0, 1), 7, 0))), 1, "")</f>
        <v/>
      </c>
      <c r="H397" s="1" t="str">
        <f>IF(AND(AND(AND(H$4&gt;='2025'!$L361,H$4&lt;='2025'!$M361), H$4&lt;&gt;DATE(2025,7,4)), (SWITCH(weekday(H$4), 1, 0, 2, if(ISBLANK('2025'!$P361), 0, 1), 3, if(ISBLANK('2025'!$Q361), 0, 1), 4, if(ISBLANK('2025'!$R361), 0, 1), 5, if(ISBLANK('2025'!$S361), 0, 1), 6, if(ISBLANK('2025'!$T361), 0, 1), 7, 0))), 1, "")</f>
        <v/>
      </c>
      <c r="I397" s="1" t="str">
        <f>IF(AND(AND(AND(I$4&gt;='2025'!$L361,I$4&lt;='2025'!$M361), I$4&lt;&gt;DATE(2025,7,4)), (SWITCH(weekday(I$4), 1, 0, 2, if(ISBLANK('2025'!$P361), 0, 1), 3, if(ISBLANK('2025'!$Q361), 0, 1), 4, if(ISBLANK('2025'!$R361), 0, 1), 5, if(ISBLANK('2025'!$S361), 0, 1), 6, if(ISBLANK('2025'!$T361), 0, 1), 7, 0))), 1, "")</f>
        <v/>
      </c>
      <c r="J397" s="1" t="str">
        <f>IF(AND(AND(AND(J$4&gt;='2025'!$L361,J$4&lt;='2025'!$M361), J$4&lt;&gt;DATE(2025,7,4)), (SWITCH(weekday(J$4), 1, 0, 2, if(ISBLANK('2025'!$P361), 0, 1), 3, if(ISBLANK('2025'!$Q361), 0, 1), 4, if(ISBLANK('2025'!$R361), 0, 1), 5, if(ISBLANK('2025'!$S361), 0, 1), 6, if(ISBLANK('2025'!$T361), 0, 1), 7, 0))), 1, "")</f>
        <v/>
      </c>
      <c r="K397" s="1" t="str">
        <f>IF(AND(AND(AND(K$4&gt;='2025'!$L361,K$4&lt;='2025'!$M361), K$4&lt;&gt;DATE(2025,7,4)), (SWITCH(weekday(K$4), 1, 0, 2, if(ISBLANK('2025'!$P361), 0, 1), 3, if(ISBLANK('2025'!$Q361), 0, 1), 4, if(ISBLANK('2025'!$R361), 0, 1), 5, if(ISBLANK('2025'!$S361), 0, 1), 6, if(ISBLANK('2025'!$T361), 0, 1), 7, 0))), 1, "")</f>
        <v/>
      </c>
      <c r="L397" s="1" t="str">
        <f>IF(AND(AND(AND(L$4&gt;='2025'!$L361,L$4&lt;='2025'!$M361), L$4&lt;&gt;DATE(2025,7,4)), (SWITCH(weekday(L$4), 1, 0, 2, if(ISBLANK('2025'!$P361), 0, 1), 3, if(ISBLANK('2025'!$Q361), 0, 1), 4, if(ISBLANK('2025'!$R361), 0, 1), 5, if(ISBLANK('2025'!$S361), 0, 1), 6, if(ISBLANK('2025'!$T361), 0, 1), 7, 0))), 1, "")</f>
        <v/>
      </c>
      <c r="M397" s="1" t="str">
        <f>IF(AND(AND(AND(M$4&gt;='2025'!$L361,M$4&lt;='2025'!$M361), M$4&lt;&gt;DATE(2025,7,4)), (SWITCH(weekday(M$4), 1, 0, 2, if(ISBLANK('2025'!$P361), 0, 1), 3, if(ISBLANK('2025'!$Q361), 0, 1), 4, if(ISBLANK('2025'!$R361), 0, 1), 5, if(ISBLANK('2025'!$S361), 0, 1), 6, if(ISBLANK('2025'!$T361), 0, 1), 7, 0))), 1, "")</f>
        <v/>
      </c>
      <c r="N397" s="1" t="str">
        <f>IF(AND(AND(AND(N$4&gt;='2025'!$L361,N$4&lt;='2025'!$M361), N$4&lt;&gt;DATE(2025,7,4)), (SWITCH(weekday(N$4), 1, 0, 2, if(ISBLANK('2025'!$P361), 0, 1), 3, if(ISBLANK('2025'!$Q361), 0, 1), 4, if(ISBLANK('2025'!$R361), 0, 1), 5, if(ISBLANK('2025'!$S361), 0, 1), 6, if(ISBLANK('2025'!$T361), 0, 1), 7, 0))), 1, "")</f>
        <v/>
      </c>
      <c r="O397" s="1" t="str">
        <f>IF(AND(AND(AND(O$4&gt;='2025'!$L361,O$4&lt;='2025'!$M361), O$4&lt;&gt;DATE(2025,7,4)), (SWITCH(weekday(O$4), 1, 0, 2, if(ISBLANK('2025'!$P361), 0, 1), 3, if(ISBLANK('2025'!$Q361), 0, 1), 4, if(ISBLANK('2025'!$R361), 0, 1), 5, if(ISBLANK('2025'!$S361), 0, 1), 6, if(ISBLANK('2025'!$T361), 0, 1), 7, 0))), 1, "")</f>
        <v/>
      </c>
      <c r="P397" s="1" t="str">
        <f>IF(AND(AND(AND(P$4&gt;='2025'!$L361,P$4&lt;='2025'!$M361), P$4&lt;&gt;DATE(2025,7,4)), (SWITCH(weekday(P$4), 1, 0, 2, if(ISBLANK('2025'!$P361), 0, 1), 3, if(ISBLANK('2025'!$Q361), 0, 1), 4, if(ISBLANK('2025'!$R361), 0, 1), 5, if(ISBLANK('2025'!$S361), 0, 1), 6, if(ISBLANK('2025'!$T361), 0, 1), 7, 0))), 1, "")</f>
        <v/>
      </c>
      <c r="Q397" s="1" t="str">
        <f>IF(AND(AND(AND(Q$4&gt;='2025'!$L361,Q$4&lt;='2025'!$M361), Q$4&lt;&gt;DATE(2025,7,4)), (SWITCH(weekday(Q$4), 1, 0, 2, if(ISBLANK('2025'!$P361), 0, 1), 3, if(ISBLANK('2025'!$Q361), 0, 1), 4, if(ISBLANK('2025'!$R361), 0, 1), 5, if(ISBLANK('2025'!$S361), 0, 1), 6, if(ISBLANK('2025'!$T361), 0, 1), 7, 0))), 1, "")</f>
        <v/>
      </c>
      <c r="R397" s="1" t="str">
        <f>IF(AND(AND(AND(R$4&gt;='2025'!$L361,R$4&lt;='2025'!$M361), R$4&lt;&gt;DATE(2025,7,4)), (SWITCH(weekday(R$4), 1, 0, 2, if(ISBLANK('2025'!$P361), 0, 1), 3, if(ISBLANK('2025'!$Q361), 0, 1), 4, if(ISBLANK('2025'!$R361), 0, 1), 5, if(ISBLANK('2025'!$S361), 0, 1), 6, if(ISBLANK('2025'!$T361), 0, 1), 7, 0))), 1, "")</f>
        <v/>
      </c>
      <c r="S397" s="1" t="str">
        <f>IF(AND(AND(AND(S$4&gt;='2025'!$L361,S$4&lt;='2025'!$M361), S$4&lt;&gt;DATE(2025,7,4)), (SWITCH(weekday(S$4), 1, 0, 2, if(ISBLANK('2025'!$P361), 0, 1), 3, if(ISBLANK('2025'!$Q361), 0, 1), 4, if(ISBLANK('2025'!$R361), 0, 1), 5, if(ISBLANK('2025'!$S361), 0, 1), 6, if(ISBLANK('2025'!$T361), 0, 1), 7, 0))), 1, "")</f>
        <v/>
      </c>
      <c r="T397" s="1" t="str">
        <f>IF(AND(AND(AND(T$4&gt;='2025'!$L361,T$4&lt;='2025'!$M361), T$4&lt;&gt;DATE(2025,7,4)), (SWITCH(weekday(T$4), 1, 0, 2, if(ISBLANK('2025'!$P361), 0, 1), 3, if(ISBLANK('2025'!$Q361), 0, 1), 4, if(ISBLANK('2025'!$R361), 0, 1), 5, if(ISBLANK('2025'!$S361), 0, 1), 6, if(ISBLANK('2025'!$T361), 0, 1), 7, 0))), 1, "")</f>
        <v/>
      </c>
      <c r="U397" s="1" t="str">
        <f>IF(AND(AND(AND(U$4&gt;='2025'!$L361,U$4&lt;='2025'!$M361), U$4&lt;&gt;DATE(2025,7,4)), (SWITCH(weekday(U$4), 1, 0, 2, if(ISBLANK('2025'!$P361), 0, 1), 3, if(ISBLANK('2025'!$Q361), 0, 1), 4, if(ISBLANK('2025'!$R361), 0, 1), 5, if(ISBLANK('2025'!$S361), 0, 1), 6, if(ISBLANK('2025'!$T361), 0, 1), 7, 0))), 1, "")</f>
        <v/>
      </c>
      <c r="V397" s="1" t="str">
        <f>IF(AND(AND(AND(V$4&gt;='2025'!$L361,V$4&lt;='2025'!$M361), V$4&lt;&gt;DATE(2025,7,4)), (SWITCH(weekday(V$4), 1, 0, 2, if(ISBLANK('2025'!$P361), 0, 1), 3, if(ISBLANK('2025'!$Q361), 0, 1), 4, if(ISBLANK('2025'!$R361), 0, 1), 5, if(ISBLANK('2025'!$S361), 0, 1), 6, if(ISBLANK('2025'!$T361), 0, 1), 7, 0))), 1, "")</f>
        <v/>
      </c>
      <c r="W397" s="1" t="str">
        <f>IF(AND(AND(AND(W$4&gt;='2025'!$L361,W$4&lt;='2025'!$M361), W$4&lt;&gt;DATE(2025,7,4)), (SWITCH(weekday(W$4), 1, 0, 2, if(ISBLANK('2025'!$P361), 0, 1), 3, if(ISBLANK('2025'!$Q361), 0, 1), 4, if(ISBLANK('2025'!$R361), 0, 1), 5, if(ISBLANK('2025'!$S361), 0, 1), 6, if(ISBLANK('2025'!$T361), 0, 1), 7, 0))), 1, "")</f>
        <v/>
      </c>
      <c r="X397" s="1" t="str">
        <f>IF(AND(AND(AND(X$4&gt;='2025'!$L361,X$4&lt;='2025'!$M361), X$4&lt;&gt;DATE(2025,7,4)), (SWITCH(weekday(X$4), 1, 0, 2, if(ISBLANK('2025'!$P361), 0, 1), 3, if(ISBLANK('2025'!$Q361), 0, 1), 4, if(ISBLANK('2025'!$R361), 0, 1), 5, if(ISBLANK('2025'!$S361), 0, 1), 6, if(ISBLANK('2025'!$T361), 0, 1), 7, 0))), 1, "")</f>
        <v/>
      </c>
      <c r="Y397" s="1" t="str">
        <f>IF(AND(AND(AND(Y$4&gt;='2025'!$L361,Y$4&lt;='2025'!$M361), Y$4&lt;&gt;DATE(2025,7,4)), (SWITCH(weekday(Y$4), 1, 0, 2, if(ISBLANK('2025'!$P361), 0, 1), 3, if(ISBLANK('2025'!$Q361), 0, 1), 4, if(ISBLANK('2025'!$R361), 0, 1), 5, if(ISBLANK('2025'!$S361), 0, 1), 6, if(ISBLANK('2025'!$T361), 0, 1), 7, 0))), 1, "")</f>
        <v/>
      </c>
      <c r="Z397" s="1" t="str">
        <f>IF(AND(AND(AND(Z$4&gt;='2025'!$L361,Z$4&lt;='2025'!$M361), Z$4&lt;&gt;DATE(2025,7,4)), (SWITCH(weekday(Z$4), 1, 0, 2, if(ISBLANK('2025'!$P361), 0, 1), 3, if(ISBLANK('2025'!$Q361), 0, 1), 4, if(ISBLANK('2025'!$R361), 0, 1), 5, if(ISBLANK('2025'!$S361), 0, 1), 6, if(ISBLANK('2025'!$T361), 0, 1), 7, 0))), 1, "")</f>
        <v/>
      </c>
      <c r="AA397" s="1" t="str">
        <f>IF(AND(AND(AND(AA$4&gt;='2025'!$L361,AA$4&lt;='2025'!$M361), AA$4&lt;&gt;DATE(2025,7,4)), (SWITCH(weekday(AA$4), 1, 0, 2, if(ISBLANK('2025'!$P361), 0, 1), 3, if(ISBLANK('2025'!$Q361), 0, 1), 4, if(ISBLANK('2025'!$R361), 0, 1), 5, if(ISBLANK('2025'!$S361), 0, 1), 6, if(ISBLANK('2025'!$T361), 0, 1), 7, 0))), 1, "")</f>
        <v/>
      </c>
      <c r="AB397" s="1" t="str">
        <f>IF(AND(AND(AND(AB$4&gt;='2025'!$L361,AB$4&lt;='2025'!$M361), AB$4&lt;&gt;DATE(2025,7,4)), (SWITCH(weekday(AB$4), 1, 0, 2, if(ISBLANK('2025'!$P361), 0, 1), 3, if(ISBLANK('2025'!$Q361), 0, 1), 4, if(ISBLANK('2025'!$R361), 0, 1), 5, if(ISBLANK('2025'!$S361), 0, 1), 6, if(ISBLANK('2025'!$T361), 0, 1), 7, 0))), 1, "")</f>
        <v/>
      </c>
      <c r="AC397" s="1" t="str">
        <f>IF(AND(AND(AND(AC$4&gt;='2025'!$L361,AC$4&lt;='2025'!$M361), AC$4&lt;&gt;DATE(2025,7,4)), (SWITCH(weekday(AC$4), 1, 0, 2, if(ISBLANK('2025'!$P361), 0, 1), 3, if(ISBLANK('2025'!$Q361), 0, 1), 4, if(ISBLANK('2025'!$R361), 0, 1), 5, if(ISBLANK('2025'!$S361), 0, 1), 6, if(ISBLANK('2025'!$T361), 0, 1), 7, 0))), 1, "")</f>
        <v/>
      </c>
      <c r="AD397" s="1" t="str">
        <f>IF(AND(AND(AND(AD$4&gt;='2025'!$L361,AD$4&lt;='2025'!$M361), AD$4&lt;&gt;DATE(2025,7,4)), (SWITCH(weekday(AD$4), 1, 0, 2, if(ISBLANK('2025'!$P361), 0, 1), 3, if(ISBLANK('2025'!$Q361), 0, 1), 4, if(ISBLANK('2025'!$R361), 0, 1), 5, if(ISBLANK('2025'!$S361), 0, 1), 6, if(ISBLANK('2025'!$T361), 0, 1), 7, 0))), 1, "")</f>
        <v/>
      </c>
      <c r="AE397" s="1" t="str">
        <f>IF(AND(AND(AND(AE$4&gt;='2025'!$L361,AE$4&lt;='2025'!$M361), AE$4&lt;&gt;DATE(2025,7,4)), (SWITCH(weekday(AE$4), 1, 0, 2, if(ISBLANK('2025'!$P361), 0, 1), 3, if(ISBLANK('2025'!$Q361), 0, 1), 4, if(ISBLANK('2025'!$R361), 0, 1), 5, if(ISBLANK('2025'!$S361), 0, 1), 6, if(ISBLANK('2025'!$T361), 0, 1), 7, 0))), 1, "")</f>
        <v/>
      </c>
      <c r="AF397" s="1" t="str">
        <f>IF(AND(AND(AND(AF$4&gt;='2025'!$L361,AF$4&lt;='2025'!$M361), AF$4&lt;&gt;DATE(2025,7,4)), (SWITCH(weekday(AF$4), 1, 0, 2, if(ISBLANK('2025'!$P361), 0, 1), 3, if(ISBLANK('2025'!$Q361), 0, 1), 4, if(ISBLANK('2025'!$R361), 0, 1), 5, if(ISBLANK('2025'!$S361), 0, 1), 6, if(ISBLANK('2025'!$T361), 0, 1), 7, 0))), 1, "")</f>
        <v/>
      </c>
      <c r="AG397" s="1" t="str">
        <f>IF(AND(AND(AND(AG$4&gt;='2025'!$L361,AG$4&lt;='2025'!$M361), AG$4&lt;&gt;DATE(2025,7,4)), (SWITCH(weekday(AG$4), 1, 0, 2, if(ISBLANK('2025'!$P361), 0, 1), 3, if(ISBLANK('2025'!$Q361), 0, 1), 4, if(ISBLANK('2025'!$R361), 0, 1), 5, if(ISBLANK('2025'!$S361), 0, 1), 6, if(ISBLANK('2025'!$T361), 0, 1), 7, 0))), 1, "")</f>
        <v/>
      </c>
      <c r="AH397" s="1" t="str">
        <f>IF(AND(AND(AND(AH$4&gt;='2025'!$L361,AH$4&lt;='2025'!$M361), AH$4&lt;&gt;DATE(2025,7,4)), (SWITCH(weekday(AH$4), 1, 0, 2, if(ISBLANK('2025'!$P361), 0, 1), 3, if(ISBLANK('2025'!$Q361), 0, 1), 4, if(ISBLANK('2025'!$R361), 0, 1), 5, if(ISBLANK('2025'!$S361), 0, 1), 6, if(ISBLANK('2025'!$T361), 0, 1), 7, 0))), 1, "")</f>
        <v/>
      </c>
      <c r="AI397" s="1" t="str">
        <f>IF(AND(AND(AND(AI$4&gt;='2025'!$L361,AI$4&lt;='2025'!$M361), AI$4&lt;&gt;DATE(2025,7,4)), (SWITCH(weekday(AI$4), 1, 0, 2, if(ISBLANK('2025'!$P361), 0, 1), 3, if(ISBLANK('2025'!$Q361), 0, 1), 4, if(ISBLANK('2025'!$R361), 0, 1), 5, if(ISBLANK('2025'!$S361), 0, 1), 6, if(ISBLANK('2025'!$T361), 0, 1), 7, 0))), 1, "")</f>
        <v/>
      </c>
      <c r="AJ397" s="1" t="str">
        <f>IF(AND(AND(AND(AJ$4&gt;='2025'!$L361,AJ$4&lt;='2025'!$M361), AJ$4&lt;&gt;DATE(2025,7,4)), (SWITCH(weekday(AJ$4), 1, 0, 2, if(ISBLANK('2025'!$P361), 0, 1), 3, if(ISBLANK('2025'!$Q361), 0, 1), 4, if(ISBLANK('2025'!$R361), 0, 1), 5, if(ISBLANK('2025'!$S361), 0, 1), 6, if(ISBLANK('2025'!$T361), 0, 1), 7, 0))), 1, "")</f>
        <v/>
      </c>
      <c r="AK397" s="1" t="str">
        <f>IF(AND(AND(AND(AK$4&gt;='2025'!$L361,AK$4&lt;='2025'!$M361), AK$4&lt;&gt;DATE(2025,7,4)), (SWITCH(weekday(AK$4), 1, 0, 2, if(ISBLANK('2025'!$P361), 0, 1), 3, if(ISBLANK('2025'!$Q361), 0, 1), 4, if(ISBLANK('2025'!$R361), 0, 1), 5, if(ISBLANK('2025'!$S361), 0, 1), 6, if(ISBLANK('2025'!$T361), 0, 1), 7, 0))), 1, "")</f>
        <v/>
      </c>
      <c r="AL397" s="1" t="str">
        <f>IF(AND(AND(AND(AL$4&gt;='2025'!$L361,AL$4&lt;='2025'!$M361), AL$4&lt;&gt;DATE(2025,7,4)), (SWITCH(weekday(AL$4), 1, 0, 2, if(ISBLANK('2025'!$P361), 0, 1), 3, if(ISBLANK('2025'!$Q361), 0, 1), 4, if(ISBLANK('2025'!$R361), 0, 1), 5, if(ISBLANK('2025'!$S361), 0, 1), 6, if(ISBLANK('2025'!$T361), 0, 1), 7, 0))), 1, "")</f>
        <v/>
      </c>
      <c r="AM397" s="1" t="str">
        <f>IF(AND(AND(AND(AM$4&gt;='2025'!$L361,AM$4&lt;='2025'!$M361), AM$4&lt;&gt;DATE(2025,7,4)), (SWITCH(weekday(AM$4), 1, 0, 2, if(ISBLANK('2025'!$P361), 0, 1), 3, if(ISBLANK('2025'!$Q361), 0, 1), 4, if(ISBLANK('2025'!$R361), 0, 1), 5, if(ISBLANK('2025'!$S361), 0, 1), 6, if(ISBLANK('2025'!$T361), 0, 1), 7, 0))), 1, "")</f>
        <v/>
      </c>
      <c r="AN397" s="1" t="str">
        <f>IF(AND(AND(AND(AN$4&gt;='2025'!$L361,AN$4&lt;='2025'!$M361), AN$4&lt;&gt;DATE(2025,7,4)), (SWITCH(weekday(AN$4), 1, 0, 2, if(ISBLANK('2025'!$P361), 0, 1), 3, if(ISBLANK('2025'!$Q361), 0, 1), 4, if(ISBLANK('2025'!$R361), 0, 1), 5, if(ISBLANK('2025'!$S361), 0, 1), 6, if(ISBLANK('2025'!$T361), 0, 1), 7, 0))), 1, "")</f>
        <v/>
      </c>
      <c r="AO397" s="1" t="str">
        <f>IF(AND(AND(AND(AO$4&gt;='2025'!$L361,AO$4&lt;='2025'!$M361), AO$4&lt;&gt;DATE(2025,7,4)), (SWITCH(weekday(AO$4), 1, 0, 2, if(ISBLANK('2025'!$P361), 0, 1), 3, if(ISBLANK('2025'!$Q361), 0, 1), 4, if(ISBLANK('2025'!$R361), 0, 1), 5, if(ISBLANK('2025'!$S361), 0, 1), 6, if(ISBLANK('2025'!$T361), 0, 1), 7, 0))), 1, "")</f>
        <v/>
      </c>
      <c r="AP397" s="1" t="str">
        <f>IF(AND(AND(AND(AP$4&gt;='2025'!$L361,AP$4&lt;='2025'!$M361), AP$4&lt;&gt;DATE(2025,7,4)), (SWITCH(weekday(AP$4), 1, 0, 2, if(ISBLANK('2025'!$P361), 0, 1), 3, if(ISBLANK('2025'!$Q361), 0, 1), 4, if(ISBLANK('2025'!$R361), 0, 1), 5, if(ISBLANK('2025'!$S361), 0, 1), 6, if(ISBLANK('2025'!$T361), 0, 1), 7, 0))), 1, "")</f>
        <v/>
      </c>
      <c r="AQ397" s="1" t="str">
        <f>IF(AND(AND(AND(AQ$4&gt;='2025'!$L361,AQ$4&lt;='2025'!$M361), AQ$4&lt;&gt;DATE(2025,7,4)), (SWITCH(weekday(AQ$4), 1, 0, 2, if(ISBLANK('2025'!$P361), 0, 1), 3, if(ISBLANK('2025'!$Q361), 0, 1), 4, if(ISBLANK('2025'!$R361), 0, 1), 5, if(ISBLANK('2025'!$S361), 0, 1), 6, if(ISBLANK('2025'!$T361), 0, 1), 7, 0))), 1, "")</f>
        <v/>
      </c>
      <c r="AR397" s="1" t="str">
        <f>IF(AND(AND(AND(AR$4&gt;='2025'!$L361,AR$4&lt;='2025'!$M361), AR$4&lt;&gt;DATE(2025,7,4)), (SWITCH(weekday(AR$4), 1, 0, 2, if(ISBLANK('2025'!$P361), 0, 1), 3, if(ISBLANK('2025'!$Q361), 0, 1), 4, if(ISBLANK('2025'!$R361), 0, 1), 5, if(ISBLANK('2025'!$S361), 0, 1), 6, if(ISBLANK('2025'!$T361), 0, 1), 7, 0))), 1, "")</f>
        <v/>
      </c>
      <c r="AS397" s="1" t="str">
        <f>IF(AND(AND(AND(AS$4&gt;='2025'!$L361,AS$4&lt;='2025'!$M361), AS$4&lt;&gt;DATE(2025,7,4)), (SWITCH(weekday(AS$4), 1, 0, 2, if(ISBLANK('2025'!$P361), 0, 1), 3, if(ISBLANK('2025'!$Q361), 0, 1), 4, if(ISBLANK('2025'!$R361), 0, 1), 5, if(ISBLANK('2025'!$S361), 0, 1), 6, if(ISBLANK('2025'!$T361), 0, 1), 7, 0))), 1, "")</f>
        <v/>
      </c>
      <c r="AT397" s="1" t="str">
        <f>IF(AND(AND(AND(AT$4&gt;='2025'!$L361,AT$4&lt;='2025'!$M361), AT$4&lt;&gt;DATE(2025,7,4)), (SWITCH(weekday(AT$4), 1, 0, 2, if(ISBLANK('2025'!$P361), 0, 1), 3, if(ISBLANK('2025'!$Q361), 0, 1), 4, if(ISBLANK('2025'!$R361), 0, 1), 5, if(ISBLANK('2025'!$S361), 0, 1), 6, if(ISBLANK('2025'!$T361), 0, 1), 7, 0))), 1, "")</f>
        <v/>
      </c>
      <c r="AU397" s="1" t="str">
        <f>IF(AND(AND(AND(AU$4&gt;='2025'!$L361,AU$4&lt;='2025'!$M361), AU$4&lt;&gt;DATE(2025,7,4)), (SWITCH(weekday(AU$4), 1, 0, 2, if(ISBLANK('2025'!$P361), 0, 1), 3, if(ISBLANK('2025'!$Q361), 0, 1), 4, if(ISBLANK('2025'!$R361), 0, 1), 5, if(ISBLANK('2025'!$S361), 0, 1), 6, if(ISBLANK('2025'!$T361), 0, 1), 7, 0))), 1, "")</f>
        <v/>
      </c>
      <c r="AV397" s="1" t="str">
        <f>IF(AND(AND(AND(AV$4&gt;='2025'!$L361,AV$4&lt;='2025'!$M361), AV$4&lt;&gt;DATE(2025,7,4)), (SWITCH(weekday(AV$4), 1, 0, 2, if(ISBLANK('2025'!$P361), 0, 1), 3, if(ISBLANK('2025'!$Q361), 0, 1), 4, if(ISBLANK('2025'!$R361), 0, 1), 5, if(ISBLANK('2025'!$S361), 0, 1), 6, if(ISBLANK('2025'!$T361), 0, 1), 7, 0))), 1, "")</f>
        <v/>
      </c>
      <c r="AW397" s="1" t="str">
        <f>IF(AND(AND(AND(AW$4&gt;='2025'!$L361,AW$4&lt;='2025'!$M361), AW$4&lt;&gt;DATE(2025,7,4)), (SWITCH(weekday(AW$4), 1, 0, 2, if(ISBLANK('2025'!$P361), 0, 1), 3, if(ISBLANK('2025'!$Q361), 0, 1), 4, if(ISBLANK('2025'!$R361), 0, 1), 5, if(ISBLANK('2025'!$S361), 0, 1), 6, if(ISBLANK('2025'!$T361), 0, 1), 7, 0))), 1, "")</f>
        <v/>
      </c>
      <c r="AX397" s="1" t="str">
        <f>IF(AND(AND(AND(AX$4&gt;='2025'!$L361,AX$4&lt;='2025'!$M361), AX$4&lt;&gt;DATE(2025,7,4)), (SWITCH(weekday(AX$4), 1, 0, 2, if(ISBLANK('2025'!$P361), 0, 1), 3, if(ISBLANK('2025'!$Q361), 0, 1), 4, if(ISBLANK('2025'!$R361), 0, 1), 5, if(ISBLANK('2025'!$S361), 0, 1), 6, if(ISBLANK('2025'!$T361), 0, 1), 7, 0))), 1, "")</f>
        <v/>
      </c>
      <c r="AY397" s="1" t="str">
        <f>IF(AND(AND(AND(AY$4&gt;='2025'!$L361,AY$4&lt;='2025'!$M361), AY$4&lt;&gt;DATE(2025,7,4)), (SWITCH(weekday(AY$4), 1, 0, 2, if(ISBLANK('2025'!$P361), 0, 1), 3, if(ISBLANK('2025'!$Q361), 0, 1), 4, if(ISBLANK('2025'!$R361), 0, 1), 5, if(ISBLANK('2025'!$S361), 0, 1), 6, if(ISBLANK('2025'!$T361), 0, 1), 7, 0))), 1, "")</f>
        <v/>
      </c>
      <c r="AZ397" s="1" t="str">
        <f>IF(AND(AND(AND(AZ$4&gt;='2025'!$L361,AZ$4&lt;='2025'!$M361), AZ$4&lt;&gt;DATE(2025,7,4)), (SWITCH(weekday(AZ$4), 1, 0, 2, if(ISBLANK('2025'!$P361), 0, 1), 3, if(ISBLANK('2025'!$Q361), 0, 1), 4, if(ISBLANK('2025'!$R361), 0, 1), 5, if(ISBLANK('2025'!$S361), 0, 1), 6, if(ISBLANK('2025'!$T361), 0, 1), 7, 0))), 1, "")</f>
        <v/>
      </c>
      <c r="BA397" s="1" t="str">
        <f>IF(AND(AND(AND(BA$4&gt;='2025'!$L361,BA$4&lt;='2025'!$M361), BA$4&lt;&gt;DATE(2025,7,4)), (SWITCH(weekday(BA$4), 1, 0, 2, if(ISBLANK('2025'!$P361), 0, 1), 3, if(ISBLANK('2025'!$Q361), 0, 1), 4, if(ISBLANK('2025'!$R361), 0, 1), 5, if(ISBLANK('2025'!$S361), 0, 1), 6, if(ISBLANK('2025'!$T361), 0, 1), 7, 0))), 1, "")</f>
        <v/>
      </c>
      <c r="BB397" s="1" t="str">
        <f>IF(AND(AND(AND(BB$4&gt;='2025'!$L361,BB$4&lt;='2025'!$M361), BB$4&lt;&gt;DATE(2025,7,4)), (SWITCH(weekday(BB$4), 1, 0, 2, if(ISBLANK('2025'!$P361), 0, 1), 3, if(ISBLANK('2025'!$Q361), 0, 1), 4, if(ISBLANK('2025'!$R361), 0, 1), 5, if(ISBLANK('2025'!$S361), 0, 1), 6, if(ISBLANK('2025'!$T361), 0, 1), 7, 0))), 1, "")</f>
        <v/>
      </c>
      <c r="BC397" s="1" t="str">
        <f>IF(AND(AND(AND(BC$4&gt;='2025'!$L361,BC$4&lt;='2025'!$M361), BC$4&lt;&gt;DATE(2025,7,4)), (SWITCH(weekday(BC$4), 1, 0, 2, if(ISBLANK('2025'!$P361), 0, 1), 3, if(ISBLANK('2025'!$Q361), 0, 1), 4, if(ISBLANK('2025'!$R361), 0, 1), 5, if(ISBLANK('2025'!$S361), 0, 1), 6, if(ISBLANK('2025'!$T361), 0, 1), 7, 0))), 1, "")</f>
        <v/>
      </c>
      <c r="BD397" s="1" t="str">
        <f>IF(AND(AND(AND(BD$4&gt;='2025'!$L361,BD$4&lt;='2025'!$M361), BD$4&lt;&gt;DATE(2025,7,4)), (SWITCH(weekday(BD$4), 1, 0, 2, if(ISBLANK('2025'!$P361), 0, 1), 3, if(ISBLANK('2025'!$Q361), 0, 1), 4, if(ISBLANK('2025'!$R361), 0, 1), 5, if(ISBLANK('2025'!$S361), 0, 1), 6, if(ISBLANK('2025'!$T361), 0, 1), 7, 0))), 1, "")</f>
        <v/>
      </c>
      <c r="BE397" s="1" t="str">
        <f>IF(AND(AND(AND(BE$4&gt;='2025'!$L361,BE$4&lt;='2025'!$M361), BE$4&lt;&gt;DATE(2025,7,4)), (SWITCH(weekday(BE$4), 1, 0, 2, if(ISBLANK('2025'!$P361), 0, 1), 3, if(ISBLANK('2025'!$Q361), 0, 1), 4, if(ISBLANK('2025'!$R361), 0, 1), 5, if(ISBLANK('2025'!$S361), 0, 1), 6, if(ISBLANK('2025'!$T361), 0, 1), 7, 0))), 1, "")</f>
        <v/>
      </c>
    </row>
    <row r="398">
      <c r="A398" s="1">
        <f t="shared" si="3"/>
        <v>398</v>
      </c>
      <c r="B398" s="1" t="str">
        <f>'2025'!D362</f>
        <v/>
      </c>
      <c r="C398" s="1" t="str">
        <f>'2025'!H362</f>
        <v/>
      </c>
      <c r="D398" s="1" t="str">
        <f>IF(AND(AND(AND(D$4&gt;='2025'!$L362,D$4&lt;='2025'!$M362), D$4&lt;&gt;DATE(2025,7,4)), (SWITCH(weekday(D$4), 1, 0, 2, if(ISBLANK('2025'!$P362), 0, 1), 3, if(ISBLANK('2025'!$Q362), 0, 1), 4, if(ISBLANK('2025'!$R362), 0, 1), 5, if(ISBLANK('2025'!$S362), 0, 1), 6, if(ISBLANK('2025'!$T362), 0, 1), 7, 0))), 1, "")</f>
        <v/>
      </c>
      <c r="E398" s="1" t="str">
        <f>IF(AND(AND(AND(E$4&gt;='2025'!$L362,E$4&lt;='2025'!$M362), E$4&lt;&gt;DATE(2025,7,4)), (SWITCH(weekday(E$4), 1, 0, 2, if(ISBLANK('2025'!$P362), 0, 1), 3, if(ISBLANK('2025'!$Q362), 0, 1), 4, if(ISBLANK('2025'!$R362), 0, 1), 5, if(ISBLANK('2025'!$S362), 0, 1), 6, if(ISBLANK('2025'!$T362), 0, 1), 7, 0))), 1, "")</f>
        <v/>
      </c>
      <c r="F398" s="1" t="str">
        <f>IF(AND(AND(AND(F$4&gt;='2025'!$L362,F$4&lt;='2025'!$M362), F$4&lt;&gt;DATE(2025,7,4)), (SWITCH(weekday(F$4), 1, 0, 2, if(ISBLANK('2025'!$P362), 0, 1), 3, if(ISBLANK('2025'!$Q362), 0, 1), 4, if(ISBLANK('2025'!$R362), 0, 1), 5, if(ISBLANK('2025'!$S362), 0, 1), 6, if(ISBLANK('2025'!$T362), 0, 1), 7, 0))), 1, "")</f>
        <v/>
      </c>
      <c r="G398" s="1" t="str">
        <f>IF(AND(AND(AND(G$4&gt;='2025'!$L362,G$4&lt;='2025'!$M362), G$4&lt;&gt;DATE(2025,7,4)), (SWITCH(weekday(G$4), 1, 0, 2, if(ISBLANK('2025'!$P362), 0, 1), 3, if(ISBLANK('2025'!$Q362), 0, 1), 4, if(ISBLANK('2025'!$R362), 0, 1), 5, if(ISBLANK('2025'!$S362), 0, 1), 6, if(ISBLANK('2025'!$T362), 0, 1), 7, 0))), 1, "")</f>
        <v/>
      </c>
      <c r="H398" s="1" t="str">
        <f>IF(AND(AND(AND(H$4&gt;='2025'!$L362,H$4&lt;='2025'!$M362), H$4&lt;&gt;DATE(2025,7,4)), (SWITCH(weekday(H$4), 1, 0, 2, if(ISBLANK('2025'!$P362), 0, 1), 3, if(ISBLANK('2025'!$Q362), 0, 1), 4, if(ISBLANK('2025'!$R362), 0, 1), 5, if(ISBLANK('2025'!$S362), 0, 1), 6, if(ISBLANK('2025'!$T362), 0, 1), 7, 0))), 1, "")</f>
        <v/>
      </c>
      <c r="I398" s="1" t="str">
        <f>IF(AND(AND(AND(I$4&gt;='2025'!$L362,I$4&lt;='2025'!$M362), I$4&lt;&gt;DATE(2025,7,4)), (SWITCH(weekday(I$4), 1, 0, 2, if(ISBLANK('2025'!$P362), 0, 1), 3, if(ISBLANK('2025'!$Q362), 0, 1), 4, if(ISBLANK('2025'!$R362), 0, 1), 5, if(ISBLANK('2025'!$S362), 0, 1), 6, if(ISBLANK('2025'!$T362), 0, 1), 7, 0))), 1, "")</f>
        <v/>
      </c>
      <c r="J398" s="1" t="str">
        <f>IF(AND(AND(AND(J$4&gt;='2025'!$L362,J$4&lt;='2025'!$M362), J$4&lt;&gt;DATE(2025,7,4)), (SWITCH(weekday(J$4), 1, 0, 2, if(ISBLANK('2025'!$P362), 0, 1), 3, if(ISBLANK('2025'!$Q362), 0, 1), 4, if(ISBLANK('2025'!$R362), 0, 1), 5, if(ISBLANK('2025'!$S362), 0, 1), 6, if(ISBLANK('2025'!$T362), 0, 1), 7, 0))), 1, "")</f>
        <v/>
      </c>
      <c r="K398" s="1" t="str">
        <f>IF(AND(AND(AND(K$4&gt;='2025'!$L362,K$4&lt;='2025'!$M362), K$4&lt;&gt;DATE(2025,7,4)), (SWITCH(weekday(K$4), 1, 0, 2, if(ISBLANK('2025'!$P362), 0, 1), 3, if(ISBLANK('2025'!$Q362), 0, 1), 4, if(ISBLANK('2025'!$R362), 0, 1), 5, if(ISBLANK('2025'!$S362), 0, 1), 6, if(ISBLANK('2025'!$T362), 0, 1), 7, 0))), 1, "")</f>
        <v/>
      </c>
      <c r="L398" s="1" t="str">
        <f>IF(AND(AND(AND(L$4&gt;='2025'!$L362,L$4&lt;='2025'!$M362), L$4&lt;&gt;DATE(2025,7,4)), (SWITCH(weekday(L$4), 1, 0, 2, if(ISBLANK('2025'!$P362), 0, 1), 3, if(ISBLANK('2025'!$Q362), 0, 1), 4, if(ISBLANK('2025'!$R362), 0, 1), 5, if(ISBLANK('2025'!$S362), 0, 1), 6, if(ISBLANK('2025'!$T362), 0, 1), 7, 0))), 1, "")</f>
        <v/>
      </c>
      <c r="M398" s="1" t="str">
        <f>IF(AND(AND(AND(M$4&gt;='2025'!$L362,M$4&lt;='2025'!$M362), M$4&lt;&gt;DATE(2025,7,4)), (SWITCH(weekday(M$4), 1, 0, 2, if(ISBLANK('2025'!$P362), 0, 1), 3, if(ISBLANK('2025'!$Q362), 0, 1), 4, if(ISBLANK('2025'!$R362), 0, 1), 5, if(ISBLANK('2025'!$S362), 0, 1), 6, if(ISBLANK('2025'!$T362), 0, 1), 7, 0))), 1, "")</f>
        <v/>
      </c>
      <c r="N398" s="1" t="str">
        <f>IF(AND(AND(AND(N$4&gt;='2025'!$L362,N$4&lt;='2025'!$M362), N$4&lt;&gt;DATE(2025,7,4)), (SWITCH(weekday(N$4), 1, 0, 2, if(ISBLANK('2025'!$P362), 0, 1), 3, if(ISBLANK('2025'!$Q362), 0, 1), 4, if(ISBLANK('2025'!$R362), 0, 1), 5, if(ISBLANK('2025'!$S362), 0, 1), 6, if(ISBLANK('2025'!$T362), 0, 1), 7, 0))), 1, "")</f>
        <v/>
      </c>
      <c r="O398" s="1" t="str">
        <f>IF(AND(AND(AND(O$4&gt;='2025'!$L362,O$4&lt;='2025'!$M362), O$4&lt;&gt;DATE(2025,7,4)), (SWITCH(weekday(O$4), 1, 0, 2, if(ISBLANK('2025'!$P362), 0, 1), 3, if(ISBLANK('2025'!$Q362), 0, 1), 4, if(ISBLANK('2025'!$R362), 0, 1), 5, if(ISBLANK('2025'!$S362), 0, 1), 6, if(ISBLANK('2025'!$T362), 0, 1), 7, 0))), 1, "")</f>
        <v/>
      </c>
      <c r="P398" s="1" t="str">
        <f>IF(AND(AND(AND(P$4&gt;='2025'!$L362,P$4&lt;='2025'!$M362), P$4&lt;&gt;DATE(2025,7,4)), (SWITCH(weekday(P$4), 1, 0, 2, if(ISBLANK('2025'!$P362), 0, 1), 3, if(ISBLANK('2025'!$Q362), 0, 1), 4, if(ISBLANK('2025'!$R362), 0, 1), 5, if(ISBLANK('2025'!$S362), 0, 1), 6, if(ISBLANK('2025'!$T362), 0, 1), 7, 0))), 1, "")</f>
        <v/>
      </c>
      <c r="Q398" s="1" t="str">
        <f>IF(AND(AND(AND(Q$4&gt;='2025'!$L362,Q$4&lt;='2025'!$M362), Q$4&lt;&gt;DATE(2025,7,4)), (SWITCH(weekday(Q$4), 1, 0, 2, if(ISBLANK('2025'!$P362), 0, 1), 3, if(ISBLANK('2025'!$Q362), 0, 1), 4, if(ISBLANK('2025'!$R362), 0, 1), 5, if(ISBLANK('2025'!$S362), 0, 1), 6, if(ISBLANK('2025'!$T362), 0, 1), 7, 0))), 1, "")</f>
        <v/>
      </c>
      <c r="R398" s="1" t="str">
        <f>IF(AND(AND(AND(R$4&gt;='2025'!$L362,R$4&lt;='2025'!$M362), R$4&lt;&gt;DATE(2025,7,4)), (SWITCH(weekday(R$4), 1, 0, 2, if(ISBLANK('2025'!$P362), 0, 1), 3, if(ISBLANK('2025'!$Q362), 0, 1), 4, if(ISBLANK('2025'!$R362), 0, 1), 5, if(ISBLANK('2025'!$S362), 0, 1), 6, if(ISBLANK('2025'!$T362), 0, 1), 7, 0))), 1, "")</f>
        <v/>
      </c>
      <c r="S398" s="1" t="str">
        <f>IF(AND(AND(AND(S$4&gt;='2025'!$L362,S$4&lt;='2025'!$M362), S$4&lt;&gt;DATE(2025,7,4)), (SWITCH(weekday(S$4), 1, 0, 2, if(ISBLANK('2025'!$P362), 0, 1), 3, if(ISBLANK('2025'!$Q362), 0, 1), 4, if(ISBLANK('2025'!$R362), 0, 1), 5, if(ISBLANK('2025'!$S362), 0, 1), 6, if(ISBLANK('2025'!$T362), 0, 1), 7, 0))), 1, "")</f>
        <v/>
      </c>
      <c r="T398" s="1" t="str">
        <f>IF(AND(AND(AND(T$4&gt;='2025'!$L362,T$4&lt;='2025'!$M362), T$4&lt;&gt;DATE(2025,7,4)), (SWITCH(weekday(T$4), 1, 0, 2, if(ISBLANK('2025'!$P362), 0, 1), 3, if(ISBLANK('2025'!$Q362), 0, 1), 4, if(ISBLANK('2025'!$R362), 0, 1), 5, if(ISBLANK('2025'!$S362), 0, 1), 6, if(ISBLANK('2025'!$T362), 0, 1), 7, 0))), 1, "")</f>
        <v/>
      </c>
      <c r="U398" s="1" t="str">
        <f>IF(AND(AND(AND(U$4&gt;='2025'!$L362,U$4&lt;='2025'!$M362), U$4&lt;&gt;DATE(2025,7,4)), (SWITCH(weekday(U$4), 1, 0, 2, if(ISBLANK('2025'!$P362), 0, 1), 3, if(ISBLANK('2025'!$Q362), 0, 1), 4, if(ISBLANK('2025'!$R362), 0, 1), 5, if(ISBLANK('2025'!$S362), 0, 1), 6, if(ISBLANK('2025'!$T362), 0, 1), 7, 0))), 1, "")</f>
        <v/>
      </c>
      <c r="V398" s="1" t="str">
        <f>IF(AND(AND(AND(V$4&gt;='2025'!$L362,V$4&lt;='2025'!$M362), V$4&lt;&gt;DATE(2025,7,4)), (SWITCH(weekday(V$4), 1, 0, 2, if(ISBLANK('2025'!$P362), 0, 1), 3, if(ISBLANK('2025'!$Q362), 0, 1), 4, if(ISBLANK('2025'!$R362), 0, 1), 5, if(ISBLANK('2025'!$S362), 0, 1), 6, if(ISBLANK('2025'!$T362), 0, 1), 7, 0))), 1, "")</f>
        <v/>
      </c>
      <c r="W398" s="1" t="str">
        <f>IF(AND(AND(AND(W$4&gt;='2025'!$L362,W$4&lt;='2025'!$M362), W$4&lt;&gt;DATE(2025,7,4)), (SWITCH(weekday(W$4), 1, 0, 2, if(ISBLANK('2025'!$P362), 0, 1), 3, if(ISBLANK('2025'!$Q362), 0, 1), 4, if(ISBLANK('2025'!$R362), 0, 1), 5, if(ISBLANK('2025'!$S362), 0, 1), 6, if(ISBLANK('2025'!$T362), 0, 1), 7, 0))), 1, "")</f>
        <v/>
      </c>
      <c r="X398" s="1" t="str">
        <f>IF(AND(AND(AND(X$4&gt;='2025'!$L362,X$4&lt;='2025'!$M362), X$4&lt;&gt;DATE(2025,7,4)), (SWITCH(weekday(X$4), 1, 0, 2, if(ISBLANK('2025'!$P362), 0, 1), 3, if(ISBLANK('2025'!$Q362), 0, 1), 4, if(ISBLANK('2025'!$R362), 0, 1), 5, if(ISBLANK('2025'!$S362), 0, 1), 6, if(ISBLANK('2025'!$T362), 0, 1), 7, 0))), 1, "")</f>
        <v/>
      </c>
      <c r="Y398" s="1" t="str">
        <f>IF(AND(AND(AND(Y$4&gt;='2025'!$L362,Y$4&lt;='2025'!$M362), Y$4&lt;&gt;DATE(2025,7,4)), (SWITCH(weekday(Y$4), 1, 0, 2, if(ISBLANK('2025'!$P362), 0, 1), 3, if(ISBLANK('2025'!$Q362), 0, 1), 4, if(ISBLANK('2025'!$R362), 0, 1), 5, if(ISBLANK('2025'!$S362), 0, 1), 6, if(ISBLANK('2025'!$T362), 0, 1), 7, 0))), 1, "")</f>
        <v/>
      </c>
      <c r="Z398" s="1" t="str">
        <f>IF(AND(AND(AND(Z$4&gt;='2025'!$L362,Z$4&lt;='2025'!$M362), Z$4&lt;&gt;DATE(2025,7,4)), (SWITCH(weekday(Z$4), 1, 0, 2, if(ISBLANK('2025'!$P362), 0, 1), 3, if(ISBLANK('2025'!$Q362), 0, 1), 4, if(ISBLANK('2025'!$R362), 0, 1), 5, if(ISBLANK('2025'!$S362), 0, 1), 6, if(ISBLANK('2025'!$T362), 0, 1), 7, 0))), 1, "")</f>
        <v/>
      </c>
      <c r="AA398" s="1" t="str">
        <f>IF(AND(AND(AND(AA$4&gt;='2025'!$L362,AA$4&lt;='2025'!$M362), AA$4&lt;&gt;DATE(2025,7,4)), (SWITCH(weekday(AA$4), 1, 0, 2, if(ISBLANK('2025'!$P362), 0, 1), 3, if(ISBLANK('2025'!$Q362), 0, 1), 4, if(ISBLANK('2025'!$R362), 0, 1), 5, if(ISBLANK('2025'!$S362), 0, 1), 6, if(ISBLANK('2025'!$T362), 0, 1), 7, 0))), 1, "")</f>
        <v/>
      </c>
      <c r="AB398" s="1" t="str">
        <f>IF(AND(AND(AND(AB$4&gt;='2025'!$L362,AB$4&lt;='2025'!$M362), AB$4&lt;&gt;DATE(2025,7,4)), (SWITCH(weekday(AB$4), 1, 0, 2, if(ISBLANK('2025'!$P362), 0, 1), 3, if(ISBLANK('2025'!$Q362), 0, 1), 4, if(ISBLANK('2025'!$R362), 0, 1), 5, if(ISBLANK('2025'!$S362), 0, 1), 6, if(ISBLANK('2025'!$T362), 0, 1), 7, 0))), 1, "")</f>
        <v/>
      </c>
      <c r="AC398" s="1" t="str">
        <f>IF(AND(AND(AND(AC$4&gt;='2025'!$L362,AC$4&lt;='2025'!$M362), AC$4&lt;&gt;DATE(2025,7,4)), (SWITCH(weekday(AC$4), 1, 0, 2, if(ISBLANK('2025'!$P362), 0, 1), 3, if(ISBLANK('2025'!$Q362), 0, 1), 4, if(ISBLANK('2025'!$R362), 0, 1), 5, if(ISBLANK('2025'!$S362), 0, 1), 6, if(ISBLANK('2025'!$T362), 0, 1), 7, 0))), 1, "")</f>
        <v/>
      </c>
      <c r="AD398" s="1" t="str">
        <f>IF(AND(AND(AND(AD$4&gt;='2025'!$L362,AD$4&lt;='2025'!$M362), AD$4&lt;&gt;DATE(2025,7,4)), (SWITCH(weekday(AD$4), 1, 0, 2, if(ISBLANK('2025'!$P362), 0, 1), 3, if(ISBLANK('2025'!$Q362), 0, 1), 4, if(ISBLANK('2025'!$R362), 0, 1), 5, if(ISBLANK('2025'!$S362), 0, 1), 6, if(ISBLANK('2025'!$T362), 0, 1), 7, 0))), 1, "")</f>
        <v/>
      </c>
      <c r="AE398" s="1" t="str">
        <f>IF(AND(AND(AND(AE$4&gt;='2025'!$L362,AE$4&lt;='2025'!$M362), AE$4&lt;&gt;DATE(2025,7,4)), (SWITCH(weekday(AE$4), 1, 0, 2, if(ISBLANK('2025'!$P362), 0, 1), 3, if(ISBLANK('2025'!$Q362), 0, 1), 4, if(ISBLANK('2025'!$R362), 0, 1), 5, if(ISBLANK('2025'!$S362), 0, 1), 6, if(ISBLANK('2025'!$T362), 0, 1), 7, 0))), 1, "")</f>
        <v/>
      </c>
      <c r="AF398" s="1" t="str">
        <f>IF(AND(AND(AND(AF$4&gt;='2025'!$L362,AF$4&lt;='2025'!$M362), AF$4&lt;&gt;DATE(2025,7,4)), (SWITCH(weekday(AF$4), 1, 0, 2, if(ISBLANK('2025'!$P362), 0, 1), 3, if(ISBLANK('2025'!$Q362), 0, 1), 4, if(ISBLANK('2025'!$R362), 0, 1), 5, if(ISBLANK('2025'!$S362), 0, 1), 6, if(ISBLANK('2025'!$T362), 0, 1), 7, 0))), 1, "")</f>
        <v/>
      </c>
      <c r="AG398" s="1" t="str">
        <f>IF(AND(AND(AND(AG$4&gt;='2025'!$L362,AG$4&lt;='2025'!$M362), AG$4&lt;&gt;DATE(2025,7,4)), (SWITCH(weekday(AG$4), 1, 0, 2, if(ISBLANK('2025'!$P362), 0, 1), 3, if(ISBLANK('2025'!$Q362), 0, 1), 4, if(ISBLANK('2025'!$R362), 0, 1), 5, if(ISBLANK('2025'!$S362), 0, 1), 6, if(ISBLANK('2025'!$T362), 0, 1), 7, 0))), 1, "")</f>
        <v/>
      </c>
      <c r="AH398" s="1" t="str">
        <f>IF(AND(AND(AND(AH$4&gt;='2025'!$L362,AH$4&lt;='2025'!$M362), AH$4&lt;&gt;DATE(2025,7,4)), (SWITCH(weekday(AH$4), 1, 0, 2, if(ISBLANK('2025'!$P362), 0, 1), 3, if(ISBLANK('2025'!$Q362), 0, 1), 4, if(ISBLANK('2025'!$R362), 0, 1), 5, if(ISBLANK('2025'!$S362), 0, 1), 6, if(ISBLANK('2025'!$T362), 0, 1), 7, 0))), 1, "")</f>
        <v/>
      </c>
      <c r="AI398" s="1" t="str">
        <f>IF(AND(AND(AND(AI$4&gt;='2025'!$L362,AI$4&lt;='2025'!$M362), AI$4&lt;&gt;DATE(2025,7,4)), (SWITCH(weekday(AI$4), 1, 0, 2, if(ISBLANK('2025'!$P362), 0, 1), 3, if(ISBLANK('2025'!$Q362), 0, 1), 4, if(ISBLANK('2025'!$R362), 0, 1), 5, if(ISBLANK('2025'!$S362), 0, 1), 6, if(ISBLANK('2025'!$T362), 0, 1), 7, 0))), 1, "")</f>
        <v/>
      </c>
      <c r="AJ398" s="1" t="str">
        <f>IF(AND(AND(AND(AJ$4&gt;='2025'!$L362,AJ$4&lt;='2025'!$M362), AJ$4&lt;&gt;DATE(2025,7,4)), (SWITCH(weekday(AJ$4), 1, 0, 2, if(ISBLANK('2025'!$P362), 0, 1), 3, if(ISBLANK('2025'!$Q362), 0, 1), 4, if(ISBLANK('2025'!$R362), 0, 1), 5, if(ISBLANK('2025'!$S362), 0, 1), 6, if(ISBLANK('2025'!$T362), 0, 1), 7, 0))), 1, "")</f>
        <v/>
      </c>
      <c r="AK398" s="1" t="str">
        <f>IF(AND(AND(AND(AK$4&gt;='2025'!$L362,AK$4&lt;='2025'!$M362), AK$4&lt;&gt;DATE(2025,7,4)), (SWITCH(weekday(AK$4), 1, 0, 2, if(ISBLANK('2025'!$P362), 0, 1), 3, if(ISBLANK('2025'!$Q362), 0, 1), 4, if(ISBLANK('2025'!$R362), 0, 1), 5, if(ISBLANK('2025'!$S362), 0, 1), 6, if(ISBLANK('2025'!$T362), 0, 1), 7, 0))), 1, "")</f>
        <v/>
      </c>
      <c r="AL398" s="1" t="str">
        <f>IF(AND(AND(AND(AL$4&gt;='2025'!$L362,AL$4&lt;='2025'!$M362), AL$4&lt;&gt;DATE(2025,7,4)), (SWITCH(weekday(AL$4), 1, 0, 2, if(ISBLANK('2025'!$P362), 0, 1), 3, if(ISBLANK('2025'!$Q362), 0, 1), 4, if(ISBLANK('2025'!$R362), 0, 1), 5, if(ISBLANK('2025'!$S362), 0, 1), 6, if(ISBLANK('2025'!$T362), 0, 1), 7, 0))), 1, "")</f>
        <v/>
      </c>
      <c r="AM398" s="1" t="str">
        <f>IF(AND(AND(AND(AM$4&gt;='2025'!$L362,AM$4&lt;='2025'!$M362), AM$4&lt;&gt;DATE(2025,7,4)), (SWITCH(weekday(AM$4), 1, 0, 2, if(ISBLANK('2025'!$P362), 0, 1), 3, if(ISBLANK('2025'!$Q362), 0, 1), 4, if(ISBLANK('2025'!$R362), 0, 1), 5, if(ISBLANK('2025'!$S362), 0, 1), 6, if(ISBLANK('2025'!$T362), 0, 1), 7, 0))), 1, "")</f>
        <v/>
      </c>
      <c r="AN398" s="1" t="str">
        <f>IF(AND(AND(AND(AN$4&gt;='2025'!$L362,AN$4&lt;='2025'!$M362), AN$4&lt;&gt;DATE(2025,7,4)), (SWITCH(weekday(AN$4), 1, 0, 2, if(ISBLANK('2025'!$P362), 0, 1), 3, if(ISBLANK('2025'!$Q362), 0, 1), 4, if(ISBLANK('2025'!$R362), 0, 1), 5, if(ISBLANK('2025'!$S362), 0, 1), 6, if(ISBLANK('2025'!$T362), 0, 1), 7, 0))), 1, "")</f>
        <v/>
      </c>
      <c r="AO398" s="1" t="str">
        <f>IF(AND(AND(AND(AO$4&gt;='2025'!$L362,AO$4&lt;='2025'!$M362), AO$4&lt;&gt;DATE(2025,7,4)), (SWITCH(weekday(AO$4), 1, 0, 2, if(ISBLANK('2025'!$P362), 0, 1), 3, if(ISBLANK('2025'!$Q362), 0, 1), 4, if(ISBLANK('2025'!$R362), 0, 1), 5, if(ISBLANK('2025'!$S362), 0, 1), 6, if(ISBLANK('2025'!$T362), 0, 1), 7, 0))), 1, "")</f>
        <v/>
      </c>
      <c r="AP398" s="1" t="str">
        <f>IF(AND(AND(AND(AP$4&gt;='2025'!$L362,AP$4&lt;='2025'!$M362), AP$4&lt;&gt;DATE(2025,7,4)), (SWITCH(weekday(AP$4), 1, 0, 2, if(ISBLANK('2025'!$P362), 0, 1), 3, if(ISBLANK('2025'!$Q362), 0, 1), 4, if(ISBLANK('2025'!$R362), 0, 1), 5, if(ISBLANK('2025'!$S362), 0, 1), 6, if(ISBLANK('2025'!$T362), 0, 1), 7, 0))), 1, "")</f>
        <v/>
      </c>
      <c r="AQ398" s="1" t="str">
        <f>IF(AND(AND(AND(AQ$4&gt;='2025'!$L362,AQ$4&lt;='2025'!$M362), AQ$4&lt;&gt;DATE(2025,7,4)), (SWITCH(weekday(AQ$4), 1, 0, 2, if(ISBLANK('2025'!$P362), 0, 1), 3, if(ISBLANK('2025'!$Q362), 0, 1), 4, if(ISBLANK('2025'!$R362), 0, 1), 5, if(ISBLANK('2025'!$S362), 0, 1), 6, if(ISBLANK('2025'!$T362), 0, 1), 7, 0))), 1, "")</f>
        <v/>
      </c>
      <c r="AR398" s="1" t="str">
        <f>IF(AND(AND(AND(AR$4&gt;='2025'!$L362,AR$4&lt;='2025'!$M362), AR$4&lt;&gt;DATE(2025,7,4)), (SWITCH(weekday(AR$4), 1, 0, 2, if(ISBLANK('2025'!$P362), 0, 1), 3, if(ISBLANK('2025'!$Q362), 0, 1), 4, if(ISBLANK('2025'!$R362), 0, 1), 5, if(ISBLANK('2025'!$S362), 0, 1), 6, if(ISBLANK('2025'!$T362), 0, 1), 7, 0))), 1, "")</f>
        <v/>
      </c>
      <c r="AS398" s="1" t="str">
        <f>IF(AND(AND(AND(AS$4&gt;='2025'!$L362,AS$4&lt;='2025'!$M362), AS$4&lt;&gt;DATE(2025,7,4)), (SWITCH(weekday(AS$4), 1, 0, 2, if(ISBLANK('2025'!$P362), 0, 1), 3, if(ISBLANK('2025'!$Q362), 0, 1), 4, if(ISBLANK('2025'!$R362), 0, 1), 5, if(ISBLANK('2025'!$S362), 0, 1), 6, if(ISBLANK('2025'!$T362), 0, 1), 7, 0))), 1, "")</f>
        <v/>
      </c>
      <c r="AT398" s="1" t="str">
        <f>IF(AND(AND(AND(AT$4&gt;='2025'!$L362,AT$4&lt;='2025'!$M362), AT$4&lt;&gt;DATE(2025,7,4)), (SWITCH(weekday(AT$4), 1, 0, 2, if(ISBLANK('2025'!$P362), 0, 1), 3, if(ISBLANK('2025'!$Q362), 0, 1), 4, if(ISBLANK('2025'!$R362), 0, 1), 5, if(ISBLANK('2025'!$S362), 0, 1), 6, if(ISBLANK('2025'!$T362), 0, 1), 7, 0))), 1, "")</f>
        <v/>
      </c>
      <c r="AU398" s="1" t="str">
        <f>IF(AND(AND(AND(AU$4&gt;='2025'!$L362,AU$4&lt;='2025'!$M362), AU$4&lt;&gt;DATE(2025,7,4)), (SWITCH(weekday(AU$4), 1, 0, 2, if(ISBLANK('2025'!$P362), 0, 1), 3, if(ISBLANK('2025'!$Q362), 0, 1), 4, if(ISBLANK('2025'!$R362), 0, 1), 5, if(ISBLANK('2025'!$S362), 0, 1), 6, if(ISBLANK('2025'!$T362), 0, 1), 7, 0))), 1, "")</f>
        <v/>
      </c>
      <c r="AV398" s="1" t="str">
        <f>IF(AND(AND(AND(AV$4&gt;='2025'!$L362,AV$4&lt;='2025'!$M362), AV$4&lt;&gt;DATE(2025,7,4)), (SWITCH(weekday(AV$4), 1, 0, 2, if(ISBLANK('2025'!$P362), 0, 1), 3, if(ISBLANK('2025'!$Q362), 0, 1), 4, if(ISBLANK('2025'!$R362), 0, 1), 5, if(ISBLANK('2025'!$S362), 0, 1), 6, if(ISBLANK('2025'!$T362), 0, 1), 7, 0))), 1, "")</f>
        <v/>
      </c>
      <c r="AW398" s="1" t="str">
        <f>IF(AND(AND(AND(AW$4&gt;='2025'!$L362,AW$4&lt;='2025'!$M362), AW$4&lt;&gt;DATE(2025,7,4)), (SWITCH(weekday(AW$4), 1, 0, 2, if(ISBLANK('2025'!$P362), 0, 1), 3, if(ISBLANK('2025'!$Q362), 0, 1), 4, if(ISBLANK('2025'!$R362), 0, 1), 5, if(ISBLANK('2025'!$S362), 0, 1), 6, if(ISBLANK('2025'!$T362), 0, 1), 7, 0))), 1, "")</f>
        <v/>
      </c>
      <c r="AX398" s="1" t="str">
        <f>IF(AND(AND(AND(AX$4&gt;='2025'!$L362,AX$4&lt;='2025'!$M362), AX$4&lt;&gt;DATE(2025,7,4)), (SWITCH(weekday(AX$4), 1, 0, 2, if(ISBLANK('2025'!$P362), 0, 1), 3, if(ISBLANK('2025'!$Q362), 0, 1), 4, if(ISBLANK('2025'!$R362), 0, 1), 5, if(ISBLANK('2025'!$S362), 0, 1), 6, if(ISBLANK('2025'!$T362), 0, 1), 7, 0))), 1, "")</f>
        <v/>
      </c>
      <c r="AY398" s="1" t="str">
        <f>IF(AND(AND(AND(AY$4&gt;='2025'!$L362,AY$4&lt;='2025'!$M362), AY$4&lt;&gt;DATE(2025,7,4)), (SWITCH(weekday(AY$4), 1, 0, 2, if(ISBLANK('2025'!$P362), 0, 1), 3, if(ISBLANK('2025'!$Q362), 0, 1), 4, if(ISBLANK('2025'!$R362), 0, 1), 5, if(ISBLANK('2025'!$S362), 0, 1), 6, if(ISBLANK('2025'!$T362), 0, 1), 7, 0))), 1, "")</f>
        <v/>
      </c>
      <c r="AZ398" s="1" t="str">
        <f>IF(AND(AND(AND(AZ$4&gt;='2025'!$L362,AZ$4&lt;='2025'!$M362), AZ$4&lt;&gt;DATE(2025,7,4)), (SWITCH(weekday(AZ$4), 1, 0, 2, if(ISBLANK('2025'!$P362), 0, 1), 3, if(ISBLANK('2025'!$Q362), 0, 1), 4, if(ISBLANK('2025'!$R362), 0, 1), 5, if(ISBLANK('2025'!$S362), 0, 1), 6, if(ISBLANK('2025'!$T362), 0, 1), 7, 0))), 1, "")</f>
        <v/>
      </c>
      <c r="BA398" s="1" t="str">
        <f>IF(AND(AND(AND(BA$4&gt;='2025'!$L362,BA$4&lt;='2025'!$M362), BA$4&lt;&gt;DATE(2025,7,4)), (SWITCH(weekday(BA$4), 1, 0, 2, if(ISBLANK('2025'!$P362), 0, 1), 3, if(ISBLANK('2025'!$Q362), 0, 1), 4, if(ISBLANK('2025'!$R362), 0, 1), 5, if(ISBLANK('2025'!$S362), 0, 1), 6, if(ISBLANK('2025'!$T362), 0, 1), 7, 0))), 1, "")</f>
        <v/>
      </c>
      <c r="BB398" s="1" t="str">
        <f>IF(AND(AND(AND(BB$4&gt;='2025'!$L362,BB$4&lt;='2025'!$M362), BB$4&lt;&gt;DATE(2025,7,4)), (SWITCH(weekday(BB$4), 1, 0, 2, if(ISBLANK('2025'!$P362), 0, 1), 3, if(ISBLANK('2025'!$Q362), 0, 1), 4, if(ISBLANK('2025'!$R362), 0, 1), 5, if(ISBLANK('2025'!$S362), 0, 1), 6, if(ISBLANK('2025'!$T362), 0, 1), 7, 0))), 1, "")</f>
        <v/>
      </c>
      <c r="BC398" s="1" t="str">
        <f>IF(AND(AND(AND(BC$4&gt;='2025'!$L362,BC$4&lt;='2025'!$M362), BC$4&lt;&gt;DATE(2025,7,4)), (SWITCH(weekday(BC$4), 1, 0, 2, if(ISBLANK('2025'!$P362), 0, 1), 3, if(ISBLANK('2025'!$Q362), 0, 1), 4, if(ISBLANK('2025'!$R362), 0, 1), 5, if(ISBLANK('2025'!$S362), 0, 1), 6, if(ISBLANK('2025'!$T362), 0, 1), 7, 0))), 1, "")</f>
        <v/>
      </c>
      <c r="BD398" s="1" t="str">
        <f>IF(AND(AND(AND(BD$4&gt;='2025'!$L362,BD$4&lt;='2025'!$M362), BD$4&lt;&gt;DATE(2025,7,4)), (SWITCH(weekday(BD$4), 1, 0, 2, if(ISBLANK('2025'!$P362), 0, 1), 3, if(ISBLANK('2025'!$Q362), 0, 1), 4, if(ISBLANK('2025'!$R362), 0, 1), 5, if(ISBLANK('2025'!$S362), 0, 1), 6, if(ISBLANK('2025'!$T362), 0, 1), 7, 0))), 1, "")</f>
        <v/>
      </c>
      <c r="BE398" s="1" t="str">
        <f>IF(AND(AND(AND(BE$4&gt;='2025'!$L362,BE$4&lt;='2025'!$M362), BE$4&lt;&gt;DATE(2025,7,4)), (SWITCH(weekday(BE$4), 1, 0, 2, if(ISBLANK('2025'!$P362), 0, 1), 3, if(ISBLANK('2025'!$Q362), 0, 1), 4, if(ISBLANK('2025'!$R362), 0, 1), 5, if(ISBLANK('2025'!$S362), 0, 1), 6, if(ISBLANK('2025'!$T362), 0, 1), 7, 0))), 1, "")</f>
        <v/>
      </c>
    </row>
    <row r="399">
      <c r="A399" s="1">
        <f t="shared" si="3"/>
        <v>399</v>
      </c>
      <c r="B399" s="1" t="str">
        <f>'2025'!D363</f>
        <v/>
      </c>
      <c r="C399" s="1" t="str">
        <f>'2025'!H363</f>
        <v/>
      </c>
      <c r="D399" s="1" t="str">
        <f>IF(AND(AND(AND(D$4&gt;='2025'!$L363,D$4&lt;='2025'!$M363), D$4&lt;&gt;DATE(2025,7,4)), (SWITCH(weekday(D$4), 1, 0, 2, if(ISBLANK('2025'!$P363), 0, 1), 3, if(ISBLANK('2025'!$Q363), 0, 1), 4, if(ISBLANK('2025'!$R363), 0, 1), 5, if(ISBLANK('2025'!$S363), 0, 1), 6, if(ISBLANK('2025'!$T363), 0, 1), 7, 0))), 1, "")</f>
        <v/>
      </c>
      <c r="E399" s="1" t="str">
        <f>IF(AND(AND(AND(E$4&gt;='2025'!$L363,E$4&lt;='2025'!$M363), E$4&lt;&gt;DATE(2025,7,4)), (SWITCH(weekday(E$4), 1, 0, 2, if(ISBLANK('2025'!$P363), 0, 1), 3, if(ISBLANK('2025'!$Q363), 0, 1), 4, if(ISBLANK('2025'!$R363), 0, 1), 5, if(ISBLANK('2025'!$S363), 0, 1), 6, if(ISBLANK('2025'!$T363), 0, 1), 7, 0))), 1, "")</f>
        <v/>
      </c>
      <c r="F399" s="1" t="str">
        <f>IF(AND(AND(AND(F$4&gt;='2025'!$L363,F$4&lt;='2025'!$M363), F$4&lt;&gt;DATE(2025,7,4)), (SWITCH(weekday(F$4), 1, 0, 2, if(ISBLANK('2025'!$P363), 0, 1), 3, if(ISBLANK('2025'!$Q363), 0, 1), 4, if(ISBLANK('2025'!$R363), 0, 1), 5, if(ISBLANK('2025'!$S363), 0, 1), 6, if(ISBLANK('2025'!$T363), 0, 1), 7, 0))), 1, "")</f>
        <v/>
      </c>
      <c r="G399" s="1" t="str">
        <f>IF(AND(AND(AND(G$4&gt;='2025'!$L363,G$4&lt;='2025'!$M363), G$4&lt;&gt;DATE(2025,7,4)), (SWITCH(weekday(G$4), 1, 0, 2, if(ISBLANK('2025'!$P363), 0, 1), 3, if(ISBLANK('2025'!$Q363), 0, 1), 4, if(ISBLANK('2025'!$R363), 0, 1), 5, if(ISBLANK('2025'!$S363), 0, 1), 6, if(ISBLANK('2025'!$T363), 0, 1), 7, 0))), 1, "")</f>
        <v/>
      </c>
      <c r="H399" s="1" t="str">
        <f>IF(AND(AND(AND(H$4&gt;='2025'!$L363,H$4&lt;='2025'!$M363), H$4&lt;&gt;DATE(2025,7,4)), (SWITCH(weekday(H$4), 1, 0, 2, if(ISBLANK('2025'!$P363), 0, 1), 3, if(ISBLANK('2025'!$Q363), 0, 1), 4, if(ISBLANK('2025'!$R363), 0, 1), 5, if(ISBLANK('2025'!$S363), 0, 1), 6, if(ISBLANK('2025'!$T363), 0, 1), 7, 0))), 1, "")</f>
        <v/>
      </c>
      <c r="I399" s="1" t="str">
        <f>IF(AND(AND(AND(I$4&gt;='2025'!$L363,I$4&lt;='2025'!$M363), I$4&lt;&gt;DATE(2025,7,4)), (SWITCH(weekday(I$4), 1, 0, 2, if(ISBLANK('2025'!$P363), 0, 1), 3, if(ISBLANK('2025'!$Q363), 0, 1), 4, if(ISBLANK('2025'!$R363), 0, 1), 5, if(ISBLANK('2025'!$S363), 0, 1), 6, if(ISBLANK('2025'!$T363), 0, 1), 7, 0))), 1, "")</f>
        <v/>
      </c>
      <c r="J399" s="1" t="str">
        <f>IF(AND(AND(AND(J$4&gt;='2025'!$L363,J$4&lt;='2025'!$M363), J$4&lt;&gt;DATE(2025,7,4)), (SWITCH(weekday(J$4), 1, 0, 2, if(ISBLANK('2025'!$P363), 0, 1), 3, if(ISBLANK('2025'!$Q363), 0, 1), 4, if(ISBLANK('2025'!$R363), 0, 1), 5, if(ISBLANK('2025'!$S363), 0, 1), 6, if(ISBLANK('2025'!$T363), 0, 1), 7, 0))), 1, "")</f>
        <v/>
      </c>
      <c r="K399" s="1" t="str">
        <f>IF(AND(AND(AND(K$4&gt;='2025'!$L363,K$4&lt;='2025'!$M363), K$4&lt;&gt;DATE(2025,7,4)), (SWITCH(weekday(K$4), 1, 0, 2, if(ISBLANK('2025'!$P363), 0, 1), 3, if(ISBLANK('2025'!$Q363), 0, 1), 4, if(ISBLANK('2025'!$R363), 0, 1), 5, if(ISBLANK('2025'!$S363), 0, 1), 6, if(ISBLANK('2025'!$T363), 0, 1), 7, 0))), 1, "")</f>
        <v/>
      </c>
      <c r="L399" s="1" t="str">
        <f>IF(AND(AND(AND(L$4&gt;='2025'!$L363,L$4&lt;='2025'!$M363), L$4&lt;&gt;DATE(2025,7,4)), (SWITCH(weekday(L$4), 1, 0, 2, if(ISBLANK('2025'!$P363), 0, 1), 3, if(ISBLANK('2025'!$Q363), 0, 1), 4, if(ISBLANK('2025'!$R363), 0, 1), 5, if(ISBLANK('2025'!$S363), 0, 1), 6, if(ISBLANK('2025'!$T363), 0, 1), 7, 0))), 1, "")</f>
        <v/>
      </c>
      <c r="M399" s="1" t="str">
        <f>IF(AND(AND(AND(M$4&gt;='2025'!$L363,M$4&lt;='2025'!$M363), M$4&lt;&gt;DATE(2025,7,4)), (SWITCH(weekday(M$4), 1, 0, 2, if(ISBLANK('2025'!$P363), 0, 1), 3, if(ISBLANK('2025'!$Q363), 0, 1), 4, if(ISBLANK('2025'!$R363), 0, 1), 5, if(ISBLANK('2025'!$S363), 0, 1), 6, if(ISBLANK('2025'!$T363), 0, 1), 7, 0))), 1, "")</f>
        <v/>
      </c>
      <c r="N399" s="1" t="str">
        <f>IF(AND(AND(AND(N$4&gt;='2025'!$L363,N$4&lt;='2025'!$M363), N$4&lt;&gt;DATE(2025,7,4)), (SWITCH(weekday(N$4), 1, 0, 2, if(ISBLANK('2025'!$P363), 0, 1), 3, if(ISBLANK('2025'!$Q363), 0, 1), 4, if(ISBLANK('2025'!$R363), 0, 1), 5, if(ISBLANK('2025'!$S363), 0, 1), 6, if(ISBLANK('2025'!$T363), 0, 1), 7, 0))), 1, "")</f>
        <v/>
      </c>
      <c r="O399" s="1" t="str">
        <f>IF(AND(AND(AND(O$4&gt;='2025'!$L363,O$4&lt;='2025'!$M363), O$4&lt;&gt;DATE(2025,7,4)), (SWITCH(weekday(O$4), 1, 0, 2, if(ISBLANK('2025'!$P363), 0, 1), 3, if(ISBLANK('2025'!$Q363), 0, 1), 4, if(ISBLANK('2025'!$R363), 0, 1), 5, if(ISBLANK('2025'!$S363), 0, 1), 6, if(ISBLANK('2025'!$T363), 0, 1), 7, 0))), 1, "")</f>
        <v/>
      </c>
      <c r="P399" s="1" t="str">
        <f>IF(AND(AND(AND(P$4&gt;='2025'!$L363,P$4&lt;='2025'!$M363), P$4&lt;&gt;DATE(2025,7,4)), (SWITCH(weekday(P$4), 1, 0, 2, if(ISBLANK('2025'!$P363), 0, 1), 3, if(ISBLANK('2025'!$Q363), 0, 1), 4, if(ISBLANK('2025'!$R363), 0, 1), 5, if(ISBLANK('2025'!$S363), 0, 1), 6, if(ISBLANK('2025'!$T363), 0, 1), 7, 0))), 1, "")</f>
        <v/>
      </c>
      <c r="Q399" s="1" t="str">
        <f>IF(AND(AND(AND(Q$4&gt;='2025'!$L363,Q$4&lt;='2025'!$M363), Q$4&lt;&gt;DATE(2025,7,4)), (SWITCH(weekday(Q$4), 1, 0, 2, if(ISBLANK('2025'!$P363), 0, 1), 3, if(ISBLANK('2025'!$Q363), 0, 1), 4, if(ISBLANK('2025'!$R363), 0, 1), 5, if(ISBLANK('2025'!$S363), 0, 1), 6, if(ISBLANK('2025'!$T363), 0, 1), 7, 0))), 1, "")</f>
        <v/>
      </c>
      <c r="R399" s="1" t="str">
        <f>IF(AND(AND(AND(R$4&gt;='2025'!$L363,R$4&lt;='2025'!$M363), R$4&lt;&gt;DATE(2025,7,4)), (SWITCH(weekday(R$4), 1, 0, 2, if(ISBLANK('2025'!$P363), 0, 1), 3, if(ISBLANK('2025'!$Q363), 0, 1), 4, if(ISBLANK('2025'!$R363), 0, 1), 5, if(ISBLANK('2025'!$S363), 0, 1), 6, if(ISBLANK('2025'!$T363), 0, 1), 7, 0))), 1, "")</f>
        <v/>
      </c>
      <c r="S399" s="1" t="str">
        <f>IF(AND(AND(AND(S$4&gt;='2025'!$L363,S$4&lt;='2025'!$M363), S$4&lt;&gt;DATE(2025,7,4)), (SWITCH(weekday(S$4), 1, 0, 2, if(ISBLANK('2025'!$P363), 0, 1), 3, if(ISBLANK('2025'!$Q363), 0, 1), 4, if(ISBLANK('2025'!$R363), 0, 1), 5, if(ISBLANK('2025'!$S363), 0, 1), 6, if(ISBLANK('2025'!$T363), 0, 1), 7, 0))), 1, "")</f>
        <v/>
      </c>
      <c r="T399" s="1" t="str">
        <f>IF(AND(AND(AND(T$4&gt;='2025'!$L363,T$4&lt;='2025'!$M363), T$4&lt;&gt;DATE(2025,7,4)), (SWITCH(weekday(T$4), 1, 0, 2, if(ISBLANK('2025'!$P363), 0, 1), 3, if(ISBLANK('2025'!$Q363), 0, 1), 4, if(ISBLANK('2025'!$R363), 0, 1), 5, if(ISBLANK('2025'!$S363), 0, 1), 6, if(ISBLANK('2025'!$T363), 0, 1), 7, 0))), 1, "")</f>
        <v/>
      </c>
      <c r="U399" s="1" t="str">
        <f>IF(AND(AND(AND(U$4&gt;='2025'!$L363,U$4&lt;='2025'!$M363), U$4&lt;&gt;DATE(2025,7,4)), (SWITCH(weekday(U$4), 1, 0, 2, if(ISBLANK('2025'!$P363), 0, 1), 3, if(ISBLANK('2025'!$Q363), 0, 1), 4, if(ISBLANK('2025'!$R363), 0, 1), 5, if(ISBLANK('2025'!$S363), 0, 1), 6, if(ISBLANK('2025'!$T363), 0, 1), 7, 0))), 1, "")</f>
        <v/>
      </c>
      <c r="V399" s="1" t="str">
        <f>IF(AND(AND(AND(V$4&gt;='2025'!$L363,V$4&lt;='2025'!$M363), V$4&lt;&gt;DATE(2025,7,4)), (SWITCH(weekday(V$4), 1, 0, 2, if(ISBLANK('2025'!$P363), 0, 1), 3, if(ISBLANK('2025'!$Q363), 0, 1), 4, if(ISBLANK('2025'!$R363), 0, 1), 5, if(ISBLANK('2025'!$S363), 0, 1), 6, if(ISBLANK('2025'!$T363), 0, 1), 7, 0))), 1, "")</f>
        <v/>
      </c>
      <c r="W399" s="1" t="str">
        <f>IF(AND(AND(AND(W$4&gt;='2025'!$L363,W$4&lt;='2025'!$M363), W$4&lt;&gt;DATE(2025,7,4)), (SWITCH(weekday(W$4), 1, 0, 2, if(ISBLANK('2025'!$P363), 0, 1), 3, if(ISBLANK('2025'!$Q363), 0, 1), 4, if(ISBLANK('2025'!$R363), 0, 1), 5, if(ISBLANK('2025'!$S363), 0, 1), 6, if(ISBLANK('2025'!$T363), 0, 1), 7, 0))), 1, "")</f>
        <v/>
      </c>
      <c r="X399" s="1" t="str">
        <f>IF(AND(AND(AND(X$4&gt;='2025'!$L363,X$4&lt;='2025'!$M363), X$4&lt;&gt;DATE(2025,7,4)), (SWITCH(weekday(X$4), 1, 0, 2, if(ISBLANK('2025'!$P363), 0, 1), 3, if(ISBLANK('2025'!$Q363), 0, 1), 4, if(ISBLANK('2025'!$R363), 0, 1), 5, if(ISBLANK('2025'!$S363), 0, 1), 6, if(ISBLANK('2025'!$T363), 0, 1), 7, 0))), 1, "")</f>
        <v/>
      </c>
      <c r="Y399" s="1" t="str">
        <f>IF(AND(AND(AND(Y$4&gt;='2025'!$L363,Y$4&lt;='2025'!$M363), Y$4&lt;&gt;DATE(2025,7,4)), (SWITCH(weekday(Y$4), 1, 0, 2, if(ISBLANK('2025'!$P363), 0, 1), 3, if(ISBLANK('2025'!$Q363), 0, 1), 4, if(ISBLANK('2025'!$R363), 0, 1), 5, if(ISBLANK('2025'!$S363), 0, 1), 6, if(ISBLANK('2025'!$T363), 0, 1), 7, 0))), 1, "")</f>
        <v/>
      </c>
      <c r="Z399" s="1" t="str">
        <f>IF(AND(AND(AND(Z$4&gt;='2025'!$L363,Z$4&lt;='2025'!$M363), Z$4&lt;&gt;DATE(2025,7,4)), (SWITCH(weekday(Z$4), 1, 0, 2, if(ISBLANK('2025'!$P363), 0, 1), 3, if(ISBLANK('2025'!$Q363), 0, 1), 4, if(ISBLANK('2025'!$R363), 0, 1), 5, if(ISBLANK('2025'!$S363), 0, 1), 6, if(ISBLANK('2025'!$T363), 0, 1), 7, 0))), 1, "")</f>
        <v/>
      </c>
      <c r="AA399" s="1" t="str">
        <f>IF(AND(AND(AND(AA$4&gt;='2025'!$L363,AA$4&lt;='2025'!$M363), AA$4&lt;&gt;DATE(2025,7,4)), (SWITCH(weekday(AA$4), 1, 0, 2, if(ISBLANK('2025'!$P363), 0, 1), 3, if(ISBLANK('2025'!$Q363), 0, 1), 4, if(ISBLANK('2025'!$R363), 0, 1), 5, if(ISBLANK('2025'!$S363), 0, 1), 6, if(ISBLANK('2025'!$T363), 0, 1), 7, 0))), 1, "")</f>
        <v/>
      </c>
      <c r="AB399" s="1" t="str">
        <f>IF(AND(AND(AND(AB$4&gt;='2025'!$L363,AB$4&lt;='2025'!$M363), AB$4&lt;&gt;DATE(2025,7,4)), (SWITCH(weekday(AB$4), 1, 0, 2, if(ISBLANK('2025'!$P363), 0, 1), 3, if(ISBLANK('2025'!$Q363), 0, 1), 4, if(ISBLANK('2025'!$R363), 0, 1), 5, if(ISBLANK('2025'!$S363), 0, 1), 6, if(ISBLANK('2025'!$T363), 0, 1), 7, 0))), 1, "")</f>
        <v/>
      </c>
      <c r="AC399" s="1" t="str">
        <f>IF(AND(AND(AND(AC$4&gt;='2025'!$L363,AC$4&lt;='2025'!$M363), AC$4&lt;&gt;DATE(2025,7,4)), (SWITCH(weekday(AC$4), 1, 0, 2, if(ISBLANK('2025'!$P363), 0, 1), 3, if(ISBLANK('2025'!$Q363), 0, 1), 4, if(ISBLANK('2025'!$R363), 0, 1), 5, if(ISBLANK('2025'!$S363), 0, 1), 6, if(ISBLANK('2025'!$T363), 0, 1), 7, 0))), 1, "")</f>
        <v/>
      </c>
      <c r="AD399" s="1" t="str">
        <f>IF(AND(AND(AND(AD$4&gt;='2025'!$L363,AD$4&lt;='2025'!$M363), AD$4&lt;&gt;DATE(2025,7,4)), (SWITCH(weekday(AD$4), 1, 0, 2, if(ISBLANK('2025'!$P363), 0, 1), 3, if(ISBLANK('2025'!$Q363), 0, 1), 4, if(ISBLANK('2025'!$R363), 0, 1), 5, if(ISBLANK('2025'!$S363), 0, 1), 6, if(ISBLANK('2025'!$T363), 0, 1), 7, 0))), 1, "")</f>
        <v/>
      </c>
      <c r="AE399" s="1" t="str">
        <f>IF(AND(AND(AND(AE$4&gt;='2025'!$L363,AE$4&lt;='2025'!$M363), AE$4&lt;&gt;DATE(2025,7,4)), (SWITCH(weekday(AE$4), 1, 0, 2, if(ISBLANK('2025'!$P363), 0, 1), 3, if(ISBLANK('2025'!$Q363), 0, 1), 4, if(ISBLANK('2025'!$R363), 0, 1), 5, if(ISBLANK('2025'!$S363), 0, 1), 6, if(ISBLANK('2025'!$T363), 0, 1), 7, 0))), 1, "")</f>
        <v/>
      </c>
      <c r="AF399" s="1" t="str">
        <f>IF(AND(AND(AND(AF$4&gt;='2025'!$L363,AF$4&lt;='2025'!$M363), AF$4&lt;&gt;DATE(2025,7,4)), (SWITCH(weekday(AF$4), 1, 0, 2, if(ISBLANK('2025'!$P363), 0, 1), 3, if(ISBLANK('2025'!$Q363), 0, 1), 4, if(ISBLANK('2025'!$R363), 0, 1), 5, if(ISBLANK('2025'!$S363), 0, 1), 6, if(ISBLANK('2025'!$T363), 0, 1), 7, 0))), 1, "")</f>
        <v/>
      </c>
      <c r="AG399" s="1" t="str">
        <f>IF(AND(AND(AND(AG$4&gt;='2025'!$L363,AG$4&lt;='2025'!$M363), AG$4&lt;&gt;DATE(2025,7,4)), (SWITCH(weekday(AG$4), 1, 0, 2, if(ISBLANK('2025'!$P363), 0, 1), 3, if(ISBLANK('2025'!$Q363), 0, 1), 4, if(ISBLANK('2025'!$R363), 0, 1), 5, if(ISBLANK('2025'!$S363), 0, 1), 6, if(ISBLANK('2025'!$T363), 0, 1), 7, 0))), 1, "")</f>
        <v/>
      </c>
      <c r="AH399" s="1" t="str">
        <f>IF(AND(AND(AND(AH$4&gt;='2025'!$L363,AH$4&lt;='2025'!$M363), AH$4&lt;&gt;DATE(2025,7,4)), (SWITCH(weekday(AH$4), 1, 0, 2, if(ISBLANK('2025'!$P363), 0, 1), 3, if(ISBLANK('2025'!$Q363), 0, 1), 4, if(ISBLANK('2025'!$R363), 0, 1), 5, if(ISBLANK('2025'!$S363), 0, 1), 6, if(ISBLANK('2025'!$T363), 0, 1), 7, 0))), 1, "")</f>
        <v/>
      </c>
      <c r="AI399" s="1" t="str">
        <f>IF(AND(AND(AND(AI$4&gt;='2025'!$L363,AI$4&lt;='2025'!$M363), AI$4&lt;&gt;DATE(2025,7,4)), (SWITCH(weekday(AI$4), 1, 0, 2, if(ISBLANK('2025'!$P363), 0, 1), 3, if(ISBLANK('2025'!$Q363), 0, 1), 4, if(ISBLANK('2025'!$R363), 0, 1), 5, if(ISBLANK('2025'!$S363), 0, 1), 6, if(ISBLANK('2025'!$T363), 0, 1), 7, 0))), 1, "")</f>
        <v/>
      </c>
      <c r="AJ399" s="1" t="str">
        <f>IF(AND(AND(AND(AJ$4&gt;='2025'!$L363,AJ$4&lt;='2025'!$M363), AJ$4&lt;&gt;DATE(2025,7,4)), (SWITCH(weekday(AJ$4), 1, 0, 2, if(ISBLANK('2025'!$P363), 0, 1), 3, if(ISBLANK('2025'!$Q363), 0, 1), 4, if(ISBLANK('2025'!$R363), 0, 1), 5, if(ISBLANK('2025'!$S363), 0, 1), 6, if(ISBLANK('2025'!$T363), 0, 1), 7, 0))), 1, "")</f>
        <v/>
      </c>
      <c r="AK399" s="1" t="str">
        <f>IF(AND(AND(AND(AK$4&gt;='2025'!$L363,AK$4&lt;='2025'!$M363), AK$4&lt;&gt;DATE(2025,7,4)), (SWITCH(weekday(AK$4), 1, 0, 2, if(ISBLANK('2025'!$P363), 0, 1), 3, if(ISBLANK('2025'!$Q363), 0, 1), 4, if(ISBLANK('2025'!$R363), 0, 1), 5, if(ISBLANK('2025'!$S363), 0, 1), 6, if(ISBLANK('2025'!$T363), 0, 1), 7, 0))), 1, "")</f>
        <v/>
      </c>
      <c r="AL399" s="1" t="str">
        <f>IF(AND(AND(AND(AL$4&gt;='2025'!$L363,AL$4&lt;='2025'!$M363), AL$4&lt;&gt;DATE(2025,7,4)), (SWITCH(weekday(AL$4), 1, 0, 2, if(ISBLANK('2025'!$P363), 0, 1), 3, if(ISBLANK('2025'!$Q363), 0, 1), 4, if(ISBLANK('2025'!$R363), 0, 1), 5, if(ISBLANK('2025'!$S363), 0, 1), 6, if(ISBLANK('2025'!$T363), 0, 1), 7, 0))), 1, "")</f>
        <v/>
      </c>
      <c r="AM399" s="1" t="str">
        <f>IF(AND(AND(AND(AM$4&gt;='2025'!$L363,AM$4&lt;='2025'!$M363), AM$4&lt;&gt;DATE(2025,7,4)), (SWITCH(weekday(AM$4), 1, 0, 2, if(ISBLANK('2025'!$P363), 0, 1), 3, if(ISBLANK('2025'!$Q363), 0, 1), 4, if(ISBLANK('2025'!$R363), 0, 1), 5, if(ISBLANK('2025'!$S363), 0, 1), 6, if(ISBLANK('2025'!$T363), 0, 1), 7, 0))), 1, "")</f>
        <v/>
      </c>
      <c r="AN399" s="1" t="str">
        <f>IF(AND(AND(AND(AN$4&gt;='2025'!$L363,AN$4&lt;='2025'!$M363), AN$4&lt;&gt;DATE(2025,7,4)), (SWITCH(weekday(AN$4), 1, 0, 2, if(ISBLANK('2025'!$P363), 0, 1), 3, if(ISBLANK('2025'!$Q363), 0, 1), 4, if(ISBLANK('2025'!$R363), 0, 1), 5, if(ISBLANK('2025'!$S363), 0, 1), 6, if(ISBLANK('2025'!$T363), 0, 1), 7, 0))), 1, "")</f>
        <v/>
      </c>
      <c r="AO399" s="1" t="str">
        <f>IF(AND(AND(AND(AO$4&gt;='2025'!$L363,AO$4&lt;='2025'!$M363), AO$4&lt;&gt;DATE(2025,7,4)), (SWITCH(weekday(AO$4), 1, 0, 2, if(ISBLANK('2025'!$P363), 0, 1), 3, if(ISBLANK('2025'!$Q363), 0, 1), 4, if(ISBLANK('2025'!$R363), 0, 1), 5, if(ISBLANK('2025'!$S363), 0, 1), 6, if(ISBLANK('2025'!$T363), 0, 1), 7, 0))), 1, "")</f>
        <v/>
      </c>
      <c r="AP399" s="1" t="str">
        <f>IF(AND(AND(AND(AP$4&gt;='2025'!$L363,AP$4&lt;='2025'!$M363), AP$4&lt;&gt;DATE(2025,7,4)), (SWITCH(weekday(AP$4), 1, 0, 2, if(ISBLANK('2025'!$P363), 0, 1), 3, if(ISBLANK('2025'!$Q363), 0, 1), 4, if(ISBLANK('2025'!$R363), 0, 1), 5, if(ISBLANK('2025'!$S363), 0, 1), 6, if(ISBLANK('2025'!$T363), 0, 1), 7, 0))), 1, "")</f>
        <v/>
      </c>
      <c r="AQ399" s="1" t="str">
        <f>IF(AND(AND(AND(AQ$4&gt;='2025'!$L363,AQ$4&lt;='2025'!$M363), AQ$4&lt;&gt;DATE(2025,7,4)), (SWITCH(weekday(AQ$4), 1, 0, 2, if(ISBLANK('2025'!$P363), 0, 1), 3, if(ISBLANK('2025'!$Q363), 0, 1), 4, if(ISBLANK('2025'!$R363), 0, 1), 5, if(ISBLANK('2025'!$S363), 0, 1), 6, if(ISBLANK('2025'!$T363), 0, 1), 7, 0))), 1, "")</f>
        <v/>
      </c>
      <c r="AR399" s="1" t="str">
        <f>IF(AND(AND(AND(AR$4&gt;='2025'!$L363,AR$4&lt;='2025'!$M363), AR$4&lt;&gt;DATE(2025,7,4)), (SWITCH(weekday(AR$4), 1, 0, 2, if(ISBLANK('2025'!$P363), 0, 1), 3, if(ISBLANK('2025'!$Q363), 0, 1), 4, if(ISBLANK('2025'!$R363), 0, 1), 5, if(ISBLANK('2025'!$S363), 0, 1), 6, if(ISBLANK('2025'!$T363), 0, 1), 7, 0))), 1, "")</f>
        <v/>
      </c>
      <c r="AS399" s="1" t="str">
        <f>IF(AND(AND(AND(AS$4&gt;='2025'!$L363,AS$4&lt;='2025'!$M363), AS$4&lt;&gt;DATE(2025,7,4)), (SWITCH(weekday(AS$4), 1, 0, 2, if(ISBLANK('2025'!$P363), 0, 1), 3, if(ISBLANK('2025'!$Q363), 0, 1), 4, if(ISBLANK('2025'!$R363), 0, 1), 5, if(ISBLANK('2025'!$S363), 0, 1), 6, if(ISBLANK('2025'!$T363), 0, 1), 7, 0))), 1, "")</f>
        <v/>
      </c>
      <c r="AT399" s="1" t="str">
        <f>IF(AND(AND(AND(AT$4&gt;='2025'!$L363,AT$4&lt;='2025'!$M363), AT$4&lt;&gt;DATE(2025,7,4)), (SWITCH(weekday(AT$4), 1, 0, 2, if(ISBLANK('2025'!$P363), 0, 1), 3, if(ISBLANK('2025'!$Q363), 0, 1), 4, if(ISBLANK('2025'!$R363), 0, 1), 5, if(ISBLANK('2025'!$S363), 0, 1), 6, if(ISBLANK('2025'!$T363), 0, 1), 7, 0))), 1, "")</f>
        <v/>
      </c>
      <c r="AU399" s="1" t="str">
        <f>IF(AND(AND(AND(AU$4&gt;='2025'!$L363,AU$4&lt;='2025'!$M363), AU$4&lt;&gt;DATE(2025,7,4)), (SWITCH(weekday(AU$4), 1, 0, 2, if(ISBLANK('2025'!$P363), 0, 1), 3, if(ISBLANK('2025'!$Q363), 0, 1), 4, if(ISBLANK('2025'!$R363), 0, 1), 5, if(ISBLANK('2025'!$S363), 0, 1), 6, if(ISBLANK('2025'!$T363), 0, 1), 7, 0))), 1, "")</f>
        <v/>
      </c>
      <c r="AV399" s="1" t="str">
        <f>IF(AND(AND(AND(AV$4&gt;='2025'!$L363,AV$4&lt;='2025'!$M363), AV$4&lt;&gt;DATE(2025,7,4)), (SWITCH(weekday(AV$4), 1, 0, 2, if(ISBLANK('2025'!$P363), 0, 1), 3, if(ISBLANK('2025'!$Q363), 0, 1), 4, if(ISBLANK('2025'!$R363), 0, 1), 5, if(ISBLANK('2025'!$S363), 0, 1), 6, if(ISBLANK('2025'!$T363), 0, 1), 7, 0))), 1, "")</f>
        <v/>
      </c>
      <c r="AW399" s="1" t="str">
        <f>IF(AND(AND(AND(AW$4&gt;='2025'!$L363,AW$4&lt;='2025'!$M363), AW$4&lt;&gt;DATE(2025,7,4)), (SWITCH(weekday(AW$4), 1, 0, 2, if(ISBLANK('2025'!$P363), 0, 1), 3, if(ISBLANK('2025'!$Q363), 0, 1), 4, if(ISBLANK('2025'!$R363), 0, 1), 5, if(ISBLANK('2025'!$S363), 0, 1), 6, if(ISBLANK('2025'!$T363), 0, 1), 7, 0))), 1, "")</f>
        <v/>
      </c>
      <c r="AX399" s="1" t="str">
        <f>IF(AND(AND(AND(AX$4&gt;='2025'!$L363,AX$4&lt;='2025'!$M363), AX$4&lt;&gt;DATE(2025,7,4)), (SWITCH(weekday(AX$4), 1, 0, 2, if(ISBLANK('2025'!$P363), 0, 1), 3, if(ISBLANK('2025'!$Q363), 0, 1), 4, if(ISBLANK('2025'!$R363), 0, 1), 5, if(ISBLANK('2025'!$S363), 0, 1), 6, if(ISBLANK('2025'!$T363), 0, 1), 7, 0))), 1, "")</f>
        <v/>
      </c>
      <c r="AY399" s="1" t="str">
        <f>IF(AND(AND(AND(AY$4&gt;='2025'!$L363,AY$4&lt;='2025'!$M363), AY$4&lt;&gt;DATE(2025,7,4)), (SWITCH(weekday(AY$4), 1, 0, 2, if(ISBLANK('2025'!$P363), 0, 1), 3, if(ISBLANK('2025'!$Q363), 0, 1), 4, if(ISBLANK('2025'!$R363), 0, 1), 5, if(ISBLANK('2025'!$S363), 0, 1), 6, if(ISBLANK('2025'!$T363), 0, 1), 7, 0))), 1, "")</f>
        <v/>
      </c>
      <c r="AZ399" s="1" t="str">
        <f>IF(AND(AND(AND(AZ$4&gt;='2025'!$L363,AZ$4&lt;='2025'!$M363), AZ$4&lt;&gt;DATE(2025,7,4)), (SWITCH(weekday(AZ$4), 1, 0, 2, if(ISBLANK('2025'!$P363), 0, 1), 3, if(ISBLANK('2025'!$Q363), 0, 1), 4, if(ISBLANK('2025'!$R363), 0, 1), 5, if(ISBLANK('2025'!$S363), 0, 1), 6, if(ISBLANK('2025'!$T363), 0, 1), 7, 0))), 1, "")</f>
        <v/>
      </c>
      <c r="BA399" s="1" t="str">
        <f>IF(AND(AND(AND(BA$4&gt;='2025'!$L363,BA$4&lt;='2025'!$M363), BA$4&lt;&gt;DATE(2025,7,4)), (SWITCH(weekday(BA$4), 1, 0, 2, if(ISBLANK('2025'!$P363), 0, 1), 3, if(ISBLANK('2025'!$Q363), 0, 1), 4, if(ISBLANK('2025'!$R363), 0, 1), 5, if(ISBLANK('2025'!$S363), 0, 1), 6, if(ISBLANK('2025'!$T363), 0, 1), 7, 0))), 1, "")</f>
        <v/>
      </c>
      <c r="BB399" s="1" t="str">
        <f>IF(AND(AND(AND(BB$4&gt;='2025'!$L363,BB$4&lt;='2025'!$M363), BB$4&lt;&gt;DATE(2025,7,4)), (SWITCH(weekday(BB$4), 1, 0, 2, if(ISBLANK('2025'!$P363), 0, 1), 3, if(ISBLANK('2025'!$Q363), 0, 1), 4, if(ISBLANK('2025'!$R363), 0, 1), 5, if(ISBLANK('2025'!$S363), 0, 1), 6, if(ISBLANK('2025'!$T363), 0, 1), 7, 0))), 1, "")</f>
        <v/>
      </c>
      <c r="BC399" s="1" t="str">
        <f>IF(AND(AND(AND(BC$4&gt;='2025'!$L363,BC$4&lt;='2025'!$M363), BC$4&lt;&gt;DATE(2025,7,4)), (SWITCH(weekday(BC$4), 1, 0, 2, if(ISBLANK('2025'!$P363), 0, 1), 3, if(ISBLANK('2025'!$Q363), 0, 1), 4, if(ISBLANK('2025'!$R363), 0, 1), 5, if(ISBLANK('2025'!$S363), 0, 1), 6, if(ISBLANK('2025'!$T363), 0, 1), 7, 0))), 1, "")</f>
        <v/>
      </c>
      <c r="BD399" s="1" t="str">
        <f>IF(AND(AND(AND(BD$4&gt;='2025'!$L363,BD$4&lt;='2025'!$M363), BD$4&lt;&gt;DATE(2025,7,4)), (SWITCH(weekday(BD$4), 1, 0, 2, if(ISBLANK('2025'!$P363), 0, 1), 3, if(ISBLANK('2025'!$Q363), 0, 1), 4, if(ISBLANK('2025'!$R363), 0, 1), 5, if(ISBLANK('2025'!$S363), 0, 1), 6, if(ISBLANK('2025'!$T363), 0, 1), 7, 0))), 1, "")</f>
        <v/>
      </c>
      <c r="BE399" s="1" t="str">
        <f>IF(AND(AND(AND(BE$4&gt;='2025'!$L363,BE$4&lt;='2025'!$M363), BE$4&lt;&gt;DATE(2025,7,4)), (SWITCH(weekday(BE$4), 1, 0, 2, if(ISBLANK('2025'!$P363), 0, 1), 3, if(ISBLANK('2025'!$Q363), 0, 1), 4, if(ISBLANK('2025'!$R363), 0, 1), 5, if(ISBLANK('2025'!$S363), 0, 1), 6, if(ISBLANK('2025'!$T363), 0, 1), 7, 0))), 1, "")</f>
        <v/>
      </c>
    </row>
    <row r="400">
      <c r="A400" s="1">
        <f t="shared" si="3"/>
        <v>400</v>
      </c>
      <c r="B400" s="1" t="str">
        <f>'2025'!D364</f>
        <v/>
      </c>
      <c r="C400" s="1" t="str">
        <f>'2025'!H364</f>
        <v/>
      </c>
      <c r="D400" s="1" t="str">
        <f>IF(AND(AND(AND(D$4&gt;='2025'!$L364,D$4&lt;='2025'!$M364), D$4&lt;&gt;DATE(2025,7,4)), (SWITCH(weekday(D$4), 1, 0, 2, if(ISBLANK('2025'!$P364), 0, 1), 3, if(ISBLANK('2025'!$Q364), 0, 1), 4, if(ISBLANK('2025'!$R364), 0, 1), 5, if(ISBLANK('2025'!$S364), 0, 1), 6, if(ISBLANK('2025'!$T364), 0, 1), 7, 0))), 1, "")</f>
        <v/>
      </c>
      <c r="E400" s="1" t="str">
        <f>IF(AND(AND(AND(E$4&gt;='2025'!$L364,E$4&lt;='2025'!$M364), E$4&lt;&gt;DATE(2025,7,4)), (SWITCH(weekday(E$4), 1, 0, 2, if(ISBLANK('2025'!$P364), 0, 1), 3, if(ISBLANK('2025'!$Q364), 0, 1), 4, if(ISBLANK('2025'!$R364), 0, 1), 5, if(ISBLANK('2025'!$S364), 0, 1), 6, if(ISBLANK('2025'!$T364), 0, 1), 7, 0))), 1, "")</f>
        <v/>
      </c>
      <c r="F400" s="1" t="str">
        <f>IF(AND(AND(AND(F$4&gt;='2025'!$L364,F$4&lt;='2025'!$M364), F$4&lt;&gt;DATE(2025,7,4)), (SWITCH(weekday(F$4), 1, 0, 2, if(ISBLANK('2025'!$P364), 0, 1), 3, if(ISBLANK('2025'!$Q364), 0, 1), 4, if(ISBLANK('2025'!$R364), 0, 1), 5, if(ISBLANK('2025'!$S364), 0, 1), 6, if(ISBLANK('2025'!$T364), 0, 1), 7, 0))), 1, "")</f>
        <v/>
      </c>
      <c r="G400" s="1" t="str">
        <f>IF(AND(AND(AND(G$4&gt;='2025'!$L364,G$4&lt;='2025'!$M364), G$4&lt;&gt;DATE(2025,7,4)), (SWITCH(weekday(G$4), 1, 0, 2, if(ISBLANK('2025'!$P364), 0, 1), 3, if(ISBLANK('2025'!$Q364), 0, 1), 4, if(ISBLANK('2025'!$R364), 0, 1), 5, if(ISBLANK('2025'!$S364), 0, 1), 6, if(ISBLANK('2025'!$T364), 0, 1), 7, 0))), 1, "")</f>
        <v/>
      </c>
      <c r="H400" s="1" t="str">
        <f>IF(AND(AND(AND(H$4&gt;='2025'!$L364,H$4&lt;='2025'!$M364), H$4&lt;&gt;DATE(2025,7,4)), (SWITCH(weekday(H$4), 1, 0, 2, if(ISBLANK('2025'!$P364), 0, 1), 3, if(ISBLANK('2025'!$Q364), 0, 1), 4, if(ISBLANK('2025'!$R364), 0, 1), 5, if(ISBLANK('2025'!$S364), 0, 1), 6, if(ISBLANK('2025'!$T364), 0, 1), 7, 0))), 1, "")</f>
        <v/>
      </c>
      <c r="I400" s="1" t="str">
        <f>IF(AND(AND(AND(I$4&gt;='2025'!$L364,I$4&lt;='2025'!$M364), I$4&lt;&gt;DATE(2025,7,4)), (SWITCH(weekday(I$4), 1, 0, 2, if(ISBLANK('2025'!$P364), 0, 1), 3, if(ISBLANK('2025'!$Q364), 0, 1), 4, if(ISBLANK('2025'!$R364), 0, 1), 5, if(ISBLANK('2025'!$S364), 0, 1), 6, if(ISBLANK('2025'!$T364), 0, 1), 7, 0))), 1, "")</f>
        <v/>
      </c>
      <c r="J400" s="1" t="str">
        <f>IF(AND(AND(AND(J$4&gt;='2025'!$L364,J$4&lt;='2025'!$M364), J$4&lt;&gt;DATE(2025,7,4)), (SWITCH(weekday(J$4), 1, 0, 2, if(ISBLANK('2025'!$P364), 0, 1), 3, if(ISBLANK('2025'!$Q364), 0, 1), 4, if(ISBLANK('2025'!$R364), 0, 1), 5, if(ISBLANK('2025'!$S364), 0, 1), 6, if(ISBLANK('2025'!$T364), 0, 1), 7, 0))), 1, "")</f>
        <v/>
      </c>
      <c r="K400" s="1" t="str">
        <f>IF(AND(AND(AND(K$4&gt;='2025'!$L364,K$4&lt;='2025'!$M364), K$4&lt;&gt;DATE(2025,7,4)), (SWITCH(weekday(K$4), 1, 0, 2, if(ISBLANK('2025'!$P364), 0, 1), 3, if(ISBLANK('2025'!$Q364), 0, 1), 4, if(ISBLANK('2025'!$R364), 0, 1), 5, if(ISBLANK('2025'!$S364), 0, 1), 6, if(ISBLANK('2025'!$T364), 0, 1), 7, 0))), 1, "")</f>
        <v/>
      </c>
      <c r="L400" s="1" t="str">
        <f>IF(AND(AND(AND(L$4&gt;='2025'!$L364,L$4&lt;='2025'!$M364), L$4&lt;&gt;DATE(2025,7,4)), (SWITCH(weekday(L$4), 1, 0, 2, if(ISBLANK('2025'!$P364), 0, 1), 3, if(ISBLANK('2025'!$Q364), 0, 1), 4, if(ISBLANK('2025'!$R364), 0, 1), 5, if(ISBLANK('2025'!$S364), 0, 1), 6, if(ISBLANK('2025'!$T364), 0, 1), 7, 0))), 1, "")</f>
        <v/>
      </c>
      <c r="M400" s="1" t="str">
        <f>IF(AND(AND(AND(M$4&gt;='2025'!$L364,M$4&lt;='2025'!$M364), M$4&lt;&gt;DATE(2025,7,4)), (SWITCH(weekday(M$4), 1, 0, 2, if(ISBLANK('2025'!$P364), 0, 1), 3, if(ISBLANK('2025'!$Q364), 0, 1), 4, if(ISBLANK('2025'!$R364), 0, 1), 5, if(ISBLANK('2025'!$S364), 0, 1), 6, if(ISBLANK('2025'!$T364), 0, 1), 7, 0))), 1, "")</f>
        <v/>
      </c>
      <c r="N400" s="1" t="str">
        <f>IF(AND(AND(AND(N$4&gt;='2025'!$L364,N$4&lt;='2025'!$M364), N$4&lt;&gt;DATE(2025,7,4)), (SWITCH(weekday(N$4), 1, 0, 2, if(ISBLANK('2025'!$P364), 0, 1), 3, if(ISBLANK('2025'!$Q364), 0, 1), 4, if(ISBLANK('2025'!$R364), 0, 1), 5, if(ISBLANK('2025'!$S364), 0, 1), 6, if(ISBLANK('2025'!$T364), 0, 1), 7, 0))), 1, "")</f>
        <v/>
      </c>
      <c r="O400" s="1" t="str">
        <f>IF(AND(AND(AND(O$4&gt;='2025'!$L364,O$4&lt;='2025'!$M364), O$4&lt;&gt;DATE(2025,7,4)), (SWITCH(weekday(O$4), 1, 0, 2, if(ISBLANK('2025'!$P364), 0, 1), 3, if(ISBLANK('2025'!$Q364), 0, 1), 4, if(ISBLANK('2025'!$R364), 0, 1), 5, if(ISBLANK('2025'!$S364), 0, 1), 6, if(ISBLANK('2025'!$T364), 0, 1), 7, 0))), 1, "")</f>
        <v/>
      </c>
      <c r="P400" s="1" t="str">
        <f>IF(AND(AND(AND(P$4&gt;='2025'!$L364,P$4&lt;='2025'!$M364), P$4&lt;&gt;DATE(2025,7,4)), (SWITCH(weekday(P$4), 1, 0, 2, if(ISBLANK('2025'!$P364), 0, 1), 3, if(ISBLANK('2025'!$Q364), 0, 1), 4, if(ISBLANK('2025'!$R364), 0, 1), 5, if(ISBLANK('2025'!$S364), 0, 1), 6, if(ISBLANK('2025'!$T364), 0, 1), 7, 0))), 1, "")</f>
        <v/>
      </c>
      <c r="Q400" s="1" t="str">
        <f>IF(AND(AND(AND(Q$4&gt;='2025'!$L364,Q$4&lt;='2025'!$M364), Q$4&lt;&gt;DATE(2025,7,4)), (SWITCH(weekday(Q$4), 1, 0, 2, if(ISBLANK('2025'!$P364), 0, 1), 3, if(ISBLANK('2025'!$Q364), 0, 1), 4, if(ISBLANK('2025'!$R364), 0, 1), 5, if(ISBLANK('2025'!$S364), 0, 1), 6, if(ISBLANK('2025'!$T364), 0, 1), 7, 0))), 1, "")</f>
        <v/>
      </c>
      <c r="R400" s="1" t="str">
        <f>IF(AND(AND(AND(R$4&gt;='2025'!$L364,R$4&lt;='2025'!$M364), R$4&lt;&gt;DATE(2025,7,4)), (SWITCH(weekday(R$4), 1, 0, 2, if(ISBLANK('2025'!$P364), 0, 1), 3, if(ISBLANK('2025'!$Q364), 0, 1), 4, if(ISBLANK('2025'!$R364), 0, 1), 5, if(ISBLANK('2025'!$S364), 0, 1), 6, if(ISBLANK('2025'!$T364), 0, 1), 7, 0))), 1, "")</f>
        <v/>
      </c>
      <c r="S400" s="1" t="str">
        <f>IF(AND(AND(AND(S$4&gt;='2025'!$L364,S$4&lt;='2025'!$M364), S$4&lt;&gt;DATE(2025,7,4)), (SWITCH(weekday(S$4), 1, 0, 2, if(ISBLANK('2025'!$P364), 0, 1), 3, if(ISBLANK('2025'!$Q364), 0, 1), 4, if(ISBLANK('2025'!$R364), 0, 1), 5, if(ISBLANK('2025'!$S364), 0, 1), 6, if(ISBLANK('2025'!$T364), 0, 1), 7, 0))), 1, "")</f>
        <v/>
      </c>
      <c r="T400" s="1" t="str">
        <f>IF(AND(AND(AND(T$4&gt;='2025'!$L364,T$4&lt;='2025'!$M364), T$4&lt;&gt;DATE(2025,7,4)), (SWITCH(weekday(T$4), 1, 0, 2, if(ISBLANK('2025'!$P364), 0, 1), 3, if(ISBLANK('2025'!$Q364), 0, 1), 4, if(ISBLANK('2025'!$R364), 0, 1), 5, if(ISBLANK('2025'!$S364), 0, 1), 6, if(ISBLANK('2025'!$T364), 0, 1), 7, 0))), 1, "")</f>
        <v/>
      </c>
      <c r="U400" s="1" t="str">
        <f>IF(AND(AND(AND(U$4&gt;='2025'!$L364,U$4&lt;='2025'!$M364), U$4&lt;&gt;DATE(2025,7,4)), (SWITCH(weekday(U$4), 1, 0, 2, if(ISBLANK('2025'!$P364), 0, 1), 3, if(ISBLANK('2025'!$Q364), 0, 1), 4, if(ISBLANK('2025'!$R364), 0, 1), 5, if(ISBLANK('2025'!$S364), 0, 1), 6, if(ISBLANK('2025'!$T364), 0, 1), 7, 0))), 1, "")</f>
        <v/>
      </c>
      <c r="V400" s="1" t="str">
        <f>IF(AND(AND(AND(V$4&gt;='2025'!$L364,V$4&lt;='2025'!$M364), V$4&lt;&gt;DATE(2025,7,4)), (SWITCH(weekday(V$4), 1, 0, 2, if(ISBLANK('2025'!$P364), 0, 1), 3, if(ISBLANK('2025'!$Q364), 0, 1), 4, if(ISBLANK('2025'!$R364), 0, 1), 5, if(ISBLANK('2025'!$S364), 0, 1), 6, if(ISBLANK('2025'!$T364), 0, 1), 7, 0))), 1, "")</f>
        <v/>
      </c>
      <c r="W400" s="1" t="str">
        <f>IF(AND(AND(AND(W$4&gt;='2025'!$L364,W$4&lt;='2025'!$M364), W$4&lt;&gt;DATE(2025,7,4)), (SWITCH(weekday(W$4), 1, 0, 2, if(ISBLANK('2025'!$P364), 0, 1), 3, if(ISBLANK('2025'!$Q364), 0, 1), 4, if(ISBLANK('2025'!$R364), 0, 1), 5, if(ISBLANK('2025'!$S364), 0, 1), 6, if(ISBLANK('2025'!$T364), 0, 1), 7, 0))), 1, "")</f>
        <v/>
      </c>
      <c r="X400" s="1" t="str">
        <f>IF(AND(AND(AND(X$4&gt;='2025'!$L364,X$4&lt;='2025'!$M364), X$4&lt;&gt;DATE(2025,7,4)), (SWITCH(weekday(X$4), 1, 0, 2, if(ISBLANK('2025'!$P364), 0, 1), 3, if(ISBLANK('2025'!$Q364), 0, 1), 4, if(ISBLANK('2025'!$R364), 0, 1), 5, if(ISBLANK('2025'!$S364), 0, 1), 6, if(ISBLANK('2025'!$T364), 0, 1), 7, 0))), 1, "")</f>
        <v/>
      </c>
      <c r="Y400" s="1" t="str">
        <f>IF(AND(AND(AND(Y$4&gt;='2025'!$L364,Y$4&lt;='2025'!$M364), Y$4&lt;&gt;DATE(2025,7,4)), (SWITCH(weekday(Y$4), 1, 0, 2, if(ISBLANK('2025'!$P364), 0, 1), 3, if(ISBLANK('2025'!$Q364), 0, 1), 4, if(ISBLANK('2025'!$R364), 0, 1), 5, if(ISBLANK('2025'!$S364), 0, 1), 6, if(ISBLANK('2025'!$T364), 0, 1), 7, 0))), 1, "")</f>
        <v/>
      </c>
      <c r="Z400" s="1" t="str">
        <f>IF(AND(AND(AND(Z$4&gt;='2025'!$L364,Z$4&lt;='2025'!$M364), Z$4&lt;&gt;DATE(2025,7,4)), (SWITCH(weekday(Z$4), 1, 0, 2, if(ISBLANK('2025'!$P364), 0, 1), 3, if(ISBLANK('2025'!$Q364), 0, 1), 4, if(ISBLANK('2025'!$R364), 0, 1), 5, if(ISBLANK('2025'!$S364), 0, 1), 6, if(ISBLANK('2025'!$T364), 0, 1), 7, 0))), 1, "")</f>
        <v/>
      </c>
      <c r="AA400" s="1" t="str">
        <f>IF(AND(AND(AND(AA$4&gt;='2025'!$L364,AA$4&lt;='2025'!$M364), AA$4&lt;&gt;DATE(2025,7,4)), (SWITCH(weekday(AA$4), 1, 0, 2, if(ISBLANK('2025'!$P364), 0, 1), 3, if(ISBLANK('2025'!$Q364), 0, 1), 4, if(ISBLANK('2025'!$R364), 0, 1), 5, if(ISBLANK('2025'!$S364), 0, 1), 6, if(ISBLANK('2025'!$T364), 0, 1), 7, 0))), 1, "")</f>
        <v/>
      </c>
      <c r="AB400" s="1" t="str">
        <f>IF(AND(AND(AND(AB$4&gt;='2025'!$L364,AB$4&lt;='2025'!$M364), AB$4&lt;&gt;DATE(2025,7,4)), (SWITCH(weekday(AB$4), 1, 0, 2, if(ISBLANK('2025'!$P364), 0, 1), 3, if(ISBLANK('2025'!$Q364), 0, 1), 4, if(ISBLANK('2025'!$R364), 0, 1), 5, if(ISBLANK('2025'!$S364), 0, 1), 6, if(ISBLANK('2025'!$T364), 0, 1), 7, 0))), 1, "")</f>
        <v/>
      </c>
      <c r="AC400" s="1" t="str">
        <f>IF(AND(AND(AND(AC$4&gt;='2025'!$L364,AC$4&lt;='2025'!$M364), AC$4&lt;&gt;DATE(2025,7,4)), (SWITCH(weekday(AC$4), 1, 0, 2, if(ISBLANK('2025'!$P364), 0, 1), 3, if(ISBLANK('2025'!$Q364), 0, 1), 4, if(ISBLANK('2025'!$R364), 0, 1), 5, if(ISBLANK('2025'!$S364), 0, 1), 6, if(ISBLANK('2025'!$T364), 0, 1), 7, 0))), 1, "")</f>
        <v/>
      </c>
      <c r="AD400" s="1" t="str">
        <f>IF(AND(AND(AND(AD$4&gt;='2025'!$L364,AD$4&lt;='2025'!$M364), AD$4&lt;&gt;DATE(2025,7,4)), (SWITCH(weekday(AD$4), 1, 0, 2, if(ISBLANK('2025'!$P364), 0, 1), 3, if(ISBLANK('2025'!$Q364), 0, 1), 4, if(ISBLANK('2025'!$R364), 0, 1), 5, if(ISBLANK('2025'!$S364), 0, 1), 6, if(ISBLANK('2025'!$T364), 0, 1), 7, 0))), 1, "")</f>
        <v/>
      </c>
      <c r="AE400" s="1" t="str">
        <f>IF(AND(AND(AND(AE$4&gt;='2025'!$L364,AE$4&lt;='2025'!$M364), AE$4&lt;&gt;DATE(2025,7,4)), (SWITCH(weekday(AE$4), 1, 0, 2, if(ISBLANK('2025'!$P364), 0, 1), 3, if(ISBLANK('2025'!$Q364), 0, 1), 4, if(ISBLANK('2025'!$R364), 0, 1), 5, if(ISBLANK('2025'!$S364), 0, 1), 6, if(ISBLANK('2025'!$T364), 0, 1), 7, 0))), 1, "")</f>
        <v/>
      </c>
      <c r="AF400" s="1" t="str">
        <f>IF(AND(AND(AND(AF$4&gt;='2025'!$L364,AF$4&lt;='2025'!$M364), AF$4&lt;&gt;DATE(2025,7,4)), (SWITCH(weekday(AF$4), 1, 0, 2, if(ISBLANK('2025'!$P364), 0, 1), 3, if(ISBLANK('2025'!$Q364), 0, 1), 4, if(ISBLANK('2025'!$R364), 0, 1), 5, if(ISBLANK('2025'!$S364), 0, 1), 6, if(ISBLANK('2025'!$T364), 0, 1), 7, 0))), 1, "")</f>
        <v/>
      </c>
      <c r="AG400" s="1" t="str">
        <f>IF(AND(AND(AND(AG$4&gt;='2025'!$L364,AG$4&lt;='2025'!$M364), AG$4&lt;&gt;DATE(2025,7,4)), (SWITCH(weekday(AG$4), 1, 0, 2, if(ISBLANK('2025'!$P364), 0, 1), 3, if(ISBLANK('2025'!$Q364), 0, 1), 4, if(ISBLANK('2025'!$R364), 0, 1), 5, if(ISBLANK('2025'!$S364), 0, 1), 6, if(ISBLANK('2025'!$T364), 0, 1), 7, 0))), 1, "")</f>
        <v/>
      </c>
      <c r="AH400" s="1" t="str">
        <f>IF(AND(AND(AND(AH$4&gt;='2025'!$L364,AH$4&lt;='2025'!$M364), AH$4&lt;&gt;DATE(2025,7,4)), (SWITCH(weekday(AH$4), 1, 0, 2, if(ISBLANK('2025'!$P364), 0, 1), 3, if(ISBLANK('2025'!$Q364), 0, 1), 4, if(ISBLANK('2025'!$R364), 0, 1), 5, if(ISBLANK('2025'!$S364), 0, 1), 6, if(ISBLANK('2025'!$T364), 0, 1), 7, 0))), 1, "")</f>
        <v/>
      </c>
      <c r="AI400" s="1" t="str">
        <f>IF(AND(AND(AND(AI$4&gt;='2025'!$L364,AI$4&lt;='2025'!$M364), AI$4&lt;&gt;DATE(2025,7,4)), (SWITCH(weekday(AI$4), 1, 0, 2, if(ISBLANK('2025'!$P364), 0, 1), 3, if(ISBLANK('2025'!$Q364), 0, 1), 4, if(ISBLANK('2025'!$R364), 0, 1), 5, if(ISBLANK('2025'!$S364), 0, 1), 6, if(ISBLANK('2025'!$T364), 0, 1), 7, 0))), 1, "")</f>
        <v/>
      </c>
      <c r="AJ400" s="1" t="str">
        <f>IF(AND(AND(AND(AJ$4&gt;='2025'!$L364,AJ$4&lt;='2025'!$M364), AJ$4&lt;&gt;DATE(2025,7,4)), (SWITCH(weekday(AJ$4), 1, 0, 2, if(ISBLANK('2025'!$P364), 0, 1), 3, if(ISBLANK('2025'!$Q364), 0, 1), 4, if(ISBLANK('2025'!$R364), 0, 1), 5, if(ISBLANK('2025'!$S364), 0, 1), 6, if(ISBLANK('2025'!$T364), 0, 1), 7, 0))), 1, "")</f>
        <v/>
      </c>
      <c r="AK400" s="1" t="str">
        <f>IF(AND(AND(AND(AK$4&gt;='2025'!$L364,AK$4&lt;='2025'!$M364), AK$4&lt;&gt;DATE(2025,7,4)), (SWITCH(weekday(AK$4), 1, 0, 2, if(ISBLANK('2025'!$P364), 0, 1), 3, if(ISBLANK('2025'!$Q364), 0, 1), 4, if(ISBLANK('2025'!$R364), 0, 1), 5, if(ISBLANK('2025'!$S364), 0, 1), 6, if(ISBLANK('2025'!$T364), 0, 1), 7, 0))), 1, "")</f>
        <v/>
      </c>
      <c r="AL400" s="1" t="str">
        <f>IF(AND(AND(AND(AL$4&gt;='2025'!$L364,AL$4&lt;='2025'!$M364), AL$4&lt;&gt;DATE(2025,7,4)), (SWITCH(weekday(AL$4), 1, 0, 2, if(ISBLANK('2025'!$P364), 0, 1), 3, if(ISBLANK('2025'!$Q364), 0, 1), 4, if(ISBLANK('2025'!$R364), 0, 1), 5, if(ISBLANK('2025'!$S364), 0, 1), 6, if(ISBLANK('2025'!$T364), 0, 1), 7, 0))), 1, "")</f>
        <v/>
      </c>
      <c r="AM400" s="1" t="str">
        <f>IF(AND(AND(AND(AM$4&gt;='2025'!$L364,AM$4&lt;='2025'!$M364), AM$4&lt;&gt;DATE(2025,7,4)), (SWITCH(weekday(AM$4), 1, 0, 2, if(ISBLANK('2025'!$P364), 0, 1), 3, if(ISBLANK('2025'!$Q364), 0, 1), 4, if(ISBLANK('2025'!$R364), 0, 1), 5, if(ISBLANK('2025'!$S364), 0, 1), 6, if(ISBLANK('2025'!$T364), 0, 1), 7, 0))), 1, "")</f>
        <v/>
      </c>
      <c r="AN400" s="1" t="str">
        <f>IF(AND(AND(AND(AN$4&gt;='2025'!$L364,AN$4&lt;='2025'!$M364), AN$4&lt;&gt;DATE(2025,7,4)), (SWITCH(weekday(AN$4), 1, 0, 2, if(ISBLANK('2025'!$P364), 0, 1), 3, if(ISBLANK('2025'!$Q364), 0, 1), 4, if(ISBLANK('2025'!$R364), 0, 1), 5, if(ISBLANK('2025'!$S364), 0, 1), 6, if(ISBLANK('2025'!$T364), 0, 1), 7, 0))), 1, "")</f>
        <v/>
      </c>
      <c r="AO400" s="1" t="str">
        <f>IF(AND(AND(AND(AO$4&gt;='2025'!$L364,AO$4&lt;='2025'!$M364), AO$4&lt;&gt;DATE(2025,7,4)), (SWITCH(weekday(AO$4), 1, 0, 2, if(ISBLANK('2025'!$P364), 0, 1), 3, if(ISBLANK('2025'!$Q364), 0, 1), 4, if(ISBLANK('2025'!$R364), 0, 1), 5, if(ISBLANK('2025'!$S364), 0, 1), 6, if(ISBLANK('2025'!$T364), 0, 1), 7, 0))), 1, "")</f>
        <v/>
      </c>
      <c r="AP400" s="1" t="str">
        <f>IF(AND(AND(AND(AP$4&gt;='2025'!$L364,AP$4&lt;='2025'!$M364), AP$4&lt;&gt;DATE(2025,7,4)), (SWITCH(weekday(AP$4), 1, 0, 2, if(ISBLANK('2025'!$P364), 0, 1), 3, if(ISBLANK('2025'!$Q364), 0, 1), 4, if(ISBLANK('2025'!$R364), 0, 1), 5, if(ISBLANK('2025'!$S364), 0, 1), 6, if(ISBLANK('2025'!$T364), 0, 1), 7, 0))), 1, "")</f>
        <v/>
      </c>
      <c r="AQ400" s="1" t="str">
        <f>IF(AND(AND(AND(AQ$4&gt;='2025'!$L364,AQ$4&lt;='2025'!$M364), AQ$4&lt;&gt;DATE(2025,7,4)), (SWITCH(weekday(AQ$4), 1, 0, 2, if(ISBLANK('2025'!$P364), 0, 1), 3, if(ISBLANK('2025'!$Q364), 0, 1), 4, if(ISBLANK('2025'!$R364), 0, 1), 5, if(ISBLANK('2025'!$S364), 0, 1), 6, if(ISBLANK('2025'!$T364), 0, 1), 7, 0))), 1, "")</f>
        <v/>
      </c>
      <c r="AR400" s="1" t="str">
        <f>IF(AND(AND(AND(AR$4&gt;='2025'!$L364,AR$4&lt;='2025'!$M364), AR$4&lt;&gt;DATE(2025,7,4)), (SWITCH(weekday(AR$4), 1, 0, 2, if(ISBLANK('2025'!$P364), 0, 1), 3, if(ISBLANK('2025'!$Q364), 0, 1), 4, if(ISBLANK('2025'!$R364), 0, 1), 5, if(ISBLANK('2025'!$S364), 0, 1), 6, if(ISBLANK('2025'!$T364), 0, 1), 7, 0))), 1, "")</f>
        <v/>
      </c>
      <c r="AS400" s="1" t="str">
        <f>IF(AND(AND(AND(AS$4&gt;='2025'!$L364,AS$4&lt;='2025'!$M364), AS$4&lt;&gt;DATE(2025,7,4)), (SWITCH(weekday(AS$4), 1, 0, 2, if(ISBLANK('2025'!$P364), 0, 1), 3, if(ISBLANK('2025'!$Q364), 0, 1), 4, if(ISBLANK('2025'!$R364), 0, 1), 5, if(ISBLANK('2025'!$S364), 0, 1), 6, if(ISBLANK('2025'!$T364), 0, 1), 7, 0))), 1, "")</f>
        <v/>
      </c>
      <c r="AT400" s="1" t="str">
        <f>IF(AND(AND(AND(AT$4&gt;='2025'!$L364,AT$4&lt;='2025'!$M364), AT$4&lt;&gt;DATE(2025,7,4)), (SWITCH(weekday(AT$4), 1, 0, 2, if(ISBLANK('2025'!$P364), 0, 1), 3, if(ISBLANK('2025'!$Q364), 0, 1), 4, if(ISBLANK('2025'!$R364), 0, 1), 5, if(ISBLANK('2025'!$S364), 0, 1), 6, if(ISBLANK('2025'!$T364), 0, 1), 7, 0))), 1, "")</f>
        <v/>
      </c>
      <c r="AU400" s="1" t="str">
        <f>IF(AND(AND(AND(AU$4&gt;='2025'!$L364,AU$4&lt;='2025'!$M364), AU$4&lt;&gt;DATE(2025,7,4)), (SWITCH(weekday(AU$4), 1, 0, 2, if(ISBLANK('2025'!$P364), 0, 1), 3, if(ISBLANK('2025'!$Q364), 0, 1), 4, if(ISBLANK('2025'!$R364), 0, 1), 5, if(ISBLANK('2025'!$S364), 0, 1), 6, if(ISBLANK('2025'!$T364), 0, 1), 7, 0))), 1, "")</f>
        <v/>
      </c>
      <c r="AV400" s="1" t="str">
        <f>IF(AND(AND(AND(AV$4&gt;='2025'!$L364,AV$4&lt;='2025'!$M364), AV$4&lt;&gt;DATE(2025,7,4)), (SWITCH(weekday(AV$4), 1, 0, 2, if(ISBLANK('2025'!$P364), 0, 1), 3, if(ISBLANK('2025'!$Q364), 0, 1), 4, if(ISBLANK('2025'!$R364), 0, 1), 5, if(ISBLANK('2025'!$S364), 0, 1), 6, if(ISBLANK('2025'!$T364), 0, 1), 7, 0))), 1, "")</f>
        <v/>
      </c>
      <c r="AW400" s="1" t="str">
        <f>IF(AND(AND(AND(AW$4&gt;='2025'!$L364,AW$4&lt;='2025'!$M364), AW$4&lt;&gt;DATE(2025,7,4)), (SWITCH(weekday(AW$4), 1, 0, 2, if(ISBLANK('2025'!$P364), 0, 1), 3, if(ISBLANK('2025'!$Q364), 0, 1), 4, if(ISBLANK('2025'!$R364), 0, 1), 5, if(ISBLANK('2025'!$S364), 0, 1), 6, if(ISBLANK('2025'!$T364), 0, 1), 7, 0))), 1, "")</f>
        <v/>
      </c>
      <c r="AX400" s="1" t="str">
        <f>IF(AND(AND(AND(AX$4&gt;='2025'!$L364,AX$4&lt;='2025'!$M364), AX$4&lt;&gt;DATE(2025,7,4)), (SWITCH(weekday(AX$4), 1, 0, 2, if(ISBLANK('2025'!$P364), 0, 1), 3, if(ISBLANK('2025'!$Q364), 0, 1), 4, if(ISBLANK('2025'!$R364), 0, 1), 5, if(ISBLANK('2025'!$S364), 0, 1), 6, if(ISBLANK('2025'!$T364), 0, 1), 7, 0))), 1, "")</f>
        <v/>
      </c>
      <c r="AY400" s="1" t="str">
        <f>IF(AND(AND(AND(AY$4&gt;='2025'!$L364,AY$4&lt;='2025'!$M364), AY$4&lt;&gt;DATE(2025,7,4)), (SWITCH(weekday(AY$4), 1, 0, 2, if(ISBLANK('2025'!$P364), 0, 1), 3, if(ISBLANK('2025'!$Q364), 0, 1), 4, if(ISBLANK('2025'!$R364), 0, 1), 5, if(ISBLANK('2025'!$S364), 0, 1), 6, if(ISBLANK('2025'!$T364), 0, 1), 7, 0))), 1, "")</f>
        <v/>
      </c>
      <c r="AZ400" s="1" t="str">
        <f>IF(AND(AND(AND(AZ$4&gt;='2025'!$L364,AZ$4&lt;='2025'!$M364), AZ$4&lt;&gt;DATE(2025,7,4)), (SWITCH(weekday(AZ$4), 1, 0, 2, if(ISBLANK('2025'!$P364), 0, 1), 3, if(ISBLANK('2025'!$Q364), 0, 1), 4, if(ISBLANK('2025'!$R364), 0, 1), 5, if(ISBLANK('2025'!$S364), 0, 1), 6, if(ISBLANK('2025'!$T364), 0, 1), 7, 0))), 1, "")</f>
        <v/>
      </c>
      <c r="BA400" s="1" t="str">
        <f>IF(AND(AND(AND(BA$4&gt;='2025'!$L364,BA$4&lt;='2025'!$M364), BA$4&lt;&gt;DATE(2025,7,4)), (SWITCH(weekday(BA$4), 1, 0, 2, if(ISBLANK('2025'!$P364), 0, 1), 3, if(ISBLANK('2025'!$Q364), 0, 1), 4, if(ISBLANK('2025'!$R364), 0, 1), 5, if(ISBLANK('2025'!$S364), 0, 1), 6, if(ISBLANK('2025'!$T364), 0, 1), 7, 0))), 1, "")</f>
        <v/>
      </c>
      <c r="BB400" s="1" t="str">
        <f>IF(AND(AND(AND(BB$4&gt;='2025'!$L364,BB$4&lt;='2025'!$M364), BB$4&lt;&gt;DATE(2025,7,4)), (SWITCH(weekday(BB$4), 1, 0, 2, if(ISBLANK('2025'!$P364), 0, 1), 3, if(ISBLANK('2025'!$Q364), 0, 1), 4, if(ISBLANK('2025'!$R364), 0, 1), 5, if(ISBLANK('2025'!$S364), 0, 1), 6, if(ISBLANK('2025'!$T364), 0, 1), 7, 0))), 1, "")</f>
        <v/>
      </c>
      <c r="BC400" s="1" t="str">
        <f>IF(AND(AND(AND(BC$4&gt;='2025'!$L364,BC$4&lt;='2025'!$M364), BC$4&lt;&gt;DATE(2025,7,4)), (SWITCH(weekday(BC$4), 1, 0, 2, if(ISBLANK('2025'!$P364), 0, 1), 3, if(ISBLANK('2025'!$Q364), 0, 1), 4, if(ISBLANK('2025'!$R364), 0, 1), 5, if(ISBLANK('2025'!$S364), 0, 1), 6, if(ISBLANK('2025'!$T364), 0, 1), 7, 0))), 1, "")</f>
        <v/>
      </c>
      <c r="BD400" s="1" t="str">
        <f>IF(AND(AND(AND(BD$4&gt;='2025'!$L364,BD$4&lt;='2025'!$M364), BD$4&lt;&gt;DATE(2025,7,4)), (SWITCH(weekday(BD$4), 1, 0, 2, if(ISBLANK('2025'!$P364), 0, 1), 3, if(ISBLANK('2025'!$Q364), 0, 1), 4, if(ISBLANK('2025'!$R364), 0, 1), 5, if(ISBLANK('2025'!$S364), 0, 1), 6, if(ISBLANK('2025'!$T364), 0, 1), 7, 0))), 1, "")</f>
        <v/>
      </c>
      <c r="BE400" s="1" t="str">
        <f>IF(AND(AND(AND(BE$4&gt;='2025'!$L364,BE$4&lt;='2025'!$M364), BE$4&lt;&gt;DATE(2025,7,4)), (SWITCH(weekday(BE$4), 1, 0, 2, if(ISBLANK('2025'!$P364), 0, 1), 3, if(ISBLANK('2025'!$Q364), 0, 1), 4, if(ISBLANK('2025'!$R364), 0, 1), 5, if(ISBLANK('2025'!$S364), 0, 1), 6, if(ISBLANK('2025'!$T364), 0, 1), 7, 0))), 1, "")</f>
        <v/>
      </c>
    </row>
    <row r="401">
      <c r="A401" s="1">
        <f t="shared" si="3"/>
        <v>401</v>
      </c>
      <c r="B401" s="1" t="str">
        <f>'2025'!D365</f>
        <v/>
      </c>
      <c r="C401" s="1" t="str">
        <f>'2025'!H365</f>
        <v/>
      </c>
      <c r="D401" s="1" t="str">
        <f>IF(AND(AND(AND(D$4&gt;='2025'!$L365,D$4&lt;='2025'!$M365), D$4&lt;&gt;DATE(2025,7,4)), (SWITCH(weekday(D$4), 1, 0, 2, if(ISBLANK('2025'!$P365), 0, 1), 3, if(ISBLANK('2025'!$Q365), 0, 1), 4, if(ISBLANK('2025'!$R365), 0, 1), 5, if(ISBLANK('2025'!$S365), 0, 1), 6, if(ISBLANK('2025'!$T365), 0, 1), 7, 0))), 1, "")</f>
        <v/>
      </c>
      <c r="E401" s="1" t="str">
        <f>IF(AND(AND(AND(E$4&gt;='2025'!$L365,E$4&lt;='2025'!$M365), E$4&lt;&gt;DATE(2025,7,4)), (SWITCH(weekday(E$4), 1, 0, 2, if(ISBLANK('2025'!$P365), 0, 1), 3, if(ISBLANK('2025'!$Q365), 0, 1), 4, if(ISBLANK('2025'!$R365), 0, 1), 5, if(ISBLANK('2025'!$S365), 0, 1), 6, if(ISBLANK('2025'!$T365), 0, 1), 7, 0))), 1, "")</f>
        <v/>
      </c>
      <c r="F401" s="1" t="str">
        <f>IF(AND(AND(AND(F$4&gt;='2025'!$L365,F$4&lt;='2025'!$M365), F$4&lt;&gt;DATE(2025,7,4)), (SWITCH(weekday(F$4), 1, 0, 2, if(ISBLANK('2025'!$P365), 0, 1), 3, if(ISBLANK('2025'!$Q365), 0, 1), 4, if(ISBLANK('2025'!$R365), 0, 1), 5, if(ISBLANK('2025'!$S365), 0, 1), 6, if(ISBLANK('2025'!$T365), 0, 1), 7, 0))), 1, "")</f>
        <v/>
      </c>
      <c r="G401" s="1" t="str">
        <f>IF(AND(AND(AND(G$4&gt;='2025'!$L365,G$4&lt;='2025'!$M365), G$4&lt;&gt;DATE(2025,7,4)), (SWITCH(weekday(G$4), 1, 0, 2, if(ISBLANK('2025'!$P365), 0, 1), 3, if(ISBLANK('2025'!$Q365), 0, 1), 4, if(ISBLANK('2025'!$R365), 0, 1), 5, if(ISBLANK('2025'!$S365), 0, 1), 6, if(ISBLANK('2025'!$T365), 0, 1), 7, 0))), 1, "")</f>
        <v/>
      </c>
      <c r="H401" s="1" t="str">
        <f>IF(AND(AND(AND(H$4&gt;='2025'!$L365,H$4&lt;='2025'!$M365), H$4&lt;&gt;DATE(2025,7,4)), (SWITCH(weekday(H$4), 1, 0, 2, if(ISBLANK('2025'!$P365), 0, 1), 3, if(ISBLANK('2025'!$Q365), 0, 1), 4, if(ISBLANK('2025'!$R365), 0, 1), 5, if(ISBLANK('2025'!$S365), 0, 1), 6, if(ISBLANK('2025'!$T365), 0, 1), 7, 0))), 1, "")</f>
        <v/>
      </c>
      <c r="I401" s="1" t="str">
        <f>IF(AND(AND(AND(I$4&gt;='2025'!$L365,I$4&lt;='2025'!$M365), I$4&lt;&gt;DATE(2025,7,4)), (SWITCH(weekday(I$4), 1, 0, 2, if(ISBLANK('2025'!$P365), 0, 1), 3, if(ISBLANK('2025'!$Q365), 0, 1), 4, if(ISBLANK('2025'!$R365), 0, 1), 5, if(ISBLANK('2025'!$S365), 0, 1), 6, if(ISBLANK('2025'!$T365), 0, 1), 7, 0))), 1, "")</f>
        <v/>
      </c>
      <c r="J401" s="1" t="str">
        <f>IF(AND(AND(AND(J$4&gt;='2025'!$L365,J$4&lt;='2025'!$M365), J$4&lt;&gt;DATE(2025,7,4)), (SWITCH(weekday(J$4), 1, 0, 2, if(ISBLANK('2025'!$P365), 0, 1), 3, if(ISBLANK('2025'!$Q365), 0, 1), 4, if(ISBLANK('2025'!$R365), 0, 1), 5, if(ISBLANK('2025'!$S365), 0, 1), 6, if(ISBLANK('2025'!$T365), 0, 1), 7, 0))), 1, "")</f>
        <v/>
      </c>
      <c r="K401" s="1" t="str">
        <f>IF(AND(AND(AND(K$4&gt;='2025'!$L365,K$4&lt;='2025'!$M365), K$4&lt;&gt;DATE(2025,7,4)), (SWITCH(weekday(K$4), 1, 0, 2, if(ISBLANK('2025'!$P365), 0, 1), 3, if(ISBLANK('2025'!$Q365), 0, 1), 4, if(ISBLANK('2025'!$R365), 0, 1), 5, if(ISBLANK('2025'!$S365), 0, 1), 6, if(ISBLANK('2025'!$T365), 0, 1), 7, 0))), 1, "")</f>
        <v/>
      </c>
      <c r="L401" s="1" t="str">
        <f>IF(AND(AND(AND(L$4&gt;='2025'!$L365,L$4&lt;='2025'!$M365), L$4&lt;&gt;DATE(2025,7,4)), (SWITCH(weekday(L$4), 1, 0, 2, if(ISBLANK('2025'!$P365), 0, 1), 3, if(ISBLANK('2025'!$Q365), 0, 1), 4, if(ISBLANK('2025'!$R365), 0, 1), 5, if(ISBLANK('2025'!$S365), 0, 1), 6, if(ISBLANK('2025'!$T365), 0, 1), 7, 0))), 1, "")</f>
        <v/>
      </c>
      <c r="M401" s="1" t="str">
        <f>IF(AND(AND(AND(M$4&gt;='2025'!$L365,M$4&lt;='2025'!$M365), M$4&lt;&gt;DATE(2025,7,4)), (SWITCH(weekday(M$4), 1, 0, 2, if(ISBLANK('2025'!$P365), 0, 1), 3, if(ISBLANK('2025'!$Q365), 0, 1), 4, if(ISBLANK('2025'!$R365), 0, 1), 5, if(ISBLANK('2025'!$S365), 0, 1), 6, if(ISBLANK('2025'!$T365), 0, 1), 7, 0))), 1, "")</f>
        <v/>
      </c>
      <c r="N401" s="1" t="str">
        <f>IF(AND(AND(AND(N$4&gt;='2025'!$L365,N$4&lt;='2025'!$M365), N$4&lt;&gt;DATE(2025,7,4)), (SWITCH(weekday(N$4), 1, 0, 2, if(ISBLANK('2025'!$P365), 0, 1), 3, if(ISBLANK('2025'!$Q365), 0, 1), 4, if(ISBLANK('2025'!$R365), 0, 1), 5, if(ISBLANK('2025'!$S365), 0, 1), 6, if(ISBLANK('2025'!$T365), 0, 1), 7, 0))), 1, "")</f>
        <v/>
      </c>
      <c r="O401" s="1" t="str">
        <f>IF(AND(AND(AND(O$4&gt;='2025'!$L365,O$4&lt;='2025'!$M365), O$4&lt;&gt;DATE(2025,7,4)), (SWITCH(weekday(O$4), 1, 0, 2, if(ISBLANK('2025'!$P365), 0, 1), 3, if(ISBLANK('2025'!$Q365), 0, 1), 4, if(ISBLANK('2025'!$R365), 0, 1), 5, if(ISBLANK('2025'!$S365), 0, 1), 6, if(ISBLANK('2025'!$T365), 0, 1), 7, 0))), 1, "")</f>
        <v/>
      </c>
      <c r="P401" s="1" t="str">
        <f>IF(AND(AND(AND(P$4&gt;='2025'!$L365,P$4&lt;='2025'!$M365), P$4&lt;&gt;DATE(2025,7,4)), (SWITCH(weekday(P$4), 1, 0, 2, if(ISBLANK('2025'!$P365), 0, 1), 3, if(ISBLANK('2025'!$Q365), 0, 1), 4, if(ISBLANK('2025'!$R365), 0, 1), 5, if(ISBLANK('2025'!$S365), 0, 1), 6, if(ISBLANK('2025'!$T365), 0, 1), 7, 0))), 1, "")</f>
        <v/>
      </c>
      <c r="Q401" s="1" t="str">
        <f>IF(AND(AND(AND(Q$4&gt;='2025'!$L365,Q$4&lt;='2025'!$M365), Q$4&lt;&gt;DATE(2025,7,4)), (SWITCH(weekday(Q$4), 1, 0, 2, if(ISBLANK('2025'!$P365), 0, 1), 3, if(ISBLANK('2025'!$Q365), 0, 1), 4, if(ISBLANK('2025'!$R365), 0, 1), 5, if(ISBLANK('2025'!$S365), 0, 1), 6, if(ISBLANK('2025'!$T365), 0, 1), 7, 0))), 1, "")</f>
        <v/>
      </c>
      <c r="R401" s="1" t="str">
        <f>IF(AND(AND(AND(R$4&gt;='2025'!$L365,R$4&lt;='2025'!$M365), R$4&lt;&gt;DATE(2025,7,4)), (SWITCH(weekday(R$4), 1, 0, 2, if(ISBLANK('2025'!$P365), 0, 1), 3, if(ISBLANK('2025'!$Q365), 0, 1), 4, if(ISBLANK('2025'!$R365), 0, 1), 5, if(ISBLANK('2025'!$S365), 0, 1), 6, if(ISBLANK('2025'!$T365), 0, 1), 7, 0))), 1, "")</f>
        <v/>
      </c>
      <c r="S401" s="1" t="str">
        <f>IF(AND(AND(AND(S$4&gt;='2025'!$L365,S$4&lt;='2025'!$M365), S$4&lt;&gt;DATE(2025,7,4)), (SWITCH(weekday(S$4), 1, 0, 2, if(ISBLANK('2025'!$P365), 0, 1), 3, if(ISBLANK('2025'!$Q365), 0, 1), 4, if(ISBLANK('2025'!$R365), 0, 1), 5, if(ISBLANK('2025'!$S365), 0, 1), 6, if(ISBLANK('2025'!$T365), 0, 1), 7, 0))), 1, "")</f>
        <v/>
      </c>
      <c r="T401" s="1" t="str">
        <f>IF(AND(AND(AND(T$4&gt;='2025'!$L365,T$4&lt;='2025'!$M365), T$4&lt;&gt;DATE(2025,7,4)), (SWITCH(weekday(T$4), 1, 0, 2, if(ISBLANK('2025'!$P365), 0, 1), 3, if(ISBLANK('2025'!$Q365), 0, 1), 4, if(ISBLANK('2025'!$R365), 0, 1), 5, if(ISBLANK('2025'!$S365), 0, 1), 6, if(ISBLANK('2025'!$T365), 0, 1), 7, 0))), 1, "")</f>
        <v/>
      </c>
      <c r="U401" s="1" t="str">
        <f>IF(AND(AND(AND(U$4&gt;='2025'!$L365,U$4&lt;='2025'!$M365), U$4&lt;&gt;DATE(2025,7,4)), (SWITCH(weekday(U$4), 1, 0, 2, if(ISBLANK('2025'!$P365), 0, 1), 3, if(ISBLANK('2025'!$Q365), 0, 1), 4, if(ISBLANK('2025'!$R365), 0, 1), 5, if(ISBLANK('2025'!$S365), 0, 1), 6, if(ISBLANK('2025'!$T365), 0, 1), 7, 0))), 1, "")</f>
        <v/>
      </c>
      <c r="V401" s="1" t="str">
        <f>IF(AND(AND(AND(V$4&gt;='2025'!$L365,V$4&lt;='2025'!$M365), V$4&lt;&gt;DATE(2025,7,4)), (SWITCH(weekday(V$4), 1, 0, 2, if(ISBLANK('2025'!$P365), 0, 1), 3, if(ISBLANK('2025'!$Q365), 0, 1), 4, if(ISBLANK('2025'!$R365), 0, 1), 5, if(ISBLANK('2025'!$S365), 0, 1), 6, if(ISBLANK('2025'!$T365), 0, 1), 7, 0))), 1, "")</f>
        <v/>
      </c>
      <c r="W401" s="1" t="str">
        <f>IF(AND(AND(AND(W$4&gt;='2025'!$L365,W$4&lt;='2025'!$M365), W$4&lt;&gt;DATE(2025,7,4)), (SWITCH(weekday(W$4), 1, 0, 2, if(ISBLANK('2025'!$P365), 0, 1), 3, if(ISBLANK('2025'!$Q365), 0, 1), 4, if(ISBLANK('2025'!$R365), 0, 1), 5, if(ISBLANK('2025'!$S365), 0, 1), 6, if(ISBLANK('2025'!$T365), 0, 1), 7, 0))), 1, "")</f>
        <v/>
      </c>
      <c r="X401" s="1" t="str">
        <f>IF(AND(AND(AND(X$4&gt;='2025'!$L365,X$4&lt;='2025'!$M365), X$4&lt;&gt;DATE(2025,7,4)), (SWITCH(weekday(X$4), 1, 0, 2, if(ISBLANK('2025'!$P365), 0, 1), 3, if(ISBLANK('2025'!$Q365), 0, 1), 4, if(ISBLANK('2025'!$R365), 0, 1), 5, if(ISBLANK('2025'!$S365), 0, 1), 6, if(ISBLANK('2025'!$T365), 0, 1), 7, 0))), 1, "")</f>
        <v/>
      </c>
      <c r="Y401" s="1" t="str">
        <f>IF(AND(AND(AND(Y$4&gt;='2025'!$L365,Y$4&lt;='2025'!$M365), Y$4&lt;&gt;DATE(2025,7,4)), (SWITCH(weekday(Y$4), 1, 0, 2, if(ISBLANK('2025'!$P365), 0, 1), 3, if(ISBLANK('2025'!$Q365), 0, 1), 4, if(ISBLANK('2025'!$R365), 0, 1), 5, if(ISBLANK('2025'!$S365), 0, 1), 6, if(ISBLANK('2025'!$T365), 0, 1), 7, 0))), 1, "")</f>
        <v/>
      </c>
      <c r="Z401" s="1" t="str">
        <f>IF(AND(AND(AND(Z$4&gt;='2025'!$L365,Z$4&lt;='2025'!$M365), Z$4&lt;&gt;DATE(2025,7,4)), (SWITCH(weekday(Z$4), 1, 0, 2, if(ISBLANK('2025'!$P365), 0, 1), 3, if(ISBLANK('2025'!$Q365), 0, 1), 4, if(ISBLANK('2025'!$R365), 0, 1), 5, if(ISBLANK('2025'!$S365), 0, 1), 6, if(ISBLANK('2025'!$T365), 0, 1), 7, 0))), 1, "")</f>
        <v/>
      </c>
      <c r="AA401" s="1" t="str">
        <f>IF(AND(AND(AND(AA$4&gt;='2025'!$L365,AA$4&lt;='2025'!$M365), AA$4&lt;&gt;DATE(2025,7,4)), (SWITCH(weekday(AA$4), 1, 0, 2, if(ISBLANK('2025'!$P365), 0, 1), 3, if(ISBLANK('2025'!$Q365), 0, 1), 4, if(ISBLANK('2025'!$R365), 0, 1), 5, if(ISBLANK('2025'!$S365), 0, 1), 6, if(ISBLANK('2025'!$T365), 0, 1), 7, 0))), 1, "")</f>
        <v/>
      </c>
      <c r="AB401" s="1" t="str">
        <f>IF(AND(AND(AND(AB$4&gt;='2025'!$L365,AB$4&lt;='2025'!$M365), AB$4&lt;&gt;DATE(2025,7,4)), (SWITCH(weekday(AB$4), 1, 0, 2, if(ISBLANK('2025'!$P365), 0, 1), 3, if(ISBLANK('2025'!$Q365), 0, 1), 4, if(ISBLANK('2025'!$R365), 0, 1), 5, if(ISBLANK('2025'!$S365), 0, 1), 6, if(ISBLANK('2025'!$T365), 0, 1), 7, 0))), 1, "")</f>
        <v/>
      </c>
      <c r="AC401" s="1" t="str">
        <f>IF(AND(AND(AND(AC$4&gt;='2025'!$L365,AC$4&lt;='2025'!$M365), AC$4&lt;&gt;DATE(2025,7,4)), (SWITCH(weekday(AC$4), 1, 0, 2, if(ISBLANK('2025'!$P365), 0, 1), 3, if(ISBLANK('2025'!$Q365), 0, 1), 4, if(ISBLANK('2025'!$R365), 0, 1), 5, if(ISBLANK('2025'!$S365), 0, 1), 6, if(ISBLANK('2025'!$T365), 0, 1), 7, 0))), 1, "")</f>
        <v/>
      </c>
      <c r="AD401" s="1" t="str">
        <f>IF(AND(AND(AND(AD$4&gt;='2025'!$L365,AD$4&lt;='2025'!$M365), AD$4&lt;&gt;DATE(2025,7,4)), (SWITCH(weekday(AD$4), 1, 0, 2, if(ISBLANK('2025'!$P365), 0, 1), 3, if(ISBLANK('2025'!$Q365), 0, 1), 4, if(ISBLANK('2025'!$R365), 0, 1), 5, if(ISBLANK('2025'!$S365), 0, 1), 6, if(ISBLANK('2025'!$T365), 0, 1), 7, 0))), 1, "")</f>
        <v/>
      </c>
      <c r="AE401" s="1" t="str">
        <f>IF(AND(AND(AND(AE$4&gt;='2025'!$L365,AE$4&lt;='2025'!$M365), AE$4&lt;&gt;DATE(2025,7,4)), (SWITCH(weekday(AE$4), 1, 0, 2, if(ISBLANK('2025'!$P365), 0, 1), 3, if(ISBLANK('2025'!$Q365), 0, 1), 4, if(ISBLANK('2025'!$R365), 0, 1), 5, if(ISBLANK('2025'!$S365), 0, 1), 6, if(ISBLANK('2025'!$T365), 0, 1), 7, 0))), 1, "")</f>
        <v/>
      </c>
      <c r="AF401" s="1" t="str">
        <f>IF(AND(AND(AND(AF$4&gt;='2025'!$L365,AF$4&lt;='2025'!$M365), AF$4&lt;&gt;DATE(2025,7,4)), (SWITCH(weekday(AF$4), 1, 0, 2, if(ISBLANK('2025'!$P365), 0, 1), 3, if(ISBLANK('2025'!$Q365), 0, 1), 4, if(ISBLANK('2025'!$R365), 0, 1), 5, if(ISBLANK('2025'!$S365), 0, 1), 6, if(ISBLANK('2025'!$T365), 0, 1), 7, 0))), 1, "")</f>
        <v/>
      </c>
      <c r="AG401" s="1" t="str">
        <f>IF(AND(AND(AND(AG$4&gt;='2025'!$L365,AG$4&lt;='2025'!$M365), AG$4&lt;&gt;DATE(2025,7,4)), (SWITCH(weekday(AG$4), 1, 0, 2, if(ISBLANK('2025'!$P365), 0, 1), 3, if(ISBLANK('2025'!$Q365), 0, 1), 4, if(ISBLANK('2025'!$R365), 0, 1), 5, if(ISBLANK('2025'!$S365), 0, 1), 6, if(ISBLANK('2025'!$T365), 0, 1), 7, 0))), 1, "")</f>
        <v/>
      </c>
      <c r="AH401" s="1" t="str">
        <f>IF(AND(AND(AND(AH$4&gt;='2025'!$L365,AH$4&lt;='2025'!$M365), AH$4&lt;&gt;DATE(2025,7,4)), (SWITCH(weekday(AH$4), 1, 0, 2, if(ISBLANK('2025'!$P365), 0, 1), 3, if(ISBLANK('2025'!$Q365), 0, 1), 4, if(ISBLANK('2025'!$R365), 0, 1), 5, if(ISBLANK('2025'!$S365), 0, 1), 6, if(ISBLANK('2025'!$T365), 0, 1), 7, 0))), 1, "")</f>
        <v/>
      </c>
      <c r="AI401" s="1" t="str">
        <f>IF(AND(AND(AND(AI$4&gt;='2025'!$L365,AI$4&lt;='2025'!$M365), AI$4&lt;&gt;DATE(2025,7,4)), (SWITCH(weekday(AI$4), 1, 0, 2, if(ISBLANK('2025'!$P365), 0, 1), 3, if(ISBLANK('2025'!$Q365), 0, 1), 4, if(ISBLANK('2025'!$R365), 0, 1), 5, if(ISBLANK('2025'!$S365), 0, 1), 6, if(ISBLANK('2025'!$T365), 0, 1), 7, 0))), 1, "")</f>
        <v/>
      </c>
      <c r="AJ401" s="1" t="str">
        <f>IF(AND(AND(AND(AJ$4&gt;='2025'!$L365,AJ$4&lt;='2025'!$M365), AJ$4&lt;&gt;DATE(2025,7,4)), (SWITCH(weekday(AJ$4), 1, 0, 2, if(ISBLANK('2025'!$P365), 0, 1), 3, if(ISBLANK('2025'!$Q365), 0, 1), 4, if(ISBLANK('2025'!$R365), 0, 1), 5, if(ISBLANK('2025'!$S365), 0, 1), 6, if(ISBLANK('2025'!$T365), 0, 1), 7, 0))), 1, "")</f>
        <v/>
      </c>
      <c r="AK401" s="1" t="str">
        <f>IF(AND(AND(AND(AK$4&gt;='2025'!$L365,AK$4&lt;='2025'!$M365), AK$4&lt;&gt;DATE(2025,7,4)), (SWITCH(weekday(AK$4), 1, 0, 2, if(ISBLANK('2025'!$P365), 0, 1), 3, if(ISBLANK('2025'!$Q365), 0, 1), 4, if(ISBLANK('2025'!$R365), 0, 1), 5, if(ISBLANK('2025'!$S365), 0, 1), 6, if(ISBLANK('2025'!$T365), 0, 1), 7, 0))), 1, "")</f>
        <v/>
      </c>
      <c r="AL401" s="1" t="str">
        <f>IF(AND(AND(AND(AL$4&gt;='2025'!$L365,AL$4&lt;='2025'!$M365), AL$4&lt;&gt;DATE(2025,7,4)), (SWITCH(weekday(AL$4), 1, 0, 2, if(ISBLANK('2025'!$P365), 0, 1), 3, if(ISBLANK('2025'!$Q365), 0, 1), 4, if(ISBLANK('2025'!$R365), 0, 1), 5, if(ISBLANK('2025'!$S365), 0, 1), 6, if(ISBLANK('2025'!$T365), 0, 1), 7, 0))), 1, "")</f>
        <v/>
      </c>
      <c r="AM401" s="1" t="str">
        <f>IF(AND(AND(AND(AM$4&gt;='2025'!$L365,AM$4&lt;='2025'!$M365), AM$4&lt;&gt;DATE(2025,7,4)), (SWITCH(weekday(AM$4), 1, 0, 2, if(ISBLANK('2025'!$P365), 0, 1), 3, if(ISBLANK('2025'!$Q365), 0, 1), 4, if(ISBLANK('2025'!$R365), 0, 1), 5, if(ISBLANK('2025'!$S365), 0, 1), 6, if(ISBLANK('2025'!$T365), 0, 1), 7, 0))), 1, "")</f>
        <v/>
      </c>
      <c r="AN401" s="1" t="str">
        <f>IF(AND(AND(AND(AN$4&gt;='2025'!$L365,AN$4&lt;='2025'!$M365), AN$4&lt;&gt;DATE(2025,7,4)), (SWITCH(weekday(AN$4), 1, 0, 2, if(ISBLANK('2025'!$P365), 0, 1), 3, if(ISBLANK('2025'!$Q365), 0, 1), 4, if(ISBLANK('2025'!$R365), 0, 1), 5, if(ISBLANK('2025'!$S365), 0, 1), 6, if(ISBLANK('2025'!$T365), 0, 1), 7, 0))), 1, "")</f>
        <v/>
      </c>
      <c r="AO401" s="1" t="str">
        <f>IF(AND(AND(AND(AO$4&gt;='2025'!$L365,AO$4&lt;='2025'!$M365), AO$4&lt;&gt;DATE(2025,7,4)), (SWITCH(weekday(AO$4), 1, 0, 2, if(ISBLANK('2025'!$P365), 0, 1), 3, if(ISBLANK('2025'!$Q365), 0, 1), 4, if(ISBLANK('2025'!$R365), 0, 1), 5, if(ISBLANK('2025'!$S365), 0, 1), 6, if(ISBLANK('2025'!$T365), 0, 1), 7, 0))), 1, "")</f>
        <v/>
      </c>
      <c r="AP401" s="1" t="str">
        <f>IF(AND(AND(AND(AP$4&gt;='2025'!$L365,AP$4&lt;='2025'!$M365), AP$4&lt;&gt;DATE(2025,7,4)), (SWITCH(weekday(AP$4), 1, 0, 2, if(ISBLANK('2025'!$P365), 0, 1), 3, if(ISBLANK('2025'!$Q365), 0, 1), 4, if(ISBLANK('2025'!$R365), 0, 1), 5, if(ISBLANK('2025'!$S365), 0, 1), 6, if(ISBLANK('2025'!$T365), 0, 1), 7, 0))), 1, "")</f>
        <v/>
      </c>
      <c r="AQ401" s="1" t="str">
        <f>IF(AND(AND(AND(AQ$4&gt;='2025'!$L365,AQ$4&lt;='2025'!$M365), AQ$4&lt;&gt;DATE(2025,7,4)), (SWITCH(weekday(AQ$4), 1, 0, 2, if(ISBLANK('2025'!$P365), 0, 1), 3, if(ISBLANK('2025'!$Q365), 0, 1), 4, if(ISBLANK('2025'!$R365), 0, 1), 5, if(ISBLANK('2025'!$S365), 0, 1), 6, if(ISBLANK('2025'!$T365), 0, 1), 7, 0))), 1, "")</f>
        <v/>
      </c>
      <c r="AR401" s="1" t="str">
        <f>IF(AND(AND(AND(AR$4&gt;='2025'!$L365,AR$4&lt;='2025'!$M365), AR$4&lt;&gt;DATE(2025,7,4)), (SWITCH(weekday(AR$4), 1, 0, 2, if(ISBLANK('2025'!$P365), 0, 1), 3, if(ISBLANK('2025'!$Q365), 0, 1), 4, if(ISBLANK('2025'!$R365), 0, 1), 5, if(ISBLANK('2025'!$S365), 0, 1), 6, if(ISBLANK('2025'!$T365), 0, 1), 7, 0))), 1, "")</f>
        <v/>
      </c>
      <c r="AS401" s="1" t="str">
        <f>IF(AND(AND(AND(AS$4&gt;='2025'!$L365,AS$4&lt;='2025'!$M365), AS$4&lt;&gt;DATE(2025,7,4)), (SWITCH(weekday(AS$4), 1, 0, 2, if(ISBLANK('2025'!$P365), 0, 1), 3, if(ISBLANK('2025'!$Q365), 0, 1), 4, if(ISBLANK('2025'!$R365), 0, 1), 5, if(ISBLANK('2025'!$S365), 0, 1), 6, if(ISBLANK('2025'!$T365), 0, 1), 7, 0))), 1, "")</f>
        <v/>
      </c>
      <c r="AT401" s="1" t="str">
        <f>IF(AND(AND(AND(AT$4&gt;='2025'!$L365,AT$4&lt;='2025'!$M365), AT$4&lt;&gt;DATE(2025,7,4)), (SWITCH(weekday(AT$4), 1, 0, 2, if(ISBLANK('2025'!$P365), 0, 1), 3, if(ISBLANK('2025'!$Q365), 0, 1), 4, if(ISBLANK('2025'!$R365), 0, 1), 5, if(ISBLANK('2025'!$S365), 0, 1), 6, if(ISBLANK('2025'!$T365), 0, 1), 7, 0))), 1, "")</f>
        <v/>
      </c>
      <c r="AU401" s="1" t="str">
        <f>IF(AND(AND(AND(AU$4&gt;='2025'!$L365,AU$4&lt;='2025'!$M365), AU$4&lt;&gt;DATE(2025,7,4)), (SWITCH(weekday(AU$4), 1, 0, 2, if(ISBLANK('2025'!$P365), 0, 1), 3, if(ISBLANK('2025'!$Q365), 0, 1), 4, if(ISBLANK('2025'!$R365), 0, 1), 5, if(ISBLANK('2025'!$S365), 0, 1), 6, if(ISBLANK('2025'!$T365), 0, 1), 7, 0))), 1, "")</f>
        <v/>
      </c>
      <c r="AV401" s="1" t="str">
        <f>IF(AND(AND(AND(AV$4&gt;='2025'!$L365,AV$4&lt;='2025'!$M365), AV$4&lt;&gt;DATE(2025,7,4)), (SWITCH(weekday(AV$4), 1, 0, 2, if(ISBLANK('2025'!$P365), 0, 1), 3, if(ISBLANK('2025'!$Q365), 0, 1), 4, if(ISBLANK('2025'!$R365), 0, 1), 5, if(ISBLANK('2025'!$S365), 0, 1), 6, if(ISBLANK('2025'!$T365), 0, 1), 7, 0))), 1, "")</f>
        <v/>
      </c>
      <c r="AW401" s="1" t="str">
        <f>IF(AND(AND(AND(AW$4&gt;='2025'!$L365,AW$4&lt;='2025'!$M365), AW$4&lt;&gt;DATE(2025,7,4)), (SWITCH(weekday(AW$4), 1, 0, 2, if(ISBLANK('2025'!$P365), 0, 1), 3, if(ISBLANK('2025'!$Q365), 0, 1), 4, if(ISBLANK('2025'!$R365), 0, 1), 5, if(ISBLANK('2025'!$S365), 0, 1), 6, if(ISBLANK('2025'!$T365), 0, 1), 7, 0))), 1, "")</f>
        <v/>
      </c>
      <c r="AX401" s="1" t="str">
        <f>IF(AND(AND(AND(AX$4&gt;='2025'!$L365,AX$4&lt;='2025'!$M365), AX$4&lt;&gt;DATE(2025,7,4)), (SWITCH(weekday(AX$4), 1, 0, 2, if(ISBLANK('2025'!$P365), 0, 1), 3, if(ISBLANK('2025'!$Q365), 0, 1), 4, if(ISBLANK('2025'!$R365), 0, 1), 5, if(ISBLANK('2025'!$S365), 0, 1), 6, if(ISBLANK('2025'!$T365), 0, 1), 7, 0))), 1, "")</f>
        <v/>
      </c>
      <c r="AY401" s="1" t="str">
        <f>IF(AND(AND(AND(AY$4&gt;='2025'!$L365,AY$4&lt;='2025'!$M365), AY$4&lt;&gt;DATE(2025,7,4)), (SWITCH(weekday(AY$4), 1, 0, 2, if(ISBLANK('2025'!$P365), 0, 1), 3, if(ISBLANK('2025'!$Q365), 0, 1), 4, if(ISBLANK('2025'!$R365), 0, 1), 5, if(ISBLANK('2025'!$S365), 0, 1), 6, if(ISBLANK('2025'!$T365), 0, 1), 7, 0))), 1, "")</f>
        <v/>
      </c>
      <c r="AZ401" s="1" t="str">
        <f>IF(AND(AND(AND(AZ$4&gt;='2025'!$L365,AZ$4&lt;='2025'!$M365), AZ$4&lt;&gt;DATE(2025,7,4)), (SWITCH(weekday(AZ$4), 1, 0, 2, if(ISBLANK('2025'!$P365), 0, 1), 3, if(ISBLANK('2025'!$Q365), 0, 1), 4, if(ISBLANK('2025'!$R365), 0, 1), 5, if(ISBLANK('2025'!$S365), 0, 1), 6, if(ISBLANK('2025'!$T365), 0, 1), 7, 0))), 1, "")</f>
        <v/>
      </c>
      <c r="BA401" s="1" t="str">
        <f>IF(AND(AND(AND(BA$4&gt;='2025'!$L365,BA$4&lt;='2025'!$M365), BA$4&lt;&gt;DATE(2025,7,4)), (SWITCH(weekday(BA$4), 1, 0, 2, if(ISBLANK('2025'!$P365), 0, 1), 3, if(ISBLANK('2025'!$Q365), 0, 1), 4, if(ISBLANK('2025'!$R365), 0, 1), 5, if(ISBLANK('2025'!$S365), 0, 1), 6, if(ISBLANK('2025'!$T365), 0, 1), 7, 0))), 1, "")</f>
        <v/>
      </c>
      <c r="BB401" s="1" t="str">
        <f>IF(AND(AND(AND(BB$4&gt;='2025'!$L365,BB$4&lt;='2025'!$M365), BB$4&lt;&gt;DATE(2025,7,4)), (SWITCH(weekday(BB$4), 1, 0, 2, if(ISBLANK('2025'!$P365), 0, 1), 3, if(ISBLANK('2025'!$Q365), 0, 1), 4, if(ISBLANK('2025'!$R365), 0, 1), 5, if(ISBLANK('2025'!$S365), 0, 1), 6, if(ISBLANK('2025'!$T365), 0, 1), 7, 0))), 1, "")</f>
        <v/>
      </c>
      <c r="BC401" s="1" t="str">
        <f>IF(AND(AND(AND(BC$4&gt;='2025'!$L365,BC$4&lt;='2025'!$M365), BC$4&lt;&gt;DATE(2025,7,4)), (SWITCH(weekday(BC$4), 1, 0, 2, if(ISBLANK('2025'!$P365), 0, 1), 3, if(ISBLANK('2025'!$Q365), 0, 1), 4, if(ISBLANK('2025'!$R365), 0, 1), 5, if(ISBLANK('2025'!$S365), 0, 1), 6, if(ISBLANK('2025'!$T365), 0, 1), 7, 0))), 1, "")</f>
        <v/>
      </c>
      <c r="BD401" s="1" t="str">
        <f>IF(AND(AND(AND(BD$4&gt;='2025'!$L365,BD$4&lt;='2025'!$M365), BD$4&lt;&gt;DATE(2025,7,4)), (SWITCH(weekday(BD$4), 1, 0, 2, if(ISBLANK('2025'!$P365), 0, 1), 3, if(ISBLANK('2025'!$Q365), 0, 1), 4, if(ISBLANK('2025'!$R365), 0, 1), 5, if(ISBLANK('2025'!$S365), 0, 1), 6, if(ISBLANK('2025'!$T365), 0, 1), 7, 0))), 1, "")</f>
        <v/>
      </c>
      <c r="BE401" s="1" t="str">
        <f>IF(AND(AND(AND(BE$4&gt;='2025'!$L365,BE$4&lt;='2025'!$M365), BE$4&lt;&gt;DATE(2025,7,4)), (SWITCH(weekday(BE$4), 1, 0, 2, if(ISBLANK('2025'!$P365), 0, 1), 3, if(ISBLANK('2025'!$Q365), 0, 1), 4, if(ISBLANK('2025'!$R365), 0, 1), 5, if(ISBLANK('2025'!$S365), 0, 1), 6, if(ISBLANK('2025'!$T365), 0, 1), 7, 0))), 1, "")</f>
        <v/>
      </c>
    </row>
    <row r="402">
      <c r="A402" s="1">
        <f t="shared" si="3"/>
        <v>402</v>
      </c>
      <c r="B402" s="1" t="str">
        <f>'2025'!D366</f>
        <v/>
      </c>
      <c r="C402" s="1" t="str">
        <f>'2025'!H366</f>
        <v/>
      </c>
      <c r="D402" s="1" t="str">
        <f>IF(AND(AND(AND(D$4&gt;='2025'!$L366,D$4&lt;='2025'!$M366), D$4&lt;&gt;DATE(2025,7,4)), (SWITCH(weekday(D$4), 1, 0, 2, if(ISBLANK('2025'!$P366), 0, 1), 3, if(ISBLANK('2025'!$Q366), 0, 1), 4, if(ISBLANK('2025'!$R366), 0, 1), 5, if(ISBLANK('2025'!$S366), 0, 1), 6, if(ISBLANK('2025'!$T366), 0, 1), 7, 0))), 1, "")</f>
        <v/>
      </c>
      <c r="E402" s="1" t="str">
        <f>IF(AND(AND(AND(E$4&gt;='2025'!$L366,E$4&lt;='2025'!$M366), E$4&lt;&gt;DATE(2025,7,4)), (SWITCH(weekday(E$4), 1, 0, 2, if(ISBLANK('2025'!$P366), 0, 1), 3, if(ISBLANK('2025'!$Q366), 0, 1), 4, if(ISBLANK('2025'!$R366), 0, 1), 5, if(ISBLANK('2025'!$S366), 0, 1), 6, if(ISBLANK('2025'!$T366), 0, 1), 7, 0))), 1, "")</f>
        <v/>
      </c>
      <c r="F402" s="1" t="str">
        <f>IF(AND(AND(AND(F$4&gt;='2025'!$L366,F$4&lt;='2025'!$M366), F$4&lt;&gt;DATE(2025,7,4)), (SWITCH(weekday(F$4), 1, 0, 2, if(ISBLANK('2025'!$P366), 0, 1), 3, if(ISBLANK('2025'!$Q366), 0, 1), 4, if(ISBLANK('2025'!$R366), 0, 1), 5, if(ISBLANK('2025'!$S366), 0, 1), 6, if(ISBLANK('2025'!$T366), 0, 1), 7, 0))), 1, "")</f>
        <v/>
      </c>
      <c r="G402" s="1" t="str">
        <f>IF(AND(AND(AND(G$4&gt;='2025'!$L366,G$4&lt;='2025'!$M366), G$4&lt;&gt;DATE(2025,7,4)), (SWITCH(weekday(G$4), 1, 0, 2, if(ISBLANK('2025'!$P366), 0, 1), 3, if(ISBLANK('2025'!$Q366), 0, 1), 4, if(ISBLANK('2025'!$R366), 0, 1), 5, if(ISBLANK('2025'!$S366), 0, 1), 6, if(ISBLANK('2025'!$T366), 0, 1), 7, 0))), 1, "")</f>
        <v/>
      </c>
      <c r="H402" s="1" t="str">
        <f>IF(AND(AND(AND(H$4&gt;='2025'!$L366,H$4&lt;='2025'!$M366), H$4&lt;&gt;DATE(2025,7,4)), (SWITCH(weekday(H$4), 1, 0, 2, if(ISBLANK('2025'!$P366), 0, 1), 3, if(ISBLANK('2025'!$Q366), 0, 1), 4, if(ISBLANK('2025'!$R366), 0, 1), 5, if(ISBLANK('2025'!$S366), 0, 1), 6, if(ISBLANK('2025'!$T366), 0, 1), 7, 0))), 1, "")</f>
        <v/>
      </c>
      <c r="I402" s="1" t="str">
        <f>IF(AND(AND(AND(I$4&gt;='2025'!$L366,I$4&lt;='2025'!$M366), I$4&lt;&gt;DATE(2025,7,4)), (SWITCH(weekday(I$4), 1, 0, 2, if(ISBLANK('2025'!$P366), 0, 1), 3, if(ISBLANK('2025'!$Q366), 0, 1), 4, if(ISBLANK('2025'!$R366), 0, 1), 5, if(ISBLANK('2025'!$S366), 0, 1), 6, if(ISBLANK('2025'!$T366), 0, 1), 7, 0))), 1, "")</f>
        <v/>
      </c>
      <c r="J402" s="1" t="str">
        <f>IF(AND(AND(AND(J$4&gt;='2025'!$L366,J$4&lt;='2025'!$M366), J$4&lt;&gt;DATE(2025,7,4)), (SWITCH(weekday(J$4), 1, 0, 2, if(ISBLANK('2025'!$P366), 0, 1), 3, if(ISBLANK('2025'!$Q366), 0, 1), 4, if(ISBLANK('2025'!$R366), 0, 1), 5, if(ISBLANK('2025'!$S366), 0, 1), 6, if(ISBLANK('2025'!$T366), 0, 1), 7, 0))), 1, "")</f>
        <v/>
      </c>
      <c r="K402" s="1" t="str">
        <f>IF(AND(AND(AND(K$4&gt;='2025'!$L366,K$4&lt;='2025'!$M366), K$4&lt;&gt;DATE(2025,7,4)), (SWITCH(weekday(K$4), 1, 0, 2, if(ISBLANK('2025'!$P366), 0, 1), 3, if(ISBLANK('2025'!$Q366), 0, 1), 4, if(ISBLANK('2025'!$R366), 0, 1), 5, if(ISBLANK('2025'!$S366), 0, 1), 6, if(ISBLANK('2025'!$T366), 0, 1), 7, 0))), 1, "")</f>
        <v/>
      </c>
      <c r="L402" s="1" t="str">
        <f>IF(AND(AND(AND(L$4&gt;='2025'!$L366,L$4&lt;='2025'!$M366), L$4&lt;&gt;DATE(2025,7,4)), (SWITCH(weekday(L$4), 1, 0, 2, if(ISBLANK('2025'!$P366), 0, 1), 3, if(ISBLANK('2025'!$Q366), 0, 1), 4, if(ISBLANK('2025'!$R366), 0, 1), 5, if(ISBLANK('2025'!$S366), 0, 1), 6, if(ISBLANK('2025'!$T366), 0, 1), 7, 0))), 1, "")</f>
        <v/>
      </c>
      <c r="M402" s="1" t="str">
        <f>IF(AND(AND(AND(M$4&gt;='2025'!$L366,M$4&lt;='2025'!$M366), M$4&lt;&gt;DATE(2025,7,4)), (SWITCH(weekday(M$4), 1, 0, 2, if(ISBLANK('2025'!$P366), 0, 1), 3, if(ISBLANK('2025'!$Q366), 0, 1), 4, if(ISBLANK('2025'!$R366), 0, 1), 5, if(ISBLANK('2025'!$S366), 0, 1), 6, if(ISBLANK('2025'!$T366), 0, 1), 7, 0))), 1, "")</f>
        <v/>
      </c>
      <c r="N402" s="1" t="str">
        <f>IF(AND(AND(AND(N$4&gt;='2025'!$L366,N$4&lt;='2025'!$M366), N$4&lt;&gt;DATE(2025,7,4)), (SWITCH(weekday(N$4), 1, 0, 2, if(ISBLANK('2025'!$P366), 0, 1), 3, if(ISBLANK('2025'!$Q366), 0, 1), 4, if(ISBLANK('2025'!$R366), 0, 1), 5, if(ISBLANK('2025'!$S366), 0, 1), 6, if(ISBLANK('2025'!$T366), 0, 1), 7, 0))), 1, "")</f>
        <v/>
      </c>
      <c r="O402" s="1" t="str">
        <f>IF(AND(AND(AND(O$4&gt;='2025'!$L366,O$4&lt;='2025'!$M366), O$4&lt;&gt;DATE(2025,7,4)), (SWITCH(weekday(O$4), 1, 0, 2, if(ISBLANK('2025'!$P366), 0, 1), 3, if(ISBLANK('2025'!$Q366), 0, 1), 4, if(ISBLANK('2025'!$R366), 0, 1), 5, if(ISBLANK('2025'!$S366), 0, 1), 6, if(ISBLANK('2025'!$T366), 0, 1), 7, 0))), 1, "")</f>
        <v/>
      </c>
      <c r="P402" s="1" t="str">
        <f>IF(AND(AND(AND(P$4&gt;='2025'!$L366,P$4&lt;='2025'!$M366), P$4&lt;&gt;DATE(2025,7,4)), (SWITCH(weekday(P$4), 1, 0, 2, if(ISBLANK('2025'!$P366), 0, 1), 3, if(ISBLANK('2025'!$Q366), 0, 1), 4, if(ISBLANK('2025'!$R366), 0, 1), 5, if(ISBLANK('2025'!$S366), 0, 1), 6, if(ISBLANK('2025'!$T366), 0, 1), 7, 0))), 1, "")</f>
        <v/>
      </c>
      <c r="Q402" s="1" t="str">
        <f>IF(AND(AND(AND(Q$4&gt;='2025'!$L366,Q$4&lt;='2025'!$M366), Q$4&lt;&gt;DATE(2025,7,4)), (SWITCH(weekday(Q$4), 1, 0, 2, if(ISBLANK('2025'!$P366), 0, 1), 3, if(ISBLANK('2025'!$Q366), 0, 1), 4, if(ISBLANK('2025'!$R366), 0, 1), 5, if(ISBLANK('2025'!$S366), 0, 1), 6, if(ISBLANK('2025'!$T366), 0, 1), 7, 0))), 1, "")</f>
        <v/>
      </c>
      <c r="R402" s="1" t="str">
        <f>IF(AND(AND(AND(R$4&gt;='2025'!$L366,R$4&lt;='2025'!$M366), R$4&lt;&gt;DATE(2025,7,4)), (SWITCH(weekday(R$4), 1, 0, 2, if(ISBLANK('2025'!$P366), 0, 1), 3, if(ISBLANK('2025'!$Q366), 0, 1), 4, if(ISBLANK('2025'!$R366), 0, 1), 5, if(ISBLANK('2025'!$S366), 0, 1), 6, if(ISBLANK('2025'!$T366), 0, 1), 7, 0))), 1, "")</f>
        <v/>
      </c>
      <c r="S402" s="1" t="str">
        <f>IF(AND(AND(AND(S$4&gt;='2025'!$L366,S$4&lt;='2025'!$M366), S$4&lt;&gt;DATE(2025,7,4)), (SWITCH(weekday(S$4), 1, 0, 2, if(ISBLANK('2025'!$P366), 0, 1), 3, if(ISBLANK('2025'!$Q366), 0, 1), 4, if(ISBLANK('2025'!$R366), 0, 1), 5, if(ISBLANK('2025'!$S366), 0, 1), 6, if(ISBLANK('2025'!$T366), 0, 1), 7, 0))), 1, "")</f>
        <v/>
      </c>
      <c r="T402" s="1" t="str">
        <f>IF(AND(AND(AND(T$4&gt;='2025'!$L366,T$4&lt;='2025'!$M366), T$4&lt;&gt;DATE(2025,7,4)), (SWITCH(weekday(T$4), 1, 0, 2, if(ISBLANK('2025'!$P366), 0, 1), 3, if(ISBLANK('2025'!$Q366), 0, 1), 4, if(ISBLANK('2025'!$R366), 0, 1), 5, if(ISBLANK('2025'!$S366), 0, 1), 6, if(ISBLANK('2025'!$T366), 0, 1), 7, 0))), 1, "")</f>
        <v/>
      </c>
      <c r="U402" s="1" t="str">
        <f>IF(AND(AND(AND(U$4&gt;='2025'!$L366,U$4&lt;='2025'!$M366), U$4&lt;&gt;DATE(2025,7,4)), (SWITCH(weekday(U$4), 1, 0, 2, if(ISBLANK('2025'!$P366), 0, 1), 3, if(ISBLANK('2025'!$Q366), 0, 1), 4, if(ISBLANK('2025'!$R366), 0, 1), 5, if(ISBLANK('2025'!$S366), 0, 1), 6, if(ISBLANK('2025'!$T366), 0, 1), 7, 0))), 1, "")</f>
        <v/>
      </c>
      <c r="V402" s="1" t="str">
        <f>IF(AND(AND(AND(V$4&gt;='2025'!$L366,V$4&lt;='2025'!$M366), V$4&lt;&gt;DATE(2025,7,4)), (SWITCH(weekday(V$4), 1, 0, 2, if(ISBLANK('2025'!$P366), 0, 1), 3, if(ISBLANK('2025'!$Q366), 0, 1), 4, if(ISBLANK('2025'!$R366), 0, 1), 5, if(ISBLANK('2025'!$S366), 0, 1), 6, if(ISBLANK('2025'!$T366), 0, 1), 7, 0))), 1, "")</f>
        <v/>
      </c>
      <c r="W402" s="1" t="str">
        <f>IF(AND(AND(AND(W$4&gt;='2025'!$L366,W$4&lt;='2025'!$M366), W$4&lt;&gt;DATE(2025,7,4)), (SWITCH(weekday(W$4), 1, 0, 2, if(ISBLANK('2025'!$P366), 0, 1), 3, if(ISBLANK('2025'!$Q366), 0, 1), 4, if(ISBLANK('2025'!$R366), 0, 1), 5, if(ISBLANK('2025'!$S366), 0, 1), 6, if(ISBLANK('2025'!$T366), 0, 1), 7, 0))), 1, "")</f>
        <v/>
      </c>
      <c r="X402" s="1" t="str">
        <f>IF(AND(AND(AND(X$4&gt;='2025'!$L366,X$4&lt;='2025'!$M366), X$4&lt;&gt;DATE(2025,7,4)), (SWITCH(weekday(X$4), 1, 0, 2, if(ISBLANK('2025'!$P366), 0, 1), 3, if(ISBLANK('2025'!$Q366), 0, 1), 4, if(ISBLANK('2025'!$R366), 0, 1), 5, if(ISBLANK('2025'!$S366), 0, 1), 6, if(ISBLANK('2025'!$T366), 0, 1), 7, 0))), 1, "")</f>
        <v/>
      </c>
      <c r="Y402" s="1" t="str">
        <f>IF(AND(AND(AND(Y$4&gt;='2025'!$L366,Y$4&lt;='2025'!$M366), Y$4&lt;&gt;DATE(2025,7,4)), (SWITCH(weekday(Y$4), 1, 0, 2, if(ISBLANK('2025'!$P366), 0, 1), 3, if(ISBLANK('2025'!$Q366), 0, 1), 4, if(ISBLANK('2025'!$R366), 0, 1), 5, if(ISBLANK('2025'!$S366), 0, 1), 6, if(ISBLANK('2025'!$T366), 0, 1), 7, 0))), 1, "")</f>
        <v/>
      </c>
      <c r="Z402" s="1" t="str">
        <f>IF(AND(AND(AND(Z$4&gt;='2025'!$L366,Z$4&lt;='2025'!$M366), Z$4&lt;&gt;DATE(2025,7,4)), (SWITCH(weekday(Z$4), 1, 0, 2, if(ISBLANK('2025'!$P366), 0, 1), 3, if(ISBLANK('2025'!$Q366), 0, 1), 4, if(ISBLANK('2025'!$R366), 0, 1), 5, if(ISBLANK('2025'!$S366), 0, 1), 6, if(ISBLANK('2025'!$T366), 0, 1), 7, 0))), 1, "")</f>
        <v/>
      </c>
      <c r="AA402" s="1" t="str">
        <f>IF(AND(AND(AND(AA$4&gt;='2025'!$L366,AA$4&lt;='2025'!$M366), AA$4&lt;&gt;DATE(2025,7,4)), (SWITCH(weekday(AA$4), 1, 0, 2, if(ISBLANK('2025'!$P366), 0, 1), 3, if(ISBLANK('2025'!$Q366), 0, 1), 4, if(ISBLANK('2025'!$R366), 0, 1), 5, if(ISBLANK('2025'!$S366), 0, 1), 6, if(ISBLANK('2025'!$T366), 0, 1), 7, 0))), 1, "")</f>
        <v/>
      </c>
      <c r="AB402" s="1" t="str">
        <f>IF(AND(AND(AND(AB$4&gt;='2025'!$L366,AB$4&lt;='2025'!$M366), AB$4&lt;&gt;DATE(2025,7,4)), (SWITCH(weekday(AB$4), 1, 0, 2, if(ISBLANK('2025'!$P366), 0, 1), 3, if(ISBLANK('2025'!$Q366), 0, 1), 4, if(ISBLANK('2025'!$R366), 0, 1), 5, if(ISBLANK('2025'!$S366), 0, 1), 6, if(ISBLANK('2025'!$T366), 0, 1), 7, 0))), 1, "")</f>
        <v/>
      </c>
      <c r="AC402" s="1" t="str">
        <f>IF(AND(AND(AND(AC$4&gt;='2025'!$L366,AC$4&lt;='2025'!$M366), AC$4&lt;&gt;DATE(2025,7,4)), (SWITCH(weekday(AC$4), 1, 0, 2, if(ISBLANK('2025'!$P366), 0, 1), 3, if(ISBLANK('2025'!$Q366), 0, 1), 4, if(ISBLANK('2025'!$R366), 0, 1), 5, if(ISBLANK('2025'!$S366), 0, 1), 6, if(ISBLANK('2025'!$T366), 0, 1), 7, 0))), 1, "")</f>
        <v/>
      </c>
      <c r="AD402" s="1" t="str">
        <f>IF(AND(AND(AND(AD$4&gt;='2025'!$L366,AD$4&lt;='2025'!$M366), AD$4&lt;&gt;DATE(2025,7,4)), (SWITCH(weekday(AD$4), 1, 0, 2, if(ISBLANK('2025'!$P366), 0, 1), 3, if(ISBLANK('2025'!$Q366), 0, 1), 4, if(ISBLANK('2025'!$R366), 0, 1), 5, if(ISBLANK('2025'!$S366), 0, 1), 6, if(ISBLANK('2025'!$T366), 0, 1), 7, 0))), 1, "")</f>
        <v/>
      </c>
      <c r="AE402" s="1" t="str">
        <f>IF(AND(AND(AND(AE$4&gt;='2025'!$L366,AE$4&lt;='2025'!$M366), AE$4&lt;&gt;DATE(2025,7,4)), (SWITCH(weekday(AE$4), 1, 0, 2, if(ISBLANK('2025'!$P366), 0, 1), 3, if(ISBLANK('2025'!$Q366), 0, 1), 4, if(ISBLANK('2025'!$R366), 0, 1), 5, if(ISBLANK('2025'!$S366), 0, 1), 6, if(ISBLANK('2025'!$T366), 0, 1), 7, 0))), 1, "")</f>
        <v/>
      </c>
      <c r="AF402" s="1" t="str">
        <f>IF(AND(AND(AND(AF$4&gt;='2025'!$L366,AF$4&lt;='2025'!$M366), AF$4&lt;&gt;DATE(2025,7,4)), (SWITCH(weekday(AF$4), 1, 0, 2, if(ISBLANK('2025'!$P366), 0, 1), 3, if(ISBLANK('2025'!$Q366), 0, 1), 4, if(ISBLANK('2025'!$R366), 0, 1), 5, if(ISBLANK('2025'!$S366), 0, 1), 6, if(ISBLANK('2025'!$T366), 0, 1), 7, 0))), 1, "")</f>
        <v/>
      </c>
      <c r="AG402" s="1" t="str">
        <f>IF(AND(AND(AND(AG$4&gt;='2025'!$L366,AG$4&lt;='2025'!$M366), AG$4&lt;&gt;DATE(2025,7,4)), (SWITCH(weekday(AG$4), 1, 0, 2, if(ISBLANK('2025'!$P366), 0, 1), 3, if(ISBLANK('2025'!$Q366), 0, 1), 4, if(ISBLANK('2025'!$R366), 0, 1), 5, if(ISBLANK('2025'!$S366), 0, 1), 6, if(ISBLANK('2025'!$T366), 0, 1), 7, 0))), 1, "")</f>
        <v/>
      </c>
      <c r="AH402" s="1" t="str">
        <f>IF(AND(AND(AND(AH$4&gt;='2025'!$L366,AH$4&lt;='2025'!$M366), AH$4&lt;&gt;DATE(2025,7,4)), (SWITCH(weekday(AH$4), 1, 0, 2, if(ISBLANK('2025'!$P366), 0, 1), 3, if(ISBLANK('2025'!$Q366), 0, 1), 4, if(ISBLANK('2025'!$R366), 0, 1), 5, if(ISBLANK('2025'!$S366), 0, 1), 6, if(ISBLANK('2025'!$T366), 0, 1), 7, 0))), 1, "")</f>
        <v/>
      </c>
      <c r="AI402" s="1" t="str">
        <f>IF(AND(AND(AND(AI$4&gt;='2025'!$L366,AI$4&lt;='2025'!$M366), AI$4&lt;&gt;DATE(2025,7,4)), (SWITCH(weekday(AI$4), 1, 0, 2, if(ISBLANK('2025'!$P366), 0, 1), 3, if(ISBLANK('2025'!$Q366), 0, 1), 4, if(ISBLANK('2025'!$R366), 0, 1), 5, if(ISBLANK('2025'!$S366), 0, 1), 6, if(ISBLANK('2025'!$T366), 0, 1), 7, 0))), 1, "")</f>
        <v/>
      </c>
      <c r="AJ402" s="1" t="str">
        <f>IF(AND(AND(AND(AJ$4&gt;='2025'!$L366,AJ$4&lt;='2025'!$M366), AJ$4&lt;&gt;DATE(2025,7,4)), (SWITCH(weekday(AJ$4), 1, 0, 2, if(ISBLANK('2025'!$P366), 0, 1), 3, if(ISBLANK('2025'!$Q366), 0, 1), 4, if(ISBLANK('2025'!$R366), 0, 1), 5, if(ISBLANK('2025'!$S366), 0, 1), 6, if(ISBLANK('2025'!$T366), 0, 1), 7, 0))), 1, "")</f>
        <v/>
      </c>
      <c r="AK402" s="1" t="str">
        <f>IF(AND(AND(AND(AK$4&gt;='2025'!$L366,AK$4&lt;='2025'!$M366), AK$4&lt;&gt;DATE(2025,7,4)), (SWITCH(weekday(AK$4), 1, 0, 2, if(ISBLANK('2025'!$P366), 0, 1), 3, if(ISBLANK('2025'!$Q366), 0, 1), 4, if(ISBLANK('2025'!$R366), 0, 1), 5, if(ISBLANK('2025'!$S366), 0, 1), 6, if(ISBLANK('2025'!$T366), 0, 1), 7, 0))), 1, "")</f>
        <v/>
      </c>
      <c r="AL402" s="1" t="str">
        <f>IF(AND(AND(AND(AL$4&gt;='2025'!$L366,AL$4&lt;='2025'!$M366), AL$4&lt;&gt;DATE(2025,7,4)), (SWITCH(weekday(AL$4), 1, 0, 2, if(ISBLANK('2025'!$P366), 0, 1), 3, if(ISBLANK('2025'!$Q366), 0, 1), 4, if(ISBLANK('2025'!$R366), 0, 1), 5, if(ISBLANK('2025'!$S366), 0, 1), 6, if(ISBLANK('2025'!$T366), 0, 1), 7, 0))), 1, "")</f>
        <v/>
      </c>
      <c r="AM402" s="1" t="str">
        <f>IF(AND(AND(AND(AM$4&gt;='2025'!$L366,AM$4&lt;='2025'!$M366), AM$4&lt;&gt;DATE(2025,7,4)), (SWITCH(weekday(AM$4), 1, 0, 2, if(ISBLANK('2025'!$P366), 0, 1), 3, if(ISBLANK('2025'!$Q366), 0, 1), 4, if(ISBLANK('2025'!$R366), 0, 1), 5, if(ISBLANK('2025'!$S366), 0, 1), 6, if(ISBLANK('2025'!$T366), 0, 1), 7, 0))), 1, "")</f>
        <v/>
      </c>
      <c r="AN402" s="1" t="str">
        <f>IF(AND(AND(AND(AN$4&gt;='2025'!$L366,AN$4&lt;='2025'!$M366), AN$4&lt;&gt;DATE(2025,7,4)), (SWITCH(weekday(AN$4), 1, 0, 2, if(ISBLANK('2025'!$P366), 0, 1), 3, if(ISBLANK('2025'!$Q366), 0, 1), 4, if(ISBLANK('2025'!$R366), 0, 1), 5, if(ISBLANK('2025'!$S366), 0, 1), 6, if(ISBLANK('2025'!$T366), 0, 1), 7, 0))), 1, "")</f>
        <v/>
      </c>
      <c r="AO402" s="1" t="str">
        <f>IF(AND(AND(AND(AO$4&gt;='2025'!$L366,AO$4&lt;='2025'!$M366), AO$4&lt;&gt;DATE(2025,7,4)), (SWITCH(weekday(AO$4), 1, 0, 2, if(ISBLANK('2025'!$P366), 0, 1), 3, if(ISBLANK('2025'!$Q366), 0, 1), 4, if(ISBLANK('2025'!$R366), 0, 1), 5, if(ISBLANK('2025'!$S366), 0, 1), 6, if(ISBLANK('2025'!$T366), 0, 1), 7, 0))), 1, "")</f>
        <v/>
      </c>
      <c r="AP402" s="1" t="str">
        <f>IF(AND(AND(AND(AP$4&gt;='2025'!$L366,AP$4&lt;='2025'!$M366), AP$4&lt;&gt;DATE(2025,7,4)), (SWITCH(weekday(AP$4), 1, 0, 2, if(ISBLANK('2025'!$P366), 0, 1), 3, if(ISBLANK('2025'!$Q366), 0, 1), 4, if(ISBLANK('2025'!$R366), 0, 1), 5, if(ISBLANK('2025'!$S366), 0, 1), 6, if(ISBLANK('2025'!$T366), 0, 1), 7, 0))), 1, "")</f>
        <v/>
      </c>
      <c r="AQ402" s="1" t="str">
        <f>IF(AND(AND(AND(AQ$4&gt;='2025'!$L366,AQ$4&lt;='2025'!$M366), AQ$4&lt;&gt;DATE(2025,7,4)), (SWITCH(weekday(AQ$4), 1, 0, 2, if(ISBLANK('2025'!$P366), 0, 1), 3, if(ISBLANK('2025'!$Q366), 0, 1), 4, if(ISBLANK('2025'!$R366), 0, 1), 5, if(ISBLANK('2025'!$S366), 0, 1), 6, if(ISBLANK('2025'!$T366), 0, 1), 7, 0))), 1, "")</f>
        <v/>
      </c>
      <c r="AR402" s="1" t="str">
        <f>IF(AND(AND(AND(AR$4&gt;='2025'!$L366,AR$4&lt;='2025'!$M366), AR$4&lt;&gt;DATE(2025,7,4)), (SWITCH(weekday(AR$4), 1, 0, 2, if(ISBLANK('2025'!$P366), 0, 1), 3, if(ISBLANK('2025'!$Q366), 0, 1), 4, if(ISBLANK('2025'!$R366), 0, 1), 5, if(ISBLANK('2025'!$S366), 0, 1), 6, if(ISBLANK('2025'!$T366), 0, 1), 7, 0))), 1, "")</f>
        <v/>
      </c>
      <c r="AS402" s="1" t="str">
        <f>IF(AND(AND(AND(AS$4&gt;='2025'!$L366,AS$4&lt;='2025'!$M366), AS$4&lt;&gt;DATE(2025,7,4)), (SWITCH(weekday(AS$4), 1, 0, 2, if(ISBLANK('2025'!$P366), 0, 1), 3, if(ISBLANK('2025'!$Q366), 0, 1), 4, if(ISBLANK('2025'!$R366), 0, 1), 5, if(ISBLANK('2025'!$S366), 0, 1), 6, if(ISBLANK('2025'!$T366), 0, 1), 7, 0))), 1, "")</f>
        <v/>
      </c>
      <c r="AT402" s="1" t="str">
        <f>IF(AND(AND(AND(AT$4&gt;='2025'!$L366,AT$4&lt;='2025'!$M366), AT$4&lt;&gt;DATE(2025,7,4)), (SWITCH(weekday(AT$4), 1, 0, 2, if(ISBLANK('2025'!$P366), 0, 1), 3, if(ISBLANK('2025'!$Q366), 0, 1), 4, if(ISBLANK('2025'!$R366), 0, 1), 5, if(ISBLANK('2025'!$S366), 0, 1), 6, if(ISBLANK('2025'!$T366), 0, 1), 7, 0))), 1, "")</f>
        <v/>
      </c>
      <c r="AU402" s="1" t="str">
        <f>IF(AND(AND(AND(AU$4&gt;='2025'!$L366,AU$4&lt;='2025'!$M366), AU$4&lt;&gt;DATE(2025,7,4)), (SWITCH(weekday(AU$4), 1, 0, 2, if(ISBLANK('2025'!$P366), 0, 1), 3, if(ISBLANK('2025'!$Q366), 0, 1), 4, if(ISBLANK('2025'!$R366), 0, 1), 5, if(ISBLANK('2025'!$S366), 0, 1), 6, if(ISBLANK('2025'!$T366), 0, 1), 7, 0))), 1, "")</f>
        <v/>
      </c>
      <c r="AV402" s="1" t="str">
        <f>IF(AND(AND(AND(AV$4&gt;='2025'!$L366,AV$4&lt;='2025'!$M366), AV$4&lt;&gt;DATE(2025,7,4)), (SWITCH(weekday(AV$4), 1, 0, 2, if(ISBLANK('2025'!$P366), 0, 1), 3, if(ISBLANK('2025'!$Q366), 0, 1), 4, if(ISBLANK('2025'!$R366), 0, 1), 5, if(ISBLANK('2025'!$S366), 0, 1), 6, if(ISBLANK('2025'!$T366), 0, 1), 7, 0))), 1, "")</f>
        <v/>
      </c>
      <c r="AW402" s="1" t="str">
        <f>IF(AND(AND(AND(AW$4&gt;='2025'!$L366,AW$4&lt;='2025'!$M366), AW$4&lt;&gt;DATE(2025,7,4)), (SWITCH(weekday(AW$4), 1, 0, 2, if(ISBLANK('2025'!$P366), 0, 1), 3, if(ISBLANK('2025'!$Q366), 0, 1), 4, if(ISBLANK('2025'!$R366), 0, 1), 5, if(ISBLANK('2025'!$S366), 0, 1), 6, if(ISBLANK('2025'!$T366), 0, 1), 7, 0))), 1, "")</f>
        <v/>
      </c>
      <c r="AX402" s="1" t="str">
        <f>IF(AND(AND(AND(AX$4&gt;='2025'!$L366,AX$4&lt;='2025'!$M366), AX$4&lt;&gt;DATE(2025,7,4)), (SWITCH(weekday(AX$4), 1, 0, 2, if(ISBLANK('2025'!$P366), 0, 1), 3, if(ISBLANK('2025'!$Q366), 0, 1), 4, if(ISBLANK('2025'!$R366), 0, 1), 5, if(ISBLANK('2025'!$S366), 0, 1), 6, if(ISBLANK('2025'!$T366), 0, 1), 7, 0))), 1, "")</f>
        <v/>
      </c>
      <c r="AY402" s="1" t="str">
        <f>IF(AND(AND(AND(AY$4&gt;='2025'!$L366,AY$4&lt;='2025'!$M366), AY$4&lt;&gt;DATE(2025,7,4)), (SWITCH(weekday(AY$4), 1, 0, 2, if(ISBLANK('2025'!$P366), 0, 1), 3, if(ISBLANK('2025'!$Q366), 0, 1), 4, if(ISBLANK('2025'!$R366), 0, 1), 5, if(ISBLANK('2025'!$S366), 0, 1), 6, if(ISBLANK('2025'!$T366), 0, 1), 7, 0))), 1, "")</f>
        <v/>
      </c>
      <c r="AZ402" s="1" t="str">
        <f>IF(AND(AND(AND(AZ$4&gt;='2025'!$L366,AZ$4&lt;='2025'!$M366), AZ$4&lt;&gt;DATE(2025,7,4)), (SWITCH(weekday(AZ$4), 1, 0, 2, if(ISBLANK('2025'!$P366), 0, 1), 3, if(ISBLANK('2025'!$Q366), 0, 1), 4, if(ISBLANK('2025'!$R366), 0, 1), 5, if(ISBLANK('2025'!$S366), 0, 1), 6, if(ISBLANK('2025'!$T366), 0, 1), 7, 0))), 1, "")</f>
        <v/>
      </c>
      <c r="BA402" s="1" t="str">
        <f>IF(AND(AND(AND(BA$4&gt;='2025'!$L366,BA$4&lt;='2025'!$M366), BA$4&lt;&gt;DATE(2025,7,4)), (SWITCH(weekday(BA$4), 1, 0, 2, if(ISBLANK('2025'!$P366), 0, 1), 3, if(ISBLANK('2025'!$Q366), 0, 1), 4, if(ISBLANK('2025'!$R366), 0, 1), 5, if(ISBLANK('2025'!$S366), 0, 1), 6, if(ISBLANK('2025'!$T366), 0, 1), 7, 0))), 1, "")</f>
        <v/>
      </c>
      <c r="BB402" s="1" t="str">
        <f>IF(AND(AND(AND(BB$4&gt;='2025'!$L366,BB$4&lt;='2025'!$M366), BB$4&lt;&gt;DATE(2025,7,4)), (SWITCH(weekday(BB$4), 1, 0, 2, if(ISBLANK('2025'!$P366), 0, 1), 3, if(ISBLANK('2025'!$Q366), 0, 1), 4, if(ISBLANK('2025'!$R366), 0, 1), 5, if(ISBLANK('2025'!$S366), 0, 1), 6, if(ISBLANK('2025'!$T366), 0, 1), 7, 0))), 1, "")</f>
        <v/>
      </c>
      <c r="BC402" s="1" t="str">
        <f>IF(AND(AND(AND(BC$4&gt;='2025'!$L366,BC$4&lt;='2025'!$M366), BC$4&lt;&gt;DATE(2025,7,4)), (SWITCH(weekday(BC$4), 1, 0, 2, if(ISBLANK('2025'!$P366), 0, 1), 3, if(ISBLANK('2025'!$Q366), 0, 1), 4, if(ISBLANK('2025'!$R366), 0, 1), 5, if(ISBLANK('2025'!$S366), 0, 1), 6, if(ISBLANK('2025'!$T366), 0, 1), 7, 0))), 1, "")</f>
        <v/>
      </c>
      <c r="BD402" s="1" t="str">
        <f>IF(AND(AND(AND(BD$4&gt;='2025'!$L366,BD$4&lt;='2025'!$M366), BD$4&lt;&gt;DATE(2025,7,4)), (SWITCH(weekday(BD$4), 1, 0, 2, if(ISBLANK('2025'!$P366), 0, 1), 3, if(ISBLANK('2025'!$Q366), 0, 1), 4, if(ISBLANK('2025'!$R366), 0, 1), 5, if(ISBLANK('2025'!$S366), 0, 1), 6, if(ISBLANK('2025'!$T366), 0, 1), 7, 0))), 1, "")</f>
        <v/>
      </c>
      <c r="BE402" s="1" t="str">
        <f>IF(AND(AND(AND(BE$4&gt;='2025'!$L366,BE$4&lt;='2025'!$M366), BE$4&lt;&gt;DATE(2025,7,4)), (SWITCH(weekday(BE$4), 1, 0, 2, if(ISBLANK('2025'!$P366), 0, 1), 3, if(ISBLANK('2025'!$Q366), 0, 1), 4, if(ISBLANK('2025'!$R366), 0, 1), 5, if(ISBLANK('2025'!$S366), 0, 1), 6, if(ISBLANK('2025'!$T366), 0, 1), 7, 0))), 1, "")</f>
        <v/>
      </c>
    </row>
    <row r="403">
      <c r="A403" s="1">
        <f t="shared" si="3"/>
        <v>403</v>
      </c>
      <c r="B403" s="1" t="str">
        <f>'2025'!D367</f>
        <v/>
      </c>
      <c r="C403" s="1" t="str">
        <f>'2025'!H367</f>
        <v/>
      </c>
      <c r="D403" s="1" t="str">
        <f>IF(AND(AND(AND(D$4&gt;='2025'!$L367,D$4&lt;='2025'!$M367), D$4&lt;&gt;DATE(2025,7,4)), (SWITCH(weekday(D$4), 1, 0, 2, if(ISBLANK('2025'!$P367), 0, 1), 3, if(ISBLANK('2025'!$Q367), 0, 1), 4, if(ISBLANK('2025'!$R367), 0, 1), 5, if(ISBLANK('2025'!$S367), 0, 1), 6, if(ISBLANK('2025'!$T367), 0, 1), 7, 0))), 1, "")</f>
        <v/>
      </c>
      <c r="E403" s="1" t="str">
        <f>IF(AND(AND(AND(E$4&gt;='2025'!$L367,E$4&lt;='2025'!$M367), E$4&lt;&gt;DATE(2025,7,4)), (SWITCH(weekday(E$4), 1, 0, 2, if(ISBLANK('2025'!$P367), 0, 1), 3, if(ISBLANK('2025'!$Q367), 0, 1), 4, if(ISBLANK('2025'!$R367), 0, 1), 5, if(ISBLANK('2025'!$S367), 0, 1), 6, if(ISBLANK('2025'!$T367), 0, 1), 7, 0))), 1, "")</f>
        <v/>
      </c>
      <c r="F403" s="1" t="str">
        <f>IF(AND(AND(AND(F$4&gt;='2025'!$L367,F$4&lt;='2025'!$M367), F$4&lt;&gt;DATE(2025,7,4)), (SWITCH(weekday(F$4), 1, 0, 2, if(ISBLANK('2025'!$P367), 0, 1), 3, if(ISBLANK('2025'!$Q367), 0, 1), 4, if(ISBLANK('2025'!$R367), 0, 1), 5, if(ISBLANK('2025'!$S367), 0, 1), 6, if(ISBLANK('2025'!$T367), 0, 1), 7, 0))), 1, "")</f>
        <v/>
      </c>
      <c r="G403" s="1" t="str">
        <f>IF(AND(AND(AND(G$4&gt;='2025'!$L367,G$4&lt;='2025'!$M367), G$4&lt;&gt;DATE(2025,7,4)), (SWITCH(weekday(G$4), 1, 0, 2, if(ISBLANK('2025'!$P367), 0, 1), 3, if(ISBLANK('2025'!$Q367), 0, 1), 4, if(ISBLANK('2025'!$R367), 0, 1), 5, if(ISBLANK('2025'!$S367), 0, 1), 6, if(ISBLANK('2025'!$T367), 0, 1), 7, 0))), 1, "")</f>
        <v/>
      </c>
      <c r="H403" s="1" t="str">
        <f>IF(AND(AND(AND(H$4&gt;='2025'!$L367,H$4&lt;='2025'!$M367), H$4&lt;&gt;DATE(2025,7,4)), (SWITCH(weekday(H$4), 1, 0, 2, if(ISBLANK('2025'!$P367), 0, 1), 3, if(ISBLANK('2025'!$Q367), 0, 1), 4, if(ISBLANK('2025'!$R367), 0, 1), 5, if(ISBLANK('2025'!$S367), 0, 1), 6, if(ISBLANK('2025'!$T367), 0, 1), 7, 0))), 1, "")</f>
        <v/>
      </c>
      <c r="I403" s="1" t="str">
        <f>IF(AND(AND(AND(I$4&gt;='2025'!$L367,I$4&lt;='2025'!$M367), I$4&lt;&gt;DATE(2025,7,4)), (SWITCH(weekday(I$4), 1, 0, 2, if(ISBLANK('2025'!$P367), 0, 1), 3, if(ISBLANK('2025'!$Q367), 0, 1), 4, if(ISBLANK('2025'!$R367), 0, 1), 5, if(ISBLANK('2025'!$S367), 0, 1), 6, if(ISBLANK('2025'!$T367), 0, 1), 7, 0))), 1, "")</f>
        <v/>
      </c>
      <c r="J403" s="1" t="str">
        <f>IF(AND(AND(AND(J$4&gt;='2025'!$L367,J$4&lt;='2025'!$M367), J$4&lt;&gt;DATE(2025,7,4)), (SWITCH(weekday(J$4), 1, 0, 2, if(ISBLANK('2025'!$P367), 0, 1), 3, if(ISBLANK('2025'!$Q367), 0, 1), 4, if(ISBLANK('2025'!$R367), 0, 1), 5, if(ISBLANK('2025'!$S367), 0, 1), 6, if(ISBLANK('2025'!$T367), 0, 1), 7, 0))), 1, "")</f>
        <v/>
      </c>
      <c r="K403" s="1" t="str">
        <f>IF(AND(AND(AND(K$4&gt;='2025'!$L367,K$4&lt;='2025'!$M367), K$4&lt;&gt;DATE(2025,7,4)), (SWITCH(weekday(K$4), 1, 0, 2, if(ISBLANK('2025'!$P367), 0, 1), 3, if(ISBLANK('2025'!$Q367), 0, 1), 4, if(ISBLANK('2025'!$R367), 0, 1), 5, if(ISBLANK('2025'!$S367), 0, 1), 6, if(ISBLANK('2025'!$T367), 0, 1), 7, 0))), 1, "")</f>
        <v/>
      </c>
      <c r="L403" s="1" t="str">
        <f>IF(AND(AND(AND(L$4&gt;='2025'!$L367,L$4&lt;='2025'!$M367), L$4&lt;&gt;DATE(2025,7,4)), (SWITCH(weekday(L$4), 1, 0, 2, if(ISBLANK('2025'!$P367), 0, 1), 3, if(ISBLANK('2025'!$Q367), 0, 1), 4, if(ISBLANK('2025'!$R367), 0, 1), 5, if(ISBLANK('2025'!$S367), 0, 1), 6, if(ISBLANK('2025'!$T367), 0, 1), 7, 0))), 1, "")</f>
        <v/>
      </c>
      <c r="M403" s="1" t="str">
        <f>IF(AND(AND(AND(M$4&gt;='2025'!$L367,M$4&lt;='2025'!$M367), M$4&lt;&gt;DATE(2025,7,4)), (SWITCH(weekday(M$4), 1, 0, 2, if(ISBLANK('2025'!$P367), 0, 1), 3, if(ISBLANK('2025'!$Q367), 0, 1), 4, if(ISBLANK('2025'!$R367), 0, 1), 5, if(ISBLANK('2025'!$S367), 0, 1), 6, if(ISBLANK('2025'!$T367), 0, 1), 7, 0))), 1, "")</f>
        <v/>
      </c>
      <c r="N403" s="1" t="str">
        <f>IF(AND(AND(AND(N$4&gt;='2025'!$L367,N$4&lt;='2025'!$M367), N$4&lt;&gt;DATE(2025,7,4)), (SWITCH(weekday(N$4), 1, 0, 2, if(ISBLANK('2025'!$P367), 0, 1), 3, if(ISBLANK('2025'!$Q367), 0, 1), 4, if(ISBLANK('2025'!$R367), 0, 1), 5, if(ISBLANK('2025'!$S367), 0, 1), 6, if(ISBLANK('2025'!$T367), 0, 1), 7, 0))), 1, "")</f>
        <v/>
      </c>
      <c r="O403" s="1" t="str">
        <f>IF(AND(AND(AND(O$4&gt;='2025'!$L367,O$4&lt;='2025'!$M367), O$4&lt;&gt;DATE(2025,7,4)), (SWITCH(weekday(O$4), 1, 0, 2, if(ISBLANK('2025'!$P367), 0, 1), 3, if(ISBLANK('2025'!$Q367), 0, 1), 4, if(ISBLANK('2025'!$R367), 0, 1), 5, if(ISBLANK('2025'!$S367), 0, 1), 6, if(ISBLANK('2025'!$T367), 0, 1), 7, 0))), 1, "")</f>
        <v/>
      </c>
      <c r="P403" s="1" t="str">
        <f>IF(AND(AND(AND(P$4&gt;='2025'!$L367,P$4&lt;='2025'!$M367), P$4&lt;&gt;DATE(2025,7,4)), (SWITCH(weekday(P$4), 1, 0, 2, if(ISBLANK('2025'!$P367), 0, 1), 3, if(ISBLANK('2025'!$Q367), 0, 1), 4, if(ISBLANK('2025'!$R367), 0, 1), 5, if(ISBLANK('2025'!$S367), 0, 1), 6, if(ISBLANK('2025'!$T367), 0, 1), 7, 0))), 1, "")</f>
        <v/>
      </c>
      <c r="Q403" s="1" t="str">
        <f>IF(AND(AND(AND(Q$4&gt;='2025'!$L367,Q$4&lt;='2025'!$M367), Q$4&lt;&gt;DATE(2025,7,4)), (SWITCH(weekday(Q$4), 1, 0, 2, if(ISBLANK('2025'!$P367), 0, 1), 3, if(ISBLANK('2025'!$Q367), 0, 1), 4, if(ISBLANK('2025'!$R367), 0, 1), 5, if(ISBLANK('2025'!$S367), 0, 1), 6, if(ISBLANK('2025'!$T367), 0, 1), 7, 0))), 1, "")</f>
        <v/>
      </c>
      <c r="R403" s="1" t="str">
        <f>IF(AND(AND(AND(R$4&gt;='2025'!$L367,R$4&lt;='2025'!$M367), R$4&lt;&gt;DATE(2025,7,4)), (SWITCH(weekday(R$4), 1, 0, 2, if(ISBLANK('2025'!$P367), 0, 1), 3, if(ISBLANK('2025'!$Q367), 0, 1), 4, if(ISBLANK('2025'!$R367), 0, 1), 5, if(ISBLANK('2025'!$S367), 0, 1), 6, if(ISBLANK('2025'!$T367), 0, 1), 7, 0))), 1, "")</f>
        <v/>
      </c>
      <c r="S403" s="1" t="str">
        <f>IF(AND(AND(AND(S$4&gt;='2025'!$L367,S$4&lt;='2025'!$M367), S$4&lt;&gt;DATE(2025,7,4)), (SWITCH(weekday(S$4), 1, 0, 2, if(ISBLANK('2025'!$P367), 0, 1), 3, if(ISBLANK('2025'!$Q367), 0, 1), 4, if(ISBLANK('2025'!$R367), 0, 1), 5, if(ISBLANK('2025'!$S367), 0, 1), 6, if(ISBLANK('2025'!$T367), 0, 1), 7, 0))), 1, "")</f>
        <v/>
      </c>
      <c r="T403" s="1" t="str">
        <f>IF(AND(AND(AND(T$4&gt;='2025'!$L367,T$4&lt;='2025'!$M367), T$4&lt;&gt;DATE(2025,7,4)), (SWITCH(weekday(T$4), 1, 0, 2, if(ISBLANK('2025'!$P367), 0, 1), 3, if(ISBLANK('2025'!$Q367), 0, 1), 4, if(ISBLANK('2025'!$R367), 0, 1), 5, if(ISBLANK('2025'!$S367), 0, 1), 6, if(ISBLANK('2025'!$T367), 0, 1), 7, 0))), 1, "")</f>
        <v/>
      </c>
      <c r="U403" s="1" t="str">
        <f>IF(AND(AND(AND(U$4&gt;='2025'!$L367,U$4&lt;='2025'!$M367), U$4&lt;&gt;DATE(2025,7,4)), (SWITCH(weekday(U$4), 1, 0, 2, if(ISBLANK('2025'!$P367), 0, 1), 3, if(ISBLANK('2025'!$Q367), 0, 1), 4, if(ISBLANK('2025'!$R367), 0, 1), 5, if(ISBLANK('2025'!$S367), 0, 1), 6, if(ISBLANK('2025'!$T367), 0, 1), 7, 0))), 1, "")</f>
        <v/>
      </c>
      <c r="V403" s="1" t="str">
        <f>IF(AND(AND(AND(V$4&gt;='2025'!$L367,V$4&lt;='2025'!$M367), V$4&lt;&gt;DATE(2025,7,4)), (SWITCH(weekday(V$4), 1, 0, 2, if(ISBLANK('2025'!$P367), 0, 1), 3, if(ISBLANK('2025'!$Q367), 0, 1), 4, if(ISBLANK('2025'!$R367), 0, 1), 5, if(ISBLANK('2025'!$S367), 0, 1), 6, if(ISBLANK('2025'!$T367), 0, 1), 7, 0))), 1, "")</f>
        <v/>
      </c>
      <c r="W403" s="1" t="str">
        <f>IF(AND(AND(AND(W$4&gt;='2025'!$L367,W$4&lt;='2025'!$M367), W$4&lt;&gt;DATE(2025,7,4)), (SWITCH(weekday(W$4), 1, 0, 2, if(ISBLANK('2025'!$P367), 0, 1), 3, if(ISBLANK('2025'!$Q367), 0, 1), 4, if(ISBLANK('2025'!$R367), 0, 1), 5, if(ISBLANK('2025'!$S367), 0, 1), 6, if(ISBLANK('2025'!$T367), 0, 1), 7, 0))), 1, "")</f>
        <v/>
      </c>
      <c r="X403" s="1" t="str">
        <f>IF(AND(AND(AND(X$4&gt;='2025'!$L367,X$4&lt;='2025'!$M367), X$4&lt;&gt;DATE(2025,7,4)), (SWITCH(weekday(X$4), 1, 0, 2, if(ISBLANK('2025'!$P367), 0, 1), 3, if(ISBLANK('2025'!$Q367), 0, 1), 4, if(ISBLANK('2025'!$R367), 0, 1), 5, if(ISBLANK('2025'!$S367), 0, 1), 6, if(ISBLANK('2025'!$T367), 0, 1), 7, 0))), 1, "")</f>
        <v/>
      </c>
      <c r="Y403" s="1" t="str">
        <f>IF(AND(AND(AND(Y$4&gt;='2025'!$L367,Y$4&lt;='2025'!$M367), Y$4&lt;&gt;DATE(2025,7,4)), (SWITCH(weekday(Y$4), 1, 0, 2, if(ISBLANK('2025'!$P367), 0, 1), 3, if(ISBLANK('2025'!$Q367), 0, 1), 4, if(ISBLANK('2025'!$R367), 0, 1), 5, if(ISBLANK('2025'!$S367), 0, 1), 6, if(ISBLANK('2025'!$T367), 0, 1), 7, 0))), 1, "")</f>
        <v/>
      </c>
      <c r="Z403" s="1" t="str">
        <f>IF(AND(AND(AND(Z$4&gt;='2025'!$L367,Z$4&lt;='2025'!$M367), Z$4&lt;&gt;DATE(2025,7,4)), (SWITCH(weekday(Z$4), 1, 0, 2, if(ISBLANK('2025'!$P367), 0, 1), 3, if(ISBLANK('2025'!$Q367), 0, 1), 4, if(ISBLANK('2025'!$R367), 0, 1), 5, if(ISBLANK('2025'!$S367), 0, 1), 6, if(ISBLANK('2025'!$T367), 0, 1), 7, 0))), 1, "")</f>
        <v/>
      </c>
      <c r="AA403" s="1" t="str">
        <f>IF(AND(AND(AND(AA$4&gt;='2025'!$L367,AA$4&lt;='2025'!$M367), AA$4&lt;&gt;DATE(2025,7,4)), (SWITCH(weekday(AA$4), 1, 0, 2, if(ISBLANK('2025'!$P367), 0, 1), 3, if(ISBLANK('2025'!$Q367), 0, 1), 4, if(ISBLANK('2025'!$R367), 0, 1), 5, if(ISBLANK('2025'!$S367), 0, 1), 6, if(ISBLANK('2025'!$T367), 0, 1), 7, 0))), 1, "")</f>
        <v/>
      </c>
      <c r="AB403" s="1" t="str">
        <f>IF(AND(AND(AND(AB$4&gt;='2025'!$L367,AB$4&lt;='2025'!$M367), AB$4&lt;&gt;DATE(2025,7,4)), (SWITCH(weekday(AB$4), 1, 0, 2, if(ISBLANK('2025'!$P367), 0, 1), 3, if(ISBLANK('2025'!$Q367), 0, 1), 4, if(ISBLANK('2025'!$R367), 0, 1), 5, if(ISBLANK('2025'!$S367), 0, 1), 6, if(ISBLANK('2025'!$T367), 0, 1), 7, 0))), 1, "")</f>
        <v/>
      </c>
      <c r="AC403" s="1" t="str">
        <f>IF(AND(AND(AND(AC$4&gt;='2025'!$L367,AC$4&lt;='2025'!$M367), AC$4&lt;&gt;DATE(2025,7,4)), (SWITCH(weekday(AC$4), 1, 0, 2, if(ISBLANK('2025'!$P367), 0, 1), 3, if(ISBLANK('2025'!$Q367), 0, 1), 4, if(ISBLANK('2025'!$R367), 0, 1), 5, if(ISBLANK('2025'!$S367), 0, 1), 6, if(ISBLANK('2025'!$T367), 0, 1), 7, 0))), 1, "")</f>
        <v/>
      </c>
      <c r="AD403" s="1" t="str">
        <f>IF(AND(AND(AND(AD$4&gt;='2025'!$L367,AD$4&lt;='2025'!$M367), AD$4&lt;&gt;DATE(2025,7,4)), (SWITCH(weekday(AD$4), 1, 0, 2, if(ISBLANK('2025'!$P367), 0, 1), 3, if(ISBLANK('2025'!$Q367), 0, 1), 4, if(ISBLANK('2025'!$R367), 0, 1), 5, if(ISBLANK('2025'!$S367), 0, 1), 6, if(ISBLANK('2025'!$T367), 0, 1), 7, 0))), 1, "")</f>
        <v/>
      </c>
      <c r="AE403" s="1" t="str">
        <f>IF(AND(AND(AND(AE$4&gt;='2025'!$L367,AE$4&lt;='2025'!$M367), AE$4&lt;&gt;DATE(2025,7,4)), (SWITCH(weekday(AE$4), 1, 0, 2, if(ISBLANK('2025'!$P367), 0, 1), 3, if(ISBLANK('2025'!$Q367), 0, 1), 4, if(ISBLANK('2025'!$R367), 0, 1), 5, if(ISBLANK('2025'!$S367), 0, 1), 6, if(ISBLANK('2025'!$T367), 0, 1), 7, 0))), 1, "")</f>
        <v/>
      </c>
      <c r="AF403" s="1" t="str">
        <f>IF(AND(AND(AND(AF$4&gt;='2025'!$L367,AF$4&lt;='2025'!$M367), AF$4&lt;&gt;DATE(2025,7,4)), (SWITCH(weekday(AF$4), 1, 0, 2, if(ISBLANK('2025'!$P367), 0, 1), 3, if(ISBLANK('2025'!$Q367), 0, 1), 4, if(ISBLANK('2025'!$R367), 0, 1), 5, if(ISBLANK('2025'!$S367), 0, 1), 6, if(ISBLANK('2025'!$T367), 0, 1), 7, 0))), 1, "")</f>
        <v/>
      </c>
      <c r="AG403" s="1" t="str">
        <f>IF(AND(AND(AND(AG$4&gt;='2025'!$L367,AG$4&lt;='2025'!$M367), AG$4&lt;&gt;DATE(2025,7,4)), (SWITCH(weekday(AG$4), 1, 0, 2, if(ISBLANK('2025'!$P367), 0, 1), 3, if(ISBLANK('2025'!$Q367), 0, 1), 4, if(ISBLANK('2025'!$R367), 0, 1), 5, if(ISBLANK('2025'!$S367), 0, 1), 6, if(ISBLANK('2025'!$T367), 0, 1), 7, 0))), 1, "")</f>
        <v/>
      </c>
      <c r="AH403" s="1" t="str">
        <f>IF(AND(AND(AND(AH$4&gt;='2025'!$L367,AH$4&lt;='2025'!$M367), AH$4&lt;&gt;DATE(2025,7,4)), (SWITCH(weekday(AH$4), 1, 0, 2, if(ISBLANK('2025'!$P367), 0, 1), 3, if(ISBLANK('2025'!$Q367), 0, 1), 4, if(ISBLANK('2025'!$R367), 0, 1), 5, if(ISBLANK('2025'!$S367), 0, 1), 6, if(ISBLANK('2025'!$T367), 0, 1), 7, 0))), 1, "")</f>
        <v/>
      </c>
      <c r="AI403" s="1" t="str">
        <f>IF(AND(AND(AND(AI$4&gt;='2025'!$L367,AI$4&lt;='2025'!$M367), AI$4&lt;&gt;DATE(2025,7,4)), (SWITCH(weekday(AI$4), 1, 0, 2, if(ISBLANK('2025'!$P367), 0, 1), 3, if(ISBLANK('2025'!$Q367), 0, 1), 4, if(ISBLANK('2025'!$R367), 0, 1), 5, if(ISBLANK('2025'!$S367), 0, 1), 6, if(ISBLANK('2025'!$T367), 0, 1), 7, 0))), 1, "")</f>
        <v/>
      </c>
      <c r="AJ403" s="1" t="str">
        <f>IF(AND(AND(AND(AJ$4&gt;='2025'!$L367,AJ$4&lt;='2025'!$M367), AJ$4&lt;&gt;DATE(2025,7,4)), (SWITCH(weekday(AJ$4), 1, 0, 2, if(ISBLANK('2025'!$P367), 0, 1), 3, if(ISBLANK('2025'!$Q367), 0, 1), 4, if(ISBLANK('2025'!$R367), 0, 1), 5, if(ISBLANK('2025'!$S367), 0, 1), 6, if(ISBLANK('2025'!$T367), 0, 1), 7, 0))), 1, "")</f>
        <v/>
      </c>
      <c r="AK403" s="1" t="str">
        <f>IF(AND(AND(AND(AK$4&gt;='2025'!$L367,AK$4&lt;='2025'!$M367), AK$4&lt;&gt;DATE(2025,7,4)), (SWITCH(weekday(AK$4), 1, 0, 2, if(ISBLANK('2025'!$P367), 0, 1), 3, if(ISBLANK('2025'!$Q367), 0, 1), 4, if(ISBLANK('2025'!$R367), 0, 1), 5, if(ISBLANK('2025'!$S367), 0, 1), 6, if(ISBLANK('2025'!$T367), 0, 1), 7, 0))), 1, "")</f>
        <v/>
      </c>
      <c r="AL403" s="1" t="str">
        <f>IF(AND(AND(AND(AL$4&gt;='2025'!$L367,AL$4&lt;='2025'!$M367), AL$4&lt;&gt;DATE(2025,7,4)), (SWITCH(weekday(AL$4), 1, 0, 2, if(ISBLANK('2025'!$P367), 0, 1), 3, if(ISBLANK('2025'!$Q367), 0, 1), 4, if(ISBLANK('2025'!$R367), 0, 1), 5, if(ISBLANK('2025'!$S367), 0, 1), 6, if(ISBLANK('2025'!$T367), 0, 1), 7, 0))), 1, "")</f>
        <v/>
      </c>
      <c r="AM403" s="1" t="str">
        <f>IF(AND(AND(AND(AM$4&gt;='2025'!$L367,AM$4&lt;='2025'!$M367), AM$4&lt;&gt;DATE(2025,7,4)), (SWITCH(weekday(AM$4), 1, 0, 2, if(ISBLANK('2025'!$P367), 0, 1), 3, if(ISBLANK('2025'!$Q367), 0, 1), 4, if(ISBLANK('2025'!$R367), 0, 1), 5, if(ISBLANK('2025'!$S367), 0, 1), 6, if(ISBLANK('2025'!$T367), 0, 1), 7, 0))), 1, "")</f>
        <v/>
      </c>
      <c r="AN403" s="1" t="str">
        <f>IF(AND(AND(AND(AN$4&gt;='2025'!$L367,AN$4&lt;='2025'!$M367), AN$4&lt;&gt;DATE(2025,7,4)), (SWITCH(weekday(AN$4), 1, 0, 2, if(ISBLANK('2025'!$P367), 0, 1), 3, if(ISBLANK('2025'!$Q367), 0, 1), 4, if(ISBLANK('2025'!$R367), 0, 1), 5, if(ISBLANK('2025'!$S367), 0, 1), 6, if(ISBLANK('2025'!$T367), 0, 1), 7, 0))), 1, "")</f>
        <v/>
      </c>
      <c r="AO403" s="1" t="str">
        <f>IF(AND(AND(AND(AO$4&gt;='2025'!$L367,AO$4&lt;='2025'!$M367), AO$4&lt;&gt;DATE(2025,7,4)), (SWITCH(weekday(AO$4), 1, 0, 2, if(ISBLANK('2025'!$P367), 0, 1), 3, if(ISBLANK('2025'!$Q367), 0, 1), 4, if(ISBLANK('2025'!$R367), 0, 1), 5, if(ISBLANK('2025'!$S367), 0, 1), 6, if(ISBLANK('2025'!$T367), 0, 1), 7, 0))), 1, "")</f>
        <v/>
      </c>
      <c r="AP403" s="1" t="str">
        <f>IF(AND(AND(AND(AP$4&gt;='2025'!$L367,AP$4&lt;='2025'!$M367), AP$4&lt;&gt;DATE(2025,7,4)), (SWITCH(weekday(AP$4), 1, 0, 2, if(ISBLANK('2025'!$P367), 0, 1), 3, if(ISBLANK('2025'!$Q367), 0, 1), 4, if(ISBLANK('2025'!$R367), 0, 1), 5, if(ISBLANK('2025'!$S367), 0, 1), 6, if(ISBLANK('2025'!$T367), 0, 1), 7, 0))), 1, "")</f>
        <v/>
      </c>
      <c r="AQ403" s="1" t="str">
        <f>IF(AND(AND(AND(AQ$4&gt;='2025'!$L367,AQ$4&lt;='2025'!$M367), AQ$4&lt;&gt;DATE(2025,7,4)), (SWITCH(weekday(AQ$4), 1, 0, 2, if(ISBLANK('2025'!$P367), 0, 1), 3, if(ISBLANK('2025'!$Q367), 0, 1), 4, if(ISBLANK('2025'!$R367), 0, 1), 5, if(ISBLANK('2025'!$S367), 0, 1), 6, if(ISBLANK('2025'!$T367), 0, 1), 7, 0))), 1, "")</f>
        <v/>
      </c>
      <c r="AR403" s="1" t="str">
        <f>IF(AND(AND(AND(AR$4&gt;='2025'!$L367,AR$4&lt;='2025'!$M367), AR$4&lt;&gt;DATE(2025,7,4)), (SWITCH(weekday(AR$4), 1, 0, 2, if(ISBLANK('2025'!$P367), 0, 1), 3, if(ISBLANK('2025'!$Q367), 0, 1), 4, if(ISBLANK('2025'!$R367), 0, 1), 5, if(ISBLANK('2025'!$S367), 0, 1), 6, if(ISBLANK('2025'!$T367), 0, 1), 7, 0))), 1, "")</f>
        <v/>
      </c>
      <c r="AS403" s="1" t="str">
        <f>IF(AND(AND(AND(AS$4&gt;='2025'!$L367,AS$4&lt;='2025'!$M367), AS$4&lt;&gt;DATE(2025,7,4)), (SWITCH(weekday(AS$4), 1, 0, 2, if(ISBLANK('2025'!$P367), 0, 1), 3, if(ISBLANK('2025'!$Q367), 0, 1), 4, if(ISBLANK('2025'!$R367), 0, 1), 5, if(ISBLANK('2025'!$S367), 0, 1), 6, if(ISBLANK('2025'!$T367), 0, 1), 7, 0))), 1, "")</f>
        <v/>
      </c>
      <c r="AT403" s="1" t="str">
        <f>IF(AND(AND(AND(AT$4&gt;='2025'!$L367,AT$4&lt;='2025'!$M367), AT$4&lt;&gt;DATE(2025,7,4)), (SWITCH(weekday(AT$4), 1, 0, 2, if(ISBLANK('2025'!$P367), 0, 1), 3, if(ISBLANK('2025'!$Q367), 0, 1), 4, if(ISBLANK('2025'!$R367), 0, 1), 5, if(ISBLANK('2025'!$S367), 0, 1), 6, if(ISBLANK('2025'!$T367), 0, 1), 7, 0))), 1, "")</f>
        <v/>
      </c>
      <c r="AU403" s="1" t="str">
        <f>IF(AND(AND(AND(AU$4&gt;='2025'!$L367,AU$4&lt;='2025'!$M367), AU$4&lt;&gt;DATE(2025,7,4)), (SWITCH(weekday(AU$4), 1, 0, 2, if(ISBLANK('2025'!$P367), 0, 1), 3, if(ISBLANK('2025'!$Q367), 0, 1), 4, if(ISBLANK('2025'!$R367), 0, 1), 5, if(ISBLANK('2025'!$S367), 0, 1), 6, if(ISBLANK('2025'!$T367), 0, 1), 7, 0))), 1, "")</f>
        <v/>
      </c>
      <c r="AV403" s="1" t="str">
        <f>IF(AND(AND(AND(AV$4&gt;='2025'!$L367,AV$4&lt;='2025'!$M367), AV$4&lt;&gt;DATE(2025,7,4)), (SWITCH(weekday(AV$4), 1, 0, 2, if(ISBLANK('2025'!$P367), 0, 1), 3, if(ISBLANK('2025'!$Q367), 0, 1), 4, if(ISBLANK('2025'!$R367), 0, 1), 5, if(ISBLANK('2025'!$S367), 0, 1), 6, if(ISBLANK('2025'!$T367), 0, 1), 7, 0))), 1, "")</f>
        <v/>
      </c>
      <c r="AW403" s="1" t="str">
        <f>IF(AND(AND(AND(AW$4&gt;='2025'!$L367,AW$4&lt;='2025'!$M367), AW$4&lt;&gt;DATE(2025,7,4)), (SWITCH(weekday(AW$4), 1, 0, 2, if(ISBLANK('2025'!$P367), 0, 1), 3, if(ISBLANK('2025'!$Q367), 0, 1), 4, if(ISBLANK('2025'!$R367), 0, 1), 5, if(ISBLANK('2025'!$S367), 0, 1), 6, if(ISBLANK('2025'!$T367), 0, 1), 7, 0))), 1, "")</f>
        <v/>
      </c>
      <c r="AX403" s="1" t="str">
        <f>IF(AND(AND(AND(AX$4&gt;='2025'!$L367,AX$4&lt;='2025'!$M367), AX$4&lt;&gt;DATE(2025,7,4)), (SWITCH(weekday(AX$4), 1, 0, 2, if(ISBLANK('2025'!$P367), 0, 1), 3, if(ISBLANK('2025'!$Q367), 0, 1), 4, if(ISBLANK('2025'!$R367), 0, 1), 5, if(ISBLANK('2025'!$S367), 0, 1), 6, if(ISBLANK('2025'!$T367), 0, 1), 7, 0))), 1, "")</f>
        <v/>
      </c>
      <c r="AY403" s="1" t="str">
        <f>IF(AND(AND(AND(AY$4&gt;='2025'!$L367,AY$4&lt;='2025'!$M367), AY$4&lt;&gt;DATE(2025,7,4)), (SWITCH(weekday(AY$4), 1, 0, 2, if(ISBLANK('2025'!$P367), 0, 1), 3, if(ISBLANK('2025'!$Q367), 0, 1), 4, if(ISBLANK('2025'!$R367), 0, 1), 5, if(ISBLANK('2025'!$S367), 0, 1), 6, if(ISBLANK('2025'!$T367), 0, 1), 7, 0))), 1, "")</f>
        <v/>
      </c>
      <c r="AZ403" s="1" t="str">
        <f>IF(AND(AND(AND(AZ$4&gt;='2025'!$L367,AZ$4&lt;='2025'!$M367), AZ$4&lt;&gt;DATE(2025,7,4)), (SWITCH(weekday(AZ$4), 1, 0, 2, if(ISBLANK('2025'!$P367), 0, 1), 3, if(ISBLANK('2025'!$Q367), 0, 1), 4, if(ISBLANK('2025'!$R367), 0, 1), 5, if(ISBLANK('2025'!$S367), 0, 1), 6, if(ISBLANK('2025'!$T367), 0, 1), 7, 0))), 1, "")</f>
        <v/>
      </c>
      <c r="BA403" s="1" t="str">
        <f>IF(AND(AND(AND(BA$4&gt;='2025'!$L367,BA$4&lt;='2025'!$M367), BA$4&lt;&gt;DATE(2025,7,4)), (SWITCH(weekday(BA$4), 1, 0, 2, if(ISBLANK('2025'!$P367), 0, 1), 3, if(ISBLANK('2025'!$Q367), 0, 1), 4, if(ISBLANK('2025'!$R367), 0, 1), 5, if(ISBLANK('2025'!$S367), 0, 1), 6, if(ISBLANK('2025'!$T367), 0, 1), 7, 0))), 1, "")</f>
        <v/>
      </c>
      <c r="BB403" s="1" t="str">
        <f>IF(AND(AND(AND(BB$4&gt;='2025'!$L367,BB$4&lt;='2025'!$M367), BB$4&lt;&gt;DATE(2025,7,4)), (SWITCH(weekday(BB$4), 1, 0, 2, if(ISBLANK('2025'!$P367), 0, 1), 3, if(ISBLANK('2025'!$Q367), 0, 1), 4, if(ISBLANK('2025'!$R367), 0, 1), 5, if(ISBLANK('2025'!$S367), 0, 1), 6, if(ISBLANK('2025'!$T367), 0, 1), 7, 0))), 1, "")</f>
        <v/>
      </c>
      <c r="BC403" s="1" t="str">
        <f>IF(AND(AND(AND(BC$4&gt;='2025'!$L367,BC$4&lt;='2025'!$M367), BC$4&lt;&gt;DATE(2025,7,4)), (SWITCH(weekday(BC$4), 1, 0, 2, if(ISBLANK('2025'!$P367), 0, 1), 3, if(ISBLANK('2025'!$Q367), 0, 1), 4, if(ISBLANK('2025'!$R367), 0, 1), 5, if(ISBLANK('2025'!$S367), 0, 1), 6, if(ISBLANK('2025'!$T367), 0, 1), 7, 0))), 1, "")</f>
        <v/>
      </c>
      <c r="BD403" s="1" t="str">
        <f>IF(AND(AND(AND(BD$4&gt;='2025'!$L367,BD$4&lt;='2025'!$M367), BD$4&lt;&gt;DATE(2025,7,4)), (SWITCH(weekday(BD$4), 1, 0, 2, if(ISBLANK('2025'!$P367), 0, 1), 3, if(ISBLANK('2025'!$Q367), 0, 1), 4, if(ISBLANK('2025'!$R367), 0, 1), 5, if(ISBLANK('2025'!$S367), 0, 1), 6, if(ISBLANK('2025'!$T367), 0, 1), 7, 0))), 1, "")</f>
        <v/>
      </c>
      <c r="BE403" s="1" t="str">
        <f>IF(AND(AND(AND(BE$4&gt;='2025'!$L367,BE$4&lt;='2025'!$M367), BE$4&lt;&gt;DATE(2025,7,4)), (SWITCH(weekday(BE$4), 1, 0, 2, if(ISBLANK('2025'!$P367), 0, 1), 3, if(ISBLANK('2025'!$Q367), 0, 1), 4, if(ISBLANK('2025'!$R367), 0, 1), 5, if(ISBLANK('2025'!$S367), 0, 1), 6, if(ISBLANK('2025'!$T367), 0, 1), 7, 0))), 1, "")</f>
        <v/>
      </c>
    </row>
    <row r="404">
      <c r="A404" s="1">
        <f t="shared" si="3"/>
        <v>404</v>
      </c>
      <c r="B404" s="1" t="str">
        <f>'2025'!D368</f>
        <v/>
      </c>
      <c r="C404" s="1" t="str">
        <f>'2025'!H368</f>
        <v/>
      </c>
      <c r="D404" s="1" t="str">
        <f>IF(AND(AND(AND(D$4&gt;='2025'!$L368,D$4&lt;='2025'!$M368), D$4&lt;&gt;DATE(2025,7,4)), (SWITCH(weekday(D$4), 1, 0, 2, if(ISBLANK('2025'!$P368), 0, 1), 3, if(ISBLANK('2025'!$Q368), 0, 1), 4, if(ISBLANK('2025'!$R368), 0, 1), 5, if(ISBLANK('2025'!$S368), 0, 1), 6, if(ISBLANK('2025'!$T368), 0, 1), 7, 0))), 1, "")</f>
        <v/>
      </c>
      <c r="E404" s="1" t="str">
        <f>IF(AND(AND(AND(E$4&gt;='2025'!$L368,E$4&lt;='2025'!$M368), E$4&lt;&gt;DATE(2025,7,4)), (SWITCH(weekday(E$4), 1, 0, 2, if(ISBLANK('2025'!$P368), 0, 1), 3, if(ISBLANK('2025'!$Q368), 0, 1), 4, if(ISBLANK('2025'!$R368), 0, 1), 5, if(ISBLANK('2025'!$S368), 0, 1), 6, if(ISBLANK('2025'!$T368), 0, 1), 7, 0))), 1, "")</f>
        <v/>
      </c>
      <c r="F404" s="1" t="str">
        <f>IF(AND(AND(AND(F$4&gt;='2025'!$L368,F$4&lt;='2025'!$M368), F$4&lt;&gt;DATE(2025,7,4)), (SWITCH(weekday(F$4), 1, 0, 2, if(ISBLANK('2025'!$P368), 0, 1), 3, if(ISBLANK('2025'!$Q368), 0, 1), 4, if(ISBLANK('2025'!$R368), 0, 1), 5, if(ISBLANK('2025'!$S368), 0, 1), 6, if(ISBLANK('2025'!$T368), 0, 1), 7, 0))), 1, "")</f>
        <v/>
      </c>
      <c r="G404" s="1" t="str">
        <f>IF(AND(AND(AND(G$4&gt;='2025'!$L368,G$4&lt;='2025'!$M368), G$4&lt;&gt;DATE(2025,7,4)), (SWITCH(weekday(G$4), 1, 0, 2, if(ISBLANK('2025'!$P368), 0, 1), 3, if(ISBLANK('2025'!$Q368), 0, 1), 4, if(ISBLANK('2025'!$R368), 0, 1), 5, if(ISBLANK('2025'!$S368), 0, 1), 6, if(ISBLANK('2025'!$T368), 0, 1), 7, 0))), 1, "")</f>
        <v/>
      </c>
      <c r="H404" s="1" t="str">
        <f>IF(AND(AND(AND(H$4&gt;='2025'!$L368,H$4&lt;='2025'!$M368), H$4&lt;&gt;DATE(2025,7,4)), (SWITCH(weekday(H$4), 1, 0, 2, if(ISBLANK('2025'!$P368), 0, 1), 3, if(ISBLANK('2025'!$Q368), 0, 1), 4, if(ISBLANK('2025'!$R368), 0, 1), 5, if(ISBLANK('2025'!$S368), 0, 1), 6, if(ISBLANK('2025'!$T368), 0, 1), 7, 0))), 1, "")</f>
        <v/>
      </c>
      <c r="I404" s="1" t="str">
        <f>IF(AND(AND(AND(I$4&gt;='2025'!$L368,I$4&lt;='2025'!$M368), I$4&lt;&gt;DATE(2025,7,4)), (SWITCH(weekday(I$4), 1, 0, 2, if(ISBLANK('2025'!$P368), 0, 1), 3, if(ISBLANK('2025'!$Q368), 0, 1), 4, if(ISBLANK('2025'!$R368), 0, 1), 5, if(ISBLANK('2025'!$S368), 0, 1), 6, if(ISBLANK('2025'!$T368), 0, 1), 7, 0))), 1, "")</f>
        <v/>
      </c>
      <c r="J404" s="1" t="str">
        <f>IF(AND(AND(AND(J$4&gt;='2025'!$L368,J$4&lt;='2025'!$M368), J$4&lt;&gt;DATE(2025,7,4)), (SWITCH(weekday(J$4), 1, 0, 2, if(ISBLANK('2025'!$P368), 0, 1), 3, if(ISBLANK('2025'!$Q368), 0, 1), 4, if(ISBLANK('2025'!$R368), 0, 1), 5, if(ISBLANK('2025'!$S368), 0, 1), 6, if(ISBLANK('2025'!$T368), 0, 1), 7, 0))), 1, "")</f>
        <v/>
      </c>
      <c r="K404" s="1" t="str">
        <f>IF(AND(AND(AND(K$4&gt;='2025'!$L368,K$4&lt;='2025'!$M368), K$4&lt;&gt;DATE(2025,7,4)), (SWITCH(weekday(K$4), 1, 0, 2, if(ISBLANK('2025'!$P368), 0, 1), 3, if(ISBLANK('2025'!$Q368), 0, 1), 4, if(ISBLANK('2025'!$R368), 0, 1), 5, if(ISBLANK('2025'!$S368), 0, 1), 6, if(ISBLANK('2025'!$T368), 0, 1), 7, 0))), 1, "")</f>
        <v/>
      </c>
      <c r="L404" s="1" t="str">
        <f>IF(AND(AND(AND(L$4&gt;='2025'!$L368,L$4&lt;='2025'!$M368), L$4&lt;&gt;DATE(2025,7,4)), (SWITCH(weekday(L$4), 1, 0, 2, if(ISBLANK('2025'!$P368), 0, 1), 3, if(ISBLANK('2025'!$Q368), 0, 1), 4, if(ISBLANK('2025'!$R368), 0, 1), 5, if(ISBLANK('2025'!$S368), 0, 1), 6, if(ISBLANK('2025'!$T368), 0, 1), 7, 0))), 1, "")</f>
        <v/>
      </c>
      <c r="M404" s="1" t="str">
        <f>IF(AND(AND(AND(M$4&gt;='2025'!$L368,M$4&lt;='2025'!$M368), M$4&lt;&gt;DATE(2025,7,4)), (SWITCH(weekday(M$4), 1, 0, 2, if(ISBLANK('2025'!$P368), 0, 1), 3, if(ISBLANK('2025'!$Q368), 0, 1), 4, if(ISBLANK('2025'!$R368), 0, 1), 5, if(ISBLANK('2025'!$S368), 0, 1), 6, if(ISBLANK('2025'!$T368), 0, 1), 7, 0))), 1, "")</f>
        <v/>
      </c>
      <c r="N404" s="1" t="str">
        <f>IF(AND(AND(AND(N$4&gt;='2025'!$L368,N$4&lt;='2025'!$M368), N$4&lt;&gt;DATE(2025,7,4)), (SWITCH(weekday(N$4), 1, 0, 2, if(ISBLANK('2025'!$P368), 0, 1), 3, if(ISBLANK('2025'!$Q368), 0, 1), 4, if(ISBLANK('2025'!$R368), 0, 1), 5, if(ISBLANK('2025'!$S368), 0, 1), 6, if(ISBLANK('2025'!$T368), 0, 1), 7, 0))), 1, "")</f>
        <v/>
      </c>
      <c r="O404" s="1" t="str">
        <f>IF(AND(AND(AND(O$4&gt;='2025'!$L368,O$4&lt;='2025'!$M368), O$4&lt;&gt;DATE(2025,7,4)), (SWITCH(weekday(O$4), 1, 0, 2, if(ISBLANK('2025'!$P368), 0, 1), 3, if(ISBLANK('2025'!$Q368), 0, 1), 4, if(ISBLANK('2025'!$R368), 0, 1), 5, if(ISBLANK('2025'!$S368), 0, 1), 6, if(ISBLANK('2025'!$T368), 0, 1), 7, 0))), 1, "")</f>
        <v/>
      </c>
      <c r="P404" s="1" t="str">
        <f>IF(AND(AND(AND(P$4&gt;='2025'!$L368,P$4&lt;='2025'!$M368), P$4&lt;&gt;DATE(2025,7,4)), (SWITCH(weekday(P$4), 1, 0, 2, if(ISBLANK('2025'!$P368), 0, 1), 3, if(ISBLANK('2025'!$Q368), 0, 1), 4, if(ISBLANK('2025'!$R368), 0, 1), 5, if(ISBLANK('2025'!$S368), 0, 1), 6, if(ISBLANK('2025'!$T368), 0, 1), 7, 0))), 1, "")</f>
        <v/>
      </c>
      <c r="Q404" s="1" t="str">
        <f>IF(AND(AND(AND(Q$4&gt;='2025'!$L368,Q$4&lt;='2025'!$M368), Q$4&lt;&gt;DATE(2025,7,4)), (SWITCH(weekday(Q$4), 1, 0, 2, if(ISBLANK('2025'!$P368), 0, 1), 3, if(ISBLANK('2025'!$Q368), 0, 1), 4, if(ISBLANK('2025'!$R368), 0, 1), 5, if(ISBLANK('2025'!$S368), 0, 1), 6, if(ISBLANK('2025'!$T368), 0, 1), 7, 0))), 1, "")</f>
        <v/>
      </c>
      <c r="R404" s="1" t="str">
        <f>IF(AND(AND(AND(R$4&gt;='2025'!$L368,R$4&lt;='2025'!$M368), R$4&lt;&gt;DATE(2025,7,4)), (SWITCH(weekday(R$4), 1, 0, 2, if(ISBLANK('2025'!$P368), 0, 1), 3, if(ISBLANK('2025'!$Q368), 0, 1), 4, if(ISBLANK('2025'!$R368), 0, 1), 5, if(ISBLANK('2025'!$S368), 0, 1), 6, if(ISBLANK('2025'!$T368), 0, 1), 7, 0))), 1, "")</f>
        <v/>
      </c>
      <c r="S404" s="1" t="str">
        <f>IF(AND(AND(AND(S$4&gt;='2025'!$L368,S$4&lt;='2025'!$M368), S$4&lt;&gt;DATE(2025,7,4)), (SWITCH(weekday(S$4), 1, 0, 2, if(ISBLANK('2025'!$P368), 0, 1), 3, if(ISBLANK('2025'!$Q368), 0, 1), 4, if(ISBLANK('2025'!$R368), 0, 1), 5, if(ISBLANK('2025'!$S368), 0, 1), 6, if(ISBLANK('2025'!$T368), 0, 1), 7, 0))), 1, "")</f>
        <v/>
      </c>
      <c r="T404" s="1" t="str">
        <f>IF(AND(AND(AND(T$4&gt;='2025'!$L368,T$4&lt;='2025'!$M368), T$4&lt;&gt;DATE(2025,7,4)), (SWITCH(weekday(T$4), 1, 0, 2, if(ISBLANK('2025'!$P368), 0, 1), 3, if(ISBLANK('2025'!$Q368), 0, 1), 4, if(ISBLANK('2025'!$R368), 0, 1), 5, if(ISBLANK('2025'!$S368), 0, 1), 6, if(ISBLANK('2025'!$T368), 0, 1), 7, 0))), 1, "")</f>
        <v/>
      </c>
      <c r="U404" s="1" t="str">
        <f>IF(AND(AND(AND(U$4&gt;='2025'!$L368,U$4&lt;='2025'!$M368), U$4&lt;&gt;DATE(2025,7,4)), (SWITCH(weekday(U$4), 1, 0, 2, if(ISBLANK('2025'!$P368), 0, 1), 3, if(ISBLANK('2025'!$Q368), 0, 1), 4, if(ISBLANK('2025'!$R368), 0, 1), 5, if(ISBLANK('2025'!$S368), 0, 1), 6, if(ISBLANK('2025'!$T368), 0, 1), 7, 0))), 1, "")</f>
        <v/>
      </c>
      <c r="V404" s="1" t="str">
        <f>IF(AND(AND(AND(V$4&gt;='2025'!$L368,V$4&lt;='2025'!$M368), V$4&lt;&gt;DATE(2025,7,4)), (SWITCH(weekday(V$4), 1, 0, 2, if(ISBLANK('2025'!$P368), 0, 1), 3, if(ISBLANK('2025'!$Q368), 0, 1), 4, if(ISBLANK('2025'!$R368), 0, 1), 5, if(ISBLANK('2025'!$S368), 0, 1), 6, if(ISBLANK('2025'!$T368), 0, 1), 7, 0))), 1, "")</f>
        <v/>
      </c>
      <c r="W404" s="1" t="str">
        <f>IF(AND(AND(AND(W$4&gt;='2025'!$L368,W$4&lt;='2025'!$M368), W$4&lt;&gt;DATE(2025,7,4)), (SWITCH(weekday(W$4), 1, 0, 2, if(ISBLANK('2025'!$P368), 0, 1), 3, if(ISBLANK('2025'!$Q368), 0, 1), 4, if(ISBLANK('2025'!$R368), 0, 1), 5, if(ISBLANK('2025'!$S368), 0, 1), 6, if(ISBLANK('2025'!$T368), 0, 1), 7, 0))), 1, "")</f>
        <v/>
      </c>
      <c r="X404" s="1" t="str">
        <f>IF(AND(AND(AND(X$4&gt;='2025'!$L368,X$4&lt;='2025'!$M368), X$4&lt;&gt;DATE(2025,7,4)), (SWITCH(weekday(X$4), 1, 0, 2, if(ISBLANK('2025'!$P368), 0, 1), 3, if(ISBLANK('2025'!$Q368), 0, 1), 4, if(ISBLANK('2025'!$R368), 0, 1), 5, if(ISBLANK('2025'!$S368), 0, 1), 6, if(ISBLANK('2025'!$T368), 0, 1), 7, 0))), 1, "")</f>
        <v/>
      </c>
      <c r="Y404" s="1" t="str">
        <f>IF(AND(AND(AND(Y$4&gt;='2025'!$L368,Y$4&lt;='2025'!$M368), Y$4&lt;&gt;DATE(2025,7,4)), (SWITCH(weekday(Y$4), 1, 0, 2, if(ISBLANK('2025'!$P368), 0, 1), 3, if(ISBLANK('2025'!$Q368), 0, 1), 4, if(ISBLANK('2025'!$R368), 0, 1), 5, if(ISBLANK('2025'!$S368), 0, 1), 6, if(ISBLANK('2025'!$T368), 0, 1), 7, 0))), 1, "")</f>
        <v/>
      </c>
      <c r="Z404" s="1" t="str">
        <f>IF(AND(AND(AND(Z$4&gt;='2025'!$L368,Z$4&lt;='2025'!$M368), Z$4&lt;&gt;DATE(2025,7,4)), (SWITCH(weekday(Z$4), 1, 0, 2, if(ISBLANK('2025'!$P368), 0, 1), 3, if(ISBLANK('2025'!$Q368), 0, 1), 4, if(ISBLANK('2025'!$R368), 0, 1), 5, if(ISBLANK('2025'!$S368), 0, 1), 6, if(ISBLANK('2025'!$T368), 0, 1), 7, 0))), 1, "")</f>
        <v/>
      </c>
      <c r="AA404" s="1" t="str">
        <f>IF(AND(AND(AND(AA$4&gt;='2025'!$L368,AA$4&lt;='2025'!$M368), AA$4&lt;&gt;DATE(2025,7,4)), (SWITCH(weekday(AA$4), 1, 0, 2, if(ISBLANK('2025'!$P368), 0, 1), 3, if(ISBLANK('2025'!$Q368), 0, 1), 4, if(ISBLANK('2025'!$R368), 0, 1), 5, if(ISBLANK('2025'!$S368), 0, 1), 6, if(ISBLANK('2025'!$T368), 0, 1), 7, 0))), 1, "")</f>
        <v/>
      </c>
      <c r="AB404" s="1" t="str">
        <f>IF(AND(AND(AND(AB$4&gt;='2025'!$L368,AB$4&lt;='2025'!$M368), AB$4&lt;&gt;DATE(2025,7,4)), (SWITCH(weekday(AB$4), 1, 0, 2, if(ISBLANK('2025'!$P368), 0, 1), 3, if(ISBLANK('2025'!$Q368), 0, 1), 4, if(ISBLANK('2025'!$R368), 0, 1), 5, if(ISBLANK('2025'!$S368), 0, 1), 6, if(ISBLANK('2025'!$T368), 0, 1), 7, 0))), 1, "")</f>
        <v/>
      </c>
      <c r="AC404" s="1" t="str">
        <f>IF(AND(AND(AND(AC$4&gt;='2025'!$L368,AC$4&lt;='2025'!$M368), AC$4&lt;&gt;DATE(2025,7,4)), (SWITCH(weekday(AC$4), 1, 0, 2, if(ISBLANK('2025'!$P368), 0, 1), 3, if(ISBLANK('2025'!$Q368), 0, 1), 4, if(ISBLANK('2025'!$R368), 0, 1), 5, if(ISBLANK('2025'!$S368), 0, 1), 6, if(ISBLANK('2025'!$T368), 0, 1), 7, 0))), 1, "")</f>
        <v/>
      </c>
      <c r="AD404" s="1" t="str">
        <f>IF(AND(AND(AND(AD$4&gt;='2025'!$L368,AD$4&lt;='2025'!$M368), AD$4&lt;&gt;DATE(2025,7,4)), (SWITCH(weekday(AD$4), 1, 0, 2, if(ISBLANK('2025'!$P368), 0, 1), 3, if(ISBLANK('2025'!$Q368), 0, 1), 4, if(ISBLANK('2025'!$R368), 0, 1), 5, if(ISBLANK('2025'!$S368), 0, 1), 6, if(ISBLANK('2025'!$T368), 0, 1), 7, 0))), 1, "")</f>
        <v/>
      </c>
      <c r="AE404" s="1" t="str">
        <f>IF(AND(AND(AND(AE$4&gt;='2025'!$L368,AE$4&lt;='2025'!$M368), AE$4&lt;&gt;DATE(2025,7,4)), (SWITCH(weekday(AE$4), 1, 0, 2, if(ISBLANK('2025'!$P368), 0, 1), 3, if(ISBLANK('2025'!$Q368), 0, 1), 4, if(ISBLANK('2025'!$R368), 0, 1), 5, if(ISBLANK('2025'!$S368), 0, 1), 6, if(ISBLANK('2025'!$T368), 0, 1), 7, 0))), 1, "")</f>
        <v/>
      </c>
      <c r="AF404" s="1" t="str">
        <f>IF(AND(AND(AND(AF$4&gt;='2025'!$L368,AF$4&lt;='2025'!$M368), AF$4&lt;&gt;DATE(2025,7,4)), (SWITCH(weekday(AF$4), 1, 0, 2, if(ISBLANK('2025'!$P368), 0, 1), 3, if(ISBLANK('2025'!$Q368), 0, 1), 4, if(ISBLANK('2025'!$R368), 0, 1), 5, if(ISBLANK('2025'!$S368), 0, 1), 6, if(ISBLANK('2025'!$T368), 0, 1), 7, 0))), 1, "")</f>
        <v/>
      </c>
      <c r="AG404" s="1" t="str">
        <f>IF(AND(AND(AND(AG$4&gt;='2025'!$L368,AG$4&lt;='2025'!$M368), AG$4&lt;&gt;DATE(2025,7,4)), (SWITCH(weekday(AG$4), 1, 0, 2, if(ISBLANK('2025'!$P368), 0, 1), 3, if(ISBLANK('2025'!$Q368), 0, 1), 4, if(ISBLANK('2025'!$R368), 0, 1), 5, if(ISBLANK('2025'!$S368), 0, 1), 6, if(ISBLANK('2025'!$T368), 0, 1), 7, 0))), 1, "")</f>
        <v/>
      </c>
      <c r="AH404" s="1" t="str">
        <f>IF(AND(AND(AND(AH$4&gt;='2025'!$L368,AH$4&lt;='2025'!$M368), AH$4&lt;&gt;DATE(2025,7,4)), (SWITCH(weekday(AH$4), 1, 0, 2, if(ISBLANK('2025'!$P368), 0, 1), 3, if(ISBLANK('2025'!$Q368), 0, 1), 4, if(ISBLANK('2025'!$R368), 0, 1), 5, if(ISBLANK('2025'!$S368), 0, 1), 6, if(ISBLANK('2025'!$T368), 0, 1), 7, 0))), 1, "")</f>
        <v/>
      </c>
      <c r="AI404" s="1" t="str">
        <f>IF(AND(AND(AND(AI$4&gt;='2025'!$L368,AI$4&lt;='2025'!$M368), AI$4&lt;&gt;DATE(2025,7,4)), (SWITCH(weekday(AI$4), 1, 0, 2, if(ISBLANK('2025'!$P368), 0, 1), 3, if(ISBLANK('2025'!$Q368), 0, 1), 4, if(ISBLANK('2025'!$R368), 0, 1), 5, if(ISBLANK('2025'!$S368), 0, 1), 6, if(ISBLANK('2025'!$T368), 0, 1), 7, 0))), 1, "")</f>
        <v/>
      </c>
      <c r="AJ404" s="1" t="str">
        <f>IF(AND(AND(AND(AJ$4&gt;='2025'!$L368,AJ$4&lt;='2025'!$M368), AJ$4&lt;&gt;DATE(2025,7,4)), (SWITCH(weekday(AJ$4), 1, 0, 2, if(ISBLANK('2025'!$P368), 0, 1), 3, if(ISBLANK('2025'!$Q368), 0, 1), 4, if(ISBLANK('2025'!$R368), 0, 1), 5, if(ISBLANK('2025'!$S368), 0, 1), 6, if(ISBLANK('2025'!$T368), 0, 1), 7, 0))), 1, "")</f>
        <v/>
      </c>
      <c r="AK404" s="1" t="str">
        <f>IF(AND(AND(AND(AK$4&gt;='2025'!$L368,AK$4&lt;='2025'!$M368), AK$4&lt;&gt;DATE(2025,7,4)), (SWITCH(weekday(AK$4), 1, 0, 2, if(ISBLANK('2025'!$P368), 0, 1), 3, if(ISBLANK('2025'!$Q368), 0, 1), 4, if(ISBLANK('2025'!$R368), 0, 1), 5, if(ISBLANK('2025'!$S368), 0, 1), 6, if(ISBLANK('2025'!$T368), 0, 1), 7, 0))), 1, "")</f>
        <v/>
      </c>
      <c r="AL404" s="1" t="str">
        <f>IF(AND(AND(AND(AL$4&gt;='2025'!$L368,AL$4&lt;='2025'!$M368), AL$4&lt;&gt;DATE(2025,7,4)), (SWITCH(weekday(AL$4), 1, 0, 2, if(ISBLANK('2025'!$P368), 0, 1), 3, if(ISBLANK('2025'!$Q368), 0, 1), 4, if(ISBLANK('2025'!$R368), 0, 1), 5, if(ISBLANK('2025'!$S368), 0, 1), 6, if(ISBLANK('2025'!$T368), 0, 1), 7, 0))), 1, "")</f>
        <v/>
      </c>
      <c r="AM404" s="1" t="str">
        <f>IF(AND(AND(AND(AM$4&gt;='2025'!$L368,AM$4&lt;='2025'!$M368), AM$4&lt;&gt;DATE(2025,7,4)), (SWITCH(weekday(AM$4), 1, 0, 2, if(ISBLANK('2025'!$P368), 0, 1), 3, if(ISBLANK('2025'!$Q368), 0, 1), 4, if(ISBLANK('2025'!$R368), 0, 1), 5, if(ISBLANK('2025'!$S368), 0, 1), 6, if(ISBLANK('2025'!$T368), 0, 1), 7, 0))), 1, "")</f>
        <v/>
      </c>
      <c r="AN404" s="1" t="str">
        <f>IF(AND(AND(AND(AN$4&gt;='2025'!$L368,AN$4&lt;='2025'!$M368), AN$4&lt;&gt;DATE(2025,7,4)), (SWITCH(weekday(AN$4), 1, 0, 2, if(ISBLANK('2025'!$P368), 0, 1), 3, if(ISBLANK('2025'!$Q368), 0, 1), 4, if(ISBLANK('2025'!$R368), 0, 1), 5, if(ISBLANK('2025'!$S368), 0, 1), 6, if(ISBLANK('2025'!$T368), 0, 1), 7, 0))), 1, "")</f>
        <v/>
      </c>
      <c r="AO404" s="1" t="str">
        <f>IF(AND(AND(AND(AO$4&gt;='2025'!$L368,AO$4&lt;='2025'!$M368), AO$4&lt;&gt;DATE(2025,7,4)), (SWITCH(weekday(AO$4), 1, 0, 2, if(ISBLANK('2025'!$P368), 0, 1), 3, if(ISBLANK('2025'!$Q368), 0, 1), 4, if(ISBLANK('2025'!$R368), 0, 1), 5, if(ISBLANK('2025'!$S368), 0, 1), 6, if(ISBLANK('2025'!$T368), 0, 1), 7, 0))), 1, "")</f>
        <v/>
      </c>
      <c r="AP404" s="1" t="str">
        <f>IF(AND(AND(AND(AP$4&gt;='2025'!$L368,AP$4&lt;='2025'!$M368), AP$4&lt;&gt;DATE(2025,7,4)), (SWITCH(weekday(AP$4), 1, 0, 2, if(ISBLANK('2025'!$P368), 0, 1), 3, if(ISBLANK('2025'!$Q368), 0, 1), 4, if(ISBLANK('2025'!$R368), 0, 1), 5, if(ISBLANK('2025'!$S368), 0, 1), 6, if(ISBLANK('2025'!$T368), 0, 1), 7, 0))), 1, "")</f>
        <v/>
      </c>
      <c r="AQ404" s="1" t="str">
        <f>IF(AND(AND(AND(AQ$4&gt;='2025'!$L368,AQ$4&lt;='2025'!$M368), AQ$4&lt;&gt;DATE(2025,7,4)), (SWITCH(weekday(AQ$4), 1, 0, 2, if(ISBLANK('2025'!$P368), 0, 1), 3, if(ISBLANK('2025'!$Q368), 0, 1), 4, if(ISBLANK('2025'!$R368), 0, 1), 5, if(ISBLANK('2025'!$S368), 0, 1), 6, if(ISBLANK('2025'!$T368), 0, 1), 7, 0))), 1, "")</f>
        <v/>
      </c>
      <c r="AR404" s="1" t="str">
        <f>IF(AND(AND(AND(AR$4&gt;='2025'!$L368,AR$4&lt;='2025'!$M368), AR$4&lt;&gt;DATE(2025,7,4)), (SWITCH(weekday(AR$4), 1, 0, 2, if(ISBLANK('2025'!$P368), 0, 1), 3, if(ISBLANK('2025'!$Q368), 0, 1), 4, if(ISBLANK('2025'!$R368), 0, 1), 5, if(ISBLANK('2025'!$S368), 0, 1), 6, if(ISBLANK('2025'!$T368), 0, 1), 7, 0))), 1, "")</f>
        <v/>
      </c>
      <c r="AS404" s="1" t="str">
        <f>IF(AND(AND(AND(AS$4&gt;='2025'!$L368,AS$4&lt;='2025'!$M368), AS$4&lt;&gt;DATE(2025,7,4)), (SWITCH(weekday(AS$4), 1, 0, 2, if(ISBLANK('2025'!$P368), 0, 1), 3, if(ISBLANK('2025'!$Q368), 0, 1), 4, if(ISBLANK('2025'!$R368), 0, 1), 5, if(ISBLANK('2025'!$S368), 0, 1), 6, if(ISBLANK('2025'!$T368), 0, 1), 7, 0))), 1, "")</f>
        <v/>
      </c>
      <c r="AT404" s="1" t="str">
        <f>IF(AND(AND(AND(AT$4&gt;='2025'!$L368,AT$4&lt;='2025'!$M368), AT$4&lt;&gt;DATE(2025,7,4)), (SWITCH(weekday(AT$4), 1, 0, 2, if(ISBLANK('2025'!$P368), 0, 1), 3, if(ISBLANK('2025'!$Q368), 0, 1), 4, if(ISBLANK('2025'!$R368), 0, 1), 5, if(ISBLANK('2025'!$S368), 0, 1), 6, if(ISBLANK('2025'!$T368), 0, 1), 7, 0))), 1, "")</f>
        <v/>
      </c>
      <c r="AU404" s="1" t="str">
        <f>IF(AND(AND(AND(AU$4&gt;='2025'!$L368,AU$4&lt;='2025'!$M368), AU$4&lt;&gt;DATE(2025,7,4)), (SWITCH(weekday(AU$4), 1, 0, 2, if(ISBLANK('2025'!$P368), 0, 1), 3, if(ISBLANK('2025'!$Q368), 0, 1), 4, if(ISBLANK('2025'!$R368), 0, 1), 5, if(ISBLANK('2025'!$S368), 0, 1), 6, if(ISBLANK('2025'!$T368), 0, 1), 7, 0))), 1, "")</f>
        <v/>
      </c>
      <c r="AV404" s="1" t="str">
        <f>IF(AND(AND(AND(AV$4&gt;='2025'!$L368,AV$4&lt;='2025'!$M368), AV$4&lt;&gt;DATE(2025,7,4)), (SWITCH(weekday(AV$4), 1, 0, 2, if(ISBLANK('2025'!$P368), 0, 1), 3, if(ISBLANK('2025'!$Q368), 0, 1), 4, if(ISBLANK('2025'!$R368), 0, 1), 5, if(ISBLANK('2025'!$S368), 0, 1), 6, if(ISBLANK('2025'!$T368), 0, 1), 7, 0))), 1, "")</f>
        <v/>
      </c>
      <c r="AW404" s="1" t="str">
        <f>IF(AND(AND(AND(AW$4&gt;='2025'!$L368,AW$4&lt;='2025'!$M368), AW$4&lt;&gt;DATE(2025,7,4)), (SWITCH(weekday(AW$4), 1, 0, 2, if(ISBLANK('2025'!$P368), 0, 1), 3, if(ISBLANK('2025'!$Q368), 0, 1), 4, if(ISBLANK('2025'!$R368), 0, 1), 5, if(ISBLANK('2025'!$S368), 0, 1), 6, if(ISBLANK('2025'!$T368), 0, 1), 7, 0))), 1, "")</f>
        <v/>
      </c>
      <c r="AX404" s="1" t="str">
        <f>IF(AND(AND(AND(AX$4&gt;='2025'!$L368,AX$4&lt;='2025'!$M368), AX$4&lt;&gt;DATE(2025,7,4)), (SWITCH(weekday(AX$4), 1, 0, 2, if(ISBLANK('2025'!$P368), 0, 1), 3, if(ISBLANK('2025'!$Q368), 0, 1), 4, if(ISBLANK('2025'!$R368), 0, 1), 5, if(ISBLANK('2025'!$S368), 0, 1), 6, if(ISBLANK('2025'!$T368), 0, 1), 7, 0))), 1, "")</f>
        <v/>
      </c>
      <c r="AY404" s="1" t="str">
        <f>IF(AND(AND(AND(AY$4&gt;='2025'!$L368,AY$4&lt;='2025'!$M368), AY$4&lt;&gt;DATE(2025,7,4)), (SWITCH(weekday(AY$4), 1, 0, 2, if(ISBLANK('2025'!$P368), 0, 1), 3, if(ISBLANK('2025'!$Q368), 0, 1), 4, if(ISBLANK('2025'!$R368), 0, 1), 5, if(ISBLANK('2025'!$S368), 0, 1), 6, if(ISBLANK('2025'!$T368), 0, 1), 7, 0))), 1, "")</f>
        <v/>
      </c>
      <c r="AZ404" s="1" t="str">
        <f>IF(AND(AND(AND(AZ$4&gt;='2025'!$L368,AZ$4&lt;='2025'!$M368), AZ$4&lt;&gt;DATE(2025,7,4)), (SWITCH(weekday(AZ$4), 1, 0, 2, if(ISBLANK('2025'!$P368), 0, 1), 3, if(ISBLANK('2025'!$Q368), 0, 1), 4, if(ISBLANK('2025'!$R368), 0, 1), 5, if(ISBLANK('2025'!$S368), 0, 1), 6, if(ISBLANK('2025'!$T368), 0, 1), 7, 0))), 1, "")</f>
        <v/>
      </c>
      <c r="BA404" s="1" t="str">
        <f>IF(AND(AND(AND(BA$4&gt;='2025'!$L368,BA$4&lt;='2025'!$M368), BA$4&lt;&gt;DATE(2025,7,4)), (SWITCH(weekday(BA$4), 1, 0, 2, if(ISBLANK('2025'!$P368), 0, 1), 3, if(ISBLANK('2025'!$Q368), 0, 1), 4, if(ISBLANK('2025'!$R368), 0, 1), 5, if(ISBLANK('2025'!$S368), 0, 1), 6, if(ISBLANK('2025'!$T368), 0, 1), 7, 0))), 1, "")</f>
        <v/>
      </c>
      <c r="BB404" s="1" t="str">
        <f>IF(AND(AND(AND(BB$4&gt;='2025'!$L368,BB$4&lt;='2025'!$M368), BB$4&lt;&gt;DATE(2025,7,4)), (SWITCH(weekday(BB$4), 1, 0, 2, if(ISBLANK('2025'!$P368), 0, 1), 3, if(ISBLANK('2025'!$Q368), 0, 1), 4, if(ISBLANK('2025'!$R368), 0, 1), 5, if(ISBLANK('2025'!$S368), 0, 1), 6, if(ISBLANK('2025'!$T368), 0, 1), 7, 0))), 1, "")</f>
        <v/>
      </c>
      <c r="BC404" s="1" t="str">
        <f>IF(AND(AND(AND(BC$4&gt;='2025'!$L368,BC$4&lt;='2025'!$M368), BC$4&lt;&gt;DATE(2025,7,4)), (SWITCH(weekday(BC$4), 1, 0, 2, if(ISBLANK('2025'!$P368), 0, 1), 3, if(ISBLANK('2025'!$Q368), 0, 1), 4, if(ISBLANK('2025'!$R368), 0, 1), 5, if(ISBLANK('2025'!$S368), 0, 1), 6, if(ISBLANK('2025'!$T368), 0, 1), 7, 0))), 1, "")</f>
        <v/>
      </c>
      <c r="BD404" s="1" t="str">
        <f>IF(AND(AND(AND(BD$4&gt;='2025'!$L368,BD$4&lt;='2025'!$M368), BD$4&lt;&gt;DATE(2025,7,4)), (SWITCH(weekday(BD$4), 1, 0, 2, if(ISBLANK('2025'!$P368), 0, 1), 3, if(ISBLANK('2025'!$Q368), 0, 1), 4, if(ISBLANK('2025'!$R368), 0, 1), 5, if(ISBLANK('2025'!$S368), 0, 1), 6, if(ISBLANK('2025'!$T368), 0, 1), 7, 0))), 1, "")</f>
        <v/>
      </c>
      <c r="BE404" s="1" t="str">
        <f>IF(AND(AND(AND(BE$4&gt;='2025'!$L368,BE$4&lt;='2025'!$M368), BE$4&lt;&gt;DATE(2025,7,4)), (SWITCH(weekday(BE$4), 1, 0, 2, if(ISBLANK('2025'!$P368), 0, 1), 3, if(ISBLANK('2025'!$Q368), 0, 1), 4, if(ISBLANK('2025'!$R368), 0, 1), 5, if(ISBLANK('2025'!$S368), 0, 1), 6, if(ISBLANK('2025'!$T368), 0, 1), 7, 0))), 1, "")</f>
        <v/>
      </c>
    </row>
    <row r="405">
      <c r="A405" s="1">
        <f t="shared" si="3"/>
        <v>405</v>
      </c>
      <c r="B405" s="1" t="str">
        <f>'2025'!D369</f>
        <v/>
      </c>
      <c r="C405" s="1" t="str">
        <f>'2025'!H369</f>
        <v/>
      </c>
      <c r="D405" s="1" t="str">
        <f>IF(AND(AND(AND(D$4&gt;='2025'!$L369,D$4&lt;='2025'!$M369), D$4&lt;&gt;DATE(2025,7,4)), (SWITCH(weekday(D$4), 1, 0, 2, if(ISBLANK('2025'!$P369), 0, 1), 3, if(ISBLANK('2025'!$Q369), 0, 1), 4, if(ISBLANK('2025'!$R369), 0, 1), 5, if(ISBLANK('2025'!$S369), 0, 1), 6, if(ISBLANK('2025'!$T369), 0, 1), 7, 0))), 1, "")</f>
        <v/>
      </c>
      <c r="E405" s="1" t="str">
        <f>IF(AND(AND(AND(E$4&gt;='2025'!$L369,E$4&lt;='2025'!$M369), E$4&lt;&gt;DATE(2025,7,4)), (SWITCH(weekday(E$4), 1, 0, 2, if(ISBLANK('2025'!$P369), 0, 1), 3, if(ISBLANK('2025'!$Q369), 0, 1), 4, if(ISBLANK('2025'!$R369), 0, 1), 5, if(ISBLANK('2025'!$S369), 0, 1), 6, if(ISBLANK('2025'!$T369), 0, 1), 7, 0))), 1, "")</f>
        <v/>
      </c>
      <c r="F405" s="1" t="str">
        <f>IF(AND(AND(AND(F$4&gt;='2025'!$L369,F$4&lt;='2025'!$M369), F$4&lt;&gt;DATE(2025,7,4)), (SWITCH(weekday(F$4), 1, 0, 2, if(ISBLANK('2025'!$P369), 0, 1), 3, if(ISBLANK('2025'!$Q369), 0, 1), 4, if(ISBLANK('2025'!$R369), 0, 1), 5, if(ISBLANK('2025'!$S369), 0, 1), 6, if(ISBLANK('2025'!$T369), 0, 1), 7, 0))), 1, "")</f>
        <v/>
      </c>
      <c r="G405" s="1" t="str">
        <f>IF(AND(AND(AND(G$4&gt;='2025'!$L369,G$4&lt;='2025'!$M369), G$4&lt;&gt;DATE(2025,7,4)), (SWITCH(weekday(G$4), 1, 0, 2, if(ISBLANK('2025'!$P369), 0, 1), 3, if(ISBLANK('2025'!$Q369), 0, 1), 4, if(ISBLANK('2025'!$R369), 0, 1), 5, if(ISBLANK('2025'!$S369), 0, 1), 6, if(ISBLANK('2025'!$T369), 0, 1), 7, 0))), 1, "")</f>
        <v/>
      </c>
      <c r="H405" s="1" t="str">
        <f>IF(AND(AND(AND(H$4&gt;='2025'!$L369,H$4&lt;='2025'!$M369), H$4&lt;&gt;DATE(2025,7,4)), (SWITCH(weekday(H$4), 1, 0, 2, if(ISBLANK('2025'!$P369), 0, 1), 3, if(ISBLANK('2025'!$Q369), 0, 1), 4, if(ISBLANK('2025'!$R369), 0, 1), 5, if(ISBLANK('2025'!$S369), 0, 1), 6, if(ISBLANK('2025'!$T369), 0, 1), 7, 0))), 1, "")</f>
        <v/>
      </c>
      <c r="I405" s="1" t="str">
        <f>IF(AND(AND(AND(I$4&gt;='2025'!$L369,I$4&lt;='2025'!$M369), I$4&lt;&gt;DATE(2025,7,4)), (SWITCH(weekday(I$4), 1, 0, 2, if(ISBLANK('2025'!$P369), 0, 1), 3, if(ISBLANK('2025'!$Q369), 0, 1), 4, if(ISBLANK('2025'!$R369), 0, 1), 5, if(ISBLANK('2025'!$S369), 0, 1), 6, if(ISBLANK('2025'!$T369), 0, 1), 7, 0))), 1, "")</f>
        <v/>
      </c>
      <c r="J405" s="1" t="str">
        <f>IF(AND(AND(AND(J$4&gt;='2025'!$L369,J$4&lt;='2025'!$M369), J$4&lt;&gt;DATE(2025,7,4)), (SWITCH(weekday(J$4), 1, 0, 2, if(ISBLANK('2025'!$P369), 0, 1), 3, if(ISBLANK('2025'!$Q369), 0, 1), 4, if(ISBLANK('2025'!$R369), 0, 1), 5, if(ISBLANK('2025'!$S369), 0, 1), 6, if(ISBLANK('2025'!$T369), 0, 1), 7, 0))), 1, "")</f>
        <v/>
      </c>
      <c r="K405" s="1" t="str">
        <f>IF(AND(AND(AND(K$4&gt;='2025'!$L369,K$4&lt;='2025'!$M369), K$4&lt;&gt;DATE(2025,7,4)), (SWITCH(weekday(K$4), 1, 0, 2, if(ISBLANK('2025'!$P369), 0, 1), 3, if(ISBLANK('2025'!$Q369), 0, 1), 4, if(ISBLANK('2025'!$R369), 0, 1), 5, if(ISBLANK('2025'!$S369), 0, 1), 6, if(ISBLANK('2025'!$T369), 0, 1), 7, 0))), 1, "")</f>
        <v/>
      </c>
      <c r="L405" s="1" t="str">
        <f>IF(AND(AND(AND(L$4&gt;='2025'!$L369,L$4&lt;='2025'!$M369), L$4&lt;&gt;DATE(2025,7,4)), (SWITCH(weekday(L$4), 1, 0, 2, if(ISBLANK('2025'!$P369), 0, 1), 3, if(ISBLANK('2025'!$Q369), 0, 1), 4, if(ISBLANK('2025'!$R369), 0, 1), 5, if(ISBLANK('2025'!$S369), 0, 1), 6, if(ISBLANK('2025'!$T369), 0, 1), 7, 0))), 1, "")</f>
        <v/>
      </c>
      <c r="M405" s="1" t="str">
        <f>IF(AND(AND(AND(M$4&gt;='2025'!$L369,M$4&lt;='2025'!$M369), M$4&lt;&gt;DATE(2025,7,4)), (SWITCH(weekday(M$4), 1, 0, 2, if(ISBLANK('2025'!$P369), 0, 1), 3, if(ISBLANK('2025'!$Q369), 0, 1), 4, if(ISBLANK('2025'!$R369), 0, 1), 5, if(ISBLANK('2025'!$S369), 0, 1), 6, if(ISBLANK('2025'!$T369), 0, 1), 7, 0))), 1, "")</f>
        <v/>
      </c>
      <c r="N405" s="1" t="str">
        <f>IF(AND(AND(AND(N$4&gt;='2025'!$L369,N$4&lt;='2025'!$M369), N$4&lt;&gt;DATE(2025,7,4)), (SWITCH(weekday(N$4), 1, 0, 2, if(ISBLANK('2025'!$P369), 0, 1), 3, if(ISBLANK('2025'!$Q369), 0, 1), 4, if(ISBLANK('2025'!$R369), 0, 1), 5, if(ISBLANK('2025'!$S369), 0, 1), 6, if(ISBLANK('2025'!$T369), 0, 1), 7, 0))), 1, "")</f>
        <v/>
      </c>
      <c r="O405" s="1" t="str">
        <f>IF(AND(AND(AND(O$4&gt;='2025'!$L369,O$4&lt;='2025'!$M369), O$4&lt;&gt;DATE(2025,7,4)), (SWITCH(weekday(O$4), 1, 0, 2, if(ISBLANK('2025'!$P369), 0, 1), 3, if(ISBLANK('2025'!$Q369), 0, 1), 4, if(ISBLANK('2025'!$R369), 0, 1), 5, if(ISBLANK('2025'!$S369), 0, 1), 6, if(ISBLANK('2025'!$T369), 0, 1), 7, 0))), 1, "")</f>
        <v/>
      </c>
      <c r="P405" s="1" t="str">
        <f>IF(AND(AND(AND(P$4&gt;='2025'!$L369,P$4&lt;='2025'!$M369), P$4&lt;&gt;DATE(2025,7,4)), (SWITCH(weekday(P$4), 1, 0, 2, if(ISBLANK('2025'!$P369), 0, 1), 3, if(ISBLANK('2025'!$Q369), 0, 1), 4, if(ISBLANK('2025'!$R369), 0, 1), 5, if(ISBLANK('2025'!$S369), 0, 1), 6, if(ISBLANK('2025'!$T369), 0, 1), 7, 0))), 1, "")</f>
        <v/>
      </c>
      <c r="Q405" s="1" t="str">
        <f>IF(AND(AND(AND(Q$4&gt;='2025'!$L369,Q$4&lt;='2025'!$M369), Q$4&lt;&gt;DATE(2025,7,4)), (SWITCH(weekday(Q$4), 1, 0, 2, if(ISBLANK('2025'!$P369), 0, 1), 3, if(ISBLANK('2025'!$Q369), 0, 1), 4, if(ISBLANK('2025'!$R369), 0, 1), 5, if(ISBLANK('2025'!$S369), 0, 1), 6, if(ISBLANK('2025'!$T369), 0, 1), 7, 0))), 1, "")</f>
        <v/>
      </c>
      <c r="R405" s="1" t="str">
        <f>IF(AND(AND(AND(R$4&gt;='2025'!$L369,R$4&lt;='2025'!$M369), R$4&lt;&gt;DATE(2025,7,4)), (SWITCH(weekday(R$4), 1, 0, 2, if(ISBLANK('2025'!$P369), 0, 1), 3, if(ISBLANK('2025'!$Q369), 0, 1), 4, if(ISBLANK('2025'!$R369), 0, 1), 5, if(ISBLANK('2025'!$S369), 0, 1), 6, if(ISBLANK('2025'!$T369), 0, 1), 7, 0))), 1, "")</f>
        <v/>
      </c>
      <c r="S405" s="1" t="str">
        <f>IF(AND(AND(AND(S$4&gt;='2025'!$L369,S$4&lt;='2025'!$M369), S$4&lt;&gt;DATE(2025,7,4)), (SWITCH(weekday(S$4), 1, 0, 2, if(ISBLANK('2025'!$P369), 0, 1), 3, if(ISBLANK('2025'!$Q369), 0, 1), 4, if(ISBLANK('2025'!$R369), 0, 1), 5, if(ISBLANK('2025'!$S369), 0, 1), 6, if(ISBLANK('2025'!$T369), 0, 1), 7, 0))), 1, "")</f>
        <v/>
      </c>
      <c r="T405" s="1" t="str">
        <f>IF(AND(AND(AND(T$4&gt;='2025'!$L369,T$4&lt;='2025'!$M369), T$4&lt;&gt;DATE(2025,7,4)), (SWITCH(weekday(T$4), 1, 0, 2, if(ISBLANK('2025'!$P369), 0, 1), 3, if(ISBLANK('2025'!$Q369), 0, 1), 4, if(ISBLANK('2025'!$R369), 0, 1), 5, if(ISBLANK('2025'!$S369), 0, 1), 6, if(ISBLANK('2025'!$T369), 0, 1), 7, 0))), 1, "")</f>
        <v/>
      </c>
      <c r="U405" s="1" t="str">
        <f>IF(AND(AND(AND(U$4&gt;='2025'!$L369,U$4&lt;='2025'!$M369), U$4&lt;&gt;DATE(2025,7,4)), (SWITCH(weekday(U$4), 1, 0, 2, if(ISBLANK('2025'!$P369), 0, 1), 3, if(ISBLANK('2025'!$Q369), 0, 1), 4, if(ISBLANK('2025'!$R369), 0, 1), 5, if(ISBLANK('2025'!$S369), 0, 1), 6, if(ISBLANK('2025'!$T369), 0, 1), 7, 0))), 1, "")</f>
        <v/>
      </c>
      <c r="V405" s="1" t="str">
        <f>IF(AND(AND(AND(V$4&gt;='2025'!$L369,V$4&lt;='2025'!$M369), V$4&lt;&gt;DATE(2025,7,4)), (SWITCH(weekday(V$4), 1, 0, 2, if(ISBLANK('2025'!$P369), 0, 1), 3, if(ISBLANK('2025'!$Q369), 0, 1), 4, if(ISBLANK('2025'!$R369), 0, 1), 5, if(ISBLANK('2025'!$S369), 0, 1), 6, if(ISBLANK('2025'!$T369), 0, 1), 7, 0))), 1, "")</f>
        <v/>
      </c>
      <c r="W405" s="1" t="str">
        <f>IF(AND(AND(AND(W$4&gt;='2025'!$L369,W$4&lt;='2025'!$M369), W$4&lt;&gt;DATE(2025,7,4)), (SWITCH(weekday(W$4), 1, 0, 2, if(ISBLANK('2025'!$P369), 0, 1), 3, if(ISBLANK('2025'!$Q369), 0, 1), 4, if(ISBLANK('2025'!$R369), 0, 1), 5, if(ISBLANK('2025'!$S369), 0, 1), 6, if(ISBLANK('2025'!$T369), 0, 1), 7, 0))), 1, "")</f>
        <v/>
      </c>
      <c r="X405" s="1" t="str">
        <f>IF(AND(AND(AND(X$4&gt;='2025'!$L369,X$4&lt;='2025'!$M369), X$4&lt;&gt;DATE(2025,7,4)), (SWITCH(weekday(X$4), 1, 0, 2, if(ISBLANK('2025'!$P369), 0, 1), 3, if(ISBLANK('2025'!$Q369), 0, 1), 4, if(ISBLANK('2025'!$R369), 0, 1), 5, if(ISBLANK('2025'!$S369), 0, 1), 6, if(ISBLANK('2025'!$T369), 0, 1), 7, 0))), 1, "")</f>
        <v/>
      </c>
      <c r="Y405" s="1" t="str">
        <f>IF(AND(AND(AND(Y$4&gt;='2025'!$L369,Y$4&lt;='2025'!$M369), Y$4&lt;&gt;DATE(2025,7,4)), (SWITCH(weekday(Y$4), 1, 0, 2, if(ISBLANK('2025'!$P369), 0, 1), 3, if(ISBLANK('2025'!$Q369), 0, 1), 4, if(ISBLANK('2025'!$R369), 0, 1), 5, if(ISBLANK('2025'!$S369), 0, 1), 6, if(ISBLANK('2025'!$T369), 0, 1), 7, 0))), 1, "")</f>
        <v/>
      </c>
      <c r="Z405" s="1" t="str">
        <f>IF(AND(AND(AND(Z$4&gt;='2025'!$L369,Z$4&lt;='2025'!$M369), Z$4&lt;&gt;DATE(2025,7,4)), (SWITCH(weekday(Z$4), 1, 0, 2, if(ISBLANK('2025'!$P369), 0, 1), 3, if(ISBLANK('2025'!$Q369), 0, 1), 4, if(ISBLANK('2025'!$R369), 0, 1), 5, if(ISBLANK('2025'!$S369), 0, 1), 6, if(ISBLANK('2025'!$T369), 0, 1), 7, 0))), 1, "")</f>
        <v/>
      </c>
      <c r="AA405" s="1" t="str">
        <f>IF(AND(AND(AND(AA$4&gt;='2025'!$L369,AA$4&lt;='2025'!$M369), AA$4&lt;&gt;DATE(2025,7,4)), (SWITCH(weekday(AA$4), 1, 0, 2, if(ISBLANK('2025'!$P369), 0, 1), 3, if(ISBLANK('2025'!$Q369), 0, 1), 4, if(ISBLANK('2025'!$R369), 0, 1), 5, if(ISBLANK('2025'!$S369), 0, 1), 6, if(ISBLANK('2025'!$T369), 0, 1), 7, 0))), 1, "")</f>
        <v/>
      </c>
      <c r="AB405" s="1" t="str">
        <f>IF(AND(AND(AND(AB$4&gt;='2025'!$L369,AB$4&lt;='2025'!$M369), AB$4&lt;&gt;DATE(2025,7,4)), (SWITCH(weekday(AB$4), 1, 0, 2, if(ISBLANK('2025'!$P369), 0, 1), 3, if(ISBLANK('2025'!$Q369), 0, 1), 4, if(ISBLANK('2025'!$R369), 0, 1), 5, if(ISBLANK('2025'!$S369), 0, 1), 6, if(ISBLANK('2025'!$T369), 0, 1), 7, 0))), 1, "")</f>
        <v/>
      </c>
      <c r="AC405" s="1" t="str">
        <f>IF(AND(AND(AND(AC$4&gt;='2025'!$L369,AC$4&lt;='2025'!$M369), AC$4&lt;&gt;DATE(2025,7,4)), (SWITCH(weekday(AC$4), 1, 0, 2, if(ISBLANK('2025'!$P369), 0, 1), 3, if(ISBLANK('2025'!$Q369), 0, 1), 4, if(ISBLANK('2025'!$R369), 0, 1), 5, if(ISBLANK('2025'!$S369), 0, 1), 6, if(ISBLANK('2025'!$T369), 0, 1), 7, 0))), 1, "")</f>
        <v/>
      </c>
      <c r="AD405" s="1" t="str">
        <f>IF(AND(AND(AND(AD$4&gt;='2025'!$L369,AD$4&lt;='2025'!$M369), AD$4&lt;&gt;DATE(2025,7,4)), (SWITCH(weekday(AD$4), 1, 0, 2, if(ISBLANK('2025'!$P369), 0, 1), 3, if(ISBLANK('2025'!$Q369), 0, 1), 4, if(ISBLANK('2025'!$R369), 0, 1), 5, if(ISBLANK('2025'!$S369), 0, 1), 6, if(ISBLANK('2025'!$T369), 0, 1), 7, 0))), 1, "")</f>
        <v/>
      </c>
      <c r="AE405" s="1" t="str">
        <f>IF(AND(AND(AND(AE$4&gt;='2025'!$L369,AE$4&lt;='2025'!$M369), AE$4&lt;&gt;DATE(2025,7,4)), (SWITCH(weekday(AE$4), 1, 0, 2, if(ISBLANK('2025'!$P369), 0, 1), 3, if(ISBLANK('2025'!$Q369), 0, 1), 4, if(ISBLANK('2025'!$R369), 0, 1), 5, if(ISBLANK('2025'!$S369), 0, 1), 6, if(ISBLANK('2025'!$T369), 0, 1), 7, 0))), 1, "")</f>
        <v/>
      </c>
      <c r="AF405" s="1" t="str">
        <f>IF(AND(AND(AND(AF$4&gt;='2025'!$L369,AF$4&lt;='2025'!$M369), AF$4&lt;&gt;DATE(2025,7,4)), (SWITCH(weekday(AF$4), 1, 0, 2, if(ISBLANK('2025'!$P369), 0, 1), 3, if(ISBLANK('2025'!$Q369), 0, 1), 4, if(ISBLANK('2025'!$R369), 0, 1), 5, if(ISBLANK('2025'!$S369), 0, 1), 6, if(ISBLANK('2025'!$T369), 0, 1), 7, 0))), 1, "")</f>
        <v/>
      </c>
      <c r="AG405" s="1" t="str">
        <f>IF(AND(AND(AND(AG$4&gt;='2025'!$L369,AG$4&lt;='2025'!$M369), AG$4&lt;&gt;DATE(2025,7,4)), (SWITCH(weekday(AG$4), 1, 0, 2, if(ISBLANK('2025'!$P369), 0, 1), 3, if(ISBLANK('2025'!$Q369), 0, 1), 4, if(ISBLANK('2025'!$R369), 0, 1), 5, if(ISBLANK('2025'!$S369), 0, 1), 6, if(ISBLANK('2025'!$T369), 0, 1), 7, 0))), 1, "")</f>
        <v/>
      </c>
      <c r="AH405" s="1" t="str">
        <f>IF(AND(AND(AND(AH$4&gt;='2025'!$L369,AH$4&lt;='2025'!$M369), AH$4&lt;&gt;DATE(2025,7,4)), (SWITCH(weekday(AH$4), 1, 0, 2, if(ISBLANK('2025'!$P369), 0, 1), 3, if(ISBLANK('2025'!$Q369), 0, 1), 4, if(ISBLANK('2025'!$R369), 0, 1), 5, if(ISBLANK('2025'!$S369), 0, 1), 6, if(ISBLANK('2025'!$T369), 0, 1), 7, 0))), 1, "")</f>
        <v/>
      </c>
      <c r="AI405" s="1" t="str">
        <f>IF(AND(AND(AND(AI$4&gt;='2025'!$L369,AI$4&lt;='2025'!$M369), AI$4&lt;&gt;DATE(2025,7,4)), (SWITCH(weekday(AI$4), 1, 0, 2, if(ISBLANK('2025'!$P369), 0, 1), 3, if(ISBLANK('2025'!$Q369), 0, 1), 4, if(ISBLANK('2025'!$R369), 0, 1), 5, if(ISBLANK('2025'!$S369), 0, 1), 6, if(ISBLANK('2025'!$T369), 0, 1), 7, 0))), 1, "")</f>
        <v/>
      </c>
      <c r="AJ405" s="1" t="str">
        <f>IF(AND(AND(AND(AJ$4&gt;='2025'!$L369,AJ$4&lt;='2025'!$M369), AJ$4&lt;&gt;DATE(2025,7,4)), (SWITCH(weekday(AJ$4), 1, 0, 2, if(ISBLANK('2025'!$P369), 0, 1), 3, if(ISBLANK('2025'!$Q369), 0, 1), 4, if(ISBLANK('2025'!$R369), 0, 1), 5, if(ISBLANK('2025'!$S369), 0, 1), 6, if(ISBLANK('2025'!$T369), 0, 1), 7, 0))), 1, "")</f>
        <v/>
      </c>
      <c r="AK405" s="1" t="str">
        <f>IF(AND(AND(AND(AK$4&gt;='2025'!$L369,AK$4&lt;='2025'!$M369), AK$4&lt;&gt;DATE(2025,7,4)), (SWITCH(weekday(AK$4), 1, 0, 2, if(ISBLANK('2025'!$P369), 0, 1), 3, if(ISBLANK('2025'!$Q369), 0, 1), 4, if(ISBLANK('2025'!$R369), 0, 1), 5, if(ISBLANK('2025'!$S369), 0, 1), 6, if(ISBLANK('2025'!$T369), 0, 1), 7, 0))), 1, "")</f>
        <v/>
      </c>
      <c r="AL405" s="1" t="str">
        <f>IF(AND(AND(AND(AL$4&gt;='2025'!$L369,AL$4&lt;='2025'!$M369), AL$4&lt;&gt;DATE(2025,7,4)), (SWITCH(weekday(AL$4), 1, 0, 2, if(ISBLANK('2025'!$P369), 0, 1), 3, if(ISBLANK('2025'!$Q369), 0, 1), 4, if(ISBLANK('2025'!$R369), 0, 1), 5, if(ISBLANK('2025'!$S369), 0, 1), 6, if(ISBLANK('2025'!$T369), 0, 1), 7, 0))), 1, "")</f>
        <v/>
      </c>
      <c r="AM405" s="1" t="str">
        <f>IF(AND(AND(AND(AM$4&gt;='2025'!$L369,AM$4&lt;='2025'!$M369), AM$4&lt;&gt;DATE(2025,7,4)), (SWITCH(weekday(AM$4), 1, 0, 2, if(ISBLANK('2025'!$P369), 0, 1), 3, if(ISBLANK('2025'!$Q369), 0, 1), 4, if(ISBLANK('2025'!$R369), 0, 1), 5, if(ISBLANK('2025'!$S369), 0, 1), 6, if(ISBLANK('2025'!$T369), 0, 1), 7, 0))), 1, "")</f>
        <v/>
      </c>
      <c r="AN405" s="1" t="str">
        <f>IF(AND(AND(AND(AN$4&gt;='2025'!$L369,AN$4&lt;='2025'!$M369), AN$4&lt;&gt;DATE(2025,7,4)), (SWITCH(weekday(AN$4), 1, 0, 2, if(ISBLANK('2025'!$P369), 0, 1), 3, if(ISBLANK('2025'!$Q369), 0, 1), 4, if(ISBLANK('2025'!$R369), 0, 1), 5, if(ISBLANK('2025'!$S369), 0, 1), 6, if(ISBLANK('2025'!$T369), 0, 1), 7, 0))), 1, "")</f>
        <v/>
      </c>
      <c r="AO405" s="1" t="str">
        <f>IF(AND(AND(AND(AO$4&gt;='2025'!$L369,AO$4&lt;='2025'!$M369), AO$4&lt;&gt;DATE(2025,7,4)), (SWITCH(weekday(AO$4), 1, 0, 2, if(ISBLANK('2025'!$P369), 0, 1), 3, if(ISBLANK('2025'!$Q369), 0, 1), 4, if(ISBLANK('2025'!$R369), 0, 1), 5, if(ISBLANK('2025'!$S369), 0, 1), 6, if(ISBLANK('2025'!$T369), 0, 1), 7, 0))), 1, "")</f>
        <v/>
      </c>
      <c r="AP405" s="1" t="str">
        <f>IF(AND(AND(AND(AP$4&gt;='2025'!$L369,AP$4&lt;='2025'!$M369), AP$4&lt;&gt;DATE(2025,7,4)), (SWITCH(weekday(AP$4), 1, 0, 2, if(ISBLANK('2025'!$P369), 0, 1), 3, if(ISBLANK('2025'!$Q369), 0, 1), 4, if(ISBLANK('2025'!$R369), 0, 1), 5, if(ISBLANK('2025'!$S369), 0, 1), 6, if(ISBLANK('2025'!$T369), 0, 1), 7, 0))), 1, "")</f>
        <v/>
      </c>
      <c r="AQ405" s="1" t="str">
        <f>IF(AND(AND(AND(AQ$4&gt;='2025'!$L369,AQ$4&lt;='2025'!$M369), AQ$4&lt;&gt;DATE(2025,7,4)), (SWITCH(weekday(AQ$4), 1, 0, 2, if(ISBLANK('2025'!$P369), 0, 1), 3, if(ISBLANK('2025'!$Q369), 0, 1), 4, if(ISBLANK('2025'!$R369), 0, 1), 5, if(ISBLANK('2025'!$S369), 0, 1), 6, if(ISBLANK('2025'!$T369), 0, 1), 7, 0))), 1, "")</f>
        <v/>
      </c>
      <c r="AR405" s="1" t="str">
        <f>IF(AND(AND(AND(AR$4&gt;='2025'!$L369,AR$4&lt;='2025'!$M369), AR$4&lt;&gt;DATE(2025,7,4)), (SWITCH(weekday(AR$4), 1, 0, 2, if(ISBLANK('2025'!$P369), 0, 1), 3, if(ISBLANK('2025'!$Q369), 0, 1), 4, if(ISBLANK('2025'!$R369), 0, 1), 5, if(ISBLANK('2025'!$S369), 0, 1), 6, if(ISBLANK('2025'!$T369), 0, 1), 7, 0))), 1, "")</f>
        <v/>
      </c>
      <c r="AS405" s="1" t="str">
        <f>IF(AND(AND(AND(AS$4&gt;='2025'!$L369,AS$4&lt;='2025'!$M369), AS$4&lt;&gt;DATE(2025,7,4)), (SWITCH(weekday(AS$4), 1, 0, 2, if(ISBLANK('2025'!$P369), 0, 1), 3, if(ISBLANK('2025'!$Q369), 0, 1), 4, if(ISBLANK('2025'!$R369), 0, 1), 5, if(ISBLANK('2025'!$S369), 0, 1), 6, if(ISBLANK('2025'!$T369), 0, 1), 7, 0))), 1, "")</f>
        <v/>
      </c>
      <c r="AT405" s="1" t="str">
        <f>IF(AND(AND(AND(AT$4&gt;='2025'!$L369,AT$4&lt;='2025'!$M369), AT$4&lt;&gt;DATE(2025,7,4)), (SWITCH(weekday(AT$4), 1, 0, 2, if(ISBLANK('2025'!$P369), 0, 1), 3, if(ISBLANK('2025'!$Q369), 0, 1), 4, if(ISBLANK('2025'!$R369), 0, 1), 5, if(ISBLANK('2025'!$S369), 0, 1), 6, if(ISBLANK('2025'!$T369), 0, 1), 7, 0))), 1, "")</f>
        <v/>
      </c>
      <c r="AU405" s="1" t="str">
        <f>IF(AND(AND(AND(AU$4&gt;='2025'!$L369,AU$4&lt;='2025'!$M369), AU$4&lt;&gt;DATE(2025,7,4)), (SWITCH(weekday(AU$4), 1, 0, 2, if(ISBLANK('2025'!$P369), 0, 1), 3, if(ISBLANK('2025'!$Q369), 0, 1), 4, if(ISBLANK('2025'!$R369), 0, 1), 5, if(ISBLANK('2025'!$S369), 0, 1), 6, if(ISBLANK('2025'!$T369), 0, 1), 7, 0))), 1, "")</f>
        <v/>
      </c>
      <c r="AV405" s="1" t="str">
        <f>IF(AND(AND(AND(AV$4&gt;='2025'!$L369,AV$4&lt;='2025'!$M369), AV$4&lt;&gt;DATE(2025,7,4)), (SWITCH(weekday(AV$4), 1, 0, 2, if(ISBLANK('2025'!$P369), 0, 1), 3, if(ISBLANK('2025'!$Q369), 0, 1), 4, if(ISBLANK('2025'!$R369), 0, 1), 5, if(ISBLANK('2025'!$S369), 0, 1), 6, if(ISBLANK('2025'!$T369), 0, 1), 7, 0))), 1, "")</f>
        <v/>
      </c>
      <c r="AW405" s="1" t="str">
        <f>IF(AND(AND(AND(AW$4&gt;='2025'!$L369,AW$4&lt;='2025'!$M369), AW$4&lt;&gt;DATE(2025,7,4)), (SWITCH(weekday(AW$4), 1, 0, 2, if(ISBLANK('2025'!$P369), 0, 1), 3, if(ISBLANK('2025'!$Q369), 0, 1), 4, if(ISBLANK('2025'!$R369), 0, 1), 5, if(ISBLANK('2025'!$S369), 0, 1), 6, if(ISBLANK('2025'!$T369), 0, 1), 7, 0))), 1, "")</f>
        <v/>
      </c>
      <c r="AX405" s="1" t="str">
        <f>IF(AND(AND(AND(AX$4&gt;='2025'!$L369,AX$4&lt;='2025'!$M369), AX$4&lt;&gt;DATE(2025,7,4)), (SWITCH(weekday(AX$4), 1, 0, 2, if(ISBLANK('2025'!$P369), 0, 1), 3, if(ISBLANK('2025'!$Q369), 0, 1), 4, if(ISBLANK('2025'!$R369), 0, 1), 5, if(ISBLANK('2025'!$S369), 0, 1), 6, if(ISBLANK('2025'!$T369), 0, 1), 7, 0))), 1, "")</f>
        <v/>
      </c>
      <c r="AY405" s="1" t="str">
        <f>IF(AND(AND(AND(AY$4&gt;='2025'!$L369,AY$4&lt;='2025'!$M369), AY$4&lt;&gt;DATE(2025,7,4)), (SWITCH(weekday(AY$4), 1, 0, 2, if(ISBLANK('2025'!$P369), 0, 1), 3, if(ISBLANK('2025'!$Q369), 0, 1), 4, if(ISBLANK('2025'!$R369), 0, 1), 5, if(ISBLANK('2025'!$S369), 0, 1), 6, if(ISBLANK('2025'!$T369), 0, 1), 7, 0))), 1, "")</f>
        <v/>
      </c>
      <c r="AZ405" s="1" t="str">
        <f>IF(AND(AND(AND(AZ$4&gt;='2025'!$L369,AZ$4&lt;='2025'!$M369), AZ$4&lt;&gt;DATE(2025,7,4)), (SWITCH(weekday(AZ$4), 1, 0, 2, if(ISBLANK('2025'!$P369), 0, 1), 3, if(ISBLANK('2025'!$Q369), 0, 1), 4, if(ISBLANK('2025'!$R369), 0, 1), 5, if(ISBLANK('2025'!$S369), 0, 1), 6, if(ISBLANK('2025'!$T369), 0, 1), 7, 0))), 1, "")</f>
        <v/>
      </c>
      <c r="BA405" s="1" t="str">
        <f>IF(AND(AND(AND(BA$4&gt;='2025'!$L369,BA$4&lt;='2025'!$M369), BA$4&lt;&gt;DATE(2025,7,4)), (SWITCH(weekday(BA$4), 1, 0, 2, if(ISBLANK('2025'!$P369), 0, 1), 3, if(ISBLANK('2025'!$Q369), 0, 1), 4, if(ISBLANK('2025'!$R369), 0, 1), 5, if(ISBLANK('2025'!$S369), 0, 1), 6, if(ISBLANK('2025'!$T369), 0, 1), 7, 0))), 1, "")</f>
        <v/>
      </c>
      <c r="BB405" s="1" t="str">
        <f>IF(AND(AND(AND(BB$4&gt;='2025'!$L369,BB$4&lt;='2025'!$M369), BB$4&lt;&gt;DATE(2025,7,4)), (SWITCH(weekday(BB$4), 1, 0, 2, if(ISBLANK('2025'!$P369), 0, 1), 3, if(ISBLANK('2025'!$Q369), 0, 1), 4, if(ISBLANK('2025'!$R369), 0, 1), 5, if(ISBLANK('2025'!$S369), 0, 1), 6, if(ISBLANK('2025'!$T369), 0, 1), 7, 0))), 1, "")</f>
        <v/>
      </c>
      <c r="BC405" s="1" t="str">
        <f>IF(AND(AND(AND(BC$4&gt;='2025'!$L369,BC$4&lt;='2025'!$M369), BC$4&lt;&gt;DATE(2025,7,4)), (SWITCH(weekday(BC$4), 1, 0, 2, if(ISBLANK('2025'!$P369), 0, 1), 3, if(ISBLANK('2025'!$Q369), 0, 1), 4, if(ISBLANK('2025'!$R369), 0, 1), 5, if(ISBLANK('2025'!$S369), 0, 1), 6, if(ISBLANK('2025'!$T369), 0, 1), 7, 0))), 1, "")</f>
        <v/>
      </c>
      <c r="BD405" s="1" t="str">
        <f>IF(AND(AND(AND(BD$4&gt;='2025'!$L369,BD$4&lt;='2025'!$M369), BD$4&lt;&gt;DATE(2025,7,4)), (SWITCH(weekday(BD$4), 1, 0, 2, if(ISBLANK('2025'!$P369), 0, 1), 3, if(ISBLANK('2025'!$Q369), 0, 1), 4, if(ISBLANK('2025'!$R369), 0, 1), 5, if(ISBLANK('2025'!$S369), 0, 1), 6, if(ISBLANK('2025'!$T369), 0, 1), 7, 0))), 1, "")</f>
        <v/>
      </c>
      <c r="BE405" s="1" t="str">
        <f>IF(AND(AND(AND(BE$4&gt;='2025'!$L369,BE$4&lt;='2025'!$M369), BE$4&lt;&gt;DATE(2025,7,4)), (SWITCH(weekday(BE$4), 1, 0, 2, if(ISBLANK('2025'!$P369), 0, 1), 3, if(ISBLANK('2025'!$Q369), 0, 1), 4, if(ISBLANK('2025'!$R369), 0, 1), 5, if(ISBLANK('2025'!$S369), 0, 1), 6, if(ISBLANK('2025'!$T369), 0, 1), 7, 0))), 1, "")</f>
        <v/>
      </c>
    </row>
    <row r="406">
      <c r="A406" s="1">
        <f t="shared" si="3"/>
        <v>406</v>
      </c>
      <c r="B406" s="1" t="str">
        <f>'2025'!D370</f>
        <v/>
      </c>
      <c r="C406" s="1" t="str">
        <f>'2025'!H370</f>
        <v/>
      </c>
      <c r="D406" s="1" t="str">
        <f>IF(AND(AND(AND(D$4&gt;='2025'!$L370,D$4&lt;='2025'!$M370), D$4&lt;&gt;DATE(2025,7,4)), (SWITCH(weekday(D$4), 1, 0, 2, if(ISBLANK('2025'!$P370), 0, 1), 3, if(ISBLANK('2025'!$Q370), 0, 1), 4, if(ISBLANK('2025'!$R370), 0, 1), 5, if(ISBLANK('2025'!$S370), 0, 1), 6, if(ISBLANK('2025'!$T370), 0, 1), 7, 0))), 1, "")</f>
        <v/>
      </c>
      <c r="E406" s="1" t="str">
        <f>IF(AND(AND(AND(E$4&gt;='2025'!$L370,E$4&lt;='2025'!$M370), E$4&lt;&gt;DATE(2025,7,4)), (SWITCH(weekday(E$4), 1, 0, 2, if(ISBLANK('2025'!$P370), 0, 1), 3, if(ISBLANK('2025'!$Q370), 0, 1), 4, if(ISBLANK('2025'!$R370), 0, 1), 5, if(ISBLANK('2025'!$S370), 0, 1), 6, if(ISBLANK('2025'!$T370), 0, 1), 7, 0))), 1, "")</f>
        <v/>
      </c>
      <c r="F406" s="1" t="str">
        <f>IF(AND(AND(AND(F$4&gt;='2025'!$L370,F$4&lt;='2025'!$M370), F$4&lt;&gt;DATE(2025,7,4)), (SWITCH(weekday(F$4), 1, 0, 2, if(ISBLANK('2025'!$P370), 0, 1), 3, if(ISBLANK('2025'!$Q370), 0, 1), 4, if(ISBLANK('2025'!$R370), 0, 1), 5, if(ISBLANK('2025'!$S370), 0, 1), 6, if(ISBLANK('2025'!$T370), 0, 1), 7, 0))), 1, "")</f>
        <v/>
      </c>
      <c r="G406" s="1" t="str">
        <f>IF(AND(AND(AND(G$4&gt;='2025'!$L370,G$4&lt;='2025'!$M370), G$4&lt;&gt;DATE(2025,7,4)), (SWITCH(weekday(G$4), 1, 0, 2, if(ISBLANK('2025'!$P370), 0, 1), 3, if(ISBLANK('2025'!$Q370), 0, 1), 4, if(ISBLANK('2025'!$R370), 0, 1), 5, if(ISBLANK('2025'!$S370), 0, 1), 6, if(ISBLANK('2025'!$T370), 0, 1), 7, 0))), 1, "")</f>
        <v/>
      </c>
      <c r="H406" s="1" t="str">
        <f>IF(AND(AND(AND(H$4&gt;='2025'!$L370,H$4&lt;='2025'!$M370), H$4&lt;&gt;DATE(2025,7,4)), (SWITCH(weekday(H$4), 1, 0, 2, if(ISBLANK('2025'!$P370), 0, 1), 3, if(ISBLANK('2025'!$Q370), 0, 1), 4, if(ISBLANK('2025'!$R370), 0, 1), 5, if(ISBLANK('2025'!$S370), 0, 1), 6, if(ISBLANK('2025'!$T370), 0, 1), 7, 0))), 1, "")</f>
        <v/>
      </c>
      <c r="I406" s="1" t="str">
        <f>IF(AND(AND(AND(I$4&gt;='2025'!$L370,I$4&lt;='2025'!$M370), I$4&lt;&gt;DATE(2025,7,4)), (SWITCH(weekday(I$4), 1, 0, 2, if(ISBLANK('2025'!$P370), 0, 1), 3, if(ISBLANK('2025'!$Q370), 0, 1), 4, if(ISBLANK('2025'!$R370), 0, 1), 5, if(ISBLANK('2025'!$S370), 0, 1), 6, if(ISBLANK('2025'!$T370), 0, 1), 7, 0))), 1, "")</f>
        <v/>
      </c>
      <c r="J406" s="1" t="str">
        <f>IF(AND(AND(AND(J$4&gt;='2025'!$L370,J$4&lt;='2025'!$M370), J$4&lt;&gt;DATE(2025,7,4)), (SWITCH(weekday(J$4), 1, 0, 2, if(ISBLANK('2025'!$P370), 0, 1), 3, if(ISBLANK('2025'!$Q370), 0, 1), 4, if(ISBLANK('2025'!$R370), 0, 1), 5, if(ISBLANK('2025'!$S370), 0, 1), 6, if(ISBLANK('2025'!$T370), 0, 1), 7, 0))), 1, "")</f>
        <v/>
      </c>
      <c r="K406" s="1" t="str">
        <f>IF(AND(AND(AND(K$4&gt;='2025'!$L370,K$4&lt;='2025'!$M370), K$4&lt;&gt;DATE(2025,7,4)), (SWITCH(weekday(K$4), 1, 0, 2, if(ISBLANK('2025'!$P370), 0, 1), 3, if(ISBLANK('2025'!$Q370), 0, 1), 4, if(ISBLANK('2025'!$R370), 0, 1), 5, if(ISBLANK('2025'!$S370), 0, 1), 6, if(ISBLANK('2025'!$T370), 0, 1), 7, 0))), 1, "")</f>
        <v/>
      </c>
      <c r="L406" s="1" t="str">
        <f>IF(AND(AND(AND(L$4&gt;='2025'!$L370,L$4&lt;='2025'!$M370), L$4&lt;&gt;DATE(2025,7,4)), (SWITCH(weekday(L$4), 1, 0, 2, if(ISBLANK('2025'!$P370), 0, 1), 3, if(ISBLANK('2025'!$Q370), 0, 1), 4, if(ISBLANK('2025'!$R370), 0, 1), 5, if(ISBLANK('2025'!$S370), 0, 1), 6, if(ISBLANK('2025'!$T370), 0, 1), 7, 0))), 1, "")</f>
        <v/>
      </c>
      <c r="M406" s="1" t="str">
        <f>IF(AND(AND(AND(M$4&gt;='2025'!$L370,M$4&lt;='2025'!$M370), M$4&lt;&gt;DATE(2025,7,4)), (SWITCH(weekday(M$4), 1, 0, 2, if(ISBLANK('2025'!$P370), 0, 1), 3, if(ISBLANK('2025'!$Q370), 0, 1), 4, if(ISBLANK('2025'!$R370), 0, 1), 5, if(ISBLANK('2025'!$S370), 0, 1), 6, if(ISBLANK('2025'!$T370), 0, 1), 7, 0))), 1, "")</f>
        <v/>
      </c>
      <c r="N406" s="1" t="str">
        <f>IF(AND(AND(AND(N$4&gt;='2025'!$L370,N$4&lt;='2025'!$M370), N$4&lt;&gt;DATE(2025,7,4)), (SWITCH(weekday(N$4), 1, 0, 2, if(ISBLANK('2025'!$P370), 0, 1), 3, if(ISBLANK('2025'!$Q370), 0, 1), 4, if(ISBLANK('2025'!$R370), 0, 1), 5, if(ISBLANK('2025'!$S370), 0, 1), 6, if(ISBLANK('2025'!$T370), 0, 1), 7, 0))), 1, "")</f>
        <v/>
      </c>
      <c r="O406" s="1" t="str">
        <f>IF(AND(AND(AND(O$4&gt;='2025'!$L370,O$4&lt;='2025'!$M370), O$4&lt;&gt;DATE(2025,7,4)), (SWITCH(weekday(O$4), 1, 0, 2, if(ISBLANK('2025'!$P370), 0, 1), 3, if(ISBLANK('2025'!$Q370), 0, 1), 4, if(ISBLANK('2025'!$R370), 0, 1), 5, if(ISBLANK('2025'!$S370), 0, 1), 6, if(ISBLANK('2025'!$T370), 0, 1), 7, 0))), 1, "")</f>
        <v/>
      </c>
      <c r="P406" s="1" t="str">
        <f>IF(AND(AND(AND(P$4&gt;='2025'!$L370,P$4&lt;='2025'!$M370), P$4&lt;&gt;DATE(2025,7,4)), (SWITCH(weekday(P$4), 1, 0, 2, if(ISBLANK('2025'!$P370), 0, 1), 3, if(ISBLANK('2025'!$Q370), 0, 1), 4, if(ISBLANK('2025'!$R370), 0, 1), 5, if(ISBLANK('2025'!$S370), 0, 1), 6, if(ISBLANK('2025'!$T370), 0, 1), 7, 0))), 1, "")</f>
        <v/>
      </c>
      <c r="Q406" s="1" t="str">
        <f>IF(AND(AND(AND(Q$4&gt;='2025'!$L370,Q$4&lt;='2025'!$M370), Q$4&lt;&gt;DATE(2025,7,4)), (SWITCH(weekday(Q$4), 1, 0, 2, if(ISBLANK('2025'!$P370), 0, 1), 3, if(ISBLANK('2025'!$Q370), 0, 1), 4, if(ISBLANK('2025'!$R370), 0, 1), 5, if(ISBLANK('2025'!$S370), 0, 1), 6, if(ISBLANK('2025'!$T370), 0, 1), 7, 0))), 1, "")</f>
        <v/>
      </c>
      <c r="R406" s="1" t="str">
        <f>IF(AND(AND(AND(R$4&gt;='2025'!$L370,R$4&lt;='2025'!$M370), R$4&lt;&gt;DATE(2025,7,4)), (SWITCH(weekday(R$4), 1, 0, 2, if(ISBLANK('2025'!$P370), 0, 1), 3, if(ISBLANK('2025'!$Q370), 0, 1), 4, if(ISBLANK('2025'!$R370), 0, 1), 5, if(ISBLANK('2025'!$S370), 0, 1), 6, if(ISBLANK('2025'!$T370), 0, 1), 7, 0))), 1, "")</f>
        <v/>
      </c>
      <c r="S406" s="1" t="str">
        <f>IF(AND(AND(AND(S$4&gt;='2025'!$L370,S$4&lt;='2025'!$M370), S$4&lt;&gt;DATE(2025,7,4)), (SWITCH(weekday(S$4), 1, 0, 2, if(ISBLANK('2025'!$P370), 0, 1), 3, if(ISBLANK('2025'!$Q370), 0, 1), 4, if(ISBLANK('2025'!$R370), 0, 1), 5, if(ISBLANK('2025'!$S370), 0, 1), 6, if(ISBLANK('2025'!$T370), 0, 1), 7, 0))), 1, "")</f>
        <v/>
      </c>
      <c r="T406" s="1" t="str">
        <f>IF(AND(AND(AND(T$4&gt;='2025'!$L370,T$4&lt;='2025'!$M370), T$4&lt;&gt;DATE(2025,7,4)), (SWITCH(weekday(T$4), 1, 0, 2, if(ISBLANK('2025'!$P370), 0, 1), 3, if(ISBLANK('2025'!$Q370), 0, 1), 4, if(ISBLANK('2025'!$R370), 0, 1), 5, if(ISBLANK('2025'!$S370), 0, 1), 6, if(ISBLANK('2025'!$T370), 0, 1), 7, 0))), 1, "")</f>
        <v/>
      </c>
      <c r="U406" s="1" t="str">
        <f>IF(AND(AND(AND(U$4&gt;='2025'!$L370,U$4&lt;='2025'!$M370), U$4&lt;&gt;DATE(2025,7,4)), (SWITCH(weekday(U$4), 1, 0, 2, if(ISBLANK('2025'!$P370), 0, 1), 3, if(ISBLANK('2025'!$Q370), 0, 1), 4, if(ISBLANK('2025'!$R370), 0, 1), 5, if(ISBLANK('2025'!$S370), 0, 1), 6, if(ISBLANK('2025'!$T370), 0, 1), 7, 0))), 1, "")</f>
        <v/>
      </c>
      <c r="V406" s="1" t="str">
        <f>IF(AND(AND(AND(V$4&gt;='2025'!$L370,V$4&lt;='2025'!$M370), V$4&lt;&gt;DATE(2025,7,4)), (SWITCH(weekday(V$4), 1, 0, 2, if(ISBLANK('2025'!$P370), 0, 1), 3, if(ISBLANK('2025'!$Q370), 0, 1), 4, if(ISBLANK('2025'!$R370), 0, 1), 5, if(ISBLANK('2025'!$S370), 0, 1), 6, if(ISBLANK('2025'!$T370), 0, 1), 7, 0))), 1, "")</f>
        <v/>
      </c>
      <c r="W406" s="1" t="str">
        <f>IF(AND(AND(AND(W$4&gt;='2025'!$L370,W$4&lt;='2025'!$M370), W$4&lt;&gt;DATE(2025,7,4)), (SWITCH(weekday(W$4), 1, 0, 2, if(ISBLANK('2025'!$P370), 0, 1), 3, if(ISBLANK('2025'!$Q370), 0, 1), 4, if(ISBLANK('2025'!$R370), 0, 1), 5, if(ISBLANK('2025'!$S370), 0, 1), 6, if(ISBLANK('2025'!$T370), 0, 1), 7, 0))), 1, "")</f>
        <v/>
      </c>
      <c r="X406" s="1" t="str">
        <f>IF(AND(AND(AND(X$4&gt;='2025'!$L370,X$4&lt;='2025'!$M370), X$4&lt;&gt;DATE(2025,7,4)), (SWITCH(weekday(X$4), 1, 0, 2, if(ISBLANK('2025'!$P370), 0, 1), 3, if(ISBLANK('2025'!$Q370), 0, 1), 4, if(ISBLANK('2025'!$R370), 0, 1), 5, if(ISBLANK('2025'!$S370), 0, 1), 6, if(ISBLANK('2025'!$T370), 0, 1), 7, 0))), 1, "")</f>
        <v/>
      </c>
      <c r="Y406" s="1" t="str">
        <f>IF(AND(AND(AND(Y$4&gt;='2025'!$L370,Y$4&lt;='2025'!$M370), Y$4&lt;&gt;DATE(2025,7,4)), (SWITCH(weekday(Y$4), 1, 0, 2, if(ISBLANK('2025'!$P370), 0, 1), 3, if(ISBLANK('2025'!$Q370), 0, 1), 4, if(ISBLANK('2025'!$R370), 0, 1), 5, if(ISBLANK('2025'!$S370), 0, 1), 6, if(ISBLANK('2025'!$T370), 0, 1), 7, 0))), 1, "")</f>
        <v/>
      </c>
      <c r="Z406" s="1" t="str">
        <f>IF(AND(AND(AND(Z$4&gt;='2025'!$L370,Z$4&lt;='2025'!$M370), Z$4&lt;&gt;DATE(2025,7,4)), (SWITCH(weekday(Z$4), 1, 0, 2, if(ISBLANK('2025'!$P370), 0, 1), 3, if(ISBLANK('2025'!$Q370), 0, 1), 4, if(ISBLANK('2025'!$R370), 0, 1), 5, if(ISBLANK('2025'!$S370), 0, 1), 6, if(ISBLANK('2025'!$T370), 0, 1), 7, 0))), 1, "")</f>
        <v/>
      </c>
      <c r="AA406" s="1" t="str">
        <f>IF(AND(AND(AND(AA$4&gt;='2025'!$L370,AA$4&lt;='2025'!$M370), AA$4&lt;&gt;DATE(2025,7,4)), (SWITCH(weekday(AA$4), 1, 0, 2, if(ISBLANK('2025'!$P370), 0, 1), 3, if(ISBLANK('2025'!$Q370), 0, 1), 4, if(ISBLANK('2025'!$R370), 0, 1), 5, if(ISBLANK('2025'!$S370), 0, 1), 6, if(ISBLANK('2025'!$T370), 0, 1), 7, 0))), 1, "")</f>
        <v/>
      </c>
      <c r="AB406" s="1" t="str">
        <f>IF(AND(AND(AND(AB$4&gt;='2025'!$L370,AB$4&lt;='2025'!$M370), AB$4&lt;&gt;DATE(2025,7,4)), (SWITCH(weekday(AB$4), 1, 0, 2, if(ISBLANK('2025'!$P370), 0, 1), 3, if(ISBLANK('2025'!$Q370), 0, 1), 4, if(ISBLANK('2025'!$R370), 0, 1), 5, if(ISBLANK('2025'!$S370), 0, 1), 6, if(ISBLANK('2025'!$T370), 0, 1), 7, 0))), 1, "")</f>
        <v/>
      </c>
      <c r="AC406" s="1" t="str">
        <f>IF(AND(AND(AND(AC$4&gt;='2025'!$L370,AC$4&lt;='2025'!$M370), AC$4&lt;&gt;DATE(2025,7,4)), (SWITCH(weekday(AC$4), 1, 0, 2, if(ISBLANK('2025'!$P370), 0, 1), 3, if(ISBLANK('2025'!$Q370), 0, 1), 4, if(ISBLANK('2025'!$R370), 0, 1), 5, if(ISBLANK('2025'!$S370), 0, 1), 6, if(ISBLANK('2025'!$T370), 0, 1), 7, 0))), 1, "")</f>
        <v/>
      </c>
      <c r="AD406" s="1" t="str">
        <f>IF(AND(AND(AND(AD$4&gt;='2025'!$L370,AD$4&lt;='2025'!$M370), AD$4&lt;&gt;DATE(2025,7,4)), (SWITCH(weekday(AD$4), 1, 0, 2, if(ISBLANK('2025'!$P370), 0, 1), 3, if(ISBLANK('2025'!$Q370), 0, 1), 4, if(ISBLANK('2025'!$R370), 0, 1), 5, if(ISBLANK('2025'!$S370), 0, 1), 6, if(ISBLANK('2025'!$T370), 0, 1), 7, 0))), 1, "")</f>
        <v/>
      </c>
      <c r="AE406" s="1" t="str">
        <f>IF(AND(AND(AND(AE$4&gt;='2025'!$L370,AE$4&lt;='2025'!$M370), AE$4&lt;&gt;DATE(2025,7,4)), (SWITCH(weekday(AE$4), 1, 0, 2, if(ISBLANK('2025'!$P370), 0, 1), 3, if(ISBLANK('2025'!$Q370), 0, 1), 4, if(ISBLANK('2025'!$R370), 0, 1), 5, if(ISBLANK('2025'!$S370), 0, 1), 6, if(ISBLANK('2025'!$T370), 0, 1), 7, 0))), 1, "")</f>
        <v/>
      </c>
      <c r="AF406" s="1" t="str">
        <f>IF(AND(AND(AND(AF$4&gt;='2025'!$L370,AF$4&lt;='2025'!$M370), AF$4&lt;&gt;DATE(2025,7,4)), (SWITCH(weekday(AF$4), 1, 0, 2, if(ISBLANK('2025'!$P370), 0, 1), 3, if(ISBLANK('2025'!$Q370), 0, 1), 4, if(ISBLANK('2025'!$R370), 0, 1), 5, if(ISBLANK('2025'!$S370), 0, 1), 6, if(ISBLANK('2025'!$T370), 0, 1), 7, 0))), 1, "")</f>
        <v/>
      </c>
      <c r="AG406" s="1" t="str">
        <f>IF(AND(AND(AND(AG$4&gt;='2025'!$L370,AG$4&lt;='2025'!$M370), AG$4&lt;&gt;DATE(2025,7,4)), (SWITCH(weekday(AG$4), 1, 0, 2, if(ISBLANK('2025'!$P370), 0, 1), 3, if(ISBLANK('2025'!$Q370), 0, 1), 4, if(ISBLANK('2025'!$R370), 0, 1), 5, if(ISBLANK('2025'!$S370), 0, 1), 6, if(ISBLANK('2025'!$T370), 0, 1), 7, 0))), 1, "")</f>
        <v/>
      </c>
      <c r="AH406" s="1" t="str">
        <f>IF(AND(AND(AND(AH$4&gt;='2025'!$L370,AH$4&lt;='2025'!$M370), AH$4&lt;&gt;DATE(2025,7,4)), (SWITCH(weekday(AH$4), 1, 0, 2, if(ISBLANK('2025'!$P370), 0, 1), 3, if(ISBLANK('2025'!$Q370), 0, 1), 4, if(ISBLANK('2025'!$R370), 0, 1), 5, if(ISBLANK('2025'!$S370), 0, 1), 6, if(ISBLANK('2025'!$T370), 0, 1), 7, 0))), 1, "")</f>
        <v/>
      </c>
      <c r="AI406" s="1" t="str">
        <f>IF(AND(AND(AND(AI$4&gt;='2025'!$L370,AI$4&lt;='2025'!$M370), AI$4&lt;&gt;DATE(2025,7,4)), (SWITCH(weekday(AI$4), 1, 0, 2, if(ISBLANK('2025'!$P370), 0, 1), 3, if(ISBLANK('2025'!$Q370), 0, 1), 4, if(ISBLANK('2025'!$R370), 0, 1), 5, if(ISBLANK('2025'!$S370), 0, 1), 6, if(ISBLANK('2025'!$T370), 0, 1), 7, 0))), 1, "")</f>
        <v/>
      </c>
      <c r="AJ406" s="1" t="str">
        <f>IF(AND(AND(AND(AJ$4&gt;='2025'!$L370,AJ$4&lt;='2025'!$M370), AJ$4&lt;&gt;DATE(2025,7,4)), (SWITCH(weekday(AJ$4), 1, 0, 2, if(ISBLANK('2025'!$P370), 0, 1), 3, if(ISBLANK('2025'!$Q370), 0, 1), 4, if(ISBLANK('2025'!$R370), 0, 1), 5, if(ISBLANK('2025'!$S370), 0, 1), 6, if(ISBLANK('2025'!$T370), 0, 1), 7, 0))), 1, "")</f>
        <v/>
      </c>
      <c r="AK406" s="1" t="str">
        <f>IF(AND(AND(AND(AK$4&gt;='2025'!$L370,AK$4&lt;='2025'!$M370), AK$4&lt;&gt;DATE(2025,7,4)), (SWITCH(weekday(AK$4), 1, 0, 2, if(ISBLANK('2025'!$P370), 0, 1), 3, if(ISBLANK('2025'!$Q370), 0, 1), 4, if(ISBLANK('2025'!$R370), 0, 1), 5, if(ISBLANK('2025'!$S370), 0, 1), 6, if(ISBLANK('2025'!$T370), 0, 1), 7, 0))), 1, "")</f>
        <v/>
      </c>
      <c r="AL406" s="1" t="str">
        <f>IF(AND(AND(AND(AL$4&gt;='2025'!$L370,AL$4&lt;='2025'!$M370), AL$4&lt;&gt;DATE(2025,7,4)), (SWITCH(weekday(AL$4), 1, 0, 2, if(ISBLANK('2025'!$P370), 0, 1), 3, if(ISBLANK('2025'!$Q370), 0, 1), 4, if(ISBLANK('2025'!$R370), 0, 1), 5, if(ISBLANK('2025'!$S370), 0, 1), 6, if(ISBLANK('2025'!$T370), 0, 1), 7, 0))), 1, "")</f>
        <v/>
      </c>
      <c r="AM406" s="1" t="str">
        <f>IF(AND(AND(AND(AM$4&gt;='2025'!$L370,AM$4&lt;='2025'!$M370), AM$4&lt;&gt;DATE(2025,7,4)), (SWITCH(weekday(AM$4), 1, 0, 2, if(ISBLANK('2025'!$P370), 0, 1), 3, if(ISBLANK('2025'!$Q370), 0, 1), 4, if(ISBLANK('2025'!$R370), 0, 1), 5, if(ISBLANK('2025'!$S370), 0, 1), 6, if(ISBLANK('2025'!$T370), 0, 1), 7, 0))), 1, "")</f>
        <v/>
      </c>
      <c r="AN406" s="1" t="str">
        <f>IF(AND(AND(AND(AN$4&gt;='2025'!$L370,AN$4&lt;='2025'!$M370), AN$4&lt;&gt;DATE(2025,7,4)), (SWITCH(weekday(AN$4), 1, 0, 2, if(ISBLANK('2025'!$P370), 0, 1), 3, if(ISBLANK('2025'!$Q370), 0, 1), 4, if(ISBLANK('2025'!$R370), 0, 1), 5, if(ISBLANK('2025'!$S370), 0, 1), 6, if(ISBLANK('2025'!$T370), 0, 1), 7, 0))), 1, "")</f>
        <v/>
      </c>
      <c r="AO406" s="1" t="str">
        <f>IF(AND(AND(AND(AO$4&gt;='2025'!$L370,AO$4&lt;='2025'!$M370), AO$4&lt;&gt;DATE(2025,7,4)), (SWITCH(weekday(AO$4), 1, 0, 2, if(ISBLANK('2025'!$P370), 0, 1), 3, if(ISBLANK('2025'!$Q370), 0, 1), 4, if(ISBLANK('2025'!$R370), 0, 1), 5, if(ISBLANK('2025'!$S370), 0, 1), 6, if(ISBLANK('2025'!$T370), 0, 1), 7, 0))), 1, "")</f>
        <v/>
      </c>
      <c r="AP406" s="1" t="str">
        <f>IF(AND(AND(AND(AP$4&gt;='2025'!$L370,AP$4&lt;='2025'!$M370), AP$4&lt;&gt;DATE(2025,7,4)), (SWITCH(weekday(AP$4), 1, 0, 2, if(ISBLANK('2025'!$P370), 0, 1), 3, if(ISBLANK('2025'!$Q370), 0, 1), 4, if(ISBLANK('2025'!$R370), 0, 1), 5, if(ISBLANK('2025'!$S370), 0, 1), 6, if(ISBLANK('2025'!$T370), 0, 1), 7, 0))), 1, "")</f>
        <v/>
      </c>
      <c r="AQ406" s="1" t="str">
        <f>IF(AND(AND(AND(AQ$4&gt;='2025'!$L370,AQ$4&lt;='2025'!$M370), AQ$4&lt;&gt;DATE(2025,7,4)), (SWITCH(weekday(AQ$4), 1, 0, 2, if(ISBLANK('2025'!$P370), 0, 1), 3, if(ISBLANK('2025'!$Q370), 0, 1), 4, if(ISBLANK('2025'!$R370), 0, 1), 5, if(ISBLANK('2025'!$S370), 0, 1), 6, if(ISBLANK('2025'!$T370), 0, 1), 7, 0))), 1, "")</f>
        <v/>
      </c>
      <c r="AR406" s="1" t="str">
        <f>IF(AND(AND(AND(AR$4&gt;='2025'!$L370,AR$4&lt;='2025'!$M370), AR$4&lt;&gt;DATE(2025,7,4)), (SWITCH(weekday(AR$4), 1, 0, 2, if(ISBLANK('2025'!$P370), 0, 1), 3, if(ISBLANK('2025'!$Q370), 0, 1), 4, if(ISBLANK('2025'!$R370), 0, 1), 5, if(ISBLANK('2025'!$S370), 0, 1), 6, if(ISBLANK('2025'!$T370), 0, 1), 7, 0))), 1, "")</f>
        <v/>
      </c>
      <c r="AS406" s="1" t="str">
        <f>IF(AND(AND(AND(AS$4&gt;='2025'!$L370,AS$4&lt;='2025'!$M370), AS$4&lt;&gt;DATE(2025,7,4)), (SWITCH(weekday(AS$4), 1, 0, 2, if(ISBLANK('2025'!$P370), 0, 1), 3, if(ISBLANK('2025'!$Q370), 0, 1), 4, if(ISBLANK('2025'!$R370), 0, 1), 5, if(ISBLANK('2025'!$S370), 0, 1), 6, if(ISBLANK('2025'!$T370), 0, 1), 7, 0))), 1, "")</f>
        <v/>
      </c>
      <c r="AT406" s="1" t="str">
        <f>IF(AND(AND(AND(AT$4&gt;='2025'!$L370,AT$4&lt;='2025'!$M370), AT$4&lt;&gt;DATE(2025,7,4)), (SWITCH(weekday(AT$4), 1, 0, 2, if(ISBLANK('2025'!$P370), 0, 1), 3, if(ISBLANK('2025'!$Q370), 0, 1), 4, if(ISBLANK('2025'!$R370), 0, 1), 5, if(ISBLANK('2025'!$S370), 0, 1), 6, if(ISBLANK('2025'!$T370), 0, 1), 7, 0))), 1, "")</f>
        <v/>
      </c>
      <c r="AU406" s="1" t="str">
        <f>IF(AND(AND(AND(AU$4&gt;='2025'!$L370,AU$4&lt;='2025'!$M370), AU$4&lt;&gt;DATE(2025,7,4)), (SWITCH(weekday(AU$4), 1, 0, 2, if(ISBLANK('2025'!$P370), 0, 1), 3, if(ISBLANK('2025'!$Q370), 0, 1), 4, if(ISBLANK('2025'!$R370), 0, 1), 5, if(ISBLANK('2025'!$S370), 0, 1), 6, if(ISBLANK('2025'!$T370), 0, 1), 7, 0))), 1, "")</f>
        <v/>
      </c>
      <c r="AV406" s="1" t="str">
        <f>IF(AND(AND(AND(AV$4&gt;='2025'!$L370,AV$4&lt;='2025'!$M370), AV$4&lt;&gt;DATE(2025,7,4)), (SWITCH(weekday(AV$4), 1, 0, 2, if(ISBLANK('2025'!$P370), 0, 1), 3, if(ISBLANK('2025'!$Q370), 0, 1), 4, if(ISBLANK('2025'!$R370), 0, 1), 5, if(ISBLANK('2025'!$S370), 0, 1), 6, if(ISBLANK('2025'!$T370), 0, 1), 7, 0))), 1, "")</f>
        <v/>
      </c>
      <c r="AW406" s="1" t="str">
        <f>IF(AND(AND(AND(AW$4&gt;='2025'!$L370,AW$4&lt;='2025'!$M370), AW$4&lt;&gt;DATE(2025,7,4)), (SWITCH(weekday(AW$4), 1, 0, 2, if(ISBLANK('2025'!$P370), 0, 1), 3, if(ISBLANK('2025'!$Q370), 0, 1), 4, if(ISBLANK('2025'!$R370), 0, 1), 5, if(ISBLANK('2025'!$S370), 0, 1), 6, if(ISBLANK('2025'!$T370), 0, 1), 7, 0))), 1, "")</f>
        <v/>
      </c>
      <c r="AX406" s="1" t="str">
        <f>IF(AND(AND(AND(AX$4&gt;='2025'!$L370,AX$4&lt;='2025'!$M370), AX$4&lt;&gt;DATE(2025,7,4)), (SWITCH(weekday(AX$4), 1, 0, 2, if(ISBLANK('2025'!$P370), 0, 1), 3, if(ISBLANK('2025'!$Q370), 0, 1), 4, if(ISBLANK('2025'!$R370), 0, 1), 5, if(ISBLANK('2025'!$S370), 0, 1), 6, if(ISBLANK('2025'!$T370), 0, 1), 7, 0))), 1, "")</f>
        <v/>
      </c>
      <c r="AY406" s="1" t="str">
        <f>IF(AND(AND(AND(AY$4&gt;='2025'!$L370,AY$4&lt;='2025'!$M370), AY$4&lt;&gt;DATE(2025,7,4)), (SWITCH(weekday(AY$4), 1, 0, 2, if(ISBLANK('2025'!$P370), 0, 1), 3, if(ISBLANK('2025'!$Q370), 0, 1), 4, if(ISBLANK('2025'!$R370), 0, 1), 5, if(ISBLANK('2025'!$S370), 0, 1), 6, if(ISBLANK('2025'!$T370), 0, 1), 7, 0))), 1, "")</f>
        <v/>
      </c>
      <c r="AZ406" s="1" t="str">
        <f>IF(AND(AND(AND(AZ$4&gt;='2025'!$L370,AZ$4&lt;='2025'!$M370), AZ$4&lt;&gt;DATE(2025,7,4)), (SWITCH(weekday(AZ$4), 1, 0, 2, if(ISBLANK('2025'!$P370), 0, 1), 3, if(ISBLANK('2025'!$Q370), 0, 1), 4, if(ISBLANK('2025'!$R370), 0, 1), 5, if(ISBLANK('2025'!$S370), 0, 1), 6, if(ISBLANK('2025'!$T370), 0, 1), 7, 0))), 1, "")</f>
        <v/>
      </c>
      <c r="BA406" s="1" t="str">
        <f>IF(AND(AND(AND(BA$4&gt;='2025'!$L370,BA$4&lt;='2025'!$M370), BA$4&lt;&gt;DATE(2025,7,4)), (SWITCH(weekday(BA$4), 1, 0, 2, if(ISBLANK('2025'!$P370), 0, 1), 3, if(ISBLANK('2025'!$Q370), 0, 1), 4, if(ISBLANK('2025'!$R370), 0, 1), 5, if(ISBLANK('2025'!$S370), 0, 1), 6, if(ISBLANK('2025'!$T370), 0, 1), 7, 0))), 1, "")</f>
        <v/>
      </c>
      <c r="BB406" s="1" t="str">
        <f>IF(AND(AND(AND(BB$4&gt;='2025'!$L370,BB$4&lt;='2025'!$M370), BB$4&lt;&gt;DATE(2025,7,4)), (SWITCH(weekday(BB$4), 1, 0, 2, if(ISBLANK('2025'!$P370), 0, 1), 3, if(ISBLANK('2025'!$Q370), 0, 1), 4, if(ISBLANK('2025'!$R370), 0, 1), 5, if(ISBLANK('2025'!$S370), 0, 1), 6, if(ISBLANK('2025'!$T370), 0, 1), 7, 0))), 1, "")</f>
        <v/>
      </c>
      <c r="BC406" s="1" t="str">
        <f>IF(AND(AND(AND(BC$4&gt;='2025'!$L370,BC$4&lt;='2025'!$M370), BC$4&lt;&gt;DATE(2025,7,4)), (SWITCH(weekday(BC$4), 1, 0, 2, if(ISBLANK('2025'!$P370), 0, 1), 3, if(ISBLANK('2025'!$Q370), 0, 1), 4, if(ISBLANK('2025'!$R370), 0, 1), 5, if(ISBLANK('2025'!$S370), 0, 1), 6, if(ISBLANK('2025'!$T370), 0, 1), 7, 0))), 1, "")</f>
        <v/>
      </c>
      <c r="BD406" s="1" t="str">
        <f>IF(AND(AND(AND(BD$4&gt;='2025'!$L370,BD$4&lt;='2025'!$M370), BD$4&lt;&gt;DATE(2025,7,4)), (SWITCH(weekday(BD$4), 1, 0, 2, if(ISBLANK('2025'!$P370), 0, 1), 3, if(ISBLANK('2025'!$Q370), 0, 1), 4, if(ISBLANK('2025'!$R370), 0, 1), 5, if(ISBLANK('2025'!$S370), 0, 1), 6, if(ISBLANK('2025'!$T370), 0, 1), 7, 0))), 1, "")</f>
        <v/>
      </c>
      <c r="BE406" s="1" t="str">
        <f>IF(AND(AND(AND(BE$4&gt;='2025'!$L370,BE$4&lt;='2025'!$M370), BE$4&lt;&gt;DATE(2025,7,4)), (SWITCH(weekday(BE$4), 1, 0, 2, if(ISBLANK('2025'!$P370), 0, 1), 3, if(ISBLANK('2025'!$Q370), 0, 1), 4, if(ISBLANK('2025'!$R370), 0, 1), 5, if(ISBLANK('2025'!$S370), 0, 1), 6, if(ISBLANK('2025'!$T370), 0, 1), 7, 0))), 1, "")</f>
        <v/>
      </c>
    </row>
    <row r="407">
      <c r="A407" s="1">
        <f t="shared" si="3"/>
        <v>407</v>
      </c>
      <c r="B407" s="1" t="str">
        <f>'2025'!D371</f>
        <v/>
      </c>
      <c r="C407" s="1" t="str">
        <f>'2025'!H371</f>
        <v/>
      </c>
      <c r="D407" s="1" t="str">
        <f>IF(AND(AND(AND(D$4&gt;='2025'!$L371,D$4&lt;='2025'!$M371), D$4&lt;&gt;DATE(2025,7,4)), (SWITCH(weekday(D$4), 1, 0, 2, if(ISBLANK('2025'!$P371), 0, 1), 3, if(ISBLANK('2025'!$Q371), 0, 1), 4, if(ISBLANK('2025'!$R371), 0, 1), 5, if(ISBLANK('2025'!$S371), 0, 1), 6, if(ISBLANK('2025'!$T371), 0, 1), 7, 0))), 1, "")</f>
        <v/>
      </c>
      <c r="E407" s="1" t="str">
        <f>IF(AND(AND(AND(E$4&gt;='2025'!$L371,E$4&lt;='2025'!$M371), E$4&lt;&gt;DATE(2025,7,4)), (SWITCH(weekday(E$4), 1, 0, 2, if(ISBLANK('2025'!$P371), 0, 1), 3, if(ISBLANK('2025'!$Q371), 0, 1), 4, if(ISBLANK('2025'!$R371), 0, 1), 5, if(ISBLANK('2025'!$S371), 0, 1), 6, if(ISBLANK('2025'!$T371), 0, 1), 7, 0))), 1, "")</f>
        <v/>
      </c>
      <c r="F407" s="1" t="str">
        <f>IF(AND(AND(AND(F$4&gt;='2025'!$L371,F$4&lt;='2025'!$M371), F$4&lt;&gt;DATE(2025,7,4)), (SWITCH(weekday(F$4), 1, 0, 2, if(ISBLANK('2025'!$P371), 0, 1), 3, if(ISBLANK('2025'!$Q371), 0, 1), 4, if(ISBLANK('2025'!$R371), 0, 1), 5, if(ISBLANK('2025'!$S371), 0, 1), 6, if(ISBLANK('2025'!$T371), 0, 1), 7, 0))), 1, "")</f>
        <v/>
      </c>
      <c r="G407" s="1" t="str">
        <f>IF(AND(AND(AND(G$4&gt;='2025'!$L371,G$4&lt;='2025'!$M371), G$4&lt;&gt;DATE(2025,7,4)), (SWITCH(weekday(G$4), 1, 0, 2, if(ISBLANK('2025'!$P371), 0, 1), 3, if(ISBLANK('2025'!$Q371), 0, 1), 4, if(ISBLANK('2025'!$R371), 0, 1), 5, if(ISBLANK('2025'!$S371), 0, 1), 6, if(ISBLANK('2025'!$T371), 0, 1), 7, 0))), 1, "")</f>
        <v/>
      </c>
      <c r="H407" s="1" t="str">
        <f>IF(AND(AND(AND(H$4&gt;='2025'!$L371,H$4&lt;='2025'!$M371), H$4&lt;&gt;DATE(2025,7,4)), (SWITCH(weekday(H$4), 1, 0, 2, if(ISBLANK('2025'!$P371), 0, 1), 3, if(ISBLANK('2025'!$Q371), 0, 1), 4, if(ISBLANK('2025'!$R371), 0, 1), 5, if(ISBLANK('2025'!$S371), 0, 1), 6, if(ISBLANK('2025'!$T371), 0, 1), 7, 0))), 1, "")</f>
        <v/>
      </c>
      <c r="I407" s="1" t="str">
        <f>IF(AND(AND(AND(I$4&gt;='2025'!$L371,I$4&lt;='2025'!$M371), I$4&lt;&gt;DATE(2025,7,4)), (SWITCH(weekday(I$4), 1, 0, 2, if(ISBLANK('2025'!$P371), 0, 1), 3, if(ISBLANK('2025'!$Q371), 0, 1), 4, if(ISBLANK('2025'!$R371), 0, 1), 5, if(ISBLANK('2025'!$S371), 0, 1), 6, if(ISBLANK('2025'!$T371), 0, 1), 7, 0))), 1, "")</f>
        <v/>
      </c>
      <c r="J407" s="1" t="str">
        <f>IF(AND(AND(AND(J$4&gt;='2025'!$L371,J$4&lt;='2025'!$M371), J$4&lt;&gt;DATE(2025,7,4)), (SWITCH(weekday(J$4), 1, 0, 2, if(ISBLANK('2025'!$P371), 0, 1), 3, if(ISBLANK('2025'!$Q371), 0, 1), 4, if(ISBLANK('2025'!$R371), 0, 1), 5, if(ISBLANK('2025'!$S371), 0, 1), 6, if(ISBLANK('2025'!$T371), 0, 1), 7, 0))), 1, "")</f>
        <v/>
      </c>
      <c r="K407" s="1" t="str">
        <f>IF(AND(AND(AND(K$4&gt;='2025'!$L371,K$4&lt;='2025'!$M371), K$4&lt;&gt;DATE(2025,7,4)), (SWITCH(weekday(K$4), 1, 0, 2, if(ISBLANK('2025'!$P371), 0, 1), 3, if(ISBLANK('2025'!$Q371), 0, 1), 4, if(ISBLANK('2025'!$R371), 0, 1), 5, if(ISBLANK('2025'!$S371), 0, 1), 6, if(ISBLANK('2025'!$T371), 0, 1), 7, 0))), 1, "")</f>
        <v/>
      </c>
      <c r="L407" s="1" t="str">
        <f>IF(AND(AND(AND(L$4&gt;='2025'!$L371,L$4&lt;='2025'!$M371), L$4&lt;&gt;DATE(2025,7,4)), (SWITCH(weekday(L$4), 1, 0, 2, if(ISBLANK('2025'!$P371), 0, 1), 3, if(ISBLANK('2025'!$Q371), 0, 1), 4, if(ISBLANK('2025'!$R371), 0, 1), 5, if(ISBLANK('2025'!$S371), 0, 1), 6, if(ISBLANK('2025'!$T371), 0, 1), 7, 0))), 1, "")</f>
        <v/>
      </c>
      <c r="M407" s="1" t="str">
        <f>IF(AND(AND(AND(M$4&gt;='2025'!$L371,M$4&lt;='2025'!$M371), M$4&lt;&gt;DATE(2025,7,4)), (SWITCH(weekday(M$4), 1, 0, 2, if(ISBLANK('2025'!$P371), 0, 1), 3, if(ISBLANK('2025'!$Q371), 0, 1), 4, if(ISBLANK('2025'!$R371), 0, 1), 5, if(ISBLANK('2025'!$S371), 0, 1), 6, if(ISBLANK('2025'!$T371), 0, 1), 7, 0))), 1, "")</f>
        <v/>
      </c>
      <c r="N407" s="1" t="str">
        <f>IF(AND(AND(AND(N$4&gt;='2025'!$L371,N$4&lt;='2025'!$M371), N$4&lt;&gt;DATE(2025,7,4)), (SWITCH(weekday(N$4), 1, 0, 2, if(ISBLANK('2025'!$P371), 0, 1), 3, if(ISBLANK('2025'!$Q371), 0, 1), 4, if(ISBLANK('2025'!$R371), 0, 1), 5, if(ISBLANK('2025'!$S371), 0, 1), 6, if(ISBLANK('2025'!$T371), 0, 1), 7, 0))), 1, "")</f>
        <v/>
      </c>
      <c r="O407" s="1" t="str">
        <f>IF(AND(AND(AND(O$4&gt;='2025'!$L371,O$4&lt;='2025'!$M371), O$4&lt;&gt;DATE(2025,7,4)), (SWITCH(weekday(O$4), 1, 0, 2, if(ISBLANK('2025'!$P371), 0, 1), 3, if(ISBLANK('2025'!$Q371), 0, 1), 4, if(ISBLANK('2025'!$R371), 0, 1), 5, if(ISBLANK('2025'!$S371), 0, 1), 6, if(ISBLANK('2025'!$T371), 0, 1), 7, 0))), 1, "")</f>
        <v/>
      </c>
      <c r="P407" s="1" t="str">
        <f>IF(AND(AND(AND(P$4&gt;='2025'!$L371,P$4&lt;='2025'!$M371), P$4&lt;&gt;DATE(2025,7,4)), (SWITCH(weekday(P$4), 1, 0, 2, if(ISBLANK('2025'!$P371), 0, 1), 3, if(ISBLANK('2025'!$Q371), 0, 1), 4, if(ISBLANK('2025'!$R371), 0, 1), 5, if(ISBLANK('2025'!$S371), 0, 1), 6, if(ISBLANK('2025'!$T371), 0, 1), 7, 0))), 1, "")</f>
        <v/>
      </c>
      <c r="Q407" s="1" t="str">
        <f>IF(AND(AND(AND(Q$4&gt;='2025'!$L371,Q$4&lt;='2025'!$M371), Q$4&lt;&gt;DATE(2025,7,4)), (SWITCH(weekday(Q$4), 1, 0, 2, if(ISBLANK('2025'!$P371), 0, 1), 3, if(ISBLANK('2025'!$Q371), 0, 1), 4, if(ISBLANK('2025'!$R371), 0, 1), 5, if(ISBLANK('2025'!$S371), 0, 1), 6, if(ISBLANK('2025'!$T371), 0, 1), 7, 0))), 1, "")</f>
        <v/>
      </c>
      <c r="R407" s="1" t="str">
        <f>IF(AND(AND(AND(R$4&gt;='2025'!$L371,R$4&lt;='2025'!$M371), R$4&lt;&gt;DATE(2025,7,4)), (SWITCH(weekday(R$4), 1, 0, 2, if(ISBLANK('2025'!$P371), 0, 1), 3, if(ISBLANK('2025'!$Q371), 0, 1), 4, if(ISBLANK('2025'!$R371), 0, 1), 5, if(ISBLANK('2025'!$S371), 0, 1), 6, if(ISBLANK('2025'!$T371), 0, 1), 7, 0))), 1, "")</f>
        <v/>
      </c>
      <c r="S407" s="1" t="str">
        <f>IF(AND(AND(AND(S$4&gt;='2025'!$L371,S$4&lt;='2025'!$M371), S$4&lt;&gt;DATE(2025,7,4)), (SWITCH(weekday(S$4), 1, 0, 2, if(ISBLANK('2025'!$P371), 0, 1), 3, if(ISBLANK('2025'!$Q371), 0, 1), 4, if(ISBLANK('2025'!$R371), 0, 1), 5, if(ISBLANK('2025'!$S371), 0, 1), 6, if(ISBLANK('2025'!$T371), 0, 1), 7, 0))), 1, "")</f>
        <v/>
      </c>
      <c r="T407" s="1" t="str">
        <f>IF(AND(AND(AND(T$4&gt;='2025'!$L371,T$4&lt;='2025'!$M371), T$4&lt;&gt;DATE(2025,7,4)), (SWITCH(weekday(T$4), 1, 0, 2, if(ISBLANK('2025'!$P371), 0, 1), 3, if(ISBLANK('2025'!$Q371), 0, 1), 4, if(ISBLANK('2025'!$R371), 0, 1), 5, if(ISBLANK('2025'!$S371), 0, 1), 6, if(ISBLANK('2025'!$T371), 0, 1), 7, 0))), 1, "")</f>
        <v/>
      </c>
      <c r="U407" s="1" t="str">
        <f>IF(AND(AND(AND(U$4&gt;='2025'!$L371,U$4&lt;='2025'!$M371), U$4&lt;&gt;DATE(2025,7,4)), (SWITCH(weekday(U$4), 1, 0, 2, if(ISBLANK('2025'!$P371), 0, 1), 3, if(ISBLANK('2025'!$Q371), 0, 1), 4, if(ISBLANK('2025'!$R371), 0, 1), 5, if(ISBLANK('2025'!$S371), 0, 1), 6, if(ISBLANK('2025'!$T371), 0, 1), 7, 0))), 1, "")</f>
        <v/>
      </c>
      <c r="V407" s="1" t="str">
        <f>IF(AND(AND(AND(V$4&gt;='2025'!$L371,V$4&lt;='2025'!$M371), V$4&lt;&gt;DATE(2025,7,4)), (SWITCH(weekday(V$4), 1, 0, 2, if(ISBLANK('2025'!$P371), 0, 1), 3, if(ISBLANK('2025'!$Q371), 0, 1), 4, if(ISBLANK('2025'!$R371), 0, 1), 5, if(ISBLANK('2025'!$S371), 0, 1), 6, if(ISBLANK('2025'!$T371), 0, 1), 7, 0))), 1, "")</f>
        <v/>
      </c>
      <c r="W407" s="1" t="str">
        <f>IF(AND(AND(AND(W$4&gt;='2025'!$L371,W$4&lt;='2025'!$M371), W$4&lt;&gt;DATE(2025,7,4)), (SWITCH(weekday(W$4), 1, 0, 2, if(ISBLANK('2025'!$P371), 0, 1), 3, if(ISBLANK('2025'!$Q371), 0, 1), 4, if(ISBLANK('2025'!$R371), 0, 1), 5, if(ISBLANK('2025'!$S371), 0, 1), 6, if(ISBLANK('2025'!$T371), 0, 1), 7, 0))), 1, "")</f>
        <v/>
      </c>
      <c r="X407" s="1" t="str">
        <f>IF(AND(AND(AND(X$4&gt;='2025'!$L371,X$4&lt;='2025'!$M371), X$4&lt;&gt;DATE(2025,7,4)), (SWITCH(weekday(X$4), 1, 0, 2, if(ISBLANK('2025'!$P371), 0, 1), 3, if(ISBLANK('2025'!$Q371), 0, 1), 4, if(ISBLANK('2025'!$R371), 0, 1), 5, if(ISBLANK('2025'!$S371), 0, 1), 6, if(ISBLANK('2025'!$T371), 0, 1), 7, 0))), 1, "")</f>
        <v/>
      </c>
      <c r="Y407" s="1" t="str">
        <f>IF(AND(AND(AND(Y$4&gt;='2025'!$L371,Y$4&lt;='2025'!$M371), Y$4&lt;&gt;DATE(2025,7,4)), (SWITCH(weekday(Y$4), 1, 0, 2, if(ISBLANK('2025'!$P371), 0, 1), 3, if(ISBLANK('2025'!$Q371), 0, 1), 4, if(ISBLANK('2025'!$R371), 0, 1), 5, if(ISBLANK('2025'!$S371), 0, 1), 6, if(ISBLANK('2025'!$T371), 0, 1), 7, 0))), 1, "")</f>
        <v/>
      </c>
      <c r="Z407" s="1" t="str">
        <f>IF(AND(AND(AND(Z$4&gt;='2025'!$L371,Z$4&lt;='2025'!$M371), Z$4&lt;&gt;DATE(2025,7,4)), (SWITCH(weekday(Z$4), 1, 0, 2, if(ISBLANK('2025'!$P371), 0, 1), 3, if(ISBLANK('2025'!$Q371), 0, 1), 4, if(ISBLANK('2025'!$R371), 0, 1), 5, if(ISBLANK('2025'!$S371), 0, 1), 6, if(ISBLANK('2025'!$T371), 0, 1), 7, 0))), 1, "")</f>
        <v/>
      </c>
      <c r="AA407" s="1" t="str">
        <f>IF(AND(AND(AND(AA$4&gt;='2025'!$L371,AA$4&lt;='2025'!$M371), AA$4&lt;&gt;DATE(2025,7,4)), (SWITCH(weekday(AA$4), 1, 0, 2, if(ISBLANK('2025'!$P371), 0, 1), 3, if(ISBLANK('2025'!$Q371), 0, 1), 4, if(ISBLANK('2025'!$R371), 0, 1), 5, if(ISBLANK('2025'!$S371), 0, 1), 6, if(ISBLANK('2025'!$T371), 0, 1), 7, 0))), 1, "")</f>
        <v/>
      </c>
      <c r="AB407" s="1" t="str">
        <f>IF(AND(AND(AND(AB$4&gt;='2025'!$L371,AB$4&lt;='2025'!$M371), AB$4&lt;&gt;DATE(2025,7,4)), (SWITCH(weekday(AB$4), 1, 0, 2, if(ISBLANK('2025'!$P371), 0, 1), 3, if(ISBLANK('2025'!$Q371), 0, 1), 4, if(ISBLANK('2025'!$R371), 0, 1), 5, if(ISBLANK('2025'!$S371), 0, 1), 6, if(ISBLANK('2025'!$T371), 0, 1), 7, 0))), 1, "")</f>
        <v/>
      </c>
      <c r="AC407" s="1" t="str">
        <f>IF(AND(AND(AND(AC$4&gt;='2025'!$L371,AC$4&lt;='2025'!$M371), AC$4&lt;&gt;DATE(2025,7,4)), (SWITCH(weekday(AC$4), 1, 0, 2, if(ISBLANK('2025'!$P371), 0, 1), 3, if(ISBLANK('2025'!$Q371), 0, 1), 4, if(ISBLANK('2025'!$R371), 0, 1), 5, if(ISBLANK('2025'!$S371), 0, 1), 6, if(ISBLANK('2025'!$T371), 0, 1), 7, 0))), 1, "")</f>
        <v/>
      </c>
      <c r="AD407" s="1" t="str">
        <f>IF(AND(AND(AND(AD$4&gt;='2025'!$L371,AD$4&lt;='2025'!$M371), AD$4&lt;&gt;DATE(2025,7,4)), (SWITCH(weekday(AD$4), 1, 0, 2, if(ISBLANK('2025'!$P371), 0, 1), 3, if(ISBLANK('2025'!$Q371), 0, 1), 4, if(ISBLANK('2025'!$R371), 0, 1), 5, if(ISBLANK('2025'!$S371), 0, 1), 6, if(ISBLANK('2025'!$T371), 0, 1), 7, 0))), 1, "")</f>
        <v/>
      </c>
      <c r="AE407" s="1" t="str">
        <f>IF(AND(AND(AND(AE$4&gt;='2025'!$L371,AE$4&lt;='2025'!$M371), AE$4&lt;&gt;DATE(2025,7,4)), (SWITCH(weekday(AE$4), 1, 0, 2, if(ISBLANK('2025'!$P371), 0, 1), 3, if(ISBLANK('2025'!$Q371), 0, 1), 4, if(ISBLANK('2025'!$R371), 0, 1), 5, if(ISBLANK('2025'!$S371), 0, 1), 6, if(ISBLANK('2025'!$T371), 0, 1), 7, 0))), 1, "")</f>
        <v/>
      </c>
      <c r="AF407" s="1" t="str">
        <f>IF(AND(AND(AND(AF$4&gt;='2025'!$L371,AF$4&lt;='2025'!$M371), AF$4&lt;&gt;DATE(2025,7,4)), (SWITCH(weekday(AF$4), 1, 0, 2, if(ISBLANK('2025'!$P371), 0, 1), 3, if(ISBLANK('2025'!$Q371), 0, 1), 4, if(ISBLANK('2025'!$R371), 0, 1), 5, if(ISBLANK('2025'!$S371), 0, 1), 6, if(ISBLANK('2025'!$T371), 0, 1), 7, 0))), 1, "")</f>
        <v/>
      </c>
      <c r="AG407" s="1" t="str">
        <f>IF(AND(AND(AND(AG$4&gt;='2025'!$L371,AG$4&lt;='2025'!$M371), AG$4&lt;&gt;DATE(2025,7,4)), (SWITCH(weekday(AG$4), 1, 0, 2, if(ISBLANK('2025'!$P371), 0, 1), 3, if(ISBLANK('2025'!$Q371), 0, 1), 4, if(ISBLANK('2025'!$R371), 0, 1), 5, if(ISBLANK('2025'!$S371), 0, 1), 6, if(ISBLANK('2025'!$T371), 0, 1), 7, 0))), 1, "")</f>
        <v/>
      </c>
      <c r="AH407" s="1" t="str">
        <f>IF(AND(AND(AND(AH$4&gt;='2025'!$L371,AH$4&lt;='2025'!$M371), AH$4&lt;&gt;DATE(2025,7,4)), (SWITCH(weekday(AH$4), 1, 0, 2, if(ISBLANK('2025'!$P371), 0, 1), 3, if(ISBLANK('2025'!$Q371), 0, 1), 4, if(ISBLANK('2025'!$R371), 0, 1), 5, if(ISBLANK('2025'!$S371), 0, 1), 6, if(ISBLANK('2025'!$T371), 0, 1), 7, 0))), 1, "")</f>
        <v/>
      </c>
      <c r="AI407" s="1" t="str">
        <f>IF(AND(AND(AND(AI$4&gt;='2025'!$L371,AI$4&lt;='2025'!$M371), AI$4&lt;&gt;DATE(2025,7,4)), (SWITCH(weekday(AI$4), 1, 0, 2, if(ISBLANK('2025'!$P371), 0, 1), 3, if(ISBLANK('2025'!$Q371), 0, 1), 4, if(ISBLANK('2025'!$R371), 0, 1), 5, if(ISBLANK('2025'!$S371), 0, 1), 6, if(ISBLANK('2025'!$T371), 0, 1), 7, 0))), 1, "")</f>
        <v/>
      </c>
      <c r="AJ407" s="1" t="str">
        <f>IF(AND(AND(AND(AJ$4&gt;='2025'!$L371,AJ$4&lt;='2025'!$M371), AJ$4&lt;&gt;DATE(2025,7,4)), (SWITCH(weekday(AJ$4), 1, 0, 2, if(ISBLANK('2025'!$P371), 0, 1), 3, if(ISBLANK('2025'!$Q371), 0, 1), 4, if(ISBLANK('2025'!$R371), 0, 1), 5, if(ISBLANK('2025'!$S371), 0, 1), 6, if(ISBLANK('2025'!$T371), 0, 1), 7, 0))), 1, "")</f>
        <v/>
      </c>
      <c r="AK407" s="1" t="str">
        <f>IF(AND(AND(AND(AK$4&gt;='2025'!$L371,AK$4&lt;='2025'!$M371), AK$4&lt;&gt;DATE(2025,7,4)), (SWITCH(weekday(AK$4), 1, 0, 2, if(ISBLANK('2025'!$P371), 0, 1), 3, if(ISBLANK('2025'!$Q371), 0, 1), 4, if(ISBLANK('2025'!$R371), 0, 1), 5, if(ISBLANK('2025'!$S371), 0, 1), 6, if(ISBLANK('2025'!$T371), 0, 1), 7, 0))), 1, "")</f>
        <v/>
      </c>
      <c r="AL407" s="1" t="str">
        <f>IF(AND(AND(AND(AL$4&gt;='2025'!$L371,AL$4&lt;='2025'!$M371), AL$4&lt;&gt;DATE(2025,7,4)), (SWITCH(weekday(AL$4), 1, 0, 2, if(ISBLANK('2025'!$P371), 0, 1), 3, if(ISBLANK('2025'!$Q371), 0, 1), 4, if(ISBLANK('2025'!$R371), 0, 1), 5, if(ISBLANK('2025'!$S371), 0, 1), 6, if(ISBLANK('2025'!$T371), 0, 1), 7, 0))), 1, "")</f>
        <v/>
      </c>
      <c r="AM407" s="1" t="str">
        <f>IF(AND(AND(AND(AM$4&gt;='2025'!$L371,AM$4&lt;='2025'!$M371), AM$4&lt;&gt;DATE(2025,7,4)), (SWITCH(weekday(AM$4), 1, 0, 2, if(ISBLANK('2025'!$P371), 0, 1), 3, if(ISBLANK('2025'!$Q371), 0, 1), 4, if(ISBLANK('2025'!$R371), 0, 1), 5, if(ISBLANK('2025'!$S371), 0, 1), 6, if(ISBLANK('2025'!$T371), 0, 1), 7, 0))), 1, "")</f>
        <v/>
      </c>
      <c r="AN407" s="1" t="str">
        <f>IF(AND(AND(AND(AN$4&gt;='2025'!$L371,AN$4&lt;='2025'!$M371), AN$4&lt;&gt;DATE(2025,7,4)), (SWITCH(weekday(AN$4), 1, 0, 2, if(ISBLANK('2025'!$P371), 0, 1), 3, if(ISBLANK('2025'!$Q371), 0, 1), 4, if(ISBLANK('2025'!$R371), 0, 1), 5, if(ISBLANK('2025'!$S371), 0, 1), 6, if(ISBLANK('2025'!$T371), 0, 1), 7, 0))), 1, "")</f>
        <v/>
      </c>
      <c r="AO407" s="1" t="str">
        <f>IF(AND(AND(AND(AO$4&gt;='2025'!$L371,AO$4&lt;='2025'!$M371), AO$4&lt;&gt;DATE(2025,7,4)), (SWITCH(weekday(AO$4), 1, 0, 2, if(ISBLANK('2025'!$P371), 0, 1), 3, if(ISBLANK('2025'!$Q371), 0, 1), 4, if(ISBLANK('2025'!$R371), 0, 1), 5, if(ISBLANK('2025'!$S371), 0, 1), 6, if(ISBLANK('2025'!$T371), 0, 1), 7, 0))), 1, "")</f>
        <v/>
      </c>
      <c r="AP407" s="1" t="str">
        <f>IF(AND(AND(AND(AP$4&gt;='2025'!$L371,AP$4&lt;='2025'!$M371), AP$4&lt;&gt;DATE(2025,7,4)), (SWITCH(weekday(AP$4), 1, 0, 2, if(ISBLANK('2025'!$P371), 0, 1), 3, if(ISBLANK('2025'!$Q371), 0, 1), 4, if(ISBLANK('2025'!$R371), 0, 1), 5, if(ISBLANK('2025'!$S371), 0, 1), 6, if(ISBLANK('2025'!$T371), 0, 1), 7, 0))), 1, "")</f>
        <v/>
      </c>
      <c r="AQ407" s="1" t="str">
        <f>IF(AND(AND(AND(AQ$4&gt;='2025'!$L371,AQ$4&lt;='2025'!$M371), AQ$4&lt;&gt;DATE(2025,7,4)), (SWITCH(weekday(AQ$4), 1, 0, 2, if(ISBLANK('2025'!$P371), 0, 1), 3, if(ISBLANK('2025'!$Q371), 0, 1), 4, if(ISBLANK('2025'!$R371), 0, 1), 5, if(ISBLANK('2025'!$S371), 0, 1), 6, if(ISBLANK('2025'!$T371), 0, 1), 7, 0))), 1, "")</f>
        <v/>
      </c>
      <c r="AR407" s="1" t="str">
        <f>IF(AND(AND(AND(AR$4&gt;='2025'!$L371,AR$4&lt;='2025'!$M371), AR$4&lt;&gt;DATE(2025,7,4)), (SWITCH(weekday(AR$4), 1, 0, 2, if(ISBLANK('2025'!$P371), 0, 1), 3, if(ISBLANK('2025'!$Q371), 0, 1), 4, if(ISBLANK('2025'!$R371), 0, 1), 5, if(ISBLANK('2025'!$S371), 0, 1), 6, if(ISBLANK('2025'!$T371), 0, 1), 7, 0))), 1, "")</f>
        <v/>
      </c>
      <c r="AS407" s="1" t="str">
        <f>IF(AND(AND(AND(AS$4&gt;='2025'!$L371,AS$4&lt;='2025'!$M371), AS$4&lt;&gt;DATE(2025,7,4)), (SWITCH(weekday(AS$4), 1, 0, 2, if(ISBLANK('2025'!$P371), 0, 1), 3, if(ISBLANK('2025'!$Q371), 0, 1), 4, if(ISBLANK('2025'!$R371), 0, 1), 5, if(ISBLANK('2025'!$S371), 0, 1), 6, if(ISBLANK('2025'!$T371), 0, 1), 7, 0))), 1, "")</f>
        <v/>
      </c>
      <c r="AT407" s="1" t="str">
        <f>IF(AND(AND(AND(AT$4&gt;='2025'!$L371,AT$4&lt;='2025'!$M371), AT$4&lt;&gt;DATE(2025,7,4)), (SWITCH(weekday(AT$4), 1, 0, 2, if(ISBLANK('2025'!$P371), 0, 1), 3, if(ISBLANK('2025'!$Q371), 0, 1), 4, if(ISBLANK('2025'!$R371), 0, 1), 5, if(ISBLANK('2025'!$S371), 0, 1), 6, if(ISBLANK('2025'!$T371), 0, 1), 7, 0))), 1, "")</f>
        <v/>
      </c>
      <c r="AU407" s="1" t="str">
        <f>IF(AND(AND(AND(AU$4&gt;='2025'!$L371,AU$4&lt;='2025'!$M371), AU$4&lt;&gt;DATE(2025,7,4)), (SWITCH(weekday(AU$4), 1, 0, 2, if(ISBLANK('2025'!$P371), 0, 1), 3, if(ISBLANK('2025'!$Q371), 0, 1), 4, if(ISBLANK('2025'!$R371), 0, 1), 5, if(ISBLANK('2025'!$S371), 0, 1), 6, if(ISBLANK('2025'!$T371), 0, 1), 7, 0))), 1, "")</f>
        <v/>
      </c>
      <c r="AV407" s="1" t="str">
        <f>IF(AND(AND(AND(AV$4&gt;='2025'!$L371,AV$4&lt;='2025'!$M371), AV$4&lt;&gt;DATE(2025,7,4)), (SWITCH(weekday(AV$4), 1, 0, 2, if(ISBLANK('2025'!$P371), 0, 1), 3, if(ISBLANK('2025'!$Q371), 0, 1), 4, if(ISBLANK('2025'!$R371), 0, 1), 5, if(ISBLANK('2025'!$S371), 0, 1), 6, if(ISBLANK('2025'!$T371), 0, 1), 7, 0))), 1, "")</f>
        <v/>
      </c>
      <c r="AW407" s="1" t="str">
        <f>IF(AND(AND(AND(AW$4&gt;='2025'!$L371,AW$4&lt;='2025'!$M371), AW$4&lt;&gt;DATE(2025,7,4)), (SWITCH(weekday(AW$4), 1, 0, 2, if(ISBLANK('2025'!$P371), 0, 1), 3, if(ISBLANK('2025'!$Q371), 0, 1), 4, if(ISBLANK('2025'!$R371), 0, 1), 5, if(ISBLANK('2025'!$S371), 0, 1), 6, if(ISBLANK('2025'!$T371), 0, 1), 7, 0))), 1, "")</f>
        <v/>
      </c>
      <c r="AX407" s="1" t="str">
        <f>IF(AND(AND(AND(AX$4&gt;='2025'!$L371,AX$4&lt;='2025'!$M371), AX$4&lt;&gt;DATE(2025,7,4)), (SWITCH(weekday(AX$4), 1, 0, 2, if(ISBLANK('2025'!$P371), 0, 1), 3, if(ISBLANK('2025'!$Q371), 0, 1), 4, if(ISBLANK('2025'!$R371), 0, 1), 5, if(ISBLANK('2025'!$S371), 0, 1), 6, if(ISBLANK('2025'!$T371), 0, 1), 7, 0))), 1, "")</f>
        <v/>
      </c>
      <c r="AY407" s="1" t="str">
        <f>IF(AND(AND(AND(AY$4&gt;='2025'!$L371,AY$4&lt;='2025'!$M371), AY$4&lt;&gt;DATE(2025,7,4)), (SWITCH(weekday(AY$4), 1, 0, 2, if(ISBLANK('2025'!$P371), 0, 1), 3, if(ISBLANK('2025'!$Q371), 0, 1), 4, if(ISBLANK('2025'!$R371), 0, 1), 5, if(ISBLANK('2025'!$S371), 0, 1), 6, if(ISBLANK('2025'!$T371), 0, 1), 7, 0))), 1, "")</f>
        <v/>
      </c>
      <c r="AZ407" s="1" t="str">
        <f>IF(AND(AND(AND(AZ$4&gt;='2025'!$L371,AZ$4&lt;='2025'!$M371), AZ$4&lt;&gt;DATE(2025,7,4)), (SWITCH(weekday(AZ$4), 1, 0, 2, if(ISBLANK('2025'!$P371), 0, 1), 3, if(ISBLANK('2025'!$Q371), 0, 1), 4, if(ISBLANK('2025'!$R371), 0, 1), 5, if(ISBLANK('2025'!$S371), 0, 1), 6, if(ISBLANK('2025'!$T371), 0, 1), 7, 0))), 1, "")</f>
        <v/>
      </c>
      <c r="BA407" s="1" t="str">
        <f>IF(AND(AND(AND(BA$4&gt;='2025'!$L371,BA$4&lt;='2025'!$M371), BA$4&lt;&gt;DATE(2025,7,4)), (SWITCH(weekday(BA$4), 1, 0, 2, if(ISBLANK('2025'!$P371), 0, 1), 3, if(ISBLANK('2025'!$Q371), 0, 1), 4, if(ISBLANK('2025'!$R371), 0, 1), 5, if(ISBLANK('2025'!$S371), 0, 1), 6, if(ISBLANK('2025'!$T371), 0, 1), 7, 0))), 1, "")</f>
        <v/>
      </c>
      <c r="BB407" s="1" t="str">
        <f>IF(AND(AND(AND(BB$4&gt;='2025'!$L371,BB$4&lt;='2025'!$M371), BB$4&lt;&gt;DATE(2025,7,4)), (SWITCH(weekday(BB$4), 1, 0, 2, if(ISBLANK('2025'!$P371), 0, 1), 3, if(ISBLANK('2025'!$Q371), 0, 1), 4, if(ISBLANK('2025'!$R371), 0, 1), 5, if(ISBLANK('2025'!$S371), 0, 1), 6, if(ISBLANK('2025'!$T371), 0, 1), 7, 0))), 1, "")</f>
        <v/>
      </c>
      <c r="BC407" s="1" t="str">
        <f>IF(AND(AND(AND(BC$4&gt;='2025'!$L371,BC$4&lt;='2025'!$M371), BC$4&lt;&gt;DATE(2025,7,4)), (SWITCH(weekday(BC$4), 1, 0, 2, if(ISBLANK('2025'!$P371), 0, 1), 3, if(ISBLANK('2025'!$Q371), 0, 1), 4, if(ISBLANK('2025'!$R371), 0, 1), 5, if(ISBLANK('2025'!$S371), 0, 1), 6, if(ISBLANK('2025'!$T371), 0, 1), 7, 0))), 1, "")</f>
        <v/>
      </c>
      <c r="BD407" s="1" t="str">
        <f>IF(AND(AND(AND(BD$4&gt;='2025'!$L371,BD$4&lt;='2025'!$M371), BD$4&lt;&gt;DATE(2025,7,4)), (SWITCH(weekday(BD$4), 1, 0, 2, if(ISBLANK('2025'!$P371), 0, 1), 3, if(ISBLANK('2025'!$Q371), 0, 1), 4, if(ISBLANK('2025'!$R371), 0, 1), 5, if(ISBLANK('2025'!$S371), 0, 1), 6, if(ISBLANK('2025'!$T371), 0, 1), 7, 0))), 1, "")</f>
        <v/>
      </c>
      <c r="BE407" s="1" t="str">
        <f>IF(AND(AND(AND(BE$4&gt;='2025'!$L371,BE$4&lt;='2025'!$M371), BE$4&lt;&gt;DATE(2025,7,4)), (SWITCH(weekday(BE$4), 1, 0, 2, if(ISBLANK('2025'!$P371), 0, 1), 3, if(ISBLANK('2025'!$Q371), 0, 1), 4, if(ISBLANK('2025'!$R371), 0, 1), 5, if(ISBLANK('2025'!$S371), 0, 1), 6, if(ISBLANK('2025'!$T371), 0, 1), 7, 0))), 1, "")</f>
        <v/>
      </c>
    </row>
    <row r="408">
      <c r="A408" s="1">
        <f t="shared" si="3"/>
        <v>408</v>
      </c>
      <c r="B408" s="1" t="str">
        <f>'2025'!D372</f>
        <v/>
      </c>
      <c r="C408" s="1" t="str">
        <f>'2025'!H372</f>
        <v/>
      </c>
      <c r="D408" s="1" t="str">
        <f>IF(AND(AND(AND(D$4&gt;='2025'!$L372,D$4&lt;='2025'!$M372), D$4&lt;&gt;DATE(2025,7,4)), (SWITCH(weekday(D$4), 1, 0, 2, if(ISBLANK('2025'!$P372), 0, 1), 3, if(ISBLANK('2025'!$Q372), 0, 1), 4, if(ISBLANK('2025'!$R372), 0, 1), 5, if(ISBLANK('2025'!$S372), 0, 1), 6, if(ISBLANK('2025'!$T372), 0, 1), 7, 0))), 1, "")</f>
        <v/>
      </c>
      <c r="E408" s="1" t="str">
        <f>IF(AND(AND(AND(E$4&gt;='2025'!$L372,E$4&lt;='2025'!$M372), E$4&lt;&gt;DATE(2025,7,4)), (SWITCH(weekday(E$4), 1, 0, 2, if(ISBLANK('2025'!$P372), 0, 1), 3, if(ISBLANK('2025'!$Q372), 0, 1), 4, if(ISBLANK('2025'!$R372), 0, 1), 5, if(ISBLANK('2025'!$S372), 0, 1), 6, if(ISBLANK('2025'!$T372), 0, 1), 7, 0))), 1, "")</f>
        <v/>
      </c>
      <c r="F408" s="1" t="str">
        <f>IF(AND(AND(AND(F$4&gt;='2025'!$L372,F$4&lt;='2025'!$M372), F$4&lt;&gt;DATE(2025,7,4)), (SWITCH(weekday(F$4), 1, 0, 2, if(ISBLANK('2025'!$P372), 0, 1), 3, if(ISBLANK('2025'!$Q372), 0, 1), 4, if(ISBLANK('2025'!$R372), 0, 1), 5, if(ISBLANK('2025'!$S372), 0, 1), 6, if(ISBLANK('2025'!$T372), 0, 1), 7, 0))), 1, "")</f>
        <v/>
      </c>
      <c r="G408" s="1" t="str">
        <f>IF(AND(AND(AND(G$4&gt;='2025'!$L372,G$4&lt;='2025'!$M372), G$4&lt;&gt;DATE(2025,7,4)), (SWITCH(weekday(G$4), 1, 0, 2, if(ISBLANK('2025'!$P372), 0, 1), 3, if(ISBLANK('2025'!$Q372), 0, 1), 4, if(ISBLANK('2025'!$R372), 0, 1), 5, if(ISBLANK('2025'!$S372), 0, 1), 6, if(ISBLANK('2025'!$T372), 0, 1), 7, 0))), 1, "")</f>
        <v/>
      </c>
      <c r="H408" s="1" t="str">
        <f>IF(AND(AND(AND(H$4&gt;='2025'!$L372,H$4&lt;='2025'!$M372), H$4&lt;&gt;DATE(2025,7,4)), (SWITCH(weekday(H$4), 1, 0, 2, if(ISBLANK('2025'!$P372), 0, 1), 3, if(ISBLANK('2025'!$Q372), 0, 1), 4, if(ISBLANK('2025'!$R372), 0, 1), 5, if(ISBLANK('2025'!$S372), 0, 1), 6, if(ISBLANK('2025'!$T372), 0, 1), 7, 0))), 1, "")</f>
        <v/>
      </c>
      <c r="I408" s="1" t="str">
        <f>IF(AND(AND(AND(I$4&gt;='2025'!$L372,I$4&lt;='2025'!$M372), I$4&lt;&gt;DATE(2025,7,4)), (SWITCH(weekday(I$4), 1, 0, 2, if(ISBLANK('2025'!$P372), 0, 1), 3, if(ISBLANK('2025'!$Q372), 0, 1), 4, if(ISBLANK('2025'!$R372), 0, 1), 5, if(ISBLANK('2025'!$S372), 0, 1), 6, if(ISBLANK('2025'!$T372), 0, 1), 7, 0))), 1, "")</f>
        <v/>
      </c>
      <c r="J408" s="1" t="str">
        <f>IF(AND(AND(AND(J$4&gt;='2025'!$L372,J$4&lt;='2025'!$M372), J$4&lt;&gt;DATE(2025,7,4)), (SWITCH(weekday(J$4), 1, 0, 2, if(ISBLANK('2025'!$P372), 0, 1), 3, if(ISBLANK('2025'!$Q372), 0, 1), 4, if(ISBLANK('2025'!$R372), 0, 1), 5, if(ISBLANK('2025'!$S372), 0, 1), 6, if(ISBLANK('2025'!$T372), 0, 1), 7, 0))), 1, "")</f>
        <v/>
      </c>
      <c r="K408" s="1" t="str">
        <f>IF(AND(AND(AND(K$4&gt;='2025'!$L372,K$4&lt;='2025'!$M372), K$4&lt;&gt;DATE(2025,7,4)), (SWITCH(weekday(K$4), 1, 0, 2, if(ISBLANK('2025'!$P372), 0, 1), 3, if(ISBLANK('2025'!$Q372), 0, 1), 4, if(ISBLANK('2025'!$R372), 0, 1), 5, if(ISBLANK('2025'!$S372), 0, 1), 6, if(ISBLANK('2025'!$T372), 0, 1), 7, 0))), 1, "")</f>
        <v/>
      </c>
      <c r="L408" s="1" t="str">
        <f>IF(AND(AND(AND(L$4&gt;='2025'!$L372,L$4&lt;='2025'!$M372), L$4&lt;&gt;DATE(2025,7,4)), (SWITCH(weekday(L$4), 1, 0, 2, if(ISBLANK('2025'!$P372), 0, 1), 3, if(ISBLANK('2025'!$Q372), 0, 1), 4, if(ISBLANK('2025'!$R372), 0, 1), 5, if(ISBLANK('2025'!$S372), 0, 1), 6, if(ISBLANK('2025'!$T372), 0, 1), 7, 0))), 1, "")</f>
        <v/>
      </c>
      <c r="M408" s="1" t="str">
        <f>IF(AND(AND(AND(M$4&gt;='2025'!$L372,M$4&lt;='2025'!$M372), M$4&lt;&gt;DATE(2025,7,4)), (SWITCH(weekday(M$4), 1, 0, 2, if(ISBLANK('2025'!$P372), 0, 1), 3, if(ISBLANK('2025'!$Q372), 0, 1), 4, if(ISBLANK('2025'!$R372), 0, 1), 5, if(ISBLANK('2025'!$S372), 0, 1), 6, if(ISBLANK('2025'!$T372), 0, 1), 7, 0))), 1, "")</f>
        <v/>
      </c>
      <c r="N408" s="1" t="str">
        <f>IF(AND(AND(AND(N$4&gt;='2025'!$L372,N$4&lt;='2025'!$M372), N$4&lt;&gt;DATE(2025,7,4)), (SWITCH(weekday(N$4), 1, 0, 2, if(ISBLANK('2025'!$P372), 0, 1), 3, if(ISBLANK('2025'!$Q372), 0, 1), 4, if(ISBLANK('2025'!$R372), 0, 1), 5, if(ISBLANK('2025'!$S372), 0, 1), 6, if(ISBLANK('2025'!$T372), 0, 1), 7, 0))), 1, "")</f>
        <v/>
      </c>
      <c r="O408" s="1" t="str">
        <f>IF(AND(AND(AND(O$4&gt;='2025'!$L372,O$4&lt;='2025'!$M372), O$4&lt;&gt;DATE(2025,7,4)), (SWITCH(weekday(O$4), 1, 0, 2, if(ISBLANK('2025'!$P372), 0, 1), 3, if(ISBLANK('2025'!$Q372), 0, 1), 4, if(ISBLANK('2025'!$R372), 0, 1), 5, if(ISBLANK('2025'!$S372), 0, 1), 6, if(ISBLANK('2025'!$T372), 0, 1), 7, 0))), 1, "")</f>
        <v/>
      </c>
      <c r="P408" s="1" t="str">
        <f>IF(AND(AND(AND(P$4&gt;='2025'!$L372,P$4&lt;='2025'!$M372), P$4&lt;&gt;DATE(2025,7,4)), (SWITCH(weekday(P$4), 1, 0, 2, if(ISBLANK('2025'!$P372), 0, 1), 3, if(ISBLANK('2025'!$Q372), 0, 1), 4, if(ISBLANK('2025'!$R372), 0, 1), 5, if(ISBLANK('2025'!$S372), 0, 1), 6, if(ISBLANK('2025'!$T372), 0, 1), 7, 0))), 1, "")</f>
        <v/>
      </c>
      <c r="Q408" s="1" t="str">
        <f>IF(AND(AND(AND(Q$4&gt;='2025'!$L372,Q$4&lt;='2025'!$M372), Q$4&lt;&gt;DATE(2025,7,4)), (SWITCH(weekday(Q$4), 1, 0, 2, if(ISBLANK('2025'!$P372), 0, 1), 3, if(ISBLANK('2025'!$Q372), 0, 1), 4, if(ISBLANK('2025'!$R372), 0, 1), 5, if(ISBLANK('2025'!$S372), 0, 1), 6, if(ISBLANK('2025'!$T372), 0, 1), 7, 0))), 1, "")</f>
        <v/>
      </c>
      <c r="R408" s="1" t="str">
        <f>IF(AND(AND(AND(R$4&gt;='2025'!$L372,R$4&lt;='2025'!$M372), R$4&lt;&gt;DATE(2025,7,4)), (SWITCH(weekday(R$4), 1, 0, 2, if(ISBLANK('2025'!$P372), 0, 1), 3, if(ISBLANK('2025'!$Q372), 0, 1), 4, if(ISBLANK('2025'!$R372), 0, 1), 5, if(ISBLANK('2025'!$S372), 0, 1), 6, if(ISBLANK('2025'!$T372), 0, 1), 7, 0))), 1, "")</f>
        <v/>
      </c>
      <c r="S408" s="1" t="str">
        <f>IF(AND(AND(AND(S$4&gt;='2025'!$L372,S$4&lt;='2025'!$M372), S$4&lt;&gt;DATE(2025,7,4)), (SWITCH(weekday(S$4), 1, 0, 2, if(ISBLANK('2025'!$P372), 0, 1), 3, if(ISBLANK('2025'!$Q372), 0, 1), 4, if(ISBLANK('2025'!$R372), 0, 1), 5, if(ISBLANK('2025'!$S372), 0, 1), 6, if(ISBLANK('2025'!$T372), 0, 1), 7, 0))), 1, "")</f>
        <v/>
      </c>
      <c r="T408" s="1" t="str">
        <f>IF(AND(AND(AND(T$4&gt;='2025'!$L372,T$4&lt;='2025'!$M372), T$4&lt;&gt;DATE(2025,7,4)), (SWITCH(weekday(T$4), 1, 0, 2, if(ISBLANK('2025'!$P372), 0, 1), 3, if(ISBLANK('2025'!$Q372), 0, 1), 4, if(ISBLANK('2025'!$R372), 0, 1), 5, if(ISBLANK('2025'!$S372), 0, 1), 6, if(ISBLANK('2025'!$T372), 0, 1), 7, 0))), 1, "")</f>
        <v/>
      </c>
      <c r="U408" s="1" t="str">
        <f>IF(AND(AND(AND(U$4&gt;='2025'!$L372,U$4&lt;='2025'!$M372), U$4&lt;&gt;DATE(2025,7,4)), (SWITCH(weekday(U$4), 1, 0, 2, if(ISBLANK('2025'!$P372), 0, 1), 3, if(ISBLANK('2025'!$Q372), 0, 1), 4, if(ISBLANK('2025'!$R372), 0, 1), 5, if(ISBLANK('2025'!$S372), 0, 1), 6, if(ISBLANK('2025'!$T372), 0, 1), 7, 0))), 1, "")</f>
        <v/>
      </c>
      <c r="V408" s="1" t="str">
        <f>IF(AND(AND(AND(V$4&gt;='2025'!$L372,V$4&lt;='2025'!$M372), V$4&lt;&gt;DATE(2025,7,4)), (SWITCH(weekday(V$4), 1, 0, 2, if(ISBLANK('2025'!$P372), 0, 1), 3, if(ISBLANK('2025'!$Q372), 0, 1), 4, if(ISBLANK('2025'!$R372), 0, 1), 5, if(ISBLANK('2025'!$S372), 0, 1), 6, if(ISBLANK('2025'!$T372), 0, 1), 7, 0))), 1, "")</f>
        <v/>
      </c>
      <c r="W408" s="1" t="str">
        <f>IF(AND(AND(AND(W$4&gt;='2025'!$L372,W$4&lt;='2025'!$M372), W$4&lt;&gt;DATE(2025,7,4)), (SWITCH(weekday(W$4), 1, 0, 2, if(ISBLANK('2025'!$P372), 0, 1), 3, if(ISBLANK('2025'!$Q372), 0, 1), 4, if(ISBLANK('2025'!$R372), 0, 1), 5, if(ISBLANK('2025'!$S372), 0, 1), 6, if(ISBLANK('2025'!$T372), 0, 1), 7, 0))), 1, "")</f>
        <v/>
      </c>
      <c r="X408" s="1" t="str">
        <f>IF(AND(AND(AND(X$4&gt;='2025'!$L372,X$4&lt;='2025'!$M372), X$4&lt;&gt;DATE(2025,7,4)), (SWITCH(weekday(X$4), 1, 0, 2, if(ISBLANK('2025'!$P372), 0, 1), 3, if(ISBLANK('2025'!$Q372), 0, 1), 4, if(ISBLANK('2025'!$R372), 0, 1), 5, if(ISBLANK('2025'!$S372), 0, 1), 6, if(ISBLANK('2025'!$T372), 0, 1), 7, 0))), 1, "")</f>
        <v/>
      </c>
      <c r="Y408" s="1" t="str">
        <f>IF(AND(AND(AND(Y$4&gt;='2025'!$L372,Y$4&lt;='2025'!$M372), Y$4&lt;&gt;DATE(2025,7,4)), (SWITCH(weekday(Y$4), 1, 0, 2, if(ISBLANK('2025'!$P372), 0, 1), 3, if(ISBLANK('2025'!$Q372), 0, 1), 4, if(ISBLANK('2025'!$R372), 0, 1), 5, if(ISBLANK('2025'!$S372), 0, 1), 6, if(ISBLANK('2025'!$T372), 0, 1), 7, 0))), 1, "")</f>
        <v/>
      </c>
      <c r="Z408" s="1" t="str">
        <f>IF(AND(AND(AND(Z$4&gt;='2025'!$L372,Z$4&lt;='2025'!$M372), Z$4&lt;&gt;DATE(2025,7,4)), (SWITCH(weekday(Z$4), 1, 0, 2, if(ISBLANK('2025'!$P372), 0, 1), 3, if(ISBLANK('2025'!$Q372), 0, 1), 4, if(ISBLANK('2025'!$R372), 0, 1), 5, if(ISBLANK('2025'!$S372), 0, 1), 6, if(ISBLANK('2025'!$T372), 0, 1), 7, 0))), 1, "")</f>
        <v/>
      </c>
      <c r="AA408" s="1" t="str">
        <f>IF(AND(AND(AND(AA$4&gt;='2025'!$L372,AA$4&lt;='2025'!$M372), AA$4&lt;&gt;DATE(2025,7,4)), (SWITCH(weekday(AA$4), 1, 0, 2, if(ISBLANK('2025'!$P372), 0, 1), 3, if(ISBLANK('2025'!$Q372), 0, 1), 4, if(ISBLANK('2025'!$R372), 0, 1), 5, if(ISBLANK('2025'!$S372), 0, 1), 6, if(ISBLANK('2025'!$T372), 0, 1), 7, 0))), 1, "")</f>
        <v/>
      </c>
      <c r="AB408" s="1" t="str">
        <f>IF(AND(AND(AND(AB$4&gt;='2025'!$L372,AB$4&lt;='2025'!$M372), AB$4&lt;&gt;DATE(2025,7,4)), (SWITCH(weekday(AB$4), 1, 0, 2, if(ISBLANK('2025'!$P372), 0, 1), 3, if(ISBLANK('2025'!$Q372), 0, 1), 4, if(ISBLANK('2025'!$R372), 0, 1), 5, if(ISBLANK('2025'!$S372), 0, 1), 6, if(ISBLANK('2025'!$T372), 0, 1), 7, 0))), 1, "")</f>
        <v/>
      </c>
      <c r="AC408" s="1" t="str">
        <f>IF(AND(AND(AND(AC$4&gt;='2025'!$L372,AC$4&lt;='2025'!$M372), AC$4&lt;&gt;DATE(2025,7,4)), (SWITCH(weekday(AC$4), 1, 0, 2, if(ISBLANK('2025'!$P372), 0, 1), 3, if(ISBLANK('2025'!$Q372), 0, 1), 4, if(ISBLANK('2025'!$R372), 0, 1), 5, if(ISBLANK('2025'!$S372), 0, 1), 6, if(ISBLANK('2025'!$T372), 0, 1), 7, 0))), 1, "")</f>
        <v/>
      </c>
      <c r="AD408" s="1" t="str">
        <f>IF(AND(AND(AND(AD$4&gt;='2025'!$L372,AD$4&lt;='2025'!$M372), AD$4&lt;&gt;DATE(2025,7,4)), (SWITCH(weekday(AD$4), 1, 0, 2, if(ISBLANK('2025'!$P372), 0, 1), 3, if(ISBLANK('2025'!$Q372), 0, 1), 4, if(ISBLANK('2025'!$R372), 0, 1), 5, if(ISBLANK('2025'!$S372), 0, 1), 6, if(ISBLANK('2025'!$T372), 0, 1), 7, 0))), 1, "")</f>
        <v/>
      </c>
      <c r="AE408" s="1" t="str">
        <f>IF(AND(AND(AND(AE$4&gt;='2025'!$L372,AE$4&lt;='2025'!$M372), AE$4&lt;&gt;DATE(2025,7,4)), (SWITCH(weekday(AE$4), 1, 0, 2, if(ISBLANK('2025'!$P372), 0, 1), 3, if(ISBLANK('2025'!$Q372), 0, 1), 4, if(ISBLANK('2025'!$R372), 0, 1), 5, if(ISBLANK('2025'!$S372), 0, 1), 6, if(ISBLANK('2025'!$T372), 0, 1), 7, 0))), 1, "")</f>
        <v/>
      </c>
      <c r="AF408" s="1" t="str">
        <f>IF(AND(AND(AND(AF$4&gt;='2025'!$L372,AF$4&lt;='2025'!$M372), AF$4&lt;&gt;DATE(2025,7,4)), (SWITCH(weekday(AF$4), 1, 0, 2, if(ISBLANK('2025'!$P372), 0, 1), 3, if(ISBLANK('2025'!$Q372), 0, 1), 4, if(ISBLANK('2025'!$R372), 0, 1), 5, if(ISBLANK('2025'!$S372), 0, 1), 6, if(ISBLANK('2025'!$T372), 0, 1), 7, 0))), 1, "")</f>
        <v/>
      </c>
      <c r="AG408" s="1" t="str">
        <f>IF(AND(AND(AND(AG$4&gt;='2025'!$L372,AG$4&lt;='2025'!$M372), AG$4&lt;&gt;DATE(2025,7,4)), (SWITCH(weekday(AG$4), 1, 0, 2, if(ISBLANK('2025'!$P372), 0, 1), 3, if(ISBLANK('2025'!$Q372), 0, 1), 4, if(ISBLANK('2025'!$R372), 0, 1), 5, if(ISBLANK('2025'!$S372), 0, 1), 6, if(ISBLANK('2025'!$T372), 0, 1), 7, 0))), 1, "")</f>
        <v/>
      </c>
      <c r="AH408" s="1" t="str">
        <f>IF(AND(AND(AND(AH$4&gt;='2025'!$L372,AH$4&lt;='2025'!$M372), AH$4&lt;&gt;DATE(2025,7,4)), (SWITCH(weekday(AH$4), 1, 0, 2, if(ISBLANK('2025'!$P372), 0, 1), 3, if(ISBLANK('2025'!$Q372), 0, 1), 4, if(ISBLANK('2025'!$R372), 0, 1), 5, if(ISBLANK('2025'!$S372), 0, 1), 6, if(ISBLANK('2025'!$T372), 0, 1), 7, 0))), 1, "")</f>
        <v/>
      </c>
      <c r="AI408" s="1" t="str">
        <f>IF(AND(AND(AND(AI$4&gt;='2025'!$L372,AI$4&lt;='2025'!$M372), AI$4&lt;&gt;DATE(2025,7,4)), (SWITCH(weekday(AI$4), 1, 0, 2, if(ISBLANK('2025'!$P372), 0, 1), 3, if(ISBLANK('2025'!$Q372), 0, 1), 4, if(ISBLANK('2025'!$R372), 0, 1), 5, if(ISBLANK('2025'!$S372), 0, 1), 6, if(ISBLANK('2025'!$T372), 0, 1), 7, 0))), 1, "")</f>
        <v/>
      </c>
      <c r="AJ408" s="1" t="str">
        <f>IF(AND(AND(AND(AJ$4&gt;='2025'!$L372,AJ$4&lt;='2025'!$M372), AJ$4&lt;&gt;DATE(2025,7,4)), (SWITCH(weekday(AJ$4), 1, 0, 2, if(ISBLANK('2025'!$P372), 0, 1), 3, if(ISBLANK('2025'!$Q372), 0, 1), 4, if(ISBLANK('2025'!$R372), 0, 1), 5, if(ISBLANK('2025'!$S372), 0, 1), 6, if(ISBLANK('2025'!$T372), 0, 1), 7, 0))), 1, "")</f>
        <v/>
      </c>
      <c r="AK408" s="1" t="str">
        <f>IF(AND(AND(AND(AK$4&gt;='2025'!$L372,AK$4&lt;='2025'!$M372), AK$4&lt;&gt;DATE(2025,7,4)), (SWITCH(weekday(AK$4), 1, 0, 2, if(ISBLANK('2025'!$P372), 0, 1), 3, if(ISBLANK('2025'!$Q372), 0, 1), 4, if(ISBLANK('2025'!$R372), 0, 1), 5, if(ISBLANK('2025'!$S372), 0, 1), 6, if(ISBLANK('2025'!$T372), 0, 1), 7, 0))), 1, "")</f>
        <v/>
      </c>
      <c r="AL408" s="1" t="str">
        <f>IF(AND(AND(AND(AL$4&gt;='2025'!$L372,AL$4&lt;='2025'!$M372), AL$4&lt;&gt;DATE(2025,7,4)), (SWITCH(weekday(AL$4), 1, 0, 2, if(ISBLANK('2025'!$P372), 0, 1), 3, if(ISBLANK('2025'!$Q372), 0, 1), 4, if(ISBLANK('2025'!$R372), 0, 1), 5, if(ISBLANK('2025'!$S372), 0, 1), 6, if(ISBLANK('2025'!$T372), 0, 1), 7, 0))), 1, "")</f>
        <v/>
      </c>
      <c r="AM408" s="1" t="str">
        <f>IF(AND(AND(AND(AM$4&gt;='2025'!$L372,AM$4&lt;='2025'!$M372), AM$4&lt;&gt;DATE(2025,7,4)), (SWITCH(weekday(AM$4), 1, 0, 2, if(ISBLANK('2025'!$P372), 0, 1), 3, if(ISBLANK('2025'!$Q372), 0, 1), 4, if(ISBLANK('2025'!$R372), 0, 1), 5, if(ISBLANK('2025'!$S372), 0, 1), 6, if(ISBLANK('2025'!$T372), 0, 1), 7, 0))), 1, "")</f>
        <v/>
      </c>
      <c r="AN408" s="1" t="str">
        <f>IF(AND(AND(AND(AN$4&gt;='2025'!$L372,AN$4&lt;='2025'!$M372), AN$4&lt;&gt;DATE(2025,7,4)), (SWITCH(weekday(AN$4), 1, 0, 2, if(ISBLANK('2025'!$P372), 0, 1), 3, if(ISBLANK('2025'!$Q372), 0, 1), 4, if(ISBLANK('2025'!$R372), 0, 1), 5, if(ISBLANK('2025'!$S372), 0, 1), 6, if(ISBLANK('2025'!$T372), 0, 1), 7, 0))), 1, "")</f>
        <v/>
      </c>
      <c r="AO408" s="1" t="str">
        <f>IF(AND(AND(AND(AO$4&gt;='2025'!$L372,AO$4&lt;='2025'!$M372), AO$4&lt;&gt;DATE(2025,7,4)), (SWITCH(weekday(AO$4), 1, 0, 2, if(ISBLANK('2025'!$P372), 0, 1), 3, if(ISBLANK('2025'!$Q372), 0, 1), 4, if(ISBLANK('2025'!$R372), 0, 1), 5, if(ISBLANK('2025'!$S372), 0, 1), 6, if(ISBLANK('2025'!$T372), 0, 1), 7, 0))), 1, "")</f>
        <v/>
      </c>
      <c r="AP408" s="1" t="str">
        <f>IF(AND(AND(AND(AP$4&gt;='2025'!$L372,AP$4&lt;='2025'!$M372), AP$4&lt;&gt;DATE(2025,7,4)), (SWITCH(weekday(AP$4), 1, 0, 2, if(ISBLANK('2025'!$P372), 0, 1), 3, if(ISBLANK('2025'!$Q372), 0, 1), 4, if(ISBLANK('2025'!$R372), 0, 1), 5, if(ISBLANK('2025'!$S372), 0, 1), 6, if(ISBLANK('2025'!$T372), 0, 1), 7, 0))), 1, "")</f>
        <v/>
      </c>
      <c r="AQ408" s="1" t="str">
        <f>IF(AND(AND(AND(AQ$4&gt;='2025'!$L372,AQ$4&lt;='2025'!$M372), AQ$4&lt;&gt;DATE(2025,7,4)), (SWITCH(weekday(AQ$4), 1, 0, 2, if(ISBLANK('2025'!$P372), 0, 1), 3, if(ISBLANK('2025'!$Q372), 0, 1), 4, if(ISBLANK('2025'!$R372), 0, 1), 5, if(ISBLANK('2025'!$S372), 0, 1), 6, if(ISBLANK('2025'!$T372), 0, 1), 7, 0))), 1, "")</f>
        <v/>
      </c>
      <c r="AR408" s="1" t="str">
        <f>IF(AND(AND(AND(AR$4&gt;='2025'!$L372,AR$4&lt;='2025'!$M372), AR$4&lt;&gt;DATE(2025,7,4)), (SWITCH(weekday(AR$4), 1, 0, 2, if(ISBLANK('2025'!$P372), 0, 1), 3, if(ISBLANK('2025'!$Q372), 0, 1), 4, if(ISBLANK('2025'!$R372), 0, 1), 5, if(ISBLANK('2025'!$S372), 0, 1), 6, if(ISBLANK('2025'!$T372), 0, 1), 7, 0))), 1, "")</f>
        <v/>
      </c>
      <c r="AS408" s="1" t="str">
        <f>IF(AND(AND(AND(AS$4&gt;='2025'!$L372,AS$4&lt;='2025'!$M372), AS$4&lt;&gt;DATE(2025,7,4)), (SWITCH(weekday(AS$4), 1, 0, 2, if(ISBLANK('2025'!$P372), 0, 1), 3, if(ISBLANK('2025'!$Q372), 0, 1), 4, if(ISBLANK('2025'!$R372), 0, 1), 5, if(ISBLANK('2025'!$S372), 0, 1), 6, if(ISBLANK('2025'!$T372), 0, 1), 7, 0))), 1, "")</f>
        <v/>
      </c>
      <c r="AT408" s="1" t="str">
        <f>IF(AND(AND(AND(AT$4&gt;='2025'!$L372,AT$4&lt;='2025'!$M372), AT$4&lt;&gt;DATE(2025,7,4)), (SWITCH(weekday(AT$4), 1, 0, 2, if(ISBLANK('2025'!$P372), 0, 1), 3, if(ISBLANK('2025'!$Q372), 0, 1), 4, if(ISBLANK('2025'!$R372), 0, 1), 5, if(ISBLANK('2025'!$S372), 0, 1), 6, if(ISBLANK('2025'!$T372), 0, 1), 7, 0))), 1, "")</f>
        <v/>
      </c>
      <c r="AU408" s="1" t="str">
        <f>IF(AND(AND(AND(AU$4&gt;='2025'!$L372,AU$4&lt;='2025'!$M372), AU$4&lt;&gt;DATE(2025,7,4)), (SWITCH(weekday(AU$4), 1, 0, 2, if(ISBLANK('2025'!$P372), 0, 1), 3, if(ISBLANK('2025'!$Q372), 0, 1), 4, if(ISBLANK('2025'!$R372), 0, 1), 5, if(ISBLANK('2025'!$S372), 0, 1), 6, if(ISBLANK('2025'!$T372), 0, 1), 7, 0))), 1, "")</f>
        <v/>
      </c>
      <c r="AV408" s="1" t="str">
        <f>IF(AND(AND(AND(AV$4&gt;='2025'!$L372,AV$4&lt;='2025'!$M372), AV$4&lt;&gt;DATE(2025,7,4)), (SWITCH(weekday(AV$4), 1, 0, 2, if(ISBLANK('2025'!$P372), 0, 1), 3, if(ISBLANK('2025'!$Q372), 0, 1), 4, if(ISBLANK('2025'!$R372), 0, 1), 5, if(ISBLANK('2025'!$S372), 0, 1), 6, if(ISBLANK('2025'!$T372), 0, 1), 7, 0))), 1, "")</f>
        <v/>
      </c>
      <c r="AW408" s="1" t="str">
        <f>IF(AND(AND(AND(AW$4&gt;='2025'!$L372,AW$4&lt;='2025'!$M372), AW$4&lt;&gt;DATE(2025,7,4)), (SWITCH(weekday(AW$4), 1, 0, 2, if(ISBLANK('2025'!$P372), 0, 1), 3, if(ISBLANK('2025'!$Q372), 0, 1), 4, if(ISBLANK('2025'!$R372), 0, 1), 5, if(ISBLANK('2025'!$S372), 0, 1), 6, if(ISBLANK('2025'!$T372), 0, 1), 7, 0))), 1, "")</f>
        <v/>
      </c>
      <c r="AX408" s="1" t="str">
        <f>IF(AND(AND(AND(AX$4&gt;='2025'!$L372,AX$4&lt;='2025'!$M372), AX$4&lt;&gt;DATE(2025,7,4)), (SWITCH(weekday(AX$4), 1, 0, 2, if(ISBLANK('2025'!$P372), 0, 1), 3, if(ISBLANK('2025'!$Q372), 0, 1), 4, if(ISBLANK('2025'!$R372), 0, 1), 5, if(ISBLANK('2025'!$S372), 0, 1), 6, if(ISBLANK('2025'!$T372), 0, 1), 7, 0))), 1, "")</f>
        <v/>
      </c>
      <c r="AY408" s="1" t="str">
        <f>IF(AND(AND(AND(AY$4&gt;='2025'!$L372,AY$4&lt;='2025'!$M372), AY$4&lt;&gt;DATE(2025,7,4)), (SWITCH(weekday(AY$4), 1, 0, 2, if(ISBLANK('2025'!$P372), 0, 1), 3, if(ISBLANK('2025'!$Q372), 0, 1), 4, if(ISBLANK('2025'!$R372), 0, 1), 5, if(ISBLANK('2025'!$S372), 0, 1), 6, if(ISBLANK('2025'!$T372), 0, 1), 7, 0))), 1, "")</f>
        <v/>
      </c>
      <c r="AZ408" s="1" t="str">
        <f>IF(AND(AND(AND(AZ$4&gt;='2025'!$L372,AZ$4&lt;='2025'!$M372), AZ$4&lt;&gt;DATE(2025,7,4)), (SWITCH(weekday(AZ$4), 1, 0, 2, if(ISBLANK('2025'!$P372), 0, 1), 3, if(ISBLANK('2025'!$Q372), 0, 1), 4, if(ISBLANK('2025'!$R372), 0, 1), 5, if(ISBLANK('2025'!$S372), 0, 1), 6, if(ISBLANK('2025'!$T372), 0, 1), 7, 0))), 1, "")</f>
        <v/>
      </c>
      <c r="BA408" s="1" t="str">
        <f>IF(AND(AND(AND(BA$4&gt;='2025'!$L372,BA$4&lt;='2025'!$M372), BA$4&lt;&gt;DATE(2025,7,4)), (SWITCH(weekday(BA$4), 1, 0, 2, if(ISBLANK('2025'!$P372), 0, 1), 3, if(ISBLANK('2025'!$Q372), 0, 1), 4, if(ISBLANK('2025'!$R372), 0, 1), 5, if(ISBLANK('2025'!$S372), 0, 1), 6, if(ISBLANK('2025'!$T372), 0, 1), 7, 0))), 1, "")</f>
        <v/>
      </c>
      <c r="BB408" s="1" t="str">
        <f>IF(AND(AND(AND(BB$4&gt;='2025'!$L372,BB$4&lt;='2025'!$M372), BB$4&lt;&gt;DATE(2025,7,4)), (SWITCH(weekday(BB$4), 1, 0, 2, if(ISBLANK('2025'!$P372), 0, 1), 3, if(ISBLANK('2025'!$Q372), 0, 1), 4, if(ISBLANK('2025'!$R372), 0, 1), 5, if(ISBLANK('2025'!$S372), 0, 1), 6, if(ISBLANK('2025'!$T372), 0, 1), 7, 0))), 1, "")</f>
        <v/>
      </c>
      <c r="BC408" s="1" t="str">
        <f>IF(AND(AND(AND(BC$4&gt;='2025'!$L372,BC$4&lt;='2025'!$M372), BC$4&lt;&gt;DATE(2025,7,4)), (SWITCH(weekday(BC$4), 1, 0, 2, if(ISBLANK('2025'!$P372), 0, 1), 3, if(ISBLANK('2025'!$Q372), 0, 1), 4, if(ISBLANK('2025'!$R372), 0, 1), 5, if(ISBLANK('2025'!$S372), 0, 1), 6, if(ISBLANK('2025'!$T372), 0, 1), 7, 0))), 1, "")</f>
        <v/>
      </c>
      <c r="BD408" s="1" t="str">
        <f>IF(AND(AND(AND(BD$4&gt;='2025'!$L372,BD$4&lt;='2025'!$M372), BD$4&lt;&gt;DATE(2025,7,4)), (SWITCH(weekday(BD$4), 1, 0, 2, if(ISBLANK('2025'!$P372), 0, 1), 3, if(ISBLANK('2025'!$Q372), 0, 1), 4, if(ISBLANK('2025'!$R372), 0, 1), 5, if(ISBLANK('2025'!$S372), 0, 1), 6, if(ISBLANK('2025'!$T372), 0, 1), 7, 0))), 1, "")</f>
        <v/>
      </c>
      <c r="BE408" s="1" t="str">
        <f>IF(AND(AND(AND(BE$4&gt;='2025'!$L372,BE$4&lt;='2025'!$M372), BE$4&lt;&gt;DATE(2025,7,4)), (SWITCH(weekday(BE$4), 1, 0, 2, if(ISBLANK('2025'!$P372), 0, 1), 3, if(ISBLANK('2025'!$Q372), 0, 1), 4, if(ISBLANK('2025'!$R372), 0, 1), 5, if(ISBLANK('2025'!$S372), 0, 1), 6, if(ISBLANK('2025'!$T372), 0, 1), 7, 0))), 1, "")</f>
        <v/>
      </c>
    </row>
    <row r="409">
      <c r="A409" s="1">
        <f t="shared" si="3"/>
        <v>409</v>
      </c>
      <c r="B409" s="1" t="str">
        <f>'2025'!D373</f>
        <v/>
      </c>
      <c r="C409" s="1" t="str">
        <f>'2025'!H373</f>
        <v/>
      </c>
      <c r="D409" s="1" t="str">
        <f>IF(AND(AND(AND(D$4&gt;='2025'!$L373,D$4&lt;='2025'!$M373), D$4&lt;&gt;DATE(2025,7,4)), (SWITCH(weekday(D$4), 1, 0, 2, if(ISBLANK('2025'!$P373), 0, 1), 3, if(ISBLANK('2025'!$Q373), 0, 1), 4, if(ISBLANK('2025'!$R373), 0, 1), 5, if(ISBLANK('2025'!$S373), 0, 1), 6, if(ISBLANK('2025'!$T373), 0, 1), 7, 0))), 1, "")</f>
        <v/>
      </c>
      <c r="E409" s="1" t="str">
        <f>IF(AND(AND(AND(E$4&gt;='2025'!$L373,E$4&lt;='2025'!$M373), E$4&lt;&gt;DATE(2025,7,4)), (SWITCH(weekday(E$4), 1, 0, 2, if(ISBLANK('2025'!$P373), 0, 1), 3, if(ISBLANK('2025'!$Q373), 0, 1), 4, if(ISBLANK('2025'!$R373), 0, 1), 5, if(ISBLANK('2025'!$S373), 0, 1), 6, if(ISBLANK('2025'!$T373), 0, 1), 7, 0))), 1, "")</f>
        <v/>
      </c>
      <c r="F409" s="1" t="str">
        <f>IF(AND(AND(AND(F$4&gt;='2025'!$L373,F$4&lt;='2025'!$M373), F$4&lt;&gt;DATE(2025,7,4)), (SWITCH(weekday(F$4), 1, 0, 2, if(ISBLANK('2025'!$P373), 0, 1), 3, if(ISBLANK('2025'!$Q373), 0, 1), 4, if(ISBLANK('2025'!$R373), 0, 1), 5, if(ISBLANK('2025'!$S373), 0, 1), 6, if(ISBLANK('2025'!$T373), 0, 1), 7, 0))), 1, "")</f>
        <v/>
      </c>
      <c r="G409" s="1" t="str">
        <f>IF(AND(AND(AND(G$4&gt;='2025'!$L373,G$4&lt;='2025'!$M373), G$4&lt;&gt;DATE(2025,7,4)), (SWITCH(weekday(G$4), 1, 0, 2, if(ISBLANK('2025'!$P373), 0, 1), 3, if(ISBLANK('2025'!$Q373), 0, 1), 4, if(ISBLANK('2025'!$R373), 0, 1), 5, if(ISBLANK('2025'!$S373), 0, 1), 6, if(ISBLANK('2025'!$T373), 0, 1), 7, 0))), 1, "")</f>
        <v/>
      </c>
      <c r="H409" s="1" t="str">
        <f>IF(AND(AND(AND(H$4&gt;='2025'!$L373,H$4&lt;='2025'!$M373), H$4&lt;&gt;DATE(2025,7,4)), (SWITCH(weekday(H$4), 1, 0, 2, if(ISBLANK('2025'!$P373), 0, 1), 3, if(ISBLANK('2025'!$Q373), 0, 1), 4, if(ISBLANK('2025'!$R373), 0, 1), 5, if(ISBLANK('2025'!$S373), 0, 1), 6, if(ISBLANK('2025'!$T373), 0, 1), 7, 0))), 1, "")</f>
        <v/>
      </c>
      <c r="I409" s="1" t="str">
        <f>IF(AND(AND(AND(I$4&gt;='2025'!$L373,I$4&lt;='2025'!$M373), I$4&lt;&gt;DATE(2025,7,4)), (SWITCH(weekday(I$4), 1, 0, 2, if(ISBLANK('2025'!$P373), 0, 1), 3, if(ISBLANK('2025'!$Q373), 0, 1), 4, if(ISBLANK('2025'!$R373), 0, 1), 5, if(ISBLANK('2025'!$S373), 0, 1), 6, if(ISBLANK('2025'!$T373), 0, 1), 7, 0))), 1, "")</f>
        <v/>
      </c>
      <c r="J409" s="1" t="str">
        <f>IF(AND(AND(AND(J$4&gt;='2025'!$L373,J$4&lt;='2025'!$M373), J$4&lt;&gt;DATE(2025,7,4)), (SWITCH(weekday(J$4), 1, 0, 2, if(ISBLANK('2025'!$P373), 0, 1), 3, if(ISBLANK('2025'!$Q373), 0, 1), 4, if(ISBLANK('2025'!$R373), 0, 1), 5, if(ISBLANK('2025'!$S373), 0, 1), 6, if(ISBLANK('2025'!$T373), 0, 1), 7, 0))), 1, "")</f>
        <v/>
      </c>
      <c r="K409" s="1" t="str">
        <f>IF(AND(AND(AND(K$4&gt;='2025'!$L373,K$4&lt;='2025'!$M373), K$4&lt;&gt;DATE(2025,7,4)), (SWITCH(weekday(K$4), 1, 0, 2, if(ISBLANK('2025'!$P373), 0, 1), 3, if(ISBLANK('2025'!$Q373), 0, 1), 4, if(ISBLANK('2025'!$R373), 0, 1), 5, if(ISBLANK('2025'!$S373), 0, 1), 6, if(ISBLANK('2025'!$T373), 0, 1), 7, 0))), 1, "")</f>
        <v/>
      </c>
      <c r="L409" s="1" t="str">
        <f>IF(AND(AND(AND(L$4&gt;='2025'!$L373,L$4&lt;='2025'!$M373), L$4&lt;&gt;DATE(2025,7,4)), (SWITCH(weekday(L$4), 1, 0, 2, if(ISBLANK('2025'!$P373), 0, 1), 3, if(ISBLANK('2025'!$Q373), 0, 1), 4, if(ISBLANK('2025'!$R373), 0, 1), 5, if(ISBLANK('2025'!$S373), 0, 1), 6, if(ISBLANK('2025'!$T373), 0, 1), 7, 0))), 1, "")</f>
        <v/>
      </c>
      <c r="M409" s="1" t="str">
        <f>IF(AND(AND(AND(M$4&gt;='2025'!$L373,M$4&lt;='2025'!$M373), M$4&lt;&gt;DATE(2025,7,4)), (SWITCH(weekday(M$4), 1, 0, 2, if(ISBLANK('2025'!$P373), 0, 1), 3, if(ISBLANK('2025'!$Q373), 0, 1), 4, if(ISBLANK('2025'!$R373), 0, 1), 5, if(ISBLANK('2025'!$S373), 0, 1), 6, if(ISBLANK('2025'!$T373), 0, 1), 7, 0))), 1, "")</f>
        <v/>
      </c>
      <c r="N409" s="1" t="str">
        <f>IF(AND(AND(AND(N$4&gt;='2025'!$L373,N$4&lt;='2025'!$M373), N$4&lt;&gt;DATE(2025,7,4)), (SWITCH(weekday(N$4), 1, 0, 2, if(ISBLANK('2025'!$P373), 0, 1), 3, if(ISBLANK('2025'!$Q373), 0, 1), 4, if(ISBLANK('2025'!$R373), 0, 1), 5, if(ISBLANK('2025'!$S373), 0, 1), 6, if(ISBLANK('2025'!$T373), 0, 1), 7, 0))), 1, "")</f>
        <v/>
      </c>
      <c r="O409" s="1" t="str">
        <f>IF(AND(AND(AND(O$4&gt;='2025'!$L373,O$4&lt;='2025'!$M373), O$4&lt;&gt;DATE(2025,7,4)), (SWITCH(weekday(O$4), 1, 0, 2, if(ISBLANK('2025'!$P373), 0, 1), 3, if(ISBLANK('2025'!$Q373), 0, 1), 4, if(ISBLANK('2025'!$R373), 0, 1), 5, if(ISBLANK('2025'!$S373), 0, 1), 6, if(ISBLANK('2025'!$T373), 0, 1), 7, 0))), 1, "")</f>
        <v/>
      </c>
      <c r="P409" s="1" t="str">
        <f>IF(AND(AND(AND(P$4&gt;='2025'!$L373,P$4&lt;='2025'!$M373), P$4&lt;&gt;DATE(2025,7,4)), (SWITCH(weekday(P$4), 1, 0, 2, if(ISBLANK('2025'!$P373), 0, 1), 3, if(ISBLANK('2025'!$Q373), 0, 1), 4, if(ISBLANK('2025'!$R373), 0, 1), 5, if(ISBLANK('2025'!$S373), 0, 1), 6, if(ISBLANK('2025'!$T373), 0, 1), 7, 0))), 1, "")</f>
        <v/>
      </c>
      <c r="Q409" s="1" t="str">
        <f>IF(AND(AND(AND(Q$4&gt;='2025'!$L373,Q$4&lt;='2025'!$M373), Q$4&lt;&gt;DATE(2025,7,4)), (SWITCH(weekday(Q$4), 1, 0, 2, if(ISBLANK('2025'!$P373), 0, 1), 3, if(ISBLANK('2025'!$Q373), 0, 1), 4, if(ISBLANK('2025'!$R373), 0, 1), 5, if(ISBLANK('2025'!$S373), 0, 1), 6, if(ISBLANK('2025'!$T373), 0, 1), 7, 0))), 1, "")</f>
        <v/>
      </c>
      <c r="R409" s="1" t="str">
        <f>IF(AND(AND(AND(R$4&gt;='2025'!$L373,R$4&lt;='2025'!$M373), R$4&lt;&gt;DATE(2025,7,4)), (SWITCH(weekday(R$4), 1, 0, 2, if(ISBLANK('2025'!$P373), 0, 1), 3, if(ISBLANK('2025'!$Q373), 0, 1), 4, if(ISBLANK('2025'!$R373), 0, 1), 5, if(ISBLANK('2025'!$S373), 0, 1), 6, if(ISBLANK('2025'!$T373), 0, 1), 7, 0))), 1, "")</f>
        <v/>
      </c>
      <c r="S409" s="1" t="str">
        <f>IF(AND(AND(AND(S$4&gt;='2025'!$L373,S$4&lt;='2025'!$M373), S$4&lt;&gt;DATE(2025,7,4)), (SWITCH(weekday(S$4), 1, 0, 2, if(ISBLANK('2025'!$P373), 0, 1), 3, if(ISBLANK('2025'!$Q373), 0, 1), 4, if(ISBLANK('2025'!$R373), 0, 1), 5, if(ISBLANK('2025'!$S373), 0, 1), 6, if(ISBLANK('2025'!$T373), 0, 1), 7, 0))), 1, "")</f>
        <v/>
      </c>
      <c r="T409" s="1" t="str">
        <f>IF(AND(AND(AND(T$4&gt;='2025'!$L373,T$4&lt;='2025'!$M373), T$4&lt;&gt;DATE(2025,7,4)), (SWITCH(weekday(T$4), 1, 0, 2, if(ISBLANK('2025'!$P373), 0, 1), 3, if(ISBLANK('2025'!$Q373), 0, 1), 4, if(ISBLANK('2025'!$R373), 0, 1), 5, if(ISBLANK('2025'!$S373), 0, 1), 6, if(ISBLANK('2025'!$T373), 0, 1), 7, 0))), 1, "")</f>
        <v/>
      </c>
      <c r="U409" s="1" t="str">
        <f>IF(AND(AND(AND(U$4&gt;='2025'!$L373,U$4&lt;='2025'!$M373), U$4&lt;&gt;DATE(2025,7,4)), (SWITCH(weekday(U$4), 1, 0, 2, if(ISBLANK('2025'!$P373), 0, 1), 3, if(ISBLANK('2025'!$Q373), 0, 1), 4, if(ISBLANK('2025'!$R373), 0, 1), 5, if(ISBLANK('2025'!$S373), 0, 1), 6, if(ISBLANK('2025'!$T373), 0, 1), 7, 0))), 1, "")</f>
        <v/>
      </c>
      <c r="V409" s="1" t="str">
        <f>IF(AND(AND(AND(V$4&gt;='2025'!$L373,V$4&lt;='2025'!$M373), V$4&lt;&gt;DATE(2025,7,4)), (SWITCH(weekday(V$4), 1, 0, 2, if(ISBLANK('2025'!$P373), 0, 1), 3, if(ISBLANK('2025'!$Q373), 0, 1), 4, if(ISBLANK('2025'!$R373), 0, 1), 5, if(ISBLANK('2025'!$S373), 0, 1), 6, if(ISBLANK('2025'!$T373), 0, 1), 7, 0))), 1, "")</f>
        <v/>
      </c>
      <c r="W409" s="1" t="str">
        <f>IF(AND(AND(AND(W$4&gt;='2025'!$L373,W$4&lt;='2025'!$M373), W$4&lt;&gt;DATE(2025,7,4)), (SWITCH(weekday(W$4), 1, 0, 2, if(ISBLANK('2025'!$P373), 0, 1), 3, if(ISBLANK('2025'!$Q373), 0, 1), 4, if(ISBLANK('2025'!$R373), 0, 1), 5, if(ISBLANK('2025'!$S373), 0, 1), 6, if(ISBLANK('2025'!$T373), 0, 1), 7, 0))), 1, "")</f>
        <v/>
      </c>
      <c r="X409" s="1" t="str">
        <f>IF(AND(AND(AND(X$4&gt;='2025'!$L373,X$4&lt;='2025'!$M373), X$4&lt;&gt;DATE(2025,7,4)), (SWITCH(weekday(X$4), 1, 0, 2, if(ISBLANK('2025'!$P373), 0, 1), 3, if(ISBLANK('2025'!$Q373), 0, 1), 4, if(ISBLANK('2025'!$R373), 0, 1), 5, if(ISBLANK('2025'!$S373), 0, 1), 6, if(ISBLANK('2025'!$T373), 0, 1), 7, 0))), 1, "")</f>
        <v/>
      </c>
      <c r="Y409" s="1" t="str">
        <f>IF(AND(AND(AND(Y$4&gt;='2025'!$L373,Y$4&lt;='2025'!$M373), Y$4&lt;&gt;DATE(2025,7,4)), (SWITCH(weekday(Y$4), 1, 0, 2, if(ISBLANK('2025'!$P373), 0, 1), 3, if(ISBLANK('2025'!$Q373), 0, 1), 4, if(ISBLANK('2025'!$R373), 0, 1), 5, if(ISBLANK('2025'!$S373), 0, 1), 6, if(ISBLANK('2025'!$T373), 0, 1), 7, 0))), 1, "")</f>
        <v/>
      </c>
      <c r="Z409" s="1" t="str">
        <f>IF(AND(AND(AND(Z$4&gt;='2025'!$L373,Z$4&lt;='2025'!$M373), Z$4&lt;&gt;DATE(2025,7,4)), (SWITCH(weekday(Z$4), 1, 0, 2, if(ISBLANK('2025'!$P373), 0, 1), 3, if(ISBLANK('2025'!$Q373), 0, 1), 4, if(ISBLANK('2025'!$R373), 0, 1), 5, if(ISBLANK('2025'!$S373), 0, 1), 6, if(ISBLANK('2025'!$T373), 0, 1), 7, 0))), 1, "")</f>
        <v/>
      </c>
      <c r="AA409" s="1" t="str">
        <f>IF(AND(AND(AND(AA$4&gt;='2025'!$L373,AA$4&lt;='2025'!$M373), AA$4&lt;&gt;DATE(2025,7,4)), (SWITCH(weekday(AA$4), 1, 0, 2, if(ISBLANK('2025'!$P373), 0, 1), 3, if(ISBLANK('2025'!$Q373), 0, 1), 4, if(ISBLANK('2025'!$R373), 0, 1), 5, if(ISBLANK('2025'!$S373), 0, 1), 6, if(ISBLANK('2025'!$T373), 0, 1), 7, 0))), 1, "")</f>
        <v/>
      </c>
      <c r="AB409" s="1" t="str">
        <f>IF(AND(AND(AND(AB$4&gt;='2025'!$L373,AB$4&lt;='2025'!$M373), AB$4&lt;&gt;DATE(2025,7,4)), (SWITCH(weekday(AB$4), 1, 0, 2, if(ISBLANK('2025'!$P373), 0, 1), 3, if(ISBLANK('2025'!$Q373), 0, 1), 4, if(ISBLANK('2025'!$R373), 0, 1), 5, if(ISBLANK('2025'!$S373), 0, 1), 6, if(ISBLANK('2025'!$T373), 0, 1), 7, 0))), 1, "")</f>
        <v/>
      </c>
      <c r="AC409" s="1" t="str">
        <f>IF(AND(AND(AND(AC$4&gt;='2025'!$L373,AC$4&lt;='2025'!$M373), AC$4&lt;&gt;DATE(2025,7,4)), (SWITCH(weekday(AC$4), 1, 0, 2, if(ISBLANK('2025'!$P373), 0, 1), 3, if(ISBLANK('2025'!$Q373), 0, 1), 4, if(ISBLANK('2025'!$R373), 0, 1), 5, if(ISBLANK('2025'!$S373), 0, 1), 6, if(ISBLANK('2025'!$T373), 0, 1), 7, 0))), 1, "")</f>
        <v/>
      </c>
      <c r="AD409" s="1" t="str">
        <f>IF(AND(AND(AND(AD$4&gt;='2025'!$L373,AD$4&lt;='2025'!$M373), AD$4&lt;&gt;DATE(2025,7,4)), (SWITCH(weekday(AD$4), 1, 0, 2, if(ISBLANK('2025'!$P373), 0, 1), 3, if(ISBLANK('2025'!$Q373), 0, 1), 4, if(ISBLANK('2025'!$R373), 0, 1), 5, if(ISBLANK('2025'!$S373), 0, 1), 6, if(ISBLANK('2025'!$T373), 0, 1), 7, 0))), 1, "")</f>
        <v/>
      </c>
      <c r="AE409" s="1" t="str">
        <f>IF(AND(AND(AND(AE$4&gt;='2025'!$L373,AE$4&lt;='2025'!$M373), AE$4&lt;&gt;DATE(2025,7,4)), (SWITCH(weekday(AE$4), 1, 0, 2, if(ISBLANK('2025'!$P373), 0, 1), 3, if(ISBLANK('2025'!$Q373), 0, 1), 4, if(ISBLANK('2025'!$R373), 0, 1), 5, if(ISBLANK('2025'!$S373), 0, 1), 6, if(ISBLANK('2025'!$T373), 0, 1), 7, 0))), 1, "")</f>
        <v/>
      </c>
      <c r="AF409" s="1" t="str">
        <f>IF(AND(AND(AND(AF$4&gt;='2025'!$L373,AF$4&lt;='2025'!$M373), AF$4&lt;&gt;DATE(2025,7,4)), (SWITCH(weekday(AF$4), 1, 0, 2, if(ISBLANK('2025'!$P373), 0, 1), 3, if(ISBLANK('2025'!$Q373), 0, 1), 4, if(ISBLANK('2025'!$R373), 0, 1), 5, if(ISBLANK('2025'!$S373), 0, 1), 6, if(ISBLANK('2025'!$T373), 0, 1), 7, 0))), 1, "")</f>
        <v/>
      </c>
      <c r="AG409" s="1" t="str">
        <f>IF(AND(AND(AND(AG$4&gt;='2025'!$L373,AG$4&lt;='2025'!$M373), AG$4&lt;&gt;DATE(2025,7,4)), (SWITCH(weekday(AG$4), 1, 0, 2, if(ISBLANK('2025'!$P373), 0, 1), 3, if(ISBLANK('2025'!$Q373), 0, 1), 4, if(ISBLANK('2025'!$R373), 0, 1), 5, if(ISBLANK('2025'!$S373), 0, 1), 6, if(ISBLANK('2025'!$T373), 0, 1), 7, 0))), 1, "")</f>
        <v/>
      </c>
      <c r="AH409" s="1" t="str">
        <f>IF(AND(AND(AND(AH$4&gt;='2025'!$L373,AH$4&lt;='2025'!$M373), AH$4&lt;&gt;DATE(2025,7,4)), (SWITCH(weekday(AH$4), 1, 0, 2, if(ISBLANK('2025'!$P373), 0, 1), 3, if(ISBLANK('2025'!$Q373), 0, 1), 4, if(ISBLANK('2025'!$R373), 0, 1), 5, if(ISBLANK('2025'!$S373), 0, 1), 6, if(ISBLANK('2025'!$T373), 0, 1), 7, 0))), 1, "")</f>
        <v/>
      </c>
      <c r="AI409" s="1" t="str">
        <f>IF(AND(AND(AND(AI$4&gt;='2025'!$L373,AI$4&lt;='2025'!$M373), AI$4&lt;&gt;DATE(2025,7,4)), (SWITCH(weekday(AI$4), 1, 0, 2, if(ISBLANK('2025'!$P373), 0, 1), 3, if(ISBLANK('2025'!$Q373), 0, 1), 4, if(ISBLANK('2025'!$R373), 0, 1), 5, if(ISBLANK('2025'!$S373), 0, 1), 6, if(ISBLANK('2025'!$T373), 0, 1), 7, 0))), 1, "")</f>
        <v/>
      </c>
      <c r="AJ409" s="1" t="str">
        <f>IF(AND(AND(AND(AJ$4&gt;='2025'!$L373,AJ$4&lt;='2025'!$M373), AJ$4&lt;&gt;DATE(2025,7,4)), (SWITCH(weekday(AJ$4), 1, 0, 2, if(ISBLANK('2025'!$P373), 0, 1), 3, if(ISBLANK('2025'!$Q373), 0, 1), 4, if(ISBLANK('2025'!$R373), 0, 1), 5, if(ISBLANK('2025'!$S373), 0, 1), 6, if(ISBLANK('2025'!$T373), 0, 1), 7, 0))), 1, "")</f>
        <v/>
      </c>
      <c r="AK409" s="1" t="str">
        <f>IF(AND(AND(AND(AK$4&gt;='2025'!$L373,AK$4&lt;='2025'!$M373), AK$4&lt;&gt;DATE(2025,7,4)), (SWITCH(weekday(AK$4), 1, 0, 2, if(ISBLANK('2025'!$P373), 0, 1), 3, if(ISBLANK('2025'!$Q373), 0, 1), 4, if(ISBLANK('2025'!$R373), 0, 1), 5, if(ISBLANK('2025'!$S373), 0, 1), 6, if(ISBLANK('2025'!$T373), 0, 1), 7, 0))), 1, "")</f>
        <v/>
      </c>
      <c r="AL409" s="1" t="str">
        <f>IF(AND(AND(AND(AL$4&gt;='2025'!$L373,AL$4&lt;='2025'!$M373), AL$4&lt;&gt;DATE(2025,7,4)), (SWITCH(weekday(AL$4), 1, 0, 2, if(ISBLANK('2025'!$P373), 0, 1), 3, if(ISBLANK('2025'!$Q373), 0, 1), 4, if(ISBLANK('2025'!$R373), 0, 1), 5, if(ISBLANK('2025'!$S373), 0, 1), 6, if(ISBLANK('2025'!$T373), 0, 1), 7, 0))), 1, "")</f>
        <v/>
      </c>
      <c r="AM409" s="1" t="str">
        <f>IF(AND(AND(AND(AM$4&gt;='2025'!$L373,AM$4&lt;='2025'!$M373), AM$4&lt;&gt;DATE(2025,7,4)), (SWITCH(weekday(AM$4), 1, 0, 2, if(ISBLANK('2025'!$P373), 0, 1), 3, if(ISBLANK('2025'!$Q373), 0, 1), 4, if(ISBLANK('2025'!$R373), 0, 1), 5, if(ISBLANK('2025'!$S373), 0, 1), 6, if(ISBLANK('2025'!$T373), 0, 1), 7, 0))), 1, "")</f>
        <v/>
      </c>
      <c r="AN409" s="1" t="str">
        <f>IF(AND(AND(AND(AN$4&gt;='2025'!$L373,AN$4&lt;='2025'!$M373), AN$4&lt;&gt;DATE(2025,7,4)), (SWITCH(weekday(AN$4), 1, 0, 2, if(ISBLANK('2025'!$P373), 0, 1), 3, if(ISBLANK('2025'!$Q373), 0, 1), 4, if(ISBLANK('2025'!$R373), 0, 1), 5, if(ISBLANK('2025'!$S373), 0, 1), 6, if(ISBLANK('2025'!$T373), 0, 1), 7, 0))), 1, "")</f>
        <v/>
      </c>
      <c r="AO409" s="1" t="str">
        <f>IF(AND(AND(AND(AO$4&gt;='2025'!$L373,AO$4&lt;='2025'!$M373), AO$4&lt;&gt;DATE(2025,7,4)), (SWITCH(weekday(AO$4), 1, 0, 2, if(ISBLANK('2025'!$P373), 0, 1), 3, if(ISBLANK('2025'!$Q373), 0, 1), 4, if(ISBLANK('2025'!$R373), 0, 1), 5, if(ISBLANK('2025'!$S373), 0, 1), 6, if(ISBLANK('2025'!$T373), 0, 1), 7, 0))), 1, "")</f>
        <v/>
      </c>
      <c r="AP409" s="1" t="str">
        <f>IF(AND(AND(AND(AP$4&gt;='2025'!$L373,AP$4&lt;='2025'!$M373), AP$4&lt;&gt;DATE(2025,7,4)), (SWITCH(weekday(AP$4), 1, 0, 2, if(ISBLANK('2025'!$P373), 0, 1), 3, if(ISBLANK('2025'!$Q373), 0, 1), 4, if(ISBLANK('2025'!$R373), 0, 1), 5, if(ISBLANK('2025'!$S373), 0, 1), 6, if(ISBLANK('2025'!$T373), 0, 1), 7, 0))), 1, "")</f>
        <v/>
      </c>
      <c r="AQ409" s="1" t="str">
        <f>IF(AND(AND(AND(AQ$4&gt;='2025'!$L373,AQ$4&lt;='2025'!$M373), AQ$4&lt;&gt;DATE(2025,7,4)), (SWITCH(weekday(AQ$4), 1, 0, 2, if(ISBLANK('2025'!$P373), 0, 1), 3, if(ISBLANK('2025'!$Q373), 0, 1), 4, if(ISBLANK('2025'!$R373), 0, 1), 5, if(ISBLANK('2025'!$S373), 0, 1), 6, if(ISBLANK('2025'!$T373), 0, 1), 7, 0))), 1, "")</f>
        <v/>
      </c>
      <c r="AR409" s="1" t="str">
        <f>IF(AND(AND(AND(AR$4&gt;='2025'!$L373,AR$4&lt;='2025'!$M373), AR$4&lt;&gt;DATE(2025,7,4)), (SWITCH(weekday(AR$4), 1, 0, 2, if(ISBLANK('2025'!$P373), 0, 1), 3, if(ISBLANK('2025'!$Q373), 0, 1), 4, if(ISBLANK('2025'!$R373), 0, 1), 5, if(ISBLANK('2025'!$S373), 0, 1), 6, if(ISBLANK('2025'!$T373), 0, 1), 7, 0))), 1, "")</f>
        <v/>
      </c>
      <c r="AS409" s="1" t="str">
        <f>IF(AND(AND(AND(AS$4&gt;='2025'!$L373,AS$4&lt;='2025'!$M373), AS$4&lt;&gt;DATE(2025,7,4)), (SWITCH(weekday(AS$4), 1, 0, 2, if(ISBLANK('2025'!$P373), 0, 1), 3, if(ISBLANK('2025'!$Q373), 0, 1), 4, if(ISBLANK('2025'!$R373), 0, 1), 5, if(ISBLANK('2025'!$S373), 0, 1), 6, if(ISBLANK('2025'!$T373), 0, 1), 7, 0))), 1, "")</f>
        <v/>
      </c>
      <c r="AT409" s="1" t="str">
        <f>IF(AND(AND(AND(AT$4&gt;='2025'!$L373,AT$4&lt;='2025'!$M373), AT$4&lt;&gt;DATE(2025,7,4)), (SWITCH(weekday(AT$4), 1, 0, 2, if(ISBLANK('2025'!$P373), 0, 1), 3, if(ISBLANK('2025'!$Q373), 0, 1), 4, if(ISBLANK('2025'!$R373), 0, 1), 5, if(ISBLANK('2025'!$S373), 0, 1), 6, if(ISBLANK('2025'!$T373), 0, 1), 7, 0))), 1, "")</f>
        <v/>
      </c>
      <c r="AU409" s="1" t="str">
        <f>IF(AND(AND(AND(AU$4&gt;='2025'!$L373,AU$4&lt;='2025'!$M373), AU$4&lt;&gt;DATE(2025,7,4)), (SWITCH(weekday(AU$4), 1, 0, 2, if(ISBLANK('2025'!$P373), 0, 1), 3, if(ISBLANK('2025'!$Q373), 0, 1), 4, if(ISBLANK('2025'!$R373), 0, 1), 5, if(ISBLANK('2025'!$S373), 0, 1), 6, if(ISBLANK('2025'!$T373), 0, 1), 7, 0))), 1, "")</f>
        <v/>
      </c>
      <c r="AV409" s="1" t="str">
        <f>IF(AND(AND(AND(AV$4&gt;='2025'!$L373,AV$4&lt;='2025'!$M373), AV$4&lt;&gt;DATE(2025,7,4)), (SWITCH(weekday(AV$4), 1, 0, 2, if(ISBLANK('2025'!$P373), 0, 1), 3, if(ISBLANK('2025'!$Q373), 0, 1), 4, if(ISBLANK('2025'!$R373), 0, 1), 5, if(ISBLANK('2025'!$S373), 0, 1), 6, if(ISBLANK('2025'!$T373), 0, 1), 7, 0))), 1, "")</f>
        <v/>
      </c>
      <c r="AW409" s="1" t="str">
        <f>IF(AND(AND(AND(AW$4&gt;='2025'!$L373,AW$4&lt;='2025'!$M373), AW$4&lt;&gt;DATE(2025,7,4)), (SWITCH(weekday(AW$4), 1, 0, 2, if(ISBLANK('2025'!$P373), 0, 1), 3, if(ISBLANK('2025'!$Q373), 0, 1), 4, if(ISBLANK('2025'!$R373), 0, 1), 5, if(ISBLANK('2025'!$S373), 0, 1), 6, if(ISBLANK('2025'!$T373), 0, 1), 7, 0))), 1, "")</f>
        <v/>
      </c>
      <c r="AX409" s="1" t="str">
        <f>IF(AND(AND(AND(AX$4&gt;='2025'!$L373,AX$4&lt;='2025'!$M373), AX$4&lt;&gt;DATE(2025,7,4)), (SWITCH(weekday(AX$4), 1, 0, 2, if(ISBLANK('2025'!$P373), 0, 1), 3, if(ISBLANK('2025'!$Q373), 0, 1), 4, if(ISBLANK('2025'!$R373), 0, 1), 5, if(ISBLANK('2025'!$S373), 0, 1), 6, if(ISBLANK('2025'!$T373), 0, 1), 7, 0))), 1, "")</f>
        <v/>
      </c>
      <c r="AY409" s="1" t="str">
        <f>IF(AND(AND(AND(AY$4&gt;='2025'!$L373,AY$4&lt;='2025'!$M373), AY$4&lt;&gt;DATE(2025,7,4)), (SWITCH(weekday(AY$4), 1, 0, 2, if(ISBLANK('2025'!$P373), 0, 1), 3, if(ISBLANK('2025'!$Q373), 0, 1), 4, if(ISBLANK('2025'!$R373), 0, 1), 5, if(ISBLANK('2025'!$S373), 0, 1), 6, if(ISBLANK('2025'!$T373), 0, 1), 7, 0))), 1, "")</f>
        <v/>
      </c>
      <c r="AZ409" s="1" t="str">
        <f>IF(AND(AND(AND(AZ$4&gt;='2025'!$L373,AZ$4&lt;='2025'!$M373), AZ$4&lt;&gt;DATE(2025,7,4)), (SWITCH(weekday(AZ$4), 1, 0, 2, if(ISBLANK('2025'!$P373), 0, 1), 3, if(ISBLANK('2025'!$Q373), 0, 1), 4, if(ISBLANK('2025'!$R373), 0, 1), 5, if(ISBLANK('2025'!$S373), 0, 1), 6, if(ISBLANK('2025'!$T373), 0, 1), 7, 0))), 1, "")</f>
        <v/>
      </c>
      <c r="BA409" s="1" t="str">
        <f>IF(AND(AND(AND(BA$4&gt;='2025'!$L373,BA$4&lt;='2025'!$M373), BA$4&lt;&gt;DATE(2025,7,4)), (SWITCH(weekday(BA$4), 1, 0, 2, if(ISBLANK('2025'!$P373), 0, 1), 3, if(ISBLANK('2025'!$Q373), 0, 1), 4, if(ISBLANK('2025'!$R373), 0, 1), 5, if(ISBLANK('2025'!$S373), 0, 1), 6, if(ISBLANK('2025'!$T373), 0, 1), 7, 0))), 1, "")</f>
        <v/>
      </c>
      <c r="BB409" s="1" t="str">
        <f>IF(AND(AND(AND(BB$4&gt;='2025'!$L373,BB$4&lt;='2025'!$M373), BB$4&lt;&gt;DATE(2025,7,4)), (SWITCH(weekday(BB$4), 1, 0, 2, if(ISBLANK('2025'!$P373), 0, 1), 3, if(ISBLANK('2025'!$Q373), 0, 1), 4, if(ISBLANK('2025'!$R373), 0, 1), 5, if(ISBLANK('2025'!$S373), 0, 1), 6, if(ISBLANK('2025'!$T373), 0, 1), 7, 0))), 1, "")</f>
        <v/>
      </c>
      <c r="BC409" s="1" t="str">
        <f>IF(AND(AND(AND(BC$4&gt;='2025'!$L373,BC$4&lt;='2025'!$M373), BC$4&lt;&gt;DATE(2025,7,4)), (SWITCH(weekday(BC$4), 1, 0, 2, if(ISBLANK('2025'!$P373), 0, 1), 3, if(ISBLANK('2025'!$Q373), 0, 1), 4, if(ISBLANK('2025'!$R373), 0, 1), 5, if(ISBLANK('2025'!$S373), 0, 1), 6, if(ISBLANK('2025'!$T373), 0, 1), 7, 0))), 1, "")</f>
        <v/>
      </c>
      <c r="BD409" s="1" t="str">
        <f>IF(AND(AND(AND(BD$4&gt;='2025'!$L373,BD$4&lt;='2025'!$M373), BD$4&lt;&gt;DATE(2025,7,4)), (SWITCH(weekday(BD$4), 1, 0, 2, if(ISBLANK('2025'!$P373), 0, 1), 3, if(ISBLANK('2025'!$Q373), 0, 1), 4, if(ISBLANK('2025'!$R373), 0, 1), 5, if(ISBLANK('2025'!$S373), 0, 1), 6, if(ISBLANK('2025'!$T373), 0, 1), 7, 0))), 1, "")</f>
        <v/>
      </c>
      <c r="BE409" s="1" t="str">
        <f>IF(AND(AND(AND(BE$4&gt;='2025'!$L373,BE$4&lt;='2025'!$M373), BE$4&lt;&gt;DATE(2025,7,4)), (SWITCH(weekday(BE$4), 1, 0, 2, if(ISBLANK('2025'!$P373), 0, 1), 3, if(ISBLANK('2025'!$Q373), 0, 1), 4, if(ISBLANK('2025'!$R373), 0, 1), 5, if(ISBLANK('2025'!$S373), 0, 1), 6, if(ISBLANK('2025'!$T373), 0, 1), 7, 0))), 1, "")</f>
        <v/>
      </c>
    </row>
    <row r="410">
      <c r="A410" s="1">
        <f t="shared" si="3"/>
        <v>410</v>
      </c>
      <c r="B410" s="1" t="str">
        <f>'2025'!D374</f>
        <v/>
      </c>
      <c r="C410" s="1" t="str">
        <f>'2025'!H374</f>
        <v/>
      </c>
      <c r="D410" s="1" t="str">
        <f>IF(AND(AND(AND(D$4&gt;='2025'!$L374,D$4&lt;='2025'!$M374), D$4&lt;&gt;DATE(2025,7,4)), (SWITCH(weekday(D$4), 1, 0, 2, if(ISBLANK('2025'!$P374), 0, 1), 3, if(ISBLANK('2025'!$Q374), 0, 1), 4, if(ISBLANK('2025'!$R374), 0, 1), 5, if(ISBLANK('2025'!$S374), 0, 1), 6, if(ISBLANK('2025'!$T374), 0, 1), 7, 0))), 1, "")</f>
        <v/>
      </c>
      <c r="E410" s="1" t="str">
        <f>IF(AND(AND(AND(E$4&gt;='2025'!$L374,E$4&lt;='2025'!$M374), E$4&lt;&gt;DATE(2025,7,4)), (SWITCH(weekday(E$4), 1, 0, 2, if(ISBLANK('2025'!$P374), 0, 1), 3, if(ISBLANK('2025'!$Q374), 0, 1), 4, if(ISBLANK('2025'!$R374), 0, 1), 5, if(ISBLANK('2025'!$S374), 0, 1), 6, if(ISBLANK('2025'!$T374), 0, 1), 7, 0))), 1, "")</f>
        <v/>
      </c>
      <c r="F410" s="1" t="str">
        <f>IF(AND(AND(AND(F$4&gt;='2025'!$L374,F$4&lt;='2025'!$M374), F$4&lt;&gt;DATE(2025,7,4)), (SWITCH(weekday(F$4), 1, 0, 2, if(ISBLANK('2025'!$P374), 0, 1), 3, if(ISBLANK('2025'!$Q374), 0, 1), 4, if(ISBLANK('2025'!$R374), 0, 1), 5, if(ISBLANK('2025'!$S374), 0, 1), 6, if(ISBLANK('2025'!$T374), 0, 1), 7, 0))), 1, "")</f>
        <v/>
      </c>
      <c r="G410" s="1" t="str">
        <f>IF(AND(AND(AND(G$4&gt;='2025'!$L374,G$4&lt;='2025'!$M374), G$4&lt;&gt;DATE(2025,7,4)), (SWITCH(weekday(G$4), 1, 0, 2, if(ISBLANK('2025'!$P374), 0, 1), 3, if(ISBLANK('2025'!$Q374), 0, 1), 4, if(ISBLANK('2025'!$R374), 0, 1), 5, if(ISBLANK('2025'!$S374), 0, 1), 6, if(ISBLANK('2025'!$T374), 0, 1), 7, 0))), 1, "")</f>
        <v/>
      </c>
      <c r="H410" s="1" t="str">
        <f>IF(AND(AND(AND(H$4&gt;='2025'!$L374,H$4&lt;='2025'!$M374), H$4&lt;&gt;DATE(2025,7,4)), (SWITCH(weekday(H$4), 1, 0, 2, if(ISBLANK('2025'!$P374), 0, 1), 3, if(ISBLANK('2025'!$Q374), 0, 1), 4, if(ISBLANK('2025'!$R374), 0, 1), 5, if(ISBLANK('2025'!$S374), 0, 1), 6, if(ISBLANK('2025'!$T374), 0, 1), 7, 0))), 1, "")</f>
        <v/>
      </c>
      <c r="I410" s="1" t="str">
        <f>IF(AND(AND(AND(I$4&gt;='2025'!$L374,I$4&lt;='2025'!$M374), I$4&lt;&gt;DATE(2025,7,4)), (SWITCH(weekday(I$4), 1, 0, 2, if(ISBLANK('2025'!$P374), 0, 1), 3, if(ISBLANK('2025'!$Q374), 0, 1), 4, if(ISBLANK('2025'!$R374), 0, 1), 5, if(ISBLANK('2025'!$S374), 0, 1), 6, if(ISBLANK('2025'!$T374), 0, 1), 7, 0))), 1, "")</f>
        <v/>
      </c>
      <c r="J410" s="1" t="str">
        <f>IF(AND(AND(AND(J$4&gt;='2025'!$L374,J$4&lt;='2025'!$M374), J$4&lt;&gt;DATE(2025,7,4)), (SWITCH(weekday(J$4), 1, 0, 2, if(ISBLANK('2025'!$P374), 0, 1), 3, if(ISBLANK('2025'!$Q374), 0, 1), 4, if(ISBLANK('2025'!$R374), 0, 1), 5, if(ISBLANK('2025'!$S374), 0, 1), 6, if(ISBLANK('2025'!$T374), 0, 1), 7, 0))), 1, "")</f>
        <v/>
      </c>
      <c r="K410" s="1" t="str">
        <f>IF(AND(AND(AND(K$4&gt;='2025'!$L374,K$4&lt;='2025'!$M374), K$4&lt;&gt;DATE(2025,7,4)), (SWITCH(weekday(K$4), 1, 0, 2, if(ISBLANK('2025'!$P374), 0, 1), 3, if(ISBLANK('2025'!$Q374), 0, 1), 4, if(ISBLANK('2025'!$R374), 0, 1), 5, if(ISBLANK('2025'!$S374), 0, 1), 6, if(ISBLANK('2025'!$T374), 0, 1), 7, 0))), 1, "")</f>
        <v/>
      </c>
      <c r="L410" s="1" t="str">
        <f>IF(AND(AND(AND(L$4&gt;='2025'!$L374,L$4&lt;='2025'!$M374), L$4&lt;&gt;DATE(2025,7,4)), (SWITCH(weekday(L$4), 1, 0, 2, if(ISBLANK('2025'!$P374), 0, 1), 3, if(ISBLANK('2025'!$Q374), 0, 1), 4, if(ISBLANK('2025'!$R374), 0, 1), 5, if(ISBLANK('2025'!$S374), 0, 1), 6, if(ISBLANK('2025'!$T374), 0, 1), 7, 0))), 1, "")</f>
        <v/>
      </c>
      <c r="M410" s="1" t="str">
        <f>IF(AND(AND(AND(M$4&gt;='2025'!$L374,M$4&lt;='2025'!$M374), M$4&lt;&gt;DATE(2025,7,4)), (SWITCH(weekday(M$4), 1, 0, 2, if(ISBLANK('2025'!$P374), 0, 1), 3, if(ISBLANK('2025'!$Q374), 0, 1), 4, if(ISBLANK('2025'!$R374), 0, 1), 5, if(ISBLANK('2025'!$S374), 0, 1), 6, if(ISBLANK('2025'!$T374), 0, 1), 7, 0))), 1, "")</f>
        <v/>
      </c>
      <c r="N410" s="1" t="str">
        <f>IF(AND(AND(AND(N$4&gt;='2025'!$L374,N$4&lt;='2025'!$M374), N$4&lt;&gt;DATE(2025,7,4)), (SWITCH(weekday(N$4), 1, 0, 2, if(ISBLANK('2025'!$P374), 0, 1), 3, if(ISBLANK('2025'!$Q374), 0, 1), 4, if(ISBLANK('2025'!$R374), 0, 1), 5, if(ISBLANK('2025'!$S374), 0, 1), 6, if(ISBLANK('2025'!$T374), 0, 1), 7, 0))), 1, "")</f>
        <v/>
      </c>
      <c r="O410" s="1" t="str">
        <f>IF(AND(AND(AND(O$4&gt;='2025'!$L374,O$4&lt;='2025'!$M374), O$4&lt;&gt;DATE(2025,7,4)), (SWITCH(weekday(O$4), 1, 0, 2, if(ISBLANK('2025'!$P374), 0, 1), 3, if(ISBLANK('2025'!$Q374), 0, 1), 4, if(ISBLANK('2025'!$R374), 0, 1), 5, if(ISBLANK('2025'!$S374), 0, 1), 6, if(ISBLANK('2025'!$T374), 0, 1), 7, 0))), 1, "")</f>
        <v/>
      </c>
      <c r="P410" s="1" t="str">
        <f>IF(AND(AND(AND(P$4&gt;='2025'!$L374,P$4&lt;='2025'!$M374), P$4&lt;&gt;DATE(2025,7,4)), (SWITCH(weekday(P$4), 1, 0, 2, if(ISBLANK('2025'!$P374), 0, 1), 3, if(ISBLANK('2025'!$Q374), 0, 1), 4, if(ISBLANK('2025'!$R374), 0, 1), 5, if(ISBLANK('2025'!$S374), 0, 1), 6, if(ISBLANK('2025'!$T374), 0, 1), 7, 0))), 1, "")</f>
        <v/>
      </c>
      <c r="Q410" s="1" t="str">
        <f>IF(AND(AND(AND(Q$4&gt;='2025'!$L374,Q$4&lt;='2025'!$M374), Q$4&lt;&gt;DATE(2025,7,4)), (SWITCH(weekday(Q$4), 1, 0, 2, if(ISBLANK('2025'!$P374), 0, 1), 3, if(ISBLANK('2025'!$Q374), 0, 1), 4, if(ISBLANK('2025'!$R374), 0, 1), 5, if(ISBLANK('2025'!$S374), 0, 1), 6, if(ISBLANK('2025'!$T374), 0, 1), 7, 0))), 1, "")</f>
        <v/>
      </c>
      <c r="R410" s="1" t="str">
        <f>IF(AND(AND(AND(R$4&gt;='2025'!$L374,R$4&lt;='2025'!$M374), R$4&lt;&gt;DATE(2025,7,4)), (SWITCH(weekday(R$4), 1, 0, 2, if(ISBLANK('2025'!$P374), 0, 1), 3, if(ISBLANK('2025'!$Q374), 0, 1), 4, if(ISBLANK('2025'!$R374), 0, 1), 5, if(ISBLANK('2025'!$S374), 0, 1), 6, if(ISBLANK('2025'!$T374), 0, 1), 7, 0))), 1, "")</f>
        <v/>
      </c>
      <c r="S410" s="1" t="str">
        <f>IF(AND(AND(AND(S$4&gt;='2025'!$L374,S$4&lt;='2025'!$M374), S$4&lt;&gt;DATE(2025,7,4)), (SWITCH(weekday(S$4), 1, 0, 2, if(ISBLANK('2025'!$P374), 0, 1), 3, if(ISBLANK('2025'!$Q374), 0, 1), 4, if(ISBLANK('2025'!$R374), 0, 1), 5, if(ISBLANK('2025'!$S374), 0, 1), 6, if(ISBLANK('2025'!$T374), 0, 1), 7, 0))), 1, "")</f>
        <v/>
      </c>
      <c r="T410" s="1" t="str">
        <f>IF(AND(AND(AND(T$4&gt;='2025'!$L374,T$4&lt;='2025'!$M374), T$4&lt;&gt;DATE(2025,7,4)), (SWITCH(weekday(T$4), 1, 0, 2, if(ISBLANK('2025'!$P374), 0, 1), 3, if(ISBLANK('2025'!$Q374), 0, 1), 4, if(ISBLANK('2025'!$R374), 0, 1), 5, if(ISBLANK('2025'!$S374), 0, 1), 6, if(ISBLANK('2025'!$T374), 0, 1), 7, 0))), 1, "")</f>
        <v/>
      </c>
      <c r="U410" s="1" t="str">
        <f>IF(AND(AND(AND(U$4&gt;='2025'!$L374,U$4&lt;='2025'!$M374), U$4&lt;&gt;DATE(2025,7,4)), (SWITCH(weekday(U$4), 1, 0, 2, if(ISBLANK('2025'!$P374), 0, 1), 3, if(ISBLANK('2025'!$Q374), 0, 1), 4, if(ISBLANK('2025'!$R374), 0, 1), 5, if(ISBLANK('2025'!$S374), 0, 1), 6, if(ISBLANK('2025'!$T374), 0, 1), 7, 0))), 1, "")</f>
        <v/>
      </c>
      <c r="V410" s="1" t="str">
        <f>IF(AND(AND(AND(V$4&gt;='2025'!$L374,V$4&lt;='2025'!$M374), V$4&lt;&gt;DATE(2025,7,4)), (SWITCH(weekday(V$4), 1, 0, 2, if(ISBLANK('2025'!$P374), 0, 1), 3, if(ISBLANK('2025'!$Q374), 0, 1), 4, if(ISBLANK('2025'!$R374), 0, 1), 5, if(ISBLANK('2025'!$S374), 0, 1), 6, if(ISBLANK('2025'!$T374), 0, 1), 7, 0))), 1, "")</f>
        <v/>
      </c>
      <c r="W410" s="1" t="str">
        <f>IF(AND(AND(AND(W$4&gt;='2025'!$L374,W$4&lt;='2025'!$M374), W$4&lt;&gt;DATE(2025,7,4)), (SWITCH(weekday(W$4), 1, 0, 2, if(ISBLANK('2025'!$P374), 0, 1), 3, if(ISBLANK('2025'!$Q374), 0, 1), 4, if(ISBLANK('2025'!$R374), 0, 1), 5, if(ISBLANK('2025'!$S374), 0, 1), 6, if(ISBLANK('2025'!$T374), 0, 1), 7, 0))), 1, "")</f>
        <v/>
      </c>
      <c r="X410" s="1" t="str">
        <f>IF(AND(AND(AND(X$4&gt;='2025'!$L374,X$4&lt;='2025'!$M374), X$4&lt;&gt;DATE(2025,7,4)), (SWITCH(weekday(X$4), 1, 0, 2, if(ISBLANK('2025'!$P374), 0, 1), 3, if(ISBLANK('2025'!$Q374), 0, 1), 4, if(ISBLANK('2025'!$R374), 0, 1), 5, if(ISBLANK('2025'!$S374), 0, 1), 6, if(ISBLANK('2025'!$T374), 0, 1), 7, 0))), 1, "")</f>
        <v/>
      </c>
      <c r="Y410" s="1" t="str">
        <f>IF(AND(AND(AND(Y$4&gt;='2025'!$L374,Y$4&lt;='2025'!$M374), Y$4&lt;&gt;DATE(2025,7,4)), (SWITCH(weekday(Y$4), 1, 0, 2, if(ISBLANK('2025'!$P374), 0, 1), 3, if(ISBLANK('2025'!$Q374), 0, 1), 4, if(ISBLANK('2025'!$R374), 0, 1), 5, if(ISBLANK('2025'!$S374), 0, 1), 6, if(ISBLANK('2025'!$T374), 0, 1), 7, 0))), 1, "")</f>
        <v/>
      </c>
      <c r="Z410" s="1" t="str">
        <f>IF(AND(AND(AND(Z$4&gt;='2025'!$L374,Z$4&lt;='2025'!$M374), Z$4&lt;&gt;DATE(2025,7,4)), (SWITCH(weekday(Z$4), 1, 0, 2, if(ISBLANK('2025'!$P374), 0, 1), 3, if(ISBLANK('2025'!$Q374), 0, 1), 4, if(ISBLANK('2025'!$R374), 0, 1), 5, if(ISBLANK('2025'!$S374), 0, 1), 6, if(ISBLANK('2025'!$T374), 0, 1), 7, 0))), 1, "")</f>
        <v/>
      </c>
      <c r="AA410" s="1" t="str">
        <f>IF(AND(AND(AND(AA$4&gt;='2025'!$L374,AA$4&lt;='2025'!$M374), AA$4&lt;&gt;DATE(2025,7,4)), (SWITCH(weekday(AA$4), 1, 0, 2, if(ISBLANK('2025'!$P374), 0, 1), 3, if(ISBLANK('2025'!$Q374), 0, 1), 4, if(ISBLANK('2025'!$R374), 0, 1), 5, if(ISBLANK('2025'!$S374), 0, 1), 6, if(ISBLANK('2025'!$T374), 0, 1), 7, 0))), 1, "")</f>
        <v/>
      </c>
      <c r="AB410" s="1" t="str">
        <f>IF(AND(AND(AND(AB$4&gt;='2025'!$L374,AB$4&lt;='2025'!$M374), AB$4&lt;&gt;DATE(2025,7,4)), (SWITCH(weekday(AB$4), 1, 0, 2, if(ISBLANK('2025'!$P374), 0, 1), 3, if(ISBLANK('2025'!$Q374), 0, 1), 4, if(ISBLANK('2025'!$R374), 0, 1), 5, if(ISBLANK('2025'!$S374), 0, 1), 6, if(ISBLANK('2025'!$T374), 0, 1), 7, 0))), 1, "")</f>
        <v/>
      </c>
      <c r="AC410" s="1" t="str">
        <f>IF(AND(AND(AND(AC$4&gt;='2025'!$L374,AC$4&lt;='2025'!$M374), AC$4&lt;&gt;DATE(2025,7,4)), (SWITCH(weekday(AC$4), 1, 0, 2, if(ISBLANK('2025'!$P374), 0, 1), 3, if(ISBLANK('2025'!$Q374), 0, 1), 4, if(ISBLANK('2025'!$R374), 0, 1), 5, if(ISBLANK('2025'!$S374), 0, 1), 6, if(ISBLANK('2025'!$T374), 0, 1), 7, 0))), 1, "")</f>
        <v/>
      </c>
      <c r="AD410" s="1" t="str">
        <f>IF(AND(AND(AND(AD$4&gt;='2025'!$L374,AD$4&lt;='2025'!$M374), AD$4&lt;&gt;DATE(2025,7,4)), (SWITCH(weekday(AD$4), 1, 0, 2, if(ISBLANK('2025'!$P374), 0, 1), 3, if(ISBLANK('2025'!$Q374), 0, 1), 4, if(ISBLANK('2025'!$R374), 0, 1), 5, if(ISBLANK('2025'!$S374), 0, 1), 6, if(ISBLANK('2025'!$T374), 0, 1), 7, 0))), 1, "")</f>
        <v/>
      </c>
      <c r="AE410" s="1" t="str">
        <f>IF(AND(AND(AND(AE$4&gt;='2025'!$L374,AE$4&lt;='2025'!$M374), AE$4&lt;&gt;DATE(2025,7,4)), (SWITCH(weekday(AE$4), 1, 0, 2, if(ISBLANK('2025'!$P374), 0, 1), 3, if(ISBLANK('2025'!$Q374), 0, 1), 4, if(ISBLANK('2025'!$R374), 0, 1), 5, if(ISBLANK('2025'!$S374), 0, 1), 6, if(ISBLANK('2025'!$T374), 0, 1), 7, 0))), 1, "")</f>
        <v/>
      </c>
      <c r="AF410" s="1" t="str">
        <f>IF(AND(AND(AND(AF$4&gt;='2025'!$L374,AF$4&lt;='2025'!$M374), AF$4&lt;&gt;DATE(2025,7,4)), (SWITCH(weekday(AF$4), 1, 0, 2, if(ISBLANK('2025'!$P374), 0, 1), 3, if(ISBLANK('2025'!$Q374), 0, 1), 4, if(ISBLANK('2025'!$R374), 0, 1), 5, if(ISBLANK('2025'!$S374), 0, 1), 6, if(ISBLANK('2025'!$T374), 0, 1), 7, 0))), 1, "")</f>
        <v/>
      </c>
      <c r="AG410" s="1" t="str">
        <f>IF(AND(AND(AND(AG$4&gt;='2025'!$L374,AG$4&lt;='2025'!$M374), AG$4&lt;&gt;DATE(2025,7,4)), (SWITCH(weekday(AG$4), 1, 0, 2, if(ISBLANK('2025'!$P374), 0, 1), 3, if(ISBLANK('2025'!$Q374), 0, 1), 4, if(ISBLANK('2025'!$R374), 0, 1), 5, if(ISBLANK('2025'!$S374), 0, 1), 6, if(ISBLANK('2025'!$T374), 0, 1), 7, 0))), 1, "")</f>
        <v/>
      </c>
      <c r="AH410" s="1" t="str">
        <f>IF(AND(AND(AND(AH$4&gt;='2025'!$L374,AH$4&lt;='2025'!$M374), AH$4&lt;&gt;DATE(2025,7,4)), (SWITCH(weekday(AH$4), 1, 0, 2, if(ISBLANK('2025'!$P374), 0, 1), 3, if(ISBLANK('2025'!$Q374), 0, 1), 4, if(ISBLANK('2025'!$R374), 0, 1), 5, if(ISBLANK('2025'!$S374), 0, 1), 6, if(ISBLANK('2025'!$T374), 0, 1), 7, 0))), 1, "")</f>
        <v/>
      </c>
      <c r="AI410" s="1" t="str">
        <f>IF(AND(AND(AND(AI$4&gt;='2025'!$L374,AI$4&lt;='2025'!$M374), AI$4&lt;&gt;DATE(2025,7,4)), (SWITCH(weekday(AI$4), 1, 0, 2, if(ISBLANK('2025'!$P374), 0, 1), 3, if(ISBLANK('2025'!$Q374), 0, 1), 4, if(ISBLANK('2025'!$R374), 0, 1), 5, if(ISBLANK('2025'!$S374), 0, 1), 6, if(ISBLANK('2025'!$T374), 0, 1), 7, 0))), 1, "")</f>
        <v/>
      </c>
      <c r="AJ410" s="1" t="str">
        <f>IF(AND(AND(AND(AJ$4&gt;='2025'!$L374,AJ$4&lt;='2025'!$M374), AJ$4&lt;&gt;DATE(2025,7,4)), (SWITCH(weekday(AJ$4), 1, 0, 2, if(ISBLANK('2025'!$P374), 0, 1), 3, if(ISBLANK('2025'!$Q374), 0, 1), 4, if(ISBLANK('2025'!$R374), 0, 1), 5, if(ISBLANK('2025'!$S374), 0, 1), 6, if(ISBLANK('2025'!$T374), 0, 1), 7, 0))), 1, "")</f>
        <v/>
      </c>
      <c r="AK410" s="1" t="str">
        <f>IF(AND(AND(AND(AK$4&gt;='2025'!$L374,AK$4&lt;='2025'!$M374), AK$4&lt;&gt;DATE(2025,7,4)), (SWITCH(weekday(AK$4), 1, 0, 2, if(ISBLANK('2025'!$P374), 0, 1), 3, if(ISBLANK('2025'!$Q374), 0, 1), 4, if(ISBLANK('2025'!$R374), 0, 1), 5, if(ISBLANK('2025'!$S374), 0, 1), 6, if(ISBLANK('2025'!$T374), 0, 1), 7, 0))), 1, "")</f>
        <v/>
      </c>
      <c r="AL410" s="1" t="str">
        <f>IF(AND(AND(AND(AL$4&gt;='2025'!$L374,AL$4&lt;='2025'!$M374), AL$4&lt;&gt;DATE(2025,7,4)), (SWITCH(weekday(AL$4), 1, 0, 2, if(ISBLANK('2025'!$P374), 0, 1), 3, if(ISBLANK('2025'!$Q374), 0, 1), 4, if(ISBLANK('2025'!$R374), 0, 1), 5, if(ISBLANK('2025'!$S374), 0, 1), 6, if(ISBLANK('2025'!$T374), 0, 1), 7, 0))), 1, "")</f>
        <v/>
      </c>
      <c r="AM410" s="1" t="str">
        <f>IF(AND(AND(AND(AM$4&gt;='2025'!$L374,AM$4&lt;='2025'!$M374), AM$4&lt;&gt;DATE(2025,7,4)), (SWITCH(weekday(AM$4), 1, 0, 2, if(ISBLANK('2025'!$P374), 0, 1), 3, if(ISBLANK('2025'!$Q374), 0, 1), 4, if(ISBLANK('2025'!$R374), 0, 1), 5, if(ISBLANK('2025'!$S374), 0, 1), 6, if(ISBLANK('2025'!$T374), 0, 1), 7, 0))), 1, "")</f>
        <v/>
      </c>
      <c r="AN410" s="1" t="str">
        <f>IF(AND(AND(AND(AN$4&gt;='2025'!$L374,AN$4&lt;='2025'!$M374), AN$4&lt;&gt;DATE(2025,7,4)), (SWITCH(weekday(AN$4), 1, 0, 2, if(ISBLANK('2025'!$P374), 0, 1), 3, if(ISBLANK('2025'!$Q374), 0, 1), 4, if(ISBLANK('2025'!$R374), 0, 1), 5, if(ISBLANK('2025'!$S374), 0, 1), 6, if(ISBLANK('2025'!$T374), 0, 1), 7, 0))), 1, "")</f>
        <v/>
      </c>
      <c r="AO410" s="1" t="str">
        <f>IF(AND(AND(AND(AO$4&gt;='2025'!$L374,AO$4&lt;='2025'!$M374), AO$4&lt;&gt;DATE(2025,7,4)), (SWITCH(weekday(AO$4), 1, 0, 2, if(ISBLANK('2025'!$P374), 0, 1), 3, if(ISBLANK('2025'!$Q374), 0, 1), 4, if(ISBLANK('2025'!$R374), 0, 1), 5, if(ISBLANK('2025'!$S374), 0, 1), 6, if(ISBLANK('2025'!$T374), 0, 1), 7, 0))), 1, "")</f>
        <v/>
      </c>
      <c r="AP410" s="1" t="str">
        <f>IF(AND(AND(AND(AP$4&gt;='2025'!$L374,AP$4&lt;='2025'!$M374), AP$4&lt;&gt;DATE(2025,7,4)), (SWITCH(weekday(AP$4), 1, 0, 2, if(ISBLANK('2025'!$P374), 0, 1), 3, if(ISBLANK('2025'!$Q374), 0, 1), 4, if(ISBLANK('2025'!$R374), 0, 1), 5, if(ISBLANK('2025'!$S374), 0, 1), 6, if(ISBLANK('2025'!$T374), 0, 1), 7, 0))), 1, "")</f>
        <v/>
      </c>
      <c r="AQ410" s="1" t="str">
        <f>IF(AND(AND(AND(AQ$4&gt;='2025'!$L374,AQ$4&lt;='2025'!$M374), AQ$4&lt;&gt;DATE(2025,7,4)), (SWITCH(weekday(AQ$4), 1, 0, 2, if(ISBLANK('2025'!$P374), 0, 1), 3, if(ISBLANK('2025'!$Q374), 0, 1), 4, if(ISBLANK('2025'!$R374), 0, 1), 5, if(ISBLANK('2025'!$S374), 0, 1), 6, if(ISBLANK('2025'!$T374), 0, 1), 7, 0))), 1, "")</f>
        <v/>
      </c>
      <c r="AR410" s="1" t="str">
        <f>IF(AND(AND(AND(AR$4&gt;='2025'!$L374,AR$4&lt;='2025'!$M374), AR$4&lt;&gt;DATE(2025,7,4)), (SWITCH(weekday(AR$4), 1, 0, 2, if(ISBLANK('2025'!$P374), 0, 1), 3, if(ISBLANK('2025'!$Q374), 0, 1), 4, if(ISBLANK('2025'!$R374), 0, 1), 5, if(ISBLANK('2025'!$S374), 0, 1), 6, if(ISBLANK('2025'!$T374), 0, 1), 7, 0))), 1, "")</f>
        <v/>
      </c>
      <c r="AS410" s="1" t="str">
        <f>IF(AND(AND(AND(AS$4&gt;='2025'!$L374,AS$4&lt;='2025'!$M374), AS$4&lt;&gt;DATE(2025,7,4)), (SWITCH(weekday(AS$4), 1, 0, 2, if(ISBLANK('2025'!$P374), 0, 1), 3, if(ISBLANK('2025'!$Q374), 0, 1), 4, if(ISBLANK('2025'!$R374), 0, 1), 5, if(ISBLANK('2025'!$S374), 0, 1), 6, if(ISBLANK('2025'!$T374), 0, 1), 7, 0))), 1, "")</f>
        <v/>
      </c>
      <c r="AT410" s="1" t="str">
        <f>IF(AND(AND(AND(AT$4&gt;='2025'!$L374,AT$4&lt;='2025'!$M374), AT$4&lt;&gt;DATE(2025,7,4)), (SWITCH(weekday(AT$4), 1, 0, 2, if(ISBLANK('2025'!$P374), 0, 1), 3, if(ISBLANK('2025'!$Q374), 0, 1), 4, if(ISBLANK('2025'!$R374), 0, 1), 5, if(ISBLANK('2025'!$S374), 0, 1), 6, if(ISBLANK('2025'!$T374), 0, 1), 7, 0))), 1, "")</f>
        <v/>
      </c>
      <c r="AU410" s="1" t="str">
        <f>IF(AND(AND(AND(AU$4&gt;='2025'!$L374,AU$4&lt;='2025'!$M374), AU$4&lt;&gt;DATE(2025,7,4)), (SWITCH(weekday(AU$4), 1, 0, 2, if(ISBLANK('2025'!$P374), 0, 1), 3, if(ISBLANK('2025'!$Q374), 0, 1), 4, if(ISBLANK('2025'!$R374), 0, 1), 5, if(ISBLANK('2025'!$S374), 0, 1), 6, if(ISBLANK('2025'!$T374), 0, 1), 7, 0))), 1, "")</f>
        <v/>
      </c>
      <c r="AV410" s="1" t="str">
        <f>IF(AND(AND(AND(AV$4&gt;='2025'!$L374,AV$4&lt;='2025'!$M374), AV$4&lt;&gt;DATE(2025,7,4)), (SWITCH(weekday(AV$4), 1, 0, 2, if(ISBLANK('2025'!$P374), 0, 1), 3, if(ISBLANK('2025'!$Q374), 0, 1), 4, if(ISBLANK('2025'!$R374), 0, 1), 5, if(ISBLANK('2025'!$S374), 0, 1), 6, if(ISBLANK('2025'!$T374), 0, 1), 7, 0))), 1, "")</f>
        <v/>
      </c>
      <c r="AW410" s="1" t="str">
        <f>IF(AND(AND(AND(AW$4&gt;='2025'!$L374,AW$4&lt;='2025'!$M374), AW$4&lt;&gt;DATE(2025,7,4)), (SWITCH(weekday(AW$4), 1, 0, 2, if(ISBLANK('2025'!$P374), 0, 1), 3, if(ISBLANK('2025'!$Q374), 0, 1), 4, if(ISBLANK('2025'!$R374), 0, 1), 5, if(ISBLANK('2025'!$S374), 0, 1), 6, if(ISBLANK('2025'!$T374), 0, 1), 7, 0))), 1, "")</f>
        <v/>
      </c>
      <c r="AX410" s="1" t="str">
        <f>IF(AND(AND(AND(AX$4&gt;='2025'!$L374,AX$4&lt;='2025'!$M374), AX$4&lt;&gt;DATE(2025,7,4)), (SWITCH(weekday(AX$4), 1, 0, 2, if(ISBLANK('2025'!$P374), 0, 1), 3, if(ISBLANK('2025'!$Q374), 0, 1), 4, if(ISBLANK('2025'!$R374), 0, 1), 5, if(ISBLANK('2025'!$S374), 0, 1), 6, if(ISBLANK('2025'!$T374), 0, 1), 7, 0))), 1, "")</f>
        <v/>
      </c>
      <c r="AY410" s="1" t="str">
        <f>IF(AND(AND(AND(AY$4&gt;='2025'!$L374,AY$4&lt;='2025'!$M374), AY$4&lt;&gt;DATE(2025,7,4)), (SWITCH(weekday(AY$4), 1, 0, 2, if(ISBLANK('2025'!$P374), 0, 1), 3, if(ISBLANK('2025'!$Q374), 0, 1), 4, if(ISBLANK('2025'!$R374), 0, 1), 5, if(ISBLANK('2025'!$S374), 0, 1), 6, if(ISBLANK('2025'!$T374), 0, 1), 7, 0))), 1, "")</f>
        <v/>
      </c>
      <c r="AZ410" s="1" t="str">
        <f>IF(AND(AND(AND(AZ$4&gt;='2025'!$L374,AZ$4&lt;='2025'!$M374), AZ$4&lt;&gt;DATE(2025,7,4)), (SWITCH(weekday(AZ$4), 1, 0, 2, if(ISBLANK('2025'!$P374), 0, 1), 3, if(ISBLANK('2025'!$Q374), 0, 1), 4, if(ISBLANK('2025'!$R374), 0, 1), 5, if(ISBLANK('2025'!$S374), 0, 1), 6, if(ISBLANK('2025'!$T374), 0, 1), 7, 0))), 1, "")</f>
        <v/>
      </c>
      <c r="BA410" s="1" t="str">
        <f>IF(AND(AND(AND(BA$4&gt;='2025'!$L374,BA$4&lt;='2025'!$M374), BA$4&lt;&gt;DATE(2025,7,4)), (SWITCH(weekday(BA$4), 1, 0, 2, if(ISBLANK('2025'!$P374), 0, 1), 3, if(ISBLANK('2025'!$Q374), 0, 1), 4, if(ISBLANK('2025'!$R374), 0, 1), 5, if(ISBLANK('2025'!$S374), 0, 1), 6, if(ISBLANK('2025'!$T374), 0, 1), 7, 0))), 1, "")</f>
        <v/>
      </c>
      <c r="BB410" s="1" t="str">
        <f>IF(AND(AND(AND(BB$4&gt;='2025'!$L374,BB$4&lt;='2025'!$M374), BB$4&lt;&gt;DATE(2025,7,4)), (SWITCH(weekday(BB$4), 1, 0, 2, if(ISBLANK('2025'!$P374), 0, 1), 3, if(ISBLANK('2025'!$Q374), 0, 1), 4, if(ISBLANK('2025'!$R374), 0, 1), 5, if(ISBLANK('2025'!$S374), 0, 1), 6, if(ISBLANK('2025'!$T374), 0, 1), 7, 0))), 1, "")</f>
        <v/>
      </c>
      <c r="BC410" s="1" t="str">
        <f>IF(AND(AND(AND(BC$4&gt;='2025'!$L374,BC$4&lt;='2025'!$M374), BC$4&lt;&gt;DATE(2025,7,4)), (SWITCH(weekday(BC$4), 1, 0, 2, if(ISBLANK('2025'!$P374), 0, 1), 3, if(ISBLANK('2025'!$Q374), 0, 1), 4, if(ISBLANK('2025'!$R374), 0, 1), 5, if(ISBLANK('2025'!$S374), 0, 1), 6, if(ISBLANK('2025'!$T374), 0, 1), 7, 0))), 1, "")</f>
        <v/>
      </c>
      <c r="BD410" s="1" t="str">
        <f>IF(AND(AND(AND(BD$4&gt;='2025'!$L374,BD$4&lt;='2025'!$M374), BD$4&lt;&gt;DATE(2025,7,4)), (SWITCH(weekday(BD$4), 1, 0, 2, if(ISBLANK('2025'!$P374), 0, 1), 3, if(ISBLANK('2025'!$Q374), 0, 1), 4, if(ISBLANK('2025'!$R374), 0, 1), 5, if(ISBLANK('2025'!$S374), 0, 1), 6, if(ISBLANK('2025'!$T374), 0, 1), 7, 0))), 1, "")</f>
        <v/>
      </c>
      <c r="BE410" s="1" t="str">
        <f>IF(AND(AND(AND(BE$4&gt;='2025'!$L374,BE$4&lt;='2025'!$M374), BE$4&lt;&gt;DATE(2025,7,4)), (SWITCH(weekday(BE$4), 1, 0, 2, if(ISBLANK('2025'!$P374), 0, 1), 3, if(ISBLANK('2025'!$Q374), 0, 1), 4, if(ISBLANK('2025'!$R374), 0, 1), 5, if(ISBLANK('2025'!$S374), 0, 1), 6, if(ISBLANK('2025'!$T374), 0, 1), 7, 0))), 1, "")</f>
        <v/>
      </c>
    </row>
    <row r="411">
      <c r="A411" s="1">
        <f t="shared" si="3"/>
        <v>411</v>
      </c>
      <c r="B411" s="1" t="str">
        <f>'2025'!D375</f>
        <v/>
      </c>
      <c r="C411" s="1" t="str">
        <f>'2025'!H375</f>
        <v/>
      </c>
      <c r="D411" s="1" t="str">
        <f>IF(AND(AND(AND(D$4&gt;='2025'!$L375,D$4&lt;='2025'!$M375), D$4&lt;&gt;DATE(2025,7,4)), (SWITCH(weekday(D$4), 1, 0, 2, if(ISBLANK('2025'!$P375), 0, 1), 3, if(ISBLANK('2025'!$Q375), 0, 1), 4, if(ISBLANK('2025'!$R375), 0, 1), 5, if(ISBLANK('2025'!$S375), 0, 1), 6, if(ISBLANK('2025'!$T375), 0, 1), 7, 0))), 1, "")</f>
        <v/>
      </c>
      <c r="E411" s="1" t="str">
        <f>IF(AND(AND(AND(E$4&gt;='2025'!$L375,E$4&lt;='2025'!$M375), E$4&lt;&gt;DATE(2025,7,4)), (SWITCH(weekday(E$4), 1, 0, 2, if(ISBLANK('2025'!$P375), 0, 1), 3, if(ISBLANK('2025'!$Q375), 0, 1), 4, if(ISBLANK('2025'!$R375), 0, 1), 5, if(ISBLANK('2025'!$S375), 0, 1), 6, if(ISBLANK('2025'!$T375), 0, 1), 7, 0))), 1, "")</f>
        <v/>
      </c>
      <c r="F411" s="1" t="str">
        <f>IF(AND(AND(AND(F$4&gt;='2025'!$L375,F$4&lt;='2025'!$M375), F$4&lt;&gt;DATE(2025,7,4)), (SWITCH(weekday(F$4), 1, 0, 2, if(ISBLANK('2025'!$P375), 0, 1), 3, if(ISBLANK('2025'!$Q375), 0, 1), 4, if(ISBLANK('2025'!$R375), 0, 1), 5, if(ISBLANK('2025'!$S375), 0, 1), 6, if(ISBLANK('2025'!$T375), 0, 1), 7, 0))), 1, "")</f>
        <v/>
      </c>
      <c r="G411" s="1" t="str">
        <f>IF(AND(AND(AND(G$4&gt;='2025'!$L375,G$4&lt;='2025'!$M375), G$4&lt;&gt;DATE(2025,7,4)), (SWITCH(weekday(G$4), 1, 0, 2, if(ISBLANK('2025'!$P375), 0, 1), 3, if(ISBLANK('2025'!$Q375), 0, 1), 4, if(ISBLANK('2025'!$R375), 0, 1), 5, if(ISBLANK('2025'!$S375), 0, 1), 6, if(ISBLANK('2025'!$T375), 0, 1), 7, 0))), 1, "")</f>
        <v/>
      </c>
      <c r="H411" s="1" t="str">
        <f>IF(AND(AND(AND(H$4&gt;='2025'!$L375,H$4&lt;='2025'!$M375), H$4&lt;&gt;DATE(2025,7,4)), (SWITCH(weekday(H$4), 1, 0, 2, if(ISBLANK('2025'!$P375), 0, 1), 3, if(ISBLANK('2025'!$Q375), 0, 1), 4, if(ISBLANK('2025'!$R375), 0, 1), 5, if(ISBLANK('2025'!$S375), 0, 1), 6, if(ISBLANK('2025'!$T375), 0, 1), 7, 0))), 1, "")</f>
        <v/>
      </c>
      <c r="I411" s="1" t="str">
        <f>IF(AND(AND(AND(I$4&gt;='2025'!$L375,I$4&lt;='2025'!$M375), I$4&lt;&gt;DATE(2025,7,4)), (SWITCH(weekday(I$4), 1, 0, 2, if(ISBLANK('2025'!$P375), 0, 1), 3, if(ISBLANK('2025'!$Q375), 0, 1), 4, if(ISBLANK('2025'!$R375), 0, 1), 5, if(ISBLANK('2025'!$S375), 0, 1), 6, if(ISBLANK('2025'!$T375), 0, 1), 7, 0))), 1, "")</f>
        <v/>
      </c>
      <c r="J411" s="1" t="str">
        <f>IF(AND(AND(AND(J$4&gt;='2025'!$L375,J$4&lt;='2025'!$M375), J$4&lt;&gt;DATE(2025,7,4)), (SWITCH(weekday(J$4), 1, 0, 2, if(ISBLANK('2025'!$P375), 0, 1), 3, if(ISBLANK('2025'!$Q375), 0, 1), 4, if(ISBLANK('2025'!$R375), 0, 1), 5, if(ISBLANK('2025'!$S375), 0, 1), 6, if(ISBLANK('2025'!$T375), 0, 1), 7, 0))), 1, "")</f>
        <v/>
      </c>
      <c r="K411" s="1" t="str">
        <f>IF(AND(AND(AND(K$4&gt;='2025'!$L375,K$4&lt;='2025'!$M375), K$4&lt;&gt;DATE(2025,7,4)), (SWITCH(weekday(K$4), 1, 0, 2, if(ISBLANK('2025'!$P375), 0, 1), 3, if(ISBLANK('2025'!$Q375), 0, 1), 4, if(ISBLANK('2025'!$R375), 0, 1), 5, if(ISBLANK('2025'!$S375), 0, 1), 6, if(ISBLANK('2025'!$T375), 0, 1), 7, 0))), 1, "")</f>
        <v/>
      </c>
      <c r="L411" s="1" t="str">
        <f>IF(AND(AND(AND(L$4&gt;='2025'!$L375,L$4&lt;='2025'!$M375), L$4&lt;&gt;DATE(2025,7,4)), (SWITCH(weekday(L$4), 1, 0, 2, if(ISBLANK('2025'!$P375), 0, 1), 3, if(ISBLANK('2025'!$Q375), 0, 1), 4, if(ISBLANK('2025'!$R375), 0, 1), 5, if(ISBLANK('2025'!$S375), 0, 1), 6, if(ISBLANK('2025'!$T375), 0, 1), 7, 0))), 1, "")</f>
        <v/>
      </c>
      <c r="M411" s="1" t="str">
        <f>IF(AND(AND(AND(M$4&gt;='2025'!$L375,M$4&lt;='2025'!$M375), M$4&lt;&gt;DATE(2025,7,4)), (SWITCH(weekday(M$4), 1, 0, 2, if(ISBLANK('2025'!$P375), 0, 1), 3, if(ISBLANK('2025'!$Q375), 0, 1), 4, if(ISBLANK('2025'!$R375), 0, 1), 5, if(ISBLANK('2025'!$S375), 0, 1), 6, if(ISBLANK('2025'!$T375), 0, 1), 7, 0))), 1, "")</f>
        <v/>
      </c>
      <c r="N411" s="1" t="str">
        <f>IF(AND(AND(AND(N$4&gt;='2025'!$L375,N$4&lt;='2025'!$M375), N$4&lt;&gt;DATE(2025,7,4)), (SWITCH(weekday(N$4), 1, 0, 2, if(ISBLANK('2025'!$P375), 0, 1), 3, if(ISBLANK('2025'!$Q375), 0, 1), 4, if(ISBLANK('2025'!$R375), 0, 1), 5, if(ISBLANK('2025'!$S375), 0, 1), 6, if(ISBLANK('2025'!$T375), 0, 1), 7, 0))), 1, "")</f>
        <v/>
      </c>
      <c r="O411" s="1" t="str">
        <f>IF(AND(AND(AND(O$4&gt;='2025'!$L375,O$4&lt;='2025'!$M375), O$4&lt;&gt;DATE(2025,7,4)), (SWITCH(weekday(O$4), 1, 0, 2, if(ISBLANK('2025'!$P375), 0, 1), 3, if(ISBLANK('2025'!$Q375), 0, 1), 4, if(ISBLANK('2025'!$R375), 0, 1), 5, if(ISBLANK('2025'!$S375), 0, 1), 6, if(ISBLANK('2025'!$T375), 0, 1), 7, 0))), 1, "")</f>
        <v/>
      </c>
      <c r="P411" s="1" t="str">
        <f>IF(AND(AND(AND(P$4&gt;='2025'!$L375,P$4&lt;='2025'!$M375), P$4&lt;&gt;DATE(2025,7,4)), (SWITCH(weekday(P$4), 1, 0, 2, if(ISBLANK('2025'!$P375), 0, 1), 3, if(ISBLANK('2025'!$Q375), 0, 1), 4, if(ISBLANK('2025'!$R375), 0, 1), 5, if(ISBLANK('2025'!$S375), 0, 1), 6, if(ISBLANK('2025'!$T375), 0, 1), 7, 0))), 1, "")</f>
        <v/>
      </c>
      <c r="Q411" s="1" t="str">
        <f>IF(AND(AND(AND(Q$4&gt;='2025'!$L375,Q$4&lt;='2025'!$M375), Q$4&lt;&gt;DATE(2025,7,4)), (SWITCH(weekday(Q$4), 1, 0, 2, if(ISBLANK('2025'!$P375), 0, 1), 3, if(ISBLANK('2025'!$Q375), 0, 1), 4, if(ISBLANK('2025'!$R375), 0, 1), 5, if(ISBLANK('2025'!$S375), 0, 1), 6, if(ISBLANK('2025'!$T375), 0, 1), 7, 0))), 1, "")</f>
        <v/>
      </c>
      <c r="R411" s="1" t="str">
        <f>IF(AND(AND(AND(R$4&gt;='2025'!$L375,R$4&lt;='2025'!$M375), R$4&lt;&gt;DATE(2025,7,4)), (SWITCH(weekday(R$4), 1, 0, 2, if(ISBLANK('2025'!$P375), 0, 1), 3, if(ISBLANK('2025'!$Q375), 0, 1), 4, if(ISBLANK('2025'!$R375), 0, 1), 5, if(ISBLANK('2025'!$S375), 0, 1), 6, if(ISBLANK('2025'!$T375), 0, 1), 7, 0))), 1, "")</f>
        <v/>
      </c>
      <c r="S411" s="1" t="str">
        <f>IF(AND(AND(AND(S$4&gt;='2025'!$L375,S$4&lt;='2025'!$M375), S$4&lt;&gt;DATE(2025,7,4)), (SWITCH(weekday(S$4), 1, 0, 2, if(ISBLANK('2025'!$P375), 0, 1), 3, if(ISBLANK('2025'!$Q375), 0, 1), 4, if(ISBLANK('2025'!$R375), 0, 1), 5, if(ISBLANK('2025'!$S375), 0, 1), 6, if(ISBLANK('2025'!$T375), 0, 1), 7, 0))), 1, "")</f>
        <v/>
      </c>
      <c r="T411" s="1" t="str">
        <f>IF(AND(AND(AND(T$4&gt;='2025'!$L375,T$4&lt;='2025'!$M375), T$4&lt;&gt;DATE(2025,7,4)), (SWITCH(weekday(T$4), 1, 0, 2, if(ISBLANK('2025'!$P375), 0, 1), 3, if(ISBLANK('2025'!$Q375), 0, 1), 4, if(ISBLANK('2025'!$R375), 0, 1), 5, if(ISBLANK('2025'!$S375), 0, 1), 6, if(ISBLANK('2025'!$T375), 0, 1), 7, 0))), 1, "")</f>
        <v/>
      </c>
      <c r="U411" s="1" t="str">
        <f>IF(AND(AND(AND(U$4&gt;='2025'!$L375,U$4&lt;='2025'!$M375), U$4&lt;&gt;DATE(2025,7,4)), (SWITCH(weekday(U$4), 1, 0, 2, if(ISBLANK('2025'!$P375), 0, 1), 3, if(ISBLANK('2025'!$Q375), 0, 1), 4, if(ISBLANK('2025'!$R375), 0, 1), 5, if(ISBLANK('2025'!$S375), 0, 1), 6, if(ISBLANK('2025'!$T375), 0, 1), 7, 0))), 1, "")</f>
        <v/>
      </c>
      <c r="V411" s="1" t="str">
        <f>IF(AND(AND(AND(V$4&gt;='2025'!$L375,V$4&lt;='2025'!$M375), V$4&lt;&gt;DATE(2025,7,4)), (SWITCH(weekday(V$4), 1, 0, 2, if(ISBLANK('2025'!$P375), 0, 1), 3, if(ISBLANK('2025'!$Q375), 0, 1), 4, if(ISBLANK('2025'!$R375), 0, 1), 5, if(ISBLANK('2025'!$S375), 0, 1), 6, if(ISBLANK('2025'!$T375), 0, 1), 7, 0))), 1, "")</f>
        <v/>
      </c>
      <c r="W411" s="1" t="str">
        <f>IF(AND(AND(AND(W$4&gt;='2025'!$L375,W$4&lt;='2025'!$M375), W$4&lt;&gt;DATE(2025,7,4)), (SWITCH(weekday(W$4), 1, 0, 2, if(ISBLANK('2025'!$P375), 0, 1), 3, if(ISBLANK('2025'!$Q375), 0, 1), 4, if(ISBLANK('2025'!$R375), 0, 1), 5, if(ISBLANK('2025'!$S375), 0, 1), 6, if(ISBLANK('2025'!$T375), 0, 1), 7, 0))), 1, "")</f>
        <v/>
      </c>
      <c r="X411" s="1" t="str">
        <f>IF(AND(AND(AND(X$4&gt;='2025'!$L375,X$4&lt;='2025'!$M375), X$4&lt;&gt;DATE(2025,7,4)), (SWITCH(weekday(X$4), 1, 0, 2, if(ISBLANK('2025'!$P375), 0, 1), 3, if(ISBLANK('2025'!$Q375), 0, 1), 4, if(ISBLANK('2025'!$R375), 0, 1), 5, if(ISBLANK('2025'!$S375), 0, 1), 6, if(ISBLANK('2025'!$T375), 0, 1), 7, 0))), 1, "")</f>
        <v/>
      </c>
      <c r="Y411" s="1" t="str">
        <f>IF(AND(AND(AND(Y$4&gt;='2025'!$L375,Y$4&lt;='2025'!$M375), Y$4&lt;&gt;DATE(2025,7,4)), (SWITCH(weekday(Y$4), 1, 0, 2, if(ISBLANK('2025'!$P375), 0, 1), 3, if(ISBLANK('2025'!$Q375), 0, 1), 4, if(ISBLANK('2025'!$R375), 0, 1), 5, if(ISBLANK('2025'!$S375), 0, 1), 6, if(ISBLANK('2025'!$T375), 0, 1), 7, 0))), 1, "")</f>
        <v/>
      </c>
      <c r="Z411" s="1" t="str">
        <f>IF(AND(AND(AND(Z$4&gt;='2025'!$L375,Z$4&lt;='2025'!$M375), Z$4&lt;&gt;DATE(2025,7,4)), (SWITCH(weekday(Z$4), 1, 0, 2, if(ISBLANK('2025'!$P375), 0, 1), 3, if(ISBLANK('2025'!$Q375), 0, 1), 4, if(ISBLANK('2025'!$R375), 0, 1), 5, if(ISBLANK('2025'!$S375), 0, 1), 6, if(ISBLANK('2025'!$T375), 0, 1), 7, 0))), 1, "")</f>
        <v/>
      </c>
      <c r="AA411" s="1" t="str">
        <f>IF(AND(AND(AND(AA$4&gt;='2025'!$L375,AA$4&lt;='2025'!$M375), AA$4&lt;&gt;DATE(2025,7,4)), (SWITCH(weekday(AA$4), 1, 0, 2, if(ISBLANK('2025'!$P375), 0, 1), 3, if(ISBLANK('2025'!$Q375), 0, 1), 4, if(ISBLANK('2025'!$R375), 0, 1), 5, if(ISBLANK('2025'!$S375), 0, 1), 6, if(ISBLANK('2025'!$T375), 0, 1), 7, 0))), 1, "")</f>
        <v/>
      </c>
      <c r="AB411" s="1" t="str">
        <f>IF(AND(AND(AND(AB$4&gt;='2025'!$L375,AB$4&lt;='2025'!$M375), AB$4&lt;&gt;DATE(2025,7,4)), (SWITCH(weekday(AB$4), 1, 0, 2, if(ISBLANK('2025'!$P375), 0, 1), 3, if(ISBLANK('2025'!$Q375), 0, 1), 4, if(ISBLANK('2025'!$R375), 0, 1), 5, if(ISBLANK('2025'!$S375), 0, 1), 6, if(ISBLANK('2025'!$T375), 0, 1), 7, 0))), 1, "")</f>
        <v/>
      </c>
      <c r="AC411" s="1" t="str">
        <f>IF(AND(AND(AND(AC$4&gt;='2025'!$L375,AC$4&lt;='2025'!$M375), AC$4&lt;&gt;DATE(2025,7,4)), (SWITCH(weekday(AC$4), 1, 0, 2, if(ISBLANK('2025'!$P375), 0, 1), 3, if(ISBLANK('2025'!$Q375), 0, 1), 4, if(ISBLANK('2025'!$R375), 0, 1), 5, if(ISBLANK('2025'!$S375), 0, 1), 6, if(ISBLANK('2025'!$T375), 0, 1), 7, 0))), 1, "")</f>
        <v/>
      </c>
      <c r="AD411" s="1" t="str">
        <f>IF(AND(AND(AND(AD$4&gt;='2025'!$L375,AD$4&lt;='2025'!$M375), AD$4&lt;&gt;DATE(2025,7,4)), (SWITCH(weekday(AD$4), 1, 0, 2, if(ISBLANK('2025'!$P375), 0, 1), 3, if(ISBLANK('2025'!$Q375), 0, 1), 4, if(ISBLANK('2025'!$R375), 0, 1), 5, if(ISBLANK('2025'!$S375), 0, 1), 6, if(ISBLANK('2025'!$T375), 0, 1), 7, 0))), 1, "")</f>
        <v/>
      </c>
      <c r="AE411" s="1" t="str">
        <f>IF(AND(AND(AND(AE$4&gt;='2025'!$L375,AE$4&lt;='2025'!$M375), AE$4&lt;&gt;DATE(2025,7,4)), (SWITCH(weekday(AE$4), 1, 0, 2, if(ISBLANK('2025'!$P375), 0, 1), 3, if(ISBLANK('2025'!$Q375), 0, 1), 4, if(ISBLANK('2025'!$R375), 0, 1), 5, if(ISBLANK('2025'!$S375), 0, 1), 6, if(ISBLANK('2025'!$T375), 0, 1), 7, 0))), 1, "")</f>
        <v/>
      </c>
      <c r="AF411" s="1" t="str">
        <f>IF(AND(AND(AND(AF$4&gt;='2025'!$L375,AF$4&lt;='2025'!$M375), AF$4&lt;&gt;DATE(2025,7,4)), (SWITCH(weekday(AF$4), 1, 0, 2, if(ISBLANK('2025'!$P375), 0, 1), 3, if(ISBLANK('2025'!$Q375), 0, 1), 4, if(ISBLANK('2025'!$R375), 0, 1), 5, if(ISBLANK('2025'!$S375), 0, 1), 6, if(ISBLANK('2025'!$T375), 0, 1), 7, 0))), 1, "")</f>
        <v/>
      </c>
      <c r="AG411" s="1" t="str">
        <f>IF(AND(AND(AND(AG$4&gt;='2025'!$L375,AG$4&lt;='2025'!$M375), AG$4&lt;&gt;DATE(2025,7,4)), (SWITCH(weekday(AG$4), 1, 0, 2, if(ISBLANK('2025'!$P375), 0, 1), 3, if(ISBLANK('2025'!$Q375), 0, 1), 4, if(ISBLANK('2025'!$R375), 0, 1), 5, if(ISBLANK('2025'!$S375), 0, 1), 6, if(ISBLANK('2025'!$T375), 0, 1), 7, 0))), 1, "")</f>
        <v/>
      </c>
      <c r="AH411" s="1" t="str">
        <f>IF(AND(AND(AND(AH$4&gt;='2025'!$L375,AH$4&lt;='2025'!$M375), AH$4&lt;&gt;DATE(2025,7,4)), (SWITCH(weekday(AH$4), 1, 0, 2, if(ISBLANK('2025'!$P375), 0, 1), 3, if(ISBLANK('2025'!$Q375), 0, 1), 4, if(ISBLANK('2025'!$R375), 0, 1), 5, if(ISBLANK('2025'!$S375), 0, 1), 6, if(ISBLANK('2025'!$T375), 0, 1), 7, 0))), 1, "")</f>
        <v/>
      </c>
      <c r="AI411" s="1" t="str">
        <f>IF(AND(AND(AND(AI$4&gt;='2025'!$L375,AI$4&lt;='2025'!$M375), AI$4&lt;&gt;DATE(2025,7,4)), (SWITCH(weekday(AI$4), 1, 0, 2, if(ISBLANK('2025'!$P375), 0, 1), 3, if(ISBLANK('2025'!$Q375), 0, 1), 4, if(ISBLANK('2025'!$R375), 0, 1), 5, if(ISBLANK('2025'!$S375), 0, 1), 6, if(ISBLANK('2025'!$T375), 0, 1), 7, 0))), 1, "")</f>
        <v/>
      </c>
      <c r="AJ411" s="1" t="str">
        <f>IF(AND(AND(AND(AJ$4&gt;='2025'!$L375,AJ$4&lt;='2025'!$M375), AJ$4&lt;&gt;DATE(2025,7,4)), (SWITCH(weekday(AJ$4), 1, 0, 2, if(ISBLANK('2025'!$P375), 0, 1), 3, if(ISBLANK('2025'!$Q375), 0, 1), 4, if(ISBLANK('2025'!$R375), 0, 1), 5, if(ISBLANK('2025'!$S375), 0, 1), 6, if(ISBLANK('2025'!$T375), 0, 1), 7, 0))), 1, "")</f>
        <v/>
      </c>
      <c r="AK411" s="1" t="str">
        <f>IF(AND(AND(AND(AK$4&gt;='2025'!$L375,AK$4&lt;='2025'!$M375), AK$4&lt;&gt;DATE(2025,7,4)), (SWITCH(weekday(AK$4), 1, 0, 2, if(ISBLANK('2025'!$P375), 0, 1), 3, if(ISBLANK('2025'!$Q375), 0, 1), 4, if(ISBLANK('2025'!$R375), 0, 1), 5, if(ISBLANK('2025'!$S375), 0, 1), 6, if(ISBLANK('2025'!$T375), 0, 1), 7, 0))), 1, "")</f>
        <v/>
      </c>
      <c r="AL411" s="1" t="str">
        <f>IF(AND(AND(AND(AL$4&gt;='2025'!$L375,AL$4&lt;='2025'!$M375), AL$4&lt;&gt;DATE(2025,7,4)), (SWITCH(weekday(AL$4), 1, 0, 2, if(ISBLANK('2025'!$P375), 0, 1), 3, if(ISBLANK('2025'!$Q375), 0, 1), 4, if(ISBLANK('2025'!$R375), 0, 1), 5, if(ISBLANK('2025'!$S375), 0, 1), 6, if(ISBLANK('2025'!$T375), 0, 1), 7, 0))), 1, "")</f>
        <v/>
      </c>
      <c r="AM411" s="1" t="str">
        <f>IF(AND(AND(AND(AM$4&gt;='2025'!$L375,AM$4&lt;='2025'!$M375), AM$4&lt;&gt;DATE(2025,7,4)), (SWITCH(weekday(AM$4), 1, 0, 2, if(ISBLANK('2025'!$P375), 0, 1), 3, if(ISBLANK('2025'!$Q375), 0, 1), 4, if(ISBLANK('2025'!$R375), 0, 1), 5, if(ISBLANK('2025'!$S375), 0, 1), 6, if(ISBLANK('2025'!$T375), 0, 1), 7, 0))), 1, "")</f>
        <v/>
      </c>
      <c r="AN411" s="1" t="str">
        <f>IF(AND(AND(AND(AN$4&gt;='2025'!$L375,AN$4&lt;='2025'!$M375), AN$4&lt;&gt;DATE(2025,7,4)), (SWITCH(weekday(AN$4), 1, 0, 2, if(ISBLANK('2025'!$P375), 0, 1), 3, if(ISBLANK('2025'!$Q375), 0, 1), 4, if(ISBLANK('2025'!$R375), 0, 1), 5, if(ISBLANK('2025'!$S375), 0, 1), 6, if(ISBLANK('2025'!$T375), 0, 1), 7, 0))), 1, "")</f>
        <v/>
      </c>
      <c r="AO411" s="1" t="str">
        <f>IF(AND(AND(AND(AO$4&gt;='2025'!$L375,AO$4&lt;='2025'!$M375), AO$4&lt;&gt;DATE(2025,7,4)), (SWITCH(weekday(AO$4), 1, 0, 2, if(ISBLANK('2025'!$P375), 0, 1), 3, if(ISBLANK('2025'!$Q375), 0, 1), 4, if(ISBLANK('2025'!$R375), 0, 1), 5, if(ISBLANK('2025'!$S375), 0, 1), 6, if(ISBLANK('2025'!$T375), 0, 1), 7, 0))), 1, "")</f>
        <v/>
      </c>
      <c r="AP411" s="1" t="str">
        <f>IF(AND(AND(AND(AP$4&gt;='2025'!$L375,AP$4&lt;='2025'!$M375), AP$4&lt;&gt;DATE(2025,7,4)), (SWITCH(weekday(AP$4), 1, 0, 2, if(ISBLANK('2025'!$P375), 0, 1), 3, if(ISBLANK('2025'!$Q375), 0, 1), 4, if(ISBLANK('2025'!$R375), 0, 1), 5, if(ISBLANK('2025'!$S375), 0, 1), 6, if(ISBLANK('2025'!$T375), 0, 1), 7, 0))), 1, "")</f>
        <v/>
      </c>
      <c r="AQ411" s="1" t="str">
        <f>IF(AND(AND(AND(AQ$4&gt;='2025'!$L375,AQ$4&lt;='2025'!$M375), AQ$4&lt;&gt;DATE(2025,7,4)), (SWITCH(weekday(AQ$4), 1, 0, 2, if(ISBLANK('2025'!$P375), 0, 1), 3, if(ISBLANK('2025'!$Q375), 0, 1), 4, if(ISBLANK('2025'!$R375), 0, 1), 5, if(ISBLANK('2025'!$S375), 0, 1), 6, if(ISBLANK('2025'!$T375), 0, 1), 7, 0))), 1, "")</f>
        <v/>
      </c>
      <c r="AR411" s="1" t="str">
        <f>IF(AND(AND(AND(AR$4&gt;='2025'!$L375,AR$4&lt;='2025'!$M375), AR$4&lt;&gt;DATE(2025,7,4)), (SWITCH(weekday(AR$4), 1, 0, 2, if(ISBLANK('2025'!$P375), 0, 1), 3, if(ISBLANK('2025'!$Q375), 0, 1), 4, if(ISBLANK('2025'!$R375), 0, 1), 5, if(ISBLANK('2025'!$S375), 0, 1), 6, if(ISBLANK('2025'!$T375), 0, 1), 7, 0))), 1, "")</f>
        <v/>
      </c>
      <c r="AS411" s="1" t="str">
        <f>IF(AND(AND(AND(AS$4&gt;='2025'!$L375,AS$4&lt;='2025'!$M375), AS$4&lt;&gt;DATE(2025,7,4)), (SWITCH(weekday(AS$4), 1, 0, 2, if(ISBLANK('2025'!$P375), 0, 1), 3, if(ISBLANK('2025'!$Q375), 0, 1), 4, if(ISBLANK('2025'!$R375), 0, 1), 5, if(ISBLANK('2025'!$S375), 0, 1), 6, if(ISBLANK('2025'!$T375), 0, 1), 7, 0))), 1, "")</f>
        <v/>
      </c>
      <c r="AT411" s="1" t="str">
        <f>IF(AND(AND(AND(AT$4&gt;='2025'!$L375,AT$4&lt;='2025'!$M375), AT$4&lt;&gt;DATE(2025,7,4)), (SWITCH(weekday(AT$4), 1, 0, 2, if(ISBLANK('2025'!$P375), 0, 1), 3, if(ISBLANK('2025'!$Q375), 0, 1), 4, if(ISBLANK('2025'!$R375), 0, 1), 5, if(ISBLANK('2025'!$S375), 0, 1), 6, if(ISBLANK('2025'!$T375), 0, 1), 7, 0))), 1, "")</f>
        <v/>
      </c>
      <c r="AU411" s="1" t="str">
        <f>IF(AND(AND(AND(AU$4&gt;='2025'!$L375,AU$4&lt;='2025'!$M375), AU$4&lt;&gt;DATE(2025,7,4)), (SWITCH(weekday(AU$4), 1, 0, 2, if(ISBLANK('2025'!$P375), 0, 1), 3, if(ISBLANK('2025'!$Q375), 0, 1), 4, if(ISBLANK('2025'!$R375), 0, 1), 5, if(ISBLANK('2025'!$S375), 0, 1), 6, if(ISBLANK('2025'!$T375), 0, 1), 7, 0))), 1, "")</f>
        <v/>
      </c>
      <c r="AV411" s="1" t="str">
        <f>IF(AND(AND(AND(AV$4&gt;='2025'!$L375,AV$4&lt;='2025'!$M375), AV$4&lt;&gt;DATE(2025,7,4)), (SWITCH(weekday(AV$4), 1, 0, 2, if(ISBLANK('2025'!$P375), 0, 1), 3, if(ISBLANK('2025'!$Q375), 0, 1), 4, if(ISBLANK('2025'!$R375), 0, 1), 5, if(ISBLANK('2025'!$S375), 0, 1), 6, if(ISBLANK('2025'!$T375), 0, 1), 7, 0))), 1, "")</f>
        <v/>
      </c>
      <c r="AW411" s="1" t="str">
        <f>IF(AND(AND(AND(AW$4&gt;='2025'!$L375,AW$4&lt;='2025'!$M375), AW$4&lt;&gt;DATE(2025,7,4)), (SWITCH(weekday(AW$4), 1, 0, 2, if(ISBLANK('2025'!$P375), 0, 1), 3, if(ISBLANK('2025'!$Q375), 0, 1), 4, if(ISBLANK('2025'!$R375), 0, 1), 5, if(ISBLANK('2025'!$S375), 0, 1), 6, if(ISBLANK('2025'!$T375), 0, 1), 7, 0))), 1, "")</f>
        <v/>
      </c>
      <c r="AX411" s="1" t="str">
        <f>IF(AND(AND(AND(AX$4&gt;='2025'!$L375,AX$4&lt;='2025'!$M375), AX$4&lt;&gt;DATE(2025,7,4)), (SWITCH(weekday(AX$4), 1, 0, 2, if(ISBLANK('2025'!$P375), 0, 1), 3, if(ISBLANK('2025'!$Q375), 0, 1), 4, if(ISBLANK('2025'!$R375), 0, 1), 5, if(ISBLANK('2025'!$S375), 0, 1), 6, if(ISBLANK('2025'!$T375), 0, 1), 7, 0))), 1, "")</f>
        <v/>
      </c>
      <c r="AY411" s="1" t="str">
        <f>IF(AND(AND(AND(AY$4&gt;='2025'!$L375,AY$4&lt;='2025'!$M375), AY$4&lt;&gt;DATE(2025,7,4)), (SWITCH(weekday(AY$4), 1, 0, 2, if(ISBLANK('2025'!$P375), 0, 1), 3, if(ISBLANK('2025'!$Q375), 0, 1), 4, if(ISBLANK('2025'!$R375), 0, 1), 5, if(ISBLANK('2025'!$S375), 0, 1), 6, if(ISBLANK('2025'!$T375), 0, 1), 7, 0))), 1, "")</f>
        <v/>
      </c>
      <c r="AZ411" s="1" t="str">
        <f>IF(AND(AND(AND(AZ$4&gt;='2025'!$L375,AZ$4&lt;='2025'!$M375), AZ$4&lt;&gt;DATE(2025,7,4)), (SWITCH(weekday(AZ$4), 1, 0, 2, if(ISBLANK('2025'!$P375), 0, 1), 3, if(ISBLANK('2025'!$Q375), 0, 1), 4, if(ISBLANK('2025'!$R375), 0, 1), 5, if(ISBLANK('2025'!$S375), 0, 1), 6, if(ISBLANK('2025'!$T375), 0, 1), 7, 0))), 1, "")</f>
        <v/>
      </c>
      <c r="BA411" s="1" t="str">
        <f>IF(AND(AND(AND(BA$4&gt;='2025'!$L375,BA$4&lt;='2025'!$M375), BA$4&lt;&gt;DATE(2025,7,4)), (SWITCH(weekday(BA$4), 1, 0, 2, if(ISBLANK('2025'!$P375), 0, 1), 3, if(ISBLANK('2025'!$Q375), 0, 1), 4, if(ISBLANK('2025'!$R375), 0, 1), 5, if(ISBLANK('2025'!$S375), 0, 1), 6, if(ISBLANK('2025'!$T375), 0, 1), 7, 0))), 1, "")</f>
        <v/>
      </c>
      <c r="BB411" s="1" t="str">
        <f>IF(AND(AND(AND(BB$4&gt;='2025'!$L375,BB$4&lt;='2025'!$M375), BB$4&lt;&gt;DATE(2025,7,4)), (SWITCH(weekday(BB$4), 1, 0, 2, if(ISBLANK('2025'!$P375), 0, 1), 3, if(ISBLANK('2025'!$Q375), 0, 1), 4, if(ISBLANK('2025'!$R375), 0, 1), 5, if(ISBLANK('2025'!$S375), 0, 1), 6, if(ISBLANK('2025'!$T375), 0, 1), 7, 0))), 1, "")</f>
        <v/>
      </c>
      <c r="BC411" s="1" t="str">
        <f>IF(AND(AND(AND(BC$4&gt;='2025'!$L375,BC$4&lt;='2025'!$M375), BC$4&lt;&gt;DATE(2025,7,4)), (SWITCH(weekday(BC$4), 1, 0, 2, if(ISBLANK('2025'!$P375), 0, 1), 3, if(ISBLANK('2025'!$Q375), 0, 1), 4, if(ISBLANK('2025'!$R375), 0, 1), 5, if(ISBLANK('2025'!$S375), 0, 1), 6, if(ISBLANK('2025'!$T375), 0, 1), 7, 0))), 1, "")</f>
        <v/>
      </c>
      <c r="BD411" s="1" t="str">
        <f>IF(AND(AND(AND(BD$4&gt;='2025'!$L375,BD$4&lt;='2025'!$M375), BD$4&lt;&gt;DATE(2025,7,4)), (SWITCH(weekday(BD$4), 1, 0, 2, if(ISBLANK('2025'!$P375), 0, 1), 3, if(ISBLANK('2025'!$Q375), 0, 1), 4, if(ISBLANK('2025'!$R375), 0, 1), 5, if(ISBLANK('2025'!$S375), 0, 1), 6, if(ISBLANK('2025'!$T375), 0, 1), 7, 0))), 1, "")</f>
        <v/>
      </c>
      <c r="BE411" s="1" t="str">
        <f>IF(AND(AND(AND(BE$4&gt;='2025'!$L375,BE$4&lt;='2025'!$M375), BE$4&lt;&gt;DATE(2025,7,4)), (SWITCH(weekday(BE$4), 1, 0, 2, if(ISBLANK('2025'!$P375), 0, 1), 3, if(ISBLANK('2025'!$Q375), 0, 1), 4, if(ISBLANK('2025'!$R375), 0, 1), 5, if(ISBLANK('2025'!$S375), 0, 1), 6, if(ISBLANK('2025'!$T375), 0, 1), 7, 0))), 1, "")</f>
        <v/>
      </c>
    </row>
    <row r="412">
      <c r="A412" s="1">
        <f t="shared" si="3"/>
        <v>412</v>
      </c>
      <c r="B412" s="1" t="str">
        <f>'2025'!D376</f>
        <v/>
      </c>
      <c r="C412" s="1" t="str">
        <f>'2025'!H376</f>
        <v/>
      </c>
      <c r="D412" s="1" t="str">
        <f>IF(AND(AND(AND(D$4&gt;='2025'!$L376,D$4&lt;='2025'!$M376), D$4&lt;&gt;DATE(2025,7,4)), (SWITCH(weekday(D$4), 1, 0, 2, if(ISBLANK('2025'!$P376), 0, 1), 3, if(ISBLANK('2025'!$Q376), 0, 1), 4, if(ISBLANK('2025'!$R376), 0, 1), 5, if(ISBLANK('2025'!$S376), 0, 1), 6, if(ISBLANK('2025'!$T376), 0, 1), 7, 0))), 1, "")</f>
        <v/>
      </c>
      <c r="E412" s="1" t="str">
        <f>IF(AND(AND(AND(E$4&gt;='2025'!$L376,E$4&lt;='2025'!$M376), E$4&lt;&gt;DATE(2025,7,4)), (SWITCH(weekday(E$4), 1, 0, 2, if(ISBLANK('2025'!$P376), 0, 1), 3, if(ISBLANK('2025'!$Q376), 0, 1), 4, if(ISBLANK('2025'!$R376), 0, 1), 5, if(ISBLANK('2025'!$S376), 0, 1), 6, if(ISBLANK('2025'!$T376), 0, 1), 7, 0))), 1, "")</f>
        <v/>
      </c>
      <c r="F412" s="1" t="str">
        <f>IF(AND(AND(AND(F$4&gt;='2025'!$L376,F$4&lt;='2025'!$M376), F$4&lt;&gt;DATE(2025,7,4)), (SWITCH(weekday(F$4), 1, 0, 2, if(ISBLANK('2025'!$P376), 0, 1), 3, if(ISBLANK('2025'!$Q376), 0, 1), 4, if(ISBLANK('2025'!$R376), 0, 1), 5, if(ISBLANK('2025'!$S376), 0, 1), 6, if(ISBLANK('2025'!$T376), 0, 1), 7, 0))), 1, "")</f>
        <v/>
      </c>
      <c r="G412" s="1" t="str">
        <f>IF(AND(AND(AND(G$4&gt;='2025'!$L376,G$4&lt;='2025'!$M376), G$4&lt;&gt;DATE(2025,7,4)), (SWITCH(weekday(G$4), 1, 0, 2, if(ISBLANK('2025'!$P376), 0, 1), 3, if(ISBLANK('2025'!$Q376), 0, 1), 4, if(ISBLANK('2025'!$R376), 0, 1), 5, if(ISBLANK('2025'!$S376), 0, 1), 6, if(ISBLANK('2025'!$T376), 0, 1), 7, 0))), 1, "")</f>
        <v/>
      </c>
      <c r="H412" s="1" t="str">
        <f>IF(AND(AND(AND(H$4&gt;='2025'!$L376,H$4&lt;='2025'!$M376), H$4&lt;&gt;DATE(2025,7,4)), (SWITCH(weekday(H$4), 1, 0, 2, if(ISBLANK('2025'!$P376), 0, 1), 3, if(ISBLANK('2025'!$Q376), 0, 1), 4, if(ISBLANK('2025'!$R376), 0, 1), 5, if(ISBLANK('2025'!$S376), 0, 1), 6, if(ISBLANK('2025'!$T376), 0, 1), 7, 0))), 1, "")</f>
        <v/>
      </c>
      <c r="I412" s="1" t="str">
        <f>IF(AND(AND(AND(I$4&gt;='2025'!$L376,I$4&lt;='2025'!$M376), I$4&lt;&gt;DATE(2025,7,4)), (SWITCH(weekday(I$4), 1, 0, 2, if(ISBLANK('2025'!$P376), 0, 1), 3, if(ISBLANK('2025'!$Q376), 0, 1), 4, if(ISBLANK('2025'!$R376), 0, 1), 5, if(ISBLANK('2025'!$S376), 0, 1), 6, if(ISBLANK('2025'!$T376), 0, 1), 7, 0))), 1, "")</f>
        <v/>
      </c>
      <c r="J412" s="1" t="str">
        <f>IF(AND(AND(AND(J$4&gt;='2025'!$L376,J$4&lt;='2025'!$M376), J$4&lt;&gt;DATE(2025,7,4)), (SWITCH(weekday(J$4), 1, 0, 2, if(ISBLANK('2025'!$P376), 0, 1), 3, if(ISBLANK('2025'!$Q376), 0, 1), 4, if(ISBLANK('2025'!$R376), 0, 1), 5, if(ISBLANK('2025'!$S376), 0, 1), 6, if(ISBLANK('2025'!$T376), 0, 1), 7, 0))), 1, "")</f>
        <v/>
      </c>
      <c r="K412" s="1" t="str">
        <f>IF(AND(AND(AND(K$4&gt;='2025'!$L376,K$4&lt;='2025'!$M376), K$4&lt;&gt;DATE(2025,7,4)), (SWITCH(weekday(K$4), 1, 0, 2, if(ISBLANK('2025'!$P376), 0, 1), 3, if(ISBLANK('2025'!$Q376), 0, 1), 4, if(ISBLANK('2025'!$R376), 0, 1), 5, if(ISBLANK('2025'!$S376), 0, 1), 6, if(ISBLANK('2025'!$T376), 0, 1), 7, 0))), 1, "")</f>
        <v/>
      </c>
      <c r="L412" s="1" t="str">
        <f>IF(AND(AND(AND(L$4&gt;='2025'!$L376,L$4&lt;='2025'!$M376), L$4&lt;&gt;DATE(2025,7,4)), (SWITCH(weekday(L$4), 1, 0, 2, if(ISBLANK('2025'!$P376), 0, 1), 3, if(ISBLANK('2025'!$Q376), 0, 1), 4, if(ISBLANK('2025'!$R376), 0, 1), 5, if(ISBLANK('2025'!$S376), 0, 1), 6, if(ISBLANK('2025'!$T376), 0, 1), 7, 0))), 1, "")</f>
        <v/>
      </c>
      <c r="M412" s="1" t="str">
        <f>IF(AND(AND(AND(M$4&gt;='2025'!$L376,M$4&lt;='2025'!$M376), M$4&lt;&gt;DATE(2025,7,4)), (SWITCH(weekday(M$4), 1, 0, 2, if(ISBLANK('2025'!$P376), 0, 1), 3, if(ISBLANK('2025'!$Q376), 0, 1), 4, if(ISBLANK('2025'!$R376), 0, 1), 5, if(ISBLANK('2025'!$S376), 0, 1), 6, if(ISBLANK('2025'!$T376), 0, 1), 7, 0))), 1, "")</f>
        <v/>
      </c>
      <c r="N412" s="1" t="str">
        <f>IF(AND(AND(AND(N$4&gt;='2025'!$L376,N$4&lt;='2025'!$M376), N$4&lt;&gt;DATE(2025,7,4)), (SWITCH(weekday(N$4), 1, 0, 2, if(ISBLANK('2025'!$P376), 0, 1), 3, if(ISBLANK('2025'!$Q376), 0, 1), 4, if(ISBLANK('2025'!$R376), 0, 1), 5, if(ISBLANK('2025'!$S376), 0, 1), 6, if(ISBLANK('2025'!$T376), 0, 1), 7, 0))), 1, "")</f>
        <v/>
      </c>
      <c r="O412" s="1" t="str">
        <f>IF(AND(AND(AND(O$4&gt;='2025'!$L376,O$4&lt;='2025'!$M376), O$4&lt;&gt;DATE(2025,7,4)), (SWITCH(weekday(O$4), 1, 0, 2, if(ISBLANK('2025'!$P376), 0, 1), 3, if(ISBLANK('2025'!$Q376), 0, 1), 4, if(ISBLANK('2025'!$R376), 0, 1), 5, if(ISBLANK('2025'!$S376), 0, 1), 6, if(ISBLANK('2025'!$T376), 0, 1), 7, 0))), 1, "")</f>
        <v/>
      </c>
      <c r="P412" s="1" t="str">
        <f>IF(AND(AND(AND(P$4&gt;='2025'!$L376,P$4&lt;='2025'!$M376), P$4&lt;&gt;DATE(2025,7,4)), (SWITCH(weekday(P$4), 1, 0, 2, if(ISBLANK('2025'!$P376), 0, 1), 3, if(ISBLANK('2025'!$Q376), 0, 1), 4, if(ISBLANK('2025'!$R376), 0, 1), 5, if(ISBLANK('2025'!$S376), 0, 1), 6, if(ISBLANK('2025'!$T376), 0, 1), 7, 0))), 1, "")</f>
        <v/>
      </c>
      <c r="Q412" s="1" t="str">
        <f>IF(AND(AND(AND(Q$4&gt;='2025'!$L376,Q$4&lt;='2025'!$M376), Q$4&lt;&gt;DATE(2025,7,4)), (SWITCH(weekday(Q$4), 1, 0, 2, if(ISBLANK('2025'!$P376), 0, 1), 3, if(ISBLANK('2025'!$Q376), 0, 1), 4, if(ISBLANK('2025'!$R376), 0, 1), 5, if(ISBLANK('2025'!$S376), 0, 1), 6, if(ISBLANK('2025'!$T376), 0, 1), 7, 0))), 1, "")</f>
        <v/>
      </c>
      <c r="R412" s="1" t="str">
        <f>IF(AND(AND(AND(R$4&gt;='2025'!$L376,R$4&lt;='2025'!$M376), R$4&lt;&gt;DATE(2025,7,4)), (SWITCH(weekday(R$4), 1, 0, 2, if(ISBLANK('2025'!$P376), 0, 1), 3, if(ISBLANK('2025'!$Q376), 0, 1), 4, if(ISBLANK('2025'!$R376), 0, 1), 5, if(ISBLANK('2025'!$S376), 0, 1), 6, if(ISBLANK('2025'!$T376), 0, 1), 7, 0))), 1, "")</f>
        <v/>
      </c>
      <c r="S412" s="1" t="str">
        <f>IF(AND(AND(AND(S$4&gt;='2025'!$L376,S$4&lt;='2025'!$M376), S$4&lt;&gt;DATE(2025,7,4)), (SWITCH(weekday(S$4), 1, 0, 2, if(ISBLANK('2025'!$P376), 0, 1), 3, if(ISBLANK('2025'!$Q376), 0, 1), 4, if(ISBLANK('2025'!$R376), 0, 1), 5, if(ISBLANK('2025'!$S376), 0, 1), 6, if(ISBLANK('2025'!$T376), 0, 1), 7, 0))), 1, "")</f>
        <v/>
      </c>
      <c r="T412" s="1" t="str">
        <f>IF(AND(AND(AND(T$4&gt;='2025'!$L376,T$4&lt;='2025'!$M376), T$4&lt;&gt;DATE(2025,7,4)), (SWITCH(weekday(T$4), 1, 0, 2, if(ISBLANK('2025'!$P376), 0, 1), 3, if(ISBLANK('2025'!$Q376), 0, 1), 4, if(ISBLANK('2025'!$R376), 0, 1), 5, if(ISBLANK('2025'!$S376), 0, 1), 6, if(ISBLANK('2025'!$T376), 0, 1), 7, 0))), 1, "")</f>
        <v/>
      </c>
      <c r="U412" s="1" t="str">
        <f>IF(AND(AND(AND(U$4&gt;='2025'!$L376,U$4&lt;='2025'!$M376), U$4&lt;&gt;DATE(2025,7,4)), (SWITCH(weekday(U$4), 1, 0, 2, if(ISBLANK('2025'!$P376), 0, 1), 3, if(ISBLANK('2025'!$Q376), 0, 1), 4, if(ISBLANK('2025'!$R376), 0, 1), 5, if(ISBLANK('2025'!$S376), 0, 1), 6, if(ISBLANK('2025'!$T376), 0, 1), 7, 0))), 1, "")</f>
        <v/>
      </c>
      <c r="V412" s="1" t="str">
        <f>IF(AND(AND(AND(V$4&gt;='2025'!$L376,V$4&lt;='2025'!$M376), V$4&lt;&gt;DATE(2025,7,4)), (SWITCH(weekday(V$4), 1, 0, 2, if(ISBLANK('2025'!$P376), 0, 1), 3, if(ISBLANK('2025'!$Q376), 0, 1), 4, if(ISBLANK('2025'!$R376), 0, 1), 5, if(ISBLANK('2025'!$S376), 0, 1), 6, if(ISBLANK('2025'!$T376), 0, 1), 7, 0))), 1, "")</f>
        <v/>
      </c>
      <c r="W412" s="1" t="str">
        <f>IF(AND(AND(AND(W$4&gt;='2025'!$L376,W$4&lt;='2025'!$M376), W$4&lt;&gt;DATE(2025,7,4)), (SWITCH(weekday(W$4), 1, 0, 2, if(ISBLANK('2025'!$P376), 0, 1), 3, if(ISBLANK('2025'!$Q376), 0, 1), 4, if(ISBLANK('2025'!$R376), 0, 1), 5, if(ISBLANK('2025'!$S376), 0, 1), 6, if(ISBLANK('2025'!$T376), 0, 1), 7, 0))), 1, "")</f>
        <v/>
      </c>
      <c r="X412" s="1" t="str">
        <f>IF(AND(AND(AND(X$4&gt;='2025'!$L376,X$4&lt;='2025'!$M376), X$4&lt;&gt;DATE(2025,7,4)), (SWITCH(weekday(X$4), 1, 0, 2, if(ISBLANK('2025'!$P376), 0, 1), 3, if(ISBLANK('2025'!$Q376), 0, 1), 4, if(ISBLANK('2025'!$R376), 0, 1), 5, if(ISBLANK('2025'!$S376), 0, 1), 6, if(ISBLANK('2025'!$T376), 0, 1), 7, 0))), 1, "")</f>
        <v/>
      </c>
      <c r="Y412" s="1" t="str">
        <f>IF(AND(AND(AND(Y$4&gt;='2025'!$L376,Y$4&lt;='2025'!$M376), Y$4&lt;&gt;DATE(2025,7,4)), (SWITCH(weekday(Y$4), 1, 0, 2, if(ISBLANK('2025'!$P376), 0, 1), 3, if(ISBLANK('2025'!$Q376), 0, 1), 4, if(ISBLANK('2025'!$R376), 0, 1), 5, if(ISBLANK('2025'!$S376), 0, 1), 6, if(ISBLANK('2025'!$T376), 0, 1), 7, 0))), 1, "")</f>
        <v/>
      </c>
      <c r="Z412" s="1" t="str">
        <f>IF(AND(AND(AND(Z$4&gt;='2025'!$L376,Z$4&lt;='2025'!$M376), Z$4&lt;&gt;DATE(2025,7,4)), (SWITCH(weekday(Z$4), 1, 0, 2, if(ISBLANK('2025'!$P376), 0, 1), 3, if(ISBLANK('2025'!$Q376), 0, 1), 4, if(ISBLANK('2025'!$R376), 0, 1), 5, if(ISBLANK('2025'!$S376), 0, 1), 6, if(ISBLANK('2025'!$T376), 0, 1), 7, 0))), 1, "")</f>
        <v/>
      </c>
      <c r="AA412" s="1" t="str">
        <f>IF(AND(AND(AND(AA$4&gt;='2025'!$L376,AA$4&lt;='2025'!$M376), AA$4&lt;&gt;DATE(2025,7,4)), (SWITCH(weekday(AA$4), 1, 0, 2, if(ISBLANK('2025'!$P376), 0, 1), 3, if(ISBLANK('2025'!$Q376), 0, 1), 4, if(ISBLANK('2025'!$R376), 0, 1), 5, if(ISBLANK('2025'!$S376), 0, 1), 6, if(ISBLANK('2025'!$T376), 0, 1), 7, 0))), 1, "")</f>
        <v/>
      </c>
      <c r="AB412" s="1" t="str">
        <f>IF(AND(AND(AND(AB$4&gt;='2025'!$L376,AB$4&lt;='2025'!$M376), AB$4&lt;&gt;DATE(2025,7,4)), (SWITCH(weekday(AB$4), 1, 0, 2, if(ISBLANK('2025'!$P376), 0, 1), 3, if(ISBLANK('2025'!$Q376), 0, 1), 4, if(ISBLANK('2025'!$R376), 0, 1), 5, if(ISBLANK('2025'!$S376), 0, 1), 6, if(ISBLANK('2025'!$T376), 0, 1), 7, 0))), 1, "")</f>
        <v/>
      </c>
      <c r="AC412" s="1" t="str">
        <f>IF(AND(AND(AND(AC$4&gt;='2025'!$L376,AC$4&lt;='2025'!$M376), AC$4&lt;&gt;DATE(2025,7,4)), (SWITCH(weekday(AC$4), 1, 0, 2, if(ISBLANK('2025'!$P376), 0, 1), 3, if(ISBLANK('2025'!$Q376), 0, 1), 4, if(ISBLANK('2025'!$R376), 0, 1), 5, if(ISBLANK('2025'!$S376), 0, 1), 6, if(ISBLANK('2025'!$T376), 0, 1), 7, 0))), 1, "")</f>
        <v/>
      </c>
      <c r="AD412" s="1" t="str">
        <f>IF(AND(AND(AND(AD$4&gt;='2025'!$L376,AD$4&lt;='2025'!$M376), AD$4&lt;&gt;DATE(2025,7,4)), (SWITCH(weekday(AD$4), 1, 0, 2, if(ISBLANK('2025'!$P376), 0, 1), 3, if(ISBLANK('2025'!$Q376), 0, 1), 4, if(ISBLANK('2025'!$R376), 0, 1), 5, if(ISBLANK('2025'!$S376), 0, 1), 6, if(ISBLANK('2025'!$T376), 0, 1), 7, 0))), 1, "")</f>
        <v/>
      </c>
      <c r="AE412" s="1" t="str">
        <f>IF(AND(AND(AND(AE$4&gt;='2025'!$L376,AE$4&lt;='2025'!$M376), AE$4&lt;&gt;DATE(2025,7,4)), (SWITCH(weekday(AE$4), 1, 0, 2, if(ISBLANK('2025'!$P376), 0, 1), 3, if(ISBLANK('2025'!$Q376), 0, 1), 4, if(ISBLANK('2025'!$R376), 0, 1), 5, if(ISBLANK('2025'!$S376), 0, 1), 6, if(ISBLANK('2025'!$T376), 0, 1), 7, 0))), 1, "")</f>
        <v/>
      </c>
      <c r="AF412" s="1" t="str">
        <f>IF(AND(AND(AND(AF$4&gt;='2025'!$L376,AF$4&lt;='2025'!$M376), AF$4&lt;&gt;DATE(2025,7,4)), (SWITCH(weekday(AF$4), 1, 0, 2, if(ISBLANK('2025'!$P376), 0, 1), 3, if(ISBLANK('2025'!$Q376), 0, 1), 4, if(ISBLANK('2025'!$R376), 0, 1), 5, if(ISBLANK('2025'!$S376), 0, 1), 6, if(ISBLANK('2025'!$T376), 0, 1), 7, 0))), 1, "")</f>
        <v/>
      </c>
      <c r="AG412" s="1" t="str">
        <f>IF(AND(AND(AND(AG$4&gt;='2025'!$L376,AG$4&lt;='2025'!$M376), AG$4&lt;&gt;DATE(2025,7,4)), (SWITCH(weekday(AG$4), 1, 0, 2, if(ISBLANK('2025'!$P376), 0, 1), 3, if(ISBLANK('2025'!$Q376), 0, 1), 4, if(ISBLANK('2025'!$R376), 0, 1), 5, if(ISBLANK('2025'!$S376), 0, 1), 6, if(ISBLANK('2025'!$T376), 0, 1), 7, 0))), 1, "")</f>
        <v/>
      </c>
      <c r="AH412" s="1" t="str">
        <f>IF(AND(AND(AND(AH$4&gt;='2025'!$L376,AH$4&lt;='2025'!$M376), AH$4&lt;&gt;DATE(2025,7,4)), (SWITCH(weekday(AH$4), 1, 0, 2, if(ISBLANK('2025'!$P376), 0, 1), 3, if(ISBLANK('2025'!$Q376), 0, 1), 4, if(ISBLANK('2025'!$R376), 0, 1), 5, if(ISBLANK('2025'!$S376), 0, 1), 6, if(ISBLANK('2025'!$T376), 0, 1), 7, 0))), 1, "")</f>
        <v/>
      </c>
      <c r="AI412" s="1" t="str">
        <f>IF(AND(AND(AND(AI$4&gt;='2025'!$L376,AI$4&lt;='2025'!$M376), AI$4&lt;&gt;DATE(2025,7,4)), (SWITCH(weekday(AI$4), 1, 0, 2, if(ISBLANK('2025'!$P376), 0, 1), 3, if(ISBLANK('2025'!$Q376), 0, 1), 4, if(ISBLANK('2025'!$R376), 0, 1), 5, if(ISBLANK('2025'!$S376), 0, 1), 6, if(ISBLANK('2025'!$T376), 0, 1), 7, 0))), 1, "")</f>
        <v/>
      </c>
      <c r="AJ412" s="1" t="str">
        <f>IF(AND(AND(AND(AJ$4&gt;='2025'!$L376,AJ$4&lt;='2025'!$M376), AJ$4&lt;&gt;DATE(2025,7,4)), (SWITCH(weekday(AJ$4), 1, 0, 2, if(ISBLANK('2025'!$P376), 0, 1), 3, if(ISBLANK('2025'!$Q376), 0, 1), 4, if(ISBLANK('2025'!$R376), 0, 1), 5, if(ISBLANK('2025'!$S376), 0, 1), 6, if(ISBLANK('2025'!$T376), 0, 1), 7, 0))), 1, "")</f>
        <v/>
      </c>
      <c r="AK412" s="1" t="str">
        <f>IF(AND(AND(AND(AK$4&gt;='2025'!$L376,AK$4&lt;='2025'!$M376), AK$4&lt;&gt;DATE(2025,7,4)), (SWITCH(weekday(AK$4), 1, 0, 2, if(ISBLANK('2025'!$P376), 0, 1), 3, if(ISBLANK('2025'!$Q376), 0, 1), 4, if(ISBLANK('2025'!$R376), 0, 1), 5, if(ISBLANK('2025'!$S376), 0, 1), 6, if(ISBLANK('2025'!$T376), 0, 1), 7, 0))), 1, "")</f>
        <v/>
      </c>
      <c r="AL412" s="1" t="str">
        <f>IF(AND(AND(AND(AL$4&gt;='2025'!$L376,AL$4&lt;='2025'!$M376), AL$4&lt;&gt;DATE(2025,7,4)), (SWITCH(weekday(AL$4), 1, 0, 2, if(ISBLANK('2025'!$P376), 0, 1), 3, if(ISBLANK('2025'!$Q376), 0, 1), 4, if(ISBLANK('2025'!$R376), 0, 1), 5, if(ISBLANK('2025'!$S376), 0, 1), 6, if(ISBLANK('2025'!$T376), 0, 1), 7, 0))), 1, "")</f>
        <v/>
      </c>
      <c r="AM412" s="1" t="str">
        <f>IF(AND(AND(AND(AM$4&gt;='2025'!$L376,AM$4&lt;='2025'!$M376), AM$4&lt;&gt;DATE(2025,7,4)), (SWITCH(weekday(AM$4), 1, 0, 2, if(ISBLANK('2025'!$P376), 0, 1), 3, if(ISBLANK('2025'!$Q376), 0, 1), 4, if(ISBLANK('2025'!$R376), 0, 1), 5, if(ISBLANK('2025'!$S376), 0, 1), 6, if(ISBLANK('2025'!$T376), 0, 1), 7, 0))), 1, "")</f>
        <v/>
      </c>
      <c r="AN412" s="1" t="str">
        <f>IF(AND(AND(AND(AN$4&gt;='2025'!$L376,AN$4&lt;='2025'!$M376), AN$4&lt;&gt;DATE(2025,7,4)), (SWITCH(weekday(AN$4), 1, 0, 2, if(ISBLANK('2025'!$P376), 0, 1), 3, if(ISBLANK('2025'!$Q376), 0, 1), 4, if(ISBLANK('2025'!$R376), 0, 1), 5, if(ISBLANK('2025'!$S376), 0, 1), 6, if(ISBLANK('2025'!$T376), 0, 1), 7, 0))), 1, "")</f>
        <v/>
      </c>
      <c r="AO412" s="1" t="str">
        <f>IF(AND(AND(AND(AO$4&gt;='2025'!$L376,AO$4&lt;='2025'!$M376), AO$4&lt;&gt;DATE(2025,7,4)), (SWITCH(weekday(AO$4), 1, 0, 2, if(ISBLANK('2025'!$P376), 0, 1), 3, if(ISBLANK('2025'!$Q376), 0, 1), 4, if(ISBLANK('2025'!$R376), 0, 1), 5, if(ISBLANK('2025'!$S376), 0, 1), 6, if(ISBLANK('2025'!$T376), 0, 1), 7, 0))), 1, "")</f>
        <v/>
      </c>
      <c r="AP412" s="1" t="str">
        <f>IF(AND(AND(AND(AP$4&gt;='2025'!$L376,AP$4&lt;='2025'!$M376), AP$4&lt;&gt;DATE(2025,7,4)), (SWITCH(weekday(AP$4), 1, 0, 2, if(ISBLANK('2025'!$P376), 0, 1), 3, if(ISBLANK('2025'!$Q376), 0, 1), 4, if(ISBLANK('2025'!$R376), 0, 1), 5, if(ISBLANK('2025'!$S376), 0, 1), 6, if(ISBLANK('2025'!$T376), 0, 1), 7, 0))), 1, "")</f>
        <v/>
      </c>
      <c r="AQ412" s="1" t="str">
        <f>IF(AND(AND(AND(AQ$4&gt;='2025'!$L376,AQ$4&lt;='2025'!$M376), AQ$4&lt;&gt;DATE(2025,7,4)), (SWITCH(weekday(AQ$4), 1, 0, 2, if(ISBLANK('2025'!$P376), 0, 1), 3, if(ISBLANK('2025'!$Q376), 0, 1), 4, if(ISBLANK('2025'!$R376), 0, 1), 5, if(ISBLANK('2025'!$S376), 0, 1), 6, if(ISBLANK('2025'!$T376), 0, 1), 7, 0))), 1, "")</f>
        <v/>
      </c>
      <c r="AR412" s="1" t="str">
        <f>IF(AND(AND(AND(AR$4&gt;='2025'!$L376,AR$4&lt;='2025'!$M376), AR$4&lt;&gt;DATE(2025,7,4)), (SWITCH(weekday(AR$4), 1, 0, 2, if(ISBLANK('2025'!$P376), 0, 1), 3, if(ISBLANK('2025'!$Q376), 0, 1), 4, if(ISBLANK('2025'!$R376), 0, 1), 5, if(ISBLANK('2025'!$S376), 0, 1), 6, if(ISBLANK('2025'!$T376), 0, 1), 7, 0))), 1, "")</f>
        <v/>
      </c>
      <c r="AS412" s="1" t="str">
        <f>IF(AND(AND(AND(AS$4&gt;='2025'!$L376,AS$4&lt;='2025'!$M376), AS$4&lt;&gt;DATE(2025,7,4)), (SWITCH(weekday(AS$4), 1, 0, 2, if(ISBLANK('2025'!$P376), 0, 1), 3, if(ISBLANK('2025'!$Q376), 0, 1), 4, if(ISBLANK('2025'!$R376), 0, 1), 5, if(ISBLANK('2025'!$S376), 0, 1), 6, if(ISBLANK('2025'!$T376), 0, 1), 7, 0))), 1, "")</f>
        <v/>
      </c>
      <c r="AT412" s="1" t="str">
        <f>IF(AND(AND(AND(AT$4&gt;='2025'!$L376,AT$4&lt;='2025'!$M376), AT$4&lt;&gt;DATE(2025,7,4)), (SWITCH(weekday(AT$4), 1, 0, 2, if(ISBLANK('2025'!$P376), 0, 1), 3, if(ISBLANK('2025'!$Q376), 0, 1), 4, if(ISBLANK('2025'!$R376), 0, 1), 5, if(ISBLANK('2025'!$S376), 0, 1), 6, if(ISBLANK('2025'!$T376), 0, 1), 7, 0))), 1, "")</f>
        <v/>
      </c>
      <c r="AU412" s="1" t="str">
        <f>IF(AND(AND(AND(AU$4&gt;='2025'!$L376,AU$4&lt;='2025'!$M376), AU$4&lt;&gt;DATE(2025,7,4)), (SWITCH(weekday(AU$4), 1, 0, 2, if(ISBLANK('2025'!$P376), 0, 1), 3, if(ISBLANK('2025'!$Q376), 0, 1), 4, if(ISBLANK('2025'!$R376), 0, 1), 5, if(ISBLANK('2025'!$S376), 0, 1), 6, if(ISBLANK('2025'!$T376), 0, 1), 7, 0))), 1, "")</f>
        <v/>
      </c>
      <c r="AV412" s="1" t="str">
        <f>IF(AND(AND(AND(AV$4&gt;='2025'!$L376,AV$4&lt;='2025'!$M376), AV$4&lt;&gt;DATE(2025,7,4)), (SWITCH(weekday(AV$4), 1, 0, 2, if(ISBLANK('2025'!$P376), 0, 1), 3, if(ISBLANK('2025'!$Q376), 0, 1), 4, if(ISBLANK('2025'!$R376), 0, 1), 5, if(ISBLANK('2025'!$S376), 0, 1), 6, if(ISBLANK('2025'!$T376), 0, 1), 7, 0))), 1, "")</f>
        <v/>
      </c>
      <c r="AW412" s="1" t="str">
        <f>IF(AND(AND(AND(AW$4&gt;='2025'!$L376,AW$4&lt;='2025'!$M376), AW$4&lt;&gt;DATE(2025,7,4)), (SWITCH(weekday(AW$4), 1, 0, 2, if(ISBLANK('2025'!$P376), 0, 1), 3, if(ISBLANK('2025'!$Q376), 0, 1), 4, if(ISBLANK('2025'!$R376), 0, 1), 5, if(ISBLANK('2025'!$S376), 0, 1), 6, if(ISBLANK('2025'!$T376), 0, 1), 7, 0))), 1, "")</f>
        <v/>
      </c>
      <c r="AX412" s="1" t="str">
        <f>IF(AND(AND(AND(AX$4&gt;='2025'!$L376,AX$4&lt;='2025'!$M376), AX$4&lt;&gt;DATE(2025,7,4)), (SWITCH(weekday(AX$4), 1, 0, 2, if(ISBLANK('2025'!$P376), 0, 1), 3, if(ISBLANK('2025'!$Q376), 0, 1), 4, if(ISBLANK('2025'!$R376), 0, 1), 5, if(ISBLANK('2025'!$S376), 0, 1), 6, if(ISBLANK('2025'!$T376), 0, 1), 7, 0))), 1, "")</f>
        <v/>
      </c>
      <c r="AY412" s="1" t="str">
        <f>IF(AND(AND(AND(AY$4&gt;='2025'!$L376,AY$4&lt;='2025'!$M376), AY$4&lt;&gt;DATE(2025,7,4)), (SWITCH(weekday(AY$4), 1, 0, 2, if(ISBLANK('2025'!$P376), 0, 1), 3, if(ISBLANK('2025'!$Q376), 0, 1), 4, if(ISBLANK('2025'!$R376), 0, 1), 5, if(ISBLANK('2025'!$S376), 0, 1), 6, if(ISBLANK('2025'!$T376), 0, 1), 7, 0))), 1, "")</f>
        <v/>
      </c>
      <c r="AZ412" s="1" t="str">
        <f>IF(AND(AND(AND(AZ$4&gt;='2025'!$L376,AZ$4&lt;='2025'!$M376), AZ$4&lt;&gt;DATE(2025,7,4)), (SWITCH(weekday(AZ$4), 1, 0, 2, if(ISBLANK('2025'!$P376), 0, 1), 3, if(ISBLANK('2025'!$Q376), 0, 1), 4, if(ISBLANK('2025'!$R376), 0, 1), 5, if(ISBLANK('2025'!$S376), 0, 1), 6, if(ISBLANK('2025'!$T376), 0, 1), 7, 0))), 1, "")</f>
        <v/>
      </c>
      <c r="BA412" s="1" t="str">
        <f>IF(AND(AND(AND(BA$4&gt;='2025'!$L376,BA$4&lt;='2025'!$M376), BA$4&lt;&gt;DATE(2025,7,4)), (SWITCH(weekday(BA$4), 1, 0, 2, if(ISBLANK('2025'!$P376), 0, 1), 3, if(ISBLANK('2025'!$Q376), 0, 1), 4, if(ISBLANK('2025'!$R376), 0, 1), 5, if(ISBLANK('2025'!$S376), 0, 1), 6, if(ISBLANK('2025'!$T376), 0, 1), 7, 0))), 1, "")</f>
        <v/>
      </c>
      <c r="BB412" s="1" t="str">
        <f>IF(AND(AND(AND(BB$4&gt;='2025'!$L376,BB$4&lt;='2025'!$M376), BB$4&lt;&gt;DATE(2025,7,4)), (SWITCH(weekday(BB$4), 1, 0, 2, if(ISBLANK('2025'!$P376), 0, 1), 3, if(ISBLANK('2025'!$Q376), 0, 1), 4, if(ISBLANK('2025'!$R376), 0, 1), 5, if(ISBLANK('2025'!$S376), 0, 1), 6, if(ISBLANK('2025'!$T376), 0, 1), 7, 0))), 1, "")</f>
        <v/>
      </c>
      <c r="BC412" s="1" t="str">
        <f>IF(AND(AND(AND(BC$4&gt;='2025'!$L376,BC$4&lt;='2025'!$M376), BC$4&lt;&gt;DATE(2025,7,4)), (SWITCH(weekday(BC$4), 1, 0, 2, if(ISBLANK('2025'!$P376), 0, 1), 3, if(ISBLANK('2025'!$Q376), 0, 1), 4, if(ISBLANK('2025'!$R376), 0, 1), 5, if(ISBLANK('2025'!$S376), 0, 1), 6, if(ISBLANK('2025'!$T376), 0, 1), 7, 0))), 1, "")</f>
        <v/>
      </c>
      <c r="BD412" s="1" t="str">
        <f>IF(AND(AND(AND(BD$4&gt;='2025'!$L376,BD$4&lt;='2025'!$M376), BD$4&lt;&gt;DATE(2025,7,4)), (SWITCH(weekday(BD$4), 1, 0, 2, if(ISBLANK('2025'!$P376), 0, 1), 3, if(ISBLANK('2025'!$Q376), 0, 1), 4, if(ISBLANK('2025'!$R376), 0, 1), 5, if(ISBLANK('2025'!$S376), 0, 1), 6, if(ISBLANK('2025'!$T376), 0, 1), 7, 0))), 1, "")</f>
        <v/>
      </c>
      <c r="BE412" s="1" t="str">
        <f>IF(AND(AND(AND(BE$4&gt;='2025'!$L376,BE$4&lt;='2025'!$M376), BE$4&lt;&gt;DATE(2025,7,4)), (SWITCH(weekday(BE$4), 1, 0, 2, if(ISBLANK('2025'!$P376), 0, 1), 3, if(ISBLANK('2025'!$Q376), 0, 1), 4, if(ISBLANK('2025'!$R376), 0, 1), 5, if(ISBLANK('2025'!$S376), 0, 1), 6, if(ISBLANK('2025'!$T376), 0, 1), 7, 0))), 1, "")</f>
        <v/>
      </c>
    </row>
    <row r="413">
      <c r="A413" s="1">
        <f t="shared" si="3"/>
        <v>413</v>
      </c>
      <c r="B413" s="1" t="str">
        <f>'2025'!D377</f>
        <v/>
      </c>
      <c r="C413" s="1" t="str">
        <f>'2025'!H377</f>
        <v/>
      </c>
      <c r="D413" s="1" t="str">
        <f>IF(AND(AND(AND(D$4&gt;='2025'!$L377,D$4&lt;='2025'!$M377), D$4&lt;&gt;DATE(2025,7,4)), (SWITCH(weekday(D$4), 1, 0, 2, if(ISBLANK('2025'!$P377), 0, 1), 3, if(ISBLANK('2025'!$Q377), 0, 1), 4, if(ISBLANK('2025'!$R377), 0, 1), 5, if(ISBLANK('2025'!$S377), 0, 1), 6, if(ISBLANK('2025'!$T377), 0, 1), 7, 0))), 1, "")</f>
        <v/>
      </c>
      <c r="E413" s="1" t="str">
        <f>IF(AND(AND(AND(E$4&gt;='2025'!$L377,E$4&lt;='2025'!$M377), E$4&lt;&gt;DATE(2025,7,4)), (SWITCH(weekday(E$4), 1, 0, 2, if(ISBLANK('2025'!$P377), 0, 1), 3, if(ISBLANK('2025'!$Q377), 0, 1), 4, if(ISBLANK('2025'!$R377), 0, 1), 5, if(ISBLANK('2025'!$S377), 0, 1), 6, if(ISBLANK('2025'!$T377), 0, 1), 7, 0))), 1, "")</f>
        <v/>
      </c>
      <c r="F413" s="1" t="str">
        <f>IF(AND(AND(AND(F$4&gt;='2025'!$L377,F$4&lt;='2025'!$M377), F$4&lt;&gt;DATE(2025,7,4)), (SWITCH(weekday(F$4), 1, 0, 2, if(ISBLANK('2025'!$P377), 0, 1), 3, if(ISBLANK('2025'!$Q377), 0, 1), 4, if(ISBLANK('2025'!$R377), 0, 1), 5, if(ISBLANK('2025'!$S377), 0, 1), 6, if(ISBLANK('2025'!$T377), 0, 1), 7, 0))), 1, "")</f>
        <v/>
      </c>
      <c r="G413" s="1" t="str">
        <f>IF(AND(AND(AND(G$4&gt;='2025'!$L377,G$4&lt;='2025'!$M377), G$4&lt;&gt;DATE(2025,7,4)), (SWITCH(weekday(G$4), 1, 0, 2, if(ISBLANK('2025'!$P377), 0, 1), 3, if(ISBLANK('2025'!$Q377), 0, 1), 4, if(ISBLANK('2025'!$R377), 0, 1), 5, if(ISBLANK('2025'!$S377), 0, 1), 6, if(ISBLANK('2025'!$T377), 0, 1), 7, 0))), 1, "")</f>
        <v/>
      </c>
      <c r="H413" s="1" t="str">
        <f>IF(AND(AND(AND(H$4&gt;='2025'!$L377,H$4&lt;='2025'!$M377), H$4&lt;&gt;DATE(2025,7,4)), (SWITCH(weekday(H$4), 1, 0, 2, if(ISBLANK('2025'!$P377), 0, 1), 3, if(ISBLANK('2025'!$Q377), 0, 1), 4, if(ISBLANK('2025'!$R377), 0, 1), 5, if(ISBLANK('2025'!$S377), 0, 1), 6, if(ISBLANK('2025'!$T377), 0, 1), 7, 0))), 1, "")</f>
        <v/>
      </c>
      <c r="I413" s="1" t="str">
        <f>IF(AND(AND(AND(I$4&gt;='2025'!$L377,I$4&lt;='2025'!$M377), I$4&lt;&gt;DATE(2025,7,4)), (SWITCH(weekday(I$4), 1, 0, 2, if(ISBLANK('2025'!$P377), 0, 1), 3, if(ISBLANK('2025'!$Q377), 0, 1), 4, if(ISBLANK('2025'!$R377), 0, 1), 5, if(ISBLANK('2025'!$S377), 0, 1), 6, if(ISBLANK('2025'!$T377), 0, 1), 7, 0))), 1, "")</f>
        <v/>
      </c>
      <c r="J413" s="1" t="str">
        <f>IF(AND(AND(AND(J$4&gt;='2025'!$L377,J$4&lt;='2025'!$M377), J$4&lt;&gt;DATE(2025,7,4)), (SWITCH(weekday(J$4), 1, 0, 2, if(ISBLANK('2025'!$P377), 0, 1), 3, if(ISBLANK('2025'!$Q377), 0, 1), 4, if(ISBLANK('2025'!$R377), 0, 1), 5, if(ISBLANK('2025'!$S377), 0, 1), 6, if(ISBLANK('2025'!$T377), 0, 1), 7, 0))), 1, "")</f>
        <v/>
      </c>
      <c r="K413" s="1" t="str">
        <f>IF(AND(AND(AND(K$4&gt;='2025'!$L377,K$4&lt;='2025'!$M377), K$4&lt;&gt;DATE(2025,7,4)), (SWITCH(weekday(K$4), 1, 0, 2, if(ISBLANK('2025'!$P377), 0, 1), 3, if(ISBLANK('2025'!$Q377), 0, 1), 4, if(ISBLANK('2025'!$R377), 0, 1), 5, if(ISBLANK('2025'!$S377), 0, 1), 6, if(ISBLANK('2025'!$T377), 0, 1), 7, 0))), 1, "")</f>
        <v/>
      </c>
      <c r="L413" s="1" t="str">
        <f>IF(AND(AND(AND(L$4&gt;='2025'!$L377,L$4&lt;='2025'!$M377), L$4&lt;&gt;DATE(2025,7,4)), (SWITCH(weekday(L$4), 1, 0, 2, if(ISBLANK('2025'!$P377), 0, 1), 3, if(ISBLANK('2025'!$Q377), 0, 1), 4, if(ISBLANK('2025'!$R377), 0, 1), 5, if(ISBLANK('2025'!$S377), 0, 1), 6, if(ISBLANK('2025'!$T377), 0, 1), 7, 0))), 1, "")</f>
        <v/>
      </c>
      <c r="M413" s="1" t="str">
        <f>IF(AND(AND(AND(M$4&gt;='2025'!$L377,M$4&lt;='2025'!$M377), M$4&lt;&gt;DATE(2025,7,4)), (SWITCH(weekday(M$4), 1, 0, 2, if(ISBLANK('2025'!$P377), 0, 1), 3, if(ISBLANK('2025'!$Q377), 0, 1), 4, if(ISBLANK('2025'!$R377), 0, 1), 5, if(ISBLANK('2025'!$S377), 0, 1), 6, if(ISBLANK('2025'!$T377), 0, 1), 7, 0))), 1, "")</f>
        <v/>
      </c>
      <c r="N413" s="1" t="str">
        <f>IF(AND(AND(AND(N$4&gt;='2025'!$L377,N$4&lt;='2025'!$M377), N$4&lt;&gt;DATE(2025,7,4)), (SWITCH(weekday(N$4), 1, 0, 2, if(ISBLANK('2025'!$P377), 0, 1), 3, if(ISBLANK('2025'!$Q377), 0, 1), 4, if(ISBLANK('2025'!$R377), 0, 1), 5, if(ISBLANK('2025'!$S377), 0, 1), 6, if(ISBLANK('2025'!$T377), 0, 1), 7, 0))), 1, "")</f>
        <v/>
      </c>
      <c r="O413" s="1" t="str">
        <f>IF(AND(AND(AND(O$4&gt;='2025'!$L377,O$4&lt;='2025'!$M377), O$4&lt;&gt;DATE(2025,7,4)), (SWITCH(weekday(O$4), 1, 0, 2, if(ISBLANK('2025'!$P377), 0, 1), 3, if(ISBLANK('2025'!$Q377), 0, 1), 4, if(ISBLANK('2025'!$R377), 0, 1), 5, if(ISBLANK('2025'!$S377), 0, 1), 6, if(ISBLANK('2025'!$T377), 0, 1), 7, 0))), 1, "")</f>
        <v/>
      </c>
      <c r="P413" s="1" t="str">
        <f>IF(AND(AND(AND(P$4&gt;='2025'!$L377,P$4&lt;='2025'!$M377), P$4&lt;&gt;DATE(2025,7,4)), (SWITCH(weekday(P$4), 1, 0, 2, if(ISBLANK('2025'!$P377), 0, 1), 3, if(ISBLANK('2025'!$Q377), 0, 1), 4, if(ISBLANK('2025'!$R377), 0, 1), 5, if(ISBLANK('2025'!$S377), 0, 1), 6, if(ISBLANK('2025'!$T377), 0, 1), 7, 0))), 1, "")</f>
        <v/>
      </c>
      <c r="Q413" s="1" t="str">
        <f>IF(AND(AND(AND(Q$4&gt;='2025'!$L377,Q$4&lt;='2025'!$M377), Q$4&lt;&gt;DATE(2025,7,4)), (SWITCH(weekday(Q$4), 1, 0, 2, if(ISBLANK('2025'!$P377), 0, 1), 3, if(ISBLANK('2025'!$Q377), 0, 1), 4, if(ISBLANK('2025'!$R377), 0, 1), 5, if(ISBLANK('2025'!$S377), 0, 1), 6, if(ISBLANK('2025'!$T377), 0, 1), 7, 0))), 1, "")</f>
        <v/>
      </c>
      <c r="R413" s="1" t="str">
        <f>IF(AND(AND(AND(R$4&gt;='2025'!$L377,R$4&lt;='2025'!$M377), R$4&lt;&gt;DATE(2025,7,4)), (SWITCH(weekday(R$4), 1, 0, 2, if(ISBLANK('2025'!$P377), 0, 1), 3, if(ISBLANK('2025'!$Q377), 0, 1), 4, if(ISBLANK('2025'!$R377), 0, 1), 5, if(ISBLANK('2025'!$S377), 0, 1), 6, if(ISBLANK('2025'!$T377), 0, 1), 7, 0))), 1, "")</f>
        <v/>
      </c>
      <c r="S413" s="1" t="str">
        <f>IF(AND(AND(AND(S$4&gt;='2025'!$L377,S$4&lt;='2025'!$M377), S$4&lt;&gt;DATE(2025,7,4)), (SWITCH(weekday(S$4), 1, 0, 2, if(ISBLANK('2025'!$P377), 0, 1), 3, if(ISBLANK('2025'!$Q377), 0, 1), 4, if(ISBLANK('2025'!$R377), 0, 1), 5, if(ISBLANK('2025'!$S377), 0, 1), 6, if(ISBLANK('2025'!$T377), 0, 1), 7, 0))), 1, "")</f>
        <v/>
      </c>
      <c r="T413" s="1" t="str">
        <f>IF(AND(AND(AND(T$4&gt;='2025'!$L377,T$4&lt;='2025'!$M377), T$4&lt;&gt;DATE(2025,7,4)), (SWITCH(weekday(T$4), 1, 0, 2, if(ISBLANK('2025'!$P377), 0, 1), 3, if(ISBLANK('2025'!$Q377), 0, 1), 4, if(ISBLANK('2025'!$R377), 0, 1), 5, if(ISBLANK('2025'!$S377), 0, 1), 6, if(ISBLANK('2025'!$T377), 0, 1), 7, 0))), 1, "")</f>
        <v/>
      </c>
      <c r="U413" s="1" t="str">
        <f>IF(AND(AND(AND(U$4&gt;='2025'!$L377,U$4&lt;='2025'!$M377), U$4&lt;&gt;DATE(2025,7,4)), (SWITCH(weekday(U$4), 1, 0, 2, if(ISBLANK('2025'!$P377), 0, 1), 3, if(ISBLANK('2025'!$Q377), 0, 1), 4, if(ISBLANK('2025'!$R377), 0, 1), 5, if(ISBLANK('2025'!$S377), 0, 1), 6, if(ISBLANK('2025'!$T377), 0, 1), 7, 0))), 1, "")</f>
        <v/>
      </c>
      <c r="V413" s="1" t="str">
        <f>IF(AND(AND(AND(V$4&gt;='2025'!$L377,V$4&lt;='2025'!$M377), V$4&lt;&gt;DATE(2025,7,4)), (SWITCH(weekday(V$4), 1, 0, 2, if(ISBLANK('2025'!$P377), 0, 1), 3, if(ISBLANK('2025'!$Q377), 0, 1), 4, if(ISBLANK('2025'!$R377), 0, 1), 5, if(ISBLANK('2025'!$S377), 0, 1), 6, if(ISBLANK('2025'!$T377), 0, 1), 7, 0))), 1, "")</f>
        <v/>
      </c>
      <c r="W413" s="1" t="str">
        <f>IF(AND(AND(AND(W$4&gt;='2025'!$L377,W$4&lt;='2025'!$M377), W$4&lt;&gt;DATE(2025,7,4)), (SWITCH(weekday(W$4), 1, 0, 2, if(ISBLANK('2025'!$P377), 0, 1), 3, if(ISBLANK('2025'!$Q377), 0, 1), 4, if(ISBLANK('2025'!$R377), 0, 1), 5, if(ISBLANK('2025'!$S377), 0, 1), 6, if(ISBLANK('2025'!$T377), 0, 1), 7, 0))), 1, "")</f>
        <v/>
      </c>
      <c r="X413" s="1" t="str">
        <f>IF(AND(AND(AND(X$4&gt;='2025'!$L377,X$4&lt;='2025'!$M377), X$4&lt;&gt;DATE(2025,7,4)), (SWITCH(weekday(X$4), 1, 0, 2, if(ISBLANK('2025'!$P377), 0, 1), 3, if(ISBLANK('2025'!$Q377), 0, 1), 4, if(ISBLANK('2025'!$R377), 0, 1), 5, if(ISBLANK('2025'!$S377), 0, 1), 6, if(ISBLANK('2025'!$T377), 0, 1), 7, 0))), 1, "")</f>
        <v/>
      </c>
      <c r="Y413" s="1" t="str">
        <f>IF(AND(AND(AND(Y$4&gt;='2025'!$L377,Y$4&lt;='2025'!$M377), Y$4&lt;&gt;DATE(2025,7,4)), (SWITCH(weekday(Y$4), 1, 0, 2, if(ISBLANK('2025'!$P377), 0, 1), 3, if(ISBLANK('2025'!$Q377), 0, 1), 4, if(ISBLANK('2025'!$R377), 0, 1), 5, if(ISBLANK('2025'!$S377), 0, 1), 6, if(ISBLANK('2025'!$T377), 0, 1), 7, 0))), 1, "")</f>
        <v/>
      </c>
      <c r="Z413" s="1" t="str">
        <f>IF(AND(AND(AND(Z$4&gt;='2025'!$L377,Z$4&lt;='2025'!$M377), Z$4&lt;&gt;DATE(2025,7,4)), (SWITCH(weekday(Z$4), 1, 0, 2, if(ISBLANK('2025'!$P377), 0, 1), 3, if(ISBLANK('2025'!$Q377), 0, 1), 4, if(ISBLANK('2025'!$R377), 0, 1), 5, if(ISBLANK('2025'!$S377), 0, 1), 6, if(ISBLANK('2025'!$T377), 0, 1), 7, 0))), 1, "")</f>
        <v/>
      </c>
      <c r="AA413" s="1" t="str">
        <f>IF(AND(AND(AND(AA$4&gt;='2025'!$L377,AA$4&lt;='2025'!$M377), AA$4&lt;&gt;DATE(2025,7,4)), (SWITCH(weekday(AA$4), 1, 0, 2, if(ISBLANK('2025'!$P377), 0, 1), 3, if(ISBLANK('2025'!$Q377), 0, 1), 4, if(ISBLANK('2025'!$R377), 0, 1), 5, if(ISBLANK('2025'!$S377), 0, 1), 6, if(ISBLANK('2025'!$T377), 0, 1), 7, 0))), 1, "")</f>
        <v/>
      </c>
      <c r="AB413" s="1" t="str">
        <f>IF(AND(AND(AND(AB$4&gt;='2025'!$L377,AB$4&lt;='2025'!$M377), AB$4&lt;&gt;DATE(2025,7,4)), (SWITCH(weekday(AB$4), 1, 0, 2, if(ISBLANK('2025'!$P377), 0, 1), 3, if(ISBLANK('2025'!$Q377), 0, 1), 4, if(ISBLANK('2025'!$R377), 0, 1), 5, if(ISBLANK('2025'!$S377), 0, 1), 6, if(ISBLANK('2025'!$T377), 0, 1), 7, 0))), 1, "")</f>
        <v/>
      </c>
      <c r="AC413" s="1" t="str">
        <f>IF(AND(AND(AND(AC$4&gt;='2025'!$L377,AC$4&lt;='2025'!$M377), AC$4&lt;&gt;DATE(2025,7,4)), (SWITCH(weekday(AC$4), 1, 0, 2, if(ISBLANK('2025'!$P377), 0, 1), 3, if(ISBLANK('2025'!$Q377), 0, 1), 4, if(ISBLANK('2025'!$R377), 0, 1), 5, if(ISBLANK('2025'!$S377), 0, 1), 6, if(ISBLANK('2025'!$T377), 0, 1), 7, 0))), 1, "")</f>
        <v/>
      </c>
      <c r="AD413" s="1" t="str">
        <f>IF(AND(AND(AND(AD$4&gt;='2025'!$L377,AD$4&lt;='2025'!$M377), AD$4&lt;&gt;DATE(2025,7,4)), (SWITCH(weekday(AD$4), 1, 0, 2, if(ISBLANK('2025'!$P377), 0, 1), 3, if(ISBLANK('2025'!$Q377), 0, 1), 4, if(ISBLANK('2025'!$R377), 0, 1), 5, if(ISBLANK('2025'!$S377), 0, 1), 6, if(ISBLANK('2025'!$T377), 0, 1), 7, 0))), 1, "")</f>
        <v/>
      </c>
      <c r="AE413" s="1" t="str">
        <f>IF(AND(AND(AND(AE$4&gt;='2025'!$L377,AE$4&lt;='2025'!$M377), AE$4&lt;&gt;DATE(2025,7,4)), (SWITCH(weekday(AE$4), 1, 0, 2, if(ISBLANK('2025'!$P377), 0, 1), 3, if(ISBLANK('2025'!$Q377), 0, 1), 4, if(ISBLANK('2025'!$R377), 0, 1), 5, if(ISBLANK('2025'!$S377), 0, 1), 6, if(ISBLANK('2025'!$T377), 0, 1), 7, 0))), 1, "")</f>
        <v/>
      </c>
      <c r="AF413" s="1" t="str">
        <f>IF(AND(AND(AND(AF$4&gt;='2025'!$L377,AF$4&lt;='2025'!$M377), AF$4&lt;&gt;DATE(2025,7,4)), (SWITCH(weekday(AF$4), 1, 0, 2, if(ISBLANK('2025'!$P377), 0, 1), 3, if(ISBLANK('2025'!$Q377), 0, 1), 4, if(ISBLANK('2025'!$R377), 0, 1), 5, if(ISBLANK('2025'!$S377), 0, 1), 6, if(ISBLANK('2025'!$T377), 0, 1), 7, 0))), 1, "")</f>
        <v/>
      </c>
      <c r="AG413" s="1" t="str">
        <f>IF(AND(AND(AND(AG$4&gt;='2025'!$L377,AG$4&lt;='2025'!$M377), AG$4&lt;&gt;DATE(2025,7,4)), (SWITCH(weekday(AG$4), 1, 0, 2, if(ISBLANK('2025'!$P377), 0, 1), 3, if(ISBLANK('2025'!$Q377), 0, 1), 4, if(ISBLANK('2025'!$R377), 0, 1), 5, if(ISBLANK('2025'!$S377), 0, 1), 6, if(ISBLANK('2025'!$T377), 0, 1), 7, 0))), 1, "")</f>
        <v/>
      </c>
      <c r="AH413" s="1" t="str">
        <f>IF(AND(AND(AND(AH$4&gt;='2025'!$L377,AH$4&lt;='2025'!$M377), AH$4&lt;&gt;DATE(2025,7,4)), (SWITCH(weekday(AH$4), 1, 0, 2, if(ISBLANK('2025'!$P377), 0, 1), 3, if(ISBLANK('2025'!$Q377), 0, 1), 4, if(ISBLANK('2025'!$R377), 0, 1), 5, if(ISBLANK('2025'!$S377), 0, 1), 6, if(ISBLANK('2025'!$T377), 0, 1), 7, 0))), 1, "")</f>
        <v/>
      </c>
      <c r="AI413" s="1" t="str">
        <f>IF(AND(AND(AND(AI$4&gt;='2025'!$L377,AI$4&lt;='2025'!$M377), AI$4&lt;&gt;DATE(2025,7,4)), (SWITCH(weekday(AI$4), 1, 0, 2, if(ISBLANK('2025'!$P377), 0, 1), 3, if(ISBLANK('2025'!$Q377), 0, 1), 4, if(ISBLANK('2025'!$R377), 0, 1), 5, if(ISBLANK('2025'!$S377), 0, 1), 6, if(ISBLANK('2025'!$T377), 0, 1), 7, 0))), 1, "")</f>
        <v/>
      </c>
      <c r="AJ413" s="1" t="str">
        <f>IF(AND(AND(AND(AJ$4&gt;='2025'!$L377,AJ$4&lt;='2025'!$M377), AJ$4&lt;&gt;DATE(2025,7,4)), (SWITCH(weekday(AJ$4), 1, 0, 2, if(ISBLANK('2025'!$P377), 0, 1), 3, if(ISBLANK('2025'!$Q377), 0, 1), 4, if(ISBLANK('2025'!$R377), 0, 1), 5, if(ISBLANK('2025'!$S377), 0, 1), 6, if(ISBLANK('2025'!$T377), 0, 1), 7, 0))), 1, "")</f>
        <v/>
      </c>
      <c r="AK413" s="1" t="str">
        <f>IF(AND(AND(AND(AK$4&gt;='2025'!$L377,AK$4&lt;='2025'!$M377), AK$4&lt;&gt;DATE(2025,7,4)), (SWITCH(weekday(AK$4), 1, 0, 2, if(ISBLANK('2025'!$P377), 0, 1), 3, if(ISBLANK('2025'!$Q377), 0, 1), 4, if(ISBLANK('2025'!$R377), 0, 1), 5, if(ISBLANK('2025'!$S377), 0, 1), 6, if(ISBLANK('2025'!$T377), 0, 1), 7, 0))), 1, "")</f>
        <v/>
      </c>
      <c r="AL413" s="1" t="str">
        <f>IF(AND(AND(AND(AL$4&gt;='2025'!$L377,AL$4&lt;='2025'!$M377), AL$4&lt;&gt;DATE(2025,7,4)), (SWITCH(weekday(AL$4), 1, 0, 2, if(ISBLANK('2025'!$P377), 0, 1), 3, if(ISBLANK('2025'!$Q377), 0, 1), 4, if(ISBLANK('2025'!$R377), 0, 1), 5, if(ISBLANK('2025'!$S377), 0, 1), 6, if(ISBLANK('2025'!$T377), 0, 1), 7, 0))), 1, "")</f>
        <v/>
      </c>
      <c r="AM413" s="1" t="str">
        <f>IF(AND(AND(AND(AM$4&gt;='2025'!$L377,AM$4&lt;='2025'!$M377), AM$4&lt;&gt;DATE(2025,7,4)), (SWITCH(weekday(AM$4), 1, 0, 2, if(ISBLANK('2025'!$P377), 0, 1), 3, if(ISBLANK('2025'!$Q377), 0, 1), 4, if(ISBLANK('2025'!$R377), 0, 1), 5, if(ISBLANK('2025'!$S377), 0, 1), 6, if(ISBLANK('2025'!$T377), 0, 1), 7, 0))), 1, "")</f>
        <v/>
      </c>
      <c r="AN413" s="1" t="str">
        <f>IF(AND(AND(AND(AN$4&gt;='2025'!$L377,AN$4&lt;='2025'!$M377), AN$4&lt;&gt;DATE(2025,7,4)), (SWITCH(weekday(AN$4), 1, 0, 2, if(ISBLANK('2025'!$P377), 0, 1), 3, if(ISBLANK('2025'!$Q377), 0, 1), 4, if(ISBLANK('2025'!$R377), 0, 1), 5, if(ISBLANK('2025'!$S377), 0, 1), 6, if(ISBLANK('2025'!$T377), 0, 1), 7, 0))), 1, "")</f>
        <v/>
      </c>
      <c r="AO413" s="1" t="str">
        <f>IF(AND(AND(AND(AO$4&gt;='2025'!$L377,AO$4&lt;='2025'!$M377), AO$4&lt;&gt;DATE(2025,7,4)), (SWITCH(weekday(AO$4), 1, 0, 2, if(ISBLANK('2025'!$P377), 0, 1), 3, if(ISBLANK('2025'!$Q377), 0, 1), 4, if(ISBLANK('2025'!$R377), 0, 1), 5, if(ISBLANK('2025'!$S377), 0, 1), 6, if(ISBLANK('2025'!$T377), 0, 1), 7, 0))), 1, "")</f>
        <v/>
      </c>
      <c r="AP413" s="1" t="str">
        <f>IF(AND(AND(AND(AP$4&gt;='2025'!$L377,AP$4&lt;='2025'!$M377), AP$4&lt;&gt;DATE(2025,7,4)), (SWITCH(weekday(AP$4), 1, 0, 2, if(ISBLANK('2025'!$P377), 0, 1), 3, if(ISBLANK('2025'!$Q377), 0, 1), 4, if(ISBLANK('2025'!$R377), 0, 1), 5, if(ISBLANK('2025'!$S377), 0, 1), 6, if(ISBLANK('2025'!$T377), 0, 1), 7, 0))), 1, "")</f>
        <v/>
      </c>
      <c r="AQ413" s="1" t="str">
        <f>IF(AND(AND(AND(AQ$4&gt;='2025'!$L377,AQ$4&lt;='2025'!$M377), AQ$4&lt;&gt;DATE(2025,7,4)), (SWITCH(weekday(AQ$4), 1, 0, 2, if(ISBLANK('2025'!$P377), 0, 1), 3, if(ISBLANK('2025'!$Q377), 0, 1), 4, if(ISBLANK('2025'!$R377), 0, 1), 5, if(ISBLANK('2025'!$S377), 0, 1), 6, if(ISBLANK('2025'!$T377), 0, 1), 7, 0))), 1, "")</f>
        <v/>
      </c>
      <c r="AR413" s="1" t="str">
        <f>IF(AND(AND(AND(AR$4&gt;='2025'!$L377,AR$4&lt;='2025'!$M377), AR$4&lt;&gt;DATE(2025,7,4)), (SWITCH(weekday(AR$4), 1, 0, 2, if(ISBLANK('2025'!$P377), 0, 1), 3, if(ISBLANK('2025'!$Q377), 0, 1), 4, if(ISBLANK('2025'!$R377), 0, 1), 5, if(ISBLANK('2025'!$S377), 0, 1), 6, if(ISBLANK('2025'!$T377), 0, 1), 7, 0))), 1, "")</f>
        <v/>
      </c>
      <c r="AS413" s="1" t="str">
        <f>IF(AND(AND(AND(AS$4&gt;='2025'!$L377,AS$4&lt;='2025'!$M377), AS$4&lt;&gt;DATE(2025,7,4)), (SWITCH(weekday(AS$4), 1, 0, 2, if(ISBLANK('2025'!$P377), 0, 1), 3, if(ISBLANK('2025'!$Q377), 0, 1), 4, if(ISBLANK('2025'!$R377), 0, 1), 5, if(ISBLANK('2025'!$S377), 0, 1), 6, if(ISBLANK('2025'!$T377), 0, 1), 7, 0))), 1, "")</f>
        <v/>
      </c>
      <c r="AT413" s="1" t="str">
        <f>IF(AND(AND(AND(AT$4&gt;='2025'!$L377,AT$4&lt;='2025'!$M377), AT$4&lt;&gt;DATE(2025,7,4)), (SWITCH(weekday(AT$4), 1, 0, 2, if(ISBLANK('2025'!$P377), 0, 1), 3, if(ISBLANK('2025'!$Q377), 0, 1), 4, if(ISBLANK('2025'!$R377), 0, 1), 5, if(ISBLANK('2025'!$S377), 0, 1), 6, if(ISBLANK('2025'!$T377), 0, 1), 7, 0))), 1, "")</f>
        <v/>
      </c>
      <c r="AU413" s="1" t="str">
        <f>IF(AND(AND(AND(AU$4&gt;='2025'!$L377,AU$4&lt;='2025'!$M377), AU$4&lt;&gt;DATE(2025,7,4)), (SWITCH(weekday(AU$4), 1, 0, 2, if(ISBLANK('2025'!$P377), 0, 1), 3, if(ISBLANK('2025'!$Q377), 0, 1), 4, if(ISBLANK('2025'!$R377), 0, 1), 5, if(ISBLANK('2025'!$S377), 0, 1), 6, if(ISBLANK('2025'!$T377), 0, 1), 7, 0))), 1, "")</f>
        <v/>
      </c>
      <c r="AV413" s="1" t="str">
        <f>IF(AND(AND(AND(AV$4&gt;='2025'!$L377,AV$4&lt;='2025'!$M377), AV$4&lt;&gt;DATE(2025,7,4)), (SWITCH(weekday(AV$4), 1, 0, 2, if(ISBLANK('2025'!$P377), 0, 1), 3, if(ISBLANK('2025'!$Q377), 0, 1), 4, if(ISBLANK('2025'!$R377), 0, 1), 5, if(ISBLANK('2025'!$S377), 0, 1), 6, if(ISBLANK('2025'!$T377), 0, 1), 7, 0))), 1, "")</f>
        <v/>
      </c>
      <c r="AW413" s="1" t="str">
        <f>IF(AND(AND(AND(AW$4&gt;='2025'!$L377,AW$4&lt;='2025'!$M377), AW$4&lt;&gt;DATE(2025,7,4)), (SWITCH(weekday(AW$4), 1, 0, 2, if(ISBLANK('2025'!$P377), 0, 1), 3, if(ISBLANK('2025'!$Q377), 0, 1), 4, if(ISBLANK('2025'!$R377), 0, 1), 5, if(ISBLANK('2025'!$S377), 0, 1), 6, if(ISBLANK('2025'!$T377), 0, 1), 7, 0))), 1, "")</f>
        <v/>
      </c>
      <c r="AX413" s="1" t="str">
        <f>IF(AND(AND(AND(AX$4&gt;='2025'!$L377,AX$4&lt;='2025'!$M377), AX$4&lt;&gt;DATE(2025,7,4)), (SWITCH(weekday(AX$4), 1, 0, 2, if(ISBLANK('2025'!$P377), 0, 1), 3, if(ISBLANK('2025'!$Q377), 0, 1), 4, if(ISBLANK('2025'!$R377), 0, 1), 5, if(ISBLANK('2025'!$S377), 0, 1), 6, if(ISBLANK('2025'!$T377), 0, 1), 7, 0))), 1, "")</f>
        <v/>
      </c>
      <c r="AY413" s="1" t="str">
        <f>IF(AND(AND(AND(AY$4&gt;='2025'!$L377,AY$4&lt;='2025'!$M377), AY$4&lt;&gt;DATE(2025,7,4)), (SWITCH(weekday(AY$4), 1, 0, 2, if(ISBLANK('2025'!$P377), 0, 1), 3, if(ISBLANK('2025'!$Q377), 0, 1), 4, if(ISBLANK('2025'!$R377), 0, 1), 5, if(ISBLANK('2025'!$S377), 0, 1), 6, if(ISBLANK('2025'!$T377), 0, 1), 7, 0))), 1, "")</f>
        <v/>
      </c>
      <c r="AZ413" s="1" t="str">
        <f>IF(AND(AND(AND(AZ$4&gt;='2025'!$L377,AZ$4&lt;='2025'!$M377), AZ$4&lt;&gt;DATE(2025,7,4)), (SWITCH(weekday(AZ$4), 1, 0, 2, if(ISBLANK('2025'!$P377), 0, 1), 3, if(ISBLANK('2025'!$Q377), 0, 1), 4, if(ISBLANK('2025'!$R377), 0, 1), 5, if(ISBLANK('2025'!$S377), 0, 1), 6, if(ISBLANK('2025'!$T377), 0, 1), 7, 0))), 1, "")</f>
        <v/>
      </c>
      <c r="BA413" s="1" t="str">
        <f>IF(AND(AND(AND(BA$4&gt;='2025'!$L377,BA$4&lt;='2025'!$M377), BA$4&lt;&gt;DATE(2025,7,4)), (SWITCH(weekday(BA$4), 1, 0, 2, if(ISBLANK('2025'!$P377), 0, 1), 3, if(ISBLANK('2025'!$Q377), 0, 1), 4, if(ISBLANK('2025'!$R377), 0, 1), 5, if(ISBLANK('2025'!$S377), 0, 1), 6, if(ISBLANK('2025'!$T377), 0, 1), 7, 0))), 1, "")</f>
        <v/>
      </c>
      <c r="BB413" s="1" t="str">
        <f>IF(AND(AND(AND(BB$4&gt;='2025'!$L377,BB$4&lt;='2025'!$M377), BB$4&lt;&gt;DATE(2025,7,4)), (SWITCH(weekday(BB$4), 1, 0, 2, if(ISBLANK('2025'!$P377), 0, 1), 3, if(ISBLANK('2025'!$Q377), 0, 1), 4, if(ISBLANK('2025'!$R377), 0, 1), 5, if(ISBLANK('2025'!$S377), 0, 1), 6, if(ISBLANK('2025'!$T377), 0, 1), 7, 0))), 1, "")</f>
        <v/>
      </c>
      <c r="BC413" s="1" t="str">
        <f>IF(AND(AND(AND(BC$4&gt;='2025'!$L377,BC$4&lt;='2025'!$M377), BC$4&lt;&gt;DATE(2025,7,4)), (SWITCH(weekday(BC$4), 1, 0, 2, if(ISBLANK('2025'!$P377), 0, 1), 3, if(ISBLANK('2025'!$Q377), 0, 1), 4, if(ISBLANK('2025'!$R377), 0, 1), 5, if(ISBLANK('2025'!$S377), 0, 1), 6, if(ISBLANK('2025'!$T377), 0, 1), 7, 0))), 1, "")</f>
        <v/>
      </c>
      <c r="BD413" s="1" t="str">
        <f>IF(AND(AND(AND(BD$4&gt;='2025'!$L377,BD$4&lt;='2025'!$M377), BD$4&lt;&gt;DATE(2025,7,4)), (SWITCH(weekday(BD$4), 1, 0, 2, if(ISBLANK('2025'!$P377), 0, 1), 3, if(ISBLANK('2025'!$Q377), 0, 1), 4, if(ISBLANK('2025'!$R377), 0, 1), 5, if(ISBLANK('2025'!$S377), 0, 1), 6, if(ISBLANK('2025'!$T377), 0, 1), 7, 0))), 1, "")</f>
        <v/>
      </c>
      <c r="BE413" s="1" t="str">
        <f>IF(AND(AND(AND(BE$4&gt;='2025'!$L377,BE$4&lt;='2025'!$M377), BE$4&lt;&gt;DATE(2025,7,4)), (SWITCH(weekday(BE$4), 1, 0, 2, if(ISBLANK('2025'!$P377), 0, 1), 3, if(ISBLANK('2025'!$Q377), 0, 1), 4, if(ISBLANK('2025'!$R377), 0, 1), 5, if(ISBLANK('2025'!$S377), 0, 1), 6, if(ISBLANK('2025'!$T377), 0, 1), 7, 0))), 1, "")</f>
        <v/>
      </c>
    </row>
    <row r="414">
      <c r="A414" s="1">
        <f t="shared" si="3"/>
        <v>414</v>
      </c>
      <c r="B414" s="1" t="str">
        <f>'2025'!D378</f>
        <v/>
      </c>
      <c r="C414" s="1" t="str">
        <f>'2025'!H378</f>
        <v/>
      </c>
      <c r="D414" s="1" t="str">
        <f>IF(AND(AND(AND(D$4&gt;='2025'!$L378,D$4&lt;='2025'!$M378), D$4&lt;&gt;DATE(2025,7,4)), (SWITCH(weekday(D$4), 1, 0, 2, if(ISBLANK('2025'!$P378), 0, 1), 3, if(ISBLANK('2025'!$Q378), 0, 1), 4, if(ISBLANK('2025'!$R378), 0, 1), 5, if(ISBLANK('2025'!$S378), 0, 1), 6, if(ISBLANK('2025'!$T378), 0, 1), 7, 0))), 1, "")</f>
        <v/>
      </c>
      <c r="E414" s="1" t="str">
        <f>IF(AND(AND(AND(E$4&gt;='2025'!$L378,E$4&lt;='2025'!$M378), E$4&lt;&gt;DATE(2025,7,4)), (SWITCH(weekday(E$4), 1, 0, 2, if(ISBLANK('2025'!$P378), 0, 1), 3, if(ISBLANK('2025'!$Q378), 0, 1), 4, if(ISBLANK('2025'!$R378), 0, 1), 5, if(ISBLANK('2025'!$S378), 0, 1), 6, if(ISBLANK('2025'!$T378), 0, 1), 7, 0))), 1, "")</f>
        <v/>
      </c>
      <c r="F414" s="1" t="str">
        <f>IF(AND(AND(AND(F$4&gt;='2025'!$L378,F$4&lt;='2025'!$M378), F$4&lt;&gt;DATE(2025,7,4)), (SWITCH(weekday(F$4), 1, 0, 2, if(ISBLANK('2025'!$P378), 0, 1), 3, if(ISBLANK('2025'!$Q378), 0, 1), 4, if(ISBLANK('2025'!$R378), 0, 1), 5, if(ISBLANK('2025'!$S378), 0, 1), 6, if(ISBLANK('2025'!$T378), 0, 1), 7, 0))), 1, "")</f>
        <v/>
      </c>
      <c r="G414" s="1" t="str">
        <f>IF(AND(AND(AND(G$4&gt;='2025'!$L378,G$4&lt;='2025'!$M378), G$4&lt;&gt;DATE(2025,7,4)), (SWITCH(weekday(G$4), 1, 0, 2, if(ISBLANK('2025'!$P378), 0, 1), 3, if(ISBLANK('2025'!$Q378), 0, 1), 4, if(ISBLANK('2025'!$R378), 0, 1), 5, if(ISBLANK('2025'!$S378), 0, 1), 6, if(ISBLANK('2025'!$T378), 0, 1), 7, 0))), 1, "")</f>
        <v/>
      </c>
      <c r="H414" s="1" t="str">
        <f>IF(AND(AND(AND(H$4&gt;='2025'!$L378,H$4&lt;='2025'!$M378), H$4&lt;&gt;DATE(2025,7,4)), (SWITCH(weekday(H$4), 1, 0, 2, if(ISBLANK('2025'!$P378), 0, 1), 3, if(ISBLANK('2025'!$Q378), 0, 1), 4, if(ISBLANK('2025'!$R378), 0, 1), 5, if(ISBLANK('2025'!$S378), 0, 1), 6, if(ISBLANK('2025'!$T378), 0, 1), 7, 0))), 1, "")</f>
        <v/>
      </c>
      <c r="I414" s="1" t="str">
        <f>IF(AND(AND(AND(I$4&gt;='2025'!$L378,I$4&lt;='2025'!$M378), I$4&lt;&gt;DATE(2025,7,4)), (SWITCH(weekday(I$4), 1, 0, 2, if(ISBLANK('2025'!$P378), 0, 1), 3, if(ISBLANK('2025'!$Q378), 0, 1), 4, if(ISBLANK('2025'!$R378), 0, 1), 5, if(ISBLANK('2025'!$S378), 0, 1), 6, if(ISBLANK('2025'!$T378), 0, 1), 7, 0))), 1, "")</f>
        <v/>
      </c>
      <c r="J414" s="1" t="str">
        <f>IF(AND(AND(AND(J$4&gt;='2025'!$L378,J$4&lt;='2025'!$M378), J$4&lt;&gt;DATE(2025,7,4)), (SWITCH(weekday(J$4), 1, 0, 2, if(ISBLANK('2025'!$P378), 0, 1), 3, if(ISBLANK('2025'!$Q378), 0, 1), 4, if(ISBLANK('2025'!$R378), 0, 1), 5, if(ISBLANK('2025'!$S378), 0, 1), 6, if(ISBLANK('2025'!$T378), 0, 1), 7, 0))), 1, "")</f>
        <v/>
      </c>
      <c r="K414" s="1" t="str">
        <f>IF(AND(AND(AND(K$4&gt;='2025'!$L378,K$4&lt;='2025'!$M378), K$4&lt;&gt;DATE(2025,7,4)), (SWITCH(weekday(K$4), 1, 0, 2, if(ISBLANK('2025'!$P378), 0, 1), 3, if(ISBLANK('2025'!$Q378), 0, 1), 4, if(ISBLANK('2025'!$R378), 0, 1), 5, if(ISBLANK('2025'!$S378), 0, 1), 6, if(ISBLANK('2025'!$T378), 0, 1), 7, 0))), 1, "")</f>
        <v/>
      </c>
      <c r="L414" s="1" t="str">
        <f>IF(AND(AND(AND(L$4&gt;='2025'!$L378,L$4&lt;='2025'!$M378), L$4&lt;&gt;DATE(2025,7,4)), (SWITCH(weekday(L$4), 1, 0, 2, if(ISBLANK('2025'!$P378), 0, 1), 3, if(ISBLANK('2025'!$Q378), 0, 1), 4, if(ISBLANK('2025'!$R378), 0, 1), 5, if(ISBLANK('2025'!$S378), 0, 1), 6, if(ISBLANK('2025'!$T378), 0, 1), 7, 0))), 1, "")</f>
        <v/>
      </c>
      <c r="M414" s="1" t="str">
        <f>IF(AND(AND(AND(M$4&gt;='2025'!$L378,M$4&lt;='2025'!$M378), M$4&lt;&gt;DATE(2025,7,4)), (SWITCH(weekday(M$4), 1, 0, 2, if(ISBLANK('2025'!$P378), 0, 1), 3, if(ISBLANK('2025'!$Q378), 0, 1), 4, if(ISBLANK('2025'!$R378), 0, 1), 5, if(ISBLANK('2025'!$S378), 0, 1), 6, if(ISBLANK('2025'!$T378), 0, 1), 7, 0))), 1, "")</f>
        <v/>
      </c>
      <c r="N414" s="1" t="str">
        <f>IF(AND(AND(AND(N$4&gt;='2025'!$L378,N$4&lt;='2025'!$M378), N$4&lt;&gt;DATE(2025,7,4)), (SWITCH(weekday(N$4), 1, 0, 2, if(ISBLANK('2025'!$P378), 0, 1), 3, if(ISBLANK('2025'!$Q378), 0, 1), 4, if(ISBLANK('2025'!$R378), 0, 1), 5, if(ISBLANK('2025'!$S378), 0, 1), 6, if(ISBLANK('2025'!$T378), 0, 1), 7, 0))), 1, "")</f>
        <v/>
      </c>
      <c r="O414" s="1" t="str">
        <f>IF(AND(AND(AND(O$4&gt;='2025'!$L378,O$4&lt;='2025'!$M378), O$4&lt;&gt;DATE(2025,7,4)), (SWITCH(weekday(O$4), 1, 0, 2, if(ISBLANK('2025'!$P378), 0, 1), 3, if(ISBLANK('2025'!$Q378), 0, 1), 4, if(ISBLANK('2025'!$R378), 0, 1), 5, if(ISBLANK('2025'!$S378), 0, 1), 6, if(ISBLANK('2025'!$T378), 0, 1), 7, 0))), 1, "")</f>
        <v/>
      </c>
      <c r="P414" s="1" t="str">
        <f>IF(AND(AND(AND(P$4&gt;='2025'!$L378,P$4&lt;='2025'!$M378), P$4&lt;&gt;DATE(2025,7,4)), (SWITCH(weekday(P$4), 1, 0, 2, if(ISBLANK('2025'!$P378), 0, 1), 3, if(ISBLANK('2025'!$Q378), 0, 1), 4, if(ISBLANK('2025'!$R378), 0, 1), 5, if(ISBLANK('2025'!$S378), 0, 1), 6, if(ISBLANK('2025'!$T378), 0, 1), 7, 0))), 1, "")</f>
        <v/>
      </c>
      <c r="Q414" s="1" t="str">
        <f>IF(AND(AND(AND(Q$4&gt;='2025'!$L378,Q$4&lt;='2025'!$M378), Q$4&lt;&gt;DATE(2025,7,4)), (SWITCH(weekday(Q$4), 1, 0, 2, if(ISBLANK('2025'!$P378), 0, 1), 3, if(ISBLANK('2025'!$Q378), 0, 1), 4, if(ISBLANK('2025'!$R378), 0, 1), 5, if(ISBLANK('2025'!$S378), 0, 1), 6, if(ISBLANK('2025'!$T378), 0, 1), 7, 0))), 1, "")</f>
        <v/>
      </c>
      <c r="R414" s="1" t="str">
        <f>IF(AND(AND(AND(R$4&gt;='2025'!$L378,R$4&lt;='2025'!$M378), R$4&lt;&gt;DATE(2025,7,4)), (SWITCH(weekday(R$4), 1, 0, 2, if(ISBLANK('2025'!$P378), 0, 1), 3, if(ISBLANK('2025'!$Q378), 0, 1), 4, if(ISBLANK('2025'!$R378), 0, 1), 5, if(ISBLANK('2025'!$S378), 0, 1), 6, if(ISBLANK('2025'!$T378), 0, 1), 7, 0))), 1, "")</f>
        <v/>
      </c>
      <c r="S414" s="1" t="str">
        <f>IF(AND(AND(AND(S$4&gt;='2025'!$L378,S$4&lt;='2025'!$M378), S$4&lt;&gt;DATE(2025,7,4)), (SWITCH(weekday(S$4), 1, 0, 2, if(ISBLANK('2025'!$P378), 0, 1), 3, if(ISBLANK('2025'!$Q378), 0, 1), 4, if(ISBLANK('2025'!$R378), 0, 1), 5, if(ISBLANK('2025'!$S378), 0, 1), 6, if(ISBLANK('2025'!$T378), 0, 1), 7, 0))), 1, "")</f>
        <v/>
      </c>
      <c r="T414" s="1" t="str">
        <f>IF(AND(AND(AND(T$4&gt;='2025'!$L378,T$4&lt;='2025'!$M378), T$4&lt;&gt;DATE(2025,7,4)), (SWITCH(weekday(T$4), 1, 0, 2, if(ISBLANK('2025'!$P378), 0, 1), 3, if(ISBLANK('2025'!$Q378), 0, 1), 4, if(ISBLANK('2025'!$R378), 0, 1), 5, if(ISBLANK('2025'!$S378), 0, 1), 6, if(ISBLANK('2025'!$T378), 0, 1), 7, 0))), 1, "")</f>
        <v/>
      </c>
      <c r="U414" s="1" t="str">
        <f>IF(AND(AND(AND(U$4&gt;='2025'!$L378,U$4&lt;='2025'!$M378), U$4&lt;&gt;DATE(2025,7,4)), (SWITCH(weekday(U$4), 1, 0, 2, if(ISBLANK('2025'!$P378), 0, 1), 3, if(ISBLANK('2025'!$Q378), 0, 1), 4, if(ISBLANK('2025'!$R378), 0, 1), 5, if(ISBLANK('2025'!$S378), 0, 1), 6, if(ISBLANK('2025'!$T378), 0, 1), 7, 0))), 1, "")</f>
        <v/>
      </c>
      <c r="V414" s="1" t="str">
        <f>IF(AND(AND(AND(V$4&gt;='2025'!$L378,V$4&lt;='2025'!$M378), V$4&lt;&gt;DATE(2025,7,4)), (SWITCH(weekday(V$4), 1, 0, 2, if(ISBLANK('2025'!$P378), 0, 1), 3, if(ISBLANK('2025'!$Q378), 0, 1), 4, if(ISBLANK('2025'!$R378), 0, 1), 5, if(ISBLANK('2025'!$S378), 0, 1), 6, if(ISBLANK('2025'!$T378), 0, 1), 7, 0))), 1, "")</f>
        <v/>
      </c>
      <c r="W414" s="1" t="str">
        <f>IF(AND(AND(AND(W$4&gt;='2025'!$L378,W$4&lt;='2025'!$M378), W$4&lt;&gt;DATE(2025,7,4)), (SWITCH(weekday(W$4), 1, 0, 2, if(ISBLANK('2025'!$P378), 0, 1), 3, if(ISBLANK('2025'!$Q378), 0, 1), 4, if(ISBLANK('2025'!$R378), 0, 1), 5, if(ISBLANK('2025'!$S378), 0, 1), 6, if(ISBLANK('2025'!$T378), 0, 1), 7, 0))), 1, "")</f>
        <v/>
      </c>
      <c r="X414" s="1" t="str">
        <f>IF(AND(AND(AND(X$4&gt;='2025'!$L378,X$4&lt;='2025'!$M378), X$4&lt;&gt;DATE(2025,7,4)), (SWITCH(weekday(X$4), 1, 0, 2, if(ISBLANK('2025'!$P378), 0, 1), 3, if(ISBLANK('2025'!$Q378), 0, 1), 4, if(ISBLANK('2025'!$R378), 0, 1), 5, if(ISBLANK('2025'!$S378), 0, 1), 6, if(ISBLANK('2025'!$T378), 0, 1), 7, 0))), 1, "")</f>
        <v/>
      </c>
      <c r="Y414" s="1" t="str">
        <f>IF(AND(AND(AND(Y$4&gt;='2025'!$L378,Y$4&lt;='2025'!$M378), Y$4&lt;&gt;DATE(2025,7,4)), (SWITCH(weekday(Y$4), 1, 0, 2, if(ISBLANK('2025'!$P378), 0, 1), 3, if(ISBLANK('2025'!$Q378), 0, 1), 4, if(ISBLANK('2025'!$R378), 0, 1), 5, if(ISBLANK('2025'!$S378), 0, 1), 6, if(ISBLANK('2025'!$T378), 0, 1), 7, 0))), 1, "")</f>
        <v/>
      </c>
      <c r="Z414" s="1" t="str">
        <f>IF(AND(AND(AND(Z$4&gt;='2025'!$L378,Z$4&lt;='2025'!$M378), Z$4&lt;&gt;DATE(2025,7,4)), (SWITCH(weekday(Z$4), 1, 0, 2, if(ISBLANK('2025'!$P378), 0, 1), 3, if(ISBLANK('2025'!$Q378), 0, 1), 4, if(ISBLANK('2025'!$R378), 0, 1), 5, if(ISBLANK('2025'!$S378), 0, 1), 6, if(ISBLANK('2025'!$T378), 0, 1), 7, 0))), 1, "")</f>
        <v/>
      </c>
      <c r="AA414" s="1" t="str">
        <f>IF(AND(AND(AND(AA$4&gt;='2025'!$L378,AA$4&lt;='2025'!$M378), AA$4&lt;&gt;DATE(2025,7,4)), (SWITCH(weekday(AA$4), 1, 0, 2, if(ISBLANK('2025'!$P378), 0, 1), 3, if(ISBLANK('2025'!$Q378), 0, 1), 4, if(ISBLANK('2025'!$R378), 0, 1), 5, if(ISBLANK('2025'!$S378), 0, 1), 6, if(ISBLANK('2025'!$T378), 0, 1), 7, 0))), 1, "")</f>
        <v/>
      </c>
      <c r="AB414" s="1" t="str">
        <f>IF(AND(AND(AND(AB$4&gt;='2025'!$L378,AB$4&lt;='2025'!$M378), AB$4&lt;&gt;DATE(2025,7,4)), (SWITCH(weekday(AB$4), 1, 0, 2, if(ISBLANK('2025'!$P378), 0, 1), 3, if(ISBLANK('2025'!$Q378), 0, 1), 4, if(ISBLANK('2025'!$R378), 0, 1), 5, if(ISBLANK('2025'!$S378), 0, 1), 6, if(ISBLANK('2025'!$T378), 0, 1), 7, 0))), 1, "")</f>
        <v/>
      </c>
      <c r="AC414" s="1" t="str">
        <f>IF(AND(AND(AND(AC$4&gt;='2025'!$L378,AC$4&lt;='2025'!$M378), AC$4&lt;&gt;DATE(2025,7,4)), (SWITCH(weekday(AC$4), 1, 0, 2, if(ISBLANK('2025'!$P378), 0, 1), 3, if(ISBLANK('2025'!$Q378), 0, 1), 4, if(ISBLANK('2025'!$R378), 0, 1), 5, if(ISBLANK('2025'!$S378), 0, 1), 6, if(ISBLANK('2025'!$T378), 0, 1), 7, 0))), 1, "")</f>
        <v/>
      </c>
      <c r="AD414" s="1" t="str">
        <f>IF(AND(AND(AND(AD$4&gt;='2025'!$L378,AD$4&lt;='2025'!$M378), AD$4&lt;&gt;DATE(2025,7,4)), (SWITCH(weekday(AD$4), 1, 0, 2, if(ISBLANK('2025'!$P378), 0, 1), 3, if(ISBLANK('2025'!$Q378), 0, 1), 4, if(ISBLANK('2025'!$R378), 0, 1), 5, if(ISBLANK('2025'!$S378), 0, 1), 6, if(ISBLANK('2025'!$T378), 0, 1), 7, 0))), 1, "")</f>
        <v/>
      </c>
      <c r="AE414" s="1" t="str">
        <f>IF(AND(AND(AND(AE$4&gt;='2025'!$L378,AE$4&lt;='2025'!$M378), AE$4&lt;&gt;DATE(2025,7,4)), (SWITCH(weekday(AE$4), 1, 0, 2, if(ISBLANK('2025'!$P378), 0, 1), 3, if(ISBLANK('2025'!$Q378), 0, 1), 4, if(ISBLANK('2025'!$R378), 0, 1), 5, if(ISBLANK('2025'!$S378), 0, 1), 6, if(ISBLANK('2025'!$T378), 0, 1), 7, 0))), 1, "")</f>
        <v/>
      </c>
      <c r="AF414" s="1" t="str">
        <f>IF(AND(AND(AND(AF$4&gt;='2025'!$L378,AF$4&lt;='2025'!$M378), AF$4&lt;&gt;DATE(2025,7,4)), (SWITCH(weekday(AF$4), 1, 0, 2, if(ISBLANK('2025'!$P378), 0, 1), 3, if(ISBLANK('2025'!$Q378), 0, 1), 4, if(ISBLANK('2025'!$R378), 0, 1), 5, if(ISBLANK('2025'!$S378), 0, 1), 6, if(ISBLANK('2025'!$T378), 0, 1), 7, 0))), 1, "")</f>
        <v/>
      </c>
      <c r="AG414" s="1" t="str">
        <f>IF(AND(AND(AND(AG$4&gt;='2025'!$L378,AG$4&lt;='2025'!$M378), AG$4&lt;&gt;DATE(2025,7,4)), (SWITCH(weekday(AG$4), 1, 0, 2, if(ISBLANK('2025'!$P378), 0, 1), 3, if(ISBLANK('2025'!$Q378), 0, 1), 4, if(ISBLANK('2025'!$R378), 0, 1), 5, if(ISBLANK('2025'!$S378), 0, 1), 6, if(ISBLANK('2025'!$T378), 0, 1), 7, 0))), 1, "")</f>
        <v/>
      </c>
      <c r="AH414" s="1" t="str">
        <f>IF(AND(AND(AND(AH$4&gt;='2025'!$L378,AH$4&lt;='2025'!$M378), AH$4&lt;&gt;DATE(2025,7,4)), (SWITCH(weekday(AH$4), 1, 0, 2, if(ISBLANK('2025'!$P378), 0, 1), 3, if(ISBLANK('2025'!$Q378), 0, 1), 4, if(ISBLANK('2025'!$R378), 0, 1), 5, if(ISBLANK('2025'!$S378), 0, 1), 6, if(ISBLANK('2025'!$T378), 0, 1), 7, 0))), 1, "")</f>
        <v/>
      </c>
      <c r="AI414" s="1" t="str">
        <f>IF(AND(AND(AND(AI$4&gt;='2025'!$L378,AI$4&lt;='2025'!$M378), AI$4&lt;&gt;DATE(2025,7,4)), (SWITCH(weekday(AI$4), 1, 0, 2, if(ISBLANK('2025'!$P378), 0, 1), 3, if(ISBLANK('2025'!$Q378), 0, 1), 4, if(ISBLANK('2025'!$R378), 0, 1), 5, if(ISBLANK('2025'!$S378), 0, 1), 6, if(ISBLANK('2025'!$T378), 0, 1), 7, 0))), 1, "")</f>
        <v/>
      </c>
      <c r="AJ414" s="1" t="str">
        <f>IF(AND(AND(AND(AJ$4&gt;='2025'!$L378,AJ$4&lt;='2025'!$M378), AJ$4&lt;&gt;DATE(2025,7,4)), (SWITCH(weekday(AJ$4), 1, 0, 2, if(ISBLANK('2025'!$P378), 0, 1), 3, if(ISBLANK('2025'!$Q378), 0, 1), 4, if(ISBLANK('2025'!$R378), 0, 1), 5, if(ISBLANK('2025'!$S378), 0, 1), 6, if(ISBLANK('2025'!$T378), 0, 1), 7, 0))), 1, "")</f>
        <v/>
      </c>
      <c r="AK414" s="1" t="str">
        <f>IF(AND(AND(AND(AK$4&gt;='2025'!$L378,AK$4&lt;='2025'!$M378), AK$4&lt;&gt;DATE(2025,7,4)), (SWITCH(weekday(AK$4), 1, 0, 2, if(ISBLANK('2025'!$P378), 0, 1), 3, if(ISBLANK('2025'!$Q378), 0, 1), 4, if(ISBLANK('2025'!$R378), 0, 1), 5, if(ISBLANK('2025'!$S378), 0, 1), 6, if(ISBLANK('2025'!$T378), 0, 1), 7, 0))), 1, "")</f>
        <v/>
      </c>
      <c r="AL414" s="1" t="str">
        <f>IF(AND(AND(AND(AL$4&gt;='2025'!$L378,AL$4&lt;='2025'!$M378), AL$4&lt;&gt;DATE(2025,7,4)), (SWITCH(weekday(AL$4), 1, 0, 2, if(ISBLANK('2025'!$P378), 0, 1), 3, if(ISBLANK('2025'!$Q378), 0, 1), 4, if(ISBLANK('2025'!$R378), 0, 1), 5, if(ISBLANK('2025'!$S378), 0, 1), 6, if(ISBLANK('2025'!$T378), 0, 1), 7, 0))), 1, "")</f>
        <v/>
      </c>
      <c r="AM414" s="1" t="str">
        <f>IF(AND(AND(AND(AM$4&gt;='2025'!$L378,AM$4&lt;='2025'!$M378), AM$4&lt;&gt;DATE(2025,7,4)), (SWITCH(weekday(AM$4), 1, 0, 2, if(ISBLANK('2025'!$P378), 0, 1), 3, if(ISBLANK('2025'!$Q378), 0, 1), 4, if(ISBLANK('2025'!$R378), 0, 1), 5, if(ISBLANK('2025'!$S378), 0, 1), 6, if(ISBLANK('2025'!$T378), 0, 1), 7, 0))), 1, "")</f>
        <v/>
      </c>
      <c r="AN414" s="1" t="str">
        <f>IF(AND(AND(AND(AN$4&gt;='2025'!$L378,AN$4&lt;='2025'!$M378), AN$4&lt;&gt;DATE(2025,7,4)), (SWITCH(weekday(AN$4), 1, 0, 2, if(ISBLANK('2025'!$P378), 0, 1), 3, if(ISBLANK('2025'!$Q378), 0, 1), 4, if(ISBLANK('2025'!$R378), 0, 1), 5, if(ISBLANK('2025'!$S378), 0, 1), 6, if(ISBLANK('2025'!$T378), 0, 1), 7, 0))), 1, "")</f>
        <v/>
      </c>
      <c r="AO414" s="1" t="str">
        <f>IF(AND(AND(AND(AO$4&gt;='2025'!$L378,AO$4&lt;='2025'!$M378), AO$4&lt;&gt;DATE(2025,7,4)), (SWITCH(weekday(AO$4), 1, 0, 2, if(ISBLANK('2025'!$P378), 0, 1), 3, if(ISBLANK('2025'!$Q378), 0, 1), 4, if(ISBLANK('2025'!$R378), 0, 1), 5, if(ISBLANK('2025'!$S378), 0, 1), 6, if(ISBLANK('2025'!$T378), 0, 1), 7, 0))), 1, "")</f>
        <v/>
      </c>
      <c r="AP414" s="1" t="str">
        <f>IF(AND(AND(AND(AP$4&gt;='2025'!$L378,AP$4&lt;='2025'!$M378), AP$4&lt;&gt;DATE(2025,7,4)), (SWITCH(weekday(AP$4), 1, 0, 2, if(ISBLANK('2025'!$P378), 0, 1), 3, if(ISBLANK('2025'!$Q378), 0, 1), 4, if(ISBLANK('2025'!$R378), 0, 1), 5, if(ISBLANK('2025'!$S378), 0, 1), 6, if(ISBLANK('2025'!$T378), 0, 1), 7, 0))), 1, "")</f>
        <v/>
      </c>
      <c r="AQ414" s="1" t="str">
        <f>IF(AND(AND(AND(AQ$4&gt;='2025'!$L378,AQ$4&lt;='2025'!$M378), AQ$4&lt;&gt;DATE(2025,7,4)), (SWITCH(weekday(AQ$4), 1, 0, 2, if(ISBLANK('2025'!$P378), 0, 1), 3, if(ISBLANK('2025'!$Q378), 0, 1), 4, if(ISBLANK('2025'!$R378), 0, 1), 5, if(ISBLANK('2025'!$S378), 0, 1), 6, if(ISBLANK('2025'!$T378), 0, 1), 7, 0))), 1, "")</f>
        <v/>
      </c>
      <c r="AR414" s="1" t="str">
        <f>IF(AND(AND(AND(AR$4&gt;='2025'!$L378,AR$4&lt;='2025'!$M378), AR$4&lt;&gt;DATE(2025,7,4)), (SWITCH(weekday(AR$4), 1, 0, 2, if(ISBLANK('2025'!$P378), 0, 1), 3, if(ISBLANK('2025'!$Q378), 0, 1), 4, if(ISBLANK('2025'!$R378), 0, 1), 5, if(ISBLANK('2025'!$S378), 0, 1), 6, if(ISBLANK('2025'!$T378), 0, 1), 7, 0))), 1, "")</f>
        <v/>
      </c>
      <c r="AS414" s="1" t="str">
        <f>IF(AND(AND(AND(AS$4&gt;='2025'!$L378,AS$4&lt;='2025'!$M378), AS$4&lt;&gt;DATE(2025,7,4)), (SWITCH(weekday(AS$4), 1, 0, 2, if(ISBLANK('2025'!$P378), 0, 1), 3, if(ISBLANK('2025'!$Q378), 0, 1), 4, if(ISBLANK('2025'!$R378), 0, 1), 5, if(ISBLANK('2025'!$S378), 0, 1), 6, if(ISBLANK('2025'!$T378), 0, 1), 7, 0))), 1, "")</f>
        <v/>
      </c>
      <c r="AT414" s="1" t="str">
        <f>IF(AND(AND(AND(AT$4&gt;='2025'!$L378,AT$4&lt;='2025'!$M378), AT$4&lt;&gt;DATE(2025,7,4)), (SWITCH(weekday(AT$4), 1, 0, 2, if(ISBLANK('2025'!$P378), 0, 1), 3, if(ISBLANK('2025'!$Q378), 0, 1), 4, if(ISBLANK('2025'!$R378), 0, 1), 5, if(ISBLANK('2025'!$S378), 0, 1), 6, if(ISBLANK('2025'!$T378), 0, 1), 7, 0))), 1, "")</f>
        <v/>
      </c>
      <c r="AU414" s="1" t="str">
        <f>IF(AND(AND(AND(AU$4&gt;='2025'!$L378,AU$4&lt;='2025'!$M378), AU$4&lt;&gt;DATE(2025,7,4)), (SWITCH(weekday(AU$4), 1, 0, 2, if(ISBLANK('2025'!$P378), 0, 1), 3, if(ISBLANK('2025'!$Q378), 0, 1), 4, if(ISBLANK('2025'!$R378), 0, 1), 5, if(ISBLANK('2025'!$S378), 0, 1), 6, if(ISBLANK('2025'!$T378), 0, 1), 7, 0))), 1, "")</f>
        <v/>
      </c>
      <c r="AV414" s="1" t="str">
        <f>IF(AND(AND(AND(AV$4&gt;='2025'!$L378,AV$4&lt;='2025'!$M378), AV$4&lt;&gt;DATE(2025,7,4)), (SWITCH(weekday(AV$4), 1, 0, 2, if(ISBLANK('2025'!$P378), 0, 1), 3, if(ISBLANK('2025'!$Q378), 0, 1), 4, if(ISBLANK('2025'!$R378), 0, 1), 5, if(ISBLANK('2025'!$S378), 0, 1), 6, if(ISBLANK('2025'!$T378), 0, 1), 7, 0))), 1, "")</f>
        <v/>
      </c>
      <c r="AW414" s="1" t="str">
        <f>IF(AND(AND(AND(AW$4&gt;='2025'!$L378,AW$4&lt;='2025'!$M378), AW$4&lt;&gt;DATE(2025,7,4)), (SWITCH(weekday(AW$4), 1, 0, 2, if(ISBLANK('2025'!$P378), 0, 1), 3, if(ISBLANK('2025'!$Q378), 0, 1), 4, if(ISBLANK('2025'!$R378), 0, 1), 5, if(ISBLANK('2025'!$S378), 0, 1), 6, if(ISBLANK('2025'!$T378), 0, 1), 7, 0))), 1, "")</f>
        <v/>
      </c>
      <c r="AX414" s="1" t="str">
        <f>IF(AND(AND(AND(AX$4&gt;='2025'!$L378,AX$4&lt;='2025'!$M378), AX$4&lt;&gt;DATE(2025,7,4)), (SWITCH(weekday(AX$4), 1, 0, 2, if(ISBLANK('2025'!$P378), 0, 1), 3, if(ISBLANK('2025'!$Q378), 0, 1), 4, if(ISBLANK('2025'!$R378), 0, 1), 5, if(ISBLANK('2025'!$S378), 0, 1), 6, if(ISBLANK('2025'!$T378), 0, 1), 7, 0))), 1, "")</f>
        <v/>
      </c>
      <c r="AY414" s="1" t="str">
        <f>IF(AND(AND(AND(AY$4&gt;='2025'!$L378,AY$4&lt;='2025'!$M378), AY$4&lt;&gt;DATE(2025,7,4)), (SWITCH(weekday(AY$4), 1, 0, 2, if(ISBLANK('2025'!$P378), 0, 1), 3, if(ISBLANK('2025'!$Q378), 0, 1), 4, if(ISBLANK('2025'!$R378), 0, 1), 5, if(ISBLANK('2025'!$S378), 0, 1), 6, if(ISBLANK('2025'!$T378), 0, 1), 7, 0))), 1, "")</f>
        <v/>
      </c>
      <c r="AZ414" s="1" t="str">
        <f>IF(AND(AND(AND(AZ$4&gt;='2025'!$L378,AZ$4&lt;='2025'!$M378), AZ$4&lt;&gt;DATE(2025,7,4)), (SWITCH(weekday(AZ$4), 1, 0, 2, if(ISBLANK('2025'!$P378), 0, 1), 3, if(ISBLANK('2025'!$Q378), 0, 1), 4, if(ISBLANK('2025'!$R378), 0, 1), 5, if(ISBLANK('2025'!$S378), 0, 1), 6, if(ISBLANK('2025'!$T378), 0, 1), 7, 0))), 1, "")</f>
        <v/>
      </c>
      <c r="BA414" s="1" t="str">
        <f>IF(AND(AND(AND(BA$4&gt;='2025'!$L378,BA$4&lt;='2025'!$M378), BA$4&lt;&gt;DATE(2025,7,4)), (SWITCH(weekday(BA$4), 1, 0, 2, if(ISBLANK('2025'!$P378), 0, 1), 3, if(ISBLANK('2025'!$Q378), 0, 1), 4, if(ISBLANK('2025'!$R378), 0, 1), 5, if(ISBLANK('2025'!$S378), 0, 1), 6, if(ISBLANK('2025'!$T378), 0, 1), 7, 0))), 1, "")</f>
        <v/>
      </c>
      <c r="BB414" s="1" t="str">
        <f>IF(AND(AND(AND(BB$4&gt;='2025'!$L378,BB$4&lt;='2025'!$M378), BB$4&lt;&gt;DATE(2025,7,4)), (SWITCH(weekday(BB$4), 1, 0, 2, if(ISBLANK('2025'!$P378), 0, 1), 3, if(ISBLANK('2025'!$Q378), 0, 1), 4, if(ISBLANK('2025'!$R378), 0, 1), 5, if(ISBLANK('2025'!$S378), 0, 1), 6, if(ISBLANK('2025'!$T378), 0, 1), 7, 0))), 1, "")</f>
        <v/>
      </c>
      <c r="BC414" s="1" t="str">
        <f>IF(AND(AND(AND(BC$4&gt;='2025'!$L378,BC$4&lt;='2025'!$M378), BC$4&lt;&gt;DATE(2025,7,4)), (SWITCH(weekday(BC$4), 1, 0, 2, if(ISBLANK('2025'!$P378), 0, 1), 3, if(ISBLANK('2025'!$Q378), 0, 1), 4, if(ISBLANK('2025'!$R378), 0, 1), 5, if(ISBLANK('2025'!$S378), 0, 1), 6, if(ISBLANK('2025'!$T378), 0, 1), 7, 0))), 1, "")</f>
        <v/>
      </c>
      <c r="BD414" s="1" t="str">
        <f>IF(AND(AND(AND(BD$4&gt;='2025'!$L378,BD$4&lt;='2025'!$M378), BD$4&lt;&gt;DATE(2025,7,4)), (SWITCH(weekday(BD$4), 1, 0, 2, if(ISBLANK('2025'!$P378), 0, 1), 3, if(ISBLANK('2025'!$Q378), 0, 1), 4, if(ISBLANK('2025'!$R378), 0, 1), 5, if(ISBLANK('2025'!$S378), 0, 1), 6, if(ISBLANK('2025'!$T378), 0, 1), 7, 0))), 1, "")</f>
        <v/>
      </c>
      <c r="BE414" s="1" t="str">
        <f>IF(AND(AND(AND(BE$4&gt;='2025'!$L378,BE$4&lt;='2025'!$M378), BE$4&lt;&gt;DATE(2025,7,4)), (SWITCH(weekday(BE$4), 1, 0, 2, if(ISBLANK('2025'!$P378), 0, 1), 3, if(ISBLANK('2025'!$Q378), 0, 1), 4, if(ISBLANK('2025'!$R378), 0, 1), 5, if(ISBLANK('2025'!$S378), 0, 1), 6, if(ISBLANK('2025'!$T378), 0, 1), 7, 0))), 1, "")</f>
        <v/>
      </c>
    </row>
    <row r="415">
      <c r="A415" s="1">
        <f t="shared" si="3"/>
        <v>415</v>
      </c>
      <c r="B415" s="1" t="str">
        <f>'2025'!D379</f>
        <v/>
      </c>
      <c r="C415" s="1" t="str">
        <f>'2025'!H379</f>
        <v/>
      </c>
      <c r="D415" s="1" t="str">
        <f>IF(AND(AND(AND(D$4&gt;='2025'!$L379,D$4&lt;='2025'!$M379), D$4&lt;&gt;DATE(2025,7,4)), (SWITCH(weekday(D$4), 1, 0, 2, if(ISBLANK('2025'!$P379), 0, 1), 3, if(ISBLANK('2025'!$Q379), 0, 1), 4, if(ISBLANK('2025'!$R379), 0, 1), 5, if(ISBLANK('2025'!$S379), 0, 1), 6, if(ISBLANK('2025'!$T379), 0, 1), 7, 0))), 1, "")</f>
        <v/>
      </c>
      <c r="E415" s="1" t="str">
        <f>IF(AND(AND(AND(E$4&gt;='2025'!$L379,E$4&lt;='2025'!$M379), E$4&lt;&gt;DATE(2025,7,4)), (SWITCH(weekday(E$4), 1, 0, 2, if(ISBLANK('2025'!$P379), 0, 1), 3, if(ISBLANK('2025'!$Q379), 0, 1), 4, if(ISBLANK('2025'!$R379), 0, 1), 5, if(ISBLANK('2025'!$S379), 0, 1), 6, if(ISBLANK('2025'!$T379), 0, 1), 7, 0))), 1, "")</f>
        <v/>
      </c>
      <c r="F415" s="1" t="str">
        <f>IF(AND(AND(AND(F$4&gt;='2025'!$L379,F$4&lt;='2025'!$M379), F$4&lt;&gt;DATE(2025,7,4)), (SWITCH(weekday(F$4), 1, 0, 2, if(ISBLANK('2025'!$P379), 0, 1), 3, if(ISBLANK('2025'!$Q379), 0, 1), 4, if(ISBLANK('2025'!$R379), 0, 1), 5, if(ISBLANK('2025'!$S379), 0, 1), 6, if(ISBLANK('2025'!$T379), 0, 1), 7, 0))), 1, "")</f>
        <v/>
      </c>
      <c r="G415" s="1" t="str">
        <f>IF(AND(AND(AND(G$4&gt;='2025'!$L379,G$4&lt;='2025'!$M379), G$4&lt;&gt;DATE(2025,7,4)), (SWITCH(weekday(G$4), 1, 0, 2, if(ISBLANK('2025'!$P379), 0, 1), 3, if(ISBLANK('2025'!$Q379), 0, 1), 4, if(ISBLANK('2025'!$R379), 0, 1), 5, if(ISBLANK('2025'!$S379), 0, 1), 6, if(ISBLANK('2025'!$T379), 0, 1), 7, 0))), 1, "")</f>
        <v/>
      </c>
      <c r="H415" s="1" t="str">
        <f>IF(AND(AND(AND(H$4&gt;='2025'!$L379,H$4&lt;='2025'!$M379), H$4&lt;&gt;DATE(2025,7,4)), (SWITCH(weekday(H$4), 1, 0, 2, if(ISBLANK('2025'!$P379), 0, 1), 3, if(ISBLANK('2025'!$Q379), 0, 1), 4, if(ISBLANK('2025'!$R379), 0, 1), 5, if(ISBLANK('2025'!$S379), 0, 1), 6, if(ISBLANK('2025'!$T379), 0, 1), 7, 0))), 1, "")</f>
        <v/>
      </c>
      <c r="I415" s="1" t="str">
        <f>IF(AND(AND(AND(I$4&gt;='2025'!$L379,I$4&lt;='2025'!$M379), I$4&lt;&gt;DATE(2025,7,4)), (SWITCH(weekday(I$4), 1, 0, 2, if(ISBLANK('2025'!$P379), 0, 1), 3, if(ISBLANK('2025'!$Q379), 0, 1), 4, if(ISBLANK('2025'!$R379), 0, 1), 5, if(ISBLANK('2025'!$S379), 0, 1), 6, if(ISBLANK('2025'!$T379), 0, 1), 7, 0))), 1, "")</f>
        <v/>
      </c>
      <c r="J415" s="1" t="str">
        <f>IF(AND(AND(AND(J$4&gt;='2025'!$L379,J$4&lt;='2025'!$M379), J$4&lt;&gt;DATE(2025,7,4)), (SWITCH(weekday(J$4), 1, 0, 2, if(ISBLANK('2025'!$P379), 0, 1), 3, if(ISBLANK('2025'!$Q379), 0, 1), 4, if(ISBLANK('2025'!$R379), 0, 1), 5, if(ISBLANK('2025'!$S379), 0, 1), 6, if(ISBLANK('2025'!$T379), 0, 1), 7, 0))), 1, "")</f>
        <v/>
      </c>
      <c r="K415" s="1" t="str">
        <f>IF(AND(AND(AND(K$4&gt;='2025'!$L379,K$4&lt;='2025'!$M379), K$4&lt;&gt;DATE(2025,7,4)), (SWITCH(weekday(K$4), 1, 0, 2, if(ISBLANK('2025'!$P379), 0, 1), 3, if(ISBLANK('2025'!$Q379), 0, 1), 4, if(ISBLANK('2025'!$R379), 0, 1), 5, if(ISBLANK('2025'!$S379), 0, 1), 6, if(ISBLANK('2025'!$T379), 0, 1), 7, 0))), 1, "")</f>
        <v/>
      </c>
      <c r="L415" s="1" t="str">
        <f>IF(AND(AND(AND(L$4&gt;='2025'!$L379,L$4&lt;='2025'!$M379), L$4&lt;&gt;DATE(2025,7,4)), (SWITCH(weekday(L$4), 1, 0, 2, if(ISBLANK('2025'!$P379), 0, 1), 3, if(ISBLANK('2025'!$Q379), 0, 1), 4, if(ISBLANK('2025'!$R379), 0, 1), 5, if(ISBLANK('2025'!$S379), 0, 1), 6, if(ISBLANK('2025'!$T379), 0, 1), 7, 0))), 1, "")</f>
        <v/>
      </c>
      <c r="M415" s="1" t="str">
        <f>IF(AND(AND(AND(M$4&gt;='2025'!$L379,M$4&lt;='2025'!$M379), M$4&lt;&gt;DATE(2025,7,4)), (SWITCH(weekday(M$4), 1, 0, 2, if(ISBLANK('2025'!$P379), 0, 1), 3, if(ISBLANK('2025'!$Q379), 0, 1), 4, if(ISBLANK('2025'!$R379), 0, 1), 5, if(ISBLANK('2025'!$S379), 0, 1), 6, if(ISBLANK('2025'!$T379), 0, 1), 7, 0))), 1, "")</f>
        <v/>
      </c>
      <c r="N415" s="1" t="str">
        <f>IF(AND(AND(AND(N$4&gt;='2025'!$L379,N$4&lt;='2025'!$M379), N$4&lt;&gt;DATE(2025,7,4)), (SWITCH(weekday(N$4), 1, 0, 2, if(ISBLANK('2025'!$P379), 0, 1), 3, if(ISBLANK('2025'!$Q379), 0, 1), 4, if(ISBLANK('2025'!$R379), 0, 1), 5, if(ISBLANK('2025'!$S379), 0, 1), 6, if(ISBLANK('2025'!$T379), 0, 1), 7, 0))), 1, "")</f>
        <v/>
      </c>
      <c r="O415" s="1" t="str">
        <f>IF(AND(AND(AND(O$4&gt;='2025'!$L379,O$4&lt;='2025'!$M379), O$4&lt;&gt;DATE(2025,7,4)), (SWITCH(weekday(O$4), 1, 0, 2, if(ISBLANK('2025'!$P379), 0, 1), 3, if(ISBLANK('2025'!$Q379), 0, 1), 4, if(ISBLANK('2025'!$R379), 0, 1), 5, if(ISBLANK('2025'!$S379), 0, 1), 6, if(ISBLANK('2025'!$T379), 0, 1), 7, 0))), 1, "")</f>
        <v/>
      </c>
      <c r="P415" s="1" t="str">
        <f>IF(AND(AND(AND(P$4&gt;='2025'!$L379,P$4&lt;='2025'!$M379), P$4&lt;&gt;DATE(2025,7,4)), (SWITCH(weekday(P$4), 1, 0, 2, if(ISBLANK('2025'!$P379), 0, 1), 3, if(ISBLANK('2025'!$Q379), 0, 1), 4, if(ISBLANK('2025'!$R379), 0, 1), 5, if(ISBLANK('2025'!$S379), 0, 1), 6, if(ISBLANK('2025'!$T379), 0, 1), 7, 0))), 1, "")</f>
        <v/>
      </c>
      <c r="Q415" s="1" t="str">
        <f>IF(AND(AND(AND(Q$4&gt;='2025'!$L379,Q$4&lt;='2025'!$M379), Q$4&lt;&gt;DATE(2025,7,4)), (SWITCH(weekday(Q$4), 1, 0, 2, if(ISBLANK('2025'!$P379), 0, 1), 3, if(ISBLANK('2025'!$Q379), 0, 1), 4, if(ISBLANK('2025'!$R379), 0, 1), 5, if(ISBLANK('2025'!$S379), 0, 1), 6, if(ISBLANK('2025'!$T379), 0, 1), 7, 0))), 1, "")</f>
        <v/>
      </c>
      <c r="R415" s="1" t="str">
        <f>IF(AND(AND(AND(R$4&gt;='2025'!$L379,R$4&lt;='2025'!$M379), R$4&lt;&gt;DATE(2025,7,4)), (SWITCH(weekday(R$4), 1, 0, 2, if(ISBLANK('2025'!$P379), 0, 1), 3, if(ISBLANK('2025'!$Q379), 0, 1), 4, if(ISBLANK('2025'!$R379), 0, 1), 5, if(ISBLANK('2025'!$S379), 0, 1), 6, if(ISBLANK('2025'!$T379), 0, 1), 7, 0))), 1, "")</f>
        <v/>
      </c>
      <c r="S415" s="1" t="str">
        <f>IF(AND(AND(AND(S$4&gt;='2025'!$L379,S$4&lt;='2025'!$M379), S$4&lt;&gt;DATE(2025,7,4)), (SWITCH(weekday(S$4), 1, 0, 2, if(ISBLANK('2025'!$P379), 0, 1), 3, if(ISBLANK('2025'!$Q379), 0, 1), 4, if(ISBLANK('2025'!$R379), 0, 1), 5, if(ISBLANK('2025'!$S379), 0, 1), 6, if(ISBLANK('2025'!$T379), 0, 1), 7, 0))), 1, "")</f>
        <v/>
      </c>
      <c r="T415" s="1" t="str">
        <f>IF(AND(AND(AND(T$4&gt;='2025'!$L379,T$4&lt;='2025'!$M379), T$4&lt;&gt;DATE(2025,7,4)), (SWITCH(weekday(T$4), 1, 0, 2, if(ISBLANK('2025'!$P379), 0, 1), 3, if(ISBLANK('2025'!$Q379), 0, 1), 4, if(ISBLANK('2025'!$R379), 0, 1), 5, if(ISBLANK('2025'!$S379), 0, 1), 6, if(ISBLANK('2025'!$T379), 0, 1), 7, 0))), 1, "")</f>
        <v/>
      </c>
      <c r="U415" s="1" t="str">
        <f>IF(AND(AND(AND(U$4&gt;='2025'!$L379,U$4&lt;='2025'!$M379), U$4&lt;&gt;DATE(2025,7,4)), (SWITCH(weekday(U$4), 1, 0, 2, if(ISBLANK('2025'!$P379), 0, 1), 3, if(ISBLANK('2025'!$Q379), 0, 1), 4, if(ISBLANK('2025'!$R379), 0, 1), 5, if(ISBLANK('2025'!$S379), 0, 1), 6, if(ISBLANK('2025'!$T379), 0, 1), 7, 0))), 1, "")</f>
        <v/>
      </c>
      <c r="V415" s="1" t="str">
        <f>IF(AND(AND(AND(V$4&gt;='2025'!$L379,V$4&lt;='2025'!$M379), V$4&lt;&gt;DATE(2025,7,4)), (SWITCH(weekday(V$4), 1, 0, 2, if(ISBLANK('2025'!$P379), 0, 1), 3, if(ISBLANK('2025'!$Q379), 0, 1), 4, if(ISBLANK('2025'!$R379), 0, 1), 5, if(ISBLANK('2025'!$S379), 0, 1), 6, if(ISBLANK('2025'!$T379), 0, 1), 7, 0))), 1, "")</f>
        <v/>
      </c>
      <c r="W415" s="1" t="str">
        <f>IF(AND(AND(AND(W$4&gt;='2025'!$L379,W$4&lt;='2025'!$M379), W$4&lt;&gt;DATE(2025,7,4)), (SWITCH(weekday(W$4), 1, 0, 2, if(ISBLANK('2025'!$P379), 0, 1), 3, if(ISBLANK('2025'!$Q379), 0, 1), 4, if(ISBLANK('2025'!$R379), 0, 1), 5, if(ISBLANK('2025'!$S379), 0, 1), 6, if(ISBLANK('2025'!$T379), 0, 1), 7, 0))), 1, "")</f>
        <v/>
      </c>
      <c r="X415" s="1" t="str">
        <f>IF(AND(AND(AND(X$4&gt;='2025'!$L379,X$4&lt;='2025'!$M379), X$4&lt;&gt;DATE(2025,7,4)), (SWITCH(weekday(X$4), 1, 0, 2, if(ISBLANK('2025'!$P379), 0, 1), 3, if(ISBLANK('2025'!$Q379), 0, 1), 4, if(ISBLANK('2025'!$R379), 0, 1), 5, if(ISBLANK('2025'!$S379), 0, 1), 6, if(ISBLANK('2025'!$T379), 0, 1), 7, 0))), 1, "")</f>
        <v/>
      </c>
      <c r="Y415" s="1" t="str">
        <f>IF(AND(AND(AND(Y$4&gt;='2025'!$L379,Y$4&lt;='2025'!$M379), Y$4&lt;&gt;DATE(2025,7,4)), (SWITCH(weekday(Y$4), 1, 0, 2, if(ISBLANK('2025'!$P379), 0, 1), 3, if(ISBLANK('2025'!$Q379), 0, 1), 4, if(ISBLANK('2025'!$R379), 0, 1), 5, if(ISBLANK('2025'!$S379), 0, 1), 6, if(ISBLANK('2025'!$T379), 0, 1), 7, 0))), 1, "")</f>
        <v/>
      </c>
      <c r="Z415" s="1" t="str">
        <f>IF(AND(AND(AND(Z$4&gt;='2025'!$L379,Z$4&lt;='2025'!$M379), Z$4&lt;&gt;DATE(2025,7,4)), (SWITCH(weekday(Z$4), 1, 0, 2, if(ISBLANK('2025'!$P379), 0, 1), 3, if(ISBLANK('2025'!$Q379), 0, 1), 4, if(ISBLANK('2025'!$R379), 0, 1), 5, if(ISBLANK('2025'!$S379), 0, 1), 6, if(ISBLANK('2025'!$T379), 0, 1), 7, 0))), 1, "")</f>
        <v/>
      </c>
      <c r="AA415" s="1" t="str">
        <f>IF(AND(AND(AND(AA$4&gt;='2025'!$L379,AA$4&lt;='2025'!$M379), AA$4&lt;&gt;DATE(2025,7,4)), (SWITCH(weekday(AA$4), 1, 0, 2, if(ISBLANK('2025'!$P379), 0, 1), 3, if(ISBLANK('2025'!$Q379), 0, 1), 4, if(ISBLANK('2025'!$R379), 0, 1), 5, if(ISBLANK('2025'!$S379), 0, 1), 6, if(ISBLANK('2025'!$T379), 0, 1), 7, 0))), 1, "")</f>
        <v/>
      </c>
      <c r="AB415" s="1" t="str">
        <f>IF(AND(AND(AND(AB$4&gt;='2025'!$L379,AB$4&lt;='2025'!$M379), AB$4&lt;&gt;DATE(2025,7,4)), (SWITCH(weekday(AB$4), 1, 0, 2, if(ISBLANK('2025'!$P379), 0, 1), 3, if(ISBLANK('2025'!$Q379), 0, 1), 4, if(ISBLANK('2025'!$R379), 0, 1), 5, if(ISBLANK('2025'!$S379), 0, 1), 6, if(ISBLANK('2025'!$T379), 0, 1), 7, 0))), 1, "")</f>
        <v/>
      </c>
      <c r="AC415" s="1" t="str">
        <f>IF(AND(AND(AND(AC$4&gt;='2025'!$L379,AC$4&lt;='2025'!$M379), AC$4&lt;&gt;DATE(2025,7,4)), (SWITCH(weekday(AC$4), 1, 0, 2, if(ISBLANK('2025'!$P379), 0, 1), 3, if(ISBLANK('2025'!$Q379), 0, 1), 4, if(ISBLANK('2025'!$R379), 0, 1), 5, if(ISBLANK('2025'!$S379), 0, 1), 6, if(ISBLANK('2025'!$T379), 0, 1), 7, 0))), 1, "")</f>
        <v/>
      </c>
      <c r="AD415" s="1" t="str">
        <f>IF(AND(AND(AND(AD$4&gt;='2025'!$L379,AD$4&lt;='2025'!$M379), AD$4&lt;&gt;DATE(2025,7,4)), (SWITCH(weekday(AD$4), 1, 0, 2, if(ISBLANK('2025'!$P379), 0, 1), 3, if(ISBLANK('2025'!$Q379), 0, 1), 4, if(ISBLANK('2025'!$R379), 0, 1), 5, if(ISBLANK('2025'!$S379), 0, 1), 6, if(ISBLANK('2025'!$T379), 0, 1), 7, 0))), 1, "")</f>
        <v/>
      </c>
      <c r="AE415" s="1" t="str">
        <f>IF(AND(AND(AND(AE$4&gt;='2025'!$L379,AE$4&lt;='2025'!$M379), AE$4&lt;&gt;DATE(2025,7,4)), (SWITCH(weekday(AE$4), 1, 0, 2, if(ISBLANK('2025'!$P379), 0, 1), 3, if(ISBLANK('2025'!$Q379), 0, 1), 4, if(ISBLANK('2025'!$R379), 0, 1), 5, if(ISBLANK('2025'!$S379), 0, 1), 6, if(ISBLANK('2025'!$T379), 0, 1), 7, 0))), 1, "")</f>
        <v/>
      </c>
      <c r="AF415" s="1" t="str">
        <f>IF(AND(AND(AND(AF$4&gt;='2025'!$L379,AF$4&lt;='2025'!$M379), AF$4&lt;&gt;DATE(2025,7,4)), (SWITCH(weekday(AF$4), 1, 0, 2, if(ISBLANK('2025'!$P379), 0, 1), 3, if(ISBLANK('2025'!$Q379), 0, 1), 4, if(ISBLANK('2025'!$R379), 0, 1), 5, if(ISBLANK('2025'!$S379), 0, 1), 6, if(ISBLANK('2025'!$T379), 0, 1), 7, 0))), 1, "")</f>
        <v/>
      </c>
      <c r="AG415" s="1" t="str">
        <f>IF(AND(AND(AND(AG$4&gt;='2025'!$L379,AG$4&lt;='2025'!$M379), AG$4&lt;&gt;DATE(2025,7,4)), (SWITCH(weekday(AG$4), 1, 0, 2, if(ISBLANK('2025'!$P379), 0, 1), 3, if(ISBLANK('2025'!$Q379), 0, 1), 4, if(ISBLANK('2025'!$R379), 0, 1), 5, if(ISBLANK('2025'!$S379), 0, 1), 6, if(ISBLANK('2025'!$T379), 0, 1), 7, 0))), 1, "")</f>
        <v/>
      </c>
      <c r="AH415" s="1" t="str">
        <f>IF(AND(AND(AND(AH$4&gt;='2025'!$L379,AH$4&lt;='2025'!$M379), AH$4&lt;&gt;DATE(2025,7,4)), (SWITCH(weekday(AH$4), 1, 0, 2, if(ISBLANK('2025'!$P379), 0, 1), 3, if(ISBLANK('2025'!$Q379), 0, 1), 4, if(ISBLANK('2025'!$R379), 0, 1), 5, if(ISBLANK('2025'!$S379), 0, 1), 6, if(ISBLANK('2025'!$T379), 0, 1), 7, 0))), 1, "")</f>
        <v/>
      </c>
      <c r="AI415" s="1" t="str">
        <f>IF(AND(AND(AND(AI$4&gt;='2025'!$L379,AI$4&lt;='2025'!$M379), AI$4&lt;&gt;DATE(2025,7,4)), (SWITCH(weekday(AI$4), 1, 0, 2, if(ISBLANK('2025'!$P379), 0, 1), 3, if(ISBLANK('2025'!$Q379), 0, 1), 4, if(ISBLANK('2025'!$R379), 0, 1), 5, if(ISBLANK('2025'!$S379), 0, 1), 6, if(ISBLANK('2025'!$T379), 0, 1), 7, 0))), 1, "")</f>
        <v/>
      </c>
      <c r="AJ415" s="1" t="str">
        <f>IF(AND(AND(AND(AJ$4&gt;='2025'!$L379,AJ$4&lt;='2025'!$M379), AJ$4&lt;&gt;DATE(2025,7,4)), (SWITCH(weekday(AJ$4), 1, 0, 2, if(ISBLANK('2025'!$P379), 0, 1), 3, if(ISBLANK('2025'!$Q379), 0, 1), 4, if(ISBLANK('2025'!$R379), 0, 1), 5, if(ISBLANK('2025'!$S379), 0, 1), 6, if(ISBLANK('2025'!$T379), 0, 1), 7, 0))), 1, "")</f>
        <v/>
      </c>
      <c r="AK415" s="1" t="str">
        <f>IF(AND(AND(AND(AK$4&gt;='2025'!$L379,AK$4&lt;='2025'!$M379), AK$4&lt;&gt;DATE(2025,7,4)), (SWITCH(weekday(AK$4), 1, 0, 2, if(ISBLANK('2025'!$P379), 0, 1), 3, if(ISBLANK('2025'!$Q379), 0, 1), 4, if(ISBLANK('2025'!$R379), 0, 1), 5, if(ISBLANK('2025'!$S379), 0, 1), 6, if(ISBLANK('2025'!$T379), 0, 1), 7, 0))), 1, "")</f>
        <v/>
      </c>
      <c r="AL415" s="1" t="str">
        <f>IF(AND(AND(AND(AL$4&gt;='2025'!$L379,AL$4&lt;='2025'!$M379), AL$4&lt;&gt;DATE(2025,7,4)), (SWITCH(weekday(AL$4), 1, 0, 2, if(ISBLANK('2025'!$P379), 0, 1), 3, if(ISBLANK('2025'!$Q379), 0, 1), 4, if(ISBLANK('2025'!$R379), 0, 1), 5, if(ISBLANK('2025'!$S379), 0, 1), 6, if(ISBLANK('2025'!$T379), 0, 1), 7, 0))), 1, "")</f>
        <v/>
      </c>
      <c r="AM415" s="1" t="str">
        <f>IF(AND(AND(AND(AM$4&gt;='2025'!$L379,AM$4&lt;='2025'!$M379), AM$4&lt;&gt;DATE(2025,7,4)), (SWITCH(weekday(AM$4), 1, 0, 2, if(ISBLANK('2025'!$P379), 0, 1), 3, if(ISBLANK('2025'!$Q379), 0, 1), 4, if(ISBLANK('2025'!$R379), 0, 1), 5, if(ISBLANK('2025'!$S379), 0, 1), 6, if(ISBLANK('2025'!$T379), 0, 1), 7, 0))), 1, "")</f>
        <v/>
      </c>
      <c r="AN415" s="1" t="str">
        <f>IF(AND(AND(AND(AN$4&gt;='2025'!$L379,AN$4&lt;='2025'!$M379), AN$4&lt;&gt;DATE(2025,7,4)), (SWITCH(weekday(AN$4), 1, 0, 2, if(ISBLANK('2025'!$P379), 0, 1), 3, if(ISBLANK('2025'!$Q379), 0, 1), 4, if(ISBLANK('2025'!$R379), 0, 1), 5, if(ISBLANK('2025'!$S379), 0, 1), 6, if(ISBLANK('2025'!$T379), 0, 1), 7, 0))), 1, "")</f>
        <v/>
      </c>
      <c r="AO415" s="1" t="str">
        <f>IF(AND(AND(AND(AO$4&gt;='2025'!$L379,AO$4&lt;='2025'!$M379), AO$4&lt;&gt;DATE(2025,7,4)), (SWITCH(weekday(AO$4), 1, 0, 2, if(ISBLANK('2025'!$P379), 0, 1), 3, if(ISBLANK('2025'!$Q379), 0, 1), 4, if(ISBLANK('2025'!$R379), 0, 1), 5, if(ISBLANK('2025'!$S379), 0, 1), 6, if(ISBLANK('2025'!$T379), 0, 1), 7, 0))), 1, "")</f>
        <v/>
      </c>
      <c r="AP415" s="1" t="str">
        <f>IF(AND(AND(AND(AP$4&gt;='2025'!$L379,AP$4&lt;='2025'!$M379), AP$4&lt;&gt;DATE(2025,7,4)), (SWITCH(weekday(AP$4), 1, 0, 2, if(ISBLANK('2025'!$P379), 0, 1), 3, if(ISBLANK('2025'!$Q379), 0, 1), 4, if(ISBLANK('2025'!$R379), 0, 1), 5, if(ISBLANK('2025'!$S379), 0, 1), 6, if(ISBLANK('2025'!$T379), 0, 1), 7, 0))), 1, "")</f>
        <v/>
      </c>
      <c r="AQ415" s="1" t="str">
        <f>IF(AND(AND(AND(AQ$4&gt;='2025'!$L379,AQ$4&lt;='2025'!$M379), AQ$4&lt;&gt;DATE(2025,7,4)), (SWITCH(weekday(AQ$4), 1, 0, 2, if(ISBLANK('2025'!$P379), 0, 1), 3, if(ISBLANK('2025'!$Q379), 0, 1), 4, if(ISBLANK('2025'!$R379), 0, 1), 5, if(ISBLANK('2025'!$S379), 0, 1), 6, if(ISBLANK('2025'!$T379), 0, 1), 7, 0))), 1, "")</f>
        <v/>
      </c>
      <c r="AR415" s="1" t="str">
        <f>IF(AND(AND(AND(AR$4&gt;='2025'!$L379,AR$4&lt;='2025'!$M379), AR$4&lt;&gt;DATE(2025,7,4)), (SWITCH(weekday(AR$4), 1, 0, 2, if(ISBLANK('2025'!$P379), 0, 1), 3, if(ISBLANK('2025'!$Q379), 0, 1), 4, if(ISBLANK('2025'!$R379), 0, 1), 5, if(ISBLANK('2025'!$S379), 0, 1), 6, if(ISBLANK('2025'!$T379), 0, 1), 7, 0))), 1, "")</f>
        <v/>
      </c>
      <c r="AS415" s="1" t="str">
        <f>IF(AND(AND(AND(AS$4&gt;='2025'!$L379,AS$4&lt;='2025'!$M379), AS$4&lt;&gt;DATE(2025,7,4)), (SWITCH(weekday(AS$4), 1, 0, 2, if(ISBLANK('2025'!$P379), 0, 1), 3, if(ISBLANK('2025'!$Q379), 0, 1), 4, if(ISBLANK('2025'!$R379), 0, 1), 5, if(ISBLANK('2025'!$S379), 0, 1), 6, if(ISBLANK('2025'!$T379), 0, 1), 7, 0))), 1, "")</f>
        <v/>
      </c>
      <c r="AT415" s="1" t="str">
        <f>IF(AND(AND(AND(AT$4&gt;='2025'!$L379,AT$4&lt;='2025'!$M379), AT$4&lt;&gt;DATE(2025,7,4)), (SWITCH(weekday(AT$4), 1, 0, 2, if(ISBLANK('2025'!$P379), 0, 1), 3, if(ISBLANK('2025'!$Q379), 0, 1), 4, if(ISBLANK('2025'!$R379), 0, 1), 5, if(ISBLANK('2025'!$S379), 0, 1), 6, if(ISBLANK('2025'!$T379), 0, 1), 7, 0))), 1, "")</f>
        <v/>
      </c>
      <c r="AU415" s="1" t="str">
        <f>IF(AND(AND(AND(AU$4&gt;='2025'!$L379,AU$4&lt;='2025'!$M379), AU$4&lt;&gt;DATE(2025,7,4)), (SWITCH(weekday(AU$4), 1, 0, 2, if(ISBLANK('2025'!$P379), 0, 1), 3, if(ISBLANK('2025'!$Q379), 0, 1), 4, if(ISBLANK('2025'!$R379), 0, 1), 5, if(ISBLANK('2025'!$S379), 0, 1), 6, if(ISBLANK('2025'!$T379), 0, 1), 7, 0))), 1, "")</f>
        <v/>
      </c>
      <c r="AV415" s="1" t="str">
        <f>IF(AND(AND(AND(AV$4&gt;='2025'!$L379,AV$4&lt;='2025'!$M379), AV$4&lt;&gt;DATE(2025,7,4)), (SWITCH(weekday(AV$4), 1, 0, 2, if(ISBLANK('2025'!$P379), 0, 1), 3, if(ISBLANK('2025'!$Q379), 0, 1), 4, if(ISBLANK('2025'!$R379), 0, 1), 5, if(ISBLANK('2025'!$S379), 0, 1), 6, if(ISBLANK('2025'!$T379), 0, 1), 7, 0))), 1, "")</f>
        <v/>
      </c>
      <c r="AW415" s="1" t="str">
        <f>IF(AND(AND(AND(AW$4&gt;='2025'!$L379,AW$4&lt;='2025'!$M379), AW$4&lt;&gt;DATE(2025,7,4)), (SWITCH(weekday(AW$4), 1, 0, 2, if(ISBLANK('2025'!$P379), 0, 1), 3, if(ISBLANK('2025'!$Q379), 0, 1), 4, if(ISBLANK('2025'!$R379), 0, 1), 5, if(ISBLANK('2025'!$S379), 0, 1), 6, if(ISBLANK('2025'!$T379), 0, 1), 7, 0))), 1, "")</f>
        <v/>
      </c>
      <c r="AX415" s="1" t="str">
        <f>IF(AND(AND(AND(AX$4&gt;='2025'!$L379,AX$4&lt;='2025'!$M379), AX$4&lt;&gt;DATE(2025,7,4)), (SWITCH(weekday(AX$4), 1, 0, 2, if(ISBLANK('2025'!$P379), 0, 1), 3, if(ISBLANK('2025'!$Q379), 0, 1), 4, if(ISBLANK('2025'!$R379), 0, 1), 5, if(ISBLANK('2025'!$S379), 0, 1), 6, if(ISBLANK('2025'!$T379), 0, 1), 7, 0))), 1, "")</f>
        <v/>
      </c>
      <c r="AY415" s="1" t="str">
        <f>IF(AND(AND(AND(AY$4&gt;='2025'!$L379,AY$4&lt;='2025'!$M379), AY$4&lt;&gt;DATE(2025,7,4)), (SWITCH(weekday(AY$4), 1, 0, 2, if(ISBLANK('2025'!$P379), 0, 1), 3, if(ISBLANK('2025'!$Q379), 0, 1), 4, if(ISBLANK('2025'!$R379), 0, 1), 5, if(ISBLANK('2025'!$S379), 0, 1), 6, if(ISBLANK('2025'!$T379), 0, 1), 7, 0))), 1, "")</f>
        <v/>
      </c>
      <c r="AZ415" s="1" t="str">
        <f>IF(AND(AND(AND(AZ$4&gt;='2025'!$L379,AZ$4&lt;='2025'!$M379), AZ$4&lt;&gt;DATE(2025,7,4)), (SWITCH(weekday(AZ$4), 1, 0, 2, if(ISBLANK('2025'!$P379), 0, 1), 3, if(ISBLANK('2025'!$Q379), 0, 1), 4, if(ISBLANK('2025'!$R379), 0, 1), 5, if(ISBLANK('2025'!$S379), 0, 1), 6, if(ISBLANK('2025'!$T379), 0, 1), 7, 0))), 1, "")</f>
        <v/>
      </c>
      <c r="BA415" s="1" t="str">
        <f>IF(AND(AND(AND(BA$4&gt;='2025'!$L379,BA$4&lt;='2025'!$M379), BA$4&lt;&gt;DATE(2025,7,4)), (SWITCH(weekday(BA$4), 1, 0, 2, if(ISBLANK('2025'!$P379), 0, 1), 3, if(ISBLANK('2025'!$Q379), 0, 1), 4, if(ISBLANK('2025'!$R379), 0, 1), 5, if(ISBLANK('2025'!$S379), 0, 1), 6, if(ISBLANK('2025'!$T379), 0, 1), 7, 0))), 1, "")</f>
        <v/>
      </c>
      <c r="BB415" s="1" t="str">
        <f>IF(AND(AND(AND(BB$4&gt;='2025'!$L379,BB$4&lt;='2025'!$M379), BB$4&lt;&gt;DATE(2025,7,4)), (SWITCH(weekday(BB$4), 1, 0, 2, if(ISBLANK('2025'!$P379), 0, 1), 3, if(ISBLANK('2025'!$Q379), 0, 1), 4, if(ISBLANK('2025'!$R379), 0, 1), 5, if(ISBLANK('2025'!$S379), 0, 1), 6, if(ISBLANK('2025'!$T379), 0, 1), 7, 0))), 1, "")</f>
        <v/>
      </c>
      <c r="BC415" s="1" t="str">
        <f>IF(AND(AND(AND(BC$4&gt;='2025'!$L379,BC$4&lt;='2025'!$M379), BC$4&lt;&gt;DATE(2025,7,4)), (SWITCH(weekday(BC$4), 1, 0, 2, if(ISBLANK('2025'!$P379), 0, 1), 3, if(ISBLANK('2025'!$Q379), 0, 1), 4, if(ISBLANK('2025'!$R379), 0, 1), 5, if(ISBLANK('2025'!$S379), 0, 1), 6, if(ISBLANK('2025'!$T379), 0, 1), 7, 0))), 1, "")</f>
        <v/>
      </c>
      <c r="BD415" s="1" t="str">
        <f>IF(AND(AND(AND(BD$4&gt;='2025'!$L379,BD$4&lt;='2025'!$M379), BD$4&lt;&gt;DATE(2025,7,4)), (SWITCH(weekday(BD$4), 1, 0, 2, if(ISBLANK('2025'!$P379), 0, 1), 3, if(ISBLANK('2025'!$Q379), 0, 1), 4, if(ISBLANK('2025'!$R379), 0, 1), 5, if(ISBLANK('2025'!$S379), 0, 1), 6, if(ISBLANK('2025'!$T379), 0, 1), 7, 0))), 1, "")</f>
        <v/>
      </c>
      <c r="BE415" s="1" t="str">
        <f>IF(AND(AND(AND(BE$4&gt;='2025'!$L379,BE$4&lt;='2025'!$M379), BE$4&lt;&gt;DATE(2025,7,4)), (SWITCH(weekday(BE$4), 1, 0, 2, if(ISBLANK('2025'!$P379), 0, 1), 3, if(ISBLANK('2025'!$Q379), 0, 1), 4, if(ISBLANK('2025'!$R379), 0, 1), 5, if(ISBLANK('2025'!$S379), 0, 1), 6, if(ISBLANK('2025'!$T379), 0, 1), 7, 0))), 1, "")</f>
        <v/>
      </c>
    </row>
    <row r="416">
      <c r="A416" s="1">
        <f t="shared" si="3"/>
        <v>416</v>
      </c>
      <c r="B416" s="1" t="str">
        <f>'2025'!D380</f>
        <v/>
      </c>
      <c r="C416" s="1" t="str">
        <f>'2025'!H380</f>
        <v/>
      </c>
      <c r="D416" s="1" t="str">
        <f>IF(AND(AND(AND(D$4&gt;='2025'!$L380,D$4&lt;='2025'!$M380), D$4&lt;&gt;DATE(2025,7,4)), (SWITCH(weekday(D$4), 1, 0, 2, if(ISBLANK('2025'!$P380), 0, 1), 3, if(ISBLANK('2025'!$Q380), 0, 1), 4, if(ISBLANK('2025'!$R380), 0, 1), 5, if(ISBLANK('2025'!$S380), 0, 1), 6, if(ISBLANK('2025'!$T380), 0, 1), 7, 0))), 1, "")</f>
        <v/>
      </c>
      <c r="E416" s="1" t="str">
        <f>IF(AND(AND(AND(E$4&gt;='2025'!$L380,E$4&lt;='2025'!$M380), E$4&lt;&gt;DATE(2025,7,4)), (SWITCH(weekday(E$4), 1, 0, 2, if(ISBLANK('2025'!$P380), 0, 1), 3, if(ISBLANK('2025'!$Q380), 0, 1), 4, if(ISBLANK('2025'!$R380), 0, 1), 5, if(ISBLANK('2025'!$S380), 0, 1), 6, if(ISBLANK('2025'!$T380), 0, 1), 7, 0))), 1, "")</f>
        <v/>
      </c>
      <c r="F416" s="1" t="str">
        <f>IF(AND(AND(AND(F$4&gt;='2025'!$L380,F$4&lt;='2025'!$M380), F$4&lt;&gt;DATE(2025,7,4)), (SWITCH(weekday(F$4), 1, 0, 2, if(ISBLANK('2025'!$P380), 0, 1), 3, if(ISBLANK('2025'!$Q380), 0, 1), 4, if(ISBLANK('2025'!$R380), 0, 1), 5, if(ISBLANK('2025'!$S380), 0, 1), 6, if(ISBLANK('2025'!$T380), 0, 1), 7, 0))), 1, "")</f>
        <v/>
      </c>
      <c r="G416" s="1" t="str">
        <f>IF(AND(AND(AND(G$4&gt;='2025'!$L380,G$4&lt;='2025'!$M380), G$4&lt;&gt;DATE(2025,7,4)), (SWITCH(weekday(G$4), 1, 0, 2, if(ISBLANK('2025'!$P380), 0, 1), 3, if(ISBLANK('2025'!$Q380), 0, 1), 4, if(ISBLANK('2025'!$R380), 0, 1), 5, if(ISBLANK('2025'!$S380), 0, 1), 6, if(ISBLANK('2025'!$T380), 0, 1), 7, 0))), 1, "")</f>
        <v/>
      </c>
      <c r="H416" s="1" t="str">
        <f>IF(AND(AND(AND(H$4&gt;='2025'!$L380,H$4&lt;='2025'!$M380), H$4&lt;&gt;DATE(2025,7,4)), (SWITCH(weekday(H$4), 1, 0, 2, if(ISBLANK('2025'!$P380), 0, 1), 3, if(ISBLANK('2025'!$Q380), 0, 1), 4, if(ISBLANK('2025'!$R380), 0, 1), 5, if(ISBLANK('2025'!$S380), 0, 1), 6, if(ISBLANK('2025'!$T380), 0, 1), 7, 0))), 1, "")</f>
        <v/>
      </c>
      <c r="I416" s="1" t="str">
        <f>IF(AND(AND(AND(I$4&gt;='2025'!$L380,I$4&lt;='2025'!$M380), I$4&lt;&gt;DATE(2025,7,4)), (SWITCH(weekday(I$4), 1, 0, 2, if(ISBLANK('2025'!$P380), 0, 1), 3, if(ISBLANK('2025'!$Q380), 0, 1), 4, if(ISBLANK('2025'!$R380), 0, 1), 5, if(ISBLANK('2025'!$S380), 0, 1), 6, if(ISBLANK('2025'!$T380), 0, 1), 7, 0))), 1, "")</f>
        <v/>
      </c>
      <c r="J416" s="1" t="str">
        <f>IF(AND(AND(AND(J$4&gt;='2025'!$L380,J$4&lt;='2025'!$M380), J$4&lt;&gt;DATE(2025,7,4)), (SWITCH(weekday(J$4), 1, 0, 2, if(ISBLANK('2025'!$P380), 0, 1), 3, if(ISBLANK('2025'!$Q380), 0, 1), 4, if(ISBLANK('2025'!$R380), 0, 1), 5, if(ISBLANK('2025'!$S380), 0, 1), 6, if(ISBLANK('2025'!$T380), 0, 1), 7, 0))), 1, "")</f>
        <v/>
      </c>
      <c r="K416" s="1" t="str">
        <f>IF(AND(AND(AND(K$4&gt;='2025'!$L380,K$4&lt;='2025'!$M380), K$4&lt;&gt;DATE(2025,7,4)), (SWITCH(weekday(K$4), 1, 0, 2, if(ISBLANK('2025'!$P380), 0, 1), 3, if(ISBLANK('2025'!$Q380), 0, 1), 4, if(ISBLANK('2025'!$R380), 0, 1), 5, if(ISBLANK('2025'!$S380), 0, 1), 6, if(ISBLANK('2025'!$T380), 0, 1), 7, 0))), 1, "")</f>
        <v/>
      </c>
      <c r="L416" s="1" t="str">
        <f>IF(AND(AND(AND(L$4&gt;='2025'!$L380,L$4&lt;='2025'!$M380), L$4&lt;&gt;DATE(2025,7,4)), (SWITCH(weekday(L$4), 1, 0, 2, if(ISBLANK('2025'!$P380), 0, 1), 3, if(ISBLANK('2025'!$Q380), 0, 1), 4, if(ISBLANK('2025'!$R380), 0, 1), 5, if(ISBLANK('2025'!$S380), 0, 1), 6, if(ISBLANK('2025'!$T380), 0, 1), 7, 0))), 1, "")</f>
        <v/>
      </c>
      <c r="M416" s="1" t="str">
        <f>IF(AND(AND(AND(M$4&gt;='2025'!$L380,M$4&lt;='2025'!$M380), M$4&lt;&gt;DATE(2025,7,4)), (SWITCH(weekday(M$4), 1, 0, 2, if(ISBLANK('2025'!$P380), 0, 1), 3, if(ISBLANK('2025'!$Q380), 0, 1), 4, if(ISBLANK('2025'!$R380), 0, 1), 5, if(ISBLANK('2025'!$S380), 0, 1), 6, if(ISBLANK('2025'!$T380), 0, 1), 7, 0))), 1, "")</f>
        <v/>
      </c>
      <c r="N416" s="1" t="str">
        <f>IF(AND(AND(AND(N$4&gt;='2025'!$L380,N$4&lt;='2025'!$M380), N$4&lt;&gt;DATE(2025,7,4)), (SWITCH(weekday(N$4), 1, 0, 2, if(ISBLANK('2025'!$P380), 0, 1), 3, if(ISBLANK('2025'!$Q380), 0, 1), 4, if(ISBLANK('2025'!$R380), 0, 1), 5, if(ISBLANK('2025'!$S380), 0, 1), 6, if(ISBLANK('2025'!$T380), 0, 1), 7, 0))), 1, "")</f>
        <v/>
      </c>
      <c r="O416" s="1" t="str">
        <f>IF(AND(AND(AND(O$4&gt;='2025'!$L380,O$4&lt;='2025'!$M380), O$4&lt;&gt;DATE(2025,7,4)), (SWITCH(weekday(O$4), 1, 0, 2, if(ISBLANK('2025'!$P380), 0, 1), 3, if(ISBLANK('2025'!$Q380), 0, 1), 4, if(ISBLANK('2025'!$R380), 0, 1), 5, if(ISBLANK('2025'!$S380), 0, 1), 6, if(ISBLANK('2025'!$T380), 0, 1), 7, 0))), 1, "")</f>
        <v/>
      </c>
      <c r="P416" s="1" t="str">
        <f>IF(AND(AND(AND(P$4&gt;='2025'!$L380,P$4&lt;='2025'!$M380), P$4&lt;&gt;DATE(2025,7,4)), (SWITCH(weekday(P$4), 1, 0, 2, if(ISBLANK('2025'!$P380), 0, 1), 3, if(ISBLANK('2025'!$Q380), 0, 1), 4, if(ISBLANK('2025'!$R380), 0, 1), 5, if(ISBLANK('2025'!$S380), 0, 1), 6, if(ISBLANK('2025'!$T380), 0, 1), 7, 0))), 1, "")</f>
        <v/>
      </c>
      <c r="Q416" s="1" t="str">
        <f>IF(AND(AND(AND(Q$4&gt;='2025'!$L380,Q$4&lt;='2025'!$M380), Q$4&lt;&gt;DATE(2025,7,4)), (SWITCH(weekday(Q$4), 1, 0, 2, if(ISBLANK('2025'!$P380), 0, 1), 3, if(ISBLANK('2025'!$Q380), 0, 1), 4, if(ISBLANK('2025'!$R380), 0, 1), 5, if(ISBLANK('2025'!$S380), 0, 1), 6, if(ISBLANK('2025'!$T380), 0, 1), 7, 0))), 1, "")</f>
        <v/>
      </c>
      <c r="R416" s="1" t="str">
        <f>IF(AND(AND(AND(R$4&gt;='2025'!$L380,R$4&lt;='2025'!$M380), R$4&lt;&gt;DATE(2025,7,4)), (SWITCH(weekday(R$4), 1, 0, 2, if(ISBLANK('2025'!$P380), 0, 1), 3, if(ISBLANK('2025'!$Q380), 0, 1), 4, if(ISBLANK('2025'!$R380), 0, 1), 5, if(ISBLANK('2025'!$S380), 0, 1), 6, if(ISBLANK('2025'!$T380), 0, 1), 7, 0))), 1, "")</f>
        <v/>
      </c>
      <c r="S416" s="1" t="str">
        <f>IF(AND(AND(AND(S$4&gt;='2025'!$L380,S$4&lt;='2025'!$M380), S$4&lt;&gt;DATE(2025,7,4)), (SWITCH(weekday(S$4), 1, 0, 2, if(ISBLANK('2025'!$P380), 0, 1), 3, if(ISBLANK('2025'!$Q380), 0, 1), 4, if(ISBLANK('2025'!$R380), 0, 1), 5, if(ISBLANK('2025'!$S380), 0, 1), 6, if(ISBLANK('2025'!$T380), 0, 1), 7, 0))), 1, "")</f>
        <v/>
      </c>
      <c r="T416" s="1" t="str">
        <f>IF(AND(AND(AND(T$4&gt;='2025'!$L380,T$4&lt;='2025'!$M380), T$4&lt;&gt;DATE(2025,7,4)), (SWITCH(weekday(T$4), 1, 0, 2, if(ISBLANK('2025'!$P380), 0, 1), 3, if(ISBLANK('2025'!$Q380), 0, 1), 4, if(ISBLANK('2025'!$R380), 0, 1), 5, if(ISBLANK('2025'!$S380), 0, 1), 6, if(ISBLANK('2025'!$T380), 0, 1), 7, 0))), 1, "")</f>
        <v/>
      </c>
      <c r="U416" s="1" t="str">
        <f>IF(AND(AND(AND(U$4&gt;='2025'!$L380,U$4&lt;='2025'!$M380), U$4&lt;&gt;DATE(2025,7,4)), (SWITCH(weekday(U$4), 1, 0, 2, if(ISBLANK('2025'!$P380), 0, 1), 3, if(ISBLANK('2025'!$Q380), 0, 1), 4, if(ISBLANK('2025'!$R380), 0, 1), 5, if(ISBLANK('2025'!$S380), 0, 1), 6, if(ISBLANK('2025'!$T380), 0, 1), 7, 0))), 1, "")</f>
        <v/>
      </c>
      <c r="V416" s="1" t="str">
        <f>IF(AND(AND(AND(V$4&gt;='2025'!$L380,V$4&lt;='2025'!$M380), V$4&lt;&gt;DATE(2025,7,4)), (SWITCH(weekday(V$4), 1, 0, 2, if(ISBLANK('2025'!$P380), 0, 1), 3, if(ISBLANK('2025'!$Q380), 0, 1), 4, if(ISBLANK('2025'!$R380), 0, 1), 5, if(ISBLANK('2025'!$S380), 0, 1), 6, if(ISBLANK('2025'!$T380), 0, 1), 7, 0))), 1, "")</f>
        <v/>
      </c>
      <c r="W416" s="1" t="str">
        <f>IF(AND(AND(AND(W$4&gt;='2025'!$L380,W$4&lt;='2025'!$M380), W$4&lt;&gt;DATE(2025,7,4)), (SWITCH(weekday(W$4), 1, 0, 2, if(ISBLANK('2025'!$P380), 0, 1), 3, if(ISBLANK('2025'!$Q380), 0, 1), 4, if(ISBLANK('2025'!$R380), 0, 1), 5, if(ISBLANK('2025'!$S380), 0, 1), 6, if(ISBLANK('2025'!$T380), 0, 1), 7, 0))), 1, "")</f>
        <v/>
      </c>
      <c r="X416" s="1" t="str">
        <f>IF(AND(AND(AND(X$4&gt;='2025'!$L380,X$4&lt;='2025'!$M380), X$4&lt;&gt;DATE(2025,7,4)), (SWITCH(weekday(X$4), 1, 0, 2, if(ISBLANK('2025'!$P380), 0, 1), 3, if(ISBLANK('2025'!$Q380), 0, 1), 4, if(ISBLANK('2025'!$R380), 0, 1), 5, if(ISBLANK('2025'!$S380), 0, 1), 6, if(ISBLANK('2025'!$T380), 0, 1), 7, 0))), 1, "")</f>
        <v/>
      </c>
      <c r="Y416" s="1" t="str">
        <f>IF(AND(AND(AND(Y$4&gt;='2025'!$L380,Y$4&lt;='2025'!$M380), Y$4&lt;&gt;DATE(2025,7,4)), (SWITCH(weekday(Y$4), 1, 0, 2, if(ISBLANK('2025'!$P380), 0, 1), 3, if(ISBLANK('2025'!$Q380), 0, 1), 4, if(ISBLANK('2025'!$R380), 0, 1), 5, if(ISBLANK('2025'!$S380), 0, 1), 6, if(ISBLANK('2025'!$T380), 0, 1), 7, 0))), 1, "")</f>
        <v/>
      </c>
      <c r="Z416" s="1" t="str">
        <f>IF(AND(AND(AND(Z$4&gt;='2025'!$L380,Z$4&lt;='2025'!$M380), Z$4&lt;&gt;DATE(2025,7,4)), (SWITCH(weekday(Z$4), 1, 0, 2, if(ISBLANK('2025'!$P380), 0, 1), 3, if(ISBLANK('2025'!$Q380), 0, 1), 4, if(ISBLANK('2025'!$R380), 0, 1), 5, if(ISBLANK('2025'!$S380), 0, 1), 6, if(ISBLANK('2025'!$T380), 0, 1), 7, 0))), 1, "")</f>
        <v/>
      </c>
      <c r="AA416" s="1" t="str">
        <f>IF(AND(AND(AND(AA$4&gt;='2025'!$L380,AA$4&lt;='2025'!$M380), AA$4&lt;&gt;DATE(2025,7,4)), (SWITCH(weekday(AA$4), 1, 0, 2, if(ISBLANK('2025'!$P380), 0, 1), 3, if(ISBLANK('2025'!$Q380), 0, 1), 4, if(ISBLANK('2025'!$R380), 0, 1), 5, if(ISBLANK('2025'!$S380), 0, 1), 6, if(ISBLANK('2025'!$T380), 0, 1), 7, 0))), 1, "")</f>
        <v/>
      </c>
      <c r="AB416" s="1" t="str">
        <f>IF(AND(AND(AND(AB$4&gt;='2025'!$L380,AB$4&lt;='2025'!$M380), AB$4&lt;&gt;DATE(2025,7,4)), (SWITCH(weekday(AB$4), 1, 0, 2, if(ISBLANK('2025'!$P380), 0, 1), 3, if(ISBLANK('2025'!$Q380), 0, 1), 4, if(ISBLANK('2025'!$R380), 0, 1), 5, if(ISBLANK('2025'!$S380), 0, 1), 6, if(ISBLANK('2025'!$T380), 0, 1), 7, 0))), 1, "")</f>
        <v/>
      </c>
      <c r="AC416" s="1" t="str">
        <f>IF(AND(AND(AND(AC$4&gt;='2025'!$L380,AC$4&lt;='2025'!$M380), AC$4&lt;&gt;DATE(2025,7,4)), (SWITCH(weekday(AC$4), 1, 0, 2, if(ISBLANK('2025'!$P380), 0, 1), 3, if(ISBLANK('2025'!$Q380), 0, 1), 4, if(ISBLANK('2025'!$R380), 0, 1), 5, if(ISBLANK('2025'!$S380), 0, 1), 6, if(ISBLANK('2025'!$T380), 0, 1), 7, 0))), 1, "")</f>
        <v/>
      </c>
      <c r="AD416" s="1" t="str">
        <f>IF(AND(AND(AND(AD$4&gt;='2025'!$L380,AD$4&lt;='2025'!$M380), AD$4&lt;&gt;DATE(2025,7,4)), (SWITCH(weekday(AD$4), 1, 0, 2, if(ISBLANK('2025'!$P380), 0, 1), 3, if(ISBLANK('2025'!$Q380), 0, 1), 4, if(ISBLANK('2025'!$R380), 0, 1), 5, if(ISBLANK('2025'!$S380), 0, 1), 6, if(ISBLANK('2025'!$T380), 0, 1), 7, 0))), 1, "")</f>
        <v/>
      </c>
      <c r="AE416" s="1" t="str">
        <f>IF(AND(AND(AND(AE$4&gt;='2025'!$L380,AE$4&lt;='2025'!$M380), AE$4&lt;&gt;DATE(2025,7,4)), (SWITCH(weekday(AE$4), 1, 0, 2, if(ISBLANK('2025'!$P380), 0, 1), 3, if(ISBLANK('2025'!$Q380), 0, 1), 4, if(ISBLANK('2025'!$R380), 0, 1), 5, if(ISBLANK('2025'!$S380), 0, 1), 6, if(ISBLANK('2025'!$T380), 0, 1), 7, 0))), 1, "")</f>
        <v/>
      </c>
      <c r="AF416" s="1" t="str">
        <f>IF(AND(AND(AND(AF$4&gt;='2025'!$L380,AF$4&lt;='2025'!$M380), AF$4&lt;&gt;DATE(2025,7,4)), (SWITCH(weekday(AF$4), 1, 0, 2, if(ISBLANK('2025'!$P380), 0, 1), 3, if(ISBLANK('2025'!$Q380), 0, 1), 4, if(ISBLANK('2025'!$R380), 0, 1), 5, if(ISBLANK('2025'!$S380), 0, 1), 6, if(ISBLANK('2025'!$T380), 0, 1), 7, 0))), 1, "")</f>
        <v/>
      </c>
      <c r="AG416" s="1" t="str">
        <f>IF(AND(AND(AND(AG$4&gt;='2025'!$L380,AG$4&lt;='2025'!$M380), AG$4&lt;&gt;DATE(2025,7,4)), (SWITCH(weekday(AG$4), 1, 0, 2, if(ISBLANK('2025'!$P380), 0, 1), 3, if(ISBLANK('2025'!$Q380), 0, 1), 4, if(ISBLANK('2025'!$R380), 0, 1), 5, if(ISBLANK('2025'!$S380), 0, 1), 6, if(ISBLANK('2025'!$T380), 0, 1), 7, 0))), 1, "")</f>
        <v/>
      </c>
      <c r="AH416" s="1" t="str">
        <f>IF(AND(AND(AND(AH$4&gt;='2025'!$L380,AH$4&lt;='2025'!$M380), AH$4&lt;&gt;DATE(2025,7,4)), (SWITCH(weekday(AH$4), 1, 0, 2, if(ISBLANK('2025'!$P380), 0, 1), 3, if(ISBLANK('2025'!$Q380), 0, 1), 4, if(ISBLANK('2025'!$R380), 0, 1), 5, if(ISBLANK('2025'!$S380), 0, 1), 6, if(ISBLANK('2025'!$T380), 0, 1), 7, 0))), 1, "")</f>
        <v/>
      </c>
      <c r="AI416" s="1" t="str">
        <f>IF(AND(AND(AND(AI$4&gt;='2025'!$L380,AI$4&lt;='2025'!$M380), AI$4&lt;&gt;DATE(2025,7,4)), (SWITCH(weekday(AI$4), 1, 0, 2, if(ISBLANK('2025'!$P380), 0, 1), 3, if(ISBLANK('2025'!$Q380), 0, 1), 4, if(ISBLANK('2025'!$R380), 0, 1), 5, if(ISBLANK('2025'!$S380), 0, 1), 6, if(ISBLANK('2025'!$T380), 0, 1), 7, 0))), 1, "")</f>
        <v/>
      </c>
      <c r="AJ416" s="1" t="str">
        <f>IF(AND(AND(AND(AJ$4&gt;='2025'!$L380,AJ$4&lt;='2025'!$M380), AJ$4&lt;&gt;DATE(2025,7,4)), (SWITCH(weekday(AJ$4), 1, 0, 2, if(ISBLANK('2025'!$P380), 0, 1), 3, if(ISBLANK('2025'!$Q380), 0, 1), 4, if(ISBLANK('2025'!$R380), 0, 1), 5, if(ISBLANK('2025'!$S380), 0, 1), 6, if(ISBLANK('2025'!$T380), 0, 1), 7, 0))), 1, "")</f>
        <v/>
      </c>
      <c r="AK416" s="1" t="str">
        <f>IF(AND(AND(AND(AK$4&gt;='2025'!$L380,AK$4&lt;='2025'!$M380), AK$4&lt;&gt;DATE(2025,7,4)), (SWITCH(weekday(AK$4), 1, 0, 2, if(ISBLANK('2025'!$P380), 0, 1), 3, if(ISBLANK('2025'!$Q380), 0, 1), 4, if(ISBLANK('2025'!$R380), 0, 1), 5, if(ISBLANK('2025'!$S380), 0, 1), 6, if(ISBLANK('2025'!$T380), 0, 1), 7, 0))), 1, "")</f>
        <v/>
      </c>
      <c r="AL416" s="1" t="str">
        <f>IF(AND(AND(AND(AL$4&gt;='2025'!$L380,AL$4&lt;='2025'!$M380), AL$4&lt;&gt;DATE(2025,7,4)), (SWITCH(weekday(AL$4), 1, 0, 2, if(ISBLANK('2025'!$P380), 0, 1), 3, if(ISBLANK('2025'!$Q380), 0, 1), 4, if(ISBLANK('2025'!$R380), 0, 1), 5, if(ISBLANK('2025'!$S380), 0, 1), 6, if(ISBLANK('2025'!$T380), 0, 1), 7, 0))), 1, "")</f>
        <v/>
      </c>
      <c r="AM416" s="1" t="str">
        <f>IF(AND(AND(AND(AM$4&gt;='2025'!$L380,AM$4&lt;='2025'!$M380), AM$4&lt;&gt;DATE(2025,7,4)), (SWITCH(weekday(AM$4), 1, 0, 2, if(ISBLANK('2025'!$P380), 0, 1), 3, if(ISBLANK('2025'!$Q380), 0, 1), 4, if(ISBLANK('2025'!$R380), 0, 1), 5, if(ISBLANK('2025'!$S380), 0, 1), 6, if(ISBLANK('2025'!$T380), 0, 1), 7, 0))), 1, "")</f>
        <v/>
      </c>
      <c r="AN416" s="1" t="str">
        <f>IF(AND(AND(AND(AN$4&gt;='2025'!$L380,AN$4&lt;='2025'!$M380), AN$4&lt;&gt;DATE(2025,7,4)), (SWITCH(weekday(AN$4), 1, 0, 2, if(ISBLANK('2025'!$P380), 0, 1), 3, if(ISBLANK('2025'!$Q380), 0, 1), 4, if(ISBLANK('2025'!$R380), 0, 1), 5, if(ISBLANK('2025'!$S380), 0, 1), 6, if(ISBLANK('2025'!$T380), 0, 1), 7, 0))), 1, "")</f>
        <v/>
      </c>
      <c r="AO416" s="1" t="str">
        <f>IF(AND(AND(AND(AO$4&gt;='2025'!$L380,AO$4&lt;='2025'!$M380), AO$4&lt;&gt;DATE(2025,7,4)), (SWITCH(weekday(AO$4), 1, 0, 2, if(ISBLANK('2025'!$P380), 0, 1), 3, if(ISBLANK('2025'!$Q380), 0, 1), 4, if(ISBLANK('2025'!$R380), 0, 1), 5, if(ISBLANK('2025'!$S380), 0, 1), 6, if(ISBLANK('2025'!$T380), 0, 1), 7, 0))), 1, "")</f>
        <v/>
      </c>
      <c r="AP416" s="1" t="str">
        <f>IF(AND(AND(AND(AP$4&gt;='2025'!$L380,AP$4&lt;='2025'!$M380), AP$4&lt;&gt;DATE(2025,7,4)), (SWITCH(weekday(AP$4), 1, 0, 2, if(ISBLANK('2025'!$P380), 0, 1), 3, if(ISBLANK('2025'!$Q380), 0, 1), 4, if(ISBLANK('2025'!$R380), 0, 1), 5, if(ISBLANK('2025'!$S380), 0, 1), 6, if(ISBLANK('2025'!$T380), 0, 1), 7, 0))), 1, "")</f>
        <v/>
      </c>
      <c r="AQ416" s="1" t="str">
        <f>IF(AND(AND(AND(AQ$4&gt;='2025'!$L380,AQ$4&lt;='2025'!$M380), AQ$4&lt;&gt;DATE(2025,7,4)), (SWITCH(weekday(AQ$4), 1, 0, 2, if(ISBLANK('2025'!$P380), 0, 1), 3, if(ISBLANK('2025'!$Q380), 0, 1), 4, if(ISBLANK('2025'!$R380), 0, 1), 5, if(ISBLANK('2025'!$S380), 0, 1), 6, if(ISBLANK('2025'!$T380), 0, 1), 7, 0))), 1, "")</f>
        <v/>
      </c>
      <c r="AR416" s="1" t="str">
        <f>IF(AND(AND(AND(AR$4&gt;='2025'!$L380,AR$4&lt;='2025'!$M380), AR$4&lt;&gt;DATE(2025,7,4)), (SWITCH(weekday(AR$4), 1, 0, 2, if(ISBLANK('2025'!$P380), 0, 1), 3, if(ISBLANK('2025'!$Q380), 0, 1), 4, if(ISBLANK('2025'!$R380), 0, 1), 5, if(ISBLANK('2025'!$S380), 0, 1), 6, if(ISBLANK('2025'!$T380), 0, 1), 7, 0))), 1, "")</f>
        <v/>
      </c>
      <c r="AS416" s="1" t="str">
        <f>IF(AND(AND(AND(AS$4&gt;='2025'!$L380,AS$4&lt;='2025'!$M380), AS$4&lt;&gt;DATE(2025,7,4)), (SWITCH(weekday(AS$4), 1, 0, 2, if(ISBLANK('2025'!$P380), 0, 1), 3, if(ISBLANK('2025'!$Q380), 0, 1), 4, if(ISBLANK('2025'!$R380), 0, 1), 5, if(ISBLANK('2025'!$S380), 0, 1), 6, if(ISBLANK('2025'!$T380), 0, 1), 7, 0))), 1, "")</f>
        <v/>
      </c>
      <c r="AT416" s="1" t="str">
        <f>IF(AND(AND(AND(AT$4&gt;='2025'!$L380,AT$4&lt;='2025'!$M380), AT$4&lt;&gt;DATE(2025,7,4)), (SWITCH(weekday(AT$4), 1, 0, 2, if(ISBLANK('2025'!$P380), 0, 1), 3, if(ISBLANK('2025'!$Q380), 0, 1), 4, if(ISBLANK('2025'!$R380), 0, 1), 5, if(ISBLANK('2025'!$S380), 0, 1), 6, if(ISBLANK('2025'!$T380), 0, 1), 7, 0))), 1, "")</f>
        <v/>
      </c>
      <c r="AU416" s="1" t="str">
        <f>IF(AND(AND(AND(AU$4&gt;='2025'!$L380,AU$4&lt;='2025'!$M380), AU$4&lt;&gt;DATE(2025,7,4)), (SWITCH(weekday(AU$4), 1, 0, 2, if(ISBLANK('2025'!$P380), 0, 1), 3, if(ISBLANK('2025'!$Q380), 0, 1), 4, if(ISBLANK('2025'!$R380), 0, 1), 5, if(ISBLANK('2025'!$S380), 0, 1), 6, if(ISBLANK('2025'!$T380), 0, 1), 7, 0))), 1, "")</f>
        <v/>
      </c>
      <c r="AV416" s="1" t="str">
        <f>IF(AND(AND(AND(AV$4&gt;='2025'!$L380,AV$4&lt;='2025'!$M380), AV$4&lt;&gt;DATE(2025,7,4)), (SWITCH(weekday(AV$4), 1, 0, 2, if(ISBLANK('2025'!$P380), 0, 1), 3, if(ISBLANK('2025'!$Q380), 0, 1), 4, if(ISBLANK('2025'!$R380), 0, 1), 5, if(ISBLANK('2025'!$S380), 0, 1), 6, if(ISBLANK('2025'!$T380), 0, 1), 7, 0))), 1, "")</f>
        <v/>
      </c>
      <c r="AW416" s="1" t="str">
        <f>IF(AND(AND(AND(AW$4&gt;='2025'!$L380,AW$4&lt;='2025'!$M380), AW$4&lt;&gt;DATE(2025,7,4)), (SWITCH(weekday(AW$4), 1, 0, 2, if(ISBLANK('2025'!$P380), 0, 1), 3, if(ISBLANK('2025'!$Q380), 0, 1), 4, if(ISBLANK('2025'!$R380), 0, 1), 5, if(ISBLANK('2025'!$S380), 0, 1), 6, if(ISBLANK('2025'!$T380), 0, 1), 7, 0))), 1, "")</f>
        <v/>
      </c>
      <c r="AX416" s="1" t="str">
        <f>IF(AND(AND(AND(AX$4&gt;='2025'!$L380,AX$4&lt;='2025'!$M380), AX$4&lt;&gt;DATE(2025,7,4)), (SWITCH(weekday(AX$4), 1, 0, 2, if(ISBLANK('2025'!$P380), 0, 1), 3, if(ISBLANK('2025'!$Q380), 0, 1), 4, if(ISBLANK('2025'!$R380), 0, 1), 5, if(ISBLANK('2025'!$S380), 0, 1), 6, if(ISBLANK('2025'!$T380), 0, 1), 7, 0))), 1, "")</f>
        <v/>
      </c>
      <c r="AY416" s="1" t="str">
        <f>IF(AND(AND(AND(AY$4&gt;='2025'!$L380,AY$4&lt;='2025'!$M380), AY$4&lt;&gt;DATE(2025,7,4)), (SWITCH(weekday(AY$4), 1, 0, 2, if(ISBLANK('2025'!$P380), 0, 1), 3, if(ISBLANK('2025'!$Q380), 0, 1), 4, if(ISBLANK('2025'!$R380), 0, 1), 5, if(ISBLANK('2025'!$S380), 0, 1), 6, if(ISBLANK('2025'!$T380), 0, 1), 7, 0))), 1, "")</f>
        <v/>
      </c>
      <c r="AZ416" s="1" t="str">
        <f>IF(AND(AND(AND(AZ$4&gt;='2025'!$L380,AZ$4&lt;='2025'!$M380), AZ$4&lt;&gt;DATE(2025,7,4)), (SWITCH(weekday(AZ$4), 1, 0, 2, if(ISBLANK('2025'!$P380), 0, 1), 3, if(ISBLANK('2025'!$Q380), 0, 1), 4, if(ISBLANK('2025'!$R380), 0, 1), 5, if(ISBLANK('2025'!$S380), 0, 1), 6, if(ISBLANK('2025'!$T380), 0, 1), 7, 0))), 1, "")</f>
        <v/>
      </c>
      <c r="BA416" s="1" t="str">
        <f>IF(AND(AND(AND(BA$4&gt;='2025'!$L380,BA$4&lt;='2025'!$M380), BA$4&lt;&gt;DATE(2025,7,4)), (SWITCH(weekday(BA$4), 1, 0, 2, if(ISBLANK('2025'!$P380), 0, 1), 3, if(ISBLANK('2025'!$Q380), 0, 1), 4, if(ISBLANK('2025'!$R380), 0, 1), 5, if(ISBLANK('2025'!$S380), 0, 1), 6, if(ISBLANK('2025'!$T380), 0, 1), 7, 0))), 1, "")</f>
        <v/>
      </c>
      <c r="BB416" s="1" t="str">
        <f>IF(AND(AND(AND(BB$4&gt;='2025'!$L380,BB$4&lt;='2025'!$M380), BB$4&lt;&gt;DATE(2025,7,4)), (SWITCH(weekday(BB$4), 1, 0, 2, if(ISBLANK('2025'!$P380), 0, 1), 3, if(ISBLANK('2025'!$Q380), 0, 1), 4, if(ISBLANK('2025'!$R380), 0, 1), 5, if(ISBLANK('2025'!$S380), 0, 1), 6, if(ISBLANK('2025'!$T380), 0, 1), 7, 0))), 1, "")</f>
        <v/>
      </c>
      <c r="BC416" s="1" t="str">
        <f>IF(AND(AND(AND(BC$4&gt;='2025'!$L380,BC$4&lt;='2025'!$M380), BC$4&lt;&gt;DATE(2025,7,4)), (SWITCH(weekday(BC$4), 1, 0, 2, if(ISBLANK('2025'!$P380), 0, 1), 3, if(ISBLANK('2025'!$Q380), 0, 1), 4, if(ISBLANK('2025'!$R380), 0, 1), 5, if(ISBLANK('2025'!$S380), 0, 1), 6, if(ISBLANK('2025'!$T380), 0, 1), 7, 0))), 1, "")</f>
        <v/>
      </c>
      <c r="BD416" s="1" t="str">
        <f>IF(AND(AND(AND(BD$4&gt;='2025'!$L380,BD$4&lt;='2025'!$M380), BD$4&lt;&gt;DATE(2025,7,4)), (SWITCH(weekday(BD$4), 1, 0, 2, if(ISBLANK('2025'!$P380), 0, 1), 3, if(ISBLANK('2025'!$Q380), 0, 1), 4, if(ISBLANK('2025'!$R380), 0, 1), 5, if(ISBLANK('2025'!$S380), 0, 1), 6, if(ISBLANK('2025'!$T380), 0, 1), 7, 0))), 1, "")</f>
        <v/>
      </c>
      <c r="BE416" s="1" t="str">
        <f>IF(AND(AND(AND(BE$4&gt;='2025'!$L380,BE$4&lt;='2025'!$M380), BE$4&lt;&gt;DATE(2025,7,4)), (SWITCH(weekday(BE$4), 1, 0, 2, if(ISBLANK('2025'!$P380), 0, 1), 3, if(ISBLANK('2025'!$Q380), 0, 1), 4, if(ISBLANK('2025'!$R380), 0, 1), 5, if(ISBLANK('2025'!$S380), 0, 1), 6, if(ISBLANK('2025'!$T380), 0, 1), 7, 0))), 1, "")</f>
        <v/>
      </c>
    </row>
    <row r="417">
      <c r="A417" s="1">
        <f t="shared" si="3"/>
        <v>417</v>
      </c>
      <c r="B417" s="1" t="str">
        <f>'2025'!D381</f>
        <v/>
      </c>
      <c r="C417" s="1" t="str">
        <f>'2025'!H381</f>
        <v/>
      </c>
      <c r="D417" s="1" t="str">
        <f>IF(AND(AND(AND(D$4&gt;='2025'!$L381,D$4&lt;='2025'!$M381), D$4&lt;&gt;DATE(2025,7,4)), (SWITCH(weekday(D$4), 1, 0, 2, if(ISBLANK('2025'!$P381), 0, 1), 3, if(ISBLANK('2025'!$Q381), 0, 1), 4, if(ISBLANK('2025'!$R381), 0, 1), 5, if(ISBLANK('2025'!$S381), 0, 1), 6, if(ISBLANK('2025'!$T381), 0, 1), 7, 0))), 1, "")</f>
        <v/>
      </c>
      <c r="E417" s="1" t="str">
        <f>IF(AND(AND(AND(E$4&gt;='2025'!$L381,E$4&lt;='2025'!$M381), E$4&lt;&gt;DATE(2025,7,4)), (SWITCH(weekday(E$4), 1, 0, 2, if(ISBLANK('2025'!$P381), 0, 1), 3, if(ISBLANK('2025'!$Q381), 0, 1), 4, if(ISBLANK('2025'!$R381), 0, 1), 5, if(ISBLANK('2025'!$S381), 0, 1), 6, if(ISBLANK('2025'!$T381), 0, 1), 7, 0))), 1, "")</f>
        <v/>
      </c>
      <c r="F417" s="1" t="str">
        <f>IF(AND(AND(AND(F$4&gt;='2025'!$L381,F$4&lt;='2025'!$M381), F$4&lt;&gt;DATE(2025,7,4)), (SWITCH(weekday(F$4), 1, 0, 2, if(ISBLANK('2025'!$P381), 0, 1), 3, if(ISBLANK('2025'!$Q381), 0, 1), 4, if(ISBLANK('2025'!$R381), 0, 1), 5, if(ISBLANK('2025'!$S381), 0, 1), 6, if(ISBLANK('2025'!$T381), 0, 1), 7, 0))), 1, "")</f>
        <v/>
      </c>
      <c r="G417" s="1" t="str">
        <f>IF(AND(AND(AND(G$4&gt;='2025'!$L381,G$4&lt;='2025'!$M381), G$4&lt;&gt;DATE(2025,7,4)), (SWITCH(weekday(G$4), 1, 0, 2, if(ISBLANK('2025'!$P381), 0, 1), 3, if(ISBLANK('2025'!$Q381), 0, 1), 4, if(ISBLANK('2025'!$R381), 0, 1), 5, if(ISBLANK('2025'!$S381), 0, 1), 6, if(ISBLANK('2025'!$T381), 0, 1), 7, 0))), 1, "")</f>
        <v/>
      </c>
      <c r="H417" s="1" t="str">
        <f>IF(AND(AND(AND(H$4&gt;='2025'!$L381,H$4&lt;='2025'!$M381), H$4&lt;&gt;DATE(2025,7,4)), (SWITCH(weekday(H$4), 1, 0, 2, if(ISBLANK('2025'!$P381), 0, 1), 3, if(ISBLANK('2025'!$Q381), 0, 1), 4, if(ISBLANK('2025'!$R381), 0, 1), 5, if(ISBLANK('2025'!$S381), 0, 1), 6, if(ISBLANK('2025'!$T381), 0, 1), 7, 0))), 1, "")</f>
        <v/>
      </c>
      <c r="I417" s="1" t="str">
        <f>IF(AND(AND(AND(I$4&gt;='2025'!$L381,I$4&lt;='2025'!$M381), I$4&lt;&gt;DATE(2025,7,4)), (SWITCH(weekday(I$4), 1, 0, 2, if(ISBLANK('2025'!$P381), 0, 1), 3, if(ISBLANK('2025'!$Q381), 0, 1), 4, if(ISBLANK('2025'!$R381), 0, 1), 5, if(ISBLANK('2025'!$S381), 0, 1), 6, if(ISBLANK('2025'!$T381), 0, 1), 7, 0))), 1, "")</f>
        <v/>
      </c>
      <c r="J417" s="1" t="str">
        <f>IF(AND(AND(AND(J$4&gt;='2025'!$L381,J$4&lt;='2025'!$M381), J$4&lt;&gt;DATE(2025,7,4)), (SWITCH(weekday(J$4), 1, 0, 2, if(ISBLANK('2025'!$P381), 0, 1), 3, if(ISBLANK('2025'!$Q381), 0, 1), 4, if(ISBLANK('2025'!$R381), 0, 1), 5, if(ISBLANK('2025'!$S381), 0, 1), 6, if(ISBLANK('2025'!$T381), 0, 1), 7, 0))), 1, "")</f>
        <v/>
      </c>
      <c r="K417" s="1" t="str">
        <f>IF(AND(AND(AND(K$4&gt;='2025'!$L381,K$4&lt;='2025'!$M381), K$4&lt;&gt;DATE(2025,7,4)), (SWITCH(weekday(K$4), 1, 0, 2, if(ISBLANK('2025'!$P381), 0, 1), 3, if(ISBLANK('2025'!$Q381), 0, 1), 4, if(ISBLANK('2025'!$R381), 0, 1), 5, if(ISBLANK('2025'!$S381), 0, 1), 6, if(ISBLANK('2025'!$T381), 0, 1), 7, 0))), 1, "")</f>
        <v/>
      </c>
      <c r="L417" s="1" t="str">
        <f>IF(AND(AND(AND(L$4&gt;='2025'!$L381,L$4&lt;='2025'!$M381), L$4&lt;&gt;DATE(2025,7,4)), (SWITCH(weekday(L$4), 1, 0, 2, if(ISBLANK('2025'!$P381), 0, 1), 3, if(ISBLANK('2025'!$Q381), 0, 1), 4, if(ISBLANK('2025'!$R381), 0, 1), 5, if(ISBLANK('2025'!$S381), 0, 1), 6, if(ISBLANK('2025'!$T381), 0, 1), 7, 0))), 1, "")</f>
        <v/>
      </c>
      <c r="M417" s="1" t="str">
        <f>IF(AND(AND(AND(M$4&gt;='2025'!$L381,M$4&lt;='2025'!$M381), M$4&lt;&gt;DATE(2025,7,4)), (SWITCH(weekday(M$4), 1, 0, 2, if(ISBLANK('2025'!$P381), 0, 1), 3, if(ISBLANK('2025'!$Q381), 0, 1), 4, if(ISBLANK('2025'!$R381), 0, 1), 5, if(ISBLANK('2025'!$S381), 0, 1), 6, if(ISBLANK('2025'!$T381), 0, 1), 7, 0))), 1, "")</f>
        <v/>
      </c>
      <c r="N417" s="1" t="str">
        <f>IF(AND(AND(AND(N$4&gt;='2025'!$L381,N$4&lt;='2025'!$M381), N$4&lt;&gt;DATE(2025,7,4)), (SWITCH(weekday(N$4), 1, 0, 2, if(ISBLANK('2025'!$P381), 0, 1), 3, if(ISBLANK('2025'!$Q381), 0, 1), 4, if(ISBLANK('2025'!$R381), 0, 1), 5, if(ISBLANK('2025'!$S381), 0, 1), 6, if(ISBLANK('2025'!$T381), 0, 1), 7, 0))), 1, "")</f>
        <v/>
      </c>
      <c r="O417" s="1" t="str">
        <f>IF(AND(AND(AND(O$4&gt;='2025'!$L381,O$4&lt;='2025'!$M381), O$4&lt;&gt;DATE(2025,7,4)), (SWITCH(weekday(O$4), 1, 0, 2, if(ISBLANK('2025'!$P381), 0, 1), 3, if(ISBLANK('2025'!$Q381), 0, 1), 4, if(ISBLANK('2025'!$R381), 0, 1), 5, if(ISBLANK('2025'!$S381), 0, 1), 6, if(ISBLANK('2025'!$T381), 0, 1), 7, 0))), 1, "")</f>
        <v/>
      </c>
      <c r="P417" s="1" t="str">
        <f>IF(AND(AND(AND(P$4&gt;='2025'!$L381,P$4&lt;='2025'!$M381), P$4&lt;&gt;DATE(2025,7,4)), (SWITCH(weekday(P$4), 1, 0, 2, if(ISBLANK('2025'!$P381), 0, 1), 3, if(ISBLANK('2025'!$Q381), 0, 1), 4, if(ISBLANK('2025'!$R381), 0, 1), 5, if(ISBLANK('2025'!$S381), 0, 1), 6, if(ISBLANK('2025'!$T381), 0, 1), 7, 0))), 1, "")</f>
        <v/>
      </c>
      <c r="Q417" s="1" t="str">
        <f>IF(AND(AND(AND(Q$4&gt;='2025'!$L381,Q$4&lt;='2025'!$M381), Q$4&lt;&gt;DATE(2025,7,4)), (SWITCH(weekday(Q$4), 1, 0, 2, if(ISBLANK('2025'!$P381), 0, 1), 3, if(ISBLANK('2025'!$Q381), 0, 1), 4, if(ISBLANK('2025'!$R381), 0, 1), 5, if(ISBLANK('2025'!$S381), 0, 1), 6, if(ISBLANK('2025'!$T381), 0, 1), 7, 0))), 1, "")</f>
        <v/>
      </c>
      <c r="R417" s="1" t="str">
        <f>IF(AND(AND(AND(R$4&gt;='2025'!$L381,R$4&lt;='2025'!$M381), R$4&lt;&gt;DATE(2025,7,4)), (SWITCH(weekday(R$4), 1, 0, 2, if(ISBLANK('2025'!$P381), 0, 1), 3, if(ISBLANK('2025'!$Q381), 0, 1), 4, if(ISBLANK('2025'!$R381), 0, 1), 5, if(ISBLANK('2025'!$S381), 0, 1), 6, if(ISBLANK('2025'!$T381), 0, 1), 7, 0))), 1, "")</f>
        <v/>
      </c>
      <c r="S417" s="1" t="str">
        <f>IF(AND(AND(AND(S$4&gt;='2025'!$L381,S$4&lt;='2025'!$M381), S$4&lt;&gt;DATE(2025,7,4)), (SWITCH(weekday(S$4), 1, 0, 2, if(ISBLANK('2025'!$P381), 0, 1), 3, if(ISBLANK('2025'!$Q381), 0, 1), 4, if(ISBLANK('2025'!$R381), 0, 1), 5, if(ISBLANK('2025'!$S381), 0, 1), 6, if(ISBLANK('2025'!$T381), 0, 1), 7, 0))), 1, "")</f>
        <v/>
      </c>
      <c r="T417" s="1" t="str">
        <f>IF(AND(AND(AND(T$4&gt;='2025'!$L381,T$4&lt;='2025'!$M381), T$4&lt;&gt;DATE(2025,7,4)), (SWITCH(weekday(T$4), 1, 0, 2, if(ISBLANK('2025'!$P381), 0, 1), 3, if(ISBLANK('2025'!$Q381), 0, 1), 4, if(ISBLANK('2025'!$R381), 0, 1), 5, if(ISBLANK('2025'!$S381), 0, 1), 6, if(ISBLANK('2025'!$T381), 0, 1), 7, 0))), 1, "")</f>
        <v/>
      </c>
      <c r="U417" s="1" t="str">
        <f>IF(AND(AND(AND(U$4&gt;='2025'!$L381,U$4&lt;='2025'!$M381), U$4&lt;&gt;DATE(2025,7,4)), (SWITCH(weekday(U$4), 1, 0, 2, if(ISBLANK('2025'!$P381), 0, 1), 3, if(ISBLANK('2025'!$Q381), 0, 1), 4, if(ISBLANK('2025'!$R381), 0, 1), 5, if(ISBLANK('2025'!$S381), 0, 1), 6, if(ISBLANK('2025'!$T381), 0, 1), 7, 0))), 1, "")</f>
        <v/>
      </c>
      <c r="V417" s="1" t="str">
        <f>IF(AND(AND(AND(V$4&gt;='2025'!$L381,V$4&lt;='2025'!$M381), V$4&lt;&gt;DATE(2025,7,4)), (SWITCH(weekday(V$4), 1, 0, 2, if(ISBLANK('2025'!$P381), 0, 1), 3, if(ISBLANK('2025'!$Q381), 0, 1), 4, if(ISBLANK('2025'!$R381), 0, 1), 5, if(ISBLANK('2025'!$S381), 0, 1), 6, if(ISBLANK('2025'!$T381), 0, 1), 7, 0))), 1, "")</f>
        <v/>
      </c>
      <c r="W417" s="1" t="str">
        <f>IF(AND(AND(AND(W$4&gt;='2025'!$L381,W$4&lt;='2025'!$M381), W$4&lt;&gt;DATE(2025,7,4)), (SWITCH(weekday(W$4), 1, 0, 2, if(ISBLANK('2025'!$P381), 0, 1), 3, if(ISBLANK('2025'!$Q381), 0, 1), 4, if(ISBLANK('2025'!$R381), 0, 1), 5, if(ISBLANK('2025'!$S381), 0, 1), 6, if(ISBLANK('2025'!$T381), 0, 1), 7, 0))), 1, "")</f>
        <v/>
      </c>
      <c r="X417" s="1" t="str">
        <f>IF(AND(AND(AND(X$4&gt;='2025'!$L381,X$4&lt;='2025'!$M381), X$4&lt;&gt;DATE(2025,7,4)), (SWITCH(weekday(X$4), 1, 0, 2, if(ISBLANK('2025'!$P381), 0, 1), 3, if(ISBLANK('2025'!$Q381), 0, 1), 4, if(ISBLANK('2025'!$R381), 0, 1), 5, if(ISBLANK('2025'!$S381), 0, 1), 6, if(ISBLANK('2025'!$T381), 0, 1), 7, 0))), 1, "")</f>
        <v/>
      </c>
      <c r="Y417" s="1" t="str">
        <f>IF(AND(AND(AND(Y$4&gt;='2025'!$L381,Y$4&lt;='2025'!$M381), Y$4&lt;&gt;DATE(2025,7,4)), (SWITCH(weekday(Y$4), 1, 0, 2, if(ISBLANK('2025'!$P381), 0, 1), 3, if(ISBLANK('2025'!$Q381), 0, 1), 4, if(ISBLANK('2025'!$R381), 0, 1), 5, if(ISBLANK('2025'!$S381), 0, 1), 6, if(ISBLANK('2025'!$T381), 0, 1), 7, 0))), 1, "")</f>
        <v/>
      </c>
      <c r="Z417" s="1" t="str">
        <f>IF(AND(AND(AND(Z$4&gt;='2025'!$L381,Z$4&lt;='2025'!$M381), Z$4&lt;&gt;DATE(2025,7,4)), (SWITCH(weekday(Z$4), 1, 0, 2, if(ISBLANK('2025'!$P381), 0, 1), 3, if(ISBLANK('2025'!$Q381), 0, 1), 4, if(ISBLANK('2025'!$R381), 0, 1), 5, if(ISBLANK('2025'!$S381), 0, 1), 6, if(ISBLANK('2025'!$T381), 0, 1), 7, 0))), 1, "")</f>
        <v/>
      </c>
      <c r="AA417" s="1" t="str">
        <f>IF(AND(AND(AND(AA$4&gt;='2025'!$L381,AA$4&lt;='2025'!$M381), AA$4&lt;&gt;DATE(2025,7,4)), (SWITCH(weekday(AA$4), 1, 0, 2, if(ISBLANK('2025'!$P381), 0, 1), 3, if(ISBLANK('2025'!$Q381), 0, 1), 4, if(ISBLANK('2025'!$R381), 0, 1), 5, if(ISBLANK('2025'!$S381), 0, 1), 6, if(ISBLANK('2025'!$T381), 0, 1), 7, 0))), 1, "")</f>
        <v/>
      </c>
      <c r="AB417" s="1" t="str">
        <f>IF(AND(AND(AND(AB$4&gt;='2025'!$L381,AB$4&lt;='2025'!$M381), AB$4&lt;&gt;DATE(2025,7,4)), (SWITCH(weekday(AB$4), 1, 0, 2, if(ISBLANK('2025'!$P381), 0, 1), 3, if(ISBLANK('2025'!$Q381), 0, 1), 4, if(ISBLANK('2025'!$R381), 0, 1), 5, if(ISBLANK('2025'!$S381), 0, 1), 6, if(ISBLANK('2025'!$T381), 0, 1), 7, 0))), 1, "")</f>
        <v/>
      </c>
      <c r="AC417" s="1" t="str">
        <f>IF(AND(AND(AND(AC$4&gt;='2025'!$L381,AC$4&lt;='2025'!$M381), AC$4&lt;&gt;DATE(2025,7,4)), (SWITCH(weekday(AC$4), 1, 0, 2, if(ISBLANK('2025'!$P381), 0, 1), 3, if(ISBLANK('2025'!$Q381), 0, 1), 4, if(ISBLANK('2025'!$R381), 0, 1), 5, if(ISBLANK('2025'!$S381), 0, 1), 6, if(ISBLANK('2025'!$T381), 0, 1), 7, 0))), 1, "")</f>
        <v/>
      </c>
      <c r="AD417" s="1" t="str">
        <f>IF(AND(AND(AND(AD$4&gt;='2025'!$L381,AD$4&lt;='2025'!$M381), AD$4&lt;&gt;DATE(2025,7,4)), (SWITCH(weekday(AD$4), 1, 0, 2, if(ISBLANK('2025'!$P381), 0, 1), 3, if(ISBLANK('2025'!$Q381), 0, 1), 4, if(ISBLANK('2025'!$R381), 0, 1), 5, if(ISBLANK('2025'!$S381), 0, 1), 6, if(ISBLANK('2025'!$T381), 0, 1), 7, 0))), 1, "")</f>
        <v/>
      </c>
      <c r="AE417" s="1" t="str">
        <f>IF(AND(AND(AND(AE$4&gt;='2025'!$L381,AE$4&lt;='2025'!$M381), AE$4&lt;&gt;DATE(2025,7,4)), (SWITCH(weekday(AE$4), 1, 0, 2, if(ISBLANK('2025'!$P381), 0, 1), 3, if(ISBLANK('2025'!$Q381), 0, 1), 4, if(ISBLANK('2025'!$R381), 0, 1), 5, if(ISBLANK('2025'!$S381), 0, 1), 6, if(ISBLANK('2025'!$T381), 0, 1), 7, 0))), 1, "")</f>
        <v/>
      </c>
      <c r="AF417" s="1" t="str">
        <f>IF(AND(AND(AND(AF$4&gt;='2025'!$L381,AF$4&lt;='2025'!$M381), AF$4&lt;&gt;DATE(2025,7,4)), (SWITCH(weekday(AF$4), 1, 0, 2, if(ISBLANK('2025'!$P381), 0, 1), 3, if(ISBLANK('2025'!$Q381), 0, 1), 4, if(ISBLANK('2025'!$R381), 0, 1), 5, if(ISBLANK('2025'!$S381), 0, 1), 6, if(ISBLANK('2025'!$T381), 0, 1), 7, 0))), 1, "")</f>
        <v/>
      </c>
      <c r="AG417" s="1" t="str">
        <f>IF(AND(AND(AND(AG$4&gt;='2025'!$L381,AG$4&lt;='2025'!$M381), AG$4&lt;&gt;DATE(2025,7,4)), (SWITCH(weekday(AG$4), 1, 0, 2, if(ISBLANK('2025'!$P381), 0, 1), 3, if(ISBLANK('2025'!$Q381), 0, 1), 4, if(ISBLANK('2025'!$R381), 0, 1), 5, if(ISBLANK('2025'!$S381), 0, 1), 6, if(ISBLANK('2025'!$T381), 0, 1), 7, 0))), 1, "")</f>
        <v/>
      </c>
      <c r="AH417" s="1" t="str">
        <f>IF(AND(AND(AND(AH$4&gt;='2025'!$L381,AH$4&lt;='2025'!$M381), AH$4&lt;&gt;DATE(2025,7,4)), (SWITCH(weekday(AH$4), 1, 0, 2, if(ISBLANK('2025'!$P381), 0, 1), 3, if(ISBLANK('2025'!$Q381), 0, 1), 4, if(ISBLANK('2025'!$R381), 0, 1), 5, if(ISBLANK('2025'!$S381), 0, 1), 6, if(ISBLANK('2025'!$T381), 0, 1), 7, 0))), 1, "")</f>
        <v/>
      </c>
      <c r="AI417" s="1" t="str">
        <f>IF(AND(AND(AND(AI$4&gt;='2025'!$L381,AI$4&lt;='2025'!$M381), AI$4&lt;&gt;DATE(2025,7,4)), (SWITCH(weekday(AI$4), 1, 0, 2, if(ISBLANK('2025'!$P381), 0, 1), 3, if(ISBLANK('2025'!$Q381), 0, 1), 4, if(ISBLANK('2025'!$R381), 0, 1), 5, if(ISBLANK('2025'!$S381), 0, 1), 6, if(ISBLANK('2025'!$T381), 0, 1), 7, 0))), 1, "")</f>
        <v/>
      </c>
      <c r="AJ417" s="1" t="str">
        <f>IF(AND(AND(AND(AJ$4&gt;='2025'!$L381,AJ$4&lt;='2025'!$M381), AJ$4&lt;&gt;DATE(2025,7,4)), (SWITCH(weekday(AJ$4), 1, 0, 2, if(ISBLANK('2025'!$P381), 0, 1), 3, if(ISBLANK('2025'!$Q381), 0, 1), 4, if(ISBLANK('2025'!$R381), 0, 1), 5, if(ISBLANK('2025'!$S381), 0, 1), 6, if(ISBLANK('2025'!$T381), 0, 1), 7, 0))), 1, "")</f>
        <v/>
      </c>
      <c r="AK417" s="1" t="str">
        <f>IF(AND(AND(AND(AK$4&gt;='2025'!$L381,AK$4&lt;='2025'!$M381), AK$4&lt;&gt;DATE(2025,7,4)), (SWITCH(weekday(AK$4), 1, 0, 2, if(ISBLANK('2025'!$P381), 0, 1), 3, if(ISBLANK('2025'!$Q381), 0, 1), 4, if(ISBLANK('2025'!$R381), 0, 1), 5, if(ISBLANK('2025'!$S381), 0, 1), 6, if(ISBLANK('2025'!$T381), 0, 1), 7, 0))), 1, "")</f>
        <v/>
      </c>
      <c r="AL417" s="1" t="str">
        <f>IF(AND(AND(AND(AL$4&gt;='2025'!$L381,AL$4&lt;='2025'!$M381), AL$4&lt;&gt;DATE(2025,7,4)), (SWITCH(weekday(AL$4), 1, 0, 2, if(ISBLANK('2025'!$P381), 0, 1), 3, if(ISBLANK('2025'!$Q381), 0, 1), 4, if(ISBLANK('2025'!$R381), 0, 1), 5, if(ISBLANK('2025'!$S381), 0, 1), 6, if(ISBLANK('2025'!$T381), 0, 1), 7, 0))), 1, "")</f>
        <v/>
      </c>
      <c r="AM417" s="1" t="str">
        <f>IF(AND(AND(AND(AM$4&gt;='2025'!$L381,AM$4&lt;='2025'!$M381), AM$4&lt;&gt;DATE(2025,7,4)), (SWITCH(weekday(AM$4), 1, 0, 2, if(ISBLANK('2025'!$P381), 0, 1), 3, if(ISBLANK('2025'!$Q381), 0, 1), 4, if(ISBLANK('2025'!$R381), 0, 1), 5, if(ISBLANK('2025'!$S381), 0, 1), 6, if(ISBLANK('2025'!$T381), 0, 1), 7, 0))), 1, "")</f>
        <v/>
      </c>
      <c r="AN417" s="1" t="str">
        <f>IF(AND(AND(AND(AN$4&gt;='2025'!$L381,AN$4&lt;='2025'!$M381), AN$4&lt;&gt;DATE(2025,7,4)), (SWITCH(weekday(AN$4), 1, 0, 2, if(ISBLANK('2025'!$P381), 0, 1), 3, if(ISBLANK('2025'!$Q381), 0, 1), 4, if(ISBLANK('2025'!$R381), 0, 1), 5, if(ISBLANK('2025'!$S381), 0, 1), 6, if(ISBLANK('2025'!$T381), 0, 1), 7, 0))), 1, "")</f>
        <v/>
      </c>
      <c r="AO417" s="1" t="str">
        <f>IF(AND(AND(AND(AO$4&gt;='2025'!$L381,AO$4&lt;='2025'!$M381), AO$4&lt;&gt;DATE(2025,7,4)), (SWITCH(weekday(AO$4), 1, 0, 2, if(ISBLANK('2025'!$P381), 0, 1), 3, if(ISBLANK('2025'!$Q381), 0, 1), 4, if(ISBLANK('2025'!$R381), 0, 1), 5, if(ISBLANK('2025'!$S381), 0, 1), 6, if(ISBLANK('2025'!$T381), 0, 1), 7, 0))), 1, "")</f>
        <v/>
      </c>
      <c r="AP417" s="1" t="str">
        <f>IF(AND(AND(AND(AP$4&gt;='2025'!$L381,AP$4&lt;='2025'!$M381), AP$4&lt;&gt;DATE(2025,7,4)), (SWITCH(weekday(AP$4), 1, 0, 2, if(ISBLANK('2025'!$P381), 0, 1), 3, if(ISBLANK('2025'!$Q381), 0, 1), 4, if(ISBLANK('2025'!$R381), 0, 1), 5, if(ISBLANK('2025'!$S381), 0, 1), 6, if(ISBLANK('2025'!$T381), 0, 1), 7, 0))), 1, "")</f>
        <v/>
      </c>
      <c r="AQ417" s="1" t="str">
        <f>IF(AND(AND(AND(AQ$4&gt;='2025'!$L381,AQ$4&lt;='2025'!$M381), AQ$4&lt;&gt;DATE(2025,7,4)), (SWITCH(weekday(AQ$4), 1, 0, 2, if(ISBLANK('2025'!$P381), 0, 1), 3, if(ISBLANK('2025'!$Q381), 0, 1), 4, if(ISBLANK('2025'!$R381), 0, 1), 5, if(ISBLANK('2025'!$S381), 0, 1), 6, if(ISBLANK('2025'!$T381), 0, 1), 7, 0))), 1, "")</f>
        <v/>
      </c>
      <c r="AR417" s="1" t="str">
        <f>IF(AND(AND(AND(AR$4&gt;='2025'!$L381,AR$4&lt;='2025'!$M381), AR$4&lt;&gt;DATE(2025,7,4)), (SWITCH(weekday(AR$4), 1, 0, 2, if(ISBLANK('2025'!$P381), 0, 1), 3, if(ISBLANK('2025'!$Q381), 0, 1), 4, if(ISBLANK('2025'!$R381), 0, 1), 5, if(ISBLANK('2025'!$S381), 0, 1), 6, if(ISBLANK('2025'!$T381), 0, 1), 7, 0))), 1, "")</f>
        <v/>
      </c>
      <c r="AS417" s="1" t="str">
        <f>IF(AND(AND(AND(AS$4&gt;='2025'!$L381,AS$4&lt;='2025'!$M381), AS$4&lt;&gt;DATE(2025,7,4)), (SWITCH(weekday(AS$4), 1, 0, 2, if(ISBLANK('2025'!$P381), 0, 1), 3, if(ISBLANK('2025'!$Q381), 0, 1), 4, if(ISBLANK('2025'!$R381), 0, 1), 5, if(ISBLANK('2025'!$S381), 0, 1), 6, if(ISBLANK('2025'!$T381), 0, 1), 7, 0))), 1, "")</f>
        <v/>
      </c>
      <c r="AT417" s="1" t="str">
        <f>IF(AND(AND(AND(AT$4&gt;='2025'!$L381,AT$4&lt;='2025'!$M381), AT$4&lt;&gt;DATE(2025,7,4)), (SWITCH(weekday(AT$4), 1, 0, 2, if(ISBLANK('2025'!$P381), 0, 1), 3, if(ISBLANK('2025'!$Q381), 0, 1), 4, if(ISBLANK('2025'!$R381), 0, 1), 5, if(ISBLANK('2025'!$S381), 0, 1), 6, if(ISBLANK('2025'!$T381), 0, 1), 7, 0))), 1, "")</f>
        <v/>
      </c>
      <c r="AU417" s="1" t="str">
        <f>IF(AND(AND(AND(AU$4&gt;='2025'!$L381,AU$4&lt;='2025'!$M381), AU$4&lt;&gt;DATE(2025,7,4)), (SWITCH(weekday(AU$4), 1, 0, 2, if(ISBLANK('2025'!$P381), 0, 1), 3, if(ISBLANK('2025'!$Q381), 0, 1), 4, if(ISBLANK('2025'!$R381), 0, 1), 5, if(ISBLANK('2025'!$S381), 0, 1), 6, if(ISBLANK('2025'!$T381), 0, 1), 7, 0))), 1, "")</f>
        <v/>
      </c>
      <c r="AV417" s="1" t="str">
        <f>IF(AND(AND(AND(AV$4&gt;='2025'!$L381,AV$4&lt;='2025'!$M381), AV$4&lt;&gt;DATE(2025,7,4)), (SWITCH(weekday(AV$4), 1, 0, 2, if(ISBLANK('2025'!$P381), 0, 1), 3, if(ISBLANK('2025'!$Q381), 0, 1), 4, if(ISBLANK('2025'!$R381), 0, 1), 5, if(ISBLANK('2025'!$S381), 0, 1), 6, if(ISBLANK('2025'!$T381), 0, 1), 7, 0))), 1, "")</f>
        <v/>
      </c>
      <c r="AW417" s="1" t="str">
        <f>IF(AND(AND(AND(AW$4&gt;='2025'!$L381,AW$4&lt;='2025'!$M381), AW$4&lt;&gt;DATE(2025,7,4)), (SWITCH(weekday(AW$4), 1, 0, 2, if(ISBLANK('2025'!$P381), 0, 1), 3, if(ISBLANK('2025'!$Q381), 0, 1), 4, if(ISBLANK('2025'!$R381), 0, 1), 5, if(ISBLANK('2025'!$S381), 0, 1), 6, if(ISBLANK('2025'!$T381), 0, 1), 7, 0))), 1, "")</f>
        <v/>
      </c>
      <c r="AX417" s="1" t="str">
        <f>IF(AND(AND(AND(AX$4&gt;='2025'!$L381,AX$4&lt;='2025'!$M381), AX$4&lt;&gt;DATE(2025,7,4)), (SWITCH(weekday(AX$4), 1, 0, 2, if(ISBLANK('2025'!$P381), 0, 1), 3, if(ISBLANK('2025'!$Q381), 0, 1), 4, if(ISBLANK('2025'!$R381), 0, 1), 5, if(ISBLANK('2025'!$S381), 0, 1), 6, if(ISBLANK('2025'!$T381), 0, 1), 7, 0))), 1, "")</f>
        <v/>
      </c>
      <c r="AY417" s="1" t="str">
        <f>IF(AND(AND(AND(AY$4&gt;='2025'!$L381,AY$4&lt;='2025'!$M381), AY$4&lt;&gt;DATE(2025,7,4)), (SWITCH(weekday(AY$4), 1, 0, 2, if(ISBLANK('2025'!$P381), 0, 1), 3, if(ISBLANK('2025'!$Q381), 0, 1), 4, if(ISBLANK('2025'!$R381), 0, 1), 5, if(ISBLANK('2025'!$S381), 0, 1), 6, if(ISBLANK('2025'!$T381), 0, 1), 7, 0))), 1, "")</f>
        <v/>
      </c>
      <c r="AZ417" s="1" t="str">
        <f>IF(AND(AND(AND(AZ$4&gt;='2025'!$L381,AZ$4&lt;='2025'!$M381), AZ$4&lt;&gt;DATE(2025,7,4)), (SWITCH(weekday(AZ$4), 1, 0, 2, if(ISBLANK('2025'!$P381), 0, 1), 3, if(ISBLANK('2025'!$Q381), 0, 1), 4, if(ISBLANK('2025'!$R381), 0, 1), 5, if(ISBLANK('2025'!$S381), 0, 1), 6, if(ISBLANK('2025'!$T381), 0, 1), 7, 0))), 1, "")</f>
        <v/>
      </c>
      <c r="BA417" s="1" t="str">
        <f>IF(AND(AND(AND(BA$4&gt;='2025'!$L381,BA$4&lt;='2025'!$M381), BA$4&lt;&gt;DATE(2025,7,4)), (SWITCH(weekday(BA$4), 1, 0, 2, if(ISBLANK('2025'!$P381), 0, 1), 3, if(ISBLANK('2025'!$Q381), 0, 1), 4, if(ISBLANK('2025'!$R381), 0, 1), 5, if(ISBLANK('2025'!$S381), 0, 1), 6, if(ISBLANK('2025'!$T381), 0, 1), 7, 0))), 1, "")</f>
        <v/>
      </c>
      <c r="BB417" s="1" t="str">
        <f>IF(AND(AND(AND(BB$4&gt;='2025'!$L381,BB$4&lt;='2025'!$M381), BB$4&lt;&gt;DATE(2025,7,4)), (SWITCH(weekday(BB$4), 1, 0, 2, if(ISBLANK('2025'!$P381), 0, 1), 3, if(ISBLANK('2025'!$Q381), 0, 1), 4, if(ISBLANK('2025'!$R381), 0, 1), 5, if(ISBLANK('2025'!$S381), 0, 1), 6, if(ISBLANK('2025'!$T381), 0, 1), 7, 0))), 1, "")</f>
        <v/>
      </c>
      <c r="BC417" s="1" t="str">
        <f>IF(AND(AND(AND(BC$4&gt;='2025'!$L381,BC$4&lt;='2025'!$M381), BC$4&lt;&gt;DATE(2025,7,4)), (SWITCH(weekday(BC$4), 1, 0, 2, if(ISBLANK('2025'!$P381), 0, 1), 3, if(ISBLANK('2025'!$Q381), 0, 1), 4, if(ISBLANK('2025'!$R381), 0, 1), 5, if(ISBLANK('2025'!$S381), 0, 1), 6, if(ISBLANK('2025'!$T381), 0, 1), 7, 0))), 1, "")</f>
        <v/>
      </c>
      <c r="BD417" s="1" t="str">
        <f>IF(AND(AND(AND(BD$4&gt;='2025'!$L381,BD$4&lt;='2025'!$M381), BD$4&lt;&gt;DATE(2025,7,4)), (SWITCH(weekday(BD$4), 1, 0, 2, if(ISBLANK('2025'!$P381), 0, 1), 3, if(ISBLANK('2025'!$Q381), 0, 1), 4, if(ISBLANK('2025'!$R381), 0, 1), 5, if(ISBLANK('2025'!$S381), 0, 1), 6, if(ISBLANK('2025'!$T381), 0, 1), 7, 0))), 1, "")</f>
        <v/>
      </c>
      <c r="BE417" s="1" t="str">
        <f>IF(AND(AND(AND(BE$4&gt;='2025'!$L381,BE$4&lt;='2025'!$M381), BE$4&lt;&gt;DATE(2025,7,4)), (SWITCH(weekday(BE$4), 1, 0, 2, if(ISBLANK('2025'!$P381), 0, 1), 3, if(ISBLANK('2025'!$Q381), 0, 1), 4, if(ISBLANK('2025'!$R381), 0, 1), 5, if(ISBLANK('2025'!$S381), 0, 1), 6, if(ISBLANK('2025'!$T381), 0, 1), 7, 0))), 1, "")</f>
        <v/>
      </c>
    </row>
    <row r="418">
      <c r="A418" s="1">
        <f t="shared" si="3"/>
        <v>418</v>
      </c>
      <c r="B418" s="1" t="str">
        <f>'2025'!D382</f>
        <v/>
      </c>
      <c r="C418" s="1" t="str">
        <f>'2025'!H382</f>
        <v/>
      </c>
      <c r="D418" s="1" t="str">
        <f>IF(AND(AND(AND(D$4&gt;='2025'!$L382,D$4&lt;='2025'!$M382), D$4&lt;&gt;DATE(2025,7,4)), (SWITCH(weekday(D$4), 1, 0, 2, if(ISBLANK('2025'!$P382), 0, 1), 3, if(ISBLANK('2025'!$Q382), 0, 1), 4, if(ISBLANK('2025'!$R382), 0, 1), 5, if(ISBLANK('2025'!$S382), 0, 1), 6, if(ISBLANK('2025'!$T382), 0, 1), 7, 0))), 1, "")</f>
        <v/>
      </c>
      <c r="E418" s="1" t="str">
        <f>IF(AND(AND(AND(E$4&gt;='2025'!$L382,E$4&lt;='2025'!$M382), E$4&lt;&gt;DATE(2025,7,4)), (SWITCH(weekday(E$4), 1, 0, 2, if(ISBLANK('2025'!$P382), 0, 1), 3, if(ISBLANK('2025'!$Q382), 0, 1), 4, if(ISBLANK('2025'!$R382), 0, 1), 5, if(ISBLANK('2025'!$S382), 0, 1), 6, if(ISBLANK('2025'!$T382), 0, 1), 7, 0))), 1, "")</f>
        <v/>
      </c>
      <c r="F418" s="1" t="str">
        <f>IF(AND(AND(AND(F$4&gt;='2025'!$L382,F$4&lt;='2025'!$M382), F$4&lt;&gt;DATE(2025,7,4)), (SWITCH(weekday(F$4), 1, 0, 2, if(ISBLANK('2025'!$P382), 0, 1), 3, if(ISBLANK('2025'!$Q382), 0, 1), 4, if(ISBLANK('2025'!$R382), 0, 1), 5, if(ISBLANK('2025'!$S382), 0, 1), 6, if(ISBLANK('2025'!$T382), 0, 1), 7, 0))), 1, "")</f>
        <v/>
      </c>
      <c r="G418" s="1" t="str">
        <f>IF(AND(AND(AND(G$4&gt;='2025'!$L382,G$4&lt;='2025'!$M382), G$4&lt;&gt;DATE(2025,7,4)), (SWITCH(weekday(G$4), 1, 0, 2, if(ISBLANK('2025'!$P382), 0, 1), 3, if(ISBLANK('2025'!$Q382), 0, 1), 4, if(ISBLANK('2025'!$R382), 0, 1), 5, if(ISBLANK('2025'!$S382), 0, 1), 6, if(ISBLANK('2025'!$T382), 0, 1), 7, 0))), 1, "")</f>
        <v/>
      </c>
      <c r="H418" s="1" t="str">
        <f>IF(AND(AND(AND(H$4&gt;='2025'!$L382,H$4&lt;='2025'!$M382), H$4&lt;&gt;DATE(2025,7,4)), (SWITCH(weekday(H$4), 1, 0, 2, if(ISBLANK('2025'!$P382), 0, 1), 3, if(ISBLANK('2025'!$Q382), 0, 1), 4, if(ISBLANK('2025'!$R382), 0, 1), 5, if(ISBLANK('2025'!$S382), 0, 1), 6, if(ISBLANK('2025'!$T382), 0, 1), 7, 0))), 1, "")</f>
        <v/>
      </c>
      <c r="I418" s="1" t="str">
        <f>IF(AND(AND(AND(I$4&gt;='2025'!$L382,I$4&lt;='2025'!$M382), I$4&lt;&gt;DATE(2025,7,4)), (SWITCH(weekday(I$4), 1, 0, 2, if(ISBLANK('2025'!$P382), 0, 1), 3, if(ISBLANK('2025'!$Q382), 0, 1), 4, if(ISBLANK('2025'!$R382), 0, 1), 5, if(ISBLANK('2025'!$S382), 0, 1), 6, if(ISBLANK('2025'!$T382), 0, 1), 7, 0))), 1, "")</f>
        <v/>
      </c>
      <c r="J418" s="1" t="str">
        <f>IF(AND(AND(AND(J$4&gt;='2025'!$L382,J$4&lt;='2025'!$M382), J$4&lt;&gt;DATE(2025,7,4)), (SWITCH(weekday(J$4), 1, 0, 2, if(ISBLANK('2025'!$P382), 0, 1), 3, if(ISBLANK('2025'!$Q382), 0, 1), 4, if(ISBLANK('2025'!$R382), 0, 1), 5, if(ISBLANK('2025'!$S382), 0, 1), 6, if(ISBLANK('2025'!$T382), 0, 1), 7, 0))), 1, "")</f>
        <v/>
      </c>
      <c r="K418" s="1" t="str">
        <f>IF(AND(AND(AND(K$4&gt;='2025'!$L382,K$4&lt;='2025'!$M382), K$4&lt;&gt;DATE(2025,7,4)), (SWITCH(weekday(K$4), 1, 0, 2, if(ISBLANK('2025'!$P382), 0, 1), 3, if(ISBLANK('2025'!$Q382), 0, 1), 4, if(ISBLANK('2025'!$R382), 0, 1), 5, if(ISBLANK('2025'!$S382), 0, 1), 6, if(ISBLANK('2025'!$T382), 0, 1), 7, 0))), 1, "")</f>
        <v/>
      </c>
      <c r="L418" s="1" t="str">
        <f>IF(AND(AND(AND(L$4&gt;='2025'!$L382,L$4&lt;='2025'!$M382), L$4&lt;&gt;DATE(2025,7,4)), (SWITCH(weekday(L$4), 1, 0, 2, if(ISBLANK('2025'!$P382), 0, 1), 3, if(ISBLANK('2025'!$Q382), 0, 1), 4, if(ISBLANK('2025'!$R382), 0, 1), 5, if(ISBLANK('2025'!$S382), 0, 1), 6, if(ISBLANK('2025'!$T382), 0, 1), 7, 0))), 1, "")</f>
        <v/>
      </c>
      <c r="M418" s="1" t="str">
        <f>IF(AND(AND(AND(M$4&gt;='2025'!$L382,M$4&lt;='2025'!$M382), M$4&lt;&gt;DATE(2025,7,4)), (SWITCH(weekday(M$4), 1, 0, 2, if(ISBLANK('2025'!$P382), 0, 1), 3, if(ISBLANK('2025'!$Q382), 0, 1), 4, if(ISBLANK('2025'!$R382), 0, 1), 5, if(ISBLANK('2025'!$S382), 0, 1), 6, if(ISBLANK('2025'!$T382), 0, 1), 7, 0))), 1, "")</f>
        <v/>
      </c>
      <c r="N418" s="1" t="str">
        <f>IF(AND(AND(AND(N$4&gt;='2025'!$L382,N$4&lt;='2025'!$M382), N$4&lt;&gt;DATE(2025,7,4)), (SWITCH(weekday(N$4), 1, 0, 2, if(ISBLANK('2025'!$P382), 0, 1), 3, if(ISBLANK('2025'!$Q382), 0, 1), 4, if(ISBLANK('2025'!$R382), 0, 1), 5, if(ISBLANK('2025'!$S382), 0, 1), 6, if(ISBLANK('2025'!$T382), 0, 1), 7, 0))), 1, "")</f>
        <v/>
      </c>
      <c r="O418" s="1" t="str">
        <f>IF(AND(AND(AND(O$4&gt;='2025'!$L382,O$4&lt;='2025'!$M382), O$4&lt;&gt;DATE(2025,7,4)), (SWITCH(weekday(O$4), 1, 0, 2, if(ISBLANK('2025'!$P382), 0, 1), 3, if(ISBLANK('2025'!$Q382), 0, 1), 4, if(ISBLANK('2025'!$R382), 0, 1), 5, if(ISBLANK('2025'!$S382), 0, 1), 6, if(ISBLANK('2025'!$T382), 0, 1), 7, 0))), 1, "")</f>
        <v/>
      </c>
      <c r="P418" s="1" t="str">
        <f>IF(AND(AND(AND(P$4&gt;='2025'!$L382,P$4&lt;='2025'!$M382), P$4&lt;&gt;DATE(2025,7,4)), (SWITCH(weekday(P$4), 1, 0, 2, if(ISBLANK('2025'!$P382), 0, 1), 3, if(ISBLANK('2025'!$Q382), 0, 1), 4, if(ISBLANK('2025'!$R382), 0, 1), 5, if(ISBLANK('2025'!$S382), 0, 1), 6, if(ISBLANK('2025'!$T382), 0, 1), 7, 0))), 1, "")</f>
        <v/>
      </c>
      <c r="Q418" s="1" t="str">
        <f>IF(AND(AND(AND(Q$4&gt;='2025'!$L382,Q$4&lt;='2025'!$M382), Q$4&lt;&gt;DATE(2025,7,4)), (SWITCH(weekday(Q$4), 1, 0, 2, if(ISBLANK('2025'!$P382), 0, 1), 3, if(ISBLANK('2025'!$Q382), 0, 1), 4, if(ISBLANK('2025'!$R382), 0, 1), 5, if(ISBLANK('2025'!$S382), 0, 1), 6, if(ISBLANK('2025'!$T382), 0, 1), 7, 0))), 1, "")</f>
        <v/>
      </c>
      <c r="R418" s="1" t="str">
        <f>IF(AND(AND(AND(R$4&gt;='2025'!$L382,R$4&lt;='2025'!$M382), R$4&lt;&gt;DATE(2025,7,4)), (SWITCH(weekday(R$4), 1, 0, 2, if(ISBLANK('2025'!$P382), 0, 1), 3, if(ISBLANK('2025'!$Q382), 0, 1), 4, if(ISBLANK('2025'!$R382), 0, 1), 5, if(ISBLANK('2025'!$S382), 0, 1), 6, if(ISBLANK('2025'!$T382), 0, 1), 7, 0))), 1, "")</f>
        <v/>
      </c>
      <c r="S418" s="1" t="str">
        <f>IF(AND(AND(AND(S$4&gt;='2025'!$L382,S$4&lt;='2025'!$M382), S$4&lt;&gt;DATE(2025,7,4)), (SWITCH(weekday(S$4), 1, 0, 2, if(ISBLANK('2025'!$P382), 0, 1), 3, if(ISBLANK('2025'!$Q382), 0, 1), 4, if(ISBLANK('2025'!$R382), 0, 1), 5, if(ISBLANK('2025'!$S382), 0, 1), 6, if(ISBLANK('2025'!$T382), 0, 1), 7, 0))), 1, "")</f>
        <v/>
      </c>
      <c r="T418" s="1" t="str">
        <f>IF(AND(AND(AND(T$4&gt;='2025'!$L382,T$4&lt;='2025'!$M382), T$4&lt;&gt;DATE(2025,7,4)), (SWITCH(weekday(T$4), 1, 0, 2, if(ISBLANK('2025'!$P382), 0, 1), 3, if(ISBLANK('2025'!$Q382), 0, 1), 4, if(ISBLANK('2025'!$R382), 0, 1), 5, if(ISBLANK('2025'!$S382), 0, 1), 6, if(ISBLANK('2025'!$T382), 0, 1), 7, 0))), 1, "")</f>
        <v/>
      </c>
      <c r="U418" s="1" t="str">
        <f>IF(AND(AND(AND(U$4&gt;='2025'!$L382,U$4&lt;='2025'!$M382), U$4&lt;&gt;DATE(2025,7,4)), (SWITCH(weekday(U$4), 1, 0, 2, if(ISBLANK('2025'!$P382), 0, 1), 3, if(ISBLANK('2025'!$Q382), 0, 1), 4, if(ISBLANK('2025'!$R382), 0, 1), 5, if(ISBLANK('2025'!$S382), 0, 1), 6, if(ISBLANK('2025'!$T382), 0, 1), 7, 0))), 1, "")</f>
        <v/>
      </c>
      <c r="V418" s="1" t="str">
        <f>IF(AND(AND(AND(V$4&gt;='2025'!$L382,V$4&lt;='2025'!$M382), V$4&lt;&gt;DATE(2025,7,4)), (SWITCH(weekday(V$4), 1, 0, 2, if(ISBLANK('2025'!$P382), 0, 1), 3, if(ISBLANK('2025'!$Q382), 0, 1), 4, if(ISBLANK('2025'!$R382), 0, 1), 5, if(ISBLANK('2025'!$S382), 0, 1), 6, if(ISBLANK('2025'!$T382), 0, 1), 7, 0))), 1, "")</f>
        <v/>
      </c>
      <c r="W418" s="1" t="str">
        <f>IF(AND(AND(AND(W$4&gt;='2025'!$L382,W$4&lt;='2025'!$M382), W$4&lt;&gt;DATE(2025,7,4)), (SWITCH(weekday(W$4), 1, 0, 2, if(ISBLANK('2025'!$P382), 0, 1), 3, if(ISBLANK('2025'!$Q382), 0, 1), 4, if(ISBLANK('2025'!$R382), 0, 1), 5, if(ISBLANK('2025'!$S382), 0, 1), 6, if(ISBLANK('2025'!$T382), 0, 1), 7, 0))), 1, "")</f>
        <v/>
      </c>
      <c r="X418" s="1" t="str">
        <f>IF(AND(AND(AND(X$4&gt;='2025'!$L382,X$4&lt;='2025'!$M382), X$4&lt;&gt;DATE(2025,7,4)), (SWITCH(weekday(X$4), 1, 0, 2, if(ISBLANK('2025'!$P382), 0, 1), 3, if(ISBLANK('2025'!$Q382), 0, 1), 4, if(ISBLANK('2025'!$R382), 0, 1), 5, if(ISBLANK('2025'!$S382), 0, 1), 6, if(ISBLANK('2025'!$T382), 0, 1), 7, 0))), 1, "")</f>
        <v/>
      </c>
      <c r="Y418" s="1" t="str">
        <f>IF(AND(AND(AND(Y$4&gt;='2025'!$L382,Y$4&lt;='2025'!$M382), Y$4&lt;&gt;DATE(2025,7,4)), (SWITCH(weekday(Y$4), 1, 0, 2, if(ISBLANK('2025'!$P382), 0, 1), 3, if(ISBLANK('2025'!$Q382), 0, 1), 4, if(ISBLANK('2025'!$R382), 0, 1), 5, if(ISBLANK('2025'!$S382), 0, 1), 6, if(ISBLANK('2025'!$T382), 0, 1), 7, 0))), 1, "")</f>
        <v/>
      </c>
      <c r="Z418" s="1" t="str">
        <f>IF(AND(AND(AND(Z$4&gt;='2025'!$L382,Z$4&lt;='2025'!$M382), Z$4&lt;&gt;DATE(2025,7,4)), (SWITCH(weekday(Z$4), 1, 0, 2, if(ISBLANK('2025'!$P382), 0, 1), 3, if(ISBLANK('2025'!$Q382), 0, 1), 4, if(ISBLANK('2025'!$R382), 0, 1), 5, if(ISBLANK('2025'!$S382), 0, 1), 6, if(ISBLANK('2025'!$T382), 0, 1), 7, 0))), 1, "")</f>
        <v/>
      </c>
      <c r="AA418" s="1" t="str">
        <f>IF(AND(AND(AND(AA$4&gt;='2025'!$L382,AA$4&lt;='2025'!$M382), AA$4&lt;&gt;DATE(2025,7,4)), (SWITCH(weekday(AA$4), 1, 0, 2, if(ISBLANK('2025'!$P382), 0, 1), 3, if(ISBLANK('2025'!$Q382), 0, 1), 4, if(ISBLANK('2025'!$R382), 0, 1), 5, if(ISBLANK('2025'!$S382), 0, 1), 6, if(ISBLANK('2025'!$T382), 0, 1), 7, 0))), 1, "")</f>
        <v/>
      </c>
      <c r="AB418" s="1" t="str">
        <f>IF(AND(AND(AND(AB$4&gt;='2025'!$L382,AB$4&lt;='2025'!$M382), AB$4&lt;&gt;DATE(2025,7,4)), (SWITCH(weekday(AB$4), 1, 0, 2, if(ISBLANK('2025'!$P382), 0, 1), 3, if(ISBLANK('2025'!$Q382), 0, 1), 4, if(ISBLANK('2025'!$R382), 0, 1), 5, if(ISBLANK('2025'!$S382), 0, 1), 6, if(ISBLANK('2025'!$T382), 0, 1), 7, 0))), 1, "")</f>
        <v/>
      </c>
      <c r="AC418" s="1" t="str">
        <f>IF(AND(AND(AND(AC$4&gt;='2025'!$L382,AC$4&lt;='2025'!$M382), AC$4&lt;&gt;DATE(2025,7,4)), (SWITCH(weekday(AC$4), 1, 0, 2, if(ISBLANK('2025'!$P382), 0, 1), 3, if(ISBLANK('2025'!$Q382), 0, 1), 4, if(ISBLANK('2025'!$R382), 0, 1), 5, if(ISBLANK('2025'!$S382), 0, 1), 6, if(ISBLANK('2025'!$T382), 0, 1), 7, 0))), 1, "")</f>
        <v/>
      </c>
      <c r="AD418" s="1" t="str">
        <f>IF(AND(AND(AND(AD$4&gt;='2025'!$L382,AD$4&lt;='2025'!$M382), AD$4&lt;&gt;DATE(2025,7,4)), (SWITCH(weekday(AD$4), 1, 0, 2, if(ISBLANK('2025'!$P382), 0, 1), 3, if(ISBLANK('2025'!$Q382), 0, 1), 4, if(ISBLANK('2025'!$R382), 0, 1), 5, if(ISBLANK('2025'!$S382), 0, 1), 6, if(ISBLANK('2025'!$T382), 0, 1), 7, 0))), 1, "")</f>
        <v/>
      </c>
      <c r="AE418" s="1" t="str">
        <f>IF(AND(AND(AND(AE$4&gt;='2025'!$L382,AE$4&lt;='2025'!$M382), AE$4&lt;&gt;DATE(2025,7,4)), (SWITCH(weekday(AE$4), 1, 0, 2, if(ISBLANK('2025'!$P382), 0, 1), 3, if(ISBLANK('2025'!$Q382), 0, 1), 4, if(ISBLANK('2025'!$R382), 0, 1), 5, if(ISBLANK('2025'!$S382), 0, 1), 6, if(ISBLANK('2025'!$T382), 0, 1), 7, 0))), 1, "")</f>
        <v/>
      </c>
      <c r="AF418" s="1" t="str">
        <f>IF(AND(AND(AND(AF$4&gt;='2025'!$L382,AF$4&lt;='2025'!$M382), AF$4&lt;&gt;DATE(2025,7,4)), (SWITCH(weekday(AF$4), 1, 0, 2, if(ISBLANK('2025'!$P382), 0, 1), 3, if(ISBLANK('2025'!$Q382), 0, 1), 4, if(ISBLANK('2025'!$R382), 0, 1), 5, if(ISBLANK('2025'!$S382), 0, 1), 6, if(ISBLANK('2025'!$T382), 0, 1), 7, 0))), 1, "")</f>
        <v/>
      </c>
      <c r="AG418" s="1" t="str">
        <f>IF(AND(AND(AND(AG$4&gt;='2025'!$L382,AG$4&lt;='2025'!$M382), AG$4&lt;&gt;DATE(2025,7,4)), (SWITCH(weekday(AG$4), 1, 0, 2, if(ISBLANK('2025'!$P382), 0, 1), 3, if(ISBLANK('2025'!$Q382), 0, 1), 4, if(ISBLANK('2025'!$R382), 0, 1), 5, if(ISBLANK('2025'!$S382), 0, 1), 6, if(ISBLANK('2025'!$T382), 0, 1), 7, 0))), 1, "")</f>
        <v/>
      </c>
      <c r="AH418" s="1" t="str">
        <f>IF(AND(AND(AND(AH$4&gt;='2025'!$L382,AH$4&lt;='2025'!$M382), AH$4&lt;&gt;DATE(2025,7,4)), (SWITCH(weekday(AH$4), 1, 0, 2, if(ISBLANK('2025'!$P382), 0, 1), 3, if(ISBLANK('2025'!$Q382), 0, 1), 4, if(ISBLANK('2025'!$R382), 0, 1), 5, if(ISBLANK('2025'!$S382), 0, 1), 6, if(ISBLANK('2025'!$T382), 0, 1), 7, 0))), 1, "")</f>
        <v/>
      </c>
      <c r="AI418" s="1" t="str">
        <f>IF(AND(AND(AND(AI$4&gt;='2025'!$L382,AI$4&lt;='2025'!$M382), AI$4&lt;&gt;DATE(2025,7,4)), (SWITCH(weekday(AI$4), 1, 0, 2, if(ISBLANK('2025'!$P382), 0, 1), 3, if(ISBLANK('2025'!$Q382), 0, 1), 4, if(ISBLANK('2025'!$R382), 0, 1), 5, if(ISBLANK('2025'!$S382), 0, 1), 6, if(ISBLANK('2025'!$T382), 0, 1), 7, 0))), 1, "")</f>
        <v/>
      </c>
      <c r="AJ418" s="1" t="str">
        <f>IF(AND(AND(AND(AJ$4&gt;='2025'!$L382,AJ$4&lt;='2025'!$M382), AJ$4&lt;&gt;DATE(2025,7,4)), (SWITCH(weekday(AJ$4), 1, 0, 2, if(ISBLANK('2025'!$P382), 0, 1), 3, if(ISBLANK('2025'!$Q382), 0, 1), 4, if(ISBLANK('2025'!$R382), 0, 1), 5, if(ISBLANK('2025'!$S382), 0, 1), 6, if(ISBLANK('2025'!$T382), 0, 1), 7, 0))), 1, "")</f>
        <v/>
      </c>
      <c r="AK418" s="1" t="str">
        <f>IF(AND(AND(AND(AK$4&gt;='2025'!$L382,AK$4&lt;='2025'!$M382), AK$4&lt;&gt;DATE(2025,7,4)), (SWITCH(weekday(AK$4), 1, 0, 2, if(ISBLANK('2025'!$P382), 0, 1), 3, if(ISBLANK('2025'!$Q382), 0, 1), 4, if(ISBLANK('2025'!$R382), 0, 1), 5, if(ISBLANK('2025'!$S382), 0, 1), 6, if(ISBLANK('2025'!$T382), 0, 1), 7, 0))), 1, "")</f>
        <v/>
      </c>
      <c r="AL418" s="1" t="str">
        <f>IF(AND(AND(AND(AL$4&gt;='2025'!$L382,AL$4&lt;='2025'!$M382), AL$4&lt;&gt;DATE(2025,7,4)), (SWITCH(weekday(AL$4), 1, 0, 2, if(ISBLANK('2025'!$P382), 0, 1), 3, if(ISBLANK('2025'!$Q382), 0, 1), 4, if(ISBLANK('2025'!$R382), 0, 1), 5, if(ISBLANK('2025'!$S382), 0, 1), 6, if(ISBLANK('2025'!$T382), 0, 1), 7, 0))), 1, "")</f>
        <v/>
      </c>
      <c r="AM418" s="1" t="str">
        <f>IF(AND(AND(AND(AM$4&gt;='2025'!$L382,AM$4&lt;='2025'!$M382), AM$4&lt;&gt;DATE(2025,7,4)), (SWITCH(weekday(AM$4), 1, 0, 2, if(ISBLANK('2025'!$P382), 0, 1), 3, if(ISBLANK('2025'!$Q382), 0, 1), 4, if(ISBLANK('2025'!$R382), 0, 1), 5, if(ISBLANK('2025'!$S382), 0, 1), 6, if(ISBLANK('2025'!$T382), 0, 1), 7, 0))), 1, "")</f>
        <v/>
      </c>
      <c r="AN418" s="1" t="str">
        <f>IF(AND(AND(AND(AN$4&gt;='2025'!$L382,AN$4&lt;='2025'!$M382), AN$4&lt;&gt;DATE(2025,7,4)), (SWITCH(weekday(AN$4), 1, 0, 2, if(ISBLANK('2025'!$P382), 0, 1), 3, if(ISBLANK('2025'!$Q382), 0, 1), 4, if(ISBLANK('2025'!$R382), 0, 1), 5, if(ISBLANK('2025'!$S382), 0, 1), 6, if(ISBLANK('2025'!$T382), 0, 1), 7, 0))), 1, "")</f>
        <v/>
      </c>
      <c r="AO418" s="1" t="str">
        <f>IF(AND(AND(AND(AO$4&gt;='2025'!$L382,AO$4&lt;='2025'!$M382), AO$4&lt;&gt;DATE(2025,7,4)), (SWITCH(weekday(AO$4), 1, 0, 2, if(ISBLANK('2025'!$P382), 0, 1), 3, if(ISBLANK('2025'!$Q382), 0, 1), 4, if(ISBLANK('2025'!$R382), 0, 1), 5, if(ISBLANK('2025'!$S382), 0, 1), 6, if(ISBLANK('2025'!$T382), 0, 1), 7, 0))), 1, "")</f>
        <v/>
      </c>
      <c r="AP418" s="1" t="str">
        <f>IF(AND(AND(AND(AP$4&gt;='2025'!$L382,AP$4&lt;='2025'!$M382), AP$4&lt;&gt;DATE(2025,7,4)), (SWITCH(weekday(AP$4), 1, 0, 2, if(ISBLANK('2025'!$P382), 0, 1), 3, if(ISBLANK('2025'!$Q382), 0, 1), 4, if(ISBLANK('2025'!$R382), 0, 1), 5, if(ISBLANK('2025'!$S382), 0, 1), 6, if(ISBLANK('2025'!$T382), 0, 1), 7, 0))), 1, "")</f>
        <v/>
      </c>
      <c r="AQ418" s="1" t="str">
        <f>IF(AND(AND(AND(AQ$4&gt;='2025'!$L382,AQ$4&lt;='2025'!$M382), AQ$4&lt;&gt;DATE(2025,7,4)), (SWITCH(weekday(AQ$4), 1, 0, 2, if(ISBLANK('2025'!$P382), 0, 1), 3, if(ISBLANK('2025'!$Q382), 0, 1), 4, if(ISBLANK('2025'!$R382), 0, 1), 5, if(ISBLANK('2025'!$S382), 0, 1), 6, if(ISBLANK('2025'!$T382), 0, 1), 7, 0))), 1, "")</f>
        <v/>
      </c>
      <c r="AR418" s="1" t="str">
        <f>IF(AND(AND(AND(AR$4&gt;='2025'!$L382,AR$4&lt;='2025'!$M382), AR$4&lt;&gt;DATE(2025,7,4)), (SWITCH(weekday(AR$4), 1, 0, 2, if(ISBLANK('2025'!$P382), 0, 1), 3, if(ISBLANK('2025'!$Q382), 0, 1), 4, if(ISBLANK('2025'!$R382), 0, 1), 5, if(ISBLANK('2025'!$S382), 0, 1), 6, if(ISBLANK('2025'!$T382), 0, 1), 7, 0))), 1, "")</f>
        <v/>
      </c>
      <c r="AS418" s="1" t="str">
        <f>IF(AND(AND(AND(AS$4&gt;='2025'!$L382,AS$4&lt;='2025'!$M382), AS$4&lt;&gt;DATE(2025,7,4)), (SWITCH(weekday(AS$4), 1, 0, 2, if(ISBLANK('2025'!$P382), 0, 1), 3, if(ISBLANK('2025'!$Q382), 0, 1), 4, if(ISBLANK('2025'!$R382), 0, 1), 5, if(ISBLANK('2025'!$S382), 0, 1), 6, if(ISBLANK('2025'!$T382), 0, 1), 7, 0))), 1, "")</f>
        <v/>
      </c>
      <c r="AT418" s="1" t="str">
        <f>IF(AND(AND(AND(AT$4&gt;='2025'!$L382,AT$4&lt;='2025'!$M382), AT$4&lt;&gt;DATE(2025,7,4)), (SWITCH(weekday(AT$4), 1, 0, 2, if(ISBLANK('2025'!$P382), 0, 1), 3, if(ISBLANK('2025'!$Q382), 0, 1), 4, if(ISBLANK('2025'!$R382), 0, 1), 5, if(ISBLANK('2025'!$S382), 0, 1), 6, if(ISBLANK('2025'!$T382), 0, 1), 7, 0))), 1, "")</f>
        <v/>
      </c>
      <c r="AU418" s="1" t="str">
        <f>IF(AND(AND(AND(AU$4&gt;='2025'!$L382,AU$4&lt;='2025'!$M382), AU$4&lt;&gt;DATE(2025,7,4)), (SWITCH(weekday(AU$4), 1, 0, 2, if(ISBLANK('2025'!$P382), 0, 1), 3, if(ISBLANK('2025'!$Q382), 0, 1), 4, if(ISBLANK('2025'!$R382), 0, 1), 5, if(ISBLANK('2025'!$S382), 0, 1), 6, if(ISBLANK('2025'!$T382), 0, 1), 7, 0))), 1, "")</f>
        <v/>
      </c>
      <c r="AV418" s="1" t="str">
        <f>IF(AND(AND(AND(AV$4&gt;='2025'!$L382,AV$4&lt;='2025'!$M382), AV$4&lt;&gt;DATE(2025,7,4)), (SWITCH(weekday(AV$4), 1, 0, 2, if(ISBLANK('2025'!$P382), 0, 1), 3, if(ISBLANK('2025'!$Q382), 0, 1), 4, if(ISBLANK('2025'!$R382), 0, 1), 5, if(ISBLANK('2025'!$S382), 0, 1), 6, if(ISBLANK('2025'!$T382), 0, 1), 7, 0))), 1, "")</f>
        <v/>
      </c>
      <c r="AW418" s="1" t="str">
        <f>IF(AND(AND(AND(AW$4&gt;='2025'!$L382,AW$4&lt;='2025'!$M382), AW$4&lt;&gt;DATE(2025,7,4)), (SWITCH(weekday(AW$4), 1, 0, 2, if(ISBLANK('2025'!$P382), 0, 1), 3, if(ISBLANK('2025'!$Q382), 0, 1), 4, if(ISBLANK('2025'!$R382), 0, 1), 5, if(ISBLANK('2025'!$S382), 0, 1), 6, if(ISBLANK('2025'!$T382), 0, 1), 7, 0))), 1, "")</f>
        <v/>
      </c>
      <c r="AX418" s="1" t="str">
        <f>IF(AND(AND(AND(AX$4&gt;='2025'!$L382,AX$4&lt;='2025'!$M382), AX$4&lt;&gt;DATE(2025,7,4)), (SWITCH(weekday(AX$4), 1, 0, 2, if(ISBLANK('2025'!$P382), 0, 1), 3, if(ISBLANK('2025'!$Q382), 0, 1), 4, if(ISBLANK('2025'!$R382), 0, 1), 5, if(ISBLANK('2025'!$S382), 0, 1), 6, if(ISBLANK('2025'!$T382), 0, 1), 7, 0))), 1, "")</f>
        <v/>
      </c>
      <c r="AY418" s="1" t="str">
        <f>IF(AND(AND(AND(AY$4&gt;='2025'!$L382,AY$4&lt;='2025'!$M382), AY$4&lt;&gt;DATE(2025,7,4)), (SWITCH(weekday(AY$4), 1, 0, 2, if(ISBLANK('2025'!$P382), 0, 1), 3, if(ISBLANK('2025'!$Q382), 0, 1), 4, if(ISBLANK('2025'!$R382), 0, 1), 5, if(ISBLANK('2025'!$S382), 0, 1), 6, if(ISBLANK('2025'!$T382), 0, 1), 7, 0))), 1, "")</f>
        <v/>
      </c>
      <c r="AZ418" s="1" t="str">
        <f>IF(AND(AND(AND(AZ$4&gt;='2025'!$L382,AZ$4&lt;='2025'!$M382), AZ$4&lt;&gt;DATE(2025,7,4)), (SWITCH(weekday(AZ$4), 1, 0, 2, if(ISBLANK('2025'!$P382), 0, 1), 3, if(ISBLANK('2025'!$Q382), 0, 1), 4, if(ISBLANK('2025'!$R382), 0, 1), 5, if(ISBLANK('2025'!$S382), 0, 1), 6, if(ISBLANK('2025'!$T382), 0, 1), 7, 0))), 1, "")</f>
        <v/>
      </c>
      <c r="BA418" s="1" t="str">
        <f>IF(AND(AND(AND(BA$4&gt;='2025'!$L382,BA$4&lt;='2025'!$M382), BA$4&lt;&gt;DATE(2025,7,4)), (SWITCH(weekday(BA$4), 1, 0, 2, if(ISBLANK('2025'!$P382), 0, 1), 3, if(ISBLANK('2025'!$Q382), 0, 1), 4, if(ISBLANK('2025'!$R382), 0, 1), 5, if(ISBLANK('2025'!$S382), 0, 1), 6, if(ISBLANK('2025'!$T382), 0, 1), 7, 0))), 1, "")</f>
        <v/>
      </c>
      <c r="BB418" s="1" t="str">
        <f>IF(AND(AND(AND(BB$4&gt;='2025'!$L382,BB$4&lt;='2025'!$M382), BB$4&lt;&gt;DATE(2025,7,4)), (SWITCH(weekday(BB$4), 1, 0, 2, if(ISBLANK('2025'!$P382), 0, 1), 3, if(ISBLANK('2025'!$Q382), 0, 1), 4, if(ISBLANK('2025'!$R382), 0, 1), 5, if(ISBLANK('2025'!$S382), 0, 1), 6, if(ISBLANK('2025'!$T382), 0, 1), 7, 0))), 1, "")</f>
        <v/>
      </c>
      <c r="BC418" s="1" t="str">
        <f>IF(AND(AND(AND(BC$4&gt;='2025'!$L382,BC$4&lt;='2025'!$M382), BC$4&lt;&gt;DATE(2025,7,4)), (SWITCH(weekday(BC$4), 1, 0, 2, if(ISBLANK('2025'!$P382), 0, 1), 3, if(ISBLANK('2025'!$Q382), 0, 1), 4, if(ISBLANK('2025'!$R382), 0, 1), 5, if(ISBLANK('2025'!$S382), 0, 1), 6, if(ISBLANK('2025'!$T382), 0, 1), 7, 0))), 1, "")</f>
        <v/>
      </c>
      <c r="BD418" s="1" t="str">
        <f>IF(AND(AND(AND(BD$4&gt;='2025'!$L382,BD$4&lt;='2025'!$M382), BD$4&lt;&gt;DATE(2025,7,4)), (SWITCH(weekday(BD$4), 1, 0, 2, if(ISBLANK('2025'!$P382), 0, 1), 3, if(ISBLANK('2025'!$Q382), 0, 1), 4, if(ISBLANK('2025'!$R382), 0, 1), 5, if(ISBLANK('2025'!$S382), 0, 1), 6, if(ISBLANK('2025'!$T382), 0, 1), 7, 0))), 1, "")</f>
        <v/>
      </c>
      <c r="BE418" s="1" t="str">
        <f>IF(AND(AND(AND(BE$4&gt;='2025'!$L382,BE$4&lt;='2025'!$M382), BE$4&lt;&gt;DATE(2025,7,4)), (SWITCH(weekday(BE$4), 1, 0, 2, if(ISBLANK('2025'!$P382), 0, 1), 3, if(ISBLANK('2025'!$Q382), 0, 1), 4, if(ISBLANK('2025'!$R382), 0, 1), 5, if(ISBLANK('2025'!$S382), 0, 1), 6, if(ISBLANK('2025'!$T382), 0, 1), 7, 0))), 1, "")</f>
        <v/>
      </c>
    </row>
    <row r="419">
      <c r="A419" s="1">
        <f t="shared" si="3"/>
        <v>419</v>
      </c>
      <c r="B419" s="1" t="str">
        <f>'2025'!D383</f>
        <v/>
      </c>
      <c r="C419" s="1" t="str">
        <f>'2025'!H383</f>
        <v/>
      </c>
      <c r="D419" s="1" t="str">
        <f>IF(AND(AND(AND(D$4&gt;='2025'!$L383,D$4&lt;='2025'!$M383), D$4&lt;&gt;DATE(2025,7,4)), (SWITCH(weekday(D$4), 1, 0, 2, if(ISBLANK('2025'!$P383), 0, 1), 3, if(ISBLANK('2025'!$Q383), 0, 1), 4, if(ISBLANK('2025'!$R383), 0, 1), 5, if(ISBLANK('2025'!$S383), 0, 1), 6, if(ISBLANK('2025'!$T383), 0, 1), 7, 0))), 1, "")</f>
        <v/>
      </c>
      <c r="E419" s="1" t="str">
        <f>IF(AND(AND(AND(E$4&gt;='2025'!$L383,E$4&lt;='2025'!$M383), E$4&lt;&gt;DATE(2025,7,4)), (SWITCH(weekday(E$4), 1, 0, 2, if(ISBLANK('2025'!$P383), 0, 1), 3, if(ISBLANK('2025'!$Q383), 0, 1), 4, if(ISBLANK('2025'!$R383), 0, 1), 5, if(ISBLANK('2025'!$S383), 0, 1), 6, if(ISBLANK('2025'!$T383), 0, 1), 7, 0))), 1, "")</f>
        <v/>
      </c>
      <c r="F419" s="1" t="str">
        <f>IF(AND(AND(AND(F$4&gt;='2025'!$L383,F$4&lt;='2025'!$M383), F$4&lt;&gt;DATE(2025,7,4)), (SWITCH(weekday(F$4), 1, 0, 2, if(ISBLANK('2025'!$P383), 0, 1), 3, if(ISBLANK('2025'!$Q383), 0, 1), 4, if(ISBLANK('2025'!$R383), 0, 1), 5, if(ISBLANK('2025'!$S383), 0, 1), 6, if(ISBLANK('2025'!$T383), 0, 1), 7, 0))), 1, "")</f>
        <v/>
      </c>
      <c r="G419" s="1" t="str">
        <f>IF(AND(AND(AND(G$4&gt;='2025'!$L383,G$4&lt;='2025'!$M383), G$4&lt;&gt;DATE(2025,7,4)), (SWITCH(weekday(G$4), 1, 0, 2, if(ISBLANK('2025'!$P383), 0, 1), 3, if(ISBLANK('2025'!$Q383), 0, 1), 4, if(ISBLANK('2025'!$R383), 0, 1), 5, if(ISBLANK('2025'!$S383), 0, 1), 6, if(ISBLANK('2025'!$T383), 0, 1), 7, 0))), 1, "")</f>
        <v/>
      </c>
      <c r="H419" s="1" t="str">
        <f>IF(AND(AND(AND(H$4&gt;='2025'!$L383,H$4&lt;='2025'!$M383), H$4&lt;&gt;DATE(2025,7,4)), (SWITCH(weekday(H$4), 1, 0, 2, if(ISBLANK('2025'!$P383), 0, 1), 3, if(ISBLANK('2025'!$Q383), 0, 1), 4, if(ISBLANK('2025'!$R383), 0, 1), 5, if(ISBLANK('2025'!$S383), 0, 1), 6, if(ISBLANK('2025'!$T383), 0, 1), 7, 0))), 1, "")</f>
        <v/>
      </c>
      <c r="I419" s="1" t="str">
        <f>IF(AND(AND(AND(I$4&gt;='2025'!$L383,I$4&lt;='2025'!$M383), I$4&lt;&gt;DATE(2025,7,4)), (SWITCH(weekday(I$4), 1, 0, 2, if(ISBLANK('2025'!$P383), 0, 1), 3, if(ISBLANK('2025'!$Q383), 0, 1), 4, if(ISBLANK('2025'!$R383), 0, 1), 5, if(ISBLANK('2025'!$S383), 0, 1), 6, if(ISBLANK('2025'!$T383), 0, 1), 7, 0))), 1, "")</f>
        <v/>
      </c>
      <c r="J419" s="1" t="str">
        <f>IF(AND(AND(AND(J$4&gt;='2025'!$L383,J$4&lt;='2025'!$M383), J$4&lt;&gt;DATE(2025,7,4)), (SWITCH(weekday(J$4), 1, 0, 2, if(ISBLANK('2025'!$P383), 0, 1), 3, if(ISBLANK('2025'!$Q383), 0, 1), 4, if(ISBLANK('2025'!$R383), 0, 1), 5, if(ISBLANK('2025'!$S383), 0, 1), 6, if(ISBLANK('2025'!$T383), 0, 1), 7, 0))), 1, "")</f>
        <v/>
      </c>
      <c r="K419" s="1" t="str">
        <f>IF(AND(AND(AND(K$4&gt;='2025'!$L383,K$4&lt;='2025'!$M383), K$4&lt;&gt;DATE(2025,7,4)), (SWITCH(weekday(K$4), 1, 0, 2, if(ISBLANK('2025'!$P383), 0, 1), 3, if(ISBLANK('2025'!$Q383), 0, 1), 4, if(ISBLANK('2025'!$R383), 0, 1), 5, if(ISBLANK('2025'!$S383), 0, 1), 6, if(ISBLANK('2025'!$T383), 0, 1), 7, 0))), 1, "")</f>
        <v/>
      </c>
      <c r="L419" s="1" t="str">
        <f>IF(AND(AND(AND(L$4&gt;='2025'!$L383,L$4&lt;='2025'!$M383), L$4&lt;&gt;DATE(2025,7,4)), (SWITCH(weekday(L$4), 1, 0, 2, if(ISBLANK('2025'!$P383), 0, 1), 3, if(ISBLANK('2025'!$Q383), 0, 1), 4, if(ISBLANK('2025'!$R383), 0, 1), 5, if(ISBLANK('2025'!$S383), 0, 1), 6, if(ISBLANK('2025'!$T383), 0, 1), 7, 0))), 1, "")</f>
        <v/>
      </c>
      <c r="M419" s="1" t="str">
        <f>IF(AND(AND(AND(M$4&gt;='2025'!$L383,M$4&lt;='2025'!$M383), M$4&lt;&gt;DATE(2025,7,4)), (SWITCH(weekday(M$4), 1, 0, 2, if(ISBLANK('2025'!$P383), 0, 1), 3, if(ISBLANK('2025'!$Q383), 0, 1), 4, if(ISBLANK('2025'!$R383), 0, 1), 5, if(ISBLANK('2025'!$S383), 0, 1), 6, if(ISBLANK('2025'!$T383), 0, 1), 7, 0))), 1, "")</f>
        <v/>
      </c>
      <c r="N419" s="1" t="str">
        <f>IF(AND(AND(AND(N$4&gt;='2025'!$L383,N$4&lt;='2025'!$M383), N$4&lt;&gt;DATE(2025,7,4)), (SWITCH(weekday(N$4), 1, 0, 2, if(ISBLANK('2025'!$P383), 0, 1), 3, if(ISBLANK('2025'!$Q383), 0, 1), 4, if(ISBLANK('2025'!$R383), 0, 1), 5, if(ISBLANK('2025'!$S383), 0, 1), 6, if(ISBLANK('2025'!$T383), 0, 1), 7, 0))), 1, "")</f>
        <v/>
      </c>
      <c r="O419" s="1" t="str">
        <f>IF(AND(AND(AND(O$4&gt;='2025'!$L383,O$4&lt;='2025'!$M383), O$4&lt;&gt;DATE(2025,7,4)), (SWITCH(weekday(O$4), 1, 0, 2, if(ISBLANK('2025'!$P383), 0, 1), 3, if(ISBLANK('2025'!$Q383), 0, 1), 4, if(ISBLANK('2025'!$R383), 0, 1), 5, if(ISBLANK('2025'!$S383), 0, 1), 6, if(ISBLANK('2025'!$T383), 0, 1), 7, 0))), 1, "")</f>
        <v/>
      </c>
      <c r="P419" s="1" t="str">
        <f>IF(AND(AND(AND(P$4&gt;='2025'!$L383,P$4&lt;='2025'!$M383), P$4&lt;&gt;DATE(2025,7,4)), (SWITCH(weekday(P$4), 1, 0, 2, if(ISBLANK('2025'!$P383), 0, 1), 3, if(ISBLANK('2025'!$Q383), 0, 1), 4, if(ISBLANK('2025'!$R383), 0, 1), 5, if(ISBLANK('2025'!$S383), 0, 1), 6, if(ISBLANK('2025'!$T383), 0, 1), 7, 0))), 1, "")</f>
        <v/>
      </c>
      <c r="Q419" s="1" t="str">
        <f>IF(AND(AND(AND(Q$4&gt;='2025'!$L383,Q$4&lt;='2025'!$M383), Q$4&lt;&gt;DATE(2025,7,4)), (SWITCH(weekday(Q$4), 1, 0, 2, if(ISBLANK('2025'!$P383), 0, 1), 3, if(ISBLANK('2025'!$Q383), 0, 1), 4, if(ISBLANK('2025'!$R383), 0, 1), 5, if(ISBLANK('2025'!$S383), 0, 1), 6, if(ISBLANK('2025'!$T383), 0, 1), 7, 0))), 1, "")</f>
        <v/>
      </c>
      <c r="R419" s="1" t="str">
        <f>IF(AND(AND(AND(R$4&gt;='2025'!$L383,R$4&lt;='2025'!$M383), R$4&lt;&gt;DATE(2025,7,4)), (SWITCH(weekday(R$4), 1, 0, 2, if(ISBLANK('2025'!$P383), 0, 1), 3, if(ISBLANK('2025'!$Q383), 0, 1), 4, if(ISBLANK('2025'!$R383), 0, 1), 5, if(ISBLANK('2025'!$S383), 0, 1), 6, if(ISBLANK('2025'!$T383), 0, 1), 7, 0))), 1, "")</f>
        <v/>
      </c>
      <c r="S419" s="1" t="str">
        <f>IF(AND(AND(AND(S$4&gt;='2025'!$L383,S$4&lt;='2025'!$M383), S$4&lt;&gt;DATE(2025,7,4)), (SWITCH(weekday(S$4), 1, 0, 2, if(ISBLANK('2025'!$P383), 0, 1), 3, if(ISBLANK('2025'!$Q383), 0, 1), 4, if(ISBLANK('2025'!$R383), 0, 1), 5, if(ISBLANK('2025'!$S383), 0, 1), 6, if(ISBLANK('2025'!$T383), 0, 1), 7, 0))), 1, "")</f>
        <v/>
      </c>
      <c r="T419" s="1" t="str">
        <f>IF(AND(AND(AND(T$4&gt;='2025'!$L383,T$4&lt;='2025'!$M383), T$4&lt;&gt;DATE(2025,7,4)), (SWITCH(weekday(T$4), 1, 0, 2, if(ISBLANK('2025'!$P383), 0, 1), 3, if(ISBLANK('2025'!$Q383), 0, 1), 4, if(ISBLANK('2025'!$R383), 0, 1), 5, if(ISBLANK('2025'!$S383), 0, 1), 6, if(ISBLANK('2025'!$T383), 0, 1), 7, 0))), 1, "")</f>
        <v/>
      </c>
      <c r="U419" s="1" t="str">
        <f>IF(AND(AND(AND(U$4&gt;='2025'!$L383,U$4&lt;='2025'!$M383), U$4&lt;&gt;DATE(2025,7,4)), (SWITCH(weekday(U$4), 1, 0, 2, if(ISBLANK('2025'!$P383), 0, 1), 3, if(ISBLANK('2025'!$Q383), 0, 1), 4, if(ISBLANK('2025'!$R383), 0, 1), 5, if(ISBLANK('2025'!$S383), 0, 1), 6, if(ISBLANK('2025'!$T383), 0, 1), 7, 0))), 1, "")</f>
        <v/>
      </c>
      <c r="V419" s="1" t="str">
        <f>IF(AND(AND(AND(V$4&gt;='2025'!$L383,V$4&lt;='2025'!$M383), V$4&lt;&gt;DATE(2025,7,4)), (SWITCH(weekday(V$4), 1, 0, 2, if(ISBLANK('2025'!$P383), 0, 1), 3, if(ISBLANK('2025'!$Q383), 0, 1), 4, if(ISBLANK('2025'!$R383), 0, 1), 5, if(ISBLANK('2025'!$S383), 0, 1), 6, if(ISBLANK('2025'!$T383), 0, 1), 7, 0))), 1, "")</f>
        <v/>
      </c>
      <c r="W419" s="1" t="str">
        <f>IF(AND(AND(AND(W$4&gt;='2025'!$L383,W$4&lt;='2025'!$M383), W$4&lt;&gt;DATE(2025,7,4)), (SWITCH(weekday(W$4), 1, 0, 2, if(ISBLANK('2025'!$P383), 0, 1), 3, if(ISBLANK('2025'!$Q383), 0, 1), 4, if(ISBLANK('2025'!$R383), 0, 1), 5, if(ISBLANK('2025'!$S383), 0, 1), 6, if(ISBLANK('2025'!$T383), 0, 1), 7, 0))), 1, "")</f>
        <v/>
      </c>
      <c r="X419" s="1" t="str">
        <f>IF(AND(AND(AND(X$4&gt;='2025'!$L383,X$4&lt;='2025'!$M383), X$4&lt;&gt;DATE(2025,7,4)), (SWITCH(weekday(X$4), 1, 0, 2, if(ISBLANK('2025'!$P383), 0, 1), 3, if(ISBLANK('2025'!$Q383), 0, 1), 4, if(ISBLANK('2025'!$R383), 0, 1), 5, if(ISBLANK('2025'!$S383), 0, 1), 6, if(ISBLANK('2025'!$T383), 0, 1), 7, 0))), 1, "")</f>
        <v/>
      </c>
      <c r="Y419" s="1" t="str">
        <f>IF(AND(AND(AND(Y$4&gt;='2025'!$L383,Y$4&lt;='2025'!$M383), Y$4&lt;&gt;DATE(2025,7,4)), (SWITCH(weekday(Y$4), 1, 0, 2, if(ISBLANK('2025'!$P383), 0, 1), 3, if(ISBLANK('2025'!$Q383), 0, 1), 4, if(ISBLANK('2025'!$R383), 0, 1), 5, if(ISBLANK('2025'!$S383), 0, 1), 6, if(ISBLANK('2025'!$T383), 0, 1), 7, 0))), 1, "")</f>
        <v/>
      </c>
      <c r="Z419" s="1" t="str">
        <f>IF(AND(AND(AND(Z$4&gt;='2025'!$L383,Z$4&lt;='2025'!$M383), Z$4&lt;&gt;DATE(2025,7,4)), (SWITCH(weekday(Z$4), 1, 0, 2, if(ISBLANK('2025'!$P383), 0, 1), 3, if(ISBLANK('2025'!$Q383), 0, 1), 4, if(ISBLANK('2025'!$R383), 0, 1), 5, if(ISBLANK('2025'!$S383), 0, 1), 6, if(ISBLANK('2025'!$T383), 0, 1), 7, 0))), 1, "")</f>
        <v/>
      </c>
      <c r="AA419" s="1" t="str">
        <f>IF(AND(AND(AND(AA$4&gt;='2025'!$L383,AA$4&lt;='2025'!$M383), AA$4&lt;&gt;DATE(2025,7,4)), (SWITCH(weekday(AA$4), 1, 0, 2, if(ISBLANK('2025'!$P383), 0, 1), 3, if(ISBLANK('2025'!$Q383), 0, 1), 4, if(ISBLANK('2025'!$R383), 0, 1), 5, if(ISBLANK('2025'!$S383), 0, 1), 6, if(ISBLANK('2025'!$T383), 0, 1), 7, 0))), 1, "")</f>
        <v/>
      </c>
      <c r="AB419" s="1" t="str">
        <f>IF(AND(AND(AND(AB$4&gt;='2025'!$L383,AB$4&lt;='2025'!$M383), AB$4&lt;&gt;DATE(2025,7,4)), (SWITCH(weekday(AB$4), 1, 0, 2, if(ISBLANK('2025'!$P383), 0, 1), 3, if(ISBLANK('2025'!$Q383), 0, 1), 4, if(ISBLANK('2025'!$R383), 0, 1), 5, if(ISBLANK('2025'!$S383), 0, 1), 6, if(ISBLANK('2025'!$T383), 0, 1), 7, 0))), 1, "")</f>
        <v/>
      </c>
      <c r="AC419" s="1" t="str">
        <f>IF(AND(AND(AND(AC$4&gt;='2025'!$L383,AC$4&lt;='2025'!$M383), AC$4&lt;&gt;DATE(2025,7,4)), (SWITCH(weekday(AC$4), 1, 0, 2, if(ISBLANK('2025'!$P383), 0, 1), 3, if(ISBLANK('2025'!$Q383), 0, 1), 4, if(ISBLANK('2025'!$R383), 0, 1), 5, if(ISBLANK('2025'!$S383), 0, 1), 6, if(ISBLANK('2025'!$T383), 0, 1), 7, 0))), 1, "")</f>
        <v/>
      </c>
      <c r="AD419" s="1" t="str">
        <f>IF(AND(AND(AND(AD$4&gt;='2025'!$L383,AD$4&lt;='2025'!$M383), AD$4&lt;&gt;DATE(2025,7,4)), (SWITCH(weekday(AD$4), 1, 0, 2, if(ISBLANK('2025'!$P383), 0, 1), 3, if(ISBLANK('2025'!$Q383), 0, 1), 4, if(ISBLANK('2025'!$R383), 0, 1), 5, if(ISBLANK('2025'!$S383), 0, 1), 6, if(ISBLANK('2025'!$T383), 0, 1), 7, 0))), 1, "")</f>
        <v/>
      </c>
      <c r="AE419" s="1" t="str">
        <f>IF(AND(AND(AND(AE$4&gt;='2025'!$L383,AE$4&lt;='2025'!$M383), AE$4&lt;&gt;DATE(2025,7,4)), (SWITCH(weekday(AE$4), 1, 0, 2, if(ISBLANK('2025'!$P383), 0, 1), 3, if(ISBLANK('2025'!$Q383), 0, 1), 4, if(ISBLANK('2025'!$R383), 0, 1), 5, if(ISBLANK('2025'!$S383), 0, 1), 6, if(ISBLANK('2025'!$T383), 0, 1), 7, 0))), 1, "")</f>
        <v/>
      </c>
      <c r="AF419" s="1" t="str">
        <f>IF(AND(AND(AND(AF$4&gt;='2025'!$L383,AF$4&lt;='2025'!$M383), AF$4&lt;&gt;DATE(2025,7,4)), (SWITCH(weekday(AF$4), 1, 0, 2, if(ISBLANK('2025'!$P383), 0, 1), 3, if(ISBLANK('2025'!$Q383), 0, 1), 4, if(ISBLANK('2025'!$R383), 0, 1), 5, if(ISBLANK('2025'!$S383), 0, 1), 6, if(ISBLANK('2025'!$T383), 0, 1), 7, 0))), 1, "")</f>
        <v/>
      </c>
      <c r="AG419" s="1" t="str">
        <f>IF(AND(AND(AND(AG$4&gt;='2025'!$L383,AG$4&lt;='2025'!$M383), AG$4&lt;&gt;DATE(2025,7,4)), (SWITCH(weekday(AG$4), 1, 0, 2, if(ISBLANK('2025'!$P383), 0, 1), 3, if(ISBLANK('2025'!$Q383), 0, 1), 4, if(ISBLANK('2025'!$R383), 0, 1), 5, if(ISBLANK('2025'!$S383), 0, 1), 6, if(ISBLANK('2025'!$T383), 0, 1), 7, 0))), 1, "")</f>
        <v/>
      </c>
      <c r="AH419" s="1" t="str">
        <f>IF(AND(AND(AND(AH$4&gt;='2025'!$L383,AH$4&lt;='2025'!$M383), AH$4&lt;&gt;DATE(2025,7,4)), (SWITCH(weekday(AH$4), 1, 0, 2, if(ISBLANK('2025'!$P383), 0, 1), 3, if(ISBLANK('2025'!$Q383), 0, 1), 4, if(ISBLANK('2025'!$R383), 0, 1), 5, if(ISBLANK('2025'!$S383), 0, 1), 6, if(ISBLANK('2025'!$T383), 0, 1), 7, 0))), 1, "")</f>
        <v/>
      </c>
      <c r="AI419" s="1" t="str">
        <f>IF(AND(AND(AND(AI$4&gt;='2025'!$L383,AI$4&lt;='2025'!$M383), AI$4&lt;&gt;DATE(2025,7,4)), (SWITCH(weekday(AI$4), 1, 0, 2, if(ISBLANK('2025'!$P383), 0, 1), 3, if(ISBLANK('2025'!$Q383), 0, 1), 4, if(ISBLANK('2025'!$R383), 0, 1), 5, if(ISBLANK('2025'!$S383), 0, 1), 6, if(ISBLANK('2025'!$T383), 0, 1), 7, 0))), 1, "")</f>
        <v/>
      </c>
      <c r="AJ419" s="1" t="str">
        <f>IF(AND(AND(AND(AJ$4&gt;='2025'!$L383,AJ$4&lt;='2025'!$M383), AJ$4&lt;&gt;DATE(2025,7,4)), (SWITCH(weekday(AJ$4), 1, 0, 2, if(ISBLANK('2025'!$P383), 0, 1), 3, if(ISBLANK('2025'!$Q383), 0, 1), 4, if(ISBLANK('2025'!$R383), 0, 1), 5, if(ISBLANK('2025'!$S383), 0, 1), 6, if(ISBLANK('2025'!$T383), 0, 1), 7, 0))), 1, "")</f>
        <v/>
      </c>
      <c r="AK419" s="1" t="str">
        <f>IF(AND(AND(AND(AK$4&gt;='2025'!$L383,AK$4&lt;='2025'!$M383), AK$4&lt;&gt;DATE(2025,7,4)), (SWITCH(weekday(AK$4), 1, 0, 2, if(ISBLANK('2025'!$P383), 0, 1), 3, if(ISBLANK('2025'!$Q383), 0, 1), 4, if(ISBLANK('2025'!$R383), 0, 1), 5, if(ISBLANK('2025'!$S383), 0, 1), 6, if(ISBLANK('2025'!$T383), 0, 1), 7, 0))), 1, "")</f>
        <v/>
      </c>
      <c r="AL419" s="1" t="str">
        <f>IF(AND(AND(AND(AL$4&gt;='2025'!$L383,AL$4&lt;='2025'!$M383), AL$4&lt;&gt;DATE(2025,7,4)), (SWITCH(weekday(AL$4), 1, 0, 2, if(ISBLANK('2025'!$P383), 0, 1), 3, if(ISBLANK('2025'!$Q383), 0, 1), 4, if(ISBLANK('2025'!$R383), 0, 1), 5, if(ISBLANK('2025'!$S383), 0, 1), 6, if(ISBLANK('2025'!$T383), 0, 1), 7, 0))), 1, "")</f>
        <v/>
      </c>
      <c r="AM419" s="1" t="str">
        <f>IF(AND(AND(AND(AM$4&gt;='2025'!$L383,AM$4&lt;='2025'!$M383), AM$4&lt;&gt;DATE(2025,7,4)), (SWITCH(weekday(AM$4), 1, 0, 2, if(ISBLANK('2025'!$P383), 0, 1), 3, if(ISBLANK('2025'!$Q383), 0, 1), 4, if(ISBLANK('2025'!$R383), 0, 1), 5, if(ISBLANK('2025'!$S383), 0, 1), 6, if(ISBLANK('2025'!$T383), 0, 1), 7, 0))), 1, "")</f>
        <v/>
      </c>
      <c r="AN419" s="1" t="str">
        <f>IF(AND(AND(AND(AN$4&gt;='2025'!$L383,AN$4&lt;='2025'!$M383), AN$4&lt;&gt;DATE(2025,7,4)), (SWITCH(weekday(AN$4), 1, 0, 2, if(ISBLANK('2025'!$P383), 0, 1), 3, if(ISBLANK('2025'!$Q383), 0, 1), 4, if(ISBLANK('2025'!$R383), 0, 1), 5, if(ISBLANK('2025'!$S383), 0, 1), 6, if(ISBLANK('2025'!$T383), 0, 1), 7, 0))), 1, "")</f>
        <v/>
      </c>
      <c r="AO419" s="1" t="str">
        <f>IF(AND(AND(AND(AO$4&gt;='2025'!$L383,AO$4&lt;='2025'!$M383), AO$4&lt;&gt;DATE(2025,7,4)), (SWITCH(weekday(AO$4), 1, 0, 2, if(ISBLANK('2025'!$P383), 0, 1), 3, if(ISBLANK('2025'!$Q383), 0, 1), 4, if(ISBLANK('2025'!$R383), 0, 1), 5, if(ISBLANK('2025'!$S383), 0, 1), 6, if(ISBLANK('2025'!$T383), 0, 1), 7, 0))), 1, "")</f>
        <v/>
      </c>
      <c r="AP419" s="1" t="str">
        <f>IF(AND(AND(AND(AP$4&gt;='2025'!$L383,AP$4&lt;='2025'!$M383), AP$4&lt;&gt;DATE(2025,7,4)), (SWITCH(weekday(AP$4), 1, 0, 2, if(ISBLANK('2025'!$P383), 0, 1), 3, if(ISBLANK('2025'!$Q383), 0, 1), 4, if(ISBLANK('2025'!$R383), 0, 1), 5, if(ISBLANK('2025'!$S383), 0, 1), 6, if(ISBLANK('2025'!$T383), 0, 1), 7, 0))), 1, "")</f>
        <v/>
      </c>
      <c r="AQ419" s="1" t="str">
        <f>IF(AND(AND(AND(AQ$4&gt;='2025'!$L383,AQ$4&lt;='2025'!$M383), AQ$4&lt;&gt;DATE(2025,7,4)), (SWITCH(weekday(AQ$4), 1, 0, 2, if(ISBLANK('2025'!$P383), 0, 1), 3, if(ISBLANK('2025'!$Q383), 0, 1), 4, if(ISBLANK('2025'!$R383), 0, 1), 5, if(ISBLANK('2025'!$S383), 0, 1), 6, if(ISBLANK('2025'!$T383), 0, 1), 7, 0))), 1, "")</f>
        <v/>
      </c>
      <c r="AR419" s="1" t="str">
        <f>IF(AND(AND(AND(AR$4&gt;='2025'!$L383,AR$4&lt;='2025'!$M383), AR$4&lt;&gt;DATE(2025,7,4)), (SWITCH(weekday(AR$4), 1, 0, 2, if(ISBLANK('2025'!$P383), 0, 1), 3, if(ISBLANK('2025'!$Q383), 0, 1), 4, if(ISBLANK('2025'!$R383), 0, 1), 5, if(ISBLANK('2025'!$S383), 0, 1), 6, if(ISBLANK('2025'!$T383), 0, 1), 7, 0))), 1, "")</f>
        <v/>
      </c>
      <c r="AS419" s="1" t="str">
        <f>IF(AND(AND(AND(AS$4&gt;='2025'!$L383,AS$4&lt;='2025'!$M383), AS$4&lt;&gt;DATE(2025,7,4)), (SWITCH(weekday(AS$4), 1, 0, 2, if(ISBLANK('2025'!$P383), 0, 1), 3, if(ISBLANK('2025'!$Q383), 0, 1), 4, if(ISBLANK('2025'!$R383), 0, 1), 5, if(ISBLANK('2025'!$S383), 0, 1), 6, if(ISBLANK('2025'!$T383), 0, 1), 7, 0))), 1, "")</f>
        <v/>
      </c>
      <c r="AT419" s="1" t="str">
        <f>IF(AND(AND(AND(AT$4&gt;='2025'!$L383,AT$4&lt;='2025'!$M383), AT$4&lt;&gt;DATE(2025,7,4)), (SWITCH(weekday(AT$4), 1, 0, 2, if(ISBLANK('2025'!$P383), 0, 1), 3, if(ISBLANK('2025'!$Q383), 0, 1), 4, if(ISBLANK('2025'!$R383), 0, 1), 5, if(ISBLANK('2025'!$S383), 0, 1), 6, if(ISBLANK('2025'!$T383), 0, 1), 7, 0))), 1, "")</f>
        <v/>
      </c>
      <c r="AU419" s="1" t="str">
        <f>IF(AND(AND(AND(AU$4&gt;='2025'!$L383,AU$4&lt;='2025'!$M383), AU$4&lt;&gt;DATE(2025,7,4)), (SWITCH(weekday(AU$4), 1, 0, 2, if(ISBLANK('2025'!$P383), 0, 1), 3, if(ISBLANK('2025'!$Q383), 0, 1), 4, if(ISBLANK('2025'!$R383), 0, 1), 5, if(ISBLANK('2025'!$S383), 0, 1), 6, if(ISBLANK('2025'!$T383), 0, 1), 7, 0))), 1, "")</f>
        <v/>
      </c>
      <c r="AV419" s="1" t="str">
        <f>IF(AND(AND(AND(AV$4&gt;='2025'!$L383,AV$4&lt;='2025'!$M383), AV$4&lt;&gt;DATE(2025,7,4)), (SWITCH(weekday(AV$4), 1, 0, 2, if(ISBLANK('2025'!$P383), 0, 1), 3, if(ISBLANK('2025'!$Q383), 0, 1), 4, if(ISBLANK('2025'!$R383), 0, 1), 5, if(ISBLANK('2025'!$S383), 0, 1), 6, if(ISBLANK('2025'!$T383), 0, 1), 7, 0))), 1, "")</f>
        <v/>
      </c>
      <c r="AW419" s="1" t="str">
        <f>IF(AND(AND(AND(AW$4&gt;='2025'!$L383,AW$4&lt;='2025'!$M383), AW$4&lt;&gt;DATE(2025,7,4)), (SWITCH(weekday(AW$4), 1, 0, 2, if(ISBLANK('2025'!$P383), 0, 1), 3, if(ISBLANK('2025'!$Q383), 0, 1), 4, if(ISBLANK('2025'!$R383), 0, 1), 5, if(ISBLANK('2025'!$S383), 0, 1), 6, if(ISBLANK('2025'!$T383), 0, 1), 7, 0))), 1, "")</f>
        <v/>
      </c>
      <c r="AX419" s="1" t="str">
        <f>IF(AND(AND(AND(AX$4&gt;='2025'!$L383,AX$4&lt;='2025'!$M383), AX$4&lt;&gt;DATE(2025,7,4)), (SWITCH(weekday(AX$4), 1, 0, 2, if(ISBLANK('2025'!$P383), 0, 1), 3, if(ISBLANK('2025'!$Q383), 0, 1), 4, if(ISBLANK('2025'!$R383), 0, 1), 5, if(ISBLANK('2025'!$S383), 0, 1), 6, if(ISBLANK('2025'!$T383), 0, 1), 7, 0))), 1, "")</f>
        <v/>
      </c>
      <c r="AY419" s="1" t="str">
        <f>IF(AND(AND(AND(AY$4&gt;='2025'!$L383,AY$4&lt;='2025'!$M383), AY$4&lt;&gt;DATE(2025,7,4)), (SWITCH(weekday(AY$4), 1, 0, 2, if(ISBLANK('2025'!$P383), 0, 1), 3, if(ISBLANK('2025'!$Q383), 0, 1), 4, if(ISBLANK('2025'!$R383), 0, 1), 5, if(ISBLANK('2025'!$S383), 0, 1), 6, if(ISBLANK('2025'!$T383), 0, 1), 7, 0))), 1, "")</f>
        <v/>
      </c>
      <c r="AZ419" s="1" t="str">
        <f>IF(AND(AND(AND(AZ$4&gt;='2025'!$L383,AZ$4&lt;='2025'!$M383), AZ$4&lt;&gt;DATE(2025,7,4)), (SWITCH(weekday(AZ$4), 1, 0, 2, if(ISBLANK('2025'!$P383), 0, 1), 3, if(ISBLANK('2025'!$Q383), 0, 1), 4, if(ISBLANK('2025'!$R383), 0, 1), 5, if(ISBLANK('2025'!$S383), 0, 1), 6, if(ISBLANK('2025'!$T383), 0, 1), 7, 0))), 1, "")</f>
        <v/>
      </c>
      <c r="BA419" s="1" t="str">
        <f>IF(AND(AND(AND(BA$4&gt;='2025'!$L383,BA$4&lt;='2025'!$M383), BA$4&lt;&gt;DATE(2025,7,4)), (SWITCH(weekday(BA$4), 1, 0, 2, if(ISBLANK('2025'!$P383), 0, 1), 3, if(ISBLANK('2025'!$Q383), 0, 1), 4, if(ISBLANK('2025'!$R383), 0, 1), 5, if(ISBLANK('2025'!$S383), 0, 1), 6, if(ISBLANK('2025'!$T383), 0, 1), 7, 0))), 1, "")</f>
        <v/>
      </c>
      <c r="BB419" s="1" t="str">
        <f>IF(AND(AND(AND(BB$4&gt;='2025'!$L383,BB$4&lt;='2025'!$M383), BB$4&lt;&gt;DATE(2025,7,4)), (SWITCH(weekday(BB$4), 1, 0, 2, if(ISBLANK('2025'!$P383), 0, 1), 3, if(ISBLANK('2025'!$Q383), 0, 1), 4, if(ISBLANK('2025'!$R383), 0, 1), 5, if(ISBLANK('2025'!$S383), 0, 1), 6, if(ISBLANK('2025'!$T383), 0, 1), 7, 0))), 1, "")</f>
        <v/>
      </c>
      <c r="BC419" s="1" t="str">
        <f>IF(AND(AND(AND(BC$4&gt;='2025'!$L383,BC$4&lt;='2025'!$M383), BC$4&lt;&gt;DATE(2025,7,4)), (SWITCH(weekday(BC$4), 1, 0, 2, if(ISBLANK('2025'!$P383), 0, 1), 3, if(ISBLANK('2025'!$Q383), 0, 1), 4, if(ISBLANK('2025'!$R383), 0, 1), 5, if(ISBLANK('2025'!$S383), 0, 1), 6, if(ISBLANK('2025'!$T383), 0, 1), 7, 0))), 1, "")</f>
        <v/>
      </c>
      <c r="BD419" s="1" t="str">
        <f>IF(AND(AND(AND(BD$4&gt;='2025'!$L383,BD$4&lt;='2025'!$M383), BD$4&lt;&gt;DATE(2025,7,4)), (SWITCH(weekday(BD$4), 1, 0, 2, if(ISBLANK('2025'!$P383), 0, 1), 3, if(ISBLANK('2025'!$Q383), 0, 1), 4, if(ISBLANK('2025'!$R383), 0, 1), 5, if(ISBLANK('2025'!$S383), 0, 1), 6, if(ISBLANK('2025'!$T383), 0, 1), 7, 0))), 1, "")</f>
        <v/>
      </c>
      <c r="BE419" s="1" t="str">
        <f>IF(AND(AND(AND(BE$4&gt;='2025'!$L383,BE$4&lt;='2025'!$M383), BE$4&lt;&gt;DATE(2025,7,4)), (SWITCH(weekday(BE$4), 1, 0, 2, if(ISBLANK('2025'!$P383), 0, 1), 3, if(ISBLANK('2025'!$Q383), 0, 1), 4, if(ISBLANK('2025'!$R383), 0, 1), 5, if(ISBLANK('2025'!$S383), 0, 1), 6, if(ISBLANK('2025'!$T383), 0, 1), 7, 0))), 1, "")</f>
        <v/>
      </c>
    </row>
    <row r="420">
      <c r="A420" s="1">
        <f t="shared" si="3"/>
        <v>420</v>
      </c>
      <c r="B420" s="1" t="str">
        <f>'2025'!D384</f>
        <v/>
      </c>
      <c r="C420" s="1" t="str">
        <f>'2025'!H384</f>
        <v/>
      </c>
      <c r="D420" s="1" t="str">
        <f>IF(AND(AND(AND(D$4&gt;='2025'!$L384,D$4&lt;='2025'!$M384), D$4&lt;&gt;DATE(2025,7,4)), (SWITCH(weekday(D$4), 1, 0, 2, if(ISBLANK('2025'!$P384), 0, 1), 3, if(ISBLANK('2025'!$Q384), 0, 1), 4, if(ISBLANK('2025'!$R384), 0, 1), 5, if(ISBLANK('2025'!$S384), 0, 1), 6, if(ISBLANK('2025'!$T384), 0, 1), 7, 0))), 1, "")</f>
        <v/>
      </c>
      <c r="E420" s="1" t="str">
        <f>IF(AND(AND(AND(E$4&gt;='2025'!$L384,E$4&lt;='2025'!$M384), E$4&lt;&gt;DATE(2025,7,4)), (SWITCH(weekday(E$4), 1, 0, 2, if(ISBLANK('2025'!$P384), 0, 1), 3, if(ISBLANK('2025'!$Q384), 0, 1), 4, if(ISBLANK('2025'!$R384), 0, 1), 5, if(ISBLANK('2025'!$S384), 0, 1), 6, if(ISBLANK('2025'!$T384), 0, 1), 7, 0))), 1, "")</f>
        <v/>
      </c>
      <c r="F420" s="1" t="str">
        <f>IF(AND(AND(AND(F$4&gt;='2025'!$L384,F$4&lt;='2025'!$M384), F$4&lt;&gt;DATE(2025,7,4)), (SWITCH(weekday(F$4), 1, 0, 2, if(ISBLANK('2025'!$P384), 0, 1), 3, if(ISBLANK('2025'!$Q384), 0, 1), 4, if(ISBLANK('2025'!$R384), 0, 1), 5, if(ISBLANK('2025'!$S384), 0, 1), 6, if(ISBLANK('2025'!$T384), 0, 1), 7, 0))), 1, "")</f>
        <v/>
      </c>
      <c r="G420" s="1" t="str">
        <f>IF(AND(AND(AND(G$4&gt;='2025'!$L384,G$4&lt;='2025'!$M384), G$4&lt;&gt;DATE(2025,7,4)), (SWITCH(weekday(G$4), 1, 0, 2, if(ISBLANK('2025'!$P384), 0, 1), 3, if(ISBLANK('2025'!$Q384), 0, 1), 4, if(ISBLANK('2025'!$R384), 0, 1), 5, if(ISBLANK('2025'!$S384), 0, 1), 6, if(ISBLANK('2025'!$T384), 0, 1), 7, 0))), 1, "")</f>
        <v/>
      </c>
      <c r="H420" s="1" t="str">
        <f>IF(AND(AND(AND(H$4&gt;='2025'!$L384,H$4&lt;='2025'!$M384), H$4&lt;&gt;DATE(2025,7,4)), (SWITCH(weekday(H$4), 1, 0, 2, if(ISBLANK('2025'!$P384), 0, 1), 3, if(ISBLANK('2025'!$Q384), 0, 1), 4, if(ISBLANK('2025'!$R384), 0, 1), 5, if(ISBLANK('2025'!$S384), 0, 1), 6, if(ISBLANK('2025'!$T384), 0, 1), 7, 0))), 1, "")</f>
        <v/>
      </c>
      <c r="I420" s="1" t="str">
        <f>IF(AND(AND(AND(I$4&gt;='2025'!$L384,I$4&lt;='2025'!$M384), I$4&lt;&gt;DATE(2025,7,4)), (SWITCH(weekday(I$4), 1, 0, 2, if(ISBLANK('2025'!$P384), 0, 1), 3, if(ISBLANK('2025'!$Q384), 0, 1), 4, if(ISBLANK('2025'!$R384), 0, 1), 5, if(ISBLANK('2025'!$S384), 0, 1), 6, if(ISBLANK('2025'!$T384), 0, 1), 7, 0))), 1, "")</f>
        <v/>
      </c>
      <c r="J420" s="1" t="str">
        <f>IF(AND(AND(AND(J$4&gt;='2025'!$L384,J$4&lt;='2025'!$M384), J$4&lt;&gt;DATE(2025,7,4)), (SWITCH(weekday(J$4), 1, 0, 2, if(ISBLANK('2025'!$P384), 0, 1), 3, if(ISBLANK('2025'!$Q384), 0, 1), 4, if(ISBLANK('2025'!$R384), 0, 1), 5, if(ISBLANK('2025'!$S384), 0, 1), 6, if(ISBLANK('2025'!$T384), 0, 1), 7, 0))), 1, "")</f>
        <v/>
      </c>
      <c r="K420" s="1" t="str">
        <f>IF(AND(AND(AND(K$4&gt;='2025'!$L384,K$4&lt;='2025'!$M384), K$4&lt;&gt;DATE(2025,7,4)), (SWITCH(weekday(K$4), 1, 0, 2, if(ISBLANK('2025'!$P384), 0, 1), 3, if(ISBLANK('2025'!$Q384), 0, 1), 4, if(ISBLANK('2025'!$R384), 0, 1), 5, if(ISBLANK('2025'!$S384), 0, 1), 6, if(ISBLANK('2025'!$T384), 0, 1), 7, 0))), 1, "")</f>
        <v/>
      </c>
      <c r="L420" s="1" t="str">
        <f>IF(AND(AND(AND(L$4&gt;='2025'!$L384,L$4&lt;='2025'!$M384), L$4&lt;&gt;DATE(2025,7,4)), (SWITCH(weekday(L$4), 1, 0, 2, if(ISBLANK('2025'!$P384), 0, 1), 3, if(ISBLANK('2025'!$Q384), 0, 1), 4, if(ISBLANK('2025'!$R384), 0, 1), 5, if(ISBLANK('2025'!$S384), 0, 1), 6, if(ISBLANK('2025'!$T384), 0, 1), 7, 0))), 1, "")</f>
        <v/>
      </c>
      <c r="M420" s="1" t="str">
        <f>IF(AND(AND(AND(M$4&gt;='2025'!$L384,M$4&lt;='2025'!$M384), M$4&lt;&gt;DATE(2025,7,4)), (SWITCH(weekday(M$4), 1, 0, 2, if(ISBLANK('2025'!$P384), 0, 1), 3, if(ISBLANK('2025'!$Q384), 0, 1), 4, if(ISBLANK('2025'!$R384), 0, 1), 5, if(ISBLANK('2025'!$S384), 0, 1), 6, if(ISBLANK('2025'!$T384), 0, 1), 7, 0))), 1, "")</f>
        <v/>
      </c>
      <c r="N420" s="1" t="str">
        <f>IF(AND(AND(AND(N$4&gt;='2025'!$L384,N$4&lt;='2025'!$M384), N$4&lt;&gt;DATE(2025,7,4)), (SWITCH(weekday(N$4), 1, 0, 2, if(ISBLANK('2025'!$P384), 0, 1), 3, if(ISBLANK('2025'!$Q384), 0, 1), 4, if(ISBLANK('2025'!$R384), 0, 1), 5, if(ISBLANK('2025'!$S384), 0, 1), 6, if(ISBLANK('2025'!$T384), 0, 1), 7, 0))), 1, "")</f>
        <v/>
      </c>
      <c r="O420" s="1" t="str">
        <f>IF(AND(AND(AND(O$4&gt;='2025'!$L384,O$4&lt;='2025'!$M384), O$4&lt;&gt;DATE(2025,7,4)), (SWITCH(weekday(O$4), 1, 0, 2, if(ISBLANK('2025'!$P384), 0, 1), 3, if(ISBLANK('2025'!$Q384), 0, 1), 4, if(ISBLANK('2025'!$R384), 0, 1), 5, if(ISBLANK('2025'!$S384), 0, 1), 6, if(ISBLANK('2025'!$T384), 0, 1), 7, 0))), 1, "")</f>
        <v/>
      </c>
      <c r="P420" s="1" t="str">
        <f>IF(AND(AND(AND(P$4&gt;='2025'!$L384,P$4&lt;='2025'!$M384), P$4&lt;&gt;DATE(2025,7,4)), (SWITCH(weekday(P$4), 1, 0, 2, if(ISBLANK('2025'!$P384), 0, 1), 3, if(ISBLANK('2025'!$Q384), 0, 1), 4, if(ISBLANK('2025'!$R384), 0, 1), 5, if(ISBLANK('2025'!$S384), 0, 1), 6, if(ISBLANK('2025'!$T384), 0, 1), 7, 0))), 1, "")</f>
        <v/>
      </c>
      <c r="Q420" s="1" t="str">
        <f>IF(AND(AND(AND(Q$4&gt;='2025'!$L384,Q$4&lt;='2025'!$M384), Q$4&lt;&gt;DATE(2025,7,4)), (SWITCH(weekday(Q$4), 1, 0, 2, if(ISBLANK('2025'!$P384), 0, 1), 3, if(ISBLANK('2025'!$Q384), 0, 1), 4, if(ISBLANK('2025'!$R384), 0, 1), 5, if(ISBLANK('2025'!$S384), 0, 1), 6, if(ISBLANK('2025'!$T384), 0, 1), 7, 0))), 1, "")</f>
        <v/>
      </c>
      <c r="R420" s="1" t="str">
        <f>IF(AND(AND(AND(R$4&gt;='2025'!$L384,R$4&lt;='2025'!$M384), R$4&lt;&gt;DATE(2025,7,4)), (SWITCH(weekday(R$4), 1, 0, 2, if(ISBLANK('2025'!$P384), 0, 1), 3, if(ISBLANK('2025'!$Q384), 0, 1), 4, if(ISBLANK('2025'!$R384), 0, 1), 5, if(ISBLANK('2025'!$S384), 0, 1), 6, if(ISBLANK('2025'!$T384), 0, 1), 7, 0))), 1, "")</f>
        <v/>
      </c>
      <c r="S420" s="1" t="str">
        <f>IF(AND(AND(AND(S$4&gt;='2025'!$L384,S$4&lt;='2025'!$M384), S$4&lt;&gt;DATE(2025,7,4)), (SWITCH(weekday(S$4), 1, 0, 2, if(ISBLANK('2025'!$P384), 0, 1), 3, if(ISBLANK('2025'!$Q384), 0, 1), 4, if(ISBLANK('2025'!$R384), 0, 1), 5, if(ISBLANK('2025'!$S384), 0, 1), 6, if(ISBLANK('2025'!$T384), 0, 1), 7, 0))), 1, "")</f>
        <v/>
      </c>
      <c r="T420" s="1" t="str">
        <f>IF(AND(AND(AND(T$4&gt;='2025'!$L384,T$4&lt;='2025'!$M384), T$4&lt;&gt;DATE(2025,7,4)), (SWITCH(weekday(T$4), 1, 0, 2, if(ISBLANK('2025'!$P384), 0, 1), 3, if(ISBLANK('2025'!$Q384), 0, 1), 4, if(ISBLANK('2025'!$R384), 0, 1), 5, if(ISBLANK('2025'!$S384), 0, 1), 6, if(ISBLANK('2025'!$T384), 0, 1), 7, 0))), 1, "")</f>
        <v/>
      </c>
      <c r="U420" s="1" t="str">
        <f>IF(AND(AND(AND(U$4&gt;='2025'!$L384,U$4&lt;='2025'!$M384), U$4&lt;&gt;DATE(2025,7,4)), (SWITCH(weekday(U$4), 1, 0, 2, if(ISBLANK('2025'!$P384), 0, 1), 3, if(ISBLANK('2025'!$Q384), 0, 1), 4, if(ISBLANK('2025'!$R384), 0, 1), 5, if(ISBLANK('2025'!$S384), 0, 1), 6, if(ISBLANK('2025'!$T384), 0, 1), 7, 0))), 1, "")</f>
        <v/>
      </c>
      <c r="V420" s="1" t="str">
        <f>IF(AND(AND(AND(V$4&gt;='2025'!$L384,V$4&lt;='2025'!$M384), V$4&lt;&gt;DATE(2025,7,4)), (SWITCH(weekday(V$4), 1, 0, 2, if(ISBLANK('2025'!$P384), 0, 1), 3, if(ISBLANK('2025'!$Q384), 0, 1), 4, if(ISBLANK('2025'!$R384), 0, 1), 5, if(ISBLANK('2025'!$S384), 0, 1), 6, if(ISBLANK('2025'!$T384), 0, 1), 7, 0))), 1, "")</f>
        <v/>
      </c>
      <c r="W420" s="1" t="str">
        <f>IF(AND(AND(AND(W$4&gt;='2025'!$L384,W$4&lt;='2025'!$M384), W$4&lt;&gt;DATE(2025,7,4)), (SWITCH(weekday(W$4), 1, 0, 2, if(ISBLANK('2025'!$P384), 0, 1), 3, if(ISBLANK('2025'!$Q384), 0, 1), 4, if(ISBLANK('2025'!$R384), 0, 1), 5, if(ISBLANK('2025'!$S384), 0, 1), 6, if(ISBLANK('2025'!$T384), 0, 1), 7, 0))), 1, "")</f>
        <v/>
      </c>
      <c r="X420" s="1" t="str">
        <f>IF(AND(AND(AND(X$4&gt;='2025'!$L384,X$4&lt;='2025'!$M384), X$4&lt;&gt;DATE(2025,7,4)), (SWITCH(weekday(X$4), 1, 0, 2, if(ISBLANK('2025'!$P384), 0, 1), 3, if(ISBLANK('2025'!$Q384), 0, 1), 4, if(ISBLANK('2025'!$R384), 0, 1), 5, if(ISBLANK('2025'!$S384), 0, 1), 6, if(ISBLANK('2025'!$T384), 0, 1), 7, 0))), 1, "")</f>
        <v/>
      </c>
      <c r="Y420" s="1" t="str">
        <f>IF(AND(AND(AND(Y$4&gt;='2025'!$L384,Y$4&lt;='2025'!$M384), Y$4&lt;&gt;DATE(2025,7,4)), (SWITCH(weekday(Y$4), 1, 0, 2, if(ISBLANK('2025'!$P384), 0, 1), 3, if(ISBLANK('2025'!$Q384), 0, 1), 4, if(ISBLANK('2025'!$R384), 0, 1), 5, if(ISBLANK('2025'!$S384), 0, 1), 6, if(ISBLANK('2025'!$T384), 0, 1), 7, 0))), 1, "")</f>
        <v/>
      </c>
      <c r="Z420" s="1" t="str">
        <f>IF(AND(AND(AND(Z$4&gt;='2025'!$L384,Z$4&lt;='2025'!$M384), Z$4&lt;&gt;DATE(2025,7,4)), (SWITCH(weekday(Z$4), 1, 0, 2, if(ISBLANK('2025'!$P384), 0, 1), 3, if(ISBLANK('2025'!$Q384), 0, 1), 4, if(ISBLANK('2025'!$R384), 0, 1), 5, if(ISBLANK('2025'!$S384), 0, 1), 6, if(ISBLANK('2025'!$T384), 0, 1), 7, 0))), 1, "")</f>
        <v/>
      </c>
      <c r="AA420" s="1" t="str">
        <f>IF(AND(AND(AND(AA$4&gt;='2025'!$L384,AA$4&lt;='2025'!$M384), AA$4&lt;&gt;DATE(2025,7,4)), (SWITCH(weekday(AA$4), 1, 0, 2, if(ISBLANK('2025'!$P384), 0, 1), 3, if(ISBLANK('2025'!$Q384), 0, 1), 4, if(ISBLANK('2025'!$R384), 0, 1), 5, if(ISBLANK('2025'!$S384), 0, 1), 6, if(ISBLANK('2025'!$T384), 0, 1), 7, 0))), 1, "")</f>
        <v/>
      </c>
      <c r="AB420" s="1" t="str">
        <f>IF(AND(AND(AND(AB$4&gt;='2025'!$L384,AB$4&lt;='2025'!$M384), AB$4&lt;&gt;DATE(2025,7,4)), (SWITCH(weekday(AB$4), 1, 0, 2, if(ISBLANK('2025'!$P384), 0, 1), 3, if(ISBLANK('2025'!$Q384), 0, 1), 4, if(ISBLANK('2025'!$R384), 0, 1), 5, if(ISBLANK('2025'!$S384), 0, 1), 6, if(ISBLANK('2025'!$T384), 0, 1), 7, 0))), 1, "")</f>
        <v/>
      </c>
      <c r="AC420" s="1" t="str">
        <f>IF(AND(AND(AND(AC$4&gt;='2025'!$L384,AC$4&lt;='2025'!$M384), AC$4&lt;&gt;DATE(2025,7,4)), (SWITCH(weekday(AC$4), 1, 0, 2, if(ISBLANK('2025'!$P384), 0, 1), 3, if(ISBLANK('2025'!$Q384), 0, 1), 4, if(ISBLANK('2025'!$R384), 0, 1), 5, if(ISBLANK('2025'!$S384), 0, 1), 6, if(ISBLANK('2025'!$T384), 0, 1), 7, 0))), 1, "")</f>
        <v/>
      </c>
      <c r="AD420" s="1" t="str">
        <f>IF(AND(AND(AND(AD$4&gt;='2025'!$L384,AD$4&lt;='2025'!$M384), AD$4&lt;&gt;DATE(2025,7,4)), (SWITCH(weekday(AD$4), 1, 0, 2, if(ISBLANK('2025'!$P384), 0, 1), 3, if(ISBLANK('2025'!$Q384), 0, 1), 4, if(ISBLANK('2025'!$R384), 0, 1), 5, if(ISBLANK('2025'!$S384), 0, 1), 6, if(ISBLANK('2025'!$T384), 0, 1), 7, 0))), 1, "")</f>
        <v/>
      </c>
      <c r="AE420" s="1" t="str">
        <f>IF(AND(AND(AND(AE$4&gt;='2025'!$L384,AE$4&lt;='2025'!$M384), AE$4&lt;&gt;DATE(2025,7,4)), (SWITCH(weekday(AE$4), 1, 0, 2, if(ISBLANK('2025'!$P384), 0, 1), 3, if(ISBLANK('2025'!$Q384), 0, 1), 4, if(ISBLANK('2025'!$R384), 0, 1), 5, if(ISBLANK('2025'!$S384), 0, 1), 6, if(ISBLANK('2025'!$T384), 0, 1), 7, 0))), 1, "")</f>
        <v/>
      </c>
      <c r="AF420" s="1" t="str">
        <f>IF(AND(AND(AND(AF$4&gt;='2025'!$L384,AF$4&lt;='2025'!$M384), AF$4&lt;&gt;DATE(2025,7,4)), (SWITCH(weekday(AF$4), 1, 0, 2, if(ISBLANK('2025'!$P384), 0, 1), 3, if(ISBLANK('2025'!$Q384), 0, 1), 4, if(ISBLANK('2025'!$R384), 0, 1), 5, if(ISBLANK('2025'!$S384), 0, 1), 6, if(ISBLANK('2025'!$T384), 0, 1), 7, 0))), 1, "")</f>
        <v/>
      </c>
      <c r="AG420" s="1" t="str">
        <f>IF(AND(AND(AND(AG$4&gt;='2025'!$L384,AG$4&lt;='2025'!$M384), AG$4&lt;&gt;DATE(2025,7,4)), (SWITCH(weekday(AG$4), 1, 0, 2, if(ISBLANK('2025'!$P384), 0, 1), 3, if(ISBLANK('2025'!$Q384), 0, 1), 4, if(ISBLANK('2025'!$R384), 0, 1), 5, if(ISBLANK('2025'!$S384), 0, 1), 6, if(ISBLANK('2025'!$T384), 0, 1), 7, 0))), 1, "")</f>
        <v/>
      </c>
      <c r="AH420" s="1" t="str">
        <f>IF(AND(AND(AND(AH$4&gt;='2025'!$L384,AH$4&lt;='2025'!$M384), AH$4&lt;&gt;DATE(2025,7,4)), (SWITCH(weekday(AH$4), 1, 0, 2, if(ISBLANK('2025'!$P384), 0, 1), 3, if(ISBLANK('2025'!$Q384), 0, 1), 4, if(ISBLANK('2025'!$R384), 0, 1), 5, if(ISBLANK('2025'!$S384), 0, 1), 6, if(ISBLANK('2025'!$T384), 0, 1), 7, 0))), 1, "")</f>
        <v/>
      </c>
      <c r="AI420" s="1" t="str">
        <f>IF(AND(AND(AND(AI$4&gt;='2025'!$L384,AI$4&lt;='2025'!$M384), AI$4&lt;&gt;DATE(2025,7,4)), (SWITCH(weekday(AI$4), 1, 0, 2, if(ISBLANK('2025'!$P384), 0, 1), 3, if(ISBLANK('2025'!$Q384), 0, 1), 4, if(ISBLANK('2025'!$R384), 0, 1), 5, if(ISBLANK('2025'!$S384), 0, 1), 6, if(ISBLANK('2025'!$T384), 0, 1), 7, 0))), 1, "")</f>
        <v/>
      </c>
      <c r="AJ420" s="1" t="str">
        <f>IF(AND(AND(AND(AJ$4&gt;='2025'!$L384,AJ$4&lt;='2025'!$M384), AJ$4&lt;&gt;DATE(2025,7,4)), (SWITCH(weekday(AJ$4), 1, 0, 2, if(ISBLANK('2025'!$P384), 0, 1), 3, if(ISBLANK('2025'!$Q384), 0, 1), 4, if(ISBLANK('2025'!$R384), 0, 1), 5, if(ISBLANK('2025'!$S384), 0, 1), 6, if(ISBLANK('2025'!$T384), 0, 1), 7, 0))), 1, "")</f>
        <v/>
      </c>
      <c r="AK420" s="1" t="str">
        <f>IF(AND(AND(AND(AK$4&gt;='2025'!$L384,AK$4&lt;='2025'!$M384), AK$4&lt;&gt;DATE(2025,7,4)), (SWITCH(weekday(AK$4), 1, 0, 2, if(ISBLANK('2025'!$P384), 0, 1), 3, if(ISBLANK('2025'!$Q384), 0, 1), 4, if(ISBLANK('2025'!$R384), 0, 1), 5, if(ISBLANK('2025'!$S384), 0, 1), 6, if(ISBLANK('2025'!$T384), 0, 1), 7, 0))), 1, "")</f>
        <v/>
      </c>
      <c r="AL420" s="1" t="str">
        <f>IF(AND(AND(AND(AL$4&gt;='2025'!$L384,AL$4&lt;='2025'!$M384), AL$4&lt;&gt;DATE(2025,7,4)), (SWITCH(weekday(AL$4), 1, 0, 2, if(ISBLANK('2025'!$P384), 0, 1), 3, if(ISBLANK('2025'!$Q384), 0, 1), 4, if(ISBLANK('2025'!$R384), 0, 1), 5, if(ISBLANK('2025'!$S384), 0, 1), 6, if(ISBLANK('2025'!$T384), 0, 1), 7, 0))), 1, "")</f>
        <v/>
      </c>
      <c r="AM420" s="1" t="str">
        <f>IF(AND(AND(AND(AM$4&gt;='2025'!$L384,AM$4&lt;='2025'!$M384), AM$4&lt;&gt;DATE(2025,7,4)), (SWITCH(weekday(AM$4), 1, 0, 2, if(ISBLANK('2025'!$P384), 0, 1), 3, if(ISBLANK('2025'!$Q384), 0, 1), 4, if(ISBLANK('2025'!$R384), 0, 1), 5, if(ISBLANK('2025'!$S384), 0, 1), 6, if(ISBLANK('2025'!$T384), 0, 1), 7, 0))), 1, "")</f>
        <v/>
      </c>
      <c r="AN420" s="1" t="str">
        <f>IF(AND(AND(AND(AN$4&gt;='2025'!$L384,AN$4&lt;='2025'!$M384), AN$4&lt;&gt;DATE(2025,7,4)), (SWITCH(weekday(AN$4), 1, 0, 2, if(ISBLANK('2025'!$P384), 0, 1), 3, if(ISBLANK('2025'!$Q384), 0, 1), 4, if(ISBLANK('2025'!$R384), 0, 1), 5, if(ISBLANK('2025'!$S384), 0, 1), 6, if(ISBLANK('2025'!$T384), 0, 1), 7, 0))), 1, "")</f>
        <v/>
      </c>
      <c r="AO420" s="1" t="str">
        <f>IF(AND(AND(AND(AO$4&gt;='2025'!$L384,AO$4&lt;='2025'!$M384), AO$4&lt;&gt;DATE(2025,7,4)), (SWITCH(weekday(AO$4), 1, 0, 2, if(ISBLANK('2025'!$P384), 0, 1), 3, if(ISBLANK('2025'!$Q384), 0, 1), 4, if(ISBLANK('2025'!$R384), 0, 1), 5, if(ISBLANK('2025'!$S384), 0, 1), 6, if(ISBLANK('2025'!$T384), 0, 1), 7, 0))), 1, "")</f>
        <v/>
      </c>
      <c r="AP420" s="1" t="str">
        <f>IF(AND(AND(AND(AP$4&gt;='2025'!$L384,AP$4&lt;='2025'!$M384), AP$4&lt;&gt;DATE(2025,7,4)), (SWITCH(weekday(AP$4), 1, 0, 2, if(ISBLANK('2025'!$P384), 0, 1), 3, if(ISBLANK('2025'!$Q384), 0, 1), 4, if(ISBLANK('2025'!$R384), 0, 1), 5, if(ISBLANK('2025'!$S384), 0, 1), 6, if(ISBLANK('2025'!$T384), 0, 1), 7, 0))), 1, "")</f>
        <v/>
      </c>
      <c r="AQ420" s="1" t="str">
        <f>IF(AND(AND(AND(AQ$4&gt;='2025'!$L384,AQ$4&lt;='2025'!$M384), AQ$4&lt;&gt;DATE(2025,7,4)), (SWITCH(weekday(AQ$4), 1, 0, 2, if(ISBLANK('2025'!$P384), 0, 1), 3, if(ISBLANK('2025'!$Q384), 0, 1), 4, if(ISBLANK('2025'!$R384), 0, 1), 5, if(ISBLANK('2025'!$S384), 0, 1), 6, if(ISBLANK('2025'!$T384), 0, 1), 7, 0))), 1, "")</f>
        <v/>
      </c>
      <c r="AR420" s="1" t="str">
        <f>IF(AND(AND(AND(AR$4&gt;='2025'!$L384,AR$4&lt;='2025'!$M384), AR$4&lt;&gt;DATE(2025,7,4)), (SWITCH(weekday(AR$4), 1, 0, 2, if(ISBLANK('2025'!$P384), 0, 1), 3, if(ISBLANK('2025'!$Q384), 0, 1), 4, if(ISBLANK('2025'!$R384), 0, 1), 5, if(ISBLANK('2025'!$S384), 0, 1), 6, if(ISBLANK('2025'!$T384), 0, 1), 7, 0))), 1, "")</f>
        <v/>
      </c>
      <c r="AS420" s="1" t="str">
        <f>IF(AND(AND(AND(AS$4&gt;='2025'!$L384,AS$4&lt;='2025'!$M384), AS$4&lt;&gt;DATE(2025,7,4)), (SWITCH(weekday(AS$4), 1, 0, 2, if(ISBLANK('2025'!$P384), 0, 1), 3, if(ISBLANK('2025'!$Q384), 0, 1), 4, if(ISBLANK('2025'!$R384), 0, 1), 5, if(ISBLANK('2025'!$S384), 0, 1), 6, if(ISBLANK('2025'!$T384), 0, 1), 7, 0))), 1, "")</f>
        <v/>
      </c>
      <c r="AT420" s="1" t="str">
        <f>IF(AND(AND(AND(AT$4&gt;='2025'!$L384,AT$4&lt;='2025'!$M384), AT$4&lt;&gt;DATE(2025,7,4)), (SWITCH(weekday(AT$4), 1, 0, 2, if(ISBLANK('2025'!$P384), 0, 1), 3, if(ISBLANK('2025'!$Q384), 0, 1), 4, if(ISBLANK('2025'!$R384), 0, 1), 5, if(ISBLANK('2025'!$S384), 0, 1), 6, if(ISBLANK('2025'!$T384), 0, 1), 7, 0))), 1, "")</f>
        <v/>
      </c>
      <c r="AU420" s="1" t="str">
        <f>IF(AND(AND(AND(AU$4&gt;='2025'!$L384,AU$4&lt;='2025'!$M384), AU$4&lt;&gt;DATE(2025,7,4)), (SWITCH(weekday(AU$4), 1, 0, 2, if(ISBLANK('2025'!$P384), 0, 1), 3, if(ISBLANK('2025'!$Q384), 0, 1), 4, if(ISBLANK('2025'!$R384), 0, 1), 5, if(ISBLANK('2025'!$S384), 0, 1), 6, if(ISBLANK('2025'!$T384), 0, 1), 7, 0))), 1, "")</f>
        <v/>
      </c>
      <c r="AV420" s="1" t="str">
        <f>IF(AND(AND(AND(AV$4&gt;='2025'!$L384,AV$4&lt;='2025'!$M384), AV$4&lt;&gt;DATE(2025,7,4)), (SWITCH(weekday(AV$4), 1, 0, 2, if(ISBLANK('2025'!$P384), 0, 1), 3, if(ISBLANK('2025'!$Q384), 0, 1), 4, if(ISBLANK('2025'!$R384), 0, 1), 5, if(ISBLANK('2025'!$S384), 0, 1), 6, if(ISBLANK('2025'!$T384), 0, 1), 7, 0))), 1, "")</f>
        <v/>
      </c>
      <c r="AW420" s="1" t="str">
        <f>IF(AND(AND(AND(AW$4&gt;='2025'!$L384,AW$4&lt;='2025'!$M384), AW$4&lt;&gt;DATE(2025,7,4)), (SWITCH(weekday(AW$4), 1, 0, 2, if(ISBLANK('2025'!$P384), 0, 1), 3, if(ISBLANK('2025'!$Q384), 0, 1), 4, if(ISBLANK('2025'!$R384), 0, 1), 5, if(ISBLANK('2025'!$S384), 0, 1), 6, if(ISBLANK('2025'!$T384), 0, 1), 7, 0))), 1, "")</f>
        <v/>
      </c>
      <c r="AX420" s="1" t="str">
        <f>IF(AND(AND(AND(AX$4&gt;='2025'!$L384,AX$4&lt;='2025'!$M384), AX$4&lt;&gt;DATE(2025,7,4)), (SWITCH(weekday(AX$4), 1, 0, 2, if(ISBLANK('2025'!$P384), 0, 1), 3, if(ISBLANK('2025'!$Q384), 0, 1), 4, if(ISBLANK('2025'!$R384), 0, 1), 5, if(ISBLANK('2025'!$S384), 0, 1), 6, if(ISBLANK('2025'!$T384), 0, 1), 7, 0))), 1, "")</f>
        <v/>
      </c>
      <c r="AY420" s="1" t="str">
        <f>IF(AND(AND(AND(AY$4&gt;='2025'!$L384,AY$4&lt;='2025'!$M384), AY$4&lt;&gt;DATE(2025,7,4)), (SWITCH(weekday(AY$4), 1, 0, 2, if(ISBLANK('2025'!$P384), 0, 1), 3, if(ISBLANK('2025'!$Q384), 0, 1), 4, if(ISBLANK('2025'!$R384), 0, 1), 5, if(ISBLANK('2025'!$S384), 0, 1), 6, if(ISBLANK('2025'!$T384), 0, 1), 7, 0))), 1, "")</f>
        <v/>
      </c>
      <c r="AZ420" s="1" t="str">
        <f>IF(AND(AND(AND(AZ$4&gt;='2025'!$L384,AZ$4&lt;='2025'!$M384), AZ$4&lt;&gt;DATE(2025,7,4)), (SWITCH(weekday(AZ$4), 1, 0, 2, if(ISBLANK('2025'!$P384), 0, 1), 3, if(ISBLANK('2025'!$Q384), 0, 1), 4, if(ISBLANK('2025'!$R384), 0, 1), 5, if(ISBLANK('2025'!$S384), 0, 1), 6, if(ISBLANK('2025'!$T384), 0, 1), 7, 0))), 1, "")</f>
        <v/>
      </c>
      <c r="BA420" s="1" t="str">
        <f>IF(AND(AND(AND(BA$4&gt;='2025'!$L384,BA$4&lt;='2025'!$M384), BA$4&lt;&gt;DATE(2025,7,4)), (SWITCH(weekday(BA$4), 1, 0, 2, if(ISBLANK('2025'!$P384), 0, 1), 3, if(ISBLANK('2025'!$Q384), 0, 1), 4, if(ISBLANK('2025'!$R384), 0, 1), 5, if(ISBLANK('2025'!$S384), 0, 1), 6, if(ISBLANK('2025'!$T384), 0, 1), 7, 0))), 1, "")</f>
        <v/>
      </c>
      <c r="BB420" s="1" t="str">
        <f>IF(AND(AND(AND(BB$4&gt;='2025'!$L384,BB$4&lt;='2025'!$M384), BB$4&lt;&gt;DATE(2025,7,4)), (SWITCH(weekday(BB$4), 1, 0, 2, if(ISBLANK('2025'!$P384), 0, 1), 3, if(ISBLANK('2025'!$Q384), 0, 1), 4, if(ISBLANK('2025'!$R384), 0, 1), 5, if(ISBLANK('2025'!$S384), 0, 1), 6, if(ISBLANK('2025'!$T384), 0, 1), 7, 0))), 1, "")</f>
        <v/>
      </c>
      <c r="BC420" s="1" t="str">
        <f>IF(AND(AND(AND(BC$4&gt;='2025'!$L384,BC$4&lt;='2025'!$M384), BC$4&lt;&gt;DATE(2025,7,4)), (SWITCH(weekday(BC$4), 1, 0, 2, if(ISBLANK('2025'!$P384), 0, 1), 3, if(ISBLANK('2025'!$Q384), 0, 1), 4, if(ISBLANK('2025'!$R384), 0, 1), 5, if(ISBLANK('2025'!$S384), 0, 1), 6, if(ISBLANK('2025'!$T384), 0, 1), 7, 0))), 1, "")</f>
        <v/>
      </c>
      <c r="BD420" s="1" t="str">
        <f>IF(AND(AND(AND(BD$4&gt;='2025'!$L384,BD$4&lt;='2025'!$M384), BD$4&lt;&gt;DATE(2025,7,4)), (SWITCH(weekday(BD$4), 1, 0, 2, if(ISBLANK('2025'!$P384), 0, 1), 3, if(ISBLANK('2025'!$Q384), 0, 1), 4, if(ISBLANK('2025'!$R384), 0, 1), 5, if(ISBLANK('2025'!$S384), 0, 1), 6, if(ISBLANK('2025'!$T384), 0, 1), 7, 0))), 1, "")</f>
        <v/>
      </c>
      <c r="BE420" s="1" t="str">
        <f>IF(AND(AND(AND(BE$4&gt;='2025'!$L384,BE$4&lt;='2025'!$M384), BE$4&lt;&gt;DATE(2025,7,4)), (SWITCH(weekday(BE$4), 1, 0, 2, if(ISBLANK('2025'!$P384), 0, 1), 3, if(ISBLANK('2025'!$Q384), 0, 1), 4, if(ISBLANK('2025'!$R384), 0, 1), 5, if(ISBLANK('2025'!$S384), 0, 1), 6, if(ISBLANK('2025'!$T384), 0, 1), 7, 0))), 1, "")</f>
        <v/>
      </c>
    </row>
    <row r="421">
      <c r="A421" s="1">
        <f t="shared" si="3"/>
        <v>421</v>
      </c>
      <c r="B421" s="1" t="str">
        <f>'2025'!D385</f>
        <v/>
      </c>
      <c r="C421" s="1" t="str">
        <f>'2025'!H385</f>
        <v/>
      </c>
      <c r="D421" s="1" t="str">
        <f>IF(AND(AND(AND(D$4&gt;='2025'!$L385,D$4&lt;='2025'!$M385), D$4&lt;&gt;DATE(2025,7,4)), (SWITCH(weekday(D$4), 1, 0, 2, if(ISBLANK('2025'!$P385), 0, 1), 3, if(ISBLANK('2025'!$Q385), 0, 1), 4, if(ISBLANK('2025'!$R385), 0, 1), 5, if(ISBLANK('2025'!$S385), 0, 1), 6, if(ISBLANK('2025'!$T385), 0, 1), 7, 0))), 1, "")</f>
        <v/>
      </c>
      <c r="E421" s="1" t="str">
        <f>IF(AND(AND(AND(E$4&gt;='2025'!$L385,E$4&lt;='2025'!$M385), E$4&lt;&gt;DATE(2025,7,4)), (SWITCH(weekday(E$4), 1, 0, 2, if(ISBLANK('2025'!$P385), 0, 1), 3, if(ISBLANK('2025'!$Q385), 0, 1), 4, if(ISBLANK('2025'!$R385), 0, 1), 5, if(ISBLANK('2025'!$S385), 0, 1), 6, if(ISBLANK('2025'!$T385), 0, 1), 7, 0))), 1, "")</f>
        <v/>
      </c>
      <c r="F421" s="1" t="str">
        <f>IF(AND(AND(AND(F$4&gt;='2025'!$L385,F$4&lt;='2025'!$M385), F$4&lt;&gt;DATE(2025,7,4)), (SWITCH(weekday(F$4), 1, 0, 2, if(ISBLANK('2025'!$P385), 0, 1), 3, if(ISBLANK('2025'!$Q385), 0, 1), 4, if(ISBLANK('2025'!$R385), 0, 1), 5, if(ISBLANK('2025'!$S385), 0, 1), 6, if(ISBLANK('2025'!$T385), 0, 1), 7, 0))), 1, "")</f>
        <v/>
      </c>
      <c r="G421" s="1" t="str">
        <f>IF(AND(AND(AND(G$4&gt;='2025'!$L385,G$4&lt;='2025'!$M385), G$4&lt;&gt;DATE(2025,7,4)), (SWITCH(weekday(G$4), 1, 0, 2, if(ISBLANK('2025'!$P385), 0, 1), 3, if(ISBLANK('2025'!$Q385), 0, 1), 4, if(ISBLANK('2025'!$R385), 0, 1), 5, if(ISBLANK('2025'!$S385), 0, 1), 6, if(ISBLANK('2025'!$T385), 0, 1), 7, 0))), 1, "")</f>
        <v/>
      </c>
      <c r="H421" s="1" t="str">
        <f>IF(AND(AND(AND(H$4&gt;='2025'!$L385,H$4&lt;='2025'!$M385), H$4&lt;&gt;DATE(2025,7,4)), (SWITCH(weekday(H$4), 1, 0, 2, if(ISBLANK('2025'!$P385), 0, 1), 3, if(ISBLANK('2025'!$Q385), 0, 1), 4, if(ISBLANK('2025'!$R385), 0, 1), 5, if(ISBLANK('2025'!$S385), 0, 1), 6, if(ISBLANK('2025'!$T385), 0, 1), 7, 0))), 1, "")</f>
        <v/>
      </c>
      <c r="I421" s="1" t="str">
        <f>IF(AND(AND(AND(I$4&gt;='2025'!$L385,I$4&lt;='2025'!$M385), I$4&lt;&gt;DATE(2025,7,4)), (SWITCH(weekday(I$4), 1, 0, 2, if(ISBLANK('2025'!$P385), 0, 1), 3, if(ISBLANK('2025'!$Q385), 0, 1), 4, if(ISBLANK('2025'!$R385), 0, 1), 5, if(ISBLANK('2025'!$S385), 0, 1), 6, if(ISBLANK('2025'!$T385), 0, 1), 7, 0))), 1, "")</f>
        <v/>
      </c>
      <c r="J421" s="1" t="str">
        <f>IF(AND(AND(AND(J$4&gt;='2025'!$L385,J$4&lt;='2025'!$M385), J$4&lt;&gt;DATE(2025,7,4)), (SWITCH(weekday(J$4), 1, 0, 2, if(ISBLANK('2025'!$P385), 0, 1), 3, if(ISBLANK('2025'!$Q385), 0, 1), 4, if(ISBLANK('2025'!$R385), 0, 1), 5, if(ISBLANK('2025'!$S385), 0, 1), 6, if(ISBLANK('2025'!$T385), 0, 1), 7, 0))), 1, "")</f>
        <v/>
      </c>
      <c r="K421" s="1" t="str">
        <f>IF(AND(AND(AND(K$4&gt;='2025'!$L385,K$4&lt;='2025'!$M385), K$4&lt;&gt;DATE(2025,7,4)), (SWITCH(weekday(K$4), 1, 0, 2, if(ISBLANK('2025'!$P385), 0, 1), 3, if(ISBLANK('2025'!$Q385), 0, 1), 4, if(ISBLANK('2025'!$R385), 0, 1), 5, if(ISBLANK('2025'!$S385), 0, 1), 6, if(ISBLANK('2025'!$T385), 0, 1), 7, 0))), 1, "")</f>
        <v/>
      </c>
      <c r="L421" s="1" t="str">
        <f>IF(AND(AND(AND(L$4&gt;='2025'!$L385,L$4&lt;='2025'!$M385), L$4&lt;&gt;DATE(2025,7,4)), (SWITCH(weekday(L$4), 1, 0, 2, if(ISBLANK('2025'!$P385), 0, 1), 3, if(ISBLANK('2025'!$Q385), 0, 1), 4, if(ISBLANK('2025'!$R385), 0, 1), 5, if(ISBLANK('2025'!$S385), 0, 1), 6, if(ISBLANK('2025'!$T385), 0, 1), 7, 0))), 1, "")</f>
        <v/>
      </c>
      <c r="M421" s="1" t="str">
        <f>IF(AND(AND(AND(M$4&gt;='2025'!$L385,M$4&lt;='2025'!$M385), M$4&lt;&gt;DATE(2025,7,4)), (SWITCH(weekday(M$4), 1, 0, 2, if(ISBLANK('2025'!$P385), 0, 1), 3, if(ISBLANK('2025'!$Q385), 0, 1), 4, if(ISBLANK('2025'!$R385), 0, 1), 5, if(ISBLANK('2025'!$S385), 0, 1), 6, if(ISBLANK('2025'!$T385), 0, 1), 7, 0))), 1, "")</f>
        <v/>
      </c>
      <c r="N421" s="1" t="str">
        <f>IF(AND(AND(AND(N$4&gt;='2025'!$L385,N$4&lt;='2025'!$M385), N$4&lt;&gt;DATE(2025,7,4)), (SWITCH(weekday(N$4), 1, 0, 2, if(ISBLANK('2025'!$P385), 0, 1), 3, if(ISBLANK('2025'!$Q385), 0, 1), 4, if(ISBLANK('2025'!$R385), 0, 1), 5, if(ISBLANK('2025'!$S385), 0, 1), 6, if(ISBLANK('2025'!$T385), 0, 1), 7, 0))), 1, "")</f>
        <v/>
      </c>
      <c r="O421" s="1" t="str">
        <f>IF(AND(AND(AND(O$4&gt;='2025'!$L385,O$4&lt;='2025'!$M385), O$4&lt;&gt;DATE(2025,7,4)), (SWITCH(weekday(O$4), 1, 0, 2, if(ISBLANK('2025'!$P385), 0, 1), 3, if(ISBLANK('2025'!$Q385), 0, 1), 4, if(ISBLANK('2025'!$R385), 0, 1), 5, if(ISBLANK('2025'!$S385), 0, 1), 6, if(ISBLANK('2025'!$T385), 0, 1), 7, 0))), 1, "")</f>
        <v/>
      </c>
      <c r="P421" s="1" t="str">
        <f>IF(AND(AND(AND(P$4&gt;='2025'!$L385,P$4&lt;='2025'!$M385), P$4&lt;&gt;DATE(2025,7,4)), (SWITCH(weekday(P$4), 1, 0, 2, if(ISBLANK('2025'!$P385), 0, 1), 3, if(ISBLANK('2025'!$Q385), 0, 1), 4, if(ISBLANK('2025'!$R385), 0, 1), 5, if(ISBLANK('2025'!$S385), 0, 1), 6, if(ISBLANK('2025'!$T385), 0, 1), 7, 0))), 1, "")</f>
        <v/>
      </c>
      <c r="Q421" s="1" t="str">
        <f>IF(AND(AND(AND(Q$4&gt;='2025'!$L385,Q$4&lt;='2025'!$M385), Q$4&lt;&gt;DATE(2025,7,4)), (SWITCH(weekday(Q$4), 1, 0, 2, if(ISBLANK('2025'!$P385), 0, 1), 3, if(ISBLANK('2025'!$Q385), 0, 1), 4, if(ISBLANK('2025'!$R385), 0, 1), 5, if(ISBLANK('2025'!$S385), 0, 1), 6, if(ISBLANK('2025'!$T385), 0, 1), 7, 0))), 1, "")</f>
        <v/>
      </c>
      <c r="R421" s="1" t="str">
        <f>IF(AND(AND(AND(R$4&gt;='2025'!$L385,R$4&lt;='2025'!$M385), R$4&lt;&gt;DATE(2025,7,4)), (SWITCH(weekday(R$4), 1, 0, 2, if(ISBLANK('2025'!$P385), 0, 1), 3, if(ISBLANK('2025'!$Q385), 0, 1), 4, if(ISBLANK('2025'!$R385), 0, 1), 5, if(ISBLANK('2025'!$S385), 0, 1), 6, if(ISBLANK('2025'!$T385), 0, 1), 7, 0))), 1, "")</f>
        <v/>
      </c>
      <c r="S421" s="1" t="str">
        <f>IF(AND(AND(AND(S$4&gt;='2025'!$L385,S$4&lt;='2025'!$M385), S$4&lt;&gt;DATE(2025,7,4)), (SWITCH(weekday(S$4), 1, 0, 2, if(ISBLANK('2025'!$P385), 0, 1), 3, if(ISBLANK('2025'!$Q385), 0, 1), 4, if(ISBLANK('2025'!$R385), 0, 1), 5, if(ISBLANK('2025'!$S385), 0, 1), 6, if(ISBLANK('2025'!$T385), 0, 1), 7, 0))), 1, "")</f>
        <v/>
      </c>
      <c r="T421" s="1" t="str">
        <f>IF(AND(AND(AND(T$4&gt;='2025'!$L385,T$4&lt;='2025'!$M385), T$4&lt;&gt;DATE(2025,7,4)), (SWITCH(weekday(T$4), 1, 0, 2, if(ISBLANK('2025'!$P385), 0, 1), 3, if(ISBLANK('2025'!$Q385), 0, 1), 4, if(ISBLANK('2025'!$R385), 0, 1), 5, if(ISBLANK('2025'!$S385), 0, 1), 6, if(ISBLANK('2025'!$T385), 0, 1), 7, 0))), 1, "")</f>
        <v/>
      </c>
      <c r="U421" s="1" t="str">
        <f>IF(AND(AND(AND(U$4&gt;='2025'!$L385,U$4&lt;='2025'!$M385), U$4&lt;&gt;DATE(2025,7,4)), (SWITCH(weekday(U$4), 1, 0, 2, if(ISBLANK('2025'!$P385), 0, 1), 3, if(ISBLANK('2025'!$Q385), 0, 1), 4, if(ISBLANK('2025'!$R385), 0, 1), 5, if(ISBLANK('2025'!$S385), 0, 1), 6, if(ISBLANK('2025'!$T385), 0, 1), 7, 0))), 1, "")</f>
        <v/>
      </c>
      <c r="V421" s="1" t="str">
        <f>IF(AND(AND(AND(V$4&gt;='2025'!$L385,V$4&lt;='2025'!$M385), V$4&lt;&gt;DATE(2025,7,4)), (SWITCH(weekday(V$4), 1, 0, 2, if(ISBLANK('2025'!$P385), 0, 1), 3, if(ISBLANK('2025'!$Q385), 0, 1), 4, if(ISBLANK('2025'!$R385), 0, 1), 5, if(ISBLANK('2025'!$S385), 0, 1), 6, if(ISBLANK('2025'!$T385), 0, 1), 7, 0))), 1, "")</f>
        <v/>
      </c>
      <c r="W421" s="1" t="str">
        <f>IF(AND(AND(AND(W$4&gt;='2025'!$L385,W$4&lt;='2025'!$M385), W$4&lt;&gt;DATE(2025,7,4)), (SWITCH(weekday(W$4), 1, 0, 2, if(ISBLANK('2025'!$P385), 0, 1), 3, if(ISBLANK('2025'!$Q385), 0, 1), 4, if(ISBLANK('2025'!$R385), 0, 1), 5, if(ISBLANK('2025'!$S385), 0, 1), 6, if(ISBLANK('2025'!$T385), 0, 1), 7, 0))), 1, "")</f>
        <v/>
      </c>
      <c r="X421" s="1" t="str">
        <f>IF(AND(AND(AND(X$4&gt;='2025'!$L385,X$4&lt;='2025'!$M385), X$4&lt;&gt;DATE(2025,7,4)), (SWITCH(weekday(X$4), 1, 0, 2, if(ISBLANK('2025'!$P385), 0, 1), 3, if(ISBLANK('2025'!$Q385), 0, 1), 4, if(ISBLANK('2025'!$R385), 0, 1), 5, if(ISBLANK('2025'!$S385), 0, 1), 6, if(ISBLANK('2025'!$T385), 0, 1), 7, 0))), 1, "")</f>
        <v/>
      </c>
      <c r="Y421" s="1" t="str">
        <f>IF(AND(AND(AND(Y$4&gt;='2025'!$L385,Y$4&lt;='2025'!$M385), Y$4&lt;&gt;DATE(2025,7,4)), (SWITCH(weekday(Y$4), 1, 0, 2, if(ISBLANK('2025'!$P385), 0, 1), 3, if(ISBLANK('2025'!$Q385), 0, 1), 4, if(ISBLANK('2025'!$R385), 0, 1), 5, if(ISBLANK('2025'!$S385), 0, 1), 6, if(ISBLANK('2025'!$T385), 0, 1), 7, 0))), 1, "")</f>
        <v/>
      </c>
      <c r="Z421" s="1" t="str">
        <f>IF(AND(AND(AND(Z$4&gt;='2025'!$L385,Z$4&lt;='2025'!$M385), Z$4&lt;&gt;DATE(2025,7,4)), (SWITCH(weekday(Z$4), 1, 0, 2, if(ISBLANK('2025'!$P385), 0, 1), 3, if(ISBLANK('2025'!$Q385), 0, 1), 4, if(ISBLANK('2025'!$R385), 0, 1), 5, if(ISBLANK('2025'!$S385), 0, 1), 6, if(ISBLANK('2025'!$T385), 0, 1), 7, 0))), 1, "")</f>
        <v/>
      </c>
      <c r="AA421" s="1" t="str">
        <f>IF(AND(AND(AND(AA$4&gt;='2025'!$L385,AA$4&lt;='2025'!$M385), AA$4&lt;&gt;DATE(2025,7,4)), (SWITCH(weekday(AA$4), 1, 0, 2, if(ISBLANK('2025'!$P385), 0, 1), 3, if(ISBLANK('2025'!$Q385), 0, 1), 4, if(ISBLANK('2025'!$R385), 0, 1), 5, if(ISBLANK('2025'!$S385), 0, 1), 6, if(ISBLANK('2025'!$T385), 0, 1), 7, 0))), 1, "")</f>
        <v/>
      </c>
      <c r="AB421" s="1" t="str">
        <f>IF(AND(AND(AND(AB$4&gt;='2025'!$L385,AB$4&lt;='2025'!$M385), AB$4&lt;&gt;DATE(2025,7,4)), (SWITCH(weekday(AB$4), 1, 0, 2, if(ISBLANK('2025'!$P385), 0, 1), 3, if(ISBLANK('2025'!$Q385), 0, 1), 4, if(ISBLANK('2025'!$R385), 0, 1), 5, if(ISBLANK('2025'!$S385), 0, 1), 6, if(ISBLANK('2025'!$T385), 0, 1), 7, 0))), 1, "")</f>
        <v/>
      </c>
      <c r="AC421" s="1" t="str">
        <f>IF(AND(AND(AND(AC$4&gt;='2025'!$L385,AC$4&lt;='2025'!$M385), AC$4&lt;&gt;DATE(2025,7,4)), (SWITCH(weekday(AC$4), 1, 0, 2, if(ISBLANK('2025'!$P385), 0, 1), 3, if(ISBLANK('2025'!$Q385), 0, 1), 4, if(ISBLANK('2025'!$R385), 0, 1), 5, if(ISBLANK('2025'!$S385), 0, 1), 6, if(ISBLANK('2025'!$T385), 0, 1), 7, 0))), 1, "")</f>
        <v/>
      </c>
      <c r="AD421" s="1" t="str">
        <f>IF(AND(AND(AND(AD$4&gt;='2025'!$L385,AD$4&lt;='2025'!$M385), AD$4&lt;&gt;DATE(2025,7,4)), (SWITCH(weekday(AD$4), 1, 0, 2, if(ISBLANK('2025'!$P385), 0, 1), 3, if(ISBLANK('2025'!$Q385), 0, 1), 4, if(ISBLANK('2025'!$R385), 0, 1), 5, if(ISBLANK('2025'!$S385), 0, 1), 6, if(ISBLANK('2025'!$T385), 0, 1), 7, 0))), 1, "")</f>
        <v/>
      </c>
      <c r="AE421" s="1" t="str">
        <f>IF(AND(AND(AND(AE$4&gt;='2025'!$L385,AE$4&lt;='2025'!$M385), AE$4&lt;&gt;DATE(2025,7,4)), (SWITCH(weekday(AE$4), 1, 0, 2, if(ISBLANK('2025'!$P385), 0, 1), 3, if(ISBLANK('2025'!$Q385), 0, 1), 4, if(ISBLANK('2025'!$R385), 0, 1), 5, if(ISBLANK('2025'!$S385), 0, 1), 6, if(ISBLANK('2025'!$T385), 0, 1), 7, 0))), 1, "")</f>
        <v/>
      </c>
      <c r="AF421" s="1" t="str">
        <f>IF(AND(AND(AND(AF$4&gt;='2025'!$L385,AF$4&lt;='2025'!$M385), AF$4&lt;&gt;DATE(2025,7,4)), (SWITCH(weekday(AF$4), 1, 0, 2, if(ISBLANK('2025'!$P385), 0, 1), 3, if(ISBLANK('2025'!$Q385), 0, 1), 4, if(ISBLANK('2025'!$R385), 0, 1), 5, if(ISBLANK('2025'!$S385), 0, 1), 6, if(ISBLANK('2025'!$T385), 0, 1), 7, 0))), 1, "")</f>
        <v/>
      </c>
      <c r="AG421" s="1" t="str">
        <f>IF(AND(AND(AND(AG$4&gt;='2025'!$L385,AG$4&lt;='2025'!$M385), AG$4&lt;&gt;DATE(2025,7,4)), (SWITCH(weekday(AG$4), 1, 0, 2, if(ISBLANK('2025'!$P385), 0, 1), 3, if(ISBLANK('2025'!$Q385), 0, 1), 4, if(ISBLANK('2025'!$R385), 0, 1), 5, if(ISBLANK('2025'!$S385), 0, 1), 6, if(ISBLANK('2025'!$T385), 0, 1), 7, 0))), 1, "")</f>
        <v/>
      </c>
      <c r="AH421" s="1" t="str">
        <f>IF(AND(AND(AND(AH$4&gt;='2025'!$L385,AH$4&lt;='2025'!$M385), AH$4&lt;&gt;DATE(2025,7,4)), (SWITCH(weekday(AH$4), 1, 0, 2, if(ISBLANK('2025'!$P385), 0, 1), 3, if(ISBLANK('2025'!$Q385), 0, 1), 4, if(ISBLANK('2025'!$R385), 0, 1), 5, if(ISBLANK('2025'!$S385), 0, 1), 6, if(ISBLANK('2025'!$T385), 0, 1), 7, 0))), 1, "")</f>
        <v/>
      </c>
      <c r="AI421" s="1" t="str">
        <f>IF(AND(AND(AND(AI$4&gt;='2025'!$L385,AI$4&lt;='2025'!$M385), AI$4&lt;&gt;DATE(2025,7,4)), (SWITCH(weekday(AI$4), 1, 0, 2, if(ISBLANK('2025'!$P385), 0, 1), 3, if(ISBLANK('2025'!$Q385), 0, 1), 4, if(ISBLANK('2025'!$R385), 0, 1), 5, if(ISBLANK('2025'!$S385), 0, 1), 6, if(ISBLANK('2025'!$T385), 0, 1), 7, 0))), 1, "")</f>
        <v/>
      </c>
      <c r="AJ421" s="1" t="str">
        <f>IF(AND(AND(AND(AJ$4&gt;='2025'!$L385,AJ$4&lt;='2025'!$M385), AJ$4&lt;&gt;DATE(2025,7,4)), (SWITCH(weekday(AJ$4), 1, 0, 2, if(ISBLANK('2025'!$P385), 0, 1), 3, if(ISBLANK('2025'!$Q385), 0, 1), 4, if(ISBLANK('2025'!$R385), 0, 1), 5, if(ISBLANK('2025'!$S385), 0, 1), 6, if(ISBLANK('2025'!$T385), 0, 1), 7, 0))), 1, "")</f>
        <v/>
      </c>
      <c r="AK421" s="1" t="str">
        <f>IF(AND(AND(AND(AK$4&gt;='2025'!$L385,AK$4&lt;='2025'!$M385), AK$4&lt;&gt;DATE(2025,7,4)), (SWITCH(weekday(AK$4), 1, 0, 2, if(ISBLANK('2025'!$P385), 0, 1), 3, if(ISBLANK('2025'!$Q385), 0, 1), 4, if(ISBLANK('2025'!$R385), 0, 1), 5, if(ISBLANK('2025'!$S385), 0, 1), 6, if(ISBLANK('2025'!$T385), 0, 1), 7, 0))), 1, "")</f>
        <v/>
      </c>
      <c r="AL421" s="1" t="str">
        <f>IF(AND(AND(AND(AL$4&gt;='2025'!$L385,AL$4&lt;='2025'!$M385), AL$4&lt;&gt;DATE(2025,7,4)), (SWITCH(weekday(AL$4), 1, 0, 2, if(ISBLANK('2025'!$P385), 0, 1), 3, if(ISBLANK('2025'!$Q385), 0, 1), 4, if(ISBLANK('2025'!$R385), 0, 1), 5, if(ISBLANK('2025'!$S385), 0, 1), 6, if(ISBLANK('2025'!$T385), 0, 1), 7, 0))), 1, "")</f>
        <v/>
      </c>
      <c r="AM421" s="1" t="str">
        <f>IF(AND(AND(AND(AM$4&gt;='2025'!$L385,AM$4&lt;='2025'!$M385), AM$4&lt;&gt;DATE(2025,7,4)), (SWITCH(weekday(AM$4), 1, 0, 2, if(ISBLANK('2025'!$P385), 0, 1), 3, if(ISBLANK('2025'!$Q385), 0, 1), 4, if(ISBLANK('2025'!$R385), 0, 1), 5, if(ISBLANK('2025'!$S385), 0, 1), 6, if(ISBLANK('2025'!$T385), 0, 1), 7, 0))), 1, "")</f>
        <v/>
      </c>
      <c r="AN421" s="1" t="str">
        <f>IF(AND(AND(AND(AN$4&gt;='2025'!$L385,AN$4&lt;='2025'!$M385), AN$4&lt;&gt;DATE(2025,7,4)), (SWITCH(weekday(AN$4), 1, 0, 2, if(ISBLANK('2025'!$P385), 0, 1), 3, if(ISBLANK('2025'!$Q385), 0, 1), 4, if(ISBLANK('2025'!$R385), 0, 1), 5, if(ISBLANK('2025'!$S385), 0, 1), 6, if(ISBLANK('2025'!$T385), 0, 1), 7, 0))), 1, "")</f>
        <v/>
      </c>
      <c r="AO421" s="1" t="str">
        <f>IF(AND(AND(AND(AO$4&gt;='2025'!$L385,AO$4&lt;='2025'!$M385), AO$4&lt;&gt;DATE(2025,7,4)), (SWITCH(weekday(AO$4), 1, 0, 2, if(ISBLANK('2025'!$P385), 0, 1), 3, if(ISBLANK('2025'!$Q385), 0, 1), 4, if(ISBLANK('2025'!$R385), 0, 1), 5, if(ISBLANK('2025'!$S385), 0, 1), 6, if(ISBLANK('2025'!$T385), 0, 1), 7, 0))), 1, "")</f>
        <v/>
      </c>
      <c r="AP421" s="1" t="str">
        <f>IF(AND(AND(AND(AP$4&gt;='2025'!$L385,AP$4&lt;='2025'!$M385), AP$4&lt;&gt;DATE(2025,7,4)), (SWITCH(weekday(AP$4), 1, 0, 2, if(ISBLANK('2025'!$P385), 0, 1), 3, if(ISBLANK('2025'!$Q385), 0, 1), 4, if(ISBLANK('2025'!$R385), 0, 1), 5, if(ISBLANK('2025'!$S385), 0, 1), 6, if(ISBLANK('2025'!$T385), 0, 1), 7, 0))), 1, "")</f>
        <v/>
      </c>
      <c r="AQ421" s="1" t="str">
        <f>IF(AND(AND(AND(AQ$4&gt;='2025'!$L385,AQ$4&lt;='2025'!$M385), AQ$4&lt;&gt;DATE(2025,7,4)), (SWITCH(weekday(AQ$4), 1, 0, 2, if(ISBLANK('2025'!$P385), 0, 1), 3, if(ISBLANK('2025'!$Q385), 0, 1), 4, if(ISBLANK('2025'!$R385), 0, 1), 5, if(ISBLANK('2025'!$S385), 0, 1), 6, if(ISBLANK('2025'!$T385), 0, 1), 7, 0))), 1, "")</f>
        <v/>
      </c>
      <c r="AR421" s="1" t="str">
        <f>IF(AND(AND(AND(AR$4&gt;='2025'!$L385,AR$4&lt;='2025'!$M385), AR$4&lt;&gt;DATE(2025,7,4)), (SWITCH(weekday(AR$4), 1, 0, 2, if(ISBLANK('2025'!$P385), 0, 1), 3, if(ISBLANK('2025'!$Q385), 0, 1), 4, if(ISBLANK('2025'!$R385), 0, 1), 5, if(ISBLANK('2025'!$S385), 0, 1), 6, if(ISBLANK('2025'!$T385), 0, 1), 7, 0))), 1, "")</f>
        <v/>
      </c>
      <c r="AS421" s="1" t="str">
        <f>IF(AND(AND(AND(AS$4&gt;='2025'!$L385,AS$4&lt;='2025'!$M385), AS$4&lt;&gt;DATE(2025,7,4)), (SWITCH(weekday(AS$4), 1, 0, 2, if(ISBLANK('2025'!$P385), 0, 1), 3, if(ISBLANK('2025'!$Q385), 0, 1), 4, if(ISBLANK('2025'!$R385), 0, 1), 5, if(ISBLANK('2025'!$S385), 0, 1), 6, if(ISBLANK('2025'!$T385), 0, 1), 7, 0))), 1, "")</f>
        <v/>
      </c>
      <c r="AT421" s="1" t="str">
        <f>IF(AND(AND(AND(AT$4&gt;='2025'!$L385,AT$4&lt;='2025'!$M385), AT$4&lt;&gt;DATE(2025,7,4)), (SWITCH(weekday(AT$4), 1, 0, 2, if(ISBLANK('2025'!$P385), 0, 1), 3, if(ISBLANK('2025'!$Q385), 0, 1), 4, if(ISBLANK('2025'!$R385), 0, 1), 5, if(ISBLANK('2025'!$S385), 0, 1), 6, if(ISBLANK('2025'!$T385), 0, 1), 7, 0))), 1, "")</f>
        <v/>
      </c>
      <c r="AU421" s="1" t="str">
        <f>IF(AND(AND(AND(AU$4&gt;='2025'!$L385,AU$4&lt;='2025'!$M385), AU$4&lt;&gt;DATE(2025,7,4)), (SWITCH(weekday(AU$4), 1, 0, 2, if(ISBLANK('2025'!$P385), 0, 1), 3, if(ISBLANK('2025'!$Q385), 0, 1), 4, if(ISBLANK('2025'!$R385), 0, 1), 5, if(ISBLANK('2025'!$S385), 0, 1), 6, if(ISBLANK('2025'!$T385), 0, 1), 7, 0))), 1, "")</f>
        <v/>
      </c>
      <c r="AV421" s="1" t="str">
        <f>IF(AND(AND(AND(AV$4&gt;='2025'!$L385,AV$4&lt;='2025'!$M385), AV$4&lt;&gt;DATE(2025,7,4)), (SWITCH(weekday(AV$4), 1, 0, 2, if(ISBLANK('2025'!$P385), 0, 1), 3, if(ISBLANK('2025'!$Q385), 0, 1), 4, if(ISBLANK('2025'!$R385), 0, 1), 5, if(ISBLANK('2025'!$S385), 0, 1), 6, if(ISBLANK('2025'!$T385), 0, 1), 7, 0))), 1, "")</f>
        <v/>
      </c>
      <c r="AW421" s="1" t="str">
        <f>IF(AND(AND(AND(AW$4&gt;='2025'!$L385,AW$4&lt;='2025'!$M385), AW$4&lt;&gt;DATE(2025,7,4)), (SWITCH(weekday(AW$4), 1, 0, 2, if(ISBLANK('2025'!$P385), 0, 1), 3, if(ISBLANK('2025'!$Q385), 0, 1), 4, if(ISBLANK('2025'!$R385), 0, 1), 5, if(ISBLANK('2025'!$S385), 0, 1), 6, if(ISBLANK('2025'!$T385), 0, 1), 7, 0))), 1, "")</f>
        <v/>
      </c>
      <c r="AX421" s="1" t="str">
        <f>IF(AND(AND(AND(AX$4&gt;='2025'!$L385,AX$4&lt;='2025'!$M385), AX$4&lt;&gt;DATE(2025,7,4)), (SWITCH(weekday(AX$4), 1, 0, 2, if(ISBLANK('2025'!$P385), 0, 1), 3, if(ISBLANK('2025'!$Q385), 0, 1), 4, if(ISBLANK('2025'!$R385), 0, 1), 5, if(ISBLANK('2025'!$S385), 0, 1), 6, if(ISBLANK('2025'!$T385), 0, 1), 7, 0))), 1, "")</f>
        <v/>
      </c>
      <c r="AY421" s="1" t="str">
        <f>IF(AND(AND(AND(AY$4&gt;='2025'!$L385,AY$4&lt;='2025'!$M385), AY$4&lt;&gt;DATE(2025,7,4)), (SWITCH(weekday(AY$4), 1, 0, 2, if(ISBLANK('2025'!$P385), 0, 1), 3, if(ISBLANK('2025'!$Q385), 0, 1), 4, if(ISBLANK('2025'!$R385), 0, 1), 5, if(ISBLANK('2025'!$S385), 0, 1), 6, if(ISBLANK('2025'!$T385), 0, 1), 7, 0))), 1, "")</f>
        <v/>
      </c>
      <c r="AZ421" s="1" t="str">
        <f>IF(AND(AND(AND(AZ$4&gt;='2025'!$L385,AZ$4&lt;='2025'!$M385), AZ$4&lt;&gt;DATE(2025,7,4)), (SWITCH(weekday(AZ$4), 1, 0, 2, if(ISBLANK('2025'!$P385), 0, 1), 3, if(ISBLANK('2025'!$Q385), 0, 1), 4, if(ISBLANK('2025'!$R385), 0, 1), 5, if(ISBLANK('2025'!$S385), 0, 1), 6, if(ISBLANK('2025'!$T385), 0, 1), 7, 0))), 1, "")</f>
        <v/>
      </c>
      <c r="BA421" s="1" t="str">
        <f>IF(AND(AND(AND(BA$4&gt;='2025'!$L385,BA$4&lt;='2025'!$M385), BA$4&lt;&gt;DATE(2025,7,4)), (SWITCH(weekday(BA$4), 1, 0, 2, if(ISBLANK('2025'!$P385), 0, 1), 3, if(ISBLANK('2025'!$Q385), 0, 1), 4, if(ISBLANK('2025'!$R385), 0, 1), 5, if(ISBLANK('2025'!$S385), 0, 1), 6, if(ISBLANK('2025'!$T385), 0, 1), 7, 0))), 1, "")</f>
        <v/>
      </c>
      <c r="BB421" s="1" t="str">
        <f>IF(AND(AND(AND(BB$4&gt;='2025'!$L385,BB$4&lt;='2025'!$M385), BB$4&lt;&gt;DATE(2025,7,4)), (SWITCH(weekday(BB$4), 1, 0, 2, if(ISBLANK('2025'!$P385), 0, 1), 3, if(ISBLANK('2025'!$Q385), 0, 1), 4, if(ISBLANK('2025'!$R385), 0, 1), 5, if(ISBLANK('2025'!$S385), 0, 1), 6, if(ISBLANK('2025'!$T385), 0, 1), 7, 0))), 1, "")</f>
        <v/>
      </c>
      <c r="BC421" s="1" t="str">
        <f>IF(AND(AND(AND(BC$4&gt;='2025'!$L385,BC$4&lt;='2025'!$M385), BC$4&lt;&gt;DATE(2025,7,4)), (SWITCH(weekday(BC$4), 1, 0, 2, if(ISBLANK('2025'!$P385), 0, 1), 3, if(ISBLANK('2025'!$Q385), 0, 1), 4, if(ISBLANK('2025'!$R385), 0, 1), 5, if(ISBLANK('2025'!$S385), 0, 1), 6, if(ISBLANK('2025'!$T385), 0, 1), 7, 0))), 1, "")</f>
        <v/>
      </c>
      <c r="BD421" s="1" t="str">
        <f>IF(AND(AND(AND(BD$4&gt;='2025'!$L385,BD$4&lt;='2025'!$M385), BD$4&lt;&gt;DATE(2025,7,4)), (SWITCH(weekday(BD$4), 1, 0, 2, if(ISBLANK('2025'!$P385), 0, 1), 3, if(ISBLANK('2025'!$Q385), 0, 1), 4, if(ISBLANK('2025'!$R385), 0, 1), 5, if(ISBLANK('2025'!$S385), 0, 1), 6, if(ISBLANK('2025'!$T385), 0, 1), 7, 0))), 1, "")</f>
        <v/>
      </c>
      <c r="BE421" s="1" t="str">
        <f>IF(AND(AND(AND(BE$4&gt;='2025'!$L385,BE$4&lt;='2025'!$M385), BE$4&lt;&gt;DATE(2025,7,4)), (SWITCH(weekday(BE$4), 1, 0, 2, if(ISBLANK('2025'!$P385), 0, 1), 3, if(ISBLANK('2025'!$Q385), 0, 1), 4, if(ISBLANK('2025'!$R385), 0, 1), 5, if(ISBLANK('2025'!$S385), 0, 1), 6, if(ISBLANK('2025'!$T385), 0, 1), 7, 0))), 1, "")</f>
        <v/>
      </c>
    </row>
    <row r="422">
      <c r="A422" s="1">
        <f t="shared" si="3"/>
        <v>422</v>
      </c>
      <c r="B422" s="1" t="str">
        <f>'2025'!D386</f>
        <v/>
      </c>
      <c r="C422" s="1" t="str">
        <f>'2025'!H386</f>
        <v/>
      </c>
      <c r="D422" s="1" t="str">
        <f>IF(AND(AND(AND(D$4&gt;='2025'!$L386,D$4&lt;='2025'!$M386), D$4&lt;&gt;DATE(2025,7,4)), (SWITCH(weekday(D$4), 1, 0, 2, if(ISBLANK('2025'!$P386), 0, 1), 3, if(ISBLANK('2025'!$Q386), 0, 1), 4, if(ISBLANK('2025'!$R386), 0, 1), 5, if(ISBLANK('2025'!$S386), 0, 1), 6, if(ISBLANK('2025'!$T386), 0, 1), 7, 0))), 1, "")</f>
        <v/>
      </c>
      <c r="E422" s="1" t="str">
        <f>IF(AND(AND(AND(E$4&gt;='2025'!$L386,E$4&lt;='2025'!$M386), E$4&lt;&gt;DATE(2025,7,4)), (SWITCH(weekday(E$4), 1, 0, 2, if(ISBLANK('2025'!$P386), 0, 1), 3, if(ISBLANK('2025'!$Q386), 0, 1), 4, if(ISBLANK('2025'!$R386), 0, 1), 5, if(ISBLANK('2025'!$S386), 0, 1), 6, if(ISBLANK('2025'!$T386), 0, 1), 7, 0))), 1, "")</f>
        <v/>
      </c>
      <c r="F422" s="1" t="str">
        <f>IF(AND(AND(AND(F$4&gt;='2025'!$L386,F$4&lt;='2025'!$M386), F$4&lt;&gt;DATE(2025,7,4)), (SWITCH(weekday(F$4), 1, 0, 2, if(ISBLANK('2025'!$P386), 0, 1), 3, if(ISBLANK('2025'!$Q386), 0, 1), 4, if(ISBLANK('2025'!$R386), 0, 1), 5, if(ISBLANK('2025'!$S386), 0, 1), 6, if(ISBLANK('2025'!$T386), 0, 1), 7, 0))), 1, "")</f>
        <v/>
      </c>
      <c r="G422" s="1" t="str">
        <f>IF(AND(AND(AND(G$4&gt;='2025'!$L386,G$4&lt;='2025'!$M386), G$4&lt;&gt;DATE(2025,7,4)), (SWITCH(weekday(G$4), 1, 0, 2, if(ISBLANK('2025'!$P386), 0, 1), 3, if(ISBLANK('2025'!$Q386), 0, 1), 4, if(ISBLANK('2025'!$R386), 0, 1), 5, if(ISBLANK('2025'!$S386), 0, 1), 6, if(ISBLANK('2025'!$T386), 0, 1), 7, 0))), 1, "")</f>
        <v/>
      </c>
      <c r="H422" s="1" t="str">
        <f>IF(AND(AND(AND(H$4&gt;='2025'!$L386,H$4&lt;='2025'!$M386), H$4&lt;&gt;DATE(2025,7,4)), (SWITCH(weekday(H$4), 1, 0, 2, if(ISBLANK('2025'!$P386), 0, 1), 3, if(ISBLANK('2025'!$Q386), 0, 1), 4, if(ISBLANK('2025'!$R386), 0, 1), 5, if(ISBLANK('2025'!$S386), 0, 1), 6, if(ISBLANK('2025'!$T386), 0, 1), 7, 0))), 1, "")</f>
        <v/>
      </c>
      <c r="I422" s="1" t="str">
        <f>IF(AND(AND(AND(I$4&gt;='2025'!$L386,I$4&lt;='2025'!$M386), I$4&lt;&gt;DATE(2025,7,4)), (SWITCH(weekday(I$4), 1, 0, 2, if(ISBLANK('2025'!$P386), 0, 1), 3, if(ISBLANK('2025'!$Q386), 0, 1), 4, if(ISBLANK('2025'!$R386), 0, 1), 5, if(ISBLANK('2025'!$S386), 0, 1), 6, if(ISBLANK('2025'!$T386), 0, 1), 7, 0))), 1, "")</f>
        <v/>
      </c>
      <c r="J422" s="1" t="str">
        <f>IF(AND(AND(AND(J$4&gt;='2025'!$L386,J$4&lt;='2025'!$M386), J$4&lt;&gt;DATE(2025,7,4)), (SWITCH(weekday(J$4), 1, 0, 2, if(ISBLANK('2025'!$P386), 0, 1), 3, if(ISBLANK('2025'!$Q386), 0, 1), 4, if(ISBLANK('2025'!$R386), 0, 1), 5, if(ISBLANK('2025'!$S386), 0, 1), 6, if(ISBLANK('2025'!$T386), 0, 1), 7, 0))), 1, "")</f>
        <v/>
      </c>
      <c r="K422" s="1" t="str">
        <f>IF(AND(AND(AND(K$4&gt;='2025'!$L386,K$4&lt;='2025'!$M386), K$4&lt;&gt;DATE(2025,7,4)), (SWITCH(weekday(K$4), 1, 0, 2, if(ISBLANK('2025'!$P386), 0, 1), 3, if(ISBLANK('2025'!$Q386), 0, 1), 4, if(ISBLANK('2025'!$R386), 0, 1), 5, if(ISBLANK('2025'!$S386), 0, 1), 6, if(ISBLANK('2025'!$T386), 0, 1), 7, 0))), 1, "")</f>
        <v/>
      </c>
      <c r="L422" s="1" t="str">
        <f>IF(AND(AND(AND(L$4&gt;='2025'!$L386,L$4&lt;='2025'!$M386), L$4&lt;&gt;DATE(2025,7,4)), (SWITCH(weekday(L$4), 1, 0, 2, if(ISBLANK('2025'!$P386), 0, 1), 3, if(ISBLANK('2025'!$Q386), 0, 1), 4, if(ISBLANK('2025'!$R386), 0, 1), 5, if(ISBLANK('2025'!$S386), 0, 1), 6, if(ISBLANK('2025'!$T386), 0, 1), 7, 0))), 1, "")</f>
        <v/>
      </c>
      <c r="M422" s="1" t="str">
        <f>IF(AND(AND(AND(M$4&gt;='2025'!$L386,M$4&lt;='2025'!$M386), M$4&lt;&gt;DATE(2025,7,4)), (SWITCH(weekday(M$4), 1, 0, 2, if(ISBLANK('2025'!$P386), 0, 1), 3, if(ISBLANK('2025'!$Q386), 0, 1), 4, if(ISBLANK('2025'!$R386), 0, 1), 5, if(ISBLANK('2025'!$S386), 0, 1), 6, if(ISBLANK('2025'!$T386), 0, 1), 7, 0))), 1, "")</f>
        <v/>
      </c>
      <c r="N422" s="1" t="str">
        <f>IF(AND(AND(AND(N$4&gt;='2025'!$L386,N$4&lt;='2025'!$M386), N$4&lt;&gt;DATE(2025,7,4)), (SWITCH(weekday(N$4), 1, 0, 2, if(ISBLANK('2025'!$P386), 0, 1), 3, if(ISBLANK('2025'!$Q386), 0, 1), 4, if(ISBLANK('2025'!$R386), 0, 1), 5, if(ISBLANK('2025'!$S386), 0, 1), 6, if(ISBLANK('2025'!$T386), 0, 1), 7, 0))), 1, "")</f>
        <v/>
      </c>
      <c r="O422" s="1" t="str">
        <f>IF(AND(AND(AND(O$4&gt;='2025'!$L386,O$4&lt;='2025'!$M386), O$4&lt;&gt;DATE(2025,7,4)), (SWITCH(weekday(O$4), 1, 0, 2, if(ISBLANK('2025'!$P386), 0, 1), 3, if(ISBLANK('2025'!$Q386), 0, 1), 4, if(ISBLANK('2025'!$R386), 0, 1), 5, if(ISBLANK('2025'!$S386), 0, 1), 6, if(ISBLANK('2025'!$T386), 0, 1), 7, 0))), 1, "")</f>
        <v/>
      </c>
      <c r="P422" s="1" t="str">
        <f>IF(AND(AND(AND(P$4&gt;='2025'!$L386,P$4&lt;='2025'!$M386), P$4&lt;&gt;DATE(2025,7,4)), (SWITCH(weekday(P$4), 1, 0, 2, if(ISBLANK('2025'!$P386), 0, 1), 3, if(ISBLANK('2025'!$Q386), 0, 1), 4, if(ISBLANK('2025'!$R386), 0, 1), 5, if(ISBLANK('2025'!$S386), 0, 1), 6, if(ISBLANK('2025'!$T386), 0, 1), 7, 0))), 1, "")</f>
        <v/>
      </c>
      <c r="Q422" s="1" t="str">
        <f>IF(AND(AND(AND(Q$4&gt;='2025'!$L386,Q$4&lt;='2025'!$M386), Q$4&lt;&gt;DATE(2025,7,4)), (SWITCH(weekday(Q$4), 1, 0, 2, if(ISBLANK('2025'!$P386), 0, 1), 3, if(ISBLANK('2025'!$Q386), 0, 1), 4, if(ISBLANK('2025'!$R386), 0, 1), 5, if(ISBLANK('2025'!$S386), 0, 1), 6, if(ISBLANK('2025'!$T386), 0, 1), 7, 0))), 1, "")</f>
        <v/>
      </c>
      <c r="R422" s="1" t="str">
        <f>IF(AND(AND(AND(R$4&gt;='2025'!$L386,R$4&lt;='2025'!$M386), R$4&lt;&gt;DATE(2025,7,4)), (SWITCH(weekday(R$4), 1, 0, 2, if(ISBLANK('2025'!$P386), 0, 1), 3, if(ISBLANK('2025'!$Q386), 0, 1), 4, if(ISBLANK('2025'!$R386), 0, 1), 5, if(ISBLANK('2025'!$S386), 0, 1), 6, if(ISBLANK('2025'!$T386), 0, 1), 7, 0))), 1, "")</f>
        <v/>
      </c>
      <c r="S422" s="1" t="str">
        <f>IF(AND(AND(AND(S$4&gt;='2025'!$L386,S$4&lt;='2025'!$M386), S$4&lt;&gt;DATE(2025,7,4)), (SWITCH(weekday(S$4), 1, 0, 2, if(ISBLANK('2025'!$P386), 0, 1), 3, if(ISBLANK('2025'!$Q386), 0, 1), 4, if(ISBLANK('2025'!$R386), 0, 1), 5, if(ISBLANK('2025'!$S386), 0, 1), 6, if(ISBLANK('2025'!$T386), 0, 1), 7, 0))), 1, "")</f>
        <v/>
      </c>
      <c r="T422" s="1" t="str">
        <f>IF(AND(AND(AND(T$4&gt;='2025'!$L386,T$4&lt;='2025'!$M386), T$4&lt;&gt;DATE(2025,7,4)), (SWITCH(weekday(T$4), 1, 0, 2, if(ISBLANK('2025'!$P386), 0, 1), 3, if(ISBLANK('2025'!$Q386), 0, 1), 4, if(ISBLANK('2025'!$R386), 0, 1), 5, if(ISBLANK('2025'!$S386), 0, 1), 6, if(ISBLANK('2025'!$T386), 0, 1), 7, 0))), 1, "")</f>
        <v/>
      </c>
      <c r="U422" s="1" t="str">
        <f>IF(AND(AND(AND(U$4&gt;='2025'!$L386,U$4&lt;='2025'!$M386), U$4&lt;&gt;DATE(2025,7,4)), (SWITCH(weekday(U$4), 1, 0, 2, if(ISBLANK('2025'!$P386), 0, 1), 3, if(ISBLANK('2025'!$Q386), 0, 1), 4, if(ISBLANK('2025'!$R386), 0, 1), 5, if(ISBLANK('2025'!$S386), 0, 1), 6, if(ISBLANK('2025'!$T386), 0, 1), 7, 0))), 1, "")</f>
        <v/>
      </c>
      <c r="V422" s="1" t="str">
        <f>IF(AND(AND(AND(V$4&gt;='2025'!$L386,V$4&lt;='2025'!$M386), V$4&lt;&gt;DATE(2025,7,4)), (SWITCH(weekday(V$4), 1, 0, 2, if(ISBLANK('2025'!$P386), 0, 1), 3, if(ISBLANK('2025'!$Q386), 0, 1), 4, if(ISBLANK('2025'!$R386), 0, 1), 5, if(ISBLANK('2025'!$S386), 0, 1), 6, if(ISBLANK('2025'!$T386), 0, 1), 7, 0))), 1, "")</f>
        <v/>
      </c>
      <c r="W422" s="1" t="str">
        <f>IF(AND(AND(AND(W$4&gt;='2025'!$L386,W$4&lt;='2025'!$M386), W$4&lt;&gt;DATE(2025,7,4)), (SWITCH(weekday(W$4), 1, 0, 2, if(ISBLANK('2025'!$P386), 0, 1), 3, if(ISBLANK('2025'!$Q386), 0, 1), 4, if(ISBLANK('2025'!$R386), 0, 1), 5, if(ISBLANK('2025'!$S386), 0, 1), 6, if(ISBLANK('2025'!$T386), 0, 1), 7, 0))), 1, "")</f>
        <v/>
      </c>
      <c r="X422" s="1" t="str">
        <f>IF(AND(AND(AND(X$4&gt;='2025'!$L386,X$4&lt;='2025'!$M386), X$4&lt;&gt;DATE(2025,7,4)), (SWITCH(weekday(X$4), 1, 0, 2, if(ISBLANK('2025'!$P386), 0, 1), 3, if(ISBLANK('2025'!$Q386), 0, 1), 4, if(ISBLANK('2025'!$R386), 0, 1), 5, if(ISBLANK('2025'!$S386), 0, 1), 6, if(ISBLANK('2025'!$T386), 0, 1), 7, 0))), 1, "")</f>
        <v/>
      </c>
      <c r="Y422" s="1" t="str">
        <f>IF(AND(AND(AND(Y$4&gt;='2025'!$L386,Y$4&lt;='2025'!$M386), Y$4&lt;&gt;DATE(2025,7,4)), (SWITCH(weekday(Y$4), 1, 0, 2, if(ISBLANK('2025'!$P386), 0, 1), 3, if(ISBLANK('2025'!$Q386), 0, 1), 4, if(ISBLANK('2025'!$R386), 0, 1), 5, if(ISBLANK('2025'!$S386), 0, 1), 6, if(ISBLANK('2025'!$T386), 0, 1), 7, 0))), 1, "")</f>
        <v/>
      </c>
      <c r="Z422" s="1" t="str">
        <f>IF(AND(AND(AND(Z$4&gt;='2025'!$L386,Z$4&lt;='2025'!$M386), Z$4&lt;&gt;DATE(2025,7,4)), (SWITCH(weekday(Z$4), 1, 0, 2, if(ISBLANK('2025'!$P386), 0, 1), 3, if(ISBLANK('2025'!$Q386), 0, 1), 4, if(ISBLANK('2025'!$R386), 0, 1), 5, if(ISBLANK('2025'!$S386), 0, 1), 6, if(ISBLANK('2025'!$T386), 0, 1), 7, 0))), 1, "")</f>
        <v/>
      </c>
      <c r="AA422" s="1" t="str">
        <f>IF(AND(AND(AND(AA$4&gt;='2025'!$L386,AA$4&lt;='2025'!$M386), AA$4&lt;&gt;DATE(2025,7,4)), (SWITCH(weekday(AA$4), 1, 0, 2, if(ISBLANK('2025'!$P386), 0, 1), 3, if(ISBLANK('2025'!$Q386), 0, 1), 4, if(ISBLANK('2025'!$R386), 0, 1), 5, if(ISBLANK('2025'!$S386), 0, 1), 6, if(ISBLANK('2025'!$T386), 0, 1), 7, 0))), 1, "")</f>
        <v/>
      </c>
      <c r="AB422" s="1" t="str">
        <f>IF(AND(AND(AND(AB$4&gt;='2025'!$L386,AB$4&lt;='2025'!$M386), AB$4&lt;&gt;DATE(2025,7,4)), (SWITCH(weekday(AB$4), 1, 0, 2, if(ISBLANK('2025'!$P386), 0, 1), 3, if(ISBLANK('2025'!$Q386), 0, 1), 4, if(ISBLANK('2025'!$R386), 0, 1), 5, if(ISBLANK('2025'!$S386), 0, 1), 6, if(ISBLANK('2025'!$T386), 0, 1), 7, 0))), 1, "")</f>
        <v/>
      </c>
      <c r="AC422" s="1" t="str">
        <f>IF(AND(AND(AND(AC$4&gt;='2025'!$L386,AC$4&lt;='2025'!$M386), AC$4&lt;&gt;DATE(2025,7,4)), (SWITCH(weekday(AC$4), 1, 0, 2, if(ISBLANK('2025'!$P386), 0, 1), 3, if(ISBLANK('2025'!$Q386), 0, 1), 4, if(ISBLANK('2025'!$R386), 0, 1), 5, if(ISBLANK('2025'!$S386), 0, 1), 6, if(ISBLANK('2025'!$T386), 0, 1), 7, 0))), 1, "")</f>
        <v/>
      </c>
      <c r="AD422" s="1" t="str">
        <f>IF(AND(AND(AND(AD$4&gt;='2025'!$L386,AD$4&lt;='2025'!$M386), AD$4&lt;&gt;DATE(2025,7,4)), (SWITCH(weekday(AD$4), 1, 0, 2, if(ISBLANK('2025'!$P386), 0, 1), 3, if(ISBLANK('2025'!$Q386), 0, 1), 4, if(ISBLANK('2025'!$R386), 0, 1), 5, if(ISBLANK('2025'!$S386), 0, 1), 6, if(ISBLANK('2025'!$T386), 0, 1), 7, 0))), 1, "")</f>
        <v/>
      </c>
      <c r="AE422" s="1" t="str">
        <f>IF(AND(AND(AND(AE$4&gt;='2025'!$L386,AE$4&lt;='2025'!$M386), AE$4&lt;&gt;DATE(2025,7,4)), (SWITCH(weekday(AE$4), 1, 0, 2, if(ISBLANK('2025'!$P386), 0, 1), 3, if(ISBLANK('2025'!$Q386), 0, 1), 4, if(ISBLANK('2025'!$R386), 0, 1), 5, if(ISBLANK('2025'!$S386), 0, 1), 6, if(ISBLANK('2025'!$T386), 0, 1), 7, 0))), 1, "")</f>
        <v/>
      </c>
      <c r="AF422" s="1" t="str">
        <f>IF(AND(AND(AND(AF$4&gt;='2025'!$L386,AF$4&lt;='2025'!$M386), AF$4&lt;&gt;DATE(2025,7,4)), (SWITCH(weekday(AF$4), 1, 0, 2, if(ISBLANK('2025'!$P386), 0, 1), 3, if(ISBLANK('2025'!$Q386), 0, 1), 4, if(ISBLANK('2025'!$R386), 0, 1), 5, if(ISBLANK('2025'!$S386), 0, 1), 6, if(ISBLANK('2025'!$T386), 0, 1), 7, 0))), 1, "")</f>
        <v/>
      </c>
      <c r="AG422" s="1" t="str">
        <f>IF(AND(AND(AND(AG$4&gt;='2025'!$L386,AG$4&lt;='2025'!$M386), AG$4&lt;&gt;DATE(2025,7,4)), (SWITCH(weekday(AG$4), 1, 0, 2, if(ISBLANK('2025'!$P386), 0, 1), 3, if(ISBLANK('2025'!$Q386), 0, 1), 4, if(ISBLANK('2025'!$R386), 0, 1), 5, if(ISBLANK('2025'!$S386), 0, 1), 6, if(ISBLANK('2025'!$T386), 0, 1), 7, 0))), 1, "")</f>
        <v/>
      </c>
      <c r="AH422" s="1" t="str">
        <f>IF(AND(AND(AND(AH$4&gt;='2025'!$L386,AH$4&lt;='2025'!$M386), AH$4&lt;&gt;DATE(2025,7,4)), (SWITCH(weekday(AH$4), 1, 0, 2, if(ISBLANK('2025'!$P386), 0, 1), 3, if(ISBLANK('2025'!$Q386), 0, 1), 4, if(ISBLANK('2025'!$R386), 0, 1), 5, if(ISBLANK('2025'!$S386), 0, 1), 6, if(ISBLANK('2025'!$T386), 0, 1), 7, 0))), 1, "")</f>
        <v/>
      </c>
      <c r="AI422" s="1" t="str">
        <f>IF(AND(AND(AND(AI$4&gt;='2025'!$L386,AI$4&lt;='2025'!$M386), AI$4&lt;&gt;DATE(2025,7,4)), (SWITCH(weekday(AI$4), 1, 0, 2, if(ISBLANK('2025'!$P386), 0, 1), 3, if(ISBLANK('2025'!$Q386), 0, 1), 4, if(ISBLANK('2025'!$R386), 0, 1), 5, if(ISBLANK('2025'!$S386), 0, 1), 6, if(ISBLANK('2025'!$T386), 0, 1), 7, 0))), 1, "")</f>
        <v/>
      </c>
      <c r="AJ422" s="1" t="str">
        <f>IF(AND(AND(AND(AJ$4&gt;='2025'!$L386,AJ$4&lt;='2025'!$M386), AJ$4&lt;&gt;DATE(2025,7,4)), (SWITCH(weekday(AJ$4), 1, 0, 2, if(ISBLANK('2025'!$P386), 0, 1), 3, if(ISBLANK('2025'!$Q386), 0, 1), 4, if(ISBLANK('2025'!$R386), 0, 1), 5, if(ISBLANK('2025'!$S386), 0, 1), 6, if(ISBLANK('2025'!$T386), 0, 1), 7, 0))), 1, "")</f>
        <v/>
      </c>
      <c r="AK422" s="1" t="str">
        <f>IF(AND(AND(AND(AK$4&gt;='2025'!$L386,AK$4&lt;='2025'!$M386), AK$4&lt;&gt;DATE(2025,7,4)), (SWITCH(weekday(AK$4), 1, 0, 2, if(ISBLANK('2025'!$P386), 0, 1), 3, if(ISBLANK('2025'!$Q386), 0, 1), 4, if(ISBLANK('2025'!$R386), 0, 1), 5, if(ISBLANK('2025'!$S386), 0, 1), 6, if(ISBLANK('2025'!$T386), 0, 1), 7, 0))), 1, "")</f>
        <v/>
      </c>
      <c r="AL422" s="1" t="str">
        <f>IF(AND(AND(AND(AL$4&gt;='2025'!$L386,AL$4&lt;='2025'!$M386), AL$4&lt;&gt;DATE(2025,7,4)), (SWITCH(weekday(AL$4), 1, 0, 2, if(ISBLANK('2025'!$P386), 0, 1), 3, if(ISBLANK('2025'!$Q386), 0, 1), 4, if(ISBLANK('2025'!$R386), 0, 1), 5, if(ISBLANK('2025'!$S386), 0, 1), 6, if(ISBLANK('2025'!$T386), 0, 1), 7, 0))), 1, "")</f>
        <v/>
      </c>
      <c r="AM422" s="1" t="str">
        <f>IF(AND(AND(AND(AM$4&gt;='2025'!$L386,AM$4&lt;='2025'!$M386), AM$4&lt;&gt;DATE(2025,7,4)), (SWITCH(weekday(AM$4), 1, 0, 2, if(ISBLANK('2025'!$P386), 0, 1), 3, if(ISBLANK('2025'!$Q386), 0, 1), 4, if(ISBLANK('2025'!$R386), 0, 1), 5, if(ISBLANK('2025'!$S386), 0, 1), 6, if(ISBLANK('2025'!$T386), 0, 1), 7, 0))), 1, "")</f>
        <v/>
      </c>
      <c r="AN422" s="1" t="str">
        <f>IF(AND(AND(AND(AN$4&gt;='2025'!$L386,AN$4&lt;='2025'!$M386), AN$4&lt;&gt;DATE(2025,7,4)), (SWITCH(weekday(AN$4), 1, 0, 2, if(ISBLANK('2025'!$P386), 0, 1), 3, if(ISBLANK('2025'!$Q386), 0, 1), 4, if(ISBLANK('2025'!$R386), 0, 1), 5, if(ISBLANK('2025'!$S386), 0, 1), 6, if(ISBLANK('2025'!$T386), 0, 1), 7, 0))), 1, "")</f>
        <v/>
      </c>
      <c r="AO422" s="1" t="str">
        <f>IF(AND(AND(AND(AO$4&gt;='2025'!$L386,AO$4&lt;='2025'!$M386), AO$4&lt;&gt;DATE(2025,7,4)), (SWITCH(weekday(AO$4), 1, 0, 2, if(ISBLANK('2025'!$P386), 0, 1), 3, if(ISBLANK('2025'!$Q386), 0, 1), 4, if(ISBLANK('2025'!$R386), 0, 1), 5, if(ISBLANK('2025'!$S386), 0, 1), 6, if(ISBLANK('2025'!$T386), 0, 1), 7, 0))), 1, "")</f>
        <v/>
      </c>
      <c r="AP422" s="1" t="str">
        <f>IF(AND(AND(AND(AP$4&gt;='2025'!$L386,AP$4&lt;='2025'!$M386), AP$4&lt;&gt;DATE(2025,7,4)), (SWITCH(weekday(AP$4), 1, 0, 2, if(ISBLANK('2025'!$P386), 0, 1), 3, if(ISBLANK('2025'!$Q386), 0, 1), 4, if(ISBLANK('2025'!$R386), 0, 1), 5, if(ISBLANK('2025'!$S386), 0, 1), 6, if(ISBLANK('2025'!$T386), 0, 1), 7, 0))), 1, "")</f>
        <v/>
      </c>
      <c r="AQ422" s="1" t="str">
        <f>IF(AND(AND(AND(AQ$4&gt;='2025'!$L386,AQ$4&lt;='2025'!$M386), AQ$4&lt;&gt;DATE(2025,7,4)), (SWITCH(weekday(AQ$4), 1, 0, 2, if(ISBLANK('2025'!$P386), 0, 1), 3, if(ISBLANK('2025'!$Q386), 0, 1), 4, if(ISBLANK('2025'!$R386), 0, 1), 5, if(ISBLANK('2025'!$S386), 0, 1), 6, if(ISBLANK('2025'!$T386), 0, 1), 7, 0))), 1, "")</f>
        <v/>
      </c>
      <c r="AR422" s="1" t="str">
        <f>IF(AND(AND(AND(AR$4&gt;='2025'!$L386,AR$4&lt;='2025'!$M386), AR$4&lt;&gt;DATE(2025,7,4)), (SWITCH(weekday(AR$4), 1, 0, 2, if(ISBLANK('2025'!$P386), 0, 1), 3, if(ISBLANK('2025'!$Q386), 0, 1), 4, if(ISBLANK('2025'!$R386), 0, 1), 5, if(ISBLANK('2025'!$S386), 0, 1), 6, if(ISBLANK('2025'!$T386), 0, 1), 7, 0))), 1, "")</f>
        <v/>
      </c>
      <c r="AS422" s="1" t="str">
        <f>IF(AND(AND(AND(AS$4&gt;='2025'!$L386,AS$4&lt;='2025'!$M386), AS$4&lt;&gt;DATE(2025,7,4)), (SWITCH(weekday(AS$4), 1, 0, 2, if(ISBLANK('2025'!$P386), 0, 1), 3, if(ISBLANK('2025'!$Q386), 0, 1), 4, if(ISBLANK('2025'!$R386), 0, 1), 5, if(ISBLANK('2025'!$S386), 0, 1), 6, if(ISBLANK('2025'!$T386), 0, 1), 7, 0))), 1, "")</f>
        <v/>
      </c>
      <c r="AT422" s="1" t="str">
        <f>IF(AND(AND(AND(AT$4&gt;='2025'!$L386,AT$4&lt;='2025'!$M386), AT$4&lt;&gt;DATE(2025,7,4)), (SWITCH(weekday(AT$4), 1, 0, 2, if(ISBLANK('2025'!$P386), 0, 1), 3, if(ISBLANK('2025'!$Q386), 0, 1), 4, if(ISBLANK('2025'!$R386), 0, 1), 5, if(ISBLANK('2025'!$S386), 0, 1), 6, if(ISBLANK('2025'!$T386), 0, 1), 7, 0))), 1, "")</f>
        <v/>
      </c>
      <c r="AU422" s="1" t="str">
        <f>IF(AND(AND(AND(AU$4&gt;='2025'!$L386,AU$4&lt;='2025'!$M386), AU$4&lt;&gt;DATE(2025,7,4)), (SWITCH(weekday(AU$4), 1, 0, 2, if(ISBLANK('2025'!$P386), 0, 1), 3, if(ISBLANK('2025'!$Q386), 0, 1), 4, if(ISBLANK('2025'!$R386), 0, 1), 5, if(ISBLANK('2025'!$S386), 0, 1), 6, if(ISBLANK('2025'!$T386), 0, 1), 7, 0))), 1, "")</f>
        <v/>
      </c>
      <c r="AV422" s="1" t="str">
        <f>IF(AND(AND(AND(AV$4&gt;='2025'!$L386,AV$4&lt;='2025'!$M386), AV$4&lt;&gt;DATE(2025,7,4)), (SWITCH(weekday(AV$4), 1, 0, 2, if(ISBLANK('2025'!$P386), 0, 1), 3, if(ISBLANK('2025'!$Q386), 0, 1), 4, if(ISBLANK('2025'!$R386), 0, 1), 5, if(ISBLANK('2025'!$S386), 0, 1), 6, if(ISBLANK('2025'!$T386), 0, 1), 7, 0))), 1, "")</f>
        <v/>
      </c>
      <c r="AW422" s="1" t="str">
        <f>IF(AND(AND(AND(AW$4&gt;='2025'!$L386,AW$4&lt;='2025'!$M386), AW$4&lt;&gt;DATE(2025,7,4)), (SWITCH(weekday(AW$4), 1, 0, 2, if(ISBLANK('2025'!$P386), 0, 1), 3, if(ISBLANK('2025'!$Q386), 0, 1), 4, if(ISBLANK('2025'!$R386), 0, 1), 5, if(ISBLANK('2025'!$S386), 0, 1), 6, if(ISBLANK('2025'!$T386), 0, 1), 7, 0))), 1, "")</f>
        <v/>
      </c>
      <c r="AX422" s="1" t="str">
        <f>IF(AND(AND(AND(AX$4&gt;='2025'!$L386,AX$4&lt;='2025'!$M386), AX$4&lt;&gt;DATE(2025,7,4)), (SWITCH(weekday(AX$4), 1, 0, 2, if(ISBLANK('2025'!$P386), 0, 1), 3, if(ISBLANK('2025'!$Q386), 0, 1), 4, if(ISBLANK('2025'!$R386), 0, 1), 5, if(ISBLANK('2025'!$S386), 0, 1), 6, if(ISBLANK('2025'!$T386), 0, 1), 7, 0))), 1, "")</f>
        <v/>
      </c>
      <c r="AY422" s="1" t="str">
        <f>IF(AND(AND(AND(AY$4&gt;='2025'!$L386,AY$4&lt;='2025'!$M386), AY$4&lt;&gt;DATE(2025,7,4)), (SWITCH(weekday(AY$4), 1, 0, 2, if(ISBLANK('2025'!$P386), 0, 1), 3, if(ISBLANK('2025'!$Q386), 0, 1), 4, if(ISBLANK('2025'!$R386), 0, 1), 5, if(ISBLANK('2025'!$S386), 0, 1), 6, if(ISBLANK('2025'!$T386), 0, 1), 7, 0))), 1, "")</f>
        <v/>
      </c>
      <c r="AZ422" s="1" t="str">
        <f>IF(AND(AND(AND(AZ$4&gt;='2025'!$L386,AZ$4&lt;='2025'!$M386), AZ$4&lt;&gt;DATE(2025,7,4)), (SWITCH(weekday(AZ$4), 1, 0, 2, if(ISBLANK('2025'!$P386), 0, 1), 3, if(ISBLANK('2025'!$Q386), 0, 1), 4, if(ISBLANK('2025'!$R386), 0, 1), 5, if(ISBLANK('2025'!$S386), 0, 1), 6, if(ISBLANK('2025'!$T386), 0, 1), 7, 0))), 1, "")</f>
        <v/>
      </c>
      <c r="BA422" s="1" t="str">
        <f>IF(AND(AND(AND(BA$4&gt;='2025'!$L386,BA$4&lt;='2025'!$M386), BA$4&lt;&gt;DATE(2025,7,4)), (SWITCH(weekday(BA$4), 1, 0, 2, if(ISBLANK('2025'!$P386), 0, 1), 3, if(ISBLANK('2025'!$Q386), 0, 1), 4, if(ISBLANK('2025'!$R386), 0, 1), 5, if(ISBLANK('2025'!$S386), 0, 1), 6, if(ISBLANK('2025'!$T386), 0, 1), 7, 0))), 1, "")</f>
        <v/>
      </c>
      <c r="BB422" s="1" t="str">
        <f>IF(AND(AND(AND(BB$4&gt;='2025'!$L386,BB$4&lt;='2025'!$M386), BB$4&lt;&gt;DATE(2025,7,4)), (SWITCH(weekday(BB$4), 1, 0, 2, if(ISBLANK('2025'!$P386), 0, 1), 3, if(ISBLANK('2025'!$Q386), 0, 1), 4, if(ISBLANK('2025'!$R386), 0, 1), 5, if(ISBLANK('2025'!$S386), 0, 1), 6, if(ISBLANK('2025'!$T386), 0, 1), 7, 0))), 1, "")</f>
        <v/>
      </c>
      <c r="BC422" s="1" t="str">
        <f>IF(AND(AND(AND(BC$4&gt;='2025'!$L386,BC$4&lt;='2025'!$M386), BC$4&lt;&gt;DATE(2025,7,4)), (SWITCH(weekday(BC$4), 1, 0, 2, if(ISBLANK('2025'!$P386), 0, 1), 3, if(ISBLANK('2025'!$Q386), 0, 1), 4, if(ISBLANK('2025'!$R386), 0, 1), 5, if(ISBLANK('2025'!$S386), 0, 1), 6, if(ISBLANK('2025'!$T386), 0, 1), 7, 0))), 1, "")</f>
        <v/>
      </c>
      <c r="BD422" s="1" t="str">
        <f>IF(AND(AND(AND(BD$4&gt;='2025'!$L386,BD$4&lt;='2025'!$M386), BD$4&lt;&gt;DATE(2025,7,4)), (SWITCH(weekday(BD$4), 1, 0, 2, if(ISBLANK('2025'!$P386), 0, 1), 3, if(ISBLANK('2025'!$Q386), 0, 1), 4, if(ISBLANK('2025'!$R386), 0, 1), 5, if(ISBLANK('2025'!$S386), 0, 1), 6, if(ISBLANK('2025'!$T386), 0, 1), 7, 0))), 1, "")</f>
        <v/>
      </c>
      <c r="BE422" s="1" t="str">
        <f>IF(AND(AND(AND(BE$4&gt;='2025'!$L386,BE$4&lt;='2025'!$M386), BE$4&lt;&gt;DATE(2025,7,4)), (SWITCH(weekday(BE$4), 1, 0, 2, if(ISBLANK('2025'!$P386), 0, 1), 3, if(ISBLANK('2025'!$Q386), 0, 1), 4, if(ISBLANK('2025'!$R386), 0, 1), 5, if(ISBLANK('2025'!$S386), 0, 1), 6, if(ISBLANK('2025'!$T386), 0, 1), 7, 0))), 1, "")</f>
        <v/>
      </c>
    </row>
    <row r="423">
      <c r="A423" s="1">
        <f t="shared" si="3"/>
        <v>423</v>
      </c>
      <c r="B423" s="1" t="str">
        <f>'2025'!D387</f>
        <v/>
      </c>
      <c r="C423" s="1" t="str">
        <f>'2025'!H387</f>
        <v/>
      </c>
      <c r="D423" s="1" t="str">
        <f>IF(AND(AND(AND(D$4&gt;='2025'!$L387,D$4&lt;='2025'!$M387), D$4&lt;&gt;DATE(2025,7,4)), (SWITCH(weekday(D$4), 1, 0, 2, if(ISBLANK('2025'!$P387), 0, 1), 3, if(ISBLANK('2025'!$Q387), 0, 1), 4, if(ISBLANK('2025'!$R387), 0, 1), 5, if(ISBLANK('2025'!$S387), 0, 1), 6, if(ISBLANK('2025'!$T387), 0, 1), 7, 0))), 1, "")</f>
        <v/>
      </c>
      <c r="E423" s="1" t="str">
        <f>IF(AND(AND(AND(E$4&gt;='2025'!$L387,E$4&lt;='2025'!$M387), E$4&lt;&gt;DATE(2025,7,4)), (SWITCH(weekday(E$4), 1, 0, 2, if(ISBLANK('2025'!$P387), 0, 1), 3, if(ISBLANK('2025'!$Q387), 0, 1), 4, if(ISBLANK('2025'!$R387), 0, 1), 5, if(ISBLANK('2025'!$S387), 0, 1), 6, if(ISBLANK('2025'!$T387), 0, 1), 7, 0))), 1, "")</f>
        <v/>
      </c>
      <c r="F423" s="1" t="str">
        <f>IF(AND(AND(AND(F$4&gt;='2025'!$L387,F$4&lt;='2025'!$M387), F$4&lt;&gt;DATE(2025,7,4)), (SWITCH(weekday(F$4), 1, 0, 2, if(ISBLANK('2025'!$P387), 0, 1), 3, if(ISBLANK('2025'!$Q387), 0, 1), 4, if(ISBLANK('2025'!$R387), 0, 1), 5, if(ISBLANK('2025'!$S387), 0, 1), 6, if(ISBLANK('2025'!$T387), 0, 1), 7, 0))), 1, "")</f>
        <v/>
      </c>
      <c r="G423" s="1" t="str">
        <f>IF(AND(AND(AND(G$4&gt;='2025'!$L387,G$4&lt;='2025'!$M387), G$4&lt;&gt;DATE(2025,7,4)), (SWITCH(weekday(G$4), 1, 0, 2, if(ISBLANK('2025'!$P387), 0, 1), 3, if(ISBLANK('2025'!$Q387), 0, 1), 4, if(ISBLANK('2025'!$R387), 0, 1), 5, if(ISBLANK('2025'!$S387), 0, 1), 6, if(ISBLANK('2025'!$T387), 0, 1), 7, 0))), 1, "")</f>
        <v/>
      </c>
      <c r="H423" s="1" t="str">
        <f>IF(AND(AND(AND(H$4&gt;='2025'!$L387,H$4&lt;='2025'!$M387), H$4&lt;&gt;DATE(2025,7,4)), (SWITCH(weekday(H$4), 1, 0, 2, if(ISBLANK('2025'!$P387), 0, 1), 3, if(ISBLANK('2025'!$Q387), 0, 1), 4, if(ISBLANK('2025'!$R387), 0, 1), 5, if(ISBLANK('2025'!$S387), 0, 1), 6, if(ISBLANK('2025'!$T387), 0, 1), 7, 0))), 1, "")</f>
        <v/>
      </c>
      <c r="I423" s="1" t="str">
        <f>IF(AND(AND(AND(I$4&gt;='2025'!$L387,I$4&lt;='2025'!$M387), I$4&lt;&gt;DATE(2025,7,4)), (SWITCH(weekday(I$4), 1, 0, 2, if(ISBLANK('2025'!$P387), 0, 1), 3, if(ISBLANK('2025'!$Q387), 0, 1), 4, if(ISBLANK('2025'!$R387), 0, 1), 5, if(ISBLANK('2025'!$S387), 0, 1), 6, if(ISBLANK('2025'!$T387), 0, 1), 7, 0))), 1, "")</f>
        <v/>
      </c>
      <c r="J423" s="1" t="str">
        <f>IF(AND(AND(AND(J$4&gt;='2025'!$L387,J$4&lt;='2025'!$M387), J$4&lt;&gt;DATE(2025,7,4)), (SWITCH(weekday(J$4), 1, 0, 2, if(ISBLANK('2025'!$P387), 0, 1), 3, if(ISBLANK('2025'!$Q387), 0, 1), 4, if(ISBLANK('2025'!$R387), 0, 1), 5, if(ISBLANK('2025'!$S387), 0, 1), 6, if(ISBLANK('2025'!$T387), 0, 1), 7, 0))), 1, "")</f>
        <v/>
      </c>
      <c r="K423" s="1" t="str">
        <f>IF(AND(AND(AND(K$4&gt;='2025'!$L387,K$4&lt;='2025'!$M387), K$4&lt;&gt;DATE(2025,7,4)), (SWITCH(weekday(K$4), 1, 0, 2, if(ISBLANK('2025'!$P387), 0, 1), 3, if(ISBLANK('2025'!$Q387), 0, 1), 4, if(ISBLANK('2025'!$R387), 0, 1), 5, if(ISBLANK('2025'!$S387), 0, 1), 6, if(ISBLANK('2025'!$T387), 0, 1), 7, 0))), 1, "")</f>
        <v/>
      </c>
      <c r="L423" s="1" t="str">
        <f>IF(AND(AND(AND(L$4&gt;='2025'!$L387,L$4&lt;='2025'!$M387), L$4&lt;&gt;DATE(2025,7,4)), (SWITCH(weekday(L$4), 1, 0, 2, if(ISBLANK('2025'!$P387), 0, 1), 3, if(ISBLANK('2025'!$Q387), 0, 1), 4, if(ISBLANK('2025'!$R387), 0, 1), 5, if(ISBLANK('2025'!$S387), 0, 1), 6, if(ISBLANK('2025'!$T387), 0, 1), 7, 0))), 1, "")</f>
        <v/>
      </c>
      <c r="M423" s="1" t="str">
        <f>IF(AND(AND(AND(M$4&gt;='2025'!$L387,M$4&lt;='2025'!$M387), M$4&lt;&gt;DATE(2025,7,4)), (SWITCH(weekday(M$4), 1, 0, 2, if(ISBLANK('2025'!$P387), 0, 1), 3, if(ISBLANK('2025'!$Q387), 0, 1), 4, if(ISBLANK('2025'!$R387), 0, 1), 5, if(ISBLANK('2025'!$S387), 0, 1), 6, if(ISBLANK('2025'!$T387), 0, 1), 7, 0))), 1, "")</f>
        <v/>
      </c>
      <c r="N423" s="1" t="str">
        <f>IF(AND(AND(AND(N$4&gt;='2025'!$L387,N$4&lt;='2025'!$M387), N$4&lt;&gt;DATE(2025,7,4)), (SWITCH(weekday(N$4), 1, 0, 2, if(ISBLANK('2025'!$P387), 0, 1), 3, if(ISBLANK('2025'!$Q387), 0, 1), 4, if(ISBLANK('2025'!$R387), 0, 1), 5, if(ISBLANK('2025'!$S387), 0, 1), 6, if(ISBLANK('2025'!$T387), 0, 1), 7, 0))), 1, "")</f>
        <v/>
      </c>
      <c r="O423" s="1" t="str">
        <f>IF(AND(AND(AND(O$4&gt;='2025'!$L387,O$4&lt;='2025'!$M387), O$4&lt;&gt;DATE(2025,7,4)), (SWITCH(weekday(O$4), 1, 0, 2, if(ISBLANK('2025'!$P387), 0, 1), 3, if(ISBLANK('2025'!$Q387), 0, 1), 4, if(ISBLANK('2025'!$R387), 0, 1), 5, if(ISBLANK('2025'!$S387), 0, 1), 6, if(ISBLANK('2025'!$T387), 0, 1), 7, 0))), 1, "")</f>
        <v/>
      </c>
      <c r="P423" s="1" t="str">
        <f>IF(AND(AND(AND(P$4&gt;='2025'!$L387,P$4&lt;='2025'!$M387), P$4&lt;&gt;DATE(2025,7,4)), (SWITCH(weekday(P$4), 1, 0, 2, if(ISBLANK('2025'!$P387), 0, 1), 3, if(ISBLANK('2025'!$Q387), 0, 1), 4, if(ISBLANK('2025'!$R387), 0, 1), 5, if(ISBLANK('2025'!$S387), 0, 1), 6, if(ISBLANK('2025'!$T387), 0, 1), 7, 0))), 1, "")</f>
        <v/>
      </c>
      <c r="Q423" s="1" t="str">
        <f>IF(AND(AND(AND(Q$4&gt;='2025'!$L387,Q$4&lt;='2025'!$M387), Q$4&lt;&gt;DATE(2025,7,4)), (SWITCH(weekday(Q$4), 1, 0, 2, if(ISBLANK('2025'!$P387), 0, 1), 3, if(ISBLANK('2025'!$Q387), 0, 1), 4, if(ISBLANK('2025'!$R387), 0, 1), 5, if(ISBLANK('2025'!$S387), 0, 1), 6, if(ISBLANK('2025'!$T387), 0, 1), 7, 0))), 1, "")</f>
        <v/>
      </c>
      <c r="R423" s="1" t="str">
        <f>IF(AND(AND(AND(R$4&gt;='2025'!$L387,R$4&lt;='2025'!$M387), R$4&lt;&gt;DATE(2025,7,4)), (SWITCH(weekday(R$4), 1, 0, 2, if(ISBLANK('2025'!$P387), 0, 1), 3, if(ISBLANK('2025'!$Q387), 0, 1), 4, if(ISBLANK('2025'!$R387), 0, 1), 5, if(ISBLANK('2025'!$S387), 0, 1), 6, if(ISBLANK('2025'!$T387), 0, 1), 7, 0))), 1, "")</f>
        <v/>
      </c>
      <c r="S423" s="1" t="str">
        <f>IF(AND(AND(AND(S$4&gt;='2025'!$L387,S$4&lt;='2025'!$M387), S$4&lt;&gt;DATE(2025,7,4)), (SWITCH(weekday(S$4), 1, 0, 2, if(ISBLANK('2025'!$P387), 0, 1), 3, if(ISBLANK('2025'!$Q387), 0, 1), 4, if(ISBLANK('2025'!$R387), 0, 1), 5, if(ISBLANK('2025'!$S387), 0, 1), 6, if(ISBLANK('2025'!$T387), 0, 1), 7, 0))), 1, "")</f>
        <v/>
      </c>
      <c r="T423" s="1" t="str">
        <f>IF(AND(AND(AND(T$4&gt;='2025'!$L387,T$4&lt;='2025'!$M387), T$4&lt;&gt;DATE(2025,7,4)), (SWITCH(weekday(T$4), 1, 0, 2, if(ISBLANK('2025'!$P387), 0, 1), 3, if(ISBLANK('2025'!$Q387), 0, 1), 4, if(ISBLANK('2025'!$R387), 0, 1), 5, if(ISBLANK('2025'!$S387), 0, 1), 6, if(ISBLANK('2025'!$T387), 0, 1), 7, 0))), 1, "")</f>
        <v/>
      </c>
      <c r="U423" s="1" t="str">
        <f>IF(AND(AND(AND(U$4&gt;='2025'!$L387,U$4&lt;='2025'!$M387), U$4&lt;&gt;DATE(2025,7,4)), (SWITCH(weekday(U$4), 1, 0, 2, if(ISBLANK('2025'!$P387), 0, 1), 3, if(ISBLANK('2025'!$Q387), 0, 1), 4, if(ISBLANK('2025'!$R387), 0, 1), 5, if(ISBLANK('2025'!$S387), 0, 1), 6, if(ISBLANK('2025'!$T387), 0, 1), 7, 0))), 1, "")</f>
        <v/>
      </c>
      <c r="V423" s="1" t="str">
        <f>IF(AND(AND(AND(V$4&gt;='2025'!$L387,V$4&lt;='2025'!$M387), V$4&lt;&gt;DATE(2025,7,4)), (SWITCH(weekday(V$4), 1, 0, 2, if(ISBLANK('2025'!$P387), 0, 1), 3, if(ISBLANK('2025'!$Q387), 0, 1), 4, if(ISBLANK('2025'!$R387), 0, 1), 5, if(ISBLANK('2025'!$S387), 0, 1), 6, if(ISBLANK('2025'!$T387), 0, 1), 7, 0))), 1, "")</f>
        <v/>
      </c>
      <c r="W423" s="1" t="str">
        <f>IF(AND(AND(AND(W$4&gt;='2025'!$L387,W$4&lt;='2025'!$M387), W$4&lt;&gt;DATE(2025,7,4)), (SWITCH(weekday(W$4), 1, 0, 2, if(ISBLANK('2025'!$P387), 0, 1), 3, if(ISBLANK('2025'!$Q387), 0, 1), 4, if(ISBLANK('2025'!$R387), 0, 1), 5, if(ISBLANK('2025'!$S387), 0, 1), 6, if(ISBLANK('2025'!$T387), 0, 1), 7, 0))), 1, "")</f>
        <v/>
      </c>
      <c r="X423" s="1" t="str">
        <f>IF(AND(AND(AND(X$4&gt;='2025'!$L387,X$4&lt;='2025'!$M387), X$4&lt;&gt;DATE(2025,7,4)), (SWITCH(weekday(X$4), 1, 0, 2, if(ISBLANK('2025'!$P387), 0, 1), 3, if(ISBLANK('2025'!$Q387), 0, 1), 4, if(ISBLANK('2025'!$R387), 0, 1), 5, if(ISBLANK('2025'!$S387), 0, 1), 6, if(ISBLANK('2025'!$T387), 0, 1), 7, 0))), 1, "")</f>
        <v/>
      </c>
      <c r="Y423" s="1" t="str">
        <f>IF(AND(AND(AND(Y$4&gt;='2025'!$L387,Y$4&lt;='2025'!$M387), Y$4&lt;&gt;DATE(2025,7,4)), (SWITCH(weekday(Y$4), 1, 0, 2, if(ISBLANK('2025'!$P387), 0, 1), 3, if(ISBLANK('2025'!$Q387), 0, 1), 4, if(ISBLANK('2025'!$R387), 0, 1), 5, if(ISBLANK('2025'!$S387), 0, 1), 6, if(ISBLANK('2025'!$T387), 0, 1), 7, 0))), 1, "")</f>
        <v/>
      </c>
      <c r="Z423" s="1" t="str">
        <f>IF(AND(AND(AND(Z$4&gt;='2025'!$L387,Z$4&lt;='2025'!$M387), Z$4&lt;&gt;DATE(2025,7,4)), (SWITCH(weekday(Z$4), 1, 0, 2, if(ISBLANK('2025'!$P387), 0, 1), 3, if(ISBLANK('2025'!$Q387), 0, 1), 4, if(ISBLANK('2025'!$R387), 0, 1), 5, if(ISBLANK('2025'!$S387), 0, 1), 6, if(ISBLANK('2025'!$T387), 0, 1), 7, 0))), 1, "")</f>
        <v/>
      </c>
      <c r="AA423" s="1" t="str">
        <f>IF(AND(AND(AND(AA$4&gt;='2025'!$L387,AA$4&lt;='2025'!$M387), AA$4&lt;&gt;DATE(2025,7,4)), (SWITCH(weekday(AA$4), 1, 0, 2, if(ISBLANK('2025'!$P387), 0, 1), 3, if(ISBLANK('2025'!$Q387), 0, 1), 4, if(ISBLANK('2025'!$R387), 0, 1), 5, if(ISBLANK('2025'!$S387), 0, 1), 6, if(ISBLANK('2025'!$T387), 0, 1), 7, 0))), 1, "")</f>
        <v/>
      </c>
      <c r="AB423" s="1" t="str">
        <f>IF(AND(AND(AND(AB$4&gt;='2025'!$L387,AB$4&lt;='2025'!$M387), AB$4&lt;&gt;DATE(2025,7,4)), (SWITCH(weekday(AB$4), 1, 0, 2, if(ISBLANK('2025'!$P387), 0, 1), 3, if(ISBLANK('2025'!$Q387), 0, 1), 4, if(ISBLANK('2025'!$R387), 0, 1), 5, if(ISBLANK('2025'!$S387), 0, 1), 6, if(ISBLANK('2025'!$T387), 0, 1), 7, 0))), 1, "")</f>
        <v/>
      </c>
      <c r="AC423" s="1" t="str">
        <f>IF(AND(AND(AND(AC$4&gt;='2025'!$L387,AC$4&lt;='2025'!$M387), AC$4&lt;&gt;DATE(2025,7,4)), (SWITCH(weekday(AC$4), 1, 0, 2, if(ISBLANK('2025'!$P387), 0, 1), 3, if(ISBLANK('2025'!$Q387), 0, 1), 4, if(ISBLANK('2025'!$R387), 0, 1), 5, if(ISBLANK('2025'!$S387), 0, 1), 6, if(ISBLANK('2025'!$T387), 0, 1), 7, 0))), 1, "")</f>
        <v/>
      </c>
      <c r="AD423" s="1" t="str">
        <f>IF(AND(AND(AND(AD$4&gt;='2025'!$L387,AD$4&lt;='2025'!$M387), AD$4&lt;&gt;DATE(2025,7,4)), (SWITCH(weekday(AD$4), 1, 0, 2, if(ISBLANK('2025'!$P387), 0, 1), 3, if(ISBLANK('2025'!$Q387), 0, 1), 4, if(ISBLANK('2025'!$R387), 0, 1), 5, if(ISBLANK('2025'!$S387), 0, 1), 6, if(ISBLANK('2025'!$T387), 0, 1), 7, 0))), 1, "")</f>
        <v/>
      </c>
      <c r="AE423" s="1" t="str">
        <f>IF(AND(AND(AND(AE$4&gt;='2025'!$L387,AE$4&lt;='2025'!$M387), AE$4&lt;&gt;DATE(2025,7,4)), (SWITCH(weekday(AE$4), 1, 0, 2, if(ISBLANK('2025'!$P387), 0, 1), 3, if(ISBLANK('2025'!$Q387), 0, 1), 4, if(ISBLANK('2025'!$R387), 0, 1), 5, if(ISBLANK('2025'!$S387), 0, 1), 6, if(ISBLANK('2025'!$T387), 0, 1), 7, 0))), 1, "")</f>
        <v/>
      </c>
      <c r="AF423" s="1" t="str">
        <f>IF(AND(AND(AND(AF$4&gt;='2025'!$L387,AF$4&lt;='2025'!$M387), AF$4&lt;&gt;DATE(2025,7,4)), (SWITCH(weekday(AF$4), 1, 0, 2, if(ISBLANK('2025'!$P387), 0, 1), 3, if(ISBLANK('2025'!$Q387), 0, 1), 4, if(ISBLANK('2025'!$R387), 0, 1), 5, if(ISBLANK('2025'!$S387), 0, 1), 6, if(ISBLANK('2025'!$T387), 0, 1), 7, 0))), 1, "")</f>
        <v/>
      </c>
      <c r="AG423" s="1" t="str">
        <f>IF(AND(AND(AND(AG$4&gt;='2025'!$L387,AG$4&lt;='2025'!$M387), AG$4&lt;&gt;DATE(2025,7,4)), (SWITCH(weekday(AG$4), 1, 0, 2, if(ISBLANK('2025'!$P387), 0, 1), 3, if(ISBLANK('2025'!$Q387), 0, 1), 4, if(ISBLANK('2025'!$R387), 0, 1), 5, if(ISBLANK('2025'!$S387), 0, 1), 6, if(ISBLANK('2025'!$T387), 0, 1), 7, 0))), 1, "")</f>
        <v/>
      </c>
      <c r="AH423" s="1" t="str">
        <f>IF(AND(AND(AND(AH$4&gt;='2025'!$L387,AH$4&lt;='2025'!$M387), AH$4&lt;&gt;DATE(2025,7,4)), (SWITCH(weekday(AH$4), 1, 0, 2, if(ISBLANK('2025'!$P387), 0, 1), 3, if(ISBLANK('2025'!$Q387), 0, 1), 4, if(ISBLANK('2025'!$R387), 0, 1), 5, if(ISBLANK('2025'!$S387), 0, 1), 6, if(ISBLANK('2025'!$T387), 0, 1), 7, 0))), 1, "")</f>
        <v/>
      </c>
      <c r="AI423" s="1" t="str">
        <f>IF(AND(AND(AND(AI$4&gt;='2025'!$L387,AI$4&lt;='2025'!$M387), AI$4&lt;&gt;DATE(2025,7,4)), (SWITCH(weekday(AI$4), 1, 0, 2, if(ISBLANK('2025'!$P387), 0, 1), 3, if(ISBLANK('2025'!$Q387), 0, 1), 4, if(ISBLANK('2025'!$R387), 0, 1), 5, if(ISBLANK('2025'!$S387), 0, 1), 6, if(ISBLANK('2025'!$T387), 0, 1), 7, 0))), 1, "")</f>
        <v/>
      </c>
      <c r="AJ423" s="1" t="str">
        <f>IF(AND(AND(AND(AJ$4&gt;='2025'!$L387,AJ$4&lt;='2025'!$M387), AJ$4&lt;&gt;DATE(2025,7,4)), (SWITCH(weekday(AJ$4), 1, 0, 2, if(ISBLANK('2025'!$P387), 0, 1), 3, if(ISBLANK('2025'!$Q387), 0, 1), 4, if(ISBLANK('2025'!$R387), 0, 1), 5, if(ISBLANK('2025'!$S387), 0, 1), 6, if(ISBLANK('2025'!$T387), 0, 1), 7, 0))), 1, "")</f>
        <v/>
      </c>
      <c r="AK423" s="1" t="str">
        <f>IF(AND(AND(AND(AK$4&gt;='2025'!$L387,AK$4&lt;='2025'!$M387), AK$4&lt;&gt;DATE(2025,7,4)), (SWITCH(weekday(AK$4), 1, 0, 2, if(ISBLANK('2025'!$P387), 0, 1), 3, if(ISBLANK('2025'!$Q387), 0, 1), 4, if(ISBLANK('2025'!$R387), 0, 1), 5, if(ISBLANK('2025'!$S387), 0, 1), 6, if(ISBLANK('2025'!$T387), 0, 1), 7, 0))), 1, "")</f>
        <v/>
      </c>
      <c r="AL423" s="1" t="str">
        <f>IF(AND(AND(AND(AL$4&gt;='2025'!$L387,AL$4&lt;='2025'!$M387), AL$4&lt;&gt;DATE(2025,7,4)), (SWITCH(weekday(AL$4), 1, 0, 2, if(ISBLANK('2025'!$P387), 0, 1), 3, if(ISBLANK('2025'!$Q387), 0, 1), 4, if(ISBLANK('2025'!$R387), 0, 1), 5, if(ISBLANK('2025'!$S387), 0, 1), 6, if(ISBLANK('2025'!$T387), 0, 1), 7, 0))), 1, "")</f>
        <v/>
      </c>
      <c r="AM423" s="1" t="str">
        <f>IF(AND(AND(AND(AM$4&gt;='2025'!$L387,AM$4&lt;='2025'!$M387), AM$4&lt;&gt;DATE(2025,7,4)), (SWITCH(weekday(AM$4), 1, 0, 2, if(ISBLANK('2025'!$P387), 0, 1), 3, if(ISBLANK('2025'!$Q387), 0, 1), 4, if(ISBLANK('2025'!$R387), 0, 1), 5, if(ISBLANK('2025'!$S387), 0, 1), 6, if(ISBLANK('2025'!$T387), 0, 1), 7, 0))), 1, "")</f>
        <v/>
      </c>
      <c r="AN423" s="1" t="str">
        <f>IF(AND(AND(AND(AN$4&gt;='2025'!$L387,AN$4&lt;='2025'!$M387), AN$4&lt;&gt;DATE(2025,7,4)), (SWITCH(weekday(AN$4), 1, 0, 2, if(ISBLANK('2025'!$P387), 0, 1), 3, if(ISBLANK('2025'!$Q387), 0, 1), 4, if(ISBLANK('2025'!$R387), 0, 1), 5, if(ISBLANK('2025'!$S387), 0, 1), 6, if(ISBLANK('2025'!$T387), 0, 1), 7, 0))), 1, "")</f>
        <v/>
      </c>
      <c r="AO423" s="1" t="str">
        <f>IF(AND(AND(AND(AO$4&gt;='2025'!$L387,AO$4&lt;='2025'!$M387), AO$4&lt;&gt;DATE(2025,7,4)), (SWITCH(weekday(AO$4), 1, 0, 2, if(ISBLANK('2025'!$P387), 0, 1), 3, if(ISBLANK('2025'!$Q387), 0, 1), 4, if(ISBLANK('2025'!$R387), 0, 1), 5, if(ISBLANK('2025'!$S387), 0, 1), 6, if(ISBLANK('2025'!$T387), 0, 1), 7, 0))), 1, "")</f>
        <v/>
      </c>
      <c r="AP423" s="1" t="str">
        <f>IF(AND(AND(AND(AP$4&gt;='2025'!$L387,AP$4&lt;='2025'!$M387), AP$4&lt;&gt;DATE(2025,7,4)), (SWITCH(weekday(AP$4), 1, 0, 2, if(ISBLANK('2025'!$P387), 0, 1), 3, if(ISBLANK('2025'!$Q387), 0, 1), 4, if(ISBLANK('2025'!$R387), 0, 1), 5, if(ISBLANK('2025'!$S387), 0, 1), 6, if(ISBLANK('2025'!$T387), 0, 1), 7, 0))), 1, "")</f>
        <v/>
      </c>
      <c r="AQ423" s="1" t="str">
        <f>IF(AND(AND(AND(AQ$4&gt;='2025'!$L387,AQ$4&lt;='2025'!$M387), AQ$4&lt;&gt;DATE(2025,7,4)), (SWITCH(weekday(AQ$4), 1, 0, 2, if(ISBLANK('2025'!$P387), 0, 1), 3, if(ISBLANK('2025'!$Q387), 0, 1), 4, if(ISBLANK('2025'!$R387), 0, 1), 5, if(ISBLANK('2025'!$S387), 0, 1), 6, if(ISBLANK('2025'!$T387), 0, 1), 7, 0))), 1, "")</f>
        <v/>
      </c>
      <c r="AR423" s="1" t="str">
        <f>IF(AND(AND(AND(AR$4&gt;='2025'!$L387,AR$4&lt;='2025'!$M387), AR$4&lt;&gt;DATE(2025,7,4)), (SWITCH(weekday(AR$4), 1, 0, 2, if(ISBLANK('2025'!$P387), 0, 1), 3, if(ISBLANK('2025'!$Q387), 0, 1), 4, if(ISBLANK('2025'!$R387), 0, 1), 5, if(ISBLANK('2025'!$S387), 0, 1), 6, if(ISBLANK('2025'!$T387), 0, 1), 7, 0))), 1, "")</f>
        <v/>
      </c>
      <c r="AS423" s="1" t="str">
        <f>IF(AND(AND(AND(AS$4&gt;='2025'!$L387,AS$4&lt;='2025'!$M387), AS$4&lt;&gt;DATE(2025,7,4)), (SWITCH(weekday(AS$4), 1, 0, 2, if(ISBLANK('2025'!$P387), 0, 1), 3, if(ISBLANK('2025'!$Q387), 0, 1), 4, if(ISBLANK('2025'!$R387), 0, 1), 5, if(ISBLANK('2025'!$S387), 0, 1), 6, if(ISBLANK('2025'!$T387), 0, 1), 7, 0))), 1, "")</f>
        <v/>
      </c>
      <c r="AT423" s="1" t="str">
        <f>IF(AND(AND(AND(AT$4&gt;='2025'!$L387,AT$4&lt;='2025'!$M387), AT$4&lt;&gt;DATE(2025,7,4)), (SWITCH(weekday(AT$4), 1, 0, 2, if(ISBLANK('2025'!$P387), 0, 1), 3, if(ISBLANK('2025'!$Q387), 0, 1), 4, if(ISBLANK('2025'!$R387), 0, 1), 5, if(ISBLANK('2025'!$S387), 0, 1), 6, if(ISBLANK('2025'!$T387), 0, 1), 7, 0))), 1, "")</f>
        <v/>
      </c>
      <c r="AU423" s="1" t="str">
        <f>IF(AND(AND(AND(AU$4&gt;='2025'!$L387,AU$4&lt;='2025'!$M387), AU$4&lt;&gt;DATE(2025,7,4)), (SWITCH(weekday(AU$4), 1, 0, 2, if(ISBLANK('2025'!$P387), 0, 1), 3, if(ISBLANK('2025'!$Q387), 0, 1), 4, if(ISBLANK('2025'!$R387), 0, 1), 5, if(ISBLANK('2025'!$S387), 0, 1), 6, if(ISBLANK('2025'!$T387), 0, 1), 7, 0))), 1, "")</f>
        <v/>
      </c>
      <c r="AV423" s="1" t="str">
        <f>IF(AND(AND(AND(AV$4&gt;='2025'!$L387,AV$4&lt;='2025'!$M387), AV$4&lt;&gt;DATE(2025,7,4)), (SWITCH(weekday(AV$4), 1, 0, 2, if(ISBLANK('2025'!$P387), 0, 1), 3, if(ISBLANK('2025'!$Q387), 0, 1), 4, if(ISBLANK('2025'!$R387), 0, 1), 5, if(ISBLANK('2025'!$S387), 0, 1), 6, if(ISBLANK('2025'!$T387), 0, 1), 7, 0))), 1, "")</f>
        <v/>
      </c>
      <c r="AW423" s="1" t="str">
        <f>IF(AND(AND(AND(AW$4&gt;='2025'!$L387,AW$4&lt;='2025'!$M387), AW$4&lt;&gt;DATE(2025,7,4)), (SWITCH(weekday(AW$4), 1, 0, 2, if(ISBLANK('2025'!$P387), 0, 1), 3, if(ISBLANK('2025'!$Q387), 0, 1), 4, if(ISBLANK('2025'!$R387), 0, 1), 5, if(ISBLANK('2025'!$S387), 0, 1), 6, if(ISBLANK('2025'!$T387), 0, 1), 7, 0))), 1, "")</f>
        <v/>
      </c>
      <c r="AX423" s="1" t="str">
        <f>IF(AND(AND(AND(AX$4&gt;='2025'!$L387,AX$4&lt;='2025'!$M387), AX$4&lt;&gt;DATE(2025,7,4)), (SWITCH(weekday(AX$4), 1, 0, 2, if(ISBLANK('2025'!$P387), 0, 1), 3, if(ISBLANK('2025'!$Q387), 0, 1), 4, if(ISBLANK('2025'!$R387), 0, 1), 5, if(ISBLANK('2025'!$S387), 0, 1), 6, if(ISBLANK('2025'!$T387), 0, 1), 7, 0))), 1, "")</f>
        <v/>
      </c>
      <c r="AY423" s="1" t="str">
        <f>IF(AND(AND(AND(AY$4&gt;='2025'!$L387,AY$4&lt;='2025'!$M387), AY$4&lt;&gt;DATE(2025,7,4)), (SWITCH(weekday(AY$4), 1, 0, 2, if(ISBLANK('2025'!$P387), 0, 1), 3, if(ISBLANK('2025'!$Q387), 0, 1), 4, if(ISBLANK('2025'!$R387), 0, 1), 5, if(ISBLANK('2025'!$S387), 0, 1), 6, if(ISBLANK('2025'!$T387), 0, 1), 7, 0))), 1, "")</f>
        <v/>
      </c>
      <c r="AZ423" s="1" t="str">
        <f>IF(AND(AND(AND(AZ$4&gt;='2025'!$L387,AZ$4&lt;='2025'!$M387), AZ$4&lt;&gt;DATE(2025,7,4)), (SWITCH(weekday(AZ$4), 1, 0, 2, if(ISBLANK('2025'!$P387), 0, 1), 3, if(ISBLANK('2025'!$Q387), 0, 1), 4, if(ISBLANK('2025'!$R387), 0, 1), 5, if(ISBLANK('2025'!$S387), 0, 1), 6, if(ISBLANK('2025'!$T387), 0, 1), 7, 0))), 1, "")</f>
        <v/>
      </c>
      <c r="BA423" s="1" t="str">
        <f>IF(AND(AND(AND(BA$4&gt;='2025'!$L387,BA$4&lt;='2025'!$M387), BA$4&lt;&gt;DATE(2025,7,4)), (SWITCH(weekday(BA$4), 1, 0, 2, if(ISBLANK('2025'!$P387), 0, 1), 3, if(ISBLANK('2025'!$Q387), 0, 1), 4, if(ISBLANK('2025'!$R387), 0, 1), 5, if(ISBLANK('2025'!$S387), 0, 1), 6, if(ISBLANK('2025'!$T387), 0, 1), 7, 0))), 1, "")</f>
        <v/>
      </c>
      <c r="BB423" s="1" t="str">
        <f>IF(AND(AND(AND(BB$4&gt;='2025'!$L387,BB$4&lt;='2025'!$M387), BB$4&lt;&gt;DATE(2025,7,4)), (SWITCH(weekday(BB$4), 1, 0, 2, if(ISBLANK('2025'!$P387), 0, 1), 3, if(ISBLANK('2025'!$Q387), 0, 1), 4, if(ISBLANK('2025'!$R387), 0, 1), 5, if(ISBLANK('2025'!$S387), 0, 1), 6, if(ISBLANK('2025'!$T387), 0, 1), 7, 0))), 1, "")</f>
        <v/>
      </c>
      <c r="BC423" s="1" t="str">
        <f>IF(AND(AND(AND(BC$4&gt;='2025'!$L387,BC$4&lt;='2025'!$M387), BC$4&lt;&gt;DATE(2025,7,4)), (SWITCH(weekday(BC$4), 1, 0, 2, if(ISBLANK('2025'!$P387), 0, 1), 3, if(ISBLANK('2025'!$Q387), 0, 1), 4, if(ISBLANK('2025'!$R387), 0, 1), 5, if(ISBLANK('2025'!$S387), 0, 1), 6, if(ISBLANK('2025'!$T387), 0, 1), 7, 0))), 1, "")</f>
        <v/>
      </c>
      <c r="BD423" s="1" t="str">
        <f>IF(AND(AND(AND(BD$4&gt;='2025'!$L387,BD$4&lt;='2025'!$M387), BD$4&lt;&gt;DATE(2025,7,4)), (SWITCH(weekday(BD$4), 1, 0, 2, if(ISBLANK('2025'!$P387), 0, 1), 3, if(ISBLANK('2025'!$Q387), 0, 1), 4, if(ISBLANK('2025'!$R387), 0, 1), 5, if(ISBLANK('2025'!$S387), 0, 1), 6, if(ISBLANK('2025'!$T387), 0, 1), 7, 0))), 1, "")</f>
        <v/>
      </c>
      <c r="BE423" s="1" t="str">
        <f>IF(AND(AND(AND(BE$4&gt;='2025'!$L387,BE$4&lt;='2025'!$M387), BE$4&lt;&gt;DATE(2025,7,4)), (SWITCH(weekday(BE$4), 1, 0, 2, if(ISBLANK('2025'!$P387), 0, 1), 3, if(ISBLANK('2025'!$Q387), 0, 1), 4, if(ISBLANK('2025'!$R387), 0, 1), 5, if(ISBLANK('2025'!$S387), 0, 1), 6, if(ISBLANK('2025'!$T387), 0, 1), 7, 0))), 1, "")</f>
        <v/>
      </c>
    </row>
    <row r="424">
      <c r="A424" s="1">
        <f t="shared" si="3"/>
        <v>424</v>
      </c>
      <c r="B424" s="1" t="str">
        <f>'2025'!D388</f>
        <v/>
      </c>
      <c r="C424" s="1" t="str">
        <f>'2025'!H388</f>
        <v/>
      </c>
      <c r="D424" s="1" t="str">
        <f>IF(AND(AND(AND(D$4&gt;='2025'!$L388,D$4&lt;='2025'!$M388), D$4&lt;&gt;DATE(2025,7,4)), (SWITCH(weekday(D$4), 1, 0, 2, if(ISBLANK('2025'!$P388), 0, 1), 3, if(ISBLANK('2025'!$Q388), 0, 1), 4, if(ISBLANK('2025'!$R388), 0, 1), 5, if(ISBLANK('2025'!$S388), 0, 1), 6, if(ISBLANK('2025'!$T388), 0, 1), 7, 0))), 1, "")</f>
        <v/>
      </c>
      <c r="E424" s="1" t="str">
        <f>IF(AND(AND(AND(E$4&gt;='2025'!$L388,E$4&lt;='2025'!$M388), E$4&lt;&gt;DATE(2025,7,4)), (SWITCH(weekday(E$4), 1, 0, 2, if(ISBLANK('2025'!$P388), 0, 1), 3, if(ISBLANK('2025'!$Q388), 0, 1), 4, if(ISBLANK('2025'!$R388), 0, 1), 5, if(ISBLANK('2025'!$S388), 0, 1), 6, if(ISBLANK('2025'!$T388), 0, 1), 7, 0))), 1, "")</f>
        <v/>
      </c>
      <c r="F424" s="1" t="str">
        <f>IF(AND(AND(AND(F$4&gt;='2025'!$L388,F$4&lt;='2025'!$M388), F$4&lt;&gt;DATE(2025,7,4)), (SWITCH(weekday(F$4), 1, 0, 2, if(ISBLANK('2025'!$P388), 0, 1), 3, if(ISBLANK('2025'!$Q388), 0, 1), 4, if(ISBLANK('2025'!$R388), 0, 1), 5, if(ISBLANK('2025'!$S388), 0, 1), 6, if(ISBLANK('2025'!$T388), 0, 1), 7, 0))), 1, "")</f>
        <v/>
      </c>
      <c r="G424" s="1" t="str">
        <f>IF(AND(AND(AND(G$4&gt;='2025'!$L388,G$4&lt;='2025'!$M388), G$4&lt;&gt;DATE(2025,7,4)), (SWITCH(weekday(G$4), 1, 0, 2, if(ISBLANK('2025'!$P388), 0, 1), 3, if(ISBLANK('2025'!$Q388), 0, 1), 4, if(ISBLANK('2025'!$R388), 0, 1), 5, if(ISBLANK('2025'!$S388), 0, 1), 6, if(ISBLANK('2025'!$T388), 0, 1), 7, 0))), 1, "")</f>
        <v/>
      </c>
      <c r="H424" s="1" t="str">
        <f>IF(AND(AND(AND(H$4&gt;='2025'!$L388,H$4&lt;='2025'!$M388), H$4&lt;&gt;DATE(2025,7,4)), (SWITCH(weekday(H$4), 1, 0, 2, if(ISBLANK('2025'!$P388), 0, 1), 3, if(ISBLANK('2025'!$Q388), 0, 1), 4, if(ISBLANK('2025'!$R388), 0, 1), 5, if(ISBLANK('2025'!$S388), 0, 1), 6, if(ISBLANK('2025'!$T388), 0, 1), 7, 0))), 1, "")</f>
        <v/>
      </c>
      <c r="I424" s="1" t="str">
        <f>IF(AND(AND(AND(I$4&gt;='2025'!$L388,I$4&lt;='2025'!$M388), I$4&lt;&gt;DATE(2025,7,4)), (SWITCH(weekday(I$4), 1, 0, 2, if(ISBLANK('2025'!$P388), 0, 1), 3, if(ISBLANK('2025'!$Q388), 0, 1), 4, if(ISBLANK('2025'!$R388), 0, 1), 5, if(ISBLANK('2025'!$S388), 0, 1), 6, if(ISBLANK('2025'!$T388), 0, 1), 7, 0))), 1, "")</f>
        <v/>
      </c>
      <c r="J424" s="1" t="str">
        <f>IF(AND(AND(AND(J$4&gt;='2025'!$L388,J$4&lt;='2025'!$M388), J$4&lt;&gt;DATE(2025,7,4)), (SWITCH(weekday(J$4), 1, 0, 2, if(ISBLANK('2025'!$P388), 0, 1), 3, if(ISBLANK('2025'!$Q388), 0, 1), 4, if(ISBLANK('2025'!$R388), 0, 1), 5, if(ISBLANK('2025'!$S388), 0, 1), 6, if(ISBLANK('2025'!$T388), 0, 1), 7, 0))), 1, "")</f>
        <v/>
      </c>
      <c r="K424" s="1" t="str">
        <f>IF(AND(AND(AND(K$4&gt;='2025'!$L388,K$4&lt;='2025'!$M388), K$4&lt;&gt;DATE(2025,7,4)), (SWITCH(weekday(K$4), 1, 0, 2, if(ISBLANK('2025'!$P388), 0, 1), 3, if(ISBLANK('2025'!$Q388), 0, 1), 4, if(ISBLANK('2025'!$R388), 0, 1), 5, if(ISBLANK('2025'!$S388), 0, 1), 6, if(ISBLANK('2025'!$T388), 0, 1), 7, 0))), 1, "")</f>
        <v/>
      </c>
      <c r="L424" s="1" t="str">
        <f>IF(AND(AND(AND(L$4&gt;='2025'!$L388,L$4&lt;='2025'!$M388), L$4&lt;&gt;DATE(2025,7,4)), (SWITCH(weekday(L$4), 1, 0, 2, if(ISBLANK('2025'!$P388), 0, 1), 3, if(ISBLANK('2025'!$Q388), 0, 1), 4, if(ISBLANK('2025'!$R388), 0, 1), 5, if(ISBLANK('2025'!$S388), 0, 1), 6, if(ISBLANK('2025'!$T388), 0, 1), 7, 0))), 1, "")</f>
        <v/>
      </c>
      <c r="M424" s="1" t="str">
        <f>IF(AND(AND(AND(M$4&gt;='2025'!$L388,M$4&lt;='2025'!$M388), M$4&lt;&gt;DATE(2025,7,4)), (SWITCH(weekday(M$4), 1, 0, 2, if(ISBLANK('2025'!$P388), 0, 1), 3, if(ISBLANK('2025'!$Q388), 0, 1), 4, if(ISBLANK('2025'!$R388), 0, 1), 5, if(ISBLANK('2025'!$S388), 0, 1), 6, if(ISBLANK('2025'!$T388), 0, 1), 7, 0))), 1, "")</f>
        <v/>
      </c>
      <c r="N424" s="1" t="str">
        <f>IF(AND(AND(AND(N$4&gt;='2025'!$L388,N$4&lt;='2025'!$M388), N$4&lt;&gt;DATE(2025,7,4)), (SWITCH(weekday(N$4), 1, 0, 2, if(ISBLANK('2025'!$P388), 0, 1), 3, if(ISBLANK('2025'!$Q388), 0, 1), 4, if(ISBLANK('2025'!$R388), 0, 1), 5, if(ISBLANK('2025'!$S388), 0, 1), 6, if(ISBLANK('2025'!$T388), 0, 1), 7, 0))), 1, "")</f>
        <v/>
      </c>
      <c r="O424" s="1" t="str">
        <f>IF(AND(AND(AND(O$4&gt;='2025'!$L388,O$4&lt;='2025'!$M388), O$4&lt;&gt;DATE(2025,7,4)), (SWITCH(weekday(O$4), 1, 0, 2, if(ISBLANK('2025'!$P388), 0, 1), 3, if(ISBLANK('2025'!$Q388), 0, 1), 4, if(ISBLANK('2025'!$R388), 0, 1), 5, if(ISBLANK('2025'!$S388), 0, 1), 6, if(ISBLANK('2025'!$T388), 0, 1), 7, 0))), 1, "")</f>
        <v/>
      </c>
      <c r="P424" s="1" t="str">
        <f>IF(AND(AND(AND(P$4&gt;='2025'!$L388,P$4&lt;='2025'!$M388), P$4&lt;&gt;DATE(2025,7,4)), (SWITCH(weekday(P$4), 1, 0, 2, if(ISBLANK('2025'!$P388), 0, 1), 3, if(ISBLANK('2025'!$Q388), 0, 1), 4, if(ISBLANK('2025'!$R388), 0, 1), 5, if(ISBLANK('2025'!$S388), 0, 1), 6, if(ISBLANK('2025'!$T388), 0, 1), 7, 0))), 1, "")</f>
        <v/>
      </c>
      <c r="Q424" s="1" t="str">
        <f>IF(AND(AND(AND(Q$4&gt;='2025'!$L388,Q$4&lt;='2025'!$M388), Q$4&lt;&gt;DATE(2025,7,4)), (SWITCH(weekday(Q$4), 1, 0, 2, if(ISBLANK('2025'!$P388), 0, 1), 3, if(ISBLANK('2025'!$Q388), 0, 1), 4, if(ISBLANK('2025'!$R388), 0, 1), 5, if(ISBLANK('2025'!$S388), 0, 1), 6, if(ISBLANK('2025'!$T388), 0, 1), 7, 0))), 1, "")</f>
        <v/>
      </c>
      <c r="R424" s="1" t="str">
        <f>IF(AND(AND(AND(R$4&gt;='2025'!$L388,R$4&lt;='2025'!$M388), R$4&lt;&gt;DATE(2025,7,4)), (SWITCH(weekday(R$4), 1, 0, 2, if(ISBLANK('2025'!$P388), 0, 1), 3, if(ISBLANK('2025'!$Q388), 0, 1), 4, if(ISBLANK('2025'!$R388), 0, 1), 5, if(ISBLANK('2025'!$S388), 0, 1), 6, if(ISBLANK('2025'!$T388), 0, 1), 7, 0))), 1, "")</f>
        <v/>
      </c>
      <c r="S424" s="1" t="str">
        <f>IF(AND(AND(AND(S$4&gt;='2025'!$L388,S$4&lt;='2025'!$M388), S$4&lt;&gt;DATE(2025,7,4)), (SWITCH(weekday(S$4), 1, 0, 2, if(ISBLANK('2025'!$P388), 0, 1), 3, if(ISBLANK('2025'!$Q388), 0, 1), 4, if(ISBLANK('2025'!$R388), 0, 1), 5, if(ISBLANK('2025'!$S388), 0, 1), 6, if(ISBLANK('2025'!$T388), 0, 1), 7, 0))), 1, "")</f>
        <v/>
      </c>
      <c r="T424" s="1" t="str">
        <f>IF(AND(AND(AND(T$4&gt;='2025'!$L388,T$4&lt;='2025'!$M388), T$4&lt;&gt;DATE(2025,7,4)), (SWITCH(weekday(T$4), 1, 0, 2, if(ISBLANK('2025'!$P388), 0, 1), 3, if(ISBLANK('2025'!$Q388), 0, 1), 4, if(ISBLANK('2025'!$R388), 0, 1), 5, if(ISBLANK('2025'!$S388), 0, 1), 6, if(ISBLANK('2025'!$T388), 0, 1), 7, 0))), 1, "")</f>
        <v/>
      </c>
      <c r="U424" s="1" t="str">
        <f>IF(AND(AND(AND(U$4&gt;='2025'!$L388,U$4&lt;='2025'!$M388), U$4&lt;&gt;DATE(2025,7,4)), (SWITCH(weekday(U$4), 1, 0, 2, if(ISBLANK('2025'!$P388), 0, 1), 3, if(ISBLANK('2025'!$Q388), 0, 1), 4, if(ISBLANK('2025'!$R388), 0, 1), 5, if(ISBLANK('2025'!$S388), 0, 1), 6, if(ISBLANK('2025'!$T388), 0, 1), 7, 0))), 1, "")</f>
        <v/>
      </c>
      <c r="V424" s="1" t="str">
        <f>IF(AND(AND(AND(V$4&gt;='2025'!$L388,V$4&lt;='2025'!$M388), V$4&lt;&gt;DATE(2025,7,4)), (SWITCH(weekday(V$4), 1, 0, 2, if(ISBLANK('2025'!$P388), 0, 1), 3, if(ISBLANK('2025'!$Q388), 0, 1), 4, if(ISBLANK('2025'!$R388), 0, 1), 5, if(ISBLANK('2025'!$S388), 0, 1), 6, if(ISBLANK('2025'!$T388), 0, 1), 7, 0))), 1, "")</f>
        <v/>
      </c>
      <c r="W424" s="1" t="str">
        <f>IF(AND(AND(AND(W$4&gt;='2025'!$L388,W$4&lt;='2025'!$M388), W$4&lt;&gt;DATE(2025,7,4)), (SWITCH(weekday(W$4), 1, 0, 2, if(ISBLANK('2025'!$P388), 0, 1), 3, if(ISBLANK('2025'!$Q388), 0, 1), 4, if(ISBLANK('2025'!$R388), 0, 1), 5, if(ISBLANK('2025'!$S388), 0, 1), 6, if(ISBLANK('2025'!$T388), 0, 1), 7, 0))), 1, "")</f>
        <v/>
      </c>
      <c r="X424" s="1" t="str">
        <f>IF(AND(AND(AND(X$4&gt;='2025'!$L388,X$4&lt;='2025'!$M388), X$4&lt;&gt;DATE(2025,7,4)), (SWITCH(weekday(X$4), 1, 0, 2, if(ISBLANK('2025'!$P388), 0, 1), 3, if(ISBLANK('2025'!$Q388), 0, 1), 4, if(ISBLANK('2025'!$R388), 0, 1), 5, if(ISBLANK('2025'!$S388), 0, 1), 6, if(ISBLANK('2025'!$T388), 0, 1), 7, 0))), 1, "")</f>
        <v/>
      </c>
      <c r="Y424" s="1" t="str">
        <f>IF(AND(AND(AND(Y$4&gt;='2025'!$L388,Y$4&lt;='2025'!$M388), Y$4&lt;&gt;DATE(2025,7,4)), (SWITCH(weekday(Y$4), 1, 0, 2, if(ISBLANK('2025'!$P388), 0, 1), 3, if(ISBLANK('2025'!$Q388), 0, 1), 4, if(ISBLANK('2025'!$R388), 0, 1), 5, if(ISBLANK('2025'!$S388), 0, 1), 6, if(ISBLANK('2025'!$T388), 0, 1), 7, 0))), 1, "")</f>
        <v/>
      </c>
      <c r="Z424" s="1" t="str">
        <f>IF(AND(AND(AND(Z$4&gt;='2025'!$L388,Z$4&lt;='2025'!$M388), Z$4&lt;&gt;DATE(2025,7,4)), (SWITCH(weekday(Z$4), 1, 0, 2, if(ISBLANK('2025'!$P388), 0, 1), 3, if(ISBLANK('2025'!$Q388), 0, 1), 4, if(ISBLANK('2025'!$R388), 0, 1), 5, if(ISBLANK('2025'!$S388), 0, 1), 6, if(ISBLANK('2025'!$T388), 0, 1), 7, 0))), 1, "")</f>
        <v/>
      </c>
      <c r="AA424" s="1" t="str">
        <f>IF(AND(AND(AND(AA$4&gt;='2025'!$L388,AA$4&lt;='2025'!$M388), AA$4&lt;&gt;DATE(2025,7,4)), (SWITCH(weekday(AA$4), 1, 0, 2, if(ISBLANK('2025'!$P388), 0, 1), 3, if(ISBLANK('2025'!$Q388), 0, 1), 4, if(ISBLANK('2025'!$R388), 0, 1), 5, if(ISBLANK('2025'!$S388), 0, 1), 6, if(ISBLANK('2025'!$T388), 0, 1), 7, 0))), 1, "")</f>
        <v/>
      </c>
      <c r="AB424" s="1" t="str">
        <f>IF(AND(AND(AND(AB$4&gt;='2025'!$L388,AB$4&lt;='2025'!$M388), AB$4&lt;&gt;DATE(2025,7,4)), (SWITCH(weekday(AB$4), 1, 0, 2, if(ISBLANK('2025'!$P388), 0, 1), 3, if(ISBLANK('2025'!$Q388), 0, 1), 4, if(ISBLANK('2025'!$R388), 0, 1), 5, if(ISBLANK('2025'!$S388), 0, 1), 6, if(ISBLANK('2025'!$T388), 0, 1), 7, 0))), 1, "")</f>
        <v/>
      </c>
      <c r="AC424" s="1" t="str">
        <f>IF(AND(AND(AND(AC$4&gt;='2025'!$L388,AC$4&lt;='2025'!$M388), AC$4&lt;&gt;DATE(2025,7,4)), (SWITCH(weekday(AC$4), 1, 0, 2, if(ISBLANK('2025'!$P388), 0, 1), 3, if(ISBLANK('2025'!$Q388), 0, 1), 4, if(ISBLANK('2025'!$R388), 0, 1), 5, if(ISBLANK('2025'!$S388), 0, 1), 6, if(ISBLANK('2025'!$T388), 0, 1), 7, 0))), 1, "")</f>
        <v/>
      </c>
      <c r="AD424" s="1" t="str">
        <f>IF(AND(AND(AND(AD$4&gt;='2025'!$L388,AD$4&lt;='2025'!$M388), AD$4&lt;&gt;DATE(2025,7,4)), (SWITCH(weekday(AD$4), 1, 0, 2, if(ISBLANK('2025'!$P388), 0, 1), 3, if(ISBLANK('2025'!$Q388), 0, 1), 4, if(ISBLANK('2025'!$R388), 0, 1), 5, if(ISBLANK('2025'!$S388), 0, 1), 6, if(ISBLANK('2025'!$T388), 0, 1), 7, 0))), 1, "")</f>
        <v/>
      </c>
      <c r="AE424" s="1" t="str">
        <f>IF(AND(AND(AND(AE$4&gt;='2025'!$L388,AE$4&lt;='2025'!$M388), AE$4&lt;&gt;DATE(2025,7,4)), (SWITCH(weekday(AE$4), 1, 0, 2, if(ISBLANK('2025'!$P388), 0, 1), 3, if(ISBLANK('2025'!$Q388), 0, 1), 4, if(ISBLANK('2025'!$R388), 0, 1), 5, if(ISBLANK('2025'!$S388), 0, 1), 6, if(ISBLANK('2025'!$T388), 0, 1), 7, 0))), 1, "")</f>
        <v/>
      </c>
      <c r="AF424" s="1" t="str">
        <f>IF(AND(AND(AND(AF$4&gt;='2025'!$L388,AF$4&lt;='2025'!$M388), AF$4&lt;&gt;DATE(2025,7,4)), (SWITCH(weekday(AF$4), 1, 0, 2, if(ISBLANK('2025'!$P388), 0, 1), 3, if(ISBLANK('2025'!$Q388), 0, 1), 4, if(ISBLANK('2025'!$R388), 0, 1), 5, if(ISBLANK('2025'!$S388), 0, 1), 6, if(ISBLANK('2025'!$T388), 0, 1), 7, 0))), 1, "")</f>
        <v/>
      </c>
      <c r="AG424" s="1" t="str">
        <f>IF(AND(AND(AND(AG$4&gt;='2025'!$L388,AG$4&lt;='2025'!$M388), AG$4&lt;&gt;DATE(2025,7,4)), (SWITCH(weekday(AG$4), 1, 0, 2, if(ISBLANK('2025'!$P388), 0, 1), 3, if(ISBLANK('2025'!$Q388), 0, 1), 4, if(ISBLANK('2025'!$R388), 0, 1), 5, if(ISBLANK('2025'!$S388), 0, 1), 6, if(ISBLANK('2025'!$T388), 0, 1), 7, 0))), 1, "")</f>
        <v/>
      </c>
      <c r="AH424" s="1" t="str">
        <f>IF(AND(AND(AND(AH$4&gt;='2025'!$L388,AH$4&lt;='2025'!$M388), AH$4&lt;&gt;DATE(2025,7,4)), (SWITCH(weekday(AH$4), 1, 0, 2, if(ISBLANK('2025'!$P388), 0, 1), 3, if(ISBLANK('2025'!$Q388), 0, 1), 4, if(ISBLANK('2025'!$R388), 0, 1), 5, if(ISBLANK('2025'!$S388), 0, 1), 6, if(ISBLANK('2025'!$T388), 0, 1), 7, 0))), 1, "")</f>
        <v/>
      </c>
      <c r="AI424" s="1" t="str">
        <f>IF(AND(AND(AND(AI$4&gt;='2025'!$L388,AI$4&lt;='2025'!$M388), AI$4&lt;&gt;DATE(2025,7,4)), (SWITCH(weekday(AI$4), 1, 0, 2, if(ISBLANK('2025'!$P388), 0, 1), 3, if(ISBLANK('2025'!$Q388), 0, 1), 4, if(ISBLANK('2025'!$R388), 0, 1), 5, if(ISBLANK('2025'!$S388), 0, 1), 6, if(ISBLANK('2025'!$T388), 0, 1), 7, 0))), 1, "")</f>
        <v/>
      </c>
      <c r="AJ424" s="1" t="str">
        <f>IF(AND(AND(AND(AJ$4&gt;='2025'!$L388,AJ$4&lt;='2025'!$M388), AJ$4&lt;&gt;DATE(2025,7,4)), (SWITCH(weekday(AJ$4), 1, 0, 2, if(ISBLANK('2025'!$P388), 0, 1), 3, if(ISBLANK('2025'!$Q388), 0, 1), 4, if(ISBLANK('2025'!$R388), 0, 1), 5, if(ISBLANK('2025'!$S388), 0, 1), 6, if(ISBLANK('2025'!$T388), 0, 1), 7, 0))), 1, "")</f>
        <v/>
      </c>
      <c r="AK424" s="1" t="str">
        <f>IF(AND(AND(AND(AK$4&gt;='2025'!$L388,AK$4&lt;='2025'!$M388), AK$4&lt;&gt;DATE(2025,7,4)), (SWITCH(weekday(AK$4), 1, 0, 2, if(ISBLANK('2025'!$P388), 0, 1), 3, if(ISBLANK('2025'!$Q388), 0, 1), 4, if(ISBLANK('2025'!$R388), 0, 1), 5, if(ISBLANK('2025'!$S388), 0, 1), 6, if(ISBLANK('2025'!$T388), 0, 1), 7, 0))), 1, "")</f>
        <v/>
      </c>
      <c r="AL424" s="1" t="str">
        <f>IF(AND(AND(AND(AL$4&gt;='2025'!$L388,AL$4&lt;='2025'!$M388), AL$4&lt;&gt;DATE(2025,7,4)), (SWITCH(weekday(AL$4), 1, 0, 2, if(ISBLANK('2025'!$P388), 0, 1), 3, if(ISBLANK('2025'!$Q388), 0, 1), 4, if(ISBLANK('2025'!$R388), 0, 1), 5, if(ISBLANK('2025'!$S388), 0, 1), 6, if(ISBLANK('2025'!$T388), 0, 1), 7, 0))), 1, "")</f>
        <v/>
      </c>
      <c r="AM424" s="1" t="str">
        <f>IF(AND(AND(AND(AM$4&gt;='2025'!$L388,AM$4&lt;='2025'!$M388), AM$4&lt;&gt;DATE(2025,7,4)), (SWITCH(weekday(AM$4), 1, 0, 2, if(ISBLANK('2025'!$P388), 0, 1), 3, if(ISBLANK('2025'!$Q388), 0, 1), 4, if(ISBLANK('2025'!$R388), 0, 1), 5, if(ISBLANK('2025'!$S388), 0, 1), 6, if(ISBLANK('2025'!$T388), 0, 1), 7, 0))), 1, "")</f>
        <v/>
      </c>
      <c r="AN424" s="1" t="str">
        <f>IF(AND(AND(AND(AN$4&gt;='2025'!$L388,AN$4&lt;='2025'!$M388), AN$4&lt;&gt;DATE(2025,7,4)), (SWITCH(weekday(AN$4), 1, 0, 2, if(ISBLANK('2025'!$P388), 0, 1), 3, if(ISBLANK('2025'!$Q388), 0, 1), 4, if(ISBLANK('2025'!$R388), 0, 1), 5, if(ISBLANK('2025'!$S388), 0, 1), 6, if(ISBLANK('2025'!$T388), 0, 1), 7, 0))), 1, "")</f>
        <v/>
      </c>
      <c r="AO424" s="1" t="str">
        <f>IF(AND(AND(AND(AO$4&gt;='2025'!$L388,AO$4&lt;='2025'!$M388), AO$4&lt;&gt;DATE(2025,7,4)), (SWITCH(weekday(AO$4), 1, 0, 2, if(ISBLANK('2025'!$P388), 0, 1), 3, if(ISBLANK('2025'!$Q388), 0, 1), 4, if(ISBLANK('2025'!$R388), 0, 1), 5, if(ISBLANK('2025'!$S388), 0, 1), 6, if(ISBLANK('2025'!$T388), 0, 1), 7, 0))), 1, "")</f>
        <v/>
      </c>
      <c r="AP424" s="1" t="str">
        <f>IF(AND(AND(AND(AP$4&gt;='2025'!$L388,AP$4&lt;='2025'!$M388), AP$4&lt;&gt;DATE(2025,7,4)), (SWITCH(weekday(AP$4), 1, 0, 2, if(ISBLANK('2025'!$P388), 0, 1), 3, if(ISBLANK('2025'!$Q388), 0, 1), 4, if(ISBLANK('2025'!$R388), 0, 1), 5, if(ISBLANK('2025'!$S388), 0, 1), 6, if(ISBLANK('2025'!$T388), 0, 1), 7, 0))), 1, "")</f>
        <v/>
      </c>
      <c r="AQ424" s="1" t="str">
        <f>IF(AND(AND(AND(AQ$4&gt;='2025'!$L388,AQ$4&lt;='2025'!$M388), AQ$4&lt;&gt;DATE(2025,7,4)), (SWITCH(weekday(AQ$4), 1, 0, 2, if(ISBLANK('2025'!$P388), 0, 1), 3, if(ISBLANK('2025'!$Q388), 0, 1), 4, if(ISBLANK('2025'!$R388), 0, 1), 5, if(ISBLANK('2025'!$S388), 0, 1), 6, if(ISBLANK('2025'!$T388), 0, 1), 7, 0))), 1, "")</f>
        <v/>
      </c>
      <c r="AR424" s="1" t="str">
        <f>IF(AND(AND(AND(AR$4&gt;='2025'!$L388,AR$4&lt;='2025'!$M388), AR$4&lt;&gt;DATE(2025,7,4)), (SWITCH(weekday(AR$4), 1, 0, 2, if(ISBLANK('2025'!$P388), 0, 1), 3, if(ISBLANK('2025'!$Q388), 0, 1), 4, if(ISBLANK('2025'!$R388), 0, 1), 5, if(ISBLANK('2025'!$S388), 0, 1), 6, if(ISBLANK('2025'!$T388), 0, 1), 7, 0))), 1, "")</f>
        <v/>
      </c>
      <c r="AS424" s="1" t="str">
        <f>IF(AND(AND(AND(AS$4&gt;='2025'!$L388,AS$4&lt;='2025'!$M388), AS$4&lt;&gt;DATE(2025,7,4)), (SWITCH(weekday(AS$4), 1, 0, 2, if(ISBLANK('2025'!$P388), 0, 1), 3, if(ISBLANK('2025'!$Q388), 0, 1), 4, if(ISBLANK('2025'!$R388), 0, 1), 5, if(ISBLANK('2025'!$S388), 0, 1), 6, if(ISBLANK('2025'!$T388), 0, 1), 7, 0))), 1, "")</f>
        <v/>
      </c>
      <c r="AT424" s="1" t="str">
        <f>IF(AND(AND(AND(AT$4&gt;='2025'!$L388,AT$4&lt;='2025'!$M388), AT$4&lt;&gt;DATE(2025,7,4)), (SWITCH(weekday(AT$4), 1, 0, 2, if(ISBLANK('2025'!$P388), 0, 1), 3, if(ISBLANK('2025'!$Q388), 0, 1), 4, if(ISBLANK('2025'!$R388), 0, 1), 5, if(ISBLANK('2025'!$S388), 0, 1), 6, if(ISBLANK('2025'!$T388), 0, 1), 7, 0))), 1, "")</f>
        <v/>
      </c>
      <c r="AU424" s="1" t="str">
        <f>IF(AND(AND(AND(AU$4&gt;='2025'!$L388,AU$4&lt;='2025'!$M388), AU$4&lt;&gt;DATE(2025,7,4)), (SWITCH(weekday(AU$4), 1, 0, 2, if(ISBLANK('2025'!$P388), 0, 1), 3, if(ISBLANK('2025'!$Q388), 0, 1), 4, if(ISBLANK('2025'!$R388), 0, 1), 5, if(ISBLANK('2025'!$S388), 0, 1), 6, if(ISBLANK('2025'!$T388), 0, 1), 7, 0))), 1, "")</f>
        <v/>
      </c>
      <c r="AV424" s="1" t="str">
        <f>IF(AND(AND(AND(AV$4&gt;='2025'!$L388,AV$4&lt;='2025'!$M388), AV$4&lt;&gt;DATE(2025,7,4)), (SWITCH(weekday(AV$4), 1, 0, 2, if(ISBLANK('2025'!$P388), 0, 1), 3, if(ISBLANK('2025'!$Q388), 0, 1), 4, if(ISBLANK('2025'!$R388), 0, 1), 5, if(ISBLANK('2025'!$S388), 0, 1), 6, if(ISBLANK('2025'!$T388), 0, 1), 7, 0))), 1, "")</f>
        <v/>
      </c>
      <c r="AW424" s="1" t="str">
        <f>IF(AND(AND(AND(AW$4&gt;='2025'!$L388,AW$4&lt;='2025'!$M388), AW$4&lt;&gt;DATE(2025,7,4)), (SWITCH(weekday(AW$4), 1, 0, 2, if(ISBLANK('2025'!$P388), 0, 1), 3, if(ISBLANK('2025'!$Q388), 0, 1), 4, if(ISBLANK('2025'!$R388), 0, 1), 5, if(ISBLANK('2025'!$S388), 0, 1), 6, if(ISBLANK('2025'!$T388), 0, 1), 7, 0))), 1, "")</f>
        <v/>
      </c>
      <c r="AX424" s="1" t="str">
        <f>IF(AND(AND(AND(AX$4&gt;='2025'!$L388,AX$4&lt;='2025'!$M388), AX$4&lt;&gt;DATE(2025,7,4)), (SWITCH(weekday(AX$4), 1, 0, 2, if(ISBLANK('2025'!$P388), 0, 1), 3, if(ISBLANK('2025'!$Q388), 0, 1), 4, if(ISBLANK('2025'!$R388), 0, 1), 5, if(ISBLANK('2025'!$S388), 0, 1), 6, if(ISBLANK('2025'!$T388), 0, 1), 7, 0))), 1, "")</f>
        <v/>
      </c>
      <c r="AY424" s="1" t="str">
        <f>IF(AND(AND(AND(AY$4&gt;='2025'!$L388,AY$4&lt;='2025'!$M388), AY$4&lt;&gt;DATE(2025,7,4)), (SWITCH(weekday(AY$4), 1, 0, 2, if(ISBLANK('2025'!$P388), 0, 1), 3, if(ISBLANK('2025'!$Q388), 0, 1), 4, if(ISBLANK('2025'!$R388), 0, 1), 5, if(ISBLANK('2025'!$S388), 0, 1), 6, if(ISBLANK('2025'!$T388), 0, 1), 7, 0))), 1, "")</f>
        <v/>
      </c>
      <c r="AZ424" s="1" t="str">
        <f>IF(AND(AND(AND(AZ$4&gt;='2025'!$L388,AZ$4&lt;='2025'!$M388), AZ$4&lt;&gt;DATE(2025,7,4)), (SWITCH(weekday(AZ$4), 1, 0, 2, if(ISBLANK('2025'!$P388), 0, 1), 3, if(ISBLANK('2025'!$Q388), 0, 1), 4, if(ISBLANK('2025'!$R388), 0, 1), 5, if(ISBLANK('2025'!$S388), 0, 1), 6, if(ISBLANK('2025'!$T388), 0, 1), 7, 0))), 1, "")</f>
        <v/>
      </c>
      <c r="BA424" s="1" t="str">
        <f>IF(AND(AND(AND(BA$4&gt;='2025'!$L388,BA$4&lt;='2025'!$M388), BA$4&lt;&gt;DATE(2025,7,4)), (SWITCH(weekday(BA$4), 1, 0, 2, if(ISBLANK('2025'!$P388), 0, 1), 3, if(ISBLANK('2025'!$Q388), 0, 1), 4, if(ISBLANK('2025'!$R388), 0, 1), 5, if(ISBLANK('2025'!$S388), 0, 1), 6, if(ISBLANK('2025'!$T388), 0, 1), 7, 0))), 1, "")</f>
        <v/>
      </c>
      <c r="BB424" s="1" t="str">
        <f>IF(AND(AND(AND(BB$4&gt;='2025'!$L388,BB$4&lt;='2025'!$M388), BB$4&lt;&gt;DATE(2025,7,4)), (SWITCH(weekday(BB$4), 1, 0, 2, if(ISBLANK('2025'!$P388), 0, 1), 3, if(ISBLANK('2025'!$Q388), 0, 1), 4, if(ISBLANK('2025'!$R388), 0, 1), 5, if(ISBLANK('2025'!$S388), 0, 1), 6, if(ISBLANK('2025'!$T388), 0, 1), 7, 0))), 1, "")</f>
        <v/>
      </c>
      <c r="BC424" s="1" t="str">
        <f>IF(AND(AND(AND(BC$4&gt;='2025'!$L388,BC$4&lt;='2025'!$M388), BC$4&lt;&gt;DATE(2025,7,4)), (SWITCH(weekday(BC$4), 1, 0, 2, if(ISBLANK('2025'!$P388), 0, 1), 3, if(ISBLANK('2025'!$Q388), 0, 1), 4, if(ISBLANK('2025'!$R388), 0, 1), 5, if(ISBLANK('2025'!$S388), 0, 1), 6, if(ISBLANK('2025'!$T388), 0, 1), 7, 0))), 1, "")</f>
        <v/>
      </c>
      <c r="BD424" s="1" t="str">
        <f>IF(AND(AND(AND(BD$4&gt;='2025'!$L388,BD$4&lt;='2025'!$M388), BD$4&lt;&gt;DATE(2025,7,4)), (SWITCH(weekday(BD$4), 1, 0, 2, if(ISBLANK('2025'!$P388), 0, 1), 3, if(ISBLANK('2025'!$Q388), 0, 1), 4, if(ISBLANK('2025'!$R388), 0, 1), 5, if(ISBLANK('2025'!$S388), 0, 1), 6, if(ISBLANK('2025'!$T388), 0, 1), 7, 0))), 1, "")</f>
        <v/>
      </c>
      <c r="BE424" s="1" t="str">
        <f>IF(AND(AND(AND(BE$4&gt;='2025'!$L388,BE$4&lt;='2025'!$M388), BE$4&lt;&gt;DATE(2025,7,4)), (SWITCH(weekday(BE$4), 1, 0, 2, if(ISBLANK('2025'!$P388), 0, 1), 3, if(ISBLANK('2025'!$Q388), 0, 1), 4, if(ISBLANK('2025'!$R388), 0, 1), 5, if(ISBLANK('2025'!$S388), 0, 1), 6, if(ISBLANK('2025'!$T388), 0, 1), 7, 0))), 1, "")</f>
        <v/>
      </c>
    </row>
    <row r="425">
      <c r="A425" s="1">
        <f t="shared" si="3"/>
        <v>425</v>
      </c>
      <c r="B425" s="1" t="str">
        <f>'2025'!D388</f>
        <v/>
      </c>
      <c r="C425" s="1" t="str">
        <f>'2025'!H388</f>
        <v/>
      </c>
      <c r="D425" s="1" t="str">
        <f>IF(AND(AND(AND(D$4&gt;='2025'!$L388,D$4&lt;='2025'!$M388), D$4&lt;&gt;DATE(2025,7,4)), (SWITCH(weekday(D$4), 1, 0, 2, if(ISBLANK('2025'!$P388), 0, 1), 3, if(ISBLANK('2025'!$Q388), 0, 1), 4, if(ISBLANK('2025'!$R388), 0, 1), 5, if(ISBLANK('2025'!$S388), 0, 1), 6, if(ISBLANK('2025'!$T388), 0, 1), 7, 0))), 1, "")</f>
        <v/>
      </c>
      <c r="E425" s="1" t="str">
        <f>IF(AND(AND(AND(E$4&gt;='2025'!$L388,E$4&lt;='2025'!$M388), E$4&lt;&gt;DATE(2025,7,4)), (SWITCH(weekday(E$4), 1, 0, 2, if(ISBLANK('2025'!$P388), 0, 1), 3, if(ISBLANK('2025'!$Q388), 0, 1), 4, if(ISBLANK('2025'!$R388), 0, 1), 5, if(ISBLANK('2025'!$S388), 0, 1), 6, if(ISBLANK('2025'!$T388), 0, 1), 7, 0))), 1, "")</f>
        <v/>
      </c>
      <c r="F425" s="1" t="str">
        <f>IF(AND(AND(AND(F$4&gt;='2025'!$L388,F$4&lt;='2025'!$M388), F$4&lt;&gt;DATE(2025,7,4)), (SWITCH(weekday(F$4), 1, 0, 2, if(ISBLANK('2025'!$P388), 0, 1), 3, if(ISBLANK('2025'!$Q388), 0, 1), 4, if(ISBLANK('2025'!$R388), 0, 1), 5, if(ISBLANK('2025'!$S388), 0, 1), 6, if(ISBLANK('2025'!$T388), 0, 1), 7, 0))), 1, "")</f>
        <v/>
      </c>
      <c r="G425" s="1" t="str">
        <f>IF(AND(AND(AND(G$4&gt;='2025'!$L388,G$4&lt;='2025'!$M388), G$4&lt;&gt;DATE(2025,7,4)), (SWITCH(weekday(G$4), 1, 0, 2, if(ISBLANK('2025'!$P388), 0, 1), 3, if(ISBLANK('2025'!$Q388), 0, 1), 4, if(ISBLANK('2025'!$R388), 0, 1), 5, if(ISBLANK('2025'!$S388), 0, 1), 6, if(ISBLANK('2025'!$T388), 0, 1), 7, 0))), 1, "")</f>
        <v/>
      </c>
      <c r="H425" s="1" t="str">
        <f>IF(AND(AND(AND(H$4&gt;='2025'!$L388,H$4&lt;='2025'!$M388), H$4&lt;&gt;DATE(2025,7,4)), (SWITCH(weekday(H$4), 1, 0, 2, if(ISBLANK('2025'!$P388), 0, 1), 3, if(ISBLANK('2025'!$Q388), 0, 1), 4, if(ISBLANK('2025'!$R388), 0, 1), 5, if(ISBLANK('2025'!$S388), 0, 1), 6, if(ISBLANK('2025'!$T388), 0, 1), 7, 0))), 1, "")</f>
        <v/>
      </c>
      <c r="I425" s="1" t="str">
        <f>IF(AND(AND(AND(I$4&gt;='2025'!$L388,I$4&lt;='2025'!$M388), I$4&lt;&gt;DATE(2025,7,4)), (SWITCH(weekday(I$4), 1, 0, 2, if(ISBLANK('2025'!$P388), 0, 1), 3, if(ISBLANK('2025'!$Q388), 0, 1), 4, if(ISBLANK('2025'!$R388), 0, 1), 5, if(ISBLANK('2025'!$S388), 0, 1), 6, if(ISBLANK('2025'!$T388), 0, 1), 7, 0))), 1, "")</f>
        <v/>
      </c>
      <c r="J425" s="1" t="str">
        <f>IF(AND(AND(AND(J$4&gt;='2025'!$L388,J$4&lt;='2025'!$M388), J$4&lt;&gt;DATE(2025,7,4)), (SWITCH(weekday(J$4), 1, 0, 2, if(ISBLANK('2025'!$P388), 0, 1), 3, if(ISBLANK('2025'!$Q388), 0, 1), 4, if(ISBLANK('2025'!$R388), 0, 1), 5, if(ISBLANK('2025'!$S388), 0, 1), 6, if(ISBLANK('2025'!$T388), 0, 1), 7, 0))), 1, "")</f>
        <v/>
      </c>
      <c r="K425" s="1" t="str">
        <f>IF(AND(AND(AND(K$4&gt;='2025'!$L388,K$4&lt;='2025'!$M388), K$4&lt;&gt;DATE(2025,7,4)), (SWITCH(weekday(K$4), 1, 0, 2, if(ISBLANK('2025'!$P388), 0, 1), 3, if(ISBLANK('2025'!$Q388), 0, 1), 4, if(ISBLANK('2025'!$R388), 0, 1), 5, if(ISBLANK('2025'!$S388), 0, 1), 6, if(ISBLANK('2025'!$T388), 0, 1), 7, 0))), 1, "")</f>
        <v/>
      </c>
      <c r="L425" s="1" t="str">
        <f>IF(AND(AND(AND(L$4&gt;='2025'!$L388,L$4&lt;='2025'!$M388), L$4&lt;&gt;DATE(2025,7,4)), (SWITCH(weekday(L$4), 1, 0, 2, if(ISBLANK('2025'!$P388), 0, 1), 3, if(ISBLANK('2025'!$Q388), 0, 1), 4, if(ISBLANK('2025'!$R388), 0, 1), 5, if(ISBLANK('2025'!$S388), 0, 1), 6, if(ISBLANK('2025'!$T388), 0, 1), 7, 0))), 1, "")</f>
        <v/>
      </c>
      <c r="M425" s="1" t="str">
        <f>IF(AND(AND(AND(M$4&gt;='2025'!$L388,M$4&lt;='2025'!$M388), M$4&lt;&gt;DATE(2025,7,4)), (SWITCH(weekday(M$4), 1, 0, 2, if(ISBLANK('2025'!$P388), 0, 1), 3, if(ISBLANK('2025'!$Q388), 0, 1), 4, if(ISBLANK('2025'!$R388), 0, 1), 5, if(ISBLANK('2025'!$S388), 0, 1), 6, if(ISBLANK('2025'!$T388), 0, 1), 7, 0))), 1, "")</f>
        <v/>
      </c>
      <c r="N425" s="1" t="str">
        <f>IF(AND(AND(AND(N$4&gt;='2025'!$L388,N$4&lt;='2025'!$M388), N$4&lt;&gt;DATE(2025,7,4)), (SWITCH(weekday(N$4), 1, 0, 2, if(ISBLANK('2025'!$P388), 0, 1), 3, if(ISBLANK('2025'!$Q388), 0, 1), 4, if(ISBLANK('2025'!$R388), 0, 1), 5, if(ISBLANK('2025'!$S388), 0, 1), 6, if(ISBLANK('2025'!$T388), 0, 1), 7, 0))), 1, "")</f>
        <v/>
      </c>
      <c r="O425" s="1" t="str">
        <f>IF(AND(AND(AND(O$4&gt;='2025'!$L388,O$4&lt;='2025'!$M388), O$4&lt;&gt;DATE(2025,7,4)), (SWITCH(weekday(O$4), 1, 0, 2, if(ISBLANK('2025'!$P388), 0, 1), 3, if(ISBLANK('2025'!$Q388), 0, 1), 4, if(ISBLANK('2025'!$R388), 0, 1), 5, if(ISBLANK('2025'!$S388), 0, 1), 6, if(ISBLANK('2025'!$T388), 0, 1), 7, 0))), 1, "")</f>
        <v/>
      </c>
      <c r="P425" s="1" t="str">
        <f>IF(AND(AND(AND(P$4&gt;='2025'!$L388,P$4&lt;='2025'!$M388), P$4&lt;&gt;DATE(2025,7,4)), (SWITCH(weekday(P$4), 1, 0, 2, if(ISBLANK('2025'!$P388), 0, 1), 3, if(ISBLANK('2025'!$Q388), 0, 1), 4, if(ISBLANK('2025'!$R388), 0, 1), 5, if(ISBLANK('2025'!$S388), 0, 1), 6, if(ISBLANK('2025'!$T388), 0, 1), 7, 0))), 1, "")</f>
        <v/>
      </c>
      <c r="Q425" s="1" t="str">
        <f>IF(AND(AND(AND(Q$4&gt;='2025'!$L388,Q$4&lt;='2025'!$M388), Q$4&lt;&gt;DATE(2025,7,4)), (SWITCH(weekday(Q$4), 1, 0, 2, if(ISBLANK('2025'!$P388), 0, 1), 3, if(ISBLANK('2025'!$Q388), 0, 1), 4, if(ISBLANK('2025'!$R388), 0, 1), 5, if(ISBLANK('2025'!$S388), 0, 1), 6, if(ISBLANK('2025'!$T388), 0, 1), 7, 0))), 1, "")</f>
        <v/>
      </c>
      <c r="R425" s="1" t="str">
        <f>IF(AND(AND(AND(R$4&gt;='2025'!$L388,R$4&lt;='2025'!$M388), R$4&lt;&gt;DATE(2025,7,4)), (SWITCH(weekday(R$4), 1, 0, 2, if(ISBLANK('2025'!$P388), 0, 1), 3, if(ISBLANK('2025'!$Q388), 0, 1), 4, if(ISBLANK('2025'!$R388), 0, 1), 5, if(ISBLANK('2025'!$S388), 0, 1), 6, if(ISBLANK('2025'!$T388), 0, 1), 7, 0))), 1, "")</f>
        <v/>
      </c>
      <c r="S425" s="1" t="str">
        <f>IF(AND(AND(AND(S$4&gt;='2025'!$L388,S$4&lt;='2025'!$M388), S$4&lt;&gt;DATE(2025,7,4)), (SWITCH(weekday(S$4), 1, 0, 2, if(ISBLANK('2025'!$P388), 0, 1), 3, if(ISBLANK('2025'!$Q388), 0, 1), 4, if(ISBLANK('2025'!$R388), 0, 1), 5, if(ISBLANK('2025'!$S388), 0, 1), 6, if(ISBLANK('2025'!$T388), 0, 1), 7, 0))), 1, "")</f>
        <v/>
      </c>
      <c r="T425" s="1" t="str">
        <f>IF(AND(AND(AND(T$4&gt;='2025'!$L388,T$4&lt;='2025'!$M388), T$4&lt;&gt;DATE(2025,7,4)), (SWITCH(weekday(T$4), 1, 0, 2, if(ISBLANK('2025'!$P388), 0, 1), 3, if(ISBLANK('2025'!$Q388), 0, 1), 4, if(ISBLANK('2025'!$R388), 0, 1), 5, if(ISBLANK('2025'!$S388), 0, 1), 6, if(ISBLANK('2025'!$T388), 0, 1), 7, 0))), 1, "")</f>
        <v/>
      </c>
      <c r="U425" s="1" t="str">
        <f>IF(AND(AND(AND(U$4&gt;='2025'!$L388,U$4&lt;='2025'!$M388), U$4&lt;&gt;DATE(2025,7,4)), (SWITCH(weekday(U$4), 1, 0, 2, if(ISBLANK('2025'!$P388), 0, 1), 3, if(ISBLANK('2025'!$Q388), 0, 1), 4, if(ISBLANK('2025'!$R388), 0, 1), 5, if(ISBLANK('2025'!$S388), 0, 1), 6, if(ISBLANK('2025'!$T388), 0, 1), 7, 0))), 1, "")</f>
        <v/>
      </c>
      <c r="V425" s="1" t="str">
        <f>IF(AND(AND(AND(V$4&gt;='2025'!$L388,V$4&lt;='2025'!$M388), V$4&lt;&gt;DATE(2025,7,4)), (SWITCH(weekday(V$4), 1, 0, 2, if(ISBLANK('2025'!$P388), 0, 1), 3, if(ISBLANK('2025'!$Q388), 0, 1), 4, if(ISBLANK('2025'!$R388), 0, 1), 5, if(ISBLANK('2025'!$S388), 0, 1), 6, if(ISBLANK('2025'!$T388), 0, 1), 7, 0))), 1, "")</f>
        <v/>
      </c>
      <c r="W425" s="1" t="str">
        <f>IF(AND(AND(AND(W$4&gt;='2025'!$L388,W$4&lt;='2025'!$M388), W$4&lt;&gt;DATE(2025,7,4)), (SWITCH(weekday(W$4), 1, 0, 2, if(ISBLANK('2025'!$P388), 0, 1), 3, if(ISBLANK('2025'!$Q388), 0, 1), 4, if(ISBLANK('2025'!$R388), 0, 1), 5, if(ISBLANK('2025'!$S388), 0, 1), 6, if(ISBLANK('2025'!$T388), 0, 1), 7, 0))), 1, "")</f>
        <v/>
      </c>
      <c r="X425" s="1" t="str">
        <f>IF(AND(AND(AND(X$4&gt;='2025'!$L388,X$4&lt;='2025'!$M388), X$4&lt;&gt;DATE(2025,7,4)), (SWITCH(weekday(X$4), 1, 0, 2, if(ISBLANK('2025'!$P388), 0, 1), 3, if(ISBLANK('2025'!$Q388), 0, 1), 4, if(ISBLANK('2025'!$R388), 0, 1), 5, if(ISBLANK('2025'!$S388), 0, 1), 6, if(ISBLANK('2025'!$T388), 0, 1), 7, 0))), 1, "")</f>
        <v/>
      </c>
      <c r="Y425" s="1" t="str">
        <f>IF(AND(AND(AND(Y$4&gt;='2025'!$L388,Y$4&lt;='2025'!$M388), Y$4&lt;&gt;DATE(2025,7,4)), (SWITCH(weekday(Y$4), 1, 0, 2, if(ISBLANK('2025'!$P388), 0, 1), 3, if(ISBLANK('2025'!$Q388), 0, 1), 4, if(ISBLANK('2025'!$R388), 0, 1), 5, if(ISBLANK('2025'!$S388), 0, 1), 6, if(ISBLANK('2025'!$T388), 0, 1), 7, 0))), 1, "")</f>
        <v/>
      </c>
      <c r="Z425" s="1" t="str">
        <f>IF(AND(AND(AND(Z$4&gt;='2025'!$L388,Z$4&lt;='2025'!$M388), Z$4&lt;&gt;DATE(2025,7,4)), (SWITCH(weekday(Z$4), 1, 0, 2, if(ISBLANK('2025'!$P388), 0, 1), 3, if(ISBLANK('2025'!$Q388), 0, 1), 4, if(ISBLANK('2025'!$R388), 0, 1), 5, if(ISBLANK('2025'!$S388), 0, 1), 6, if(ISBLANK('2025'!$T388), 0, 1), 7, 0))), 1, "")</f>
        <v/>
      </c>
      <c r="AA425" s="1" t="str">
        <f>IF(AND(AND(AND(AA$4&gt;='2025'!$L388,AA$4&lt;='2025'!$M388), AA$4&lt;&gt;DATE(2025,7,4)), (SWITCH(weekday(AA$4), 1, 0, 2, if(ISBLANK('2025'!$P388), 0, 1), 3, if(ISBLANK('2025'!$Q388), 0, 1), 4, if(ISBLANK('2025'!$R388), 0, 1), 5, if(ISBLANK('2025'!$S388), 0, 1), 6, if(ISBLANK('2025'!$T388), 0, 1), 7, 0))), 1, "")</f>
        <v/>
      </c>
      <c r="AB425" s="1" t="str">
        <f>IF(AND(AND(AND(AB$4&gt;='2025'!$L388,AB$4&lt;='2025'!$M388), AB$4&lt;&gt;DATE(2025,7,4)), (SWITCH(weekday(AB$4), 1, 0, 2, if(ISBLANK('2025'!$P388), 0, 1), 3, if(ISBLANK('2025'!$Q388), 0, 1), 4, if(ISBLANK('2025'!$R388), 0, 1), 5, if(ISBLANK('2025'!$S388), 0, 1), 6, if(ISBLANK('2025'!$T388), 0, 1), 7, 0))), 1, "")</f>
        <v/>
      </c>
      <c r="AC425" s="1" t="str">
        <f>IF(AND(AND(AND(AC$4&gt;='2025'!$L388,AC$4&lt;='2025'!$M388), AC$4&lt;&gt;DATE(2025,7,4)), (SWITCH(weekday(AC$4), 1, 0, 2, if(ISBLANK('2025'!$P388), 0, 1), 3, if(ISBLANK('2025'!$Q388), 0, 1), 4, if(ISBLANK('2025'!$R388), 0, 1), 5, if(ISBLANK('2025'!$S388), 0, 1), 6, if(ISBLANK('2025'!$T388), 0, 1), 7, 0))), 1, "")</f>
        <v/>
      </c>
      <c r="AD425" s="1" t="str">
        <f>IF(AND(AND(AND(AD$4&gt;='2025'!$L388,AD$4&lt;='2025'!$M388), AD$4&lt;&gt;DATE(2025,7,4)), (SWITCH(weekday(AD$4), 1, 0, 2, if(ISBLANK('2025'!$P388), 0, 1), 3, if(ISBLANK('2025'!$Q388), 0, 1), 4, if(ISBLANK('2025'!$R388), 0, 1), 5, if(ISBLANK('2025'!$S388), 0, 1), 6, if(ISBLANK('2025'!$T388), 0, 1), 7, 0))), 1, "")</f>
        <v/>
      </c>
      <c r="AE425" s="1" t="str">
        <f>IF(AND(AND(AND(AE$4&gt;='2025'!$L388,AE$4&lt;='2025'!$M388), AE$4&lt;&gt;DATE(2025,7,4)), (SWITCH(weekday(AE$4), 1, 0, 2, if(ISBLANK('2025'!$P388), 0, 1), 3, if(ISBLANK('2025'!$Q388), 0, 1), 4, if(ISBLANK('2025'!$R388), 0, 1), 5, if(ISBLANK('2025'!$S388), 0, 1), 6, if(ISBLANK('2025'!$T388), 0, 1), 7, 0))), 1, "")</f>
        <v/>
      </c>
      <c r="AF425" s="1" t="str">
        <f>IF(AND(AND(AND(AF$4&gt;='2025'!$L388,AF$4&lt;='2025'!$M388), AF$4&lt;&gt;DATE(2025,7,4)), (SWITCH(weekday(AF$4), 1, 0, 2, if(ISBLANK('2025'!$P388), 0, 1), 3, if(ISBLANK('2025'!$Q388), 0, 1), 4, if(ISBLANK('2025'!$R388), 0, 1), 5, if(ISBLANK('2025'!$S388), 0, 1), 6, if(ISBLANK('2025'!$T388), 0, 1), 7, 0))), 1, "")</f>
        <v/>
      </c>
      <c r="AG425" s="1" t="str">
        <f>IF(AND(AND(AND(AG$4&gt;='2025'!$L388,AG$4&lt;='2025'!$M388), AG$4&lt;&gt;DATE(2025,7,4)), (SWITCH(weekday(AG$4), 1, 0, 2, if(ISBLANK('2025'!$P388), 0, 1), 3, if(ISBLANK('2025'!$Q388), 0, 1), 4, if(ISBLANK('2025'!$R388), 0, 1), 5, if(ISBLANK('2025'!$S388), 0, 1), 6, if(ISBLANK('2025'!$T388), 0, 1), 7, 0))), 1, "")</f>
        <v/>
      </c>
      <c r="AH425" s="1" t="str">
        <f>IF(AND(AND(AND(AH$4&gt;='2025'!$L388,AH$4&lt;='2025'!$M388), AH$4&lt;&gt;DATE(2025,7,4)), (SWITCH(weekday(AH$4), 1, 0, 2, if(ISBLANK('2025'!$P388), 0, 1), 3, if(ISBLANK('2025'!$Q388), 0, 1), 4, if(ISBLANK('2025'!$R388), 0, 1), 5, if(ISBLANK('2025'!$S388), 0, 1), 6, if(ISBLANK('2025'!$T388), 0, 1), 7, 0))), 1, "")</f>
        <v/>
      </c>
      <c r="AI425" s="1" t="str">
        <f>IF(AND(AND(AND(AI$4&gt;='2025'!$L388,AI$4&lt;='2025'!$M388), AI$4&lt;&gt;DATE(2025,7,4)), (SWITCH(weekday(AI$4), 1, 0, 2, if(ISBLANK('2025'!$P388), 0, 1), 3, if(ISBLANK('2025'!$Q388), 0, 1), 4, if(ISBLANK('2025'!$R388), 0, 1), 5, if(ISBLANK('2025'!$S388), 0, 1), 6, if(ISBLANK('2025'!$T388), 0, 1), 7, 0))), 1, "")</f>
        <v/>
      </c>
      <c r="AJ425" s="1" t="str">
        <f>IF(AND(AND(AND(AJ$4&gt;='2025'!$L388,AJ$4&lt;='2025'!$M388), AJ$4&lt;&gt;DATE(2025,7,4)), (SWITCH(weekday(AJ$4), 1, 0, 2, if(ISBLANK('2025'!$P388), 0, 1), 3, if(ISBLANK('2025'!$Q388), 0, 1), 4, if(ISBLANK('2025'!$R388), 0, 1), 5, if(ISBLANK('2025'!$S388), 0, 1), 6, if(ISBLANK('2025'!$T388), 0, 1), 7, 0))), 1, "")</f>
        <v/>
      </c>
      <c r="AK425" s="1" t="str">
        <f>IF(AND(AND(AND(AK$4&gt;='2025'!$L388,AK$4&lt;='2025'!$M388), AK$4&lt;&gt;DATE(2025,7,4)), (SWITCH(weekday(AK$4), 1, 0, 2, if(ISBLANK('2025'!$P388), 0, 1), 3, if(ISBLANK('2025'!$Q388), 0, 1), 4, if(ISBLANK('2025'!$R388), 0, 1), 5, if(ISBLANK('2025'!$S388), 0, 1), 6, if(ISBLANK('2025'!$T388), 0, 1), 7, 0))), 1, "")</f>
        <v/>
      </c>
      <c r="AL425" s="1" t="str">
        <f>IF(AND(AND(AND(AL$4&gt;='2025'!$L388,AL$4&lt;='2025'!$M388), AL$4&lt;&gt;DATE(2025,7,4)), (SWITCH(weekday(AL$4), 1, 0, 2, if(ISBLANK('2025'!$P388), 0, 1), 3, if(ISBLANK('2025'!$Q388), 0, 1), 4, if(ISBLANK('2025'!$R388), 0, 1), 5, if(ISBLANK('2025'!$S388), 0, 1), 6, if(ISBLANK('2025'!$T388), 0, 1), 7, 0))), 1, "")</f>
        <v/>
      </c>
      <c r="AM425" s="1" t="str">
        <f>IF(AND(AND(AND(AM$4&gt;='2025'!$L388,AM$4&lt;='2025'!$M388), AM$4&lt;&gt;DATE(2025,7,4)), (SWITCH(weekday(AM$4), 1, 0, 2, if(ISBLANK('2025'!$P388), 0, 1), 3, if(ISBLANK('2025'!$Q388), 0, 1), 4, if(ISBLANK('2025'!$R388), 0, 1), 5, if(ISBLANK('2025'!$S388), 0, 1), 6, if(ISBLANK('2025'!$T388), 0, 1), 7, 0))), 1, "")</f>
        <v/>
      </c>
      <c r="AN425" s="1" t="str">
        <f>IF(AND(AND(AND(AN$4&gt;='2025'!$L388,AN$4&lt;='2025'!$M388), AN$4&lt;&gt;DATE(2025,7,4)), (SWITCH(weekday(AN$4), 1, 0, 2, if(ISBLANK('2025'!$P388), 0, 1), 3, if(ISBLANK('2025'!$Q388), 0, 1), 4, if(ISBLANK('2025'!$R388), 0, 1), 5, if(ISBLANK('2025'!$S388), 0, 1), 6, if(ISBLANK('2025'!$T388), 0, 1), 7, 0))), 1, "")</f>
        <v/>
      </c>
      <c r="AO425" s="1" t="str">
        <f>IF(AND(AND(AND(AO$4&gt;='2025'!$L388,AO$4&lt;='2025'!$M388), AO$4&lt;&gt;DATE(2025,7,4)), (SWITCH(weekday(AO$4), 1, 0, 2, if(ISBLANK('2025'!$P388), 0, 1), 3, if(ISBLANK('2025'!$Q388), 0, 1), 4, if(ISBLANK('2025'!$R388), 0, 1), 5, if(ISBLANK('2025'!$S388), 0, 1), 6, if(ISBLANK('2025'!$T388), 0, 1), 7, 0))), 1, "")</f>
        <v/>
      </c>
      <c r="AP425" s="1" t="str">
        <f>IF(AND(AND(AND(AP$4&gt;='2025'!$L388,AP$4&lt;='2025'!$M388), AP$4&lt;&gt;DATE(2025,7,4)), (SWITCH(weekday(AP$4), 1, 0, 2, if(ISBLANK('2025'!$P388), 0, 1), 3, if(ISBLANK('2025'!$Q388), 0, 1), 4, if(ISBLANK('2025'!$R388), 0, 1), 5, if(ISBLANK('2025'!$S388), 0, 1), 6, if(ISBLANK('2025'!$T388), 0, 1), 7, 0))), 1, "")</f>
        <v/>
      </c>
      <c r="AQ425" s="1" t="str">
        <f>IF(AND(AND(AND(AQ$4&gt;='2025'!$L388,AQ$4&lt;='2025'!$M388), AQ$4&lt;&gt;DATE(2025,7,4)), (SWITCH(weekday(AQ$4), 1, 0, 2, if(ISBLANK('2025'!$P388), 0, 1), 3, if(ISBLANK('2025'!$Q388), 0, 1), 4, if(ISBLANK('2025'!$R388), 0, 1), 5, if(ISBLANK('2025'!$S388), 0, 1), 6, if(ISBLANK('2025'!$T388), 0, 1), 7, 0))), 1, "")</f>
        <v/>
      </c>
      <c r="AR425" s="1" t="str">
        <f>IF(AND(AND(AND(AR$4&gt;='2025'!$L388,AR$4&lt;='2025'!$M388), AR$4&lt;&gt;DATE(2025,7,4)), (SWITCH(weekday(AR$4), 1, 0, 2, if(ISBLANK('2025'!$P388), 0, 1), 3, if(ISBLANK('2025'!$Q388), 0, 1), 4, if(ISBLANK('2025'!$R388), 0, 1), 5, if(ISBLANK('2025'!$S388), 0, 1), 6, if(ISBLANK('2025'!$T388), 0, 1), 7, 0))), 1, "")</f>
        <v/>
      </c>
      <c r="AS425" s="1" t="str">
        <f>IF(AND(AND(AND(AS$4&gt;='2025'!$L388,AS$4&lt;='2025'!$M388), AS$4&lt;&gt;DATE(2025,7,4)), (SWITCH(weekday(AS$4), 1, 0, 2, if(ISBLANK('2025'!$P388), 0, 1), 3, if(ISBLANK('2025'!$Q388), 0, 1), 4, if(ISBLANK('2025'!$R388), 0, 1), 5, if(ISBLANK('2025'!$S388), 0, 1), 6, if(ISBLANK('2025'!$T388), 0, 1), 7, 0))), 1, "")</f>
        <v/>
      </c>
      <c r="AT425" s="1" t="str">
        <f>IF(AND(AND(AND(AT$4&gt;='2025'!$L388,AT$4&lt;='2025'!$M388), AT$4&lt;&gt;DATE(2025,7,4)), (SWITCH(weekday(AT$4), 1, 0, 2, if(ISBLANK('2025'!$P388), 0, 1), 3, if(ISBLANK('2025'!$Q388), 0, 1), 4, if(ISBLANK('2025'!$R388), 0, 1), 5, if(ISBLANK('2025'!$S388), 0, 1), 6, if(ISBLANK('2025'!$T388), 0, 1), 7, 0))), 1, "")</f>
        <v/>
      </c>
      <c r="AU425" s="1" t="str">
        <f>IF(AND(AND(AND(AU$4&gt;='2025'!$L388,AU$4&lt;='2025'!$M388), AU$4&lt;&gt;DATE(2025,7,4)), (SWITCH(weekday(AU$4), 1, 0, 2, if(ISBLANK('2025'!$P388), 0, 1), 3, if(ISBLANK('2025'!$Q388), 0, 1), 4, if(ISBLANK('2025'!$R388), 0, 1), 5, if(ISBLANK('2025'!$S388), 0, 1), 6, if(ISBLANK('2025'!$T388), 0, 1), 7, 0))), 1, "")</f>
        <v/>
      </c>
      <c r="AV425" s="1" t="str">
        <f>IF(AND(AND(AND(AV$4&gt;='2025'!$L388,AV$4&lt;='2025'!$M388), AV$4&lt;&gt;DATE(2025,7,4)), (SWITCH(weekday(AV$4), 1, 0, 2, if(ISBLANK('2025'!$P388), 0, 1), 3, if(ISBLANK('2025'!$Q388), 0, 1), 4, if(ISBLANK('2025'!$R388), 0, 1), 5, if(ISBLANK('2025'!$S388), 0, 1), 6, if(ISBLANK('2025'!$T388), 0, 1), 7, 0))), 1, "")</f>
        <v/>
      </c>
      <c r="AW425" s="1" t="str">
        <f>IF(AND(AND(AND(AW$4&gt;='2025'!$L388,AW$4&lt;='2025'!$M388), AW$4&lt;&gt;DATE(2025,7,4)), (SWITCH(weekday(AW$4), 1, 0, 2, if(ISBLANK('2025'!$P388), 0, 1), 3, if(ISBLANK('2025'!$Q388), 0, 1), 4, if(ISBLANK('2025'!$R388), 0, 1), 5, if(ISBLANK('2025'!$S388), 0, 1), 6, if(ISBLANK('2025'!$T388), 0, 1), 7, 0))), 1, "")</f>
        <v/>
      </c>
      <c r="AX425" s="1" t="str">
        <f>IF(AND(AND(AND(AX$4&gt;='2025'!$L388,AX$4&lt;='2025'!$M388), AX$4&lt;&gt;DATE(2025,7,4)), (SWITCH(weekday(AX$4), 1, 0, 2, if(ISBLANK('2025'!$P388), 0, 1), 3, if(ISBLANK('2025'!$Q388), 0, 1), 4, if(ISBLANK('2025'!$R388), 0, 1), 5, if(ISBLANK('2025'!$S388), 0, 1), 6, if(ISBLANK('2025'!$T388), 0, 1), 7, 0))), 1, "")</f>
        <v/>
      </c>
      <c r="AY425" s="1" t="str">
        <f>IF(AND(AND(AND(AY$4&gt;='2025'!$L388,AY$4&lt;='2025'!$M388), AY$4&lt;&gt;DATE(2025,7,4)), (SWITCH(weekday(AY$4), 1, 0, 2, if(ISBLANK('2025'!$P388), 0, 1), 3, if(ISBLANK('2025'!$Q388), 0, 1), 4, if(ISBLANK('2025'!$R388), 0, 1), 5, if(ISBLANK('2025'!$S388), 0, 1), 6, if(ISBLANK('2025'!$T388), 0, 1), 7, 0))), 1, "")</f>
        <v/>
      </c>
      <c r="AZ425" s="1" t="str">
        <f>IF(AND(AND(AND(AZ$4&gt;='2025'!$L388,AZ$4&lt;='2025'!$M388), AZ$4&lt;&gt;DATE(2025,7,4)), (SWITCH(weekday(AZ$4), 1, 0, 2, if(ISBLANK('2025'!$P388), 0, 1), 3, if(ISBLANK('2025'!$Q388), 0, 1), 4, if(ISBLANK('2025'!$R388), 0, 1), 5, if(ISBLANK('2025'!$S388), 0, 1), 6, if(ISBLANK('2025'!$T388), 0, 1), 7, 0))), 1, "")</f>
        <v/>
      </c>
      <c r="BA425" s="1" t="str">
        <f>IF(AND(AND(AND(BA$4&gt;='2025'!$L388,BA$4&lt;='2025'!$M388), BA$4&lt;&gt;DATE(2025,7,4)), (SWITCH(weekday(BA$4), 1, 0, 2, if(ISBLANK('2025'!$P388), 0, 1), 3, if(ISBLANK('2025'!$Q388), 0, 1), 4, if(ISBLANK('2025'!$R388), 0, 1), 5, if(ISBLANK('2025'!$S388), 0, 1), 6, if(ISBLANK('2025'!$T388), 0, 1), 7, 0))), 1, "")</f>
        <v/>
      </c>
      <c r="BB425" s="1" t="str">
        <f>IF(AND(AND(AND(BB$4&gt;='2025'!$L388,BB$4&lt;='2025'!$M388), BB$4&lt;&gt;DATE(2025,7,4)), (SWITCH(weekday(BB$4), 1, 0, 2, if(ISBLANK('2025'!$P388), 0, 1), 3, if(ISBLANK('2025'!$Q388), 0, 1), 4, if(ISBLANK('2025'!$R388), 0, 1), 5, if(ISBLANK('2025'!$S388), 0, 1), 6, if(ISBLANK('2025'!$T388), 0, 1), 7, 0))), 1, "")</f>
        <v/>
      </c>
      <c r="BC425" s="1" t="str">
        <f>IF(AND(AND(AND(BC$4&gt;='2025'!$L388,BC$4&lt;='2025'!$M388), BC$4&lt;&gt;DATE(2025,7,4)), (SWITCH(weekday(BC$4), 1, 0, 2, if(ISBLANK('2025'!$P388), 0, 1), 3, if(ISBLANK('2025'!$Q388), 0, 1), 4, if(ISBLANK('2025'!$R388), 0, 1), 5, if(ISBLANK('2025'!$S388), 0, 1), 6, if(ISBLANK('2025'!$T388), 0, 1), 7, 0))), 1, "")</f>
        <v/>
      </c>
      <c r="BD425" s="1" t="str">
        <f>IF(AND(AND(AND(BD$4&gt;='2025'!$L388,BD$4&lt;='2025'!$M388), BD$4&lt;&gt;DATE(2025,7,4)), (SWITCH(weekday(BD$4), 1, 0, 2, if(ISBLANK('2025'!$P388), 0, 1), 3, if(ISBLANK('2025'!$Q388), 0, 1), 4, if(ISBLANK('2025'!$R388), 0, 1), 5, if(ISBLANK('2025'!$S388), 0, 1), 6, if(ISBLANK('2025'!$T388), 0, 1), 7, 0))), 1, "")</f>
        <v/>
      </c>
      <c r="BE425" s="1" t="str">
        <f>IF(AND(AND(AND(BE$4&gt;='2025'!$L388,BE$4&lt;='2025'!$M388), BE$4&lt;&gt;DATE(2025,7,4)), (SWITCH(weekday(BE$4), 1, 0, 2, if(ISBLANK('2025'!$P388), 0, 1), 3, if(ISBLANK('2025'!$Q388), 0, 1), 4, if(ISBLANK('2025'!$R388), 0, 1), 5, if(ISBLANK('2025'!$S388), 0, 1), 6, if(ISBLANK('2025'!$T388), 0, 1), 7, 0))), 1, "")</f>
        <v/>
      </c>
    </row>
    <row r="426">
      <c r="A426" s="1">
        <f t="shared" si="3"/>
        <v>426</v>
      </c>
      <c r="B426" s="1" t="str">
        <f>'2025'!D389</f>
        <v/>
      </c>
      <c r="C426" s="1" t="str">
        <f>'2025'!H389</f>
        <v/>
      </c>
      <c r="D426" s="1" t="str">
        <f>IF(AND(AND(AND(D$4&gt;='2025'!$L389,D$4&lt;='2025'!$M389), D$4&lt;&gt;DATE(2025,7,4)), (SWITCH(weekday(D$4), 1, 0, 2, if(ISBLANK('2025'!$P389), 0, 1), 3, if(ISBLANK('2025'!$Q389), 0, 1), 4, if(ISBLANK('2025'!$R389), 0, 1), 5, if(ISBLANK('2025'!$S389), 0, 1), 6, if(ISBLANK('2025'!$T389), 0, 1), 7, 0))), 1, "")</f>
        <v/>
      </c>
      <c r="E426" s="1" t="str">
        <f>IF(AND(AND(AND(E$4&gt;='2025'!$L389,E$4&lt;='2025'!$M389), E$4&lt;&gt;DATE(2025,7,4)), (SWITCH(weekday(E$4), 1, 0, 2, if(ISBLANK('2025'!$P389), 0, 1), 3, if(ISBLANK('2025'!$Q389), 0, 1), 4, if(ISBLANK('2025'!$R389), 0, 1), 5, if(ISBLANK('2025'!$S389), 0, 1), 6, if(ISBLANK('2025'!$T389), 0, 1), 7, 0))), 1, "")</f>
        <v/>
      </c>
      <c r="F426" s="1" t="str">
        <f>IF(AND(AND(AND(F$4&gt;='2025'!$L389,F$4&lt;='2025'!$M389), F$4&lt;&gt;DATE(2025,7,4)), (SWITCH(weekday(F$4), 1, 0, 2, if(ISBLANK('2025'!$P389), 0, 1), 3, if(ISBLANK('2025'!$Q389), 0, 1), 4, if(ISBLANK('2025'!$R389), 0, 1), 5, if(ISBLANK('2025'!$S389), 0, 1), 6, if(ISBLANK('2025'!$T389), 0, 1), 7, 0))), 1, "")</f>
        <v/>
      </c>
      <c r="G426" s="1" t="str">
        <f>IF(AND(AND(AND(G$4&gt;='2025'!$L389,G$4&lt;='2025'!$M389), G$4&lt;&gt;DATE(2025,7,4)), (SWITCH(weekday(G$4), 1, 0, 2, if(ISBLANK('2025'!$P389), 0, 1), 3, if(ISBLANK('2025'!$Q389), 0, 1), 4, if(ISBLANK('2025'!$R389), 0, 1), 5, if(ISBLANK('2025'!$S389), 0, 1), 6, if(ISBLANK('2025'!$T389), 0, 1), 7, 0))), 1, "")</f>
        <v/>
      </c>
      <c r="H426" s="1" t="str">
        <f>IF(AND(AND(AND(H$4&gt;='2025'!$L389,H$4&lt;='2025'!$M389), H$4&lt;&gt;DATE(2025,7,4)), (SWITCH(weekday(H$4), 1, 0, 2, if(ISBLANK('2025'!$P389), 0, 1), 3, if(ISBLANK('2025'!$Q389), 0, 1), 4, if(ISBLANK('2025'!$R389), 0, 1), 5, if(ISBLANK('2025'!$S389), 0, 1), 6, if(ISBLANK('2025'!$T389), 0, 1), 7, 0))), 1, "")</f>
        <v/>
      </c>
      <c r="I426" s="1" t="str">
        <f>IF(AND(AND(AND(I$4&gt;='2025'!$L389,I$4&lt;='2025'!$M389), I$4&lt;&gt;DATE(2025,7,4)), (SWITCH(weekday(I$4), 1, 0, 2, if(ISBLANK('2025'!$P389), 0, 1), 3, if(ISBLANK('2025'!$Q389), 0, 1), 4, if(ISBLANK('2025'!$R389), 0, 1), 5, if(ISBLANK('2025'!$S389), 0, 1), 6, if(ISBLANK('2025'!$T389), 0, 1), 7, 0))), 1, "")</f>
        <v/>
      </c>
      <c r="J426" s="1" t="str">
        <f>IF(AND(AND(AND(J$4&gt;='2025'!$L389,J$4&lt;='2025'!$M389), J$4&lt;&gt;DATE(2025,7,4)), (SWITCH(weekday(J$4), 1, 0, 2, if(ISBLANK('2025'!$P389), 0, 1), 3, if(ISBLANK('2025'!$Q389), 0, 1), 4, if(ISBLANK('2025'!$R389), 0, 1), 5, if(ISBLANK('2025'!$S389), 0, 1), 6, if(ISBLANK('2025'!$T389), 0, 1), 7, 0))), 1, "")</f>
        <v/>
      </c>
      <c r="K426" s="1" t="str">
        <f>IF(AND(AND(AND(K$4&gt;='2025'!$L389,K$4&lt;='2025'!$M389), K$4&lt;&gt;DATE(2025,7,4)), (SWITCH(weekday(K$4), 1, 0, 2, if(ISBLANK('2025'!$P389), 0, 1), 3, if(ISBLANK('2025'!$Q389), 0, 1), 4, if(ISBLANK('2025'!$R389), 0, 1), 5, if(ISBLANK('2025'!$S389), 0, 1), 6, if(ISBLANK('2025'!$T389), 0, 1), 7, 0))), 1, "")</f>
        <v/>
      </c>
      <c r="L426" s="1" t="str">
        <f>IF(AND(AND(AND(L$4&gt;='2025'!$L389,L$4&lt;='2025'!$M389), L$4&lt;&gt;DATE(2025,7,4)), (SWITCH(weekday(L$4), 1, 0, 2, if(ISBLANK('2025'!$P389), 0, 1), 3, if(ISBLANK('2025'!$Q389), 0, 1), 4, if(ISBLANK('2025'!$R389), 0, 1), 5, if(ISBLANK('2025'!$S389), 0, 1), 6, if(ISBLANK('2025'!$T389), 0, 1), 7, 0))), 1, "")</f>
        <v/>
      </c>
      <c r="M426" s="1" t="str">
        <f>IF(AND(AND(AND(M$4&gt;='2025'!$L389,M$4&lt;='2025'!$M389), M$4&lt;&gt;DATE(2025,7,4)), (SWITCH(weekday(M$4), 1, 0, 2, if(ISBLANK('2025'!$P389), 0, 1), 3, if(ISBLANK('2025'!$Q389), 0, 1), 4, if(ISBLANK('2025'!$R389), 0, 1), 5, if(ISBLANK('2025'!$S389), 0, 1), 6, if(ISBLANK('2025'!$T389), 0, 1), 7, 0))), 1, "")</f>
        <v/>
      </c>
      <c r="N426" s="1" t="str">
        <f>IF(AND(AND(AND(N$4&gt;='2025'!$L389,N$4&lt;='2025'!$M389), N$4&lt;&gt;DATE(2025,7,4)), (SWITCH(weekday(N$4), 1, 0, 2, if(ISBLANK('2025'!$P389), 0, 1), 3, if(ISBLANK('2025'!$Q389), 0, 1), 4, if(ISBLANK('2025'!$R389), 0, 1), 5, if(ISBLANK('2025'!$S389), 0, 1), 6, if(ISBLANK('2025'!$T389), 0, 1), 7, 0))), 1, "")</f>
        <v/>
      </c>
      <c r="O426" s="1" t="str">
        <f>IF(AND(AND(AND(O$4&gt;='2025'!$L389,O$4&lt;='2025'!$M389), O$4&lt;&gt;DATE(2025,7,4)), (SWITCH(weekday(O$4), 1, 0, 2, if(ISBLANK('2025'!$P389), 0, 1), 3, if(ISBLANK('2025'!$Q389), 0, 1), 4, if(ISBLANK('2025'!$R389), 0, 1), 5, if(ISBLANK('2025'!$S389), 0, 1), 6, if(ISBLANK('2025'!$T389), 0, 1), 7, 0))), 1, "")</f>
        <v/>
      </c>
      <c r="P426" s="1" t="str">
        <f>IF(AND(AND(AND(P$4&gt;='2025'!$L389,P$4&lt;='2025'!$M389), P$4&lt;&gt;DATE(2025,7,4)), (SWITCH(weekday(P$4), 1, 0, 2, if(ISBLANK('2025'!$P389), 0, 1), 3, if(ISBLANK('2025'!$Q389), 0, 1), 4, if(ISBLANK('2025'!$R389), 0, 1), 5, if(ISBLANK('2025'!$S389), 0, 1), 6, if(ISBLANK('2025'!$T389), 0, 1), 7, 0))), 1, "")</f>
        <v/>
      </c>
      <c r="Q426" s="1" t="str">
        <f>IF(AND(AND(AND(Q$4&gt;='2025'!$L389,Q$4&lt;='2025'!$M389), Q$4&lt;&gt;DATE(2025,7,4)), (SWITCH(weekday(Q$4), 1, 0, 2, if(ISBLANK('2025'!$P389), 0, 1), 3, if(ISBLANK('2025'!$Q389), 0, 1), 4, if(ISBLANK('2025'!$R389), 0, 1), 5, if(ISBLANK('2025'!$S389), 0, 1), 6, if(ISBLANK('2025'!$T389), 0, 1), 7, 0))), 1, "")</f>
        <v/>
      </c>
      <c r="R426" s="1" t="str">
        <f>IF(AND(AND(AND(R$4&gt;='2025'!$L389,R$4&lt;='2025'!$M389), R$4&lt;&gt;DATE(2025,7,4)), (SWITCH(weekday(R$4), 1, 0, 2, if(ISBLANK('2025'!$P389), 0, 1), 3, if(ISBLANK('2025'!$Q389), 0, 1), 4, if(ISBLANK('2025'!$R389), 0, 1), 5, if(ISBLANK('2025'!$S389), 0, 1), 6, if(ISBLANK('2025'!$T389), 0, 1), 7, 0))), 1, "")</f>
        <v/>
      </c>
      <c r="S426" s="1" t="str">
        <f>IF(AND(AND(AND(S$4&gt;='2025'!$L389,S$4&lt;='2025'!$M389), S$4&lt;&gt;DATE(2025,7,4)), (SWITCH(weekday(S$4), 1, 0, 2, if(ISBLANK('2025'!$P389), 0, 1), 3, if(ISBLANK('2025'!$Q389), 0, 1), 4, if(ISBLANK('2025'!$R389), 0, 1), 5, if(ISBLANK('2025'!$S389), 0, 1), 6, if(ISBLANK('2025'!$T389), 0, 1), 7, 0))), 1, "")</f>
        <v/>
      </c>
      <c r="T426" s="1" t="str">
        <f>IF(AND(AND(AND(T$4&gt;='2025'!$L389,T$4&lt;='2025'!$M389), T$4&lt;&gt;DATE(2025,7,4)), (SWITCH(weekday(T$4), 1, 0, 2, if(ISBLANK('2025'!$P389), 0, 1), 3, if(ISBLANK('2025'!$Q389), 0, 1), 4, if(ISBLANK('2025'!$R389), 0, 1), 5, if(ISBLANK('2025'!$S389), 0, 1), 6, if(ISBLANK('2025'!$T389), 0, 1), 7, 0))), 1, "")</f>
        <v/>
      </c>
      <c r="U426" s="1" t="str">
        <f>IF(AND(AND(AND(U$4&gt;='2025'!$L389,U$4&lt;='2025'!$M389), U$4&lt;&gt;DATE(2025,7,4)), (SWITCH(weekday(U$4), 1, 0, 2, if(ISBLANK('2025'!$P389), 0, 1), 3, if(ISBLANK('2025'!$Q389), 0, 1), 4, if(ISBLANK('2025'!$R389), 0, 1), 5, if(ISBLANK('2025'!$S389), 0, 1), 6, if(ISBLANK('2025'!$T389), 0, 1), 7, 0))), 1, "")</f>
        <v/>
      </c>
      <c r="V426" s="1" t="str">
        <f>IF(AND(AND(AND(V$4&gt;='2025'!$L389,V$4&lt;='2025'!$M389), V$4&lt;&gt;DATE(2025,7,4)), (SWITCH(weekday(V$4), 1, 0, 2, if(ISBLANK('2025'!$P389), 0, 1), 3, if(ISBLANK('2025'!$Q389), 0, 1), 4, if(ISBLANK('2025'!$R389), 0, 1), 5, if(ISBLANK('2025'!$S389), 0, 1), 6, if(ISBLANK('2025'!$T389), 0, 1), 7, 0))), 1, "")</f>
        <v/>
      </c>
      <c r="W426" s="1" t="str">
        <f>IF(AND(AND(AND(W$4&gt;='2025'!$L389,W$4&lt;='2025'!$M389), W$4&lt;&gt;DATE(2025,7,4)), (SWITCH(weekday(W$4), 1, 0, 2, if(ISBLANK('2025'!$P389), 0, 1), 3, if(ISBLANK('2025'!$Q389), 0, 1), 4, if(ISBLANK('2025'!$R389), 0, 1), 5, if(ISBLANK('2025'!$S389), 0, 1), 6, if(ISBLANK('2025'!$T389), 0, 1), 7, 0))), 1, "")</f>
        <v/>
      </c>
      <c r="X426" s="1" t="str">
        <f>IF(AND(AND(AND(X$4&gt;='2025'!$L389,X$4&lt;='2025'!$M389), X$4&lt;&gt;DATE(2025,7,4)), (SWITCH(weekday(X$4), 1, 0, 2, if(ISBLANK('2025'!$P389), 0, 1), 3, if(ISBLANK('2025'!$Q389), 0, 1), 4, if(ISBLANK('2025'!$R389), 0, 1), 5, if(ISBLANK('2025'!$S389), 0, 1), 6, if(ISBLANK('2025'!$T389), 0, 1), 7, 0))), 1, "")</f>
        <v/>
      </c>
      <c r="Y426" s="1" t="str">
        <f>IF(AND(AND(AND(Y$4&gt;='2025'!$L389,Y$4&lt;='2025'!$M389), Y$4&lt;&gt;DATE(2025,7,4)), (SWITCH(weekday(Y$4), 1, 0, 2, if(ISBLANK('2025'!$P389), 0, 1), 3, if(ISBLANK('2025'!$Q389), 0, 1), 4, if(ISBLANK('2025'!$R389), 0, 1), 5, if(ISBLANK('2025'!$S389), 0, 1), 6, if(ISBLANK('2025'!$T389), 0, 1), 7, 0))), 1, "")</f>
        <v/>
      </c>
      <c r="Z426" s="1" t="str">
        <f>IF(AND(AND(AND(Z$4&gt;='2025'!$L389,Z$4&lt;='2025'!$M389), Z$4&lt;&gt;DATE(2025,7,4)), (SWITCH(weekday(Z$4), 1, 0, 2, if(ISBLANK('2025'!$P389), 0, 1), 3, if(ISBLANK('2025'!$Q389), 0, 1), 4, if(ISBLANK('2025'!$R389), 0, 1), 5, if(ISBLANK('2025'!$S389), 0, 1), 6, if(ISBLANK('2025'!$T389), 0, 1), 7, 0))), 1, "")</f>
        <v/>
      </c>
      <c r="AA426" s="1" t="str">
        <f>IF(AND(AND(AND(AA$4&gt;='2025'!$L389,AA$4&lt;='2025'!$M389), AA$4&lt;&gt;DATE(2025,7,4)), (SWITCH(weekday(AA$4), 1, 0, 2, if(ISBLANK('2025'!$P389), 0, 1), 3, if(ISBLANK('2025'!$Q389), 0, 1), 4, if(ISBLANK('2025'!$R389), 0, 1), 5, if(ISBLANK('2025'!$S389), 0, 1), 6, if(ISBLANK('2025'!$T389), 0, 1), 7, 0))), 1, "")</f>
        <v/>
      </c>
      <c r="AB426" s="1" t="str">
        <f>IF(AND(AND(AND(AB$4&gt;='2025'!$L389,AB$4&lt;='2025'!$M389), AB$4&lt;&gt;DATE(2025,7,4)), (SWITCH(weekday(AB$4), 1, 0, 2, if(ISBLANK('2025'!$P389), 0, 1), 3, if(ISBLANK('2025'!$Q389), 0, 1), 4, if(ISBLANK('2025'!$R389), 0, 1), 5, if(ISBLANK('2025'!$S389), 0, 1), 6, if(ISBLANK('2025'!$T389), 0, 1), 7, 0))), 1, "")</f>
        <v/>
      </c>
      <c r="AC426" s="1" t="str">
        <f>IF(AND(AND(AND(AC$4&gt;='2025'!$L389,AC$4&lt;='2025'!$M389), AC$4&lt;&gt;DATE(2025,7,4)), (SWITCH(weekday(AC$4), 1, 0, 2, if(ISBLANK('2025'!$P389), 0, 1), 3, if(ISBLANK('2025'!$Q389), 0, 1), 4, if(ISBLANK('2025'!$R389), 0, 1), 5, if(ISBLANK('2025'!$S389), 0, 1), 6, if(ISBLANK('2025'!$T389), 0, 1), 7, 0))), 1, "")</f>
        <v/>
      </c>
      <c r="AD426" s="1" t="str">
        <f>IF(AND(AND(AND(AD$4&gt;='2025'!$L389,AD$4&lt;='2025'!$M389), AD$4&lt;&gt;DATE(2025,7,4)), (SWITCH(weekday(AD$4), 1, 0, 2, if(ISBLANK('2025'!$P389), 0, 1), 3, if(ISBLANK('2025'!$Q389), 0, 1), 4, if(ISBLANK('2025'!$R389), 0, 1), 5, if(ISBLANK('2025'!$S389), 0, 1), 6, if(ISBLANK('2025'!$T389), 0, 1), 7, 0))), 1, "")</f>
        <v/>
      </c>
      <c r="AE426" s="1" t="str">
        <f>IF(AND(AND(AND(AE$4&gt;='2025'!$L389,AE$4&lt;='2025'!$M389), AE$4&lt;&gt;DATE(2025,7,4)), (SWITCH(weekday(AE$4), 1, 0, 2, if(ISBLANK('2025'!$P389), 0, 1), 3, if(ISBLANK('2025'!$Q389), 0, 1), 4, if(ISBLANK('2025'!$R389), 0, 1), 5, if(ISBLANK('2025'!$S389), 0, 1), 6, if(ISBLANK('2025'!$T389), 0, 1), 7, 0))), 1, "")</f>
        <v/>
      </c>
      <c r="AF426" s="1" t="str">
        <f>IF(AND(AND(AND(AF$4&gt;='2025'!$L389,AF$4&lt;='2025'!$M389), AF$4&lt;&gt;DATE(2025,7,4)), (SWITCH(weekday(AF$4), 1, 0, 2, if(ISBLANK('2025'!$P389), 0, 1), 3, if(ISBLANK('2025'!$Q389), 0, 1), 4, if(ISBLANK('2025'!$R389), 0, 1), 5, if(ISBLANK('2025'!$S389), 0, 1), 6, if(ISBLANK('2025'!$T389), 0, 1), 7, 0))), 1, "")</f>
        <v/>
      </c>
      <c r="AG426" s="1" t="str">
        <f>IF(AND(AND(AND(AG$4&gt;='2025'!$L389,AG$4&lt;='2025'!$M389), AG$4&lt;&gt;DATE(2025,7,4)), (SWITCH(weekday(AG$4), 1, 0, 2, if(ISBLANK('2025'!$P389), 0, 1), 3, if(ISBLANK('2025'!$Q389), 0, 1), 4, if(ISBLANK('2025'!$R389), 0, 1), 5, if(ISBLANK('2025'!$S389), 0, 1), 6, if(ISBLANK('2025'!$T389), 0, 1), 7, 0))), 1, "")</f>
        <v/>
      </c>
      <c r="AH426" s="1" t="str">
        <f>IF(AND(AND(AND(AH$4&gt;='2025'!$L389,AH$4&lt;='2025'!$M389), AH$4&lt;&gt;DATE(2025,7,4)), (SWITCH(weekday(AH$4), 1, 0, 2, if(ISBLANK('2025'!$P389), 0, 1), 3, if(ISBLANK('2025'!$Q389), 0, 1), 4, if(ISBLANK('2025'!$R389), 0, 1), 5, if(ISBLANK('2025'!$S389), 0, 1), 6, if(ISBLANK('2025'!$T389), 0, 1), 7, 0))), 1, "")</f>
        <v/>
      </c>
      <c r="AI426" s="1" t="str">
        <f>IF(AND(AND(AND(AI$4&gt;='2025'!$L389,AI$4&lt;='2025'!$M389), AI$4&lt;&gt;DATE(2025,7,4)), (SWITCH(weekday(AI$4), 1, 0, 2, if(ISBLANK('2025'!$P389), 0, 1), 3, if(ISBLANK('2025'!$Q389), 0, 1), 4, if(ISBLANK('2025'!$R389), 0, 1), 5, if(ISBLANK('2025'!$S389), 0, 1), 6, if(ISBLANK('2025'!$T389), 0, 1), 7, 0))), 1, "")</f>
        <v/>
      </c>
      <c r="AJ426" s="1" t="str">
        <f>IF(AND(AND(AND(AJ$4&gt;='2025'!$L389,AJ$4&lt;='2025'!$M389), AJ$4&lt;&gt;DATE(2025,7,4)), (SWITCH(weekday(AJ$4), 1, 0, 2, if(ISBLANK('2025'!$P389), 0, 1), 3, if(ISBLANK('2025'!$Q389), 0, 1), 4, if(ISBLANK('2025'!$R389), 0, 1), 5, if(ISBLANK('2025'!$S389), 0, 1), 6, if(ISBLANK('2025'!$T389), 0, 1), 7, 0))), 1, "")</f>
        <v/>
      </c>
      <c r="AK426" s="1" t="str">
        <f>IF(AND(AND(AND(AK$4&gt;='2025'!$L389,AK$4&lt;='2025'!$M389), AK$4&lt;&gt;DATE(2025,7,4)), (SWITCH(weekday(AK$4), 1, 0, 2, if(ISBLANK('2025'!$P389), 0, 1), 3, if(ISBLANK('2025'!$Q389), 0, 1), 4, if(ISBLANK('2025'!$R389), 0, 1), 5, if(ISBLANK('2025'!$S389), 0, 1), 6, if(ISBLANK('2025'!$T389), 0, 1), 7, 0))), 1, "")</f>
        <v/>
      </c>
      <c r="AL426" s="1" t="str">
        <f>IF(AND(AND(AND(AL$4&gt;='2025'!$L389,AL$4&lt;='2025'!$M389), AL$4&lt;&gt;DATE(2025,7,4)), (SWITCH(weekday(AL$4), 1, 0, 2, if(ISBLANK('2025'!$P389), 0, 1), 3, if(ISBLANK('2025'!$Q389), 0, 1), 4, if(ISBLANK('2025'!$R389), 0, 1), 5, if(ISBLANK('2025'!$S389), 0, 1), 6, if(ISBLANK('2025'!$T389), 0, 1), 7, 0))), 1, "")</f>
        <v/>
      </c>
      <c r="AM426" s="1" t="str">
        <f>IF(AND(AND(AND(AM$4&gt;='2025'!$L389,AM$4&lt;='2025'!$M389), AM$4&lt;&gt;DATE(2025,7,4)), (SWITCH(weekday(AM$4), 1, 0, 2, if(ISBLANK('2025'!$P389), 0, 1), 3, if(ISBLANK('2025'!$Q389), 0, 1), 4, if(ISBLANK('2025'!$R389), 0, 1), 5, if(ISBLANK('2025'!$S389), 0, 1), 6, if(ISBLANK('2025'!$T389), 0, 1), 7, 0))), 1, "")</f>
        <v/>
      </c>
      <c r="AN426" s="1" t="str">
        <f>IF(AND(AND(AND(AN$4&gt;='2025'!$L389,AN$4&lt;='2025'!$M389), AN$4&lt;&gt;DATE(2025,7,4)), (SWITCH(weekday(AN$4), 1, 0, 2, if(ISBLANK('2025'!$P389), 0, 1), 3, if(ISBLANK('2025'!$Q389), 0, 1), 4, if(ISBLANK('2025'!$R389), 0, 1), 5, if(ISBLANK('2025'!$S389), 0, 1), 6, if(ISBLANK('2025'!$T389), 0, 1), 7, 0))), 1, "")</f>
        <v/>
      </c>
      <c r="AO426" s="1" t="str">
        <f>IF(AND(AND(AND(AO$4&gt;='2025'!$L389,AO$4&lt;='2025'!$M389), AO$4&lt;&gt;DATE(2025,7,4)), (SWITCH(weekday(AO$4), 1, 0, 2, if(ISBLANK('2025'!$P389), 0, 1), 3, if(ISBLANK('2025'!$Q389), 0, 1), 4, if(ISBLANK('2025'!$R389), 0, 1), 5, if(ISBLANK('2025'!$S389), 0, 1), 6, if(ISBLANK('2025'!$T389), 0, 1), 7, 0))), 1, "")</f>
        <v/>
      </c>
      <c r="AP426" s="1" t="str">
        <f>IF(AND(AND(AND(AP$4&gt;='2025'!$L389,AP$4&lt;='2025'!$M389), AP$4&lt;&gt;DATE(2025,7,4)), (SWITCH(weekday(AP$4), 1, 0, 2, if(ISBLANK('2025'!$P389), 0, 1), 3, if(ISBLANK('2025'!$Q389), 0, 1), 4, if(ISBLANK('2025'!$R389), 0, 1), 5, if(ISBLANK('2025'!$S389), 0, 1), 6, if(ISBLANK('2025'!$T389), 0, 1), 7, 0))), 1, "")</f>
        <v/>
      </c>
      <c r="AQ426" s="1" t="str">
        <f>IF(AND(AND(AND(AQ$4&gt;='2025'!$L389,AQ$4&lt;='2025'!$M389), AQ$4&lt;&gt;DATE(2025,7,4)), (SWITCH(weekday(AQ$4), 1, 0, 2, if(ISBLANK('2025'!$P389), 0, 1), 3, if(ISBLANK('2025'!$Q389), 0, 1), 4, if(ISBLANK('2025'!$R389), 0, 1), 5, if(ISBLANK('2025'!$S389), 0, 1), 6, if(ISBLANK('2025'!$T389), 0, 1), 7, 0))), 1, "")</f>
        <v/>
      </c>
      <c r="AR426" s="1" t="str">
        <f>IF(AND(AND(AND(AR$4&gt;='2025'!$L389,AR$4&lt;='2025'!$M389), AR$4&lt;&gt;DATE(2025,7,4)), (SWITCH(weekday(AR$4), 1, 0, 2, if(ISBLANK('2025'!$P389), 0, 1), 3, if(ISBLANK('2025'!$Q389), 0, 1), 4, if(ISBLANK('2025'!$R389), 0, 1), 5, if(ISBLANK('2025'!$S389), 0, 1), 6, if(ISBLANK('2025'!$T389), 0, 1), 7, 0))), 1, "")</f>
        <v/>
      </c>
      <c r="AS426" s="1" t="str">
        <f>IF(AND(AND(AND(AS$4&gt;='2025'!$L389,AS$4&lt;='2025'!$M389), AS$4&lt;&gt;DATE(2025,7,4)), (SWITCH(weekday(AS$4), 1, 0, 2, if(ISBLANK('2025'!$P389), 0, 1), 3, if(ISBLANK('2025'!$Q389), 0, 1), 4, if(ISBLANK('2025'!$R389), 0, 1), 5, if(ISBLANK('2025'!$S389), 0, 1), 6, if(ISBLANK('2025'!$T389), 0, 1), 7, 0))), 1, "")</f>
        <v/>
      </c>
      <c r="AT426" s="1" t="str">
        <f>IF(AND(AND(AND(AT$4&gt;='2025'!$L389,AT$4&lt;='2025'!$M389), AT$4&lt;&gt;DATE(2025,7,4)), (SWITCH(weekday(AT$4), 1, 0, 2, if(ISBLANK('2025'!$P389), 0, 1), 3, if(ISBLANK('2025'!$Q389), 0, 1), 4, if(ISBLANK('2025'!$R389), 0, 1), 5, if(ISBLANK('2025'!$S389), 0, 1), 6, if(ISBLANK('2025'!$T389), 0, 1), 7, 0))), 1, "")</f>
        <v/>
      </c>
      <c r="AU426" s="1" t="str">
        <f>IF(AND(AND(AND(AU$4&gt;='2025'!$L389,AU$4&lt;='2025'!$M389), AU$4&lt;&gt;DATE(2025,7,4)), (SWITCH(weekday(AU$4), 1, 0, 2, if(ISBLANK('2025'!$P389), 0, 1), 3, if(ISBLANK('2025'!$Q389), 0, 1), 4, if(ISBLANK('2025'!$R389), 0, 1), 5, if(ISBLANK('2025'!$S389), 0, 1), 6, if(ISBLANK('2025'!$T389), 0, 1), 7, 0))), 1, "")</f>
        <v/>
      </c>
      <c r="AV426" s="1" t="str">
        <f>IF(AND(AND(AND(AV$4&gt;='2025'!$L389,AV$4&lt;='2025'!$M389), AV$4&lt;&gt;DATE(2025,7,4)), (SWITCH(weekday(AV$4), 1, 0, 2, if(ISBLANK('2025'!$P389), 0, 1), 3, if(ISBLANK('2025'!$Q389), 0, 1), 4, if(ISBLANK('2025'!$R389), 0, 1), 5, if(ISBLANK('2025'!$S389), 0, 1), 6, if(ISBLANK('2025'!$T389), 0, 1), 7, 0))), 1, "")</f>
        <v/>
      </c>
      <c r="AW426" s="1" t="str">
        <f>IF(AND(AND(AND(AW$4&gt;='2025'!$L389,AW$4&lt;='2025'!$M389), AW$4&lt;&gt;DATE(2025,7,4)), (SWITCH(weekday(AW$4), 1, 0, 2, if(ISBLANK('2025'!$P389), 0, 1), 3, if(ISBLANK('2025'!$Q389), 0, 1), 4, if(ISBLANK('2025'!$R389), 0, 1), 5, if(ISBLANK('2025'!$S389), 0, 1), 6, if(ISBLANK('2025'!$T389), 0, 1), 7, 0))), 1, "")</f>
        <v/>
      </c>
      <c r="AX426" s="1" t="str">
        <f>IF(AND(AND(AND(AX$4&gt;='2025'!$L389,AX$4&lt;='2025'!$M389), AX$4&lt;&gt;DATE(2025,7,4)), (SWITCH(weekday(AX$4), 1, 0, 2, if(ISBLANK('2025'!$P389), 0, 1), 3, if(ISBLANK('2025'!$Q389), 0, 1), 4, if(ISBLANK('2025'!$R389), 0, 1), 5, if(ISBLANK('2025'!$S389), 0, 1), 6, if(ISBLANK('2025'!$T389), 0, 1), 7, 0))), 1, "")</f>
        <v/>
      </c>
      <c r="AY426" s="1" t="str">
        <f>IF(AND(AND(AND(AY$4&gt;='2025'!$L389,AY$4&lt;='2025'!$M389), AY$4&lt;&gt;DATE(2025,7,4)), (SWITCH(weekday(AY$4), 1, 0, 2, if(ISBLANK('2025'!$P389), 0, 1), 3, if(ISBLANK('2025'!$Q389), 0, 1), 4, if(ISBLANK('2025'!$R389), 0, 1), 5, if(ISBLANK('2025'!$S389), 0, 1), 6, if(ISBLANK('2025'!$T389), 0, 1), 7, 0))), 1, "")</f>
        <v/>
      </c>
      <c r="AZ426" s="1" t="str">
        <f>IF(AND(AND(AND(AZ$4&gt;='2025'!$L389,AZ$4&lt;='2025'!$M389), AZ$4&lt;&gt;DATE(2025,7,4)), (SWITCH(weekday(AZ$4), 1, 0, 2, if(ISBLANK('2025'!$P389), 0, 1), 3, if(ISBLANK('2025'!$Q389), 0, 1), 4, if(ISBLANK('2025'!$R389), 0, 1), 5, if(ISBLANK('2025'!$S389), 0, 1), 6, if(ISBLANK('2025'!$T389), 0, 1), 7, 0))), 1, "")</f>
        <v/>
      </c>
      <c r="BA426" s="1" t="str">
        <f>IF(AND(AND(AND(BA$4&gt;='2025'!$L389,BA$4&lt;='2025'!$M389), BA$4&lt;&gt;DATE(2025,7,4)), (SWITCH(weekday(BA$4), 1, 0, 2, if(ISBLANK('2025'!$P389), 0, 1), 3, if(ISBLANK('2025'!$Q389), 0, 1), 4, if(ISBLANK('2025'!$R389), 0, 1), 5, if(ISBLANK('2025'!$S389), 0, 1), 6, if(ISBLANK('2025'!$T389), 0, 1), 7, 0))), 1, "")</f>
        <v/>
      </c>
      <c r="BB426" s="1" t="str">
        <f>IF(AND(AND(AND(BB$4&gt;='2025'!$L389,BB$4&lt;='2025'!$M389), BB$4&lt;&gt;DATE(2025,7,4)), (SWITCH(weekday(BB$4), 1, 0, 2, if(ISBLANK('2025'!$P389), 0, 1), 3, if(ISBLANK('2025'!$Q389), 0, 1), 4, if(ISBLANK('2025'!$R389), 0, 1), 5, if(ISBLANK('2025'!$S389), 0, 1), 6, if(ISBLANK('2025'!$T389), 0, 1), 7, 0))), 1, "")</f>
        <v/>
      </c>
      <c r="BC426" s="1" t="str">
        <f>IF(AND(AND(AND(BC$4&gt;='2025'!$L389,BC$4&lt;='2025'!$M389), BC$4&lt;&gt;DATE(2025,7,4)), (SWITCH(weekday(BC$4), 1, 0, 2, if(ISBLANK('2025'!$P389), 0, 1), 3, if(ISBLANK('2025'!$Q389), 0, 1), 4, if(ISBLANK('2025'!$R389), 0, 1), 5, if(ISBLANK('2025'!$S389), 0, 1), 6, if(ISBLANK('2025'!$T389), 0, 1), 7, 0))), 1, "")</f>
        <v/>
      </c>
      <c r="BD426" s="1" t="str">
        <f>IF(AND(AND(AND(BD$4&gt;='2025'!$L389,BD$4&lt;='2025'!$M389), BD$4&lt;&gt;DATE(2025,7,4)), (SWITCH(weekday(BD$4), 1, 0, 2, if(ISBLANK('2025'!$P389), 0, 1), 3, if(ISBLANK('2025'!$Q389), 0, 1), 4, if(ISBLANK('2025'!$R389), 0, 1), 5, if(ISBLANK('2025'!$S389), 0, 1), 6, if(ISBLANK('2025'!$T389), 0, 1), 7, 0))), 1, "")</f>
        <v/>
      </c>
      <c r="BE426" s="1" t="str">
        <f>IF(AND(AND(AND(BE$4&gt;='2025'!$L389,BE$4&lt;='2025'!$M389), BE$4&lt;&gt;DATE(2025,7,4)), (SWITCH(weekday(BE$4), 1, 0, 2, if(ISBLANK('2025'!$P389), 0, 1), 3, if(ISBLANK('2025'!$Q389), 0, 1), 4, if(ISBLANK('2025'!$R389), 0, 1), 5, if(ISBLANK('2025'!$S389), 0, 1), 6, if(ISBLANK('2025'!$T389), 0, 1), 7, 0))), 1, "")</f>
        <v/>
      </c>
    </row>
    <row r="427">
      <c r="A427" s="1">
        <f t="shared" si="3"/>
        <v>427</v>
      </c>
      <c r="B427" s="1" t="str">
        <f>'2025'!D390</f>
        <v/>
      </c>
      <c r="C427" s="1" t="str">
        <f>'2025'!H390</f>
        <v/>
      </c>
      <c r="D427" s="1" t="str">
        <f>IF(AND(AND(AND(D$4&gt;='2025'!$L390,D$4&lt;='2025'!$M390), D$4&lt;&gt;DATE(2025,7,4)), (SWITCH(weekday(D$4), 1, 0, 2, if(ISBLANK('2025'!$P390), 0, 1), 3, if(ISBLANK('2025'!$Q390), 0, 1), 4, if(ISBLANK('2025'!$R390), 0, 1), 5, if(ISBLANK('2025'!$S390), 0, 1), 6, if(ISBLANK('2025'!$T390), 0, 1), 7, 0))), 1, "")</f>
        <v/>
      </c>
      <c r="E427" s="1" t="str">
        <f>IF(AND(AND(AND(E$4&gt;='2025'!$L390,E$4&lt;='2025'!$M390), E$4&lt;&gt;DATE(2025,7,4)), (SWITCH(weekday(E$4), 1, 0, 2, if(ISBLANK('2025'!$P390), 0, 1), 3, if(ISBLANK('2025'!$Q390), 0, 1), 4, if(ISBLANK('2025'!$R390), 0, 1), 5, if(ISBLANK('2025'!$S390), 0, 1), 6, if(ISBLANK('2025'!$T390), 0, 1), 7, 0))), 1, "")</f>
        <v/>
      </c>
      <c r="F427" s="1" t="str">
        <f>IF(AND(AND(AND(F$4&gt;='2025'!$L390,F$4&lt;='2025'!$M390), F$4&lt;&gt;DATE(2025,7,4)), (SWITCH(weekday(F$4), 1, 0, 2, if(ISBLANK('2025'!$P390), 0, 1), 3, if(ISBLANK('2025'!$Q390), 0, 1), 4, if(ISBLANK('2025'!$R390), 0, 1), 5, if(ISBLANK('2025'!$S390), 0, 1), 6, if(ISBLANK('2025'!$T390), 0, 1), 7, 0))), 1, "")</f>
        <v/>
      </c>
      <c r="G427" s="1" t="str">
        <f>IF(AND(AND(AND(G$4&gt;='2025'!$L390,G$4&lt;='2025'!$M390), G$4&lt;&gt;DATE(2025,7,4)), (SWITCH(weekday(G$4), 1, 0, 2, if(ISBLANK('2025'!$P390), 0, 1), 3, if(ISBLANK('2025'!$Q390), 0, 1), 4, if(ISBLANK('2025'!$R390), 0, 1), 5, if(ISBLANK('2025'!$S390), 0, 1), 6, if(ISBLANK('2025'!$T390), 0, 1), 7, 0))), 1, "")</f>
        <v/>
      </c>
      <c r="H427" s="1" t="str">
        <f>IF(AND(AND(AND(H$4&gt;='2025'!$L390,H$4&lt;='2025'!$M390), H$4&lt;&gt;DATE(2025,7,4)), (SWITCH(weekday(H$4), 1, 0, 2, if(ISBLANK('2025'!$P390), 0, 1), 3, if(ISBLANK('2025'!$Q390), 0, 1), 4, if(ISBLANK('2025'!$R390), 0, 1), 5, if(ISBLANK('2025'!$S390), 0, 1), 6, if(ISBLANK('2025'!$T390), 0, 1), 7, 0))), 1, "")</f>
        <v/>
      </c>
      <c r="I427" s="1" t="str">
        <f>IF(AND(AND(AND(I$4&gt;='2025'!$L390,I$4&lt;='2025'!$M390), I$4&lt;&gt;DATE(2025,7,4)), (SWITCH(weekday(I$4), 1, 0, 2, if(ISBLANK('2025'!$P390), 0, 1), 3, if(ISBLANK('2025'!$Q390), 0, 1), 4, if(ISBLANK('2025'!$R390), 0, 1), 5, if(ISBLANK('2025'!$S390), 0, 1), 6, if(ISBLANK('2025'!$T390), 0, 1), 7, 0))), 1, "")</f>
        <v/>
      </c>
      <c r="J427" s="1" t="str">
        <f>IF(AND(AND(AND(J$4&gt;='2025'!$L390,J$4&lt;='2025'!$M390), J$4&lt;&gt;DATE(2025,7,4)), (SWITCH(weekday(J$4), 1, 0, 2, if(ISBLANK('2025'!$P390), 0, 1), 3, if(ISBLANK('2025'!$Q390), 0, 1), 4, if(ISBLANK('2025'!$R390), 0, 1), 5, if(ISBLANK('2025'!$S390), 0, 1), 6, if(ISBLANK('2025'!$T390), 0, 1), 7, 0))), 1, "")</f>
        <v/>
      </c>
      <c r="K427" s="1" t="str">
        <f>IF(AND(AND(AND(K$4&gt;='2025'!$L390,K$4&lt;='2025'!$M390), K$4&lt;&gt;DATE(2025,7,4)), (SWITCH(weekday(K$4), 1, 0, 2, if(ISBLANK('2025'!$P390), 0, 1), 3, if(ISBLANK('2025'!$Q390), 0, 1), 4, if(ISBLANK('2025'!$R390), 0, 1), 5, if(ISBLANK('2025'!$S390), 0, 1), 6, if(ISBLANK('2025'!$T390), 0, 1), 7, 0))), 1, "")</f>
        <v/>
      </c>
      <c r="L427" s="1" t="str">
        <f>IF(AND(AND(AND(L$4&gt;='2025'!$L390,L$4&lt;='2025'!$M390), L$4&lt;&gt;DATE(2025,7,4)), (SWITCH(weekday(L$4), 1, 0, 2, if(ISBLANK('2025'!$P390), 0, 1), 3, if(ISBLANK('2025'!$Q390), 0, 1), 4, if(ISBLANK('2025'!$R390), 0, 1), 5, if(ISBLANK('2025'!$S390), 0, 1), 6, if(ISBLANK('2025'!$T390), 0, 1), 7, 0))), 1, "")</f>
        <v/>
      </c>
      <c r="M427" s="1" t="str">
        <f>IF(AND(AND(AND(M$4&gt;='2025'!$L390,M$4&lt;='2025'!$M390), M$4&lt;&gt;DATE(2025,7,4)), (SWITCH(weekday(M$4), 1, 0, 2, if(ISBLANK('2025'!$P390), 0, 1), 3, if(ISBLANK('2025'!$Q390), 0, 1), 4, if(ISBLANK('2025'!$R390), 0, 1), 5, if(ISBLANK('2025'!$S390), 0, 1), 6, if(ISBLANK('2025'!$T390), 0, 1), 7, 0))), 1, "")</f>
        <v/>
      </c>
      <c r="N427" s="1" t="str">
        <f>IF(AND(AND(AND(N$4&gt;='2025'!$L390,N$4&lt;='2025'!$M390), N$4&lt;&gt;DATE(2025,7,4)), (SWITCH(weekday(N$4), 1, 0, 2, if(ISBLANK('2025'!$P390), 0, 1), 3, if(ISBLANK('2025'!$Q390), 0, 1), 4, if(ISBLANK('2025'!$R390), 0, 1), 5, if(ISBLANK('2025'!$S390), 0, 1), 6, if(ISBLANK('2025'!$T390), 0, 1), 7, 0))), 1, "")</f>
        <v/>
      </c>
      <c r="O427" s="1" t="str">
        <f>IF(AND(AND(AND(O$4&gt;='2025'!$L390,O$4&lt;='2025'!$M390), O$4&lt;&gt;DATE(2025,7,4)), (SWITCH(weekday(O$4), 1, 0, 2, if(ISBLANK('2025'!$P390), 0, 1), 3, if(ISBLANK('2025'!$Q390), 0, 1), 4, if(ISBLANK('2025'!$R390), 0, 1), 5, if(ISBLANK('2025'!$S390), 0, 1), 6, if(ISBLANK('2025'!$T390), 0, 1), 7, 0))), 1, "")</f>
        <v/>
      </c>
      <c r="P427" s="1" t="str">
        <f>IF(AND(AND(AND(P$4&gt;='2025'!$L390,P$4&lt;='2025'!$M390), P$4&lt;&gt;DATE(2025,7,4)), (SWITCH(weekday(P$4), 1, 0, 2, if(ISBLANK('2025'!$P390), 0, 1), 3, if(ISBLANK('2025'!$Q390), 0, 1), 4, if(ISBLANK('2025'!$R390), 0, 1), 5, if(ISBLANK('2025'!$S390), 0, 1), 6, if(ISBLANK('2025'!$T390), 0, 1), 7, 0))), 1, "")</f>
        <v/>
      </c>
      <c r="Q427" s="1" t="str">
        <f>IF(AND(AND(AND(Q$4&gt;='2025'!$L390,Q$4&lt;='2025'!$M390), Q$4&lt;&gt;DATE(2025,7,4)), (SWITCH(weekday(Q$4), 1, 0, 2, if(ISBLANK('2025'!$P390), 0, 1), 3, if(ISBLANK('2025'!$Q390), 0, 1), 4, if(ISBLANK('2025'!$R390), 0, 1), 5, if(ISBLANK('2025'!$S390), 0, 1), 6, if(ISBLANK('2025'!$T390), 0, 1), 7, 0))), 1, "")</f>
        <v/>
      </c>
      <c r="R427" s="1" t="str">
        <f>IF(AND(AND(AND(R$4&gt;='2025'!$L390,R$4&lt;='2025'!$M390), R$4&lt;&gt;DATE(2025,7,4)), (SWITCH(weekday(R$4), 1, 0, 2, if(ISBLANK('2025'!$P390), 0, 1), 3, if(ISBLANK('2025'!$Q390), 0, 1), 4, if(ISBLANK('2025'!$R390), 0, 1), 5, if(ISBLANK('2025'!$S390), 0, 1), 6, if(ISBLANK('2025'!$T390), 0, 1), 7, 0))), 1, "")</f>
        <v/>
      </c>
      <c r="S427" s="1" t="str">
        <f>IF(AND(AND(AND(S$4&gt;='2025'!$L390,S$4&lt;='2025'!$M390), S$4&lt;&gt;DATE(2025,7,4)), (SWITCH(weekday(S$4), 1, 0, 2, if(ISBLANK('2025'!$P390), 0, 1), 3, if(ISBLANK('2025'!$Q390), 0, 1), 4, if(ISBLANK('2025'!$R390), 0, 1), 5, if(ISBLANK('2025'!$S390), 0, 1), 6, if(ISBLANK('2025'!$T390), 0, 1), 7, 0))), 1, "")</f>
        <v/>
      </c>
      <c r="T427" s="1" t="str">
        <f>IF(AND(AND(AND(T$4&gt;='2025'!$L390,T$4&lt;='2025'!$M390), T$4&lt;&gt;DATE(2025,7,4)), (SWITCH(weekday(T$4), 1, 0, 2, if(ISBLANK('2025'!$P390), 0, 1), 3, if(ISBLANK('2025'!$Q390), 0, 1), 4, if(ISBLANK('2025'!$R390), 0, 1), 5, if(ISBLANK('2025'!$S390), 0, 1), 6, if(ISBLANK('2025'!$T390), 0, 1), 7, 0))), 1, "")</f>
        <v/>
      </c>
      <c r="U427" s="1" t="str">
        <f>IF(AND(AND(AND(U$4&gt;='2025'!$L390,U$4&lt;='2025'!$M390), U$4&lt;&gt;DATE(2025,7,4)), (SWITCH(weekday(U$4), 1, 0, 2, if(ISBLANK('2025'!$P390), 0, 1), 3, if(ISBLANK('2025'!$Q390), 0, 1), 4, if(ISBLANK('2025'!$R390), 0, 1), 5, if(ISBLANK('2025'!$S390), 0, 1), 6, if(ISBLANK('2025'!$T390), 0, 1), 7, 0))), 1, "")</f>
        <v/>
      </c>
      <c r="V427" s="1" t="str">
        <f>IF(AND(AND(AND(V$4&gt;='2025'!$L390,V$4&lt;='2025'!$M390), V$4&lt;&gt;DATE(2025,7,4)), (SWITCH(weekday(V$4), 1, 0, 2, if(ISBLANK('2025'!$P390), 0, 1), 3, if(ISBLANK('2025'!$Q390), 0, 1), 4, if(ISBLANK('2025'!$R390), 0, 1), 5, if(ISBLANK('2025'!$S390), 0, 1), 6, if(ISBLANK('2025'!$T390), 0, 1), 7, 0))), 1, "")</f>
        <v/>
      </c>
      <c r="W427" s="1" t="str">
        <f>IF(AND(AND(AND(W$4&gt;='2025'!$L390,W$4&lt;='2025'!$M390), W$4&lt;&gt;DATE(2025,7,4)), (SWITCH(weekday(W$4), 1, 0, 2, if(ISBLANK('2025'!$P390), 0, 1), 3, if(ISBLANK('2025'!$Q390), 0, 1), 4, if(ISBLANK('2025'!$R390), 0, 1), 5, if(ISBLANK('2025'!$S390), 0, 1), 6, if(ISBLANK('2025'!$T390), 0, 1), 7, 0))), 1, "")</f>
        <v/>
      </c>
      <c r="X427" s="1" t="str">
        <f>IF(AND(AND(AND(X$4&gt;='2025'!$L390,X$4&lt;='2025'!$M390), X$4&lt;&gt;DATE(2025,7,4)), (SWITCH(weekday(X$4), 1, 0, 2, if(ISBLANK('2025'!$P390), 0, 1), 3, if(ISBLANK('2025'!$Q390), 0, 1), 4, if(ISBLANK('2025'!$R390), 0, 1), 5, if(ISBLANK('2025'!$S390), 0, 1), 6, if(ISBLANK('2025'!$T390), 0, 1), 7, 0))), 1, "")</f>
        <v/>
      </c>
      <c r="Y427" s="1" t="str">
        <f>IF(AND(AND(AND(Y$4&gt;='2025'!$L390,Y$4&lt;='2025'!$M390), Y$4&lt;&gt;DATE(2025,7,4)), (SWITCH(weekday(Y$4), 1, 0, 2, if(ISBLANK('2025'!$P390), 0, 1), 3, if(ISBLANK('2025'!$Q390), 0, 1), 4, if(ISBLANK('2025'!$R390), 0, 1), 5, if(ISBLANK('2025'!$S390), 0, 1), 6, if(ISBLANK('2025'!$T390), 0, 1), 7, 0))), 1, "")</f>
        <v/>
      </c>
      <c r="Z427" s="1" t="str">
        <f>IF(AND(AND(AND(Z$4&gt;='2025'!$L390,Z$4&lt;='2025'!$M390), Z$4&lt;&gt;DATE(2025,7,4)), (SWITCH(weekday(Z$4), 1, 0, 2, if(ISBLANK('2025'!$P390), 0, 1), 3, if(ISBLANK('2025'!$Q390), 0, 1), 4, if(ISBLANK('2025'!$R390), 0, 1), 5, if(ISBLANK('2025'!$S390), 0, 1), 6, if(ISBLANK('2025'!$T390), 0, 1), 7, 0))), 1, "")</f>
        <v/>
      </c>
      <c r="AA427" s="1" t="str">
        <f>IF(AND(AND(AND(AA$4&gt;='2025'!$L390,AA$4&lt;='2025'!$M390), AA$4&lt;&gt;DATE(2025,7,4)), (SWITCH(weekday(AA$4), 1, 0, 2, if(ISBLANK('2025'!$P390), 0, 1), 3, if(ISBLANK('2025'!$Q390), 0, 1), 4, if(ISBLANK('2025'!$R390), 0, 1), 5, if(ISBLANK('2025'!$S390), 0, 1), 6, if(ISBLANK('2025'!$T390), 0, 1), 7, 0))), 1, "")</f>
        <v/>
      </c>
      <c r="AB427" s="1" t="str">
        <f>IF(AND(AND(AND(AB$4&gt;='2025'!$L390,AB$4&lt;='2025'!$M390), AB$4&lt;&gt;DATE(2025,7,4)), (SWITCH(weekday(AB$4), 1, 0, 2, if(ISBLANK('2025'!$P390), 0, 1), 3, if(ISBLANK('2025'!$Q390), 0, 1), 4, if(ISBLANK('2025'!$R390), 0, 1), 5, if(ISBLANK('2025'!$S390), 0, 1), 6, if(ISBLANK('2025'!$T390), 0, 1), 7, 0))), 1, "")</f>
        <v/>
      </c>
      <c r="AC427" s="1" t="str">
        <f>IF(AND(AND(AND(AC$4&gt;='2025'!$L390,AC$4&lt;='2025'!$M390), AC$4&lt;&gt;DATE(2025,7,4)), (SWITCH(weekday(AC$4), 1, 0, 2, if(ISBLANK('2025'!$P390), 0, 1), 3, if(ISBLANK('2025'!$Q390), 0, 1), 4, if(ISBLANK('2025'!$R390), 0, 1), 5, if(ISBLANK('2025'!$S390), 0, 1), 6, if(ISBLANK('2025'!$T390), 0, 1), 7, 0))), 1, "")</f>
        <v/>
      </c>
      <c r="AD427" s="1" t="str">
        <f>IF(AND(AND(AND(AD$4&gt;='2025'!$L390,AD$4&lt;='2025'!$M390), AD$4&lt;&gt;DATE(2025,7,4)), (SWITCH(weekday(AD$4), 1, 0, 2, if(ISBLANK('2025'!$P390), 0, 1), 3, if(ISBLANK('2025'!$Q390), 0, 1), 4, if(ISBLANK('2025'!$R390), 0, 1), 5, if(ISBLANK('2025'!$S390), 0, 1), 6, if(ISBLANK('2025'!$T390), 0, 1), 7, 0))), 1, "")</f>
        <v/>
      </c>
      <c r="AE427" s="1" t="str">
        <f>IF(AND(AND(AND(AE$4&gt;='2025'!$L390,AE$4&lt;='2025'!$M390), AE$4&lt;&gt;DATE(2025,7,4)), (SWITCH(weekday(AE$4), 1, 0, 2, if(ISBLANK('2025'!$P390), 0, 1), 3, if(ISBLANK('2025'!$Q390), 0, 1), 4, if(ISBLANK('2025'!$R390), 0, 1), 5, if(ISBLANK('2025'!$S390), 0, 1), 6, if(ISBLANK('2025'!$T390), 0, 1), 7, 0))), 1, "")</f>
        <v/>
      </c>
      <c r="AF427" s="1" t="str">
        <f>IF(AND(AND(AND(AF$4&gt;='2025'!$L390,AF$4&lt;='2025'!$M390), AF$4&lt;&gt;DATE(2025,7,4)), (SWITCH(weekday(AF$4), 1, 0, 2, if(ISBLANK('2025'!$P390), 0, 1), 3, if(ISBLANK('2025'!$Q390), 0, 1), 4, if(ISBLANK('2025'!$R390), 0, 1), 5, if(ISBLANK('2025'!$S390), 0, 1), 6, if(ISBLANK('2025'!$T390), 0, 1), 7, 0))), 1, "")</f>
        <v/>
      </c>
      <c r="AG427" s="1" t="str">
        <f>IF(AND(AND(AND(AG$4&gt;='2025'!$L390,AG$4&lt;='2025'!$M390), AG$4&lt;&gt;DATE(2025,7,4)), (SWITCH(weekday(AG$4), 1, 0, 2, if(ISBLANK('2025'!$P390), 0, 1), 3, if(ISBLANK('2025'!$Q390), 0, 1), 4, if(ISBLANK('2025'!$R390), 0, 1), 5, if(ISBLANK('2025'!$S390), 0, 1), 6, if(ISBLANK('2025'!$T390), 0, 1), 7, 0))), 1, "")</f>
        <v/>
      </c>
      <c r="AH427" s="1" t="str">
        <f>IF(AND(AND(AND(AH$4&gt;='2025'!$L390,AH$4&lt;='2025'!$M390), AH$4&lt;&gt;DATE(2025,7,4)), (SWITCH(weekday(AH$4), 1, 0, 2, if(ISBLANK('2025'!$P390), 0, 1), 3, if(ISBLANK('2025'!$Q390), 0, 1), 4, if(ISBLANK('2025'!$R390), 0, 1), 5, if(ISBLANK('2025'!$S390), 0, 1), 6, if(ISBLANK('2025'!$T390), 0, 1), 7, 0))), 1, "")</f>
        <v/>
      </c>
      <c r="AI427" s="1" t="str">
        <f>IF(AND(AND(AND(AI$4&gt;='2025'!$L390,AI$4&lt;='2025'!$M390), AI$4&lt;&gt;DATE(2025,7,4)), (SWITCH(weekday(AI$4), 1, 0, 2, if(ISBLANK('2025'!$P390), 0, 1), 3, if(ISBLANK('2025'!$Q390), 0, 1), 4, if(ISBLANK('2025'!$R390), 0, 1), 5, if(ISBLANK('2025'!$S390), 0, 1), 6, if(ISBLANK('2025'!$T390), 0, 1), 7, 0))), 1, "")</f>
        <v/>
      </c>
      <c r="AJ427" s="1" t="str">
        <f>IF(AND(AND(AND(AJ$4&gt;='2025'!$L390,AJ$4&lt;='2025'!$M390), AJ$4&lt;&gt;DATE(2025,7,4)), (SWITCH(weekday(AJ$4), 1, 0, 2, if(ISBLANK('2025'!$P390), 0, 1), 3, if(ISBLANK('2025'!$Q390), 0, 1), 4, if(ISBLANK('2025'!$R390), 0, 1), 5, if(ISBLANK('2025'!$S390), 0, 1), 6, if(ISBLANK('2025'!$T390), 0, 1), 7, 0))), 1, "")</f>
        <v/>
      </c>
      <c r="AK427" s="1" t="str">
        <f>IF(AND(AND(AND(AK$4&gt;='2025'!$L390,AK$4&lt;='2025'!$M390), AK$4&lt;&gt;DATE(2025,7,4)), (SWITCH(weekday(AK$4), 1, 0, 2, if(ISBLANK('2025'!$P390), 0, 1), 3, if(ISBLANK('2025'!$Q390), 0, 1), 4, if(ISBLANK('2025'!$R390), 0, 1), 5, if(ISBLANK('2025'!$S390), 0, 1), 6, if(ISBLANK('2025'!$T390), 0, 1), 7, 0))), 1, "")</f>
        <v/>
      </c>
      <c r="AL427" s="1" t="str">
        <f>IF(AND(AND(AND(AL$4&gt;='2025'!$L390,AL$4&lt;='2025'!$M390), AL$4&lt;&gt;DATE(2025,7,4)), (SWITCH(weekday(AL$4), 1, 0, 2, if(ISBLANK('2025'!$P390), 0, 1), 3, if(ISBLANK('2025'!$Q390), 0, 1), 4, if(ISBLANK('2025'!$R390), 0, 1), 5, if(ISBLANK('2025'!$S390), 0, 1), 6, if(ISBLANK('2025'!$T390), 0, 1), 7, 0))), 1, "")</f>
        <v/>
      </c>
      <c r="AM427" s="1" t="str">
        <f>IF(AND(AND(AND(AM$4&gt;='2025'!$L390,AM$4&lt;='2025'!$M390), AM$4&lt;&gt;DATE(2025,7,4)), (SWITCH(weekday(AM$4), 1, 0, 2, if(ISBLANK('2025'!$P390), 0, 1), 3, if(ISBLANK('2025'!$Q390), 0, 1), 4, if(ISBLANK('2025'!$R390), 0, 1), 5, if(ISBLANK('2025'!$S390), 0, 1), 6, if(ISBLANK('2025'!$T390), 0, 1), 7, 0))), 1, "")</f>
        <v/>
      </c>
      <c r="AN427" s="1" t="str">
        <f>IF(AND(AND(AND(AN$4&gt;='2025'!$L390,AN$4&lt;='2025'!$M390), AN$4&lt;&gt;DATE(2025,7,4)), (SWITCH(weekday(AN$4), 1, 0, 2, if(ISBLANK('2025'!$P390), 0, 1), 3, if(ISBLANK('2025'!$Q390), 0, 1), 4, if(ISBLANK('2025'!$R390), 0, 1), 5, if(ISBLANK('2025'!$S390), 0, 1), 6, if(ISBLANK('2025'!$T390), 0, 1), 7, 0))), 1, "")</f>
        <v/>
      </c>
      <c r="AO427" s="1" t="str">
        <f>IF(AND(AND(AND(AO$4&gt;='2025'!$L390,AO$4&lt;='2025'!$M390), AO$4&lt;&gt;DATE(2025,7,4)), (SWITCH(weekday(AO$4), 1, 0, 2, if(ISBLANK('2025'!$P390), 0, 1), 3, if(ISBLANK('2025'!$Q390), 0, 1), 4, if(ISBLANK('2025'!$R390), 0, 1), 5, if(ISBLANK('2025'!$S390), 0, 1), 6, if(ISBLANK('2025'!$T390), 0, 1), 7, 0))), 1, "")</f>
        <v/>
      </c>
      <c r="AP427" s="1" t="str">
        <f>IF(AND(AND(AND(AP$4&gt;='2025'!$L390,AP$4&lt;='2025'!$M390), AP$4&lt;&gt;DATE(2025,7,4)), (SWITCH(weekday(AP$4), 1, 0, 2, if(ISBLANK('2025'!$P390), 0, 1), 3, if(ISBLANK('2025'!$Q390), 0, 1), 4, if(ISBLANK('2025'!$R390), 0, 1), 5, if(ISBLANK('2025'!$S390), 0, 1), 6, if(ISBLANK('2025'!$T390), 0, 1), 7, 0))), 1, "")</f>
        <v/>
      </c>
      <c r="AQ427" s="1" t="str">
        <f>IF(AND(AND(AND(AQ$4&gt;='2025'!$L390,AQ$4&lt;='2025'!$M390), AQ$4&lt;&gt;DATE(2025,7,4)), (SWITCH(weekday(AQ$4), 1, 0, 2, if(ISBLANK('2025'!$P390), 0, 1), 3, if(ISBLANK('2025'!$Q390), 0, 1), 4, if(ISBLANK('2025'!$R390), 0, 1), 5, if(ISBLANK('2025'!$S390), 0, 1), 6, if(ISBLANK('2025'!$T390), 0, 1), 7, 0))), 1, "")</f>
        <v/>
      </c>
      <c r="AR427" s="1" t="str">
        <f>IF(AND(AND(AND(AR$4&gt;='2025'!$L390,AR$4&lt;='2025'!$M390), AR$4&lt;&gt;DATE(2025,7,4)), (SWITCH(weekday(AR$4), 1, 0, 2, if(ISBLANK('2025'!$P390), 0, 1), 3, if(ISBLANK('2025'!$Q390), 0, 1), 4, if(ISBLANK('2025'!$R390), 0, 1), 5, if(ISBLANK('2025'!$S390), 0, 1), 6, if(ISBLANK('2025'!$T390), 0, 1), 7, 0))), 1, "")</f>
        <v/>
      </c>
      <c r="AS427" s="1" t="str">
        <f>IF(AND(AND(AND(AS$4&gt;='2025'!$L390,AS$4&lt;='2025'!$M390), AS$4&lt;&gt;DATE(2025,7,4)), (SWITCH(weekday(AS$4), 1, 0, 2, if(ISBLANK('2025'!$P390), 0, 1), 3, if(ISBLANK('2025'!$Q390), 0, 1), 4, if(ISBLANK('2025'!$R390), 0, 1), 5, if(ISBLANK('2025'!$S390), 0, 1), 6, if(ISBLANK('2025'!$T390), 0, 1), 7, 0))), 1, "")</f>
        <v/>
      </c>
      <c r="AT427" s="1" t="str">
        <f>IF(AND(AND(AND(AT$4&gt;='2025'!$L390,AT$4&lt;='2025'!$M390), AT$4&lt;&gt;DATE(2025,7,4)), (SWITCH(weekday(AT$4), 1, 0, 2, if(ISBLANK('2025'!$P390), 0, 1), 3, if(ISBLANK('2025'!$Q390), 0, 1), 4, if(ISBLANK('2025'!$R390), 0, 1), 5, if(ISBLANK('2025'!$S390), 0, 1), 6, if(ISBLANK('2025'!$T390), 0, 1), 7, 0))), 1, "")</f>
        <v/>
      </c>
      <c r="AU427" s="1" t="str">
        <f>IF(AND(AND(AND(AU$4&gt;='2025'!$L390,AU$4&lt;='2025'!$M390), AU$4&lt;&gt;DATE(2025,7,4)), (SWITCH(weekday(AU$4), 1, 0, 2, if(ISBLANK('2025'!$P390), 0, 1), 3, if(ISBLANK('2025'!$Q390), 0, 1), 4, if(ISBLANK('2025'!$R390), 0, 1), 5, if(ISBLANK('2025'!$S390), 0, 1), 6, if(ISBLANK('2025'!$T390), 0, 1), 7, 0))), 1, "")</f>
        <v/>
      </c>
      <c r="AV427" s="1" t="str">
        <f>IF(AND(AND(AND(AV$4&gt;='2025'!$L390,AV$4&lt;='2025'!$M390), AV$4&lt;&gt;DATE(2025,7,4)), (SWITCH(weekday(AV$4), 1, 0, 2, if(ISBLANK('2025'!$P390), 0, 1), 3, if(ISBLANK('2025'!$Q390), 0, 1), 4, if(ISBLANK('2025'!$R390), 0, 1), 5, if(ISBLANK('2025'!$S390), 0, 1), 6, if(ISBLANK('2025'!$T390), 0, 1), 7, 0))), 1, "")</f>
        <v/>
      </c>
      <c r="AW427" s="1" t="str">
        <f>IF(AND(AND(AND(AW$4&gt;='2025'!$L390,AW$4&lt;='2025'!$M390), AW$4&lt;&gt;DATE(2025,7,4)), (SWITCH(weekday(AW$4), 1, 0, 2, if(ISBLANK('2025'!$P390), 0, 1), 3, if(ISBLANK('2025'!$Q390), 0, 1), 4, if(ISBLANK('2025'!$R390), 0, 1), 5, if(ISBLANK('2025'!$S390), 0, 1), 6, if(ISBLANK('2025'!$T390), 0, 1), 7, 0))), 1, "")</f>
        <v/>
      </c>
      <c r="AX427" s="1" t="str">
        <f>IF(AND(AND(AND(AX$4&gt;='2025'!$L390,AX$4&lt;='2025'!$M390), AX$4&lt;&gt;DATE(2025,7,4)), (SWITCH(weekday(AX$4), 1, 0, 2, if(ISBLANK('2025'!$P390), 0, 1), 3, if(ISBLANK('2025'!$Q390), 0, 1), 4, if(ISBLANK('2025'!$R390), 0, 1), 5, if(ISBLANK('2025'!$S390), 0, 1), 6, if(ISBLANK('2025'!$T390), 0, 1), 7, 0))), 1, "")</f>
        <v/>
      </c>
      <c r="AY427" s="1" t="str">
        <f>IF(AND(AND(AND(AY$4&gt;='2025'!$L390,AY$4&lt;='2025'!$M390), AY$4&lt;&gt;DATE(2025,7,4)), (SWITCH(weekday(AY$4), 1, 0, 2, if(ISBLANK('2025'!$P390), 0, 1), 3, if(ISBLANK('2025'!$Q390), 0, 1), 4, if(ISBLANK('2025'!$R390), 0, 1), 5, if(ISBLANK('2025'!$S390), 0, 1), 6, if(ISBLANK('2025'!$T390), 0, 1), 7, 0))), 1, "")</f>
        <v/>
      </c>
      <c r="AZ427" s="1" t="str">
        <f>IF(AND(AND(AND(AZ$4&gt;='2025'!$L390,AZ$4&lt;='2025'!$M390), AZ$4&lt;&gt;DATE(2025,7,4)), (SWITCH(weekday(AZ$4), 1, 0, 2, if(ISBLANK('2025'!$P390), 0, 1), 3, if(ISBLANK('2025'!$Q390), 0, 1), 4, if(ISBLANK('2025'!$R390), 0, 1), 5, if(ISBLANK('2025'!$S390), 0, 1), 6, if(ISBLANK('2025'!$T390), 0, 1), 7, 0))), 1, "")</f>
        <v/>
      </c>
      <c r="BA427" s="1" t="str">
        <f>IF(AND(AND(AND(BA$4&gt;='2025'!$L390,BA$4&lt;='2025'!$M390), BA$4&lt;&gt;DATE(2025,7,4)), (SWITCH(weekday(BA$4), 1, 0, 2, if(ISBLANK('2025'!$P390), 0, 1), 3, if(ISBLANK('2025'!$Q390), 0, 1), 4, if(ISBLANK('2025'!$R390), 0, 1), 5, if(ISBLANK('2025'!$S390), 0, 1), 6, if(ISBLANK('2025'!$T390), 0, 1), 7, 0))), 1, "")</f>
        <v/>
      </c>
      <c r="BB427" s="1" t="str">
        <f>IF(AND(AND(AND(BB$4&gt;='2025'!$L390,BB$4&lt;='2025'!$M390), BB$4&lt;&gt;DATE(2025,7,4)), (SWITCH(weekday(BB$4), 1, 0, 2, if(ISBLANK('2025'!$P390), 0, 1), 3, if(ISBLANK('2025'!$Q390), 0, 1), 4, if(ISBLANK('2025'!$R390), 0, 1), 5, if(ISBLANK('2025'!$S390), 0, 1), 6, if(ISBLANK('2025'!$T390), 0, 1), 7, 0))), 1, "")</f>
        <v/>
      </c>
      <c r="BC427" s="1" t="str">
        <f>IF(AND(AND(AND(BC$4&gt;='2025'!$L390,BC$4&lt;='2025'!$M390), BC$4&lt;&gt;DATE(2025,7,4)), (SWITCH(weekday(BC$4), 1, 0, 2, if(ISBLANK('2025'!$P390), 0, 1), 3, if(ISBLANK('2025'!$Q390), 0, 1), 4, if(ISBLANK('2025'!$R390), 0, 1), 5, if(ISBLANK('2025'!$S390), 0, 1), 6, if(ISBLANK('2025'!$T390), 0, 1), 7, 0))), 1, "")</f>
        <v/>
      </c>
      <c r="BD427" s="1" t="str">
        <f>IF(AND(AND(AND(BD$4&gt;='2025'!$L390,BD$4&lt;='2025'!$M390), BD$4&lt;&gt;DATE(2025,7,4)), (SWITCH(weekday(BD$4), 1, 0, 2, if(ISBLANK('2025'!$P390), 0, 1), 3, if(ISBLANK('2025'!$Q390), 0, 1), 4, if(ISBLANK('2025'!$R390), 0, 1), 5, if(ISBLANK('2025'!$S390), 0, 1), 6, if(ISBLANK('2025'!$T390), 0, 1), 7, 0))), 1, "")</f>
        <v/>
      </c>
      <c r="BE427" s="1" t="str">
        <f>IF(AND(AND(AND(BE$4&gt;='2025'!$L390,BE$4&lt;='2025'!$M390), BE$4&lt;&gt;DATE(2025,7,4)), (SWITCH(weekday(BE$4), 1, 0, 2, if(ISBLANK('2025'!$P390), 0, 1), 3, if(ISBLANK('2025'!$Q390), 0, 1), 4, if(ISBLANK('2025'!$R390), 0, 1), 5, if(ISBLANK('2025'!$S390), 0, 1), 6, if(ISBLANK('2025'!$T390), 0, 1), 7, 0))), 1, "")</f>
        <v/>
      </c>
    </row>
    <row r="428">
      <c r="A428" s="1">
        <f t="shared" si="3"/>
        <v>428</v>
      </c>
      <c r="B428" s="1" t="str">
        <f>'2025'!D391</f>
        <v/>
      </c>
      <c r="C428" s="1" t="str">
        <f>'2025'!H391</f>
        <v/>
      </c>
      <c r="D428" s="1" t="str">
        <f>IF(AND(AND(AND(D$4&gt;='2025'!$L391,D$4&lt;='2025'!$M391), D$4&lt;&gt;DATE(2025,7,4)), (SWITCH(weekday(D$4), 1, 0, 2, if(ISBLANK('2025'!$P391), 0, 1), 3, if(ISBLANK('2025'!$Q391), 0, 1), 4, if(ISBLANK('2025'!$R391), 0, 1), 5, if(ISBLANK('2025'!$S391), 0, 1), 6, if(ISBLANK('2025'!$T391), 0, 1), 7, 0))), 1, "")</f>
        <v/>
      </c>
      <c r="E428" s="1" t="str">
        <f>IF(AND(AND(AND(E$4&gt;='2025'!$L391,E$4&lt;='2025'!$M391), E$4&lt;&gt;DATE(2025,7,4)), (SWITCH(weekday(E$4), 1, 0, 2, if(ISBLANK('2025'!$P391), 0, 1), 3, if(ISBLANK('2025'!$Q391), 0, 1), 4, if(ISBLANK('2025'!$R391), 0, 1), 5, if(ISBLANK('2025'!$S391), 0, 1), 6, if(ISBLANK('2025'!$T391), 0, 1), 7, 0))), 1, "")</f>
        <v/>
      </c>
      <c r="F428" s="1" t="str">
        <f>IF(AND(AND(AND(F$4&gt;='2025'!$L391,F$4&lt;='2025'!$M391), F$4&lt;&gt;DATE(2025,7,4)), (SWITCH(weekday(F$4), 1, 0, 2, if(ISBLANK('2025'!$P391), 0, 1), 3, if(ISBLANK('2025'!$Q391), 0, 1), 4, if(ISBLANK('2025'!$R391), 0, 1), 5, if(ISBLANK('2025'!$S391), 0, 1), 6, if(ISBLANK('2025'!$T391), 0, 1), 7, 0))), 1, "")</f>
        <v/>
      </c>
      <c r="G428" s="1" t="str">
        <f>IF(AND(AND(AND(G$4&gt;='2025'!$L391,G$4&lt;='2025'!$M391), G$4&lt;&gt;DATE(2025,7,4)), (SWITCH(weekday(G$4), 1, 0, 2, if(ISBLANK('2025'!$P391), 0, 1), 3, if(ISBLANK('2025'!$Q391), 0, 1), 4, if(ISBLANK('2025'!$R391), 0, 1), 5, if(ISBLANK('2025'!$S391), 0, 1), 6, if(ISBLANK('2025'!$T391), 0, 1), 7, 0))), 1, "")</f>
        <v/>
      </c>
      <c r="H428" s="1" t="str">
        <f>IF(AND(AND(AND(H$4&gt;='2025'!$L391,H$4&lt;='2025'!$M391), H$4&lt;&gt;DATE(2025,7,4)), (SWITCH(weekday(H$4), 1, 0, 2, if(ISBLANK('2025'!$P391), 0, 1), 3, if(ISBLANK('2025'!$Q391), 0, 1), 4, if(ISBLANK('2025'!$R391), 0, 1), 5, if(ISBLANK('2025'!$S391), 0, 1), 6, if(ISBLANK('2025'!$T391), 0, 1), 7, 0))), 1, "")</f>
        <v/>
      </c>
      <c r="I428" s="1" t="str">
        <f>IF(AND(AND(AND(I$4&gt;='2025'!$L391,I$4&lt;='2025'!$M391), I$4&lt;&gt;DATE(2025,7,4)), (SWITCH(weekday(I$4), 1, 0, 2, if(ISBLANK('2025'!$P391), 0, 1), 3, if(ISBLANK('2025'!$Q391), 0, 1), 4, if(ISBLANK('2025'!$R391), 0, 1), 5, if(ISBLANK('2025'!$S391), 0, 1), 6, if(ISBLANK('2025'!$T391), 0, 1), 7, 0))), 1, "")</f>
        <v/>
      </c>
      <c r="J428" s="1" t="str">
        <f>IF(AND(AND(AND(J$4&gt;='2025'!$L391,J$4&lt;='2025'!$M391), J$4&lt;&gt;DATE(2025,7,4)), (SWITCH(weekday(J$4), 1, 0, 2, if(ISBLANK('2025'!$P391), 0, 1), 3, if(ISBLANK('2025'!$Q391), 0, 1), 4, if(ISBLANK('2025'!$R391), 0, 1), 5, if(ISBLANK('2025'!$S391), 0, 1), 6, if(ISBLANK('2025'!$T391), 0, 1), 7, 0))), 1, "")</f>
        <v/>
      </c>
      <c r="K428" s="1" t="str">
        <f>IF(AND(AND(AND(K$4&gt;='2025'!$L391,K$4&lt;='2025'!$M391), K$4&lt;&gt;DATE(2025,7,4)), (SWITCH(weekday(K$4), 1, 0, 2, if(ISBLANK('2025'!$P391), 0, 1), 3, if(ISBLANK('2025'!$Q391), 0, 1), 4, if(ISBLANK('2025'!$R391), 0, 1), 5, if(ISBLANK('2025'!$S391), 0, 1), 6, if(ISBLANK('2025'!$T391), 0, 1), 7, 0))), 1, "")</f>
        <v/>
      </c>
      <c r="L428" s="1" t="str">
        <f>IF(AND(AND(AND(L$4&gt;='2025'!$L391,L$4&lt;='2025'!$M391), L$4&lt;&gt;DATE(2025,7,4)), (SWITCH(weekday(L$4), 1, 0, 2, if(ISBLANK('2025'!$P391), 0, 1), 3, if(ISBLANK('2025'!$Q391), 0, 1), 4, if(ISBLANK('2025'!$R391), 0, 1), 5, if(ISBLANK('2025'!$S391), 0, 1), 6, if(ISBLANK('2025'!$T391), 0, 1), 7, 0))), 1, "")</f>
        <v/>
      </c>
      <c r="M428" s="1" t="str">
        <f>IF(AND(AND(AND(M$4&gt;='2025'!$L391,M$4&lt;='2025'!$M391), M$4&lt;&gt;DATE(2025,7,4)), (SWITCH(weekday(M$4), 1, 0, 2, if(ISBLANK('2025'!$P391), 0, 1), 3, if(ISBLANK('2025'!$Q391), 0, 1), 4, if(ISBLANK('2025'!$R391), 0, 1), 5, if(ISBLANK('2025'!$S391), 0, 1), 6, if(ISBLANK('2025'!$T391), 0, 1), 7, 0))), 1, "")</f>
        <v/>
      </c>
      <c r="N428" s="1" t="str">
        <f>IF(AND(AND(AND(N$4&gt;='2025'!$L391,N$4&lt;='2025'!$M391), N$4&lt;&gt;DATE(2025,7,4)), (SWITCH(weekday(N$4), 1, 0, 2, if(ISBLANK('2025'!$P391), 0, 1), 3, if(ISBLANK('2025'!$Q391), 0, 1), 4, if(ISBLANK('2025'!$R391), 0, 1), 5, if(ISBLANK('2025'!$S391), 0, 1), 6, if(ISBLANK('2025'!$T391), 0, 1), 7, 0))), 1, "")</f>
        <v/>
      </c>
      <c r="O428" s="1" t="str">
        <f>IF(AND(AND(AND(O$4&gt;='2025'!$L391,O$4&lt;='2025'!$M391), O$4&lt;&gt;DATE(2025,7,4)), (SWITCH(weekday(O$4), 1, 0, 2, if(ISBLANK('2025'!$P391), 0, 1), 3, if(ISBLANK('2025'!$Q391), 0, 1), 4, if(ISBLANK('2025'!$R391), 0, 1), 5, if(ISBLANK('2025'!$S391), 0, 1), 6, if(ISBLANK('2025'!$T391), 0, 1), 7, 0))), 1, "")</f>
        <v/>
      </c>
      <c r="P428" s="1" t="str">
        <f>IF(AND(AND(AND(P$4&gt;='2025'!$L391,P$4&lt;='2025'!$M391), P$4&lt;&gt;DATE(2025,7,4)), (SWITCH(weekday(P$4), 1, 0, 2, if(ISBLANK('2025'!$P391), 0, 1), 3, if(ISBLANK('2025'!$Q391), 0, 1), 4, if(ISBLANK('2025'!$R391), 0, 1), 5, if(ISBLANK('2025'!$S391), 0, 1), 6, if(ISBLANK('2025'!$T391), 0, 1), 7, 0))), 1, "")</f>
        <v/>
      </c>
      <c r="Q428" s="1" t="str">
        <f>IF(AND(AND(AND(Q$4&gt;='2025'!$L391,Q$4&lt;='2025'!$M391), Q$4&lt;&gt;DATE(2025,7,4)), (SWITCH(weekday(Q$4), 1, 0, 2, if(ISBLANK('2025'!$P391), 0, 1), 3, if(ISBLANK('2025'!$Q391), 0, 1), 4, if(ISBLANK('2025'!$R391), 0, 1), 5, if(ISBLANK('2025'!$S391), 0, 1), 6, if(ISBLANK('2025'!$T391), 0, 1), 7, 0))), 1, "")</f>
        <v/>
      </c>
      <c r="R428" s="1" t="str">
        <f>IF(AND(AND(AND(R$4&gt;='2025'!$L391,R$4&lt;='2025'!$M391), R$4&lt;&gt;DATE(2025,7,4)), (SWITCH(weekday(R$4), 1, 0, 2, if(ISBLANK('2025'!$P391), 0, 1), 3, if(ISBLANK('2025'!$Q391), 0, 1), 4, if(ISBLANK('2025'!$R391), 0, 1), 5, if(ISBLANK('2025'!$S391), 0, 1), 6, if(ISBLANK('2025'!$T391), 0, 1), 7, 0))), 1, "")</f>
        <v/>
      </c>
      <c r="S428" s="1" t="str">
        <f>IF(AND(AND(AND(S$4&gt;='2025'!$L391,S$4&lt;='2025'!$M391), S$4&lt;&gt;DATE(2025,7,4)), (SWITCH(weekday(S$4), 1, 0, 2, if(ISBLANK('2025'!$P391), 0, 1), 3, if(ISBLANK('2025'!$Q391), 0, 1), 4, if(ISBLANK('2025'!$R391), 0, 1), 5, if(ISBLANK('2025'!$S391), 0, 1), 6, if(ISBLANK('2025'!$T391), 0, 1), 7, 0))), 1, "")</f>
        <v/>
      </c>
      <c r="T428" s="1" t="str">
        <f>IF(AND(AND(AND(T$4&gt;='2025'!$L391,T$4&lt;='2025'!$M391), T$4&lt;&gt;DATE(2025,7,4)), (SWITCH(weekday(T$4), 1, 0, 2, if(ISBLANK('2025'!$P391), 0, 1), 3, if(ISBLANK('2025'!$Q391), 0, 1), 4, if(ISBLANK('2025'!$R391), 0, 1), 5, if(ISBLANK('2025'!$S391), 0, 1), 6, if(ISBLANK('2025'!$T391), 0, 1), 7, 0))), 1, "")</f>
        <v/>
      </c>
      <c r="U428" s="1" t="str">
        <f>IF(AND(AND(AND(U$4&gt;='2025'!$L391,U$4&lt;='2025'!$M391), U$4&lt;&gt;DATE(2025,7,4)), (SWITCH(weekday(U$4), 1, 0, 2, if(ISBLANK('2025'!$P391), 0, 1), 3, if(ISBLANK('2025'!$Q391), 0, 1), 4, if(ISBLANK('2025'!$R391), 0, 1), 5, if(ISBLANK('2025'!$S391), 0, 1), 6, if(ISBLANK('2025'!$T391), 0, 1), 7, 0))), 1, "")</f>
        <v/>
      </c>
      <c r="V428" s="1" t="str">
        <f>IF(AND(AND(AND(V$4&gt;='2025'!$L391,V$4&lt;='2025'!$M391), V$4&lt;&gt;DATE(2025,7,4)), (SWITCH(weekday(V$4), 1, 0, 2, if(ISBLANK('2025'!$P391), 0, 1), 3, if(ISBLANK('2025'!$Q391), 0, 1), 4, if(ISBLANK('2025'!$R391), 0, 1), 5, if(ISBLANK('2025'!$S391), 0, 1), 6, if(ISBLANK('2025'!$T391), 0, 1), 7, 0))), 1, "")</f>
        <v/>
      </c>
      <c r="W428" s="1" t="str">
        <f>IF(AND(AND(AND(W$4&gt;='2025'!$L391,W$4&lt;='2025'!$M391), W$4&lt;&gt;DATE(2025,7,4)), (SWITCH(weekday(W$4), 1, 0, 2, if(ISBLANK('2025'!$P391), 0, 1), 3, if(ISBLANK('2025'!$Q391), 0, 1), 4, if(ISBLANK('2025'!$R391), 0, 1), 5, if(ISBLANK('2025'!$S391), 0, 1), 6, if(ISBLANK('2025'!$T391), 0, 1), 7, 0))), 1, "")</f>
        <v/>
      </c>
      <c r="X428" s="1" t="str">
        <f>IF(AND(AND(AND(X$4&gt;='2025'!$L391,X$4&lt;='2025'!$M391), X$4&lt;&gt;DATE(2025,7,4)), (SWITCH(weekday(X$4), 1, 0, 2, if(ISBLANK('2025'!$P391), 0, 1), 3, if(ISBLANK('2025'!$Q391), 0, 1), 4, if(ISBLANK('2025'!$R391), 0, 1), 5, if(ISBLANK('2025'!$S391), 0, 1), 6, if(ISBLANK('2025'!$T391), 0, 1), 7, 0))), 1, "")</f>
        <v/>
      </c>
      <c r="Y428" s="1" t="str">
        <f>IF(AND(AND(AND(Y$4&gt;='2025'!$L391,Y$4&lt;='2025'!$M391), Y$4&lt;&gt;DATE(2025,7,4)), (SWITCH(weekday(Y$4), 1, 0, 2, if(ISBLANK('2025'!$P391), 0, 1), 3, if(ISBLANK('2025'!$Q391), 0, 1), 4, if(ISBLANK('2025'!$R391), 0, 1), 5, if(ISBLANK('2025'!$S391), 0, 1), 6, if(ISBLANK('2025'!$T391), 0, 1), 7, 0))), 1, "")</f>
        <v/>
      </c>
      <c r="Z428" s="1" t="str">
        <f>IF(AND(AND(AND(Z$4&gt;='2025'!$L391,Z$4&lt;='2025'!$M391), Z$4&lt;&gt;DATE(2025,7,4)), (SWITCH(weekday(Z$4), 1, 0, 2, if(ISBLANK('2025'!$P391), 0, 1), 3, if(ISBLANK('2025'!$Q391), 0, 1), 4, if(ISBLANK('2025'!$R391), 0, 1), 5, if(ISBLANK('2025'!$S391), 0, 1), 6, if(ISBLANK('2025'!$T391), 0, 1), 7, 0))), 1, "")</f>
        <v/>
      </c>
      <c r="AA428" s="1" t="str">
        <f>IF(AND(AND(AND(AA$4&gt;='2025'!$L391,AA$4&lt;='2025'!$M391), AA$4&lt;&gt;DATE(2025,7,4)), (SWITCH(weekday(AA$4), 1, 0, 2, if(ISBLANK('2025'!$P391), 0, 1), 3, if(ISBLANK('2025'!$Q391), 0, 1), 4, if(ISBLANK('2025'!$R391), 0, 1), 5, if(ISBLANK('2025'!$S391), 0, 1), 6, if(ISBLANK('2025'!$T391), 0, 1), 7, 0))), 1, "")</f>
        <v/>
      </c>
      <c r="AB428" s="1" t="str">
        <f>IF(AND(AND(AND(AB$4&gt;='2025'!$L391,AB$4&lt;='2025'!$M391), AB$4&lt;&gt;DATE(2025,7,4)), (SWITCH(weekday(AB$4), 1, 0, 2, if(ISBLANK('2025'!$P391), 0, 1), 3, if(ISBLANK('2025'!$Q391), 0, 1), 4, if(ISBLANK('2025'!$R391), 0, 1), 5, if(ISBLANK('2025'!$S391), 0, 1), 6, if(ISBLANK('2025'!$T391), 0, 1), 7, 0))), 1, "")</f>
        <v/>
      </c>
      <c r="AC428" s="1" t="str">
        <f>IF(AND(AND(AND(AC$4&gt;='2025'!$L391,AC$4&lt;='2025'!$M391), AC$4&lt;&gt;DATE(2025,7,4)), (SWITCH(weekday(AC$4), 1, 0, 2, if(ISBLANK('2025'!$P391), 0, 1), 3, if(ISBLANK('2025'!$Q391), 0, 1), 4, if(ISBLANK('2025'!$R391), 0, 1), 5, if(ISBLANK('2025'!$S391), 0, 1), 6, if(ISBLANK('2025'!$T391), 0, 1), 7, 0))), 1, "")</f>
        <v/>
      </c>
      <c r="AD428" s="1" t="str">
        <f>IF(AND(AND(AND(AD$4&gt;='2025'!$L391,AD$4&lt;='2025'!$M391), AD$4&lt;&gt;DATE(2025,7,4)), (SWITCH(weekday(AD$4), 1, 0, 2, if(ISBLANK('2025'!$P391), 0, 1), 3, if(ISBLANK('2025'!$Q391), 0, 1), 4, if(ISBLANK('2025'!$R391), 0, 1), 5, if(ISBLANK('2025'!$S391), 0, 1), 6, if(ISBLANK('2025'!$T391), 0, 1), 7, 0))), 1, "")</f>
        <v/>
      </c>
      <c r="AE428" s="1" t="str">
        <f>IF(AND(AND(AND(AE$4&gt;='2025'!$L391,AE$4&lt;='2025'!$M391), AE$4&lt;&gt;DATE(2025,7,4)), (SWITCH(weekday(AE$4), 1, 0, 2, if(ISBLANK('2025'!$P391), 0, 1), 3, if(ISBLANK('2025'!$Q391), 0, 1), 4, if(ISBLANK('2025'!$R391), 0, 1), 5, if(ISBLANK('2025'!$S391), 0, 1), 6, if(ISBLANK('2025'!$T391), 0, 1), 7, 0))), 1, "")</f>
        <v/>
      </c>
      <c r="AF428" s="1" t="str">
        <f>IF(AND(AND(AND(AF$4&gt;='2025'!$L391,AF$4&lt;='2025'!$M391), AF$4&lt;&gt;DATE(2025,7,4)), (SWITCH(weekday(AF$4), 1, 0, 2, if(ISBLANK('2025'!$P391), 0, 1), 3, if(ISBLANK('2025'!$Q391), 0, 1), 4, if(ISBLANK('2025'!$R391), 0, 1), 5, if(ISBLANK('2025'!$S391), 0, 1), 6, if(ISBLANK('2025'!$T391), 0, 1), 7, 0))), 1, "")</f>
        <v/>
      </c>
      <c r="AG428" s="1" t="str">
        <f>IF(AND(AND(AND(AG$4&gt;='2025'!$L391,AG$4&lt;='2025'!$M391), AG$4&lt;&gt;DATE(2025,7,4)), (SWITCH(weekday(AG$4), 1, 0, 2, if(ISBLANK('2025'!$P391), 0, 1), 3, if(ISBLANK('2025'!$Q391), 0, 1), 4, if(ISBLANK('2025'!$R391), 0, 1), 5, if(ISBLANK('2025'!$S391), 0, 1), 6, if(ISBLANK('2025'!$T391), 0, 1), 7, 0))), 1, "")</f>
        <v/>
      </c>
      <c r="AH428" s="1" t="str">
        <f>IF(AND(AND(AND(AH$4&gt;='2025'!$L391,AH$4&lt;='2025'!$M391), AH$4&lt;&gt;DATE(2025,7,4)), (SWITCH(weekday(AH$4), 1, 0, 2, if(ISBLANK('2025'!$P391), 0, 1), 3, if(ISBLANK('2025'!$Q391), 0, 1), 4, if(ISBLANK('2025'!$R391), 0, 1), 5, if(ISBLANK('2025'!$S391), 0, 1), 6, if(ISBLANK('2025'!$T391), 0, 1), 7, 0))), 1, "")</f>
        <v/>
      </c>
      <c r="AI428" s="1" t="str">
        <f>IF(AND(AND(AND(AI$4&gt;='2025'!$L391,AI$4&lt;='2025'!$M391), AI$4&lt;&gt;DATE(2025,7,4)), (SWITCH(weekday(AI$4), 1, 0, 2, if(ISBLANK('2025'!$P391), 0, 1), 3, if(ISBLANK('2025'!$Q391), 0, 1), 4, if(ISBLANK('2025'!$R391), 0, 1), 5, if(ISBLANK('2025'!$S391), 0, 1), 6, if(ISBLANK('2025'!$T391), 0, 1), 7, 0))), 1, "")</f>
        <v/>
      </c>
      <c r="AJ428" s="1" t="str">
        <f>IF(AND(AND(AND(AJ$4&gt;='2025'!$L391,AJ$4&lt;='2025'!$M391), AJ$4&lt;&gt;DATE(2025,7,4)), (SWITCH(weekday(AJ$4), 1, 0, 2, if(ISBLANK('2025'!$P391), 0, 1), 3, if(ISBLANK('2025'!$Q391), 0, 1), 4, if(ISBLANK('2025'!$R391), 0, 1), 5, if(ISBLANK('2025'!$S391), 0, 1), 6, if(ISBLANK('2025'!$T391), 0, 1), 7, 0))), 1, "")</f>
        <v/>
      </c>
      <c r="AK428" s="1" t="str">
        <f>IF(AND(AND(AND(AK$4&gt;='2025'!$L391,AK$4&lt;='2025'!$M391), AK$4&lt;&gt;DATE(2025,7,4)), (SWITCH(weekday(AK$4), 1, 0, 2, if(ISBLANK('2025'!$P391), 0, 1), 3, if(ISBLANK('2025'!$Q391), 0, 1), 4, if(ISBLANK('2025'!$R391), 0, 1), 5, if(ISBLANK('2025'!$S391), 0, 1), 6, if(ISBLANK('2025'!$T391), 0, 1), 7, 0))), 1, "")</f>
        <v/>
      </c>
      <c r="AL428" s="1" t="str">
        <f>IF(AND(AND(AND(AL$4&gt;='2025'!$L391,AL$4&lt;='2025'!$M391), AL$4&lt;&gt;DATE(2025,7,4)), (SWITCH(weekday(AL$4), 1, 0, 2, if(ISBLANK('2025'!$P391), 0, 1), 3, if(ISBLANK('2025'!$Q391), 0, 1), 4, if(ISBLANK('2025'!$R391), 0, 1), 5, if(ISBLANK('2025'!$S391), 0, 1), 6, if(ISBLANK('2025'!$T391), 0, 1), 7, 0))), 1, "")</f>
        <v/>
      </c>
      <c r="AM428" s="1" t="str">
        <f>IF(AND(AND(AND(AM$4&gt;='2025'!$L391,AM$4&lt;='2025'!$M391), AM$4&lt;&gt;DATE(2025,7,4)), (SWITCH(weekday(AM$4), 1, 0, 2, if(ISBLANK('2025'!$P391), 0, 1), 3, if(ISBLANK('2025'!$Q391), 0, 1), 4, if(ISBLANK('2025'!$R391), 0, 1), 5, if(ISBLANK('2025'!$S391), 0, 1), 6, if(ISBLANK('2025'!$T391), 0, 1), 7, 0))), 1, "")</f>
        <v/>
      </c>
      <c r="AN428" s="1" t="str">
        <f>IF(AND(AND(AND(AN$4&gt;='2025'!$L391,AN$4&lt;='2025'!$M391), AN$4&lt;&gt;DATE(2025,7,4)), (SWITCH(weekday(AN$4), 1, 0, 2, if(ISBLANK('2025'!$P391), 0, 1), 3, if(ISBLANK('2025'!$Q391), 0, 1), 4, if(ISBLANK('2025'!$R391), 0, 1), 5, if(ISBLANK('2025'!$S391), 0, 1), 6, if(ISBLANK('2025'!$T391), 0, 1), 7, 0))), 1, "")</f>
        <v/>
      </c>
      <c r="AO428" s="1" t="str">
        <f>IF(AND(AND(AND(AO$4&gt;='2025'!$L391,AO$4&lt;='2025'!$M391), AO$4&lt;&gt;DATE(2025,7,4)), (SWITCH(weekday(AO$4), 1, 0, 2, if(ISBLANK('2025'!$P391), 0, 1), 3, if(ISBLANK('2025'!$Q391), 0, 1), 4, if(ISBLANK('2025'!$R391), 0, 1), 5, if(ISBLANK('2025'!$S391), 0, 1), 6, if(ISBLANK('2025'!$T391), 0, 1), 7, 0))), 1, "")</f>
        <v/>
      </c>
      <c r="AP428" s="1" t="str">
        <f>IF(AND(AND(AND(AP$4&gt;='2025'!$L391,AP$4&lt;='2025'!$M391), AP$4&lt;&gt;DATE(2025,7,4)), (SWITCH(weekday(AP$4), 1, 0, 2, if(ISBLANK('2025'!$P391), 0, 1), 3, if(ISBLANK('2025'!$Q391), 0, 1), 4, if(ISBLANK('2025'!$R391), 0, 1), 5, if(ISBLANK('2025'!$S391), 0, 1), 6, if(ISBLANK('2025'!$T391), 0, 1), 7, 0))), 1, "")</f>
        <v/>
      </c>
      <c r="AQ428" s="1" t="str">
        <f>IF(AND(AND(AND(AQ$4&gt;='2025'!$L391,AQ$4&lt;='2025'!$M391), AQ$4&lt;&gt;DATE(2025,7,4)), (SWITCH(weekday(AQ$4), 1, 0, 2, if(ISBLANK('2025'!$P391), 0, 1), 3, if(ISBLANK('2025'!$Q391), 0, 1), 4, if(ISBLANK('2025'!$R391), 0, 1), 5, if(ISBLANK('2025'!$S391), 0, 1), 6, if(ISBLANK('2025'!$T391), 0, 1), 7, 0))), 1, "")</f>
        <v/>
      </c>
      <c r="AR428" s="1" t="str">
        <f>IF(AND(AND(AND(AR$4&gt;='2025'!$L391,AR$4&lt;='2025'!$M391), AR$4&lt;&gt;DATE(2025,7,4)), (SWITCH(weekday(AR$4), 1, 0, 2, if(ISBLANK('2025'!$P391), 0, 1), 3, if(ISBLANK('2025'!$Q391), 0, 1), 4, if(ISBLANK('2025'!$R391), 0, 1), 5, if(ISBLANK('2025'!$S391), 0, 1), 6, if(ISBLANK('2025'!$T391), 0, 1), 7, 0))), 1, "")</f>
        <v/>
      </c>
      <c r="AS428" s="1" t="str">
        <f>IF(AND(AND(AND(AS$4&gt;='2025'!$L391,AS$4&lt;='2025'!$M391), AS$4&lt;&gt;DATE(2025,7,4)), (SWITCH(weekday(AS$4), 1, 0, 2, if(ISBLANK('2025'!$P391), 0, 1), 3, if(ISBLANK('2025'!$Q391), 0, 1), 4, if(ISBLANK('2025'!$R391), 0, 1), 5, if(ISBLANK('2025'!$S391), 0, 1), 6, if(ISBLANK('2025'!$T391), 0, 1), 7, 0))), 1, "")</f>
        <v/>
      </c>
      <c r="AT428" s="1" t="str">
        <f>IF(AND(AND(AND(AT$4&gt;='2025'!$L391,AT$4&lt;='2025'!$M391), AT$4&lt;&gt;DATE(2025,7,4)), (SWITCH(weekday(AT$4), 1, 0, 2, if(ISBLANK('2025'!$P391), 0, 1), 3, if(ISBLANK('2025'!$Q391), 0, 1), 4, if(ISBLANK('2025'!$R391), 0, 1), 5, if(ISBLANK('2025'!$S391), 0, 1), 6, if(ISBLANK('2025'!$T391), 0, 1), 7, 0))), 1, "")</f>
        <v/>
      </c>
      <c r="AU428" s="1" t="str">
        <f>IF(AND(AND(AND(AU$4&gt;='2025'!$L391,AU$4&lt;='2025'!$M391), AU$4&lt;&gt;DATE(2025,7,4)), (SWITCH(weekday(AU$4), 1, 0, 2, if(ISBLANK('2025'!$P391), 0, 1), 3, if(ISBLANK('2025'!$Q391), 0, 1), 4, if(ISBLANK('2025'!$R391), 0, 1), 5, if(ISBLANK('2025'!$S391), 0, 1), 6, if(ISBLANK('2025'!$T391), 0, 1), 7, 0))), 1, "")</f>
        <v/>
      </c>
      <c r="AV428" s="1" t="str">
        <f>IF(AND(AND(AND(AV$4&gt;='2025'!$L391,AV$4&lt;='2025'!$M391), AV$4&lt;&gt;DATE(2025,7,4)), (SWITCH(weekday(AV$4), 1, 0, 2, if(ISBLANK('2025'!$P391), 0, 1), 3, if(ISBLANK('2025'!$Q391), 0, 1), 4, if(ISBLANK('2025'!$R391), 0, 1), 5, if(ISBLANK('2025'!$S391), 0, 1), 6, if(ISBLANK('2025'!$T391), 0, 1), 7, 0))), 1, "")</f>
        <v/>
      </c>
      <c r="AW428" s="1" t="str">
        <f>IF(AND(AND(AND(AW$4&gt;='2025'!$L391,AW$4&lt;='2025'!$M391), AW$4&lt;&gt;DATE(2025,7,4)), (SWITCH(weekday(AW$4), 1, 0, 2, if(ISBLANK('2025'!$P391), 0, 1), 3, if(ISBLANK('2025'!$Q391), 0, 1), 4, if(ISBLANK('2025'!$R391), 0, 1), 5, if(ISBLANK('2025'!$S391), 0, 1), 6, if(ISBLANK('2025'!$T391), 0, 1), 7, 0))), 1, "")</f>
        <v/>
      </c>
      <c r="AX428" s="1" t="str">
        <f>IF(AND(AND(AND(AX$4&gt;='2025'!$L391,AX$4&lt;='2025'!$M391), AX$4&lt;&gt;DATE(2025,7,4)), (SWITCH(weekday(AX$4), 1, 0, 2, if(ISBLANK('2025'!$P391), 0, 1), 3, if(ISBLANK('2025'!$Q391), 0, 1), 4, if(ISBLANK('2025'!$R391), 0, 1), 5, if(ISBLANK('2025'!$S391), 0, 1), 6, if(ISBLANK('2025'!$T391), 0, 1), 7, 0))), 1, "")</f>
        <v/>
      </c>
      <c r="AY428" s="1" t="str">
        <f>IF(AND(AND(AND(AY$4&gt;='2025'!$L391,AY$4&lt;='2025'!$M391), AY$4&lt;&gt;DATE(2025,7,4)), (SWITCH(weekday(AY$4), 1, 0, 2, if(ISBLANK('2025'!$P391), 0, 1), 3, if(ISBLANK('2025'!$Q391), 0, 1), 4, if(ISBLANK('2025'!$R391), 0, 1), 5, if(ISBLANK('2025'!$S391), 0, 1), 6, if(ISBLANK('2025'!$T391), 0, 1), 7, 0))), 1, "")</f>
        <v/>
      </c>
      <c r="AZ428" s="1" t="str">
        <f>IF(AND(AND(AND(AZ$4&gt;='2025'!$L391,AZ$4&lt;='2025'!$M391), AZ$4&lt;&gt;DATE(2025,7,4)), (SWITCH(weekday(AZ$4), 1, 0, 2, if(ISBLANK('2025'!$P391), 0, 1), 3, if(ISBLANK('2025'!$Q391), 0, 1), 4, if(ISBLANK('2025'!$R391), 0, 1), 5, if(ISBLANK('2025'!$S391), 0, 1), 6, if(ISBLANK('2025'!$T391), 0, 1), 7, 0))), 1, "")</f>
        <v/>
      </c>
      <c r="BA428" s="1" t="str">
        <f>IF(AND(AND(AND(BA$4&gt;='2025'!$L391,BA$4&lt;='2025'!$M391), BA$4&lt;&gt;DATE(2025,7,4)), (SWITCH(weekday(BA$4), 1, 0, 2, if(ISBLANK('2025'!$P391), 0, 1), 3, if(ISBLANK('2025'!$Q391), 0, 1), 4, if(ISBLANK('2025'!$R391), 0, 1), 5, if(ISBLANK('2025'!$S391), 0, 1), 6, if(ISBLANK('2025'!$T391), 0, 1), 7, 0))), 1, "")</f>
        <v/>
      </c>
      <c r="BB428" s="1" t="str">
        <f>IF(AND(AND(AND(BB$4&gt;='2025'!$L391,BB$4&lt;='2025'!$M391), BB$4&lt;&gt;DATE(2025,7,4)), (SWITCH(weekday(BB$4), 1, 0, 2, if(ISBLANK('2025'!$P391), 0, 1), 3, if(ISBLANK('2025'!$Q391), 0, 1), 4, if(ISBLANK('2025'!$R391), 0, 1), 5, if(ISBLANK('2025'!$S391), 0, 1), 6, if(ISBLANK('2025'!$T391), 0, 1), 7, 0))), 1, "")</f>
        <v/>
      </c>
      <c r="BC428" s="1" t="str">
        <f>IF(AND(AND(AND(BC$4&gt;='2025'!$L391,BC$4&lt;='2025'!$M391), BC$4&lt;&gt;DATE(2025,7,4)), (SWITCH(weekday(BC$4), 1, 0, 2, if(ISBLANK('2025'!$P391), 0, 1), 3, if(ISBLANK('2025'!$Q391), 0, 1), 4, if(ISBLANK('2025'!$R391), 0, 1), 5, if(ISBLANK('2025'!$S391), 0, 1), 6, if(ISBLANK('2025'!$T391), 0, 1), 7, 0))), 1, "")</f>
        <v/>
      </c>
      <c r="BD428" s="1" t="str">
        <f>IF(AND(AND(AND(BD$4&gt;='2025'!$L391,BD$4&lt;='2025'!$M391), BD$4&lt;&gt;DATE(2025,7,4)), (SWITCH(weekday(BD$4), 1, 0, 2, if(ISBLANK('2025'!$P391), 0, 1), 3, if(ISBLANK('2025'!$Q391), 0, 1), 4, if(ISBLANK('2025'!$R391), 0, 1), 5, if(ISBLANK('2025'!$S391), 0, 1), 6, if(ISBLANK('2025'!$T391), 0, 1), 7, 0))), 1, "")</f>
        <v/>
      </c>
      <c r="BE428" s="1" t="str">
        <f>IF(AND(AND(AND(BE$4&gt;='2025'!$L391,BE$4&lt;='2025'!$M391), BE$4&lt;&gt;DATE(2025,7,4)), (SWITCH(weekday(BE$4), 1, 0, 2, if(ISBLANK('2025'!$P391), 0, 1), 3, if(ISBLANK('2025'!$Q391), 0, 1), 4, if(ISBLANK('2025'!$R391), 0, 1), 5, if(ISBLANK('2025'!$S391), 0, 1), 6, if(ISBLANK('2025'!$T391), 0, 1), 7, 0))), 1, "")</f>
        <v/>
      </c>
    </row>
    <row r="429">
      <c r="A429" s="1">
        <f t="shared" si="3"/>
        <v>429</v>
      </c>
      <c r="B429" s="1" t="str">
        <f>'2025'!D392</f>
        <v/>
      </c>
      <c r="C429" s="1" t="str">
        <f>'2025'!H392</f>
        <v/>
      </c>
      <c r="D429" s="1" t="str">
        <f>IF(AND(AND(AND(D$4&gt;='2025'!$L392,D$4&lt;='2025'!$M392), D$4&lt;&gt;DATE(2025,7,4)), (SWITCH(weekday(D$4), 1, 0, 2, if(ISBLANK('2025'!$P392), 0, 1), 3, if(ISBLANK('2025'!$Q392), 0, 1), 4, if(ISBLANK('2025'!$R392), 0, 1), 5, if(ISBLANK('2025'!$S392), 0, 1), 6, if(ISBLANK('2025'!$T392), 0, 1), 7, 0))), 1, "")</f>
        <v/>
      </c>
      <c r="E429" s="1" t="str">
        <f>IF(AND(AND(AND(E$4&gt;='2025'!$L392,E$4&lt;='2025'!$M392), E$4&lt;&gt;DATE(2025,7,4)), (SWITCH(weekday(E$4), 1, 0, 2, if(ISBLANK('2025'!$P392), 0, 1), 3, if(ISBLANK('2025'!$Q392), 0, 1), 4, if(ISBLANK('2025'!$R392), 0, 1), 5, if(ISBLANK('2025'!$S392), 0, 1), 6, if(ISBLANK('2025'!$T392), 0, 1), 7, 0))), 1, "")</f>
        <v/>
      </c>
      <c r="F429" s="1" t="str">
        <f>IF(AND(AND(AND(F$4&gt;='2025'!$L392,F$4&lt;='2025'!$M392), F$4&lt;&gt;DATE(2025,7,4)), (SWITCH(weekday(F$4), 1, 0, 2, if(ISBLANK('2025'!$P392), 0, 1), 3, if(ISBLANK('2025'!$Q392), 0, 1), 4, if(ISBLANK('2025'!$R392), 0, 1), 5, if(ISBLANK('2025'!$S392), 0, 1), 6, if(ISBLANK('2025'!$T392), 0, 1), 7, 0))), 1, "")</f>
        <v/>
      </c>
      <c r="G429" s="1" t="str">
        <f>IF(AND(AND(AND(G$4&gt;='2025'!$L392,G$4&lt;='2025'!$M392), G$4&lt;&gt;DATE(2025,7,4)), (SWITCH(weekday(G$4), 1, 0, 2, if(ISBLANK('2025'!$P392), 0, 1), 3, if(ISBLANK('2025'!$Q392), 0, 1), 4, if(ISBLANK('2025'!$R392), 0, 1), 5, if(ISBLANK('2025'!$S392), 0, 1), 6, if(ISBLANK('2025'!$T392), 0, 1), 7, 0))), 1, "")</f>
        <v/>
      </c>
      <c r="H429" s="1" t="str">
        <f>IF(AND(AND(AND(H$4&gt;='2025'!$L392,H$4&lt;='2025'!$M392), H$4&lt;&gt;DATE(2025,7,4)), (SWITCH(weekday(H$4), 1, 0, 2, if(ISBLANK('2025'!$P392), 0, 1), 3, if(ISBLANK('2025'!$Q392), 0, 1), 4, if(ISBLANK('2025'!$R392), 0, 1), 5, if(ISBLANK('2025'!$S392), 0, 1), 6, if(ISBLANK('2025'!$T392), 0, 1), 7, 0))), 1, "")</f>
        <v/>
      </c>
      <c r="I429" s="1" t="str">
        <f>IF(AND(AND(AND(I$4&gt;='2025'!$L392,I$4&lt;='2025'!$M392), I$4&lt;&gt;DATE(2025,7,4)), (SWITCH(weekday(I$4), 1, 0, 2, if(ISBLANK('2025'!$P392), 0, 1), 3, if(ISBLANK('2025'!$Q392), 0, 1), 4, if(ISBLANK('2025'!$R392), 0, 1), 5, if(ISBLANK('2025'!$S392), 0, 1), 6, if(ISBLANK('2025'!$T392), 0, 1), 7, 0))), 1, "")</f>
        <v/>
      </c>
      <c r="J429" s="1" t="str">
        <f>IF(AND(AND(AND(J$4&gt;='2025'!$L392,J$4&lt;='2025'!$M392), J$4&lt;&gt;DATE(2025,7,4)), (SWITCH(weekday(J$4), 1, 0, 2, if(ISBLANK('2025'!$P392), 0, 1), 3, if(ISBLANK('2025'!$Q392), 0, 1), 4, if(ISBLANK('2025'!$R392), 0, 1), 5, if(ISBLANK('2025'!$S392), 0, 1), 6, if(ISBLANK('2025'!$T392), 0, 1), 7, 0))), 1, "")</f>
        <v/>
      </c>
      <c r="K429" s="1" t="str">
        <f>IF(AND(AND(AND(K$4&gt;='2025'!$L392,K$4&lt;='2025'!$M392), K$4&lt;&gt;DATE(2025,7,4)), (SWITCH(weekday(K$4), 1, 0, 2, if(ISBLANK('2025'!$P392), 0, 1), 3, if(ISBLANK('2025'!$Q392), 0, 1), 4, if(ISBLANK('2025'!$R392), 0, 1), 5, if(ISBLANK('2025'!$S392), 0, 1), 6, if(ISBLANK('2025'!$T392), 0, 1), 7, 0))), 1, "")</f>
        <v/>
      </c>
      <c r="L429" s="1" t="str">
        <f>IF(AND(AND(AND(L$4&gt;='2025'!$L392,L$4&lt;='2025'!$M392), L$4&lt;&gt;DATE(2025,7,4)), (SWITCH(weekday(L$4), 1, 0, 2, if(ISBLANK('2025'!$P392), 0, 1), 3, if(ISBLANK('2025'!$Q392), 0, 1), 4, if(ISBLANK('2025'!$R392), 0, 1), 5, if(ISBLANK('2025'!$S392), 0, 1), 6, if(ISBLANK('2025'!$T392), 0, 1), 7, 0))), 1, "")</f>
        <v/>
      </c>
      <c r="M429" s="1" t="str">
        <f>IF(AND(AND(AND(M$4&gt;='2025'!$L392,M$4&lt;='2025'!$M392), M$4&lt;&gt;DATE(2025,7,4)), (SWITCH(weekday(M$4), 1, 0, 2, if(ISBLANK('2025'!$P392), 0, 1), 3, if(ISBLANK('2025'!$Q392), 0, 1), 4, if(ISBLANK('2025'!$R392), 0, 1), 5, if(ISBLANK('2025'!$S392), 0, 1), 6, if(ISBLANK('2025'!$T392), 0, 1), 7, 0))), 1, "")</f>
        <v/>
      </c>
      <c r="N429" s="1" t="str">
        <f>IF(AND(AND(AND(N$4&gt;='2025'!$L392,N$4&lt;='2025'!$M392), N$4&lt;&gt;DATE(2025,7,4)), (SWITCH(weekday(N$4), 1, 0, 2, if(ISBLANK('2025'!$P392), 0, 1), 3, if(ISBLANK('2025'!$Q392), 0, 1), 4, if(ISBLANK('2025'!$R392), 0, 1), 5, if(ISBLANK('2025'!$S392), 0, 1), 6, if(ISBLANK('2025'!$T392), 0, 1), 7, 0))), 1, "")</f>
        <v/>
      </c>
      <c r="O429" s="1" t="str">
        <f>IF(AND(AND(AND(O$4&gt;='2025'!$L392,O$4&lt;='2025'!$M392), O$4&lt;&gt;DATE(2025,7,4)), (SWITCH(weekday(O$4), 1, 0, 2, if(ISBLANK('2025'!$P392), 0, 1), 3, if(ISBLANK('2025'!$Q392), 0, 1), 4, if(ISBLANK('2025'!$R392), 0, 1), 5, if(ISBLANK('2025'!$S392), 0, 1), 6, if(ISBLANK('2025'!$T392), 0, 1), 7, 0))), 1, "")</f>
        <v/>
      </c>
      <c r="P429" s="1" t="str">
        <f>IF(AND(AND(AND(P$4&gt;='2025'!$L392,P$4&lt;='2025'!$M392), P$4&lt;&gt;DATE(2025,7,4)), (SWITCH(weekday(P$4), 1, 0, 2, if(ISBLANK('2025'!$P392), 0, 1), 3, if(ISBLANK('2025'!$Q392), 0, 1), 4, if(ISBLANK('2025'!$R392), 0, 1), 5, if(ISBLANK('2025'!$S392), 0, 1), 6, if(ISBLANK('2025'!$T392), 0, 1), 7, 0))), 1, "")</f>
        <v/>
      </c>
      <c r="Q429" s="1" t="str">
        <f>IF(AND(AND(AND(Q$4&gt;='2025'!$L392,Q$4&lt;='2025'!$M392), Q$4&lt;&gt;DATE(2025,7,4)), (SWITCH(weekday(Q$4), 1, 0, 2, if(ISBLANK('2025'!$P392), 0, 1), 3, if(ISBLANK('2025'!$Q392), 0, 1), 4, if(ISBLANK('2025'!$R392), 0, 1), 5, if(ISBLANK('2025'!$S392), 0, 1), 6, if(ISBLANK('2025'!$T392), 0, 1), 7, 0))), 1, "")</f>
        <v/>
      </c>
      <c r="R429" s="1" t="str">
        <f>IF(AND(AND(AND(R$4&gt;='2025'!$L392,R$4&lt;='2025'!$M392), R$4&lt;&gt;DATE(2025,7,4)), (SWITCH(weekday(R$4), 1, 0, 2, if(ISBLANK('2025'!$P392), 0, 1), 3, if(ISBLANK('2025'!$Q392), 0, 1), 4, if(ISBLANK('2025'!$R392), 0, 1), 5, if(ISBLANK('2025'!$S392), 0, 1), 6, if(ISBLANK('2025'!$T392), 0, 1), 7, 0))), 1, "")</f>
        <v/>
      </c>
      <c r="S429" s="1" t="str">
        <f>IF(AND(AND(AND(S$4&gt;='2025'!$L392,S$4&lt;='2025'!$M392), S$4&lt;&gt;DATE(2025,7,4)), (SWITCH(weekday(S$4), 1, 0, 2, if(ISBLANK('2025'!$P392), 0, 1), 3, if(ISBLANK('2025'!$Q392), 0, 1), 4, if(ISBLANK('2025'!$R392), 0, 1), 5, if(ISBLANK('2025'!$S392), 0, 1), 6, if(ISBLANK('2025'!$T392), 0, 1), 7, 0))), 1, "")</f>
        <v/>
      </c>
      <c r="T429" s="1" t="str">
        <f>IF(AND(AND(AND(T$4&gt;='2025'!$L392,T$4&lt;='2025'!$M392), T$4&lt;&gt;DATE(2025,7,4)), (SWITCH(weekday(T$4), 1, 0, 2, if(ISBLANK('2025'!$P392), 0, 1), 3, if(ISBLANK('2025'!$Q392), 0, 1), 4, if(ISBLANK('2025'!$R392), 0, 1), 5, if(ISBLANK('2025'!$S392), 0, 1), 6, if(ISBLANK('2025'!$T392), 0, 1), 7, 0))), 1, "")</f>
        <v/>
      </c>
      <c r="U429" s="1" t="str">
        <f>IF(AND(AND(AND(U$4&gt;='2025'!$L392,U$4&lt;='2025'!$M392), U$4&lt;&gt;DATE(2025,7,4)), (SWITCH(weekday(U$4), 1, 0, 2, if(ISBLANK('2025'!$P392), 0, 1), 3, if(ISBLANK('2025'!$Q392), 0, 1), 4, if(ISBLANK('2025'!$R392), 0, 1), 5, if(ISBLANK('2025'!$S392), 0, 1), 6, if(ISBLANK('2025'!$T392), 0, 1), 7, 0))), 1, "")</f>
        <v/>
      </c>
      <c r="V429" s="1" t="str">
        <f>IF(AND(AND(AND(V$4&gt;='2025'!$L392,V$4&lt;='2025'!$M392), V$4&lt;&gt;DATE(2025,7,4)), (SWITCH(weekday(V$4), 1, 0, 2, if(ISBLANK('2025'!$P392), 0, 1), 3, if(ISBLANK('2025'!$Q392), 0, 1), 4, if(ISBLANK('2025'!$R392), 0, 1), 5, if(ISBLANK('2025'!$S392), 0, 1), 6, if(ISBLANK('2025'!$T392), 0, 1), 7, 0))), 1, "")</f>
        <v/>
      </c>
      <c r="W429" s="1" t="str">
        <f>IF(AND(AND(AND(W$4&gt;='2025'!$L392,W$4&lt;='2025'!$M392), W$4&lt;&gt;DATE(2025,7,4)), (SWITCH(weekday(W$4), 1, 0, 2, if(ISBLANK('2025'!$P392), 0, 1), 3, if(ISBLANK('2025'!$Q392), 0, 1), 4, if(ISBLANK('2025'!$R392), 0, 1), 5, if(ISBLANK('2025'!$S392), 0, 1), 6, if(ISBLANK('2025'!$T392), 0, 1), 7, 0))), 1, "")</f>
        <v/>
      </c>
      <c r="X429" s="1" t="str">
        <f>IF(AND(AND(AND(X$4&gt;='2025'!$L392,X$4&lt;='2025'!$M392), X$4&lt;&gt;DATE(2025,7,4)), (SWITCH(weekday(X$4), 1, 0, 2, if(ISBLANK('2025'!$P392), 0, 1), 3, if(ISBLANK('2025'!$Q392), 0, 1), 4, if(ISBLANK('2025'!$R392), 0, 1), 5, if(ISBLANK('2025'!$S392), 0, 1), 6, if(ISBLANK('2025'!$T392), 0, 1), 7, 0))), 1, "")</f>
        <v/>
      </c>
      <c r="Y429" s="1" t="str">
        <f>IF(AND(AND(AND(Y$4&gt;='2025'!$L392,Y$4&lt;='2025'!$M392), Y$4&lt;&gt;DATE(2025,7,4)), (SWITCH(weekday(Y$4), 1, 0, 2, if(ISBLANK('2025'!$P392), 0, 1), 3, if(ISBLANK('2025'!$Q392), 0, 1), 4, if(ISBLANK('2025'!$R392), 0, 1), 5, if(ISBLANK('2025'!$S392), 0, 1), 6, if(ISBLANK('2025'!$T392), 0, 1), 7, 0))), 1, "")</f>
        <v/>
      </c>
      <c r="Z429" s="1" t="str">
        <f>IF(AND(AND(AND(Z$4&gt;='2025'!$L392,Z$4&lt;='2025'!$M392), Z$4&lt;&gt;DATE(2025,7,4)), (SWITCH(weekday(Z$4), 1, 0, 2, if(ISBLANK('2025'!$P392), 0, 1), 3, if(ISBLANK('2025'!$Q392), 0, 1), 4, if(ISBLANK('2025'!$R392), 0, 1), 5, if(ISBLANK('2025'!$S392), 0, 1), 6, if(ISBLANK('2025'!$T392), 0, 1), 7, 0))), 1, "")</f>
        <v/>
      </c>
      <c r="AA429" s="1" t="str">
        <f>IF(AND(AND(AND(AA$4&gt;='2025'!$L392,AA$4&lt;='2025'!$M392), AA$4&lt;&gt;DATE(2025,7,4)), (SWITCH(weekday(AA$4), 1, 0, 2, if(ISBLANK('2025'!$P392), 0, 1), 3, if(ISBLANK('2025'!$Q392), 0, 1), 4, if(ISBLANK('2025'!$R392), 0, 1), 5, if(ISBLANK('2025'!$S392), 0, 1), 6, if(ISBLANK('2025'!$T392), 0, 1), 7, 0))), 1, "")</f>
        <v/>
      </c>
      <c r="AB429" s="1" t="str">
        <f>IF(AND(AND(AND(AB$4&gt;='2025'!$L392,AB$4&lt;='2025'!$M392), AB$4&lt;&gt;DATE(2025,7,4)), (SWITCH(weekday(AB$4), 1, 0, 2, if(ISBLANK('2025'!$P392), 0, 1), 3, if(ISBLANK('2025'!$Q392), 0, 1), 4, if(ISBLANK('2025'!$R392), 0, 1), 5, if(ISBLANK('2025'!$S392), 0, 1), 6, if(ISBLANK('2025'!$T392), 0, 1), 7, 0))), 1, "")</f>
        <v/>
      </c>
      <c r="AC429" s="1" t="str">
        <f>IF(AND(AND(AND(AC$4&gt;='2025'!$L392,AC$4&lt;='2025'!$M392), AC$4&lt;&gt;DATE(2025,7,4)), (SWITCH(weekday(AC$4), 1, 0, 2, if(ISBLANK('2025'!$P392), 0, 1), 3, if(ISBLANK('2025'!$Q392), 0, 1), 4, if(ISBLANK('2025'!$R392), 0, 1), 5, if(ISBLANK('2025'!$S392), 0, 1), 6, if(ISBLANK('2025'!$T392), 0, 1), 7, 0))), 1, "")</f>
        <v/>
      </c>
      <c r="AD429" s="1" t="str">
        <f>IF(AND(AND(AND(AD$4&gt;='2025'!$L392,AD$4&lt;='2025'!$M392), AD$4&lt;&gt;DATE(2025,7,4)), (SWITCH(weekday(AD$4), 1, 0, 2, if(ISBLANK('2025'!$P392), 0, 1), 3, if(ISBLANK('2025'!$Q392), 0, 1), 4, if(ISBLANK('2025'!$R392), 0, 1), 5, if(ISBLANK('2025'!$S392), 0, 1), 6, if(ISBLANK('2025'!$T392), 0, 1), 7, 0))), 1, "")</f>
        <v/>
      </c>
      <c r="AE429" s="1" t="str">
        <f>IF(AND(AND(AND(AE$4&gt;='2025'!$L392,AE$4&lt;='2025'!$M392), AE$4&lt;&gt;DATE(2025,7,4)), (SWITCH(weekday(AE$4), 1, 0, 2, if(ISBLANK('2025'!$P392), 0, 1), 3, if(ISBLANK('2025'!$Q392), 0, 1), 4, if(ISBLANK('2025'!$R392), 0, 1), 5, if(ISBLANK('2025'!$S392), 0, 1), 6, if(ISBLANK('2025'!$T392), 0, 1), 7, 0))), 1, "")</f>
        <v/>
      </c>
      <c r="AF429" s="1" t="str">
        <f>IF(AND(AND(AND(AF$4&gt;='2025'!$L392,AF$4&lt;='2025'!$M392), AF$4&lt;&gt;DATE(2025,7,4)), (SWITCH(weekday(AF$4), 1, 0, 2, if(ISBLANK('2025'!$P392), 0, 1), 3, if(ISBLANK('2025'!$Q392), 0, 1), 4, if(ISBLANK('2025'!$R392), 0, 1), 5, if(ISBLANK('2025'!$S392), 0, 1), 6, if(ISBLANK('2025'!$T392), 0, 1), 7, 0))), 1, "")</f>
        <v/>
      </c>
      <c r="AG429" s="1" t="str">
        <f>IF(AND(AND(AND(AG$4&gt;='2025'!$L392,AG$4&lt;='2025'!$M392), AG$4&lt;&gt;DATE(2025,7,4)), (SWITCH(weekday(AG$4), 1, 0, 2, if(ISBLANK('2025'!$P392), 0, 1), 3, if(ISBLANK('2025'!$Q392), 0, 1), 4, if(ISBLANK('2025'!$R392), 0, 1), 5, if(ISBLANK('2025'!$S392), 0, 1), 6, if(ISBLANK('2025'!$T392), 0, 1), 7, 0))), 1, "")</f>
        <v/>
      </c>
      <c r="AH429" s="1" t="str">
        <f>IF(AND(AND(AND(AH$4&gt;='2025'!$L392,AH$4&lt;='2025'!$M392), AH$4&lt;&gt;DATE(2025,7,4)), (SWITCH(weekday(AH$4), 1, 0, 2, if(ISBLANK('2025'!$P392), 0, 1), 3, if(ISBLANK('2025'!$Q392), 0, 1), 4, if(ISBLANK('2025'!$R392), 0, 1), 5, if(ISBLANK('2025'!$S392), 0, 1), 6, if(ISBLANK('2025'!$T392), 0, 1), 7, 0))), 1, "")</f>
        <v/>
      </c>
      <c r="AI429" s="1" t="str">
        <f>IF(AND(AND(AND(AI$4&gt;='2025'!$L392,AI$4&lt;='2025'!$M392), AI$4&lt;&gt;DATE(2025,7,4)), (SWITCH(weekday(AI$4), 1, 0, 2, if(ISBLANK('2025'!$P392), 0, 1), 3, if(ISBLANK('2025'!$Q392), 0, 1), 4, if(ISBLANK('2025'!$R392), 0, 1), 5, if(ISBLANK('2025'!$S392), 0, 1), 6, if(ISBLANK('2025'!$T392), 0, 1), 7, 0))), 1, "")</f>
        <v/>
      </c>
      <c r="AJ429" s="1" t="str">
        <f>IF(AND(AND(AND(AJ$4&gt;='2025'!$L392,AJ$4&lt;='2025'!$M392), AJ$4&lt;&gt;DATE(2025,7,4)), (SWITCH(weekday(AJ$4), 1, 0, 2, if(ISBLANK('2025'!$P392), 0, 1), 3, if(ISBLANK('2025'!$Q392), 0, 1), 4, if(ISBLANK('2025'!$R392), 0, 1), 5, if(ISBLANK('2025'!$S392), 0, 1), 6, if(ISBLANK('2025'!$T392), 0, 1), 7, 0))), 1, "")</f>
        <v/>
      </c>
      <c r="AK429" s="1" t="str">
        <f>IF(AND(AND(AND(AK$4&gt;='2025'!$L392,AK$4&lt;='2025'!$M392), AK$4&lt;&gt;DATE(2025,7,4)), (SWITCH(weekday(AK$4), 1, 0, 2, if(ISBLANK('2025'!$P392), 0, 1), 3, if(ISBLANK('2025'!$Q392), 0, 1), 4, if(ISBLANK('2025'!$R392), 0, 1), 5, if(ISBLANK('2025'!$S392), 0, 1), 6, if(ISBLANK('2025'!$T392), 0, 1), 7, 0))), 1, "")</f>
        <v/>
      </c>
      <c r="AL429" s="1" t="str">
        <f>IF(AND(AND(AND(AL$4&gt;='2025'!$L392,AL$4&lt;='2025'!$M392), AL$4&lt;&gt;DATE(2025,7,4)), (SWITCH(weekday(AL$4), 1, 0, 2, if(ISBLANK('2025'!$P392), 0, 1), 3, if(ISBLANK('2025'!$Q392), 0, 1), 4, if(ISBLANK('2025'!$R392), 0, 1), 5, if(ISBLANK('2025'!$S392), 0, 1), 6, if(ISBLANK('2025'!$T392), 0, 1), 7, 0))), 1, "")</f>
        <v/>
      </c>
      <c r="AM429" s="1" t="str">
        <f>IF(AND(AND(AND(AM$4&gt;='2025'!$L392,AM$4&lt;='2025'!$M392), AM$4&lt;&gt;DATE(2025,7,4)), (SWITCH(weekday(AM$4), 1, 0, 2, if(ISBLANK('2025'!$P392), 0, 1), 3, if(ISBLANK('2025'!$Q392), 0, 1), 4, if(ISBLANK('2025'!$R392), 0, 1), 5, if(ISBLANK('2025'!$S392), 0, 1), 6, if(ISBLANK('2025'!$T392), 0, 1), 7, 0))), 1, "")</f>
        <v/>
      </c>
      <c r="AN429" s="1" t="str">
        <f>IF(AND(AND(AND(AN$4&gt;='2025'!$L392,AN$4&lt;='2025'!$M392), AN$4&lt;&gt;DATE(2025,7,4)), (SWITCH(weekday(AN$4), 1, 0, 2, if(ISBLANK('2025'!$P392), 0, 1), 3, if(ISBLANK('2025'!$Q392), 0, 1), 4, if(ISBLANK('2025'!$R392), 0, 1), 5, if(ISBLANK('2025'!$S392), 0, 1), 6, if(ISBLANK('2025'!$T392), 0, 1), 7, 0))), 1, "")</f>
        <v/>
      </c>
      <c r="AO429" s="1" t="str">
        <f>IF(AND(AND(AND(AO$4&gt;='2025'!$L392,AO$4&lt;='2025'!$M392), AO$4&lt;&gt;DATE(2025,7,4)), (SWITCH(weekday(AO$4), 1, 0, 2, if(ISBLANK('2025'!$P392), 0, 1), 3, if(ISBLANK('2025'!$Q392), 0, 1), 4, if(ISBLANK('2025'!$R392), 0, 1), 5, if(ISBLANK('2025'!$S392), 0, 1), 6, if(ISBLANK('2025'!$T392), 0, 1), 7, 0))), 1, "")</f>
        <v/>
      </c>
      <c r="AP429" s="1" t="str">
        <f>IF(AND(AND(AND(AP$4&gt;='2025'!$L392,AP$4&lt;='2025'!$M392), AP$4&lt;&gt;DATE(2025,7,4)), (SWITCH(weekday(AP$4), 1, 0, 2, if(ISBLANK('2025'!$P392), 0, 1), 3, if(ISBLANK('2025'!$Q392), 0, 1), 4, if(ISBLANK('2025'!$R392), 0, 1), 5, if(ISBLANK('2025'!$S392), 0, 1), 6, if(ISBLANK('2025'!$T392), 0, 1), 7, 0))), 1, "")</f>
        <v/>
      </c>
      <c r="AQ429" s="1" t="str">
        <f>IF(AND(AND(AND(AQ$4&gt;='2025'!$L392,AQ$4&lt;='2025'!$M392), AQ$4&lt;&gt;DATE(2025,7,4)), (SWITCH(weekday(AQ$4), 1, 0, 2, if(ISBLANK('2025'!$P392), 0, 1), 3, if(ISBLANK('2025'!$Q392), 0, 1), 4, if(ISBLANK('2025'!$R392), 0, 1), 5, if(ISBLANK('2025'!$S392), 0, 1), 6, if(ISBLANK('2025'!$T392), 0, 1), 7, 0))), 1, "")</f>
        <v/>
      </c>
      <c r="AR429" s="1" t="str">
        <f>IF(AND(AND(AND(AR$4&gt;='2025'!$L392,AR$4&lt;='2025'!$M392), AR$4&lt;&gt;DATE(2025,7,4)), (SWITCH(weekday(AR$4), 1, 0, 2, if(ISBLANK('2025'!$P392), 0, 1), 3, if(ISBLANK('2025'!$Q392), 0, 1), 4, if(ISBLANK('2025'!$R392), 0, 1), 5, if(ISBLANK('2025'!$S392), 0, 1), 6, if(ISBLANK('2025'!$T392), 0, 1), 7, 0))), 1, "")</f>
        <v/>
      </c>
      <c r="AS429" s="1" t="str">
        <f>IF(AND(AND(AND(AS$4&gt;='2025'!$L392,AS$4&lt;='2025'!$M392), AS$4&lt;&gt;DATE(2025,7,4)), (SWITCH(weekday(AS$4), 1, 0, 2, if(ISBLANK('2025'!$P392), 0, 1), 3, if(ISBLANK('2025'!$Q392), 0, 1), 4, if(ISBLANK('2025'!$R392), 0, 1), 5, if(ISBLANK('2025'!$S392), 0, 1), 6, if(ISBLANK('2025'!$T392), 0, 1), 7, 0))), 1, "")</f>
        <v/>
      </c>
      <c r="AT429" s="1" t="str">
        <f>IF(AND(AND(AND(AT$4&gt;='2025'!$L392,AT$4&lt;='2025'!$M392), AT$4&lt;&gt;DATE(2025,7,4)), (SWITCH(weekday(AT$4), 1, 0, 2, if(ISBLANK('2025'!$P392), 0, 1), 3, if(ISBLANK('2025'!$Q392), 0, 1), 4, if(ISBLANK('2025'!$R392), 0, 1), 5, if(ISBLANK('2025'!$S392), 0, 1), 6, if(ISBLANK('2025'!$T392), 0, 1), 7, 0))), 1, "")</f>
        <v/>
      </c>
      <c r="AU429" s="1" t="str">
        <f>IF(AND(AND(AND(AU$4&gt;='2025'!$L392,AU$4&lt;='2025'!$M392), AU$4&lt;&gt;DATE(2025,7,4)), (SWITCH(weekday(AU$4), 1, 0, 2, if(ISBLANK('2025'!$P392), 0, 1), 3, if(ISBLANK('2025'!$Q392), 0, 1), 4, if(ISBLANK('2025'!$R392), 0, 1), 5, if(ISBLANK('2025'!$S392), 0, 1), 6, if(ISBLANK('2025'!$T392), 0, 1), 7, 0))), 1, "")</f>
        <v/>
      </c>
      <c r="AV429" s="1" t="str">
        <f>IF(AND(AND(AND(AV$4&gt;='2025'!$L392,AV$4&lt;='2025'!$M392), AV$4&lt;&gt;DATE(2025,7,4)), (SWITCH(weekday(AV$4), 1, 0, 2, if(ISBLANK('2025'!$P392), 0, 1), 3, if(ISBLANK('2025'!$Q392), 0, 1), 4, if(ISBLANK('2025'!$R392), 0, 1), 5, if(ISBLANK('2025'!$S392), 0, 1), 6, if(ISBLANK('2025'!$T392), 0, 1), 7, 0))), 1, "")</f>
        <v/>
      </c>
      <c r="AW429" s="1" t="str">
        <f>IF(AND(AND(AND(AW$4&gt;='2025'!$L392,AW$4&lt;='2025'!$M392), AW$4&lt;&gt;DATE(2025,7,4)), (SWITCH(weekday(AW$4), 1, 0, 2, if(ISBLANK('2025'!$P392), 0, 1), 3, if(ISBLANK('2025'!$Q392), 0, 1), 4, if(ISBLANK('2025'!$R392), 0, 1), 5, if(ISBLANK('2025'!$S392), 0, 1), 6, if(ISBLANK('2025'!$T392), 0, 1), 7, 0))), 1, "")</f>
        <v/>
      </c>
      <c r="AX429" s="1" t="str">
        <f>IF(AND(AND(AND(AX$4&gt;='2025'!$L392,AX$4&lt;='2025'!$M392), AX$4&lt;&gt;DATE(2025,7,4)), (SWITCH(weekday(AX$4), 1, 0, 2, if(ISBLANK('2025'!$P392), 0, 1), 3, if(ISBLANK('2025'!$Q392), 0, 1), 4, if(ISBLANK('2025'!$R392), 0, 1), 5, if(ISBLANK('2025'!$S392), 0, 1), 6, if(ISBLANK('2025'!$T392), 0, 1), 7, 0))), 1, "")</f>
        <v/>
      </c>
      <c r="AY429" s="1" t="str">
        <f>IF(AND(AND(AND(AY$4&gt;='2025'!$L392,AY$4&lt;='2025'!$M392), AY$4&lt;&gt;DATE(2025,7,4)), (SWITCH(weekday(AY$4), 1, 0, 2, if(ISBLANK('2025'!$P392), 0, 1), 3, if(ISBLANK('2025'!$Q392), 0, 1), 4, if(ISBLANK('2025'!$R392), 0, 1), 5, if(ISBLANK('2025'!$S392), 0, 1), 6, if(ISBLANK('2025'!$T392), 0, 1), 7, 0))), 1, "")</f>
        <v/>
      </c>
      <c r="AZ429" s="1" t="str">
        <f>IF(AND(AND(AND(AZ$4&gt;='2025'!$L392,AZ$4&lt;='2025'!$M392), AZ$4&lt;&gt;DATE(2025,7,4)), (SWITCH(weekday(AZ$4), 1, 0, 2, if(ISBLANK('2025'!$P392), 0, 1), 3, if(ISBLANK('2025'!$Q392), 0, 1), 4, if(ISBLANK('2025'!$R392), 0, 1), 5, if(ISBLANK('2025'!$S392), 0, 1), 6, if(ISBLANK('2025'!$T392), 0, 1), 7, 0))), 1, "")</f>
        <v/>
      </c>
      <c r="BA429" s="1" t="str">
        <f>IF(AND(AND(AND(BA$4&gt;='2025'!$L392,BA$4&lt;='2025'!$M392), BA$4&lt;&gt;DATE(2025,7,4)), (SWITCH(weekday(BA$4), 1, 0, 2, if(ISBLANK('2025'!$P392), 0, 1), 3, if(ISBLANK('2025'!$Q392), 0, 1), 4, if(ISBLANK('2025'!$R392), 0, 1), 5, if(ISBLANK('2025'!$S392), 0, 1), 6, if(ISBLANK('2025'!$T392), 0, 1), 7, 0))), 1, "")</f>
        <v/>
      </c>
      <c r="BB429" s="1" t="str">
        <f>IF(AND(AND(AND(BB$4&gt;='2025'!$L392,BB$4&lt;='2025'!$M392), BB$4&lt;&gt;DATE(2025,7,4)), (SWITCH(weekday(BB$4), 1, 0, 2, if(ISBLANK('2025'!$P392), 0, 1), 3, if(ISBLANK('2025'!$Q392), 0, 1), 4, if(ISBLANK('2025'!$R392), 0, 1), 5, if(ISBLANK('2025'!$S392), 0, 1), 6, if(ISBLANK('2025'!$T392), 0, 1), 7, 0))), 1, "")</f>
        <v/>
      </c>
      <c r="BC429" s="1" t="str">
        <f>IF(AND(AND(AND(BC$4&gt;='2025'!$L392,BC$4&lt;='2025'!$M392), BC$4&lt;&gt;DATE(2025,7,4)), (SWITCH(weekday(BC$4), 1, 0, 2, if(ISBLANK('2025'!$P392), 0, 1), 3, if(ISBLANK('2025'!$Q392), 0, 1), 4, if(ISBLANK('2025'!$R392), 0, 1), 5, if(ISBLANK('2025'!$S392), 0, 1), 6, if(ISBLANK('2025'!$T392), 0, 1), 7, 0))), 1, "")</f>
        <v/>
      </c>
      <c r="BD429" s="1" t="str">
        <f>IF(AND(AND(AND(BD$4&gt;='2025'!$L392,BD$4&lt;='2025'!$M392), BD$4&lt;&gt;DATE(2025,7,4)), (SWITCH(weekday(BD$4), 1, 0, 2, if(ISBLANK('2025'!$P392), 0, 1), 3, if(ISBLANK('2025'!$Q392), 0, 1), 4, if(ISBLANK('2025'!$R392), 0, 1), 5, if(ISBLANK('2025'!$S392), 0, 1), 6, if(ISBLANK('2025'!$T392), 0, 1), 7, 0))), 1, "")</f>
        <v/>
      </c>
      <c r="BE429" s="1" t="str">
        <f>IF(AND(AND(AND(BE$4&gt;='2025'!$L392,BE$4&lt;='2025'!$M392), BE$4&lt;&gt;DATE(2025,7,4)), (SWITCH(weekday(BE$4), 1, 0, 2, if(ISBLANK('2025'!$P392), 0, 1), 3, if(ISBLANK('2025'!$Q392), 0, 1), 4, if(ISBLANK('2025'!$R392), 0, 1), 5, if(ISBLANK('2025'!$S392), 0, 1), 6, if(ISBLANK('2025'!$T392), 0, 1), 7, 0))), 1, "")</f>
        <v/>
      </c>
    </row>
    <row r="430">
      <c r="A430" s="1">
        <f t="shared" si="3"/>
        <v>430</v>
      </c>
      <c r="B430" s="1" t="str">
        <f>'2025'!D393</f>
        <v/>
      </c>
      <c r="C430" s="1" t="str">
        <f>'2025'!H393</f>
        <v/>
      </c>
      <c r="D430" s="1" t="str">
        <f>IF(AND(AND(AND(D$4&gt;='2025'!$L393,D$4&lt;='2025'!$M393), D$4&lt;&gt;DATE(2025,7,4)), (SWITCH(weekday(D$4), 1, 0, 2, if(ISBLANK('2025'!$P393), 0, 1), 3, if(ISBLANK('2025'!$Q393), 0, 1), 4, if(ISBLANK('2025'!$R393), 0, 1), 5, if(ISBLANK('2025'!$S393), 0, 1), 6, if(ISBLANK('2025'!$T393), 0, 1), 7, 0))), 1, "")</f>
        <v/>
      </c>
      <c r="E430" s="1" t="str">
        <f>IF(AND(AND(AND(E$4&gt;='2025'!$L393,E$4&lt;='2025'!$M393), E$4&lt;&gt;DATE(2025,7,4)), (SWITCH(weekday(E$4), 1, 0, 2, if(ISBLANK('2025'!$P393), 0, 1), 3, if(ISBLANK('2025'!$Q393), 0, 1), 4, if(ISBLANK('2025'!$R393), 0, 1), 5, if(ISBLANK('2025'!$S393), 0, 1), 6, if(ISBLANK('2025'!$T393), 0, 1), 7, 0))), 1, "")</f>
        <v/>
      </c>
      <c r="F430" s="1" t="str">
        <f>IF(AND(AND(AND(F$4&gt;='2025'!$L393,F$4&lt;='2025'!$M393), F$4&lt;&gt;DATE(2025,7,4)), (SWITCH(weekday(F$4), 1, 0, 2, if(ISBLANK('2025'!$P393), 0, 1), 3, if(ISBLANK('2025'!$Q393), 0, 1), 4, if(ISBLANK('2025'!$R393), 0, 1), 5, if(ISBLANK('2025'!$S393), 0, 1), 6, if(ISBLANK('2025'!$T393), 0, 1), 7, 0))), 1, "")</f>
        <v/>
      </c>
      <c r="G430" s="1" t="str">
        <f>IF(AND(AND(AND(G$4&gt;='2025'!$L393,G$4&lt;='2025'!$M393), G$4&lt;&gt;DATE(2025,7,4)), (SWITCH(weekday(G$4), 1, 0, 2, if(ISBLANK('2025'!$P393), 0, 1), 3, if(ISBLANK('2025'!$Q393), 0, 1), 4, if(ISBLANK('2025'!$R393), 0, 1), 5, if(ISBLANK('2025'!$S393), 0, 1), 6, if(ISBLANK('2025'!$T393), 0, 1), 7, 0))), 1, "")</f>
        <v/>
      </c>
      <c r="H430" s="1" t="str">
        <f>IF(AND(AND(AND(H$4&gt;='2025'!$L393,H$4&lt;='2025'!$M393), H$4&lt;&gt;DATE(2025,7,4)), (SWITCH(weekday(H$4), 1, 0, 2, if(ISBLANK('2025'!$P393), 0, 1), 3, if(ISBLANK('2025'!$Q393), 0, 1), 4, if(ISBLANK('2025'!$R393), 0, 1), 5, if(ISBLANK('2025'!$S393), 0, 1), 6, if(ISBLANK('2025'!$T393), 0, 1), 7, 0))), 1, "")</f>
        <v/>
      </c>
      <c r="I430" s="1" t="str">
        <f>IF(AND(AND(AND(I$4&gt;='2025'!$L393,I$4&lt;='2025'!$M393), I$4&lt;&gt;DATE(2025,7,4)), (SWITCH(weekday(I$4), 1, 0, 2, if(ISBLANK('2025'!$P393), 0, 1), 3, if(ISBLANK('2025'!$Q393), 0, 1), 4, if(ISBLANK('2025'!$R393), 0, 1), 5, if(ISBLANK('2025'!$S393), 0, 1), 6, if(ISBLANK('2025'!$T393), 0, 1), 7, 0))), 1, "")</f>
        <v/>
      </c>
      <c r="J430" s="1" t="str">
        <f>IF(AND(AND(AND(J$4&gt;='2025'!$L393,J$4&lt;='2025'!$M393), J$4&lt;&gt;DATE(2025,7,4)), (SWITCH(weekday(J$4), 1, 0, 2, if(ISBLANK('2025'!$P393), 0, 1), 3, if(ISBLANK('2025'!$Q393), 0, 1), 4, if(ISBLANK('2025'!$R393), 0, 1), 5, if(ISBLANK('2025'!$S393), 0, 1), 6, if(ISBLANK('2025'!$T393), 0, 1), 7, 0))), 1, "")</f>
        <v/>
      </c>
      <c r="K430" s="1" t="str">
        <f>IF(AND(AND(AND(K$4&gt;='2025'!$L393,K$4&lt;='2025'!$M393), K$4&lt;&gt;DATE(2025,7,4)), (SWITCH(weekday(K$4), 1, 0, 2, if(ISBLANK('2025'!$P393), 0, 1), 3, if(ISBLANK('2025'!$Q393), 0, 1), 4, if(ISBLANK('2025'!$R393), 0, 1), 5, if(ISBLANK('2025'!$S393), 0, 1), 6, if(ISBLANK('2025'!$T393), 0, 1), 7, 0))), 1, "")</f>
        <v/>
      </c>
      <c r="L430" s="1" t="str">
        <f>IF(AND(AND(AND(L$4&gt;='2025'!$L393,L$4&lt;='2025'!$M393), L$4&lt;&gt;DATE(2025,7,4)), (SWITCH(weekday(L$4), 1, 0, 2, if(ISBLANK('2025'!$P393), 0, 1), 3, if(ISBLANK('2025'!$Q393), 0, 1), 4, if(ISBLANK('2025'!$R393), 0, 1), 5, if(ISBLANK('2025'!$S393), 0, 1), 6, if(ISBLANK('2025'!$T393), 0, 1), 7, 0))), 1, "")</f>
        <v/>
      </c>
      <c r="M430" s="1" t="str">
        <f>IF(AND(AND(AND(M$4&gt;='2025'!$L393,M$4&lt;='2025'!$M393), M$4&lt;&gt;DATE(2025,7,4)), (SWITCH(weekday(M$4), 1, 0, 2, if(ISBLANK('2025'!$P393), 0, 1), 3, if(ISBLANK('2025'!$Q393), 0, 1), 4, if(ISBLANK('2025'!$R393), 0, 1), 5, if(ISBLANK('2025'!$S393), 0, 1), 6, if(ISBLANK('2025'!$T393), 0, 1), 7, 0))), 1, "")</f>
        <v/>
      </c>
      <c r="N430" s="1" t="str">
        <f>IF(AND(AND(AND(N$4&gt;='2025'!$L393,N$4&lt;='2025'!$M393), N$4&lt;&gt;DATE(2025,7,4)), (SWITCH(weekday(N$4), 1, 0, 2, if(ISBLANK('2025'!$P393), 0, 1), 3, if(ISBLANK('2025'!$Q393), 0, 1), 4, if(ISBLANK('2025'!$R393), 0, 1), 5, if(ISBLANK('2025'!$S393), 0, 1), 6, if(ISBLANK('2025'!$T393), 0, 1), 7, 0))), 1, "")</f>
        <v/>
      </c>
      <c r="O430" s="1" t="str">
        <f>IF(AND(AND(AND(O$4&gt;='2025'!$L393,O$4&lt;='2025'!$M393), O$4&lt;&gt;DATE(2025,7,4)), (SWITCH(weekday(O$4), 1, 0, 2, if(ISBLANK('2025'!$P393), 0, 1), 3, if(ISBLANK('2025'!$Q393), 0, 1), 4, if(ISBLANK('2025'!$R393), 0, 1), 5, if(ISBLANK('2025'!$S393), 0, 1), 6, if(ISBLANK('2025'!$T393), 0, 1), 7, 0))), 1, "")</f>
        <v/>
      </c>
      <c r="P430" s="1" t="str">
        <f>IF(AND(AND(AND(P$4&gt;='2025'!$L393,P$4&lt;='2025'!$M393), P$4&lt;&gt;DATE(2025,7,4)), (SWITCH(weekday(P$4), 1, 0, 2, if(ISBLANK('2025'!$P393), 0, 1), 3, if(ISBLANK('2025'!$Q393), 0, 1), 4, if(ISBLANK('2025'!$R393), 0, 1), 5, if(ISBLANK('2025'!$S393), 0, 1), 6, if(ISBLANK('2025'!$T393), 0, 1), 7, 0))), 1, "")</f>
        <v/>
      </c>
      <c r="Q430" s="1" t="str">
        <f>IF(AND(AND(AND(Q$4&gt;='2025'!$L393,Q$4&lt;='2025'!$M393), Q$4&lt;&gt;DATE(2025,7,4)), (SWITCH(weekday(Q$4), 1, 0, 2, if(ISBLANK('2025'!$P393), 0, 1), 3, if(ISBLANK('2025'!$Q393), 0, 1), 4, if(ISBLANK('2025'!$R393), 0, 1), 5, if(ISBLANK('2025'!$S393), 0, 1), 6, if(ISBLANK('2025'!$T393), 0, 1), 7, 0))), 1, "")</f>
        <v/>
      </c>
      <c r="R430" s="1" t="str">
        <f>IF(AND(AND(AND(R$4&gt;='2025'!$L393,R$4&lt;='2025'!$M393), R$4&lt;&gt;DATE(2025,7,4)), (SWITCH(weekday(R$4), 1, 0, 2, if(ISBLANK('2025'!$P393), 0, 1), 3, if(ISBLANK('2025'!$Q393), 0, 1), 4, if(ISBLANK('2025'!$R393), 0, 1), 5, if(ISBLANK('2025'!$S393), 0, 1), 6, if(ISBLANK('2025'!$T393), 0, 1), 7, 0))), 1, "")</f>
        <v/>
      </c>
      <c r="S430" s="1" t="str">
        <f>IF(AND(AND(AND(S$4&gt;='2025'!$L393,S$4&lt;='2025'!$M393), S$4&lt;&gt;DATE(2025,7,4)), (SWITCH(weekday(S$4), 1, 0, 2, if(ISBLANK('2025'!$P393), 0, 1), 3, if(ISBLANK('2025'!$Q393), 0, 1), 4, if(ISBLANK('2025'!$R393), 0, 1), 5, if(ISBLANK('2025'!$S393), 0, 1), 6, if(ISBLANK('2025'!$T393), 0, 1), 7, 0))), 1, "")</f>
        <v/>
      </c>
      <c r="T430" s="1" t="str">
        <f>IF(AND(AND(AND(T$4&gt;='2025'!$L393,T$4&lt;='2025'!$M393), T$4&lt;&gt;DATE(2025,7,4)), (SWITCH(weekday(T$4), 1, 0, 2, if(ISBLANK('2025'!$P393), 0, 1), 3, if(ISBLANK('2025'!$Q393), 0, 1), 4, if(ISBLANK('2025'!$R393), 0, 1), 5, if(ISBLANK('2025'!$S393), 0, 1), 6, if(ISBLANK('2025'!$T393), 0, 1), 7, 0))), 1, "")</f>
        <v/>
      </c>
      <c r="U430" s="1" t="str">
        <f>IF(AND(AND(AND(U$4&gt;='2025'!$L393,U$4&lt;='2025'!$M393), U$4&lt;&gt;DATE(2025,7,4)), (SWITCH(weekday(U$4), 1, 0, 2, if(ISBLANK('2025'!$P393), 0, 1), 3, if(ISBLANK('2025'!$Q393), 0, 1), 4, if(ISBLANK('2025'!$R393), 0, 1), 5, if(ISBLANK('2025'!$S393), 0, 1), 6, if(ISBLANK('2025'!$T393), 0, 1), 7, 0))), 1, "")</f>
        <v/>
      </c>
      <c r="V430" s="1" t="str">
        <f>IF(AND(AND(AND(V$4&gt;='2025'!$L393,V$4&lt;='2025'!$M393), V$4&lt;&gt;DATE(2025,7,4)), (SWITCH(weekday(V$4), 1, 0, 2, if(ISBLANK('2025'!$P393), 0, 1), 3, if(ISBLANK('2025'!$Q393), 0, 1), 4, if(ISBLANK('2025'!$R393), 0, 1), 5, if(ISBLANK('2025'!$S393), 0, 1), 6, if(ISBLANK('2025'!$T393), 0, 1), 7, 0))), 1, "")</f>
        <v/>
      </c>
      <c r="W430" s="1" t="str">
        <f>IF(AND(AND(AND(W$4&gt;='2025'!$L393,W$4&lt;='2025'!$M393), W$4&lt;&gt;DATE(2025,7,4)), (SWITCH(weekday(W$4), 1, 0, 2, if(ISBLANK('2025'!$P393), 0, 1), 3, if(ISBLANK('2025'!$Q393), 0, 1), 4, if(ISBLANK('2025'!$R393), 0, 1), 5, if(ISBLANK('2025'!$S393), 0, 1), 6, if(ISBLANK('2025'!$T393), 0, 1), 7, 0))), 1, "")</f>
        <v/>
      </c>
      <c r="X430" s="1" t="str">
        <f>IF(AND(AND(AND(X$4&gt;='2025'!$L393,X$4&lt;='2025'!$M393), X$4&lt;&gt;DATE(2025,7,4)), (SWITCH(weekday(X$4), 1, 0, 2, if(ISBLANK('2025'!$P393), 0, 1), 3, if(ISBLANK('2025'!$Q393), 0, 1), 4, if(ISBLANK('2025'!$R393), 0, 1), 5, if(ISBLANK('2025'!$S393), 0, 1), 6, if(ISBLANK('2025'!$T393), 0, 1), 7, 0))), 1, "")</f>
        <v/>
      </c>
      <c r="Y430" s="1" t="str">
        <f>IF(AND(AND(AND(Y$4&gt;='2025'!$L393,Y$4&lt;='2025'!$M393), Y$4&lt;&gt;DATE(2025,7,4)), (SWITCH(weekday(Y$4), 1, 0, 2, if(ISBLANK('2025'!$P393), 0, 1), 3, if(ISBLANK('2025'!$Q393), 0, 1), 4, if(ISBLANK('2025'!$R393), 0, 1), 5, if(ISBLANK('2025'!$S393), 0, 1), 6, if(ISBLANK('2025'!$T393), 0, 1), 7, 0))), 1, "")</f>
        <v/>
      </c>
      <c r="Z430" s="1" t="str">
        <f>IF(AND(AND(AND(Z$4&gt;='2025'!$L393,Z$4&lt;='2025'!$M393), Z$4&lt;&gt;DATE(2025,7,4)), (SWITCH(weekday(Z$4), 1, 0, 2, if(ISBLANK('2025'!$P393), 0, 1), 3, if(ISBLANK('2025'!$Q393), 0, 1), 4, if(ISBLANK('2025'!$R393), 0, 1), 5, if(ISBLANK('2025'!$S393), 0, 1), 6, if(ISBLANK('2025'!$T393), 0, 1), 7, 0))), 1, "")</f>
        <v/>
      </c>
      <c r="AA430" s="1" t="str">
        <f>IF(AND(AND(AND(AA$4&gt;='2025'!$L393,AA$4&lt;='2025'!$M393), AA$4&lt;&gt;DATE(2025,7,4)), (SWITCH(weekday(AA$4), 1, 0, 2, if(ISBLANK('2025'!$P393), 0, 1), 3, if(ISBLANK('2025'!$Q393), 0, 1), 4, if(ISBLANK('2025'!$R393), 0, 1), 5, if(ISBLANK('2025'!$S393), 0, 1), 6, if(ISBLANK('2025'!$T393), 0, 1), 7, 0))), 1, "")</f>
        <v/>
      </c>
      <c r="AB430" s="1" t="str">
        <f>IF(AND(AND(AND(AB$4&gt;='2025'!$L393,AB$4&lt;='2025'!$M393), AB$4&lt;&gt;DATE(2025,7,4)), (SWITCH(weekday(AB$4), 1, 0, 2, if(ISBLANK('2025'!$P393), 0, 1), 3, if(ISBLANK('2025'!$Q393), 0, 1), 4, if(ISBLANK('2025'!$R393), 0, 1), 5, if(ISBLANK('2025'!$S393), 0, 1), 6, if(ISBLANK('2025'!$T393), 0, 1), 7, 0))), 1, "")</f>
        <v/>
      </c>
      <c r="AC430" s="1" t="str">
        <f>IF(AND(AND(AND(AC$4&gt;='2025'!$L393,AC$4&lt;='2025'!$M393), AC$4&lt;&gt;DATE(2025,7,4)), (SWITCH(weekday(AC$4), 1, 0, 2, if(ISBLANK('2025'!$P393), 0, 1), 3, if(ISBLANK('2025'!$Q393), 0, 1), 4, if(ISBLANK('2025'!$R393), 0, 1), 5, if(ISBLANK('2025'!$S393), 0, 1), 6, if(ISBLANK('2025'!$T393), 0, 1), 7, 0))), 1, "")</f>
        <v/>
      </c>
      <c r="AD430" s="1" t="str">
        <f>IF(AND(AND(AND(AD$4&gt;='2025'!$L393,AD$4&lt;='2025'!$M393), AD$4&lt;&gt;DATE(2025,7,4)), (SWITCH(weekday(AD$4), 1, 0, 2, if(ISBLANK('2025'!$P393), 0, 1), 3, if(ISBLANK('2025'!$Q393), 0, 1), 4, if(ISBLANK('2025'!$R393), 0, 1), 5, if(ISBLANK('2025'!$S393), 0, 1), 6, if(ISBLANK('2025'!$T393), 0, 1), 7, 0))), 1, "")</f>
        <v/>
      </c>
      <c r="AE430" s="1" t="str">
        <f>IF(AND(AND(AND(AE$4&gt;='2025'!$L393,AE$4&lt;='2025'!$M393), AE$4&lt;&gt;DATE(2025,7,4)), (SWITCH(weekday(AE$4), 1, 0, 2, if(ISBLANK('2025'!$P393), 0, 1), 3, if(ISBLANK('2025'!$Q393), 0, 1), 4, if(ISBLANK('2025'!$R393), 0, 1), 5, if(ISBLANK('2025'!$S393), 0, 1), 6, if(ISBLANK('2025'!$T393), 0, 1), 7, 0))), 1, "")</f>
        <v/>
      </c>
      <c r="AF430" s="1" t="str">
        <f>IF(AND(AND(AND(AF$4&gt;='2025'!$L393,AF$4&lt;='2025'!$M393), AF$4&lt;&gt;DATE(2025,7,4)), (SWITCH(weekday(AF$4), 1, 0, 2, if(ISBLANK('2025'!$P393), 0, 1), 3, if(ISBLANK('2025'!$Q393), 0, 1), 4, if(ISBLANK('2025'!$R393), 0, 1), 5, if(ISBLANK('2025'!$S393), 0, 1), 6, if(ISBLANK('2025'!$T393), 0, 1), 7, 0))), 1, "")</f>
        <v/>
      </c>
      <c r="AG430" s="1" t="str">
        <f>IF(AND(AND(AND(AG$4&gt;='2025'!$L393,AG$4&lt;='2025'!$M393), AG$4&lt;&gt;DATE(2025,7,4)), (SWITCH(weekday(AG$4), 1, 0, 2, if(ISBLANK('2025'!$P393), 0, 1), 3, if(ISBLANK('2025'!$Q393), 0, 1), 4, if(ISBLANK('2025'!$R393), 0, 1), 5, if(ISBLANK('2025'!$S393), 0, 1), 6, if(ISBLANK('2025'!$T393), 0, 1), 7, 0))), 1, "")</f>
        <v/>
      </c>
      <c r="AH430" s="1" t="str">
        <f>IF(AND(AND(AND(AH$4&gt;='2025'!$L393,AH$4&lt;='2025'!$M393), AH$4&lt;&gt;DATE(2025,7,4)), (SWITCH(weekday(AH$4), 1, 0, 2, if(ISBLANK('2025'!$P393), 0, 1), 3, if(ISBLANK('2025'!$Q393), 0, 1), 4, if(ISBLANK('2025'!$R393), 0, 1), 5, if(ISBLANK('2025'!$S393), 0, 1), 6, if(ISBLANK('2025'!$T393), 0, 1), 7, 0))), 1, "")</f>
        <v/>
      </c>
      <c r="AI430" s="1" t="str">
        <f>IF(AND(AND(AND(AI$4&gt;='2025'!$L393,AI$4&lt;='2025'!$M393), AI$4&lt;&gt;DATE(2025,7,4)), (SWITCH(weekday(AI$4), 1, 0, 2, if(ISBLANK('2025'!$P393), 0, 1), 3, if(ISBLANK('2025'!$Q393), 0, 1), 4, if(ISBLANK('2025'!$R393), 0, 1), 5, if(ISBLANK('2025'!$S393), 0, 1), 6, if(ISBLANK('2025'!$T393), 0, 1), 7, 0))), 1, "")</f>
        <v/>
      </c>
      <c r="AJ430" s="1" t="str">
        <f>IF(AND(AND(AND(AJ$4&gt;='2025'!$L393,AJ$4&lt;='2025'!$M393), AJ$4&lt;&gt;DATE(2025,7,4)), (SWITCH(weekday(AJ$4), 1, 0, 2, if(ISBLANK('2025'!$P393), 0, 1), 3, if(ISBLANK('2025'!$Q393), 0, 1), 4, if(ISBLANK('2025'!$R393), 0, 1), 5, if(ISBLANK('2025'!$S393), 0, 1), 6, if(ISBLANK('2025'!$T393), 0, 1), 7, 0))), 1, "")</f>
        <v/>
      </c>
      <c r="AK430" s="1" t="str">
        <f>IF(AND(AND(AND(AK$4&gt;='2025'!$L393,AK$4&lt;='2025'!$M393), AK$4&lt;&gt;DATE(2025,7,4)), (SWITCH(weekday(AK$4), 1, 0, 2, if(ISBLANK('2025'!$P393), 0, 1), 3, if(ISBLANK('2025'!$Q393), 0, 1), 4, if(ISBLANK('2025'!$R393), 0, 1), 5, if(ISBLANK('2025'!$S393), 0, 1), 6, if(ISBLANK('2025'!$T393), 0, 1), 7, 0))), 1, "")</f>
        <v/>
      </c>
      <c r="AL430" s="1" t="str">
        <f>IF(AND(AND(AND(AL$4&gt;='2025'!$L393,AL$4&lt;='2025'!$M393), AL$4&lt;&gt;DATE(2025,7,4)), (SWITCH(weekday(AL$4), 1, 0, 2, if(ISBLANK('2025'!$P393), 0, 1), 3, if(ISBLANK('2025'!$Q393), 0, 1), 4, if(ISBLANK('2025'!$R393), 0, 1), 5, if(ISBLANK('2025'!$S393), 0, 1), 6, if(ISBLANK('2025'!$T393), 0, 1), 7, 0))), 1, "")</f>
        <v/>
      </c>
      <c r="AM430" s="1" t="str">
        <f>IF(AND(AND(AND(AM$4&gt;='2025'!$L393,AM$4&lt;='2025'!$M393), AM$4&lt;&gt;DATE(2025,7,4)), (SWITCH(weekday(AM$4), 1, 0, 2, if(ISBLANK('2025'!$P393), 0, 1), 3, if(ISBLANK('2025'!$Q393), 0, 1), 4, if(ISBLANK('2025'!$R393), 0, 1), 5, if(ISBLANK('2025'!$S393), 0, 1), 6, if(ISBLANK('2025'!$T393), 0, 1), 7, 0))), 1, "")</f>
        <v/>
      </c>
      <c r="AN430" s="1" t="str">
        <f>IF(AND(AND(AND(AN$4&gt;='2025'!$L393,AN$4&lt;='2025'!$M393), AN$4&lt;&gt;DATE(2025,7,4)), (SWITCH(weekday(AN$4), 1, 0, 2, if(ISBLANK('2025'!$P393), 0, 1), 3, if(ISBLANK('2025'!$Q393), 0, 1), 4, if(ISBLANK('2025'!$R393), 0, 1), 5, if(ISBLANK('2025'!$S393), 0, 1), 6, if(ISBLANK('2025'!$T393), 0, 1), 7, 0))), 1, "")</f>
        <v/>
      </c>
      <c r="AO430" s="1" t="str">
        <f>IF(AND(AND(AND(AO$4&gt;='2025'!$L393,AO$4&lt;='2025'!$M393), AO$4&lt;&gt;DATE(2025,7,4)), (SWITCH(weekday(AO$4), 1, 0, 2, if(ISBLANK('2025'!$P393), 0, 1), 3, if(ISBLANK('2025'!$Q393), 0, 1), 4, if(ISBLANK('2025'!$R393), 0, 1), 5, if(ISBLANK('2025'!$S393), 0, 1), 6, if(ISBLANK('2025'!$T393), 0, 1), 7, 0))), 1, "")</f>
        <v/>
      </c>
      <c r="AP430" s="1" t="str">
        <f>IF(AND(AND(AND(AP$4&gt;='2025'!$L393,AP$4&lt;='2025'!$M393), AP$4&lt;&gt;DATE(2025,7,4)), (SWITCH(weekday(AP$4), 1, 0, 2, if(ISBLANK('2025'!$P393), 0, 1), 3, if(ISBLANK('2025'!$Q393), 0, 1), 4, if(ISBLANK('2025'!$R393), 0, 1), 5, if(ISBLANK('2025'!$S393), 0, 1), 6, if(ISBLANK('2025'!$T393), 0, 1), 7, 0))), 1, "")</f>
        <v/>
      </c>
      <c r="AQ430" s="1" t="str">
        <f>IF(AND(AND(AND(AQ$4&gt;='2025'!$L393,AQ$4&lt;='2025'!$M393), AQ$4&lt;&gt;DATE(2025,7,4)), (SWITCH(weekday(AQ$4), 1, 0, 2, if(ISBLANK('2025'!$P393), 0, 1), 3, if(ISBLANK('2025'!$Q393), 0, 1), 4, if(ISBLANK('2025'!$R393), 0, 1), 5, if(ISBLANK('2025'!$S393), 0, 1), 6, if(ISBLANK('2025'!$T393), 0, 1), 7, 0))), 1, "")</f>
        <v/>
      </c>
      <c r="AR430" s="1" t="str">
        <f>IF(AND(AND(AND(AR$4&gt;='2025'!$L393,AR$4&lt;='2025'!$M393), AR$4&lt;&gt;DATE(2025,7,4)), (SWITCH(weekday(AR$4), 1, 0, 2, if(ISBLANK('2025'!$P393), 0, 1), 3, if(ISBLANK('2025'!$Q393), 0, 1), 4, if(ISBLANK('2025'!$R393), 0, 1), 5, if(ISBLANK('2025'!$S393), 0, 1), 6, if(ISBLANK('2025'!$T393), 0, 1), 7, 0))), 1, "")</f>
        <v/>
      </c>
      <c r="AS430" s="1" t="str">
        <f>IF(AND(AND(AND(AS$4&gt;='2025'!$L393,AS$4&lt;='2025'!$M393), AS$4&lt;&gt;DATE(2025,7,4)), (SWITCH(weekday(AS$4), 1, 0, 2, if(ISBLANK('2025'!$P393), 0, 1), 3, if(ISBLANK('2025'!$Q393), 0, 1), 4, if(ISBLANK('2025'!$R393), 0, 1), 5, if(ISBLANK('2025'!$S393), 0, 1), 6, if(ISBLANK('2025'!$T393), 0, 1), 7, 0))), 1, "")</f>
        <v/>
      </c>
      <c r="AT430" s="1" t="str">
        <f>IF(AND(AND(AND(AT$4&gt;='2025'!$L393,AT$4&lt;='2025'!$M393), AT$4&lt;&gt;DATE(2025,7,4)), (SWITCH(weekday(AT$4), 1, 0, 2, if(ISBLANK('2025'!$P393), 0, 1), 3, if(ISBLANK('2025'!$Q393), 0, 1), 4, if(ISBLANK('2025'!$R393), 0, 1), 5, if(ISBLANK('2025'!$S393), 0, 1), 6, if(ISBLANK('2025'!$T393), 0, 1), 7, 0))), 1, "")</f>
        <v/>
      </c>
      <c r="AU430" s="1" t="str">
        <f>IF(AND(AND(AND(AU$4&gt;='2025'!$L393,AU$4&lt;='2025'!$M393), AU$4&lt;&gt;DATE(2025,7,4)), (SWITCH(weekday(AU$4), 1, 0, 2, if(ISBLANK('2025'!$P393), 0, 1), 3, if(ISBLANK('2025'!$Q393), 0, 1), 4, if(ISBLANK('2025'!$R393), 0, 1), 5, if(ISBLANK('2025'!$S393), 0, 1), 6, if(ISBLANK('2025'!$T393), 0, 1), 7, 0))), 1, "")</f>
        <v/>
      </c>
      <c r="AV430" s="1" t="str">
        <f>IF(AND(AND(AND(AV$4&gt;='2025'!$L393,AV$4&lt;='2025'!$M393), AV$4&lt;&gt;DATE(2025,7,4)), (SWITCH(weekday(AV$4), 1, 0, 2, if(ISBLANK('2025'!$P393), 0, 1), 3, if(ISBLANK('2025'!$Q393), 0, 1), 4, if(ISBLANK('2025'!$R393), 0, 1), 5, if(ISBLANK('2025'!$S393), 0, 1), 6, if(ISBLANK('2025'!$T393), 0, 1), 7, 0))), 1, "")</f>
        <v/>
      </c>
      <c r="AW430" s="1" t="str">
        <f>IF(AND(AND(AND(AW$4&gt;='2025'!$L393,AW$4&lt;='2025'!$M393), AW$4&lt;&gt;DATE(2025,7,4)), (SWITCH(weekday(AW$4), 1, 0, 2, if(ISBLANK('2025'!$P393), 0, 1), 3, if(ISBLANK('2025'!$Q393), 0, 1), 4, if(ISBLANK('2025'!$R393), 0, 1), 5, if(ISBLANK('2025'!$S393), 0, 1), 6, if(ISBLANK('2025'!$T393), 0, 1), 7, 0))), 1, "")</f>
        <v/>
      </c>
      <c r="AX430" s="1" t="str">
        <f>IF(AND(AND(AND(AX$4&gt;='2025'!$L393,AX$4&lt;='2025'!$M393), AX$4&lt;&gt;DATE(2025,7,4)), (SWITCH(weekday(AX$4), 1, 0, 2, if(ISBLANK('2025'!$P393), 0, 1), 3, if(ISBLANK('2025'!$Q393), 0, 1), 4, if(ISBLANK('2025'!$R393), 0, 1), 5, if(ISBLANK('2025'!$S393), 0, 1), 6, if(ISBLANK('2025'!$T393), 0, 1), 7, 0))), 1, "")</f>
        <v/>
      </c>
      <c r="AY430" s="1" t="str">
        <f>IF(AND(AND(AND(AY$4&gt;='2025'!$L393,AY$4&lt;='2025'!$M393), AY$4&lt;&gt;DATE(2025,7,4)), (SWITCH(weekday(AY$4), 1, 0, 2, if(ISBLANK('2025'!$P393), 0, 1), 3, if(ISBLANK('2025'!$Q393), 0, 1), 4, if(ISBLANK('2025'!$R393), 0, 1), 5, if(ISBLANK('2025'!$S393), 0, 1), 6, if(ISBLANK('2025'!$T393), 0, 1), 7, 0))), 1, "")</f>
        <v/>
      </c>
      <c r="AZ430" s="1" t="str">
        <f>IF(AND(AND(AND(AZ$4&gt;='2025'!$L393,AZ$4&lt;='2025'!$M393), AZ$4&lt;&gt;DATE(2025,7,4)), (SWITCH(weekday(AZ$4), 1, 0, 2, if(ISBLANK('2025'!$P393), 0, 1), 3, if(ISBLANK('2025'!$Q393), 0, 1), 4, if(ISBLANK('2025'!$R393), 0, 1), 5, if(ISBLANK('2025'!$S393), 0, 1), 6, if(ISBLANK('2025'!$T393), 0, 1), 7, 0))), 1, "")</f>
        <v/>
      </c>
      <c r="BA430" s="1" t="str">
        <f>IF(AND(AND(AND(BA$4&gt;='2025'!$L393,BA$4&lt;='2025'!$M393), BA$4&lt;&gt;DATE(2025,7,4)), (SWITCH(weekday(BA$4), 1, 0, 2, if(ISBLANK('2025'!$P393), 0, 1), 3, if(ISBLANK('2025'!$Q393), 0, 1), 4, if(ISBLANK('2025'!$R393), 0, 1), 5, if(ISBLANK('2025'!$S393), 0, 1), 6, if(ISBLANK('2025'!$T393), 0, 1), 7, 0))), 1, "")</f>
        <v/>
      </c>
      <c r="BB430" s="1" t="str">
        <f>IF(AND(AND(AND(BB$4&gt;='2025'!$L393,BB$4&lt;='2025'!$M393), BB$4&lt;&gt;DATE(2025,7,4)), (SWITCH(weekday(BB$4), 1, 0, 2, if(ISBLANK('2025'!$P393), 0, 1), 3, if(ISBLANK('2025'!$Q393), 0, 1), 4, if(ISBLANK('2025'!$R393), 0, 1), 5, if(ISBLANK('2025'!$S393), 0, 1), 6, if(ISBLANK('2025'!$T393), 0, 1), 7, 0))), 1, "")</f>
        <v/>
      </c>
      <c r="BC430" s="1" t="str">
        <f>IF(AND(AND(AND(BC$4&gt;='2025'!$L393,BC$4&lt;='2025'!$M393), BC$4&lt;&gt;DATE(2025,7,4)), (SWITCH(weekday(BC$4), 1, 0, 2, if(ISBLANK('2025'!$P393), 0, 1), 3, if(ISBLANK('2025'!$Q393), 0, 1), 4, if(ISBLANK('2025'!$R393), 0, 1), 5, if(ISBLANK('2025'!$S393), 0, 1), 6, if(ISBLANK('2025'!$T393), 0, 1), 7, 0))), 1, "")</f>
        <v/>
      </c>
      <c r="BD430" s="1" t="str">
        <f>IF(AND(AND(AND(BD$4&gt;='2025'!$L393,BD$4&lt;='2025'!$M393), BD$4&lt;&gt;DATE(2025,7,4)), (SWITCH(weekday(BD$4), 1, 0, 2, if(ISBLANK('2025'!$P393), 0, 1), 3, if(ISBLANK('2025'!$Q393), 0, 1), 4, if(ISBLANK('2025'!$R393), 0, 1), 5, if(ISBLANK('2025'!$S393), 0, 1), 6, if(ISBLANK('2025'!$T393), 0, 1), 7, 0))), 1, "")</f>
        <v/>
      </c>
      <c r="BE430" s="1" t="str">
        <f>IF(AND(AND(AND(BE$4&gt;='2025'!$L393,BE$4&lt;='2025'!$M393), BE$4&lt;&gt;DATE(2025,7,4)), (SWITCH(weekday(BE$4), 1, 0, 2, if(ISBLANK('2025'!$P393), 0, 1), 3, if(ISBLANK('2025'!$Q393), 0, 1), 4, if(ISBLANK('2025'!$R393), 0, 1), 5, if(ISBLANK('2025'!$S393), 0, 1), 6, if(ISBLANK('2025'!$T393), 0, 1), 7, 0))), 1, "")</f>
        <v/>
      </c>
    </row>
    <row r="431">
      <c r="A431" s="1">
        <f t="shared" si="3"/>
        <v>431</v>
      </c>
      <c r="B431" s="1" t="str">
        <f>'2025'!D394</f>
        <v/>
      </c>
      <c r="C431" s="1" t="str">
        <f>'2025'!H394</f>
        <v/>
      </c>
      <c r="D431" s="1" t="str">
        <f>IF(AND(AND(AND(D$4&gt;='2025'!$L394,D$4&lt;='2025'!$M394), D$4&lt;&gt;DATE(2025,7,4)), (SWITCH(weekday(D$4), 1, 0, 2, if(ISBLANK('2025'!$P394), 0, 1), 3, if(ISBLANK('2025'!$Q394), 0, 1), 4, if(ISBLANK('2025'!$R394), 0, 1), 5, if(ISBLANK('2025'!$S394), 0, 1), 6, if(ISBLANK('2025'!$T394), 0, 1), 7, 0))), 1, "")</f>
        <v/>
      </c>
      <c r="E431" s="1" t="str">
        <f>IF(AND(AND(AND(E$4&gt;='2025'!$L394,E$4&lt;='2025'!$M394), E$4&lt;&gt;DATE(2025,7,4)), (SWITCH(weekday(E$4), 1, 0, 2, if(ISBLANK('2025'!$P394), 0, 1), 3, if(ISBLANK('2025'!$Q394), 0, 1), 4, if(ISBLANK('2025'!$R394), 0, 1), 5, if(ISBLANK('2025'!$S394), 0, 1), 6, if(ISBLANK('2025'!$T394), 0, 1), 7, 0))), 1, "")</f>
        <v/>
      </c>
      <c r="F431" s="1" t="str">
        <f>IF(AND(AND(AND(F$4&gt;='2025'!$L394,F$4&lt;='2025'!$M394), F$4&lt;&gt;DATE(2025,7,4)), (SWITCH(weekday(F$4), 1, 0, 2, if(ISBLANK('2025'!$P394), 0, 1), 3, if(ISBLANK('2025'!$Q394), 0, 1), 4, if(ISBLANK('2025'!$R394), 0, 1), 5, if(ISBLANK('2025'!$S394), 0, 1), 6, if(ISBLANK('2025'!$T394), 0, 1), 7, 0))), 1, "")</f>
        <v/>
      </c>
      <c r="G431" s="1" t="str">
        <f>IF(AND(AND(AND(G$4&gt;='2025'!$L394,G$4&lt;='2025'!$M394), G$4&lt;&gt;DATE(2025,7,4)), (SWITCH(weekday(G$4), 1, 0, 2, if(ISBLANK('2025'!$P394), 0, 1), 3, if(ISBLANK('2025'!$Q394), 0, 1), 4, if(ISBLANK('2025'!$R394), 0, 1), 5, if(ISBLANK('2025'!$S394), 0, 1), 6, if(ISBLANK('2025'!$T394), 0, 1), 7, 0))), 1, "")</f>
        <v/>
      </c>
      <c r="H431" s="1" t="str">
        <f>IF(AND(AND(AND(H$4&gt;='2025'!$L394,H$4&lt;='2025'!$M394), H$4&lt;&gt;DATE(2025,7,4)), (SWITCH(weekday(H$4), 1, 0, 2, if(ISBLANK('2025'!$P394), 0, 1), 3, if(ISBLANK('2025'!$Q394), 0, 1), 4, if(ISBLANK('2025'!$R394), 0, 1), 5, if(ISBLANK('2025'!$S394), 0, 1), 6, if(ISBLANK('2025'!$T394), 0, 1), 7, 0))), 1, "")</f>
        <v/>
      </c>
      <c r="I431" s="1" t="str">
        <f>IF(AND(AND(AND(I$4&gt;='2025'!$L394,I$4&lt;='2025'!$M394), I$4&lt;&gt;DATE(2025,7,4)), (SWITCH(weekday(I$4), 1, 0, 2, if(ISBLANK('2025'!$P394), 0, 1), 3, if(ISBLANK('2025'!$Q394), 0, 1), 4, if(ISBLANK('2025'!$R394), 0, 1), 5, if(ISBLANK('2025'!$S394), 0, 1), 6, if(ISBLANK('2025'!$T394), 0, 1), 7, 0))), 1, "")</f>
        <v/>
      </c>
      <c r="J431" s="1" t="str">
        <f>IF(AND(AND(AND(J$4&gt;='2025'!$L394,J$4&lt;='2025'!$M394), J$4&lt;&gt;DATE(2025,7,4)), (SWITCH(weekday(J$4), 1, 0, 2, if(ISBLANK('2025'!$P394), 0, 1), 3, if(ISBLANK('2025'!$Q394), 0, 1), 4, if(ISBLANK('2025'!$R394), 0, 1), 5, if(ISBLANK('2025'!$S394), 0, 1), 6, if(ISBLANK('2025'!$T394), 0, 1), 7, 0))), 1, "")</f>
        <v/>
      </c>
      <c r="K431" s="1" t="str">
        <f>IF(AND(AND(AND(K$4&gt;='2025'!$L394,K$4&lt;='2025'!$M394), K$4&lt;&gt;DATE(2025,7,4)), (SWITCH(weekday(K$4), 1, 0, 2, if(ISBLANK('2025'!$P394), 0, 1), 3, if(ISBLANK('2025'!$Q394), 0, 1), 4, if(ISBLANK('2025'!$R394), 0, 1), 5, if(ISBLANK('2025'!$S394), 0, 1), 6, if(ISBLANK('2025'!$T394), 0, 1), 7, 0))), 1, "")</f>
        <v/>
      </c>
      <c r="L431" s="1" t="str">
        <f>IF(AND(AND(AND(L$4&gt;='2025'!$L394,L$4&lt;='2025'!$M394), L$4&lt;&gt;DATE(2025,7,4)), (SWITCH(weekday(L$4), 1, 0, 2, if(ISBLANK('2025'!$P394), 0, 1), 3, if(ISBLANK('2025'!$Q394), 0, 1), 4, if(ISBLANK('2025'!$R394), 0, 1), 5, if(ISBLANK('2025'!$S394), 0, 1), 6, if(ISBLANK('2025'!$T394), 0, 1), 7, 0))), 1, "")</f>
        <v/>
      </c>
      <c r="M431" s="1" t="str">
        <f>IF(AND(AND(AND(M$4&gt;='2025'!$L394,M$4&lt;='2025'!$M394), M$4&lt;&gt;DATE(2025,7,4)), (SWITCH(weekday(M$4), 1, 0, 2, if(ISBLANK('2025'!$P394), 0, 1), 3, if(ISBLANK('2025'!$Q394), 0, 1), 4, if(ISBLANK('2025'!$R394), 0, 1), 5, if(ISBLANK('2025'!$S394), 0, 1), 6, if(ISBLANK('2025'!$T394), 0, 1), 7, 0))), 1, "")</f>
        <v/>
      </c>
      <c r="N431" s="1" t="str">
        <f>IF(AND(AND(AND(N$4&gt;='2025'!$L394,N$4&lt;='2025'!$M394), N$4&lt;&gt;DATE(2025,7,4)), (SWITCH(weekday(N$4), 1, 0, 2, if(ISBLANK('2025'!$P394), 0, 1), 3, if(ISBLANK('2025'!$Q394), 0, 1), 4, if(ISBLANK('2025'!$R394), 0, 1), 5, if(ISBLANK('2025'!$S394), 0, 1), 6, if(ISBLANK('2025'!$T394), 0, 1), 7, 0))), 1, "")</f>
        <v/>
      </c>
      <c r="O431" s="1" t="str">
        <f>IF(AND(AND(AND(O$4&gt;='2025'!$L394,O$4&lt;='2025'!$M394), O$4&lt;&gt;DATE(2025,7,4)), (SWITCH(weekday(O$4), 1, 0, 2, if(ISBLANK('2025'!$P394), 0, 1), 3, if(ISBLANK('2025'!$Q394), 0, 1), 4, if(ISBLANK('2025'!$R394), 0, 1), 5, if(ISBLANK('2025'!$S394), 0, 1), 6, if(ISBLANK('2025'!$T394), 0, 1), 7, 0))), 1, "")</f>
        <v/>
      </c>
      <c r="P431" s="1" t="str">
        <f>IF(AND(AND(AND(P$4&gt;='2025'!$L394,P$4&lt;='2025'!$M394), P$4&lt;&gt;DATE(2025,7,4)), (SWITCH(weekday(P$4), 1, 0, 2, if(ISBLANK('2025'!$P394), 0, 1), 3, if(ISBLANK('2025'!$Q394), 0, 1), 4, if(ISBLANK('2025'!$R394), 0, 1), 5, if(ISBLANK('2025'!$S394), 0, 1), 6, if(ISBLANK('2025'!$T394), 0, 1), 7, 0))), 1, "")</f>
        <v/>
      </c>
      <c r="Q431" s="1" t="str">
        <f>IF(AND(AND(AND(Q$4&gt;='2025'!$L394,Q$4&lt;='2025'!$M394), Q$4&lt;&gt;DATE(2025,7,4)), (SWITCH(weekday(Q$4), 1, 0, 2, if(ISBLANK('2025'!$P394), 0, 1), 3, if(ISBLANK('2025'!$Q394), 0, 1), 4, if(ISBLANK('2025'!$R394), 0, 1), 5, if(ISBLANK('2025'!$S394), 0, 1), 6, if(ISBLANK('2025'!$T394), 0, 1), 7, 0))), 1, "")</f>
        <v/>
      </c>
      <c r="R431" s="1" t="str">
        <f>IF(AND(AND(AND(R$4&gt;='2025'!$L394,R$4&lt;='2025'!$M394), R$4&lt;&gt;DATE(2025,7,4)), (SWITCH(weekday(R$4), 1, 0, 2, if(ISBLANK('2025'!$P394), 0, 1), 3, if(ISBLANK('2025'!$Q394), 0, 1), 4, if(ISBLANK('2025'!$R394), 0, 1), 5, if(ISBLANK('2025'!$S394), 0, 1), 6, if(ISBLANK('2025'!$T394), 0, 1), 7, 0))), 1, "")</f>
        <v/>
      </c>
      <c r="S431" s="1" t="str">
        <f>IF(AND(AND(AND(S$4&gt;='2025'!$L394,S$4&lt;='2025'!$M394), S$4&lt;&gt;DATE(2025,7,4)), (SWITCH(weekday(S$4), 1, 0, 2, if(ISBLANK('2025'!$P394), 0, 1), 3, if(ISBLANK('2025'!$Q394), 0, 1), 4, if(ISBLANK('2025'!$R394), 0, 1), 5, if(ISBLANK('2025'!$S394), 0, 1), 6, if(ISBLANK('2025'!$T394), 0, 1), 7, 0))), 1, "")</f>
        <v/>
      </c>
      <c r="T431" s="1" t="str">
        <f>IF(AND(AND(AND(T$4&gt;='2025'!$L394,T$4&lt;='2025'!$M394), T$4&lt;&gt;DATE(2025,7,4)), (SWITCH(weekday(T$4), 1, 0, 2, if(ISBLANK('2025'!$P394), 0, 1), 3, if(ISBLANK('2025'!$Q394), 0, 1), 4, if(ISBLANK('2025'!$R394), 0, 1), 5, if(ISBLANK('2025'!$S394), 0, 1), 6, if(ISBLANK('2025'!$T394), 0, 1), 7, 0))), 1, "")</f>
        <v/>
      </c>
      <c r="U431" s="1" t="str">
        <f>IF(AND(AND(AND(U$4&gt;='2025'!$L394,U$4&lt;='2025'!$M394), U$4&lt;&gt;DATE(2025,7,4)), (SWITCH(weekday(U$4), 1, 0, 2, if(ISBLANK('2025'!$P394), 0, 1), 3, if(ISBLANK('2025'!$Q394), 0, 1), 4, if(ISBLANK('2025'!$R394), 0, 1), 5, if(ISBLANK('2025'!$S394), 0, 1), 6, if(ISBLANK('2025'!$T394), 0, 1), 7, 0))), 1, "")</f>
        <v/>
      </c>
      <c r="V431" s="1" t="str">
        <f>IF(AND(AND(AND(V$4&gt;='2025'!$L394,V$4&lt;='2025'!$M394), V$4&lt;&gt;DATE(2025,7,4)), (SWITCH(weekday(V$4), 1, 0, 2, if(ISBLANK('2025'!$P394), 0, 1), 3, if(ISBLANK('2025'!$Q394), 0, 1), 4, if(ISBLANK('2025'!$R394), 0, 1), 5, if(ISBLANK('2025'!$S394), 0, 1), 6, if(ISBLANK('2025'!$T394), 0, 1), 7, 0))), 1, "")</f>
        <v/>
      </c>
      <c r="W431" s="1" t="str">
        <f>IF(AND(AND(AND(W$4&gt;='2025'!$L394,W$4&lt;='2025'!$M394), W$4&lt;&gt;DATE(2025,7,4)), (SWITCH(weekday(W$4), 1, 0, 2, if(ISBLANK('2025'!$P394), 0, 1), 3, if(ISBLANK('2025'!$Q394), 0, 1), 4, if(ISBLANK('2025'!$R394), 0, 1), 5, if(ISBLANK('2025'!$S394), 0, 1), 6, if(ISBLANK('2025'!$T394), 0, 1), 7, 0))), 1, "")</f>
        <v/>
      </c>
      <c r="X431" s="1" t="str">
        <f>IF(AND(AND(AND(X$4&gt;='2025'!$L394,X$4&lt;='2025'!$M394), X$4&lt;&gt;DATE(2025,7,4)), (SWITCH(weekday(X$4), 1, 0, 2, if(ISBLANK('2025'!$P394), 0, 1), 3, if(ISBLANK('2025'!$Q394), 0, 1), 4, if(ISBLANK('2025'!$R394), 0, 1), 5, if(ISBLANK('2025'!$S394), 0, 1), 6, if(ISBLANK('2025'!$T394), 0, 1), 7, 0))), 1, "")</f>
        <v/>
      </c>
      <c r="Y431" s="1" t="str">
        <f>IF(AND(AND(AND(Y$4&gt;='2025'!$L394,Y$4&lt;='2025'!$M394), Y$4&lt;&gt;DATE(2025,7,4)), (SWITCH(weekday(Y$4), 1, 0, 2, if(ISBLANK('2025'!$P394), 0, 1), 3, if(ISBLANK('2025'!$Q394), 0, 1), 4, if(ISBLANK('2025'!$R394), 0, 1), 5, if(ISBLANK('2025'!$S394), 0, 1), 6, if(ISBLANK('2025'!$T394), 0, 1), 7, 0))), 1, "")</f>
        <v/>
      </c>
      <c r="Z431" s="1" t="str">
        <f>IF(AND(AND(AND(Z$4&gt;='2025'!$L394,Z$4&lt;='2025'!$M394), Z$4&lt;&gt;DATE(2025,7,4)), (SWITCH(weekday(Z$4), 1, 0, 2, if(ISBLANK('2025'!$P394), 0, 1), 3, if(ISBLANK('2025'!$Q394), 0, 1), 4, if(ISBLANK('2025'!$R394), 0, 1), 5, if(ISBLANK('2025'!$S394), 0, 1), 6, if(ISBLANK('2025'!$T394), 0, 1), 7, 0))), 1, "")</f>
        <v/>
      </c>
      <c r="AA431" s="1" t="str">
        <f>IF(AND(AND(AND(AA$4&gt;='2025'!$L394,AA$4&lt;='2025'!$M394), AA$4&lt;&gt;DATE(2025,7,4)), (SWITCH(weekday(AA$4), 1, 0, 2, if(ISBLANK('2025'!$P394), 0, 1), 3, if(ISBLANK('2025'!$Q394), 0, 1), 4, if(ISBLANK('2025'!$R394), 0, 1), 5, if(ISBLANK('2025'!$S394), 0, 1), 6, if(ISBLANK('2025'!$T394), 0, 1), 7, 0))), 1, "")</f>
        <v/>
      </c>
      <c r="AB431" s="1" t="str">
        <f>IF(AND(AND(AND(AB$4&gt;='2025'!$L394,AB$4&lt;='2025'!$M394), AB$4&lt;&gt;DATE(2025,7,4)), (SWITCH(weekday(AB$4), 1, 0, 2, if(ISBLANK('2025'!$P394), 0, 1), 3, if(ISBLANK('2025'!$Q394), 0, 1), 4, if(ISBLANK('2025'!$R394), 0, 1), 5, if(ISBLANK('2025'!$S394), 0, 1), 6, if(ISBLANK('2025'!$T394), 0, 1), 7, 0))), 1, "")</f>
        <v/>
      </c>
      <c r="AC431" s="1" t="str">
        <f>IF(AND(AND(AND(AC$4&gt;='2025'!$L394,AC$4&lt;='2025'!$M394), AC$4&lt;&gt;DATE(2025,7,4)), (SWITCH(weekday(AC$4), 1, 0, 2, if(ISBLANK('2025'!$P394), 0, 1), 3, if(ISBLANK('2025'!$Q394), 0, 1), 4, if(ISBLANK('2025'!$R394), 0, 1), 5, if(ISBLANK('2025'!$S394), 0, 1), 6, if(ISBLANK('2025'!$T394), 0, 1), 7, 0))), 1, "")</f>
        <v/>
      </c>
      <c r="AD431" s="1" t="str">
        <f>IF(AND(AND(AND(AD$4&gt;='2025'!$L394,AD$4&lt;='2025'!$M394), AD$4&lt;&gt;DATE(2025,7,4)), (SWITCH(weekday(AD$4), 1, 0, 2, if(ISBLANK('2025'!$P394), 0, 1), 3, if(ISBLANK('2025'!$Q394), 0, 1), 4, if(ISBLANK('2025'!$R394), 0, 1), 5, if(ISBLANK('2025'!$S394), 0, 1), 6, if(ISBLANK('2025'!$T394), 0, 1), 7, 0))), 1, "")</f>
        <v/>
      </c>
      <c r="AE431" s="1" t="str">
        <f>IF(AND(AND(AND(AE$4&gt;='2025'!$L394,AE$4&lt;='2025'!$M394), AE$4&lt;&gt;DATE(2025,7,4)), (SWITCH(weekday(AE$4), 1, 0, 2, if(ISBLANK('2025'!$P394), 0, 1), 3, if(ISBLANK('2025'!$Q394), 0, 1), 4, if(ISBLANK('2025'!$R394), 0, 1), 5, if(ISBLANK('2025'!$S394), 0, 1), 6, if(ISBLANK('2025'!$T394), 0, 1), 7, 0))), 1, "")</f>
        <v/>
      </c>
      <c r="AF431" s="1" t="str">
        <f>IF(AND(AND(AND(AF$4&gt;='2025'!$L394,AF$4&lt;='2025'!$M394), AF$4&lt;&gt;DATE(2025,7,4)), (SWITCH(weekday(AF$4), 1, 0, 2, if(ISBLANK('2025'!$P394), 0, 1), 3, if(ISBLANK('2025'!$Q394), 0, 1), 4, if(ISBLANK('2025'!$R394), 0, 1), 5, if(ISBLANK('2025'!$S394), 0, 1), 6, if(ISBLANK('2025'!$T394), 0, 1), 7, 0))), 1, "")</f>
        <v/>
      </c>
      <c r="AG431" s="1" t="str">
        <f>IF(AND(AND(AND(AG$4&gt;='2025'!$L394,AG$4&lt;='2025'!$M394), AG$4&lt;&gt;DATE(2025,7,4)), (SWITCH(weekday(AG$4), 1, 0, 2, if(ISBLANK('2025'!$P394), 0, 1), 3, if(ISBLANK('2025'!$Q394), 0, 1), 4, if(ISBLANK('2025'!$R394), 0, 1), 5, if(ISBLANK('2025'!$S394), 0, 1), 6, if(ISBLANK('2025'!$T394), 0, 1), 7, 0))), 1, "")</f>
        <v/>
      </c>
      <c r="AH431" s="1" t="str">
        <f>IF(AND(AND(AND(AH$4&gt;='2025'!$L394,AH$4&lt;='2025'!$M394), AH$4&lt;&gt;DATE(2025,7,4)), (SWITCH(weekday(AH$4), 1, 0, 2, if(ISBLANK('2025'!$P394), 0, 1), 3, if(ISBLANK('2025'!$Q394), 0, 1), 4, if(ISBLANK('2025'!$R394), 0, 1), 5, if(ISBLANK('2025'!$S394), 0, 1), 6, if(ISBLANK('2025'!$T394), 0, 1), 7, 0))), 1, "")</f>
        <v/>
      </c>
      <c r="AI431" s="1" t="str">
        <f>IF(AND(AND(AND(AI$4&gt;='2025'!$L394,AI$4&lt;='2025'!$M394), AI$4&lt;&gt;DATE(2025,7,4)), (SWITCH(weekday(AI$4), 1, 0, 2, if(ISBLANK('2025'!$P394), 0, 1), 3, if(ISBLANK('2025'!$Q394), 0, 1), 4, if(ISBLANK('2025'!$R394), 0, 1), 5, if(ISBLANK('2025'!$S394), 0, 1), 6, if(ISBLANK('2025'!$T394), 0, 1), 7, 0))), 1, "")</f>
        <v/>
      </c>
      <c r="AJ431" s="1" t="str">
        <f>IF(AND(AND(AND(AJ$4&gt;='2025'!$L394,AJ$4&lt;='2025'!$M394), AJ$4&lt;&gt;DATE(2025,7,4)), (SWITCH(weekday(AJ$4), 1, 0, 2, if(ISBLANK('2025'!$P394), 0, 1), 3, if(ISBLANK('2025'!$Q394), 0, 1), 4, if(ISBLANK('2025'!$R394), 0, 1), 5, if(ISBLANK('2025'!$S394), 0, 1), 6, if(ISBLANK('2025'!$T394), 0, 1), 7, 0))), 1, "")</f>
        <v/>
      </c>
      <c r="AK431" s="1" t="str">
        <f>IF(AND(AND(AND(AK$4&gt;='2025'!$L394,AK$4&lt;='2025'!$M394), AK$4&lt;&gt;DATE(2025,7,4)), (SWITCH(weekday(AK$4), 1, 0, 2, if(ISBLANK('2025'!$P394), 0, 1), 3, if(ISBLANK('2025'!$Q394), 0, 1), 4, if(ISBLANK('2025'!$R394), 0, 1), 5, if(ISBLANK('2025'!$S394), 0, 1), 6, if(ISBLANK('2025'!$T394), 0, 1), 7, 0))), 1, "")</f>
        <v/>
      </c>
      <c r="AL431" s="1" t="str">
        <f>IF(AND(AND(AND(AL$4&gt;='2025'!$L394,AL$4&lt;='2025'!$M394), AL$4&lt;&gt;DATE(2025,7,4)), (SWITCH(weekday(AL$4), 1, 0, 2, if(ISBLANK('2025'!$P394), 0, 1), 3, if(ISBLANK('2025'!$Q394), 0, 1), 4, if(ISBLANK('2025'!$R394), 0, 1), 5, if(ISBLANK('2025'!$S394), 0, 1), 6, if(ISBLANK('2025'!$T394), 0, 1), 7, 0))), 1, "")</f>
        <v/>
      </c>
      <c r="AM431" s="1" t="str">
        <f>IF(AND(AND(AND(AM$4&gt;='2025'!$L394,AM$4&lt;='2025'!$M394), AM$4&lt;&gt;DATE(2025,7,4)), (SWITCH(weekday(AM$4), 1, 0, 2, if(ISBLANK('2025'!$P394), 0, 1), 3, if(ISBLANK('2025'!$Q394), 0, 1), 4, if(ISBLANK('2025'!$R394), 0, 1), 5, if(ISBLANK('2025'!$S394), 0, 1), 6, if(ISBLANK('2025'!$T394), 0, 1), 7, 0))), 1, "")</f>
        <v/>
      </c>
      <c r="AN431" s="1" t="str">
        <f>IF(AND(AND(AND(AN$4&gt;='2025'!$L394,AN$4&lt;='2025'!$M394), AN$4&lt;&gt;DATE(2025,7,4)), (SWITCH(weekday(AN$4), 1, 0, 2, if(ISBLANK('2025'!$P394), 0, 1), 3, if(ISBLANK('2025'!$Q394), 0, 1), 4, if(ISBLANK('2025'!$R394), 0, 1), 5, if(ISBLANK('2025'!$S394), 0, 1), 6, if(ISBLANK('2025'!$T394), 0, 1), 7, 0))), 1, "")</f>
        <v/>
      </c>
      <c r="AO431" s="1" t="str">
        <f>IF(AND(AND(AND(AO$4&gt;='2025'!$L394,AO$4&lt;='2025'!$M394), AO$4&lt;&gt;DATE(2025,7,4)), (SWITCH(weekday(AO$4), 1, 0, 2, if(ISBLANK('2025'!$P394), 0, 1), 3, if(ISBLANK('2025'!$Q394), 0, 1), 4, if(ISBLANK('2025'!$R394), 0, 1), 5, if(ISBLANK('2025'!$S394), 0, 1), 6, if(ISBLANK('2025'!$T394), 0, 1), 7, 0))), 1, "")</f>
        <v/>
      </c>
      <c r="AP431" s="1" t="str">
        <f>IF(AND(AND(AND(AP$4&gt;='2025'!$L394,AP$4&lt;='2025'!$M394), AP$4&lt;&gt;DATE(2025,7,4)), (SWITCH(weekday(AP$4), 1, 0, 2, if(ISBLANK('2025'!$P394), 0, 1), 3, if(ISBLANK('2025'!$Q394), 0, 1), 4, if(ISBLANK('2025'!$R394), 0, 1), 5, if(ISBLANK('2025'!$S394), 0, 1), 6, if(ISBLANK('2025'!$T394), 0, 1), 7, 0))), 1, "")</f>
        <v/>
      </c>
      <c r="AQ431" s="1" t="str">
        <f>IF(AND(AND(AND(AQ$4&gt;='2025'!$L394,AQ$4&lt;='2025'!$M394), AQ$4&lt;&gt;DATE(2025,7,4)), (SWITCH(weekday(AQ$4), 1, 0, 2, if(ISBLANK('2025'!$P394), 0, 1), 3, if(ISBLANK('2025'!$Q394), 0, 1), 4, if(ISBLANK('2025'!$R394), 0, 1), 5, if(ISBLANK('2025'!$S394), 0, 1), 6, if(ISBLANK('2025'!$T394), 0, 1), 7, 0))), 1, "")</f>
        <v/>
      </c>
      <c r="AR431" s="1" t="str">
        <f>IF(AND(AND(AND(AR$4&gt;='2025'!$L394,AR$4&lt;='2025'!$M394), AR$4&lt;&gt;DATE(2025,7,4)), (SWITCH(weekday(AR$4), 1, 0, 2, if(ISBLANK('2025'!$P394), 0, 1), 3, if(ISBLANK('2025'!$Q394), 0, 1), 4, if(ISBLANK('2025'!$R394), 0, 1), 5, if(ISBLANK('2025'!$S394), 0, 1), 6, if(ISBLANK('2025'!$T394), 0, 1), 7, 0))), 1, "")</f>
        <v/>
      </c>
      <c r="AS431" s="1" t="str">
        <f>IF(AND(AND(AND(AS$4&gt;='2025'!$L394,AS$4&lt;='2025'!$M394), AS$4&lt;&gt;DATE(2025,7,4)), (SWITCH(weekday(AS$4), 1, 0, 2, if(ISBLANK('2025'!$P394), 0, 1), 3, if(ISBLANK('2025'!$Q394), 0, 1), 4, if(ISBLANK('2025'!$R394), 0, 1), 5, if(ISBLANK('2025'!$S394), 0, 1), 6, if(ISBLANK('2025'!$T394), 0, 1), 7, 0))), 1, "")</f>
        <v/>
      </c>
      <c r="AT431" s="1" t="str">
        <f>IF(AND(AND(AND(AT$4&gt;='2025'!$L394,AT$4&lt;='2025'!$M394), AT$4&lt;&gt;DATE(2025,7,4)), (SWITCH(weekday(AT$4), 1, 0, 2, if(ISBLANK('2025'!$P394), 0, 1), 3, if(ISBLANK('2025'!$Q394), 0, 1), 4, if(ISBLANK('2025'!$R394), 0, 1), 5, if(ISBLANK('2025'!$S394), 0, 1), 6, if(ISBLANK('2025'!$T394), 0, 1), 7, 0))), 1, "")</f>
        <v/>
      </c>
      <c r="AU431" s="1" t="str">
        <f>IF(AND(AND(AND(AU$4&gt;='2025'!$L394,AU$4&lt;='2025'!$M394), AU$4&lt;&gt;DATE(2025,7,4)), (SWITCH(weekday(AU$4), 1, 0, 2, if(ISBLANK('2025'!$P394), 0, 1), 3, if(ISBLANK('2025'!$Q394), 0, 1), 4, if(ISBLANK('2025'!$R394), 0, 1), 5, if(ISBLANK('2025'!$S394), 0, 1), 6, if(ISBLANK('2025'!$T394), 0, 1), 7, 0))), 1, "")</f>
        <v/>
      </c>
      <c r="AV431" s="1" t="str">
        <f>IF(AND(AND(AND(AV$4&gt;='2025'!$L394,AV$4&lt;='2025'!$M394), AV$4&lt;&gt;DATE(2025,7,4)), (SWITCH(weekday(AV$4), 1, 0, 2, if(ISBLANK('2025'!$P394), 0, 1), 3, if(ISBLANK('2025'!$Q394), 0, 1), 4, if(ISBLANK('2025'!$R394), 0, 1), 5, if(ISBLANK('2025'!$S394), 0, 1), 6, if(ISBLANK('2025'!$T394), 0, 1), 7, 0))), 1, "")</f>
        <v/>
      </c>
      <c r="AW431" s="1" t="str">
        <f>IF(AND(AND(AND(AW$4&gt;='2025'!$L394,AW$4&lt;='2025'!$M394), AW$4&lt;&gt;DATE(2025,7,4)), (SWITCH(weekday(AW$4), 1, 0, 2, if(ISBLANK('2025'!$P394), 0, 1), 3, if(ISBLANK('2025'!$Q394), 0, 1), 4, if(ISBLANK('2025'!$R394), 0, 1), 5, if(ISBLANK('2025'!$S394), 0, 1), 6, if(ISBLANK('2025'!$T394), 0, 1), 7, 0))), 1, "")</f>
        <v/>
      </c>
      <c r="AX431" s="1" t="str">
        <f>IF(AND(AND(AND(AX$4&gt;='2025'!$L394,AX$4&lt;='2025'!$M394), AX$4&lt;&gt;DATE(2025,7,4)), (SWITCH(weekday(AX$4), 1, 0, 2, if(ISBLANK('2025'!$P394), 0, 1), 3, if(ISBLANK('2025'!$Q394), 0, 1), 4, if(ISBLANK('2025'!$R394), 0, 1), 5, if(ISBLANK('2025'!$S394), 0, 1), 6, if(ISBLANK('2025'!$T394), 0, 1), 7, 0))), 1, "")</f>
        <v/>
      </c>
      <c r="AY431" s="1" t="str">
        <f>IF(AND(AND(AND(AY$4&gt;='2025'!$L394,AY$4&lt;='2025'!$M394), AY$4&lt;&gt;DATE(2025,7,4)), (SWITCH(weekday(AY$4), 1, 0, 2, if(ISBLANK('2025'!$P394), 0, 1), 3, if(ISBLANK('2025'!$Q394), 0, 1), 4, if(ISBLANK('2025'!$R394), 0, 1), 5, if(ISBLANK('2025'!$S394), 0, 1), 6, if(ISBLANK('2025'!$T394), 0, 1), 7, 0))), 1, "")</f>
        <v/>
      </c>
      <c r="AZ431" s="1" t="str">
        <f>IF(AND(AND(AND(AZ$4&gt;='2025'!$L394,AZ$4&lt;='2025'!$M394), AZ$4&lt;&gt;DATE(2025,7,4)), (SWITCH(weekday(AZ$4), 1, 0, 2, if(ISBLANK('2025'!$P394), 0, 1), 3, if(ISBLANK('2025'!$Q394), 0, 1), 4, if(ISBLANK('2025'!$R394), 0, 1), 5, if(ISBLANK('2025'!$S394), 0, 1), 6, if(ISBLANK('2025'!$T394), 0, 1), 7, 0))), 1, "")</f>
        <v/>
      </c>
      <c r="BA431" s="1" t="str">
        <f>IF(AND(AND(AND(BA$4&gt;='2025'!$L394,BA$4&lt;='2025'!$M394), BA$4&lt;&gt;DATE(2025,7,4)), (SWITCH(weekday(BA$4), 1, 0, 2, if(ISBLANK('2025'!$P394), 0, 1), 3, if(ISBLANK('2025'!$Q394), 0, 1), 4, if(ISBLANK('2025'!$R394), 0, 1), 5, if(ISBLANK('2025'!$S394), 0, 1), 6, if(ISBLANK('2025'!$T394), 0, 1), 7, 0))), 1, "")</f>
        <v/>
      </c>
      <c r="BB431" s="1" t="str">
        <f>IF(AND(AND(AND(BB$4&gt;='2025'!$L394,BB$4&lt;='2025'!$M394), BB$4&lt;&gt;DATE(2025,7,4)), (SWITCH(weekday(BB$4), 1, 0, 2, if(ISBLANK('2025'!$P394), 0, 1), 3, if(ISBLANK('2025'!$Q394), 0, 1), 4, if(ISBLANK('2025'!$R394), 0, 1), 5, if(ISBLANK('2025'!$S394), 0, 1), 6, if(ISBLANK('2025'!$T394), 0, 1), 7, 0))), 1, "")</f>
        <v/>
      </c>
      <c r="BC431" s="1" t="str">
        <f>IF(AND(AND(AND(BC$4&gt;='2025'!$L394,BC$4&lt;='2025'!$M394), BC$4&lt;&gt;DATE(2025,7,4)), (SWITCH(weekday(BC$4), 1, 0, 2, if(ISBLANK('2025'!$P394), 0, 1), 3, if(ISBLANK('2025'!$Q394), 0, 1), 4, if(ISBLANK('2025'!$R394), 0, 1), 5, if(ISBLANK('2025'!$S394), 0, 1), 6, if(ISBLANK('2025'!$T394), 0, 1), 7, 0))), 1, "")</f>
        <v/>
      </c>
      <c r="BD431" s="1" t="str">
        <f>IF(AND(AND(AND(BD$4&gt;='2025'!$L394,BD$4&lt;='2025'!$M394), BD$4&lt;&gt;DATE(2025,7,4)), (SWITCH(weekday(BD$4), 1, 0, 2, if(ISBLANK('2025'!$P394), 0, 1), 3, if(ISBLANK('2025'!$Q394), 0, 1), 4, if(ISBLANK('2025'!$R394), 0, 1), 5, if(ISBLANK('2025'!$S394), 0, 1), 6, if(ISBLANK('2025'!$T394), 0, 1), 7, 0))), 1, "")</f>
        <v/>
      </c>
      <c r="BE431" s="1" t="str">
        <f>IF(AND(AND(AND(BE$4&gt;='2025'!$L394,BE$4&lt;='2025'!$M394), BE$4&lt;&gt;DATE(2025,7,4)), (SWITCH(weekday(BE$4), 1, 0, 2, if(ISBLANK('2025'!$P394), 0, 1), 3, if(ISBLANK('2025'!$Q394), 0, 1), 4, if(ISBLANK('2025'!$R394), 0, 1), 5, if(ISBLANK('2025'!$S394), 0, 1), 6, if(ISBLANK('2025'!$T394), 0, 1), 7, 0))), 1, "")</f>
        <v/>
      </c>
    </row>
    <row r="432">
      <c r="A432" s="1">
        <f t="shared" si="3"/>
        <v>432</v>
      </c>
      <c r="B432" s="1" t="str">
        <f>'2025'!D395</f>
        <v/>
      </c>
      <c r="C432" s="1" t="str">
        <f>'2025'!H395</f>
        <v/>
      </c>
      <c r="D432" s="1" t="str">
        <f>IF(AND(AND(AND(D$4&gt;='2025'!$L395,D$4&lt;='2025'!$M395), D$4&lt;&gt;DATE(2025,7,4)), (SWITCH(weekday(D$4), 1, 0, 2, if(ISBLANK('2025'!$P395), 0, 1), 3, if(ISBLANK('2025'!$Q395), 0, 1), 4, if(ISBLANK('2025'!$R395), 0, 1), 5, if(ISBLANK('2025'!$S395), 0, 1), 6, if(ISBLANK('2025'!$T395), 0, 1), 7, 0))), 1, "")</f>
        <v/>
      </c>
      <c r="E432" s="1" t="str">
        <f>IF(AND(AND(AND(E$4&gt;='2025'!$L395,E$4&lt;='2025'!$M395), E$4&lt;&gt;DATE(2025,7,4)), (SWITCH(weekday(E$4), 1, 0, 2, if(ISBLANK('2025'!$P395), 0, 1), 3, if(ISBLANK('2025'!$Q395), 0, 1), 4, if(ISBLANK('2025'!$R395), 0, 1), 5, if(ISBLANK('2025'!$S395), 0, 1), 6, if(ISBLANK('2025'!$T395), 0, 1), 7, 0))), 1, "")</f>
        <v/>
      </c>
      <c r="F432" s="1" t="str">
        <f>IF(AND(AND(AND(F$4&gt;='2025'!$L395,F$4&lt;='2025'!$M395), F$4&lt;&gt;DATE(2025,7,4)), (SWITCH(weekday(F$4), 1, 0, 2, if(ISBLANK('2025'!$P395), 0, 1), 3, if(ISBLANK('2025'!$Q395), 0, 1), 4, if(ISBLANK('2025'!$R395), 0, 1), 5, if(ISBLANK('2025'!$S395), 0, 1), 6, if(ISBLANK('2025'!$T395), 0, 1), 7, 0))), 1, "")</f>
        <v/>
      </c>
      <c r="G432" s="1" t="str">
        <f>IF(AND(AND(AND(G$4&gt;='2025'!$L395,G$4&lt;='2025'!$M395), G$4&lt;&gt;DATE(2025,7,4)), (SWITCH(weekday(G$4), 1, 0, 2, if(ISBLANK('2025'!$P395), 0, 1), 3, if(ISBLANK('2025'!$Q395), 0, 1), 4, if(ISBLANK('2025'!$R395), 0, 1), 5, if(ISBLANK('2025'!$S395), 0, 1), 6, if(ISBLANK('2025'!$T395), 0, 1), 7, 0))), 1, "")</f>
        <v/>
      </c>
      <c r="H432" s="1" t="str">
        <f>IF(AND(AND(AND(H$4&gt;='2025'!$L395,H$4&lt;='2025'!$M395), H$4&lt;&gt;DATE(2025,7,4)), (SWITCH(weekday(H$4), 1, 0, 2, if(ISBLANK('2025'!$P395), 0, 1), 3, if(ISBLANK('2025'!$Q395), 0, 1), 4, if(ISBLANK('2025'!$R395), 0, 1), 5, if(ISBLANK('2025'!$S395), 0, 1), 6, if(ISBLANK('2025'!$T395), 0, 1), 7, 0))), 1, "")</f>
        <v/>
      </c>
      <c r="I432" s="1" t="str">
        <f>IF(AND(AND(AND(I$4&gt;='2025'!$L395,I$4&lt;='2025'!$M395), I$4&lt;&gt;DATE(2025,7,4)), (SWITCH(weekday(I$4), 1, 0, 2, if(ISBLANK('2025'!$P395), 0, 1), 3, if(ISBLANK('2025'!$Q395), 0, 1), 4, if(ISBLANK('2025'!$R395), 0, 1), 5, if(ISBLANK('2025'!$S395), 0, 1), 6, if(ISBLANK('2025'!$T395), 0, 1), 7, 0))), 1, "")</f>
        <v/>
      </c>
      <c r="J432" s="1" t="str">
        <f>IF(AND(AND(AND(J$4&gt;='2025'!$L395,J$4&lt;='2025'!$M395), J$4&lt;&gt;DATE(2025,7,4)), (SWITCH(weekday(J$4), 1, 0, 2, if(ISBLANK('2025'!$P395), 0, 1), 3, if(ISBLANK('2025'!$Q395), 0, 1), 4, if(ISBLANK('2025'!$R395), 0, 1), 5, if(ISBLANK('2025'!$S395), 0, 1), 6, if(ISBLANK('2025'!$T395), 0, 1), 7, 0))), 1, "")</f>
        <v/>
      </c>
      <c r="K432" s="1" t="str">
        <f>IF(AND(AND(AND(K$4&gt;='2025'!$L395,K$4&lt;='2025'!$M395), K$4&lt;&gt;DATE(2025,7,4)), (SWITCH(weekday(K$4), 1, 0, 2, if(ISBLANK('2025'!$P395), 0, 1), 3, if(ISBLANK('2025'!$Q395), 0, 1), 4, if(ISBLANK('2025'!$R395), 0, 1), 5, if(ISBLANK('2025'!$S395), 0, 1), 6, if(ISBLANK('2025'!$T395), 0, 1), 7, 0))), 1, "")</f>
        <v/>
      </c>
      <c r="L432" s="1" t="str">
        <f>IF(AND(AND(AND(L$4&gt;='2025'!$L395,L$4&lt;='2025'!$M395), L$4&lt;&gt;DATE(2025,7,4)), (SWITCH(weekday(L$4), 1, 0, 2, if(ISBLANK('2025'!$P395), 0, 1), 3, if(ISBLANK('2025'!$Q395), 0, 1), 4, if(ISBLANK('2025'!$R395), 0, 1), 5, if(ISBLANK('2025'!$S395), 0, 1), 6, if(ISBLANK('2025'!$T395), 0, 1), 7, 0))), 1, "")</f>
        <v/>
      </c>
      <c r="M432" s="1" t="str">
        <f>IF(AND(AND(AND(M$4&gt;='2025'!$L395,M$4&lt;='2025'!$M395), M$4&lt;&gt;DATE(2025,7,4)), (SWITCH(weekday(M$4), 1, 0, 2, if(ISBLANK('2025'!$P395), 0, 1), 3, if(ISBLANK('2025'!$Q395), 0, 1), 4, if(ISBLANK('2025'!$R395), 0, 1), 5, if(ISBLANK('2025'!$S395), 0, 1), 6, if(ISBLANK('2025'!$T395), 0, 1), 7, 0))), 1, "")</f>
        <v/>
      </c>
      <c r="N432" s="1" t="str">
        <f>IF(AND(AND(AND(N$4&gt;='2025'!$L395,N$4&lt;='2025'!$M395), N$4&lt;&gt;DATE(2025,7,4)), (SWITCH(weekday(N$4), 1, 0, 2, if(ISBLANK('2025'!$P395), 0, 1), 3, if(ISBLANK('2025'!$Q395), 0, 1), 4, if(ISBLANK('2025'!$R395), 0, 1), 5, if(ISBLANK('2025'!$S395), 0, 1), 6, if(ISBLANK('2025'!$T395), 0, 1), 7, 0))), 1, "")</f>
        <v/>
      </c>
      <c r="O432" s="1" t="str">
        <f>IF(AND(AND(AND(O$4&gt;='2025'!$L395,O$4&lt;='2025'!$M395), O$4&lt;&gt;DATE(2025,7,4)), (SWITCH(weekday(O$4), 1, 0, 2, if(ISBLANK('2025'!$P395), 0, 1), 3, if(ISBLANK('2025'!$Q395), 0, 1), 4, if(ISBLANK('2025'!$R395), 0, 1), 5, if(ISBLANK('2025'!$S395), 0, 1), 6, if(ISBLANK('2025'!$T395), 0, 1), 7, 0))), 1, "")</f>
        <v/>
      </c>
      <c r="P432" s="1" t="str">
        <f>IF(AND(AND(AND(P$4&gt;='2025'!$L395,P$4&lt;='2025'!$M395), P$4&lt;&gt;DATE(2025,7,4)), (SWITCH(weekday(P$4), 1, 0, 2, if(ISBLANK('2025'!$P395), 0, 1), 3, if(ISBLANK('2025'!$Q395), 0, 1), 4, if(ISBLANK('2025'!$R395), 0, 1), 5, if(ISBLANK('2025'!$S395), 0, 1), 6, if(ISBLANK('2025'!$T395), 0, 1), 7, 0))), 1, "")</f>
        <v/>
      </c>
      <c r="Q432" s="1" t="str">
        <f>IF(AND(AND(AND(Q$4&gt;='2025'!$L395,Q$4&lt;='2025'!$M395), Q$4&lt;&gt;DATE(2025,7,4)), (SWITCH(weekday(Q$4), 1, 0, 2, if(ISBLANK('2025'!$P395), 0, 1), 3, if(ISBLANK('2025'!$Q395), 0, 1), 4, if(ISBLANK('2025'!$R395), 0, 1), 5, if(ISBLANK('2025'!$S395), 0, 1), 6, if(ISBLANK('2025'!$T395), 0, 1), 7, 0))), 1, "")</f>
        <v/>
      </c>
      <c r="R432" s="1" t="str">
        <f>IF(AND(AND(AND(R$4&gt;='2025'!$L395,R$4&lt;='2025'!$M395), R$4&lt;&gt;DATE(2025,7,4)), (SWITCH(weekday(R$4), 1, 0, 2, if(ISBLANK('2025'!$P395), 0, 1), 3, if(ISBLANK('2025'!$Q395), 0, 1), 4, if(ISBLANK('2025'!$R395), 0, 1), 5, if(ISBLANK('2025'!$S395), 0, 1), 6, if(ISBLANK('2025'!$T395), 0, 1), 7, 0))), 1, "")</f>
        <v/>
      </c>
      <c r="S432" s="1" t="str">
        <f>IF(AND(AND(AND(S$4&gt;='2025'!$L395,S$4&lt;='2025'!$M395), S$4&lt;&gt;DATE(2025,7,4)), (SWITCH(weekday(S$4), 1, 0, 2, if(ISBLANK('2025'!$P395), 0, 1), 3, if(ISBLANK('2025'!$Q395), 0, 1), 4, if(ISBLANK('2025'!$R395), 0, 1), 5, if(ISBLANK('2025'!$S395), 0, 1), 6, if(ISBLANK('2025'!$T395), 0, 1), 7, 0))), 1, "")</f>
        <v/>
      </c>
      <c r="T432" s="1" t="str">
        <f>IF(AND(AND(AND(T$4&gt;='2025'!$L395,T$4&lt;='2025'!$M395), T$4&lt;&gt;DATE(2025,7,4)), (SWITCH(weekday(T$4), 1, 0, 2, if(ISBLANK('2025'!$P395), 0, 1), 3, if(ISBLANK('2025'!$Q395), 0, 1), 4, if(ISBLANK('2025'!$R395), 0, 1), 5, if(ISBLANK('2025'!$S395), 0, 1), 6, if(ISBLANK('2025'!$T395), 0, 1), 7, 0))), 1, "")</f>
        <v/>
      </c>
      <c r="U432" s="1" t="str">
        <f>IF(AND(AND(AND(U$4&gt;='2025'!$L395,U$4&lt;='2025'!$M395), U$4&lt;&gt;DATE(2025,7,4)), (SWITCH(weekday(U$4), 1, 0, 2, if(ISBLANK('2025'!$P395), 0, 1), 3, if(ISBLANK('2025'!$Q395), 0, 1), 4, if(ISBLANK('2025'!$R395), 0, 1), 5, if(ISBLANK('2025'!$S395), 0, 1), 6, if(ISBLANK('2025'!$T395), 0, 1), 7, 0))), 1, "")</f>
        <v/>
      </c>
      <c r="V432" s="1" t="str">
        <f>IF(AND(AND(AND(V$4&gt;='2025'!$L395,V$4&lt;='2025'!$M395), V$4&lt;&gt;DATE(2025,7,4)), (SWITCH(weekday(V$4), 1, 0, 2, if(ISBLANK('2025'!$P395), 0, 1), 3, if(ISBLANK('2025'!$Q395), 0, 1), 4, if(ISBLANK('2025'!$R395), 0, 1), 5, if(ISBLANK('2025'!$S395), 0, 1), 6, if(ISBLANK('2025'!$T395), 0, 1), 7, 0))), 1, "")</f>
        <v/>
      </c>
      <c r="W432" s="1" t="str">
        <f>IF(AND(AND(AND(W$4&gt;='2025'!$L395,W$4&lt;='2025'!$M395), W$4&lt;&gt;DATE(2025,7,4)), (SWITCH(weekday(W$4), 1, 0, 2, if(ISBLANK('2025'!$P395), 0, 1), 3, if(ISBLANK('2025'!$Q395), 0, 1), 4, if(ISBLANK('2025'!$R395), 0, 1), 5, if(ISBLANK('2025'!$S395), 0, 1), 6, if(ISBLANK('2025'!$T395), 0, 1), 7, 0))), 1, "")</f>
        <v/>
      </c>
      <c r="X432" s="1" t="str">
        <f>IF(AND(AND(AND(X$4&gt;='2025'!$L395,X$4&lt;='2025'!$M395), X$4&lt;&gt;DATE(2025,7,4)), (SWITCH(weekday(X$4), 1, 0, 2, if(ISBLANK('2025'!$P395), 0, 1), 3, if(ISBLANK('2025'!$Q395), 0, 1), 4, if(ISBLANK('2025'!$R395), 0, 1), 5, if(ISBLANK('2025'!$S395), 0, 1), 6, if(ISBLANK('2025'!$T395), 0, 1), 7, 0))), 1, "")</f>
        <v/>
      </c>
      <c r="Y432" s="1" t="str">
        <f>IF(AND(AND(AND(Y$4&gt;='2025'!$L395,Y$4&lt;='2025'!$M395), Y$4&lt;&gt;DATE(2025,7,4)), (SWITCH(weekday(Y$4), 1, 0, 2, if(ISBLANK('2025'!$P395), 0, 1), 3, if(ISBLANK('2025'!$Q395), 0, 1), 4, if(ISBLANK('2025'!$R395), 0, 1), 5, if(ISBLANK('2025'!$S395), 0, 1), 6, if(ISBLANK('2025'!$T395), 0, 1), 7, 0))), 1, "")</f>
        <v/>
      </c>
      <c r="Z432" s="1" t="str">
        <f>IF(AND(AND(AND(Z$4&gt;='2025'!$L395,Z$4&lt;='2025'!$M395), Z$4&lt;&gt;DATE(2025,7,4)), (SWITCH(weekday(Z$4), 1, 0, 2, if(ISBLANK('2025'!$P395), 0, 1), 3, if(ISBLANK('2025'!$Q395), 0, 1), 4, if(ISBLANK('2025'!$R395), 0, 1), 5, if(ISBLANK('2025'!$S395), 0, 1), 6, if(ISBLANK('2025'!$T395), 0, 1), 7, 0))), 1, "")</f>
        <v/>
      </c>
      <c r="AA432" s="1" t="str">
        <f>IF(AND(AND(AND(AA$4&gt;='2025'!$L395,AA$4&lt;='2025'!$M395), AA$4&lt;&gt;DATE(2025,7,4)), (SWITCH(weekday(AA$4), 1, 0, 2, if(ISBLANK('2025'!$P395), 0, 1), 3, if(ISBLANK('2025'!$Q395), 0, 1), 4, if(ISBLANK('2025'!$R395), 0, 1), 5, if(ISBLANK('2025'!$S395), 0, 1), 6, if(ISBLANK('2025'!$T395), 0, 1), 7, 0))), 1, "")</f>
        <v/>
      </c>
      <c r="AB432" s="1" t="str">
        <f>IF(AND(AND(AND(AB$4&gt;='2025'!$L395,AB$4&lt;='2025'!$M395), AB$4&lt;&gt;DATE(2025,7,4)), (SWITCH(weekday(AB$4), 1, 0, 2, if(ISBLANK('2025'!$P395), 0, 1), 3, if(ISBLANK('2025'!$Q395), 0, 1), 4, if(ISBLANK('2025'!$R395), 0, 1), 5, if(ISBLANK('2025'!$S395), 0, 1), 6, if(ISBLANK('2025'!$T395), 0, 1), 7, 0))), 1, "")</f>
        <v/>
      </c>
      <c r="AC432" s="1" t="str">
        <f>IF(AND(AND(AND(AC$4&gt;='2025'!$L395,AC$4&lt;='2025'!$M395), AC$4&lt;&gt;DATE(2025,7,4)), (SWITCH(weekday(AC$4), 1, 0, 2, if(ISBLANK('2025'!$P395), 0, 1), 3, if(ISBLANK('2025'!$Q395), 0, 1), 4, if(ISBLANK('2025'!$R395), 0, 1), 5, if(ISBLANK('2025'!$S395), 0, 1), 6, if(ISBLANK('2025'!$T395), 0, 1), 7, 0))), 1, "")</f>
        <v/>
      </c>
      <c r="AD432" s="1" t="str">
        <f>IF(AND(AND(AND(AD$4&gt;='2025'!$L395,AD$4&lt;='2025'!$M395), AD$4&lt;&gt;DATE(2025,7,4)), (SWITCH(weekday(AD$4), 1, 0, 2, if(ISBLANK('2025'!$P395), 0, 1), 3, if(ISBLANK('2025'!$Q395), 0, 1), 4, if(ISBLANK('2025'!$R395), 0, 1), 5, if(ISBLANK('2025'!$S395), 0, 1), 6, if(ISBLANK('2025'!$T395), 0, 1), 7, 0))), 1, "")</f>
        <v/>
      </c>
      <c r="AE432" s="1" t="str">
        <f>IF(AND(AND(AND(AE$4&gt;='2025'!$L395,AE$4&lt;='2025'!$M395), AE$4&lt;&gt;DATE(2025,7,4)), (SWITCH(weekday(AE$4), 1, 0, 2, if(ISBLANK('2025'!$P395), 0, 1), 3, if(ISBLANK('2025'!$Q395), 0, 1), 4, if(ISBLANK('2025'!$R395), 0, 1), 5, if(ISBLANK('2025'!$S395), 0, 1), 6, if(ISBLANK('2025'!$T395), 0, 1), 7, 0))), 1, "")</f>
        <v/>
      </c>
      <c r="AF432" s="1" t="str">
        <f>IF(AND(AND(AND(AF$4&gt;='2025'!$L395,AF$4&lt;='2025'!$M395), AF$4&lt;&gt;DATE(2025,7,4)), (SWITCH(weekday(AF$4), 1, 0, 2, if(ISBLANK('2025'!$P395), 0, 1), 3, if(ISBLANK('2025'!$Q395), 0, 1), 4, if(ISBLANK('2025'!$R395), 0, 1), 5, if(ISBLANK('2025'!$S395), 0, 1), 6, if(ISBLANK('2025'!$T395), 0, 1), 7, 0))), 1, "")</f>
        <v/>
      </c>
      <c r="AG432" s="1" t="str">
        <f>IF(AND(AND(AND(AG$4&gt;='2025'!$L395,AG$4&lt;='2025'!$M395), AG$4&lt;&gt;DATE(2025,7,4)), (SWITCH(weekday(AG$4), 1, 0, 2, if(ISBLANK('2025'!$P395), 0, 1), 3, if(ISBLANK('2025'!$Q395), 0, 1), 4, if(ISBLANK('2025'!$R395), 0, 1), 5, if(ISBLANK('2025'!$S395), 0, 1), 6, if(ISBLANK('2025'!$T395), 0, 1), 7, 0))), 1, "")</f>
        <v/>
      </c>
      <c r="AH432" s="1" t="str">
        <f>IF(AND(AND(AND(AH$4&gt;='2025'!$L395,AH$4&lt;='2025'!$M395), AH$4&lt;&gt;DATE(2025,7,4)), (SWITCH(weekday(AH$4), 1, 0, 2, if(ISBLANK('2025'!$P395), 0, 1), 3, if(ISBLANK('2025'!$Q395), 0, 1), 4, if(ISBLANK('2025'!$R395), 0, 1), 5, if(ISBLANK('2025'!$S395), 0, 1), 6, if(ISBLANK('2025'!$T395), 0, 1), 7, 0))), 1, "")</f>
        <v/>
      </c>
      <c r="AI432" s="1" t="str">
        <f>IF(AND(AND(AND(AI$4&gt;='2025'!$L395,AI$4&lt;='2025'!$M395), AI$4&lt;&gt;DATE(2025,7,4)), (SWITCH(weekday(AI$4), 1, 0, 2, if(ISBLANK('2025'!$P395), 0, 1), 3, if(ISBLANK('2025'!$Q395), 0, 1), 4, if(ISBLANK('2025'!$R395), 0, 1), 5, if(ISBLANK('2025'!$S395), 0, 1), 6, if(ISBLANK('2025'!$T395), 0, 1), 7, 0))), 1, "")</f>
        <v/>
      </c>
      <c r="AJ432" s="1" t="str">
        <f>IF(AND(AND(AND(AJ$4&gt;='2025'!$L395,AJ$4&lt;='2025'!$M395), AJ$4&lt;&gt;DATE(2025,7,4)), (SWITCH(weekday(AJ$4), 1, 0, 2, if(ISBLANK('2025'!$P395), 0, 1), 3, if(ISBLANK('2025'!$Q395), 0, 1), 4, if(ISBLANK('2025'!$R395), 0, 1), 5, if(ISBLANK('2025'!$S395), 0, 1), 6, if(ISBLANK('2025'!$T395), 0, 1), 7, 0))), 1, "")</f>
        <v/>
      </c>
      <c r="AK432" s="1" t="str">
        <f>IF(AND(AND(AND(AK$4&gt;='2025'!$L395,AK$4&lt;='2025'!$M395), AK$4&lt;&gt;DATE(2025,7,4)), (SWITCH(weekday(AK$4), 1, 0, 2, if(ISBLANK('2025'!$P395), 0, 1), 3, if(ISBLANK('2025'!$Q395), 0, 1), 4, if(ISBLANK('2025'!$R395), 0, 1), 5, if(ISBLANK('2025'!$S395), 0, 1), 6, if(ISBLANK('2025'!$T395), 0, 1), 7, 0))), 1, "")</f>
        <v/>
      </c>
      <c r="AL432" s="1" t="str">
        <f>IF(AND(AND(AND(AL$4&gt;='2025'!$L395,AL$4&lt;='2025'!$M395), AL$4&lt;&gt;DATE(2025,7,4)), (SWITCH(weekday(AL$4), 1, 0, 2, if(ISBLANK('2025'!$P395), 0, 1), 3, if(ISBLANK('2025'!$Q395), 0, 1), 4, if(ISBLANK('2025'!$R395), 0, 1), 5, if(ISBLANK('2025'!$S395), 0, 1), 6, if(ISBLANK('2025'!$T395), 0, 1), 7, 0))), 1, "")</f>
        <v/>
      </c>
      <c r="AM432" s="1" t="str">
        <f>IF(AND(AND(AND(AM$4&gt;='2025'!$L395,AM$4&lt;='2025'!$M395), AM$4&lt;&gt;DATE(2025,7,4)), (SWITCH(weekday(AM$4), 1, 0, 2, if(ISBLANK('2025'!$P395), 0, 1), 3, if(ISBLANK('2025'!$Q395), 0, 1), 4, if(ISBLANK('2025'!$R395), 0, 1), 5, if(ISBLANK('2025'!$S395), 0, 1), 6, if(ISBLANK('2025'!$T395), 0, 1), 7, 0))), 1, "")</f>
        <v/>
      </c>
      <c r="AN432" s="1" t="str">
        <f>IF(AND(AND(AND(AN$4&gt;='2025'!$L395,AN$4&lt;='2025'!$M395), AN$4&lt;&gt;DATE(2025,7,4)), (SWITCH(weekday(AN$4), 1, 0, 2, if(ISBLANK('2025'!$P395), 0, 1), 3, if(ISBLANK('2025'!$Q395), 0, 1), 4, if(ISBLANK('2025'!$R395), 0, 1), 5, if(ISBLANK('2025'!$S395), 0, 1), 6, if(ISBLANK('2025'!$T395), 0, 1), 7, 0))), 1, "")</f>
        <v/>
      </c>
      <c r="AO432" s="1" t="str">
        <f>IF(AND(AND(AND(AO$4&gt;='2025'!$L395,AO$4&lt;='2025'!$M395), AO$4&lt;&gt;DATE(2025,7,4)), (SWITCH(weekday(AO$4), 1, 0, 2, if(ISBLANK('2025'!$P395), 0, 1), 3, if(ISBLANK('2025'!$Q395), 0, 1), 4, if(ISBLANK('2025'!$R395), 0, 1), 5, if(ISBLANK('2025'!$S395), 0, 1), 6, if(ISBLANK('2025'!$T395), 0, 1), 7, 0))), 1, "")</f>
        <v/>
      </c>
      <c r="AP432" s="1" t="str">
        <f>IF(AND(AND(AND(AP$4&gt;='2025'!$L395,AP$4&lt;='2025'!$M395), AP$4&lt;&gt;DATE(2025,7,4)), (SWITCH(weekday(AP$4), 1, 0, 2, if(ISBLANK('2025'!$P395), 0, 1), 3, if(ISBLANK('2025'!$Q395), 0, 1), 4, if(ISBLANK('2025'!$R395), 0, 1), 5, if(ISBLANK('2025'!$S395), 0, 1), 6, if(ISBLANK('2025'!$T395), 0, 1), 7, 0))), 1, "")</f>
        <v/>
      </c>
      <c r="AQ432" s="1" t="str">
        <f>IF(AND(AND(AND(AQ$4&gt;='2025'!$L395,AQ$4&lt;='2025'!$M395), AQ$4&lt;&gt;DATE(2025,7,4)), (SWITCH(weekday(AQ$4), 1, 0, 2, if(ISBLANK('2025'!$P395), 0, 1), 3, if(ISBLANK('2025'!$Q395), 0, 1), 4, if(ISBLANK('2025'!$R395), 0, 1), 5, if(ISBLANK('2025'!$S395), 0, 1), 6, if(ISBLANK('2025'!$T395), 0, 1), 7, 0))), 1, "")</f>
        <v/>
      </c>
      <c r="AR432" s="1" t="str">
        <f>IF(AND(AND(AND(AR$4&gt;='2025'!$L395,AR$4&lt;='2025'!$M395), AR$4&lt;&gt;DATE(2025,7,4)), (SWITCH(weekday(AR$4), 1, 0, 2, if(ISBLANK('2025'!$P395), 0, 1), 3, if(ISBLANK('2025'!$Q395), 0, 1), 4, if(ISBLANK('2025'!$R395), 0, 1), 5, if(ISBLANK('2025'!$S395), 0, 1), 6, if(ISBLANK('2025'!$T395), 0, 1), 7, 0))), 1, "")</f>
        <v/>
      </c>
      <c r="AS432" s="1" t="str">
        <f>IF(AND(AND(AND(AS$4&gt;='2025'!$L395,AS$4&lt;='2025'!$M395), AS$4&lt;&gt;DATE(2025,7,4)), (SWITCH(weekday(AS$4), 1, 0, 2, if(ISBLANK('2025'!$P395), 0, 1), 3, if(ISBLANK('2025'!$Q395), 0, 1), 4, if(ISBLANK('2025'!$R395), 0, 1), 5, if(ISBLANK('2025'!$S395), 0, 1), 6, if(ISBLANK('2025'!$T395), 0, 1), 7, 0))), 1, "")</f>
        <v/>
      </c>
      <c r="AT432" s="1" t="str">
        <f>IF(AND(AND(AND(AT$4&gt;='2025'!$L395,AT$4&lt;='2025'!$M395), AT$4&lt;&gt;DATE(2025,7,4)), (SWITCH(weekday(AT$4), 1, 0, 2, if(ISBLANK('2025'!$P395), 0, 1), 3, if(ISBLANK('2025'!$Q395), 0, 1), 4, if(ISBLANK('2025'!$R395), 0, 1), 5, if(ISBLANK('2025'!$S395), 0, 1), 6, if(ISBLANK('2025'!$T395), 0, 1), 7, 0))), 1, "")</f>
        <v/>
      </c>
      <c r="AU432" s="1" t="str">
        <f>IF(AND(AND(AND(AU$4&gt;='2025'!$L395,AU$4&lt;='2025'!$M395), AU$4&lt;&gt;DATE(2025,7,4)), (SWITCH(weekday(AU$4), 1, 0, 2, if(ISBLANK('2025'!$P395), 0, 1), 3, if(ISBLANK('2025'!$Q395), 0, 1), 4, if(ISBLANK('2025'!$R395), 0, 1), 5, if(ISBLANK('2025'!$S395), 0, 1), 6, if(ISBLANK('2025'!$T395), 0, 1), 7, 0))), 1, "")</f>
        <v/>
      </c>
      <c r="AV432" s="1" t="str">
        <f>IF(AND(AND(AND(AV$4&gt;='2025'!$L395,AV$4&lt;='2025'!$M395), AV$4&lt;&gt;DATE(2025,7,4)), (SWITCH(weekday(AV$4), 1, 0, 2, if(ISBLANK('2025'!$P395), 0, 1), 3, if(ISBLANK('2025'!$Q395), 0, 1), 4, if(ISBLANK('2025'!$R395), 0, 1), 5, if(ISBLANK('2025'!$S395), 0, 1), 6, if(ISBLANK('2025'!$T395), 0, 1), 7, 0))), 1, "")</f>
        <v/>
      </c>
      <c r="AW432" s="1" t="str">
        <f>IF(AND(AND(AND(AW$4&gt;='2025'!$L395,AW$4&lt;='2025'!$M395), AW$4&lt;&gt;DATE(2025,7,4)), (SWITCH(weekday(AW$4), 1, 0, 2, if(ISBLANK('2025'!$P395), 0, 1), 3, if(ISBLANK('2025'!$Q395), 0, 1), 4, if(ISBLANK('2025'!$R395), 0, 1), 5, if(ISBLANK('2025'!$S395), 0, 1), 6, if(ISBLANK('2025'!$T395), 0, 1), 7, 0))), 1, "")</f>
        <v/>
      </c>
      <c r="AX432" s="1" t="str">
        <f>IF(AND(AND(AND(AX$4&gt;='2025'!$L395,AX$4&lt;='2025'!$M395), AX$4&lt;&gt;DATE(2025,7,4)), (SWITCH(weekday(AX$4), 1, 0, 2, if(ISBLANK('2025'!$P395), 0, 1), 3, if(ISBLANK('2025'!$Q395), 0, 1), 4, if(ISBLANK('2025'!$R395), 0, 1), 5, if(ISBLANK('2025'!$S395), 0, 1), 6, if(ISBLANK('2025'!$T395), 0, 1), 7, 0))), 1, "")</f>
        <v/>
      </c>
      <c r="AY432" s="1" t="str">
        <f>IF(AND(AND(AND(AY$4&gt;='2025'!$L395,AY$4&lt;='2025'!$M395), AY$4&lt;&gt;DATE(2025,7,4)), (SWITCH(weekday(AY$4), 1, 0, 2, if(ISBLANK('2025'!$P395), 0, 1), 3, if(ISBLANK('2025'!$Q395), 0, 1), 4, if(ISBLANK('2025'!$R395), 0, 1), 5, if(ISBLANK('2025'!$S395), 0, 1), 6, if(ISBLANK('2025'!$T395), 0, 1), 7, 0))), 1, "")</f>
        <v/>
      </c>
      <c r="AZ432" s="1" t="str">
        <f>IF(AND(AND(AND(AZ$4&gt;='2025'!$L395,AZ$4&lt;='2025'!$M395), AZ$4&lt;&gt;DATE(2025,7,4)), (SWITCH(weekday(AZ$4), 1, 0, 2, if(ISBLANK('2025'!$P395), 0, 1), 3, if(ISBLANK('2025'!$Q395), 0, 1), 4, if(ISBLANK('2025'!$R395), 0, 1), 5, if(ISBLANK('2025'!$S395), 0, 1), 6, if(ISBLANK('2025'!$T395), 0, 1), 7, 0))), 1, "")</f>
        <v/>
      </c>
      <c r="BA432" s="1" t="str">
        <f>IF(AND(AND(AND(BA$4&gt;='2025'!$L395,BA$4&lt;='2025'!$M395), BA$4&lt;&gt;DATE(2025,7,4)), (SWITCH(weekday(BA$4), 1, 0, 2, if(ISBLANK('2025'!$P395), 0, 1), 3, if(ISBLANK('2025'!$Q395), 0, 1), 4, if(ISBLANK('2025'!$R395), 0, 1), 5, if(ISBLANK('2025'!$S395), 0, 1), 6, if(ISBLANK('2025'!$T395), 0, 1), 7, 0))), 1, "")</f>
        <v/>
      </c>
      <c r="BB432" s="1" t="str">
        <f>IF(AND(AND(AND(BB$4&gt;='2025'!$L395,BB$4&lt;='2025'!$M395), BB$4&lt;&gt;DATE(2025,7,4)), (SWITCH(weekday(BB$4), 1, 0, 2, if(ISBLANK('2025'!$P395), 0, 1), 3, if(ISBLANK('2025'!$Q395), 0, 1), 4, if(ISBLANK('2025'!$R395), 0, 1), 5, if(ISBLANK('2025'!$S395), 0, 1), 6, if(ISBLANK('2025'!$T395), 0, 1), 7, 0))), 1, "")</f>
        <v/>
      </c>
      <c r="BC432" s="1" t="str">
        <f>IF(AND(AND(AND(BC$4&gt;='2025'!$L395,BC$4&lt;='2025'!$M395), BC$4&lt;&gt;DATE(2025,7,4)), (SWITCH(weekday(BC$4), 1, 0, 2, if(ISBLANK('2025'!$P395), 0, 1), 3, if(ISBLANK('2025'!$Q395), 0, 1), 4, if(ISBLANK('2025'!$R395), 0, 1), 5, if(ISBLANK('2025'!$S395), 0, 1), 6, if(ISBLANK('2025'!$T395), 0, 1), 7, 0))), 1, "")</f>
        <v/>
      </c>
      <c r="BD432" s="1" t="str">
        <f>IF(AND(AND(AND(BD$4&gt;='2025'!$L395,BD$4&lt;='2025'!$M395), BD$4&lt;&gt;DATE(2025,7,4)), (SWITCH(weekday(BD$4), 1, 0, 2, if(ISBLANK('2025'!$P395), 0, 1), 3, if(ISBLANK('2025'!$Q395), 0, 1), 4, if(ISBLANK('2025'!$R395), 0, 1), 5, if(ISBLANK('2025'!$S395), 0, 1), 6, if(ISBLANK('2025'!$T395), 0, 1), 7, 0))), 1, "")</f>
        <v/>
      </c>
      <c r="BE432" s="1" t="str">
        <f>IF(AND(AND(AND(BE$4&gt;='2025'!$L395,BE$4&lt;='2025'!$M395), BE$4&lt;&gt;DATE(2025,7,4)), (SWITCH(weekday(BE$4), 1, 0, 2, if(ISBLANK('2025'!$P395), 0, 1), 3, if(ISBLANK('2025'!$Q395), 0, 1), 4, if(ISBLANK('2025'!$R395), 0, 1), 5, if(ISBLANK('2025'!$S395), 0, 1), 6, if(ISBLANK('2025'!$T395), 0, 1), 7, 0))), 1, "")</f>
        <v/>
      </c>
    </row>
    <row r="433">
      <c r="A433" s="1">
        <f t="shared" si="3"/>
        <v>433</v>
      </c>
      <c r="B433" s="1" t="str">
        <f>'2025'!D396</f>
        <v/>
      </c>
      <c r="C433" s="1" t="str">
        <f>'2025'!H396</f>
        <v/>
      </c>
      <c r="D433" s="1" t="str">
        <f>IF(AND(AND(AND(D$4&gt;='2025'!$L396,D$4&lt;='2025'!$M396), D$4&lt;&gt;DATE(2025,7,4)), (SWITCH(weekday(D$4), 1, 0, 2, if(ISBLANK('2025'!$P396), 0, 1), 3, if(ISBLANK('2025'!$Q396), 0, 1), 4, if(ISBLANK('2025'!$R396), 0, 1), 5, if(ISBLANK('2025'!$S396), 0, 1), 6, if(ISBLANK('2025'!$T396), 0, 1), 7, 0))), 1, "")</f>
        <v/>
      </c>
      <c r="E433" s="1" t="str">
        <f>IF(AND(AND(AND(E$4&gt;='2025'!$L396,E$4&lt;='2025'!$M396), E$4&lt;&gt;DATE(2025,7,4)), (SWITCH(weekday(E$4), 1, 0, 2, if(ISBLANK('2025'!$P396), 0, 1), 3, if(ISBLANK('2025'!$Q396), 0, 1), 4, if(ISBLANK('2025'!$R396), 0, 1), 5, if(ISBLANK('2025'!$S396), 0, 1), 6, if(ISBLANK('2025'!$T396), 0, 1), 7, 0))), 1, "")</f>
        <v/>
      </c>
      <c r="F433" s="1" t="str">
        <f>IF(AND(AND(AND(F$4&gt;='2025'!$L396,F$4&lt;='2025'!$M396), F$4&lt;&gt;DATE(2025,7,4)), (SWITCH(weekday(F$4), 1, 0, 2, if(ISBLANK('2025'!$P396), 0, 1), 3, if(ISBLANK('2025'!$Q396), 0, 1), 4, if(ISBLANK('2025'!$R396), 0, 1), 5, if(ISBLANK('2025'!$S396), 0, 1), 6, if(ISBLANK('2025'!$T396), 0, 1), 7, 0))), 1, "")</f>
        <v/>
      </c>
      <c r="G433" s="1" t="str">
        <f>IF(AND(AND(AND(G$4&gt;='2025'!$L396,G$4&lt;='2025'!$M396), G$4&lt;&gt;DATE(2025,7,4)), (SWITCH(weekday(G$4), 1, 0, 2, if(ISBLANK('2025'!$P396), 0, 1), 3, if(ISBLANK('2025'!$Q396), 0, 1), 4, if(ISBLANK('2025'!$R396), 0, 1), 5, if(ISBLANK('2025'!$S396), 0, 1), 6, if(ISBLANK('2025'!$T396), 0, 1), 7, 0))), 1, "")</f>
        <v/>
      </c>
      <c r="H433" s="1" t="str">
        <f>IF(AND(AND(AND(H$4&gt;='2025'!$L396,H$4&lt;='2025'!$M396), H$4&lt;&gt;DATE(2025,7,4)), (SWITCH(weekday(H$4), 1, 0, 2, if(ISBLANK('2025'!$P396), 0, 1), 3, if(ISBLANK('2025'!$Q396), 0, 1), 4, if(ISBLANK('2025'!$R396), 0, 1), 5, if(ISBLANK('2025'!$S396), 0, 1), 6, if(ISBLANK('2025'!$T396), 0, 1), 7, 0))), 1, "")</f>
        <v/>
      </c>
      <c r="I433" s="1" t="str">
        <f>IF(AND(AND(AND(I$4&gt;='2025'!$L396,I$4&lt;='2025'!$M396), I$4&lt;&gt;DATE(2025,7,4)), (SWITCH(weekday(I$4), 1, 0, 2, if(ISBLANK('2025'!$P396), 0, 1), 3, if(ISBLANK('2025'!$Q396), 0, 1), 4, if(ISBLANK('2025'!$R396), 0, 1), 5, if(ISBLANK('2025'!$S396), 0, 1), 6, if(ISBLANK('2025'!$T396), 0, 1), 7, 0))), 1, "")</f>
        <v/>
      </c>
      <c r="J433" s="1" t="str">
        <f>IF(AND(AND(AND(J$4&gt;='2025'!$L396,J$4&lt;='2025'!$M396), J$4&lt;&gt;DATE(2025,7,4)), (SWITCH(weekday(J$4), 1, 0, 2, if(ISBLANK('2025'!$P396), 0, 1), 3, if(ISBLANK('2025'!$Q396), 0, 1), 4, if(ISBLANK('2025'!$R396), 0, 1), 5, if(ISBLANK('2025'!$S396), 0, 1), 6, if(ISBLANK('2025'!$T396), 0, 1), 7, 0))), 1, "")</f>
        <v/>
      </c>
      <c r="K433" s="1" t="str">
        <f>IF(AND(AND(AND(K$4&gt;='2025'!$L396,K$4&lt;='2025'!$M396), K$4&lt;&gt;DATE(2025,7,4)), (SWITCH(weekday(K$4), 1, 0, 2, if(ISBLANK('2025'!$P396), 0, 1), 3, if(ISBLANK('2025'!$Q396), 0, 1), 4, if(ISBLANK('2025'!$R396), 0, 1), 5, if(ISBLANK('2025'!$S396), 0, 1), 6, if(ISBLANK('2025'!$T396), 0, 1), 7, 0))), 1, "")</f>
        <v/>
      </c>
      <c r="L433" s="1" t="str">
        <f>IF(AND(AND(AND(L$4&gt;='2025'!$L396,L$4&lt;='2025'!$M396), L$4&lt;&gt;DATE(2025,7,4)), (SWITCH(weekday(L$4), 1, 0, 2, if(ISBLANK('2025'!$P396), 0, 1), 3, if(ISBLANK('2025'!$Q396), 0, 1), 4, if(ISBLANK('2025'!$R396), 0, 1), 5, if(ISBLANK('2025'!$S396), 0, 1), 6, if(ISBLANK('2025'!$T396), 0, 1), 7, 0))), 1, "")</f>
        <v/>
      </c>
      <c r="M433" s="1" t="str">
        <f>IF(AND(AND(AND(M$4&gt;='2025'!$L396,M$4&lt;='2025'!$M396), M$4&lt;&gt;DATE(2025,7,4)), (SWITCH(weekday(M$4), 1, 0, 2, if(ISBLANK('2025'!$P396), 0, 1), 3, if(ISBLANK('2025'!$Q396), 0, 1), 4, if(ISBLANK('2025'!$R396), 0, 1), 5, if(ISBLANK('2025'!$S396), 0, 1), 6, if(ISBLANK('2025'!$T396), 0, 1), 7, 0))), 1, "")</f>
        <v/>
      </c>
      <c r="N433" s="1" t="str">
        <f>IF(AND(AND(AND(N$4&gt;='2025'!$L396,N$4&lt;='2025'!$M396), N$4&lt;&gt;DATE(2025,7,4)), (SWITCH(weekday(N$4), 1, 0, 2, if(ISBLANK('2025'!$P396), 0, 1), 3, if(ISBLANK('2025'!$Q396), 0, 1), 4, if(ISBLANK('2025'!$R396), 0, 1), 5, if(ISBLANK('2025'!$S396), 0, 1), 6, if(ISBLANK('2025'!$T396), 0, 1), 7, 0))), 1, "")</f>
        <v/>
      </c>
      <c r="O433" s="1" t="str">
        <f>IF(AND(AND(AND(O$4&gt;='2025'!$L396,O$4&lt;='2025'!$M396), O$4&lt;&gt;DATE(2025,7,4)), (SWITCH(weekday(O$4), 1, 0, 2, if(ISBLANK('2025'!$P396), 0, 1), 3, if(ISBLANK('2025'!$Q396), 0, 1), 4, if(ISBLANK('2025'!$R396), 0, 1), 5, if(ISBLANK('2025'!$S396), 0, 1), 6, if(ISBLANK('2025'!$T396), 0, 1), 7, 0))), 1, "")</f>
        <v/>
      </c>
      <c r="P433" s="1" t="str">
        <f>IF(AND(AND(AND(P$4&gt;='2025'!$L396,P$4&lt;='2025'!$M396), P$4&lt;&gt;DATE(2025,7,4)), (SWITCH(weekday(P$4), 1, 0, 2, if(ISBLANK('2025'!$P396), 0, 1), 3, if(ISBLANK('2025'!$Q396), 0, 1), 4, if(ISBLANK('2025'!$R396), 0, 1), 5, if(ISBLANK('2025'!$S396), 0, 1), 6, if(ISBLANK('2025'!$T396), 0, 1), 7, 0))), 1, "")</f>
        <v/>
      </c>
      <c r="Q433" s="1" t="str">
        <f>IF(AND(AND(AND(Q$4&gt;='2025'!$L396,Q$4&lt;='2025'!$M396), Q$4&lt;&gt;DATE(2025,7,4)), (SWITCH(weekday(Q$4), 1, 0, 2, if(ISBLANK('2025'!$P396), 0, 1), 3, if(ISBLANK('2025'!$Q396), 0, 1), 4, if(ISBLANK('2025'!$R396), 0, 1), 5, if(ISBLANK('2025'!$S396), 0, 1), 6, if(ISBLANK('2025'!$T396), 0, 1), 7, 0))), 1, "")</f>
        <v/>
      </c>
      <c r="R433" s="1" t="str">
        <f>IF(AND(AND(AND(R$4&gt;='2025'!$L396,R$4&lt;='2025'!$M396), R$4&lt;&gt;DATE(2025,7,4)), (SWITCH(weekday(R$4), 1, 0, 2, if(ISBLANK('2025'!$P396), 0, 1), 3, if(ISBLANK('2025'!$Q396), 0, 1), 4, if(ISBLANK('2025'!$R396), 0, 1), 5, if(ISBLANK('2025'!$S396), 0, 1), 6, if(ISBLANK('2025'!$T396), 0, 1), 7, 0))), 1, "")</f>
        <v/>
      </c>
      <c r="S433" s="1" t="str">
        <f>IF(AND(AND(AND(S$4&gt;='2025'!$L396,S$4&lt;='2025'!$M396), S$4&lt;&gt;DATE(2025,7,4)), (SWITCH(weekday(S$4), 1, 0, 2, if(ISBLANK('2025'!$P396), 0, 1), 3, if(ISBLANK('2025'!$Q396), 0, 1), 4, if(ISBLANK('2025'!$R396), 0, 1), 5, if(ISBLANK('2025'!$S396), 0, 1), 6, if(ISBLANK('2025'!$T396), 0, 1), 7, 0))), 1, "")</f>
        <v/>
      </c>
      <c r="T433" s="1" t="str">
        <f>IF(AND(AND(AND(T$4&gt;='2025'!$L396,T$4&lt;='2025'!$M396), T$4&lt;&gt;DATE(2025,7,4)), (SWITCH(weekday(T$4), 1, 0, 2, if(ISBLANK('2025'!$P396), 0, 1), 3, if(ISBLANK('2025'!$Q396), 0, 1), 4, if(ISBLANK('2025'!$R396), 0, 1), 5, if(ISBLANK('2025'!$S396), 0, 1), 6, if(ISBLANK('2025'!$T396), 0, 1), 7, 0))), 1, "")</f>
        <v/>
      </c>
      <c r="U433" s="1" t="str">
        <f>IF(AND(AND(AND(U$4&gt;='2025'!$L396,U$4&lt;='2025'!$M396), U$4&lt;&gt;DATE(2025,7,4)), (SWITCH(weekday(U$4), 1, 0, 2, if(ISBLANK('2025'!$P396), 0, 1), 3, if(ISBLANK('2025'!$Q396), 0, 1), 4, if(ISBLANK('2025'!$R396), 0, 1), 5, if(ISBLANK('2025'!$S396), 0, 1), 6, if(ISBLANK('2025'!$T396), 0, 1), 7, 0))), 1, "")</f>
        <v/>
      </c>
      <c r="V433" s="1" t="str">
        <f>IF(AND(AND(AND(V$4&gt;='2025'!$L396,V$4&lt;='2025'!$M396), V$4&lt;&gt;DATE(2025,7,4)), (SWITCH(weekday(V$4), 1, 0, 2, if(ISBLANK('2025'!$P396), 0, 1), 3, if(ISBLANK('2025'!$Q396), 0, 1), 4, if(ISBLANK('2025'!$R396), 0, 1), 5, if(ISBLANK('2025'!$S396), 0, 1), 6, if(ISBLANK('2025'!$T396), 0, 1), 7, 0))), 1, "")</f>
        <v/>
      </c>
      <c r="W433" s="1" t="str">
        <f>IF(AND(AND(AND(W$4&gt;='2025'!$L396,W$4&lt;='2025'!$M396), W$4&lt;&gt;DATE(2025,7,4)), (SWITCH(weekday(W$4), 1, 0, 2, if(ISBLANK('2025'!$P396), 0, 1), 3, if(ISBLANK('2025'!$Q396), 0, 1), 4, if(ISBLANK('2025'!$R396), 0, 1), 5, if(ISBLANK('2025'!$S396), 0, 1), 6, if(ISBLANK('2025'!$T396), 0, 1), 7, 0))), 1, "")</f>
        <v/>
      </c>
      <c r="X433" s="1" t="str">
        <f>IF(AND(AND(AND(X$4&gt;='2025'!$L396,X$4&lt;='2025'!$M396), X$4&lt;&gt;DATE(2025,7,4)), (SWITCH(weekday(X$4), 1, 0, 2, if(ISBLANK('2025'!$P396), 0, 1), 3, if(ISBLANK('2025'!$Q396), 0, 1), 4, if(ISBLANK('2025'!$R396), 0, 1), 5, if(ISBLANK('2025'!$S396), 0, 1), 6, if(ISBLANK('2025'!$T396), 0, 1), 7, 0))), 1, "")</f>
        <v/>
      </c>
      <c r="Y433" s="1" t="str">
        <f>IF(AND(AND(AND(Y$4&gt;='2025'!$L396,Y$4&lt;='2025'!$M396), Y$4&lt;&gt;DATE(2025,7,4)), (SWITCH(weekday(Y$4), 1, 0, 2, if(ISBLANK('2025'!$P396), 0, 1), 3, if(ISBLANK('2025'!$Q396), 0, 1), 4, if(ISBLANK('2025'!$R396), 0, 1), 5, if(ISBLANK('2025'!$S396), 0, 1), 6, if(ISBLANK('2025'!$T396), 0, 1), 7, 0))), 1, "")</f>
        <v/>
      </c>
      <c r="Z433" s="1" t="str">
        <f>IF(AND(AND(AND(Z$4&gt;='2025'!$L396,Z$4&lt;='2025'!$M396), Z$4&lt;&gt;DATE(2025,7,4)), (SWITCH(weekday(Z$4), 1, 0, 2, if(ISBLANK('2025'!$P396), 0, 1), 3, if(ISBLANK('2025'!$Q396), 0, 1), 4, if(ISBLANK('2025'!$R396), 0, 1), 5, if(ISBLANK('2025'!$S396), 0, 1), 6, if(ISBLANK('2025'!$T396), 0, 1), 7, 0))), 1, "")</f>
        <v/>
      </c>
      <c r="AA433" s="1" t="str">
        <f>IF(AND(AND(AND(AA$4&gt;='2025'!$L396,AA$4&lt;='2025'!$M396), AA$4&lt;&gt;DATE(2025,7,4)), (SWITCH(weekday(AA$4), 1, 0, 2, if(ISBLANK('2025'!$P396), 0, 1), 3, if(ISBLANK('2025'!$Q396), 0, 1), 4, if(ISBLANK('2025'!$R396), 0, 1), 5, if(ISBLANK('2025'!$S396), 0, 1), 6, if(ISBLANK('2025'!$T396), 0, 1), 7, 0))), 1, "")</f>
        <v/>
      </c>
      <c r="AB433" s="1" t="str">
        <f>IF(AND(AND(AND(AB$4&gt;='2025'!$L396,AB$4&lt;='2025'!$M396), AB$4&lt;&gt;DATE(2025,7,4)), (SWITCH(weekday(AB$4), 1, 0, 2, if(ISBLANK('2025'!$P396), 0, 1), 3, if(ISBLANK('2025'!$Q396), 0, 1), 4, if(ISBLANK('2025'!$R396), 0, 1), 5, if(ISBLANK('2025'!$S396), 0, 1), 6, if(ISBLANK('2025'!$T396), 0, 1), 7, 0))), 1, "")</f>
        <v/>
      </c>
      <c r="AC433" s="1" t="str">
        <f>IF(AND(AND(AND(AC$4&gt;='2025'!$L396,AC$4&lt;='2025'!$M396), AC$4&lt;&gt;DATE(2025,7,4)), (SWITCH(weekday(AC$4), 1, 0, 2, if(ISBLANK('2025'!$P396), 0, 1), 3, if(ISBLANK('2025'!$Q396), 0, 1), 4, if(ISBLANK('2025'!$R396), 0, 1), 5, if(ISBLANK('2025'!$S396), 0, 1), 6, if(ISBLANK('2025'!$T396), 0, 1), 7, 0))), 1, "")</f>
        <v/>
      </c>
      <c r="AD433" s="1" t="str">
        <f>IF(AND(AND(AND(AD$4&gt;='2025'!$L396,AD$4&lt;='2025'!$M396), AD$4&lt;&gt;DATE(2025,7,4)), (SWITCH(weekday(AD$4), 1, 0, 2, if(ISBLANK('2025'!$P396), 0, 1), 3, if(ISBLANK('2025'!$Q396), 0, 1), 4, if(ISBLANK('2025'!$R396), 0, 1), 5, if(ISBLANK('2025'!$S396), 0, 1), 6, if(ISBLANK('2025'!$T396), 0, 1), 7, 0))), 1, "")</f>
        <v/>
      </c>
      <c r="AE433" s="1" t="str">
        <f>IF(AND(AND(AND(AE$4&gt;='2025'!$L396,AE$4&lt;='2025'!$M396), AE$4&lt;&gt;DATE(2025,7,4)), (SWITCH(weekday(AE$4), 1, 0, 2, if(ISBLANK('2025'!$P396), 0, 1), 3, if(ISBLANK('2025'!$Q396), 0, 1), 4, if(ISBLANK('2025'!$R396), 0, 1), 5, if(ISBLANK('2025'!$S396), 0, 1), 6, if(ISBLANK('2025'!$T396), 0, 1), 7, 0))), 1, "")</f>
        <v/>
      </c>
      <c r="AF433" s="1" t="str">
        <f>IF(AND(AND(AND(AF$4&gt;='2025'!$L396,AF$4&lt;='2025'!$M396), AF$4&lt;&gt;DATE(2025,7,4)), (SWITCH(weekday(AF$4), 1, 0, 2, if(ISBLANK('2025'!$P396), 0, 1), 3, if(ISBLANK('2025'!$Q396), 0, 1), 4, if(ISBLANK('2025'!$R396), 0, 1), 5, if(ISBLANK('2025'!$S396), 0, 1), 6, if(ISBLANK('2025'!$T396), 0, 1), 7, 0))), 1, "")</f>
        <v/>
      </c>
      <c r="AG433" s="1" t="str">
        <f>IF(AND(AND(AND(AG$4&gt;='2025'!$L396,AG$4&lt;='2025'!$M396), AG$4&lt;&gt;DATE(2025,7,4)), (SWITCH(weekday(AG$4), 1, 0, 2, if(ISBLANK('2025'!$P396), 0, 1), 3, if(ISBLANK('2025'!$Q396), 0, 1), 4, if(ISBLANK('2025'!$R396), 0, 1), 5, if(ISBLANK('2025'!$S396), 0, 1), 6, if(ISBLANK('2025'!$T396), 0, 1), 7, 0))), 1, "")</f>
        <v/>
      </c>
      <c r="AH433" s="1" t="str">
        <f>IF(AND(AND(AND(AH$4&gt;='2025'!$L396,AH$4&lt;='2025'!$M396), AH$4&lt;&gt;DATE(2025,7,4)), (SWITCH(weekday(AH$4), 1, 0, 2, if(ISBLANK('2025'!$P396), 0, 1), 3, if(ISBLANK('2025'!$Q396), 0, 1), 4, if(ISBLANK('2025'!$R396), 0, 1), 5, if(ISBLANK('2025'!$S396), 0, 1), 6, if(ISBLANK('2025'!$T396), 0, 1), 7, 0))), 1, "")</f>
        <v/>
      </c>
      <c r="AI433" s="1" t="str">
        <f>IF(AND(AND(AND(AI$4&gt;='2025'!$L396,AI$4&lt;='2025'!$M396), AI$4&lt;&gt;DATE(2025,7,4)), (SWITCH(weekday(AI$4), 1, 0, 2, if(ISBLANK('2025'!$P396), 0, 1), 3, if(ISBLANK('2025'!$Q396), 0, 1), 4, if(ISBLANK('2025'!$R396), 0, 1), 5, if(ISBLANK('2025'!$S396), 0, 1), 6, if(ISBLANK('2025'!$T396), 0, 1), 7, 0))), 1, "")</f>
        <v/>
      </c>
      <c r="AJ433" s="1" t="str">
        <f>IF(AND(AND(AND(AJ$4&gt;='2025'!$L396,AJ$4&lt;='2025'!$M396), AJ$4&lt;&gt;DATE(2025,7,4)), (SWITCH(weekday(AJ$4), 1, 0, 2, if(ISBLANK('2025'!$P396), 0, 1), 3, if(ISBLANK('2025'!$Q396), 0, 1), 4, if(ISBLANK('2025'!$R396), 0, 1), 5, if(ISBLANK('2025'!$S396), 0, 1), 6, if(ISBLANK('2025'!$T396), 0, 1), 7, 0))), 1, "")</f>
        <v/>
      </c>
      <c r="AK433" s="1" t="str">
        <f>IF(AND(AND(AND(AK$4&gt;='2025'!$L396,AK$4&lt;='2025'!$M396), AK$4&lt;&gt;DATE(2025,7,4)), (SWITCH(weekday(AK$4), 1, 0, 2, if(ISBLANK('2025'!$P396), 0, 1), 3, if(ISBLANK('2025'!$Q396), 0, 1), 4, if(ISBLANK('2025'!$R396), 0, 1), 5, if(ISBLANK('2025'!$S396), 0, 1), 6, if(ISBLANK('2025'!$T396), 0, 1), 7, 0))), 1, "")</f>
        <v/>
      </c>
      <c r="AL433" s="1" t="str">
        <f>IF(AND(AND(AND(AL$4&gt;='2025'!$L396,AL$4&lt;='2025'!$M396), AL$4&lt;&gt;DATE(2025,7,4)), (SWITCH(weekday(AL$4), 1, 0, 2, if(ISBLANK('2025'!$P396), 0, 1), 3, if(ISBLANK('2025'!$Q396), 0, 1), 4, if(ISBLANK('2025'!$R396), 0, 1), 5, if(ISBLANK('2025'!$S396), 0, 1), 6, if(ISBLANK('2025'!$T396), 0, 1), 7, 0))), 1, "")</f>
        <v/>
      </c>
      <c r="AM433" s="1" t="str">
        <f>IF(AND(AND(AND(AM$4&gt;='2025'!$L396,AM$4&lt;='2025'!$M396), AM$4&lt;&gt;DATE(2025,7,4)), (SWITCH(weekday(AM$4), 1, 0, 2, if(ISBLANK('2025'!$P396), 0, 1), 3, if(ISBLANK('2025'!$Q396), 0, 1), 4, if(ISBLANK('2025'!$R396), 0, 1), 5, if(ISBLANK('2025'!$S396), 0, 1), 6, if(ISBLANK('2025'!$T396), 0, 1), 7, 0))), 1, "")</f>
        <v/>
      </c>
      <c r="AN433" s="1" t="str">
        <f>IF(AND(AND(AND(AN$4&gt;='2025'!$L396,AN$4&lt;='2025'!$M396), AN$4&lt;&gt;DATE(2025,7,4)), (SWITCH(weekday(AN$4), 1, 0, 2, if(ISBLANK('2025'!$P396), 0, 1), 3, if(ISBLANK('2025'!$Q396), 0, 1), 4, if(ISBLANK('2025'!$R396), 0, 1), 5, if(ISBLANK('2025'!$S396), 0, 1), 6, if(ISBLANK('2025'!$T396), 0, 1), 7, 0))), 1, "")</f>
        <v/>
      </c>
      <c r="AO433" s="1" t="str">
        <f>IF(AND(AND(AND(AO$4&gt;='2025'!$L396,AO$4&lt;='2025'!$M396), AO$4&lt;&gt;DATE(2025,7,4)), (SWITCH(weekday(AO$4), 1, 0, 2, if(ISBLANK('2025'!$P396), 0, 1), 3, if(ISBLANK('2025'!$Q396), 0, 1), 4, if(ISBLANK('2025'!$R396), 0, 1), 5, if(ISBLANK('2025'!$S396), 0, 1), 6, if(ISBLANK('2025'!$T396), 0, 1), 7, 0))), 1, "")</f>
        <v/>
      </c>
      <c r="AP433" s="1" t="str">
        <f>IF(AND(AND(AND(AP$4&gt;='2025'!$L396,AP$4&lt;='2025'!$M396), AP$4&lt;&gt;DATE(2025,7,4)), (SWITCH(weekday(AP$4), 1, 0, 2, if(ISBLANK('2025'!$P396), 0, 1), 3, if(ISBLANK('2025'!$Q396), 0, 1), 4, if(ISBLANK('2025'!$R396), 0, 1), 5, if(ISBLANK('2025'!$S396), 0, 1), 6, if(ISBLANK('2025'!$T396), 0, 1), 7, 0))), 1, "")</f>
        <v/>
      </c>
      <c r="AQ433" s="1" t="str">
        <f>IF(AND(AND(AND(AQ$4&gt;='2025'!$L396,AQ$4&lt;='2025'!$M396), AQ$4&lt;&gt;DATE(2025,7,4)), (SWITCH(weekday(AQ$4), 1, 0, 2, if(ISBLANK('2025'!$P396), 0, 1), 3, if(ISBLANK('2025'!$Q396), 0, 1), 4, if(ISBLANK('2025'!$R396), 0, 1), 5, if(ISBLANK('2025'!$S396), 0, 1), 6, if(ISBLANK('2025'!$T396), 0, 1), 7, 0))), 1, "")</f>
        <v/>
      </c>
      <c r="AR433" s="1" t="str">
        <f>IF(AND(AND(AND(AR$4&gt;='2025'!$L396,AR$4&lt;='2025'!$M396), AR$4&lt;&gt;DATE(2025,7,4)), (SWITCH(weekday(AR$4), 1, 0, 2, if(ISBLANK('2025'!$P396), 0, 1), 3, if(ISBLANK('2025'!$Q396), 0, 1), 4, if(ISBLANK('2025'!$R396), 0, 1), 5, if(ISBLANK('2025'!$S396), 0, 1), 6, if(ISBLANK('2025'!$T396), 0, 1), 7, 0))), 1, "")</f>
        <v/>
      </c>
      <c r="AS433" s="1" t="str">
        <f>IF(AND(AND(AND(AS$4&gt;='2025'!$L396,AS$4&lt;='2025'!$M396), AS$4&lt;&gt;DATE(2025,7,4)), (SWITCH(weekday(AS$4), 1, 0, 2, if(ISBLANK('2025'!$P396), 0, 1), 3, if(ISBLANK('2025'!$Q396), 0, 1), 4, if(ISBLANK('2025'!$R396), 0, 1), 5, if(ISBLANK('2025'!$S396), 0, 1), 6, if(ISBLANK('2025'!$T396), 0, 1), 7, 0))), 1, "")</f>
        <v/>
      </c>
      <c r="AT433" s="1" t="str">
        <f>IF(AND(AND(AND(AT$4&gt;='2025'!$L396,AT$4&lt;='2025'!$M396), AT$4&lt;&gt;DATE(2025,7,4)), (SWITCH(weekday(AT$4), 1, 0, 2, if(ISBLANK('2025'!$P396), 0, 1), 3, if(ISBLANK('2025'!$Q396), 0, 1), 4, if(ISBLANK('2025'!$R396), 0, 1), 5, if(ISBLANK('2025'!$S396), 0, 1), 6, if(ISBLANK('2025'!$T396), 0, 1), 7, 0))), 1, "")</f>
        <v/>
      </c>
      <c r="AU433" s="1" t="str">
        <f>IF(AND(AND(AND(AU$4&gt;='2025'!$L396,AU$4&lt;='2025'!$M396), AU$4&lt;&gt;DATE(2025,7,4)), (SWITCH(weekday(AU$4), 1, 0, 2, if(ISBLANK('2025'!$P396), 0, 1), 3, if(ISBLANK('2025'!$Q396), 0, 1), 4, if(ISBLANK('2025'!$R396), 0, 1), 5, if(ISBLANK('2025'!$S396), 0, 1), 6, if(ISBLANK('2025'!$T396), 0, 1), 7, 0))), 1, "")</f>
        <v/>
      </c>
      <c r="AV433" s="1" t="str">
        <f>IF(AND(AND(AND(AV$4&gt;='2025'!$L396,AV$4&lt;='2025'!$M396), AV$4&lt;&gt;DATE(2025,7,4)), (SWITCH(weekday(AV$4), 1, 0, 2, if(ISBLANK('2025'!$P396), 0, 1), 3, if(ISBLANK('2025'!$Q396), 0, 1), 4, if(ISBLANK('2025'!$R396), 0, 1), 5, if(ISBLANK('2025'!$S396), 0, 1), 6, if(ISBLANK('2025'!$T396), 0, 1), 7, 0))), 1, "")</f>
        <v/>
      </c>
      <c r="AW433" s="1" t="str">
        <f>IF(AND(AND(AND(AW$4&gt;='2025'!$L396,AW$4&lt;='2025'!$M396), AW$4&lt;&gt;DATE(2025,7,4)), (SWITCH(weekday(AW$4), 1, 0, 2, if(ISBLANK('2025'!$P396), 0, 1), 3, if(ISBLANK('2025'!$Q396), 0, 1), 4, if(ISBLANK('2025'!$R396), 0, 1), 5, if(ISBLANK('2025'!$S396), 0, 1), 6, if(ISBLANK('2025'!$T396), 0, 1), 7, 0))), 1, "")</f>
        <v/>
      </c>
      <c r="AX433" s="1" t="str">
        <f>IF(AND(AND(AND(AX$4&gt;='2025'!$L396,AX$4&lt;='2025'!$M396), AX$4&lt;&gt;DATE(2025,7,4)), (SWITCH(weekday(AX$4), 1, 0, 2, if(ISBLANK('2025'!$P396), 0, 1), 3, if(ISBLANK('2025'!$Q396), 0, 1), 4, if(ISBLANK('2025'!$R396), 0, 1), 5, if(ISBLANK('2025'!$S396), 0, 1), 6, if(ISBLANK('2025'!$T396), 0, 1), 7, 0))), 1, "")</f>
        <v/>
      </c>
      <c r="AY433" s="1" t="str">
        <f>IF(AND(AND(AND(AY$4&gt;='2025'!$L396,AY$4&lt;='2025'!$M396), AY$4&lt;&gt;DATE(2025,7,4)), (SWITCH(weekday(AY$4), 1, 0, 2, if(ISBLANK('2025'!$P396), 0, 1), 3, if(ISBLANK('2025'!$Q396), 0, 1), 4, if(ISBLANK('2025'!$R396), 0, 1), 5, if(ISBLANK('2025'!$S396), 0, 1), 6, if(ISBLANK('2025'!$T396), 0, 1), 7, 0))), 1, "")</f>
        <v/>
      </c>
      <c r="AZ433" s="1" t="str">
        <f>IF(AND(AND(AND(AZ$4&gt;='2025'!$L396,AZ$4&lt;='2025'!$M396), AZ$4&lt;&gt;DATE(2025,7,4)), (SWITCH(weekday(AZ$4), 1, 0, 2, if(ISBLANK('2025'!$P396), 0, 1), 3, if(ISBLANK('2025'!$Q396), 0, 1), 4, if(ISBLANK('2025'!$R396), 0, 1), 5, if(ISBLANK('2025'!$S396), 0, 1), 6, if(ISBLANK('2025'!$T396), 0, 1), 7, 0))), 1, "")</f>
        <v/>
      </c>
      <c r="BA433" s="1" t="str">
        <f>IF(AND(AND(AND(BA$4&gt;='2025'!$L396,BA$4&lt;='2025'!$M396), BA$4&lt;&gt;DATE(2025,7,4)), (SWITCH(weekday(BA$4), 1, 0, 2, if(ISBLANK('2025'!$P396), 0, 1), 3, if(ISBLANK('2025'!$Q396), 0, 1), 4, if(ISBLANK('2025'!$R396), 0, 1), 5, if(ISBLANK('2025'!$S396), 0, 1), 6, if(ISBLANK('2025'!$T396), 0, 1), 7, 0))), 1, "")</f>
        <v/>
      </c>
      <c r="BB433" s="1" t="str">
        <f>IF(AND(AND(AND(BB$4&gt;='2025'!$L396,BB$4&lt;='2025'!$M396), BB$4&lt;&gt;DATE(2025,7,4)), (SWITCH(weekday(BB$4), 1, 0, 2, if(ISBLANK('2025'!$P396), 0, 1), 3, if(ISBLANK('2025'!$Q396), 0, 1), 4, if(ISBLANK('2025'!$R396), 0, 1), 5, if(ISBLANK('2025'!$S396), 0, 1), 6, if(ISBLANK('2025'!$T396), 0, 1), 7, 0))), 1, "")</f>
        <v/>
      </c>
      <c r="BC433" s="1" t="str">
        <f>IF(AND(AND(AND(BC$4&gt;='2025'!$L396,BC$4&lt;='2025'!$M396), BC$4&lt;&gt;DATE(2025,7,4)), (SWITCH(weekday(BC$4), 1, 0, 2, if(ISBLANK('2025'!$P396), 0, 1), 3, if(ISBLANK('2025'!$Q396), 0, 1), 4, if(ISBLANK('2025'!$R396), 0, 1), 5, if(ISBLANK('2025'!$S396), 0, 1), 6, if(ISBLANK('2025'!$T396), 0, 1), 7, 0))), 1, "")</f>
        <v/>
      </c>
      <c r="BD433" s="1" t="str">
        <f>IF(AND(AND(AND(BD$4&gt;='2025'!$L396,BD$4&lt;='2025'!$M396), BD$4&lt;&gt;DATE(2025,7,4)), (SWITCH(weekday(BD$4), 1, 0, 2, if(ISBLANK('2025'!$P396), 0, 1), 3, if(ISBLANK('2025'!$Q396), 0, 1), 4, if(ISBLANK('2025'!$R396), 0, 1), 5, if(ISBLANK('2025'!$S396), 0, 1), 6, if(ISBLANK('2025'!$T396), 0, 1), 7, 0))), 1, "")</f>
        <v/>
      </c>
      <c r="BE433" s="1" t="str">
        <f>IF(AND(AND(AND(BE$4&gt;='2025'!$L396,BE$4&lt;='2025'!$M396), BE$4&lt;&gt;DATE(2025,7,4)), (SWITCH(weekday(BE$4), 1, 0, 2, if(ISBLANK('2025'!$P396), 0, 1), 3, if(ISBLANK('2025'!$Q396), 0, 1), 4, if(ISBLANK('2025'!$R396), 0, 1), 5, if(ISBLANK('2025'!$S396), 0, 1), 6, if(ISBLANK('2025'!$T396), 0, 1), 7, 0))), 1, "")</f>
        <v/>
      </c>
    </row>
    <row r="434">
      <c r="A434" s="1">
        <f t="shared" si="3"/>
        <v>434</v>
      </c>
      <c r="B434" s="1" t="str">
        <f>'2025'!D397</f>
        <v/>
      </c>
      <c r="C434" s="1" t="str">
        <f>'2025'!H397</f>
        <v/>
      </c>
      <c r="D434" s="1" t="str">
        <f>IF(AND(AND(AND(D$4&gt;='2025'!$L397,D$4&lt;='2025'!$M397), D$4&lt;&gt;DATE(2025,7,4)), (SWITCH(weekday(D$4), 1, 0, 2, if(ISBLANK('2025'!$P397), 0, 1), 3, if(ISBLANK('2025'!$Q397), 0, 1), 4, if(ISBLANK('2025'!$R397), 0, 1), 5, if(ISBLANK('2025'!$S397), 0, 1), 6, if(ISBLANK('2025'!$T397), 0, 1), 7, 0))), 1, "")</f>
        <v/>
      </c>
      <c r="E434" s="1" t="str">
        <f>IF(AND(AND(AND(E$4&gt;='2025'!$L397,E$4&lt;='2025'!$M397), E$4&lt;&gt;DATE(2025,7,4)), (SWITCH(weekday(E$4), 1, 0, 2, if(ISBLANK('2025'!$P397), 0, 1), 3, if(ISBLANK('2025'!$Q397), 0, 1), 4, if(ISBLANK('2025'!$R397), 0, 1), 5, if(ISBLANK('2025'!$S397), 0, 1), 6, if(ISBLANK('2025'!$T397), 0, 1), 7, 0))), 1, "")</f>
        <v/>
      </c>
      <c r="F434" s="1" t="str">
        <f>IF(AND(AND(AND(F$4&gt;='2025'!$L397,F$4&lt;='2025'!$M397), F$4&lt;&gt;DATE(2025,7,4)), (SWITCH(weekday(F$4), 1, 0, 2, if(ISBLANK('2025'!$P397), 0, 1), 3, if(ISBLANK('2025'!$Q397), 0, 1), 4, if(ISBLANK('2025'!$R397), 0, 1), 5, if(ISBLANK('2025'!$S397), 0, 1), 6, if(ISBLANK('2025'!$T397), 0, 1), 7, 0))), 1, "")</f>
        <v/>
      </c>
      <c r="G434" s="1" t="str">
        <f>IF(AND(AND(AND(G$4&gt;='2025'!$L397,G$4&lt;='2025'!$M397), G$4&lt;&gt;DATE(2025,7,4)), (SWITCH(weekday(G$4), 1, 0, 2, if(ISBLANK('2025'!$P397), 0, 1), 3, if(ISBLANK('2025'!$Q397), 0, 1), 4, if(ISBLANK('2025'!$R397), 0, 1), 5, if(ISBLANK('2025'!$S397), 0, 1), 6, if(ISBLANK('2025'!$T397), 0, 1), 7, 0))), 1, "")</f>
        <v/>
      </c>
      <c r="H434" s="1" t="str">
        <f>IF(AND(AND(AND(H$4&gt;='2025'!$L397,H$4&lt;='2025'!$M397), H$4&lt;&gt;DATE(2025,7,4)), (SWITCH(weekday(H$4), 1, 0, 2, if(ISBLANK('2025'!$P397), 0, 1), 3, if(ISBLANK('2025'!$Q397), 0, 1), 4, if(ISBLANK('2025'!$R397), 0, 1), 5, if(ISBLANK('2025'!$S397), 0, 1), 6, if(ISBLANK('2025'!$T397), 0, 1), 7, 0))), 1, "")</f>
        <v/>
      </c>
      <c r="I434" s="1" t="str">
        <f>IF(AND(AND(AND(I$4&gt;='2025'!$L397,I$4&lt;='2025'!$M397), I$4&lt;&gt;DATE(2025,7,4)), (SWITCH(weekday(I$4), 1, 0, 2, if(ISBLANK('2025'!$P397), 0, 1), 3, if(ISBLANK('2025'!$Q397), 0, 1), 4, if(ISBLANK('2025'!$R397), 0, 1), 5, if(ISBLANK('2025'!$S397), 0, 1), 6, if(ISBLANK('2025'!$T397), 0, 1), 7, 0))), 1, "")</f>
        <v/>
      </c>
      <c r="J434" s="1" t="str">
        <f>IF(AND(AND(AND(J$4&gt;='2025'!$L397,J$4&lt;='2025'!$M397), J$4&lt;&gt;DATE(2025,7,4)), (SWITCH(weekday(J$4), 1, 0, 2, if(ISBLANK('2025'!$P397), 0, 1), 3, if(ISBLANK('2025'!$Q397), 0, 1), 4, if(ISBLANK('2025'!$R397), 0, 1), 5, if(ISBLANK('2025'!$S397), 0, 1), 6, if(ISBLANK('2025'!$T397), 0, 1), 7, 0))), 1, "")</f>
        <v/>
      </c>
      <c r="K434" s="1" t="str">
        <f>IF(AND(AND(AND(K$4&gt;='2025'!$L397,K$4&lt;='2025'!$M397), K$4&lt;&gt;DATE(2025,7,4)), (SWITCH(weekday(K$4), 1, 0, 2, if(ISBLANK('2025'!$P397), 0, 1), 3, if(ISBLANK('2025'!$Q397), 0, 1), 4, if(ISBLANK('2025'!$R397), 0, 1), 5, if(ISBLANK('2025'!$S397), 0, 1), 6, if(ISBLANK('2025'!$T397), 0, 1), 7, 0))), 1, "")</f>
        <v/>
      </c>
      <c r="L434" s="1" t="str">
        <f>IF(AND(AND(AND(L$4&gt;='2025'!$L397,L$4&lt;='2025'!$M397), L$4&lt;&gt;DATE(2025,7,4)), (SWITCH(weekday(L$4), 1, 0, 2, if(ISBLANK('2025'!$P397), 0, 1), 3, if(ISBLANK('2025'!$Q397), 0, 1), 4, if(ISBLANK('2025'!$R397), 0, 1), 5, if(ISBLANK('2025'!$S397), 0, 1), 6, if(ISBLANK('2025'!$T397), 0, 1), 7, 0))), 1, "")</f>
        <v/>
      </c>
      <c r="M434" s="1" t="str">
        <f>IF(AND(AND(AND(M$4&gt;='2025'!$L397,M$4&lt;='2025'!$M397), M$4&lt;&gt;DATE(2025,7,4)), (SWITCH(weekday(M$4), 1, 0, 2, if(ISBLANK('2025'!$P397), 0, 1), 3, if(ISBLANK('2025'!$Q397), 0, 1), 4, if(ISBLANK('2025'!$R397), 0, 1), 5, if(ISBLANK('2025'!$S397), 0, 1), 6, if(ISBLANK('2025'!$T397), 0, 1), 7, 0))), 1, "")</f>
        <v/>
      </c>
      <c r="N434" s="1" t="str">
        <f>IF(AND(AND(AND(N$4&gt;='2025'!$L397,N$4&lt;='2025'!$M397), N$4&lt;&gt;DATE(2025,7,4)), (SWITCH(weekday(N$4), 1, 0, 2, if(ISBLANK('2025'!$P397), 0, 1), 3, if(ISBLANK('2025'!$Q397), 0, 1), 4, if(ISBLANK('2025'!$R397), 0, 1), 5, if(ISBLANK('2025'!$S397), 0, 1), 6, if(ISBLANK('2025'!$T397), 0, 1), 7, 0))), 1, "")</f>
        <v/>
      </c>
      <c r="O434" s="1" t="str">
        <f>IF(AND(AND(AND(O$4&gt;='2025'!$L397,O$4&lt;='2025'!$M397), O$4&lt;&gt;DATE(2025,7,4)), (SWITCH(weekday(O$4), 1, 0, 2, if(ISBLANK('2025'!$P397), 0, 1), 3, if(ISBLANK('2025'!$Q397), 0, 1), 4, if(ISBLANK('2025'!$R397), 0, 1), 5, if(ISBLANK('2025'!$S397), 0, 1), 6, if(ISBLANK('2025'!$T397), 0, 1), 7, 0))), 1, "")</f>
        <v/>
      </c>
      <c r="P434" s="1" t="str">
        <f>IF(AND(AND(AND(P$4&gt;='2025'!$L397,P$4&lt;='2025'!$M397), P$4&lt;&gt;DATE(2025,7,4)), (SWITCH(weekday(P$4), 1, 0, 2, if(ISBLANK('2025'!$P397), 0, 1), 3, if(ISBLANK('2025'!$Q397), 0, 1), 4, if(ISBLANK('2025'!$R397), 0, 1), 5, if(ISBLANK('2025'!$S397), 0, 1), 6, if(ISBLANK('2025'!$T397), 0, 1), 7, 0))), 1, "")</f>
        <v/>
      </c>
      <c r="Q434" s="1" t="str">
        <f>IF(AND(AND(AND(Q$4&gt;='2025'!$L397,Q$4&lt;='2025'!$M397), Q$4&lt;&gt;DATE(2025,7,4)), (SWITCH(weekday(Q$4), 1, 0, 2, if(ISBLANK('2025'!$P397), 0, 1), 3, if(ISBLANK('2025'!$Q397), 0, 1), 4, if(ISBLANK('2025'!$R397), 0, 1), 5, if(ISBLANK('2025'!$S397), 0, 1), 6, if(ISBLANK('2025'!$T397), 0, 1), 7, 0))), 1, "")</f>
        <v/>
      </c>
      <c r="R434" s="1" t="str">
        <f>IF(AND(AND(AND(R$4&gt;='2025'!$L397,R$4&lt;='2025'!$M397), R$4&lt;&gt;DATE(2025,7,4)), (SWITCH(weekday(R$4), 1, 0, 2, if(ISBLANK('2025'!$P397), 0, 1), 3, if(ISBLANK('2025'!$Q397), 0, 1), 4, if(ISBLANK('2025'!$R397), 0, 1), 5, if(ISBLANK('2025'!$S397), 0, 1), 6, if(ISBLANK('2025'!$T397), 0, 1), 7, 0))), 1, "")</f>
        <v/>
      </c>
      <c r="S434" s="1" t="str">
        <f>IF(AND(AND(AND(S$4&gt;='2025'!$L397,S$4&lt;='2025'!$M397), S$4&lt;&gt;DATE(2025,7,4)), (SWITCH(weekday(S$4), 1, 0, 2, if(ISBLANK('2025'!$P397), 0, 1), 3, if(ISBLANK('2025'!$Q397), 0, 1), 4, if(ISBLANK('2025'!$R397), 0, 1), 5, if(ISBLANK('2025'!$S397), 0, 1), 6, if(ISBLANK('2025'!$T397), 0, 1), 7, 0))), 1, "")</f>
        <v/>
      </c>
      <c r="T434" s="1" t="str">
        <f>IF(AND(AND(AND(T$4&gt;='2025'!$L397,T$4&lt;='2025'!$M397), T$4&lt;&gt;DATE(2025,7,4)), (SWITCH(weekday(T$4), 1, 0, 2, if(ISBLANK('2025'!$P397), 0, 1), 3, if(ISBLANK('2025'!$Q397), 0, 1), 4, if(ISBLANK('2025'!$R397), 0, 1), 5, if(ISBLANK('2025'!$S397), 0, 1), 6, if(ISBLANK('2025'!$T397), 0, 1), 7, 0))), 1, "")</f>
        <v/>
      </c>
      <c r="U434" s="1" t="str">
        <f>IF(AND(AND(AND(U$4&gt;='2025'!$L397,U$4&lt;='2025'!$M397), U$4&lt;&gt;DATE(2025,7,4)), (SWITCH(weekday(U$4), 1, 0, 2, if(ISBLANK('2025'!$P397), 0, 1), 3, if(ISBLANK('2025'!$Q397), 0, 1), 4, if(ISBLANK('2025'!$R397), 0, 1), 5, if(ISBLANK('2025'!$S397), 0, 1), 6, if(ISBLANK('2025'!$T397), 0, 1), 7, 0))), 1, "")</f>
        <v/>
      </c>
      <c r="V434" s="1" t="str">
        <f>IF(AND(AND(AND(V$4&gt;='2025'!$L397,V$4&lt;='2025'!$M397), V$4&lt;&gt;DATE(2025,7,4)), (SWITCH(weekday(V$4), 1, 0, 2, if(ISBLANK('2025'!$P397), 0, 1), 3, if(ISBLANK('2025'!$Q397), 0, 1), 4, if(ISBLANK('2025'!$R397), 0, 1), 5, if(ISBLANK('2025'!$S397), 0, 1), 6, if(ISBLANK('2025'!$T397), 0, 1), 7, 0))), 1, "")</f>
        <v/>
      </c>
      <c r="W434" s="1" t="str">
        <f>IF(AND(AND(AND(W$4&gt;='2025'!$L397,W$4&lt;='2025'!$M397), W$4&lt;&gt;DATE(2025,7,4)), (SWITCH(weekday(W$4), 1, 0, 2, if(ISBLANK('2025'!$P397), 0, 1), 3, if(ISBLANK('2025'!$Q397), 0, 1), 4, if(ISBLANK('2025'!$R397), 0, 1), 5, if(ISBLANK('2025'!$S397), 0, 1), 6, if(ISBLANK('2025'!$T397), 0, 1), 7, 0))), 1, "")</f>
        <v/>
      </c>
      <c r="X434" s="1" t="str">
        <f>IF(AND(AND(AND(X$4&gt;='2025'!$L397,X$4&lt;='2025'!$M397), X$4&lt;&gt;DATE(2025,7,4)), (SWITCH(weekday(X$4), 1, 0, 2, if(ISBLANK('2025'!$P397), 0, 1), 3, if(ISBLANK('2025'!$Q397), 0, 1), 4, if(ISBLANK('2025'!$R397), 0, 1), 5, if(ISBLANK('2025'!$S397), 0, 1), 6, if(ISBLANK('2025'!$T397), 0, 1), 7, 0))), 1, "")</f>
        <v/>
      </c>
      <c r="Y434" s="1" t="str">
        <f>IF(AND(AND(AND(Y$4&gt;='2025'!$L397,Y$4&lt;='2025'!$M397), Y$4&lt;&gt;DATE(2025,7,4)), (SWITCH(weekday(Y$4), 1, 0, 2, if(ISBLANK('2025'!$P397), 0, 1), 3, if(ISBLANK('2025'!$Q397), 0, 1), 4, if(ISBLANK('2025'!$R397), 0, 1), 5, if(ISBLANK('2025'!$S397), 0, 1), 6, if(ISBLANK('2025'!$T397), 0, 1), 7, 0))), 1, "")</f>
        <v/>
      </c>
      <c r="Z434" s="1" t="str">
        <f>IF(AND(AND(AND(Z$4&gt;='2025'!$L397,Z$4&lt;='2025'!$M397), Z$4&lt;&gt;DATE(2025,7,4)), (SWITCH(weekday(Z$4), 1, 0, 2, if(ISBLANK('2025'!$P397), 0, 1), 3, if(ISBLANK('2025'!$Q397), 0, 1), 4, if(ISBLANK('2025'!$R397), 0, 1), 5, if(ISBLANK('2025'!$S397), 0, 1), 6, if(ISBLANK('2025'!$T397), 0, 1), 7, 0))), 1, "")</f>
        <v/>
      </c>
      <c r="AA434" s="1" t="str">
        <f>IF(AND(AND(AND(AA$4&gt;='2025'!$L397,AA$4&lt;='2025'!$M397), AA$4&lt;&gt;DATE(2025,7,4)), (SWITCH(weekday(AA$4), 1, 0, 2, if(ISBLANK('2025'!$P397), 0, 1), 3, if(ISBLANK('2025'!$Q397), 0, 1), 4, if(ISBLANK('2025'!$R397), 0, 1), 5, if(ISBLANK('2025'!$S397), 0, 1), 6, if(ISBLANK('2025'!$T397), 0, 1), 7, 0))), 1, "")</f>
        <v/>
      </c>
      <c r="AB434" s="1" t="str">
        <f>IF(AND(AND(AND(AB$4&gt;='2025'!$L397,AB$4&lt;='2025'!$M397), AB$4&lt;&gt;DATE(2025,7,4)), (SWITCH(weekday(AB$4), 1, 0, 2, if(ISBLANK('2025'!$P397), 0, 1), 3, if(ISBLANK('2025'!$Q397), 0, 1), 4, if(ISBLANK('2025'!$R397), 0, 1), 5, if(ISBLANK('2025'!$S397), 0, 1), 6, if(ISBLANK('2025'!$T397), 0, 1), 7, 0))), 1, "")</f>
        <v/>
      </c>
      <c r="AC434" s="1" t="str">
        <f>IF(AND(AND(AND(AC$4&gt;='2025'!$L397,AC$4&lt;='2025'!$M397), AC$4&lt;&gt;DATE(2025,7,4)), (SWITCH(weekday(AC$4), 1, 0, 2, if(ISBLANK('2025'!$P397), 0, 1), 3, if(ISBLANK('2025'!$Q397), 0, 1), 4, if(ISBLANK('2025'!$R397), 0, 1), 5, if(ISBLANK('2025'!$S397), 0, 1), 6, if(ISBLANK('2025'!$T397), 0, 1), 7, 0))), 1, "")</f>
        <v/>
      </c>
      <c r="AD434" s="1" t="str">
        <f>IF(AND(AND(AND(AD$4&gt;='2025'!$L397,AD$4&lt;='2025'!$M397), AD$4&lt;&gt;DATE(2025,7,4)), (SWITCH(weekday(AD$4), 1, 0, 2, if(ISBLANK('2025'!$P397), 0, 1), 3, if(ISBLANK('2025'!$Q397), 0, 1), 4, if(ISBLANK('2025'!$R397), 0, 1), 5, if(ISBLANK('2025'!$S397), 0, 1), 6, if(ISBLANK('2025'!$T397), 0, 1), 7, 0))), 1, "")</f>
        <v/>
      </c>
      <c r="AE434" s="1" t="str">
        <f>IF(AND(AND(AND(AE$4&gt;='2025'!$L397,AE$4&lt;='2025'!$M397), AE$4&lt;&gt;DATE(2025,7,4)), (SWITCH(weekday(AE$4), 1, 0, 2, if(ISBLANK('2025'!$P397), 0, 1), 3, if(ISBLANK('2025'!$Q397), 0, 1), 4, if(ISBLANK('2025'!$R397), 0, 1), 5, if(ISBLANK('2025'!$S397), 0, 1), 6, if(ISBLANK('2025'!$T397), 0, 1), 7, 0))), 1, "")</f>
        <v/>
      </c>
      <c r="AF434" s="1" t="str">
        <f>IF(AND(AND(AND(AF$4&gt;='2025'!$L397,AF$4&lt;='2025'!$M397), AF$4&lt;&gt;DATE(2025,7,4)), (SWITCH(weekday(AF$4), 1, 0, 2, if(ISBLANK('2025'!$P397), 0, 1), 3, if(ISBLANK('2025'!$Q397), 0, 1), 4, if(ISBLANK('2025'!$R397), 0, 1), 5, if(ISBLANK('2025'!$S397), 0, 1), 6, if(ISBLANK('2025'!$T397), 0, 1), 7, 0))), 1, "")</f>
        <v/>
      </c>
      <c r="AG434" s="1" t="str">
        <f>IF(AND(AND(AND(AG$4&gt;='2025'!$L397,AG$4&lt;='2025'!$M397), AG$4&lt;&gt;DATE(2025,7,4)), (SWITCH(weekday(AG$4), 1, 0, 2, if(ISBLANK('2025'!$P397), 0, 1), 3, if(ISBLANK('2025'!$Q397), 0, 1), 4, if(ISBLANK('2025'!$R397), 0, 1), 5, if(ISBLANK('2025'!$S397), 0, 1), 6, if(ISBLANK('2025'!$T397), 0, 1), 7, 0))), 1, "")</f>
        <v/>
      </c>
      <c r="AH434" s="1" t="str">
        <f>IF(AND(AND(AND(AH$4&gt;='2025'!$L397,AH$4&lt;='2025'!$M397), AH$4&lt;&gt;DATE(2025,7,4)), (SWITCH(weekday(AH$4), 1, 0, 2, if(ISBLANK('2025'!$P397), 0, 1), 3, if(ISBLANK('2025'!$Q397), 0, 1), 4, if(ISBLANK('2025'!$R397), 0, 1), 5, if(ISBLANK('2025'!$S397), 0, 1), 6, if(ISBLANK('2025'!$T397), 0, 1), 7, 0))), 1, "")</f>
        <v/>
      </c>
      <c r="AI434" s="1" t="str">
        <f>IF(AND(AND(AND(AI$4&gt;='2025'!$L397,AI$4&lt;='2025'!$M397), AI$4&lt;&gt;DATE(2025,7,4)), (SWITCH(weekday(AI$4), 1, 0, 2, if(ISBLANK('2025'!$P397), 0, 1), 3, if(ISBLANK('2025'!$Q397), 0, 1), 4, if(ISBLANK('2025'!$R397), 0, 1), 5, if(ISBLANK('2025'!$S397), 0, 1), 6, if(ISBLANK('2025'!$T397), 0, 1), 7, 0))), 1, "")</f>
        <v/>
      </c>
      <c r="AJ434" s="1" t="str">
        <f>IF(AND(AND(AND(AJ$4&gt;='2025'!$L397,AJ$4&lt;='2025'!$M397), AJ$4&lt;&gt;DATE(2025,7,4)), (SWITCH(weekday(AJ$4), 1, 0, 2, if(ISBLANK('2025'!$P397), 0, 1), 3, if(ISBLANK('2025'!$Q397), 0, 1), 4, if(ISBLANK('2025'!$R397), 0, 1), 5, if(ISBLANK('2025'!$S397), 0, 1), 6, if(ISBLANK('2025'!$T397), 0, 1), 7, 0))), 1, "")</f>
        <v/>
      </c>
      <c r="AK434" s="1" t="str">
        <f>IF(AND(AND(AND(AK$4&gt;='2025'!$L397,AK$4&lt;='2025'!$M397), AK$4&lt;&gt;DATE(2025,7,4)), (SWITCH(weekday(AK$4), 1, 0, 2, if(ISBLANK('2025'!$P397), 0, 1), 3, if(ISBLANK('2025'!$Q397), 0, 1), 4, if(ISBLANK('2025'!$R397), 0, 1), 5, if(ISBLANK('2025'!$S397), 0, 1), 6, if(ISBLANK('2025'!$T397), 0, 1), 7, 0))), 1, "")</f>
        <v/>
      </c>
      <c r="AL434" s="1" t="str">
        <f>IF(AND(AND(AND(AL$4&gt;='2025'!$L397,AL$4&lt;='2025'!$M397), AL$4&lt;&gt;DATE(2025,7,4)), (SWITCH(weekday(AL$4), 1, 0, 2, if(ISBLANK('2025'!$P397), 0, 1), 3, if(ISBLANK('2025'!$Q397), 0, 1), 4, if(ISBLANK('2025'!$R397), 0, 1), 5, if(ISBLANK('2025'!$S397), 0, 1), 6, if(ISBLANK('2025'!$T397), 0, 1), 7, 0))), 1, "")</f>
        <v/>
      </c>
      <c r="AM434" s="1" t="str">
        <f>IF(AND(AND(AND(AM$4&gt;='2025'!$L397,AM$4&lt;='2025'!$M397), AM$4&lt;&gt;DATE(2025,7,4)), (SWITCH(weekday(AM$4), 1, 0, 2, if(ISBLANK('2025'!$P397), 0, 1), 3, if(ISBLANK('2025'!$Q397), 0, 1), 4, if(ISBLANK('2025'!$R397), 0, 1), 5, if(ISBLANK('2025'!$S397), 0, 1), 6, if(ISBLANK('2025'!$T397), 0, 1), 7, 0))), 1, "")</f>
        <v/>
      </c>
      <c r="AN434" s="1" t="str">
        <f>IF(AND(AND(AND(AN$4&gt;='2025'!$L397,AN$4&lt;='2025'!$M397), AN$4&lt;&gt;DATE(2025,7,4)), (SWITCH(weekday(AN$4), 1, 0, 2, if(ISBLANK('2025'!$P397), 0, 1), 3, if(ISBLANK('2025'!$Q397), 0, 1), 4, if(ISBLANK('2025'!$R397), 0, 1), 5, if(ISBLANK('2025'!$S397), 0, 1), 6, if(ISBLANK('2025'!$T397), 0, 1), 7, 0))), 1, "")</f>
        <v/>
      </c>
      <c r="AO434" s="1" t="str">
        <f>IF(AND(AND(AND(AO$4&gt;='2025'!$L397,AO$4&lt;='2025'!$M397), AO$4&lt;&gt;DATE(2025,7,4)), (SWITCH(weekday(AO$4), 1, 0, 2, if(ISBLANK('2025'!$P397), 0, 1), 3, if(ISBLANK('2025'!$Q397), 0, 1), 4, if(ISBLANK('2025'!$R397), 0, 1), 5, if(ISBLANK('2025'!$S397), 0, 1), 6, if(ISBLANK('2025'!$T397), 0, 1), 7, 0))), 1, "")</f>
        <v/>
      </c>
      <c r="AP434" s="1" t="str">
        <f>IF(AND(AND(AND(AP$4&gt;='2025'!$L397,AP$4&lt;='2025'!$M397), AP$4&lt;&gt;DATE(2025,7,4)), (SWITCH(weekday(AP$4), 1, 0, 2, if(ISBLANK('2025'!$P397), 0, 1), 3, if(ISBLANK('2025'!$Q397), 0, 1), 4, if(ISBLANK('2025'!$R397), 0, 1), 5, if(ISBLANK('2025'!$S397), 0, 1), 6, if(ISBLANK('2025'!$T397), 0, 1), 7, 0))), 1, "")</f>
        <v/>
      </c>
      <c r="AQ434" s="1" t="str">
        <f>IF(AND(AND(AND(AQ$4&gt;='2025'!$L397,AQ$4&lt;='2025'!$M397), AQ$4&lt;&gt;DATE(2025,7,4)), (SWITCH(weekday(AQ$4), 1, 0, 2, if(ISBLANK('2025'!$P397), 0, 1), 3, if(ISBLANK('2025'!$Q397), 0, 1), 4, if(ISBLANK('2025'!$R397), 0, 1), 5, if(ISBLANK('2025'!$S397), 0, 1), 6, if(ISBLANK('2025'!$T397), 0, 1), 7, 0))), 1, "")</f>
        <v/>
      </c>
      <c r="AR434" s="1" t="str">
        <f>IF(AND(AND(AND(AR$4&gt;='2025'!$L397,AR$4&lt;='2025'!$M397), AR$4&lt;&gt;DATE(2025,7,4)), (SWITCH(weekday(AR$4), 1, 0, 2, if(ISBLANK('2025'!$P397), 0, 1), 3, if(ISBLANK('2025'!$Q397), 0, 1), 4, if(ISBLANK('2025'!$R397), 0, 1), 5, if(ISBLANK('2025'!$S397), 0, 1), 6, if(ISBLANK('2025'!$T397), 0, 1), 7, 0))), 1, "")</f>
        <v/>
      </c>
      <c r="AS434" s="1" t="str">
        <f>IF(AND(AND(AND(AS$4&gt;='2025'!$L397,AS$4&lt;='2025'!$M397), AS$4&lt;&gt;DATE(2025,7,4)), (SWITCH(weekday(AS$4), 1, 0, 2, if(ISBLANK('2025'!$P397), 0, 1), 3, if(ISBLANK('2025'!$Q397), 0, 1), 4, if(ISBLANK('2025'!$R397), 0, 1), 5, if(ISBLANK('2025'!$S397), 0, 1), 6, if(ISBLANK('2025'!$T397), 0, 1), 7, 0))), 1, "")</f>
        <v/>
      </c>
      <c r="AT434" s="1" t="str">
        <f>IF(AND(AND(AND(AT$4&gt;='2025'!$L397,AT$4&lt;='2025'!$M397), AT$4&lt;&gt;DATE(2025,7,4)), (SWITCH(weekday(AT$4), 1, 0, 2, if(ISBLANK('2025'!$P397), 0, 1), 3, if(ISBLANK('2025'!$Q397), 0, 1), 4, if(ISBLANK('2025'!$R397), 0, 1), 5, if(ISBLANK('2025'!$S397), 0, 1), 6, if(ISBLANK('2025'!$T397), 0, 1), 7, 0))), 1, "")</f>
        <v/>
      </c>
      <c r="AU434" s="1" t="str">
        <f>IF(AND(AND(AND(AU$4&gt;='2025'!$L397,AU$4&lt;='2025'!$M397), AU$4&lt;&gt;DATE(2025,7,4)), (SWITCH(weekday(AU$4), 1, 0, 2, if(ISBLANK('2025'!$P397), 0, 1), 3, if(ISBLANK('2025'!$Q397), 0, 1), 4, if(ISBLANK('2025'!$R397), 0, 1), 5, if(ISBLANK('2025'!$S397), 0, 1), 6, if(ISBLANK('2025'!$T397), 0, 1), 7, 0))), 1, "")</f>
        <v/>
      </c>
      <c r="AV434" s="1" t="str">
        <f>IF(AND(AND(AND(AV$4&gt;='2025'!$L397,AV$4&lt;='2025'!$M397), AV$4&lt;&gt;DATE(2025,7,4)), (SWITCH(weekday(AV$4), 1, 0, 2, if(ISBLANK('2025'!$P397), 0, 1), 3, if(ISBLANK('2025'!$Q397), 0, 1), 4, if(ISBLANK('2025'!$R397), 0, 1), 5, if(ISBLANK('2025'!$S397), 0, 1), 6, if(ISBLANK('2025'!$T397), 0, 1), 7, 0))), 1, "")</f>
        <v/>
      </c>
      <c r="AW434" s="1" t="str">
        <f>IF(AND(AND(AND(AW$4&gt;='2025'!$L397,AW$4&lt;='2025'!$M397), AW$4&lt;&gt;DATE(2025,7,4)), (SWITCH(weekday(AW$4), 1, 0, 2, if(ISBLANK('2025'!$P397), 0, 1), 3, if(ISBLANK('2025'!$Q397), 0, 1), 4, if(ISBLANK('2025'!$R397), 0, 1), 5, if(ISBLANK('2025'!$S397), 0, 1), 6, if(ISBLANK('2025'!$T397), 0, 1), 7, 0))), 1, "")</f>
        <v/>
      </c>
      <c r="AX434" s="1" t="str">
        <f>IF(AND(AND(AND(AX$4&gt;='2025'!$L397,AX$4&lt;='2025'!$M397), AX$4&lt;&gt;DATE(2025,7,4)), (SWITCH(weekday(AX$4), 1, 0, 2, if(ISBLANK('2025'!$P397), 0, 1), 3, if(ISBLANK('2025'!$Q397), 0, 1), 4, if(ISBLANK('2025'!$R397), 0, 1), 5, if(ISBLANK('2025'!$S397), 0, 1), 6, if(ISBLANK('2025'!$T397), 0, 1), 7, 0))), 1, "")</f>
        <v/>
      </c>
      <c r="AY434" s="1" t="str">
        <f>IF(AND(AND(AND(AY$4&gt;='2025'!$L397,AY$4&lt;='2025'!$M397), AY$4&lt;&gt;DATE(2025,7,4)), (SWITCH(weekday(AY$4), 1, 0, 2, if(ISBLANK('2025'!$P397), 0, 1), 3, if(ISBLANK('2025'!$Q397), 0, 1), 4, if(ISBLANK('2025'!$R397), 0, 1), 5, if(ISBLANK('2025'!$S397), 0, 1), 6, if(ISBLANK('2025'!$T397), 0, 1), 7, 0))), 1, "")</f>
        <v/>
      </c>
      <c r="AZ434" s="1" t="str">
        <f>IF(AND(AND(AND(AZ$4&gt;='2025'!$L397,AZ$4&lt;='2025'!$M397), AZ$4&lt;&gt;DATE(2025,7,4)), (SWITCH(weekday(AZ$4), 1, 0, 2, if(ISBLANK('2025'!$P397), 0, 1), 3, if(ISBLANK('2025'!$Q397), 0, 1), 4, if(ISBLANK('2025'!$R397), 0, 1), 5, if(ISBLANK('2025'!$S397), 0, 1), 6, if(ISBLANK('2025'!$T397), 0, 1), 7, 0))), 1, "")</f>
        <v/>
      </c>
      <c r="BA434" s="1" t="str">
        <f>IF(AND(AND(AND(BA$4&gt;='2025'!$L397,BA$4&lt;='2025'!$M397), BA$4&lt;&gt;DATE(2025,7,4)), (SWITCH(weekday(BA$4), 1, 0, 2, if(ISBLANK('2025'!$P397), 0, 1), 3, if(ISBLANK('2025'!$Q397), 0, 1), 4, if(ISBLANK('2025'!$R397), 0, 1), 5, if(ISBLANK('2025'!$S397), 0, 1), 6, if(ISBLANK('2025'!$T397), 0, 1), 7, 0))), 1, "")</f>
        <v/>
      </c>
      <c r="BB434" s="1" t="str">
        <f>IF(AND(AND(AND(BB$4&gt;='2025'!$L397,BB$4&lt;='2025'!$M397), BB$4&lt;&gt;DATE(2025,7,4)), (SWITCH(weekday(BB$4), 1, 0, 2, if(ISBLANK('2025'!$P397), 0, 1), 3, if(ISBLANK('2025'!$Q397), 0, 1), 4, if(ISBLANK('2025'!$R397), 0, 1), 5, if(ISBLANK('2025'!$S397), 0, 1), 6, if(ISBLANK('2025'!$T397), 0, 1), 7, 0))), 1, "")</f>
        <v/>
      </c>
      <c r="BC434" s="1" t="str">
        <f>IF(AND(AND(AND(BC$4&gt;='2025'!$L397,BC$4&lt;='2025'!$M397), BC$4&lt;&gt;DATE(2025,7,4)), (SWITCH(weekday(BC$4), 1, 0, 2, if(ISBLANK('2025'!$P397), 0, 1), 3, if(ISBLANK('2025'!$Q397), 0, 1), 4, if(ISBLANK('2025'!$R397), 0, 1), 5, if(ISBLANK('2025'!$S397), 0, 1), 6, if(ISBLANK('2025'!$T397), 0, 1), 7, 0))), 1, "")</f>
        <v/>
      </c>
      <c r="BD434" s="1" t="str">
        <f>IF(AND(AND(AND(BD$4&gt;='2025'!$L397,BD$4&lt;='2025'!$M397), BD$4&lt;&gt;DATE(2025,7,4)), (SWITCH(weekday(BD$4), 1, 0, 2, if(ISBLANK('2025'!$P397), 0, 1), 3, if(ISBLANK('2025'!$Q397), 0, 1), 4, if(ISBLANK('2025'!$R397), 0, 1), 5, if(ISBLANK('2025'!$S397), 0, 1), 6, if(ISBLANK('2025'!$T397), 0, 1), 7, 0))), 1, "")</f>
        <v/>
      </c>
      <c r="BE434" s="1" t="str">
        <f>IF(AND(AND(AND(BE$4&gt;='2025'!$L397,BE$4&lt;='2025'!$M397), BE$4&lt;&gt;DATE(2025,7,4)), (SWITCH(weekday(BE$4), 1, 0, 2, if(ISBLANK('2025'!$P397), 0, 1), 3, if(ISBLANK('2025'!$Q397), 0, 1), 4, if(ISBLANK('2025'!$R397), 0, 1), 5, if(ISBLANK('2025'!$S397), 0, 1), 6, if(ISBLANK('2025'!$T397), 0, 1), 7, 0))), 1, "")</f>
        <v/>
      </c>
    </row>
    <row r="435">
      <c r="A435" s="1">
        <f t="shared" si="3"/>
        <v>435</v>
      </c>
      <c r="B435" s="1" t="str">
        <f>'2025'!D398</f>
        <v/>
      </c>
      <c r="C435" s="1" t="str">
        <f>'2025'!H398</f>
        <v/>
      </c>
      <c r="D435" s="1" t="str">
        <f>IF(AND(AND(AND(D$4&gt;='2025'!$L398,D$4&lt;='2025'!$M398), D$4&lt;&gt;DATE(2025,7,4)), (SWITCH(weekday(D$4), 1, 0, 2, if(ISBLANK('2025'!$P398), 0, 1), 3, if(ISBLANK('2025'!$Q398), 0, 1), 4, if(ISBLANK('2025'!$R398), 0, 1), 5, if(ISBLANK('2025'!$S398), 0, 1), 6, if(ISBLANK('2025'!$T398), 0, 1), 7, 0))), 1, "")</f>
        <v/>
      </c>
      <c r="E435" s="1" t="str">
        <f>IF(AND(AND(AND(E$4&gt;='2025'!$L398,E$4&lt;='2025'!$M398), E$4&lt;&gt;DATE(2025,7,4)), (SWITCH(weekday(E$4), 1, 0, 2, if(ISBLANK('2025'!$P398), 0, 1), 3, if(ISBLANK('2025'!$Q398), 0, 1), 4, if(ISBLANK('2025'!$R398), 0, 1), 5, if(ISBLANK('2025'!$S398), 0, 1), 6, if(ISBLANK('2025'!$T398), 0, 1), 7, 0))), 1, "")</f>
        <v/>
      </c>
      <c r="F435" s="1" t="str">
        <f>IF(AND(AND(AND(F$4&gt;='2025'!$L398,F$4&lt;='2025'!$M398), F$4&lt;&gt;DATE(2025,7,4)), (SWITCH(weekday(F$4), 1, 0, 2, if(ISBLANK('2025'!$P398), 0, 1), 3, if(ISBLANK('2025'!$Q398), 0, 1), 4, if(ISBLANK('2025'!$R398), 0, 1), 5, if(ISBLANK('2025'!$S398), 0, 1), 6, if(ISBLANK('2025'!$T398), 0, 1), 7, 0))), 1, "")</f>
        <v/>
      </c>
      <c r="G435" s="1" t="str">
        <f>IF(AND(AND(AND(G$4&gt;='2025'!$L398,G$4&lt;='2025'!$M398), G$4&lt;&gt;DATE(2025,7,4)), (SWITCH(weekday(G$4), 1, 0, 2, if(ISBLANK('2025'!$P398), 0, 1), 3, if(ISBLANK('2025'!$Q398), 0, 1), 4, if(ISBLANK('2025'!$R398), 0, 1), 5, if(ISBLANK('2025'!$S398), 0, 1), 6, if(ISBLANK('2025'!$T398), 0, 1), 7, 0))), 1, "")</f>
        <v/>
      </c>
      <c r="H435" s="1" t="str">
        <f>IF(AND(AND(AND(H$4&gt;='2025'!$L398,H$4&lt;='2025'!$M398), H$4&lt;&gt;DATE(2025,7,4)), (SWITCH(weekday(H$4), 1, 0, 2, if(ISBLANK('2025'!$P398), 0, 1), 3, if(ISBLANK('2025'!$Q398), 0, 1), 4, if(ISBLANK('2025'!$R398), 0, 1), 5, if(ISBLANK('2025'!$S398), 0, 1), 6, if(ISBLANK('2025'!$T398), 0, 1), 7, 0))), 1, "")</f>
        <v/>
      </c>
      <c r="I435" s="1" t="str">
        <f>IF(AND(AND(AND(I$4&gt;='2025'!$L398,I$4&lt;='2025'!$M398), I$4&lt;&gt;DATE(2025,7,4)), (SWITCH(weekday(I$4), 1, 0, 2, if(ISBLANK('2025'!$P398), 0, 1), 3, if(ISBLANK('2025'!$Q398), 0, 1), 4, if(ISBLANK('2025'!$R398), 0, 1), 5, if(ISBLANK('2025'!$S398), 0, 1), 6, if(ISBLANK('2025'!$T398), 0, 1), 7, 0))), 1, "")</f>
        <v/>
      </c>
      <c r="J435" s="1" t="str">
        <f>IF(AND(AND(AND(J$4&gt;='2025'!$L398,J$4&lt;='2025'!$M398), J$4&lt;&gt;DATE(2025,7,4)), (SWITCH(weekday(J$4), 1, 0, 2, if(ISBLANK('2025'!$P398), 0, 1), 3, if(ISBLANK('2025'!$Q398), 0, 1), 4, if(ISBLANK('2025'!$R398), 0, 1), 5, if(ISBLANK('2025'!$S398), 0, 1), 6, if(ISBLANK('2025'!$T398), 0, 1), 7, 0))), 1, "")</f>
        <v/>
      </c>
      <c r="K435" s="1" t="str">
        <f>IF(AND(AND(AND(K$4&gt;='2025'!$L398,K$4&lt;='2025'!$M398), K$4&lt;&gt;DATE(2025,7,4)), (SWITCH(weekday(K$4), 1, 0, 2, if(ISBLANK('2025'!$P398), 0, 1), 3, if(ISBLANK('2025'!$Q398), 0, 1), 4, if(ISBLANK('2025'!$R398), 0, 1), 5, if(ISBLANK('2025'!$S398), 0, 1), 6, if(ISBLANK('2025'!$T398), 0, 1), 7, 0))), 1, "")</f>
        <v/>
      </c>
      <c r="L435" s="1" t="str">
        <f>IF(AND(AND(AND(L$4&gt;='2025'!$L398,L$4&lt;='2025'!$M398), L$4&lt;&gt;DATE(2025,7,4)), (SWITCH(weekday(L$4), 1, 0, 2, if(ISBLANK('2025'!$P398), 0, 1), 3, if(ISBLANK('2025'!$Q398), 0, 1), 4, if(ISBLANK('2025'!$R398), 0, 1), 5, if(ISBLANK('2025'!$S398), 0, 1), 6, if(ISBLANK('2025'!$T398), 0, 1), 7, 0))), 1, "")</f>
        <v/>
      </c>
      <c r="M435" s="1" t="str">
        <f>IF(AND(AND(AND(M$4&gt;='2025'!$L398,M$4&lt;='2025'!$M398), M$4&lt;&gt;DATE(2025,7,4)), (SWITCH(weekday(M$4), 1, 0, 2, if(ISBLANK('2025'!$P398), 0, 1), 3, if(ISBLANK('2025'!$Q398), 0, 1), 4, if(ISBLANK('2025'!$R398), 0, 1), 5, if(ISBLANK('2025'!$S398), 0, 1), 6, if(ISBLANK('2025'!$T398), 0, 1), 7, 0))), 1, "")</f>
        <v/>
      </c>
      <c r="N435" s="1" t="str">
        <f>IF(AND(AND(AND(N$4&gt;='2025'!$L398,N$4&lt;='2025'!$M398), N$4&lt;&gt;DATE(2025,7,4)), (SWITCH(weekday(N$4), 1, 0, 2, if(ISBLANK('2025'!$P398), 0, 1), 3, if(ISBLANK('2025'!$Q398), 0, 1), 4, if(ISBLANK('2025'!$R398), 0, 1), 5, if(ISBLANK('2025'!$S398), 0, 1), 6, if(ISBLANK('2025'!$T398), 0, 1), 7, 0))), 1, "")</f>
        <v/>
      </c>
      <c r="O435" s="1" t="str">
        <f>IF(AND(AND(AND(O$4&gt;='2025'!$L398,O$4&lt;='2025'!$M398), O$4&lt;&gt;DATE(2025,7,4)), (SWITCH(weekday(O$4), 1, 0, 2, if(ISBLANK('2025'!$P398), 0, 1), 3, if(ISBLANK('2025'!$Q398), 0, 1), 4, if(ISBLANK('2025'!$R398), 0, 1), 5, if(ISBLANK('2025'!$S398), 0, 1), 6, if(ISBLANK('2025'!$T398), 0, 1), 7, 0))), 1, "")</f>
        <v/>
      </c>
      <c r="P435" s="1" t="str">
        <f>IF(AND(AND(AND(P$4&gt;='2025'!$L398,P$4&lt;='2025'!$M398), P$4&lt;&gt;DATE(2025,7,4)), (SWITCH(weekday(P$4), 1, 0, 2, if(ISBLANK('2025'!$P398), 0, 1), 3, if(ISBLANK('2025'!$Q398), 0, 1), 4, if(ISBLANK('2025'!$R398), 0, 1), 5, if(ISBLANK('2025'!$S398), 0, 1), 6, if(ISBLANK('2025'!$T398), 0, 1), 7, 0))), 1, "")</f>
        <v/>
      </c>
      <c r="Q435" s="1" t="str">
        <f>IF(AND(AND(AND(Q$4&gt;='2025'!$L398,Q$4&lt;='2025'!$M398), Q$4&lt;&gt;DATE(2025,7,4)), (SWITCH(weekday(Q$4), 1, 0, 2, if(ISBLANK('2025'!$P398), 0, 1), 3, if(ISBLANK('2025'!$Q398), 0, 1), 4, if(ISBLANK('2025'!$R398), 0, 1), 5, if(ISBLANK('2025'!$S398), 0, 1), 6, if(ISBLANK('2025'!$T398), 0, 1), 7, 0))), 1, "")</f>
        <v/>
      </c>
      <c r="R435" s="1" t="str">
        <f>IF(AND(AND(AND(R$4&gt;='2025'!$L398,R$4&lt;='2025'!$M398), R$4&lt;&gt;DATE(2025,7,4)), (SWITCH(weekday(R$4), 1, 0, 2, if(ISBLANK('2025'!$P398), 0, 1), 3, if(ISBLANK('2025'!$Q398), 0, 1), 4, if(ISBLANK('2025'!$R398), 0, 1), 5, if(ISBLANK('2025'!$S398), 0, 1), 6, if(ISBLANK('2025'!$T398), 0, 1), 7, 0))), 1, "")</f>
        <v/>
      </c>
      <c r="S435" s="1" t="str">
        <f>IF(AND(AND(AND(S$4&gt;='2025'!$L398,S$4&lt;='2025'!$M398), S$4&lt;&gt;DATE(2025,7,4)), (SWITCH(weekday(S$4), 1, 0, 2, if(ISBLANK('2025'!$P398), 0, 1), 3, if(ISBLANK('2025'!$Q398), 0, 1), 4, if(ISBLANK('2025'!$R398), 0, 1), 5, if(ISBLANK('2025'!$S398), 0, 1), 6, if(ISBLANK('2025'!$T398), 0, 1), 7, 0))), 1, "")</f>
        <v/>
      </c>
      <c r="T435" s="1" t="str">
        <f>IF(AND(AND(AND(T$4&gt;='2025'!$L398,T$4&lt;='2025'!$M398), T$4&lt;&gt;DATE(2025,7,4)), (SWITCH(weekday(T$4), 1, 0, 2, if(ISBLANK('2025'!$P398), 0, 1), 3, if(ISBLANK('2025'!$Q398), 0, 1), 4, if(ISBLANK('2025'!$R398), 0, 1), 5, if(ISBLANK('2025'!$S398), 0, 1), 6, if(ISBLANK('2025'!$T398), 0, 1), 7, 0))), 1, "")</f>
        <v/>
      </c>
      <c r="U435" s="1" t="str">
        <f>IF(AND(AND(AND(U$4&gt;='2025'!$L398,U$4&lt;='2025'!$M398), U$4&lt;&gt;DATE(2025,7,4)), (SWITCH(weekday(U$4), 1, 0, 2, if(ISBLANK('2025'!$P398), 0, 1), 3, if(ISBLANK('2025'!$Q398), 0, 1), 4, if(ISBLANK('2025'!$R398), 0, 1), 5, if(ISBLANK('2025'!$S398), 0, 1), 6, if(ISBLANK('2025'!$T398), 0, 1), 7, 0))), 1, "")</f>
        <v/>
      </c>
      <c r="V435" s="1" t="str">
        <f>IF(AND(AND(AND(V$4&gt;='2025'!$L398,V$4&lt;='2025'!$M398), V$4&lt;&gt;DATE(2025,7,4)), (SWITCH(weekday(V$4), 1, 0, 2, if(ISBLANK('2025'!$P398), 0, 1), 3, if(ISBLANK('2025'!$Q398), 0, 1), 4, if(ISBLANK('2025'!$R398), 0, 1), 5, if(ISBLANK('2025'!$S398), 0, 1), 6, if(ISBLANK('2025'!$T398), 0, 1), 7, 0))), 1, "")</f>
        <v/>
      </c>
      <c r="W435" s="1" t="str">
        <f>IF(AND(AND(AND(W$4&gt;='2025'!$L398,W$4&lt;='2025'!$M398), W$4&lt;&gt;DATE(2025,7,4)), (SWITCH(weekday(W$4), 1, 0, 2, if(ISBLANK('2025'!$P398), 0, 1), 3, if(ISBLANK('2025'!$Q398), 0, 1), 4, if(ISBLANK('2025'!$R398), 0, 1), 5, if(ISBLANK('2025'!$S398), 0, 1), 6, if(ISBLANK('2025'!$T398), 0, 1), 7, 0))), 1, "")</f>
        <v/>
      </c>
      <c r="X435" s="1" t="str">
        <f>IF(AND(AND(AND(X$4&gt;='2025'!$L398,X$4&lt;='2025'!$M398), X$4&lt;&gt;DATE(2025,7,4)), (SWITCH(weekday(X$4), 1, 0, 2, if(ISBLANK('2025'!$P398), 0, 1), 3, if(ISBLANK('2025'!$Q398), 0, 1), 4, if(ISBLANK('2025'!$R398), 0, 1), 5, if(ISBLANK('2025'!$S398), 0, 1), 6, if(ISBLANK('2025'!$T398), 0, 1), 7, 0))), 1, "")</f>
        <v/>
      </c>
      <c r="Y435" s="1" t="str">
        <f>IF(AND(AND(AND(Y$4&gt;='2025'!$L398,Y$4&lt;='2025'!$M398), Y$4&lt;&gt;DATE(2025,7,4)), (SWITCH(weekday(Y$4), 1, 0, 2, if(ISBLANK('2025'!$P398), 0, 1), 3, if(ISBLANK('2025'!$Q398), 0, 1), 4, if(ISBLANK('2025'!$R398), 0, 1), 5, if(ISBLANK('2025'!$S398), 0, 1), 6, if(ISBLANK('2025'!$T398), 0, 1), 7, 0))), 1, "")</f>
        <v/>
      </c>
      <c r="Z435" s="1" t="str">
        <f>IF(AND(AND(AND(Z$4&gt;='2025'!$L398,Z$4&lt;='2025'!$M398), Z$4&lt;&gt;DATE(2025,7,4)), (SWITCH(weekday(Z$4), 1, 0, 2, if(ISBLANK('2025'!$P398), 0, 1), 3, if(ISBLANK('2025'!$Q398), 0, 1), 4, if(ISBLANK('2025'!$R398), 0, 1), 5, if(ISBLANK('2025'!$S398), 0, 1), 6, if(ISBLANK('2025'!$T398), 0, 1), 7, 0))), 1, "")</f>
        <v/>
      </c>
      <c r="AA435" s="1" t="str">
        <f>IF(AND(AND(AND(AA$4&gt;='2025'!$L398,AA$4&lt;='2025'!$M398), AA$4&lt;&gt;DATE(2025,7,4)), (SWITCH(weekday(AA$4), 1, 0, 2, if(ISBLANK('2025'!$P398), 0, 1), 3, if(ISBLANK('2025'!$Q398), 0, 1), 4, if(ISBLANK('2025'!$R398), 0, 1), 5, if(ISBLANK('2025'!$S398), 0, 1), 6, if(ISBLANK('2025'!$T398), 0, 1), 7, 0))), 1, "")</f>
        <v/>
      </c>
      <c r="AB435" s="1" t="str">
        <f>IF(AND(AND(AND(AB$4&gt;='2025'!$L398,AB$4&lt;='2025'!$M398), AB$4&lt;&gt;DATE(2025,7,4)), (SWITCH(weekday(AB$4), 1, 0, 2, if(ISBLANK('2025'!$P398), 0, 1), 3, if(ISBLANK('2025'!$Q398), 0, 1), 4, if(ISBLANK('2025'!$R398), 0, 1), 5, if(ISBLANK('2025'!$S398), 0, 1), 6, if(ISBLANK('2025'!$T398), 0, 1), 7, 0))), 1, "")</f>
        <v/>
      </c>
      <c r="AC435" s="1" t="str">
        <f>IF(AND(AND(AND(AC$4&gt;='2025'!$L398,AC$4&lt;='2025'!$M398), AC$4&lt;&gt;DATE(2025,7,4)), (SWITCH(weekday(AC$4), 1, 0, 2, if(ISBLANK('2025'!$P398), 0, 1), 3, if(ISBLANK('2025'!$Q398), 0, 1), 4, if(ISBLANK('2025'!$R398), 0, 1), 5, if(ISBLANK('2025'!$S398), 0, 1), 6, if(ISBLANK('2025'!$T398), 0, 1), 7, 0))), 1, "")</f>
        <v/>
      </c>
      <c r="AD435" s="1" t="str">
        <f>IF(AND(AND(AND(AD$4&gt;='2025'!$L398,AD$4&lt;='2025'!$M398), AD$4&lt;&gt;DATE(2025,7,4)), (SWITCH(weekday(AD$4), 1, 0, 2, if(ISBLANK('2025'!$P398), 0, 1), 3, if(ISBLANK('2025'!$Q398), 0, 1), 4, if(ISBLANK('2025'!$R398), 0, 1), 5, if(ISBLANK('2025'!$S398), 0, 1), 6, if(ISBLANK('2025'!$T398), 0, 1), 7, 0))), 1, "")</f>
        <v/>
      </c>
      <c r="AE435" s="1" t="str">
        <f>IF(AND(AND(AND(AE$4&gt;='2025'!$L398,AE$4&lt;='2025'!$M398), AE$4&lt;&gt;DATE(2025,7,4)), (SWITCH(weekday(AE$4), 1, 0, 2, if(ISBLANK('2025'!$P398), 0, 1), 3, if(ISBLANK('2025'!$Q398), 0, 1), 4, if(ISBLANK('2025'!$R398), 0, 1), 5, if(ISBLANK('2025'!$S398), 0, 1), 6, if(ISBLANK('2025'!$T398), 0, 1), 7, 0))), 1, "")</f>
        <v/>
      </c>
      <c r="AF435" s="1" t="str">
        <f>IF(AND(AND(AND(AF$4&gt;='2025'!$L398,AF$4&lt;='2025'!$M398), AF$4&lt;&gt;DATE(2025,7,4)), (SWITCH(weekday(AF$4), 1, 0, 2, if(ISBLANK('2025'!$P398), 0, 1), 3, if(ISBLANK('2025'!$Q398), 0, 1), 4, if(ISBLANK('2025'!$R398), 0, 1), 5, if(ISBLANK('2025'!$S398), 0, 1), 6, if(ISBLANK('2025'!$T398), 0, 1), 7, 0))), 1, "")</f>
        <v/>
      </c>
      <c r="AG435" s="1" t="str">
        <f>IF(AND(AND(AND(AG$4&gt;='2025'!$L398,AG$4&lt;='2025'!$M398), AG$4&lt;&gt;DATE(2025,7,4)), (SWITCH(weekday(AG$4), 1, 0, 2, if(ISBLANK('2025'!$P398), 0, 1), 3, if(ISBLANK('2025'!$Q398), 0, 1), 4, if(ISBLANK('2025'!$R398), 0, 1), 5, if(ISBLANK('2025'!$S398), 0, 1), 6, if(ISBLANK('2025'!$T398), 0, 1), 7, 0))), 1, "")</f>
        <v/>
      </c>
      <c r="AH435" s="1" t="str">
        <f>IF(AND(AND(AND(AH$4&gt;='2025'!$L398,AH$4&lt;='2025'!$M398), AH$4&lt;&gt;DATE(2025,7,4)), (SWITCH(weekday(AH$4), 1, 0, 2, if(ISBLANK('2025'!$P398), 0, 1), 3, if(ISBLANK('2025'!$Q398), 0, 1), 4, if(ISBLANK('2025'!$R398), 0, 1), 5, if(ISBLANK('2025'!$S398), 0, 1), 6, if(ISBLANK('2025'!$T398), 0, 1), 7, 0))), 1, "")</f>
        <v/>
      </c>
      <c r="AI435" s="1" t="str">
        <f>IF(AND(AND(AND(AI$4&gt;='2025'!$L398,AI$4&lt;='2025'!$M398), AI$4&lt;&gt;DATE(2025,7,4)), (SWITCH(weekday(AI$4), 1, 0, 2, if(ISBLANK('2025'!$P398), 0, 1), 3, if(ISBLANK('2025'!$Q398), 0, 1), 4, if(ISBLANK('2025'!$R398), 0, 1), 5, if(ISBLANK('2025'!$S398), 0, 1), 6, if(ISBLANK('2025'!$T398), 0, 1), 7, 0))), 1, "")</f>
        <v/>
      </c>
      <c r="AJ435" s="1" t="str">
        <f>IF(AND(AND(AND(AJ$4&gt;='2025'!$L398,AJ$4&lt;='2025'!$M398), AJ$4&lt;&gt;DATE(2025,7,4)), (SWITCH(weekday(AJ$4), 1, 0, 2, if(ISBLANK('2025'!$P398), 0, 1), 3, if(ISBLANK('2025'!$Q398), 0, 1), 4, if(ISBLANK('2025'!$R398), 0, 1), 5, if(ISBLANK('2025'!$S398), 0, 1), 6, if(ISBLANK('2025'!$T398), 0, 1), 7, 0))), 1, "")</f>
        <v/>
      </c>
      <c r="AK435" s="1" t="str">
        <f>IF(AND(AND(AND(AK$4&gt;='2025'!$L398,AK$4&lt;='2025'!$M398), AK$4&lt;&gt;DATE(2025,7,4)), (SWITCH(weekday(AK$4), 1, 0, 2, if(ISBLANK('2025'!$P398), 0, 1), 3, if(ISBLANK('2025'!$Q398), 0, 1), 4, if(ISBLANK('2025'!$R398), 0, 1), 5, if(ISBLANK('2025'!$S398), 0, 1), 6, if(ISBLANK('2025'!$T398), 0, 1), 7, 0))), 1, "")</f>
        <v/>
      </c>
      <c r="AL435" s="1" t="str">
        <f>IF(AND(AND(AND(AL$4&gt;='2025'!$L398,AL$4&lt;='2025'!$M398), AL$4&lt;&gt;DATE(2025,7,4)), (SWITCH(weekday(AL$4), 1, 0, 2, if(ISBLANK('2025'!$P398), 0, 1), 3, if(ISBLANK('2025'!$Q398), 0, 1), 4, if(ISBLANK('2025'!$R398), 0, 1), 5, if(ISBLANK('2025'!$S398), 0, 1), 6, if(ISBLANK('2025'!$T398), 0, 1), 7, 0))), 1, "")</f>
        <v/>
      </c>
      <c r="AM435" s="1" t="str">
        <f>IF(AND(AND(AND(AM$4&gt;='2025'!$L398,AM$4&lt;='2025'!$M398), AM$4&lt;&gt;DATE(2025,7,4)), (SWITCH(weekday(AM$4), 1, 0, 2, if(ISBLANK('2025'!$P398), 0, 1), 3, if(ISBLANK('2025'!$Q398), 0, 1), 4, if(ISBLANK('2025'!$R398), 0, 1), 5, if(ISBLANK('2025'!$S398), 0, 1), 6, if(ISBLANK('2025'!$T398), 0, 1), 7, 0))), 1, "")</f>
        <v/>
      </c>
      <c r="AN435" s="1" t="str">
        <f>IF(AND(AND(AND(AN$4&gt;='2025'!$L398,AN$4&lt;='2025'!$M398), AN$4&lt;&gt;DATE(2025,7,4)), (SWITCH(weekday(AN$4), 1, 0, 2, if(ISBLANK('2025'!$P398), 0, 1), 3, if(ISBLANK('2025'!$Q398), 0, 1), 4, if(ISBLANK('2025'!$R398), 0, 1), 5, if(ISBLANK('2025'!$S398), 0, 1), 6, if(ISBLANK('2025'!$T398), 0, 1), 7, 0))), 1, "")</f>
        <v/>
      </c>
      <c r="AO435" s="1" t="str">
        <f>IF(AND(AND(AND(AO$4&gt;='2025'!$L398,AO$4&lt;='2025'!$M398), AO$4&lt;&gt;DATE(2025,7,4)), (SWITCH(weekday(AO$4), 1, 0, 2, if(ISBLANK('2025'!$P398), 0, 1), 3, if(ISBLANK('2025'!$Q398), 0, 1), 4, if(ISBLANK('2025'!$R398), 0, 1), 5, if(ISBLANK('2025'!$S398), 0, 1), 6, if(ISBLANK('2025'!$T398), 0, 1), 7, 0))), 1, "")</f>
        <v/>
      </c>
      <c r="AP435" s="1" t="str">
        <f>IF(AND(AND(AND(AP$4&gt;='2025'!$L398,AP$4&lt;='2025'!$M398), AP$4&lt;&gt;DATE(2025,7,4)), (SWITCH(weekday(AP$4), 1, 0, 2, if(ISBLANK('2025'!$P398), 0, 1), 3, if(ISBLANK('2025'!$Q398), 0, 1), 4, if(ISBLANK('2025'!$R398), 0, 1), 5, if(ISBLANK('2025'!$S398), 0, 1), 6, if(ISBLANK('2025'!$T398), 0, 1), 7, 0))), 1, "")</f>
        <v/>
      </c>
      <c r="AQ435" s="1" t="str">
        <f>IF(AND(AND(AND(AQ$4&gt;='2025'!$L398,AQ$4&lt;='2025'!$M398), AQ$4&lt;&gt;DATE(2025,7,4)), (SWITCH(weekday(AQ$4), 1, 0, 2, if(ISBLANK('2025'!$P398), 0, 1), 3, if(ISBLANK('2025'!$Q398), 0, 1), 4, if(ISBLANK('2025'!$R398), 0, 1), 5, if(ISBLANK('2025'!$S398), 0, 1), 6, if(ISBLANK('2025'!$T398), 0, 1), 7, 0))), 1, "")</f>
        <v/>
      </c>
      <c r="AR435" s="1" t="str">
        <f>IF(AND(AND(AND(AR$4&gt;='2025'!$L398,AR$4&lt;='2025'!$M398), AR$4&lt;&gt;DATE(2025,7,4)), (SWITCH(weekday(AR$4), 1, 0, 2, if(ISBLANK('2025'!$P398), 0, 1), 3, if(ISBLANK('2025'!$Q398), 0, 1), 4, if(ISBLANK('2025'!$R398), 0, 1), 5, if(ISBLANK('2025'!$S398), 0, 1), 6, if(ISBLANK('2025'!$T398), 0, 1), 7, 0))), 1, "")</f>
        <v/>
      </c>
      <c r="AS435" s="1" t="str">
        <f>IF(AND(AND(AND(AS$4&gt;='2025'!$L398,AS$4&lt;='2025'!$M398), AS$4&lt;&gt;DATE(2025,7,4)), (SWITCH(weekday(AS$4), 1, 0, 2, if(ISBLANK('2025'!$P398), 0, 1), 3, if(ISBLANK('2025'!$Q398), 0, 1), 4, if(ISBLANK('2025'!$R398), 0, 1), 5, if(ISBLANK('2025'!$S398), 0, 1), 6, if(ISBLANK('2025'!$T398), 0, 1), 7, 0))), 1, "")</f>
        <v/>
      </c>
      <c r="AT435" s="1" t="str">
        <f>IF(AND(AND(AND(AT$4&gt;='2025'!$L398,AT$4&lt;='2025'!$M398), AT$4&lt;&gt;DATE(2025,7,4)), (SWITCH(weekday(AT$4), 1, 0, 2, if(ISBLANK('2025'!$P398), 0, 1), 3, if(ISBLANK('2025'!$Q398), 0, 1), 4, if(ISBLANK('2025'!$R398), 0, 1), 5, if(ISBLANK('2025'!$S398), 0, 1), 6, if(ISBLANK('2025'!$T398), 0, 1), 7, 0))), 1, "")</f>
        <v/>
      </c>
      <c r="AU435" s="1" t="str">
        <f>IF(AND(AND(AND(AU$4&gt;='2025'!$L398,AU$4&lt;='2025'!$M398), AU$4&lt;&gt;DATE(2025,7,4)), (SWITCH(weekday(AU$4), 1, 0, 2, if(ISBLANK('2025'!$P398), 0, 1), 3, if(ISBLANK('2025'!$Q398), 0, 1), 4, if(ISBLANK('2025'!$R398), 0, 1), 5, if(ISBLANK('2025'!$S398), 0, 1), 6, if(ISBLANK('2025'!$T398), 0, 1), 7, 0))), 1, "")</f>
        <v/>
      </c>
      <c r="AV435" s="1" t="str">
        <f>IF(AND(AND(AND(AV$4&gt;='2025'!$L398,AV$4&lt;='2025'!$M398), AV$4&lt;&gt;DATE(2025,7,4)), (SWITCH(weekday(AV$4), 1, 0, 2, if(ISBLANK('2025'!$P398), 0, 1), 3, if(ISBLANK('2025'!$Q398), 0, 1), 4, if(ISBLANK('2025'!$R398), 0, 1), 5, if(ISBLANK('2025'!$S398), 0, 1), 6, if(ISBLANK('2025'!$T398), 0, 1), 7, 0))), 1, "")</f>
        <v/>
      </c>
      <c r="AW435" s="1" t="str">
        <f>IF(AND(AND(AND(AW$4&gt;='2025'!$L398,AW$4&lt;='2025'!$M398), AW$4&lt;&gt;DATE(2025,7,4)), (SWITCH(weekday(AW$4), 1, 0, 2, if(ISBLANK('2025'!$P398), 0, 1), 3, if(ISBLANK('2025'!$Q398), 0, 1), 4, if(ISBLANK('2025'!$R398), 0, 1), 5, if(ISBLANK('2025'!$S398), 0, 1), 6, if(ISBLANK('2025'!$T398), 0, 1), 7, 0))), 1, "")</f>
        <v/>
      </c>
      <c r="AX435" s="1" t="str">
        <f>IF(AND(AND(AND(AX$4&gt;='2025'!$L398,AX$4&lt;='2025'!$M398), AX$4&lt;&gt;DATE(2025,7,4)), (SWITCH(weekday(AX$4), 1, 0, 2, if(ISBLANK('2025'!$P398), 0, 1), 3, if(ISBLANK('2025'!$Q398), 0, 1), 4, if(ISBLANK('2025'!$R398), 0, 1), 5, if(ISBLANK('2025'!$S398), 0, 1), 6, if(ISBLANK('2025'!$T398), 0, 1), 7, 0))), 1, "")</f>
        <v/>
      </c>
      <c r="AY435" s="1" t="str">
        <f>IF(AND(AND(AND(AY$4&gt;='2025'!$L398,AY$4&lt;='2025'!$M398), AY$4&lt;&gt;DATE(2025,7,4)), (SWITCH(weekday(AY$4), 1, 0, 2, if(ISBLANK('2025'!$P398), 0, 1), 3, if(ISBLANK('2025'!$Q398), 0, 1), 4, if(ISBLANK('2025'!$R398), 0, 1), 5, if(ISBLANK('2025'!$S398), 0, 1), 6, if(ISBLANK('2025'!$T398), 0, 1), 7, 0))), 1, "")</f>
        <v/>
      </c>
      <c r="AZ435" s="1" t="str">
        <f>IF(AND(AND(AND(AZ$4&gt;='2025'!$L398,AZ$4&lt;='2025'!$M398), AZ$4&lt;&gt;DATE(2025,7,4)), (SWITCH(weekday(AZ$4), 1, 0, 2, if(ISBLANK('2025'!$P398), 0, 1), 3, if(ISBLANK('2025'!$Q398), 0, 1), 4, if(ISBLANK('2025'!$R398), 0, 1), 5, if(ISBLANK('2025'!$S398), 0, 1), 6, if(ISBLANK('2025'!$T398), 0, 1), 7, 0))), 1, "")</f>
        <v/>
      </c>
      <c r="BA435" s="1" t="str">
        <f>IF(AND(AND(AND(BA$4&gt;='2025'!$L398,BA$4&lt;='2025'!$M398), BA$4&lt;&gt;DATE(2025,7,4)), (SWITCH(weekday(BA$4), 1, 0, 2, if(ISBLANK('2025'!$P398), 0, 1), 3, if(ISBLANK('2025'!$Q398), 0, 1), 4, if(ISBLANK('2025'!$R398), 0, 1), 5, if(ISBLANK('2025'!$S398), 0, 1), 6, if(ISBLANK('2025'!$T398), 0, 1), 7, 0))), 1, "")</f>
        <v/>
      </c>
      <c r="BB435" s="1" t="str">
        <f>IF(AND(AND(AND(BB$4&gt;='2025'!$L398,BB$4&lt;='2025'!$M398), BB$4&lt;&gt;DATE(2025,7,4)), (SWITCH(weekday(BB$4), 1, 0, 2, if(ISBLANK('2025'!$P398), 0, 1), 3, if(ISBLANK('2025'!$Q398), 0, 1), 4, if(ISBLANK('2025'!$R398), 0, 1), 5, if(ISBLANK('2025'!$S398), 0, 1), 6, if(ISBLANK('2025'!$T398), 0, 1), 7, 0))), 1, "")</f>
        <v/>
      </c>
      <c r="BC435" s="1" t="str">
        <f>IF(AND(AND(AND(BC$4&gt;='2025'!$L398,BC$4&lt;='2025'!$M398), BC$4&lt;&gt;DATE(2025,7,4)), (SWITCH(weekday(BC$4), 1, 0, 2, if(ISBLANK('2025'!$P398), 0, 1), 3, if(ISBLANK('2025'!$Q398), 0, 1), 4, if(ISBLANK('2025'!$R398), 0, 1), 5, if(ISBLANK('2025'!$S398), 0, 1), 6, if(ISBLANK('2025'!$T398), 0, 1), 7, 0))), 1, "")</f>
        <v/>
      </c>
      <c r="BD435" s="1" t="str">
        <f>IF(AND(AND(AND(BD$4&gt;='2025'!$L398,BD$4&lt;='2025'!$M398), BD$4&lt;&gt;DATE(2025,7,4)), (SWITCH(weekday(BD$4), 1, 0, 2, if(ISBLANK('2025'!$P398), 0, 1), 3, if(ISBLANK('2025'!$Q398), 0, 1), 4, if(ISBLANK('2025'!$R398), 0, 1), 5, if(ISBLANK('2025'!$S398), 0, 1), 6, if(ISBLANK('2025'!$T398), 0, 1), 7, 0))), 1, "")</f>
        <v/>
      </c>
      <c r="BE435" s="1" t="str">
        <f>IF(AND(AND(AND(BE$4&gt;='2025'!$L398,BE$4&lt;='2025'!$M398), BE$4&lt;&gt;DATE(2025,7,4)), (SWITCH(weekday(BE$4), 1, 0, 2, if(ISBLANK('2025'!$P398), 0, 1), 3, if(ISBLANK('2025'!$Q398), 0, 1), 4, if(ISBLANK('2025'!$R398), 0, 1), 5, if(ISBLANK('2025'!$S398), 0, 1), 6, if(ISBLANK('2025'!$T398), 0, 1), 7, 0))), 1, "")</f>
        <v/>
      </c>
    </row>
    <row r="436">
      <c r="A436" s="1">
        <f t="shared" si="3"/>
        <v>436</v>
      </c>
      <c r="B436" s="1" t="str">
        <f>'2025'!D399</f>
        <v/>
      </c>
      <c r="C436" s="1" t="str">
        <f>'2025'!H399</f>
        <v/>
      </c>
      <c r="D436" s="1" t="str">
        <f>IF(AND(AND(AND(D$4&gt;='2025'!$L399,D$4&lt;='2025'!$M399), D$4&lt;&gt;DATE(2025,7,4)), (SWITCH(weekday(D$4), 1, 0, 2, if(ISBLANK('2025'!$P399), 0, 1), 3, if(ISBLANK('2025'!$Q399), 0, 1), 4, if(ISBLANK('2025'!$R399), 0, 1), 5, if(ISBLANK('2025'!$S399), 0, 1), 6, if(ISBLANK('2025'!$T399), 0, 1), 7, 0))), 1, "")</f>
        <v/>
      </c>
      <c r="E436" s="1" t="str">
        <f>IF(AND(AND(AND(E$4&gt;='2025'!$L399,E$4&lt;='2025'!$M399), E$4&lt;&gt;DATE(2025,7,4)), (SWITCH(weekday(E$4), 1, 0, 2, if(ISBLANK('2025'!$P399), 0, 1), 3, if(ISBLANK('2025'!$Q399), 0, 1), 4, if(ISBLANK('2025'!$R399), 0, 1), 5, if(ISBLANK('2025'!$S399), 0, 1), 6, if(ISBLANK('2025'!$T399), 0, 1), 7, 0))), 1, "")</f>
        <v/>
      </c>
      <c r="F436" s="1" t="str">
        <f>IF(AND(AND(AND(F$4&gt;='2025'!$L399,F$4&lt;='2025'!$M399), F$4&lt;&gt;DATE(2025,7,4)), (SWITCH(weekday(F$4), 1, 0, 2, if(ISBLANK('2025'!$P399), 0, 1), 3, if(ISBLANK('2025'!$Q399), 0, 1), 4, if(ISBLANK('2025'!$R399), 0, 1), 5, if(ISBLANK('2025'!$S399), 0, 1), 6, if(ISBLANK('2025'!$T399), 0, 1), 7, 0))), 1, "")</f>
        <v/>
      </c>
      <c r="G436" s="1" t="str">
        <f>IF(AND(AND(AND(G$4&gt;='2025'!$L399,G$4&lt;='2025'!$M399), G$4&lt;&gt;DATE(2025,7,4)), (SWITCH(weekday(G$4), 1, 0, 2, if(ISBLANK('2025'!$P399), 0, 1), 3, if(ISBLANK('2025'!$Q399), 0, 1), 4, if(ISBLANK('2025'!$R399), 0, 1), 5, if(ISBLANK('2025'!$S399), 0, 1), 6, if(ISBLANK('2025'!$T399), 0, 1), 7, 0))), 1, "")</f>
        <v/>
      </c>
      <c r="H436" s="1" t="str">
        <f>IF(AND(AND(AND(H$4&gt;='2025'!$L399,H$4&lt;='2025'!$M399), H$4&lt;&gt;DATE(2025,7,4)), (SWITCH(weekday(H$4), 1, 0, 2, if(ISBLANK('2025'!$P399), 0, 1), 3, if(ISBLANK('2025'!$Q399), 0, 1), 4, if(ISBLANK('2025'!$R399), 0, 1), 5, if(ISBLANK('2025'!$S399), 0, 1), 6, if(ISBLANK('2025'!$T399), 0, 1), 7, 0))), 1, "")</f>
        <v/>
      </c>
      <c r="I436" s="1" t="str">
        <f>IF(AND(AND(AND(I$4&gt;='2025'!$L399,I$4&lt;='2025'!$M399), I$4&lt;&gt;DATE(2025,7,4)), (SWITCH(weekday(I$4), 1, 0, 2, if(ISBLANK('2025'!$P399), 0, 1), 3, if(ISBLANK('2025'!$Q399), 0, 1), 4, if(ISBLANK('2025'!$R399), 0, 1), 5, if(ISBLANK('2025'!$S399), 0, 1), 6, if(ISBLANK('2025'!$T399), 0, 1), 7, 0))), 1, "")</f>
        <v/>
      </c>
      <c r="J436" s="1" t="str">
        <f>IF(AND(AND(AND(J$4&gt;='2025'!$L399,J$4&lt;='2025'!$M399), J$4&lt;&gt;DATE(2025,7,4)), (SWITCH(weekday(J$4), 1, 0, 2, if(ISBLANK('2025'!$P399), 0, 1), 3, if(ISBLANK('2025'!$Q399), 0, 1), 4, if(ISBLANK('2025'!$R399), 0, 1), 5, if(ISBLANK('2025'!$S399), 0, 1), 6, if(ISBLANK('2025'!$T399), 0, 1), 7, 0))), 1, "")</f>
        <v/>
      </c>
      <c r="K436" s="1" t="str">
        <f>IF(AND(AND(AND(K$4&gt;='2025'!$L399,K$4&lt;='2025'!$M399), K$4&lt;&gt;DATE(2025,7,4)), (SWITCH(weekday(K$4), 1, 0, 2, if(ISBLANK('2025'!$P399), 0, 1), 3, if(ISBLANK('2025'!$Q399), 0, 1), 4, if(ISBLANK('2025'!$R399), 0, 1), 5, if(ISBLANK('2025'!$S399), 0, 1), 6, if(ISBLANK('2025'!$T399), 0, 1), 7, 0))), 1, "")</f>
        <v/>
      </c>
      <c r="L436" s="1" t="str">
        <f>IF(AND(AND(AND(L$4&gt;='2025'!$L399,L$4&lt;='2025'!$M399), L$4&lt;&gt;DATE(2025,7,4)), (SWITCH(weekday(L$4), 1, 0, 2, if(ISBLANK('2025'!$P399), 0, 1), 3, if(ISBLANK('2025'!$Q399), 0, 1), 4, if(ISBLANK('2025'!$R399), 0, 1), 5, if(ISBLANK('2025'!$S399), 0, 1), 6, if(ISBLANK('2025'!$T399), 0, 1), 7, 0))), 1, "")</f>
        <v/>
      </c>
      <c r="M436" s="1" t="str">
        <f>IF(AND(AND(AND(M$4&gt;='2025'!$L399,M$4&lt;='2025'!$M399), M$4&lt;&gt;DATE(2025,7,4)), (SWITCH(weekday(M$4), 1, 0, 2, if(ISBLANK('2025'!$P399), 0, 1), 3, if(ISBLANK('2025'!$Q399), 0, 1), 4, if(ISBLANK('2025'!$R399), 0, 1), 5, if(ISBLANK('2025'!$S399), 0, 1), 6, if(ISBLANK('2025'!$T399), 0, 1), 7, 0))), 1, "")</f>
        <v/>
      </c>
      <c r="N436" s="1" t="str">
        <f>IF(AND(AND(AND(N$4&gt;='2025'!$L399,N$4&lt;='2025'!$M399), N$4&lt;&gt;DATE(2025,7,4)), (SWITCH(weekday(N$4), 1, 0, 2, if(ISBLANK('2025'!$P399), 0, 1), 3, if(ISBLANK('2025'!$Q399), 0, 1), 4, if(ISBLANK('2025'!$R399), 0, 1), 5, if(ISBLANK('2025'!$S399), 0, 1), 6, if(ISBLANK('2025'!$T399), 0, 1), 7, 0))), 1, "")</f>
        <v/>
      </c>
      <c r="O436" s="1" t="str">
        <f>IF(AND(AND(AND(O$4&gt;='2025'!$L399,O$4&lt;='2025'!$M399), O$4&lt;&gt;DATE(2025,7,4)), (SWITCH(weekday(O$4), 1, 0, 2, if(ISBLANK('2025'!$P399), 0, 1), 3, if(ISBLANK('2025'!$Q399), 0, 1), 4, if(ISBLANK('2025'!$R399), 0, 1), 5, if(ISBLANK('2025'!$S399), 0, 1), 6, if(ISBLANK('2025'!$T399), 0, 1), 7, 0))), 1, "")</f>
        <v/>
      </c>
      <c r="P436" s="1" t="str">
        <f>IF(AND(AND(AND(P$4&gt;='2025'!$L399,P$4&lt;='2025'!$M399), P$4&lt;&gt;DATE(2025,7,4)), (SWITCH(weekday(P$4), 1, 0, 2, if(ISBLANK('2025'!$P399), 0, 1), 3, if(ISBLANK('2025'!$Q399), 0, 1), 4, if(ISBLANK('2025'!$R399), 0, 1), 5, if(ISBLANK('2025'!$S399), 0, 1), 6, if(ISBLANK('2025'!$T399), 0, 1), 7, 0))), 1, "")</f>
        <v/>
      </c>
      <c r="Q436" s="1" t="str">
        <f>IF(AND(AND(AND(Q$4&gt;='2025'!$L399,Q$4&lt;='2025'!$M399), Q$4&lt;&gt;DATE(2025,7,4)), (SWITCH(weekday(Q$4), 1, 0, 2, if(ISBLANK('2025'!$P399), 0, 1), 3, if(ISBLANK('2025'!$Q399), 0, 1), 4, if(ISBLANK('2025'!$R399), 0, 1), 5, if(ISBLANK('2025'!$S399), 0, 1), 6, if(ISBLANK('2025'!$T399), 0, 1), 7, 0))), 1, "")</f>
        <v/>
      </c>
      <c r="R436" s="1" t="str">
        <f>IF(AND(AND(AND(R$4&gt;='2025'!$L399,R$4&lt;='2025'!$M399), R$4&lt;&gt;DATE(2025,7,4)), (SWITCH(weekday(R$4), 1, 0, 2, if(ISBLANK('2025'!$P399), 0, 1), 3, if(ISBLANK('2025'!$Q399), 0, 1), 4, if(ISBLANK('2025'!$R399), 0, 1), 5, if(ISBLANK('2025'!$S399), 0, 1), 6, if(ISBLANK('2025'!$T399), 0, 1), 7, 0))), 1, "")</f>
        <v/>
      </c>
      <c r="S436" s="1" t="str">
        <f>IF(AND(AND(AND(S$4&gt;='2025'!$L399,S$4&lt;='2025'!$M399), S$4&lt;&gt;DATE(2025,7,4)), (SWITCH(weekday(S$4), 1, 0, 2, if(ISBLANK('2025'!$P399), 0, 1), 3, if(ISBLANK('2025'!$Q399), 0, 1), 4, if(ISBLANK('2025'!$R399), 0, 1), 5, if(ISBLANK('2025'!$S399), 0, 1), 6, if(ISBLANK('2025'!$T399), 0, 1), 7, 0))), 1, "")</f>
        <v/>
      </c>
      <c r="T436" s="1" t="str">
        <f>IF(AND(AND(AND(T$4&gt;='2025'!$L399,T$4&lt;='2025'!$M399), T$4&lt;&gt;DATE(2025,7,4)), (SWITCH(weekday(T$4), 1, 0, 2, if(ISBLANK('2025'!$P399), 0, 1), 3, if(ISBLANK('2025'!$Q399), 0, 1), 4, if(ISBLANK('2025'!$R399), 0, 1), 5, if(ISBLANK('2025'!$S399), 0, 1), 6, if(ISBLANK('2025'!$T399), 0, 1), 7, 0))), 1, "")</f>
        <v/>
      </c>
      <c r="U436" s="1" t="str">
        <f>IF(AND(AND(AND(U$4&gt;='2025'!$L399,U$4&lt;='2025'!$M399), U$4&lt;&gt;DATE(2025,7,4)), (SWITCH(weekday(U$4), 1, 0, 2, if(ISBLANK('2025'!$P399), 0, 1), 3, if(ISBLANK('2025'!$Q399), 0, 1), 4, if(ISBLANK('2025'!$R399), 0, 1), 5, if(ISBLANK('2025'!$S399), 0, 1), 6, if(ISBLANK('2025'!$T399), 0, 1), 7, 0))), 1, "")</f>
        <v/>
      </c>
      <c r="V436" s="1" t="str">
        <f>IF(AND(AND(AND(V$4&gt;='2025'!$L399,V$4&lt;='2025'!$M399), V$4&lt;&gt;DATE(2025,7,4)), (SWITCH(weekday(V$4), 1, 0, 2, if(ISBLANK('2025'!$P399), 0, 1), 3, if(ISBLANK('2025'!$Q399), 0, 1), 4, if(ISBLANK('2025'!$R399), 0, 1), 5, if(ISBLANK('2025'!$S399), 0, 1), 6, if(ISBLANK('2025'!$T399), 0, 1), 7, 0))), 1, "")</f>
        <v/>
      </c>
      <c r="W436" s="1" t="str">
        <f>IF(AND(AND(AND(W$4&gt;='2025'!$L399,W$4&lt;='2025'!$M399), W$4&lt;&gt;DATE(2025,7,4)), (SWITCH(weekday(W$4), 1, 0, 2, if(ISBLANK('2025'!$P399), 0, 1), 3, if(ISBLANK('2025'!$Q399), 0, 1), 4, if(ISBLANK('2025'!$R399), 0, 1), 5, if(ISBLANK('2025'!$S399), 0, 1), 6, if(ISBLANK('2025'!$T399), 0, 1), 7, 0))), 1, "")</f>
        <v/>
      </c>
      <c r="X436" s="1" t="str">
        <f>IF(AND(AND(AND(X$4&gt;='2025'!$L399,X$4&lt;='2025'!$M399), X$4&lt;&gt;DATE(2025,7,4)), (SWITCH(weekday(X$4), 1, 0, 2, if(ISBLANK('2025'!$P399), 0, 1), 3, if(ISBLANK('2025'!$Q399), 0, 1), 4, if(ISBLANK('2025'!$R399), 0, 1), 5, if(ISBLANK('2025'!$S399), 0, 1), 6, if(ISBLANK('2025'!$T399), 0, 1), 7, 0))), 1, "")</f>
        <v/>
      </c>
      <c r="Y436" s="1" t="str">
        <f>IF(AND(AND(AND(Y$4&gt;='2025'!$L399,Y$4&lt;='2025'!$M399), Y$4&lt;&gt;DATE(2025,7,4)), (SWITCH(weekday(Y$4), 1, 0, 2, if(ISBLANK('2025'!$P399), 0, 1), 3, if(ISBLANK('2025'!$Q399), 0, 1), 4, if(ISBLANK('2025'!$R399), 0, 1), 5, if(ISBLANK('2025'!$S399), 0, 1), 6, if(ISBLANK('2025'!$T399), 0, 1), 7, 0))), 1, "")</f>
        <v/>
      </c>
      <c r="Z436" s="1" t="str">
        <f>IF(AND(AND(AND(Z$4&gt;='2025'!$L399,Z$4&lt;='2025'!$M399), Z$4&lt;&gt;DATE(2025,7,4)), (SWITCH(weekday(Z$4), 1, 0, 2, if(ISBLANK('2025'!$P399), 0, 1), 3, if(ISBLANK('2025'!$Q399), 0, 1), 4, if(ISBLANK('2025'!$R399), 0, 1), 5, if(ISBLANK('2025'!$S399), 0, 1), 6, if(ISBLANK('2025'!$T399), 0, 1), 7, 0))), 1, "")</f>
        <v/>
      </c>
      <c r="AA436" s="1" t="str">
        <f>IF(AND(AND(AND(AA$4&gt;='2025'!$L399,AA$4&lt;='2025'!$M399), AA$4&lt;&gt;DATE(2025,7,4)), (SWITCH(weekday(AA$4), 1, 0, 2, if(ISBLANK('2025'!$P399), 0, 1), 3, if(ISBLANK('2025'!$Q399), 0, 1), 4, if(ISBLANK('2025'!$R399), 0, 1), 5, if(ISBLANK('2025'!$S399), 0, 1), 6, if(ISBLANK('2025'!$T399), 0, 1), 7, 0))), 1, "")</f>
        <v/>
      </c>
      <c r="AB436" s="1" t="str">
        <f>IF(AND(AND(AND(AB$4&gt;='2025'!$L399,AB$4&lt;='2025'!$M399), AB$4&lt;&gt;DATE(2025,7,4)), (SWITCH(weekday(AB$4), 1, 0, 2, if(ISBLANK('2025'!$P399), 0, 1), 3, if(ISBLANK('2025'!$Q399), 0, 1), 4, if(ISBLANK('2025'!$R399), 0, 1), 5, if(ISBLANK('2025'!$S399), 0, 1), 6, if(ISBLANK('2025'!$T399), 0, 1), 7, 0))), 1, "")</f>
        <v/>
      </c>
      <c r="AC436" s="1" t="str">
        <f>IF(AND(AND(AND(AC$4&gt;='2025'!$L399,AC$4&lt;='2025'!$M399), AC$4&lt;&gt;DATE(2025,7,4)), (SWITCH(weekday(AC$4), 1, 0, 2, if(ISBLANK('2025'!$P399), 0, 1), 3, if(ISBLANK('2025'!$Q399), 0, 1), 4, if(ISBLANK('2025'!$R399), 0, 1), 5, if(ISBLANK('2025'!$S399), 0, 1), 6, if(ISBLANK('2025'!$T399), 0, 1), 7, 0))), 1, "")</f>
        <v/>
      </c>
      <c r="AD436" s="1" t="str">
        <f>IF(AND(AND(AND(AD$4&gt;='2025'!$L399,AD$4&lt;='2025'!$M399), AD$4&lt;&gt;DATE(2025,7,4)), (SWITCH(weekday(AD$4), 1, 0, 2, if(ISBLANK('2025'!$P399), 0, 1), 3, if(ISBLANK('2025'!$Q399), 0, 1), 4, if(ISBLANK('2025'!$R399), 0, 1), 5, if(ISBLANK('2025'!$S399), 0, 1), 6, if(ISBLANK('2025'!$T399), 0, 1), 7, 0))), 1, "")</f>
        <v/>
      </c>
      <c r="AE436" s="1" t="str">
        <f>IF(AND(AND(AND(AE$4&gt;='2025'!$L399,AE$4&lt;='2025'!$M399), AE$4&lt;&gt;DATE(2025,7,4)), (SWITCH(weekday(AE$4), 1, 0, 2, if(ISBLANK('2025'!$P399), 0, 1), 3, if(ISBLANK('2025'!$Q399), 0, 1), 4, if(ISBLANK('2025'!$R399), 0, 1), 5, if(ISBLANK('2025'!$S399), 0, 1), 6, if(ISBLANK('2025'!$T399), 0, 1), 7, 0))), 1, "")</f>
        <v/>
      </c>
      <c r="AF436" s="1" t="str">
        <f>IF(AND(AND(AND(AF$4&gt;='2025'!$L399,AF$4&lt;='2025'!$M399), AF$4&lt;&gt;DATE(2025,7,4)), (SWITCH(weekday(AF$4), 1, 0, 2, if(ISBLANK('2025'!$P399), 0, 1), 3, if(ISBLANK('2025'!$Q399), 0, 1), 4, if(ISBLANK('2025'!$R399), 0, 1), 5, if(ISBLANK('2025'!$S399), 0, 1), 6, if(ISBLANK('2025'!$T399), 0, 1), 7, 0))), 1, "")</f>
        <v/>
      </c>
      <c r="AG436" s="1" t="str">
        <f>IF(AND(AND(AND(AG$4&gt;='2025'!$L399,AG$4&lt;='2025'!$M399), AG$4&lt;&gt;DATE(2025,7,4)), (SWITCH(weekday(AG$4), 1, 0, 2, if(ISBLANK('2025'!$P399), 0, 1), 3, if(ISBLANK('2025'!$Q399), 0, 1), 4, if(ISBLANK('2025'!$R399), 0, 1), 5, if(ISBLANK('2025'!$S399), 0, 1), 6, if(ISBLANK('2025'!$T399), 0, 1), 7, 0))), 1, "")</f>
        <v/>
      </c>
      <c r="AH436" s="1" t="str">
        <f>IF(AND(AND(AND(AH$4&gt;='2025'!$L399,AH$4&lt;='2025'!$M399), AH$4&lt;&gt;DATE(2025,7,4)), (SWITCH(weekday(AH$4), 1, 0, 2, if(ISBLANK('2025'!$P399), 0, 1), 3, if(ISBLANK('2025'!$Q399), 0, 1), 4, if(ISBLANK('2025'!$R399), 0, 1), 5, if(ISBLANK('2025'!$S399), 0, 1), 6, if(ISBLANK('2025'!$T399), 0, 1), 7, 0))), 1, "")</f>
        <v/>
      </c>
      <c r="AI436" s="1" t="str">
        <f>IF(AND(AND(AND(AI$4&gt;='2025'!$L399,AI$4&lt;='2025'!$M399), AI$4&lt;&gt;DATE(2025,7,4)), (SWITCH(weekday(AI$4), 1, 0, 2, if(ISBLANK('2025'!$P399), 0, 1), 3, if(ISBLANK('2025'!$Q399), 0, 1), 4, if(ISBLANK('2025'!$R399), 0, 1), 5, if(ISBLANK('2025'!$S399), 0, 1), 6, if(ISBLANK('2025'!$T399), 0, 1), 7, 0))), 1, "")</f>
        <v/>
      </c>
      <c r="AJ436" s="1" t="str">
        <f>IF(AND(AND(AND(AJ$4&gt;='2025'!$L399,AJ$4&lt;='2025'!$M399), AJ$4&lt;&gt;DATE(2025,7,4)), (SWITCH(weekday(AJ$4), 1, 0, 2, if(ISBLANK('2025'!$P399), 0, 1), 3, if(ISBLANK('2025'!$Q399), 0, 1), 4, if(ISBLANK('2025'!$R399), 0, 1), 5, if(ISBLANK('2025'!$S399), 0, 1), 6, if(ISBLANK('2025'!$T399), 0, 1), 7, 0))), 1, "")</f>
        <v/>
      </c>
      <c r="AK436" s="1" t="str">
        <f>IF(AND(AND(AND(AK$4&gt;='2025'!$L399,AK$4&lt;='2025'!$M399), AK$4&lt;&gt;DATE(2025,7,4)), (SWITCH(weekday(AK$4), 1, 0, 2, if(ISBLANK('2025'!$P399), 0, 1), 3, if(ISBLANK('2025'!$Q399), 0, 1), 4, if(ISBLANK('2025'!$R399), 0, 1), 5, if(ISBLANK('2025'!$S399), 0, 1), 6, if(ISBLANK('2025'!$T399), 0, 1), 7, 0))), 1, "")</f>
        <v/>
      </c>
      <c r="AL436" s="1" t="str">
        <f>IF(AND(AND(AND(AL$4&gt;='2025'!$L399,AL$4&lt;='2025'!$M399), AL$4&lt;&gt;DATE(2025,7,4)), (SWITCH(weekday(AL$4), 1, 0, 2, if(ISBLANK('2025'!$P399), 0, 1), 3, if(ISBLANK('2025'!$Q399), 0, 1), 4, if(ISBLANK('2025'!$R399), 0, 1), 5, if(ISBLANK('2025'!$S399), 0, 1), 6, if(ISBLANK('2025'!$T399), 0, 1), 7, 0))), 1, "")</f>
        <v/>
      </c>
      <c r="AM436" s="1" t="str">
        <f>IF(AND(AND(AND(AM$4&gt;='2025'!$L399,AM$4&lt;='2025'!$M399), AM$4&lt;&gt;DATE(2025,7,4)), (SWITCH(weekday(AM$4), 1, 0, 2, if(ISBLANK('2025'!$P399), 0, 1), 3, if(ISBLANK('2025'!$Q399), 0, 1), 4, if(ISBLANK('2025'!$R399), 0, 1), 5, if(ISBLANK('2025'!$S399), 0, 1), 6, if(ISBLANK('2025'!$T399), 0, 1), 7, 0))), 1, "")</f>
        <v/>
      </c>
      <c r="AN436" s="1" t="str">
        <f>IF(AND(AND(AND(AN$4&gt;='2025'!$L399,AN$4&lt;='2025'!$M399), AN$4&lt;&gt;DATE(2025,7,4)), (SWITCH(weekday(AN$4), 1, 0, 2, if(ISBLANK('2025'!$P399), 0, 1), 3, if(ISBLANK('2025'!$Q399), 0, 1), 4, if(ISBLANK('2025'!$R399), 0, 1), 5, if(ISBLANK('2025'!$S399), 0, 1), 6, if(ISBLANK('2025'!$T399), 0, 1), 7, 0))), 1, "")</f>
        <v/>
      </c>
      <c r="AO436" s="1" t="str">
        <f>IF(AND(AND(AND(AO$4&gt;='2025'!$L399,AO$4&lt;='2025'!$M399), AO$4&lt;&gt;DATE(2025,7,4)), (SWITCH(weekday(AO$4), 1, 0, 2, if(ISBLANK('2025'!$P399), 0, 1), 3, if(ISBLANK('2025'!$Q399), 0, 1), 4, if(ISBLANK('2025'!$R399), 0, 1), 5, if(ISBLANK('2025'!$S399), 0, 1), 6, if(ISBLANK('2025'!$T399), 0, 1), 7, 0))), 1, "")</f>
        <v/>
      </c>
      <c r="AP436" s="1" t="str">
        <f>IF(AND(AND(AND(AP$4&gt;='2025'!$L399,AP$4&lt;='2025'!$M399), AP$4&lt;&gt;DATE(2025,7,4)), (SWITCH(weekday(AP$4), 1, 0, 2, if(ISBLANK('2025'!$P399), 0, 1), 3, if(ISBLANK('2025'!$Q399), 0, 1), 4, if(ISBLANK('2025'!$R399), 0, 1), 5, if(ISBLANK('2025'!$S399), 0, 1), 6, if(ISBLANK('2025'!$T399), 0, 1), 7, 0))), 1, "")</f>
        <v/>
      </c>
      <c r="AQ436" s="1" t="str">
        <f>IF(AND(AND(AND(AQ$4&gt;='2025'!$L399,AQ$4&lt;='2025'!$M399), AQ$4&lt;&gt;DATE(2025,7,4)), (SWITCH(weekday(AQ$4), 1, 0, 2, if(ISBLANK('2025'!$P399), 0, 1), 3, if(ISBLANK('2025'!$Q399), 0, 1), 4, if(ISBLANK('2025'!$R399), 0, 1), 5, if(ISBLANK('2025'!$S399), 0, 1), 6, if(ISBLANK('2025'!$T399), 0, 1), 7, 0))), 1, "")</f>
        <v/>
      </c>
      <c r="AR436" s="1" t="str">
        <f>IF(AND(AND(AND(AR$4&gt;='2025'!$L399,AR$4&lt;='2025'!$M399), AR$4&lt;&gt;DATE(2025,7,4)), (SWITCH(weekday(AR$4), 1, 0, 2, if(ISBLANK('2025'!$P399), 0, 1), 3, if(ISBLANK('2025'!$Q399), 0, 1), 4, if(ISBLANK('2025'!$R399), 0, 1), 5, if(ISBLANK('2025'!$S399), 0, 1), 6, if(ISBLANK('2025'!$T399), 0, 1), 7, 0))), 1, "")</f>
        <v/>
      </c>
      <c r="AS436" s="1" t="str">
        <f>IF(AND(AND(AND(AS$4&gt;='2025'!$L399,AS$4&lt;='2025'!$M399), AS$4&lt;&gt;DATE(2025,7,4)), (SWITCH(weekday(AS$4), 1, 0, 2, if(ISBLANK('2025'!$P399), 0, 1), 3, if(ISBLANK('2025'!$Q399), 0, 1), 4, if(ISBLANK('2025'!$R399), 0, 1), 5, if(ISBLANK('2025'!$S399), 0, 1), 6, if(ISBLANK('2025'!$T399), 0, 1), 7, 0))), 1, "")</f>
        <v/>
      </c>
      <c r="AT436" s="1" t="str">
        <f>IF(AND(AND(AND(AT$4&gt;='2025'!$L399,AT$4&lt;='2025'!$M399), AT$4&lt;&gt;DATE(2025,7,4)), (SWITCH(weekday(AT$4), 1, 0, 2, if(ISBLANK('2025'!$P399), 0, 1), 3, if(ISBLANK('2025'!$Q399), 0, 1), 4, if(ISBLANK('2025'!$R399), 0, 1), 5, if(ISBLANK('2025'!$S399), 0, 1), 6, if(ISBLANK('2025'!$T399), 0, 1), 7, 0))), 1, "")</f>
        <v/>
      </c>
      <c r="AU436" s="1" t="str">
        <f>IF(AND(AND(AND(AU$4&gt;='2025'!$L399,AU$4&lt;='2025'!$M399), AU$4&lt;&gt;DATE(2025,7,4)), (SWITCH(weekday(AU$4), 1, 0, 2, if(ISBLANK('2025'!$P399), 0, 1), 3, if(ISBLANK('2025'!$Q399), 0, 1), 4, if(ISBLANK('2025'!$R399), 0, 1), 5, if(ISBLANK('2025'!$S399), 0, 1), 6, if(ISBLANK('2025'!$T399), 0, 1), 7, 0))), 1, "")</f>
        <v/>
      </c>
      <c r="AV436" s="1" t="str">
        <f>IF(AND(AND(AND(AV$4&gt;='2025'!$L399,AV$4&lt;='2025'!$M399), AV$4&lt;&gt;DATE(2025,7,4)), (SWITCH(weekday(AV$4), 1, 0, 2, if(ISBLANK('2025'!$P399), 0, 1), 3, if(ISBLANK('2025'!$Q399), 0, 1), 4, if(ISBLANK('2025'!$R399), 0, 1), 5, if(ISBLANK('2025'!$S399), 0, 1), 6, if(ISBLANK('2025'!$T399), 0, 1), 7, 0))), 1, "")</f>
        <v/>
      </c>
      <c r="AW436" s="1" t="str">
        <f>IF(AND(AND(AND(AW$4&gt;='2025'!$L399,AW$4&lt;='2025'!$M399), AW$4&lt;&gt;DATE(2025,7,4)), (SWITCH(weekday(AW$4), 1, 0, 2, if(ISBLANK('2025'!$P399), 0, 1), 3, if(ISBLANK('2025'!$Q399), 0, 1), 4, if(ISBLANK('2025'!$R399), 0, 1), 5, if(ISBLANK('2025'!$S399), 0, 1), 6, if(ISBLANK('2025'!$T399), 0, 1), 7, 0))), 1, "")</f>
        <v/>
      </c>
      <c r="AX436" s="1" t="str">
        <f>IF(AND(AND(AND(AX$4&gt;='2025'!$L399,AX$4&lt;='2025'!$M399), AX$4&lt;&gt;DATE(2025,7,4)), (SWITCH(weekday(AX$4), 1, 0, 2, if(ISBLANK('2025'!$P399), 0, 1), 3, if(ISBLANK('2025'!$Q399), 0, 1), 4, if(ISBLANK('2025'!$R399), 0, 1), 5, if(ISBLANK('2025'!$S399), 0, 1), 6, if(ISBLANK('2025'!$T399), 0, 1), 7, 0))), 1, "")</f>
        <v/>
      </c>
      <c r="AY436" s="1" t="str">
        <f>IF(AND(AND(AND(AY$4&gt;='2025'!$L399,AY$4&lt;='2025'!$M399), AY$4&lt;&gt;DATE(2025,7,4)), (SWITCH(weekday(AY$4), 1, 0, 2, if(ISBLANK('2025'!$P399), 0, 1), 3, if(ISBLANK('2025'!$Q399), 0, 1), 4, if(ISBLANK('2025'!$R399), 0, 1), 5, if(ISBLANK('2025'!$S399), 0, 1), 6, if(ISBLANK('2025'!$T399), 0, 1), 7, 0))), 1, "")</f>
        <v/>
      </c>
      <c r="AZ436" s="1" t="str">
        <f>IF(AND(AND(AND(AZ$4&gt;='2025'!$L399,AZ$4&lt;='2025'!$M399), AZ$4&lt;&gt;DATE(2025,7,4)), (SWITCH(weekday(AZ$4), 1, 0, 2, if(ISBLANK('2025'!$P399), 0, 1), 3, if(ISBLANK('2025'!$Q399), 0, 1), 4, if(ISBLANK('2025'!$R399), 0, 1), 5, if(ISBLANK('2025'!$S399), 0, 1), 6, if(ISBLANK('2025'!$T399), 0, 1), 7, 0))), 1, "")</f>
        <v/>
      </c>
      <c r="BA436" s="1" t="str">
        <f>IF(AND(AND(AND(BA$4&gt;='2025'!$L399,BA$4&lt;='2025'!$M399), BA$4&lt;&gt;DATE(2025,7,4)), (SWITCH(weekday(BA$4), 1, 0, 2, if(ISBLANK('2025'!$P399), 0, 1), 3, if(ISBLANK('2025'!$Q399), 0, 1), 4, if(ISBLANK('2025'!$R399), 0, 1), 5, if(ISBLANK('2025'!$S399), 0, 1), 6, if(ISBLANK('2025'!$T399), 0, 1), 7, 0))), 1, "")</f>
        <v/>
      </c>
      <c r="BB436" s="1" t="str">
        <f>IF(AND(AND(AND(BB$4&gt;='2025'!$L399,BB$4&lt;='2025'!$M399), BB$4&lt;&gt;DATE(2025,7,4)), (SWITCH(weekday(BB$4), 1, 0, 2, if(ISBLANK('2025'!$P399), 0, 1), 3, if(ISBLANK('2025'!$Q399), 0, 1), 4, if(ISBLANK('2025'!$R399), 0, 1), 5, if(ISBLANK('2025'!$S399), 0, 1), 6, if(ISBLANK('2025'!$T399), 0, 1), 7, 0))), 1, "")</f>
        <v/>
      </c>
      <c r="BC436" s="1" t="str">
        <f>IF(AND(AND(AND(BC$4&gt;='2025'!$L399,BC$4&lt;='2025'!$M399), BC$4&lt;&gt;DATE(2025,7,4)), (SWITCH(weekday(BC$4), 1, 0, 2, if(ISBLANK('2025'!$P399), 0, 1), 3, if(ISBLANK('2025'!$Q399), 0, 1), 4, if(ISBLANK('2025'!$R399), 0, 1), 5, if(ISBLANK('2025'!$S399), 0, 1), 6, if(ISBLANK('2025'!$T399), 0, 1), 7, 0))), 1, "")</f>
        <v/>
      </c>
      <c r="BD436" s="1" t="str">
        <f>IF(AND(AND(AND(BD$4&gt;='2025'!$L399,BD$4&lt;='2025'!$M399), BD$4&lt;&gt;DATE(2025,7,4)), (SWITCH(weekday(BD$4), 1, 0, 2, if(ISBLANK('2025'!$P399), 0, 1), 3, if(ISBLANK('2025'!$Q399), 0, 1), 4, if(ISBLANK('2025'!$R399), 0, 1), 5, if(ISBLANK('2025'!$S399), 0, 1), 6, if(ISBLANK('2025'!$T399), 0, 1), 7, 0))), 1, "")</f>
        <v/>
      </c>
      <c r="BE436" s="1" t="str">
        <f>IF(AND(AND(AND(BE$4&gt;='2025'!$L399,BE$4&lt;='2025'!$M399), BE$4&lt;&gt;DATE(2025,7,4)), (SWITCH(weekday(BE$4), 1, 0, 2, if(ISBLANK('2025'!$P399), 0, 1), 3, if(ISBLANK('2025'!$Q399), 0, 1), 4, if(ISBLANK('2025'!$R399), 0, 1), 5, if(ISBLANK('2025'!$S399), 0, 1), 6, if(ISBLANK('2025'!$T399), 0, 1), 7, 0))), 1, "")</f>
        <v/>
      </c>
    </row>
    <row r="437">
      <c r="A437" s="1">
        <f t="shared" si="3"/>
        <v>437</v>
      </c>
      <c r="B437" s="1" t="str">
        <f>'2025'!D400</f>
        <v/>
      </c>
      <c r="C437" s="1" t="str">
        <f>'2025'!H400</f>
        <v/>
      </c>
      <c r="D437" s="1" t="str">
        <f>IF(AND(AND(AND(D$4&gt;='2025'!$L400,D$4&lt;='2025'!$M400), D$4&lt;&gt;DATE(2025,7,4)), (SWITCH(weekday(D$4), 1, 0, 2, if(ISBLANK('2025'!$P400), 0, 1), 3, if(ISBLANK('2025'!$Q400), 0, 1), 4, if(ISBLANK('2025'!$R400), 0, 1), 5, if(ISBLANK('2025'!$S400), 0, 1), 6, if(ISBLANK('2025'!$T400), 0, 1), 7, 0))), 1, "")</f>
        <v/>
      </c>
      <c r="E437" s="1" t="str">
        <f>IF(AND(AND(AND(E$4&gt;='2025'!$L400,E$4&lt;='2025'!$M400), E$4&lt;&gt;DATE(2025,7,4)), (SWITCH(weekday(E$4), 1, 0, 2, if(ISBLANK('2025'!$P400), 0, 1), 3, if(ISBLANK('2025'!$Q400), 0, 1), 4, if(ISBLANK('2025'!$R400), 0, 1), 5, if(ISBLANK('2025'!$S400), 0, 1), 6, if(ISBLANK('2025'!$T400), 0, 1), 7, 0))), 1, "")</f>
        <v/>
      </c>
      <c r="F437" s="1" t="str">
        <f>IF(AND(AND(AND(F$4&gt;='2025'!$L400,F$4&lt;='2025'!$M400), F$4&lt;&gt;DATE(2025,7,4)), (SWITCH(weekday(F$4), 1, 0, 2, if(ISBLANK('2025'!$P400), 0, 1), 3, if(ISBLANK('2025'!$Q400), 0, 1), 4, if(ISBLANK('2025'!$R400), 0, 1), 5, if(ISBLANK('2025'!$S400), 0, 1), 6, if(ISBLANK('2025'!$T400), 0, 1), 7, 0))), 1, "")</f>
        <v/>
      </c>
      <c r="G437" s="1" t="str">
        <f>IF(AND(AND(AND(G$4&gt;='2025'!$L400,G$4&lt;='2025'!$M400), G$4&lt;&gt;DATE(2025,7,4)), (SWITCH(weekday(G$4), 1, 0, 2, if(ISBLANK('2025'!$P400), 0, 1), 3, if(ISBLANK('2025'!$Q400), 0, 1), 4, if(ISBLANK('2025'!$R400), 0, 1), 5, if(ISBLANK('2025'!$S400), 0, 1), 6, if(ISBLANK('2025'!$T400), 0, 1), 7, 0))), 1, "")</f>
        <v/>
      </c>
      <c r="H437" s="1" t="str">
        <f>IF(AND(AND(AND(H$4&gt;='2025'!$L400,H$4&lt;='2025'!$M400), H$4&lt;&gt;DATE(2025,7,4)), (SWITCH(weekday(H$4), 1, 0, 2, if(ISBLANK('2025'!$P400), 0, 1), 3, if(ISBLANK('2025'!$Q400), 0, 1), 4, if(ISBLANK('2025'!$R400), 0, 1), 5, if(ISBLANK('2025'!$S400), 0, 1), 6, if(ISBLANK('2025'!$T400), 0, 1), 7, 0))), 1, "")</f>
        <v/>
      </c>
      <c r="I437" s="1" t="str">
        <f>IF(AND(AND(AND(I$4&gt;='2025'!$L400,I$4&lt;='2025'!$M400), I$4&lt;&gt;DATE(2025,7,4)), (SWITCH(weekday(I$4), 1, 0, 2, if(ISBLANK('2025'!$P400), 0, 1), 3, if(ISBLANK('2025'!$Q400), 0, 1), 4, if(ISBLANK('2025'!$R400), 0, 1), 5, if(ISBLANK('2025'!$S400), 0, 1), 6, if(ISBLANK('2025'!$T400), 0, 1), 7, 0))), 1, "")</f>
        <v/>
      </c>
      <c r="J437" s="1" t="str">
        <f>IF(AND(AND(AND(J$4&gt;='2025'!$L400,J$4&lt;='2025'!$M400), J$4&lt;&gt;DATE(2025,7,4)), (SWITCH(weekday(J$4), 1, 0, 2, if(ISBLANK('2025'!$P400), 0, 1), 3, if(ISBLANK('2025'!$Q400), 0, 1), 4, if(ISBLANK('2025'!$R400), 0, 1), 5, if(ISBLANK('2025'!$S400), 0, 1), 6, if(ISBLANK('2025'!$T400), 0, 1), 7, 0))), 1, "")</f>
        <v/>
      </c>
      <c r="K437" s="1" t="str">
        <f>IF(AND(AND(AND(K$4&gt;='2025'!$L400,K$4&lt;='2025'!$M400), K$4&lt;&gt;DATE(2025,7,4)), (SWITCH(weekday(K$4), 1, 0, 2, if(ISBLANK('2025'!$P400), 0, 1), 3, if(ISBLANK('2025'!$Q400), 0, 1), 4, if(ISBLANK('2025'!$R400), 0, 1), 5, if(ISBLANK('2025'!$S400), 0, 1), 6, if(ISBLANK('2025'!$T400), 0, 1), 7, 0))), 1, "")</f>
        <v/>
      </c>
      <c r="L437" s="1" t="str">
        <f>IF(AND(AND(AND(L$4&gt;='2025'!$L400,L$4&lt;='2025'!$M400), L$4&lt;&gt;DATE(2025,7,4)), (SWITCH(weekday(L$4), 1, 0, 2, if(ISBLANK('2025'!$P400), 0, 1), 3, if(ISBLANK('2025'!$Q400), 0, 1), 4, if(ISBLANK('2025'!$R400), 0, 1), 5, if(ISBLANK('2025'!$S400), 0, 1), 6, if(ISBLANK('2025'!$T400), 0, 1), 7, 0))), 1, "")</f>
        <v/>
      </c>
      <c r="M437" s="1" t="str">
        <f>IF(AND(AND(AND(M$4&gt;='2025'!$L400,M$4&lt;='2025'!$M400), M$4&lt;&gt;DATE(2025,7,4)), (SWITCH(weekday(M$4), 1, 0, 2, if(ISBLANK('2025'!$P400), 0, 1), 3, if(ISBLANK('2025'!$Q400), 0, 1), 4, if(ISBLANK('2025'!$R400), 0, 1), 5, if(ISBLANK('2025'!$S400), 0, 1), 6, if(ISBLANK('2025'!$T400), 0, 1), 7, 0))), 1, "")</f>
        <v/>
      </c>
      <c r="N437" s="1" t="str">
        <f>IF(AND(AND(AND(N$4&gt;='2025'!$L400,N$4&lt;='2025'!$M400), N$4&lt;&gt;DATE(2025,7,4)), (SWITCH(weekday(N$4), 1, 0, 2, if(ISBLANK('2025'!$P400), 0, 1), 3, if(ISBLANK('2025'!$Q400), 0, 1), 4, if(ISBLANK('2025'!$R400), 0, 1), 5, if(ISBLANK('2025'!$S400), 0, 1), 6, if(ISBLANK('2025'!$T400), 0, 1), 7, 0))), 1, "")</f>
        <v/>
      </c>
      <c r="O437" s="1" t="str">
        <f>IF(AND(AND(AND(O$4&gt;='2025'!$L400,O$4&lt;='2025'!$M400), O$4&lt;&gt;DATE(2025,7,4)), (SWITCH(weekday(O$4), 1, 0, 2, if(ISBLANK('2025'!$P400), 0, 1), 3, if(ISBLANK('2025'!$Q400), 0, 1), 4, if(ISBLANK('2025'!$R400), 0, 1), 5, if(ISBLANK('2025'!$S400), 0, 1), 6, if(ISBLANK('2025'!$T400), 0, 1), 7, 0))), 1, "")</f>
        <v/>
      </c>
      <c r="P437" s="1" t="str">
        <f>IF(AND(AND(AND(P$4&gt;='2025'!$L400,P$4&lt;='2025'!$M400), P$4&lt;&gt;DATE(2025,7,4)), (SWITCH(weekday(P$4), 1, 0, 2, if(ISBLANK('2025'!$P400), 0, 1), 3, if(ISBLANK('2025'!$Q400), 0, 1), 4, if(ISBLANK('2025'!$R400), 0, 1), 5, if(ISBLANK('2025'!$S400), 0, 1), 6, if(ISBLANK('2025'!$T400), 0, 1), 7, 0))), 1, "")</f>
        <v/>
      </c>
      <c r="Q437" s="1" t="str">
        <f>IF(AND(AND(AND(Q$4&gt;='2025'!$L400,Q$4&lt;='2025'!$M400), Q$4&lt;&gt;DATE(2025,7,4)), (SWITCH(weekday(Q$4), 1, 0, 2, if(ISBLANK('2025'!$P400), 0, 1), 3, if(ISBLANK('2025'!$Q400), 0, 1), 4, if(ISBLANK('2025'!$R400), 0, 1), 5, if(ISBLANK('2025'!$S400), 0, 1), 6, if(ISBLANK('2025'!$T400), 0, 1), 7, 0))), 1, "")</f>
        <v/>
      </c>
      <c r="R437" s="1" t="str">
        <f>IF(AND(AND(AND(R$4&gt;='2025'!$L400,R$4&lt;='2025'!$M400), R$4&lt;&gt;DATE(2025,7,4)), (SWITCH(weekday(R$4), 1, 0, 2, if(ISBLANK('2025'!$P400), 0, 1), 3, if(ISBLANK('2025'!$Q400), 0, 1), 4, if(ISBLANK('2025'!$R400), 0, 1), 5, if(ISBLANK('2025'!$S400), 0, 1), 6, if(ISBLANK('2025'!$T400), 0, 1), 7, 0))), 1, "")</f>
        <v/>
      </c>
      <c r="S437" s="1" t="str">
        <f>IF(AND(AND(AND(S$4&gt;='2025'!$L400,S$4&lt;='2025'!$M400), S$4&lt;&gt;DATE(2025,7,4)), (SWITCH(weekday(S$4), 1, 0, 2, if(ISBLANK('2025'!$P400), 0, 1), 3, if(ISBLANK('2025'!$Q400), 0, 1), 4, if(ISBLANK('2025'!$R400), 0, 1), 5, if(ISBLANK('2025'!$S400), 0, 1), 6, if(ISBLANK('2025'!$T400), 0, 1), 7, 0))), 1, "")</f>
        <v/>
      </c>
      <c r="T437" s="1" t="str">
        <f>IF(AND(AND(AND(T$4&gt;='2025'!$L400,T$4&lt;='2025'!$M400), T$4&lt;&gt;DATE(2025,7,4)), (SWITCH(weekday(T$4), 1, 0, 2, if(ISBLANK('2025'!$P400), 0, 1), 3, if(ISBLANK('2025'!$Q400), 0, 1), 4, if(ISBLANK('2025'!$R400), 0, 1), 5, if(ISBLANK('2025'!$S400), 0, 1), 6, if(ISBLANK('2025'!$T400), 0, 1), 7, 0))), 1, "")</f>
        <v/>
      </c>
      <c r="U437" s="1" t="str">
        <f>IF(AND(AND(AND(U$4&gt;='2025'!$L400,U$4&lt;='2025'!$M400), U$4&lt;&gt;DATE(2025,7,4)), (SWITCH(weekday(U$4), 1, 0, 2, if(ISBLANK('2025'!$P400), 0, 1), 3, if(ISBLANK('2025'!$Q400), 0, 1), 4, if(ISBLANK('2025'!$R400), 0, 1), 5, if(ISBLANK('2025'!$S400), 0, 1), 6, if(ISBLANK('2025'!$T400), 0, 1), 7, 0))), 1, "")</f>
        <v/>
      </c>
      <c r="V437" s="1" t="str">
        <f>IF(AND(AND(AND(V$4&gt;='2025'!$L400,V$4&lt;='2025'!$M400), V$4&lt;&gt;DATE(2025,7,4)), (SWITCH(weekday(V$4), 1, 0, 2, if(ISBLANK('2025'!$P400), 0, 1), 3, if(ISBLANK('2025'!$Q400), 0, 1), 4, if(ISBLANK('2025'!$R400), 0, 1), 5, if(ISBLANK('2025'!$S400), 0, 1), 6, if(ISBLANK('2025'!$T400), 0, 1), 7, 0))), 1, "")</f>
        <v/>
      </c>
      <c r="W437" s="1" t="str">
        <f>IF(AND(AND(AND(W$4&gt;='2025'!$L400,W$4&lt;='2025'!$M400), W$4&lt;&gt;DATE(2025,7,4)), (SWITCH(weekday(W$4), 1, 0, 2, if(ISBLANK('2025'!$P400), 0, 1), 3, if(ISBLANK('2025'!$Q400), 0, 1), 4, if(ISBLANK('2025'!$R400), 0, 1), 5, if(ISBLANK('2025'!$S400), 0, 1), 6, if(ISBLANK('2025'!$T400), 0, 1), 7, 0))), 1, "")</f>
        <v/>
      </c>
      <c r="X437" s="1" t="str">
        <f>IF(AND(AND(AND(X$4&gt;='2025'!$L400,X$4&lt;='2025'!$M400), X$4&lt;&gt;DATE(2025,7,4)), (SWITCH(weekday(X$4), 1, 0, 2, if(ISBLANK('2025'!$P400), 0, 1), 3, if(ISBLANK('2025'!$Q400), 0, 1), 4, if(ISBLANK('2025'!$R400), 0, 1), 5, if(ISBLANK('2025'!$S400), 0, 1), 6, if(ISBLANK('2025'!$T400), 0, 1), 7, 0))), 1, "")</f>
        <v/>
      </c>
      <c r="Y437" s="1" t="str">
        <f>IF(AND(AND(AND(Y$4&gt;='2025'!$L400,Y$4&lt;='2025'!$M400), Y$4&lt;&gt;DATE(2025,7,4)), (SWITCH(weekday(Y$4), 1, 0, 2, if(ISBLANK('2025'!$P400), 0, 1), 3, if(ISBLANK('2025'!$Q400), 0, 1), 4, if(ISBLANK('2025'!$R400), 0, 1), 5, if(ISBLANK('2025'!$S400), 0, 1), 6, if(ISBLANK('2025'!$T400), 0, 1), 7, 0))), 1, "")</f>
        <v/>
      </c>
      <c r="Z437" s="1" t="str">
        <f>IF(AND(AND(AND(Z$4&gt;='2025'!$L400,Z$4&lt;='2025'!$M400), Z$4&lt;&gt;DATE(2025,7,4)), (SWITCH(weekday(Z$4), 1, 0, 2, if(ISBLANK('2025'!$P400), 0, 1), 3, if(ISBLANK('2025'!$Q400), 0, 1), 4, if(ISBLANK('2025'!$R400), 0, 1), 5, if(ISBLANK('2025'!$S400), 0, 1), 6, if(ISBLANK('2025'!$T400), 0, 1), 7, 0))), 1, "")</f>
        <v/>
      </c>
      <c r="AA437" s="1" t="str">
        <f>IF(AND(AND(AND(AA$4&gt;='2025'!$L400,AA$4&lt;='2025'!$M400), AA$4&lt;&gt;DATE(2025,7,4)), (SWITCH(weekday(AA$4), 1, 0, 2, if(ISBLANK('2025'!$P400), 0, 1), 3, if(ISBLANK('2025'!$Q400), 0, 1), 4, if(ISBLANK('2025'!$R400), 0, 1), 5, if(ISBLANK('2025'!$S400), 0, 1), 6, if(ISBLANK('2025'!$T400), 0, 1), 7, 0))), 1, "")</f>
        <v/>
      </c>
      <c r="AB437" s="1" t="str">
        <f>IF(AND(AND(AND(AB$4&gt;='2025'!$L400,AB$4&lt;='2025'!$M400), AB$4&lt;&gt;DATE(2025,7,4)), (SWITCH(weekday(AB$4), 1, 0, 2, if(ISBLANK('2025'!$P400), 0, 1), 3, if(ISBLANK('2025'!$Q400), 0, 1), 4, if(ISBLANK('2025'!$R400), 0, 1), 5, if(ISBLANK('2025'!$S400), 0, 1), 6, if(ISBLANK('2025'!$T400), 0, 1), 7, 0))), 1, "")</f>
        <v/>
      </c>
      <c r="AC437" s="1" t="str">
        <f>IF(AND(AND(AND(AC$4&gt;='2025'!$L400,AC$4&lt;='2025'!$M400), AC$4&lt;&gt;DATE(2025,7,4)), (SWITCH(weekday(AC$4), 1, 0, 2, if(ISBLANK('2025'!$P400), 0, 1), 3, if(ISBLANK('2025'!$Q400), 0, 1), 4, if(ISBLANK('2025'!$R400), 0, 1), 5, if(ISBLANK('2025'!$S400), 0, 1), 6, if(ISBLANK('2025'!$T400), 0, 1), 7, 0))), 1, "")</f>
        <v/>
      </c>
      <c r="AD437" s="1" t="str">
        <f>IF(AND(AND(AND(AD$4&gt;='2025'!$L400,AD$4&lt;='2025'!$M400), AD$4&lt;&gt;DATE(2025,7,4)), (SWITCH(weekday(AD$4), 1, 0, 2, if(ISBLANK('2025'!$P400), 0, 1), 3, if(ISBLANK('2025'!$Q400), 0, 1), 4, if(ISBLANK('2025'!$R400), 0, 1), 5, if(ISBLANK('2025'!$S400), 0, 1), 6, if(ISBLANK('2025'!$T400), 0, 1), 7, 0))), 1, "")</f>
        <v/>
      </c>
      <c r="AE437" s="1" t="str">
        <f>IF(AND(AND(AND(AE$4&gt;='2025'!$L400,AE$4&lt;='2025'!$M400), AE$4&lt;&gt;DATE(2025,7,4)), (SWITCH(weekday(AE$4), 1, 0, 2, if(ISBLANK('2025'!$P400), 0, 1), 3, if(ISBLANK('2025'!$Q400), 0, 1), 4, if(ISBLANK('2025'!$R400), 0, 1), 5, if(ISBLANK('2025'!$S400), 0, 1), 6, if(ISBLANK('2025'!$T400), 0, 1), 7, 0))), 1, "")</f>
        <v/>
      </c>
      <c r="AF437" s="1" t="str">
        <f>IF(AND(AND(AND(AF$4&gt;='2025'!$L400,AF$4&lt;='2025'!$M400), AF$4&lt;&gt;DATE(2025,7,4)), (SWITCH(weekday(AF$4), 1, 0, 2, if(ISBLANK('2025'!$P400), 0, 1), 3, if(ISBLANK('2025'!$Q400), 0, 1), 4, if(ISBLANK('2025'!$R400), 0, 1), 5, if(ISBLANK('2025'!$S400), 0, 1), 6, if(ISBLANK('2025'!$T400), 0, 1), 7, 0))), 1, "")</f>
        <v/>
      </c>
      <c r="AG437" s="1" t="str">
        <f>IF(AND(AND(AND(AG$4&gt;='2025'!$L400,AG$4&lt;='2025'!$M400), AG$4&lt;&gt;DATE(2025,7,4)), (SWITCH(weekday(AG$4), 1, 0, 2, if(ISBLANK('2025'!$P400), 0, 1), 3, if(ISBLANK('2025'!$Q400), 0, 1), 4, if(ISBLANK('2025'!$R400), 0, 1), 5, if(ISBLANK('2025'!$S400), 0, 1), 6, if(ISBLANK('2025'!$T400), 0, 1), 7, 0))), 1, "")</f>
        <v/>
      </c>
      <c r="AH437" s="1" t="str">
        <f>IF(AND(AND(AND(AH$4&gt;='2025'!$L400,AH$4&lt;='2025'!$M400), AH$4&lt;&gt;DATE(2025,7,4)), (SWITCH(weekday(AH$4), 1, 0, 2, if(ISBLANK('2025'!$P400), 0, 1), 3, if(ISBLANK('2025'!$Q400), 0, 1), 4, if(ISBLANK('2025'!$R400), 0, 1), 5, if(ISBLANK('2025'!$S400), 0, 1), 6, if(ISBLANK('2025'!$T400), 0, 1), 7, 0))), 1, "")</f>
        <v/>
      </c>
      <c r="AI437" s="1" t="str">
        <f>IF(AND(AND(AND(AI$4&gt;='2025'!$L400,AI$4&lt;='2025'!$M400), AI$4&lt;&gt;DATE(2025,7,4)), (SWITCH(weekday(AI$4), 1, 0, 2, if(ISBLANK('2025'!$P400), 0, 1), 3, if(ISBLANK('2025'!$Q400), 0, 1), 4, if(ISBLANK('2025'!$R400), 0, 1), 5, if(ISBLANK('2025'!$S400), 0, 1), 6, if(ISBLANK('2025'!$T400), 0, 1), 7, 0))), 1, "")</f>
        <v/>
      </c>
      <c r="AJ437" s="1" t="str">
        <f>IF(AND(AND(AND(AJ$4&gt;='2025'!$L400,AJ$4&lt;='2025'!$M400), AJ$4&lt;&gt;DATE(2025,7,4)), (SWITCH(weekday(AJ$4), 1, 0, 2, if(ISBLANK('2025'!$P400), 0, 1), 3, if(ISBLANK('2025'!$Q400), 0, 1), 4, if(ISBLANK('2025'!$R400), 0, 1), 5, if(ISBLANK('2025'!$S400), 0, 1), 6, if(ISBLANK('2025'!$T400), 0, 1), 7, 0))), 1, "")</f>
        <v/>
      </c>
      <c r="AK437" s="1" t="str">
        <f>IF(AND(AND(AND(AK$4&gt;='2025'!$L400,AK$4&lt;='2025'!$M400), AK$4&lt;&gt;DATE(2025,7,4)), (SWITCH(weekday(AK$4), 1, 0, 2, if(ISBLANK('2025'!$P400), 0, 1), 3, if(ISBLANK('2025'!$Q400), 0, 1), 4, if(ISBLANK('2025'!$R400), 0, 1), 5, if(ISBLANK('2025'!$S400), 0, 1), 6, if(ISBLANK('2025'!$T400), 0, 1), 7, 0))), 1, "")</f>
        <v/>
      </c>
      <c r="AL437" s="1" t="str">
        <f>IF(AND(AND(AND(AL$4&gt;='2025'!$L400,AL$4&lt;='2025'!$M400), AL$4&lt;&gt;DATE(2025,7,4)), (SWITCH(weekday(AL$4), 1, 0, 2, if(ISBLANK('2025'!$P400), 0, 1), 3, if(ISBLANK('2025'!$Q400), 0, 1), 4, if(ISBLANK('2025'!$R400), 0, 1), 5, if(ISBLANK('2025'!$S400), 0, 1), 6, if(ISBLANK('2025'!$T400), 0, 1), 7, 0))), 1, "")</f>
        <v/>
      </c>
      <c r="AM437" s="1" t="str">
        <f>IF(AND(AND(AND(AM$4&gt;='2025'!$L400,AM$4&lt;='2025'!$M400), AM$4&lt;&gt;DATE(2025,7,4)), (SWITCH(weekday(AM$4), 1, 0, 2, if(ISBLANK('2025'!$P400), 0, 1), 3, if(ISBLANK('2025'!$Q400), 0, 1), 4, if(ISBLANK('2025'!$R400), 0, 1), 5, if(ISBLANK('2025'!$S400), 0, 1), 6, if(ISBLANK('2025'!$T400), 0, 1), 7, 0))), 1, "")</f>
        <v/>
      </c>
      <c r="AN437" s="1" t="str">
        <f>IF(AND(AND(AND(AN$4&gt;='2025'!$L400,AN$4&lt;='2025'!$M400), AN$4&lt;&gt;DATE(2025,7,4)), (SWITCH(weekday(AN$4), 1, 0, 2, if(ISBLANK('2025'!$P400), 0, 1), 3, if(ISBLANK('2025'!$Q400), 0, 1), 4, if(ISBLANK('2025'!$R400), 0, 1), 5, if(ISBLANK('2025'!$S400), 0, 1), 6, if(ISBLANK('2025'!$T400), 0, 1), 7, 0))), 1, "")</f>
        <v/>
      </c>
      <c r="AO437" s="1" t="str">
        <f>IF(AND(AND(AND(AO$4&gt;='2025'!$L400,AO$4&lt;='2025'!$M400), AO$4&lt;&gt;DATE(2025,7,4)), (SWITCH(weekday(AO$4), 1, 0, 2, if(ISBLANK('2025'!$P400), 0, 1), 3, if(ISBLANK('2025'!$Q400), 0, 1), 4, if(ISBLANK('2025'!$R400), 0, 1), 5, if(ISBLANK('2025'!$S400), 0, 1), 6, if(ISBLANK('2025'!$T400), 0, 1), 7, 0))), 1, "")</f>
        <v/>
      </c>
      <c r="AP437" s="1" t="str">
        <f>IF(AND(AND(AND(AP$4&gt;='2025'!$L400,AP$4&lt;='2025'!$M400), AP$4&lt;&gt;DATE(2025,7,4)), (SWITCH(weekday(AP$4), 1, 0, 2, if(ISBLANK('2025'!$P400), 0, 1), 3, if(ISBLANK('2025'!$Q400), 0, 1), 4, if(ISBLANK('2025'!$R400), 0, 1), 5, if(ISBLANK('2025'!$S400), 0, 1), 6, if(ISBLANK('2025'!$T400), 0, 1), 7, 0))), 1, "")</f>
        <v/>
      </c>
      <c r="AQ437" s="1" t="str">
        <f>IF(AND(AND(AND(AQ$4&gt;='2025'!$L400,AQ$4&lt;='2025'!$M400), AQ$4&lt;&gt;DATE(2025,7,4)), (SWITCH(weekday(AQ$4), 1, 0, 2, if(ISBLANK('2025'!$P400), 0, 1), 3, if(ISBLANK('2025'!$Q400), 0, 1), 4, if(ISBLANK('2025'!$R400), 0, 1), 5, if(ISBLANK('2025'!$S400), 0, 1), 6, if(ISBLANK('2025'!$T400), 0, 1), 7, 0))), 1, "")</f>
        <v/>
      </c>
      <c r="AR437" s="1" t="str">
        <f>IF(AND(AND(AND(AR$4&gt;='2025'!$L400,AR$4&lt;='2025'!$M400), AR$4&lt;&gt;DATE(2025,7,4)), (SWITCH(weekday(AR$4), 1, 0, 2, if(ISBLANK('2025'!$P400), 0, 1), 3, if(ISBLANK('2025'!$Q400), 0, 1), 4, if(ISBLANK('2025'!$R400), 0, 1), 5, if(ISBLANK('2025'!$S400), 0, 1), 6, if(ISBLANK('2025'!$T400), 0, 1), 7, 0))), 1, "")</f>
        <v/>
      </c>
      <c r="AS437" s="1" t="str">
        <f>IF(AND(AND(AND(AS$4&gt;='2025'!$L400,AS$4&lt;='2025'!$M400), AS$4&lt;&gt;DATE(2025,7,4)), (SWITCH(weekday(AS$4), 1, 0, 2, if(ISBLANK('2025'!$P400), 0, 1), 3, if(ISBLANK('2025'!$Q400), 0, 1), 4, if(ISBLANK('2025'!$R400), 0, 1), 5, if(ISBLANK('2025'!$S400), 0, 1), 6, if(ISBLANK('2025'!$T400), 0, 1), 7, 0))), 1, "")</f>
        <v/>
      </c>
      <c r="AT437" s="1" t="str">
        <f>IF(AND(AND(AND(AT$4&gt;='2025'!$L400,AT$4&lt;='2025'!$M400), AT$4&lt;&gt;DATE(2025,7,4)), (SWITCH(weekday(AT$4), 1, 0, 2, if(ISBLANK('2025'!$P400), 0, 1), 3, if(ISBLANK('2025'!$Q400), 0, 1), 4, if(ISBLANK('2025'!$R400), 0, 1), 5, if(ISBLANK('2025'!$S400), 0, 1), 6, if(ISBLANK('2025'!$T400), 0, 1), 7, 0))), 1, "")</f>
        <v/>
      </c>
      <c r="AU437" s="1" t="str">
        <f>IF(AND(AND(AND(AU$4&gt;='2025'!$L400,AU$4&lt;='2025'!$M400), AU$4&lt;&gt;DATE(2025,7,4)), (SWITCH(weekday(AU$4), 1, 0, 2, if(ISBLANK('2025'!$P400), 0, 1), 3, if(ISBLANK('2025'!$Q400), 0, 1), 4, if(ISBLANK('2025'!$R400), 0, 1), 5, if(ISBLANK('2025'!$S400), 0, 1), 6, if(ISBLANK('2025'!$T400), 0, 1), 7, 0))), 1, "")</f>
        <v/>
      </c>
      <c r="AV437" s="1" t="str">
        <f>IF(AND(AND(AND(AV$4&gt;='2025'!$L400,AV$4&lt;='2025'!$M400), AV$4&lt;&gt;DATE(2025,7,4)), (SWITCH(weekday(AV$4), 1, 0, 2, if(ISBLANK('2025'!$P400), 0, 1), 3, if(ISBLANK('2025'!$Q400), 0, 1), 4, if(ISBLANK('2025'!$R400), 0, 1), 5, if(ISBLANK('2025'!$S400), 0, 1), 6, if(ISBLANK('2025'!$T400), 0, 1), 7, 0))), 1, "")</f>
        <v/>
      </c>
      <c r="AW437" s="1" t="str">
        <f>IF(AND(AND(AND(AW$4&gt;='2025'!$L400,AW$4&lt;='2025'!$M400), AW$4&lt;&gt;DATE(2025,7,4)), (SWITCH(weekday(AW$4), 1, 0, 2, if(ISBLANK('2025'!$P400), 0, 1), 3, if(ISBLANK('2025'!$Q400), 0, 1), 4, if(ISBLANK('2025'!$R400), 0, 1), 5, if(ISBLANK('2025'!$S400), 0, 1), 6, if(ISBLANK('2025'!$T400), 0, 1), 7, 0))), 1, "")</f>
        <v/>
      </c>
      <c r="AX437" s="1" t="str">
        <f>IF(AND(AND(AND(AX$4&gt;='2025'!$L400,AX$4&lt;='2025'!$M400), AX$4&lt;&gt;DATE(2025,7,4)), (SWITCH(weekday(AX$4), 1, 0, 2, if(ISBLANK('2025'!$P400), 0, 1), 3, if(ISBLANK('2025'!$Q400), 0, 1), 4, if(ISBLANK('2025'!$R400), 0, 1), 5, if(ISBLANK('2025'!$S400), 0, 1), 6, if(ISBLANK('2025'!$T400), 0, 1), 7, 0))), 1, "")</f>
        <v/>
      </c>
      <c r="AY437" s="1" t="str">
        <f>IF(AND(AND(AND(AY$4&gt;='2025'!$L400,AY$4&lt;='2025'!$M400), AY$4&lt;&gt;DATE(2025,7,4)), (SWITCH(weekday(AY$4), 1, 0, 2, if(ISBLANK('2025'!$P400), 0, 1), 3, if(ISBLANK('2025'!$Q400), 0, 1), 4, if(ISBLANK('2025'!$R400), 0, 1), 5, if(ISBLANK('2025'!$S400), 0, 1), 6, if(ISBLANK('2025'!$T400), 0, 1), 7, 0))), 1, "")</f>
        <v/>
      </c>
      <c r="AZ437" s="1" t="str">
        <f>IF(AND(AND(AND(AZ$4&gt;='2025'!$L400,AZ$4&lt;='2025'!$M400), AZ$4&lt;&gt;DATE(2025,7,4)), (SWITCH(weekday(AZ$4), 1, 0, 2, if(ISBLANK('2025'!$P400), 0, 1), 3, if(ISBLANK('2025'!$Q400), 0, 1), 4, if(ISBLANK('2025'!$R400), 0, 1), 5, if(ISBLANK('2025'!$S400), 0, 1), 6, if(ISBLANK('2025'!$T400), 0, 1), 7, 0))), 1, "")</f>
        <v/>
      </c>
      <c r="BA437" s="1" t="str">
        <f>IF(AND(AND(AND(BA$4&gt;='2025'!$L400,BA$4&lt;='2025'!$M400), BA$4&lt;&gt;DATE(2025,7,4)), (SWITCH(weekday(BA$4), 1, 0, 2, if(ISBLANK('2025'!$P400), 0, 1), 3, if(ISBLANK('2025'!$Q400), 0, 1), 4, if(ISBLANK('2025'!$R400), 0, 1), 5, if(ISBLANK('2025'!$S400), 0, 1), 6, if(ISBLANK('2025'!$T400), 0, 1), 7, 0))), 1, "")</f>
        <v/>
      </c>
      <c r="BB437" s="1" t="str">
        <f>IF(AND(AND(AND(BB$4&gt;='2025'!$L400,BB$4&lt;='2025'!$M400), BB$4&lt;&gt;DATE(2025,7,4)), (SWITCH(weekday(BB$4), 1, 0, 2, if(ISBLANK('2025'!$P400), 0, 1), 3, if(ISBLANK('2025'!$Q400), 0, 1), 4, if(ISBLANK('2025'!$R400), 0, 1), 5, if(ISBLANK('2025'!$S400), 0, 1), 6, if(ISBLANK('2025'!$T400), 0, 1), 7, 0))), 1, "")</f>
        <v/>
      </c>
      <c r="BC437" s="1" t="str">
        <f>IF(AND(AND(AND(BC$4&gt;='2025'!$L400,BC$4&lt;='2025'!$M400), BC$4&lt;&gt;DATE(2025,7,4)), (SWITCH(weekday(BC$4), 1, 0, 2, if(ISBLANK('2025'!$P400), 0, 1), 3, if(ISBLANK('2025'!$Q400), 0, 1), 4, if(ISBLANK('2025'!$R400), 0, 1), 5, if(ISBLANK('2025'!$S400), 0, 1), 6, if(ISBLANK('2025'!$T400), 0, 1), 7, 0))), 1, "")</f>
        <v/>
      </c>
      <c r="BD437" s="1" t="str">
        <f>IF(AND(AND(AND(BD$4&gt;='2025'!$L400,BD$4&lt;='2025'!$M400), BD$4&lt;&gt;DATE(2025,7,4)), (SWITCH(weekday(BD$4), 1, 0, 2, if(ISBLANK('2025'!$P400), 0, 1), 3, if(ISBLANK('2025'!$Q400), 0, 1), 4, if(ISBLANK('2025'!$R400), 0, 1), 5, if(ISBLANK('2025'!$S400), 0, 1), 6, if(ISBLANK('2025'!$T400), 0, 1), 7, 0))), 1, "")</f>
        <v/>
      </c>
      <c r="BE437" s="1" t="str">
        <f>IF(AND(AND(AND(BE$4&gt;='2025'!$L400,BE$4&lt;='2025'!$M400), BE$4&lt;&gt;DATE(2025,7,4)), (SWITCH(weekday(BE$4), 1, 0, 2, if(ISBLANK('2025'!$P400), 0, 1), 3, if(ISBLANK('2025'!$Q400), 0, 1), 4, if(ISBLANK('2025'!$R400), 0, 1), 5, if(ISBLANK('2025'!$S400), 0, 1), 6, if(ISBLANK('2025'!$T400), 0, 1), 7, 0))), 1, "")</f>
        <v/>
      </c>
    </row>
    <row r="438">
      <c r="A438" s="1">
        <f t="shared" si="3"/>
        <v>438</v>
      </c>
      <c r="B438" s="1" t="str">
        <f>'2025'!D401</f>
        <v/>
      </c>
      <c r="C438" s="1" t="str">
        <f>'2025'!H401</f>
        <v/>
      </c>
      <c r="D438" s="1" t="str">
        <f>IF(AND(AND(AND(D$4&gt;='2025'!$L401,D$4&lt;='2025'!$M401), D$4&lt;&gt;DATE(2025,7,4)), (SWITCH(weekday(D$4), 1, 0, 2, if(ISBLANK('2025'!$P401), 0, 1), 3, if(ISBLANK('2025'!$Q401), 0, 1), 4, if(ISBLANK('2025'!$R401), 0, 1), 5, if(ISBLANK('2025'!$S401), 0, 1), 6, if(ISBLANK('2025'!$T401), 0, 1), 7, 0))), 1, "")</f>
        <v/>
      </c>
      <c r="E438" s="1" t="str">
        <f>IF(AND(AND(AND(E$4&gt;='2025'!$L401,E$4&lt;='2025'!$M401), E$4&lt;&gt;DATE(2025,7,4)), (SWITCH(weekday(E$4), 1, 0, 2, if(ISBLANK('2025'!$P401), 0, 1), 3, if(ISBLANK('2025'!$Q401), 0, 1), 4, if(ISBLANK('2025'!$R401), 0, 1), 5, if(ISBLANK('2025'!$S401), 0, 1), 6, if(ISBLANK('2025'!$T401), 0, 1), 7, 0))), 1, "")</f>
        <v/>
      </c>
      <c r="F438" s="1" t="str">
        <f>IF(AND(AND(AND(F$4&gt;='2025'!$L401,F$4&lt;='2025'!$M401), F$4&lt;&gt;DATE(2025,7,4)), (SWITCH(weekday(F$4), 1, 0, 2, if(ISBLANK('2025'!$P401), 0, 1), 3, if(ISBLANK('2025'!$Q401), 0, 1), 4, if(ISBLANK('2025'!$R401), 0, 1), 5, if(ISBLANK('2025'!$S401), 0, 1), 6, if(ISBLANK('2025'!$T401), 0, 1), 7, 0))), 1, "")</f>
        <v/>
      </c>
      <c r="G438" s="1" t="str">
        <f>IF(AND(AND(AND(G$4&gt;='2025'!$L401,G$4&lt;='2025'!$M401), G$4&lt;&gt;DATE(2025,7,4)), (SWITCH(weekday(G$4), 1, 0, 2, if(ISBLANK('2025'!$P401), 0, 1), 3, if(ISBLANK('2025'!$Q401), 0, 1), 4, if(ISBLANK('2025'!$R401), 0, 1), 5, if(ISBLANK('2025'!$S401), 0, 1), 6, if(ISBLANK('2025'!$T401), 0, 1), 7, 0))), 1, "")</f>
        <v/>
      </c>
      <c r="H438" s="1" t="str">
        <f>IF(AND(AND(AND(H$4&gt;='2025'!$L401,H$4&lt;='2025'!$M401), H$4&lt;&gt;DATE(2025,7,4)), (SWITCH(weekday(H$4), 1, 0, 2, if(ISBLANK('2025'!$P401), 0, 1), 3, if(ISBLANK('2025'!$Q401), 0, 1), 4, if(ISBLANK('2025'!$R401), 0, 1), 5, if(ISBLANK('2025'!$S401), 0, 1), 6, if(ISBLANK('2025'!$T401), 0, 1), 7, 0))), 1, "")</f>
        <v/>
      </c>
      <c r="I438" s="1" t="str">
        <f>IF(AND(AND(AND(I$4&gt;='2025'!$L401,I$4&lt;='2025'!$M401), I$4&lt;&gt;DATE(2025,7,4)), (SWITCH(weekday(I$4), 1, 0, 2, if(ISBLANK('2025'!$P401), 0, 1), 3, if(ISBLANK('2025'!$Q401), 0, 1), 4, if(ISBLANK('2025'!$R401), 0, 1), 5, if(ISBLANK('2025'!$S401), 0, 1), 6, if(ISBLANK('2025'!$T401), 0, 1), 7, 0))), 1, "")</f>
        <v/>
      </c>
      <c r="J438" s="1" t="str">
        <f>IF(AND(AND(AND(J$4&gt;='2025'!$L401,J$4&lt;='2025'!$M401), J$4&lt;&gt;DATE(2025,7,4)), (SWITCH(weekday(J$4), 1, 0, 2, if(ISBLANK('2025'!$P401), 0, 1), 3, if(ISBLANK('2025'!$Q401), 0, 1), 4, if(ISBLANK('2025'!$R401), 0, 1), 5, if(ISBLANK('2025'!$S401), 0, 1), 6, if(ISBLANK('2025'!$T401), 0, 1), 7, 0))), 1, "")</f>
        <v/>
      </c>
      <c r="K438" s="1" t="str">
        <f>IF(AND(AND(AND(K$4&gt;='2025'!$L401,K$4&lt;='2025'!$M401), K$4&lt;&gt;DATE(2025,7,4)), (SWITCH(weekday(K$4), 1, 0, 2, if(ISBLANK('2025'!$P401), 0, 1), 3, if(ISBLANK('2025'!$Q401), 0, 1), 4, if(ISBLANK('2025'!$R401), 0, 1), 5, if(ISBLANK('2025'!$S401), 0, 1), 6, if(ISBLANK('2025'!$T401), 0, 1), 7, 0))), 1, "")</f>
        <v/>
      </c>
      <c r="L438" s="1" t="str">
        <f>IF(AND(AND(AND(L$4&gt;='2025'!$L401,L$4&lt;='2025'!$M401), L$4&lt;&gt;DATE(2025,7,4)), (SWITCH(weekday(L$4), 1, 0, 2, if(ISBLANK('2025'!$P401), 0, 1), 3, if(ISBLANK('2025'!$Q401), 0, 1), 4, if(ISBLANK('2025'!$R401), 0, 1), 5, if(ISBLANK('2025'!$S401), 0, 1), 6, if(ISBLANK('2025'!$T401), 0, 1), 7, 0))), 1, "")</f>
        <v/>
      </c>
      <c r="M438" s="1" t="str">
        <f>IF(AND(AND(AND(M$4&gt;='2025'!$L401,M$4&lt;='2025'!$M401), M$4&lt;&gt;DATE(2025,7,4)), (SWITCH(weekday(M$4), 1, 0, 2, if(ISBLANK('2025'!$P401), 0, 1), 3, if(ISBLANK('2025'!$Q401), 0, 1), 4, if(ISBLANK('2025'!$R401), 0, 1), 5, if(ISBLANK('2025'!$S401), 0, 1), 6, if(ISBLANK('2025'!$T401), 0, 1), 7, 0))), 1, "")</f>
        <v/>
      </c>
      <c r="N438" s="1" t="str">
        <f>IF(AND(AND(AND(N$4&gt;='2025'!$L401,N$4&lt;='2025'!$M401), N$4&lt;&gt;DATE(2025,7,4)), (SWITCH(weekday(N$4), 1, 0, 2, if(ISBLANK('2025'!$P401), 0, 1), 3, if(ISBLANK('2025'!$Q401), 0, 1), 4, if(ISBLANK('2025'!$R401), 0, 1), 5, if(ISBLANK('2025'!$S401), 0, 1), 6, if(ISBLANK('2025'!$T401), 0, 1), 7, 0))), 1, "")</f>
        <v/>
      </c>
      <c r="O438" s="1" t="str">
        <f>IF(AND(AND(AND(O$4&gt;='2025'!$L401,O$4&lt;='2025'!$M401), O$4&lt;&gt;DATE(2025,7,4)), (SWITCH(weekday(O$4), 1, 0, 2, if(ISBLANK('2025'!$P401), 0, 1), 3, if(ISBLANK('2025'!$Q401), 0, 1), 4, if(ISBLANK('2025'!$R401), 0, 1), 5, if(ISBLANK('2025'!$S401), 0, 1), 6, if(ISBLANK('2025'!$T401), 0, 1), 7, 0))), 1, "")</f>
        <v/>
      </c>
      <c r="P438" s="1" t="str">
        <f>IF(AND(AND(AND(P$4&gt;='2025'!$L401,P$4&lt;='2025'!$M401), P$4&lt;&gt;DATE(2025,7,4)), (SWITCH(weekday(P$4), 1, 0, 2, if(ISBLANK('2025'!$P401), 0, 1), 3, if(ISBLANK('2025'!$Q401), 0, 1), 4, if(ISBLANK('2025'!$R401), 0, 1), 5, if(ISBLANK('2025'!$S401), 0, 1), 6, if(ISBLANK('2025'!$T401), 0, 1), 7, 0))), 1, "")</f>
        <v/>
      </c>
      <c r="Q438" s="1" t="str">
        <f>IF(AND(AND(AND(Q$4&gt;='2025'!$L401,Q$4&lt;='2025'!$M401), Q$4&lt;&gt;DATE(2025,7,4)), (SWITCH(weekday(Q$4), 1, 0, 2, if(ISBLANK('2025'!$P401), 0, 1), 3, if(ISBLANK('2025'!$Q401), 0, 1), 4, if(ISBLANK('2025'!$R401), 0, 1), 5, if(ISBLANK('2025'!$S401), 0, 1), 6, if(ISBLANK('2025'!$T401), 0, 1), 7, 0))), 1, "")</f>
        <v/>
      </c>
      <c r="R438" s="1" t="str">
        <f>IF(AND(AND(AND(R$4&gt;='2025'!$L401,R$4&lt;='2025'!$M401), R$4&lt;&gt;DATE(2025,7,4)), (SWITCH(weekday(R$4), 1, 0, 2, if(ISBLANK('2025'!$P401), 0, 1), 3, if(ISBLANK('2025'!$Q401), 0, 1), 4, if(ISBLANK('2025'!$R401), 0, 1), 5, if(ISBLANK('2025'!$S401), 0, 1), 6, if(ISBLANK('2025'!$T401), 0, 1), 7, 0))), 1, "")</f>
        <v/>
      </c>
      <c r="S438" s="1" t="str">
        <f>IF(AND(AND(AND(S$4&gt;='2025'!$L401,S$4&lt;='2025'!$M401), S$4&lt;&gt;DATE(2025,7,4)), (SWITCH(weekday(S$4), 1, 0, 2, if(ISBLANK('2025'!$P401), 0, 1), 3, if(ISBLANK('2025'!$Q401), 0, 1), 4, if(ISBLANK('2025'!$R401), 0, 1), 5, if(ISBLANK('2025'!$S401), 0, 1), 6, if(ISBLANK('2025'!$T401), 0, 1), 7, 0))), 1, "")</f>
        <v/>
      </c>
      <c r="T438" s="1" t="str">
        <f>IF(AND(AND(AND(T$4&gt;='2025'!$L401,T$4&lt;='2025'!$M401), T$4&lt;&gt;DATE(2025,7,4)), (SWITCH(weekday(T$4), 1, 0, 2, if(ISBLANK('2025'!$P401), 0, 1), 3, if(ISBLANK('2025'!$Q401), 0, 1), 4, if(ISBLANK('2025'!$R401), 0, 1), 5, if(ISBLANK('2025'!$S401), 0, 1), 6, if(ISBLANK('2025'!$T401), 0, 1), 7, 0))), 1, "")</f>
        <v/>
      </c>
      <c r="U438" s="1" t="str">
        <f>IF(AND(AND(AND(U$4&gt;='2025'!$L401,U$4&lt;='2025'!$M401), U$4&lt;&gt;DATE(2025,7,4)), (SWITCH(weekday(U$4), 1, 0, 2, if(ISBLANK('2025'!$P401), 0, 1), 3, if(ISBLANK('2025'!$Q401), 0, 1), 4, if(ISBLANK('2025'!$R401), 0, 1), 5, if(ISBLANK('2025'!$S401), 0, 1), 6, if(ISBLANK('2025'!$T401), 0, 1), 7, 0))), 1, "")</f>
        <v/>
      </c>
      <c r="V438" s="1" t="str">
        <f>IF(AND(AND(AND(V$4&gt;='2025'!$L401,V$4&lt;='2025'!$M401), V$4&lt;&gt;DATE(2025,7,4)), (SWITCH(weekday(V$4), 1, 0, 2, if(ISBLANK('2025'!$P401), 0, 1), 3, if(ISBLANK('2025'!$Q401), 0, 1), 4, if(ISBLANK('2025'!$R401), 0, 1), 5, if(ISBLANK('2025'!$S401), 0, 1), 6, if(ISBLANK('2025'!$T401), 0, 1), 7, 0))), 1, "")</f>
        <v/>
      </c>
      <c r="W438" s="1" t="str">
        <f>IF(AND(AND(AND(W$4&gt;='2025'!$L401,W$4&lt;='2025'!$M401), W$4&lt;&gt;DATE(2025,7,4)), (SWITCH(weekday(W$4), 1, 0, 2, if(ISBLANK('2025'!$P401), 0, 1), 3, if(ISBLANK('2025'!$Q401), 0, 1), 4, if(ISBLANK('2025'!$R401), 0, 1), 5, if(ISBLANK('2025'!$S401), 0, 1), 6, if(ISBLANK('2025'!$T401), 0, 1), 7, 0))), 1, "")</f>
        <v/>
      </c>
      <c r="X438" s="1" t="str">
        <f>IF(AND(AND(AND(X$4&gt;='2025'!$L401,X$4&lt;='2025'!$M401), X$4&lt;&gt;DATE(2025,7,4)), (SWITCH(weekday(X$4), 1, 0, 2, if(ISBLANK('2025'!$P401), 0, 1), 3, if(ISBLANK('2025'!$Q401), 0, 1), 4, if(ISBLANK('2025'!$R401), 0, 1), 5, if(ISBLANK('2025'!$S401), 0, 1), 6, if(ISBLANK('2025'!$T401), 0, 1), 7, 0))), 1, "")</f>
        <v/>
      </c>
      <c r="Y438" s="1" t="str">
        <f>IF(AND(AND(AND(Y$4&gt;='2025'!$L401,Y$4&lt;='2025'!$M401), Y$4&lt;&gt;DATE(2025,7,4)), (SWITCH(weekday(Y$4), 1, 0, 2, if(ISBLANK('2025'!$P401), 0, 1), 3, if(ISBLANK('2025'!$Q401), 0, 1), 4, if(ISBLANK('2025'!$R401), 0, 1), 5, if(ISBLANK('2025'!$S401), 0, 1), 6, if(ISBLANK('2025'!$T401), 0, 1), 7, 0))), 1, "")</f>
        <v/>
      </c>
      <c r="Z438" s="1" t="str">
        <f>IF(AND(AND(AND(Z$4&gt;='2025'!$L401,Z$4&lt;='2025'!$M401), Z$4&lt;&gt;DATE(2025,7,4)), (SWITCH(weekday(Z$4), 1, 0, 2, if(ISBLANK('2025'!$P401), 0, 1), 3, if(ISBLANK('2025'!$Q401), 0, 1), 4, if(ISBLANK('2025'!$R401), 0, 1), 5, if(ISBLANK('2025'!$S401), 0, 1), 6, if(ISBLANK('2025'!$T401), 0, 1), 7, 0))), 1, "")</f>
        <v/>
      </c>
      <c r="AA438" s="1" t="str">
        <f>IF(AND(AND(AND(AA$4&gt;='2025'!$L401,AA$4&lt;='2025'!$M401), AA$4&lt;&gt;DATE(2025,7,4)), (SWITCH(weekday(AA$4), 1, 0, 2, if(ISBLANK('2025'!$P401), 0, 1), 3, if(ISBLANK('2025'!$Q401), 0, 1), 4, if(ISBLANK('2025'!$R401), 0, 1), 5, if(ISBLANK('2025'!$S401), 0, 1), 6, if(ISBLANK('2025'!$T401), 0, 1), 7, 0))), 1, "")</f>
        <v/>
      </c>
      <c r="AB438" s="1" t="str">
        <f>IF(AND(AND(AND(AB$4&gt;='2025'!$L401,AB$4&lt;='2025'!$M401), AB$4&lt;&gt;DATE(2025,7,4)), (SWITCH(weekday(AB$4), 1, 0, 2, if(ISBLANK('2025'!$P401), 0, 1), 3, if(ISBLANK('2025'!$Q401), 0, 1), 4, if(ISBLANK('2025'!$R401), 0, 1), 5, if(ISBLANK('2025'!$S401), 0, 1), 6, if(ISBLANK('2025'!$T401), 0, 1), 7, 0))), 1, "")</f>
        <v/>
      </c>
      <c r="AC438" s="1" t="str">
        <f>IF(AND(AND(AND(AC$4&gt;='2025'!$L401,AC$4&lt;='2025'!$M401), AC$4&lt;&gt;DATE(2025,7,4)), (SWITCH(weekday(AC$4), 1, 0, 2, if(ISBLANK('2025'!$P401), 0, 1), 3, if(ISBLANK('2025'!$Q401), 0, 1), 4, if(ISBLANK('2025'!$R401), 0, 1), 5, if(ISBLANK('2025'!$S401), 0, 1), 6, if(ISBLANK('2025'!$T401), 0, 1), 7, 0))), 1, "")</f>
        <v/>
      </c>
      <c r="AD438" s="1" t="str">
        <f>IF(AND(AND(AND(AD$4&gt;='2025'!$L401,AD$4&lt;='2025'!$M401), AD$4&lt;&gt;DATE(2025,7,4)), (SWITCH(weekday(AD$4), 1, 0, 2, if(ISBLANK('2025'!$P401), 0, 1), 3, if(ISBLANK('2025'!$Q401), 0, 1), 4, if(ISBLANK('2025'!$R401), 0, 1), 5, if(ISBLANK('2025'!$S401), 0, 1), 6, if(ISBLANK('2025'!$T401), 0, 1), 7, 0))), 1, "")</f>
        <v/>
      </c>
      <c r="AE438" s="1" t="str">
        <f>IF(AND(AND(AND(AE$4&gt;='2025'!$L401,AE$4&lt;='2025'!$M401), AE$4&lt;&gt;DATE(2025,7,4)), (SWITCH(weekday(AE$4), 1, 0, 2, if(ISBLANK('2025'!$P401), 0, 1), 3, if(ISBLANK('2025'!$Q401), 0, 1), 4, if(ISBLANK('2025'!$R401), 0, 1), 5, if(ISBLANK('2025'!$S401), 0, 1), 6, if(ISBLANK('2025'!$T401), 0, 1), 7, 0))), 1, "")</f>
        <v/>
      </c>
      <c r="AF438" s="1" t="str">
        <f>IF(AND(AND(AND(AF$4&gt;='2025'!$L401,AF$4&lt;='2025'!$M401), AF$4&lt;&gt;DATE(2025,7,4)), (SWITCH(weekday(AF$4), 1, 0, 2, if(ISBLANK('2025'!$P401), 0, 1), 3, if(ISBLANK('2025'!$Q401), 0, 1), 4, if(ISBLANK('2025'!$R401), 0, 1), 5, if(ISBLANK('2025'!$S401), 0, 1), 6, if(ISBLANK('2025'!$T401), 0, 1), 7, 0))), 1, "")</f>
        <v/>
      </c>
      <c r="AG438" s="1" t="str">
        <f>IF(AND(AND(AND(AG$4&gt;='2025'!$L401,AG$4&lt;='2025'!$M401), AG$4&lt;&gt;DATE(2025,7,4)), (SWITCH(weekday(AG$4), 1, 0, 2, if(ISBLANK('2025'!$P401), 0, 1), 3, if(ISBLANK('2025'!$Q401), 0, 1), 4, if(ISBLANK('2025'!$R401), 0, 1), 5, if(ISBLANK('2025'!$S401), 0, 1), 6, if(ISBLANK('2025'!$T401), 0, 1), 7, 0))), 1, "")</f>
        <v/>
      </c>
      <c r="AH438" s="1" t="str">
        <f>IF(AND(AND(AND(AH$4&gt;='2025'!$L401,AH$4&lt;='2025'!$M401), AH$4&lt;&gt;DATE(2025,7,4)), (SWITCH(weekday(AH$4), 1, 0, 2, if(ISBLANK('2025'!$P401), 0, 1), 3, if(ISBLANK('2025'!$Q401), 0, 1), 4, if(ISBLANK('2025'!$R401), 0, 1), 5, if(ISBLANK('2025'!$S401), 0, 1), 6, if(ISBLANK('2025'!$T401), 0, 1), 7, 0))), 1, "")</f>
        <v/>
      </c>
      <c r="AI438" s="1" t="str">
        <f>IF(AND(AND(AND(AI$4&gt;='2025'!$L401,AI$4&lt;='2025'!$M401), AI$4&lt;&gt;DATE(2025,7,4)), (SWITCH(weekday(AI$4), 1, 0, 2, if(ISBLANK('2025'!$P401), 0, 1), 3, if(ISBLANK('2025'!$Q401), 0, 1), 4, if(ISBLANK('2025'!$R401), 0, 1), 5, if(ISBLANK('2025'!$S401), 0, 1), 6, if(ISBLANK('2025'!$T401), 0, 1), 7, 0))), 1, "")</f>
        <v/>
      </c>
      <c r="AJ438" s="1" t="str">
        <f>IF(AND(AND(AND(AJ$4&gt;='2025'!$L401,AJ$4&lt;='2025'!$M401), AJ$4&lt;&gt;DATE(2025,7,4)), (SWITCH(weekday(AJ$4), 1, 0, 2, if(ISBLANK('2025'!$P401), 0, 1), 3, if(ISBLANK('2025'!$Q401), 0, 1), 4, if(ISBLANK('2025'!$R401), 0, 1), 5, if(ISBLANK('2025'!$S401), 0, 1), 6, if(ISBLANK('2025'!$T401), 0, 1), 7, 0))), 1, "")</f>
        <v/>
      </c>
      <c r="AK438" s="1" t="str">
        <f>IF(AND(AND(AND(AK$4&gt;='2025'!$L401,AK$4&lt;='2025'!$M401), AK$4&lt;&gt;DATE(2025,7,4)), (SWITCH(weekday(AK$4), 1, 0, 2, if(ISBLANK('2025'!$P401), 0, 1), 3, if(ISBLANK('2025'!$Q401), 0, 1), 4, if(ISBLANK('2025'!$R401), 0, 1), 5, if(ISBLANK('2025'!$S401), 0, 1), 6, if(ISBLANK('2025'!$T401), 0, 1), 7, 0))), 1, "")</f>
        <v/>
      </c>
      <c r="AL438" s="1" t="str">
        <f>IF(AND(AND(AND(AL$4&gt;='2025'!$L401,AL$4&lt;='2025'!$M401), AL$4&lt;&gt;DATE(2025,7,4)), (SWITCH(weekday(AL$4), 1, 0, 2, if(ISBLANK('2025'!$P401), 0, 1), 3, if(ISBLANK('2025'!$Q401), 0, 1), 4, if(ISBLANK('2025'!$R401), 0, 1), 5, if(ISBLANK('2025'!$S401), 0, 1), 6, if(ISBLANK('2025'!$T401), 0, 1), 7, 0))), 1, "")</f>
        <v/>
      </c>
      <c r="AM438" s="1" t="str">
        <f>IF(AND(AND(AND(AM$4&gt;='2025'!$L401,AM$4&lt;='2025'!$M401), AM$4&lt;&gt;DATE(2025,7,4)), (SWITCH(weekday(AM$4), 1, 0, 2, if(ISBLANK('2025'!$P401), 0, 1), 3, if(ISBLANK('2025'!$Q401), 0, 1), 4, if(ISBLANK('2025'!$R401), 0, 1), 5, if(ISBLANK('2025'!$S401), 0, 1), 6, if(ISBLANK('2025'!$T401), 0, 1), 7, 0))), 1, "")</f>
        <v/>
      </c>
      <c r="AN438" s="1" t="str">
        <f>IF(AND(AND(AND(AN$4&gt;='2025'!$L401,AN$4&lt;='2025'!$M401), AN$4&lt;&gt;DATE(2025,7,4)), (SWITCH(weekday(AN$4), 1, 0, 2, if(ISBLANK('2025'!$P401), 0, 1), 3, if(ISBLANK('2025'!$Q401), 0, 1), 4, if(ISBLANK('2025'!$R401), 0, 1), 5, if(ISBLANK('2025'!$S401), 0, 1), 6, if(ISBLANK('2025'!$T401), 0, 1), 7, 0))), 1, "")</f>
        <v/>
      </c>
      <c r="AO438" s="1" t="str">
        <f>IF(AND(AND(AND(AO$4&gt;='2025'!$L401,AO$4&lt;='2025'!$M401), AO$4&lt;&gt;DATE(2025,7,4)), (SWITCH(weekday(AO$4), 1, 0, 2, if(ISBLANK('2025'!$P401), 0, 1), 3, if(ISBLANK('2025'!$Q401), 0, 1), 4, if(ISBLANK('2025'!$R401), 0, 1), 5, if(ISBLANK('2025'!$S401), 0, 1), 6, if(ISBLANK('2025'!$T401), 0, 1), 7, 0))), 1, "")</f>
        <v/>
      </c>
      <c r="AP438" s="1" t="str">
        <f>IF(AND(AND(AND(AP$4&gt;='2025'!$L401,AP$4&lt;='2025'!$M401), AP$4&lt;&gt;DATE(2025,7,4)), (SWITCH(weekday(AP$4), 1, 0, 2, if(ISBLANK('2025'!$P401), 0, 1), 3, if(ISBLANK('2025'!$Q401), 0, 1), 4, if(ISBLANK('2025'!$R401), 0, 1), 5, if(ISBLANK('2025'!$S401), 0, 1), 6, if(ISBLANK('2025'!$T401), 0, 1), 7, 0))), 1, "")</f>
        <v/>
      </c>
      <c r="AQ438" s="1" t="str">
        <f>IF(AND(AND(AND(AQ$4&gt;='2025'!$L401,AQ$4&lt;='2025'!$M401), AQ$4&lt;&gt;DATE(2025,7,4)), (SWITCH(weekday(AQ$4), 1, 0, 2, if(ISBLANK('2025'!$P401), 0, 1), 3, if(ISBLANK('2025'!$Q401), 0, 1), 4, if(ISBLANK('2025'!$R401), 0, 1), 5, if(ISBLANK('2025'!$S401), 0, 1), 6, if(ISBLANK('2025'!$T401), 0, 1), 7, 0))), 1, "")</f>
        <v/>
      </c>
      <c r="AR438" s="1" t="str">
        <f>IF(AND(AND(AND(AR$4&gt;='2025'!$L401,AR$4&lt;='2025'!$M401), AR$4&lt;&gt;DATE(2025,7,4)), (SWITCH(weekday(AR$4), 1, 0, 2, if(ISBLANK('2025'!$P401), 0, 1), 3, if(ISBLANK('2025'!$Q401), 0, 1), 4, if(ISBLANK('2025'!$R401), 0, 1), 5, if(ISBLANK('2025'!$S401), 0, 1), 6, if(ISBLANK('2025'!$T401), 0, 1), 7, 0))), 1, "")</f>
        <v/>
      </c>
      <c r="AS438" s="1" t="str">
        <f>IF(AND(AND(AND(AS$4&gt;='2025'!$L401,AS$4&lt;='2025'!$M401), AS$4&lt;&gt;DATE(2025,7,4)), (SWITCH(weekday(AS$4), 1, 0, 2, if(ISBLANK('2025'!$P401), 0, 1), 3, if(ISBLANK('2025'!$Q401), 0, 1), 4, if(ISBLANK('2025'!$R401), 0, 1), 5, if(ISBLANK('2025'!$S401), 0, 1), 6, if(ISBLANK('2025'!$T401), 0, 1), 7, 0))), 1, "")</f>
        <v/>
      </c>
      <c r="AT438" s="1" t="str">
        <f>IF(AND(AND(AND(AT$4&gt;='2025'!$L401,AT$4&lt;='2025'!$M401), AT$4&lt;&gt;DATE(2025,7,4)), (SWITCH(weekday(AT$4), 1, 0, 2, if(ISBLANK('2025'!$P401), 0, 1), 3, if(ISBLANK('2025'!$Q401), 0, 1), 4, if(ISBLANK('2025'!$R401), 0, 1), 5, if(ISBLANK('2025'!$S401), 0, 1), 6, if(ISBLANK('2025'!$T401), 0, 1), 7, 0))), 1, "")</f>
        <v/>
      </c>
      <c r="AU438" s="1" t="str">
        <f>IF(AND(AND(AND(AU$4&gt;='2025'!$L401,AU$4&lt;='2025'!$M401), AU$4&lt;&gt;DATE(2025,7,4)), (SWITCH(weekday(AU$4), 1, 0, 2, if(ISBLANK('2025'!$P401), 0, 1), 3, if(ISBLANK('2025'!$Q401), 0, 1), 4, if(ISBLANK('2025'!$R401), 0, 1), 5, if(ISBLANK('2025'!$S401), 0, 1), 6, if(ISBLANK('2025'!$T401), 0, 1), 7, 0))), 1, "")</f>
        <v/>
      </c>
      <c r="AV438" s="1" t="str">
        <f>IF(AND(AND(AND(AV$4&gt;='2025'!$L401,AV$4&lt;='2025'!$M401), AV$4&lt;&gt;DATE(2025,7,4)), (SWITCH(weekday(AV$4), 1, 0, 2, if(ISBLANK('2025'!$P401), 0, 1), 3, if(ISBLANK('2025'!$Q401), 0, 1), 4, if(ISBLANK('2025'!$R401), 0, 1), 5, if(ISBLANK('2025'!$S401), 0, 1), 6, if(ISBLANK('2025'!$T401), 0, 1), 7, 0))), 1, "")</f>
        <v/>
      </c>
      <c r="AW438" s="1" t="str">
        <f>IF(AND(AND(AND(AW$4&gt;='2025'!$L401,AW$4&lt;='2025'!$M401), AW$4&lt;&gt;DATE(2025,7,4)), (SWITCH(weekday(AW$4), 1, 0, 2, if(ISBLANK('2025'!$P401), 0, 1), 3, if(ISBLANK('2025'!$Q401), 0, 1), 4, if(ISBLANK('2025'!$R401), 0, 1), 5, if(ISBLANK('2025'!$S401), 0, 1), 6, if(ISBLANK('2025'!$T401), 0, 1), 7, 0))), 1, "")</f>
        <v/>
      </c>
      <c r="AX438" s="1" t="str">
        <f>IF(AND(AND(AND(AX$4&gt;='2025'!$L401,AX$4&lt;='2025'!$M401), AX$4&lt;&gt;DATE(2025,7,4)), (SWITCH(weekday(AX$4), 1, 0, 2, if(ISBLANK('2025'!$P401), 0, 1), 3, if(ISBLANK('2025'!$Q401), 0, 1), 4, if(ISBLANK('2025'!$R401), 0, 1), 5, if(ISBLANK('2025'!$S401), 0, 1), 6, if(ISBLANK('2025'!$T401), 0, 1), 7, 0))), 1, "")</f>
        <v/>
      </c>
      <c r="AY438" s="1" t="str">
        <f>IF(AND(AND(AND(AY$4&gt;='2025'!$L401,AY$4&lt;='2025'!$M401), AY$4&lt;&gt;DATE(2025,7,4)), (SWITCH(weekday(AY$4), 1, 0, 2, if(ISBLANK('2025'!$P401), 0, 1), 3, if(ISBLANK('2025'!$Q401), 0, 1), 4, if(ISBLANK('2025'!$R401), 0, 1), 5, if(ISBLANK('2025'!$S401), 0, 1), 6, if(ISBLANK('2025'!$T401), 0, 1), 7, 0))), 1, "")</f>
        <v/>
      </c>
      <c r="AZ438" s="1" t="str">
        <f>IF(AND(AND(AND(AZ$4&gt;='2025'!$L401,AZ$4&lt;='2025'!$M401), AZ$4&lt;&gt;DATE(2025,7,4)), (SWITCH(weekday(AZ$4), 1, 0, 2, if(ISBLANK('2025'!$P401), 0, 1), 3, if(ISBLANK('2025'!$Q401), 0, 1), 4, if(ISBLANK('2025'!$R401), 0, 1), 5, if(ISBLANK('2025'!$S401), 0, 1), 6, if(ISBLANK('2025'!$T401), 0, 1), 7, 0))), 1, "")</f>
        <v/>
      </c>
      <c r="BA438" s="1" t="str">
        <f>IF(AND(AND(AND(BA$4&gt;='2025'!$L401,BA$4&lt;='2025'!$M401), BA$4&lt;&gt;DATE(2025,7,4)), (SWITCH(weekday(BA$4), 1, 0, 2, if(ISBLANK('2025'!$P401), 0, 1), 3, if(ISBLANK('2025'!$Q401), 0, 1), 4, if(ISBLANK('2025'!$R401), 0, 1), 5, if(ISBLANK('2025'!$S401), 0, 1), 6, if(ISBLANK('2025'!$T401), 0, 1), 7, 0))), 1, "")</f>
        <v/>
      </c>
      <c r="BB438" s="1" t="str">
        <f>IF(AND(AND(AND(BB$4&gt;='2025'!$L401,BB$4&lt;='2025'!$M401), BB$4&lt;&gt;DATE(2025,7,4)), (SWITCH(weekday(BB$4), 1, 0, 2, if(ISBLANK('2025'!$P401), 0, 1), 3, if(ISBLANK('2025'!$Q401), 0, 1), 4, if(ISBLANK('2025'!$R401), 0, 1), 5, if(ISBLANK('2025'!$S401), 0, 1), 6, if(ISBLANK('2025'!$T401), 0, 1), 7, 0))), 1, "")</f>
        <v/>
      </c>
      <c r="BC438" s="1" t="str">
        <f>IF(AND(AND(AND(BC$4&gt;='2025'!$L401,BC$4&lt;='2025'!$M401), BC$4&lt;&gt;DATE(2025,7,4)), (SWITCH(weekday(BC$4), 1, 0, 2, if(ISBLANK('2025'!$P401), 0, 1), 3, if(ISBLANK('2025'!$Q401), 0, 1), 4, if(ISBLANK('2025'!$R401), 0, 1), 5, if(ISBLANK('2025'!$S401), 0, 1), 6, if(ISBLANK('2025'!$T401), 0, 1), 7, 0))), 1, "")</f>
        <v/>
      </c>
      <c r="BD438" s="1" t="str">
        <f>IF(AND(AND(AND(BD$4&gt;='2025'!$L401,BD$4&lt;='2025'!$M401), BD$4&lt;&gt;DATE(2025,7,4)), (SWITCH(weekday(BD$4), 1, 0, 2, if(ISBLANK('2025'!$P401), 0, 1), 3, if(ISBLANK('2025'!$Q401), 0, 1), 4, if(ISBLANK('2025'!$R401), 0, 1), 5, if(ISBLANK('2025'!$S401), 0, 1), 6, if(ISBLANK('2025'!$T401), 0, 1), 7, 0))), 1, "")</f>
        <v/>
      </c>
      <c r="BE438" s="1" t="str">
        <f>IF(AND(AND(AND(BE$4&gt;='2025'!$L401,BE$4&lt;='2025'!$M401), BE$4&lt;&gt;DATE(2025,7,4)), (SWITCH(weekday(BE$4), 1, 0, 2, if(ISBLANK('2025'!$P401), 0, 1), 3, if(ISBLANK('2025'!$Q401), 0, 1), 4, if(ISBLANK('2025'!$R401), 0, 1), 5, if(ISBLANK('2025'!$S401), 0, 1), 6, if(ISBLANK('2025'!$T401), 0, 1), 7, 0))), 1, "")</f>
        <v/>
      </c>
    </row>
    <row r="439">
      <c r="A439" s="1">
        <f t="shared" si="3"/>
        <v>439</v>
      </c>
      <c r="B439" s="1" t="str">
        <f>'2025'!D402</f>
        <v/>
      </c>
      <c r="C439" s="1" t="str">
        <f>'2025'!H402</f>
        <v/>
      </c>
      <c r="D439" s="1" t="str">
        <f>IF(AND(AND(AND(D$4&gt;='2025'!$L402,D$4&lt;='2025'!$M402), D$4&lt;&gt;DATE(2025,7,4)), (SWITCH(weekday(D$4), 1, 0, 2, if(ISBLANK('2025'!$P402), 0, 1), 3, if(ISBLANK('2025'!$Q402), 0, 1), 4, if(ISBLANK('2025'!$R402), 0, 1), 5, if(ISBLANK('2025'!$S402), 0, 1), 6, if(ISBLANK('2025'!$T402), 0, 1), 7, 0))), 1, "")</f>
        <v/>
      </c>
      <c r="E439" s="1" t="str">
        <f>IF(AND(AND(AND(E$4&gt;='2025'!$L402,E$4&lt;='2025'!$M402), E$4&lt;&gt;DATE(2025,7,4)), (SWITCH(weekday(E$4), 1, 0, 2, if(ISBLANK('2025'!$P402), 0, 1), 3, if(ISBLANK('2025'!$Q402), 0, 1), 4, if(ISBLANK('2025'!$R402), 0, 1), 5, if(ISBLANK('2025'!$S402), 0, 1), 6, if(ISBLANK('2025'!$T402), 0, 1), 7, 0))), 1, "")</f>
        <v/>
      </c>
      <c r="F439" s="1" t="str">
        <f>IF(AND(AND(AND(F$4&gt;='2025'!$L402,F$4&lt;='2025'!$M402), F$4&lt;&gt;DATE(2025,7,4)), (SWITCH(weekday(F$4), 1, 0, 2, if(ISBLANK('2025'!$P402), 0, 1), 3, if(ISBLANK('2025'!$Q402), 0, 1), 4, if(ISBLANK('2025'!$R402), 0, 1), 5, if(ISBLANK('2025'!$S402), 0, 1), 6, if(ISBLANK('2025'!$T402), 0, 1), 7, 0))), 1, "")</f>
        <v/>
      </c>
      <c r="G439" s="1" t="str">
        <f>IF(AND(AND(AND(G$4&gt;='2025'!$L402,G$4&lt;='2025'!$M402), G$4&lt;&gt;DATE(2025,7,4)), (SWITCH(weekday(G$4), 1, 0, 2, if(ISBLANK('2025'!$P402), 0, 1), 3, if(ISBLANK('2025'!$Q402), 0, 1), 4, if(ISBLANK('2025'!$R402), 0, 1), 5, if(ISBLANK('2025'!$S402), 0, 1), 6, if(ISBLANK('2025'!$T402), 0, 1), 7, 0))), 1, "")</f>
        <v/>
      </c>
      <c r="H439" s="1" t="str">
        <f>IF(AND(AND(AND(H$4&gt;='2025'!$L402,H$4&lt;='2025'!$M402), H$4&lt;&gt;DATE(2025,7,4)), (SWITCH(weekday(H$4), 1, 0, 2, if(ISBLANK('2025'!$P402), 0, 1), 3, if(ISBLANK('2025'!$Q402), 0, 1), 4, if(ISBLANK('2025'!$R402), 0, 1), 5, if(ISBLANK('2025'!$S402), 0, 1), 6, if(ISBLANK('2025'!$T402), 0, 1), 7, 0))), 1, "")</f>
        <v/>
      </c>
      <c r="I439" s="1" t="str">
        <f>IF(AND(AND(AND(I$4&gt;='2025'!$L402,I$4&lt;='2025'!$M402), I$4&lt;&gt;DATE(2025,7,4)), (SWITCH(weekday(I$4), 1, 0, 2, if(ISBLANK('2025'!$P402), 0, 1), 3, if(ISBLANK('2025'!$Q402), 0, 1), 4, if(ISBLANK('2025'!$R402), 0, 1), 5, if(ISBLANK('2025'!$S402), 0, 1), 6, if(ISBLANK('2025'!$T402), 0, 1), 7, 0))), 1, "")</f>
        <v/>
      </c>
      <c r="J439" s="1" t="str">
        <f>IF(AND(AND(AND(J$4&gt;='2025'!$L402,J$4&lt;='2025'!$M402), J$4&lt;&gt;DATE(2025,7,4)), (SWITCH(weekday(J$4), 1, 0, 2, if(ISBLANK('2025'!$P402), 0, 1), 3, if(ISBLANK('2025'!$Q402), 0, 1), 4, if(ISBLANK('2025'!$R402), 0, 1), 5, if(ISBLANK('2025'!$S402), 0, 1), 6, if(ISBLANK('2025'!$T402), 0, 1), 7, 0))), 1, "")</f>
        <v/>
      </c>
      <c r="K439" s="1" t="str">
        <f>IF(AND(AND(AND(K$4&gt;='2025'!$L402,K$4&lt;='2025'!$M402), K$4&lt;&gt;DATE(2025,7,4)), (SWITCH(weekday(K$4), 1, 0, 2, if(ISBLANK('2025'!$P402), 0, 1), 3, if(ISBLANK('2025'!$Q402), 0, 1), 4, if(ISBLANK('2025'!$R402), 0, 1), 5, if(ISBLANK('2025'!$S402), 0, 1), 6, if(ISBLANK('2025'!$T402), 0, 1), 7, 0))), 1, "")</f>
        <v/>
      </c>
      <c r="L439" s="1" t="str">
        <f>IF(AND(AND(AND(L$4&gt;='2025'!$L402,L$4&lt;='2025'!$M402), L$4&lt;&gt;DATE(2025,7,4)), (SWITCH(weekday(L$4), 1, 0, 2, if(ISBLANK('2025'!$P402), 0, 1), 3, if(ISBLANK('2025'!$Q402), 0, 1), 4, if(ISBLANK('2025'!$R402), 0, 1), 5, if(ISBLANK('2025'!$S402), 0, 1), 6, if(ISBLANK('2025'!$T402), 0, 1), 7, 0))), 1, "")</f>
        <v/>
      </c>
      <c r="M439" s="1" t="str">
        <f>IF(AND(AND(AND(M$4&gt;='2025'!$L402,M$4&lt;='2025'!$M402), M$4&lt;&gt;DATE(2025,7,4)), (SWITCH(weekday(M$4), 1, 0, 2, if(ISBLANK('2025'!$P402), 0, 1), 3, if(ISBLANK('2025'!$Q402), 0, 1), 4, if(ISBLANK('2025'!$R402), 0, 1), 5, if(ISBLANK('2025'!$S402), 0, 1), 6, if(ISBLANK('2025'!$T402), 0, 1), 7, 0))), 1, "")</f>
        <v/>
      </c>
      <c r="N439" s="1" t="str">
        <f>IF(AND(AND(AND(N$4&gt;='2025'!$L402,N$4&lt;='2025'!$M402), N$4&lt;&gt;DATE(2025,7,4)), (SWITCH(weekday(N$4), 1, 0, 2, if(ISBLANK('2025'!$P402), 0, 1), 3, if(ISBLANK('2025'!$Q402), 0, 1), 4, if(ISBLANK('2025'!$R402), 0, 1), 5, if(ISBLANK('2025'!$S402), 0, 1), 6, if(ISBLANK('2025'!$T402), 0, 1), 7, 0))), 1, "")</f>
        <v/>
      </c>
      <c r="O439" s="1" t="str">
        <f>IF(AND(AND(AND(O$4&gt;='2025'!$L402,O$4&lt;='2025'!$M402), O$4&lt;&gt;DATE(2025,7,4)), (SWITCH(weekday(O$4), 1, 0, 2, if(ISBLANK('2025'!$P402), 0, 1), 3, if(ISBLANK('2025'!$Q402), 0, 1), 4, if(ISBLANK('2025'!$R402), 0, 1), 5, if(ISBLANK('2025'!$S402), 0, 1), 6, if(ISBLANK('2025'!$T402), 0, 1), 7, 0))), 1, "")</f>
        <v/>
      </c>
      <c r="P439" s="1" t="str">
        <f>IF(AND(AND(AND(P$4&gt;='2025'!$L402,P$4&lt;='2025'!$M402), P$4&lt;&gt;DATE(2025,7,4)), (SWITCH(weekday(P$4), 1, 0, 2, if(ISBLANK('2025'!$P402), 0, 1), 3, if(ISBLANK('2025'!$Q402), 0, 1), 4, if(ISBLANK('2025'!$R402), 0, 1), 5, if(ISBLANK('2025'!$S402), 0, 1), 6, if(ISBLANK('2025'!$T402), 0, 1), 7, 0))), 1, "")</f>
        <v/>
      </c>
      <c r="Q439" s="1" t="str">
        <f>IF(AND(AND(AND(Q$4&gt;='2025'!$L402,Q$4&lt;='2025'!$M402), Q$4&lt;&gt;DATE(2025,7,4)), (SWITCH(weekday(Q$4), 1, 0, 2, if(ISBLANK('2025'!$P402), 0, 1), 3, if(ISBLANK('2025'!$Q402), 0, 1), 4, if(ISBLANK('2025'!$R402), 0, 1), 5, if(ISBLANK('2025'!$S402), 0, 1), 6, if(ISBLANK('2025'!$T402), 0, 1), 7, 0))), 1, "")</f>
        <v/>
      </c>
      <c r="R439" s="1" t="str">
        <f>IF(AND(AND(AND(R$4&gt;='2025'!$L402,R$4&lt;='2025'!$M402), R$4&lt;&gt;DATE(2025,7,4)), (SWITCH(weekday(R$4), 1, 0, 2, if(ISBLANK('2025'!$P402), 0, 1), 3, if(ISBLANK('2025'!$Q402), 0, 1), 4, if(ISBLANK('2025'!$R402), 0, 1), 5, if(ISBLANK('2025'!$S402), 0, 1), 6, if(ISBLANK('2025'!$T402), 0, 1), 7, 0))), 1, "")</f>
        <v/>
      </c>
      <c r="S439" s="1" t="str">
        <f>IF(AND(AND(AND(S$4&gt;='2025'!$L402,S$4&lt;='2025'!$M402), S$4&lt;&gt;DATE(2025,7,4)), (SWITCH(weekday(S$4), 1, 0, 2, if(ISBLANK('2025'!$P402), 0, 1), 3, if(ISBLANK('2025'!$Q402), 0, 1), 4, if(ISBLANK('2025'!$R402), 0, 1), 5, if(ISBLANK('2025'!$S402), 0, 1), 6, if(ISBLANK('2025'!$T402), 0, 1), 7, 0))), 1, "")</f>
        <v/>
      </c>
      <c r="T439" s="1" t="str">
        <f>IF(AND(AND(AND(T$4&gt;='2025'!$L402,T$4&lt;='2025'!$M402), T$4&lt;&gt;DATE(2025,7,4)), (SWITCH(weekday(T$4), 1, 0, 2, if(ISBLANK('2025'!$P402), 0, 1), 3, if(ISBLANK('2025'!$Q402), 0, 1), 4, if(ISBLANK('2025'!$R402), 0, 1), 5, if(ISBLANK('2025'!$S402), 0, 1), 6, if(ISBLANK('2025'!$T402), 0, 1), 7, 0))), 1, "")</f>
        <v/>
      </c>
      <c r="U439" s="1" t="str">
        <f>IF(AND(AND(AND(U$4&gt;='2025'!$L402,U$4&lt;='2025'!$M402), U$4&lt;&gt;DATE(2025,7,4)), (SWITCH(weekday(U$4), 1, 0, 2, if(ISBLANK('2025'!$P402), 0, 1), 3, if(ISBLANK('2025'!$Q402), 0, 1), 4, if(ISBLANK('2025'!$R402), 0, 1), 5, if(ISBLANK('2025'!$S402), 0, 1), 6, if(ISBLANK('2025'!$T402), 0, 1), 7, 0))), 1, "")</f>
        <v/>
      </c>
      <c r="V439" s="1" t="str">
        <f>IF(AND(AND(AND(V$4&gt;='2025'!$L402,V$4&lt;='2025'!$M402), V$4&lt;&gt;DATE(2025,7,4)), (SWITCH(weekday(V$4), 1, 0, 2, if(ISBLANK('2025'!$P402), 0, 1), 3, if(ISBLANK('2025'!$Q402), 0, 1), 4, if(ISBLANK('2025'!$R402), 0, 1), 5, if(ISBLANK('2025'!$S402), 0, 1), 6, if(ISBLANK('2025'!$T402), 0, 1), 7, 0))), 1, "")</f>
        <v/>
      </c>
      <c r="W439" s="1" t="str">
        <f>IF(AND(AND(AND(W$4&gt;='2025'!$L402,W$4&lt;='2025'!$M402), W$4&lt;&gt;DATE(2025,7,4)), (SWITCH(weekday(W$4), 1, 0, 2, if(ISBLANK('2025'!$P402), 0, 1), 3, if(ISBLANK('2025'!$Q402), 0, 1), 4, if(ISBLANK('2025'!$R402), 0, 1), 5, if(ISBLANK('2025'!$S402), 0, 1), 6, if(ISBLANK('2025'!$T402), 0, 1), 7, 0))), 1, "")</f>
        <v/>
      </c>
      <c r="X439" s="1" t="str">
        <f>IF(AND(AND(AND(X$4&gt;='2025'!$L402,X$4&lt;='2025'!$M402), X$4&lt;&gt;DATE(2025,7,4)), (SWITCH(weekday(X$4), 1, 0, 2, if(ISBLANK('2025'!$P402), 0, 1), 3, if(ISBLANK('2025'!$Q402), 0, 1), 4, if(ISBLANK('2025'!$R402), 0, 1), 5, if(ISBLANK('2025'!$S402), 0, 1), 6, if(ISBLANK('2025'!$T402), 0, 1), 7, 0))), 1, "")</f>
        <v/>
      </c>
      <c r="Y439" s="1" t="str">
        <f>IF(AND(AND(AND(Y$4&gt;='2025'!$L402,Y$4&lt;='2025'!$M402), Y$4&lt;&gt;DATE(2025,7,4)), (SWITCH(weekday(Y$4), 1, 0, 2, if(ISBLANK('2025'!$P402), 0, 1), 3, if(ISBLANK('2025'!$Q402), 0, 1), 4, if(ISBLANK('2025'!$R402), 0, 1), 5, if(ISBLANK('2025'!$S402), 0, 1), 6, if(ISBLANK('2025'!$T402), 0, 1), 7, 0))), 1, "")</f>
        <v/>
      </c>
      <c r="Z439" s="1" t="str">
        <f>IF(AND(AND(AND(Z$4&gt;='2025'!$L402,Z$4&lt;='2025'!$M402), Z$4&lt;&gt;DATE(2025,7,4)), (SWITCH(weekday(Z$4), 1, 0, 2, if(ISBLANK('2025'!$P402), 0, 1), 3, if(ISBLANK('2025'!$Q402), 0, 1), 4, if(ISBLANK('2025'!$R402), 0, 1), 5, if(ISBLANK('2025'!$S402), 0, 1), 6, if(ISBLANK('2025'!$T402), 0, 1), 7, 0))), 1, "")</f>
        <v/>
      </c>
      <c r="AA439" s="1" t="str">
        <f>IF(AND(AND(AND(AA$4&gt;='2025'!$L402,AA$4&lt;='2025'!$M402), AA$4&lt;&gt;DATE(2025,7,4)), (SWITCH(weekday(AA$4), 1, 0, 2, if(ISBLANK('2025'!$P402), 0, 1), 3, if(ISBLANK('2025'!$Q402), 0, 1), 4, if(ISBLANK('2025'!$R402), 0, 1), 5, if(ISBLANK('2025'!$S402), 0, 1), 6, if(ISBLANK('2025'!$T402), 0, 1), 7, 0))), 1, "")</f>
        <v/>
      </c>
      <c r="AB439" s="1" t="str">
        <f>IF(AND(AND(AND(AB$4&gt;='2025'!$L402,AB$4&lt;='2025'!$M402), AB$4&lt;&gt;DATE(2025,7,4)), (SWITCH(weekday(AB$4), 1, 0, 2, if(ISBLANK('2025'!$P402), 0, 1), 3, if(ISBLANK('2025'!$Q402), 0, 1), 4, if(ISBLANK('2025'!$R402), 0, 1), 5, if(ISBLANK('2025'!$S402), 0, 1), 6, if(ISBLANK('2025'!$T402), 0, 1), 7, 0))), 1, "")</f>
        <v/>
      </c>
      <c r="AC439" s="1" t="str">
        <f>IF(AND(AND(AND(AC$4&gt;='2025'!$L402,AC$4&lt;='2025'!$M402), AC$4&lt;&gt;DATE(2025,7,4)), (SWITCH(weekday(AC$4), 1, 0, 2, if(ISBLANK('2025'!$P402), 0, 1), 3, if(ISBLANK('2025'!$Q402), 0, 1), 4, if(ISBLANK('2025'!$R402), 0, 1), 5, if(ISBLANK('2025'!$S402), 0, 1), 6, if(ISBLANK('2025'!$T402), 0, 1), 7, 0))), 1, "")</f>
        <v/>
      </c>
      <c r="AD439" s="1" t="str">
        <f>IF(AND(AND(AND(AD$4&gt;='2025'!$L402,AD$4&lt;='2025'!$M402), AD$4&lt;&gt;DATE(2025,7,4)), (SWITCH(weekday(AD$4), 1, 0, 2, if(ISBLANK('2025'!$P402), 0, 1), 3, if(ISBLANK('2025'!$Q402), 0, 1), 4, if(ISBLANK('2025'!$R402), 0, 1), 5, if(ISBLANK('2025'!$S402), 0, 1), 6, if(ISBLANK('2025'!$T402), 0, 1), 7, 0))), 1, "")</f>
        <v/>
      </c>
      <c r="AE439" s="1" t="str">
        <f>IF(AND(AND(AND(AE$4&gt;='2025'!$L402,AE$4&lt;='2025'!$M402), AE$4&lt;&gt;DATE(2025,7,4)), (SWITCH(weekday(AE$4), 1, 0, 2, if(ISBLANK('2025'!$P402), 0, 1), 3, if(ISBLANK('2025'!$Q402), 0, 1), 4, if(ISBLANK('2025'!$R402), 0, 1), 5, if(ISBLANK('2025'!$S402), 0, 1), 6, if(ISBLANK('2025'!$T402), 0, 1), 7, 0))), 1, "")</f>
        <v/>
      </c>
      <c r="AF439" s="1" t="str">
        <f>IF(AND(AND(AND(AF$4&gt;='2025'!$L402,AF$4&lt;='2025'!$M402), AF$4&lt;&gt;DATE(2025,7,4)), (SWITCH(weekday(AF$4), 1, 0, 2, if(ISBLANK('2025'!$P402), 0, 1), 3, if(ISBLANK('2025'!$Q402), 0, 1), 4, if(ISBLANK('2025'!$R402), 0, 1), 5, if(ISBLANK('2025'!$S402), 0, 1), 6, if(ISBLANK('2025'!$T402), 0, 1), 7, 0))), 1, "")</f>
        <v/>
      </c>
      <c r="AG439" s="1" t="str">
        <f>IF(AND(AND(AND(AG$4&gt;='2025'!$L402,AG$4&lt;='2025'!$M402), AG$4&lt;&gt;DATE(2025,7,4)), (SWITCH(weekday(AG$4), 1, 0, 2, if(ISBLANK('2025'!$P402), 0, 1), 3, if(ISBLANK('2025'!$Q402), 0, 1), 4, if(ISBLANK('2025'!$R402), 0, 1), 5, if(ISBLANK('2025'!$S402), 0, 1), 6, if(ISBLANK('2025'!$T402), 0, 1), 7, 0))), 1, "")</f>
        <v/>
      </c>
      <c r="AH439" s="1" t="str">
        <f>IF(AND(AND(AND(AH$4&gt;='2025'!$L402,AH$4&lt;='2025'!$M402), AH$4&lt;&gt;DATE(2025,7,4)), (SWITCH(weekday(AH$4), 1, 0, 2, if(ISBLANK('2025'!$P402), 0, 1), 3, if(ISBLANK('2025'!$Q402), 0, 1), 4, if(ISBLANK('2025'!$R402), 0, 1), 5, if(ISBLANK('2025'!$S402), 0, 1), 6, if(ISBLANK('2025'!$T402), 0, 1), 7, 0))), 1, "")</f>
        <v/>
      </c>
      <c r="AI439" s="1" t="str">
        <f>IF(AND(AND(AND(AI$4&gt;='2025'!$L402,AI$4&lt;='2025'!$M402), AI$4&lt;&gt;DATE(2025,7,4)), (SWITCH(weekday(AI$4), 1, 0, 2, if(ISBLANK('2025'!$P402), 0, 1), 3, if(ISBLANK('2025'!$Q402), 0, 1), 4, if(ISBLANK('2025'!$R402), 0, 1), 5, if(ISBLANK('2025'!$S402), 0, 1), 6, if(ISBLANK('2025'!$T402), 0, 1), 7, 0))), 1, "")</f>
        <v/>
      </c>
      <c r="AJ439" s="1" t="str">
        <f>IF(AND(AND(AND(AJ$4&gt;='2025'!$L402,AJ$4&lt;='2025'!$M402), AJ$4&lt;&gt;DATE(2025,7,4)), (SWITCH(weekday(AJ$4), 1, 0, 2, if(ISBLANK('2025'!$P402), 0, 1), 3, if(ISBLANK('2025'!$Q402), 0, 1), 4, if(ISBLANK('2025'!$R402), 0, 1), 5, if(ISBLANK('2025'!$S402), 0, 1), 6, if(ISBLANK('2025'!$T402), 0, 1), 7, 0))), 1, "")</f>
        <v/>
      </c>
      <c r="AK439" s="1" t="str">
        <f>IF(AND(AND(AND(AK$4&gt;='2025'!$L402,AK$4&lt;='2025'!$M402), AK$4&lt;&gt;DATE(2025,7,4)), (SWITCH(weekday(AK$4), 1, 0, 2, if(ISBLANK('2025'!$P402), 0, 1), 3, if(ISBLANK('2025'!$Q402), 0, 1), 4, if(ISBLANK('2025'!$R402), 0, 1), 5, if(ISBLANK('2025'!$S402), 0, 1), 6, if(ISBLANK('2025'!$T402), 0, 1), 7, 0))), 1, "")</f>
        <v/>
      </c>
      <c r="AL439" s="1" t="str">
        <f>IF(AND(AND(AND(AL$4&gt;='2025'!$L402,AL$4&lt;='2025'!$M402), AL$4&lt;&gt;DATE(2025,7,4)), (SWITCH(weekday(AL$4), 1, 0, 2, if(ISBLANK('2025'!$P402), 0, 1), 3, if(ISBLANK('2025'!$Q402), 0, 1), 4, if(ISBLANK('2025'!$R402), 0, 1), 5, if(ISBLANK('2025'!$S402), 0, 1), 6, if(ISBLANK('2025'!$T402), 0, 1), 7, 0))), 1, "")</f>
        <v/>
      </c>
      <c r="AM439" s="1" t="str">
        <f>IF(AND(AND(AND(AM$4&gt;='2025'!$L402,AM$4&lt;='2025'!$M402), AM$4&lt;&gt;DATE(2025,7,4)), (SWITCH(weekday(AM$4), 1, 0, 2, if(ISBLANK('2025'!$P402), 0, 1), 3, if(ISBLANK('2025'!$Q402), 0, 1), 4, if(ISBLANK('2025'!$R402), 0, 1), 5, if(ISBLANK('2025'!$S402), 0, 1), 6, if(ISBLANK('2025'!$T402), 0, 1), 7, 0))), 1, "")</f>
        <v/>
      </c>
      <c r="AN439" s="1" t="str">
        <f>IF(AND(AND(AND(AN$4&gt;='2025'!$L402,AN$4&lt;='2025'!$M402), AN$4&lt;&gt;DATE(2025,7,4)), (SWITCH(weekday(AN$4), 1, 0, 2, if(ISBLANK('2025'!$P402), 0, 1), 3, if(ISBLANK('2025'!$Q402), 0, 1), 4, if(ISBLANK('2025'!$R402), 0, 1), 5, if(ISBLANK('2025'!$S402), 0, 1), 6, if(ISBLANK('2025'!$T402), 0, 1), 7, 0))), 1, "")</f>
        <v/>
      </c>
      <c r="AO439" s="1" t="str">
        <f>IF(AND(AND(AND(AO$4&gt;='2025'!$L402,AO$4&lt;='2025'!$M402), AO$4&lt;&gt;DATE(2025,7,4)), (SWITCH(weekday(AO$4), 1, 0, 2, if(ISBLANK('2025'!$P402), 0, 1), 3, if(ISBLANK('2025'!$Q402), 0, 1), 4, if(ISBLANK('2025'!$R402), 0, 1), 5, if(ISBLANK('2025'!$S402), 0, 1), 6, if(ISBLANK('2025'!$T402), 0, 1), 7, 0))), 1, "")</f>
        <v/>
      </c>
      <c r="AP439" s="1" t="str">
        <f>IF(AND(AND(AND(AP$4&gt;='2025'!$L402,AP$4&lt;='2025'!$M402), AP$4&lt;&gt;DATE(2025,7,4)), (SWITCH(weekday(AP$4), 1, 0, 2, if(ISBLANK('2025'!$P402), 0, 1), 3, if(ISBLANK('2025'!$Q402), 0, 1), 4, if(ISBLANK('2025'!$R402), 0, 1), 5, if(ISBLANK('2025'!$S402), 0, 1), 6, if(ISBLANK('2025'!$T402), 0, 1), 7, 0))), 1, "")</f>
        <v/>
      </c>
      <c r="AQ439" s="1" t="str">
        <f>IF(AND(AND(AND(AQ$4&gt;='2025'!$L402,AQ$4&lt;='2025'!$M402), AQ$4&lt;&gt;DATE(2025,7,4)), (SWITCH(weekday(AQ$4), 1, 0, 2, if(ISBLANK('2025'!$P402), 0, 1), 3, if(ISBLANK('2025'!$Q402), 0, 1), 4, if(ISBLANK('2025'!$R402), 0, 1), 5, if(ISBLANK('2025'!$S402), 0, 1), 6, if(ISBLANK('2025'!$T402), 0, 1), 7, 0))), 1, "")</f>
        <v/>
      </c>
      <c r="AR439" s="1" t="str">
        <f>IF(AND(AND(AND(AR$4&gt;='2025'!$L402,AR$4&lt;='2025'!$M402), AR$4&lt;&gt;DATE(2025,7,4)), (SWITCH(weekday(AR$4), 1, 0, 2, if(ISBLANK('2025'!$P402), 0, 1), 3, if(ISBLANK('2025'!$Q402), 0, 1), 4, if(ISBLANK('2025'!$R402), 0, 1), 5, if(ISBLANK('2025'!$S402), 0, 1), 6, if(ISBLANK('2025'!$T402), 0, 1), 7, 0))), 1, "")</f>
        <v/>
      </c>
      <c r="AS439" s="1" t="str">
        <f>IF(AND(AND(AND(AS$4&gt;='2025'!$L402,AS$4&lt;='2025'!$M402), AS$4&lt;&gt;DATE(2025,7,4)), (SWITCH(weekday(AS$4), 1, 0, 2, if(ISBLANK('2025'!$P402), 0, 1), 3, if(ISBLANK('2025'!$Q402), 0, 1), 4, if(ISBLANK('2025'!$R402), 0, 1), 5, if(ISBLANK('2025'!$S402), 0, 1), 6, if(ISBLANK('2025'!$T402), 0, 1), 7, 0))), 1, "")</f>
        <v/>
      </c>
      <c r="AT439" s="1" t="str">
        <f>IF(AND(AND(AND(AT$4&gt;='2025'!$L402,AT$4&lt;='2025'!$M402), AT$4&lt;&gt;DATE(2025,7,4)), (SWITCH(weekday(AT$4), 1, 0, 2, if(ISBLANK('2025'!$P402), 0, 1), 3, if(ISBLANK('2025'!$Q402), 0, 1), 4, if(ISBLANK('2025'!$R402), 0, 1), 5, if(ISBLANK('2025'!$S402), 0, 1), 6, if(ISBLANK('2025'!$T402), 0, 1), 7, 0))), 1, "")</f>
        <v/>
      </c>
      <c r="AU439" s="1" t="str">
        <f>IF(AND(AND(AND(AU$4&gt;='2025'!$L402,AU$4&lt;='2025'!$M402), AU$4&lt;&gt;DATE(2025,7,4)), (SWITCH(weekday(AU$4), 1, 0, 2, if(ISBLANK('2025'!$P402), 0, 1), 3, if(ISBLANK('2025'!$Q402), 0, 1), 4, if(ISBLANK('2025'!$R402), 0, 1), 5, if(ISBLANK('2025'!$S402), 0, 1), 6, if(ISBLANK('2025'!$T402), 0, 1), 7, 0))), 1, "")</f>
        <v/>
      </c>
      <c r="AV439" s="1" t="str">
        <f>IF(AND(AND(AND(AV$4&gt;='2025'!$L402,AV$4&lt;='2025'!$M402), AV$4&lt;&gt;DATE(2025,7,4)), (SWITCH(weekday(AV$4), 1, 0, 2, if(ISBLANK('2025'!$P402), 0, 1), 3, if(ISBLANK('2025'!$Q402), 0, 1), 4, if(ISBLANK('2025'!$R402), 0, 1), 5, if(ISBLANK('2025'!$S402), 0, 1), 6, if(ISBLANK('2025'!$T402), 0, 1), 7, 0))), 1, "")</f>
        <v/>
      </c>
      <c r="AW439" s="1" t="str">
        <f>IF(AND(AND(AND(AW$4&gt;='2025'!$L402,AW$4&lt;='2025'!$M402), AW$4&lt;&gt;DATE(2025,7,4)), (SWITCH(weekday(AW$4), 1, 0, 2, if(ISBLANK('2025'!$P402), 0, 1), 3, if(ISBLANK('2025'!$Q402), 0, 1), 4, if(ISBLANK('2025'!$R402), 0, 1), 5, if(ISBLANK('2025'!$S402), 0, 1), 6, if(ISBLANK('2025'!$T402), 0, 1), 7, 0))), 1, "")</f>
        <v/>
      </c>
      <c r="AX439" s="1" t="str">
        <f>IF(AND(AND(AND(AX$4&gt;='2025'!$L402,AX$4&lt;='2025'!$M402), AX$4&lt;&gt;DATE(2025,7,4)), (SWITCH(weekday(AX$4), 1, 0, 2, if(ISBLANK('2025'!$P402), 0, 1), 3, if(ISBLANK('2025'!$Q402), 0, 1), 4, if(ISBLANK('2025'!$R402), 0, 1), 5, if(ISBLANK('2025'!$S402), 0, 1), 6, if(ISBLANK('2025'!$T402), 0, 1), 7, 0))), 1, "")</f>
        <v/>
      </c>
      <c r="AY439" s="1" t="str">
        <f>IF(AND(AND(AND(AY$4&gt;='2025'!$L402,AY$4&lt;='2025'!$M402), AY$4&lt;&gt;DATE(2025,7,4)), (SWITCH(weekday(AY$4), 1, 0, 2, if(ISBLANK('2025'!$P402), 0, 1), 3, if(ISBLANK('2025'!$Q402), 0, 1), 4, if(ISBLANK('2025'!$R402), 0, 1), 5, if(ISBLANK('2025'!$S402), 0, 1), 6, if(ISBLANK('2025'!$T402), 0, 1), 7, 0))), 1, "")</f>
        <v/>
      </c>
      <c r="AZ439" s="1" t="str">
        <f>IF(AND(AND(AND(AZ$4&gt;='2025'!$L402,AZ$4&lt;='2025'!$M402), AZ$4&lt;&gt;DATE(2025,7,4)), (SWITCH(weekday(AZ$4), 1, 0, 2, if(ISBLANK('2025'!$P402), 0, 1), 3, if(ISBLANK('2025'!$Q402), 0, 1), 4, if(ISBLANK('2025'!$R402), 0, 1), 5, if(ISBLANK('2025'!$S402), 0, 1), 6, if(ISBLANK('2025'!$T402), 0, 1), 7, 0))), 1, "")</f>
        <v/>
      </c>
      <c r="BA439" s="1" t="str">
        <f>IF(AND(AND(AND(BA$4&gt;='2025'!$L402,BA$4&lt;='2025'!$M402), BA$4&lt;&gt;DATE(2025,7,4)), (SWITCH(weekday(BA$4), 1, 0, 2, if(ISBLANK('2025'!$P402), 0, 1), 3, if(ISBLANK('2025'!$Q402), 0, 1), 4, if(ISBLANK('2025'!$R402), 0, 1), 5, if(ISBLANK('2025'!$S402), 0, 1), 6, if(ISBLANK('2025'!$T402), 0, 1), 7, 0))), 1, "")</f>
        <v/>
      </c>
      <c r="BB439" s="1" t="str">
        <f>IF(AND(AND(AND(BB$4&gt;='2025'!$L402,BB$4&lt;='2025'!$M402), BB$4&lt;&gt;DATE(2025,7,4)), (SWITCH(weekday(BB$4), 1, 0, 2, if(ISBLANK('2025'!$P402), 0, 1), 3, if(ISBLANK('2025'!$Q402), 0, 1), 4, if(ISBLANK('2025'!$R402), 0, 1), 5, if(ISBLANK('2025'!$S402), 0, 1), 6, if(ISBLANK('2025'!$T402), 0, 1), 7, 0))), 1, "")</f>
        <v/>
      </c>
      <c r="BC439" s="1" t="str">
        <f>IF(AND(AND(AND(BC$4&gt;='2025'!$L402,BC$4&lt;='2025'!$M402), BC$4&lt;&gt;DATE(2025,7,4)), (SWITCH(weekday(BC$4), 1, 0, 2, if(ISBLANK('2025'!$P402), 0, 1), 3, if(ISBLANK('2025'!$Q402), 0, 1), 4, if(ISBLANK('2025'!$R402), 0, 1), 5, if(ISBLANK('2025'!$S402), 0, 1), 6, if(ISBLANK('2025'!$T402), 0, 1), 7, 0))), 1, "")</f>
        <v/>
      </c>
      <c r="BD439" s="1" t="str">
        <f>IF(AND(AND(AND(BD$4&gt;='2025'!$L402,BD$4&lt;='2025'!$M402), BD$4&lt;&gt;DATE(2025,7,4)), (SWITCH(weekday(BD$4), 1, 0, 2, if(ISBLANK('2025'!$P402), 0, 1), 3, if(ISBLANK('2025'!$Q402), 0, 1), 4, if(ISBLANK('2025'!$R402), 0, 1), 5, if(ISBLANK('2025'!$S402), 0, 1), 6, if(ISBLANK('2025'!$T402), 0, 1), 7, 0))), 1, "")</f>
        <v/>
      </c>
      <c r="BE439" s="1" t="str">
        <f>IF(AND(AND(AND(BE$4&gt;='2025'!$L402,BE$4&lt;='2025'!$M402), BE$4&lt;&gt;DATE(2025,7,4)), (SWITCH(weekday(BE$4), 1, 0, 2, if(ISBLANK('2025'!$P402), 0, 1), 3, if(ISBLANK('2025'!$Q402), 0, 1), 4, if(ISBLANK('2025'!$R402), 0, 1), 5, if(ISBLANK('2025'!$S402), 0, 1), 6, if(ISBLANK('2025'!$T402), 0, 1), 7, 0))), 1, "")</f>
        <v/>
      </c>
    </row>
    <row r="440">
      <c r="A440" s="1">
        <f t="shared" si="3"/>
        <v>440</v>
      </c>
      <c r="B440" s="1" t="str">
        <f>'2025'!D403</f>
        <v/>
      </c>
      <c r="C440" s="1" t="str">
        <f>'2025'!H403</f>
        <v/>
      </c>
      <c r="D440" s="1" t="str">
        <f>IF(AND(AND(AND(D$4&gt;='2025'!$L403,D$4&lt;='2025'!$M403), D$4&lt;&gt;DATE(2025,7,4)), (SWITCH(weekday(D$4), 1, 0, 2, if(ISBLANK('2025'!$P403), 0, 1), 3, if(ISBLANK('2025'!$Q403), 0, 1), 4, if(ISBLANK('2025'!$R403), 0, 1), 5, if(ISBLANK('2025'!$S403), 0, 1), 6, if(ISBLANK('2025'!$T403), 0, 1), 7, 0))), 1, "")</f>
        <v/>
      </c>
      <c r="E440" s="1" t="str">
        <f>IF(AND(AND(AND(E$4&gt;='2025'!$L403,E$4&lt;='2025'!$M403), E$4&lt;&gt;DATE(2025,7,4)), (SWITCH(weekday(E$4), 1, 0, 2, if(ISBLANK('2025'!$P403), 0, 1), 3, if(ISBLANK('2025'!$Q403), 0, 1), 4, if(ISBLANK('2025'!$R403), 0, 1), 5, if(ISBLANK('2025'!$S403), 0, 1), 6, if(ISBLANK('2025'!$T403), 0, 1), 7, 0))), 1, "")</f>
        <v/>
      </c>
      <c r="F440" s="1" t="str">
        <f>IF(AND(AND(AND(F$4&gt;='2025'!$L403,F$4&lt;='2025'!$M403), F$4&lt;&gt;DATE(2025,7,4)), (SWITCH(weekday(F$4), 1, 0, 2, if(ISBLANK('2025'!$P403), 0, 1), 3, if(ISBLANK('2025'!$Q403), 0, 1), 4, if(ISBLANK('2025'!$R403), 0, 1), 5, if(ISBLANK('2025'!$S403), 0, 1), 6, if(ISBLANK('2025'!$T403), 0, 1), 7, 0))), 1, "")</f>
        <v/>
      </c>
      <c r="G440" s="1" t="str">
        <f>IF(AND(AND(AND(G$4&gt;='2025'!$L403,G$4&lt;='2025'!$M403), G$4&lt;&gt;DATE(2025,7,4)), (SWITCH(weekday(G$4), 1, 0, 2, if(ISBLANK('2025'!$P403), 0, 1), 3, if(ISBLANK('2025'!$Q403), 0, 1), 4, if(ISBLANK('2025'!$R403), 0, 1), 5, if(ISBLANK('2025'!$S403), 0, 1), 6, if(ISBLANK('2025'!$T403), 0, 1), 7, 0))), 1, "")</f>
        <v/>
      </c>
      <c r="H440" s="1" t="str">
        <f>IF(AND(AND(AND(H$4&gt;='2025'!$L403,H$4&lt;='2025'!$M403), H$4&lt;&gt;DATE(2025,7,4)), (SWITCH(weekday(H$4), 1, 0, 2, if(ISBLANK('2025'!$P403), 0, 1), 3, if(ISBLANK('2025'!$Q403), 0, 1), 4, if(ISBLANK('2025'!$R403), 0, 1), 5, if(ISBLANK('2025'!$S403), 0, 1), 6, if(ISBLANK('2025'!$T403), 0, 1), 7, 0))), 1, "")</f>
        <v/>
      </c>
      <c r="I440" s="1" t="str">
        <f>IF(AND(AND(AND(I$4&gt;='2025'!$L403,I$4&lt;='2025'!$M403), I$4&lt;&gt;DATE(2025,7,4)), (SWITCH(weekday(I$4), 1, 0, 2, if(ISBLANK('2025'!$P403), 0, 1), 3, if(ISBLANK('2025'!$Q403), 0, 1), 4, if(ISBLANK('2025'!$R403), 0, 1), 5, if(ISBLANK('2025'!$S403), 0, 1), 6, if(ISBLANK('2025'!$T403), 0, 1), 7, 0))), 1, "")</f>
        <v/>
      </c>
      <c r="J440" s="1" t="str">
        <f>IF(AND(AND(AND(J$4&gt;='2025'!$L403,J$4&lt;='2025'!$M403), J$4&lt;&gt;DATE(2025,7,4)), (SWITCH(weekday(J$4), 1, 0, 2, if(ISBLANK('2025'!$P403), 0, 1), 3, if(ISBLANK('2025'!$Q403), 0, 1), 4, if(ISBLANK('2025'!$R403), 0, 1), 5, if(ISBLANK('2025'!$S403), 0, 1), 6, if(ISBLANK('2025'!$T403), 0, 1), 7, 0))), 1, "")</f>
        <v/>
      </c>
      <c r="K440" s="1" t="str">
        <f>IF(AND(AND(AND(K$4&gt;='2025'!$L403,K$4&lt;='2025'!$M403), K$4&lt;&gt;DATE(2025,7,4)), (SWITCH(weekday(K$4), 1, 0, 2, if(ISBLANK('2025'!$P403), 0, 1), 3, if(ISBLANK('2025'!$Q403), 0, 1), 4, if(ISBLANK('2025'!$R403), 0, 1), 5, if(ISBLANK('2025'!$S403), 0, 1), 6, if(ISBLANK('2025'!$T403), 0, 1), 7, 0))), 1, "")</f>
        <v/>
      </c>
      <c r="L440" s="1" t="str">
        <f>IF(AND(AND(AND(L$4&gt;='2025'!$L403,L$4&lt;='2025'!$M403), L$4&lt;&gt;DATE(2025,7,4)), (SWITCH(weekday(L$4), 1, 0, 2, if(ISBLANK('2025'!$P403), 0, 1), 3, if(ISBLANK('2025'!$Q403), 0, 1), 4, if(ISBLANK('2025'!$R403), 0, 1), 5, if(ISBLANK('2025'!$S403), 0, 1), 6, if(ISBLANK('2025'!$T403), 0, 1), 7, 0))), 1, "")</f>
        <v/>
      </c>
      <c r="M440" s="1" t="str">
        <f>IF(AND(AND(AND(M$4&gt;='2025'!$L403,M$4&lt;='2025'!$M403), M$4&lt;&gt;DATE(2025,7,4)), (SWITCH(weekday(M$4), 1, 0, 2, if(ISBLANK('2025'!$P403), 0, 1), 3, if(ISBLANK('2025'!$Q403), 0, 1), 4, if(ISBLANK('2025'!$R403), 0, 1), 5, if(ISBLANK('2025'!$S403), 0, 1), 6, if(ISBLANK('2025'!$T403), 0, 1), 7, 0))), 1, "")</f>
        <v/>
      </c>
      <c r="N440" s="1" t="str">
        <f>IF(AND(AND(AND(N$4&gt;='2025'!$L403,N$4&lt;='2025'!$M403), N$4&lt;&gt;DATE(2025,7,4)), (SWITCH(weekday(N$4), 1, 0, 2, if(ISBLANK('2025'!$P403), 0, 1), 3, if(ISBLANK('2025'!$Q403), 0, 1), 4, if(ISBLANK('2025'!$R403), 0, 1), 5, if(ISBLANK('2025'!$S403), 0, 1), 6, if(ISBLANK('2025'!$T403), 0, 1), 7, 0))), 1, "")</f>
        <v/>
      </c>
      <c r="O440" s="1" t="str">
        <f>IF(AND(AND(AND(O$4&gt;='2025'!$L403,O$4&lt;='2025'!$M403), O$4&lt;&gt;DATE(2025,7,4)), (SWITCH(weekday(O$4), 1, 0, 2, if(ISBLANK('2025'!$P403), 0, 1), 3, if(ISBLANK('2025'!$Q403), 0, 1), 4, if(ISBLANK('2025'!$R403), 0, 1), 5, if(ISBLANK('2025'!$S403), 0, 1), 6, if(ISBLANK('2025'!$T403), 0, 1), 7, 0))), 1, "")</f>
        <v/>
      </c>
      <c r="P440" s="1" t="str">
        <f>IF(AND(AND(AND(P$4&gt;='2025'!$L403,P$4&lt;='2025'!$M403), P$4&lt;&gt;DATE(2025,7,4)), (SWITCH(weekday(P$4), 1, 0, 2, if(ISBLANK('2025'!$P403), 0, 1), 3, if(ISBLANK('2025'!$Q403), 0, 1), 4, if(ISBLANK('2025'!$R403), 0, 1), 5, if(ISBLANK('2025'!$S403), 0, 1), 6, if(ISBLANK('2025'!$T403), 0, 1), 7, 0))), 1, "")</f>
        <v/>
      </c>
      <c r="Q440" s="1" t="str">
        <f>IF(AND(AND(AND(Q$4&gt;='2025'!$L403,Q$4&lt;='2025'!$M403), Q$4&lt;&gt;DATE(2025,7,4)), (SWITCH(weekday(Q$4), 1, 0, 2, if(ISBLANK('2025'!$P403), 0, 1), 3, if(ISBLANK('2025'!$Q403), 0, 1), 4, if(ISBLANK('2025'!$R403), 0, 1), 5, if(ISBLANK('2025'!$S403), 0, 1), 6, if(ISBLANK('2025'!$T403), 0, 1), 7, 0))), 1, "")</f>
        <v/>
      </c>
      <c r="R440" s="1" t="str">
        <f>IF(AND(AND(AND(R$4&gt;='2025'!$L403,R$4&lt;='2025'!$M403), R$4&lt;&gt;DATE(2025,7,4)), (SWITCH(weekday(R$4), 1, 0, 2, if(ISBLANK('2025'!$P403), 0, 1), 3, if(ISBLANK('2025'!$Q403), 0, 1), 4, if(ISBLANK('2025'!$R403), 0, 1), 5, if(ISBLANK('2025'!$S403), 0, 1), 6, if(ISBLANK('2025'!$T403), 0, 1), 7, 0))), 1, "")</f>
        <v/>
      </c>
      <c r="S440" s="1" t="str">
        <f>IF(AND(AND(AND(S$4&gt;='2025'!$L403,S$4&lt;='2025'!$M403), S$4&lt;&gt;DATE(2025,7,4)), (SWITCH(weekday(S$4), 1, 0, 2, if(ISBLANK('2025'!$P403), 0, 1), 3, if(ISBLANK('2025'!$Q403), 0, 1), 4, if(ISBLANK('2025'!$R403), 0, 1), 5, if(ISBLANK('2025'!$S403), 0, 1), 6, if(ISBLANK('2025'!$T403), 0, 1), 7, 0))), 1, "")</f>
        <v/>
      </c>
      <c r="T440" s="1" t="str">
        <f>IF(AND(AND(AND(T$4&gt;='2025'!$L403,T$4&lt;='2025'!$M403), T$4&lt;&gt;DATE(2025,7,4)), (SWITCH(weekday(T$4), 1, 0, 2, if(ISBLANK('2025'!$P403), 0, 1), 3, if(ISBLANK('2025'!$Q403), 0, 1), 4, if(ISBLANK('2025'!$R403), 0, 1), 5, if(ISBLANK('2025'!$S403), 0, 1), 6, if(ISBLANK('2025'!$T403), 0, 1), 7, 0))), 1, "")</f>
        <v/>
      </c>
      <c r="U440" s="1" t="str">
        <f>IF(AND(AND(AND(U$4&gt;='2025'!$L403,U$4&lt;='2025'!$M403), U$4&lt;&gt;DATE(2025,7,4)), (SWITCH(weekday(U$4), 1, 0, 2, if(ISBLANK('2025'!$P403), 0, 1), 3, if(ISBLANK('2025'!$Q403), 0, 1), 4, if(ISBLANK('2025'!$R403), 0, 1), 5, if(ISBLANK('2025'!$S403), 0, 1), 6, if(ISBLANK('2025'!$T403), 0, 1), 7, 0))), 1, "")</f>
        <v/>
      </c>
      <c r="V440" s="1" t="str">
        <f>IF(AND(AND(AND(V$4&gt;='2025'!$L403,V$4&lt;='2025'!$M403), V$4&lt;&gt;DATE(2025,7,4)), (SWITCH(weekday(V$4), 1, 0, 2, if(ISBLANK('2025'!$P403), 0, 1), 3, if(ISBLANK('2025'!$Q403), 0, 1), 4, if(ISBLANK('2025'!$R403), 0, 1), 5, if(ISBLANK('2025'!$S403), 0, 1), 6, if(ISBLANK('2025'!$T403), 0, 1), 7, 0))), 1, "")</f>
        <v/>
      </c>
      <c r="W440" s="1" t="str">
        <f>IF(AND(AND(AND(W$4&gt;='2025'!$L403,W$4&lt;='2025'!$M403), W$4&lt;&gt;DATE(2025,7,4)), (SWITCH(weekday(W$4), 1, 0, 2, if(ISBLANK('2025'!$P403), 0, 1), 3, if(ISBLANK('2025'!$Q403), 0, 1), 4, if(ISBLANK('2025'!$R403), 0, 1), 5, if(ISBLANK('2025'!$S403), 0, 1), 6, if(ISBLANK('2025'!$T403), 0, 1), 7, 0))), 1, "")</f>
        <v/>
      </c>
      <c r="X440" s="1" t="str">
        <f>IF(AND(AND(AND(X$4&gt;='2025'!$L403,X$4&lt;='2025'!$M403), X$4&lt;&gt;DATE(2025,7,4)), (SWITCH(weekday(X$4), 1, 0, 2, if(ISBLANK('2025'!$P403), 0, 1), 3, if(ISBLANK('2025'!$Q403), 0, 1), 4, if(ISBLANK('2025'!$R403), 0, 1), 5, if(ISBLANK('2025'!$S403), 0, 1), 6, if(ISBLANK('2025'!$T403), 0, 1), 7, 0))), 1, "")</f>
        <v/>
      </c>
      <c r="Y440" s="1" t="str">
        <f>IF(AND(AND(AND(Y$4&gt;='2025'!$L403,Y$4&lt;='2025'!$M403), Y$4&lt;&gt;DATE(2025,7,4)), (SWITCH(weekday(Y$4), 1, 0, 2, if(ISBLANK('2025'!$P403), 0, 1), 3, if(ISBLANK('2025'!$Q403), 0, 1), 4, if(ISBLANK('2025'!$R403), 0, 1), 5, if(ISBLANK('2025'!$S403), 0, 1), 6, if(ISBLANK('2025'!$T403), 0, 1), 7, 0))), 1, "")</f>
        <v/>
      </c>
      <c r="Z440" s="1" t="str">
        <f>IF(AND(AND(AND(Z$4&gt;='2025'!$L403,Z$4&lt;='2025'!$M403), Z$4&lt;&gt;DATE(2025,7,4)), (SWITCH(weekday(Z$4), 1, 0, 2, if(ISBLANK('2025'!$P403), 0, 1), 3, if(ISBLANK('2025'!$Q403), 0, 1), 4, if(ISBLANK('2025'!$R403), 0, 1), 5, if(ISBLANK('2025'!$S403), 0, 1), 6, if(ISBLANK('2025'!$T403), 0, 1), 7, 0))), 1, "")</f>
        <v/>
      </c>
      <c r="AA440" s="1" t="str">
        <f>IF(AND(AND(AND(AA$4&gt;='2025'!$L403,AA$4&lt;='2025'!$M403), AA$4&lt;&gt;DATE(2025,7,4)), (SWITCH(weekday(AA$4), 1, 0, 2, if(ISBLANK('2025'!$P403), 0, 1), 3, if(ISBLANK('2025'!$Q403), 0, 1), 4, if(ISBLANK('2025'!$R403), 0, 1), 5, if(ISBLANK('2025'!$S403), 0, 1), 6, if(ISBLANK('2025'!$T403), 0, 1), 7, 0))), 1, "")</f>
        <v/>
      </c>
      <c r="AB440" s="1" t="str">
        <f>IF(AND(AND(AND(AB$4&gt;='2025'!$L403,AB$4&lt;='2025'!$M403), AB$4&lt;&gt;DATE(2025,7,4)), (SWITCH(weekday(AB$4), 1, 0, 2, if(ISBLANK('2025'!$P403), 0, 1), 3, if(ISBLANK('2025'!$Q403), 0, 1), 4, if(ISBLANK('2025'!$R403), 0, 1), 5, if(ISBLANK('2025'!$S403), 0, 1), 6, if(ISBLANK('2025'!$T403), 0, 1), 7, 0))), 1, "")</f>
        <v/>
      </c>
      <c r="AC440" s="1" t="str">
        <f>IF(AND(AND(AND(AC$4&gt;='2025'!$L403,AC$4&lt;='2025'!$M403), AC$4&lt;&gt;DATE(2025,7,4)), (SWITCH(weekday(AC$4), 1, 0, 2, if(ISBLANK('2025'!$P403), 0, 1), 3, if(ISBLANK('2025'!$Q403), 0, 1), 4, if(ISBLANK('2025'!$R403), 0, 1), 5, if(ISBLANK('2025'!$S403), 0, 1), 6, if(ISBLANK('2025'!$T403), 0, 1), 7, 0))), 1, "")</f>
        <v/>
      </c>
      <c r="AD440" s="1" t="str">
        <f>IF(AND(AND(AND(AD$4&gt;='2025'!$L403,AD$4&lt;='2025'!$M403), AD$4&lt;&gt;DATE(2025,7,4)), (SWITCH(weekday(AD$4), 1, 0, 2, if(ISBLANK('2025'!$P403), 0, 1), 3, if(ISBLANK('2025'!$Q403), 0, 1), 4, if(ISBLANK('2025'!$R403), 0, 1), 5, if(ISBLANK('2025'!$S403), 0, 1), 6, if(ISBLANK('2025'!$T403), 0, 1), 7, 0))), 1, "")</f>
        <v/>
      </c>
      <c r="AE440" s="1" t="str">
        <f>IF(AND(AND(AND(AE$4&gt;='2025'!$L403,AE$4&lt;='2025'!$M403), AE$4&lt;&gt;DATE(2025,7,4)), (SWITCH(weekday(AE$4), 1, 0, 2, if(ISBLANK('2025'!$P403), 0, 1), 3, if(ISBLANK('2025'!$Q403), 0, 1), 4, if(ISBLANK('2025'!$R403), 0, 1), 5, if(ISBLANK('2025'!$S403), 0, 1), 6, if(ISBLANK('2025'!$T403), 0, 1), 7, 0))), 1, "")</f>
        <v/>
      </c>
      <c r="AF440" s="1" t="str">
        <f>IF(AND(AND(AND(AF$4&gt;='2025'!$L403,AF$4&lt;='2025'!$M403), AF$4&lt;&gt;DATE(2025,7,4)), (SWITCH(weekday(AF$4), 1, 0, 2, if(ISBLANK('2025'!$P403), 0, 1), 3, if(ISBLANK('2025'!$Q403), 0, 1), 4, if(ISBLANK('2025'!$R403), 0, 1), 5, if(ISBLANK('2025'!$S403), 0, 1), 6, if(ISBLANK('2025'!$T403), 0, 1), 7, 0))), 1, "")</f>
        <v/>
      </c>
      <c r="AG440" s="1" t="str">
        <f>IF(AND(AND(AND(AG$4&gt;='2025'!$L403,AG$4&lt;='2025'!$M403), AG$4&lt;&gt;DATE(2025,7,4)), (SWITCH(weekday(AG$4), 1, 0, 2, if(ISBLANK('2025'!$P403), 0, 1), 3, if(ISBLANK('2025'!$Q403), 0, 1), 4, if(ISBLANK('2025'!$R403), 0, 1), 5, if(ISBLANK('2025'!$S403), 0, 1), 6, if(ISBLANK('2025'!$T403), 0, 1), 7, 0))), 1, "")</f>
        <v/>
      </c>
      <c r="AH440" s="1" t="str">
        <f>IF(AND(AND(AND(AH$4&gt;='2025'!$L403,AH$4&lt;='2025'!$M403), AH$4&lt;&gt;DATE(2025,7,4)), (SWITCH(weekday(AH$4), 1, 0, 2, if(ISBLANK('2025'!$P403), 0, 1), 3, if(ISBLANK('2025'!$Q403), 0, 1), 4, if(ISBLANK('2025'!$R403), 0, 1), 5, if(ISBLANK('2025'!$S403), 0, 1), 6, if(ISBLANK('2025'!$T403), 0, 1), 7, 0))), 1, "")</f>
        <v/>
      </c>
      <c r="AI440" s="1" t="str">
        <f>IF(AND(AND(AND(AI$4&gt;='2025'!$L403,AI$4&lt;='2025'!$M403), AI$4&lt;&gt;DATE(2025,7,4)), (SWITCH(weekday(AI$4), 1, 0, 2, if(ISBLANK('2025'!$P403), 0, 1), 3, if(ISBLANK('2025'!$Q403), 0, 1), 4, if(ISBLANK('2025'!$R403), 0, 1), 5, if(ISBLANK('2025'!$S403), 0, 1), 6, if(ISBLANK('2025'!$T403), 0, 1), 7, 0))), 1, "")</f>
        <v/>
      </c>
      <c r="AJ440" s="1" t="str">
        <f>IF(AND(AND(AND(AJ$4&gt;='2025'!$L403,AJ$4&lt;='2025'!$M403), AJ$4&lt;&gt;DATE(2025,7,4)), (SWITCH(weekday(AJ$4), 1, 0, 2, if(ISBLANK('2025'!$P403), 0, 1), 3, if(ISBLANK('2025'!$Q403), 0, 1), 4, if(ISBLANK('2025'!$R403), 0, 1), 5, if(ISBLANK('2025'!$S403), 0, 1), 6, if(ISBLANK('2025'!$T403), 0, 1), 7, 0))), 1, "")</f>
        <v/>
      </c>
      <c r="AK440" s="1" t="str">
        <f>IF(AND(AND(AND(AK$4&gt;='2025'!$L403,AK$4&lt;='2025'!$M403), AK$4&lt;&gt;DATE(2025,7,4)), (SWITCH(weekday(AK$4), 1, 0, 2, if(ISBLANK('2025'!$P403), 0, 1), 3, if(ISBLANK('2025'!$Q403), 0, 1), 4, if(ISBLANK('2025'!$R403), 0, 1), 5, if(ISBLANK('2025'!$S403), 0, 1), 6, if(ISBLANK('2025'!$T403), 0, 1), 7, 0))), 1, "")</f>
        <v/>
      </c>
      <c r="AL440" s="1" t="str">
        <f>IF(AND(AND(AND(AL$4&gt;='2025'!$L403,AL$4&lt;='2025'!$M403), AL$4&lt;&gt;DATE(2025,7,4)), (SWITCH(weekday(AL$4), 1, 0, 2, if(ISBLANK('2025'!$P403), 0, 1), 3, if(ISBLANK('2025'!$Q403), 0, 1), 4, if(ISBLANK('2025'!$R403), 0, 1), 5, if(ISBLANK('2025'!$S403), 0, 1), 6, if(ISBLANK('2025'!$T403), 0, 1), 7, 0))), 1, "")</f>
        <v/>
      </c>
      <c r="AM440" s="1" t="str">
        <f>IF(AND(AND(AND(AM$4&gt;='2025'!$L403,AM$4&lt;='2025'!$M403), AM$4&lt;&gt;DATE(2025,7,4)), (SWITCH(weekday(AM$4), 1, 0, 2, if(ISBLANK('2025'!$P403), 0, 1), 3, if(ISBLANK('2025'!$Q403), 0, 1), 4, if(ISBLANK('2025'!$R403), 0, 1), 5, if(ISBLANK('2025'!$S403), 0, 1), 6, if(ISBLANK('2025'!$T403), 0, 1), 7, 0))), 1, "")</f>
        <v/>
      </c>
      <c r="AN440" s="1" t="str">
        <f>IF(AND(AND(AND(AN$4&gt;='2025'!$L403,AN$4&lt;='2025'!$M403), AN$4&lt;&gt;DATE(2025,7,4)), (SWITCH(weekday(AN$4), 1, 0, 2, if(ISBLANK('2025'!$P403), 0, 1), 3, if(ISBLANK('2025'!$Q403), 0, 1), 4, if(ISBLANK('2025'!$R403), 0, 1), 5, if(ISBLANK('2025'!$S403), 0, 1), 6, if(ISBLANK('2025'!$T403), 0, 1), 7, 0))), 1, "")</f>
        <v/>
      </c>
      <c r="AO440" s="1" t="str">
        <f>IF(AND(AND(AND(AO$4&gt;='2025'!$L403,AO$4&lt;='2025'!$M403), AO$4&lt;&gt;DATE(2025,7,4)), (SWITCH(weekday(AO$4), 1, 0, 2, if(ISBLANK('2025'!$P403), 0, 1), 3, if(ISBLANK('2025'!$Q403), 0, 1), 4, if(ISBLANK('2025'!$R403), 0, 1), 5, if(ISBLANK('2025'!$S403), 0, 1), 6, if(ISBLANK('2025'!$T403), 0, 1), 7, 0))), 1, "")</f>
        <v/>
      </c>
      <c r="AP440" s="1" t="str">
        <f>IF(AND(AND(AND(AP$4&gt;='2025'!$L403,AP$4&lt;='2025'!$M403), AP$4&lt;&gt;DATE(2025,7,4)), (SWITCH(weekday(AP$4), 1, 0, 2, if(ISBLANK('2025'!$P403), 0, 1), 3, if(ISBLANK('2025'!$Q403), 0, 1), 4, if(ISBLANK('2025'!$R403), 0, 1), 5, if(ISBLANK('2025'!$S403), 0, 1), 6, if(ISBLANK('2025'!$T403), 0, 1), 7, 0))), 1, "")</f>
        <v/>
      </c>
      <c r="AQ440" s="1" t="str">
        <f>IF(AND(AND(AND(AQ$4&gt;='2025'!$L403,AQ$4&lt;='2025'!$M403), AQ$4&lt;&gt;DATE(2025,7,4)), (SWITCH(weekday(AQ$4), 1, 0, 2, if(ISBLANK('2025'!$P403), 0, 1), 3, if(ISBLANK('2025'!$Q403), 0, 1), 4, if(ISBLANK('2025'!$R403), 0, 1), 5, if(ISBLANK('2025'!$S403), 0, 1), 6, if(ISBLANK('2025'!$T403), 0, 1), 7, 0))), 1, "")</f>
        <v/>
      </c>
      <c r="AR440" s="1" t="str">
        <f>IF(AND(AND(AND(AR$4&gt;='2025'!$L403,AR$4&lt;='2025'!$M403), AR$4&lt;&gt;DATE(2025,7,4)), (SWITCH(weekday(AR$4), 1, 0, 2, if(ISBLANK('2025'!$P403), 0, 1), 3, if(ISBLANK('2025'!$Q403), 0, 1), 4, if(ISBLANK('2025'!$R403), 0, 1), 5, if(ISBLANK('2025'!$S403), 0, 1), 6, if(ISBLANK('2025'!$T403), 0, 1), 7, 0))), 1, "")</f>
        <v/>
      </c>
      <c r="AS440" s="1" t="str">
        <f>IF(AND(AND(AND(AS$4&gt;='2025'!$L403,AS$4&lt;='2025'!$M403), AS$4&lt;&gt;DATE(2025,7,4)), (SWITCH(weekday(AS$4), 1, 0, 2, if(ISBLANK('2025'!$P403), 0, 1), 3, if(ISBLANK('2025'!$Q403), 0, 1), 4, if(ISBLANK('2025'!$R403), 0, 1), 5, if(ISBLANK('2025'!$S403), 0, 1), 6, if(ISBLANK('2025'!$T403), 0, 1), 7, 0))), 1, "")</f>
        <v/>
      </c>
      <c r="AT440" s="1" t="str">
        <f>IF(AND(AND(AND(AT$4&gt;='2025'!$L403,AT$4&lt;='2025'!$M403), AT$4&lt;&gt;DATE(2025,7,4)), (SWITCH(weekday(AT$4), 1, 0, 2, if(ISBLANK('2025'!$P403), 0, 1), 3, if(ISBLANK('2025'!$Q403), 0, 1), 4, if(ISBLANK('2025'!$R403), 0, 1), 5, if(ISBLANK('2025'!$S403), 0, 1), 6, if(ISBLANK('2025'!$T403), 0, 1), 7, 0))), 1, "")</f>
        <v/>
      </c>
      <c r="AU440" s="1" t="str">
        <f>IF(AND(AND(AND(AU$4&gt;='2025'!$L403,AU$4&lt;='2025'!$M403), AU$4&lt;&gt;DATE(2025,7,4)), (SWITCH(weekday(AU$4), 1, 0, 2, if(ISBLANK('2025'!$P403), 0, 1), 3, if(ISBLANK('2025'!$Q403), 0, 1), 4, if(ISBLANK('2025'!$R403), 0, 1), 5, if(ISBLANK('2025'!$S403), 0, 1), 6, if(ISBLANK('2025'!$T403), 0, 1), 7, 0))), 1, "")</f>
        <v/>
      </c>
      <c r="AV440" s="1" t="str">
        <f>IF(AND(AND(AND(AV$4&gt;='2025'!$L403,AV$4&lt;='2025'!$M403), AV$4&lt;&gt;DATE(2025,7,4)), (SWITCH(weekday(AV$4), 1, 0, 2, if(ISBLANK('2025'!$P403), 0, 1), 3, if(ISBLANK('2025'!$Q403), 0, 1), 4, if(ISBLANK('2025'!$R403), 0, 1), 5, if(ISBLANK('2025'!$S403), 0, 1), 6, if(ISBLANK('2025'!$T403), 0, 1), 7, 0))), 1, "")</f>
        <v/>
      </c>
      <c r="AW440" s="1" t="str">
        <f>IF(AND(AND(AND(AW$4&gt;='2025'!$L403,AW$4&lt;='2025'!$M403), AW$4&lt;&gt;DATE(2025,7,4)), (SWITCH(weekday(AW$4), 1, 0, 2, if(ISBLANK('2025'!$P403), 0, 1), 3, if(ISBLANK('2025'!$Q403), 0, 1), 4, if(ISBLANK('2025'!$R403), 0, 1), 5, if(ISBLANK('2025'!$S403), 0, 1), 6, if(ISBLANK('2025'!$T403), 0, 1), 7, 0))), 1, "")</f>
        <v/>
      </c>
      <c r="AX440" s="1" t="str">
        <f>IF(AND(AND(AND(AX$4&gt;='2025'!$L403,AX$4&lt;='2025'!$M403), AX$4&lt;&gt;DATE(2025,7,4)), (SWITCH(weekday(AX$4), 1, 0, 2, if(ISBLANK('2025'!$P403), 0, 1), 3, if(ISBLANK('2025'!$Q403), 0, 1), 4, if(ISBLANK('2025'!$R403), 0, 1), 5, if(ISBLANK('2025'!$S403), 0, 1), 6, if(ISBLANK('2025'!$T403), 0, 1), 7, 0))), 1, "")</f>
        <v/>
      </c>
      <c r="AY440" s="1" t="str">
        <f>IF(AND(AND(AND(AY$4&gt;='2025'!$L403,AY$4&lt;='2025'!$M403), AY$4&lt;&gt;DATE(2025,7,4)), (SWITCH(weekday(AY$4), 1, 0, 2, if(ISBLANK('2025'!$P403), 0, 1), 3, if(ISBLANK('2025'!$Q403), 0, 1), 4, if(ISBLANK('2025'!$R403), 0, 1), 5, if(ISBLANK('2025'!$S403), 0, 1), 6, if(ISBLANK('2025'!$T403), 0, 1), 7, 0))), 1, "")</f>
        <v/>
      </c>
      <c r="AZ440" s="1" t="str">
        <f>IF(AND(AND(AND(AZ$4&gt;='2025'!$L403,AZ$4&lt;='2025'!$M403), AZ$4&lt;&gt;DATE(2025,7,4)), (SWITCH(weekday(AZ$4), 1, 0, 2, if(ISBLANK('2025'!$P403), 0, 1), 3, if(ISBLANK('2025'!$Q403), 0, 1), 4, if(ISBLANK('2025'!$R403), 0, 1), 5, if(ISBLANK('2025'!$S403), 0, 1), 6, if(ISBLANK('2025'!$T403), 0, 1), 7, 0))), 1, "")</f>
        <v/>
      </c>
      <c r="BA440" s="1" t="str">
        <f>IF(AND(AND(AND(BA$4&gt;='2025'!$L403,BA$4&lt;='2025'!$M403), BA$4&lt;&gt;DATE(2025,7,4)), (SWITCH(weekday(BA$4), 1, 0, 2, if(ISBLANK('2025'!$P403), 0, 1), 3, if(ISBLANK('2025'!$Q403), 0, 1), 4, if(ISBLANK('2025'!$R403), 0, 1), 5, if(ISBLANK('2025'!$S403), 0, 1), 6, if(ISBLANK('2025'!$T403), 0, 1), 7, 0))), 1, "")</f>
        <v/>
      </c>
      <c r="BB440" s="1" t="str">
        <f>IF(AND(AND(AND(BB$4&gt;='2025'!$L403,BB$4&lt;='2025'!$M403), BB$4&lt;&gt;DATE(2025,7,4)), (SWITCH(weekday(BB$4), 1, 0, 2, if(ISBLANK('2025'!$P403), 0, 1), 3, if(ISBLANK('2025'!$Q403), 0, 1), 4, if(ISBLANK('2025'!$R403), 0, 1), 5, if(ISBLANK('2025'!$S403), 0, 1), 6, if(ISBLANK('2025'!$T403), 0, 1), 7, 0))), 1, "")</f>
        <v/>
      </c>
      <c r="BC440" s="1" t="str">
        <f>IF(AND(AND(AND(BC$4&gt;='2025'!$L403,BC$4&lt;='2025'!$M403), BC$4&lt;&gt;DATE(2025,7,4)), (SWITCH(weekday(BC$4), 1, 0, 2, if(ISBLANK('2025'!$P403), 0, 1), 3, if(ISBLANK('2025'!$Q403), 0, 1), 4, if(ISBLANK('2025'!$R403), 0, 1), 5, if(ISBLANK('2025'!$S403), 0, 1), 6, if(ISBLANK('2025'!$T403), 0, 1), 7, 0))), 1, "")</f>
        <v/>
      </c>
      <c r="BD440" s="1" t="str">
        <f>IF(AND(AND(AND(BD$4&gt;='2025'!$L403,BD$4&lt;='2025'!$M403), BD$4&lt;&gt;DATE(2025,7,4)), (SWITCH(weekday(BD$4), 1, 0, 2, if(ISBLANK('2025'!$P403), 0, 1), 3, if(ISBLANK('2025'!$Q403), 0, 1), 4, if(ISBLANK('2025'!$R403), 0, 1), 5, if(ISBLANK('2025'!$S403), 0, 1), 6, if(ISBLANK('2025'!$T403), 0, 1), 7, 0))), 1, "")</f>
        <v/>
      </c>
      <c r="BE440" s="1" t="str">
        <f>IF(AND(AND(AND(BE$4&gt;='2025'!$L403,BE$4&lt;='2025'!$M403), BE$4&lt;&gt;DATE(2025,7,4)), (SWITCH(weekday(BE$4), 1, 0, 2, if(ISBLANK('2025'!$P403), 0, 1), 3, if(ISBLANK('2025'!$Q403), 0, 1), 4, if(ISBLANK('2025'!$R403), 0, 1), 5, if(ISBLANK('2025'!$S403), 0, 1), 6, if(ISBLANK('2025'!$T403), 0, 1), 7, 0))), 1, "")</f>
        <v/>
      </c>
    </row>
    <row r="441">
      <c r="A441" s="1">
        <f t="shared" si="3"/>
        <v>441</v>
      </c>
      <c r="B441" s="1" t="str">
        <f>'2025'!D404</f>
        <v/>
      </c>
      <c r="C441" s="1" t="str">
        <f>'2025'!H404</f>
        <v/>
      </c>
      <c r="D441" s="1" t="str">
        <f>IF(AND(AND(AND(D$4&gt;='2025'!$L404,D$4&lt;='2025'!$M404), D$4&lt;&gt;DATE(2025,7,4)), (SWITCH(weekday(D$4), 1, 0, 2, if(ISBLANK('2025'!$P404), 0, 1), 3, if(ISBLANK('2025'!$Q404), 0, 1), 4, if(ISBLANK('2025'!$R404), 0, 1), 5, if(ISBLANK('2025'!$S404), 0, 1), 6, if(ISBLANK('2025'!$T404), 0, 1), 7, 0))), 1, "")</f>
        <v/>
      </c>
      <c r="E441" s="1" t="str">
        <f>IF(AND(AND(AND(E$4&gt;='2025'!$L404,E$4&lt;='2025'!$M404), E$4&lt;&gt;DATE(2025,7,4)), (SWITCH(weekday(E$4), 1, 0, 2, if(ISBLANK('2025'!$P404), 0, 1), 3, if(ISBLANK('2025'!$Q404), 0, 1), 4, if(ISBLANK('2025'!$R404), 0, 1), 5, if(ISBLANK('2025'!$S404), 0, 1), 6, if(ISBLANK('2025'!$T404), 0, 1), 7, 0))), 1, "")</f>
        <v/>
      </c>
      <c r="F441" s="1" t="str">
        <f>IF(AND(AND(AND(F$4&gt;='2025'!$L404,F$4&lt;='2025'!$M404), F$4&lt;&gt;DATE(2025,7,4)), (SWITCH(weekday(F$4), 1, 0, 2, if(ISBLANK('2025'!$P404), 0, 1), 3, if(ISBLANK('2025'!$Q404), 0, 1), 4, if(ISBLANK('2025'!$R404), 0, 1), 5, if(ISBLANK('2025'!$S404), 0, 1), 6, if(ISBLANK('2025'!$T404), 0, 1), 7, 0))), 1, "")</f>
        <v/>
      </c>
      <c r="G441" s="1" t="str">
        <f>IF(AND(AND(AND(G$4&gt;='2025'!$L404,G$4&lt;='2025'!$M404), G$4&lt;&gt;DATE(2025,7,4)), (SWITCH(weekday(G$4), 1, 0, 2, if(ISBLANK('2025'!$P404), 0, 1), 3, if(ISBLANK('2025'!$Q404), 0, 1), 4, if(ISBLANK('2025'!$R404), 0, 1), 5, if(ISBLANK('2025'!$S404), 0, 1), 6, if(ISBLANK('2025'!$T404), 0, 1), 7, 0))), 1, "")</f>
        <v/>
      </c>
      <c r="H441" s="1" t="str">
        <f>IF(AND(AND(AND(H$4&gt;='2025'!$L404,H$4&lt;='2025'!$M404), H$4&lt;&gt;DATE(2025,7,4)), (SWITCH(weekday(H$4), 1, 0, 2, if(ISBLANK('2025'!$P404), 0, 1), 3, if(ISBLANK('2025'!$Q404), 0, 1), 4, if(ISBLANK('2025'!$R404), 0, 1), 5, if(ISBLANK('2025'!$S404), 0, 1), 6, if(ISBLANK('2025'!$T404), 0, 1), 7, 0))), 1, "")</f>
        <v/>
      </c>
      <c r="I441" s="1" t="str">
        <f>IF(AND(AND(AND(I$4&gt;='2025'!$L404,I$4&lt;='2025'!$M404), I$4&lt;&gt;DATE(2025,7,4)), (SWITCH(weekday(I$4), 1, 0, 2, if(ISBLANK('2025'!$P404), 0, 1), 3, if(ISBLANK('2025'!$Q404), 0, 1), 4, if(ISBLANK('2025'!$R404), 0, 1), 5, if(ISBLANK('2025'!$S404), 0, 1), 6, if(ISBLANK('2025'!$T404), 0, 1), 7, 0))), 1, "")</f>
        <v/>
      </c>
      <c r="J441" s="1" t="str">
        <f>IF(AND(AND(AND(J$4&gt;='2025'!$L404,J$4&lt;='2025'!$M404), J$4&lt;&gt;DATE(2025,7,4)), (SWITCH(weekday(J$4), 1, 0, 2, if(ISBLANK('2025'!$P404), 0, 1), 3, if(ISBLANK('2025'!$Q404), 0, 1), 4, if(ISBLANK('2025'!$R404), 0, 1), 5, if(ISBLANK('2025'!$S404), 0, 1), 6, if(ISBLANK('2025'!$T404), 0, 1), 7, 0))), 1, "")</f>
        <v/>
      </c>
      <c r="K441" s="1" t="str">
        <f>IF(AND(AND(AND(K$4&gt;='2025'!$L404,K$4&lt;='2025'!$M404), K$4&lt;&gt;DATE(2025,7,4)), (SWITCH(weekday(K$4), 1, 0, 2, if(ISBLANK('2025'!$P404), 0, 1), 3, if(ISBLANK('2025'!$Q404), 0, 1), 4, if(ISBLANK('2025'!$R404), 0, 1), 5, if(ISBLANK('2025'!$S404), 0, 1), 6, if(ISBLANK('2025'!$T404), 0, 1), 7, 0))), 1, "")</f>
        <v/>
      </c>
      <c r="L441" s="1" t="str">
        <f>IF(AND(AND(AND(L$4&gt;='2025'!$L404,L$4&lt;='2025'!$M404), L$4&lt;&gt;DATE(2025,7,4)), (SWITCH(weekday(L$4), 1, 0, 2, if(ISBLANK('2025'!$P404), 0, 1), 3, if(ISBLANK('2025'!$Q404), 0, 1), 4, if(ISBLANK('2025'!$R404), 0, 1), 5, if(ISBLANK('2025'!$S404), 0, 1), 6, if(ISBLANK('2025'!$T404), 0, 1), 7, 0))), 1, "")</f>
        <v/>
      </c>
      <c r="M441" s="1" t="str">
        <f>IF(AND(AND(AND(M$4&gt;='2025'!$L404,M$4&lt;='2025'!$M404), M$4&lt;&gt;DATE(2025,7,4)), (SWITCH(weekday(M$4), 1, 0, 2, if(ISBLANK('2025'!$P404), 0, 1), 3, if(ISBLANK('2025'!$Q404), 0, 1), 4, if(ISBLANK('2025'!$R404), 0, 1), 5, if(ISBLANK('2025'!$S404), 0, 1), 6, if(ISBLANK('2025'!$T404), 0, 1), 7, 0))), 1, "")</f>
        <v/>
      </c>
      <c r="N441" s="1" t="str">
        <f>IF(AND(AND(AND(N$4&gt;='2025'!$L404,N$4&lt;='2025'!$M404), N$4&lt;&gt;DATE(2025,7,4)), (SWITCH(weekday(N$4), 1, 0, 2, if(ISBLANK('2025'!$P404), 0, 1), 3, if(ISBLANK('2025'!$Q404), 0, 1), 4, if(ISBLANK('2025'!$R404), 0, 1), 5, if(ISBLANK('2025'!$S404), 0, 1), 6, if(ISBLANK('2025'!$T404), 0, 1), 7, 0))), 1, "")</f>
        <v/>
      </c>
      <c r="O441" s="1" t="str">
        <f>IF(AND(AND(AND(O$4&gt;='2025'!$L404,O$4&lt;='2025'!$M404), O$4&lt;&gt;DATE(2025,7,4)), (SWITCH(weekday(O$4), 1, 0, 2, if(ISBLANK('2025'!$P404), 0, 1), 3, if(ISBLANK('2025'!$Q404), 0, 1), 4, if(ISBLANK('2025'!$R404), 0, 1), 5, if(ISBLANK('2025'!$S404), 0, 1), 6, if(ISBLANK('2025'!$T404), 0, 1), 7, 0))), 1, "")</f>
        <v/>
      </c>
      <c r="P441" s="1" t="str">
        <f>IF(AND(AND(AND(P$4&gt;='2025'!$L404,P$4&lt;='2025'!$M404), P$4&lt;&gt;DATE(2025,7,4)), (SWITCH(weekday(P$4), 1, 0, 2, if(ISBLANK('2025'!$P404), 0, 1), 3, if(ISBLANK('2025'!$Q404), 0, 1), 4, if(ISBLANK('2025'!$R404), 0, 1), 5, if(ISBLANK('2025'!$S404), 0, 1), 6, if(ISBLANK('2025'!$T404), 0, 1), 7, 0))), 1, "")</f>
        <v/>
      </c>
      <c r="Q441" s="1" t="str">
        <f>IF(AND(AND(AND(Q$4&gt;='2025'!$L404,Q$4&lt;='2025'!$M404), Q$4&lt;&gt;DATE(2025,7,4)), (SWITCH(weekday(Q$4), 1, 0, 2, if(ISBLANK('2025'!$P404), 0, 1), 3, if(ISBLANK('2025'!$Q404), 0, 1), 4, if(ISBLANK('2025'!$R404), 0, 1), 5, if(ISBLANK('2025'!$S404), 0, 1), 6, if(ISBLANK('2025'!$T404), 0, 1), 7, 0))), 1, "")</f>
        <v/>
      </c>
      <c r="R441" s="1" t="str">
        <f>IF(AND(AND(AND(R$4&gt;='2025'!$L404,R$4&lt;='2025'!$M404), R$4&lt;&gt;DATE(2025,7,4)), (SWITCH(weekday(R$4), 1, 0, 2, if(ISBLANK('2025'!$P404), 0, 1), 3, if(ISBLANK('2025'!$Q404), 0, 1), 4, if(ISBLANK('2025'!$R404), 0, 1), 5, if(ISBLANK('2025'!$S404), 0, 1), 6, if(ISBLANK('2025'!$T404), 0, 1), 7, 0))), 1, "")</f>
        <v/>
      </c>
      <c r="S441" s="1" t="str">
        <f>IF(AND(AND(AND(S$4&gt;='2025'!$L404,S$4&lt;='2025'!$M404), S$4&lt;&gt;DATE(2025,7,4)), (SWITCH(weekday(S$4), 1, 0, 2, if(ISBLANK('2025'!$P404), 0, 1), 3, if(ISBLANK('2025'!$Q404), 0, 1), 4, if(ISBLANK('2025'!$R404), 0, 1), 5, if(ISBLANK('2025'!$S404), 0, 1), 6, if(ISBLANK('2025'!$T404), 0, 1), 7, 0))), 1, "")</f>
        <v/>
      </c>
      <c r="T441" s="1" t="str">
        <f>IF(AND(AND(AND(T$4&gt;='2025'!$L404,T$4&lt;='2025'!$M404), T$4&lt;&gt;DATE(2025,7,4)), (SWITCH(weekday(T$4), 1, 0, 2, if(ISBLANK('2025'!$P404), 0, 1), 3, if(ISBLANK('2025'!$Q404), 0, 1), 4, if(ISBLANK('2025'!$R404), 0, 1), 5, if(ISBLANK('2025'!$S404), 0, 1), 6, if(ISBLANK('2025'!$T404), 0, 1), 7, 0))), 1, "")</f>
        <v/>
      </c>
      <c r="U441" s="1" t="str">
        <f>IF(AND(AND(AND(U$4&gt;='2025'!$L404,U$4&lt;='2025'!$M404), U$4&lt;&gt;DATE(2025,7,4)), (SWITCH(weekday(U$4), 1, 0, 2, if(ISBLANK('2025'!$P404), 0, 1), 3, if(ISBLANK('2025'!$Q404), 0, 1), 4, if(ISBLANK('2025'!$R404), 0, 1), 5, if(ISBLANK('2025'!$S404), 0, 1), 6, if(ISBLANK('2025'!$T404), 0, 1), 7, 0))), 1, "")</f>
        <v/>
      </c>
      <c r="V441" s="1" t="str">
        <f>IF(AND(AND(AND(V$4&gt;='2025'!$L404,V$4&lt;='2025'!$M404), V$4&lt;&gt;DATE(2025,7,4)), (SWITCH(weekday(V$4), 1, 0, 2, if(ISBLANK('2025'!$P404), 0, 1), 3, if(ISBLANK('2025'!$Q404), 0, 1), 4, if(ISBLANK('2025'!$R404), 0, 1), 5, if(ISBLANK('2025'!$S404), 0, 1), 6, if(ISBLANK('2025'!$T404), 0, 1), 7, 0))), 1, "")</f>
        <v/>
      </c>
      <c r="W441" s="1" t="str">
        <f>IF(AND(AND(AND(W$4&gt;='2025'!$L404,W$4&lt;='2025'!$M404), W$4&lt;&gt;DATE(2025,7,4)), (SWITCH(weekday(W$4), 1, 0, 2, if(ISBLANK('2025'!$P404), 0, 1), 3, if(ISBLANK('2025'!$Q404), 0, 1), 4, if(ISBLANK('2025'!$R404), 0, 1), 5, if(ISBLANK('2025'!$S404), 0, 1), 6, if(ISBLANK('2025'!$T404), 0, 1), 7, 0))), 1, "")</f>
        <v/>
      </c>
      <c r="X441" s="1" t="str">
        <f>IF(AND(AND(AND(X$4&gt;='2025'!$L404,X$4&lt;='2025'!$M404), X$4&lt;&gt;DATE(2025,7,4)), (SWITCH(weekday(X$4), 1, 0, 2, if(ISBLANK('2025'!$P404), 0, 1), 3, if(ISBLANK('2025'!$Q404), 0, 1), 4, if(ISBLANK('2025'!$R404), 0, 1), 5, if(ISBLANK('2025'!$S404), 0, 1), 6, if(ISBLANK('2025'!$T404), 0, 1), 7, 0))), 1, "")</f>
        <v/>
      </c>
      <c r="Y441" s="1" t="str">
        <f>IF(AND(AND(AND(Y$4&gt;='2025'!$L404,Y$4&lt;='2025'!$M404), Y$4&lt;&gt;DATE(2025,7,4)), (SWITCH(weekday(Y$4), 1, 0, 2, if(ISBLANK('2025'!$P404), 0, 1), 3, if(ISBLANK('2025'!$Q404), 0, 1), 4, if(ISBLANK('2025'!$R404), 0, 1), 5, if(ISBLANK('2025'!$S404), 0, 1), 6, if(ISBLANK('2025'!$T404), 0, 1), 7, 0))), 1, "")</f>
        <v/>
      </c>
      <c r="Z441" s="1" t="str">
        <f>IF(AND(AND(AND(Z$4&gt;='2025'!$L404,Z$4&lt;='2025'!$M404), Z$4&lt;&gt;DATE(2025,7,4)), (SWITCH(weekday(Z$4), 1, 0, 2, if(ISBLANK('2025'!$P404), 0, 1), 3, if(ISBLANK('2025'!$Q404), 0, 1), 4, if(ISBLANK('2025'!$R404), 0, 1), 5, if(ISBLANK('2025'!$S404), 0, 1), 6, if(ISBLANK('2025'!$T404), 0, 1), 7, 0))), 1, "")</f>
        <v/>
      </c>
      <c r="AA441" s="1" t="str">
        <f>IF(AND(AND(AND(AA$4&gt;='2025'!$L404,AA$4&lt;='2025'!$M404), AA$4&lt;&gt;DATE(2025,7,4)), (SWITCH(weekday(AA$4), 1, 0, 2, if(ISBLANK('2025'!$P404), 0, 1), 3, if(ISBLANK('2025'!$Q404), 0, 1), 4, if(ISBLANK('2025'!$R404), 0, 1), 5, if(ISBLANK('2025'!$S404), 0, 1), 6, if(ISBLANK('2025'!$T404), 0, 1), 7, 0))), 1, "")</f>
        <v/>
      </c>
      <c r="AB441" s="1" t="str">
        <f>IF(AND(AND(AND(AB$4&gt;='2025'!$L404,AB$4&lt;='2025'!$M404), AB$4&lt;&gt;DATE(2025,7,4)), (SWITCH(weekday(AB$4), 1, 0, 2, if(ISBLANK('2025'!$P404), 0, 1), 3, if(ISBLANK('2025'!$Q404), 0, 1), 4, if(ISBLANK('2025'!$R404), 0, 1), 5, if(ISBLANK('2025'!$S404), 0, 1), 6, if(ISBLANK('2025'!$T404), 0, 1), 7, 0))), 1, "")</f>
        <v/>
      </c>
      <c r="AC441" s="1" t="str">
        <f>IF(AND(AND(AND(AC$4&gt;='2025'!$L404,AC$4&lt;='2025'!$M404), AC$4&lt;&gt;DATE(2025,7,4)), (SWITCH(weekday(AC$4), 1, 0, 2, if(ISBLANK('2025'!$P404), 0, 1), 3, if(ISBLANK('2025'!$Q404), 0, 1), 4, if(ISBLANK('2025'!$R404), 0, 1), 5, if(ISBLANK('2025'!$S404), 0, 1), 6, if(ISBLANK('2025'!$T404), 0, 1), 7, 0))), 1, "")</f>
        <v/>
      </c>
      <c r="AD441" s="1" t="str">
        <f>IF(AND(AND(AND(AD$4&gt;='2025'!$L404,AD$4&lt;='2025'!$M404), AD$4&lt;&gt;DATE(2025,7,4)), (SWITCH(weekday(AD$4), 1, 0, 2, if(ISBLANK('2025'!$P404), 0, 1), 3, if(ISBLANK('2025'!$Q404), 0, 1), 4, if(ISBLANK('2025'!$R404), 0, 1), 5, if(ISBLANK('2025'!$S404), 0, 1), 6, if(ISBLANK('2025'!$T404), 0, 1), 7, 0))), 1, "")</f>
        <v/>
      </c>
      <c r="AE441" s="1" t="str">
        <f>IF(AND(AND(AND(AE$4&gt;='2025'!$L404,AE$4&lt;='2025'!$M404), AE$4&lt;&gt;DATE(2025,7,4)), (SWITCH(weekday(AE$4), 1, 0, 2, if(ISBLANK('2025'!$P404), 0, 1), 3, if(ISBLANK('2025'!$Q404), 0, 1), 4, if(ISBLANK('2025'!$R404), 0, 1), 5, if(ISBLANK('2025'!$S404), 0, 1), 6, if(ISBLANK('2025'!$T404), 0, 1), 7, 0))), 1, "")</f>
        <v/>
      </c>
      <c r="AF441" s="1" t="str">
        <f>IF(AND(AND(AND(AF$4&gt;='2025'!$L404,AF$4&lt;='2025'!$M404), AF$4&lt;&gt;DATE(2025,7,4)), (SWITCH(weekday(AF$4), 1, 0, 2, if(ISBLANK('2025'!$P404), 0, 1), 3, if(ISBLANK('2025'!$Q404), 0, 1), 4, if(ISBLANK('2025'!$R404), 0, 1), 5, if(ISBLANK('2025'!$S404), 0, 1), 6, if(ISBLANK('2025'!$T404), 0, 1), 7, 0))), 1, "")</f>
        <v/>
      </c>
      <c r="AG441" s="1" t="str">
        <f>IF(AND(AND(AND(AG$4&gt;='2025'!$L404,AG$4&lt;='2025'!$M404), AG$4&lt;&gt;DATE(2025,7,4)), (SWITCH(weekday(AG$4), 1, 0, 2, if(ISBLANK('2025'!$P404), 0, 1), 3, if(ISBLANK('2025'!$Q404), 0, 1), 4, if(ISBLANK('2025'!$R404), 0, 1), 5, if(ISBLANK('2025'!$S404), 0, 1), 6, if(ISBLANK('2025'!$T404), 0, 1), 7, 0))), 1, "")</f>
        <v/>
      </c>
      <c r="AH441" s="1" t="str">
        <f>IF(AND(AND(AND(AH$4&gt;='2025'!$L404,AH$4&lt;='2025'!$M404), AH$4&lt;&gt;DATE(2025,7,4)), (SWITCH(weekday(AH$4), 1, 0, 2, if(ISBLANK('2025'!$P404), 0, 1), 3, if(ISBLANK('2025'!$Q404), 0, 1), 4, if(ISBLANK('2025'!$R404), 0, 1), 5, if(ISBLANK('2025'!$S404), 0, 1), 6, if(ISBLANK('2025'!$T404), 0, 1), 7, 0))), 1, "")</f>
        <v/>
      </c>
      <c r="AI441" s="1" t="str">
        <f>IF(AND(AND(AND(AI$4&gt;='2025'!$L404,AI$4&lt;='2025'!$M404), AI$4&lt;&gt;DATE(2025,7,4)), (SWITCH(weekday(AI$4), 1, 0, 2, if(ISBLANK('2025'!$P404), 0, 1), 3, if(ISBLANK('2025'!$Q404), 0, 1), 4, if(ISBLANK('2025'!$R404), 0, 1), 5, if(ISBLANK('2025'!$S404), 0, 1), 6, if(ISBLANK('2025'!$T404), 0, 1), 7, 0))), 1, "")</f>
        <v/>
      </c>
      <c r="AJ441" s="1" t="str">
        <f>IF(AND(AND(AND(AJ$4&gt;='2025'!$L404,AJ$4&lt;='2025'!$M404), AJ$4&lt;&gt;DATE(2025,7,4)), (SWITCH(weekday(AJ$4), 1, 0, 2, if(ISBLANK('2025'!$P404), 0, 1), 3, if(ISBLANK('2025'!$Q404), 0, 1), 4, if(ISBLANK('2025'!$R404), 0, 1), 5, if(ISBLANK('2025'!$S404), 0, 1), 6, if(ISBLANK('2025'!$T404), 0, 1), 7, 0))), 1, "")</f>
        <v/>
      </c>
      <c r="AK441" s="1" t="str">
        <f>IF(AND(AND(AND(AK$4&gt;='2025'!$L404,AK$4&lt;='2025'!$M404), AK$4&lt;&gt;DATE(2025,7,4)), (SWITCH(weekday(AK$4), 1, 0, 2, if(ISBLANK('2025'!$P404), 0, 1), 3, if(ISBLANK('2025'!$Q404), 0, 1), 4, if(ISBLANK('2025'!$R404), 0, 1), 5, if(ISBLANK('2025'!$S404), 0, 1), 6, if(ISBLANK('2025'!$T404), 0, 1), 7, 0))), 1, "")</f>
        <v/>
      </c>
      <c r="AL441" s="1" t="str">
        <f>IF(AND(AND(AND(AL$4&gt;='2025'!$L404,AL$4&lt;='2025'!$M404), AL$4&lt;&gt;DATE(2025,7,4)), (SWITCH(weekday(AL$4), 1, 0, 2, if(ISBLANK('2025'!$P404), 0, 1), 3, if(ISBLANK('2025'!$Q404), 0, 1), 4, if(ISBLANK('2025'!$R404), 0, 1), 5, if(ISBLANK('2025'!$S404), 0, 1), 6, if(ISBLANK('2025'!$T404), 0, 1), 7, 0))), 1, "")</f>
        <v/>
      </c>
      <c r="AM441" s="1" t="str">
        <f>IF(AND(AND(AND(AM$4&gt;='2025'!$L404,AM$4&lt;='2025'!$M404), AM$4&lt;&gt;DATE(2025,7,4)), (SWITCH(weekday(AM$4), 1, 0, 2, if(ISBLANK('2025'!$P404), 0, 1), 3, if(ISBLANK('2025'!$Q404), 0, 1), 4, if(ISBLANK('2025'!$R404), 0, 1), 5, if(ISBLANK('2025'!$S404), 0, 1), 6, if(ISBLANK('2025'!$T404), 0, 1), 7, 0))), 1, "")</f>
        <v/>
      </c>
      <c r="AN441" s="1" t="str">
        <f>IF(AND(AND(AND(AN$4&gt;='2025'!$L404,AN$4&lt;='2025'!$M404), AN$4&lt;&gt;DATE(2025,7,4)), (SWITCH(weekday(AN$4), 1, 0, 2, if(ISBLANK('2025'!$P404), 0, 1), 3, if(ISBLANK('2025'!$Q404), 0, 1), 4, if(ISBLANK('2025'!$R404), 0, 1), 5, if(ISBLANK('2025'!$S404), 0, 1), 6, if(ISBLANK('2025'!$T404), 0, 1), 7, 0))), 1, "")</f>
        <v/>
      </c>
      <c r="AO441" s="1" t="str">
        <f>IF(AND(AND(AND(AO$4&gt;='2025'!$L404,AO$4&lt;='2025'!$M404), AO$4&lt;&gt;DATE(2025,7,4)), (SWITCH(weekday(AO$4), 1, 0, 2, if(ISBLANK('2025'!$P404), 0, 1), 3, if(ISBLANK('2025'!$Q404), 0, 1), 4, if(ISBLANK('2025'!$R404), 0, 1), 5, if(ISBLANK('2025'!$S404), 0, 1), 6, if(ISBLANK('2025'!$T404), 0, 1), 7, 0))), 1, "")</f>
        <v/>
      </c>
      <c r="AP441" s="1" t="str">
        <f>IF(AND(AND(AND(AP$4&gt;='2025'!$L404,AP$4&lt;='2025'!$M404), AP$4&lt;&gt;DATE(2025,7,4)), (SWITCH(weekday(AP$4), 1, 0, 2, if(ISBLANK('2025'!$P404), 0, 1), 3, if(ISBLANK('2025'!$Q404), 0, 1), 4, if(ISBLANK('2025'!$R404), 0, 1), 5, if(ISBLANK('2025'!$S404), 0, 1), 6, if(ISBLANK('2025'!$T404), 0, 1), 7, 0))), 1, "")</f>
        <v/>
      </c>
      <c r="AQ441" s="1" t="str">
        <f>IF(AND(AND(AND(AQ$4&gt;='2025'!$L404,AQ$4&lt;='2025'!$M404), AQ$4&lt;&gt;DATE(2025,7,4)), (SWITCH(weekday(AQ$4), 1, 0, 2, if(ISBLANK('2025'!$P404), 0, 1), 3, if(ISBLANK('2025'!$Q404), 0, 1), 4, if(ISBLANK('2025'!$R404), 0, 1), 5, if(ISBLANK('2025'!$S404), 0, 1), 6, if(ISBLANK('2025'!$T404), 0, 1), 7, 0))), 1, "")</f>
        <v/>
      </c>
      <c r="AR441" s="1" t="str">
        <f>IF(AND(AND(AND(AR$4&gt;='2025'!$L404,AR$4&lt;='2025'!$M404), AR$4&lt;&gt;DATE(2025,7,4)), (SWITCH(weekday(AR$4), 1, 0, 2, if(ISBLANK('2025'!$P404), 0, 1), 3, if(ISBLANK('2025'!$Q404), 0, 1), 4, if(ISBLANK('2025'!$R404), 0, 1), 5, if(ISBLANK('2025'!$S404), 0, 1), 6, if(ISBLANK('2025'!$T404), 0, 1), 7, 0))), 1, "")</f>
        <v/>
      </c>
      <c r="AS441" s="1" t="str">
        <f>IF(AND(AND(AND(AS$4&gt;='2025'!$L404,AS$4&lt;='2025'!$M404), AS$4&lt;&gt;DATE(2025,7,4)), (SWITCH(weekday(AS$4), 1, 0, 2, if(ISBLANK('2025'!$P404), 0, 1), 3, if(ISBLANK('2025'!$Q404), 0, 1), 4, if(ISBLANK('2025'!$R404), 0, 1), 5, if(ISBLANK('2025'!$S404), 0, 1), 6, if(ISBLANK('2025'!$T404), 0, 1), 7, 0))), 1, "")</f>
        <v/>
      </c>
      <c r="AT441" s="1" t="str">
        <f>IF(AND(AND(AND(AT$4&gt;='2025'!$L404,AT$4&lt;='2025'!$M404), AT$4&lt;&gt;DATE(2025,7,4)), (SWITCH(weekday(AT$4), 1, 0, 2, if(ISBLANK('2025'!$P404), 0, 1), 3, if(ISBLANK('2025'!$Q404), 0, 1), 4, if(ISBLANK('2025'!$R404), 0, 1), 5, if(ISBLANK('2025'!$S404), 0, 1), 6, if(ISBLANK('2025'!$T404), 0, 1), 7, 0))), 1, "")</f>
        <v/>
      </c>
      <c r="AU441" s="1" t="str">
        <f>IF(AND(AND(AND(AU$4&gt;='2025'!$L404,AU$4&lt;='2025'!$M404), AU$4&lt;&gt;DATE(2025,7,4)), (SWITCH(weekday(AU$4), 1, 0, 2, if(ISBLANK('2025'!$P404), 0, 1), 3, if(ISBLANK('2025'!$Q404), 0, 1), 4, if(ISBLANK('2025'!$R404), 0, 1), 5, if(ISBLANK('2025'!$S404), 0, 1), 6, if(ISBLANK('2025'!$T404), 0, 1), 7, 0))), 1, "")</f>
        <v/>
      </c>
      <c r="AV441" s="1" t="str">
        <f>IF(AND(AND(AND(AV$4&gt;='2025'!$L404,AV$4&lt;='2025'!$M404), AV$4&lt;&gt;DATE(2025,7,4)), (SWITCH(weekday(AV$4), 1, 0, 2, if(ISBLANK('2025'!$P404), 0, 1), 3, if(ISBLANK('2025'!$Q404), 0, 1), 4, if(ISBLANK('2025'!$R404), 0, 1), 5, if(ISBLANK('2025'!$S404), 0, 1), 6, if(ISBLANK('2025'!$T404), 0, 1), 7, 0))), 1, "")</f>
        <v/>
      </c>
      <c r="AW441" s="1" t="str">
        <f>IF(AND(AND(AND(AW$4&gt;='2025'!$L404,AW$4&lt;='2025'!$M404), AW$4&lt;&gt;DATE(2025,7,4)), (SWITCH(weekday(AW$4), 1, 0, 2, if(ISBLANK('2025'!$P404), 0, 1), 3, if(ISBLANK('2025'!$Q404), 0, 1), 4, if(ISBLANK('2025'!$R404), 0, 1), 5, if(ISBLANK('2025'!$S404), 0, 1), 6, if(ISBLANK('2025'!$T404), 0, 1), 7, 0))), 1, "")</f>
        <v/>
      </c>
      <c r="AX441" s="1" t="str">
        <f>IF(AND(AND(AND(AX$4&gt;='2025'!$L404,AX$4&lt;='2025'!$M404), AX$4&lt;&gt;DATE(2025,7,4)), (SWITCH(weekday(AX$4), 1, 0, 2, if(ISBLANK('2025'!$P404), 0, 1), 3, if(ISBLANK('2025'!$Q404), 0, 1), 4, if(ISBLANK('2025'!$R404), 0, 1), 5, if(ISBLANK('2025'!$S404), 0, 1), 6, if(ISBLANK('2025'!$T404), 0, 1), 7, 0))), 1, "")</f>
        <v/>
      </c>
      <c r="AY441" s="1" t="str">
        <f>IF(AND(AND(AND(AY$4&gt;='2025'!$L404,AY$4&lt;='2025'!$M404), AY$4&lt;&gt;DATE(2025,7,4)), (SWITCH(weekday(AY$4), 1, 0, 2, if(ISBLANK('2025'!$P404), 0, 1), 3, if(ISBLANK('2025'!$Q404), 0, 1), 4, if(ISBLANK('2025'!$R404), 0, 1), 5, if(ISBLANK('2025'!$S404), 0, 1), 6, if(ISBLANK('2025'!$T404), 0, 1), 7, 0))), 1, "")</f>
        <v/>
      </c>
      <c r="AZ441" s="1" t="str">
        <f>IF(AND(AND(AND(AZ$4&gt;='2025'!$L404,AZ$4&lt;='2025'!$M404), AZ$4&lt;&gt;DATE(2025,7,4)), (SWITCH(weekday(AZ$4), 1, 0, 2, if(ISBLANK('2025'!$P404), 0, 1), 3, if(ISBLANK('2025'!$Q404), 0, 1), 4, if(ISBLANK('2025'!$R404), 0, 1), 5, if(ISBLANK('2025'!$S404), 0, 1), 6, if(ISBLANK('2025'!$T404), 0, 1), 7, 0))), 1, "")</f>
        <v/>
      </c>
      <c r="BA441" s="1" t="str">
        <f>IF(AND(AND(AND(BA$4&gt;='2025'!$L404,BA$4&lt;='2025'!$M404), BA$4&lt;&gt;DATE(2025,7,4)), (SWITCH(weekday(BA$4), 1, 0, 2, if(ISBLANK('2025'!$P404), 0, 1), 3, if(ISBLANK('2025'!$Q404), 0, 1), 4, if(ISBLANK('2025'!$R404), 0, 1), 5, if(ISBLANK('2025'!$S404), 0, 1), 6, if(ISBLANK('2025'!$T404), 0, 1), 7, 0))), 1, "")</f>
        <v/>
      </c>
      <c r="BB441" s="1" t="str">
        <f>IF(AND(AND(AND(BB$4&gt;='2025'!$L404,BB$4&lt;='2025'!$M404), BB$4&lt;&gt;DATE(2025,7,4)), (SWITCH(weekday(BB$4), 1, 0, 2, if(ISBLANK('2025'!$P404), 0, 1), 3, if(ISBLANK('2025'!$Q404), 0, 1), 4, if(ISBLANK('2025'!$R404), 0, 1), 5, if(ISBLANK('2025'!$S404), 0, 1), 6, if(ISBLANK('2025'!$T404), 0, 1), 7, 0))), 1, "")</f>
        <v/>
      </c>
      <c r="BC441" s="1" t="str">
        <f>IF(AND(AND(AND(BC$4&gt;='2025'!$L404,BC$4&lt;='2025'!$M404), BC$4&lt;&gt;DATE(2025,7,4)), (SWITCH(weekday(BC$4), 1, 0, 2, if(ISBLANK('2025'!$P404), 0, 1), 3, if(ISBLANK('2025'!$Q404), 0, 1), 4, if(ISBLANK('2025'!$R404), 0, 1), 5, if(ISBLANK('2025'!$S404), 0, 1), 6, if(ISBLANK('2025'!$T404), 0, 1), 7, 0))), 1, "")</f>
        <v/>
      </c>
      <c r="BD441" s="1" t="str">
        <f>IF(AND(AND(AND(BD$4&gt;='2025'!$L404,BD$4&lt;='2025'!$M404), BD$4&lt;&gt;DATE(2025,7,4)), (SWITCH(weekday(BD$4), 1, 0, 2, if(ISBLANK('2025'!$P404), 0, 1), 3, if(ISBLANK('2025'!$Q404), 0, 1), 4, if(ISBLANK('2025'!$R404), 0, 1), 5, if(ISBLANK('2025'!$S404), 0, 1), 6, if(ISBLANK('2025'!$T404), 0, 1), 7, 0))), 1, "")</f>
        <v/>
      </c>
      <c r="BE441" s="1" t="str">
        <f>IF(AND(AND(AND(BE$4&gt;='2025'!$L404,BE$4&lt;='2025'!$M404), BE$4&lt;&gt;DATE(2025,7,4)), (SWITCH(weekday(BE$4), 1, 0, 2, if(ISBLANK('2025'!$P404), 0, 1), 3, if(ISBLANK('2025'!$Q404), 0, 1), 4, if(ISBLANK('2025'!$R404), 0, 1), 5, if(ISBLANK('2025'!$S404), 0, 1), 6, if(ISBLANK('2025'!$T404), 0, 1), 7, 0))), 1, "")</f>
        <v/>
      </c>
    </row>
    <row r="442">
      <c r="A442" s="1">
        <f t="shared" si="3"/>
        <v>442</v>
      </c>
      <c r="B442" s="1" t="str">
        <f>'2025'!D405</f>
        <v/>
      </c>
      <c r="C442" s="1" t="str">
        <f>'2025'!H405</f>
        <v/>
      </c>
      <c r="D442" s="1" t="str">
        <f>IF(AND(AND(AND(D$4&gt;='2025'!$L405,D$4&lt;='2025'!$M405), D$4&lt;&gt;DATE(2025,7,4)), (SWITCH(weekday(D$4), 1, 0, 2, if(ISBLANK('2025'!$P405), 0, 1), 3, if(ISBLANK('2025'!$Q405), 0, 1), 4, if(ISBLANK('2025'!$R405), 0, 1), 5, if(ISBLANK('2025'!$S405), 0, 1), 6, if(ISBLANK('2025'!$T405), 0, 1), 7, 0))), 1, "")</f>
        <v/>
      </c>
      <c r="E442" s="1" t="str">
        <f>IF(AND(AND(AND(E$4&gt;='2025'!$L405,E$4&lt;='2025'!$M405), E$4&lt;&gt;DATE(2025,7,4)), (SWITCH(weekday(E$4), 1, 0, 2, if(ISBLANK('2025'!$P405), 0, 1), 3, if(ISBLANK('2025'!$Q405), 0, 1), 4, if(ISBLANK('2025'!$R405), 0, 1), 5, if(ISBLANK('2025'!$S405), 0, 1), 6, if(ISBLANK('2025'!$T405), 0, 1), 7, 0))), 1, "")</f>
        <v/>
      </c>
      <c r="F442" s="1" t="str">
        <f>IF(AND(AND(AND(F$4&gt;='2025'!$L405,F$4&lt;='2025'!$M405), F$4&lt;&gt;DATE(2025,7,4)), (SWITCH(weekday(F$4), 1, 0, 2, if(ISBLANK('2025'!$P405), 0, 1), 3, if(ISBLANK('2025'!$Q405), 0, 1), 4, if(ISBLANK('2025'!$R405), 0, 1), 5, if(ISBLANK('2025'!$S405), 0, 1), 6, if(ISBLANK('2025'!$T405), 0, 1), 7, 0))), 1, "")</f>
        <v/>
      </c>
      <c r="G442" s="1" t="str">
        <f>IF(AND(AND(AND(G$4&gt;='2025'!$L405,G$4&lt;='2025'!$M405), G$4&lt;&gt;DATE(2025,7,4)), (SWITCH(weekday(G$4), 1, 0, 2, if(ISBLANK('2025'!$P405), 0, 1), 3, if(ISBLANK('2025'!$Q405), 0, 1), 4, if(ISBLANK('2025'!$R405), 0, 1), 5, if(ISBLANK('2025'!$S405), 0, 1), 6, if(ISBLANK('2025'!$T405), 0, 1), 7, 0))), 1, "")</f>
        <v/>
      </c>
      <c r="H442" s="1" t="str">
        <f>IF(AND(AND(AND(H$4&gt;='2025'!$L405,H$4&lt;='2025'!$M405), H$4&lt;&gt;DATE(2025,7,4)), (SWITCH(weekday(H$4), 1, 0, 2, if(ISBLANK('2025'!$P405), 0, 1), 3, if(ISBLANK('2025'!$Q405), 0, 1), 4, if(ISBLANK('2025'!$R405), 0, 1), 5, if(ISBLANK('2025'!$S405), 0, 1), 6, if(ISBLANK('2025'!$T405), 0, 1), 7, 0))), 1, "")</f>
        <v/>
      </c>
      <c r="I442" s="1" t="str">
        <f>IF(AND(AND(AND(I$4&gt;='2025'!$L405,I$4&lt;='2025'!$M405), I$4&lt;&gt;DATE(2025,7,4)), (SWITCH(weekday(I$4), 1, 0, 2, if(ISBLANK('2025'!$P405), 0, 1), 3, if(ISBLANK('2025'!$Q405), 0, 1), 4, if(ISBLANK('2025'!$R405), 0, 1), 5, if(ISBLANK('2025'!$S405), 0, 1), 6, if(ISBLANK('2025'!$T405), 0, 1), 7, 0))), 1, "")</f>
        <v/>
      </c>
      <c r="J442" s="1" t="str">
        <f>IF(AND(AND(AND(J$4&gt;='2025'!$L405,J$4&lt;='2025'!$M405), J$4&lt;&gt;DATE(2025,7,4)), (SWITCH(weekday(J$4), 1, 0, 2, if(ISBLANK('2025'!$P405), 0, 1), 3, if(ISBLANK('2025'!$Q405), 0, 1), 4, if(ISBLANK('2025'!$R405), 0, 1), 5, if(ISBLANK('2025'!$S405), 0, 1), 6, if(ISBLANK('2025'!$T405), 0, 1), 7, 0))), 1, "")</f>
        <v/>
      </c>
      <c r="K442" s="1" t="str">
        <f>IF(AND(AND(AND(K$4&gt;='2025'!$L405,K$4&lt;='2025'!$M405), K$4&lt;&gt;DATE(2025,7,4)), (SWITCH(weekday(K$4), 1, 0, 2, if(ISBLANK('2025'!$P405), 0, 1), 3, if(ISBLANK('2025'!$Q405), 0, 1), 4, if(ISBLANK('2025'!$R405), 0, 1), 5, if(ISBLANK('2025'!$S405), 0, 1), 6, if(ISBLANK('2025'!$T405), 0, 1), 7, 0))), 1, "")</f>
        <v/>
      </c>
      <c r="L442" s="1" t="str">
        <f>IF(AND(AND(AND(L$4&gt;='2025'!$L405,L$4&lt;='2025'!$M405), L$4&lt;&gt;DATE(2025,7,4)), (SWITCH(weekday(L$4), 1, 0, 2, if(ISBLANK('2025'!$P405), 0, 1), 3, if(ISBLANK('2025'!$Q405), 0, 1), 4, if(ISBLANK('2025'!$R405), 0, 1), 5, if(ISBLANK('2025'!$S405), 0, 1), 6, if(ISBLANK('2025'!$T405), 0, 1), 7, 0))), 1, "")</f>
        <v/>
      </c>
      <c r="M442" s="1" t="str">
        <f>IF(AND(AND(AND(M$4&gt;='2025'!$L405,M$4&lt;='2025'!$M405), M$4&lt;&gt;DATE(2025,7,4)), (SWITCH(weekday(M$4), 1, 0, 2, if(ISBLANK('2025'!$P405), 0, 1), 3, if(ISBLANK('2025'!$Q405), 0, 1), 4, if(ISBLANK('2025'!$R405), 0, 1), 5, if(ISBLANK('2025'!$S405), 0, 1), 6, if(ISBLANK('2025'!$T405), 0, 1), 7, 0))), 1, "")</f>
        <v/>
      </c>
      <c r="N442" s="1" t="str">
        <f>IF(AND(AND(AND(N$4&gt;='2025'!$L405,N$4&lt;='2025'!$M405), N$4&lt;&gt;DATE(2025,7,4)), (SWITCH(weekday(N$4), 1, 0, 2, if(ISBLANK('2025'!$P405), 0, 1), 3, if(ISBLANK('2025'!$Q405), 0, 1), 4, if(ISBLANK('2025'!$R405), 0, 1), 5, if(ISBLANK('2025'!$S405), 0, 1), 6, if(ISBLANK('2025'!$T405), 0, 1), 7, 0))), 1, "")</f>
        <v/>
      </c>
      <c r="O442" s="1" t="str">
        <f>IF(AND(AND(AND(O$4&gt;='2025'!$L405,O$4&lt;='2025'!$M405), O$4&lt;&gt;DATE(2025,7,4)), (SWITCH(weekday(O$4), 1, 0, 2, if(ISBLANK('2025'!$P405), 0, 1), 3, if(ISBLANK('2025'!$Q405), 0, 1), 4, if(ISBLANK('2025'!$R405), 0, 1), 5, if(ISBLANK('2025'!$S405), 0, 1), 6, if(ISBLANK('2025'!$T405), 0, 1), 7, 0))), 1, "")</f>
        <v/>
      </c>
      <c r="P442" s="1" t="str">
        <f>IF(AND(AND(AND(P$4&gt;='2025'!$L405,P$4&lt;='2025'!$M405), P$4&lt;&gt;DATE(2025,7,4)), (SWITCH(weekday(P$4), 1, 0, 2, if(ISBLANK('2025'!$P405), 0, 1), 3, if(ISBLANK('2025'!$Q405), 0, 1), 4, if(ISBLANK('2025'!$R405), 0, 1), 5, if(ISBLANK('2025'!$S405), 0, 1), 6, if(ISBLANK('2025'!$T405), 0, 1), 7, 0))), 1, "")</f>
        <v/>
      </c>
      <c r="Q442" s="1" t="str">
        <f>IF(AND(AND(AND(Q$4&gt;='2025'!$L405,Q$4&lt;='2025'!$M405), Q$4&lt;&gt;DATE(2025,7,4)), (SWITCH(weekday(Q$4), 1, 0, 2, if(ISBLANK('2025'!$P405), 0, 1), 3, if(ISBLANK('2025'!$Q405), 0, 1), 4, if(ISBLANK('2025'!$R405), 0, 1), 5, if(ISBLANK('2025'!$S405), 0, 1), 6, if(ISBLANK('2025'!$T405), 0, 1), 7, 0))), 1, "")</f>
        <v/>
      </c>
      <c r="R442" s="1" t="str">
        <f>IF(AND(AND(AND(R$4&gt;='2025'!$L405,R$4&lt;='2025'!$M405), R$4&lt;&gt;DATE(2025,7,4)), (SWITCH(weekday(R$4), 1, 0, 2, if(ISBLANK('2025'!$P405), 0, 1), 3, if(ISBLANK('2025'!$Q405), 0, 1), 4, if(ISBLANK('2025'!$R405), 0, 1), 5, if(ISBLANK('2025'!$S405), 0, 1), 6, if(ISBLANK('2025'!$T405), 0, 1), 7, 0))), 1, "")</f>
        <v/>
      </c>
      <c r="S442" s="1" t="str">
        <f>IF(AND(AND(AND(S$4&gt;='2025'!$L405,S$4&lt;='2025'!$M405), S$4&lt;&gt;DATE(2025,7,4)), (SWITCH(weekday(S$4), 1, 0, 2, if(ISBLANK('2025'!$P405), 0, 1), 3, if(ISBLANK('2025'!$Q405), 0, 1), 4, if(ISBLANK('2025'!$R405), 0, 1), 5, if(ISBLANK('2025'!$S405), 0, 1), 6, if(ISBLANK('2025'!$T405), 0, 1), 7, 0))), 1, "")</f>
        <v/>
      </c>
      <c r="T442" s="1" t="str">
        <f>IF(AND(AND(AND(T$4&gt;='2025'!$L405,T$4&lt;='2025'!$M405), T$4&lt;&gt;DATE(2025,7,4)), (SWITCH(weekday(T$4), 1, 0, 2, if(ISBLANK('2025'!$P405), 0, 1), 3, if(ISBLANK('2025'!$Q405), 0, 1), 4, if(ISBLANK('2025'!$R405), 0, 1), 5, if(ISBLANK('2025'!$S405), 0, 1), 6, if(ISBLANK('2025'!$T405), 0, 1), 7, 0))), 1, "")</f>
        <v/>
      </c>
      <c r="U442" s="1" t="str">
        <f>IF(AND(AND(AND(U$4&gt;='2025'!$L405,U$4&lt;='2025'!$M405), U$4&lt;&gt;DATE(2025,7,4)), (SWITCH(weekday(U$4), 1, 0, 2, if(ISBLANK('2025'!$P405), 0, 1), 3, if(ISBLANK('2025'!$Q405), 0, 1), 4, if(ISBLANK('2025'!$R405), 0, 1), 5, if(ISBLANK('2025'!$S405), 0, 1), 6, if(ISBLANK('2025'!$T405), 0, 1), 7, 0))), 1, "")</f>
        <v/>
      </c>
      <c r="V442" s="1" t="str">
        <f>IF(AND(AND(AND(V$4&gt;='2025'!$L405,V$4&lt;='2025'!$M405), V$4&lt;&gt;DATE(2025,7,4)), (SWITCH(weekday(V$4), 1, 0, 2, if(ISBLANK('2025'!$P405), 0, 1), 3, if(ISBLANK('2025'!$Q405), 0, 1), 4, if(ISBLANK('2025'!$R405), 0, 1), 5, if(ISBLANK('2025'!$S405), 0, 1), 6, if(ISBLANK('2025'!$T405), 0, 1), 7, 0))), 1, "")</f>
        <v/>
      </c>
      <c r="W442" s="1" t="str">
        <f>IF(AND(AND(AND(W$4&gt;='2025'!$L405,W$4&lt;='2025'!$M405), W$4&lt;&gt;DATE(2025,7,4)), (SWITCH(weekday(W$4), 1, 0, 2, if(ISBLANK('2025'!$P405), 0, 1), 3, if(ISBLANK('2025'!$Q405), 0, 1), 4, if(ISBLANK('2025'!$R405), 0, 1), 5, if(ISBLANK('2025'!$S405), 0, 1), 6, if(ISBLANK('2025'!$T405), 0, 1), 7, 0))), 1, "")</f>
        <v/>
      </c>
      <c r="X442" s="1" t="str">
        <f>IF(AND(AND(AND(X$4&gt;='2025'!$L405,X$4&lt;='2025'!$M405), X$4&lt;&gt;DATE(2025,7,4)), (SWITCH(weekday(X$4), 1, 0, 2, if(ISBLANK('2025'!$P405), 0, 1), 3, if(ISBLANK('2025'!$Q405), 0, 1), 4, if(ISBLANK('2025'!$R405), 0, 1), 5, if(ISBLANK('2025'!$S405), 0, 1), 6, if(ISBLANK('2025'!$T405), 0, 1), 7, 0))), 1, "")</f>
        <v/>
      </c>
      <c r="Y442" s="1" t="str">
        <f>IF(AND(AND(AND(Y$4&gt;='2025'!$L405,Y$4&lt;='2025'!$M405), Y$4&lt;&gt;DATE(2025,7,4)), (SWITCH(weekday(Y$4), 1, 0, 2, if(ISBLANK('2025'!$P405), 0, 1), 3, if(ISBLANK('2025'!$Q405), 0, 1), 4, if(ISBLANK('2025'!$R405), 0, 1), 5, if(ISBLANK('2025'!$S405), 0, 1), 6, if(ISBLANK('2025'!$T405), 0, 1), 7, 0))), 1, "")</f>
        <v/>
      </c>
      <c r="Z442" s="1" t="str">
        <f>IF(AND(AND(AND(Z$4&gt;='2025'!$L405,Z$4&lt;='2025'!$M405), Z$4&lt;&gt;DATE(2025,7,4)), (SWITCH(weekday(Z$4), 1, 0, 2, if(ISBLANK('2025'!$P405), 0, 1), 3, if(ISBLANK('2025'!$Q405), 0, 1), 4, if(ISBLANK('2025'!$R405), 0, 1), 5, if(ISBLANK('2025'!$S405), 0, 1), 6, if(ISBLANK('2025'!$T405), 0, 1), 7, 0))), 1, "")</f>
        <v/>
      </c>
      <c r="AA442" s="1" t="str">
        <f>IF(AND(AND(AND(AA$4&gt;='2025'!$L405,AA$4&lt;='2025'!$M405), AA$4&lt;&gt;DATE(2025,7,4)), (SWITCH(weekday(AA$4), 1, 0, 2, if(ISBLANK('2025'!$P405), 0, 1), 3, if(ISBLANK('2025'!$Q405), 0, 1), 4, if(ISBLANK('2025'!$R405), 0, 1), 5, if(ISBLANK('2025'!$S405), 0, 1), 6, if(ISBLANK('2025'!$T405), 0, 1), 7, 0))), 1, "")</f>
        <v/>
      </c>
      <c r="AB442" s="1" t="str">
        <f>IF(AND(AND(AND(AB$4&gt;='2025'!$L405,AB$4&lt;='2025'!$M405), AB$4&lt;&gt;DATE(2025,7,4)), (SWITCH(weekday(AB$4), 1, 0, 2, if(ISBLANK('2025'!$P405), 0, 1), 3, if(ISBLANK('2025'!$Q405), 0, 1), 4, if(ISBLANK('2025'!$R405), 0, 1), 5, if(ISBLANK('2025'!$S405), 0, 1), 6, if(ISBLANK('2025'!$T405), 0, 1), 7, 0))), 1, "")</f>
        <v/>
      </c>
      <c r="AC442" s="1" t="str">
        <f>IF(AND(AND(AND(AC$4&gt;='2025'!$L405,AC$4&lt;='2025'!$M405), AC$4&lt;&gt;DATE(2025,7,4)), (SWITCH(weekday(AC$4), 1, 0, 2, if(ISBLANK('2025'!$P405), 0, 1), 3, if(ISBLANK('2025'!$Q405), 0, 1), 4, if(ISBLANK('2025'!$R405), 0, 1), 5, if(ISBLANK('2025'!$S405), 0, 1), 6, if(ISBLANK('2025'!$T405), 0, 1), 7, 0))), 1, "")</f>
        <v/>
      </c>
      <c r="AD442" s="1" t="str">
        <f>IF(AND(AND(AND(AD$4&gt;='2025'!$L405,AD$4&lt;='2025'!$M405), AD$4&lt;&gt;DATE(2025,7,4)), (SWITCH(weekday(AD$4), 1, 0, 2, if(ISBLANK('2025'!$P405), 0, 1), 3, if(ISBLANK('2025'!$Q405), 0, 1), 4, if(ISBLANK('2025'!$R405), 0, 1), 5, if(ISBLANK('2025'!$S405), 0, 1), 6, if(ISBLANK('2025'!$T405), 0, 1), 7, 0))), 1, "")</f>
        <v/>
      </c>
      <c r="AE442" s="1" t="str">
        <f>IF(AND(AND(AND(AE$4&gt;='2025'!$L405,AE$4&lt;='2025'!$M405), AE$4&lt;&gt;DATE(2025,7,4)), (SWITCH(weekday(AE$4), 1, 0, 2, if(ISBLANK('2025'!$P405), 0, 1), 3, if(ISBLANK('2025'!$Q405), 0, 1), 4, if(ISBLANK('2025'!$R405), 0, 1), 5, if(ISBLANK('2025'!$S405), 0, 1), 6, if(ISBLANK('2025'!$T405), 0, 1), 7, 0))), 1, "")</f>
        <v/>
      </c>
      <c r="AF442" s="1" t="str">
        <f>IF(AND(AND(AND(AF$4&gt;='2025'!$L405,AF$4&lt;='2025'!$M405), AF$4&lt;&gt;DATE(2025,7,4)), (SWITCH(weekday(AF$4), 1, 0, 2, if(ISBLANK('2025'!$P405), 0, 1), 3, if(ISBLANK('2025'!$Q405), 0, 1), 4, if(ISBLANK('2025'!$R405), 0, 1), 5, if(ISBLANK('2025'!$S405), 0, 1), 6, if(ISBLANK('2025'!$T405), 0, 1), 7, 0))), 1, "")</f>
        <v/>
      </c>
      <c r="AG442" s="1" t="str">
        <f>IF(AND(AND(AND(AG$4&gt;='2025'!$L405,AG$4&lt;='2025'!$M405), AG$4&lt;&gt;DATE(2025,7,4)), (SWITCH(weekday(AG$4), 1, 0, 2, if(ISBLANK('2025'!$P405), 0, 1), 3, if(ISBLANK('2025'!$Q405), 0, 1), 4, if(ISBLANK('2025'!$R405), 0, 1), 5, if(ISBLANK('2025'!$S405), 0, 1), 6, if(ISBLANK('2025'!$T405), 0, 1), 7, 0))), 1, "")</f>
        <v/>
      </c>
      <c r="AH442" s="1" t="str">
        <f>IF(AND(AND(AND(AH$4&gt;='2025'!$L405,AH$4&lt;='2025'!$M405), AH$4&lt;&gt;DATE(2025,7,4)), (SWITCH(weekday(AH$4), 1, 0, 2, if(ISBLANK('2025'!$P405), 0, 1), 3, if(ISBLANK('2025'!$Q405), 0, 1), 4, if(ISBLANK('2025'!$R405), 0, 1), 5, if(ISBLANK('2025'!$S405), 0, 1), 6, if(ISBLANK('2025'!$T405), 0, 1), 7, 0))), 1, "")</f>
        <v/>
      </c>
      <c r="AI442" s="1" t="str">
        <f>IF(AND(AND(AND(AI$4&gt;='2025'!$L405,AI$4&lt;='2025'!$M405), AI$4&lt;&gt;DATE(2025,7,4)), (SWITCH(weekday(AI$4), 1, 0, 2, if(ISBLANK('2025'!$P405), 0, 1), 3, if(ISBLANK('2025'!$Q405), 0, 1), 4, if(ISBLANK('2025'!$R405), 0, 1), 5, if(ISBLANK('2025'!$S405), 0, 1), 6, if(ISBLANK('2025'!$T405), 0, 1), 7, 0))), 1, "")</f>
        <v/>
      </c>
      <c r="AJ442" s="1" t="str">
        <f>IF(AND(AND(AND(AJ$4&gt;='2025'!$L405,AJ$4&lt;='2025'!$M405), AJ$4&lt;&gt;DATE(2025,7,4)), (SWITCH(weekday(AJ$4), 1, 0, 2, if(ISBLANK('2025'!$P405), 0, 1), 3, if(ISBLANK('2025'!$Q405), 0, 1), 4, if(ISBLANK('2025'!$R405), 0, 1), 5, if(ISBLANK('2025'!$S405), 0, 1), 6, if(ISBLANK('2025'!$T405), 0, 1), 7, 0))), 1, "")</f>
        <v/>
      </c>
      <c r="AK442" s="1" t="str">
        <f>IF(AND(AND(AND(AK$4&gt;='2025'!$L405,AK$4&lt;='2025'!$M405), AK$4&lt;&gt;DATE(2025,7,4)), (SWITCH(weekday(AK$4), 1, 0, 2, if(ISBLANK('2025'!$P405), 0, 1), 3, if(ISBLANK('2025'!$Q405), 0, 1), 4, if(ISBLANK('2025'!$R405), 0, 1), 5, if(ISBLANK('2025'!$S405), 0, 1), 6, if(ISBLANK('2025'!$T405), 0, 1), 7, 0))), 1, "")</f>
        <v/>
      </c>
      <c r="AL442" s="1" t="str">
        <f>IF(AND(AND(AND(AL$4&gt;='2025'!$L405,AL$4&lt;='2025'!$M405), AL$4&lt;&gt;DATE(2025,7,4)), (SWITCH(weekday(AL$4), 1, 0, 2, if(ISBLANK('2025'!$P405), 0, 1), 3, if(ISBLANK('2025'!$Q405), 0, 1), 4, if(ISBLANK('2025'!$R405), 0, 1), 5, if(ISBLANK('2025'!$S405), 0, 1), 6, if(ISBLANK('2025'!$T405), 0, 1), 7, 0))), 1, "")</f>
        <v/>
      </c>
      <c r="AM442" s="1" t="str">
        <f>IF(AND(AND(AND(AM$4&gt;='2025'!$L405,AM$4&lt;='2025'!$M405), AM$4&lt;&gt;DATE(2025,7,4)), (SWITCH(weekday(AM$4), 1, 0, 2, if(ISBLANK('2025'!$P405), 0, 1), 3, if(ISBLANK('2025'!$Q405), 0, 1), 4, if(ISBLANK('2025'!$R405), 0, 1), 5, if(ISBLANK('2025'!$S405), 0, 1), 6, if(ISBLANK('2025'!$T405), 0, 1), 7, 0))), 1, "")</f>
        <v/>
      </c>
      <c r="AN442" s="1" t="str">
        <f>IF(AND(AND(AND(AN$4&gt;='2025'!$L405,AN$4&lt;='2025'!$M405), AN$4&lt;&gt;DATE(2025,7,4)), (SWITCH(weekday(AN$4), 1, 0, 2, if(ISBLANK('2025'!$P405), 0, 1), 3, if(ISBLANK('2025'!$Q405), 0, 1), 4, if(ISBLANK('2025'!$R405), 0, 1), 5, if(ISBLANK('2025'!$S405), 0, 1), 6, if(ISBLANK('2025'!$T405), 0, 1), 7, 0))), 1, "")</f>
        <v/>
      </c>
      <c r="AO442" s="1" t="str">
        <f>IF(AND(AND(AND(AO$4&gt;='2025'!$L405,AO$4&lt;='2025'!$M405), AO$4&lt;&gt;DATE(2025,7,4)), (SWITCH(weekday(AO$4), 1, 0, 2, if(ISBLANK('2025'!$P405), 0, 1), 3, if(ISBLANK('2025'!$Q405), 0, 1), 4, if(ISBLANK('2025'!$R405), 0, 1), 5, if(ISBLANK('2025'!$S405), 0, 1), 6, if(ISBLANK('2025'!$T405), 0, 1), 7, 0))), 1, "")</f>
        <v/>
      </c>
      <c r="AP442" s="1" t="str">
        <f>IF(AND(AND(AND(AP$4&gt;='2025'!$L405,AP$4&lt;='2025'!$M405), AP$4&lt;&gt;DATE(2025,7,4)), (SWITCH(weekday(AP$4), 1, 0, 2, if(ISBLANK('2025'!$P405), 0, 1), 3, if(ISBLANK('2025'!$Q405), 0, 1), 4, if(ISBLANK('2025'!$R405), 0, 1), 5, if(ISBLANK('2025'!$S405), 0, 1), 6, if(ISBLANK('2025'!$T405), 0, 1), 7, 0))), 1, "")</f>
        <v/>
      </c>
      <c r="AQ442" s="1" t="str">
        <f>IF(AND(AND(AND(AQ$4&gt;='2025'!$L405,AQ$4&lt;='2025'!$M405), AQ$4&lt;&gt;DATE(2025,7,4)), (SWITCH(weekday(AQ$4), 1, 0, 2, if(ISBLANK('2025'!$P405), 0, 1), 3, if(ISBLANK('2025'!$Q405), 0, 1), 4, if(ISBLANK('2025'!$R405), 0, 1), 5, if(ISBLANK('2025'!$S405), 0, 1), 6, if(ISBLANK('2025'!$T405), 0, 1), 7, 0))), 1, "")</f>
        <v/>
      </c>
      <c r="AR442" s="1" t="str">
        <f>IF(AND(AND(AND(AR$4&gt;='2025'!$L405,AR$4&lt;='2025'!$M405), AR$4&lt;&gt;DATE(2025,7,4)), (SWITCH(weekday(AR$4), 1, 0, 2, if(ISBLANK('2025'!$P405), 0, 1), 3, if(ISBLANK('2025'!$Q405), 0, 1), 4, if(ISBLANK('2025'!$R405), 0, 1), 5, if(ISBLANK('2025'!$S405), 0, 1), 6, if(ISBLANK('2025'!$T405), 0, 1), 7, 0))), 1, "")</f>
        <v/>
      </c>
      <c r="AS442" s="1" t="str">
        <f>IF(AND(AND(AND(AS$4&gt;='2025'!$L405,AS$4&lt;='2025'!$M405), AS$4&lt;&gt;DATE(2025,7,4)), (SWITCH(weekday(AS$4), 1, 0, 2, if(ISBLANK('2025'!$P405), 0, 1), 3, if(ISBLANK('2025'!$Q405), 0, 1), 4, if(ISBLANK('2025'!$R405), 0, 1), 5, if(ISBLANK('2025'!$S405), 0, 1), 6, if(ISBLANK('2025'!$T405), 0, 1), 7, 0))), 1, "")</f>
        <v/>
      </c>
      <c r="AT442" s="1" t="str">
        <f>IF(AND(AND(AND(AT$4&gt;='2025'!$L405,AT$4&lt;='2025'!$M405), AT$4&lt;&gt;DATE(2025,7,4)), (SWITCH(weekday(AT$4), 1, 0, 2, if(ISBLANK('2025'!$P405), 0, 1), 3, if(ISBLANK('2025'!$Q405), 0, 1), 4, if(ISBLANK('2025'!$R405), 0, 1), 5, if(ISBLANK('2025'!$S405), 0, 1), 6, if(ISBLANK('2025'!$T405), 0, 1), 7, 0))), 1, "")</f>
        <v/>
      </c>
      <c r="AU442" s="1" t="str">
        <f>IF(AND(AND(AND(AU$4&gt;='2025'!$L405,AU$4&lt;='2025'!$M405), AU$4&lt;&gt;DATE(2025,7,4)), (SWITCH(weekday(AU$4), 1, 0, 2, if(ISBLANK('2025'!$P405), 0, 1), 3, if(ISBLANK('2025'!$Q405), 0, 1), 4, if(ISBLANK('2025'!$R405), 0, 1), 5, if(ISBLANK('2025'!$S405), 0, 1), 6, if(ISBLANK('2025'!$T405), 0, 1), 7, 0))), 1, "")</f>
        <v/>
      </c>
      <c r="AV442" s="1" t="str">
        <f>IF(AND(AND(AND(AV$4&gt;='2025'!$L405,AV$4&lt;='2025'!$M405), AV$4&lt;&gt;DATE(2025,7,4)), (SWITCH(weekday(AV$4), 1, 0, 2, if(ISBLANK('2025'!$P405), 0, 1), 3, if(ISBLANK('2025'!$Q405), 0, 1), 4, if(ISBLANK('2025'!$R405), 0, 1), 5, if(ISBLANK('2025'!$S405), 0, 1), 6, if(ISBLANK('2025'!$T405), 0, 1), 7, 0))), 1, "")</f>
        <v/>
      </c>
      <c r="AW442" s="1" t="str">
        <f>IF(AND(AND(AND(AW$4&gt;='2025'!$L405,AW$4&lt;='2025'!$M405), AW$4&lt;&gt;DATE(2025,7,4)), (SWITCH(weekday(AW$4), 1, 0, 2, if(ISBLANK('2025'!$P405), 0, 1), 3, if(ISBLANK('2025'!$Q405), 0, 1), 4, if(ISBLANK('2025'!$R405), 0, 1), 5, if(ISBLANK('2025'!$S405), 0, 1), 6, if(ISBLANK('2025'!$T405), 0, 1), 7, 0))), 1, "")</f>
        <v/>
      </c>
      <c r="AX442" s="1" t="str">
        <f>IF(AND(AND(AND(AX$4&gt;='2025'!$L405,AX$4&lt;='2025'!$M405), AX$4&lt;&gt;DATE(2025,7,4)), (SWITCH(weekday(AX$4), 1, 0, 2, if(ISBLANK('2025'!$P405), 0, 1), 3, if(ISBLANK('2025'!$Q405), 0, 1), 4, if(ISBLANK('2025'!$R405), 0, 1), 5, if(ISBLANK('2025'!$S405), 0, 1), 6, if(ISBLANK('2025'!$T405), 0, 1), 7, 0))), 1, "")</f>
        <v/>
      </c>
      <c r="AY442" s="1" t="str">
        <f>IF(AND(AND(AND(AY$4&gt;='2025'!$L405,AY$4&lt;='2025'!$M405), AY$4&lt;&gt;DATE(2025,7,4)), (SWITCH(weekday(AY$4), 1, 0, 2, if(ISBLANK('2025'!$P405), 0, 1), 3, if(ISBLANK('2025'!$Q405), 0, 1), 4, if(ISBLANK('2025'!$R405), 0, 1), 5, if(ISBLANK('2025'!$S405), 0, 1), 6, if(ISBLANK('2025'!$T405), 0, 1), 7, 0))), 1, "")</f>
        <v/>
      </c>
      <c r="AZ442" s="1" t="str">
        <f>IF(AND(AND(AND(AZ$4&gt;='2025'!$L405,AZ$4&lt;='2025'!$M405), AZ$4&lt;&gt;DATE(2025,7,4)), (SWITCH(weekday(AZ$4), 1, 0, 2, if(ISBLANK('2025'!$P405), 0, 1), 3, if(ISBLANK('2025'!$Q405), 0, 1), 4, if(ISBLANK('2025'!$R405), 0, 1), 5, if(ISBLANK('2025'!$S405), 0, 1), 6, if(ISBLANK('2025'!$T405), 0, 1), 7, 0))), 1, "")</f>
        <v/>
      </c>
      <c r="BA442" s="1" t="str">
        <f>IF(AND(AND(AND(BA$4&gt;='2025'!$L405,BA$4&lt;='2025'!$M405), BA$4&lt;&gt;DATE(2025,7,4)), (SWITCH(weekday(BA$4), 1, 0, 2, if(ISBLANK('2025'!$P405), 0, 1), 3, if(ISBLANK('2025'!$Q405), 0, 1), 4, if(ISBLANK('2025'!$R405), 0, 1), 5, if(ISBLANK('2025'!$S405), 0, 1), 6, if(ISBLANK('2025'!$T405), 0, 1), 7, 0))), 1, "")</f>
        <v/>
      </c>
      <c r="BB442" s="1" t="str">
        <f>IF(AND(AND(AND(BB$4&gt;='2025'!$L405,BB$4&lt;='2025'!$M405), BB$4&lt;&gt;DATE(2025,7,4)), (SWITCH(weekday(BB$4), 1, 0, 2, if(ISBLANK('2025'!$P405), 0, 1), 3, if(ISBLANK('2025'!$Q405), 0, 1), 4, if(ISBLANK('2025'!$R405), 0, 1), 5, if(ISBLANK('2025'!$S405), 0, 1), 6, if(ISBLANK('2025'!$T405), 0, 1), 7, 0))), 1, "")</f>
        <v/>
      </c>
      <c r="BC442" s="1" t="str">
        <f>IF(AND(AND(AND(BC$4&gt;='2025'!$L405,BC$4&lt;='2025'!$M405), BC$4&lt;&gt;DATE(2025,7,4)), (SWITCH(weekday(BC$4), 1, 0, 2, if(ISBLANK('2025'!$P405), 0, 1), 3, if(ISBLANK('2025'!$Q405), 0, 1), 4, if(ISBLANK('2025'!$R405), 0, 1), 5, if(ISBLANK('2025'!$S405), 0, 1), 6, if(ISBLANK('2025'!$T405), 0, 1), 7, 0))), 1, "")</f>
        <v/>
      </c>
      <c r="BD442" s="1" t="str">
        <f>IF(AND(AND(AND(BD$4&gt;='2025'!$L405,BD$4&lt;='2025'!$M405), BD$4&lt;&gt;DATE(2025,7,4)), (SWITCH(weekday(BD$4), 1, 0, 2, if(ISBLANK('2025'!$P405), 0, 1), 3, if(ISBLANK('2025'!$Q405), 0, 1), 4, if(ISBLANK('2025'!$R405), 0, 1), 5, if(ISBLANK('2025'!$S405), 0, 1), 6, if(ISBLANK('2025'!$T405), 0, 1), 7, 0))), 1, "")</f>
        <v/>
      </c>
      <c r="BE442" s="1" t="str">
        <f>IF(AND(AND(AND(BE$4&gt;='2025'!$L405,BE$4&lt;='2025'!$M405), BE$4&lt;&gt;DATE(2025,7,4)), (SWITCH(weekday(BE$4), 1, 0, 2, if(ISBLANK('2025'!$P405), 0, 1), 3, if(ISBLANK('2025'!$Q405), 0, 1), 4, if(ISBLANK('2025'!$R405), 0, 1), 5, if(ISBLANK('2025'!$S405), 0, 1), 6, if(ISBLANK('2025'!$T405), 0, 1), 7, 0))), 1, "")</f>
        <v/>
      </c>
    </row>
    <row r="443">
      <c r="A443" s="1">
        <f t="shared" si="3"/>
        <v>443</v>
      </c>
      <c r="B443" s="1" t="str">
        <f>'2025'!D406</f>
        <v/>
      </c>
      <c r="C443" s="1" t="str">
        <f>'2025'!H406</f>
        <v/>
      </c>
      <c r="D443" s="1" t="str">
        <f>IF(AND(AND(AND(D$4&gt;='2025'!$L406,D$4&lt;='2025'!$M406), D$4&lt;&gt;DATE(2025,7,4)), (SWITCH(weekday(D$4), 1, 0, 2, if(ISBLANK('2025'!$P406), 0, 1), 3, if(ISBLANK('2025'!$Q406), 0, 1), 4, if(ISBLANK('2025'!$R406), 0, 1), 5, if(ISBLANK('2025'!$S406), 0, 1), 6, if(ISBLANK('2025'!$T406), 0, 1), 7, 0))), 1, "")</f>
        <v/>
      </c>
      <c r="E443" s="1" t="str">
        <f>IF(AND(AND(AND(E$4&gt;='2025'!$L406,E$4&lt;='2025'!$M406), E$4&lt;&gt;DATE(2025,7,4)), (SWITCH(weekday(E$4), 1, 0, 2, if(ISBLANK('2025'!$P406), 0, 1), 3, if(ISBLANK('2025'!$Q406), 0, 1), 4, if(ISBLANK('2025'!$R406), 0, 1), 5, if(ISBLANK('2025'!$S406), 0, 1), 6, if(ISBLANK('2025'!$T406), 0, 1), 7, 0))), 1, "")</f>
        <v/>
      </c>
      <c r="F443" s="1" t="str">
        <f>IF(AND(AND(AND(F$4&gt;='2025'!$L406,F$4&lt;='2025'!$M406), F$4&lt;&gt;DATE(2025,7,4)), (SWITCH(weekday(F$4), 1, 0, 2, if(ISBLANK('2025'!$P406), 0, 1), 3, if(ISBLANK('2025'!$Q406), 0, 1), 4, if(ISBLANK('2025'!$R406), 0, 1), 5, if(ISBLANK('2025'!$S406), 0, 1), 6, if(ISBLANK('2025'!$T406), 0, 1), 7, 0))), 1, "")</f>
        <v/>
      </c>
      <c r="G443" s="1" t="str">
        <f>IF(AND(AND(AND(G$4&gt;='2025'!$L406,G$4&lt;='2025'!$M406), G$4&lt;&gt;DATE(2025,7,4)), (SWITCH(weekday(G$4), 1, 0, 2, if(ISBLANK('2025'!$P406), 0, 1), 3, if(ISBLANK('2025'!$Q406), 0, 1), 4, if(ISBLANK('2025'!$R406), 0, 1), 5, if(ISBLANK('2025'!$S406), 0, 1), 6, if(ISBLANK('2025'!$T406), 0, 1), 7, 0))), 1, "")</f>
        <v/>
      </c>
      <c r="H443" s="1" t="str">
        <f>IF(AND(AND(AND(H$4&gt;='2025'!$L406,H$4&lt;='2025'!$M406), H$4&lt;&gt;DATE(2025,7,4)), (SWITCH(weekday(H$4), 1, 0, 2, if(ISBLANK('2025'!$P406), 0, 1), 3, if(ISBLANK('2025'!$Q406), 0, 1), 4, if(ISBLANK('2025'!$R406), 0, 1), 5, if(ISBLANK('2025'!$S406), 0, 1), 6, if(ISBLANK('2025'!$T406), 0, 1), 7, 0))), 1, "")</f>
        <v/>
      </c>
      <c r="I443" s="1" t="str">
        <f>IF(AND(AND(AND(I$4&gt;='2025'!$L406,I$4&lt;='2025'!$M406), I$4&lt;&gt;DATE(2025,7,4)), (SWITCH(weekday(I$4), 1, 0, 2, if(ISBLANK('2025'!$P406), 0, 1), 3, if(ISBLANK('2025'!$Q406), 0, 1), 4, if(ISBLANK('2025'!$R406), 0, 1), 5, if(ISBLANK('2025'!$S406), 0, 1), 6, if(ISBLANK('2025'!$T406), 0, 1), 7, 0))), 1, "")</f>
        <v/>
      </c>
      <c r="J443" s="1" t="str">
        <f>IF(AND(AND(AND(J$4&gt;='2025'!$L406,J$4&lt;='2025'!$M406), J$4&lt;&gt;DATE(2025,7,4)), (SWITCH(weekday(J$4), 1, 0, 2, if(ISBLANK('2025'!$P406), 0, 1), 3, if(ISBLANK('2025'!$Q406), 0, 1), 4, if(ISBLANK('2025'!$R406), 0, 1), 5, if(ISBLANK('2025'!$S406), 0, 1), 6, if(ISBLANK('2025'!$T406), 0, 1), 7, 0))), 1, "")</f>
        <v/>
      </c>
      <c r="K443" s="1" t="str">
        <f>IF(AND(AND(AND(K$4&gt;='2025'!$L406,K$4&lt;='2025'!$M406), K$4&lt;&gt;DATE(2025,7,4)), (SWITCH(weekday(K$4), 1, 0, 2, if(ISBLANK('2025'!$P406), 0, 1), 3, if(ISBLANK('2025'!$Q406), 0, 1), 4, if(ISBLANK('2025'!$R406), 0, 1), 5, if(ISBLANK('2025'!$S406), 0, 1), 6, if(ISBLANK('2025'!$T406), 0, 1), 7, 0))), 1, "")</f>
        <v/>
      </c>
      <c r="L443" s="1" t="str">
        <f>IF(AND(AND(AND(L$4&gt;='2025'!$L406,L$4&lt;='2025'!$M406), L$4&lt;&gt;DATE(2025,7,4)), (SWITCH(weekday(L$4), 1, 0, 2, if(ISBLANK('2025'!$P406), 0, 1), 3, if(ISBLANK('2025'!$Q406), 0, 1), 4, if(ISBLANK('2025'!$R406), 0, 1), 5, if(ISBLANK('2025'!$S406), 0, 1), 6, if(ISBLANK('2025'!$T406), 0, 1), 7, 0))), 1, "")</f>
        <v/>
      </c>
      <c r="M443" s="1" t="str">
        <f>IF(AND(AND(AND(M$4&gt;='2025'!$L406,M$4&lt;='2025'!$M406), M$4&lt;&gt;DATE(2025,7,4)), (SWITCH(weekday(M$4), 1, 0, 2, if(ISBLANK('2025'!$P406), 0, 1), 3, if(ISBLANK('2025'!$Q406), 0, 1), 4, if(ISBLANK('2025'!$R406), 0, 1), 5, if(ISBLANK('2025'!$S406), 0, 1), 6, if(ISBLANK('2025'!$T406), 0, 1), 7, 0))), 1, "")</f>
        <v/>
      </c>
      <c r="N443" s="1" t="str">
        <f>IF(AND(AND(AND(N$4&gt;='2025'!$L406,N$4&lt;='2025'!$M406), N$4&lt;&gt;DATE(2025,7,4)), (SWITCH(weekday(N$4), 1, 0, 2, if(ISBLANK('2025'!$P406), 0, 1), 3, if(ISBLANK('2025'!$Q406), 0, 1), 4, if(ISBLANK('2025'!$R406), 0, 1), 5, if(ISBLANK('2025'!$S406), 0, 1), 6, if(ISBLANK('2025'!$T406), 0, 1), 7, 0))), 1, "")</f>
        <v/>
      </c>
      <c r="O443" s="1" t="str">
        <f>IF(AND(AND(AND(O$4&gt;='2025'!$L406,O$4&lt;='2025'!$M406), O$4&lt;&gt;DATE(2025,7,4)), (SWITCH(weekday(O$4), 1, 0, 2, if(ISBLANK('2025'!$P406), 0, 1), 3, if(ISBLANK('2025'!$Q406), 0, 1), 4, if(ISBLANK('2025'!$R406), 0, 1), 5, if(ISBLANK('2025'!$S406), 0, 1), 6, if(ISBLANK('2025'!$T406), 0, 1), 7, 0))), 1, "")</f>
        <v/>
      </c>
      <c r="P443" s="1" t="str">
        <f>IF(AND(AND(AND(P$4&gt;='2025'!$L406,P$4&lt;='2025'!$M406), P$4&lt;&gt;DATE(2025,7,4)), (SWITCH(weekday(P$4), 1, 0, 2, if(ISBLANK('2025'!$P406), 0, 1), 3, if(ISBLANK('2025'!$Q406), 0, 1), 4, if(ISBLANK('2025'!$R406), 0, 1), 5, if(ISBLANK('2025'!$S406), 0, 1), 6, if(ISBLANK('2025'!$T406), 0, 1), 7, 0))), 1, "")</f>
        <v/>
      </c>
      <c r="Q443" s="1" t="str">
        <f>IF(AND(AND(AND(Q$4&gt;='2025'!$L406,Q$4&lt;='2025'!$M406), Q$4&lt;&gt;DATE(2025,7,4)), (SWITCH(weekday(Q$4), 1, 0, 2, if(ISBLANK('2025'!$P406), 0, 1), 3, if(ISBLANK('2025'!$Q406), 0, 1), 4, if(ISBLANK('2025'!$R406), 0, 1), 5, if(ISBLANK('2025'!$S406), 0, 1), 6, if(ISBLANK('2025'!$T406), 0, 1), 7, 0))), 1, "")</f>
        <v/>
      </c>
      <c r="R443" s="1" t="str">
        <f>IF(AND(AND(AND(R$4&gt;='2025'!$L406,R$4&lt;='2025'!$M406), R$4&lt;&gt;DATE(2025,7,4)), (SWITCH(weekday(R$4), 1, 0, 2, if(ISBLANK('2025'!$P406), 0, 1), 3, if(ISBLANK('2025'!$Q406), 0, 1), 4, if(ISBLANK('2025'!$R406), 0, 1), 5, if(ISBLANK('2025'!$S406), 0, 1), 6, if(ISBLANK('2025'!$T406), 0, 1), 7, 0))), 1, "")</f>
        <v/>
      </c>
      <c r="S443" s="1" t="str">
        <f>IF(AND(AND(AND(S$4&gt;='2025'!$L406,S$4&lt;='2025'!$M406), S$4&lt;&gt;DATE(2025,7,4)), (SWITCH(weekday(S$4), 1, 0, 2, if(ISBLANK('2025'!$P406), 0, 1), 3, if(ISBLANK('2025'!$Q406), 0, 1), 4, if(ISBLANK('2025'!$R406), 0, 1), 5, if(ISBLANK('2025'!$S406), 0, 1), 6, if(ISBLANK('2025'!$T406), 0, 1), 7, 0))), 1, "")</f>
        <v/>
      </c>
      <c r="T443" s="1" t="str">
        <f>IF(AND(AND(AND(T$4&gt;='2025'!$L406,T$4&lt;='2025'!$M406), T$4&lt;&gt;DATE(2025,7,4)), (SWITCH(weekday(T$4), 1, 0, 2, if(ISBLANK('2025'!$P406), 0, 1), 3, if(ISBLANK('2025'!$Q406), 0, 1), 4, if(ISBLANK('2025'!$R406), 0, 1), 5, if(ISBLANK('2025'!$S406), 0, 1), 6, if(ISBLANK('2025'!$T406), 0, 1), 7, 0))), 1, "")</f>
        <v/>
      </c>
      <c r="U443" s="1" t="str">
        <f>IF(AND(AND(AND(U$4&gt;='2025'!$L406,U$4&lt;='2025'!$M406), U$4&lt;&gt;DATE(2025,7,4)), (SWITCH(weekday(U$4), 1, 0, 2, if(ISBLANK('2025'!$P406), 0, 1), 3, if(ISBLANK('2025'!$Q406), 0, 1), 4, if(ISBLANK('2025'!$R406), 0, 1), 5, if(ISBLANK('2025'!$S406), 0, 1), 6, if(ISBLANK('2025'!$T406), 0, 1), 7, 0))), 1, "")</f>
        <v/>
      </c>
      <c r="V443" s="1" t="str">
        <f>IF(AND(AND(AND(V$4&gt;='2025'!$L406,V$4&lt;='2025'!$M406), V$4&lt;&gt;DATE(2025,7,4)), (SWITCH(weekday(V$4), 1, 0, 2, if(ISBLANK('2025'!$P406), 0, 1), 3, if(ISBLANK('2025'!$Q406), 0, 1), 4, if(ISBLANK('2025'!$R406), 0, 1), 5, if(ISBLANK('2025'!$S406), 0, 1), 6, if(ISBLANK('2025'!$T406), 0, 1), 7, 0))), 1, "")</f>
        <v/>
      </c>
      <c r="W443" s="1" t="str">
        <f>IF(AND(AND(AND(W$4&gt;='2025'!$L406,W$4&lt;='2025'!$M406), W$4&lt;&gt;DATE(2025,7,4)), (SWITCH(weekday(W$4), 1, 0, 2, if(ISBLANK('2025'!$P406), 0, 1), 3, if(ISBLANK('2025'!$Q406), 0, 1), 4, if(ISBLANK('2025'!$R406), 0, 1), 5, if(ISBLANK('2025'!$S406), 0, 1), 6, if(ISBLANK('2025'!$T406), 0, 1), 7, 0))), 1, "")</f>
        <v/>
      </c>
      <c r="X443" s="1" t="str">
        <f>IF(AND(AND(AND(X$4&gt;='2025'!$L406,X$4&lt;='2025'!$M406), X$4&lt;&gt;DATE(2025,7,4)), (SWITCH(weekday(X$4), 1, 0, 2, if(ISBLANK('2025'!$P406), 0, 1), 3, if(ISBLANK('2025'!$Q406), 0, 1), 4, if(ISBLANK('2025'!$R406), 0, 1), 5, if(ISBLANK('2025'!$S406), 0, 1), 6, if(ISBLANK('2025'!$T406), 0, 1), 7, 0))), 1, "")</f>
        <v/>
      </c>
      <c r="Y443" s="1" t="str">
        <f>IF(AND(AND(AND(Y$4&gt;='2025'!$L406,Y$4&lt;='2025'!$M406), Y$4&lt;&gt;DATE(2025,7,4)), (SWITCH(weekday(Y$4), 1, 0, 2, if(ISBLANK('2025'!$P406), 0, 1), 3, if(ISBLANK('2025'!$Q406), 0, 1), 4, if(ISBLANK('2025'!$R406), 0, 1), 5, if(ISBLANK('2025'!$S406), 0, 1), 6, if(ISBLANK('2025'!$T406), 0, 1), 7, 0))), 1, "")</f>
        <v/>
      </c>
      <c r="Z443" s="1" t="str">
        <f>IF(AND(AND(AND(Z$4&gt;='2025'!$L406,Z$4&lt;='2025'!$M406), Z$4&lt;&gt;DATE(2025,7,4)), (SWITCH(weekday(Z$4), 1, 0, 2, if(ISBLANK('2025'!$P406), 0, 1), 3, if(ISBLANK('2025'!$Q406), 0, 1), 4, if(ISBLANK('2025'!$R406), 0, 1), 5, if(ISBLANK('2025'!$S406), 0, 1), 6, if(ISBLANK('2025'!$T406), 0, 1), 7, 0))), 1, "")</f>
        <v/>
      </c>
      <c r="AA443" s="1" t="str">
        <f>IF(AND(AND(AND(AA$4&gt;='2025'!$L406,AA$4&lt;='2025'!$M406), AA$4&lt;&gt;DATE(2025,7,4)), (SWITCH(weekday(AA$4), 1, 0, 2, if(ISBLANK('2025'!$P406), 0, 1), 3, if(ISBLANK('2025'!$Q406), 0, 1), 4, if(ISBLANK('2025'!$R406), 0, 1), 5, if(ISBLANK('2025'!$S406), 0, 1), 6, if(ISBLANK('2025'!$T406), 0, 1), 7, 0))), 1, "")</f>
        <v/>
      </c>
      <c r="AB443" s="1" t="str">
        <f>IF(AND(AND(AND(AB$4&gt;='2025'!$L406,AB$4&lt;='2025'!$M406), AB$4&lt;&gt;DATE(2025,7,4)), (SWITCH(weekday(AB$4), 1, 0, 2, if(ISBLANK('2025'!$P406), 0, 1), 3, if(ISBLANK('2025'!$Q406), 0, 1), 4, if(ISBLANK('2025'!$R406), 0, 1), 5, if(ISBLANK('2025'!$S406), 0, 1), 6, if(ISBLANK('2025'!$T406), 0, 1), 7, 0))), 1, "")</f>
        <v/>
      </c>
      <c r="AC443" s="1" t="str">
        <f>IF(AND(AND(AND(AC$4&gt;='2025'!$L406,AC$4&lt;='2025'!$M406), AC$4&lt;&gt;DATE(2025,7,4)), (SWITCH(weekday(AC$4), 1, 0, 2, if(ISBLANK('2025'!$P406), 0, 1), 3, if(ISBLANK('2025'!$Q406), 0, 1), 4, if(ISBLANK('2025'!$R406), 0, 1), 5, if(ISBLANK('2025'!$S406), 0, 1), 6, if(ISBLANK('2025'!$T406), 0, 1), 7, 0))), 1, "")</f>
        <v/>
      </c>
      <c r="AD443" s="1" t="str">
        <f>IF(AND(AND(AND(AD$4&gt;='2025'!$L406,AD$4&lt;='2025'!$M406), AD$4&lt;&gt;DATE(2025,7,4)), (SWITCH(weekday(AD$4), 1, 0, 2, if(ISBLANK('2025'!$P406), 0, 1), 3, if(ISBLANK('2025'!$Q406), 0, 1), 4, if(ISBLANK('2025'!$R406), 0, 1), 5, if(ISBLANK('2025'!$S406), 0, 1), 6, if(ISBLANK('2025'!$T406), 0, 1), 7, 0))), 1, "")</f>
        <v/>
      </c>
      <c r="AE443" s="1" t="str">
        <f>IF(AND(AND(AND(AE$4&gt;='2025'!$L406,AE$4&lt;='2025'!$M406), AE$4&lt;&gt;DATE(2025,7,4)), (SWITCH(weekday(AE$4), 1, 0, 2, if(ISBLANK('2025'!$P406), 0, 1), 3, if(ISBLANK('2025'!$Q406), 0, 1), 4, if(ISBLANK('2025'!$R406), 0, 1), 5, if(ISBLANK('2025'!$S406), 0, 1), 6, if(ISBLANK('2025'!$T406), 0, 1), 7, 0))), 1, "")</f>
        <v/>
      </c>
      <c r="AF443" s="1" t="str">
        <f>IF(AND(AND(AND(AF$4&gt;='2025'!$L406,AF$4&lt;='2025'!$M406), AF$4&lt;&gt;DATE(2025,7,4)), (SWITCH(weekday(AF$4), 1, 0, 2, if(ISBLANK('2025'!$P406), 0, 1), 3, if(ISBLANK('2025'!$Q406), 0, 1), 4, if(ISBLANK('2025'!$R406), 0, 1), 5, if(ISBLANK('2025'!$S406), 0, 1), 6, if(ISBLANK('2025'!$T406), 0, 1), 7, 0))), 1, "")</f>
        <v/>
      </c>
      <c r="AG443" s="1" t="str">
        <f>IF(AND(AND(AND(AG$4&gt;='2025'!$L406,AG$4&lt;='2025'!$M406), AG$4&lt;&gt;DATE(2025,7,4)), (SWITCH(weekday(AG$4), 1, 0, 2, if(ISBLANK('2025'!$P406), 0, 1), 3, if(ISBLANK('2025'!$Q406), 0, 1), 4, if(ISBLANK('2025'!$R406), 0, 1), 5, if(ISBLANK('2025'!$S406), 0, 1), 6, if(ISBLANK('2025'!$T406), 0, 1), 7, 0))), 1, "")</f>
        <v/>
      </c>
      <c r="AH443" s="1" t="str">
        <f>IF(AND(AND(AND(AH$4&gt;='2025'!$L406,AH$4&lt;='2025'!$M406), AH$4&lt;&gt;DATE(2025,7,4)), (SWITCH(weekday(AH$4), 1, 0, 2, if(ISBLANK('2025'!$P406), 0, 1), 3, if(ISBLANK('2025'!$Q406), 0, 1), 4, if(ISBLANK('2025'!$R406), 0, 1), 5, if(ISBLANK('2025'!$S406), 0, 1), 6, if(ISBLANK('2025'!$T406), 0, 1), 7, 0))), 1, "")</f>
        <v/>
      </c>
      <c r="AI443" s="1" t="str">
        <f>IF(AND(AND(AND(AI$4&gt;='2025'!$L406,AI$4&lt;='2025'!$M406), AI$4&lt;&gt;DATE(2025,7,4)), (SWITCH(weekday(AI$4), 1, 0, 2, if(ISBLANK('2025'!$P406), 0, 1), 3, if(ISBLANK('2025'!$Q406), 0, 1), 4, if(ISBLANK('2025'!$R406), 0, 1), 5, if(ISBLANK('2025'!$S406), 0, 1), 6, if(ISBLANK('2025'!$T406), 0, 1), 7, 0))), 1, "")</f>
        <v/>
      </c>
      <c r="AJ443" s="1" t="str">
        <f>IF(AND(AND(AND(AJ$4&gt;='2025'!$L406,AJ$4&lt;='2025'!$M406), AJ$4&lt;&gt;DATE(2025,7,4)), (SWITCH(weekday(AJ$4), 1, 0, 2, if(ISBLANK('2025'!$P406), 0, 1), 3, if(ISBLANK('2025'!$Q406), 0, 1), 4, if(ISBLANK('2025'!$R406), 0, 1), 5, if(ISBLANK('2025'!$S406), 0, 1), 6, if(ISBLANK('2025'!$T406), 0, 1), 7, 0))), 1, "")</f>
        <v/>
      </c>
      <c r="AK443" s="1" t="str">
        <f>IF(AND(AND(AND(AK$4&gt;='2025'!$L406,AK$4&lt;='2025'!$M406), AK$4&lt;&gt;DATE(2025,7,4)), (SWITCH(weekday(AK$4), 1, 0, 2, if(ISBLANK('2025'!$P406), 0, 1), 3, if(ISBLANK('2025'!$Q406), 0, 1), 4, if(ISBLANK('2025'!$R406), 0, 1), 5, if(ISBLANK('2025'!$S406), 0, 1), 6, if(ISBLANK('2025'!$T406), 0, 1), 7, 0))), 1, "")</f>
        <v/>
      </c>
      <c r="AL443" s="1" t="str">
        <f>IF(AND(AND(AND(AL$4&gt;='2025'!$L406,AL$4&lt;='2025'!$M406), AL$4&lt;&gt;DATE(2025,7,4)), (SWITCH(weekday(AL$4), 1, 0, 2, if(ISBLANK('2025'!$P406), 0, 1), 3, if(ISBLANK('2025'!$Q406), 0, 1), 4, if(ISBLANK('2025'!$R406), 0, 1), 5, if(ISBLANK('2025'!$S406), 0, 1), 6, if(ISBLANK('2025'!$T406), 0, 1), 7, 0))), 1, "")</f>
        <v/>
      </c>
      <c r="AM443" s="1" t="str">
        <f>IF(AND(AND(AND(AM$4&gt;='2025'!$L406,AM$4&lt;='2025'!$M406), AM$4&lt;&gt;DATE(2025,7,4)), (SWITCH(weekday(AM$4), 1, 0, 2, if(ISBLANK('2025'!$P406), 0, 1), 3, if(ISBLANK('2025'!$Q406), 0, 1), 4, if(ISBLANK('2025'!$R406), 0, 1), 5, if(ISBLANK('2025'!$S406), 0, 1), 6, if(ISBLANK('2025'!$T406), 0, 1), 7, 0))), 1, "")</f>
        <v/>
      </c>
      <c r="AN443" s="1" t="str">
        <f>IF(AND(AND(AND(AN$4&gt;='2025'!$L406,AN$4&lt;='2025'!$M406), AN$4&lt;&gt;DATE(2025,7,4)), (SWITCH(weekday(AN$4), 1, 0, 2, if(ISBLANK('2025'!$P406), 0, 1), 3, if(ISBLANK('2025'!$Q406), 0, 1), 4, if(ISBLANK('2025'!$R406), 0, 1), 5, if(ISBLANK('2025'!$S406), 0, 1), 6, if(ISBLANK('2025'!$T406), 0, 1), 7, 0))), 1, "")</f>
        <v/>
      </c>
      <c r="AO443" s="1" t="str">
        <f>IF(AND(AND(AND(AO$4&gt;='2025'!$L406,AO$4&lt;='2025'!$M406), AO$4&lt;&gt;DATE(2025,7,4)), (SWITCH(weekday(AO$4), 1, 0, 2, if(ISBLANK('2025'!$P406), 0, 1), 3, if(ISBLANK('2025'!$Q406), 0, 1), 4, if(ISBLANK('2025'!$R406), 0, 1), 5, if(ISBLANK('2025'!$S406), 0, 1), 6, if(ISBLANK('2025'!$T406), 0, 1), 7, 0))), 1, "")</f>
        <v/>
      </c>
      <c r="AP443" s="1" t="str">
        <f>IF(AND(AND(AND(AP$4&gt;='2025'!$L406,AP$4&lt;='2025'!$M406), AP$4&lt;&gt;DATE(2025,7,4)), (SWITCH(weekday(AP$4), 1, 0, 2, if(ISBLANK('2025'!$P406), 0, 1), 3, if(ISBLANK('2025'!$Q406), 0, 1), 4, if(ISBLANK('2025'!$R406), 0, 1), 5, if(ISBLANK('2025'!$S406), 0, 1), 6, if(ISBLANK('2025'!$T406), 0, 1), 7, 0))), 1, "")</f>
        <v/>
      </c>
      <c r="AQ443" s="1" t="str">
        <f>IF(AND(AND(AND(AQ$4&gt;='2025'!$L406,AQ$4&lt;='2025'!$M406), AQ$4&lt;&gt;DATE(2025,7,4)), (SWITCH(weekday(AQ$4), 1, 0, 2, if(ISBLANK('2025'!$P406), 0, 1), 3, if(ISBLANK('2025'!$Q406), 0, 1), 4, if(ISBLANK('2025'!$R406), 0, 1), 5, if(ISBLANK('2025'!$S406), 0, 1), 6, if(ISBLANK('2025'!$T406), 0, 1), 7, 0))), 1, "")</f>
        <v/>
      </c>
      <c r="AR443" s="1" t="str">
        <f>IF(AND(AND(AND(AR$4&gt;='2025'!$L406,AR$4&lt;='2025'!$M406), AR$4&lt;&gt;DATE(2025,7,4)), (SWITCH(weekday(AR$4), 1, 0, 2, if(ISBLANK('2025'!$P406), 0, 1), 3, if(ISBLANK('2025'!$Q406), 0, 1), 4, if(ISBLANK('2025'!$R406), 0, 1), 5, if(ISBLANK('2025'!$S406), 0, 1), 6, if(ISBLANK('2025'!$T406), 0, 1), 7, 0))), 1, "")</f>
        <v/>
      </c>
      <c r="AS443" s="1" t="str">
        <f>IF(AND(AND(AND(AS$4&gt;='2025'!$L406,AS$4&lt;='2025'!$M406), AS$4&lt;&gt;DATE(2025,7,4)), (SWITCH(weekday(AS$4), 1, 0, 2, if(ISBLANK('2025'!$P406), 0, 1), 3, if(ISBLANK('2025'!$Q406), 0, 1), 4, if(ISBLANK('2025'!$R406), 0, 1), 5, if(ISBLANK('2025'!$S406), 0, 1), 6, if(ISBLANK('2025'!$T406), 0, 1), 7, 0))), 1, "")</f>
        <v/>
      </c>
      <c r="AT443" s="1" t="str">
        <f>IF(AND(AND(AND(AT$4&gt;='2025'!$L406,AT$4&lt;='2025'!$M406), AT$4&lt;&gt;DATE(2025,7,4)), (SWITCH(weekday(AT$4), 1, 0, 2, if(ISBLANK('2025'!$P406), 0, 1), 3, if(ISBLANK('2025'!$Q406), 0, 1), 4, if(ISBLANK('2025'!$R406), 0, 1), 5, if(ISBLANK('2025'!$S406), 0, 1), 6, if(ISBLANK('2025'!$T406), 0, 1), 7, 0))), 1, "")</f>
        <v/>
      </c>
      <c r="AU443" s="1" t="str">
        <f>IF(AND(AND(AND(AU$4&gt;='2025'!$L406,AU$4&lt;='2025'!$M406), AU$4&lt;&gt;DATE(2025,7,4)), (SWITCH(weekday(AU$4), 1, 0, 2, if(ISBLANK('2025'!$P406), 0, 1), 3, if(ISBLANK('2025'!$Q406), 0, 1), 4, if(ISBLANK('2025'!$R406), 0, 1), 5, if(ISBLANK('2025'!$S406), 0, 1), 6, if(ISBLANK('2025'!$T406), 0, 1), 7, 0))), 1, "")</f>
        <v/>
      </c>
      <c r="AV443" s="1" t="str">
        <f>IF(AND(AND(AND(AV$4&gt;='2025'!$L406,AV$4&lt;='2025'!$M406), AV$4&lt;&gt;DATE(2025,7,4)), (SWITCH(weekday(AV$4), 1, 0, 2, if(ISBLANK('2025'!$P406), 0, 1), 3, if(ISBLANK('2025'!$Q406), 0, 1), 4, if(ISBLANK('2025'!$R406), 0, 1), 5, if(ISBLANK('2025'!$S406), 0, 1), 6, if(ISBLANK('2025'!$T406), 0, 1), 7, 0))), 1, "")</f>
        <v/>
      </c>
      <c r="AW443" s="1" t="str">
        <f>IF(AND(AND(AND(AW$4&gt;='2025'!$L406,AW$4&lt;='2025'!$M406), AW$4&lt;&gt;DATE(2025,7,4)), (SWITCH(weekday(AW$4), 1, 0, 2, if(ISBLANK('2025'!$P406), 0, 1), 3, if(ISBLANK('2025'!$Q406), 0, 1), 4, if(ISBLANK('2025'!$R406), 0, 1), 5, if(ISBLANK('2025'!$S406), 0, 1), 6, if(ISBLANK('2025'!$T406), 0, 1), 7, 0))), 1, "")</f>
        <v/>
      </c>
      <c r="AX443" s="1" t="str">
        <f>IF(AND(AND(AND(AX$4&gt;='2025'!$L406,AX$4&lt;='2025'!$M406), AX$4&lt;&gt;DATE(2025,7,4)), (SWITCH(weekday(AX$4), 1, 0, 2, if(ISBLANK('2025'!$P406), 0, 1), 3, if(ISBLANK('2025'!$Q406), 0, 1), 4, if(ISBLANK('2025'!$R406), 0, 1), 5, if(ISBLANK('2025'!$S406), 0, 1), 6, if(ISBLANK('2025'!$T406), 0, 1), 7, 0))), 1, "")</f>
        <v/>
      </c>
      <c r="AY443" s="1" t="str">
        <f>IF(AND(AND(AND(AY$4&gt;='2025'!$L406,AY$4&lt;='2025'!$M406), AY$4&lt;&gt;DATE(2025,7,4)), (SWITCH(weekday(AY$4), 1, 0, 2, if(ISBLANK('2025'!$P406), 0, 1), 3, if(ISBLANK('2025'!$Q406), 0, 1), 4, if(ISBLANK('2025'!$R406), 0, 1), 5, if(ISBLANK('2025'!$S406), 0, 1), 6, if(ISBLANK('2025'!$T406), 0, 1), 7, 0))), 1, "")</f>
        <v/>
      </c>
      <c r="AZ443" s="1" t="str">
        <f>IF(AND(AND(AND(AZ$4&gt;='2025'!$L406,AZ$4&lt;='2025'!$M406), AZ$4&lt;&gt;DATE(2025,7,4)), (SWITCH(weekday(AZ$4), 1, 0, 2, if(ISBLANK('2025'!$P406), 0, 1), 3, if(ISBLANK('2025'!$Q406), 0, 1), 4, if(ISBLANK('2025'!$R406), 0, 1), 5, if(ISBLANK('2025'!$S406), 0, 1), 6, if(ISBLANK('2025'!$T406), 0, 1), 7, 0))), 1, "")</f>
        <v/>
      </c>
      <c r="BA443" s="1" t="str">
        <f>IF(AND(AND(AND(BA$4&gt;='2025'!$L406,BA$4&lt;='2025'!$M406), BA$4&lt;&gt;DATE(2025,7,4)), (SWITCH(weekday(BA$4), 1, 0, 2, if(ISBLANK('2025'!$P406), 0, 1), 3, if(ISBLANK('2025'!$Q406), 0, 1), 4, if(ISBLANK('2025'!$R406), 0, 1), 5, if(ISBLANK('2025'!$S406), 0, 1), 6, if(ISBLANK('2025'!$T406), 0, 1), 7, 0))), 1, "")</f>
        <v/>
      </c>
      <c r="BB443" s="1" t="str">
        <f>IF(AND(AND(AND(BB$4&gt;='2025'!$L406,BB$4&lt;='2025'!$M406), BB$4&lt;&gt;DATE(2025,7,4)), (SWITCH(weekday(BB$4), 1, 0, 2, if(ISBLANK('2025'!$P406), 0, 1), 3, if(ISBLANK('2025'!$Q406), 0, 1), 4, if(ISBLANK('2025'!$R406), 0, 1), 5, if(ISBLANK('2025'!$S406), 0, 1), 6, if(ISBLANK('2025'!$T406), 0, 1), 7, 0))), 1, "")</f>
        <v/>
      </c>
      <c r="BC443" s="1" t="str">
        <f>IF(AND(AND(AND(BC$4&gt;='2025'!$L406,BC$4&lt;='2025'!$M406), BC$4&lt;&gt;DATE(2025,7,4)), (SWITCH(weekday(BC$4), 1, 0, 2, if(ISBLANK('2025'!$P406), 0, 1), 3, if(ISBLANK('2025'!$Q406), 0, 1), 4, if(ISBLANK('2025'!$R406), 0, 1), 5, if(ISBLANK('2025'!$S406), 0, 1), 6, if(ISBLANK('2025'!$T406), 0, 1), 7, 0))), 1, "")</f>
        <v/>
      </c>
      <c r="BD443" s="1" t="str">
        <f>IF(AND(AND(AND(BD$4&gt;='2025'!$L406,BD$4&lt;='2025'!$M406), BD$4&lt;&gt;DATE(2025,7,4)), (SWITCH(weekday(BD$4), 1, 0, 2, if(ISBLANK('2025'!$P406), 0, 1), 3, if(ISBLANK('2025'!$Q406), 0, 1), 4, if(ISBLANK('2025'!$R406), 0, 1), 5, if(ISBLANK('2025'!$S406), 0, 1), 6, if(ISBLANK('2025'!$T406), 0, 1), 7, 0))), 1, "")</f>
        <v/>
      </c>
      <c r="BE443" s="1" t="str">
        <f>IF(AND(AND(AND(BE$4&gt;='2025'!$L406,BE$4&lt;='2025'!$M406), BE$4&lt;&gt;DATE(2025,7,4)), (SWITCH(weekday(BE$4), 1, 0, 2, if(ISBLANK('2025'!$P406), 0, 1), 3, if(ISBLANK('2025'!$Q406), 0, 1), 4, if(ISBLANK('2025'!$R406), 0, 1), 5, if(ISBLANK('2025'!$S406), 0, 1), 6, if(ISBLANK('2025'!$T406), 0, 1), 7, 0))), 1, "")</f>
        <v/>
      </c>
    </row>
    <row r="444">
      <c r="A444" s="1">
        <f t="shared" si="3"/>
        <v>444</v>
      </c>
      <c r="B444" s="1" t="str">
        <f>'2025'!D407</f>
        <v/>
      </c>
      <c r="C444" s="1" t="str">
        <f>'2025'!H407</f>
        <v/>
      </c>
      <c r="D444" s="1" t="str">
        <f>IF(AND(AND(AND(D$4&gt;='2025'!$L407,D$4&lt;='2025'!$M407), D$4&lt;&gt;DATE(2025,7,4)), (SWITCH(weekday(D$4), 1, 0, 2, if(ISBLANK('2025'!$P407), 0, 1), 3, if(ISBLANK('2025'!$Q407), 0, 1), 4, if(ISBLANK('2025'!$R407), 0, 1), 5, if(ISBLANK('2025'!$S407), 0, 1), 6, if(ISBLANK('2025'!$T407), 0, 1), 7, 0))), 1, "")</f>
        <v/>
      </c>
      <c r="E444" s="1" t="str">
        <f>IF(AND(AND(AND(E$4&gt;='2025'!$L407,E$4&lt;='2025'!$M407), E$4&lt;&gt;DATE(2025,7,4)), (SWITCH(weekday(E$4), 1, 0, 2, if(ISBLANK('2025'!$P407), 0, 1), 3, if(ISBLANK('2025'!$Q407), 0, 1), 4, if(ISBLANK('2025'!$R407), 0, 1), 5, if(ISBLANK('2025'!$S407), 0, 1), 6, if(ISBLANK('2025'!$T407), 0, 1), 7, 0))), 1, "")</f>
        <v/>
      </c>
      <c r="F444" s="1" t="str">
        <f>IF(AND(AND(AND(F$4&gt;='2025'!$L407,F$4&lt;='2025'!$M407), F$4&lt;&gt;DATE(2025,7,4)), (SWITCH(weekday(F$4), 1, 0, 2, if(ISBLANK('2025'!$P407), 0, 1), 3, if(ISBLANK('2025'!$Q407), 0, 1), 4, if(ISBLANK('2025'!$R407), 0, 1), 5, if(ISBLANK('2025'!$S407), 0, 1), 6, if(ISBLANK('2025'!$T407), 0, 1), 7, 0))), 1, "")</f>
        <v/>
      </c>
      <c r="G444" s="1" t="str">
        <f>IF(AND(AND(AND(G$4&gt;='2025'!$L407,G$4&lt;='2025'!$M407), G$4&lt;&gt;DATE(2025,7,4)), (SWITCH(weekday(G$4), 1, 0, 2, if(ISBLANK('2025'!$P407), 0, 1), 3, if(ISBLANK('2025'!$Q407), 0, 1), 4, if(ISBLANK('2025'!$R407), 0, 1), 5, if(ISBLANK('2025'!$S407), 0, 1), 6, if(ISBLANK('2025'!$T407), 0, 1), 7, 0))), 1, "")</f>
        <v/>
      </c>
      <c r="H444" s="1" t="str">
        <f>IF(AND(AND(AND(H$4&gt;='2025'!$L407,H$4&lt;='2025'!$M407), H$4&lt;&gt;DATE(2025,7,4)), (SWITCH(weekday(H$4), 1, 0, 2, if(ISBLANK('2025'!$P407), 0, 1), 3, if(ISBLANK('2025'!$Q407), 0, 1), 4, if(ISBLANK('2025'!$R407), 0, 1), 5, if(ISBLANK('2025'!$S407), 0, 1), 6, if(ISBLANK('2025'!$T407), 0, 1), 7, 0))), 1, "")</f>
        <v/>
      </c>
      <c r="I444" s="1" t="str">
        <f>IF(AND(AND(AND(I$4&gt;='2025'!$L407,I$4&lt;='2025'!$M407), I$4&lt;&gt;DATE(2025,7,4)), (SWITCH(weekday(I$4), 1, 0, 2, if(ISBLANK('2025'!$P407), 0, 1), 3, if(ISBLANK('2025'!$Q407), 0, 1), 4, if(ISBLANK('2025'!$R407), 0, 1), 5, if(ISBLANK('2025'!$S407), 0, 1), 6, if(ISBLANK('2025'!$T407), 0, 1), 7, 0))), 1, "")</f>
        <v/>
      </c>
      <c r="J444" s="1" t="str">
        <f>IF(AND(AND(AND(J$4&gt;='2025'!$L407,J$4&lt;='2025'!$M407), J$4&lt;&gt;DATE(2025,7,4)), (SWITCH(weekday(J$4), 1, 0, 2, if(ISBLANK('2025'!$P407), 0, 1), 3, if(ISBLANK('2025'!$Q407), 0, 1), 4, if(ISBLANK('2025'!$R407), 0, 1), 5, if(ISBLANK('2025'!$S407), 0, 1), 6, if(ISBLANK('2025'!$T407), 0, 1), 7, 0))), 1, "")</f>
        <v/>
      </c>
      <c r="K444" s="1" t="str">
        <f>IF(AND(AND(AND(K$4&gt;='2025'!$L407,K$4&lt;='2025'!$M407), K$4&lt;&gt;DATE(2025,7,4)), (SWITCH(weekday(K$4), 1, 0, 2, if(ISBLANK('2025'!$P407), 0, 1), 3, if(ISBLANK('2025'!$Q407), 0, 1), 4, if(ISBLANK('2025'!$R407), 0, 1), 5, if(ISBLANK('2025'!$S407), 0, 1), 6, if(ISBLANK('2025'!$T407), 0, 1), 7, 0))), 1, "")</f>
        <v/>
      </c>
      <c r="L444" s="1" t="str">
        <f>IF(AND(AND(AND(L$4&gt;='2025'!$L407,L$4&lt;='2025'!$M407), L$4&lt;&gt;DATE(2025,7,4)), (SWITCH(weekday(L$4), 1, 0, 2, if(ISBLANK('2025'!$P407), 0, 1), 3, if(ISBLANK('2025'!$Q407), 0, 1), 4, if(ISBLANK('2025'!$R407), 0, 1), 5, if(ISBLANK('2025'!$S407), 0, 1), 6, if(ISBLANK('2025'!$T407), 0, 1), 7, 0))), 1, "")</f>
        <v/>
      </c>
      <c r="M444" s="1" t="str">
        <f>IF(AND(AND(AND(M$4&gt;='2025'!$L407,M$4&lt;='2025'!$M407), M$4&lt;&gt;DATE(2025,7,4)), (SWITCH(weekday(M$4), 1, 0, 2, if(ISBLANK('2025'!$P407), 0, 1), 3, if(ISBLANK('2025'!$Q407), 0, 1), 4, if(ISBLANK('2025'!$R407), 0, 1), 5, if(ISBLANK('2025'!$S407), 0, 1), 6, if(ISBLANK('2025'!$T407), 0, 1), 7, 0))), 1, "")</f>
        <v/>
      </c>
      <c r="N444" s="1" t="str">
        <f>IF(AND(AND(AND(N$4&gt;='2025'!$L407,N$4&lt;='2025'!$M407), N$4&lt;&gt;DATE(2025,7,4)), (SWITCH(weekday(N$4), 1, 0, 2, if(ISBLANK('2025'!$P407), 0, 1), 3, if(ISBLANK('2025'!$Q407), 0, 1), 4, if(ISBLANK('2025'!$R407), 0, 1), 5, if(ISBLANK('2025'!$S407), 0, 1), 6, if(ISBLANK('2025'!$T407), 0, 1), 7, 0))), 1, "")</f>
        <v/>
      </c>
      <c r="O444" s="1" t="str">
        <f>IF(AND(AND(AND(O$4&gt;='2025'!$L407,O$4&lt;='2025'!$M407), O$4&lt;&gt;DATE(2025,7,4)), (SWITCH(weekday(O$4), 1, 0, 2, if(ISBLANK('2025'!$P407), 0, 1), 3, if(ISBLANK('2025'!$Q407), 0, 1), 4, if(ISBLANK('2025'!$R407), 0, 1), 5, if(ISBLANK('2025'!$S407), 0, 1), 6, if(ISBLANK('2025'!$T407), 0, 1), 7, 0))), 1, "")</f>
        <v/>
      </c>
      <c r="P444" s="1" t="str">
        <f>IF(AND(AND(AND(P$4&gt;='2025'!$L407,P$4&lt;='2025'!$M407), P$4&lt;&gt;DATE(2025,7,4)), (SWITCH(weekday(P$4), 1, 0, 2, if(ISBLANK('2025'!$P407), 0, 1), 3, if(ISBLANK('2025'!$Q407), 0, 1), 4, if(ISBLANK('2025'!$R407), 0, 1), 5, if(ISBLANK('2025'!$S407), 0, 1), 6, if(ISBLANK('2025'!$T407), 0, 1), 7, 0))), 1, "")</f>
        <v/>
      </c>
      <c r="Q444" s="1" t="str">
        <f>IF(AND(AND(AND(Q$4&gt;='2025'!$L407,Q$4&lt;='2025'!$M407), Q$4&lt;&gt;DATE(2025,7,4)), (SWITCH(weekday(Q$4), 1, 0, 2, if(ISBLANK('2025'!$P407), 0, 1), 3, if(ISBLANK('2025'!$Q407), 0, 1), 4, if(ISBLANK('2025'!$R407), 0, 1), 5, if(ISBLANK('2025'!$S407), 0, 1), 6, if(ISBLANK('2025'!$T407), 0, 1), 7, 0))), 1, "")</f>
        <v/>
      </c>
      <c r="R444" s="1" t="str">
        <f>IF(AND(AND(AND(R$4&gt;='2025'!$L407,R$4&lt;='2025'!$M407), R$4&lt;&gt;DATE(2025,7,4)), (SWITCH(weekday(R$4), 1, 0, 2, if(ISBLANK('2025'!$P407), 0, 1), 3, if(ISBLANK('2025'!$Q407), 0, 1), 4, if(ISBLANK('2025'!$R407), 0, 1), 5, if(ISBLANK('2025'!$S407), 0, 1), 6, if(ISBLANK('2025'!$T407), 0, 1), 7, 0))), 1, "")</f>
        <v/>
      </c>
      <c r="S444" s="1" t="str">
        <f>IF(AND(AND(AND(S$4&gt;='2025'!$L407,S$4&lt;='2025'!$M407), S$4&lt;&gt;DATE(2025,7,4)), (SWITCH(weekday(S$4), 1, 0, 2, if(ISBLANK('2025'!$P407), 0, 1), 3, if(ISBLANK('2025'!$Q407), 0, 1), 4, if(ISBLANK('2025'!$R407), 0, 1), 5, if(ISBLANK('2025'!$S407), 0, 1), 6, if(ISBLANK('2025'!$T407), 0, 1), 7, 0))), 1, "")</f>
        <v/>
      </c>
      <c r="T444" s="1" t="str">
        <f>IF(AND(AND(AND(T$4&gt;='2025'!$L407,T$4&lt;='2025'!$M407), T$4&lt;&gt;DATE(2025,7,4)), (SWITCH(weekday(T$4), 1, 0, 2, if(ISBLANK('2025'!$P407), 0, 1), 3, if(ISBLANK('2025'!$Q407), 0, 1), 4, if(ISBLANK('2025'!$R407), 0, 1), 5, if(ISBLANK('2025'!$S407), 0, 1), 6, if(ISBLANK('2025'!$T407), 0, 1), 7, 0))), 1, "")</f>
        <v/>
      </c>
      <c r="U444" s="1" t="str">
        <f>IF(AND(AND(AND(U$4&gt;='2025'!$L407,U$4&lt;='2025'!$M407), U$4&lt;&gt;DATE(2025,7,4)), (SWITCH(weekday(U$4), 1, 0, 2, if(ISBLANK('2025'!$P407), 0, 1), 3, if(ISBLANK('2025'!$Q407), 0, 1), 4, if(ISBLANK('2025'!$R407), 0, 1), 5, if(ISBLANK('2025'!$S407), 0, 1), 6, if(ISBLANK('2025'!$T407), 0, 1), 7, 0))), 1, "")</f>
        <v/>
      </c>
      <c r="V444" s="1" t="str">
        <f>IF(AND(AND(AND(V$4&gt;='2025'!$L407,V$4&lt;='2025'!$M407), V$4&lt;&gt;DATE(2025,7,4)), (SWITCH(weekday(V$4), 1, 0, 2, if(ISBLANK('2025'!$P407), 0, 1), 3, if(ISBLANK('2025'!$Q407), 0, 1), 4, if(ISBLANK('2025'!$R407), 0, 1), 5, if(ISBLANK('2025'!$S407), 0, 1), 6, if(ISBLANK('2025'!$T407), 0, 1), 7, 0))), 1, "")</f>
        <v/>
      </c>
      <c r="W444" s="1" t="str">
        <f>IF(AND(AND(AND(W$4&gt;='2025'!$L407,W$4&lt;='2025'!$M407), W$4&lt;&gt;DATE(2025,7,4)), (SWITCH(weekday(W$4), 1, 0, 2, if(ISBLANK('2025'!$P407), 0, 1), 3, if(ISBLANK('2025'!$Q407), 0, 1), 4, if(ISBLANK('2025'!$R407), 0, 1), 5, if(ISBLANK('2025'!$S407), 0, 1), 6, if(ISBLANK('2025'!$T407), 0, 1), 7, 0))), 1, "")</f>
        <v/>
      </c>
      <c r="X444" s="1" t="str">
        <f>IF(AND(AND(AND(X$4&gt;='2025'!$L407,X$4&lt;='2025'!$M407), X$4&lt;&gt;DATE(2025,7,4)), (SWITCH(weekday(X$4), 1, 0, 2, if(ISBLANK('2025'!$P407), 0, 1), 3, if(ISBLANK('2025'!$Q407), 0, 1), 4, if(ISBLANK('2025'!$R407), 0, 1), 5, if(ISBLANK('2025'!$S407), 0, 1), 6, if(ISBLANK('2025'!$T407), 0, 1), 7, 0))), 1, "")</f>
        <v/>
      </c>
      <c r="Y444" s="1" t="str">
        <f>IF(AND(AND(AND(Y$4&gt;='2025'!$L407,Y$4&lt;='2025'!$M407), Y$4&lt;&gt;DATE(2025,7,4)), (SWITCH(weekday(Y$4), 1, 0, 2, if(ISBLANK('2025'!$P407), 0, 1), 3, if(ISBLANK('2025'!$Q407), 0, 1), 4, if(ISBLANK('2025'!$R407), 0, 1), 5, if(ISBLANK('2025'!$S407), 0, 1), 6, if(ISBLANK('2025'!$T407), 0, 1), 7, 0))), 1, "")</f>
        <v/>
      </c>
      <c r="Z444" s="1" t="str">
        <f>IF(AND(AND(AND(Z$4&gt;='2025'!$L407,Z$4&lt;='2025'!$M407), Z$4&lt;&gt;DATE(2025,7,4)), (SWITCH(weekday(Z$4), 1, 0, 2, if(ISBLANK('2025'!$P407), 0, 1), 3, if(ISBLANK('2025'!$Q407), 0, 1), 4, if(ISBLANK('2025'!$R407), 0, 1), 5, if(ISBLANK('2025'!$S407), 0, 1), 6, if(ISBLANK('2025'!$T407), 0, 1), 7, 0))), 1, "")</f>
        <v/>
      </c>
      <c r="AA444" s="1" t="str">
        <f>IF(AND(AND(AND(AA$4&gt;='2025'!$L407,AA$4&lt;='2025'!$M407), AA$4&lt;&gt;DATE(2025,7,4)), (SWITCH(weekday(AA$4), 1, 0, 2, if(ISBLANK('2025'!$P407), 0, 1), 3, if(ISBLANK('2025'!$Q407), 0, 1), 4, if(ISBLANK('2025'!$R407), 0, 1), 5, if(ISBLANK('2025'!$S407), 0, 1), 6, if(ISBLANK('2025'!$T407), 0, 1), 7, 0))), 1, "")</f>
        <v/>
      </c>
      <c r="AB444" s="1" t="str">
        <f>IF(AND(AND(AND(AB$4&gt;='2025'!$L407,AB$4&lt;='2025'!$M407), AB$4&lt;&gt;DATE(2025,7,4)), (SWITCH(weekday(AB$4), 1, 0, 2, if(ISBLANK('2025'!$P407), 0, 1), 3, if(ISBLANK('2025'!$Q407), 0, 1), 4, if(ISBLANK('2025'!$R407), 0, 1), 5, if(ISBLANK('2025'!$S407), 0, 1), 6, if(ISBLANK('2025'!$T407), 0, 1), 7, 0))), 1, "")</f>
        <v/>
      </c>
      <c r="AC444" s="1" t="str">
        <f>IF(AND(AND(AND(AC$4&gt;='2025'!$L407,AC$4&lt;='2025'!$M407), AC$4&lt;&gt;DATE(2025,7,4)), (SWITCH(weekday(AC$4), 1, 0, 2, if(ISBLANK('2025'!$P407), 0, 1), 3, if(ISBLANK('2025'!$Q407), 0, 1), 4, if(ISBLANK('2025'!$R407), 0, 1), 5, if(ISBLANK('2025'!$S407), 0, 1), 6, if(ISBLANK('2025'!$T407), 0, 1), 7, 0))), 1, "")</f>
        <v/>
      </c>
      <c r="AD444" s="1" t="str">
        <f>IF(AND(AND(AND(AD$4&gt;='2025'!$L407,AD$4&lt;='2025'!$M407), AD$4&lt;&gt;DATE(2025,7,4)), (SWITCH(weekday(AD$4), 1, 0, 2, if(ISBLANK('2025'!$P407), 0, 1), 3, if(ISBLANK('2025'!$Q407), 0, 1), 4, if(ISBLANK('2025'!$R407), 0, 1), 5, if(ISBLANK('2025'!$S407), 0, 1), 6, if(ISBLANK('2025'!$T407), 0, 1), 7, 0))), 1, "")</f>
        <v/>
      </c>
      <c r="AE444" s="1" t="str">
        <f>IF(AND(AND(AND(AE$4&gt;='2025'!$L407,AE$4&lt;='2025'!$M407), AE$4&lt;&gt;DATE(2025,7,4)), (SWITCH(weekday(AE$4), 1, 0, 2, if(ISBLANK('2025'!$P407), 0, 1), 3, if(ISBLANK('2025'!$Q407), 0, 1), 4, if(ISBLANK('2025'!$R407), 0, 1), 5, if(ISBLANK('2025'!$S407), 0, 1), 6, if(ISBLANK('2025'!$T407), 0, 1), 7, 0))), 1, "")</f>
        <v/>
      </c>
      <c r="AF444" s="1" t="str">
        <f>IF(AND(AND(AND(AF$4&gt;='2025'!$L407,AF$4&lt;='2025'!$M407), AF$4&lt;&gt;DATE(2025,7,4)), (SWITCH(weekday(AF$4), 1, 0, 2, if(ISBLANK('2025'!$P407), 0, 1), 3, if(ISBLANK('2025'!$Q407), 0, 1), 4, if(ISBLANK('2025'!$R407), 0, 1), 5, if(ISBLANK('2025'!$S407), 0, 1), 6, if(ISBLANK('2025'!$T407), 0, 1), 7, 0))), 1, "")</f>
        <v/>
      </c>
      <c r="AG444" s="1" t="str">
        <f>IF(AND(AND(AND(AG$4&gt;='2025'!$L407,AG$4&lt;='2025'!$M407), AG$4&lt;&gt;DATE(2025,7,4)), (SWITCH(weekday(AG$4), 1, 0, 2, if(ISBLANK('2025'!$P407), 0, 1), 3, if(ISBLANK('2025'!$Q407), 0, 1), 4, if(ISBLANK('2025'!$R407), 0, 1), 5, if(ISBLANK('2025'!$S407), 0, 1), 6, if(ISBLANK('2025'!$T407), 0, 1), 7, 0))), 1, "")</f>
        <v/>
      </c>
      <c r="AH444" s="1" t="str">
        <f>IF(AND(AND(AND(AH$4&gt;='2025'!$L407,AH$4&lt;='2025'!$M407), AH$4&lt;&gt;DATE(2025,7,4)), (SWITCH(weekday(AH$4), 1, 0, 2, if(ISBLANK('2025'!$P407), 0, 1), 3, if(ISBLANK('2025'!$Q407), 0, 1), 4, if(ISBLANK('2025'!$R407), 0, 1), 5, if(ISBLANK('2025'!$S407), 0, 1), 6, if(ISBLANK('2025'!$T407), 0, 1), 7, 0))), 1, "")</f>
        <v/>
      </c>
      <c r="AI444" s="1" t="str">
        <f>IF(AND(AND(AND(AI$4&gt;='2025'!$L407,AI$4&lt;='2025'!$M407), AI$4&lt;&gt;DATE(2025,7,4)), (SWITCH(weekday(AI$4), 1, 0, 2, if(ISBLANK('2025'!$P407), 0, 1), 3, if(ISBLANK('2025'!$Q407), 0, 1), 4, if(ISBLANK('2025'!$R407), 0, 1), 5, if(ISBLANK('2025'!$S407), 0, 1), 6, if(ISBLANK('2025'!$T407), 0, 1), 7, 0))), 1, "")</f>
        <v/>
      </c>
      <c r="AJ444" s="1" t="str">
        <f>IF(AND(AND(AND(AJ$4&gt;='2025'!$L407,AJ$4&lt;='2025'!$M407), AJ$4&lt;&gt;DATE(2025,7,4)), (SWITCH(weekday(AJ$4), 1, 0, 2, if(ISBLANK('2025'!$P407), 0, 1), 3, if(ISBLANK('2025'!$Q407), 0, 1), 4, if(ISBLANK('2025'!$R407), 0, 1), 5, if(ISBLANK('2025'!$S407), 0, 1), 6, if(ISBLANK('2025'!$T407), 0, 1), 7, 0))), 1, "")</f>
        <v/>
      </c>
      <c r="AK444" s="1" t="str">
        <f>IF(AND(AND(AND(AK$4&gt;='2025'!$L407,AK$4&lt;='2025'!$M407), AK$4&lt;&gt;DATE(2025,7,4)), (SWITCH(weekday(AK$4), 1, 0, 2, if(ISBLANK('2025'!$P407), 0, 1), 3, if(ISBLANK('2025'!$Q407), 0, 1), 4, if(ISBLANK('2025'!$R407), 0, 1), 5, if(ISBLANK('2025'!$S407), 0, 1), 6, if(ISBLANK('2025'!$T407), 0, 1), 7, 0))), 1, "")</f>
        <v/>
      </c>
      <c r="AL444" s="1" t="str">
        <f>IF(AND(AND(AND(AL$4&gt;='2025'!$L407,AL$4&lt;='2025'!$M407), AL$4&lt;&gt;DATE(2025,7,4)), (SWITCH(weekday(AL$4), 1, 0, 2, if(ISBLANK('2025'!$P407), 0, 1), 3, if(ISBLANK('2025'!$Q407), 0, 1), 4, if(ISBLANK('2025'!$R407), 0, 1), 5, if(ISBLANK('2025'!$S407), 0, 1), 6, if(ISBLANK('2025'!$T407), 0, 1), 7, 0))), 1, "")</f>
        <v/>
      </c>
      <c r="AM444" s="1" t="str">
        <f>IF(AND(AND(AND(AM$4&gt;='2025'!$L407,AM$4&lt;='2025'!$M407), AM$4&lt;&gt;DATE(2025,7,4)), (SWITCH(weekday(AM$4), 1, 0, 2, if(ISBLANK('2025'!$P407), 0, 1), 3, if(ISBLANK('2025'!$Q407), 0, 1), 4, if(ISBLANK('2025'!$R407), 0, 1), 5, if(ISBLANK('2025'!$S407), 0, 1), 6, if(ISBLANK('2025'!$T407), 0, 1), 7, 0))), 1, "")</f>
        <v/>
      </c>
      <c r="AN444" s="1" t="str">
        <f>IF(AND(AND(AND(AN$4&gt;='2025'!$L407,AN$4&lt;='2025'!$M407), AN$4&lt;&gt;DATE(2025,7,4)), (SWITCH(weekday(AN$4), 1, 0, 2, if(ISBLANK('2025'!$P407), 0, 1), 3, if(ISBLANK('2025'!$Q407), 0, 1), 4, if(ISBLANK('2025'!$R407), 0, 1), 5, if(ISBLANK('2025'!$S407), 0, 1), 6, if(ISBLANK('2025'!$T407), 0, 1), 7, 0))), 1, "")</f>
        <v/>
      </c>
      <c r="AO444" s="1" t="str">
        <f>IF(AND(AND(AND(AO$4&gt;='2025'!$L407,AO$4&lt;='2025'!$M407), AO$4&lt;&gt;DATE(2025,7,4)), (SWITCH(weekday(AO$4), 1, 0, 2, if(ISBLANK('2025'!$P407), 0, 1), 3, if(ISBLANK('2025'!$Q407), 0, 1), 4, if(ISBLANK('2025'!$R407), 0, 1), 5, if(ISBLANK('2025'!$S407), 0, 1), 6, if(ISBLANK('2025'!$T407), 0, 1), 7, 0))), 1, "")</f>
        <v/>
      </c>
      <c r="AP444" s="1" t="str">
        <f>IF(AND(AND(AND(AP$4&gt;='2025'!$L407,AP$4&lt;='2025'!$M407), AP$4&lt;&gt;DATE(2025,7,4)), (SWITCH(weekday(AP$4), 1, 0, 2, if(ISBLANK('2025'!$P407), 0, 1), 3, if(ISBLANK('2025'!$Q407), 0, 1), 4, if(ISBLANK('2025'!$R407), 0, 1), 5, if(ISBLANK('2025'!$S407), 0, 1), 6, if(ISBLANK('2025'!$T407), 0, 1), 7, 0))), 1, "")</f>
        <v/>
      </c>
      <c r="AQ444" s="1" t="str">
        <f>IF(AND(AND(AND(AQ$4&gt;='2025'!$L407,AQ$4&lt;='2025'!$M407), AQ$4&lt;&gt;DATE(2025,7,4)), (SWITCH(weekday(AQ$4), 1, 0, 2, if(ISBLANK('2025'!$P407), 0, 1), 3, if(ISBLANK('2025'!$Q407), 0, 1), 4, if(ISBLANK('2025'!$R407), 0, 1), 5, if(ISBLANK('2025'!$S407), 0, 1), 6, if(ISBLANK('2025'!$T407), 0, 1), 7, 0))), 1, "")</f>
        <v/>
      </c>
      <c r="AR444" s="1" t="str">
        <f>IF(AND(AND(AND(AR$4&gt;='2025'!$L407,AR$4&lt;='2025'!$M407), AR$4&lt;&gt;DATE(2025,7,4)), (SWITCH(weekday(AR$4), 1, 0, 2, if(ISBLANK('2025'!$P407), 0, 1), 3, if(ISBLANK('2025'!$Q407), 0, 1), 4, if(ISBLANK('2025'!$R407), 0, 1), 5, if(ISBLANK('2025'!$S407), 0, 1), 6, if(ISBLANK('2025'!$T407), 0, 1), 7, 0))), 1, "")</f>
        <v/>
      </c>
      <c r="AS444" s="1" t="str">
        <f>IF(AND(AND(AND(AS$4&gt;='2025'!$L407,AS$4&lt;='2025'!$M407), AS$4&lt;&gt;DATE(2025,7,4)), (SWITCH(weekday(AS$4), 1, 0, 2, if(ISBLANK('2025'!$P407), 0, 1), 3, if(ISBLANK('2025'!$Q407), 0, 1), 4, if(ISBLANK('2025'!$R407), 0, 1), 5, if(ISBLANK('2025'!$S407), 0, 1), 6, if(ISBLANK('2025'!$T407), 0, 1), 7, 0))), 1, "")</f>
        <v/>
      </c>
      <c r="AT444" s="1" t="str">
        <f>IF(AND(AND(AND(AT$4&gt;='2025'!$L407,AT$4&lt;='2025'!$M407), AT$4&lt;&gt;DATE(2025,7,4)), (SWITCH(weekday(AT$4), 1, 0, 2, if(ISBLANK('2025'!$P407), 0, 1), 3, if(ISBLANK('2025'!$Q407), 0, 1), 4, if(ISBLANK('2025'!$R407), 0, 1), 5, if(ISBLANK('2025'!$S407), 0, 1), 6, if(ISBLANK('2025'!$T407), 0, 1), 7, 0))), 1, "")</f>
        <v/>
      </c>
      <c r="AU444" s="1" t="str">
        <f>IF(AND(AND(AND(AU$4&gt;='2025'!$L407,AU$4&lt;='2025'!$M407), AU$4&lt;&gt;DATE(2025,7,4)), (SWITCH(weekday(AU$4), 1, 0, 2, if(ISBLANK('2025'!$P407), 0, 1), 3, if(ISBLANK('2025'!$Q407), 0, 1), 4, if(ISBLANK('2025'!$R407), 0, 1), 5, if(ISBLANK('2025'!$S407), 0, 1), 6, if(ISBLANK('2025'!$T407), 0, 1), 7, 0))), 1, "")</f>
        <v/>
      </c>
      <c r="AV444" s="1" t="str">
        <f>IF(AND(AND(AND(AV$4&gt;='2025'!$L407,AV$4&lt;='2025'!$M407), AV$4&lt;&gt;DATE(2025,7,4)), (SWITCH(weekday(AV$4), 1, 0, 2, if(ISBLANK('2025'!$P407), 0, 1), 3, if(ISBLANK('2025'!$Q407), 0, 1), 4, if(ISBLANK('2025'!$R407), 0, 1), 5, if(ISBLANK('2025'!$S407), 0, 1), 6, if(ISBLANK('2025'!$T407), 0, 1), 7, 0))), 1, "")</f>
        <v/>
      </c>
      <c r="AW444" s="1" t="str">
        <f>IF(AND(AND(AND(AW$4&gt;='2025'!$L407,AW$4&lt;='2025'!$M407), AW$4&lt;&gt;DATE(2025,7,4)), (SWITCH(weekday(AW$4), 1, 0, 2, if(ISBLANK('2025'!$P407), 0, 1), 3, if(ISBLANK('2025'!$Q407), 0, 1), 4, if(ISBLANK('2025'!$R407), 0, 1), 5, if(ISBLANK('2025'!$S407), 0, 1), 6, if(ISBLANK('2025'!$T407), 0, 1), 7, 0))), 1, "")</f>
        <v/>
      </c>
      <c r="AX444" s="1" t="str">
        <f>IF(AND(AND(AND(AX$4&gt;='2025'!$L407,AX$4&lt;='2025'!$M407), AX$4&lt;&gt;DATE(2025,7,4)), (SWITCH(weekday(AX$4), 1, 0, 2, if(ISBLANK('2025'!$P407), 0, 1), 3, if(ISBLANK('2025'!$Q407), 0, 1), 4, if(ISBLANK('2025'!$R407), 0, 1), 5, if(ISBLANK('2025'!$S407), 0, 1), 6, if(ISBLANK('2025'!$T407), 0, 1), 7, 0))), 1, "")</f>
        <v/>
      </c>
      <c r="AY444" s="1" t="str">
        <f>IF(AND(AND(AND(AY$4&gt;='2025'!$L407,AY$4&lt;='2025'!$M407), AY$4&lt;&gt;DATE(2025,7,4)), (SWITCH(weekday(AY$4), 1, 0, 2, if(ISBLANK('2025'!$P407), 0, 1), 3, if(ISBLANK('2025'!$Q407), 0, 1), 4, if(ISBLANK('2025'!$R407), 0, 1), 5, if(ISBLANK('2025'!$S407), 0, 1), 6, if(ISBLANK('2025'!$T407), 0, 1), 7, 0))), 1, "")</f>
        <v/>
      </c>
      <c r="AZ444" s="1" t="str">
        <f>IF(AND(AND(AND(AZ$4&gt;='2025'!$L407,AZ$4&lt;='2025'!$M407), AZ$4&lt;&gt;DATE(2025,7,4)), (SWITCH(weekday(AZ$4), 1, 0, 2, if(ISBLANK('2025'!$P407), 0, 1), 3, if(ISBLANK('2025'!$Q407), 0, 1), 4, if(ISBLANK('2025'!$R407), 0, 1), 5, if(ISBLANK('2025'!$S407), 0, 1), 6, if(ISBLANK('2025'!$T407), 0, 1), 7, 0))), 1, "")</f>
        <v/>
      </c>
      <c r="BA444" s="1" t="str">
        <f>IF(AND(AND(AND(BA$4&gt;='2025'!$L407,BA$4&lt;='2025'!$M407), BA$4&lt;&gt;DATE(2025,7,4)), (SWITCH(weekday(BA$4), 1, 0, 2, if(ISBLANK('2025'!$P407), 0, 1), 3, if(ISBLANK('2025'!$Q407), 0, 1), 4, if(ISBLANK('2025'!$R407), 0, 1), 5, if(ISBLANK('2025'!$S407), 0, 1), 6, if(ISBLANK('2025'!$T407), 0, 1), 7, 0))), 1, "")</f>
        <v/>
      </c>
      <c r="BB444" s="1" t="str">
        <f>IF(AND(AND(AND(BB$4&gt;='2025'!$L407,BB$4&lt;='2025'!$M407), BB$4&lt;&gt;DATE(2025,7,4)), (SWITCH(weekday(BB$4), 1, 0, 2, if(ISBLANK('2025'!$P407), 0, 1), 3, if(ISBLANK('2025'!$Q407), 0, 1), 4, if(ISBLANK('2025'!$R407), 0, 1), 5, if(ISBLANK('2025'!$S407), 0, 1), 6, if(ISBLANK('2025'!$T407), 0, 1), 7, 0))), 1, "")</f>
        <v/>
      </c>
      <c r="BC444" s="1" t="str">
        <f>IF(AND(AND(AND(BC$4&gt;='2025'!$L407,BC$4&lt;='2025'!$M407), BC$4&lt;&gt;DATE(2025,7,4)), (SWITCH(weekday(BC$4), 1, 0, 2, if(ISBLANK('2025'!$P407), 0, 1), 3, if(ISBLANK('2025'!$Q407), 0, 1), 4, if(ISBLANK('2025'!$R407), 0, 1), 5, if(ISBLANK('2025'!$S407), 0, 1), 6, if(ISBLANK('2025'!$T407), 0, 1), 7, 0))), 1, "")</f>
        <v/>
      </c>
      <c r="BD444" s="1" t="str">
        <f>IF(AND(AND(AND(BD$4&gt;='2025'!$L407,BD$4&lt;='2025'!$M407), BD$4&lt;&gt;DATE(2025,7,4)), (SWITCH(weekday(BD$4), 1, 0, 2, if(ISBLANK('2025'!$P407), 0, 1), 3, if(ISBLANK('2025'!$Q407), 0, 1), 4, if(ISBLANK('2025'!$R407), 0, 1), 5, if(ISBLANK('2025'!$S407), 0, 1), 6, if(ISBLANK('2025'!$T407), 0, 1), 7, 0))), 1, "")</f>
        <v/>
      </c>
      <c r="BE444" s="1" t="str">
        <f>IF(AND(AND(AND(BE$4&gt;='2025'!$L407,BE$4&lt;='2025'!$M407), BE$4&lt;&gt;DATE(2025,7,4)), (SWITCH(weekday(BE$4), 1, 0, 2, if(ISBLANK('2025'!$P407), 0, 1), 3, if(ISBLANK('2025'!$Q407), 0, 1), 4, if(ISBLANK('2025'!$R407), 0, 1), 5, if(ISBLANK('2025'!$S407), 0, 1), 6, if(ISBLANK('2025'!$T407), 0, 1), 7, 0))), 1, "")</f>
        <v/>
      </c>
    </row>
    <row r="445">
      <c r="A445" s="1">
        <f t="shared" si="3"/>
        <v>445</v>
      </c>
      <c r="B445" s="1" t="str">
        <f>'2025'!D408</f>
        <v/>
      </c>
      <c r="C445" s="1" t="str">
        <f>'2025'!H408</f>
        <v/>
      </c>
      <c r="D445" s="1" t="str">
        <f>IF(AND(AND(AND(D$4&gt;='2025'!$L408,D$4&lt;='2025'!$M408), D$4&lt;&gt;DATE(2025,7,4)), (SWITCH(weekday(D$4), 1, 0, 2, if(ISBLANK('2025'!$P408), 0, 1), 3, if(ISBLANK('2025'!$Q408), 0, 1), 4, if(ISBLANK('2025'!$R408), 0, 1), 5, if(ISBLANK('2025'!$S408), 0, 1), 6, if(ISBLANK('2025'!$T408), 0, 1), 7, 0))), 1, "")</f>
        <v/>
      </c>
      <c r="E445" s="1" t="str">
        <f>IF(AND(AND(AND(E$4&gt;='2025'!$L408,E$4&lt;='2025'!$M408), E$4&lt;&gt;DATE(2025,7,4)), (SWITCH(weekday(E$4), 1, 0, 2, if(ISBLANK('2025'!$P408), 0, 1), 3, if(ISBLANK('2025'!$Q408), 0, 1), 4, if(ISBLANK('2025'!$R408), 0, 1), 5, if(ISBLANK('2025'!$S408), 0, 1), 6, if(ISBLANK('2025'!$T408), 0, 1), 7, 0))), 1, "")</f>
        <v/>
      </c>
      <c r="F445" s="1" t="str">
        <f>IF(AND(AND(AND(F$4&gt;='2025'!$L408,F$4&lt;='2025'!$M408), F$4&lt;&gt;DATE(2025,7,4)), (SWITCH(weekday(F$4), 1, 0, 2, if(ISBLANK('2025'!$P408), 0, 1), 3, if(ISBLANK('2025'!$Q408), 0, 1), 4, if(ISBLANK('2025'!$R408), 0, 1), 5, if(ISBLANK('2025'!$S408), 0, 1), 6, if(ISBLANK('2025'!$T408), 0, 1), 7, 0))), 1, "")</f>
        <v/>
      </c>
      <c r="G445" s="1" t="str">
        <f>IF(AND(AND(AND(G$4&gt;='2025'!$L408,G$4&lt;='2025'!$M408), G$4&lt;&gt;DATE(2025,7,4)), (SWITCH(weekday(G$4), 1, 0, 2, if(ISBLANK('2025'!$P408), 0, 1), 3, if(ISBLANK('2025'!$Q408), 0, 1), 4, if(ISBLANK('2025'!$R408), 0, 1), 5, if(ISBLANK('2025'!$S408), 0, 1), 6, if(ISBLANK('2025'!$T408), 0, 1), 7, 0))), 1, "")</f>
        <v/>
      </c>
      <c r="H445" s="1" t="str">
        <f>IF(AND(AND(AND(H$4&gt;='2025'!$L408,H$4&lt;='2025'!$M408), H$4&lt;&gt;DATE(2025,7,4)), (SWITCH(weekday(H$4), 1, 0, 2, if(ISBLANK('2025'!$P408), 0, 1), 3, if(ISBLANK('2025'!$Q408), 0, 1), 4, if(ISBLANK('2025'!$R408), 0, 1), 5, if(ISBLANK('2025'!$S408), 0, 1), 6, if(ISBLANK('2025'!$T408), 0, 1), 7, 0))), 1, "")</f>
        <v/>
      </c>
      <c r="I445" s="1" t="str">
        <f>IF(AND(AND(AND(I$4&gt;='2025'!$L408,I$4&lt;='2025'!$M408), I$4&lt;&gt;DATE(2025,7,4)), (SWITCH(weekday(I$4), 1, 0, 2, if(ISBLANK('2025'!$P408), 0, 1), 3, if(ISBLANK('2025'!$Q408), 0, 1), 4, if(ISBLANK('2025'!$R408), 0, 1), 5, if(ISBLANK('2025'!$S408), 0, 1), 6, if(ISBLANK('2025'!$T408), 0, 1), 7, 0))), 1, "")</f>
        <v/>
      </c>
      <c r="J445" s="1" t="str">
        <f>IF(AND(AND(AND(J$4&gt;='2025'!$L408,J$4&lt;='2025'!$M408), J$4&lt;&gt;DATE(2025,7,4)), (SWITCH(weekday(J$4), 1, 0, 2, if(ISBLANK('2025'!$P408), 0, 1), 3, if(ISBLANK('2025'!$Q408), 0, 1), 4, if(ISBLANK('2025'!$R408), 0, 1), 5, if(ISBLANK('2025'!$S408), 0, 1), 6, if(ISBLANK('2025'!$T408), 0, 1), 7, 0))), 1, "")</f>
        <v/>
      </c>
      <c r="K445" s="1" t="str">
        <f>IF(AND(AND(AND(K$4&gt;='2025'!$L408,K$4&lt;='2025'!$M408), K$4&lt;&gt;DATE(2025,7,4)), (SWITCH(weekday(K$4), 1, 0, 2, if(ISBLANK('2025'!$P408), 0, 1), 3, if(ISBLANK('2025'!$Q408), 0, 1), 4, if(ISBLANK('2025'!$R408), 0, 1), 5, if(ISBLANK('2025'!$S408), 0, 1), 6, if(ISBLANK('2025'!$T408), 0, 1), 7, 0))), 1, "")</f>
        <v/>
      </c>
      <c r="L445" s="1" t="str">
        <f>IF(AND(AND(AND(L$4&gt;='2025'!$L408,L$4&lt;='2025'!$M408), L$4&lt;&gt;DATE(2025,7,4)), (SWITCH(weekday(L$4), 1, 0, 2, if(ISBLANK('2025'!$P408), 0, 1), 3, if(ISBLANK('2025'!$Q408), 0, 1), 4, if(ISBLANK('2025'!$R408), 0, 1), 5, if(ISBLANK('2025'!$S408), 0, 1), 6, if(ISBLANK('2025'!$T408), 0, 1), 7, 0))), 1, "")</f>
        <v/>
      </c>
      <c r="M445" s="1" t="str">
        <f>IF(AND(AND(AND(M$4&gt;='2025'!$L408,M$4&lt;='2025'!$M408), M$4&lt;&gt;DATE(2025,7,4)), (SWITCH(weekday(M$4), 1, 0, 2, if(ISBLANK('2025'!$P408), 0, 1), 3, if(ISBLANK('2025'!$Q408), 0, 1), 4, if(ISBLANK('2025'!$R408), 0, 1), 5, if(ISBLANK('2025'!$S408), 0, 1), 6, if(ISBLANK('2025'!$T408), 0, 1), 7, 0))), 1, "")</f>
        <v/>
      </c>
      <c r="N445" s="1" t="str">
        <f>IF(AND(AND(AND(N$4&gt;='2025'!$L408,N$4&lt;='2025'!$M408), N$4&lt;&gt;DATE(2025,7,4)), (SWITCH(weekday(N$4), 1, 0, 2, if(ISBLANK('2025'!$P408), 0, 1), 3, if(ISBLANK('2025'!$Q408), 0, 1), 4, if(ISBLANK('2025'!$R408), 0, 1), 5, if(ISBLANK('2025'!$S408), 0, 1), 6, if(ISBLANK('2025'!$T408), 0, 1), 7, 0))), 1, "")</f>
        <v/>
      </c>
      <c r="O445" s="1" t="str">
        <f>IF(AND(AND(AND(O$4&gt;='2025'!$L408,O$4&lt;='2025'!$M408), O$4&lt;&gt;DATE(2025,7,4)), (SWITCH(weekday(O$4), 1, 0, 2, if(ISBLANK('2025'!$P408), 0, 1), 3, if(ISBLANK('2025'!$Q408), 0, 1), 4, if(ISBLANK('2025'!$R408), 0, 1), 5, if(ISBLANK('2025'!$S408), 0, 1), 6, if(ISBLANK('2025'!$T408), 0, 1), 7, 0))), 1, "")</f>
        <v/>
      </c>
      <c r="P445" s="1" t="str">
        <f>IF(AND(AND(AND(P$4&gt;='2025'!$L408,P$4&lt;='2025'!$M408), P$4&lt;&gt;DATE(2025,7,4)), (SWITCH(weekday(P$4), 1, 0, 2, if(ISBLANK('2025'!$P408), 0, 1), 3, if(ISBLANK('2025'!$Q408), 0, 1), 4, if(ISBLANK('2025'!$R408), 0, 1), 5, if(ISBLANK('2025'!$S408), 0, 1), 6, if(ISBLANK('2025'!$T408), 0, 1), 7, 0))), 1, "")</f>
        <v/>
      </c>
      <c r="Q445" s="1" t="str">
        <f>IF(AND(AND(AND(Q$4&gt;='2025'!$L408,Q$4&lt;='2025'!$M408), Q$4&lt;&gt;DATE(2025,7,4)), (SWITCH(weekday(Q$4), 1, 0, 2, if(ISBLANK('2025'!$P408), 0, 1), 3, if(ISBLANK('2025'!$Q408), 0, 1), 4, if(ISBLANK('2025'!$R408), 0, 1), 5, if(ISBLANK('2025'!$S408), 0, 1), 6, if(ISBLANK('2025'!$T408), 0, 1), 7, 0))), 1, "")</f>
        <v/>
      </c>
      <c r="R445" s="1" t="str">
        <f>IF(AND(AND(AND(R$4&gt;='2025'!$L408,R$4&lt;='2025'!$M408), R$4&lt;&gt;DATE(2025,7,4)), (SWITCH(weekday(R$4), 1, 0, 2, if(ISBLANK('2025'!$P408), 0, 1), 3, if(ISBLANK('2025'!$Q408), 0, 1), 4, if(ISBLANK('2025'!$R408), 0, 1), 5, if(ISBLANK('2025'!$S408), 0, 1), 6, if(ISBLANK('2025'!$T408), 0, 1), 7, 0))), 1, "")</f>
        <v/>
      </c>
      <c r="S445" s="1" t="str">
        <f>IF(AND(AND(AND(S$4&gt;='2025'!$L408,S$4&lt;='2025'!$M408), S$4&lt;&gt;DATE(2025,7,4)), (SWITCH(weekday(S$4), 1, 0, 2, if(ISBLANK('2025'!$P408), 0, 1), 3, if(ISBLANK('2025'!$Q408), 0, 1), 4, if(ISBLANK('2025'!$R408), 0, 1), 5, if(ISBLANK('2025'!$S408), 0, 1), 6, if(ISBLANK('2025'!$T408), 0, 1), 7, 0))), 1, "")</f>
        <v/>
      </c>
      <c r="T445" s="1" t="str">
        <f>IF(AND(AND(AND(T$4&gt;='2025'!$L408,T$4&lt;='2025'!$M408), T$4&lt;&gt;DATE(2025,7,4)), (SWITCH(weekday(T$4), 1, 0, 2, if(ISBLANK('2025'!$P408), 0, 1), 3, if(ISBLANK('2025'!$Q408), 0, 1), 4, if(ISBLANK('2025'!$R408), 0, 1), 5, if(ISBLANK('2025'!$S408), 0, 1), 6, if(ISBLANK('2025'!$T408), 0, 1), 7, 0))), 1, "")</f>
        <v/>
      </c>
      <c r="U445" s="1" t="str">
        <f>IF(AND(AND(AND(U$4&gt;='2025'!$L408,U$4&lt;='2025'!$M408), U$4&lt;&gt;DATE(2025,7,4)), (SWITCH(weekday(U$4), 1, 0, 2, if(ISBLANK('2025'!$P408), 0, 1), 3, if(ISBLANK('2025'!$Q408), 0, 1), 4, if(ISBLANK('2025'!$R408), 0, 1), 5, if(ISBLANK('2025'!$S408), 0, 1), 6, if(ISBLANK('2025'!$T408), 0, 1), 7, 0))), 1, "")</f>
        <v/>
      </c>
      <c r="V445" s="1" t="str">
        <f>IF(AND(AND(AND(V$4&gt;='2025'!$L408,V$4&lt;='2025'!$M408), V$4&lt;&gt;DATE(2025,7,4)), (SWITCH(weekday(V$4), 1, 0, 2, if(ISBLANK('2025'!$P408), 0, 1), 3, if(ISBLANK('2025'!$Q408), 0, 1), 4, if(ISBLANK('2025'!$R408), 0, 1), 5, if(ISBLANK('2025'!$S408), 0, 1), 6, if(ISBLANK('2025'!$T408), 0, 1), 7, 0))), 1, "")</f>
        <v/>
      </c>
      <c r="W445" s="1" t="str">
        <f>IF(AND(AND(AND(W$4&gt;='2025'!$L408,W$4&lt;='2025'!$M408), W$4&lt;&gt;DATE(2025,7,4)), (SWITCH(weekday(W$4), 1, 0, 2, if(ISBLANK('2025'!$P408), 0, 1), 3, if(ISBLANK('2025'!$Q408), 0, 1), 4, if(ISBLANK('2025'!$R408), 0, 1), 5, if(ISBLANK('2025'!$S408), 0, 1), 6, if(ISBLANK('2025'!$T408), 0, 1), 7, 0))), 1, "")</f>
        <v/>
      </c>
      <c r="X445" s="1" t="str">
        <f>IF(AND(AND(AND(X$4&gt;='2025'!$L408,X$4&lt;='2025'!$M408), X$4&lt;&gt;DATE(2025,7,4)), (SWITCH(weekday(X$4), 1, 0, 2, if(ISBLANK('2025'!$P408), 0, 1), 3, if(ISBLANK('2025'!$Q408), 0, 1), 4, if(ISBLANK('2025'!$R408), 0, 1), 5, if(ISBLANK('2025'!$S408), 0, 1), 6, if(ISBLANK('2025'!$T408), 0, 1), 7, 0))), 1, "")</f>
        <v/>
      </c>
      <c r="Y445" s="1" t="str">
        <f>IF(AND(AND(AND(Y$4&gt;='2025'!$L408,Y$4&lt;='2025'!$M408), Y$4&lt;&gt;DATE(2025,7,4)), (SWITCH(weekday(Y$4), 1, 0, 2, if(ISBLANK('2025'!$P408), 0, 1), 3, if(ISBLANK('2025'!$Q408), 0, 1), 4, if(ISBLANK('2025'!$R408), 0, 1), 5, if(ISBLANK('2025'!$S408), 0, 1), 6, if(ISBLANK('2025'!$T408), 0, 1), 7, 0))), 1, "")</f>
        <v/>
      </c>
      <c r="Z445" s="1" t="str">
        <f>IF(AND(AND(AND(Z$4&gt;='2025'!$L408,Z$4&lt;='2025'!$M408), Z$4&lt;&gt;DATE(2025,7,4)), (SWITCH(weekday(Z$4), 1, 0, 2, if(ISBLANK('2025'!$P408), 0, 1), 3, if(ISBLANK('2025'!$Q408), 0, 1), 4, if(ISBLANK('2025'!$R408), 0, 1), 5, if(ISBLANK('2025'!$S408), 0, 1), 6, if(ISBLANK('2025'!$T408), 0, 1), 7, 0))), 1, "")</f>
        <v/>
      </c>
      <c r="AA445" s="1" t="str">
        <f>IF(AND(AND(AND(AA$4&gt;='2025'!$L408,AA$4&lt;='2025'!$M408), AA$4&lt;&gt;DATE(2025,7,4)), (SWITCH(weekday(AA$4), 1, 0, 2, if(ISBLANK('2025'!$P408), 0, 1), 3, if(ISBLANK('2025'!$Q408), 0, 1), 4, if(ISBLANK('2025'!$R408), 0, 1), 5, if(ISBLANK('2025'!$S408), 0, 1), 6, if(ISBLANK('2025'!$T408), 0, 1), 7, 0))), 1, "")</f>
        <v/>
      </c>
      <c r="AB445" s="1" t="str">
        <f>IF(AND(AND(AND(AB$4&gt;='2025'!$L408,AB$4&lt;='2025'!$M408), AB$4&lt;&gt;DATE(2025,7,4)), (SWITCH(weekday(AB$4), 1, 0, 2, if(ISBLANK('2025'!$P408), 0, 1), 3, if(ISBLANK('2025'!$Q408), 0, 1), 4, if(ISBLANK('2025'!$R408), 0, 1), 5, if(ISBLANK('2025'!$S408), 0, 1), 6, if(ISBLANK('2025'!$T408), 0, 1), 7, 0))), 1, "")</f>
        <v/>
      </c>
      <c r="AC445" s="1" t="str">
        <f>IF(AND(AND(AND(AC$4&gt;='2025'!$L408,AC$4&lt;='2025'!$M408), AC$4&lt;&gt;DATE(2025,7,4)), (SWITCH(weekday(AC$4), 1, 0, 2, if(ISBLANK('2025'!$P408), 0, 1), 3, if(ISBLANK('2025'!$Q408), 0, 1), 4, if(ISBLANK('2025'!$R408), 0, 1), 5, if(ISBLANK('2025'!$S408), 0, 1), 6, if(ISBLANK('2025'!$T408), 0, 1), 7, 0))), 1, "")</f>
        <v/>
      </c>
      <c r="AD445" s="1" t="str">
        <f>IF(AND(AND(AND(AD$4&gt;='2025'!$L408,AD$4&lt;='2025'!$M408), AD$4&lt;&gt;DATE(2025,7,4)), (SWITCH(weekday(AD$4), 1, 0, 2, if(ISBLANK('2025'!$P408), 0, 1), 3, if(ISBLANK('2025'!$Q408), 0, 1), 4, if(ISBLANK('2025'!$R408), 0, 1), 5, if(ISBLANK('2025'!$S408), 0, 1), 6, if(ISBLANK('2025'!$T408), 0, 1), 7, 0))), 1, "")</f>
        <v/>
      </c>
      <c r="AE445" s="1" t="str">
        <f>IF(AND(AND(AND(AE$4&gt;='2025'!$L408,AE$4&lt;='2025'!$M408), AE$4&lt;&gt;DATE(2025,7,4)), (SWITCH(weekday(AE$4), 1, 0, 2, if(ISBLANK('2025'!$P408), 0, 1), 3, if(ISBLANK('2025'!$Q408), 0, 1), 4, if(ISBLANK('2025'!$R408), 0, 1), 5, if(ISBLANK('2025'!$S408), 0, 1), 6, if(ISBLANK('2025'!$T408), 0, 1), 7, 0))), 1, "")</f>
        <v/>
      </c>
      <c r="AF445" s="1" t="str">
        <f>IF(AND(AND(AND(AF$4&gt;='2025'!$L408,AF$4&lt;='2025'!$M408), AF$4&lt;&gt;DATE(2025,7,4)), (SWITCH(weekday(AF$4), 1, 0, 2, if(ISBLANK('2025'!$P408), 0, 1), 3, if(ISBLANK('2025'!$Q408), 0, 1), 4, if(ISBLANK('2025'!$R408), 0, 1), 5, if(ISBLANK('2025'!$S408), 0, 1), 6, if(ISBLANK('2025'!$T408), 0, 1), 7, 0))), 1, "")</f>
        <v/>
      </c>
      <c r="AG445" s="1" t="str">
        <f>IF(AND(AND(AND(AG$4&gt;='2025'!$L408,AG$4&lt;='2025'!$M408), AG$4&lt;&gt;DATE(2025,7,4)), (SWITCH(weekday(AG$4), 1, 0, 2, if(ISBLANK('2025'!$P408), 0, 1), 3, if(ISBLANK('2025'!$Q408), 0, 1), 4, if(ISBLANK('2025'!$R408), 0, 1), 5, if(ISBLANK('2025'!$S408), 0, 1), 6, if(ISBLANK('2025'!$T408), 0, 1), 7, 0))), 1, "")</f>
        <v/>
      </c>
      <c r="AH445" s="1" t="str">
        <f>IF(AND(AND(AND(AH$4&gt;='2025'!$L408,AH$4&lt;='2025'!$M408), AH$4&lt;&gt;DATE(2025,7,4)), (SWITCH(weekday(AH$4), 1, 0, 2, if(ISBLANK('2025'!$P408), 0, 1), 3, if(ISBLANK('2025'!$Q408), 0, 1), 4, if(ISBLANK('2025'!$R408), 0, 1), 5, if(ISBLANK('2025'!$S408), 0, 1), 6, if(ISBLANK('2025'!$T408), 0, 1), 7, 0))), 1, "")</f>
        <v/>
      </c>
      <c r="AI445" s="1" t="str">
        <f>IF(AND(AND(AND(AI$4&gt;='2025'!$L408,AI$4&lt;='2025'!$M408), AI$4&lt;&gt;DATE(2025,7,4)), (SWITCH(weekday(AI$4), 1, 0, 2, if(ISBLANK('2025'!$P408), 0, 1), 3, if(ISBLANK('2025'!$Q408), 0, 1), 4, if(ISBLANK('2025'!$R408), 0, 1), 5, if(ISBLANK('2025'!$S408), 0, 1), 6, if(ISBLANK('2025'!$T408), 0, 1), 7, 0))), 1, "")</f>
        <v/>
      </c>
      <c r="AJ445" s="1" t="str">
        <f>IF(AND(AND(AND(AJ$4&gt;='2025'!$L408,AJ$4&lt;='2025'!$M408), AJ$4&lt;&gt;DATE(2025,7,4)), (SWITCH(weekday(AJ$4), 1, 0, 2, if(ISBLANK('2025'!$P408), 0, 1), 3, if(ISBLANK('2025'!$Q408), 0, 1), 4, if(ISBLANK('2025'!$R408), 0, 1), 5, if(ISBLANK('2025'!$S408), 0, 1), 6, if(ISBLANK('2025'!$T408), 0, 1), 7, 0))), 1, "")</f>
        <v/>
      </c>
      <c r="AK445" s="1" t="str">
        <f>IF(AND(AND(AND(AK$4&gt;='2025'!$L408,AK$4&lt;='2025'!$M408), AK$4&lt;&gt;DATE(2025,7,4)), (SWITCH(weekday(AK$4), 1, 0, 2, if(ISBLANK('2025'!$P408), 0, 1), 3, if(ISBLANK('2025'!$Q408), 0, 1), 4, if(ISBLANK('2025'!$R408), 0, 1), 5, if(ISBLANK('2025'!$S408), 0, 1), 6, if(ISBLANK('2025'!$T408), 0, 1), 7, 0))), 1, "")</f>
        <v/>
      </c>
      <c r="AL445" s="1" t="str">
        <f>IF(AND(AND(AND(AL$4&gt;='2025'!$L408,AL$4&lt;='2025'!$M408), AL$4&lt;&gt;DATE(2025,7,4)), (SWITCH(weekday(AL$4), 1, 0, 2, if(ISBLANK('2025'!$P408), 0, 1), 3, if(ISBLANK('2025'!$Q408), 0, 1), 4, if(ISBLANK('2025'!$R408), 0, 1), 5, if(ISBLANK('2025'!$S408), 0, 1), 6, if(ISBLANK('2025'!$T408), 0, 1), 7, 0))), 1, "")</f>
        <v/>
      </c>
      <c r="AM445" s="1" t="str">
        <f>IF(AND(AND(AND(AM$4&gt;='2025'!$L408,AM$4&lt;='2025'!$M408), AM$4&lt;&gt;DATE(2025,7,4)), (SWITCH(weekday(AM$4), 1, 0, 2, if(ISBLANK('2025'!$P408), 0, 1), 3, if(ISBLANK('2025'!$Q408), 0, 1), 4, if(ISBLANK('2025'!$R408), 0, 1), 5, if(ISBLANK('2025'!$S408), 0, 1), 6, if(ISBLANK('2025'!$T408), 0, 1), 7, 0))), 1, "")</f>
        <v/>
      </c>
      <c r="AN445" s="1" t="str">
        <f>IF(AND(AND(AND(AN$4&gt;='2025'!$L408,AN$4&lt;='2025'!$M408), AN$4&lt;&gt;DATE(2025,7,4)), (SWITCH(weekday(AN$4), 1, 0, 2, if(ISBLANK('2025'!$P408), 0, 1), 3, if(ISBLANK('2025'!$Q408), 0, 1), 4, if(ISBLANK('2025'!$R408), 0, 1), 5, if(ISBLANK('2025'!$S408), 0, 1), 6, if(ISBLANK('2025'!$T408), 0, 1), 7, 0))), 1, "")</f>
        <v/>
      </c>
      <c r="AO445" s="1" t="str">
        <f>IF(AND(AND(AND(AO$4&gt;='2025'!$L408,AO$4&lt;='2025'!$M408), AO$4&lt;&gt;DATE(2025,7,4)), (SWITCH(weekday(AO$4), 1, 0, 2, if(ISBLANK('2025'!$P408), 0, 1), 3, if(ISBLANK('2025'!$Q408), 0, 1), 4, if(ISBLANK('2025'!$R408), 0, 1), 5, if(ISBLANK('2025'!$S408), 0, 1), 6, if(ISBLANK('2025'!$T408), 0, 1), 7, 0))), 1, "")</f>
        <v/>
      </c>
      <c r="AP445" s="1" t="str">
        <f>IF(AND(AND(AND(AP$4&gt;='2025'!$L408,AP$4&lt;='2025'!$M408), AP$4&lt;&gt;DATE(2025,7,4)), (SWITCH(weekday(AP$4), 1, 0, 2, if(ISBLANK('2025'!$P408), 0, 1), 3, if(ISBLANK('2025'!$Q408), 0, 1), 4, if(ISBLANK('2025'!$R408), 0, 1), 5, if(ISBLANK('2025'!$S408), 0, 1), 6, if(ISBLANK('2025'!$T408), 0, 1), 7, 0))), 1, "")</f>
        <v/>
      </c>
      <c r="AQ445" s="1" t="str">
        <f>IF(AND(AND(AND(AQ$4&gt;='2025'!$L408,AQ$4&lt;='2025'!$M408), AQ$4&lt;&gt;DATE(2025,7,4)), (SWITCH(weekday(AQ$4), 1, 0, 2, if(ISBLANK('2025'!$P408), 0, 1), 3, if(ISBLANK('2025'!$Q408), 0, 1), 4, if(ISBLANK('2025'!$R408), 0, 1), 5, if(ISBLANK('2025'!$S408), 0, 1), 6, if(ISBLANK('2025'!$T408), 0, 1), 7, 0))), 1, "")</f>
        <v/>
      </c>
      <c r="AR445" s="1" t="str">
        <f>IF(AND(AND(AND(AR$4&gt;='2025'!$L408,AR$4&lt;='2025'!$M408), AR$4&lt;&gt;DATE(2025,7,4)), (SWITCH(weekday(AR$4), 1, 0, 2, if(ISBLANK('2025'!$P408), 0, 1), 3, if(ISBLANK('2025'!$Q408), 0, 1), 4, if(ISBLANK('2025'!$R408), 0, 1), 5, if(ISBLANK('2025'!$S408), 0, 1), 6, if(ISBLANK('2025'!$T408), 0, 1), 7, 0))), 1, "")</f>
        <v/>
      </c>
      <c r="AS445" s="1" t="str">
        <f>IF(AND(AND(AND(AS$4&gt;='2025'!$L408,AS$4&lt;='2025'!$M408), AS$4&lt;&gt;DATE(2025,7,4)), (SWITCH(weekday(AS$4), 1, 0, 2, if(ISBLANK('2025'!$P408), 0, 1), 3, if(ISBLANK('2025'!$Q408), 0, 1), 4, if(ISBLANK('2025'!$R408), 0, 1), 5, if(ISBLANK('2025'!$S408), 0, 1), 6, if(ISBLANK('2025'!$T408), 0, 1), 7, 0))), 1, "")</f>
        <v/>
      </c>
      <c r="AT445" s="1" t="str">
        <f>IF(AND(AND(AND(AT$4&gt;='2025'!$L408,AT$4&lt;='2025'!$M408), AT$4&lt;&gt;DATE(2025,7,4)), (SWITCH(weekday(AT$4), 1, 0, 2, if(ISBLANK('2025'!$P408), 0, 1), 3, if(ISBLANK('2025'!$Q408), 0, 1), 4, if(ISBLANK('2025'!$R408), 0, 1), 5, if(ISBLANK('2025'!$S408), 0, 1), 6, if(ISBLANK('2025'!$T408), 0, 1), 7, 0))), 1, "")</f>
        <v/>
      </c>
      <c r="AU445" s="1" t="str">
        <f>IF(AND(AND(AND(AU$4&gt;='2025'!$L408,AU$4&lt;='2025'!$M408), AU$4&lt;&gt;DATE(2025,7,4)), (SWITCH(weekday(AU$4), 1, 0, 2, if(ISBLANK('2025'!$P408), 0, 1), 3, if(ISBLANK('2025'!$Q408), 0, 1), 4, if(ISBLANK('2025'!$R408), 0, 1), 5, if(ISBLANK('2025'!$S408), 0, 1), 6, if(ISBLANK('2025'!$T408), 0, 1), 7, 0))), 1, "")</f>
        <v/>
      </c>
      <c r="AV445" s="1" t="str">
        <f>IF(AND(AND(AND(AV$4&gt;='2025'!$L408,AV$4&lt;='2025'!$M408), AV$4&lt;&gt;DATE(2025,7,4)), (SWITCH(weekday(AV$4), 1, 0, 2, if(ISBLANK('2025'!$P408), 0, 1), 3, if(ISBLANK('2025'!$Q408), 0, 1), 4, if(ISBLANK('2025'!$R408), 0, 1), 5, if(ISBLANK('2025'!$S408), 0, 1), 6, if(ISBLANK('2025'!$T408), 0, 1), 7, 0))), 1, "")</f>
        <v/>
      </c>
      <c r="AW445" s="1" t="str">
        <f>IF(AND(AND(AND(AW$4&gt;='2025'!$L408,AW$4&lt;='2025'!$M408), AW$4&lt;&gt;DATE(2025,7,4)), (SWITCH(weekday(AW$4), 1, 0, 2, if(ISBLANK('2025'!$P408), 0, 1), 3, if(ISBLANK('2025'!$Q408), 0, 1), 4, if(ISBLANK('2025'!$R408), 0, 1), 5, if(ISBLANK('2025'!$S408), 0, 1), 6, if(ISBLANK('2025'!$T408), 0, 1), 7, 0))), 1, "")</f>
        <v/>
      </c>
      <c r="AX445" s="1" t="str">
        <f>IF(AND(AND(AND(AX$4&gt;='2025'!$L408,AX$4&lt;='2025'!$M408), AX$4&lt;&gt;DATE(2025,7,4)), (SWITCH(weekday(AX$4), 1, 0, 2, if(ISBLANK('2025'!$P408), 0, 1), 3, if(ISBLANK('2025'!$Q408), 0, 1), 4, if(ISBLANK('2025'!$R408), 0, 1), 5, if(ISBLANK('2025'!$S408), 0, 1), 6, if(ISBLANK('2025'!$T408), 0, 1), 7, 0))), 1, "")</f>
        <v/>
      </c>
      <c r="AY445" s="1" t="str">
        <f>IF(AND(AND(AND(AY$4&gt;='2025'!$L408,AY$4&lt;='2025'!$M408), AY$4&lt;&gt;DATE(2025,7,4)), (SWITCH(weekday(AY$4), 1, 0, 2, if(ISBLANK('2025'!$P408), 0, 1), 3, if(ISBLANK('2025'!$Q408), 0, 1), 4, if(ISBLANK('2025'!$R408), 0, 1), 5, if(ISBLANK('2025'!$S408), 0, 1), 6, if(ISBLANK('2025'!$T408), 0, 1), 7, 0))), 1, "")</f>
        <v/>
      </c>
      <c r="AZ445" s="1" t="str">
        <f>IF(AND(AND(AND(AZ$4&gt;='2025'!$L408,AZ$4&lt;='2025'!$M408), AZ$4&lt;&gt;DATE(2025,7,4)), (SWITCH(weekday(AZ$4), 1, 0, 2, if(ISBLANK('2025'!$P408), 0, 1), 3, if(ISBLANK('2025'!$Q408), 0, 1), 4, if(ISBLANK('2025'!$R408), 0, 1), 5, if(ISBLANK('2025'!$S408), 0, 1), 6, if(ISBLANK('2025'!$T408), 0, 1), 7, 0))), 1, "")</f>
        <v/>
      </c>
      <c r="BA445" s="1" t="str">
        <f>IF(AND(AND(AND(BA$4&gt;='2025'!$L408,BA$4&lt;='2025'!$M408), BA$4&lt;&gt;DATE(2025,7,4)), (SWITCH(weekday(BA$4), 1, 0, 2, if(ISBLANK('2025'!$P408), 0, 1), 3, if(ISBLANK('2025'!$Q408), 0, 1), 4, if(ISBLANK('2025'!$R408), 0, 1), 5, if(ISBLANK('2025'!$S408), 0, 1), 6, if(ISBLANK('2025'!$T408), 0, 1), 7, 0))), 1, "")</f>
        <v/>
      </c>
      <c r="BB445" s="1" t="str">
        <f>IF(AND(AND(AND(BB$4&gt;='2025'!$L408,BB$4&lt;='2025'!$M408), BB$4&lt;&gt;DATE(2025,7,4)), (SWITCH(weekday(BB$4), 1, 0, 2, if(ISBLANK('2025'!$P408), 0, 1), 3, if(ISBLANK('2025'!$Q408), 0, 1), 4, if(ISBLANK('2025'!$R408), 0, 1), 5, if(ISBLANK('2025'!$S408), 0, 1), 6, if(ISBLANK('2025'!$T408), 0, 1), 7, 0))), 1, "")</f>
        <v/>
      </c>
      <c r="BC445" s="1" t="str">
        <f>IF(AND(AND(AND(BC$4&gt;='2025'!$L408,BC$4&lt;='2025'!$M408), BC$4&lt;&gt;DATE(2025,7,4)), (SWITCH(weekday(BC$4), 1, 0, 2, if(ISBLANK('2025'!$P408), 0, 1), 3, if(ISBLANK('2025'!$Q408), 0, 1), 4, if(ISBLANK('2025'!$R408), 0, 1), 5, if(ISBLANK('2025'!$S408), 0, 1), 6, if(ISBLANK('2025'!$T408), 0, 1), 7, 0))), 1, "")</f>
        <v/>
      </c>
      <c r="BD445" s="1" t="str">
        <f>IF(AND(AND(AND(BD$4&gt;='2025'!$L408,BD$4&lt;='2025'!$M408), BD$4&lt;&gt;DATE(2025,7,4)), (SWITCH(weekday(BD$4), 1, 0, 2, if(ISBLANK('2025'!$P408), 0, 1), 3, if(ISBLANK('2025'!$Q408), 0, 1), 4, if(ISBLANK('2025'!$R408), 0, 1), 5, if(ISBLANK('2025'!$S408), 0, 1), 6, if(ISBLANK('2025'!$T408), 0, 1), 7, 0))), 1, "")</f>
        <v/>
      </c>
      <c r="BE445" s="1" t="str">
        <f>IF(AND(AND(AND(BE$4&gt;='2025'!$L408,BE$4&lt;='2025'!$M408), BE$4&lt;&gt;DATE(2025,7,4)), (SWITCH(weekday(BE$4), 1, 0, 2, if(ISBLANK('2025'!$P408), 0, 1), 3, if(ISBLANK('2025'!$Q408), 0, 1), 4, if(ISBLANK('2025'!$R408), 0, 1), 5, if(ISBLANK('2025'!$S408), 0, 1), 6, if(ISBLANK('2025'!$T408), 0, 1), 7, 0))), 1, "")</f>
        <v/>
      </c>
    </row>
    <row r="446">
      <c r="A446" s="1">
        <f t="shared" si="3"/>
        <v>446</v>
      </c>
      <c r="B446" s="1" t="str">
        <f>'2025'!D409</f>
        <v/>
      </c>
      <c r="C446" s="1" t="str">
        <f>'2025'!H409</f>
        <v/>
      </c>
      <c r="D446" s="1" t="str">
        <f>IF(AND(AND(AND(D$4&gt;='2025'!$L409,D$4&lt;='2025'!$M409), D$4&lt;&gt;DATE(2025,7,4)), (SWITCH(weekday(D$4), 1, 0, 2, if(ISBLANK('2025'!$P409), 0, 1), 3, if(ISBLANK('2025'!$Q409), 0, 1), 4, if(ISBLANK('2025'!$R409), 0, 1), 5, if(ISBLANK('2025'!$S409), 0, 1), 6, if(ISBLANK('2025'!$T409), 0, 1), 7, 0))), 1, "")</f>
        <v/>
      </c>
      <c r="E446" s="1" t="str">
        <f>IF(AND(AND(AND(E$4&gt;='2025'!$L409,E$4&lt;='2025'!$M409), E$4&lt;&gt;DATE(2025,7,4)), (SWITCH(weekday(E$4), 1, 0, 2, if(ISBLANK('2025'!$P409), 0, 1), 3, if(ISBLANK('2025'!$Q409), 0, 1), 4, if(ISBLANK('2025'!$R409), 0, 1), 5, if(ISBLANK('2025'!$S409), 0, 1), 6, if(ISBLANK('2025'!$T409), 0, 1), 7, 0))), 1, "")</f>
        <v/>
      </c>
      <c r="F446" s="1" t="str">
        <f>IF(AND(AND(AND(F$4&gt;='2025'!$L409,F$4&lt;='2025'!$M409), F$4&lt;&gt;DATE(2025,7,4)), (SWITCH(weekday(F$4), 1, 0, 2, if(ISBLANK('2025'!$P409), 0, 1), 3, if(ISBLANK('2025'!$Q409), 0, 1), 4, if(ISBLANK('2025'!$R409), 0, 1), 5, if(ISBLANK('2025'!$S409), 0, 1), 6, if(ISBLANK('2025'!$T409), 0, 1), 7, 0))), 1, "")</f>
        <v/>
      </c>
      <c r="G446" s="1" t="str">
        <f>IF(AND(AND(AND(G$4&gt;='2025'!$L409,G$4&lt;='2025'!$M409), G$4&lt;&gt;DATE(2025,7,4)), (SWITCH(weekday(G$4), 1, 0, 2, if(ISBLANK('2025'!$P409), 0, 1), 3, if(ISBLANK('2025'!$Q409), 0, 1), 4, if(ISBLANK('2025'!$R409), 0, 1), 5, if(ISBLANK('2025'!$S409), 0, 1), 6, if(ISBLANK('2025'!$T409), 0, 1), 7, 0))), 1, "")</f>
        <v/>
      </c>
      <c r="H446" s="1" t="str">
        <f>IF(AND(AND(AND(H$4&gt;='2025'!$L409,H$4&lt;='2025'!$M409), H$4&lt;&gt;DATE(2025,7,4)), (SWITCH(weekday(H$4), 1, 0, 2, if(ISBLANK('2025'!$P409), 0, 1), 3, if(ISBLANK('2025'!$Q409), 0, 1), 4, if(ISBLANK('2025'!$R409), 0, 1), 5, if(ISBLANK('2025'!$S409), 0, 1), 6, if(ISBLANK('2025'!$T409), 0, 1), 7, 0))), 1, "")</f>
        <v/>
      </c>
      <c r="I446" s="1" t="str">
        <f>IF(AND(AND(AND(I$4&gt;='2025'!$L409,I$4&lt;='2025'!$M409), I$4&lt;&gt;DATE(2025,7,4)), (SWITCH(weekday(I$4), 1, 0, 2, if(ISBLANK('2025'!$P409), 0, 1), 3, if(ISBLANK('2025'!$Q409), 0, 1), 4, if(ISBLANK('2025'!$R409), 0, 1), 5, if(ISBLANK('2025'!$S409), 0, 1), 6, if(ISBLANK('2025'!$T409), 0, 1), 7, 0))), 1, "")</f>
        <v/>
      </c>
      <c r="J446" s="1" t="str">
        <f>IF(AND(AND(AND(J$4&gt;='2025'!$L409,J$4&lt;='2025'!$M409), J$4&lt;&gt;DATE(2025,7,4)), (SWITCH(weekday(J$4), 1, 0, 2, if(ISBLANK('2025'!$P409), 0, 1), 3, if(ISBLANK('2025'!$Q409), 0, 1), 4, if(ISBLANK('2025'!$R409), 0, 1), 5, if(ISBLANK('2025'!$S409), 0, 1), 6, if(ISBLANK('2025'!$T409), 0, 1), 7, 0))), 1, "")</f>
        <v/>
      </c>
      <c r="K446" s="1" t="str">
        <f>IF(AND(AND(AND(K$4&gt;='2025'!$L409,K$4&lt;='2025'!$M409), K$4&lt;&gt;DATE(2025,7,4)), (SWITCH(weekday(K$4), 1, 0, 2, if(ISBLANK('2025'!$P409), 0, 1), 3, if(ISBLANK('2025'!$Q409), 0, 1), 4, if(ISBLANK('2025'!$R409), 0, 1), 5, if(ISBLANK('2025'!$S409), 0, 1), 6, if(ISBLANK('2025'!$T409), 0, 1), 7, 0))), 1, "")</f>
        <v/>
      </c>
      <c r="L446" s="1" t="str">
        <f>IF(AND(AND(AND(L$4&gt;='2025'!$L409,L$4&lt;='2025'!$M409), L$4&lt;&gt;DATE(2025,7,4)), (SWITCH(weekday(L$4), 1, 0, 2, if(ISBLANK('2025'!$P409), 0, 1), 3, if(ISBLANK('2025'!$Q409), 0, 1), 4, if(ISBLANK('2025'!$R409), 0, 1), 5, if(ISBLANK('2025'!$S409), 0, 1), 6, if(ISBLANK('2025'!$T409), 0, 1), 7, 0))), 1, "")</f>
        <v/>
      </c>
      <c r="M446" s="1" t="str">
        <f>IF(AND(AND(AND(M$4&gt;='2025'!$L409,M$4&lt;='2025'!$M409), M$4&lt;&gt;DATE(2025,7,4)), (SWITCH(weekday(M$4), 1, 0, 2, if(ISBLANK('2025'!$P409), 0, 1), 3, if(ISBLANK('2025'!$Q409), 0, 1), 4, if(ISBLANK('2025'!$R409), 0, 1), 5, if(ISBLANK('2025'!$S409), 0, 1), 6, if(ISBLANK('2025'!$T409), 0, 1), 7, 0))), 1, "")</f>
        <v/>
      </c>
      <c r="N446" s="1" t="str">
        <f>IF(AND(AND(AND(N$4&gt;='2025'!$L409,N$4&lt;='2025'!$M409), N$4&lt;&gt;DATE(2025,7,4)), (SWITCH(weekday(N$4), 1, 0, 2, if(ISBLANK('2025'!$P409), 0, 1), 3, if(ISBLANK('2025'!$Q409), 0, 1), 4, if(ISBLANK('2025'!$R409), 0, 1), 5, if(ISBLANK('2025'!$S409), 0, 1), 6, if(ISBLANK('2025'!$T409), 0, 1), 7, 0))), 1, "")</f>
        <v/>
      </c>
      <c r="O446" s="1" t="str">
        <f>IF(AND(AND(AND(O$4&gt;='2025'!$L409,O$4&lt;='2025'!$M409), O$4&lt;&gt;DATE(2025,7,4)), (SWITCH(weekday(O$4), 1, 0, 2, if(ISBLANK('2025'!$P409), 0, 1), 3, if(ISBLANK('2025'!$Q409), 0, 1), 4, if(ISBLANK('2025'!$R409), 0, 1), 5, if(ISBLANK('2025'!$S409), 0, 1), 6, if(ISBLANK('2025'!$T409), 0, 1), 7, 0))), 1, "")</f>
        <v/>
      </c>
      <c r="P446" s="1" t="str">
        <f>IF(AND(AND(AND(P$4&gt;='2025'!$L409,P$4&lt;='2025'!$M409), P$4&lt;&gt;DATE(2025,7,4)), (SWITCH(weekday(P$4), 1, 0, 2, if(ISBLANK('2025'!$P409), 0, 1), 3, if(ISBLANK('2025'!$Q409), 0, 1), 4, if(ISBLANK('2025'!$R409), 0, 1), 5, if(ISBLANK('2025'!$S409), 0, 1), 6, if(ISBLANK('2025'!$T409), 0, 1), 7, 0))), 1, "")</f>
        <v/>
      </c>
      <c r="Q446" s="1" t="str">
        <f>IF(AND(AND(AND(Q$4&gt;='2025'!$L409,Q$4&lt;='2025'!$M409), Q$4&lt;&gt;DATE(2025,7,4)), (SWITCH(weekday(Q$4), 1, 0, 2, if(ISBLANK('2025'!$P409), 0, 1), 3, if(ISBLANK('2025'!$Q409), 0, 1), 4, if(ISBLANK('2025'!$R409), 0, 1), 5, if(ISBLANK('2025'!$S409), 0, 1), 6, if(ISBLANK('2025'!$T409), 0, 1), 7, 0))), 1, "")</f>
        <v/>
      </c>
      <c r="R446" s="1" t="str">
        <f>IF(AND(AND(AND(R$4&gt;='2025'!$L409,R$4&lt;='2025'!$M409), R$4&lt;&gt;DATE(2025,7,4)), (SWITCH(weekday(R$4), 1, 0, 2, if(ISBLANK('2025'!$P409), 0, 1), 3, if(ISBLANK('2025'!$Q409), 0, 1), 4, if(ISBLANK('2025'!$R409), 0, 1), 5, if(ISBLANK('2025'!$S409), 0, 1), 6, if(ISBLANK('2025'!$T409), 0, 1), 7, 0))), 1, "")</f>
        <v/>
      </c>
      <c r="S446" s="1" t="str">
        <f>IF(AND(AND(AND(S$4&gt;='2025'!$L409,S$4&lt;='2025'!$M409), S$4&lt;&gt;DATE(2025,7,4)), (SWITCH(weekday(S$4), 1, 0, 2, if(ISBLANK('2025'!$P409), 0, 1), 3, if(ISBLANK('2025'!$Q409), 0, 1), 4, if(ISBLANK('2025'!$R409), 0, 1), 5, if(ISBLANK('2025'!$S409), 0, 1), 6, if(ISBLANK('2025'!$T409), 0, 1), 7, 0))), 1, "")</f>
        <v/>
      </c>
      <c r="T446" s="1" t="str">
        <f>IF(AND(AND(AND(T$4&gt;='2025'!$L409,T$4&lt;='2025'!$M409), T$4&lt;&gt;DATE(2025,7,4)), (SWITCH(weekday(T$4), 1, 0, 2, if(ISBLANK('2025'!$P409), 0, 1), 3, if(ISBLANK('2025'!$Q409), 0, 1), 4, if(ISBLANK('2025'!$R409), 0, 1), 5, if(ISBLANK('2025'!$S409), 0, 1), 6, if(ISBLANK('2025'!$T409), 0, 1), 7, 0))), 1, "")</f>
        <v/>
      </c>
      <c r="U446" s="1" t="str">
        <f>IF(AND(AND(AND(U$4&gt;='2025'!$L409,U$4&lt;='2025'!$M409), U$4&lt;&gt;DATE(2025,7,4)), (SWITCH(weekday(U$4), 1, 0, 2, if(ISBLANK('2025'!$P409), 0, 1), 3, if(ISBLANK('2025'!$Q409), 0, 1), 4, if(ISBLANK('2025'!$R409), 0, 1), 5, if(ISBLANK('2025'!$S409), 0, 1), 6, if(ISBLANK('2025'!$T409), 0, 1), 7, 0))), 1, "")</f>
        <v/>
      </c>
      <c r="V446" s="1" t="str">
        <f>IF(AND(AND(AND(V$4&gt;='2025'!$L409,V$4&lt;='2025'!$M409), V$4&lt;&gt;DATE(2025,7,4)), (SWITCH(weekday(V$4), 1, 0, 2, if(ISBLANK('2025'!$P409), 0, 1), 3, if(ISBLANK('2025'!$Q409), 0, 1), 4, if(ISBLANK('2025'!$R409), 0, 1), 5, if(ISBLANK('2025'!$S409), 0, 1), 6, if(ISBLANK('2025'!$T409), 0, 1), 7, 0))), 1, "")</f>
        <v/>
      </c>
      <c r="W446" s="1" t="str">
        <f>IF(AND(AND(AND(W$4&gt;='2025'!$L409,W$4&lt;='2025'!$M409), W$4&lt;&gt;DATE(2025,7,4)), (SWITCH(weekday(W$4), 1, 0, 2, if(ISBLANK('2025'!$P409), 0, 1), 3, if(ISBLANK('2025'!$Q409), 0, 1), 4, if(ISBLANK('2025'!$R409), 0, 1), 5, if(ISBLANK('2025'!$S409), 0, 1), 6, if(ISBLANK('2025'!$T409), 0, 1), 7, 0))), 1, "")</f>
        <v/>
      </c>
      <c r="X446" s="1" t="str">
        <f>IF(AND(AND(AND(X$4&gt;='2025'!$L409,X$4&lt;='2025'!$M409), X$4&lt;&gt;DATE(2025,7,4)), (SWITCH(weekday(X$4), 1, 0, 2, if(ISBLANK('2025'!$P409), 0, 1), 3, if(ISBLANK('2025'!$Q409), 0, 1), 4, if(ISBLANK('2025'!$R409), 0, 1), 5, if(ISBLANK('2025'!$S409), 0, 1), 6, if(ISBLANK('2025'!$T409), 0, 1), 7, 0))), 1, "")</f>
        <v/>
      </c>
      <c r="Y446" s="1" t="str">
        <f>IF(AND(AND(AND(Y$4&gt;='2025'!$L409,Y$4&lt;='2025'!$M409), Y$4&lt;&gt;DATE(2025,7,4)), (SWITCH(weekday(Y$4), 1, 0, 2, if(ISBLANK('2025'!$P409), 0, 1), 3, if(ISBLANK('2025'!$Q409), 0, 1), 4, if(ISBLANK('2025'!$R409), 0, 1), 5, if(ISBLANK('2025'!$S409), 0, 1), 6, if(ISBLANK('2025'!$T409), 0, 1), 7, 0))), 1, "")</f>
        <v/>
      </c>
      <c r="Z446" s="1" t="str">
        <f>IF(AND(AND(AND(Z$4&gt;='2025'!$L409,Z$4&lt;='2025'!$M409), Z$4&lt;&gt;DATE(2025,7,4)), (SWITCH(weekday(Z$4), 1, 0, 2, if(ISBLANK('2025'!$P409), 0, 1), 3, if(ISBLANK('2025'!$Q409), 0, 1), 4, if(ISBLANK('2025'!$R409), 0, 1), 5, if(ISBLANK('2025'!$S409), 0, 1), 6, if(ISBLANK('2025'!$T409), 0, 1), 7, 0))), 1, "")</f>
        <v/>
      </c>
      <c r="AA446" s="1" t="str">
        <f>IF(AND(AND(AND(AA$4&gt;='2025'!$L409,AA$4&lt;='2025'!$M409), AA$4&lt;&gt;DATE(2025,7,4)), (SWITCH(weekday(AA$4), 1, 0, 2, if(ISBLANK('2025'!$P409), 0, 1), 3, if(ISBLANK('2025'!$Q409), 0, 1), 4, if(ISBLANK('2025'!$R409), 0, 1), 5, if(ISBLANK('2025'!$S409), 0, 1), 6, if(ISBLANK('2025'!$T409), 0, 1), 7, 0))), 1, "")</f>
        <v/>
      </c>
      <c r="AB446" s="1" t="str">
        <f>IF(AND(AND(AND(AB$4&gt;='2025'!$L409,AB$4&lt;='2025'!$M409), AB$4&lt;&gt;DATE(2025,7,4)), (SWITCH(weekday(AB$4), 1, 0, 2, if(ISBLANK('2025'!$P409), 0, 1), 3, if(ISBLANK('2025'!$Q409), 0, 1), 4, if(ISBLANK('2025'!$R409), 0, 1), 5, if(ISBLANK('2025'!$S409), 0, 1), 6, if(ISBLANK('2025'!$T409), 0, 1), 7, 0))), 1, "")</f>
        <v/>
      </c>
      <c r="AC446" s="1" t="str">
        <f>IF(AND(AND(AND(AC$4&gt;='2025'!$L409,AC$4&lt;='2025'!$M409), AC$4&lt;&gt;DATE(2025,7,4)), (SWITCH(weekday(AC$4), 1, 0, 2, if(ISBLANK('2025'!$P409), 0, 1), 3, if(ISBLANK('2025'!$Q409), 0, 1), 4, if(ISBLANK('2025'!$R409), 0, 1), 5, if(ISBLANK('2025'!$S409), 0, 1), 6, if(ISBLANK('2025'!$T409), 0, 1), 7, 0))), 1, "")</f>
        <v/>
      </c>
      <c r="AD446" s="1" t="str">
        <f>IF(AND(AND(AND(AD$4&gt;='2025'!$L409,AD$4&lt;='2025'!$M409), AD$4&lt;&gt;DATE(2025,7,4)), (SWITCH(weekday(AD$4), 1, 0, 2, if(ISBLANK('2025'!$P409), 0, 1), 3, if(ISBLANK('2025'!$Q409), 0, 1), 4, if(ISBLANK('2025'!$R409), 0, 1), 5, if(ISBLANK('2025'!$S409), 0, 1), 6, if(ISBLANK('2025'!$T409), 0, 1), 7, 0))), 1, "")</f>
        <v/>
      </c>
      <c r="AE446" s="1" t="str">
        <f>IF(AND(AND(AND(AE$4&gt;='2025'!$L409,AE$4&lt;='2025'!$M409), AE$4&lt;&gt;DATE(2025,7,4)), (SWITCH(weekday(AE$4), 1, 0, 2, if(ISBLANK('2025'!$P409), 0, 1), 3, if(ISBLANK('2025'!$Q409), 0, 1), 4, if(ISBLANK('2025'!$R409), 0, 1), 5, if(ISBLANK('2025'!$S409), 0, 1), 6, if(ISBLANK('2025'!$T409), 0, 1), 7, 0))), 1, "")</f>
        <v/>
      </c>
      <c r="AF446" s="1" t="str">
        <f>IF(AND(AND(AND(AF$4&gt;='2025'!$L409,AF$4&lt;='2025'!$M409), AF$4&lt;&gt;DATE(2025,7,4)), (SWITCH(weekday(AF$4), 1, 0, 2, if(ISBLANK('2025'!$P409), 0, 1), 3, if(ISBLANK('2025'!$Q409), 0, 1), 4, if(ISBLANK('2025'!$R409), 0, 1), 5, if(ISBLANK('2025'!$S409), 0, 1), 6, if(ISBLANK('2025'!$T409), 0, 1), 7, 0))), 1, "")</f>
        <v/>
      </c>
      <c r="AG446" s="1" t="str">
        <f>IF(AND(AND(AND(AG$4&gt;='2025'!$L409,AG$4&lt;='2025'!$M409), AG$4&lt;&gt;DATE(2025,7,4)), (SWITCH(weekday(AG$4), 1, 0, 2, if(ISBLANK('2025'!$P409), 0, 1), 3, if(ISBLANK('2025'!$Q409), 0, 1), 4, if(ISBLANK('2025'!$R409), 0, 1), 5, if(ISBLANK('2025'!$S409), 0, 1), 6, if(ISBLANK('2025'!$T409), 0, 1), 7, 0))), 1, "")</f>
        <v/>
      </c>
      <c r="AH446" s="1" t="str">
        <f>IF(AND(AND(AND(AH$4&gt;='2025'!$L409,AH$4&lt;='2025'!$M409), AH$4&lt;&gt;DATE(2025,7,4)), (SWITCH(weekday(AH$4), 1, 0, 2, if(ISBLANK('2025'!$P409), 0, 1), 3, if(ISBLANK('2025'!$Q409), 0, 1), 4, if(ISBLANK('2025'!$R409), 0, 1), 5, if(ISBLANK('2025'!$S409), 0, 1), 6, if(ISBLANK('2025'!$T409), 0, 1), 7, 0))), 1, "")</f>
        <v/>
      </c>
      <c r="AI446" s="1" t="str">
        <f>IF(AND(AND(AND(AI$4&gt;='2025'!$L409,AI$4&lt;='2025'!$M409), AI$4&lt;&gt;DATE(2025,7,4)), (SWITCH(weekday(AI$4), 1, 0, 2, if(ISBLANK('2025'!$P409), 0, 1), 3, if(ISBLANK('2025'!$Q409), 0, 1), 4, if(ISBLANK('2025'!$R409), 0, 1), 5, if(ISBLANK('2025'!$S409), 0, 1), 6, if(ISBLANK('2025'!$T409), 0, 1), 7, 0))), 1, "")</f>
        <v/>
      </c>
      <c r="AJ446" s="1" t="str">
        <f>IF(AND(AND(AND(AJ$4&gt;='2025'!$L409,AJ$4&lt;='2025'!$M409), AJ$4&lt;&gt;DATE(2025,7,4)), (SWITCH(weekday(AJ$4), 1, 0, 2, if(ISBLANK('2025'!$P409), 0, 1), 3, if(ISBLANK('2025'!$Q409), 0, 1), 4, if(ISBLANK('2025'!$R409), 0, 1), 5, if(ISBLANK('2025'!$S409), 0, 1), 6, if(ISBLANK('2025'!$T409), 0, 1), 7, 0))), 1, "")</f>
        <v/>
      </c>
      <c r="AK446" s="1" t="str">
        <f>IF(AND(AND(AND(AK$4&gt;='2025'!$L409,AK$4&lt;='2025'!$M409), AK$4&lt;&gt;DATE(2025,7,4)), (SWITCH(weekday(AK$4), 1, 0, 2, if(ISBLANK('2025'!$P409), 0, 1), 3, if(ISBLANK('2025'!$Q409), 0, 1), 4, if(ISBLANK('2025'!$R409), 0, 1), 5, if(ISBLANK('2025'!$S409), 0, 1), 6, if(ISBLANK('2025'!$T409), 0, 1), 7, 0))), 1, "")</f>
        <v/>
      </c>
      <c r="AL446" s="1" t="str">
        <f>IF(AND(AND(AND(AL$4&gt;='2025'!$L409,AL$4&lt;='2025'!$M409), AL$4&lt;&gt;DATE(2025,7,4)), (SWITCH(weekday(AL$4), 1, 0, 2, if(ISBLANK('2025'!$P409), 0, 1), 3, if(ISBLANK('2025'!$Q409), 0, 1), 4, if(ISBLANK('2025'!$R409), 0, 1), 5, if(ISBLANK('2025'!$S409), 0, 1), 6, if(ISBLANK('2025'!$T409), 0, 1), 7, 0))), 1, "")</f>
        <v/>
      </c>
      <c r="AM446" s="1" t="str">
        <f>IF(AND(AND(AND(AM$4&gt;='2025'!$L409,AM$4&lt;='2025'!$M409), AM$4&lt;&gt;DATE(2025,7,4)), (SWITCH(weekday(AM$4), 1, 0, 2, if(ISBLANK('2025'!$P409), 0, 1), 3, if(ISBLANK('2025'!$Q409), 0, 1), 4, if(ISBLANK('2025'!$R409), 0, 1), 5, if(ISBLANK('2025'!$S409), 0, 1), 6, if(ISBLANK('2025'!$T409), 0, 1), 7, 0))), 1, "")</f>
        <v/>
      </c>
      <c r="AN446" s="1" t="str">
        <f>IF(AND(AND(AND(AN$4&gt;='2025'!$L409,AN$4&lt;='2025'!$M409), AN$4&lt;&gt;DATE(2025,7,4)), (SWITCH(weekday(AN$4), 1, 0, 2, if(ISBLANK('2025'!$P409), 0, 1), 3, if(ISBLANK('2025'!$Q409), 0, 1), 4, if(ISBLANK('2025'!$R409), 0, 1), 5, if(ISBLANK('2025'!$S409), 0, 1), 6, if(ISBLANK('2025'!$T409), 0, 1), 7, 0))), 1, "")</f>
        <v/>
      </c>
      <c r="AO446" s="1" t="str">
        <f>IF(AND(AND(AND(AO$4&gt;='2025'!$L409,AO$4&lt;='2025'!$M409), AO$4&lt;&gt;DATE(2025,7,4)), (SWITCH(weekday(AO$4), 1, 0, 2, if(ISBLANK('2025'!$P409), 0, 1), 3, if(ISBLANK('2025'!$Q409), 0, 1), 4, if(ISBLANK('2025'!$R409), 0, 1), 5, if(ISBLANK('2025'!$S409), 0, 1), 6, if(ISBLANK('2025'!$T409), 0, 1), 7, 0))), 1, "")</f>
        <v/>
      </c>
      <c r="AP446" s="1" t="str">
        <f>IF(AND(AND(AND(AP$4&gt;='2025'!$L409,AP$4&lt;='2025'!$M409), AP$4&lt;&gt;DATE(2025,7,4)), (SWITCH(weekday(AP$4), 1, 0, 2, if(ISBLANK('2025'!$P409), 0, 1), 3, if(ISBLANK('2025'!$Q409), 0, 1), 4, if(ISBLANK('2025'!$R409), 0, 1), 5, if(ISBLANK('2025'!$S409), 0, 1), 6, if(ISBLANK('2025'!$T409), 0, 1), 7, 0))), 1, "")</f>
        <v/>
      </c>
      <c r="AQ446" s="1" t="str">
        <f>IF(AND(AND(AND(AQ$4&gt;='2025'!$L409,AQ$4&lt;='2025'!$M409), AQ$4&lt;&gt;DATE(2025,7,4)), (SWITCH(weekday(AQ$4), 1, 0, 2, if(ISBLANK('2025'!$P409), 0, 1), 3, if(ISBLANK('2025'!$Q409), 0, 1), 4, if(ISBLANK('2025'!$R409), 0, 1), 5, if(ISBLANK('2025'!$S409), 0, 1), 6, if(ISBLANK('2025'!$T409), 0, 1), 7, 0))), 1, "")</f>
        <v/>
      </c>
      <c r="AR446" s="1" t="str">
        <f>IF(AND(AND(AND(AR$4&gt;='2025'!$L409,AR$4&lt;='2025'!$M409), AR$4&lt;&gt;DATE(2025,7,4)), (SWITCH(weekday(AR$4), 1, 0, 2, if(ISBLANK('2025'!$P409), 0, 1), 3, if(ISBLANK('2025'!$Q409), 0, 1), 4, if(ISBLANK('2025'!$R409), 0, 1), 5, if(ISBLANK('2025'!$S409), 0, 1), 6, if(ISBLANK('2025'!$T409), 0, 1), 7, 0))), 1, "")</f>
        <v/>
      </c>
      <c r="AS446" s="1" t="str">
        <f>IF(AND(AND(AND(AS$4&gt;='2025'!$L409,AS$4&lt;='2025'!$M409), AS$4&lt;&gt;DATE(2025,7,4)), (SWITCH(weekday(AS$4), 1, 0, 2, if(ISBLANK('2025'!$P409), 0, 1), 3, if(ISBLANK('2025'!$Q409), 0, 1), 4, if(ISBLANK('2025'!$R409), 0, 1), 5, if(ISBLANK('2025'!$S409), 0, 1), 6, if(ISBLANK('2025'!$T409), 0, 1), 7, 0))), 1, "")</f>
        <v/>
      </c>
      <c r="AT446" s="1" t="str">
        <f>IF(AND(AND(AND(AT$4&gt;='2025'!$L409,AT$4&lt;='2025'!$M409), AT$4&lt;&gt;DATE(2025,7,4)), (SWITCH(weekday(AT$4), 1, 0, 2, if(ISBLANK('2025'!$P409), 0, 1), 3, if(ISBLANK('2025'!$Q409), 0, 1), 4, if(ISBLANK('2025'!$R409), 0, 1), 5, if(ISBLANK('2025'!$S409), 0, 1), 6, if(ISBLANK('2025'!$T409), 0, 1), 7, 0))), 1, "")</f>
        <v/>
      </c>
      <c r="AU446" s="1" t="str">
        <f>IF(AND(AND(AND(AU$4&gt;='2025'!$L409,AU$4&lt;='2025'!$M409), AU$4&lt;&gt;DATE(2025,7,4)), (SWITCH(weekday(AU$4), 1, 0, 2, if(ISBLANK('2025'!$P409), 0, 1), 3, if(ISBLANK('2025'!$Q409), 0, 1), 4, if(ISBLANK('2025'!$R409), 0, 1), 5, if(ISBLANK('2025'!$S409), 0, 1), 6, if(ISBLANK('2025'!$T409), 0, 1), 7, 0))), 1, "")</f>
        <v/>
      </c>
      <c r="AV446" s="1" t="str">
        <f>IF(AND(AND(AND(AV$4&gt;='2025'!$L409,AV$4&lt;='2025'!$M409), AV$4&lt;&gt;DATE(2025,7,4)), (SWITCH(weekday(AV$4), 1, 0, 2, if(ISBLANK('2025'!$P409), 0, 1), 3, if(ISBLANK('2025'!$Q409), 0, 1), 4, if(ISBLANK('2025'!$R409), 0, 1), 5, if(ISBLANK('2025'!$S409), 0, 1), 6, if(ISBLANK('2025'!$T409), 0, 1), 7, 0))), 1, "")</f>
        <v/>
      </c>
      <c r="AW446" s="1" t="str">
        <f>IF(AND(AND(AND(AW$4&gt;='2025'!$L409,AW$4&lt;='2025'!$M409), AW$4&lt;&gt;DATE(2025,7,4)), (SWITCH(weekday(AW$4), 1, 0, 2, if(ISBLANK('2025'!$P409), 0, 1), 3, if(ISBLANK('2025'!$Q409), 0, 1), 4, if(ISBLANK('2025'!$R409), 0, 1), 5, if(ISBLANK('2025'!$S409), 0, 1), 6, if(ISBLANK('2025'!$T409), 0, 1), 7, 0))), 1, "")</f>
        <v/>
      </c>
      <c r="AX446" s="1" t="str">
        <f>IF(AND(AND(AND(AX$4&gt;='2025'!$L409,AX$4&lt;='2025'!$M409), AX$4&lt;&gt;DATE(2025,7,4)), (SWITCH(weekday(AX$4), 1, 0, 2, if(ISBLANK('2025'!$P409), 0, 1), 3, if(ISBLANK('2025'!$Q409), 0, 1), 4, if(ISBLANK('2025'!$R409), 0, 1), 5, if(ISBLANK('2025'!$S409), 0, 1), 6, if(ISBLANK('2025'!$T409), 0, 1), 7, 0))), 1, "")</f>
        <v/>
      </c>
      <c r="AY446" s="1" t="str">
        <f>IF(AND(AND(AND(AY$4&gt;='2025'!$L409,AY$4&lt;='2025'!$M409), AY$4&lt;&gt;DATE(2025,7,4)), (SWITCH(weekday(AY$4), 1, 0, 2, if(ISBLANK('2025'!$P409), 0, 1), 3, if(ISBLANK('2025'!$Q409), 0, 1), 4, if(ISBLANK('2025'!$R409), 0, 1), 5, if(ISBLANK('2025'!$S409), 0, 1), 6, if(ISBLANK('2025'!$T409), 0, 1), 7, 0))), 1, "")</f>
        <v/>
      </c>
      <c r="AZ446" s="1" t="str">
        <f>IF(AND(AND(AND(AZ$4&gt;='2025'!$L409,AZ$4&lt;='2025'!$M409), AZ$4&lt;&gt;DATE(2025,7,4)), (SWITCH(weekday(AZ$4), 1, 0, 2, if(ISBLANK('2025'!$P409), 0, 1), 3, if(ISBLANK('2025'!$Q409), 0, 1), 4, if(ISBLANK('2025'!$R409), 0, 1), 5, if(ISBLANK('2025'!$S409), 0, 1), 6, if(ISBLANK('2025'!$T409), 0, 1), 7, 0))), 1, "")</f>
        <v/>
      </c>
      <c r="BA446" s="1" t="str">
        <f>IF(AND(AND(AND(BA$4&gt;='2025'!$L409,BA$4&lt;='2025'!$M409), BA$4&lt;&gt;DATE(2025,7,4)), (SWITCH(weekday(BA$4), 1, 0, 2, if(ISBLANK('2025'!$P409), 0, 1), 3, if(ISBLANK('2025'!$Q409), 0, 1), 4, if(ISBLANK('2025'!$R409), 0, 1), 5, if(ISBLANK('2025'!$S409), 0, 1), 6, if(ISBLANK('2025'!$T409), 0, 1), 7, 0))), 1, "")</f>
        <v/>
      </c>
      <c r="BB446" s="1" t="str">
        <f>IF(AND(AND(AND(BB$4&gt;='2025'!$L409,BB$4&lt;='2025'!$M409), BB$4&lt;&gt;DATE(2025,7,4)), (SWITCH(weekday(BB$4), 1, 0, 2, if(ISBLANK('2025'!$P409), 0, 1), 3, if(ISBLANK('2025'!$Q409), 0, 1), 4, if(ISBLANK('2025'!$R409), 0, 1), 5, if(ISBLANK('2025'!$S409), 0, 1), 6, if(ISBLANK('2025'!$T409), 0, 1), 7, 0))), 1, "")</f>
        <v/>
      </c>
      <c r="BC446" s="1" t="str">
        <f>IF(AND(AND(AND(BC$4&gt;='2025'!$L409,BC$4&lt;='2025'!$M409), BC$4&lt;&gt;DATE(2025,7,4)), (SWITCH(weekday(BC$4), 1, 0, 2, if(ISBLANK('2025'!$P409), 0, 1), 3, if(ISBLANK('2025'!$Q409), 0, 1), 4, if(ISBLANK('2025'!$R409), 0, 1), 5, if(ISBLANK('2025'!$S409), 0, 1), 6, if(ISBLANK('2025'!$T409), 0, 1), 7, 0))), 1, "")</f>
        <v/>
      </c>
      <c r="BD446" s="1" t="str">
        <f>IF(AND(AND(AND(BD$4&gt;='2025'!$L409,BD$4&lt;='2025'!$M409), BD$4&lt;&gt;DATE(2025,7,4)), (SWITCH(weekday(BD$4), 1, 0, 2, if(ISBLANK('2025'!$P409), 0, 1), 3, if(ISBLANK('2025'!$Q409), 0, 1), 4, if(ISBLANK('2025'!$R409), 0, 1), 5, if(ISBLANK('2025'!$S409), 0, 1), 6, if(ISBLANK('2025'!$T409), 0, 1), 7, 0))), 1, "")</f>
        <v/>
      </c>
      <c r="BE446" s="1" t="str">
        <f>IF(AND(AND(AND(BE$4&gt;='2025'!$L409,BE$4&lt;='2025'!$M409), BE$4&lt;&gt;DATE(2025,7,4)), (SWITCH(weekday(BE$4), 1, 0, 2, if(ISBLANK('2025'!$P409), 0, 1), 3, if(ISBLANK('2025'!$Q409), 0, 1), 4, if(ISBLANK('2025'!$R409), 0, 1), 5, if(ISBLANK('2025'!$S409), 0, 1), 6, if(ISBLANK('2025'!$T409), 0, 1), 7, 0))), 1, "")</f>
        <v/>
      </c>
    </row>
    <row r="447">
      <c r="A447" s="1">
        <f t="shared" si="3"/>
        <v>447</v>
      </c>
      <c r="B447" s="1" t="str">
        <f>'2025'!D410</f>
        <v/>
      </c>
      <c r="C447" s="1" t="str">
        <f>'2025'!H410</f>
        <v/>
      </c>
      <c r="D447" s="1" t="str">
        <f>IF(AND(AND(AND(D$4&gt;='2025'!$L410,D$4&lt;='2025'!$M410), D$4&lt;&gt;DATE(2025,7,4)), (SWITCH(weekday(D$4), 1, 0, 2, if(ISBLANK('2025'!$P410), 0, 1), 3, if(ISBLANK('2025'!$Q410), 0, 1), 4, if(ISBLANK('2025'!$R410), 0, 1), 5, if(ISBLANK('2025'!$S410), 0, 1), 6, if(ISBLANK('2025'!$T410), 0, 1), 7, 0))), 1, "")</f>
        <v/>
      </c>
      <c r="E447" s="1" t="str">
        <f>IF(AND(AND(AND(E$4&gt;='2025'!$L410,E$4&lt;='2025'!$M410), E$4&lt;&gt;DATE(2025,7,4)), (SWITCH(weekday(E$4), 1, 0, 2, if(ISBLANK('2025'!$P410), 0, 1), 3, if(ISBLANK('2025'!$Q410), 0, 1), 4, if(ISBLANK('2025'!$R410), 0, 1), 5, if(ISBLANK('2025'!$S410), 0, 1), 6, if(ISBLANK('2025'!$T410), 0, 1), 7, 0))), 1, "")</f>
        <v/>
      </c>
      <c r="F447" s="1" t="str">
        <f>IF(AND(AND(AND(F$4&gt;='2025'!$L410,F$4&lt;='2025'!$M410), F$4&lt;&gt;DATE(2025,7,4)), (SWITCH(weekday(F$4), 1, 0, 2, if(ISBLANK('2025'!$P410), 0, 1), 3, if(ISBLANK('2025'!$Q410), 0, 1), 4, if(ISBLANK('2025'!$R410), 0, 1), 5, if(ISBLANK('2025'!$S410), 0, 1), 6, if(ISBLANK('2025'!$T410), 0, 1), 7, 0))), 1, "")</f>
        <v/>
      </c>
      <c r="G447" s="1" t="str">
        <f>IF(AND(AND(AND(G$4&gt;='2025'!$L410,G$4&lt;='2025'!$M410), G$4&lt;&gt;DATE(2025,7,4)), (SWITCH(weekday(G$4), 1, 0, 2, if(ISBLANK('2025'!$P410), 0, 1), 3, if(ISBLANK('2025'!$Q410), 0, 1), 4, if(ISBLANK('2025'!$R410), 0, 1), 5, if(ISBLANK('2025'!$S410), 0, 1), 6, if(ISBLANK('2025'!$T410), 0, 1), 7, 0))), 1, "")</f>
        <v/>
      </c>
      <c r="H447" s="1" t="str">
        <f>IF(AND(AND(AND(H$4&gt;='2025'!$L410,H$4&lt;='2025'!$M410), H$4&lt;&gt;DATE(2025,7,4)), (SWITCH(weekday(H$4), 1, 0, 2, if(ISBLANK('2025'!$P410), 0, 1), 3, if(ISBLANK('2025'!$Q410), 0, 1), 4, if(ISBLANK('2025'!$R410), 0, 1), 5, if(ISBLANK('2025'!$S410), 0, 1), 6, if(ISBLANK('2025'!$T410), 0, 1), 7, 0))), 1, "")</f>
        <v/>
      </c>
      <c r="I447" s="1" t="str">
        <f>IF(AND(AND(AND(I$4&gt;='2025'!$L410,I$4&lt;='2025'!$M410), I$4&lt;&gt;DATE(2025,7,4)), (SWITCH(weekday(I$4), 1, 0, 2, if(ISBLANK('2025'!$P410), 0, 1), 3, if(ISBLANK('2025'!$Q410), 0, 1), 4, if(ISBLANK('2025'!$R410), 0, 1), 5, if(ISBLANK('2025'!$S410), 0, 1), 6, if(ISBLANK('2025'!$T410), 0, 1), 7, 0))), 1, "")</f>
        <v/>
      </c>
      <c r="J447" s="1" t="str">
        <f>IF(AND(AND(AND(J$4&gt;='2025'!$L410,J$4&lt;='2025'!$M410), J$4&lt;&gt;DATE(2025,7,4)), (SWITCH(weekday(J$4), 1, 0, 2, if(ISBLANK('2025'!$P410), 0, 1), 3, if(ISBLANK('2025'!$Q410), 0, 1), 4, if(ISBLANK('2025'!$R410), 0, 1), 5, if(ISBLANK('2025'!$S410), 0, 1), 6, if(ISBLANK('2025'!$T410), 0, 1), 7, 0))), 1, "")</f>
        <v/>
      </c>
      <c r="K447" s="1" t="str">
        <f>IF(AND(AND(AND(K$4&gt;='2025'!$L410,K$4&lt;='2025'!$M410), K$4&lt;&gt;DATE(2025,7,4)), (SWITCH(weekday(K$4), 1, 0, 2, if(ISBLANK('2025'!$P410), 0, 1), 3, if(ISBLANK('2025'!$Q410), 0, 1), 4, if(ISBLANK('2025'!$R410), 0, 1), 5, if(ISBLANK('2025'!$S410), 0, 1), 6, if(ISBLANK('2025'!$T410), 0, 1), 7, 0))), 1, "")</f>
        <v/>
      </c>
      <c r="L447" s="1" t="str">
        <f>IF(AND(AND(AND(L$4&gt;='2025'!$L410,L$4&lt;='2025'!$M410), L$4&lt;&gt;DATE(2025,7,4)), (SWITCH(weekday(L$4), 1, 0, 2, if(ISBLANK('2025'!$P410), 0, 1), 3, if(ISBLANK('2025'!$Q410), 0, 1), 4, if(ISBLANK('2025'!$R410), 0, 1), 5, if(ISBLANK('2025'!$S410), 0, 1), 6, if(ISBLANK('2025'!$T410), 0, 1), 7, 0))), 1, "")</f>
        <v/>
      </c>
      <c r="M447" s="1" t="str">
        <f>IF(AND(AND(AND(M$4&gt;='2025'!$L410,M$4&lt;='2025'!$M410), M$4&lt;&gt;DATE(2025,7,4)), (SWITCH(weekday(M$4), 1, 0, 2, if(ISBLANK('2025'!$P410), 0, 1), 3, if(ISBLANK('2025'!$Q410), 0, 1), 4, if(ISBLANK('2025'!$R410), 0, 1), 5, if(ISBLANK('2025'!$S410), 0, 1), 6, if(ISBLANK('2025'!$T410), 0, 1), 7, 0))), 1, "")</f>
        <v/>
      </c>
      <c r="N447" s="1" t="str">
        <f>IF(AND(AND(AND(N$4&gt;='2025'!$L410,N$4&lt;='2025'!$M410), N$4&lt;&gt;DATE(2025,7,4)), (SWITCH(weekday(N$4), 1, 0, 2, if(ISBLANK('2025'!$P410), 0, 1), 3, if(ISBLANK('2025'!$Q410), 0, 1), 4, if(ISBLANK('2025'!$R410), 0, 1), 5, if(ISBLANK('2025'!$S410), 0, 1), 6, if(ISBLANK('2025'!$T410), 0, 1), 7, 0))), 1, "")</f>
        <v/>
      </c>
      <c r="O447" s="1" t="str">
        <f>IF(AND(AND(AND(O$4&gt;='2025'!$L410,O$4&lt;='2025'!$M410), O$4&lt;&gt;DATE(2025,7,4)), (SWITCH(weekday(O$4), 1, 0, 2, if(ISBLANK('2025'!$P410), 0, 1), 3, if(ISBLANK('2025'!$Q410), 0, 1), 4, if(ISBLANK('2025'!$R410), 0, 1), 5, if(ISBLANK('2025'!$S410), 0, 1), 6, if(ISBLANK('2025'!$T410), 0, 1), 7, 0))), 1, "")</f>
        <v/>
      </c>
      <c r="P447" s="1" t="str">
        <f>IF(AND(AND(AND(P$4&gt;='2025'!$L410,P$4&lt;='2025'!$M410), P$4&lt;&gt;DATE(2025,7,4)), (SWITCH(weekday(P$4), 1, 0, 2, if(ISBLANK('2025'!$P410), 0, 1), 3, if(ISBLANK('2025'!$Q410), 0, 1), 4, if(ISBLANK('2025'!$R410), 0, 1), 5, if(ISBLANK('2025'!$S410), 0, 1), 6, if(ISBLANK('2025'!$T410), 0, 1), 7, 0))), 1, "")</f>
        <v/>
      </c>
      <c r="Q447" s="1" t="str">
        <f>IF(AND(AND(AND(Q$4&gt;='2025'!$L410,Q$4&lt;='2025'!$M410), Q$4&lt;&gt;DATE(2025,7,4)), (SWITCH(weekday(Q$4), 1, 0, 2, if(ISBLANK('2025'!$P410), 0, 1), 3, if(ISBLANK('2025'!$Q410), 0, 1), 4, if(ISBLANK('2025'!$R410), 0, 1), 5, if(ISBLANK('2025'!$S410), 0, 1), 6, if(ISBLANK('2025'!$T410), 0, 1), 7, 0))), 1, "")</f>
        <v/>
      </c>
      <c r="R447" s="1" t="str">
        <f>IF(AND(AND(AND(R$4&gt;='2025'!$L410,R$4&lt;='2025'!$M410), R$4&lt;&gt;DATE(2025,7,4)), (SWITCH(weekday(R$4), 1, 0, 2, if(ISBLANK('2025'!$P410), 0, 1), 3, if(ISBLANK('2025'!$Q410), 0, 1), 4, if(ISBLANK('2025'!$R410), 0, 1), 5, if(ISBLANK('2025'!$S410), 0, 1), 6, if(ISBLANK('2025'!$T410), 0, 1), 7, 0))), 1, "")</f>
        <v/>
      </c>
      <c r="S447" s="1" t="str">
        <f>IF(AND(AND(AND(S$4&gt;='2025'!$L410,S$4&lt;='2025'!$M410), S$4&lt;&gt;DATE(2025,7,4)), (SWITCH(weekday(S$4), 1, 0, 2, if(ISBLANK('2025'!$P410), 0, 1), 3, if(ISBLANK('2025'!$Q410), 0, 1), 4, if(ISBLANK('2025'!$R410), 0, 1), 5, if(ISBLANK('2025'!$S410), 0, 1), 6, if(ISBLANK('2025'!$T410), 0, 1), 7, 0))), 1, "")</f>
        <v/>
      </c>
      <c r="T447" s="1" t="str">
        <f>IF(AND(AND(AND(T$4&gt;='2025'!$L410,T$4&lt;='2025'!$M410), T$4&lt;&gt;DATE(2025,7,4)), (SWITCH(weekday(T$4), 1, 0, 2, if(ISBLANK('2025'!$P410), 0, 1), 3, if(ISBLANK('2025'!$Q410), 0, 1), 4, if(ISBLANK('2025'!$R410), 0, 1), 5, if(ISBLANK('2025'!$S410), 0, 1), 6, if(ISBLANK('2025'!$T410), 0, 1), 7, 0))), 1, "")</f>
        <v/>
      </c>
      <c r="U447" s="1" t="str">
        <f>IF(AND(AND(AND(U$4&gt;='2025'!$L410,U$4&lt;='2025'!$M410), U$4&lt;&gt;DATE(2025,7,4)), (SWITCH(weekday(U$4), 1, 0, 2, if(ISBLANK('2025'!$P410), 0, 1), 3, if(ISBLANK('2025'!$Q410), 0, 1), 4, if(ISBLANK('2025'!$R410), 0, 1), 5, if(ISBLANK('2025'!$S410), 0, 1), 6, if(ISBLANK('2025'!$T410), 0, 1), 7, 0))), 1, "")</f>
        <v/>
      </c>
      <c r="V447" s="1" t="str">
        <f>IF(AND(AND(AND(V$4&gt;='2025'!$L410,V$4&lt;='2025'!$M410), V$4&lt;&gt;DATE(2025,7,4)), (SWITCH(weekday(V$4), 1, 0, 2, if(ISBLANK('2025'!$P410), 0, 1), 3, if(ISBLANK('2025'!$Q410), 0, 1), 4, if(ISBLANK('2025'!$R410), 0, 1), 5, if(ISBLANK('2025'!$S410), 0, 1), 6, if(ISBLANK('2025'!$T410), 0, 1), 7, 0))), 1, "")</f>
        <v/>
      </c>
      <c r="W447" s="1" t="str">
        <f>IF(AND(AND(AND(W$4&gt;='2025'!$L410,W$4&lt;='2025'!$M410), W$4&lt;&gt;DATE(2025,7,4)), (SWITCH(weekday(W$4), 1, 0, 2, if(ISBLANK('2025'!$P410), 0, 1), 3, if(ISBLANK('2025'!$Q410), 0, 1), 4, if(ISBLANK('2025'!$R410), 0, 1), 5, if(ISBLANK('2025'!$S410), 0, 1), 6, if(ISBLANK('2025'!$T410), 0, 1), 7, 0))), 1, "")</f>
        <v/>
      </c>
      <c r="X447" s="1" t="str">
        <f>IF(AND(AND(AND(X$4&gt;='2025'!$L410,X$4&lt;='2025'!$M410), X$4&lt;&gt;DATE(2025,7,4)), (SWITCH(weekday(X$4), 1, 0, 2, if(ISBLANK('2025'!$P410), 0, 1), 3, if(ISBLANK('2025'!$Q410), 0, 1), 4, if(ISBLANK('2025'!$R410), 0, 1), 5, if(ISBLANK('2025'!$S410), 0, 1), 6, if(ISBLANK('2025'!$T410), 0, 1), 7, 0))), 1, "")</f>
        <v/>
      </c>
      <c r="Y447" s="1" t="str">
        <f>IF(AND(AND(AND(Y$4&gt;='2025'!$L410,Y$4&lt;='2025'!$M410), Y$4&lt;&gt;DATE(2025,7,4)), (SWITCH(weekday(Y$4), 1, 0, 2, if(ISBLANK('2025'!$P410), 0, 1), 3, if(ISBLANK('2025'!$Q410), 0, 1), 4, if(ISBLANK('2025'!$R410), 0, 1), 5, if(ISBLANK('2025'!$S410), 0, 1), 6, if(ISBLANK('2025'!$T410), 0, 1), 7, 0))), 1, "")</f>
        <v/>
      </c>
      <c r="Z447" s="1" t="str">
        <f>IF(AND(AND(AND(Z$4&gt;='2025'!$L410,Z$4&lt;='2025'!$M410), Z$4&lt;&gt;DATE(2025,7,4)), (SWITCH(weekday(Z$4), 1, 0, 2, if(ISBLANK('2025'!$P410), 0, 1), 3, if(ISBLANK('2025'!$Q410), 0, 1), 4, if(ISBLANK('2025'!$R410), 0, 1), 5, if(ISBLANK('2025'!$S410), 0, 1), 6, if(ISBLANK('2025'!$T410), 0, 1), 7, 0))), 1, "")</f>
        <v/>
      </c>
      <c r="AA447" s="1" t="str">
        <f>IF(AND(AND(AND(AA$4&gt;='2025'!$L410,AA$4&lt;='2025'!$M410), AA$4&lt;&gt;DATE(2025,7,4)), (SWITCH(weekday(AA$4), 1, 0, 2, if(ISBLANK('2025'!$P410), 0, 1), 3, if(ISBLANK('2025'!$Q410), 0, 1), 4, if(ISBLANK('2025'!$R410), 0, 1), 5, if(ISBLANK('2025'!$S410), 0, 1), 6, if(ISBLANK('2025'!$T410), 0, 1), 7, 0))), 1, "")</f>
        <v/>
      </c>
      <c r="AB447" s="1" t="str">
        <f>IF(AND(AND(AND(AB$4&gt;='2025'!$L410,AB$4&lt;='2025'!$M410), AB$4&lt;&gt;DATE(2025,7,4)), (SWITCH(weekday(AB$4), 1, 0, 2, if(ISBLANK('2025'!$P410), 0, 1), 3, if(ISBLANK('2025'!$Q410), 0, 1), 4, if(ISBLANK('2025'!$R410), 0, 1), 5, if(ISBLANK('2025'!$S410), 0, 1), 6, if(ISBLANK('2025'!$T410), 0, 1), 7, 0))), 1, "")</f>
        <v/>
      </c>
      <c r="AC447" s="1" t="str">
        <f>IF(AND(AND(AND(AC$4&gt;='2025'!$L410,AC$4&lt;='2025'!$M410), AC$4&lt;&gt;DATE(2025,7,4)), (SWITCH(weekday(AC$4), 1, 0, 2, if(ISBLANK('2025'!$P410), 0, 1), 3, if(ISBLANK('2025'!$Q410), 0, 1), 4, if(ISBLANK('2025'!$R410), 0, 1), 5, if(ISBLANK('2025'!$S410), 0, 1), 6, if(ISBLANK('2025'!$T410), 0, 1), 7, 0))), 1, "")</f>
        <v/>
      </c>
      <c r="AD447" s="1" t="str">
        <f>IF(AND(AND(AND(AD$4&gt;='2025'!$L410,AD$4&lt;='2025'!$M410), AD$4&lt;&gt;DATE(2025,7,4)), (SWITCH(weekday(AD$4), 1, 0, 2, if(ISBLANK('2025'!$P410), 0, 1), 3, if(ISBLANK('2025'!$Q410), 0, 1), 4, if(ISBLANK('2025'!$R410), 0, 1), 5, if(ISBLANK('2025'!$S410), 0, 1), 6, if(ISBLANK('2025'!$T410), 0, 1), 7, 0))), 1, "")</f>
        <v/>
      </c>
      <c r="AE447" s="1" t="str">
        <f>IF(AND(AND(AND(AE$4&gt;='2025'!$L410,AE$4&lt;='2025'!$M410), AE$4&lt;&gt;DATE(2025,7,4)), (SWITCH(weekday(AE$4), 1, 0, 2, if(ISBLANK('2025'!$P410), 0, 1), 3, if(ISBLANK('2025'!$Q410), 0, 1), 4, if(ISBLANK('2025'!$R410), 0, 1), 5, if(ISBLANK('2025'!$S410), 0, 1), 6, if(ISBLANK('2025'!$T410), 0, 1), 7, 0))), 1, "")</f>
        <v/>
      </c>
      <c r="AF447" s="1" t="str">
        <f>IF(AND(AND(AND(AF$4&gt;='2025'!$L410,AF$4&lt;='2025'!$M410), AF$4&lt;&gt;DATE(2025,7,4)), (SWITCH(weekday(AF$4), 1, 0, 2, if(ISBLANK('2025'!$P410), 0, 1), 3, if(ISBLANK('2025'!$Q410), 0, 1), 4, if(ISBLANK('2025'!$R410), 0, 1), 5, if(ISBLANK('2025'!$S410), 0, 1), 6, if(ISBLANK('2025'!$T410), 0, 1), 7, 0))), 1, "")</f>
        <v/>
      </c>
      <c r="AG447" s="1" t="str">
        <f>IF(AND(AND(AND(AG$4&gt;='2025'!$L410,AG$4&lt;='2025'!$M410), AG$4&lt;&gt;DATE(2025,7,4)), (SWITCH(weekday(AG$4), 1, 0, 2, if(ISBLANK('2025'!$P410), 0, 1), 3, if(ISBLANK('2025'!$Q410), 0, 1), 4, if(ISBLANK('2025'!$R410), 0, 1), 5, if(ISBLANK('2025'!$S410), 0, 1), 6, if(ISBLANK('2025'!$T410), 0, 1), 7, 0))), 1, "")</f>
        <v/>
      </c>
      <c r="AH447" s="1" t="str">
        <f>IF(AND(AND(AND(AH$4&gt;='2025'!$L410,AH$4&lt;='2025'!$M410), AH$4&lt;&gt;DATE(2025,7,4)), (SWITCH(weekday(AH$4), 1, 0, 2, if(ISBLANK('2025'!$P410), 0, 1), 3, if(ISBLANK('2025'!$Q410), 0, 1), 4, if(ISBLANK('2025'!$R410), 0, 1), 5, if(ISBLANK('2025'!$S410), 0, 1), 6, if(ISBLANK('2025'!$T410), 0, 1), 7, 0))), 1, "")</f>
        <v/>
      </c>
      <c r="AI447" s="1" t="str">
        <f>IF(AND(AND(AND(AI$4&gt;='2025'!$L410,AI$4&lt;='2025'!$M410), AI$4&lt;&gt;DATE(2025,7,4)), (SWITCH(weekday(AI$4), 1, 0, 2, if(ISBLANK('2025'!$P410), 0, 1), 3, if(ISBLANK('2025'!$Q410), 0, 1), 4, if(ISBLANK('2025'!$R410), 0, 1), 5, if(ISBLANK('2025'!$S410), 0, 1), 6, if(ISBLANK('2025'!$T410), 0, 1), 7, 0))), 1, "")</f>
        <v/>
      </c>
      <c r="AJ447" s="1" t="str">
        <f>IF(AND(AND(AND(AJ$4&gt;='2025'!$L410,AJ$4&lt;='2025'!$M410), AJ$4&lt;&gt;DATE(2025,7,4)), (SWITCH(weekday(AJ$4), 1, 0, 2, if(ISBLANK('2025'!$P410), 0, 1), 3, if(ISBLANK('2025'!$Q410), 0, 1), 4, if(ISBLANK('2025'!$R410), 0, 1), 5, if(ISBLANK('2025'!$S410), 0, 1), 6, if(ISBLANK('2025'!$T410), 0, 1), 7, 0))), 1, "")</f>
        <v/>
      </c>
      <c r="AK447" s="1" t="str">
        <f>IF(AND(AND(AND(AK$4&gt;='2025'!$L410,AK$4&lt;='2025'!$M410), AK$4&lt;&gt;DATE(2025,7,4)), (SWITCH(weekday(AK$4), 1, 0, 2, if(ISBLANK('2025'!$P410), 0, 1), 3, if(ISBLANK('2025'!$Q410), 0, 1), 4, if(ISBLANK('2025'!$R410), 0, 1), 5, if(ISBLANK('2025'!$S410), 0, 1), 6, if(ISBLANK('2025'!$T410), 0, 1), 7, 0))), 1, "")</f>
        <v/>
      </c>
      <c r="AL447" s="1" t="str">
        <f>IF(AND(AND(AND(AL$4&gt;='2025'!$L410,AL$4&lt;='2025'!$M410), AL$4&lt;&gt;DATE(2025,7,4)), (SWITCH(weekday(AL$4), 1, 0, 2, if(ISBLANK('2025'!$P410), 0, 1), 3, if(ISBLANK('2025'!$Q410), 0, 1), 4, if(ISBLANK('2025'!$R410), 0, 1), 5, if(ISBLANK('2025'!$S410), 0, 1), 6, if(ISBLANK('2025'!$T410), 0, 1), 7, 0))), 1, "")</f>
        <v/>
      </c>
      <c r="AM447" s="1" t="str">
        <f>IF(AND(AND(AND(AM$4&gt;='2025'!$L410,AM$4&lt;='2025'!$M410), AM$4&lt;&gt;DATE(2025,7,4)), (SWITCH(weekday(AM$4), 1, 0, 2, if(ISBLANK('2025'!$P410), 0, 1), 3, if(ISBLANK('2025'!$Q410), 0, 1), 4, if(ISBLANK('2025'!$R410), 0, 1), 5, if(ISBLANK('2025'!$S410), 0, 1), 6, if(ISBLANK('2025'!$T410), 0, 1), 7, 0))), 1, "")</f>
        <v/>
      </c>
      <c r="AN447" s="1" t="str">
        <f>IF(AND(AND(AND(AN$4&gt;='2025'!$L410,AN$4&lt;='2025'!$M410), AN$4&lt;&gt;DATE(2025,7,4)), (SWITCH(weekday(AN$4), 1, 0, 2, if(ISBLANK('2025'!$P410), 0, 1), 3, if(ISBLANK('2025'!$Q410), 0, 1), 4, if(ISBLANK('2025'!$R410), 0, 1), 5, if(ISBLANK('2025'!$S410), 0, 1), 6, if(ISBLANK('2025'!$T410), 0, 1), 7, 0))), 1, "")</f>
        <v/>
      </c>
      <c r="AO447" s="1" t="str">
        <f>IF(AND(AND(AND(AO$4&gt;='2025'!$L410,AO$4&lt;='2025'!$M410), AO$4&lt;&gt;DATE(2025,7,4)), (SWITCH(weekday(AO$4), 1, 0, 2, if(ISBLANK('2025'!$P410), 0, 1), 3, if(ISBLANK('2025'!$Q410), 0, 1), 4, if(ISBLANK('2025'!$R410), 0, 1), 5, if(ISBLANK('2025'!$S410), 0, 1), 6, if(ISBLANK('2025'!$T410), 0, 1), 7, 0))), 1, "")</f>
        <v/>
      </c>
      <c r="AP447" s="1" t="str">
        <f>IF(AND(AND(AND(AP$4&gt;='2025'!$L410,AP$4&lt;='2025'!$M410), AP$4&lt;&gt;DATE(2025,7,4)), (SWITCH(weekday(AP$4), 1, 0, 2, if(ISBLANK('2025'!$P410), 0, 1), 3, if(ISBLANK('2025'!$Q410), 0, 1), 4, if(ISBLANK('2025'!$R410), 0, 1), 5, if(ISBLANK('2025'!$S410), 0, 1), 6, if(ISBLANK('2025'!$T410), 0, 1), 7, 0))), 1, "")</f>
        <v/>
      </c>
      <c r="AQ447" s="1" t="str">
        <f>IF(AND(AND(AND(AQ$4&gt;='2025'!$L410,AQ$4&lt;='2025'!$M410), AQ$4&lt;&gt;DATE(2025,7,4)), (SWITCH(weekday(AQ$4), 1, 0, 2, if(ISBLANK('2025'!$P410), 0, 1), 3, if(ISBLANK('2025'!$Q410), 0, 1), 4, if(ISBLANK('2025'!$R410), 0, 1), 5, if(ISBLANK('2025'!$S410), 0, 1), 6, if(ISBLANK('2025'!$T410), 0, 1), 7, 0))), 1, "")</f>
        <v/>
      </c>
      <c r="AR447" s="1" t="str">
        <f>IF(AND(AND(AND(AR$4&gt;='2025'!$L410,AR$4&lt;='2025'!$M410), AR$4&lt;&gt;DATE(2025,7,4)), (SWITCH(weekday(AR$4), 1, 0, 2, if(ISBLANK('2025'!$P410), 0, 1), 3, if(ISBLANK('2025'!$Q410), 0, 1), 4, if(ISBLANK('2025'!$R410), 0, 1), 5, if(ISBLANK('2025'!$S410), 0, 1), 6, if(ISBLANK('2025'!$T410), 0, 1), 7, 0))), 1, "")</f>
        <v/>
      </c>
      <c r="AS447" s="1" t="str">
        <f>IF(AND(AND(AND(AS$4&gt;='2025'!$L410,AS$4&lt;='2025'!$M410), AS$4&lt;&gt;DATE(2025,7,4)), (SWITCH(weekday(AS$4), 1, 0, 2, if(ISBLANK('2025'!$P410), 0, 1), 3, if(ISBLANK('2025'!$Q410), 0, 1), 4, if(ISBLANK('2025'!$R410), 0, 1), 5, if(ISBLANK('2025'!$S410), 0, 1), 6, if(ISBLANK('2025'!$T410), 0, 1), 7, 0))), 1, "")</f>
        <v/>
      </c>
      <c r="AT447" s="1" t="str">
        <f>IF(AND(AND(AND(AT$4&gt;='2025'!$L410,AT$4&lt;='2025'!$M410), AT$4&lt;&gt;DATE(2025,7,4)), (SWITCH(weekday(AT$4), 1, 0, 2, if(ISBLANK('2025'!$P410), 0, 1), 3, if(ISBLANK('2025'!$Q410), 0, 1), 4, if(ISBLANK('2025'!$R410), 0, 1), 5, if(ISBLANK('2025'!$S410), 0, 1), 6, if(ISBLANK('2025'!$T410), 0, 1), 7, 0))), 1, "")</f>
        <v/>
      </c>
      <c r="AU447" s="1" t="str">
        <f>IF(AND(AND(AND(AU$4&gt;='2025'!$L410,AU$4&lt;='2025'!$M410), AU$4&lt;&gt;DATE(2025,7,4)), (SWITCH(weekday(AU$4), 1, 0, 2, if(ISBLANK('2025'!$P410), 0, 1), 3, if(ISBLANK('2025'!$Q410), 0, 1), 4, if(ISBLANK('2025'!$R410), 0, 1), 5, if(ISBLANK('2025'!$S410), 0, 1), 6, if(ISBLANK('2025'!$T410), 0, 1), 7, 0))), 1, "")</f>
        <v/>
      </c>
      <c r="AV447" s="1" t="str">
        <f>IF(AND(AND(AND(AV$4&gt;='2025'!$L410,AV$4&lt;='2025'!$M410), AV$4&lt;&gt;DATE(2025,7,4)), (SWITCH(weekday(AV$4), 1, 0, 2, if(ISBLANK('2025'!$P410), 0, 1), 3, if(ISBLANK('2025'!$Q410), 0, 1), 4, if(ISBLANK('2025'!$R410), 0, 1), 5, if(ISBLANK('2025'!$S410), 0, 1), 6, if(ISBLANK('2025'!$T410), 0, 1), 7, 0))), 1, "")</f>
        <v/>
      </c>
      <c r="AW447" s="1" t="str">
        <f>IF(AND(AND(AND(AW$4&gt;='2025'!$L410,AW$4&lt;='2025'!$M410), AW$4&lt;&gt;DATE(2025,7,4)), (SWITCH(weekday(AW$4), 1, 0, 2, if(ISBLANK('2025'!$P410), 0, 1), 3, if(ISBLANK('2025'!$Q410), 0, 1), 4, if(ISBLANK('2025'!$R410), 0, 1), 5, if(ISBLANK('2025'!$S410), 0, 1), 6, if(ISBLANK('2025'!$T410), 0, 1), 7, 0))), 1, "")</f>
        <v/>
      </c>
      <c r="AX447" s="1" t="str">
        <f>IF(AND(AND(AND(AX$4&gt;='2025'!$L410,AX$4&lt;='2025'!$M410), AX$4&lt;&gt;DATE(2025,7,4)), (SWITCH(weekday(AX$4), 1, 0, 2, if(ISBLANK('2025'!$P410), 0, 1), 3, if(ISBLANK('2025'!$Q410), 0, 1), 4, if(ISBLANK('2025'!$R410), 0, 1), 5, if(ISBLANK('2025'!$S410), 0, 1), 6, if(ISBLANK('2025'!$T410), 0, 1), 7, 0))), 1, "")</f>
        <v/>
      </c>
      <c r="AY447" s="1" t="str">
        <f>IF(AND(AND(AND(AY$4&gt;='2025'!$L410,AY$4&lt;='2025'!$M410), AY$4&lt;&gt;DATE(2025,7,4)), (SWITCH(weekday(AY$4), 1, 0, 2, if(ISBLANK('2025'!$P410), 0, 1), 3, if(ISBLANK('2025'!$Q410), 0, 1), 4, if(ISBLANK('2025'!$R410), 0, 1), 5, if(ISBLANK('2025'!$S410), 0, 1), 6, if(ISBLANK('2025'!$T410), 0, 1), 7, 0))), 1, "")</f>
        <v/>
      </c>
      <c r="AZ447" s="1" t="str">
        <f>IF(AND(AND(AND(AZ$4&gt;='2025'!$L410,AZ$4&lt;='2025'!$M410), AZ$4&lt;&gt;DATE(2025,7,4)), (SWITCH(weekday(AZ$4), 1, 0, 2, if(ISBLANK('2025'!$P410), 0, 1), 3, if(ISBLANK('2025'!$Q410), 0, 1), 4, if(ISBLANK('2025'!$R410), 0, 1), 5, if(ISBLANK('2025'!$S410), 0, 1), 6, if(ISBLANK('2025'!$T410), 0, 1), 7, 0))), 1, "")</f>
        <v/>
      </c>
      <c r="BA447" s="1" t="str">
        <f>IF(AND(AND(AND(BA$4&gt;='2025'!$L410,BA$4&lt;='2025'!$M410), BA$4&lt;&gt;DATE(2025,7,4)), (SWITCH(weekday(BA$4), 1, 0, 2, if(ISBLANK('2025'!$P410), 0, 1), 3, if(ISBLANK('2025'!$Q410), 0, 1), 4, if(ISBLANK('2025'!$R410), 0, 1), 5, if(ISBLANK('2025'!$S410), 0, 1), 6, if(ISBLANK('2025'!$T410), 0, 1), 7, 0))), 1, "")</f>
        <v/>
      </c>
      <c r="BB447" s="1" t="str">
        <f>IF(AND(AND(AND(BB$4&gt;='2025'!$L410,BB$4&lt;='2025'!$M410), BB$4&lt;&gt;DATE(2025,7,4)), (SWITCH(weekday(BB$4), 1, 0, 2, if(ISBLANK('2025'!$P410), 0, 1), 3, if(ISBLANK('2025'!$Q410), 0, 1), 4, if(ISBLANK('2025'!$R410), 0, 1), 5, if(ISBLANK('2025'!$S410), 0, 1), 6, if(ISBLANK('2025'!$T410), 0, 1), 7, 0))), 1, "")</f>
        <v/>
      </c>
      <c r="BC447" s="1" t="str">
        <f>IF(AND(AND(AND(BC$4&gt;='2025'!$L410,BC$4&lt;='2025'!$M410), BC$4&lt;&gt;DATE(2025,7,4)), (SWITCH(weekday(BC$4), 1, 0, 2, if(ISBLANK('2025'!$P410), 0, 1), 3, if(ISBLANK('2025'!$Q410), 0, 1), 4, if(ISBLANK('2025'!$R410), 0, 1), 5, if(ISBLANK('2025'!$S410), 0, 1), 6, if(ISBLANK('2025'!$T410), 0, 1), 7, 0))), 1, "")</f>
        <v/>
      </c>
      <c r="BD447" s="1" t="str">
        <f>IF(AND(AND(AND(BD$4&gt;='2025'!$L410,BD$4&lt;='2025'!$M410), BD$4&lt;&gt;DATE(2025,7,4)), (SWITCH(weekday(BD$4), 1, 0, 2, if(ISBLANK('2025'!$P410), 0, 1), 3, if(ISBLANK('2025'!$Q410), 0, 1), 4, if(ISBLANK('2025'!$R410), 0, 1), 5, if(ISBLANK('2025'!$S410), 0, 1), 6, if(ISBLANK('2025'!$T410), 0, 1), 7, 0))), 1, "")</f>
        <v/>
      </c>
      <c r="BE447" s="1" t="str">
        <f>IF(AND(AND(AND(BE$4&gt;='2025'!$L410,BE$4&lt;='2025'!$M410), BE$4&lt;&gt;DATE(2025,7,4)), (SWITCH(weekday(BE$4), 1, 0, 2, if(ISBLANK('2025'!$P410), 0, 1), 3, if(ISBLANK('2025'!$Q410), 0, 1), 4, if(ISBLANK('2025'!$R410), 0, 1), 5, if(ISBLANK('2025'!$S410), 0, 1), 6, if(ISBLANK('2025'!$T410), 0, 1), 7, 0))), 1, "")</f>
        <v/>
      </c>
    </row>
    <row r="448">
      <c r="A448" s="1">
        <f t="shared" si="3"/>
        <v>448</v>
      </c>
      <c r="B448" s="1" t="str">
        <f>'2025'!D411</f>
        <v/>
      </c>
      <c r="C448" s="1" t="str">
        <f>'2025'!H411</f>
        <v/>
      </c>
      <c r="D448" s="1" t="str">
        <f>IF(AND(AND(AND(D$4&gt;='2025'!$L411,D$4&lt;='2025'!$M411), D$4&lt;&gt;DATE(2025,7,4)), (SWITCH(weekday(D$4), 1, 0, 2, if(ISBLANK('2025'!$P411), 0, 1), 3, if(ISBLANK('2025'!$Q411), 0, 1), 4, if(ISBLANK('2025'!$R411), 0, 1), 5, if(ISBLANK('2025'!$S411), 0, 1), 6, if(ISBLANK('2025'!$T411), 0, 1), 7, 0))), 1, "")</f>
        <v/>
      </c>
      <c r="E448" s="1" t="str">
        <f>IF(AND(AND(AND(E$4&gt;='2025'!$L411,E$4&lt;='2025'!$M411), E$4&lt;&gt;DATE(2025,7,4)), (SWITCH(weekday(E$4), 1, 0, 2, if(ISBLANK('2025'!$P411), 0, 1), 3, if(ISBLANK('2025'!$Q411), 0, 1), 4, if(ISBLANK('2025'!$R411), 0, 1), 5, if(ISBLANK('2025'!$S411), 0, 1), 6, if(ISBLANK('2025'!$T411), 0, 1), 7, 0))), 1, "")</f>
        <v/>
      </c>
      <c r="F448" s="1" t="str">
        <f>IF(AND(AND(AND(F$4&gt;='2025'!$L411,F$4&lt;='2025'!$M411), F$4&lt;&gt;DATE(2025,7,4)), (SWITCH(weekday(F$4), 1, 0, 2, if(ISBLANK('2025'!$P411), 0, 1), 3, if(ISBLANK('2025'!$Q411), 0, 1), 4, if(ISBLANK('2025'!$R411), 0, 1), 5, if(ISBLANK('2025'!$S411), 0, 1), 6, if(ISBLANK('2025'!$T411), 0, 1), 7, 0))), 1, "")</f>
        <v/>
      </c>
      <c r="G448" s="1" t="str">
        <f>IF(AND(AND(AND(G$4&gt;='2025'!$L411,G$4&lt;='2025'!$M411), G$4&lt;&gt;DATE(2025,7,4)), (SWITCH(weekday(G$4), 1, 0, 2, if(ISBLANK('2025'!$P411), 0, 1), 3, if(ISBLANK('2025'!$Q411), 0, 1), 4, if(ISBLANK('2025'!$R411), 0, 1), 5, if(ISBLANK('2025'!$S411), 0, 1), 6, if(ISBLANK('2025'!$T411), 0, 1), 7, 0))), 1, "")</f>
        <v/>
      </c>
      <c r="H448" s="1" t="str">
        <f>IF(AND(AND(AND(H$4&gt;='2025'!$L411,H$4&lt;='2025'!$M411), H$4&lt;&gt;DATE(2025,7,4)), (SWITCH(weekday(H$4), 1, 0, 2, if(ISBLANK('2025'!$P411), 0, 1), 3, if(ISBLANK('2025'!$Q411), 0, 1), 4, if(ISBLANK('2025'!$R411), 0, 1), 5, if(ISBLANK('2025'!$S411), 0, 1), 6, if(ISBLANK('2025'!$T411), 0, 1), 7, 0))), 1, "")</f>
        <v/>
      </c>
      <c r="I448" s="1" t="str">
        <f>IF(AND(AND(AND(I$4&gt;='2025'!$L411,I$4&lt;='2025'!$M411), I$4&lt;&gt;DATE(2025,7,4)), (SWITCH(weekday(I$4), 1, 0, 2, if(ISBLANK('2025'!$P411), 0, 1), 3, if(ISBLANK('2025'!$Q411), 0, 1), 4, if(ISBLANK('2025'!$R411), 0, 1), 5, if(ISBLANK('2025'!$S411), 0, 1), 6, if(ISBLANK('2025'!$T411), 0, 1), 7, 0))), 1, "")</f>
        <v/>
      </c>
      <c r="J448" s="1" t="str">
        <f>IF(AND(AND(AND(J$4&gt;='2025'!$L411,J$4&lt;='2025'!$M411), J$4&lt;&gt;DATE(2025,7,4)), (SWITCH(weekday(J$4), 1, 0, 2, if(ISBLANK('2025'!$P411), 0, 1), 3, if(ISBLANK('2025'!$Q411), 0, 1), 4, if(ISBLANK('2025'!$R411), 0, 1), 5, if(ISBLANK('2025'!$S411), 0, 1), 6, if(ISBLANK('2025'!$T411), 0, 1), 7, 0))), 1, "")</f>
        <v/>
      </c>
      <c r="K448" s="1" t="str">
        <f>IF(AND(AND(AND(K$4&gt;='2025'!$L411,K$4&lt;='2025'!$M411), K$4&lt;&gt;DATE(2025,7,4)), (SWITCH(weekday(K$4), 1, 0, 2, if(ISBLANK('2025'!$P411), 0, 1), 3, if(ISBLANK('2025'!$Q411), 0, 1), 4, if(ISBLANK('2025'!$R411), 0, 1), 5, if(ISBLANK('2025'!$S411), 0, 1), 6, if(ISBLANK('2025'!$T411), 0, 1), 7, 0))), 1, "")</f>
        <v/>
      </c>
      <c r="L448" s="1" t="str">
        <f>IF(AND(AND(AND(L$4&gt;='2025'!$L411,L$4&lt;='2025'!$M411), L$4&lt;&gt;DATE(2025,7,4)), (SWITCH(weekday(L$4), 1, 0, 2, if(ISBLANK('2025'!$P411), 0, 1), 3, if(ISBLANK('2025'!$Q411), 0, 1), 4, if(ISBLANK('2025'!$R411), 0, 1), 5, if(ISBLANK('2025'!$S411), 0, 1), 6, if(ISBLANK('2025'!$T411), 0, 1), 7, 0))), 1, "")</f>
        <v/>
      </c>
      <c r="M448" s="1" t="str">
        <f>IF(AND(AND(AND(M$4&gt;='2025'!$L411,M$4&lt;='2025'!$M411), M$4&lt;&gt;DATE(2025,7,4)), (SWITCH(weekday(M$4), 1, 0, 2, if(ISBLANK('2025'!$P411), 0, 1), 3, if(ISBLANK('2025'!$Q411), 0, 1), 4, if(ISBLANK('2025'!$R411), 0, 1), 5, if(ISBLANK('2025'!$S411), 0, 1), 6, if(ISBLANK('2025'!$T411), 0, 1), 7, 0))), 1, "")</f>
        <v/>
      </c>
      <c r="N448" s="1" t="str">
        <f>IF(AND(AND(AND(N$4&gt;='2025'!$L411,N$4&lt;='2025'!$M411), N$4&lt;&gt;DATE(2025,7,4)), (SWITCH(weekday(N$4), 1, 0, 2, if(ISBLANK('2025'!$P411), 0, 1), 3, if(ISBLANK('2025'!$Q411), 0, 1), 4, if(ISBLANK('2025'!$R411), 0, 1), 5, if(ISBLANK('2025'!$S411), 0, 1), 6, if(ISBLANK('2025'!$T411), 0, 1), 7, 0))), 1, "")</f>
        <v/>
      </c>
      <c r="O448" s="1" t="str">
        <f>IF(AND(AND(AND(O$4&gt;='2025'!$L411,O$4&lt;='2025'!$M411), O$4&lt;&gt;DATE(2025,7,4)), (SWITCH(weekday(O$4), 1, 0, 2, if(ISBLANK('2025'!$P411), 0, 1), 3, if(ISBLANK('2025'!$Q411), 0, 1), 4, if(ISBLANK('2025'!$R411), 0, 1), 5, if(ISBLANK('2025'!$S411), 0, 1), 6, if(ISBLANK('2025'!$T411), 0, 1), 7, 0))), 1, "")</f>
        <v/>
      </c>
      <c r="P448" s="1" t="str">
        <f>IF(AND(AND(AND(P$4&gt;='2025'!$L411,P$4&lt;='2025'!$M411), P$4&lt;&gt;DATE(2025,7,4)), (SWITCH(weekday(P$4), 1, 0, 2, if(ISBLANK('2025'!$P411), 0, 1), 3, if(ISBLANK('2025'!$Q411), 0, 1), 4, if(ISBLANK('2025'!$R411), 0, 1), 5, if(ISBLANK('2025'!$S411), 0, 1), 6, if(ISBLANK('2025'!$T411), 0, 1), 7, 0))), 1, "")</f>
        <v/>
      </c>
      <c r="Q448" s="1" t="str">
        <f>IF(AND(AND(AND(Q$4&gt;='2025'!$L411,Q$4&lt;='2025'!$M411), Q$4&lt;&gt;DATE(2025,7,4)), (SWITCH(weekday(Q$4), 1, 0, 2, if(ISBLANK('2025'!$P411), 0, 1), 3, if(ISBLANK('2025'!$Q411), 0, 1), 4, if(ISBLANK('2025'!$R411), 0, 1), 5, if(ISBLANK('2025'!$S411), 0, 1), 6, if(ISBLANK('2025'!$T411), 0, 1), 7, 0))), 1, "")</f>
        <v/>
      </c>
      <c r="R448" s="1" t="str">
        <f>IF(AND(AND(AND(R$4&gt;='2025'!$L411,R$4&lt;='2025'!$M411), R$4&lt;&gt;DATE(2025,7,4)), (SWITCH(weekday(R$4), 1, 0, 2, if(ISBLANK('2025'!$P411), 0, 1), 3, if(ISBLANK('2025'!$Q411), 0, 1), 4, if(ISBLANK('2025'!$R411), 0, 1), 5, if(ISBLANK('2025'!$S411), 0, 1), 6, if(ISBLANK('2025'!$T411), 0, 1), 7, 0))), 1, "")</f>
        <v/>
      </c>
      <c r="S448" s="1" t="str">
        <f>IF(AND(AND(AND(S$4&gt;='2025'!$L411,S$4&lt;='2025'!$M411), S$4&lt;&gt;DATE(2025,7,4)), (SWITCH(weekday(S$4), 1, 0, 2, if(ISBLANK('2025'!$P411), 0, 1), 3, if(ISBLANK('2025'!$Q411), 0, 1), 4, if(ISBLANK('2025'!$R411), 0, 1), 5, if(ISBLANK('2025'!$S411), 0, 1), 6, if(ISBLANK('2025'!$T411), 0, 1), 7, 0))), 1, "")</f>
        <v/>
      </c>
      <c r="T448" s="1" t="str">
        <f>IF(AND(AND(AND(T$4&gt;='2025'!$L411,T$4&lt;='2025'!$M411), T$4&lt;&gt;DATE(2025,7,4)), (SWITCH(weekday(T$4), 1, 0, 2, if(ISBLANK('2025'!$P411), 0, 1), 3, if(ISBLANK('2025'!$Q411), 0, 1), 4, if(ISBLANK('2025'!$R411), 0, 1), 5, if(ISBLANK('2025'!$S411), 0, 1), 6, if(ISBLANK('2025'!$T411), 0, 1), 7, 0))), 1, "")</f>
        <v/>
      </c>
      <c r="U448" s="1" t="str">
        <f>IF(AND(AND(AND(U$4&gt;='2025'!$L411,U$4&lt;='2025'!$M411), U$4&lt;&gt;DATE(2025,7,4)), (SWITCH(weekday(U$4), 1, 0, 2, if(ISBLANK('2025'!$P411), 0, 1), 3, if(ISBLANK('2025'!$Q411), 0, 1), 4, if(ISBLANK('2025'!$R411), 0, 1), 5, if(ISBLANK('2025'!$S411), 0, 1), 6, if(ISBLANK('2025'!$T411), 0, 1), 7, 0))), 1, "")</f>
        <v/>
      </c>
      <c r="V448" s="1" t="str">
        <f>IF(AND(AND(AND(V$4&gt;='2025'!$L411,V$4&lt;='2025'!$M411), V$4&lt;&gt;DATE(2025,7,4)), (SWITCH(weekday(V$4), 1, 0, 2, if(ISBLANK('2025'!$P411), 0, 1), 3, if(ISBLANK('2025'!$Q411), 0, 1), 4, if(ISBLANK('2025'!$R411), 0, 1), 5, if(ISBLANK('2025'!$S411), 0, 1), 6, if(ISBLANK('2025'!$T411), 0, 1), 7, 0))), 1, "")</f>
        <v/>
      </c>
      <c r="W448" s="1" t="str">
        <f>IF(AND(AND(AND(W$4&gt;='2025'!$L411,W$4&lt;='2025'!$M411), W$4&lt;&gt;DATE(2025,7,4)), (SWITCH(weekday(W$4), 1, 0, 2, if(ISBLANK('2025'!$P411), 0, 1), 3, if(ISBLANK('2025'!$Q411), 0, 1), 4, if(ISBLANK('2025'!$R411), 0, 1), 5, if(ISBLANK('2025'!$S411), 0, 1), 6, if(ISBLANK('2025'!$T411), 0, 1), 7, 0))), 1, "")</f>
        <v/>
      </c>
      <c r="X448" s="1" t="str">
        <f>IF(AND(AND(AND(X$4&gt;='2025'!$L411,X$4&lt;='2025'!$M411), X$4&lt;&gt;DATE(2025,7,4)), (SWITCH(weekday(X$4), 1, 0, 2, if(ISBLANK('2025'!$P411), 0, 1), 3, if(ISBLANK('2025'!$Q411), 0, 1), 4, if(ISBLANK('2025'!$R411), 0, 1), 5, if(ISBLANK('2025'!$S411), 0, 1), 6, if(ISBLANK('2025'!$T411), 0, 1), 7, 0))), 1, "")</f>
        <v/>
      </c>
      <c r="Y448" s="1" t="str">
        <f>IF(AND(AND(AND(Y$4&gt;='2025'!$L411,Y$4&lt;='2025'!$M411), Y$4&lt;&gt;DATE(2025,7,4)), (SWITCH(weekday(Y$4), 1, 0, 2, if(ISBLANK('2025'!$P411), 0, 1), 3, if(ISBLANK('2025'!$Q411), 0, 1), 4, if(ISBLANK('2025'!$R411), 0, 1), 5, if(ISBLANK('2025'!$S411), 0, 1), 6, if(ISBLANK('2025'!$T411), 0, 1), 7, 0))), 1, "")</f>
        <v/>
      </c>
      <c r="Z448" s="1" t="str">
        <f>IF(AND(AND(AND(Z$4&gt;='2025'!$L411,Z$4&lt;='2025'!$M411), Z$4&lt;&gt;DATE(2025,7,4)), (SWITCH(weekday(Z$4), 1, 0, 2, if(ISBLANK('2025'!$P411), 0, 1), 3, if(ISBLANK('2025'!$Q411), 0, 1), 4, if(ISBLANK('2025'!$R411), 0, 1), 5, if(ISBLANK('2025'!$S411), 0, 1), 6, if(ISBLANK('2025'!$T411), 0, 1), 7, 0))), 1, "")</f>
        <v/>
      </c>
      <c r="AA448" s="1" t="str">
        <f>IF(AND(AND(AND(AA$4&gt;='2025'!$L411,AA$4&lt;='2025'!$M411), AA$4&lt;&gt;DATE(2025,7,4)), (SWITCH(weekday(AA$4), 1, 0, 2, if(ISBLANK('2025'!$P411), 0, 1), 3, if(ISBLANK('2025'!$Q411), 0, 1), 4, if(ISBLANK('2025'!$R411), 0, 1), 5, if(ISBLANK('2025'!$S411), 0, 1), 6, if(ISBLANK('2025'!$T411), 0, 1), 7, 0))), 1, "")</f>
        <v/>
      </c>
      <c r="AB448" s="1" t="str">
        <f>IF(AND(AND(AND(AB$4&gt;='2025'!$L411,AB$4&lt;='2025'!$M411), AB$4&lt;&gt;DATE(2025,7,4)), (SWITCH(weekday(AB$4), 1, 0, 2, if(ISBLANK('2025'!$P411), 0, 1), 3, if(ISBLANK('2025'!$Q411), 0, 1), 4, if(ISBLANK('2025'!$R411), 0, 1), 5, if(ISBLANK('2025'!$S411), 0, 1), 6, if(ISBLANK('2025'!$T411), 0, 1), 7, 0))), 1, "")</f>
        <v/>
      </c>
      <c r="AC448" s="1" t="str">
        <f>IF(AND(AND(AND(AC$4&gt;='2025'!$L411,AC$4&lt;='2025'!$M411), AC$4&lt;&gt;DATE(2025,7,4)), (SWITCH(weekday(AC$4), 1, 0, 2, if(ISBLANK('2025'!$P411), 0, 1), 3, if(ISBLANK('2025'!$Q411), 0, 1), 4, if(ISBLANK('2025'!$R411), 0, 1), 5, if(ISBLANK('2025'!$S411), 0, 1), 6, if(ISBLANK('2025'!$T411), 0, 1), 7, 0))), 1, "")</f>
        <v/>
      </c>
      <c r="AD448" s="1" t="str">
        <f>IF(AND(AND(AND(AD$4&gt;='2025'!$L411,AD$4&lt;='2025'!$M411), AD$4&lt;&gt;DATE(2025,7,4)), (SWITCH(weekday(AD$4), 1, 0, 2, if(ISBLANK('2025'!$P411), 0, 1), 3, if(ISBLANK('2025'!$Q411), 0, 1), 4, if(ISBLANK('2025'!$R411), 0, 1), 5, if(ISBLANK('2025'!$S411), 0, 1), 6, if(ISBLANK('2025'!$T411), 0, 1), 7, 0))), 1, "")</f>
        <v/>
      </c>
      <c r="AE448" s="1" t="str">
        <f>IF(AND(AND(AND(AE$4&gt;='2025'!$L411,AE$4&lt;='2025'!$M411), AE$4&lt;&gt;DATE(2025,7,4)), (SWITCH(weekday(AE$4), 1, 0, 2, if(ISBLANK('2025'!$P411), 0, 1), 3, if(ISBLANK('2025'!$Q411), 0, 1), 4, if(ISBLANK('2025'!$R411), 0, 1), 5, if(ISBLANK('2025'!$S411), 0, 1), 6, if(ISBLANK('2025'!$T411), 0, 1), 7, 0))), 1, "")</f>
        <v/>
      </c>
      <c r="AF448" s="1" t="str">
        <f>IF(AND(AND(AND(AF$4&gt;='2025'!$L411,AF$4&lt;='2025'!$M411), AF$4&lt;&gt;DATE(2025,7,4)), (SWITCH(weekday(AF$4), 1, 0, 2, if(ISBLANK('2025'!$P411), 0, 1), 3, if(ISBLANK('2025'!$Q411), 0, 1), 4, if(ISBLANK('2025'!$R411), 0, 1), 5, if(ISBLANK('2025'!$S411), 0, 1), 6, if(ISBLANK('2025'!$T411), 0, 1), 7, 0))), 1, "")</f>
        <v/>
      </c>
      <c r="AG448" s="1" t="str">
        <f>IF(AND(AND(AND(AG$4&gt;='2025'!$L411,AG$4&lt;='2025'!$M411), AG$4&lt;&gt;DATE(2025,7,4)), (SWITCH(weekday(AG$4), 1, 0, 2, if(ISBLANK('2025'!$P411), 0, 1), 3, if(ISBLANK('2025'!$Q411), 0, 1), 4, if(ISBLANK('2025'!$R411), 0, 1), 5, if(ISBLANK('2025'!$S411), 0, 1), 6, if(ISBLANK('2025'!$T411), 0, 1), 7, 0))), 1, "")</f>
        <v/>
      </c>
      <c r="AH448" s="1" t="str">
        <f>IF(AND(AND(AND(AH$4&gt;='2025'!$L411,AH$4&lt;='2025'!$M411), AH$4&lt;&gt;DATE(2025,7,4)), (SWITCH(weekday(AH$4), 1, 0, 2, if(ISBLANK('2025'!$P411), 0, 1), 3, if(ISBLANK('2025'!$Q411), 0, 1), 4, if(ISBLANK('2025'!$R411), 0, 1), 5, if(ISBLANK('2025'!$S411), 0, 1), 6, if(ISBLANK('2025'!$T411), 0, 1), 7, 0))), 1, "")</f>
        <v/>
      </c>
      <c r="AI448" s="1" t="str">
        <f>IF(AND(AND(AND(AI$4&gt;='2025'!$L411,AI$4&lt;='2025'!$M411), AI$4&lt;&gt;DATE(2025,7,4)), (SWITCH(weekday(AI$4), 1, 0, 2, if(ISBLANK('2025'!$P411), 0, 1), 3, if(ISBLANK('2025'!$Q411), 0, 1), 4, if(ISBLANK('2025'!$R411), 0, 1), 5, if(ISBLANK('2025'!$S411), 0, 1), 6, if(ISBLANK('2025'!$T411), 0, 1), 7, 0))), 1, "")</f>
        <v/>
      </c>
      <c r="AJ448" s="1" t="str">
        <f>IF(AND(AND(AND(AJ$4&gt;='2025'!$L411,AJ$4&lt;='2025'!$M411), AJ$4&lt;&gt;DATE(2025,7,4)), (SWITCH(weekday(AJ$4), 1, 0, 2, if(ISBLANK('2025'!$P411), 0, 1), 3, if(ISBLANK('2025'!$Q411), 0, 1), 4, if(ISBLANK('2025'!$R411), 0, 1), 5, if(ISBLANK('2025'!$S411), 0, 1), 6, if(ISBLANK('2025'!$T411), 0, 1), 7, 0))), 1, "")</f>
        <v/>
      </c>
      <c r="AK448" s="1" t="str">
        <f>IF(AND(AND(AND(AK$4&gt;='2025'!$L411,AK$4&lt;='2025'!$M411), AK$4&lt;&gt;DATE(2025,7,4)), (SWITCH(weekday(AK$4), 1, 0, 2, if(ISBLANK('2025'!$P411), 0, 1), 3, if(ISBLANK('2025'!$Q411), 0, 1), 4, if(ISBLANK('2025'!$R411), 0, 1), 5, if(ISBLANK('2025'!$S411), 0, 1), 6, if(ISBLANK('2025'!$T411), 0, 1), 7, 0))), 1, "")</f>
        <v/>
      </c>
      <c r="AL448" s="1" t="str">
        <f>IF(AND(AND(AND(AL$4&gt;='2025'!$L411,AL$4&lt;='2025'!$M411), AL$4&lt;&gt;DATE(2025,7,4)), (SWITCH(weekday(AL$4), 1, 0, 2, if(ISBLANK('2025'!$P411), 0, 1), 3, if(ISBLANK('2025'!$Q411), 0, 1), 4, if(ISBLANK('2025'!$R411), 0, 1), 5, if(ISBLANK('2025'!$S411), 0, 1), 6, if(ISBLANK('2025'!$T411), 0, 1), 7, 0))), 1, "")</f>
        <v/>
      </c>
      <c r="AM448" s="1" t="str">
        <f>IF(AND(AND(AND(AM$4&gt;='2025'!$L411,AM$4&lt;='2025'!$M411), AM$4&lt;&gt;DATE(2025,7,4)), (SWITCH(weekday(AM$4), 1, 0, 2, if(ISBLANK('2025'!$P411), 0, 1), 3, if(ISBLANK('2025'!$Q411), 0, 1), 4, if(ISBLANK('2025'!$R411), 0, 1), 5, if(ISBLANK('2025'!$S411), 0, 1), 6, if(ISBLANK('2025'!$T411), 0, 1), 7, 0))), 1, "")</f>
        <v/>
      </c>
      <c r="AN448" s="1" t="str">
        <f>IF(AND(AND(AND(AN$4&gt;='2025'!$L411,AN$4&lt;='2025'!$M411), AN$4&lt;&gt;DATE(2025,7,4)), (SWITCH(weekday(AN$4), 1, 0, 2, if(ISBLANK('2025'!$P411), 0, 1), 3, if(ISBLANK('2025'!$Q411), 0, 1), 4, if(ISBLANK('2025'!$R411), 0, 1), 5, if(ISBLANK('2025'!$S411), 0, 1), 6, if(ISBLANK('2025'!$T411), 0, 1), 7, 0))), 1, "")</f>
        <v/>
      </c>
      <c r="AO448" s="1" t="str">
        <f>IF(AND(AND(AND(AO$4&gt;='2025'!$L411,AO$4&lt;='2025'!$M411), AO$4&lt;&gt;DATE(2025,7,4)), (SWITCH(weekday(AO$4), 1, 0, 2, if(ISBLANK('2025'!$P411), 0, 1), 3, if(ISBLANK('2025'!$Q411), 0, 1), 4, if(ISBLANK('2025'!$R411), 0, 1), 5, if(ISBLANK('2025'!$S411), 0, 1), 6, if(ISBLANK('2025'!$T411), 0, 1), 7, 0))), 1, "")</f>
        <v/>
      </c>
      <c r="AP448" s="1" t="str">
        <f>IF(AND(AND(AND(AP$4&gt;='2025'!$L411,AP$4&lt;='2025'!$M411), AP$4&lt;&gt;DATE(2025,7,4)), (SWITCH(weekday(AP$4), 1, 0, 2, if(ISBLANK('2025'!$P411), 0, 1), 3, if(ISBLANK('2025'!$Q411), 0, 1), 4, if(ISBLANK('2025'!$R411), 0, 1), 5, if(ISBLANK('2025'!$S411), 0, 1), 6, if(ISBLANK('2025'!$T411), 0, 1), 7, 0))), 1, "")</f>
        <v/>
      </c>
      <c r="AQ448" s="1" t="str">
        <f>IF(AND(AND(AND(AQ$4&gt;='2025'!$L411,AQ$4&lt;='2025'!$M411), AQ$4&lt;&gt;DATE(2025,7,4)), (SWITCH(weekday(AQ$4), 1, 0, 2, if(ISBLANK('2025'!$P411), 0, 1), 3, if(ISBLANK('2025'!$Q411), 0, 1), 4, if(ISBLANK('2025'!$R411), 0, 1), 5, if(ISBLANK('2025'!$S411), 0, 1), 6, if(ISBLANK('2025'!$T411), 0, 1), 7, 0))), 1, "")</f>
        <v/>
      </c>
      <c r="AR448" s="1" t="str">
        <f>IF(AND(AND(AND(AR$4&gt;='2025'!$L411,AR$4&lt;='2025'!$M411), AR$4&lt;&gt;DATE(2025,7,4)), (SWITCH(weekday(AR$4), 1, 0, 2, if(ISBLANK('2025'!$P411), 0, 1), 3, if(ISBLANK('2025'!$Q411), 0, 1), 4, if(ISBLANK('2025'!$R411), 0, 1), 5, if(ISBLANK('2025'!$S411), 0, 1), 6, if(ISBLANK('2025'!$T411), 0, 1), 7, 0))), 1, "")</f>
        <v/>
      </c>
      <c r="AS448" s="1" t="str">
        <f>IF(AND(AND(AND(AS$4&gt;='2025'!$L411,AS$4&lt;='2025'!$M411), AS$4&lt;&gt;DATE(2025,7,4)), (SWITCH(weekday(AS$4), 1, 0, 2, if(ISBLANK('2025'!$P411), 0, 1), 3, if(ISBLANK('2025'!$Q411), 0, 1), 4, if(ISBLANK('2025'!$R411), 0, 1), 5, if(ISBLANK('2025'!$S411), 0, 1), 6, if(ISBLANK('2025'!$T411), 0, 1), 7, 0))), 1, "")</f>
        <v/>
      </c>
      <c r="AT448" s="1" t="str">
        <f>IF(AND(AND(AND(AT$4&gt;='2025'!$L411,AT$4&lt;='2025'!$M411), AT$4&lt;&gt;DATE(2025,7,4)), (SWITCH(weekday(AT$4), 1, 0, 2, if(ISBLANK('2025'!$P411), 0, 1), 3, if(ISBLANK('2025'!$Q411), 0, 1), 4, if(ISBLANK('2025'!$R411), 0, 1), 5, if(ISBLANK('2025'!$S411), 0, 1), 6, if(ISBLANK('2025'!$T411), 0, 1), 7, 0))), 1, "")</f>
        <v/>
      </c>
      <c r="AU448" s="1" t="str">
        <f>IF(AND(AND(AND(AU$4&gt;='2025'!$L411,AU$4&lt;='2025'!$M411), AU$4&lt;&gt;DATE(2025,7,4)), (SWITCH(weekday(AU$4), 1, 0, 2, if(ISBLANK('2025'!$P411), 0, 1), 3, if(ISBLANK('2025'!$Q411), 0, 1), 4, if(ISBLANK('2025'!$R411), 0, 1), 5, if(ISBLANK('2025'!$S411), 0, 1), 6, if(ISBLANK('2025'!$T411), 0, 1), 7, 0))), 1, "")</f>
        <v/>
      </c>
      <c r="AV448" s="1" t="str">
        <f>IF(AND(AND(AND(AV$4&gt;='2025'!$L411,AV$4&lt;='2025'!$M411), AV$4&lt;&gt;DATE(2025,7,4)), (SWITCH(weekday(AV$4), 1, 0, 2, if(ISBLANK('2025'!$P411), 0, 1), 3, if(ISBLANK('2025'!$Q411), 0, 1), 4, if(ISBLANK('2025'!$R411), 0, 1), 5, if(ISBLANK('2025'!$S411), 0, 1), 6, if(ISBLANK('2025'!$T411), 0, 1), 7, 0))), 1, "")</f>
        <v/>
      </c>
      <c r="AW448" s="1" t="str">
        <f>IF(AND(AND(AND(AW$4&gt;='2025'!$L411,AW$4&lt;='2025'!$M411), AW$4&lt;&gt;DATE(2025,7,4)), (SWITCH(weekday(AW$4), 1, 0, 2, if(ISBLANK('2025'!$P411), 0, 1), 3, if(ISBLANK('2025'!$Q411), 0, 1), 4, if(ISBLANK('2025'!$R411), 0, 1), 5, if(ISBLANK('2025'!$S411), 0, 1), 6, if(ISBLANK('2025'!$T411), 0, 1), 7, 0))), 1, "")</f>
        <v/>
      </c>
      <c r="AX448" s="1" t="str">
        <f>IF(AND(AND(AND(AX$4&gt;='2025'!$L411,AX$4&lt;='2025'!$M411), AX$4&lt;&gt;DATE(2025,7,4)), (SWITCH(weekday(AX$4), 1, 0, 2, if(ISBLANK('2025'!$P411), 0, 1), 3, if(ISBLANK('2025'!$Q411), 0, 1), 4, if(ISBLANK('2025'!$R411), 0, 1), 5, if(ISBLANK('2025'!$S411), 0, 1), 6, if(ISBLANK('2025'!$T411), 0, 1), 7, 0))), 1, "")</f>
        <v/>
      </c>
      <c r="AY448" s="1" t="str">
        <f>IF(AND(AND(AND(AY$4&gt;='2025'!$L411,AY$4&lt;='2025'!$M411), AY$4&lt;&gt;DATE(2025,7,4)), (SWITCH(weekday(AY$4), 1, 0, 2, if(ISBLANK('2025'!$P411), 0, 1), 3, if(ISBLANK('2025'!$Q411), 0, 1), 4, if(ISBLANK('2025'!$R411), 0, 1), 5, if(ISBLANK('2025'!$S411), 0, 1), 6, if(ISBLANK('2025'!$T411), 0, 1), 7, 0))), 1, "")</f>
        <v/>
      </c>
      <c r="AZ448" s="1" t="str">
        <f>IF(AND(AND(AND(AZ$4&gt;='2025'!$L411,AZ$4&lt;='2025'!$M411), AZ$4&lt;&gt;DATE(2025,7,4)), (SWITCH(weekday(AZ$4), 1, 0, 2, if(ISBLANK('2025'!$P411), 0, 1), 3, if(ISBLANK('2025'!$Q411), 0, 1), 4, if(ISBLANK('2025'!$R411), 0, 1), 5, if(ISBLANK('2025'!$S411), 0, 1), 6, if(ISBLANK('2025'!$T411), 0, 1), 7, 0))), 1, "")</f>
        <v/>
      </c>
      <c r="BA448" s="1" t="str">
        <f>IF(AND(AND(AND(BA$4&gt;='2025'!$L411,BA$4&lt;='2025'!$M411), BA$4&lt;&gt;DATE(2025,7,4)), (SWITCH(weekday(BA$4), 1, 0, 2, if(ISBLANK('2025'!$P411), 0, 1), 3, if(ISBLANK('2025'!$Q411), 0, 1), 4, if(ISBLANK('2025'!$R411), 0, 1), 5, if(ISBLANK('2025'!$S411), 0, 1), 6, if(ISBLANK('2025'!$T411), 0, 1), 7, 0))), 1, "")</f>
        <v/>
      </c>
      <c r="BB448" s="1" t="str">
        <f>IF(AND(AND(AND(BB$4&gt;='2025'!$L411,BB$4&lt;='2025'!$M411), BB$4&lt;&gt;DATE(2025,7,4)), (SWITCH(weekday(BB$4), 1, 0, 2, if(ISBLANK('2025'!$P411), 0, 1), 3, if(ISBLANK('2025'!$Q411), 0, 1), 4, if(ISBLANK('2025'!$R411), 0, 1), 5, if(ISBLANK('2025'!$S411), 0, 1), 6, if(ISBLANK('2025'!$T411), 0, 1), 7, 0))), 1, "")</f>
        <v/>
      </c>
      <c r="BC448" s="1" t="str">
        <f>IF(AND(AND(AND(BC$4&gt;='2025'!$L411,BC$4&lt;='2025'!$M411), BC$4&lt;&gt;DATE(2025,7,4)), (SWITCH(weekday(BC$4), 1, 0, 2, if(ISBLANK('2025'!$P411), 0, 1), 3, if(ISBLANK('2025'!$Q411), 0, 1), 4, if(ISBLANK('2025'!$R411), 0, 1), 5, if(ISBLANK('2025'!$S411), 0, 1), 6, if(ISBLANK('2025'!$T411), 0, 1), 7, 0))), 1, "")</f>
        <v/>
      </c>
      <c r="BD448" s="1" t="str">
        <f>IF(AND(AND(AND(BD$4&gt;='2025'!$L411,BD$4&lt;='2025'!$M411), BD$4&lt;&gt;DATE(2025,7,4)), (SWITCH(weekday(BD$4), 1, 0, 2, if(ISBLANK('2025'!$P411), 0, 1), 3, if(ISBLANK('2025'!$Q411), 0, 1), 4, if(ISBLANK('2025'!$R411), 0, 1), 5, if(ISBLANK('2025'!$S411), 0, 1), 6, if(ISBLANK('2025'!$T411), 0, 1), 7, 0))), 1, "")</f>
        <v/>
      </c>
      <c r="BE448" s="1" t="str">
        <f>IF(AND(AND(AND(BE$4&gt;='2025'!$L411,BE$4&lt;='2025'!$M411), BE$4&lt;&gt;DATE(2025,7,4)), (SWITCH(weekday(BE$4), 1, 0, 2, if(ISBLANK('2025'!$P411), 0, 1), 3, if(ISBLANK('2025'!$Q411), 0, 1), 4, if(ISBLANK('2025'!$R411), 0, 1), 5, if(ISBLANK('2025'!$S411), 0, 1), 6, if(ISBLANK('2025'!$T411), 0, 1), 7, 0))), 1, "")</f>
        <v/>
      </c>
    </row>
    <row r="449">
      <c r="A449" s="1">
        <f t="shared" si="3"/>
        <v>449</v>
      </c>
      <c r="B449" s="1" t="str">
        <f>'2025'!D412</f>
        <v/>
      </c>
      <c r="C449" s="1" t="str">
        <f>'2025'!H412</f>
        <v/>
      </c>
      <c r="D449" s="1" t="str">
        <f>IF(AND(AND(AND(D$4&gt;='2025'!$L412,D$4&lt;='2025'!$M412), D$4&lt;&gt;DATE(2025,7,4)), (SWITCH(weekday(D$4), 1, 0, 2, if(ISBLANK('2025'!$P412), 0, 1), 3, if(ISBLANK('2025'!$Q412), 0, 1), 4, if(ISBLANK('2025'!$R412), 0, 1), 5, if(ISBLANK('2025'!$S412), 0, 1), 6, if(ISBLANK('2025'!$T412), 0, 1), 7, 0))), 1, "")</f>
        <v/>
      </c>
      <c r="E449" s="1" t="str">
        <f>IF(AND(AND(AND(E$4&gt;='2025'!$L412,E$4&lt;='2025'!$M412), E$4&lt;&gt;DATE(2025,7,4)), (SWITCH(weekday(E$4), 1, 0, 2, if(ISBLANK('2025'!$P412), 0, 1), 3, if(ISBLANK('2025'!$Q412), 0, 1), 4, if(ISBLANK('2025'!$R412), 0, 1), 5, if(ISBLANK('2025'!$S412), 0, 1), 6, if(ISBLANK('2025'!$T412), 0, 1), 7, 0))), 1, "")</f>
        <v/>
      </c>
      <c r="F449" s="1" t="str">
        <f>IF(AND(AND(AND(F$4&gt;='2025'!$L412,F$4&lt;='2025'!$M412), F$4&lt;&gt;DATE(2025,7,4)), (SWITCH(weekday(F$4), 1, 0, 2, if(ISBLANK('2025'!$P412), 0, 1), 3, if(ISBLANK('2025'!$Q412), 0, 1), 4, if(ISBLANK('2025'!$R412), 0, 1), 5, if(ISBLANK('2025'!$S412), 0, 1), 6, if(ISBLANK('2025'!$T412), 0, 1), 7, 0))), 1, "")</f>
        <v/>
      </c>
      <c r="G449" s="1" t="str">
        <f>IF(AND(AND(AND(G$4&gt;='2025'!$L412,G$4&lt;='2025'!$M412), G$4&lt;&gt;DATE(2025,7,4)), (SWITCH(weekday(G$4), 1, 0, 2, if(ISBLANK('2025'!$P412), 0, 1), 3, if(ISBLANK('2025'!$Q412), 0, 1), 4, if(ISBLANK('2025'!$R412), 0, 1), 5, if(ISBLANK('2025'!$S412), 0, 1), 6, if(ISBLANK('2025'!$T412), 0, 1), 7, 0))), 1, "")</f>
        <v/>
      </c>
      <c r="H449" s="1" t="str">
        <f>IF(AND(AND(AND(H$4&gt;='2025'!$L412,H$4&lt;='2025'!$M412), H$4&lt;&gt;DATE(2025,7,4)), (SWITCH(weekday(H$4), 1, 0, 2, if(ISBLANK('2025'!$P412), 0, 1), 3, if(ISBLANK('2025'!$Q412), 0, 1), 4, if(ISBLANK('2025'!$R412), 0, 1), 5, if(ISBLANK('2025'!$S412), 0, 1), 6, if(ISBLANK('2025'!$T412), 0, 1), 7, 0))), 1, "")</f>
        <v/>
      </c>
      <c r="I449" s="1" t="str">
        <f>IF(AND(AND(AND(I$4&gt;='2025'!$L412,I$4&lt;='2025'!$M412), I$4&lt;&gt;DATE(2025,7,4)), (SWITCH(weekday(I$4), 1, 0, 2, if(ISBLANK('2025'!$P412), 0, 1), 3, if(ISBLANK('2025'!$Q412), 0, 1), 4, if(ISBLANK('2025'!$R412), 0, 1), 5, if(ISBLANK('2025'!$S412), 0, 1), 6, if(ISBLANK('2025'!$T412), 0, 1), 7, 0))), 1, "")</f>
        <v/>
      </c>
      <c r="J449" s="1" t="str">
        <f>IF(AND(AND(AND(J$4&gt;='2025'!$L412,J$4&lt;='2025'!$M412), J$4&lt;&gt;DATE(2025,7,4)), (SWITCH(weekday(J$4), 1, 0, 2, if(ISBLANK('2025'!$P412), 0, 1), 3, if(ISBLANK('2025'!$Q412), 0, 1), 4, if(ISBLANK('2025'!$R412), 0, 1), 5, if(ISBLANK('2025'!$S412), 0, 1), 6, if(ISBLANK('2025'!$T412), 0, 1), 7, 0))), 1, "")</f>
        <v/>
      </c>
      <c r="K449" s="1" t="str">
        <f>IF(AND(AND(AND(K$4&gt;='2025'!$L412,K$4&lt;='2025'!$M412), K$4&lt;&gt;DATE(2025,7,4)), (SWITCH(weekday(K$4), 1, 0, 2, if(ISBLANK('2025'!$P412), 0, 1), 3, if(ISBLANK('2025'!$Q412), 0, 1), 4, if(ISBLANK('2025'!$R412), 0, 1), 5, if(ISBLANK('2025'!$S412), 0, 1), 6, if(ISBLANK('2025'!$T412), 0, 1), 7, 0))), 1, "")</f>
        <v/>
      </c>
      <c r="L449" s="1" t="str">
        <f>IF(AND(AND(AND(L$4&gt;='2025'!$L412,L$4&lt;='2025'!$M412), L$4&lt;&gt;DATE(2025,7,4)), (SWITCH(weekday(L$4), 1, 0, 2, if(ISBLANK('2025'!$P412), 0, 1), 3, if(ISBLANK('2025'!$Q412), 0, 1), 4, if(ISBLANK('2025'!$R412), 0, 1), 5, if(ISBLANK('2025'!$S412), 0, 1), 6, if(ISBLANK('2025'!$T412), 0, 1), 7, 0))), 1, "")</f>
        <v/>
      </c>
      <c r="M449" s="1" t="str">
        <f>IF(AND(AND(AND(M$4&gt;='2025'!$L412,M$4&lt;='2025'!$M412), M$4&lt;&gt;DATE(2025,7,4)), (SWITCH(weekday(M$4), 1, 0, 2, if(ISBLANK('2025'!$P412), 0, 1), 3, if(ISBLANK('2025'!$Q412), 0, 1), 4, if(ISBLANK('2025'!$R412), 0, 1), 5, if(ISBLANK('2025'!$S412), 0, 1), 6, if(ISBLANK('2025'!$T412), 0, 1), 7, 0))), 1, "")</f>
        <v/>
      </c>
      <c r="N449" s="1" t="str">
        <f>IF(AND(AND(AND(N$4&gt;='2025'!$L412,N$4&lt;='2025'!$M412), N$4&lt;&gt;DATE(2025,7,4)), (SWITCH(weekday(N$4), 1, 0, 2, if(ISBLANK('2025'!$P412), 0, 1), 3, if(ISBLANK('2025'!$Q412), 0, 1), 4, if(ISBLANK('2025'!$R412), 0, 1), 5, if(ISBLANK('2025'!$S412), 0, 1), 6, if(ISBLANK('2025'!$T412), 0, 1), 7, 0))), 1, "")</f>
        <v/>
      </c>
      <c r="O449" s="1" t="str">
        <f>IF(AND(AND(AND(O$4&gt;='2025'!$L412,O$4&lt;='2025'!$M412), O$4&lt;&gt;DATE(2025,7,4)), (SWITCH(weekday(O$4), 1, 0, 2, if(ISBLANK('2025'!$P412), 0, 1), 3, if(ISBLANK('2025'!$Q412), 0, 1), 4, if(ISBLANK('2025'!$R412), 0, 1), 5, if(ISBLANK('2025'!$S412), 0, 1), 6, if(ISBLANK('2025'!$T412), 0, 1), 7, 0))), 1, "")</f>
        <v/>
      </c>
      <c r="P449" s="1" t="str">
        <f>IF(AND(AND(AND(P$4&gt;='2025'!$L412,P$4&lt;='2025'!$M412), P$4&lt;&gt;DATE(2025,7,4)), (SWITCH(weekday(P$4), 1, 0, 2, if(ISBLANK('2025'!$P412), 0, 1), 3, if(ISBLANK('2025'!$Q412), 0, 1), 4, if(ISBLANK('2025'!$R412), 0, 1), 5, if(ISBLANK('2025'!$S412), 0, 1), 6, if(ISBLANK('2025'!$T412), 0, 1), 7, 0))), 1, "")</f>
        <v/>
      </c>
      <c r="Q449" s="1" t="str">
        <f>IF(AND(AND(AND(Q$4&gt;='2025'!$L412,Q$4&lt;='2025'!$M412), Q$4&lt;&gt;DATE(2025,7,4)), (SWITCH(weekday(Q$4), 1, 0, 2, if(ISBLANK('2025'!$P412), 0, 1), 3, if(ISBLANK('2025'!$Q412), 0, 1), 4, if(ISBLANK('2025'!$R412), 0, 1), 5, if(ISBLANK('2025'!$S412), 0, 1), 6, if(ISBLANK('2025'!$T412), 0, 1), 7, 0))), 1, "")</f>
        <v/>
      </c>
      <c r="R449" s="1" t="str">
        <f>IF(AND(AND(AND(R$4&gt;='2025'!$L412,R$4&lt;='2025'!$M412), R$4&lt;&gt;DATE(2025,7,4)), (SWITCH(weekday(R$4), 1, 0, 2, if(ISBLANK('2025'!$P412), 0, 1), 3, if(ISBLANK('2025'!$Q412), 0, 1), 4, if(ISBLANK('2025'!$R412), 0, 1), 5, if(ISBLANK('2025'!$S412), 0, 1), 6, if(ISBLANK('2025'!$T412), 0, 1), 7, 0))), 1, "")</f>
        <v/>
      </c>
      <c r="S449" s="1" t="str">
        <f>IF(AND(AND(AND(S$4&gt;='2025'!$L412,S$4&lt;='2025'!$M412), S$4&lt;&gt;DATE(2025,7,4)), (SWITCH(weekday(S$4), 1, 0, 2, if(ISBLANK('2025'!$P412), 0, 1), 3, if(ISBLANK('2025'!$Q412), 0, 1), 4, if(ISBLANK('2025'!$R412), 0, 1), 5, if(ISBLANK('2025'!$S412), 0, 1), 6, if(ISBLANK('2025'!$T412), 0, 1), 7, 0))), 1, "")</f>
        <v/>
      </c>
      <c r="T449" s="1" t="str">
        <f>IF(AND(AND(AND(T$4&gt;='2025'!$L412,T$4&lt;='2025'!$M412), T$4&lt;&gt;DATE(2025,7,4)), (SWITCH(weekday(T$4), 1, 0, 2, if(ISBLANK('2025'!$P412), 0, 1), 3, if(ISBLANK('2025'!$Q412), 0, 1), 4, if(ISBLANK('2025'!$R412), 0, 1), 5, if(ISBLANK('2025'!$S412), 0, 1), 6, if(ISBLANK('2025'!$T412), 0, 1), 7, 0))), 1, "")</f>
        <v/>
      </c>
      <c r="U449" s="1" t="str">
        <f>IF(AND(AND(AND(U$4&gt;='2025'!$L412,U$4&lt;='2025'!$M412), U$4&lt;&gt;DATE(2025,7,4)), (SWITCH(weekday(U$4), 1, 0, 2, if(ISBLANK('2025'!$P412), 0, 1), 3, if(ISBLANK('2025'!$Q412), 0, 1), 4, if(ISBLANK('2025'!$R412), 0, 1), 5, if(ISBLANK('2025'!$S412), 0, 1), 6, if(ISBLANK('2025'!$T412), 0, 1), 7, 0))), 1, "")</f>
        <v/>
      </c>
      <c r="V449" s="1" t="str">
        <f>IF(AND(AND(AND(V$4&gt;='2025'!$L412,V$4&lt;='2025'!$M412), V$4&lt;&gt;DATE(2025,7,4)), (SWITCH(weekday(V$4), 1, 0, 2, if(ISBLANK('2025'!$P412), 0, 1), 3, if(ISBLANK('2025'!$Q412), 0, 1), 4, if(ISBLANK('2025'!$R412), 0, 1), 5, if(ISBLANK('2025'!$S412), 0, 1), 6, if(ISBLANK('2025'!$T412), 0, 1), 7, 0))), 1, "")</f>
        <v/>
      </c>
      <c r="W449" s="1" t="str">
        <f>IF(AND(AND(AND(W$4&gt;='2025'!$L412,W$4&lt;='2025'!$M412), W$4&lt;&gt;DATE(2025,7,4)), (SWITCH(weekday(W$4), 1, 0, 2, if(ISBLANK('2025'!$P412), 0, 1), 3, if(ISBLANK('2025'!$Q412), 0, 1), 4, if(ISBLANK('2025'!$R412), 0, 1), 5, if(ISBLANK('2025'!$S412), 0, 1), 6, if(ISBLANK('2025'!$T412), 0, 1), 7, 0))), 1, "")</f>
        <v/>
      </c>
      <c r="X449" s="1" t="str">
        <f>IF(AND(AND(AND(X$4&gt;='2025'!$L412,X$4&lt;='2025'!$M412), X$4&lt;&gt;DATE(2025,7,4)), (SWITCH(weekday(X$4), 1, 0, 2, if(ISBLANK('2025'!$P412), 0, 1), 3, if(ISBLANK('2025'!$Q412), 0, 1), 4, if(ISBLANK('2025'!$R412), 0, 1), 5, if(ISBLANK('2025'!$S412), 0, 1), 6, if(ISBLANK('2025'!$T412), 0, 1), 7, 0))), 1, "")</f>
        <v/>
      </c>
      <c r="Y449" s="1" t="str">
        <f>IF(AND(AND(AND(Y$4&gt;='2025'!$L412,Y$4&lt;='2025'!$M412), Y$4&lt;&gt;DATE(2025,7,4)), (SWITCH(weekday(Y$4), 1, 0, 2, if(ISBLANK('2025'!$P412), 0, 1), 3, if(ISBLANK('2025'!$Q412), 0, 1), 4, if(ISBLANK('2025'!$R412), 0, 1), 5, if(ISBLANK('2025'!$S412), 0, 1), 6, if(ISBLANK('2025'!$T412), 0, 1), 7, 0))), 1, "")</f>
        <v/>
      </c>
      <c r="Z449" s="1" t="str">
        <f>IF(AND(AND(AND(Z$4&gt;='2025'!$L412,Z$4&lt;='2025'!$M412), Z$4&lt;&gt;DATE(2025,7,4)), (SWITCH(weekday(Z$4), 1, 0, 2, if(ISBLANK('2025'!$P412), 0, 1), 3, if(ISBLANK('2025'!$Q412), 0, 1), 4, if(ISBLANK('2025'!$R412), 0, 1), 5, if(ISBLANK('2025'!$S412), 0, 1), 6, if(ISBLANK('2025'!$T412), 0, 1), 7, 0))), 1, "")</f>
        <v/>
      </c>
      <c r="AA449" s="1" t="str">
        <f>IF(AND(AND(AND(AA$4&gt;='2025'!$L412,AA$4&lt;='2025'!$M412), AA$4&lt;&gt;DATE(2025,7,4)), (SWITCH(weekday(AA$4), 1, 0, 2, if(ISBLANK('2025'!$P412), 0, 1), 3, if(ISBLANK('2025'!$Q412), 0, 1), 4, if(ISBLANK('2025'!$R412), 0, 1), 5, if(ISBLANK('2025'!$S412), 0, 1), 6, if(ISBLANK('2025'!$T412), 0, 1), 7, 0))), 1, "")</f>
        <v/>
      </c>
      <c r="AB449" s="1" t="str">
        <f>IF(AND(AND(AND(AB$4&gt;='2025'!$L412,AB$4&lt;='2025'!$M412), AB$4&lt;&gt;DATE(2025,7,4)), (SWITCH(weekday(AB$4), 1, 0, 2, if(ISBLANK('2025'!$P412), 0, 1), 3, if(ISBLANK('2025'!$Q412), 0, 1), 4, if(ISBLANK('2025'!$R412), 0, 1), 5, if(ISBLANK('2025'!$S412), 0, 1), 6, if(ISBLANK('2025'!$T412), 0, 1), 7, 0))), 1, "")</f>
        <v/>
      </c>
      <c r="AC449" s="1" t="str">
        <f>IF(AND(AND(AND(AC$4&gt;='2025'!$L412,AC$4&lt;='2025'!$M412), AC$4&lt;&gt;DATE(2025,7,4)), (SWITCH(weekday(AC$4), 1, 0, 2, if(ISBLANK('2025'!$P412), 0, 1), 3, if(ISBLANK('2025'!$Q412), 0, 1), 4, if(ISBLANK('2025'!$R412), 0, 1), 5, if(ISBLANK('2025'!$S412), 0, 1), 6, if(ISBLANK('2025'!$T412), 0, 1), 7, 0))), 1, "")</f>
        <v/>
      </c>
      <c r="AD449" s="1" t="str">
        <f>IF(AND(AND(AND(AD$4&gt;='2025'!$L412,AD$4&lt;='2025'!$M412), AD$4&lt;&gt;DATE(2025,7,4)), (SWITCH(weekday(AD$4), 1, 0, 2, if(ISBLANK('2025'!$P412), 0, 1), 3, if(ISBLANK('2025'!$Q412), 0, 1), 4, if(ISBLANK('2025'!$R412), 0, 1), 5, if(ISBLANK('2025'!$S412), 0, 1), 6, if(ISBLANK('2025'!$T412), 0, 1), 7, 0))), 1, "")</f>
        <v/>
      </c>
      <c r="AE449" s="1" t="str">
        <f>IF(AND(AND(AND(AE$4&gt;='2025'!$L412,AE$4&lt;='2025'!$M412), AE$4&lt;&gt;DATE(2025,7,4)), (SWITCH(weekday(AE$4), 1, 0, 2, if(ISBLANK('2025'!$P412), 0, 1), 3, if(ISBLANK('2025'!$Q412), 0, 1), 4, if(ISBLANK('2025'!$R412), 0, 1), 5, if(ISBLANK('2025'!$S412), 0, 1), 6, if(ISBLANK('2025'!$T412), 0, 1), 7, 0))), 1, "")</f>
        <v/>
      </c>
      <c r="AF449" s="1" t="str">
        <f>IF(AND(AND(AND(AF$4&gt;='2025'!$L412,AF$4&lt;='2025'!$M412), AF$4&lt;&gt;DATE(2025,7,4)), (SWITCH(weekday(AF$4), 1, 0, 2, if(ISBLANK('2025'!$P412), 0, 1), 3, if(ISBLANK('2025'!$Q412), 0, 1), 4, if(ISBLANK('2025'!$R412), 0, 1), 5, if(ISBLANK('2025'!$S412), 0, 1), 6, if(ISBLANK('2025'!$T412), 0, 1), 7, 0))), 1, "")</f>
        <v/>
      </c>
      <c r="AG449" s="1" t="str">
        <f>IF(AND(AND(AND(AG$4&gt;='2025'!$L412,AG$4&lt;='2025'!$M412), AG$4&lt;&gt;DATE(2025,7,4)), (SWITCH(weekday(AG$4), 1, 0, 2, if(ISBLANK('2025'!$P412), 0, 1), 3, if(ISBLANK('2025'!$Q412), 0, 1), 4, if(ISBLANK('2025'!$R412), 0, 1), 5, if(ISBLANK('2025'!$S412), 0, 1), 6, if(ISBLANK('2025'!$T412), 0, 1), 7, 0))), 1, "")</f>
        <v/>
      </c>
      <c r="AH449" s="1" t="str">
        <f>IF(AND(AND(AND(AH$4&gt;='2025'!$L412,AH$4&lt;='2025'!$M412), AH$4&lt;&gt;DATE(2025,7,4)), (SWITCH(weekday(AH$4), 1, 0, 2, if(ISBLANK('2025'!$P412), 0, 1), 3, if(ISBLANK('2025'!$Q412), 0, 1), 4, if(ISBLANK('2025'!$R412), 0, 1), 5, if(ISBLANK('2025'!$S412), 0, 1), 6, if(ISBLANK('2025'!$T412), 0, 1), 7, 0))), 1, "")</f>
        <v/>
      </c>
      <c r="AI449" s="1" t="str">
        <f>IF(AND(AND(AND(AI$4&gt;='2025'!$L412,AI$4&lt;='2025'!$M412), AI$4&lt;&gt;DATE(2025,7,4)), (SWITCH(weekday(AI$4), 1, 0, 2, if(ISBLANK('2025'!$P412), 0, 1), 3, if(ISBLANK('2025'!$Q412), 0, 1), 4, if(ISBLANK('2025'!$R412), 0, 1), 5, if(ISBLANK('2025'!$S412), 0, 1), 6, if(ISBLANK('2025'!$T412), 0, 1), 7, 0))), 1, "")</f>
        <v/>
      </c>
      <c r="AJ449" s="1" t="str">
        <f>IF(AND(AND(AND(AJ$4&gt;='2025'!$L412,AJ$4&lt;='2025'!$M412), AJ$4&lt;&gt;DATE(2025,7,4)), (SWITCH(weekday(AJ$4), 1, 0, 2, if(ISBLANK('2025'!$P412), 0, 1), 3, if(ISBLANK('2025'!$Q412), 0, 1), 4, if(ISBLANK('2025'!$R412), 0, 1), 5, if(ISBLANK('2025'!$S412), 0, 1), 6, if(ISBLANK('2025'!$T412), 0, 1), 7, 0))), 1, "")</f>
        <v/>
      </c>
      <c r="AK449" s="1" t="str">
        <f>IF(AND(AND(AND(AK$4&gt;='2025'!$L412,AK$4&lt;='2025'!$M412), AK$4&lt;&gt;DATE(2025,7,4)), (SWITCH(weekday(AK$4), 1, 0, 2, if(ISBLANK('2025'!$P412), 0, 1), 3, if(ISBLANK('2025'!$Q412), 0, 1), 4, if(ISBLANK('2025'!$R412), 0, 1), 5, if(ISBLANK('2025'!$S412), 0, 1), 6, if(ISBLANK('2025'!$T412), 0, 1), 7, 0))), 1, "")</f>
        <v/>
      </c>
      <c r="AL449" s="1" t="str">
        <f>IF(AND(AND(AND(AL$4&gt;='2025'!$L412,AL$4&lt;='2025'!$M412), AL$4&lt;&gt;DATE(2025,7,4)), (SWITCH(weekday(AL$4), 1, 0, 2, if(ISBLANK('2025'!$P412), 0, 1), 3, if(ISBLANK('2025'!$Q412), 0, 1), 4, if(ISBLANK('2025'!$R412), 0, 1), 5, if(ISBLANK('2025'!$S412), 0, 1), 6, if(ISBLANK('2025'!$T412), 0, 1), 7, 0))), 1, "")</f>
        <v/>
      </c>
      <c r="AM449" s="1" t="str">
        <f>IF(AND(AND(AND(AM$4&gt;='2025'!$L412,AM$4&lt;='2025'!$M412), AM$4&lt;&gt;DATE(2025,7,4)), (SWITCH(weekday(AM$4), 1, 0, 2, if(ISBLANK('2025'!$P412), 0, 1), 3, if(ISBLANK('2025'!$Q412), 0, 1), 4, if(ISBLANK('2025'!$R412), 0, 1), 5, if(ISBLANK('2025'!$S412), 0, 1), 6, if(ISBLANK('2025'!$T412), 0, 1), 7, 0))), 1, "")</f>
        <v/>
      </c>
      <c r="AN449" s="1" t="str">
        <f>IF(AND(AND(AND(AN$4&gt;='2025'!$L412,AN$4&lt;='2025'!$M412), AN$4&lt;&gt;DATE(2025,7,4)), (SWITCH(weekday(AN$4), 1, 0, 2, if(ISBLANK('2025'!$P412), 0, 1), 3, if(ISBLANK('2025'!$Q412), 0, 1), 4, if(ISBLANK('2025'!$R412), 0, 1), 5, if(ISBLANK('2025'!$S412), 0, 1), 6, if(ISBLANK('2025'!$T412), 0, 1), 7, 0))), 1, "")</f>
        <v/>
      </c>
      <c r="AO449" s="1" t="str">
        <f>IF(AND(AND(AND(AO$4&gt;='2025'!$L412,AO$4&lt;='2025'!$M412), AO$4&lt;&gt;DATE(2025,7,4)), (SWITCH(weekday(AO$4), 1, 0, 2, if(ISBLANK('2025'!$P412), 0, 1), 3, if(ISBLANK('2025'!$Q412), 0, 1), 4, if(ISBLANK('2025'!$R412), 0, 1), 5, if(ISBLANK('2025'!$S412), 0, 1), 6, if(ISBLANK('2025'!$T412), 0, 1), 7, 0))), 1, "")</f>
        <v/>
      </c>
      <c r="AP449" s="1" t="str">
        <f>IF(AND(AND(AND(AP$4&gt;='2025'!$L412,AP$4&lt;='2025'!$M412), AP$4&lt;&gt;DATE(2025,7,4)), (SWITCH(weekday(AP$4), 1, 0, 2, if(ISBLANK('2025'!$P412), 0, 1), 3, if(ISBLANK('2025'!$Q412), 0, 1), 4, if(ISBLANK('2025'!$R412), 0, 1), 5, if(ISBLANK('2025'!$S412), 0, 1), 6, if(ISBLANK('2025'!$T412), 0, 1), 7, 0))), 1, "")</f>
        <v/>
      </c>
      <c r="AQ449" s="1" t="str">
        <f>IF(AND(AND(AND(AQ$4&gt;='2025'!$L412,AQ$4&lt;='2025'!$M412), AQ$4&lt;&gt;DATE(2025,7,4)), (SWITCH(weekday(AQ$4), 1, 0, 2, if(ISBLANK('2025'!$P412), 0, 1), 3, if(ISBLANK('2025'!$Q412), 0, 1), 4, if(ISBLANK('2025'!$R412), 0, 1), 5, if(ISBLANK('2025'!$S412), 0, 1), 6, if(ISBLANK('2025'!$T412), 0, 1), 7, 0))), 1, "")</f>
        <v/>
      </c>
      <c r="AR449" s="1" t="str">
        <f>IF(AND(AND(AND(AR$4&gt;='2025'!$L412,AR$4&lt;='2025'!$M412), AR$4&lt;&gt;DATE(2025,7,4)), (SWITCH(weekday(AR$4), 1, 0, 2, if(ISBLANK('2025'!$P412), 0, 1), 3, if(ISBLANK('2025'!$Q412), 0, 1), 4, if(ISBLANK('2025'!$R412), 0, 1), 5, if(ISBLANK('2025'!$S412), 0, 1), 6, if(ISBLANK('2025'!$T412), 0, 1), 7, 0))), 1, "")</f>
        <v/>
      </c>
      <c r="AS449" s="1" t="str">
        <f>IF(AND(AND(AND(AS$4&gt;='2025'!$L412,AS$4&lt;='2025'!$M412), AS$4&lt;&gt;DATE(2025,7,4)), (SWITCH(weekday(AS$4), 1, 0, 2, if(ISBLANK('2025'!$P412), 0, 1), 3, if(ISBLANK('2025'!$Q412), 0, 1), 4, if(ISBLANK('2025'!$R412), 0, 1), 5, if(ISBLANK('2025'!$S412), 0, 1), 6, if(ISBLANK('2025'!$T412), 0, 1), 7, 0))), 1, "")</f>
        <v/>
      </c>
      <c r="AT449" s="1" t="str">
        <f>IF(AND(AND(AND(AT$4&gt;='2025'!$L412,AT$4&lt;='2025'!$M412), AT$4&lt;&gt;DATE(2025,7,4)), (SWITCH(weekday(AT$4), 1, 0, 2, if(ISBLANK('2025'!$P412), 0, 1), 3, if(ISBLANK('2025'!$Q412), 0, 1), 4, if(ISBLANK('2025'!$R412), 0, 1), 5, if(ISBLANK('2025'!$S412), 0, 1), 6, if(ISBLANK('2025'!$T412), 0, 1), 7, 0))), 1, "")</f>
        <v/>
      </c>
      <c r="AU449" s="1" t="str">
        <f>IF(AND(AND(AND(AU$4&gt;='2025'!$L412,AU$4&lt;='2025'!$M412), AU$4&lt;&gt;DATE(2025,7,4)), (SWITCH(weekday(AU$4), 1, 0, 2, if(ISBLANK('2025'!$P412), 0, 1), 3, if(ISBLANK('2025'!$Q412), 0, 1), 4, if(ISBLANK('2025'!$R412), 0, 1), 5, if(ISBLANK('2025'!$S412), 0, 1), 6, if(ISBLANK('2025'!$T412), 0, 1), 7, 0))), 1, "")</f>
        <v/>
      </c>
      <c r="AV449" s="1" t="str">
        <f>IF(AND(AND(AND(AV$4&gt;='2025'!$L412,AV$4&lt;='2025'!$M412), AV$4&lt;&gt;DATE(2025,7,4)), (SWITCH(weekday(AV$4), 1, 0, 2, if(ISBLANK('2025'!$P412), 0, 1), 3, if(ISBLANK('2025'!$Q412), 0, 1), 4, if(ISBLANK('2025'!$R412), 0, 1), 5, if(ISBLANK('2025'!$S412), 0, 1), 6, if(ISBLANK('2025'!$T412), 0, 1), 7, 0))), 1, "")</f>
        <v/>
      </c>
      <c r="AW449" s="1" t="str">
        <f>IF(AND(AND(AND(AW$4&gt;='2025'!$L412,AW$4&lt;='2025'!$M412), AW$4&lt;&gt;DATE(2025,7,4)), (SWITCH(weekday(AW$4), 1, 0, 2, if(ISBLANK('2025'!$P412), 0, 1), 3, if(ISBLANK('2025'!$Q412), 0, 1), 4, if(ISBLANK('2025'!$R412), 0, 1), 5, if(ISBLANK('2025'!$S412), 0, 1), 6, if(ISBLANK('2025'!$T412), 0, 1), 7, 0))), 1, "")</f>
        <v/>
      </c>
      <c r="AX449" s="1" t="str">
        <f>IF(AND(AND(AND(AX$4&gt;='2025'!$L412,AX$4&lt;='2025'!$M412), AX$4&lt;&gt;DATE(2025,7,4)), (SWITCH(weekday(AX$4), 1, 0, 2, if(ISBLANK('2025'!$P412), 0, 1), 3, if(ISBLANK('2025'!$Q412), 0, 1), 4, if(ISBLANK('2025'!$R412), 0, 1), 5, if(ISBLANK('2025'!$S412), 0, 1), 6, if(ISBLANK('2025'!$T412), 0, 1), 7, 0))), 1, "")</f>
        <v/>
      </c>
      <c r="AY449" s="1" t="str">
        <f>IF(AND(AND(AND(AY$4&gt;='2025'!$L412,AY$4&lt;='2025'!$M412), AY$4&lt;&gt;DATE(2025,7,4)), (SWITCH(weekday(AY$4), 1, 0, 2, if(ISBLANK('2025'!$P412), 0, 1), 3, if(ISBLANK('2025'!$Q412), 0, 1), 4, if(ISBLANK('2025'!$R412), 0, 1), 5, if(ISBLANK('2025'!$S412), 0, 1), 6, if(ISBLANK('2025'!$T412), 0, 1), 7, 0))), 1, "")</f>
        <v/>
      </c>
      <c r="AZ449" s="1" t="str">
        <f>IF(AND(AND(AND(AZ$4&gt;='2025'!$L412,AZ$4&lt;='2025'!$M412), AZ$4&lt;&gt;DATE(2025,7,4)), (SWITCH(weekday(AZ$4), 1, 0, 2, if(ISBLANK('2025'!$P412), 0, 1), 3, if(ISBLANK('2025'!$Q412), 0, 1), 4, if(ISBLANK('2025'!$R412), 0, 1), 5, if(ISBLANK('2025'!$S412), 0, 1), 6, if(ISBLANK('2025'!$T412), 0, 1), 7, 0))), 1, "")</f>
        <v/>
      </c>
      <c r="BA449" s="1" t="str">
        <f>IF(AND(AND(AND(BA$4&gt;='2025'!$L412,BA$4&lt;='2025'!$M412), BA$4&lt;&gt;DATE(2025,7,4)), (SWITCH(weekday(BA$4), 1, 0, 2, if(ISBLANK('2025'!$P412), 0, 1), 3, if(ISBLANK('2025'!$Q412), 0, 1), 4, if(ISBLANK('2025'!$R412), 0, 1), 5, if(ISBLANK('2025'!$S412), 0, 1), 6, if(ISBLANK('2025'!$T412), 0, 1), 7, 0))), 1, "")</f>
        <v/>
      </c>
      <c r="BB449" s="1" t="str">
        <f>IF(AND(AND(AND(BB$4&gt;='2025'!$L412,BB$4&lt;='2025'!$M412), BB$4&lt;&gt;DATE(2025,7,4)), (SWITCH(weekday(BB$4), 1, 0, 2, if(ISBLANK('2025'!$P412), 0, 1), 3, if(ISBLANK('2025'!$Q412), 0, 1), 4, if(ISBLANK('2025'!$R412), 0, 1), 5, if(ISBLANK('2025'!$S412), 0, 1), 6, if(ISBLANK('2025'!$T412), 0, 1), 7, 0))), 1, "")</f>
        <v/>
      </c>
      <c r="BC449" s="1" t="str">
        <f>IF(AND(AND(AND(BC$4&gt;='2025'!$L412,BC$4&lt;='2025'!$M412), BC$4&lt;&gt;DATE(2025,7,4)), (SWITCH(weekday(BC$4), 1, 0, 2, if(ISBLANK('2025'!$P412), 0, 1), 3, if(ISBLANK('2025'!$Q412), 0, 1), 4, if(ISBLANK('2025'!$R412), 0, 1), 5, if(ISBLANK('2025'!$S412), 0, 1), 6, if(ISBLANK('2025'!$T412), 0, 1), 7, 0))), 1, "")</f>
        <v/>
      </c>
      <c r="BD449" s="1" t="str">
        <f>IF(AND(AND(AND(BD$4&gt;='2025'!$L412,BD$4&lt;='2025'!$M412), BD$4&lt;&gt;DATE(2025,7,4)), (SWITCH(weekday(BD$4), 1, 0, 2, if(ISBLANK('2025'!$P412), 0, 1), 3, if(ISBLANK('2025'!$Q412), 0, 1), 4, if(ISBLANK('2025'!$R412), 0, 1), 5, if(ISBLANK('2025'!$S412), 0, 1), 6, if(ISBLANK('2025'!$T412), 0, 1), 7, 0))), 1, "")</f>
        <v/>
      </c>
      <c r="BE449" s="1" t="str">
        <f>IF(AND(AND(AND(BE$4&gt;='2025'!$L412,BE$4&lt;='2025'!$M412), BE$4&lt;&gt;DATE(2025,7,4)), (SWITCH(weekday(BE$4), 1, 0, 2, if(ISBLANK('2025'!$P412), 0, 1), 3, if(ISBLANK('2025'!$Q412), 0, 1), 4, if(ISBLANK('2025'!$R412), 0, 1), 5, if(ISBLANK('2025'!$S412), 0, 1), 6, if(ISBLANK('2025'!$T412), 0, 1), 7, 0))), 1, "")</f>
        <v/>
      </c>
    </row>
    <row r="450">
      <c r="A450" s="1">
        <f t="shared" si="3"/>
        <v>450</v>
      </c>
      <c r="B450" s="1" t="str">
        <f>'2025'!D413</f>
        <v/>
      </c>
      <c r="C450" s="1" t="str">
        <f>'2025'!H413</f>
        <v/>
      </c>
      <c r="D450" s="1" t="str">
        <f>IF(AND(AND(AND(D$4&gt;='2025'!$L413,D$4&lt;='2025'!$M413), D$4&lt;&gt;DATE(2025,7,4)), (SWITCH(weekday(D$4), 1, 0, 2, if(ISBLANK('2025'!$P413), 0, 1), 3, if(ISBLANK('2025'!$Q413), 0, 1), 4, if(ISBLANK('2025'!$R413), 0, 1), 5, if(ISBLANK('2025'!$S413), 0, 1), 6, if(ISBLANK('2025'!$T413), 0, 1), 7, 0))), 1, "")</f>
        <v/>
      </c>
      <c r="E450" s="1" t="str">
        <f>IF(AND(AND(AND(E$4&gt;='2025'!$L413,E$4&lt;='2025'!$M413), E$4&lt;&gt;DATE(2025,7,4)), (SWITCH(weekday(E$4), 1, 0, 2, if(ISBLANK('2025'!$P413), 0, 1), 3, if(ISBLANK('2025'!$Q413), 0, 1), 4, if(ISBLANK('2025'!$R413), 0, 1), 5, if(ISBLANK('2025'!$S413), 0, 1), 6, if(ISBLANK('2025'!$T413), 0, 1), 7, 0))), 1, "")</f>
        <v/>
      </c>
      <c r="F450" s="1" t="str">
        <f>IF(AND(AND(AND(F$4&gt;='2025'!$L413,F$4&lt;='2025'!$M413), F$4&lt;&gt;DATE(2025,7,4)), (SWITCH(weekday(F$4), 1, 0, 2, if(ISBLANK('2025'!$P413), 0, 1), 3, if(ISBLANK('2025'!$Q413), 0, 1), 4, if(ISBLANK('2025'!$R413), 0, 1), 5, if(ISBLANK('2025'!$S413), 0, 1), 6, if(ISBLANK('2025'!$T413), 0, 1), 7, 0))), 1, "")</f>
        <v/>
      </c>
      <c r="G450" s="1" t="str">
        <f>IF(AND(AND(AND(G$4&gt;='2025'!$L413,G$4&lt;='2025'!$M413), G$4&lt;&gt;DATE(2025,7,4)), (SWITCH(weekday(G$4), 1, 0, 2, if(ISBLANK('2025'!$P413), 0, 1), 3, if(ISBLANK('2025'!$Q413), 0, 1), 4, if(ISBLANK('2025'!$R413), 0, 1), 5, if(ISBLANK('2025'!$S413), 0, 1), 6, if(ISBLANK('2025'!$T413), 0, 1), 7, 0))), 1, "")</f>
        <v/>
      </c>
      <c r="H450" s="1" t="str">
        <f>IF(AND(AND(AND(H$4&gt;='2025'!$L413,H$4&lt;='2025'!$M413), H$4&lt;&gt;DATE(2025,7,4)), (SWITCH(weekday(H$4), 1, 0, 2, if(ISBLANK('2025'!$P413), 0, 1), 3, if(ISBLANK('2025'!$Q413), 0, 1), 4, if(ISBLANK('2025'!$R413), 0, 1), 5, if(ISBLANK('2025'!$S413), 0, 1), 6, if(ISBLANK('2025'!$T413), 0, 1), 7, 0))), 1, "")</f>
        <v/>
      </c>
      <c r="I450" s="1" t="str">
        <f>IF(AND(AND(AND(I$4&gt;='2025'!$L413,I$4&lt;='2025'!$M413), I$4&lt;&gt;DATE(2025,7,4)), (SWITCH(weekday(I$4), 1, 0, 2, if(ISBLANK('2025'!$P413), 0, 1), 3, if(ISBLANK('2025'!$Q413), 0, 1), 4, if(ISBLANK('2025'!$R413), 0, 1), 5, if(ISBLANK('2025'!$S413), 0, 1), 6, if(ISBLANK('2025'!$T413), 0, 1), 7, 0))), 1, "")</f>
        <v/>
      </c>
      <c r="J450" s="1" t="str">
        <f>IF(AND(AND(AND(J$4&gt;='2025'!$L413,J$4&lt;='2025'!$M413), J$4&lt;&gt;DATE(2025,7,4)), (SWITCH(weekday(J$4), 1, 0, 2, if(ISBLANK('2025'!$P413), 0, 1), 3, if(ISBLANK('2025'!$Q413), 0, 1), 4, if(ISBLANK('2025'!$R413), 0, 1), 5, if(ISBLANK('2025'!$S413), 0, 1), 6, if(ISBLANK('2025'!$T413), 0, 1), 7, 0))), 1, "")</f>
        <v/>
      </c>
      <c r="K450" s="1" t="str">
        <f>IF(AND(AND(AND(K$4&gt;='2025'!$L413,K$4&lt;='2025'!$M413), K$4&lt;&gt;DATE(2025,7,4)), (SWITCH(weekday(K$4), 1, 0, 2, if(ISBLANK('2025'!$P413), 0, 1), 3, if(ISBLANK('2025'!$Q413), 0, 1), 4, if(ISBLANK('2025'!$R413), 0, 1), 5, if(ISBLANK('2025'!$S413), 0, 1), 6, if(ISBLANK('2025'!$T413), 0, 1), 7, 0))), 1, "")</f>
        <v/>
      </c>
      <c r="L450" s="1" t="str">
        <f>IF(AND(AND(AND(L$4&gt;='2025'!$L413,L$4&lt;='2025'!$M413), L$4&lt;&gt;DATE(2025,7,4)), (SWITCH(weekday(L$4), 1, 0, 2, if(ISBLANK('2025'!$P413), 0, 1), 3, if(ISBLANK('2025'!$Q413), 0, 1), 4, if(ISBLANK('2025'!$R413), 0, 1), 5, if(ISBLANK('2025'!$S413), 0, 1), 6, if(ISBLANK('2025'!$T413), 0, 1), 7, 0))), 1, "")</f>
        <v/>
      </c>
      <c r="M450" s="1" t="str">
        <f>IF(AND(AND(AND(M$4&gt;='2025'!$L413,M$4&lt;='2025'!$M413), M$4&lt;&gt;DATE(2025,7,4)), (SWITCH(weekday(M$4), 1, 0, 2, if(ISBLANK('2025'!$P413), 0, 1), 3, if(ISBLANK('2025'!$Q413), 0, 1), 4, if(ISBLANK('2025'!$R413), 0, 1), 5, if(ISBLANK('2025'!$S413), 0, 1), 6, if(ISBLANK('2025'!$T413), 0, 1), 7, 0))), 1, "")</f>
        <v/>
      </c>
      <c r="N450" s="1" t="str">
        <f>IF(AND(AND(AND(N$4&gt;='2025'!$L413,N$4&lt;='2025'!$M413), N$4&lt;&gt;DATE(2025,7,4)), (SWITCH(weekday(N$4), 1, 0, 2, if(ISBLANK('2025'!$P413), 0, 1), 3, if(ISBLANK('2025'!$Q413), 0, 1), 4, if(ISBLANK('2025'!$R413), 0, 1), 5, if(ISBLANK('2025'!$S413), 0, 1), 6, if(ISBLANK('2025'!$T413), 0, 1), 7, 0))), 1, "")</f>
        <v/>
      </c>
      <c r="O450" s="1" t="str">
        <f>IF(AND(AND(AND(O$4&gt;='2025'!$L413,O$4&lt;='2025'!$M413), O$4&lt;&gt;DATE(2025,7,4)), (SWITCH(weekday(O$4), 1, 0, 2, if(ISBLANK('2025'!$P413), 0, 1), 3, if(ISBLANK('2025'!$Q413), 0, 1), 4, if(ISBLANK('2025'!$R413), 0, 1), 5, if(ISBLANK('2025'!$S413), 0, 1), 6, if(ISBLANK('2025'!$T413), 0, 1), 7, 0))), 1, "")</f>
        <v/>
      </c>
      <c r="P450" s="1" t="str">
        <f>IF(AND(AND(AND(P$4&gt;='2025'!$L413,P$4&lt;='2025'!$M413), P$4&lt;&gt;DATE(2025,7,4)), (SWITCH(weekday(P$4), 1, 0, 2, if(ISBLANK('2025'!$P413), 0, 1), 3, if(ISBLANK('2025'!$Q413), 0, 1), 4, if(ISBLANK('2025'!$R413), 0, 1), 5, if(ISBLANK('2025'!$S413), 0, 1), 6, if(ISBLANK('2025'!$T413), 0, 1), 7, 0))), 1, "")</f>
        <v/>
      </c>
      <c r="Q450" s="1" t="str">
        <f>IF(AND(AND(AND(Q$4&gt;='2025'!$L413,Q$4&lt;='2025'!$M413), Q$4&lt;&gt;DATE(2025,7,4)), (SWITCH(weekday(Q$4), 1, 0, 2, if(ISBLANK('2025'!$P413), 0, 1), 3, if(ISBLANK('2025'!$Q413), 0, 1), 4, if(ISBLANK('2025'!$R413), 0, 1), 5, if(ISBLANK('2025'!$S413), 0, 1), 6, if(ISBLANK('2025'!$T413), 0, 1), 7, 0))), 1, "")</f>
        <v/>
      </c>
      <c r="R450" s="1" t="str">
        <f>IF(AND(AND(AND(R$4&gt;='2025'!$L413,R$4&lt;='2025'!$M413), R$4&lt;&gt;DATE(2025,7,4)), (SWITCH(weekday(R$4), 1, 0, 2, if(ISBLANK('2025'!$P413), 0, 1), 3, if(ISBLANK('2025'!$Q413), 0, 1), 4, if(ISBLANK('2025'!$R413), 0, 1), 5, if(ISBLANK('2025'!$S413), 0, 1), 6, if(ISBLANK('2025'!$T413), 0, 1), 7, 0))), 1, "")</f>
        <v/>
      </c>
      <c r="S450" s="1" t="str">
        <f>IF(AND(AND(AND(S$4&gt;='2025'!$L413,S$4&lt;='2025'!$M413), S$4&lt;&gt;DATE(2025,7,4)), (SWITCH(weekday(S$4), 1, 0, 2, if(ISBLANK('2025'!$P413), 0, 1), 3, if(ISBLANK('2025'!$Q413), 0, 1), 4, if(ISBLANK('2025'!$R413), 0, 1), 5, if(ISBLANK('2025'!$S413), 0, 1), 6, if(ISBLANK('2025'!$T413), 0, 1), 7, 0))), 1, "")</f>
        <v/>
      </c>
      <c r="T450" s="1" t="str">
        <f>IF(AND(AND(AND(T$4&gt;='2025'!$L413,T$4&lt;='2025'!$M413), T$4&lt;&gt;DATE(2025,7,4)), (SWITCH(weekday(T$4), 1, 0, 2, if(ISBLANK('2025'!$P413), 0, 1), 3, if(ISBLANK('2025'!$Q413), 0, 1), 4, if(ISBLANK('2025'!$R413), 0, 1), 5, if(ISBLANK('2025'!$S413), 0, 1), 6, if(ISBLANK('2025'!$T413), 0, 1), 7, 0))), 1, "")</f>
        <v/>
      </c>
      <c r="U450" s="1" t="str">
        <f>IF(AND(AND(AND(U$4&gt;='2025'!$L413,U$4&lt;='2025'!$M413), U$4&lt;&gt;DATE(2025,7,4)), (SWITCH(weekday(U$4), 1, 0, 2, if(ISBLANK('2025'!$P413), 0, 1), 3, if(ISBLANK('2025'!$Q413), 0, 1), 4, if(ISBLANK('2025'!$R413), 0, 1), 5, if(ISBLANK('2025'!$S413), 0, 1), 6, if(ISBLANK('2025'!$T413), 0, 1), 7, 0))), 1, "")</f>
        <v/>
      </c>
      <c r="V450" s="1" t="str">
        <f>IF(AND(AND(AND(V$4&gt;='2025'!$L413,V$4&lt;='2025'!$M413), V$4&lt;&gt;DATE(2025,7,4)), (SWITCH(weekday(V$4), 1, 0, 2, if(ISBLANK('2025'!$P413), 0, 1), 3, if(ISBLANK('2025'!$Q413), 0, 1), 4, if(ISBLANK('2025'!$R413), 0, 1), 5, if(ISBLANK('2025'!$S413), 0, 1), 6, if(ISBLANK('2025'!$T413), 0, 1), 7, 0))), 1, "")</f>
        <v/>
      </c>
      <c r="W450" s="1" t="str">
        <f>IF(AND(AND(AND(W$4&gt;='2025'!$L413,W$4&lt;='2025'!$M413), W$4&lt;&gt;DATE(2025,7,4)), (SWITCH(weekday(W$4), 1, 0, 2, if(ISBLANK('2025'!$P413), 0, 1), 3, if(ISBLANK('2025'!$Q413), 0, 1), 4, if(ISBLANK('2025'!$R413), 0, 1), 5, if(ISBLANK('2025'!$S413), 0, 1), 6, if(ISBLANK('2025'!$T413), 0, 1), 7, 0))), 1, "")</f>
        <v/>
      </c>
      <c r="X450" s="1" t="str">
        <f>IF(AND(AND(AND(X$4&gt;='2025'!$L413,X$4&lt;='2025'!$M413), X$4&lt;&gt;DATE(2025,7,4)), (SWITCH(weekday(X$4), 1, 0, 2, if(ISBLANK('2025'!$P413), 0, 1), 3, if(ISBLANK('2025'!$Q413), 0, 1), 4, if(ISBLANK('2025'!$R413), 0, 1), 5, if(ISBLANK('2025'!$S413), 0, 1), 6, if(ISBLANK('2025'!$T413), 0, 1), 7, 0))), 1, "")</f>
        <v/>
      </c>
      <c r="Y450" s="1" t="str">
        <f>IF(AND(AND(AND(Y$4&gt;='2025'!$L413,Y$4&lt;='2025'!$M413), Y$4&lt;&gt;DATE(2025,7,4)), (SWITCH(weekday(Y$4), 1, 0, 2, if(ISBLANK('2025'!$P413), 0, 1), 3, if(ISBLANK('2025'!$Q413), 0, 1), 4, if(ISBLANK('2025'!$R413), 0, 1), 5, if(ISBLANK('2025'!$S413), 0, 1), 6, if(ISBLANK('2025'!$T413), 0, 1), 7, 0))), 1, "")</f>
        <v/>
      </c>
      <c r="Z450" s="1" t="str">
        <f>IF(AND(AND(AND(Z$4&gt;='2025'!$L413,Z$4&lt;='2025'!$M413), Z$4&lt;&gt;DATE(2025,7,4)), (SWITCH(weekday(Z$4), 1, 0, 2, if(ISBLANK('2025'!$P413), 0, 1), 3, if(ISBLANK('2025'!$Q413), 0, 1), 4, if(ISBLANK('2025'!$R413), 0, 1), 5, if(ISBLANK('2025'!$S413), 0, 1), 6, if(ISBLANK('2025'!$T413), 0, 1), 7, 0))), 1, "")</f>
        <v/>
      </c>
      <c r="AA450" s="1" t="str">
        <f>IF(AND(AND(AND(AA$4&gt;='2025'!$L413,AA$4&lt;='2025'!$M413), AA$4&lt;&gt;DATE(2025,7,4)), (SWITCH(weekday(AA$4), 1, 0, 2, if(ISBLANK('2025'!$P413), 0, 1), 3, if(ISBLANK('2025'!$Q413), 0, 1), 4, if(ISBLANK('2025'!$R413), 0, 1), 5, if(ISBLANK('2025'!$S413), 0, 1), 6, if(ISBLANK('2025'!$T413), 0, 1), 7, 0))), 1, "")</f>
        <v/>
      </c>
      <c r="AB450" s="1" t="str">
        <f>IF(AND(AND(AND(AB$4&gt;='2025'!$L413,AB$4&lt;='2025'!$M413), AB$4&lt;&gt;DATE(2025,7,4)), (SWITCH(weekday(AB$4), 1, 0, 2, if(ISBLANK('2025'!$P413), 0, 1), 3, if(ISBLANK('2025'!$Q413), 0, 1), 4, if(ISBLANK('2025'!$R413), 0, 1), 5, if(ISBLANK('2025'!$S413), 0, 1), 6, if(ISBLANK('2025'!$T413), 0, 1), 7, 0))), 1, "")</f>
        <v/>
      </c>
      <c r="AC450" s="1" t="str">
        <f>IF(AND(AND(AND(AC$4&gt;='2025'!$L413,AC$4&lt;='2025'!$M413), AC$4&lt;&gt;DATE(2025,7,4)), (SWITCH(weekday(AC$4), 1, 0, 2, if(ISBLANK('2025'!$P413), 0, 1), 3, if(ISBLANK('2025'!$Q413), 0, 1), 4, if(ISBLANK('2025'!$R413), 0, 1), 5, if(ISBLANK('2025'!$S413), 0, 1), 6, if(ISBLANK('2025'!$T413), 0, 1), 7, 0))), 1, "")</f>
        <v/>
      </c>
      <c r="AD450" s="1" t="str">
        <f>IF(AND(AND(AND(AD$4&gt;='2025'!$L413,AD$4&lt;='2025'!$M413), AD$4&lt;&gt;DATE(2025,7,4)), (SWITCH(weekday(AD$4), 1, 0, 2, if(ISBLANK('2025'!$P413), 0, 1), 3, if(ISBLANK('2025'!$Q413), 0, 1), 4, if(ISBLANK('2025'!$R413), 0, 1), 5, if(ISBLANK('2025'!$S413), 0, 1), 6, if(ISBLANK('2025'!$T413), 0, 1), 7, 0))), 1, "")</f>
        <v/>
      </c>
      <c r="AE450" s="1" t="str">
        <f>IF(AND(AND(AND(AE$4&gt;='2025'!$L413,AE$4&lt;='2025'!$M413), AE$4&lt;&gt;DATE(2025,7,4)), (SWITCH(weekday(AE$4), 1, 0, 2, if(ISBLANK('2025'!$P413), 0, 1), 3, if(ISBLANK('2025'!$Q413), 0, 1), 4, if(ISBLANK('2025'!$R413), 0, 1), 5, if(ISBLANK('2025'!$S413), 0, 1), 6, if(ISBLANK('2025'!$T413), 0, 1), 7, 0))), 1, "")</f>
        <v/>
      </c>
      <c r="AF450" s="1" t="str">
        <f>IF(AND(AND(AND(AF$4&gt;='2025'!$L413,AF$4&lt;='2025'!$M413), AF$4&lt;&gt;DATE(2025,7,4)), (SWITCH(weekday(AF$4), 1, 0, 2, if(ISBLANK('2025'!$P413), 0, 1), 3, if(ISBLANK('2025'!$Q413), 0, 1), 4, if(ISBLANK('2025'!$R413), 0, 1), 5, if(ISBLANK('2025'!$S413), 0, 1), 6, if(ISBLANK('2025'!$T413), 0, 1), 7, 0))), 1, "")</f>
        <v/>
      </c>
      <c r="AG450" s="1" t="str">
        <f>IF(AND(AND(AND(AG$4&gt;='2025'!$L413,AG$4&lt;='2025'!$M413), AG$4&lt;&gt;DATE(2025,7,4)), (SWITCH(weekday(AG$4), 1, 0, 2, if(ISBLANK('2025'!$P413), 0, 1), 3, if(ISBLANK('2025'!$Q413), 0, 1), 4, if(ISBLANK('2025'!$R413), 0, 1), 5, if(ISBLANK('2025'!$S413), 0, 1), 6, if(ISBLANK('2025'!$T413), 0, 1), 7, 0))), 1, "")</f>
        <v/>
      </c>
      <c r="AH450" s="1" t="str">
        <f>IF(AND(AND(AND(AH$4&gt;='2025'!$L413,AH$4&lt;='2025'!$M413), AH$4&lt;&gt;DATE(2025,7,4)), (SWITCH(weekday(AH$4), 1, 0, 2, if(ISBLANK('2025'!$P413), 0, 1), 3, if(ISBLANK('2025'!$Q413), 0, 1), 4, if(ISBLANK('2025'!$R413), 0, 1), 5, if(ISBLANK('2025'!$S413), 0, 1), 6, if(ISBLANK('2025'!$T413), 0, 1), 7, 0))), 1, "")</f>
        <v/>
      </c>
      <c r="AI450" s="1" t="str">
        <f>IF(AND(AND(AND(AI$4&gt;='2025'!$L413,AI$4&lt;='2025'!$M413), AI$4&lt;&gt;DATE(2025,7,4)), (SWITCH(weekday(AI$4), 1, 0, 2, if(ISBLANK('2025'!$P413), 0, 1), 3, if(ISBLANK('2025'!$Q413), 0, 1), 4, if(ISBLANK('2025'!$R413), 0, 1), 5, if(ISBLANK('2025'!$S413), 0, 1), 6, if(ISBLANK('2025'!$T413), 0, 1), 7, 0))), 1, "")</f>
        <v/>
      </c>
      <c r="AJ450" s="1" t="str">
        <f>IF(AND(AND(AND(AJ$4&gt;='2025'!$L413,AJ$4&lt;='2025'!$M413), AJ$4&lt;&gt;DATE(2025,7,4)), (SWITCH(weekday(AJ$4), 1, 0, 2, if(ISBLANK('2025'!$P413), 0, 1), 3, if(ISBLANK('2025'!$Q413), 0, 1), 4, if(ISBLANK('2025'!$R413), 0, 1), 5, if(ISBLANK('2025'!$S413), 0, 1), 6, if(ISBLANK('2025'!$T413), 0, 1), 7, 0))), 1, "")</f>
        <v/>
      </c>
      <c r="AK450" s="1" t="str">
        <f>IF(AND(AND(AND(AK$4&gt;='2025'!$L413,AK$4&lt;='2025'!$M413), AK$4&lt;&gt;DATE(2025,7,4)), (SWITCH(weekday(AK$4), 1, 0, 2, if(ISBLANK('2025'!$P413), 0, 1), 3, if(ISBLANK('2025'!$Q413), 0, 1), 4, if(ISBLANK('2025'!$R413), 0, 1), 5, if(ISBLANK('2025'!$S413), 0, 1), 6, if(ISBLANK('2025'!$T413), 0, 1), 7, 0))), 1, "")</f>
        <v/>
      </c>
      <c r="AL450" s="1" t="str">
        <f>IF(AND(AND(AND(AL$4&gt;='2025'!$L413,AL$4&lt;='2025'!$M413), AL$4&lt;&gt;DATE(2025,7,4)), (SWITCH(weekday(AL$4), 1, 0, 2, if(ISBLANK('2025'!$P413), 0, 1), 3, if(ISBLANK('2025'!$Q413), 0, 1), 4, if(ISBLANK('2025'!$R413), 0, 1), 5, if(ISBLANK('2025'!$S413), 0, 1), 6, if(ISBLANK('2025'!$T413), 0, 1), 7, 0))), 1, "")</f>
        <v/>
      </c>
      <c r="AM450" s="1" t="str">
        <f>IF(AND(AND(AND(AM$4&gt;='2025'!$L413,AM$4&lt;='2025'!$M413), AM$4&lt;&gt;DATE(2025,7,4)), (SWITCH(weekday(AM$4), 1, 0, 2, if(ISBLANK('2025'!$P413), 0, 1), 3, if(ISBLANK('2025'!$Q413), 0, 1), 4, if(ISBLANK('2025'!$R413), 0, 1), 5, if(ISBLANK('2025'!$S413), 0, 1), 6, if(ISBLANK('2025'!$T413), 0, 1), 7, 0))), 1, "")</f>
        <v/>
      </c>
      <c r="AN450" s="1" t="str">
        <f>IF(AND(AND(AND(AN$4&gt;='2025'!$L413,AN$4&lt;='2025'!$M413), AN$4&lt;&gt;DATE(2025,7,4)), (SWITCH(weekday(AN$4), 1, 0, 2, if(ISBLANK('2025'!$P413), 0, 1), 3, if(ISBLANK('2025'!$Q413), 0, 1), 4, if(ISBLANK('2025'!$R413), 0, 1), 5, if(ISBLANK('2025'!$S413), 0, 1), 6, if(ISBLANK('2025'!$T413), 0, 1), 7, 0))), 1, "")</f>
        <v/>
      </c>
      <c r="AO450" s="1" t="str">
        <f>IF(AND(AND(AND(AO$4&gt;='2025'!$L413,AO$4&lt;='2025'!$M413), AO$4&lt;&gt;DATE(2025,7,4)), (SWITCH(weekday(AO$4), 1, 0, 2, if(ISBLANK('2025'!$P413), 0, 1), 3, if(ISBLANK('2025'!$Q413), 0, 1), 4, if(ISBLANK('2025'!$R413), 0, 1), 5, if(ISBLANK('2025'!$S413), 0, 1), 6, if(ISBLANK('2025'!$T413), 0, 1), 7, 0))), 1, "")</f>
        <v/>
      </c>
      <c r="AP450" s="1" t="str">
        <f>IF(AND(AND(AND(AP$4&gt;='2025'!$L413,AP$4&lt;='2025'!$M413), AP$4&lt;&gt;DATE(2025,7,4)), (SWITCH(weekday(AP$4), 1, 0, 2, if(ISBLANK('2025'!$P413), 0, 1), 3, if(ISBLANK('2025'!$Q413), 0, 1), 4, if(ISBLANK('2025'!$R413), 0, 1), 5, if(ISBLANK('2025'!$S413), 0, 1), 6, if(ISBLANK('2025'!$T413), 0, 1), 7, 0))), 1, "")</f>
        <v/>
      </c>
      <c r="AQ450" s="1" t="str">
        <f>IF(AND(AND(AND(AQ$4&gt;='2025'!$L413,AQ$4&lt;='2025'!$M413), AQ$4&lt;&gt;DATE(2025,7,4)), (SWITCH(weekday(AQ$4), 1, 0, 2, if(ISBLANK('2025'!$P413), 0, 1), 3, if(ISBLANK('2025'!$Q413), 0, 1), 4, if(ISBLANK('2025'!$R413), 0, 1), 5, if(ISBLANK('2025'!$S413), 0, 1), 6, if(ISBLANK('2025'!$T413), 0, 1), 7, 0))), 1, "")</f>
        <v/>
      </c>
      <c r="AR450" s="1" t="str">
        <f>IF(AND(AND(AND(AR$4&gt;='2025'!$L413,AR$4&lt;='2025'!$M413), AR$4&lt;&gt;DATE(2025,7,4)), (SWITCH(weekday(AR$4), 1, 0, 2, if(ISBLANK('2025'!$P413), 0, 1), 3, if(ISBLANK('2025'!$Q413), 0, 1), 4, if(ISBLANK('2025'!$R413), 0, 1), 5, if(ISBLANK('2025'!$S413), 0, 1), 6, if(ISBLANK('2025'!$T413), 0, 1), 7, 0))), 1, "")</f>
        <v/>
      </c>
      <c r="AS450" s="1" t="str">
        <f>IF(AND(AND(AND(AS$4&gt;='2025'!$L413,AS$4&lt;='2025'!$M413), AS$4&lt;&gt;DATE(2025,7,4)), (SWITCH(weekday(AS$4), 1, 0, 2, if(ISBLANK('2025'!$P413), 0, 1), 3, if(ISBLANK('2025'!$Q413), 0, 1), 4, if(ISBLANK('2025'!$R413), 0, 1), 5, if(ISBLANK('2025'!$S413), 0, 1), 6, if(ISBLANK('2025'!$T413), 0, 1), 7, 0))), 1, "")</f>
        <v/>
      </c>
      <c r="AT450" s="1" t="str">
        <f>IF(AND(AND(AND(AT$4&gt;='2025'!$L413,AT$4&lt;='2025'!$M413), AT$4&lt;&gt;DATE(2025,7,4)), (SWITCH(weekday(AT$4), 1, 0, 2, if(ISBLANK('2025'!$P413), 0, 1), 3, if(ISBLANK('2025'!$Q413), 0, 1), 4, if(ISBLANK('2025'!$R413), 0, 1), 5, if(ISBLANK('2025'!$S413), 0, 1), 6, if(ISBLANK('2025'!$T413), 0, 1), 7, 0))), 1, "")</f>
        <v/>
      </c>
      <c r="AU450" s="1" t="str">
        <f>IF(AND(AND(AND(AU$4&gt;='2025'!$L413,AU$4&lt;='2025'!$M413), AU$4&lt;&gt;DATE(2025,7,4)), (SWITCH(weekday(AU$4), 1, 0, 2, if(ISBLANK('2025'!$P413), 0, 1), 3, if(ISBLANK('2025'!$Q413), 0, 1), 4, if(ISBLANK('2025'!$R413), 0, 1), 5, if(ISBLANK('2025'!$S413), 0, 1), 6, if(ISBLANK('2025'!$T413), 0, 1), 7, 0))), 1, "")</f>
        <v/>
      </c>
      <c r="AV450" s="1" t="str">
        <f>IF(AND(AND(AND(AV$4&gt;='2025'!$L413,AV$4&lt;='2025'!$M413), AV$4&lt;&gt;DATE(2025,7,4)), (SWITCH(weekday(AV$4), 1, 0, 2, if(ISBLANK('2025'!$P413), 0, 1), 3, if(ISBLANK('2025'!$Q413), 0, 1), 4, if(ISBLANK('2025'!$R413), 0, 1), 5, if(ISBLANK('2025'!$S413), 0, 1), 6, if(ISBLANK('2025'!$T413), 0, 1), 7, 0))), 1, "")</f>
        <v/>
      </c>
      <c r="AW450" s="1" t="str">
        <f>IF(AND(AND(AND(AW$4&gt;='2025'!$L413,AW$4&lt;='2025'!$M413), AW$4&lt;&gt;DATE(2025,7,4)), (SWITCH(weekday(AW$4), 1, 0, 2, if(ISBLANK('2025'!$P413), 0, 1), 3, if(ISBLANK('2025'!$Q413), 0, 1), 4, if(ISBLANK('2025'!$R413), 0, 1), 5, if(ISBLANK('2025'!$S413), 0, 1), 6, if(ISBLANK('2025'!$T413), 0, 1), 7, 0))), 1, "")</f>
        <v/>
      </c>
      <c r="AX450" s="1" t="str">
        <f>IF(AND(AND(AND(AX$4&gt;='2025'!$L413,AX$4&lt;='2025'!$M413), AX$4&lt;&gt;DATE(2025,7,4)), (SWITCH(weekday(AX$4), 1, 0, 2, if(ISBLANK('2025'!$P413), 0, 1), 3, if(ISBLANK('2025'!$Q413), 0, 1), 4, if(ISBLANK('2025'!$R413), 0, 1), 5, if(ISBLANK('2025'!$S413), 0, 1), 6, if(ISBLANK('2025'!$T413), 0, 1), 7, 0))), 1, "")</f>
        <v/>
      </c>
      <c r="AY450" s="1" t="str">
        <f>IF(AND(AND(AND(AY$4&gt;='2025'!$L413,AY$4&lt;='2025'!$M413), AY$4&lt;&gt;DATE(2025,7,4)), (SWITCH(weekday(AY$4), 1, 0, 2, if(ISBLANK('2025'!$P413), 0, 1), 3, if(ISBLANK('2025'!$Q413), 0, 1), 4, if(ISBLANK('2025'!$R413), 0, 1), 5, if(ISBLANK('2025'!$S413), 0, 1), 6, if(ISBLANK('2025'!$T413), 0, 1), 7, 0))), 1, "")</f>
        <v/>
      </c>
      <c r="AZ450" s="1" t="str">
        <f>IF(AND(AND(AND(AZ$4&gt;='2025'!$L413,AZ$4&lt;='2025'!$M413), AZ$4&lt;&gt;DATE(2025,7,4)), (SWITCH(weekday(AZ$4), 1, 0, 2, if(ISBLANK('2025'!$P413), 0, 1), 3, if(ISBLANK('2025'!$Q413), 0, 1), 4, if(ISBLANK('2025'!$R413), 0, 1), 5, if(ISBLANK('2025'!$S413), 0, 1), 6, if(ISBLANK('2025'!$T413), 0, 1), 7, 0))), 1, "")</f>
        <v/>
      </c>
      <c r="BA450" s="1" t="str">
        <f>IF(AND(AND(AND(BA$4&gt;='2025'!$L413,BA$4&lt;='2025'!$M413), BA$4&lt;&gt;DATE(2025,7,4)), (SWITCH(weekday(BA$4), 1, 0, 2, if(ISBLANK('2025'!$P413), 0, 1), 3, if(ISBLANK('2025'!$Q413), 0, 1), 4, if(ISBLANK('2025'!$R413), 0, 1), 5, if(ISBLANK('2025'!$S413), 0, 1), 6, if(ISBLANK('2025'!$T413), 0, 1), 7, 0))), 1, "")</f>
        <v/>
      </c>
      <c r="BB450" s="1" t="str">
        <f>IF(AND(AND(AND(BB$4&gt;='2025'!$L413,BB$4&lt;='2025'!$M413), BB$4&lt;&gt;DATE(2025,7,4)), (SWITCH(weekday(BB$4), 1, 0, 2, if(ISBLANK('2025'!$P413), 0, 1), 3, if(ISBLANK('2025'!$Q413), 0, 1), 4, if(ISBLANK('2025'!$R413), 0, 1), 5, if(ISBLANK('2025'!$S413), 0, 1), 6, if(ISBLANK('2025'!$T413), 0, 1), 7, 0))), 1, "")</f>
        <v/>
      </c>
      <c r="BC450" s="1" t="str">
        <f>IF(AND(AND(AND(BC$4&gt;='2025'!$L413,BC$4&lt;='2025'!$M413), BC$4&lt;&gt;DATE(2025,7,4)), (SWITCH(weekday(BC$4), 1, 0, 2, if(ISBLANK('2025'!$P413), 0, 1), 3, if(ISBLANK('2025'!$Q413), 0, 1), 4, if(ISBLANK('2025'!$R413), 0, 1), 5, if(ISBLANK('2025'!$S413), 0, 1), 6, if(ISBLANK('2025'!$T413), 0, 1), 7, 0))), 1, "")</f>
        <v/>
      </c>
      <c r="BD450" s="1" t="str">
        <f>IF(AND(AND(AND(BD$4&gt;='2025'!$L413,BD$4&lt;='2025'!$M413), BD$4&lt;&gt;DATE(2025,7,4)), (SWITCH(weekday(BD$4), 1, 0, 2, if(ISBLANK('2025'!$P413), 0, 1), 3, if(ISBLANK('2025'!$Q413), 0, 1), 4, if(ISBLANK('2025'!$R413), 0, 1), 5, if(ISBLANK('2025'!$S413), 0, 1), 6, if(ISBLANK('2025'!$T413), 0, 1), 7, 0))), 1, "")</f>
        <v/>
      </c>
      <c r="BE450" s="1" t="str">
        <f>IF(AND(AND(AND(BE$4&gt;='2025'!$L413,BE$4&lt;='2025'!$M413), BE$4&lt;&gt;DATE(2025,7,4)), (SWITCH(weekday(BE$4), 1, 0, 2, if(ISBLANK('2025'!$P413), 0, 1), 3, if(ISBLANK('2025'!$Q413), 0, 1), 4, if(ISBLANK('2025'!$R413), 0, 1), 5, if(ISBLANK('2025'!$S413), 0, 1), 6, if(ISBLANK('2025'!$T413), 0, 1), 7, 0))), 1, "")</f>
        <v/>
      </c>
    </row>
    <row r="451">
      <c r="A451" s="1">
        <f t="shared" si="3"/>
        <v>451</v>
      </c>
      <c r="B451" s="1" t="str">
        <f>'2025'!D414</f>
        <v/>
      </c>
      <c r="C451" s="1" t="str">
        <f>'2025'!H414</f>
        <v/>
      </c>
      <c r="D451" s="1" t="str">
        <f>IF(AND(AND(AND(D$4&gt;='2025'!$L414,D$4&lt;='2025'!$M414), D$4&lt;&gt;DATE(2025,7,4)), (SWITCH(weekday(D$4), 1, 0, 2, if(ISBLANK('2025'!$P414), 0, 1), 3, if(ISBLANK('2025'!$Q414), 0, 1), 4, if(ISBLANK('2025'!$R414), 0, 1), 5, if(ISBLANK('2025'!$S414), 0, 1), 6, if(ISBLANK('2025'!$T414), 0, 1), 7, 0))), 1, "")</f>
        <v/>
      </c>
      <c r="E451" s="1" t="str">
        <f>IF(AND(AND(AND(E$4&gt;='2025'!$L414,E$4&lt;='2025'!$M414), E$4&lt;&gt;DATE(2025,7,4)), (SWITCH(weekday(E$4), 1, 0, 2, if(ISBLANK('2025'!$P414), 0, 1), 3, if(ISBLANK('2025'!$Q414), 0, 1), 4, if(ISBLANK('2025'!$R414), 0, 1), 5, if(ISBLANK('2025'!$S414), 0, 1), 6, if(ISBLANK('2025'!$T414), 0, 1), 7, 0))), 1, "")</f>
        <v/>
      </c>
      <c r="F451" s="1" t="str">
        <f>IF(AND(AND(AND(F$4&gt;='2025'!$L414,F$4&lt;='2025'!$M414), F$4&lt;&gt;DATE(2025,7,4)), (SWITCH(weekday(F$4), 1, 0, 2, if(ISBLANK('2025'!$P414), 0, 1), 3, if(ISBLANK('2025'!$Q414), 0, 1), 4, if(ISBLANK('2025'!$R414), 0, 1), 5, if(ISBLANK('2025'!$S414), 0, 1), 6, if(ISBLANK('2025'!$T414), 0, 1), 7, 0))), 1, "")</f>
        <v/>
      </c>
      <c r="G451" s="1" t="str">
        <f>IF(AND(AND(AND(G$4&gt;='2025'!$L414,G$4&lt;='2025'!$M414), G$4&lt;&gt;DATE(2025,7,4)), (SWITCH(weekday(G$4), 1, 0, 2, if(ISBLANK('2025'!$P414), 0, 1), 3, if(ISBLANK('2025'!$Q414), 0, 1), 4, if(ISBLANK('2025'!$R414), 0, 1), 5, if(ISBLANK('2025'!$S414), 0, 1), 6, if(ISBLANK('2025'!$T414), 0, 1), 7, 0))), 1, "")</f>
        <v/>
      </c>
      <c r="H451" s="1" t="str">
        <f>IF(AND(AND(AND(H$4&gt;='2025'!$L414,H$4&lt;='2025'!$M414), H$4&lt;&gt;DATE(2025,7,4)), (SWITCH(weekday(H$4), 1, 0, 2, if(ISBLANK('2025'!$P414), 0, 1), 3, if(ISBLANK('2025'!$Q414), 0, 1), 4, if(ISBLANK('2025'!$R414), 0, 1), 5, if(ISBLANK('2025'!$S414), 0, 1), 6, if(ISBLANK('2025'!$T414), 0, 1), 7, 0))), 1, "")</f>
        <v/>
      </c>
      <c r="I451" s="1" t="str">
        <f>IF(AND(AND(AND(I$4&gt;='2025'!$L414,I$4&lt;='2025'!$M414), I$4&lt;&gt;DATE(2025,7,4)), (SWITCH(weekday(I$4), 1, 0, 2, if(ISBLANK('2025'!$P414), 0, 1), 3, if(ISBLANK('2025'!$Q414), 0, 1), 4, if(ISBLANK('2025'!$R414), 0, 1), 5, if(ISBLANK('2025'!$S414), 0, 1), 6, if(ISBLANK('2025'!$T414), 0, 1), 7, 0))), 1, "")</f>
        <v/>
      </c>
      <c r="J451" s="1" t="str">
        <f>IF(AND(AND(AND(J$4&gt;='2025'!$L414,J$4&lt;='2025'!$M414), J$4&lt;&gt;DATE(2025,7,4)), (SWITCH(weekday(J$4), 1, 0, 2, if(ISBLANK('2025'!$P414), 0, 1), 3, if(ISBLANK('2025'!$Q414), 0, 1), 4, if(ISBLANK('2025'!$R414), 0, 1), 5, if(ISBLANK('2025'!$S414), 0, 1), 6, if(ISBLANK('2025'!$T414), 0, 1), 7, 0))), 1, "")</f>
        <v/>
      </c>
      <c r="K451" s="1" t="str">
        <f>IF(AND(AND(AND(K$4&gt;='2025'!$L414,K$4&lt;='2025'!$M414), K$4&lt;&gt;DATE(2025,7,4)), (SWITCH(weekday(K$4), 1, 0, 2, if(ISBLANK('2025'!$P414), 0, 1), 3, if(ISBLANK('2025'!$Q414), 0, 1), 4, if(ISBLANK('2025'!$R414), 0, 1), 5, if(ISBLANK('2025'!$S414), 0, 1), 6, if(ISBLANK('2025'!$T414), 0, 1), 7, 0))), 1, "")</f>
        <v/>
      </c>
      <c r="L451" s="1" t="str">
        <f>IF(AND(AND(AND(L$4&gt;='2025'!$L414,L$4&lt;='2025'!$M414), L$4&lt;&gt;DATE(2025,7,4)), (SWITCH(weekday(L$4), 1, 0, 2, if(ISBLANK('2025'!$P414), 0, 1), 3, if(ISBLANK('2025'!$Q414), 0, 1), 4, if(ISBLANK('2025'!$R414), 0, 1), 5, if(ISBLANK('2025'!$S414), 0, 1), 6, if(ISBLANK('2025'!$T414), 0, 1), 7, 0))), 1, "")</f>
        <v/>
      </c>
      <c r="M451" s="1" t="str">
        <f>IF(AND(AND(AND(M$4&gt;='2025'!$L414,M$4&lt;='2025'!$M414), M$4&lt;&gt;DATE(2025,7,4)), (SWITCH(weekday(M$4), 1, 0, 2, if(ISBLANK('2025'!$P414), 0, 1), 3, if(ISBLANK('2025'!$Q414), 0, 1), 4, if(ISBLANK('2025'!$R414), 0, 1), 5, if(ISBLANK('2025'!$S414), 0, 1), 6, if(ISBLANK('2025'!$T414), 0, 1), 7, 0))), 1, "")</f>
        <v/>
      </c>
      <c r="N451" s="1" t="str">
        <f>IF(AND(AND(AND(N$4&gt;='2025'!$L414,N$4&lt;='2025'!$M414), N$4&lt;&gt;DATE(2025,7,4)), (SWITCH(weekday(N$4), 1, 0, 2, if(ISBLANK('2025'!$P414), 0, 1), 3, if(ISBLANK('2025'!$Q414), 0, 1), 4, if(ISBLANK('2025'!$R414), 0, 1), 5, if(ISBLANK('2025'!$S414), 0, 1), 6, if(ISBLANK('2025'!$T414), 0, 1), 7, 0))), 1, "")</f>
        <v/>
      </c>
      <c r="O451" s="1" t="str">
        <f>IF(AND(AND(AND(O$4&gt;='2025'!$L414,O$4&lt;='2025'!$M414), O$4&lt;&gt;DATE(2025,7,4)), (SWITCH(weekday(O$4), 1, 0, 2, if(ISBLANK('2025'!$P414), 0, 1), 3, if(ISBLANK('2025'!$Q414), 0, 1), 4, if(ISBLANK('2025'!$R414), 0, 1), 5, if(ISBLANK('2025'!$S414), 0, 1), 6, if(ISBLANK('2025'!$T414), 0, 1), 7, 0))), 1, "")</f>
        <v/>
      </c>
      <c r="P451" s="1" t="str">
        <f>IF(AND(AND(AND(P$4&gt;='2025'!$L414,P$4&lt;='2025'!$M414), P$4&lt;&gt;DATE(2025,7,4)), (SWITCH(weekday(P$4), 1, 0, 2, if(ISBLANK('2025'!$P414), 0, 1), 3, if(ISBLANK('2025'!$Q414), 0, 1), 4, if(ISBLANK('2025'!$R414), 0, 1), 5, if(ISBLANK('2025'!$S414), 0, 1), 6, if(ISBLANK('2025'!$T414), 0, 1), 7, 0))), 1, "")</f>
        <v/>
      </c>
      <c r="Q451" s="1" t="str">
        <f>IF(AND(AND(AND(Q$4&gt;='2025'!$L414,Q$4&lt;='2025'!$M414), Q$4&lt;&gt;DATE(2025,7,4)), (SWITCH(weekday(Q$4), 1, 0, 2, if(ISBLANK('2025'!$P414), 0, 1), 3, if(ISBLANK('2025'!$Q414), 0, 1), 4, if(ISBLANK('2025'!$R414), 0, 1), 5, if(ISBLANK('2025'!$S414), 0, 1), 6, if(ISBLANK('2025'!$T414), 0, 1), 7, 0))), 1, "")</f>
        <v/>
      </c>
      <c r="R451" s="1" t="str">
        <f>IF(AND(AND(AND(R$4&gt;='2025'!$L414,R$4&lt;='2025'!$M414), R$4&lt;&gt;DATE(2025,7,4)), (SWITCH(weekday(R$4), 1, 0, 2, if(ISBLANK('2025'!$P414), 0, 1), 3, if(ISBLANK('2025'!$Q414), 0, 1), 4, if(ISBLANK('2025'!$R414), 0, 1), 5, if(ISBLANK('2025'!$S414), 0, 1), 6, if(ISBLANK('2025'!$T414), 0, 1), 7, 0))), 1, "")</f>
        <v/>
      </c>
      <c r="S451" s="1" t="str">
        <f>IF(AND(AND(AND(S$4&gt;='2025'!$L414,S$4&lt;='2025'!$M414), S$4&lt;&gt;DATE(2025,7,4)), (SWITCH(weekday(S$4), 1, 0, 2, if(ISBLANK('2025'!$P414), 0, 1), 3, if(ISBLANK('2025'!$Q414), 0, 1), 4, if(ISBLANK('2025'!$R414), 0, 1), 5, if(ISBLANK('2025'!$S414), 0, 1), 6, if(ISBLANK('2025'!$T414), 0, 1), 7, 0))), 1, "")</f>
        <v/>
      </c>
      <c r="T451" s="1" t="str">
        <f>IF(AND(AND(AND(T$4&gt;='2025'!$L414,T$4&lt;='2025'!$M414), T$4&lt;&gt;DATE(2025,7,4)), (SWITCH(weekday(T$4), 1, 0, 2, if(ISBLANK('2025'!$P414), 0, 1), 3, if(ISBLANK('2025'!$Q414), 0, 1), 4, if(ISBLANK('2025'!$R414), 0, 1), 5, if(ISBLANK('2025'!$S414), 0, 1), 6, if(ISBLANK('2025'!$T414), 0, 1), 7, 0))), 1, "")</f>
        <v/>
      </c>
      <c r="U451" s="1" t="str">
        <f>IF(AND(AND(AND(U$4&gt;='2025'!$L414,U$4&lt;='2025'!$M414), U$4&lt;&gt;DATE(2025,7,4)), (SWITCH(weekday(U$4), 1, 0, 2, if(ISBLANK('2025'!$P414), 0, 1), 3, if(ISBLANK('2025'!$Q414), 0, 1), 4, if(ISBLANK('2025'!$R414), 0, 1), 5, if(ISBLANK('2025'!$S414), 0, 1), 6, if(ISBLANK('2025'!$T414), 0, 1), 7, 0))), 1, "")</f>
        <v/>
      </c>
      <c r="V451" s="1" t="str">
        <f>IF(AND(AND(AND(V$4&gt;='2025'!$L414,V$4&lt;='2025'!$M414), V$4&lt;&gt;DATE(2025,7,4)), (SWITCH(weekday(V$4), 1, 0, 2, if(ISBLANK('2025'!$P414), 0, 1), 3, if(ISBLANK('2025'!$Q414), 0, 1), 4, if(ISBLANK('2025'!$R414), 0, 1), 5, if(ISBLANK('2025'!$S414), 0, 1), 6, if(ISBLANK('2025'!$T414), 0, 1), 7, 0))), 1, "")</f>
        <v/>
      </c>
      <c r="W451" s="1" t="str">
        <f>IF(AND(AND(AND(W$4&gt;='2025'!$L414,W$4&lt;='2025'!$M414), W$4&lt;&gt;DATE(2025,7,4)), (SWITCH(weekday(W$4), 1, 0, 2, if(ISBLANK('2025'!$P414), 0, 1), 3, if(ISBLANK('2025'!$Q414), 0, 1), 4, if(ISBLANK('2025'!$R414), 0, 1), 5, if(ISBLANK('2025'!$S414), 0, 1), 6, if(ISBLANK('2025'!$T414), 0, 1), 7, 0))), 1, "")</f>
        <v/>
      </c>
      <c r="X451" s="1" t="str">
        <f>IF(AND(AND(AND(X$4&gt;='2025'!$L414,X$4&lt;='2025'!$M414), X$4&lt;&gt;DATE(2025,7,4)), (SWITCH(weekday(X$4), 1, 0, 2, if(ISBLANK('2025'!$P414), 0, 1), 3, if(ISBLANK('2025'!$Q414), 0, 1), 4, if(ISBLANK('2025'!$R414), 0, 1), 5, if(ISBLANK('2025'!$S414), 0, 1), 6, if(ISBLANK('2025'!$T414), 0, 1), 7, 0))), 1, "")</f>
        <v/>
      </c>
      <c r="Y451" s="1" t="str">
        <f>IF(AND(AND(AND(Y$4&gt;='2025'!$L414,Y$4&lt;='2025'!$M414), Y$4&lt;&gt;DATE(2025,7,4)), (SWITCH(weekday(Y$4), 1, 0, 2, if(ISBLANK('2025'!$P414), 0, 1), 3, if(ISBLANK('2025'!$Q414), 0, 1), 4, if(ISBLANK('2025'!$R414), 0, 1), 5, if(ISBLANK('2025'!$S414), 0, 1), 6, if(ISBLANK('2025'!$T414), 0, 1), 7, 0))), 1, "")</f>
        <v/>
      </c>
      <c r="Z451" s="1" t="str">
        <f>IF(AND(AND(AND(Z$4&gt;='2025'!$L414,Z$4&lt;='2025'!$M414), Z$4&lt;&gt;DATE(2025,7,4)), (SWITCH(weekday(Z$4), 1, 0, 2, if(ISBLANK('2025'!$P414), 0, 1), 3, if(ISBLANK('2025'!$Q414), 0, 1), 4, if(ISBLANK('2025'!$R414), 0, 1), 5, if(ISBLANK('2025'!$S414), 0, 1), 6, if(ISBLANK('2025'!$T414), 0, 1), 7, 0))), 1, "")</f>
        <v/>
      </c>
      <c r="AA451" s="1" t="str">
        <f>IF(AND(AND(AND(AA$4&gt;='2025'!$L414,AA$4&lt;='2025'!$M414), AA$4&lt;&gt;DATE(2025,7,4)), (SWITCH(weekday(AA$4), 1, 0, 2, if(ISBLANK('2025'!$P414), 0, 1), 3, if(ISBLANK('2025'!$Q414), 0, 1), 4, if(ISBLANK('2025'!$R414), 0, 1), 5, if(ISBLANK('2025'!$S414), 0, 1), 6, if(ISBLANK('2025'!$T414), 0, 1), 7, 0))), 1, "")</f>
        <v/>
      </c>
      <c r="AB451" s="1" t="str">
        <f>IF(AND(AND(AND(AB$4&gt;='2025'!$L414,AB$4&lt;='2025'!$M414), AB$4&lt;&gt;DATE(2025,7,4)), (SWITCH(weekday(AB$4), 1, 0, 2, if(ISBLANK('2025'!$P414), 0, 1), 3, if(ISBLANK('2025'!$Q414), 0, 1), 4, if(ISBLANK('2025'!$R414), 0, 1), 5, if(ISBLANK('2025'!$S414), 0, 1), 6, if(ISBLANK('2025'!$T414), 0, 1), 7, 0))), 1, "")</f>
        <v/>
      </c>
      <c r="AC451" s="1" t="str">
        <f>IF(AND(AND(AND(AC$4&gt;='2025'!$L414,AC$4&lt;='2025'!$M414), AC$4&lt;&gt;DATE(2025,7,4)), (SWITCH(weekday(AC$4), 1, 0, 2, if(ISBLANK('2025'!$P414), 0, 1), 3, if(ISBLANK('2025'!$Q414), 0, 1), 4, if(ISBLANK('2025'!$R414), 0, 1), 5, if(ISBLANK('2025'!$S414), 0, 1), 6, if(ISBLANK('2025'!$T414), 0, 1), 7, 0))), 1, "")</f>
        <v/>
      </c>
      <c r="AD451" s="1" t="str">
        <f>IF(AND(AND(AND(AD$4&gt;='2025'!$L414,AD$4&lt;='2025'!$M414), AD$4&lt;&gt;DATE(2025,7,4)), (SWITCH(weekday(AD$4), 1, 0, 2, if(ISBLANK('2025'!$P414), 0, 1), 3, if(ISBLANK('2025'!$Q414), 0, 1), 4, if(ISBLANK('2025'!$R414), 0, 1), 5, if(ISBLANK('2025'!$S414), 0, 1), 6, if(ISBLANK('2025'!$T414), 0, 1), 7, 0))), 1, "")</f>
        <v/>
      </c>
      <c r="AE451" s="1" t="str">
        <f>IF(AND(AND(AND(AE$4&gt;='2025'!$L414,AE$4&lt;='2025'!$M414), AE$4&lt;&gt;DATE(2025,7,4)), (SWITCH(weekday(AE$4), 1, 0, 2, if(ISBLANK('2025'!$P414), 0, 1), 3, if(ISBLANK('2025'!$Q414), 0, 1), 4, if(ISBLANK('2025'!$R414), 0, 1), 5, if(ISBLANK('2025'!$S414), 0, 1), 6, if(ISBLANK('2025'!$T414), 0, 1), 7, 0))), 1, "")</f>
        <v/>
      </c>
      <c r="AF451" s="1" t="str">
        <f>IF(AND(AND(AND(AF$4&gt;='2025'!$L414,AF$4&lt;='2025'!$M414), AF$4&lt;&gt;DATE(2025,7,4)), (SWITCH(weekday(AF$4), 1, 0, 2, if(ISBLANK('2025'!$P414), 0, 1), 3, if(ISBLANK('2025'!$Q414), 0, 1), 4, if(ISBLANK('2025'!$R414), 0, 1), 5, if(ISBLANK('2025'!$S414), 0, 1), 6, if(ISBLANK('2025'!$T414), 0, 1), 7, 0))), 1, "")</f>
        <v/>
      </c>
      <c r="AG451" s="1" t="str">
        <f>IF(AND(AND(AND(AG$4&gt;='2025'!$L414,AG$4&lt;='2025'!$M414), AG$4&lt;&gt;DATE(2025,7,4)), (SWITCH(weekday(AG$4), 1, 0, 2, if(ISBLANK('2025'!$P414), 0, 1), 3, if(ISBLANK('2025'!$Q414), 0, 1), 4, if(ISBLANK('2025'!$R414), 0, 1), 5, if(ISBLANK('2025'!$S414), 0, 1), 6, if(ISBLANK('2025'!$T414), 0, 1), 7, 0))), 1, "")</f>
        <v/>
      </c>
      <c r="AH451" s="1" t="str">
        <f>IF(AND(AND(AND(AH$4&gt;='2025'!$L414,AH$4&lt;='2025'!$M414), AH$4&lt;&gt;DATE(2025,7,4)), (SWITCH(weekday(AH$4), 1, 0, 2, if(ISBLANK('2025'!$P414), 0, 1), 3, if(ISBLANK('2025'!$Q414), 0, 1), 4, if(ISBLANK('2025'!$R414), 0, 1), 5, if(ISBLANK('2025'!$S414), 0, 1), 6, if(ISBLANK('2025'!$T414), 0, 1), 7, 0))), 1, "")</f>
        <v/>
      </c>
      <c r="AI451" s="1" t="str">
        <f>IF(AND(AND(AND(AI$4&gt;='2025'!$L414,AI$4&lt;='2025'!$M414), AI$4&lt;&gt;DATE(2025,7,4)), (SWITCH(weekday(AI$4), 1, 0, 2, if(ISBLANK('2025'!$P414), 0, 1), 3, if(ISBLANK('2025'!$Q414), 0, 1), 4, if(ISBLANK('2025'!$R414), 0, 1), 5, if(ISBLANK('2025'!$S414), 0, 1), 6, if(ISBLANK('2025'!$T414), 0, 1), 7, 0))), 1, "")</f>
        <v/>
      </c>
      <c r="AJ451" s="1" t="str">
        <f>IF(AND(AND(AND(AJ$4&gt;='2025'!$L414,AJ$4&lt;='2025'!$M414), AJ$4&lt;&gt;DATE(2025,7,4)), (SWITCH(weekday(AJ$4), 1, 0, 2, if(ISBLANK('2025'!$P414), 0, 1), 3, if(ISBLANK('2025'!$Q414), 0, 1), 4, if(ISBLANK('2025'!$R414), 0, 1), 5, if(ISBLANK('2025'!$S414), 0, 1), 6, if(ISBLANK('2025'!$T414), 0, 1), 7, 0))), 1, "")</f>
        <v/>
      </c>
      <c r="AK451" s="1" t="str">
        <f>IF(AND(AND(AND(AK$4&gt;='2025'!$L414,AK$4&lt;='2025'!$M414), AK$4&lt;&gt;DATE(2025,7,4)), (SWITCH(weekday(AK$4), 1, 0, 2, if(ISBLANK('2025'!$P414), 0, 1), 3, if(ISBLANK('2025'!$Q414), 0, 1), 4, if(ISBLANK('2025'!$R414), 0, 1), 5, if(ISBLANK('2025'!$S414), 0, 1), 6, if(ISBLANK('2025'!$T414), 0, 1), 7, 0))), 1, "")</f>
        <v/>
      </c>
      <c r="AL451" s="1" t="str">
        <f>IF(AND(AND(AND(AL$4&gt;='2025'!$L414,AL$4&lt;='2025'!$M414), AL$4&lt;&gt;DATE(2025,7,4)), (SWITCH(weekday(AL$4), 1, 0, 2, if(ISBLANK('2025'!$P414), 0, 1), 3, if(ISBLANK('2025'!$Q414), 0, 1), 4, if(ISBLANK('2025'!$R414), 0, 1), 5, if(ISBLANK('2025'!$S414), 0, 1), 6, if(ISBLANK('2025'!$T414), 0, 1), 7, 0))), 1, "")</f>
        <v/>
      </c>
      <c r="AM451" s="1" t="str">
        <f>IF(AND(AND(AND(AM$4&gt;='2025'!$L414,AM$4&lt;='2025'!$M414), AM$4&lt;&gt;DATE(2025,7,4)), (SWITCH(weekday(AM$4), 1, 0, 2, if(ISBLANK('2025'!$P414), 0, 1), 3, if(ISBLANK('2025'!$Q414), 0, 1), 4, if(ISBLANK('2025'!$R414), 0, 1), 5, if(ISBLANK('2025'!$S414), 0, 1), 6, if(ISBLANK('2025'!$T414), 0, 1), 7, 0))), 1, "")</f>
        <v/>
      </c>
      <c r="AN451" s="1" t="str">
        <f>IF(AND(AND(AND(AN$4&gt;='2025'!$L414,AN$4&lt;='2025'!$M414), AN$4&lt;&gt;DATE(2025,7,4)), (SWITCH(weekday(AN$4), 1, 0, 2, if(ISBLANK('2025'!$P414), 0, 1), 3, if(ISBLANK('2025'!$Q414), 0, 1), 4, if(ISBLANK('2025'!$R414), 0, 1), 5, if(ISBLANK('2025'!$S414), 0, 1), 6, if(ISBLANK('2025'!$T414), 0, 1), 7, 0))), 1, "")</f>
        <v/>
      </c>
      <c r="AO451" s="1" t="str">
        <f>IF(AND(AND(AND(AO$4&gt;='2025'!$L414,AO$4&lt;='2025'!$M414), AO$4&lt;&gt;DATE(2025,7,4)), (SWITCH(weekday(AO$4), 1, 0, 2, if(ISBLANK('2025'!$P414), 0, 1), 3, if(ISBLANK('2025'!$Q414), 0, 1), 4, if(ISBLANK('2025'!$R414), 0, 1), 5, if(ISBLANK('2025'!$S414), 0, 1), 6, if(ISBLANK('2025'!$T414), 0, 1), 7, 0))), 1, "")</f>
        <v/>
      </c>
      <c r="AP451" s="1" t="str">
        <f>IF(AND(AND(AND(AP$4&gt;='2025'!$L414,AP$4&lt;='2025'!$M414), AP$4&lt;&gt;DATE(2025,7,4)), (SWITCH(weekday(AP$4), 1, 0, 2, if(ISBLANK('2025'!$P414), 0, 1), 3, if(ISBLANK('2025'!$Q414), 0, 1), 4, if(ISBLANK('2025'!$R414), 0, 1), 5, if(ISBLANK('2025'!$S414), 0, 1), 6, if(ISBLANK('2025'!$T414), 0, 1), 7, 0))), 1, "")</f>
        <v/>
      </c>
      <c r="AQ451" s="1" t="str">
        <f>IF(AND(AND(AND(AQ$4&gt;='2025'!$L414,AQ$4&lt;='2025'!$M414), AQ$4&lt;&gt;DATE(2025,7,4)), (SWITCH(weekday(AQ$4), 1, 0, 2, if(ISBLANK('2025'!$P414), 0, 1), 3, if(ISBLANK('2025'!$Q414), 0, 1), 4, if(ISBLANK('2025'!$R414), 0, 1), 5, if(ISBLANK('2025'!$S414), 0, 1), 6, if(ISBLANK('2025'!$T414), 0, 1), 7, 0))), 1, "")</f>
        <v/>
      </c>
      <c r="AR451" s="1" t="str">
        <f>IF(AND(AND(AND(AR$4&gt;='2025'!$L414,AR$4&lt;='2025'!$M414), AR$4&lt;&gt;DATE(2025,7,4)), (SWITCH(weekday(AR$4), 1, 0, 2, if(ISBLANK('2025'!$P414), 0, 1), 3, if(ISBLANK('2025'!$Q414), 0, 1), 4, if(ISBLANK('2025'!$R414), 0, 1), 5, if(ISBLANK('2025'!$S414), 0, 1), 6, if(ISBLANK('2025'!$T414), 0, 1), 7, 0))), 1, "")</f>
        <v/>
      </c>
      <c r="AS451" s="1" t="str">
        <f>IF(AND(AND(AND(AS$4&gt;='2025'!$L414,AS$4&lt;='2025'!$M414), AS$4&lt;&gt;DATE(2025,7,4)), (SWITCH(weekday(AS$4), 1, 0, 2, if(ISBLANK('2025'!$P414), 0, 1), 3, if(ISBLANK('2025'!$Q414), 0, 1), 4, if(ISBLANK('2025'!$R414), 0, 1), 5, if(ISBLANK('2025'!$S414), 0, 1), 6, if(ISBLANK('2025'!$T414), 0, 1), 7, 0))), 1, "")</f>
        <v/>
      </c>
      <c r="AT451" s="1" t="str">
        <f>IF(AND(AND(AND(AT$4&gt;='2025'!$L414,AT$4&lt;='2025'!$M414), AT$4&lt;&gt;DATE(2025,7,4)), (SWITCH(weekday(AT$4), 1, 0, 2, if(ISBLANK('2025'!$P414), 0, 1), 3, if(ISBLANK('2025'!$Q414), 0, 1), 4, if(ISBLANK('2025'!$R414), 0, 1), 5, if(ISBLANK('2025'!$S414), 0, 1), 6, if(ISBLANK('2025'!$T414), 0, 1), 7, 0))), 1, "")</f>
        <v/>
      </c>
      <c r="AU451" s="1" t="str">
        <f>IF(AND(AND(AND(AU$4&gt;='2025'!$L414,AU$4&lt;='2025'!$M414), AU$4&lt;&gt;DATE(2025,7,4)), (SWITCH(weekday(AU$4), 1, 0, 2, if(ISBLANK('2025'!$P414), 0, 1), 3, if(ISBLANK('2025'!$Q414), 0, 1), 4, if(ISBLANK('2025'!$R414), 0, 1), 5, if(ISBLANK('2025'!$S414), 0, 1), 6, if(ISBLANK('2025'!$T414), 0, 1), 7, 0))), 1, "")</f>
        <v/>
      </c>
      <c r="AV451" s="1" t="str">
        <f>IF(AND(AND(AND(AV$4&gt;='2025'!$L414,AV$4&lt;='2025'!$M414), AV$4&lt;&gt;DATE(2025,7,4)), (SWITCH(weekday(AV$4), 1, 0, 2, if(ISBLANK('2025'!$P414), 0, 1), 3, if(ISBLANK('2025'!$Q414), 0, 1), 4, if(ISBLANK('2025'!$R414), 0, 1), 5, if(ISBLANK('2025'!$S414), 0, 1), 6, if(ISBLANK('2025'!$T414), 0, 1), 7, 0))), 1, "")</f>
        <v/>
      </c>
      <c r="AW451" s="1" t="str">
        <f>IF(AND(AND(AND(AW$4&gt;='2025'!$L414,AW$4&lt;='2025'!$M414), AW$4&lt;&gt;DATE(2025,7,4)), (SWITCH(weekday(AW$4), 1, 0, 2, if(ISBLANK('2025'!$P414), 0, 1), 3, if(ISBLANK('2025'!$Q414), 0, 1), 4, if(ISBLANK('2025'!$R414), 0, 1), 5, if(ISBLANK('2025'!$S414), 0, 1), 6, if(ISBLANK('2025'!$T414), 0, 1), 7, 0))), 1, "")</f>
        <v/>
      </c>
      <c r="AX451" s="1" t="str">
        <f>IF(AND(AND(AND(AX$4&gt;='2025'!$L414,AX$4&lt;='2025'!$M414), AX$4&lt;&gt;DATE(2025,7,4)), (SWITCH(weekday(AX$4), 1, 0, 2, if(ISBLANK('2025'!$P414), 0, 1), 3, if(ISBLANK('2025'!$Q414), 0, 1), 4, if(ISBLANK('2025'!$R414), 0, 1), 5, if(ISBLANK('2025'!$S414), 0, 1), 6, if(ISBLANK('2025'!$T414), 0, 1), 7, 0))), 1, "")</f>
        <v/>
      </c>
      <c r="AY451" s="1" t="str">
        <f>IF(AND(AND(AND(AY$4&gt;='2025'!$L414,AY$4&lt;='2025'!$M414), AY$4&lt;&gt;DATE(2025,7,4)), (SWITCH(weekday(AY$4), 1, 0, 2, if(ISBLANK('2025'!$P414), 0, 1), 3, if(ISBLANK('2025'!$Q414), 0, 1), 4, if(ISBLANK('2025'!$R414), 0, 1), 5, if(ISBLANK('2025'!$S414), 0, 1), 6, if(ISBLANK('2025'!$T414), 0, 1), 7, 0))), 1, "")</f>
        <v/>
      </c>
      <c r="AZ451" s="1" t="str">
        <f>IF(AND(AND(AND(AZ$4&gt;='2025'!$L414,AZ$4&lt;='2025'!$M414), AZ$4&lt;&gt;DATE(2025,7,4)), (SWITCH(weekday(AZ$4), 1, 0, 2, if(ISBLANK('2025'!$P414), 0, 1), 3, if(ISBLANK('2025'!$Q414), 0, 1), 4, if(ISBLANK('2025'!$R414), 0, 1), 5, if(ISBLANK('2025'!$S414), 0, 1), 6, if(ISBLANK('2025'!$T414), 0, 1), 7, 0))), 1, "")</f>
        <v/>
      </c>
      <c r="BA451" s="1" t="str">
        <f>IF(AND(AND(AND(BA$4&gt;='2025'!$L414,BA$4&lt;='2025'!$M414), BA$4&lt;&gt;DATE(2025,7,4)), (SWITCH(weekday(BA$4), 1, 0, 2, if(ISBLANK('2025'!$P414), 0, 1), 3, if(ISBLANK('2025'!$Q414), 0, 1), 4, if(ISBLANK('2025'!$R414), 0, 1), 5, if(ISBLANK('2025'!$S414), 0, 1), 6, if(ISBLANK('2025'!$T414), 0, 1), 7, 0))), 1, "")</f>
        <v/>
      </c>
      <c r="BB451" s="1" t="str">
        <f>IF(AND(AND(AND(BB$4&gt;='2025'!$L414,BB$4&lt;='2025'!$M414), BB$4&lt;&gt;DATE(2025,7,4)), (SWITCH(weekday(BB$4), 1, 0, 2, if(ISBLANK('2025'!$P414), 0, 1), 3, if(ISBLANK('2025'!$Q414), 0, 1), 4, if(ISBLANK('2025'!$R414), 0, 1), 5, if(ISBLANK('2025'!$S414), 0, 1), 6, if(ISBLANK('2025'!$T414), 0, 1), 7, 0))), 1, "")</f>
        <v/>
      </c>
      <c r="BC451" s="1" t="str">
        <f>IF(AND(AND(AND(BC$4&gt;='2025'!$L414,BC$4&lt;='2025'!$M414), BC$4&lt;&gt;DATE(2025,7,4)), (SWITCH(weekday(BC$4), 1, 0, 2, if(ISBLANK('2025'!$P414), 0, 1), 3, if(ISBLANK('2025'!$Q414), 0, 1), 4, if(ISBLANK('2025'!$R414), 0, 1), 5, if(ISBLANK('2025'!$S414), 0, 1), 6, if(ISBLANK('2025'!$T414), 0, 1), 7, 0))), 1, "")</f>
        <v/>
      </c>
      <c r="BD451" s="1" t="str">
        <f>IF(AND(AND(AND(BD$4&gt;='2025'!$L414,BD$4&lt;='2025'!$M414), BD$4&lt;&gt;DATE(2025,7,4)), (SWITCH(weekday(BD$4), 1, 0, 2, if(ISBLANK('2025'!$P414), 0, 1), 3, if(ISBLANK('2025'!$Q414), 0, 1), 4, if(ISBLANK('2025'!$R414), 0, 1), 5, if(ISBLANK('2025'!$S414), 0, 1), 6, if(ISBLANK('2025'!$T414), 0, 1), 7, 0))), 1, "")</f>
        <v/>
      </c>
      <c r="BE451" s="1" t="str">
        <f>IF(AND(AND(AND(BE$4&gt;='2025'!$L414,BE$4&lt;='2025'!$M414), BE$4&lt;&gt;DATE(2025,7,4)), (SWITCH(weekday(BE$4), 1, 0, 2, if(ISBLANK('2025'!$P414), 0, 1), 3, if(ISBLANK('2025'!$Q414), 0, 1), 4, if(ISBLANK('2025'!$R414), 0, 1), 5, if(ISBLANK('2025'!$S414), 0, 1), 6, if(ISBLANK('2025'!$T414), 0, 1), 7, 0))), 1, "")</f>
        <v/>
      </c>
    </row>
    <row r="452">
      <c r="A452" s="1">
        <f t="shared" si="3"/>
        <v>452</v>
      </c>
      <c r="B452" s="1" t="str">
        <f>'2025'!D415</f>
        <v/>
      </c>
      <c r="C452" s="1" t="str">
        <f>'2025'!H415</f>
        <v/>
      </c>
      <c r="D452" s="1" t="str">
        <f>IF(AND(AND(AND(D$4&gt;='2025'!$L415,D$4&lt;='2025'!$M415), D$4&lt;&gt;DATE(2025,7,4)), (SWITCH(weekday(D$4), 1, 0, 2, if(ISBLANK('2025'!$P415), 0, 1), 3, if(ISBLANK('2025'!$Q415), 0, 1), 4, if(ISBLANK('2025'!$R415), 0, 1), 5, if(ISBLANK('2025'!$S415), 0, 1), 6, if(ISBLANK('2025'!$T415), 0, 1), 7, 0))), 1, "")</f>
        <v/>
      </c>
      <c r="E452" s="1" t="str">
        <f>IF(AND(AND(AND(E$4&gt;='2025'!$L415,E$4&lt;='2025'!$M415), E$4&lt;&gt;DATE(2025,7,4)), (SWITCH(weekday(E$4), 1, 0, 2, if(ISBLANK('2025'!$P415), 0, 1), 3, if(ISBLANK('2025'!$Q415), 0, 1), 4, if(ISBLANK('2025'!$R415), 0, 1), 5, if(ISBLANK('2025'!$S415), 0, 1), 6, if(ISBLANK('2025'!$T415), 0, 1), 7, 0))), 1, "")</f>
        <v/>
      </c>
      <c r="F452" s="1" t="str">
        <f>IF(AND(AND(AND(F$4&gt;='2025'!$L415,F$4&lt;='2025'!$M415), F$4&lt;&gt;DATE(2025,7,4)), (SWITCH(weekday(F$4), 1, 0, 2, if(ISBLANK('2025'!$P415), 0, 1), 3, if(ISBLANK('2025'!$Q415), 0, 1), 4, if(ISBLANK('2025'!$R415), 0, 1), 5, if(ISBLANK('2025'!$S415), 0, 1), 6, if(ISBLANK('2025'!$T415), 0, 1), 7, 0))), 1, "")</f>
        <v/>
      </c>
      <c r="G452" s="1" t="str">
        <f>IF(AND(AND(AND(G$4&gt;='2025'!$L415,G$4&lt;='2025'!$M415), G$4&lt;&gt;DATE(2025,7,4)), (SWITCH(weekday(G$4), 1, 0, 2, if(ISBLANK('2025'!$P415), 0, 1), 3, if(ISBLANK('2025'!$Q415), 0, 1), 4, if(ISBLANK('2025'!$R415), 0, 1), 5, if(ISBLANK('2025'!$S415), 0, 1), 6, if(ISBLANK('2025'!$T415), 0, 1), 7, 0))), 1, "")</f>
        <v/>
      </c>
      <c r="H452" s="1" t="str">
        <f>IF(AND(AND(AND(H$4&gt;='2025'!$L415,H$4&lt;='2025'!$M415), H$4&lt;&gt;DATE(2025,7,4)), (SWITCH(weekday(H$4), 1, 0, 2, if(ISBLANK('2025'!$P415), 0, 1), 3, if(ISBLANK('2025'!$Q415), 0, 1), 4, if(ISBLANK('2025'!$R415), 0, 1), 5, if(ISBLANK('2025'!$S415), 0, 1), 6, if(ISBLANK('2025'!$T415), 0, 1), 7, 0))), 1, "")</f>
        <v/>
      </c>
      <c r="I452" s="1" t="str">
        <f>IF(AND(AND(AND(I$4&gt;='2025'!$L415,I$4&lt;='2025'!$M415), I$4&lt;&gt;DATE(2025,7,4)), (SWITCH(weekday(I$4), 1, 0, 2, if(ISBLANK('2025'!$P415), 0, 1), 3, if(ISBLANK('2025'!$Q415), 0, 1), 4, if(ISBLANK('2025'!$R415), 0, 1), 5, if(ISBLANK('2025'!$S415), 0, 1), 6, if(ISBLANK('2025'!$T415), 0, 1), 7, 0))), 1, "")</f>
        <v/>
      </c>
      <c r="J452" s="1" t="str">
        <f>IF(AND(AND(AND(J$4&gt;='2025'!$L415,J$4&lt;='2025'!$M415), J$4&lt;&gt;DATE(2025,7,4)), (SWITCH(weekday(J$4), 1, 0, 2, if(ISBLANK('2025'!$P415), 0, 1), 3, if(ISBLANK('2025'!$Q415), 0, 1), 4, if(ISBLANK('2025'!$R415), 0, 1), 5, if(ISBLANK('2025'!$S415), 0, 1), 6, if(ISBLANK('2025'!$T415), 0, 1), 7, 0))), 1, "")</f>
        <v/>
      </c>
      <c r="K452" s="1" t="str">
        <f>IF(AND(AND(AND(K$4&gt;='2025'!$L415,K$4&lt;='2025'!$M415), K$4&lt;&gt;DATE(2025,7,4)), (SWITCH(weekday(K$4), 1, 0, 2, if(ISBLANK('2025'!$P415), 0, 1), 3, if(ISBLANK('2025'!$Q415), 0, 1), 4, if(ISBLANK('2025'!$R415), 0, 1), 5, if(ISBLANK('2025'!$S415), 0, 1), 6, if(ISBLANK('2025'!$T415), 0, 1), 7, 0))), 1, "")</f>
        <v/>
      </c>
      <c r="L452" s="1" t="str">
        <f>IF(AND(AND(AND(L$4&gt;='2025'!$L415,L$4&lt;='2025'!$M415), L$4&lt;&gt;DATE(2025,7,4)), (SWITCH(weekday(L$4), 1, 0, 2, if(ISBLANK('2025'!$P415), 0, 1), 3, if(ISBLANK('2025'!$Q415), 0, 1), 4, if(ISBLANK('2025'!$R415), 0, 1), 5, if(ISBLANK('2025'!$S415), 0, 1), 6, if(ISBLANK('2025'!$T415), 0, 1), 7, 0))), 1, "")</f>
        <v/>
      </c>
      <c r="M452" s="1" t="str">
        <f>IF(AND(AND(AND(M$4&gt;='2025'!$L415,M$4&lt;='2025'!$M415), M$4&lt;&gt;DATE(2025,7,4)), (SWITCH(weekday(M$4), 1, 0, 2, if(ISBLANK('2025'!$P415), 0, 1), 3, if(ISBLANK('2025'!$Q415), 0, 1), 4, if(ISBLANK('2025'!$R415), 0, 1), 5, if(ISBLANK('2025'!$S415), 0, 1), 6, if(ISBLANK('2025'!$T415), 0, 1), 7, 0))), 1, "")</f>
        <v/>
      </c>
      <c r="N452" s="1" t="str">
        <f>IF(AND(AND(AND(N$4&gt;='2025'!$L415,N$4&lt;='2025'!$M415), N$4&lt;&gt;DATE(2025,7,4)), (SWITCH(weekday(N$4), 1, 0, 2, if(ISBLANK('2025'!$P415), 0, 1), 3, if(ISBLANK('2025'!$Q415), 0, 1), 4, if(ISBLANK('2025'!$R415), 0, 1), 5, if(ISBLANK('2025'!$S415), 0, 1), 6, if(ISBLANK('2025'!$T415), 0, 1), 7, 0))), 1, "")</f>
        <v/>
      </c>
      <c r="O452" s="1" t="str">
        <f>IF(AND(AND(AND(O$4&gt;='2025'!$L415,O$4&lt;='2025'!$M415), O$4&lt;&gt;DATE(2025,7,4)), (SWITCH(weekday(O$4), 1, 0, 2, if(ISBLANK('2025'!$P415), 0, 1), 3, if(ISBLANK('2025'!$Q415), 0, 1), 4, if(ISBLANK('2025'!$R415), 0, 1), 5, if(ISBLANK('2025'!$S415), 0, 1), 6, if(ISBLANK('2025'!$T415), 0, 1), 7, 0))), 1, "")</f>
        <v/>
      </c>
      <c r="P452" s="1" t="str">
        <f>IF(AND(AND(AND(P$4&gt;='2025'!$L415,P$4&lt;='2025'!$M415), P$4&lt;&gt;DATE(2025,7,4)), (SWITCH(weekday(P$4), 1, 0, 2, if(ISBLANK('2025'!$P415), 0, 1), 3, if(ISBLANK('2025'!$Q415), 0, 1), 4, if(ISBLANK('2025'!$R415), 0, 1), 5, if(ISBLANK('2025'!$S415), 0, 1), 6, if(ISBLANK('2025'!$T415), 0, 1), 7, 0))), 1, "")</f>
        <v/>
      </c>
      <c r="Q452" s="1" t="str">
        <f>IF(AND(AND(AND(Q$4&gt;='2025'!$L415,Q$4&lt;='2025'!$M415), Q$4&lt;&gt;DATE(2025,7,4)), (SWITCH(weekday(Q$4), 1, 0, 2, if(ISBLANK('2025'!$P415), 0, 1), 3, if(ISBLANK('2025'!$Q415), 0, 1), 4, if(ISBLANK('2025'!$R415), 0, 1), 5, if(ISBLANK('2025'!$S415), 0, 1), 6, if(ISBLANK('2025'!$T415), 0, 1), 7, 0))), 1, "")</f>
        <v/>
      </c>
      <c r="R452" s="1" t="str">
        <f>IF(AND(AND(AND(R$4&gt;='2025'!$L415,R$4&lt;='2025'!$M415), R$4&lt;&gt;DATE(2025,7,4)), (SWITCH(weekday(R$4), 1, 0, 2, if(ISBLANK('2025'!$P415), 0, 1), 3, if(ISBLANK('2025'!$Q415), 0, 1), 4, if(ISBLANK('2025'!$R415), 0, 1), 5, if(ISBLANK('2025'!$S415), 0, 1), 6, if(ISBLANK('2025'!$T415), 0, 1), 7, 0))), 1, "")</f>
        <v/>
      </c>
      <c r="S452" s="1" t="str">
        <f>IF(AND(AND(AND(S$4&gt;='2025'!$L415,S$4&lt;='2025'!$M415), S$4&lt;&gt;DATE(2025,7,4)), (SWITCH(weekday(S$4), 1, 0, 2, if(ISBLANK('2025'!$P415), 0, 1), 3, if(ISBLANK('2025'!$Q415), 0, 1), 4, if(ISBLANK('2025'!$R415), 0, 1), 5, if(ISBLANK('2025'!$S415), 0, 1), 6, if(ISBLANK('2025'!$T415), 0, 1), 7, 0))), 1, "")</f>
        <v/>
      </c>
      <c r="T452" s="1" t="str">
        <f>IF(AND(AND(AND(T$4&gt;='2025'!$L415,T$4&lt;='2025'!$M415), T$4&lt;&gt;DATE(2025,7,4)), (SWITCH(weekday(T$4), 1, 0, 2, if(ISBLANK('2025'!$P415), 0, 1), 3, if(ISBLANK('2025'!$Q415), 0, 1), 4, if(ISBLANK('2025'!$R415), 0, 1), 5, if(ISBLANK('2025'!$S415), 0, 1), 6, if(ISBLANK('2025'!$T415), 0, 1), 7, 0))), 1, "")</f>
        <v/>
      </c>
      <c r="U452" s="1" t="str">
        <f>IF(AND(AND(AND(U$4&gt;='2025'!$L415,U$4&lt;='2025'!$M415), U$4&lt;&gt;DATE(2025,7,4)), (SWITCH(weekday(U$4), 1, 0, 2, if(ISBLANK('2025'!$P415), 0, 1), 3, if(ISBLANK('2025'!$Q415), 0, 1), 4, if(ISBLANK('2025'!$R415), 0, 1), 5, if(ISBLANK('2025'!$S415), 0, 1), 6, if(ISBLANK('2025'!$T415), 0, 1), 7, 0))), 1, "")</f>
        <v/>
      </c>
      <c r="V452" s="1" t="str">
        <f>IF(AND(AND(AND(V$4&gt;='2025'!$L415,V$4&lt;='2025'!$M415), V$4&lt;&gt;DATE(2025,7,4)), (SWITCH(weekday(V$4), 1, 0, 2, if(ISBLANK('2025'!$P415), 0, 1), 3, if(ISBLANK('2025'!$Q415), 0, 1), 4, if(ISBLANK('2025'!$R415), 0, 1), 5, if(ISBLANK('2025'!$S415), 0, 1), 6, if(ISBLANK('2025'!$T415), 0, 1), 7, 0))), 1, "")</f>
        <v/>
      </c>
      <c r="W452" s="1" t="str">
        <f>IF(AND(AND(AND(W$4&gt;='2025'!$L415,W$4&lt;='2025'!$M415), W$4&lt;&gt;DATE(2025,7,4)), (SWITCH(weekday(W$4), 1, 0, 2, if(ISBLANK('2025'!$P415), 0, 1), 3, if(ISBLANK('2025'!$Q415), 0, 1), 4, if(ISBLANK('2025'!$R415), 0, 1), 5, if(ISBLANK('2025'!$S415), 0, 1), 6, if(ISBLANK('2025'!$T415), 0, 1), 7, 0))), 1, "")</f>
        <v/>
      </c>
      <c r="X452" s="1" t="str">
        <f>IF(AND(AND(AND(X$4&gt;='2025'!$L415,X$4&lt;='2025'!$M415), X$4&lt;&gt;DATE(2025,7,4)), (SWITCH(weekday(X$4), 1, 0, 2, if(ISBLANK('2025'!$P415), 0, 1), 3, if(ISBLANK('2025'!$Q415), 0, 1), 4, if(ISBLANK('2025'!$R415), 0, 1), 5, if(ISBLANK('2025'!$S415), 0, 1), 6, if(ISBLANK('2025'!$T415), 0, 1), 7, 0))), 1, "")</f>
        <v/>
      </c>
      <c r="Y452" s="1" t="str">
        <f>IF(AND(AND(AND(Y$4&gt;='2025'!$L415,Y$4&lt;='2025'!$M415), Y$4&lt;&gt;DATE(2025,7,4)), (SWITCH(weekday(Y$4), 1, 0, 2, if(ISBLANK('2025'!$P415), 0, 1), 3, if(ISBLANK('2025'!$Q415), 0, 1), 4, if(ISBLANK('2025'!$R415), 0, 1), 5, if(ISBLANK('2025'!$S415), 0, 1), 6, if(ISBLANK('2025'!$T415), 0, 1), 7, 0))), 1, "")</f>
        <v/>
      </c>
      <c r="Z452" s="1" t="str">
        <f>IF(AND(AND(AND(Z$4&gt;='2025'!$L415,Z$4&lt;='2025'!$M415), Z$4&lt;&gt;DATE(2025,7,4)), (SWITCH(weekday(Z$4), 1, 0, 2, if(ISBLANK('2025'!$P415), 0, 1), 3, if(ISBLANK('2025'!$Q415), 0, 1), 4, if(ISBLANK('2025'!$R415), 0, 1), 5, if(ISBLANK('2025'!$S415), 0, 1), 6, if(ISBLANK('2025'!$T415), 0, 1), 7, 0))), 1, "")</f>
        <v/>
      </c>
      <c r="AA452" s="1" t="str">
        <f>IF(AND(AND(AND(AA$4&gt;='2025'!$L415,AA$4&lt;='2025'!$M415), AA$4&lt;&gt;DATE(2025,7,4)), (SWITCH(weekday(AA$4), 1, 0, 2, if(ISBLANK('2025'!$P415), 0, 1), 3, if(ISBLANK('2025'!$Q415), 0, 1), 4, if(ISBLANK('2025'!$R415), 0, 1), 5, if(ISBLANK('2025'!$S415), 0, 1), 6, if(ISBLANK('2025'!$T415), 0, 1), 7, 0))), 1, "")</f>
        <v/>
      </c>
      <c r="AB452" s="1" t="str">
        <f>IF(AND(AND(AND(AB$4&gt;='2025'!$L415,AB$4&lt;='2025'!$M415), AB$4&lt;&gt;DATE(2025,7,4)), (SWITCH(weekday(AB$4), 1, 0, 2, if(ISBLANK('2025'!$P415), 0, 1), 3, if(ISBLANK('2025'!$Q415), 0, 1), 4, if(ISBLANK('2025'!$R415), 0, 1), 5, if(ISBLANK('2025'!$S415), 0, 1), 6, if(ISBLANK('2025'!$T415), 0, 1), 7, 0))), 1, "")</f>
        <v/>
      </c>
      <c r="AC452" s="1" t="str">
        <f>IF(AND(AND(AND(AC$4&gt;='2025'!$L415,AC$4&lt;='2025'!$M415), AC$4&lt;&gt;DATE(2025,7,4)), (SWITCH(weekday(AC$4), 1, 0, 2, if(ISBLANK('2025'!$P415), 0, 1), 3, if(ISBLANK('2025'!$Q415), 0, 1), 4, if(ISBLANK('2025'!$R415), 0, 1), 5, if(ISBLANK('2025'!$S415), 0, 1), 6, if(ISBLANK('2025'!$T415), 0, 1), 7, 0))), 1, "")</f>
        <v/>
      </c>
      <c r="AD452" s="1" t="str">
        <f>IF(AND(AND(AND(AD$4&gt;='2025'!$L415,AD$4&lt;='2025'!$M415), AD$4&lt;&gt;DATE(2025,7,4)), (SWITCH(weekday(AD$4), 1, 0, 2, if(ISBLANK('2025'!$P415), 0, 1), 3, if(ISBLANK('2025'!$Q415), 0, 1), 4, if(ISBLANK('2025'!$R415), 0, 1), 5, if(ISBLANK('2025'!$S415), 0, 1), 6, if(ISBLANK('2025'!$T415), 0, 1), 7, 0))), 1, "")</f>
        <v/>
      </c>
      <c r="AE452" s="1" t="str">
        <f>IF(AND(AND(AND(AE$4&gt;='2025'!$L415,AE$4&lt;='2025'!$M415), AE$4&lt;&gt;DATE(2025,7,4)), (SWITCH(weekday(AE$4), 1, 0, 2, if(ISBLANK('2025'!$P415), 0, 1), 3, if(ISBLANK('2025'!$Q415), 0, 1), 4, if(ISBLANK('2025'!$R415), 0, 1), 5, if(ISBLANK('2025'!$S415), 0, 1), 6, if(ISBLANK('2025'!$T415), 0, 1), 7, 0))), 1, "")</f>
        <v/>
      </c>
      <c r="AF452" s="1" t="str">
        <f>IF(AND(AND(AND(AF$4&gt;='2025'!$L415,AF$4&lt;='2025'!$M415), AF$4&lt;&gt;DATE(2025,7,4)), (SWITCH(weekday(AF$4), 1, 0, 2, if(ISBLANK('2025'!$P415), 0, 1), 3, if(ISBLANK('2025'!$Q415), 0, 1), 4, if(ISBLANK('2025'!$R415), 0, 1), 5, if(ISBLANK('2025'!$S415), 0, 1), 6, if(ISBLANK('2025'!$T415), 0, 1), 7, 0))), 1, "")</f>
        <v/>
      </c>
      <c r="AG452" s="1" t="str">
        <f>IF(AND(AND(AND(AG$4&gt;='2025'!$L415,AG$4&lt;='2025'!$M415), AG$4&lt;&gt;DATE(2025,7,4)), (SWITCH(weekday(AG$4), 1, 0, 2, if(ISBLANK('2025'!$P415), 0, 1), 3, if(ISBLANK('2025'!$Q415), 0, 1), 4, if(ISBLANK('2025'!$R415), 0, 1), 5, if(ISBLANK('2025'!$S415), 0, 1), 6, if(ISBLANK('2025'!$T415), 0, 1), 7, 0))), 1, "")</f>
        <v/>
      </c>
      <c r="AH452" s="1" t="str">
        <f>IF(AND(AND(AND(AH$4&gt;='2025'!$L415,AH$4&lt;='2025'!$M415), AH$4&lt;&gt;DATE(2025,7,4)), (SWITCH(weekday(AH$4), 1, 0, 2, if(ISBLANK('2025'!$P415), 0, 1), 3, if(ISBLANK('2025'!$Q415), 0, 1), 4, if(ISBLANK('2025'!$R415), 0, 1), 5, if(ISBLANK('2025'!$S415), 0, 1), 6, if(ISBLANK('2025'!$T415), 0, 1), 7, 0))), 1, "")</f>
        <v/>
      </c>
      <c r="AI452" s="1" t="str">
        <f>IF(AND(AND(AND(AI$4&gt;='2025'!$L415,AI$4&lt;='2025'!$M415), AI$4&lt;&gt;DATE(2025,7,4)), (SWITCH(weekday(AI$4), 1, 0, 2, if(ISBLANK('2025'!$P415), 0, 1), 3, if(ISBLANK('2025'!$Q415), 0, 1), 4, if(ISBLANK('2025'!$R415), 0, 1), 5, if(ISBLANK('2025'!$S415), 0, 1), 6, if(ISBLANK('2025'!$T415), 0, 1), 7, 0))), 1, "")</f>
        <v/>
      </c>
      <c r="AJ452" s="1" t="str">
        <f>IF(AND(AND(AND(AJ$4&gt;='2025'!$L415,AJ$4&lt;='2025'!$M415), AJ$4&lt;&gt;DATE(2025,7,4)), (SWITCH(weekday(AJ$4), 1, 0, 2, if(ISBLANK('2025'!$P415), 0, 1), 3, if(ISBLANK('2025'!$Q415), 0, 1), 4, if(ISBLANK('2025'!$R415), 0, 1), 5, if(ISBLANK('2025'!$S415), 0, 1), 6, if(ISBLANK('2025'!$T415), 0, 1), 7, 0))), 1, "")</f>
        <v/>
      </c>
      <c r="AK452" s="1" t="str">
        <f>IF(AND(AND(AND(AK$4&gt;='2025'!$L415,AK$4&lt;='2025'!$M415), AK$4&lt;&gt;DATE(2025,7,4)), (SWITCH(weekday(AK$4), 1, 0, 2, if(ISBLANK('2025'!$P415), 0, 1), 3, if(ISBLANK('2025'!$Q415), 0, 1), 4, if(ISBLANK('2025'!$R415), 0, 1), 5, if(ISBLANK('2025'!$S415), 0, 1), 6, if(ISBLANK('2025'!$T415), 0, 1), 7, 0))), 1, "")</f>
        <v/>
      </c>
      <c r="AL452" s="1" t="str">
        <f>IF(AND(AND(AND(AL$4&gt;='2025'!$L415,AL$4&lt;='2025'!$M415), AL$4&lt;&gt;DATE(2025,7,4)), (SWITCH(weekday(AL$4), 1, 0, 2, if(ISBLANK('2025'!$P415), 0, 1), 3, if(ISBLANK('2025'!$Q415), 0, 1), 4, if(ISBLANK('2025'!$R415), 0, 1), 5, if(ISBLANK('2025'!$S415), 0, 1), 6, if(ISBLANK('2025'!$T415), 0, 1), 7, 0))), 1, "")</f>
        <v/>
      </c>
      <c r="AM452" s="1" t="str">
        <f>IF(AND(AND(AND(AM$4&gt;='2025'!$L415,AM$4&lt;='2025'!$M415), AM$4&lt;&gt;DATE(2025,7,4)), (SWITCH(weekday(AM$4), 1, 0, 2, if(ISBLANK('2025'!$P415), 0, 1), 3, if(ISBLANK('2025'!$Q415), 0, 1), 4, if(ISBLANK('2025'!$R415), 0, 1), 5, if(ISBLANK('2025'!$S415), 0, 1), 6, if(ISBLANK('2025'!$T415), 0, 1), 7, 0))), 1, "")</f>
        <v/>
      </c>
      <c r="AN452" s="1" t="str">
        <f>IF(AND(AND(AND(AN$4&gt;='2025'!$L415,AN$4&lt;='2025'!$M415), AN$4&lt;&gt;DATE(2025,7,4)), (SWITCH(weekday(AN$4), 1, 0, 2, if(ISBLANK('2025'!$P415), 0, 1), 3, if(ISBLANK('2025'!$Q415), 0, 1), 4, if(ISBLANK('2025'!$R415), 0, 1), 5, if(ISBLANK('2025'!$S415), 0, 1), 6, if(ISBLANK('2025'!$T415), 0, 1), 7, 0))), 1, "")</f>
        <v/>
      </c>
      <c r="AO452" s="1" t="str">
        <f>IF(AND(AND(AND(AO$4&gt;='2025'!$L415,AO$4&lt;='2025'!$M415), AO$4&lt;&gt;DATE(2025,7,4)), (SWITCH(weekday(AO$4), 1, 0, 2, if(ISBLANK('2025'!$P415), 0, 1), 3, if(ISBLANK('2025'!$Q415), 0, 1), 4, if(ISBLANK('2025'!$R415), 0, 1), 5, if(ISBLANK('2025'!$S415), 0, 1), 6, if(ISBLANK('2025'!$T415), 0, 1), 7, 0))), 1, "")</f>
        <v/>
      </c>
      <c r="AP452" s="1" t="str">
        <f>IF(AND(AND(AND(AP$4&gt;='2025'!$L415,AP$4&lt;='2025'!$M415), AP$4&lt;&gt;DATE(2025,7,4)), (SWITCH(weekday(AP$4), 1, 0, 2, if(ISBLANK('2025'!$P415), 0, 1), 3, if(ISBLANK('2025'!$Q415), 0, 1), 4, if(ISBLANK('2025'!$R415), 0, 1), 5, if(ISBLANK('2025'!$S415), 0, 1), 6, if(ISBLANK('2025'!$T415), 0, 1), 7, 0))), 1, "")</f>
        <v/>
      </c>
      <c r="AQ452" s="1" t="str">
        <f>IF(AND(AND(AND(AQ$4&gt;='2025'!$L415,AQ$4&lt;='2025'!$M415), AQ$4&lt;&gt;DATE(2025,7,4)), (SWITCH(weekday(AQ$4), 1, 0, 2, if(ISBLANK('2025'!$P415), 0, 1), 3, if(ISBLANK('2025'!$Q415), 0, 1), 4, if(ISBLANK('2025'!$R415), 0, 1), 5, if(ISBLANK('2025'!$S415), 0, 1), 6, if(ISBLANK('2025'!$T415), 0, 1), 7, 0))), 1, "")</f>
        <v/>
      </c>
      <c r="AR452" s="1" t="str">
        <f>IF(AND(AND(AND(AR$4&gt;='2025'!$L415,AR$4&lt;='2025'!$M415), AR$4&lt;&gt;DATE(2025,7,4)), (SWITCH(weekday(AR$4), 1, 0, 2, if(ISBLANK('2025'!$P415), 0, 1), 3, if(ISBLANK('2025'!$Q415), 0, 1), 4, if(ISBLANK('2025'!$R415), 0, 1), 5, if(ISBLANK('2025'!$S415), 0, 1), 6, if(ISBLANK('2025'!$T415), 0, 1), 7, 0))), 1, "")</f>
        <v/>
      </c>
      <c r="AS452" s="1" t="str">
        <f>IF(AND(AND(AND(AS$4&gt;='2025'!$L415,AS$4&lt;='2025'!$M415), AS$4&lt;&gt;DATE(2025,7,4)), (SWITCH(weekday(AS$4), 1, 0, 2, if(ISBLANK('2025'!$P415), 0, 1), 3, if(ISBLANK('2025'!$Q415), 0, 1), 4, if(ISBLANK('2025'!$R415), 0, 1), 5, if(ISBLANK('2025'!$S415), 0, 1), 6, if(ISBLANK('2025'!$T415), 0, 1), 7, 0))), 1, "")</f>
        <v/>
      </c>
      <c r="AT452" s="1" t="str">
        <f>IF(AND(AND(AND(AT$4&gt;='2025'!$L415,AT$4&lt;='2025'!$M415), AT$4&lt;&gt;DATE(2025,7,4)), (SWITCH(weekday(AT$4), 1, 0, 2, if(ISBLANK('2025'!$P415), 0, 1), 3, if(ISBLANK('2025'!$Q415), 0, 1), 4, if(ISBLANK('2025'!$R415), 0, 1), 5, if(ISBLANK('2025'!$S415), 0, 1), 6, if(ISBLANK('2025'!$T415), 0, 1), 7, 0))), 1, "")</f>
        <v/>
      </c>
      <c r="AU452" s="1" t="str">
        <f>IF(AND(AND(AND(AU$4&gt;='2025'!$L415,AU$4&lt;='2025'!$M415), AU$4&lt;&gt;DATE(2025,7,4)), (SWITCH(weekday(AU$4), 1, 0, 2, if(ISBLANK('2025'!$P415), 0, 1), 3, if(ISBLANK('2025'!$Q415), 0, 1), 4, if(ISBLANK('2025'!$R415), 0, 1), 5, if(ISBLANK('2025'!$S415), 0, 1), 6, if(ISBLANK('2025'!$T415), 0, 1), 7, 0))), 1, "")</f>
        <v/>
      </c>
      <c r="AV452" s="1" t="str">
        <f>IF(AND(AND(AND(AV$4&gt;='2025'!$L415,AV$4&lt;='2025'!$M415), AV$4&lt;&gt;DATE(2025,7,4)), (SWITCH(weekday(AV$4), 1, 0, 2, if(ISBLANK('2025'!$P415), 0, 1), 3, if(ISBLANK('2025'!$Q415), 0, 1), 4, if(ISBLANK('2025'!$R415), 0, 1), 5, if(ISBLANK('2025'!$S415), 0, 1), 6, if(ISBLANK('2025'!$T415), 0, 1), 7, 0))), 1, "")</f>
        <v/>
      </c>
      <c r="AW452" s="1" t="str">
        <f>IF(AND(AND(AND(AW$4&gt;='2025'!$L415,AW$4&lt;='2025'!$M415), AW$4&lt;&gt;DATE(2025,7,4)), (SWITCH(weekday(AW$4), 1, 0, 2, if(ISBLANK('2025'!$P415), 0, 1), 3, if(ISBLANK('2025'!$Q415), 0, 1), 4, if(ISBLANK('2025'!$R415), 0, 1), 5, if(ISBLANK('2025'!$S415), 0, 1), 6, if(ISBLANK('2025'!$T415), 0, 1), 7, 0))), 1, "")</f>
        <v/>
      </c>
      <c r="AX452" s="1" t="str">
        <f>IF(AND(AND(AND(AX$4&gt;='2025'!$L415,AX$4&lt;='2025'!$M415), AX$4&lt;&gt;DATE(2025,7,4)), (SWITCH(weekday(AX$4), 1, 0, 2, if(ISBLANK('2025'!$P415), 0, 1), 3, if(ISBLANK('2025'!$Q415), 0, 1), 4, if(ISBLANK('2025'!$R415), 0, 1), 5, if(ISBLANK('2025'!$S415), 0, 1), 6, if(ISBLANK('2025'!$T415), 0, 1), 7, 0))), 1, "")</f>
        <v/>
      </c>
      <c r="AY452" s="1" t="str">
        <f>IF(AND(AND(AND(AY$4&gt;='2025'!$L415,AY$4&lt;='2025'!$M415), AY$4&lt;&gt;DATE(2025,7,4)), (SWITCH(weekday(AY$4), 1, 0, 2, if(ISBLANK('2025'!$P415), 0, 1), 3, if(ISBLANK('2025'!$Q415), 0, 1), 4, if(ISBLANK('2025'!$R415), 0, 1), 5, if(ISBLANK('2025'!$S415), 0, 1), 6, if(ISBLANK('2025'!$T415), 0, 1), 7, 0))), 1, "")</f>
        <v/>
      </c>
      <c r="AZ452" s="1" t="str">
        <f>IF(AND(AND(AND(AZ$4&gt;='2025'!$L415,AZ$4&lt;='2025'!$M415), AZ$4&lt;&gt;DATE(2025,7,4)), (SWITCH(weekday(AZ$4), 1, 0, 2, if(ISBLANK('2025'!$P415), 0, 1), 3, if(ISBLANK('2025'!$Q415), 0, 1), 4, if(ISBLANK('2025'!$R415), 0, 1), 5, if(ISBLANK('2025'!$S415), 0, 1), 6, if(ISBLANK('2025'!$T415), 0, 1), 7, 0))), 1, "")</f>
        <v/>
      </c>
      <c r="BA452" s="1" t="str">
        <f>IF(AND(AND(AND(BA$4&gt;='2025'!$L415,BA$4&lt;='2025'!$M415), BA$4&lt;&gt;DATE(2025,7,4)), (SWITCH(weekday(BA$4), 1, 0, 2, if(ISBLANK('2025'!$P415), 0, 1), 3, if(ISBLANK('2025'!$Q415), 0, 1), 4, if(ISBLANK('2025'!$R415), 0, 1), 5, if(ISBLANK('2025'!$S415), 0, 1), 6, if(ISBLANK('2025'!$T415), 0, 1), 7, 0))), 1, "")</f>
        <v/>
      </c>
      <c r="BB452" s="1" t="str">
        <f>IF(AND(AND(AND(BB$4&gt;='2025'!$L415,BB$4&lt;='2025'!$M415), BB$4&lt;&gt;DATE(2025,7,4)), (SWITCH(weekday(BB$4), 1, 0, 2, if(ISBLANK('2025'!$P415), 0, 1), 3, if(ISBLANK('2025'!$Q415), 0, 1), 4, if(ISBLANK('2025'!$R415), 0, 1), 5, if(ISBLANK('2025'!$S415), 0, 1), 6, if(ISBLANK('2025'!$T415), 0, 1), 7, 0))), 1, "")</f>
        <v/>
      </c>
      <c r="BC452" s="1" t="str">
        <f>IF(AND(AND(AND(BC$4&gt;='2025'!$L415,BC$4&lt;='2025'!$M415), BC$4&lt;&gt;DATE(2025,7,4)), (SWITCH(weekday(BC$4), 1, 0, 2, if(ISBLANK('2025'!$P415), 0, 1), 3, if(ISBLANK('2025'!$Q415), 0, 1), 4, if(ISBLANK('2025'!$R415), 0, 1), 5, if(ISBLANK('2025'!$S415), 0, 1), 6, if(ISBLANK('2025'!$T415), 0, 1), 7, 0))), 1, "")</f>
        <v/>
      </c>
      <c r="BD452" s="1" t="str">
        <f>IF(AND(AND(AND(BD$4&gt;='2025'!$L415,BD$4&lt;='2025'!$M415), BD$4&lt;&gt;DATE(2025,7,4)), (SWITCH(weekday(BD$4), 1, 0, 2, if(ISBLANK('2025'!$P415), 0, 1), 3, if(ISBLANK('2025'!$Q415), 0, 1), 4, if(ISBLANK('2025'!$R415), 0, 1), 5, if(ISBLANK('2025'!$S415), 0, 1), 6, if(ISBLANK('2025'!$T415), 0, 1), 7, 0))), 1, "")</f>
        <v/>
      </c>
      <c r="BE452" s="1" t="str">
        <f>IF(AND(AND(AND(BE$4&gt;='2025'!$L415,BE$4&lt;='2025'!$M415), BE$4&lt;&gt;DATE(2025,7,4)), (SWITCH(weekday(BE$4), 1, 0, 2, if(ISBLANK('2025'!$P415), 0, 1), 3, if(ISBLANK('2025'!$Q415), 0, 1), 4, if(ISBLANK('2025'!$R415), 0, 1), 5, if(ISBLANK('2025'!$S415), 0, 1), 6, if(ISBLANK('2025'!$T415), 0, 1), 7, 0))), 1, "")</f>
        <v/>
      </c>
    </row>
    <row r="453">
      <c r="A453" s="1">
        <f t="shared" si="3"/>
        <v>453</v>
      </c>
      <c r="B453" s="1" t="str">
        <f>'2025'!D416</f>
        <v/>
      </c>
      <c r="C453" s="1" t="str">
        <f>'2025'!H416</f>
        <v/>
      </c>
      <c r="D453" s="1" t="str">
        <f>IF(AND(AND(AND(D$4&gt;='2025'!$L416,D$4&lt;='2025'!$M416), D$4&lt;&gt;DATE(2025,7,4)), (SWITCH(weekday(D$4), 1, 0, 2, if(ISBLANK('2025'!$P416), 0, 1), 3, if(ISBLANK('2025'!$Q416), 0, 1), 4, if(ISBLANK('2025'!$R416), 0, 1), 5, if(ISBLANK('2025'!$S416), 0, 1), 6, if(ISBLANK('2025'!$T416), 0, 1), 7, 0))), 1, "")</f>
        <v/>
      </c>
      <c r="E453" s="1" t="str">
        <f>IF(AND(AND(AND(E$4&gt;='2025'!$L416,E$4&lt;='2025'!$M416), E$4&lt;&gt;DATE(2025,7,4)), (SWITCH(weekday(E$4), 1, 0, 2, if(ISBLANK('2025'!$P416), 0, 1), 3, if(ISBLANK('2025'!$Q416), 0, 1), 4, if(ISBLANK('2025'!$R416), 0, 1), 5, if(ISBLANK('2025'!$S416), 0, 1), 6, if(ISBLANK('2025'!$T416), 0, 1), 7, 0))), 1, "")</f>
        <v/>
      </c>
      <c r="F453" s="1" t="str">
        <f>IF(AND(AND(AND(F$4&gt;='2025'!$L416,F$4&lt;='2025'!$M416), F$4&lt;&gt;DATE(2025,7,4)), (SWITCH(weekday(F$4), 1, 0, 2, if(ISBLANK('2025'!$P416), 0, 1), 3, if(ISBLANK('2025'!$Q416), 0, 1), 4, if(ISBLANK('2025'!$R416), 0, 1), 5, if(ISBLANK('2025'!$S416), 0, 1), 6, if(ISBLANK('2025'!$T416), 0, 1), 7, 0))), 1, "")</f>
        <v/>
      </c>
      <c r="G453" s="1" t="str">
        <f>IF(AND(AND(AND(G$4&gt;='2025'!$L416,G$4&lt;='2025'!$M416), G$4&lt;&gt;DATE(2025,7,4)), (SWITCH(weekday(G$4), 1, 0, 2, if(ISBLANK('2025'!$P416), 0, 1), 3, if(ISBLANK('2025'!$Q416), 0, 1), 4, if(ISBLANK('2025'!$R416), 0, 1), 5, if(ISBLANK('2025'!$S416), 0, 1), 6, if(ISBLANK('2025'!$T416), 0, 1), 7, 0))), 1, "")</f>
        <v/>
      </c>
      <c r="H453" s="1" t="str">
        <f>IF(AND(AND(AND(H$4&gt;='2025'!$L416,H$4&lt;='2025'!$M416), H$4&lt;&gt;DATE(2025,7,4)), (SWITCH(weekday(H$4), 1, 0, 2, if(ISBLANK('2025'!$P416), 0, 1), 3, if(ISBLANK('2025'!$Q416), 0, 1), 4, if(ISBLANK('2025'!$R416), 0, 1), 5, if(ISBLANK('2025'!$S416), 0, 1), 6, if(ISBLANK('2025'!$T416), 0, 1), 7, 0))), 1, "")</f>
        <v/>
      </c>
      <c r="I453" s="1" t="str">
        <f>IF(AND(AND(AND(I$4&gt;='2025'!$L416,I$4&lt;='2025'!$M416), I$4&lt;&gt;DATE(2025,7,4)), (SWITCH(weekday(I$4), 1, 0, 2, if(ISBLANK('2025'!$P416), 0, 1), 3, if(ISBLANK('2025'!$Q416), 0, 1), 4, if(ISBLANK('2025'!$R416), 0, 1), 5, if(ISBLANK('2025'!$S416), 0, 1), 6, if(ISBLANK('2025'!$T416), 0, 1), 7, 0))), 1, "")</f>
        <v/>
      </c>
      <c r="J453" s="1" t="str">
        <f>IF(AND(AND(AND(J$4&gt;='2025'!$L416,J$4&lt;='2025'!$M416), J$4&lt;&gt;DATE(2025,7,4)), (SWITCH(weekday(J$4), 1, 0, 2, if(ISBLANK('2025'!$P416), 0, 1), 3, if(ISBLANK('2025'!$Q416), 0, 1), 4, if(ISBLANK('2025'!$R416), 0, 1), 5, if(ISBLANK('2025'!$S416), 0, 1), 6, if(ISBLANK('2025'!$T416), 0, 1), 7, 0))), 1, "")</f>
        <v/>
      </c>
      <c r="K453" s="1" t="str">
        <f>IF(AND(AND(AND(K$4&gt;='2025'!$L416,K$4&lt;='2025'!$M416), K$4&lt;&gt;DATE(2025,7,4)), (SWITCH(weekday(K$4), 1, 0, 2, if(ISBLANK('2025'!$P416), 0, 1), 3, if(ISBLANK('2025'!$Q416), 0, 1), 4, if(ISBLANK('2025'!$R416), 0, 1), 5, if(ISBLANK('2025'!$S416), 0, 1), 6, if(ISBLANK('2025'!$T416), 0, 1), 7, 0))), 1, "")</f>
        <v/>
      </c>
      <c r="L453" s="1" t="str">
        <f>IF(AND(AND(AND(L$4&gt;='2025'!$L416,L$4&lt;='2025'!$M416), L$4&lt;&gt;DATE(2025,7,4)), (SWITCH(weekday(L$4), 1, 0, 2, if(ISBLANK('2025'!$P416), 0, 1), 3, if(ISBLANK('2025'!$Q416), 0, 1), 4, if(ISBLANK('2025'!$R416), 0, 1), 5, if(ISBLANK('2025'!$S416), 0, 1), 6, if(ISBLANK('2025'!$T416), 0, 1), 7, 0))), 1, "")</f>
        <v/>
      </c>
      <c r="M453" s="1" t="str">
        <f>IF(AND(AND(AND(M$4&gt;='2025'!$L416,M$4&lt;='2025'!$M416), M$4&lt;&gt;DATE(2025,7,4)), (SWITCH(weekday(M$4), 1, 0, 2, if(ISBLANK('2025'!$P416), 0, 1), 3, if(ISBLANK('2025'!$Q416), 0, 1), 4, if(ISBLANK('2025'!$R416), 0, 1), 5, if(ISBLANK('2025'!$S416), 0, 1), 6, if(ISBLANK('2025'!$T416), 0, 1), 7, 0))), 1, "")</f>
        <v/>
      </c>
      <c r="N453" s="1" t="str">
        <f>IF(AND(AND(AND(N$4&gt;='2025'!$L416,N$4&lt;='2025'!$M416), N$4&lt;&gt;DATE(2025,7,4)), (SWITCH(weekday(N$4), 1, 0, 2, if(ISBLANK('2025'!$P416), 0, 1), 3, if(ISBLANK('2025'!$Q416), 0, 1), 4, if(ISBLANK('2025'!$R416), 0, 1), 5, if(ISBLANK('2025'!$S416), 0, 1), 6, if(ISBLANK('2025'!$T416), 0, 1), 7, 0))), 1, "")</f>
        <v/>
      </c>
      <c r="O453" s="1" t="str">
        <f>IF(AND(AND(AND(O$4&gt;='2025'!$L416,O$4&lt;='2025'!$M416), O$4&lt;&gt;DATE(2025,7,4)), (SWITCH(weekday(O$4), 1, 0, 2, if(ISBLANK('2025'!$P416), 0, 1), 3, if(ISBLANK('2025'!$Q416), 0, 1), 4, if(ISBLANK('2025'!$R416), 0, 1), 5, if(ISBLANK('2025'!$S416), 0, 1), 6, if(ISBLANK('2025'!$T416), 0, 1), 7, 0))), 1, "")</f>
        <v/>
      </c>
      <c r="P453" s="1" t="str">
        <f>IF(AND(AND(AND(P$4&gt;='2025'!$L416,P$4&lt;='2025'!$M416), P$4&lt;&gt;DATE(2025,7,4)), (SWITCH(weekday(P$4), 1, 0, 2, if(ISBLANK('2025'!$P416), 0, 1), 3, if(ISBLANK('2025'!$Q416), 0, 1), 4, if(ISBLANK('2025'!$R416), 0, 1), 5, if(ISBLANK('2025'!$S416), 0, 1), 6, if(ISBLANK('2025'!$T416), 0, 1), 7, 0))), 1, "")</f>
        <v/>
      </c>
      <c r="Q453" s="1" t="str">
        <f>IF(AND(AND(AND(Q$4&gt;='2025'!$L416,Q$4&lt;='2025'!$M416), Q$4&lt;&gt;DATE(2025,7,4)), (SWITCH(weekday(Q$4), 1, 0, 2, if(ISBLANK('2025'!$P416), 0, 1), 3, if(ISBLANK('2025'!$Q416), 0, 1), 4, if(ISBLANK('2025'!$R416), 0, 1), 5, if(ISBLANK('2025'!$S416), 0, 1), 6, if(ISBLANK('2025'!$T416), 0, 1), 7, 0))), 1, "")</f>
        <v/>
      </c>
      <c r="R453" s="1" t="str">
        <f>IF(AND(AND(AND(R$4&gt;='2025'!$L416,R$4&lt;='2025'!$M416), R$4&lt;&gt;DATE(2025,7,4)), (SWITCH(weekday(R$4), 1, 0, 2, if(ISBLANK('2025'!$P416), 0, 1), 3, if(ISBLANK('2025'!$Q416), 0, 1), 4, if(ISBLANK('2025'!$R416), 0, 1), 5, if(ISBLANK('2025'!$S416), 0, 1), 6, if(ISBLANK('2025'!$T416), 0, 1), 7, 0))), 1, "")</f>
        <v/>
      </c>
      <c r="S453" s="1" t="str">
        <f>IF(AND(AND(AND(S$4&gt;='2025'!$L416,S$4&lt;='2025'!$M416), S$4&lt;&gt;DATE(2025,7,4)), (SWITCH(weekday(S$4), 1, 0, 2, if(ISBLANK('2025'!$P416), 0, 1), 3, if(ISBLANK('2025'!$Q416), 0, 1), 4, if(ISBLANK('2025'!$R416), 0, 1), 5, if(ISBLANK('2025'!$S416), 0, 1), 6, if(ISBLANK('2025'!$T416), 0, 1), 7, 0))), 1, "")</f>
        <v/>
      </c>
      <c r="T453" s="1" t="str">
        <f>IF(AND(AND(AND(T$4&gt;='2025'!$L416,T$4&lt;='2025'!$M416), T$4&lt;&gt;DATE(2025,7,4)), (SWITCH(weekday(T$4), 1, 0, 2, if(ISBLANK('2025'!$P416), 0, 1), 3, if(ISBLANK('2025'!$Q416), 0, 1), 4, if(ISBLANK('2025'!$R416), 0, 1), 5, if(ISBLANK('2025'!$S416), 0, 1), 6, if(ISBLANK('2025'!$T416), 0, 1), 7, 0))), 1, "")</f>
        <v/>
      </c>
      <c r="U453" s="1" t="str">
        <f>IF(AND(AND(AND(U$4&gt;='2025'!$L416,U$4&lt;='2025'!$M416), U$4&lt;&gt;DATE(2025,7,4)), (SWITCH(weekday(U$4), 1, 0, 2, if(ISBLANK('2025'!$P416), 0, 1), 3, if(ISBLANK('2025'!$Q416), 0, 1), 4, if(ISBLANK('2025'!$R416), 0, 1), 5, if(ISBLANK('2025'!$S416), 0, 1), 6, if(ISBLANK('2025'!$T416), 0, 1), 7, 0))), 1, "")</f>
        <v/>
      </c>
      <c r="V453" s="1" t="str">
        <f>IF(AND(AND(AND(V$4&gt;='2025'!$L416,V$4&lt;='2025'!$M416), V$4&lt;&gt;DATE(2025,7,4)), (SWITCH(weekday(V$4), 1, 0, 2, if(ISBLANK('2025'!$P416), 0, 1), 3, if(ISBLANK('2025'!$Q416), 0, 1), 4, if(ISBLANK('2025'!$R416), 0, 1), 5, if(ISBLANK('2025'!$S416), 0, 1), 6, if(ISBLANK('2025'!$T416), 0, 1), 7, 0))), 1, "")</f>
        <v/>
      </c>
      <c r="W453" s="1" t="str">
        <f>IF(AND(AND(AND(W$4&gt;='2025'!$L416,W$4&lt;='2025'!$M416), W$4&lt;&gt;DATE(2025,7,4)), (SWITCH(weekday(W$4), 1, 0, 2, if(ISBLANK('2025'!$P416), 0, 1), 3, if(ISBLANK('2025'!$Q416), 0, 1), 4, if(ISBLANK('2025'!$R416), 0, 1), 5, if(ISBLANK('2025'!$S416), 0, 1), 6, if(ISBLANK('2025'!$T416), 0, 1), 7, 0))), 1, "")</f>
        <v/>
      </c>
      <c r="X453" s="1" t="str">
        <f>IF(AND(AND(AND(X$4&gt;='2025'!$L416,X$4&lt;='2025'!$M416), X$4&lt;&gt;DATE(2025,7,4)), (SWITCH(weekday(X$4), 1, 0, 2, if(ISBLANK('2025'!$P416), 0, 1), 3, if(ISBLANK('2025'!$Q416), 0, 1), 4, if(ISBLANK('2025'!$R416), 0, 1), 5, if(ISBLANK('2025'!$S416), 0, 1), 6, if(ISBLANK('2025'!$T416), 0, 1), 7, 0))), 1, "")</f>
        <v/>
      </c>
      <c r="Y453" s="1" t="str">
        <f>IF(AND(AND(AND(Y$4&gt;='2025'!$L416,Y$4&lt;='2025'!$M416), Y$4&lt;&gt;DATE(2025,7,4)), (SWITCH(weekday(Y$4), 1, 0, 2, if(ISBLANK('2025'!$P416), 0, 1), 3, if(ISBLANK('2025'!$Q416), 0, 1), 4, if(ISBLANK('2025'!$R416), 0, 1), 5, if(ISBLANK('2025'!$S416), 0, 1), 6, if(ISBLANK('2025'!$T416), 0, 1), 7, 0))), 1, "")</f>
        <v/>
      </c>
      <c r="Z453" s="1" t="str">
        <f>IF(AND(AND(AND(Z$4&gt;='2025'!$L416,Z$4&lt;='2025'!$M416), Z$4&lt;&gt;DATE(2025,7,4)), (SWITCH(weekday(Z$4), 1, 0, 2, if(ISBLANK('2025'!$P416), 0, 1), 3, if(ISBLANK('2025'!$Q416), 0, 1), 4, if(ISBLANK('2025'!$R416), 0, 1), 5, if(ISBLANK('2025'!$S416), 0, 1), 6, if(ISBLANK('2025'!$T416), 0, 1), 7, 0))), 1, "")</f>
        <v/>
      </c>
      <c r="AA453" s="1" t="str">
        <f>IF(AND(AND(AND(AA$4&gt;='2025'!$L416,AA$4&lt;='2025'!$M416), AA$4&lt;&gt;DATE(2025,7,4)), (SWITCH(weekday(AA$4), 1, 0, 2, if(ISBLANK('2025'!$P416), 0, 1), 3, if(ISBLANK('2025'!$Q416), 0, 1), 4, if(ISBLANK('2025'!$R416), 0, 1), 5, if(ISBLANK('2025'!$S416), 0, 1), 6, if(ISBLANK('2025'!$T416), 0, 1), 7, 0))), 1, "")</f>
        <v/>
      </c>
      <c r="AB453" s="1" t="str">
        <f>IF(AND(AND(AND(AB$4&gt;='2025'!$L416,AB$4&lt;='2025'!$M416), AB$4&lt;&gt;DATE(2025,7,4)), (SWITCH(weekday(AB$4), 1, 0, 2, if(ISBLANK('2025'!$P416), 0, 1), 3, if(ISBLANK('2025'!$Q416), 0, 1), 4, if(ISBLANK('2025'!$R416), 0, 1), 5, if(ISBLANK('2025'!$S416), 0, 1), 6, if(ISBLANK('2025'!$T416), 0, 1), 7, 0))), 1, "")</f>
        <v/>
      </c>
      <c r="AC453" s="1" t="str">
        <f>IF(AND(AND(AND(AC$4&gt;='2025'!$L416,AC$4&lt;='2025'!$M416), AC$4&lt;&gt;DATE(2025,7,4)), (SWITCH(weekday(AC$4), 1, 0, 2, if(ISBLANK('2025'!$P416), 0, 1), 3, if(ISBLANK('2025'!$Q416), 0, 1), 4, if(ISBLANK('2025'!$R416), 0, 1), 5, if(ISBLANK('2025'!$S416), 0, 1), 6, if(ISBLANK('2025'!$T416), 0, 1), 7, 0))), 1, "")</f>
        <v/>
      </c>
      <c r="AD453" s="1" t="str">
        <f>IF(AND(AND(AND(AD$4&gt;='2025'!$L416,AD$4&lt;='2025'!$M416), AD$4&lt;&gt;DATE(2025,7,4)), (SWITCH(weekday(AD$4), 1, 0, 2, if(ISBLANK('2025'!$P416), 0, 1), 3, if(ISBLANK('2025'!$Q416), 0, 1), 4, if(ISBLANK('2025'!$R416), 0, 1), 5, if(ISBLANK('2025'!$S416), 0, 1), 6, if(ISBLANK('2025'!$T416), 0, 1), 7, 0))), 1, "")</f>
        <v/>
      </c>
      <c r="AE453" s="1" t="str">
        <f>IF(AND(AND(AND(AE$4&gt;='2025'!$L416,AE$4&lt;='2025'!$M416), AE$4&lt;&gt;DATE(2025,7,4)), (SWITCH(weekday(AE$4), 1, 0, 2, if(ISBLANK('2025'!$P416), 0, 1), 3, if(ISBLANK('2025'!$Q416), 0, 1), 4, if(ISBLANK('2025'!$R416), 0, 1), 5, if(ISBLANK('2025'!$S416), 0, 1), 6, if(ISBLANK('2025'!$T416), 0, 1), 7, 0))), 1, "")</f>
        <v/>
      </c>
      <c r="AF453" s="1" t="str">
        <f>IF(AND(AND(AND(AF$4&gt;='2025'!$L416,AF$4&lt;='2025'!$M416), AF$4&lt;&gt;DATE(2025,7,4)), (SWITCH(weekday(AF$4), 1, 0, 2, if(ISBLANK('2025'!$P416), 0, 1), 3, if(ISBLANK('2025'!$Q416), 0, 1), 4, if(ISBLANK('2025'!$R416), 0, 1), 5, if(ISBLANK('2025'!$S416), 0, 1), 6, if(ISBLANK('2025'!$T416), 0, 1), 7, 0))), 1, "")</f>
        <v/>
      </c>
      <c r="AG453" s="1" t="str">
        <f>IF(AND(AND(AND(AG$4&gt;='2025'!$L416,AG$4&lt;='2025'!$M416), AG$4&lt;&gt;DATE(2025,7,4)), (SWITCH(weekday(AG$4), 1, 0, 2, if(ISBLANK('2025'!$P416), 0, 1), 3, if(ISBLANK('2025'!$Q416), 0, 1), 4, if(ISBLANK('2025'!$R416), 0, 1), 5, if(ISBLANK('2025'!$S416), 0, 1), 6, if(ISBLANK('2025'!$T416), 0, 1), 7, 0))), 1, "")</f>
        <v/>
      </c>
      <c r="AH453" s="1" t="str">
        <f>IF(AND(AND(AND(AH$4&gt;='2025'!$L416,AH$4&lt;='2025'!$M416), AH$4&lt;&gt;DATE(2025,7,4)), (SWITCH(weekday(AH$4), 1, 0, 2, if(ISBLANK('2025'!$P416), 0, 1), 3, if(ISBLANK('2025'!$Q416), 0, 1), 4, if(ISBLANK('2025'!$R416), 0, 1), 5, if(ISBLANK('2025'!$S416), 0, 1), 6, if(ISBLANK('2025'!$T416), 0, 1), 7, 0))), 1, "")</f>
        <v/>
      </c>
      <c r="AI453" s="1" t="str">
        <f>IF(AND(AND(AND(AI$4&gt;='2025'!$L416,AI$4&lt;='2025'!$M416), AI$4&lt;&gt;DATE(2025,7,4)), (SWITCH(weekday(AI$4), 1, 0, 2, if(ISBLANK('2025'!$P416), 0, 1), 3, if(ISBLANK('2025'!$Q416), 0, 1), 4, if(ISBLANK('2025'!$R416), 0, 1), 5, if(ISBLANK('2025'!$S416), 0, 1), 6, if(ISBLANK('2025'!$T416), 0, 1), 7, 0))), 1, "")</f>
        <v/>
      </c>
      <c r="AJ453" s="1" t="str">
        <f>IF(AND(AND(AND(AJ$4&gt;='2025'!$L416,AJ$4&lt;='2025'!$M416), AJ$4&lt;&gt;DATE(2025,7,4)), (SWITCH(weekday(AJ$4), 1, 0, 2, if(ISBLANK('2025'!$P416), 0, 1), 3, if(ISBLANK('2025'!$Q416), 0, 1), 4, if(ISBLANK('2025'!$R416), 0, 1), 5, if(ISBLANK('2025'!$S416), 0, 1), 6, if(ISBLANK('2025'!$T416), 0, 1), 7, 0))), 1, "")</f>
        <v/>
      </c>
      <c r="AK453" s="1" t="str">
        <f>IF(AND(AND(AND(AK$4&gt;='2025'!$L416,AK$4&lt;='2025'!$M416), AK$4&lt;&gt;DATE(2025,7,4)), (SWITCH(weekday(AK$4), 1, 0, 2, if(ISBLANK('2025'!$P416), 0, 1), 3, if(ISBLANK('2025'!$Q416), 0, 1), 4, if(ISBLANK('2025'!$R416), 0, 1), 5, if(ISBLANK('2025'!$S416), 0, 1), 6, if(ISBLANK('2025'!$T416), 0, 1), 7, 0))), 1, "")</f>
        <v/>
      </c>
      <c r="AL453" s="1" t="str">
        <f>IF(AND(AND(AND(AL$4&gt;='2025'!$L416,AL$4&lt;='2025'!$M416), AL$4&lt;&gt;DATE(2025,7,4)), (SWITCH(weekday(AL$4), 1, 0, 2, if(ISBLANK('2025'!$P416), 0, 1), 3, if(ISBLANK('2025'!$Q416), 0, 1), 4, if(ISBLANK('2025'!$R416), 0, 1), 5, if(ISBLANK('2025'!$S416), 0, 1), 6, if(ISBLANK('2025'!$T416), 0, 1), 7, 0))), 1, "")</f>
        <v/>
      </c>
      <c r="AM453" s="1" t="str">
        <f>IF(AND(AND(AND(AM$4&gt;='2025'!$L416,AM$4&lt;='2025'!$M416), AM$4&lt;&gt;DATE(2025,7,4)), (SWITCH(weekday(AM$4), 1, 0, 2, if(ISBLANK('2025'!$P416), 0, 1), 3, if(ISBLANK('2025'!$Q416), 0, 1), 4, if(ISBLANK('2025'!$R416), 0, 1), 5, if(ISBLANK('2025'!$S416), 0, 1), 6, if(ISBLANK('2025'!$T416), 0, 1), 7, 0))), 1, "")</f>
        <v/>
      </c>
      <c r="AN453" s="1" t="str">
        <f>IF(AND(AND(AND(AN$4&gt;='2025'!$L416,AN$4&lt;='2025'!$M416), AN$4&lt;&gt;DATE(2025,7,4)), (SWITCH(weekday(AN$4), 1, 0, 2, if(ISBLANK('2025'!$P416), 0, 1), 3, if(ISBLANK('2025'!$Q416), 0, 1), 4, if(ISBLANK('2025'!$R416), 0, 1), 5, if(ISBLANK('2025'!$S416), 0, 1), 6, if(ISBLANK('2025'!$T416), 0, 1), 7, 0))), 1, "")</f>
        <v/>
      </c>
      <c r="AO453" s="1" t="str">
        <f>IF(AND(AND(AND(AO$4&gt;='2025'!$L416,AO$4&lt;='2025'!$M416), AO$4&lt;&gt;DATE(2025,7,4)), (SWITCH(weekday(AO$4), 1, 0, 2, if(ISBLANK('2025'!$P416), 0, 1), 3, if(ISBLANK('2025'!$Q416), 0, 1), 4, if(ISBLANK('2025'!$R416), 0, 1), 5, if(ISBLANK('2025'!$S416), 0, 1), 6, if(ISBLANK('2025'!$T416), 0, 1), 7, 0))), 1, "")</f>
        <v/>
      </c>
      <c r="AP453" s="1" t="str">
        <f>IF(AND(AND(AND(AP$4&gt;='2025'!$L416,AP$4&lt;='2025'!$M416), AP$4&lt;&gt;DATE(2025,7,4)), (SWITCH(weekday(AP$4), 1, 0, 2, if(ISBLANK('2025'!$P416), 0, 1), 3, if(ISBLANK('2025'!$Q416), 0, 1), 4, if(ISBLANK('2025'!$R416), 0, 1), 5, if(ISBLANK('2025'!$S416), 0, 1), 6, if(ISBLANK('2025'!$T416), 0, 1), 7, 0))), 1, "")</f>
        <v/>
      </c>
      <c r="AQ453" s="1" t="str">
        <f>IF(AND(AND(AND(AQ$4&gt;='2025'!$L416,AQ$4&lt;='2025'!$M416), AQ$4&lt;&gt;DATE(2025,7,4)), (SWITCH(weekday(AQ$4), 1, 0, 2, if(ISBLANK('2025'!$P416), 0, 1), 3, if(ISBLANK('2025'!$Q416), 0, 1), 4, if(ISBLANK('2025'!$R416), 0, 1), 5, if(ISBLANK('2025'!$S416), 0, 1), 6, if(ISBLANK('2025'!$T416), 0, 1), 7, 0))), 1, "")</f>
        <v/>
      </c>
      <c r="AR453" s="1" t="str">
        <f>IF(AND(AND(AND(AR$4&gt;='2025'!$L416,AR$4&lt;='2025'!$M416), AR$4&lt;&gt;DATE(2025,7,4)), (SWITCH(weekday(AR$4), 1, 0, 2, if(ISBLANK('2025'!$P416), 0, 1), 3, if(ISBLANK('2025'!$Q416), 0, 1), 4, if(ISBLANK('2025'!$R416), 0, 1), 5, if(ISBLANK('2025'!$S416), 0, 1), 6, if(ISBLANK('2025'!$T416), 0, 1), 7, 0))), 1, "")</f>
        <v/>
      </c>
      <c r="AS453" s="1" t="str">
        <f>IF(AND(AND(AND(AS$4&gt;='2025'!$L416,AS$4&lt;='2025'!$M416), AS$4&lt;&gt;DATE(2025,7,4)), (SWITCH(weekday(AS$4), 1, 0, 2, if(ISBLANK('2025'!$P416), 0, 1), 3, if(ISBLANK('2025'!$Q416), 0, 1), 4, if(ISBLANK('2025'!$R416), 0, 1), 5, if(ISBLANK('2025'!$S416), 0, 1), 6, if(ISBLANK('2025'!$T416), 0, 1), 7, 0))), 1, "")</f>
        <v/>
      </c>
      <c r="AT453" s="1" t="str">
        <f>IF(AND(AND(AND(AT$4&gt;='2025'!$L416,AT$4&lt;='2025'!$M416), AT$4&lt;&gt;DATE(2025,7,4)), (SWITCH(weekday(AT$4), 1, 0, 2, if(ISBLANK('2025'!$P416), 0, 1), 3, if(ISBLANK('2025'!$Q416), 0, 1), 4, if(ISBLANK('2025'!$R416), 0, 1), 5, if(ISBLANK('2025'!$S416), 0, 1), 6, if(ISBLANK('2025'!$T416), 0, 1), 7, 0))), 1, "")</f>
        <v/>
      </c>
      <c r="AU453" s="1" t="str">
        <f>IF(AND(AND(AND(AU$4&gt;='2025'!$L416,AU$4&lt;='2025'!$M416), AU$4&lt;&gt;DATE(2025,7,4)), (SWITCH(weekday(AU$4), 1, 0, 2, if(ISBLANK('2025'!$P416), 0, 1), 3, if(ISBLANK('2025'!$Q416), 0, 1), 4, if(ISBLANK('2025'!$R416), 0, 1), 5, if(ISBLANK('2025'!$S416), 0, 1), 6, if(ISBLANK('2025'!$T416), 0, 1), 7, 0))), 1, "")</f>
        <v/>
      </c>
      <c r="AV453" s="1" t="str">
        <f>IF(AND(AND(AND(AV$4&gt;='2025'!$L416,AV$4&lt;='2025'!$M416), AV$4&lt;&gt;DATE(2025,7,4)), (SWITCH(weekday(AV$4), 1, 0, 2, if(ISBLANK('2025'!$P416), 0, 1), 3, if(ISBLANK('2025'!$Q416), 0, 1), 4, if(ISBLANK('2025'!$R416), 0, 1), 5, if(ISBLANK('2025'!$S416), 0, 1), 6, if(ISBLANK('2025'!$T416), 0, 1), 7, 0))), 1, "")</f>
        <v/>
      </c>
      <c r="AW453" s="1" t="str">
        <f>IF(AND(AND(AND(AW$4&gt;='2025'!$L416,AW$4&lt;='2025'!$M416), AW$4&lt;&gt;DATE(2025,7,4)), (SWITCH(weekday(AW$4), 1, 0, 2, if(ISBLANK('2025'!$P416), 0, 1), 3, if(ISBLANK('2025'!$Q416), 0, 1), 4, if(ISBLANK('2025'!$R416), 0, 1), 5, if(ISBLANK('2025'!$S416), 0, 1), 6, if(ISBLANK('2025'!$T416), 0, 1), 7, 0))), 1, "")</f>
        <v/>
      </c>
      <c r="AX453" s="1" t="str">
        <f>IF(AND(AND(AND(AX$4&gt;='2025'!$L416,AX$4&lt;='2025'!$M416), AX$4&lt;&gt;DATE(2025,7,4)), (SWITCH(weekday(AX$4), 1, 0, 2, if(ISBLANK('2025'!$P416), 0, 1), 3, if(ISBLANK('2025'!$Q416), 0, 1), 4, if(ISBLANK('2025'!$R416), 0, 1), 5, if(ISBLANK('2025'!$S416), 0, 1), 6, if(ISBLANK('2025'!$T416), 0, 1), 7, 0))), 1, "")</f>
        <v/>
      </c>
      <c r="AY453" s="1" t="str">
        <f>IF(AND(AND(AND(AY$4&gt;='2025'!$L416,AY$4&lt;='2025'!$M416), AY$4&lt;&gt;DATE(2025,7,4)), (SWITCH(weekday(AY$4), 1, 0, 2, if(ISBLANK('2025'!$P416), 0, 1), 3, if(ISBLANK('2025'!$Q416), 0, 1), 4, if(ISBLANK('2025'!$R416), 0, 1), 5, if(ISBLANK('2025'!$S416), 0, 1), 6, if(ISBLANK('2025'!$T416), 0, 1), 7, 0))), 1, "")</f>
        <v/>
      </c>
      <c r="AZ453" s="1" t="str">
        <f>IF(AND(AND(AND(AZ$4&gt;='2025'!$L416,AZ$4&lt;='2025'!$M416), AZ$4&lt;&gt;DATE(2025,7,4)), (SWITCH(weekday(AZ$4), 1, 0, 2, if(ISBLANK('2025'!$P416), 0, 1), 3, if(ISBLANK('2025'!$Q416), 0, 1), 4, if(ISBLANK('2025'!$R416), 0, 1), 5, if(ISBLANK('2025'!$S416), 0, 1), 6, if(ISBLANK('2025'!$T416), 0, 1), 7, 0))), 1, "")</f>
        <v/>
      </c>
      <c r="BA453" s="1" t="str">
        <f>IF(AND(AND(AND(BA$4&gt;='2025'!$L416,BA$4&lt;='2025'!$M416), BA$4&lt;&gt;DATE(2025,7,4)), (SWITCH(weekday(BA$4), 1, 0, 2, if(ISBLANK('2025'!$P416), 0, 1), 3, if(ISBLANK('2025'!$Q416), 0, 1), 4, if(ISBLANK('2025'!$R416), 0, 1), 5, if(ISBLANK('2025'!$S416), 0, 1), 6, if(ISBLANK('2025'!$T416), 0, 1), 7, 0))), 1, "")</f>
        <v/>
      </c>
      <c r="BB453" s="1" t="str">
        <f>IF(AND(AND(AND(BB$4&gt;='2025'!$L416,BB$4&lt;='2025'!$M416), BB$4&lt;&gt;DATE(2025,7,4)), (SWITCH(weekday(BB$4), 1, 0, 2, if(ISBLANK('2025'!$P416), 0, 1), 3, if(ISBLANK('2025'!$Q416), 0, 1), 4, if(ISBLANK('2025'!$R416), 0, 1), 5, if(ISBLANK('2025'!$S416), 0, 1), 6, if(ISBLANK('2025'!$T416), 0, 1), 7, 0))), 1, "")</f>
        <v/>
      </c>
      <c r="BC453" s="1" t="str">
        <f>IF(AND(AND(AND(BC$4&gt;='2025'!$L416,BC$4&lt;='2025'!$M416), BC$4&lt;&gt;DATE(2025,7,4)), (SWITCH(weekday(BC$4), 1, 0, 2, if(ISBLANK('2025'!$P416), 0, 1), 3, if(ISBLANK('2025'!$Q416), 0, 1), 4, if(ISBLANK('2025'!$R416), 0, 1), 5, if(ISBLANK('2025'!$S416), 0, 1), 6, if(ISBLANK('2025'!$T416), 0, 1), 7, 0))), 1, "")</f>
        <v/>
      </c>
      <c r="BD453" s="1" t="str">
        <f>IF(AND(AND(AND(BD$4&gt;='2025'!$L416,BD$4&lt;='2025'!$M416), BD$4&lt;&gt;DATE(2025,7,4)), (SWITCH(weekday(BD$4), 1, 0, 2, if(ISBLANK('2025'!$P416), 0, 1), 3, if(ISBLANK('2025'!$Q416), 0, 1), 4, if(ISBLANK('2025'!$R416), 0, 1), 5, if(ISBLANK('2025'!$S416), 0, 1), 6, if(ISBLANK('2025'!$T416), 0, 1), 7, 0))), 1, "")</f>
        <v/>
      </c>
      <c r="BE453" s="1" t="str">
        <f>IF(AND(AND(AND(BE$4&gt;='2025'!$L416,BE$4&lt;='2025'!$M416), BE$4&lt;&gt;DATE(2025,7,4)), (SWITCH(weekday(BE$4), 1, 0, 2, if(ISBLANK('2025'!$P416), 0, 1), 3, if(ISBLANK('2025'!$Q416), 0, 1), 4, if(ISBLANK('2025'!$R416), 0, 1), 5, if(ISBLANK('2025'!$S416), 0, 1), 6, if(ISBLANK('2025'!$T416), 0, 1), 7, 0))), 1, "")</f>
        <v/>
      </c>
    </row>
    <row r="454">
      <c r="A454" s="1">
        <f t="shared" si="3"/>
        <v>454</v>
      </c>
      <c r="B454" s="1" t="str">
        <f>'2025'!D417</f>
        <v/>
      </c>
      <c r="C454" s="1" t="str">
        <f>'2025'!H417</f>
        <v/>
      </c>
      <c r="D454" s="1" t="str">
        <f>IF(AND(AND(AND(D$4&gt;='2025'!$L417,D$4&lt;='2025'!$M417), D$4&lt;&gt;DATE(2025,7,4)), (SWITCH(weekday(D$4), 1, 0, 2, if(ISBLANK('2025'!$P417), 0, 1), 3, if(ISBLANK('2025'!$Q417), 0, 1), 4, if(ISBLANK('2025'!$R417), 0, 1), 5, if(ISBLANK('2025'!$S417), 0, 1), 6, if(ISBLANK('2025'!$T417), 0, 1), 7, 0))), 1, "")</f>
        <v/>
      </c>
      <c r="E454" s="1" t="str">
        <f>IF(AND(AND(AND(E$4&gt;='2025'!$L417,E$4&lt;='2025'!$M417), E$4&lt;&gt;DATE(2025,7,4)), (SWITCH(weekday(E$4), 1, 0, 2, if(ISBLANK('2025'!$P417), 0, 1), 3, if(ISBLANK('2025'!$Q417), 0, 1), 4, if(ISBLANK('2025'!$R417), 0, 1), 5, if(ISBLANK('2025'!$S417), 0, 1), 6, if(ISBLANK('2025'!$T417), 0, 1), 7, 0))), 1, "")</f>
        <v/>
      </c>
      <c r="F454" s="1" t="str">
        <f>IF(AND(AND(AND(F$4&gt;='2025'!$L417,F$4&lt;='2025'!$M417), F$4&lt;&gt;DATE(2025,7,4)), (SWITCH(weekday(F$4), 1, 0, 2, if(ISBLANK('2025'!$P417), 0, 1), 3, if(ISBLANK('2025'!$Q417), 0, 1), 4, if(ISBLANK('2025'!$R417), 0, 1), 5, if(ISBLANK('2025'!$S417), 0, 1), 6, if(ISBLANK('2025'!$T417), 0, 1), 7, 0))), 1, "")</f>
        <v/>
      </c>
      <c r="G454" s="1" t="str">
        <f>IF(AND(AND(AND(G$4&gt;='2025'!$L417,G$4&lt;='2025'!$M417), G$4&lt;&gt;DATE(2025,7,4)), (SWITCH(weekday(G$4), 1, 0, 2, if(ISBLANK('2025'!$P417), 0, 1), 3, if(ISBLANK('2025'!$Q417), 0, 1), 4, if(ISBLANK('2025'!$R417), 0, 1), 5, if(ISBLANK('2025'!$S417), 0, 1), 6, if(ISBLANK('2025'!$T417), 0, 1), 7, 0))), 1, "")</f>
        <v/>
      </c>
      <c r="H454" s="1" t="str">
        <f>IF(AND(AND(AND(H$4&gt;='2025'!$L417,H$4&lt;='2025'!$M417), H$4&lt;&gt;DATE(2025,7,4)), (SWITCH(weekday(H$4), 1, 0, 2, if(ISBLANK('2025'!$P417), 0, 1), 3, if(ISBLANK('2025'!$Q417), 0, 1), 4, if(ISBLANK('2025'!$R417), 0, 1), 5, if(ISBLANK('2025'!$S417), 0, 1), 6, if(ISBLANK('2025'!$T417), 0, 1), 7, 0))), 1, "")</f>
        <v/>
      </c>
      <c r="I454" s="1" t="str">
        <f>IF(AND(AND(AND(I$4&gt;='2025'!$L417,I$4&lt;='2025'!$M417), I$4&lt;&gt;DATE(2025,7,4)), (SWITCH(weekday(I$4), 1, 0, 2, if(ISBLANK('2025'!$P417), 0, 1), 3, if(ISBLANK('2025'!$Q417), 0, 1), 4, if(ISBLANK('2025'!$R417), 0, 1), 5, if(ISBLANK('2025'!$S417), 0, 1), 6, if(ISBLANK('2025'!$T417), 0, 1), 7, 0))), 1, "")</f>
        <v/>
      </c>
      <c r="J454" s="1" t="str">
        <f>IF(AND(AND(AND(J$4&gt;='2025'!$L417,J$4&lt;='2025'!$M417), J$4&lt;&gt;DATE(2025,7,4)), (SWITCH(weekday(J$4), 1, 0, 2, if(ISBLANK('2025'!$P417), 0, 1), 3, if(ISBLANK('2025'!$Q417), 0, 1), 4, if(ISBLANK('2025'!$R417), 0, 1), 5, if(ISBLANK('2025'!$S417), 0, 1), 6, if(ISBLANK('2025'!$T417), 0, 1), 7, 0))), 1, "")</f>
        <v/>
      </c>
      <c r="K454" s="1" t="str">
        <f>IF(AND(AND(AND(K$4&gt;='2025'!$L417,K$4&lt;='2025'!$M417), K$4&lt;&gt;DATE(2025,7,4)), (SWITCH(weekday(K$4), 1, 0, 2, if(ISBLANK('2025'!$P417), 0, 1), 3, if(ISBLANK('2025'!$Q417), 0, 1), 4, if(ISBLANK('2025'!$R417), 0, 1), 5, if(ISBLANK('2025'!$S417), 0, 1), 6, if(ISBLANK('2025'!$T417), 0, 1), 7, 0))), 1, "")</f>
        <v/>
      </c>
      <c r="L454" s="1" t="str">
        <f>IF(AND(AND(AND(L$4&gt;='2025'!$L417,L$4&lt;='2025'!$M417), L$4&lt;&gt;DATE(2025,7,4)), (SWITCH(weekday(L$4), 1, 0, 2, if(ISBLANK('2025'!$P417), 0, 1), 3, if(ISBLANK('2025'!$Q417), 0, 1), 4, if(ISBLANK('2025'!$R417), 0, 1), 5, if(ISBLANK('2025'!$S417), 0, 1), 6, if(ISBLANK('2025'!$T417), 0, 1), 7, 0))), 1, "")</f>
        <v/>
      </c>
      <c r="M454" s="1" t="str">
        <f>IF(AND(AND(AND(M$4&gt;='2025'!$L417,M$4&lt;='2025'!$M417), M$4&lt;&gt;DATE(2025,7,4)), (SWITCH(weekday(M$4), 1, 0, 2, if(ISBLANK('2025'!$P417), 0, 1), 3, if(ISBLANK('2025'!$Q417), 0, 1), 4, if(ISBLANK('2025'!$R417), 0, 1), 5, if(ISBLANK('2025'!$S417), 0, 1), 6, if(ISBLANK('2025'!$T417), 0, 1), 7, 0))), 1, "")</f>
        <v/>
      </c>
      <c r="N454" s="1" t="str">
        <f>IF(AND(AND(AND(N$4&gt;='2025'!$L417,N$4&lt;='2025'!$M417), N$4&lt;&gt;DATE(2025,7,4)), (SWITCH(weekday(N$4), 1, 0, 2, if(ISBLANK('2025'!$P417), 0, 1), 3, if(ISBLANK('2025'!$Q417), 0, 1), 4, if(ISBLANK('2025'!$R417), 0, 1), 5, if(ISBLANK('2025'!$S417), 0, 1), 6, if(ISBLANK('2025'!$T417), 0, 1), 7, 0))), 1, "")</f>
        <v/>
      </c>
      <c r="O454" s="1" t="str">
        <f>IF(AND(AND(AND(O$4&gt;='2025'!$L417,O$4&lt;='2025'!$M417), O$4&lt;&gt;DATE(2025,7,4)), (SWITCH(weekday(O$4), 1, 0, 2, if(ISBLANK('2025'!$P417), 0, 1), 3, if(ISBLANK('2025'!$Q417), 0, 1), 4, if(ISBLANK('2025'!$R417), 0, 1), 5, if(ISBLANK('2025'!$S417), 0, 1), 6, if(ISBLANK('2025'!$T417), 0, 1), 7, 0))), 1, "")</f>
        <v/>
      </c>
      <c r="P454" s="1" t="str">
        <f>IF(AND(AND(AND(P$4&gt;='2025'!$L417,P$4&lt;='2025'!$M417), P$4&lt;&gt;DATE(2025,7,4)), (SWITCH(weekday(P$4), 1, 0, 2, if(ISBLANK('2025'!$P417), 0, 1), 3, if(ISBLANK('2025'!$Q417), 0, 1), 4, if(ISBLANK('2025'!$R417), 0, 1), 5, if(ISBLANK('2025'!$S417), 0, 1), 6, if(ISBLANK('2025'!$T417), 0, 1), 7, 0))), 1, "")</f>
        <v/>
      </c>
      <c r="Q454" s="1" t="str">
        <f>IF(AND(AND(AND(Q$4&gt;='2025'!$L417,Q$4&lt;='2025'!$M417), Q$4&lt;&gt;DATE(2025,7,4)), (SWITCH(weekday(Q$4), 1, 0, 2, if(ISBLANK('2025'!$P417), 0, 1), 3, if(ISBLANK('2025'!$Q417), 0, 1), 4, if(ISBLANK('2025'!$R417), 0, 1), 5, if(ISBLANK('2025'!$S417), 0, 1), 6, if(ISBLANK('2025'!$T417), 0, 1), 7, 0))), 1, "")</f>
        <v/>
      </c>
      <c r="R454" s="1" t="str">
        <f>IF(AND(AND(AND(R$4&gt;='2025'!$L417,R$4&lt;='2025'!$M417), R$4&lt;&gt;DATE(2025,7,4)), (SWITCH(weekday(R$4), 1, 0, 2, if(ISBLANK('2025'!$P417), 0, 1), 3, if(ISBLANK('2025'!$Q417), 0, 1), 4, if(ISBLANK('2025'!$R417), 0, 1), 5, if(ISBLANK('2025'!$S417), 0, 1), 6, if(ISBLANK('2025'!$T417), 0, 1), 7, 0))), 1, "")</f>
        <v/>
      </c>
      <c r="S454" s="1" t="str">
        <f>IF(AND(AND(AND(S$4&gt;='2025'!$L417,S$4&lt;='2025'!$M417), S$4&lt;&gt;DATE(2025,7,4)), (SWITCH(weekday(S$4), 1, 0, 2, if(ISBLANK('2025'!$P417), 0, 1), 3, if(ISBLANK('2025'!$Q417), 0, 1), 4, if(ISBLANK('2025'!$R417), 0, 1), 5, if(ISBLANK('2025'!$S417), 0, 1), 6, if(ISBLANK('2025'!$T417), 0, 1), 7, 0))), 1, "")</f>
        <v/>
      </c>
      <c r="T454" s="1" t="str">
        <f>IF(AND(AND(AND(T$4&gt;='2025'!$L417,T$4&lt;='2025'!$M417), T$4&lt;&gt;DATE(2025,7,4)), (SWITCH(weekday(T$4), 1, 0, 2, if(ISBLANK('2025'!$P417), 0, 1), 3, if(ISBLANK('2025'!$Q417), 0, 1), 4, if(ISBLANK('2025'!$R417), 0, 1), 5, if(ISBLANK('2025'!$S417), 0, 1), 6, if(ISBLANK('2025'!$T417), 0, 1), 7, 0))), 1, "")</f>
        <v/>
      </c>
      <c r="U454" s="1" t="str">
        <f>IF(AND(AND(AND(U$4&gt;='2025'!$L417,U$4&lt;='2025'!$M417), U$4&lt;&gt;DATE(2025,7,4)), (SWITCH(weekday(U$4), 1, 0, 2, if(ISBLANK('2025'!$P417), 0, 1), 3, if(ISBLANK('2025'!$Q417), 0, 1), 4, if(ISBLANK('2025'!$R417), 0, 1), 5, if(ISBLANK('2025'!$S417), 0, 1), 6, if(ISBLANK('2025'!$T417), 0, 1), 7, 0))), 1, "")</f>
        <v/>
      </c>
      <c r="V454" s="1" t="str">
        <f>IF(AND(AND(AND(V$4&gt;='2025'!$L417,V$4&lt;='2025'!$M417), V$4&lt;&gt;DATE(2025,7,4)), (SWITCH(weekday(V$4), 1, 0, 2, if(ISBLANK('2025'!$P417), 0, 1), 3, if(ISBLANK('2025'!$Q417), 0, 1), 4, if(ISBLANK('2025'!$R417), 0, 1), 5, if(ISBLANK('2025'!$S417), 0, 1), 6, if(ISBLANK('2025'!$T417), 0, 1), 7, 0))), 1, "")</f>
        <v/>
      </c>
      <c r="W454" s="1" t="str">
        <f>IF(AND(AND(AND(W$4&gt;='2025'!$L417,W$4&lt;='2025'!$M417), W$4&lt;&gt;DATE(2025,7,4)), (SWITCH(weekday(W$4), 1, 0, 2, if(ISBLANK('2025'!$P417), 0, 1), 3, if(ISBLANK('2025'!$Q417), 0, 1), 4, if(ISBLANK('2025'!$R417), 0, 1), 5, if(ISBLANK('2025'!$S417), 0, 1), 6, if(ISBLANK('2025'!$T417), 0, 1), 7, 0))), 1, "")</f>
        <v/>
      </c>
      <c r="X454" s="1" t="str">
        <f>IF(AND(AND(AND(X$4&gt;='2025'!$L417,X$4&lt;='2025'!$M417), X$4&lt;&gt;DATE(2025,7,4)), (SWITCH(weekday(X$4), 1, 0, 2, if(ISBLANK('2025'!$P417), 0, 1), 3, if(ISBLANK('2025'!$Q417), 0, 1), 4, if(ISBLANK('2025'!$R417), 0, 1), 5, if(ISBLANK('2025'!$S417), 0, 1), 6, if(ISBLANK('2025'!$T417), 0, 1), 7, 0))), 1, "")</f>
        <v/>
      </c>
      <c r="Y454" s="1" t="str">
        <f>IF(AND(AND(AND(Y$4&gt;='2025'!$L417,Y$4&lt;='2025'!$M417), Y$4&lt;&gt;DATE(2025,7,4)), (SWITCH(weekday(Y$4), 1, 0, 2, if(ISBLANK('2025'!$P417), 0, 1), 3, if(ISBLANK('2025'!$Q417), 0, 1), 4, if(ISBLANK('2025'!$R417), 0, 1), 5, if(ISBLANK('2025'!$S417), 0, 1), 6, if(ISBLANK('2025'!$T417), 0, 1), 7, 0))), 1, "")</f>
        <v/>
      </c>
      <c r="Z454" s="1" t="str">
        <f>IF(AND(AND(AND(Z$4&gt;='2025'!$L417,Z$4&lt;='2025'!$M417), Z$4&lt;&gt;DATE(2025,7,4)), (SWITCH(weekday(Z$4), 1, 0, 2, if(ISBLANK('2025'!$P417), 0, 1), 3, if(ISBLANK('2025'!$Q417), 0, 1), 4, if(ISBLANK('2025'!$R417), 0, 1), 5, if(ISBLANK('2025'!$S417), 0, 1), 6, if(ISBLANK('2025'!$T417), 0, 1), 7, 0))), 1, "")</f>
        <v/>
      </c>
      <c r="AA454" s="1" t="str">
        <f>IF(AND(AND(AND(AA$4&gt;='2025'!$L417,AA$4&lt;='2025'!$M417), AA$4&lt;&gt;DATE(2025,7,4)), (SWITCH(weekday(AA$4), 1, 0, 2, if(ISBLANK('2025'!$P417), 0, 1), 3, if(ISBLANK('2025'!$Q417), 0, 1), 4, if(ISBLANK('2025'!$R417), 0, 1), 5, if(ISBLANK('2025'!$S417), 0, 1), 6, if(ISBLANK('2025'!$T417), 0, 1), 7, 0))), 1, "")</f>
        <v/>
      </c>
      <c r="AB454" s="1" t="str">
        <f>IF(AND(AND(AND(AB$4&gt;='2025'!$L417,AB$4&lt;='2025'!$M417), AB$4&lt;&gt;DATE(2025,7,4)), (SWITCH(weekday(AB$4), 1, 0, 2, if(ISBLANK('2025'!$P417), 0, 1), 3, if(ISBLANK('2025'!$Q417), 0, 1), 4, if(ISBLANK('2025'!$R417), 0, 1), 5, if(ISBLANK('2025'!$S417), 0, 1), 6, if(ISBLANK('2025'!$T417), 0, 1), 7, 0))), 1, "")</f>
        <v/>
      </c>
      <c r="AC454" s="1" t="str">
        <f>IF(AND(AND(AND(AC$4&gt;='2025'!$L417,AC$4&lt;='2025'!$M417), AC$4&lt;&gt;DATE(2025,7,4)), (SWITCH(weekday(AC$4), 1, 0, 2, if(ISBLANK('2025'!$P417), 0, 1), 3, if(ISBLANK('2025'!$Q417), 0, 1), 4, if(ISBLANK('2025'!$R417), 0, 1), 5, if(ISBLANK('2025'!$S417), 0, 1), 6, if(ISBLANK('2025'!$T417), 0, 1), 7, 0))), 1, "")</f>
        <v/>
      </c>
      <c r="AD454" s="1" t="str">
        <f>IF(AND(AND(AND(AD$4&gt;='2025'!$L417,AD$4&lt;='2025'!$M417), AD$4&lt;&gt;DATE(2025,7,4)), (SWITCH(weekday(AD$4), 1, 0, 2, if(ISBLANK('2025'!$P417), 0, 1), 3, if(ISBLANK('2025'!$Q417), 0, 1), 4, if(ISBLANK('2025'!$R417), 0, 1), 5, if(ISBLANK('2025'!$S417), 0, 1), 6, if(ISBLANK('2025'!$T417), 0, 1), 7, 0))), 1, "")</f>
        <v/>
      </c>
      <c r="AE454" s="1" t="str">
        <f>IF(AND(AND(AND(AE$4&gt;='2025'!$L417,AE$4&lt;='2025'!$M417), AE$4&lt;&gt;DATE(2025,7,4)), (SWITCH(weekday(AE$4), 1, 0, 2, if(ISBLANK('2025'!$P417), 0, 1), 3, if(ISBLANK('2025'!$Q417), 0, 1), 4, if(ISBLANK('2025'!$R417), 0, 1), 5, if(ISBLANK('2025'!$S417), 0, 1), 6, if(ISBLANK('2025'!$T417), 0, 1), 7, 0))), 1, "")</f>
        <v/>
      </c>
      <c r="AF454" s="1" t="str">
        <f>IF(AND(AND(AND(AF$4&gt;='2025'!$L417,AF$4&lt;='2025'!$M417), AF$4&lt;&gt;DATE(2025,7,4)), (SWITCH(weekday(AF$4), 1, 0, 2, if(ISBLANK('2025'!$P417), 0, 1), 3, if(ISBLANK('2025'!$Q417), 0, 1), 4, if(ISBLANK('2025'!$R417), 0, 1), 5, if(ISBLANK('2025'!$S417), 0, 1), 6, if(ISBLANK('2025'!$T417), 0, 1), 7, 0))), 1, "")</f>
        <v/>
      </c>
      <c r="AG454" s="1" t="str">
        <f>IF(AND(AND(AND(AG$4&gt;='2025'!$L417,AG$4&lt;='2025'!$M417), AG$4&lt;&gt;DATE(2025,7,4)), (SWITCH(weekday(AG$4), 1, 0, 2, if(ISBLANK('2025'!$P417), 0, 1), 3, if(ISBLANK('2025'!$Q417), 0, 1), 4, if(ISBLANK('2025'!$R417), 0, 1), 5, if(ISBLANK('2025'!$S417), 0, 1), 6, if(ISBLANK('2025'!$T417), 0, 1), 7, 0))), 1, "")</f>
        <v/>
      </c>
      <c r="AH454" s="1" t="str">
        <f>IF(AND(AND(AND(AH$4&gt;='2025'!$L417,AH$4&lt;='2025'!$M417), AH$4&lt;&gt;DATE(2025,7,4)), (SWITCH(weekday(AH$4), 1, 0, 2, if(ISBLANK('2025'!$P417), 0, 1), 3, if(ISBLANK('2025'!$Q417), 0, 1), 4, if(ISBLANK('2025'!$R417), 0, 1), 5, if(ISBLANK('2025'!$S417), 0, 1), 6, if(ISBLANK('2025'!$T417), 0, 1), 7, 0))), 1, "")</f>
        <v/>
      </c>
      <c r="AI454" s="1" t="str">
        <f>IF(AND(AND(AND(AI$4&gt;='2025'!$L417,AI$4&lt;='2025'!$M417), AI$4&lt;&gt;DATE(2025,7,4)), (SWITCH(weekday(AI$4), 1, 0, 2, if(ISBLANK('2025'!$P417), 0, 1), 3, if(ISBLANK('2025'!$Q417), 0, 1), 4, if(ISBLANK('2025'!$R417), 0, 1), 5, if(ISBLANK('2025'!$S417), 0, 1), 6, if(ISBLANK('2025'!$T417), 0, 1), 7, 0))), 1, "")</f>
        <v/>
      </c>
      <c r="AJ454" s="1" t="str">
        <f>IF(AND(AND(AND(AJ$4&gt;='2025'!$L417,AJ$4&lt;='2025'!$M417), AJ$4&lt;&gt;DATE(2025,7,4)), (SWITCH(weekday(AJ$4), 1, 0, 2, if(ISBLANK('2025'!$P417), 0, 1), 3, if(ISBLANK('2025'!$Q417), 0, 1), 4, if(ISBLANK('2025'!$R417), 0, 1), 5, if(ISBLANK('2025'!$S417), 0, 1), 6, if(ISBLANK('2025'!$T417), 0, 1), 7, 0))), 1, "")</f>
        <v/>
      </c>
      <c r="AK454" s="1" t="str">
        <f>IF(AND(AND(AND(AK$4&gt;='2025'!$L417,AK$4&lt;='2025'!$M417), AK$4&lt;&gt;DATE(2025,7,4)), (SWITCH(weekday(AK$4), 1, 0, 2, if(ISBLANK('2025'!$P417), 0, 1), 3, if(ISBLANK('2025'!$Q417), 0, 1), 4, if(ISBLANK('2025'!$R417), 0, 1), 5, if(ISBLANK('2025'!$S417), 0, 1), 6, if(ISBLANK('2025'!$T417), 0, 1), 7, 0))), 1, "")</f>
        <v/>
      </c>
      <c r="AL454" s="1" t="str">
        <f>IF(AND(AND(AND(AL$4&gt;='2025'!$L417,AL$4&lt;='2025'!$M417), AL$4&lt;&gt;DATE(2025,7,4)), (SWITCH(weekday(AL$4), 1, 0, 2, if(ISBLANK('2025'!$P417), 0, 1), 3, if(ISBLANK('2025'!$Q417), 0, 1), 4, if(ISBLANK('2025'!$R417), 0, 1), 5, if(ISBLANK('2025'!$S417), 0, 1), 6, if(ISBLANK('2025'!$T417), 0, 1), 7, 0))), 1, "")</f>
        <v/>
      </c>
      <c r="AM454" s="1" t="str">
        <f>IF(AND(AND(AND(AM$4&gt;='2025'!$L417,AM$4&lt;='2025'!$M417), AM$4&lt;&gt;DATE(2025,7,4)), (SWITCH(weekday(AM$4), 1, 0, 2, if(ISBLANK('2025'!$P417), 0, 1), 3, if(ISBLANK('2025'!$Q417), 0, 1), 4, if(ISBLANK('2025'!$R417), 0, 1), 5, if(ISBLANK('2025'!$S417), 0, 1), 6, if(ISBLANK('2025'!$T417), 0, 1), 7, 0))), 1, "")</f>
        <v/>
      </c>
      <c r="AN454" s="1" t="str">
        <f>IF(AND(AND(AND(AN$4&gt;='2025'!$L417,AN$4&lt;='2025'!$M417), AN$4&lt;&gt;DATE(2025,7,4)), (SWITCH(weekday(AN$4), 1, 0, 2, if(ISBLANK('2025'!$P417), 0, 1), 3, if(ISBLANK('2025'!$Q417), 0, 1), 4, if(ISBLANK('2025'!$R417), 0, 1), 5, if(ISBLANK('2025'!$S417), 0, 1), 6, if(ISBLANK('2025'!$T417), 0, 1), 7, 0))), 1, "")</f>
        <v/>
      </c>
      <c r="AO454" s="1" t="str">
        <f>IF(AND(AND(AND(AO$4&gt;='2025'!$L417,AO$4&lt;='2025'!$M417), AO$4&lt;&gt;DATE(2025,7,4)), (SWITCH(weekday(AO$4), 1, 0, 2, if(ISBLANK('2025'!$P417), 0, 1), 3, if(ISBLANK('2025'!$Q417), 0, 1), 4, if(ISBLANK('2025'!$R417), 0, 1), 5, if(ISBLANK('2025'!$S417), 0, 1), 6, if(ISBLANK('2025'!$T417), 0, 1), 7, 0))), 1, "")</f>
        <v/>
      </c>
      <c r="AP454" s="1" t="str">
        <f>IF(AND(AND(AND(AP$4&gt;='2025'!$L417,AP$4&lt;='2025'!$M417), AP$4&lt;&gt;DATE(2025,7,4)), (SWITCH(weekday(AP$4), 1, 0, 2, if(ISBLANK('2025'!$P417), 0, 1), 3, if(ISBLANK('2025'!$Q417), 0, 1), 4, if(ISBLANK('2025'!$R417), 0, 1), 5, if(ISBLANK('2025'!$S417), 0, 1), 6, if(ISBLANK('2025'!$T417), 0, 1), 7, 0))), 1, "")</f>
        <v/>
      </c>
      <c r="AQ454" s="1" t="str">
        <f>IF(AND(AND(AND(AQ$4&gt;='2025'!$L417,AQ$4&lt;='2025'!$M417), AQ$4&lt;&gt;DATE(2025,7,4)), (SWITCH(weekday(AQ$4), 1, 0, 2, if(ISBLANK('2025'!$P417), 0, 1), 3, if(ISBLANK('2025'!$Q417), 0, 1), 4, if(ISBLANK('2025'!$R417), 0, 1), 5, if(ISBLANK('2025'!$S417), 0, 1), 6, if(ISBLANK('2025'!$T417), 0, 1), 7, 0))), 1, "")</f>
        <v/>
      </c>
      <c r="AR454" s="1" t="str">
        <f>IF(AND(AND(AND(AR$4&gt;='2025'!$L417,AR$4&lt;='2025'!$M417), AR$4&lt;&gt;DATE(2025,7,4)), (SWITCH(weekday(AR$4), 1, 0, 2, if(ISBLANK('2025'!$P417), 0, 1), 3, if(ISBLANK('2025'!$Q417), 0, 1), 4, if(ISBLANK('2025'!$R417), 0, 1), 5, if(ISBLANK('2025'!$S417), 0, 1), 6, if(ISBLANK('2025'!$T417), 0, 1), 7, 0))), 1, "")</f>
        <v/>
      </c>
      <c r="AS454" s="1" t="str">
        <f>IF(AND(AND(AND(AS$4&gt;='2025'!$L417,AS$4&lt;='2025'!$M417), AS$4&lt;&gt;DATE(2025,7,4)), (SWITCH(weekday(AS$4), 1, 0, 2, if(ISBLANK('2025'!$P417), 0, 1), 3, if(ISBLANK('2025'!$Q417), 0, 1), 4, if(ISBLANK('2025'!$R417), 0, 1), 5, if(ISBLANK('2025'!$S417), 0, 1), 6, if(ISBLANK('2025'!$T417), 0, 1), 7, 0))), 1, "")</f>
        <v/>
      </c>
      <c r="AT454" s="1" t="str">
        <f>IF(AND(AND(AND(AT$4&gt;='2025'!$L417,AT$4&lt;='2025'!$M417), AT$4&lt;&gt;DATE(2025,7,4)), (SWITCH(weekday(AT$4), 1, 0, 2, if(ISBLANK('2025'!$P417), 0, 1), 3, if(ISBLANK('2025'!$Q417), 0, 1), 4, if(ISBLANK('2025'!$R417), 0, 1), 5, if(ISBLANK('2025'!$S417), 0, 1), 6, if(ISBLANK('2025'!$T417), 0, 1), 7, 0))), 1, "")</f>
        <v/>
      </c>
      <c r="AU454" s="1" t="str">
        <f>IF(AND(AND(AND(AU$4&gt;='2025'!$L417,AU$4&lt;='2025'!$M417), AU$4&lt;&gt;DATE(2025,7,4)), (SWITCH(weekday(AU$4), 1, 0, 2, if(ISBLANK('2025'!$P417), 0, 1), 3, if(ISBLANK('2025'!$Q417), 0, 1), 4, if(ISBLANK('2025'!$R417), 0, 1), 5, if(ISBLANK('2025'!$S417), 0, 1), 6, if(ISBLANK('2025'!$T417), 0, 1), 7, 0))), 1, "")</f>
        <v/>
      </c>
      <c r="AV454" s="1" t="str">
        <f>IF(AND(AND(AND(AV$4&gt;='2025'!$L417,AV$4&lt;='2025'!$M417), AV$4&lt;&gt;DATE(2025,7,4)), (SWITCH(weekday(AV$4), 1, 0, 2, if(ISBLANK('2025'!$P417), 0, 1), 3, if(ISBLANK('2025'!$Q417), 0, 1), 4, if(ISBLANK('2025'!$R417), 0, 1), 5, if(ISBLANK('2025'!$S417), 0, 1), 6, if(ISBLANK('2025'!$T417), 0, 1), 7, 0))), 1, "")</f>
        <v/>
      </c>
      <c r="AW454" s="1" t="str">
        <f>IF(AND(AND(AND(AW$4&gt;='2025'!$L417,AW$4&lt;='2025'!$M417), AW$4&lt;&gt;DATE(2025,7,4)), (SWITCH(weekday(AW$4), 1, 0, 2, if(ISBLANK('2025'!$P417), 0, 1), 3, if(ISBLANK('2025'!$Q417), 0, 1), 4, if(ISBLANK('2025'!$R417), 0, 1), 5, if(ISBLANK('2025'!$S417), 0, 1), 6, if(ISBLANK('2025'!$T417), 0, 1), 7, 0))), 1, "")</f>
        <v/>
      </c>
      <c r="AX454" s="1" t="str">
        <f>IF(AND(AND(AND(AX$4&gt;='2025'!$L417,AX$4&lt;='2025'!$M417), AX$4&lt;&gt;DATE(2025,7,4)), (SWITCH(weekday(AX$4), 1, 0, 2, if(ISBLANK('2025'!$P417), 0, 1), 3, if(ISBLANK('2025'!$Q417), 0, 1), 4, if(ISBLANK('2025'!$R417), 0, 1), 5, if(ISBLANK('2025'!$S417), 0, 1), 6, if(ISBLANK('2025'!$T417), 0, 1), 7, 0))), 1, "")</f>
        <v/>
      </c>
      <c r="AY454" s="1" t="str">
        <f>IF(AND(AND(AND(AY$4&gt;='2025'!$L417,AY$4&lt;='2025'!$M417), AY$4&lt;&gt;DATE(2025,7,4)), (SWITCH(weekday(AY$4), 1, 0, 2, if(ISBLANK('2025'!$P417), 0, 1), 3, if(ISBLANK('2025'!$Q417), 0, 1), 4, if(ISBLANK('2025'!$R417), 0, 1), 5, if(ISBLANK('2025'!$S417), 0, 1), 6, if(ISBLANK('2025'!$T417), 0, 1), 7, 0))), 1, "")</f>
        <v/>
      </c>
      <c r="AZ454" s="1" t="str">
        <f>IF(AND(AND(AND(AZ$4&gt;='2025'!$L417,AZ$4&lt;='2025'!$M417), AZ$4&lt;&gt;DATE(2025,7,4)), (SWITCH(weekday(AZ$4), 1, 0, 2, if(ISBLANK('2025'!$P417), 0, 1), 3, if(ISBLANK('2025'!$Q417), 0, 1), 4, if(ISBLANK('2025'!$R417), 0, 1), 5, if(ISBLANK('2025'!$S417), 0, 1), 6, if(ISBLANK('2025'!$T417), 0, 1), 7, 0))), 1, "")</f>
        <v/>
      </c>
      <c r="BA454" s="1" t="str">
        <f>IF(AND(AND(AND(BA$4&gt;='2025'!$L417,BA$4&lt;='2025'!$M417), BA$4&lt;&gt;DATE(2025,7,4)), (SWITCH(weekday(BA$4), 1, 0, 2, if(ISBLANK('2025'!$P417), 0, 1), 3, if(ISBLANK('2025'!$Q417), 0, 1), 4, if(ISBLANK('2025'!$R417), 0, 1), 5, if(ISBLANK('2025'!$S417), 0, 1), 6, if(ISBLANK('2025'!$T417), 0, 1), 7, 0))), 1, "")</f>
        <v/>
      </c>
      <c r="BB454" s="1" t="str">
        <f>IF(AND(AND(AND(BB$4&gt;='2025'!$L417,BB$4&lt;='2025'!$M417), BB$4&lt;&gt;DATE(2025,7,4)), (SWITCH(weekday(BB$4), 1, 0, 2, if(ISBLANK('2025'!$P417), 0, 1), 3, if(ISBLANK('2025'!$Q417), 0, 1), 4, if(ISBLANK('2025'!$R417), 0, 1), 5, if(ISBLANK('2025'!$S417), 0, 1), 6, if(ISBLANK('2025'!$T417), 0, 1), 7, 0))), 1, "")</f>
        <v/>
      </c>
      <c r="BC454" s="1" t="str">
        <f>IF(AND(AND(AND(BC$4&gt;='2025'!$L417,BC$4&lt;='2025'!$M417), BC$4&lt;&gt;DATE(2025,7,4)), (SWITCH(weekday(BC$4), 1, 0, 2, if(ISBLANK('2025'!$P417), 0, 1), 3, if(ISBLANK('2025'!$Q417), 0, 1), 4, if(ISBLANK('2025'!$R417), 0, 1), 5, if(ISBLANK('2025'!$S417), 0, 1), 6, if(ISBLANK('2025'!$T417), 0, 1), 7, 0))), 1, "")</f>
        <v/>
      </c>
      <c r="BD454" s="1" t="str">
        <f>IF(AND(AND(AND(BD$4&gt;='2025'!$L417,BD$4&lt;='2025'!$M417), BD$4&lt;&gt;DATE(2025,7,4)), (SWITCH(weekday(BD$4), 1, 0, 2, if(ISBLANK('2025'!$P417), 0, 1), 3, if(ISBLANK('2025'!$Q417), 0, 1), 4, if(ISBLANK('2025'!$R417), 0, 1), 5, if(ISBLANK('2025'!$S417), 0, 1), 6, if(ISBLANK('2025'!$T417), 0, 1), 7, 0))), 1, "")</f>
        <v/>
      </c>
      <c r="BE454" s="1" t="str">
        <f>IF(AND(AND(AND(BE$4&gt;='2025'!$L417,BE$4&lt;='2025'!$M417), BE$4&lt;&gt;DATE(2025,7,4)), (SWITCH(weekday(BE$4), 1, 0, 2, if(ISBLANK('2025'!$P417), 0, 1), 3, if(ISBLANK('2025'!$Q417), 0, 1), 4, if(ISBLANK('2025'!$R417), 0, 1), 5, if(ISBLANK('2025'!$S417), 0, 1), 6, if(ISBLANK('2025'!$T417), 0, 1), 7, 0))), 1, "")</f>
        <v/>
      </c>
    </row>
    <row r="455">
      <c r="A455" s="1">
        <f t="shared" si="3"/>
        <v>455</v>
      </c>
      <c r="B455" s="1" t="str">
        <f>'2025'!D418</f>
        <v/>
      </c>
      <c r="C455" s="1" t="str">
        <f>'2025'!H418</f>
        <v/>
      </c>
      <c r="D455" s="1" t="str">
        <f>IF(AND(AND(AND(D$4&gt;='2025'!$L418,D$4&lt;='2025'!$M418), D$4&lt;&gt;DATE(2025,7,4)), (SWITCH(weekday(D$4), 1, 0, 2, if(ISBLANK('2025'!$P418), 0, 1), 3, if(ISBLANK('2025'!$Q418), 0, 1), 4, if(ISBLANK('2025'!$R418), 0, 1), 5, if(ISBLANK('2025'!$S418), 0, 1), 6, if(ISBLANK('2025'!$T418), 0, 1), 7, 0))), 1, "")</f>
        <v/>
      </c>
      <c r="E455" s="1" t="str">
        <f>IF(AND(AND(AND(E$4&gt;='2025'!$L418,E$4&lt;='2025'!$M418), E$4&lt;&gt;DATE(2025,7,4)), (SWITCH(weekday(E$4), 1, 0, 2, if(ISBLANK('2025'!$P418), 0, 1), 3, if(ISBLANK('2025'!$Q418), 0, 1), 4, if(ISBLANK('2025'!$R418), 0, 1), 5, if(ISBLANK('2025'!$S418), 0, 1), 6, if(ISBLANK('2025'!$T418), 0, 1), 7, 0))), 1, "")</f>
        <v/>
      </c>
      <c r="F455" s="1" t="str">
        <f>IF(AND(AND(AND(F$4&gt;='2025'!$L418,F$4&lt;='2025'!$M418), F$4&lt;&gt;DATE(2025,7,4)), (SWITCH(weekday(F$4), 1, 0, 2, if(ISBLANK('2025'!$P418), 0, 1), 3, if(ISBLANK('2025'!$Q418), 0, 1), 4, if(ISBLANK('2025'!$R418), 0, 1), 5, if(ISBLANK('2025'!$S418), 0, 1), 6, if(ISBLANK('2025'!$T418), 0, 1), 7, 0))), 1, "")</f>
        <v/>
      </c>
      <c r="G455" s="1" t="str">
        <f>IF(AND(AND(AND(G$4&gt;='2025'!$L418,G$4&lt;='2025'!$M418), G$4&lt;&gt;DATE(2025,7,4)), (SWITCH(weekday(G$4), 1, 0, 2, if(ISBLANK('2025'!$P418), 0, 1), 3, if(ISBLANK('2025'!$Q418), 0, 1), 4, if(ISBLANK('2025'!$R418), 0, 1), 5, if(ISBLANK('2025'!$S418), 0, 1), 6, if(ISBLANK('2025'!$T418), 0, 1), 7, 0))), 1, "")</f>
        <v/>
      </c>
      <c r="H455" s="1" t="str">
        <f>IF(AND(AND(AND(H$4&gt;='2025'!$L418,H$4&lt;='2025'!$M418), H$4&lt;&gt;DATE(2025,7,4)), (SWITCH(weekday(H$4), 1, 0, 2, if(ISBLANK('2025'!$P418), 0, 1), 3, if(ISBLANK('2025'!$Q418), 0, 1), 4, if(ISBLANK('2025'!$R418), 0, 1), 5, if(ISBLANK('2025'!$S418), 0, 1), 6, if(ISBLANK('2025'!$T418), 0, 1), 7, 0))), 1, "")</f>
        <v/>
      </c>
      <c r="I455" s="1" t="str">
        <f>IF(AND(AND(AND(I$4&gt;='2025'!$L418,I$4&lt;='2025'!$M418), I$4&lt;&gt;DATE(2025,7,4)), (SWITCH(weekday(I$4), 1, 0, 2, if(ISBLANK('2025'!$P418), 0, 1), 3, if(ISBLANK('2025'!$Q418), 0, 1), 4, if(ISBLANK('2025'!$R418), 0, 1), 5, if(ISBLANK('2025'!$S418), 0, 1), 6, if(ISBLANK('2025'!$T418), 0, 1), 7, 0))), 1, "")</f>
        <v/>
      </c>
      <c r="J455" s="1" t="str">
        <f>IF(AND(AND(AND(J$4&gt;='2025'!$L418,J$4&lt;='2025'!$M418), J$4&lt;&gt;DATE(2025,7,4)), (SWITCH(weekday(J$4), 1, 0, 2, if(ISBLANK('2025'!$P418), 0, 1), 3, if(ISBLANK('2025'!$Q418), 0, 1), 4, if(ISBLANK('2025'!$R418), 0, 1), 5, if(ISBLANK('2025'!$S418), 0, 1), 6, if(ISBLANK('2025'!$T418), 0, 1), 7, 0))), 1, "")</f>
        <v/>
      </c>
      <c r="K455" s="1" t="str">
        <f>IF(AND(AND(AND(K$4&gt;='2025'!$L418,K$4&lt;='2025'!$M418), K$4&lt;&gt;DATE(2025,7,4)), (SWITCH(weekday(K$4), 1, 0, 2, if(ISBLANK('2025'!$P418), 0, 1), 3, if(ISBLANK('2025'!$Q418), 0, 1), 4, if(ISBLANK('2025'!$R418), 0, 1), 5, if(ISBLANK('2025'!$S418), 0, 1), 6, if(ISBLANK('2025'!$T418), 0, 1), 7, 0))), 1, "")</f>
        <v/>
      </c>
      <c r="L455" s="1" t="str">
        <f>IF(AND(AND(AND(L$4&gt;='2025'!$L418,L$4&lt;='2025'!$M418), L$4&lt;&gt;DATE(2025,7,4)), (SWITCH(weekday(L$4), 1, 0, 2, if(ISBLANK('2025'!$P418), 0, 1), 3, if(ISBLANK('2025'!$Q418), 0, 1), 4, if(ISBLANK('2025'!$R418), 0, 1), 5, if(ISBLANK('2025'!$S418), 0, 1), 6, if(ISBLANK('2025'!$T418), 0, 1), 7, 0))), 1, "")</f>
        <v/>
      </c>
      <c r="M455" s="1" t="str">
        <f>IF(AND(AND(AND(M$4&gt;='2025'!$L418,M$4&lt;='2025'!$M418), M$4&lt;&gt;DATE(2025,7,4)), (SWITCH(weekday(M$4), 1, 0, 2, if(ISBLANK('2025'!$P418), 0, 1), 3, if(ISBLANK('2025'!$Q418), 0, 1), 4, if(ISBLANK('2025'!$R418), 0, 1), 5, if(ISBLANK('2025'!$S418), 0, 1), 6, if(ISBLANK('2025'!$T418), 0, 1), 7, 0))), 1, "")</f>
        <v/>
      </c>
      <c r="N455" s="1" t="str">
        <f>IF(AND(AND(AND(N$4&gt;='2025'!$L418,N$4&lt;='2025'!$M418), N$4&lt;&gt;DATE(2025,7,4)), (SWITCH(weekday(N$4), 1, 0, 2, if(ISBLANK('2025'!$P418), 0, 1), 3, if(ISBLANK('2025'!$Q418), 0, 1), 4, if(ISBLANK('2025'!$R418), 0, 1), 5, if(ISBLANK('2025'!$S418), 0, 1), 6, if(ISBLANK('2025'!$T418), 0, 1), 7, 0))), 1, "")</f>
        <v/>
      </c>
      <c r="O455" s="1" t="str">
        <f>IF(AND(AND(AND(O$4&gt;='2025'!$L418,O$4&lt;='2025'!$M418), O$4&lt;&gt;DATE(2025,7,4)), (SWITCH(weekday(O$4), 1, 0, 2, if(ISBLANK('2025'!$P418), 0, 1), 3, if(ISBLANK('2025'!$Q418), 0, 1), 4, if(ISBLANK('2025'!$R418), 0, 1), 5, if(ISBLANK('2025'!$S418), 0, 1), 6, if(ISBLANK('2025'!$T418), 0, 1), 7, 0))), 1, "")</f>
        <v/>
      </c>
      <c r="P455" s="1" t="str">
        <f>IF(AND(AND(AND(P$4&gt;='2025'!$L418,P$4&lt;='2025'!$M418), P$4&lt;&gt;DATE(2025,7,4)), (SWITCH(weekday(P$4), 1, 0, 2, if(ISBLANK('2025'!$P418), 0, 1), 3, if(ISBLANK('2025'!$Q418), 0, 1), 4, if(ISBLANK('2025'!$R418), 0, 1), 5, if(ISBLANK('2025'!$S418), 0, 1), 6, if(ISBLANK('2025'!$T418), 0, 1), 7, 0))), 1, "")</f>
        <v/>
      </c>
      <c r="Q455" s="1" t="str">
        <f>IF(AND(AND(AND(Q$4&gt;='2025'!$L418,Q$4&lt;='2025'!$M418), Q$4&lt;&gt;DATE(2025,7,4)), (SWITCH(weekday(Q$4), 1, 0, 2, if(ISBLANK('2025'!$P418), 0, 1), 3, if(ISBLANK('2025'!$Q418), 0, 1), 4, if(ISBLANK('2025'!$R418), 0, 1), 5, if(ISBLANK('2025'!$S418), 0, 1), 6, if(ISBLANK('2025'!$T418), 0, 1), 7, 0))), 1, "")</f>
        <v/>
      </c>
      <c r="R455" s="1" t="str">
        <f>IF(AND(AND(AND(R$4&gt;='2025'!$L418,R$4&lt;='2025'!$M418), R$4&lt;&gt;DATE(2025,7,4)), (SWITCH(weekday(R$4), 1, 0, 2, if(ISBLANK('2025'!$P418), 0, 1), 3, if(ISBLANK('2025'!$Q418), 0, 1), 4, if(ISBLANK('2025'!$R418), 0, 1), 5, if(ISBLANK('2025'!$S418), 0, 1), 6, if(ISBLANK('2025'!$T418), 0, 1), 7, 0))), 1, "")</f>
        <v/>
      </c>
      <c r="S455" s="1" t="str">
        <f>IF(AND(AND(AND(S$4&gt;='2025'!$L418,S$4&lt;='2025'!$M418), S$4&lt;&gt;DATE(2025,7,4)), (SWITCH(weekday(S$4), 1, 0, 2, if(ISBLANK('2025'!$P418), 0, 1), 3, if(ISBLANK('2025'!$Q418), 0, 1), 4, if(ISBLANK('2025'!$R418), 0, 1), 5, if(ISBLANK('2025'!$S418), 0, 1), 6, if(ISBLANK('2025'!$T418), 0, 1), 7, 0))), 1, "")</f>
        <v/>
      </c>
      <c r="T455" s="1" t="str">
        <f>IF(AND(AND(AND(T$4&gt;='2025'!$L418,T$4&lt;='2025'!$M418), T$4&lt;&gt;DATE(2025,7,4)), (SWITCH(weekday(T$4), 1, 0, 2, if(ISBLANK('2025'!$P418), 0, 1), 3, if(ISBLANK('2025'!$Q418), 0, 1), 4, if(ISBLANK('2025'!$R418), 0, 1), 5, if(ISBLANK('2025'!$S418), 0, 1), 6, if(ISBLANK('2025'!$T418), 0, 1), 7, 0))), 1, "")</f>
        <v/>
      </c>
      <c r="U455" s="1" t="str">
        <f>IF(AND(AND(AND(U$4&gt;='2025'!$L418,U$4&lt;='2025'!$M418), U$4&lt;&gt;DATE(2025,7,4)), (SWITCH(weekday(U$4), 1, 0, 2, if(ISBLANK('2025'!$P418), 0, 1), 3, if(ISBLANK('2025'!$Q418), 0, 1), 4, if(ISBLANK('2025'!$R418), 0, 1), 5, if(ISBLANK('2025'!$S418), 0, 1), 6, if(ISBLANK('2025'!$T418), 0, 1), 7, 0))), 1, "")</f>
        <v/>
      </c>
      <c r="V455" s="1" t="str">
        <f>IF(AND(AND(AND(V$4&gt;='2025'!$L418,V$4&lt;='2025'!$M418), V$4&lt;&gt;DATE(2025,7,4)), (SWITCH(weekday(V$4), 1, 0, 2, if(ISBLANK('2025'!$P418), 0, 1), 3, if(ISBLANK('2025'!$Q418), 0, 1), 4, if(ISBLANK('2025'!$R418), 0, 1), 5, if(ISBLANK('2025'!$S418), 0, 1), 6, if(ISBLANK('2025'!$T418), 0, 1), 7, 0))), 1, "")</f>
        <v/>
      </c>
      <c r="W455" s="1" t="str">
        <f>IF(AND(AND(AND(W$4&gt;='2025'!$L418,W$4&lt;='2025'!$M418), W$4&lt;&gt;DATE(2025,7,4)), (SWITCH(weekday(W$4), 1, 0, 2, if(ISBLANK('2025'!$P418), 0, 1), 3, if(ISBLANK('2025'!$Q418), 0, 1), 4, if(ISBLANK('2025'!$R418), 0, 1), 5, if(ISBLANK('2025'!$S418), 0, 1), 6, if(ISBLANK('2025'!$T418), 0, 1), 7, 0))), 1, "")</f>
        <v/>
      </c>
      <c r="X455" s="1" t="str">
        <f>IF(AND(AND(AND(X$4&gt;='2025'!$L418,X$4&lt;='2025'!$M418), X$4&lt;&gt;DATE(2025,7,4)), (SWITCH(weekday(X$4), 1, 0, 2, if(ISBLANK('2025'!$P418), 0, 1), 3, if(ISBLANK('2025'!$Q418), 0, 1), 4, if(ISBLANK('2025'!$R418), 0, 1), 5, if(ISBLANK('2025'!$S418), 0, 1), 6, if(ISBLANK('2025'!$T418), 0, 1), 7, 0))), 1, "")</f>
        <v/>
      </c>
      <c r="Y455" s="1" t="str">
        <f>IF(AND(AND(AND(Y$4&gt;='2025'!$L418,Y$4&lt;='2025'!$M418), Y$4&lt;&gt;DATE(2025,7,4)), (SWITCH(weekday(Y$4), 1, 0, 2, if(ISBLANK('2025'!$P418), 0, 1), 3, if(ISBLANK('2025'!$Q418), 0, 1), 4, if(ISBLANK('2025'!$R418), 0, 1), 5, if(ISBLANK('2025'!$S418), 0, 1), 6, if(ISBLANK('2025'!$T418), 0, 1), 7, 0))), 1, "")</f>
        <v/>
      </c>
      <c r="Z455" s="1" t="str">
        <f>IF(AND(AND(AND(Z$4&gt;='2025'!$L418,Z$4&lt;='2025'!$M418), Z$4&lt;&gt;DATE(2025,7,4)), (SWITCH(weekday(Z$4), 1, 0, 2, if(ISBLANK('2025'!$P418), 0, 1), 3, if(ISBLANK('2025'!$Q418), 0, 1), 4, if(ISBLANK('2025'!$R418), 0, 1), 5, if(ISBLANK('2025'!$S418), 0, 1), 6, if(ISBLANK('2025'!$T418), 0, 1), 7, 0))), 1, "")</f>
        <v/>
      </c>
      <c r="AA455" s="1" t="str">
        <f>IF(AND(AND(AND(AA$4&gt;='2025'!$L418,AA$4&lt;='2025'!$M418), AA$4&lt;&gt;DATE(2025,7,4)), (SWITCH(weekday(AA$4), 1, 0, 2, if(ISBLANK('2025'!$P418), 0, 1), 3, if(ISBLANK('2025'!$Q418), 0, 1), 4, if(ISBLANK('2025'!$R418), 0, 1), 5, if(ISBLANK('2025'!$S418), 0, 1), 6, if(ISBLANK('2025'!$T418), 0, 1), 7, 0))), 1, "")</f>
        <v/>
      </c>
      <c r="AB455" s="1" t="str">
        <f>IF(AND(AND(AND(AB$4&gt;='2025'!$L418,AB$4&lt;='2025'!$M418), AB$4&lt;&gt;DATE(2025,7,4)), (SWITCH(weekday(AB$4), 1, 0, 2, if(ISBLANK('2025'!$P418), 0, 1), 3, if(ISBLANK('2025'!$Q418), 0, 1), 4, if(ISBLANK('2025'!$R418), 0, 1), 5, if(ISBLANK('2025'!$S418), 0, 1), 6, if(ISBLANK('2025'!$T418), 0, 1), 7, 0))), 1, "")</f>
        <v/>
      </c>
      <c r="AC455" s="1" t="str">
        <f>IF(AND(AND(AND(AC$4&gt;='2025'!$L418,AC$4&lt;='2025'!$M418), AC$4&lt;&gt;DATE(2025,7,4)), (SWITCH(weekday(AC$4), 1, 0, 2, if(ISBLANK('2025'!$P418), 0, 1), 3, if(ISBLANK('2025'!$Q418), 0, 1), 4, if(ISBLANK('2025'!$R418), 0, 1), 5, if(ISBLANK('2025'!$S418), 0, 1), 6, if(ISBLANK('2025'!$T418), 0, 1), 7, 0))), 1, "")</f>
        <v/>
      </c>
      <c r="AD455" s="1" t="str">
        <f>IF(AND(AND(AND(AD$4&gt;='2025'!$L418,AD$4&lt;='2025'!$M418), AD$4&lt;&gt;DATE(2025,7,4)), (SWITCH(weekday(AD$4), 1, 0, 2, if(ISBLANK('2025'!$P418), 0, 1), 3, if(ISBLANK('2025'!$Q418), 0, 1), 4, if(ISBLANK('2025'!$R418), 0, 1), 5, if(ISBLANK('2025'!$S418), 0, 1), 6, if(ISBLANK('2025'!$T418), 0, 1), 7, 0))), 1, "")</f>
        <v/>
      </c>
      <c r="AE455" s="1" t="str">
        <f>IF(AND(AND(AND(AE$4&gt;='2025'!$L418,AE$4&lt;='2025'!$M418), AE$4&lt;&gt;DATE(2025,7,4)), (SWITCH(weekday(AE$4), 1, 0, 2, if(ISBLANK('2025'!$P418), 0, 1), 3, if(ISBLANK('2025'!$Q418), 0, 1), 4, if(ISBLANK('2025'!$R418), 0, 1), 5, if(ISBLANK('2025'!$S418), 0, 1), 6, if(ISBLANK('2025'!$T418), 0, 1), 7, 0))), 1, "")</f>
        <v/>
      </c>
      <c r="AF455" s="1" t="str">
        <f>IF(AND(AND(AND(AF$4&gt;='2025'!$L418,AF$4&lt;='2025'!$M418), AF$4&lt;&gt;DATE(2025,7,4)), (SWITCH(weekday(AF$4), 1, 0, 2, if(ISBLANK('2025'!$P418), 0, 1), 3, if(ISBLANK('2025'!$Q418), 0, 1), 4, if(ISBLANK('2025'!$R418), 0, 1), 5, if(ISBLANK('2025'!$S418), 0, 1), 6, if(ISBLANK('2025'!$T418), 0, 1), 7, 0))), 1, "")</f>
        <v/>
      </c>
      <c r="AG455" s="1" t="str">
        <f>IF(AND(AND(AND(AG$4&gt;='2025'!$L418,AG$4&lt;='2025'!$M418), AG$4&lt;&gt;DATE(2025,7,4)), (SWITCH(weekday(AG$4), 1, 0, 2, if(ISBLANK('2025'!$P418), 0, 1), 3, if(ISBLANK('2025'!$Q418), 0, 1), 4, if(ISBLANK('2025'!$R418), 0, 1), 5, if(ISBLANK('2025'!$S418), 0, 1), 6, if(ISBLANK('2025'!$T418), 0, 1), 7, 0))), 1, "")</f>
        <v/>
      </c>
      <c r="AH455" s="1" t="str">
        <f>IF(AND(AND(AND(AH$4&gt;='2025'!$L418,AH$4&lt;='2025'!$M418), AH$4&lt;&gt;DATE(2025,7,4)), (SWITCH(weekday(AH$4), 1, 0, 2, if(ISBLANK('2025'!$P418), 0, 1), 3, if(ISBLANK('2025'!$Q418), 0, 1), 4, if(ISBLANK('2025'!$R418), 0, 1), 5, if(ISBLANK('2025'!$S418), 0, 1), 6, if(ISBLANK('2025'!$T418), 0, 1), 7, 0))), 1, "")</f>
        <v/>
      </c>
      <c r="AI455" s="1" t="str">
        <f>IF(AND(AND(AND(AI$4&gt;='2025'!$L418,AI$4&lt;='2025'!$M418), AI$4&lt;&gt;DATE(2025,7,4)), (SWITCH(weekday(AI$4), 1, 0, 2, if(ISBLANK('2025'!$P418), 0, 1), 3, if(ISBLANK('2025'!$Q418), 0, 1), 4, if(ISBLANK('2025'!$R418), 0, 1), 5, if(ISBLANK('2025'!$S418), 0, 1), 6, if(ISBLANK('2025'!$T418), 0, 1), 7, 0))), 1, "")</f>
        <v/>
      </c>
      <c r="AJ455" s="1" t="str">
        <f>IF(AND(AND(AND(AJ$4&gt;='2025'!$L418,AJ$4&lt;='2025'!$M418), AJ$4&lt;&gt;DATE(2025,7,4)), (SWITCH(weekday(AJ$4), 1, 0, 2, if(ISBLANK('2025'!$P418), 0, 1), 3, if(ISBLANK('2025'!$Q418), 0, 1), 4, if(ISBLANK('2025'!$R418), 0, 1), 5, if(ISBLANK('2025'!$S418), 0, 1), 6, if(ISBLANK('2025'!$T418), 0, 1), 7, 0))), 1, "")</f>
        <v/>
      </c>
      <c r="AK455" s="1" t="str">
        <f>IF(AND(AND(AND(AK$4&gt;='2025'!$L418,AK$4&lt;='2025'!$M418), AK$4&lt;&gt;DATE(2025,7,4)), (SWITCH(weekday(AK$4), 1, 0, 2, if(ISBLANK('2025'!$P418), 0, 1), 3, if(ISBLANK('2025'!$Q418), 0, 1), 4, if(ISBLANK('2025'!$R418), 0, 1), 5, if(ISBLANK('2025'!$S418), 0, 1), 6, if(ISBLANK('2025'!$T418), 0, 1), 7, 0))), 1, "")</f>
        <v/>
      </c>
      <c r="AL455" s="1" t="str">
        <f>IF(AND(AND(AND(AL$4&gt;='2025'!$L418,AL$4&lt;='2025'!$M418), AL$4&lt;&gt;DATE(2025,7,4)), (SWITCH(weekday(AL$4), 1, 0, 2, if(ISBLANK('2025'!$P418), 0, 1), 3, if(ISBLANK('2025'!$Q418), 0, 1), 4, if(ISBLANK('2025'!$R418), 0, 1), 5, if(ISBLANK('2025'!$S418), 0, 1), 6, if(ISBLANK('2025'!$T418), 0, 1), 7, 0))), 1, "")</f>
        <v/>
      </c>
      <c r="AM455" s="1" t="str">
        <f>IF(AND(AND(AND(AM$4&gt;='2025'!$L418,AM$4&lt;='2025'!$M418), AM$4&lt;&gt;DATE(2025,7,4)), (SWITCH(weekday(AM$4), 1, 0, 2, if(ISBLANK('2025'!$P418), 0, 1), 3, if(ISBLANK('2025'!$Q418), 0, 1), 4, if(ISBLANK('2025'!$R418), 0, 1), 5, if(ISBLANK('2025'!$S418), 0, 1), 6, if(ISBLANK('2025'!$T418), 0, 1), 7, 0))), 1, "")</f>
        <v/>
      </c>
      <c r="AN455" s="1" t="str">
        <f>IF(AND(AND(AND(AN$4&gt;='2025'!$L418,AN$4&lt;='2025'!$M418), AN$4&lt;&gt;DATE(2025,7,4)), (SWITCH(weekday(AN$4), 1, 0, 2, if(ISBLANK('2025'!$P418), 0, 1), 3, if(ISBLANK('2025'!$Q418), 0, 1), 4, if(ISBLANK('2025'!$R418), 0, 1), 5, if(ISBLANK('2025'!$S418), 0, 1), 6, if(ISBLANK('2025'!$T418), 0, 1), 7, 0))), 1, "")</f>
        <v/>
      </c>
      <c r="AO455" s="1" t="str">
        <f>IF(AND(AND(AND(AO$4&gt;='2025'!$L418,AO$4&lt;='2025'!$M418), AO$4&lt;&gt;DATE(2025,7,4)), (SWITCH(weekday(AO$4), 1, 0, 2, if(ISBLANK('2025'!$P418), 0, 1), 3, if(ISBLANK('2025'!$Q418), 0, 1), 4, if(ISBLANK('2025'!$R418), 0, 1), 5, if(ISBLANK('2025'!$S418), 0, 1), 6, if(ISBLANK('2025'!$T418), 0, 1), 7, 0))), 1, "")</f>
        <v/>
      </c>
      <c r="AP455" s="1" t="str">
        <f>IF(AND(AND(AND(AP$4&gt;='2025'!$L418,AP$4&lt;='2025'!$M418), AP$4&lt;&gt;DATE(2025,7,4)), (SWITCH(weekday(AP$4), 1, 0, 2, if(ISBLANK('2025'!$P418), 0, 1), 3, if(ISBLANK('2025'!$Q418), 0, 1), 4, if(ISBLANK('2025'!$R418), 0, 1), 5, if(ISBLANK('2025'!$S418), 0, 1), 6, if(ISBLANK('2025'!$T418), 0, 1), 7, 0))), 1, "")</f>
        <v/>
      </c>
      <c r="AQ455" s="1" t="str">
        <f>IF(AND(AND(AND(AQ$4&gt;='2025'!$L418,AQ$4&lt;='2025'!$M418), AQ$4&lt;&gt;DATE(2025,7,4)), (SWITCH(weekday(AQ$4), 1, 0, 2, if(ISBLANK('2025'!$P418), 0, 1), 3, if(ISBLANK('2025'!$Q418), 0, 1), 4, if(ISBLANK('2025'!$R418), 0, 1), 5, if(ISBLANK('2025'!$S418), 0, 1), 6, if(ISBLANK('2025'!$T418), 0, 1), 7, 0))), 1, "")</f>
        <v/>
      </c>
      <c r="AR455" s="1" t="str">
        <f>IF(AND(AND(AND(AR$4&gt;='2025'!$L418,AR$4&lt;='2025'!$M418), AR$4&lt;&gt;DATE(2025,7,4)), (SWITCH(weekday(AR$4), 1, 0, 2, if(ISBLANK('2025'!$P418), 0, 1), 3, if(ISBLANK('2025'!$Q418), 0, 1), 4, if(ISBLANK('2025'!$R418), 0, 1), 5, if(ISBLANK('2025'!$S418), 0, 1), 6, if(ISBLANK('2025'!$T418), 0, 1), 7, 0))), 1, "")</f>
        <v/>
      </c>
      <c r="AS455" s="1" t="str">
        <f>IF(AND(AND(AND(AS$4&gt;='2025'!$L418,AS$4&lt;='2025'!$M418), AS$4&lt;&gt;DATE(2025,7,4)), (SWITCH(weekday(AS$4), 1, 0, 2, if(ISBLANK('2025'!$P418), 0, 1), 3, if(ISBLANK('2025'!$Q418), 0, 1), 4, if(ISBLANK('2025'!$R418), 0, 1), 5, if(ISBLANK('2025'!$S418), 0, 1), 6, if(ISBLANK('2025'!$T418), 0, 1), 7, 0))), 1, "")</f>
        <v/>
      </c>
      <c r="AT455" s="1" t="str">
        <f>IF(AND(AND(AND(AT$4&gt;='2025'!$L418,AT$4&lt;='2025'!$M418), AT$4&lt;&gt;DATE(2025,7,4)), (SWITCH(weekday(AT$4), 1, 0, 2, if(ISBLANK('2025'!$P418), 0, 1), 3, if(ISBLANK('2025'!$Q418), 0, 1), 4, if(ISBLANK('2025'!$R418), 0, 1), 5, if(ISBLANK('2025'!$S418), 0, 1), 6, if(ISBLANK('2025'!$T418), 0, 1), 7, 0))), 1, "")</f>
        <v/>
      </c>
      <c r="AU455" s="1" t="str">
        <f>IF(AND(AND(AND(AU$4&gt;='2025'!$L418,AU$4&lt;='2025'!$M418), AU$4&lt;&gt;DATE(2025,7,4)), (SWITCH(weekday(AU$4), 1, 0, 2, if(ISBLANK('2025'!$P418), 0, 1), 3, if(ISBLANK('2025'!$Q418), 0, 1), 4, if(ISBLANK('2025'!$R418), 0, 1), 5, if(ISBLANK('2025'!$S418), 0, 1), 6, if(ISBLANK('2025'!$T418), 0, 1), 7, 0))), 1, "")</f>
        <v/>
      </c>
      <c r="AV455" s="1" t="str">
        <f>IF(AND(AND(AND(AV$4&gt;='2025'!$L418,AV$4&lt;='2025'!$M418), AV$4&lt;&gt;DATE(2025,7,4)), (SWITCH(weekday(AV$4), 1, 0, 2, if(ISBLANK('2025'!$P418), 0, 1), 3, if(ISBLANK('2025'!$Q418), 0, 1), 4, if(ISBLANK('2025'!$R418), 0, 1), 5, if(ISBLANK('2025'!$S418), 0, 1), 6, if(ISBLANK('2025'!$T418), 0, 1), 7, 0))), 1, "")</f>
        <v/>
      </c>
      <c r="AW455" s="1" t="str">
        <f>IF(AND(AND(AND(AW$4&gt;='2025'!$L418,AW$4&lt;='2025'!$M418), AW$4&lt;&gt;DATE(2025,7,4)), (SWITCH(weekday(AW$4), 1, 0, 2, if(ISBLANK('2025'!$P418), 0, 1), 3, if(ISBLANK('2025'!$Q418), 0, 1), 4, if(ISBLANK('2025'!$R418), 0, 1), 5, if(ISBLANK('2025'!$S418), 0, 1), 6, if(ISBLANK('2025'!$T418), 0, 1), 7, 0))), 1, "")</f>
        <v/>
      </c>
      <c r="AX455" s="1" t="str">
        <f>IF(AND(AND(AND(AX$4&gt;='2025'!$L418,AX$4&lt;='2025'!$M418), AX$4&lt;&gt;DATE(2025,7,4)), (SWITCH(weekday(AX$4), 1, 0, 2, if(ISBLANK('2025'!$P418), 0, 1), 3, if(ISBLANK('2025'!$Q418), 0, 1), 4, if(ISBLANK('2025'!$R418), 0, 1), 5, if(ISBLANK('2025'!$S418), 0, 1), 6, if(ISBLANK('2025'!$T418), 0, 1), 7, 0))), 1, "")</f>
        <v/>
      </c>
      <c r="AY455" s="1" t="str">
        <f>IF(AND(AND(AND(AY$4&gt;='2025'!$L418,AY$4&lt;='2025'!$M418), AY$4&lt;&gt;DATE(2025,7,4)), (SWITCH(weekday(AY$4), 1, 0, 2, if(ISBLANK('2025'!$P418), 0, 1), 3, if(ISBLANK('2025'!$Q418), 0, 1), 4, if(ISBLANK('2025'!$R418), 0, 1), 5, if(ISBLANK('2025'!$S418), 0, 1), 6, if(ISBLANK('2025'!$T418), 0, 1), 7, 0))), 1, "")</f>
        <v/>
      </c>
      <c r="AZ455" s="1" t="str">
        <f>IF(AND(AND(AND(AZ$4&gt;='2025'!$L418,AZ$4&lt;='2025'!$M418), AZ$4&lt;&gt;DATE(2025,7,4)), (SWITCH(weekday(AZ$4), 1, 0, 2, if(ISBLANK('2025'!$P418), 0, 1), 3, if(ISBLANK('2025'!$Q418), 0, 1), 4, if(ISBLANK('2025'!$R418), 0, 1), 5, if(ISBLANK('2025'!$S418), 0, 1), 6, if(ISBLANK('2025'!$T418), 0, 1), 7, 0))), 1, "")</f>
        <v/>
      </c>
      <c r="BA455" s="1" t="str">
        <f>IF(AND(AND(AND(BA$4&gt;='2025'!$L418,BA$4&lt;='2025'!$M418), BA$4&lt;&gt;DATE(2025,7,4)), (SWITCH(weekday(BA$4), 1, 0, 2, if(ISBLANK('2025'!$P418), 0, 1), 3, if(ISBLANK('2025'!$Q418), 0, 1), 4, if(ISBLANK('2025'!$R418), 0, 1), 5, if(ISBLANK('2025'!$S418), 0, 1), 6, if(ISBLANK('2025'!$T418), 0, 1), 7, 0))), 1, "")</f>
        <v/>
      </c>
      <c r="BB455" s="1" t="str">
        <f>IF(AND(AND(AND(BB$4&gt;='2025'!$L418,BB$4&lt;='2025'!$M418), BB$4&lt;&gt;DATE(2025,7,4)), (SWITCH(weekday(BB$4), 1, 0, 2, if(ISBLANK('2025'!$P418), 0, 1), 3, if(ISBLANK('2025'!$Q418), 0, 1), 4, if(ISBLANK('2025'!$R418), 0, 1), 5, if(ISBLANK('2025'!$S418), 0, 1), 6, if(ISBLANK('2025'!$T418), 0, 1), 7, 0))), 1, "")</f>
        <v/>
      </c>
      <c r="BC455" s="1" t="str">
        <f>IF(AND(AND(AND(BC$4&gt;='2025'!$L418,BC$4&lt;='2025'!$M418), BC$4&lt;&gt;DATE(2025,7,4)), (SWITCH(weekday(BC$4), 1, 0, 2, if(ISBLANK('2025'!$P418), 0, 1), 3, if(ISBLANK('2025'!$Q418), 0, 1), 4, if(ISBLANK('2025'!$R418), 0, 1), 5, if(ISBLANK('2025'!$S418), 0, 1), 6, if(ISBLANK('2025'!$T418), 0, 1), 7, 0))), 1, "")</f>
        <v/>
      </c>
      <c r="BD455" s="1" t="str">
        <f>IF(AND(AND(AND(BD$4&gt;='2025'!$L418,BD$4&lt;='2025'!$M418), BD$4&lt;&gt;DATE(2025,7,4)), (SWITCH(weekday(BD$4), 1, 0, 2, if(ISBLANK('2025'!$P418), 0, 1), 3, if(ISBLANK('2025'!$Q418), 0, 1), 4, if(ISBLANK('2025'!$R418), 0, 1), 5, if(ISBLANK('2025'!$S418), 0, 1), 6, if(ISBLANK('2025'!$T418), 0, 1), 7, 0))), 1, "")</f>
        <v/>
      </c>
      <c r="BE455" s="1" t="str">
        <f>IF(AND(AND(AND(BE$4&gt;='2025'!$L418,BE$4&lt;='2025'!$M418), BE$4&lt;&gt;DATE(2025,7,4)), (SWITCH(weekday(BE$4), 1, 0, 2, if(ISBLANK('2025'!$P418), 0, 1), 3, if(ISBLANK('2025'!$Q418), 0, 1), 4, if(ISBLANK('2025'!$R418), 0, 1), 5, if(ISBLANK('2025'!$S418), 0, 1), 6, if(ISBLANK('2025'!$T418), 0, 1), 7, 0))), 1, "")</f>
        <v/>
      </c>
    </row>
    <row r="456">
      <c r="A456" s="1">
        <f t="shared" si="3"/>
        <v>456</v>
      </c>
      <c r="B456" s="1" t="str">
        <f>'2025'!D419</f>
        <v/>
      </c>
      <c r="C456" s="1" t="str">
        <f>'2025'!H419</f>
        <v/>
      </c>
      <c r="D456" s="1" t="str">
        <f>IF(AND(AND(AND(D$4&gt;='2025'!$L419,D$4&lt;='2025'!$M419), D$4&lt;&gt;DATE(2025,7,4)), (SWITCH(weekday(D$4), 1, 0, 2, if(ISBLANK('2025'!$P419), 0, 1), 3, if(ISBLANK('2025'!$Q419), 0, 1), 4, if(ISBLANK('2025'!$R419), 0, 1), 5, if(ISBLANK('2025'!$S419), 0, 1), 6, if(ISBLANK('2025'!$T419), 0, 1), 7, 0))), 1, "")</f>
        <v/>
      </c>
      <c r="E456" s="1" t="str">
        <f>IF(AND(AND(AND(E$4&gt;='2025'!$L419,E$4&lt;='2025'!$M419), E$4&lt;&gt;DATE(2025,7,4)), (SWITCH(weekday(E$4), 1, 0, 2, if(ISBLANK('2025'!$P419), 0, 1), 3, if(ISBLANK('2025'!$Q419), 0, 1), 4, if(ISBLANK('2025'!$R419), 0, 1), 5, if(ISBLANK('2025'!$S419), 0, 1), 6, if(ISBLANK('2025'!$T419), 0, 1), 7, 0))), 1, "")</f>
        <v/>
      </c>
      <c r="F456" s="1" t="str">
        <f>IF(AND(AND(AND(F$4&gt;='2025'!$L419,F$4&lt;='2025'!$M419), F$4&lt;&gt;DATE(2025,7,4)), (SWITCH(weekday(F$4), 1, 0, 2, if(ISBLANK('2025'!$P419), 0, 1), 3, if(ISBLANK('2025'!$Q419), 0, 1), 4, if(ISBLANK('2025'!$R419), 0, 1), 5, if(ISBLANK('2025'!$S419), 0, 1), 6, if(ISBLANK('2025'!$T419), 0, 1), 7, 0))), 1, "")</f>
        <v/>
      </c>
      <c r="G456" s="1" t="str">
        <f>IF(AND(AND(AND(G$4&gt;='2025'!$L419,G$4&lt;='2025'!$M419), G$4&lt;&gt;DATE(2025,7,4)), (SWITCH(weekday(G$4), 1, 0, 2, if(ISBLANK('2025'!$P419), 0, 1), 3, if(ISBLANK('2025'!$Q419), 0, 1), 4, if(ISBLANK('2025'!$R419), 0, 1), 5, if(ISBLANK('2025'!$S419), 0, 1), 6, if(ISBLANK('2025'!$T419), 0, 1), 7, 0))), 1, "")</f>
        <v/>
      </c>
      <c r="H456" s="1" t="str">
        <f>IF(AND(AND(AND(H$4&gt;='2025'!$L419,H$4&lt;='2025'!$M419), H$4&lt;&gt;DATE(2025,7,4)), (SWITCH(weekday(H$4), 1, 0, 2, if(ISBLANK('2025'!$P419), 0, 1), 3, if(ISBLANK('2025'!$Q419), 0, 1), 4, if(ISBLANK('2025'!$R419), 0, 1), 5, if(ISBLANK('2025'!$S419), 0, 1), 6, if(ISBLANK('2025'!$T419), 0, 1), 7, 0))), 1, "")</f>
        <v/>
      </c>
      <c r="I456" s="1" t="str">
        <f>IF(AND(AND(AND(I$4&gt;='2025'!$L419,I$4&lt;='2025'!$M419), I$4&lt;&gt;DATE(2025,7,4)), (SWITCH(weekday(I$4), 1, 0, 2, if(ISBLANK('2025'!$P419), 0, 1), 3, if(ISBLANK('2025'!$Q419), 0, 1), 4, if(ISBLANK('2025'!$R419), 0, 1), 5, if(ISBLANK('2025'!$S419), 0, 1), 6, if(ISBLANK('2025'!$T419), 0, 1), 7, 0))), 1, "")</f>
        <v/>
      </c>
      <c r="J456" s="1" t="str">
        <f>IF(AND(AND(AND(J$4&gt;='2025'!$L419,J$4&lt;='2025'!$M419), J$4&lt;&gt;DATE(2025,7,4)), (SWITCH(weekday(J$4), 1, 0, 2, if(ISBLANK('2025'!$P419), 0, 1), 3, if(ISBLANK('2025'!$Q419), 0, 1), 4, if(ISBLANK('2025'!$R419), 0, 1), 5, if(ISBLANK('2025'!$S419), 0, 1), 6, if(ISBLANK('2025'!$T419), 0, 1), 7, 0))), 1, "")</f>
        <v/>
      </c>
      <c r="K456" s="1" t="str">
        <f>IF(AND(AND(AND(K$4&gt;='2025'!$L419,K$4&lt;='2025'!$M419), K$4&lt;&gt;DATE(2025,7,4)), (SWITCH(weekday(K$4), 1, 0, 2, if(ISBLANK('2025'!$P419), 0, 1), 3, if(ISBLANK('2025'!$Q419), 0, 1), 4, if(ISBLANK('2025'!$R419), 0, 1), 5, if(ISBLANK('2025'!$S419), 0, 1), 6, if(ISBLANK('2025'!$T419), 0, 1), 7, 0))), 1, "")</f>
        <v/>
      </c>
      <c r="L456" s="1" t="str">
        <f>IF(AND(AND(AND(L$4&gt;='2025'!$L419,L$4&lt;='2025'!$M419), L$4&lt;&gt;DATE(2025,7,4)), (SWITCH(weekday(L$4), 1, 0, 2, if(ISBLANK('2025'!$P419), 0, 1), 3, if(ISBLANK('2025'!$Q419), 0, 1), 4, if(ISBLANK('2025'!$R419), 0, 1), 5, if(ISBLANK('2025'!$S419), 0, 1), 6, if(ISBLANK('2025'!$T419), 0, 1), 7, 0))), 1, "")</f>
        <v/>
      </c>
      <c r="M456" s="1" t="str">
        <f>IF(AND(AND(AND(M$4&gt;='2025'!$L419,M$4&lt;='2025'!$M419), M$4&lt;&gt;DATE(2025,7,4)), (SWITCH(weekday(M$4), 1, 0, 2, if(ISBLANK('2025'!$P419), 0, 1), 3, if(ISBLANK('2025'!$Q419), 0, 1), 4, if(ISBLANK('2025'!$R419), 0, 1), 5, if(ISBLANK('2025'!$S419), 0, 1), 6, if(ISBLANK('2025'!$T419), 0, 1), 7, 0))), 1, "")</f>
        <v/>
      </c>
      <c r="N456" s="1" t="str">
        <f>IF(AND(AND(AND(N$4&gt;='2025'!$L419,N$4&lt;='2025'!$M419), N$4&lt;&gt;DATE(2025,7,4)), (SWITCH(weekday(N$4), 1, 0, 2, if(ISBLANK('2025'!$P419), 0, 1), 3, if(ISBLANK('2025'!$Q419), 0, 1), 4, if(ISBLANK('2025'!$R419), 0, 1), 5, if(ISBLANK('2025'!$S419), 0, 1), 6, if(ISBLANK('2025'!$T419), 0, 1), 7, 0))), 1, "")</f>
        <v/>
      </c>
      <c r="O456" s="1" t="str">
        <f>IF(AND(AND(AND(O$4&gt;='2025'!$L419,O$4&lt;='2025'!$M419), O$4&lt;&gt;DATE(2025,7,4)), (SWITCH(weekday(O$4), 1, 0, 2, if(ISBLANK('2025'!$P419), 0, 1), 3, if(ISBLANK('2025'!$Q419), 0, 1), 4, if(ISBLANK('2025'!$R419), 0, 1), 5, if(ISBLANK('2025'!$S419), 0, 1), 6, if(ISBLANK('2025'!$T419), 0, 1), 7, 0))), 1, "")</f>
        <v/>
      </c>
      <c r="P456" s="1" t="str">
        <f>IF(AND(AND(AND(P$4&gt;='2025'!$L419,P$4&lt;='2025'!$M419), P$4&lt;&gt;DATE(2025,7,4)), (SWITCH(weekday(P$4), 1, 0, 2, if(ISBLANK('2025'!$P419), 0, 1), 3, if(ISBLANK('2025'!$Q419), 0, 1), 4, if(ISBLANK('2025'!$R419), 0, 1), 5, if(ISBLANK('2025'!$S419), 0, 1), 6, if(ISBLANK('2025'!$T419), 0, 1), 7, 0))), 1, "")</f>
        <v/>
      </c>
      <c r="Q456" s="1" t="str">
        <f>IF(AND(AND(AND(Q$4&gt;='2025'!$L419,Q$4&lt;='2025'!$M419), Q$4&lt;&gt;DATE(2025,7,4)), (SWITCH(weekday(Q$4), 1, 0, 2, if(ISBLANK('2025'!$P419), 0, 1), 3, if(ISBLANK('2025'!$Q419), 0, 1), 4, if(ISBLANK('2025'!$R419), 0, 1), 5, if(ISBLANK('2025'!$S419), 0, 1), 6, if(ISBLANK('2025'!$T419), 0, 1), 7, 0))), 1, "")</f>
        <v/>
      </c>
      <c r="R456" s="1" t="str">
        <f>IF(AND(AND(AND(R$4&gt;='2025'!$L419,R$4&lt;='2025'!$M419), R$4&lt;&gt;DATE(2025,7,4)), (SWITCH(weekday(R$4), 1, 0, 2, if(ISBLANK('2025'!$P419), 0, 1), 3, if(ISBLANK('2025'!$Q419), 0, 1), 4, if(ISBLANK('2025'!$R419), 0, 1), 5, if(ISBLANK('2025'!$S419), 0, 1), 6, if(ISBLANK('2025'!$T419), 0, 1), 7, 0))), 1, "")</f>
        <v/>
      </c>
      <c r="S456" s="1" t="str">
        <f>IF(AND(AND(AND(S$4&gt;='2025'!$L419,S$4&lt;='2025'!$M419), S$4&lt;&gt;DATE(2025,7,4)), (SWITCH(weekday(S$4), 1, 0, 2, if(ISBLANK('2025'!$P419), 0, 1), 3, if(ISBLANK('2025'!$Q419), 0, 1), 4, if(ISBLANK('2025'!$R419), 0, 1), 5, if(ISBLANK('2025'!$S419), 0, 1), 6, if(ISBLANK('2025'!$T419), 0, 1), 7, 0))), 1, "")</f>
        <v/>
      </c>
      <c r="T456" s="1" t="str">
        <f>IF(AND(AND(AND(T$4&gt;='2025'!$L419,T$4&lt;='2025'!$M419), T$4&lt;&gt;DATE(2025,7,4)), (SWITCH(weekday(T$4), 1, 0, 2, if(ISBLANK('2025'!$P419), 0, 1), 3, if(ISBLANK('2025'!$Q419), 0, 1), 4, if(ISBLANK('2025'!$R419), 0, 1), 5, if(ISBLANK('2025'!$S419), 0, 1), 6, if(ISBLANK('2025'!$T419), 0, 1), 7, 0))), 1, "")</f>
        <v/>
      </c>
      <c r="U456" s="1" t="str">
        <f>IF(AND(AND(AND(U$4&gt;='2025'!$L419,U$4&lt;='2025'!$M419), U$4&lt;&gt;DATE(2025,7,4)), (SWITCH(weekday(U$4), 1, 0, 2, if(ISBLANK('2025'!$P419), 0, 1), 3, if(ISBLANK('2025'!$Q419), 0, 1), 4, if(ISBLANK('2025'!$R419), 0, 1), 5, if(ISBLANK('2025'!$S419), 0, 1), 6, if(ISBLANK('2025'!$T419), 0, 1), 7, 0))), 1, "")</f>
        <v/>
      </c>
      <c r="V456" s="1" t="str">
        <f>IF(AND(AND(AND(V$4&gt;='2025'!$L419,V$4&lt;='2025'!$M419), V$4&lt;&gt;DATE(2025,7,4)), (SWITCH(weekday(V$4), 1, 0, 2, if(ISBLANK('2025'!$P419), 0, 1), 3, if(ISBLANK('2025'!$Q419), 0, 1), 4, if(ISBLANK('2025'!$R419), 0, 1), 5, if(ISBLANK('2025'!$S419), 0, 1), 6, if(ISBLANK('2025'!$T419), 0, 1), 7, 0))), 1, "")</f>
        <v/>
      </c>
      <c r="W456" s="1" t="str">
        <f>IF(AND(AND(AND(W$4&gt;='2025'!$L419,W$4&lt;='2025'!$M419), W$4&lt;&gt;DATE(2025,7,4)), (SWITCH(weekday(W$4), 1, 0, 2, if(ISBLANK('2025'!$P419), 0, 1), 3, if(ISBLANK('2025'!$Q419), 0, 1), 4, if(ISBLANK('2025'!$R419), 0, 1), 5, if(ISBLANK('2025'!$S419), 0, 1), 6, if(ISBLANK('2025'!$T419), 0, 1), 7, 0))), 1, "")</f>
        <v/>
      </c>
      <c r="X456" s="1" t="str">
        <f>IF(AND(AND(AND(X$4&gt;='2025'!$L419,X$4&lt;='2025'!$M419), X$4&lt;&gt;DATE(2025,7,4)), (SWITCH(weekday(X$4), 1, 0, 2, if(ISBLANK('2025'!$P419), 0, 1), 3, if(ISBLANK('2025'!$Q419), 0, 1), 4, if(ISBLANK('2025'!$R419), 0, 1), 5, if(ISBLANK('2025'!$S419), 0, 1), 6, if(ISBLANK('2025'!$T419), 0, 1), 7, 0))), 1, "")</f>
        <v/>
      </c>
      <c r="Y456" s="1" t="str">
        <f>IF(AND(AND(AND(Y$4&gt;='2025'!$L419,Y$4&lt;='2025'!$M419), Y$4&lt;&gt;DATE(2025,7,4)), (SWITCH(weekday(Y$4), 1, 0, 2, if(ISBLANK('2025'!$P419), 0, 1), 3, if(ISBLANK('2025'!$Q419), 0, 1), 4, if(ISBLANK('2025'!$R419), 0, 1), 5, if(ISBLANK('2025'!$S419), 0, 1), 6, if(ISBLANK('2025'!$T419), 0, 1), 7, 0))), 1, "")</f>
        <v/>
      </c>
      <c r="Z456" s="1" t="str">
        <f>IF(AND(AND(AND(Z$4&gt;='2025'!$L419,Z$4&lt;='2025'!$M419), Z$4&lt;&gt;DATE(2025,7,4)), (SWITCH(weekday(Z$4), 1, 0, 2, if(ISBLANK('2025'!$P419), 0, 1), 3, if(ISBLANK('2025'!$Q419), 0, 1), 4, if(ISBLANK('2025'!$R419), 0, 1), 5, if(ISBLANK('2025'!$S419), 0, 1), 6, if(ISBLANK('2025'!$T419), 0, 1), 7, 0))), 1, "")</f>
        <v/>
      </c>
      <c r="AA456" s="1" t="str">
        <f>IF(AND(AND(AND(AA$4&gt;='2025'!$L419,AA$4&lt;='2025'!$M419), AA$4&lt;&gt;DATE(2025,7,4)), (SWITCH(weekday(AA$4), 1, 0, 2, if(ISBLANK('2025'!$P419), 0, 1), 3, if(ISBLANK('2025'!$Q419), 0, 1), 4, if(ISBLANK('2025'!$R419), 0, 1), 5, if(ISBLANK('2025'!$S419), 0, 1), 6, if(ISBLANK('2025'!$T419), 0, 1), 7, 0))), 1, "")</f>
        <v/>
      </c>
      <c r="AB456" s="1" t="str">
        <f>IF(AND(AND(AND(AB$4&gt;='2025'!$L419,AB$4&lt;='2025'!$M419), AB$4&lt;&gt;DATE(2025,7,4)), (SWITCH(weekday(AB$4), 1, 0, 2, if(ISBLANK('2025'!$P419), 0, 1), 3, if(ISBLANK('2025'!$Q419), 0, 1), 4, if(ISBLANK('2025'!$R419), 0, 1), 5, if(ISBLANK('2025'!$S419), 0, 1), 6, if(ISBLANK('2025'!$T419), 0, 1), 7, 0))), 1, "")</f>
        <v/>
      </c>
      <c r="AC456" s="1" t="str">
        <f>IF(AND(AND(AND(AC$4&gt;='2025'!$L419,AC$4&lt;='2025'!$M419), AC$4&lt;&gt;DATE(2025,7,4)), (SWITCH(weekday(AC$4), 1, 0, 2, if(ISBLANK('2025'!$P419), 0, 1), 3, if(ISBLANK('2025'!$Q419), 0, 1), 4, if(ISBLANK('2025'!$R419), 0, 1), 5, if(ISBLANK('2025'!$S419), 0, 1), 6, if(ISBLANK('2025'!$T419), 0, 1), 7, 0))), 1, "")</f>
        <v/>
      </c>
      <c r="AD456" s="1" t="str">
        <f>IF(AND(AND(AND(AD$4&gt;='2025'!$L419,AD$4&lt;='2025'!$M419), AD$4&lt;&gt;DATE(2025,7,4)), (SWITCH(weekday(AD$4), 1, 0, 2, if(ISBLANK('2025'!$P419), 0, 1), 3, if(ISBLANK('2025'!$Q419), 0, 1), 4, if(ISBLANK('2025'!$R419), 0, 1), 5, if(ISBLANK('2025'!$S419), 0, 1), 6, if(ISBLANK('2025'!$T419), 0, 1), 7, 0))), 1, "")</f>
        <v/>
      </c>
      <c r="AE456" s="1" t="str">
        <f>IF(AND(AND(AND(AE$4&gt;='2025'!$L419,AE$4&lt;='2025'!$M419), AE$4&lt;&gt;DATE(2025,7,4)), (SWITCH(weekday(AE$4), 1, 0, 2, if(ISBLANK('2025'!$P419), 0, 1), 3, if(ISBLANK('2025'!$Q419), 0, 1), 4, if(ISBLANK('2025'!$R419), 0, 1), 5, if(ISBLANK('2025'!$S419), 0, 1), 6, if(ISBLANK('2025'!$T419), 0, 1), 7, 0))), 1, "")</f>
        <v/>
      </c>
      <c r="AF456" s="1" t="str">
        <f>IF(AND(AND(AND(AF$4&gt;='2025'!$L419,AF$4&lt;='2025'!$M419), AF$4&lt;&gt;DATE(2025,7,4)), (SWITCH(weekday(AF$4), 1, 0, 2, if(ISBLANK('2025'!$P419), 0, 1), 3, if(ISBLANK('2025'!$Q419), 0, 1), 4, if(ISBLANK('2025'!$R419), 0, 1), 5, if(ISBLANK('2025'!$S419), 0, 1), 6, if(ISBLANK('2025'!$T419), 0, 1), 7, 0))), 1, "")</f>
        <v/>
      </c>
      <c r="AG456" s="1" t="str">
        <f>IF(AND(AND(AND(AG$4&gt;='2025'!$L419,AG$4&lt;='2025'!$M419), AG$4&lt;&gt;DATE(2025,7,4)), (SWITCH(weekday(AG$4), 1, 0, 2, if(ISBLANK('2025'!$P419), 0, 1), 3, if(ISBLANK('2025'!$Q419), 0, 1), 4, if(ISBLANK('2025'!$R419), 0, 1), 5, if(ISBLANK('2025'!$S419), 0, 1), 6, if(ISBLANK('2025'!$T419), 0, 1), 7, 0))), 1, "")</f>
        <v/>
      </c>
      <c r="AH456" s="1" t="str">
        <f>IF(AND(AND(AND(AH$4&gt;='2025'!$L419,AH$4&lt;='2025'!$M419), AH$4&lt;&gt;DATE(2025,7,4)), (SWITCH(weekday(AH$4), 1, 0, 2, if(ISBLANK('2025'!$P419), 0, 1), 3, if(ISBLANK('2025'!$Q419), 0, 1), 4, if(ISBLANK('2025'!$R419), 0, 1), 5, if(ISBLANK('2025'!$S419), 0, 1), 6, if(ISBLANK('2025'!$T419), 0, 1), 7, 0))), 1, "")</f>
        <v/>
      </c>
      <c r="AI456" s="1" t="str">
        <f>IF(AND(AND(AND(AI$4&gt;='2025'!$L419,AI$4&lt;='2025'!$M419), AI$4&lt;&gt;DATE(2025,7,4)), (SWITCH(weekday(AI$4), 1, 0, 2, if(ISBLANK('2025'!$P419), 0, 1), 3, if(ISBLANK('2025'!$Q419), 0, 1), 4, if(ISBLANK('2025'!$R419), 0, 1), 5, if(ISBLANK('2025'!$S419), 0, 1), 6, if(ISBLANK('2025'!$T419), 0, 1), 7, 0))), 1, "")</f>
        <v/>
      </c>
      <c r="AJ456" s="1" t="str">
        <f>IF(AND(AND(AND(AJ$4&gt;='2025'!$L419,AJ$4&lt;='2025'!$M419), AJ$4&lt;&gt;DATE(2025,7,4)), (SWITCH(weekday(AJ$4), 1, 0, 2, if(ISBLANK('2025'!$P419), 0, 1), 3, if(ISBLANK('2025'!$Q419), 0, 1), 4, if(ISBLANK('2025'!$R419), 0, 1), 5, if(ISBLANK('2025'!$S419), 0, 1), 6, if(ISBLANK('2025'!$T419), 0, 1), 7, 0))), 1, "")</f>
        <v/>
      </c>
      <c r="AK456" s="1" t="str">
        <f>IF(AND(AND(AND(AK$4&gt;='2025'!$L419,AK$4&lt;='2025'!$M419), AK$4&lt;&gt;DATE(2025,7,4)), (SWITCH(weekday(AK$4), 1, 0, 2, if(ISBLANK('2025'!$P419), 0, 1), 3, if(ISBLANK('2025'!$Q419), 0, 1), 4, if(ISBLANK('2025'!$R419), 0, 1), 5, if(ISBLANK('2025'!$S419), 0, 1), 6, if(ISBLANK('2025'!$T419), 0, 1), 7, 0))), 1, "")</f>
        <v/>
      </c>
      <c r="AL456" s="1" t="str">
        <f>IF(AND(AND(AND(AL$4&gt;='2025'!$L419,AL$4&lt;='2025'!$M419), AL$4&lt;&gt;DATE(2025,7,4)), (SWITCH(weekday(AL$4), 1, 0, 2, if(ISBLANK('2025'!$P419), 0, 1), 3, if(ISBLANK('2025'!$Q419), 0, 1), 4, if(ISBLANK('2025'!$R419), 0, 1), 5, if(ISBLANK('2025'!$S419), 0, 1), 6, if(ISBLANK('2025'!$T419), 0, 1), 7, 0))), 1, "")</f>
        <v/>
      </c>
      <c r="AM456" s="1" t="str">
        <f>IF(AND(AND(AND(AM$4&gt;='2025'!$L419,AM$4&lt;='2025'!$M419), AM$4&lt;&gt;DATE(2025,7,4)), (SWITCH(weekday(AM$4), 1, 0, 2, if(ISBLANK('2025'!$P419), 0, 1), 3, if(ISBLANK('2025'!$Q419), 0, 1), 4, if(ISBLANK('2025'!$R419), 0, 1), 5, if(ISBLANK('2025'!$S419), 0, 1), 6, if(ISBLANK('2025'!$T419), 0, 1), 7, 0))), 1, "")</f>
        <v/>
      </c>
      <c r="AN456" s="1" t="str">
        <f>IF(AND(AND(AND(AN$4&gt;='2025'!$L419,AN$4&lt;='2025'!$M419), AN$4&lt;&gt;DATE(2025,7,4)), (SWITCH(weekday(AN$4), 1, 0, 2, if(ISBLANK('2025'!$P419), 0, 1), 3, if(ISBLANK('2025'!$Q419), 0, 1), 4, if(ISBLANK('2025'!$R419), 0, 1), 5, if(ISBLANK('2025'!$S419), 0, 1), 6, if(ISBLANK('2025'!$T419), 0, 1), 7, 0))), 1, "")</f>
        <v/>
      </c>
      <c r="AO456" s="1" t="str">
        <f>IF(AND(AND(AND(AO$4&gt;='2025'!$L419,AO$4&lt;='2025'!$M419), AO$4&lt;&gt;DATE(2025,7,4)), (SWITCH(weekday(AO$4), 1, 0, 2, if(ISBLANK('2025'!$P419), 0, 1), 3, if(ISBLANK('2025'!$Q419), 0, 1), 4, if(ISBLANK('2025'!$R419), 0, 1), 5, if(ISBLANK('2025'!$S419), 0, 1), 6, if(ISBLANK('2025'!$T419), 0, 1), 7, 0))), 1, "")</f>
        <v/>
      </c>
      <c r="AP456" s="1" t="str">
        <f>IF(AND(AND(AND(AP$4&gt;='2025'!$L419,AP$4&lt;='2025'!$M419), AP$4&lt;&gt;DATE(2025,7,4)), (SWITCH(weekday(AP$4), 1, 0, 2, if(ISBLANK('2025'!$P419), 0, 1), 3, if(ISBLANK('2025'!$Q419), 0, 1), 4, if(ISBLANK('2025'!$R419), 0, 1), 5, if(ISBLANK('2025'!$S419), 0, 1), 6, if(ISBLANK('2025'!$T419), 0, 1), 7, 0))), 1, "")</f>
        <v/>
      </c>
      <c r="AQ456" s="1" t="str">
        <f>IF(AND(AND(AND(AQ$4&gt;='2025'!$L419,AQ$4&lt;='2025'!$M419), AQ$4&lt;&gt;DATE(2025,7,4)), (SWITCH(weekday(AQ$4), 1, 0, 2, if(ISBLANK('2025'!$P419), 0, 1), 3, if(ISBLANK('2025'!$Q419), 0, 1), 4, if(ISBLANK('2025'!$R419), 0, 1), 5, if(ISBLANK('2025'!$S419), 0, 1), 6, if(ISBLANK('2025'!$T419), 0, 1), 7, 0))), 1, "")</f>
        <v/>
      </c>
      <c r="AR456" s="1" t="str">
        <f>IF(AND(AND(AND(AR$4&gt;='2025'!$L419,AR$4&lt;='2025'!$M419), AR$4&lt;&gt;DATE(2025,7,4)), (SWITCH(weekday(AR$4), 1, 0, 2, if(ISBLANK('2025'!$P419), 0, 1), 3, if(ISBLANK('2025'!$Q419), 0, 1), 4, if(ISBLANK('2025'!$R419), 0, 1), 5, if(ISBLANK('2025'!$S419), 0, 1), 6, if(ISBLANK('2025'!$T419), 0, 1), 7, 0))), 1, "")</f>
        <v/>
      </c>
      <c r="AS456" s="1" t="str">
        <f>IF(AND(AND(AND(AS$4&gt;='2025'!$L419,AS$4&lt;='2025'!$M419), AS$4&lt;&gt;DATE(2025,7,4)), (SWITCH(weekday(AS$4), 1, 0, 2, if(ISBLANK('2025'!$P419), 0, 1), 3, if(ISBLANK('2025'!$Q419), 0, 1), 4, if(ISBLANK('2025'!$R419), 0, 1), 5, if(ISBLANK('2025'!$S419), 0, 1), 6, if(ISBLANK('2025'!$T419), 0, 1), 7, 0))), 1, "")</f>
        <v/>
      </c>
      <c r="AT456" s="1" t="str">
        <f>IF(AND(AND(AND(AT$4&gt;='2025'!$L419,AT$4&lt;='2025'!$M419), AT$4&lt;&gt;DATE(2025,7,4)), (SWITCH(weekday(AT$4), 1, 0, 2, if(ISBLANK('2025'!$P419), 0, 1), 3, if(ISBLANK('2025'!$Q419), 0, 1), 4, if(ISBLANK('2025'!$R419), 0, 1), 5, if(ISBLANK('2025'!$S419), 0, 1), 6, if(ISBLANK('2025'!$T419), 0, 1), 7, 0))), 1, "")</f>
        <v/>
      </c>
      <c r="AU456" s="1" t="str">
        <f>IF(AND(AND(AND(AU$4&gt;='2025'!$L419,AU$4&lt;='2025'!$M419), AU$4&lt;&gt;DATE(2025,7,4)), (SWITCH(weekday(AU$4), 1, 0, 2, if(ISBLANK('2025'!$P419), 0, 1), 3, if(ISBLANK('2025'!$Q419), 0, 1), 4, if(ISBLANK('2025'!$R419), 0, 1), 5, if(ISBLANK('2025'!$S419), 0, 1), 6, if(ISBLANK('2025'!$T419), 0, 1), 7, 0))), 1, "")</f>
        <v/>
      </c>
      <c r="AV456" s="1" t="str">
        <f>IF(AND(AND(AND(AV$4&gt;='2025'!$L419,AV$4&lt;='2025'!$M419), AV$4&lt;&gt;DATE(2025,7,4)), (SWITCH(weekday(AV$4), 1, 0, 2, if(ISBLANK('2025'!$P419), 0, 1), 3, if(ISBLANK('2025'!$Q419), 0, 1), 4, if(ISBLANK('2025'!$R419), 0, 1), 5, if(ISBLANK('2025'!$S419), 0, 1), 6, if(ISBLANK('2025'!$T419), 0, 1), 7, 0))), 1, "")</f>
        <v/>
      </c>
      <c r="AW456" s="1" t="str">
        <f>IF(AND(AND(AND(AW$4&gt;='2025'!$L419,AW$4&lt;='2025'!$M419), AW$4&lt;&gt;DATE(2025,7,4)), (SWITCH(weekday(AW$4), 1, 0, 2, if(ISBLANK('2025'!$P419), 0, 1), 3, if(ISBLANK('2025'!$Q419), 0, 1), 4, if(ISBLANK('2025'!$R419), 0, 1), 5, if(ISBLANK('2025'!$S419), 0, 1), 6, if(ISBLANK('2025'!$T419), 0, 1), 7, 0))), 1, "")</f>
        <v/>
      </c>
      <c r="AX456" s="1" t="str">
        <f>IF(AND(AND(AND(AX$4&gt;='2025'!$L419,AX$4&lt;='2025'!$M419), AX$4&lt;&gt;DATE(2025,7,4)), (SWITCH(weekday(AX$4), 1, 0, 2, if(ISBLANK('2025'!$P419), 0, 1), 3, if(ISBLANK('2025'!$Q419), 0, 1), 4, if(ISBLANK('2025'!$R419), 0, 1), 5, if(ISBLANK('2025'!$S419), 0, 1), 6, if(ISBLANK('2025'!$T419), 0, 1), 7, 0))), 1, "")</f>
        <v/>
      </c>
      <c r="AY456" s="1" t="str">
        <f>IF(AND(AND(AND(AY$4&gt;='2025'!$L419,AY$4&lt;='2025'!$M419), AY$4&lt;&gt;DATE(2025,7,4)), (SWITCH(weekday(AY$4), 1, 0, 2, if(ISBLANK('2025'!$P419), 0, 1), 3, if(ISBLANK('2025'!$Q419), 0, 1), 4, if(ISBLANK('2025'!$R419), 0, 1), 5, if(ISBLANK('2025'!$S419), 0, 1), 6, if(ISBLANK('2025'!$T419), 0, 1), 7, 0))), 1, "")</f>
        <v/>
      </c>
      <c r="AZ456" s="1" t="str">
        <f>IF(AND(AND(AND(AZ$4&gt;='2025'!$L419,AZ$4&lt;='2025'!$M419), AZ$4&lt;&gt;DATE(2025,7,4)), (SWITCH(weekday(AZ$4), 1, 0, 2, if(ISBLANK('2025'!$P419), 0, 1), 3, if(ISBLANK('2025'!$Q419), 0, 1), 4, if(ISBLANK('2025'!$R419), 0, 1), 5, if(ISBLANK('2025'!$S419), 0, 1), 6, if(ISBLANK('2025'!$T419), 0, 1), 7, 0))), 1, "")</f>
        <v/>
      </c>
      <c r="BA456" s="1" t="str">
        <f>IF(AND(AND(AND(BA$4&gt;='2025'!$L419,BA$4&lt;='2025'!$M419), BA$4&lt;&gt;DATE(2025,7,4)), (SWITCH(weekday(BA$4), 1, 0, 2, if(ISBLANK('2025'!$P419), 0, 1), 3, if(ISBLANK('2025'!$Q419), 0, 1), 4, if(ISBLANK('2025'!$R419), 0, 1), 5, if(ISBLANK('2025'!$S419), 0, 1), 6, if(ISBLANK('2025'!$T419), 0, 1), 7, 0))), 1, "")</f>
        <v/>
      </c>
      <c r="BB456" s="1" t="str">
        <f>IF(AND(AND(AND(BB$4&gt;='2025'!$L419,BB$4&lt;='2025'!$M419), BB$4&lt;&gt;DATE(2025,7,4)), (SWITCH(weekday(BB$4), 1, 0, 2, if(ISBLANK('2025'!$P419), 0, 1), 3, if(ISBLANK('2025'!$Q419), 0, 1), 4, if(ISBLANK('2025'!$R419), 0, 1), 5, if(ISBLANK('2025'!$S419), 0, 1), 6, if(ISBLANK('2025'!$T419), 0, 1), 7, 0))), 1, "")</f>
        <v/>
      </c>
      <c r="BC456" s="1" t="str">
        <f>IF(AND(AND(AND(BC$4&gt;='2025'!$L419,BC$4&lt;='2025'!$M419), BC$4&lt;&gt;DATE(2025,7,4)), (SWITCH(weekday(BC$4), 1, 0, 2, if(ISBLANK('2025'!$P419), 0, 1), 3, if(ISBLANK('2025'!$Q419), 0, 1), 4, if(ISBLANK('2025'!$R419), 0, 1), 5, if(ISBLANK('2025'!$S419), 0, 1), 6, if(ISBLANK('2025'!$T419), 0, 1), 7, 0))), 1, "")</f>
        <v/>
      </c>
      <c r="BD456" s="1" t="str">
        <f>IF(AND(AND(AND(BD$4&gt;='2025'!$L419,BD$4&lt;='2025'!$M419), BD$4&lt;&gt;DATE(2025,7,4)), (SWITCH(weekday(BD$4), 1, 0, 2, if(ISBLANK('2025'!$P419), 0, 1), 3, if(ISBLANK('2025'!$Q419), 0, 1), 4, if(ISBLANK('2025'!$R419), 0, 1), 5, if(ISBLANK('2025'!$S419), 0, 1), 6, if(ISBLANK('2025'!$T419), 0, 1), 7, 0))), 1, "")</f>
        <v/>
      </c>
      <c r="BE456" s="1" t="str">
        <f>IF(AND(AND(AND(BE$4&gt;='2025'!$L419,BE$4&lt;='2025'!$M419), BE$4&lt;&gt;DATE(2025,7,4)), (SWITCH(weekday(BE$4), 1, 0, 2, if(ISBLANK('2025'!$P419), 0, 1), 3, if(ISBLANK('2025'!$Q419), 0, 1), 4, if(ISBLANK('2025'!$R419), 0, 1), 5, if(ISBLANK('2025'!$S419), 0, 1), 6, if(ISBLANK('2025'!$T419), 0, 1), 7, 0))), 1, "")</f>
        <v/>
      </c>
    </row>
    <row r="457">
      <c r="A457" s="1">
        <f t="shared" si="3"/>
        <v>457</v>
      </c>
      <c r="B457" s="1" t="str">
        <f>'2025'!D420</f>
        <v/>
      </c>
      <c r="C457" s="1" t="str">
        <f>'2025'!H420</f>
        <v/>
      </c>
      <c r="D457" s="1" t="str">
        <f>IF(AND(AND(AND(D$4&gt;='2025'!$L420,D$4&lt;='2025'!$M420), D$4&lt;&gt;DATE(2025,7,4)), (SWITCH(weekday(D$4), 1, 0, 2, if(ISBLANK('2025'!$P420), 0, 1), 3, if(ISBLANK('2025'!$Q420), 0, 1), 4, if(ISBLANK('2025'!$R420), 0, 1), 5, if(ISBLANK('2025'!$S420), 0, 1), 6, if(ISBLANK('2025'!$T420), 0, 1), 7, 0))), 1, "")</f>
        <v/>
      </c>
      <c r="E457" s="1" t="str">
        <f>IF(AND(AND(AND(E$4&gt;='2025'!$L420,E$4&lt;='2025'!$M420), E$4&lt;&gt;DATE(2025,7,4)), (SWITCH(weekday(E$4), 1, 0, 2, if(ISBLANK('2025'!$P420), 0, 1), 3, if(ISBLANK('2025'!$Q420), 0, 1), 4, if(ISBLANK('2025'!$R420), 0, 1), 5, if(ISBLANK('2025'!$S420), 0, 1), 6, if(ISBLANK('2025'!$T420), 0, 1), 7, 0))), 1, "")</f>
        <v/>
      </c>
      <c r="F457" s="1" t="str">
        <f>IF(AND(AND(AND(F$4&gt;='2025'!$L420,F$4&lt;='2025'!$M420), F$4&lt;&gt;DATE(2025,7,4)), (SWITCH(weekday(F$4), 1, 0, 2, if(ISBLANK('2025'!$P420), 0, 1), 3, if(ISBLANK('2025'!$Q420), 0, 1), 4, if(ISBLANK('2025'!$R420), 0, 1), 5, if(ISBLANK('2025'!$S420), 0, 1), 6, if(ISBLANK('2025'!$T420), 0, 1), 7, 0))), 1, "")</f>
        <v/>
      </c>
      <c r="G457" s="1" t="str">
        <f>IF(AND(AND(AND(G$4&gt;='2025'!$L420,G$4&lt;='2025'!$M420), G$4&lt;&gt;DATE(2025,7,4)), (SWITCH(weekday(G$4), 1, 0, 2, if(ISBLANK('2025'!$P420), 0, 1), 3, if(ISBLANK('2025'!$Q420), 0, 1), 4, if(ISBLANK('2025'!$R420), 0, 1), 5, if(ISBLANK('2025'!$S420), 0, 1), 6, if(ISBLANK('2025'!$T420), 0, 1), 7, 0))), 1, "")</f>
        <v/>
      </c>
      <c r="H457" s="1" t="str">
        <f>IF(AND(AND(AND(H$4&gt;='2025'!$L420,H$4&lt;='2025'!$M420), H$4&lt;&gt;DATE(2025,7,4)), (SWITCH(weekday(H$4), 1, 0, 2, if(ISBLANK('2025'!$P420), 0, 1), 3, if(ISBLANK('2025'!$Q420), 0, 1), 4, if(ISBLANK('2025'!$R420), 0, 1), 5, if(ISBLANK('2025'!$S420), 0, 1), 6, if(ISBLANK('2025'!$T420), 0, 1), 7, 0))), 1, "")</f>
        <v/>
      </c>
      <c r="I457" s="1" t="str">
        <f>IF(AND(AND(AND(I$4&gt;='2025'!$L420,I$4&lt;='2025'!$M420), I$4&lt;&gt;DATE(2025,7,4)), (SWITCH(weekday(I$4), 1, 0, 2, if(ISBLANK('2025'!$P420), 0, 1), 3, if(ISBLANK('2025'!$Q420), 0, 1), 4, if(ISBLANK('2025'!$R420), 0, 1), 5, if(ISBLANK('2025'!$S420), 0, 1), 6, if(ISBLANK('2025'!$T420), 0, 1), 7, 0))), 1, "")</f>
        <v/>
      </c>
      <c r="J457" s="1" t="str">
        <f>IF(AND(AND(AND(J$4&gt;='2025'!$L420,J$4&lt;='2025'!$M420), J$4&lt;&gt;DATE(2025,7,4)), (SWITCH(weekday(J$4), 1, 0, 2, if(ISBLANK('2025'!$P420), 0, 1), 3, if(ISBLANK('2025'!$Q420), 0, 1), 4, if(ISBLANK('2025'!$R420), 0, 1), 5, if(ISBLANK('2025'!$S420), 0, 1), 6, if(ISBLANK('2025'!$T420), 0, 1), 7, 0))), 1, "")</f>
        <v/>
      </c>
      <c r="K457" s="1" t="str">
        <f>IF(AND(AND(AND(K$4&gt;='2025'!$L420,K$4&lt;='2025'!$M420), K$4&lt;&gt;DATE(2025,7,4)), (SWITCH(weekday(K$4), 1, 0, 2, if(ISBLANK('2025'!$P420), 0, 1), 3, if(ISBLANK('2025'!$Q420), 0, 1), 4, if(ISBLANK('2025'!$R420), 0, 1), 5, if(ISBLANK('2025'!$S420), 0, 1), 6, if(ISBLANK('2025'!$T420), 0, 1), 7, 0))), 1, "")</f>
        <v/>
      </c>
      <c r="L457" s="1" t="str">
        <f>IF(AND(AND(AND(L$4&gt;='2025'!$L420,L$4&lt;='2025'!$M420), L$4&lt;&gt;DATE(2025,7,4)), (SWITCH(weekday(L$4), 1, 0, 2, if(ISBLANK('2025'!$P420), 0, 1), 3, if(ISBLANK('2025'!$Q420), 0, 1), 4, if(ISBLANK('2025'!$R420), 0, 1), 5, if(ISBLANK('2025'!$S420), 0, 1), 6, if(ISBLANK('2025'!$T420), 0, 1), 7, 0))), 1, "")</f>
        <v/>
      </c>
      <c r="M457" s="1" t="str">
        <f>IF(AND(AND(AND(M$4&gt;='2025'!$L420,M$4&lt;='2025'!$M420), M$4&lt;&gt;DATE(2025,7,4)), (SWITCH(weekday(M$4), 1, 0, 2, if(ISBLANK('2025'!$P420), 0, 1), 3, if(ISBLANK('2025'!$Q420), 0, 1), 4, if(ISBLANK('2025'!$R420), 0, 1), 5, if(ISBLANK('2025'!$S420), 0, 1), 6, if(ISBLANK('2025'!$T420), 0, 1), 7, 0))), 1, "")</f>
        <v/>
      </c>
      <c r="N457" s="1" t="str">
        <f>IF(AND(AND(AND(N$4&gt;='2025'!$L420,N$4&lt;='2025'!$M420), N$4&lt;&gt;DATE(2025,7,4)), (SWITCH(weekday(N$4), 1, 0, 2, if(ISBLANK('2025'!$P420), 0, 1), 3, if(ISBLANK('2025'!$Q420), 0, 1), 4, if(ISBLANK('2025'!$R420), 0, 1), 5, if(ISBLANK('2025'!$S420), 0, 1), 6, if(ISBLANK('2025'!$T420), 0, 1), 7, 0))), 1, "")</f>
        <v/>
      </c>
      <c r="O457" s="1" t="str">
        <f>IF(AND(AND(AND(O$4&gt;='2025'!$L420,O$4&lt;='2025'!$M420), O$4&lt;&gt;DATE(2025,7,4)), (SWITCH(weekday(O$4), 1, 0, 2, if(ISBLANK('2025'!$P420), 0, 1), 3, if(ISBLANK('2025'!$Q420), 0, 1), 4, if(ISBLANK('2025'!$R420), 0, 1), 5, if(ISBLANK('2025'!$S420), 0, 1), 6, if(ISBLANK('2025'!$T420), 0, 1), 7, 0))), 1, "")</f>
        <v/>
      </c>
      <c r="P457" s="1" t="str">
        <f>IF(AND(AND(AND(P$4&gt;='2025'!$L420,P$4&lt;='2025'!$M420), P$4&lt;&gt;DATE(2025,7,4)), (SWITCH(weekday(P$4), 1, 0, 2, if(ISBLANK('2025'!$P420), 0, 1), 3, if(ISBLANK('2025'!$Q420), 0, 1), 4, if(ISBLANK('2025'!$R420), 0, 1), 5, if(ISBLANK('2025'!$S420), 0, 1), 6, if(ISBLANK('2025'!$T420), 0, 1), 7, 0))), 1, "")</f>
        <v/>
      </c>
      <c r="Q457" s="1" t="str">
        <f>IF(AND(AND(AND(Q$4&gt;='2025'!$L420,Q$4&lt;='2025'!$M420), Q$4&lt;&gt;DATE(2025,7,4)), (SWITCH(weekday(Q$4), 1, 0, 2, if(ISBLANK('2025'!$P420), 0, 1), 3, if(ISBLANK('2025'!$Q420), 0, 1), 4, if(ISBLANK('2025'!$R420), 0, 1), 5, if(ISBLANK('2025'!$S420), 0, 1), 6, if(ISBLANK('2025'!$T420), 0, 1), 7, 0))), 1, "")</f>
        <v/>
      </c>
      <c r="R457" s="1" t="str">
        <f>IF(AND(AND(AND(R$4&gt;='2025'!$L420,R$4&lt;='2025'!$M420), R$4&lt;&gt;DATE(2025,7,4)), (SWITCH(weekday(R$4), 1, 0, 2, if(ISBLANK('2025'!$P420), 0, 1), 3, if(ISBLANK('2025'!$Q420), 0, 1), 4, if(ISBLANK('2025'!$R420), 0, 1), 5, if(ISBLANK('2025'!$S420), 0, 1), 6, if(ISBLANK('2025'!$T420), 0, 1), 7, 0))), 1, "")</f>
        <v/>
      </c>
      <c r="S457" s="1" t="str">
        <f>IF(AND(AND(AND(S$4&gt;='2025'!$L420,S$4&lt;='2025'!$M420), S$4&lt;&gt;DATE(2025,7,4)), (SWITCH(weekday(S$4), 1, 0, 2, if(ISBLANK('2025'!$P420), 0, 1), 3, if(ISBLANK('2025'!$Q420), 0, 1), 4, if(ISBLANK('2025'!$R420), 0, 1), 5, if(ISBLANK('2025'!$S420), 0, 1), 6, if(ISBLANK('2025'!$T420), 0, 1), 7, 0))), 1, "")</f>
        <v/>
      </c>
      <c r="T457" s="1" t="str">
        <f>IF(AND(AND(AND(T$4&gt;='2025'!$L420,T$4&lt;='2025'!$M420), T$4&lt;&gt;DATE(2025,7,4)), (SWITCH(weekday(T$4), 1, 0, 2, if(ISBLANK('2025'!$P420), 0, 1), 3, if(ISBLANK('2025'!$Q420), 0, 1), 4, if(ISBLANK('2025'!$R420), 0, 1), 5, if(ISBLANK('2025'!$S420), 0, 1), 6, if(ISBLANK('2025'!$T420), 0, 1), 7, 0))), 1, "")</f>
        <v/>
      </c>
      <c r="U457" s="1" t="str">
        <f>IF(AND(AND(AND(U$4&gt;='2025'!$L420,U$4&lt;='2025'!$M420), U$4&lt;&gt;DATE(2025,7,4)), (SWITCH(weekday(U$4), 1, 0, 2, if(ISBLANK('2025'!$P420), 0, 1), 3, if(ISBLANK('2025'!$Q420), 0, 1), 4, if(ISBLANK('2025'!$R420), 0, 1), 5, if(ISBLANK('2025'!$S420), 0, 1), 6, if(ISBLANK('2025'!$T420), 0, 1), 7, 0))), 1, "")</f>
        <v/>
      </c>
      <c r="V457" s="1" t="str">
        <f>IF(AND(AND(AND(V$4&gt;='2025'!$L420,V$4&lt;='2025'!$M420), V$4&lt;&gt;DATE(2025,7,4)), (SWITCH(weekday(V$4), 1, 0, 2, if(ISBLANK('2025'!$P420), 0, 1), 3, if(ISBLANK('2025'!$Q420), 0, 1), 4, if(ISBLANK('2025'!$R420), 0, 1), 5, if(ISBLANK('2025'!$S420), 0, 1), 6, if(ISBLANK('2025'!$T420), 0, 1), 7, 0))), 1, "")</f>
        <v/>
      </c>
      <c r="W457" s="1" t="str">
        <f>IF(AND(AND(AND(W$4&gt;='2025'!$L420,W$4&lt;='2025'!$M420), W$4&lt;&gt;DATE(2025,7,4)), (SWITCH(weekday(W$4), 1, 0, 2, if(ISBLANK('2025'!$P420), 0, 1), 3, if(ISBLANK('2025'!$Q420), 0, 1), 4, if(ISBLANK('2025'!$R420), 0, 1), 5, if(ISBLANK('2025'!$S420), 0, 1), 6, if(ISBLANK('2025'!$T420), 0, 1), 7, 0))), 1, "")</f>
        <v/>
      </c>
      <c r="X457" s="1" t="str">
        <f>IF(AND(AND(AND(X$4&gt;='2025'!$L420,X$4&lt;='2025'!$M420), X$4&lt;&gt;DATE(2025,7,4)), (SWITCH(weekday(X$4), 1, 0, 2, if(ISBLANK('2025'!$P420), 0, 1), 3, if(ISBLANK('2025'!$Q420), 0, 1), 4, if(ISBLANK('2025'!$R420), 0, 1), 5, if(ISBLANK('2025'!$S420), 0, 1), 6, if(ISBLANK('2025'!$T420), 0, 1), 7, 0))), 1, "")</f>
        <v/>
      </c>
      <c r="Y457" s="1" t="str">
        <f>IF(AND(AND(AND(Y$4&gt;='2025'!$L420,Y$4&lt;='2025'!$M420), Y$4&lt;&gt;DATE(2025,7,4)), (SWITCH(weekday(Y$4), 1, 0, 2, if(ISBLANK('2025'!$P420), 0, 1), 3, if(ISBLANK('2025'!$Q420), 0, 1), 4, if(ISBLANK('2025'!$R420), 0, 1), 5, if(ISBLANK('2025'!$S420), 0, 1), 6, if(ISBLANK('2025'!$T420), 0, 1), 7, 0))), 1, "")</f>
        <v/>
      </c>
      <c r="Z457" s="1" t="str">
        <f>IF(AND(AND(AND(Z$4&gt;='2025'!$L420,Z$4&lt;='2025'!$M420), Z$4&lt;&gt;DATE(2025,7,4)), (SWITCH(weekday(Z$4), 1, 0, 2, if(ISBLANK('2025'!$P420), 0, 1), 3, if(ISBLANK('2025'!$Q420), 0, 1), 4, if(ISBLANK('2025'!$R420), 0, 1), 5, if(ISBLANK('2025'!$S420), 0, 1), 6, if(ISBLANK('2025'!$T420), 0, 1), 7, 0))), 1, "")</f>
        <v/>
      </c>
      <c r="AA457" s="1" t="str">
        <f>IF(AND(AND(AND(AA$4&gt;='2025'!$L420,AA$4&lt;='2025'!$M420), AA$4&lt;&gt;DATE(2025,7,4)), (SWITCH(weekday(AA$4), 1, 0, 2, if(ISBLANK('2025'!$P420), 0, 1), 3, if(ISBLANK('2025'!$Q420), 0, 1), 4, if(ISBLANK('2025'!$R420), 0, 1), 5, if(ISBLANK('2025'!$S420), 0, 1), 6, if(ISBLANK('2025'!$T420), 0, 1), 7, 0))), 1, "")</f>
        <v/>
      </c>
      <c r="AB457" s="1" t="str">
        <f>IF(AND(AND(AND(AB$4&gt;='2025'!$L420,AB$4&lt;='2025'!$M420), AB$4&lt;&gt;DATE(2025,7,4)), (SWITCH(weekday(AB$4), 1, 0, 2, if(ISBLANK('2025'!$P420), 0, 1), 3, if(ISBLANK('2025'!$Q420), 0, 1), 4, if(ISBLANK('2025'!$R420), 0, 1), 5, if(ISBLANK('2025'!$S420), 0, 1), 6, if(ISBLANK('2025'!$T420), 0, 1), 7, 0))), 1, "")</f>
        <v/>
      </c>
      <c r="AC457" s="1" t="str">
        <f>IF(AND(AND(AND(AC$4&gt;='2025'!$L420,AC$4&lt;='2025'!$M420), AC$4&lt;&gt;DATE(2025,7,4)), (SWITCH(weekday(AC$4), 1, 0, 2, if(ISBLANK('2025'!$P420), 0, 1), 3, if(ISBLANK('2025'!$Q420), 0, 1), 4, if(ISBLANK('2025'!$R420), 0, 1), 5, if(ISBLANK('2025'!$S420), 0, 1), 6, if(ISBLANK('2025'!$T420), 0, 1), 7, 0))), 1, "")</f>
        <v/>
      </c>
      <c r="AD457" s="1" t="str">
        <f>IF(AND(AND(AND(AD$4&gt;='2025'!$L420,AD$4&lt;='2025'!$M420), AD$4&lt;&gt;DATE(2025,7,4)), (SWITCH(weekday(AD$4), 1, 0, 2, if(ISBLANK('2025'!$P420), 0, 1), 3, if(ISBLANK('2025'!$Q420), 0, 1), 4, if(ISBLANK('2025'!$R420), 0, 1), 5, if(ISBLANK('2025'!$S420), 0, 1), 6, if(ISBLANK('2025'!$T420), 0, 1), 7, 0))), 1, "")</f>
        <v/>
      </c>
      <c r="AE457" s="1" t="str">
        <f>IF(AND(AND(AND(AE$4&gt;='2025'!$L420,AE$4&lt;='2025'!$M420), AE$4&lt;&gt;DATE(2025,7,4)), (SWITCH(weekday(AE$4), 1, 0, 2, if(ISBLANK('2025'!$P420), 0, 1), 3, if(ISBLANK('2025'!$Q420), 0, 1), 4, if(ISBLANK('2025'!$R420), 0, 1), 5, if(ISBLANK('2025'!$S420), 0, 1), 6, if(ISBLANK('2025'!$T420), 0, 1), 7, 0))), 1, "")</f>
        <v/>
      </c>
      <c r="AF457" s="1" t="str">
        <f>IF(AND(AND(AND(AF$4&gt;='2025'!$L420,AF$4&lt;='2025'!$M420), AF$4&lt;&gt;DATE(2025,7,4)), (SWITCH(weekday(AF$4), 1, 0, 2, if(ISBLANK('2025'!$P420), 0, 1), 3, if(ISBLANK('2025'!$Q420), 0, 1), 4, if(ISBLANK('2025'!$R420), 0, 1), 5, if(ISBLANK('2025'!$S420), 0, 1), 6, if(ISBLANK('2025'!$T420), 0, 1), 7, 0))), 1, "")</f>
        <v/>
      </c>
      <c r="AG457" s="1" t="str">
        <f>IF(AND(AND(AND(AG$4&gt;='2025'!$L420,AG$4&lt;='2025'!$M420), AG$4&lt;&gt;DATE(2025,7,4)), (SWITCH(weekday(AG$4), 1, 0, 2, if(ISBLANK('2025'!$P420), 0, 1), 3, if(ISBLANK('2025'!$Q420), 0, 1), 4, if(ISBLANK('2025'!$R420), 0, 1), 5, if(ISBLANK('2025'!$S420), 0, 1), 6, if(ISBLANK('2025'!$T420), 0, 1), 7, 0))), 1, "")</f>
        <v/>
      </c>
      <c r="AH457" s="1" t="str">
        <f>IF(AND(AND(AND(AH$4&gt;='2025'!$L420,AH$4&lt;='2025'!$M420), AH$4&lt;&gt;DATE(2025,7,4)), (SWITCH(weekday(AH$4), 1, 0, 2, if(ISBLANK('2025'!$P420), 0, 1), 3, if(ISBLANK('2025'!$Q420), 0, 1), 4, if(ISBLANK('2025'!$R420), 0, 1), 5, if(ISBLANK('2025'!$S420), 0, 1), 6, if(ISBLANK('2025'!$T420), 0, 1), 7, 0))), 1, "")</f>
        <v/>
      </c>
      <c r="AI457" s="1" t="str">
        <f>IF(AND(AND(AND(AI$4&gt;='2025'!$L420,AI$4&lt;='2025'!$M420), AI$4&lt;&gt;DATE(2025,7,4)), (SWITCH(weekday(AI$4), 1, 0, 2, if(ISBLANK('2025'!$P420), 0, 1), 3, if(ISBLANK('2025'!$Q420), 0, 1), 4, if(ISBLANK('2025'!$R420), 0, 1), 5, if(ISBLANK('2025'!$S420), 0, 1), 6, if(ISBLANK('2025'!$T420), 0, 1), 7, 0))), 1, "")</f>
        <v/>
      </c>
      <c r="AJ457" s="1" t="str">
        <f>IF(AND(AND(AND(AJ$4&gt;='2025'!$L420,AJ$4&lt;='2025'!$M420), AJ$4&lt;&gt;DATE(2025,7,4)), (SWITCH(weekday(AJ$4), 1, 0, 2, if(ISBLANK('2025'!$P420), 0, 1), 3, if(ISBLANK('2025'!$Q420), 0, 1), 4, if(ISBLANK('2025'!$R420), 0, 1), 5, if(ISBLANK('2025'!$S420), 0, 1), 6, if(ISBLANK('2025'!$T420), 0, 1), 7, 0))), 1, "")</f>
        <v/>
      </c>
      <c r="AK457" s="1" t="str">
        <f>IF(AND(AND(AND(AK$4&gt;='2025'!$L420,AK$4&lt;='2025'!$M420), AK$4&lt;&gt;DATE(2025,7,4)), (SWITCH(weekday(AK$4), 1, 0, 2, if(ISBLANK('2025'!$P420), 0, 1), 3, if(ISBLANK('2025'!$Q420), 0, 1), 4, if(ISBLANK('2025'!$R420), 0, 1), 5, if(ISBLANK('2025'!$S420), 0, 1), 6, if(ISBLANK('2025'!$T420), 0, 1), 7, 0))), 1, "")</f>
        <v/>
      </c>
      <c r="AL457" s="1" t="str">
        <f>IF(AND(AND(AND(AL$4&gt;='2025'!$L420,AL$4&lt;='2025'!$M420), AL$4&lt;&gt;DATE(2025,7,4)), (SWITCH(weekday(AL$4), 1, 0, 2, if(ISBLANK('2025'!$P420), 0, 1), 3, if(ISBLANK('2025'!$Q420), 0, 1), 4, if(ISBLANK('2025'!$R420), 0, 1), 5, if(ISBLANK('2025'!$S420), 0, 1), 6, if(ISBLANK('2025'!$T420), 0, 1), 7, 0))), 1, "")</f>
        <v/>
      </c>
      <c r="AM457" s="1" t="str">
        <f>IF(AND(AND(AND(AM$4&gt;='2025'!$L420,AM$4&lt;='2025'!$M420), AM$4&lt;&gt;DATE(2025,7,4)), (SWITCH(weekday(AM$4), 1, 0, 2, if(ISBLANK('2025'!$P420), 0, 1), 3, if(ISBLANK('2025'!$Q420), 0, 1), 4, if(ISBLANK('2025'!$R420), 0, 1), 5, if(ISBLANK('2025'!$S420), 0, 1), 6, if(ISBLANK('2025'!$T420), 0, 1), 7, 0))), 1, "")</f>
        <v/>
      </c>
      <c r="AN457" s="1" t="str">
        <f>IF(AND(AND(AND(AN$4&gt;='2025'!$L420,AN$4&lt;='2025'!$M420), AN$4&lt;&gt;DATE(2025,7,4)), (SWITCH(weekday(AN$4), 1, 0, 2, if(ISBLANK('2025'!$P420), 0, 1), 3, if(ISBLANK('2025'!$Q420), 0, 1), 4, if(ISBLANK('2025'!$R420), 0, 1), 5, if(ISBLANK('2025'!$S420), 0, 1), 6, if(ISBLANK('2025'!$T420), 0, 1), 7, 0))), 1, "")</f>
        <v/>
      </c>
      <c r="AO457" s="1" t="str">
        <f>IF(AND(AND(AND(AO$4&gt;='2025'!$L420,AO$4&lt;='2025'!$M420), AO$4&lt;&gt;DATE(2025,7,4)), (SWITCH(weekday(AO$4), 1, 0, 2, if(ISBLANK('2025'!$P420), 0, 1), 3, if(ISBLANK('2025'!$Q420), 0, 1), 4, if(ISBLANK('2025'!$R420), 0, 1), 5, if(ISBLANK('2025'!$S420), 0, 1), 6, if(ISBLANK('2025'!$T420), 0, 1), 7, 0))), 1, "")</f>
        <v/>
      </c>
      <c r="AP457" s="1" t="str">
        <f>IF(AND(AND(AND(AP$4&gt;='2025'!$L420,AP$4&lt;='2025'!$M420), AP$4&lt;&gt;DATE(2025,7,4)), (SWITCH(weekday(AP$4), 1, 0, 2, if(ISBLANK('2025'!$P420), 0, 1), 3, if(ISBLANK('2025'!$Q420), 0, 1), 4, if(ISBLANK('2025'!$R420), 0, 1), 5, if(ISBLANK('2025'!$S420), 0, 1), 6, if(ISBLANK('2025'!$T420), 0, 1), 7, 0))), 1, "")</f>
        <v/>
      </c>
      <c r="AQ457" s="1" t="str">
        <f>IF(AND(AND(AND(AQ$4&gt;='2025'!$L420,AQ$4&lt;='2025'!$M420), AQ$4&lt;&gt;DATE(2025,7,4)), (SWITCH(weekday(AQ$4), 1, 0, 2, if(ISBLANK('2025'!$P420), 0, 1), 3, if(ISBLANK('2025'!$Q420), 0, 1), 4, if(ISBLANK('2025'!$R420), 0, 1), 5, if(ISBLANK('2025'!$S420), 0, 1), 6, if(ISBLANK('2025'!$T420), 0, 1), 7, 0))), 1, "")</f>
        <v/>
      </c>
      <c r="AR457" s="1" t="str">
        <f>IF(AND(AND(AND(AR$4&gt;='2025'!$L420,AR$4&lt;='2025'!$M420), AR$4&lt;&gt;DATE(2025,7,4)), (SWITCH(weekday(AR$4), 1, 0, 2, if(ISBLANK('2025'!$P420), 0, 1), 3, if(ISBLANK('2025'!$Q420), 0, 1), 4, if(ISBLANK('2025'!$R420), 0, 1), 5, if(ISBLANK('2025'!$S420), 0, 1), 6, if(ISBLANK('2025'!$T420), 0, 1), 7, 0))), 1, "")</f>
        <v/>
      </c>
      <c r="AS457" s="1" t="str">
        <f>IF(AND(AND(AND(AS$4&gt;='2025'!$L420,AS$4&lt;='2025'!$M420), AS$4&lt;&gt;DATE(2025,7,4)), (SWITCH(weekday(AS$4), 1, 0, 2, if(ISBLANK('2025'!$P420), 0, 1), 3, if(ISBLANK('2025'!$Q420), 0, 1), 4, if(ISBLANK('2025'!$R420), 0, 1), 5, if(ISBLANK('2025'!$S420), 0, 1), 6, if(ISBLANK('2025'!$T420), 0, 1), 7, 0))), 1, "")</f>
        <v/>
      </c>
      <c r="AT457" s="1" t="str">
        <f>IF(AND(AND(AND(AT$4&gt;='2025'!$L420,AT$4&lt;='2025'!$M420), AT$4&lt;&gt;DATE(2025,7,4)), (SWITCH(weekday(AT$4), 1, 0, 2, if(ISBLANK('2025'!$P420), 0, 1), 3, if(ISBLANK('2025'!$Q420), 0, 1), 4, if(ISBLANK('2025'!$R420), 0, 1), 5, if(ISBLANK('2025'!$S420), 0, 1), 6, if(ISBLANK('2025'!$T420), 0, 1), 7, 0))), 1, "")</f>
        <v/>
      </c>
      <c r="AU457" s="1" t="str">
        <f>IF(AND(AND(AND(AU$4&gt;='2025'!$L420,AU$4&lt;='2025'!$M420), AU$4&lt;&gt;DATE(2025,7,4)), (SWITCH(weekday(AU$4), 1, 0, 2, if(ISBLANK('2025'!$P420), 0, 1), 3, if(ISBLANK('2025'!$Q420), 0, 1), 4, if(ISBLANK('2025'!$R420), 0, 1), 5, if(ISBLANK('2025'!$S420), 0, 1), 6, if(ISBLANK('2025'!$T420), 0, 1), 7, 0))), 1, "")</f>
        <v/>
      </c>
      <c r="AV457" s="1" t="str">
        <f>IF(AND(AND(AND(AV$4&gt;='2025'!$L420,AV$4&lt;='2025'!$M420), AV$4&lt;&gt;DATE(2025,7,4)), (SWITCH(weekday(AV$4), 1, 0, 2, if(ISBLANK('2025'!$P420), 0, 1), 3, if(ISBLANK('2025'!$Q420), 0, 1), 4, if(ISBLANK('2025'!$R420), 0, 1), 5, if(ISBLANK('2025'!$S420), 0, 1), 6, if(ISBLANK('2025'!$T420), 0, 1), 7, 0))), 1, "")</f>
        <v/>
      </c>
      <c r="AW457" s="1" t="str">
        <f>IF(AND(AND(AND(AW$4&gt;='2025'!$L420,AW$4&lt;='2025'!$M420), AW$4&lt;&gt;DATE(2025,7,4)), (SWITCH(weekday(AW$4), 1, 0, 2, if(ISBLANK('2025'!$P420), 0, 1), 3, if(ISBLANK('2025'!$Q420), 0, 1), 4, if(ISBLANK('2025'!$R420), 0, 1), 5, if(ISBLANK('2025'!$S420), 0, 1), 6, if(ISBLANK('2025'!$T420), 0, 1), 7, 0))), 1, "")</f>
        <v/>
      </c>
      <c r="AX457" s="1" t="str">
        <f>IF(AND(AND(AND(AX$4&gt;='2025'!$L420,AX$4&lt;='2025'!$M420), AX$4&lt;&gt;DATE(2025,7,4)), (SWITCH(weekday(AX$4), 1, 0, 2, if(ISBLANK('2025'!$P420), 0, 1), 3, if(ISBLANK('2025'!$Q420), 0, 1), 4, if(ISBLANK('2025'!$R420), 0, 1), 5, if(ISBLANK('2025'!$S420), 0, 1), 6, if(ISBLANK('2025'!$T420), 0, 1), 7, 0))), 1, "")</f>
        <v/>
      </c>
      <c r="AY457" s="1" t="str">
        <f>IF(AND(AND(AND(AY$4&gt;='2025'!$L420,AY$4&lt;='2025'!$M420), AY$4&lt;&gt;DATE(2025,7,4)), (SWITCH(weekday(AY$4), 1, 0, 2, if(ISBLANK('2025'!$P420), 0, 1), 3, if(ISBLANK('2025'!$Q420), 0, 1), 4, if(ISBLANK('2025'!$R420), 0, 1), 5, if(ISBLANK('2025'!$S420), 0, 1), 6, if(ISBLANK('2025'!$T420), 0, 1), 7, 0))), 1, "")</f>
        <v/>
      </c>
      <c r="AZ457" s="1" t="str">
        <f>IF(AND(AND(AND(AZ$4&gt;='2025'!$L420,AZ$4&lt;='2025'!$M420), AZ$4&lt;&gt;DATE(2025,7,4)), (SWITCH(weekday(AZ$4), 1, 0, 2, if(ISBLANK('2025'!$P420), 0, 1), 3, if(ISBLANK('2025'!$Q420), 0, 1), 4, if(ISBLANK('2025'!$R420), 0, 1), 5, if(ISBLANK('2025'!$S420), 0, 1), 6, if(ISBLANK('2025'!$T420), 0, 1), 7, 0))), 1, "")</f>
        <v/>
      </c>
      <c r="BA457" s="1" t="str">
        <f>IF(AND(AND(AND(BA$4&gt;='2025'!$L420,BA$4&lt;='2025'!$M420), BA$4&lt;&gt;DATE(2025,7,4)), (SWITCH(weekday(BA$4), 1, 0, 2, if(ISBLANK('2025'!$P420), 0, 1), 3, if(ISBLANK('2025'!$Q420), 0, 1), 4, if(ISBLANK('2025'!$R420), 0, 1), 5, if(ISBLANK('2025'!$S420), 0, 1), 6, if(ISBLANK('2025'!$T420), 0, 1), 7, 0))), 1, "")</f>
        <v/>
      </c>
      <c r="BB457" s="1" t="str">
        <f>IF(AND(AND(AND(BB$4&gt;='2025'!$L420,BB$4&lt;='2025'!$M420), BB$4&lt;&gt;DATE(2025,7,4)), (SWITCH(weekday(BB$4), 1, 0, 2, if(ISBLANK('2025'!$P420), 0, 1), 3, if(ISBLANK('2025'!$Q420), 0, 1), 4, if(ISBLANK('2025'!$R420), 0, 1), 5, if(ISBLANK('2025'!$S420), 0, 1), 6, if(ISBLANK('2025'!$T420), 0, 1), 7, 0))), 1, "")</f>
        <v/>
      </c>
      <c r="BC457" s="1" t="str">
        <f>IF(AND(AND(AND(BC$4&gt;='2025'!$L420,BC$4&lt;='2025'!$M420), BC$4&lt;&gt;DATE(2025,7,4)), (SWITCH(weekday(BC$4), 1, 0, 2, if(ISBLANK('2025'!$P420), 0, 1), 3, if(ISBLANK('2025'!$Q420), 0, 1), 4, if(ISBLANK('2025'!$R420), 0, 1), 5, if(ISBLANK('2025'!$S420), 0, 1), 6, if(ISBLANK('2025'!$T420), 0, 1), 7, 0))), 1, "")</f>
        <v/>
      </c>
      <c r="BD457" s="1" t="str">
        <f>IF(AND(AND(AND(BD$4&gt;='2025'!$L420,BD$4&lt;='2025'!$M420), BD$4&lt;&gt;DATE(2025,7,4)), (SWITCH(weekday(BD$4), 1, 0, 2, if(ISBLANK('2025'!$P420), 0, 1), 3, if(ISBLANK('2025'!$Q420), 0, 1), 4, if(ISBLANK('2025'!$R420), 0, 1), 5, if(ISBLANK('2025'!$S420), 0, 1), 6, if(ISBLANK('2025'!$T420), 0, 1), 7, 0))), 1, "")</f>
        <v/>
      </c>
      <c r="BE457" s="1" t="str">
        <f>IF(AND(AND(AND(BE$4&gt;='2025'!$L420,BE$4&lt;='2025'!$M420), BE$4&lt;&gt;DATE(2025,7,4)), (SWITCH(weekday(BE$4), 1, 0, 2, if(ISBLANK('2025'!$P420), 0, 1), 3, if(ISBLANK('2025'!$Q420), 0, 1), 4, if(ISBLANK('2025'!$R420), 0, 1), 5, if(ISBLANK('2025'!$S420), 0, 1), 6, if(ISBLANK('2025'!$T420), 0, 1), 7, 0))), 1, "")</f>
        <v/>
      </c>
    </row>
    <row r="458">
      <c r="A458" s="1">
        <f t="shared" si="3"/>
        <v>458</v>
      </c>
      <c r="B458" s="1" t="str">
        <f>'2025'!D421</f>
        <v/>
      </c>
      <c r="C458" s="1" t="str">
        <f>'2025'!H421</f>
        <v/>
      </c>
      <c r="D458" s="1" t="str">
        <f>IF(AND(AND(AND(D$4&gt;='2025'!$L421,D$4&lt;='2025'!$M421), D$4&lt;&gt;DATE(2025,7,4)), (SWITCH(weekday(D$4), 1, 0, 2, if(ISBLANK('2025'!$P421), 0, 1), 3, if(ISBLANK('2025'!$Q421), 0, 1), 4, if(ISBLANK('2025'!$R421), 0, 1), 5, if(ISBLANK('2025'!$S421), 0, 1), 6, if(ISBLANK('2025'!$T421), 0, 1), 7, 0))), 1, "")</f>
        <v/>
      </c>
      <c r="E458" s="1" t="str">
        <f>IF(AND(AND(AND(E$4&gt;='2025'!$L421,E$4&lt;='2025'!$M421), E$4&lt;&gt;DATE(2025,7,4)), (SWITCH(weekday(E$4), 1, 0, 2, if(ISBLANK('2025'!$P421), 0, 1), 3, if(ISBLANK('2025'!$Q421), 0, 1), 4, if(ISBLANK('2025'!$R421), 0, 1), 5, if(ISBLANK('2025'!$S421), 0, 1), 6, if(ISBLANK('2025'!$T421), 0, 1), 7, 0))), 1, "")</f>
        <v/>
      </c>
      <c r="F458" s="1" t="str">
        <f>IF(AND(AND(AND(F$4&gt;='2025'!$L421,F$4&lt;='2025'!$M421), F$4&lt;&gt;DATE(2025,7,4)), (SWITCH(weekday(F$4), 1, 0, 2, if(ISBLANK('2025'!$P421), 0, 1), 3, if(ISBLANK('2025'!$Q421), 0, 1), 4, if(ISBLANK('2025'!$R421), 0, 1), 5, if(ISBLANK('2025'!$S421), 0, 1), 6, if(ISBLANK('2025'!$T421), 0, 1), 7, 0))), 1, "")</f>
        <v/>
      </c>
      <c r="G458" s="1" t="str">
        <f>IF(AND(AND(AND(G$4&gt;='2025'!$L421,G$4&lt;='2025'!$M421), G$4&lt;&gt;DATE(2025,7,4)), (SWITCH(weekday(G$4), 1, 0, 2, if(ISBLANK('2025'!$P421), 0, 1), 3, if(ISBLANK('2025'!$Q421), 0, 1), 4, if(ISBLANK('2025'!$R421), 0, 1), 5, if(ISBLANK('2025'!$S421), 0, 1), 6, if(ISBLANK('2025'!$T421), 0, 1), 7, 0))), 1, "")</f>
        <v/>
      </c>
      <c r="H458" s="1" t="str">
        <f>IF(AND(AND(AND(H$4&gt;='2025'!$L421,H$4&lt;='2025'!$M421), H$4&lt;&gt;DATE(2025,7,4)), (SWITCH(weekday(H$4), 1, 0, 2, if(ISBLANK('2025'!$P421), 0, 1), 3, if(ISBLANK('2025'!$Q421), 0, 1), 4, if(ISBLANK('2025'!$R421), 0, 1), 5, if(ISBLANK('2025'!$S421), 0, 1), 6, if(ISBLANK('2025'!$T421), 0, 1), 7, 0))), 1, "")</f>
        <v/>
      </c>
      <c r="I458" s="1" t="str">
        <f>IF(AND(AND(AND(I$4&gt;='2025'!$L421,I$4&lt;='2025'!$M421), I$4&lt;&gt;DATE(2025,7,4)), (SWITCH(weekday(I$4), 1, 0, 2, if(ISBLANK('2025'!$P421), 0, 1), 3, if(ISBLANK('2025'!$Q421), 0, 1), 4, if(ISBLANK('2025'!$R421), 0, 1), 5, if(ISBLANK('2025'!$S421), 0, 1), 6, if(ISBLANK('2025'!$T421), 0, 1), 7, 0))), 1, "")</f>
        <v/>
      </c>
      <c r="J458" s="1" t="str">
        <f>IF(AND(AND(AND(J$4&gt;='2025'!$L421,J$4&lt;='2025'!$M421), J$4&lt;&gt;DATE(2025,7,4)), (SWITCH(weekday(J$4), 1, 0, 2, if(ISBLANK('2025'!$P421), 0, 1), 3, if(ISBLANK('2025'!$Q421), 0, 1), 4, if(ISBLANK('2025'!$R421), 0, 1), 5, if(ISBLANK('2025'!$S421), 0, 1), 6, if(ISBLANK('2025'!$T421), 0, 1), 7, 0))), 1, "")</f>
        <v/>
      </c>
      <c r="K458" s="1" t="str">
        <f>IF(AND(AND(AND(K$4&gt;='2025'!$L421,K$4&lt;='2025'!$M421), K$4&lt;&gt;DATE(2025,7,4)), (SWITCH(weekday(K$4), 1, 0, 2, if(ISBLANK('2025'!$P421), 0, 1), 3, if(ISBLANK('2025'!$Q421), 0, 1), 4, if(ISBLANK('2025'!$R421), 0, 1), 5, if(ISBLANK('2025'!$S421), 0, 1), 6, if(ISBLANK('2025'!$T421), 0, 1), 7, 0))), 1, "")</f>
        <v/>
      </c>
      <c r="L458" s="1" t="str">
        <f>IF(AND(AND(AND(L$4&gt;='2025'!$L421,L$4&lt;='2025'!$M421), L$4&lt;&gt;DATE(2025,7,4)), (SWITCH(weekday(L$4), 1, 0, 2, if(ISBLANK('2025'!$P421), 0, 1), 3, if(ISBLANK('2025'!$Q421), 0, 1), 4, if(ISBLANK('2025'!$R421), 0, 1), 5, if(ISBLANK('2025'!$S421), 0, 1), 6, if(ISBLANK('2025'!$T421), 0, 1), 7, 0))), 1, "")</f>
        <v/>
      </c>
      <c r="M458" s="1" t="str">
        <f>IF(AND(AND(AND(M$4&gt;='2025'!$L421,M$4&lt;='2025'!$M421), M$4&lt;&gt;DATE(2025,7,4)), (SWITCH(weekday(M$4), 1, 0, 2, if(ISBLANK('2025'!$P421), 0, 1), 3, if(ISBLANK('2025'!$Q421), 0, 1), 4, if(ISBLANK('2025'!$R421), 0, 1), 5, if(ISBLANK('2025'!$S421), 0, 1), 6, if(ISBLANK('2025'!$T421), 0, 1), 7, 0))), 1, "")</f>
        <v/>
      </c>
      <c r="N458" s="1" t="str">
        <f>IF(AND(AND(AND(N$4&gt;='2025'!$L421,N$4&lt;='2025'!$M421), N$4&lt;&gt;DATE(2025,7,4)), (SWITCH(weekday(N$4), 1, 0, 2, if(ISBLANK('2025'!$P421), 0, 1), 3, if(ISBLANK('2025'!$Q421), 0, 1), 4, if(ISBLANK('2025'!$R421), 0, 1), 5, if(ISBLANK('2025'!$S421), 0, 1), 6, if(ISBLANK('2025'!$T421), 0, 1), 7, 0))), 1, "")</f>
        <v/>
      </c>
      <c r="O458" s="1" t="str">
        <f>IF(AND(AND(AND(O$4&gt;='2025'!$L421,O$4&lt;='2025'!$M421), O$4&lt;&gt;DATE(2025,7,4)), (SWITCH(weekday(O$4), 1, 0, 2, if(ISBLANK('2025'!$P421), 0, 1), 3, if(ISBLANK('2025'!$Q421), 0, 1), 4, if(ISBLANK('2025'!$R421), 0, 1), 5, if(ISBLANK('2025'!$S421), 0, 1), 6, if(ISBLANK('2025'!$T421), 0, 1), 7, 0))), 1, "")</f>
        <v/>
      </c>
      <c r="P458" s="1" t="str">
        <f>IF(AND(AND(AND(P$4&gt;='2025'!$L421,P$4&lt;='2025'!$M421), P$4&lt;&gt;DATE(2025,7,4)), (SWITCH(weekday(P$4), 1, 0, 2, if(ISBLANK('2025'!$P421), 0, 1), 3, if(ISBLANK('2025'!$Q421), 0, 1), 4, if(ISBLANK('2025'!$R421), 0, 1), 5, if(ISBLANK('2025'!$S421), 0, 1), 6, if(ISBLANK('2025'!$T421), 0, 1), 7, 0))), 1, "")</f>
        <v/>
      </c>
      <c r="Q458" s="1" t="str">
        <f>IF(AND(AND(AND(Q$4&gt;='2025'!$L421,Q$4&lt;='2025'!$M421), Q$4&lt;&gt;DATE(2025,7,4)), (SWITCH(weekday(Q$4), 1, 0, 2, if(ISBLANK('2025'!$P421), 0, 1), 3, if(ISBLANK('2025'!$Q421), 0, 1), 4, if(ISBLANK('2025'!$R421), 0, 1), 5, if(ISBLANK('2025'!$S421), 0, 1), 6, if(ISBLANK('2025'!$T421), 0, 1), 7, 0))), 1, "")</f>
        <v/>
      </c>
      <c r="R458" s="1" t="str">
        <f>IF(AND(AND(AND(R$4&gt;='2025'!$L421,R$4&lt;='2025'!$M421), R$4&lt;&gt;DATE(2025,7,4)), (SWITCH(weekday(R$4), 1, 0, 2, if(ISBLANK('2025'!$P421), 0, 1), 3, if(ISBLANK('2025'!$Q421), 0, 1), 4, if(ISBLANK('2025'!$R421), 0, 1), 5, if(ISBLANK('2025'!$S421), 0, 1), 6, if(ISBLANK('2025'!$T421), 0, 1), 7, 0))), 1, "")</f>
        <v/>
      </c>
      <c r="S458" s="1" t="str">
        <f>IF(AND(AND(AND(S$4&gt;='2025'!$L421,S$4&lt;='2025'!$M421), S$4&lt;&gt;DATE(2025,7,4)), (SWITCH(weekday(S$4), 1, 0, 2, if(ISBLANK('2025'!$P421), 0, 1), 3, if(ISBLANK('2025'!$Q421), 0, 1), 4, if(ISBLANK('2025'!$R421), 0, 1), 5, if(ISBLANK('2025'!$S421), 0, 1), 6, if(ISBLANK('2025'!$T421), 0, 1), 7, 0))), 1, "")</f>
        <v/>
      </c>
      <c r="T458" s="1" t="str">
        <f>IF(AND(AND(AND(T$4&gt;='2025'!$L421,T$4&lt;='2025'!$M421), T$4&lt;&gt;DATE(2025,7,4)), (SWITCH(weekday(T$4), 1, 0, 2, if(ISBLANK('2025'!$P421), 0, 1), 3, if(ISBLANK('2025'!$Q421), 0, 1), 4, if(ISBLANK('2025'!$R421), 0, 1), 5, if(ISBLANK('2025'!$S421), 0, 1), 6, if(ISBLANK('2025'!$T421), 0, 1), 7, 0))), 1, "")</f>
        <v/>
      </c>
      <c r="U458" s="1" t="str">
        <f>IF(AND(AND(AND(U$4&gt;='2025'!$L421,U$4&lt;='2025'!$M421), U$4&lt;&gt;DATE(2025,7,4)), (SWITCH(weekday(U$4), 1, 0, 2, if(ISBLANK('2025'!$P421), 0, 1), 3, if(ISBLANK('2025'!$Q421), 0, 1), 4, if(ISBLANK('2025'!$R421), 0, 1), 5, if(ISBLANK('2025'!$S421), 0, 1), 6, if(ISBLANK('2025'!$T421), 0, 1), 7, 0))), 1, "")</f>
        <v/>
      </c>
      <c r="V458" s="1" t="str">
        <f>IF(AND(AND(AND(V$4&gt;='2025'!$L421,V$4&lt;='2025'!$M421), V$4&lt;&gt;DATE(2025,7,4)), (SWITCH(weekday(V$4), 1, 0, 2, if(ISBLANK('2025'!$P421), 0, 1), 3, if(ISBLANK('2025'!$Q421), 0, 1), 4, if(ISBLANK('2025'!$R421), 0, 1), 5, if(ISBLANK('2025'!$S421), 0, 1), 6, if(ISBLANK('2025'!$T421), 0, 1), 7, 0))), 1, "")</f>
        <v/>
      </c>
      <c r="W458" s="1" t="str">
        <f>IF(AND(AND(AND(W$4&gt;='2025'!$L421,W$4&lt;='2025'!$M421), W$4&lt;&gt;DATE(2025,7,4)), (SWITCH(weekday(W$4), 1, 0, 2, if(ISBLANK('2025'!$P421), 0, 1), 3, if(ISBLANK('2025'!$Q421), 0, 1), 4, if(ISBLANK('2025'!$R421), 0, 1), 5, if(ISBLANK('2025'!$S421), 0, 1), 6, if(ISBLANK('2025'!$T421), 0, 1), 7, 0))), 1, "")</f>
        <v/>
      </c>
      <c r="X458" s="1" t="str">
        <f>IF(AND(AND(AND(X$4&gt;='2025'!$L421,X$4&lt;='2025'!$M421), X$4&lt;&gt;DATE(2025,7,4)), (SWITCH(weekday(X$4), 1, 0, 2, if(ISBLANK('2025'!$P421), 0, 1), 3, if(ISBLANK('2025'!$Q421), 0, 1), 4, if(ISBLANK('2025'!$R421), 0, 1), 5, if(ISBLANK('2025'!$S421), 0, 1), 6, if(ISBLANK('2025'!$T421), 0, 1), 7, 0))), 1, "")</f>
        <v/>
      </c>
      <c r="Y458" s="1" t="str">
        <f>IF(AND(AND(AND(Y$4&gt;='2025'!$L421,Y$4&lt;='2025'!$M421), Y$4&lt;&gt;DATE(2025,7,4)), (SWITCH(weekday(Y$4), 1, 0, 2, if(ISBLANK('2025'!$P421), 0, 1), 3, if(ISBLANK('2025'!$Q421), 0, 1), 4, if(ISBLANK('2025'!$R421), 0, 1), 5, if(ISBLANK('2025'!$S421), 0, 1), 6, if(ISBLANK('2025'!$T421), 0, 1), 7, 0))), 1, "")</f>
        <v/>
      </c>
      <c r="Z458" s="1" t="str">
        <f>IF(AND(AND(AND(Z$4&gt;='2025'!$L421,Z$4&lt;='2025'!$M421), Z$4&lt;&gt;DATE(2025,7,4)), (SWITCH(weekday(Z$4), 1, 0, 2, if(ISBLANK('2025'!$P421), 0, 1), 3, if(ISBLANK('2025'!$Q421), 0, 1), 4, if(ISBLANK('2025'!$R421), 0, 1), 5, if(ISBLANK('2025'!$S421), 0, 1), 6, if(ISBLANK('2025'!$T421), 0, 1), 7, 0))), 1, "")</f>
        <v/>
      </c>
      <c r="AA458" s="1" t="str">
        <f>IF(AND(AND(AND(AA$4&gt;='2025'!$L421,AA$4&lt;='2025'!$M421), AA$4&lt;&gt;DATE(2025,7,4)), (SWITCH(weekday(AA$4), 1, 0, 2, if(ISBLANK('2025'!$P421), 0, 1), 3, if(ISBLANK('2025'!$Q421), 0, 1), 4, if(ISBLANK('2025'!$R421), 0, 1), 5, if(ISBLANK('2025'!$S421), 0, 1), 6, if(ISBLANK('2025'!$T421), 0, 1), 7, 0))), 1, "")</f>
        <v/>
      </c>
      <c r="AB458" s="1" t="str">
        <f>IF(AND(AND(AND(AB$4&gt;='2025'!$L421,AB$4&lt;='2025'!$M421), AB$4&lt;&gt;DATE(2025,7,4)), (SWITCH(weekday(AB$4), 1, 0, 2, if(ISBLANK('2025'!$P421), 0, 1), 3, if(ISBLANK('2025'!$Q421), 0, 1), 4, if(ISBLANK('2025'!$R421), 0, 1), 5, if(ISBLANK('2025'!$S421), 0, 1), 6, if(ISBLANK('2025'!$T421), 0, 1), 7, 0))), 1, "")</f>
        <v/>
      </c>
      <c r="AC458" s="1" t="str">
        <f>IF(AND(AND(AND(AC$4&gt;='2025'!$L421,AC$4&lt;='2025'!$M421), AC$4&lt;&gt;DATE(2025,7,4)), (SWITCH(weekday(AC$4), 1, 0, 2, if(ISBLANK('2025'!$P421), 0, 1), 3, if(ISBLANK('2025'!$Q421), 0, 1), 4, if(ISBLANK('2025'!$R421), 0, 1), 5, if(ISBLANK('2025'!$S421), 0, 1), 6, if(ISBLANK('2025'!$T421), 0, 1), 7, 0))), 1, "")</f>
        <v/>
      </c>
      <c r="AD458" s="1" t="str">
        <f>IF(AND(AND(AND(AD$4&gt;='2025'!$L421,AD$4&lt;='2025'!$M421), AD$4&lt;&gt;DATE(2025,7,4)), (SWITCH(weekday(AD$4), 1, 0, 2, if(ISBLANK('2025'!$P421), 0, 1), 3, if(ISBLANK('2025'!$Q421), 0, 1), 4, if(ISBLANK('2025'!$R421), 0, 1), 5, if(ISBLANK('2025'!$S421), 0, 1), 6, if(ISBLANK('2025'!$T421), 0, 1), 7, 0))), 1, "")</f>
        <v/>
      </c>
      <c r="AE458" s="1" t="str">
        <f>IF(AND(AND(AND(AE$4&gt;='2025'!$L421,AE$4&lt;='2025'!$M421), AE$4&lt;&gt;DATE(2025,7,4)), (SWITCH(weekday(AE$4), 1, 0, 2, if(ISBLANK('2025'!$P421), 0, 1), 3, if(ISBLANK('2025'!$Q421), 0, 1), 4, if(ISBLANK('2025'!$R421), 0, 1), 5, if(ISBLANK('2025'!$S421), 0, 1), 6, if(ISBLANK('2025'!$T421), 0, 1), 7, 0))), 1, "")</f>
        <v/>
      </c>
      <c r="AF458" s="1" t="str">
        <f>IF(AND(AND(AND(AF$4&gt;='2025'!$L421,AF$4&lt;='2025'!$M421), AF$4&lt;&gt;DATE(2025,7,4)), (SWITCH(weekday(AF$4), 1, 0, 2, if(ISBLANK('2025'!$P421), 0, 1), 3, if(ISBLANK('2025'!$Q421), 0, 1), 4, if(ISBLANK('2025'!$R421), 0, 1), 5, if(ISBLANK('2025'!$S421), 0, 1), 6, if(ISBLANK('2025'!$T421), 0, 1), 7, 0))), 1, "")</f>
        <v/>
      </c>
      <c r="AG458" s="1" t="str">
        <f>IF(AND(AND(AND(AG$4&gt;='2025'!$L421,AG$4&lt;='2025'!$M421), AG$4&lt;&gt;DATE(2025,7,4)), (SWITCH(weekday(AG$4), 1, 0, 2, if(ISBLANK('2025'!$P421), 0, 1), 3, if(ISBLANK('2025'!$Q421), 0, 1), 4, if(ISBLANK('2025'!$R421), 0, 1), 5, if(ISBLANK('2025'!$S421), 0, 1), 6, if(ISBLANK('2025'!$T421), 0, 1), 7, 0))), 1, "")</f>
        <v/>
      </c>
      <c r="AH458" s="1" t="str">
        <f>IF(AND(AND(AND(AH$4&gt;='2025'!$L421,AH$4&lt;='2025'!$M421), AH$4&lt;&gt;DATE(2025,7,4)), (SWITCH(weekday(AH$4), 1, 0, 2, if(ISBLANK('2025'!$P421), 0, 1), 3, if(ISBLANK('2025'!$Q421), 0, 1), 4, if(ISBLANK('2025'!$R421), 0, 1), 5, if(ISBLANK('2025'!$S421), 0, 1), 6, if(ISBLANK('2025'!$T421), 0, 1), 7, 0))), 1, "")</f>
        <v/>
      </c>
      <c r="AI458" s="1" t="str">
        <f>IF(AND(AND(AND(AI$4&gt;='2025'!$L421,AI$4&lt;='2025'!$M421), AI$4&lt;&gt;DATE(2025,7,4)), (SWITCH(weekday(AI$4), 1, 0, 2, if(ISBLANK('2025'!$P421), 0, 1), 3, if(ISBLANK('2025'!$Q421), 0, 1), 4, if(ISBLANK('2025'!$R421), 0, 1), 5, if(ISBLANK('2025'!$S421), 0, 1), 6, if(ISBLANK('2025'!$T421), 0, 1), 7, 0))), 1, "")</f>
        <v/>
      </c>
      <c r="AJ458" s="1" t="str">
        <f>IF(AND(AND(AND(AJ$4&gt;='2025'!$L421,AJ$4&lt;='2025'!$M421), AJ$4&lt;&gt;DATE(2025,7,4)), (SWITCH(weekday(AJ$4), 1, 0, 2, if(ISBLANK('2025'!$P421), 0, 1), 3, if(ISBLANK('2025'!$Q421), 0, 1), 4, if(ISBLANK('2025'!$R421), 0, 1), 5, if(ISBLANK('2025'!$S421), 0, 1), 6, if(ISBLANK('2025'!$T421), 0, 1), 7, 0))), 1, "")</f>
        <v/>
      </c>
      <c r="AK458" s="1" t="str">
        <f>IF(AND(AND(AND(AK$4&gt;='2025'!$L421,AK$4&lt;='2025'!$M421), AK$4&lt;&gt;DATE(2025,7,4)), (SWITCH(weekday(AK$4), 1, 0, 2, if(ISBLANK('2025'!$P421), 0, 1), 3, if(ISBLANK('2025'!$Q421), 0, 1), 4, if(ISBLANK('2025'!$R421), 0, 1), 5, if(ISBLANK('2025'!$S421), 0, 1), 6, if(ISBLANK('2025'!$T421), 0, 1), 7, 0))), 1, "")</f>
        <v/>
      </c>
      <c r="AL458" s="1" t="str">
        <f>IF(AND(AND(AND(AL$4&gt;='2025'!$L421,AL$4&lt;='2025'!$M421), AL$4&lt;&gt;DATE(2025,7,4)), (SWITCH(weekday(AL$4), 1, 0, 2, if(ISBLANK('2025'!$P421), 0, 1), 3, if(ISBLANK('2025'!$Q421), 0, 1), 4, if(ISBLANK('2025'!$R421), 0, 1), 5, if(ISBLANK('2025'!$S421), 0, 1), 6, if(ISBLANK('2025'!$T421), 0, 1), 7, 0))), 1, "")</f>
        <v/>
      </c>
      <c r="AM458" s="1" t="str">
        <f>IF(AND(AND(AND(AM$4&gt;='2025'!$L421,AM$4&lt;='2025'!$M421), AM$4&lt;&gt;DATE(2025,7,4)), (SWITCH(weekday(AM$4), 1, 0, 2, if(ISBLANK('2025'!$P421), 0, 1), 3, if(ISBLANK('2025'!$Q421), 0, 1), 4, if(ISBLANK('2025'!$R421), 0, 1), 5, if(ISBLANK('2025'!$S421), 0, 1), 6, if(ISBLANK('2025'!$T421), 0, 1), 7, 0))), 1, "")</f>
        <v/>
      </c>
      <c r="AN458" s="1" t="str">
        <f>IF(AND(AND(AND(AN$4&gt;='2025'!$L421,AN$4&lt;='2025'!$M421), AN$4&lt;&gt;DATE(2025,7,4)), (SWITCH(weekday(AN$4), 1, 0, 2, if(ISBLANK('2025'!$P421), 0, 1), 3, if(ISBLANK('2025'!$Q421), 0, 1), 4, if(ISBLANK('2025'!$R421), 0, 1), 5, if(ISBLANK('2025'!$S421), 0, 1), 6, if(ISBLANK('2025'!$T421), 0, 1), 7, 0))), 1, "")</f>
        <v/>
      </c>
      <c r="AO458" s="1" t="str">
        <f>IF(AND(AND(AND(AO$4&gt;='2025'!$L421,AO$4&lt;='2025'!$M421), AO$4&lt;&gt;DATE(2025,7,4)), (SWITCH(weekday(AO$4), 1, 0, 2, if(ISBLANK('2025'!$P421), 0, 1), 3, if(ISBLANK('2025'!$Q421), 0, 1), 4, if(ISBLANK('2025'!$R421), 0, 1), 5, if(ISBLANK('2025'!$S421), 0, 1), 6, if(ISBLANK('2025'!$T421), 0, 1), 7, 0))), 1, "")</f>
        <v/>
      </c>
      <c r="AP458" s="1" t="str">
        <f>IF(AND(AND(AND(AP$4&gt;='2025'!$L421,AP$4&lt;='2025'!$M421), AP$4&lt;&gt;DATE(2025,7,4)), (SWITCH(weekday(AP$4), 1, 0, 2, if(ISBLANK('2025'!$P421), 0, 1), 3, if(ISBLANK('2025'!$Q421), 0, 1), 4, if(ISBLANK('2025'!$R421), 0, 1), 5, if(ISBLANK('2025'!$S421), 0, 1), 6, if(ISBLANK('2025'!$T421), 0, 1), 7, 0))), 1, "")</f>
        <v/>
      </c>
      <c r="AQ458" s="1" t="str">
        <f>IF(AND(AND(AND(AQ$4&gt;='2025'!$L421,AQ$4&lt;='2025'!$M421), AQ$4&lt;&gt;DATE(2025,7,4)), (SWITCH(weekday(AQ$4), 1, 0, 2, if(ISBLANK('2025'!$P421), 0, 1), 3, if(ISBLANK('2025'!$Q421), 0, 1), 4, if(ISBLANK('2025'!$R421), 0, 1), 5, if(ISBLANK('2025'!$S421), 0, 1), 6, if(ISBLANK('2025'!$T421), 0, 1), 7, 0))), 1, "")</f>
        <v/>
      </c>
      <c r="AR458" s="1" t="str">
        <f>IF(AND(AND(AND(AR$4&gt;='2025'!$L421,AR$4&lt;='2025'!$M421), AR$4&lt;&gt;DATE(2025,7,4)), (SWITCH(weekday(AR$4), 1, 0, 2, if(ISBLANK('2025'!$P421), 0, 1), 3, if(ISBLANK('2025'!$Q421), 0, 1), 4, if(ISBLANK('2025'!$R421), 0, 1), 5, if(ISBLANK('2025'!$S421), 0, 1), 6, if(ISBLANK('2025'!$T421), 0, 1), 7, 0))), 1, "")</f>
        <v/>
      </c>
      <c r="AS458" s="1" t="str">
        <f>IF(AND(AND(AND(AS$4&gt;='2025'!$L421,AS$4&lt;='2025'!$M421), AS$4&lt;&gt;DATE(2025,7,4)), (SWITCH(weekday(AS$4), 1, 0, 2, if(ISBLANK('2025'!$P421), 0, 1), 3, if(ISBLANK('2025'!$Q421), 0, 1), 4, if(ISBLANK('2025'!$R421), 0, 1), 5, if(ISBLANK('2025'!$S421), 0, 1), 6, if(ISBLANK('2025'!$T421), 0, 1), 7, 0))), 1, "")</f>
        <v/>
      </c>
      <c r="AT458" s="1" t="str">
        <f>IF(AND(AND(AND(AT$4&gt;='2025'!$L421,AT$4&lt;='2025'!$M421), AT$4&lt;&gt;DATE(2025,7,4)), (SWITCH(weekday(AT$4), 1, 0, 2, if(ISBLANK('2025'!$P421), 0, 1), 3, if(ISBLANK('2025'!$Q421), 0, 1), 4, if(ISBLANK('2025'!$R421), 0, 1), 5, if(ISBLANK('2025'!$S421), 0, 1), 6, if(ISBLANK('2025'!$T421), 0, 1), 7, 0))), 1, "")</f>
        <v/>
      </c>
      <c r="AU458" s="1" t="str">
        <f>IF(AND(AND(AND(AU$4&gt;='2025'!$L421,AU$4&lt;='2025'!$M421), AU$4&lt;&gt;DATE(2025,7,4)), (SWITCH(weekday(AU$4), 1, 0, 2, if(ISBLANK('2025'!$P421), 0, 1), 3, if(ISBLANK('2025'!$Q421), 0, 1), 4, if(ISBLANK('2025'!$R421), 0, 1), 5, if(ISBLANK('2025'!$S421), 0, 1), 6, if(ISBLANK('2025'!$T421), 0, 1), 7, 0))), 1, "")</f>
        <v/>
      </c>
      <c r="AV458" s="1" t="str">
        <f>IF(AND(AND(AND(AV$4&gt;='2025'!$L421,AV$4&lt;='2025'!$M421), AV$4&lt;&gt;DATE(2025,7,4)), (SWITCH(weekday(AV$4), 1, 0, 2, if(ISBLANK('2025'!$P421), 0, 1), 3, if(ISBLANK('2025'!$Q421), 0, 1), 4, if(ISBLANK('2025'!$R421), 0, 1), 5, if(ISBLANK('2025'!$S421), 0, 1), 6, if(ISBLANK('2025'!$T421), 0, 1), 7, 0))), 1, "")</f>
        <v/>
      </c>
      <c r="AW458" s="1" t="str">
        <f>IF(AND(AND(AND(AW$4&gt;='2025'!$L421,AW$4&lt;='2025'!$M421), AW$4&lt;&gt;DATE(2025,7,4)), (SWITCH(weekday(AW$4), 1, 0, 2, if(ISBLANK('2025'!$P421), 0, 1), 3, if(ISBLANK('2025'!$Q421), 0, 1), 4, if(ISBLANK('2025'!$R421), 0, 1), 5, if(ISBLANK('2025'!$S421), 0, 1), 6, if(ISBLANK('2025'!$T421), 0, 1), 7, 0))), 1, "")</f>
        <v/>
      </c>
      <c r="AX458" s="1" t="str">
        <f>IF(AND(AND(AND(AX$4&gt;='2025'!$L421,AX$4&lt;='2025'!$M421), AX$4&lt;&gt;DATE(2025,7,4)), (SWITCH(weekday(AX$4), 1, 0, 2, if(ISBLANK('2025'!$P421), 0, 1), 3, if(ISBLANK('2025'!$Q421), 0, 1), 4, if(ISBLANK('2025'!$R421), 0, 1), 5, if(ISBLANK('2025'!$S421), 0, 1), 6, if(ISBLANK('2025'!$T421), 0, 1), 7, 0))), 1, "")</f>
        <v/>
      </c>
      <c r="AY458" s="1" t="str">
        <f>IF(AND(AND(AND(AY$4&gt;='2025'!$L421,AY$4&lt;='2025'!$M421), AY$4&lt;&gt;DATE(2025,7,4)), (SWITCH(weekday(AY$4), 1, 0, 2, if(ISBLANK('2025'!$P421), 0, 1), 3, if(ISBLANK('2025'!$Q421), 0, 1), 4, if(ISBLANK('2025'!$R421), 0, 1), 5, if(ISBLANK('2025'!$S421), 0, 1), 6, if(ISBLANK('2025'!$T421), 0, 1), 7, 0))), 1, "")</f>
        <v/>
      </c>
      <c r="AZ458" s="1" t="str">
        <f>IF(AND(AND(AND(AZ$4&gt;='2025'!$L421,AZ$4&lt;='2025'!$M421), AZ$4&lt;&gt;DATE(2025,7,4)), (SWITCH(weekday(AZ$4), 1, 0, 2, if(ISBLANK('2025'!$P421), 0, 1), 3, if(ISBLANK('2025'!$Q421), 0, 1), 4, if(ISBLANK('2025'!$R421), 0, 1), 5, if(ISBLANK('2025'!$S421), 0, 1), 6, if(ISBLANK('2025'!$T421), 0, 1), 7, 0))), 1, "")</f>
        <v/>
      </c>
      <c r="BA458" s="1" t="str">
        <f>IF(AND(AND(AND(BA$4&gt;='2025'!$L421,BA$4&lt;='2025'!$M421), BA$4&lt;&gt;DATE(2025,7,4)), (SWITCH(weekday(BA$4), 1, 0, 2, if(ISBLANK('2025'!$P421), 0, 1), 3, if(ISBLANK('2025'!$Q421), 0, 1), 4, if(ISBLANK('2025'!$R421), 0, 1), 5, if(ISBLANK('2025'!$S421), 0, 1), 6, if(ISBLANK('2025'!$T421), 0, 1), 7, 0))), 1, "")</f>
        <v/>
      </c>
      <c r="BB458" s="1" t="str">
        <f>IF(AND(AND(AND(BB$4&gt;='2025'!$L421,BB$4&lt;='2025'!$M421), BB$4&lt;&gt;DATE(2025,7,4)), (SWITCH(weekday(BB$4), 1, 0, 2, if(ISBLANK('2025'!$P421), 0, 1), 3, if(ISBLANK('2025'!$Q421), 0, 1), 4, if(ISBLANK('2025'!$R421), 0, 1), 5, if(ISBLANK('2025'!$S421), 0, 1), 6, if(ISBLANK('2025'!$T421), 0, 1), 7, 0))), 1, "")</f>
        <v/>
      </c>
      <c r="BC458" s="1" t="str">
        <f>IF(AND(AND(AND(BC$4&gt;='2025'!$L421,BC$4&lt;='2025'!$M421), BC$4&lt;&gt;DATE(2025,7,4)), (SWITCH(weekday(BC$4), 1, 0, 2, if(ISBLANK('2025'!$P421), 0, 1), 3, if(ISBLANK('2025'!$Q421), 0, 1), 4, if(ISBLANK('2025'!$R421), 0, 1), 5, if(ISBLANK('2025'!$S421), 0, 1), 6, if(ISBLANK('2025'!$T421), 0, 1), 7, 0))), 1, "")</f>
        <v/>
      </c>
      <c r="BD458" s="1" t="str">
        <f>IF(AND(AND(AND(BD$4&gt;='2025'!$L421,BD$4&lt;='2025'!$M421), BD$4&lt;&gt;DATE(2025,7,4)), (SWITCH(weekday(BD$4), 1, 0, 2, if(ISBLANK('2025'!$P421), 0, 1), 3, if(ISBLANK('2025'!$Q421), 0, 1), 4, if(ISBLANK('2025'!$R421), 0, 1), 5, if(ISBLANK('2025'!$S421), 0, 1), 6, if(ISBLANK('2025'!$T421), 0, 1), 7, 0))), 1, "")</f>
        <v/>
      </c>
      <c r="BE458" s="1" t="str">
        <f>IF(AND(AND(AND(BE$4&gt;='2025'!$L421,BE$4&lt;='2025'!$M421), BE$4&lt;&gt;DATE(2025,7,4)), (SWITCH(weekday(BE$4), 1, 0, 2, if(ISBLANK('2025'!$P421), 0, 1), 3, if(ISBLANK('2025'!$Q421), 0, 1), 4, if(ISBLANK('2025'!$R421), 0, 1), 5, if(ISBLANK('2025'!$S421), 0, 1), 6, if(ISBLANK('2025'!$T421), 0, 1), 7, 0))), 1, "")</f>
        <v/>
      </c>
    </row>
    <row r="459">
      <c r="A459" s="1">
        <f t="shared" si="3"/>
        <v>459</v>
      </c>
      <c r="B459" s="1" t="str">
        <f>'2025'!D422</f>
        <v/>
      </c>
      <c r="C459" s="1" t="str">
        <f>'2025'!H422</f>
        <v/>
      </c>
      <c r="D459" s="1" t="str">
        <f>IF(AND(AND(AND(D$4&gt;='2025'!$L422,D$4&lt;='2025'!$M422), D$4&lt;&gt;DATE(2025,7,4)), (SWITCH(weekday(D$4), 1, 0, 2, if(ISBLANK('2025'!$P422), 0, 1), 3, if(ISBLANK('2025'!$Q422), 0, 1), 4, if(ISBLANK('2025'!$R422), 0, 1), 5, if(ISBLANK('2025'!$S422), 0, 1), 6, if(ISBLANK('2025'!$T422), 0, 1), 7, 0))), 1, "")</f>
        <v/>
      </c>
      <c r="E459" s="1" t="str">
        <f>IF(AND(AND(AND(E$4&gt;='2025'!$L422,E$4&lt;='2025'!$M422), E$4&lt;&gt;DATE(2025,7,4)), (SWITCH(weekday(E$4), 1, 0, 2, if(ISBLANK('2025'!$P422), 0, 1), 3, if(ISBLANK('2025'!$Q422), 0, 1), 4, if(ISBLANK('2025'!$R422), 0, 1), 5, if(ISBLANK('2025'!$S422), 0, 1), 6, if(ISBLANK('2025'!$T422), 0, 1), 7, 0))), 1, "")</f>
        <v/>
      </c>
      <c r="F459" s="1" t="str">
        <f>IF(AND(AND(AND(F$4&gt;='2025'!$L422,F$4&lt;='2025'!$M422), F$4&lt;&gt;DATE(2025,7,4)), (SWITCH(weekday(F$4), 1, 0, 2, if(ISBLANK('2025'!$P422), 0, 1), 3, if(ISBLANK('2025'!$Q422), 0, 1), 4, if(ISBLANK('2025'!$R422), 0, 1), 5, if(ISBLANK('2025'!$S422), 0, 1), 6, if(ISBLANK('2025'!$T422), 0, 1), 7, 0))), 1, "")</f>
        <v/>
      </c>
      <c r="G459" s="1" t="str">
        <f>IF(AND(AND(AND(G$4&gt;='2025'!$L422,G$4&lt;='2025'!$M422), G$4&lt;&gt;DATE(2025,7,4)), (SWITCH(weekday(G$4), 1, 0, 2, if(ISBLANK('2025'!$P422), 0, 1), 3, if(ISBLANK('2025'!$Q422), 0, 1), 4, if(ISBLANK('2025'!$R422), 0, 1), 5, if(ISBLANK('2025'!$S422), 0, 1), 6, if(ISBLANK('2025'!$T422), 0, 1), 7, 0))), 1, "")</f>
        <v/>
      </c>
      <c r="H459" s="1" t="str">
        <f>IF(AND(AND(AND(H$4&gt;='2025'!$L422,H$4&lt;='2025'!$M422), H$4&lt;&gt;DATE(2025,7,4)), (SWITCH(weekday(H$4), 1, 0, 2, if(ISBLANK('2025'!$P422), 0, 1), 3, if(ISBLANK('2025'!$Q422), 0, 1), 4, if(ISBLANK('2025'!$R422), 0, 1), 5, if(ISBLANK('2025'!$S422), 0, 1), 6, if(ISBLANK('2025'!$T422), 0, 1), 7, 0))), 1, "")</f>
        <v/>
      </c>
      <c r="I459" s="1" t="str">
        <f>IF(AND(AND(AND(I$4&gt;='2025'!$L422,I$4&lt;='2025'!$M422), I$4&lt;&gt;DATE(2025,7,4)), (SWITCH(weekday(I$4), 1, 0, 2, if(ISBLANK('2025'!$P422), 0, 1), 3, if(ISBLANK('2025'!$Q422), 0, 1), 4, if(ISBLANK('2025'!$R422), 0, 1), 5, if(ISBLANK('2025'!$S422), 0, 1), 6, if(ISBLANK('2025'!$T422), 0, 1), 7, 0))), 1, "")</f>
        <v/>
      </c>
      <c r="J459" s="1" t="str">
        <f>IF(AND(AND(AND(J$4&gt;='2025'!$L422,J$4&lt;='2025'!$M422), J$4&lt;&gt;DATE(2025,7,4)), (SWITCH(weekday(J$4), 1, 0, 2, if(ISBLANK('2025'!$P422), 0, 1), 3, if(ISBLANK('2025'!$Q422), 0, 1), 4, if(ISBLANK('2025'!$R422), 0, 1), 5, if(ISBLANK('2025'!$S422), 0, 1), 6, if(ISBLANK('2025'!$T422), 0, 1), 7, 0))), 1, "")</f>
        <v/>
      </c>
      <c r="K459" s="1" t="str">
        <f>IF(AND(AND(AND(K$4&gt;='2025'!$L422,K$4&lt;='2025'!$M422), K$4&lt;&gt;DATE(2025,7,4)), (SWITCH(weekday(K$4), 1, 0, 2, if(ISBLANK('2025'!$P422), 0, 1), 3, if(ISBLANK('2025'!$Q422), 0, 1), 4, if(ISBLANK('2025'!$R422), 0, 1), 5, if(ISBLANK('2025'!$S422), 0, 1), 6, if(ISBLANK('2025'!$T422), 0, 1), 7, 0))), 1, "")</f>
        <v/>
      </c>
      <c r="L459" s="1" t="str">
        <f>IF(AND(AND(AND(L$4&gt;='2025'!$L422,L$4&lt;='2025'!$M422), L$4&lt;&gt;DATE(2025,7,4)), (SWITCH(weekday(L$4), 1, 0, 2, if(ISBLANK('2025'!$P422), 0, 1), 3, if(ISBLANK('2025'!$Q422), 0, 1), 4, if(ISBLANK('2025'!$R422), 0, 1), 5, if(ISBLANK('2025'!$S422), 0, 1), 6, if(ISBLANK('2025'!$T422), 0, 1), 7, 0))), 1, "")</f>
        <v/>
      </c>
      <c r="M459" s="1" t="str">
        <f>IF(AND(AND(AND(M$4&gt;='2025'!$L422,M$4&lt;='2025'!$M422), M$4&lt;&gt;DATE(2025,7,4)), (SWITCH(weekday(M$4), 1, 0, 2, if(ISBLANK('2025'!$P422), 0, 1), 3, if(ISBLANK('2025'!$Q422), 0, 1), 4, if(ISBLANK('2025'!$R422), 0, 1), 5, if(ISBLANK('2025'!$S422), 0, 1), 6, if(ISBLANK('2025'!$T422), 0, 1), 7, 0))), 1, "")</f>
        <v/>
      </c>
      <c r="N459" s="1" t="str">
        <f>IF(AND(AND(AND(N$4&gt;='2025'!$L422,N$4&lt;='2025'!$M422), N$4&lt;&gt;DATE(2025,7,4)), (SWITCH(weekday(N$4), 1, 0, 2, if(ISBLANK('2025'!$P422), 0, 1), 3, if(ISBLANK('2025'!$Q422), 0, 1), 4, if(ISBLANK('2025'!$R422), 0, 1), 5, if(ISBLANK('2025'!$S422), 0, 1), 6, if(ISBLANK('2025'!$T422), 0, 1), 7, 0))), 1, "")</f>
        <v/>
      </c>
      <c r="O459" s="1" t="str">
        <f>IF(AND(AND(AND(O$4&gt;='2025'!$L422,O$4&lt;='2025'!$M422), O$4&lt;&gt;DATE(2025,7,4)), (SWITCH(weekday(O$4), 1, 0, 2, if(ISBLANK('2025'!$P422), 0, 1), 3, if(ISBLANK('2025'!$Q422), 0, 1), 4, if(ISBLANK('2025'!$R422), 0, 1), 5, if(ISBLANK('2025'!$S422), 0, 1), 6, if(ISBLANK('2025'!$T422), 0, 1), 7, 0))), 1, "")</f>
        <v/>
      </c>
      <c r="P459" s="1" t="str">
        <f>IF(AND(AND(AND(P$4&gt;='2025'!$L422,P$4&lt;='2025'!$M422), P$4&lt;&gt;DATE(2025,7,4)), (SWITCH(weekday(P$4), 1, 0, 2, if(ISBLANK('2025'!$P422), 0, 1), 3, if(ISBLANK('2025'!$Q422), 0, 1), 4, if(ISBLANK('2025'!$R422), 0, 1), 5, if(ISBLANK('2025'!$S422), 0, 1), 6, if(ISBLANK('2025'!$T422), 0, 1), 7, 0))), 1, "")</f>
        <v/>
      </c>
      <c r="Q459" s="1" t="str">
        <f>IF(AND(AND(AND(Q$4&gt;='2025'!$L422,Q$4&lt;='2025'!$M422), Q$4&lt;&gt;DATE(2025,7,4)), (SWITCH(weekday(Q$4), 1, 0, 2, if(ISBLANK('2025'!$P422), 0, 1), 3, if(ISBLANK('2025'!$Q422), 0, 1), 4, if(ISBLANK('2025'!$R422), 0, 1), 5, if(ISBLANK('2025'!$S422), 0, 1), 6, if(ISBLANK('2025'!$T422), 0, 1), 7, 0))), 1, "")</f>
        <v/>
      </c>
      <c r="R459" s="1" t="str">
        <f>IF(AND(AND(AND(R$4&gt;='2025'!$L422,R$4&lt;='2025'!$M422), R$4&lt;&gt;DATE(2025,7,4)), (SWITCH(weekday(R$4), 1, 0, 2, if(ISBLANK('2025'!$P422), 0, 1), 3, if(ISBLANK('2025'!$Q422), 0, 1), 4, if(ISBLANK('2025'!$R422), 0, 1), 5, if(ISBLANK('2025'!$S422), 0, 1), 6, if(ISBLANK('2025'!$T422), 0, 1), 7, 0))), 1, "")</f>
        <v/>
      </c>
      <c r="S459" s="1" t="str">
        <f>IF(AND(AND(AND(S$4&gt;='2025'!$L422,S$4&lt;='2025'!$M422), S$4&lt;&gt;DATE(2025,7,4)), (SWITCH(weekday(S$4), 1, 0, 2, if(ISBLANK('2025'!$P422), 0, 1), 3, if(ISBLANK('2025'!$Q422), 0, 1), 4, if(ISBLANK('2025'!$R422), 0, 1), 5, if(ISBLANK('2025'!$S422), 0, 1), 6, if(ISBLANK('2025'!$T422), 0, 1), 7, 0))), 1, "")</f>
        <v/>
      </c>
      <c r="T459" s="1" t="str">
        <f>IF(AND(AND(AND(T$4&gt;='2025'!$L422,T$4&lt;='2025'!$M422), T$4&lt;&gt;DATE(2025,7,4)), (SWITCH(weekday(T$4), 1, 0, 2, if(ISBLANK('2025'!$P422), 0, 1), 3, if(ISBLANK('2025'!$Q422), 0, 1), 4, if(ISBLANK('2025'!$R422), 0, 1), 5, if(ISBLANK('2025'!$S422), 0, 1), 6, if(ISBLANK('2025'!$T422), 0, 1), 7, 0))), 1, "")</f>
        <v/>
      </c>
      <c r="U459" s="1" t="str">
        <f>IF(AND(AND(AND(U$4&gt;='2025'!$L422,U$4&lt;='2025'!$M422), U$4&lt;&gt;DATE(2025,7,4)), (SWITCH(weekday(U$4), 1, 0, 2, if(ISBLANK('2025'!$P422), 0, 1), 3, if(ISBLANK('2025'!$Q422), 0, 1), 4, if(ISBLANK('2025'!$R422), 0, 1), 5, if(ISBLANK('2025'!$S422), 0, 1), 6, if(ISBLANK('2025'!$T422), 0, 1), 7, 0))), 1, "")</f>
        <v/>
      </c>
      <c r="V459" s="1" t="str">
        <f>IF(AND(AND(AND(V$4&gt;='2025'!$L422,V$4&lt;='2025'!$M422), V$4&lt;&gt;DATE(2025,7,4)), (SWITCH(weekday(V$4), 1, 0, 2, if(ISBLANK('2025'!$P422), 0, 1), 3, if(ISBLANK('2025'!$Q422), 0, 1), 4, if(ISBLANK('2025'!$R422), 0, 1), 5, if(ISBLANK('2025'!$S422), 0, 1), 6, if(ISBLANK('2025'!$T422), 0, 1), 7, 0))), 1, "")</f>
        <v/>
      </c>
      <c r="W459" s="1" t="str">
        <f>IF(AND(AND(AND(W$4&gt;='2025'!$L422,W$4&lt;='2025'!$M422), W$4&lt;&gt;DATE(2025,7,4)), (SWITCH(weekday(W$4), 1, 0, 2, if(ISBLANK('2025'!$P422), 0, 1), 3, if(ISBLANK('2025'!$Q422), 0, 1), 4, if(ISBLANK('2025'!$R422), 0, 1), 5, if(ISBLANK('2025'!$S422), 0, 1), 6, if(ISBLANK('2025'!$T422), 0, 1), 7, 0))), 1, "")</f>
        <v/>
      </c>
      <c r="X459" s="1" t="str">
        <f>IF(AND(AND(AND(X$4&gt;='2025'!$L422,X$4&lt;='2025'!$M422), X$4&lt;&gt;DATE(2025,7,4)), (SWITCH(weekday(X$4), 1, 0, 2, if(ISBLANK('2025'!$P422), 0, 1), 3, if(ISBLANK('2025'!$Q422), 0, 1), 4, if(ISBLANK('2025'!$R422), 0, 1), 5, if(ISBLANK('2025'!$S422), 0, 1), 6, if(ISBLANK('2025'!$T422), 0, 1), 7, 0))), 1, "")</f>
        <v/>
      </c>
      <c r="Y459" s="1" t="str">
        <f>IF(AND(AND(AND(Y$4&gt;='2025'!$L422,Y$4&lt;='2025'!$M422), Y$4&lt;&gt;DATE(2025,7,4)), (SWITCH(weekday(Y$4), 1, 0, 2, if(ISBLANK('2025'!$P422), 0, 1), 3, if(ISBLANK('2025'!$Q422), 0, 1), 4, if(ISBLANK('2025'!$R422), 0, 1), 5, if(ISBLANK('2025'!$S422), 0, 1), 6, if(ISBLANK('2025'!$T422), 0, 1), 7, 0))), 1, "")</f>
        <v/>
      </c>
      <c r="Z459" s="1" t="str">
        <f>IF(AND(AND(AND(Z$4&gt;='2025'!$L422,Z$4&lt;='2025'!$M422), Z$4&lt;&gt;DATE(2025,7,4)), (SWITCH(weekday(Z$4), 1, 0, 2, if(ISBLANK('2025'!$P422), 0, 1), 3, if(ISBLANK('2025'!$Q422), 0, 1), 4, if(ISBLANK('2025'!$R422), 0, 1), 5, if(ISBLANK('2025'!$S422), 0, 1), 6, if(ISBLANK('2025'!$T422), 0, 1), 7, 0))), 1, "")</f>
        <v/>
      </c>
      <c r="AA459" s="1" t="str">
        <f>IF(AND(AND(AND(AA$4&gt;='2025'!$L422,AA$4&lt;='2025'!$M422), AA$4&lt;&gt;DATE(2025,7,4)), (SWITCH(weekday(AA$4), 1, 0, 2, if(ISBLANK('2025'!$P422), 0, 1), 3, if(ISBLANK('2025'!$Q422), 0, 1), 4, if(ISBLANK('2025'!$R422), 0, 1), 5, if(ISBLANK('2025'!$S422), 0, 1), 6, if(ISBLANK('2025'!$T422), 0, 1), 7, 0))), 1, "")</f>
        <v/>
      </c>
      <c r="AB459" s="1" t="str">
        <f>IF(AND(AND(AND(AB$4&gt;='2025'!$L422,AB$4&lt;='2025'!$M422), AB$4&lt;&gt;DATE(2025,7,4)), (SWITCH(weekday(AB$4), 1, 0, 2, if(ISBLANK('2025'!$P422), 0, 1), 3, if(ISBLANK('2025'!$Q422), 0, 1), 4, if(ISBLANK('2025'!$R422), 0, 1), 5, if(ISBLANK('2025'!$S422), 0, 1), 6, if(ISBLANK('2025'!$T422), 0, 1), 7, 0))), 1, "")</f>
        <v/>
      </c>
      <c r="AC459" s="1" t="str">
        <f>IF(AND(AND(AND(AC$4&gt;='2025'!$L422,AC$4&lt;='2025'!$M422), AC$4&lt;&gt;DATE(2025,7,4)), (SWITCH(weekday(AC$4), 1, 0, 2, if(ISBLANK('2025'!$P422), 0, 1), 3, if(ISBLANK('2025'!$Q422), 0, 1), 4, if(ISBLANK('2025'!$R422), 0, 1), 5, if(ISBLANK('2025'!$S422), 0, 1), 6, if(ISBLANK('2025'!$T422), 0, 1), 7, 0))), 1, "")</f>
        <v/>
      </c>
      <c r="AD459" s="1" t="str">
        <f>IF(AND(AND(AND(AD$4&gt;='2025'!$L422,AD$4&lt;='2025'!$M422), AD$4&lt;&gt;DATE(2025,7,4)), (SWITCH(weekday(AD$4), 1, 0, 2, if(ISBLANK('2025'!$P422), 0, 1), 3, if(ISBLANK('2025'!$Q422), 0, 1), 4, if(ISBLANK('2025'!$R422), 0, 1), 5, if(ISBLANK('2025'!$S422), 0, 1), 6, if(ISBLANK('2025'!$T422), 0, 1), 7, 0))), 1, "")</f>
        <v/>
      </c>
      <c r="AE459" s="1" t="str">
        <f>IF(AND(AND(AND(AE$4&gt;='2025'!$L422,AE$4&lt;='2025'!$M422), AE$4&lt;&gt;DATE(2025,7,4)), (SWITCH(weekday(AE$4), 1, 0, 2, if(ISBLANK('2025'!$P422), 0, 1), 3, if(ISBLANK('2025'!$Q422), 0, 1), 4, if(ISBLANK('2025'!$R422), 0, 1), 5, if(ISBLANK('2025'!$S422), 0, 1), 6, if(ISBLANK('2025'!$T422), 0, 1), 7, 0))), 1, "")</f>
        <v/>
      </c>
      <c r="AF459" s="1" t="str">
        <f>IF(AND(AND(AND(AF$4&gt;='2025'!$L422,AF$4&lt;='2025'!$M422), AF$4&lt;&gt;DATE(2025,7,4)), (SWITCH(weekday(AF$4), 1, 0, 2, if(ISBLANK('2025'!$P422), 0, 1), 3, if(ISBLANK('2025'!$Q422), 0, 1), 4, if(ISBLANK('2025'!$R422), 0, 1), 5, if(ISBLANK('2025'!$S422), 0, 1), 6, if(ISBLANK('2025'!$T422), 0, 1), 7, 0))), 1, "")</f>
        <v/>
      </c>
      <c r="AG459" s="1" t="str">
        <f>IF(AND(AND(AND(AG$4&gt;='2025'!$L422,AG$4&lt;='2025'!$M422), AG$4&lt;&gt;DATE(2025,7,4)), (SWITCH(weekday(AG$4), 1, 0, 2, if(ISBLANK('2025'!$P422), 0, 1), 3, if(ISBLANK('2025'!$Q422), 0, 1), 4, if(ISBLANK('2025'!$R422), 0, 1), 5, if(ISBLANK('2025'!$S422), 0, 1), 6, if(ISBLANK('2025'!$T422), 0, 1), 7, 0))), 1, "")</f>
        <v/>
      </c>
      <c r="AH459" s="1" t="str">
        <f>IF(AND(AND(AND(AH$4&gt;='2025'!$L422,AH$4&lt;='2025'!$M422), AH$4&lt;&gt;DATE(2025,7,4)), (SWITCH(weekday(AH$4), 1, 0, 2, if(ISBLANK('2025'!$P422), 0, 1), 3, if(ISBLANK('2025'!$Q422), 0, 1), 4, if(ISBLANK('2025'!$R422), 0, 1), 5, if(ISBLANK('2025'!$S422), 0, 1), 6, if(ISBLANK('2025'!$T422), 0, 1), 7, 0))), 1, "")</f>
        <v/>
      </c>
      <c r="AI459" s="1" t="str">
        <f>IF(AND(AND(AND(AI$4&gt;='2025'!$L422,AI$4&lt;='2025'!$M422), AI$4&lt;&gt;DATE(2025,7,4)), (SWITCH(weekday(AI$4), 1, 0, 2, if(ISBLANK('2025'!$P422), 0, 1), 3, if(ISBLANK('2025'!$Q422), 0, 1), 4, if(ISBLANK('2025'!$R422), 0, 1), 5, if(ISBLANK('2025'!$S422), 0, 1), 6, if(ISBLANK('2025'!$T422), 0, 1), 7, 0))), 1, "")</f>
        <v/>
      </c>
      <c r="AJ459" s="1" t="str">
        <f>IF(AND(AND(AND(AJ$4&gt;='2025'!$L422,AJ$4&lt;='2025'!$M422), AJ$4&lt;&gt;DATE(2025,7,4)), (SWITCH(weekday(AJ$4), 1, 0, 2, if(ISBLANK('2025'!$P422), 0, 1), 3, if(ISBLANK('2025'!$Q422), 0, 1), 4, if(ISBLANK('2025'!$R422), 0, 1), 5, if(ISBLANK('2025'!$S422), 0, 1), 6, if(ISBLANK('2025'!$T422), 0, 1), 7, 0))), 1, "")</f>
        <v/>
      </c>
      <c r="AK459" s="1" t="str">
        <f>IF(AND(AND(AND(AK$4&gt;='2025'!$L422,AK$4&lt;='2025'!$M422), AK$4&lt;&gt;DATE(2025,7,4)), (SWITCH(weekday(AK$4), 1, 0, 2, if(ISBLANK('2025'!$P422), 0, 1), 3, if(ISBLANK('2025'!$Q422), 0, 1), 4, if(ISBLANK('2025'!$R422), 0, 1), 5, if(ISBLANK('2025'!$S422), 0, 1), 6, if(ISBLANK('2025'!$T422), 0, 1), 7, 0))), 1, "")</f>
        <v/>
      </c>
      <c r="AL459" s="1" t="str">
        <f>IF(AND(AND(AND(AL$4&gt;='2025'!$L422,AL$4&lt;='2025'!$M422), AL$4&lt;&gt;DATE(2025,7,4)), (SWITCH(weekday(AL$4), 1, 0, 2, if(ISBLANK('2025'!$P422), 0, 1), 3, if(ISBLANK('2025'!$Q422), 0, 1), 4, if(ISBLANK('2025'!$R422), 0, 1), 5, if(ISBLANK('2025'!$S422), 0, 1), 6, if(ISBLANK('2025'!$T422), 0, 1), 7, 0))), 1, "")</f>
        <v/>
      </c>
      <c r="AM459" s="1" t="str">
        <f>IF(AND(AND(AND(AM$4&gt;='2025'!$L422,AM$4&lt;='2025'!$M422), AM$4&lt;&gt;DATE(2025,7,4)), (SWITCH(weekday(AM$4), 1, 0, 2, if(ISBLANK('2025'!$P422), 0, 1), 3, if(ISBLANK('2025'!$Q422), 0, 1), 4, if(ISBLANK('2025'!$R422), 0, 1), 5, if(ISBLANK('2025'!$S422), 0, 1), 6, if(ISBLANK('2025'!$T422), 0, 1), 7, 0))), 1, "")</f>
        <v/>
      </c>
      <c r="AN459" s="1" t="str">
        <f>IF(AND(AND(AND(AN$4&gt;='2025'!$L422,AN$4&lt;='2025'!$M422), AN$4&lt;&gt;DATE(2025,7,4)), (SWITCH(weekday(AN$4), 1, 0, 2, if(ISBLANK('2025'!$P422), 0, 1), 3, if(ISBLANK('2025'!$Q422), 0, 1), 4, if(ISBLANK('2025'!$R422), 0, 1), 5, if(ISBLANK('2025'!$S422), 0, 1), 6, if(ISBLANK('2025'!$T422), 0, 1), 7, 0))), 1, "")</f>
        <v/>
      </c>
      <c r="AO459" s="1" t="str">
        <f>IF(AND(AND(AND(AO$4&gt;='2025'!$L422,AO$4&lt;='2025'!$M422), AO$4&lt;&gt;DATE(2025,7,4)), (SWITCH(weekday(AO$4), 1, 0, 2, if(ISBLANK('2025'!$P422), 0, 1), 3, if(ISBLANK('2025'!$Q422), 0, 1), 4, if(ISBLANK('2025'!$R422), 0, 1), 5, if(ISBLANK('2025'!$S422), 0, 1), 6, if(ISBLANK('2025'!$T422), 0, 1), 7, 0))), 1, "")</f>
        <v/>
      </c>
      <c r="AP459" s="1" t="str">
        <f>IF(AND(AND(AND(AP$4&gt;='2025'!$L422,AP$4&lt;='2025'!$M422), AP$4&lt;&gt;DATE(2025,7,4)), (SWITCH(weekday(AP$4), 1, 0, 2, if(ISBLANK('2025'!$P422), 0, 1), 3, if(ISBLANK('2025'!$Q422), 0, 1), 4, if(ISBLANK('2025'!$R422), 0, 1), 5, if(ISBLANK('2025'!$S422), 0, 1), 6, if(ISBLANK('2025'!$T422), 0, 1), 7, 0))), 1, "")</f>
        <v/>
      </c>
      <c r="AQ459" s="1" t="str">
        <f>IF(AND(AND(AND(AQ$4&gt;='2025'!$L422,AQ$4&lt;='2025'!$M422), AQ$4&lt;&gt;DATE(2025,7,4)), (SWITCH(weekday(AQ$4), 1, 0, 2, if(ISBLANK('2025'!$P422), 0, 1), 3, if(ISBLANK('2025'!$Q422), 0, 1), 4, if(ISBLANK('2025'!$R422), 0, 1), 5, if(ISBLANK('2025'!$S422), 0, 1), 6, if(ISBLANK('2025'!$T422), 0, 1), 7, 0))), 1, "")</f>
        <v/>
      </c>
      <c r="AR459" s="1" t="str">
        <f>IF(AND(AND(AND(AR$4&gt;='2025'!$L422,AR$4&lt;='2025'!$M422), AR$4&lt;&gt;DATE(2025,7,4)), (SWITCH(weekday(AR$4), 1, 0, 2, if(ISBLANK('2025'!$P422), 0, 1), 3, if(ISBLANK('2025'!$Q422), 0, 1), 4, if(ISBLANK('2025'!$R422), 0, 1), 5, if(ISBLANK('2025'!$S422), 0, 1), 6, if(ISBLANK('2025'!$T422), 0, 1), 7, 0))), 1, "")</f>
        <v/>
      </c>
      <c r="AS459" s="1" t="str">
        <f>IF(AND(AND(AND(AS$4&gt;='2025'!$L422,AS$4&lt;='2025'!$M422), AS$4&lt;&gt;DATE(2025,7,4)), (SWITCH(weekday(AS$4), 1, 0, 2, if(ISBLANK('2025'!$P422), 0, 1), 3, if(ISBLANK('2025'!$Q422), 0, 1), 4, if(ISBLANK('2025'!$R422), 0, 1), 5, if(ISBLANK('2025'!$S422), 0, 1), 6, if(ISBLANK('2025'!$T422), 0, 1), 7, 0))), 1, "")</f>
        <v/>
      </c>
      <c r="AT459" s="1" t="str">
        <f>IF(AND(AND(AND(AT$4&gt;='2025'!$L422,AT$4&lt;='2025'!$M422), AT$4&lt;&gt;DATE(2025,7,4)), (SWITCH(weekday(AT$4), 1, 0, 2, if(ISBLANK('2025'!$P422), 0, 1), 3, if(ISBLANK('2025'!$Q422), 0, 1), 4, if(ISBLANK('2025'!$R422), 0, 1), 5, if(ISBLANK('2025'!$S422), 0, 1), 6, if(ISBLANK('2025'!$T422), 0, 1), 7, 0))), 1, "")</f>
        <v/>
      </c>
      <c r="AU459" s="1" t="str">
        <f>IF(AND(AND(AND(AU$4&gt;='2025'!$L422,AU$4&lt;='2025'!$M422), AU$4&lt;&gt;DATE(2025,7,4)), (SWITCH(weekday(AU$4), 1, 0, 2, if(ISBLANK('2025'!$P422), 0, 1), 3, if(ISBLANK('2025'!$Q422), 0, 1), 4, if(ISBLANK('2025'!$R422), 0, 1), 5, if(ISBLANK('2025'!$S422), 0, 1), 6, if(ISBLANK('2025'!$T422), 0, 1), 7, 0))), 1, "")</f>
        <v/>
      </c>
      <c r="AV459" s="1" t="str">
        <f>IF(AND(AND(AND(AV$4&gt;='2025'!$L422,AV$4&lt;='2025'!$M422), AV$4&lt;&gt;DATE(2025,7,4)), (SWITCH(weekday(AV$4), 1, 0, 2, if(ISBLANK('2025'!$P422), 0, 1), 3, if(ISBLANK('2025'!$Q422), 0, 1), 4, if(ISBLANK('2025'!$R422), 0, 1), 5, if(ISBLANK('2025'!$S422), 0, 1), 6, if(ISBLANK('2025'!$T422), 0, 1), 7, 0))), 1, "")</f>
        <v/>
      </c>
      <c r="AW459" s="1" t="str">
        <f>IF(AND(AND(AND(AW$4&gt;='2025'!$L422,AW$4&lt;='2025'!$M422), AW$4&lt;&gt;DATE(2025,7,4)), (SWITCH(weekday(AW$4), 1, 0, 2, if(ISBLANK('2025'!$P422), 0, 1), 3, if(ISBLANK('2025'!$Q422), 0, 1), 4, if(ISBLANK('2025'!$R422), 0, 1), 5, if(ISBLANK('2025'!$S422), 0, 1), 6, if(ISBLANK('2025'!$T422), 0, 1), 7, 0))), 1, "")</f>
        <v/>
      </c>
      <c r="AX459" s="1" t="str">
        <f>IF(AND(AND(AND(AX$4&gt;='2025'!$L422,AX$4&lt;='2025'!$M422), AX$4&lt;&gt;DATE(2025,7,4)), (SWITCH(weekday(AX$4), 1, 0, 2, if(ISBLANK('2025'!$P422), 0, 1), 3, if(ISBLANK('2025'!$Q422), 0, 1), 4, if(ISBLANK('2025'!$R422), 0, 1), 5, if(ISBLANK('2025'!$S422), 0, 1), 6, if(ISBLANK('2025'!$T422), 0, 1), 7, 0))), 1, "")</f>
        <v/>
      </c>
      <c r="AY459" s="1" t="str">
        <f>IF(AND(AND(AND(AY$4&gt;='2025'!$L422,AY$4&lt;='2025'!$M422), AY$4&lt;&gt;DATE(2025,7,4)), (SWITCH(weekday(AY$4), 1, 0, 2, if(ISBLANK('2025'!$P422), 0, 1), 3, if(ISBLANK('2025'!$Q422), 0, 1), 4, if(ISBLANK('2025'!$R422), 0, 1), 5, if(ISBLANK('2025'!$S422), 0, 1), 6, if(ISBLANK('2025'!$T422), 0, 1), 7, 0))), 1, "")</f>
        <v/>
      </c>
      <c r="AZ459" s="1" t="str">
        <f>IF(AND(AND(AND(AZ$4&gt;='2025'!$L422,AZ$4&lt;='2025'!$M422), AZ$4&lt;&gt;DATE(2025,7,4)), (SWITCH(weekday(AZ$4), 1, 0, 2, if(ISBLANK('2025'!$P422), 0, 1), 3, if(ISBLANK('2025'!$Q422), 0, 1), 4, if(ISBLANK('2025'!$R422), 0, 1), 5, if(ISBLANK('2025'!$S422), 0, 1), 6, if(ISBLANK('2025'!$T422), 0, 1), 7, 0))), 1, "")</f>
        <v/>
      </c>
      <c r="BA459" s="1" t="str">
        <f>IF(AND(AND(AND(BA$4&gt;='2025'!$L422,BA$4&lt;='2025'!$M422), BA$4&lt;&gt;DATE(2025,7,4)), (SWITCH(weekday(BA$4), 1, 0, 2, if(ISBLANK('2025'!$P422), 0, 1), 3, if(ISBLANK('2025'!$Q422), 0, 1), 4, if(ISBLANK('2025'!$R422), 0, 1), 5, if(ISBLANK('2025'!$S422), 0, 1), 6, if(ISBLANK('2025'!$T422), 0, 1), 7, 0))), 1, "")</f>
        <v/>
      </c>
      <c r="BB459" s="1" t="str">
        <f>IF(AND(AND(AND(BB$4&gt;='2025'!$L422,BB$4&lt;='2025'!$M422), BB$4&lt;&gt;DATE(2025,7,4)), (SWITCH(weekday(BB$4), 1, 0, 2, if(ISBLANK('2025'!$P422), 0, 1), 3, if(ISBLANK('2025'!$Q422), 0, 1), 4, if(ISBLANK('2025'!$R422), 0, 1), 5, if(ISBLANK('2025'!$S422), 0, 1), 6, if(ISBLANK('2025'!$T422), 0, 1), 7, 0))), 1, "")</f>
        <v/>
      </c>
      <c r="BC459" s="1" t="str">
        <f>IF(AND(AND(AND(BC$4&gt;='2025'!$L422,BC$4&lt;='2025'!$M422), BC$4&lt;&gt;DATE(2025,7,4)), (SWITCH(weekday(BC$4), 1, 0, 2, if(ISBLANK('2025'!$P422), 0, 1), 3, if(ISBLANK('2025'!$Q422), 0, 1), 4, if(ISBLANK('2025'!$R422), 0, 1), 5, if(ISBLANK('2025'!$S422), 0, 1), 6, if(ISBLANK('2025'!$T422), 0, 1), 7, 0))), 1, "")</f>
        <v/>
      </c>
      <c r="BD459" s="1" t="str">
        <f>IF(AND(AND(AND(BD$4&gt;='2025'!$L422,BD$4&lt;='2025'!$M422), BD$4&lt;&gt;DATE(2025,7,4)), (SWITCH(weekday(BD$4), 1, 0, 2, if(ISBLANK('2025'!$P422), 0, 1), 3, if(ISBLANK('2025'!$Q422), 0, 1), 4, if(ISBLANK('2025'!$R422), 0, 1), 5, if(ISBLANK('2025'!$S422), 0, 1), 6, if(ISBLANK('2025'!$T422), 0, 1), 7, 0))), 1, "")</f>
        <v/>
      </c>
      <c r="BE459" s="1" t="str">
        <f>IF(AND(AND(AND(BE$4&gt;='2025'!$L422,BE$4&lt;='2025'!$M422), BE$4&lt;&gt;DATE(2025,7,4)), (SWITCH(weekday(BE$4), 1, 0, 2, if(ISBLANK('2025'!$P422), 0, 1), 3, if(ISBLANK('2025'!$Q422), 0, 1), 4, if(ISBLANK('2025'!$R422), 0, 1), 5, if(ISBLANK('2025'!$S422), 0, 1), 6, if(ISBLANK('2025'!$T422), 0, 1), 7, 0))), 1, "")</f>
        <v/>
      </c>
    </row>
    <row r="460">
      <c r="A460" s="1">
        <f t="shared" si="3"/>
        <v>460</v>
      </c>
      <c r="B460" s="1" t="str">
        <f>'2025'!D423</f>
        <v/>
      </c>
      <c r="C460" s="1" t="str">
        <f>'2025'!H423</f>
        <v/>
      </c>
      <c r="D460" s="1" t="str">
        <f>IF(AND(AND(AND(D$4&gt;='2025'!$L423,D$4&lt;='2025'!$M423), D$4&lt;&gt;DATE(2025,7,4)), (SWITCH(weekday(D$4), 1, 0, 2, if(ISBLANK('2025'!$P423), 0, 1), 3, if(ISBLANK('2025'!$Q423), 0, 1), 4, if(ISBLANK('2025'!$R423), 0, 1), 5, if(ISBLANK('2025'!$S423), 0, 1), 6, if(ISBLANK('2025'!$T423), 0, 1), 7, 0))), 1, "")</f>
        <v/>
      </c>
      <c r="E460" s="1" t="str">
        <f>IF(AND(AND(AND(E$4&gt;='2025'!$L423,E$4&lt;='2025'!$M423), E$4&lt;&gt;DATE(2025,7,4)), (SWITCH(weekday(E$4), 1, 0, 2, if(ISBLANK('2025'!$P423), 0, 1), 3, if(ISBLANK('2025'!$Q423), 0, 1), 4, if(ISBLANK('2025'!$R423), 0, 1), 5, if(ISBLANK('2025'!$S423), 0, 1), 6, if(ISBLANK('2025'!$T423), 0, 1), 7, 0))), 1, "")</f>
        <v/>
      </c>
      <c r="F460" s="1" t="str">
        <f>IF(AND(AND(AND(F$4&gt;='2025'!$L423,F$4&lt;='2025'!$M423), F$4&lt;&gt;DATE(2025,7,4)), (SWITCH(weekday(F$4), 1, 0, 2, if(ISBLANK('2025'!$P423), 0, 1), 3, if(ISBLANK('2025'!$Q423), 0, 1), 4, if(ISBLANK('2025'!$R423), 0, 1), 5, if(ISBLANK('2025'!$S423), 0, 1), 6, if(ISBLANK('2025'!$T423), 0, 1), 7, 0))), 1, "")</f>
        <v/>
      </c>
      <c r="G460" s="1" t="str">
        <f>IF(AND(AND(AND(G$4&gt;='2025'!$L423,G$4&lt;='2025'!$M423), G$4&lt;&gt;DATE(2025,7,4)), (SWITCH(weekday(G$4), 1, 0, 2, if(ISBLANK('2025'!$P423), 0, 1), 3, if(ISBLANK('2025'!$Q423), 0, 1), 4, if(ISBLANK('2025'!$R423), 0, 1), 5, if(ISBLANK('2025'!$S423), 0, 1), 6, if(ISBLANK('2025'!$T423), 0, 1), 7, 0))), 1, "")</f>
        <v/>
      </c>
      <c r="H460" s="1" t="str">
        <f>IF(AND(AND(AND(H$4&gt;='2025'!$L423,H$4&lt;='2025'!$M423), H$4&lt;&gt;DATE(2025,7,4)), (SWITCH(weekday(H$4), 1, 0, 2, if(ISBLANK('2025'!$P423), 0, 1), 3, if(ISBLANK('2025'!$Q423), 0, 1), 4, if(ISBLANK('2025'!$R423), 0, 1), 5, if(ISBLANK('2025'!$S423), 0, 1), 6, if(ISBLANK('2025'!$T423), 0, 1), 7, 0))), 1, "")</f>
        <v/>
      </c>
      <c r="I460" s="1" t="str">
        <f>IF(AND(AND(AND(I$4&gt;='2025'!$L423,I$4&lt;='2025'!$M423), I$4&lt;&gt;DATE(2025,7,4)), (SWITCH(weekday(I$4), 1, 0, 2, if(ISBLANK('2025'!$P423), 0, 1), 3, if(ISBLANK('2025'!$Q423), 0, 1), 4, if(ISBLANK('2025'!$R423), 0, 1), 5, if(ISBLANK('2025'!$S423), 0, 1), 6, if(ISBLANK('2025'!$T423), 0, 1), 7, 0))), 1, "")</f>
        <v/>
      </c>
      <c r="J460" s="1" t="str">
        <f>IF(AND(AND(AND(J$4&gt;='2025'!$L423,J$4&lt;='2025'!$M423), J$4&lt;&gt;DATE(2025,7,4)), (SWITCH(weekday(J$4), 1, 0, 2, if(ISBLANK('2025'!$P423), 0, 1), 3, if(ISBLANK('2025'!$Q423), 0, 1), 4, if(ISBLANK('2025'!$R423), 0, 1), 5, if(ISBLANK('2025'!$S423), 0, 1), 6, if(ISBLANK('2025'!$T423), 0, 1), 7, 0))), 1, "")</f>
        <v/>
      </c>
      <c r="K460" s="1" t="str">
        <f>IF(AND(AND(AND(K$4&gt;='2025'!$L423,K$4&lt;='2025'!$M423), K$4&lt;&gt;DATE(2025,7,4)), (SWITCH(weekday(K$4), 1, 0, 2, if(ISBLANK('2025'!$P423), 0, 1), 3, if(ISBLANK('2025'!$Q423), 0, 1), 4, if(ISBLANK('2025'!$R423), 0, 1), 5, if(ISBLANK('2025'!$S423), 0, 1), 6, if(ISBLANK('2025'!$T423), 0, 1), 7, 0))), 1, "")</f>
        <v/>
      </c>
      <c r="L460" s="1" t="str">
        <f>IF(AND(AND(AND(L$4&gt;='2025'!$L423,L$4&lt;='2025'!$M423), L$4&lt;&gt;DATE(2025,7,4)), (SWITCH(weekday(L$4), 1, 0, 2, if(ISBLANK('2025'!$P423), 0, 1), 3, if(ISBLANK('2025'!$Q423), 0, 1), 4, if(ISBLANK('2025'!$R423), 0, 1), 5, if(ISBLANK('2025'!$S423), 0, 1), 6, if(ISBLANK('2025'!$T423), 0, 1), 7, 0))), 1, "")</f>
        <v/>
      </c>
      <c r="M460" s="1" t="str">
        <f>IF(AND(AND(AND(M$4&gt;='2025'!$L423,M$4&lt;='2025'!$M423), M$4&lt;&gt;DATE(2025,7,4)), (SWITCH(weekday(M$4), 1, 0, 2, if(ISBLANK('2025'!$P423), 0, 1), 3, if(ISBLANK('2025'!$Q423), 0, 1), 4, if(ISBLANK('2025'!$R423), 0, 1), 5, if(ISBLANK('2025'!$S423), 0, 1), 6, if(ISBLANK('2025'!$T423), 0, 1), 7, 0))), 1, "")</f>
        <v/>
      </c>
      <c r="N460" s="1" t="str">
        <f>IF(AND(AND(AND(N$4&gt;='2025'!$L423,N$4&lt;='2025'!$M423), N$4&lt;&gt;DATE(2025,7,4)), (SWITCH(weekday(N$4), 1, 0, 2, if(ISBLANK('2025'!$P423), 0, 1), 3, if(ISBLANK('2025'!$Q423), 0, 1), 4, if(ISBLANK('2025'!$R423), 0, 1), 5, if(ISBLANK('2025'!$S423), 0, 1), 6, if(ISBLANK('2025'!$T423), 0, 1), 7, 0))), 1, "")</f>
        <v/>
      </c>
      <c r="O460" s="1" t="str">
        <f>IF(AND(AND(AND(O$4&gt;='2025'!$L423,O$4&lt;='2025'!$M423), O$4&lt;&gt;DATE(2025,7,4)), (SWITCH(weekday(O$4), 1, 0, 2, if(ISBLANK('2025'!$P423), 0, 1), 3, if(ISBLANK('2025'!$Q423), 0, 1), 4, if(ISBLANK('2025'!$R423), 0, 1), 5, if(ISBLANK('2025'!$S423), 0, 1), 6, if(ISBLANK('2025'!$T423), 0, 1), 7, 0))), 1, "")</f>
        <v/>
      </c>
      <c r="P460" s="1" t="str">
        <f>IF(AND(AND(AND(P$4&gt;='2025'!$L423,P$4&lt;='2025'!$M423), P$4&lt;&gt;DATE(2025,7,4)), (SWITCH(weekday(P$4), 1, 0, 2, if(ISBLANK('2025'!$P423), 0, 1), 3, if(ISBLANK('2025'!$Q423), 0, 1), 4, if(ISBLANK('2025'!$R423), 0, 1), 5, if(ISBLANK('2025'!$S423), 0, 1), 6, if(ISBLANK('2025'!$T423), 0, 1), 7, 0))), 1, "")</f>
        <v/>
      </c>
      <c r="Q460" s="1" t="str">
        <f>IF(AND(AND(AND(Q$4&gt;='2025'!$L423,Q$4&lt;='2025'!$M423), Q$4&lt;&gt;DATE(2025,7,4)), (SWITCH(weekday(Q$4), 1, 0, 2, if(ISBLANK('2025'!$P423), 0, 1), 3, if(ISBLANK('2025'!$Q423), 0, 1), 4, if(ISBLANK('2025'!$R423), 0, 1), 5, if(ISBLANK('2025'!$S423), 0, 1), 6, if(ISBLANK('2025'!$T423), 0, 1), 7, 0))), 1, "")</f>
        <v/>
      </c>
      <c r="R460" s="1" t="str">
        <f>IF(AND(AND(AND(R$4&gt;='2025'!$L423,R$4&lt;='2025'!$M423), R$4&lt;&gt;DATE(2025,7,4)), (SWITCH(weekday(R$4), 1, 0, 2, if(ISBLANK('2025'!$P423), 0, 1), 3, if(ISBLANK('2025'!$Q423), 0, 1), 4, if(ISBLANK('2025'!$R423), 0, 1), 5, if(ISBLANK('2025'!$S423), 0, 1), 6, if(ISBLANK('2025'!$T423), 0, 1), 7, 0))), 1, "")</f>
        <v/>
      </c>
      <c r="S460" s="1" t="str">
        <f>IF(AND(AND(AND(S$4&gt;='2025'!$L423,S$4&lt;='2025'!$M423), S$4&lt;&gt;DATE(2025,7,4)), (SWITCH(weekday(S$4), 1, 0, 2, if(ISBLANK('2025'!$P423), 0, 1), 3, if(ISBLANK('2025'!$Q423), 0, 1), 4, if(ISBLANK('2025'!$R423), 0, 1), 5, if(ISBLANK('2025'!$S423), 0, 1), 6, if(ISBLANK('2025'!$T423), 0, 1), 7, 0))), 1, "")</f>
        <v/>
      </c>
      <c r="T460" s="1" t="str">
        <f>IF(AND(AND(AND(T$4&gt;='2025'!$L423,T$4&lt;='2025'!$M423), T$4&lt;&gt;DATE(2025,7,4)), (SWITCH(weekday(T$4), 1, 0, 2, if(ISBLANK('2025'!$P423), 0, 1), 3, if(ISBLANK('2025'!$Q423), 0, 1), 4, if(ISBLANK('2025'!$R423), 0, 1), 5, if(ISBLANK('2025'!$S423), 0, 1), 6, if(ISBLANK('2025'!$T423), 0, 1), 7, 0))), 1, "")</f>
        <v/>
      </c>
      <c r="U460" s="1" t="str">
        <f>IF(AND(AND(AND(U$4&gt;='2025'!$L423,U$4&lt;='2025'!$M423), U$4&lt;&gt;DATE(2025,7,4)), (SWITCH(weekday(U$4), 1, 0, 2, if(ISBLANK('2025'!$P423), 0, 1), 3, if(ISBLANK('2025'!$Q423), 0, 1), 4, if(ISBLANK('2025'!$R423), 0, 1), 5, if(ISBLANK('2025'!$S423), 0, 1), 6, if(ISBLANK('2025'!$T423), 0, 1), 7, 0))), 1, "")</f>
        <v/>
      </c>
      <c r="V460" s="1" t="str">
        <f>IF(AND(AND(AND(V$4&gt;='2025'!$L423,V$4&lt;='2025'!$M423), V$4&lt;&gt;DATE(2025,7,4)), (SWITCH(weekday(V$4), 1, 0, 2, if(ISBLANK('2025'!$P423), 0, 1), 3, if(ISBLANK('2025'!$Q423), 0, 1), 4, if(ISBLANK('2025'!$R423), 0, 1), 5, if(ISBLANK('2025'!$S423), 0, 1), 6, if(ISBLANK('2025'!$T423), 0, 1), 7, 0))), 1, "")</f>
        <v/>
      </c>
      <c r="W460" s="1" t="str">
        <f>IF(AND(AND(AND(W$4&gt;='2025'!$L423,W$4&lt;='2025'!$M423), W$4&lt;&gt;DATE(2025,7,4)), (SWITCH(weekday(W$4), 1, 0, 2, if(ISBLANK('2025'!$P423), 0, 1), 3, if(ISBLANK('2025'!$Q423), 0, 1), 4, if(ISBLANK('2025'!$R423), 0, 1), 5, if(ISBLANK('2025'!$S423), 0, 1), 6, if(ISBLANK('2025'!$T423), 0, 1), 7, 0))), 1, "")</f>
        <v/>
      </c>
      <c r="X460" s="1" t="str">
        <f>IF(AND(AND(AND(X$4&gt;='2025'!$L423,X$4&lt;='2025'!$M423), X$4&lt;&gt;DATE(2025,7,4)), (SWITCH(weekday(X$4), 1, 0, 2, if(ISBLANK('2025'!$P423), 0, 1), 3, if(ISBLANK('2025'!$Q423), 0, 1), 4, if(ISBLANK('2025'!$R423), 0, 1), 5, if(ISBLANK('2025'!$S423), 0, 1), 6, if(ISBLANK('2025'!$T423), 0, 1), 7, 0))), 1, "")</f>
        <v/>
      </c>
      <c r="Y460" s="1" t="str">
        <f>IF(AND(AND(AND(Y$4&gt;='2025'!$L423,Y$4&lt;='2025'!$M423), Y$4&lt;&gt;DATE(2025,7,4)), (SWITCH(weekday(Y$4), 1, 0, 2, if(ISBLANK('2025'!$P423), 0, 1), 3, if(ISBLANK('2025'!$Q423), 0, 1), 4, if(ISBLANK('2025'!$R423), 0, 1), 5, if(ISBLANK('2025'!$S423), 0, 1), 6, if(ISBLANK('2025'!$T423), 0, 1), 7, 0))), 1, "")</f>
        <v/>
      </c>
      <c r="Z460" s="1" t="str">
        <f>IF(AND(AND(AND(Z$4&gt;='2025'!$L423,Z$4&lt;='2025'!$M423), Z$4&lt;&gt;DATE(2025,7,4)), (SWITCH(weekday(Z$4), 1, 0, 2, if(ISBLANK('2025'!$P423), 0, 1), 3, if(ISBLANK('2025'!$Q423), 0, 1), 4, if(ISBLANK('2025'!$R423), 0, 1), 5, if(ISBLANK('2025'!$S423), 0, 1), 6, if(ISBLANK('2025'!$T423), 0, 1), 7, 0))), 1, "")</f>
        <v/>
      </c>
      <c r="AA460" s="1" t="str">
        <f>IF(AND(AND(AND(AA$4&gt;='2025'!$L423,AA$4&lt;='2025'!$M423), AA$4&lt;&gt;DATE(2025,7,4)), (SWITCH(weekday(AA$4), 1, 0, 2, if(ISBLANK('2025'!$P423), 0, 1), 3, if(ISBLANK('2025'!$Q423), 0, 1), 4, if(ISBLANK('2025'!$R423), 0, 1), 5, if(ISBLANK('2025'!$S423), 0, 1), 6, if(ISBLANK('2025'!$T423), 0, 1), 7, 0))), 1, "")</f>
        <v/>
      </c>
      <c r="AB460" s="1" t="str">
        <f>IF(AND(AND(AND(AB$4&gt;='2025'!$L423,AB$4&lt;='2025'!$M423), AB$4&lt;&gt;DATE(2025,7,4)), (SWITCH(weekday(AB$4), 1, 0, 2, if(ISBLANK('2025'!$P423), 0, 1), 3, if(ISBLANK('2025'!$Q423), 0, 1), 4, if(ISBLANK('2025'!$R423), 0, 1), 5, if(ISBLANK('2025'!$S423), 0, 1), 6, if(ISBLANK('2025'!$T423), 0, 1), 7, 0))), 1, "")</f>
        <v/>
      </c>
      <c r="AC460" s="1" t="str">
        <f>IF(AND(AND(AND(AC$4&gt;='2025'!$L423,AC$4&lt;='2025'!$M423), AC$4&lt;&gt;DATE(2025,7,4)), (SWITCH(weekday(AC$4), 1, 0, 2, if(ISBLANK('2025'!$P423), 0, 1), 3, if(ISBLANK('2025'!$Q423), 0, 1), 4, if(ISBLANK('2025'!$R423), 0, 1), 5, if(ISBLANK('2025'!$S423), 0, 1), 6, if(ISBLANK('2025'!$T423), 0, 1), 7, 0))), 1, "")</f>
        <v/>
      </c>
      <c r="AD460" s="1" t="str">
        <f>IF(AND(AND(AND(AD$4&gt;='2025'!$L423,AD$4&lt;='2025'!$M423), AD$4&lt;&gt;DATE(2025,7,4)), (SWITCH(weekday(AD$4), 1, 0, 2, if(ISBLANK('2025'!$P423), 0, 1), 3, if(ISBLANK('2025'!$Q423), 0, 1), 4, if(ISBLANK('2025'!$R423), 0, 1), 5, if(ISBLANK('2025'!$S423), 0, 1), 6, if(ISBLANK('2025'!$T423), 0, 1), 7, 0))), 1, "")</f>
        <v/>
      </c>
      <c r="AE460" s="1" t="str">
        <f>IF(AND(AND(AND(AE$4&gt;='2025'!$L423,AE$4&lt;='2025'!$M423), AE$4&lt;&gt;DATE(2025,7,4)), (SWITCH(weekday(AE$4), 1, 0, 2, if(ISBLANK('2025'!$P423), 0, 1), 3, if(ISBLANK('2025'!$Q423), 0, 1), 4, if(ISBLANK('2025'!$R423), 0, 1), 5, if(ISBLANK('2025'!$S423), 0, 1), 6, if(ISBLANK('2025'!$T423), 0, 1), 7, 0))), 1, "")</f>
        <v/>
      </c>
      <c r="AF460" s="1" t="str">
        <f>IF(AND(AND(AND(AF$4&gt;='2025'!$L423,AF$4&lt;='2025'!$M423), AF$4&lt;&gt;DATE(2025,7,4)), (SWITCH(weekday(AF$4), 1, 0, 2, if(ISBLANK('2025'!$P423), 0, 1), 3, if(ISBLANK('2025'!$Q423), 0, 1), 4, if(ISBLANK('2025'!$R423), 0, 1), 5, if(ISBLANK('2025'!$S423), 0, 1), 6, if(ISBLANK('2025'!$T423), 0, 1), 7, 0))), 1, "")</f>
        <v/>
      </c>
      <c r="AG460" s="1" t="str">
        <f>IF(AND(AND(AND(AG$4&gt;='2025'!$L423,AG$4&lt;='2025'!$M423), AG$4&lt;&gt;DATE(2025,7,4)), (SWITCH(weekday(AG$4), 1, 0, 2, if(ISBLANK('2025'!$P423), 0, 1), 3, if(ISBLANK('2025'!$Q423), 0, 1), 4, if(ISBLANK('2025'!$R423), 0, 1), 5, if(ISBLANK('2025'!$S423), 0, 1), 6, if(ISBLANK('2025'!$T423), 0, 1), 7, 0))), 1, "")</f>
        <v/>
      </c>
      <c r="AH460" s="1" t="str">
        <f>IF(AND(AND(AND(AH$4&gt;='2025'!$L423,AH$4&lt;='2025'!$M423), AH$4&lt;&gt;DATE(2025,7,4)), (SWITCH(weekday(AH$4), 1, 0, 2, if(ISBLANK('2025'!$P423), 0, 1), 3, if(ISBLANK('2025'!$Q423), 0, 1), 4, if(ISBLANK('2025'!$R423), 0, 1), 5, if(ISBLANK('2025'!$S423), 0, 1), 6, if(ISBLANK('2025'!$T423), 0, 1), 7, 0))), 1, "")</f>
        <v/>
      </c>
      <c r="AI460" s="1" t="str">
        <f>IF(AND(AND(AND(AI$4&gt;='2025'!$L423,AI$4&lt;='2025'!$M423), AI$4&lt;&gt;DATE(2025,7,4)), (SWITCH(weekday(AI$4), 1, 0, 2, if(ISBLANK('2025'!$P423), 0, 1), 3, if(ISBLANK('2025'!$Q423), 0, 1), 4, if(ISBLANK('2025'!$R423), 0, 1), 5, if(ISBLANK('2025'!$S423), 0, 1), 6, if(ISBLANK('2025'!$T423), 0, 1), 7, 0))), 1, "")</f>
        <v/>
      </c>
      <c r="AJ460" s="1" t="str">
        <f>IF(AND(AND(AND(AJ$4&gt;='2025'!$L423,AJ$4&lt;='2025'!$M423), AJ$4&lt;&gt;DATE(2025,7,4)), (SWITCH(weekday(AJ$4), 1, 0, 2, if(ISBLANK('2025'!$P423), 0, 1), 3, if(ISBLANK('2025'!$Q423), 0, 1), 4, if(ISBLANK('2025'!$R423), 0, 1), 5, if(ISBLANK('2025'!$S423), 0, 1), 6, if(ISBLANK('2025'!$T423), 0, 1), 7, 0))), 1, "")</f>
        <v/>
      </c>
      <c r="AK460" s="1" t="str">
        <f>IF(AND(AND(AND(AK$4&gt;='2025'!$L423,AK$4&lt;='2025'!$M423), AK$4&lt;&gt;DATE(2025,7,4)), (SWITCH(weekday(AK$4), 1, 0, 2, if(ISBLANK('2025'!$P423), 0, 1), 3, if(ISBLANK('2025'!$Q423), 0, 1), 4, if(ISBLANK('2025'!$R423), 0, 1), 5, if(ISBLANK('2025'!$S423), 0, 1), 6, if(ISBLANK('2025'!$T423), 0, 1), 7, 0))), 1, "")</f>
        <v/>
      </c>
      <c r="AL460" s="1" t="str">
        <f>IF(AND(AND(AND(AL$4&gt;='2025'!$L423,AL$4&lt;='2025'!$M423), AL$4&lt;&gt;DATE(2025,7,4)), (SWITCH(weekday(AL$4), 1, 0, 2, if(ISBLANK('2025'!$P423), 0, 1), 3, if(ISBLANK('2025'!$Q423), 0, 1), 4, if(ISBLANK('2025'!$R423), 0, 1), 5, if(ISBLANK('2025'!$S423), 0, 1), 6, if(ISBLANK('2025'!$T423), 0, 1), 7, 0))), 1, "")</f>
        <v/>
      </c>
      <c r="AM460" s="1" t="str">
        <f>IF(AND(AND(AND(AM$4&gt;='2025'!$L423,AM$4&lt;='2025'!$M423), AM$4&lt;&gt;DATE(2025,7,4)), (SWITCH(weekday(AM$4), 1, 0, 2, if(ISBLANK('2025'!$P423), 0, 1), 3, if(ISBLANK('2025'!$Q423), 0, 1), 4, if(ISBLANK('2025'!$R423), 0, 1), 5, if(ISBLANK('2025'!$S423), 0, 1), 6, if(ISBLANK('2025'!$T423), 0, 1), 7, 0))), 1, "")</f>
        <v/>
      </c>
      <c r="AN460" s="1" t="str">
        <f>IF(AND(AND(AND(AN$4&gt;='2025'!$L423,AN$4&lt;='2025'!$M423), AN$4&lt;&gt;DATE(2025,7,4)), (SWITCH(weekday(AN$4), 1, 0, 2, if(ISBLANK('2025'!$P423), 0, 1), 3, if(ISBLANK('2025'!$Q423), 0, 1), 4, if(ISBLANK('2025'!$R423), 0, 1), 5, if(ISBLANK('2025'!$S423), 0, 1), 6, if(ISBLANK('2025'!$T423), 0, 1), 7, 0))), 1, "")</f>
        <v/>
      </c>
      <c r="AO460" s="1" t="str">
        <f>IF(AND(AND(AND(AO$4&gt;='2025'!$L423,AO$4&lt;='2025'!$M423), AO$4&lt;&gt;DATE(2025,7,4)), (SWITCH(weekday(AO$4), 1, 0, 2, if(ISBLANK('2025'!$P423), 0, 1), 3, if(ISBLANK('2025'!$Q423), 0, 1), 4, if(ISBLANK('2025'!$R423), 0, 1), 5, if(ISBLANK('2025'!$S423), 0, 1), 6, if(ISBLANK('2025'!$T423), 0, 1), 7, 0))), 1, "")</f>
        <v/>
      </c>
      <c r="AP460" s="1" t="str">
        <f>IF(AND(AND(AND(AP$4&gt;='2025'!$L423,AP$4&lt;='2025'!$M423), AP$4&lt;&gt;DATE(2025,7,4)), (SWITCH(weekday(AP$4), 1, 0, 2, if(ISBLANK('2025'!$P423), 0, 1), 3, if(ISBLANK('2025'!$Q423), 0, 1), 4, if(ISBLANK('2025'!$R423), 0, 1), 5, if(ISBLANK('2025'!$S423), 0, 1), 6, if(ISBLANK('2025'!$T423), 0, 1), 7, 0))), 1, "")</f>
        <v/>
      </c>
      <c r="AQ460" s="1" t="str">
        <f>IF(AND(AND(AND(AQ$4&gt;='2025'!$L423,AQ$4&lt;='2025'!$M423), AQ$4&lt;&gt;DATE(2025,7,4)), (SWITCH(weekday(AQ$4), 1, 0, 2, if(ISBLANK('2025'!$P423), 0, 1), 3, if(ISBLANK('2025'!$Q423), 0, 1), 4, if(ISBLANK('2025'!$R423), 0, 1), 5, if(ISBLANK('2025'!$S423), 0, 1), 6, if(ISBLANK('2025'!$T423), 0, 1), 7, 0))), 1, "")</f>
        <v/>
      </c>
      <c r="AR460" s="1" t="str">
        <f>IF(AND(AND(AND(AR$4&gt;='2025'!$L423,AR$4&lt;='2025'!$M423), AR$4&lt;&gt;DATE(2025,7,4)), (SWITCH(weekday(AR$4), 1, 0, 2, if(ISBLANK('2025'!$P423), 0, 1), 3, if(ISBLANK('2025'!$Q423), 0, 1), 4, if(ISBLANK('2025'!$R423), 0, 1), 5, if(ISBLANK('2025'!$S423), 0, 1), 6, if(ISBLANK('2025'!$T423), 0, 1), 7, 0))), 1, "")</f>
        <v/>
      </c>
      <c r="AS460" s="1" t="str">
        <f>IF(AND(AND(AND(AS$4&gt;='2025'!$L423,AS$4&lt;='2025'!$M423), AS$4&lt;&gt;DATE(2025,7,4)), (SWITCH(weekday(AS$4), 1, 0, 2, if(ISBLANK('2025'!$P423), 0, 1), 3, if(ISBLANK('2025'!$Q423), 0, 1), 4, if(ISBLANK('2025'!$R423), 0, 1), 5, if(ISBLANK('2025'!$S423), 0, 1), 6, if(ISBLANK('2025'!$T423), 0, 1), 7, 0))), 1, "")</f>
        <v/>
      </c>
      <c r="AT460" s="1" t="str">
        <f>IF(AND(AND(AND(AT$4&gt;='2025'!$L423,AT$4&lt;='2025'!$M423), AT$4&lt;&gt;DATE(2025,7,4)), (SWITCH(weekday(AT$4), 1, 0, 2, if(ISBLANK('2025'!$P423), 0, 1), 3, if(ISBLANK('2025'!$Q423), 0, 1), 4, if(ISBLANK('2025'!$R423), 0, 1), 5, if(ISBLANK('2025'!$S423), 0, 1), 6, if(ISBLANK('2025'!$T423), 0, 1), 7, 0))), 1, "")</f>
        <v/>
      </c>
      <c r="AU460" s="1" t="str">
        <f>IF(AND(AND(AND(AU$4&gt;='2025'!$L423,AU$4&lt;='2025'!$M423), AU$4&lt;&gt;DATE(2025,7,4)), (SWITCH(weekday(AU$4), 1, 0, 2, if(ISBLANK('2025'!$P423), 0, 1), 3, if(ISBLANK('2025'!$Q423), 0, 1), 4, if(ISBLANK('2025'!$R423), 0, 1), 5, if(ISBLANK('2025'!$S423), 0, 1), 6, if(ISBLANK('2025'!$T423), 0, 1), 7, 0))), 1, "")</f>
        <v/>
      </c>
      <c r="AV460" s="1" t="str">
        <f>IF(AND(AND(AND(AV$4&gt;='2025'!$L423,AV$4&lt;='2025'!$M423), AV$4&lt;&gt;DATE(2025,7,4)), (SWITCH(weekday(AV$4), 1, 0, 2, if(ISBLANK('2025'!$P423), 0, 1), 3, if(ISBLANK('2025'!$Q423), 0, 1), 4, if(ISBLANK('2025'!$R423), 0, 1), 5, if(ISBLANK('2025'!$S423), 0, 1), 6, if(ISBLANK('2025'!$T423), 0, 1), 7, 0))), 1, "")</f>
        <v/>
      </c>
      <c r="AW460" s="1" t="str">
        <f>IF(AND(AND(AND(AW$4&gt;='2025'!$L423,AW$4&lt;='2025'!$M423), AW$4&lt;&gt;DATE(2025,7,4)), (SWITCH(weekday(AW$4), 1, 0, 2, if(ISBLANK('2025'!$P423), 0, 1), 3, if(ISBLANK('2025'!$Q423), 0, 1), 4, if(ISBLANK('2025'!$R423), 0, 1), 5, if(ISBLANK('2025'!$S423), 0, 1), 6, if(ISBLANK('2025'!$T423), 0, 1), 7, 0))), 1, "")</f>
        <v/>
      </c>
      <c r="AX460" s="1" t="str">
        <f>IF(AND(AND(AND(AX$4&gt;='2025'!$L423,AX$4&lt;='2025'!$M423), AX$4&lt;&gt;DATE(2025,7,4)), (SWITCH(weekday(AX$4), 1, 0, 2, if(ISBLANK('2025'!$P423), 0, 1), 3, if(ISBLANK('2025'!$Q423), 0, 1), 4, if(ISBLANK('2025'!$R423), 0, 1), 5, if(ISBLANK('2025'!$S423), 0, 1), 6, if(ISBLANK('2025'!$T423), 0, 1), 7, 0))), 1, "")</f>
        <v/>
      </c>
      <c r="AY460" s="1" t="str">
        <f>IF(AND(AND(AND(AY$4&gt;='2025'!$L423,AY$4&lt;='2025'!$M423), AY$4&lt;&gt;DATE(2025,7,4)), (SWITCH(weekday(AY$4), 1, 0, 2, if(ISBLANK('2025'!$P423), 0, 1), 3, if(ISBLANK('2025'!$Q423), 0, 1), 4, if(ISBLANK('2025'!$R423), 0, 1), 5, if(ISBLANK('2025'!$S423), 0, 1), 6, if(ISBLANK('2025'!$T423), 0, 1), 7, 0))), 1, "")</f>
        <v/>
      </c>
      <c r="AZ460" s="1" t="str">
        <f>IF(AND(AND(AND(AZ$4&gt;='2025'!$L423,AZ$4&lt;='2025'!$M423), AZ$4&lt;&gt;DATE(2025,7,4)), (SWITCH(weekday(AZ$4), 1, 0, 2, if(ISBLANK('2025'!$P423), 0, 1), 3, if(ISBLANK('2025'!$Q423), 0, 1), 4, if(ISBLANK('2025'!$R423), 0, 1), 5, if(ISBLANK('2025'!$S423), 0, 1), 6, if(ISBLANK('2025'!$T423), 0, 1), 7, 0))), 1, "")</f>
        <v/>
      </c>
      <c r="BA460" s="1" t="str">
        <f>IF(AND(AND(AND(BA$4&gt;='2025'!$L423,BA$4&lt;='2025'!$M423), BA$4&lt;&gt;DATE(2025,7,4)), (SWITCH(weekday(BA$4), 1, 0, 2, if(ISBLANK('2025'!$P423), 0, 1), 3, if(ISBLANK('2025'!$Q423), 0, 1), 4, if(ISBLANK('2025'!$R423), 0, 1), 5, if(ISBLANK('2025'!$S423), 0, 1), 6, if(ISBLANK('2025'!$T423), 0, 1), 7, 0))), 1, "")</f>
        <v/>
      </c>
      <c r="BB460" s="1" t="str">
        <f>IF(AND(AND(AND(BB$4&gt;='2025'!$L423,BB$4&lt;='2025'!$M423), BB$4&lt;&gt;DATE(2025,7,4)), (SWITCH(weekday(BB$4), 1, 0, 2, if(ISBLANK('2025'!$P423), 0, 1), 3, if(ISBLANK('2025'!$Q423), 0, 1), 4, if(ISBLANK('2025'!$R423), 0, 1), 5, if(ISBLANK('2025'!$S423), 0, 1), 6, if(ISBLANK('2025'!$T423), 0, 1), 7, 0))), 1, "")</f>
        <v/>
      </c>
      <c r="BC460" s="1" t="str">
        <f>IF(AND(AND(AND(BC$4&gt;='2025'!$L423,BC$4&lt;='2025'!$M423), BC$4&lt;&gt;DATE(2025,7,4)), (SWITCH(weekday(BC$4), 1, 0, 2, if(ISBLANK('2025'!$P423), 0, 1), 3, if(ISBLANK('2025'!$Q423), 0, 1), 4, if(ISBLANK('2025'!$R423), 0, 1), 5, if(ISBLANK('2025'!$S423), 0, 1), 6, if(ISBLANK('2025'!$T423), 0, 1), 7, 0))), 1, "")</f>
        <v/>
      </c>
      <c r="BD460" s="1" t="str">
        <f>IF(AND(AND(AND(BD$4&gt;='2025'!$L423,BD$4&lt;='2025'!$M423), BD$4&lt;&gt;DATE(2025,7,4)), (SWITCH(weekday(BD$4), 1, 0, 2, if(ISBLANK('2025'!$P423), 0, 1), 3, if(ISBLANK('2025'!$Q423), 0, 1), 4, if(ISBLANK('2025'!$R423), 0, 1), 5, if(ISBLANK('2025'!$S423), 0, 1), 6, if(ISBLANK('2025'!$T423), 0, 1), 7, 0))), 1, "")</f>
        <v/>
      </c>
      <c r="BE460" s="1" t="str">
        <f>IF(AND(AND(AND(BE$4&gt;='2025'!$L423,BE$4&lt;='2025'!$M423), BE$4&lt;&gt;DATE(2025,7,4)), (SWITCH(weekday(BE$4), 1, 0, 2, if(ISBLANK('2025'!$P423), 0, 1), 3, if(ISBLANK('2025'!$Q423), 0, 1), 4, if(ISBLANK('2025'!$R423), 0, 1), 5, if(ISBLANK('2025'!$S423), 0, 1), 6, if(ISBLANK('2025'!$T423), 0, 1), 7, 0))), 1, "")</f>
        <v/>
      </c>
    </row>
    <row r="461">
      <c r="A461" s="1">
        <f t="shared" si="3"/>
        <v>461</v>
      </c>
      <c r="B461" s="1" t="str">
        <f>'2025'!D424</f>
        <v/>
      </c>
      <c r="C461" s="1" t="str">
        <f>'2025'!H424</f>
        <v/>
      </c>
      <c r="D461" s="1" t="str">
        <f>IF(AND(AND(AND(D$4&gt;='2025'!$L424,D$4&lt;='2025'!$M424), D$4&lt;&gt;DATE(2025,7,4)), (SWITCH(weekday(D$4), 1, 0, 2, if(ISBLANK('2025'!$P424), 0, 1), 3, if(ISBLANK('2025'!$Q424), 0, 1), 4, if(ISBLANK('2025'!$R424), 0, 1), 5, if(ISBLANK('2025'!$S424), 0, 1), 6, if(ISBLANK('2025'!$T424), 0, 1), 7, 0))), 1, "")</f>
        <v/>
      </c>
      <c r="E461" s="1" t="str">
        <f>IF(AND(AND(AND(E$4&gt;='2025'!$L424,E$4&lt;='2025'!$M424), E$4&lt;&gt;DATE(2025,7,4)), (SWITCH(weekday(E$4), 1, 0, 2, if(ISBLANK('2025'!$P424), 0, 1), 3, if(ISBLANK('2025'!$Q424), 0, 1), 4, if(ISBLANK('2025'!$R424), 0, 1), 5, if(ISBLANK('2025'!$S424), 0, 1), 6, if(ISBLANK('2025'!$T424), 0, 1), 7, 0))), 1, "")</f>
        <v/>
      </c>
      <c r="F461" s="1" t="str">
        <f>IF(AND(AND(AND(F$4&gt;='2025'!$L424,F$4&lt;='2025'!$M424), F$4&lt;&gt;DATE(2025,7,4)), (SWITCH(weekday(F$4), 1, 0, 2, if(ISBLANK('2025'!$P424), 0, 1), 3, if(ISBLANK('2025'!$Q424), 0, 1), 4, if(ISBLANK('2025'!$R424), 0, 1), 5, if(ISBLANK('2025'!$S424), 0, 1), 6, if(ISBLANK('2025'!$T424), 0, 1), 7, 0))), 1, "")</f>
        <v/>
      </c>
      <c r="G461" s="1" t="str">
        <f>IF(AND(AND(AND(G$4&gt;='2025'!$L424,G$4&lt;='2025'!$M424), G$4&lt;&gt;DATE(2025,7,4)), (SWITCH(weekday(G$4), 1, 0, 2, if(ISBLANK('2025'!$P424), 0, 1), 3, if(ISBLANK('2025'!$Q424), 0, 1), 4, if(ISBLANK('2025'!$R424), 0, 1), 5, if(ISBLANK('2025'!$S424), 0, 1), 6, if(ISBLANK('2025'!$T424), 0, 1), 7, 0))), 1, "")</f>
        <v/>
      </c>
      <c r="H461" s="1" t="str">
        <f>IF(AND(AND(AND(H$4&gt;='2025'!$L424,H$4&lt;='2025'!$M424), H$4&lt;&gt;DATE(2025,7,4)), (SWITCH(weekday(H$4), 1, 0, 2, if(ISBLANK('2025'!$P424), 0, 1), 3, if(ISBLANK('2025'!$Q424), 0, 1), 4, if(ISBLANK('2025'!$R424), 0, 1), 5, if(ISBLANK('2025'!$S424), 0, 1), 6, if(ISBLANK('2025'!$T424), 0, 1), 7, 0))), 1, "")</f>
        <v/>
      </c>
      <c r="I461" s="1" t="str">
        <f>IF(AND(AND(AND(I$4&gt;='2025'!$L424,I$4&lt;='2025'!$M424), I$4&lt;&gt;DATE(2025,7,4)), (SWITCH(weekday(I$4), 1, 0, 2, if(ISBLANK('2025'!$P424), 0, 1), 3, if(ISBLANK('2025'!$Q424), 0, 1), 4, if(ISBLANK('2025'!$R424), 0, 1), 5, if(ISBLANK('2025'!$S424), 0, 1), 6, if(ISBLANK('2025'!$T424), 0, 1), 7, 0))), 1, "")</f>
        <v/>
      </c>
      <c r="J461" s="1" t="str">
        <f>IF(AND(AND(AND(J$4&gt;='2025'!$L424,J$4&lt;='2025'!$M424), J$4&lt;&gt;DATE(2025,7,4)), (SWITCH(weekday(J$4), 1, 0, 2, if(ISBLANK('2025'!$P424), 0, 1), 3, if(ISBLANK('2025'!$Q424), 0, 1), 4, if(ISBLANK('2025'!$R424), 0, 1), 5, if(ISBLANK('2025'!$S424), 0, 1), 6, if(ISBLANK('2025'!$T424), 0, 1), 7, 0))), 1, "")</f>
        <v/>
      </c>
      <c r="K461" s="1" t="str">
        <f>IF(AND(AND(AND(K$4&gt;='2025'!$L424,K$4&lt;='2025'!$M424), K$4&lt;&gt;DATE(2025,7,4)), (SWITCH(weekday(K$4), 1, 0, 2, if(ISBLANK('2025'!$P424), 0, 1), 3, if(ISBLANK('2025'!$Q424), 0, 1), 4, if(ISBLANK('2025'!$R424), 0, 1), 5, if(ISBLANK('2025'!$S424), 0, 1), 6, if(ISBLANK('2025'!$T424), 0, 1), 7, 0))), 1, "")</f>
        <v/>
      </c>
      <c r="L461" s="1" t="str">
        <f>IF(AND(AND(AND(L$4&gt;='2025'!$L424,L$4&lt;='2025'!$M424), L$4&lt;&gt;DATE(2025,7,4)), (SWITCH(weekday(L$4), 1, 0, 2, if(ISBLANK('2025'!$P424), 0, 1), 3, if(ISBLANK('2025'!$Q424), 0, 1), 4, if(ISBLANK('2025'!$R424), 0, 1), 5, if(ISBLANK('2025'!$S424), 0, 1), 6, if(ISBLANK('2025'!$T424), 0, 1), 7, 0))), 1, "")</f>
        <v/>
      </c>
      <c r="M461" s="1" t="str">
        <f>IF(AND(AND(AND(M$4&gt;='2025'!$L424,M$4&lt;='2025'!$M424), M$4&lt;&gt;DATE(2025,7,4)), (SWITCH(weekday(M$4), 1, 0, 2, if(ISBLANK('2025'!$P424), 0, 1), 3, if(ISBLANK('2025'!$Q424), 0, 1), 4, if(ISBLANK('2025'!$R424), 0, 1), 5, if(ISBLANK('2025'!$S424), 0, 1), 6, if(ISBLANK('2025'!$T424), 0, 1), 7, 0))), 1, "")</f>
        <v/>
      </c>
      <c r="N461" s="1" t="str">
        <f>IF(AND(AND(AND(N$4&gt;='2025'!$L424,N$4&lt;='2025'!$M424), N$4&lt;&gt;DATE(2025,7,4)), (SWITCH(weekday(N$4), 1, 0, 2, if(ISBLANK('2025'!$P424), 0, 1), 3, if(ISBLANK('2025'!$Q424), 0, 1), 4, if(ISBLANK('2025'!$R424), 0, 1), 5, if(ISBLANK('2025'!$S424), 0, 1), 6, if(ISBLANK('2025'!$T424), 0, 1), 7, 0))), 1, "")</f>
        <v/>
      </c>
      <c r="O461" s="1" t="str">
        <f>IF(AND(AND(AND(O$4&gt;='2025'!$L424,O$4&lt;='2025'!$M424), O$4&lt;&gt;DATE(2025,7,4)), (SWITCH(weekday(O$4), 1, 0, 2, if(ISBLANK('2025'!$P424), 0, 1), 3, if(ISBLANK('2025'!$Q424), 0, 1), 4, if(ISBLANK('2025'!$R424), 0, 1), 5, if(ISBLANK('2025'!$S424), 0, 1), 6, if(ISBLANK('2025'!$T424), 0, 1), 7, 0))), 1, "")</f>
        <v/>
      </c>
      <c r="P461" s="1" t="str">
        <f>IF(AND(AND(AND(P$4&gt;='2025'!$L424,P$4&lt;='2025'!$M424), P$4&lt;&gt;DATE(2025,7,4)), (SWITCH(weekday(P$4), 1, 0, 2, if(ISBLANK('2025'!$P424), 0, 1), 3, if(ISBLANK('2025'!$Q424), 0, 1), 4, if(ISBLANK('2025'!$R424), 0, 1), 5, if(ISBLANK('2025'!$S424), 0, 1), 6, if(ISBLANK('2025'!$T424), 0, 1), 7, 0))), 1, "")</f>
        <v/>
      </c>
      <c r="Q461" s="1" t="str">
        <f>IF(AND(AND(AND(Q$4&gt;='2025'!$L424,Q$4&lt;='2025'!$M424), Q$4&lt;&gt;DATE(2025,7,4)), (SWITCH(weekday(Q$4), 1, 0, 2, if(ISBLANK('2025'!$P424), 0, 1), 3, if(ISBLANK('2025'!$Q424), 0, 1), 4, if(ISBLANK('2025'!$R424), 0, 1), 5, if(ISBLANK('2025'!$S424), 0, 1), 6, if(ISBLANK('2025'!$T424), 0, 1), 7, 0))), 1, "")</f>
        <v/>
      </c>
      <c r="R461" s="1" t="str">
        <f>IF(AND(AND(AND(R$4&gt;='2025'!$L424,R$4&lt;='2025'!$M424), R$4&lt;&gt;DATE(2025,7,4)), (SWITCH(weekday(R$4), 1, 0, 2, if(ISBLANK('2025'!$P424), 0, 1), 3, if(ISBLANK('2025'!$Q424), 0, 1), 4, if(ISBLANK('2025'!$R424), 0, 1), 5, if(ISBLANK('2025'!$S424), 0, 1), 6, if(ISBLANK('2025'!$T424), 0, 1), 7, 0))), 1, "")</f>
        <v/>
      </c>
      <c r="S461" s="1" t="str">
        <f>IF(AND(AND(AND(S$4&gt;='2025'!$L424,S$4&lt;='2025'!$M424), S$4&lt;&gt;DATE(2025,7,4)), (SWITCH(weekday(S$4), 1, 0, 2, if(ISBLANK('2025'!$P424), 0, 1), 3, if(ISBLANK('2025'!$Q424), 0, 1), 4, if(ISBLANK('2025'!$R424), 0, 1), 5, if(ISBLANK('2025'!$S424), 0, 1), 6, if(ISBLANK('2025'!$T424), 0, 1), 7, 0))), 1, "")</f>
        <v/>
      </c>
      <c r="T461" s="1" t="str">
        <f>IF(AND(AND(AND(T$4&gt;='2025'!$L424,T$4&lt;='2025'!$M424), T$4&lt;&gt;DATE(2025,7,4)), (SWITCH(weekday(T$4), 1, 0, 2, if(ISBLANK('2025'!$P424), 0, 1), 3, if(ISBLANK('2025'!$Q424), 0, 1), 4, if(ISBLANK('2025'!$R424), 0, 1), 5, if(ISBLANK('2025'!$S424), 0, 1), 6, if(ISBLANK('2025'!$T424), 0, 1), 7, 0))), 1, "")</f>
        <v/>
      </c>
      <c r="U461" s="1" t="str">
        <f>IF(AND(AND(AND(U$4&gt;='2025'!$L424,U$4&lt;='2025'!$M424), U$4&lt;&gt;DATE(2025,7,4)), (SWITCH(weekday(U$4), 1, 0, 2, if(ISBLANK('2025'!$P424), 0, 1), 3, if(ISBLANK('2025'!$Q424), 0, 1), 4, if(ISBLANK('2025'!$R424), 0, 1), 5, if(ISBLANK('2025'!$S424), 0, 1), 6, if(ISBLANK('2025'!$T424), 0, 1), 7, 0))), 1, "")</f>
        <v/>
      </c>
      <c r="V461" s="1" t="str">
        <f>IF(AND(AND(AND(V$4&gt;='2025'!$L424,V$4&lt;='2025'!$M424), V$4&lt;&gt;DATE(2025,7,4)), (SWITCH(weekday(V$4), 1, 0, 2, if(ISBLANK('2025'!$P424), 0, 1), 3, if(ISBLANK('2025'!$Q424), 0, 1), 4, if(ISBLANK('2025'!$R424), 0, 1), 5, if(ISBLANK('2025'!$S424), 0, 1), 6, if(ISBLANK('2025'!$T424), 0, 1), 7, 0))), 1, "")</f>
        <v/>
      </c>
      <c r="W461" s="1" t="str">
        <f>IF(AND(AND(AND(W$4&gt;='2025'!$L424,W$4&lt;='2025'!$M424), W$4&lt;&gt;DATE(2025,7,4)), (SWITCH(weekday(W$4), 1, 0, 2, if(ISBLANK('2025'!$P424), 0, 1), 3, if(ISBLANK('2025'!$Q424), 0, 1), 4, if(ISBLANK('2025'!$R424), 0, 1), 5, if(ISBLANK('2025'!$S424), 0, 1), 6, if(ISBLANK('2025'!$T424), 0, 1), 7, 0))), 1, "")</f>
        <v/>
      </c>
      <c r="X461" s="1" t="str">
        <f>IF(AND(AND(AND(X$4&gt;='2025'!$L424,X$4&lt;='2025'!$M424), X$4&lt;&gt;DATE(2025,7,4)), (SWITCH(weekday(X$4), 1, 0, 2, if(ISBLANK('2025'!$P424), 0, 1), 3, if(ISBLANK('2025'!$Q424), 0, 1), 4, if(ISBLANK('2025'!$R424), 0, 1), 5, if(ISBLANK('2025'!$S424), 0, 1), 6, if(ISBLANK('2025'!$T424), 0, 1), 7, 0))), 1, "")</f>
        <v/>
      </c>
      <c r="Y461" s="1" t="str">
        <f>IF(AND(AND(AND(Y$4&gt;='2025'!$L424,Y$4&lt;='2025'!$M424), Y$4&lt;&gt;DATE(2025,7,4)), (SWITCH(weekday(Y$4), 1, 0, 2, if(ISBLANK('2025'!$P424), 0, 1), 3, if(ISBLANK('2025'!$Q424), 0, 1), 4, if(ISBLANK('2025'!$R424), 0, 1), 5, if(ISBLANK('2025'!$S424), 0, 1), 6, if(ISBLANK('2025'!$T424), 0, 1), 7, 0))), 1, "")</f>
        <v/>
      </c>
      <c r="Z461" s="1" t="str">
        <f>IF(AND(AND(AND(Z$4&gt;='2025'!$L424,Z$4&lt;='2025'!$M424), Z$4&lt;&gt;DATE(2025,7,4)), (SWITCH(weekday(Z$4), 1, 0, 2, if(ISBLANK('2025'!$P424), 0, 1), 3, if(ISBLANK('2025'!$Q424), 0, 1), 4, if(ISBLANK('2025'!$R424), 0, 1), 5, if(ISBLANK('2025'!$S424), 0, 1), 6, if(ISBLANK('2025'!$T424), 0, 1), 7, 0))), 1, "")</f>
        <v/>
      </c>
      <c r="AA461" s="1" t="str">
        <f>IF(AND(AND(AND(AA$4&gt;='2025'!$L424,AA$4&lt;='2025'!$M424), AA$4&lt;&gt;DATE(2025,7,4)), (SWITCH(weekday(AA$4), 1, 0, 2, if(ISBLANK('2025'!$P424), 0, 1), 3, if(ISBLANK('2025'!$Q424), 0, 1), 4, if(ISBLANK('2025'!$R424), 0, 1), 5, if(ISBLANK('2025'!$S424), 0, 1), 6, if(ISBLANK('2025'!$T424), 0, 1), 7, 0))), 1, "")</f>
        <v/>
      </c>
      <c r="AB461" s="1" t="str">
        <f>IF(AND(AND(AND(AB$4&gt;='2025'!$L424,AB$4&lt;='2025'!$M424), AB$4&lt;&gt;DATE(2025,7,4)), (SWITCH(weekday(AB$4), 1, 0, 2, if(ISBLANK('2025'!$P424), 0, 1), 3, if(ISBLANK('2025'!$Q424), 0, 1), 4, if(ISBLANK('2025'!$R424), 0, 1), 5, if(ISBLANK('2025'!$S424), 0, 1), 6, if(ISBLANK('2025'!$T424), 0, 1), 7, 0))), 1, "")</f>
        <v/>
      </c>
      <c r="AC461" s="1" t="str">
        <f>IF(AND(AND(AND(AC$4&gt;='2025'!$L424,AC$4&lt;='2025'!$M424), AC$4&lt;&gt;DATE(2025,7,4)), (SWITCH(weekday(AC$4), 1, 0, 2, if(ISBLANK('2025'!$P424), 0, 1), 3, if(ISBLANK('2025'!$Q424), 0, 1), 4, if(ISBLANK('2025'!$R424), 0, 1), 5, if(ISBLANK('2025'!$S424), 0, 1), 6, if(ISBLANK('2025'!$T424), 0, 1), 7, 0))), 1, "")</f>
        <v/>
      </c>
      <c r="AD461" s="1" t="str">
        <f>IF(AND(AND(AND(AD$4&gt;='2025'!$L424,AD$4&lt;='2025'!$M424), AD$4&lt;&gt;DATE(2025,7,4)), (SWITCH(weekday(AD$4), 1, 0, 2, if(ISBLANK('2025'!$P424), 0, 1), 3, if(ISBLANK('2025'!$Q424), 0, 1), 4, if(ISBLANK('2025'!$R424), 0, 1), 5, if(ISBLANK('2025'!$S424), 0, 1), 6, if(ISBLANK('2025'!$T424), 0, 1), 7, 0))), 1, "")</f>
        <v/>
      </c>
      <c r="AE461" s="1" t="str">
        <f>IF(AND(AND(AND(AE$4&gt;='2025'!$L424,AE$4&lt;='2025'!$M424), AE$4&lt;&gt;DATE(2025,7,4)), (SWITCH(weekday(AE$4), 1, 0, 2, if(ISBLANK('2025'!$P424), 0, 1), 3, if(ISBLANK('2025'!$Q424), 0, 1), 4, if(ISBLANK('2025'!$R424), 0, 1), 5, if(ISBLANK('2025'!$S424), 0, 1), 6, if(ISBLANK('2025'!$T424), 0, 1), 7, 0))), 1, "")</f>
        <v/>
      </c>
      <c r="AF461" s="1" t="str">
        <f>IF(AND(AND(AND(AF$4&gt;='2025'!$L424,AF$4&lt;='2025'!$M424), AF$4&lt;&gt;DATE(2025,7,4)), (SWITCH(weekday(AF$4), 1, 0, 2, if(ISBLANK('2025'!$P424), 0, 1), 3, if(ISBLANK('2025'!$Q424), 0, 1), 4, if(ISBLANK('2025'!$R424), 0, 1), 5, if(ISBLANK('2025'!$S424), 0, 1), 6, if(ISBLANK('2025'!$T424), 0, 1), 7, 0))), 1, "")</f>
        <v/>
      </c>
      <c r="AG461" s="1" t="str">
        <f>IF(AND(AND(AND(AG$4&gt;='2025'!$L424,AG$4&lt;='2025'!$M424), AG$4&lt;&gt;DATE(2025,7,4)), (SWITCH(weekday(AG$4), 1, 0, 2, if(ISBLANK('2025'!$P424), 0, 1), 3, if(ISBLANK('2025'!$Q424), 0, 1), 4, if(ISBLANK('2025'!$R424), 0, 1), 5, if(ISBLANK('2025'!$S424), 0, 1), 6, if(ISBLANK('2025'!$T424), 0, 1), 7, 0))), 1, "")</f>
        <v/>
      </c>
      <c r="AH461" s="1" t="str">
        <f>IF(AND(AND(AND(AH$4&gt;='2025'!$L424,AH$4&lt;='2025'!$M424), AH$4&lt;&gt;DATE(2025,7,4)), (SWITCH(weekday(AH$4), 1, 0, 2, if(ISBLANK('2025'!$P424), 0, 1), 3, if(ISBLANK('2025'!$Q424), 0, 1), 4, if(ISBLANK('2025'!$R424), 0, 1), 5, if(ISBLANK('2025'!$S424), 0, 1), 6, if(ISBLANK('2025'!$T424), 0, 1), 7, 0))), 1, "")</f>
        <v/>
      </c>
      <c r="AI461" s="1" t="str">
        <f>IF(AND(AND(AND(AI$4&gt;='2025'!$L424,AI$4&lt;='2025'!$M424), AI$4&lt;&gt;DATE(2025,7,4)), (SWITCH(weekday(AI$4), 1, 0, 2, if(ISBLANK('2025'!$P424), 0, 1), 3, if(ISBLANK('2025'!$Q424), 0, 1), 4, if(ISBLANK('2025'!$R424), 0, 1), 5, if(ISBLANK('2025'!$S424), 0, 1), 6, if(ISBLANK('2025'!$T424), 0, 1), 7, 0))), 1, "")</f>
        <v/>
      </c>
      <c r="AJ461" s="1" t="str">
        <f>IF(AND(AND(AND(AJ$4&gt;='2025'!$L424,AJ$4&lt;='2025'!$M424), AJ$4&lt;&gt;DATE(2025,7,4)), (SWITCH(weekday(AJ$4), 1, 0, 2, if(ISBLANK('2025'!$P424), 0, 1), 3, if(ISBLANK('2025'!$Q424), 0, 1), 4, if(ISBLANK('2025'!$R424), 0, 1), 5, if(ISBLANK('2025'!$S424), 0, 1), 6, if(ISBLANK('2025'!$T424), 0, 1), 7, 0))), 1, "")</f>
        <v/>
      </c>
      <c r="AK461" s="1" t="str">
        <f>IF(AND(AND(AND(AK$4&gt;='2025'!$L424,AK$4&lt;='2025'!$M424), AK$4&lt;&gt;DATE(2025,7,4)), (SWITCH(weekday(AK$4), 1, 0, 2, if(ISBLANK('2025'!$P424), 0, 1), 3, if(ISBLANK('2025'!$Q424), 0, 1), 4, if(ISBLANK('2025'!$R424), 0, 1), 5, if(ISBLANK('2025'!$S424), 0, 1), 6, if(ISBLANK('2025'!$T424), 0, 1), 7, 0))), 1, "")</f>
        <v/>
      </c>
      <c r="AL461" s="1" t="str">
        <f>IF(AND(AND(AND(AL$4&gt;='2025'!$L424,AL$4&lt;='2025'!$M424), AL$4&lt;&gt;DATE(2025,7,4)), (SWITCH(weekday(AL$4), 1, 0, 2, if(ISBLANK('2025'!$P424), 0, 1), 3, if(ISBLANK('2025'!$Q424), 0, 1), 4, if(ISBLANK('2025'!$R424), 0, 1), 5, if(ISBLANK('2025'!$S424), 0, 1), 6, if(ISBLANK('2025'!$T424), 0, 1), 7, 0))), 1, "")</f>
        <v/>
      </c>
      <c r="AM461" s="1" t="str">
        <f>IF(AND(AND(AND(AM$4&gt;='2025'!$L424,AM$4&lt;='2025'!$M424), AM$4&lt;&gt;DATE(2025,7,4)), (SWITCH(weekday(AM$4), 1, 0, 2, if(ISBLANK('2025'!$P424), 0, 1), 3, if(ISBLANK('2025'!$Q424), 0, 1), 4, if(ISBLANK('2025'!$R424), 0, 1), 5, if(ISBLANK('2025'!$S424), 0, 1), 6, if(ISBLANK('2025'!$T424), 0, 1), 7, 0))), 1, "")</f>
        <v/>
      </c>
      <c r="AN461" s="1" t="str">
        <f>IF(AND(AND(AND(AN$4&gt;='2025'!$L424,AN$4&lt;='2025'!$M424), AN$4&lt;&gt;DATE(2025,7,4)), (SWITCH(weekday(AN$4), 1, 0, 2, if(ISBLANK('2025'!$P424), 0, 1), 3, if(ISBLANK('2025'!$Q424), 0, 1), 4, if(ISBLANK('2025'!$R424), 0, 1), 5, if(ISBLANK('2025'!$S424), 0, 1), 6, if(ISBLANK('2025'!$T424), 0, 1), 7, 0))), 1, "")</f>
        <v/>
      </c>
      <c r="AO461" s="1" t="str">
        <f>IF(AND(AND(AND(AO$4&gt;='2025'!$L424,AO$4&lt;='2025'!$M424), AO$4&lt;&gt;DATE(2025,7,4)), (SWITCH(weekday(AO$4), 1, 0, 2, if(ISBLANK('2025'!$P424), 0, 1), 3, if(ISBLANK('2025'!$Q424), 0, 1), 4, if(ISBLANK('2025'!$R424), 0, 1), 5, if(ISBLANK('2025'!$S424), 0, 1), 6, if(ISBLANK('2025'!$T424), 0, 1), 7, 0))), 1, "")</f>
        <v/>
      </c>
      <c r="AP461" s="1" t="str">
        <f>IF(AND(AND(AND(AP$4&gt;='2025'!$L424,AP$4&lt;='2025'!$M424), AP$4&lt;&gt;DATE(2025,7,4)), (SWITCH(weekday(AP$4), 1, 0, 2, if(ISBLANK('2025'!$P424), 0, 1), 3, if(ISBLANK('2025'!$Q424), 0, 1), 4, if(ISBLANK('2025'!$R424), 0, 1), 5, if(ISBLANK('2025'!$S424), 0, 1), 6, if(ISBLANK('2025'!$T424), 0, 1), 7, 0))), 1, "")</f>
        <v/>
      </c>
      <c r="AQ461" s="1" t="str">
        <f>IF(AND(AND(AND(AQ$4&gt;='2025'!$L424,AQ$4&lt;='2025'!$M424), AQ$4&lt;&gt;DATE(2025,7,4)), (SWITCH(weekday(AQ$4), 1, 0, 2, if(ISBLANK('2025'!$P424), 0, 1), 3, if(ISBLANK('2025'!$Q424), 0, 1), 4, if(ISBLANK('2025'!$R424), 0, 1), 5, if(ISBLANK('2025'!$S424), 0, 1), 6, if(ISBLANK('2025'!$T424), 0, 1), 7, 0))), 1, "")</f>
        <v/>
      </c>
      <c r="AR461" s="1" t="str">
        <f>IF(AND(AND(AND(AR$4&gt;='2025'!$L424,AR$4&lt;='2025'!$M424), AR$4&lt;&gt;DATE(2025,7,4)), (SWITCH(weekday(AR$4), 1, 0, 2, if(ISBLANK('2025'!$P424), 0, 1), 3, if(ISBLANK('2025'!$Q424), 0, 1), 4, if(ISBLANK('2025'!$R424), 0, 1), 5, if(ISBLANK('2025'!$S424), 0, 1), 6, if(ISBLANK('2025'!$T424), 0, 1), 7, 0))), 1, "")</f>
        <v/>
      </c>
      <c r="AS461" s="1" t="str">
        <f>IF(AND(AND(AND(AS$4&gt;='2025'!$L424,AS$4&lt;='2025'!$M424), AS$4&lt;&gt;DATE(2025,7,4)), (SWITCH(weekday(AS$4), 1, 0, 2, if(ISBLANK('2025'!$P424), 0, 1), 3, if(ISBLANK('2025'!$Q424), 0, 1), 4, if(ISBLANK('2025'!$R424), 0, 1), 5, if(ISBLANK('2025'!$S424), 0, 1), 6, if(ISBLANK('2025'!$T424), 0, 1), 7, 0))), 1, "")</f>
        <v/>
      </c>
      <c r="AT461" s="1" t="str">
        <f>IF(AND(AND(AND(AT$4&gt;='2025'!$L424,AT$4&lt;='2025'!$M424), AT$4&lt;&gt;DATE(2025,7,4)), (SWITCH(weekday(AT$4), 1, 0, 2, if(ISBLANK('2025'!$P424), 0, 1), 3, if(ISBLANK('2025'!$Q424), 0, 1), 4, if(ISBLANK('2025'!$R424), 0, 1), 5, if(ISBLANK('2025'!$S424), 0, 1), 6, if(ISBLANK('2025'!$T424), 0, 1), 7, 0))), 1, "")</f>
        <v/>
      </c>
      <c r="AU461" s="1" t="str">
        <f>IF(AND(AND(AND(AU$4&gt;='2025'!$L424,AU$4&lt;='2025'!$M424), AU$4&lt;&gt;DATE(2025,7,4)), (SWITCH(weekday(AU$4), 1, 0, 2, if(ISBLANK('2025'!$P424), 0, 1), 3, if(ISBLANK('2025'!$Q424), 0, 1), 4, if(ISBLANK('2025'!$R424), 0, 1), 5, if(ISBLANK('2025'!$S424), 0, 1), 6, if(ISBLANK('2025'!$T424), 0, 1), 7, 0))), 1, "")</f>
        <v/>
      </c>
      <c r="AV461" s="1" t="str">
        <f>IF(AND(AND(AND(AV$4&gt;='2025'!$L424,AV$4&lt;='2025'!$M424), AV$4&lt;&gt;DATE(2025,7,4)), (SWITCH(weekday(AV$4), 1, 0, 2, if(ISBLANK('2025'!$P424), 0, 1), 3, if(ISBLANK('2025'!$Q424), 0, 1), 4, if(ISBLANK('2025'!$R424), 0, 1), 5, if(ISBLANK('2025'!$S424), 0, 1), 6, if(ISBLANK('2025'!$T424), 0, 1), 7, 0))), 1, "")</f>
        <v/>
      </c>
      <c r="AW461" s="1" t="str">
        <f>IF(AND(AND(AND(AW$4&gt;='2025'!$L424,AW$4&lt;='2025'!$M424), AW$4&lt;&gt;DATE(2025,7,4)), (SWITCH(weekday(AW$4), 1, 0, 2, if(ISBLANK('2025'!$P424), 0, 1), 3, if(ISBLANK('2025'!$Q424), 0, 1), 4, if(ISBLANK('2025'!$R424), 0, 1), 5, if(ISBLANK('2025'!$S424), 0, 1), 6, if(ISBLANK('2025'!$T424), 0, 1), 7, 0))), 1, "")</f>
        <v/>
      </c>
      <c r="AX461" s="1" t="str">
        <f>IF(AND(AND(AND(AX$4&gt;='2025'!$L424,AX$4&lt;='2025'!$M424), AX$4&lt;&gt;DATE(2025,7,4)), (SWITCH(weekday(AX$4), 1, 0, 2, if(ISBLANK('2025'!$P424), 0, 1), 3, if(ISBLANK('2025'!$Q424), 0, 1), 4, if(ISBLANK('2025'!$R424), 0, 1), 5, if(ISBLANK('2025'!$S424), 0, 1), 6, if(ISBLANK('2025'!$T424), 0, 1), 7, 0))), 1, "")</f>
        <v/>
      </c>
      <c r="AY461" s="1" t="str">
        <f>IF(AND(AND(AND(AY$4&gt;='2025'!$L424,AY$4&lt;='2025'!$M424), AY$4&lt;&gt;DATE(2025,7,4)), (SWITCH(weekday(AY$4), 1, 0, 2, if(ISBLANK('2025'!$P424), 0, 1), 3, if(ISBLANK('2025'!$Q424), 0, 1), 4, if(ISBLANK('2025'!$R424), 0, 1), 5, if(ISBLANK('2025'!$S424), 0, 1), 6, if(ISBLANK('2025'!$T424), 0, 1), 7, 0))), 1, "")</f>
        <v/>
      </c>
      <c r="AZ461" s="1" t="str">
        <f>IF(AND(AND(AND(AZ$4&gt;='2025'!$L424,AZ$4&lt;='2025'!$M424), AZ$4&lt;&gt;DATE(2025,7,4)), (SWITCH(weekday(AZ$4), 1, 0, 2, if(ISBLANK('2025'!$P424), 0, 1), 3, if(ISBLANK('2025'!$Q424), 0, 1), 4, if(ISBLANK('2025'!$R424), 0, 1), 5, if(ISBLANK('2025'!$S424), 0, 1), 6, if(ISBLANK('2025'!$T424), 0, 1), 7, 0))), 1, "")</f>
        <v/>
      </c>
      <c r="BA461" s="1" t="str">
        <f>IF(AND(AND(AND(BA$4&gt;='2025'!$L424,BA$4&lt;='2025'!$M424), BA$4&lt;&gt;DATE(2025,7,4)), (SWITCH(weekday(BA$4), 1, 0, 2, if(ISBLANK('2025'!$P424), 0, 1), 3, if(ISBLANK('2025'!$Q424), 0, 1), 4, if(ISBLANK('2025'!$R424), 0, 1), 5, if(ISBLANK('2025'!$S424), 0, 1), 6, if(ISBLANK('2025'!$T424), 0, 1), 7, 0))), 1, "")</f>
        <v/>
      </c>
      <c r="BB461" s="1" t="str">
        <f>IF(AND(AND(AND(BB$4&gt;='2025'!$L424,BB$4&lt;='2025'!$M424), BB$4&lt;&gt;DATE(2025,7,4)), (SWITCH(weekday(BB$4), 1, 0, 2, if(ISBLANK('2025'!$P424), 0, 1), 3, if(ISBLANK('2025'!$Q424), 0, 1), 4, if(ISBLANK('2025'!$R424), 0, 1), 5, if(ISBLANK('2025'!$S424), 0, 1), 6, if(ISBLANK('2025'!$T424), 0, 1), 7, 0))), 1, "")</f>
        <v/>
      </c>
      <c r="BC461" s="1" t="str">
        <f>IF(AND(AND(AND(BC$4&gt;='2025'!$L424,BC$4&lt;='2025'!$M424), BC$4&lt;&gt;DATE(2025,7,4)), (SWITCH(weekday(BC$4), 1, 0, 2, if(ISBLANK('2025'!$P424), 0, 1), 3, if(ISBLANK('2025'!$Q424), 0, 1), 4, if(ISBLANK('2025'!$R424), 0, 1), 5, if(ISBLANK('2025'!$S424), 0, 1), 6, if(ISBLANK('2025'!$T424), 0, 1), 7, 0))), 1, "")</f>
        <v/>
      </c>
      <c r="BD461" s="1" t="str">
        <f>IF(AND(AND(AND(BD$4&gt;='2025'!$L424,BD$4&lt;='2025'!$M424), BD$4&lt;&gt;DATE(2025,7,4)), (SWITCH(weekday(BD$4), 1, 0, 2, if(ISBLANK('2025'!$P424), 0, 1), 3, if(ISBLANK('2025'!$Q424), 0, 1), 4, if(ISBLANK('2025'!$R424), 0, 1), 5, if(ISBLANK('2025'!$S424), 0, 1), 6, if(ISBLANK('2025'!$T424), 0, 1), 7, 0))), 1, "")</f>
        <v/>
      </c>
      <c r="BE461" s="1" t="str">
        <f>IF(AND(AND(AND(BE$4&gt;='2025'!$L424,BE$4&lt;='2025'!$M424), BE$4&lt;&gt;DATE(2025,7,4)), (SWITCH(weekday(BE$4), 1, 0, 2, if(ISBLANK('2025'!$P424), 0, 1), 3, if(ISBLANK('2025'!$Q424), 0, 1), 4, if(ISBLANK('2025'!$R424), 0, 1), 5, if(ISBLANK('2025'!$S424), 0, 1), 6, if(ISBLANK('2025'!$T424), 0, 1), 7, 0))), 1, "")</f>
        <v/>
      </c>
    </row>
    <row r="462">
      <c r="A462" s="1">
        <f t="shared" si="3"/>
        <v>462</v>
      </c>
      <c r="B462" s="1" t="str">
        <f>'2025'!D425</f>
        <v/>
      </c>
      <c r="C462" s="1" t="str">
        <f>'2025'!H425</f>
        <v/>
      </c>
      <c r="D462" s="1" t="str">
        <f>IF(AND(AND(AND(D$4&gt;='2025'!$L425,D$4&lt;='2025'!$M425), D$4&lt;&gt;DATE(2025,7,4)), (SWITCH(weekday(D$4), 1, 0, 2, if(ISBLANK('2025'!$P425), 0, 1), 3, if(ISBLANK('2025'!$Q425), 0, 1), 4, if(ISBLANK('2025'!$R425), 0, 1), 5, if(ISBLANK('2025'!$S425), 0, 1), 6, if(ISBLANK('2025'!$T425), 0, 1), 7, 0))), 1, "")</f>
        <v/>
      </c>
      <c r="E462" s="1" t="str">
        <f>IF(AND(AND(AND(E$4&gt;='2025'!$L425,E$4&lt;='2025'!$M425), E$4&lt;&gt;DATE(2025,7,4)), (SWITCH(weekday(E$4), 1, 0, 2, if(ISBLANK('2025'!$P425), 0, 1), 3, if(ISBLANK('2025'!$Q425), 0, 1), 4, if(ISBLANK('2025'!$R425), 0, 1), 5, if(ISBLANK('2025'!$S425), 0, 1), 6, if(ISBLANK('2025'!$T425), 0, 1), 7, 0))), 1, "")</f>
        <v/>
      </c>
      <c r="F462" s="1" t="str">
        <f>IF(AND(AND(AND(F$4&gt;='2025'!$L425,F$4&lt;='2025'!$M425), F$4&lt;&gt;DATE(2025,7,4)), (SWITCH(weekday(F$4), 1, 0, 2, if(ISBLANK('2025'!$P425), 0, 1), 3, if(ISBLANK('2025'!$Q425), 0, 1), 4, if(ISBLANK('2025'!$R425), 0, 1), 5, if(ISBLANK('2025'!$S425), 0, 1), 6, if(ISBLANK('2025'!$T425), 0, 1), 7, 0))), 1, "")</f>
        <v/>
      </c>
      <c r="G462" s="1" t="str">
        <f>IF(AND(AND(AND(G$4&gt;='2025'!$L425,G$4&lt;='2025'!$M425), G$4&lt;&gt;DATE(2025,7,4)), (SWITCH(weekday(G$4), 1, 0, 2, if(ISBLANK('2025'!$P425), 0, 1), 3, if(ISBLANK('2025'!$Q425), 0, 1), 4, if(ISBLANK('2025'!$R425), 0, 1), 5, if(ISBLANK('2025'!$S425), 0, 1), 6, if(ISBLANK('2025'!$T425), 0, 1), 7, 0))), 1, "")</f>
        <v/>
      </c>
      <c r="H462" s="1" t="str">
        <f>IF(AND(AND(AND(H$4&gt;='2025'!$L425,H$4&lt;='2025'!$M425), H$4&lt;&gt;DATE(2025,7,4)), (SWITCH(weekday(H$4), 1, 0, 2, if(ISBLANK('2025'!$P425), 0, 1), 3, if(ISBLANK('2025'!$Q425), 0, 1), 4, if(ISBLANK('2025'!$R425), 0, 1), 5, if(ISBLANK('2025'!$S425), 0, 1), 6, if(ISBLANK('2025'!$T425), 0, 1), 7, 0))), 1, "")</f>
        <v/>
      </c>
      <c r="I462" s="1" t="str">
        <f>IF(AND(AND(AND(I$4&gt;='2025'!$L425,I$4&lt;='2025'!$M425), I$4&lt;&gt;DATE(2025,7,4)), (SWITCH(weekday(I$4), 1, 0, 2, if(ISBLANK('2025'!$P425), 0, 1), 3, if(ISBLANK('2025'!$Q425), 0, 1), 4, if(ISBLANK('2025'!$R425), 0, 1), 5, if(ISBLANK('2025'!$S425), 0, 1), 6, if(ISBLANK('2025'!$T425), 0, 1), 7, 0))), 1, "")</f>
        <v/>
      </c>
      <c r="J462" s="1" t="str">
        <f>IF(AND(AND(AND(J$4&gt;='2025'!$L425,J$4&lt;='2025'!$M425), J$4&lt;&gt;DATE(2025,7,4)), (SWITCH(weekday(J$4), 1, 0, 2, if(ISBLANK('2025'!$P425), 0, 1), 3, if(ISBLANK('2025'!$Q425), 0, 1), 4, if(ISBLANK('2025'!$R425), 0, 1), 5, if(ISBLANK('2025'!$S425), 0, 1), 6, if(ISBLANK('2025'!$T425), 0, 1), 7, 0))), 1, "")</f>
        <v/>
      </c>
      <c r="K462" s="1" t="str">
        <f>IF(AND(AND(AND(K$4&gt;='2025'!$L425,K$4&lt;='2025'!$M425), K$4&lt;&gt;DATE(2025,7,4)), (SWITCH(weekday(K$4), 1, 0, 2, if(ISBLANK('2025'!$P425), 0, 1), 3, if(ISBLANK('2025'!$Q425), 0, 1), 4, if(ISBLANK('2025'!$R425), 0, 1), 5, if(ISBLANK('2025'!$S425), 0, 1), 6, if(ISBLANK('2025'!$T425), 0, 1), 7, 0))), 1, "")</f>
        <v/>
      </c>
      <c r="L462" s="1" t="str">
        <f>IF(AND(AND(AND(L$4&gt;='2025'!$L425,L$4&lt;='2025'!$M425), L$4&lt;&gt;DATE(2025,7,4)), (SWITCH(weekday(L$4), 1, 0, 2, if(ISBLANK('2025'!$P425), 0, 1), 3, if(ISBLANK('2025'!$Q425), 0, 1), 4, if(ISBLANK('2025'!$R425), 0, 1), 5, if(ISBLANK('2025'!$S425), 0, 1), 6, if(ISBLANK('2025'!$T425), 0, 1), 7, 0))), 1, "")</f>
        <v/>
      </c>
      <c r="M462" s="1" t="str">
        <f>IF(AND(AND(AND(M$4&gt;='2025'!$L425,M$4&lt;='2025'!$M425), M$4&lt;&gt;DATE(2025,7,4)), (SWITCH(weekday(M$4), 1, 0, 2, if(ISBLANK('2025'!$P425), 0, 1), 3, if(ISBLANK('2025'!$Q425), 0, 1), 4, if(ISBLANK('2025'!$R425), 0, 1), 5, if(ISBLANK('2025'!$S425), 0, 1), 6, if(ISBLANK('2025'!$T425), 0, 1), 7, 0))), 1, "")</f>
        <v/>
      </c>
      <c r="N462" s="1" t="str">
        <f>IF(AND(AND(AND(N$4&gt;='2025'!$L425,N$4&lt;='2025'!$M425), N$4&lt;&gt;DATE(2025,7,4)), (SWITCH(weekday(N$4), 1, 0, 2, if(ISBLANK('2025'!$P425), 0, 1), 3, if(ISBLANK('2025'!$Q425), 0, 1), 4, if(ISBLANK('2025'!$R425), 0, 1), 5, if(ISBLANK('2025'!$S425), 0, 1), 6, if(ISBLANK('2025'!$T425), 0, 1), 7, 0))), 1, "")</f>
        <v/>
      </c>
      <c r="O462" s="1" t="str">
        <f>IF(AND(AND(AND(O$4&gt;='2025'!$L425,O$4&lt;='2025'!$M425), O$4&lt;&gt;DATE(2025,7,4)), (SWITCH(weekday(O$4), 1, 0, 2, if(ISBLANK('2025'!$P425), 0, 1), 3, if(ISBLANK('2025'!$Q425), 0, 1), 4, if(ISBLANK('2025'!$R425), 0, 1), 5, if(ISBLANK('2025'!$S425), 0, 1), 6, if(ISBLANK('2025'!$T425), 0, 1), 7, 0))), 1, "")</f>
        <v/>
      </c>
      <c r="P462" s="1" t="str">
        <f>IF(AND(AND(AND(P$4&gt;='2025'!$L425,P$4&lt;='2025'!$M425), P$4&lt;&gt;DATE(2025,7,4)), (SWITCH(weekday(P$4), 1, 0, 2, if(ISBLANK('2025'!$P425), 0, 1), 3, if(ISBLANK('2025'!$Q425), 0, 1), 4, if(ISBLANK('2025'!$R425), 0, 1), 5, if(ISBLANK('2025'!$S425), 0, 1), 6, if(ISBLANK('2025'!$T425), 0, 1), 7, 0))), 1, "")</f>
        <v/>
      </c>
      <c r="Q462" s="1" t="str">
        <f>IF(AND(AND(AND(Q$4&gt;='2025'!$L425,Q$4&lt;='2025'!$M425), Q$4&lt;&gt;DATE(2025,7,4)), (SWITCH(weekday(Q$4), 1, 0, 2, if(ISBLANK('2025'!$P425), 0, 1), 3, if(ISBLANK('2025'!$Q425), 0, 1), 4, if(ISBLANK('2025'!$R425), 0, 1), 5, if(ISBLANK('2025'!$S425), 0, 1), 6, if(ISBLANK('2025'!$T425), 0, 1), 7, 0))), 1, "")</f>
        <v/>
      </c>
      <c r="R462" s="1" t="str">
        <f>IF(AND(AND(AND(R$4&gt;='2025'!$L425,R$4&lt;='2025'!$M425), R$4&lt;&gt;DATE(2025,7,4)), (SWITCH(weekday(R$4), 1, 0, 2, if(ISBLANK('2025'!$P425), 0, 1), 3, if(ISBLANK('2025'!$Q425), 0, 1), 4, if(ISBLANK('2025'!$R425), 0, 1), 5, if(ISBLANK('2025'!$S425), 0, 1), 6, if(ISBLANK('2025'!$T425), 0, 1), 7, 0))), 1, "")</f>
        <v/>
      </c>
      <c r="S462" s="1" t="str">
        <f>IF(AND(AND(AND(S$4&gt;='2025'!$L425,S$4&lt;='2025'!$M425), S$4&lt;&gt;DATE(2025,7,4)), (SWITCH(weekday(S$4), 1, 0, 2, if(ISBLANK('2025'!$P425), 0, 1), 3, if(ISBLANK('2025'!$Q425), 0, 1), 4, if(ISBLANK('2025'!$R425), 0, 1), 5, if(ISBLANK('2025'!$S425), 0, 1), 6, if(ISBLANK('2025'!$T425), 0, 1), 7, 0))), 1, "")</f>
        <v/>
      </c>
      <c r="T462" s="1" t="str">
        <f>IF(AND(AND(AND(T$4&gt;='2025'!$L425,T$4&lt;='2025'!$M425), T$4&lt;&gt;DATE(2025,7,4)), (SWITCH(weekday(T$4), 1, 0, 2, if(ISBLANK('2025'!$P425), 0, 1), 3, if(ISBLANK('2025'!$Q425), 0, 1), 4, if(ISBLANK('2025'!$R425), 0, 1), 5, if(ISBLANK('2025'!$S425), 0, 1), 6, if(ISBLANK('2025'!$T425), 0, 1), 7, 0))), 1, "")</f>
        <v/>
      </c>
      <c r="U462" s="1" t="str">
        <f>IF(AND(AND(AND(U$4&gt;='2025'!$L425,U$4&lt;='2025'!$M425), U$4&lt;&gt;DATE(2025,7,4)), (SWITCH(weekday(U$4), 1, 0, 2, if(ISBLANK('2025'!$P425), 0, 1), 3, if(ISBLANK('2025'!$Q425), 0, 1), 4, if(ISBLANK('2025'!$R425), 0, 1), 5, if(ISBLANK('2025'!$S425), 0, 1), 6, if(ISBLANK('2025'!$T425), 0, 1), 7, 0))), 1, "")</f>
        <v/>
      </c>
      <c r="V462" s="1" t="str">
        <f>IF(AND(AND(AND(V$4&gt;='2025'!$L425,V$4&lt;='2025'!$M425), V$4&lt;&gt;DATE(2025,7,4)), (SWITCH(weekday(V$4), 1, 0, 2, if(ISBLANK('2025'!$P425), 0, 1), 3, if(ISBLANK('2025'!$Q425), 0, 1), 4, if(ISBLANK('2025'!$R425), 0, 1), 5, if(ISBLANK('2025'!$S425), 0, 1), 6, if(ISBLANK('2025'!$T425), 0, 1), 7, 0))), 1, "")</f>
        <v/>
      </c>
      <c r="W462" s="1" t="str">
        <f>IF(AND(AND(AND(W$4&gt;='2025'!$L425,W$4&lt;='2025'!$M425), W$4&lt;&gt;DATE(2025,7,4)), (SWITCH(weekday(W$4), 1, 0, 2, if(ISBLANK('2025'!$P425), 0, 1), 3, if(ISBLANK('2025'!$Q425), 0, 1), 4, if(ISBLANK('2025'!$R425), 0, 1), 5, if(ISBLANK('2025'!$S425), 0, 1), 6, if(ISBLANK('2025'!$T425), 0, 1), 7, 0))), 1, "")</f>
        <v/>
      </c>
      <c r="X462" s="1" t="str">
        <f>IF(AND(AND(AND(X$4&gt;='2025'!$L425,X$4&lt;='2025'!$M425), X$4&lt;&gt;DATE(2025,7,4)), (SWITCH(weekday(X$4), 1, 0, 2, if(ISBLANK('2025'!$P425), 0, 1), 3, if(ISBLANK('2025'!$Q425), 0, 1), 4, if(ISBLANK('2025'!$R425), 0, 1), 5, if(ISBLANK('2025'!$S425), 0, 1), 6, if(ISBLANK('2025'!$T425), 0, 1), 7, 0))), 1, "")</f>
        <v/>
      </c>
      <c r="Y462" s="1" t="str">
        <f>IF(AND(AND(AND(Y$4&gt;='2025'!$L425,Y$4&lt;='2025'!$M425), Y$4&lt;&gt;DATE(2025,7,4)), (SWITCH(weekday(Y$4), 1, 0, 2, if(ISBLANK('2025'!$P425), 0, 1), 3, if(ISBLANK('2025'!$Q425), 0, 1), 4, if(ISBLANK('2025'!$R425), 0, 1), 5, if(ISBLANK('2025'!$S425), 0, 1), 6, if(ISBLANK('2025'!$T425), 0, 1), 7, 0))), 1, "")</f>
        <v/>
      </c>
      <c r="Z462" s="1" t="str">
        <f>IF(AND(AND(AND(Z$4&gt;='2025'!$L425,Z$4&lt;='2025'!$M425), Z$4&lt;&gt;DATE(2025,7,4)), (SWITCH(weekday(Z$4), 1, 0, 2, if(ISBLANK('2025'!$P425), 0, 1), 3, if(ISBLANK('2025'!$Q425), 0, 1), 4, if(ISBLANK('2025'!$R425), 0, 1), 5, if(ISBLANK('2025'!$S425), 0, 1), 6, if(ISBLANK('2025'!$T425), 0, 1), 7, 0))), 1, "")</f>
        <v/>
      </c>
      <c r="AA462" s="1" t="str">
        <f>IF(AND(AND(AND(AA$4&gt;='2025'!$L425,AA$4&lt;='2025'!$M425), AA$4&lt;&gt;DATE(2025,7,4)), (SWITCH(weekday(AA$4), 1, 0, 2, if(ISBLANK('2025'!$P425), 0, 1), 3, if(ISBLANK('2025'!$Q425), 0, 1), 4, if(ISBLANK('2025'!$R425), 0, 1), 5, if(ISBLANK('2025'!$S425), 0, 1), 6, if(ISBLANK('2025'!$T425), 0, 1), 7, 0))), 1, "")</f>
        <v/>
      </c>
      <c r="AB462" s="1" t="str">
        <f>IF(AND(AND(AND(AB$4&gt;='2025'!$L425,AB$4&lt;='2025'!$M425), AB$4&lt;&gt;DATE(2025,7,4)), (SWITCH(weekday(AB$4), 1, 0, 2, if(ISBLANK('2025'!$P425), 0, 1), 3, if(ISBLANK('2025'!$Q425), 0, 1), 4, if(ISBLANK('2025'!$R425), 0, 1), 5, if(ISBLANK('2025'!$S425), 0, 1), 6, if(ISBLANK('2025'!$T425), 0, 1), 7, 0))), 1, "")</f>
        <v/>
      </c>
      <c r="AC462" s="1" t="str">
        <f>IF(AND(AND(AND(AC$4&gt;='2025'!$L425,AC$4&lt;='2025'!$M425), AC$4&lt;&gt;DATE(2025,7,4)), (SWITCH(weekday(AC$4), 1, 0, 2, if(ISBLANK('2025'!$P425), 0, 1), 3, if(ISBLANK('2025'!$Q425), 0, 1), 4, if(ISBLANK('2025'!$R425), 0, 1), 5, if(ISBLANK('2025'!$S425), 0, 1), 6, if(ISBLANK('2025'!$T425), 0, 1), 7, 0))), 1, "")</f>
        <v/>
      </c>
      <c r="AD462" s="1" t="str">
        <f>IF(AND(AND(AND(AD$4&gt;='2025'!$L425,AD$4&lt;='2025'!$M425), AD$4&lt;&gt;DATE(2025,7,4)), (SWITCH(weekday(AD$4), 1, 0, 2, if(ISBLANK('2025'!$P425), 0, 1), 3, if(ISBLANK('2025'!$Q425), 0, 1), 4, if(ISBLANK('2025'!$R425), 0, 1), 5, if(ISBLANK('2025'!$S425), 0, 1), 6, if(ISBLANK('2025'!$T425), 0, 1), 7, 0))), 1, "")</f>
        <v/>
      </c>
      <c r="AE462" s="1" t="str">
        <f>IF(AND(AND(AND(AE$4&gt;='2025'!$L425,AE$4&lt;='2025'!$M425), AE$4&lt;&gt;DATE(2025,7,4)), (SWITCH(weekday(AE$4), 1, 0, 2, if(ISBLANK('2025'!$P425), 0, 1), 3, if(ISBLANK('2025'!$Q425), 0, 1), 4, if(ISBLANK('2025'!$R425), 0, 1), 5, if(ISBLANK('2025'!$S425), 0, 1), 6, if(ISBLANK('2025'!$T425), 0, 1), 7, 0))), 1, "")</f>
        <v/>
      </c>
      <c r="AF462" s="1" t="str">
        <f>IF(AND(AND(AND(AF$4&gt;='2025'!$L425,AF$4&lt;='2025'!$M425), AF$4&lt;&gt;DATE(2025,7,4)), (SWITCH(weekday(AF$4), 1, 0, 2, if(ISBLANK('2025'!$P425), 0, 1), 3, if(ISBLANK('2025'!$Q425), 0, 1), 4, if(ISBLANK('2025'!$R425), 0, 1), 5, if(ISBLANK('2025'!$S425), 0, 1), 6, if(ISBLANK('2025'!$T425), 0, 1), 7, 0))), 1, "")</f>
        <v/>
      </c>
      <c r="AG462" s="1" t="str">
        <f>IF(AND(AND(AND(AG$4&gt;='2025'!$L425,AG$4&lt;='2025'!$M425), AG$4&lt;&gt;DATE(2025,7,4)), (SWITCH(weekday(AG$4), 1, 0, 2, if(ISBLANK('2025'!$P425), 0, 1), 3, if(ISBLANK('2025'!$Q425), 0, 1), 4, if(ISBLANK('2025'!$R425), 0, 1), 5, if(ISBLANK('2025'!$S425), 0, 1), 6, if(ISBLANK('2025'!$T425), 0, 1), 7, 0))), 1, "")</f>
        <v/>
      </c>
      <c r="AH462" s="1" t="str">
        <f>IF(AND(AND(AND(AH$4&gt;='2025'!$L425,AH$4&lt;='2025'!$M425), AH$4&lt;&gt;DATE(2025,7,4)), (SWITCH(weekday(AH$4), 1, 0, 2, if(ISBLANK('2025'!$P425), 0, 1), 3, if(ISBLANK('2025'!$Q425), 0, 1), 4, if(ISBLANK('2025'!$R425), 0, 1), 5, if(ISBLANK('2025'!$S425), 0, 1), 6, if(ISBLANK('2025'!$T425), 0, 1), 7, 0))), 1, "")</f>
        <v/>
      </c>
      <c r="AI462" s="1" t="str">
        <f>IF(AND(AND(AND(AI$4&gt;='2025'!$L425,AI$4&lt;='2025'!$M425), AI$4&lt;&gt;DATE(2025,7,4)), (SWITCH(weekday(AI$4), 1, 0, 2, if(ISBLANK('2025'!$P425), 0, 1), 3, if(ISBLANK('2025'!$Q425), 0, 1), 4, if(ISBLANK('2025'!$R425), 0, 1), 5, if(ISBLANK('2025'!$S425), 0, 1), 6, if(ISBLANK('2025'!$T425), 0, 1), 7, 0))), 1, "")</f>
        <v/>
      </c>
      <c r="AJ462" s="1" t="str">
        <f>IF(AND(AND(AND(AJ$4&gt;='2025'!$L425,AJ$4&lt;='2025'!$M425), AJ$4&lt;&gt;DATE(2025,7,4)), (SWITCH(weekday(AJ$4), 1, 0, 2, if(ISBLANK('2025'!$P425), 0, 1), 3, if(ISBLANK('2025'!$Q425), 0, 1), 4, if(ISBLANK('2025'!$R425), 0, 1), 5, if(ISBLANK('2025'!$S425), 0, 1), 6, if(ISBLANK('2025'!$T425), 0, 1), 7, 0))), 1, "")</f>
        <v/>
      </c>
      <c r="AK462" s="1" t="str">
        <f>IF(AND(AND(AND(AK$4&gt;='2025'!$L425,AK$4&lt;='2025'!$M425), AK$4&lt;&gt;DATE(2025,7,4)), (SWITCH(weekday(AK$4), 1, 0, 2, if(ISBLANK('2025'!$P425), 0, 1), 3, if(ISBLANK('2025'!$Q425), 0, 1), 4, if(ISBLANK('2025'!$R425), 0, 1), 5, if(ISBLANK('2025'!$S425), 0, 1), 6, if(ISBLANK('2025'!$T425), 0, 1), 7, 0))), 1, "")</f>
        <v/>
      </c>
      <c r="AL462" s="1" t="str">
        <f>IF(AND(AND(AND(AL$4&gt;='2025'!$L425,AL$4&lt;='2025'!$M425), AL$4&lt;&gt;DATE(2025,7,4)), (SWITCH(weekday(AL$4), 1, 0, 2, if(ISBLANK('2025'!$P425), 0, 1), 3, if(ISBLANK('2025'!$Q425), 0, 1), 4, if(ISBLANK('2025'!$R425), 0, 1), 5, if(ISBLANK('2025'!$S425), 0, 1), 6, if(ISBLANK('2025'!$T425), 0, 1), 7, 0))), 1, "")</f>
        <v/>
      </c>
      <c r="AM462" s="1" t="str">
        <f>IF(AND(AND(AND(AM$4&gt;='2025'!$L425,AM$4&lt;='2025'!$M425), AM$4&lt;&gt;DATE(2025,7,4)), (SWITCH(weekday(AM$4), 1, 0, 2, if(ISBLANK('2025'!$P425), 0, 1), 3, if(ISBLANK('2025'!$Q425), 0, 1), 4, if(ISBLANK('2025'!$R425), 0, 1), 5, if(ISBLANK('2025'!$S425), 0, 1), 6, if(ISBLANK('2025'!$T425), 0, 1), 7, 0))), 1, "")</f>
        <v/>
      </c>
      <c r="AN462" s="1" t="str">
        <f>IF(AND(AND(AND(AN$4&gt;='2025'!$L425,AN$4&lt;='2025'!$M425), AN$4&lt;&gt;DATE(2025,7,4)), (SWITCH(weekday(AN$4), 1, 0, 2, if(ISBLANK('2025'!$P425), 0, 1), 3, if(ISBLANK('2025'!$Q425), 0, 1), 4, if(ISBLANK('2025'!$R425), 0, 1), 5, if(ISBLANK('2025'!$S425), 0, 1), 6, if(ISBLANK('2025'!$T425), 0, 1), 7, 0))), 1, "")</f>
        <v/>
      </c>
      <c r="AO462" s="1" t="str">
        <f>IF(AND(AND(AND(AO$4&gt;='2025'!$L425,AO$4&lt;='2025'!$M425), AO$4&lt;&gt;DATE(2025,7,4)), (SWITCH(weekday(AO$4), 1, 0, 2, if(ISBLANK('2025'!$P425), 0, 1), 3, if(ISBLANK('2025'!$Q425), 0, 1), 4, if(ISBLANK('2025'!$R425), 0, 1), 5, if(ISBLANK('2025'!$S425), 0, 1), 6, if(ISBLANK('2025'!$T425), 0, 1), 7, 0))), 1, "")</f>
        <v/>
      </c>
      <c r="AP462" s="1" t="str">
        <f>IF(AND(AND(AND(AP$4&gt;='2025'!$L425,AP$4&lt;='2025'!$M425), AP$4&lt;&gt;DATE(2025,7,4)), (SWITCH(weekday(AP$4), 1, 0, 2, if(ISBLANK('2025'!$P425), 0, 1), 3, if(ISBLANK('2025'!$Q425), 0, 1), 4, if(ISBLANK('2025'!$R425), 0, 1), 5, if(ISBLANK('2025'!$S425), 0, 1), 6, if(ISBLANK('2025'!$T425), 0, 1), 7, 0))), 1, "")</f>
        <v/>
      </c>
      <c r="AQ462" s="1" t="str">
        <f>IF(AND(AND(AND(AQ$4&gt;='2025'!$L425,AQ$4&lt;='2025'!$M425), AQ$4&lt;&gt;DATE(2025,7,4)), (SWITCH(weekday(AQ$4), 1, 0, 2, if(ISBLANK('2025'!$P425), 0, 1), 3, if(ISBLANK('2025'!$Q425), 0, 1), 4, if(ISBLANK('2025'!$R425), 0, 1), 5, if(ISBLANK('2025'!$S425), 0, 1), 6, if(ISBLANK('2025'!$T425), 0, 1), 7, 0))), 1, "")</f>
        <v/>
      </c>
      <c r="AR462" s="1" t="str">
        <f>IF(AND(AND(AND(AR$4&gt;='2025'!$L425,AR$4&lt;='2025'!$M425), AR$4&lt;&gt;DATE(2025,7,4)), (SWITCH(weekday(AR$4), 1, 0, 2, if(ISBLANK('2025'!$P425), 0, 1), 3, if(ISBLANK('2025'!$Q425), 0, 1), 4, if(ISBLANK('2025'!$R425), 0, 1), 5, if(ISBLANK('2025'!$S425), 0, 1), 6, if(ISBLANK('2025'!$T425), 0, 1), 7, 0))), 1, "")</f>
        <v/>
      </c>
      <c r="AS462" s="1" t="str">
        <f>IF(AND(AND(AND(AS$4&gt;='2025'!$L425,AS$4&lt;='2025'!$M425), AS$4&lt;&gt;DATE(2025,7,4)), (SWITCH(weekday(AS$4), 1, 0, 2, if(ISBLANK('2025'!$P425), 0, 1), 3, if(ISBLANK('2025'!$Q425), 0, 1), 4, if(ISBLANK('2025'!$R425), 0, 1), 5, if(ISBLANK('2025'!$S425), 0, 1), 6, if(ISBLANK('2025'!$T425), 0, 1), 7, 0))), 1, "")</f>
        <v/>
      </c>
      <c r="AT462" s="1" t="str">
        <f>IF(AND(AND(AND(AT$4&gt;='2025'!$L425,AT$4&lt;='2025'!$M425), AT$4&lt;&gt;DATE(2025,7,4)), (SWITCH(weekday(AT$4), 1, 0, 2, if(ISBLANK('2025'!$P425), 0, 1), 3, if(ISBLANK('2025'!$Q425), 0, 1), 4, if(ISBLANK('2025'!$R425), 0, 1), 5, if(ISBLANK('2025'!$S425), 0, 1), 6, if(ISBLANK('2025'!$T425), 0, 1), 7, 0))), 1, "")</f>
        <v/>
      </c>
      <c r="AU462" s="1" t="str">
        <f>IF(AND(AND(AND(AU$4&gt;='2025'!$L425,AU$4&lt;='2025'!$M425), AU$4&lt;&gt;DATE(2025,7,4)), (SWITCH(weekday(AU$4), 1, 0, 2, if(ISBLANK('2025'!$P425), 0, 1), 3, if(ISBLANK('2025'!$Q425), 0, 1), 4, if(ISBLANK('2025'!$R425), 0, 1), 5, if(ISBLANK('2025'!$S425), 0, 1), 6, if(ISBLANK('2025'!$T425), 0, 1), 7, 0))), 1, "")</f>
        <v/>
      </c>
      <c r="AV462" s="1" t="str">
        <f>IF(AND(AND(AND(AV$4&gt;='2025'!$L425,AV$4&lt;='2025'!$M425), AV$4&lt;&gt;DATE(2025,7,4)), (SWITCH(weekday(AV$4), 1, 0, 2, if(ISBLANK('2025'!$P425), 0, 1), 3, if(ISBLANK('2025'!$Q425), 0, 1), 4, if(ISBLANK('2025'!$R425), 0, 1), 5, if(ISBLANK('2025'!$S425), 0, 1), 6, if(ISBLANK('2025'!$T425), 0, 1), 7, 0))), 1, "")</f>
        <v/>
      </c>
      <c r="AW462" s="1" t="str">
        <f>IF(AND(AND(AND(AW$4&gt;='2025'!$L425,AW$4&lt;='2025'!$M425), AW$4&lt;&gt;DATE(2025,7,4)), (SWITCH(weekday(AW$4), 1, 0, 2, if(ISBLANK('2025'!$P425), 0, 1), 3, if(ISBLANK('2025'!$Q425), 0, 1), 4, if(ISBLANK('2025'!$R425), 0, 1), 5, if(ISBLANK('2025'!$S425), 0, 1), 6, if(ISBLANK('2025'!$T425), 0, 1), 7, 0))), 1, "")</f>
        <v/>
      </c>
      <c r="AX462" s="1" t="str">
        <f>IF(AND(AND(AND(AX$4&gt;='2025'!$L425,AX$4&lt;='2025'!$M425), AX$4&lt;&gt;DATE(2025,7,4)), (SWITCH(weekday(AX$4), 1, 0, 2, if(ISBLANK('2025'!$P425), 0, 1), 3, if(ISBLANK('2025'!$Q425), 0, 1), 4, if(ISBLANK('2025'!$R425), 0, 1), 5, if(ISBLANK('2025'!$S425), 0, 1), 6, if(ISBLANK('2025'!$T425), 0, 1), 7, 0))), 1, "")</f>
        <v/>
      </c>
      <c r="AY462" s="1" t="str">
        <f>IF(AND(AND(AND(AY$4&gt;='2025'!$L425,AY$4&lt;='2025'!$M425), AY$4&lt;&gt;DATE(2025,7,4)), (SWITCH(weekday(AY$4), 1, 0, 2, if(ISBLANK('2025'!$P425), 0, 1), 3, if(ISBLANK('2025'!$Q425), 0, 1), 4, if(ISBLANK('2025'!$R425), 0, 1), 5, if(ISBLANK('2025'!$S425), 0, 1), 6, if(ISBLANK('2025'!$T425), 0, 1), 7, 0))), 1, "")</f>
        <v/>
      </c>
      <c r="AZ462" s="1" t="str">
        <f>IF(AND(AND(AND(AZ$4&gt;='2025'!$L425,AZ$4&lt;='2025'!$M425), AZ$4&lt;&gt;DATE(2025,7,4)), (SWITCH(weekday(AZ$4), 1, 0, 2, if(ISBLANK('2025'!$P425), 0, 1), 3, if(ISBLANK('2025'!$Q425), 0, 1), 4, if(ISBLANK('2025'!$R425), 0, 1), 5, if(ISBLANK('2025'!$S425), 0, 1), 6, if(ISBLANK('2025'!$T425), 0, 1), 7, 0))), 1, "")</f>
        <v/>
      </c>
      <c r="BA462" s="1" t="str">
        <f>IF(AND(AND(AND(BA$4&gt;='2025'!$L425,BA$4&lt;='2025'!$M425), BA$4&lt;&gt;DATE(2025,7,4)), (SWITCH(weekday(BA$4), 1, 0, 2, if(ISBLANK('2025'!$P425), 0, 1), 3, if(ISBLANK('2025'!$Q425), 0, 1), 4, if(ISBLANK('2025'!$R425), 0, 1), 5, if(ISBLANK('2025'!$S425), 0, 1), 6, if(ISBLANK('2025'!$T425), 0, 1), 7, 0))), 1, "")</f>
        <v/>
      </c>
      <c r="BB462" s="1" t="str">
        <f>IF(AND(AND(AND(BB$4&gt;='2025'!$L425,BB$4&lt;='2025'!$M425), BB$4&lt;&gt;DATE(2025,7,4)), (SWITCH(weekday(BB$4), 1, 0, 2, if(ISBLANK('2025'!$P425), 0, 1), 3, if(ISBLANK('2025'!$Q425), 0, 1), 4, if(ISBLANK('2025'!$R425), 0, 1), 5, if(ISBLANK('2025'!$S425), 0, 1), 6, if(ISBLANK('2025'!$T425), 0, 1), 7, 0))), 1, "")</f>
        <v/>
      </c>
      <c r="BC462" s="1" t="str">
        <f>IF(AND(AND(AND(BC$4&gt;='2025'!$L425,BC$4&lt;='2025'!$M425), BC$4&lt;&gt;DATE(2025,7,4)), (SWITCH(weekday(BC$4), 1, 0, 2, if(ISBLANK('2025'!$P425), 0, 1), 3, if(ISBLANK('2025'!$Q425), 0, 1), 4, if(ISBLANK('2025'!$R425), 0, 1), 5, if(ISBLANK('2025'!$S425), 0, 1), 6, if(ISBLANK('2025'!$T425), 0, 1), 7, 0))), 1, "")</f>
        <v/>
      </c>
      <c r="BD462" s="1" t="str">
        <f>IF(AND(AND(AND(BD$4&gt;='2025'!$L425,BD$4&lt;='2025'!$M425), BD$4&lt;&gt;DATE(2025,7,4)), (SWITCH(weekday(BD$4), 1, 0, 2, if(ISBLANK('2025'!$P425), 0, 1), 3, if(ISBLANK('2025'!$Q425), 0, 1), 4, if(ISBLANK('2025'!$R425), 0, 1), 5, if(ISBLANK('2025'!$S425), 0, 1), 6, if(ISBLANK('2025'!$T425), 0, 1), 7, 0))), 1, "")</f>
        <v/>
      </c>
      <c r="BE462" s="1" t="str">
        <f>IF(AND(AND(AND(BE$4&gt;='2025'!$L425,BE$4&lt;='2025'!$M425), BE$4&lt;&gt;DATE(2025,7,4)), (SWITCH(weekday(BE$4), 1, 0, 2, if(ISBLANK('2025'!$P425), 0, 1), 3, if(ISBLANK('2025'!$Q425), 0, 1), 4, if(ISBLANK('2025'!$R425), 0, 1), 5, if(ISBLANK('2025'!$S425), 0, 1), 6, if(ISBLANK('2025'!$T425), 0, 1), 7, 0))), 1, "")</f>
        <v/>
      </c>
    </row>
    <row r="463">
      <c r="A463" s="1">
        <f t="shared" si="3"/>
        <v>463</v>
      </c>
      <c r="B463" s="1" t="str">
        <f>'2025'!D426</f>
        <v/>
      </c>
      <c r="C463" s="1" t="str">
        <f>'2025'!H426</f>
        <v/>
      </c>
      <c r="D463" s="1" t="str">
        <f>IF(AND(AND(AND(D$4&gt;='2025'!$L426,D$4&lt;='2025'!$M426), D$4&lt;&gt;DATE(2025,7,4)), (SWITCH(weekday(D$4), 1, 0, 2, if(ISBLANK('2025'!$P426), 0, 1), 3, if(ISBLANK('2025'!$Q426), 0, 1), 4, if(ISBLANK('2025'!$R426), 0, 1), 5, if(ISBLANK('2025'!$S426), 0, 1), 6, if(ISBLANK('2025'!$T426), 0, 1), 7, 0))), 1, "")</f>
        <v/>
      </c>
      <c r="E463" s="1" t="str">
        <f>IF(AND(AND(AND(E$4&gt;='2025'!$L426,E$4&lt;='2025'!$M426), E$4&lt;&gt;DATE(2025,7,4)), (SWITCH(weekday(E$4), 1, 0, 2, if(ISBLANK('2025'!$P426), 0, 1), 3, if(ISBLANK('2025'!$Q426), 0, 1), 4, if(ISBLANK('2025'!$R426), 0, 1), 5, if(ISBLANK('2025'!$S426), 0, 1), 6, if(ISBLANK('2025'!$T426), 0, 1), 7, 0))), 1, "")</f>
        <v/>
      </c>
      <c r="F463" s="1" t="str">
        <f>IF(AND(AND(AND(F$4&gt;='2025'!$L426,F$4&lt;='2025'!$M426), F$4&lt;&gt;DATE(2025,7,4)), (SWITCH(weekday(F$4), 1, 0, 2, if(ISBLANK('2025'!$P426), 0, 1), 3, if(ISBLANK('2025'!$Q426), 0, 1), 4, if(ISBLANK('2025'!$R426), 0, 1), 5, if(ISBLANK('2025'!$S426), 0, 1), 6, if(ISBLANK('2025'!$T426), 0, 1), 7, 0))), 1, "")</f>
        <v/>
      </c>
      <c r="G463" s="1" t="str">
        <f>IF(AND(AND(AND(G$4&gt;='2025'!$L426,G$4&lt;='2025'!$M426), G$4&lt;&gt;DATE(2025,7,4)), (SWITCH(weekday(G$4), 1, 0, 2, if(ISBLANK('2025'!$P426), 0, 1), 3, if(ISBLANK('2025'!$Q426), 0, 1), 4, if(ISBLANK('2025'!$R426), 0, 1), 5, if(ISBLANK('2025'!$S426), 0, 1), 6, if(ISBLANK('2025'!$T426), 0, 1), 7, 0))), 1, "")</f>
        <v/>
      </c>
      <c r="H463" s="1" t="str">
        <f>IF(AND(AND(AND(H$4&gt;='2025'!$L426,H$4&lt;='2025'!$M426), H$4&lt;&gt;DATE(2025,7,4)), (SWITCH(weekday(H$4), 1, 0, 2, if(ISBLANK('2025'!$P426), 0, 1), 3, if(ISBLANK('2025'!$Q426), 0, 1), 4, if(ISBLANK('2025'!$R426), 0, 1), 5, if(ISBLANK('2025'!$S426), 0, 1), 6, if(ISBLANK('2025'!$T426), 0, 1), 7, 0))), 1, "")</f>
        <v/>
      </c>
      <c r="I463" s="1" t="str">
        <f>IF(AND(AND(AND(I$4&gt;='2025'!$L426,I$4&lt;='2025'!$M426), I$4&lt;&gt;DATE(2025,7,4)), (SWITCH(weekday(I$4), 1, 0, 2, if(ISBLANK('2025'!$P426), 0, 1), 3, if(ISBLANK('2025'!$Q426), 0, 1), 4, if(ISBLANK('2025'!$R426), 0, 1), 5, if(ISBLANK('2025'!$S426), 0, 1), 6, if(ISBLANK('2025'!$T426), 0, 1), 7, 0))), 1, "")</f>
        <v/>
      </c>
      <c r="J463" s="1" t="str">
        <f>IF(AND(AND(AND(J$4&gt;='2025'!$L426,J$4&lt;='2025'!$M426), J$4&lt;&gt;DATE(2025,7,4)), (SWITCH(weekday(J$4), 1, 0, 2, if(ISBLANK('2025'!$P426), 0, 1), 3, if(ISBLANK('2025'!$Q426), 0, 1), 4, if(ISBLANK('2025'!$R426), 0, 1), 5, if(ISBLANK('2025'!$S426), 0, 1), 6, if(ISBLANK('2025'!$T426), 0, 1), 7, 0))), 1, "")</f>
        <v/>
      </c>
      <c r="K463" s="1" t="str">
        <f>IF(AND(AND(AND(K$4&gt;='2025'!$L426,K$4&lt;='2025'!$M426), K$4&lt;&gt;DATE(2025,7,4)), (SWITCH(weekday(K$4), 1, 0, 2, if(ISBLANK('2025'!$P426), 0, 1), 3, if(ISBLANK('2025'!$Q426), 0, 1), 4, if(ISBLANK('2025'!$R426), 0, 1), 5, if(ISBLANK('2025'!$S426), 0, 1), 6, if(ISBLANK('2025'!$T426), 0, 1), 7, 0))), 1, "")</f>
        <v/>
      </c>
      <c r="L463" s="1" t="str">
        <f>IF(AND(AND(AND(L$4&gt;='2025'!$L426,L$4&lt;='2025'!$M426), L$4&lt;&gt;DATE(2025,7,4)), (SWITCH(weekday(L$4), 1, 0, 2, if(ISBLANK('2025'!$P426), 0, 1), 3, if(ISBLANK('2025'!$Q426), 0, 1), 4, if(ISBLANK('2025'!$R426), 0, 1), 5, if(ISBLANK('2025'!$S426), 0, 1), 6, if(ISBLANK('2025'!$T426), 0, 1), 7, 0))), 1, "")</f>
        <v/>
      </c>
      <c r="M463" s="1" t="str">
        <f>IF(AND(AND(AND(M$4&gt;='2025'!$L426,M$4&lt;='2025'!$M426), M$4&lt;&gt;DATE(2025,7,4)), (SWITCH(weekday(M$4), 1, 0, 2, if(ISBLANK('2025'!$P426), 0, 1), 3, if(ISBLANK('2025'!$Q426), 0, 1), 4, if(ISBLANK('2025'!$R426), 0, 1), 5, if(ISBLANK('2025'!$S426), 0, 1), 6, if(ISBLANK('2025'!$T426), 0, 1), 7, 0))), 1, "")</f>
        <v/>
      </c>
      <c r="N463" s="1" t="str">
        <f>IF(AND(AND(AND(N$4&gt;='2025'!$L426,N$4&lt;='2025'!$M426), N$4&lt;&gt;DATE(2025,7,4)), (SWITCH(weekday(N$4), 1, 0, 2, if(ISBLANK('2025'!$P426), 0, 1), 3, if(ISBLANK('2025'!$Q426), 0, 1), 4, if(ISBLANK('2025'!$R426), 0, 1), 5, if(ISBLANK('2025'!$S426), 0, 1), 6, if(ISBLANK('2025'!$T426), 0, 1), 7, 0))), 1, "")</f>
        <v/>
      </c>
      <c r="O463" s="1" t="str">
        <f>IF(AND(AND(AND(O$4&gt;='2025'!$L426,O$4&lt;='2025'!$M426), O$4&lt;&gt;DATE(2025,7,4)), (SWITCH(weekday(O$4), 1, 0, 2, if(ISBLANK('2025'!$P426), 0, 1), 3, if(ISBLANK('2025'!$Q426), 0, 1), 4, if(ISBLANK('2025'!$R426), 0, 1), 5, if(ISBLANK('2025'!$S426), 0, 1), 6, if(ISBLANK('2025'!$T426), 0, 1), 7, 0))), 1, "")</f>
        <v/>
      </c>
      <c r="P463" s="1" t="str">
        <f>IF(AND(AND(AND(P$4&gt;='2025'!$L426,P$4&lt;='2025'!$M426), P$4&lt;&gt;DATE(2025,7,4)), (SWITCH(weekday(P$4), 1, 0, 2, if(ISBLANK('2025'!$P426), 0, 1), 3, if(ISBLANK('2025'!$Q426), 0, 1), 4, if(ISBLANK('2025'!$R426), 0, 1), 5, if(ISBLANK('2025'!$S426), 0, 1), 6, if(ISBLANK('2025'!$T426), 0, 1), 7, 0))), 1, "")</f>
        <v/>
      </c>
      <c r="Q463" s="1" t="str">
        <f>IF(AND(AND(AND(Q$4&gt;='2025'!$L426,Q$4&lt;='2025'!$M426), Q$4&lt;&gt;DATE(2025,7,4)), (SWITCH(weekday(Q$4), 1, 0, 2, if(ISBLANK('2025'!$P426), 0, 1), 3, if(ISBLANK('2025'!$Q426), 0, 1), 4, if(ISBLANK('2025'!$R426), 0, 1), 5, if(ISBLANK('2025'!$S426), 0, 1), 6, if(ISBLANK('2025'!$T426), 0, 1), 7, 0))), 1, "")</f>
        <v/>
      </c>
      <c r="R463" s="1" t="str">
        <f>IF(AND(AND(AND(R$4&gt;='2025'!$L426,R$4&lt;='2025'!$M426), R$4&lt;&gt;DATE(2025,7,4)), (SWITCH(weekday(R$4), 1, 0, 2, if(ISBLANK('2025'!$P426), 0, 1), 3, if(ISBLANK('2025'!$Q426), 0, 1), 4, if(ISBLANK('2025'!$R426), 0, 1), 5, if(ISBLANK('2025'!$S426), 0, 1), 6, if(ISBLANK('2025'!$T426), 0, 1), 7, 0))), 1, "")</f>
        <v/>
      </c>
      <c r="S463" s="1" t="str">
        <f>IF(AND(AND(AND(S$4&gt;='2025'!$L426,S$4&lt;='2025'!$M426), S$4&lt;&gt;DATE(2025,7,4)), (SWITCH(weekday(S$4), 1, 0, 2, if(ISBLANK('2025'!$P426), 0, 1), 3, if(ISBLANK('2025'!$Q426), 0, 1), 4, if(ISBLANK('2025'!$R426), 0, 1), 5, if(ISBLANK('2025'!$S426), 0, 1), 6, if(ISBLANK('2025'!$T426), 0, 1), 7, 0))), 1, "")</f>
        <v/>
      </c>
      <c r="T463" s="1" t="str">
        <f>IF(AND(AND(AND(T$4&gt;='2025'!$L426,T$4&lt;='2025'!$M426), T$4&lt;&gt;DATE(2025,7,4)), (SWITCH(weekday(T$4), 1, 0, 2, if(ISBLANK('2025'!$P426), 0, 1), 3, if(ISBLANK('2025'!$Q426), 0, 1), 4, if(ISBLANK('2025'!$R426), 0, 1), 5, if(ISBLANK('2025'!$S426), 0, 1), 6, if(ISBLANK('2025'!$T426), 0, 1), 7, 0))), 1, "")</f>
        <v/>
      </c>
      <c r="U463" s="1" t="str">
        <f>IF(AND(AND(AND(U$4&gt;='2025'!$L426,U$4&lt;='2025'!$M426), U$4&lt;&gt;DATE(2025,7,4)), (SWITCH(weekday(U$4), 1, 0, 2, if(ISBLANK('2025'!$P426), 0, 1), 3, if(ISBLANK('2025'!$Q426), 0, 1), 4, if(ISBLANK('2025'!$R426), 0, 1), 5, if(ISBLANK('2025'!$S426), 0, 1), 6, if(ISBLANK('2025'!$T426), 0, 1), 7, 0))), 1, "")</f>
        <v/>
      </c>
      <c r="V463" s="1" t="str">
        <f>IF(AND(AND(AND(V$4&gt;='2025'!$L426,V$4&lt;='2025'!$M426), V$4&lt;&gt;DATE(2025,7,4)), (SWITCH(weekday(V$4), 1, 0, 2, if(ISBLANK('2025'!$P426), 0, 1), 3, if(ISBLANK('2025'!$Q426), 0, 1), 4, if(ISBLANK('2025'!$R426), 0, 1), 5, if(ISBLANK('2025'!$S426), 0, 1), 6, if(ISBLANK('2025'!$T426), 0, 1), 7, 0))), 1, "")</f>
        <v/>
      </c>
      <c r="W463" s="1" t="str">
        <f>IF(AND(AND(AND(W$4&gt;='2025'!$L426,W$4&lt;='2025'!$M426), W$4&lt;&gt;DATE(2025,7,4)), (SWITCH(weekday(W$4), 1, 0, 2, if(ISBLANK('2025'!$P426), 0, 1), 3, if(ISBLANK('2025'!$Q426), 0, 1), 4, if(ISBLANK('2025'!$R426), 0, 1), 5, if(ISBLANK('2025'!$S426), 0, 1), 6, if(ISBLANK('2025'!$T426), 0, 1), 7, 0))), 1, "")</f>
        <v/>
      </c>
      <c r="X463" s="1" t="str">
        <f>IF(AND(AND(AND(X$4&gt;='2025'!$L426,X$4&lt;='2025'!$M426), X$4&lt;&gt;DATE(2025,7,4)), (SWITCH(weekday(X$4), 1, 0, 2, if(ISBLANK('2025'!$P426), 0, 1), 3, if(ISBLANK('2025'!$Q426), 0, 1), 4, if(ISBLANK('2025'!$R426), 0, 1), 5, if(ISBLANK('2025'!$S426), 0, 1), 6, if(ISBLANK('2025'!$T426), 0, 1), 7, 0))), 1, "")</f>
        <v/>
      </c>
      <c r="Y463" s="1" t="str">
        <f>IF(AND(AND(AND(Y$4&gt;='2025'!$L426,Y$4&lt;='2025'!$M426), Y$4&lt;&gt;DATE(2025,7,4)), (SWITCH(weekday(Y$4), 1, 0, 2, if(ISBLANK('2025'!$P426), 0, 1), 3, if(ISBLANK('2025'!$Q426), 0, 1), 4, if(ISBLANK('2025'!$R426), 0, 1), 5, if(ISBLANK('2025'!$S426), 0, 1), 6, if(ISBLANK('2025'!$T426), 0, 1), 7, 0))), 1, "")</f>
        <v/>
      </c>
      <c r="Z463" s="1" t="str">
        <f>IF(AND(AND(AND(Z$4&gt;='2025'!$L426,Z$4&lt;='2025'!$M426), Z$4&lt;&gt;DATE(2025,7,4)), (SWITCH(weekday(Z$4), 1, 0, 2, if(ISBLANK('2025'!$P426), 0, 1), 3, if(ISBLANK('2025'!$Q426), 0, 1), 4, if(ISBLANK('2025'!$R426), 0, 1), 5, if(ISBLANK('2025'!$S426), 0, 1), 6, if(ISBLANK('2025'!$T426), 0, 1), 7, 0))), 1, "")</f>
        <v/>
      </c>
      <c r="AA463" s="1" t="str">
        <f>IF(AND(AND(AND(AA$4&gt;='2025'!$L426,AA$4&lt;='2025'!$M426), AA$4&lt;&gt;DATE(2025,7,4)), (SWITCH(weekday(AA$4), 1, 0, 2, if(ISBLANK('2025'!$P426), 0, 1), 3, if(ISBLANK('2025'!$Q426), 0, 1), 4, if(ISBLANK('2025'!$R426), 0, 1), 5, if(ISBLANK('2025'!$S426), 0, 1), 6, if(ISBLANK('2025'!$T426), 0, 1), 7, 0))), 1, "")</f>
        <v/>
      </c>
      <c r="AB463" s="1" t="str">
        <f>IF(AND(AND(AND(AB$4&gt;='2025'!$L426,AB$4&lt;='2025'!$M426), AB$4&lt;&gt;DATE(2025,7,4)), (SWITCH(weekday(AB$4), 1, 0, 2, if(ISBLANK('2025'!$P426), 0, 1), 3, if(ISBLANK('2025'!$Q426), 0, 1), 4, if(ISBLANK('2025'!$R426), 0, 1), 5, if(ISBLANK('2025'!$S426), 0, 1), 6, if(ISBLANK('2025'!$T426), 0, 1), 7, 0))), 1, "")</f>
        <v/>
      </c>
      <c r="AC463" s="1" t="str">
        <f>IF(AND(AND(AND(AC$4&gt;='2025'!$L426,AC$4&lt;='2025'!$M426), AC$4&lt;&gt;DATE(2025,7,4)), (SWITCH(weekday(AC$4), 1, 0, 2, if(ISBLANK('2025'!$P426), 0, 1), 3, if(ISBLANK('2025'!$Q426), 0, 1), 4, if(ISBLANK('2025'!$R426), 0, 1), 5, if(ISBLANK('2025'!$S426), 0, 1), 6, if(ISBLANK('2025'!$T426), 0, 1), 7, 0))), 1, "")</f>
        <v/>
      </c>
      <c r="AD463" s="1" t="str">
        <f>IF(AND(AND(AND(AD$4&gt;='2025'!$L426,AD$4&lt;='2025'!$M426), AD$4&lt;&gt;DATE(2025,7,4)), (SWITCH(weekday(AD$4), 1, 0, 2, if(ISBLANK('2025'!$P426), 0, 1), 3, if(ISBLANK('2025'!$Q426), 0, 1), 4, if(ISBLANK('2025'!$R426), 0, 1), 5, if(ISBLANK('2025'!$S426), 0, 1), 6, if(ISBLANK('2025'!$T426), 0, 1), 7, 0))), 1, "")</f>
        <v/>
      </c>
      <c r="AE463" s="1" t="str">
        <f>IF(AND(AND(AND(AE$4&gt;='2025'!$L426,AE$4&lt;='2025'!$M426), AE$4&lt;&gt;DATE(2025,7,4)), (SWITCH(weekday(AE$4), 1, 0, 2, if(ISBLANK('2025'!$P426), 0, 1), 3, if(ISBLANK('2025'!$Q426), 0, 1), 4, if(ISBLANK('2025'!$R426), 0, 1), 5, if(ISBLANK('2025'!$S426), 0, 1), 6, if(ISBLANK('2025'!$T426), 0, 1), 7, 0))), 1, "")</f>
        <v/>
      </c>
      <c r="AF463" s="1" t="str">
        <f>IF(AND(AND(AND(AF$4&gt;='2025'!$L426,AF$4&lt;='2025'!$M426), AF$4&lt;&gt;DATE(2025,7,4)), (SWITCH(weekday(AF$4), 1, 0, 2, if(ISBLANK('2025'!$P426), 0, 1), 3, if(ISBLANK('2025'!$Q426), 0, 1), 4, if(ISBLANK('2025'!$R426), 0, 1), 5, if(ISBLANK('2025'!$S426), 0, 1), 6, if(ISBLANK('2025'!$T426), 0, 1), 7, 0))), 1, "")</f>
        <v/>
      </c>
      <c r="AG463" s="1" t="str">
        <f>IF(AND(AND(AND(AG$4&gt;='2025'!$L426,AG$4&lt;='2025'!$M426), AG$4&lt;&gt;DATE(2025,7,4)), (SWITCH(weekday(AG$4), 1, 0, 2, if(ISBLANK('2025'!$P426), 0, 1), 3, if(ISBLANK('2025'!$Q426), 0, 1), 4, if(ISBLANK('2025'!$R426), 0, 1), 5, if(ISBLANK('2025'!$S426), 0, 1), 6, if(ISBLANK('2025'!$T426), 0, 1), 7, 0))), 1, "")</f>
        <v/>
      </c>
      <c r="AH463" s="1" t="str">
        <f>IF(AND(AND(AND(AH$4&gt;='2025'!$L426,AH$4&lt;='2025'!$M426), AH$4&lt;&gt;DATE(2025,7,4)), (SWITCH(weekday(AH$4), 1, 0, 2, if(ISBLANK('2025'!$P426), 0, 1), 3, if(ISBLANK('2025'!$Q426), 0, 1), 4, if(ISBLANK('2025'!$R426), 0, 1), 5, if(ISBLANK('2025'!$S426), 0, 1), 6, if(ISBLANK('2025'!$T426), 0, 1), 7, 0))), 1, "")</f>
        <v/>
      </c>
      <c r="AI463" s="1" t="str">
        <f>IF(AND(AND(AND(AI$4&gt;='2025'!$L426,AI$4&lt;='2025'!$M426), AI$4&lt;&gt;DATE(2025,7,4)), (SWITCH(weekday(AI$4), 1, 0, 2, if(ISBLANK('2025'!$P426), 0, 1), 3, if(ISBLANK('2025'!$Q426), 0, 1), 4, if(ISBLANK('2025'!$R426), 0, 1), 5, if(ISBLANK('2025'!$S426), 0, 1), 6, if(ISBLANK('2025'!$T426), 0, 1), 7, 0))), 1, "")</f>
        <v/>
      </c>
      <c r="AJ463" s="1" t="str">
        <f>IF(AND(AND(AND(AJ$4&gt;='2025'!$L426,AJ$4&lt;='2025'!$M426), AJ$4&lt;&gt;DATE(2025,7,4)), (SWITCH(weekday(AJ$4), 1, 0, 2, if(ISBLANK('2025'!$P426), 0, 1), 3, if(ISBLANK('2025'!$Q426), 0, 1), 4, if(ISBLANK('2025'!$R426), 0, 1), 5, if(ISBLANK('2025'!$S426), 0, 1), 6, if(ISBLANK('2025'!$T426), 0, 1), 7, 0))), 1, "")</f>
        <v/>
      </c>
      <c r="AK463" s="1" t="str">
        <f>IF(AND(AND(AND(AK$4&gt;='2025'!$L426,AK$4&lt;='2025'!$M426), AK$4&lt;&gt;DATE(2025,7,4)), (SWITCH(weekday(AK$4), 1, 0, 2, if(ISBLANK('2025'!$P426), 0, 1), 3, if(ISBLANK('2025'!$Q426), 0, 1), 4, if(ISBLANK('2025'!$R426), 0, 1), 5, if(ISBLANK('2025'!$S426), 0, 1), 6, if(ISBLANK('2025'!$T426), 0, 1), 7, 0))), 1, "")</f>
        <v/>
      </c>
      <c r="AL463" s="1" t="str">
        <f>IF(AND(AND(AND(AL$4&gt;='2025'!$L426,AL$4&lt;='2025'!$M426), AL$4&lt;&gt;DATE(2025,7,4)), (SWITCH(weekday(AL$4), 1, 0, 2, if(ISBLANK('2025'!$P426), 0, 1), 3, if(ISBLANK('2025'!$Q426), 0, 1), 4, if(ISBLANK('2025'!$R426), 0, 1), 5, if(ISBLANK('2025'!$S426), 0, 1), 6, if(ISBLANK('2025'!$T426), 0, 1), 7, 0))), 1, "")</f>
        <v/>
      </c>
      <c r="AM463" s="1" t="str">
        <f>IF(AND(AND(AND(AM$4&gt;='2025'!$L426,AM$4&lt;='2025'!$M426), AM$4&lt;&gt;DATE(2025,7,4)), (SWITCH(weekday(AM$4), 1, 0, 2, if(ISBLANK('2025'!$P426), 0, 1), 3, if(ISBLANK('2025'!$Q426), 0, 1), 4, if(ISBLANK('2025'!$R426), 0, 1), 5, if(ISBLANK('2025'!$S426), 0, 1), 6, if(ISBLANK('2025'!$T426), 0, 1), 7, 0))), 1, "")</f>
        <v/>
      </c>
      <c r="AN463" s="1" t="str">
        <f>IF(AND(AND(AND(AN$4&gt;='2025'!$L426,AN$4&lt;='2025'!$M426), AN$4&lt;&gt;DATE(2025,7,4)), (SWITCH(weekday(AN$4), 1, 0, 2, if(ISBLANK('2025'!$P426), 0, 1), 3, if(ISBLANK('2025'!$Q426), 0, 1), 4, if(ISBLANK('2025'!$R426), 0, 1), 5, if(ISBLANK('2025'!$S426), 0, 1), 6, if(ISBLANK('2025'!$T426), 0, 1), 7, 0))), 1, "")</f>
        <v/>
      </c>
      <c r="AO463" s="1" t="str">
        <f>IF(AND(AND(AND(AO$4&gt;='2025'!$L426,AO$4&lt;='2025'!$M426), AO$4&lt;&gt;DATE(2025,7,4)), (SWITCH(weekday(AO$4), 1, 0, 2, if(ISBLANK('2025'!$P426), 0, 1), 3, if(ISBLANK('2025'!$Q426), 0, 1), 4, if(ISBLANK('2025'!$R426), 0, 1), 5, if(ISBLANK('2025'!$S426), 0, 1), 6, if(ISBLANK('2025'!$T426), 0, 1), 7, 0))), 1, "")</f>
        <v/>
      </c>
      <c r="AP463" s="1" t="str">
        <f>IF(AND(AND(AND(AP$4&gt;='2025'!$L426,AP$4&lt;='2025'!$M426), AP$4&lt;&gt;DATE(2025,7,4)), (SWITCH(weekday(AP$4), 1, 0, 2, if(ISBLANK('2025'!$P426), 0, 1), 3, if(ISBLANK('2025'!$Q426), 0, 1), 4, if(ISBLANK('2025'!$R426), 0, 1), 5, if(ISBLANK('2025'!$S426), 0, 1), 6, if(ISBLANK('2025'!$T426), 0, 1), 7, 0))), 1, "")</f>
        <v/>
      </c>
      <c r="AQ463" s="1" t="str">
        <f>IF(AND(AND(AND(AQ$4&gt;='2025'!$L426,AQ$4&lt;='2025'!$M426), AQ$4&lt;&gt;DATE(2025,7,4)), (SWITCH(weekday(AQ$4), 1, 0, 2, if(ISBLANK('2025'!$P426), 0, 1), 3, if(ISBLANK('2025'!$Q426), 0, 1), 4, if(ISBLANK('2025'!$R426), 0, 1), 5, if(ISBLANK('2025'!$S426), 0, 1), 6, if(ISBLANK('2025'!$T426), 0, 1), 7, 0))), 1, "")</f>
        <v/>
      </c>
      <c r="AR463" s="1" t="str">
        <f>IF(AND(AND(AND(AR$4&gt;='2025'!$L426,AR$4&lt;='2025'!$M426), AR$4&lt;&gt;DATE(2025,7,4)), (SWITCH(weekday(AR$4), 1, 0, 2, if(ISBLANK('2025'!$P426), 0, 1), 3, if(ISBLANK('2025'!$Q426), 0, 1), 4, if(ISBLANK('2025'!$R426), 0, 1), 5, if(ISBLANK('2025'!$S426), 0, 1), 6, if(ISBLANK('2025'!$T426), 0, 1), 7, 0))), 1, "")</f>
        <v/>
      </c>
      <c r="AS463" s="1" t="str">
        <f>IF(AND(AND(AND(AS$4&gt;='2025'!$L426,AS$4&lt;='2025'!$M426), AS$4&lt;&gt;DATE(2025,7,4)), (SWITCH(weekday(AS$4), 1, 0, 2, if(ISBLANK('2025'!$P426), 0, 1), 3, if(ISBLANK('2025'!$Q426), 0, 1), 4, if(ISBLANK('2025'!$R426), 0, 1), 5, if(ISBLANK('2025'!$S426), 0, 1), 6, if(ISBLANK('2025'!$T426), 0, 1), 7, 0))), 1, "")</f>
        <v/>
      </c>
      <c r="AT463" s="1" t="str">
        <f>IF(AND(AND(AND(AT$4&gt;='2025'!$L426,AT$4&lt;='2025'!$M426), AT$4&lt;&gt;DATE(2025,7,4)), (SWITCH(weekday(AT$4), 1, 0, 2, if(ISBLANK('2025'!$P426), 0, 1), 3, if(ISBLANK('2025'!$Q426), 0, 1), 4, if(ISBLANK('2025'!$R426), 0, 1), 5, if(ISBLANK('2025'!$S426), 0, 1), 6, if(ISBLANK('2025'!$T426), 0, 1), 7, 0))), 1, "")</f>
        <v/>
      </c>
      <c r="AU463" s="1" t="str">
        <f>IF(AND(AND(AND(AU$4&gt;='2025'!$L426,AU$4&lt;='2025'!$M426), AU$4&lt;&gt;DATE(2025,7,4)), (SWITCH(weekday(AU$4), 1, 0, 2, if(ISBLANK('2025'!$P426), 0, 1), 3, if(ISBLANK('2025'!$Q426), 0, 1), 4, if(ISBLANK('2025'!$R426), 0, 1), 5, if(ISBLANK('2025'!$S426), 0, 1), 6, if(ISBLANK('2025'!$T426), 0, 1), 7, 0))), 1, "")</f>
        <v/>
      </c>
      <c r="AV463" s="1" t="str">
        <f>IF(AND(AND(AND(AV$4&gt;='2025'!$L426,AV$4&lt;='2025'!$M426), AV$4&lt;&gt;DATE(2025,7,4)), (SWITCH(weekday(AV$4), 1, 0, 2, if(ISBLANK('2025'!$P426), 0, 1), 3, if(ISBLANK('2025'!$Q426), 0, 1), 4, if(ISBLANK('2025'!$R426), 0, 1), 5, if(ISBLANK('2025'!$S426), 0, 1), 6, if(ISBLANK('2025'!$T426), 0, 1), 7, 0))), 1, "")</f>
        <v/>
      </c>
      <c r="AW463" s="1" t="str">
        <f>IF(AND(AND(AND(AW$4&gt;='2025'!$L426,AW$4&lt;='2025'!$M426), AW$4&lt;&gt;DATE(2025,7,4)), (SWITCH(weekday(AW$4), 1, 0, 2, if(ISBLANK('2025'!$P426), 0, 1), 3, if(ISBLANK('2025'!$Q426), 0, 1), 4, if(ISBLANK('2025'!$R426), 0, 1), 5, if(ISBLANK('2025'!$S426), 0, 1), 6, if(ISBLANK('2025'!$T426), 0, 1), 7, 0))), 1, "")</f>
        <v/>
      </c>
      <c r="AX463" s="1" t="str">
        <f>IF(AND(AND(AND(AX$4&gt;='2025'!$L426,AX$4&lt;='2025'!$M426), AX$4&lt;&gt;DATE(2025,7,4)), (SWITCH(weekday(AX$4), 1, 0, 2, if(ISBLANK('2025'!$P426), 0, 1), 3, if(ISBLANK('2025'!$Q426), 0, 1), 4, if(ISBLANK('2025'!$R426), 0, 1), 5, if(ISBLANK('2025'!$S426), 0, 1), 6, if(ISBLANK('2025'!$T426), 0, 1), 7, 0))), 1, "")</f>
        <v/>
      </c>
      <c r="AY463" s="1" t="str">
        <f>IF(AND(AND(AND(AY$4&gt;='2025'!$L426,AY$4&lt;='2025'!$M426), AY$4&lt;&gt;DATE(2025,7,4)), (SWITCH(weekday(AY$4), 1, 0, 2, if(ISBLANK('2025'!$P426), 0, 1), 3, if(ISBLANK('2025'!$Q426), 0, 1), 4, if(ISBLANK('2025'!$R426), 0, 1), 5, if(ISBLANK('2025'!$S426), 0, 1), 6, if(ISBLANK('2025'!$T426), 0, 1), 7, 0))), 1, "")</f>
        <v/>
      </c>
      <c r="AZ463" s="1" t="str">
        <f>IF(AND(AND(AND(AZ$4&gt;='2025'!$L426,AZ$4&lt;='2025'!$M426), AZ$4&lt;&gt;DATE(2025,7,4)), (SWITCH(weekday(AZ$4), 1, 0, 2, if(ISBLANK('2025'!$P426), 0, 1), 3, if(ISBLANK('2025'!$Q426), 0, 1), 4, if(ISBLANK('2025'!$R426), 0, 1), 5, if(ISBLANK('2025'!$S426), 0, 1), 6, if(ISBLANK('2025'!$T426), 0, 1), 7, 0))), 1, "")</f>
        <v/>
      </c>
      <c r="BA463" s="1" t="str">
        <f>IF(AND(AND(AND(BA$4&gt;='2025'!$L426,BA$4&lt;='2025'!$M426), BA$4&lt;&gt;DATE(2025,7,4)), (SWITCH(weekday(BA$4), 1, 0, 2, if(ISBLANK('2025'!$P426), 0, 1), 3, if(ISBLANK('2025'!$Q426), 0, 1), 4, if(ISBLANK('2025'!$R426), 0, 1), 5, if(ISBLANK('2025'!$S426), 0, 1), 6, if(ISBLANK('2025'!$T426), 0, 1), 7, 0))), 1, "")</f>
        <v/>
      </c>
      <c r="BB463" s="1" t="str">
        <f>IF(AND(AND(AND(BB$4&gt;='2025'!$L426,BB$4&lt;='2025'!$M426), BB$4&lt;&gt;DATE(2025,7,4)), (SWITCH(weekday(BB$4), 1, 0, 2, if(ISBLANK('2025'!$P426), 0, 1), 3, if(ISBLANK('2025'!$Q426), 0, 1), 4, if(ISBLANK('2025'!$R426), 0, 1), 5, if(ISBLANK('2025'!$S426), 0, 1), 6, if(ISBLANK('2025'!$T426), 0, 1), 7, 0))), 1, "")</f>
        <v/>
      </c>
      <c r="BC463" s="1" t="str">
        <f>IF(AND(AND(AND(BC$4&gt;='2025'!$L426,BC$4&lt;='2025'!$M426), BC$4&lt;&gt;DATE(2025,7,4)), (SWITCH(weekday(BC$4), 1, 0, 2, if(ISBLANK('2025'!$P426), 0, 1), 3, if(ISBLANK('2025'!$Q426), 0, 1), 4, if(ISBLANK('2025'!$R426), 0, 1), 5, if(ISBLANK('2025'!$S426), 0, 1), 6, if(ISBLANK('2025'!$T426), 0, 1), 7, 0))), 1, "")</f>
        <v/>
      </c>
      <c r="BD463" s="1" t="str">
        <f>IF(AND(AND(AND(BD$4&gt;='2025'!$L426,BD$4&lt;='2025'!$M426), BD$4&lt;&gt;DATE(2025,7,4)), (SWITCH(weekday(BD$4), 1, 0, 2, if(ISBLANK('2025'!$P426), 0, 1), 3, if(ISBLANK('2025'!$Q426), 0, 1), 4, if(ISBLANK('2025'!$R426), 0, 1), 5, if(ISBLANK('2025'!$S426), 0, 1), 6, if(ISBLANK('2025'!$T426), 0, 1), 7, 0))), 1, "")</f>
        <v/>
      </c>
      <c r="BE463" s="1" t="str">
        <f>IF(AND(AND(AND(BE$4&gt;='2025'!$L426,BE$4&lt;='2025'!$M426), BE$4&lt;&gt;DATE(2025,7,4)), (SWITCH(weekday(BE$4), 1, 0, 2, if(ISBLANK('2025'!$P426), 0, 1), 3, if(ISBLANK('2025'!$Q426), 0, 1), 4, if(ISBLANK('2025'!$R426), 0, 1), 5, if(ISBLANK('2025'!$S426), 0, 1), 6, if(ISBLANK('2025'!$T426), 0, 1), 7, 0))), 1, "")</f>
        <v/>
      </c>
    </row>
    <row r="464">
      <c r="A464" s="1">
        <f t="shared" si="3"/>
        <v>464</v>
      </c>
      <c r="B464" s="1" t="str">
        <f>'2025'!D427</f>
        <v/>
      </c>
      <c r="C464" s="1" t="str">
        <f>'2025'!H427</f>
        <v/>
      </c>
      <c r="D464" s="1" t="str">
        <f>IF(AND(AND(AND(D$4&gt;='2025'!$L427,D$4&lt;='2025'!$M427), D$4&lt;&gt;DATE(2025,7,4)), (SWITCH(weekday(D$4), 1, 0, 2, if(ISBLANK('2025'!$P427), 0, 1), 3, if(ISBLANK('2025'!$Q427), 0, 1), 4, if(ISBLANK('2025'!$R427), 0, 1), 5, if(ISBLANK('2025'!$S427), 0, 1), 6, if(ISBLANK('2025'!$T427), 0, 1), 7, 0))), 1, "")</f>
        <v/>
      </c>
      <c r="E464" s="1" t="str">
        <f>IF(AND(AND(AND(E$4&gt;='2025'!$L427,E$4&lt;='2025'!$M427), E$4&lt;&gt;DATE(2025,7,4)), (SWITCH(weekday(E$4), 1, 0, 2, if(ISBLANK('2025'!$P427), 0, 1), 3, if(ISBLANK('2025'!$Q427), 0, 1), 4, if(ISBLANK('2025'!$R427), 0, 1), 5, if(ISBLANK('2025'!$S427), 0, 1), 6, if(ISBLANK('2025'!$T427), 0, 1), 7, 0))), 1, "")</f>
        <v/>
      </c>
      <c r="F464" s="1" t="str">
        <f>IF(AND(AND(AND(F$4&gt;='2025'!$L427,F$4&lt;='2025'!$M427), F$4&lt;&gt;DATE(2025,7,4)), (SWITCH(weekday(F$4), 1, 0, 2, if(ISBLANK('2025'!$P427), 0, 1), 3, if(ISBLANK('2025'!$Q427), 0, 1), 4, if(ISBLANK('2025'!$R427), 0, 1), 5, if(ISBLANK('2025'!$S427), 0, 1), 6, if(ISBLANK('2025'!$T427), 0, 1), 7, 0))), 1, "")</f>
        <v/>
      </c>
      <c r="G464" s="1" t="str">
        <f>IF(AND(AND(AND(G$4&gt;='2025'!$L427,G$4&lt;='2025'!$M427), G$4&lt;&gt;DATE(2025,7,4)), (SWITCH(weekday(G$4), 1, 0, 2, if(ISBLANK('2025'!$P427), 0, 1), 3, if(ISBLANK('2025'!$Q427), 0, 1), 4, if(ISBLANK('2025'!$R427), 0, 1), 5, if(ISBLANK('2025'!$S427), 0, 1), 6, if(ISBLANK('2025'!$T427), 0, 1), 7, 0))), 1, "")</f>
        <v/>
      </c>
      <c r="H464" s="1" t="str">
        <f>IF(AND(AND(AND(H$4&gt;='2025'!$L427,H$4&lt;='2025'!$M427), H$4&lt;&gt;DATE(2025,7,4)), (SWITCH(weekday(H$4), 1, 0, 2, if(ISBLANK('2025'!$P427), 0, 1), 3, if(ISBLANK('2025'!$Q427), 0, 1), 4, if(ISBLANK('2025'!$R427), 0, 1), 5, if(ISBLANK('2025'!$S427), 0, 1), 6, if(ISBLANK('2025'!$T427), 0, 1), 7, 0))), 1, "")</f>
        <v/>
      </c>
      <c r="I464" s="1" t="str">
        <f>IF(AND(AND(AND(I$4&gt;='2025'!$L427,I$4&lt;='2025'!$M427), I$4&lt;&gt;DATE(2025,7,4)), (SWITCH(weekday(I$4), 1, 0, 2, if(ISBLANK('2025'!$P427), 0, 1), 3, if(ISBLANK('2025'!$Q427), 0, 1), 4, if(ISBLANK('2025'!$R427), 0, 1), 5, if(ISBLANK('2025'!$S427), 0, 1), 6, if(ISBLANK('2025'!$T427), 0, 1), 7, 0))), 1, "")</f>
        <v/>
      </c>
      <c r="J464" s="1" t="str">
        <f>IF(AND(AND(AND(J$4&gt;='2025'!$L427,J$4&lt;='2025'!$M427), J$4&lt;&gt;DATE(2025,7,4)), (SWITCH(weekday(J$4), 1, 0, 2, if(ISBLANK('2025'!$P427), 0, 1), 3, if(ISBLANK('2025'!$Q427), 0, 1), 4, if(ISBLANK('2025'!$R427), 0, 1), 5, if(ISBLANK('2025'!$S427), 0, 1), 6, if(ISBLANK('2025'!$T427), 0, 1), 7, 0))), 1, "")</f>
        <v/>
      </c>
      <c r="K464" s="1" t="str">
        <f>IF(AND(AND(AND(K$4&gt;='2025'!$L427,K$4&lt;='2025'!$M427), K$4&lt;&gt;DATE(2025,7,4)), (SWITCH(weekday(K$4), 1, 0, 2, if(ISBLANK('2025'!$P427), 0, 1), 3, if(ISBLANK('2025'!$Q427), 0, 1), 4, if(ISBLANK('2025'!$R427), 0, 1), 5, if(ISBLANK('2025'!$S427), 0, 1), 6, if(ISBLANK('2025'!$T427), 0, 1), 7, 0))), 1, "")</f>
        <v/>
      </c>
      <c r="L464" s="1" t="str">
        <f>IF(AND(AND(AND(L$4&gt;='2025'!$L427,L$4&lt;='2025'!$M427), L$4&lt;&gt;DATE(2025,7,4)), (SWITCH(weekday(L$4), 1, 0, 2, if(ISBLANK('2025'!$P427), 0, 1), 3, if(ISBLANK('2025'!$Q427), 0, 1), 4, if(ISBLANK('2025'!$R427), 0, 1), 5, if(ISBLANK('2025'!$S427), 0, 1), 6, if(ISBLANK('2025'!$T427), 0, 1), 7, 0))), 1, "")</f>
        <v/>
      </c>
      <c r="M464" s="1" t="str">
        <f>IF(AND(AND(AND(M$4&gt;='2025'!$L427,M$4&lt;='2025'!$M427), M$4&lt;&gt;DATE(2025,7,4)), (SWITCH(weekday(M$4), 1, 0, 2, if(ISBLANK('2025'!$P427), 0, 1), 3, if(ISBLANK('2025'!$Q427), 0, 1), 4, if(ISBLANK('2025'!$R427), 0, 1), 5, if(ISBLANK('2025'!$S427), 0, 1), 6, if(ISBLANK('2025'!$T427), 0, 1), 7, 0))), 1, "")</f>
        <v/>
      </c>
      <c r="N464" s="1" t="str">
        <f>IF(AND(AND(AND(N$4&gt;='2025'!$L427,N$4&lt;='2025'!$M427), N$4&lt;&gt;DATE(2025,7,4)), (SWITCH(weekday(N$4), 1, 0, 2, if(ISBLANK('2025'!$P427), 0, 1), 3, if(ISBLANK('2025'!$Q427), 0, 1), 4, if(ISBLANK('2025'!$R427), 0, 1), 5, if(ISBLANK('2025'!$S427), 0, 1), 6, if(ISBLANK('2025'!$T427), 0, 1), 7, 0))), 1, "")</f>
        <v/>
      </c>
      <c r="O464" s="1" t="str">
        <f>IF(AND(AND(AND(O$4&gt;='2025'!$L427,O$4&lt;='2025'!$M427), O$4&lt;&gt;DATE(2025,7,4)), (SWITCH(weekday(O$4), 1, 0, 2, if(ISBLANK('2025'!$P427), 0, 1), 3, if(ISBLANK('2025'!$Q427), 0, 1), 4, if(ISBLANK('2025'!$R427), 0, 1), 5, if(ISBLANK('2025'!$S427), 0, 1), 6, if(ISBLANK('2025'!$T427), 0, 1), 7, 0))), 1, "")</f>
        <v/>
      </c>
      <c r="P464" s="1" t="str">
        <f>IF(AND(AND(AND(P$4&gt;='2025'!$L427,P$4&lt;='2025'!$M427), P$4&lt;&gt;DATE(2025,7,4)), (SWITCH(weekday(P$4), 1, 0, 2, if(ISBLANK('2025'!$P427), 0, 1), 3, if(ISBLANK('2025'!$Q427), 0, 1), 4, if(ISBLANK('2025'!$R427), 0, 1), 5, if(ISBLANK('2025'!$S427), 0, 1), 6, if(ISBLANK('2025'!$T427), 0, 1), 7, 0))), 1, "")</f>
        <v/>
      </c>
      <c r="Q464" s="1" t="str">
        <f>IF(AND(AND(AND(Q$4&gt;='2025'!$L427,Q$4&lt;='2025'!$M427), Q$4&lt;&gt;DATE(2025,7,4)), (SWITCH(weekday(Q$4), 1, 0, 2, if(ISBLANK('2025'!$P427), 0, 1), 3, if(ISBLANK('2025'!$Q427), 0, 1), 4, if(ISBLANK('2025'!$R427), 0, 1), 5, if(ISBLANK('2025'!$S427), 0, 1), 6, if(ISBLANK('2025'!$T427), 0, 1), 7, 0))), 1, "")</f>
        <v/>
      </c>
      <c r="R464" s="1" t="str">
        <f>IF(AND(AND(AND(R$4&gt;='2025'!$L427,R$4&lt;='2025'!$M427), R$4&lt;&gt;DATE(2025,7,4)), (SWITCH(weekday(R$4), 1, 0, 2, if(ISBLANK('2025'!$P427), 0, 1), 3, if(ISBLANK('2025'!$Q427), 0, 1), 4, if(ISBLANK('2025'!$R427), 0, 1), 5, if(ISBLANK('2025'!$S427), 0, 1), 6, if(ISBLANK('2025'!$T427), 0, 1), 7, 0))), 1, "")</f>
        <v/>
      </c>
      <c r="S464" s="1" t="str">
        <f>IF(AND(AND(AND(S$4&gt;='2025'!$L427,S$4&lt;='2025'!$M427), S$4&lt;&gt;DATE(2025,7,4)), (SWITCH(weekday(S$4), 1, 0, 2, if(ISBLANK('2025'!$P427), 0, 1), 3, if(ISBLANK('2025'!$Q427), 0, 1), 4, if(ISBLANK('2025'!$R427), 0, 1), 5, if(ISBLANK('2025'!$S427), 0, 1), 6, if(ISBLANK('2025'!$T427), 0, 1), 7, 0))), 1, "")</f>
        <v/>
      </c>
      <c r="T464" s="1" t="str">
        <f>IF(AND(AND(AND(T$4&gt;='2025'!$L427,T$4&lt;='2025'!$M427), T$4&lt;&gt;DATE(2025,7,4)), (SWITCH(weekday(T$4), 1, 0, 2, if(ISBLANK('2025'!$P427), 0, 1), 3, if(ISBLANK('2025'!$Q427), 0, 1), 4, if(ISBLANK('2025'!$R427), 0, 1), 5, if(ISBLANK('2025'!$S427), 0, 1), 6, if(ISBLANK('2025'!$T427), 0, 1), 7, 0))), 1, "")</f>
        <v/>
      </c>
      <c r="U464" s="1" t="str">
        <f>IF(AND(AND(AND(U$4&gt;='2025'!$L427,U$4&lt;='2025'!$M427), U$4&lt;&gt;DATE(2025,7,4)), (SWITCH(weekday(U$4), 1, 0, 2, if(ISBLANK('2025'!$P427), 0, 1), 3, if(ISBLANK('2025'!$Q427), 0, 1), 4, if(ISBLANK('2025'!$R427), 0, 1), 5, if(ISBLANK('2025'!$S427), 0, 1), 6, if(ISBLANK('2025'!$T427), 0, 1), 7, 0))), 1, "")</f>
        <v/>
      </c>
      <c r="V464" s="1" t="str">
        <f>IF(AND(AND(AND(V$4&gt;='2025'!$L427,V$4&lt;='2025'!$M427), V$4&lt;&gt;DATE(2025,7,4)), (SWITCH(weekday(V$4), 1, 0, 2, if(ISBLANK('2025'!$P427), 0, 1), 3, if(ISBLANK('2025'!$Q427), 0, 1), 4, if(ISBLANK('2025'!$R427), 0, 1), 5, if(ISBLANK('2025'!$S427), 0, 1), 6, if(ISBLANK('2025'!$T427), 0, 1), 7, 0))), 1, "")</f>
        <v/>
      </c>
      <c r="W464" s="1" t="str">
        <f>IF(AND(AND(AND(W$4&gt;='2025'!$L427,W$4&lt;='2025'!$M427), W$4&lt;&gt;DATE(2025,7,4)), (SWITCH(weekday(W$4), 1, 0, 2, if(ISBLANK('2025'!$P427), 0, 1), 3, if(ISBLANK('2025'!$Q427), 0, 1), 4, if(ISBLANK('2025'!$R427), 0, 1), 5, if(ISBLANK('2025'!$S427), 0, 1), 6, if(ISBLANK('2025'!$T427), 0, 1), 7, 0))), 1, "")</f>
        <v/>
      </c>
      <c r="X464" s="1" t="str">
        <f>IF(AND(AND(AND(X$4&gt;='2025'!$L427,X$4&lt;='2025'!$M427), X$4&lt;&gt;DATE(2025,7,4)), (SWITCH(weekday(X$4), 1, 0, 2, if(ISBLANK('2025'!$P427), 0, 1), 3, if(ISBLANK('2025'!$Q427), 0, 1), 4, if(ISBLANK('2025'!$R427), 0, 1), 5, if(ISBLANK('2025'!$S427), 0, 1), 6, if(ISBLANK('2025'!$T427), 0, 1), 7, 0))), 1, "")</f>
        <v/>
      </c>
      <c r="Y464" s="1" t="str">
        <f>IF(AND(AND(AND(Y$4&gt;='2025'!$L427,Y$4&lt;='2025'!$M427), Y$4&lt;&gt;DATE(2025,7,4)), (SWITCH(weekday(Y$4), 1, 0, 2, if(ISBLANK('2025'!$P427), 0, 1), 3, if(ISBLANK('2025'!$Q427), 0, 1), 4, if(ISBLANK('2025'!$R427), 0, 1), 5, if(ISBLANK('2025'!$S427), 0, 1), 6, if(ISBLANK('2025'!$T427), 0, 1), 7, 0))), 1, "")</f>
        <v/>
      </c>
      <c r="Z464" s="1" t="str">
        <f>IF(AND(AND(AND(Z$4&gt;='2025'!$L427,Z$4&lt;='2025'!$M427), Z$4&lt;&gt;DATE(2025,7,4)), (SWITCH(weekday(Z$4), 1, 0, 2, if(ISBLANK('2025'!$P427), 0, 1), 3, if(ISBLANK('2025'!$Q427), 0, 1), 4, if(ISBLANK('2025'!$R427), 0, 1), 5, if(ISBLANK('2025'!$S427), 0, 1), 6, if(ISBLANK('2025'!$T427), 0, 1), 7, 0))), 1, "")</f>
        <v/>
      </c>
      <c r="AA464" s="1" t="str">
        <f>IF(AND(AND(AND(AA$4&gt;='2025'!$L427,AA$4&lt;='2025'!$M427), AA$4&lt;&gt;DATE(2025,7,4)), (SWITCH(weekday(AA$4), 1, 0, 2, if(ISBLANK('2025'!$P427), 0, 1), 3, if(ISBLANK('2025'!$Q427), 0, 1), 4, if(ISBLANK('2025'!$R427), 0, 1), 5, if(ISBLANK('2025'!$S427), 0, 1), 6, if(ISBLANK('2025'!$T427), 0, 1), 7, 0))), 1, "")</f>
        <v/>
      </c>
      <c r="AB464" s="1" t="str">
        <f>IF(AND(AND(AND(AB$4&gt;='2025'!$L427,AB$4&lt;='2025'!$M427), AB$4&lt;&gt;DATE(2025,7,4)), (SWITCH(weekday(AB$4), 1, 0, 2, if(ISBLANK('2025'!$P427), 0, 1), 3, if(ISBLANK('2025'!$Q427), 0, 1), 4, if(ISBLANK('2025'!$R427), 0, 1), 5, if(ISBLANK('2025'!$S427), 0, 1), 6, if(ISBLANK('2025'!$T427), 0, 1), 7, 0))), 1, "")</f>
        <v/>
      </c>
      <c r="AC464" s="1" t="str">
        <f>IF(AND(AND(AND(AC$4&gt;='2025'!$L427,AC$4&lt;='2025'!$M427), AC$4&lt;&gt;DATE(2025,7,4)), (SWITCH(weekday(AC$4), 1, 0, 2, if(ISBLANK('2025'!$P427), 0, 1), 3, if(ISBLANK('2025'!$Q427), 0, 1), 4, if(ISBLANK('2025'!$R427), 0, 1), 5, if(ISBLANK('2025'!$S427), 0, 1), 6, if(ISBLANK('2025'!$T427), 0, 1), 7, 0))), 1, "")</f>
        <v/>
      </c>
      <c r="AD464" s="1" t="str">
        <f>IF(AND(AND(AND(AD$4&gt;='2025'!$L427,AD$4&lt;='2025'!$M427), AD$4&lt;&gt;DATE(2025,7,4)), (SWITCH(weekday(AD$4), 1, 0, 2, if(ISBLANK('2025'!$P427), 0, 1), 3, if(ISBLANK('2025'!$Q427), 0, 1), 4, if(ISBLANK('2025'!$R427), 0, 1), 5, if(ISBLANK('2025'!$S427), 0, 1), 6, if(ISBLANK('2025'!$T427), 0, 1), 7, 0))), 1, "")</f>
        <v/>
      </c>
      <c r="AE464" s="1" t="str">
        <f>IF(AND(AND(AND(AE$4&gt;='2025'!$L427,AE$4&lt;='2025'!$M427), AE$4&lt;&gt;DATE(2025,7,4)), (SWITCH(weekday(AE$4), 1, 0, 2, if(ISBLANK('2025'!$P427), 0, 1), 3, if(ISBLANK('2025'!$Q427), 0, 1), 4, if(ISBLANK('2025'!$R427), 0, 1), 5, if(ISBLANK('2025'!$S427), 0, 1), 6, if(ISBLANK('2025'!$T427), 0, 1), 7, 0))), 1, "")</f>
        <v/>
      </c>
      <c r="AF464" s="1" t="str">
        <f>IF(AND(AND(AND(AF$4&gt;='2025'!$L427,AF$4&lt;='2025'!$M427), AF$4&lt;&gt;DATE(2025,7,4)), (SWITCH(weekday(AF$4), 1, 0, 2, if(ISBLANK('2025'!$P427), 0, 1), 3, if(ISBLANK('2025'!$Q427), 0, 1), 4, if(ISBLANK('2025'!$R427), 0, 1), 5, if(ISBLANK('2025'!$S427), 0, 1), 6, if(ISBLANK('2025'!$T427), 0, 1), 7, 0))), 1, "")</f>
        <v/>
      </c>
      <c r="AG464" s="1" t="str">
        <f>IF(AND(AND(AND(AG$4&gt;='2025'!$L427,AG$4&lt;='2025'!$M427), AG$4&lt;&gt;DATE(2025,7,4)), (SWITCH(weekday(AG$4), 1, 0, 2, if(ISBLANK('2025'!$P427), 0, 1), 3, if(ISBLANK('2025'!$Q427), 0, 1), 4, if(ISBLANK('2025'!$R427), 0, 1), 5, if(ISBLANK('2025'!$S427), 0, 1), 6, if(ISBLANK('2025'!$T427), 0, 1), 7, 0))), 1, "")</f>
        <v/>
      </c>
      <c r="AH464" s="1" t="str">
        <f>IF(AND(AND(AND(AH$4&gt;='2025'!$L427,AH$4&lt;='2025'!$M427), AH$4&lt;&gt;DATE(2025,7,4)), (SWITCH(weekday(AH$4), 1, 0, 2, if(ISBLANK('2025'!$P427), 0, 1), 3, if(ISBLANK('2025'!$Q427), 0, 1), 4, if(ISBLANK('2025'!$R427), 0, 1), 5, if(ISBLANK('2025'!$S427), 0, 1), 6, if(ISBLANK('2025'!$T427), 0, 1), 7, 0))), 1, "")</f>
        <v/>
      </c>
      <c r="AI464" s="1" t="str">
        <f>IF(AND(AND(AND(AI$4&gt;='2025'!$L427,AI$4&lt;='2025'!$M427), AI$4&lt;&gt;DATE(2025,7,4)), (SWITCH(weekday(AI$4), 1, 0, 2, if(ISBLANK('2025'!$P427), 0, 1), 3, if(ISBLANK('2025'!$Q427), 0, 1), 4, if(ISBLANK('2025'!$R427), 0, 1), 5, if(ISBLANK('2025'!$S427), 0, 1), 6, if(ISBLANK('2025'!$T427), 0, 1), 7, 0))), 1, "")</f>
        <v/>
      </c>
      <c r="AJ464" s="1" t="str">
        <f>IF(AND(AND(AND(AJ$4&gt;='2025'!$L427,AJ$4&lt;='2025'!$M427), AJ$4&lt;&gt;DATE(2025,7,4)), (SWITCH(weekday(AJ$4), 1, 0, 2, if(ISBLANK('2025'!$P427), 0, 1), 3, if(ISBLANK('2025'!$Q427), 0, 1), 4, if(ISBLANK('2025'!$R427), 0, 1), 5, if(ISBLANK('2025'!$S427), 0, 1), 6, if(ISBLANK('2025'!$T427), 0, 1), 7, 0))), 1, "")</f>
        <v/>
      </c>
      <c r="AK464" s="1" t="str">
        <f>IF(AND(AND(AND(AK$4&gt;='2025'!$L427,AK$4&lt;='2025'!$M427), AK$4&lt;&gt;DATE(2025,7,4)), (SWITCH(weekday(AK$4), 1, 0, 2, if(ISBLANK('2025'!$P427), 0, 1), 3, if(ISBLANK('2025'!$Q427), 0, 1), 4, if(ISBLANK('2025'!$R427), 0, 1), 5, if(ISBLANK('2025'!$S427), 0, 1), 6, if(ISBLANK('2025'!$T427), 0, 1), 7, 0))), 1, "")</f>
        <v/>
      </c>
      <c r="AL464" s="1" t="str">
        <f>IF(AND(AND(AND(AL$4&gt;='2025'!$L427,AL$4&lt;='2025'!$M427), AL$4&lt;&gt;DATE(2025,7,4)), (SWITCH(weekday(AL$4), 1, 0, 2, if(ISBLANK('2025'!$P427), 0, 1), 3, if(ISBLANK('2025'!$Q427), 0, 1), 4, if(ISBLANK('2025'!$R427), 0, 1), 5, if(ISBLANK('2025'!$S427), 0, 1), 6, if(ISBLANK('2025'!$T427), 0, 1), 7, 0))), 1, "")</f>
        <v/>
      </c>
      <c r="AM464" s="1" t="str">
        <f>IF(AND(AND(AND(AM$4&gt;='2025'!$L427,AM$4&lt;='2025'!$M427), AM$4&lt;&gt;DATE(2025,7,4)), (SWITCH(weekday(AM$4), 1, 0, 2, if(ISBLANK('2025'!$P427), 0, 1), 3, if(ISBLANK('2025'!$Q427), 0, 1), 4, if(ISBLANK('2025'!$R427), 0, 1), 5, if(ISBLANK('2025'!$S427), 0, 1), 6, if(ISBLANK('2025'!$T427), 0, 1), 7, 0))), 1, "")</f>
        <v/>
      </c>
      <c r="AN464" s="1" t="str">
        <f>IF(AND(AND(AND(AN$4&gt;='2025'!$L427,AN$4&lt;='2025'!$M427), AN$4&lt;&gt;DATE(2025,7,4)), (SWITCH(weekday(AN$4), 1, 0, 2, if(ISBLANK('2025'!$P427), 0, 1), 3, if(ISBLANK('2025'!$Q427), 0, 1), 4, if(ISBLANK('2025'!$R427), 0, 1), 5, if(ISBLANK('2025'!$S427), 0, 1), 6, if(ISBLANK('2025'!$T427), 0, 1), 7, 0))), 1, "")</f>
        <v/>
      </c>
      <c r="AO464" s="1" t="str">
        <f>IF(AND(AND(AND(AO$4&gt;='2025'!$L427,AO$4&lt;='2025'!$M427), AO$4&lt;&gt;DATE(2025,7,4)), (SWITCH(weekday(AO$4), 1, 0, 2, if(ISBLANK('2025'!$P427), 0, 1), 3, if(ISBLANK('2025'!$Q427), 0, 1), 4, if(ISBLANK('2025'!$R427), 0, 1), 5, if(ISBLANK('2025'!$S427), 0, 1), 6, if(ISBLANK('2025'!$T427), 0, 1), 7, 0))), 1, "")</f>
        <v/>
      </c>
      <c r="AP464" s="1" t="str">
        <f>IF(AND(AND(AND(AP$4&gt;='2025'!$L427,AP$4&lt;='2025'!$M427), AP$4&lt;&gt;DATE(2025,7,4)), (SWITCH(weekday(AP$4), 1, 0, 2, if(ISBLANK('2025'!$P427), 0, 1), 3, if(ISBLANK('2025'!$Q427), 0, 1), 4, if(ISBLANK('2025'!$R427), 0, 1), 5, if(ISBLANK('2025'!$S427), 0, 1), 6, if(ISBLANK('2025'!$T427), 0, 1), 7, 0))), 1, "")</f>
        <v/>
      </c>
      <c r="AQ464" s="1" t="str">
        <f>IF(AND(AND(AND(AQ$4&gt;='2025'!$L427,AQ$4&lt;='2025'!$M427), AQ$4&lt;&gt;DATE(2025,7,4)), (SWITCH(weekday(AQ$4), 1, 0, 2, if(ISBLANK('2025'!$P427), 0, 1), 3, if(ISBLANK('2025'!$Q427), 0, 1), 4, if(ISBLANK('2025'!$R427), 0, 1), 5, if(ISBLANK('2025'!$S427), 0, 1), 6, if(ISBLANK('2025'!$T427), 0, 1), 7, 0))), 1, "")</f>
        <v/>
      </c>
      <c r="AR464" s="1" t="str">
        <f>IF(AND(AND(AND(AR$4&gt;='2025'!$L427,AR$4&lt;='2025'!$M427), AR$4&lt;&gt;DATE(2025,7,4)), (SWITCH(weekday(AR$4), 1, 0, 2, if(ISBLANK('2025'!$P427), 0, 1), 3, if(ISBLANK('2025'!$Q427), 0, 1), 4, if(ISBLANK('2025'!$R427), 0, 1), 5, if(ISBLANK('2025'!$S427), 0, 1), 6, if(ISBLANK('2025'!$T427), 0, 1), 7, 0))), 1, "")</f>
        <v/>
      </c>
      <c r="AS464" s="1" t="str">
        <f>IF(AND(AND(AND(AS$4&gt;='2025'!$L427,AS$4&lt;='2025'!$M427), AS$4&lt;&gt;DATE(2025,7,4)), (SWITCH(weekday(AS$4), 1, 0, 2, if(ISBLANK('2025'!$P427), 0, 1), 3, if(ISBLANK('2025'!$Q427), 0, 1), 4, if(ISBLANK('2025'!$R427), 0, 1), 5, if(ISBLANK('2025'!$S427), 0, 1), 6, if(ISBLANK('2025'!$T427), 0, 1), 7, 0))), 1, "")</f>
        <v/>
      </c>
      <c r="AT464" s="1" t="str">
        <f>IF(AND(AND(AND(AT$4&gt;='2025'!$L427,AT$4&lt;='2025'!$M427), AT$4&lt;&gt;DATE(2025,7,4)), (SWITCH(weekday(AT$4), 1, 0, 2, if(ISBLANK('2025'!$P427), 0, 1), 3, if(ISBLANK('2025'!$Q427), 0, 1), 4, if(ISBLANK('2025'!$R427), 0, 1), 5, if(ISBLANK('2025'!$S427), 0, 1), 6, if(ISBLANK('2025'!$T427), 0, 1), 7, 0))), 1, "")</f>
        <v/>
      </c>
      <c r="AU464" s="1" t="str">
        <f>IF(AND(AND(AND(AU$4&gt;='2025'!$L427,AU$4&lt;='2025'!$M427), AU$4&lt;&gt;DATE(2025,7,4)), (SWITCH(weekday(AU$4), 1, 0, 2, if(ISBLANK('2025'!$P427), 0, 1), 3, if(ISBLANK('2025'!$Q427), 0, 1), 4, if(ISBLANK('2025'!$R427), 0, 1), 5, if(ISBLANK('2025'!$S427), 0, 1), 6, if(ISBLANK('2025'!$T427), 0, 1), 7, 0))), 1, "")</f>
        <v/>
      </c>
      <c r="AV464" s="1" t="str">
        <f>IF(AND(AND(AND(AV$4&gt;='2025'!$L427,AV$4&lt;='2025'!$M427), AV$4&lt;&gt;DATE(2025,7,4)), (SWITCH(weekday(AV$4), 1, 0, 2, if(ISBLANK('2025'!$P427), 0, 1), 3, if(ISBLANK('2025'!$Q427), 0, 1), 4, if(ISBLANK('2025'!$R427), 0, 1), 5, if(ISBLANK('2025'!$S427), 0, 1), 6, if(ISBLANK('2025'!$T427), 0, 1), 7, 0))), 1, "")</f>
        <v/>
      </c>
      <c r="AW464" s="1" t="str">
        <f>IF(AND(AND(AND(AW$4&gt;='2025'!$L427,AW$4&lt;='2025'!$M427), AW$4&lt;&gt;DATE(2025,7,4)), (SWITCH(weekday(AW$4), 1, 0, 2, if(ISBLANK('2025'!$P427), 0, 1), 3, if(ISBLANK('2025'!$Q427), 0, 1), 4, if(ISBLANK('2025'!$R427), 0, 1), 5, if(ISBLANK('2025'!$S427), 0, 1), 6, if(ISBLANK('2025'!$T427), 0, 1), 7, 0))), 1, "")</f>
        <v/>
      </c>
      <c r="AX464" s="1" t="str">
        <f>IF(AND(AND(AND(AX$4&gt;='2025'!$L427,AX$4&lt;='2025'!$M427), AX$4&lt;&gt;DATE(2025,7,4)), (SWITCH(weekday(AX$4), 1, 0, 2, if(ISBLANK('2025'!$P427), 0, 1), 3, if(ISBLANK('2025'!$Q427), 0, 1), 4, if(ISBLANK('2025'!$R427), 0, 1), 5, if(ISBLANK('2025'!$S427), 0, 1), 6, if(ISBLANK('2025'!$T427), 0, 1), 7, 0))), 1, "")</f>
        <v/>
      </c>
      <c r="AY464" s="1" t="str">
        <f>IF(AND(AND(AND(AY$4&gt;='2025'!$L427,AY$4&lt;='2025'!$M427), AY$4&lt;&gt;DATE(2025,7,4)), (SWITCH(weekday(AY$4), 1, 0, 2, if(ISBLANK('2025'!$P427), 0, 1), 3, if(ISBLANK('2025'!$Q427), 0, 1), 4, if(ISBLANK('2025'!$R427), 0, 1), 5, if(ISBLANK('2025'!$S427), 0, 1), 6, if(ISBLANK('2025'!$T427), 0, 1), 7, 0))), 1, "")</f>
        <v/>
      </c>
      <c r="AZ464" s="1" t="str">
        <f>IF(AND(AND(AND(AZ$4&gt;='2025'!$L427,AZ$4&lt;='2025'!$M427), AZ$4&lt;&gt;DATE(2025,7,4)), (SWITCH(weekday(AZ$4), 1, 0, 2, if(ISBLANK('2025'!$P427), 0, 1), 3, if(ISBLANK('2025'!$Q427), 0, 1), 4, if(ISBLANK('2025'!$R427), 0, 1), 5, if(ISBLANK('2025'!$S427), 0, 1), 6, if(ISBLANK('2025'!$T427), 0, 1), 7, 0))), 1, "")</f>
        <v/>
      </c>
      <c r="BA464" s="1" t="str">
        <f>IF(AND(AND(AND(BA$4&gt;='2025'!$L427,BA$4&lt;='2025'!$M427), BA$4&lt;&gt;DATE(2025,7,4)), (SWITCH(weekday(BA$4), 1, 0, 2, if(ISBLANK('2025'!$P427), 0, 1), 3, if(ISBLANK('2025'!$Q427), 0, 1), 4, if(ISBLANK('2025'!$R427), 0, 1), 5, if(ISBLANK('2025'!$S427), 0, 1), 6, if(ISBLANK('2025'!$T427), 0, 1), 7, 0))), 1, "")</f>
        <v/>
      </c>
      <c r="BB464" s="1" t="str">
        <f>IF(AND(AND(AND(BB$4&gt;='2025'!$L427,BB$4&lt;='2025'!$M427), BB$4&lt;&gt;DATE(2025,7,4)), (SWITCH(weekday(BB$4), 1, 0, 2, if(ISBLANK('2025'!$P427), 0, 1), 3, if(ISBLANK('2025'!$Q427), 0, 1), 4, if(ISBLANK('2025'!$R427), 0, 1), 5, if(ISBLANK('2025'!$S427), 0, 1), 6, if(ISBLANK('2025'!$T427), 0, 1), 7, 0))), 1, "")</f>
        <v/>
      </c>
      <c r="BC464" s="1" t="str">
        <f>IF(AND(AND(AND(BC$4&gt;='2025'!$L427,BC$4&lt;='2025'!$M427), BC$4&lt;&gt;DATE(2025,7,4)), (SWITCH(weekday(BC$4), 1, 0, 2, if(ISBLANK('2025'!$P427), 0, 1), 3, if(ISBLANK('2025'!$Q427), 0, 1), 4, if(ISBLANK('2025'!$R427), 0, 1), 5, if(ISBLANK('2025'!$S427), 0, 1), 6, if(ISBLANK('2025'!$T427), 0, 1), 7, 0))), 1, "")</f>
        <v/>
      </c>
      <c r="BD464" s="1" t="str">
        <f>IF(AND(AND(AND(BD$4&gt;='2025'!$L427,BD$4&lt;='2025'!$M427), BD$4&lt;&gt;DATE(2025,7,4)), (SWITCH(weekday(BD$4), 1, 0, 2, if(ISBLANK('2025'!$P427), 0, 1), 3, if(ISBLANK('2025'!$Q427), 0, 1), 4, if(ISBLANK('2025'!$R427), 0, 1), 5, if(ISBLANK('2025'!$S427), 0, 1), 6, if(ISBLANK('2025'!$T427), 0, 1), 7, 0))), 1, "")</f>
        <v/>
      </c>
      <c r="BE464" s="1" t="str">
        <f>IF(AND(AND(AND(BE$4&gt;='2025'!$L427,BE$4&lt;='2025'!$M427), BE$4&lt;&gt;DATE(2025,7,4)), (SWITCH(weekday(BE$4), 1, 0, 2, if(ISBLANK('2025'!$P427), 0, 1), 3, if(ISBLANK('2025'!$Q427), 0, 1), 4, if(ISBLANK('2025'!$R427), 0, 1), 5, if(ISBLANK('2025'!$S427), 0, 1), 6, if(ISBLANK('2025'!$T427), 0, 1), 7, 0))), 1, "")</f>
        <v/>
      </c>
    </row>
    <row r="465">
      <c r="A465" s="1">
        <f t="shared" si="3"/>
        <v>465</v>
      </c>
      <c r="B465" s="1" t="str">
        <f>'2025'!D428</f>
        <v/>
      </c>
      <c r="C465" s="1" t="str">
        <f>'2025'!H428</f>
        <v/>
      </c>
      <c r="D465" s="1" t="str">
        <f>IF(AND(AND(AND(D$4&gt;='2025'!$L428,D$4&lt;='2025'!$M428), D$4&lt;&gt;DATE(2025,7,4)), (SWITCH(weekday(D$4), 1, 0, 2, if(ISBLANK('2025'!$P428), 0, 1), 3, if(ISBLANK('2025'!$Q428), 0, 1), 4, if(ISBLANK('2025'!$R428), 0, 1), 5, if(ISBLANK('2025'!$S428), 0, 1), 6, if(ISBLANK('2025'!$T428), 0, 1), 7, 0))), 1, "")</f>
        <v/>
      </c>
      <c r="E465" s="1" t="str">
        <f>IF(AND(AND(AND(E$4&gt;='2025'!$L428,E$4&lt;='2025'!$M428), E$4&lt;&gt;DATE(2025,7,4)), (SWITCH(weekday(E$4), 1, 0, 2, if(ISBLANK('2025'!$P428), 0, 1), 3, if(ISBLANK('2025'!$Q428), 0, 1), 4, if(ISBLANK('2025'!$R428), 0, 1), 5, if(ISBLANK('2025'!$S428), 0, 1), 6, if(ISBLANK('2025'!$T428), 0, 1), 7, 0))), 1, "")</f>
        <v/>
      </c>
      <c r="F465" s="1" t="str">
        <f>IF(AND(AND(AND(F$4&gt;='2025'!$L428,F$4&lt;='2025'!$M428), F$4&lt;&gt;DATE(2025,7,4)), (SWITCH(weekday(F$4), 1, 0, 2, if(ISBLANK('2025'!$P428), 0, 1), 3, if(ISBLANK('2025'!$Q428), 0, 1), 4, if(ISBLANK('2025'!$R428), 0, 1), 5, if(ISBLANK('2025'!$S428), 0, 1), 6, if(ISBLANK('2025'!$T428), 0, 1), 7, 0))), 1, "")</f>
        <v/>
      </c>
      <c r="G465" s="1" t="str">
        <f>IF(AND(AND(AND(G$4&gt;='2025'!$L428,G$4&lt;='2025'!$M428), G$4&lt;&gt;DATE(2025,7,4)), (SWITCH(weekday(G$4), 1, 0, 2, if(ISBLANK('2025'!$P428), 0, 1), 3, if(ISBLANK('2025'!$Q428), 0, 1), 4, if(ISBLANK('2025'!$R428), 0, 1), 5, if(ISBLANK('2025'!$S428), 0, 1), 6, if(ISBLANK('2025'!$T428), 0, 1), 7, 0))), 1, "")</f>
        <v/>
      </c>
      <c r="H465" s="1" t="str">
        <f>IF(AND(AND(AND(H$4&gt;='2025'!$L428,H$4&lt;='2025'!$M428), H$4&lt;&gt;DATE(2025,7,4)), (SWITCH(weekday(H$4), 1, 0, 2, if(ISBLANK('2025'!$P428), 0, 1), 3, if(ISBLANK('2025'!$Q428), 0, 1), 4, if(ISBLANK('2025'!$R428), 0, 1), 5, if(ISBLANK('2025'!$S428), 0, 1), 6, if(ISBLANK('2025'!$T428), 0, 1), 7, 0))), 1, "")</f>
        <v/>
      </c>
      <c r="I465" s="1" t="str">
        <f>IF(AND(AND(AND(I$4&gt;='2025'!$L428,I$4&lt;='2025'!$M428), I$4&lt;&gt;DATE(2025,7,4)), (SWITCH(weekday(I$4), 1, 0, 2, if(ISBLANK('2025'!$P428), 0, 1), 3, if(ISBLANK('2025'!$Q428), 0, 1), 4, if(ISBLANK('2025'!$R428), 0, 1), 5, if(ISBLANK('2025'!$S428), 0, 1), 6, if(ISBLANK('2025'!$T428), 0, 1), 7, 0))), 1, "")</f>
        <v/>
      </c>
      <c r="J465" s="1" t="str">
        <f>IF(AND(AND(AND(J$4&gt;='2025'!$L428,J$4&lt;='2025'!$M428), J$4&lt;&gt;DATE(2025,7,4)), (SWITCH(weekday(J$4), 1, 0, 2, if(ISBLANK('2025'!$P428), 0, 1), 3, if(ISBLANK('2025'!$Q428), 0, 1), 4, if(ISBLANK('2025'!$R428), 0, 1), 5, if(ISBLANK('2025'!$S428), 0, 1), 6, if(ISBLANK('2025'!$T428), 0, 1), 7, 0))), 1, "")</f>
        <v/>
      </c>
      <c r="K465" s="1" t="str">
        <f>IF(AND(AND(AND(K$4&gt;='2025'!$L428,K$4&lt;='2025'!$M428), K$4&lt;&gt;DATE(2025,7,4)), (SWITCH(weekday(K$4), 1, 0, 2, if(ISBLANK('2025'!$P428), 0, 1), 3, if(ISBLANK('2025'!$Q428), 0, 1), 4, if(ISBLANK('2025'!$R428), 0, 1), 5, if(ISBLANK('2025'!$S428), 0, 1), 6, if(ISBLANK('2025'!$T428), 0, 1), 7, 0))), 1, "")</f>
        <v/>
      </c>
      <c r="L465" s="1" t="str">
        <f>IF(AND(AND(AND(L$4&gt;='2025'!$L428,L$4&lt;='2025'!$M428), L$4&lt;&gt;DATE(2025,7,4)), (SWITCH(weekday(L$4), 1, 0, 2, if(ISBLANK('2025'!$P428), 0, 1), 3, if(ISBLANK('2025'!$Q428), 0, 1), 4, if(ISBLANK('2025'!$R428), 0, 1), 5, if(ISBLANK('2025'!$S428), 0, 1), 6, if(ISBLANK('2025'!$T428), 0, 1), 7, 0))), 1, "")</f>
        <v/>
      </c>
      <c r="M465" s="1" t="str">
        <f>IF(AND(AND(AND(M$4&gt;='2025'!$L428,M$4&lt;='2025'!$M428), M$4&lt;&gt;DATE(2025,7,4)), (SWITCH(weekday(M$4), 1, 0, 2, if(ISBLANK('2025'!$P428), 0, 1), 3, if(ISBLANK('2025'!$Q428), 0, 1), 4, if(ISBLANK('2025'!$R428), 0, 1), 5, if(ISBLANK('2025'!$S428), 0, 1), 6, if(ISBLANK('2025'!$T428), 0, 1), 7, 0))), 1, "")</f>
        <v/>
      </c>
      <c r="N465" s="1" t="str">
        <f>IF(AND(AND(AND(N$4&gt;='2025'!$L428,N$4&lt;='2025'!$M428), N$4&lt;&gt;DATE(2025,7,4)), (SWITCH(weekday(N$4), 1, 0, 2, if(ISBLANK('2025'!$P428), 0, 1), 3, if(ISBLANK('2025'!$Q428), 0, 1), 4, if(ISBLANK('2025'!$R428), 0, 1), 5, if(ISBLANK('2025'!$S428), 0, 1), 6, if(ISBLANK('2025'!$T428), 0, 1), 7, 0))), 1, "")</f>
        <v/>
      </c>
      <c r="O465" s="1" t="str">
        <f>IF(AND(AND(AND(O$4&gt;='2025'!$L428,O$4&lt;='2025'!$M428), O$4&lt;&gt;DATE(2025,7,4)), (SWITCH(weekday(O$4), 1, 0, 2, if(ISBLANK('2025'!$P428), 0, 1), 3, if(ISBLANK('2025'!$Q428), 0, 1), 4, if(ISBLANK('2025'!$R428), 0, 1), 5, if(ISBLANK('2025'!$S428), 0, 1), 6, if(ISBLANK('2025'!$T428), 0, 1), 7, 0))), 1, "")</f>
        <v/>
      </c>
      <c r="P465" s="1" t="str">
        <f>IF(AND(AND(AND(P$4&gt;='2025'!$L428,P$4&lt;='2025'!$M428), P$4&lt;&gt;DATE(2025,7,4)), (SWITCH(weekday(P$4), 1, 0, 2, if(ISBLANK('2025'!$P428), 0, 1), 3, if(ISBLANK('2025'!$Q428), 0, 1), 4, if(ISBLANK('2025'!$R428), 0, 1), 5, if(ISBLANK('2025'!$S428), 0, 1), 6, if(ISBLANK('2025'!$T428), 0, 1), 7, 0))), 1, "")</f>
        <v/>
      </c>
      <c r="Q465" s="1" t="str">
        <f>IF(AND(AND(AND(Q$4&gt;='2025'!$L428,Q$4&lt;='2025'!$M428), Q$4&lt;&gt;DATE(2025,7,4)), (SWITCH(weekday(Q$4), 1, 0, 2, if(ISBLANK('2025'!$P428), 0, 1), 3, if(ISBLANK('2025'!$Q428), 0, 1), 4, if(ISBLANK('2025'!$R428), 0, 1), 5, if(ISBLANK('2025'!$S428), 0, 1), 6, if(ISBLANK('2025'!$T428), 0, 1), 7, 0))), 1, "")</f>
        <v/>
      </c>
      <c r="R465" s="1" t="str">
        <f>IF(AND(AND(AND(R$4&gt;='2025'!$L428,R$4&lt;='2025'!$M428), R$4&lt;&gt;DATE(2025,7,4)), (SWITCH(weekday(R$4), 1, 0, 2, if(ISBLANK('2025'!$P428), 0, 1), 3, if(ISBLANK('2025'!$Q428), 0, 1), 4, if(ISBLANK('2025'!$R428), 0, 1), 5, if(ISBLANK('2025'!$S428), 0, 1), 6, if(ISBLANK('2025'!$T428), 0, 1), 7, 0))), 1, "")</f>
        <v/>
      </c>
      <c r="S465" s="1" t="str">
        <f>IF(AND(AND(AND(S$4&gt;='2025'!$L428,S$4&lt;='2025'!$M428), S$4&lt;&gt;DATE(2025,7,4)), (SWITCH(weekday(S$4), 1, 0, 2, if(ISBLANK('2025'!$P428), 0, 1), 3, if(ISBLANK('2025'!$Q428), 0, 1), 4, if(ISBLANK('2025'!$R428), 0, 1), 5, if(ISBLANK('2025'!$S428), 0, 1), 6, if(ISBLANK('2025'!$T428), 0, 1), 7, 0))), 1, "")</f>
        <v/>
      </c>
      <c r="T465" s="1" t="str">
        <f>IF(AND(AND(AND(T$4&gt;='2025'!$L428,T$4&lt;='2025'!$M428), T$4&lt;&gt;DATE(2025,7,4)), (SWITCH(weekday(T$4), 1, 0, 2, if(ISBLANK('2025'!$P428), 0, 1), 3, if(ISBLANK('2025'!$Q428), 0, 1), 4, if(ISBLANK('2025'!$R428), 0, 1), 5, if(ISBLANK('2025'!$S428), 0, 1), 6, if(ISBLANK('2025'!$T428), 0, 1), 7, 0))), 1, "")</f>
        <v/>
      </c>
      <c r="U465" s="1" t="str">
        <f>IF(AND(AND(AND(U$4&gt;='2025'!$L428,U$4&lt;='2025'!$M428), U$4&lt;&gt;DATE(2025,7,4)), (SWITCH(weekday(U$4), 1, 0, 2, if(ISBLANK('2025'!$P428), 0, 1), 3, if(ISBLANK('2025'!$Q428), 0, 1), 4, if(ISBLANK('2025'!$R428), 0, 1), 5, if(ISBLANK('2025'!$S428), 0, 1), 6, if(ISBLANK('2025'!$T428), 0, 1), 7, 0))), 1, "")</f>
        <v/>
      </c>
      <c r="V465" s="1" t="str">
        <f>IF(AND(AND(AND(V$4&gt;='2025'!$L428,V$4&lt;='2025'!$M428), V$4&lt;&gt;DATE(2025,7,4)), (SWITCH(weekday(V$4), 1, 0, 2, if(ISBLANK('2025'!$P428), 0, 1), 3, if(ISBLANK('2025'!$Q428), 0, 1), 4, if(ISBLANK('2025'!$R428), 0, 1), 5, if(ISBLANK('2025'!$S428), 0, 1), 6, if(ISBLANK('2025'!$T428), 0, 1), 7, 0))), 1, "")</f>
        <v/>
      </c>
      <c r="W465" s="1" t="str">
        <f>IF(AND(AND(AND(W$4&gt;='2025'!$L428,W$4&lt;='2025'!$M428), W$4&lt;&gt;DATE(2025,7,4)), (SWITCH(weekday(W$4), 1, 0, 2, if(ISBLANK('2025'!$P428), 0, 1), 3, if(ISBLANK('2025'!$Q428), 0, 1), 4, if(ISBLANK('2025'!$R428), 0, 1), 5, if(ISBLANK('2025'!$S428), 0, 1), 6, if(ISBLANK('2025'!$T428), 0, 1), 7, 0))), 1, "")</f>
        <v/>
      </c>
      <c r="X465" s="1" t="str">
        <f>IF(AND(AND(AND(X$4&gt;='2025'!$L428,X$4&lt;='2025'!$M428), X$4&lt;&gt;DATE(2025,7,4)), (SWITCH(weekday(X$4), 1, 0, 2, if(ISBLANK('2025'!$P428), 0, 1), 3, if(ISBLANK('2025'!$Q428), 0, 1), 4, if(ISBLANK('2025'!$R428), 0, 1), 5, if(ISBLANK('2025'!$S428), 0, 1), 6, if(ISBLANK('2025'!$T428), 0, 1), 7, 0))), 1, "")</f>
        <v/>
      </c>
      <c r="Y465" s="1" t="str">
        <f>IF(AND(AND(AND(Y$4&gt;='2025'!$L428,Y$4&lt;='2025'!$M428), Y$4&lt;&gt;DATE(2025,7,4)), (SWITCH(weekday(Y$4), 1, 0, 2, if(ISBLANK('2025'!$P428), 0, 1), 3, if(ISBLANK('2025'!$Q428), 0, 1), 4, if(ISBLANK('2025'!$R428), 0, 1), 5, if(ISBLANK('2025'!$S428), 0, 1), 6, if(ISBLANK('2025'!$T428), 0, 1), 7, 0))), 1, "")</f>
        <v/>
      </c>
      <c r="Z465" s="1" t="str">
        <f>IF(AND(AND(AND(Z$4&gt;='2025'!$L428,Z$4&lt;='2025'!$M428), Z$4&lt;&gt;DATE(2025,7,4)), (SWITCH(weekday(Z$4), 1, 0, 2, if(ISBLANK('2025'!$P428), 0, 1), 3, if(ISBLANK('2025'!$Q428), 0, 1), 4, if(ISBLANK('2025'!$R428), 0, 1), 5, if(ISBLANK('2025'!$S428), 0, 1), 6, if(ISBLANK('2025'!$T428), 0, 1), 7, 0))), 1, "")</f>
        <v/>
      </c>
      <c r="AA465" s="1" t="str">
        <f>IF(AND(AND(AND(AA$4&gt;='2025'!$L428,AA$4&lt;='2025'!$M428), AA$4&lt;&gt;DATE(2025,7,4)), (SWITCH(weekday(AA$4), 1, 0, 2, if(ISBLANK('2025'!$P428), 0, 1), 3, if(ISBLANK('2025'!$Q428), 0, 1), 4, if(ISBLANK('2025'!$R428), 0, 1), 5, if(ISBLANK('2025'!$S428), 0, 1), 6, if(ISBLANK('2025'!$T428), 0, 1), 7, 0))), 1, "")</f>
        <v/>
      </c>
      <c r="AB465" s="1" t="str">
        <f>IF(AND(AND(AND(AB$4&gt;='2025'!$L428,AB$4&lt;='2025'!$M428), AB$4&lt;&gt;DATE(2025,7,4)), (SWITCH(weekday(AB$4), 1, 0, 2, if(ISBLANK('2025'!$P428), 0, 1), 3, if(ISBLANK('2025'!$Q428), 0, 1), 4, if(ISBLANK('2025'!$R428), 0, 1), 5, if(ISBLANK('2025'!$S428), 0, 1), 6, if(ISBLANK('2025'!$T428), 0, 1), 7, 0))), 1, "")</f>
        <v/>
      </c>
      <c r="AC465" s="1" t="str">
        <f>IF(AND(AND(AND(AC$4&gt;='2025'!$L428,AC$4&lt;='2025'!$M428), AC$4&lt;&gt;DATE(2025,7,4)), (SWITCH(weekday(AC$4), 1, 0, 2, if(ISBLANK('2025'!$P428), 0, 1), 3, if(ISBLANK('2025'!$Q428), 0, 1), 4, if(ISBLANK('2025'!$R428), 0, 1), 5, if(ISBLANK('2025'!$S428), 0, 1), 6, if(ISBLANK('2025'!$T428), 0, 1), 7, 0))), 1, "")</f>
        <v/>
      </c>
      <c r="AD465" s="1" t="str">
        <f>IF(AND(AND(AND(AD$4&gt;='2025'!$L428,AD$4&lt;='2025'!$M428), AD$4&lt;&gt;DATE(2025,7,4)), (SWITCH(weekday(AD$4), 1, 0, 2, if(ISBLANK('2025'!$P428), 0, 1), 3, if(ISBLANK('2025'!$Q428), 0, 1), 4, if(ISBLANK('2025'!$R428), 0, 1), 5, if(ISBLANK('2025'!$S428), 0, 1), 6, if(ISBLANK('2025'!$T428), 0, 1), 7, 0))), 1, "")</f>
        <v/>
      </c>
      <c r="AE465" s="1" t="str">
        <f>IF(AND(AND(AND(AE$4&gt;='2025'!$L428,AE$4&lt;='2025'!$M428), AE$4&lt;&gt;DATE(2025,7,4)), (SWITCH(weekday(AE$4), 1, 0, 2, if(ISBLANK('2025'!$P428), 0, 1), 3, if(ISBLANK('2025'!$Q428), 0, 1), 4, if(ISBLANK('2025'!$R428), 0, 1), 5, if(ISBLANK('2025'!$S428), 0, 1), 6, if(ISBLANK('2025'!$T428), 0, 1), 7, 0))), 1, "")</f>
        <v/>
      </c>
      <c r="AF465" s="1" t="str">
        <f>IF(AND(AND(AND(AF$4&gt;='2025'!$L428,AF$4&lt;='2025'!$M428), AF$4&lt;&gt;DATE(2025,7,4)), (SWITCH(weekday(AF$4), 1, 0, 2, if(ISBLANK('2025'!$P428), 0, 1), 3, if(ISBLANK('2025'!$Q428), 0, 1), 4, if(ISBLANK('2025'!$R428), 0, 1), 5, if(ISBLANK('2025'!$S428), 0, 1), 6, if(ISBLANK('2025'!$T428), 0, 1), 7, 0))), 1, "")</f>
        <v/>
      </c>
      <c r="AG465" s="1" t="str">
        <f>IF(AND(AND(AND(AG$4&gt;='2025'!$L428,AG$4&lt;='2025'!$M428), AG$4&lt;&gt;DATE(2025,7,4)), (SWITCH(weekday(AG$4), 1, 0, 2, if(ISBLANK('2025'!$P428), 0, 1), 3, if(ISBLANK('2025'!$Q428), 0, 1), 4, if(ISBLANK('2025'!$R428), 0, 1), 5, if(ISBLANK('2025'!$S428), 0, 1), 6, if(ISBLANK('2025'!$T428), 0, 1), 7, 0))), 1, "")</f>
        <v/>
      </c>
      <c r="AH465" s="1" t="str">
        <f>IF(AND(AND(AND(AH$4&gt;='2025'!$L428,AH$4&lt;='2025'!$M428), AH$4&lt;&gt;DATE(2025,7,4)), (SWITCH(weekday(AH$4), 1, 0, 2, if(ISBLANK('2025'!$P428), 0, 1), 3, if(ISBLANK('2025'!$Q428), 0, 1), 4, if(ISBLANK('2025'!$R428), 0, 1), 5, if(ISBLANK('2025'!$S428), 0, 1), 6, if(ISBLANK('2025'!$T428), 0, 1), 7, 0))), 1, "")</f>
        <v/>
      </c>
      <c r="AI465" s="1" t="str">
        <f>IF(AND(AND(AND(AI$4&gt;='2025'!$L428,AI$4&lt;='2025'!$M428), AI$4&lt;&gt;DATE(2025,7,4)), (SWITCH(weekday(AI$4), 1, 0, 2, if(ISBLANK('2025'!$P428), 0, 1), 3, if(ISBLANK('2025'!$Q428), 0, 1), 4, if(ISBLANK('2025'!$R428), 0, 1), 5, if(ISBLANK('2025'!$S428), 0, 1), 6, if(ISBLANK('2025'!$T428), 0, 1), 7, 0))), 1, "")</f>
        <v/>
      </c>
      <c r="AJ465" s="1" t="str">
        <f>IF(AND(AND(AND(AJ$4&gt;='2025'!$L428,AJ$4&lt;='2025'!$M428), AJ$4&lt;&gt;DATE(2025,7,4)), (SWITCH(weekday(AJ$4), 1, 0, 2, if(ISBLANK('2025'!$P428), 0, 1), 3, if(ISBLANK('2025'!$Q428), 0, 1), 4, if(ISBLANK('2025'!$R428), 0, 1), 5, if(ISBLANK('2025'!$S428), 0, 1), 6, if(ISBLANK('2025'!$T428), 0, 1), 7, 0))), 1, "")</f>
        <v/>
      </c>
      <c r="AK465" s="1" t="str">
        <f>IF(AND(AND(AND(AK$4&gt;='2025'!$L428,AK$4&lt;='2025'!$M428), AK$4&lt;&gt;DATE(2025,7,4)), (SWITCH(weekday(AK$4), 1, 0, 2, if(ISBLANK('2025'!$P428), 0, 1), 3, if(ISBLANK('2025'!$Q428), 0, 1), 4, if(ISBLANK('2025'!$R428), 0, 1), 5, if(ISBLANK('2025'!$S428), 0, 1), 6, if(ISBLANK('2025'!$T428), 0, 1), 7, 0))), 1, "")</f>
        <v/>
      </c>
      <c r="AL465" s="1" t="str">
        <f>IF(AND(AND(AND(AL$4&gt;='2025'!$L428,AL$4&lt;='2025'!$M428), AL$4&lt;&gt;DATE(2025,7,4)), (SWITCH(weekday(AL$4), 1, 0, 2, if(ISBLANK('2025'!$P428), 0, 1), 3, if(ISBLANK('2025'!$Q428), 0, 1), 4, if(ISBLANK('2025'!$R428), 0, 1), 5, if(ISBLANK('2025'!$S428), 0, 1), 6, if(ISBLANK('2025'!$T428), 0, 1), 7, 0))), 1, "")</f>
        <v/>
      </c>
      <c r="AM465" s="1" t="str">
        <f>IF(AND(AND(AND(AM$4&gt;='2025'!$L428,AM$4&lt;='2025'!$M428), AM$4&lt;&gt;DATE(2025,7,4)), (SWITCH(weekday(AM$4), 1, 0, 2, if(ISBLANK('2025'!$P428), 0, 1), 3, if(ISBLANK('2025'!$Q428), 0, 1), 4, if(ISBLANK('2025'!$R428), 0, 1), 5, if(ISBLANK('2025'!$S428), 0, 1), 6, if(ISBLANK('2025'!$T428), 0, 1), 7, 0))), 1, "")</f>
        <v/>
      </c>
      <c r="AN465" s="1" t="str">
        <f>IF(AND(AND(AND(AN$4&gt;='2025'!$L428,AN$4&lt;='2025'!$M428), AN$4&lt;&gt;DATE(2025,7,4)), (SWITCH(weekday(AN$4), 1, 0, 2, if(ISBLANK('2025'!$P428), 0, 1), 3, if(ISBLANK('2025'!$Q428), 0, 1), 4, if(ISBLANK('2025'!$R428), 0, 1), 5, if(ISBLANK('2025'!$S428), 0, 1), 6, if(ISBLANK('2025'!$T428), 0, 1), 7, 0))), 1, "")</f>
        <v/>
      </c>
      <c r="AO465" s="1" t="str">
        <f>IF(AND(AND(AND(AO$4&gt;='2025'!$L428,AO$4&lt;='2025'!$M428), AO$4&lt;&gt;DATE(2025,7,4)), (SWITCH(weekday(AO$4), 1, 0, 2, if(ISBLANK('2025'!$P428), 0, 1), 3, if(ISBLANK('2025'!$Q428), 0, 1), 4, if(ISBLANK('2025'!$R428), 0, 1), 5, if(ISBLANK('2025'!$S428), 0, 1), 6, if(ISBLANK('2025'!$T428), 0, 1), 7, 0))), 1, "")</f>
        <v/>
      </c>
      <c r="AP465" s="1" t="str">
        <f>IF(AND(AND(AND(AP$4&gt;='2025'!$L428,AP$4&lt;='2025'!$M428), AP$4&lt;&gt;DATE(2025,7,4)), (SWITCH(weekday(AP$4), 1, 0, 2, if(ISBLANK('2025'!$P428), 0, 1), 3, if(ISBLANK('2025'!$Q428), 0, 1), 4, if(ISBLANK('2025'!$R428), 0, 1), 5, if(ISBLANK('2025'!$S428), 0, 1), 6, if(ISBLANK('2025'!$T428), 0, 1), 7, 0))), 1, "")</f>
        <v/>
      </c>
      <c r="AQ465" s="1" t="str">
        <f>IF(AND(AND(AND(AQ$4&gt;='2025'!$L428,AQ$4&lt;='2025'!$M428), AQ$4&lt;&gt;DATE(2025,7,4)), (SWITCH(weekday(AQ$4), 1, 0, 2, if(ISBLANK('2025'!$P428), 0, 1), 3, if(ISBLANK('2025'!$Q428), 0, 1), 4, if(ISBLANK('2025'!$R428), 0, 1), 5, if(ISBLANK('2025'!$S428), 0, 1), 6, if(ISBLANK('2025'!$T428), 0, 1), 7, 0))), 1, "")</f>
        <v/>
      </c>
      <c r="AR465" s="1" t="str">
        <f>IF(AND(AND(AND(AR$4&gt;='2025'!$L428,AR$4&lt;='2025'!$M428), AR$4&lt;&gt;DATE(2025,7,4)), (SWITCH(weekday(AR$4), 1, 0, 2, if(ISBLANK('2025'!$P428), 0, 1), 3, if(ISBLANK('2025'!$Q428), 0, 1), 4, if(ISBLANK('2025'!$R428), 0, 1), 5, if(ISBLANK('2025'!$S428), 0, 1), 6, if(ISBLANK('2025'!$T428), 0, 1), 7, 0))), 1, "")</f>
        <v/>
      </c>
      <c r="AS465" s="1" t="str">
        <f>IF(AND(AND(AND(AS$4&gt;='2025'!$L428,AS$4&lt;='2025'!$M428), AS$4&lt;&gt;DATE(2025,7,4)), (SWITCH(weekday(AS$4), 1, 0, 2, if(ISBLANK('2025'!$P428), 0, 1), 3, if(ISBLANK('2025'!$Q428), 0, 1), 4, if(ISBLANK('2025'!$R428), 0, 1), 5, if(ISBLANK('2025'!$S428), 0, 1), 6, if(ISBLANK('2025'!$T428), 0, 1), 7, 0))), 1, "")</f>
        <v/>
      </c>
      <c r="AT465" s="1" t="str">
        <f>IF(AND(AND(AND(AT$4&gt;='2025'!$L428,AT$4&lt;='2025'!$M428), AT$4&lt;&gt;DATE(2025,7,4)), (SWITCH(weekday(AT$4), 1, 0, 2, if(ISBLANK('2025'!$P428), 0, 1), 3, if(ISBLANK('2025'!$Q428), 0, 1), 4, if(ISBLANK('2025'!$R428), 0, 1), 5, if(ISBLANK('2025'!$S428), 0, 1), 6, if(ISBLANK('2025'!$T428), 0, 1), 7, 0))), 1, "")</f>
        <v/>
      </c>
      <c r="AU465" s="1" t="str">
        <f>IF(AND(AND(AND(AU$4&gt;='2025'!$L428,AU$4&lt;='2025'!$M428), AU$4&lt;&gt;DATE(2025,7,4)), (SWITCH(weekday(AU$4), 1, 0, 2, if(ISBLANK('2025'!$P428), 0, 1), 3, if(ISBLANK('2025'!$Q428), 0, 1), 4, if(ISBLANK('2025'!$R428), 0, 1), 5, if(ISBLANK('2025'!$S428), 0, 1), 6, if(ISBLANK('2025'!$T428), 0, 1), 7, 0))), 1, "")</f>
        <v/>
      </c>
      <c r="AV465" s="1" t="str">
        <f>IF(AND(AND(AND(AV$4&gt;='2025'!$L428,AV$4&lt;='2025'!$M428), AV$4&lt;&gt;DATE(2025,7,4)), (SWITCH(weekday(AV$4), 1, 0, 2, if(ISBLANK('2025'!$P428), 0, 1), 3, if(ISBLANK('2025'!$Q428), 0, 1), 4, if(ISBLANK('2025'!$R428), 0, 1), 5, if(ISBLANK('2025'!$S428), 0, 1), 6, if(ISBLANK('2025'!$T428), 0, 1), 7, 0))), 1, "")</f>
        <v/>
      </c>
      <c r="AW465" s="1" t="str">
        <f>IF(AND(AND(AND(AW$4&gt;='2025'!$L428,AW$4&lt;='2025'!$M428), AW$4&lt;&gt;DATE(2025,7,4)), (SWITCH(weekday(AW$4), 1, 0, 2, if(ISBLANK('2025'!$P428), 0, 1), 3, if(ISBLANK('2025'!$Q428), 0, 1), 4, if(ISBLANK('2025'!$R428), 0, 1), 5, if(ISBLANK('2025'!$S428), 0, 1), 6, if(ISBLANK('2025'!$T428), 0, 1), 7, 0))), 1, "")</f>
        <v/>
      </c>
      <c r="AX465" s="1" t="str">
        <f>IF(AND(AND(AND(AX$4&gt;='2025'!$L428,AX$4&lt;='2025'!$M428), AX$4&lt;&gt;DATE(2025,7,4)), (SWITCH(weekday(AX$4), 1, 0, 2, if(ISBLANK('2025'!$P428), 0, 1), 3, if(ISBLANK('2025'!$Q428), 0, 1), 4, if(ISBLANK('2025'!$R428), 0, 1), 5, if(ISBLANK('2025'!$S428), 0, 1), 6, if(ISBLANK('2025'!$T428), 0, 1), 7, 0))), 1, "")</f>
        <v/>
      </c>
      <c r="AY465" s="1" t="str">
        <f>IF(AND(AND(AND(AY$4&gt;='2025'!$L428,AY$4&lt;='2025'!$M428), AY$4&lt;&gt;DATE(2025,7,4)), (SWITCH(weekday(AY$4), 1, 0, 2, if(ISBLANK('2025'!$P428), 0, 1), 3, if(ISBLANK('2025'!$Q428), 0, 1), 4, if(ISBLANK('2025'!$R428), 0, 1), 5, if(ISBLANK('2025'!$S428), 0, 1), 6, if(ISBLANK('2025'!$T428), 0, 1), 7, 0))), 1, "")</f>
        <v/>
      </c>
      <c r="AZ465" s="1" t="str">
        <f>IF(AND(AND(AND(AZ$4&gt;='2025'!$L428,AZ$4&lt;='2025'!$M428), AZ$4&lt;&gt;DATE(2025,7,4)), (SWITCH(weekday(AZ$4), 1, 0, 2, if(ISBLANK('2025'!$P428), 0, 1), 3, if(ISBLANK('2025'!$Q428), 0, 1), 4, if(ISBLANK('2025'!$R428), 0, 1), 5, if(ISBLANK('2025'!$S428), 0, 1), 6, if(ISBLANK('2025'!$T428), 0, 1), 7, 0))), 1, "")</f>
        <v/>
      </c>
      <c r="BA465" s="1" t="str">
        <f>IF(AND(AND(AND(BA$4&gt;='2025'!$L428,BA$4&lt;='2025'!$M428), BA$4&lt;&gt;DATE(2025,7,4)), (SWITCH(weekday(BA$4), 1, 0, 2, if(ISBLANK('2025'!$P428), 0, 1), 3, if(ISBLANK('2025'!$Q428), 0, 1), 4, if(ISBLANK('2025'!$R428), 0, 1), 5, if(ISBLANK('2025'!$S428), 0, 1), 6, if(ISBLANK('2025'!$T428), 0, 1), 7, 0))), 1, "")</f>
        <v/>
      </c>
      <c r="BB465" s="1" t="str">
        <f>IF(AND(AND(AND(BB$4&gt;='2025'!$L428,BB$4&lt;='2025'!$M428), BB$4&lt;&gt;DATE(2025,7,4)), (SWITCH(weekday(BB$4), 1, 0, 2, if(ISBLANK('2025'!$P428), 0, 1), 3, if(ISBLANK('2025'!$Q428), 0, 1), 4, if(ISBLANK('2025'!$R428), 0, 1), 5, if(ISBLANK('2025'!$S428), 0, 1), 6, if(ISBLANK('2025'!$T428), 0, 1), 7, 0))), 1, "")</f>
        <v/>
      </c>
      <c r="BC465" s="1" t="str">
        <f>IF(AND(AND(AND(BC$4&gt;='2025'!$L428,BC$4&lt;='2025'!$M428), BC$4&lt;&gt;DATE(2025,7,4)), (SWITCH(weekday(BC$4), 1, 0, 2, if(ISBLANK('2025'!$P428), 0, 1), 3, if(ISBLANK('2025'!$Q428), 0, 1), 4, if(ISBLANK('2025'!$R428), 0, 1), 5, if(ISBLANK('2025'!$S428), 0, 1), 6, if(ISBLANK('2025'!$T428), 0, 1), 7, 0))), 1, "")</f>
        <v/>
      </c>
      <c r="BD465" s="1" t="str">
        <f>IF(AND(AND(AND(BD$4&gt;='2025'!$L428,BD$4&lt;='2025'!$M428), BD$4&lt;&gt;DATE(2025,7,4)), (SWITCH(weekday(BD$4), 1, 0, 2, if(ISBLANK('2025'!$P428), 0, 1), 3, if(ISBLANK('2025'!$Q428), 0, 1), 4, if(ISBLANK('2025'!$R428), 0, 1), 5, if(ISBLANK('2025'!$S428), 0, 1), 6, if(ISBLANK('2025'!$T428), 0, 1), 7, 0))), 1, "")</f>
        <v/>
      </c>
      <c r="BE465" s="1" t="str">
        <f>IF(AND(AND(AND(BE$4&gt;='2025'!$L428,BE$4&lt;='2025'!$M428), BE$4&lt;&gt;DATE(2025,7,4)), (SWITCH(weekday(BE$4), 1, 0, 2, if(ISBLANK('2025'!$P428), 0, 1), 3, if(ISBLANK('2025'!$Q428), 0, 1), 4, if(ISBLANK('2025'!$R428), 0, 1), 5, if(ISBLANK('2025'!$S428), 0, 1), 6, if(ISBLANK('2025'!$T428), 0, 1), 7, 0))), 1, "")</f>
        <v/>
      </c>
    </row>
    <row r="466">
      <c r="A466" s="1">
        <f t="shared" si="3"/>
        <v>466</v>
      </c>
      <c r="B466" s="1" t="str">
        <f>'2025'!D429</f>
        <v/>
      </c>
      <c r="C466" s="1" t="str">
        <f>'2025'!H429</f>
        <v/>
      </c>
      <c r="D466" s="1" t="str">
        <f>IF(AND(AND(AND(D$4&gt;='2025'!$L429,D$4&lt;='2025'!$M429), D$4&lt;&gt;DATE(2025,7,4)), (SWITCH(weekday(D$4), 1, 0, 2, if(ISBLANK('2025'!$P429), 0, 1), 3, if(ISBLANK('2025'!$Q429), 0, 1), 4, if(ISBLANK('2025'!$R429), 0, 1), 5, if(ISBLANK('2025'!$S429), 0, 1), 6, if(ISBLANK('2025'!$T429), 0, 1), 7, 0))), 1, "")</f>
        <v/>
      </c>
      <c r="E466" s="1" t="str">
        <f>IF(AND(AND(AND(E$4&gt;='2025'!$L429,E$4&lt;='2025'!$M429), E$4&lt;&gt;DATE(2025,7,4)), (SWITCH(weekday(E$4), 1, 0, 2, if(ISBLANK('2025'!$P429), 0, 1), 3, if(ISBLANK('2025'!$Q429), 0, 1), 4, if(ISBLANK('2025'!$R429), 0, 1), 5, if(ISBLANK('2025'!$S429), 0, 1), 6, if(ISBLANK('2025'!$T429), 0, 1), 7, 0))), 1, "")</f>
        <v/>
      </c>
      <c r="F466" s="1" t="str">
        <f>IF(AND(AND(AND(F$4&gt;='2025'!$L429,F$4&lt;='2025'!$M429), F$4&lt;&gt;DATE(2025,7,4)), (SWITCH(weekday(F$4), 1, 0, 2, if(ISBLANK('2025'!$P429), 0, 1), 3, if(ISBLANK('2025'!$Q429), 0, 1), 4, if(ISBLANK('2025'!$R429), 0, 1), 5, if(ISBLANK('2025'!$S429), 0, 1), 6, if(ISBLANK('2025'!$T429), 0, 1), 7, 0))), 1, "")</f>
        <v/>
      </c>
      <c r="G466" s="1" t="str">
        <f>IF(AND(AND(AND(G$4&gt;='2025'!$L429,G$4&lt;='2025'!$M429), G$4&lt;&gt;DATE(2025,7,4)), (SWITCH(weekday(G$4), 1, 0, 2, if(ISBLANK('2025'!$P429), 0, 1), 3, if(ISBLANK('2025'!$Q429), 0, 1), 4, if(ISBLANK('2025'!$R429), 0, 1), 5, if(ISBLANK('2025'!$S429), 0, 1), 6, if(ISBLANK('2025'!$T429), 0, 1), 7, 0))), 1, "")</f>
        <v/>
      </c>
      <c r="H466" s="1" t="str">
        <f>IF(AND(AND(AND(H$4&gt;='2025'!$L429,H$4&lt;='2025'!$M429), H$4&lt;&gt;DATE(2025,7,4)), (SWITCH(weekday(H$4), 1, 0, 2, if(ISBLANK('2025'!$P429), 0, 1), 3, if(ISBLANK('2025'!$Q429), 0, 1), 4, if(ISBLANK('2025'!$R429), 0, 1), 5, if(ISBLANK('2025'!$S429), 0, 1), 6, if(ISBLANK('2025'!$T429), 0, 1), 7, 0))), 1, "")</f>
        <v/>
      </c>
      <c r="I466" s="1" t="str">
        <f>IF(AND(AND(AND(I$4&gt;='2025'!$L429,I$4&lt;='2025'!$M429), I$4&lt;&gt;DATE(2025,7,4)), (SWITCH(weekday(I$4), 1, 0, 2, if(ISBLANK('2025'!$P429), 0, 1), 3, if(ISBLANK('2025'!$Q429), 0, 1), 4, if(ISBLANK('2025'!$R429), 0, 1), 5, if(ISBLANK('2025'!$S429), 0, 1), 6, if(ISBLANK('2025'!$T429), 0, 1), 7, 0))), 1, "")</f>
        <v/>
      </c>
      <c r="J466" s="1" t="str">
        <f>IF(AND(AND(AND(J$4&gt;='2025'!$L429,J$4&lt;='2025'!$M429), J$4&lt;&gt;DATE(2025,7,4)), (SWITCH(weekday(J$4), 1, 0, 2, if(ISBLANK('2025'!$P429), 0, 1), 3, if(ISBLANK('2025'!$Q429), 0, 1), 4, if(ISBLANK('2025'!$R429), 0, 1), 5, if(ISBLANK('2025'!$S429), 0, 1), 6, if(ISBLANK('2025'!$T429), 0, 1), 7, 0))), 1, "")</f>
        <v/>
      </c>
      <c r="K466" s="1" t="str">
        <f>IF(AND(AND(AND(K$4&gt;='2025'!$L429,K$4&lt;='2025'!$M429), K$4&lt;&gt;DATE(2025,7,4)), (SWITCH(weekday(K$4), 1, 0, 2, if(ISBLANK('2025'!$P429), 0, 1), 3, if(ISBLANK('2025'!$Q429), 0, 1), 4, if(ISBLANK('2025'!$R429), 0, 1), 5, if(ISBLANK('2025'!$S429), 0, 1), 6, if(ISBLANK('2025'!$T429), 0, 1), 7, 0))), 1, "")</f>
        <v/>
      </c>
      <c r="L466" s="1" t="str">
        <f>IF(AND(AND(AND(L$4&gt;='2025'!$L429,L$4&lt;='2025'!$M429), L$4&lt;&gt;DATE(2025,7,4)), (SWITCH(weekday(L$4), 1, 0, 2, if(ISBLANK('2025'!$P429), 0, 1), 3, if(ISBLANK('2025'!$Q429), 0, 1), 4, if(ISBLANK('2025'!$R429), 0, 1), 5, if(ISBLANK('2025'!$S429), 0, 1), 6, if(ISBLANK('2025'!$T429), 0, 1), 7, 0))), 1, "")</f>
        <v/>
      </c>
      <c r="M466" s="1" t="str">
        <f>IF(AND(AND(AND(M$4&gt;='2025'!$L429,M$4&lt;='2025'!$M429), M$4&lt;&gt;DATE(2025,7,4)), (SWITCH(weekday(M$4), 1, 0, 2, if(ISBLANK('2025'!$P429), 0, 1), 3, if(ISBLANK('2025'!$Q429), 0, 1), 4, if(ISBLANK('2025'!$R429), 0, 1), 5, if(ISBLANK('2025'!$S429), 0, 1), 6, if(ISBLANK('2025'!$T429), 0, 1), 7, 0))), 1, "")</f>
        <v/>
      </c>
      <c r="N466" s="1" t="str">
        <f>IF(AND(AND(AND(N$4&gt;='2025'!$L429,N$4&lt;='2025'!$M429), N$4&lt;&gt;DATE(2025,7,4)), (SWITCH(weekday(N$4), 1, 0, 2, if(ISBLANK('2025'!$P429), 0, 1), 3, if(ISBLANK('2025'!$Q429), 0, 1), 4, if(ISBLANK('2025'!$R429), 0, 1), 5, if(ISBLANK('2025'!$S429), 0, 1), 6, if(ISBLANK('2025'!$T429), 0, 1), 7, 0))), 1, "")</f>
        <v/>
      </c>
      <c r="O466" s="1" t="str">
        <f>IF(AND(AND(AND(O$4&gt;='2025'!$L429,O$4&lt;='2025'!$M429), O$4&lt;&gt;DATE(2025,7,4)), (SWITCH(weekday(O$4), 1, 0, 2, if(ISBLANK('2025'!$P429), 0, 1), 3, if(ISBLANK('2025'!$Q429), 0, 1), 4, if(ISBLANK('2025'!$R429), 0, 1), 5, if(ISBLANK('2025'!$S429), 0, 1), 6, if(ISBLANK('2025'!$T429), 0, 1), 7, 0))), 1, "")</f>
        <v/>
      </c>
      <c r="P466" s="1" t="str">
        <f>IF(AND(AND(AND(P$4&gt;='2025'!$L429,P$4&lt;='2025'!$M429), P$4&lt;&gt;DATE(2025,7,4)), (SWITCH(weekday(P$4), 1, 0, 2, if(ISBLANK('2025'!$P429), 0, 1), 3, if(ISBLANK('2025'!$Q429), 0, 1), 4, if(ISBLANK('2025'!$R429), 0, 1), 5, if(ISBLANK('2025'!$S429), 0, 1), 6, if(ISBLANK('2025'!$T429), 0, 1), 7, 0))), 1, "")</f>
        <v/>
      </c>
      <c r="Q466" s="1" t="str">
        <f>IF(AND(AND(AND(Q$4&gt;='2025'!$L429,Q$4&lt;='2025'!$M429), Q$4&lt;&gt;DATE(2025,7,4)), (SWITCH(weekday(Q$4), 1, 0, 2, if(ISBLANK('2025'!$P429), 0, 1), 3, if(ISBLANK('2025'!$Q429), 0, 1), 4, if(ISBLANK('2025'!$R429), 0, 1), 5, if(ISBLANK('2025'!$S429), 0, 1), 6, if(ISBLANK('2025'!$T429), 0, 1), 7, 0))), 1, "")</f>
        <v/>
      </c>
      <c r="R466" s="1" t="str">
        <f>IF(AND(AND(AND(R$4&gt;='2025'!$L429,R$4&lt;='2025'!$M429), R$4&lt;&gt;DATE(2025,7,4)), (SWITCH(weekday(R$4), 1, 0, 2, if(ISBLANK('2025'!$P429), 0, 1), 3, if(ISBLANK('2025'!$Q429), 0, 1), 4, if(ISBLANK('2025'!$R429), 0, 1), 5, if(ISBLANK('2025'!$S429), 0, 1), 6, if(ISBLANK('2025'!$T429), 0, 1), 7, 0))), 1, "")</f>
        <v/>
      </c>
      <c r="S466" s="1" t="str">
        <f>IF(AND(AND(AND(S$4&gt;='2025'!$L429,S$4&lt;='2025'!$M429), S$4&lt;&gt;DATE(2025,7,4)), (SWITCH(weekday(S$4), 1, 0, 2, if(ISBLANK('2025'!$P429), 0, 1), 3, if(ISBLANK('2025'!$Q429), 0, 1), 4, if(ISBLANK('2025'!$R429), 0, 1), 5, if(ISBLANK('2025'!$S429), 0, 1), 6, if(ISBLANK('2025'!$T429), 0, 1), 7, 0))), 1, "")</f>
        <v/>
      </c>
      <c r="T466" s="1" t="str">
        <f>IF(AND(AND(AND(T$4&gt;='2025'!$L429,T$4&lt;='2025'!$M429), T$4&lt;&gt;DATE(2025,7,4)), (SWITCH(weekday(T$4), 1, 0, 2, if(ISBLANK('2025'!$P429), 0, 1), 3, if(ISBLANK('2025'!$Q429), 0, 1), 4, if(ISBLANK('2025'!$R429), 0, 1), 5, if(ISBLANK('2025'!$S429), 0, 1), 6, if(ISBLANK('2025'!$T429), 0, 1), 7, 0))), 1, "")</f>
        <v/>
      </c>
      <c r="U466" s="1" t="str">
        <f>IF(AND(AND(AND(U$4&gt;='2025'!$L429,U$4&lt;='2025'!$M429), U$4&lt;&gt;DATE(2025,7,4)), (SWITCH(weekday(U$4), 1, 0, 2, if(ISBLANK('2025'!$P429), 0, 1), 3, if(ISBLANK('2025'!$Q429), 0, 1), 4, if(ISBLANK('2025'!$R429), 0, 1), 5, if(ISBLANK('2025'!$S429), 0, 1), 6, if(ISBLANK('2025'!$T429), 0, 1), 7, 0))), 1, "")</f>
        <v/>
      </c>
      <c r="V466" s="1" t="str">
        <f>IF(AND(AND(AND(V$4&gt;='2025'!$L429,V$4&lt;='2025'!$M429), V$4&lt;&gt;DATE(2025,7,4)), (SWITCH(weekday(V$4), 1, 0, 2, if(ISBLANK('2025'!$P429), 0, 1), 3, if(ISBLANK('2025'!$Q429), 0, 1), 4, if(ISBLANK('2025'!$R429), 0, 1), 5, if(ISBLANK('2025'!$S429), 0, 1), 6, if(ISBLANK('2025'!$T429), 0, 1), 7, 0))), 1, "")</f>
        <v/>
      </c>
      <c r="W466" s="1" t="str">
        <f>IF(AND(AND(AND(W$4&gt;='2025'!$L429,W$4&lt;='2025'!$M429), W$4&lt;&gt;DATE(2025,7,4)), (SWITCH(weekday(W$4), 1, 0, 2, if(ISBLANK('2025'!$P429), 0, 1), 3, if(ISBLANK('2025'!$Q429), 0, 1), 4, if(ISBLANK('2025'!$R429), 0, 1), 5, if(ISBLANK('2025'!$S429), 0, 1), 6, if(ISBLANK('2025'!$T429), 0, 1), 7, 0))), 1, "")</f>
        <v/>
      </c>
      <c r="X466" s="1" t="str">
        <f>IF(AND(AND(AND(X$4&gt;='2025'!$L429,X$4&lt;='2025'!$M429), X$4&lt;&gt;DATE(2025,7,4)), (SWITCH(weekday(X$4), 1, 0, 2, if(ISBLANK('2025'!$P429), 0, 1), 3, if(ISBLANK('2025'!$Q429), 0, 1), 4, if(ISBLANK('2025'!$R429), 0, 1), 5, if(ISBLANK('2025'!$S429), 0, 1), 6, if(ISBLANK('2025'!$T429), 0, 1), 7, 0))), 1, "")</f>
        <v/>
      </c>
      <c r="Y466" s="1" t="str">
        <f>IF(AND(AND(AND(Y$4&gt;='2025'!$L429,Y$4&lt;='2025'!$M429), Y$4&lt;&gt;DATE(2025,7,4)), (SWITCH(weekday(Y$4), 1, 0, 2, if(ISBLANK('2025'!$P429), 0, 1), 3, if(ISBLANK('2025'!$Q429), 0, 1), 4, if(ISBLANK('2025'!$R429), 0, 1), 5, if(ISBLANK('2025'!$S429), 0, 1), 6, if(ISBLANK('2025'!$T429), 0, 1), 7, 0))), 1, "")</f>
        <v/>
      </c>
      <c r="Z466" s="1" t="str">
        <f>IF(AND(AND(AND(Z$4&gt;='2025'!$L429,Z$4&lt;='2025'!$M429), Z$4&lt;&gt;DATE(2025,7,4)), (SWITCH(weekday(Z$4), 1, 0, 2, if(ISBLANK('2025'!$P429), 0, 1), 3, if(ISBLANK('2025'!$Q429), 0, 1), 4, if(ISBLANK('2025'!$R429), 0, 1), 5, if(ISBLANK('2025'!$S429), 0, 1), 6, if(ISBLANK('2025'!$T429), 0, 1), 7, 0))), 1, "")</f>
        <v/>
      </c>
      <c r="AA466" s="1" t="str">
        <f>IF(AND(AND(AND(AA$4&gt;='2025'!$L429,AA$4&lt;='2025'!$M429), AA$4&lt;&gt;DATE(2025,7,4)), (SWITCH(weekday(AA$4), 1, 0, 2, if(ISBLANK('2025'!$P429), 0, 1), 3, if(ISBLANK('2025'!$Q429), 0, 1), 4, if(ISBLANK('2025'!$R429), 0, 1), 5, if(ISBLANK('2025'!$S429), 0, 1), 6, if(ISBLANK('2025'!$T429), 0, 1), 7, 0))), 1, "")</f>
        <v/>
      </c>
      <c r="AB466" s="1" t="str">
        <f>IF(AND(AND(AND(AB$4&gt;='2025'!$L429,AB$4&lt;='2025'!$M429), AB$4&lt;&gt;DATE(2025,7,4)), (SWITCH(weekday(AB$4), 1, 0, 2, if(ISBLANK('2025'!$P429), 0, 1), 3, if(ISBLANK('2025'!$Q429), 0, 1), 4, if(ISBLANK('2025'!$R429), 0, 1), 5, if(ISBLANK('2025'!$S429), 0, 1), 6, if(ISBLANK('2025'!$T429), 0, 1), 7, 0))), 1, "")</f>
        <v/>
      </c>
      <c r="AC466" s="1" t="str">
        <f>IF(AND(AND(AND(AC$4&gt;='2025'!$L429,AC$4&lt;='2025'!$M429), AC$4&lt;&gt;DATE(2025,7,4)), (SWITCH(weekday(AC$4), 1, 0, 2, if(ISBLANK('2025'!$P429), 0, 1), 3, if(ISBLANK('2025'!$Q429), 0, 1), 4, if(ISBLANK('2025'!$R429), 0, 1), 5, if(ISBLANK('2025'!$S429), 0, 1), 6, if(ISBLANK('2025'!$T429), 0, 1), 7, 0))), 1, "")</f>
        <v/>
      </c>
      <c r="AD466" s="1" t="str">
        <f>IF(AND(AND(AND(AD$4&gt;='2025'!$L429,AD$4&lt;='2025'!$M429), AD$4&lt;&gt;DATE(2025,7,4)), (SWITCH(weekday(AD$4), 1, 0, 2, if(ISBLANK('2025'!$P429), 0, 1), 3, if(ISBLANK('2025'!$Q429), 0, 1), 4, if(ISBLANK('2025'!$R429), 0, 1), 5, if(ISBLANK('2025'!$S429), 0, 1), 6, if(ISBLANK('2025'!$T429), 0, 1), 7, 0))), 1, "")</f>
        <v/>
      </c>
      <c r="AE466" s="1" t="str">
        <f>IF(AND(AND(AND(AE$4&gt;='2025'!$L429,AE$4&lt;='2025'!$M429), AE$4&lt;&gt;DATE(2025,7,4)), (SWITCH(weekday(AE$4), 1, 0, 2, if(ISBLANK('2025'!$P429), 0, 1), 3, if(ISBLANK('2025'!$Q429), 0, 1), 4, if(ISBLANK('2025'!$R429), 0, 1), 5, if(ISBLANK('2025'!$S429), 0, 1), 6, if(ISBLANK('2025'!$T429), 0, 1), 7, 0))), 1, "")</f>
        <v/>
      </c>
      <c r="AF466" s="1" t="str">
        <f>IF(AND(AND(AND(AF$4&gt;='2025'!$L429,AF$4&lt;='2025'!$M429), AF$4&lt;&gt;DATE(2025,7,4)), (SWITCH(weekday(AF$4), 1, 0, 2, if(ISBLANK('2025'!$P429), 0, 1), 3, if(ISBLANK('2025'!$Q429), 0, 1), 4, if(ISBLANK('2025'!$R429), 0, 1), 5, if(ISBLANK('2025'!$S429), 0, 1), 6, if(ISBLANK('2025'!$T429), 0, 1), 7, 0))), 1, "")</f>
        <v/>
      </c>
      <c r="AG466" s="1" t="str">
        <f>IF(AND(AND(AND(AG$4&gt;='2025'!$L429,AG$4&lt;='2025'!$M429), AG$4&lt;&gt;DATE(2025,7,4)), (SWITCH(weekday(AG$4), 1, 0, 2, if(ISBLANK('2025'!$P429), 0, 1), 3, if(ISBLANK('2025'!$Q429), 0, 1), 4, if(ISBLANK('2025'!$R429), 0, 1), 5, if(ISBLANK('2025'!$S429), 0, 1), 6, if(ISBLANK('2025'!$T429), 0, 1), 7, 0))), 1, "")</f>
        <v/>
      </c>
      <c r="AH466" s="1" t="str">
        <f>IF(AND(AND(AND(AH$4&gt;='2025'!$L429,AH$4&lt;='2025'!$M429), AH$4&lt;&gt;DATE(2025,7,4)), (SWITCH(weekday(AH$4), 1, 0, 2, if(ISBLANK('2025'!$P429), 0, 1), 3, if(ISBLANK('2025'!$Q429), 0, 1), 4, if(ISBLANK('2025'!$R429), 0, 1), 5, if(ISBLANK('2025'!$S429), 0, 1), 6, if(ISBLANK('2025'!$T429), 0, 1), 7, 0))), 1, "")</f>
        <v/>
      </c>
      <c r="AI466" s="1" t="str">
        <f>IF(AND(AND(AND(AI$4&gt;='2025'!$L429,AI$4&lt;='2025'!$M429), AI$4&lt;&gt;DATE(2025,7,4)), (SWITCH(weekday(AI$4), 1, 0, 2, if(ISBLANK('2025'!$P429), 0, 1), 3, if(ISBLANK('2025'!$Q429), 0, 1), 4, if(ISBLANK('2025'!$R429), 0, 1), 5, if(ISBLANK('2025'!$S429), 0, 1), 6, if(ISBLANK('2025'!$T429), 0, 1), 7, 0))), 1, "")</f>
        <v/>
      </c>
      <c r="AJ466" s="1" t="str">
        <f>IF(AND(AND(AND(AJ$4&gt;='2025'!$L429,AJ$4&lt;='2025'!$M429), AJ$4&lt;&gt;DATE(2025,7,4)), (SWITCH(weekday(AJ$4), 1, 0, 2, if(ISBLANK('2025'!$P429), 0, 1), 3, if(ISBLANK('2025'!$Q429), 0, 1), 4, if(ISBLANK('2025'!$R429), 0, 1), 5, if(ISBLANK('2025'!$S429), 0, 1), 6, if(ISBLANK('2025'!$T429), 0, 1), 7, 0))), 1, "")</f>
        <v/>
      </c>
      <c r="AK466" s="1" t="str">
        <f>IF(AND(AND(AND(AK$4&gt;='2025'!$L429,AK$4&lt;='2025'!$M429), AK$4&lt;&gt;DATE(2025,7,4)), (SWITCH(weekday(AK$4), 1, 0, 2, if(ISBLANK('2025'!$P429), 0, 1), 3, if(ISBLANK('2025'!$Q429), 0, 1), 4, if(ISBLANK('2025'!$R429), 0, 1), 5, if(ISBLANK('2025'!$S429), 0, 1), 6, if(ISBLANK('2025'!$T429), 0, 1), 7, 0))), 1, "")</f>
        <v/>
      </c>
      <c r="AL466" s="1" t="str">
        <f>IF(AND(AND(AND(AL$4&gt;='2025'!$L429,AL$4&lt;='2025'!$M429), AL$4&lt;&gt;DATE(2025,7,4)), (SWITCH(weekday(AL$4), 1, 0, 2, if(ISBLANK('2025'!$P429), 0, 1), 3, if(ISBLANK('2025'!$Q429), 0, 1), 4, if(ISBLANK('2025'!$R429), 0, 1), 5, if(ISBLANK('2025'!$S429), 0, 1), 6, if(ISBLANK('2025'!$T429), 0, 1), 7, 0))), 1, "")</f>
        <v/>
      </c>
      <c r="AM466" s="1" t="str">
        <f>IF(AND(AND(AND(AM$4&gt;='2025'!$L429,AM$4&lt;='2025'!$M429), AM$4&lt;&gt;DATE(2025,7,4)), (SWITCH(weekday(AM$4), 1, 0, 2, if(ISBLANK('2025'!$P429), 0, 1), 3, if(ISBLANK('2025'!$Q429), 0, 1), 4, if(ISBLANK('2025'!$R429), 0, 1), 5, if(ISBLANK('2025'!$S429), 0, 1), 6, if(ISBLANK('2025'!$T429), 0, 1), 7, 0))), 1, "")</f>
        <v/>
      </c>
      <c r="AN466" s="1" t="str">
        <f>IF(AND(AND(AND(AN$4&gt;='2025'!$L429,AN$4&lt;='2025'!$M429), AN$4&lt;&gt;DATE(2025,7,4)), (SWITCH(weekday(AN$4), 1, 0, 2, if(ISBLANK('2025'!$P429), 0, 1), 3, if(ISBLANK('2025'!$Q429), 0, 1), 4, if(ISBLANK('2025'!$R429), 0, 1), 5, if(ISBLANK('2025'!$S429), 0, 1), 6, if(ISBLANK('2025'!$T429), 0, 1), 7, 0))), 1, "")</f>
        <v/>
      </c>
      <c r="AO466" s="1" t="str">
        <f>IF(AND(AND(AND(AO$4&gt;='2025'!$L429,AO$4&lt;='2025'!$M429), AO$4&lt;&gt;DATE(2025,7,4)), (SWITCH(weekday(AO$4), 1, 0, 2, if(ISBLANK('2025'!$P429), 0, 1), 3, if(ISBLANK('2025'!$Q429), 0, 1), 4, if(ISBLANK('2025'!$R429), 0, 1), 5, if(ISBLANK('2025'!$S429), 0, 1), 6, if(ISBLANK('2025'!$T429), 0, 1), 7, 0))), 1, "")</f>
        <v/>
      </c>
      <c r="AP466" s="1" t="str">
        <f>IF(AND(AND(AND(AP$4&gt;='2025'!$L429,AP$4&lt;='2025'!$M429), AP$4&lt;&gt;DATE(2025,7,4)), (SWITCH(weekday(AP$4), 1, 0, 2, if(ISBLANK('2025'!$P429), 0, 1), 3, if(ISBLANK('2025'!$Q429), 0, 1), 4, if(ISBLANK('2025'!$R429), 0, 1), 5, if(ISBLANK('2025'!$S429), 0, 1), 6, if(ISBLANK('2025'!$T429), 0, 1), 7, 0))), 1, "")</f>
        <v/>
      </c>
      <c r="AQ466" s="1" t="str">
        <f>IF(AND(AND(AND(AQ$4&gt;='2025'!$L429,AQ$4&lt;='2025'!$M429), AQ$4&lt;&gt;DATE(2025,7,4)), (SWITCH(weekday(AQ$4), 1, 0, 2, if(ISBLANK('2025'!$P429), 0, 1), 3, if(ISBLANK('2025'!$Q429), 0, 1), 4, if(ISBLANK('2025'!$R429), 0, 1), 5, if(ISBLANK('2025'!$S429), 0, 1), 6, if(ISBLANK('2025'!$T429), 0, 1), 7, 0))), 1, "")</f>
        <v/>
      </c>
      <c r="AR466" s="1" t="str">
        <f>IF(AND(AND(AND(AR$4&gt;='2025'!$L429,AR$4&lt;='2025'!$M429), AR$4&lt;&gt;DATE(2025,7,4)), (SWITCH(weekday(AR$4), 1, 0, 2, if(ISBLANK('2025'!$P429), 0, 1), 3, if(ISBLANK('2025'!$Q429), 0, 1), 4, if(ISBLANK('2025'!$R429), 0, 1), 5, if(ISBLANK('2025'!$S429), 0, 1), 6, if(ISBLANK('2025'!$T429), 0, 1), 7, 0))), 1, "")</f>
        <v/>
      </c>
      <c r="AS466" s="1" t="str">
        <f>IF(AND(AND(AND(AS$4&gt;='2025'!$L429,AS$4&lt;='2025'!$M429), AS$4&lt;&gt;DATE(2025,7,4)), (SWITCH(weekday(AS$4), 1, 0, 2, if(ISBLANK('2025'!$P429), 0, 1), 3, if(ISBLANK('2025'!$Q429), 0, 1), 4, if(ISBLANK('2025'!$R429), 0, 1), 5, if(ISBLANK('2025'!$S429), 0, 1), 6, if(ISBLANK('2025'!$T429), 0, 1), 7, 0))), 1, "")</f>
        <v/>
      </c>
      <c r="AT466" s="1" t="str">
        <f>IF(AND(AND(AND(AT$4&gt;='2025'!$L429,AT$4&lt;='2025'!$M429), AT$4&lt;&gt;DATE(2025,7,4)), (SWITCH(weekday(AT$4), 1, 0, 2, if(ISBLANK('2025'!$P429), 0, 1), 3, if(ISBLANK('2025'!$Q429), 0, 1), 4, if(ISBLANK('2025'!$R429), 0, 1), 5, if(ISBLANK('2025'!$S429), 0, 1), 6, if(ISBLANK('2025'!$T429), 0, 1), 7, 0))), 1, "")</f>
        <v/>
      </c>
      <c r="AU466" s="1" t="str">
        <f>IF(AND(AND(AND(AU$4&gt;='2025'!$L429,AU$4&lt;='2025'!$M429), AU$4&lt;&gt;DATE(2025,7,4)), (SWITCH(weekday(AU$4), 1, 0, 2, if(ISBLANK('2025'!$P429), 0, 1), 3, if(ISBLANK('2025'!$Q429), 0, 1), 4, if(ISBLANK('2025'!$R429), 0, 1), 5, if(ISBLANK('2025'!$S429), 0, 1), 6, if(ISBLANK('2025'!$T429), 0, 1), 7, 0))), 1, "")</f>
        <v/>
      </c>
      <c r="AV466" s="1" t="str">
        <f>IF(AND(AND(AND(AV$4&gt;='2025'!$L429,AV$4&lt;='2025'!$M429), AV$4&lt;&gt;DATE(2025,7,4)), (SWITCH(weekday(AV$4), 1, 0, 2, if(ISBLANK('2025'!$P429), 0, 1), 3, if(ISBLANK('2025'!$Q429), 0, 1), 4, if(ISBLANK('2025'!$R429), 0, 1), 5, if(ISBLANK('2025'!$S429), 0, 1), 6, if(ISBLANK('2025'!$T429), 0, 1), 7, 0))), 1, "")</f>
        <v/>
      </c>
      <c r="AW466" s="1" t="str">
        <f>IF(AND(AND(AND(AW$4&gt;='2025'!$L429,AW$4&lt;='2025'!$M429), AW$4&lt;&gt;DATE(2025,7,4)), (SWITCH(weekday(AW$4), 1, 0, 2, if(ISBLANK('2025'!$P429), 0, 1), 3, if(ISBLANK('2025'!$Q429), 0, 1), 4, if(ISBLANK('2025'!$R429), 0, 1), 5, if(ISBLANK('2025'!$S429), 0, 1), 6, if(ISBLANK('2025'!$T429), 0, 1), 7, 0))), 1, "")</f>
        <v/>
      </c>
      <c r="AX466" s="1" t="str">
        <f>IF(AND(AND(AND(AX$4&gt;='2025'!$L429,AX$4&lt;='2025'!$M429), AX$4&lt;&gt;DATE(2025,7,4)), (SWITCH(weekday(AX$4), 1, 0, 2, if(ISBLANK('2025'!$P429), 0, 1), 3, if(ISBLANK('2025'!$Q429), 0, 1), 4, if(ISBLANK('2025'!$R429), 0, 1), 5, if(ISBLANK('2025'!$S429), 0, 1), 6, if(ISBLANK('2025'!$T429), 0, 1), 7, 0))), 1, "")</f>
        <v/>
      </c>
      <c r="AY466" s="1" t="str">
        <f>IF(AND(AND(AND(AY$4&gt;='2025'!$L429,AY$4&lt;='2025'!$M429), AY$4&lt;&gt;DATE(2025,7,4)), (SWITCH(weekday(AY$4), 1, 0, 2, if(ISBLANK('2025'!$P429), 0, 1), 3, if(ISBLANK('2025'!$Q429), 0, 1), 4, if(ISBLANK('2025'!$R429), 0, 1), 5, if(ISBLANK('2025'!$S429), 0, 1), 6, if(ISBLANK('2025'!$T429), 0, 1), 7, 0))), 1, "")</f>
        <v/>
      </c>
      <c r="AZ466" s="1" t="str">
        <f>IF(AND(AND(AND(AZ$4&gt;='2025'!$L429,AZ$4&lt;='2025'!$M429), AZ$4&lt;&gt;DATE(2025,7,4)), (SWITCH(weekday(AZ$4), 1, 0, 2, if(ISBLANK('2025'!$P429), 0, 1), 3, if(ISBLANK('2025'!$Q429), 0, 1), 4, if(ISBLANK('2025'!$R429), 0, 1), 5, if(ISBLANK('2025'!$S429), 0, 1), 6, if(ISBLANK('2025'!$T429), 0, 1), 7, 0))), 1, "")</f>
        <v/>
      </c>
      <c r="BA466" s="1" t="str">
        <f>IF(AND(AND(AND(BA$4&gt;='2025'!$L429,BA$4&lt;='2025'!$M429), BA$4&lt;&gt;DATE(2025,7,4)), (SWITCH(weekday(BA$4), 1, 0, 2, if(ISBLANK('2025'!$P429), 0, 1), 3, if(ISBLANK('2025'!$Q429), 0, 1), 4, if(ISBLANK('2025'!$R429), 0, 1), 5, if(ISBLANK('2025'!$S429), 0, 1), 6, if(ISBLANK('2025'!$T429), 0, 1), 7, 0))), 1, "")</f>
        <v/>
      </c>
      <c r="BB466" s="1" t="str">
        <f>IF(AND(AND(AND(BB$4&gt;='2025'!$L429,BB$4&lt;='2025'!$M429), BB$4&lt;&gt;DATE(2025,7,4)), (SWITCH(weekday(BB$4), 1, 0, 2, if(ISBLANK('2025'!$P429), 0, 1), 3, if(ISBLANK('2025'!$Q429), 0, 1), 4, if(ISBLANK('2025'!$R429), 0, 1), 5, if(ISBLANK('2025'!$S429), 0, 1), 6, if(ISBLANK('2025'!$T429), 0, 1), 7, 0))), 1, "")</f>
        <v/>
      </c>
      <c r="BC466" s="1" t="str">
        <f>IF(AND(AND(AND(BC$4&gt;='2025'!$L429,BC$4&lt;='2025'!$M429), BC$4&lt;&gt;DATE(2025,7,4)), (SWITCH(weekday(BC$4), 1, 0, 2, if(ISBLANK('2025'!$P429), 0, 1), 3, if(ISBLANK('2025'!$Q429), 0, 1), 4, if(ISBLANK('2025'!$R429), 0, 1), 5, if(ISBLANK('2025'!$S429), 0, 1), 6, if(ISBLANK('2025'!$T429), 0, 1), 7, 0))), 1, "")</f>
        <v/>
      </c>
      <c r="BD466" s="1" t="str">
        <f>IF(AND(AND(AND(BD$4&gt;='2025'!$L429,BD$4&lt;='2025'!$M429), BD$4&lt;&gt;DATE(2025,7,4)), (SWITCH(weekday(BD$4), 1, 0, 2, if(ISBLANK('2025'!$P429), 0, 1), 3, if(ISBLANK('2025'!$Q429), 0, 1), 4, if(ISBLANK('2025'!$R429), 0, 1), 5, if(ISBLANK('2025'!$S429), 0, 1), 6, if(ISBLANK('2025'!$T429), 0, 1), 7, 0))), 1, "")</f>
        <v/>
      </c>
      <c r="BE466" s="1" t="str">
        <f>IF(AND(AND(AND(BE$4&gt;='2025'!$L429,BE$4&lt;='2025'!$M429), BE$4&lt;&gt;DATE(2025,7,4)), (SWITCH(weekday(BE$4), 1, 0, 2, if(ISBLANK('2025'!$P429), 0, 1), 3, if(ISBLANK('2025'!$Q429), 0, 1), 4, if(ISBLANK('2025'!$R429), 0, 1), 5, if(ISBLANK('2025'!$S429), 0, 1), 6, if(ISBLANK('2025'!$T429), 0, 1), 7, 0))), 1, "")</f>
        <v/>
      </c>
    </row>
    <row r="467">
      <c r="A467" s="1">
        <f t="shared" si="3"/>
        <v>467</v>
      </c>
      <c r="B467" s="1" t="str">
        <f>'2025'!D430</f>
        <v/>
      </c>
      <c r="C467" s="1" t="str">
        <f>'2025'!H430</f>
        <v/>
      </c>
      <c r="D467" s="1" t="str">
        <f>IF(AND(AND(AND(D$4&gt;='2025'!$L430,D$4&lt;='2025'!$M430), D$4&lt;&gt;DATE(2025,7,4)), (SWITCH(weekday(D$4), 1, 0, 2, if(ISBLANK('2025'!$P430), 0, 1), 3, if(ISBLANK('2025'!$Q430), 0, 1), 4, if(ISBLANK('2025'!$R430), 0, 1), 5, if(ISBLANK('2025'!$S430), 0, 1), 6, if(ISBLANK('2025'!$T430), 0, 1), 7, 0))), 1, "")</f>
        <v/>
      </c>
      <c r="E467" s="1" t="str">
        <f>IF(AND(AND(AND(E$4&gt;='2025'!$L430,E$4&lt;='2025'!$M430), E$4&lt;&gt;DATE(2025,7,4)), (SWITCH(weekday(E$4), 1, 0, 2, if(ISBLANK('2025'!$P430), 0, 1), 3, if(ISBLANK('2025'!$Q430), 0, 1), 4, if(ISBLANK('2025'!$R430), 0, 1), 5, if(ISBLANK('2025'!$S430), 0, 1), 6, if(ISBLANK('2025'!$T430), 0, 1), 7, 0))), 1, "")</f>
        <v/>
      </c>
      <c r="F467" s="1" t="str">
        <f>IF(AND(AND(AND(F$4&gt;='2025'!$L430,F$4&lt;='2025'!$M430), F$4&lt;&gt;DATE(2025,7,4)), (SWITCH(weekday(F$4), 1, 0, 2, if(ISBLANK('2025'!$P430), 0, 1), 3, if(ISBLANK('2025'!$Q430), 0, 1), 4, if(ISBLANK('2025'!$R430), 0, 1), 5, if(ISBLANK('2025'!$S430), 0, 1), 6, if(ISBLANK('2025'!$T430), 0, 1), 7, 0))), 1, "")</f>
        <v/>
      </c>
      <c r="G467" s="1" t="str">
        <f>IF(AND(AND(AND(G$4&gt;='2025'!$L430,G$4&lt;='2025'!$M430), G$4&lt;&gt;DATE(2025,7,4)), (SWITCH(weekday(G$4), 1, 0, 2, if(ISBLANK('2025'!$P430), 0, 1), 3, if(ISBLANK('2025'!$Q430), 0, 1), 4, if(ISBLANK('2025'!$R430), 0, 1), 5, if(ISBLANK('2025'!$S430), 0, 1), 6, if(ISBLANK('2025'!$T430), 0, 1), 7, 0))), 1, "")</f>
        <v/>
      </c>
      <c r="H467" s="1" t="str">
        <f>IF(AND(AND(AND(H$4&gt;='2025'!$L430,H$4&lt;='2025'!$M430), H$4&lt;&gt;DATE(2025,7,4)), (SWITCH(weekday(H$4), 1, 0, 2, if(ISBLANK('2025'!$P430), 0, 1), 3, if(ISBLANK('2025'!$Q430), 0, 1), 4, if(ISBLANK('2025'!$R430), 0, 1), 5, if(ISBLANK('2025'!$S430), 0, 1), 6, if(ISBLANK('2025'!$T430), 0, 1), 7, 0))), 1, "")</f>
        <v/>
      </c>
      <c r="I467" s="1" t="str">
        <f>IF(AND(AND(AND(I$4&gt;='2025'!$L430,I$4&lt;='2025'!$M430), I$4&lt;&gt;DATE(2025,7,4)), (SWITCH(weekday(I$4), 1, 0, 2, if(ISBLANK('2025'!$P430), 0, 1), 3, if(ISBLANK('2025'!$Q430), 0, 1), 4, if(ISBLANK('2025'!$R430), 0, 1), 5, if(ISBLANK('2025'!$S430), 0, 1), 6, if(ISBLANK('2025'!$T430), 0, 1), 7, 0))), 1, "")</f>
        <v/>
      </c>
      <c r="J467" s="1" t="str">
        <f>IF(AND(AND(AND(J$4&gt;='2025'!$L430,J$4&lt;='2025'!$M430), J$4&lt;&gt;DATE(2025,7,4)), (SWITCH(weekday(J$4), 1, 0, 2, if(ISBLANK('2025'!$P430), 0, 1), 3, if(ISBLANK('2025'!$Q430), 0, 1), 4, if(ISBLANK('2025'!$R430), 0, 1), 5, if(ISBLANK('2025'!$S430), 0, 1), 6, if(ISBLANK('2025'!$T430), 0, 1), 7, 0))), 1, "")</f>
        <v/>
      </c>
      <c r="K467" s="1" t="str">
        <f>IF(AND(AND(AND(K$4&gt;='2025'!$L430,K$4&lt;='2025'!$M430), K$4&lt;&gt;DATE(2025,7,4)), (SWITCH(weekday(K$4), 1, 0, 2, if(ISBLANK('2025'!$P430), 0, 1), 3, if(ISBLANK('2025'!$Q430), 0, 1), 4, if(ISBLANK('2025'!$R430), 0, 1), 5, if(ISBLANK('2025'!$S430), 0, 1), 6, if(ISBLANK('2025'!$T430), 0, 1), 7, 0))), 1, "")</f>
        <v/>
      </c>
      <c r="L467" s="1" t="str">
        <f>IF(AND(AND(AND(L$4&gt;='2025'!$L430,L$4&lt;='2025'!$M430), L$4&lt;&gt;DATE(2025,7,4)), (SWITCH(weekday(L$4), 1, 0, 2, if(ISBLANK('2025'!$P430), 0, 1), 3, if(ISBLANK('2025'!$Q430), 0, 1), 4, if(ISBLANK('2025'!$R430), 0, 1), 5, if(ISBLANK('2025'!$S430), 0, 1), 6, if(ISBLANK('2025'!$T430), 0, 1), 7, 0))), 1, "")</f>
        <v/>
      </c>
      <c r="M467" s="1" t="str">
        <f>IF(AND(AND(AND(M$4&gt;='2025'!$L430,M$4&lt;='2025'!$M430), M$4&lt;&gt;DATE(2025,7,4)), (SWITCH(weekday(M$4), 1, 0, 2, if(ISBLANK('2025'!$P430), 0, 1), 3, if(ISBLANK('2025'!$Q430), 0, 1), 4, if(ISBLANK('2025'!$R430), 0, 1), 5, if(ISBLANK('2025'!$S430), 0, 1), 6, if(ISBLANK('2025'!$T430), 0, 1), 7, 0))), 1, "")</f>
        <v/>
      </c>
      <c r="N467" s="1" t="str">
        <f>IF(AND(AND(AND(N$4&gt;='2025'!$L430,N$4&lt;='2025'!$M430), N$4&lt;&gt;DATE(2025,7,4)), (SWITCH(weekday(N$4), 1, 0, 2, if(ISBLANK('2025'!$P430), 0, 1), 3, if(ISBLANK('2025'!$Q430), 0, 1), 4, if(ISBLANK('2025'!$R430), 0, 1), 5, if(ISBLANK('2025'!$S430), 0, 1), 6, if(ISBLANK('2025'!$T430), 0, 1), 7, 0))), 1, "")</f>
        <v/>
      </c>
      <c r="O467" s="1" t="str">
        <f>IF(AND(AND(AND(O$4&gt;='2025'!$L430,O$4&lt;='2025'!$M430), O$4&lt;&gt;DATE(2025,7,4)), (SWITCH(weekday(O$4), 1, 0, 2, if(ISBLANK('2025'!$P430), 0, 1), 3, if(ISBLANK('2025'!$Q430), 0, 1), 4, if(ISBLANK('2025'!$R430), 0, 1), 5, if(ISBLANK('2025'!$S430), 0, 1), 6, if(ISBLANK('2025'!$T430), 0, 1), 7, 0))), 1, "")</f>
        <v/>
      </c>
      <c r="P467" s="1" t="str">
        <f>IF(AND(AND(AND(P$4&gt;='2025'!$L430,P$4&lt;='2025'!$M430), P$4&lt;&gt;DATE(2025,7,4)), (SWITCH(weekday(P$4), 1, 0, 2, if(ISBLANK('2025'!$P430), 0, 1), 3, if(ISBLANK('2025'!$Q430), 0, 1), 4, if(ISBLANK('2025'!$R430), 0, 1), 5, if(ISBLANK('2025'!$S430), 0, 1), 6, if(ISBLANK('2025'!$T430), 0, 1), 7, 0))), 1, "")</f>
        <v/>
      </c>
      <c r="Q467" s="1" t="str">
        <f>IF(AND(AND(AND(Q$4&gt;='2025'!$L430,Q$4&lt;='2025'!$M430), Q$4&lt;&gt;DATE(2025,7,4)), (SWITCH(weekday(Q$4), 1, 0, 2, if(ISBLANK('2025'!$P430), 0, 1), 3, if(ISBLANK('2025'!$Q430), 0, 1), 4, if(ISBLANK('2025'!$R430), 0, 1), 5, if(ISBLANK('2025'!$S430), 0, 1), 6, if(ISBLANK('2025'!$T430), 0, 1), 7, 0))), 1, "")</f>
        <v/>
      </c>
      <c r="R467" s="1" t="str">
        <f>IF(AND(AND(AND(R$4&gt;='2025'!$L430,R$4&lt;='2025'!$M430), R$4&lt;&gt;DATE(2025,7,4)), (SWITCH(weekday(R$4), 1, 0, 2, if(ISBLANK('2025'!$P430), 0, 1), 3, if(ISBLANK('2025'!$Q430), 0, 1), 4, if(ISBLANK('2025'!$R430), 0, 1), 5, if(ISBLANK('2025'!$S430), 0, 1), 6, if(ISBLANK('2025'!$T430), 0, 1), 7, 0))), 1, "")</f>
        <v/>
      </c>
      <c r="S467" s="1" t="str">
        <f>IF(AND(AND(AND(S$4&gt;='2025'!$L430,S$4&lt;='2025'!$M430), S$4&lt;&gt;DATE(2025,7,4)), (SWITCH(weekday(S$4), 1, 0, 2, if(ISBLANK('2025'!$P430), 0, 1), 3, if(ISBLANK('2025'!$Q430), 0, 1), 4, if(ISBLANK('2025'!$R430), 0, 1), 5, if(ISBLANK('2025'!$S430), 0, 1), 6, if(ISBLANK('2025'!$T430), 0, 1), 7, 0))), 1, "")</f>
        <v/>
      </c>
      <c r="T467" s="1" t="str">
        <f>IF(AND(AND(AND(T$4&gt;='2025'!$L430,T$4&lt;='2025'!$M430), T$4&lt;&gt;DATE(2025,7,4)), (SWITCH(weekday(T$4), 1, 0, 2, if(ISBLANK('2025'!$P430), 0, 1), 3, if(ISBLANK('2025'!$Q430), 0, 1), 4, if(ISBLANK('2025'!$R430), 0, 1), 5, if(ISBLANK('2025'!$S430), 0, 1), 6, if(ISBLANK('2025'!$T430), 0, 1), 7, 0))), 1, "")</f>
        <v/>
      </c>
      <c r="U467" s="1" t="str">
        <f>IF(AND(AND(AND(U$4&gt;='2025'!$L430,U$4&lt;='2025'!$M430), U$4&lt;&gt;DATE(2025,7,4)), (SWITCH(weekday(U$4), 1, 0, 2, if(ISBLANK('2025'!$P430), 0, 1), 3, if(ISBLANK('2025'!$Q430), 0, 1), 4, if(ISBLANK('2025'!$R430), 0, 1), 5, if(ISBLANK('2025'!$S430), 0, 1), 6, if(ISBLANK('2025'!$T430), 0, 1), 7, 0))), 1, "")</f>
        <v/>
      </c>
      <c r="V467" s="1" t="str">
        <f>IF(AND(AND(AND(V$4&gt;='2025'!$L430,V$4&lt;='2025'!$M430), V$4&lt;&gt;DATE(2025,7,4)), (SWITCH(weekday(V$4), 1, 0, 2, if(ISBLANK('2025'!$P430), 0, 1), 3, if(ISBLANK('2025'!$Q430), 0, 1), 4, if(ISBLANK('2025'!$R430), 0, 1), 5, if(ISBLANK('2025'!$S430), 0, 1), 6, if(ISBLANK('2025'!$T430), 0, 1), 7, 0))), 1, "")</f>
        <v/>
      </c>
      <c r="W467" s="1" t="str">
        <f>IF(AND(AND(AND(W$4&gt;='2025'!$L430,W$4&lt;='2025'!$M430), W$4&lt;&gt;DATE(2025,7,4)), (SWITCH(weekday(W$4), 1, 0, 2, if(ISBLANK('2025'!$P430), 0, 1), 3, if(ISBLANK('2025'!$Q430), 0, 1), 4, if(ISBLANK('2025'!$R430), 0, 1), 5, if(ISBLANK('2025'!$S430), 0, 1), 6, if(ISBLANK('2025'!$T430), 0, 1), 7, 0))), 1, "")</f>
        <v/>
      </c>
      <c r="X467" s="1" t="str">
        <f>IF(AND(AND(AND(X$4&gt;='2025'!$L430,X$4&lt;='2025'!$M430), X$4&lt;&gt;DATE(2025,7,4)), (SWITCH(weekday(X$4), 1, 0, 2, if(ISBLANK('2025'!$P430), 0, 1), 3, if(ISBLANK('2025'!$Q430), 0, 1), 4, if(ISBLANK('2025'!$R430), 0, 1), 5, if(ISBLANK('2025'!$S430), 0, 1), 6, if(ISBLANK('2025'!$T430), 0, 1), 7, 0))), 1, "")</f>
        <v/>
      </c>
      <c r="Y467" s="1" t="str">
        <f>IF(AND(AND(AND(Y$4&gt;='2025'!$L430,Y$4&lt;='2025'!$M430), Y$4&lt;&gt;DATE(2025,7,4)), (SWITCH(weekday(Y$4), 1, 0, 2, if(ISBLANK('2025'!$P430), 0, 1), 3, if(ISBLANK('2025'!$Q430), 0, 1), 4, if(ISBLANK('2025'!$R430), 0, 1), 5, if(ISBLANK('2025'!$S430), 0, 1), 6, if(ISBLANK('2025'!$T430), 0, 1), 7, 0))), 1, "")</f>
        <v/>
      </c>
      <c r="Z467" s="1" t="str">
        <f>IF(AND(AND(AND(Z$4&gt;='2025'!$L430,Z$4&lt;='2025'!$M430), Z$4&lt;&gt;DATE(2025,7,4)), (SWITCH(weekday(Z$4), 1, 0, 2, if(ISBLANK('2025'!$P430), 0, 1), 3, if(ISBLANK('2025'!$Q430), 0, 1), 4, if(ISBLANK('2025'!$R430), 0, 1), 5, if(ISBLANK('2025'!$S430), 0, 1), 6, if(ISBLANK('2025'!$T430), 0, 1), 7, 0))), 1, "")</f>
        <v/>
      </c>
      <c r="AA467" s="1" t="str">
        <f>IF(AND(AND(AND(AA$4&gt;='2025'!$L430,AA$4&lt;='2025'!$M430), AA$4&lt;&gt;DATE(2025,7,4)), (SWITCH(weekday(AA$4), 1, 0, 2, if(ISBLANK('2025'!$P430), 0, 1), 3, if(ISBLANK('2025'!$Q430), 0, 1), 4, if(ISBLANK('2025'!$R430), 0, 1), 5, if(ISBLANK('2025'!$S430), 0, 1), 6, if(ISBLANK('2025'!$T430), 0, 1), 7, 0))), 1, "")</f>
        <v/>
      </c>
      <c r="AB467" s="1" t="str">
        <f>IF(AND(AND(AND(AB$4&gt;='2025'!$L430,AB$4&lt;='2025'!$M430), AB$4&lt;&gt;DATE(2025,7,4)), (SWITCH(weekday(AB$4), 1, 0, 2, if(ISBLANK('2025'!$P430), 0, 1), 3, if(ISBLANK('2025'!$Q430), 0, 1), 4, if(ISBLANK('2025'!$R430), 0, 1), 5, if(ISBLANK('2025'!$S430), 0, 1), 6, if(ISBLANK('2025'!$T430), 0, 1), 7, 0))), 1, "")</f>
        <v/>
      </c>
      <c r="AC467" s="1" t="str">
        <f>IF(AND(AND(AND(AC$4&gt;='2025'!$L430,AC$4&lt;='2025'!$M430), AC$4&lt;&gt;DATE(2025,7,4)), (SWITCH(weekday(AC$4), 1, 0, 2, if(ISBLANK('2025'!$P430), 0, 1), 3, if(ISBLANK('2025'!$Q430), 0, 1), 4, if(ISBLANK('2025'!$R430), 0, 1), 5, if(ISBLANK('2025'!$S430), 0, 1), 6, if(ISBLANK('2025'!$T430), 0, 1), 7, 0))), 1, "")</f>
        <v/>
      </c>
      <c r="AD467" s="1" t="str">
        <f>IF(AND(AND(AND(AD$4&gt;='2025'!$L430,AD$4&lt;='2025'!$M430), AD$4&lt;&gt;DATE(2025,7,4)), (SWITCH(weekday(AD$4), 1, 0, 2, if(ISBLANK('2025'!$P430), 0, 1), 3, if(ISBLANK('2025'!$Q430), 0, 1), 4, if(ISBLANK('2025'!$R430), 0, 1), 5, if(ISBLANK('2025'!$S430), 0, 1), 6, if(ISBLANK('2025'!$T430), 0, 1), 7, 0))), 1, "")</f>
        <v/>
      </c>
      <c r="AE467" s="1" t="str">
        <f>IF(AND(AND(AND(AE$4&gt;='2025'!$L430,AE$4&lt;='2025'!$M430), AE$4&lt;&gt;DATE(2025,7,4)), (SWITCH(weekday(AE$4), 1, 0, 2, if(ISBLANK('2025'!$P430), 0, 1), 3, if(ISBLANK('2025'!$Q430), 0, 1), 4, if(ISBLANK('2025'!$R430), 0, 1), 5, if(ISBLANK('2025'!$S430), 0, 1), 6, if(ISBLANK('2025'!$T430), 0, 1), 7, 0))), 1, "")</f>
        <v/>
      </c>
      <c r="AF467" s="1" t="str">
        <f>IF(AND(AND(AND(AF$4&gt;='2025'!$L430,AF$4&lt;='2025'!$M430), AF$4&lt;&gt;DATE(2025,7,4)), (SWITCH(weekday(AF$4), 1, 0, 2, if(ISBLANK('2025'!$P430), 0, 1), 3, if(ISBLANK('2025'!$Q430), 0, 1), 4, if(ISBLANK('2025'!$R430), 0, 1), 5, if(ISBLANK('2025'!$S430), 0, 1), 6, if(ISBLANK('2025'!$T430), 0, 1), 7, 0))), 1, "")</f>
        <v/>
      </c>
      <c r="AG467" s="1" t="str">
        <f>IF(AND(AND(AND(AG$4&gt;='2025'!$L430,AG$4&lt;='2025'!$M430), AG$4&lt;&gt;DATE(2025,7,4)), (SWITCH(weekday(AG$4), 1, 0, 2, if(ISBLANK('2025'!$P430), 0, 1), 3, if(ISBLANK('2025'!$Q430), 0, 1), 4, if(ISBLANK('2025'!$R430), 0, 1), 5, if(ISBLANK('2025'!$S430), 0, 1), 6, if(ISBLANK('2025'!$T430), 0, 1), 7, 0))), 1, "")</f>
        <v/>
      </c>
      <c r="AH467" s="1" t="str">
        <f>IF(AND(AND(AND(AH$4&gt;='2025'!$L430,AH$4&lt;='2025'!$M430), AH$4&lt;&gt;DATE(2025,7,4)), (SWITCH(weekday(AH$4), 1, 0, 2, if(ISBLANK('2025'!$P430), 0, 1), 3, if(ISBLANK('2025'!$Q430), 0, 1), 4, if(ISBLANK('2025'!$R430), 0, 1), 5, if(ISBLANK('2025'!$S430), 0, 1), 6, if(ISBLANK('2025'!$T430), 0, 1), 7, 0))), 1, "")</f>
        <v/>
      </c>
      <c r="AI467" s="1" t="str">
        <f>IF(AND(AND(AND(AI$4&gt;='2025'!$L430,AI$4&lt;='2025'!$M430), AI$4&lt;&gt;DATE(2025,7,4)), (SWITCH(weekday(AI$4), 1, 0, 2, if(ISBLANK('2025'!$P430), 0, 1), 3, if(ISBLANK('2025'!$Q430), 0, 1), 4, if(ISBLANK('2025'!$R430), 0, 1), 5, if(ISBLANK('2025'!$S430), 0, 1), 6, if(ISBLANK('2025'!$T430), 0, 1), 7, 0))), 1, "")</f>
        <v/>
      </c>
      <c r="AJ467" s="1" t="str">
        <f>IF(AND(AND(AND(AJ$4&gt;='2025'!$L430,AJ$4&lt;='2025'!$M430), AJ$4&lt;&gt;DATE(2025,7,4)), (SWITCH(weekday(AJ$4), 1, 0, 2, if(ISBLANK('2025'!$P430), 0, 1), 3, if(ISBLANK('2025'!$Q430), 0, 1), 4, if(ISBLANK('2025'!$R430), 0, 1), 5, if(ISBLANK('2025'!$S430), 0, 1), 6, if(ISBLANK('2025'!$T430), 0, 1), 7, 0))), 1, "")</f>
        <v/>
      </c>
      <c r="AK467" s="1" t="str">
        <f>IF(AND(AND(AND(AK$4&gt;='2025'!$L430,AK$4&lt;='2025'!$M430), AK$4&lt;&gt;DATE(2025,7,4)), (SWITCH(weekday(AK$4), 1, 0, 2, if(ISBLANK('2025'!$P430), 0, 1), 3, if(ISBLANK('2025'!$Q430), 0, 1), 4, if(ISBLANK('2025'!$R430), 0, 1), 5, if(ISBLANK('2025'!$S430), 0, 1), 6, if(ISBLANK('2025'!$T430), 0, 1), 7, 0))), 1, "")</f>
        <v/>
      </c>
      <c r="AL467" s="1" t="str">
        <f>IF(AND(AND(AND(AL$4&gt;='2025'!$L430,AL$4&lt;='2025'!$M430), AL$4&lt;&gt;DATE(2025,7,4)), (SWITCH(weekday(AL$4), 1, 0, 2, if(ISBLANK('2025'!$P430), 0, 1), 3, if(ISBLANK('2025'!$Q430), 0, 1), 4, if(ISBLANK('2025'!$R430), 0, 1), 5, if(ISBLANK('2025'!$S430), 0, 1), 6, if(ISBLANK('2025'!$T430), 0, 1), 7, 0))), 1, "")</f>
        <v/>
      </c>
      <c r="AM467" s="1" t="str">
        <f>IF(AND(AND(AND(AM$4&gt;='2025'!$L430,AM$4&lt;='2025'!$M430), AM$4&lt;&gt;DATE(2025,7,4)), (SWITCH(weekday(AM$4), 1, 0, 2, if(ISBLANK('2025'!$P430), 0, 1), 3, if(ISBLANK('2025'!$Q430), 0, 1), 4, if(ISBLANK('2025'!$R430), 0, 1), 5, if(ISBLANK('2025'!$S430), 0, 1), 6, if(ISBLANK('2025'!$T430), 0, 1), 7, 0))), 1, "")</f>
        <v/>
      </c>
      <c r="AN467" s="1" t="str">
        <f>IF(AND(AND(AND(AN$4&gt;='2025'!$L430,AN$4&lt;='2025'!$M430), AN$4&lt;&gt;DATE(2025,7,4)), (SWITCH(weekday(AN$4), 1, 0, 2, if(ISBLANK('2025'!$P430), 0, 1), 3, if(ISBLANK('2025'!$Q430), 0, 1), 4, if(ISBLANK('2025'!$R430), 0, 1), 5, if(ISBLANK('2025'!$S430), 0, 1), 6, if(ISBLANK('2025'!$T430), 0, 1), 7, 0))), 1, "")</f>
        <v/>
      </c>
      <c r="AO467" s="1" t="str">
        <f>IF(AND(AND(AND(AO$4&gt;='2025'!$L430,AO$4&lt;='2025'!$M430), AO$4&lt;&gt;DATE(2025,7,4)), (SWITCH(weekday(AO$4), 1, 0, 2, if(ISBLANK('2025'!$P430), 0, 1), 3, if(ISBLANK('2025'!$Q430), 0, 1), 4, if(ISBLANK('2025'!$R430), 0, 1), 5, if(ISBLANK('2025'!$S430), 0, 1), 6, if(ISBLANK('2025'!$T430), 0, 1), 7, 0))), 1, "")</f>
        <v/>
      </c>
      <c r="AP467" s="1" t="str">
        <f>IF(AND(AND(AND(AP$4&gt;='2025'!$L430,AP$4&lt;='2025'!$M430), AP$4&lt;&gt;DATE(2025,7,4)), (SWITCH(weekday(AP$4), 1, 0, 2, if(ISBLANK('2025'!$P430), 0, 1), 3, if(ISBLANK('2025'!$Q430), 0, 1), 4, if(ISBLANK('2025'!$R430), 0, 1), 5, if(ISBLANK('2025'!$S430), 0, 1), 6, if(ISBLANK('2025'!$T430), 0, 1), 7, 0))), 1, "")</f>
        <v/>
      </c>
      <c r="AQ467" s="1" t="str">
        <f>IF(AND(AND(AND(AQ$4&gt;='2025'!$L430,AQ$4&lt;='2025'!$M430), AQ$4&lt;&gt;DATE(2025,7,4)), (SWITCH(weekday(AQ$4), 1, 0, 2, if(ISBLANK('2025'!$P430), 0, 1), 3, if(ISBLANK('2025'!$Q430), 0, 1), 4, if(ISBLANK('2025'!$R430), 0, 1), 5, if(ISBLANK('2025'!$S430), 0, 1), 6, if(ISBLANK('2025'!$T430), 0, 1), 7, 0))), 1, "")</f>
        <v/>
      </c>
      <c r="AR467" s="1" t="str">
        <f>IF(AND(AND(AND(AR$4&gt;='2025'!$L430,AR$4&lt;='2025'!$M430), AR$4&lt;&gt;DATE(2025,7,4)), (SWITCH(weekday(AR$4), 1, 0, 2, if(ISBLANK('2025'!$P430), 0, 1), 3, if(ISBLANK('2025'!$Q430), 0, 1), 4, if(ISBLANK('2025'!$R430), 0, 1), 5, if(ISBLANK('2025'!$S430), 0, 1), 6, if(ISBLANK('2025'!$T430), 0, 1), 7, 0))), 1, "")</f>
        <v/>
      </c>
      <c r="AS467" s="1" t="str">
        <f>IF(AND(AND(AND(AS$4&gt;='2025'!$L430,AS$4&lt;='2025'!$M430), AS$4&lt;&gt;DATE(2025,7,4)), (SWITCH(weekday(AS$4), 1, 0, 2, if(ISBLANK('2025'!$P430), 0, 1), 3, if(ISBLANK('2025'!$Q430), 0, 1), 4, if(ISBLANK('2025'!$R430), 0, 1), 5, if(ISBLANK('2025'!$S430), 0, 1), 6, if(ISBLANK('2025'!$T430), 0, 1), 7, 0))), 1, "")</f>
        <v/>
      </c>
      <c r="AT467" s="1" t="str">
        <f>IF(AND(AND(AND(AT$4&gt;='2025'!$L430,AT$4&lt;='2025'!$M430), AT$4&lt;&gt;DATE(2025,7,4)), (SWITCH(weekday(AT$4), 1, 0, 2, if(ISBLANK('2025'!$P430), 0, 1), 3, if(ISBLANK('2025'!$Q430), 0, 1), 4, if(ISBLANK('2025'!$R430), 0, 1), 5, if(ISBLANK('2025'!$S430), 0, 1), 6, if(ISBLANK('2025'!$T430), 0, 1), 7, 0))), 1, "")</f>
        <v/>
      </c>
      <c r="AU467" s="1" t="str">
        <f>IF(AND(AND(AND(AU$4&gt;='2025'!$L430,AU$4&lt;='2025'!$M430), AU$4&lt;&gt;DATE(2025,7,4)), (SWITCH(weekday(AU$4), 1, 0, 2, if(ISBLANK('2025'!$P430), 0, 1), 3, if(ISBLANK('2025'!$Q430), 0, 1), 4, if(ISBLANK('2025'!$R430), 0, 1), 5, if(ISBLANK('2025'!$S430), 0, 1), 6, if(ISBLANK('2025'!$T430), 0, 1), 7, 0))), 1, "")</f>
        <v/>
      </c>
      <c r="AV467" s="1" t="str">
        <f>IF(AND(AND(AND(AV$4&gt;='2025'!$L430,AV$4&lt;='2025'!$M430), AV$4&lt;&gt;DATE(2025,7,4)), (SWITCH(weekday(AV$4), 1, 0, 2, if(ISBLANK('2025'!$P430), 0, 1), 3, if(ISBLANK('2025'!$Q430), 0, 1), 4, if(ISBLANK('2025'!$R430), 0, 1), 5, if(ISBLANK('2025'!$S430), 0, 1), 6, if(ISBLANK('2025'!$T430), 0, 1), 7, 0))), 1, "")</f>
        <v/>
      </c>
      <c r="AW467" s="1" t="str">
        <f>IF(AND(AND(AND(AW$4&gt;='2025'!$L430,AW$4&lt;='2025'!$M430), AW$4&lt;&gt;DATE(2025,7,4)), (SWITCH(weekday(AW$4), 1, 0, 2, if(ISBLANK('2025'!$P430), 0, 1), 3, if(ISBLANK('2025'!$Q430), 0, 1), 4, if(ISBLANK('2025'!$R430), 0, 1), 5, if(ISBLANK('2025'!$S430), 0, 1), 6, if(ISBLANK('2025'!$T430), 0, 1), 7, 0))), 1, "")</f>
        <v/>
      </c>
      <c r="AX467" s="1" t="str">
        <f>IF(AND(AND(AND(AX$4&gt;='2025'!$L430,AX$4&lt;='2025'!$M430), AX$4&lt;&gt;DATE(2025,7,4)), (SWITCH(weekday(AX$4), 1, 0, 2, if(ISBLANK('2025'!$P430), 0, 1), 3, if(ISBLANK('2025'!$Q430), 0, 1), 4, if(ISBLANK('2025'!$R430), 0, 1), 5, if(ISBLANK('2025'!$S430), 0, 1), 6, if(ISBLANK('2025'!$T430), 0, 1), 7, 0))), 1, "")</f>
        <v/>
      </c>
      <c r="AY467" s="1" t="str">
        <f>IF(AND(AND(AND(AY$4&gt;='2025'!$L430,AY$4&lt;='2025'!$M430), AY$4&lt;&gt;DATE(2025,7,4)), (SWITCH(weekday(AY$4), 1, 0, 2, if(ISBLANK('2025'!$P430), 0, 1), 3, if(ISBLANK('2025'!$Q430), 0, 1), 4, if(ISBLANK('2025'!$R430), 0, 1), 5, if(ISBLANK('2025'!$S430), 0, 1), 6, if(ISBLANK('2025'!$T430), 0, 1), 7, 0))), 1, "")</f>
        <v/>
      </c>
      <c r="AZ467" s="1" t="str">
        <f>IF(AND(AND(AND(AZ$4&gt;='2025'!$L430,AZ$4&lt;='2025'!$M430), AZ$4&lt;&gt;DATE(2025,7,4)), (SWITCH(weekday(AZ$4), 1, 0, 2, if(ISBLANK('2025'!$P430), 0, 1), 3, if(ISBLANK('2025'!$Q430), 0, 1), 4, if(ISBLANK('2025'!$R430), 0, 1), 5, if(ISBLANK('2025'!$S430), 0, 1), 6, if(ISBLANK('2025'!$T430), 0, 1), 7, 0))), 1, "")</f>
        <v/>
      </c>
      <c r="BA467" s="1" t="str">
        <f>IF(AND(AND(AND(BA$4&gt;='2025'!$L430,BA$4&lt;='2025'!$M430), BA$4&lt;&gt;DATE(2025,7,4)), (SWITCH(weekday(BA$4), 1, 0, 2, if(ISBLANK('2025'!$P430), 0, 1), 3, if(ISBLANK('2025'!$Q430), 0, 1), 4, if(ISBLANK('2025'!$R430), 0, 1), 5, if(ISBLANK('2025'!$S430), 0, 1), 6, if(ISBLANK('2025'!$T430), 0, 1), 7, 0))), 1, "")</f>
        <v/>
      </c>
      <c r="BB467" s="1" t="str">
        <f>IF(AND(AND(AND(BB$4&gt;='2025'!$L430,BB$4&lt;='2025'!$M430), BB$4&lt;&gt;DATE(2025,7,4)), (SWITCH(weekday(BB$4), 1, 0, 2, if(ISBLANK('2025'!$P430), 0, 1), 3, if(ISBLANK('2025'!$Q430), 0, 1), 4, if(ISBLANK('2025'!$R430), 0, 1), 5, if(ISBLANK('2025'!$S430), 0, 1), 6, if(ISBLANK('2025'!$T430), 0, 1), 7, 0))), 1, "")</f>
        <v/>
      </c>
      <c r="BC467" s="1" t="str">
        <f>IF(AND(AND(AND(BC$4&gt;='2025'!$L430,BC$4&lt;='2025'!$M430), BC$4&lt;&gt;DATE(2025,7,4)), (SWITCH(weekday(BC$4), 1, 0, 2, if(ISBLANK('2025'!$P430), 0, 1), 3, if(ISBLANK('2025'!$Q430), 0, 1), 4, if(ISBLANK('2025'!$R430), 0, 1), 5, if(ISBLANK('2025'!$S430), 0, 1), 6, if(ISBLANK('2025'!$T430), 0, 1), 7, 0))), 1, "")</f>
        <v/>
      </c>
      <c r="BD467" s="1" t="str">
        <f>IF(AND(AND(AND(BD$4&gt;='2025'!$L430,BD$4&lt;='2025'!$M430), BD$4&lt;&gt;DATE(2025,7,4)), (SWITCH(weekday(BD$4), 1, 0, 2, if(ISBLANK('2025'!$P430), 0, 1), 3, if(ISBLANK('2025'!$Q430), 0, 1), 4, if(ISBLANK('2025'!$R430), 0, 1), 5, if(ISBLANK('2025'!$S430), 0, 1), 6, if(ISBLANK('2025'!$T430), 0, 1), 7, 0))), 1, "")</f>
        <v/>
      </c>
      <c r="BE467" s="1" t="str">
        <f>IF(AND(AND(AND(BE$4&gt;='2025'!$L430,BE$4&lt;='2025'!$M430), BE$4&lt;&gt;DATE(2025,7,4)), (SWITCH(weekday(BE$4), 1, 0, 2, if(ISBLANK('2025'!$P430), 0, 1), 3, if(ISBLANK('2025'!$Q430), 0, 1), 4, if(ISBLANK('2025'!$R430), 0, 1), 5, if(ISBLANK('2025'!$S430), 0, 1), 6, if(ISBLANK('2025'!$T430), 0, 1), 7, 0))), 1, "")</f>
        <v/>
      </c>
    </row>
    <row r="468">
      <c r="A468" s="1">
        <f t="shared" si="3"/>
        <v>468</v>
      </c>
      <c r="B468" s="1" t="str">
        <f>'2025'!D431</f>
        <v/>
      </c>
      <c r="C468" s="1" t="str">
        <f>'2025'!H431</f>
        <v/>
      </c>
      <c r="D468" s="1" t="str">
        <f>IF(AND(AND(AND(D$4&gt;='2025'!$L431,D$4&lt;='2025'!$M431), D$4&lt;&gt;DATE(2025,7,4)), (SWITCH(weekday(D$4), 1, 0, 2, if(ISBLANK('2025'!$P431), 0, 1), 3, if(ISBLANK('2025'!$Q431), 0, 1), 4, if(ISBLANK('2025'!$R431), 0, 1), 5, if(ISBLANK('2025'!$S431), 0, 1), 6, if(ISBLANK('2025'!$T431), 0, 1), 7, 0))), 1, "")</f>
        <v/>
      </c>
      <c r="E468" s="1" t="str">
        <f>IF(AND(AND(AND(E$4&gt;='2025'!$L431,E$4&lt;='2025'!$M431), E$4&lt;&gt;DATE(2025,7,4)), (SWITCH(weekday(E$4), 1, 0, 2, if(ISBLANK('2025'!$P431), 0, 1), 3, if(ISBLANK('2025'!$Q431), 0, 1), 4, if(ISBLANK('2025'!$R431), 0, 1), 5, if(ISBLANK('2025'!$S431), 0, 1), 6, if(ISBLANK('2025'!$T431), 0, 1), 7, 0))), 1, "")</f>
        <v/>
      </c>
      <c r="F468" s="1" t="str">
        <f>IF(AND(AND(AND(F$4&gt;='2025'!$L431,F$4&lt;='2025'!$M431), F$4&lt;&gt;DATE(2025,7,4)), (SWITCH(weekday(F$4), 1, 0, 2, if(ISBLANK('2025'!$P431), 0, 1), 3, if(ISBLANK('2025'!$Q431), 0, 1), 4, if(ISBLANK('2025'!$R431), 0, 1), 5, if(ISBLANK('2025'!$S431), 0, 1), 6, if(ISBLANK('2025'!$T431), 0, 1), 7, 0))), 1, "")</f>
        <v/>
      </c>
      <c r="G468" s="1" t="str">
        <f>IF(AND(AND(AND(G$4&gt;='2025'!$L431,G$4&lt;='2025'!$M431), G$4&lt;&gt;DATE(2025,7,4)), (SWITCH(weekday(G$4), 1, 0, 2, if(ISBLANK('2025'!$P431), 0, 1), 3, if(ISBLANK('2025'!$Q431), 0, 1), 4, if(ISBLANK('2025'!$R431), 0, 1), 5, if(ISBLANK('2025'!$S431), 0, 1), 6, if(ISBLANK('2025'!$T431), 0, 1), 7, 0))), 1, "")</f>
        <v/>
      </c>
      <c r="H468" s="1" t="str">
        <f>IF(AND(AND(AND(H$4&gt;='2025'!$L431,H$4&lt;='2025'!$M431), H$4&lt;&gt;DATE(2025,7,4)), (SWITCH(weekday(H$4), 1, 0, 2, if(ISBLANK('2025'!$P431), 0, 1), 3, if(ISBLANK('2025'!$Q431), 0, 1), 4, if(ISBLANK('2025'!$R431), 0, 1), 5, if(ISBLANK('2025'!$S431), 0, 1), 6, if(ISBLANK('2025'!$T431), 0, 1), 7, 0))), 1, "")</f>
        <v/>
      </c>
      <c r="I468" s="1" t="str">
        <f>IF(AND(AND(AND(I$4&gt;='2025'!$L431,I$4&lt;='2025'!$M431), I$4&lt;&gt;DATE(2025,7,4)), (SWITCH(weekday(I$4), 1, 0, 2, if(ISBLANK('2025'!$P431), 0, 1), 3, if(ISBLANK('2025'!$Q431), 0, 1), 4, if(ISBLANK('2025'!$R431), 0, 1), 5, if(ISBLANK('2025'!$S431), 0, 1), 6, if(ISBLANK('2025'!$T431), 0, 1), 7, 0))), 1, "")</f>
        <v/>
      </c>
      <c r="J468" s="1" t="str">
        <f>IF(AND(AND(AND(J$4&gt;='2025'!$L431,J$4&lt;='2025'!$M431), J$4&lt;&gt;DATE(2025,7,4)), (SWITCH(weekday(J$4), 1, 0, 2, if(ISBLANK('2025'!$P431), 0, 1), 3, if(ISBLANK('2025'!$Q431), 0, 1), 4, if(ISBLANK('2025'!$R431), 0, 1), 5, if(ISBLANK('2025'!$S431), 0, 1), 6, if(ISBLANK('2025'!$T431), 0, 1), 7, 0))), 1, "")</f>
        <v/>
      </c>
      <c r="K468" s="1" t="str">
        <f>IF(AND(AND(AND(K$4&gt;='2025'!$L431,K$4&lt;='2025'!$M431), K$4&lt;&gt;DATE(2025,7,4)), (SWITCH(weekday(K$4), 1, 0, 2, if(ISBLANK('2025'!$P431), 0, 1), 3, if(ISBLANK('2025'!$Q431), 0, 1), 4, if(ISBLANK('2025'!$R431), 0, 1), 5, if(ISBLANK('2025'!$S431), 0, 1), 6, if(ISBLANK('2025'!$T431), 0, 1), 7, 0))), 1, "")</f>
        <v/>
      </c>
      <c r="L468" s="1" t="str">
        <f>IF(AND(AND(AND(L$4&gt;='2025'!$L431,L$4&lt;='2025'!$M431), L$4&lt;&gt;DATE(2025,7,4)), (SWITCH(weekday(L$4), 1, 0, 2, if(ISBLANK('2025'!$P431), 0, 1), 3, if(ISBLANK('2025'!$Q431), 0, 1), 4, if(ISBLANK('2025'!$R431), 0, 1), 5, if(ISBLANK('2025'!$S431), 0, 1), 6, if(ISBLANK('2025'!$T431), 0, 1), 7, 0))), 1, "")</f>
        <v/>
      </c>
      <c r="M468" s="1" t="str">
        <f>IF(AND(AND(AND(M$4&gt;='2025'!$L431,M$4&lt;='2025'!$M431), M$4&lt;&gt;DATE(2025,7,4)), (SWITCH(weekday(M$4), 1, 0, 2, if(ISBLANK('2025'!$P431), 0, 1), 3, if(ISBLANK('2025'!$Q431), 0, 1), 4, if(ISBLANK('2025'!$R431), 0, 1), 5, if(ISBLANK('2025'!$S431), 0, 1), 6, if(ISBLANK('2025'!$T431), 0, 1), 7, 0))), 1, "")</f>
        <v/>
      </c>
      <c r="N468" s="1" t="str">
        <f>IF(AND(AND(AND(N$4&gt;='2025'!$L431,N$4&lt;='2025'!$M431), N$4&lt;&gt;DATE(2025,7,4)), (SWITCH(weekday(N$4), 1, 0, 2, if(ISBLANK('2025'!$P431), 0, 1), 3, if(ISBLANK('2025'!$Q431), 0, 1), 4, if(ISBLANK('2025'!$R431), 0, 1), 5, if(ISBLANK('2025'!$S431), 0, 1), 6, if(ISBLANK('2025'!$T431), 0, 1), 7, 0))), 1, "")</f>
        <v/>
      </c>
      <c r="O468" s="1" t="str">
        <f>IF(AND(AND(AND(O$4&gt;='2025'!$L431,O$4&lt;='2025'!$M431), O$4&lt;&gt;DATE(2025,7,4)), (SWITCH(weekday(O$4), 1, 0, 2, if(ISBLANK('2025'!$P431), 0, 1), 3, if(ISBLANK('2025'!$Q431), 0, 1), 4, if(ISBLANK('2025'!$R431), 0, 1), 5, if(ISBLANK('2025'!$S431), 0, 1), 6, if(ISBLANK('2025'!$T431), 0, 1), 7, 0))), 1, "")</f>
        <v/>
      </c>
      <c r="P468" s="1" t="str">
        <f>IF(AND(AND(AND(P$4&gt;='2025'!$L431,P$4&lt;='2025'!$M431), P$4&lt;&gt;DATE(2025,7,4)), (SWITCH(weekday(P$4), 1, 0, 2, if(ISBLANK('2025'!$P431), 0, 1), 3, if(ISBLANK('2025'!$Q431), 0, 1), 4, if(ISBLANK('2025'!$R431), 0, 1), 5, if(ISBLANK('2025'!$S431), 0, 1), 6, if(ISBLANK('2025'!$T431), 0, 1), 7, 0))), 1, "")</f>
        <v/>
      </c>
      <c r="Q468" s="1" t="str">
        <f>IF(AND(AND(AND(Q$4&gt;='2025'!$L431,Q$4&lt;='2025'!$M431), Q$4&lt;&gt;DATE(2025,7,4)), (SWITCH(weekday(Q$4), 1, 0, 2, if(ISBLANK('2025'!$P431), 0, 1), 3, if(ISBLANK('2025'!$Q431), 0, 1), 4, if(ISBLANK('2025'!$R431), 0, 1), 5, if(ISBLANK('2025'!$S431), 0, 1), 6, if(ISBLANK('2025'!$T431), 0, 1), 7, 0))), 1, "")</f>
        <v/>
      </c>
      <c r="R468" s="1" t="str">
        <f>IF(AND(AND(AND(R$4&gt;='2025'!$L431,R$4&lt;='2025'!$M431), R$4&lt;&gt;DATE(2025,7,4)), (SWITCH(weekday(R$4), 1, 0, 2, if(ISBLANK('2025'!$P431), 0, 1), 3, if(ISBLANK('2025'!$Q431), 0, 1), 4, if(ISBLANK('2025'!$R431), 0, 1), 5, if(ISBLANK('2025'!$S431), 0, 1), 6, if(ISBLANK('2025'!$T431), 0, 1), 7, 0))), 1, "")</f>
        <v/>
      </c>
      <c r="S468" s="1" t="str">
        <f>IF(AND(AND(AND(S$4&gt;='2025'!$L431,S$4&lt;='2025'!$M431), S$4&lt;&gt;DATE(2025,7,4)), (SWITCH(weekday(S$4), 1, 0, 2, if(ISBLANK('2025'!$P431), 0, 1), 3, if(ISBLANK('2025'!$Q431), 0, 1), 4, if(ISBLANK('2025'!$R431), 0, 1), 5, if(ISBLANK('2025'!$S431), 0, 1), 6, if(ISBLANK('2025'!$T431), 0, 1), 7, 0))), 1, "")</f>
        <v/>
      </c>
      <c r="T468" s="1" t="str">
        <f>IF(AND(AND(AND(T$4&gt;='2025'!$L431,T$4&lt;='2025'!$M431), T$4&lt;&gt;DATE(2025,7,4)), (SWITCH(weekday(T$4), 1, 0, 2, if(ISBLANK('2025'!$P431), 0, 1), 3, if(ISBLANK('2025'!$Q431), 0, 1), 4, if(ISBLANK('2025'!$R431), 0, 1), 5, if(ISBLANK('2025'!$S431), 0, 1), 6, if(ISBLANK('2025'!$T431), 0, 1), 7, 0))), 1, "")</f>
        <v/>
      </c>
      <c r="U468" s="1" t="str">
        <f>IF(AND(AND(AND(U$4&gt;='2025'!$L431,U$4&lt;='2025'!$M431), U$4&lt;&gt;DATE(2025,7,4)), (SWITCH(weekday(U$4), 1, 0, 2, if(ISBLANK('2025'!$P431), 0, 1), 3, if(ISBLANK('2025'!$Q431), 0, 1), 4, if(ISBLANK('2025'!$R431), 0, 1), 5, if(ISBLANK('2025'!$S431), 0, 1), 6, if(ISBLANK('2025'!$T431), 0, 1), 7, 0))), 1, "")</f>
        <v/>
      </c>
      <c r="V468" s="1" t="str">
        <f>IF(AND(AND(AND(V$4&gt;='2025'!$L431,V$4&lt;='2025'!$M431), V$4&lt;&gt;DATE(2025,7,4)), (SWITCH(weekday(V$4), 1, 0, 2, if(ISBLANK('2025'!$P431), 0, 1), 3, if(ISBLANK('2025'!$Q431), 0, 1), 4, if(ISBLANK('2025'!$R431), 0, 1), 5, if(ISBLANK('2025'!$S431), 0, 1), 6, if(ISBLANK('2025'!$T431), 0, 1), 7, 0))), 1, "")</f>
        <v/>
      </c>
      <c r="W468" s="1" t="str">
        <f>IF(AND(AND(AND(W$4&gt;='2025'!$L431,W$4&lt;='2025'!$M431), W$4&lt;&gt;DATE(2025,7,4)), (SWITCH(weekday(W$4), 1, 0, 2, if(ISBLANK('2025'!$P431), 0, 1), 3, if(ISBLANK('2025'!$Q431), 0, 1), 4, if(ISBLANK('2025'!$R431), 0, 1), 5, if(ISBLANK('2025'!$S431), 0, 1), 6, if(ISBLANK('2025'!$T431), 0, 1), 7, 0))), 1, "")</f>
        <v/>
      </c>
      <c r="X468" s="1" t="str">
        <f>IF(AND(AND(AND(X$4&gt;='2025'!$L431,X$4&lt;='2025'!$M431), X$4&lt;&gt;DATE(2025,7,4)), (SWITCH(weekday(X$4), 1, 0, 2, if(ISBLANK('2025'!$P431), 0, 1), 3, if(ISBLANK('2025'!$Q431), 0, 1), 4, if(ISBLANK('2025'!$R431), 0, 1), 5, if(ISBLANK('2025'!$S431), 0, 1), 6, if(ISBLANK('2025'!$T431), 0, 1), 7, 0))), 1, "")</f>
        <v/>
      </c>
      <c r="Y468" s="1" t="str">
        <f>IF(AND(AND(AND(Y$4&gt;='2025'!$L431,Y$4&lt;='2025'!$M431), Y$4&lt;&gt;DATE(2025,7,4)), (SWITCH(weekday(Y$4), 1, 0, 2, if(ISBLANK('2025'!$P431), 0, 1), 3, if(ISBLANK('2025'!$Q431), 0, 1), 4, if(ISBLANK('2025'!$R431), 0, 1), 5, if(ISBLANK('2025'!$S431), 0, 1), 6, if(ISBLANK('2025'!$T431), 0, 1), 7, 0))), 1, "")</f>
        <v/>
      </c>
      <c r="Z468" s="1" t="str">
        <f>IF(AND(AND(AND(Z$4&gt;='2025'!$L431,Z$4&lt;='2025'!$M431), Z$4&lt;&gt;DATE(2025,7,4)), (SWITCH(weekday(Z$4), 1, 0, 2, if(ISBLANK('2025'!$P431), 0, 1), 3, if(ISBLANK('2025'!$Q431), 0, 1), 4, if(ISBLANK('2025'!$R431), 0, 1), 5, if(ISBLANK('2025'!$S431), 0, 1), 6, if(ISBLANK('2025'!$T431), 0, 1), 7, 0))), 1, "")</f>
        <v/>
      </c>
      <c r="AA468" s="1" t="str">
        <f>IF(AND(AND(AND(AA$4&gt;='2025'!$L431,AA$4&lt;='2025'!$M431), AA$4&lt;&gt;DATE(2025,7,4)), (SWITCH(weekday(AA$4), 1, 0, 2, if(ISBLANK('2025'!$P431), 0, 1), 3, if(ISBLANK('2025'!$Q431), 0, 1), 4, if(ISBLANK('2025'!$R431), 0, 1), 5, if(ISBLANK('2025'!$S431), 0, 1), 6, if(ISBLANK('2025'!$T431), 0, 1), 7, 0))), 1, "")</f>
        <v/>
      </c>
      <c r="AB468" s="1" t="str">
        <f>IF(AND(AND(AND(AB$4&gt;='2025'!$L431,AB$4&lt;='2025'!$M431), AB$4&lt;&gt;DATE(2025,7,4)), (SWITCH(weekday(AB$4), 1, 0, 2, if(ISBLANK('2025'!$P431), 0, 1), 3, if(ISBLANK('2025'!$Q431), 0, 1), 4, if(ISBLANK('2025'!$R431), 0, 1), 5, if(ISBLANK('2025'!$S431), 0, 1), 6, if(ISBLANK('2025'!$T431), 0, 1), 7, 0))), 1, "")</f>
        <v/>
      </c>
      <c r="AC468" s="1" t="str">
        <f>IF(AND(AND(AND(AC$4&gt;='2025'!$L431,AC$4&lt;='2025'!$M431), AC$4&lt;&gt;DATE(2025,7,4)), (SWITCH(weekday(AC$4), 1, 0, 2, if(ISBLANK('2025'!$P431), 0, 1), 3, if(ISBLANK('2025'!$Q431), 0, 1), 4, if(ISBLANK('2025'!$R431), 0, 1), 5, if(ISBLANK('2025'!$S431), 0, 1), 6, if(ISBLANK('2025'!$T431), 0, 1), 7, 0))), 1, "")</f>
        <v/>
      </c>
      <c r="AD468" s="1" t="str">
        <f>IF(AND(AND(AND(AD$4&gt;='2025'!$L431,AD$4&lt;='2025'!$M431), AD$4&lt;&gt;DATE(2025,7,4)), (SWITCH(weekday(AD$4), 1, 0, 2, if(ISBLANK('2025'!$P431), 0, 1), 3, if(ISBLANK('2025'!$Q431), 0, 1), 4, if(ISBLANK('2025'!$R431), 0, 1), 5, if(ISBLANK('2025'!$S431), 0, 1), 6, if(ISBLANK('2025'!$T431), 0, 1), 7, 0))), 1, "")</f>
        <v/>
      </c>
      <c r="AE468" s="1" t="str">
        <f>IF(AND(AND(AND(AE$4&gt;='2025'!$L431,AE$4&lt;='2025'!$M431), AE$4&lt;&gt;DATE(2025,7,4)), (SWITCH(weekday(AE$4), 1, 0, 2, if(ISBLANK('2025'!$P431), 0, 1), 3, if(ISBLANK('2025'!$Q431), 0, 1), 4, if(ISBLANK('2025'!$R431), 0, 1), 5, if(ISBLANK('2025'!$S431), 0, 1), 6, if(ISBLANK('2025'!$T431), 0, 1), 7, 0))), 1, "")</f>
        <v/>
      </c>
      <c r="AF468" s="1" t="str">
        <f>IF(AND(AND(AND(AF$4&gt;='2025'!$L431,AF$4&lt;='2025'!$M431), AF$4&lt;&gt;DATE(2025,7,4)), (SWITCH(weekday(AF$4), 1, 0, 2, if(ISBLANK('2025'!$P431), 0, 1), 3, if(ISBLANK('2025'!$Q431), 0, 1), 4, if(ISBLANK('2025'!$R431), 0, 1), 5, if(ISBLANK('2025'!$S431), 0, 1), 6, if(ISBLANK('2025'!$T431), 0, 1), 7, 0))), 1, "")</f>
        <v/>
      </c>
      <c r="AG468" s="1" t="str">
        <f>IF(AND(AND(AND(AG$4&gt;='2025'!$L431,AG$4&lt;='2025'!$M431), AG$4&lt;&gt;DATE(2025,7,4)), (SWITCH(weekday(AG$4), 1, 0, 2, if(ISBLANK('2025'!$P431), 0, 1), 3, if(ISBLANK('2025'!$Q431), 0, 1), 4, if(ISBLANK('2025'!$R431), 0, 1), 5, if(ISBLANK('2025'!$S431), 0, 1), 6, if(ISBLANK('2025'!$T431), 0, 1), 7, 0))), 1, "")</f>
        <v/>
      </c>
      <c r="AH468" s="1" t="str">
        <f>IF(AND(AND(AND(AH$4&gt;='2025'!$L431,AH$4&lt;='2025'!$M431), AH$4&lt;&gt;DATE(2025,7,4)), (SWITCH(weekday(AH$4), 1, 0, 2, if(ISBLANK('2025'!$P431), 0, 1), 3, if(ISBLANK('2025'!$Q431), 0, 1), 4, if(ISBLANK('2025'!$R431), 0, 1), 5, if(ISBLANK('2025'!$S431), 0, 1), 6, if(ISBLANK('2025'!$T431), 0, 1), 7, 0))), 1, "")</f>
        <v/>
      </c>
      <c r="AI468" s="1" t="str">
        <f>IF(AND(AND(AND(AI$4&gt;='2025'!$L431,AI$4&lt;='2025'!$M431), AI$4&lt;&gt;DATE(2025,7,4)), (SWITCH(weekday(AI$4), 1, 0, 2, if(ISBLANK('2025'!$P431), 0, 1), 3, if(ISBLANK('2025'!$Q431), 0, 1), 4, if(ISBLANK('2025'!$R431), 0, 1), 5, if(ISBLANK('2025'!$S431), 0, 1), 6, if(ISBLANK('2025'!$T431), 0, 1), 7, 0))), 1, "")</f>
        <v/>
      </c>
      <c r="AJ468" s="1" t="str">
        <f>IF(AND(AND(AND(AJ$4&gt;='2025'!$L431,AJ$4&lt;='2025'!$M431), AJ$4&lt;&gt;DATE(2025,7,4)), (SWITCH(weekday(AJ$4), 1, 0, 2, if(ISBLANK('2025'!$P431), 0, 1), 3, if(ISBLANK('2025'!$Q431), 0, 1), 4, if(ISBLANK('2025'!$R431), 0, 1), 5, if(ISBLANK('2025'!$S431), 0, 1), 6, if(ISBLANK('2025'!$T431), 0, 1), 7, 0))), 1, "")</f>
        <v/>
      </c>
      <c r="AK468" s="1" t="str">
        <f>IF(AND(AND(AND(AK$4&gt;='2025'!$L431,AK$4&lt;='2025'!$M431), AK$4&lt;&gt;DATE(2025,7,4)), (SWITCH(weekday(AK$4), 1, 0, 2, if(ISBLANK('2025'!$P431), 0, 1), 3, if(ISBLANK('2025'!$Q431), 0, 1), 4, if(ISBLANK('2025'!$R431), 0, 1), 5, if(ISBLANK('2025'!$S431), 0, 1), 6, if(ISBLANK('2025'!$T431), 0, 1), 7, 0))), 1, "")</f>
        <v/>
      </c>
      <c r="AL468" s="1" t="str">
        <f>IF(AND(AND(AND(AL$4&gt;='2025'!$L431,AL$4&lt;='2025'!$M431), AL$4&lt;&gt;DATE(2025,7,4)), (SWITCH(weekday(AL$4), 1, 0, 2, if(ISBLANK('2025'!$P431), 0, 1), 3, if(ISBLANK('2025'!$Q431), 0, 1), 4, if(ISBLANK('2025'!$R431), 0, 1), 5, if(ISBLANK('2025'!$S431), 0, 1), 6, if(ISBLANK('2025'!$T431), 0, 1), 7, 0))), 1, "")</f>
        <v/>
      </c>
      <c r="AM468" s="1" t="str">
        <f>IF(AND(AND(AND(AM$4&gt;='2025'!$L431,AM$4&lt;='2025'!$M431), AM$4&lt;&gt;DATE(2025,7,4)), (SWITCH(weekday(AM$4), 1, 0, 2, if(ISBLANK('2025'!$P431), 0, 1), 3, if(ISBLANK('2025'!$Q431), 0, 1), 4, if(ISBLANK('2025'!$R431), 0, 1), 5, if(ISBLANK('2025'!$S431), 0, 1), 6, if(ISBLANK('2025'!$T431), 0, 1), 7, 0))), 1, "")</f>
        <v/>
      </c>
      <c r="AN468" s="1" t="str">
        <f>IF(AND(AND(AND(AN$4&gt;='2025'!$L431,AN$4&lt;='2025'!$M431), AN$4&lt;&gt;DATE(2025,7,4)), (SWITCH(weekday(AN$4), 1, 0, 2, if(ISBLANK('2025'!$P431), 0, 1), 3, if(ISBLANK('2025'!$Q431), 0, 1), 4, if(ISBLANK('2025'!$R431), 0, 1), 5, if(ISBLANK('2025'!$S431), 0, 1), 6, if(ISBLANK('2025'!$T431), 0, 1), 7, 0))), 1, "")</f>
        <v/>
      </c>
      <c r="AO468" s="1" t="str">
        <f>IF(AND(AND(AND(AO$4&gt;='2025'!$L431,AO$4&lt;='2025'!$M431), AO$4&lt;&gt;DATE(2025,7,4)), (SWITCH(weekday(AO$4), 1, 0, 2, if(ISBLANK('2025'!$P431), 0, 1), 3, if(ISBLANK('2025'!$Q431), 0, 1), 4, if(ISBLANK('2025'!$R431), 0, 1), 5, if(ISBLANK('2025'!$S431), 0, 1), 6, if(ISBLANK('2025'!$T431), 0, 1), 7, 0))), 1, "")</f>
        <v/>
      </c>
      <c r="AP468" s="1" t="str">
        <f>IF(AND(AND(AND(AP$4&gt;='2025'!$L431,AP$4&lt;='2025'!$M431), AP$4&lt;&gt;DATE(2025,7,4)), (SWITCH(weekday(AP$4), 1, 0, 2, if(ISBLANK('2025'!$P431), 0, 1), 3, if(ISBLANK('2025'!$Q431), 0, 1), 4, if(ISBLANK('2025'!$R431), 0, 1), 5, if(ISBLANK('2025'!$S431), 0, 1), 6, if(ISBLANK('2025'!$T431), 0, 1), 7, 0))), 1, "")</f>
        <v/>
      </c>
      <c r="AQ468" s="1" t="str">
        <f>IF(AND(AND(AND(AQ$4&gt;='2025'!$L431,AQ$4&lt;='2025'!$M431), AQ$4&lt;&gt;DATE(2025,7,4)), (SWITCH(weekday(AQ$4), 1, 0, 2, if(ISBLANK('2025'!$P431), 0, 1), 3, if(ISBLANK('2025'!$Q431), 0, 1), 4, if(ISBLANK('2025'!$R431), 0, 1), 5, if(ISBLANK('2025'!$S431), 0, 1), 6, if(ISBLANK('2025'!$T431), 0, 1), 7, 0))), 1, "")</f>
        <v/>
      </c>
      <c r="AR468" s="1" t="str">
        <f>IF(AND(AND(AND(AR$4&gt;='2025'!$L431,AR$4&lt;='2025'!$M431), AR$4&lt;&gt;DATE(2025,7,4)), (SWITCH(weekday(AR$4), 1, 0, 2, if(ISBLANK('2025'!$P431), 0, 1), 3, if(ISBLANK('2025'!$Q431), 0, 1), 4, if(ISBLANK('2025'!$R431), 0, 1), 5, if(ISBLANK('2025'!$S431), 0, 1), 6, if(ISBLANK('2025'!$T431), 0, 1), 7, 0))), 1, "")</f>
        <v/>
      </c>
      <c r="AS468" s="1" t="str">
        <f>IF(AND(AND(AND(AS$4&gt;='2025'!$L431,AS$4&lt;='2025'!$M431), AS$4&lt;&gt;DATE(2025,7,4)), (SWITCH(weekday(AS$4), 1, 0, 2, if(ISBLANK('2025'!$P431), 0, 1), 3, if(ISBLANK('2025'!$Q431), 0, 1), 4, if(ISBLANK('2025'!$R431), 0, 1), 5, if(ISBLANK('2025'!$S431), 0, 1), 6, if(ISBLANK('2025'!$T431), 0, 1), 7, 0))), 1, "")</f>
        <v/>
      </c>
      <c r="AT468" s="1" t="str">
        <f>IF(AND(AND(AND(AT$4&gt;='2025'!$L431,AT$4&lt;='2025'!$M431), AT$4&lt;&gt;DATE(2025,7,4)), (SWITCH(weekday(AT$4), 1, 0, 2, if(ISBLANK('2025'!$P431), 0, 1), 3, if(ISBLANK('2025'!$Q431), 0, 1), 4, if(ISBLANK('2025'!$R431), 0, 1), 5, if(ISBLANK('2025'!$S431), 0, 1), 6, if(ISBLANK('2025'!$T431), 0, 1), 7, 0))), 1, "")</f>
        <v/>
      </c>
      <c r="AU468" s="1" t="str">
        <f>IF(AND(AND(AND(AU$4&gt;='2025'!$L431,AU$4&lt;='2025'!$M431), AU$4&lt;&gt;DATE(2025,7,4)), (SWITCH(weekday(AU$4), 1, 0, 2, if(ISBLANK('2025'!$P431), 0, 1), 3, if(ISBLANK('2025'!$Q431), 0, 1), 4, if(ISBLANK('2025'!$R431), 0, 1), 5, if(ISBLANK('2025'!$S431), 0, 1), 6, if(ISBLANK('2025'!$T431), 0, 1), 7, 0))), 1, "")</f>
        <v/>
      </c>
      <c r="AV468" s="1" t="str">
        <f>IF(AND(AND(AND(AV$4&gt;='2025'!$L431,AV$4&lt;='2025'!$M431), AV$4&lt;&gt;DATE(2025,7,4)), (SWITCH(weekday(AV$4), 1, 0, 2, if(ISBLANK('2025'!$P431), 0, 1), 3, if(ISBLANK('2025'!$Q431), 0, 1), 4, if(ISBLANK('2025'!$R431), 0, 1), 5, if(ISBLANK('2025'!$S431), 0, 1), 6, if(ISBLANK('2025'!$T431), 0, 1), 7, 0))), 1, "")</f>
        <v/>
      </c>
      <c r="AW468" s="1" t="str">
        <f>IF(AND(AND(AND(AW$4&gt;='2025'!$L431,AW$4&lt;='2025'!$M431), AW$4&lt;&gt;DATE(2025,7,4)), (SWITCH(weekday(AW$4), 1, 0, 2, if(ISBLANK('2025'!$P431), 0, 1), 3, if(ISBLANK('2025'!$Q431), 0, 1), 4, if(ISBLANK('2025'!$R431), 0, 1), 5, if(ISBLANK('2025'!$S431), 0, 1), 6, if(ISBLANK('2025'!$T431), 0, 1), 7, 0))), 1, "")</f>
        <v/>
      </c>
      <c r="AX468" s="1" t="str">
        <f>IF(AND(AND(AND(AX$4&gt;='2025'!$L431,AX$4&lt;='2025'!$M431), AX$4&lt;&gt;DATE(2025,7,4)), (SWITCH(weekday(AX$4), 1, 0, 2, if(ISBLANK('2025'!$P431), 0, 1), 3, if(ISBLANK('2025'!$Q431), 0, 1), 4, if(ISBLANK('2025'!$R431), 0, 1), 5, if(ISBLANK('2025'!$S431), 0, 1), 6, if(ISBLANK('2025'!$T431), 0, 1), 7, 0))), 1, "")</f>
        <v/>
      </c>
      <c r="AY468" s="1" t="str">
        <f>IF(AND(AND(AND(AY$4&gt;='2025'!$L431,AY$4&lt;='2025'!$M431), AY$4&lt;&gt;DATE(2025,7,4)), (SWITCH(weekday(AY$4), 1, 0, 2, if(ISBLANK('2025'!$P431), 0, 1), 3, if(ISBLANK('2025'!$Q431), 0, 1), 4, if(ISBLANK('2025'!$R431), 0, 1), 5, if(ISBLANK('2025'!$S431), 0, 1), 6, if(ISBLANK('2025'!$T431), 0, 1), 7, 0))), 1, "")</f>
        <v/>
      </c>
      <c r="AZ468" s="1" t="str">
        <f>IF(AND(AND(AND(AZ$4&gt;='2025'!$L431,AZ$4&lt;='2025'!$M431), AZ$4&lt;&gt;DATE(2025,7,4)), (SWITCH(weekday(AZ$4), 1, 0, 2, if(ISBLANK('2025'!$P431), 0, 1), 3, if(ISBLANK('2025'!$Q431), 0, 1), 4, if(ISBLANK('2025'!$R431), 0, 1), 5, if(ISBLANK('2025'!$S431), 0, 1), 6, if(ISBLANK('2025'!$T431), 0, 1), 7, 0))), 1, "")</f>
        <v/>
      </c>
      <c r="BA468" s="1" t="str">
        <f>IF(AND(AND(AND(BA$4&gt;='2025'!$L431,BA$4&lt;='2025'!$M431), BA$4&lt;&gt;DATE(2025,7,4)), (SWITCH(weekday(BA$4), 1, 0, 2, if(ISBLANK('2025'!$P431), 0, 1), 3, if(ISBLANK('2025'!$Q431), 0, 1), 4, if(ISBLANK('2025'!$R431), 0, 1), 5, if(ISBLANK('2025'!$S431), 0, 1), 6, if(ISBLANK('2025'!$T431), 0, 1), 7, 0))), 1, "")</f>
        <v/>
      </c>
      <c r="BB468" s="1" t="str">
        <f>IF(AND(AND(AND(BB$4&gt;='2025'!$L431,BB$4&lt;='2025'!$M431), BB$4&lt;&gt;DATE(2025,7,4)), (SWITCH(weekday(BB$4), 1, 0, 2, if(ISBLANK('2025'!$P431), 0, 1), 3, if(ISBLANK('2025'!$Q431), 0, 1), 4, if(ISBLANK('2025'!$R431), 0, 1), 5, if(ISBLANK('2025'!$S431), 0, 1), 6, if(ISBLANK('2025'!$T431), 0, 1), 7, 0))), 1, "")</f>
        <v/>
      </c>
      <c r="BC468" s="1" t="str">
        <f>IF(AND(AND(AND(BC$4&gt;='2025'!$L431,BC$4&lt;='2025'!$M431), BC$4&lt;&gt;DATE(2025,7,4)), (SWITCH(weekday(BC$4), 1, 0, 2, if(ISBLANK('2025'!$P431), 0, 1), 3, if(ISBLANK('2025'!$Q431), 0, 1), 4, if(ISBLANK('2025'!$R431), 0, 1), 5, if(ISBLANK('2025'!$S431), 0, 1), 6, if(ISBLANK('2025'!$T431), 0, 1), 7, 0))), 1, "")</f>
        <v/>
      </c>
      <c r="BD468" s="1" t="str">
        <f>IF(AND(AND(AND(BD$4&gt;='2025'!$L431,BD$4&lt;='2025'!$M431), BD$4&lt;&gt;DATE(2025,7,4)), (SWITCH(weekday(BD$4), 1, 0, 2, if(ISBLANK('2025'!$P431), 0, 1), 3, if(ISBLANK('2025'!$Q431), 0, 1), 4, if(ISBLANK('2025'!$R431), 0, 1), 5, if(ISBLANK('2025'!$S431), 0, 1), 6, if(ISBLANK('2025'!$T431), 0, 1), 7, 0))), 1, "")</f>
        <v/>
      </c>
      <c r="BE468" s="1" t="str">
        <f>IF(AND(AND(AND(BE$4&gt;='2025'!$L431,BE$4&lt;='2025'!$M431), BE$4&lt;&gt;DATE(2025,7,4)), (SWITCH(weekday(BE$4), 1, 0, 2, if(ISBLANK('2025'!$P431), 0, 1), 3, if(ISBLANK('2025'!$Q431), 0, 1), 4, if(ISBLANK('2025'!$R431), 0, 1), 5, if(ISBLANK('2025'!$S431), 0, 1), 6, if(ISBLANK('2025'!$T431), 0, 1), 7, 0))), 1, "")</f>
        <v/>
      </c>
    </row>
    <row r="469">
      <c r="A469" s="1">
        <f t="shared" si="3"/>
        <v>469</v>
      </c>
      <c r="B469" s="1" t="str">
        <f>'2025'!D432</f>
        <v/>
      </c>
      <c r="C469" s="1" t="str">
        <f>'2025'!H432</f>
        <v/>
      </c>
      <c r="D469" s="1" t="str">
        <f>IF(AND(AND(AND(D$4&gt;='2025'!$L432,D$4&lt;='2025'!$M432), D$4&lt;&gt;DATE(2025,7,4)), (SWITCH(weekday(D$4), 1, 0, 2, if(ISBLANK('2025'!$P432), 0, 1), 3, if(ISBLANK('2025'!$Q432), 0, 1), 4, if(ISBLANK('2025'!$R432), 0, 1), 5, if(ISBLANK('2025'!$S432), 0, 1), 6, if(ISBLANK('2025'!$T432), 0, 1), 7, 0))), 1, "")</f>
        <v/>
      </c>
      <c r="E469" s="1" t="str">
        <f>IF(AND(AND(AND(E$4&gt;='2025'!$L432,E$4&lt;='2025'!$M432), E$4&lt;&gt;DATE(2025,7,4)), (SWITCH(weekday(E$4), 1, 0, 2, if(ISBLANK('2025'!$P432), 0, 1), 3, if(ISBLANK('2025'!$Q432), 0, 1), 4, if(ISBLANK('2025'!$R432), 0, 1), 5, if(ISBLANK('2025'!$S432), 0, 1), 6, if(ISBLANK('2025'!$T432), 0, 1), 7, 0))), 1, "")</f>
        <v/>
      </c>
      <c r="F469" s="1" t="str">
        <f>IF(AND(AND(AND(F$4&gt;='2025'!$L432,F$4&lt;='2025'!$M432), F$4&lt;&gt;DATE(2025,7,4)), (SWITCH(weekday(F$4), 1, 0, 2, if(ISBLANK('2025'!$P432), 0, 1), 3, if(ISBLANK('2025'!$Q432), 0, 1), 4, if(ISBLANK('2025'!$R432), 0, 1), 5, if(ISBLANK('2025'!$S432), 0, 1), 6, if(ISBLANK('2025'!$T432), 0, 1), 7, 0))), 1, "")</f>
        <v/>
      </c>
      <c r="G469" s="1" t="str">
        <f>IF(AND(AND(AND(G$4&gt;='2025'!$L432,G$4&lt;='2025'!$M432), G$4&lt;&gt;DATE(2025,7,4)), (SWITCH(weekday(G$4), 1, 0, 2, if(ISBLANK('2025'!$P432), 0, 1), 3, if(ISBLANK('2025'!$Q432), 0, 1), 4, if(ISBLANK('2025'!$R432), 0, 1), 5, if(ISBLANK('2025'!$S432), 0, 1), 6, if(ISBLANK('2025'!$T432), 0, 1), 7, 0))), 1, "")</f>
        <v/>
      </c>
      <c r="H469" s="1" t="str">
        <f>IF(AND(AND(AND(H$4&gt;='2025'!$L432,H$4&lt;='2025'!$M432), H$4&lt;&gt;DATE(2025,7,4)), (SWITCH(weekday(H$4), 1, 0, 2, if(ISBLANK('2025'!$P432), 0, 1), 3, if(ISBLANK('2025'!$Q432), 0, 1), 4, if(ISBLANK('2025'!$R432), 0, 1), 5, if(ISBLANK('2025'!$S432), 0, 1), 6, if(ISBLANK('2025'!$T432), 0, 1), 7, 0))), 1, "")</f>
        <v/>
      </c>
      <c r="I469" s="1" t="str">
        <f>IF(AND(AND(AND(I$4&gt;='2025'!$L432,I$4&lt;='2025'!$M432), I$4&lt;&gt;DATE(2025,7,4)), (SWITCH(weekday(I$4), 1, 0, 2, if(ISBLANK('2025'!$P432), 0, 1), 3, if(ISBLANK('2025'!$Q432), 0, 1), 4, if(ISBLANK('2025'!$R432), 0, 1), 5, if(ISBLANK('2025'!$S432), 0, 1), 6, if(ISBLANK('2025'!$T432), 0, 1), 7, 0))), 1, "")</f>
        <v/>
      </c>
      <c r="J469" s="1" t="str">
        <f>IF(AND(AND(AND(J$4&gt;='2025'!$L432,J$4&lt;='2025'!$M432), J$4&lt;&gt;DATE(2025,7,4)), (SWITCH(weekday(J$4), 1, 0, 2, if(ISBLANK('2025'!$P432), 0, 1), 3, if(ISBLANK('2025'!$Q432), 0, 1), 4, if(ISBLANK('2025'!$R432), 0, 1), 5, if(ISBLANK('2025'!$S432), 0, 1), 6, if(ISBLANK('2025'!$T432), 0, 1), 7, 0))), 1, "")</f>
        <v/>
      </c>
      <c r="K469" s="1" t="str">
        <f>IF(AND(AND(AND(K$4&gt;='2025'!$L432,K$4&lt;='2025'!$M432), K$4&lt;&gt;DATE(2025,7,4)), (SWITCH(weekday(K$4), 1, 0, 2, if(ISBLANK('2025'!$P432), 0, 1), 3, if(ISBLANK('2025'!$Q432), 0, 1), 4, if(ISBLANK('2025'!$R432), 0, 1), 5, if(ISBLANK('2025'!$S432), 0, 1), 6, if(ISBLANK('2025'!$T432), 0, 1), 7, 0))), 1, "")</f>
        <v/>
      </c>
      <c r="L469" s="1" t="str">
        <f>IF(AND(AND(AND(L$4&gt;='2025'!$L432,L$4&lt;='2025'!$M432), L$4&lt;&gt;DATE(2025,7,4)), (SWITCH(weekday(L$4), 1, 0, 2, if(ISBLANK('2025'!$P432), 0, 1), 3, if(ISBLANK('2025'!$Q432), 0, 1), 4, if(ISBLANK('2025'!$R432), 0, 1), 5, if(ISBLANK('2025'!$S432), 0, 1), 6, if(ISBLANK('2025'!$T432), 0, 1), 7, 0))), 1, "")</f>
        <v/>
      </c>
      <c r="M469" s="1" t="str">
        <f>IF(AND(AND(AND(M$4&gt;='2025'!$L432,M$4&lt;='2025'!$M432), M$4&lt;&gt;DATE(2025,7,4)), (SWITCH(weekday(M$4), 1, 0, 2, if(ISBLANK('2025'!$P432), 0, 1), 3, if(ISBLANK('2025'!$Q432), 0, 1), 4, if(ISBLANK('2025'!$R432), 0, 1), 5, if(ISBLANK('2025'!$S432), 0, 1), 6, if(ISBLANK('2025'!$T432), 0, 1), 7, 0))), 1, "")</f>
        <v/>
      </c>
      <c r="N469" s="1" t="str">
        <f>IF(AND(AND(AND(N$4&gt;='2025'!$L432,N$4&lt;='2025'!$M432), N$4&lt;&gt;DATE(2025,7,4)), (SWITCH(weekday(N$4), 1, 0, 2, if(ISBLANK('2025'!$P432), 0, 1), 3, if(ISBLANK('2025'!$Q432), 0, 1), 4, if(ISBLANK('2025'!$R432), 0, 1), 5, if(ISBLANK('2025'!$S432), 0, 1), 6, if(ISBLANK('2025'!$T432), 0, 1), 7, 0))), 1, "")</f>
        <v/>
      </c>
      <c r="O469" s="1" t="str">
        <f>IF(AND(AND(AND(O$4&gt;='2025'!$L432,O$4&lt;='2025'!$M432), O$4&lt;&gt;DATE(2025,7,4)), (SWITCH(weekday(O$4), 1, 0, 2, if(ISBLANK('2025'!$P432), 0, 1), 3, if(ISBLANK('2025'!$Q432), 0, 1), 4, if(ISBLANK('2025'!$R432), 0, 1), 5, if(ISBLANK('2025'!$S432), 0, 1), 6, if(ISBLANK('2025'!$T432), 0, 1), 7, 0))), 1, "")</f>
        <v/>
      </c>
      <c r="P469" s="1" t="str">
        <f>IF(AND(AND(AND(P$4&gt;='2025'!$L432,P$4&lt;='2025'!$M432), P$4&lt;&gt;DATE(2025,7,4)), (SWITCH(weekday(P$4), 1, 0, 2, if(ISBLANK('2025'!$P432), 0, 1), 3, if(ISBLANK('2025'!$Q432), 0, 1), 4, if(ISBLANK('2025'!$R432), 0, 1), 5, if(ISBLANK('2025'!$S432), 0, 1), 6, if(ISBLANK('2025'!$T432), 0, 1), 7, 0))), 1, "")</f>
        <v/>
      </c>
      <c r="Q469" s="1" t="str">
        <f>IF(AND(AND(AND(Q$4&gt;='2025'!$L432,Q$4&lt;='2025'!$M432), Q$4&lt;&gt;DATE(2025,7,4)), (SWITCH(weekday(Q$4), 1, 0, 2, if(ISBLANK('2025'!$P432), 0, 1), 3, if(ISBLANK('2025'!$Q432), 0, 1), 4, if(ISBLANK('2025'!$R432), 0, 1), 5, if(ISBLANK('2025'!$S432), 0, 1), 6, if(ISBLANK('2025'!$T432), 0, 1), 7, 0))), 1, "")</f>
        <v/>
      </c>
      <c r="R469" s="1" t="str">
        <f>IF(AND(AND(AND(R$4&gt;='2025'!$L432,R$4&lt;='2025'!$M432), R$4&lt;&gt;DATE(2025,7,4)), (SWITCH(weekday(R$4), 1, 0, 2, if(ISBLANK('2025'!$P432), 0, 1), 3, if(ISBLANK('2025'!$Q432), 0, 1), 4, if(ISBLANK('2025'!$R432), 0, 1), 5, if(ISBLANK('2025'!$S432), 0, 1), 6, if(ISBLANK('2025'!$T432), 0, 1), 7, 0))), 1, "")</f>
        <v/>
      </c>
      <c r="S469" s="1" t="str">
        <f>IF(AND(AND(AND(S$4&gt;='2025'!$L432,S$4&lt;='2025'!$M432), S$4&lt;&gt;DATE(2025,7,4)), (SWITCH(weekday(S$4), 1, 0, 2, if(ISBLANK('2025'!$P432), 0, 1), 3, if(ISBLANK('2025'!$Q432), 0, 1), 4, if(ISBLANK('2025'!$R432), 0, 1), 5, if(ISBLANK('2025'!$S432), 0, 1), 6, if(ISBLANK('2025'!$T432), 0, 1), 7, 0))), 1, "")</f>
        <v/>
      </c>
      <c r="T469" s="1" t="str">
        <f>IF(AND(AND(AND(T$4&gt;='2025'!$L432,T$4&lt;='2025'!$M432), T$4&lt;&gt;DATE(2025,7,4)), (SWITCH(weekday(T$4), 1, 0, 2, if(ISBLANK('2025'!$P432), 0, 1), 3, if(ISBLANK('2025'!$Q432), 0, 1), 4, if(ISBLANK('2025'!$R432), 0, 1), 5, if(ISBLANK('2025'!$S432), 0, 1), 6, if(ISBLANK('2025'!$T432), 0, 1), 7, 0))), 1, "")</f>
        <v/>
      </c>
      <c r="U469" s="1" t="str">
        <f>IF(AND(AND(AND(U$4&gt;='2025'!$L432,U$4&lt;='2025'!$M432), U$4&lt;&gt;DATE(2025,7,4)), (SWITCH(weekday(U$4), 1, 0, 2, if(ISBLANK('2025'!$P432), 0, 1), 3, if(ISBLANK('2025'!$Q432), 0, 1), 4, if(ISBLANK('2025'!$R432), 0, 1), 5, if(ISBLANK('2025'!$S432), 0, 1), 6, if(ISBLANK('2025'!$T432), 0, 1), 7, 0))), 1, "")</f>
        <v/>
      </c>
      <c r="V469" s="1" t="str">
        <f>IF(AND(AND(AND(V$4&gt;='2025'!$L432,V$4&lt;='2025'!$M432), V$4&lt;&gt;DATE(2025,7,4)), (SWITCH(weekday(V$4), 1, 0, 2, if(ISBLANK('2025'!$P432), 0, 1), 3, if(ISBLANK('2025'!$Q432), 0, 1), 4, if(ISBLANK('2025'!$R432), 0, 1), 5, if(ISBLANK('2025'!$S432), 0, 1), 6, if(ISBLANK('2025'!$T432), 0, 1), 7, 0))), 1, "")</f>
        <v/>
      </c>
      <c r="W469" s="1" t="str">
        <f>IF(AND(AND(AND(W$4&gt;='2025'!$L432,W$4&lt;='2025'!$M432), W$4&lt;&gt;DATE(2025,7,4)), (SWITCH(weekday(W$4), 1, 0, 2, if(ISBLANK('2025'!$P432), 0, 1), 3, if(ISBLANK('2025'!$Q432), 0, 1), 4, if(ISBLANK('2025'!$R432), 0, 1), 5, if(ISBLANK('2025'!$S432), 0, 1), 6, if(ISBLANK('2025'!$T432), 0, 1), 7, 0))), 1, "")</f>
        <v/>
      </c>
      <c r="X469" s="1" t="str">
        <f>IF(AND(AND(AND(X$4&gt;='2025'!$L432,X$4&lt;='2025'!$M432), X$4&lt;&gt;DATE(2025,7,4)), (SWITCH(weekday(X$4), 1, 0, 2, if(ISBLANK('2025'!$P432), 0, 1), 3, if(ISBLANK('2025'!$Q432), 0, 1), 4, if(ISBLANK('2025'!$R432), 0, 1), 5, if(ISBLANK('2025'!$S432), 0, 1), 6, if(ISBLANK('2025'!$T432), 0, 1), 7, 0))), 1, "")</f>
        <v/>
      </c>
      <c r="Y469" s="1" t="str">
        <f>IF(AND(AND(AND(Y$4&gt;='2025'!$L432,Y$4&lt;='2025'!$M432), Y$4&lt;&gt;DATE(2025,7,4)), (SWITCH(weekday(Y$4), 1, 0, 2, if(ISBLANK('2025'!$P432), 0, 1), 3, if(ISBLANK('2025'!$Q432), 0, 1), 4, if(ISBLANK('2025'!$R432), 0, 1), 5, if(ISBLANK('2025'!$S432), 0, 1), 6, if(ISBLANK('2025'!$T432), 0, 1), 7, 0))), 1, "")</f>
        <v/>
      </c>
      <c r="Z469" s="1" t="str">
        <f>IF(AND(AND(AND(Z$4&gt;='2025'!$L432,Z$4&lt;='2025'!$M432), Z$4&lt;&gt;DATE(2025,7,4)), (SWITCH(weekday(Z$4), 1, 0, 2, if(ISBLANK('2025'!$P432), 0, 1), 3, if(ISBLANK('2025'!$Q432), 0, 1), 4, if(ISBLANK('2025'!$R432), 0, 1), 5, if(ISBLANK('2025'!$S432), 0, 1), 6, if(ISBLANK('2025'!$T432), 0, 1), 7, 0))), 1, "")</f>
        <v/>
      </c>
      <c r="AA469" s="1" t="str">
        <f>IF(AND(AND(AND(AA$4&gt;='2025'!$L432,AA$4&lt;='2025'!$M432), AA$4&lt;&gt;DATE(2025,7,4)), (SWITCH(weekday(AA$4), 1, 0, 2, if(ISBLANK('2025'!$P432), 0, 1), 3, if(ISBLANK('2025'!$Q432), 0, 1), 4, if(ISBLANK('2025'!$R432), 0, 1), 5, if(ISBLANK('2025'!$S432), 0, 1), 6, if(ISBLANK('2025'!$T432), 0, 1), 7, 0))), 1, "")</f>
        <v/>
      </c>
      <c r="AB469" s="1" t="str">
        <f>IF(AND(AND(AND(AB$4&gt;='2025'!$L432,AB$4&lt;='2025'!$M432), AB$4&lt;&gt;DATE(2025,7,4)), (SWITCH(weekday(AB$4), 1, 0, 2, if(ISBLANK('2025'!$P432), 0, 1), 3, if(ISBLANK('2025'!$Q432), 0, 1), 4, if(ISBLANK('2025'!$R432), 0, 1), 5, if(ISBLANK('2025'!$S432), 0, 1), 6, if(ISBLANK('2025'!$T432), 0, 1), 7, 0))), 1, "")</f>
        <v/>
      </c>
      <c r="AC469" s="1" t="str">
        <f>IF(AND(AND(AND(AC$4&gt;='2025'!$L432,AC$4&lt;='2025'!$M432), AC$4&lt;&gt;DATE(2025,7,4)), (SWITCH(weekday(AC$4), 1, 0, 2, if(ISBLANK('2025'!$P432), 0, 1), 3, if(ISBLANK('2025'!$Q432), 0, 1), 4, if(ISBLANK('2025'!$R432), 0, 1), 5, if(ISBLANK('2025'!$S432), 0, 1), 6, if(ISBLANK('2025'!$T432), 0, 1), 7, 0))), 1, "")</f>
        <v/>
      </c>
      <c r="AD469" s="1" t="str">
        <f>IF(AND(AND(AND(AD$4&gt;='2025'!$L432,AD$4&lt;='2025'!$M432), AD$4&lt;&gt;DATE(2025,7,4)), (SWITCH(weekday(AD$4), 1, 0, 2, if(ISBLANK('2025'!$P432), 0, 1), 3, if(ISBLANK('2025'!$Q432), 0, 1), 4, if(ISBLANK('2025'!$R432), 0, 1), 5, if(ISBLANK('2025'!$S432), 0, 1), 6, if(ISBLANK('2025'!$T432), 0, 1), 7, 0))), 1, "")</f>
        <v/>
      </c>
      <c r="AE469" s="1" t="str">
        <f>IF(AND(AND(AND(AE$4&gt;='2025'!$L432,AE$4&lt;='2025'!$M432), AE$4&lt;&gt;DATE(2025,7,4)), (SWITCH(weekday(AE$4), 1, 0, 2, if(ISBLANK('2025'!$P432), 0, 1), 3, if(ISBLANK('2025'!$Q432), 0, 1), 4, if(ISBLANK('2025'!$R432), 0, 1), 5, if(ISBLANK('2025'!$S432), 0, 1), 6, if(ISBLANK('2025'!$T432), 0, 1), 7, 0))), 1, "")</f>
        <v/>
      </c>
      <c r="AF469" s="1" t="str">
        <f>IF(AND(AND(AND(AF$4&gt;='2025'!$L432,AF$4&lt;='2025'!$M432), AF$4&lt;&gt;DATE(2025,7,4)), (SWITCH(weekday(AF$4), 1, 0, 2, if(ISBLANK('2025'!$P432), 0, 1), 3, if(ISBLANK('2025'!$Q432), 0, 1), 4, if(ISBLANK('2025'!$R432), 0, 1), 5, if(ISBLANK('2025'!$S432), 0, 1), 6, if(ISBLANK('2025'!$T432), 0, 1), 7, 0))), 1, "")</f>
        <v/>
      </c>
      <c r="AG469" s="1" t="str">
        <f>IF(AND(AND(AND(AG$4&gt;='2025'!$L432,AG$4&lt;='2025'!$M432), AG$4&lt;&gt;DATE(2025,7,4)), (SWITCH(weekday(AG$4), 1, 0, 2, if(ISBLANK('2025'!$P432), 0, 1), 3, if(ISBLANK('2025'!$Q432), 0, 1), 4, if(ISBLANK('2025'!$R432), 0, 1), 5, if(ISBLANK('2025'!$S432), 0, 1), 6, if(ISBLANK('2025'!$T432), 0, 1), 7, 0))), 1, "")</f>
        <v/>
      </c>
      <c r="AH469" s="1" t="str">
        <f>IF(AND(AND(AND(AH$4&gt;='2025'!$L432,AH$4&lt;='2025'!$M432), AH$4&lt;&gt;DATE(2025,7,4)), (SWITCH(weekday(AH$4), 1, 0, 2, if(ISBLANK('2025'!$P432), 0, 1), 3, if(ISBLANK('2025'!$Q432), 0, 1), 4, if(ISBLANK('2025'!$R432), 0, 1), 5, if(ISBLANK('2025'!$S432), 0, 1), 6, if(ISBLANK('2025'!$T432), 0, 1), 7, 0))), 1, "")</f>
        <v/>
      </c>
      <c r="AI469" s="1" t="str">
        <f>IF(AND(AND(AND(AI$4&gt;='2025'!$L432,AI$4&lt;='2025'!$M432), AI$4&lt;&gt;DATE(2025,7,4)), (SWITCH(weekday(AI$4), 1, 0, 2, if(ISBLANK('2025'!$P432), 0, 1), 3, if(ISBLANK('2025'!$Q432), 0, 1), 4, if(ISBLANK('2025'!$R432), 0, 1), 5, if(ISBLANK('2025'!$S432), 0, 1), 6, if(ISBLANK('2025'!$T432), 0, 1), 7, 0))), 1, "")</f>
        <v/>
      </c>
      <c r="AJ469" s="1" t="str">
        <f>IF(AND(AND(AND(AJ$4&gt;='2025'!$L432,AJ$4&lt;='2025'!$M432), AJ$4&lt;&gt;DATE(2025,7,4)), (SWITCH(weekday(AJ$4), 1, 0, 2, if(ISBLANK('2025'!$P432), 0, 1), 3, if(ISBLANK('2025'!$Q432), 0, 1), 4, if(ISBLANK('2025'!$R432), 0, 1), 5, if(ISBLANK('2025'!$S432), 0, 1), 6, if(ISBLANK('2025'!$T432), 0, 1), 7, 0))), 1, "")</f>
        <v/>
      </c>
      <c r="AK469" s="1" t="str">
        <f>IF(AND(AND(AND(AK$4&gt;='2025'!$L432,AK$4&lt;='2025'!$M432), AK$4&lt;&gt;DATE(2025,7,4)), (SWITCH(weekday(AK$4), 1, 0, 2, if(ISBLANK('2025'!$P432), 0, 1), 3, if(ISBLANK('2025'!$Q432), 0, 1), 4, if(ISBLANK('2025'!$R432), 0, 1), 5, if(ISBLANK('2025'!$S432), 0, 1), 6, if(ISBLANK('2025'!$T432), 0, 1), 7, 0))), 1, "")</f>
        <v/>
      </c>
      <c r="AL469" s="1" t="str">
        <f>IF(AND(AND(AND(AL$4&gt;='2025'!$L432,AL$4&lt;='2025'!$M432), AL$4&lt;&gt;DATE(2025,7,4)), (SWITCH(weekday(AL$4), 1, 0, 2, if(ISBLANK('2025'!$P432), 0, 1), 3, if(ISBLANK('2025'!$Q432), 0, 1), 4, if(ISBLANK('2025'!$R432), 0, 1), 5, if(ISBLANK('2025'!$S432), 0, 1), 6, if(ISBLANK('2025'!$T432), 0, 1), 7, 0))), 1, "")</f>
        <v/>
      </c>
      <c r="AM469" s="1" t="str">
        <f>IF(AND(AND(AND(AM$4&gt;='2025'!$L432,AM$4&lt;='2025'!$M432), AM$4&lt;&gt;DATE(2025,7,4)), (SWITCH(weekday(AM$4), 1, 0, 2, if(ISBLANK('2025'!$P432), 0, 1), 3, if(ISBLANK('2025'!$Q432), 0, 1), 4, if(ISBLANK('2025'!$R432), 0, 1), 5, if(ISBLANK('2025'!$S432), 0, 1), 6, if(ISBLANK('2025'!$T432), 0, 1), 7, 0))), 1, "")</f>
        <v/>
      </c>
      <c r="AN469" s="1" t="str">
        <f>IF(AND(AND(AND(AN$4&gt;='2025'!$L432,AN$4&lt;='2025'!$M432), AN$4&lt;&gt;DATE(2025,7,4)), (SWITCH(weekday(AN$4), 1, 0, 2, if(ISBLANK('2025'!$P432), 0, 1), 3, if(ISBLANK('2025'!$Q432), 0, 1), 4, if(ISBLANK('2025'!$R432), 0, 1), 5, if(ISBLANK('2025'!$S432), 0, 1), 6, if(ISBLANK('2025'!$T432), 0, 1), 7, 0))), 1, "")</f>
        <v/>
      </c>
      <c r="AO469" s="1" t="str">
        <f>IF(AND(AND(AND(AO$4&gt;='2025'!$L432,AO$4&lt;='2025'!$M432), AO$4&lt;&gt;DATE(2025,7,4)), (SWITCH(weekday(AO$4), 1, 0, 2, if(ISBLANK('2025'!$P432), 0, 1), 3, if(ISBLANK('2025'!$Q432), 0, 1), 4, if(ISBLANK('2025'!$R432), 0, 1), 5, if(ISBLANK('2025'!$S432), 0, 1), 6, if(ISBLANK('2025'!$T432), 0, 1), 7, 0))), 1, "")</f>
        <v/>
      </c>
      <c r="AP469" s="1" t="str">
        <f>IF(AND(AND(AND(AP$4&gt;='2025'!$L432,AP$4&lt;='2025'!$M432), AP$4&lt;&gt;DATE(2025,7,4)), (SWITCH(weekday(AP$4), 1, 0, 2, if(ISBLANK('2025'!$P432), 0, 1), 3, if(ISBLANK('2025'!$Q432), 0, 1), 4, if(ISBLANK('2025'!$R432), 0, 1), 5, if(ISBLANK('2025'!$S432), 0, 1), 6, if(ISBLANK('2025'!$T432), 0, 1), 7, 0))), 1, "")</f>
        <v/>
      </c>
      <c r="AQ469" s="1" t="str">
        <f>IF(AND(AND(AND(AQ$4&gt;='2025'!$L432,AQ$4&lt;='2025'!$M432), AQ$4&lt;&gt;DATE(2025,7,4)), (SWITCH(weekday(AQ$4), 1, 0, 2, if(ISBLANK('2025'!$P432), 0, 1), 3, if(ISBLANK('2025'!$Q432), 0, 1), 4, if(ISBLANK('2025'!$R432), 0, 1), 5, if(ISBLANK('2025'!$S432), 0, 1), 6, if(ISBLANK('2025'!$T432), 0, 1), 7, 0))), 1, "")</f>
        <v/>
      </c>
      <c r="AR469" s="1" t="str">
        <f>IF(AND(AND(AND(AR$4&gt;='2025'!$L432,AR$4&lt;='2025'!$M432), AR$4&lt;&gt;DATE(2025,7,4)), (SWITCH(weekday(AR$4), 1, 0, 2, if(ISBLANK('2025'!$P432), 0, 1), 3, if(ISBLANK('2025'!$Q432), 0, 1), 4, if(ISBLANK('2025'!$R432), 0, 1), 5, if(ISBLANK('2025'!$S432), 0, 1), 6, if(ISBLANK('2025'!$T432), 0, 1), 7, 0))), 1, "")</f>
        <v/>
      </c>
      <c r="AS469" s="1" t="str">
        <f>IF(AND(AND(AND(AS$4&gt;='2025'!$L432,AS$4&lt;='2025'!$M432), AS$4&lt;&gt;DATE(2025,7,4)), (SWITCH(weekday(AS$4), 1, 0, 2, if(ISBLANK('2025'!$P432), 0, 1), 3, if(ISBLANK('2025'!$Q432), 0, 1), 4, if(ISBLANK('2025'!$R432), 0, 1), 5, if(ISBLANK('2025'!$S432), 0, 1), 6, if(ISBLANK('2025'!$T432), 0, 1), 7, 0))), 1, "")</f>
        <v/>
      </c>
      <c r="AT469" s="1" t="str">
        <f>IF(AND(AND(AND(AT$4&gt;='2025'!$L432,AT$4&lt;='2025'!$M432), AT$4&lt;&gt;DATE(2025,7,4)), (SWITCH(weekday(AT$4), 1, 0, 2, if(ISBLANK('2025'!$P432), 0, 1), 3, if(ISBLANK('2025'!$Q432), 0, 1), 4, if(ISBLANK('2025'!$R432), 0, 1), 5, if(ISBLANK('2025'!$S432), 0, 1), 6, if(ISBLANK('2025'!$T432), 0, 1), 7, 0))), 1, "")</f>
        <v/>
      </c>
      <c r="AU469" s="1" t="str">
        <f>IF(AND(AND(AND(AU$4&gt;='2025'!$L432,AU$4&lt;='2025'!$M432), AU$4&lt;&gt;DATE(2025,7,4)), (SWITCH(weekday(AU$4), 1, 0, 2, if(ISBLANK('2025'!$P432), 0, 1), 3, if(ISBLANK('2025'!$Q432), 0, 1), 4, if(ISBLANK('2025'!$R432), 0, 1), 5, if(ISBLANK('2025'!$S432), 0, 1), 6, if(ISBLANK('2025'!$T432), 0, 1), 7, 0))), 1, "")</f>
        <v/>
      </c>
      <c r="AV469" s="1" t="str">
        <f>IF(AND(AND(AND(AV$4&gt;='2025'!$L432,AV$4&lt;='2025'!$M432), AV$4&lt;&gt;DATE(2025,7,4)), (SWITCH(weekday(AV$4), 1, 0, 2, if(ISBLANK('2025'!$P432), 0, 1), 3, if(ISBLANK('2025'!$Q432), 0, 1), 4, if(ISBLANK('2025'!$R432), 0, 1), 5, if(ISBLANK('2025'!$S432), 0, 1), 6, if(ISBLANK('2025'!$T432), 0, 1), 7, 0))), 1, "")</f>
        <v/>
      </c>
      <c r="AW469" s="1" t="str">
        <f>IF(AND(AND(AND(AW$4&gt;='2025'!$L432,AW$4&lt;='2025'!$M432), AW$4&lt;&gt;DATE(2025,7,4)), (SWITCH(weekday(AW$4), 1, 0, 2, if(ISBLANK('2025'!$P432), 0, 1), 3, if(ISBLANK('2025'!$Q432), 0, 1), 4, if(ISBLANK('2025'!$R432), 0, 1), 5, if(ISBLANK('2025'!$S432), 0, 1), 6, if(ISBLANK('2025'!$T432), 0, 1), 7, 0))), 1, "")</f>
        <v/>
      </c>
      <c r="AX469" s="1" t="str">
        <f>IF(AND(AND(AND(AX$4&gt;='2025'!$L432,AX$4&lt;='2025'!$M432), AX$4&lt;&gt;DATE(2025,7,4)), (SWITCH(weekday(AX$4), 1, 0, 2, if(ISBLANK('2025'!$P432), 0, 1), 3, if(ISBLANK('2025'!$Q432), 0, 1), 4, if(ISBLANK('2025'!$R432), 0, 1), 5, if(ISBLANK('2025'!$S432), 0, 1), 6, if(ISBLANK('2025'!$T432), 0, 1), 7, 0))), 1, "")</f>
        <v/>
      </c>
      <c r="AY469" s="1" t="str">
        <f>IF(AND(AND(AND(AY$4&gt;='2025'!$L432,AY$4&lt;='2025'!$M432), AY$4&lt;&gt;DATE(2025,7,4)), (SWITCH(weekday(AY$4), 1, 0, 2, if(ISBLANK('2025'!$P432), 0, 1), 3, if(ISBLANK('2025'!$Q432), 0, 1), 4, if(ISBLANK('2025'!$R432), 0, 1), 5, if(ISBLANK('2025'!$S432), 0, 1), 6, if(ISBLANK('2025'!$T432), 0, 1), 7, 0))), 1, "")</f>
        <v/>
      </c>
      <c r="AZ469" s="1" t="str">
        <f>IF(AND(AND(AND(AZ$4&gt;='2025'!$L432,AZ$4&lt;='2025'!$M432), AZ$4&lt;&gt;DATE(2025,7,4)), (SWITCH(weekday(AZ$4), 1, 0, 2, if(ISBLANK('2025'!$P432), 0, 1), 3, if(ISBLANK('2025'!$Q432), 0, 1), 4, if(ISBLANK('2025'!$R432), 0, 1), 5, if(ISBLANK('2025'!$S432), 0, 1), 6, if(ISBLANK('2025'!$T432), 0, 1), 7, 0))), 1, "")</f>
        <v/>
      </c>
      <c r="BA469" s="1" t="str">
        <f>IF(AND(AND(AND(BA$4&gt;='2025'!$L432,BA$4&lt;='2025'!$M432), BA$4&lt;&gt;DATE(2025,7,4)), (SWITCH(weekday(BA$4), 1, 0, 2, if(ISBLANK('2025'!$P432), 0, 1), 3, if(ISBLANK('2025'!$Q432), 0, 1), 4, if(ISBLANK('2025'!$R432), 0, 1), 5, if(ISBLANK('2025'!$S432), 0, 1), 6, if(ISBLANK('2025'!$T432), 0, 1), 7, 0))), 1, "")</f>
        <v/>
      </c>
      <c r="BB469" s="1" t="str">
        <f>IF(AND(AND(AND(BB$4&gt;='2025'!$L432,BB$4&lt;='2025'!$M432), BB$4&lt;&gt;DATE(2025,7,4)), (SWITCH(weekday(BB$4), 1, 0, 2, if(ISBLANK('2025'!$P432), 0, 1), 3, if(ISBLANK('2025'!$Q432), 0, 1), 4, if(ISBLANK('2025'!$R432), 0, 1), 5, if(ISBLANK('2025'!$S432), 0, 1), 6, if(ISBLANK('2025'!$T432), 0, 1), 7, 0))), 1, "")</f>
        <v/>
      </c>
      <c r="BC469" s="1" t="str">
        <f>IF(AND(AND(AND(BC$4&gt;='2025'!$L432,BC$4&lt;='2025'!$M432), BC$4&lt;&gt;DATE(2025,7,4)), (SWITCH(weekday(BC$4), 1, 0, 2, if(ISBLANK('2025'!$P432), 0, 1), 3, if(ISBLANK('2025'!$Q432), 0, 1), 4, if(ISBLANK('2025'!$R432), 0, 1), 5, if(ISBLANK('2025'!$S432), 0, 1), 6, if(ISBLANK('2025'!$T432), 0, 1), 7, 0))), 1, "")</f>
        <v/>
      </c>
      <c r="BD469" s="1" t="str">
        <f>IF(AND(AND(AND(BD$4&gt;='2025'!$L432,BD$4&lt;='2025'!$M432), BD$4&lt;&gt;DATE(2025,7,4)), (SWITCH(weekday(BD$4), 1, 0, 2, if(ISBLANK('2025'!$P432), 0, 1), 3, if(ISBLANK('2025'!$Q432), 0, 1), 4, if(ISBLANK('2025'!$R432), 0, 1), 5, if(ISBLANK('2025'!$S432), 0, 1), 6, if(ISBLANK('2025'!$T432), 0, 1), 7, 0))), 1, "")</f>
        <v/>
      </c>
      <c r="BE469" s="1" t="str">
        <f>IF(AND(AND(AND(BE$4&gt;='2025'!$L432,BE$4&lt;='2025'!$M432), BE$4&lt;&gt;DATE(2025,7,4)), (SWITCH(weekday(BE$4), 1, 0, 2, if(ISBLANK('2025'!$P432), 0, 1), 3, if(ISBLANK('2025'!$Q432), 0, 1), 4, if(ISBLANK('2025'!$R432), 0, 1), 5, if(ISBLANK('2025'!$S432), 0, 1), 6, if(ISBLANK('2025'!$T432), 0, 1), 7, 0))), 1, "")</f>
        <v/>
      </c>
    </row>
    <row r="470">
      <c r="A470" s="1">
        <f t="shared" si="3"/>
        <v>470</v>
      </c>
      <c r="B470" s="1" t="str">
        <f>'2025'!D433</f>
        <v/>
      </c>
      <c r="C470" s="1" t="str">
        <f>'2025'!H433</f>
        <v/>
      </c>
      <c r="D470" s="1" t="str">
        <f>IF(AND(AND(AND(D$4&gt;='2025'!$L433,D$4&lt;='2025'!$M433), D$4&lt;&gt;DATE(2025,7,4)), (SWITCH(weekday(D$4), 1, 0, 2, if(ISBLANK('2025'!$P433), 0, 1), 3, if(ISBLANK('2025'!$Q433), 0, 1), 4, if(ISBLANK('2025'!$R433), 0, 1), 5, if(ISBLANK('2025'!$S433), 0, 1), 6, if(ISBLANK('2025'!$T433), 0, 1), 7, 0))), 1, "")</f>
        <v/>
      </c>
      <c r="E470" s="1" t="str">
        <f>IF(AND(AND(AND(E$4&gt;='2025'!$L433,E$4&lt;='2025'!$M433), E$4&lt;&gt;DATE(2025,7,4)), (SWITCH(weekday(E$4), 1, 0, 2, if(ISBLANK('2025'!$P433), 0, 1), 3, if(ISBLANK('2025'!$Q433), 0, 1), 4, if(ISBLANK('2025'!$R433), 0, 1), 5, if(ISBLANK('2025'!$S433), 0, 1), 6, if(ISBLANK('2025'!$T433), 0, 1), 7, 0))), 1, "")</f>
        <v/>
      </c>
      <c r="F470" s="1" t="str">
        <f>IF(AND(AND(AND(F$4&gt;='2025'!$L433,F$4&lt;='2025'!$M433), F$4&lt;&gt;DATE(2025,7,4)), (SWITCH(weekday(F$4), 1, 0, 2, if(ISBLANK('2025'!$P433), 0, 1), 3, if(ISBLANK('2025'!$Q433), 0, 1), 4, if(ISBLANK('2025'!$R433), 0, 1), 5, if(ISBLANK('2025'!$S433), 0, 1), 6, if(ISBLANK('2025'!$T433), 0, 1), 7, 0))), 1, "")</f>
        <v/>
      </c>
      <c r="G470" s="1" t="str">
        <f>IF(AND(AND(AND(G$4&gt;='2025'!$L433,G$4&lt;='2025'!$M433), G$4&lt;&gt;DATE(2025,7,4)), (SWITCH(weekday(G$4), 1, 0, 2, if(ISBLANK('2025'!$P433), 0, 1), 3, if(ISBLANK('2025'!$Q433), 0, 1), 4, if(ISBLANK('2025'!$R433), 0, 1), 5, if(ISBLANK('2025'!$S433), 0, 1), 6, if(ISBLANK('2025'!$T433), 0, 1), 7, 0))), 1, "")</f>
        <v/>
      </c>
      <c r="H470" s="1" t="str">
        <f>IF(AND(AND(AND(H$4&gt;='2025'!$L433,H$4&lt;='2025'!$M433), H$4&lt;&gt;DATE(2025,7,4)), (SWITCH(weekday(H$4), 1, 0, 2, if(ISBLANK('2025'!$P433), 0, 1), 3, if(ISBLANK('2025'!$Q433), 0, 1), 4, if(ISBLANK('2025'!$R433), 0, 1), 5, if(ISBLANK('2025'!$S433), 0, 1), 6, if(ISBLANK('2025'!$T433), 0, 1), 7, 0))), 1, "")</f>
        <v/>
      </c>
      <c r="I470" s="1" t="str">
        <f>IF(AND(AND(AND(I$4&gt;='2025'!$L433,I$4&lt;='2025'!$M433), I$4&lt;&gt;DATE(2025,7,4)), (SWITCH(weekday(I$4), 1, 0, 2, if(ISBLANK('2025'!$P433), 0, 1), 3, if(ISBLANK('2025'!$Q433), 0, 1), 4, if(ISBLANK('2025'!$R433), 0, 1), 5, if(ISBLANK('2025'!$S433), 0, 1), 6, if(ISBLANK('2025'!$T433), 0, 1), 7, 0))), 1, "")</f>
        <v/>
      </c>
      <c r="J470" s="1" t="str">
        <f>IF(AND(AND(AND(J$4&gt;='2025'!$L433,J$4&lt;='2025'!$M433), J$4&lt;&gt;DATE(2025,7,4)), (SWITCH(weekday(J$4), 1, 0, 2, if(ISBLANK('2025'!$P433), 0, 1), 3, if(ISBLANK('2025'!$Q433), 0, 1), 4, if(ISBLANK('2025'!$R433), 0, 1), 5, if(ISBLANK('2025'!$S433), 0, 1), 6, if(ISBLANK('2025'!$T433), 0, 1), 7, 0))), 1, "")</f>
        <v/>
      </c>
      <c r="K470" s="1" t="str">
        <f>IF(AND(AND(AND(K$4&gt;='2025'!$L433,K$4&lt;='2025'!$M433), K$4&lt;&gt;DATE(2025,7,4)), (SWITCH(weekday(K$4), 1, 0, 2, if(ISBLANK('2025'!$P433), 0, 1), 3, if(ISBLANK('2025'!$Q433), 0, 1), 4, if(ISBLANK('2025'!$R433), 0, 1), 5, if(ISBLANK('2025'!$S433), 0, 1), 6, if(ISBLANK('2025'!$T433), 0, 1), 7, 0))), 1, "")</f>
        <v/>
      </c>
      <c r="L470" s="1" t="str">
        <f>IF(AND(AND(AND(L$4&gt;='2025'!$L433,L$4&lt;='2025'!$M433), L$4&lt;&gt;DATE(2025,7,4)), (SWITCH(weekday(L$4), 1, 0, 2, if(ISBLANK('2025'!$P433), 0, 1), 3, if(ISBLANK('2025'!$Q433), 0, 1), 4, if(ISBLANK('2025'!$R433), 0, 1), 5, if(ISBLANK('2025'!$S433), 0, 1), 6, if(ISBLANK('2025'!$T433), 0, 1), 7, 0))), 1, "")</f>
        <v/>
      </c>
      <c r="M470" s="1" t="str">
        <f>IF(AND(AND(AND(M$4&gt;='2025'!$L433,M$4&lt;='2025'!$M433), M$4&lt;&gt;DATE(2025,7,4)), (SWITCH(weekday(M$4), 1, 0, 2, if(ISBLANK('2025'!$P433), 0, 1), 3, if(ISBLANK('2025'!$Q433), 0, 1), 4, if(ISBLANK('2025'!$R433), 0, 1), 5, if(ISBLANK('2025'!$S433), 0, 1), 6, if(ISBLANK('2025'!$T433), 0, 1), 7, 0))), 1, "")</f>
        <v/>
      </c>
      <c r="N470" s="1" t="str">
        <f>IF(AND(AND(AND(N$4&gt;='2025'!$L433,N$4&lt;='2025'!$M433), N$4&lt;&gt;DATE(2025,7,4)), (SWITCH(weekday(N$4), 1, 0, 2, if(ISBLANK('2025'!$P433), 0, 1), 3, if(ISBLANK('2025'!$Q433), 0, 1), 4, if(ISBLANK('2025'!$R433), 0, 1), 5, if(ISBLANK('2025'!$S433), 0, 1), 6, if(ISBLANK('2025'!$T433), 0, 1), 7, 0))), 1, "")</f>
        <v/>
      </c>
      <c r="O470" s="1" t="str">
        <f>IF(AND(AND(AND(O$4&gt;='2025'!$L433,O$4&lt;='2025'!$M433), O$4&lt;&gt;DATE(2025,7,4)), (SWITCH(weekday(O$4), 1, 0, 2, if(ISBLANK('2025'!$P433), 0, 1), 3, if(ISBLANK('2025'!$Q433), 0, 1), 4, if(ISBLANK('2025'!$R433), 0, 1), 5, if(ISBLANK('2025'!$S433), 0, 1), 6, if(ISBLANK('2025'!$T433), 0, 1), 7, 0))), 1, "")</f>
        <v/>
      </c>
      <c r="P470" s="1" t="str">
        <f>IF(AND(AND(AND(P$4&gt;='2025'!$L433,P$4&lt;='2025'!$M433), P$4&lt;&gt;DATE(2025,7,4)), (SWITCH(weekday(P$4), 1, 0, 2, if(ISBLANK('2025'!$P433), 0, 1), 3, if(ISBLANK('2025'!$Q433), 0, 1), 4, if(ISBLANK('2025'!$R433), 0, 1), 5, if(ISBLANK('2025'!$S433), 0, 1), 6, if(ISBLANK('2025'!$T433), 0, 1), 7, 0))), 1, "")</f>
        <v/>
      </c>
      <c r="Q470" s="1" t="str">
        <f>IF(AND(AND(AND(Q$4&gt;='2025'!$L433,Q$4&lt;='2025'!$M433), Q$4&lt;&gt;DATE(2025,7,4)), (SWITCH(weekday(Q$4), 1, 0, 2, if(ISBLANK('2025'!$P433), 0, 1), 3, if(ISBLANK('2025'!$Q433), 0, 1), 4, if(ISBLANK('2025'!$R433), 0, 1), 5, if(ISBLANK('2025'!$S433), 0, 1), 6, if(ISBLANK('2025'!$T433), 0, 1), 7, 0))), 1, "")</f>
        <v/>
      </c>
      <c r="R470" s="1" t="str">
        <f>IF(AND(AND(AND(R$4&gt;='2025'!$L433,R$4&lt;='2025'!$M433), R$4&lt;&gt;DATE(2025,7,4)), (SWITCH(weekday(R$4), 1, 0, 2, if(ISBLANK('2025'!$P433), 0, 1), 3, if(ISBLANK('2025'!$Q433), 0, 1), 4, if(ISBLANK('2025'!$R433), 0, 1), 5, if(ISBLANK('2025'!$S433), 0, 1), 6, if(ISBLANK('2025'!$T433), 0, 1), 7, 0))), 1, "")</f>
        <v/>
      </c>
      <c r="S470" s="1" t="str">
        <f>IF(AND(AND(AND(S$4&gt;='2025'!$L433,S$4&lt;='2025'!$M433), S$4&lt;&gt;DATE(2025,7,4)), (SWITCH(weekday(S$4), 1, 0, 2, if(ISBLANK('2025'!$P433), 0, 1), 3, if(ISBLANK('2025'!$Q433), 0, 1), 4, if(ISBLANK('2025'!$R433), 0, 1), 5, if(ISBLANK('2025'!$S433), 0, 1), 6, if(ISBLANK('2025'!$T433), 0, 1), 7, 0))), 1, "")</f>
        <v/>
      </c>
      <c r="T470" s="1" t="str">
        <f>IF(AND(AND(AND(T$4&gt;='2025'!$L433,T$4&lt;='2025'!$M433), T$4&lt;&gt;DATE(2025,7,4)), (SWITCH(weekday(T$4), 1, 0, 2, if(ISBLANK('2025'!$P433), 0, 1), 3, if(ISBLANK('2025'!$Q433), 0, 1), 4, if(ISBLANK('2025'!$R433), 0, 1), 5, if(ISBLANK('2025'!$S433), 0, 1), 6, if(ISBLANK('2025'!$T433), 0, 1), 7, 0))), 1, "")</f>
        <v/>
      </c>
      <c r="U470" s="1" t="str">
        <f>IF(AND(AND(AND(U$4&gt;='2025'!$L433,U$4&lt;='2025'!$M433), U$4&lt;&gt;DATE(2025,7,4)), (SWITCH(weekday(U$4), 1, 0, 2, if(ISBLANK('2025'!$P433), 0, 1), 3, if(ISBLANK('2025'!$Q433), 0, 1), 4, if(ISBLANK('2025'!$R433), 0, 1), 5, if(ISBLANK('2025'!$S433), 0, 1), 6, if(ISBLANK('2025'!$T433), 0, 1), 7, 0))), 1, "")</f>
        <v/>
      </c>
      <c r="V470" s="1" t="str">
        <f>IF(AND(AND(AND(V$4&gt;='2025'!$L433,V$4&lt;='2025'!$M433), V$4&lt;&gt;DATE(2025,7,4)), (SWITCH(weekday(V$4), 1, 0, 2, if(ISBLANK('2025'!$P433), 0, 1), 3, if(ISBLANK('2025'!$Q433), 0, 1), 4, if(ISBLANK('2025'!$R433), 0, 1), 5, if(ISBLANK('2025'!$S433), 0, 1), 6, if(ISBLANK('2025'!$T433), 0, 1), 7, 0))), 1, "")</f>
        <v/>
      </c>
      <c r="W470" s="1" t="str">
        <f>IF(AND(AND(AND(W$4&gt;='2025'!$L433,W$4&lt;='2025'!$M433), W$4&lt;&gt;DATE(2025,7,4)), (SWITCH(weekday(W$4), 1, 0, 2, if(ISBLANK('2025'!$P433), 0, 1), 3, if(ISBLANK('2025'!$Q433), 0, 1), 4, if(ISBLANK('2025'!$R433), 0, 1), 5, if(ISBLANK('2025'!$S433), 0, 1), 6, if(ISBLANK('2025'!$T433), 0, 1), 7, 0))), 1, "")</f>
        <v/>
      </c>
      <c r="X470" s="1" t="str">
        <f>IF(AND(AND(AND(X$4&gt;='2025'!$L433,X$4&lt;='2025'!$M433), X$4&lt;&gt;DATE(2025,7,4)), (SWITCH(weekday(X$4), 1, 0, 2, if(ISBLANK('2025'!$P433), 0, 1), 3, if(ISBLANK('2025'!$Q433), 0, 1), 4, if(ISBLANK('2025'!$R433), 0, 1), 5, if(ISBLANK('2025'!$S433), 0, 1), 6, if(ISBLANK('2025'!$T433), 0, 1), 7, 0))), 1, "")</f>
        <v/>
      </c>
      <c r="Y470" s="1" t="str">
        <f>IF(AND(AND(AND(Y$4&gt;='2025'!$L433,Y$4&lt;='2025'!$M433), Y$4&lt;&gt;DATE(2025,7,4)), (SWITCH(weekday(Y$4), 1, 0, 2, if(ISBLANK('2025'!$P433), 0, 1), 3, if(ISBLANK('2025'!$Q433), 0, 1), 4, if(ISBLANK('2025'!$R433), 0, 1), 5, if(ISBLANK('2025'!$S433), 0, 1), 6, if(ISBLANK('2025'!$T433), 0, 1), 7, 0))), 1, "")</f>
        <v/>
      </c>
      <c r="Z470" s="1" t="str">
        <f>IF(AND(AND(AND(Z$4&gt;='2025'!$L433,Z$4&lt;='2025'!$M433), Z$4&lt;&gt;DATE(2025,7,4)), (SWITCH(weekday(Z$4), 1, 0, 2, if(ISBLANK('2025'!$P433), 0, 1), 3, if(ISBLANK('2025'!$Q433), 0, 1), 4, if(ISBLANK('2025'!$R433), 0, 1), 5, if(ISBLANK('2025'!$S433), 0, 1), 6, if(ISBLANK('2025'!$T433), 0, 1), 7, 0))), 1, "")</f>
        <v/>
      </c>
      <c r="AA470" s="1" t="str">
        <f>IF(AND(AND(AND(AA$4&gt;='2025'!$L433,AA$4&lt;='2025'!$M433), AA$4&lt;&gt;DATE(2025,7,4)), (SWITCH(weekday(AA$4), 1, 0, 2, if(ISBLANK('2025'!$P433), 0, 1), 3, if(ISBLANK('2025'!$Q433), 0, 1), 4, if(ISBLANK('2025'!$R433), 0, 1), 5, if(ISBLANK('2025'!$S433), 0, 1), 6, if(ISBLANK('2025'!$T433), 0, 1), 7, 0))), 1, "")</f>
        <v/>
      </c>
      <c r="AB470" s="1" t="str">
        <f>IF(AND(AND(AND(AB$4&gt;='2025'!$L433,AB$4&lt;='2025'!$M433), AB$4&lt;&gt;DATE(2025,7,4)), (SWITCH(weekday(AB$4), 1, 0, 2, if(ISBLANK('2025'!$P433), 0, 1), 3, if(ISBLANK('2025'!$Q433), 0, 1), 4, if(ISBLANK('2025'!$R433), 0, 1), 5, if(ISBLANK('2025'!$S433), 0, 1), 6, if(ISBLANK('2025'!$T433), 0, 1), 7, 0))), 1, "")</f>
        <v/>
      </c>
      <c r="AC470" s="1" t="str">
        <f>IF(AND(AND(AND(AC$4&gt;='2025'!$L433,AC$4&lt;='2025'!$M433), AC$4&lt;&gt;DATE(2025,7,4)), (SWITCH(weekday(AC$4), 1, 0, 2, if(ISBLANK('2025'!$P433), 0, 1), 3, if(ISBLANK('2025'!$Q433), 0, 1), 4, if(ISBLANK('2025'!$R433), 0, 1), 5, if(ISBLANK('2025'!$S433), 0, 1), 6, if(ISBLANK('2025'!$T433), 0, 1), 7, 0))), 1, "")</f>
        <v/>
      </c>
      <c r="AD470" s="1" t="str">
        <f>IF(AND(AND(AND(AD$4&gt;='2025'!$L433,AD$4&lt;='2025'!$M433), AD$4&lt;&gt;DATE(2025,7,4)), (SWITCH(weekday(AD$4), 1, 0, 2, if(ISBLANK('2025'!$P433), 0, 1), 3, if(ISBLANK('2025'!$Q433), 0, 1), 4, if(ISBLANK('2025'!$R433), 0, 1), 5, if(ISBLANK('2025'!$S433), 0, 1), 6, if(ISBLANK('2025'!$T433), 0, 1), 7, 0))), 1, "")</f>
        <v/>
      </c>
      <c r="AE470" s="1" t="str">
        <f>IF(AND(AND(AND(AE$4&gt;='2025'!$L433,AE$4&lt;='2025'!$M433), AE$4&lt;&gt;DATE(2025,7,4)), (SWITCH(weekday(AE$4), 1, 0, 2, if(ISBLANK('2025'!$P433), 0, 1), 3, if(ISBLANK('2025'!$Q433), 0, 1), 4, if(ISBLANK('2025'!$R433), 0, 1), 5, if(ISBLANK('2025'!$S433), 0, 1), 6, if(ISBLANK('2025'!$T433), 0, 1), 7, 0))), 1, "")</f>
        <v/>
      </c>
      <c r="AF470" s="1" t="str">
        <f>IF(AND(AND(AND(AF$4&gt;='2025'!$L433,AF$4&lt;='2025'!$M433), AF$4&lt;&gt;DATE(2025,7,4)), (SWITCH(weekday(AF$4), 1, 0, 2, if(ISBLANK('2025'!$P433), 0, 1), 3, if(ISBLANK('2025'!$Q433), 0, 1), 4, if(ISBLANK('2025'!$R433), 0, 1), 5, if(ISBLANK('2025'!$S433), 0, 1), 6, if(ISBLANK('2025'!$T433), 0, 1), 7, 0))), 1, "")</f>
        <v/>
      </c>
      <c r="AG470" s="1" t="str">
        <f>IF(AND(AND(AND(AG$4&gt;='2025'!$L433,AG$4&lt;='2025'!$M433), AG$4&lt;&gt;DATE(2025,7,4)), (SWITCH(weekday(AG$4), 1, 0, 2, if(ISBLANK('2025'!$P433), 0, 1), 3, if(ISBLANK('2025'!$Q433), 0, 1), 4, if(ISBLANK('2025'!$R433), 0, 1), 5, if(ISBLANK('2025'!$S433), 0, 1), 6, if(ISBLANK('2025'!$T433), 0, 1), 7, 0))), 1, "")</f>
        <v/>
      </c>
      <c r="AH470" s="1" t="str">
        <f>IF(AND(AND(AND(AH$4&gt;='2025'!$L433,AH$4&lt;='2025'!$M433), AH$4&lt;&gt;DATE(2025,7,4)), (SWITCH(weekday(AH$4), 1, 0, 2, if(ISBLANK('2025'!$P433), 0, 1), 3, if(ISBLANK('2025'!$Q433), 0, 1), 4, if(ISBLANK('2025'!$R433), 0, 1), 5, if(ISBLANK('2025'!$S433), 0, 1), 6, if(ISBLANK('2025'!$T433), 0, 1), 7, 0))), 1, "")</f>
        <v/>
      </c>
      <c r="AI470" s="1" t="str">
        <f>IF(AND(AND(AND(AI$4&gt;='2025'!$L433,AI$4&lt;='2025'!$M433), AI$4&lt;&gt;DATE(2025,7,4)), (SWITCH(weekday(AI$4), 1, 0, 2, if(ISBLANK('2025'!$P433), 0, 1), 3, if(ISBLANK('2025'!$Q433), 0, 1), 4, if(ISBLANK('2025'!$R433), 0, 1), 5, if(ISBLANK('2025'!$S433), 0, 1), 6, if(ISBLANK('2025'!$T433), 0, 1), 7, 0))), 1, "")</f>
        <v/>
      </c>
      <c r="AJ470" s="1" t="str">
        <f>IF(AND(AND(AND(AJ$4&gt;='2025'!$L433,AJ$4&lt;='2025'!$M433), AJ$4&lt;&gt;DATE(2025,7,4)), (SWITCH(weekday(AJ$4), 1, 0, 2, if(ISBLANK('2025'!$P433), 0, 1), 3, if(ISBLANK('2025'!$Q433), 0, 1), 4, if(ISBLANK('2025'!$R433), 0, 1), 5, if(ISBLANK('2025'!$S433), 0, 1), 6, if(ISBLANK('2025'!$T433), 0, 1), 7, 0))), 1, "")</f>
        <v/>
      </c>
      <c r="AK470" s="1" t="str">
        <f>IF(AND(AND(AND(AK$4&gt;='2025'!$L433,AK$4&lt;='2025'!$M433), AK$4&lt;&gt;DATE(2025,7,4)), (SWITCH(weekday(AK$4), 1, 0, 2, if(ISBLANK('2025'!$P433), 0, 1), 3, if(ISBLANK('2025'!$Q433), 0, 1), 4, if(ISBLANK('2025'!$R433), 0, 1), 5, if(ISBLANK('2025'!$S433), 0, 1), 6, if(ISBLANK('2025'!$T433), 0, 1), 7, 0))), 1, "")</f>
        <v/>
      </c>
      <c r="AL470" s="1" t="str">
        <f>IF(AND(AND(AND(AL$4&gt;='2025'!$L433,AL$4&lt;='2025'!$M433), AL$4&lt;&gt;DATE(2025,7,4)), (SWITCH(weekday(AL$4), 1, 0, 2, if(ISBLANK('2025'!$P433), 0, 1), 3, if(ISBLANK('2025'!$Q433), 0, 1), 4, if(ISBLANK('2025'!$R433), 0, 1), 5, if(ISBLANK('2025'!$S433), 0, 1), 6, if(ISBLANK('2025'!$T433), 0, 1), 7, 0))), 1, "")</f>
        <v/>
      </c>
      <c r="AM470" s="1" t="str">
        <f>IF(AND(AND(AND(AM$4&gt;='2025'!$L433,AM$4&lt;='2025'!$M433), AM$4&lt;&gt;DATE(2025,7,4)), (SWITCH(weekday(AM$4), 1, 0, 2, if(ISBLANK('2025'!$P433), 0, 1), 3, if(ISBLANK('2025'!$Q433), 0, 1), 4, if(ISBLANK('2025'!$R433), 0, 1), 5, if(ISBLANK('2025'!$S433), 0, 1), 6, if(ISBLANK('2025'!$T433), 0, 1), 7, 0))), 1, "")</f>
        <v/>
      </c>
      <c r="AN470" s="1" t="str">
        <f>IF(AND(AND(AND(AN$4&gt;='2025'!$L433,AN$4&lt;='2025'!$M433), AN$4&lt;&gt;DATE(2025,7,4)), (SWITCH(weekday(AN$4), 1, 0, 2, if(ISBLANK('2025'!$P433), 0, 1), 3, if(ISBLANK('2025'!$Q433), 0, 1), 4, if(ISBLANK('2025'!$R433), 0, 1), 5, if(ISBLANK('2025'!$S433), 0, 1), 6, if(ISBLANK('2025'!$T433), 0, 1), 7, 0))), 1, "")</f>
        <v/>
      </c>
      <c r="AO470" s="1" t="str">
        <f>IF(AND(AND(AND(AO$4&gt;='2025'!$L433,AO$4&lt;='2025'!$M433), AO$4&lt;&gt;DATE(2025,7,4)), (SWITCH(weekday(AO$4), 1, 0, 2, if(ISBLANK('2025'!$P433), 0, 1), 3, if(ISBLANK('2025'!$Q433), 0, 1), 4, if(ISBLANK('2025'!$R433), 0, 1), 5, if(ISBLANK('2025'!$S433), 0, 1), 6, if(ISBLANK('2025'!$T433), 0, 1), 7, 0))), 1, "")</f>
        <v/>
      </c>
      <c r="AP470" s="1" t="str">
        <f>IF(AND(AND(AND(AP$4&gt;='2025'!$L433,AP$4&lt;='2025'!$M433), AP$4&lt;&gt;DATE(2025,7,4)), (SWITCH(weekday(AP$4), 1, 0, 2, if(ISBLANK('2025'!$P433), 0, 1), 3, if(ISBLANK('2025'!$Q433), 0, 1), 4, if(ISBLANK('2025'!$R433), 0, 1), 5, if(ISBLANK('2025'!$S433), 0, 1), 6, if(ISBLANK('2025'!$T433), 0, 1), 7, 0))), 1, "")</f>
        <v/>
      </c>
      <c r="AQ470" s="1" t="str">
        <f>IF(AND(AND(AND(AQ$4&gt;='2025'!$L433,AQ$4&lt;='2025'!$M433), AQ$4&lt;&gt;DATE(2025,7,4)), (SWITCH(weekday(AQ$4), 1, 0, 2, if(ISBLANK('2025'!$P433), 0, 1), 3, if(ISBLANK('2025'!$Q433), 0, 1), 4, if(ISBLANK('2025'!$R433), 0, 1), 5, if(ISBLANK('2025'!$S433), 0, 1), 6, if(ISBLANK('2025'!$T433), 0, 1), 7, 0))), 1, "")</f>
        <v/>
      </c>
      <c r="AR470" s="1" t="str">
        <f>IF(AND(AND(AND(AR$4&gt;='2025'!$L433,AR$4&lt;='2025'!$M433), AR$4&lt;&gt;DATE(2025,7,4)), (SWITCH(weekday(AR$4), 1, 0, 2, if(ISBLANK('2025'!$P433), 0, 1), 3, if(ISBLANK('2025'!$Q433), 0, 1), 4, if(ISBLANK('2025'!$R433), 0, 1), 5, if(ISBLANK('2025'!$S433), 0, 1), 6, if(ISBLANK('2025'!$T433), 0, 1), 7, 0))), 1, "")</f>
        <v/>
      </c>
      <c r="AS470" s="1" t="str">
        <f>IF(AND(AND(AND(AS$4&gt;='2025'!$L433,AS$4&lt;='2025'!$M433), AS$4&lt;&gt;DATE(2025,7,4)), (SWITCH(weekday(AS$4), 1, 0, 2, if(ISBLANK('2025'!$P433), 0, 1), 3, if(ISBLANK('2025'!$Q433), 0, 1), 4, if(ISBLANK('2025'!$R433), 0, 1), 5, if(ISBLANK('2025'!$S433), 0, 1), 6, if(ISBLANK('2025'!$T433), 0, 1), 7, 0))), 1, "")</f>
        <v/>
      </c>
      <c r="AT470" s="1" t="str">
        <f>IF(AND(AND(AND(AT$4&gt;='2025'!$L433,AT$4&lt;='2025'!$M433), AT$4&lt;&gt;DATE(2025,7,4)), (SWITCH(weekday(AT$4), 1, 0, 2, if(ISBLANK('2025'!$P433), 0, 1), 3, if(ISBLANK('2025'!$Q433), 0, 1), 4, if(ISBLANK('2025'!$R433), 0, 1), 5, if(ISBLANK('2025'!$S433), 0, 1), 6, if(ISBLANK('2025'!$T433), 0, 1), 7, 0))), 1, "")</f>
        <v/>
      </c>
      <c r="AU470" s="1" t="str">
        <f>IF(AND(AND(AND(AU$4&gt;='2025'!$L433,AU$4&lt;='2025'!$M433), AU$4&lt;&gt;DATE(2025,7,4)), (SWITCH(weekday(AU$4), 1, 0, 2, if(ISBLANK('2025'!$P433), 0, 1), 3, if(ISBLANK('2025'!$Q433), 0, 1), 4, if(ISBLANK('2025'!$R433), 0, 1), 5, if(ISBLANK('2025'!$S433), 0, 1), 6, if(ISBLANK('2025'!$T433), 0, 1), 7, 0))), 1, "")</f>
        <v/>
      </c>
      <c r="AV470" s="1" t="str">
        <f>IF(AND(AND(AND(AV$4&gt;='2025'!$L433,AV$4&lt;='2025'!$M433), AV$4&lt;&gt;DATE(2025,7,4)), (SWITCH(weekday(AV$4), 1, 0, 2, if(ISBLANK('2025'!$P433), 0, 1), 3, if(ISBLANK('2025'!$Q433), 0, 1), 4, if(ISBLANK('2025'!$R433), 0, 1), 5, if(ISBLANK('2025'!$S433), 0, 1), 6, if(ISBLANK('2025'!$T433), 0, 1), 7, 0))), 1, "")</f>
        <v/>
      </c>
      <c r="AW470" s="1" t="str">
        <f>IF(AND(AND(AND(AW$4&gt;='2025'!$L433,AW$4&lt;='2025'!$M433), AW$4&lt;&gt;DATE(2025,7,4)), (SWITCH(weekday(AW$4), 1, 0, 2, if(ISBLANK('2025'!$P433), 0, 1), 3, if(ISBLANK('2025'!$Q433), 0, 1), 4, if(ISBLANK('2025'!$R433), 0, 1), 5, if(ISBLANK('2025'!$S433), 0, 1), 6, if(ISBLANK('2025'!$T433), 0, 1), 7, 0))), 1, "")</f>
        <v/>
      </c>
      <c r="AX470" s="1" t="str">
        <f>IF(AND(AND(AND(AX$4&gt;='2025'!$L433,AX$4&lt;='2025'!$M433), AX$4&lt;&gt;DATE(2025,7,4)), (SWITCH(weekday(AX$4), 1, 0, 2, if(ISBLANK('2025'!$P433), 0, 1), 3, if(ISBLANK('2025'!$Q433), 0, 1), 4, if(ISBLANK('2025'!$R433), 0, 1), 5, if(ISBLANK('2025'!$S433), 0, 1), 6, if(ISBLANK('2025'!$T433), 0, 1), 7, 0))), 1, "")</f>
        <v/>
      </c>
      <c r="AY470" s="1" t="str">
        <f>IF(AND(AND(AND(AY$4&gt;='2025'!$L433,AY$4&lt;='2025'!$M433), AY$4&lt;&gt;DATE(2025,7,4)), (SWITCH(weekday(AY$4), 1, 0, 2, if(ISBLANK('2025'!$P433), 0, 1), 3, if(ISBLANK('2025'!$Q433), 0, 1), 4, if(ISBLANK('2025'!$R433), 0, 1), 5, if(ISBLANK('2025'!$S433), 0, 1), 6, if(ISBLANK('2025'!$T433), 0, 1), 7, 0))), 1, "")</f>
        <v/>
      </c>
      <c r="AZ470" s="1" t="str">
        <f>IF(AND(AND(AND(AZ$4&gt;='2025'!$L433,AZ$4&lt;='2025'!$M433), AZ$4&lt;&gt;DATE(2025,7,4)), (SWITCH(weekday(AZ$4), 1, 0, 2, if(ISBLANK('2025'!$P433), 0, 1), 3, if(ISBLANK('2025'!$Q433), 0, 1), 4, if(ISBLANK('2025'!$R433), 0, 1), 5, if(ISBLANK('2025'!$S433), 0, 1), 6, if(ISBLANK('2025'!$T433), 0, 1), 7, 0))), 1, "")</f>
        <v/>
      </c>
      <c r="BA470" s="1" t="str">
        <f>IF(AND(AND(AND(BA$4&gt;='2025'!$L433,BA$4&lt;='2025'!$M433), BA$4&lt;&gt;DATE(2025,7,4)), (SWITCH(weekday(BA$4), 1, 0, 2, if(ISBLANK('2025'!$P433), 0, 1), 3, if(ISBLANK('2025'!$Q433), 0, 1), 4, if(ISBLANK('2025'!$R433), 0, 1), 5, if(ISBLANK('2025'!$S433), 0, 1), 6, if(ISBLANK('2025'!$T433), 0, 1), 7, 0))), 1, "")</f>
        <v/>
      </c>
      <c r="BB470" s="1" t="str">
        <f>IF(AND(AND(AND(BB$4&gt;='2025'!$L433,BB$4&lt;='2025'!$M433), BB$4&lt;&gt;DATE(2025,7,4)), (SWITCH(weekday(BB$4), 1, 0, 2, if(ISBLANK('2025'!$P433), 0, 1), 3, if(ISBLANK('2025'!$Q433), 0, 1), 4, if(ISBLANK('2025'!$R433), 0, 1), 5, if(ISBLANK('2025'!$S433), 0, 1), 6, if(ISBLANK('2025'!$T433), 0, 1), 7, 0))), 1, "")</f>
        <v/>
      </c>
      <c r="BC470" s="1" t="str">
        <f>IF(AND(AND(AND(BC$4&gt;='2025'!$L433,BC$4&lt;='2025'!$M433), BC$4&lt;&gt;DATE(2025,7,4)), (SWITCH(weekday(BC$4), 1, 0, 2, if(ISBLANK('2025'!$P433), 0, 1), 3, if(ISBLANK('2025'!$Q433), 0, 1), 4, if(ISBLANK('2025'!$R433), 0, 1), 5, if(ISBLANK('2025'!$S433), 0, 1), 6, if(ISBLANK('2025'!$T433), 0, 1), 7, 0))), 1, "")</f>
        <v/>
      </c>
      <c r="BD470" s="1" t="str">
        <f>IF(AND(AND(AND(BD$4&gt;='2025'!$L433,BD$4&lt;='2025'!$M433), BD$4&lt;&gt;DATE(2025,7,4)), (SWITCH(weekday(BD$4), 1, 0, 2, if(ISBLANK('2025'!$P433), 0, 1), 3, if(ISBLANK('2025'!$Q433), 0, 1), 4, if(ISBLANK('2025'!$R433), 0, 1), 5, if(ISBLANK('2025'!$S433), 0, 1), 6, if(ISBLANK('2025'!$T433), 0, 1), 7, 0))), 1, "")</f>
        <v/>
      </c>
      <c r="BE470" s="1" t="str">
        <f>IF(AND(AND(AND(BE$4&gt;='2025'!$L433,BE$4&lt;='2025'!$M433), BE$4&lt;&gt;DATE(2025,7,4)), (SWITCH(weekday(BE$4), 1, 0, 2, if(ISBLANK('2025'!$P433), 0, 1), 3, if(ISBLANK('2025'!$Q433), 0, 1), 4, if(ISBLANK('2025'!$R433), 0, 1), 5, if(ISBLANK('2025'!$S433), 0, 1), 6, if(ISBLANK('2025'!$T433), 0, 1), 7, 0))), 1, "")</f>
        <v/>
      </c>
    </row>
    <row r="471">
      <c r="A471" s="1">
        <f t="shared" si="3"/>
        <v>471</v>
      </c>
      <c r="B471" s="1" t="str">
        <f>'2025'!D434</f>
        <v/>
      </c>
      <c r="C471" s="1" t="str">
        <f>'2025'!H434</f>
        <v/>
      </c>
      <c r="D471" s="1" t="str">
        <f>IF(AND(AND(AND(D$4&gt;='2025'!$L434,D$4&lt;='2025'!$M434), D$4&lt;&gt;DATE(2025,7,4)), (SWITCH(weekday(D$4), 1, 0, 2, if(ISBLANK('2025'!$P434), 0, 1), 3, if(ISBLANK('2025'!$Q434), 0, 1), 4, if(ISBLANK('2025'!$R434), 0, 1), 5, if(ISBLANK('2025'!$S434), 0, 1), 6, if(ISBLANK('2025'!$T434), 0, 1), 7, 0))), 1, "")</f>
        <v/>
      </c>
      <c r="E471" s="1" t="str">
        <f>IF(AND(AND(AND(E$4&gt;='2025'!$L434,E$4&lt;='2025'!$M434), E$4&lt;&gt;DATE(2025,7,4)), (SWITCH(weekday(E$4), 1, 0, 2, if(ISBLANK('2025'!$P434), 0, 1), 3, if(ISBLANK('2025'!$Q434), 0, 1), 4, if(ISBLANK('2025'!$R434), 0, 1), 5, if(ISBLANK('2025'!$S434), 0, 1), 6, if(ISBLANK('2025'!$T434), 0, 1), 7, 0))), 1, "")</f>
        <v/>
      </c>
      <c r="F471" s="1" t="str">
        <f>IF(AND(AND(AND(F$4&gt;='2025'!$L434,F$4&lt;='2025'!$M434), F$4&lt;&gt;DATE(2025,7,4)), (SWITCH(weekday(F$4), 1, 0, 2, if(ISBLANK('2025'!$P434), 0, 1), 3, if(ISBLANK('2025'!$Q434), 0, 1), 4, if(ISBLANK('2025'!$R434), 0, 1), 5, if(ISBLANK('2025'!$S434), 0, 1), 6, if(ISBLANK('2025'!$T434), 0, 1), 7, 0))), 1, "")</f>
        <v/>
      </c>
      <c r="G471" s="1" t="str">
        <f>IF(AND(AND(AND(G$4&gt;='2025'!$L434,G$4&lt;='2025'!$M434), G$4&lt;&gt;DATE(2025,7,4)), (SWITCH(weekday(G$4), 1, 0, 2, if(ISBLANK('2025'!$P434), 0, 1), 3, if(ISBLANK('2025'!$Q434), 0, 1), 4, if(ISBLANK('2025'!$R434), 0, 1), 5, if(ISBLANK('2025'!$S434), 0, 1), 6, if(ISBLANK('2025'!$T434), 0, 1), 7, 0))), 1, "")</f>
        <v/>
      </c>
      <c r="H471" s="1" t="str">
        <f>IF(AND(AND(AND(H$4&gt;='2025'!$L434,H$4&lt;='2025'!$M434), H$4&lt;&gt;DATE(2025,7,4)), (SWITCH(weekday(H$4), 1, 0, 2, if(ISBLANK('2025'!$P434), 0, 1), 3, if(ISBLANK('2025'!$Q434), 0, 1), 4, if(ISBLANK('2025'!$R434), 0, 1), 5, if(ISBLANK('2025'!$S434), 0, 1), 6, if(ISBLANK('2025'!$T434), 0, 1), 7, 0))), 1, "")</f>
        <v/>
      </c>
      <c r="I471" s="1" t="str">
        <f>IF(AND(AND(AND(I$4&gt;='2025'!$L434,I$4&lt;='2025'!$M434), I$4&lt;&gt;DATE(2025,7,4)), (SWITCH(weekday(I$4), 1, 0, 2, if(ISBLANK('2025'!$P434), 0, 1), 3, if(ISBLANK('2025'!$Q434), 0, 1), 4, if(ISBLANK('2025'!$R434), 0, 1), 5, if(ISBLANK('2025'!$S434), 0, 1), 6, if(ISBLANK('2025'!$T434), 0, 1), 7, 0))), 1, "")</f>
        <v/>
      </c>
      <c r="J471" s="1" t="str">
        <f>IF(AND(AND(AND(J$4&gt;='2025'!$L434,J$4&lt;='2025'!$M434), J$4&lt;&gt;DATE(2025,7,4)), (SWITCH(weekday(J$4), 1, 0, 2, if(ISBLANK('2025'!$P434), 0, 1), 3, if(ISBLANK('2025'!$Q434), 0, 1), 4, if(ISBLANK('2025'!$R434), 0, 1), 5, if(ISBLANK('2025'!$S434), 0, 1), 6, if(ISBLANK('2025'!$T434), 0, 1), 7, 0))), 1, "")</f>
        <v/>
      </c>
      <c r="K471" s="1" t="str">
        <f>IF(AND(AND(AND(K$4&gt;='2025'!$L434,K$4&lt;='2025'!$M434), K$4&lt;&gt;DATE(2025,7,4)), (SWITCH(weekday(K$4), 1, 0, 2, if(ISBLANK('2025'!$P434), 0, 1), 3, if(ISBLANK('2025'!$Q434), 0, 1), 4, if(ISBLANK('2025'!$R434), 0, 1), 5, if(ISBLANK('2025'!$S434), 0, 1), 6, if(ISBLANK('2025'!$T434), 0, 1), 7, 0))), 1, "")</f>
        <v/>
      </c>
      <c r="L471" s="1" t="str">
        <f>IF(AND(AND(AND(L$4&gt;='2025'!$L434,L$4&lt;='2025'!$M434), L$4&lt;&gt;DATE(2025,7,4)), (SWITCH(weekday(L$4), 1, 0, 2, if(ISBLANK('2025'!$P434), 0, 1), 3, if(ISBLANK('2025'!$Q434), 0, 1), 4, if(ISBLANK('2025'!$R434), 0, 1), 5, if(ISBLANK('2025'!$S434), 0, 1), 6, if(ISBLANK('2025'!$T434), 0, 1), 7, 0))), 1, "")</f>
        <v/>
      </c>
      <c r="M471" s="1" t="str">
        <f>IF(AND(AND(AND(M$4&gt;='2025'!$L434,M$4&lt;='2025'!$M434), M$4&lt;&gt;DATE(2025,7,4)), (SWITCH(weekday(M$4), 1, 0, 2, if(ISBLANK('2025'!$P434), 0, 1), 3, if(ISBLANK('2025'!$Q434), 0, 1), 4, if(ISBLANK('2025'!$R434), 0, 1), 5, if(ISBLANK('2025'!$S434), 0, 1), 6, if(ISBLANK('2025'!$T434), 0, 1), 7, 0))), 1, "")</f>
        <v/>
      </c>
      <c r="N471" s="1" t="str">
        <f>IF(AND(AND(AND(N$4&gt;='2025'!$L434,N$4&lt;='2025'!$M434), N$4&lt;&gt;DATE(2025,7,4)), (SWITCH(weekday(N$4), 1, 0, 2, if(ISBLANK('2025'!$P434), 0, 1), 3, if(ISBLANK('2025'!$Q434), 0, 1), 4, if(ISBLANK('2025'!$R434), 0, 1), 5, if(ISBLANK('2025'!$S434), 0, 1), 6, if(ISBLANK('2025'!$T434), 0, 1), 7, 0))), 1, "")</f>
        <v/>
      </c>
      <c r="O471" s="1" t="str">
        <f>IF(AND(AND(AND(O$4&gt;='2025'!$L434,O$4&lt;='2025'!$M434), O$4&lt;&gt;DATE(2025,7,4)), (SWITCH(weekday(O$4), 1, 0, 2, if(ISBLANK('2025'!$P434), 0, 1), 3, if(ISBLANK('2025'!$Q434), 0, 1), 4, if(ISBLANK('2025'!$R434), 0, 1), 5, if(ISBLANK('2025'!$S434), 0, 1), 6, if(ISBLANK('2025'!$T434), 0, 1), 7, 0))), 1, "")</f>
        <v/>
      </c>
      <c r="P471" s="1" t="str">
        <f>IF(AND(AND(AND(P$4&gt;='2025'!$L434,P$4&lt;='2025'!$M434), P$4&lt;&gt;DATE(2025,7,4)), (SWITCH(weekday(P$4), 1, 0, 2, if(ISBLANK('2025'!$P434), 0, 1), 3, if(ISBLANK('2025'!$Q434), 0, 1), 4, if(ISBLANK('2025'!$R434), 0, 1), 5, if(ISBLANK('2025'!$S434), 0, 1), 6, if(ISBLANK('2025'!$T434), 0, 1), 7, 0))), 1, "")</f>
        <v/>
      </c>
      <c r="Q471" s="1" t="str">
        <f>IF(AND(AND(AND(Q$4&gt;='2025'!$L434,Q$4&lt;='2025'!$M434), Q$4&lt;&gt;DATE(2025,7,4)), (SWITCH(weekday(Q$4), 1, 0, 2, if(ISBLANK('2025'!$P434), 0, 1), 3, if(ISBLANK('2025'!$Q434), 0, 1), 4, if(ISBLANK('2025'!$R434), 0, 1), 5, if(ISBLANK('2025'!$S434), 0, 1), 6, if(ISBLANK('2025'!$T434), 0, 1), 7, 0))), 1, "")</f>
        <v/>
      </c>
      <c r="R471" s="1" t="str">
        <f>IF(AND(AND(AND(R$4&gt;='2025'!$L434,R$4&lt;='2025'!$M434), R$4&lt;&gt;DATE(2025,7,4)), (SWITCH(weekday(R$4), 1, 0, 2, if(ISBLANK('2025'!$P434), 0, 1), 3, if(ISBLANK('2025'!$Q434), 0, 1), 4, if(ISBLANK('2025'!$R434), 0, 1), 5, if(ISBLANK('2025'!$S434), 0, 1), 6, if(ISBLANK('2025'!$T434), 0, 1), 7, 0))), 1, "")</f>
        <v/>
      </c>
      <c r="S471" s="1" t="str">
        <f>IF(AND(AND(AND(S$4&gt;='2025'!$L434,S$4&lt;='2025'!$M434), S$4&lt;&gt;DATE(2025,7,4)), (SWITCH(weekday(S$4), 1, 0, 2, if(ISBLANK('2025'!$P434), 0, 1), 3, if(ISBLANK('2025'!$Q434), 0, 1), 4, if(ISBLANK('2025'!$R434), 0, 1), 5, if(ISBLANK('2025'!$S434), 0, 1), 6, if(ISBLANK('2025'!$T434), 0, 1), 7, 0))), 1, "")</f>
        <v/>
      </c>
      <c r="T471" s="1" t="str">
        <f>IF(AND(AND(AND(T$4&gt;='2025'!$L434,T$4&lt;='2025'!$M434), T$4&lt;&gt;DATE(2025,7,4)), (SWITCH(weekday(T$4), 1, 0, 2, if(ISBLANK('2025'!$P434), 0, 1), 3, if(ISBLANK('2025'!$Q434), 0, 1), 4, if(ISBLANK('2025'!$R434), 0, 1), 5, if(ISBLANK('2025'!$S434), 0, 1), 6, if(ISBLANK('2025'!$T434), 0, 1), 7, 0))), 1, "")</f>
        <v/>
      </c>
      <c r="U471" s="1" t="str">
        <f>IF(AND(AND(AND(U$4&gt;='2025'!$L434,U$4&lt;='2025'!$M434), U$4&lt;&gt;DATE(2025,7,4)), (SWITCH(weekday(U$4), 1, 0, 2, if(ISBLANK('2025'!$P434), 0, 1), 3, if(ISBLANK('2025'!$Q434), 0, 1), 4, if(ISBLANK('2025'!$R434), 0, 1), 5, if(ISBLANK('2025'!$S434), 0, 1), 6, if(ISBLANK('2025'!$T434), 0, 1), 7, 0))), 1, "")</f>
        <v/>
      </c>
      <c r="V471" s="1" t="str">
        <f>IF(AND(AND(AND(V$4&gt;='2025'!$L434,V$4&lt;='2025'!$M434), V$4&lt;&gt;DATE(2025,7,4)), (SWITCH(weekday(V$4), 1, 0, 2, if(ISBLANK('2025'!$P434), 0, 1), 3, if(ISBLANK('2025'!$Q434), 0, 1), 4, if(ISBLANK('2025'!$R434), 0, 1), 5, if(ISBLANK('2025'!$S434), 0, 1), 6, if(ISBLANK('2025'!$T434), 0, 1), 7, 0))), 1, "")</f>
        <v/>
      </c>
      <c r="W471" s="1" t="str">
        <f>IF(AND(AND(AND(W$4&gt;='2025'!$L434,W$4&lt;='2025'!$M434), W$4&lt;&gt;DATE(2025,7,4)), (SWITCH(weekday(W$4), 1, 0, 2, if(ISBLANK('2025'!$P434), 0, 1), 3, if(ISBLANK('2025'!$Q434), 0, 1), 4, if(ISBLANK('2025'!$R434), 0, 1), 5, if(ISBLANK('2025'!$S434), 0, 1), 6, if(ISBLANK('2025'!$T434), 0, 1), 7, 0))), 1, "")</f>
        <v/>
      </c>
      <c r="X471" s="1" t="str">
        <f>IF(AND(AND(AND(X$4&gt;='2025'!$L434,X$4&lt;='2025'!$M434), X$4&lt;&gt;DATE(2025,7,4)), (SWITCH(weekday(X$4), 1, 0, 2, if(ISBLANK('2025'!$P434), 0, 1), 3, if(ISBLANK('2025'!$Q434), 0, 1), 4, if(ISBLANK('2025'!$R434), 0, 1), 5, if(ISBLANK('2025'!$S434), 0, 1), 6, if(ISBLANK('2025'!$T434), 0, 1), 7, 0))), 1, "")</f>
        <v/>
      </c>
      <c r="Y471" s="1" t="str">
        <f>IF(AND(AND(AND(Y$4&gt;='2025'!$L434,Y$4&lt;='2025'!$M434), Y$4&lt;&gt;DATE(2025,7,4)), (SWITCH(weekday(Y$4), 1, 0, 2, if(ISBLANK('2025'!$P434), 0, 1), 3, if(ISBLANK('2025'!$Q434), 0, 1), 4, if(ISBLANK('2025'!$R434), 0, 1), 5, if(ISBLANK('2025'!$S434), 0, 1), 6, if(ISBLANK('2025'!$T434), 0, 1), 7, 0))), 1, "")</f>
        <v/>
      </c>
      <c r="Z471" s="1" t="str">
        <f>IF(AND(AND(AND(Z$4&gt;='2025'!$L434,Z$4&lt;='2025'!$M434), Z$4&lt;&gt;DATE(2025,7,4)), (SWITCH(weekday(Z$4), 1, 0, 2, if(ISBLANK('2025'!$P434), 0, 1), 3, if(ISBLANK('2025'!$Q434), 0, 1), 4, if(ISBLANK('2025'!$R434), 0, 1), 5, if(ISBLANK('2025'!$S434), 0, 1), 6, if(ISBLANK('2025'!$T434), 0, 1), 7, 0))), 1, "")</f>
        <v/>
      </c>
      <c r="AA471" s="1" t="str">
        <f>IF(AND(AND(AND(AA$4&gt;='2025'!$L434,AA$4&lt;='2025'!$M434), AA$4&lt;&gt;DATE(2025,7,4)), (SWITCH(weekday(AA$4), 1, 0, 2, if(ISBLANK('2025'!$P434), 0, 1), 3, if(ISBLANK('2025'!$Q434), 0, 1), 4, if(ISBLANK('2025'!$R434), 0, 1), 5, if(ISBLANK('2025'!$S434), 0, 1), 6, if(ISBLANK('2025'!$T434), 0, 1), 7, 0))), 1, "")</f>
        <v/>
      </c>
      <c r="AB471" s="1" t="str">
        <f>IF(AND(AND(AND(AB$4&gt;='2025'!$L434,AB$4&lt;='2025'!$M434), AB$4&lt;&gt;DATE(2025,7,4)), (SWITCH(weekday(AB$4), 1, 0, 2, if(ISBLANK('2025'!$P434), 0, 1), 3, if(ISBLANK('2025'!$Q434), 0, 1), 4, if(ISBLANK('2025'!$R434), 0, 1), 5, if(ISBLANK('2025'!$S434), 0, 1), 6, if(ISBLANK('2025'!$T434), 0, 1), 7, 0))), 1, "")</f>
        <v/>
      </c>
      <c r="AC471" s="1" t="str">
        <f>IF(AND(AND(AND(AC$4&gt;='2025'!$L434,AC$4&lt;='2025'!$M434), AC$4&lt;&gt;DATE(2025,7,4)), (SWITCH(weekday(AC$4), 1, 0, 2, if(ISBLANK('2025'!$P434), 0, 1), 3, if(ISBLANK('2025'!$Q434), 0, 1), 4, if(ISBLANK('2025'!$R434), 0, 1), 5, if(ISBLANK('2025'!$S434), 0, 1), 6, if(ISBLANK('2025'!$T434), 0, 1), 7, 0))), 1, "")</f>
        <v/>
      </c>
      <c r="AD471" s="1" t="str">
        <f>IF(AND(AND(AND(AD$4&gt;='2025'!$L434,AD$4&lt;='2025'!$M434), AD$4&lt;&gt;DATE(2025,7,4)), (SWITCH(weekday(AD$4), 1, 0, 2, if(ISBLANK('2025'!$P434), 0, 1), 3, if(ISBLANK('2025'!$Q434), 0, 1), 4, if(ISBLANK('2025'!$R434), 0, 1), 5, if(ISBLANK('2025'!$S434), 0, 1), 6, if(ISBLANK('2025'!$T434), 0, 1), 7, 0))), 1, "")</f>
        <v/>
      </c>
      <c r="AE471" s="1" t="str">
        <f>IF(AND(AND(AND(AE$4&gt;='2025'!$L434,AE$4&lt;='2025'!$M434), AE$4&lt;&gt;DATE(2025,7,4)), (SWITCH(weekday(AE$4), 1, 0, 2, if(ISBLANK('2025'!$P434), 0, 1), 3, if(ISBLANK('2025'!$Q434), 0, 1), 4, if(ISBLANK('2025'!$R434), 0, 1), 5, if(ISBLANK('2025'!$S434), 0, 1), 6, if(ISBLANK('2025'!$T434), 0, 1), 7, 0))), 1, "")</f>
        <v/>
      </c>
      <c r="AF471" s="1" t="str">
        <f>IF(AND(AND(AND(AF$4&gt;='2025'!$L434,AF$4&lt;='2025'!$M434), AF$4&lt;&gt;DATE(2025,7,4)), (SWITCH(weekday(AF$4), 1, 0, 2, if(ISBLANK('2025'!$P434), 0, 1), 3, if(ISBLANK('2025'!$Q434), 0, 1), 4, if(ISBLANK('2025'!$R434), 0, 1), 5, if(ISBLANK('2025'!$S434), 0, 1), 6, if(ISBLANK('2025'!$T434), 0, 1), 7, 0))), 1, "")</f>
        <v/>
      </c>
      <c r="AG471" s="1" t="str">
        <f>IF(AND(AND(AND(AG$4&gt;='2025'!$L434,AG$4&lt;='2025'!$M434), AG$4&lt;&gt;DATE(2025,7,4)), (SWITCH(weekday(AG$4), 1, 0, 2, if(ISBLANK('2025'!$P434), 0, 1), 3, if(ISBLANK('2025'!$Q434), 0, 1), 4, if(ISBLANK('2025'!$R434), 0, 1), 5, if(ISBLANK('2025'!$S434), 0, 1), 6, if(ISBLANK('2025'!$T434), 0, 1), 7, 0))), 1, "")</f>
        <v/>
      </c>
      <c r="AH471" s="1" t="str">
        <f>IF(AND(AND(AND(AH$4&gt;='2025'!$L434,AH$4&lt;='2025'!$M434), AH$4&lt;&gt;DATE(2025,7,4)), (SWITCH(weekday(AH$4), 1, 0, 2, if(ISBLANK('2025'!$P434), 0, 1), 3, if(ISBLANK('2025'!$Q434), 0, 1), 4, if(ISBLANK('2025'!$R434), 0, 1), 5, if(ISBLANK('2025'!$S434), 0, 1), 6, if(ISBLANK('2025'!$T434), 0, 1), 7, 0))), 1, "")</f>
        <v/>
      </c>
      <c r="AI471" s="1" t="str">
        <f>IF(AND(AND(AND(AI$4&gt;='2025'!$L434,AI$4&lt;='2025'!$M434), AI$4&lt;&gt;DATE(2025,7,4)), (SWITCH(weekday(AI$4), 1, 0, 2, if(ISBLANK('2025'!$P434), 0, 1), 3, if(ISBLANK('2025'!$Q434), 0, 1), 4, if(ISBLANK('2025'!$R434), 0, 1), 5, if(ISBLANK('2025'!$S434), 0, 1), 6, if(ISBLANK('2025'!$T434), 0, 1), 7, 0))), 1, "")</f>
        <v/>
      </c>
      <c r="AJ471" s="1" t="str">
        <f>IF(AND(AND(AND(AJ$4&gt;='2025'!$L434,AJ$4&lt;='2025'!$M434), AJ$4&lt;&gt;DATE(2025,7,4)), (SWITCH(weekday(AJ$4), 1, 0, 2, if(ISBLANK('2025'!$P434), 0, 1), 3, if(ISBLANK('2025'!$Q434), 0, 1), 4, if(ISBLANK('2025'!$R434), 0, 1), 5, if(ISBLANK('2025'!$S434), 0, 1), 6, if(ISBLANK('2025'!$T434), 0, 1), 7, 0))), 1, "")</f>
        <v/>
      </c>
      <c r="AK471" s="1" t="str">
        <f>IF(AND(AND(AND(AK$4&gt;='2025'!$L434,AK$4&lt;='2025'!$M434), AK$4&lt;&gt;DATE(2025,7,4)), (SWITCH(weekday(AK$4), 1, 0, 2, if(ISBLANK('2025'!$P434), 0, 1), 3, if(ISBLANK('2025'!$Q434), 0, 1), 4, if(ISBLANK('2025'!$R434), 0, 1), 5, if(ISBLANK('2025'!$S434), 0, 1), 6, if(ISBLANK('2025'!$T434), 0, 1), 7, 0))), 1, "")</f>
        <v/>
      </c>
      <c r="AL471" s="1" t="str">
        <f>IF(AND(AND(AND(AL$4&gt;='2025'!$L434,AL$4&lt;='2025'!$M434), AL$4&lt;&gt;DATE(2025,7,4)), (SWITCH(weekday(AL$4), 1, 0, 2, if(ISBLANK('2025'!$P434), 0, 1), 3, if(ISBLANK('2025'!$Q434), 0, 1), 4, if(ISBLANK('2025'!$R434), 0, 1), 5, if(ISBLANK('2025'!$S434), 0, 1), 6, if(ISBLANK('2025'!$T434), 0, 1), 7, 0))), 1, "")</f>
        <v/>
      </c>
      <c r="AM471" s="1" t="str">
        <f>IF(AND(AND(AND(AM$4&gt;='2025'!$L434,AM$4&lt;='2025'!$M434), AM$4&lt;&gt;DATE(2025,7,4)), (SWITCH(weekday(AM$4), 1, 0, 2, if(ISBLANK('2025'!$P434), 0, 1), 3, if(ISBLANK('2025'!$Q434), 0, 1), 4, if(ISBLANK('2025'!$R434), 0, 1), 5, if(ISBLANK('2025'!$S434), 0, 1), 6, if(ISBLANK('2025'!$T434), 0, 1), 7, 0))), 1, "")</f>
        <v/>
      </c>
      <c r="AN471" s="1" t="str">
        <f>IF(AND(AND(AND(AN$4&gt;='2025'!$L434,AN$4&lt;='2025'!$M434), AN$4&lt;&gt;DATE(2025,7,4)), (SWITCH(weekday(AN$4), 1, 0, 2, if(ISBLANK('2025'!$P434), 0, 1), 3, if(ISBLANK('2025'!$Q434), 0, 1), 4, if(ISBLANK('2025'!$R434), 0, 1), 5, if(ISBLANK('2025'!$S434), 0, 1), 6, if(ISBLANK('2025'!$T434), 0, 1), 7, 0))), 1, "")</f>
        <v/>
      </c>
      <c r="AO471" s="1" t="str">
        <f>IF(AND(AND(AND(AO$4&gt;='2025'!$L434,AO$4&lt;='2025'!$M434), AO$4&lt;&gt;DATE(2025,7,4)), (SWITCH(weekday(AO$4), 1, 0, 2, if(ISBLANK('2025'!$P434), 0, 1), 3, if(ISBLANK('2025'!$Q434), 0, 1), 4, if(ISBLANK('2025'!$R434), 0, 1), 5, if(ISBLANK('2025'!$S434), 0, 1), 6, if(ISBLANK('2025'!$T434), 0, 1), 7, 0))), 1, "")</f>
        <v/>
      </c>
      <c r="AP471" s="1" t="str">
        <f>IF(AND(AND(AND(AP$4&gt;='2025'!$L434,AP$4&lt;='2025'!$M434), AP$4&lt;&gt;DATE(2025,7,4)), (SWITCH(weekday(AP$4), 1, 0, 2, if(ISBLANK('2025'!$P434), 0, 1), 3, if(ISBLANK('2025'!$Q434), 0, 1), 4, if(ISBLANK('2025'!$R434), 0, 1), 5, if(ISBLANK('2025'!$S434), 0, 1), 6, if(ISBLANK('2025'!$T434), 0, 1), 7, 0))), 1, "")</f>
        <v/>
      </c>
      <c r="AQ471" s="1" t="str">
        <f>IF(AND(AND(AND(AQ$4&gt;='2025'!$L434,AQ$4&lt;='2025'!$M434), AQ$4&lt;&gt;DATE(2025,7,4)), (SWITCH(weekday(AQ$4), 1, 0, 2, if(ISBLANK('2025'!$P434), 0, 1), 3, if(ISBLANK('2025'!$Q434), 0, 1), 4, if(ISBLANK('2025'!$R434), 0, 1), 5, if(ISBLANK('2025'!$S434), 0, 1), 6, if(ISBLANK('2025'!$T434), 0, 1), 7, 0))), 1, "")</f>
        <v/>
      </c>
      <c r="AR471" s="1" t="str">
        <f>IF(AND(AND(AND(AR$4&gt;='2025'!$L434,AR$4&lt;='2025'!$M434), AR$4&lt;&gt;DATE(2025,7,4)), (SWITCH(weekday(AR$4), 1, 0, 2, if(ISBLANK('2025'!$P434), 0, 1), 3, if(ISBLANK('2025'!$Q434), 0, 1), 4, if(ISBLANK('2025'!$R434), 0, 1), 5, if(ISBLANK('2025'!$S434), 0, 1), 6, if(ISBLANK('2025'!$T434), 0, 1), 7, 0))), 1, "")</f>
        <v/>
      </c>
      <c r="AS471" s="1" t="str">
        <f>IF(AND(AND(AND(AS$4&gt;='2025'!$L434,AS$4&lt;='2025'!$M434), AS$4&lt;&gt;DATE(2025,7,4)), (SWITCH(weekday(AS$4), 1, 0, 2, if(ISBLANK('2025'!$P434), 0, 1), 3, if(ISBLANK('2025'!$Q434), 0, 1), 4, if(ISBLANK('2025'!$R434), 0, 1), 5, if(ISBLANK('2025'!$S434), 0, 1), 6, if(ISBLANK('2025'!$T434), 0, 1), 7, 0))), 1, "")</f>
        <v/>
      </c>
      <c r="AT471" s="1" t="str">
        <f>IF(AND(AND(AND(AT$4&gt;='2025'!$L434,AT$4&lt;='2025'!$M434), AT$4&lt;&gt;DATE(2025,7,4)), (SWITCH(weekday(AT$4), 1, 0, 2, if(ISBLANK('2025'!$P434), 0, 1), 3, if(ISBLANK('2025'!$Q434), 0, 1), 4, if(ISBLANK('2025'!$R434), 0, 1), 5, if(ISBLANK('2025'!$S434), 0, 1), 6, if(ISBLANK('2025'!$T434), 0, 1), 7, 0))), 1, "")</f>
        <v/>
      </c>
      <c r="AU471" s="1" t="str">
        <f>IF(AND(AND(AND(AU$4&gt;='2025'!$L434,AU$4&lt;='2025'!$M434), AU$4&lt;&gt;DATE(2025,7,4)), (SWITCH(weekday(AU$4), 1, 0, 2, if(ISBLANK('2025'!$P434), 0, 1), 3, if(ISBLANK('2025'!$Q434), 0, 1), 4, if(ISBLANK('2025'!$R434), 0, 1), 5, if(ISBLANK('2025'!$S434), 0, 1), 6, if(ISBLANK('2025'!$T434), 0, 1), 7, 0))), 1, "")</f>
        <v/>
      </c>
      <c r="AV471" s="1" t="str">
        <f>IF(AND(AND(AND(AV$4&gt;='2025'!$L434,AV$4&lt;='2025'!$M434), AV$4&lt;&gt;DATE(2025,7,4)), (SWITCH(weekday(AV$4), 1, 0, 2, if(ISBLANK('2025'!$P434), 0, 1), 3, if(ISBLANK('2025'!$Q434), 0, 1), 4, if(ISBLANK('2025'!$R434), 0, 1), 5, if(ISBLANK('2025'!$S434), 0, 1), 6, if(ISBLANK('2025'!$T434), 0, 1), 7, 0))), 1, "")</f>
        <v/>
      </c>
      <c r="AW471" s="1" t="str">
        <f>IF(AND(AND(AND(AW$4&gt;='2025'!$L434,AW$4&lt;='2025'!$M434), AW$4&lt;&gt;DATE(2025,7,4)), (SWITCH(weekday(AW$4), 1, 0, 2, if(ISBLANK('2025'!$P434), 0, 1), 3, if(ISBLANK('2025'!$Q434), 0, 1), 4, if(ISBLANK('2025'!$R434), 0, 1), 5, if(ISBLANK('2025'!$S434), 0, 1), 6, if(ISBLANK('2025'!$T434), 0, 1), 7, 0))), 1, "")</f>
        <v/>
      </c>
      <c r="AX471" s="1" t="str">
        <f>IF(AND(AND(AND(AX$4&gt;='2025'!$L434,AX$4&lt;='2025'!$M434), AX$4&lt;&gt;DATE(2025,7,4)), (SWITCH(weekday(AX$4), 1, 0, 2, if(ISBLANK('2025'!$P434), 0, 1), 3, if(ISBLANK('2025'!$Q434), 0, 1), 4, if(ISBLANK('2025'!$R434), 0, 1), 5, if(ISBLANK('2025'!$S434), 0, 1), 6, if(ISBLANK('2025'!$T434), 0, 1), 7, 0))), 1, "")</f>
        <v/>
      </c>
      <c r="AY471" s="1" t="str">
        <f>IF(AND(AND(AND(AY$4&gt;='2025'!$L434,AY$4&lt;='2025'!$M434), AY$4&lt;&gt;DATE(2025,7,4)), (SWITCH(weekday(AY$4), 1, 0, 2, if(ISBLANK('2025'!$P434), 0, 1), 3, if(ISBLANK('2025'!$Q434), 0, 1), 4, if(ISBLANK('2025'!$R434), 0, 1), 5, if(ISBLANK('2025'!$S434), 0, 1), 6, if(ISBLANK('2025'!$T434), 0, 1), 7, 0))), 1, "")</f>
        <v/>
      </c>
      <c r="AZ471" s="1" t="str">
        <f>IF(AND(AND(AND(AZ$4&gt;='2025'!$L434,AZ$4&lt;='2025'!$M434), AZ$4&lt;&gt;DATE(2025,7,4)), (SWITCH(weekday(AZ$4), 1, 0, 2, if(ISBLANK('2025'!$P434), 0, 1), 3, if(ISBLANK('2025'!$Q434), 0, 1), 4, if(ISBLANK('2025'!$R434), 0, 1), 5, if(ISBLANK('2025'!$S434), 0, 1), 6, if(ISBLANK('2025'!$T434), 0, 1), 7, 0))), 1, "")</f>
        <v/>
      </c>
      <c r="BA471" s="1" t="str">
        <f>IF(AND(AND(AND(BA$4&gt;='2025'!$L434,BA$4&lt;='2025'!$M434), BA$4&lt;&gt;DATE(2025,7,4)), (SWITCH(weekday(BA$4), 1, 0, 2, if(ISBLANK('2025'!$P434), 0, 1), 3, if(ISBLANK('2025'!$Q434), 0, 1), 4, if(ISBLANK('2025'!$R434), 0, 1), 5, if(ISBLANK('2025'!$S434), 0, 1), 6, if(ISBLANK('2025'!$T434), 0, 1), 7, 0))), 1, "")</f>
        <v/>
      </c>
      <c r="BB471" s="1" t="str">
        <f>IF(AND(AND(AND(BB$4&gt;='2025'!$L434,BB$4&lt;='2025'!$M434), BB$4&lt;&gt;DATE(2025,7,4)), (SWITCH(weekday(BB$4), 1, 0, 2, if(ISBLANK('2025'!$P434), 0, 1), 3, if(ISBLANK('2025'!$Q434), 0, 1), 4, if(ISBLANK('2025'!$R434), 0, 1), 5, if(ISBLANK('2025'!$S434), 0, 1), 6, if(ISBLANK('2025'!$T434), 0, 1), 7, 0))), 1, "")</f>
        <v/>
      </c>
      <c r="BC471" s="1" t="str">
        <f>IF(AND(AND(AND(BC$4&gt;='2025'!$L434,BC$4&lt;='2025'!$M434), BC$4&lt;&gt;DATE(2025,7,4)), (SWITCH(weekday(BC$4), 1, 0, 2, if(ISBLANK('2025'!$P434), 0, 1), 3, if(ISBLANK('2025'!$Q434), 0, 1), 4, if(ISBLANK('2025'!$R434), 0, 1), 5, if(ISBLANK('2025'!$S434), 0, 1), 6, if(ISBLANK('2025'!$T434), 0, 1), 7, 0))), 1, "")</f>
        <v/>
      </c>
      <c r="BD471" s="1" t="str">
        <f>IF(AND(AND(AND(BD$4&gt;='2025'!$L434,BD$4&lt;='2025'!$M434), BD$4&lt;&gt;DATE(2025,7,4)), (SWITCH(weekday(BD$4), 1, 0, 2, if(ISBLANK('2025'!$P434), 0, 1), 3, if(ISBLANK('2025'!$Q434), 0, 1), 4, if(ISBLANK('2025'!$R434), 0, 1), 5, if(ISBLANK('2025'!$S434), 0, 1), 6, if(ISBLANK('2025'!$T434), 0, 1), 7, 0))), 1, "")</f>
        <v/>
      </c>
      <c r="BE471" s="1" t="str">
        <f>IF(AND(AND(AND(BE$4&gt;='2025'!$L434,BE$4&lt;='2025'!$M434), BE$4&lt;&gt;DATE(2025,7,4)), (SWITCH(weekday(BE$4), 1, 0, 2, if(ISBLANK('2025'!$P434), 0, 1), 3, if(ISBLANK('2025'!$Q434), 0, 1), 4, if(ISBLANK('2025'!$R434), 0, 1), 5, if(ISBLANK('2025'!$S434), 0, 1), 6, if(ISBLANK('2025'!$T434), 0, 1), 7, 0))), 1, "")</f>
        <v/>
      </c>
    </row>
    <row r="472">
      <c r="A472" s="1">
        <f t="shared" si="3"/>
        <v>472</v>
      </c>
      <c r="B472" s="1" t="str">
        <f>'2025'!D435</f>
        <v/>
      </c>
      <c r="C472" s="1" t="str">
        <f>'2025'!H435</f>
        <v/>
      </c>
      <c r="D472" s="1" t="str">
        <f>IF(AND(AND(AND(D$4&gt;='2025'!$L435,D$4&lt;='2025'!$M435), D$4&lt;&gt;DATE(2025,7,4)), (SWITCH(weekday(D$4), 1, 0, 2, if(ISBLANK('2025'!$P435), 0, 1), 3, if(ISBLANK('2025'!$Q435), 0, 1), 4, if(ISBLANK('2025'!$R435), 0, 1), 5, if(ISBLANK('2025'!$S435), 0, 1), 6, if(ISBLANK('2025'!$T435), 0, 1), 7, 0))), 1, "")</f>
        <v/>
      </c>
      <c r="E472" s="1" t="str">
        <f>IF(AND(AND(AND(E$4&gt;='2025'!$L435,E$4&lt;='2025'!$M435), E$4&lt;&gt;DATE(2025,7,4)), (SWITCH(weekday(E$4), 1, 0, 2, if(ISBLANK('2025'!$P435), 0, 1), 3, if(ISBLANK('2025'!$Q435), 0, 1), 4, if(ISBLANK('2025'!$R435), 0, 1), 5, if(ISBLANK('2025'!$S435), 0, 1), 6, if(ISBLANK('2025'!$T435), 0, 1), 7, 0))), 1, "")</f>
        <v/>
      </c>
      <c r="F472" s="1" t="str">
        <f>IF(AND(AND(AND(F$4&gt;='2025'!$L435,F$4&lt;='2025'!$M435), F$4&lt;&gt;DATE(2025,7,4)), (SWITCH(weekday(F$4), 1, 0, 2, if(ISBLANK('2025'!$P435), 0, 1), 3, if(ISBLANK('2025'!$Q435), 0, 1), 4, if(ISBLANK('2025'!$R435), 0, 1), 5, if(ISBLANK('2025'!$S435), 0, 1), 6, if(ISBLANK('2025'!$T435), 0, 1), 7, 0))), 1, "")</f>
        <v/>
      </c>
      <c r="G472" s="1" t="str">
        <f>IF(AND(AND(AND(G$4&gt;='2025'!$L435,G$4&lt;='2025'!$M435), G$4&lt;&gt;DATE(2025,7,4)), (SWITCH(weekday(G$4), 1, 0, 2, if(ISBLANK('2025'!$P435), 0, 1), 3, if(ISBLANK('2025'!$Q435), 0, 1), 4, if(ISBLANK('2025'!$R435), 0, 1), 5, if(ISBLANK('2025'!$S435), 0, 1), 6, if(ISBLANK('2025'!$T435), 0, 1), 7, 0))), 1, "")</f>
        <v/>
      </c>
      <c r="H472" s="1" t="str">
        <f>IF(AND(AND(AND(H$4&gt;='2025'!$L435,H$4&lt;='2025'!$M435), H$4&lt;&gt;DATE(2025,7,4)), (SWITCH(weekday(H$4), 1, 0, 2, if(ISBLANK('2025'!$P435), 0, 1), 3, if(ISBLANK('2025'!$Q435), 0, 1), 4, if(ISBLANK('2025'!$R435), 0, 1), 5, if(ISBLANK('2025'!$S435), 0, 1), 6, if(ISBLANK('2025'!$T435), 0, 1), 7, 0))), 1, "")</f>
        <v/>
      </c>
      <c r="I472" s="1" t="str">
        <f>IF(AND(AND(AND(I$4&gt;='2025'!$L435,I$4&lt;='2025'!$M435), I$4&lt;&gt;DATE(2025,7,4)), (SWITCH(weekday(I$4), 1, 0, 2, if(ISBLANK('2025'!$P435), 0, 1), 3, if(ISBLANK('2025'!$Q435), 0, 1), 4, if(ISBLANK('2025'!$R435), 0, 1), 5, if(ISBLANK('2025'!$S435), 0, 1), 6, if(ISBLANK('2025'!$T435), 0, 1), 7, 0))), 1, "")</f>
        <v/>
      </c>
      <c r="J472" s="1" t="str">
        <f>IF(AND(AND(AND(J$4&gt;='2025'!$L435,J$4&lt;='2025'!$M435), J$4&lt;&gt;DATE(2025,7,4)), (SWITCH(weekday(J$4), 1, 0, 2, if(ISBLANK('2025'!$P435), 0, 1), 3, if(ISBLANK('2025'!$Q435), 0, 1), 4, if(ISBLANK('2025'!$R435), 0, 1), 5, if(ISBLANK('2025'!$S435), 0, 1), 6, if(ISBLANK('2025'!$T435), 0, 1), 7, 0))), 1, "")</f>
        <v/>
      </c>
      <c r="K472" s="1" t="str">
        <f>IF(AND(AND(AND(K$4&gt;='2025'!$L435,K$4&lt;='2025'!$M435), K$4&lt;&gt;DATE(2025,7,4)), (SWITCH(weekday(K$4), 1, 0, 2, if(ISBLANK('2025'!$P435), 0, 1), 3, if(ISBLANK('2025'!$Q435), 0, 1), 4, if(ISBLANK('2025'!$R435), 0, 1), 5, if(ISBLANK('2025'!$S435), 0, 1), 6, if(ISBLANK('2025'!$T435), 0, 1), 7, 0))), 1, "")</f>
        <v/>
      </c>
      <c r="L472" s="1" t="str">
        <f>IF(AND(AND(AND(L$4&gt;='2025'!$L435,L$4&lt;='2025'!$M435), L$4&lt;&gt;DATE(2025,7,4)), (SWITCH(weekday(L$4), 1, 0, 2, if(ISBLANK('2025'!$P435), 0, 1), 3, if(ISBLANK('2025'!$Q435), 0, 1), 4, if(ISBLANK('2025'!$R435), 0, 1), 5, if(ISBLANK('2025'!$S435), 0, 1), 6, if(ISBLANK('2025'!$T435), 0, 1), 7, 0))), 1, "")</f>
        <v/>
      </c>
      <c r="M472" s="1" t="str">
        <f>IF(AND(AND(AND(M$4&gt;='2025'!$L435,M$4&lt;='2025'!$M435), M$4&lt;&gt;DATE(2025,7,4)), (SWITCH(weekday(M$4), 1, 0, 2, if(ISBLANK('2025'!$P435), 0, 1), 3, if(ISBLANK('2025'!$Q435), 0, 1), 4, if(ISBLANK('2025'!$R435), 0, 1), 5, if(ISBLANK('2025'!$S435), 0, 1), 6, if(ISBLANK('2025'!$T435), 0, 1), 7, 0))), 1, "")</f>
        <v/>
      </c>
      <c r="N472" s="1" t="str">
        <f>IF(AND(AND(AND(N$4&gt;='2025'!$L435,N$4&lt;='2025'!$M435), N$4&lt;&gt;DATE(2025,7,4)), (SWITCH(weekday(N$4), 1, 0, 2, if(ISBLANK('2025'!$P435), 0, 1), 3, if(ISBLANK('2025'!$Q435), 0, 1), 4, if(ISBLANK('2025'!$R435), 0, 1), 5, if(ISBLANK('2025'!$S435), 0, 1), 6, if(ISBLANK('2025'!$T435), 0, 1), 7, 0))), 1, "")</f>
        <v/>
      </c>
      <c r="O472" s="1" t="str">
        <f>IF(AND(AND(AND(O$4&gt;='2025'!$L435,O$4&lt;='2025'!$M435), O$4&lt;&gt;DATE(2025,7,4)), (SWITCH(weekday(O$4), 1, 0, 2, if(ISBLANK('2025'!$P435), 0, 1), 3, if(ISBLANK('2025'!$Q435), 0, 1), 4, if(ISBLANK('2025'!$R435), 0, 1), 5, if(ISBLANK('2025'!$S435), 0, 1), 6, if(ISBLANK('2025'!$T435), 0, 1), 7, 0))), 1, "")</f>
        <v/>
      </c>
      <c r="P472" s="1" t="str">
        <f>IF(AND(AND(AND(P$4&gt;='2025'!$L435,P$4&lt;='2025'!$M435), P$4&lt;&gt;DATE(2025,7,4)), (SWITCH(weekday(P$4), 1, 0, 2, if(ISBLANK('2025'!$P435), 0, 1), 3, if(ISBLANK('2025'!$Q435), 0, 1), 4, if(ISBLANK('2025'!$R435), 0, 1), 5, if(ISBLANK('2025'!$S435), 0, 1), 6, if(ISBLANK('2025'!$T435), 0, 1), 7, 0))), 1, "")</f>
        <v/>
      </c>
      <c r="Q472" s="1" t="str">
        <f>IF(AND(AND(AND(Q$4&gt;='2025'!$L435,Q$4&lt;='2025'!$M435), Q$4&lt;&gt;DATE(2025,7,4)), (SWITCH(weekday(Q$4), 1, 0, 2, if(ISBLANK('2025'!$P435), 0, 1), 3, if(ISBLANK('2025'!$Q435), 0, 1), 4, if(ISBLANK('2025'!$R435), 0, 1), 5, if(ISBLANK('2025'!$S435), 0, 1), 6, if(ISBLANK('2025'!$T435), 0, 1), 7, 0))), 1, "")</f>
        <v/>
      </c>
      <c r="R472" s="1" t="str">
        <f>IF(AND(AND(AND(R$4&gt;='2025'!$L435,R$4&lt;='2025'!$M435), R$4&lt;&gt;DATE(2025,7,4)), (SWITCH(weekday(R$4), 1, 0, 2, if(ISBLANK('2025'!$P435), 0, 1), 3, if(ISBLANK('2025'!$Q435), 0, 1), 4, if(ISBLANK('2025'!$R435), 0, 1), 5, if(ISBLANK('2025'!$S435), 0, 1), 6, if(ISBLANK('2025'!$T435), 0, 1), 7, 0))), 1, "")</f>
        <v/>
      </c>
      <c r="S472" s="1" t="str">
        <f>IF(AND(AND(AND(S$4&gt;='2025'!$L435,S$4&lt;='2025'!$M435), S$4&lt;&gt;DATE(2025,7,4)), (SWITCH(weekday(S$4), 1, 0, 2, if(ISBLANK('2025'!$P435), 0, 1), 3, if(ISBLANK('2025'!$Q435), 0, 1), 4, if(ISBLANK('2025'!$R435), 0, 1), 5, if(ISBLANK('2025'!$S435), 0, 1), 6, if(ISBLANK('2025'!$T435), 0, 1), 7, 0))), 1, "")</f>
        <v/>
      </c>
      <c r="T472" s="1" t="str">
        <f>IF(AND(AND(AND(T$4&gt;='2025'!$L435,T$4&lt;='2025'!$M435), T$4&lt;&gt;DATE(2025,7,4)), (SWITCH(weekday(T$4), 1, 0, 2, if(ISBLANK('2025'!$P435), 0, 1), 3, if(ISBLANK('2025'!$Q435), 0, 1), 4, if(ISBLANK('2025'!$R435), 0, 1), 5, if(ISBLANK('2025'!$S435), 0, 1), 6, if(ISBLANK('2025'!$T435), 0, 1), 7, 0))), 1, "")</f>
        <v/>
      </c>
      <c r="U472" s="1" t="str">
        <f>IF(AND(AND(AND(U$4&gt;='2025'!$L435,U$4&lt;='2025'!$M435), U$4&lt;&gt;DATE(2025,7,4)), (SWITCH(weekday(U$4), 1, 0, 2, if(ISBLANK('2025'!$P435), 0, 1), 3, if(ISBLANK('2025'!$Q435), 0, 1), 4, if(ISBLANK('2025'!$R435), 0, 1), 5, if(ISBLANK('2025'!$S435), 0, 1), 6, if(ISBLANK('2025'!$T435), 0, 1), 7, 0))), 1, "")</f>
        <v/>
      </c>
      <c r="V472" s="1" t="str">
        <f>IF(AND(AND(AND(V$4&gt;='2025'!$L435,V$4&lt;='2025'!$M435), V$4&lt;&gt;DATE(2025,7,4)), (SWITCH(weekday(V$4), 1, 0, 2, if(ISBLANK('2025'!$P435), 0, 1), 3, if(ISBLANK('2025'!$Q435), 0, 1), 4, if(ISBLANK('2025'!$R435), 0, 1), 5, if(ISBLANK('2025'!$S435), 0, 1), 6, if(ISBLANK('2025'!$T435), 0, 1), 7, 0))), 1, "")</f>
        <v/>
      </c>
      <c r="W472" s="1" t="str">
        <f>IF(AND(AND(AND(W$4&gt;='2025'!$L435,W$4&lt;='2025'!$M435), W$4&lt;&gt;DATE(2025,7,4)), (SWITCH(weekday(W$4), 1, 0, 2, if(ISBLANK('2025'!$P435), 0, 1), 3, if(ISBLANK('2025'!$Q435), 0, 1), 4, if(ISBLANK('2025'!$R435), 0, 1), 5, if(ISBLANK('2025'!$S435), 0, 1), 6, if(ISBLANK('2025'!$T435), 0, 1), 7, 0))), 1, "")</f>
        <v/>
      </c>
      <c r="X472" s="1" t="str">
        <f>IF(AND(AND(AND(X$4&gt;='2025'!$L435,X$4&lt;='2025'!$M435), X$4&lt;&gt;DATE(2025,7,4)), (SWITCH(weekday(X$4), 1, 0, 2, if(ISBLANK('2025'!$P435), 0, 1), 3, if(ISBLANK('2025'!$Q435), 0, 1), 4, if(ISBLANK('2025'!$R435), 0, 1), 5, if(ISBLANK('2025'!$S435), 0, 1), 6, if(ISBLANK('2025'!$T435), 0, 1), 7, 0))), 1, "")</f>
        <v/>
      </c>
      <c r="Y472" s="1" t="str">
        <f>IF(AND(AND(AND(Y$4&gt;='2025'!$L435,Y$4&lt;='2025'!$M435), Y$4&lt;&gt;DATE(2025,7,4)), (SWITCH(weekday(Y$4), 1, 0, 2, if(ISBLANK('2025'!$P435), 0, 1), 3, if(ISBLANK('2025'!$Q435), 0, 1), 4, if(ISBLANK('2025'!$R435), 0, 1), 5, if(ISBLANK('2025'!$S435), 0, 1), 6, if(ISBLANK('2025'!$T435), 0, 1), 7, 0))), 1, "")</f>
        <v/>
      </c>
      <c r="Z472" s="1" t="str">
        <f>IF(AND(AND(AND(Z$4&gt;='2025'!$L435,Z$4&lt;='2025'!$M435), Z$4&lt;&gt;DATE(2025,7,4)), (SWITCH(weekday(Z$4), 1, 0, 2, if(ISBLANK('2025'!$P435), 0, 1), 3, if(ISBLANK('2025'!$Q435), 0, 1), 4, if(ISBLANK('2025'!$R435), 0, 1), 5, if(ISBLANK('2025'!$S435), 0, 1), 6, if(ISBLANK('2025'!$T435), 0, 1), 7, 0))), 1, "")</f>
        <v/>
      </c>
      <c r="AA472" s="1" t="str">
        <f>IF(AND(AND(AND(AA$4&gt;='2025'!$L435,AA$4&lt;='2025'!$M435), AA$4&lt;&gt;DATE(2025,7,4)), (SWITCH(weekday(AA$4), 1, 0, 2, if(ISBLANK('2025'!$P435), 0, 1), 3, if(ISBLANK('2025'!$Q435), 0, 1), 4, if(ISBLANK('2025'!$R435), 0, 1), 5, if(ISBLANK('2025'!$S435), 0, 1), 6, if(ISBLANK('2025'!$T435), 0, 1), 7, 0))), 1, "")</f>
        <v/>
      </c>
      <c r="AB472" s="1" t="str">
        <f>IF(AND(AND(AND(AB$4&gt;='2025'!$L435,AB$4&lt;='2025'!$M435), AB$4&lt;&gt;DATE(2025,7,4)), (SWITCH(weekday(AB$4), 1, 0, 2, if(ISBLANK('2025'!$P435), 0, 1), 3, if(ISBLANK('2025'!$Q435), 0, 1), 4, if(ISBLANK('2025'!$R435), 0, 1), 5, if(ISBLANK('2025'!$S435), 0, 1), 6, if(ISBLANK('2025'!$T435), 0, 1), 7, 0))), 1, "")</f>
        <v/>
      </c>
      <c r="AC472" s="1" t="str">
        <f>IF(AND(AND(AND(AC$4&gt;='2025'!$L435,AC$4&lt;='2025'!$M435), AC$4&lt;&gt;DATE(2025,7,4)), (SWITCH(weekday(AC$4), 1, 0, 2, if(ISBLANK('2025'!$P435), 0, 1), 3, if(ISBLANK('2025'!$Q435), 0, 1), 4, if(ISBLANK('2025'!$R435), 0, 1), 5, if(ISBLANK('2025'!$S435), 0, 1), 6, if(ISBLANK('2025'!$T435), 0, 1), 7, 0))), 1, "")</f>
        <v/>
      </c>
      <c r="AD472" s="1" t="str">
        <f>IF(AND(AND(AND(AD$4&gt;='2025'!$L435,AD$4&lt;='2025'!$M435), AD$4&lt;&gt;DATE(2025,7,4)), (SWITCH(weekday(AD$4), 1, 0, 2, if(ISBLANK('2025'!$P435), 0, 1), 3, if(ISBLANK('2025'!$Q435), 0, 1), 4, if(ISBLANK('2025'!$R435), 0, 1), 5, if(ISBLANK('2025'!$S435), 0, 1), 6, if(ISBLANK('2025'!$T435), 0, 1), 7, 0))), 1, "")</f>
        <v/>
      </c>
      <c r="AE472" s="1" t="str">
        <f>IF(AND(AND(AND(AE$4&gt;='2025'!$L435,AE$4&lt;='2025'!$M435), AE$4&lt;&gt;DATE(2025,7,4)), (SWITCH(weekday(AE$4), 1, 0, 2, if(ISBLANK('2025'!$P435), 0, 1), 3, if(ISBLANK('2025'!$Q435), 0, 1), 4, if(ISBLANK('2025'!$R435), 0, 1), 5, if(ISBLANK('2025'!$S435), 0, 1), 6, if(ISBLANK('2025'!$T435), 0, 1), 7, 0))), 1, "")</f>
        <v/>
      </c>
      <c r="AF472" s="1" t="str">
        <f>IF(AND(AND(AND(AF$4&gt;='2025'!$L435,AF$4&lt;='2025'!$M435), AF$4&lt;&gt;DATE(2025,7,4)), (SWITCH(weekday(AF$4), 1, 0, 2, if(ISBLANK('2025'!$P435), 0, 1), 3, if(ISBLANK('2025'!$Q435), 0, 1), 4, if(ISBLANK('2025'!$R435), 0, 1), 5, if(ISBLANK('2025'!$S435), 0, 1), 6, if(ISBLANK('2025'!$T435), 0, 1), 7, 0))), 1, "")</f>
        <v/>
      </c>
      <c r="AG472" s="1" t="str">
        <f>IF(AND(AND(AND(AG$4&gt;='2025'!$L435,AG$4&lt;='2025'!$M435), AG$4&lt;&gt;DATE(2025,7,4)), (SWITCH(weekday(AG$4), 1, 0, 2, if(ISBLANK('2025'!$P435), 0, 1), 3, if(ISBLANK('2025'!$Q435), 0, 1), 4, if(ISBLANK('2025'!$R435), 0, 1), 5, if(ISBLANK('2025'!$S435), 0, 1), 6, if(ISBLANK('2025'!$T435), 0, 1), 7, 0))), 1, "")</f>
        <v/>
      </c>
      <c r="AH472" s="1" t="str">
        <f>IF(AND(AND(AND(AH$4&gt;='2025'!$L435,AH$4&lt;='2025'!$M435), AH$4&lt;&gt;DATE(2025,7,4)), (SWITCH(weekday(AH$4), 1, 0, 2, if(ISBLANK('2025'!$P435), 0, 1), 3, if(ISBLANK('2025'!$Q435), 0, 1), 4, if(ISBLANK('2025'!$R435), 0, 1), 5, if(ISBLANK('2025'!$S435), 0, 1), 6, if(ISBLANK('2025'!$T435), 0, 1), 7, 0))), 1, "")</f>
        <v/>
      </c>
      <c r="AI472" s="1" t="str">
        <f>IF(AND(AND(AND(AI$4&gt;='2025'!$L435,AI$4&lt;='2025'!$M435), AI$4&lt;&gt;DATE(2025,7,4)), (SWITCH(weekday(AI$4), 1, 0, 2, if(ISBLANK('2025'!$P435), 0, 1), 3, if(ISBLANK('2025'!$Q435), 0, 1), 4, if(ISBLANK('2025'!$R435), 0, 1), 5, if(ISBLANK('2025'!$S435), 0, 1), 6, if(ISBLANK('2025'!$T435), 0, 1), 7, 0))), 1, "")</f>
        <v/>
      </c>
      <c r="AJ472" s="1" t="str">
        <f>IF(AND(AND(AND(AJ$4&gt;='2025'!$L435,AJ$4&lt;='2025'!$M435), AJ$4&lt;&gt;DATE(2025,7,4)), (SWITCH(weekday(AJ$4), 1, 0, 2, if(ISBLANK('2025'!$P435), 0, 1), 3, if(ISBLANK('2025'!$Q435), 0, 1), 4, if(ISBLANK('2025'!$R435), 0, 1), 5, if(ISBLANK('2025'!$S435), 0, 1), 6, if(ISBLANK('2025'!$T435), 0, 1), 7, 0))), 1, "")</f>
        <v/>
      </c>
      <c r="AK472" s="1" t="str">
        <f>IF(AND(AND(AND(AK$4&gt;='2025'!$L435,AK$4&lt;='2025'!$M435), AK$4&lt;&gt;DATE(2025,7,4)), (SWITCH(weekday(AK$4), 1, 0, 2, if(ISBLANK('2025'!$P435), 0, 1), 3, if(ISBLANK('2025'!$Q435), 0, 1), 4, if(ISBLANK('2025'!$R435), 0, 1), 5, if(ISBLANK('2025'!$S435), 0, 1), 6, if(ISBLANK('2025'!$T435), 0, 1), 7, 0))), 1, "")</f>
        <v/>
      </c>
      <c r="AL472" s="1" t="str">
        <f>IF(AND(AND(AND(AL$4&gt;='2025'!$L435,AL$4&lt;='2025'!$M435), AL$4&lt;&gt;DATE(2025,7,4)), (SWITCH(weekday(AL$4), 1, 0, 2, if(ISBLANK('2025'!$P435), 0, 1), 3, if(ISBLANK('2025'!$Q435), 0, 1), 4, if(ISBLANK('2025'!$R435), 0, 1), 5, if(ISBLANK('2025'!$S435), 0, 1), 6, if(ISBLANK('2025'!$T435), 0, 1), 7, 0))), 1, "")</f>
        <v/>
      </c>
      <c r="AM472" s="1" t="str">
        <f>IF(AND(AND(AND(AM$4&gt;='2025'!$L435,AM$4&lt;='2025'!$M435), AM$4&lt;&gt;DATE(2025,7,4)), (SWITCH(weekday(AM$4), 1, 0, 2, if(ISBLANK('2025'!$P435), 0, 1), 3, if(ISBLANK('2025'!$Q435), 0, 1), 4, if(ISBLANK('2025'!$R435), 0, 1), 5, if(ISBLANK('2025'!$S435), 0, 1), 6, if(ISBLANK('2025'!$T435), 0, 1), 7, 0))), 1, "")</f>
        <v/>
      </c>
      <c r="AN472" s="1" t="str">
        <f>IF(AND(AND(AND(AN$4&gt;='2025'!$L435,AN$4&lt;='2025'!$M435), AN$4&lt;&gt;DATE(2025,7,4)), (SWITCH(weekday(AN$4), 1, 0, 2, if(ISBLANK('2025'!$P435), 0, 1), 3, if(ISBLANK('2025'!$Q435), 0, 1), 4, if(ISBLANK('2025'!$R435), 0, 1), 5, if(ISBLANK('2025'!$S435), 0, 1), 6, if(ISBLANK('2025'!$T435), 0, 1), 7, 0))), 1, "")</f>
        <v/>
      </c>
      <c r="AO472" s="1" t="str">
        <f>IF(AND(AND(AND(AO$4&gt;='2025'!$L435,AO$4&lt;='2025'!$M435), AO$4&lt;&gt;DATE(2025,7,4)), (SWITCH(weekday(AO$4), 1, 0, 2, if(ISBLANK('2025'!$P435), 0, 1), 3, if(ISBLANK('2025'!$Q435), 0, 1), 4, if(ISBLANK('2025'!$R435), 0, 1), 5, if(ISBLANK('2025'!$S435), 0, 1), 6, if(ISBLANK('2025'!$T435), 0, 1), 7, 0))), 1, "")</f>
        <v/>
      </c>
      <c r="AP472" s="1" t="str">
        <f>IF(AND(AND(AND(AP$4&gt;='2025'!$L435,AP$4&lt;='2025'!$M435), AP$4&lt;&gt;DATE(2025,7,4)), (SWITCH(weekday(AP$4), 1, 0, 2, if(ISBLANK('2025'!$P435), 0, 1), 3, if(ISBLANK('2025'!$Q435), 0, 1), 4, if(ISBLANK('2025'!$R435), 0, 1), 5, if(ISBLANK('2025'!$S435), 0, 1), 6, if(ISBLANK('2025'!$T435), 0, 1), 7, 0))), 1, "")</f>
        <v/>
      </c>
      <c r="AQ472" s="1" t="str">
        <f>IF(AND(AND(AND(AQ$4&gt;='2025'!$L435,AQ$4&lt;='2025'!$M435), AQ$4&lt;&gt;DATE(2025,7,4)), (SWITCH(weekday(AQ$4), 1, 0, 2, if(ISBLANK('2025'!$P435), 0, 1), 3, if(ISBLANK('2025'!$Q435), 0, 1), 4, if(ISBLANK('2025'!$R435), 0, 1), 5, if(ISBLANK('2025'!$S435), 0, 1), 6, if(ISBLANK('2025'!$T435), 0, 1), 7, 0))), 1, "")</f>
        <v/>
      </c>
      <c r="AR472" s="1" t="str">
        <f>IF(AND(AND(AND(AR$4&gt;='2025'!$L435,AR$4&lt;='2025'!$M435), AR$4&lt;&gt;DATE(2025,7,4)), (SWITCH(weekday(AR$4), 1, 0, 2, if(ISBLANK('2025'!$P435), 0, 1), 3, if(ISBLANK('2025'!$Q435), 0, 1), 4, if(ISBLANK('2025'!$R435), 0, 1), 5, if(ISBLANK('2025'!$S435), 0, 1), 6, if(ISBLANK('2025'!$T435), 0, 1), 7, 0))), 1, "")</f>
        <v/>
      </c>
      <c r="AS472" s="1" t="str">
        <f>IF(AND(AND(AND(AS$4&gt;='2025'!$L435,AS$4&lt;='2025'!$M435), AS$4&lt;&gt;DATE(2025,7,4)), (SWITCH(weekday(AS$4), 1, 0, 2, if(ISBLANK('2025'!$P435), 0, 1), 3, if(ISBLANK('2025'!$Q435), 0, 1), 4, if(ISBLANK('2025'!$R435), 0, 1), 5, if(ISBLANK('2025'!$S435), 0, 1), 6, if(ISBLANK('2025'!$T435), 0, 1), 7, 0))), 1, "")</f>
        <v/>
      </c>
      <c r="AT472" s="1" t="str">
        <f>IF(AND(AND(AND(AT$4&gt;='2025'!$L435,AT$4&lt;='2025'!$M435), AT$4&lt;&gt;DATE(2025,7,4)), (SWITCH(weekday(AT$4), 1, 0, 2, if(ISBLANK('2025'!$P435), 0, 1), 3, if(ISBLANK('2025'!$Q435), 0, 1), 4, if(ISBLANK('2025'!$R435), 0, 1), 5, if(ISBLANK('2025'!$S435), 0, 1), 6, if(ISBLANK('2025'!$T435), 0, 1), 7, 0))), 1, "")</f>
        <v/>
      </c>
      <c r="AU472" s="1" t="str">
        <f>IF(AND(AND(AND(AU$4&gt;='2025'!$L435,AU$4&lt;='2025'!$M435), AU$4&lt;&gt;DATE(2025,7,4)), (SWITCH(weekday(AU$4), 1, 0, 2, if(ISBLANK('2025'!$P435), 0, 1), 3, if(ISBLANK('2025'!$Q435), 0, 1), 4, if(ISBLANK('2025'!$R435), 0, 1), 5, if(ISBLANK('2025'!$S435), 0, 1), 6, if(ISBLANK('2025'!$T435), 0, 1), 7, 0))), 1, "")</f>
        <v/>
      </c>
      <c r="AV472" s="1" t="str">
        <f>IF(AND(AND(AND(AV$4&gt;='2025'!$L435,AV$4&lt;='2025'!$M435), AV$4&lt;&gt;DATE(2025,7,4)), (SWITCH(weekday(AV$4), 1, 0, 2, if(ISBLANK('2025'!$P435), 0, 1), 3, if(ISBLANK('2025'!$Q435), 0, 1), 4, if(ISBLANK('2025'!$R435), 0, 1), 5, if(ISBLANK('2025'!$S435), 0, 1), 6, if(ISBLANK('2025'!$T435), 0, 1), 7, 0))), 1, "")</f>
        <v/>
      </c>
      <c r="AW472" s="1" t="str">
        <f>IF(AND(AND(AND(AW$4&gt;='2025'!$L435,AW$4&lt;='2025'!$M435), AW$4&lt;&gt;DATE(2025,7,4)), (SWITCH(weekday(AW$4), 1, 0, 2, if(ISBLANK('2025'!$P435), 0, 1), 3, if(ISBLANK('2025'!$Q435), 0, 1), 4, if(ISBLANK('2025'!$R435), 0, 1), 5, if(ISBLANK('2025'!$S435), 0, 1), 6, if(ISBLANK('2025'!$T435), 0, 1), 7, 0))), 1, "")</f>
        <v/>
      </c>
      <c r="AX472" s="1" t="str">
        <f>IF(AND(AND(AND(AX$4&gt;='2025'!$L435,AX$4&lt;='2025'!$M435), AX$4&lt;&gt;DATE(2025,7,4)), (SWITCH(weekday(AX$4), 1, 0, 2, if(ISBLANK('2025'!$P435), 0, 1), 3, if(ISBLANK('2025'!$Q435), 0, 1), 4, if(ISBLANK('2025'!$R435), 0, 1), 5, if(ISBLANK('2025'!$S435), 0, 1), 6, if(ISBLANK('2025'!$T435), 0, 1), 7, 0))), 1, "")</f>
        <v/>
      </c>
      <c r="AY472" s="1" t="str">
        <f>IF(AND(AND(AND(AY$4&gt;='2025'!$L435,AY$4&lt;='2025'!$M435), AY$4&lt;&gt;DATE(2025,7,4)), (SWITCH(weekday(AY$4), 1, 0, 2, if(ISBLANK('2025'!$P435), 0, 1), 3, if(ISBLANK('2025'!$Q435), 0, 1), 4, if(ISBLANK('2025'!$R435), 0, 1), 5, if(ISBLANK('2025'!$S435), 0, 1), 6, if(ISBLANK('2025'!$T435), 0, 1), 7, 0))), 1, "")</f>
        <v/>
      </c>
      <c r="AZ472" s="1" t="str">
        <f>IF(AND(AND(AND(AZ$4&gt;='2025'!$L435,AZ$4&lt;='2025'!$M435), AZ$4&lt;&gt;DATE(2025,7,4)), (SWITCH(weekday(AZ$4), 1, 0, 2, if(ISBLANK('2025'!$P435), 0, 1), 3, if(ISBLANK('2025'!$Q435), 0, 1), 4, if(ISBLANK('2025'!$R435), 0, 1), 5, if(ISBLANK('2025'!$S435), 0, 1), 6, if(ISBLANK('2025'!$T435), 0, 1), 7, 0))), 1, "")</f>
        <v/>
      </c>
      <c r="BA472" s="1" t="str">
        <f>IF(AND(AND(AND(BA$4&gt;='2025'!$L435,BA$4&lt;='2025'!$M435), BA$4&lt;&gt;DATE(2025,7,4)), (SWITCH(weekday(BA$4), 1, 0, 2, if(ISBLANK('2025'!$P435), 0, 1), 3, if(ISBLANK('2025'!$Q435), 0, 1), 4, if(ISBLANK('2025'!$R435), 0, 1), 5, if(ISBLANK('2025'!$S435), 0, 1), 6, if(ISBLANK('2025'!$T435), 0, 1), 7, 0))), 1, "")</f>
        <v/>
      </c>
      <c r="BB472" s="1" t="str">
        <f>IF(AND(AND(AND(BB$4&gt;='2025'!$L435,BB$4&lt;='2025'!$M435), BB$4&lt;&gt;DATE(2025,7,4)), (SWITCH(weekday(BB$4), 1, 0, 2, if(ISBLANK('2025'!$P435), 0, 1), 3, if(ISBLANK('2025'!$Q435), 0, 1), 4, if(ISBLANK('2025'!$R435), 0, 1), 5, if(ISBLANK('2025'!$S435), 0, 1), 6, if(ISBLANK('2025'!$T435), 0, 1), 7, 0))), 1, "")</f>
        <v/>
      </c>
      <c r="BC472" s="1" t="str">
        <f>IF(AND(AND(AND(BC$4&gt;='2025'!$L435,BC$4&lt;='2025'!$M435), BC$4&lt;&gt;DATE(2025,7,4)), (SWITCH(weekday(BC$4), 1, 0, 2, if(ISBLANK('2025'!$P435), 0, 1), 3, if(ISBLANK('2025'!$Q435), 0, 1), 4, if(ISBLANK('2025'!$R435), 0, 1), 5, if(ISBLANK('2025'!$S435), 0, 1), 6, if(ISBLANK('2025'!$T435), 0, 1), 7, 0))), 1, "")</f>
        <v/>
      </c>
      <c r="BD472" s="1" t="str">
        <f>IF(AND(AND(AND(BD$4&gt;='2025'!$L435,BD$4&lt;='2025'!$M435), BD$4&lt;&gt;DATE(2025,7,4)), (SWITCH(weekday(BD$4), 1, 0, 2, if(ISBLANK('2025'!$P435), 0, 1), 3, if(ISBLANK('2025'!$Q435), 0, 1), 4, if(ISBLANK('2025'!$R435), 0, 1), 5, if(ISBLANK('2025'!$S435), 0, 1), 6, if(ISBLANK('2025'!$T435), 0, 1), 7, 0))), 1, "")</f>
        <v/>
      </c>
      <c r="BE472" s="1" t="str">
        <f>IF(AND(AND(AND(BE$4&gt;='2025'!$L435,BE$4&lt;='2025'!$M435), BE$4&lt;&gt;DATE(2025,7,4)), (SWITCH(weekday(BE$4), 1, 0, 2, if(ISBLANK('2025'!$P435), 0, 1), 3, if(ISBLANK('2025'!$Q435), 0, 1), 4, if(ISBLANK('2025'!$R435), 0, 1), 5, if(ISBLANK('2025'!$S435), 0, 1), 6, if(ISBLANK('2025'!$T435), 0, 1), 7, 0))), 1, "")</f>
        <v/>
      </c>
    </row>
    <row r="473">
      <c r="A473" s="1">
        <f t="shared" si="3"/>
        <v>473</v>
      </c>
      <c r="B473" s="1" t="str">
        <f>'2025'!D436</f>
        <v/>
      </c>
      <c r="C473" s="1" t="str">
        <f>'2025'!H436</f>
        <v/>
      </c>
      <c r="D473" s="1" t="str">
        <f>IF(AND(AND(AND(D$4&gt;='2025'!$L436,D$4&lt;='2025'!$M436), D$4&lt;&gt;DATE(2025,7,4)), (SWITCH(weekday(D$4), 1, 0, 2, if(ISBLANK('2025'!$P436), 0, 1), 3, if(ISBLANK('2025'!$Q436), 0, 1), 4, if(ISBLANK('2025'!$R436), 0, 1), 5, if(ISBLANK('2025'!$S436), 0, 1), 6, if(ISBLANK('2025'!$T436), 0, 1), 7, 0))), 1, "")</f>
        <v/>
      </c>
      <c r="E473" s="1" t="str">
        <f>IF(AND(AND(AND(E$4&gt;='2025'!$L436,E$4&lt;='2025'!$M436), E$4&lt;&gt;DATE(2025,7,4)), (SWITCH(weekday(E$4), 1, 0, 2, if(ISBLANK('2025'!$P436), 0, 1), 3, if(ISBLANK('2025'!$Q436), 0, 1), 4, if(ISBLANK('2025'!$R436), 0, 1), 5, if(ISBLANK('2025'!$S436), 0, 1), 6, if(ISBLANK('2025'!$T436), 0, 1), 7, 0))), 1, "")</f>
        <v/>
      </c>
      <c r="F473" s="1" t="str">
        <f>IF(AND(AND(AND(F$4&gt;='2025'!$L436,F$4&lt;='2025'!$M436), F$4&lt;&gt;DATE(2025,7,4)), (SWITCH(weekday(F$4), 1, 0, 2, if(ISBLANK('2025'!$P436), 0, 1), 3, if(ISBLANK('2025'!$Q436), 0, 1), 4, if(ISBLANK('2025'!$R436), 0, 1), 5, if(ISBLANK('2025'!$S436), 0, 1), 6, if(ISBLANK('2025'!$T436), 0, 1), 7, 0))), 1, "")</f>
        <v/>
      </c>
      <c r="G473" s="1" t="str">
        <f>IF(AND(AND(AND(G$4&gt;='2025'!$L436,G$4&lt;='2025'!$M436), G$4&lt;&gt;DATE(2025,7,4)), (SWITCH(weekday(G$4), 1, 0, 2, if(ISBLANK('2025'!$P436), 0, 1), 3, if(ISBLANK('2025'!$Q436), 0, 1), 4, if(ISBLANK('2025'!$R436), 0, 1), 5, if(ISBLANK('2025'!$S436), 0, 1), 6, if(ISBLANK('2025'!$T436), 0, 1), 7, 0))), 1, "")</f>
        <v/>
      </c>
      <c r="H473" s="1" t="str">
        <f>IF(AND(AND(AND(H$4&gt;='2025'!$L436,H$4&lt;='2025'!$M436), H$4&lt;&gt;DATE(2025,7,4)), (SWITCH(weekday(H$4), 1, 0, 2, if(ISBLANK('2025'!$P436), 0, 1), 3, if(ISBLANK('2025'!$Q436), 0, 1), 4, if(ISBLANK('2025'!$R436), 0, 1), 5, if(ISBLANK('2025'!$S436), 0, 1), 6, if(ISBLANK('2025'!$T436), 0, 1), 7, 0))), 1, "")</f>
        <v/>
      </c>
      <c r="I473" s="1" t="str">
        <f>IF(AND(AND(AND(I$4&gt;='2025'!$L436,I$4&lt;='2025'!$M436), I$4&lt;&gt;DATE(2025,7,4)), (SWITCH(weekday(I$4), 1, 0, 2, if(ISBLANK('2025'!$P436), 0, 1), 3, if(ISBLANK('2025'!$Q436), 0, 1), 4, if(ISBLANK('2025'!$R436), 0, 1), 5, if(ISBLANK('2025'!$S436), 0, 1), 6, if(ISBLANK('2025'!$T436), 0, 1), 7, 0))), 1, "")</f>
        <v/>
      </c>
      <c r="J473" s="1" t="str">
        <f>IF(AND(AND(AND(J$4&gt;='2025'!$L436,J$4&lt;='2025'!$M436), J$4&lt;&gt;DATE(2025,7,4)), (SWITCH(weekday(J$4), 1, 0, 2, if(ISBLANK('2025'!$P436), 0, 1), 3, if(ISBLANK('2025'!$Q436), 0, 1), 4, if(ISBLANK('2025'!$R436), 0, 1), 5, if(ISBLANK('2025'!$S436), 0, 1), 6, if(ISBLANK('2025'!$T436), 0, 1), 7, 0))), 1, "")</f>
        <v/>
      </c>
      <c r="K473" s="1" t="str">
        <f>IF(AND(AND(AND(K$4&gt;='2025'!$L436,K$4&lt;='2025'!$M436), K$4&lt;&gt;DATE(2025,7,4)), (SWITCH(weekday(K$4), 1, 0, 2, if(ISBLANK('2025'!$P436), 0, 1), 3, if(ISBLANK('2025'!$Q436), 0, 1), 4, if(ISBLANK('2025'!$R436), 0, 1), 5, if(ISBLANK('2025'!$S436), 0, 1), 6, if(ISBLANK('2025'!$T436), 0, 1), 7, 0))), 1, "")</f>
        <v/>
      </c>
      <c r="L473" s="1" t="str">
        <f>IF(AND(AND(AND(L$4&gt;='2025'!$L436,L$4&lt;='2025'!$M436), L$4&lt;&gt;DATE(2025,7,4)), (SWITCH(weekday(L$4), 1, 0, 2, if(ISBLANK('2025'!$P436), 0, 1), 3, if(ISBLANK('2025'!$Q436), 0, 1), 4, if(ISBLANK('2025'!$R436), 0, 1), 5, if(ISBLANK('2025'!$S436), 0, 1), 6, if(ISBLANK('2025'!$T436), 0, 1), 7, 0))), 1, "")</f>
        <v/>
      </c>
      <c r="M473" s="1" t="str">
        <f>IF(AND(AND(AND(M$4&gt;='2025'!$L436,M$4&lt;='2025'!$M436), M$4&lt;&gt;DATE(2025,7,4)), (SWITCH(weekday(M$4), 1, 0, 2, if(ISBLANK('2025'!$P436), 0, 1), 3, if(ISBLANK('2025'!$Q436), 0, 1), 4, if(ISBLANK('2025'!$R436), 0, 1), 5, if(ISBLANK('2025'!$S436), 0, 1), 6, if(ISBLANK('2025'!$T436), 0, 1), 7, 0))), 1, "")</f>
        <v/>
      </c>
      <c r="N473" s="1" t="str">
        <f>IF(AND(AND(AND(N$4&gt;='2025'!$L436,N$4&lt;='2025'!$M436), N$4&lt;&gt;DATE(2025,7,4)), (SWITCH(weekday(N$4), 1, 0, 2, if(ISBLANK('2025'!$P436), 0, 1), 3, if(ISBLANK('2025'!$Q436), 0, 1), 4, if(ISBLANK('2025'!$R436), 0, 1), 5, if(ISBLANK('2025'!$S436), 0, 1), 6, if(ISBLANK('2025'!$T436), 0, 1), 7, 0))), 1, "")</f>
        <v/>
      </c>
      <c r="O473" s="1" t="str">
        <f>IF(AND(AND(AND(O$4&gt;='2025'!$L436,O$4&lt;='2025'!$M436), O$4&lt;&gt;DATE(2025,7,4)), (SWITCH(weekday(O$4), 1, 0, 2, if(ISBLANK('2025'!$P436), 0, 1), 3, if(ISBLANK('2025'!$Q436), 0, 1), 4, if(ISBLANK('2025'!$R436), 0, 1), 5, if(ISBLANK('2025'!$S436), 0, 1), 6, if(ISBLANK('2025'!$T436), 0, 1), 7, 0))), 1, "")</f>
        <v/>
      </c>
      <c r="P473" s="1" t="str">
        <f>IF(AND(AND(AND(P$4&gt;='2025'!$L436,P$4&lt;='2025'!$M436), P$4&lt;&gt;DATE(2025,7,4)), (SWITCH(weekday(P$4), 1, 0, 2, if(ISBLANK('2025'!$P436), 0, 1), 3, if(ISBLANK('2025'!$Q436), 0, 1), 4, if(ISBLANK('2025'!$R436), 0, 1), 5, if(ISBLANK('2025'!$S436), 0, 1), 6, if(ISBLANK('2025'!$T436), 0, 1), 7, 0))), 1, "")</f>
        <v/>
      </c>
      <c r="Q473" s="1" t="str">
        <f>IF(AND(AND(AND(Q$4&gt;='2025'!$L436,Q$4&lt;='2025'!$M436), Q$4&lt;&gt;DATE(2025,7,4)), (SWITCH(weekday(Q$4), 1, 0, 2, if(ISBLANK('2025'!$P436), 0, 1), 3, if(ISBLANK('2025'!$Q436), 0, 1), 4, if(ISBLANK('2025'!$R436), 0, 1), 5, if(ISBLANK('2025'!$S436), 0, 1), 6, if(ISBLANK('2025'!$T436), 0, 1), 7, 0))), 1, "")</f>
        <v/>
      </c>
      <c r="R473" s="1" t="str">
        <f>IF(AND(AND(AND(R$4&gt;='2025'!$L436,R$4&lt;='2025'!$M436), R$4&lt;&gt;DATE(2025,7,4)), (SWITCH(weekday(R$4), 1, 0, 2, if(ISBLANK('2025'!$P436), 0, 1), 3, if(ISBLANK('2025'!$Q436), 0, 1), 4, if(ISBLANK('2025'!$R436), 0, 1), 5, if(ISBLANK('2025'!$S436), 0, 1), 6, if(ISBLANK('2025'!$T436), 0, 1), 7, 0))), 1, "")</f>
        <v/>
      </c>
      <c r="S473" s="1" t="str">
        <f>IF(AND(AND(AND(S$4&gt;='2025'!$L436,S$4&lt;='2025'!$M436), S$4&lt;&gt;DATE(2025,7,4)), (SWITCH(weekday(S$4), 1, 0, 2, if(ISBLANK('2025'!$P436), 0, 1), 3, if(ISBLANK('2025'!$Q436), 0, 1), 4, if(ISBLANK('2025'!$R436), 0, 1), 5, if(ISBLANK('2025'!$S436), 0, 1), 6, if(ISBLANK('2025'!$T436), 0, 1), 7, 0))), 1, "")</f>
        <v/>
      </c>
      <c r="T473" s="1" t="str">
        <f>IF(AND(AND(AND(T$4&gt;='2025'!$L436,T$4&lt;='2025'!$M436), T$4&lt;&gt;DATE(2025,7,4)), (SWITCH(weekday(T$4), 1, 0, 2, if(ISBLANK('2025'!$P436), 0, 1), 3, if(ISBLANK('2025'!$Q436), 0, 1), 4, if(ISBLANK('2025'!$R436), 0, 1), 5, if(ISBLANK('2025'!$S436), 0, 1), 6, if(ISBLANK('2025'!$T436), 0, 1), 7, 0))), 1, "")</f>
        <v/>
      </c>
      <c r="U473" s="1" t="str">
        <f>IF(AND(AND(AND(U$4&gt;='2025'!$L436,U$4&lt;='2025'!$M436), U$4&lt;&gt;DATE(2025,7,4)), (SWITCH(weekday(U$4), 1, 0, 2, if(ISBLANK('2025'!$P436), 0, 1), 3, if(ISBLANK('2025'!$Q436), 0, 1), 4, if(ISBLANK('2025'!$R436), 0, 1), 5, if(ISBLANK('2025'!$S436), 0, 1), 6, if(ISBLANK('2025'!$T436), 0, 1), 7, 0))), 1, "")</f>
        <v/>
      </c>
      <c r="V473" s="1" t="str">
        <f>IF(AND(AND(AND(V$4&gt;='2025'!$L436,V$4&lt;='2025'!$M436), V$4&lt;&gt;DATE(2025,7,4)), (SWITCH(weekday(V$4), 1, 0, 2, if(ISBLANK('2025'!$P436), 0, 1), 3, if(ISBLANK('2025'!$Q436), 0, 1), 4, if(ISBLANK('2025'!$R436), 0, 1), 5, if(ISBLANK('2025'!$S436), 0, 1), 6, if(ISBLANK('2025'!$T436), 0, 1), 7, 0))), 1, "")</f>
        <v/>
      </c>
      <c r="W473" s="1" t="str">
        <f>IF(AND(AND(AND(W$4&gt;='2025'!$L436,W$4&lt;='2025'!$M436), W$4&lt;&gt;DATE(2025,7,4)), (SWITCH(weekday(W$4), 1, 0, 2, if(ISBLANK('2025'!$P436), 0, 1), 3, if(ISBLANK('2025'!$Q436), 0, 1), 4, if(ISBLANK('2025'!$R436), 0, 1), 5, if(ISBLANK('2025'!$S436), 0, 1), 6, if(ISBLANK('2025'!$T436), 0, 1), 7, 0))), 1, "")</f>
        <v/>
      </c>
      <c r="X473" s="1" t="str">
        <f>IF(AND(AND(AND(X$4&gt;='2025'!$L436,X$4&lt;='2025'!$M436), X$4&lt;&gt;DATE(2025,7,4)), (SWITCH(weekday(X$4), 1, 0, 2, if(ISBLANK('2025'!$P436), 0, 1), 3, if(ISBLANK('2025'!$Q436), 0, 1), 4, if(ISBLANK('2025'!$R436), 0, 1), 5, if(ISBLANK('2025'!$S436), 0, 1), 6, if(ISBLANK('2025'!$T436), 0, 1), 7, 0))), 1, "")</f>
        <v/>
      </c>
      <c r="Y473" s="1" t="str">
        <f>IF(AND(AND(AND(Y$4&gt;='2025'!$L436,Y$4&lt;='2025'!$M436), Y$4&lt;&gt;DATE(2025,7,4)), (SWITCH(weekday(Y$4), 1, 0, 2, if(ISBLANK('2025'!$P436), 0, 1), 3, if(ISBLANK('2025'!$Q436), 0, 1), 4, if(ISBLANK('2025'!$R436), 0, 1), 5, if(ISBLANK('2025'!$S436), 0, 1), 6, if(ISBLANK('2025'!$T436), 0, 1), 7, 0))), 1, "")</f>
        <v/>
      </c>
      <c r="Z473" s="1" t="str">
        <f>IF(AND(AND(AND(Z$4&gt;='2025'!$L436,Z$4&lt;='2025'!$M436), Z$4&lt;&gt;DATE(2025,7,4)), (SWITCH(weekday(Z$4), 1, 0, 2, if(ISBLANK('2025'!$P436), 0, 1), 3, if(ISBLANK('2025'!$Q436), 0, 1), 4, if(ISBLANK('2025'!$R436), 0, 1), 5, if(ISBLANK('2025'!$S436), 0, 1), 6, if(ISBLANK('2025'!$T436), 0, 1), 7, 0))), 1, "")</f>
        <v/>
      </c>
      <c r="AA473" s="1" t="str">
        <f>IF(AND(AND(AND(AA$4&gt;='2025'!$L436,AA$4&lt;='2025'!$M436), AA$4&lt;&gt;DATE(2025,7,4)), (SWITCH(weekday(AA$4), 1, 0, 2, if(ISBLANK('2025'!$P436), 0, 1), 3, if(ISBLANK('2025'!$Q436), 0, 1), 4, if(ISBLANK('2025'!$R436), 0, 1), 5, if(ISBLANK('2025'!$S436), 0, 1), 6, if(ISBLANK('2025'!$T436), 0, 1), 7, 0))), 1, "")</f>
        <v/>
      </c>
      <c r="AB473" s="1" t="str">
        <f>IF(AND(AND(AND(AB$4&gt;='2025'!$L436,AB$4&lt;='2025'!$M436), AB$4&lt;&gt;DATE(2025,7,4)), (SWITCH(weekday(AB$4), 1, 0, 2, if(ISBLANK('2025'!$P436), 0, 1), 3, if(ISBLANK('2025'!$Q436), 0, 1), 4, if(ISBLANK('2025'!$R436), 0, 1), 5, if(ISBLANK('2025'!$S436), 0, 1), 6, if(ISBLANK('2025'!$T436), 0, 1), 7, 0))), 1, "")</f>
        <v/>
      </c>
      <c r="AC473" s="1" t="str">
        <f>IF(AND(AND(AND(AC$4&gt;='2025'!$L436,AC$4&lt;='2025'!$M436), AC$4&lt;&gt;DATE(2025,7,4)), (SWITCH(weekday(AC$4), 1, 0, 2, if(ISBLANK('2025'!$P436), 0, 1), 3, if(ISBLANK('2025'!$Q436), 0, 1), 4, if(ISBLANK('2025'!$R436), 0, 1), 5, if(ISBLANK('2025'!$S436), 0, 1), 6, if(ISBLANK('2025'!$T436), 0, 1), 7, 0))), 1, "")</f>
        <v/>
      </c>
      <c r="AD473" s="1" t="str">
        <f>IF(AND(AND(AND(AD$4&gt;='2025'!$L436,AD$4&lt;='2025'!$M436), AD$4&lt;&gt;DATE(2025,7,4)), (SWITCH(weekday(AD$4), 1, 0, 2, if(ISBLANK('2025'!$P436), 0, 1), 3, if(ISBLANK('2025'!$Q436), 0, 1), 4, if(ISBLANK('2025'!$R436), 0, 1), 5, if(ISBLANK('2025'!$S436), 0, 1), 6, if(ISBLANK('2025'!$T436), 0, 1), 7, 0))), 1, "")</f>
        <v/>
      </c>
      <c r="AE473" s="1" t="str">
        <f>IF(AND(AND(AND(AE$4&gt;='2025'!$L436,AE$4&lt;='2025'!$M436), AE$4&lt;&gt;DATE(2025,7,4)), (SWITCH(weekday(AE$4), 1, 0, 2, if(ISBLANK('2025'!$P436), 0, 1), 3, if(ISBLANK('2025'!$Q436), 0, 1), 4, if(ISBLANK('2025'!$R436), 0, 1), 5, if(ISBLANK('2025'!$S436), 0, 1), 6, if(ISBLANK('2025'!$T436), 0, 1), 7, 0))), 1, "")</f>
        <v/>
      </c>
      <c r="AF473" s="1" t="str">
        <f>IF(AND(AND(AND(AF$4&gt;='2025'!$L436,AF$4&lt;='2025'!$M436), AF$4&lt;&gt;DATE(2025,7,4)), (SWITCH(weekday(AF$4), 1, 0, 2, if(ISBLANK('2025'!$P436), 0, 1), 3, if(ISBLANK('2025'!$Q436), 0, 1), 4, if(ISBLANK('2025'!$R436), 0, 1), 5, if(ISBLANK('2025'!$S436), 0, 1), 6, if(ISBLANK('2025'!$T436), 0, 1), 7, 0))), 1, "")</f>
        <v/>
      </c>
      <c r="AG473" s="1" t="str">
        <f>IF(AND(AND(AND(AG$4&gt;='2025'!$L436,AG$4&lt;='2025'!$M436), AG$4&lt;&gt;DATE(2025,7,4)), (SWITCH(weekday(AG$4), 1, 0, 2, if(ISBLANK('2025'!$P436), 0, 1), 3, if(ISBLANK('2025'!$Q436), 0, 1), 4, if(ISBLANK('2025'!$R436), 0, 1), 5, if(ISBLANK('2025'!$S436), 0, 1), 6, if(ISBLANK('2025'!$T436), 0, 1), 7, 0))), 1, "")</f>
        <v/>
      </c>
      <c r="AH473" s="1" t="str">
        <f>IF(AND(AND(AND(AH$4&gt;='2025'!$L436,AH$4&lt;='2025'!$M436), AH$4&lt;&gt;DATE(2025,7,4)), (SWITCH(weekday(AH$4), 1, 0, 2, if(ISBLANK('2025'!$P436), 0, 1), 3, if(ISBLANK('2025'!$Q436), 0, 1), 4, if(ISBLANK('2025'!$R436), 0, 1), 5, if(ISBLANK('2025'!$S436), 0, 1), 6, if(ISBLANK('2025'!$T436), 0, 1), 7, 0))), 1, "")</f>
        <v/>
      </c>
      <c r="AI473" s="1" t="str">
        <f>IF(AND(AND(AND(AI$4&gt;='2025'!$L436,AI$4&lt;='2025'!$M436), AI$4&lt;&gt;DATE(2025,7,4)), (SWITCH(weekday(AI$4), 1, 0, 2, if(ISBLANK('2025'!$P436), 0, 1), 3, if(ISBLANK('2025'!$Q436), 0, 1), 4, if(ISBLANK('2025'!$R436), 0, 1), 5, if(ISBLANK('2025'!$S436), 0, 1), 6, if(ISBLANK('2025'!$T436), 0, 1), 7, 0))), 1, "")</f>
        <v/>
      </c>
      <c r="AJ473" s="1" t="str">
        <f>IF(AND(AND(AND(AJ$4&gt;='2025'!$L436,AJ$4&lt;='2025'!$M436), AJ$4&lt;&gt;DATE(2025,7,4)), (SWITCH(weekday(AJ$4), 1, 0, 2, if(ISBLANK('2025'!$P436), 0, 1), 3, if(ISBLANK('2025'!$Q436), 0, 1), 4, if(ISBLANK('2025'!$R436), 0, 1), 5, if(ISBLANK('2025'!$S436), 0, 1), 6, if(ISBLANK('2025'!$T436), 0, 1), 7, 0))), 1, "")</f>
        <v/>
      </c>
      <c r="AK473" s="1" t="str">
        <f>IF(AND(AND(AND(AK$4&gt;='2025'!$L436,AK$4&lt;='2025'!$M436), AK$4&lt;&gt;DATE(2025,7,4)), (SWITCH(weekday(AK$4), 1, 0, 2, if(ISBLANK('2025'!$P436), 0, 1), 3, if(ISBLANK('2025'!$Q436), 0, 1), 4, if(ISBLANK('2025'!$R436), 0, 1), 5, if(ISBLANK('2025'!$S436), 0, 1), 6, if(ISBLANK('2025'!$T436), 0, 1), 7, 0))), 1, "")</f>
        <v/>
      </c>
      <c r="AL473" s="1" t="str">
        <f>IF(AND(AND(AND(AL$4&gt;='2025'!$L436,AL$4&lt;='2025'!$M436), AL$4&lt;&gt;DATE(2025,7,4)), (SWITCH(weekday(AL$4), 1, 0, 2, if(ISBLANK('2025'!$P436), 0, 1), 3, if(ISBLANK('2025'!$Q436), 0, 1), 4, if(ISBLANK('2025'!$R436), 0, 1), 5, if(ISBLANK('2025'!$S436), 0, 1), 6, if(ISBLANK('2025'!$T436), 0, 1), 7, 0))), 1, "")</f>
        <v/>
      </c>
      <c r="AM473" s="1" t="str">
        <f>IF(AND(AND(AND(AM$4&gt;='2025'!$L436,AM$4&lt;='2025'!$M436), AM$4&lt;&gt;DATE(2025,7,4)), (SWITCH(weekday(AM$4), 1, 0, 2, if(ISBLANK('2025'!$P436), 0, 1), 3, if(ISBLANK('2025'!$Q436), 0, 1), 4, if(ISBLANK('2025'!$R436), 0, 1), 5, if(ISBLANK('2025'!$S436), 0, 1), 6, if(ISBLANK('2025'!$T436), 0, 1), 7, 0))), 1, "")</f>
        <v/>
      </c>
      <c r="AN473" s="1" t="str">
        <f>IF(AND(AND(AND(AN$4&gt;='2025'!$L436,AN$4&lt;='2025'!$M436), AN$4&lt;&gt;DATE(2025,7,4)), (SWITCH(weekday(AN$4), 1, 0, 2, if(ISBLANK('2025'!$P436), 0, 1), 3, if(ISBLANK('2025'!$Q436), 0, 1), 4, if(ISBLANK('2025'!$R436), 0, 1), 5, if(ISBLANK('2025'!$S436), 0, 1), 6, if(ISBLANK('2025'!$T436), 0, 1), 7, 0))), 1, "")</f>
        <v/>
      </c>
      <c r="AO473" s="1" t="str">
        <f>IF(AND(AND(AND(AO$4&gt;='2025'!$L436,AO$4&lt;='2025'!$M436), AO$4&lt;&gt;DATE(2025,7,4)), (SWITCH(weekday(AO$4), 1, 0, 2, if(ISBLANK('2025'!$P436), 0, 1), 3, if(ISBLANK('2025'!$Q436), 0, 1), 4, if(ISBLANK('2025'!$R436), 0, 1), 5, if(ISBLANK('2025'!$S436), 0, 1), 6, if(ISBLANK('2025'!$T436), 0, 1), 7, 0))), 1, "")</f>
        <v/>
      </c>
      <c r="AP473" s="1" t="str">
        <f>IF(AND(AND(AND(AP$4&gt;='2025'!$L436,AP$4&lt;='2025'!$M436), AP$4&lt;&gt;DATE(2025,7,4)), (SWITCH(weekday(AP$4), 1, 0, 2, if(ISBLANK('2025'!$P436), 0, 1), 3, if(ISBLANK('2025'!$Q436), 0, 1), 4, if(ISBLANK('2025'!$R436), 0, 1), 5, if(ISBLANK('2025'!$S436), 0, 1), 6, if(ISBLANK('2025'!$T436), 0, 1), 7, 0))), 1, "")</f>
        <v/>
      </c>
      <c r="AQ473" s="1" t="str">
        <f>IF(AND(AND(AND(AQ$4&gt;='2025'!$L436,AQ$4&lt;='2025'!$M436), AQ$4&lt;&gt;DATE(2025,7,4)), (SWITCH(weekday(AQ$4), 1, 0, 2, if(ISBLANK('2025'!$P436), 0, 1), 3, if(ISBLANK('2025'!$Q436), 0, 1), 4, if(ISBLANK('2025'!$R436), 0, 1), 5, if(ISBLANK('2025'!$S436), 0, 1), 6, if(ISBLANK('2025'!$T436), 0, 1), 7, 0))), 1, "")</f>
        <v/>
      </c>
      <c r="AR473" s="1" t="str">
        <f>IF(AND(AND(AND(AR$4&gt;='2025'!$L436,AR$4&lt;='2025'!$M436), AR$4&lt;&gt;DATE(2025,7,4)), (SWITCH(weekday(AR$4), 1, 0, 2, if(ISBLANK('2025'!$P436), 0, 1), 3, if(ISBLANK('2025'!$Q436), 0, 1), 4, if(ISBLANK('2025'!$R436), 0, 1), 5, if(ISBLANK('2025'!$S436), 0, 1), 6, if(ISBLANK('2025'!$T436), 0, 1), 7, 0))), 1, "")</f>
        <v/>
      </c>
      <c r="AS473" s="1" t="str">
        <f>IF(AND(AND(AND(AS$4&gt;='2025'!$L436,AS$4&lt;='2025'!$M436), AS$4&lt;&gt;DATE(2025,7,4)), (SWITCH(weekday(AS$4), 1, 0, 2, if(ISBLANK('2025'!$P436), 0, 1), 3, if(ISBLANK('2025'!$Q436), 0, 1), 4, if(ISBLANK('2025'!$R436), 0, 1), 5, if(ISBLANK('2025'!$S436), 0, 1), 6, if(ISBLANK('2025'!$T436), 0, 1), 7, 0))), 1, "")</f>
        <v/>
      </c>
      <c r="AT473" s="1" t="str">
        <f>IF(AND(AND(AND(AT$4&gt;='2025'!$L436,AT$4&lt;='2025'!$M436), AT$4&lt;&gt;DATE(2025,7,4)), (SWITCH(weekday(AT$4), 1, 0, 2, if(ISBLANK('2025'!$P436), 0, 1), 3, if(ISBLANK('2025'!$Q436), 0, 1), 4, if(ISBLANK('2025'!$R436), 0, 1), 5, if(ISBLANK('2025'!$S436), 0, 1), 6, if(ISBLANK('2025'!$T436), 0, 1), 7, 0))), 1, "")</f>
        <v/>
      </c>
      <c r="AU473" s="1" t="str">
        <f>IF(AND(AND(AND(AU$4&gt;='2025'!$L436,AU$4&lt;='2025'!$M436), AU$4&lt;&gt;DATE(2025,7,4)), (SWITCH(weekday(AU$4), 1, 0, 2, if(ISBLANK('2025'!$P436), 0, 1), 3, if(ISBLANK('2025'!$Q436), 0, 1), 4, if(ISBLANK('2025'!$R436), 0, 1), 5, if(ISBLANK('2025'!$S436), 0, 1), 6, if(ISBLANK('2025'!$T436), 0, 1), 7, 0))), 1, "")</f>
        <v/>
      </c>
      <c r="AV473" s="1" t="str">
        <f>IF(AND(AND(AND(AV$4&gt;='2025'!$L436,AV$4&lt;='2025'!$M436), AV$4&lt;&gt;DATE(2025,7,4)), (SWITCH(weekday(AV$4), 1, 0, 2, if(ISBLANK('2025'!$P436), 0, 1), 3, if(ISBLANK('2025'!$Q436), 0, 1), 4, if(ISBLANK('2025'!$R436), 0, 1), 5, if(ISBLANK('2025'!$S436), 0, 1), 6, if(ISBLANK('2025'!$T436), 0, 1), 7, 0))), 1, "")</f>
        <v/>
      </c>
      <c r="AW473" s="1" t="str">
        <f>IF(AND(AND(AND(AW$4&gt;='2025'!$L436,AW$4&lt;='2025'!$M436), AW$4&lt;&gt;DATE(2025,7,4)), (SWITCH(weekday(AW$4), 1, 0, 2, if(ISBLANK('2025'!$P436), 0, 1), 3, if(ISBLANK('2025'!$Q436), 0, 1), 4, if(ISBLANK('2025'!$R436), 0, 1), 5, if(ISBLANK('2025'!$S436), 0, 1), 6, if(ISBLANK('2025'!$T436), 0, 1), 7, 0))), 1, "")</f>
        <v/>
      </c>
      <c r="AX473" s="1" t="str">
        <f>IF(AND(AND(AND(AX$4&gt;='2025'!$L436,AX$4&lt;='2025'!$M436), AX$4&lt;&gt;DATE(2025,7,4)), (SWITCH(weekday(AX$4), 1, 0, 2, if(ISBLANK('2025'!$P436), 0, 1), 3, if(ISBLANK('2025'!$Q436), 0, 1), 4, if(ISBLANK('2025'!$R436), 0, 1), 5, if(ISBLANK('2025'!$S436), 0, 1), 6, if(ISBLANK('2025'!$T436), 0, 1), 7, 0))), 1, "")</f>
        <v/>
      </c>
      <c r="AY473" s="1" t="str">
        <f>IF(AND(AND(AND(AY$4&gt;='2025'!$L436,AY$4&lt;='2025'!$M436), AY$4&lt;&gt;DATE(2025,7,4)), (SWITCH(weekday(AY$4), 1, 0, 2, if(ISBLANK('2025'!$P436), 0, 1), 3, if(ISBLANK('2025'!$Q436), 0, 1), 4, if(ISBLANK('2025'!$R436), 0, 1), 5, if(ISBLANK('2025'!$S436), 0, 1), 6, if(ISBLANK('2025'!$T436), 0, 1), 7, 0))), 1, "")</f>
        <v/>
      </c>
      <c r="AZ473" s="1" t="str">
        <f>IF(AND(AND(AND(AZ$4&gt;='2025'!$L436,AZ$4&lt;='2025'!$M436), AZ$4&lt;&gt;DATE(2025,7,4)), (SWITCH(weekday(AZ$4), 1, 0, 2, if(ISBLANK('2025'!$P436), 0, 1), 3, if(ISBLANK('2025'!$Q436), 0, 1), 4, if(ISBLANK('2025'!$R436), 0, 1), 5, if(ISBLANK('2025'!$S436), 0, 1), 6, if(ISBLANK('2025'!$T436), 0, 1), 7, 0))), 1, "")</f>
        <v/>
      </c>
      <c r="BA473" s="1" t="str">
        <f>IF(AND(AND(AND(BA$4&gt;='2025'!$L436,BA$4&lt;='2025'!$M436), BA$4&lt;&gt;DATE(2025,7,4)), (SWITCH(weekday(BA$4), 1, 0, 2, if(ISBLANK('2025'!$P436), 0, 1), 3, if(ISBLANK('2025'!$Q436), 0, 1), 4, if(ISBLANK('2025'!$R436), 0, 1), 5, if(ISBLANK('2025'!$S436), 0, 1), 6, if(ISBLANK('2025'!$T436), 0, 1), 7, 0))), 1, "")</f>
        <v/>
      </c>
      <c r="BB473" s="1" t="str">
        <f>IF(AND(AND(AND(BB$4&gt;='2025'!$L436,BB$4&lt;='2025'!$M436), BB$4&lt;&gt;DATE(2025,7,4)), (SWITCH(weekday(BB$4), 1, 0, 2, if(ISBLANK('2025'!$P436), 0, 1), 3, if(ISBLANK('2025'!$Q436), 0, 1), 4, if(ISBLANK('2025'!$R436), 0, 1), 5, if(ISBLANK('2025'!$S436), 0, 1), 6, if(ISBLANK('2025'!$T436), 0, 1), 7, 0))), 1, "")</f>
        <v/>
      </c>
      <c r="BC473" s="1" t="str">
        <f>IF(AND(AND(AND(BC$4&gt;='2025'!$L436,BC$4&lt;='2025'!$M436), BC$4&lt;&gt;DATE(2025,7,4)), (SWITCH(weekday(BC$4), 1, 0, 2, if(ISBLANK('2025'!$P436), 0, 1), 3, if(ISBLANK('2025'!$Q436), 0, 1), 4, if(ISBLANK('2025'!$R436), 0, 1), 5, if(ISBLANK('2025'!$S436), 0, 1), 6, if(ISBLANK('2025'!$T436), 0, 1), 7, 0))), 1, "")</f>
        <v/>
      </c>
      <c r="BD473" s="1" t="str">
        <f>IF(AND(AND(AND(BD$4&gt;='2025'!$L436,BD$4&lt;='2025'!$M436), BD$4&lt;&gt;DATE(2025,7,4)), (SWITCH(weekday(BD$4), 1, 0, 2, if(ISBLANK('2025'!$P436), 0, 1), 3, if(ISBLANK('2025'!$Q436), 0, 1), 4, if(ISBLANK('2025'!$R436), 0, 1), 5, if(ISBLANK('2025'!$S436), 0, 1), 6, if(ISBLANK('2025'!$T436), 0, 1), 7, 0))), 1, "")</f>
        <v/>
      </c>
      <c r="BE473" s="1" t="str">
        <f>IF(AND(AND(AND(BE$4&gt;='2025'!$L436,BE$4&lt;='2025'!$M436), BE$4&lt;&gt;DATE(2025,7,4)), (SWITCH(weekday(BE$4), 1, 0, 2, if(ISBLANK('2025'!$P436), 0, 1), 3, if(ISBLANK('2025'!$Q436), 0, 1), 4, if(ISBLANK('2025'!$R436), 0, 1), 5, if(ISBLANK('2025'!$S436), 0, 1), 6, if(ISBLANK('2025'!$T436), 0, 1), 7, 0))), 1, "")</f>
        <v/>
      </c>
    </row>
    <row r="474">
      <c r="A474" s="1">
        <f t="shared" si="3"/>
        <v>474</v>
      </c>
      <c r="B474" s="1" t="str">
        <f>'2025'!D437</f>
        <v/>
      </c>
      <c r="C474" s="1" t="str">
        <f>'2025'!H437</f>
        <v/>
      </c>
      <c r="D474" s="1" t="str">
        <f>IF(AND(AND(AND(D$4&gt;='2025'!$L437,D$4&lt;='2025'!$M437), D$4&lt;&gt;DATE(2025,7,4)), (SWITCH(weekday(D$4), 1, 0, 2, if(ISBLANK('2025'!$P437), 0, 1), 3, if(ISBLANK('2025'!$Q437), 0, 1), 4, if(ISBLANK('2025'!$R437), 0, 1), 5, if(ISBLANK('2025'!$S437), 0, 1), 6, if(ISBLANK('2025'!$T437), 0, 1), 7, 0))), 1, "")</f>
        <v/>
      </c>
      <c r="E474" s="1" t="str">
        <f>IF(AND(AND(AND(E$4&gt;='2025'!$L437,E$4&lt;='2025'!$M437), E$4&lt;&gt;DATE(2025,7,4)), (SWITCH(weekday(E$4), 1, 0, 2, if(ISBLANK('2025'!$P437), 0, 1), 3, if(ISBLANK('2025'!$Q437), 0, 1), 4, if(ISBLANK('2025'!$R437), 0, 1), 5, if(ISBLANK('2025'!$S437), 0, 1), 6, if(ISBLANK('2025'!$T437), 0, 1), 7, 0))), 1, "")</f>
        <v/>
      </c>
      <c r="F474" s="1" t="str">
        <f>IF(AND(AND(AND(F$4&gt;='2025'!$L437,F$4&lt;='2025'!$M437), F$4&lt;&gt;DATE(2025,7,4)), (SWITCH(weekday(F$4), 1, 0, 2, if(ISBLANK('2025'!$P437), 0, 1), 3, if(ISBLANK('2025'!$Q437), 0, 1), 4, if(ISBLANK('2025'!$R437), 0, 1), 5, if(ISBLANK('2025'!$S437), 0, 1), 6, if(ISBLANK('2025'!$T437), 0, 1), 7, 0))), 1, "")</f>
        <v/>
      </c>
      <c r="G474" s="1" t="str">
        <f>IF(AND(AND(AND(G$4&gt;='2025'!$L437,G$4&lt;='2025'!$M437), G$4&lt;&gt;DATE(2025,7,4)), (SWITCH(weekday(G$4), 1, 0, 2, if(ISBLANK('2025'!$P437), 0, 1), 3, if(ISBLANK('2025'!$Q437), 0, 1), 4, if(ISBLANK('2025'!$R437), 0, 1), 5, if(ISBLANK('2025'!$S437), 0, 1), 6, if(ISBLANK('2025'!$T437), 0, 1), 7, 0))), 1, "")</f>
        <v/>
      </c>
      <c r="H474" s="1" t="str">
        <f>IF(AND(AND(AND(H$4&gt;='2025'!$L437,H$4&lt;='2025'!$M437), H$4&lt;&gt;DATE(2025,7,4)), (SWITCH(weekday(H$4), 1, 0, 2, if(ISBLANK('2025'!$P437), 0, 1), 3, if(ISBLANK('2025'!$Q437), 0, 1), 4, if(ISBLANK('2025'!$R437), 0, 1), 5, if(ISBLANK('2025'!$S437), 0, 1), 6, if(ISBLANK('2025'!$T437), 0, 1), 7, 0))), 1, "")</f>
        <v/>
      </c>
      <c r="I474" s="1" t="str">
        <f>IF(AND(AND(AND(I$4&gt;='2025'!$L437,I$4&lt;='2025'!$M437), I$4&lt;&gt;DATE(2025,7,4)), (SWITCH(weekday(I$4), 1, 0, 2, if(ISBLANK('2025'!$P437), 0, 1), 3, if(ISBLANK('2025'!$Q437), 0, 1), 4, if(ISBLANK('2025'!$R437), 0, 1), 5, if(ISBLANK('2025'!$S437), 0, 1), 6, if(ISBLANK('2025'!$T437), 0, 1), 7, 0))), 1, "")</f>
        <v/>
      </c>
      <c r="J474" s="1" t="str">
        <f>IF(AND(AND(AND(J$4&gt;='2025'!$L437,J$4&lt;='2025'!$M437), J$4&lt;&gt;DATE(2025,7,4)), (SWITCH(weekday(J$4), 1, 0, 2, if(ISBLANK('2025'!$P437), 0, 1), 3, if(ISBLANK('2025'!$Q437), 0, 1), 4, if(ISBLANK('2025'!$R437), 0, 1), 5, if(ISBLANK('2025'!$S437), 0, 1), 6, if(ISBLANK('2025'!$T437), 0, 1), 7, 0))), 1, "")</f>
        <v/>
      </c>
      <c r="K474" s="1" t="str">
        <f>IF(AND(AND(AND(K$4&gt;='2025'!$L437,K$4&lt;='2025'!$M437), K$4&lt;&gt;DATE(2025,7,4)), (SWITCH(weekday(K$4), 1, 0, 2, if(ISBLANK('2025'!$P437), 0, 1), 3, if(ISBLANK('2025'!$Q437), 0, 1), 4, if(ISBLANK('2025'!$R437), 0, 1), 5, if(ISBLANK('2025'!$S437), 0, 1), 6, if(ISBLANK('2025'!$T437), 0, 1), 7, 0))), 1, "")</f>
        <v/>
      </c>
      <c r="L474" s="1" t="str">
        <f>IF(AND(AND(AND(L$4&gt;='2025'!$L437,L$4&lt;='2025'!$M437), L$4&lt;&gt;DATE(2025,7,4)), (SWITCH(weekday(L$4), 1, 0, 2, if(ISBLANK('2025'!$P437), 0, 1), 3, if(ISBLANK('2025'!$Q437), 0, 1), 4, if(ISBLANK('2025'!$R437), 0, 1), 5, if(ISBLANK('2025'!$S437), 0, 1), 6, if(ISBLANK('2025'!$T437), 0, 1), 7, 0))), 1, "")</f>
        <v/>
      </c>
      <c r="M474" s="1" t="str">
        <f>IF(AND(AND(AND(M$4&gt;='2025'!$L437,M$4&lt;='2025'!$M437), M$4&lt;&gt;DATE(2025,7,4)), (SWITCH(weekday(M$4), 1, 0, 2, if(ISBLANK('2025'!$P437), 0, 1), 3, if(ISBLANK('2025'!$Q437), 0, 1), 4, if(ISBLANK('2025'!$R437), 0, 1), 5, if(ISBLANK('2025'!$S437), 0, 1), 6, if(ISBLANK('2025'!$T437), 0, 1), 7, 0))), 1, "")</f>
        <v/>
      </c>
      <c r="N474" s="1" t="str">
        <f>IF(AND(AND(AND(N$4&gt;='2025'!$L437,N$4&lt;='2025'!$M437), N$4&lt;&gt;DATE(2025,7,4)), (SWITCH(weekday(N$4), 1, 0, 2, if(ISBLANK('2025'!$P437), 0, 1), 3, if(ISBLANK('2025'!$Q437), 0, 1), 4, if(ISBLANK('2025'!$R437), 0, 1), 5, if(ISBLANK('2025'!$S437), 0, 1), 6, if(ISBLANK('2025'!$T437), 0, 1), 7, 0))), 1, "")</f>
        <v/>
      </c>
      <c r="O474" s="1" t="str">
        <f>IF(AND(AND(AND(O$4&gt;='2025'!$L437,O$4&lt;='2025'!$M437), O$4&lt;&gt;DATE(2025,7,4)), (SWITCH(weekday(O$4), 1, 0, 2, if(ISBLANK('2025'!$P437), 0, 1), 3, if(ISBLANK('2025'!$Q437), 0, 1), 4, if(ISBLANK('2025'!$R437), 0, 1), 5, if(ISBLANK('2025'!$S437), 0, 1), 6, if(ISBLANK('2025'!$T437), 0, 1), 7, 0))), 1, "")</f>
        <v/>
      </c>
      <c r="P474" s="1" t="str">
        <f>IF(AND(AND(AND(P$4&gt;='2025'!$L437,P$4&lt;='2025'!$M437), P$4&lt;&gt;DATE(2025,7,4)), (SWITCH(weekday(P$4), 1, 0, 2, if(ISBLANK('2025'!$P437), 0, 1), 3, if(ISBLANK('2025'!$Q437), 0, 1), 4, if(ISBLANK('2025'!$R437), 0, 1), 5, if(ISBLANK('2025'!$S437), 0, 1), 6, if(ISBLANK('2025'!$T437), 0, 1), 7, 0))), 1, "")</f>
        <v/>
      </c>
      <c r="Q474" s="1" t="str">
        <f>IF(AND(AND(AND(Q$4&gt;='2025'!$L437,Q$4&lt;='2025'!$M437), Q$4&lt;&gt;DATE(2025,7,4)), (SWITCH(weekday(Q$4), 1, 0, 2, if(ISBLANK('2025'!$P437), 0, 1), 3, if(ISBLANK('2025'!$Q437), 0, 1), 4, if(ISBLANK('2025'!$R437), 0, 1), 5, if(ISBLANK('2025'!$S437), 0, 1), 6, if(ISBLANK('2025'!$T437), 0, 1), 7, 0))), 1, "")</f>
        <v/>
      </c>
      <c r="R474" s="1" t="str">
        <f>IF(AND(AND(AND(R$4&gt;='2025'!$L437,R$4&lt;='2025'!$M437), R$4&lt;&gt;DATE(2025,7,4)), (SWITCH(weekday(R$4), 1, 0, 2, if(ISBLANK('2025'!$P437), 0, 1), 3, if(ISBLANK('2025'!$Q437), 0, 1), 4, if(ISBLANK('2025'!$R437), 0, 1), 5, if(ISBLANK('2025'!$S437), 0, 1), 6, if(ISBLANK('2025'!$T437), 0, 1), 7, 0))), 1, "")</f>
        <v/>
      </c>
      <c r="S474" s="1" t="str">
        <f>IF(AND(AND(AND(S$4&gt;='2025'!$L437,S$4&lt;='2025'!$M437), S$4&lt;&gt;DATE(2025,7,4)), (SWITCH(weekday(S$4), 1, 0, 2, if(ISBLANK('2025'!$P437), 0, 1), 3, if(ISBLANK('2025'!$Q437), 0, 1), 4, if(ISBLANK('2025'!$R437), 0, 1), 5, if(ISBLANK('2025'!$S437), 0, 1), 6, if(ISBLANK('2025'!$T437), 0, 1), 7, 0))), 1, "")</f>
        <v/>
      </c>
      <c r="T474" s="1" t="str">
        <f>IF(AND(AND(AND(T$4&gt;='2025'!$L437,T$4&lt;='2025'!$M437), T$4&lt;&gt;DATE(2025,7,4)), (SWITCH(weekday(T$4), 1, 0, 2, if(ISBLANK('2025'!$P437), 0, 1), 3, if(ISBLANK('2025'!$Q437), 0, 1), 4, if(ISBLANK('2025'!$R437), 0, 1), 5, if(ISBLANK('2025'!$S437), 0, 1), 6, if(ISBLANK('2025'!$T437), 0, 1), 7, 0))), 1, "")</f>
        <v/>
      </c>
      <c r="U474" s="1" t="str">
        <f>IF(AND(AND(AND(U$4&gt;='2025'!$L437,U$4&lt;='2025'!$M437), U$4&lt;&gt;DATE(2025,7,4)), (SWITCH(weekday(U$4), 1, 0, 2, if(ISBLANK('2025'!$P437), 0, 1), 3, if(ISBLANK('2025'!$Q437), 0, 1), 4, if(ISBLANK('2025'!$R437), 0, 1), 5, if(ISBLANK('2025'!$S437), 0, 1), 6, if(ISBLANK('2025'!$T437), 0, 1), 7, 0))), 1, "")</f>
        <v/>
      </c>
      <c r="V474" s="1" t="str">
        <f>IF(AND(AND(AND(V$4&gt;='2025'!$L437,V$4&lt;='2025'!$M437), V$4&lt;&gt;DATE(2025,7,4)), (SWITCH(weekday(V$4), 1, 0, 2, if(ISBLANK('2025'!$P437), 0, 1), 3, if(ISBLANK('2025'!$Q437), 0, 1), 4, if(ISBLANK('2025'!$R437), 0, 1), 5, if(ISBLANK('2025'!$S437), 0, 1), 6, if(ISBLANK('2025'!$T437), 0, 1), 7, 0))), 1, "")</f>
        <v/>
      </c>
      <c r="W474" s="1" t="str">
        <f>IF(AND(AND(AND(W$4&gt;='2025'!$L437,W$4&lt;='2025'!$M437), W$4&lt;&gt;DATE(2025,7,4)), (SWITCH(weekday(W$4), 1, 0, 2, if(ISBLANK('2025'!$P437), 0, 1), 3, if(ISBLANK('2025'!$Q437), 0, 1), 4, if(ISBLANK('2025'!$R437), 0, 1), 5, if(ISBLANK('2025'!$S437), 0, 1), 6, if(ISBLANK('2025'!$T437), 0, 1), 7, 0))), 1, "")</f>
        <v/>
      </c>
      <c r="X474" s="1" t="str">
        <f>IF(AND(AND(AND(X$4&gt;='2025'!$L437,X$4&lt;='2025'!$M437), X$4&lt;&gt;DATE(2025,7,4)), (SWITCH(weekday(X$4), 1, 0, 2, if(ISBLANK('2025'!$P437), 0, 1), 3, if(ISBLANK('2025'!$Q437), 0, 1), 4, if(ISBLANK('2025'!$R437), 0, 1), 5, if(ISBLANK('2025'!$S437), 0, 1), 6, if(ISBLANK('2025'!$T437), 0, 1), 7, 0))), 1, "")</f>
        <v/>
      </c>
      <c r="Y474" s="1" t="str">
        <f>IF(AND(AND(AND(Y$4&gt;='2025'!$L437,Y$4&lt;='2025'!$M437), Y$4&lt;&gt;DATE(2025,7,4)), (SWITCH(weekday(Y$4), 1, 0, 2, if(ISBLANK('2025'!$P437), 0, 1), 3, if(ISBLANK('2025'!$Q437), 0, 1), 4, if(ISBLANK('2025'!$R437), 0, 1), 5, if(ISBLANK('2025'!$S437), 0, 1), 6, if(ISBLANK('2025'!$T437), 0, 1), 7, 0))), 1, "")</f>
        <v/>
      </c>
      <c r="Z474" s="1" t="str">
        <f>IF(AND(AND(AND(Z$4&gt;='2025'!$L437,Z$4&lt;='2025'!$M437), Z$4&lt;&gt;DATE(2025,7,4)), (SWITCH(weekday(Z$4), 1, 0, 2, if(ISBLANK('2025'!$P437), 0, 1), 3, if(ISBLANK('2025'!$Q437), 0, 1), 4, if(ISBLANK('2025'!$R437), 0, 1), 5, if(ISBLANK('2025'!$S437), 0, 1), 6, if(ISBLANK('2025'!$T437), 0, 1), 7, 0))), 1, "")</f>
        <v/>
      </c>
      <c r="AA474" s="1" t="str">
        <f>IF(AND(AND(AND(AA$4&gt;='2025'!$L437,AA$4&lt;='2025'!$M437), AA$4&lt;&gt;DATE(2025,7,4)), (SWITCH(weekday(AA$4), 1, 0, 2, if(ISBLANK('2025'!$P437), 0, 1), 3, if(ISBLANK('2025'!$Q437), 0, 1), 4, if(ISBLANK('2025'!$R437), 0, 1), 5, if(ISBLANK('2025'!$S437), 0, 1), 6, if(ISBLANK('2025'!$T437), 0, 1), 7, 0))), 1, "")</f>
        <v/>
      </c>
      <c r="AB474" s="1" t="str">
        <f>IF(AND(AND(AND(AB$4&gt;='2025'!$L437,AB$4&lt;='2025'!$M437), AB$4&lt;&gt;DATE(2025,7,4)), (SWITCH(weekday(AB$4), 1, 0, 2, if(ISBLANK('2025'!$P437), 0, 1), 3, if(ISBLANK('2025'!$Q437), 0, 1), 4, if(ISBLANK('2025'!$R437), 0, 1), 5, if(ISBLANK('2025'!$S437), 0, 1), 6, if(ISBLANK('2025'!$T437), 0, 1), 7, 0))), 1, "")</f>
        <v/>
      </c>
      <c r="AC474" s="1" t="str">
        <f>IF(AND(AND(AND(AC$4&gt;='2025'!$L437,AC$4&lt;='2025'!$M437), AC$4&lt;&gt;DATE(2025,7,4)), (SWITCH(weekday(AC$4), 1, 0, 2, if(ISBLANK('2025'!$P437), 0, 1), 3, if(ISBLANK('2025'!$Q437), 0, 1), 4, if(ISBLANK('2025'!$R437), 0, 1), 5, if(ISBLANK('2025'!$S437), 0, 1), 6, if(ISBLANK('2025'!$T437), 0, 1), 7, 0))), 1, "")</f>
        <v/>
      </c>
      <c r="AD474" s="1" t="str">
        <f>IF(AND(AND(AND(AD$4&gt;='2025'!$L437,AD$4&lt;='2025'!$M437), AD$4&lt;&gt;DATE(2025,7,4)), (SWITCH(weekday(AD$4), 1, 0, 2, if(ISBLANK('2025'!$P437), 0, 1), 3, if(ISBLANK('2025'!$Q437), 0, 1), 4, if(ISBLANK('2025'!$R437), 0, 1), 5, if(ISBLANK('2025'!$S437), 0, 1), 6, if(ISBLANK('2025'!$T437), 0, 1), 7, 0))), 1, "")</f>
        <v/>
      </c>
      <c r="AE474" s="1" t="str">
        <f>IF(AND(AND(AND(AE$4&gt;='2025'!$L437,AE$4&lt;='2025'!$M437), AE$4&lt;&gt;DATE(2025,7,4)), (SWITCH(weekday(AE$4), 1, 0, 2, if(ISBLANK('2025'!$P437), 0, 1), 3, if(ISBLANK('2025'!$Q437), 0, 1), 4, if(ISBLANK('2025'!$R437), 0, 1), 5, if(ISBLANK('2025'!$S437), 0, 1), 6, if(ISBLANK('2025'!$T437), 0, 1), 7, 0))), 1, "")</f>
        <v/>
      </c>
      <c r="AF474" s="1" t="str">
        <f>IF(AND(AND(AND(AF$4&gt;='2025'!$L437,AF$4&lt;='2025'!$M437), AF$4&lt;&gt;DATE(2025,7,4)), (SWITCH(weekday(AF$4), 1, 0, 2, if(ISBLANK('2025'!$P437), 0, 1), 3, if(ISBLANK('2025'!$Q437), 0, 1), 4, if(ISBLANK('2025'!$R437), 0, 1), 5, if(ISBLANK('2025'!$S437), 0, 1), 6, if(ISBLANK('2025'!$T437), 0, 1), 7, 0))), 1, "")</f>
        <v/>
      </c>
      <c r="AG474" s="1" t="str">
        <f>IF(AND(AND(AND(AG$4&gt;='2025'!$L437,AG$4&lt;='2025'!$M437), AG$4&lt;&gt;DATE(2025,7,4)), (SWITCH(weekday(AG$4), 1, 0, 2, if(ISBLANK('2025'!$P437), 0, 1), 3, if(ISBLANK('2025'!$Q437), 0, 1), 4, if(ISBLANK('2025'!$R437), 0, 1), 5, if(ISBLANK('2025'!$S437), 0, 1), 6, if(ISBLANK('2025'!$T437), 0, 1), 7, 0))), 1, "")</f>
        <v/>
      </c>
      <c r="AH474" s="1" t="str">
        <f>IF(AND(AND(AND(AH$4&gt;='2025'!$L437,AH$4&lt;='2025'!$M437), AH$4&lt;&gt;DATE(2025,7,4)), (SWITCH(weekday(AH$4), 1, 0, 2, if(ISBLANK('2025'!$P437), 0, 1), 3, if(ISBLANK('2025'!$Q437), 0, 1), 4, if(ISBLANK('2025'!$R437), 0, 1), 5, if(ISBLANK('2025'!$S437), 0, 1), 6, if(ISBLANK('2025'!$T437), 0, 1), 7, 0))), 1, "")</f>
        <v/>
      </c>
      <c r="AI474" s="1" t="str">
        <f>IF(AND(AND(AND(AI$4&gt;='2025'!$L437,AI$4&lt;='2025'!$M437), AI$4&lt;&gt;DATE(2025,7,4)), (SWITCH(weekday(AI$4), 1, 0, 2, if(ISBLANK('2025'!$P437), 0, 1), 3, if(ISBLANK('2025'!$Q437), 0, 1), 4, if(ISBLANK('2025'!$R437), 0, 1), 5, if(ISBLANK('2025'!$S437), 0, 1), 6, if(ISBLANK('2025'!$T437), 0, 1), 7, 0))), 1, "")</f>
        <v/>
      </c>
      <c r="AJ474" s="1" t="str">
        <f>IF(AND(AND(AND(AJ$4&gt;='2025'!$L437,AJ$4&lt;='2025'!$M437), AJ$4&lt;&gt;DATE(2025,7,4)), (SWITCH(weekday(AJ$4), 1, 0, 2, if(ISBLANK('2025'!$P437), 0, 1), 3, if(ISBLANK('2025'!$Q437), 0, 1), 4, if(ISBLANK('2025'!$R437), 0, 1), 5, if(ISBLANK('2025'!$S437), 0, 1), 6, if(ISBLANK('2025'!$T437), 0, 1), 7, 0))), 1, "")</f>
        <v/>
      </c>
      <c r="AK474" s="1" t="str">
        <f>IF(AND(AND(AND(AK$4&gt;='2025'!$L437,AK$4&lt;='2025'!$M437), AK$4&lt;&gt;DATE(2025,7,4)), (SWITCH(weekday(AK$4), 1, 0, 2, if(ISBLANK('2025'!$P437), 0, 1), 3, if(ISBLANK('2025'!$Q437), 0, 1), 4, if(ISBLANK('2025'!$R437), 0, 1), 5, if(ISBLANK('2025'!$S437), 0, 1), 6, if(ISBLANK('2025'!$T437), 0, 1), 7, 0))), 1, "")</f>
        <v/>
      </c>
      <c r="AL474" s="1" t="str">
        <f>IF(AND(AND(AND(AL$4&gt;='2025'!$L437,AL$4&lt;='2025'!$M437), AL$4&lt;&gt;DATE(2025,7,4)), (SWITCH(weekday(AL$4), 1, 0, 2, if(ISBLANK('2025'!$P437), 0, 1), 3, if(ISBLANK('2025'!$Q437), 0, 1), 4, if(ISBLANK('2025'!$R437), 0, 1), 5, if(ISBLANK('2025'!$S437), 0, 1), 6, if(ISBLANK('2025'!$T437), 0, 1), 7, 0))), 1, "")</f>
        <v/>
      </c>
      <c r="AM474" s="1" t="str">
        <f>IF(AND(AND(AND(AM$4&gt;='2025'!$L437,AM$4&lt;='2025'!$M437), AM$4&lt;&gt;DATE(2025,7,4)), (SWITCH(weekday(AM$4), 1, 0, 2, if(ISBLANK('2025'!$P437), 0, 1), 3, if(ISBLANK('2025'!$Q437), 0, 1), 4, if(ISBLANK('2025'!$R437), 0, 1), 5, if(ISBLANK('2025'!$S437), 0, 1), 6, if(ISBLANK('2025'!$T437), 0, 1), 7, 0))), 1, "")</f>
        <v/>
      </c>
      <c r="AN474" s="1" t="str">
        <f>IF(AND(AND(AND(AN$4&gt;='2025'!$L437,AN$4&lt;='2025'!$M437), AN$4&lt;&gt;DATE(2025,7,4)), (SWITCH(weekday(AN$4), 1, 0, 2, if(ISBLANK('2025'!$P437), 0, 1), 3, if(ISBLANK('2025'!$Q437), 0, 1), 4, if(ISBLANK('2025'!$R437), 0, 1), 5, if(ISBLANK('2025'!$S437), 0, 1), 6, if(ISBLANK('2025'!$T437), 0, 1), 7, 0))), 1, "")</f>
        <v/>
      </c>
      <c r="AO474" s="1" t="str">
        <f>IF(AND(AND(AND(AO$4&gt;='2025'!$L437,AO$4&lt;='2025'!$M437), AO$4&lt;&gt;DATE(2025,7,4)), (SWITCH(weekday(AO$4), 1, 0, 2, if(ISBLANK('2025'!$P437), 0, 1), 3, if(ISBLANK('2025'!$Q437), 0, 1), 4, if(ISBLANK('2025'!$R437), 0, 1), 5, if(ISBLANK('2025'!$S437), 0, 1), 6, if(ISBLANK('2025'!$T437), 0, 1), 7, 0))), 1, "")</f>
        <v/>
      </c>
      <c r="AP474" s="1" t="str">
        <f>IF(AND(AND(AND(AP$4&gt;='2025'!$L437,AP$4&lt;='2025'!$M437), AP$4&lt;&gt;DATE(2025,7,4)), (SWITCH(weekday(AP$4), 1, 0, 2, if(ISBLANK('2025'!$P437), 0, 1), 3, if(ISBLANK('2025'!$Q437), 0, 1), 4, if(ISBLANK('2025'!$R437), 0, 1), 5, if(ISBLANK('2025'!$S437), 0, 1), 6, if(ISBLANK('2025'!$T437), 0, 1), 7, 0))), 1, "")</f>
        <v/>
      </c>
      <c r="AQ474" s="1" t="str">
        <f>IF(AND(AND(AND(AQ$4&gt;='2025'!$L437,AQ$4&lt;='2025'!$M437), AQ$4&lt;&gt;DATE(2025,7,4)), (SWITCH(weekday(AQ$4), 1, 0, 2, if(ISBLANK('2025'!$P437), 0, 1), 3, if(ISBLANK('2025'!$Q437), 0, 1), 4, if(ISBLANK('2025'!$R437), 0, 1), 5, if(ISBLANK('2025'!$S437), 0, 1), 6, if(ISBLANK('2025'!$T437), 0, 1), 7, 0))), 1, "")</f>
        <v/>
      </c>
      <c r="AR474" s="1" t="str">
        <f>IF(AND(AND(AND(AR$4&gt;='2025'!$L437,AR$4&lt;='2025'!$M437), AR$4&lt;&gt;DATE(2025,7,4)), (SWITCH(weekday(AR$4), 1, 0, 2, if(ISBLANK('2025'!$P437), 0, 1), 3, if(ISBLANK('2025'!$Q437), 0, 1), 4, if(ISBLANK('2025'!$R437), 0, 1), 5, if(ISBLANK('2025'!$S437), 0, 1), 6, if(ISBLANK('2025'!$T437), 0, 1), 7, 0))), 1, "")</f>
        <v/>
      </c>
      <c r="AS474" s="1" t="str">
        <f>IF(AND(AND(AND(AS$4&gt;='2025'!$L437,AS$4&lt;='2025'!$M437), AS$4&lt;&gt;DATE(2025,7,4)), (SWITCH(weekday(AS$4), 1, 0, 2, if(ISBLANK('2025'!$P437), 0, 1), 3, if(ISBLANK('2025'!$Q437), 0, 1), 4, if(ISBLANK('2025'!$R437), 0, 1), 5, if(ISBLANK('2025'!$S437), 0, 1), 6, if(ISBLANK('2025'!$T437), 0, 1), 7, 0))), 1, "")</f>
        <v/>
      </c>
      <c r="AT474" s="1" t="str">
        <f>IF(AND(AND(AND(AT$4&gt;='2025'!$L437,AT$4&lt;='2025'!$M437), AT$4&lt;&gt;DATE(2025,7,4)), (SWITCH(weekday(AT$4), 1, 0, 2, if(ISBLANK('2025'!$P437), 0, 1), 3, if(ISBLANK('2025'!$Q437), 0, 1), 4, if(ISBLANK('2025'!$R437), 0, 1), 5, if(ISBLANK('2025'!$S437), 0, 1), 6, if(ISBLANK('2025'!$T437), 0, 1), 7, 0))), 1, "")</f>
        <v/>
      </c>
      <c r="AU474" s="1" t="str">
        <f>IF(AND(AND(AND(AU$4&gt;='2025'!$L437,AU$4&lt;='2025'!$M437), AU$4&lt;&gt;DATE(2025,7,4)), (SWITCH(weekday(AU$4), 1, 0, 2, if(ISBLANK('2025'!$P437), 0, 1), 3, if(ISBLANK('2025'!$Q437), 0, 1), 4, if(ISBLANK('2025'!$R437), 0, 1), 5, if(ISBLANK('2025'!$S437), 0, 1), 6, if(ISBLANK('2025'!$T437), 0, 1), 7, 0))), 1, "")</f>
        <v/>
      </c>
      <c r="AV474" s="1" t="str">
        <f>IF(AND(AND(AND(AV$4&gt;='2025'!$L437,AV$4&lt;='2025'!$M437), AV$4&lt;&gt;DATE(2025,7,4)), (SWITCH(weekday(AV$4), 1, 0, 2, if(ISBLANK('2025'!$P437), 0, 1), 3, if(ISBLANK('2025'!$Q437), 0, 1), 4, if(ISBLANK('2025'!$R437), 0, 1), 5, if(ISBLANK('2025'!$S437), 0, 1), 6, if(ISBLANK('2025'!$T437), 0, 1), 7, 0))), 1, "")</f>
        <v/>
      </c>
      <c r="AW474" s="1" t="str">
        <f>IF(AND(AND(AND(AW$4&gt;='2025'!$L437,AW$4&lt;='2025'!$M437), AW$4&lt;&gt;DATE(2025,7,4)), (SWITCH(weekday(AW$4), 1, 0, 2, if(ISBLANK('2025'!$P437), 0, 1), 3, if(ISBLANK('2025'!$Q437), 0, 1), 4, if(ISBLANK('2025'!$R437), 0, 1), 5, if(ISBLANK('2025'!$S437), 0, 1), 6, if(ISBLANK('2025'!$T437), 0, 1), 7, 0))), 1, "")</f>
        <v/>
      </c>
      <c r="AX474" s="1" t="str">
        <f>IF(AND(AND(AND(AX$4&gt;='2025'!$L437,AX$4&lt;='2025'!$M437), AX$4&lt;&gt;DATE(2025,7,4)), (SWITCH(weekday(AX$4), 1, 0, 2, if(ISBLANK('2025'!$P437), 0, 1), 3, if(ISBLANK('2025'!$Q437), 0, 1), 4, if(ISBLANK('2025'!$R437), 0, 1), 5, if(ISBLANK('2025'!$S437), 0, 1), 6, if(ISBLANK('2025'!$T437), 0, 1), 7, 0))), 1, "")</f>
        <v/>
      </c>
      <c r="AY474" s="1" t="str">
        <f>IF(AND(AND(AND(AY$4&gt;='2025'!$L437,AY$4&lt;='2025'!$M437), AY$4&lt;&gt;DATE(2025,7,4)), (SWITCH(weekday(AY$4), 1, 0, 2, if(ISBLANK('2025'!$P437), 0, 1), 3, if(ISBLANK('2025'!$Q437), 0, 1), 4, if(ISBLANK('2025'!$R437), 0, 1), 5, if(ISBLANK('2025'!$S437), 0, 1), 6, if(ISBLANK('2025'!$T437), 0, 1), 7, 0))), 1, "")</f>
        <v/>
      </c>
      <c r="AZ474" s="1" t="str">
        <f>IF(AND(AND(AND(AZ$4&gt;='2025'!$L437,AZ$4&lt;='2025'!$M437), AZ$4&lt;&gt;DATE(2025,7,4)), (SWITCH(weekday(AZ$4), 1, 0, 2, if(ISBLANK('2025'!$P437), 0, 1), 3, if(ISBLANK('2025'!$Q437), 0, 1), 4, if(ISBLANK('2025'!$R437), 0, 1), 5, if(ISBLANK('2025'!$S437), 0, 1), 6, if(ISBLANK('2025'!$T437), 0, 1), 7, 0))), 1, "")</f>
        <v/>
      </c>
      <c r="BA474" s="1" t="str">
        <f>IF(AND(AND(AND(BA$4&gt;='2025'!$L437,BA$4&lt;='2025'!$M437), BA$4&lt;&gt;DATE(2025,7,4)), (SWITCH(weekday(BA$4), 1, 0, 2, if(ISBLANK('2025'!$P437), 0, 1), 3, if(ISBLANK('2025'!$Q437), 0, 1), 4, if(ISBLANK('2025'!$R437), 0, 1), 5, if(ISBLANK('2025'!$S437), 0, 1), 6, if(ISBLANK('2025'!$T437), 0, 1), 7, 0))), 1, "")</f>
        <v/>
      </c>
      <c r="BB474" s="1" t="str">
        <f>IF(AND(AND(AND(BB$4&gt;='2025'!$L437,BB$4&lt;='2025'!$M437), BB$4&lt;&gt;DATE(2025,7,4)), (SWITCH(weekday(BB$4), 1, 0, 2, if(ISBLANK('2025'!$P437), 0, 1), 3, if(ISBLANK('2025'!$Q437), 0, 1), 4, if(ISBLANK('2025'!$R437), 0, 1), 5, if(ISBLANK('2025'!$S437), 0, 1), 6, if(ISBLANK('2025'!$T437), 0, 1), 7, 0))), 1, "")</f>
        <v/>
      </c>
      <c r="BC474" s="1" t="str">
        <f>IF(AND(AND(AND(BC$4&gt;='2025'!$L437,BC$4&lt;='2025'!$M437), BC$4&lt;&gt;DATE(2025,7,4)), (SWITCH(weekday(BC$4), 1, 0, 2, if(ISBLANK('2025'!$P437), 0, 1), 3, if(ISBLANK('2025'!$Q437), 0, 1), 4, if(ISBLANK('2025'!$R437), 0, 1), 5, if(ISBLANK('2025'!$S437), 0, 1), 6, if(ISBLANK('2025'!$T437), 0, 1), 7, 0))), 1, "")</f>
        <v/>
      </c>
      <c r="BD474" s="1" t="str">
        <f>IF(AND(AND(AND(BD$4&gt;='2025'!$L437,BD$4&lt;='2025'!$M437), BD$4&lt;&gt;DATE(2025,7,4)), (SWITCH(weekday(BD$4), 1, 0, 2, if(ISBLANK('2025'!$P437), 0, 1), 3, if(ISBLANK('2025'!$Q437), 0, 1), 4, if(ISBLANK('2025'!$R437), 0, 1), 5, if(ISBLANK('2025'!$S437), 0, 1), 6, if(ISBLANK('2025'!$T437), 0, 1), 7, 0))), 1, "")</f>
        <v/>
      </c>
      <c r="BE474" s="1" t="str">
        <f>IF(AND(AND(AND(BE$4&gt;='2025'!$L437,BE$4&lt;='2025'!$M437), BE$4&lt;&gt;DATE(2025,7,4)), (SWITCH(weekday(BE$4), 1, 0, 2, if(ISBLANK('2025'!$P437), 0, 1), 3, if(ISBLANK('2025'!$Q437), 0, 1), 4, if(ISBLANK('2025'!$R437), 0, 1), 5, if(ISBLANK('2025'!$S437), 0, 1), 6, if(ISBLANK('2025'!$T437), 0, 1), 7, 0))), 1, "")</f>
        <v/>
      </c>
    </row>
    <row r="475">
      <c r="A475" s="1">
        <f t="shared" si="3"/>
        <v>475</v>
      </c>
      <c r="B475" s="1" t="str">
        <f>'2025'!D438</f>
        <v/>
      </c>
      <c r="C475" s="1" t="str">
        <f>'2025'!H438</f>
        <v/>
      </c>
      <c r="D475" s="1" t="str">
        <f>IF(AND(AND(AND(D$4&gt;='2025'!$L438,D$4&lt;='2025'!$M438), D$4&lt;&gt;DATE(2025,7,4)), (SWITCH(weekday(D$4), 1, 0, 2, if(ISBLANK('2025'!$P438), 0, 1), 3, if(ISBLANK('2025'!$Q438), 0, 1), 4, if(ISBLANK('2025'!$R438), 0, 1), 5, if(ISBLANK('2025'!$S438), 0, 1), 6, if(ISBLANK('2025'!$T438), 0, 1), 7, 0))), 1, "")</f>
        <v/>
      </c>
      <c r="E475" s="1" t="str">
        <f>IF(AND(AND(AND(E$4&gt;='2025'!$L438,E$4&lt;='2025'!$M438), E$4&lt;&gt;DATE(2025,7,4)), (SWITCH(weekday(E$4), 1, 0, 2, if(ISBLANK('2025'!$P438), 0, 1), 3, if(ISBLANK('2025'!$Q438), 0, 1), 4, if(ISBLANK('2025'!$R438), 0, 1), 5, if(ISBLANK('2025'!$S438), 0, 1), 6, if(ISBLANK('2025'!$T438), 0, 1), 7, 0))), 1, "")</f>
        <v/>
      </c>
      <c r="F475" s="1" t="str">
        <f>IF(AND(AND(AND(F$4&gt;='2025'!$L438,F$4&lt;='2025'!$M438), F$4&lt;&gt;DATE(2025,7,4)), (SWITCH(weekday(F$4), 1, 0, 2, if(ISBLANK('2025'!$P438), 0, 1), 3, if(ISBLANK('2025'!$Q438), 0, 1), 4, if(ISBLANK('2025'!$R438), 0, 1), 5, if(ISBLANK('2025'!$S438), 0, 1), 6, if(ISBLANK('2025'!$T438), 0, 1), 7, 0))), 1, "")</f>
        <v/>
      </c>
      <c r="G475" s="1" t="str">
        <f>IF(AND(AND(AND(G$4&gt;='2025'!$L438,G$4&lt;='2025'!$M438), G$4&lt;&gt;DATE(2025,7,4)), (SWITCH(weekday(G$4), 1, 0, 2, if(ISBLANK('2025'!$P438), 0, 1), 3, if(ISBLANK('2025'!$Q438), 0, 1), 4, if(ISBLANK('2025'!$R438), 0, 1), 5, if(ISBLANK('2025'!$S438), 0, 1), 6, if(ISBLANK('2025'!$T438), 0, 1), 7, 0))), 1, "")</f>
        <v/>
      </c>
      <c r="H475" s="1" t="str">
        <f>IF(AND(AND(AND(H$4&gt;='2025'!$L438,H$4&lt;='2025'!$M438), H$4&lt;&gt;DATE(2025,7,4)), (SWITCH(weekday(H$4), 1, 0, 2, if(ISBLANK('2025'!$P438), 0, 1), 3, if(ISBLANK('2025'!$Q438), 0, 1), 4, if(ISBLANK('2025'!$R438), 0, 1), 5, if(ISBLANK('2025'!$S438), 0, 1), 6, if(ISBLANK('2025'!$T438), 0, 1), 7, 0))), 1, "")</f>
        <v/>
      </c>
      <c r="I475" s="1" t="str">
        <f>IF(AND(AND(AND(I$4&gt;='2025'!$L438,I$4&lt;='2025'!$M438), I$4&lt;&gt;DATE(2025,7,4)), (SWITCH(weekday(I$4), 1, 0, 2, if(ISBLANK('2025'!$P438), 0, 1), 3, if(ISBLANK('2025'!$Q438), 0, 1), 4, if(ISBLANK('2025'!$R438), 0, 1), 5, if(ISBLANK('2025'!$S438), 0, 1), 6, if(ISBLANK('2025'!$T438), 0, 1), 7, 0))), 1, "")</f>
        <v/>
      </c>
      <c r="J475" s="1" t="str">
        <f>IF(AND(AND(AND(J$4&gt;='2025'!$L438,J$4&lt;='2025'!$M438), J$4&lt;&gt;DATE(2025,7,4)), (SWITCH(weekday(J$4), 1, 0, 2, if(ISBLANK('2025'!$P438), 0, 1), 3, if(ISBLANK('2025'!$Q438), 0, 1), 4, if(ISBLANK('2025'!$R438), 0, 1), 5, if(ISBLANK('2025'!$S438), 0, 1), 6, if(ISBLANK('2025'!$T438), 0, 1), 7, 0))), 1, "")</f>
        <v/>
      </c>
      <c r="K475" s="1" t="str">
        <f>IF(AND(AND(AND(K$4&gt;='2025'!$L438,K$4&lt;='2025'!$M438), K$4&lt;&gt;DATE(2025,7,4)), (SWITCH(weekday(K$4), 1, 0, 2, if(ISBLANK('2025'!$P438), 0, 1), 3, if(ISBLANK('2025'!$Q438), 0, 1), 4, if(ISBLANK('2025'!$R438), 0, 1), 5, if(ISBLANK('2025'!$S438), 0, 1), 6, if(ISBLANK('2025'!$T438), 0, 1), 7, 0))), 1, "")</f>
        <v/>
      </c>
      <c r="L475" s="1" t="str">
        <f>IF(AND(AND(AND(L$4&gt;='2025'!$L438,L$4&lt;='2025'!$M438), L$4&lt;&gt;DATE(2025,7,4)), (SWITCH(weekday(L$4), 1, 0, 2, if(ISBLANK('2025'!$P438), 0, 1), 3, if(ISBLANK('2025'!$Q438), 0, 1), 4, if(ISBLANK('2025'!$R438), 0, 1), 5, if(ISBLANK('2025'!$S438), 0, 1), 6, if(ISBLANK('2025'!$T438), 0, 1), 7, 0))), 1, "")</f>
        <v/>
      </c>
      <c r="M475" s="1" t="str">
        <f>IF(AND(AND(AND(M$4&gt;='2025'!$L438,M$4&lt;='2025'!$M438), M$4&lt;&gt;DATE(2025,7,4)), (SWITCH(weekday(M$4), 1, 0, 2, if(ISBLANK('2025'!$P438), 0, 1), 3, if(ISBLANK('2025'!$Q438), 0, 1), 4, if(ISBLANK('2025'!$R438), 0, 1), 5, if(ISBLANK('2025'!$S438), 0, 1), 6, if(ISBLANK('2025'!$T438), 0, 1), 7, 0))), 1, "")</f>
        <v/>
      </c>
      <c r="N475" s="1" t="str">
        <f>IF(AND(AND(AND(N$4&gt;='2025'!$L438,N$4&lt;='2025'!$M438), N$4&lt;&gt;DATE(2025,7,4)), (SWITCH(weekday(N$4), 1, 0, 2, if(ISBLANK('2025'!$P438), 0, 1), 3, if(ISBLANK('2025'!$Q438), 0, 1), 4, if(ISBLANK('2025'!$R438), 0, 1), 5, if(ISBLANK('2025'!$S438), 0, 1), 6, if(ISBLANK('2025'!$T438), 0, 1), 7, 0))), 1, "")</f>
        <v/>
      </c>
      <c r="O475" s="1" t="str">
        <f>IF(AND(AND(AND(O$4&gt;='2025'!$L438,O$4&lt;='2025'!$M438), O$4&lt;&gt;DATE(2025,7,4)), (SWITCH(weekday(O$4), 1, 0, 2, if(ISBLANK('2025'!$P438), 0, 1), 3, if(ISBLANK('2025'!$Q438), 0, 1), 4, if(ISBLANK('2025'!$R438), 0, 1), 5, if(ISBLANK('2025'!$S438), 0, 1), 6, if(ISBLANK('2025'!$T438), 0, 1), 7, 0))), 1, "")</f>
        <v/>
      </c>
      <c r="P475" s="1" t="str">
        <f>IF(AND(AND(AND(P$4&gt;='2025'!$L438,P$4&lt;='2025'!$M438), P$4&lt;&gt;DATE(2025,7,4)), (SWITCH(weekday(P$4), 1, 0, 2, if(ISBLANK('2025'!$P438), 0, 1), 3, if(ISBLANK('2025'!$Q438), 0, 1), 4, if(ISBLANK('2025'!$R438), 0, 1), 5, if(ISBLANK('2025'!$S438), 0, 1), 6, if(ISBLANK('2025'!$T438), 0, 1), 7, 0))), 1, "")</f>
        <v/>
      </c>
      <c r="Q475" s="1" t="str">
        <f>IF(AND(AND(AND(Q$4&gt;='2025'!$L438,Q$4&lt;='2025'!$M438), Q$4&lt;&gt;DATE(2025,7,4)), (SWITCH(weekday(Q$4), 1, 0, 2, if(ISBLANK('2025'!$P438), 0, 1), 3, if(ISBLANK('2025'!$Q438), 0, 1), 4, if(ISBLANK('2025'!$R438), 0, 1), 5, if(ISBLANK('2025'!$S438), 0, 1), 6, if(ISBLANK('2025'!$T438), 0, 1), 7, 0))), 1, "")</f>
        <v/>
      </c>
      <c r="R475" s="1" t="str">
        <f>IF(AND(AND(AND(R$4&gt;='2025'!$L438,R$4&lt;='2025'!$M438), R$4&lt;&gt;DATE(2025,7,4)), (SWITCH(weekday(R$4), 1, 0, 2, if(ISBLANK('2025'!$P438), 0, 1), 3, if(ISBLANK('2025'!$Q438), 0, 1), 4, if(ISBLANK('2025'!$R438), 0, 1), 5, if(ISBLANK('2025'!$S438), 0, 1), 6, if(ISBLANK('2025'!$T438), 0, 1), 7, 0))), 1, "")</f>
        <v/>
      </c>
      <c r="S475" s="1" t="str">
        <f>IF(AND(AND(AND(S$4&gt;='2025'!$L438,S$4&lt;='2025'!$M438), S$4&lt;&gt;DATE(2025,7,4)), (SWITCH(weekday(S$4), 1, 0, 2, if(ISBLANK('2025'!$P438), 0, 1), 3, if(ISBLANK('2025'!$Q438), 0, 1), 4, if(ISBLANK('2025'!$R438), 0, 1), 5, if(ISBLANK('2025'!$S438), 0, 1), 6, if(ISBLANK('2025'!$T438), 0, 1), 7, 0))), 1, "")</f>
        <v/>
      </c>
      <c r="T475" s="1" t="str">
        <f>IF(AND(AND(AND(T$4&gt;='2025'!$L438,T$4&lt;='2025'!$M438), T$4&lt;&gt;DATE(2025,7,4)), (SWITCH(weekday(T$4), 1, 0, 2, if(ISBLANK('2025'!$P438), 0, 1), 3, if(ISBLANK('2025'!$Q438), 0, 1), 4, if(ISBLANK('2025'!$R438), 0, 1), 5, if(ISBLANK('2025'!$S438), 0, 1), 6, if(ISBLANK('2025'!$T438), 0, 1), 7, 0))), 1, "")</f>
        <v/>
      </c>
      <c r="U475" s="1" t="str">
        <f>IF(AND(AND(AND(U$4&gt;='2025'!$L438,U$4&lt;='2025'!$M438), U$4&lt;&gt;DATE(2025,7,4)), (SWITCH(weekday(U$4), 1, 0, 2, if(ISBLANK('2025'!$P438), 0, 1), 3, if(ISBLANK('2025'!$Q438), 0, 1), 4, if(ISBLANK('2025'!$R438), 0, 1), 5, if(ISBLANK('2025'!$S438), 0, 1), 6, if(ISBLANK('2025'!$T438), 0, 1), 7, 0))), 1, "")</f>
        <v/>
      </c>
      <c r="V475" s="1" t="str">
        <f>IF(AND(AND(AND(V$4&gt;='2025'!$L438,V$4&lt;='2025'!$M438), V$4&lt;&gt;DATE(2025,7,4)), (SWITCH(weekday(V$4), 1, 0, 2, if(ISBLANK('2025'!$P438), 0, 1), 3, if(ISBLANK('2025'!$Q438), 0, 1), 4, if(ISBLANK('2025'!$R438), 0, 1), 5, if(ISBLANK('2025'!$S438), 0, 1), 6, if(ISBLANK('2025'!$T438), 0, 1), 7, 0))), 1, "")</f>
        <v/>
      </c>
      <c r="W475" s="1" t="str">
        <f>IF(AND(AND(AND(W$4&gt;='2025'!$L438,W$4&lt;='2025'!$M438), W$4&lt;&gt;DATE(2025,7,4)), (SWITCH(weekday(W$4), 1, 0, 2, if(ISBLANK('2025'!$P438), 0, 1), 3, if(ISBLANK('2025'!$Q438), 0, 1), 4, if(ISBLANK('2025'!$R438), 0, 1), 5, if(ISBLANK('2025'!$S438), 0, 1), 6, if(ISBLANK('2025'!$T438), 0, 1), 7, 0))), 1, "")</f>
        <v/>
      </c>
      <c r="X475" s="1" t="str">
        <f>IF(AND(AND(AND(X$4&gt;='2025'!$L438,X$4&lt;='2025'!$M438), X$4&lt;&gt;DATE(2025,7,4)), (SWITCH(weekday(X$4), 1, 0, 2, if(ISBLANK('2025'!$P438), 0, 1), 3, if(ISBLANK('2025'!$Q438), 0, 1), 4, if(ISBLANK('2025'!$R438), 0, 1), 5, if(ISBLANK('2025'!$S438), 0, 1), 6, if(ISBLANK('2025'!$T438), 0, 1), 7, 0))), 1, "")</f>
        <v/>
      </c>
      <c r="Y475" s="1" t="str">
        <f>IF(AND(AND(AND(Y$4&gt;='2025'!$L438,Y$4&lt;='2025'!$M438), Y$4&lt;&gt;DATE(2025,7,4)), (SWITCH(weekday(Y$4), 1, 0, 2, if(ISBLANK('2025'!$P438), 0, 1), 3, if(ISBLANK('2025'!$Q438), 0, 1), 4, if(ISBLANK('2025'!$R438), 0, 1), 5, if(ISBLANK('2025'!$S438), 0, 1), 6, if(ISBLANK('2025'!$T438), 0, 1), 7, 0))), 1, "")</f>
        <v/>
      </c>
      <c r="Z475" s="1" t="str">
        <f>IF(AND(AND(AND(Z$4&gt;='2025'!$L438,Z$4&lt;='2025'!$M438), Z$4&lt;&gt;DATE(2025,7,4)), (SWITCH(weekday(Z$4), 1, 0, 2, if(ISBLANK('2025'!$P438), 0, 1), 3, if(ISBLANK('2025'!$Q438), 0, 1), 4, if(ISBLANK('2025'!$R438), 0, 1), 5, if(ISBLANK('2025'!$S438), 0, 1), 6, if(ISBLANK('2025'!$T438), 0, 1), 7, 0))), 1, "")</f>
        <v/>
      </c>
      <c r="AA475" s="1" t="str">
        <f>IF(AND(AND(AND(AA$4&gt;='2025'!$L438,AA$4&lt;='2025'!$M438), AA$4&lt;&gt;DATE(2025,7,4)), (SWITCH(weekday(AA$4), 1, 0, 2, if(ISBLANK('2025'!$P438), 0, 1), 3, if(ISBLANK('2025'!$Q438), 0, 1), 4, if(ISBLANK('2025'!$R438), 0, 1), 5, if(ISBLANK('2025'!$S438), 0, 1), 6, if(ISBLANK('2025'!$T438), 0, 1), 7, 0))), 1, "")</f>
        <v/>
      </c>
      <c r="AB475" s="1" t="str">
        <f>IF(AND(AND(AND(AB$4&gt;='2025'!$L438,AB$4&lt;='2025'!$M438), AB$4&lt;&gt;DATE(2025,7,4)), (SWITCH(weekday(AB$4), 1, 0, 2, if(ISBLANK('2025'!$P438), 0, 1), 3, if(ISBLANK('2025'!$Q438), 0, 1), 4, if(ISBLANK('2025'!$R438), 0, 1), 5, if(ISBLANK('2025'!$S438), 0, 1), 6, if(ISBLANK('2025'!$T438), 0, 1), 7, 0))), 1, "")</f>
        <v/>
      </c>
      <c r="AC475" s="1" t="str">
        <f>IF(AND(AND(AND(AC$4&gt;='2025'!$L438,AC$4&lt;='2025'!$M438), AC$4&lt;&gt;DATE(2025,7,4)), (SWITCH(weekday(AC$4), 1, 0, 2, if(ISBLANK('2025'!$P438), 0, 1), 3, if(ISBLANK('2025'!$Q438), 0, 1), 4, if(ISBLANK('2025'!$R438), 0, 1), 5, if(ISBLANK('2025'!$S438), 0, 1), 6, if(ISBLANK('2025'!$T438), 0, 1), 7, 0))), 1, "")</f>
        <v/>
      </c>
      <c r="AD475" s="1" t="str">
        <f>IF(AND(AND(AND(AD$4&gt;='2025'!$L438,AD$4&lt;='2025'!$M438), AD$4&lt;&gt;DATE(2025,7,4)), (SWITCH(weekday(AD$4), 1, 0, 2, if(ISBLANK('2025'!$P438), 0, 1), 3, if(ISBLANK('2025'!$Q438), 0, 1), 4, if(ISBLANK('2025'!$R438), 0, 1), 5, if(ISBLANK('2025'!$S438), 0, 1), 6, if(ISBLANK('2025'!$T438), 0, 1), 7, 0))), 1, "")</f>
        <v/>
      </c>
      <c r="AE475" s="1" t="str">
        <f>IF(AND(AND(AND(AE$4&gt;='2025'!$L438,AE$4&lt;='2025'!$M438), AE$4&lt;&gt;DATE(2025,7,4)), (SWITCH(weekday(AE$4), 1, 0, 2, if(ISBLANK('2025'!$P438), 0, 1), 3, if(ISBLANK('2025'!$Q438), 0, 1), 4, if(ISBLANK('2025'!$R438), 0, 1), 5, if(ISBLANK('2025'!$S438), 0, 1), 6, if(ISBLANK('2025'!$T438), 0, 1), 7, 0))), 1, "")</f>
        <v/>
      </c>
      <c r="AF475" s="1" t="str">
        <f>IF(AND(AND(AND(AF$4&gt;='2025'!$L438,AF$4&lt;='2025'!$M438), AF$4&lt;&gt;DATE(2025,7,4)), (SWITCH(weekday(AF$4), 1, 0, 2, if(ISBLANK('2025'!$P438), 0, 1), 3, if(ISBLANK('2025'!$Q438), 0, 1), 4, if(ISBLANK('2025'!$R438), 0, 1), 5, if(ISBLANK('2025'!$S438), 0, 1), 6, if(ISBLANK('2025'!$T438), 0, 1), 7, 0))), 1, "")</f>
        <v/>
      </c>
      <c r="AG475" s="1" t="str">
        <f>IF(AND(AND(AND(AG$4&gt;='2025'!$L438,AG$4&lt;='2025'!$M438), AG$4&lt;&gt;DATE(2025,7,4)), (SWITCH(weekday(AG$4), 1, 0, 2, if(ISBLANK('2025'!$P438), 0, 1), 3, if(ISBLANK('2025'!$Q438), 0, 1), 4, if(ISBLANK('2025'!$R438), 0, 1), 5, if(ISBLANK('2025'!$S438), 0, 1), 6, if(ISBLANK('2025'!$T438), 0, 1), 7, 0))), 1, "")</f>
        <v/>
      </c>
      <c r="AH475" s="1" t="str">
        <f>IF(AND(AND(AND(AH$4&gt;='2025'!$L438,AH$4&lt;='2025'!$M438), AH$4&lt;&gt;DATE(2025,7,4)), (SWITCH(weekday(AH$4), 1, 0, 2, if(ISBLANK('2025'!$P438), 0, 1), 3, if(ISBLANK('2025'!$Q438), 0, 1), 4, if(ISBLANK('2025'!$R438), 0, 1), 5, if(ISBLANK('2025'!$S438), 0, 1), 6, if(ISBLANK('2025'!$T438), 0, 1), 7, 0))), 1, "")</f>
        <v/>
      </c>
      <c r="AI475" s="1" t="str">
        <f>IF(AND(AND(AND(AI$4&gt;='2025'!$L438,AI$4&lt;='2025'!$M438), AI$4&lt;&gt;DATE(2025,7,4)), (SWITCH(weekday(AI$4), 1, 0, 2, if(ISBLANK('2025'!$P438), 0, 1), 3, if(ISBLANK('2025'!$Q438), 0, 1), 4, if(ISBLANK('2025'!$R438), 0, 1), 5, if(ISBLANK('2025'!$S438), 0, 1), 6, if(ISBLANK('2025'!$T438), 0, 1), 7, 0))), 1, "")</f>
        <v/>
      </c>
      <c r="AJ475" s="1" t="str">
        <f>IF(AND(AND(AND(AJ$4&gt;='2025'!$L438,AJ$4&lt;='2025'!$M438), AJ$4&lt;&gt;DATE(2025,7,4)), (SWITCH(weekday(AJ$4), 1, 0, 2, if(ISBLANK('2025'!$P438), 0, 1), 3, if(ISBLANK('2025'!$Q438), 0, 1), 4, if(ISBLANK('2025'!$R438), 0, 1), 5, if(ISBLANK('2025'!$S438), 0, 1), 6, if(ISBLANK('2025'!$T438), 0, 1), 7, 0))), 1, "")</f>
        <v/>
      </c>
      <c r="AK475" s="1" t="str">
        <f>IF(AND(AND(AND(AK$4&gt;='2025'!$L438,AK$4&lt;='2025'!$M438), AK$4&lt;&gt;DATE(2025,7,4)), (SWITCH(weekday(AK$4), 1, 0, 2, if(ISBLANK('2025'!$P438), 0, 1), 3, if(ISBLANK('2025'!$Q438), 0, 1), 4, if(ISBLANK('2025'!$R438), 0, 1), 5, if(ISBLANK('2025'!$S438), 0, 1), 6, if(ISBLANK('2025'!$T438), 0, 1), 7, 0))), 1, "")</f>
        <v/>
      </c>
      <c r="AL475" s="1" t="str">
        <f>IF(AND(AND(AND(AL$4&gt;='2025'!$L438,AL$4&lt;='2025'!$M438), AL$4&lt;&gt;DATE(2025,7,4)), (SWITCH(weekday(AL$4), 1, 0, 2, if(ISBLANK('2025'!$P438), 0, 1), 3, if(ISBLANK('2025'!$Q438), 0, 1), 4, if(ISBLANK('2025'!$R438), 0, 1), 5, if(ISBLANK('2025'!$S438), 0, 1), 6, if(ISBLANK('2025'!$T438), 0, 1), 7, 0))), 1, "")</f>
        <v/>
      </c>
      <c r="AM475" s="1" t="str">
        <f>IF(AND(AND(AND(AM$4&gt;='2025'!$L438,AM$4&lt;='2025'!$M438), AM$4&lt;&gt;DATE(2025,7,4)), (SWITCH(weekday(AM$4), 1, 0, 2, if(ISBLANK('2025'!$P438), 0, 1), 3, if(ISBLANK('2025'!$Q438), 0, 1), 4, if(ISBLANK('2025'!$R438), 0, 1), 5, if(ISBLANK('2025'!$S438), 0, 1), 6, if(ISBLANK('2025'!$T438), 0, 1), 7, 0))), 1, "")</f>
        <v/>
      </c>
      <c r="AN475" s="1" t="str">
        <f>IF(AND(AND(AND(AN$4&gt;='2025'!$L438,AN$4&lt;='2025'!$M438), AN$4&lt;&gt;DATE(2025,7,4)), (SWITCH(weekday(AN$4), 1, 0, 2, if(ISBLANK('2025'!$P438), 0, 1), 3, if(ISBLANK('2025'!$Q438), 0, 1), 4, if(ISBLANK('2025'!$R438), 0, 1), 5, if(ISBLANK('2025'!$S438), 0, 1), 6, if(ISBLANK('2025'!$T438), 0, 1), 7, 0))), 1, "")</f>
        <v/>
      </c>
      <c r="AO475" s="1" t="str">
        <f>IF(AND(AND(AND(AO$4&gt;='2025'!$L438,AO$4&lt;='2025'!$M438), AO$4&lt;&gt;DATE(2025,7,4)), (SWITCH(weekday(AO$4), 1, 0, 2, if(ISBLANK('2025'!$P438), 0, 1), 3, if(ISBLANK('2025'!$Q438), 0, 1), 4, if(ISBLANK('2025'!$R438), 0, 1), 5, if(ISBLANK('2025'!$S438), 0, 1), 6, if(ISBLANK('2025'!$T438), 0, 1), 7, 0))), 1, "")</f>
        <v/>
      </c>
      <c r="AP475" s="1" t="str">
        <f>IF(AND(AND(AND(AP$4&gt;='2025'!$L438,AP$4&lt;='2025'!$M438), AP$4&lt;&gt;DATE(2025,7,4)), (SWITCH(weekday(AP$4), 1, 0, 2, if(ISBLANK('2025'!$P438), 0, 1), 3, if(ISBLANK('2025'!$Q438), 0, 1), 4, if(ISBLANK('2025'!$R438), 0, 1), 5, if(ISBLANK('2025'!$S438), 0, 1), 6, if(ISBLANK('2025'!$T438), 0, 1), 7, 0))), 1, "")</f>
        <v/>
      </c>
      <c r="AQ475" s="1" t="str">
        <f>IF(AND(AND(AND(AQ$4&gt;='2025'!$L438,AQ$4&lt;='2025'!$M438), AQ$4&lt;&gt;DATE(2025,7,4)), (SWITCH(weekday(AQ$4), 1, 0, 2, if(ISBLANK('2025'!$P438), 0, 1), 3, if(ISBLANK('2025'!$Q438), 0, 1), 4, if(ISBLANK('2025'!$R438), 0, 1), 5, if(ISBLANK('2025'!$S438), 0, 1), 6, if(ISBLANK('2025'!$T438), 0, 1), 7, 0))), 1, "")</f>
        <v/>
      </c>
      <c r="AR475" s="1" t="str">
        <f>IF(AND(AND(AND(AR$4&gt;='2025'!$L438,AR$4&lt;='2025'!$M438), AR$4&lt;&gt;DATE(2025,7,4)), (SWITCH(weekday(AR$4), 1, 0, 2, if(ISBLANK('2025'!$P438), 0, 1), 3, if(ISBLANK('2025'!$Q438), 0, 1), 4, if(ISBLANK('2025'!$R438), 0, 1), 5, if(ISBLANK('2025'!$S438), 0, 1), 6, if(ISBLANK('2025'!$T438), 0, 1), 7, 0))), 1, "")</f>
        <v/>
      </c>
      <c r="AS475" s="1" t="str">
        <f>IF(AND(AND(AND(AS$4&gt;='2025'!$L438,AS$4&lt;='2025'!$M438), AS$4&lt;&gt;DATE(2025,7,4)), (SWITCH(weekday(AS$4), 1, 0, 2, if(ISBLANK('2025'!$P438), 0, 1), 3, if(ISBLANK('2025'!$Q438), 0, 1), 4, if(ISBLANK('2025'!$R438), 0, 1), 5, if(ISBLANK('2025'!$S438), 0, 1), 6, if(ISBLANK('2025'!$T438), 0, 1), 7, 0))), 1, "")</f>
        <v/>
      </c>
      <c r="AT475" s="1" t="str">
        <f>IF(AND(AND(AND(AT$4&gt;='2025'!$L438,AT$4&lt;='2025'!$M438), AT$4&lt;&gt;DATE(2025,7,4)), (SWITCH(weekday(AT$4), 1, 0, 2, if(ISBLANK('2025'!$P438), 0, 1), 3, if(ISBLANK('2025'!$Q438), 0, 1), 4, if(ISBLANK('2025'!$R438), 0, 1), 5, if(ISBLANK('2025'!$S438), 0, 1), 6, if(ISBLANK('2025'!$T438), 0, 1), 7, 0))), 1, "")</f>
        <v/>
      </c>
      <c r="AU475" s="1" t="str">
        <f>IF(AND(AND(AND(AU$4&gt;='2025'!$L438,AU$4&lt;='2025'!$M438), AU$4&lt;&gt;DATE(2025,7,4)), (SWITCH(weekday(AU$4), 1, 0, 2, if(ISBLANK('2025'!$P438), 0, 1), 3, if(ISBLANK('2025'!$Q438), 0, 1), 4, if(ISBLANK('2025'!$R438), 0, 1), 5, if(ISBLANK('2025'!$S438), 0, 1), 6, if(ISBLANK('2025'!$T438), 0, 1), 7, 0))), 1, "")</f>
        <v/>
      </c>
      <c r="AV475" s="1" t="str">
        <f>IF(AND(AND(AND(AV$4&gt;='2025'!$L438,AV$4&lt;='2025'!$M438), AV$4&lt;&gt;DATE(2025,7,4)), (SWITCH(weekday(AV$4), 1, 0, 2, if(ISBLANK('2025'!$P438), 0, 1), 3, if(ISBLANK('2025'!$Q438), 0, 1), 4, if(ISBLANK('2025'!$R438), 0, 1), 5, if(ISBLANK('2025'!$S438), 0, 1), 6, if(ISBLANK('2025'!$T438), 0, 1), 7, 0))), 1, "")</f>
        <v/>
      </c>
      <c r="AW475" s="1" t="str">
        <f>IF(AND(AND(AND(AW$4&gt;='2025'!$L438,AW$4&lt;='2025'!$M438), AW$4&lt;&gt;DATE(2025,7,4)), (SWITCH(weekday(AW$4), 1, 0, 2, if(ISBLANK('2025'!$P438), 0, 1), 3, if(ISBLANK('2025'!$Q438), 0, 1), 4, if(ISBLANK('2025'!$R438), 0, 1), 5, if(ISBLANK('2025'!$S438), 0, 1), 6, if(ISBLANK('2025'!$T438), 0, 1), 7, 0))), 1, "")</f>
        <v/>
      </c>
      <c r="AX475" s="1" t="str">
        <f>IF(AND(AND(AND(AX$4&gt;='2025'!$L438,AX$4&lt;='2025'!$M438), AX$4&lt;&gt;DATE(2025,7,4)), (SWITCH(weekday(AX$4), 1, 0, 2, if(ISBLANK('2025'!$P438), 0, 1), 3, if(ISBLANK('2025'!$Q438), 0, 1), 4, if(ISBLANK('2025'!$R438), 0, 1), 5, if(ISBLANK('2025'!$S438), 0, 1), 6, if(ISBLANK('2025'!$T438), 0, 1), 7, 0))), 1, "")</f>
        <v/>
      </c>
      <c r="AY475" s="1" t="str">
        <f>IF(AND(AND(AND(AY$4&gt;='2025'!$L438,AY$4&lt;='2025'!$M438), AY$4&lt;&gt;DATE(2025,7,4)), (SWITCH(weekday(AY$4), 1, 0, 2, if(ISBLANK('2025'!$P438), 0, 1), 3, if(ISBLANK('2025'!$Q438), 0, 1), 4, if(ISBLANK('2025'!$R438), 0, 1), 5, if(ISBLANK('2025'!$S438), 0, 1), 6, if(ISBLANK('2025'!$T438), 0, 1), 7, 0))), 1, "")</f>
        <v/>
      </c>
      <c r="AZ475" s="1" t="str">
        <f>IF(AND(AND(AND(AZ$4&gt;='2025'!$L438,AZ$4&lt;='2025'!$M438), AZ$4&lt;&gt;DATE(2025,7,4)), (SWITCH(weekday(AZ$4), 1, 0, 2, if(ISBLANK('2025'!$P438), 0, 1), 3, if(ISBLANK('2025'!$Q438), 0, 1), 4, if(ISBLANK('2025'!$R438), 0, 1), 5, if(ISBLANK('2025'!$S438), 0, 1), 6, if(ISBLANK('2025'!$T438), 0, 1), 7, 0))), 1, "")</f>
        <v/>
      </c>
      <c r="BA475" s="1" t="str">
        <f>IF(AND(AND(AND(BA$4&gt;='2025'!$L438,BA$4&lt;='2025'!$M438), BA$4&lt;&gt;DATE(2025,7,4)), (SWITCH(weekday(BA$4), 1, 0, 2, if(ISBLANK('2025'!$P438), 0, 1), 3, if(ISBLANK('2025'!$Q438), 0, 1), 4, if(ISBLANK('2025'!$R438), 0, 1), 5, if(ISBLANK('2025'!$S438), 0, 1), 6, if(ISBLANK('2025'!$T438), 0, 1), 7, 0))), 1, "")</f>
        <v/>
      </c>
      <c r="BB475" s="1" t="str">
        <f>IF(AND(AND(AND(BB$4&gt;='2025'!$L438,BB$4&lt;='2025'!$M438), BB$4&lt;&gt;DATE(2025,7,4)), (SWITCH(weekday(BB$4), 1, 0, 2, if(ISBLANK('2025'!$P438), 0, 1), 3, if(ISBLANK('2025'!$Q438), 0, 1), 4, if(ISBLANK('2025'!$R438), 0, 1), 5, if(ISBLANK('2025'!$S438), 0, 1), 6, if(ISBLANK('2025'!$T438), 0, 1), 7, 0))), 1, "")</f>
        <v/>
      </c>
      <c r="BC475" s="1" t="str">
        <f>IF(AND(AND(AND(BC$4&gt;='2025'!$L438,BC$4&lt;='2025'!$M438), BC$4&lt;&gt;DATE(2025,7,4)), (SWITCH(weekday(BC$4), 1, 0, 2, if(ISBLANK('2025'!$P438), 0, 1), 3, if(ISBLANK('2025'!$Q438), 0, 1), 4, if(ISBLANK('2025'!$R438), 0, 1), 5, if(ISBLANK('2025'!$S438), 0, 1), 6, if(ISBLANK('2025'!$T438), 0, 1), 7, 0))), 1, "")</f>
        <v/>
      </c>
      <c r="BD475" s="1" t="str">
        <f>IF(AND(AND(AND(BD$4&gt;='2025'!$L438,BD$4&lt;='2025'!$M438), BD$4&lt;&gt;DATE(2025,7,4)), (SWITCH(weekday(BD$4), 1, 0, 2, if(ISBLANK('2025'!$P438), 0, 1), 3, if(ISBLANK('2025'!$Q438), 0, 1), 4, if(ISBLANK('2025'!$R438), 0, 1), 5, if(ISBLANK('2025'!$S438), 0, 1), 6, if(ISBLANK('2025'!$T438), 0, 1), 7, 0))), 1, "")</f>
        <v/>
      </c>
      <c r="BE475" s="1" t="str">
        <f>IF(AND(AND(AND(BE$4&gt;='2025'!$L438,BE$4&lt;='2025'!$M438), BE$4&lt;&gt;DATE(2025,7,4)), (SWITCH(weekday(BE$4), 1, 0, 2, if(ISBLANK('2025'!$P438), 0, 1), 3, if(ISBLANK('2025'!$Q438), 0, 1), 4, if(ISBLANK('2025'!$R438), 0, 1), 5, if(ISBLANK('2025'!$S438), 0, 1), 6, if(ISBLANK('2025'!$T438), 0, 1), 7, 0))), 1, "")</f>
        <v/>
      </c>
    </row>
    <row r="476">
      <c r="A476" s="1">
        <f t="shared" si="3"/>
        <v>476</v>
      </c>
      <c r="B476" s="1" t="str">
        <f>'2025'!D439</f>
        <v/>
      </c>
      <c r="C476" s="1" t="str">
        <f>'2025'!H439</f>
        <v/>
      </c>
      <c r="D476" s="1" t="str">
        <f>IF(AND(AND(AND(D$4&gt;='2025'!$L439,D$4&lt;='2025'!$M439), D$4&lt;&gt;DATE(2025,7,4)), (SWITCH(weekday(D$4), 1, 0, 2, if(ISBLANK('2025'!$P439), 0, 1), 3, if(ISBLANK('2025'!$Q439), 0, 1), 4, if(ISBLANK('2025'!$R439), 0, 1), 5, if(ISBLANK('2025'!$S439), 0, 1), 6, if(ISBLANK('2025'!$T439), 0, 1), 7, 0))), 1, "")</f>
        <v/>
      </c>
      <c r="E476" s="1" t="str">
        <f>IF(AND(AND(AND(E$4&gt;='2025'!$L439,E$4&lt;='2025'!$M439), E$4&lt;&gt;DATE(2025,7,4)), (SWITCH(weekday(E$4), 1, 0, 2, if(ISBLANK('2025'!$P439), 0, 1), 3, if(ISBLANK('2025'!$Q439), 0, 1), 4, if(ISBLANK('2025'!$R439), 0, 1), 5, if(ISBLANK('2025'!$S439), 0, 1), 6, if(ISBLANK('2025'!$T439), 0, 1), 7, 0))), 1, "")</f>
        <v/>
      </c>
      <c r="F476" s="1" t="str">
        <f>IF(AND(AND(AND(F$4&gt;='2025'!$L439,F$4&lt;='2025'!$M439), F$4&lt;&gt;DATE(2025,7,4)), (SWITCH(weekday(F$4), 1, 0, 2, if(ISBLANK('2025'!$P439), 0, 1), 3, if(ISBLANK('2025'!$Q439), 0, 1), 4, if(ISBLANK('2025'!$R439), 0, 1), 5, if(ISBLANK('2025'!$S439), 0, 1), 6, if(ISBLANK('2025'!$T439), 0, 1), 7, 0))), 1, "")</f>
        <v/>
      </c>
      <c r="G476" s="1" t="str">
        <f>IF(AND(AND(AND(G$4&gt;='2025'!$L439,G$4&lt;='2025'!$M439), G$4&lt;&gt;DATE(2025,7,4)), (SWITCH(weekday(G$4), 1, 0, 2, if(ISBLANK('2025'!$P439), 0, 1), 3, if(ISBLANK('2025'!$Q439), 0, 1), 4, if(ISBLANK('2025'!$R439), 0, 1), 5, if(ISBLANK('2025'!$S439), 0, 1), 6, if(ISBLANK('2025'!$T439), 0, 1), 7, 0))), 1, "")</f>
        <v/>
      </c>
      <c r="H476" s="1" t="str">
        <f>IF(AND(AND(AND(H$4&gt;='2025'!$L439,H$4&lt;='2025'!$M439), H$4&lt;&gt;DATE(2025,7,4)), (SWITCH(weekday(H$4), 1, 0, 2, if(ISBLANK('2025'!$P439), 0, 1), 3, if(ISBLANK('2025'!$Q439), 0, 1), 4, if(ISBLANK('2025'!$R439), 0, 1), 5, if(ISBLANK('2025'!$S439), 0, 1), 6, if(ISBLANK('2025'!$T439), 0, 1), 7, 0))), 1, "")</f>
        <v/>
      </c>
      <c r="I476" s="1" t="str">
        <f>IF(AND(AND(AND(I$4&gt;='2025'!$L439,I$4&lt;='2025'!$M439), I$4&lt;&gt;DATE(2025,7,4)), (SWITCH(weekday(I$4), 1, 0, 2, if(ISBLANK('2025'!$P439), 0, 1), 3, if(ISBLANK('2025'!$Q439), 0, 1), 4, if(ISBLANK('2025'!$R439), 0, 1), 5, if(ISBLANK('2025'!$S439), 0, 1), 6, if(ISBLANK('2025'!$T439), 0, 1), 7, 0))), 1, "")</f>
        <v/>
      </c>
      <c r="J476" s="1" t="str">
        <f>IF(AND(AND(AND(J$4&gt;='2025'!$L439,J$4&lt;='2025'!$M439), J$4&lt;&gt;DATE(2025,7,4)), (SWITCH(weekday(J$4), 1, 0, 2, if(ISBLANK('2025'!$P439), 0, 1), 3, if(ISBLANK('2025'!$Q439), 0, 1), 4, if(ISBLANK('2025'!$R439), 0, 1), 5, if(ISBLANK('2025'!$S439), 0, 1), 6, if(ISBLANK('2025'!$T439), 0, 1), 7, 0))), 1, "")</f>
        <v/>
      </c>
      <c r="K476" s="1" t="str">
        <f>IF(AND(AND(AND(K$4&gt;='2025'!$L439,K$4&lt;='2025'!$M439), K$4&lt;&gt;DATE(2025,7,4)), (SWITCH(weekday(K$4), 1, 0, 2, if(ISBLANK('2025'!$P439), 0, 1), 3, if(ISBLANK('2025'!$Q439), 0, 1), 4, if(ISBLANK('2025'!$R439), 0, 1), 5, if(ISBLANK('2025'!$S439), 0, 1), 6, if(ISBLANK('2025'!$T439), 0, 1), 7, 0))), 1, "")</f>
        <v/>
      </c>
      <c r="L476" s="1" t="str">
        <f>IF(AND(AND(AND(L$4&gt;='2025'!$L439,L$4&lt;='2025'!$M439), L$4&lt;&gt;DATE(2025,7,4)), (SWITCH(weekday(L$4), 1, 0, 2, if(ISBLANK('2025'!$P439), 0, 1), 3, if(ISBLANK('2025'!$Q439), 0, 1), 4, if(ISBLANK('2025'!$R439), 0, 1), 5, if(ISBLANK('2025'!$S439), 0, 1), 6, if(ISBLANK('2025'!$T439), 0, 1), 7, 0))), 1, "")</f>
        <v/>
      </c>
      <c r="M476" s="1" t="str">
        <f>IF(AND(AND(AND(M$4&gt;='2025'!$L439,M$4&lt;='2025'!$M439), M$4&lt;&gt;DATE(2025,7,4)), (SWITCH(weekday(M$4), 1, 0, 2, if(ISBLANK('2025'!$P439), 0, 1), 3, if(ISBLANK('2025'!$Q439), 0, 1), 4, if(ISBLANK('2025'!$R439), 0, 1), 5, if(ISBLANK('2025'!$S439), 0, 1), 6, if(ISBLANK('2025'!$T439), 0, 1), 7, 0))), 1, "")</f>
        <v/>
      </c>
      <c r="N476" s="1" t="str">
        <f>IF(AND(AND(AND(N$4&gt;='2025'!$L439,N$4&lt;='2025'!$M439), N$4&lt;&gt;DATE(2025,7,4)), (SWITCH(weekday(N$4), 1, 0, 2, if(ISBLANK('2025'!$P439), 0, 1), 3, if(ISBLANK('2025'!$Q439), 0, 1), 4, if(ISBLANK('2025'!$R439), 0, 1), 5, if(ISBLANK('2025'!$S439), 0, 1), 6, if(ISBLANK('2025'!$T439), 0, 1), 7, 0))), 1, "")</f>
        <v/>
      </c>
      <c r="O476" s="1" t="str">
        <f>IF(AND(AND(AND(O$4&gt;='2025'!$L439,O$4&lt;='2025'!$M439), O$4&lt;&gt;DATE(2025,7,4)), (SWITCH(weekday(O$4), 1, 0, 2, if(ISBLANK('2025'!$P439), 0, 1), 3, if(ISBLANK('2025'!$Q439), 0, 1), 4, if(ISBLANK('2025'!$R439), 0, 1), 5, if(ISBLANK('2025'!$S439), 0, 1), 6, if(ISBLANK('2025'!$T439), 0, 1), 7, 0))), 1, "")</f>
        <v/>
      </c>
      <c r="P476" s="1" t="str">
        <f>IF(AND(AND(AND(P$4&gt;='2025'!$L439,P$4&lt;='2025'!$M439), P$4&lt;&gt;DATE(2025,7,4)), (SWITCH(weekday(P$4), 1, 0, 2, if(ISBLANK('2025'!$P439), 0, 1), 3, if(ISBLANK('2025'!$Q439), 0, 1), 4, if(ISBLANK('2025'!$R439), 0, 1), 5, if(ISBLANK('2025'!$S439), 0, 1), 6, if(ISBLANK('2025'!$T439), 0, 1), 7, 0))), 1, "")</f>
        <v/>
      </c>
      <c r="Q476" s="1" t="str">
        <f>IF(AND(AND(AND(Q$4&gt;='2025'!$L439,Q$4&lt;='2025'!$M439), Q$4&lt;&gt;DATE(2025,7,4)), (SWITCH(weekday(Q$4), 1, 0, 2, if(ISBLANK('2025'!$P439), 0, 1), 3, if(ISBLANK('2025'!$Q439), 0, 1), 4, if(ISBLANK('2025'!$R439), 0, 1), 5, if(ISBLANK('2025'!$S439), 0, 1), 6, if(ISBLANK('2025'!$T439), 0, 1), 7, 0))), 1, "")</f>
        <v/>
      </c>
      <c r="R476" s="1" t="str">
        <f>IF(AND(AND(AND(R$4&gt;='2025'!$L439,R$4&lt;='2025'!$M439), R$4&lt;&gt;DATE(2025,7,4)), (SWITCH(weekday(R$4), 1, 0, 2, if(ISBLANK('2025'!$P439), 0, 1), 3, if(ISBLANK('2025'!$Q439), 0, 1), 4, if(ISBLANK('2025'!$R439), 0, 1), 5, if(ISBLANK('2025'!$S439), 0, 1), 6, if(ISBLANK('2025'!$T439), 0, 1), 7, 0))), 1, "")</f>
        <v/>
      </c>
      <c r="S476" s="1" t="str">
        <f>IF(AND(AND(AND(S$4&gt;='2025'!$L439,S$4&lt;='2025'!$M439), S$4&lt;&gt;DATE(2025,7,4)), (SWITCH(weekday(S$4), 1, 0, 2, if(ISBLANK('2025'!$P439), 0, 1), 3, if(ISBLANK('2025'!$Q439), 0, 1), 4, if(ISBLANK('2025'!$R439), 0, 1), 5, if(ISBLANK('2025'!$S439), 0, 1), 6, if(ISBLANK('2025'!$T439), 0, 1), 7, 0))), 1, "")</f>
        <v/>
      </c>
      <c r="T476" s="1" t="str">
        <f>IF(AND(AND(AND(T$4&gt;='2025'!$L439,T$4&lt;='2025'!$M439), T$4&lt;&gt;DATE(2025,7,4)), (SWITCH(weekday(T$4), 1, 0, 2, if(ISBLANK('2025'!$P439), 0, 1), 3, if(ISBLANK('2025'!$Q439), 0, 1), 4, if(ISBLANK('2025'!$R439), 0, 1), 5, if(ISBLANK('2025'!$S439), 0, 1), 6, if(ISBLANK('2025'!$T439), 0, 1), 7, 0))), 1, "")</f>
        <v/>
      </c>
      <c r="U476" s="1" t="str">
        <f>IF(AND(AND(AND(U$4&gt;='2025'!$L439,U$4&lt;='2025'!$M439), U$4&lt;&gt;DATE(2025,7,4)), (SWITCH(weekday(U$4), 1, 0, 2, if(ISBLANK('2025'!$P439), 0, 1), 3, if(ISBLANK('2025'!$Q439), 0, 1), 4, if(ISBLANK('2025'!$R439), 0, 1), 5, if(ISBLANK('2025'!$S439), 0, 1), 6, if(ISBLANK('2025'!$T439), 0, 1), 7, 0))), 1, "")</f>
        <v/>
      </c>
      <c r="V476" s="1" t="str">
        <f>IF(AND(AND(AND(V$4&gt;='2025'!$L439,V$4&lt;='2025'!$M439), V$4&lt;&gt;DATE(2025,7,4)), (SWITCH(weekday(V$4), 1, 0, 2, if(ISBLANK('2025'!$P439), 0, 1), 3, if(ISBLANK('2025'!$Q439), 0, 1), 4, if(ISBLANK('2025'!$R439), 0, 1), 5, if(ISBLANK('2025'!$S439), 0, 1), 6, if(ISBLANK('2025'!$T439), 0, 1), 7, 0))), 1, "")</f>
        <v/>
      </c>
      <c r="W476" s="1" t="str">
        <f>IF(AND(AND(AND(W$4&gt;='2025'!$L439,W$4&lt;='2025'!$M439), W$4&lt;&gt;DATE(2025,7,4)), (SWITCH(weekday(W$4), 1, 0, 2, if(ISBLANK('2025'!$P439), 0, 1), 3, if(ISBLANK('2025'!$Q439), 0, 1), 4, if(ISBLANK('2025'!$R439), 0, 1), 5, if(ISBLANK('2025'!$S439), 0, 1), 6, if(ISBLANK('2025'!$T439), 0, 1), 7, 0))), 1, "")</f>
        <v/>
      </c>
      <c r="X476" s="1" t="str">
        <f>IF(AND(AND(AND(X$4&gt;='2025'!$L439,X$4&lt;='2025'!$M439), X$4&lt;&gt;DATE(2025,7,4)), (SWITCH(weekday(X$4), 1, 0, 2, if(ISBLANK('2025'!$P439), 0, 1), 3, if(ISBLANK('2025'!$Q439), 0, 1), 4, if(ISBLANK('2025'!$R439), 0, 1), 5, if(ISBLANK('2025'!$S439), 0, 1), 6, if(ISBLANK('2025'!$T439), 0, 1), 7, 0))), 1, "")</f>
        <v/>
      </c>
      <c r="Y476" s="1" t="str">
        <f>IF(AND(AND(AND(Y$4&gt;='2025'!$L439,Y$4&lt;='2025'!$M439), Y$4&lt;&gt;DATE(2025,7,4)), (SWITCH(weekday(Y$4), 1, 0, 2, if(ISBLANK('2025'!$P439), 0, 1), 3, if(ISBLANK('2025'!$Q439), 0, 1), 4, if(ISBLANK('2025'!$R439), 0, 1), 5, if(ISBLANK('2025'!$S439), 0, 1), 6, if(ISBLANK('2025'!$T439), 0, 1), 7, 0))), 1, "")</f>
        <v/>
      </c>
      <c r="Z476" s="1" t="str">
        <f>IF(AND(AND(AND(Z$4&gt;='2025'!$L439,Z$4&lt;='2025'!$M439), Z$4&lt;&gt;DATE(2025,7,4)), (SWITCH(weekday(Z$4), 1, 0, 2, if(ISBLANK('2025'!$P439), 0, 1), 3, if(ISBLANK('2025'!$Q439), 0, 1), 4, if(ISBLANK('2025'!$R439), 0, 1), 5, if(ISBLANK('2025'!$S439), 0, 1), 6, if(ISBLANK('2025'!$T439), 0, 1), 7, 0))), 1, "")</f>
        <v/>
      </c>
      <c r="AA476" s="1" t="str">
        <f>IF(AND(AND(AND(AA$4&gt;='2025'!$L439,AA$4&lt;='2025'!$M439), AA$4&lt;&gt;DATE(2025,7,4)), (SWITCH(weekday(AA$4), 1, 0, 2, if(ISBLANK('2025'!$P439), 0, 1), 3, if(ISBLANK('2025'!$Q439), 0, 1), 4, if(ISBLANK('2025'!$R439), 0, 1), 5, if(ISBLANK('2025'!$S439), 0, 1), 6, if(ISBLANK('2025'!$T439), 0, 1), 7, 0))), 1, "")</f>
        <v/>
      </c>
      <c r="AB476" s="1" t="str">
        <f>IF(AND(AND(AND(AB$4&gt;='2025'!$L439,AB$4&lt;='2025'!$M439), AB$4&lt;&gt;DATE(2025,7,4)), (SWITCH(weekday(AB$4), 1, 0, 2, if(ISBLANK('2025'!$P439), 0, 1), 3, if(ISBLANK('2025'!$Q439), 0, 1), 4, if(ISBLANK('2025'!$R439), 0, 1), 5, if(ISBLANK('2025'!$S439), 0, 1), 6, if(ISBLANK('2025'!$T439), 0, 1), 7, 0))), 1, "")</f>
        <v/>
      </c>
      <c r="AC476" s="1" t="str">
        <f>IF(AND(AND(AND(AC$4&gt;='2025'!$L439,AC$4&lt;='2025'!$M439), AC$4&lt;&gt;DATE(2025,7,4)), (SWITCH(weekday(AC$4), 1, 0, 2, if(ISBLANK('2025'!$P439), 0, 1), 3, if(ISBLANK('2025'!$Q439), 0, 1), 4, if(ISBLANK('2025'!$R439), 0, 1), 5, if(ISBLANK('2025'!$S439), 0, 1), 6, if(ISBLANK('2025'!$T439), 0, 1), 7, 0))), 1, "")</f>
        <v/>
      </c>
      <c r="AD476" s="1" t="str">
        <f>IF(AND(AND(AND(AD$4&gt;='2025'!$L439,AD$4&lt;='2025'!$M439), AD$4&lt;&gt;DATE(2025,7,4)), (SWITCH(weekday(AD$4), 1, 0, 2, if(ISBLANK('2025'!$P439), 0, 1), 3, if(ISBLANK('2025'!$Q439), 0, 1), 4, if(ISBLANK('2025'!$R439), 0, 1), 5, if(ISBLANK('2025'!$S439), 0, 1), 6, if(ISBLANK('2025'!$T439), 0, 1), 7, 0))), 1, "")</f>
        <v/>
      </c>
      <c r="AE476" s="1" t="str">
        <f>IF(AND(AND(AND(AE$4&gt;='2025'!$L439,AE$4&lt;='2025'!$M439), AE$4&lt;&gt;DATE(2025,7,4)), (SWITCH(weekday(AE$4), 1, 0, 2, if(ISBLANK('2025'!$P439), 0, 1), 3, if(ISBLANK('2025'!$Q439), 0, 1), 4, if(ISBLANK('2025'!$R439), 0, 1), 5, if(ISBLANK('2025'!$S439), 0, 1), 6, if(ISBLANK('2025'!$T439), 0, 1), 7, 0))), 1, "")</f>
        <v/>
      </c>
      <c r="AF476" s="1" t="str">
        <f>IF(AND(AND(AND(AF$4&gt;='2025'!$L439,AF$4&lt;='2025'!$M439), AF$4&lt;&gt;DATE(2025,7,4)), (SWITCH(weekday(AF$4), 1, 0, 2, if(ISBLANK('2025'!$P439), 0, 1), 3, if(ISBLANK('2025'!$Q439), 0, 1), 4, if(ISBLANK('2025'!$R439), 0, 1), 5, if(ISBLANK('2025'!$S439), 0, 1), 6, if(ISBLANK('2025'!$T439), 0, 1), 7, 0))), 1, "")</f>
        <v/>
      </c>
      <c r="AG476" s="1" t="str">
        <f>IF(AND(AND(AND(AG$4&gt;='2025'!$L439,AG$4&lt;='2025'!$M439), AG$4&lt;&gt;DATE(2025,7,4)), (SWITCH(weekday(AG$4), 1, 0, 2, if(ISBLANK('2025'!$P439), 0, 1), 3, if(ISBLANK('2025'!$Q439), 0, 1), 4, if(ISBLANK('2025'!$R439), 0, 1), 5, if(ISBLANK('2025'!$S439), 0, 1), 6, if(ISBLANK('2025'!$T439), 0, 1), 7, 0))), 1, "")</f>
        <v/>
      </c>
      <c r="AH476" s="1" t="str">
        <f>IF(AND(AND(AND(AH$4&gt;='2025'!$L439,AH$4&lt;='2025'!$M439), AH$4&lt;&gt;DATE(2025,7,4)), (SWITCH(weekday(AH$4), 1, 0, 2, if(ISBLANK('2025'!$P439), 0, 1), 3, if(ISBLANK('2025'!$Q439), 0, 1), 4, if(ISBLANK('2025'!$R439), 0, 1), 5, if(ISBLANK('2025'!$S439), 0, 1), 6, if(ISBLANK('2025'!$T439), 0, 1), 7, 0))), 1, "")</f>
        <v/>
      </c>
      <c r="AI476" s="1" t="str">
        <f>IF(AND(AND(AND(AI$4&gt;='2025'!$L439,AI$4&lt;='2025'!$M439), AI$4&lt;&gt;DATE(2025,7,4)), (SWITCH(weekday(AI$4), 1, 0, 2, if(ISBLANK('2025'!$P439), 0, 1), 3, if(ISBLANK('2025'!$Q439), 0, 1), 4, if(ISBLANK('2025'!$R439), 0, 1), 5, if(ISBLANK('2025'!$S439), 0, 1), 6, if(ISBLANK('2025'!$T439), 0, 1), 7, 0))), 1, "")</f>
        <v/>
      </c>
      <c r="AJ476" s="1" t="str">
        <f>IF(AND(AND(AND(AJ$4&gt;='2025'!$L439,AJ$4&lt;='2025'!$M439), AJ$4&lt;&gt;DATE(2025,7,4)), (SWITCH(weekday(AJ$4), 1, 0, 2, if(ISBLANK('2025'!$P439), 0, 1), 3, if(ISBLANK('2025'!$Q439), 0, 1), 4, if(ISBLANK('2025'!$R439), 0, 1), 5, if(ISBLANK('2025'!$S439), 0, 1), 6, if(ISBLANK('2025'!$T439), 0, 1), 7, 0))), 1, "")</f>
        <v/>
      </c>
      <c r="AK476" s="1" t="str">
        <f>IF(AND(AND(AND(AK$4&gt;='2025'!$L439,AK$4&lt;='2025'!$M439), AK$4&lt;&gt;DATE(2025,7,4)), (SWITCH(weekday(AK$4), 1, 0, 2, if(ISBLANK('2025'!$P439), 0, 1), 3, if(ISBLANK('2025'!$Q439), 0, 1), 4, if(ISBLANK('2025'!$R439), 0, 1), 5, if(ISBLANK('2025'!$S439), 0, 1), 6, if(ISBLANK('2025'!$T439), 0, 1), 7, 0))), 1, "")</f>
        <v/>
      </c>
      <c r="AL476" s="1" t="str">
        <f>IF(AND(AND(AND(AL$4&gt;='2025'!$L439,AL$4&lt;='2025'!$M439), AL$4&lt;&gt;DATE(2025,7,4)), (SWITCH(weekday(AL$4), 1, 0, 2, if(ISBLANK('2025'!$P439), 0, 1), 3, if(ISBLANK('2025'!$Q439), 0, 1), 4, if(ISBLANK('2025'!$R439), 0, 1), 5, if(ISBLANK('2025'!$S439), 0, 1), 6, if(ISBLANK('2025'!$T439), 0, 1), 7, 0))), 1, "")</f>
        <v/>
      </c>
      <c r="AM476" s="1" t="str">
        <f>IF(AND(AND(AND(AM$4&gt;='2025'!$L439,AM$4&lt;='2025'!$M439), AM$4&lt;&gt;DATE(2025,7,4)), (SWITCH(weekday(AM$4), 1, 0, 2, if(ISBLANK('2025'!$P439), 0, 1), 3, if(ISBLANK('2025'!$Q439), 0, 1), 4, if(ISBLANK('2025'!$R439), 0, 1), 5, if(ISBLANK('2025'!$S439), 0, 1), 6, if(ISBLANK('2025'!$T439), 0, 1), 7, 0))), 1, "")</f>
        <v/>
      </c>
      <c r="AN476" s="1" t="str">
        <f>IF(AND(AND(AND(AN$4&gt;='2025'!$L439,AN$4&lt;='2025'!$M439), AN$4&lt;&gt;DATE(2025,7,4)), (SWITCH(weekday(AN$4), 1, 0, 2, if(ISBLANK('2025'!$P439), 0, 1), 3, if(ISBLANK('2025'!$Q439), 0, 1), 4, if(ISBLANK('2025'!$R439), 0, 1), 5, if(ISBLANK('2025'!$S439), 0, 1), 6, if(ISBLANK('2025'!$T439), 0, 1), 7, 0))), 1, "")</f>
        <v/>
      </c>
      <c r="AO476" s="1" t="str">
        <f>IF(AND(AND(AND(AO$4&gt;='2025'!$L439,AO$4&lt;='2025'!$M439), AO$4&lt;&gt;DATE(2025,7,4)), (SWITCH(weekday(AO$4), 1, 0, 2, if(ISBLANK('2025'!$P439), 0, 1), 3, if(ISBLANK('2025'!$Q439), 0, 1), 4, if(ISBLANK('2025'!$R439), 0, 1), 5, if(ISBLANK('2025'!$S439), 0, 1), 6, if(ISBLANK('2025'!$T439), 0, 1), 7, 0))), 1, "")</f>
        <v/>
      </c>
      <c r="AP476" s="1" t="str">
        <f>IF(AND(AND(AND(AP$4&gt;='2025'!$L439,AP$4&lt;='2025'!$M439), AP$4&lt;&gt;DATE(2025,7,4)), (SWITCH(weekday(AP$4), 1, 0, 2, if(ISBLANK('2025'!$P439), 0, 1), 3, if(ISBLANK('2025'!$Q439), 0, 1), 4, if(ISBLANK('2025'!$R439), 0, 1), 5, if(ISBLANK('2025'!$S439), 0, 1), 6, if(ISBLANK('2025'!$T439), 0, 1), 7, 0))), 1, "")</f>
        <v/>
      </c>
      <c r="AQ476" s="1" t="str">
        <f>IF(AND(AND(AND(AQ$4&gt;='2025'!$L439,AQ$4&lt;='2025'!$M439), AQ$4&lt;&gt;DATE(2025,7,4)), (SWITCH(weekday(AQ$4), 1, 0, 2, if(ISBLANK('2025'!$P439), 0, 1), 3, if(ISBLANK('2025'!$Q439), 0, 1), 4, if(ISBLANK('2025'!$R439), 0, 1), 5, if(ISBLANK('2025'!$S439), 0, 1), 6, if(ISBLANK('2025'!$T439), 0, 1), 7, 0))), 1, "")</f>
        <v/>
      </c>
      <c r="AR476" s="1" t="str">
        <f>IF(AND(AND(AND(AR$4&gt;='2025'!$L439,AR$4&lt;='2025'!$M439), AR$4&lt;&gt;DATE(2025,7,4)), (SWITCH(weekday(AR$4), 1, 0, 2, if(ISBLANK('2025'!$P439), 0, 1), 3, if(ISBLANK('2025'!$Q439), 0, 1), 4, if(ISBLANK('2025'!$R439), 0, 1), 5, if(ISBLANK('2025'!$S439), 0, 1), 6, if(ISBLANK('2025'!$T439), 0, 1), 7, 0))), 1, "")</f>
        <v/>
      </c>
      <c r="AS476" s="1" t="str">
        <f>IF(AND(AND(AND(AS$4&gt;='2025'!$L439,AS$4&lt;='2025'!$M439), AS$4&lt;&gt;DATE(2025,7,4)), (SWITCH(weekday(AS$4), 1, 0, 2, if(ISBLANK('2025'!$P439), 0, 1), 3, if(ISBLANK('2025'!$Q439), 0, 1), 4, if(ISBLANK('2025'!$R439), 0, 1), 5, if(ISBLANK('2025'!$S439), 0, 1), 6, if(ISBLANK('2025'!$T439), 0, 1), 7, 0))), 1, "")</f>
        <v/>
      </c>
      <c r="AT476" s="1" t="str">
        <f>IF(AND(AND(AND(AT$4&gt;='2025'!$L439,AT$4&lt;='2025'!$M439), AT$4&lt;&gt;DATE(2025,7,4)), (SWITCH(weekday(AT$4), 1, 0, 2, if(ISBLANK('2025'!$P439), 0, 1), 3, if(ISBLANK('2025'!$Q439), 0, 1), 4, if(ISBLANK('2025'!$R439), 0, 1), 5, if(ISBLANK('2025'!$S439), 0, 1), 6, if(ISBLANK('2025'!$T439), 0, 1), 7, 0))), 1, "")</f>
        <v/>
      </c>
      <c r="AU476" s="1" t="str">
        <f>IF(AND(AND(AND(AU$4&gt;='2025'!$L439,AU$4&lt;='2025'!$M439), AU$4&lt;&gt;DATE(2025,7,4)), (SWITCH(weekday(AU$4), 1, 0, 2, if(ISBLANK('2025'!$P439), 0, 1), 3, if(ISBLANK('2025'!$Q439), 0, 1), 4, if(ISBLANK('2025'!$R439), 0, 1), 5, if(ISBLANK('2025'!$S439), 0, 1), 6, if(ISBLANK('2025'!$T439), 0, 1), 7, 0))), 1, "")</f>
        <v/>
      </c>
      <c r="AV476" s="1" t="str">
        <f>IF(AND(AND(AND(AV$4&gt;='2025'!$L439,AV$4&lt;='2025'!$M439), AV$4&lt;&gt;DATE(2025,7,4)), (SWITCH(weekday(AV$4), 1, 0, 2, if(ISBLANK('2025'!$P439), 0, 1), 3, if(ISBLANK('2025'!$Q439), 0, 1), 4, if(ISBLANK('2025'!$R439), 0, 1), 5, if(ISBLANK('2025'!$S439), 0, 1), 6, if(ISBLANK('2025'!$T439), 0, 1), 7, 0))), 1, "")</f>
        <v/>
      </c>
      <c r="AW476" s="1" t="str">
        <f>IF(AND(AND(AND(AW$4&gt;='2025'!$L439,AW$4&lt;='2025'!$M439), AW$4&lt;&gt;DATE(2025,7,4)), (SWITCH(weekday(AW$4), 1, 0, 2, if(ISBLANK('2025'!$P439), 0, 1), 3, if(ISBLANK('2025'!$Q439), 0, 1), 4, if(ISBLANK('2025'!$R439), 0, 1), 5, if(ISBLANK('2025'!$S439), 0, 1), 6, if(ISBLANK('2025'!$T439), 0, 1), 7, 0))), 1, "")</f>
        <v/>
      </c>
      <c r="AX476" s="1" t="str">
        <f>IF(AND(AND(AND(AX$4&gt;='2025'!$L439,AX$4&lt;='2025'!$M439), AX$4&lt;&gt;DATE(2025,7,4)), (SWITCH(weekday(AX$4), 1, 0, 2, if(ISBLANK('2025'!$P439), 0, 1), 3, if(ISBLANK('2025'!$Q439), 0, 1), 4, if(ISBLANK('2025'!$R439), 0, 1), 5, if(ISBLANK('2025'!$S439), 0, 1), 6, if(ISBLANK('2025'!$T439), 0, 1), 7, 0))), 1, "")</f>
        <v/>
      </c>
      <c r="AY476" s="1" t="str">
        <f>IF(AND(AND(AND(AY$4&gt;='2025'!$L439,AY$4&lt;='2025'!$M439), AY$4&lt;&gt;DATE(2025,7,4)), (SWITCH(weekday(AY$4), 1, 0, 2, if(ISBLANK('2025'!$P439), 0, 1), 3, if(ISBLANK('2025'!$Q439), 0, 1), 4, if(ISBLANK('2025'!$R439), 0, 1), 5, if(ISBLANK('2025'!$S439), 0, 1), 6, if(ISBLANK('2025'!$T439), 0, 1), 7, 0))), 1, "")</f>
        <v/>
      </c>
      <c r="AZ476" s="1" t="str">
        <f>IF(AND(AND(AND(AZ$4&gt;='2025'!$L439,AZ$4&lt;='2025'!$M439), AZ$4&lt;&gt;DATE(2025,7,4)), (SWITCH(weekday(AZ$4), 1, 0, 2, if(ISBLANK('2025'!$P439), 0, 1), 3, if(ISBLANK('2025'!$Q439), 0, 1), 4, if(ISBLANK('2025'!$R439), 0, 1), 5, if(ISBLANK('2025'!$S439), 0, 1), 6, if(ISBLANK('2025'!$T439), 0, 1), 7, 0))), 1, "")</f>
        <v/>
      </c>
      <c r="BA476" s="1" t="str">
        <f>IF(AND(AND(AND(BA$4&gt;='2025'!$L439,BA$4&lt;='2025'!$M439), BA$4&lt;&gt;DATE(2025,7,4)), (SWITCH(weekday(BA$4), 1, 0, 2, if(ISBLANK('2025'!$P439), 0, 1), 3, if(ISBLANK('2025'!$Q439), 0, 1), 4, if(ISBLANK('2025'!$R439), 0, 1), 5, if(ISBLANK('2025'!$S439), 0, 1), 6, if(ISBLANK('2025'!$T439), 0, 1), 7, 0))), 1, "")</f>
        <v/>
      </c>
      <c r="BB476" s="1" t="str">
        <f>IF(AND(AND(AND(BB$4&gt;='2025'!$L439,BB$4&lt;='2025'!$M439), BB$4&lt;&gt;DATE(2025,7,4)), (SWITCH(weekday(BB$4), 1, 0, 2, if(ISBLANK('2025'!$P439), 0, 1), 3, if(ISBLANK('2025'!$Q439), 0, 1), 4, if(ISBLANK('2025'!$R439), 0, 1), 5, if(ISBLANK('2025'!$S439), 0, 1), 6, if(ISBLANK('2025'!$T439), 0, 1), 7, 0))), 1, "")</f>
        <v/>
      </c>
      <c r="BC476" s="1" t="str">
        <f>IF(AND(AND(AND(BC$4&gt;='2025'!$L439,BC$4&lt;='2025'!$M439), BC$4&lt;&gt;DATE(2025,7,4)), (SWITCH(weekday(BC$4), 1, 0, 2, if(ISBLANK('2025'!$P439), 0, 1), 3, if(ISBLANK('2025'!$Q439), 0, 1), 4, if(ISBLANK('2025'!$R439), 0, 1), 5, if(ISBLANK('2025'!$S439), 0, 1), 6, if(ISBLANK('2025'!$T439), 0, 1), 7, 0))), 1, "")</f>
        <v/>
      </c>
      <c r="BD476" s="1" t="str">
        <f>IF(AND(AND(AND(BD$4&gt;='2025'!$L439,BD$4&lt;='2025'!$M439), BD$4&lt;&gt;DATE(2025,7,4)), (SWITCH(weekday(BD$4), 1, 0, 2, if(ISBLANK('2025'!$P439), 0, 1), 3, if(ISBLANK('2025'!$Q439), 0, 1), 4, if(ISBLANK('2025'!$R439), 0, 1), 5, if(ISBLANK('2025'!$S439), 0, 1), 6, if(ISBLANK('2025'!$T439), 0, 1), 7, 0))), 1, "")</f>
        <v/>
      </c>
      <c r="BE476" s="1" t="str">
        <f>IF(AND(AND(AND(BE$4&gt;='2025'!$L439,BE$4&lt;='2025'!$M439), BE$4&lt;&gt;DATE(2025,7,4)), (SWITCH(weekday(BE$4), 1, 0, 2, if(ISBLANK('2025'!$P439), 0, 1), 3, if(ISBLANK('2025'!$Q439), 0, 1), 4, if(ISBLANK('2025'!$R439), 0, 1), 5, if(ISBLANK('2025'!$S439), 0, 1), 6, if(ISBLANK('2025'!$T439), 0, 1), 7, 0))), 1, "")</f>
        <v/>
      </c>
    </row>
    <row r="477">
      <c r="A477" s="1">
        <f t="shared" si="3"/>
        <v>477</v>
      </c>
      <c r="B477" s="1" t="str">
        <f>'2025'!D440</f>
        <v/>
      </c>
      <c r="C477" s="1" t="str">
        <f>'2025'!H440</f>
        <v/>
      </c>
      <c r="D477" s="1" t="str">
        <f>IF(AND(AND(AND(D$4&gt;='2025'!$L440,D$4&lt;='2025'!$M440), D$4&lt;&gt;DATE(2025,7,4)), (SWITCH(weekday(D$4), 1, 0, 2, if(ISBLANK('2025'!$P440), 0, 1), 3, if(ISBLANK('2025'!$Q440), 0, 1), 4, if(ISBLANK('2025'!$R440), 0, 1), 5, if(ISBLANK('2025'!$S440), 0, 1), 6, if(ISBLANK('2025'!$T440), 0, 1), 7, 0))), 1, "")</f>
        <v/>
      </c>
      <c r="E477" s="1" t="str">
        <f>IF(AND(AND(AND(E$4&gt;='2025'!$L440,E$4&lt;='2025'!$M440), E$4&lt;&gt;DATE(2025,7,4)), (SWITCH(weekday(E$4), 1, 0, 2, if(ISBLANK('2025'!$P440), 0, 1), 3, if(ISBLANK('2025'!$Q440), 0, 1), 4, if(ISBLANK('2025'!$R440), 0, 1), 5, if(ISBLANK('2025'!$S440), 0, 1), 6, if(ISBLANK('2025'!$T440), 0, 1), 7, 0))), 1, "")</f>
        <v/>
      </c>
      <c r="F477" s="1" t="str">
        <f>IF(AND(AND(AND(F$4&gt;='2025'!$L440,F$4&lt;='2025'!$M440), F$4&lt;&gt;DATE(2025,7,4)), (SWITCH(weekday(F$4), 1, 0, 2, if(ISBLANK('2025'!$P440), 0, 1), 3, if(ISBLANK('2025'!$Q440), 0, 1), 4, if(ISBLANK('2025'!$R440), 0, 1), 5, if(ISBLANK('2025'!$S440), 0, 1), 6, if(ISBLANK('2025'!$T440), 0, 1), 7, 0))), 1, "")</f>
        <v/>
      </c>
      <c r="G477" s="1" t="str">
        <f>IF(AND(AND(AND(G$4&gt;='2025'!$L440,G$4&lt;='2025'!$M440), G$4&lt;&gt;DATE(2025,7,4)), (SWITCH(weekday(G$4), 1, 0, 2, if(ISBLANK('2025'!$P440), 0, 1), 3, if(ISBLANK('2025'!$Q440), 0, 1), 4, if(ISBLANK('2025'!$R440), 0, 1), 5, if(ISBLANK('2025'!$S440), 0, 1), 6, if(ISBLANK('2025'!$T440), 0, 1), 7, 0))), 1, "")</f>
        <v/>
      </c>
      <c r="H477" s="1" t="str">
        <f>IF(AND(AND(AND(H$4&gt;='2025'!$L440,H$4&lt;='2025'!$M440), H$4&lt;&gt;DATE(2025,7,4)), (SWITCH(weekday(H$4), 1, 0, 2, if(ISBLANK('2025'!$P440), 0, 1), 3, if(ISBLANK('2025'!$Q440), 0, 1), 4, if(ISBLANK('2025'!$R440), 0, 1), 5, if(ISBLANK('2025'!$S440), 0, 1), 6, if(ISBLANK('2025'!$T440), 0, 1), 7, 0))), 1, "")</f>
        <v/>
      </c>
      <c r="I477" s="1" t="str">
        <f>IF(AND(AND(AND(I$4&gt;='2025'!$L440,I$4&lt;='2025'!$M440), I$4&lt;&gt;DATE(2025,7,4)), (SWITCH(weekday(I$4), 1, 0, 2, if(ISBLANK('2025'!$P440), 0, 1), 3, if(ISBLANK('2025'!$Q440), 0, 1), 4, if(ISBLANK('2025'!$R440), 0, 1), 5, if(ISBLANK('2025'!$S440), 0, 1), 6, if(ISBLANK('2025'!$T440), 0, 1), 7, 0))), 1, "")</f>
        <v/>
      </c>
      <c r="J477" s="1" t="str">
        <f>IF(AND(AND(AND(J$4&gt;='2025'!$L440,J$4&lt;='2025'!$M440), J$4&lt;&gt;DATE(2025,7,4)), (SWITCH(weekday(J$4), 1, 0, 2, if(ISBLANK('2025'!$P440), 0, 1), 3, if(ISBLANK('2025'!$Q440), 0, 1), 4, if(ISBLANK('2025'!$R440), 0, 1), 5, if(ISBLANK('2025'!$S440), 0, 1), 6, if(ISBLANK('2025'!$T440), 0, 1), 7, 0))), 1, "")</f>
        <v/>
      </c>
      <c r="K477" s="1" t="str">
        <f>IF(AND(AND(AND(K$4&gt;='2025'!$L440,K$4&lt;='2025'!$M440), K$4&lt;&gt;DATE(2025,7,4)), (SWITCH(weekday(K$4), 1, 0, 2, if(ISBLANK('2025'!$P440), 0, 1), 3, if(ISBLANK('2025'!$Q440), 0, 1), 4, if(ISBLANK('2025'!$R440), 0, 1), 5, if(ISBLANK('2025'!$S440), 0, 1), 6, if(ISBLANK('2025'!$T440), 0, 1), 7, 0))), 1, "")</f>
        <v/>
      </c>
      <c r="L477" s="1" t="str">
        <f>IF(AND(AND(AND(L$4&gt;='2025'!$L440,L$4&lt;='2025'!$M440), L$4&lt;&gt;DATE(2025,7,4)), (SWITCH(weekday(L$4), 1, 0, 2, if(ISBLANK('2025'!$P440), 0, 1), 3, if(ISBLANK('2025'!$Q440), 0, 1), 4, if(ISBLANK('2025'!$R440), 0, 1), 5, if(ISBLANK('2025'!$S440), 0, 1), 6, if(ISBLANK('2025'!$T440), 0, 1), 7, 0))), 1, "")</f>
        <v/>
      </c>
      <c r="M477" s="1" t="str">
        <f>IF(AND(AND(AND(M$4&gt;='2025'!$L440,M$4&lt;='2025'!$M440), M$4&lt;&gt;DATE(2025,7,4)), (SWITCH(weekday(M$4), 1, 0, 2, if(ISBLANK('2025'!$P440), 0, 1), 3, if(ISBLANK('2025'!$Q440), 0, 1), 4, if(ISBLANK('2025'!$R440), 0, 1), 5, if(ISBLANK('2025'!$S440), 0, 1), 6, if(ISBLANK('2025'!$T440), 0, 1), 7, 0))), 1, "")</f>
        <v/>
      </c>
      <c r="N477" s="1" t="str">
        <f>IF(AND(AND(AND(N$4&gt;='2025'!$L440,N$4&lt;='2025'!$M440), N$4&lt;&gt;DATE(2025,7,4)), (SWITCH(weekday(N$4), 1, 0, 2, if(ISBLANK('2025'!$P440), 0, 1), 3, if(ISBLANK('2025'!$Q440), 0, 1), 4, if(ISBLANK('2025'!$R440), 0, 1), 5, if(ISBLANK('2025'!$S440), 0, 1), 6, if(ISBLANK('2025'!$T440), 0, 1), 7, 0))), 1, "")</f>
        <v/>
      </c>
      <c r="O477" s="1" t="str">
        <f>IF(AND(AND(AND(O$4&gt;='2025'!$L440,O$4&lt;='2025'!$M440), O$4&lt;&gt;DATE(2025,7,4)), (SWITCH(weekday(O$4), 1, 0, 2, if(ISBLANK('2025'!$P440), 0, 1), 3, if(ISBLANK('2025'!$Q440), 0, 1), 4, if(ISBLANK('2025'!$R440), 0, 1), 5, if(ISBLANK('2025'!$S440), 0, 1), 6, if(ISBLANK('2025'!$T440), 0, 1), 7, 0))), 1, "")</f>
        <v/>
      </c>
      <c r="P477" s="1" t="str">
        <f>IF(AND(AND(AND(P$4&gt;='2025'!$L440,P$4&lt;='2025'!$M440), P$4&lt;&gt;DATE(2025,7,4)), (SWITCH(weekday(P$4), 1, 0, 2, if(ISBLANK('2025'!$P440), 0, 1), 3, if(ISBLANK('2025'!$Q440), 0, 1), 4, if(ISBLANK('2025'!$R440), 0, 1), 5, if(ISBLANK('2025'!$S440), 0, 1), 6, if(ISBLANK('2025'!$T440), 0, 1), 7, 0))), 1, "")</f>
        <v/>
      </c>
      <c r="Q477" s="1" t="str">
        <f>IF(AND(AND(AND(Q$4&gt;='2025'!$L440,Q$4&lt;='2025'!$M440), Q$4&lt;&gt;DATE(2025,7,4)), (SWITCH(weekday(Q$4), 1, 0, 2, if(ISBLANK('2025'!$P440), 0, 1), 3, if(ISBLANK('2025'!$Q440), 0, 1), 4, if(ISBLANK('2025'!$R440), 0, 1), 5, if(ISBLANK('2025'!$S440), 0, 1), 6, if(ISBLANK('2025'!$T440), 0, 1), 7, 0))), 1, "")</f>
        <v/>
      </c>
      <c r="R477" s="1" t="str">
        <f>IF(AND(AND(AND(R$4&gt;='2025'!$L440,R$4&lt;='2025'!$M440), R$4&lt;&gt;DATE(2025,7,4)), (SWITCH(weekday(R$4), 1, 0, 2, if(ISBLANK('2025'!$P440), 0, 1), 3, if(ISBLANK('2025'!$Q440), 0, 1), 4, if(ISBLANK('2025'!$R440), 0, 1), 5, if(ISBLANK('2025'!$S440), 0, 1), 6, if(ISBLANK('2025'!$T440), 0, 1), 7, 0))), 1, "")</f>
        <v/>
      </c>
      <c r="S477" s="1" t="str">
        <f>IF(AND(AND(AND(S$4&gt;='2025'!$L440,S$4&lt;='2025'!$M440), S$4&lt;&gt;DATE(2025,7,4)), (SWITCH(weekday(S$4), 1, 0, 2, if(ISBLANK('2025'!$P440), 0, 1), 3, if(ISBLANK('2025'!$Q440), 0, 1), 4, if(ISBLANK('2025'!$R440), 0, 1), 5, if(ISBLANK('2025'!$S440), 0, 1), 6, if(ISBLANK('2025'!$T440), 0, 1), 7, 0))), 1, "")</f>
        <v/>
      </c>
      <c r="T477" s="1" t="str">
        <f>IF(AND(AND(AND(T$4&gt;='2025'!$L440,T$4&lt;='2025'!$M440), T$4&lt;&gt;DATE(2025,7,4)), (SWITCH(weekday(T$4), 1, 0, 2, if(ISBLANK('2025'!$P440), 0, 1), 3, if(ISBLANK('2025'!$Q440), 0, 1), 4, if(ISBLANK('2025'!$R440), 0, 1), 5, if(ISBLANK('2025'!$S440), 0, 1), 6, if(ISBLANK('2025'!$T440), 0, 1), 7, 0))), 1, "")</f>
        <v/>
      </c>
      <c r="U477" s="1" t="str">
        <f>IF(AND(AND(AND(U$4&gt;='2025'!$L440,U$4&lt;='2025'!$M440), U$4&lt;&gt;DATE(2025,7,4)), (SWITCH(weekday(U$4), 1, 0, 2, if(ISBLANK('2025'!$P440), 0, 1), 3, if(ISBLANK('2025'!$Q440), 0, 1), 4, if(ISBLANK('2025'!$R440), 0, 1), 5, if(ISBLANK('2025'!$S440), 0, 1), 6, if(ISBLANK('2025'!$T440), 0, 1), 7, 0))), 1, "")</f>
        <v/>
      </c>
      <c r="V477" s="1" t="str">
        <f>IF(AND(AND(AND(V$4&gt;='2025'!$L440,V$4&lt;='2025'!$M440), V$4&lt;&gt;DATE(2025,7,4)), (SWITCH(weekday(V$4), 1, 0, 2, if(ISBLANK('2025'!$P440), 0, 1), 3, if(ISBLANK('2025'!$Q440), 0, 1), 4, if(ISBLANK('2025'!$R440), 0, 1), 5, if(ISBLANK('2025'!$S440), 0, 1), 6, if(ISBLANK('2025'!$T440), 0, 1), 7, 0))), 1, "")</f>
        <v/>
      </c>
      <c r="W477" s="1" t="str">
        <f>IF(AND(AND(AND(W$4&gt;='2025'!$L440,W$4&lt;='2025'!$M440), W$4&lt;&gt;DATE(2025,7,4)), (SWITCH(weekday(W$4), 1, 0, 2, if(ISBLANK('2025'!$P440), 0, 1), 3, if(ISBLANK('2025'!$Q440), 0, 1), 4, if(ISBLANK('2025'!$R440), 0, 1), 5, if(ISBLANK('2025'!$S440), 0, 1), 6, if(ISBLANK('2025'!$T440), 0, 1), 7, 0))), 1, "")</f>
        <v/>
      </c>
      <c r="X477" s="1" t="str">
        <f>IF(AND(AND(AND(X$4&gt;='2025'!$L440,X$4&lt;='2025'!$M440), X$4&lt;&gt;DATE(2025,7,4)), (SWITCH(weekday(X$4), 1, 0, 2, if(ISBLANK('2025'!$P440), 0, 1), 3, if(ISBLANK('2025'!$Q440), 0, 1), 4, if(ISBLANK('2025'!$R440), 0, 1), 5, if(ISBLANK('2025'!$S440), 0, 1), 6, if(ISBLANK('2025'!$T440), 0, 1), 7, 0))), 1, "")</f>
        <v/>
      </c>
      <c r="Y477" s="1" t="str">
        <f>IF(AND(AND(AND(Y$4&gt;='2025'!$L440,Y$4&lt;='2025'!$M440), Y$4&lt;&gt;DATE(2025,7,4)), (SWITCH(weekday(Y$4), 1, 0, 2, if(ISBLANK('2025'!$P440), 0, 1), 3, if(ISBLANK('2025'!$Q440), 0, 1), 4, if(ISBLANK('2025'!$R440), 0, 1), 5, if(ISBLANK('2025'!$S440), 0, 1), 6, if(ISBLANK('2025'!$T440), 0, 1), 7, 0))), 1, "")</f>
        <v/>
      </c>
      <c r="Z477" s="1" t="str">
        <f>IF(AND(AND(AND(Z$4&gt;='2025'!$L440,Z$4&lt;='2025'!$M440), Z$4&lt;&gt;DATE(2025,7,4)), (SWITCH(weekday(Z$4), 1, 0, 2, if(ISBLANK('2025'!$P440), 0, 1), 3, if(ISBLANK('2025'!$Q440), 0, 1), 4, if(ISBLANK('2025'!$R440), 0, 1), 5, if(ISBLANK('2025'!$S440), 0, 1), 6, if(ISBLANK('2025'!$T440), 0, 1), 7, 0))), 1, "")</f>
        <v/>
      </c>
      <c r="AA477" s="1" t="str">
        <f>IF(AND(AND(AND(AA$4&gt;='2025'!$L440,AA$4&lt;='2025'!$M440), AA$4&lt;&gt;DATE(2025,7,4)), (SWITCH(weekday(AA$4), 1, 0, 2, if(ISBLANK('2025'!$P440), 0, 1), 3, if(ISBLANK('2025'!$Q440), 0, 1), 4, if(ISBLANK('2025'!$R440), 0, 1), 5, if(ISBLANK('2025'!$S440), 0, 1), 6, if(ISBLANK('2025'!$T440), 0, 1), 7, 0))), 1, "")</f>
        <v/>
      </c>
      <c r="AB477" s="1" t="str">
        <f>IF(AND(AND(AND(AB$4&gt;='2025'!$L440,AB$4&lt;='2025'!$M440), AB$4&lt;&gt;DATE(2025,7,4)), (SWITCH(weekday(AB$4), 1, 0, 2, if(ISBLANK('2025'!$P440), 0, 1), 3, if(ISBLANK('2025'!$Q440), 0, 1), 4, if(ISBLANK('2025'!$R440), 0, 1), 5, if(ISBLANK('2025'!$S440), 0, 1), 6, if(ISBLANK('2025'!$T440), 0, 1), 7, 0))), 1, "")</f>
        <v/>
      </c>
      <c r="AC477" s="1" t="str">
        <f>IF(AND(AND(AND(AC$4&gt;='2025'!$L440,AC$4&lt;='2025'!$M440), AC$4&lt;&gt;DATE(2025,7,4)), (SWITCH(weekday(AC$4), 1, 0, 2, if(ISBLANK('2025'!$P440), 0, 1), 3, if(ISBLANK('2025'!$Q440), 0, 1), 4, if(ISBLANK('2025'!$R440), 0, 1), 5, if(ISBLANK('2025'!$S440), 0, 1), 6, if(ISBLANK('2025'!$T440), 0, 1), 7, 0))), 1, "")</f>
        <v/>
      </c>
      <c r="AD477" s="1" t="str">
        <f>IF(AND(AND(AND(AD$4&gt;='2025'!$L440,AD$4&lt;='2025'!$M440), AD$4&lt;&gt;DATE(2025,7,4)), (SWITCH(weekday(AD$4), 1, 0, 2, if(ISBLANK('2025'!$P440), 0, 1), 3, if(ISBLANK('2025'!$Q440), 0, 1), 4, if(ISBLANK('2025'!$R440), 0, 1), 5, if(ISBLANK('2025'!$S440), 0, 1), 6, if(ISBLANK('2025'!$T440), 0, 1), 7, 0))), 1, "")</f>
        <v/>
      </c>
      <c r="AE477" s="1" t="str">
        <f>IF(AND(AND(AND(AE$4&gt;='2025'!$L440,AE$4&lt;='2025'!$M440), AE$4&lt;&gt;DATE(2025,7,4)), (SWITCH(weekday(AE$4), 1, 0, 2, if(ISBLANK('2025'!$P440), 0, 1), 3, if(ISBLANK('2025'!$Q440), 0, 1), 4, if(ISBLANK('2025'!$R440), 0, 1), 5, if(ISBLANK('2025'!$S440), 0, 1), 6, if(ISBLANK('2025'!$T440), 0, 1), 7, 0))), 1, "")</f>
        <v/>
      </c>
      <c r="AF477" s="1" t="str">
        <f>IF(AND(AND(AND(AF$4&gt;='2025'!$L440,AF$4&lt;='2025'!$M440), AF$4&lt;&gt;DATE(2025,7,4)), (SWITCH(weekday(AF$4), 1, 0, 2, if(ISBLANK('2025'!$P440), 0, 1), 3, if(ISBLANK('2025'!$Q440), 0, 1), 4, if(ISBLANK('2025'!$R440), 0, 1), 5, if(ISBLANK('2025'!$S440), 0, 1), 6, if(ISBLANK('2025'!$T440), 0, 1), 7, 0))), 1, "")</f>
        <v/>
      </c>
      <c r="AG477" s="1" t="str">
        <f>IF(AND(AND(AND(AG$4&gt;='2025'!$L440,AG$4&lt;='2025'!$M440), AG$4&lt;&gt;DATE(2025,7,4)), (SWITCH(weekday(AG$4), 1, 0, 2, if(ISBLANK('2025'!$P440), 0, 1), 3, if(ISBLANK('2025'!$Q440), 0, 1), 4, if(ISBLANK('2025'!$R440), 0, 1), 5, if(ISBLANK('2025'!$S440), 0, 1), 6, if(ISBLANK('2025'!$T440), 0, 1), 7, 0))), 1, "")</f>
        <v/>
      </c>
      <c r="AH477" s="1" t="str">
        <f>IF(AND(AND(AND(AH$4&gt;='2025'!$L440,AH$4&lt;='2025'!$M440), AH$4&lt;&gt;DATE(2025,7,4)), (SWITCH(weekday(AH$4), 1, 0, 2, if(ISBLANK('2025'!$P440), 0, 1), 3, if(ISBLANK('2025'!$Q440), 0, 1), 4, if(ISBLANK('2025'!$R440), 0, 1), 5, if(ISBLANK('2025'!$S440), 0, 1), 6, if(ISBLANK('2025'!$T440), 0, 1), 7, 0))), 1, "")</f>
        <v/>
      </c>
      <c r="AI477" s="1" t="str">
        <f>IF(AND(AND(AND(AI$4&gt;='2025'!$L440,AI$4&lt;='2025'!$M440), AI$4&lt;&gt;DATE(2025,7,4)), (SWITCH(weekday(AI$4), 1, 0, 2, if(ISBLANK('2025'!$P440), 0, 1), 3, if(ISBLANK('2025'!$Q440), 0, 1), 4, if(ISBLANK('2025'!$R440), 0, 1), 5, if(ISBLANK('2025'!$S440), 0, 1), 6, if(ISBLANK('2025'!$T440), 0, 1), 7, 0))), 1, "")</f>
        <v/>
      </c>
      <c r="AJ477" s="1" t="str">
        <f>IF(AND(AND(AND(AJ$4&gt;='2025'!$L440,AJ$4&lt;='2025'!$M440), AJ$4&lt;&gt;DATE(2025,7,4)), (SWITCH(weekday(AJ$4), 1, 0, 2, if(ISBLANK('2025'!$P440), 0, 1), 3, if(ISBLANK('2025'!$Q440), 0, 1), 4, if(ISBLANK('2025'!$R440), 0, 1), 5, if(ISBLANK('2025'!$S440), 0, 1), 6, if(ISBLANK('2025'!$T440), 0, 1), 7, 0))), 1, "")</f>
        <v/>
      </c>
      <c r="AK477" s="1" t="str">
        <f>IF(AND(AND(AND(AK$4&gt;='2025'!$L440,AK$4&lt;='2025'!$M440), AK$4&lt;&gt;DATE(2025,7,4)), (SWITCH(weekday(AK$4), 1, 0, 2, if(ISBLANK('2025'!$P440), 0, 1), 3, if(ISBLANK('2025'!$Q440), 0, 1), 4, if(ISBLANK('2025'!$R440), 0, 1), 5, if(ISBLANK('2025'!$S440), 0, 1), 6, if(ISBLANK('2025'!$T440), 0, 1), 7, 0))), 1, "")</f>
        <v/>
      </c>
      <c r="AL477" s="1" t="str">
        <f>IF(AND(AND(AND(AL$4&gt;='2025'!$L440,AL$4&lt;='2025'!$M440), AL$4&lt;&gt;DATE(2025,7,4)), (SWITCH(weekday(AL$4), 1, 0, 2, if(ISBLANK('2025'!$P440), 0, 1), 3, if(ISBLANK('2025'!$Q440), 0, 1), 4, if(ISBLANK('2025'!$R440), 0, 1), 5, if(ISBLANK('2025'!$S440), 0, 1), 6, if(ISBLANK('2025'!$T440), 0, 1), 7, 0))), 1, "")</f>
        <v/>
      </c>
      <c r="AM477" s="1" t="str">
        <f>IF(AND(AND(AND(AM$4&gt;='2025'!$L440,AM$4&lt;='2025'!$M440), AM$4&lt;&gt;DATE(2025,7,4)), (SWITCH(weekday(AM$4), 1, 0, 2, if(ISBLANK('2025'!$P440), 0, 1), 3, if(ISBLANK('2025'!$Q440), 0, 1), 4, if(ISBLANK('2025'!$R440), 0, 1), 5, if(ISBLANK('2025'!$S440), 0, 1), 6, if(ISBLANK('2025'!$T440), 0, 1), 7, 0))), 1, "")</f>
        <v/>
      </c>
      <c r="AN477" s="1" t="str">
        <f>IF(AND(AND(AND(AN$4&gt;='2025'!$L440,AN$4&lt;='2025'!$M440), AN$4&lt;&gt;DATE(2025,7,4)), (SWITCH(weekday(AN$4), 1, 0, 2, if(ISBLANK('2025'!$P440), 0, 1), 3, if(ISBLANK('2025'!$Q440), 0, 1), 4, if(ISBLANK('2025'!$R440), 0, 1), 5, if(ISBLANK('2025'!$S440), 0, 1), 6, if(ISBLANK('2025'!$T440), 0, 1), 7, 0))), 1, "")</f>
        <v/>
      </c>
      <c r="AO477" s="1" t="str">
        <f>IF(AND(AND(AND(AO$4&gt;='2025'!$L440,AO$4&lt;='2025'!$M440), AO$4&lt;&gt;DATE(2025,7,4)), (SWITCH(weekday(AO$4), 1, 0, 2, if(ISBLANK('2025'!$P440), 0, 1), 3, if(ISBLANK('2025'!$Q440), 0, 1), 4, if(ISBLANK('2025'!$R440), 0, 1), 5, if(ISBLANK('2025'!$S440), 0, 1), 6, if(ISBLANK('2025'!$T440), 0, 1), 7, 0))), 1, "")</f>
        <v/>
      </c>
      <c r="AP477" s="1" t="str">
        <f>IF(AND(AND(AND(AP$4&gt;='2025'!$L440,AP$4&lt;='2025'!$M440), AP$4&lt;&gt;DATE(2025,7,4)), (SWITCH(weekday(AP$4), 1, 0, 2, if(ISBLANK('2025'!$P440), 0, 1), 3, if(ISBLANK('2025'!$Q440), 0, 1), 4, if(ISBLANK('2025'!$R440), 0, 1), 5, if(ISBLANK('2025'!$S440), 0, 1), 6, if(ISBLANK('2025'!$T440), 0, 1), 7, 0))), 1, "")</f>
        <v/>
      </c>
      <c r="AQ477" s="1" t="str">
        <f>IF(AND(AND(AND(AQ$4&gt;='2025'!$L440,AQ$4&lt;='2025'!$M440), AQ$4&lt;&gt;DATE(2025,7,4)), (SWITCH(weekday(AQ$4), 1, 0, 2, if(ISBLANK('2025'!$P440), 0, 1), 3, if(ISBLANK('2025'!$Q440), 0, 1), 4, if(ISBLANK('2025'!$R440), 0, 1), 5, if(ISBLANK('2025'!$S440), 0, 1), 6, if(ISBLANK('2025'!$T440), 0, 1), 7, 0))), 1, "")</f>
        <v/>
      </c>
      <c r="AR477" s="1" t="str">
        <f>IF(AND(AND(AND(AR$4&gt;='2025'!$L440,AR$4&lt;='2025'!$M440), AR$4&lt;&gt;DATE(2025,7,4)), (SWITCH(weekday(AR$4), 1, 0, 2, if(ISBLANK('2025'!$P440), 0, 1), 3, if(ISBLANK('2025'!$Q440), 0, 1), 4, if(ISBLANK('2025'!$R440), 0, 1), 5, if(ISBLANK('2025'!$S440), 0, 1), 6, if(ISBLANK('2025'!$T440), 0, 1), 7, 0))), 1, "")</f>
        <v/>
      </c>
      <c r="AS477" s="1" t="str">
        <f>IF(AND(AND(AND(AS$4&gt;='2025'!$L440,AS$4&lt;='2025'!$M440), AS$4&lt;&gt;DATE(2025,7,4)), (SWITCH(weekday(AS$4), 1, 0, 2, if(ISBLANK('2025'!$P440), 0, 1), 3, if(ISBLANK('2025'!$Q440), 0, 1), 4, if(ISBLANK('2025'!$R440), 0, 1), 5, if(ISBLANK('2025'!$S440), 0, 1), 6, if(ISBLANK('2025'!$T440), 0, 1), 7, 0))), 1, "")</f>
        <v/>
      </c>
      <c r="AT477" s="1" t="str">
        <f>IF(AND(AND(AND(AT$4&gt;='2025'!$L440,AT$4&lt;='2025'!$M440), AT$4&lt;&gt;DATE(2025,7,4)), (SWITCH(weekday(AT$4), 1, 0, 2, if(ISBLANK('2025'!$P440), 0, 1), 3, if(ISBLANK('2025'!$Q440), 0, 1), 4, if(ISBLANK('2025'!$R440), 0, 1), 5, if(ISBLANK('2025'!$S440), 0, 1), 6, if(ISBLANK('2025'!$T440), 0, 1), 7, 0))), 1, "")</f>
        <v/>
      </c>
      <c r="AU477" s="1" t="str">
        <f>IF(AND(AND(AND(AU$4&gt;='2025'!$L440,AU$4&lt;='2025'!$M440), AU$4&lt;&gt;DATE(2025,7,4)), (SWITCH(weekday(AU$4), 1, 0, 2, if(ISBLANK('2025'!$P440), 0, 1), 3, if(ISBLANK('2025'!$Q440), 0, 1), 4, if(ISBLANK('2025'!$R440), 0, 1), 5, if(ISBLANK('2025'!$S440), 0, 1), 6, if(ISBLANK('2025'!$T440), 0, 1), 7, 0))), 1, "")</f>
        <v/>
      </c>
      <c r="AV477" s="1" t="str">
        <f>IF(AND(AND(AND(AV$4&gt;='2025'!$L440,AV$4&lt;='2025'!$M440), AV$4&lt;&gt;DATE(2025,7,4)), (SWITCH(weekday(AV$4), 1, 0, 2, if(ISBLANK('2025'!$P440), 0, 1), 3, if(ISBLANK('2025'!$Q440), 0, 1), 4, if(ISBLANK('2025'!$R440), 0, 1), 5, if(ISBLANK('2025'!$S440), 0, 1), 6, if(ISBLANK('2025'!$T440), 0, 1), 7, 0))), 1, "")</f>
        <v/>
      </c>
      <c r="AW477" s="1" t="str">
        <f>IF(AND(AND(AND(AW$4&gt;='2025'!$L440,AW$4&lt;='2025'!$M440), AW$4&lt;&gt;DATE(2025,7,4)), (SWITCH(weekday(AW$4), 1, 0, 2, if(ISBLANK('2025'!$P440), 0, 1), 3, if(ISBLANK('2025'!$Q440), 0, 1), 4, if(ISBLANK('2025'!$R440), 0, 1), 5, if(ISBLANK('2025'!$S440), 0, 1), 6, if(ISBLANK('2025'!$T440), 0, 1), 7, 0))), 1, "")</f>
        <v/>
      </c>
      <c r="AX477" s="1" t="str">
        <f>IF(AND(AND(AND(AX$4&gt;='2025'!$L440,AX$4&lt;='2025'!$M440), AX$4&lt;&gt;DATE(2025,7,4)), (SWITCH(weekday(AX$4), 1, 0, 2, if(ISBLANK('2025'!$P440), 0, 1), 3, if(ISBLANK('2025'!$Q440), 0, 1), 4, if(ISBLANK('2025'!$R440), 0, 1), 5, if(ISBLANK('2025'!$S440), 0, 1), 6, if(ISBLANK('2025'!$T440), 0, 1), 7, 0))), 1, "")</f>
        <v/>
      </c>
      <c r="AY477" s="1" t="str">
        <f>IF(AND(AND(AND(AY$4&gt;='2025'!$L440,AY$4&lt;='2025'!$M440), AY$4&lt;&gt;DATE(2025,7,4)), (SWITCH(weekday(AY$4), 1, 0, 2, if(ISBLANK('2025'!$P440), 0, 1), 3, if(ISBLANK('2025'!$Q440), 0, 1), 4, if(ISBLANK('2025'!$R440), 0, 1), 5, if(ISBLANK('2025'!$S440), 0, 1), 6, if(ISBLANK('2025'!$T440), 0, 1), 7, 0))), 1, "")</f>
        <v/>
      </c>
      <c r="AZ477" s="1" t="str">
        <f>IF(AND(AND(AND(AZ$4&gt;='2025'!$L440,AZ$4&lt;='2025'!$M440), AZ$4&lt;&gt;DATE(2025,7,4)), (SWITCH(weekday(AZ$4), 1, 0, 2, if(ISBLANK('2025'!$P440), 0, 1), 3, if(ISBLANK('2025'!$Q440), 0, 1), 4, if(ISBLANK('2025'!$R440), 0, 1), 5, if(ISBLANK('2025'!$S440), 0, 1), 6, if(ISBLANK('2025'!$T440), 0, 1), 7, 0))), 1, "")</f>
        <v/>
      </c>
      <c r="BA477" s="1" t="str">
        <f>IF(AND(AND(AND(BA$4&gt;='2025'!$L440,BA$4&lt;='2025'!$M440), BA$4&lt;&gt;DATE(2025,7,4)), (SWITCH(weekday(BA$4), 1, 0, 2, if(ISBLANK('2025'!$P440), 0, 1), 3, if(ISBLANK('2025'!$Q440), 0, 1), 4, if(ISBLANK('2025'!$R440), 0, 1), 5, if(ISBLANK('2025'!$S440), 0, 1), 6, if(ISBLANK('2025'!$T440), 0, 1), 7, 0))), 1, "")</f>
        <v/>
      </c>
      <c r="BB477" s="1" t="str">
        <f>IF(AND(AND(AND(BB$4&gt;='2025'!$L440,BB$4&lt;='2025'!$M440), BB$4&lt;&gt;DATE(2025,7,4)), (SWITCH(weekday(BB$4), 1, 0, 2, if(ISBLANK('2025'!$P440), 0, 1), 3, if(ISBLANK('2025'!$Q440), 0, 1), 4, if(ISBLANK('2025'!$R440), 0, 1), 5, if(ISBLANK('2025'!$S440), 0, 1), 6, if(ISBLANK('2025'!$T440), 0, 1), 7, 0))), 1, "")</f>
        <v/>
      </c>
      <c r="BC477" s="1" t="str">
        <f>IF(AND(AND(AND(BC$4&gt;='2025'!$L440,BC$4&lt;='2025'!$M440), BC$4&lt;&gt;DATE(2025,7,4)), (SWITCH(weekday(BC$4), 1, 0, 2, if(ISBLANK('2025'!$P440), 0, 1), 3, if(ISBLANK('2025'!$Q440), 0, 1), 4, if(ISBLANK('2025'!$R440), 0, 1), 5, if(ISBLANK('2025'!$S440), 0, 1), 6, if(ISBLANK('2025'!$T440), 0, 1), 7, 0))), 1, "")</f>
        <v/>
      </c>
      <c r="BD477" s="1" t="str">
        <f>IF(AND(AND(AND(BD$4&gt;='2025'!$L440,BD$4&lt;='2025'!$M440), BD$4&lt;&gt;DATE(2025,7,4)), (SWITCH(weekday(BD$4), 1, 0, 2, if(ISBLANK('2025'!$P440), 0, 1), 3, if(ISBLANK('2025'!$Q440), 0, 1), 4, if(ISBLANK('2025'!$R440), 0, 1), 5, if(ISBLANK('2025'!$S440), 0, 1), 6, if(ISBLANK('2025'!$T440), 0, 1), 7, 0))), 1, "")</f>
        <v/>
      </c>
      <c r="BE477" s="1" t="str">
        <f>IF(AND(AND(AND(BE$4&gt;='2025'!$L440,BE$4&lt;='2025'!$M440), BE$4&lt;&gt;DATE(2025,7,4)), (SWITCH(weekday(BE$4), 1, 0, 2, if(ISBLANK('2025'!$P440), 0, 1), 3, if(ISBLANK('2025'!$Q440), 0, 1), 4, if(ISBLANK('2025'!$R440), 0, 1), 5, if(ISBLANK('2025'!$S440), 0, 1), 6, if(ISBLANK('2025'!$T440), 0, 1), 7, 0))), 1, "")</f>
        <v/>
      </c>
    </row>
    <row r="478">
      <c r="A478" s="1">
        <f t="shared" si="3"/>
        <v>478</v>
      </c>
      <c r="B478" s="1" t="str">
        <f>'2025'!D441</f>
        <v/>
      </c>
      <c r="C478" s="1" t="str">
        <f>'2025'!H441</f>
        <v/>
      </c>
      <c r="D478" s="1" t="str">
        <f>IF(AND(AND(AND(D$4&gt;='2025'!$L441,D$4&lt;='2025'!$M441), D$4&lt;&gt;DATE(2025,7,4)), (SWITCH(weekday(D$4), 1, 0, 2, if(ISBLANK('2025'!$P441), 0, 1), 3, if(ISBLANK('2025'!$Q441), 0, 1), 4, if(ISBLANK('2025'!$R441), 0, 1), 5, if(ISBLANK('2025'!$S441), 0, 1), 6, if(ISBLANK('2025'!$T441), 0, 1), 7, 0))), 1, "")</f>
        <v/>
      </c>
      <c r="E478" s="1" t="str">
        <f>IF(AND(AND(AND(E$4&gt;='2025'!$L441,E$4&lt;='2025'!$M441), E$4&lt;&gt;DATE(2025,7,4)), (SWITCH(weekday(E$4), 1, 0, 2, if(ISBLANK('2025'!$P441), 0, 1), 3, if(ISBLANK('2025'!$Q441), 0, 1), 4, if(ISBLANK('2025'!$R441), 0, 1), 5, if(ISBLANK('2025'!$S441), 0, 1), 6, if(ISBLANK('2025'!$T441), 0, 1), 7, 0))), 1, "")</f>
        <v/>
      </c>
      <c r="F478" s="1" t="str">
        <f>IF(AND(AND(AND(F$4&gt;='2025'!$L441,F$4&lt;='2025'!$M441), F$4&lt;&gt;DATE(2025,7,4)), (SWITCH(weekday(F$4), 1, 0, 2, if(ISBLANK('2025'!$P441), 0, 1), 3, if(ISBLANK('2025'!$Q441), 0, 1), 4, if(ISBLANK('2025'!$R441), 0, 1), 5, if(ISBLANK('2025'!$S441), 0, 1), 6, if(ISBLANK('2025'!$T441), 0, 1), 7, 0))), 1, "")</f>
        <v/>
      </c>
      <c r="G478" s="1" t="str">
        <f>IF(AND(AND(AND(G$4&gt;='2025'!$L441,G$4&lt;='2025'!$M441), G$4&lt;&gt;DATE(2025,7,4)), (SWITCH(weekday(G$4), 1, 0, 2, if(ISBLANK('2025'!$P441), 0, 1), 3, if(ISBLANK('2025'!$Q441), 0, 1), 4, if(ISBLANK('2025'!$R441), 0, 1), 5, if(ISBLANK('2025'!$S441), 0, 1), 6, if(ISBLANK('2025'!$T441), 0, 1), 7, 0))), 1, "")</f>
        <v/>
      </c>
      <c r="H478" s="1" t="str">
        <f>IF(AND(AND(AND(H$4&gt;='2025'!$L441,H$4&lt;='2025'!$M441), H$4&lt;&gt;DATE(2025,7,4)), (SWITCH(weekday(H$4), 1, 0, 2, if(ISBLANK('2025'!$P441), 0, 1), 3, if(ISBLANK('2025'!$Q441), 0, 1), 4, if(ISBLANK('2025'!$R441), 0, 1), 5, if(ISBLANK('2025'!$S441), 0, 1), 6, if(ISBLANK('2025'!$T441), 0, 1), 7, 0))), 1, "")</f>
        <v/>
      </c>
      <c r="I478" s="1" t="str">
        <f>IF(AND(AND(AND(I$4&gt;='2025'!$L441,I$4&lt;='2025'!$M441), I$4&lt;&gt;DATE(2025,7,4)), (SWITCH(weekday(I$4), 1, 0, 2, if(ISBLANK('2025'!$P441), 0, 1), 3, if(ISBLANK('2025'!$Q441), 0, 1), 4, if(ISBLANK('2025'!$R441), 0, 1), 5, if(ISBLANK('2025'!$S441), 0, 1), 6, if(ISBLANK('2025'!$T441), 0, 1), 7, 0))), 1, "")</f>
        <v/>
      </c>
      <c r="J478" s="1" t="str">
        <f>IF(AND(AND(AND(J$4&gt;='2025'!$L441,J$4&lt;='2025'!$M441), J$4&lt;&gt;DATE(2025,7,4)), (SWITCH(weekday(J$4), 1, 0, 2, if(ISBLANK('2025'!$P441), 0, 1), 3, if(ISBLANK('2025'!$Q441), 0, 1), 4, if(ISBLANK('2025'!$R441), 0, 1), 5, if(ISBLANK('2025'!$S441), 0, 1), 6, if(ISBLANK('2025'!$T441), 0, 1), 7, 0))), 1, "")</f>
        <v/>
      </c>
      <c r="K478" s="1" t="str">
        <f>IF(AND(AND(AND(K$4&gt;='2025'!$L441,K$4&lt;='2025'!$M441), K$4&lt;&gt;DATE(2025,7,4)), (SWITCH(weekday(K$4), 1, 0, 2, if(ISBLANK('2025'!$P441), 0, 1), 3, if(ISBLANK('2025'!$Q441), 0, 1), 4, if(ISBLANK('2025'!$R441), 0, 1), 5, if(ISBLANK('2025'!$S441), 0, 1), 6, if(ISBLANK('2025'!$T441), 0, 1), 7, 0))), 1, "")</f>
        <v/>
      </c>
      <c r="L478" s="1" t="str">
        <f>IF(AND(AND(AND(L$4&gt;='2025'!$L441,L$4&lt;='2025'!$M441), L$4&lt;&gt;DATE(2025,7,4)), (SWITCH(weekday(L$4), 1, 0, 2, if(ISBLANK('2025'!$P441), 0, 1), 3, if(ISBLANK('2025'!$Q441), 0, 1), 4, if(ISBLANK('2025'!$R441), 0, 1), 5, if(ISBLANK('2025'!$S441), 0, 1), 6, if(ISBLANK('2025'!$T441), 0, 1), 7, 0))), 1, "")</f>
        <v/>
      </c>
      <c r="M478" s="1" t="str">
        <f>IF(AND(AND(AND(M$4&gt;='2025'!$L441,M$4&lt;='2025'!$M441), M$4&lt;&gt;DATE(2025,7,4)), (SWITCH(weekday(M$4), 1, 0, 2, if(ISBLANK('2025'!$P441), 0, 1), 3, if(ISBLANK('2025'!$Q441), 0, 1), 4, if(ISBLANK('2025'!$R441), 0, 1), 5, if(ISBLANK('2025'!$S441), 0, 1), 6, if(ISBLANK('2025'!$T441), 0, 1), 7, 0))), 1, "")</f>
        <v/>
      </c>
      <c r="N478" s="1" t="str">
        <f>IF(AND(AND(AND(N$4&gt;='2025'!$L441,N$4&lt;='2025'!$M441), N$4&lt;&gt;DATE(2025,7,4)), (SWITCH(weekday(N$4), 1, 0, 2, if(ISBLANK('2025'!$P441), 0, 1), 3, if(ISBLANK('2025'!$Q441), 0, 1), 4, if(ISBLANK('2025'!$R441), 0, 1), 5, if(ISBLANK('2025'!$S441), 0, 1), 6, if(ISBLANK('2025'!$T441), 0, 1), 7, 0))), 1, "")</f>
        <v/>
      </c>
      <c r="O478" s="1" t="str">
        <f>IF(AND(AND(AND(O$4&gt;='2025'!$L441,O$4&lt;='2025'!$M441), O$4&lt;&gt;DATE(2025,7,4)), (SWITCH(weekday(O$4), 1, 0, 2, if(ISBLANK('2025'!$P441), 0, 1), 3, if(ISBLANK('2025'!$Q441), 0, 1), 4, if(ISBLANK('2025'!$R441), 0, 1), 5, if(ISBLANK('2025'!$S441), 0, 1), 6, if(ISBLANK('2025'!$T441), 0, 1), 7, 0))), 1, "")</f>
        <v/>
      </c>
      <c r="P478" s="1" t="str">
        <f>IF(AND(AND(AND(P$4&gt;='2025'!$L441,P$4&lt;='2025'!$M441), P$4&lt;&gt;DATE(2025,7,4)), (SWITCH(weekday(P$4), 1, 0, 2, if(ISBLANK('2025'!$P441), 0, 1), 3, if(ISBLANK('2025'!$Q441), 0, 1), 4, if(ISBLANK('2025'!$R441), 0, 1), 5, if(ISBLANK('2025'!$S441), 0, 1), 6, if(ISBLANK('2025'!$T441), 0, 1), 7, 0))), 1, "")</f>
        <v/>
      </c>
      <c r="Q478" s="1" t="str">
        <f>IF(AND(AND(AND(Q$4&gt;='2025'!$L441,Q$4&lt;='2025'!$M441), Q$4&lt;&gt;DATE(2025,7,4)), (SWITCH(weekday(Q$4), 1, 0, 2, if(ISBLANK('2025'!$P441), 0, 1), 3, if(ISBLANK('2025'!$Q441), 0, 1), 4, if(ISBLANK('2025'!$R441), 0, 1), 5, if(ISBLANK('2025'!$S441), 0, 1), 6, if(ISBLANK('2025'!$T441), 0, 1), 7, 0))), 1, "")</f>
        <v/>
      </c>
      <c r="R478" s="1" t="str">
        <f>IF(AND(AND(AND(R$4&gt;='2025'!$L441,R$4&lt;='2025'!$M441), R$4&lt;&gt;DATE(2025,7,4)), (SWITCH(weekday(R$4), 1, 0, 2, if(ISBLANK('2025'!$P441), 0, 1), 3, if(ISBLANK('2025'!$Q441), 0, 1), 4, if(ISBLANK('2025'!$R441), 0, 1), 5, if(ISBLANK('2025'!$S441), 0, 1), 6, if(ISBLANK('2025'!$T441), 0, 1), 7, 0))), 1, "")</f>
        <v/>
      </c>
      <c r="S478" s="1" t="str">
        <f>IF(AND(AND(AND(S$4&gt;='2025'!$L441,S$4&lt;='2025'!$M441), S$4&lt;&gt;DATE(2025,7,4)), (SWITCH(weekday(S$4), 1, 0, 2, if(ISBLANK('2025'!$P441), 0, 1), 3, if(ISBLANK('2025'!$Q441), 0, 1), 4, if(ISBLANK('2025'!$R441), 0, 1), 5, if(ISBLANK('2025'!$S441), 0, 1), 6, if(ISBLANK('2025'!$T441), 0, 1), 7, 0))), 1, "")</f>
        <v/>
      </c>
      <c r="T478" s="1" t="str">
        <f>IF(AND(AND(AND(T$4&gt;='2025'!$L441,T$4&lt;='2025'!$M441), T$4&lt;&gt;DATE(2025,7,4)), (SWITCH(weekday(T$4), 1, 0, 2, if(ISBLANK('2025'!$P441), 0, 1), 3, if(ISBLANK('2025'!$Q441), 0, 1), 4, if(ISBLANK('2025'!$R441), 0, 1), 5, if(ISBLANK('2025'!$S441), 0, 1), 6, if(ISBLANK('2025'!$T441), 0, 1), 7, 0))), 1, "")</f>
        <v/>
      </c>
      <c r="U478" s="1" t="str">
        <f>IF(AND(AND(AND(U$4&gt;='2025'!$L441,U$4&lt;='2025'!$M441), U$4&lt;&gt;DATE(2025,7,4)), (SWITCH(weekday(U$4), 1, 0, 2, if(ISBLANK('2025'!$P441), 0, 1), 3, if(ISBLANK('2025'!$Q441), 0, 1), 4, if(ISBLANK('2025'!$R441), 0, 1), 5, if(ISBLANK('2025'!$S441), 0, 1), 6, if(ISBLANK('2025'!$T441), 0, 1), 7, 0))), 1, "")</f>
        <v/>
      </c>
      <c r="V478" s="1" t="str">
        <f>IF(AND(AND(AND(V$4&gt;='2025'!$L441,V$4&lt;='2025'!$M441), V$4&lt;&gt;DATE(2025,7,4)), (SWITCH(weekday(V$4), 1, 0, 2, if(ISBLANK('2025'!$P441), 0, 1), 3, if(ISBLANK('2025'!$Q441), 0, 1), 4, if(ISBLANK('2025'!$R441), 0, 1), 5, if(ISBLANK('2025'!$S441), 0, 1), 6, if(ISBLANK('2025'!$T441), 0, 1), 7, 0))), 1, "")</f>
        <v/>
      </c>
      <c r="W478" s="1" t="str">
        <f>IF(AND(AND(AND(W$4&gt;='2025'!$L441,W$4&lt;='2025'!$M441), W$4&lt;&gt;DATE(2025,7,4)), (SWITCH(weekday(W$4), 1, 0, 2, if(ISBLANK('2025'!$P441), 0, 1), 3, if(ISBLANK('2025'!$Q441), 0, 1), 4, if(ISBLANK('2025'!$R441), 0, 1), 5, if(ISBLANK('2025'!$S441), 0, 1), 6, if(ISBLANK('2025'!$T441), 0, 1), 7, 0))), 1, "")</f>
        <v/>
      </c>
      <c r="X478" s="1" t="str">
        <f>IF(AND(AND(AND(X$4&gt;='2025'!$L441,X$4&lt;='2025'!$M441), X$4&lt;&gt;DATE(2025,7,4)), (SWITCH(weekday(X$4), 1, 0, 2, if(ISBLANK('2025'!$P441), 0, 1), 3, if(ISBLANK('2025'!$Q441), 0, 1), 4, if(ISBLANK('2025'!$R441), 0, 1), 5, if(ISBLANK('2025'!$S441), 0, 1), 6, if(ISBLANK('2025'!$T441), 0, 1), 7, 0))), 1, "")</f>
        <v/>
      </c>
      <c r="Y478" s="1" t="str">
        <f>IF(AND(AND(AND(Y$4&gt;='2025'!$L441,Y$4&lt;='2025'!$M441), Y$4&lt;&gt;DATE(2025,7,4)), (SWITCH(weekday(Y$4), 1, 0, 2, if(ISBLANK('2025'!$P441), 0, 1), 3, if(ISBLANK('2025'!$Q441), 0, 1), 4, if(ISBLANK('2025'!$R441), 0, 1), 5, if(ISBLANK('2025'!$S441), 0, 1), 6, if(ISBLANK('2025'!$T441), 0, 1), 7, 0))), 1, "")</f>
        <v/>
      </c>
      <c r="Z478" s="1" t="str">
        <f>IF(AND(AND(AND(Z$4&gt;='2025'!$L441,Z$4&lt;='2025'!$M441), Z$4&lt;&gt;DATE(2025,7,4)), (SWITCH(weekday(Z$4), 1, 0, 2, if(ISBLANK('2025'!$P441), 0, 1), 3, if(ISBLANK('2025'!$Q441), 0, 1), 4, if(ISBLANK('2025'!$R441), 0, 1), 5, if(ISBLANK('2025'!$S441), 0, 1), 6, if(ISBLANK('2025'!$T441), 0, 1), 7, 0))), 1, "")</f>
        <v/>
      </c>
      <c r="AA478" s="1" t="str">
        <f>IF(AND(AND(AND(AA$4&gt;='2025'!$L441,AA$4&lt;='2025'!$M441), AA$4&lt;&gt;DATE(2025,7,4)), (SWITCH(weekday(AA$4), 1, 0, 2, if(ISBLANK('2025'!$P441), 0, 1), 3, if(ISBLANK('2025'!$Q441), 0, 1), 4, if(ISBLANK('2025'!$R441), 0, 1), 5, if(ISBLANK('2025'!$S441), 0, 1), 6, if(ISBLANK('2025'!$T441), 0, 1), 7, 0))), 1, "")</f>
        <v/>
      </c>
      <c r="AB478" s="1" t="str">
        <f>IF(AND(AND(AND(AB$4&gt;='2025'!$L441,AB$4&lt;='2025'!$M441), AB$4&lt;&gt;DATE(2025,7,4)), (SWITCH(weekday(AB$4), 1, 0, 2, if(ISBLANK('2025'!$P441), 0, 1), 3, if(ISBLANK('2025'!$Q441), 0, 1), 4, if(ISBLANK('2025'!$R441), 0, 1), 5, if(ISBLANK('2025'!$S441), 0, 1), 6, if(ISBLANK('2025'!$T441), 0, 1), 7, 0))), 1, "")</f>
        <v/>
      </c>
      <c r="AC478" s="1" t="str">
        <f>IF(AND(AND(AND(AC$4&gt;='2025'!$L441,AC$4&lt;='2025'!$M441), AC$4&lt;&gt;DATE(2025,7,4)), (SWITCH(weekday(AC$4), 1, 0, 2, if(ISBLANK('2025'!$P441), 0, 1), 3, if(ISBLANK('2025'!$Q441), 0, 1), 4, if(ISBLANK('2025'!$R441), 0, 1), 5, if(ISBLANK('2025'!$S441), 0, 1), 6, if(ISBLANK('2025'!$T441), 0, 1), 7, 0))), 1, "")</f>
        <v/>
      </c>
      <c r="AD478" s="1" t="str">
        <f>IF(AND(AND(AND(AD$4&gt;='2025'!$L441,AD$4&lt;='2025'!$M441), AD$4&lt;&gt;DATE(2025,7,4)), (SWITCH(weekday(AD$4), 1, 0, 2, if(ISBLANK('2025'!$P441), 0, 1), 3, if(ISBLANK('2025'!$Q441), 0, 1), 4, if(ISBLANK('2025'!$R441), 0, 1), 5, if(ISBLANK('2025'!$S441), 0, 1), 6, if(ISBLANK('2025'!$T441), 0, 1), 7, 0))), 1, "")</f>
        <v/>
      </c>
      <c r="AE478" s="1" t="str">
        <f>IF(AND(AND(AND(AE$4&gt;='2025'!$L441,AE$4&lt;='2025'!$M441), AE$4&lt;&gt;DATE(2025,7,4)), (SWITCH(weekday(AE$4), 1, 0, 2, if(ISBLANK('2025'!$P441), 0, 1), 3, if(ISBLANK('2025'!$Q441), 0, 1), 4, if(ISBLANK('2025'!$R441), 0, 1), 5, if(ISBLANK('2025'!$S441), 0, 1), 6, if(ISBLANK('2025'!$T441), 0, 1), 7, 0))), 1, "")</f>
        <v/>
      </c>
      <c r="AF478" s="1" t="str">
        <f>IF(AND(AND(AND(AF$4&gt;='2025'!$L441,AF$4&lt;='2025'!$M441), AF$4&lt;&gt;DATE(2025,7,4)), (SWITCH(weekday(AF$4), 1, 0, 2, if(ISBLANK('2025'!$P441), 0, 1), 3, if(ISBLANK('2025'!$Q441), 0, 1), 4, if(ISBLANK('2025'!$R441), 0, 1), 5, if(ISBLANK('2025'!$S441), 0, 1), 6, if(ISBLANK('2025'!$T441), 0, 1), 7, 0))), 1, "")</f>
        <v/>
      </c>
      <c r="AG478" s="1" t="str">
        <f>IF(AND(AND(AND(AG$4&gt;='2025'!$L441,AG$4&lt;='2025'!$M441), AG$4&lt;&gt;DATE(2025,7,4)), (SWITCH(weekday(AG$4), 1, 0, 2, if(ISBLANK('2025'!$P441), 0, 1), 3, if(ISBLANK('2025'!$Q441), 0, 1), 4, if(ISBLANK('2025'!$R441), 0, 1), 5, if(ISBLANK('2025'!$S441), 0, 1), 6, if(ISBLANK('2025'!$T441), 0, 1), 7, 0))), 1, "")</f>
        <v/>
      </c>
      <c r="AH478" s="1" t="str">
        <f>IF(AND(AND(AND(AH$4&gt;='2025'!$L441,AH$4&lt;='2025'!$M441), AH$4&lt;&gt;DATE(2025,7,4)), (SWITCH(weekday(AH$4), 1, 0, 2, if(ISBLANK('2025'!$P441), 0, 1), 3, if(ISBLANK('2025'!$Q441), 0, 1), 4, if(ISBLANK('2025'!$R441), 0, 1), 5, if(ISBLANK('2025'!$S441), 0, 1), 6, if(ISBLANK('2025'!$T441), 0, 1), 7, 0))), 1, "")</f>
        <v/>
      </c>
      <c r="AI478" s="1" t="str">
        <f>IF(AND(AND(AND(AI$4&gt;='2025'!$L441,AI$4&lt;='2025'!$M441), AI$4&lt;&gt;DATE(2025,7,4)), (SWITCH(weekday(AI$4), 1, 0, 2, if(ISBLANK('2025'!$P441), 0, 1), 3, if(ISBLANK('2025'!$Q441), 0, 1), 4, if(ISBLANK('2025'!$R441), 0, 1), 5, if(ISBLANK('2025'!$S441), 0, 1), 6, if(ISBLANK('2025'!$T441), 0, 1), 7, 0))), 1, "")</f>
        <v/>
      </c>
      <c r="AJ478" s="1" t="str">
        <f>IF(AND(AND(AND(AJ$4&gt;='2025'!$L441,AJ$4&lt;='2025'!$M441), AJ$4&lt;&gt;DATE(2025,7,4)), (SWITCH(weekday(AJ$4), 1, 0, 2, if(ISBLANK('2025'!$P441), 0, 1), 3, if(ISBLANK('2025'!$Q441), 0, 1), 4, if(ISBLANK('2025'!$R441), 0, 1), 5, if(ISBLANK('2025'!$S441), 0, 1), 6, if(ISBLANK('2025'!$T441), 0, 1), 7, 0))), 1, "")</f>
        <v/>
      </c>
      <c r="AK478" s="1" t="str">
        <f>IF(AND(AND(AND(AK$4&gt;='2025'!$L441,AK$4&lt;='2025'!$M441), AK$4&lt;&gt;DATE(2025,7,4)), (SWITCH(weekday(AK$4), 1, 0, 2, if(ISBLANK('2025'!$P441), 0, 1), 3, if(ISBLANK('2025'!$Q441), 0, 1), 4, if(ISBLANK('2025'!$R441), 0, 1), 5, if(ISBLANK('2025'!$S441), 0, 1), 6, if(ISBLANK('2025'!$T441), 0, 1), 7, 0))), 1, "")</f>
        <v/>
      </c>
      <c r="AL478" s="1" t="str">
        <f>IF(AND(AND(AND(AL$4&gt;='2025'!$L441,AL$4&lt;='2025'!$M441), AL$4&lt;&gt;DATE(2025,7,4)), (SWITCH(weekday(AL$4), 1, 0, 2, if(ISBLANK('2025'!$P441), 0, 1), 3, if(ISBLANK('2025'!$Q441), 0, 1), 4, if(ISBLANK('2025'!$R441), 0, 1), 5, if(ISBLANK('2025'!$S441), 0, 1), 6, if(ISBLANK('2025'!$T441), 0, 1), 7, 0))), 1, "")</f>
        <v/>
      </c>
      <c r="AM478" s="1" t="str">
        <f>IF(AND(AND(AND(AM$4&gt;='2025'!$L441,AM$4&lt;='2025'!$M441), AM$4&lt;&gt;DATE(2025,7,4)), (SWITCH(weekday(AM$4), 1, 0, 2, if(ISBLANK('2025'!$P441), 0, 1), 3, if(ISBLANK('2025'!$Q441), 0, 1), 4, if(ISBLANK('2025'!$R441), 0, 1), 5, if(ISBLANK('2025'!$S441), 0, 1), 6, if(ISBLANK('2025'!$T441), 0, 1), 7, 0))), 1, "")</f>
        <v/>
      </c>
      <c r="AN478" s="1" t="str">
        <f>IF(AND(AND(AND(AN$4&gt;='2025'!$L441,AN$4&lt;='2025'!$M441), AN$4&lt;&gt;DATE(2025,7,4)), (SWITCH(weekday(AN$4), 1, 0, 2, if(ISBLANK('2025'!$P441), 0, 1), 3, if(ISBLANK('2025'!$Q441), 0, 1), 4, if(ISBLANK('2025'!$R441), 0, 1), 5, if(ISBLANK('2025'!$S441), 0, 1), 6, if(ISBLANK('2025'!$T441), 0, 1), 7, 0))), 1, "")</f>
        <v/>
      </c>
      <c r="AO478" s="1" t="str">
        <f>IF(AND(AND(AND(AO$4&gt;='2025'!$L441,AO$4&lt;='2025'!$M441), AO$4&lt;&gt;DATE(2025,7,4)), (SWITCH(weekday(AO$4), 1, 0, 2, if(ISBLANK('2025'!$P441), 0, 1), 3, if(ISBLANK('2025'!$Q441), 0, 1), 4, if(ISBLANK('2025'!$R441), 0, 1), 5, if(ISBLANK('2025'!$S441), 0, 1), 6, if(ISBLANK('2025'!$T441), 0, 1), 7, 0))), 1, "")</f>
        <v/>
      </c>
      <c r="AP478" s="1" t="str">
        <f>IF(AND(AND(AND(AP$4&gt;='2025'!$L441,AP$4&lt;='2025'!$M441), AP$4&lt;&gt;DATE(2025,7,4)), (SWITCH(weekday(AP$4), 1, 0, 2, if(ISBLANK('2025'!$P441), 0, 1), 3, if(ISBLANK('2025'!$Q441), 0, 1), 4, if(ISBLANK('2025'!$R441), 0, 1), 5, if(ISBLANK('2025'!$S441), 0, 1), 6, if(ISBLANK('2025'!$T441), 0, 1), 7, 0))), 1, "")</f>
        <v/>
      </c>
      <c r="AQ478" s="1" t="str">
        <f>IF(AND(AND(AND(AQ$4&gt;='2025'!$L441,AQ$4&lt;='2025'!$M441), AQ$4&lt;&gt;DATE(2025,7,4)), (SWITCH(weekday(AQ$4), 1, 0, 2, if(ISBLANK('2025'!$P441), 0, 1), 3, if(ISBLANK('2025'!$Q441), 0, 1), 4, if(ISBLANK('2025'!$R441), 0, 1), 5, if(ISBLANK('2025'!$S441), 0, 1), 6, if(ISBLANK('2025'!$T441), 0, 1), 7, 0))), 1, "")</f>
        <v/>
      </c>
      <c r="AR478" s="1" t="str">
        <f>IF(AND(AND(AND(AR$4&gt;='2025'!$L441,AR$4&lt;='2025'!$M441), AR$4&lt;&gt;DATE(2025,7,4)), (SWITCH(weekday(AR$4), 1, 0, 2, if(ISBLANK('2025'!$P441), 0, 1), 3, if(ISBLANK('2025'!$Q441), 0, 1), 4, if(ISBLANK('2025'!$R441), 0, 1), 5, if(ISBLANK('2025'!$S441), 0, 1), 6, if(ISBLANK('2025'!$T441), 0, 1), 7, 0))), 1, "")</f>
        <v/>
      </c>
      <c r="AS478" s="1" t="str">
        <f>IF(AND(AND(AND(AS$4&gt;='2025'!$L441,AS$4&lt;='2025'!$M441), AS$4&lt;&gt;DATE(2025,7,4)), (SWITCH(weekday(AS$4), 1, 0, 2, if(ISBLANK('2025'!$P441), 0, 1), 3, if(ISBLANK('2025'!$Q441), 0, 1), 4, if(ISBLANK('2025'!$R441), 0, 1), 5, if(ISBLANK('2025'!$S441), 0, 1), 6, if(ISBLANK('2025'!$T441), 0, 1), 7, 0))), 1, "")</f>
        <v/>
      </c>
      <c r="AT478" s="1" t="str">
        <f>IF(AND(AND(AND(AT$4&gt;='2025'!$L441,AT$4&lt;='2025'!$M441), AT$4&lt;&gt;DATE(2025,7,4)), (SWITCH(weekday(AT$4), 1, 0, 2, if(ISBLANK('2025'!$P441), 0, 1), 3, if(ISBLANK('2025'!$Q441), 0, 1), 4, if(ISBLANK('2025'!$R441), 0, 1), 5, if(ISBLANK('2025'!$S441), 0, 1), 6, if(ISBLANK('2025'!$T441), 0, 1), 7, 0))), 1, "")</f>
        <v/>
      </c>
      <c r="AU478" s="1" t="str">
        <f>IF(AND(AND(AND(AU$4&gt;='2025'!$L441,AU$4&lt;='2025'!$M441), AU$4&lt;&gt;DATE(2025,7,4)), (SWITCH(weekday(AU$4), 1, 0, 2, if(ISBLANK('2025'!$P441), 0, 1), 3, if(ISBLANK('2025'!$Q441), 0, 1), 4, if(ISBLANK('2025'!$R441), 0, 1), 5, if(ISBLANK('2025'!$S441), 0, 1), 6, if(ISBLANK('2025'!$T441), 0, 1), 7, 0))), 1, "")</f>
        <v/>
      </c>
      <c r="AV478" s="1" t="str">
        <f>IF(AND(AND(AND(AV$4&gt;='2025'!$L441,AV$4&lt;='2025'!$M441), AV$4&lt;&gt;DATE(2025,7,4)), (SWITCH(weekday(AV$4), 1, 0, 2, if(ISBLANK('2025'!$P441), 0, 1), 3, if(ISBLANK('2025'!$Q441), 0, 1), 4, if(ISBLANK('2025'!$R441), 0, 1), 5, if(ISBLANK('2025'!$S441), 0, 1), 6, if(ISBLANK('2025'!$T441), 0, 1), 7, 0))), 1, "")</f>
        <v/>
      </c>
      <c r="AW478" s="1" t="str">
        <f>IF(AND(AND(AND(AW$4&gt;='2025'!$L441,AW$4&lt;='2025'!$M441), AW$4&lt;&gt;DATE(2025,7,4)), (SWITCH(weekday(AW$4), 1, 0, 2, if(ISBLANK('2025'!$P441), 0, 1), 3, if(ISBLANK('2025'!$Q441), 0, 1), 4, if(ISBLANK('2025'!$R441), 0, 1), 5, if(ISBLANK('2025'!$S441), 0, 1), 6, if(ISBLANK('2025'!$T441), 0, 1), 7, 0))), 1, "")</f>
        <v/>
      </c>
      <c r="AX478" s="1" t="str">
        <f>IF(AND(AND(AND(AX$4&gt;='2025'!$L441,AX$4&lt;='2025'!$M441), AX$4&lt;&gt;DATE(2025,7,4)), (SWITCH(weekday(AX$4), 1, 0, 2, if(ISBLANK('2025'!$P441), 0, 1), 3, if(ISBLANK('2025'!$Q441), 0, 1), 4, if(ISBLANK('2025'!$R441), 0, 1), 5, if(ISBLANK('2025'!$S441), 0, 1), 6, if(ISBLANK('2025'!$T441), 0, 1), 7, 0))), 1, "")</f>
        <v/>
      </c>
      <c r="AY478" s="1" t="str">
        <f>IF(AND(AND(AND(AY$4&gt;='2025'!$L441,AY$4&lt;='2025'!$M441), AY$4&lt;&gt;DATE(2025,7,4)), (SWITCH(weekday(AY$4), 1, 0, 2, if(ISBLANK('2025'!$P441), 0, 1), 3, if(ISBLANK('2025'!$Q441), 0, 1), 4, if(ISBLANK('2025'!$R441), 0, 1), 5, if(ISBLANK('2025'!$S441), 0, 1), 6, if(ISBLANK('2025'!$T441), 0, 1), 7, 0))), 1, "")</f>
        <v/>
      </c>
      <c r="AZ478" s="1" t="str">
        <f>IF(AND(AND(AND(AZ$4&gt;='2025'!$L441,AZ$4&lt;='2025'!$M441), AZ$4&lt;&gt;DATE(2025,7,4)), (SWITCH(weekday(AZ$4), 1, 0, 2, if(ISBLANK('2025'!$P441), 0, 1), 3, if(ISBLANK('2025'!$Q441), 0, 1), 4, if(ISBLANK('2025'!$R441), 0, 1), 5, if(ISBLANK('2025'!$S441), 0, 1), 6, if(ISBLANK('2025'!$T441), 0, 1), 7, 0))), 1, "")</f>
        <v/>
      </c>
      <c r="BA478" s="1" t="str">
        <f>IF(AND(AND(AND(BA$4&gt;='2025'!$L441,BA$4&lt;='2025'!$M441), BA$4&lt;&gt;DATE(2025,7,4)), (SWITCH(weekday(BA$4), 1, 0, 2, if(ISBLANK('2025'!$P441), 0, 1), 3, if(ISBLANK('2025'!$Q441), 0, 1), 4, if(ISBLANK('2025'!$R441), 0, 1), 5, if(ISBLANK('2025'!$S441), 0, 1), 6, if(ISBLANK('2025'!$T441), 0, 1), 7, 0))), 1, "")</f>
        <v/>
      </c>
      <c r="BB478" s="1" t="str">
        <f>IF(AND(AND(AND(BB$4&gt;='2025'!$L441,BB$4&lt;='2025'!$M441), BB$4&lt;&gt;DATE(2025,7,4)), (SWITCH(weekday(BB$4), 1, 0, 2, if(ISBLANK('2025'!$P441), 0, 1), 3, if(ISBLANK('2025'!$Q441), 0, 1), 4, if(ISBLANK('2025'!$R441), 0, 1), 5, if(ISBLANK('2025'!$S441), 0, 1), 6, if(ISBLANK('2025'!$T441), 0, 1), 7, 0))), 1, "")</f>
        <v/>
      </c>
      <c r="BC478" s="1" t="str">
        <f>IF(AND(AND(AND(BC$4&gt;='2025'!$L441,BC$4&lt;='2025'!$M441), BC$4&lt;&gt;DATE(2025,7,4)), (SWITCH(weekday(BC$4), 1, 0, 2, if(ISBLANK('2025'!$P441), 0, 1), 3, if(ISBLANK('2025'!$Q441), 0, 1), 4, if(ISBLANK('2025'!$R441), 0, 1), 5, if(ISBLANK('2025'!$S441), 0, 1), 6, if(ISBLANK('2025'!$T441), 0, 1), 7, 0))), 1, "")</f>
        <v/>
      </c>
      <c r="BD478" s="1" t="str">
        <f>IF(AND(AND(AND(BD$4&gt;='2025'!$L441,BD$4&lt;='2025'!$M441), BD$4&lt;&gt;DATE(2025,7,4)), (SWITCH(weekday(BD$4), 1, 0, 2, if(ISBLANK('2025'!$P441), 0, 1), 3, if(ISBLANK('2025'!$Q441), 0, 1), 4, if(ISBLANK('2025'!$R441), 0, 1), 5, if(ISBLANK('2025'!$S441), 0, 1), 6, if(ISBLANK('2025'!$T441), 0, 1), 7, 0))), 1, "")</f>
        <v/>
      </c>
      <c r="BE478" s="1" t="str">
        <f>IF(AND(AND(AND(BE$4&gt;='2025'!$L441,BE$4&lt;='2025'!$M441), BE$4&lt;&gt;DATE(2025,7,4)), (SWITCH(weekday(BE$4), 1, 0, 2, if(ISBLANK('2025'!$P441), 0, 1), 3, if(ISBLANK('2025'!$Q441), 0, 1), 4, if(ISBLANK('2025'!$R441), 0, 1), 5, if(ISBLANK('2025'!$S441), 0, 1), 6, if(ISBLANK('2025'!$T441), 0, 1), 7, 0))), 1, "")</f>
        <v/>
      </c>
    </row>
    <row r="479">
      <c r="A479" s="1">
        <f t="shared" si="3"/>
        <v>479</v>
      </c>
      <c r="B479" s="1" t="str">
        <f>'2025'!D442</f>
        <v/>
      </c>
      <c r="C479" s="1" t="str">
        <f>'2025'!H442</f>
        <v/>
      </c>
      <c r="D479" s="1" t="str">
        <f>IF(AND(AND(AND(D$4&gt;='2025'!$L442,D$4&lt;='2025'!$M442), D$4&lt;&gt;DATE(2025,7,4)), (SWITCH(weekday(D$4), 1, 0, 2, if(ISBLANK('2025'!$P442), 0, 1), 3, if(ISBLANK('2025'!$Q442), 0, 1), 4, if(ISBLANK('2025'!$R442), 0, 1), 5, if(ISBLANK('2025'!$S442), 0, 1), 6, if(ISBLANK('2025'!$T442), 0, 1), 7, 0))), 1, "")</f>
        <v/>
      </c>
      <c r="E479" s="1" t="str">
        <f>IF(AND(AND(AND(E$4&gt;='2025'!$L442,E$4&lt;='2025'!$M442), E$4&lt;&gt;DATE(2025,7,4)), (SWITCH(weekday(E$4), 1, 0, 2, if(ISBLANK('2025'!$P442), 0, 1), 3, if(ISBLANK('2025'!$Q442), 0, 1), 4, if(ISBLANK('2025'!$R442), 0, 1), 5, if(ISBLANK('2025'!$S442), 0, 1), 6, if(ISBLANK('2025'!$T442), 0, 1), 7, 0))), 1, "")</f>
        <v/>
      </c>
      <c r="F479" s="1" t="str">
        <f>IF(AND(AND(AND(F$4&gt;='2025'!$L442,F$4&lt;='2025'!$M442), F$4&lt;&gt;DATE(2025,7,4)), (SWITCH(weekday(F$4), 1, 0, 2, if(ISBLANK('2025'!$P442), 0, 1), 3, if(ISBLANK('2025'!$Q442), 0, 1), 4, if(ISBLANK('2025'!$R442), 0, 1), 5, if(ISBLANK('2025'!$S442), 0, 1), 6, if(ISBLANK('2025'!$T442), 0, 1), 7, 0))), 1, "")</f>
        <v/>
      </c>
      <c r="G479" s="1" t="str">
        <f>IF(AND(AND(AND(G$4&gt;='2025'!$L442,G$4&lt;='2025'!$M442), G$4&lt;&gt;DATE(2025,7,4)), (SWITCH(weekday(G$4), 1, 0, 2, if(ISBLANK('2025'!$P442), 0, 1), 3, if(ISBLANK('2025'!$Q442), 0, 1), 4, if(ISBLANK('2025'!$R442), 0, 1), 5, if(ISBLANK('2025'!$S442), 0, 1), 6, if(ISBLANK('2025'!$T442), 0, 1), 7, 0))), 1, "")</f>
        <v/>
      </c>
      <c r="H479" s="1" t="str">
        <f>IF(AND(AND(AND(H$4&gt;='2025'!$L442,H$4&lt;='2025'!$M442), H$4&lt;&gt;DATE(2025,7,4)), (SWITCH(weekday(H$4), 1, 0, 2, if(ISBLANK('2025'!$P442), 0, 1), 3, if(ISBLANK('2025'!$Q442), 0, 1), 4, if(ISBLANK('2025'!$R442), 0, 1), 5, if(ISBLANK('2025'!$S442), 0, 1), 6, if(ISBLANK('2025'!$T442), 0, 1), 7, 0))), 1, "")</f>
        <v/>
      </c>
      <c r="I479" s="1" t="str">
        <f>IF(AND(AND(AND(I$4&gt;='2025'!$L442,I$4&lt;='2025'!$M442), I$4&lt;&gt;DATE(2025,7,4)), (SWITCH(weekday(I$4), 1, 0, 2, if(ISBLANK('2025'!$P442), 0, 1), 3, if(ISBLANK('2025'!$Q442), 0, 1), 4, if(ISBLANK('2025'!$R442), 0, 1), 5, if(ISBLANK('2025'!$S442), 0, 1), 6, if(ISBLANK('2025'!$T442), 0, 1), 7, 0))), 1, "")</f>
        <v/>
      </c>
      <c r="J479" s="1" t="str">
        <f>IF(AND(AND(AND(J$4&gt;='2025'!$L442,J$4&lt;='2025'!$M442), J$4&lt;&gt;DATE(2025,7,4)), (SWITCH(weekday(J$4), 1, 0, 2, if(ISBLANK('2025'!$P442), 0, 1), 3, if(ISBLANK('2025'!$Q442), 0, 1), 4, if(ISBLANK('2025'!$R442), 0, 1), 5, if(ISBLANK('2025'!$S442), 0, 1), 6, if(ISBLANK('2025'!$T442), 0, 1), 7, 0))), 1, "")</f>
        <v/>
      </c>
      <c r="K479" s="1" t="str">
        <f>IF(AND(AND(AND(K$4&gt;='2025'!$L442,K$4&lt;='2025'!$M442), K$4&lt;&gt;DATE(2025,7,4)), (SWITCH(weekday(K$4), 1, 0, 2, if(ISBLANK('2025'!$P442), 0, 1), 3, if(ISBLANK('2025'!$Q442), 0, 1), 4, if(ISBLANK('2025'!$R442), 0, 1), 5, if(ISBLANK('2025'!$S442), 0, 1), 6, if(ISBLANK('2025'!$T442), 0, 1), 7, 0))), 1, "")</f>
        <v/>
      </c>
      <c r="L479" s="1" t="str">
        <f>IF(AND(AND(AND(L$4&gt;='2025'!$L442,L$4&lt;='2025'!$M442), L$4&lt;&gt;DATE(2025,7,4)), (SWITCH(weekday(L$4), 1, 0, 2, if(ISBLANK('2025'!$P442), 0, 1), 3, if(ISBLANK('2025'!$Q442), 0, 1), 4, if(ISBLANK('2025'!$R442), 0, 1), 5, if(ISBLANK('2025'!$S442), 0, 1), 6, if(ISBLANK('2025'!$T442), 0, 1), 7, 0))), 1, "")</f>
        <v/>
      </c>
      <c r="M479" s="1" t="str">
        <f>IF(AND(AND(AND(M$4&gt;='2025'!$L442,M$4&lt;='2025'!$M442), M$4&lt;&gt;DATE(2025,7,4)), (SWITCH(weekday(M$4), 1, 0, 2, if(ISBLANK('2025'!$P442), 0, 1), 3, if(ISBLANK('2025'!$Q442), 0, 1), 4, if(ISBLANK('2025'!$R442), 0, 1), 5, if(ISBLANK('2025'!$S442), 0, 1), 6, if(ISBLANK('2025'!$T442), 0, 1), 7, 0))), 1, "")</f>
        <v/>
      </c>
      <c r="N479" s="1" t="str">
        <f>IF(AND(AND(AND(N$4&gt;='2025'!$L442,N$4&lt;='2025'!$M442), N$4&lt;&gt;DATE(2025,7,4)), (SWITCH(weekday(N$4), 1, 0, 2, if(ISBLANK('2025'!$P442), 0, 1), 3, if(ISBLANK('2025'!$Q442), 0, 1), 4, if(ISBLANK('2025'!$R442), 0, 1), 5, if(ISBLANK('2025'!$S442), 0, 1), 6, if(ISBLANK('2025'!$T442), 0, 1), 7, 0))), 1, "")</f>
        <v/>
      </c>
      <c r="O479" s="1" t="str">
        <f>IF(AND(AND(AND(O$4&gt;='2025'!$L442,O$4&lt;='2025'!$M442), O$4&lt;&gt;DATE(2025,7,4)), (SWITCH(weekday(O$4), 1, 0, 2, if(ISBLANK('2025'!$P442), 0, 1), 3, if(ISBLANK('2025'!$Q442), 0, 1), 4, if(ISBLANK('2025'!$R442), 0, 1), 5, if(ISBLANK('2025'!$S442), 0, 1), 6, if(ISBLANK('2025'!$T442), 0, 1), 7, 0))), 1, "")</f>
        <v/>
      </c>
      <c r="P479" s="1" t="str">
        <f>IF(AND(AND(AND(P$4&gt;='2025'!$L442,P$4&lt;='2025'!$M442), P$4&lt;&gt;DATE(2025,7,4)), (SWITCH(weekday(P$4), 1, 0, 2, if(ISBLANK('2025'!$P442), 0, 1), 3, if(ISBLANK('2025'!$Q442), 0, 1), 4, if(ISBLANK('2025'!$R442), 0, 1), 5, if(ISBLANK('2025'!$S442), 0, 1), 6, if(ISBLANK('2025'!$T442), 0, 1), 7, 0))), 1, "")</f>
        <v/>
      </c>
      <c r="Q479" s="1" t="str">
        <f>IF(AND(AND(AND(Q$4&gt;='2025'!$L442,Q$4&lt;='2025'!$M442), Q$4&lt;&gt;DATE(2025,7,4)), (SWITCH(weekday(Q$4), 1, 0, 2, if(ISBLANK('2025'!$P442), 0, 1), 3, if(ISBLANK('2025'!$Q442), 0, 1), 4, if(ISBLANK('2025'!$R442), 0, 1), 5, if(ISBLANK('2025'!$S442), 0, 1), 6, if(ISBLANK('2025'!$T442), 0, 1), 7, 0))), 1, "")</f>
        <v/>
      </c>
      <c r="R479" s="1" t="str">
        <f>IF(AND(AND(AND(R$4&gt;='2025'!$L442,R$4&lt;='2025'!$M442), R$4&lt;&gt;DATE(2025,7,4)), (SWITCH(weekday(R$4), 1, 0, 2, if(ISBLANK('2025'!$P442), 0, 1), 3, if(ISBLANK('2025'!$Q442), 0, 1), 4, if(ISBLANK('2025'!$R442), 0, 1), 5, if(ISBLANK('2025'!$S442), 0, 1), 6, if(ISBLANK('2025'!$T442), 0, 1), 7, 0))), 1, "")</f>
        <v/>
      </c>
      <c r="S479" s="1" t="str">
        <f>IF(AND(AND(AND(S$4&gt;='2025'!$L442,S$4&lt;='2025'!$M442), S$4&lt;&gt;DATE(2025,7,4)), (SWITCH(weekday(S$4), 1, 0, 2, if(ISBLANK('2025'!$P442), 0, 1), 3, if(ISBLANK('2025'!$Q442), 0, 1), 4, if(ISBLANK('2025'!$R442), 0, 1), 5, if(ISBLANK('2025'!$S442), 0, 1), 6, if(ISBLANK('2025'!$T442), 0, 1), 7, 0))), 1, "")</f>
        <v/>
      </c>
      <c r="T479" s="1" t="str">
        <f>IF(AND(AND(AND(T$4&gt;='2025'!$L442,T$4&lt;='2025'!$M442), T$4&lt;&gt;DATE(2025,7,4)), (SWITCH(weekday(T$4), 1, 0, 2, if(ISBLANK('2025'!$P442), 0, 1), 3, if(ISBLANK('2025'!$Q442), 0, 1), 4, if(ISBLANK('2025'!$R442), 0, 1), 5, if(ISBLANK('2025'!$S442), 0, 1), 6, if(ISBLANK('2025'!$T442), 0, 1), 7, 0))), 1, "")</f>
        <v/>
      </c>
      <c r="U479" s="1" t="str">
        <f>IF(AND(AND(AND(U$4&gt;='2025'!$L442,U$4&lt;='2025'!$M442), U$4&lt;&gt;DATE(2025,7,4)), (SWITCH(weekday(U$4), 1, 0, 2, if(ISBLANK('2025'!$P442), 0, 1), 3, if(ISBLANK('2025'!$Q442), 0, 1), 4, if(ISBLANK('2025'!$R442), 0, 1), 5, if(ISBLANK('2025'!$S442), 0, 1), 6, if(ISBLANK('2025'!$T442), 0, 1), 7, 0))), 1, "")</f>
        <v/>
      </c>
      <c r="V479" s="1" t="str">
        <f>IF(AND(AND(AND(V$4&gt;='2025'!$L442,V$4&lt;='2025'!$M442), V$4&lt;&gt;DATE(2025,7,4)), (SWITCH(weekday(V$4), 1, 0, 2, if(ISBLANK('2025'!$P442), 0, 1), 3, if(ISBLANK('2025'!$Q442), 0, 1), 4, if(ISBLANK('2025'!$R442), 0, 1), 5, if(ISBLANK('2025'!$S442), 0, 1), 6, if(ISBLANK('2025'!$T442), 0, 1), 7, 0))), 1, "")</f>
        <v/>
      </c>
      <c r="W479" s="1" t="str">
        <f>IF(AND(AND(AND(W$4&gt;='2025'!$L442,W$4&lt;='2025'!$M442), W$4&lt;&gt;DATE(2025,7,4)), (SWITCH(weekday(W$4), 1, 0, 2, if(ISBLANK('2025'!$P442), 0, 1), 3, if(ISBLANK('2025'!$Q442), 0, 1), 4, if(ISBLANK('2025'!$R442), 0, 1), 5, if(ISBLANK('2025'!$S442), 0, 1), 6, if(ISBLANK('2025'!$T442), 0, 1), 7, 0))), 1, "")</f>
        <v/>
      </c>
      <c r="X479" s="1" t="str">
        <f>IF(AND(AND(AND(X$4&gt;='2025'!$L442,X$4&lt;='2025'!$M442), X$4&lt;&gt;DATE(2025,7,4)), (SWITCH(weekday(X$4), 1, 0, 2, if(ISBLANK('2025'!$P442), 0, 1), 3, if(ISBLANK('2025'!$Q442), 0, 1), 4, if(ISBLANK('2025'!$R442), 0, 1), 5, if(ISBLANK('2025'!$S442), 0, 1), 6, if(ISBLANK('2025'!$T442), 0, 1), 7, 0))), 1, "")</f>
        <v/>
      </c>
      <c r="Y479" s="1" t="str">
        <f>IF(AND(AND(AND(Y$4&gt;='2025'!$L442,Y$4&lt;='2025'!$M442), Y$4&lt;&gt;DATE(2025,7,4)), (SWITCH(weekday(Y$4), 1, 0, 2, if(ISBLANK('2025'!$P442), 0, 1), 3, if(ISBLANK('2025'!$Q442), 0, 1), 4, if(ISBLANK('2025'!$R442), 0, 1), 5, if(ISBLANK('2025'!$S442), 0, 1), 6, if(ISBLANK('2025'!$T442), 0, 1), 7, 0))), 1, "")</f>
        <v/>
      </c>
      <c r="Z479" s="1" t="str">
        <f>IF(AND(AND(AND(Z$4&gt;='2025'!$L442,Z$4&lt;='2025'!$M442), Z$4&lt;&gt;DATE(2025,7,4)), (SWITCH(weekday(Z$4), 1, 0, 2, if(ISBLANK('2025'!$P442), 0, 1), 3, if(ISBLANK('2025'!$Q442), 0, 1), 4, if(ISBLANK('2025'!$R442), 0, 1), 5, if(ISBLANK('2025'!$S442), 0, 1), 6, if(ISBLANK('2025'!$T442), 0, 1), 7, 0))), 1, "")</f>
        <v/>
      </c>
      <c r="AA479" s="1" t="str">
        <f>IF(AND(AND(AND(AA$4&gt;='2025'!$L442,AA$4&lt;='2025'!$M442), AA$4&lt;&gt;DATE(2025,7,4)), (SWITCH(weekday(AA$4), 1, 0, 2, if(ISBLANK('2025'!$P442), 0, 1), 3, if(ISBLANK('2025'!$Q442), 0, 1), 4, if(ISBLANK('2025'!$R442), 0, 1), 5, if(ISBLANK('2025'!$S442), 0, 1), 6, if(ISBLANK('2025'!$T442), 0, 1), 7, 0))), 1, "")</f>
        <v/>
      </c>
      <c r="AB479" s="1" t="str">
        <f>IF(AND(AND(AND(AB$4&gt;='2025'!$L442,AB$4&lt;='2025'!$M442), AB$4&lt;&gt;DATE(2025,7,4)), (SWITCH(weekday(AB$4), 1, 0, 2, if(ISBLANK('2025'!$P442), 0, 1), 3, if(ISBLANK('2025'!$Q442), 0, 1), 4, if(ISBLANK('2025'!$R442), 0, 1), 5, if(ISBLANK('2025'!$S442), 0, 1), 6, if(ISBLANK('2025'!$T442), 0, 1), 7, 0))), 1, "")</f>
        <v/>
      </c>
      <c r="AC479" s="1" t="str">
        <f>IF(AND(AND(AND(AC$4&gt;='2025'!$L442,AC$4&lt;='2025'!$M442), AC$4&lt;&gt;DATE(2025,7,4)), (SWITCH(weekday(AC$4), 1, 0, 2, if(ISBLANK('2025'!$P442), 0, 1), 3, if(ISBLANK('2025'!$Q442), 0, 1), 4, if(ISBLANK('2025'!$R442), 0, 1), 5, if(ISBLANK('2025'!$S442), 0, 1), 6, if(ISBLANK('2025'!$T442), 0, 1), 7, 0))), 1, "")</f>
        <v/>
      </c>
      <c r="AD479" s="1" t="str">
        <f>IF(AND(AND(AND(AD$4&gt;='2025'!$L442,AD$4&lt;='2025'!$M442), AD$4&lt;&gt;DATE(2025,7,4)), (SWITCH(weekday(AD$4), 1, 0, 2, if(ISBLANK('2025'!$P442), 0, 1), 3, if(ISBLANK('2025'!$Q442), 0, 1), 4, if(ISBLANK('2025'!$R442), 0, 1), 5, if(ISBLANK('2025'!$S442), 0, 1), 6, if(ISBLANK('2025'!$T442), 0, 1), 7, 0))), 1, "")</f>
        <v/>
      </c>
      <c r="AE479" s="1" t="str">
        <f>IF(AND(AND(AND(AE$4&gt;='2025'!$L442,AE$4&lt;='2025'!$M442), AE$4&lt;&gt;DATE(2025,7,4)), (SWITCH(weekday(AE$4), 1, 0, 2, if(ISBLANK('2025'!$P442), 0, 1), 3, if(ISBLANK('2025'!$Q442), 0, 1), 4, if(ISBLANK('2025'!$R442), 0, 1), 5, if(ISBLANK('2025'!$S442), 0, 1), 6, if(ISBLANK('2025'!$T442), 0, 1), 7, 0))), 1, "")</f>
        <v/>
      </c>
      <c r="AF479" s="1" t="str">
        <f>IF(AND(AND(AND(AF$4&gt;='2025'!$L442,AF$4&lt;='2025'!$M442), AF$4&lt;&gt;DATE(2025,7,4)), (SWITCH(weekday(AF$4), 1, 0, 2, if(ISBLANK('2025'!$P442), 0, 1), 3, if(ISBLANK('2025'!$Q442), 0, 1), 4, if(ISBLANK('2025'!$R442), 0, 1), 5, if(ISBLANK('2025'!$S442), 0, 1), 6, if(ISBLANK('2025'!$T442), 0, 1), 7, 0))), 1, "")</f>
        <v/>
      </c>
      <c r="AG479" s="1" t="str">
        <f>IF(AND(AND(AND(AG$4&gt;='2025'!$L442,AG$4&lt;='2025'!$M442), AG$4&lt;&gt;DATE(2025,7,4)), (SWITCH(weekday(AG$4), 1, 0, 2, if(ISBLANK('2025'!$P442), 0, 1), 3, if(ISBLANK('2025'!$Q442), 0, 1), 4, if(ISBLANK('2025'!$R442), 0, 1), 5, if(ISBLANK('2025'!$S442), 0, 1), 6, if(ISBLANK('2025'!$T442), 0, 1), 7, 0))), 1, "")</f>
        <v/>
      </c>
      <c r="AH479" s="1" t="str">
        <f>IF(AND(AND(AND(AH$4&gt;='2025'!$L442,AH$4&lt;='2025'!$M442), AH$4&lt;&gt;DATE(2025,7,4)), (SWITCH(weekday(AH$4), 1, 0, 2, if(ISBLANK('2025'!$P442), 0, 1), 3, if(ISBLANK('2025'!$Q442), 0, 1), 4, if(ISBLANK('2025'!$R442), 0, 1), 5, if(ISBLANK('2025'!$S442), 0, 1), 6, if(ISBLANK('2025'!$T442), 0, 1), 7, 0))), 1, "")</f>
        <v/>
      </c>
      <c r="AI479" s="1" t="str">
        <f>IF(AND(AND(AND(AI$4&gt;='2025'!$L442,AI$4&lt;='2025'!$M442), AI$4&lt;&gt;DATE(2025,7,4)), (SWITCH(weekday(AI$4), 1, 0, 2, if(ISBLANK('2025'!$P442), 0, 1), 3, if(ISBLANK('2025'!$Q442), 0, 1), 4, if(ISBLANK('2025'!$R442), 0, 1), 5, if(ISBLANK('2025'!$S442), 0, 1), 6, if(ISBLANK('2025'!$T442), 0, 1), 7, 0))), 1, "")</f>
        <v/>
      </c>
      <c r="AJ479" s="1" t="str">
        <f>IF(AND(AND(AND(AJ$4&gt;='2025'!$L442,AJ$4&lt;='2025'!$M442), AJ$4&lt;&gt;DATE(2025,7,4)), (SWITCH(weekday(AJ$4), 1, 0, 2, if(ISBLANK('2025'!$P442), 0, 1), 3, if(ISBLANK('2025'!$Q442), 0, 1), 4, if(ISBLANK('2025'!$R442), 0, 1), 5, if(ISBLANK('2025'!$S442), 0, 1), 6, if(ISBLANK('2025'!$T442), 0, 1), 7, 0))), 1, "")</f>
        <v/>
      </c>
      <c r="AK479" s="1" t="str">
        <f>IF(AND(AND(AND(AK$4&gt;='2025'!$L442,AK$4&lt;='2025'!$M442), AK$4&lt;&gt;DATE(2025,7,4)), (SWITCH(weekday(AK$4), 1, 0, 2, if(ISBLANK('2025'!$P442), 0, 1), 3, if(ISBLANK('2025'!$Q442), 0, 1), 4, if(ISBLANK('2025'!$R442), 0, 1), 5, if(ISBLANK('2025'!$S442), 0, 1), 6, if(ISBLANK('2025'!$T442), 0, 1), 7, 0))), 1, "")</f>
        <v/>
      </c>
      <c r="AL479" s="1" t="str">
        <f>IF(AND(AND(AND(AL$4&gt;='2025'!$L442,AL$4&lt;='2025'!$M442), AL$4&lt;&gt;DATE(2025,7,4)), (SWITCH(weekday(AL$4), 1, 0, 2, if(ISBLANK('2025'!$P442), 0, 1), 3, if(ISBLANK('2025'!$Q442), 0, 1), 4, if(ISBLANK('2025'!$R442), 0, 1), 5, if(ISBLANK('2025'!$S442), 0, 1), 6, if(ISBLANK('2025'!$T442), 0, 1), 7, 0))), 1, "")</f>
        <v/>
      </c>
      <c r="AM479" s="1" t="str">
        <f>IF(AND(AND(AND(AM$4&gt;='2025'!$L442,AM$4&lt;='2025'!$M442), AM$4&lt;&gt;DATE(2025,7,4)), (SWITCH(weekday(AM$4), 1, 0, 2, if(ISBLANK('2025'!$P442), 0, 1), 3, if(ISBLANK('2025'!$Q442), 0, 1), 4, if(ISBLANK('2025'!$R442), 0, 1), 5, if(ISBLANK('2025'!$S442), 0, 1), 6, if(ISBLANK('2025'!$T442), 0, 1), 7, 0))), 1, "")</f>
        <v/>
      </c>
      <c r="AN479" s="1" t="str">
        <f>IF(AND(AND(AND(AN$4&gt;='2025'!$L442,AN$4&lt;='2025'!$M442), AN$4&lt;&gt;DATE(2025,7,4)), (SWITCH(weekday(AN$4), 1, 0, 2, if(ISBLANK('2025'!$P442), 0, 1), 3, if(ISBLANK('2025'!$Q442), 0, 1), 4, if(ISBLANK('2025'!$R442), 0, 1), 5, if(ISBLANK('2025'!$S442), 0, 1), 6, if(ISBLANK('2025'!$T442), 0, 1), 7, 0))), 1, "")</f>
        <v/>
      </c>
      <c r="AO479" s="1" t="str">
        <f>IF(AND(AND(AND(AO$4&gt;='2025'!$L442,AO$4&lt;='2025'!$M442), AO$4&lt;&gt;DATE(2025,7,4)), (SWITCH(weekday(AO$4), 1, 0, 2, if(ISBLANK('2025'!$P442), 0, 1), 3, if(ISBLANK('2025'!$Q442), 0, 1), 4, if(ISBLANK('2025'!$R442), 0, 1), 5, if(ISBLANK('2025'!$S442), 0, 1), 6, if(ISBLANK('2025'!$T442), 0, 1), 7, 0))), 1, "")</f>
        <v/>
      </c>
      <c r="AP479" s="1" t="str">
        <f>IF(AND(AND(AND(AP$4&gt;='2025'!$L442,AP$4&lt;='2025'!$M442), AP$4&lt;&gt;DATE(2025,7,4)), (SWITCH(weekday(AP$4), 1, 0, 2, if(ISBLANK('2025'!$P442), 0, 1), 3, if(ISBLANK('2025'!$Q442), 0, 1), 4, if(ISBLANK('2025'!$R442), 0, 1), 5, if(ISBLANK('2025'!$S442), 0, 1), 6, if(ISBLANK('2025'!$T442), 0, 1), 7, 0))), 1, "")</f>
        <v/>
      </c>
      <c r="AQ479" s="1" t="str">
        <f>IF(AND(AND(AND(AQ$4&gt;='2025'!$L442,AQ$4&lt;='2025'!$M442), AQ$4&lt;&gt;DATE(2025,7,4)), (SWITCH(weekday(AQ$4), 1, 0, 2, if(ISBLANK('2025'!$P442), 0, 1), 3, if(ISBLANK('2025'!$Q442), 0, 1), 4, if(ISBLANK('2025'!$R442), 0, 1), 5, if(ISBLANK('2025'!$S442), 0, 1), 6, if(ISBLANK('2025'!$T442), 0, 1), 7, 0))), 1, "")</f>
        <v/>
      </c>
      <c r="AR479" s="1" t="str">
        <f>IF(AND(AND(AND(AR$4&gt;='2025'!$L442,AR$4&lt;='2025'!$M442), AR$4&lt;&gt;DATE(2025,7,4)), (SWITCH(weekday(AR$4), 1, 0, 2, if(ISBLANK('2025'!$P442), 0, 1), 3, if(ISBLANK('2025'!$Q442), 0, 1), 4, if(ISBLANK('2025'!$R442), 0, 1), 5, if(ISBLANK('2025'!$S442), 0, 1), 6, if(ISBLANK('2025'!$T442), 0, 1), 7, 0))), 1, "")</f>
        <v/>
      </c>
      <c r="AS479" s="1" t="str">
        <f>IF(AND(AND(AND(AS$4&gt;='2025'!$L442,AS$4&lt;='2025'!$M442), AS$4&lt;&gt;DATE(2025,7,4)), (SWITCH(weekday(AS$4), 1, 0, 2, if(ISBLANK('2025'!$P442), 0, 1), 3, if(ISBLANK('2025'!$Q442), 0, 1), 4, if(ISBLANK('2025'!$R442), 0, 1), 5, if(ISBLANK('2025'!$S442), 0, 1), 6, if(ISBLANK('2025'!$T442), 0, 1), 7, 0))), 1, "")</f>
        <v/>
      </c>
      <c r="AT479" s="1" t="str">
        <f>IF(AND(AND(AND(AT$4&gt;='2025'!$L442,AT$4&lt;='2025'!$M442), AT$4&lt;&gt;DATE(2025,7,4)), (SWITCH(weekday(AT$4), 1, 0, 2, if(ISBLANK('2025'!$P442), 0, 1), 3, if(ISBLANK('2025'!$Q442), 0, 1), 4, if(ISBLANK('2025'!$R442), 0, 1), 5, if(ISBLANK('2025'!$S442), 0, 1), 6, if(ISBLANK('2025'!$T442), 0, 1), 7, 0))), 1, "")</f>
        <v/>
      </c>
      <c r="AU479" s="1" t="str">
        <f>IF(AND(AND(AND(AU$4&gt;='2025'!$L442,AU$4&lt;='2025'!$M442), AU$4&lt;&gt;DATE(2025,7,4)), (SWITCH(weekday(AU$4), 1, 0, 2, if(ISBLANK('2025'!$P442), 0, 1), 3, if(ISBLANK('2025'!$Q442), 0, 1), 4, if(ISBLANK('2025'!$R442), 0, 1), 5, if(ISBLANK('2025'!$S442), 0, 1), 6, if(ISBLANK('2025'!$T442), 0, 1), 7, 0))), 1, "")</f>
        <v/>
      </c>
      <c r="AV479" s="1" t="str">
        <f>IF(AND(AND(AND(AV$4&gt;='2025'!$L442,AV$4&lt;='2025'!$M442), AV$4&lt;&gt;DATE(2025,7,4)), (SWITCH(weekday(AV$4), 1, 0, 2, if(ISBLANK('2025'!$P442), 0, 1), 3, if(ISBLANK('2025'!$Q442), 0, 1), 4, if(ISBLANK('2025'!$R442), 0, 1), 5, if(ISBLANK('2025'!$S442), 0, 1), 6, if(ISBLANK('2025'!$T442), 0, 1), 7, 0))), 1, "")</f>
        <v/>
      </c>
      <c r="AW479" s="1" t="str">
        <f>IF(AND(AND(AND(AW$4&gt;='2025'!$L442,AW$4&lt;='2025'!$M442), AW$4&lt;&gt;DATE(2025,7,4)), (SWITCH(weekday(AW$4), 1, 0, 2, if(ISBLANK('2025'!$P442), 0, 1), 3, if(ISBLANK('2025'!$Q442), 0, 1), 4, if(ISBLANK('2025'!$R442), 0, 1), 5, if(ISBLANK('2025'!$S442), 0, 1), 6, if(ISBLANK('2025'!$T442), 0, 1), 7, 0))), 1, "")</f>
        <v/>
      </c>
      <c r="AX479" s="1" t="str">
        <f>IF(AND(AND(AND(AX$4&gt;='2025'!$L442,AX$4&lt;='2025'!$M442), AX$4&lt;&gt;DATE(2025,7,4)), (SWITCH(weekday(AX$4), 1, 0, 2, if(ISBLANK('2025'!$P442), 0, 1), 3, if(ISBLANK('2025'!$Q442), 0, 1), 4, if(ISBLANK('2025'!$R442), 0, 1), 5, if(ISBLANK('2025'!$S442), 0, 1), 6, if(ISBLANK('2025'!$T442), 0, 1), 7, 0))), 1, "")</f>
        <v/>
      </c>
      <c r="AY479" s="1" t="str">
        <f>IF(AND(AND(AND(AY$4&gt;='2025'!$L442,AY$4&lt;='2025'!$M442), AY$4&lt;&gt;DATE(2025,7,4)), (SWITCH(weekday(AY$4), 1, 0, 2, if(ISBLANK('2025'!$P442), 0, 1), 3, if(ISBLANK('2025'!$Q442), 0, 1), 4, if(ISBLANK('2025'!$R442), 0, 1), 5, if(ISBLANK('2025'!$S442), 0, 1), 6, if(ISBLANK('2025'!$T442), 0, 1), 7, 0))), 1, "")</f>
        <v/>
      </c>
      <c r="AZ479" s="1" t="str">
        <f>IF(AND(AND(AND(AZ$4&gt;='2025'!$L442,AZ$4&lt;='2025'!$M442), AZ$4&lt;&gt;DATE(2025,7,4)), (SWITCH(weekday(AZ$4), 1, 0, 2, if(ISBLANK('2025'!$P442), 0, 1), 3, if(ISBLANK('2025'!$Q442), 0, 1), 4, if(ISBLANK('2025'!$R442), 0, 1), 5, if(ISBLANK('2025'!$S442), 0, 1), 6, if(ISBLANK('2025'!$T442), 0, 1), 7, 0))), 1, "")</f>
        <v/>
      </c>
      <c r="BA479" s="1" t="str">
        <f>IF(AND(AND(AND(BA$4&gt;='2025'!$L442,BA$4&lt;='2025'!$M442), BA$4&lt;&gt;DATE(2025,7,4)), (SWITCH(weekday(BA$4), 1, 0, 2, if(ISBLANK('2025'!$P442), 0, 1), 3, if(ISBLANK('2025'!$Q442), 0, 1), 4, if(ISBLANK('2025'!$R442), 0, 1), 5, if(ISBLANK('2025'!$S442), 0, 1), 6, if(ISBLANK('2025'!$T442), 0, 1), 7, 0))), 1, "")</f>
        <v/>
      </c>
      <c r="BB479" s="1" t="str">
        <f>IF(AND(AND(AND(BB$4&gt;='2025'!$L442,BB$4&lt;='2025'!$M442), BB$4&lt;&gt;DATE(2025,7,4)), (SWITCH(weekday(BB$4), 1, 0, 2, if(ISBLANK('2025'!$P442), 0, 1), 3, if(ISBLANK('2025'!$Q442), 0, 1), 4, if(ISBLANK('2025'!$R442), 0, 1), 5, if(ISBLANK('2025'!$S442), 0, 1), 6, if(ISBLANK('2025'!$T442), 0, 1), 7, 0))), 1, "")</f>
        <v/>
      </c>
      <c r="BC479" s="1" t="str">
        <f>IF(AND(AND(AND(BC$4&gt;='2025'!$L442,BC$4&lt;='2025'!$M442), BC$4&lt;&gt;DATE(2025,7,4)), (SWITCH(weekday(BC$4), 1, 0, 2, if(ISBLANK('2025'!$P442), 0, 1), 3, if(ISBLANK('2025'!$Q442), 0, 1), 4, if(ISBLANK('2025'!$R442), 0, 1), 5, if(ISBLANK('2025'!$S442), 0, 1), 6, if(ISBLANK('2025'!$T442), 0, 1), 7, 0))), 1, "")</f>
        <v/>
      </c>
      <c r="BD479" s="1" t="str">
        <f>IF(AND(AND(AND(BD$4&gt;='2025'!$L442,BD$4&lt;='2025'!$M442), BD$4&lt;&gt;DATE(2025,7,4)), (SWITCH(weekday(BD$4), 1, 0, 2, if(ISBLANK('2025'!$P442), 0, 1), 3, if(ISBLANK('2025'!$Q442), 0, 1), 4, if(ISBLANK('2025'!$R442), 0, 1), 5, if(ISBLANK('2025'!$S442), 0, 1), 6, if(ISBLANK('2025'!$T442), 0, 1), 7, 0))), 1, "")</f>
        <v/>
      </c>
      <c r="BE479" s="1" t="str">
        <f>IF(AND(AND(AND(BE$4&gt;='2025'!$L442,BE$4&lt;='2025'!$M442), BE$4&lt;&gt;DATE(2025,7,4)), (SWITCH(weekday(BE$4), 1, 0, 2, if(ISBLANK('2025'!$P442), 0, 1), 3, if(ISBLANK('2025'!$Q442), 0, 1), 4, if(ISBLANK('2025'!$R442), 0, 1), 5, if(ISBLANK('2025'!$S442), 0, 1), 6, if(ISBLANK('2025'!$T442), 0, 1), 7, 0))), 1, "")</f>
        <v/>
      </c>
    </row>
    <row r="480">
      <c r="A480" s="1">
        <f t="shared" si="3"/>
        <v>480</v>
      </c>
      <c r="B480" s="1" t="str">
        <f>'2025'!D443</f>
        <v/>
      </c>
      <c r="C480" s="1" t="str">
        <f>'2025'!H443</f>
        <v/>
      </c>
      <c r="D480" s="1" t="str">
        <f>IF(AND(AND(AND(D$4&gt;='2025'!$L443,D$4&lt;='2025'!$M443), D$4&lt;&gt;DATE(2025,7,4)), (SWITCH(weekday(D$4), 1, 0, 2, if(ISBLANK('2025'!$P443), 0, 1), 3, if(ISBLANK('2025'!$Q443), 0, 1), 4, if(ISBLANK('2025'!$R443), 0, 1), 5, if(ISBLANK('2025'!$S443), 0, 1), 6, if(ISBLANK('2025'!$T443), 0, 1), 7, 0))), 1, "")</f>
        <v/>
      </c>
      <c r="E480" s="1" t="str">
        <f>IF(AND(AND(AND(E$4&gt;='2025'!$L443,E$4&lt;='2025'!$M443), E$4&lt;&gt;DATE(2025,7,4)), (SWITCH(weekday(E$4), 1, 0, 2, if(ISBLANK('2025'!$P443), 0, 1), 3, if(ISBLANK('2025'!$Q443), 0, 1), 4, if(ISBLANK('2025'!$R443), 0, 1), 5, if(ISBLANK('2025'!$S443), 0, 1), 6, if(ISBLANK('2025'!$T443), 0, 1), 7, 0))), 1, "")</f>
        <v/>
      </c>
      <c r="F480" s="1" t="str">
        <f>IF(AND(AND(AND(F$4&gt;='2025'!$L443,F$4&lt;='2025'!$M443), F$4&lt;&gt;DATE(2025,7,4)), (SWITCH(weekday(F$4), 1, 0, 2, if(ISBLANK('2025'!$P443), 0, 1), 3, if(ISBLANK('2025'!$Q443), 0, 1), 4, if(ISBLANK('2025'!$R443), 0, 1), 5, if(ISBLANK('2025'!$S443), 0, 1), 6, if(ISBLANK('2025'!$T443), 0, 1), 7, 0))), 1, "")</f>
        <v/>
      </c>
      <c r="G480" s="1" t="str">
        <f>IF(AND(AND(AND(G$4&gt;='2025'!$L443,G$4&lt;='2025'!$M443), G$4&lt;&gt;DATE(2025,7,4)), (SWITCH(weekday(G$4), 1, 0, 2, if(ISBLANK('2025'!$P443), 0, 1), 3, if(ISBLANK('2025'!$Q443), 0, 1), 4, if(ISBLANK('2025'!$R443), 0, 1), 5, if(ISBLANK('2025'!$S443), 0, 1), 6, if(ISBLANK('2025'!$T443), 0, 1), 7, 0))), 1, "")</f>
        <v/>
      </c>
      <c r="H480" s="1" t="str">
        <f>IF(AND(AND(AND(H$4&gt;='2025'!$L443,H$4&lt;='2025'!$M443), H$4&lt;&gt;DATE(2025,7,4)), (SWITCH(weekday(H$4), 1, 0, 2, if(ISBLANK('2025'!$P443), 0, 1), 3, if(ISBLANK('2025'!$Q443), 0, 1), 4, if(ISBLANK('2025'!$R443), 0, 1), 5, if(ISBLANK('2025'!$S443), 0, 1), 6, if(ISBLANK('2025'!$T443), 0, 1), 7, 0))), 1, "")</f>
        <v/>
      </c>
      <c r="I480" s="1" t="str">
        <f>IF(AND(AND(AND(I$4&gt;='2025'!$L443,I$4&lt;='2025'!$M443), I$4&lt;&gt;DATE(2025,7,4)), (SWITCH(weekday(I$4), 1, 0, 2, if(ISBLANK('2025'!$P443), 0, 1), 3, if(ISBLANK('2025'!$Q443), 0, 1), 4, if(ISBLANK('2025'!$R443), 0, 1), 5, if(ISBLANK('2025'!$S443), 0, 1), 6, if(ISBLANK('2025'!$T443), 0, 1), 7, 0))), 1, "")</f>
        <v/>
      </c>
      <c r="J480" s="1" t="str">
        <f>IF(AND(AND(AND(J$4&gt;='2025'!$L443,J$4&lt;='2025'!$M443), J$4&lt;&gt;DATE(2025,7,4)), (SWITCH(weekday(J$4), 1, 0, 2, if(ISBLANK('2025'!$P443), 0, 1), 3, if(ISBLANK('2025'!$Q443), 0, 1), 4, if(ISBLANK('2025'!$R443), 0, 1), 5, if(ISBLANK('2025'!$S443), 0, 1), 6, if(ISBLANK('2025'!$T443), 0, 1), 7, 0))), 1, "")</f>
        <v/>
      </c>
      <c r="K480" s="1" t="str">
        <f>IF(AND(AND(AND(K$4&gt;='2025'!$L443,K$4&lt;='2025'!$M443), K$4&lt;&gt;DATE(2025,7,4)), (SWITCH(weekday(K$4), 1, 0, 2, if(ISBLANK('2025'!$P443), 0, 1), 3, if(ISBLANK('2025'!$Q443), 0, 1), 4, if(ISBLANK('2025'!$R443), 0, 1), 5, if(ISBLANK('2025'!$S443), 0, 1), 6, if(ISBLANK('2025'!$T443), 0, 1), 7, 0))), 1, "")</f>
        <v/>
      </c>
      <c r="L480" s="1" t="str">
        <f>IF(AND(AND(AND(L$4&gt;='2025'!$L443,L$4&lt;='2025'!$M443), L$4&lt;&gt;DATE(2025,7,4)), (SWITCH(weekday(L$4), 1, 0, 2, if(ISBLANK('2025'!$P443), 0, 1), 3, if(ISBLANK('2025'!$Q443), 0, 1), 4, if(ISBLANK('2025'!$R443), 0, 1), 5, if(ISBLANK('2025'!$S443), 0, 1), 6, if(ISBLANK('2025'!$T443), 0, 1), 7, 0))), 1, "")</f>
        <v/>
      </c>
      <c r="M480" s="1" t="str">
        <f>IF(AND(AND(AND(M$4&gt;='2025'!$L443,M$4&lt;='2025'!$M443), M$4&lt;&gt;DATE(2025,7,4)), (SWITCH(weekday(M$4), 1, 0, 2, if(ISBLANK('2025'!$P443), 0, 1), 3, if(ISBLANK('2025'!$Q443), 0, 1), 4, if(ISBLANK('2025'!$R443), 0, 1), 5, if(ISBLANK('2025'!$S443), 0, 1), 6, if(ISBLANK('2025'!$T443), 0, 1), 7, 0))), 1, "")</f>
        <v/>
      </c>
      <c r="N480" s="1" t="str">
        <f>IF(AND(AND(AND(N$4&gt;='2025'!$L443,N$4&lt;='2025'!$M443), N$4&lt;&gt;DATE(2025,7,4)), (SWITCH(weekday(N$4), 1, 0, 2, if(ISBLANK('2025'!$P443), 0, 1), 3, if(ISBLANK('2025'!$Q443), 0, 1), 4, if(ISBLANK('2025'!$R443), 0, 1), 5, if(ISBLANK('2025'!$S443), 0, 1), 6, if(ISBLANK('2025'!$T443), 0, 1), 7, 0))), 1, "")</f>
        <v/>
      </c>
      <c r="O480" s="1" t="str">
        <f>IF(AND(AND(AND(O$4&gt;='2025'!$L443,O$4&lt;='2025'!$M443), O$4&lt;&gt;DATE(2025,7,4)), (SWITCH(weekday(O$4), 1, 0, 2, if(ISBLANK('2025'!$P443), 0, 1), 3, if(ISBLANK('2025'!$Q443), 0, 1), 4, if(ISBLANK('2025'!$R443), 0, 1), 5, if(ISBLANK('2025'!$S443), 0, 1), 6, if(ISBLANK('2025'!$T443), 0, 1), 7, 0))), 1, "")</f>
        <v/>
      </c>
      <c r="P480" s="1" t="str">
        <f>IF(AND(AND(AND(P$4&gt;='2025'!$L443,P$4&lt;='2025'!$M443), P$4&lt;&gt;DATE(2025,7,4)), (SWITCH(weekday(P$4), 1, 0, 2, if(ISBLANK('2025'!$P443), 0, 1), 3, if(ISBLANK('2025'!$Q443), 0, 1), 4, if(ISBLANK('2025'!$R443), 0, 1), 5, if(ISBLANK('2025'!$S443), 0, 1), 6, if(ISBLANK('2025'!$T443), 0, 1), 7, 0))), 1, "")</f>
        <v/>
      </c>
      <c r="Q480" s="1" t="str">
        <f>IF(AND(AND(AND(Q$4&gt;='2025'!$L443,Q$4&lt;='2025'!$M443), Q$4&lt;&gt;DATE(2025,7,4)), (SWITCH(weekday(Q$4), 1, 0, 2, if(ISBLANK('2025'!$P443), 0, 1), 3, if(ISBLANK('2025'!$Q443), 0, 1), 4, if(ISBLANK('2025'!$R443), 0, 1), 5, if(ISBLANK('2025'!$S443), 0, 1), 6, if(ISBLANK('2025'!$T443), 0, 1), 7, 0))), 1, "")</f>
        <v/>
      </c>
      <c r="R480" s="1" t="str">
        <f>IF(AND(AND(AND(R$4&gt;='2025'!$L443,R$4&lt;='2025'!$M443), R$4&lt;&gt;DATE(2025,7,4)), (SWITCH(weekday(R$4), 1, 0, 2, if(ISBLANK('2025'!$P443), 0, 1), 3, if(ISBLANK('2025'!$Q443), 0, 1), 4, if(ISBLANK('2025'!$R443), 0, 1), 5, if(ISBLANK('2025'!$S443), 0, 1), 6, if(ISBLANK('2025'!$T443), 0, 1), 7, 0))), 1, "")</f>
        <v/>
      </c>
      <c r="S480" s="1" t="str">
        <f>IF(AND(AND(AND(S$4&gt;='2025'!$L443,S$4&lt;='2025'!$M443), S$4&lt;&gt;DATE(2025,7,4)), (SWITCH(weekday(S$4), 1, 0, 2, if(ISBLANK('2025'!$P443), 0, 1), 3, if(ISBLANK('2025'!$Q443), 0, 1), 4, if(ISBLANK('2025'!$R443), 0, 1), 5, if(ISBLANK('2025'!$S443), 0, 1), 6, if(ISBLANK('2025'!$T443), 0, 1), 7, 0))), 1, "")</f>
        <v/>
      </c>
      <c r="T480" s="1" t="str">
        <f>IF(AND(AND(AND(T$4&gt;='2025'!$L443,T$4&lt;='2025'!$M443), T$4&lt;&gt;DATE(2025,7,4)), (SWITCH(weekday(T$4), 1, 0, 2, if(ISBLANK('2025'!$P443), 0, 1), 3, if(ISBLANK('2025'!$Q443), 0, 1), 4, if(ISBLANK('2025'!$R443), 0, 1), 5, if(ISBLANK('2025'!$S443), 0, 1), 6, if(ISBLANK('2025'!$T443), 0, 1), 7, 0))), 1, "")</f>
        <v/>
      </c>
      <c r="U480" s="1" t="str">
        <f>IF(AND(AND(AND(U$4&gt;='2025'!$L443,U$4&lt;='2025'!$M443), U$4&lt;&gt;DATE(2025,7,4)), (SWITCH(weekday(U$4), 1, 0, 2, if(ISBLANK('2025'!$P443), 0, 1), 3, if(ISBLANK('2025'!$Q443), 0, 1), 4, if(ISBLANK('2025'!$R443), 0, 1), 5, if(ISBLANK('2025'!$S443), 0, 1), 6, if(ISBLANK('2025'!$T443), 0, 1), 7, 0))), 1, "")</f>
        <v/>
      </c>
      <c r="V480" s="1" t="str">
        <f>IF(AND(AND(AND(V$4&gt;='2025'!$L443,V$4&lt;='2025'!$M443), V$4&lt;&gt;DATE(2025,7,4)), (SWITCH(weekday(V$4), 1, 0, 2, if(ISBLANK('2025'!$P443), 0, 1), 3, if(ISBLANK('2025'!$Q443), 0, 1), 4, if(ISBLANK('2025'!$R443), 0, 1), 5, if(ISBLANK('2025'!$S443), 0, 1), 6, if(ISBLANK('2025'!$T443), 0, 1), 7, 0))), 1, "")</f>
        <v/>
      </c>
      <c r="W480" s="1" t="str">
        <f>IF(AND(AND(AND(W$4&gt;='2025'!$L443,W$4&lt;='2025'!$M443), W$4&lt;&gt;DATE(2025,7,4)), (SWITCH(weekday(W$4), 1, 0, 2, if(ISBLANK('2025'!$P443), 0, 1), 3, if(ISBLANK('2025'!$Q443), 0, 1), 4, if(ISBLANK('2025'!$R443), 0, 1), 5, if(ISBLANK('2025'!$S443), 0, 1), 6, if(ISBLANK('2025'!$T443), 0, 1), 7, 0))), 1, "")</f>
        <v/>
      </c>
      <c r="X480" s="1" t="str">
        <f>IF(AND(AND(AND(X$4&gt;='2025'!$L443,X$4&lt;='2025'!$M443), X$4&lt;&gt;DATE(2025,7,4)), (SWITCH(weekday(X$4), 1, 0, 2, if(ISBLANK('2025'!$P443), 0, 1), 3, if(ISBLANK('2025'!$Q443), 0, 1), 4, if(ISBLANK('2025'!$R443), 0, 1), 5, if(ISBLANK('2025'!$S443), 0, 1), 6, if(ISBLANK('2025'!$T443), 0, 1), 7, 0))), 1, "")</f>
        <v/>
      </c>
      <c r="Y480" s="1" t="str">
        <f>IF(AND(AND(AND(Y$4&gt;='2025'!$L443,Y$4&lt;='2025'!$M443), Y$4&lt;&gt;DATE(2025,7,4)), (SWITCH(weekday(Y$4), 1, 0, 2, if(ISBLANK('2025'!$P443), 0, 1), 3, if(ISBLANK('2025'!$Q443), 0, 1), 4, if(ISBLANK('2025'!$R443), 0, 1), 5, if(ISBLANK('2025'!$S443), 0, 1), 6, if(ISBLANK('2025'!$T443), 0, 1), 7, 0))), 1, "")</f>
        <v/>
      </c>
      <c r="Z480" s="1" t="str">
        <f>IF(AND(AND(AND(Z$4&gt;='2025'!$L443,Z$4&lt;='2025'!$M443), Z$4&lt;&gt;DATE(2025,7,4)), (SWITCH(weekday(Z$4), 1, 0, 2, if(ISBLANK('2025'!$P443), 0, 1), 3, if(ISBLANK('2025'!$Q443), 0, 1), 4, if(ISBLANK('2025'!$R443), 0, 1), 5, if(ISBLANK('2025'!$S443), 0, 1), 6, if(ISBLANK('2025'!$T443), 0, 1), 7, 0))), 1, "")</f>
        <v/>
      </c>
      <c r="AA480" s="1" t="str">
        <f>IF(AND(AND(AND(AA$4&gt;='2025'!$L443,AA$4&lt;='2025'!$M443), AA$4&lt;&gt;DATE(2025,7,4)), (SWITCH(weekday(AA$4), 1, 0, 2, if(ISBLANK('2025'!$P443), 0, 1), 3, if(ISBLANK('2025'!$Q443), 0, 1), 4, if(ISBLANK('2025'!$R443), 0, 1), 5, if(ISBLANK('2025'!$S443), 0, 1), 6, if(ISBLANK('2025'!$T443), 0, 1), 7, 0))), 1, "")</f>
        <v/>
      </c>
      <c r="AB480" s="1" t="str">
        <f>IF(AND(AND(AND(AB$4&gt;='2025'!$L443,AB$4&lt;='2025'!$M443), AB$4&lt;&gt;DATE(2025,7,4)), (SWITCH(weekday(AB$4), 1, 0, 2, if(ISBLANK('2025'!$P443), 0, 1), 3, if(ISBLANK('2025'!$Q443), 0, 1), 4, if(ISBLANK('2025'!$R443), 0, 1), 5, if(ISBLANK('2025'!$S443), 0, 1), 6, if(ISBLANK('2025'!$T443), 0, 1), 7, 0))), 1, "")</f>
        <v/>
      </c>
      <c r="AC480" s="1" t="str">
        <f>IF(AND(AND(AND(AC$4&gt;='2025'!$L443,AC$4&lt;='2025'!$M443), AC$4&lt;&gt;DATE(2025,7,4)), (SWITCH(weekday(AC$4), 1, 0, 2, if(ISBLANK('2025'!$P443), 0, 1), 3, if(ISBLANK('2025'!$Q443), 0, 1), 4, if(ISBLANK('2025'!$R443), 0, 1), 5, if(ISBLANK('2025'!$S443), 0, 1), 6, if(ISBLANK('2025'!$T443), 0, 1), 7, 0))), 1, "")</f>
        <v/>
      </c>
      <c r="AD480" s="1" t="str">
        <f>IF(AND(AND(AND(AD$4&gt;='2025'!$L443,AD$4&lt;='2025'!$M443), AD$4&lt;&gt;DATE(2025,7,4)), (SWITCH(weekday(AD$4), 1, 0, 2, if(ISBLANK('2025'!$P443), 0, 1), 3, if(ISBLANK('2025'!$Q443), 0, 1), 4, if(ISBLANK('2025'!$R443), 0, 1), 5, if(ISBLANK('2025'!$S443), 0, 1), 6, if(ISBLANK('2025'!$T443), 0, 1), 7, 0))), 1, "")</f>
        <v/>
      </c>
      <c r="AE480" s="1" t="str">
        <f>IF(AND(AND(AND(AE$4&gt;='2025'!$L443,AE$4&lt;='2025'!$M443), AE$4&lt;&gt;DATE(2025,7,4)), (SWITCH(weekday(AE$4), 1, 0, 2, if(ISBLANK('2025'!$P443), 0, 1), 3, if(ISBLANK('2025'!$Q443), 0, 1), 4, if(ISBLANK('2025'!$R443), 0, 1), 5, if(ISBLANK('2025'!$S443), 0, 1), 6, if(ISBLANK('2025'!$T443), 0, 1), 7, 0))), 1, "")</f>
        <v/>
      </c>
      <c r="AF480" s="1" t="str">
        <f>IF(AND(AND(AND(AF$4&gt;='2025'!$L443,AF$4&lt;='2025'!$M443), AF$4&lt;&gt;DATE(2025,7,4)), (SWITCH(weekday(AF$4), 1, 0, 2, if(ISBLANK('2025'!$P443), 0, 1), 3, if(ISBLANK('2025'!$Q443), 0, 1), 4, if(ISBLANK('2025'!$R443), 0, 1), 5, if(ISBLANK('2025'!$S443), 0, 1), 6, if(ISBLANK('2025'!$T443), 0, 1), 7, 0))), 1, "")</f>
        <v/>
      </c>
      <c r="AG480" s="1" t="str">
        <f>IF(AND(AND(AND(AG$4&gt;='2025'!$L443,AG$4&lt;='2025'!$M443), AG$4&lt;&gt;DATE(2025,7,4)), (SWITCH(weekday(AG$4), 1, 0, 2, if(ISBLANK('2025'!$P443), 0, 1), 3, if(ISBLANK('2025'!$Q443), 0, 1), 4, if(ISBLANK('2025'!$R443), 0, 1), 5, if(ISBLANK('2025'!$S443), 0, 1), 6, if(ISBLANK('2025'!$T443), 0, 1), 7, 0))), 1, "")</f>
        <v/>
      </c>
      <c r="AH480" s="1" t="str">
        <f>IF(AND(AND(AND(AH$4&gt;='2025'!$L443,AH$4&lt;='2025'!$M443), AH$4&lt;&gt;DATE(2025,7,4)), (SWITCH(weekday(AH$4), 1, 0, 2, if(ISBLANK('2025'!$P443), 0, 1), 3, if(ISBLANK('2025'!$Q443), 0, 1), 4, if(ISBLANK('2025'!$R443), 0, 1), 5, if(ISBLANK('2025'!$S443), 0, 1), 6, if(ISBLANK('2025'!$T443), 0, 1), 7, 0))), 1, "")</f>
        <v/>
      </c>
      <c r="AI480" s="1" t="str">
        <f>IF(AND(AND(AND(AI$4&gt;='2025'!$L443,AI$4&lt;='2025'!$M443), AI$4&lt;&gt;DATE(2025,7,4)), (SWITCH(weekday(AI$4), 1, 0, 2, if(ISBLANK('2025'!$P443), 0, 1), 3, if(ISBLANK('2025'!$Q443), 0, 1), 4, if(ISBLANK('2025'!$R443), 0, 1), 5, if(ISBLANK('2025'!$S443), 0, 1), 6, if(ISBLANK('2025'!$T443), 0, 1), 7, 0))), 1, "")</f>
        <v/>
      </c>
      <c r="AJ480" s="1" t="str">
        <f>IF(AND(AND(AND(AJ$4&gt;='2025'!$L443,AJ$4&lt;='2025'!$M443), AJ$4&lt;&gt;DATE(2025,7,4)), (SWITCH(weekday(AJ$4), 1, 0, 2, if(ISBLANK('2025'!$P443), 0, 1), 3, if(ISBLANK('2025'!$Q443), 0, 1), 4, if(ISBLANK('2025'!$R443), 0, 1), 5, if(ISBLANK('2025'!$S443), 0, 1), 6, if(ISBLANK('2025'!$T443), 0, 1), 7, 0))), 1, "")</f>
        <v/>
      </c>
      <c r="AK480" s="1" t="str">
        <f>IF(AND(AND(AND(AK$4&gt;='2025'!$L443,AK$4&lt;='2025'!$M443), AK$4&lt;&gt;DATE(2025,7,4)), (SWITCH(weekday(AK$4), 1, 0, 2, if(ISBLANK('2025'!$P443), 0, 1), 3, if(ISBLANK('2025'!$Q443), 0, 1), 4, if(ISBLANK('2025'!$R443), 0, 1), 5, if(ISBLANK('2025'!$S443), 0, 1), 6, if(ISBLANK('2025'!$T443), 0, 1), 7, 0))), 1, "")</f>
        <v/>
      </c>
      <c r="AL480" s="1" t="str">
        <f>IF(AND(AND(AND(AL$4&gt;='2025'!$L443,AL$4&lt;='2025'!$M443), AL$4&lt;&gt;DATE(2025,7,4)), (SWITCH(weekday(AL$4), 1, 0, 2, if(ISBLANK('2025'!$P443), 0, 1), 3, if(ISBLANK('2025'!$Q443), 0, 1), 4, if(ISBLANK('2025'!$R443), 0, 1), 5, if(ISBLANK('2025'!$S443), 0, 1), 6, if(ISBLANK('2025'!$T443), 0, 1), 7, 0))), 1, "")</f>
        <v/>
      </c>
      <c r="AM480" s="1" t="str">
        <f>IF(AND(AND(AND(AM$4&gt;='2025'!$L443,AM$4&lt;='2025'!$M443), AM$4&lt;&gt;DATE(2025,7,4)), (SWITCH(weekday(AM$4), 1, 0, 2, if(ISBLANK('2025'!$P443), 0, 1), 3, if(ISBLANK('2025'!$Q443), 0, 1), 4, if(ISBLANK('2025'!$R443), 0, 1), 5, if(ISBLANK('2025'!$S443), 0, 1), 6, if(ISBLANK('2025'!$T443), 0, 1), 7, 0))), 1, "")</f>
        <v/>
      </c>
      <c r="AN480" s="1" t="str">
        <f>IF(AND(AND(AND(AN$4&gt;='2025'!$L443,AN$4&lt;='2025'!$M443), AN$4&lt;&gt;DATE(2025,7,4)), (SWITCH(weekday(AN$4), 1, 0, 2, if(ISBLANK('2025'!$P443), 0, 1), 3, if(ISBLANK('2025'!$Q443), 0, 1), 4, if(ISBLANK('2025'!$R443), 0, 1), 5, if(ISBLANK('2025'!$S443), 0, 1), 6, if(ISBLANK('2025'!$T443), 0, 1), 7, 0))), 1, "")</f>
        <v/>
      </c>
      <c r="AO480" s="1" t="str">
        <f>IF(AND(AND(AND(AO$4&gt;='2025'!$L443,AO$4&lt;='2025'!$M443), AO$4&lt;&gt;DATE(2025,7,4)), (SWITCH(weekday(AO$4), 1, 0, 2, if(ISBLANK('2025'!$P443), 0, 1), 3, if(ISBLANK('2025'!$Q443), 0, 1), 4, if(ISBLANK('2025'!$R443), 0, 1), 5, if(ISBLANK('2025'!$S443), 0, 1), 6, if(ISBLANK('2025'!$T443), 0, 1), 7, 0))), 1, "")</f>
        <v/>
      </c>
      <c r="AP480" s="1" t="str">
        <f>IF(AND(AND(AND(AP$4&gt;='2025'!$L443,AP$4&lt;='2025'!$M443), AP$4&lt;&gt;DATE(2025,7,4)), (SWITCH(weekday(AP$4), 1, 0, 2, if(ISBLANK('2025'!$P443), 0, 1), 3, if(ISBLANK('2025'!$Q443), 0, 1), 4, if(ISBLANK('2025'!$R443), 0, 1), 5, if(ISBLANK('2025'!$S443), 0, 1), 6, if(ISBLANK('2025'!$T443), 0, 1), 7, 0))), 1, "")</f>
        <v/>
      </c>
      <c r="AQ480" s="1" t="str">
        <f>IF(AND(AND(AND(AQ$4&gt;='2025'!$L443,AQ$4&lt;='2025'!$M443), AQ$4&lt;&gt;DATE(2025,7,4)), (SWITCH(weekday(AQ$4), 1, 0, 2, if(ISBLANK('2025'!$P443), 0, 1), 3, if(ISBLANK('2025'!$Q443), 0, 1), 4, if(ISBLANK('2025'!$R443), 0, 1), 5, if(ISBLANK('2025'!$S443), 0, 1), 6, if(ISBLANK('2025'!$T443), 0, 1), 7, 0))), 1, "")</f>
        <v/>
      </c>
      <c r="AR480" s="1" t="str">
        <f>IF(AND(AND(AND(AR$4&gt;='2025'!$L443,AR$4&lt;='2025'!$M443), AR$4&lt;&gt;DATE(2025,7,4)), (SWITCH(weekday(AR$4), 1, 0, 2, if(ISBLANK('2025'!$P443), 0, 1), 3, if(ISBLANK('2025'!$Q443), 0, 1), 4, if(ISBLANK('2025'!$R443), 0, 1), 5, if(ISBLANK('2025'!$S443), 0, 1), 6, if(ISBLANK('2025'!$T443), 0, 1), 7, 0))), 1, "")</f>
        <v/>
      </c>
      <c r="AS480" s="1" t="str">
        <f>IF(AND(AND(AND(AS$4&gt;='2025'!$L443,AS$4&lt;='2025'!$M443), AS$4&lt;&gt;DATE(2025,7,4)), (SWITCH(weekday(AS$4), 1, 0, 2, if(ISBLANK('2025'!$P443), 0, 1), 3, if(ISBLANK('2025'!$Q443), 0, 1), 4, if(ISBLANK('2025'!$R443), 0, 1), 5, if(ISBLANK('2025'!$S443), 0, 1), 6, if(ISBLANK('2025'!$T443), 0, 1), 7, 0))), 1, "")</f>
        <v/>
      </c>
      <c r="AT480" s="1" t="str">
        <f>IF(AND(AND(AND(AT$4&gt;='2025'!$L443,AT$4&lt;='2025'!$M443), AT$4&lt;&gt;DATE(2025,7,4)), (SWITCH(weekday(AT$4), 1, 0, 2, if(ISBLANK('2025'!$P443), 0, 1), 3, if(ISBLANK('2025'!$Q443), 0, 1), 4, if(ISBLANK('2025'!$R443), 0, 1), 5, if(ISBLANK('2025'!$S443), 0, 1), 6, if(ISBLANK('2025'!$T443), 0, 1), 7, 0))), 1, "")</f>
        <v/>
      </c>
      <c r="AU480" s="1" t="str">
        <f>IF(AND(AND(AND(AU$4&gt;='2025'!$L443,AU$4&lt;='2025'!$M443), AU$4&lt;&gt;DATE(2025,7,4)), (SWITCH(weekday(AU$4), 1, 0, 2, if(ISBLANK('2025'!$P443), 0, 1), 3, if(ISBLANK('2025'!$Q443), 0, 1), 4, if(ISBLANK('2025'!$R443), 0, 1), 5, if(ISBLANK('2025'!$S443), 0, 1), 6, if(ISBLANK('2025'!$T443), 0, 1), 7, 0))), 1, "")</f>
        <v/>
      </c>
      <c r="AV480" s="1" t="str">
        <f>IF(AND(AND(AND(AV$4&gt;='2025'!$L443,AV$4&lt;='2025'!$M443), AV$4&lt;&gt;DATE(2025,7,4)), (SWITCH(weekday(AV$4), 1, 0, 2, if(ISBLANK('2025'!$P443), 0, 1), 3, if(ISBLANK('2025'!$Q443), 0, 1), 4, if(ISBLANK('2025'!$R443), 0, 1), 5, if(ISBLANK('2025'!$S443), 0, 1), 6, if(ISBLANK('2025'!$T443), 0, 1), 7, 0))), 1, "")</f>
        <v/>
      </c>
      <c r="AW480" s="1" t="str">
        <f>IF(AND(AND(AND(AW$4&gt;='2025'!$L443,AW$4&lt;='2025'!$M443), AW$4&lt;&gt;DATE(2025,7,4)), (SWITCH(weekday(AW$4), 1, 0, 2, if(ISBLANK('2025'!$P443), 0, 1), 3, if(ISBLANK('2025'!$Q443), 0, 1), 4, if(ISBLANK('2025'!$R443), 0, 1), 5, if(ISBLANK('2025'!$S443), 0, 1), 6, if(ISBLANK('2025'!$T443), 0, 1), 7, 0))), 1, "")</f>
        <v/>
      </c>
      <c r="AX480" s="1" t="str">
        <f>IF(AND(AND(AND(AX$4&gt;='2025'!$L443,AX$4&lt;='2025'!$M443), AX$4&lt;&gt;DATE(2025,7,4)), (SWITCH(weekday(AX$4), 1, 0, 2, if(ISBLANK('2025'!$P443), 0, 1), 3, if(ISBLANK('2025'!$Q443), 0, 1), 4, if(ISBLANK('2025'!$R443), 0, 1), 5, if(ISBLANK('2025'!$S443), 0, 1), 6, if(ISBLANK('2025'!$T443), 0, 1), 7, 0))), 1, "")</f>
        <v/>
      </c>
      <c r="AY480" s="1" t="str">
        <f>IF(AND(AND(AND(AY$4&gt;='2025'!$L443,AY$4&lt;='2025'!$M443), AY$4&lt;&gt;DATE(2025,7,4)), (SWITCH(weekday(AY$4), 1, 0, 2, if(ISBLANK('2025'!$P443), 0, 1), 3, if(ISBLANK('2025'!$Q443), 0, 1), 4, if(ISBLANK('2025'!$R443), 0, 1), 5, if(ISBLANK('2025'!$S443), 0, 1), 6, if(ISBLANK('2025'!$T443), 0, 1), 7, 0))), 1, "")</f>
        <v/>
      </c>
      <c r="AZ480" s="1" t="str">
        <f>IF(AND(AND(AND(AZ$4&gt;='2025'!$L443,AZ$4&lt;='2025'!$M443), AZ$4&lt;&gt;DATE(2025,7,4)), (SWITCH(weekday(AZ$4), 1, 0, 2, if(ISBLANK('2025'!$P443), 0, 1), 3, if(ISBLANK('2025'!$Q443), 0, 1), 4, if(ISBLANK('2025'!$R443), 0, 1), 5, if(ISBLANK('2025'!$S443), 0, 1), 6, if(ISBLANK('2025'!$T443), 0, 1), 7, 0))), 1, "")</f>
        <v/>
      </c>
      <c r="BA480" s="1" t="str">
        <f>IF(AND(AND(AND(BA$4&gt;='2025'!$L443,BA$4&lt;='2025'!$M443), BA$4&lt;&gt;DATE(2025,7,4)), (SWITCH(weekday(BA$4), 1, 0, 2, if(ISBLANK('2025'!$P443), 0, 1), 3, if(ISBLANK('2025'!$Q443), 0, 1), 4, if(ISBLANK('2025'!$R443), 0, 1), 5, if(ISBLANK('2025'!$S443), 0, 1), 6, if(ISBLANK('2025'!$T443), 0, 1), 7, 0))), 1, "")</f>
        <v/>
      </c>
      <c r="BB480" s="1" t="str">
        <f>IF(AND(AND(AND(BB$4&gt;='2025'!$L443,BB$4&lt;='2025'!$M443), BB$4&lt;&gt;DATE(2025,7,4)), (SWITCH(weekday(BB$4), 1, 0, 2, if(ISBLANK('2025'!$P443), 0, 1), 3, if(ISBLANK('2025'!$Q443), 0, 1), 4, if(ISBLANK('2025'!$R443), 0, 1), 5, if(ISBLANK('2025'!$S443), 0, 1), 6, if(ISBLANK('2025'!$T443), 0, 1), 7, 0))), 1, "")</f>
        <v/>
      </c>
      <c r="BC480" s="1" t="str">
        <f>IF(AND(AND(AND(BC$4&gt;='2025'!$L443,BC$4&lt;='2025'!$M443), BC$4&lt;&gt;DATE(2025,7,4)), (SWITCH(weekday(BC$4), 1, 0, 2, if(ISBLANK('2025'!$P443), 0, 1), 3, if(ISBLANK('2025'!$Q443), 0, 1), 4, if(ISBLANK('2025'!$R443), 0, 1), 5, if(ISBLANK('2025'!$S443), 0, 1), 6, if(ISBLANK('2025'!$T443), 0, 1), 7, 0))), 1, "")</f>
        <v/>
      </c>
      <c r="BD480" s="1" t="str">
        <f>IF(AND(AND(AND(BD$4&gt;='2025'!$L443,BD$4&lt;='2025'!$M443), BD$4&lt;&gt;DATE(2025,7,4)), (SWITCH(weekday(BD$4), 1, 0, 2, if(ISBLANK('2025'!$P443), 0, 1), 3, if(ISBLANK('2025'!$Q443), 0, 1), 4, if(ISBLANK('2025'!$R443), 0, 1), 5, if(ISBLANK('2025'!$S443), 0, 1), 6, if(ISBLANK('2025'!$T443), 0, 1), 7, 0))), 1, "")</f>
        <v/>
      </c>
      <c r="BE480" s="1" t="str">
        <f>IF(AND(AND(AND(BE$4&gt;='2025'!$L443,BE$4&lt;='2025'!$M443), BE$4&lt;&gt;DATE(2025,7,4)), (SWITCH(weekday(BE$4), 1, 0, 2, if(ISBLANK('2025'!$P443), 0, 1), 3, if(ISBLANK('2025'!$Q443), 0, 1), 4, if(ISBLANK('2025'!$R443), 0, 1), 5, if(ISBLANK('2025'!$S443), 0, 1), 6, if(ISBLANK('2025'!$T443), 0, 1), 7, 0))), 1, "")</f>
        <v/>
      </c>
    </row>
    <row r="481">
      <c r="A481" s="1">
        <f t="shared" si="3"/>
        <v>481</v>
      </c>
      <c r="B481" s="1" t="str">
        <f>'2025'!D444</f>
        <v/>
      </c>
      <c r="C481" s="1" t="str">
        <f>'2025'!H444</f>
        <v/>
      </c>
      <c r="D481" s="1" t="str">
        <f>IF(AND(AND(AND(D$4&gt;='2025'!$L444,D$4&lt;='2025'!$M444), D$4&lt;&gt;DATE(2025,7,4)), (SWITCH(weekday(D$4), 1, 0, 2, if(ISBLANK('2025'!$P444), 0, 1), 3, if(ISBLANK('2025'!$Q444), 0, 1), 4, if(ISBLANK('2025'!$R444), 0, 1), 5, if(ISBLANK('2025'!$S444), 0, 1), 6, if(ISBLANK('2025'!$T444), 0, 1), 7, 0))), 1, "")</f>
        <v/>
      </c>
      <c r="E481" s="1" t="str">
        <f>IF(AND(AND(AND(E$4&gt;='2025'!$L444,E$4&lt;='2025'!$M444), E$4&lt;&gt;DATE(2025,7,4)), (SWITCH(weekday(E$4), 1, 0, 2, if(ISBLANK('2025'!$P444), 0, 1), 3, if(ISBLANK('2025'!$Q444), 0, 1), 4, if(ISBLANK('2025'!$R444), 0, 1), 5, if(ISBLANK('2025'!$S444), 0, 1), 6, if(ISBLANK('2025'!$T444), 0, 1), 7, 0))), 1, "")</f>
        <v/>
      </c>
      <c r="F481" s="1" t="str">
        <f>IF(AND(AND(AND(F$4&gt;='2025'!$L444,F$4&lt;='2025'!$M444), F$4&lt;&gt;DATE(2025,7,4)), (SWITCH(weekday(F$4), 1, 0, 2, if(ISBLANK('2025'!$P444), 0, 1), 3, if(ISBLANK('2025'!$Q444), 0, 1), 4, if(ISBLANK('2025'!$R444), 0, 1), 5, if(ISBLANK('2025'!$S444), 0, 1), 6, if(ISBLANK('2025'!$T444), 0, 1), 7, 0))), 1, "")</f>
        <v/>
      </c>
      <c r="G481" s="1" t="str">
        <f>IF(AND(AND(AND(G$4&gt;='2025'!$L444,G$4&lt;='2025'!$M444), G$4&lt;&gt;DATE(2025,7,4)), (SWITCH(weekday(G$4), 1, 0, 2, if(ISBLANK('2025'!$P444), 0, 1), 3, if(ISBLANK('2025'!$Q444), 0, 1), 4, if(ISBLANK('2025'!$R444), 0, 1), 5, if(ISBLANK('2025'!$S444), 0, 1), 6, if(ISBLANK('2025'!$T444), 0, 1), 7, 0))), 1, "")</f>
        <v/>
      </c>
      <c r="H481" s="1" t="str">
        <f>IF(AND(AND(AND(H$4&gt;='2025'!$L444,H$4&lt;='2025'!$M444), H$4&lt;&gt;DATE(2025,7,4)), (SWITCH(weekday(H$4), 1, 0, 2, if(ISBLANK('2025'!$P444), 0, 1), 3, if(ISBLANK('2025'!$Q444), 0, 1), 4, if(ISBLANK('2025'!$R444), 0, 1), 5, if(ISBLANK('2025'!$S444), 0, 1), 6, if(ISBLANK('2025'!$T444), 0, 1), 7, 0))), 1, "")</f>
        <v/>
      </c>
      <c r="I481" s="1" t="str">
        <f>IF(AND(AND(AND(I$4&gt;='2025'!$L444,I$4&lt;='2025'!$M444), I$4&lt;&gt;DATE(2025,7,4)), (SWITCH(weekday(I$4), 1, 0, 2, if(ISBLANK('2025'!$P444), 0, 1), 3, if(ISBLANK('2025'!$Q444), 0, 1), 4, if(ISBLANK('2025'!$R444), 0, 1), 5, if(ISBLANK('2025'!$S444), 0, 1), 6, if(ISBLANK('2025'!$T444), 0, 1), 7, 0))), 1, "")</f>
        <v/>
      </c>
      <c r="J481" s="1" t="str">
        <f>IF(AND(AND(AND(J$4&gt;='2025'!$L444,J$4&lt;='2025'!$M444), J$4&lt;&gt;DATE(2025,7,4)), (SWITCH(weekday(J$4), 1, 0, 2, if(ISBLANK('2025'!$P444), 0, 1), 3, if(ISBLANK('2025'!$Q444), 0, 1), 4, if(ISBLANK('2025'!$R444), 0, 1), 5, if(ISBLANK('2025'!$S444), 0, 1), 6, if(ISBLANK('2025'!$T444), 0, 1), 7, 0))), 1, "")</f>
        <v/>
      </c>
      <c r="K481" s="1" t="str">
        <f>IF(AND(AND(AND(K$4&gt;='2025'!$L444,K$4&lt;='2025'!$M444), K$4&lt;&gt;DATE(2025,7,4)), (SWITCH(weekday(K$4), 1, 0, 2, if(ISBLANK('2025'!$P444), 0, 1), 3, if(ISBLANK('2025'!$Q444), 0, 1), 4, if(ISBLANK('2025'!$R444), 0, 1), 5, if(ISBLANK('2025'!$S444), 0, 1), 6, if(ISBLANK('2025'!$T444), 0, 1), 7, 0))), 1, "")</f>
        <v/>
      </c>
      <c r="L481" s="1" t="str">
        <f>IF(AND(AND(AND(L$4&gt;='2025'!$L444,L$4&lt;='2025'!$M444), L$4&lt;&gt;DATE(2025,7,4)), (SWITCH(weekday(L$4), 1, 0, 2, if(ISBLANK('2025'!$P444), 0, 1), 3, if(ISBLANK('2025'!$Q444), 0, 1), 4, if(ISBLANK('2025'!$R444), 0, 1), 5, if(ISBLANK('2025'!$S444), 0, 1), 6, if(ISBLANK('2025'!$T444), 0, 1), 7, 0))), 1, "")</f>
        <v/>
      </c>
      <c r="M481" s="1" t="str">
        <f>IF(AND(AND(AND(M$4&gt;='2025'!$L444,M$4&lt;='2025'!$M444), M$4&lt;&gt;DATE(2025,7,4)), (SWITCH(weekday(M$4), 1, 0, 2, if(ISBLANK('2025'!$P444), 0, 1), 3, if(ISBLANK('2025'!$Q444), 0, 1), 4, if(ISBLANK('2025'!$R444), 0, 1), 5, if(ISBLANK('2025'!$S444), 0, 1), 6, if(ISBLANK('2025'!$T444), 0, 1), 7, 0))), 1, "")</f>
        <v/>
      </c>
      <c r="N481" s="1" t="str">
        <f>IF(AND(AND(AND(N$4&gt;='2025'!$L444,N$4&lt;='2025'!$M444), N$4&lt;&gt;DATE(2025,7,4)), (SWITCH(weekday(N$4), 1, 0, 2, if(ISBLANK('2025'!$P444), 0, 1), 3, if(ISBLANK('2025'!$Q444), 0, 1), 4, if(ISBLANK('2025'!$R444), 0, 1), 5, if(ISBLANK('2025'!$S444), 0, 1), 6, if(ISBLANK('2025'!$T444), 0, 1), 7, 0))), 1, "")</f>
        <v/>
      </c>
      <c r="O481" s="1" t="str">
        <f>IF(AND(AND(AND(O$4&gt;='2025'!$L444,O$4&lt;='2025'!$M444), O$4&lt;&gt;DATE(2025,7,4)), (SWITCH(weekday(O$4), 1, 0, 2, if(ISBLANK('2025'!$P444), 0, 1), 3, if(ISBLANK('2025'!$Q444), 0, 1), 4, if(ISBLANK('2025'!$R444), 0, 1), 5, if(ISBLANK('2025'!$S444), 0, 1), 6, if(ISBLANK('2025'!$T444), 0, 1), 7, 0))), 1, "")</f>
        <v/>
      </c>
      <c r="P481" s="1" t="str">
        <f>IF(AND(AND(AND(P$4&gt;='2025'!$L444,P$4&lt;='2025'!$M444), P$4&lt;&gt;DATE(2025,7,4)), (SWITCH(weekday(P$4), 1, 0, 2, if(ISBLANK('2025'!$P444), 0, 1), 3, if(ISBLANK('2025'!$Q444), 0, 1), 4, if(ISBLANK('2025'!$R444), 0, 1), 5, if(ISBLANK('2025'!$S444), 0, 1), 6, if(ISBLANK('2025'!$T444), 0, 1), 7, 0))), 1, "")</f>
        <v/>
      </c>
      <c r="Q481" s="1" t="str">
        <f>IF(AND(AND(AND(Q$4&gt;='2025'!$L444,Q$4&lt;='2025'!$M444), Q$4&lt;&gt;DATE(2025,7,4)), (SWITCH(weekday(Q$4), 1, 0, 2, if(ISBLANK('2025'!$P444), 0, 1), 3, if(ISBLANK('2025'!$Q444), 0, 1), 4, if(ISBLANK('2025'!$R444), 0, 1), 5, if(ISBLANK('2025'!$S444), 0, 1), 6, if(ISBLANK('2025'!$T444), 0, 1), 7, 0))), 1, "")</f>
        <v/>
      </c>
      <c r="R481" s="1" t="str">
        <f>IF(AND(AND(AND(R$4&gt;='2025'!$L444,R$4&lt;='2025'!$M444), R$4&lt;&gt;DATE(2025,7,4)), (SWITCH(weekday(R$4), 1, 0, 2, if(ISBLANK('2025'!$P444), 0, 1), 3, if(ISBLANK('2025'!$Q444), 0, 1), 4, if(ISBLANK('2025'!$R444), 0, 1), 5, if(ISBLANK('2025'!$S444), 0, 1), 6, if(ISBLANK('2025'!$T444), 0, 1), 7, 0))), 1, "")</f>
        <v/>
      </c>
      <c r="S481" s="1" t="str">
        <f>IF(AND(AND(AND(S$4&gt;='2025'!$L444,S$4&lt;='2025'!$M444), S$4&lt;&gt;DATE(2025,7,4)), (SWITCH(weekday(S$4), 1, 0, 2, if(ISBLANK('2025'!$P444), 0, 1), 3, if(ISBLANK('2025'!$Q444), 0, 1), 4, if(ISBLANK('2025'!$R444), 0, 1), 5, if(ISBLANK('2025'!$S444), 0, 1), 6, if(ISBLANK('2025'!$T444), 0, 1), 7, 0))), 1, "")</f>
        <v/>
      </c>
      <c r="T481" s="1" t="str">
        <f>IF(AND(AND(AND(T$4&gt;='2025'!$L444,T$4&lt;='2025'!$M444), T$4&lt;&gt;DATE(2025,7,4)), (SWITCH(weekday(T$4), 1, 0, 2, if(ISBLANK('2025'!$P444), 0, 1), 3, if(ISBLANK('2025'!$Q444), 0, 1), 4, if(ISBLANK('2025'!$R444), 0, 1), 5, if(ISBLANK('2025'!$S444), 0, 1), 6, if(ISBLANK('2025'!$T444), 0, 1), 7, 0))), 1, "")</f>
        <v/>
      </c>
      <c r="U481" s="1" t="str">
        <f>IF(AND(AND(AND(U$4&gt;='2025'!$L444,U$4&lt;='2025'!$M444), U$4&lt;&gt;DATE(2025,7,4)), (SWITCH(weekday(U$4), 1, 0, 2, if(ISBLANK('2025'!$P444), 0, 1), 3, if(ISBLANK('2025'!$Q444), 0, 1), 4, if(ISBLANK('2025'!$R444), 0, 1), 5, if(ISBLANK('2025'!$S444), 0, 1), 6, if(ISBLANK('2025'!$T444), 0, 1), 7, 0))), 1, "")</f>
        <v/>
      </c>
      <c r="V481" s="1" t="str">
        <f>IF(AND(AND(AND(V$4&gt;='2025'!$L444,V$4&lt;='2025'!$M444), V$4&lt;&gt;DATE(2025,7,4)), (SWITCH(weekday(V$4), 1, 0, 2, if(ISBLANK('2025'!$P444), 0, 1), 3, if(ISBLANK('2025'!$Q444), 0, 1), 4, if(ISBLANK('2025'!$R444), 0, 1), 5, if(ISBLANK('2025'!$S444), 0, 1), 6, if(ISBLANK('2025'!$T444), 0, 1), 7, 0))), 1, "")</f>
        <v/>
      </c>
      <c r="W481" s="1" t="str">
        <f>IF(AND(AND(AND(W$4&gt;='2025'!$L444,W$4&lt;='2025'!$M444), W$4&lt;&gt;DATE(2025,7,4)), (SWITCH(weekday(W$4), 1, 0, 2, if(ISBLANK('2025'!$P444), 0, 1), 3, if(ISBLANK('2025'!$Q444), 0, 1), 4, if(ISBLANK('2025'!$R444), 0, 1), 5, if(ISBLANK('2025'!$S444), 0, 1), 6, if(ISBLANK('2025'!$T444), 0, 1), 7, 0))), 1, "")</f>
        <v/>
      </c>
      <c r="X481" s="1" t="str">
        <f>IF(AND(AND(AND(X$4&gt;='2025'!$L444,X$4&lt;='2025'!$M444), X$4&lt;&gt;DATE(2025,7,4)), (SWITCH(weekday(X$4), 1, 0, 2, if(ISBLANK('2025'!$P444), 0, 1), 3, if(ISBLANK('2025'!$Q444), 0, 1), 4, if(ISBLANK('2025'!$R444), 0, 1), 5, if(ISBLANK('2025'!$S444), 0, 1), 6, if(ISBLANK('2025'!$T444), 0, 1), 7, 0))), 1, "")</f>
        <v/>
      </c>
      <c r="Y481" s="1" t="str">
        <f>IF(AND(AND(AND(Y$4&gt;='2025'!$L444,Y$4&lt;='2025'!$M444), Y$4&lt;&gt;DATE(2025,7,4)), (SWITCH(weekday(Y$4), 1, 0, 2, if(ISBLANK('2025'!$P444), 0, 1), 3, if(ISBLANK('2025'!$Q444), 0, 1), 4, if(ISBLANK('2025'!$R444), 0, 1), 5, if(ISBLANK('2025'!$S444), 0, 1), 6, if(ISBLANK('2025'!$T444), 0, 1), 7, 0))), 1, "")</f>
        <v/>
      </c>
      <c r="Z481" s="1" t="str">
        <f>IF(AND(AND(AND(Z$4&gt;='2025'!$L444,Z$4&lt;='2025'!$M444), Z$4&lt;&gt;DATE(2025,7,4)), (SWITCH(weekday(Z$4), 1, 0, 2, if(ISBLANK('2025'!$P444), 0, 1), 3, if(ISBLANK('2025'!$Q444), 0, 1), 4, if(ISBLANK('2025'!$R444), 0, 1), 5, if(ISBLANK('2025'!$S444), 0, 1), 6, if(ISBLANK('2025'!$T444), 0, 1), 7, 0))), 1, "")</f>
        <v/>
      </c>
      <c r="AA481" s="1" t="str">
        <f>IF(AND(AND(AND(AA$4&gt;='2025'!$L444,AA$4&lt;='2025'!$M444), AA$4&lt;&gt;DATE(2025,7,4)), (SWITCH(weekday(AA$4), 1, 0, 2, if(ISBLANK('2025'!$P444), 0, 1), 3, if(ISBLANK('2025'!$Q444), 0, 1), 4, if(ISBLANK('2025'!$R444), 0, 1), 5, if(ISBLANK('2025'!$S444), 0, 1), 6, if(ISBLANK('2025'!$T444), 0, 1), 7, 0))), 1, "")</f>
        <v/>
      </c>
      <c r="AB481" s="1" t="str">
        <f>IF(AND(AND(AND(AB$4&gt;='2025'!$L444,AB$4&lt;='2025'!$M444), AB$4&lt;&gt;DATE(2025,7,4)), (SWITCH(weekday(AB$4), 1, 0, 2, if(ISBLANK('2025'!$P444), 0, 1), 3, if(ISBLANK('2025'!$Q444), 0, 1), 4, if(ISBLANK('2025'!$R444), 0, 1), 5, if(ISBLANK('2025'!$S444), 0, 1), 6, if(ISBLANK('2025'!$T444), 0, 1), 7, 0))), 1, "")</f>
        <v/>
      </c>
      <c r="AC481" s="1" t="str">
        <f>IF(AND(AND(AND(AC$4&gt;='2025'!$L444,AC$4&lt;='2025'!$M444), AC$4&lt;&gt;DATE(2025,7,4)), (SWITCH(weekday(AC$4), 1, 0, 2, if(ISBLANK('2025'!$P444), 0, 1), 3, if(ISBLANK('2025'!$Q444), 0, 1), 4, if(ISBLANK('2025'!$R444), 0, 1), 5, if(ISBLANK('2025'!$S444), 0, 1), 6, if(ISBLANK('2025'!$T444), 0, 1), 7, 0))), 1, "")</f>
        <v/>
      </c>
      <c r="AD481" s="1" t="str">
        <f>IF(AND(AND(AND(AD$4&gt;='2025'!$L444,AD$4&lt;='2025'!$M444), AD$4&lt;&gt;DATE(2025,7,4)), (SWITCH(weekday(AD$4), 1, 0, 2, if(ISBLANK('2025'!$P444), 0, 1), 3, if(ISBLANK('2025'!$Q444), 0, 1), 4, if(ISBLANK('2025'!$R444), 0, 1), 5, if(ISBLANK('2025'!$S444), 0, 1), 6, if(ISBLANK('2025'!$T444), 0, 1), 7, 0))), 1, "")</f>
        <v/>
      </c>
      <c r="AE481" s="1" t="str">
        <f>IF(AND(AND(AND(AE$4&gt;='2025'!$L444,AE$4&lt;='2025'!$M444), AE$4&lt;&gt;DATE(2025,7,4)), (SWITCH(weekday(AE$4), 1, 0, 2, if(ISBLANK('2025'!$P444), 0, 1), 3, if(ISBLANK('2025'!$Q444), 0, 1), 4, if(ISBLANK('2025'!$R444), 0, 1), 5, if(ISBLANK('2025'!$S444), 0, 1), 6, if(ISBLANK('2025'!$T444), 0, 1), 7, 0))), 1, "")</f>
        <v/>
      </c>
      <c r="AF481" s="1" t="str">
        <f>IF(AND(AND(AND(AF$4&gt;='2025'!$L444,AF$4&lt;='2025'!$M444), AF$4&lt;&gt;DATE(2025,7,4)), (SWITCH(weekday(AF$4), 1, 0, 2, if(ISBLANK('2025'!$P444), 0, 1), 3, if(ISBLANK('2025'!$Q444), 0, 1), 4, if(ISBLANK('2025'!$R444), 0, 1), 5, if(ISBLANK('2025'!$S444), 0, 1), 6, if(ISBLANK('2025'!$T444), 0, 1), 7, 0))), 1, "")</f>
        <v/>
      </c>
      <c r="AG481" s="1" t="str">
        <f>IF(AND(AND(AND(AG$4&gt;='2025'!$L444,AG$4&lt;='2025'!$M444), AG$4&lt;&gt;DATE(2025,7,4)), (SWITCH(weekday(AG$4), 1, 0, 2, if(ISBLANK('2025'!$P444), 0, 1), 3, if(ISBLANK('2025'!$Q444), 0, 1), 4, if(ISBLANK('2025'!$R444), 0, 1), 5, if(ISBLANK('2025'!$S444), 0, 1), 6, if(ISBLANK('2025'!$T444), 0, 1), 7, 0))), 1, "")</f>
        <v/>
      </c>
      <c r="AH481" s="1" t="str">
        <f>IF(AND(AND(AND(AH$4&gt;='2025'!$L444,AH$4&lt;='2025'!$M444), AH$4&lt;&gt;DATE(2025,7,4)), (SWITCH(weekday(AH$4), 1, 0, 2, if(ISBLANK('2025'!$P444), 0, 1), 3, if(ISBLANK('2025'!$Q444), 0, 1), 4, if(ISBLANK('2025'!$R444), 0, 1), 5, if(ISBLANK('2025'!$S444), 0, 1), 6, if(ISBLANK('2025'!$T444), 0, 1), 7, 0))), 1, "")</f>
        <v/>
      </c>
      <c r="AI481" s="1" t="str">
        <f>IF(AND(AND(AND(AI$4&gt;='2025'!$L444,AI$4&lt;='2025'!$M444), AI$4&lt;&gt;DATE(2025,7,4)), (SWITCH(weekday(AI$4), 1, 0, 2, if(ISBLANK('2025'!$P444), 0, 1), 3, if(ISBLANK('2025'!$Q444), 0, 1), 4, if(ISBLANK('2025'!$R444), 0, 1), 5, if(ISBLANK('2025'!$S444), 0, 1), 6, if(ISBLANK('2025'!$T444), 0, 1), 7, 0))), 1, "")</f>
        <v/>
      </c>
      <c r="AJ481" s="1" t="str">
        <f>IF(AND(AND(AND(AJ$4&gt;='2025'!$L444,AJ$4&lt;='2025'!$M444), AJ$4&lt;&gt;DATE(2025,7,4)), (SWITCH(weekday(AJ$4), 1, 0, 2, if(ISBLANK('2025'!$P444), 0, 1), 3, if(ISBLANK('2025'!$Q444), 0, 1), 4, if(ISBLANK('2025'!$R444), 0, 1), 5, if(ISBLANK('2025'!$S444), 0, 1), 6, if(ISBLANK('2025'!$T444), 0, 1), 7, 0))), 1, "")</f>
        <v/>
      </c>
      <c r="AK481" s="1" t="str">
        <f>IF(AND(AND(AND(AK$4&gt;='2025'!$L444,AK$4&lt;='2025'!$M444), AK$4&lt;&gt;DATE(2025,7,4)), (SWITCH(weekday(AK$4), 1, 0, 2, if(ISBLANK('2025'!$P444), 0, 1), 3, if(ISBLANK('2025'!$Q444), 0, 1), 4, if(ISBLANK('2025'!$R444), 0, 1), 5, if(ISBLANK('2025'!$S444), 0, 1), 6, if(ISBLANK('2025'!$T444), 0, 1), 7, 0))), 1, "")</f>
        <v/>
      </c>
      <c r="AL481" s="1" t="str">
        <f>IF(AND(AND(AND(AL$4&gt;='2025'!$L444,AL$4&lt;='2025'!$M444), AL$4&lt;&gt;DATE(2025,7,4)), (SWITCH(weekday(AL$4), 1, 0, 2, if(ISBLANK('2025'!$P444), 0, 1), 3, if(ISBLANK('2025'!$Q444), 0, 1), 4, if(ISBLANK('2025'!$R444), 0, 1), 5, if(ISBLANK('2025'!$S444), 0, 1), 6, if(ISBLANK('2025'!$T444), 0, 1), 7, 0))), 1, "")</f>
        <v/>
      </c>
      <c r="AM481" s="1" t="str">
        <f>IF(AND(AND(AND(AM$4&gt;='2025'!$L444,AM$4&lt;='2025'!$M444), AM$4&lt;&gt;DATE(2025,7,4)), (SWITCH(weekday(AM$4), 1, 0, 2, if(ISBLANK('2025'!$P444), 0, 1), 3, if(ISBLANK('2025'!$Q444), 0, 1), 4, if(ISBLANK('2025'!$R444), 0, 1), 5, if(ISBLANK('2025'!$S444), 0, 1), 6, if(ISBLANK('2025'!$T444), 0, 1), 7, 0))), 1, "")</f>
        <v/>
      </c>
      <c r="AN481" s="1" t="str">
        <f>IF(AND(AND(AND(AN$4&gt;='2025'!$L444,AN$4&lt;='2025'!$M444), AN$4&lt;&gt;DATE(2025,7,4)), (SWITCH(weekday(AN$4), 1, 0, 2, if(ISBLANK('2025'!$P444), 0, 1), 3, if(ISBLANK('2025'!$Q444), 0, 1), 4, if(ISBLANK('2025'!$R444), 0, 1), 5, if(ISBLANK('2025'!$S444), 0, 1), 6, if(ISBLANK('2025'!$T444), 0, 1), 7, 0))), 1, "")</f>
        <v/>
      </c>
      <c r="AO481" s="1" t="str">
        <f>IF(AND(AND(AND(AO$4&gt;='2025'!$L444,AO$4&lt;='2025'!$M444), AO$4&lt;&gt;DATE(2025,7,4)), (SWITCH(weekday(AO$4), 1, 0, 2, if(ISBLANK('2025'!$P444), 0, 1), 3, if(ISBLANK('2025'!$Q444), 0, 1), 4, if(ISBLANK('2025'!$R444), 0, 1), 5, if(ISBLANK('2025'!$S444), 0, 1), 6, if(ISBLANK('2025'!$T444), 0, 1), 7, 0))), 1, "")</f>
        <v/>
      </c>
      <c r="AP481" s="1" t="str">
        <f>IF(AND(AND(AND(AP$4&gt;='2025'!$L444,AP$4&lt;='2025'!$M444), AP$4&lt;&gt;DATE(2025,7,4)), (SWITCH(weekday(AP$4), 1, 0, 2, if(ISBLANK('2025'!$P444), 0, 1), 3, if(ISBLANK('2025'!$Q444), 0, 1), 4, if(ISBLANK('2025'!$R444), 0, 1), 5, if(ISBLANK('2025'!$S444), 0, 1), 6, if(ISBLANK('2025'!$T444), 0, 1), 7, 0))), 1, "")</f>
        <v/>
      </c>
      <c r="AQ481" s="1" t="str">
        <f>IF(AND(AND(AND(AQ$4&gt;='2025'!$L444,AQ$4&lt;='2025'!$M444), AQ$4&lt;&gt;DATE(2025,7,4)), (SWITCH(weekday(AQ$4), 1, 0, 2, if(ISBLANK('2025'!$P444), 0, 1), 3, if(ISBLANK('2025'!$Q444), 0, 1), 4, if(ISBLANK('2025'!$R444), 0, 1), 5, if(ISBLANK('2025'!$S444), 0, 1), 6, if(ISBLANK('2025'!$T444), 0, 1), 7, 0))), 1, "")</f>
        <v/>
      </c>
      <c r="AR481" s="1" t="str">
        <f>IF(AND(AND(AND(AR$4&gt;='2025'!$L444,AR$4&lt;='2025'!$M444), AR$4&lt;&gt;DATE(2025,7,4)), (SWITCH(weekday(AR$4), 1, 0, 2, if(ISBLANK('2025'!$P444), 0, 1), 3, if(ISBLANK('2025'!$Q444), 0, 1), 4, if(ISBLANK('2025'!$R444), 0, 1), 5, if(ISBLANK('2025'!$S444), 0, 1), 6, if(ISBLANK('2025'!$T444), 0, 1), 7, 0))), 1, "")</f>
        <v/>
      </c>
      <c r="AS481" s="1" t="str">
        <f>IF(AND(AND(AND(AS$4&gt;='2025'!$L444,AS$4&lt;='2025'!$M444), AS$4&lt;&gt;DATE(2025,7,4)), (SWITCH(weekday(AS$4), 1, 0, 2, if(ISBLANK('2025'!$P444), 0, 1), 3, if(ISBLANK('2025'!$Q444), 0, 1), 4, if(ISBLANK('2025'!$R444), 0, 1), 5, if(ISBLANK('2025'!$S444), 0, 1), 6, if(ISBLANK('2025'!$T444), 0, 1), 7, 0))), 1, "")</f>
        <v/>
      </c>
      <c r="AT481" s="1" t="str">
        <f>IF(AND(AND(AND(AT$4&gt;='2025'!$L444,AT$4&lt;='2025'!$M444), AT$4&lt;&gt;DATE(2025,7,4)), (SWITCH(weekday(AT$4), 1, 0, 2, if(ISBLANK('2025'!$P444), 0, 1), 3, if(ISBLANK('2025'!$Q444), 0, 1), 4, if(ISBLANK('2025'!$R444), 0, 1), 5, if(ISBLANK('2025'!$S444), 0, 1), 6, if(ISBLANK('2025'!$T444), 0, 1), 7, 0))), 1, "")</f>
        <v/>
      </c>
      <c r="AU481" s="1" t="str">
        <f>IF(AND(AND(AND(AU$4&gt;='2025'!$L444,AU$4&lt;='2025'!$M444), AU$4&lt;&gt;DATE(2025,7,4)), (SWITCH(weekday(AU$4), 1, 0, 2, if(ISBLANK('2025'!$P444), 0, 1), 3, if(ISBLANK('2025'!$Q444), 0, 1), 4, if(ISBLANK('2025'!$R444), 0, 1), 5, if(ISBLANK('2025'!$S444), 0, 1), 6, if(ISBLANK('2025'!$T444), 0, 1), 7, 0))), 1, "")</f>
        <v/>
      </c>
      <c r="AV481" s="1" t="str">
        <f>IF(AND(AND(AND(AV$4&gt;='2025'!$L444,AV$4&lt;='2025'!$M444), AV$4&lt;&gt;DATE(2025,7,4)), (SWITCH(weekday(AV$4), 1, 0, 2, if(ISBLANK('2025'!$P444), 0, 1), 3, if(ISBLANK('2025'!$Q444), 0, 1), 4, if(ISBLANK('2025'!$R444), 0, 1), 5, if(ISBLANK('2025'!$S444), 0, 1), 6, if(ISBLANK('2025'!$T444), 0, 1), 7, 0))), 1, "")</f>
        <v/>
      </c>
      <c r="AW481" s="1" t="str">
        <f>IF(AND(AND(AND(AW$4&gt;='2025'!$L444,AW$4&lt;='2025'!$M444), AW$4&lt;&gt;DATE(2025,7,4)), (SWITCH(weekday(AW$4), 1, 0, 2, if(ISBLANK('2025'!$P444), 0, 1), 3, if(ISBLANK('2025'!$Q444), 0, 1), 4, if(ISBLANK('2025'!$R444), 0, 1), 5, if(ISBLANK('2025'!$S444), 0, 1), 6, if(ISBLANK('2025'!$T444), 0, 1), 7, 0))), 1, "")</f>
        <v/>
      </c>
      <c r="AX481" s="1" t="str">
        <f>IF(AND(AND(AND(AX$4&gt;='2025'!$L444,AX$4&lt;='2025'!$M444), AX$4&lt;&gt;DATE(2025,7,4)), (SWITCH(weekday(AX$4), 1, 0, 2, if(ISBLANK('2025'!$P444), 0, 1), 3, if(ISBLANK('2025'!$Q444), 0, 1), 4, if(ISBLANK('2025'!$R444), 0, 1), 5, if(ISBLANK('2025'!$S444), 0, 1), 6, if(ISBLANK('2025'!$T444), 0, 1), 7, 0))), 1, "")</f>
        <v/>
      </c>
      <c r="AY481" s="1" t="str">
        <f>IF(AND(AND(AND(AY$4&gt;='2025'!$L444,AY$4&lt;='2025'!$M444), AY$4&lt;&gt;DATE(2025,7,4)), (SWITCH(weekday(AY$4), 1, 0, 2, if(ISBLANK('2025'!$P444), 0, 1), 3, if(ISBLANK('2025'!$Q444), 0, 1), 4, if(ISBLANK('2025'!$R444), 0, 1), 5, if(ISBLANK('2025'!$S444), 0, 1), 6, if(ISBLANK('2025'!$T444), 0, 1), 7, 0))), 1, "")</f>
        <v/>
      </c>
      <c r="AZ481" s="1" t="str">
        <f>IF(AND(AND(AND(AZ$4&gt;='2025'!$L444,AZ$4&lt;='2025'!$M444), AZ$4&lt;&gt;DATE(2025,7,4)), (SWITCH(weekday(AZ$4), 1, 0, 2, if(ISBLANK('2025'!$P444), 0, 1), 3, if(ISBLANK('2025'!$Q444), 0, 1), 4, if(ISBLANK('2025'!$R444), 0, 1), 5, if(ISBLANK('2025'!$S444), 0, 1), 6, if(ISBLANK('2025'!$T444), 0, 1), 7, 0))), 1, "")</f>
        <v/>
      </c>
      <c r="BA481" s="1" t="str">
        <f>IF(AND(AND(AND(BA$4&gt;='2025'!$L444,BA$4&lt;='2025'!$M444), BA$4&lt;&gt;DATE(2025,7,4)), (SWITCH(weekday(BA$4), 1, 0, 2, if(ISBLANK('2025'!$P444), 0, 1), 3, if(ISBLANK('2025'!$Q444), 0, 1), 4, if(ISBLANK('2025'!$R444), 0, 1), 5, if(ISBLANK('2025'!$S444), 0, 1), 6, if(ISBLANK('2025'!$T444), 0, 1), 7, 0))), 1, "")</f>
        <v/>
      </c>
      <c r="BB481" s="1" t="str">
        <f>IF(AND(AND(AND(BB$4&gt;='2025'!$L444,BB$4&lt;='2025'!$M444), BB$4&lt;&gt;DATE(2025,7,4)), (SWITCH(weekday(BB$4), 1, 0, 2, if(ISBLANK('2025'!$P444), 0, 1), 3, if(ISBLANK('2025'!$Q444), 0, 1), 4, if(ISBLANK('2025'!$R444), 0, 1), 5, if(ISBLANK('2025'!$S444), 0, 1), 6, if(ISBLANK('2025'!$T444), 0, 1), 7, 0))), 1, "")</f>
        <v/>
      </c>
      <c r="BC481" s="1" t="str">
        <f>IF(AND(AND(AND(BC$4&gt;='2025'!$L444,BC$4&lt;='2025'!$M444), BC$4&lt;&gt;DATE(2025,7,4)), (SWITCH(weekday(BC$4), 1, 0, 2, if(ISBLANK('2025'!$P444), 0, 1), 3, if(ISBLANK('2025'!$Q444), 0, 1), 4, if(ISBLANK('2025'!$R444), 0, 1), 5, if(ISBLANK('2025'!$S444), 0, 1), 6, if(ISBLANK('2025'!$T444), 0, 1), 7, 0))), 1, "")</f>
        <v/>
      </c>
      <c r="BD481" s="1" t="str">
        <f>IF(AND(AND(AND(BD$4&gt;='2025'!$L444,BD$4&lt;='2025'!$M444), BD$4&lt;&gt;DATE(2025,7,4)), (SWITCH(weekday(BD$4), 1, 0, 2, if(ISBLANK('2025'!$P444), 0, 1), 3, if(ISBLANK('2025'!$Q444), 0, 1), 4, if(ISBLANK('2025'!$R444), 0, 1), 5, if(ISBLANK('2025'!$S444), 0, 1), 6, if(ISBLANK('2025'!$T444), 0, 1), 7, 0))), 1, "")</f>
        <v/>
      </c>
      <c r="BE481" s="1" t="str">
        <f>IF(AND(AND(AND(BE$4&gt;='2025'!$L444,BE$4&lt;='2025'!$M444), BE$4&lt;&gt;DATE(2025,7,4)), (SWITCH(weekday(BE$4), 1, 0, 2, if(ISBLANK('2025'!$P444), 0, 1), 3, if(ISBLANK('2025'!$Q444), 0, 1), 4, if(ISBLANK('2025'!$R444), 0, 1), 5, if(ISBLANK('2025'!$S444), 0, 1), 6, if(ISBLANK('2025'!$T444), 0, 1), 7, 0))), 1, "")</f>
        <v/>
      </c>
    </row>
    <row r="482">
      <c r="A482" s="1">
        <f t="shared" si="3"/>
        <v>482</v>
      </c>
      <c r="B482" s="1" t="str">
        <f>'2025'!D445</f>
        <v/>
      </c>
      <c r="C482" s="1" t="str">
        <f>'2025'!H445</f>
        <v/>
      </c>
      <c r="D482" s="1" t="str">
        <f>IF(AND(AND(AND(D$4&gt;='2025'!$L445,D$4&lt;='2025'!$M445), D$4&lt;&gt;DATE(2025,7,4)), (SWITCH(weekday(D$4), 1, 0, 2, if(ISBLANK('2025'!$P445), 0, 1), 3, if(ISBLANK('2025'!$Q445), 0, 1), 4, if(ISBLANK('2025'!$R445), 0, 1), 5, if(ISBLANK('2025'!$S445), 0, 1), 6, if(ISBLANK('2025'!$T445), 0, 1), 7, 0))), 1, "")</f>
        <v/>
      </c>
      <c r="E482" s="1" t="str">
        <f>IF(AND(AND(AND(E$4&gt;='2025'!$L445,E$4&lt;='2025'!$M445), E$4&lt;&gt;DATE(2025,7,4)), (SWITCH(weekday(E$4), 1, 0, 2, if(ISBLANK('2025'!$P445), 0, 1), 3, if(ISBLANK('2025'!$Q445), 0, 1), 4, if(ISBLANK('2025'!$R445), 0, 1), 5, if(ISBLANK('2025'!$S445), 0, 1), 6, if(ISBLANK('2025'!$T445), 0, 1), 7, 0))), 1, "")</f>
        <v/>
      </c>
      <c r="F482" s="1" t="str">
        <f>IF(AND(AND(AND(F$4&gt;='2025'!$L445,F$4&lt;='2025'!$M445), F$4&lt;&gt;DATE(2025,7,4)), (SWITCH(weekday(F$4), 1, 0, 2, if(ISBLANK('2025'!$P445), 0, 1), 3, if(ISBLANK('2025'!$Q445), 0, 1), 4, if(ISBLANK('2025'!$R445), 0, 1), 5, if(ISBLANK('2025'!$S445), 0, 1), 6, if(ISBLANK('2025'!$T445), 0, 1), 7, 0))), 1, "")</f>
        <v/>
      </c>
      <c r="G482" s="1" t="str">
        <f>IF(AND(AND(AND(G$4&gt;='2025'!$L445,G$4&lt;='2025'!$M445), G$4&lt;&gt;DATE(2025,7,4)), (SWITCH(weekday(G$4), 1, 0, 2, if(ISBLANK('2025'!$P445), 0, 1), 3, if(ISBLANK('2025'!$Q445), 0, 1), 4, if(ISBLANK('2025'!$R445), 0, 1), 5, if(ISBLANK('2025'!$S445), 0, 1), 6, if(ISBLANK('2025'!$T445), 0, 1), 7, 0))), 1, "")</f>
        <v/>
      </c>
      <c r="H482" s="1" t="str">
        <f>IF(AND(AND(AND(H$4&gt;='2025'!$L445,H$4&lt;='2025'!$M445), H$4&lt;&gt;DATE(2025,7,4)), (SWITCH(weekday(H$4), 1, 0, 2, if(ISBLANK('2025'!$P445), 0, 1), 3, if(ISBLANK('2025'!$Q445), 0, 1), 4, if(ISBLANK('2025'!$R445), 0, 1), 5, if(ISBLANK('2025'!$S445), 0, 1), 6, if(ISBLANK('2025'!$T445), 0, 1), 7, 0))), 1, "")</f>
        <v/>
      </c>
      <c r="I482" s="1" t="str">
        <f>IF(AND(AND(AND(I$4&gt;='2025'!$L445,I$4&lt;='2025'!$M445), I$4&lt;&gt;DATE(2025,7,4)), (SWITCH(weekday(I$4), 1, 0, 2, if(ISBLANK('2025'!$P445), 0, 1), 3, if(ISBLANK('2025'!$Q445), 0, 1), 4, if(ISBLANK('2025'!$R445), 0, 1), 5, if(ISBLANK('2025'!$S445), 0, 1), 6, if(ISBLANK('2025'!$T445), 0, 1), 7, 0))), 1, "")</f>
        <v/>
      </c>
      <c r="J482" s="1" t="str">
        <f>IF(AND(AND(AND(J$4&gt;='2025'!$L445,J$4&lt;='2025'!$M445), J$4&lt;&gt;DATE(2025,7,4)), (SWITCH(weekday(J$4), 1, 0, 2, if(ISBLANK('2025'!$P445), 0, 1), 3, if(ISBLANK('2025'!$Q445), 0, 1), 4, if(ISBLANK('2025'!$R445), 0, 1), 5, if(ISBLANK('2025'!$S445), 0, 1), 6, if(ISBLANK('2025'!$T445), 0, 1), 7, 0))), 1, "")</f>
        <v/>
      </c>
      <c r="K482" s="1" t="str">
        <f>IF(AND(AND(AND(K$4&gt;='2025'!$L445,K$4&lt;='2025'!$M445), K$4&lt;&gt;DATE(2025,7,4)), (SWITCH(weekday(K$4), 1, 0, 2, if(ISBLANK('2025'!$P445), 0, 1), 3, if(ISBLANK('2025'!$Q445), 0, 1), 4, if(ISBLANK('2025'!$R445), 0, 1), 5, if(ISBLANK('2025'!$S445), 0, 1), 6, if(ISBLANK('2025'!$T445), 0, 1), 7, 0))), 1, "")</f>
        <v/>
      </c>
      <c r="L482" s="1" t="str">
        <f>IF(AND(AND(AND(L$4&gt;='2025'!$L445,L$4&lt;='2025'!$M445), L$4&lt;&gt;DATE(2025,7,4)), (SWITCH(weekday(L$4), 1, 0, 2, if(ISBLANK('2025'!$P445), 0, 1), 3, if(ISBLANK('2025'!$Q445), 0, 1), 4, if(ISBLANK('2025'!$R445), 0, 1), 5, if(ISBLANK('2025'!$S445), 0, 1), 6, if(ISBLANK('2025'!$T445), 0, 1), 7, 0))), 1, "")</f>
        <v/>
      </c>
      <c r="M482" s="1" t="str">
        <f>IF(AND(AND(AND(M$4&gt;='2025'!$L445,M$4&lt;='2025'!$M445), M$4&lt;&gt;DATE(2025,7,4)), (SWITCH(weekday(M$4), 1, 0, 2, if(ISBLANK('2025'!$P445), 0, 1), 3, if(ISBLANK('2025'!$Q445), 0, 1), 4, if(ISBLANK('2025'!$R445), 0, 1), 5, if(ISBLANK('2025'!$S445), 0, 1), 6, if(ISBLANK('2025'!$T445), 0, 1), 7, 0))), 1, "")</f>
        <v/>
      </c>
      <c r="N482" s="1" t="str">
        <f>IF(AND(AND(AND(N$4&gt;='2025'!$L445,N$4&lt;='2025'!$M445), N$4&lt;&gt;DATE(2025,7,4)), (SWITCH(weekday(N$4), 1, 0, 2, if(ISBLANK('2025'!$P445), 0, 1), 3, if(ISBLANK('2025'!$Q445), 0, 1), 4, if(ISBLANK('2025'!$R445), 0, 1), 5, if(ISBLANK('2025'!$S445), 0, 1), 6, if(ISBLANK('2025'!$T445), 0, 1), 7, 0))), 1, "")</f>
        <v/>
      </c>
      <c r="O482" s="1" t="str">
        <f>IF(AND(AND(AND(O$4&gt;='2025'!$L445,O$4&lt;='2025'!$M445), O$4&lt;&gt;DATE(2025,7,4)), (SWITCH(weekday(O$4), 1, 0, 2, if(ISBLANK('2025'!$P445), 0, 1), 3, if(ISBLANK('2025'!$Q445), 0, 1), 4, if(ISBLANK('2025'!$R445), 0, 1), 5, if(ISBLANK('2025'!$S445), 0, 1), 6, if(ISBLANK('2025'!$T445), 0, 1), 7, 0))), 1, "")</f>
        <v/>
      </c>
      <c r="P482" s="1" t="str">
        <f>IF(AND(AND(AND(P$4&gt;='2025'!$L445,P$4&lt;='2025'!$M445), P$4&lt;&gt;DATE(2025,7,4)), (SWITCH(weekday(P$4), 1, 0, 2, if(ISBLANK('2025'!$P445), 0, 1), 3, if(ISBLANK('2025'!$Q445), 0, 1), 4, if(ISBLANK('2025'!$R445), 0, 1), 5, if(ISBLANK('2025'!$S445), 0, 1), 6, if(ISBLANK('2025'!$T445), 0, 1), 7, 0))), 1, "")</f>
        <v/>
      </c>
      <c r="Q482" s="1" t="str">
        <f>IF(AND(AND(AND(Q$4&gt;='2025'!$L445,Q$4&lt;='2025'!$M445), Q$4&lt;&gt;DATE(2025,7,4)), (SWITCH(weekday(Q$4), 1, 0, 2, if(ISBLANK('2025'!$P445), 0, 1), 3, if(ISBLANK('2025'!$Q445), 0, 1), 4, if(ISBLANK('2025'!$R445), 0, 1), 5, if(ISBLANK('2025'!$S445), 0, 1), 6, if(ISBLANK('2025'!$T445), 0, 1), 7, 0))), 1, "")</f>
        <v/>
      </c>
      <c r="R482" s="1" t="str">
        <f>IF(AND(AND(AND(R$4&gt;='2025'!$L445,R$4&lt;='2025'!$M445), R$4&lt;&gt;DATE(2025,7,4)), (SWITCH(weekday(R$4), 1, 0, 2, if(ISBLANK('2025'!$P445), 0, 1), 3, if(ISBLANK('2025'!$Q445), 0, 1), 4, if(ISBLANK('2025'!$R445), 0, 1), 5, if(ISBLANK('2025'!$S445), 0, 1), 6, if(ISBLANK('2025'!$T445), 0, 1), 7, 0))), 1, "")</f>
        <v/>
      </c>
      <c r="S482" s="1" t="str">
        <f>IF(AND(AND(AND(S$4&gt;='2025'!$L445,S$4&lt;='2025'!$M445), S$4&lt;&gt;DATE(2025,7,4)), (SWITCH(weekday(S$4), 1, 0, 2, if(ISBLANK('2025'!$P445), 0, 1), 3, if(ISBLANK('2025'!$Q445), 0, 1), 4, if(ISBLANK('2025'!$R445), 0, 1), 5, if(ISBLANK('2025'!$S445), 0, 1), 6, if(ISBLANK('2025'!$T445), 0, 1), 7, 0))), 1, "")</f>
        <v/>
      </c>
      <c r="T482" s="1" t="str">
        <f>IF(AND(AND(AND(T$4&gt;='2025'!$L445,T$4&lt;='2025'!$M445), T$4&lt;&gt;DATE(2025,7,4)), (SWITCH(weekday(T$4), 1, 0, 2, if(ISBLANK('2025'!$P445), 0, 1), 3, if(ISBLANK('2025'!$Q445), 0, 1), 4, if(ISBLANK('2025'!$R445), 0, 1), 5, if(ISBLANK('2025'!$S445), 0, 1), 6, if(ISBLANK('2025'!$T445), 0, 1), 7, 0))), 1, "")</f>
        <v/>
      </c>
      <c r="U482" s="1" t="str">
        <f>IF(AND(AND(AND(U$4&gt;='2025'!$L445,U$4&lt;='2025'!$M445), U$4&lt;&gt;DATE(2025,7,4)), (SWITCH(weekday(U$4), 1, 0, 2, if(ISBLANK('2025'!$P445), 0, 1), 3, if(ISBLANK('2025'!$Q445), 0, 1), 4, if(ISBLANK('2025'!$R445), 0, 1), 5, if(ISBLANK('2025'!$S445), 0, 1), 6, if(ISBLANK('2025'!$T445), 0, 1), 7, 0))), 1, "")</f>
        <v/>
      </c>
      <c r="V482" s="1" t="str">
        <f>IF(AND(AND(AND(V$4&gt;='2025'!$L445,V$4&lt;='2025'!$M445), V$4&lt;&gt;DATE(2025,7,4)), (SWITCH(weekday(V$4), 1, 0, 2, if(ISBLANK('2025'!$P445), 0, 1), 3, if(ISBLANK('2025'!$Q445), 0, 1), 4, if(ISBLANK('2025'!$R445), 0, 1), 5, if(ISBLANK('2025'!$S445), 0, 1), 6, if(ISBLANK('2025'!$T445), 0, 1), 7, 0))), 1, "")</f>
        <v/>
      </c>
      <c r="W482" s="1" t="str">
        <f>IF(AND(AND(AND(W$4&gt;='2025'!$L445,W$4&lt;='2025'!$M445), W$4&lt;&gt;DATE(2025,7,4)), (SWITCH(weekday(W$4), 1, 0, 2, if(ISBLANK('2025'!$P445), 0, 1), 3, if(ISBLANK('2025'!$Q445), 0, 1), 4, if(ISBLANK('2025'!$R445), 0, 1), 5, if(ISBLANK('2025'!$S445), 0, 1), 6, if(ISBLANK('2025'!$T445), 0, 1), 7, 0))), 1, "")</f>
        <v/>
      </c>
      <c r="X482" s="1" t="str">
        <f>IF(AND(AND(AND(X$4&gt;='2025'!$L445,X$4&lt;='2025'!$M445), X$4&lt;&gt;DATE(2025,7,4)), (SWITCH(weekday(X$4), 1, 0, 2, if(ISBLANK('2025'!$P445), 0, 1), 3, if(ISBLANK('2025'!$Q445), 0, 1), 4, if(ISBLANK('2025'!$R445), 0, 1), 5, if(ISBLANK('2025'!$S445), 0, 1), 6, if(ISBLANK('2025'!$T445), 0, 1), 7, 0))), 1, "")</f>
        <v/>
      </c>
      <c r="Y482" s="1" t="str">
        <f>IF(AND(AND(AND(Y$4&gt;='2025'!$L445,Y$4&lt;='2025'!$M445), Y$4&lt;&gt;DATE(2025,7,4)), (SWITCH(weekday(Y$4), 1, 0, 2, if(ISBLANK('2025'!$P445), 0, 1), 3, if(ISBLANK('2025'!$Q445), 0, 1), 4, if(ISBLANK('2025'!$R445), 0, 1), 5, if(ISBLANK('2025'!$S445), 0, 1), 6, if(ISBLANK('2025'!$T445), 0, 1), 7, 0))), 1, "")</f>
        <v/>
      </c>
      <c r="Z482" s="1" t="str">
        <f>IF(AND(AND(AND(Z$4&gt;='2025'!$L445,Z$4&lt;='2025'!$M445), Z$4&lt;&gt;DATE(2025,7,4)), (SWITCH(weekday(Z$4), 1, 0, 2, if(ISBLANK('2025'!$P445), 0, 1), 3, if(ISBLANK('2025'!$Q445), 0, 1), 4, if(ISBLANK('2025'!$R445), 0, 1), 5, if(ISBLANK('2025'!$S445), 0, 1), 6, if(ISBLANK('2025'!$T445), 0, 1), 7, 0))), 1, "")</f>
        <v/>
      </c>
      <c r="AA482" s="1" t="str">
        <f>IF(AND(AND(AND(AA$4&gt;='2025'!$L445,AA$4&lt;='2025'!$M445), AA$4&lt;&gt;DATE(2025,7,4)), (SWITCH(weekday(AA$4), 1, 0, 2, if(ISBLANK('2025'!$P445), 0, 1), 3, if(ISBLANK('2025'!$Q445), 0, 1), 4, if(ISBLANK('2025'!$R445), 0, 1), 5, if(ISBLANK('2025'!$S445), 0, 1), 6, if(ISBLANK('2025'!$T445), 0, 1), 7, 0))), 1, "")</f>
        <v/>
      </c>
      <c r="AB482" s="1" t="str">
        <f>IF(AND(AND(AND(AB$4&gt;='2025'!$L445,AB$4&lt;='2025'!$M445), AB$4&lt;&gt;DATE(2025,7,4)), (SWITCH(weekday(AB$4), 1, 0, 2, if(ISBLANK('2025'!$P445), 0, 1), 3, if(ISBLANK('2025'!$Q445), 0, 1), 4, if(ISBLANK('2025'!$R445), 0, 1), 5, if(ISBLANK('2025'!$S445), 0, 1), 6, if(ISBLANK('2025'!$T445), 0, 1), 7, 0))), 1, "")</f>
        <v/>
      </c>
      <c r="AC482" s="1" t="str">
        <f>IF(AND(AND(AND(AC$4&gt;='2025'!$L445,AC$4&lt;='2025'!$M445), AC$4&lt;&gt;DATE(2025,7,4)), (SWITCH(weekday(AC$4), 1, 0, 2, if(ISBLANK('2025'!$P445), 0, 1), 3, if(ISBLANK('2025'!$Q445), 0, 1), 4, if(ISBLANK('2025'!$R445), 0, 1), 5, if(ISBLANK('2025'!$S445), 0, 1), 6, if(ISBLANK('2025'!$T445), 0, 1), 7, 0))), 1, "")</f>
        <v/>
      </c>
      <c r="AD482" s="1" t="str">
        <f>IF(AND(AND(AND(AD$4&gt;='2025'!$L445,AD$4&lt;='2025'!$M445), AD$4&lt;&gt;DATE(2025,7,4)), (SWITCH(weekday(AD$4), 1, 0, 2, if(ISBLANK('2025'!$P445), 0, 1), 3, if(ISBLANK('2025'!$Q445), 0, 1), 4, if(ISBLANK('2025'!$R445), 0, 1), 5, if(ISBLANK('2025'!$S445), 0, 1), 6, if(ISBLANK('2025'!$T445), 0, 1), 7, 0))), 1, "")</f>
        <v/>
      </c>
      <c r="AE482" s="1" t="str">
        <f>IF(AND(AND(AND(AE$4&gt;='2025'!$L445,AE$4&lt;='2025'!$M445), AE$4&lt;&gt;DATE(2025,7,4)), (SWITCH(weekday(AE$4), 1, 0, 2, if(ISBLANK('2025'!$P445), 0, 1), 3, if(ISBLANK('2025'!$Q445), 0, 1), 4, if(ISBLANK('2025'!$R445), 0, 1), 5, if(ISBLANK('2025'!$S445), 0, 1), 6, if(ISBLANK('2025'!$T445), 0, 1), 7, 0))), 1, "")</f>
        <v/>
      </c>
      <c r="AF482" s="1" t="str">
        <f>IF(AND(AND(AND(AF$4&gt;='2025'!$L445,AF$4&lt;='2025'!$M445), AF$4&lt;&gt;DATE(2025,7,4)), (SWITCH(weekday(AF$4), 1, 0, 2, if(ISBLANK('2025'!$P445), 0, 1), 3, if(ISBLANK('2025'!$Q445), 0, 1), 4, if(ISBLANK('2025'!$R445), 0, 1), 5, if(ISBLANK('2025'!$S445), 0, 1), 6, if(ISBLANK('2025'!$T445), 0, 1), 7, 0))), 1, "")</f>
        <v/>
      </c>
      <c r="AG482" s="1" t="str">
        <f>IF(AND(AND(AND(AG$4&gt;='2025'!$L445,AG$4&lt;='2025'!$M445), AG$4&lt;&gt;DATE(2025,7,4)), (SWITCH(weekday(AG$4), 1, 0, 2, if(ISBLANK('2025'!$P445), 0, 1), 3, if(ISBLANK('2025'!$Q445), 0, 1), 4, if(ISBLANK('2025'!$R445), 0, 1), 5, if(ISBLANK('2025'!$S445), 0, 1), 6, if(ISBLANK('2025'!$T445), 0, 1), 7, 0))), 1, "")</f>
        <v/>
      </c>
      <c r="AH482" s="1" t="str">
        <f>IF(AND(AND(AND(AH$4&gt;='2025'!$L445,AH$4&lt;='2025'!$M445), AH$4&lt;&gt;DATE(2025,7,4)), (SWITCH(weekday(AH$4), 1, 0, 2, if(ISBLANK('2025'!$P445), 0, 1), 3, if(ISBLANK('2025'!$Q445), 0, 1), 4, if(ISBLANK('2025'!$R445), 0, 1), 5, if(ISBLANK('2025'!$S445), 0, 1), 6, if(ISBLANK('2025'!$T445), 0, 1), 7, 0))), 1, "")</f>
        <v/>
      </c>
      <c r="AI482" s="1" t="str">
        <f>IF(AND(AND(AND(AI$4&gt;='2025'!$L445,AI$4&lt;='2025'!$M445), AI$4&lt;&gt;DATE(2025,7,4)), (SWITCH(weekday(AI$4), 1, 0, 2, if(ISBLANK('2025'!$P445), 0, 1), 3, if(ISBLANK('2025'!$Q445), 0, 1), 4, if(ISBLANK('2025'!$R445), 0, 1), 5, if(ISBLANK('2025'!$S445), 0, 1), 6, if(ISBLANK('2025'!$T445), 0, 1), 7, 0))), 1, "")</f>
        <v/>
      </c>
      <c r="AJ482" s="1" t="str">
        <f>IF(AND(AND(AND(AJ$4&gt;='2025'!$L445,AJ$4&lt;='2025'!$M445), AJ$4&lt;&gt;DATE(2025,7,4)), (SWITCH(weekday(AJ$4), 1, 0, 2, if(ISBLANK('2025'!$P445), 0, 1), 3, if(ISBLANK('2025'!$Q445), 0, 1), 4, if(ISBLANK('2025'!$R445), 0, 1), 5, if(ISBLANK('2025'!$S445), 0, 1), 6, if(ISBLANK('2025'!$T445), 0, 1), 7, 0))), 1, "")</f>
        <v/>
      </c>
      <c r="AK482" s="1" t="str">
        <f>IF(AND(AND(AND(AK$4&gt;='2025'!$L445,AK$4&lt;='2025'!$M445), AK$4&lt;&gt;DATE(2025,7,4)), (SWITCH(weekday(AK$4), 1, 0, 2, if(ISBLANK('2025'!$P445), 0, 1), 3, if(ISBLANK('2025'!$Q445), 0, 1), 4, if(ISBLANK('2025'!$R445), 0, 1), 5, if(ISBLANK('2025'!$S445), 0, 1), 6, if(ISBLANK('2025'!$T445), 0, 1), 7, 0))), 1, "")</f>
        <v/>
      </c>
      <c r="AL482" s="1" t="str">
        <f>IF(AND(AND(AND(AL$4&gt;='2025'!$L445,AL$4&lt;='2025'!$M445), AL$4&lt;&gt;DATE(2025,7,4)), (SWITCH(weekday(AL$4), 1, 0, 2, if(ISBLANK('2025'!$P445), 0, 1), 3, if(ISBLANK('2025'!$Q445), 0, 1), 4, if(ISBLANK('2025'!$R445), 0, 1), 5, if(ISBLANK('2025'!$S445), 0, 1), 6, if(ISBLANK('2025'!$T445), 0, 1), 7, 0))), 1, "")</f>
        <v/>
      </c>
      <c r="AM482" s="1" t="str">
        <f>IF(AND(AND(AND(AM$4&gt;='2025'!$L445,AM$4&lt;='2025'!$M445), AM$4&lt;&gt;DATE(2025,7,4)), (SWITCH(weekday(AM$4), 1, 0, 2, if(ISBLANK('2025'!$P445), 0, 1), 3, if(ISBLANK('2025'!$Q445), 0, 1), 4, if(ISBLANK('2025'!$R445), 0, 1), 5, if(ISBLANK('2025'!$S445), 0, 1), 6, if(ISBLANK('2025'!$T445), 0, 1), 7, 0))), 1, "")</f>
        <v/>
      </c>
      <c r="AN482" s="1" t="str">
        <f>IF(AND(AND(AND(AN$4&gt;='2025'!$L445,AN$4&lt;='2025'!$M445), AN$4&lt;&gt;DATE(2025,7,4)), (SWITCH(weekday(AN$4), 1, 0, 2, if(ISBLANK('2025'!$P445), 0, 1), 3, if(ISBLANK('2025'!$Q445), 0, 1), 4, if(ISBLANK('2025'!$R445), 0, 1), 5, if(ISBLANK('2025'!$S445), 0, 1), 6, if(ISBLANK('2025'!$T445), 0, 1), 7, 0))), 1, "")</f>
        <v/>
      </c>
      <c r="AO482" s="1" t="str">
        <f>IF(AND(AND(AND(AO$4&gt;='2025'!$L445,AO$4&lt;='2025'!$M445), AO$4&lt;&gt;DATE(2025,7,4)), (SWITCH(weekday(AO$4), 1, 0, 2, if(ISBLANK('2025'!$P445), 0, 1), 3, if(ISBLANK('2025'!$Q445), 0, 1), 4, if(ISBLANK('2025'!$R445), 0, 1), 5, if(ISBLANK('2025'!$S445), 0, 1), 6, if(ISBLANK('2025'!$T445), 0, 1), 7, 0))), 1, "")</f>
        <v/>
      </c>
      <c r="AP482" s="1" t="str">
        <f>IF(AND(AND(AND(AP$4&gt;='2025'!$L445,AP$4&lt;='2025'!$M445), AP$4&lt;&gt;DATE(2025,7,4)), (SWITCH(weekday(AP$4), 1, 0, 2, if(ISBLANK('2025'!$P445), 0, 1), 3, if(ISBLANK('2025'!$Q445), 0, 1), 4, if(ISBLANK('2025'!$R445), 0, 1), 5, if(ISBLANK('2025'!$S445), 0, 1), 6, if(ISBLANK('2025'!$T445), 0, 1), 7, 0))), 1, "")</f>
        <v/>
      </c>
      <c r="AQ482" s="1" t="str">
        <f>IF(AND(AND(AND(AQ$4&gt;='2025'!$L445,AQ$4&lt;='2025'!$M445), AQ$4&lt;&gt;DATE(2025,7,4)), (SWITCH(weekday(AQ$4), 1, 0, 2, if(ISBLANK('2025'!$P445), 0, 1), 3, if(ISBLANK('2025'!$Q445), 0, 1), 4, if(ISBLANK('2025'!$R445), 0, 1), 5, if(ISBLANK('2025'!$S445), 0, 1), 6, if(ISBLANK('2025'!$T445), 0, 1), 7, 0))), 1, "")</f>
        <v/>
      </c>
      <c r="AR482" s="1" t="str">
        <f>IF(AND(AND(AND(AR$4&gt;='2025'!$L445,AR$4&lt;='2025'!$M445), AR$4&lt;&gt;DATE(2025,7,4)), (SWITCH(weekday(AR$4), 1, 0, 2, if(ISBLANK('2025'!$P445), 0, 1), 3, if(ISBLANK('2025'!$Q445), 0, 1), 4, if(ISBLANK('2025'!$R445), 0, 1), 5, if(ISBLANK('2025'!$S445), 0, 1), 6, if(ISBLANK('2025'!$T445), 0, 1), 7, 0))), 1, "")</f>
        <v/>
      </c>
      <c r="AS482" s="1" t="str">
        <f>IF(AND(AND(AND(AS$4&gt;='2025'!$L445,AS$4&lt;='2025'!$M445), AS$4&lt;&gt;DATE(2025,7,4)), (SWITCH(weekday(AS$4), 1, 0, 2, if(ISBLANK('2025'!$P445), 0, 1), 3, if(ISBLANK('2025'!$Q445), 0, 1), 4, if(ISBLANK('2025'!$R445), 0, 1), 5, if(ISBLANK('2025'!$S445), 0, 1), 6, if(ISBLANK('2025'!$T445), 0, 1), 7, 0))), 1, "")</f>
        <v/>
      </c>
      <c r="AT482" s="1" t="str">
        <f>IF(AND(AND(AND(AT$4&gt;='2025'!$L445,AT$4&lt;='2025'!$M445), AT$4&lt;&gt;DATE(2025,7,4)), (SWITCH(weekday(AT$4), 1, 0, 2, if(ISBLANK('2025'!$P445), 0, 1), 3, if(ISBLANK('2025'!$Q445), 0, 1), 4, if(ISBLANK('2025'!$R445), 0, 1), 5, if(ISBLANK('2025'!$S445), 0, 1), 6, if(ISBLANK('2025'!$T445), 0, 1), 7, 0))), 1, "")</f>
        <v/>
      </c>
      <c r="AU482" s="1" t="str">
        <f>IF(AND(AND(AND(AU$4&gt;='2025'!$L445,AU$4&lt;='2025'!$M445), AU$4&lt;&gt;DATE(2025,7,4)), (SWITCH(weekday(AU$4), 1, 0, 2, if(ISBLANK('2025'!$P445), 0, 1), 3, if(ISBLANK('2025'!$Q445), 0, 1), 4, if(ISBLANK('2025'!$R445), 0, 1), 5, if(ISBLANK('2025'!$S445), 0, 1), 6, if(ISBLANK('2025'!$T445), 0, 1), 7, 0))), 1, "")</f>
        <v/>
      </c>
      <c r="AV482" s="1" t="str">
        <f>IF(AND(AND(AND(AV$4&gt;='2025'!$L445,AV$4&lt;='2025'!$M445), AV$4&lt;&gt;DATE(2025,7,4)), (SWITCH(weekday(AV$4), 1, 0, 2, if(ISBLANK('2025'!$P445), 0, 1), 3, if(ISBLANK('2025'!$Q445), 0, 1), 4, if(ISBLANK('2025'!$R445), 0, 1), 5, if(ISBLANK('2025'!$S445), 0, 1), 6, if(ISBLANK('2025'!$T445), 0, 1), 7, 0))), 1, "")</f>
        <v/>
      </c>
      <c r="AW482" s="1" t="str">
        <f>IF(AND(AND(AND(AW$4&gt;='2025'!$L445,AW$4&lt;='2025'!$M445), AW$4&lt;&gt;DATE(2025,7,4)), (SWITCH(weekday(AW$4), 1, 0, 2, if(ISBLANK('2025'!$P445), 0, 1), 3, if(ISBLANK('2025'!$Q445), 0, 1), 4, if(ISBLANK('2025'!$R445), 0, 1), 5, if(ISBLANK('2025'!$S445), 0, 1), 6, if(ISBLANK('2025'!$T445), 0, 1), 7, 0))), 1, "")</f>
        <v/>
      </c>
      <c r="AX482" s="1" t="str">
        <f>IF(AND(AND(AND(AX$4&gt;='2025'!$L445,AX$4&lt;='2025'!$M445), AX$4&lt;&gt;DATE(2025,7,4)), (SWITCH(weekday(AX$4), 1, 0, 2, if(ISBLANK('2025'!$P445), 0, 1), 3, if(ISBLANK('2025'!$Q445), 0, 1), 4, if(ISBLANK('2025'!$R445), 0, 1), 5, if(ISBLANK('2025'!$S445), 0, 1), 6, if(ISBLANK('2025'!$T445), 0, 1), 7, 0))), 1, "")</f>
        <v/>
      </c>
      <c r="AY482" s="1" t="str">
        <f>IF(AND(AND(AND(AY$4&gt;='2025'!$L445,AY$4&lt;='2025'!$M445), AY$4&lt;&gt;DATE(2025,7,4)), (SWITCH(weekday(AY$4), 1, 0, 2, if(ISBLANK('2025'!$P445), 0, 1), 3, if(ISBLANK('2025'!$Q445), 0, 1), 4, if(ISBLANK('2025'!$R445), 0, 1), 5, if(ISBLANK('2025'!$S445), 0, 1), 6, if(ISBLANK('2025'!$T445), 0, 1), 7, 0))), 1, "")</f>
        <v/>
      </c>
      <c r="AZ482" s="1" t="str">
        <f>IF(AND(AND(AND(AZ$4&gt;='2025'!$L445,AZ$4&lt;='2025'!$M445), AZ$4&lt;&gt;DATE(2025,7,4)), (SWITCH(weekday(AZ$4), 1, 0, 2, if(ISBLANK('2025'!$P445), 0, 1), 3, if(ISBLANK('2025'!$Q445), 0, 1), 4, if(ISBLANK('2025'!$R445), 0, 1), 5, if(ISBLANK('2025'!$S445), 0, 1), 6, if(ISBLANK('2025'!$T445), 0, 1), 7, 0))), 1, "")</f>
        <v/>
      </c>
      <c r="BA482" s="1" t="str">
        <f>IF(AND(AND(AND(BA$4&gt;='2025'!$L445,BA$4&lt;='2025'!$M445), BA$4&lt;&gt;DATE(2025,7,4)), (SWITCH(weekday(BA$4), 1, 0, 2, if(ISBLANK('2025'!$P445), 0, 1), 3, if(ISBLANK('2025'!$Q445), 0, 1), 4, if(ISBLANK('2025'!$R445), 0, 1), 5, if(ISBLANK('2025'!$S445), 0, 1), 6, if(ISBLANK('2025'!$T445), 0, 1), 7, 0))), 1, "")</f>
        <v/>
      </c>
      <c r="BB482" s="1" t="str">
        <f>IF(AND(AND(AND(BB$4&gt;='2025'!$L445,BB$4&lt;='2025'!$M445), BB$4&lt;&gt;DATE(2025,7,4)), (SWITCH(weekday(BB$4), 1, 0, 2, if(ISBLANK('2025'!$P445), 0, 1), 3, if(ISBLANK('2025'!$Q445), 0, 1), 4, if(ISBLANK('2025'!$R445), 0, 1), 5, if(ISBLANK('2025'!$S445), 0, 1), 6, if(ISBLANK('2025'!$T445), 0, 1), 7, 0))), 1, "")</f>
        <v/>
      </c>
      <c r="BC482" s="1" t="str">
        <f>IF(AND(AND(AND(BC$4&gt;='2025'!$L445,BC$4&lt;='2025'!$M445), BC$4&lt;&gt;DATE(2025,7,4)), (SWITCH(weekday(BC$4), 1, 0, 2, if(ISBLANK('2025'!$P445), 0, 1), 3, if(ISBLANK('2025'!$Q445), 0, 1), 4, if(ISBLANK('2025'!$R445), 0, 1), 5, if(ISBLANK('2025'!$S445), 0, 1), 6, if(ISBLANK('2025'!$T445), 0, 1), 7, 0))), 1, "")</f>
        <v/>
      </c>
      <c r="BD482" s="1" t="str">
        <f>IF(AND(AND(AND(BD$4&gt;='2025'!$L445,BD$4&lt;='2025'!$M445), BD$4&lt;&gt;DATE(2025,7,4)), (SWITCH(weekday(BD$4), 1, 0, 2, if(ISBLANK('2025'!$P445), 0, 1), 3, if(ISBLANK('2025'!$Q445), 0, 1), 4, if(ISBLANK('2025'!$R445), 0, 1), 5, if(ISBLANK('2025'!$S445), 0, 1), 6, if(ISBLANK('2025'!$T445), 0, 1), 7, 0))), 1, "")</f>
        <v/>
      </c>
      <c r="BE482" s="1" t="str">
        <f>IF(AND(AND(AND(BE$4&gt;='2025'!$L445,BE$4&lt;='2025'!$M445), BE$4&lt;&gt;DATE(2025,7,4)), (SWITCH(weekday(BE$4), 1, 0, 2, if(ISBLANK('2025'!$P445), 0, 1), 3, if(ISBLANK('2025'!$Q445), 0, 1), 4, if(ISBLANK('2025'!$R445), 0, 1), 5, if(ISBLANK('2025'!$S445), 0, 1), 6, if(ISBLANK('2025'!$T445), 0, 1), 7, 0))), 1, "")</f>
        <v/>
      </c>
    </row>
    <row r="483">
      <c r="A483" s="1">
        <f t="shared" si="3"/>
        <v>483</v>
      </c>
      <c r="B483" s="1" t="str">
        <f>'2025'!D446</f>
        <v/>
      </c>
      <c r="C483" s="1" t="str">
        <f>'2025'!H446</f>
        <v/>
      </c>
      <c r="D483" s="1" t="str">
        <f>IF(AND(AND(AND(D$4&gt;='2025'!$L446,D$4&lt;='2025'!$M446), D$4&lt;&gt;DATE(2025,7,4)), (SWITCH(weekday(D$4), 1, 0, 2, if(ISBLANK('2025'!$P446), 0, 1), 3, if(ISBLANK('2025'!$Q446), 0, 1), 4, if(ISBLANK('2025'!$R446), 0, 1), 5, if(ISBLANK('2025'!$S446), 0, 1), 6, if(ISBLANK('2025'!$T446), 0, 1), 7, 0))), 1, "")</f>
        <v/>
      </c>
      <c r="E483" s="1" t="str">
        <f>IF(AND(AND(AND(E$4&gt;='2025'!$L446,E$4&lt;='2025'!$M446), E$4&lt;&gt;DATE(2025,7,4)), (SWITCH(weekday(E$4), 1, 0, 2, if(ISBLANK('2025'!$P446), 0, 1), 3, if(ISBLANK('2025'!$Q446), 0, 1), 4, if(ISBLANK('2025'!$R446), 0, 1), 5, if(ISBLANK('2025'!$S446), 0, 1), 6, if(ISBLANK('2025'!$T446), 0, 1), 7, 0))), 1, "")</f>
        <v/>
      </c>
      <c r="F483" s="1" t="str">
        <f>IF(AND(AND(AND(F$4&gt;='2025'!$L446,F$4&lt;='2025'!$M446), F$4&lt;&gt;DATE(2025,7,4)), (SWITCH(weekday(F$4), 1, 0, 2, if(ISBLANK('2025'!$P446), 0, 1), 3, if(ISBLANK('2025'!$Q446), 0, 1), 4, if(ISBLANK('2025'!$R446), 0, 1), 5, if(ISBLANK('2025'!$S446), 0, 1), 6, if(ISBLANK('2025'!$T446), 0, 1), 7, 0))), 1, "")</f>
        <v/>
      </c>
      <c r="G483" s="1" t="str">
        <f>IF(AND(AND(AND(G$4&gt;='2025'!$L446,G$4&lt;='2025'!$M446), G$4&lt;&gt;DATE(2025,7,4)), (SWITCH(weekday(G$4), 1, 0, 2, if(ISBLANK('2025'!$P446), 0, 1), 3, if(ISBLANK('2025'!$Q446), 0, 1), 4, if(ISBLANK('2025'!$R446), 0, 1), 5, if(ISBLANK('2025'!$S446), 0, 1), 6, if(ISBLANK('2025'!$T446), 0, 1), 7, 0))), 1, "")</f>
        <v/>
      </c>
      <c r="H483" s="1" t="str">
        <f>IF(AND(AND(AND(H$4&gt;='2025'!$L446,H$4&lt;='2025'!$M446), H$4&lt;&gt;DATE(2025,7,4)), (SWITCH(weekday(H$4), 1, 0, 2, if(ISBLANK('2025'!$P446), 0, 1), 3, if(ISBLANK('2025'!$Q446), 0, 1), 4, if(ISBLANK('2025'!$R446), 0, 1), 5, if(ISBLANK('2025'!$S446), 0, 1), 6, if(ISBLANK('2025'!$T446), 0, 1), 7, 0))), 1, "")</f>
        <v/>
      </c>
      <c r="I483" s="1" t="str">
        <f>IF(AND(AND(AND(I$4&gt;='2025'!$L446,I$4&lt;='2025'!$M446), I$4&lt;&gt;DATE(2025,7,4)), (SWITCH(weekday(I$4), 1, 0, 2, if(ISBLANK('2025'!$P446), 0, 1), 3, if(ISBLANK('2025'!$Q446), 0, 1), 4, if(ISBLANK('2025'!$R446), 0, 1), 5, if(ISBLANK('2025'!$S446), 0, 1), 6, if(ISBLANK('2025'!$T446), 0, 1), 7, 0))), 1, "")</f>
        <v/>
      </c>
      <c r="J483" s="1" t="str">
        <f>IF(AND(AND(AND(J$4&gt;='2025'!$L446,J$4&lt;='2025'!$M446), J$4&lt;&gt;DATE(2025,7,4)), (SWITCH(weekday(J$4), 1, 0, 2, if(ISBLANK('2025'!$P446), 0, 1), 3, if(ISBLANK('2025'!$Q446), 0, 1), 4, if(ISBLANK('2025'!$R446), 0, 1), 5, if(ISBLANK('2025'!$S446), 0, 1), 6, if(ISBLANK('2025'!$T446), 0, 1), 7, 0))), 1, "")</f>
        <v/>
      </c>
      <c r="K483" s="1" t="str">
        <f>IF(AND(AND(AND(K$4&gt;='2025'!$L446,K$4&lt;='2025'!$M446), K$4&lt;&gt;DATE(2025,7,4)), (SWITCH(weekday(K$4), 1, 0, 2, if(ISBLANK('2025'!$P446), 0, 1), 3, if(ISBLANK('2025'!$Q446), 0, 1), 4, if(ISBLANK('2025'!$R446), 0, 1), 5, if(ISBLANK('2025'!$S446), 0, 1), 6, if(ISBLANK('2025'!$T446), 0, 1), 7, 0))), 1, "")</f>
        <v/>
      </c>
      <c r="L483" s="1" t="str">
        <f>IF(AND(AND(AND(L$4&gt;='2025'!$L446,L$4&lt;='2025'!$M446), L$4&lt;&gt;DATE(2025,7,4)), (SWITCH(weekday(L$4), 1, 0, 2, if(ISBLANK('2025'!$P446), 0, 1), 3, if(ISBLANK('2025'!$Q446), 0, 1), 4, if(ISBLANK('2025'!$R446), 0, 1), 5, if(ISBLANK('2025'!$S446), 0, 1), 6, if(ISBLANK('2025'!$T446), 0, 1), 7, 0))), 1, "")</f>
        <v/>
      </c>
      <c r="M483" s="1" t="str">
        <f>IF(AND(AND(AND(M$4&gt;='2025'!$L446,M$4&lt;='2025'!$M446), M$4&lt;&gt;DATE(2025,7,4)), (SWITCH(weekday(M$4), 1, 0, 2, if(ISBLANK('2025'!$P446), 0, 1), 3, if(ISBLANK('2025'!$Q446), 0, 1), 4, if(ISBLANK('2025'!$R446), 0, 1), 5, if(ISBLANK('2025'!$S446), 0, 1), 6, if(ISBLANK('2025'!$T446), 0, 1), 7, 0))), 1, "")</f>
        <v/>
      </c>
      <c r="N483" s="1" t="str">
        <f>IF(AND(AND(AND(N$4&gt;='2025'!$L446,N$4&lt;='2025'!$M446), N$4&lt;&gt;DATE(2025,7,4)), (SWITCH(weekday(N$4), 1, 0, 2, if(ISBLANK('2025'!$P446), 0, 1), 3, if(ISBLANK('2025'!$Q446), 0, 1), 4, if(ISBLANK('2025'!$R446), 0, 1), 5, if(ISBLANK('2025'!$S446), 0, 1), 6, if(ISBLANK('2025'!$T446), 0, 1), 7, 0))), 1, "")</f>
        <v/>
      </c>
      <c r="O483" s="1" t="str">
        <f>IF(AND(AND(AND(O$4&gt;='2025'!$L446,O$4&lt;='2025'!$M446), O$4&lt;&gt;DATE(2025,7,4)), (SWITCH(weekday(O$4), 1, 0, 2, if(ISBLANK('2025'!$P446), 0, 1), 3, if(ISBLANK('2025'!$Q446), 0, 1), 4, if(ISBLANK('2025'!$R446), 0, 1), 5, if(ISBLANK('2025'!$S446), 0, 1), 6, if(ISBLANK('2025'!$T446), 0, 1), 7, 0))), 1, "")</f>
        <v/>
      </c>
      <c r="P483" s="1" t="str">
        <f>IF(AND(AND(AND(P$4&gt;='2025'!$L446,P$4&lt;='2025'!$M446), P$4&lt;&gt;DATE(2025,7,4)), (SWITCH(weekday(P$4), 1, 0, 2, if(ISBLANK('2025'!$P446), 0, 1), 3, if(ISBLANK('2025'!$Q446), 0, 1), 4, if(ISBLANK('2025'!$R446), 0, 1), 5, if(ISBLANK('2025'!$S446), 0, 1), 6, if(ISBLANK('2025'!$T446), 0, 1), 7, 0))), 1, "")</f>
        <v/>
      </c>
      <c r="Q483" s="1" t="str">
        <f>IF(AND(AND(AND(Q$4&gt;='2025'!$L446,Q$4&lt;='2025'!$M446), Q$4&lt;&gt;DATE(2025,7,4)), (SWITCH(weekday(Q$4), 1, 0, 2, if(ISBLANK('2025'!$P446), 0, 1), 3, if(ISBLANK('2025'!$Q446), 0, 1), 4, if(ISBLANK('2025'!$R446), 0, 1), 5, if(ISBLANK('2025'!$S446), 0, 1), 6, if(ISBLANK('2025'!$T446), 0, 1), 7, 0))), 1, "")</f>
        <v/>
      </c>
      <c r="R483" s="1" t="str">
        <f>IF(AND(AND(AND(R$4&gt;='2025'!$L446,R$4&lt;='2025'!$M446), R$4&lt;&gt;DATE(2025,7,4)), (SWITCH(weekday(R$4), 1, 0, 2, if(ISBLANK('2025'!$P446), 0, 1), 3, if(ISBLANK('2025'!$Q446), 0, 1), 4, if(ISBLANK('2025'!$R446), 0, 1), 5, if(ISBLANK('2025'!$S446), 0, 1), 6, if(ISBLANK('2025'!$T446), 0, 1), 7, 0))), 1, "")</f>
        <v/>
      </c>
      <c r="S483" s="1" t="str">
        <f>IF(AND(AND(AND(S$4&gt;='2025'!$L446,S$4&lt;='2025'!$M446), S$4&lt;&gt;DATE(2025,7,4)), (SWITCH(weekday(S$4), 1, 0, 2, if(ISBLANK('2025'!$P446), 0, 1), 3, if(ISBLANK('2025'!$Q446), 0, 1), 4, if(ISBLANK('2025'!$R446), 0, 1), 5, if(ISBLANK('2025'!$S446), 0, 1), 6, if(ISBLANK('2025'!$T446), 0, 1), 7, 0))), 1, "")</f>
        <v/>
      </c>
      <c r="T483" s="1" t="str">
        <f>IF(AND(AND(AND(T$4&gt;='2025'!$L446,T$4&lt;='2025'!$M446), T$4&lt;&gt;DATE(2025,7,4)), (SWITCH(weekday(T$4), 1, 0, 2, if(ISBLANK('2025'!$P446), 0, 1), 3, if(ISBLANK('2025'!$Q446), 0, 1), 4, if(ISBLANK('2025'!$R446), 0, 1), 5, if(ISBLANK('2025'!$S446), 0, 1), 6, if(ISBLANK('2025'!$T446), 0, 1), 7, 0))), 1, "")</f>
        <v/>
      </c>
      <c r="U483" s="1" t="str">
        <f>IF(AND(AND(AND(U$4&gt;='2025'!$L446,U$4&lt;='2025'!$M446), U$4&lt;&gt;DATE(2025,7,4)), (SWITCH(weekday(U$4), 1, 0, 2, if(ISBLANK('2025'!$P446), 0, 1), 3, if(ISBLANK('2025'!$Q446), 0, 1), 4, if(ISBLANK('2025'!$R446), 0, 1), 5, if(ISBLANK('2025'!$S446), 0, 1), 6, if(ISBLANK('2025'!$T446), 0, 1), 7, 0))), 1, "")</f>
        <v/>
      </c>
      <c r="V483" s="1" t="str">
        <f>IF(AND(AND(AND(V$4&gt;='2025'!$L446,V$4&lt;='2025'!$M446), V$4&lt;&gt;DATE(2025,7,4)), (SWITCH(weekday(V$4), 1, 0, 2, if(ISBLANK('2025'!$P446), 0, 1), 3, if(ISBLANK('2025'!$Q446), 0, 1), 4, if(ISBLANK('2025'!$R446), 0, 1), 5, if(ISBLANK('2025'!$S446), 0, 1), 6, if(ISBLANK('2025'!$T446), 0, 1), 7, 0))), 1, "")</f>
        <v/>
      </c>
      <c r="W483" s="1" t="str">
        <f>IF(AND(AND(AND(W$4&gt;='2025'!$L446,W$4&lt;='2025'!$M446), W$4&lt;&gt;DATE(2025,7,4)), (SWITCH(weekday(W$4), 1, 0, 2, if(ISBLANK('2025'!$P446), 0, 1), 3, if(ISBLANK('2025'!$Q446), 0, 1), 4, if(ISBLANK('2025'!$R446), 0, 1), 5, if(ISBLANK('2025'!$S446), 0, 1), 6, if(ISBLANK('2025'!$T446), 0, 1), 7, 0))), 1, "")</f>
        <v/>
      </c>
      <c r="X483" s="1" t="str">
        <f>IF(AND(AND(AND(X$4&gt;='2025'!$L446,X$4&lt;='2025'!$M446), X$4&lt;&gt;DATE(2025,7,4)), (SWITCH(weekday(X$4), 1, 0, 2, if(ISBLANK('2025'!$P446), 0, 1), 3, if(ISBLANK('2025'!$Q446), 0, 1), 4, if(ISBLANK('2025'!$R446), 0, 1), 5, if(ISBLANK('2025'!$S446), 0, 1), 6, if(ISBLANK('2025'!$T446), 0, 1), 7, 0))), 1, "")</f>
        <v/>
      </c>
      <c r="Y483" s="1" t="str">
        <f>IF(AND(AND(AND(Y$4&gt;='2025'!$L446,Y$4&lt;='2025'!$M446), Y$4&lt;&gt;DATE(2025,7,4)), (SWITCH(weekday(Y$4), 1, 0, 2, if(ISBLANK('2025'!$P446), 0, 1), 3, if(ISBLANK('2025'!$Q446), 0, 1), 4, if(ISBLANK('2025'!$R446), 0, 1), 5, if(ISBLANK('2025'!$S446), 0, 1), 6, if(ISBLANK('2025'!$T446), 0, 1), 7, 0))), 1, "")</f>
        <v/>
      </c>
      <c r="Z483" s="1" t="str">
        <f>IF(AND(AND(AND(Z$4&gt;='2025'!$L446,Z$4&lt;='2025'!$M446), Z$4&lt;&gt;DATE(2025,7,4)), (SWITCH(weekday(Z$4), 1, 0, 2, if(ISBLANK('2025'!$P446), 0, 1), 3, if(ISBLANK('2025'!$Q446), 0, 1), 4, if(ISBLANK('2025'!$R446), 0, 1), 5, if(ISBLANK('2025'!$S446), 0, 1), 6, if(ISBLANK('2025'!$T446), 0, 1), 7, 0))), 1, "")</f>
        <v/>
      </c>
      <c r="AA483" s="1" t="str">
        <f>IF(AND(AND(AND(AA$4&gt;='2025'!$L446,AA$4&lt;='2025'!$M446), AA$4&lt;&gt;DATE(2025,7,4)), (SWITCH(weekday(AA$4), 1, 0, 2, if(ISBLANK('2025'!$P446), 0, 1), 3, if(ISBLANK('2025'!$Q446), 0, 1), 4, if(ISBLANK('2025'!$R446), 0, 1), 5, if(ISBLANK('2025'!$S446), 0, 1), 6, if(ISBLANK('2025'!$T446), 0, 1), 7, 0))), 1, "")</f>
        <v/>
      </c>
      <c r="AB483" s="1" t="str">
        <f>IF(AND(AND(AND(AB$4&gt;='2025'!$L446,AB$4&lt;='2025'!$M446), AB$4&lt;&gt;DATE(2025,7,4)), (SWITCH(weekday(AB$4), 1, 0, 2, if(ISBLANK('2025'!$P446), 0, 1), 3, if(ISBLANK('2025'!$Q446), 0, 1), 4, if(ISBLANK('2025'!$R446), 0, 1), 5, if(ISBLANK('2025'!$S446), 0, 1), 6, if(ISBLANK('2025'!$T446), 0, 1), 7, 0))), 1, "")</f>
        <v/>
      </c>
      <c r="AC483" s="1" t="str">
        <f>IF(AND(AND(AND(AC$4&gt;='2025'!$L446,AC$4&lt;='2025'!$M446), AC$4&lt;&gt;DATE(2025,7,4)), (SWITCH(weekday(AC$4), 1, 0, 2, if(ISBLANK('2025'!$P446), 0, 1), 3, if(ISBLANK('2025'!$Q446), 0, 1), 4, if(ISBLANK('2025'!$R446), 0, 1), 5, if(ISBLANK('2025'!$S446), 0, 1), 6, if(ISBLANK('2025'!$T446), 0, 1), 7, 0))), 1, "")</f>
        <v/>
      </c>
      <c r="AD483" s="1" t="str">
        <f>IF(AND(AND(AND(AD$4&gt;='2025'!$L446,AD$4&lt;='2025'!$M446), AD$4&lt;&gt;DATE(2025,7,4)), (SWITCH(weekday(AD$4), 1, 0, 2, if(ISBLANK('2025'!$P446), 0, 1), 3, if(ISBLANK('2025'!$Q446), 0, 1), 4, if(ISBLANK('2025'!$R446), 0, 1), 5, if(ISBLANK('2025'!$S446), 0, 1), 6, if(ISBLANK('2025'!$T446), 0, 1), 7, 0))), 1, "")</f>
        <v/>
      </c>
      <c r="AE483" s="1" t="str">
        <f>IF(AND(AND(AND(AE$4&gt;='2025'!$L446,AE$4&lt;='2025'!$M446), AE$4&lt;&gt;DATE(2025,7,4)), (SWITCH(weekday(AE$4), 1, 0, 2, if(ISBLANK('2025'!$P446), 0, 1), 3, if(ISBLANK('2025'!$Q446), 0, 1), 4, if(ISBLANK('2025'!$R446), 0, 1), 5, if(ISBLANK('2025'!$S446), 0, 1), 6, if(ISBLANK('2025'!$T446), 0, 1), 7, 0))), 1, "")</f>
        <v/>
      </c>
      <c r="AF483" s="1" t="str">
        <f>IF(AND(AND(AND(AF$4&gt;='2025'!$L446,AF$4&lt;='2025'!$M446), AF$4&lt;&gt;DATE(2025,7,4)), (SWITCH(weekday(AF$4), 1, 0, 2, if(ISBLANK('2025'!$P446), 0, 1), 3, if(ISBLANK('2025'!$Q446), 0, 1), 4, if(ISBLANK('2025'!$R446), 0, 1), 5, if(ISBLANK('2025'!$S446), 0, 1), 6, if(ISBLANK('2025'!$T446), 0, 1), 7, 0))), 1, "")</f>
        <v/>
      </c>
      <c r="AG483" s="1" t="str">
        <f>IF(AND(AND(AND(AG$4&gt;='2025'!$L446,AG$4&lt;='2025'!$M446), AG$4&lt;&gt;DATE(2025,7,4)), (SWITCH(weekday(AG$4), 1, 0, 2, if(ISBLANK('2025'!$P446), 0, 1), 3, if(ISBLANK('2025'!$Q446), 0, 1), 4, if(ISBLANK('2025'!$R446), 0, 1), 5, if(ISBLANK('2025'!$S446), 0, 1), 6, if(ISBLANK('2025'!$T446), 0, 1), 7, 0))), 1, "")</f>
        <v/>
      </c>
      <c r="AH483" s="1" t="str">
        <f>IF(AND(AND(AND(AH$4&gt;='2025'!$L446,AH$4&lt;='2025'!$M446), AH$4&lt;&gt;DATE(2025,7,4)), (SWITCH(weekday(AH$4), 1, 0, 2, if(ISBLANK('2025'!$P446), 0, 1), 3, if(ISBLANK('2025'!$Q446), 0, 1), 4, if(ISBLANK('2025'!$R446), 0, 1), 5, if(ISBLANK('2025'!$S446), 0, 1), 6, if(ISBLANK('2025'!$T446), 0, 1), 7, 0))), 1, "")</f>
        <v/>
      </c>
      <c r="AI483" s="1" t="str">
        <f>IF(AND(AND(AND(AI$4&gt;='2025'!$L446,AI$4&lt;='2025'!$M446), AI$4&lt;&gt;DATE(2025,7,4)), (SWITCH(weekday(AI$4), 1, 0, 2, if(ISBLANK('2025'!$P446), 0, 1), 3, if(ISBLANK('2025'!$Q446), 0, 1), 4, if(ISBLANK('2025'!$R446), 0, 1), 5, if(ISBLANK('2025'!$S446), 0, 1), 6, if(ISBLANK('2025'!$T446), 0, 1), 7, 0))), 1, "")</f>
        <v/>
      </c>
      <c r="AJ483" s="1" t="str">
        <f>IF(AND(AND(AND(AJ$4&gt;='2025'!$L446,AJ$4&lt;='2025'!$M446), AJ$4&lt;&gt;DATE(2025,7,4)), (SWITCH(weekday(AJ$4), 1, 0, 2, if(ISBLANK('2025'!$P446), 0, 1), 3, if(ISBLANK('2025'!$Q446), 0, 1), 4, if(ISBLANK('2025'!$R446), 0, 1), 5, if(ISBLANK('2025'!$S446), 0, 1), 6, if(ISBLANK('2025'!$T446), 0, 1), 7, 0))), 1, "")</f>
        <v/>
      </c>
      <c r="AK483" s="1" t="str">
        <f>IF(AND(AND(AND(AK$4&gt;='2025'!$L446,AK$4&lt;='2025'!$M446), AK$4&lt;&gt;DATE(2025,7,4)), (SWITCH(weekday(AK$4), 1, 0, 2, if(ISBLANK('2025'!$P446), 0, 1), 3, if(ISBLANK('2025'!$Q446), 0, 1), 4, if(ISBLANK('2025'!$R446), 0, 1), 5, if(ISBLANK('2025'!$S446), 0, 1), 6, if(ISBLANK('2025'!$T446), 0, 1), 7, 0))), 1, "")</f>
        <v/>
      </c>
      <c r="AL483" s="1" t="str">
        <f>IF(AND(AND(AND(AL$4&gt;='2025'!$L446,AL$4&lt;='2025'!$M446), AL$4&lt;&gt;DATE(2025,7,4)), (SWITCH(weekday(AL$4), 1, 0, 2, if(ISBLANK('2025'!$P446), 0, 1), 3, if(ISBLANK('2025'!$Q446), 0, 1), 4, if(ISBLANK('2025'!$R446), 0, 1), 5, if(ISBLANK('2025'!$S446), 0, 1), 6, if(ISBLANK('2025'!$T446), 0, 1), 7, 0))), 1, "")</f>
        <v/>
      </c>
      <c r="AM483" s="1" t="str">
        <f>IF(AND(AND(AND(AM$4&gt;='2025'!$L446,AM$4&lt;='2025'!$M446), AM$4&lt;&gt;DATE(2025,7,4)), (SWITCH(weekday(AM$4), 1, 0, 2, if(ISBLANK('2025'!$P446), 0, 1), 3, if(ISBLANK('2025'!$Q446), 0, 1), 4, if(ISBLANK('2025'!$R446), 0, 1), 5, if(ISBLANK('2025'!$S446), 0, 1), 6, if(ISBLANK('2025'!$T446), 0, 1), 7, 0))), 1, "")</f>
        <v/>
      </c>
      <c r="AN483" s="1" t="str">
        <f>IF(AND(AND(AND(AN$4&gt;='2025'!$L446,AN$4&lt;='2025'!$M446), AN$4&lt;&gt;DATE(2025,7,4)), (SWITCH(weekday(AN$4), 1, 0, 2, if(ISBLANK('2025'!$P446), 0, 1), 3, if(ISBLANK('2025'!$Q446), 0, 1), 4, if(ISBLANK('2025'!$R446), 0, 1), 5, if(ISBLANK('2025'!$S446), 0, 1), 6, if(ISBLANK('2025'!$T446), 0, 1), 7, 0))), 1, "")</f>
        <v/>
      </c>
      <c r="AO483" s="1" t="str">
        <f>IF(AND(AND(AND(AO$4&gt;='2025'!$L446,AO$4&lt;='2025'!$M446), AO$4&lt;&gt;DATE(2025,7,4)), (SWITCH(weekday(AO$4), 1, 0, 2, if(ISBLANK('2025'!$P446), 0, 1), 3, if(ISBLANK('2025'!$Q446), 0, 1), 4, if(ISBLANK('2025'!$R446), 0, 1), 5, if(ISBLANK('2025'!$S446), 0, 1), 6, if(ISBLANK('2025'!$T446), 0, 1), 7, 0))), 1, "")</f>
        <v/>
      </c>
      <c r="AP483" s="1" t="str">
        <f>IF(AND(AND(AND(AP$4&gt;='2025'!$L446,AP$4&lt;='2025'!$M446), AP$4&lt;&gt;DATE(2025,7,4)), (SWITCH(weekday(AP$4), 1, 0, 2, if(ISBLANK('2025'!$P446), 0, 1), 3, if(ISBLANK('2025'!$Q446), 0, 1), 4, if(ISBLANK('2025'!$R446), 0, 1), 5, if(ISBLANK('2025'!$S446), 0, 1), 6, if(ISBLANK('2025'!$T446), 0, 1), 7, 0))), 1, "")</f>
        <v/>
      </c>
      <c r="AQ483" s="1" t="str">
        <f>IF(AND(AND(AND(AQ$4&gt;='2025'!$L446,AQ$4&lt;='2025'!$M446), AQ$4&lt;&gt;DATE(2025,7,4)), (SWITCH(weekday(AQ$4), 1, 0, 2, if(ISBLANK('2025'!$P446), 0, 1), 3, if(ISBLANK('2025'!$Q446), 0, 1), 4, if(ISBLANK('2025'!$R446), 0, 1), 5, if(ISBLANK('2025'!$S446), 0, 1), 6, if(ISBLANK('2025'!$T446), 0, 1), 7, 0))), 1, "")</f>
        <v/>
      </c>
      <c r="AR483" s="1" t="str">
        <f>IF(AND(AND(AND(AR$4&gt;='2025'!$L446,AR$4&lt;='2025'!$M446), AR$4&lt;&gt;DATE(2025,7,4)), (SWITCH(weekday(AR$4), 1, 0, 2, if(ISBLANK('2025'!$P446), 0, 1), 3, if(ISBLANK('2025'!$Q446), 0, 1), 4, if(ISBLANK('2025'!$R446), 0, 1), 5, if(ISBLANK('2025'!$S446), 0, 1), 6, if(ISBLANK('2025'!$T446), 0, 1), 7, 0))), 1, "")</f>
        <v/>
      </c>
      <c r="AS483" s="1" t="str">
        <f>IF(AND(AND(AND(AS$4&gt;='2025'!$L446,AS$4&lt;='2025'!$M446), AS$4&lt;&gt;DATE(2025,7,4)), (SWITCH(weekday(AS$4), 1, 0, 2, if(ISBLANK('2025'!$P446), 0, 1), 3, if(ISBLANK('2025'!$Q446), 0, 1), 4, if(ISBLANK('2025'!$R446), 0, 1), 5, if(ISBLANK('2025'!$S446), 0, 1), 6, if(ISBLANK('2025'!$T446), 0, 1), 7, 0))), 1, "")</f>
        <v/>
      </c>
      <c r="AT483" s="1" t="str">
        <f>IF(AND(AND(AND(AT$4&gt;='2025'!$L446,AT$4&lt;='2025'!$M446), AT$4&lt;&gt;DATE(2025,7,4)), (SWITCH(weekday(AT$4), 1, 0, 2, if(ISBLANK('2025'!$P446), 0, 1), 3, if(ISBLANK('2025'!$Q446), 0, 1), 4, if(ISBLANK('2025'!$R446), 0, 1), 5, if(ISBLANK('2025'!$S446), 0, 1), 6, if(ISBLANK('2025'!$T446), 0, 1), 7, 0))), 1, "")</f>
        <v/>
      </c>
      <c r="AU483" s="1" t="str">
        <f>IF(AND(AND(AND(AU$4&gt;='2025'!$L446,AU$4&lt;='2025'!$M446), AU$4&lt;&gt;DATE(2025,7,4)), (SWITCH(weekday(AU$4), 1, 0, 2, if(ISBLANK('2025'!$P446), 0, 1), 3, if(ISBLANK('2025'!$Q446), 0, 1), 4, if(ISBLANK('2025'!$R446), 0, 1), 5, if(ISBLANK('2025'!$S446), 0, 1), 6, if(ISBLANK('2025'!$T446), 0, 1), 7, 0))), 1, "")</f>
        <v/>
      </c>
      <c r="AV483" s="1" t="str">
        <f>IF(AND(AND(AND(AV$4&gt;='2025'!$L446,AV$4&lt;='2025'!$M446), AV$4&lt;&gt;DATE(2025,7,4)), (SWITCH(weekday(AV$4), 1, 0, 2, if(ISBLANK('2025'!$P446), 0, 1), 3, if(ISBLANK('2025'!$Q446), 0, 1), 4, if(ISBLANK('2025'!$R446), 0, 1), 5, if(ISBLANK('2025'!$S446), 0, 1), 6, if(ISBLANK('2025'!$T446), 0, 1), 7, 0))), 1, "")</f>
        <v/>
      </c>
      <c r="AW483" s="1" t="str">
        <f>IF(AND(AND(AND(AW$4&gt;='2025'!$L446,AW$4&lt;='2025'!$M446), AW$4&lt;&gt;DATE(2025,7,4)), (SWITCH(weekday(AW$4), 1, 0, 2, if(ISBLANK('2025'!$P446), 0, 1), 3, if(ISBLANK('2025'!$Q446), 0, 1), 4, if(ISBLANK('2025'!$R446), 0, 1), 5, if(ISBLANK('2025'!$S446), 0, 1), 6, if(ISBLANK('2025'!$T446), 0, 1), 7, 0))), 1, "")</f>
        <v/>
      </c>
      <c r="AX483" s="1" t="str">
        <f>IF(AND(AND(AND(AX$4&gt;='2025'!$L446,AX$4&lt;='2025'!$M446), AX$4&lt;&gt;DATE(2025,7,4)), (SWITCH(weekday(AX$4), 1, 0, 2, if(ISBLANK('2025'!$P446), 0, 1), 3, if(ISBLANK('2025'!$Q446), 0, 1), 4, if(ISBLANK('2025'!$R446), 0, 1), 5, if(ISBLANK('2025'!$S446), 0, 1), 6, if(ISBLANK('2025'!$T446), 0, 1), 7, 0))), 1, "")</f>
        <v/>
      </c>
      <c r="AY483" s="1" t="str">
        <f>IF(AND(AND(AND(AY$4&gt;='2025'!$L446,AY$4&lt;='2025'!$M446), AY$4&lt;&gt;DATE(2025,7,4)), (SWITCH(weekday(AY$4), 1, 0, 2, if(ISBLANK('2025'!$P446), 0, 1), 3, if(ISBLANK('2025'!$Q446), 0, 1), 4, if(ISBLANK('2025'!$R446), 0, 1), 5, if(ISBLANK('2025'!$S446), 0, 1), 6, if(ISBLANK('2025'!$T446), 0, 1), 7, 0))), 1, "")</f>
        <v/>
      </c>
      <c r="AZ483" s="1" t="str">
        <f>IF(AND(AND(AND(AZ$4&gt;='2025'!$L446,AZ$4&lt;='2025'!$M446), AZ$4&lt;&gt;DATE(2025,7,4)), (SWITCH(weekday(AZ$4), 1, 0, 2, if(ISBLANK('2025'!$P446), 0, 1), 3, if(ISBLANK('2025'!$Q446), 0, 1), 4, if(ISBLANK('2025'!$R446), 0, 1), 5, if(ISBLANK('2025'!$S446), 0, 1), 6, if(ISBLANK('2025'!$T446), 0, 1), 7, 0))), 1, "")</f>
        <v/>
      </c>
      <c r="BA483" s="1" t="str">
        <f>IF(AND(AND(AND(BA$4&gt;='2025'!$L446,BA$4&lt;='2025'!$M446), BA$4&lt;&gt;DATE(2025,7,4)), (SWITCH(weekday(BA$4), 1, 0, 2, if(ISBLANK('2025'!$P446), 0, 1), 3, if(ISBLANK('2025'!$Q446), 0, 1), 4, if(ISBLANK('2025'!$R446), 0, 1), 5, if(ISBLANK('2025'!$S446), 0, 1), 6, if(ISBLANK('2025'!$T446), 0, 1), 7, 0))), 1, "")</f>
        <v/>
      </c>
      <c r="BB483" s="1" t="str">
        <f>IF(AND(AND(AND(BB$4&gt;='2025'!$L446,BB$4&lt;='2025'!$M446), BB$4&lt;&gt;DATE(2025,7,4)), (SWITCH(weekday(BB$4), 1, 0, 2, if(ISBLANK('2025'!$P446), 0, 1), 3, if(ISBLANK('2025'!$Q446), 0, 1), 4, if(ISBLANK('2025'!$R446), 0, 1), 5, if(ISBLANK('2025'!$S446), 0, 1), 6, if(ISBLANK('2025'!$T446), 0, 1), 7, 0))), 1, "")</f>
        <v/>
      </c>
      <c r="BC483" s="1" t="str">
        <f>IF(AND(AND(AND(BC$4&gt;='2025'!$L446,BC$4&lt;='2025'!$M446), BC$4&lt;&gt;DATE(2025,7,4)), (SWITCH(weekday(BC$4), 1, 0, 2, if(ISBLANK('2025'!$P446), 0, 1), 3, if(ISBLANK('2025'!$Q446), 0, 1), 4, if(ISBLANK('2025'!$R446), 0, 1), 5, if(ISBLANK('2025'!$S446), 0, 1), 6, if(ISBLANK('2025'!$T446), 0, 1), 7, 0))), 1, "")</f>
        <v/>
      </c>
      <c r="BD483" s="1" t="str">
        <f>IF(AND(AND(AND(BD$4&gt;='2025'!$L446,BD$4&lt;='2025'!$M446), BD$4&lt;&gt;DATE(2025,7,4)), (SWITCH(weekday(BD$4), 1, 0, 2, if(ISBLANK('2025'!$P446), 0, 1), 3, if(ISBLANK('2025'!$Q446), 0, 1), 4, if(ISBLANK('2025'!$R446), 0, 1), 5, if(ISBLANK('2025'!$S446), 0, 1), 6, if(ISBLANK('2025'!$T446), 0, 1), 7, 0))), 1, "")</f>
        <v/>
      </c>
      <c r="BE483" s="1" t="str">
        <f>IF(AND(AND(AND(BE$4&gt;='2025'!$L446,BE$4&lt;='2025'!$M446), BE$4&lt;&gt;DATE(2025,7,4)), (SWITCH(weekday(BE$4), 1, 0, 2, if(ISBLANK('2025'!$P446), 0, 1), 3, if(ISBLANK('2025'!$Q446), 0, 1), 4, if(ISBLANK('2025'!$R446), 0, 1), 5, if(ISBLANK('2025'!$S446), 0, 1), 6, if(ISBLANK('2025'!$T446), 0, 1), 7, 0))), 1, "")</f>
        <v/>
      </c>
    </row>
    <row r="484">
      <c r="A484" s="1">
        <f t="shared" si="3"/>
        <v>484</v>
      </c>
      <c r="B484" s="1" t="str">
        <f>'2025'!D447</f>
        <v/>
      </c>
      <c r="C484" s="1" t="str">
        <f>'2025'!H447</f>
        <v/>
      </c>
      <c r="D484" s="1" t="str">
        <f>IF(AND(AND(AND(D$4&gt;='2025'!$L447,D$4&lt;='2025'!$M447), D$4&lt;&gt;DATE(2025,7,4)), (SWITCH(weekday(D$4), 1, 0, 2, if(ISBLANK('2025'!$P447), 0, 1), 3, if(ISBLANK('2025'!$Q447), 0, 1), 4, if(ISBLANK('2025'!$R447), 0, 1), 5, if(ISBLANK('2025'!$S447), 0, 1), 6, if(ISBLANK('2025'!$T447), 0, 1), 7, 0))), 1, "")</f>
        <v/>
      </c>
      <c r="E484" s="1" t="str">
        <f>IF(AND(AND(AND(E$4&gt;='2025'!$L447,E$4&lt;='2025'!$M447), E$4&lt;&gt;DATE(2025,7,4)), (SWITCH(weekday(E$4), 1, 0, 2, if(ISBLANK('2025'!$P447), 0, 1), 3, if(ISBLANK('2025'!$Q447), 0, 1), 4, if(ISBLANK('2025'!$R447), 0, 1), 5, if(ISBLANK('2025'!$S447), 0, 1), 6, if(ISBLANK('2025'!$T447), 0, 1), 7, 0))), 1, "")</f>
        <v/>
      </c>
      <c r="F484" s="1" t="str">
        <f>IF(AND(AND(AND(F$4&gt;='2025'!$L447,F$4&lt;='2025'!$M447), F$4&lt;&gt;DATE(2025,7,4)), (SWITCH(weekday(F$4), 1, 0, 2, if(ISBLANK('2025'!$P447), 0, 1), 3, if(ISBLANK('2025'!$Q447), 0, 1), 4, if(ISBLANK('2025'!$R447), 0, 1), 5, if(ISBLANK('2025'!$S447), 0, 1), 6, if(ISBLANK('2025'!$T447), 0, 1), 7, 0))), 1, "")</f>
        <v/>
      </c>
      <c r="G484" s="1" t="str">
        <f>IF(AND(AND(AND(G$4&gt;='2025'!$L447,G$4&lt;='2025'!$M447), G$4&lt;&gt;DATE(2025,7,4)), (SWITCH(weekday(G$4), 1, 0, 2, if(ISBLANK('2025'!$P447), 0, 1), 3, if(ISBLANK('2025'!$Q447), 0, 1), 4, if(ISBLANK('2025'!$R447), 0, 1), 5, if(ISBLANK('2025'!$S447), 0, 1), 6, if(ISBLANK('2025'!$T447), 0, 1), 7, 0))), 1, "")</f>
        <v/>
      </c>
      <c r="H484" s="1" t="str">
        <f>IF(AND(AND(AND(H$4&gt;='2025'!$L447,H$4&lt;='2025'!$M447), H$4&lt;&gt;DATE(2025,7,4)), (SWITCH(weekday(H$4), 1, 0, 2, if(ISBLANK('2025'!$P447), 0, 1), 3, if(ISBLANK('2025'!$Q447), 0, 1), 4, if(ISBLANK('2025'!$R447), 0, 1), 5, if(ISBLANK('2025'!$S447), 0, 1), 6, if(ISBLANK('2025'!$T447), 0, 1), 7, 0))), 1, "")</f>
        <v/>
      </c>
      <c r="I484" s="1" t="str">
        <f>IF(AND(AND(AND(I$4&gt;='2025'!$L447,I$4&lt;='2025'!$M447), I$4&lt;&gt;DATE(2025,7,4)), (SWITCH(weekday(I$4), 1, 0, 2, if(ISBLANK('2025'!$P447), 0, 1), 3, if(ISBLANK('2025'!$Q447), 0, 1), 4, if(ISBLANK('2025'!$R447), 0, 1), 5, if(ISBLANK('2025'!$S447), 0, 1), 6, if(ISBLANK('2025'!$T447), 0, 1), 7, 0))), 1, "")</f>
        <v/>
      </c>
      <c r="J484" s="1" t="str">
        <f>IF(AND(AND(AND(J$4&gt;='2025'!$L447,J$4&lt;='2025'!$M447), J$4&lt;&gt;DATE(2025,7,4)), (SWITCH(weekday(J$4), 1, 0, 2, if(ISBLANK('2025'!$P447), 0, 1), 3, if(ISBLANK('2025'!$Q447), 0, 1), 4, if(ISBLANK('2025'!$R447), 0, 1), 5, if(ISBLANK('2025'!$S447), 0, 1), 6, if(ISBLANK('2025'!$T447), 0, 1), 7, 0))), 1, "")</f>
        <v/>
      </c>
      <c r="K484" s="1" t="str">
        <f>IF(AND(AND(AND(K$4&gt;='2025'!$L447,K$4&lt;='2025'!$M447), K$4&lt;&gt;DATE(2025,7,4)), (SWITCH(weekday(K$4), 1, 0, 2, if(ISBLANK('2025'!$P447), 0, 1), 3, if(ISBLANK('2025'!$Q447), 0, 1), 4, if(ISBLANK('2025'!$R447), 0, 1), 5, if(ISBLANK('2025'!$S447), 0, 1), 6, if(ISBLANK('2025'!$T447), 0, 1), 7, 0))), 1, "")</f>
        <v/>
      </c>
      <c r="L484" s="1" t="str">
        <f>IF(AND(AND(AND(L$4&gt;='2025'!$L447,L$4&lt;='2025'!$M447), L$4&lt;&gt;DATE(2025,7,4)), (SWITCH(weekday(L$4), 1, 0, 2, if(ISBLANK('2025'!$P447), 0, 1), 3, if(ISBLANK('2025'!$Q447), 0, 1), 4, if(ISBLANK('2025'!$R447), 0, 1), 5, if(ISBLANK('2025'!$S447), 0, 1), 6, if(ISBLANK('2025'!$T447), 0, 1), 7, 0))), 1, "")</f>
        <v/>
      </c>
      <c r="M484" s="1" t="str">
        <f>IF(AND(AND(AND(M$4&gt;='2025'!$L447,M$4&lt;='2025'!$M447), M$4&lt;&gt;DATE(2025,7,4)), (SWITCH(weekday(M$4), 1, 0, 2, if(ISBLANK('2025'!$P447), 0, 1), 3, if(ISBLANK('2025'!$Q447), 0, 1), 4, if(ISBLANK('2025'!$R447), 0, 1), 5, if(ISBLANK('2025'!$S447), 0, 1), 6, if(ISBLANK('2025'!$T447), 0, 1), 7, 0))), 1, "")</f>
        <v/>
      </c>
      <c r="N484" s="1" t="str">
        <f>IF(AND(AND(AND(N$4&gt;='2025'!$L447,N$4&lt;='2025'!$M447), N$4&lt;&gt;DATE(2025,7,4)), (SWITCH(weekday(N$4), 1, 0, 2, if(ISBLANK('2025'!$P447), 0, 1), 3, if(ISBLANK('2025'!$Q447), 0, 1), 4, if(ISBLANK('2025'!$R447), 0, 1), 5, if(ISBLANK('2025'!$S447), 0, 1), 6, if(ISBLANK('2025'!$T447), 0, 1), 7, 0))), 1, "")</f>
        <v/>
      </c>
      <c r="O484" s="1" t="str">
        <f>IF(AND(AND(AND(O$4&gt;='2025'!$L447,O$4&lt;='2025'!$M447), O$4&lt;&gt;DATE(2025,7,4)), (SWITCH(weekday(O$4), 1, 0, 2, if(ISBLANK('2025'!$P447), 0, 1), 3, if(ISBLANK('2025'!$Q447), 0, 1), 4, if(ISBLANK('2025'!$R447), 0, 1), 5, if(ISBLANK('2025'!$S447), 0, 1), 6, if(ISBLANK('2025'!$T447), 0, 1), 7, 0))), 1, "")</f>
        <v/>
      </c>
      <c r="P484" s="1" t="str">
        <f>IF(AND(AND(AND(P$4&gt;='2025'!$L447,P$4&lt;='2025'!$M447), P$4&lt;&gt;DATE(2025,7,4)), (SWITCH(weekday(P$4), 1, 0, 2, if(ISBLANK('2025'!$P447), 0, 1), 3, if(ISBLANK('2025'!$Q447), 0, 1), 4, if(ISBLANK('2025'!$R447), 0, 1), 5, if(ISBLANK('2025'!$S447), 0, 1), 6, if(ISBLANK('2025'!$T447), 0, 1), 7, 0))), 1, "")</f>
        <v/>
      </c>
      <c r="Q484" s="1" t="str">
        <f>IF(AND(AND(AND(Q$4&gt;='2025'!$L447,Q$4&lt;='2025'!$M447), Q$4&lt;&gt;DATE(2025,7,4)), (SWITCH(weekday(Q$4), 1, 0, 2, if(ISBLANK('2025'!$P447), 0, 1), 3, if(ISBLANK('2025'!$Q447), 0, 1), 4, if(ISBLANK('2025'!$R447), 0, 1), 5, if(ISBLANK('2025'!$S447), 0, 1), 6, if(ISBLANK('2025'!$T447), 0, 1), 7, 0))), 1, "")</f>
        <v/>
      </c>
      <c r="R484" s="1" t="str">
        <f>IF(AND(AND(AND(R$4&gt;='2025'!$L447,R$4&lt;='2025'!$M447), R$4&lt;&gt;DATE(2025,7,4)), (SWITCH(weekday(R$4), 1, 0, 2, if(ISBLANK('2025'!$P447), 0, 1), 3, if(ISBLANK('2025'!$Q447), 0, 1), 4, if(ISBLANK('2025'!$R447), 0, 1), 5, if(ISBLANK('2025'!$S447), 0, 1), 6, if(ISBLANK('2025'!$T447), 0, 1), 7, 0))), 1, "")</f>
        <v/>
      </c>
      <c r="S484" s="1" t="str">
        <f>IF(AND(AND(AND(S$4&gt;='2025'!$L447,S$4&lt;='2025'!$M447), S$4&lt;&gt;DATE(2025,7,4)), (SWITCH(weekday(S$4), 1, 0, 2, if(ISBLANK('2025'!$P447), 0, 1), 3, if(ISBLANK('2025'!$Q447), 0, 1), 4, if(ISBLANK('2025'!$R447), 0, 1), 5, if(ISBLANK('2025'!$S447), 0, 1), 6, if(ISBLANK('2025'!$T447), 0, 1), 7, 0))), 1, "")</f>
        <v/>
      </c>
      <c r="T484" s="1" t="str">
        <f>IF(AND(AND(AND(T$4&gt;='2025'!$L447,T$4&lt;='2025'!$M447), T$4&lt;&gt;DATE(2025,7,4)), (SWITCH(weekday(T$4), 1, 0, 2, if(ISBLANK('2025'!$P447), 0, 1), 3, if(ISBLANK('2025'!$Q447), 0, 1), 4, if(ISBLANK('2025'!$R447), 0, 1), 5, if(ISBLANK('2025'!$S447), 0, 1), 6, if(ISBLANK('2025'!$T447), 0, 1), 7, 0))), 1, "")</f>
        <v/>
      </c>
      <c r="U484" s="1" t="str">
        <f>IF(AND(AND(AND(U$4&gt;='2025'!$L447,U$4&lt;='2025'!$M447), U$4&lt;&gt;DATE(2025,7,4)), (SWITCH(weekday(U$4), 1, 0, 2, if(ISBLANK('2025'!$P447), 0, 1), 3, if(ISBLANK('2025'!$Q447), 0, 1), 4, if(ISBLANK('2025'!$R447), 0, 1), 5, if(ISBLANK('2025'!$S447), 0, 1), 6, if(ISBLANK('2025'!$T447), 0, 1), 7, 0))), 1, "")</f>
        <v/>
      </c>
      <c r="V484" s="1" t="str">
        <f>IF(AND(AND(AND(V$4&gt;='2025'!$L447,V$4&lt;='2025'!$M447), V$4&lt;&gt;DATE(2025,7,4)), (SWITCH(weekday(V$4), 1, 0, 2, if(ISBLANK('2025'!$P447), 0, 1), 3, if(ISBLANK('2025'!$Q447), 0, 1), 4, if(ISBLANK('2025'!$R447), 0, 1), 5, if(ISBLANK('2025'!$S447), 0, 1), 6, if(ISBLANK('2025'!$T447), 0, 1), 7, 0))), 1, "")</f>
        <v/>
      </c>
      <c r="W484" s="1" t="str">
        <f>IF(AND(AND(AND(W$4&gt;='2025'!$L447,W$4&lt;='2025'!$M447), W$4&lt;&gt;DATE(2025,7,4)), (SWITCH(weekday(W$4), 1, 0, 2, if(ISBLANK('2025'!$P447), 0, 1), 3, if(ISBLANK('2025'!$Q447), 0, 1), 4, if(ISBLANK('2025'!$R447), 0, 1), 5, if(ISBLANK('2025'!$S447), 0, 1), 6, if(ISBLANK('2025'!$T447), 0, 1), 7, 0))), 1, "")</f>
        <v/>
      </c>
      <c r="X484" s="1" t="str">
        <f>IF(AND(AND(AND(X$4&gt;='2025'!$L447,X$4&lt;='2025'!$M447), X$4&lt;&gt;DATE(2025,7,4)), (SWITCH(weekday(X$4), 1, 0, 2, if(ISBLANK('2025'!$P447), 0, 1), 3, if(ISBLANK('2025'!$Q447), 0, 1), 4, if(ISBLANK('2025'!$R447), 0, 1), 5, if(ISBLANK('2025'!$S447), 0, 1), 6, if(ISBLANK('2025'!$T447), 0, 1), 7, 0))), 1, "")</f>
        <v/>
      </c>
      <c r="Y484" s="1" t="str">
        <f>IF(AND(AND(AND(Y$4&gt;='2025'!$L447,Y$4&lt;='2025'!$M447), Y$4&lt;&gt;DATE(2025,7,4)), (SWITCH(weekday(Y$4), 1, 0, 2, if(ISBLANK('2025'!$P447), 0, 1), 3, if(ISBLANK('2025'!$Q447), 0, 1), 4, if(ISBLANK('2025'!$R447), 0, 1), 5, if(ISBLANK('2025'!$S447), 0, 1), 6, if(ISBLANK('2025'!$T447), 0, 1), 7, 0))), 1, "")</f>
        <v/>
      </c>
      <c r="Z484" s="1" t="str">
        <f>IF(AND(AND(AND(Z$4&gt;='2025'!$L447,Z$4&lt;='2025'!$M447), Z$4&lt;&gt;DATE(2025,7,4)), (SWITCH(weekday(Z$4), 1, 0, 2, if(ISBLANK('2025'!$P447), 0, 1), 3, if(ISBLANK('2025'!$Q447), 0, 1), 4, if(ISBLANK('2025'!$R447), 0, 1), 5, if(ISBLANK('2025'!$S447), 0, 1), 6, if(ISBLANK('2025'!$T447), 0, 1), 7, 0))), 1, "")</f>
        <v/>
      </c>
      <c r="AA484" s="1" t="str">
        <f>IF(AND(AND(AND(AA$4&gt;='2025'!$L447,AA$4&lt;='2025'!$M447), AA$4&lt;&gt;DATE(2025,7,4)), (SWITCH(weekday(AA$4), 1, 0, 2, if(ISBLANK('2025'!$P447), 0, 1), 3, if(ISBLANK('2025'!$Q447), 0, 1), 4, if(ISBLANK('2025'!$R447), 0, 1), 5, if(ISBLANK('2025'!$S447), 0, 1), 6, if(ISBLANK('2025'!$T447), 0, 1), 7, 0))), 1, "")</f>
        <v/>
      </c>
      <c r="AB484" s="1" t="str">
        <f>IF(AND(AND(AND(AB$4&gt;='2025'!$L447,AB$4&lt;='2025'!$M447), AB$4&lt;&gt;DATE(2025,7,4)), (SWITCH(weekday(AB$4), 1, 0, 2, if(ISBLANK('2025'!$P447), 0, 1), 3, if(ISBLANK('2025'!$Q447), 0, 1), 4, if(ISBLANK('2025'!$R447), 0, 1), 5, if(ISBLANK('2025'!$S447), 0, 1), 6, if(ISBLANK('2025'!$T447), 0, 1), 7, 0))), 1, "")</f>
        <v/>
      </c>
      <c r="AC484" s="1" t="str">
        <f>IF(AND(AND(AND(AC$4&gt;='2025'!$L447,AC$4&lt;='2025'!$M447), AC$4&lt;&gt;DATE(2025,7,4)), (SWITCH(weekday(AC$4), 1, 0, 2, if(ISBLANK('2025'!$P447), 0, 1), 3, if(ISBLANK('2025'!$Q447), 0, 1), 4, if(ISBLANK('2025'!$R447), 0, 1), 5, if(ISBLANK('2025'!$S447), 0, 1), 6, if(ISBLANK('2025'!$T447), 0, 1), 7, 0))), 1, "")</f>
        <v/>
      </c>
      <c r="AD484" s="1" t="str">
        <f>IF(AND(AND(AND(AD$4&gt;='2025'!$L447,AD$4&lt;='2025'!$M447), AD$4&lt;&gt;DATE(2025,7,4)), (SWITCH(weekday(AD$4), 1, 0, 2, if(ISBLANK('2025'!$P447), 0, 1), 3, if(ISBLANK('2025'!$Q447), 0, 1), 4, if(ISBLANK('2025'!$R447), 0, 1), 5, if(ISBLANK('2025'!$S447), 0, 1), 6, if(ISBLANK('2025'!$T447), 0, 1), 7, 0))), 1, "")</f>
        <v/>
      </c>
      <c r="AE484" s="1" t="str">
        <f>IF(AND(AND(AND(AE$4&gt;='2025'!$L447,AE$4&lt;='2025'!$M447), AE$4&lt;&gt;DATE(2025,7,4)), (SWITCH(weekday(AE$4), 1, 0, 2, if(ISBLANK('2025'!$P447), 0, 1), 3, if(ISBLANK('2025'!$Q447), 0, 1), 4, if(ISBLANK('2025'!$R447), 0, 1), 5, if(ISBLANK('2025'!$S447), 0, 1), 6, if(ISBLANK('2025'!$T447), 0, 1), 7, 0))), 1, "")</f>
        <v/>
      </c>
      <c r="AF484" s="1" t="str">
        <f>IF(AND(AND(AND(AF$4&gt;='2025'!$L447,AF$4&lt;='2025'!$M447), AF$4&lt;&gt;DATE(2025,7,4)), (SWITCH(weekday(AF$4), 1, 0, 2, if(ISBLANK('2025'!$P447), 0, 1), 3, if(ISBLANK('2025'!$Q447), 0, 1), 4, if(ISBLANK('2025'!$R447), 0, 1), 5, if(ISBLANK('2025'!$S447), 0, 1), 6, if(ISBLANK('2025'!$T447), 0, 1), 7, 0))), 1, "")</f>
        <v/>
      </c>
      <c r="AG484" s="1" t="str">
        <f>IF(AND(AND(AND(AG$4&gt;='2025'!$L447,AG$4&lt;='2025'!$M447), AG$4&lt;&gt;DATE(2025,7,4)), (SWITCH(weekday(AG$4), 1, 0, 2, if(ISBLANK('2025'!$P447), 0, 1), 3, if(ISBLANK('2025'!$Q447), 0, 1), 4, if(ISBLANK('2025'!$R447), 0, 1), 5, if(ISBLANK('2025'!$S447), 0, 1), 6, if(ISBLANK('2025'!$T447), 0, 1), 7, 0))), 1, "")</f>
        <v/>
      </c>
      <c r="AH484" s="1" t="str">
        <f>IF(AND(AND(AND(AH$4&gt;='2025'!$L447,AH$4&lt;='2025'!$M447), AH$4&lt;&gt;DATE(2025,7,4)), (SWITCH(weekday(AH$4), 1, 0, 2, if(ISBLANK('2025'!$P447), 0, 1), 3, if(ISBLANK('2025'!$Q447), 0, 1), 4, if(ISBLANK('2025'!$R447), 0, 1), 5, if(ISBLANK('2025'!$S447), 0, 1), 6, if(ISBLANK('2025'!$T447), 0, 1), 7, 0))), 1, "")</f>
        <v/>
      </c>
      <c r="AI484" s="1" t="str">
        <f>IF(AND(AND(AND(AI$4&gt;='2025'!$L447,AI$4&lt;='2025'!$M447), AI$4&lt;&gt;DATE(2025,7,4)), (SWITCH(weekday(AI$4), 1, 0, 2, if(ISBLANK('2025'!$P447), 0, 1), 3, if(ISBLANK('2025'!$Q447), 0, 1), 4, if(ISBLANK('2025'!$R447), 0, 1), 5, if(ISBLANK('2025'!$S447), 0, 1), 6, if(ISBLANK('2025'!$T447), 0, 1), 7, 0))), 1, "")</f>
        <v/>
      </c>
      <c r="AJ484" s="1" t="str">
        <f>IF(AND(AND(AND(AJ$4&gt;='2025'!$L447,AJ$4&lt;='2025'!$M447), AJ$4&lt;&gt;DATE(2025,7,4)), (SWITCH(weekday(AJ$4), 1, 0, 2, if(ISBLANK('2025'!$P447), 0, 1), 3, if(ISBLANK('2025'!$Q447), 0, 1), 4, if(ISBLANK('2025'!$R447), 0, 1), 5, if(ISBLANK('2025'!$S447), 0, 1), 6, if(ISBLANK('2025'!$T447), 0, 1), 7, 0))), 1, "")</f>
        <v/>
      </c>
      <c r="AK484" s="1" t="str">
        <f>IF(AND(AND(AND(AK$4&gt;='2025'!$L447,AK$4&lt;='2025'!$M447), AK$4&lt;&gt;DATE(2025,7,4)), (SWITCH(weekday(AK$4), 1, 0, 2, if(ISBLANK('2025'!$P447), 0, 1), 3, if(ISBLANK('2025'!$Q447), 0, 1), 4, if(ISBLANK('2025'!$R447), 0, 1), 5, if(ISBLANK('2025'!$S447), 0, 1), 6, if(ISBLANK('2025'!$T447), 0, 1), 7, 0))), 1, "")</f>
        <v/>
      </c>
      <c r="AL484" s="1" t="str">
        <f>IF(AND(AND(AND(AL$4&gt;='2025'!$L447,AL$4&lt;='2025'!$M447), AL$4&lt;&gt;DATE(2025,7,4)), (SWITCH(weekday(AL$4), 1, 0, 2, if(ISBLANK('2025'!$P447), 0, 1), 3, if(ISBLANK('2025'!$Q447), 0, 1), 4, if(ISBLANK('2025'!$R447), 0, 1), 5, if(ISBLANK('2025'!$S447), 0, 1), 6, if(ISBLANK('2025'!$T447), 0, 1), 7, 0))), 1, "")</f>
        <v/>
      </c>
      <c r="AM484" s="1" t="str">
        <f>IF(AND(AND(AND(AM$4&gt;='2025'!$L447,AM$4&lt;='2025'!$M447), AM$4&lt;&gt;DATE(2025,7,4)), (SWITCH(weekday(AM$4), 1, 0, 2, if(ISBLANK('2025'!$P447), 0, 1), 3, if(ISBLANK('2025'!$Q447), 0, 1), 4, if(ISBLANK('2025'!$R447), 0, 1), 5, if(ISBLANK('2025'!$S447), 0, 1), 6, if(ISBLANK('2025'!$T447), 0, 1), 7, 0))), 1, "")</f>
        <v/>
      </c>
      <c r="AN484" s="1" t="str">
        <f>IF(AND(AND(AND(AN$4&gt;='2025'!$L447,AN$4&lt;='2025'!$M447), AN$4&lt;&gt;DATE(2025,7,4)), (SWITCH(weekday(AN$4), 1, 0, 2, if(ISBLANK('2025'!$P447), 0, 1), 3, if(ISBLANK('2025'!$Q447), 0, 1), 4, if(ISBLANK('2025'!$R447), 0, 1), 5, if(ISBLANK('2025'!$S447), 0, 1), 6, if(ISBLANK('2025'!$T447), 0, 1), 7, 0))), 1, "")</f>
        <v/>
      </c>
      <c r="AO484" s="1" t="str">
        <f>IF(AND(AND(AND(AO$4&gt;='2025'!$L447,AO$4&lt;='2025'!$M447), AO$4&lt;&gt;DATE(2025,7,4)), (SWITCH(weekday(AO$4), 1, 0, 2, if(ISBLANK('2025'!$P447), 0, 1), 3, if(ISBLANK('2025'!$Q447), 0, 1), 4, if(ISBLANK('2025'!$R447), 0, 1), 5, if(ISBLANK('2025'!$S447), 0, 1), 6, if(ISBLANK('2025'!$T447), 0, 1), 7, 0))), 1, "")</f>
        <v/>
      </c>
      <c r="AP484" s="1" t="str">
        <f>IF(AND(AND(AND(AP$4&gt;='2025'!$L447,AP$4&lt;='2025'!$M447), AP$4&lt;&gt;DATE(2025,7,4)), (SWITCH(weekday(AP$4), 1, 0, 2, if(ISBLANK('2025'!$P447), 0, 1), 3, if(ISBLANK('2025'!$Q447), 0, 1), 4, if(ISBLANK('2025'!$R447), 0, 1), 5, if(ISBLANK('2025'!$S447), 0, 1), 6, if(ISBLANK('2025'!$T447), 0, 1), 7, 0))), 1, "")</f>
        <v/>
      </c>
      <c r="AQ484" s="1" t="str">
        <f>IF(AND(AND(AND(AQ$4&gt;='2025'!$L447,AQ$4&lt;='2025'!$M447), AQ$4&lt;&gt;DATE(2025,7,4)), (SWITCH(weekday(AQ$4), 1, 0, 2, if(ISBLANK('2025'!$P447), 0, 1), 3, if(ISBLANK('2025'!$Q447), 0, 1), 4, if(ISBLANK('2025'!$R447), 0, 1), 5, if(ISBLANK('2025'!$S447), 0, 1), 6, if(ISBLANK('2025'!$T447), 0, 1), 7, 0))), 1, "")</f>
        <v/>
      </c>
      <c r="AR484" s="1" t="str">
        <f>IF(AND(AND(AND(AR$4&gt;='2025'!$L447,AR$4&lt;='2025'!$M447), AR$4&lt;&gt;DATE(2025,7,4)), (SWITCH(weekday(AR$4), 1, 0, 2, if(ISBLANK('2025'!$P447), 0, 1), 3, if(ISBLANK('2025'!$Q447), 0, 1), 4, if(ISBLANK('2025'!$R447), 0, 1), 5, if(ISBLANK('2025'!$S447), 0, 1), 6, if(ISBLANK('2025'!$T447), 0, 1), 7, 0))), 1, "")</f>
        <v/>
      </c>
      <c r="AS484" s="1" t="str">
        <f>IF(AND(AND(AND(AS$4&gt;='2025'!$L447,AS$4&lt;='2025'!$M447), AS$4&lt;&gt;DATE(2025,7,4)), (SWITCH(weekday(AS$4), 1, 0, 2, if(ISBLANK('2025'!$P447), 0, 1), 3, if(ISBLANK('2025'!$Q447), 0, 1), 4, if(ISBLANK('2025'!$R447), 0, 1), 5, if(ISBLANK('2025'!$S447), 0, 1), 6, if(ISBLANK('2025'!$T447), 0, 1), 7, 0))), 1, "")</f>
        <v/>
      </c>
      <c r="AT484" s="1" t="str">
        <f>IF(AND(AND(AND(AT$4&gt;='2025'!$L447,AT$4&lt;='2025'!$M447), AT$4&lt;&gt;DATE(2025,7,4)), (SWITCH(weekday(AT$4), 1, 0, 2, if(ISBLANK('2025'!$P447), 0, 1), 3, if(ISBLANK('2025'!$Q447), 0, 1), 4, if(ISBLANK('2025'!$R447), 0, 1), 5, if(ISBLANK('2025'!$S447), 0, 1), 6, if(ISBLANK('2025'!$T447), 0, 1), 7, 0))), 1, "")</f>
        <v/>
      </c>
      <c r="AU484" s="1" t="str">
        <f>IF(AND(AND(AND(AU$4&gt;='2025'!$L447,AU$4&lt;='2025'!$M447), AU$4&lt;&gt;DATE(2025,7,4)), (SWITCH(weekday(AU$4), 1, 0, 2, if(ISBLANK('2025'!$P447), 0, 1), 3, if(ISBLANK('2025'!$Q447), 0, 1), 4, if(ISBLANK('2025'!$R447), 0, 1), 5, if(ISBLANK('2025'!$S447), 0, 1), 6, if(ISBLANK('2025'!$T447), 0, 1), 7, 0))), 1, "")</f>
        <v/>
      </c>
      <c r="AV484" s="1" t="str">
        <f>IF(AND(AND(AND(AV$4&gt;='2025'!$L447,AV$4&lt;='2025'!$M447), AV$4&lt;&gt;DATE(2025,7,4)), (SWITCH(weekday(AV$4), 1, 0, 2, if(ISBLANK('2025'!$P447), 0, 1), 3, if(ISBLANK('2025'!$Q447), 0, 1), 4, if(ISBLANK('2025'!$R447), 0, 1), 5, if(ISBLANK('2025'!$S447), 0, 1), 6, if(ISBLANK('2025'!$T447), 0, 1), 7, 0))), 1, "")</f>
        <v/>
      </c>
      <c r="AW484" s="1" t="str">
        <f>IF(AND(AND(AND(AW$4&gt;='2025'!$L447,AW$4&lt;='2025'!$M447), AW$4&lt;&gt;DATE(2025,7,4)), (SWITCH(weekday(AW$4), 1, 0, 2, if(ISBLANK('2025'!$P447), 0, 1), 3, if(ISBLANK('2025'!$Q447), 0, 1), 4, if(ISBLANK('2025'!$R447), 0, 1), 5, if(ISBLANK('2025'!$S447), 0, 1), 6, if(ISBLANK('2025'!$T447), 0, 1), 7, 0))), 1, "")</f>
        <v/>
      </c>
      <c r="AX484" s="1" t="str">
        <f>IF(AND(AND(AND(AX$4&gt;='2025'!$L447,AX$4&lt;='2025'!$M447), AX$4&lt;&gt;DATE(2025,7,4)), (SWITCH(weekday(AX$4), 1, 0, 2, if(ISBLANK('2025'!$P447), 0, 1), 3, if(ISBLANK('2025'!$Q447), 0, 1), 4, if(ISBLANK('2025'!$R447), 0, 1), 5, if(ISBLANK('2025'!$S447), 0, 1), 6, if(ISBLANK('2025'!$T447), 0, 1), 7, 0))), 1, "")</f>
        <v/>
      </c>
      <c r="AY484" s="1" t="str">
        <f>IF(AND(AND(AND(AY$4&gt;='2025'!$L447,AY$4&lt;='2025'!$M447), AY$4&lt;&gt;DATE(2025,7,4)), (SWITCH(weekday(AY$4), 1, 0, 2, if(ISBLANK('2025'!$P447), 0, 1), 3, if(ISBLANK('2025'!$Q447), 0, 1), 4, if(ISBLANK('2025'!$R447), 0, 1), 5, if(ISBLANK('2025'!$S447), 0, 1), 6, if(ISBLANK('2025'!$T447), 0, 1), 7, 0))), 1, "")</f>
        <v/>
      </c>
      <c r="AZ484" s="1" t="str">
        <f>IF(AND(AND(AND(AZ$4&gt;='2025'!$L447,AZ$4&lt;='2025'!$M447), AZ$4&lt;&gt;DATE(2025,7,4)), (SWITCH(weekday(AZ$4), 1, 0, 2, if(ISBLANK('2025'!$P447), 0, 1), 3, if(ISBLANK('2025'!$Q447), 0, 1), 4, if(ISBLANK('2025'!$R447), 0, 1), 5, if(ISBLANK('2025'!$S447), 0, 1), 6, if(ISBLANK('2025'!$T447), 0, 1), 7, 0))), 1, "")</f>
        <v/>
      </c>
      <c r="BA484" s="1" t="str">
        <f>IF(AND(AND(AND(BA$4&gt;='2025'!$L447,BA$4&lt;='2025'!$M447), BA$4&lt;&gt;DATE(2025,7,4)), (SWITCH(weekday(BA$4), 1, 0, 2, if(ISBLANK('2025'!$P447), 0, 1), 3, if(ISBLANK('2025'!$Q447), 0, 1), 4, if(ISBLANK('2025'!$R447), 0, 1), 5, if(ISBLANK('2025'!$S447), 0, 1), 6, if(ISBLANK('2025'!$T447), 0, 1), 7, 0))), 1, "")</f>
        <v/>
      </c>
      <c r="BB484" s="1" t="str">
        <f>IF(AND(AND(AND(BB$4&gt;='2025'!$L447,BB$4&lt;='2025'!$M447), BB$4&lt;&gt;DATE(2025,7,4)), (SWITCH(weekday(BB$4), 1, 0, 2, if(ISBLANK('2025'!$P447), 0, 1), 3, if(ISBLANK('2025'!$Q447), 0, 1), 4, if(ISBLANK('2025'!$R447), 0, 1), 5, if(ISBLANK('2025'!$S447), 0, 1), 6, if(ISBLANK('2025'!$T447), 0, 1), 7, 0))), 1, "")</f>
        <v/>
      </c>
      <c r="BC484" s="1" t="str">
        <f>IF(AND(AND(AND(BC$4&gt;='2025'!$L447,BC$4&lt;='2025'!$M447), BC$4&lt;&gt;DATE(2025,7,4)), (SWITCH(weekday(BC$4), 1, 0, 2, if(ISBLANK('2025'!$P447), 0, 1), 3, if(ISBLANK('2025'!$Q447), 0, 1), 4, if(ISBLANK('2025'!$R447), 0, 1), 5, if(ISBLANK('2025'!$S447), 0, 1), 6, if(ISBLANK('2025'!$T447), 0, 1), 7, 0))), 1, "")</f>
        <v/>
      </c>
      <c r="BD484" s="1" t="str">
        <f>IF(AND(AND(AND(BD$4&gt;='2025'!$L447,BD$4&lt;='2025'!$M447), BD$4&lt;&gt;DATE(2025,7,4)), (SWITCH(weekday(BD$4), 1, 0, 2, if(ISBLANK('2025'!$P447), 0, 1), 3, if(ISBLANK('2025'!$Q447), 0, 1), 4, if(ISBLANK('2025'!$R447), 0, 1), 5, if(ISBLANK('2025'!$S447), 0, 1), 6, if(ISBLANK('2025'!$T447), 0, 1), 7, 0))), 1, "")</f>
        <v/>
      </c>
      <c r="BE484" s="1" t="str">
        <f>IF(AND(AND(AND(BE$4&gt;='2025'!$L447,BE$4&lt;='2025'!$M447), BE$4&lt;&gt;DATE(2025,7,4)), (SWITCH(weekday(BE$4), 1, 0, 2, if(ISBLANK('2025'!$P447), 0, 1), 3, if(ISBLANK('2025'!$Q447), 0, 1), 4, if(ISBLANK('2025'!$R447), 0, 1), 5, if(ISBLANK('2025'!$S447), 0, 1), 6, if(ISBLANK('2025'!$T447), 0, 1), 7, 0))), 1, "")</f>
        <v/>
      </c>
    </row>
    <row r="485">
      <c r="A485" s="1">
        <f t="shared" si="3"/>
        <v>485</v>
      </c>
      <c r="B485" s="1" t="str">
        <f>'2025'!D448</f>
        <v/>
      </c>
      <c r="C485" s="1" t="str">
        <f>'2025'!H448</f>
        <v/>
      </c>
      <c r="D485" s="1" t="str">
        <f>IF(AND(AND(AND(D$4&gt;='2025'!$L448,D$4&lt;='2025'!$M448), D$4&lt;&gt;DATE(2025,7,4)), (SWITCH(weekday(D$4), 1, 0, 2, if(ISBLANK('2025'!$P448), 0, 1), 3, if(ISBLANK('2025'!$Q448), 0, 1), 4, if(ISBLANK('2025'!$R448), 0, 1), 5, if(ISBLANK('2025'!$S448), 0, 1), 6, if(ISBLANK('2025'!$T448), 0, 1), 7, 0))), 1, "")</f>
        <v/>
      </c>
      <c r="E485" s="1" t="str">
        <f>IF(AND(AND(AND(E$4&gt;='2025'!$L448,E$4&lt;='2025'!$M448), E$4&lt;&gt;DATE(2025,7,4)), (SWITCH(weekday(E$4), 1, 0, 2, if(ISBLANK('2025'!$P448), 0, 1), 3, if(ISBLANK('2025'!$Q448), 0, 1), 4, if(ISBLANK('2025'!$R448), 0, 1), 5, if(ISBLANK('2025'!$S448), 0, 1), 6, if(ISBLANK('2025'!$T448), 0, 1), 7, 0))), 1, "")</f>
        <v/>
      </c>
      <c r="F485" s="1" t="str">
        <f>IF(AND(AND(AND(F$4&gt;='2025'!$L448,F$4&lt;='2025'!$M448), F$4&lt;&gt;DATE(2025,7,4)), (SWITCH(weekday(F$4), 1, 0, 2, if(ISBLANK('2025'!$P448), 0, 1), 3, if(ISBLANK('2025'!$Q448), 0, 1), 4, if(ISBLANK('2025'!$R448), 0, 1), 5, if(ISBLANK('2025'!$S448), 0, 1), 6, if(ISBLANK('2025'!$T448), 0, 1), 7, 0))), 1, "")</f>
        <v/>
      </c>
      <c r="G485" s="1" t="str">
        <f>IF(AND(AND(AND(G$4&gt;='2025'!$L448,G$4&lt;='2025'!$M448), G$4&lt;&gt;DATE(2025,7,4)), (SWITCH(weekday(G$4), 1, 0, 2, if(ISBLANK('2025'!$P448), 0, 1), 3, if(ISBLANK('2025'!$Q448), 0, 1), 4, if(ISBLANK('2025'!$R448), 0, 1), 5, if(ISBLANK('2025'!$S448), 0, 1), 6, if(ISBLANK('2025'!$T448), 0, 1), 7, 0))), 1, "")</f>
        <v/>
      </c>
      <c r="H485" s="1" t="str">
        <f>IF(AND(AND(AND(H$4&gt;='2025'!$L448,H$4&lt;='2025'!$M448), H$4&lt;&gt;DATE(2025,7,4)), (SWITCH(weekday(H$4), 1, 0, 2, if(ISBLANK('2025'!$P448), 0, 1), 3, if(ISBLANK('2025'!$Q448), 0, 1), 4, if(ISBLANK('2025'!$R448), 0, 1), 5, if(ISBLANK('2025'!$S448), 0, 1), 6, if(ISBLANK('2025'!$T448), 0, 1), 7, 0))), 1, "")</f>
        <v/>
      </c>
      <c r="I485" s="1" t="str">
        <f>IF(AND(AND(AND(I$4&gt;='2025'!$L448,I$4&lt;='2025'!$M448), I$4&lt;&gt;DATE(2025,7,4)), (SWITCH(weekday(I$4), 1, 0, 2, if(ISBLANK('2025'!$P448), 0, 1), 3, if(ISBLANK('2025'!$Q448), 0, 1), 4, if(ISBLANK('2025'!$R448), 0, 1), 5, if(ISBLANK('2025'!$S448), 0, 1), 6, if(ISBLANK('2025'!$T448), 0, 1), 7, 0))), 1, "")</f>
        <v/>
      </c>
      <c r="J485" s="1" t="str">
        <f>IF(AND(AND(AND(J$4&gt;='2025'!$L448,J$4&lt;='2025'!$M448), J$4&lt;&gt;DATE(2025,7,4)), (SWITCH(weekday(J$4), 1, 0, 2, if(ISBLANK('2025'!$P448), 0, 1), 3, if(ISBLANK('2025'!$Q448), 0, 1), 4, if(ISBLANK('2025'!$R448), 0, 1), 5, if(ISBLANK('2025'!$S448), 0, 1), 6, if(ISBLANK('2025'!$T448), 0, 1), 7, 0))), 1, "")</f>
        <v/>
      </c>
      <c r="K485" s="1" t="str">
        <f>IF(AND(AND(AND(K$4&gt;='2025'!$L448,K$4&lt;='2025'!$M448), K$4&lt;&gt;DATE(2025,7,4)), (SWITCH(weekday(K$4), 1, 0, 2, if(ISBLANK('2025'!$P448), 0, 1), 3, if(ISBLANK('2025'!$Q448), 0, 1), 4, if(ISBLANK('2025'!$R448), 0, 1), 5, if(ISBLANK('2025'!$S448), 0, 1), 6, if(ISBLANK('2025'!$T448), 0, 1), 7, 0))), 1, "")</f>
        <v/>
      </c>
      <c r="L485" s="1" t="str">
        <f>IF(AND(AND(AND(L$4&gt;='2025'!$L448,L$4&lt;='2025'!$M448), L$4&lt;&gt;DATE(2025,7,4)), (SWITCH(weekday(L$4), 1, 0, 2, if(ISBLANK('2025'!$P448), 0, 1), 3, if(ISBLANK('2025'!$Q448), 0, 1), 4, if(ISBLANK('2025'!$R448), 0, 1), 5, if(ISBLANK('2025'!$S448), 0, 1), 6, if(ISBLANK('2025'!$T448), 0, 1), 7, 0))), 1, "")</f>
        <v/>
      </c>
      <c r="M485" s="1" t="str">
        <f>IF(AND(AND(AND(M$4&gt;='2025'!$L448,M$4&lt;='2025'!$M448), M$4&lt;&gt;DATE(2025,7,4)), (SWITCH(weekday(M$4), 1, 0, 2, if(ISBLANK('2025'!$P448), 0, 1), 3, if(ISBLANK('2025'!$Q448), 0, 1), 4, if(ISBLANK('2025'!$R448), 0, 1), 5, if(ISBLANK('2025'!$S448), 0, 1), 6, if(ISBLANK('2025'!$T448), 0, 1), 7, 0))), 1, "")</f>
        <v/>
      </c>
      <c r="N485" s="1" t="str">
        <f>IF(AND(AND(AND(N$4&gt;='2025'!$L448,N$4&lt;='2025'!$M448), N$4&lt;&gt;DATE(2025,7,4)), (SWITCH(weekday(N$4), 1, 0, 2, if(ISBLANK('2025'!$P448), 0, 1), 3, if(ISBLANK('2025'!$Q448), 0, 1), 4, if(ISBLANK('2025'!$R448), 0, 1), 5, if(ISBLANK('2025'!$S448), 0, 1), 6, if(ISBLANK('2025'!$T448), 0, 1), 7, 0))), 1, "")</f>
        <v/>
      </c>
      <c r="O485" s="1" t="str">
        <f>IF(AND(AND(AND(O$4&gt;='2025'!$L448,O$4&lt;='2025'!$M448), O$4&lt;&gt;DATE(2025,7,4)), (SWITCH(weekday(O$4), 1, 0, 2, if(ISBLANK('2025'!$P448), 0, 1), 3, if(ISBLANK('2025'!$Q448), 0, 1), 4, if(ISBLANK('2025'!$R448), 0, 1), 5, if(ISBLANK('2025'!$S448), 0, 1), 6, if(ISBLANK('2025'!$T448), 0, 1), 7, 0))), 1, "")</f>
        <v/>
      </c>
      <c r="P485" s="1" t="str">
        <f>IF(AND(AND(AND(P$4&gt;='2025'!$L448,P$4&lt;='2025'!$M448), P$4&lt;&gt;DATE(2025,7,4)), (SWITCH(weekday(P$4), 1, 0, 2, if(ISBLANK('2025'!$P448), 0, 1), 3, if(ISBLANK('2025'!$Q448), 0, 1), 4, if(ISBLANK('2025'!$R448), 0, 1), 5, if(ISBLANK('2025'!$S448), 0, 1), 6, if(ISBLANK('2025'!$T448), 0, 1), 7, 0))), 1, "")</f>
        <v/>
      </c>
      <c r="Q485" s="1" t="str">
        <f>IF(AND(AND(AND(Q$4&gt;='2025'!$L448,Q$4&lt;='2025'!$M448), Q$4&lt;&gt;DATE(2025,7,4)), (SWITCH(weekday(Q$4), 1, 0, 2, if(ISBLANK('2025'!$P448), 0, 1), 3, if(ISBLANK('2025'!$Q448), 0, 1), 4, if(ISBLANK('2025'!$R448), 0, 1), 5, if(ISBLANK('2025'!$S448), 0, 1), 6, if(ISBLANK('2025'!$T448), 0, 1), 7, 0))), 1, "")</f>
        <v/>
      </c>
      <c r="R485" s="1" t="str">
        <f>IF(AND(AND(AND(R$4&gt;='2025'!$L448,R$4&lt;='2025'!$M448), R$4&lt;&gt;DATE(2025,7,4)), (SWITCH(weekday(R$4), 1, 0, 2, if(ISBLANK('2025'!$P448), 0, 1), 3, if(ISBLANK('2025'!$Q448), 0, 1), 4, if(ISBLANK('2025'!$R448), 0, 1), 5, if(ISBLANK('2025'!$S448), 0, 1), 6, if(ISBLANK('2025'!$T448), 0, 1), 7, 0))), 1, "")</f>
        <v/>
      </c>
      <c r="S485" s="1" t="str">
        <f>IF(AND(AND(AND(S$4&gt;='2025'!$L448,S$4&lt;='2025'!$M448), S$4&lt;&gt;DATE(2025,7,4)), (SWITCH(weekday(S$4), 1, 0, 2, if(ISBLANK('2025'!$P448), 0, 1), 3, if(ISBLANK('2025'!$Q448), 0, 1), 4, if(ISBLANK('2025'!$R448), 0, 1), 5, if(ISBLANK('2025'!$S448), 0, 1), 6, if(ISBLANK('2025'!$T448), 0, 1), 7, 0))), 1, "")</f>
        <v/>
      </c>
      <c r="T485" s="1" t="str">
        <f>IF(AND(AND(AND(T$4&gt;='2025'!$L448,T$4&lt;='2025'!$M448), T$4&lt;&gt;DATE(2025,7,4)), (SWITCH(weekday(T$4), 1, 0, 2, if(ISBLANK('2025'!$P448), 0, 1), 3, if(ISBLANK('2025'!$Q448), 0, 1), 4, if(ISBLANK('2025'!$R448), 0, 1), 5, if(ISBLANK('2025'!$S448), 0, 1), 6, if(ISBLANK('2025'!$T448), 0, 1), 7, 0))), 1, "")</f>
        <v/>
      </c>
      <c r="U485" s="1" t="str">
        <f>IF(AND(AND(AND(U$4&gt;='2025'!$L448,U$4&lt;='2025'!$M448), U$4&lt;&gt;DATE(2025,7,4)), (SWITCH(weekday(U$4), 1, 0, 2, if(ISBLANK('2025'!$P448), 0, 1), 3, if(ISBLANK('2025'!$Q448), 0, 1), 4, if(ISBLANK('2025'!$R448), 0, 1), 5, if(ISBLANK('2025'!$S448), 0, 1), 6, if(ISBLANK('2025'!$T448), 0, 1), 7, 0))), 1, "")</f>
        <v/>
      </c>
      <c r="V485" s="1" t="str">
        <f>IF(AND(AND(AND(V$4&gt;='2025'!$L448,V$4&lt;='2025'!$M448), V$4&lt;&gt;DATE(2025,7,4)), (SWITCH(weekday(V$4), 1, 0, 2, if(ISBLANK('2025'!$P448), 0, 1), 3, if(ISBLANK('2025'!$Q448), 0, 1), 4, if(ISBLANK('2025'!$R448), 0, 1), 5, if(ISBLANK('2025'!$S448), 0, 1), 6, if(ISBLANK('2025'!$T448), 0, 1), 7, 0))), 1, "")</f>
        <v/>
      </c>
      <c r="W485" s="1" t="str">
        <f>IF(AND(AND(AND(W$4&gt;='2025'!$L448,W$4&lt;='2025'!$M448), W$4&lt;&gt;DATE(2025,7,4)), (SWITCH(weekday(W$4), 1, 0, 2, if(ISBLANK('2025'!$P448), 0, 1), 3, if(ISBLANK('2025'!$Q448), 0, 1), 4, if(ISBLANK('2025'!$R448), 0, 1), 5, if(ISBLANK('2025'!$S448), 0, 1), 6, if(ISBLANK('2025'!$T448), 0, 1), 7, 0))), 1, "")</f>
        <v/>
      </c>
      <c r="X485" s="1" t="str">
        <f>IF(AND(AND(AND(X$4&gt;='2025'!$L448,X$4&lt;='2025'!$M448), X$4&lt;&gt;DATE(2025,7,4)), (SWITCH(weekday(X$4), 1, 0, 2, if(ISBLANK('2025'!$P448), 0, 1), 3, if(ISBLANK('2025'!$Q448), 0, 1), 4, if(ISBLANK('2025'!$R448), 0, 1), 5, if(ISBLANK('2025'!$S448), 0, 1), 6, if(ISBLANK('2025'!$T448), 0, 1), 7, 0))), 1, "")</f>
        <v/>
      </c>
      <c r="Y485" s="1" t="str">
        <f>IF(AND(AND(AND(Y$4&gt;='2025'!$L448,Y$4&lt;='2025'!$M448), Y$4&lt;&gt;DATE(2025,7,4)), (SWITCH(weekday(Y$4), 1, 0, 2, if(ISBLANK('2025'!$P448), 0, 1), 3, if(ISBLANK('2025'!$Q448), 0, 1), 4, if(ISBLANK('2025'!$R448), 0, 1), 5, if(ISBLANK('2025'!$S448), 0, 1), 6, if(ISBLANK('2025'!$T448), 0, 1), 7, 0))), 1, "")</f>
        <v/>
      </c>
      <c r="Z485" s="1" t="str">
        <f>IF(AND(AND(AND(Z$4&gt;='2025'!$L448,Z$4&lt;='2025'!$M448), Z$4&lt;&gt;DATE(2025,7,4)), (SWITCH(weekday(Z$4), 1, 0, 2, if(ISBLANK('2025'!$P448), 0, 1), 3, if(ISBLANK('2025'!$Q448), 0, 1), 4, if(ISBLANK('2025'!$R448), 0, 1), 5, if(ISBLANK('2025'!$S448), 0, 1), 6, if(ISBLANK('2025'!$T448), 0, 1), 7, 0))), 1, "")</f>
        <v/>
      </c>
      <c r="AA485" s="1" t="str">
        <f>IF(AND(AND(AND(AA$4&gt;='2025'!$L448,AA$4&lt;='2025'!$M448), AA$4&lt;&gt;DATE(2025,7,4)), (SWITCH(weekday(AA$4), 1, 0, 2, if(ISBLANK('2025'!$P448), 0, 1), 3, if(ISBLANK('2025'!$Q448), 0, 1), 4, if(ISBLANK('2025'!$R448), 0, 1), 5, if(ISBLANK('2025'!$S448), 0, 1), 6, if(ISBLANK('2025'!$T448), 0, 1), 7, 0))), 1, "")</f>
        <v/>
      </c>
      <c r="AB485" s="1" t="str">
        <f>IF(AND(AND(AND(AB$4&gt;='2025'!$L448,AB$4&lt;='2025'!$M448), AB$4&lt;&gt;DATE(2025,7,4)), (SWITCH(weekday(AB$4), 1, 0, 2, if(ISBLANK('2025'!$P448), 0, 1), 3, if(ISBLANK('2025'!$Q448), 0, 1), 4, if(ISBLANK('2025'!$R448), 0, 1), 5, if(ISBLANK('2025'!$S448), 0, 1), 6, if(ISBLANK('2025'!$T448), 0, 1), 7, 0))), 1, "")</f>
        <v/>
      </c>
      <c r="AC485" s="1" t="str">
        <f>IF(AND(AND(AND(AC$4&gt;='2025'!$L448,AC$4&lt;='2025'!$M448), AC$4&lt;&gt;DATE(2025,7,4)), (SWITCH(weekday(AC$4), 1, 0, 2, if(ISBLANK('2025'!$P448), 0, 1), 3, if(ISBLANK('2025'!$Q448), 0, 1), 4, if(ISBLANK('2025'!$R448), 0, 1), 5, if(ISBLANK('2025'!$S448), 0, 1), 6, if(ISBLANK('2025'!$T448), 0, 1), 7, 0))), 1, "")</f>
        <v/>
      </c>
      <c r="AD485" s="1" t="str">
        <f>IF(AND(AND(AND(AD$4&gt;='2025'!$L448,AD$4&lt;='2025'!$M448), AD$4&lt;&gt;DATE(2025,7,4)), (SWITCH(weekday(AD$4), 1, 0, 2, if(ISBLANK('2025'!$P448), 0, 1), 3, if(ISBLANK('2025'!$Q448), 0, 1), 4, if(ISBLANK('2025'!$R448), 0, 1), 5, if(ISBLANK('2025'!$S448), 0, 1), 6, if(ISBLANK('2025'!$T448), 0, 1), 7, 0))), 1, "")</f>
        <v/>
      </c>
      <c r="AE485" s="1" t="str">
        <f>IF(AND(AND(AND(AE$4&gt;='2025'!$L448,AE$4&lt;='2025'!$M448), AE$4&lt;&gt;DATE(2025,7,4)), (SWITCH(weekday(AE$4), 1, 0, 2, if(ISBLANK('2025'!$P448), 0, 1), 3, if(ISBLANK('2025'!$Q448), 0, 1), 4, if(ISBLANK('2025'!$R448), 0, 1), 5, if(ISBLANK('2025'!$S448), 0, 1), 6, if(ISBLANK('2025'!$T448), 0, 1), 7, 0))), 1, "")</f>
        <v/>
      </c>
      <c r="AF485" s="1" t="str">
        <f>IF(AND(AND(AND(AF$4&gt;='2025'!$L448,AF$4&lt;='2025'!$M448), AF$4&lt;&gt;DATE(2025,7,4)), (SWITCH(weekday(AF$4), 1, 0, 2, if(ISBLANK('2025'!$P448), 0, 1), 3, if(ISBLANK('2025'!$Q448), 0, 1), 4, if(ISBLANK('2025'!$R448), 0, 1), 5, if(ISBLANK('2025'!$S448), 0, 1), 6, if(ISBLANK('2025'!$T448), 0, 1), 7, 0))), 1, "")</f>
        <v/>
      </c>
      <c r="AG485" s="1" t="str">
        <f>IF(AND(AND(AND(AG$4&gt;='2025'!$L448,AG$4&lt;='2025'!$M448), AG$4&lt;&gt;DATE(2025,7,4)), (SWITCH(weekday(AG$4), 1, 0, 2, if(ISBLANK('2025'!$P448), 0, 1), 3, if(ISBLANK('2025'!$Q448), 0, 1), 4, if(ISBLANK('2025'!$R448), 0, 1), 5, if(ISBLANK('2025'!$S448), 0, 1), 6, if(ISBLANK('2025'!$T448), 0, 1), 7, 0))), 1, "")</f>
        <v/>
      </c>
      <c r="AH485" s="1" t="str">
        <f>IF(AND(AND(AND(AH$4&gt;='2025'!$L448,AH$4&lt;='2025'!$M448), AH$4&lt;&gt;DATE(2025,7,4)), (SWITCH(weekday(AH$4), 1, 0, 2, if(ISBLANK('2025'!$P448), 0, 1), 3, if(ISBLANK('2025'!$Q448), 0, 1), 4, if(ISBLANK('2025'!$R448), 0, 1), 5, if(ISBLANK('2025'!$S448), 0, 1), 6, if(ISBLANK('2025'!$T448), 0, 1), 7, 0))), 1, "")</f>
        <v/>
      </c>
      <c r="AI485" s="1" t="str">
        <f>IF(AND(AND(AND(AI$4&gt;='2025'!$L448,AI$4&lt;='2025'!$M448), AI$4&lt;&gt;DATE(2025,7,4)), (SWITCH(weekday(AI$4), 1, 0, 2, if(ISBLANK('2025'!$P448), 0, 1), 3, if(ISBLANK('2025'!$Q448), 0, 1), 4, if(ISBLANK('2025'!$R448), 0, 1), 5, if(ISBLANK('2025'!$S448), 0, 1), 6, if(ISBLANK('2025'!$T448), 0, 1), 7, 0))), 1, "")</f>
        <v/>
      </c>
      <c r="AJ485" s="1" t="str">
        <f>IF(AND(AND(AND(AJ$4&gt;='2025'!$L448,AJ$4&lt;='2025'!$M448), AJ$4&lt;&gt;DATE(2025,7,4)), (SWITCH(weekday(AJ$4), 1, 0, 2, if(ISBLANK('2025'!$P448), 0, 1), 3, if(ISBLANK('2025'!$Q448), 0, 1), 4, if(ISBLANK('2025'!$R448), 0, 1), 5, if(ISBLANK('2025'!$S448), 0, 1), 6, if(ISBLANK('2025'!$T448), 0, 1), 7, 0))), 1, "")</f>
        <v/>
      </c>
      <c r="AK485" s="1" t="str">
        <f>IF(AND(AND(AND(AK$4&gt;='2025'!$L448,AK$4&lt;='2025'!$M448), AK$4&lt;&gt;DATE(2025,7,4)), (SWITCH(weekday(AK$4), 1, 0, 2, if(ISBLANK('2025'!$P448), 0, 1), 3, if(ISBLANK('2025'!$Q448), 0, 1), 4, if(ISBLANK('2025'!$R448), 0, 1), 5, if(ISBLANK('2025'!$S448), 0, 1), 6, if(ISBLANK('2025'!$T448), 0, 1), 7, 0))), 1, "")</f>
        <v/>
      </c>
      <c r="AL485" s="1" t="str">
        <f>IF(AND(AND(AND(AL$4&gt;='2025'!$L448,AL$4&lt;='2025'!$M448), AL$4&lt;&gt;DATE(2025,7,4)), (SWITCH(weekday(AL$4), 1, 0, 2, if(ISBLANK('2025'!$P448), 0, 1), 3, if(ISBLANK('2025'!$Q448), 0, 1), 4, if(ISBLANK('2025'!$R448), 0, 1), 5, if(ISBLANK('2025'!$S448), 0, 1), 6, if(ISBLANK('2025'!$T448), 0, 1), 7, 0))), 1, "")</f>
        <v/>
      </c>
      <c r="AM485" s="1" t="str">
        <f>IF(AND(AND(AND(AM$4&gt;='2025'!$L448,AM$4&lt;='2025'!$M448), AM$4&lt;&gt;DATE(2025,7,4)), (SWITCH(weekday(AM$4), 1, 0, 2, if(ISBLANK('2025'!$P448), 0, 1), 3, if(ISBLANK('2025'!$Q448), 0, 1), 4, if(ISBLANK('2025'!$R448), 0, 1), 5, if(ISBLANK('2025'!$S448), 0, 1), 6, if(ISBLANK('2025'!$T448), 0, 1), 7, 0))), 1, "")</f>
        <v/>
      </c>
      <c r="AN485" s="1" t="str">
        <f>IF(AND(AND(AND(AN$4&gt;='2025'!$L448,AN$4&lt;='2025'!$M448), AN$4&lt;&gt;DATE(2025,7,4)), (SWITCH(weekday(AN$4), 1, 0, 2, if(ISBLANK('2025'!$P448), 0, 1), 3, if(ISBLANK('2025'!$Q448), 0, 1), 4, if(ISBLANK('2025'!$R448), 0, 1), 5, if(ISBLANK('2025'!$S448), 0, 1), 6, if(ISBLANK('2025'!$T448), 0, 1), 7, 0))), 1, "")</f>
        <v/>
      </c>
      <c r="AO485" s="1" t="str">
        <f>IF(AND(AND(AND(AO$4&gt;='2025'!$L448,AO$4&lt;='2025'!$M448), AO$4&lt;&gt;DATE(2025,7,4)), (SWITCH(weekday(AO$4), 1, 0, 2, if(ISBLANK('2025'!$P448), 0, 1), 3, if(ISBLANK('2025'!$Q448), 0, 1), 4, if(ISBLANK('2025'!$R448), 0, 1), 5, if(ISBLANK('2025'!$S448), 0, 1), 6, if(ISBLANK('2025'!$T448), 0, 1), 7, 0))), 1, "")</f>
        <v/>
      </c>
      <c r="AP485" s="1" t="str">
        <f>IF(AND(AND(AND(AP$4&gt;='2025'!$L448,AP$4&lt;='2025'!$M448), AP$4&lt;&gt;DATE(2025,7,4)), (SWITCH(weekday(AP$4), 1, 0, 2, if(ISBLANK('2025'!$P448), 0, 1), 3, if(ISBLANK('2025'!$Q448), 0, 1), 4, if(ISBLANK('2025'!$R448), 0, 1), 5, if(ISBLANK('2025'!$S448), 0, 1), 6, if(ISBLANK('2025'!$T448), 0, 1), 7, 0))), 1, "")</f>
        <v/>
      </c>
      <c r="AQ485" s="1" t="str">
        <f>IF(AND(AND(AND(AQ$4&gt;='2025'!$L448,AQ$4&lt;='2025'!$M448), AQ$4&lt;&gt;DATE(2025,7,4)), (SWITCH(weekday(AQ$4), 1, 0, 2, if(ISBLANK('2025'!$P448), 0, 1), 3, if(ISBLANK('2025'!$Q448), 0, 1), 4, if(ISBLANK('2025'!$R448), 0, 1), 5, if(ISBLANK('2025'!$S448), 0, 1), 6, if(ISBLANK('2025'!$T448), 0, 1), 7, 0))), 1, "")</f>
        <v/>
      </c>
      <c r="AR485" s="1" t="str">
        <f>IF(AND(AND(AND(AR$4&gt;='2025'!$L448,AR$4&lt;='2025'!$M448), AR$4&lt;&gt;DATE(2025,7,4)), (SWITCH(weekday(AR$4), 1, 0, 2, if(ISBLANK('2025'!$P448), 0, 1), 3, if(ISBLANK('2025'!$Q448), 0, 1), 4, if(ISBLANK('2025'!$R448), 0, 1), 5, if(ISBLANK('2025'!$S448), 0, 1), 6, if(ISBLANK('2025'!$T448), 0, 1), 7, 0))), 1, "")</f>
        <v/>
      </c>
      <c r="AS485" s="1" t="str">
        <f>IF(AND(AND(AND(AS$4&gt;='2025'!$L448,AS$4&lt;='2025'!$M448), AS$4&lt;&gt;DATE(2025,7,4)), (SWITCH(weekday(AS$4), 1, 0, 2, if(ISBLANK('2025'!$P448), 0, 1), 3, if(ISBLANK('2025'!$Q448), 0, 1), 4, if(ISBLANK('2025'!$R448), 0, 1), 5, if(ISBLANK('2025'!$S448), 0, 1), 6, if(ISBLANK('2025'!$T448), 0, 1), 7, 0))), 1, "")</f>
        <v/>
      </c>
      <c r="AT485" s="1" t="str">
        <f>IF(AND(AND(AND(AT$4&gt;='2025'!$L448,AT$4&lt;='2025'!$M448), AT$4&lt;&gt;DATE(2025,7,4)), (SWITCH(weekday(AT$4), 1, 0, 2, if(ISBLANK('2025'!$P448), 0, 1), 3, if(ISBLANK('2025'!$Q448), 0, 1), 4, if(ISBLANK('2025'!$R448), 0, 1), 5, if(ISBLANK('2025'!$S448), 0, 1), 6, if(ISBLANK('2025'!$T448), 0, 1), 7, 0))), 1, "")</f>
        <v/>
      </c>
      <c r="AU485" s="1" t="str">
        <f>IF(AND(AND(AND(AU$4&gt;='2025'!$L448,AU$4&lt;='2025'!$M448), AU$4&lt;&gt;DATE(2025,7,4)), (SWITCH(weekday(AU$4), 1, 0, 2, if(ISBLANK('2025'!$P448), 0, 1), 3, if(ISBLANK('2025'!$Q448), 0, 1), 4, if(ISBLANK('2025'!$R448), 0, 1), 5, if(ISBLANK('2025'!$S448), 0, 1), 6, if(ISBLANK('2025'!$T448), 0, 1), 7, 0))), 1, "")</f>
        <v/>
      </c>
      <c r="AV485" s="1" t="str">
        <f>IF(AND(AND(AND(AV$4&gt;='2025'!$L448,AV$4&lt;='2025'!$M448), AV$4&lt;&gt;DATE(2025,7,4)), (SWITCH(weekday(AV$4), 1, 0, 2, if(ISBLANK('2025'!$P448), 0, 1), 3, if(ISBLANK('2025'!$Q448), 0, 1), 4, if(ISBLANK('2025'!$R448), 0, 1), 5, if(ISBLANK('2025'!$S448), 0, 1), 6, if(ISBLANK('2025'!$T448), 0, 1), 7, 0))), 1, "")</f>
        <v/>
      </c>
      <c r="AW485" s="1" t="str">
        <f>IF(AND(AND(AND(AW$4&gt;='2025'!$L448,AW$4&lt;='2025'!$M448), AW$4&lt;&gt;DATE(2025,7,4)), (SWITCH(weekday(AW$4), 1, 0, 2, if(ISBLANK('2025'!$P448), 0, 1), 3, if(ISBLANK('2025'!$Q448), 0, 1), 4, if(ISBLANK('2025'!$R448), 0, 1), 5, if(ISBLANK('2025'!$S448), 0, 1), 6, if(ISBLANK('2025'!$T448), 0, 1), 7, 0))), 1, "")</f>
        <v/>
      </c>
      <c r="AX485" s="1" t="str">
        <f>IF(AND(AND(AND(AX$4&gt;='2025'!$L448,AX$4&lt;='2025'!$M448), AX$4&lt;&gt;DATE(2025,7,4)), (SWITCH(weekday(AX$4), 1, 0, 2, if(ISBLANK('2025'!$P448), 0, 1), 3, if(ISBLANK('2025'!$Q448), 0, 1), 4, if(ISBLANK('2025'!$R448), 0, 1), 5, if(ISBLANK('2025'!$S448), 0, 1), 6, if(ISBLANK('2025'!$T448), 0, 1), 7, 0))), 1, "")</f>
        <v/>
      </c>
      <c r="AY485" s="1" t="str">
        <f>IF(AND(AND(AND(AY$4&gt;='2025'!$L448,AY$4&lt;='2025'!$M448), AY$4&lt;&gt;DATE(2025,7,4)), (SWITCH(weekday(AY$4), 1, 0, 2, if(ISBLANK('2025'!$P448), 0, 1), 3, if(ISBLANK('2025'!$Q448), 0, 1), 4, if(ISBLANK('2025'!$R448), 0, 1), 5, if(ISBLANK('2025'!$S448), 0, 1), 6, if(ISBLANK('2025'!$T448), 0, 1), 7, 0))), 1, "")</f>
        <v/>
      </c>
      <c r="AZ485" s="1" t="str">
        <f>IF(AND(AND(AND(AZ$4&gt;='2025'!$L448,AZ$4&lt;='2025'!$M448), AZ$4&lt;&gt;DATE(2025,7,4)), (SWITCH(weekday(AZ$4), 1, 0, 2, if(ISBLANK('2025'!$P448), 0, 1), 3, if(ISBLANK('2025'!$Q448), 0, 1), 4, if(ISBLANK('2025'!$R448), 0, 1), 5, if(ISBLANK('2025'!$S448), 0, 1), 6, if(ISBLANK('2025'!$T448), 0, 1), 7, 0))), 1, "")</f>
        <v/>
      </c>
      <c r="BA485" s="1" t="str">
        <f>IF(AND(AND(AND(BA$4&gt;='2025'!$L448,BA$4&lt;='2025'!$M448), BA$4&lt;&gt;DATE(2025,7,4)), (SWITCH(weekday(BA$4), 1, 0, 2, if(ISBLANK('2025'!$P448), 0, 1), 3, if(ISBLANK('2025'!$Q448), 0, 1), 4, if(ISBLANK('2025'!$R448), 0, 1), 5, if(ISBLANK('2025'!$S448), 0, 1), 6, if(ISBLANK('2025'!$T448), 0, 1), 7, 0))), 1, "")</f>
        <v/>
      </c>
      <c r="BB485" s="1" t="str">
        <f>IF(AND(AND(AND(BB$4&gt;='2025'!$L448,BB$4&lt;='2025'!$M448), BB$4&lt;&gt;DATE(2025,7,4)), (SWITCH(weekday(BB$4), 1, 0, 2, if(ISBLANK('2025'!$P448), 0, 1), 3, if(ISBLANK('2025'!$Q448), 0, 1), 4, if(ISBLANK('2025'!$R448), 0, 1), 5, if(ISBLANK('2025'!$S448), 0, 1), 6, if(ISBLANK('2025'!$T448), 0, 1), 7, 0))), 1, "")</f>
        <v/>
      </c>
      <c r="BC485" s="1" t="str">
        <f>IF(AND(AND(AND(BC$4&gt;='2025'!$L448,BC$4&lt;='2025'!$M448), BC$4&lt;&gt;DATE(2025,7,4)), (SWITCH(weekday(BC$4), 1, 0, 2, if(ISBLANK('2025'!$P448), 0, 1), 3, if(ISBLANK('2025'!$Q448), 0, 1), 4, if(ISBLANK('2025'!$R448), 0, 1), 5, if(ISBLANK('2025'!$S448), 0, 1), 6, if(ISBLANK('2025'!$T448), 0, 1), 7, 0))), 1, "")</f>
        <v/>
      </c>
      <c r="BD485" s="1" t="str">
        <f>IF(AND(AND(AND(BD$4&gt;='2025'!$L448,BD$4&lt;='2025'!$M448), BD$4&lt;&gt;DATE(2025,7,4)), (SWITCH(weekday(BD$4), 1, 0, 2, if(ISBLANK('2025'!$P448), 0, 1), 3, if(ISBLANK('2025'!$Q448), 0, 1), 4, if(ISBLANK('2025'!$R448), 0, 1), 5, if(ISBLANK('2025'!$S448), 0, 1), 6, if(ISBLANK('2025'!$T448), 0, 1), 7, 0))), 1, "")</f>
        <v/>
      </c>
      <c r="BE485" s="1" t="str">
        <f>IF(AND(AND(AND(BE$4&gt;='2025'!$L448,BE$4&lt;='2025'!$M448), BE$4&lt;&gt;DATE(2025,7,4)), (SWITCH(weekday(BE$4), 1, 0, 2, if(ISBLANK('2025'!$P448), 0, 1), 3, if(ISBLANK('2025'!$Q448), 0, 1), 4, if(ISBLANK('2025'!$R448), 0, 1), 5, if(ISBLANK('2025'!$S448), 0, 1), 6, if(ISBLANK('2025'!$T448), 0, 1), 7, 0))), 1, "")</f>
        <v/>
      </c>
    </row>
    <row r="486">
      <c r="A486" s="1">
        <f t="shared" si="3"/>
        <v>486</v>
      </c>
      <c r="B486" s="1" t="str">
        <f>'2025'!D449</f>
        <v/>
      </c>
      <c r="C486" s="1" t="str">
        <f>'2025'!H449</f>
        <v/>
      </c>
      <c r="D486" s="1" t="str">
        <f>IF(AND(AND(AND(D$4&gt;='2025'!$L449,D$4&lt;='2025'!$M449), D$4&lt;&gt;DATE(2025,7,4)), (SWITCH(weekday(D$4), 1, 0, 2, if(ISBLANK('2025'!$P449), 0, 1), 3, if(ISBLANK('2025'!$Q449), 0, 1), 4, if(ISBLANK('2025'!$R449), 0, 1), 5, if(ISBLANK('2025'!$S449), 0, 1), 6, if(ISBLANK('2025'!$T449), 0, 1), 7, 0))), 1, "")</f>
        <v/>
      </c>
      <c r="E486" s="1" t="str">
        <f>IF(AND(AND(AND(E$4&gt;='2025'!$L449,E$4&lt;='2025'!$M449), E$4&lt;&gt;DATE(2025,7,4)), (SWITCH(weekday(E$4), 1, 0, 2, if(ISBLANK('2025'!$P449), 0, 1), 3, if(ISBLANK('2025'!$Q449), 0, 1), 4, if(ISBLANK('2025'!$R449), 0, 1), 5, if(ISBLANK('2025'!$S449), 0, 1), 6, if(ISBLANK('2025'!$T449), 0, 1), 7, 0))), 1, "")</f>
        <v/>
      </c>
      <c r="F486" s="1" t="str">
        <f>IF(AND(AND(AND(F$4&gt;='2025'!$L449,F$4&lt;='2025'!$M449), F$4&lt;&gt;DATE(2025,7,4)), (SWITCH(weekday(F$4), 1, 0, 2, if(ISBLANK('2025'!$P449), 0, 1), 3, if(ISBLANK('2025'!$Q449), 0, 1), 4, if(ISBLANK('2025'!$R449), 0, 1), 5, if(ISBLANK('2025'!$S449), 0, 1), 6, if(ISBLANK('2025'!$T449), 0, 1), 7, 0))), 1, "")</f>
        <v/>
      </c>
      <c r="G486" s="1" t="str">
        <f>IF(AND(AND(AND(G$4&gt;='2025'!$L449,G$4&lt;='2025'!$M449), G$4&lt;&gt;DATE(2025,7,4)), (SWITCH(weekday(G$4), 1, 0, 2, if(ISBLANK('2025'!$P449), 0, 1), 3, if(ISBLANK('2025'!$Q449), 0, 1), 4, if(ISBLANK('2025'!$R449), 0, 1), 5, if(ISBLANK('2025'!$S449), 0, 1), 6, if(ISBLANK('2025'!$T449), 0, 1), 7, 0))), 1, "")</f>
        <v/>
      </c>
      <c r="H486" s="1" t="str">
        <f>IF(AND(AND(AND(H$4&gt;='2025'!$L449,H$4&lt;='2025'!$M449), H$4&lt;&gt;DATE(2025,7,4)), (SWITCH(weekday(H$4), 1, 0, 2, if(ISBLANK('2025'!$P449), 0, 1), 3, if(ISBLANK('2025'!$Q449), 0, 1), 4, if(ISBLANK('2025'!$R449), 0, 1), 5, if(ISBLANK('2025'!$S449), 0, 1), 6, if(ISBLANK('2025'!$T449), 0, 1), 7, 0))), 1, "")</f>
        <v/>
      </c>
      <c r="I486" s="1" t="str">
        <f>IF(AND(AND(AND(I$4&gt;='2025'!$L449,I$4&lt;='2025'!$M449), I$4&lt;&gt;DATE(2025,7,4)), (SWITCH(weekday(I$4), 1, 0, 2, if(ISBLANK('2025'!$P449), 0, 1), 3, if(ISBLANK('2025'!$Q449), 0, 1), 4, if(ISBLANK('2025'!$R449), 0, 1), 5, if(ISBLANK('2025'!$S449), 0, 1), 6, if(ISBLANK('2025'!$T449), 0, 1), 7, 0))), 1, "")</f>
        <v/>
      </c>
      <c r="J486" s="1" t="str">
        <f>IF(AND(AND(AND(J$4&gt;='2025'!$L449,J$4&lt;='2025'!$M449), J$4&lt;&gt;DATE(2025,7,4)), (SWITCH(weekday(J$4), 1, 0, 2, if(ISBLANK('2025'!$P449), 0, 1), 3, if(ISBLANK('2025'!$Q449), 0, 1), 4, if(ISBLANK('2025'!$R449), 0, 1), 5, if(ISBLANK('2025'!$S449), 0, 1), 6, if(ISBLANK('2025'!$T449), 0, 1), 7, 0))), 1, "")</f>
        <v/>
      </c>
      <c r="K486" s="1" t="str">
        <f>IF(AND(AND(AND(K$4&gt;='2025'!$L449,K$4&lt;='2025'!$M449), K$4&lt;&gt;DATE(2025,7,4)), (SWITCH(weekday(K$4), 1, 0, 2, if(ISBLANK('2025'!$P449), 0, 1), 3, if(ISBLANK('2025'!$Q449), 0, 1), 4, if(ISBLANK('2025'!$R449), 0, 1), 5, if(ISBLANK('2025'!$S449), 0, 1), 6, if(ISBLANK('2025'!$T449), 0, 1), 7, 0))), 1, "")</f>
        <v/>
      </c>
      <c r="L486" s="1" t="str">
        <f>IF(AND(AND(AND(L$4&gt;='2025'!$L449,L$4&lt;='2025'!$M449), L$4&lt;&gt;DATE(2025,7,4)), (SWITCH(weekday(L$4), 1, 0, 2, if(ISBLANK('2025'!$P449), 0, 1), 3, if(ISBLANK('2025'!$Q449), 0, 1), 4, if(ISBLANK('2025'!$R449), 0, 1), 5, if(ISBLANK('2025'!$S449), 0, 1), 6, if(ISBLANK('2025'!$T449), 0, 1), 7, 0))), 1, "")</f>
        <v/>
      </c>
      <c r="M486" s="1" t="str">
        <f>IF(AND(AND(AND(M$4&gt;='2025'!$L449,M$4&lt;='2025'!$M449), M$4&lt;&gt;DATE(2025,7,4)), (SWITCH(weekday(M$4), 1, 0, 2, if(ISBLANK('2025'!$P449), 0, 1), 3, if(ISBLANK('2025'!$Q449), 0, 1), 4, if(ISBLANK('2025'!$R449), 0, 1), 5, if(ISBLANK('2025'!$S449), 0, 1), 6, if(ISBLANK('2025'!$T449), 0, 1), 7, 0))), 1, "")</f>
        <v/>
      </c>
      <c r="N486" s="1" t="str">
        <f>IF(AND(AND(AND(N$4&gt;='2025'!$L449,N$4&lt;='2025'!$M449), N$4&lt;&gt;DATE(2025,7,4)), (SWITCH(weekday(N$4), 1, 0, 2, if(ISBLANK('2025'!$P449), 0, 1), 3, if(ISBLANK('2025'!$Q449), 0, 1), 4, if(ISBLANK('2025'!$R449), 0, 1), 5, if(ISBLANK('2025'!$S449), 0, 1), 6, if(ISBLANK('2025'!$T449), 0, 1), 7, 0))), 1, "")</f>
        <v/>
      </c>
      <c r="O486" s="1" t="str">
        <f>IF(AND(AND(AND(O$4&gt;='2025'!$L449,O$4&lt;='2025'!$M449), O$4&lt;&gt;DATE(2025,7,4)), (SWITCH(weekday(O$4), 1, 0, 2, if(ISBLANK('2025'!$P449), 0, 1), 3, if(ISBLANK('2025'!$Q449), 0, 1), 4, if(ISBLANK('2025'!$R449), 0, 1), 5, if(ISBLANK('2025'!$S449), 0, 1), 6, if(ISBLANK('2025'!$T449), 0, 1), 7, 0))), 1, "")</f>
        <v/>
      </c>
      <c r="P486" s="1" t="str">
        <f>IF(AND(AND(AND(P$4&gt;='2025'!$L449,P$4&lt;='2025'!$M449), P$4&lt;&gt;DATE(2025,7,4)), (SWITCH(weekday(P$4), 1, 0, 2, if(ISBLANK('2025'!$P449), 0, 1), 3, if(ISBLANK('2025'!$Q449), 0, 1), 4, if(ISBLANK('2025'!$R449), 0, 1), 5, if(ISBLANK('2025'!$S449), 0, 1), 6, if(ISBLANK('2025'!$T449), 0, 1), 7, 0))), 1, "")</f>
        <v/>
      </c>
      <c r="Q486" s="1" t="str">
        <f>IF(AND(AND(AND(Q$4&gt;='2025'!$L449,Q$4&lt;='2025'!$M449), Q$4&lt;&gt;DATE(2025,7,4)), (SWITCH(weekday(Q$4), 1, 0, 2, if(ISBLANK('2025'!$P449), 0, 1), 3, if(ISBLANK('2025'!$Q449), 0, 1), 4, if(ISBLANK('2025'!$R449), 0, 1), 5, if(ISBLANK('2025'!$S449), 0, 1), 6, if(ISBLANK('2025'!$T449), 0, 1), 7, 0))), 1, "")</f>
        <v/>
      </c>
      <c r="R486" s="1" t="str">
        <f>IF(AND(AND(AND(R$4&gt;='2025'!$L449,R$4&lt;='2025'!$M449), R$4&lt;&gt;DATE(2025,7,4)), (SWITCH(weekday(R$4), 1, 0, 2, if(ISBLANK('2025'!$P449), 0, 1), 3, if(ISBLANK('2025'!$Q449), 0, 1), 4, if(ISBLANK('2025'!$R449), 0, 1), 5, if(ISBLANK('2025'!$S449), 0, 1), 6, if(ISBLANK('2025'!$T449), 0, 1), 7, 0))), 1, "")</f>
        <v/>
      </c>
      <c r="S486" s="1" t="str">
        <f>IF(AND(AND(AND(S$4&gt;='2025'!$L449,S$4&lt;='2025'!$M449), S$4&lt;&gt;DATE(2025,7,4)), (SWITCH(weekday(S$4), 1, 0, 2, if(ISBLANK('2025'!$P449), 0, 1), 3, if(ISBLANK('2025'!$Q449), 0, 1), 4, if(ISBLANK('2025'!$R449), 0, 1), 5, if(ISBLANK('2025'!$S449), 0, 1), 6, if(ISBLANK('2025'!$T449), 0, 1), 7, 0))), 1, "")</f>
        <v/>
      </c>
      <c r="T486" s="1" t="str">
        <f>IF(AND(AND(AND(T$4&gt;='2025'!$L449,T$4&lt;='2025'!$M449), T$4&lt;&gt;DATE(2025,7,4)), (SWITCH(weekday(T$4), 1, 0, 2, if(ISBLANK('2025'!$P449), 0, 1), 3, if(ISBLANK('2025'!$Q449), 0, 1), 4, if(ISBLANK('2025'!$R449), 0, 1), 5, if(ISBLANK('2025'!$S449), 0, 1), 6, if(ISBLANK('2025'!$T449), 0, 1), 7, 0))), 1, "")</f>
        <v/>
      </c>
      <c r="U486" s="1" t="str">
        <f>IF(AND(AND(AND(U$4&gt;='2025'!$L449,U$4&lt;='2025'!$M449), U$4&lt;&gt;DATE(2025,7,4)), (SWITCH(weekday(U$4), 1, 0, 2, if(ISBLANK('2025'!$P449), 0, 1), 3, if(ISBLANK('2025'!$Q449), 0, 1), 4, if(ISBLANK('2025'!$R449), 0, 1), 5, if(ISBLANK('2025'!$S449), 0, 1), 6, if(ISBLANK('2025'!$T449), 0, 1), 7, 0))), 1, "")</f>
        <v/>
      </c>
      <c r="V486" s="1" t="str">
        <f>IF(AND(AND(AND(V$4&gt;='2025'!$L449,V$4&lt;='2025'!$M449), V$4&lt;&gt;DATE(2025,7,4)), (SWITCH(weekday(V$4), 1, 0, 2, if(ISBLANK('2025'!$P449), 0, 1), 3, if(ISBLANK('2025'!$Q449), 0, 1), 4, if(ISBLANK('2025'!$R449), 0, 1), 5, if(ISBLANK('2025'!$S449), 0, 1), 6, if(ISBLANK('2025'!$T449), 0, 1), 7, 0))), 1, "")</f>
        <v/>
      </c>
      <c r="W486" s="1" t="str">
        <f>IF(AND(AND(AND(W$4&gt;='2025'!$L449,W$4&lt;='2025'!$M449), W$4&lt;&gt;DATE(2025,7,4)), (SWITCH(weekday(W$4), 1, 0, 2, if(ISBLANK('2025'!$P449), 0, 1), 3, if(ISBLANK('2025'!$Q449), 0, 1), 4, if(ISBLANK('2025'!$R449), 0, 1), 5, if(ISBLANK('2025'!$S449), 0, 1), 6, if(ISBLANK('2025'!$T449), 0, 1), 7, 0))), 1, "")</f>
        <v/>
      </c>
      <c r="X486" s="1" t="str">
        <f>IF(AND(AND(AND(X$4&gt;='2025'!$L449,X$4&lt;='2025'!$M449), X$4&lt;&gt;DATE(2025,7,4)), (SWITCH(weekday(X$4), 1, 0, 2, if(ISBLANK('2025'!$P449), 0, 1), 3, if(ISBLANK('2025'!$Q449), 0, 1), 4, if(ISBLANK('2025'!$R449), 0, 1), 5, if(ISBLANK('2025'!$S449), 0, 1), 6, if(ISBLANK('2025'!$T449), 0, 1), 7, 0))), 1, "")</f>
        <v/>
      </c>
      <c r="Y486" s="1" t="str">
        <f>IF(AND(AND(AND(Y$4&gt;='2025'!$L449,Y$4&lt;='2025'!$M449), Y$4&lt;&gt;DATE(2025,7,4)), (SWITCH(weekday(Y$4), 1, 0, 2, if(ISBLANK('2025'!$P449), 0, 1), 3, if(ISBLANK('2025'!$Q449), 0, 1), 4, if(ISBLANK('2025'!$R449), 0, 1), 5, if(ISBLANK('2025'!$S449), 0, 1), 6, if(ISBLANK('2025'!$T449), 0, 1), 7, 0))), 1, "")</f>
        <v/>
      </c>
      <c r="Z486" s="1" t="str">
        <f>IF(AND(AND(AND(Z$4&gt;='2025'!$L449,Z$4&lt;='2025'!$M449), Z$4&lt;&gt;DATE(2025,7,4)), (SWITCH(weekday(Z$4), 1, 0, 2, if(ISBLANK('2025'!$P449), 0, 1), 3, if(ISBLANK('2025'!$Q449), 0, 1), 4, if(ISBLANK('2025'!$R449), 0, 1), 5, if(ISBLANK('2025'!$S449), 0, 1), 6, if(ISBLANK('2025'!$T449), 0, 1), 7, 0))), 1, "")</f>
        <v/>
      </c>
      <c r="AA486" s="1" t="str">
        <f>IF(AND(AND(AND(AA$4&gt;='2025'!$L449,AA$4&lt;='2025'!$M449), AA$4&lt;&gt;DATE(2025,7,4)), (SWITCH(weekday(AA$4), 1, 0, 2, if(ISBLANK('2025'!$P449), 0, 1), 3, if(ISBLANK('2025'!$Q449), 0, 1), 4, if(ISBLANK('2025'!$R449), 0, 1), 5, if(ISBLANK('2025'!$S449), 0, 1), 6, if(ISBLANK('2025'!$T449), 0, 1), 7, 0))), 1, "")</f>
        <v/>
      </c>
      <c r="AB486" s="1" t="str">
        <f>IF(AND(AND(AND(AB$4&gt;='2025'!$L449,AB$4&lt;='2025'!$M449), AB$4&lt;&gt;DATE(2025,7,4)), (SWITCH(weekday(AB$4), 1, 0, 2, if(ISBLANK('2025'!$P449), 0, 1), 3, if(ISBLANK('2025'!$Q449), 0, 1), 4, if(ISBLANK('2025'!$R449), 0, 1), 5, if(ISBLANK('2025'!$S449), 0, 1), 6, if(ISBLANK('2025'!$T449), 0, 1), 7, 0))), 1, "")</f>
        <v/>
      </c>
      <c r="AC486" s="1" t="str">
        <f>IF(AND(AND(AND(AC$4&gt;='2025'!$L449,AC$4&lt;='2025'!$M449), AC$4&lt;&gt;DATE(2025,7,4)), (SWITCH(weekday(AC$4), 1, 0, 2, if(ISBLANK('2025'!$P449), 0, 1), 3, if(ISBLANK('2025'!$Q449), 0, 1), 4, if(ISBLANK('2025'!$R449), 0, 1), 5, if(ISBLANK('2025'!$S449), 0, 1), 6, if(ISBLANK('2025'!$T449), 0, 1), 7, 0))), 1, "")</f>
        <v/>
      </c>
      <c r="AD486" s="1" t="str">
        <f>IF(AND(AND(AND(AD$4&gt;='2025'!$L449,AD$4&lt;='2025'!$M449), AD$4&lt;&gt;DATE(2025,7,4)), (SWITCH(weekday(AD$4), 1, 0, 2, if(ISBLANK('2025'!$P449), 0, 1), 3, if(ISBLANK('2025'!$Q449), 0, 1), 4, if(ISBLANK('2025'!$R449), 0, 1), 5, if(ISBLANK('2025'!$S449), 0, 1), 6, if(ISBLANK('2025'!$T449), 0, 1), 7, 0))), 1, "")</f>
        <v/>
      </c>
      <c r="AE486" s="1" t="str">
        <f>IF(AND(AND(AND(AE$4&gt;='2025'!$L449,AE$4&lt;='2025'!$M449), AE$4&lt;&gt;DATE(2025,7,4)), (SWITCH(weekday(AE$4), 1, 0, 2, if(ISBLANK('2025'!$P449), 0, 1), 3, if(ISBLANK('2025'!$Q449), 0, 1), 4, if(ISBLANK('2025'!$R449), 0, 1), 5, if(ISBLANK('2025'!$S449), 0, 1), 6, if(ISBLANK('2025'!$T449), 0, 1), 7, 0))), 1, "")</f>
        <v/>
      </c>
      <c r="AF486" s="1" t="str">
        <f>IF(AND(AND(AND(AF$4&gt;='2025'!$L449,AF$4&lt;='2025'!$M449), AF$4&lt;&gt;DATE(2025,7,4)), (SWITCH(weekday(AF$4), 1, 0, 2, if(ISBLANK('2025'!$P449), 0, 1), 3, if(ISBLANK('2025'!$Q449), 0, 1), 4, if(ISBLANK('2025'!$R449), 0, 1), 5, if(ISBLANK('2025'!$S449), 0, 1), 6, if(ISBLANK('2025'!$T449), 0, 1), 7, 0))), 1, "")</f>
        <v/>
      </c>
      <c r="AG486" s="1" t="str">
        <f>IF(AND(AND(AND(AG$4&gt;='2025'!$L449,AG$4&lt;='2025'!$M449), AG$4&lt;&gt;DATE(2025,7,4)), (SWITCH(weekday(AG$4), 1, 0, 2, if(ISBLANK('2025'!$P449), 0, 1), 3, if(ISBLANK('2025'!$Q449), 0, 1), 4, if(ISBLANK('2025'!$R449), 0, 1), 5, if(ISBLANK('2025'!$S449), 0, 1), 6, if(ISBLANK('2025'!$T449), 0, 1), 7, 0))), 1, "")</f>
        <v/>
      </c>
      <c r="AH486" s="1" t="str">
        <f>IF(AND(AND(AND(AH$4&gt;='2025'!$L449,AH$4&lt;='2025'!$M449), AH$4&lt;&gt;DATE(2025,7,4)), (SWITCH(weekday(AH$4), 1, 0, 2, if(ISBLANK('2025'!$P449), 0, 1), 3, if(ISBLANK('2025'!$Q449), 0, 1), 4, if(ISBLANK('2025'!$R449), 0, 1), 5, if(ISBLANK('2025'!$S449), 0, 1), 6, if(ISBLANK('2025'!$T449), 0, 1), 7, 0))), 1, "")</f>
        <v/>
      </c>
      <c r="AI486" s="1" t="str">
        <f>IF(AND(AND(AND(AI$4&gt;='2025'!$L449,AI$4&lt;='2025'!$M449), AI$4&lt;&gt;DATE(2025,7,4)), (SWITCH(weekday(AI$4), 1, 0, 2, if(ISBLANK('2025'!$P449), 0, 1), 3, if(ISBLANK('2025'!$Q449), 0, 1), 4, if(ISBLANK('2025'!$R449), 0, 1), 5, if(ISBLANK('2025'!$S449), 0, 1), 6, if(ISBLANK('2025'!$T449), 0, 1), 7, 0))), 1, "")</f>
        <v/>
      </c>
      <c r="AJ486" s="1" t="str">
        <f>IF(AND(AND(AND(AJ$4&gt;='2025'!$L449,AJ$4&lt;='2025'!$M449), AJ$4&lt;&gt;DATE(2025,7,4)), (SWITCH(weekday(AJ$4), 1, 0, 2, if(ISBLANK('2025'!$P449), 0, 1), 3, if(ISBLANK('2025'!$Q449), 0, 1), 4, if(ISBLANK('2025'!$R449), 0, 1), 5, if(ISBLANK('2025'!$S449), 0, 1), 6, if(ISBLANK('2025'!$T449), 0, 1), 7, 0))), 1, "")</f>
        <v/>
      </c>
      <c r="AK486" s="1" t="str">
        <f>IF(AND(AND(AND(AK$4&gt;='2025'!$L449,AK$4&lt;='2025'!$M449), AK$4&lt;&gt;DATE(2025,7,4)), (SWITCH(weekday(AK$4), 1, 0, 2, if(ISBLANK('2025'!$P449), 0, 1), 3, if(ISBLANK('2025'!$Q449), 0, 1), 4, if(ISBLANK('2025'!$R449), 0, 1), 5, if(ISBLANK('2025'!$S449), 0, 1), 6, if(ISBLANK('2025'!$T449), 0, 1), 7, 0))), 1, "")</f>
        <v/>
      </c>
      <c r="AL486" s="1" t="str">
        <f>IF(AND(AND(AND(AL$4&gt;='2025'!$L449,AL$4&lt;='2025'!$M449), AL$4&lt;&gt;DATE(2025,7,4)), (SWITCH(weekday(AL$4), 1, 0, 2, if(ISBLANK('2025'!$P449), 0, 1), 3, if(ISBLANK('2025'!$Q449), 0, 1), 4, if(ISBLANK('2025'!$R449), 0, 1), 5, if(ISBLANK('2025'!$S449), 0, 1), 6, if(ISBLANK('2025'!$T449), 0, 1), 7, 0))), 1, "")</f>
        <v/>
      </c>
      <c r="AM486" s="1" t="str">
        <f>IF(AND(AND(AND(AM$4&gt;='2025'!$L449,AM$4&lt;='2025'!$M449), AM$4&lt;&gt;DATE(2025,7,4)), (SWITCH(weekday(AM$4), 1, 0, 2, if(ISBLANK('2025'!$P449), 0, 1), 3, if(ISBLANK('2025'!$Q449), 0, 1), 4, if(ISBLANK('2025'!$R449), 0, 1), 5, if(ISBLANK('2025'!$S449), 0, 1), 6, if(ISBLANK('2025'!$T449), 0, 1), 7, 0))), 1, "")</f>
        <v/>
      </c>
      <c r="AN486" s="1" t="str">
        <f>IF(AND(AND(AND(AN$4&gt;='2025'!$L449,AN$4&lt;='2025'!$M449), AN$4&lt;&gt;DATE(2025,7,4)), (SWITCH(weekday(AN$4), 1, 0, 2, if(ISBLANK('2025'!$P449), 0, 1), 3, if(ISBLANK('2025'!$Q449), 0, 1), 4, if(ISBLANK('2025'!$R449), 0, 1), 5, if(ISBLANK('2025'!$S449), 0, 1), 6, if(ISBLANK('2025'!$T449), 0, 1), 7, 0))), 1, "")</f>
        <v/>
      </c>
      <c r="AO486" s="1" t="str">
        <f>IF(AND(AND(AND(AO$4&gt;='2025'!$L449,AO$4&lt;='2025'!$M449), AO$4&lt;&gt;DATE(2025,7,4)), (SWITCH(weekday(AO$4), 1, 0, 2, if(ISBLANK('2025'!$P449), 0, 1), 3, if(ISBLANK('2025'!$Q449), 0, 1), 4, if(ISBLANK('2025'!$R449), 0, 1), 5, if(ISBLANK('2025'!$S449), 0, 1), 6, if(ISBLANK('2025'!$T449), 0, 1), 7, 0))), 1, "")</f>
        <v/>
      </c>
      <c r="AP486" s="1" t="str">
        <f>IF(AND(AND(AND(AP$4&gt;='2025'!$L449,AP$4&lt;='2025'!$M449), AP$4&lt;&gt;DATE(2025,7,4)), (SWITCH(weekday(AP$4), 1, 0, 2, if(ISBLANK('2025'!$P449), 0, 1), 3, if(ISBLANK('2025'!$Q449), 0, 1), 4, if(ISBLANK('2025'!$R449), 0, 1), 5, if(ISBLANK('2025'!$S449), 0, 1), 6, if(ISBLANK('2025'!$T449), 0, 1), 7, 0))), 1, "")</f>
        <v/>
      </c>
      <c r="AQ486" s="1" t="str">
        <f>IF(AND(AND(AND(AQ$4&gt;='2025'!$L449,AQ$4&lt;='2025'!$M449), AQ$4&lt;&gt;DATE(2025,7,4)), (SWITCH(weekday(AQ$4), 1, 0, 2, if(ISBLANK('2025'!$P449), 0, 1), 3, if(ISBLANK('2025'!$Q449), 0, 1), 4, if(ISBLANK('2025'!$R449), 0, 1), 5, if(ISBLANK('2025'!$S449), 0, 1), 6, if(ISBLANK('2025'!$T449), 0, 1), 7, 0))), 1, "")</f>
        <v/>
      </c>
      <c r="AR486" s="1" t="str">
        <f>IF(AND(AND(AND(AR$4&gt;='2025'!$L449,AR$4&lt;='2025'!$M449), AR$4&lt;&gt;DATE(2025,7,4)), (SWITCH(weekday(AR$4), 1, 0, 2, if(ISBLANK('2025'!$P449), 0, 1), 3, if(ISBLANK('2025'!$Q449), 0, 1), 4, if(ISBLANK('2025'!$R449), 0, 1), 5, if(ISBLANK('2025'!$S449), 0, 1), 6, if(ISBLANK('2025'!$T449), 0, 1), 7, 0))), 1, "")</f>
        <v/>
      </c>
      <c r="AS486" s="1" t="str">
        <f>IF(AND(AND(AND(AS$4&gt;='2025'!$L449,AS$4&lt;='2025'!$M449), AS$4&lt;&gt;DATE(2025,7,4)), (SWITCH(weekday(AS$4), 1, 0, 2, if(ISBLANK('2025'!$P449), 0, 1), 3, if(ISBLANK('2025'!$Q449), 0, 1), 4, if(ISBLANK('2025'!$R449), 0, 1), 5, if(ISBLANK('2025'!$S449), 0, 1), 6, if(ISBLANK('2025'!$T449), 0, 1), 7, 0))), 1, "")</f>
        <v/>
      </c>
      <c r="AT486" s="1" t="str">
        <f>IF(AND(AND(AND(AT$4&gt;='2025'!$L449,AT$4&lt;='2025'!$M449), AT$4&lt;&gt;DATE(2025,7,4)), (SWITCH(weekday(AT$4), 1, 0, 2, if(ISBLANK('2025'!$P449), 0, 1), 3, if(ISBLANK('2025'!$Q449), 0, 1), 4, if(ISBLANK('2025'!$R449), 0, 1), 5, if(ISBLANK('2025'!$S449), 0, 1), 6, if(ISBLANK('2025'!$T449), 0, 1), 7, 0))), 1, "")</f>
        <v/>
      </c>
      <c r="AU486" s="1" t="str">
        <f>IF(AND(AND(AND(AU$4&gt;='2025'!$L449,AU$4&lt;='2025'!$M449), AU$4&lt;&gt;DATE(2025,7,4)), (SWITCH(weekday(AU$4), 1, 0, 2, if(ISBLANK('2025'!$P449), 0, 1), 3, if(ISBLANK('2025'!$Q449), 0, 1), 4, if(ISBLANK('2025'!$R449), 0, 1), 5, if(ISBLANK('2025'!$S449), 0, 1), 6, if(ISBLANK('2025'!$T449), 0, 1), 7, 0))), 1, "")</f>
        <v/>
      </c>
      <c r="AV486" s="1" t="str">
        <f>IF(AND(AND(AND(AV$4&gt;='2025'!$L449,AV$4&lt;='2025'!$M449), AV$4&lt;&gt;DATE(2025,7,4)), (SWITCH(weekday(AV$4), 1, 0, 2, if(ISBLANK('2025'!$P449), 0, 1), 3, if(ISBLANK('2025'!$Q449), 0, 1), 4, if(ISBLANK('2025'!$R449), 0, 1), 5, if(ISBLANK('2025'!$S449), 0, 1), 6, if(ISBLANK('2025'!$T449), 0, 1), 7, 0))), 1, "")</f>
        <v/>
      </c>
      <c r="AW486" s="1" t="str">
        <f>IF(AND(AND(AND(AW$4&gt;='2025'!$L449,AW$4&lt;='2025'!$M449), AW$4&lt;&gt;DATE(2025,7,4)), (SWITCH(weekday(AW$4), 1, 0, 2, if(ISBLANK('2025'!$P449), 0, 1), 3, if(ISBLANK('2025'!$Q449), 0, 1), 4, if(ISBLANK('2025'!$R449), 0, 1), 5, if(ISBLANK('2025'!$S449), 0, 1), 6, if(ISBLANK('2025'!$T449), 0, 1), 7, 0))), 1, "")</f>
        <v/>
      </c>
      <c r="AX486" s="1" t="str">
        <f>IF(AND(AND(AND(AX$4&gt;='2025'!$L449,AX$4&lt;='2025'!$M449), AX$4&lt;&gt;DATE(2025,7,4)), (SWITCH(weekday(AX$4), 1, 0, 2, if(ISBLANK('2025'!$P449), 0, 1), 3, if(ISBLANK('2025'!$Q449), 0, 1), 4, if(ISBLANK('2025'!$R449), 0, 1), 5, if(ISBLANK('2025'!$S449), 0, 1), 6, if(ISBLANK('2025'!$T449), 0, 1), 7, 0))), 1, "")</f>
        <v/>
      </c>
      <c r="AY486" s="1" t="str">
        <f>IF(AND(AND(AND(AY$4&gt;='2025'!$L449,AY$4&lt;='2025'!$M449), AY$4&lt;&gt;DATE(2025,7,4)), (SWITCH(weekday(AY$4), 1, 0, 2, if(ISBLANK('2025'!$P449), 0, 1), 3, if(ISBLANK('2025'!$Q449), 0, 1), 4, if(ISBLANK('2025'!$R449), 0, 1), 5, if(ISBLANK('2025'!$S449), 0, 1), 6, if(ISBLANK('2025'!$T449), 0, 1), 7, 0))), 1, "")</f>
        <v/>
      </c>
      <c r="AZ486" s="1" t="str">
        <f>IF(AND(AND(AND(AZ$4&gt;='2025'!$L449,AZ$4&lt;='2025'!$M449), AZ$4&lt;&gt;DATE(2025,7,4)), (SWITCH(weekday(AZ$4), 1, 0, 2, if(ISBLANK('2025'!$P449), 0, 1), 3, if(ISBLANK('2025'!$Q449), 0, 1), 4, if(ISBLANK('2025'!$R449), 0, 1), 5, if(ISBLANK('2025'!$S449), 0, 1), 6, if(ISBLANK('2025'!$T449), 0, 1), 7, 0))), 1, "")</f>
        <v/>
      </c>
      <c r="BA486" s="1" t="str">
        <f>IF(AND(AND(AND(BA$4&gt;='2025'!$L449,BA$4&lt;='2025'!$M449), BA$4&lt;&gt;DATE(2025,7,4)), (SWITCH(weekday(BA$4), 1, 0, 2, if(ISBLANK('2025'!$P449), 0, 1), 3, if(ISBLANK('2025'!$Q449), 0, 1), 4, if(ISBLANK('2025'!$R449), 0, 1), 5, if(ISBLANK('2025'!$S449), 0, 1), 6, if(ISBLANK('2025'!$T449), 0, 1), 7, 0))), 1, "")</f>
        <v/>
      </c>
      <c r="BB486" s="1" t="str">
        <f>IF(AND(AND(AND(BB$4&gt;='2025'!$L449,BB$4&lt;='2025'!$M449), BB$4&lt;&gt;DATE(2025,7,4)), (SWITCH(weekday(BB$4), 1, 0, 2, if(ISBLANK('2025'!$P449), 0, 1), 3, if(ISBLANK('2025'!$Q449), 0, 1), 4, if(ISBLANK('2025'!$R449), 0, 1), 5, if(ISBLANK('2025'!$S449), 0, 1), 6, if(ISBLANK('2025'!$T449), 0, 1), 7, 0))), 1, "")</f>
        <v/>
      </c>
      <c r="BC486" s="1" t="str">
        <f>IF(AND(AND(AND(BC$4&gt;='2025'!$L449,BC$4&lt;='2025'!$M449), BC$4&lt;&gt;DATE(2025,7,4)), (SWITCH(weekday(BC$4), 1, 0, 2, if(ISBLANK('2025'!$P449), 0, 1), 3, if(ISBLANK('2025'!$Q449), 0, 1), 4, if(ISBLANK('2025'!$R449), 0, 1), 5, if(ISBLANK('2025'!$S449), 0, 1), 6, if(ISBLANK('2025'!$T449), 0, 1), 7, 0))), 1, "")</f>
        <v/>
      </c>
      <c r="BD486" s="1" t="str">
        <f>IF(AND(AND(AND(BD$4&gt;='2025'!$L449,BD$4&lt;='2025'!$M449), BD$4&lt;&gt;DATE(2025,7,4)), (SWITCH(weekday(BD$4), 1, 0, 2, if(ISBLANK('2025'!$P449), 0, 1), 3, if(ISBLANK('2025'!$Q449), 0, 1), 4, if(ISBLANK('2025'!$R449), 0, 1), 5, if(ISBLANK('2025'!$S449), 0, 1), 6, if(ISBLANK('2025'!$T449), 0, 1), 7, 0))), 1, "")</f>
        <v/>
      </c>
      <c r="BE486" s="1" t="str">
        <f>IF(AND(AND(AND(BE$4&gt;='2025'!$L449,BE$4&lt;='2025'!$M449), BE$4&lt;&gt;DATE(2025,7,4)), (SWITCH(weekday(BE$4), 1, 0, 2, if(ISBLANK('2025'!$P449), 0, 1), 3, if(ISBLANK('2025'!$Q449), 0, 1), 4, if(ISBLANK('2025'!$R449), 0, 1), 5, if(ISBLANK('2025'!$S449), 0, 1), 6, if(ISBLANK('2025'!$T449), 0, 1), 7, 0))), 1, "")</f>
        <v/>
      </c>
    </row>
    <row r="487">
      <c r="A487" s="1">
        <f t="shared" si="3"/>
        <v>487</v>
      </c>
      <c r="B487" s="1" t="str">
        <f>'2025'!D450</f>
        <v/>
      </c>
      <c r="C487" s="1" t="str">
        <f>'2025'!H450</f>
        <v/>
      </c>
      <c r="D487" s="1" t="str">
        <f>IF(AND(AND(AND(D$4&gt;='2025'!$L450,D$4&lt;='2025'!$M450), D$4&lt;&gt;DATE(2025,7,4)), (SWITCH(weekday(D$4), 1, 0, 2, if(ISBLANK('2025'!$P450), 0, 1), 3, if(ISBLANK('2025'!$Q450), 0, 1), 4, if(ISBLANK('2025'!$R450), 0, 1), 5, if(ISBLANK('2025'!$S450), 0, 1), 6, if(ISBLANK('2025'!$T450), 0, 1), 7, 0))), 1, "")</f>
        <v/>
      </c>
      <c r="E487" s="1" t="str">
        <f>IF(AND(AND(AND(E$4&gt;='2025'!$L450,E$4&lt;='2025'!$M450), E$4&lt;&gt;DATE(2025,7,4)), (SWITCH(weekday(E$4), 1, 0, 2, if(ISBLANK('2025'!$P450), 0, 1), 3, if(ISBLANK('2025'!$Q450), 0, 1), 4, if(ISBLANK('2025'!$R450), 0, 1), 5, if(ISBLANK('2025'!$S450), 0, 1), 6, if(ISBLANK('2025'!$T450), 0, 1), 7, 0))), 1, "")</f>
        <v/>
      </c>
      <c r="F487" s="1" t="str">
        <f>IF(AND(AND(AND(F$4&gt;='2025'!$L450,F$4&lt;='2025'!$M450), F$4&lt;&gt;DATE(2025,7,4)), (SWITCH(weekday(F$4), 1, 0, 2, if(ISBLANK('2025'!$P450), 0, 1), 3, if(ISBLANK('2025'!$Q450), 0, 1), 4, if(ISBLANK('2025'!$R450), 0, 1), 5, if(ISBLANK('2025'!$S450), 0, 1), 6, if(ISBLANK('2025'!$T450), 0, 1), 7, 0))), 1, "")</f>
        <v/>
      </c>
      <c r="G487" s="1" t="str">
        <f>IF(AND(AND(AND(G$4&gt;='2025'!$L450,G$4&lt;='2025'!$M450), G$4&lt;&gt;DATE(2025,7,4)), (SWITCH(weekday(G$4), 1, 0, 2, if(ISBLANK('2025'!$P450), 0, 1), 3, if(ISBLANK('2025'!$Q450), 0, 1), 4, if(ISBLANK('2025'!$R450), 0, 1), 5, if(ISBLANK('2025'!$S450), 0, 1), 6, if(ISBLANK('2025'!$T450), 0, 1), 7, 0))), 1, "")</f>
        <v/>
      </c>
      <c r="H487" s="1" t="str">
        <f>IF(AND(AND(AND(H$4&gt;='2025'!$L450,H$4&lt;='2025'!$M450), H$4&lt;&gt;DATE(2025,7,4)), (SWITCH(weekday(H$4), 1, 0, 2, if(ISBLANK('2025'!$P450), 0, 1), 3, if(ISBLANK('2025'!$Q450), 0, 1), 4, if(ISBLANK('2025'!$R450), 0, 1), 5, if(ISBLANK('2025'!$S450), 0, 1), 6, if(ISBLANK('2025'!$T450), 0, 1), 7, 0))), 1, "")</f>
        <v/>
      </c>
      <c r="I487" s="1" t="str">
        <f>IF(AND(AND(AND(I$4&gt;='2025'!$L450,I$4&lt;='2025'!$M450), I$4&lt;&gt;DATE(2025,7,4)), (SWITCH(weekday(I$4), 1, 0, 2, if(ISBLANK('2025'!$P450), 0, 1), 3, if(ISBLANK('2025'!$Q450), 0, 1), 4, if(ISBLANK('2025'!$R450), 0, 1), 5, if(ISBLANK('2025'!$S450), 0, 1), 6, if(ISBLANK('2025'!$T450), 0, 1), 7, 0))), 1, "")</f>
        <v/>
      </c>
      <c r="J487" s="1" t="str">
        <f>IF(AND(AND(AND(J$4&gt;='2025'!$L450,J$4&lt;='2025'!$M450), J$4&lt;&gt;DATE(2025,7,4)), (SWITCH(weekday(J$4), 1, 0, 2, if(ISBLANK('2025'!$P450), 0, 1), 3, if(ISBLANK('2025'!$Q450), 0, 1), 4, if(ISBLANK('2025'!$R450), 0, 1), 5, if(ISBLANK('2025'!$S450), 0, 1), 6, if(ISBLANK('2025'!$T450), 0, 1), 7, 0))), 1, "")</f>
        <v/>
      </c>
      <c r="K487" s="1" t="str">
        <f>IF(AND(AND(AND(K$4&gt;='2025'!$L450,K$4&lt;='2025'!$M450), K$4&lt;&gt;DATE(2025,7,4)), (SWITCH(weekday(K$4), 1, 0, 2, if(ISBLANK('2025'!$P450), 0, 1), 3, if(ISBLANK('2025'!$Q450), 0, 1), 4, if(ISBLANK('2025'!$R450), 0, 1), 5, if(ISBLANK('2025'!$S450), 0, 1), 6, if(ISBLANK('2025'!$T450), 0, 1), 7, 0))), 1, "")</f>
        <v/>
      </c>
      <c r="L487" s="1" t="str">
        <f>IF(AND(AND(AND(L$4&gt;='2025'!$L450,L$4&lt;='2025'!$M450), L$4&lt;&gt;DATE(2025,7,4)), (SWITCH(weekday(L$4), 1, 0, 2, if(ISBLANK('2025'!$P450), 0, 1), 3, if(ISBLANK('2025'!$Q450), 0, 1), 4, if(ISBLANK('2025'!$R450), 0, 1), 5, if(ISBLANK('2025'!$S450), 0, 1), 6, if(ISBLANK('2025'!$T450), 0, 1), 7, 0))), 1, "")</f>
        <v/>
      </c>
      <c r="M487" s="1" t="str">
        <f>IF(AND(AND(AND(M$4&gt;='2025'!$L450,M$4&lt;='2025'!$M450), M$4&lt;&gt;DATE(2025,7,4)), (SWITCH(weekday(M$4), 1, 0, 2, if(ISBLANK('2025'!$P450), 0, 1), 3, if(ISBLANK('2025'!$Q450), 0, 1), 4, if(ISBLANK('2025'!$R450), 0, 1), 5, if(ISBLANK('2025'!$S450), 0, 1), 6, if(ISBLANK('2025'!$T450), 0, 1), 7, 0))), 1, "")</f>
        <v/>
      </c>
      <c r="N487" s="1" t="str">
        <f>IF(AND(AND(AND(N$4&gt;='2025'!$L450,N$4&lt;='2025'!$M450), N$4&lt;&gt;DATE(2025,7,4)), (SWITCH(weekday(N$4), 1, 0, 2, if(ISBLANK('2025'!$P450), 0, 1), 3, if(ISBLANK('2025'!$Q450), 0, 1), 4, if(ISBLANK('2025'!$R450), 0, 1), 5, if(ISBLANK('2025'!$S450), 0, 1), 6, if(ISBLANK('2025'!$T450), 0, 1), 7, 0))), 1, "")</f>
        <v/>
      </c>
      <c r="O487" s="1" t="str">
        <f>IF(AND(AND(AND(O$4&gt;='2025'!$L450,O$4&lt;='2025'!$M450), O$4&lt;&gt;DATE(2025,7,4)), (SWITCH(weekday(O$4), 1, 0, 2, if(ISBLANK('2025'!$P450), 0, 1), 3, if(ISBLANK('2025'!$Q450), 0, 1), 4, if(ISBLANK('2025'!$R450), 0, 1), 5, if(ISBLANK('2025'!$S450), 0, 1), 6, if(ISBLANK('2025'!$T450), 0, 1), 7, 0))), 1, "")</f>
        <v/>
      </c>
      <c r="P487" s="1" t="str">
        <f>IF(AND(AND(AND(P$4&gt;='2025'!$L450,P$4&lt;='2025'!$M450), P$4&lt;&gt;DATE(2025,7,4)), (SWITCH(weekday(P$4), 1, 0, 2, if(ISBLANK('2025'!$P450), 0, 1), 3, if(ISBLANK('2025'!$Q450), 0, 1), 4, if(ISBLANK('2025'!$R450), 0, 1), 5, if(ISBLANK('2025'!$S450), 0, 1), 6, if(ISBLANK('2025'!$T450), 0, 1), 7, 0))), 1, "")</f>
        <v/>
      </c>
      <c r="Q487" s="1" t="str">
        <f>IF(AND(AND(AND(Q$4&gt;='2025'!$L450,Q$4&lt;='2025'!$M450), Q$4&lt;&gt;DATE(2025,7,4)), (SWITCH(weekday(Q$4), 1, 0, 2, if(ISBLANK('2025'!$P450), 0, 1), 3, if(ISBLANK('2025'!$Q450), 0, 1), 4, if(ISBLANK('2025'!$R450), 0, 1), 5, if(ISBLANK('2025'!$S450), 0, 1), 6, if(ISBLANK('2025'!$T450), 0, 1), 7, 0))), 1, "")</f>
        <v/>
      </c>
      <c r="R487" s="1" t="str">
        <f>IF(AND(AND(AND(R$4&gt;='2025'!$L450,R$4&lt;='2025'!$M450), R$4&lt;&gt;DATE(2025,7,4)), (SWITCH(weekday(R$4), 1, 0, 2, if(ISBLANK('2025'!$P450), 0, 1), 3, if(ISBLANK('2025'!$Q450), 0, 1), 4, if(ISBLANK('2025'!$R450), 0, 1), 5, if(ISBLANK('2025'!$S450), 0, 1), 6, if(ISBLANK('2025'!$T450), 0, 1), 7, 0))), 1, "")</f>
        <v/>
      </c>
      <c r="S487" s="1" t="str">
        <f>IF(AND(AND(AND(S$4&gt;='2025'!$L450,S$4&lt;='2025'!$M450), S$4&lt;&gt;DATE(2025,7,4)), (SWITCH(weekday(S$4), 1, 0, 2, if(ISBLANK('2025'!$P450), 0, 1), 3, if(ISBLANK('2025'!$Q450), 0, 1), 4, if(ISBLANK('2025'!$R450), 0, 1), 5, if(ISBLANK('2025'!$S450), 0, 1), 6, if(ISBLANK('2025'!$T450), 0, 1), 7, 0))), 1, "")</f>
        <v/>
      </c>
      <c r="T487" s="1" t="str">
        <f>IF(AND(AND(AND(T$4&gt;='2025'!$L450,T$4&lt;='2025'!$M450), T$4&lt;&gt;DATE(2025,7,4)), (SWITCH(weekday(T$4), 1, 0, 2, if(ISBLANK('2025'!$P450), 0, 1), 3, if(ISBLANK('2025'!$Q450), 0, 1), 4, if(ISBLANK('2025'!$R450), 0, 1), 5, if(ISBLANK('2025'!$S450), 0, 1), 6, if(ISBLANK('2025'!$T450), 0, 1), 7, 0))), 1, "")</f>
        <v/>
      </c>
      <c r="U487" s="1" t="str">
        <f>IF(AND(AND(AND(U$4&gt;='2025'!$L450,U$4&lt;='2025'!$M450), U$4&lt;&gt;DATE(2025,7,4)), (SWITCH(weekday(U$4), 1, 0, 2, if(ISBLANK('2025'!$P450), 0, 1), 3, if(ISBLANK('2025'!$Q450), 0, 1), 4, if(ISBLANK('2025'!$R450), 0, 1), 5, if(ISBLANK('2025'!$S450), 0, 1), 6, if(ISBLANK('2025'!$T450), 0, 1), 7, 0))), 1, "")</f>
        <v/>
      </c>
      <c r="V487" s="1" t="str">
        <f>IF(AND(AND(AND(V$4&gt;='2025'!$L450,V$4&lt;='2025'!$M450), V$4&lt;&gt;DATE(2025,7,4)), (SWITCH(weekday(V$4), 1, 0, 2, if(ISBLANK('2025'!$P450), 0, 1), 3, if(ISBLANK('2025'!$Q450), 0, 1), 4, if(ISBLANK('2025'!$R450), 0, 1), 5, if(ISBLANK('2025'!$S450), 0, 1), 6, if(ISBLANK('2025'!$T450), 0, 1), 7, 0))), 1, "")</f>
        <v/>
      </c>
      <c r="W487" s="1" t="str">
        <f>IF(AND(AND(AND(W$4&gt;='2025'!$L450,W$4&lt;='2025'!$M450), W$4&lt;&gt;DATE(2025,7,4)), (SWITCH(weekday(W$4), 1, 0, 2, if(ISBLANK('2025'!$P450), 0, 1), 3, if(ISBLANK('2025'!$Q450), 0, 1), 4, if(ISBLANK('2025'!$R450), 0, 1), 5, if(ISBLANK('2025'!$S450), 0, 1), 6, if(ISBLANK('2025'!$T450), 0, 1), 7, 0))), 1, "")</f>
        <v/>
      </c>
      <c r="X487" s="1" t="str">
        <f>IF(AND(AND(AND(X$4&gt;='2025'!$L450,X$4&lt;='2025'!$M450), X$4&lt;&gt;DATE(2025,7,4)), (SWITCH(weekday(X$4), 1, 0, 2, if(ISBLANK('2025'!$P450), 0, 1), 3, if(ISBLANK('2025'!$Q450), 0, 1), 4, if(ISBLANK('2025'!$R450), 0, 1), 5, if(ISBLANK('2025'!$S450), 0, 1), 6, if(ISBLANK('2025'!$T450), 0, 1), 7, 0))), 1, "")</f>
        <v/>
      </c>
      <c r="Y487" s="1" t="str">
        <f>IF(AND(AND(AND(Y$4&gt;='2025'!$L450,Y$4&lt;='2025'!$M450), Y$4&lt;&gt;DATE(2025,7,4)), (SWITCH(weekday(Y$4), 1, 0, 2, if(ISBLANK('2025'!$P450), 0, 1), 3, if(ISBLANK('2025'!$Q450), 0, 1), 4, if(ISBLANK('2025'!$R450), 0, 1), 5, if(ISBLANK('2025'!$S450), 0, 1), 6, if(ISBLANK('2025'!$T450), 0, 1), 7, 0))), 1, "")</f>
        <v/>
      </c>
      <c r="Z487" s="1" t="str">
        <f>IF(AND(AND(AND(Z$4&gt;='2025'!$L450,Z$4&lt;='2025'!$M450), Z$4&lt;&gt;DATE(2025,7,4)), (SWITCH(weekday(Z$4), 1, 0, 2, if(ISBLANK('2025'!$P450), 0, 1), 3, if(ISBLANK('2025'!$Q450), 0, 1), 4, if(ISBLANK('2025'!$R450), 0, 1), 5, if(ISBLANK('2025'!$S450), 0, 1), 6, if(ISBLANK('2025'!$T450), 0, 1), 7, 0))), 1, "")</f>
        <v/>
      </c>
      <c r="AA487" s="1" t="str">
        <f>IF(AND(AND(AND(AA$4&gt;='2025'!$L450,AA$4&lt;='2025'!$M450), AA$4&lt;&gt;DATE(2025,7,4)), (SWITCH(weekday(AA$4), 1, 0, 2, if(ISBLANK('2025'!$P450), 0, 1), 3, if(ISBLANK('2025'!$Q450), 0, 1), 4, if(ISBLANK('2025'!$R450), 0, 1), 5, if(ISBLANK('2025'!$S450), 0, 1), 6, if(ISBLANK('2025'!$T450), 0, 1), 7, 0))), 1, "")</f>
        <v/>
      </c>
      <c r="AB487" s="1" t="str">
        <f>IF(AND(AND(AND(AB$4&gt;='2025'!$L450,AB$4&lt;='2025'!$M450), AB$4&lt;&gt;DATE(2025,7,4)), (SWITCH(weekday(AB$4), 1, 0, 2, if(ISBLANK('2025'!$P450), 0, 1), 3, if(ISBLANK('2025'!$Q450), 0, 1), 4, if(ISBLANK('2025'!$R450), 0, 1), 5, if(ISBLANK('2025'!$S450), 0, 1), 6, if(ISBLANK('2025'!$T450), 0, 1), 7, 0))), 1, "")</f>
        <v/>
      </c>
      <c r="AC487" s="1" t="str">
        <f>IF(AND(AND(AND(AC$4&gt;='2025'!$L450,AC$4&lt;='2025'!$M450), AC$4&lt;&gt;DATE(2025,7,4)), (SWITCH(weekday(AC$4), 1, 0, 2, if(ISBLANK('2025'!$P450), 0, 1), 3, if(ISBLANK('2025'!$Q450), 0, 1), 4, if(ISBLANK('2025'!$R450), 0, 1), 5, if(ISBLANK('2025'!$S450), 0, 1), 6, if(ISBLANK('2025'!$T450), 0, 1), 7, 0))), 1, "")</f>
        <v/>
      </c>
      <c r="AD487" s="1" t="str">
        <f>IF(AND(AND(AND(AD$4&gt;='2025'!$L450,AD$4&lt;='2025'!$M450), AD$4&lt;&gt;DATE(2025,7,4)), (SWITCH(weekday(AD$4), 1, 0, 2, if(ISBLANK('2025'!$P450), 0, 1), 3, if(ISBLANK('2025'!$Q450), 0, 1), 4, if(ISBLANK('2025'!$R450), 0, 1), 5, if(ISBLANK('2025'!$S450), 0, 1), 6, if(ISBLANK('2025'!$T450), 0, 1), 7, 0))), 1, "")</f>
        <v/>
      </c>
      <c r="AE487" s="1" t="str">
        <f>IF(AND(AND(AND(AE$4&gt;='2025'!$L450,AE$4&lt;='2025'!$M450), AE$4&lt;&gt;DATE(2025,7,4)), (SWITCH(weekday(AE$4), 1, 0, 2, if(ISBLANK('2025'!$P450), 0, 1), 3, if(ISBLANK('2025'!$Q450), 0, 1), 4, if(ISBLANK('2025'!$R450), 0, 1), 5, if(ISBLANK('2025'!$S450), 0, 1), 6, if(ISBLANK('2025'!$T450), 0, 1), 7, 0))), 1, "")</f>
        <v/>
      </c>
      <c r="AF487" s="1" t="str">
        <f>IF(AND(AND(AND(AF$4&gt;='2025'!$L450,AF$4&lt;='2025'!$M450), AF$4&lt;&gt;DATE(2025,7,4)), (SWITCH(weekday(AF$4), 1, 0, 2, if(ISBLANK('2025'!$P450), 0, 1), 3, if(ISBLANK('2025'!$Q450), 0, 1), 4, if(ISBLANK('2025'!$R450), 0, 1), 5, if(ISBLANK('2025'!$S450), 0, 1), 6, if(ISBLANK('2025'!$T450), 0, 1), 7, 0))), 1, "")</f>
        <v/>
      </c>
      <c r="AG487" s="1" t="str">
        <f>IF(AND(AND(AND(AG$4&gt;='2025'!$L450,AG$4&lt;='2025'!$M450), AG$4&lt;&gt;DATE(2025,7,4)), (SWITCH(weekday(AG$4), 1, 0, 2, if(ISBLANK('2025'!$P450), 0, 1), 3, if(ISBLANK('2025'!$Q450), 0, 1), 4, if(ISBLANK('2025'!$R450), 0, 1), 5, if(ISBLANK('2025'!$S450), 0, 1), 6, if(ISBLANK('2025'!$T450), 0, 1), 7, 0))), 1, "")</f>
        <v/>
      </c>
      <c r="AH487" s="1" t="str">
        <f>IF(AND(AND(AND(AH$4&gt;='2025'!$L450,AH$4&lt;='2025'!$M450), AH$4&lt;&gt;DATE(2025,7,4)), (SWITCH(weekday(AH$4), 1, 0, 2, if(ISBLANK('2025'!$P450), 0, 1), 3, if(ISBLANK('2025'!$Q450), 0, 1), 4, if(ISBLANK('2025'!$R450), 0, 1), 5, if(ISBLANK('2025'!$S450), 0, 1), 6, if(ISBLANK('2025'!$T450), 0, 1), 7, 0))), 1, "")</f>
        <v/>
      </c>
      <c r="AI487" s="1" t="str">
        <f>IF(AND(AND(AND(AI$4&gt;='2025'!$L450,AI$4&lt;='2025'!$M450), AI$4&lt;&gt;DATE(2025,7,4)), (SWITCH(weekday(AI$4), 1, 0, 2, if(ISBLANK('2025'!$P450), 0, 1), 3, if(ISBLANK('2025'!$Q450), 0, 1), 4, if(ISBLANK('2025'!$R450), 0, 1), 5, if(ISBLANK('2025'!$S450), 0, 1), 6, if(ISBLANK('2025'!$T450), 0, 1), 7, 0))), 1, "")</f>
        <v/>
      </c>
      <c r="AJ487" s="1" t="str">
        <f>IF(AND(AND(AND(AJ$4&gt;='2025'!$L450,AJ$4&lt;='2025'!$M450), AJ$4&lt;&gt;DATE(2025,7,4)), (SWITCH(weekday(AJ$4), 1, 0, 2, if(ISBLANK('2025'!$P450), 0, 1), 3, if(ISBLANK('2025'!$Q450), 0, 1), 4, if(ISBLANK('2025'!$R450), 0, 1), 5, if(ISBLANK('2025'!$S450), 0, 1), 6, if(ISBLANK('2025'!$T450), 0, 1), 7, 0))), 1, "")</f>
        <v/>
      </c>
      <c r="AK487" s="1" t="str">
        <f>IF(AND(AND(AND(AK$4&gt;='2025'!$L450,AK$4&lt;='2025'!$M450), AK$4&lt;&gt;DATE(2025,7,4)), (SWITCH(weekday(AK$4), 1, 0, 2, if(ISBLANK('2025'!$P450), 0, 1), 3, if(ISBLANK('2025'!$Q450), 0, 1), 4, if(ISBLANK('2025'!$R450), 0, 1), 5, if(ISBLANK('2025'!$S450), 0, 1), 6, if(ISBLANK('2025'!$T450), 0, 1), 7, 0))), 1, "")</f>
        <v/>
      </c>
      <c r="AL487" s="1" t="str">
        <f>IF(AND(AND(AND(AL$4&gt;='2025'!$L450,AL$4&lt;='2025'!$M450), AL$4&lt;&gt;DATE(2025,7,4)), (SWITCH(weekday(AL$4), 1, 0, 2, if(ISBLANK('2025'!$P450), 0, 1), 3, if(ISBLANK('2025'!$Q450), 0, 1), 4, if(ISBLANK('2025'!$R450), 0, 1), 5, if(ISBLANK('2025'!$S450), 0, 1), 6, if(ISBLANK('2025'!$T450), 0, 1), 7, 0))), 1, "")</f>
        <v/>
      </c>
      <c r="AM487" s="1" t="str">
        <f>IF(AND(AND(AND(AM$4&gt;='2025'!$L450,AM$4&lt;='2025'!$M450), AM$4&lt;&gt;DATE(2025,7,4)), (SWITCH(weekday(AM$4), 1, 0, 2, if(ISBLANK('2025'!$P450), 0, 1), 3, if(ISBLANK('2025'!$Q450), 0, 1), 4, if(ISBLANK('2025'!$R450), 0, 1), 5, if(ISBLANK('2025'!$S450), 0, 1), 6, if(ISBLANK('2025'!$T450), 0, 1), 7, 0))), 1, "")</f>
        <v/>
      </c>
      <c r="AN487" s="1" t="str">
        <f>IF(AND(AND(AND(AN$4&gt;='2025'!$L450,AN$4&lt;='2025'!$M450), AN$4&lt;&gt;DATE(2025,7,4)), (SWITCH(weekday(AN$4), 1, 0, 2, if(ISBLANK('2025'!$P450), 0, 1), 3, if(ISBLANK('2025'!$Q450), 0, 1), 4, if(ISBLANK('2025'!$R450), 0, 1), 5, if(ISBLANK('2025'!$S450), 0, 1), 6, if(ISBLANK('2025'!$T450), 0, 1), 7, 0))), 1, "")</f>
        <v/>
      </c>
      <c r="AO487" s="1" t="str">
        <f>IF(AND(AND(AND(AO$4&gt;='2025'!$L450,AO$4&lt;='2025'!$M450), AO$4&lt;&gt;DATE(2025,7,4)), (SWITCH(weekday(AO$4), 1, 0, 2, if(ISBLANK('2025'!$P450), 0, 1), 3, if(ISBLANK('2025'!$Q450), 0, 1), 4, if(ISBLANK('2025'!$R450), 0, 1), 5, if(ISBLANK('2025'!$S450), 0, 1), 6, if(ISBLANK('2025'!$T450), 0, 1), 7, 0))), 1, "")</f>
        <v/>
      </c>
      <c r="AP487" s="1" t="str">
        <f>IF(AND(AND(AND(AP$4&gt;='2025'!$L450,AP$4&lt;='2025'!$M450), AP$4&lt;&gt;DATE(2025,7,4)), (SWITCH(weekday(AP$4), 1, 0, 2, if(ISBLANK('2025'!$P450), 0, 1), 3, if(ISBLANK('2025'!$Q450), 0, 1), 4, if(ISBLANK('2025'!$R450), 0, 1), 5, if(ISBLANK('2025'!$S450), 0, 1), 6, if(ISBLANK('2025'!$T450), 0, 1), 7, 0))), 1, "")</f>
        <v/>
      </c>
      <c r="AQ487" s="1" t="str">
        <f>IF(AND(AND(AND(AQ$4&gt;='2025'!$L450,AQ$4&lt;='2025'!$M450), AQ$4&lt;&gt;DATE(2025,7,4)), (SWITCH(weekday(AQ$4), 1, 0, 2, if(ISBLANK('2025'!$P450), 0, 1), 3, if(ISBLANK('2025'!$Q450), 0, 1), 4, if(ISBLANK('2025'!$R450), 0, 1), 5, if(ISBLANK('2025'!$S450), 0, 1), 6, if(ISBLANK('2025'!$T450), 0, 1), 7, 0))), 1, "")</f>
        <v/>
      </c>
      <c r="AR487" s="1" t="str">
        <f>IF(AND(AND(AND(AR$4&gt;='2025'!$L450,AR$4&lt;='2025'!$M450), AR$4&lt;&gt;DATE(2025,7,4)), (SWITCH(weekday(AR$4), 1, 0, 2, if(ISBLANK('2025'!$P450), 0, 1), 3, if(ISBLANK('2025'!$Q450), 0, 1), 4, if(ISBLANK('2025'!$R450), 0, 1), 5, if(ISBLANK('2025'!$S450), 0, 1), 6, if(ISBLANK('2025'!$T450), 0, 1), 7, 0))), 1, "")</f>
        <v/>
      </c>
      <c r="AS487" s="1" t="str">
        <f>IF(AND(AND(AND(AS$4&gt;='2025'!$L450,AS$4&lt;='2025'!$M450), AS$4&lt;&gt;DATE(2025,7,4)), (SWITCH(weekday(AS$4), 1, 0, 2, if(ISBLANK('2025'!$P450), 0, 1), 3, if(ISBLANK('2025'!$Q450), 0, 1), 4, if(ISBLANK('2025'!$R450), 0, 1), 5, if(ISBLANK('2025'!$S450), 0, 1), 6, if(ISBLANK('2025'!$T450), 0, 1), 7, 0))), 1, "")</f>
        <v/>
      </c>
      <c r="AT487" s="1" t="str">
        <f>IF(AND(AND(AND(AT$4&gt;='2025'!$L450,AT$4&lt;='2025'!$M450), AT$4&lt;&gt;DATE(2025,7,4)), (SWITCH(weekday(AT$4), 1, 0, 2, if(ISBLANK('2025'!$P450), 0, 1), 3, if(ISBLANK('2025'!$Q450), 0, 1), 4, if(ISBLANK('2025'!$R450), 0, 1), 5, if(ISBLANK('2025'!$S450), 0, 1), 6, if(ISBLANK('2025'!$T450), 0, 1), 7, 0))), 1, "")</f>
        <v/>
      </c>
      <c r="AU487" s="1" t="str">
        <f>IF(AND(AND(AND(AU$4&gt;='2025'!$L450,AU$4&lt;='2025'!$M450), AU$4&lt;&gt;DATE(2025,7,4)), (SWITCH(weekday(AU$4), 1, 0, 2, if(ISBLANK('2025'!$P450), 0, 1), 3, if(ISBLANK('2025'!$Q450), 0, 1), 4, if(ISBLANK('2025'!$R450), 0, 1), 5, if(ISBLANK('2025'!$S450), 0, 1), 6, if(ISBLANK('2025'!$T450), 0, 1), 7, 0))), 1, "")</f>
        <v/>
      </c>
      <c r="AV487" s="1" t="str">
        <f>IF(AND(AND(AND(AV$4&gt;='2025'!$L450,AV$4&lt;='2025'!$M450), AV$4&lt;&gt;DATE(2025,7,4)), (SWITCH(weekday(AV$4), 1, 0, 2, if(ISBLANK('2025'!$P450), 0, 1), 3, if(ISBLANK('2025'!$Q450), 0, 1), 4, if(ISBLANK('2025'!$R450), 0, 1), 5, if(ISBLANK('2025'!$S450), 0, 1), 6, if(ISBLANK('2025'!$T450), 0, 1), 7, 0))), 1, "")</f>
        <v/>
      </c>
      <c r="AW487" s="1" t="str">
        <f>IF(AND(AND(AND(AW$4&gt;='2025'!$L450,AW$4&lt;='2025'!$M450), AW$4&lt;&gt;DATE(2025,7,4)), (SWITCH(weekday(AW$4), 1, 0, 2, if(ISBLANK('2025'!$P450), 0, 1), 3, if(ISBLANK('2025'!$Q450), 0, 1), 4, if(ISBLANK('2025'!$R450), 0, 1), 5, if(ISBLANK('2025'!$S450), 0, 1), 6, if(ISBLANK('2025'!$T450), 0, 1), 7, 0))), 1, "")</f>
        <v/>
      </c>
      <c r="AX487" s="1" t="str">
        <f>IF(AND(AND(AND(AX$4&gt;='2025'!$L450,AX$4&lt;='2025'!$M450), AX$4&lt;&gt;DATE(2025,7,4)), (SWITCH(weekday(AX$4), 1, 0, 2, if(ISBLANK('2025'!$P450), 0, 1), 3, if(ISBLANK('2025'!$Q450), 0, 1), 4, if(ISBLANK('2025'!$R450), 0, 1), 5, if(ISBLANK('2025'!$S450), 0, 1), 6, if(ISBLANK('2025'!$T450), 0, 1), 7, 0))), 1, "")</f>
        <v/>
      </c>
      <c r="AY487" s="1" t="str">
        <f>IF(AND(AND(AND(AY$4&gt;='2025'!$L450,AY$4&lt;='2025'!$M450), AY$4&lt;&gt;DATE(2025,7,4)), (SWITCH(weekday(AY$4), 1, 0, 2, if(ISBLANK('2025'!$P450), 0, 1), 3, if(ISBLANK('2025'!$Q450), 0, 1), 4, if(ISBLANK('2025'!$R450), 0, 1), 5, if(ISBLANK('2025'!$S450), 0, 1), 6, if(ISBLANK('2025'!$T450), 0, 1), 7, 0))), 1, "")</f>
        <v/>
      </c>
      <c r="AZ487" s="1" t="str">
        <f>IF(AND(AND(AND(AZ$4&gt;='2025'!$L450,AZ$4&lt;='2025'!$M450), AZ$4&lt;&gt;DATE(2025,7,4)), (SWITCH(weekday(AZ$4), 1, 0, 2, if(ISBLANK('2025'!$P450), 0, 1), 3, if(ISBLANK('2025'!$Q450), 0, 1), 4, if(ISBLANK('2025'!$R450), 0, 1), 5, if(ISBLANK('2025'!$S450), 0, 1), 6, if(ISBLANK('2025'!$T450), 0, 1), 7, 0))), 1, "")</f>
        <v/>
      </c>
      <c r="BA487" s="1" t="str">
        <f>IF(AND(AND(AND(BA$4&gt;='2025'!$L450,BA$4&lt;='2025'!$M450), BA$4&lt;&gt;DATE(2025,7,4)), (SWITCH(weekday(BA$4), 1, 0, 2, if(ISBLANK('2025'!$P450), 0, 1), 3, if(ISBLANK('2025'!$Q450), 0, 1), 4, if(ISBLANK('2025'!$R450), 0, 1), 5, if(ISBLANK('2025'!$S450), 0, 1), 6, if(ISBLANK('2025'!$T450), 0, 1), 7, 0))), 1, "")</f>
        <v/>
      </c>
      <c r="BB487" s="1" t="str">
        <f>IF(AND(AND(AND(BB$4&gt;='2025'!$L450,BB$4&lt;='2025'!$M450), BB$4&lt;&gt;DATE(2025,7,4)), (SWITCH(weekday(BB$4), 1, 0, 2, if(ISBLANK('2025'!$P450), 0, 1), 3, if(ISBLANK('2025'!$Q450), 0, 1), 4, if(ISBLANK('2025'!$R450), 0, 1), 5, if(ISBLANK('2025'!$S450), 0, 1), 6, if(ISBLANK('2025'!$T450), 0, 1), 7, 0))), 1, "")</f>
        <v/>
      </c>
      <c r="BC487" s="1" t="str">
        <f>IF(AND(AND(AND(BC$4&gt;='2025'!$L450,BC$4&lt;='2025'!$M450), BC$4&lt;&gt;DATE(2025,7,4)), (SWITCH(weekday(BC$4), 1, 0, 2, if(ISBLANK('2025'!$P450), 0, 1), 3, if(ISBLANK('2025'!$Q450), 0, 1), 4, if(ISBLANK('2025'!$R450), 0, 1), 5, if(ISBLANK('2025'!$S450), 0, 1), 6, if(ISBLANK('2025'!$T450), 0, 1), 7, 0))), 1, "")</f>
        <v/>
      </c>
      <c r="BD487" s="1" t="str">
        <f>IF(AND(AND(AND(BD$4&gt;='2025'!$L450,BD$4&lt;='2025'!$M450), BD$4&lt;&gt;DATE(2025,7,4)), (SWITCH(weekday(BD$4), 1, 0, 2, if(ISBLANK('2025'!$P450), 0, 1), 3, if(ISBLANK('2025'!$Q450), 0, 1), 4, if(ISBLANK('2025'!$R450), 0, 1), 5, if(ISBLANK('2025'!$S450), 0, 1), 6, if(ISBLANK('2025'!$T450), 0, 1), 7, 0))), 1, "")</f>
        <v/>
      </c>
      <c r="BE487" s="1" t="str">
        <f>IF(AND(AND(AND(BE$4&gt;='2025'!$L450,BE$4&lt;='2025'!$M450), BE$4&lt;&gt;DATE(2025,7,4)), (SWITCH(weekday(BE$4), 1, 0, 2, if(ISBLANK('2025'!$P450), 0, 1), 3, if(ISBLANK('2025'!$Q450), 0, 1), 4, if(ISBLANK('2025'!$R450), 0, 1), 5, if(ISBLANK('2025'!$S450), 0, 1), 6, if(ISBLANK('2025'!$T450), 0, 1), 7, 0))), 1, "")</f>
        <v/>
      </c>
    </row>
    <row r="488">
      <c r="A488" s="1">
        <f t="shared" si="3"/>
        <v>488</v>
      </c>
      <c r="B488" s="1" t="str">
        <f>'2025'!D451</f>
        <v/>
      </c>
      <c r="C488" s="1" t="str">
        <f>'2025'!H451</f>
        <v/>
      </c>
      <c r="D488" s="1" t="str">
        <f>IF(AND(AND(AND(D$4&gt;='2025'!$L451,D$4&lt;='2025'!$M451), D$4&lt;&gt;DATE(2025,7,4)), (SWITCH(weekday(D$4), 1, 0, 2, if(ISBLANK('2025'!$P451), 0, 1), 3, if(ISBLANK('2025'!$Q451), 0, 1), 4, if(ISBLANK('2025'!$R451), 0, 1), 5, if(ISBLANK('2025'!$S451), 0, 1), 6, if(ISBLANK('2025'!$T451), 0, 1), 7, 0))), 1, "")</f>
        <v/>
      </c>
      <c r="E488" s="1" t="str">
        <f>IF(AND(AND(AND(E$4&gt;='2025'!$L451,E$4&lt;='2025'!$M451), E$4&lt;&gt;DATE(2025,7,4)), (SWITCH(weekday(E$4), 1, 0, 2, if(ISBLANK('2025'!$P451), 0, 1), 3, if(ISBLANK('2025'!$Q451), 0, 1), 4, if(ISBLANK('2025'!$R451), 0, 1), 5, if(ISBLANK('2025'!$S451), 0, 1), 6, if(ISBLANK('2025'!$T451), 0, 1), 7, 0))), 1, "")</f>
        <v/>
      </c>
      <c r="F488" s="1" t="str">
        <f>IF(AND(AND(AND(F$4&gt;='2025'!$L451,F$4&lt;='2025'!$M451), F$4&lt;&gt;DATE(2025,7,4)), (SWITCH(weekday(F$4), 1, 0, 2, if(ISBLANK('2025'!$P451), 0, 1), 3, if(ISBLANK('2025'!$Q451), 0, 1), 4, if(ISBLANK('2025'!$R451), 0, 1), 5, if(ISBLANK('2025'!$S451), 0, 1), 6, if(ISBLANK('2025'!$T451), 0, 1), 7, 0))), 1, "")</f>
        <v/>
      </c>
      <c r="G488" s="1" t="str">
        <f>IF(AND(AND(AND(G$4&gt;='2025'!$L451,G$4&lt;='2025'!$M451), G$4&lt;&gt;DATE(2025,7,4)), (SWITCH(weekday(G$4), 1, 0, 2, if(ISBLANK('2025'!$P451), 0, 1), 3, if(ISBLANK('2025'!$Q451), 0, 1), 4, if(ISBLANK('2025'!$R451), 0, 1), 5, if(ISBLANK('2025'!$S451), 0, 1), 6, if(ISBLANK('2025'!$T451), 0, 1), 7, 0))), 1, "")</f>
        <v/>
      </c>
      <c r="H488" s="1" t="str">
        <f>IF(AND(AND(AND(H$4&gt;='2025'!$L451,H$4&lt;='2025'!$M451), H$4&lt;&gt;DATE(2025,7,4)), (SWITCH(weekday(H$4), 1, 0, 2, if(ISBLANK('2025'!$P451), 0, 1), 3, if(ISBLANK('2025'!$Q451), 0, 1), 4, if(ISBLANK('2025'!$R451), 0, 1), 5, if(ISBLANK('2025'!$S451), 0, 1), 6, if(ISBLANK('2025'!$T451), 0, 1), 7, 0))), 1, "")</f>
        <v/>
      </c>
      <c r="I488" s="1" t="str">
        <f>IF(AND(AND(AND(I$4&gt;='2025'!$L451,I$4&lt;='2025'!$M451), I$4&lt;&gt;DATE(2025,7,4)), (SWITCH(weekday(I$4), 1, 0, 2, if(ISBLANK('2025'!$P451), 0, 1), 3, if(ISBLANK('2025'!$Q451), 0, 1), 4, if(ISBLANK('2025'!$R451), 0, 1), 5, if(ISBLANK('2025'!$S451), 0, 1), 6, if(ISBLANK('2025'!$T451), 0, 1), 7, 0))), 1, "")</f>
        <v/>
      </c>
      <c r="J488" s="1" t="str">
        <f>IF(AND(AND(AND(J$4&gt;='2025'!$L451,J$4&lt;='2025'!$M451), J$4&lt;&gt;DATE(2025,7,4)), (SWITCH(weekday(J$4), 1, 0, 2, if(ISBLANK('2025'!$P451), 0, 1), 3, if(ISBLANK('2025'!$Q451), 0, 1), 4, if(ISBLANK('2025'!$R451), 0, 1), 5, if(ISBLANK('2025'!$S451), 0, 1), 6, if(ISBLANK('2025'!$T451), 0, 1), 7, 0))), 1, "")</f>
        <v/>
      </c>
      <c r="K488" s="1" t="str">
        <f>IF(AND(AND(AND(K$4&gt;='2025'!$L451,K$4&lt;='2025'!$M451), K$4&lt;&gt;DATE(2025,7,4)), (SWITCH(weekday(K$4), 1, 0, 2, if(ISBLANK('2025'!$P451), 0, 1), 3, if(ISBLANK('2025'!$Q451), 0, 1), 4, if(ISBLANK('2025'!$R451), 0, 1), 5, if(ISBLANK('2025'!$S451), 0, 1), 6, if(ISBLANK('2025'!$T451), 0, 1), 7, 0))), 1, "")</f>
        <v/>
      </c>
      <c r="L488" s="1" t="str">
        <f>IF(AND(AND(AND(L$4&gt;='2025'!$L451,L$4&lt;='2025'!$M451), L$4&lt;&gt;DATE(2025,7,4)), (SWITCH(weekday(L$4), 1, 0, 2, if(ISBLANK('2025'!$P451), 0, 1), 3, if(ISBLANK('2025'!$Q451), 0, 1), 4, if(ISBLANK('2025'!$R451), 0, 1), 5, if(ISBLANK('2025'!$S451), 0, 1), 6, if(ISBLANK('2025'!$T451), 0, 1), 7, 0))), 1, "")</f>
        <v/>
      </c>
      <c r="M488" s="1" t="str">
        <f>IF(AND(AND(AND(M$4&gt;='2025'!$L451,M$4&lt;='2025'!$M451), M$4&lt;&gt;DATE(2025,7,4)), (SWITCH(weekday(M$4), 1, 0, 2, if(ISBLANK('2025'!$P451), 0, 1), 3, if(ISBLANK('2025'!$Q451), 0, 1), 4, if(ISBLANK('2025'!$R451), 0, 1), 5, if(ISBLANK('2025'!$S451), 0, 1), 6, if(ISBLANK('2025'!$T451), 0, 1), 7, 0))), 1, "")</f>
        <v/>
      </c>
      <c r="N488" s="1" t="str">
        <f>IF(AND(AND(AND(N$4&gt;='2025'!$L451,N$4&lt;='2025'!$M451), N$4&lt;&gt;DATE(2025,7,4)), (SWITCH(weekday(N$4), 1, 0, 2, if(ISBLANK('2025'!$P451), 0, 1), 3, if(ISBLANK('2025'!$Q451), 0, 1), 4, if(ISBLANK('2025'!$R451), 0, 1), 5, if(ISBLANK('2025'!$S451), 0, 1), 6, if(ISBLANK('2025'!$T451), 0, 1), 7, 0))), 1, "")</f>
        <v/>
      </c>
      <c r="O488" s="1" t="str">
        <f>IF(AND(AND(AND(O$4&gt;='2025'!$L451,O$4&lt;='2025'!$M451), O$4&lt;&gt;DATE(2025,7,4)), (SWITCH(weekday(O$4), 1, 0, 2, if(ISBLANK('2025'!$P451), 0, 1), 3, if(ISBLANK('2025'!$Q451), 0, 1), 4, if(ISBLANK('2025'!$R451), 0, 1), 5, if(ISBLANK('2025'!$S451), 0, 1), 6, if(ISBLANK('2025'!$T451), 0, 1), 7, 0))), 1, "")</f>
        <v/>
      </c>
      <c r="P488" s="1" t="str">
        <f>IF(AND(AND(AND(P$4&gt;='2025'!$L451,P$4&lt;='2025'!$M451), P$4&lt;&gt;DATE(2025,7,4)), (SWITCH(weekday(P$4), 1, 0, 2, if(ISBLANK('2025'!$P451), 0, 1), 3, if(ISBLANK('2025'!$Q451), 0, 1), 4, if(ISBLANK('2025'!$R451), 0, 1), 5, if(ISBLANK('2025'!$S451), 0, 1), 6, if(ISBLANK('2025'!$T451), 0, 1), 7, 0))), 1, "")</f>
        <v/>
      </c>
      <c r="Q488" s="1" t="str">
        <f>IF(AND(AND(AND(Q$4&gt;='2025'!$L451,Q$4&lt;='2025'!$M451), Q$4&lt;&gt;DATE(2025,7,4)), (SWITCH(weekday(Q$4), 1, 0, 2, if(ISBLANK('2025'!$P451), 0, 1), 3, if(ISBLANK('2025'!$Q451), 0, 1), 4, if(ISBLANK('2025'!$R451), 0, 1), 5, if(ISBLANK('2025'!$S451), 0, 1), 6, if(ISBLANK('2025'!$T451), 0, 1), 7, 0))), 1, "")</f>
        <v/>
      </c>
      <c r="R488" s="1" t="str">
        <f>IF(AND(AND(AND(R$4&gt;='2025'!$L451,R$4&lt;='2025'!$M451), R$4&lt;&gt;DATE(2025,7,4)), (SWITCH(weekday(R$4), 1, 0, 2, if(ISBLANK('2025'!$P451), 0, 1), 3, if(ISBLANK('2025'!$Q451), 0, 1), 4, if(ISBLANK('2025'!$R451), 0, 1), 5, if(ISBLANK('2025'!$S451), 0, 1), 6, if(ISBLANK('2025'!$T451), 0, 1), 7, 0))), 1, "")</f>
        <v/>
      </c>
      <c r="S488" s="1" t="str">
        <f>IF(AND(AND(AND(S$4&gt;='2025'!$L451,S$4&lt;='2025'!$M451), S$4&lt;&gt;DATE(2025,7,4)), (SWITCH(weekday(S$4), 1, 0, 2, if(ISBLANK('2025'!$P451), 0, 1), 3, if(ISBLANK('2025'!$Q451), 0, 1), 4, if(ISBLANK('2025'!$R451), 0, 1), 5, if(ISBLANK('2025'!$S451), 0, 1), 6, if(ISBLANK('2025'!$T451), 0, 1), 7, 0))), 1, "")</f>
        <v/>
      </c>
      <c r="T488" s="1" t="str">
        <f>IF(AND(AND(AND(T$4&gt;='2025'!$L451,T$4&lt;='2025'!$M451), T$4&lt;&gt;DATE(2025,7,4)), (SWITCH(weekday(T$4), 1, 0, 2, if(ISBLANK('2025'!$P451), 0, 1), 3, if(ISBLANK('2025'!$Q451), 0, 1), 4, if(ISBLANK('2025'!$R451), 0, 1), 5, if(ISBLANK('2025'!$S451), 0, 1), 6, if(ISBLANK('2025'!$T451), 0, 1), 7, 0))), 1, "")</f>
        <v/>
      </c>
      <c r="U488" s="1" t="str">
        <f>IF(AND(AND(AND(U$4&gt;='2025'!$L451,U$4&lt;='2025'!$M451), U$4&lt;&gt;DATE(2025,7,4)), (SWITCH(weekday(U$4), 1, 0, 2, if(ISBLANK('2025'!$P451), 0, 1), 3, if(ISBLANK('2025'!$Q451), 0, 1), 4, if(ISBLANK('2025'!$R451), 0, 1), 5, if(ISBLANK('2025'!$S451), 0, 1), 6, if(ISBLANK('2025'!$T451), 0, 1), 7, 0))), 1, "")</f>
        <v/>
      </c>
      <c r="V488" s="1" t="str">
        <f>IF(AND(AND(AND(V$4&gt;='2025'!$L451,V$4&lt;='2025'!$M451), V$4&lt;&gt;DATE(2025,7,4)), (SWITCH(weekday(V$4), 1, 0, 2, if(ISBLANK('2025'!$P451), 0, 1), 3, if(ISBLANK('2025'!$Q451), 0, 1), 4, if(ISBLANK('2025'!$R451), 0, 1), 5, if(ISBLANK('2025'!$S451), 0, 1), 6, if(ISBLANK('2025'!$T451), 0, 1), 7, 0))), 1, "")</f>
        <v/>
      </c>
      <c r="W488" s="1" t="str">
        <f>IF(AND(AND(AND(W$4&gt;='2025'!$L451,W$4&lt;='2025'!$M451), W$4&lt;&gt;DATE(2025,7,4)), (SWITCH(weekday(W$4), 1, 0, 2, if(ISBLANK('2025'!$P451), 0, 1), 3, if(ISBLANK('2025'!$Q451), 0, 1), 4, if(ISBLANK('2025'!$R451), 0, 1), 5, if(ISBLANK('2025'!$S451), 0, 1), 6, if(ISBLANK('2025'!$T451), 0, 1), 7, 0))), 1, "")</f>
        <v/>
      </c>
      <c r="X488" s="1" t="str">
        <f>IF(AND(AND(AND(X$4&gt;='2025'!$L451,X$4&lt;='2025'!$M451), X$4&lt;&gt;DATE(2025,7,4)), (SWITCH(weekday(X$4), 1, 0, 2, if(ISBLANK('2025'!$P451), 0, 1), 3, if(ISBLANK('2025'!$Q451), 0, 1), 4, if(ISBLANK('2025'!$R451), 0, 1), 5, if(ISBLANK('2025'!$S451), 0, 1), 6, if(ISBLANK('2025'!$T451), 0, 1), 7, 0))), 1, "")</f>
        <v/>
      </c>
      <c r="Y488" s="1" t="str">
        <f>IF(AND(AND(AND(Y$4&gt;='2025'!$L451,Y$4&lt;='2025'!$M451), Y$4&lt;&gt;DATE(2025,7,4)), (SWITCH(weekday(Y$4), 1, 0, 2, if(ISBLANK('2025'!$P451), 0, 1), 3, if(ISBLANK('2025'!$Q451), 0, 1), 4, if(ISBLANK('2025'!$R451), 0, 1), 5, if(ISBLANK('2025'!$S451), 0, 1), 6, if(ISBLANK('2025'!$T451), 0, 1), 7, 0))), 1, "")</f>
        <v/>
      </c>
      <c r="Z488" s="1" t="str">
        <f>IF(AND(AND(AND(Z$4&gt;='2025'!$L451,Z$4&lt;='2025'!$M451), Z$4&lt;&gt;DATE(2025,7,4)), (SWITCH(weekday(Z$4), 1, 0, 2, if(ISBLANK('2025'!$P451), 0, 1), 3, if(ISBLANK('2025'!$Q451), 0, 1), 4, if(ISBLANK('2025'!$R451), 0, 1), 5, if(ISBLANK('2025'!$S451), 0, 1), 6, if(ISBLANK('2025'!$T451), 0, 1), 7, 0))), 1, "")</f>
        <v/>
      </c>
      <c r="AA488" s="1" t="str">
        <f>IF(AND(AND(AND(AA$4&gt;='2025'!$L451,AA$4&lt;='2025'!$M451), AA$4&lt;&gt;DATE(2025,7,4)), (SWITCH(weekday(AA$4), 1, 0, 2, if(ISBLANK('2025'!$P451), 0, 1), 3, if(ISBLANK('2025'!$Q451), 0, 1), 4, if(ISBLANK('2025'!$R451), 0, 1), 5, if(ISBLANK('2025'!$S451), 0, 1), 6, if(ISBLANK('2025'!$T451), 0, 1), 7, 0))), 1, "")</f>
        <v/>
      </c>
      <c r="AB488" s="1" t="str">
        <f>IF(AND(AND(AND(AB$4&gt;='2025'!$L451,AB$4&lt;='2025'!$M451), AB$4&lt;&gt;DATE(2025,7,4)), (SWITCH(weekday(AB$4), 1, 0, 2, if(ISBLANK('2025'!$P451), 0, 1), 3, if(ISBLANK('2025'!$Q451), 0, 1), 4, if(ISBLANK('2025'!$R451), 0, 1), 5, if(ISBLANK('2025'!$S451), 0, 1), 6, if(ISBLANK('2025'!$T451), 0, 1), 7, 0))), 1, "")</f>
        <v/>
      </c>
      <c r="AC488" s="1" t="str">
        <f>IF(AND(AND(AND(AC$4&gt;='2025'!$L451,AC$4&lt;='2025'!$M451), AC$4&lt;&gt;DATE(2025,7,4)), (SWITCH(weekday(AC$4), 1, 0, 2, if(ISBLANK('2025'!$P451), 0, 1), 3, if(ISBLANK('2025'!$Q451), 0, 1), 4, if(ISBLANK('2025'!$R451), 0, 1), 5, if(ISBLANK('2025'!$S451), 0, 1), 6, if(ISBLANK('2025'!$T451), 0, 1), 7, 0))), 1, "")</f>
        <v/>
      </c>
      <c r="AD488" s="1" t="str">
        <f>IF(AND(AND(AND(AD$4&gt;='2025'!$L451,AD$4&lt;='2025'!$M451), AD$4&lt;&gt;DATE(2025,7,4)), (SWITCH(weekday(AD$4), 1, 0, 2, if(ISBLANK('2025'!$P451), 0, 1), 3, if(ISBLANK('2025'!$Q451), 0, 1), 4, if(ISBLANK('2025'!$R451), 0, 1), 5, if(ISBLANK('2025'!$S451), 0, 1), 6, if(ISBLANK('2025'!$T451), 0, 1), 7, 0))), 1, "")</f>
        <v/>
      </c>
      <c r="AE488" s="1" t="str">
        <f>IF(AND(AND(AND(AE$4&gt;='2025'!$L451,AE$4&lt;='2025'!$M451), AE$4&lt;&gt;DATE(2025,7,4)), (SWITCH(weekday(AE$4), 1, 0, 2, if(ISBLANK('2025'!$P451), 0, 1), 3, if(ISBLANK('2025'!$Q451), 0, 1), 4, if(ISBLANK('2025'!$R451), 0, 1), 5, if(ISBLANK('2025'!$S451), 0, 1), 6, if(ISBLANK('2025'!$T451), 0, 1), 7, 0))), 1, "")</f>
        <v/>
      </c>
      <c r="AF488" s="1" t="str">
        <f>IF(AND(AND(AND(AF$4&gt;='2025'!$L451,AF$4&lt;='2025'!$M451), AF$4&lt;&gt;DATE(2025,7,4)), (SWITCH(weekday(AF$4), 1, 0, 2, if(ISBLANK('2025'!$P451), 0, 1), 3, if(ISBLANK('2025'!$Q451), 0, 1), 4, if(ISBLANK('2025'!$R451), 0, 1), 5, if(ISBLANK('2025'!$S451), 0, 1), 6, if(ISBLANK('2025'!$T451), 0, 1), 7, 0))), 1, "")</f>
        <v/>
      </c>
      <c r="AG488" s="1" t="str">
        <f>IF(AND(AND(AND(AG$4&gt;='2025'!$L451,AG$4&lt;='2025'!$M451), AG$4&lt;&gt;DATE(2025,7,4)), (SWITCH(weekday(AG$4), 1, 0, 2, if(ISBLANK('2025'!$P451), 0, 1), 3, if(ISBLANK('2025'!$Q451), 0, 1), 4, if(ISBLANK('2025'!$R451), 0, 1), 5, if(ISBLANK('2025'!$S451), 0, 1), 6, if(ISBLANK('2025'!$T451), 0, 1), 7, 0))), 1, "")</f>
        <v/>
      </c>
      <c r="AH488" s="1" t="str">
        <f>IF(AND(AND(AND(AH$4&gt;='2025'!$L451,AH$4&lt;='2025'!$M451), AH$4&lt;&gt;DATE(2025,7,4)), (SWITCH(weekday(AH$4), 1, 0, 2, if(ISBLANK('2025'!$P451), 0, 1), 3, if(ISBLANK('2025'!$Q451), 0, 1), 4, if(ISBLANK('2025'!$R451), 0, 1), 5, if(ISBLANK('2025'!$S451), 0, 1), 6, if(ISBLANK('2025'!$T451), 0, 1), 7, 0))), 1, "")</f>
        <v/>
      </c>
      <c r="AI488" s="1" t="str">
        <f>IF(AND(AND(AND(AI$4&gt;='2025'!$L451,AI$4&lt;='2025'!$M451), AI$4&lt;&gt;DATE(2025,7,4)), (SWITCH(weekday(AI$4), 1, 0, 2, if(ISBLANK('2025'!$P451), 0, 1), 3, if(ISBLANK('2025'!$Q451), 0, 1), 4, if(ISBLANK('2025'!$R451), 0, 1), 5, if(ISBLANK('2025'!$S451), 0, 1), 6, if(ISBLANK('2025'!$T451), 0, 1), 7, 0))), 1, "")</f>
        <v/>
      </c>
      <c r="AJ488" s="1" t="str">
        <f>IF(AND(AND(AND(AJ$4&gt;='2025'!$L451,AJ$4&lt;='2025'!$M451), AJ$4&lt;&gt;DATE(2025,7,4)), (SWITCH(weekday(AJ$4), 1, 0, 2, if(ISBLANK('2025'!$P451), 0, 1), 3, if(ISBLANK('2025'!$Q451), 0, 1), 4, if(ISBLANK('2025'!$R451), 0, 1), 5, if(ISBLANK('2025'!$S451), 0, 1), 6, if(ISBLANK('2025'!$T451), 0, 1), 7, 0))), 1, "")</f>
        <v/>
      </c>
      <c r="AK488" s="1" t="str">
        <f>IF(AND(AND(AND(AK$4&gt;='2025'!$L451,AK$4&lt;='2025'!$M451), AK$4&lt;&gt;DATE(2025,7,4)), (SWITCH(weekday(AK$4), 1, 0, 2, if(ISBLANK('2025'!$P451), 0, 1), 3, if(ISBLANK('2025'!$Q451), 0, 1), 4, if(ISBLANK('2025'!$R451), 0, 1), 5, if(ISBLANK('2025'!$S451), 0, 1), 6, if(ISBLANK('2025'!$T451), 0, 1), 7, 0))), 1, "")</f>
        <v/>
      </c>
      <c r="AL488" s="1" t="str">
        <f>IF(AND(AND(AND(AL$4&gt;='2025'!$L451,AL$4&lt;='2025'!$M451), AL$4&lt;&gt;DATE(2025,7,4)), (SWITCH(weekday(AL$4), 1, 0, 2, if(ISBLANK('2025'!$P451), 0, 1), 3, if(ISBLANK('2025'!$Q451), 0, 1), 4, if(ISBLANK('2025'!$R451), 0, 1), 5, if(ISBLANK('2025'!$S451), 0, 1), 6, if(ISBLANK('2025'!$T451), 0, 1), 7, 0))), 1, "")</f>
        <v/>
      </c>
      <c r="AM488" s="1" t="str">
        <f>IF(AND(AND(AND(AM$4&gt;='2025'!$L451,AM$4&lt;='2025'!$M451), AM$4&lt;&gt;DATE(2025,7,4)), (SWITCH(weekday(AM$4), 1, 0, 2, if(ISBLANK('2025'!$P451), 0, 1), 3, if(ISBLANK('2025'!$Q451), 0, 1), 4, if(ISBLANK('2025'!$R451), 0, 1), 5, if(ISBLANK('2025'!$S451), 0, 1), 6, if(ISBLANK('2025'!$T451), 0, 1), 7, 0))), 1, "")</f>
        <v/>
      </c>
      <c r="AN488" s="1" t="str">
        <f>IF(AND(AND(AND(AN$4&gt;='2025'!$L451,AN$4&lt;='2025'!$M451), AN$4&lt;&gt;DATE(2025,7,4)), (SWITCH(weekday(AN$4), 1, 0, 2, if(ISBLANK('2025'!$P451), 0, 1), 3, if(ISBLANK('2025'!$Q451), 0, 1), 4, if(ISBLANK('2025'!$R451), 0, 1), 5, if(ISBLANK('2025'!$S451), 0, 1), 6, if(ISBLANK('2025'!$T451), 0, 1), 7, 0))), 1, "")</f>
        <v/>
      </c>
      <c r="AO488" s="1" t="str">
        <f>IF(AND(AND(AND(AO$4&gt;='2025'!$L451,AO$4&lt;='2025'!$M451), AO$4&lt;&gt;DATE(2025,7,4)), (SWITCH(weekday(AO$4), 1, 0, 2, if(ISBLANK('2025'!$P451), 0, 1), 3, if(ISBLANK('2025'!$Q451), 0, 1), 4, if(ISBLANK('2025'!$R451), 0, 1), 5, if(ISBLANK('2025'!$S451), 0, 1), 6, if(ISBLANK('2025'!$T451), 0, 1), 7, 0))), 1, "")</f>
        <v/>
      </c>
      <c r="AP488" s="1" t="str">
        <f>IF(AND(AND(AND(AP$4&gt;='2025'!$L451,AP$4&lt;='2025'!$M451), AP$4&lt;&gt;DATE(2025,7,4)), (SWITCH(weekday(AP$4), 1, 0, 2, if(ISBLANK('2025'!$P451), 0, 1), 3, if(ISBLANK('2025'!$Q451), 0, 1), 4, if(ISBLANK('2025'!$R451), 0, 1), 5, if(ISBLANK('2025'!$S451), 0, 1), 6, if(ISBLANK('2025'!$T451), 0, 1), 7, 0))), 1, "")</f>
        <v/>
      </c>
      <c r="AQ488" s="1" t="str">
        <f>IF(AND(AND(AND(AQ$4&gt;='2025'!$L451,AQ$4&lt;='2025'!$M451), AQ$4&lt;&gt;DATE(2025,7,4)), (SWITCH(weekday(AQ$4), 1, 0, 2, if(ISBLANK('2025'!$P451), 0, 1), 3, if(ISBLANK('2025'!$Q451), 0, 1), 4, if(ISBLANK('2025'!$R451), 0, 1), 5, if(ISBLANK('2025'!$S451), 0, 1), 6, if(ISBLANK('2025'!$T451), 0, 1), 7, 0))), 1, "")</f>
        <v/>
      </c>
      <c r="AR488" s="1" t="str">
        <f>IF(AND(AND(AND(AR$4&gt;='2025'!$L451,AR$4&lt;='2025'!$M451), AR$4&lt;&gt;DATE(2025,7,4)), (SWITCH(weekday(AR$4), 1, 0, 2, if(ISBLANK('2025'!$P451), 0, 1), 3, if(ISBLANK('2025'!$Q451), 0, 1), 4, if(ISBLANK('2025'!$R451), 0, 1), 5, if(ISBLANK('2025'!$S451), 0, 1), 6, if(ISBLANK('2025'!$T451), 0, 1), 7, 0))), 1, "")</f>
        <v/>
      </c>
      <c r="AS488" s="1" t="str">
        <f>IF(AND(AND(AND(AS$4&gt;='2025'!$L451,AS$4&lt;='2025'!$M451), AS$4&lt;&gt;DATE(2025,7,4)), (SWITCH(weekday(AS$4), 1, 0, 2, if(ISBLANK('2025'!$P451), 0, 1), 3, if(ISBLANK('2025'!$Q451), 0, 1), 4, if(ISBLANK('2025'!$R451), 0, 1), 5, if(ISBLANK('2025'!$S451), 0, 1), 6, if(ISBLANK('2025'!$T451), 0, 1), 7, 0))), 1, "")</f>
        <v/>
      </c>
      <c r="AT488" s="1" t="str">
        <f>IF(AND(AND(AND(AT$4&gt;='2025'!$L451,AT$4&lt;='2025'!$M451), AT$4&lt;&gt;DATE(2025,7,4)), (SWITCH(weekday(AT$4), 1, 0, 2, if(ISBLANK('2025'!$P451), 0, 1), 3, if(ISBLANK('2025'!$Q451), 0, 1), 4, if(ISBLANK('2025'!$R451), 0, 1), 5, if(ISBLANK('2025'!$S451), 0, 1), 6, if(ISBLANK('2025'!$T451), 0, 1), 7, 0))), 1, "")</f>
        <v/>
      </c>
      <c r="AU488" s="1" t="str">
        <f>IF(AND(AND(AND(AU$4&gt;='2025'!$L451,AU$4&lt;='2025'!$M451), AU$4&lt;&gt;DATE(2025,7,4)), (SWITCH(weekday(AU$4), 1, 0, 2, if(ISBLANK('2025'!$P451), 0, 1), 3, if(ISBLANK('2025'!$Q451), 0, 1), 4, if(ISBLANK('2025'!$R451), 0, 1), 5, if(ISBLANK('2025'!$S451), 0, 1), 6, if(ISBLANK('2025'!$T451), 0, 1), 7, 0))), 1, "")</f>
        <v/>
      </c>
      <c r="AV488" s="1" t="str">
        <f>IF(AND(AND(AND(AV$4&gt;='2025'!$L451,AV$4&lt;='2025'!$M451), AV$4&lt;&gt;DATE(2025,7,4)), (SWITCH(weekday(AV$4), 1, 0, 2, if(ISBLANK('2025'!$P451), 0, 1), 3, if(ISBLANK('2025'!$Q451), 0, 1), 4, if(ISBLANK('2025'!$R451), 0, 1), 5, if(ISBLANK('2025'!$S451), 0, 1), 6, if(ISBLANK('2025'!$T451), 0, 1), 7, 0))), 1, "")</f>
        <v/>
      </c>
      <c r="AW488" s="1" t="str">
        <f>IF(AND(AND(AND(AW$4&gt;='2025'!$L451,AW$4&lt;='2025'!$M451), AW$4&lt;&gt;DATE(2025,7,4)), (SWITCH(weekday(AW$4), 1, 0, 2, if(ISBLANK('2025'!$P451), 0, 1), 3, if(ISBLANK('2025'!$Q451), 0, 1), 4, if(ISBLANK('2025'!$R451), 0, 1), 5, if(ISBLANK('2025'!$S451), 0, 1), 6, if(ISBLANK('2025'!$T451), 0, 1), 7, 0))), 1, "")</f>
        <v/>
      </c>
      <c r="AX488" s="1" t="str">
        <f>IF(AND(AND(AND(AX$4&gt;='2025'!$L451,AX$4&lt;='2025'!$M451), AX$4&lt;&gt;DATE(2025,7,4)), (SWITCH(weekday(AX$4), 1, 0, 2, if(ISBLANK('2025'!$P451), 0, 1), 3, if(ISBLANK('2025'!$Q451), 0, 1), 4, if(ISBLANK('2025'!$R451), 0, 1), 5, if(ISBLANK('2025'!$S451), 0, 1), 6, if(ISBLANK('2025'!$T451), 0, 1), 7, 0))), 1, "")</f>
        <v/>
      </c>
      <c r="AY488" s="1" t="str">
        <f>IF(AND(AND(AND(AY$4&gt;='2025'!$L451,AY$4&lt;='2025'!$M451), AY$4&lt;&gt;DATE(2025,7,4)), (SWITCH(weekday(AY$4), 1, 0, 2, if(ISBLANK('2025'!$P451), 0, 1), 3, if(ISBLANK('2025'!$Q451), 0, 1), 4, if(ISBLANK('2025'!$R451), 0, 1), 5, if(ISBLANK('2025'!$S451), 0, 1), 6, if(ISBLANK('2025'!$T451), 0, 1), 7, 0))), 1, "")</f>
        <v/>
      </c>
      <c r="AZ488" s="1" t="str">
        <f>IF(AND(AND(AND(AZ$4&gt;='2025'!$L451,AZ$4&lt;='2025'!$M451), AZ$4&lt;&gt;DATE(2025,7,4)), (SWITCH(weekday(AZ$4), 1, 0, 2, if(ISBLANK('2025'!$P451), 0, 1), 3, if(ISBLANK('2025'!$Q451), 0, 1), 4, if(ISBLANK('2025'!$R451), 0, 1), 5, if(ISBLANK('2025'!$S451), 0, 1), 6, if(ISBLANK('2025'!$T451), 0, 1), 7, 0))), 1, "")</f>
        <v/>
      </c>
      <c r="BA488" s="1" t="str">
        <f>IF(AND(AND(AND(BA$4&gt;='2025'!$L451,BA$4&lt;='2025'!$M451), BA$4&lt;&gt;DATE(2025,7,4)), (SWITCH(weekday(BA$4), 1, 0, 2, if(ISBLANK('2025'!$P451), 0, 1), 3, if(ISBLANK('2025'!$Q451), 0, 1), 4, if(ISBLANK('2025'!$R451), 0, 1), 5, if(ISBLANK('2025'!$S451), 0, 1), 6, if(ISBLANK('2025'!$T451), 0, 1), 7, 0))), 1, "")</f>
        <v/>
      </c>
      <c r="BB488" s="1" t="str">
        <f>IF(AND(AND(AND(BB$4&gt;='2025'!$L451,BB$4&lt;='2025'!$M451), BB$4&lt;&gt;DATE(2025,7,4)), (SWITCH(weekday(BB$4), 1, 0, 2, if(ISBLANK('2025'!$P451), 0, 1), 3, if(ISBLANK('2025'!$Q451), 0, 1), 4, if(ISBLANK('2025'!$R451), 0, 1), 5, if(ISBLANK('2025'!$S451), 0, 1), 6, if(ISBLANK('2025'!$T451), 0, 1), 7, 0))), 1, "")</f>
        <v/>
      </c>
      <c r="BC488" s="1" t="str">
        <f>IF(AND(AND(AND(BC$4&gt;='2025'!$L451,BC$4&lt;='2025'!$M451), BC$4&lt;&gt;DATE(2025,7,4)), (SWITCH(weekday(BC$4), 1, 0, 2, if(ISBLANK('2025'!$P451), 0, 1), 3, if(ISBLANK('2025'!$Q451), 0, 1), 4, if(ISBLANK('2025'!$R451), 0, 1), 5, if(ISBLANK('2025'!$S451), 0, 1), 6, if(ISBLANK('2025'!$T451), 0, 1), 7, 0))), 1, "")</f>
        <v/>
      </c>
      <c r="BD488" s="1" t="str">
        <f>IF(AND(AND(AND(BD$4&gt;='2025'!$L451,BD$4&lt;='2025'!$M451), BD$4&lt;&gt;DATE(2025,7,4)), (SWITCH(weekday(BD$4), 1, 0, 2, if(ISBLANK('2025'!$P451), 0, 1), 3, if(ISBLANK('2025'!$Q451), 0, 1), 4, if(ISBLANK('2025'!$R451), 0, 1), 5, if(ISBLANK('2025'!$S451), 0, 1), 6, if(ISBLANK('2025'!$T451), 0, 1), 7, 0))), 1, "")</f>
        <v/>
      </c>
      <c r="BE488" s="1" t="str">
        <f>IF(AND(AND(AND(BE$4&gt;='2025'!$L451,BE$4&lt;='2025'!$M451), BE$4&lt;&gt;DATE(2025,7,4)), (SWITCH(weekday(BE$4), 1, 0, 2, if(ISBLANK('2025'!$P451), 0, 1), 3, if(ISBLANK('2025'!$Q451), 0, 1), 4, if(ISBLANK('2025'!$R451), 0, 1), 5, if(ISBLANK('2025'!$S451), 0, 1), 6, if(ISBLANK('2025'!$T451), 0, 1), 7, 0))), 1, "")</f>
        <v/>
      </c>
    </row>
    <row r="489">
      <c r="A489" s="1">
        <f t="shared" si="3"/>
        <v>489</v>
      </c>
      <c r="B489" s="1" t="str">
        <f>'2025'!D452</f>
        <v/>
      </c>
      <c r="C489" s="1" t="str">
        <f>'2025'!H452</f>
        <v/>
      </c>
      <c r="D489" s="1" t="str">
        <f>IF(AND(AND(AND(D$4&gt;='2025'!$L452,D$4&lt;='2025'!$M452), D$4&lt;&gt;DATE(2025,7,4)), (SWITCH(weekday(D$4), 1, 0, 2, if(ISBLANK('2025'!$P452), 0, 1), 3, if(ISBLANK('2025'!$Q452), 0, 1), 4, if(ISBLANK('2025'!$R452), 0, 1), 5, if(ISBLANK('2025'!$S452), 0, 1), 6, if(ISBLANK('2025'!$T452), 0, 1), 7, 0))), 1, "")</f>
        <v/>
      </c>
      <c r="E489" s="1" t="str">
        <f>IF(AND(AND(AND(E$4&gt;='2025'!$L452,E$4&lt;='2025'!$M452), E$4&lt;&gt;DATE(2025,7,4)), (SWITCH(weekday(E$4), 1, 0, 2, if(ISBLANK('2025'!$P452), 0, 1), 3, if(ISBLANK('2025'!$Q452), 0, 1), 4, if(ISBLANK('2025'!$R452), 0, 1), 5, if(ISBLANK('2025'!$S452), 0, 1), 6, if(ISBLANK('2025'!$T452), 0, 1), 7, 0))), 1, "")</f>
        <v/>
      </c>
      <c r="F489" s="1" t="str">
        <f>IF(AND(AND(AND(F$4&gt;='2025'!$L452,F$4&lt;='2025'!$M452), F$4&lt;&gt;DATE(2025,7,4)), (SWITCH(weekday(F$4), 1, 0, 2, if(ISBLANK('2025'!$P452), 0, 1), 3, if(ISBLANK('2025'!$Q452), 0, 1), 4, if(ISBLANK('2025'!$R452), 0, 1), 5, if(ISBLANK('2025'!$S452), 0, 1), 6, if(ISBLANK('2025'!$T452), 0, 1), 7, 0))), 1, "")</f>
        <v/>
      </c>
      <c r="G489" s="1" t="str">
        <f>IF(AND(AND(AND(G$4&gt;='2025'!$L452,G$4&lt;='2025'!$M452), G$4&lt;&gt;DATE(2025,7,4)), (SWITCH(weekday(G$4), 1, 0, 2, if(ISBLANK('2025'!$P452), 0, 1), 3, if(ISBLANK('2025'!$Q452), 0, 1), 4, if(ISBLANK('2025'!$R452), 0, 1), 5, if(ISBLANK('2025'!$S452), 0, 1), 6, if(ISBLANK('2025'!$T452), 0, 1), 7, 0))), 1, "")</f>
        <v/>
      </c>
      <c r="H489" s="1" t="str">
        <f>IF(AND(AND(AND(H$4&gt;='2025'!$L452,H$4&lt;='2025'!$M452), H$4&lt;&gt;DATE(2025,7,4)), (SWITCH(weekday(H$4), 1, 0, 2, if(ISBLANK('2025'!$P452), 0, 1), 3, if(ISBLANK('2025'!$Q452), 0, 1), 4, if(ISBLANK('2025'!$R452), 0, 1), 5, if(ISBLANK('2025'!$S452), 0, 1), 6, if(ISBLANK('2025'!$T452), 0, 1), 7, 0))), 1, "")</f>
        <v/>
      </c>
      <c r="I489" s="1" t="str">
        <f>IF(AND(AND(AND(I$4&gt;='2025'!$L452,I$4&lt;='2025'!$M452), I$4&lt;&gt;DATE(2025,7,4)), (SWITCH(weekday(I$4), 1, 0, 2, if(ISBLANK('2025'!$P452), 0, 1), 3, if(ISBLANK('2025'!$Q452), 0, 1), 4, if(ISBLANK('2025'!$R452), 0, 1), 5, if(ISBLANK('2025'!$S452), 0, 1), 6, if(ISBLANK('2025'!$T452), 0, 1), 7, 0))), 1, "")</f>
        <v/>
      </c>
      <c r="J489" s="1" t="str">
        <f>IF(AND(AND(AND(J$4&gt;='2025'!$L452,J$4&lt;='2025'!$M452), J$4&lt;&gt;DATE(2025,7,4)), (SWITCH(weekday(J$4), 1, 0, 2, if(ISBLANK('2025'!$P452), 0, 1), 3, if(ISBLANK('2025'!$Q452), 0, 1), 4, if(ISBLANK('2025'!$R452), 0, 1), 5, if(ISBLANK('2025'!$S452), 0, 1), 6, if(ISBLANK('2025'!$T452), 0, 1), 7, 0))), 1, "")</f>
        <v/>
      </c>
      <c r="K489" s="1" t="str">
        <f>IF(AND(AND(AND(K$4&gt;='2025'!$L452,K$4&lt;='2025'!$M452), K$4&lt;&gt;DATE(2025,7,4)), (SWITCH(weekday(K$4), 1, 0, 2, if(ISBLANK('2025'!$P452), 0, 1), 3, if(ISBLANK('2025'!$Q452), 0, 1), 4, if(ISBLANK('2025'!$R452), 0, 1), 5, if(ISBLANK('2025'!$S452), 0, 1), 6, if(ISBLANK('2025'!$T452), 0, 1), 7, 0))), 1, "")</f>
        <v/>
      </c>
      <c r="L489" s="1" t="str">
        <f>IF(AND(AND(AND(L$4&gt;='2025'!$L452,L$4&lt;='2025'!$M452), L$4&lt;&gt;DATE(2025,7,4)), (SWITCH(weekday(L$4), 1, 0, 2, if(ISBLANK('2025'!$P452), 0, 1), 3, if(ISBLANK('2025'!$Q452), 0, 1), 4, if(ISBLANK('2025'!$R452), 0, 1), 5, if(ISBLANK('2025'!$S452), 0, 1), 6, if(ISBLANK('2025'!$T452), 0, 1), 7, 0))), 1, "")</f>
        <v/>
      </c>
      <c r="M489" s="1" t="str">
        <f>IF(AND(AND(AND(M$4&gt;='2025'!$L452,M$4&lt;='2025'!$M452), M$4&lt;&gt;DATE(2025,7,4)), (SWITCH(weekday(M$4), 1, 0, 2, if(ISBLANK('2025'!$P452), 0, 1), 3, if(ISBLANK('2025'!$Q452), 0, 1), 4, if(ISBLANK('2025'!$R452), 0, 1), 5, if(ISBLANK('2025'!$S452), 0, 1), 6, if(ISBLANK('2025'!$T452), 0, 1), 7, 0))), 1, "")</f>
        <v/>
      </c>
      <c r="N489" s="1" t="str">
        <f>IF(AND(AND(AND(N$4&gt;='2025'!$L452,N$4&lt;='2025'!$M452), N$4&lt;&gt;DATE(2025,7,4)), (SWITCH(weekday(N$4), 1, 0, 2, if(ISBLANK('2025'!$P452), 0, 1), 3, if(ISBLANK('2025'!$Q452), 0, 1), 4, if(ISBLANK('2025'!$R452), 0, 1), 5, if(ISBLANK('2025'!$S452), 0, 1), 6, if(ISBLANK('2025'!$T452), 0, 1), 7, 0))), 1, "")</f>
        <v/>
      </c>
      <c r="O489" s="1" t="str">
        <f>IF(AND(AND(AND(O$4&gt;='2025'!$L452,O$4&lt;='2025'!$M452), O$4&lt;&gt;DATE(2025,7,4)), (SWITCH(weekday(O$4), 1, 0, 2, if(ISBLANK('2025'!$P452), 0, 1), 3, if(ISBLANK('2025'!$Q452), 0, 1), 4, if(ISBLANK('2025'!$R452), 0, 1), 5, if(ISBLANK('2025'!$S452), 0, 1), 6, if(ISBLANK('2025'!$T452), 0, 1), 7, 0))), 1, "")</f>
        <v/>
      </c>
      <c r="P489" s="1" t="str">
        <f>IF(AND(AND(AND(P$4&gt;='2025'!$L452,P$4&lt;='2025'!$M452), P$4&lt;&gt;DATE(2025,7,4)), (SWITCH(weekday(P$4), 1, 0, 2, if(ISBLANK('2025'!$P452), 0, 1), 3, if(ISBLANK('2025'!$Q452), 0, 1), 4, if(ISBLANK('2025'!$R452), 0, 1), 5, if(ISBLANK('2025'!$S452), 0, 1), 6, if(ISBLANK('2025'!$T452), 0, 1), 7, 0))), 1, "")</f>
        <v/>
      </c>
      <c r="Q489" s="1" t="str">
        <f>IF(AND(AND(AND(Q$4&gt;='2025'!$L452,Q$4&lt;='2025'!$M452), Q$4&lt;&gt;DATE(2025,7,4)), (SWITCH(weekday(Q$4), 1, 0, 2, if(ISBLANK('2025'!$P452), 0, 1), 3, if(ISBLANK('2025'!$Q452), 0, 1), 4, if(ISBLANK('2025'!$R452), 0, 1), 5, if(ISBLANK('2025'!$S452), 0, 1), 6, if(ISBLANK('2025'!$T452), 0, 1), 7, 0))), 1, "")</f>
        <v/>
      </c>
      <c r="R489" s="1" t="str">
        <f>IF(AND(AND(AND(R$4&gt;='2025'!$L452,R$4&lt;='2025'!$M452), R$4&lt;&gt;DATE(2025,7,4)), (SWITCH(weekday(R$4), 1, 0, 2, if(ISBLANK('2025'!$P452), 0, 1), 3, if(ISBLANK('2025'!$Q452), 0, 1), 4, if(ISBLANK('2025'!$R452), 0, 1), 5, if(ISBLANK('2025'!$S452), 0, 1), 6, if(ISBLANK('2025'!$T452), 0, 1), 7, 0))), 1, "")</f>
        <v/>
      </c>
      <c r="S489" s="1" t="str">
        <f>IF(AND(AND(AND(S$4&gt;='2025'!$L452,S$4&lt;='2025'!$M452), S$4&lt;&gt;DATE(2025,7,4)), (SWITCH(weekday(S$4), 1, 0, 2, if(ISBLANK('2025'!$P452), 0, 1), 3, if(ISBLANK('2025'!$Q452), 0, 1), 4, if(ISBLANK('2025'!$R452), 0, 1), 5, if(ISBLANK('2025'!$S452), 0, 1), 6, if(ISBLANK('2025'!$T452), 0, 1), 7, 0))), 1, "")</f>
        <v/>
      </c>
      <c r="T489" s="1" t="str">
        <f>IF(AND(AND(AND(T$4&gt;='2025'!$L452,T$4&lt;='2025'!$M452), T$4&lt;&gt;DATE(2025,7,4)), (SWITCH(weekday(T$4), 1, 0, 2, if(ISBLANK('2025'!$P452), 0, 1), 3, if(ISBLANK('2025'!$Q452), 0, 1), 4, if(ISBLANK('2025'!$R452), 0, 1), 5, if(ISBLANK('2025'!$S452), 0, 1), 6, if(ISBLANK('2025'!$T452), 0, 1), 7, 0))), 1, "")</f>
        <v/>
      </c>
      <c r="U489" s="1" t="str">
        <f>IF(AND(AND(AND(U$4&gt;='2025'!$L452,U$4&lt;='2025'!$M452), U$4&lt;&gt;DATE(2025,7,4)), (SWITCH(weekday(U$4), 1, 0, 2, if(ISBLANK('2025'!$P452), 0, 1), 3, if(ISBLANK('2025'!$Q452), 0, 1), 4, if(ISBLANK('2025'!$R452), 0, 1), 5, if(ISBLANK('2025'!$S452), 0, 1), 6, if(ISBLANK('2025'!$T452), 0, 1), 7, 0))), 1, "")</f>
        <v/>
      </c>
      <c r="V489" s="1" t="str">
        <f>IF(AND(AND(AND(V$4&gt;='2025'!$L452,V$4&lt;='2025'!$M452), V$4&lt;&gt;DATE(2025,7,4)), (SWITCH(weekday(V$4), 1, 0, 2, if(ISBLANK('2025'!$P452), 0, 1), 3, if(ISBLANK('2025'!$Q452), 0, 1), 4, if(ISBLANK('2025'!$R452), 0, 1), 5, if(ISBLANK('2025'!$S452), 0, 1), 6, if(ISBLANK('2025'!$T452), 0, 1), 7, 0))), 1, "")</f>
        <v/>
      </c>
      <c r="W489" s="1" t="str">
        <f>IF(AND(AND(AND(W$4&gt;='2025'!$L452,W$4&lt;='2025'!$M452), W$4&lt;&gt;DATE(2025,7,4)), (SWITCH(weekday(W$4), 1, 0, 2, if(ISBLANK('2025'!$P452), 0, 1), 3, if(ISBLANK('2025'!$Q452), 0, 1), 4, if(ISBLANK('2025'!$R452), 0, 1), 5, if(ISBLANK('2025'!$S452), 0, 1), 6, if(ISBLANK('2025'!$T452), 0, 1), 7, 0))), 1, "")</f>
        <v/>
      </c>
      <c r="X489" s="1" t="str">
        <f>IF(AND(AND(AND(X$4&gt;='2025'!$L452,X$4&lt;='2025'!$M452), X$4&lt;&gt;DATE(2025,7,4)), (SWITCH(weekday(X$4), 1, 0, 2, if(ISBLANK('2025'!$P452), 0, 1), 3, if(ISBLANK('2025'!$Q452), 0, 1), 4, if(ISBLANK('2025'!$R452), 0, 1), 5, if(ISBLANK('2025'!$S452), 0, 1), 6, if(ISBLANK('2025'!$T452), 0, 1), 7, 0))), 1, "")</f>
        <v/>
      </c>
      <c r="Y489" s="1" t="str">
        <f>IF(AND(AND(AND(Y$4&gt;='2025'!$L452,Y$4&lt;='2025'!$M452), Y$4&lt;&gt;DATE(2025,7,4)), (SWITCH(weekday(Y$4), 1, 0, 2, if(ISBLANK('2025'!$P452), 0, 1), 3, if(ISBLANK('2025'!$Q452), 0, 1), 4, if(ISBLANK('2025'!$R452), 0, 1), 5, if(ISBLANK('2025'!$S452), 0, 1), 6, if(ISBLANK('2025'!$T452), 0, 1), 7, 0))), 1, "")</f>
        <v/>
      </c>
      <c r="Z489" s="1" t="str">
        <f>IF(AND(AND(AND(Z$4&gt;='2025'!$L452,Z$4&lt;='2025'!$M452), Z$4&lt;&gt;DATE(2025,7,4)), (SWITCH(weekday(Z$4), 1, 0, 2, if(ISBLANK('2025'!$P452), 0, 1), 3, if(ISBLANK('2025'!$Q452), 0, 1), 4, if(ISBLANK('2025'!$R452), 0, 1), 5, if(ISBLANK('2025'!$S452), 0, 1), 6, if(ISBLANK('2025'!$T452), 0, 1), 7, 0))), 1, "")</f>
        <v/>
      </c>
      <c r="AA489" s="1" t="str">
        <f>IF(AND(AND(AND(AA$4&gt;='2025'!$L452,AA$4&lt;='2025'!$M452), AA$4&lt;&gt;DATE(2025,7,4)), (SWITCH(weekday(AA$4), 1, 0, 2, if(ISBLANK('2025'!$P452), 0, 1), 3, if(ISBLANK('2025'!$Q452), 0, 1), 4, if(ISBLANK('2025'!$R452), 0, 1), 5, if(ISBLANK('2025'!$S452), 0, 1), 6, if(ISBLANK('2025'!$T452), 0, 1), 7, 0))), 1, "")</f>
        <v/>
      </c>
      <c r="AB489" s="1" t="str">
        <f>IF(AND(AND(AND(AB$4&gt;='2025'!$L452,AB$4&lt;='2025'!$M452), AB$4&lt;&gt;DATE(2025,7,4)), (SWITCH(weekday(AB$4), 1, 0, 2, if(ISBLANK('2025'!$P452), 0, 1), 3, if(ISBLANK('2025'!$Q452), 0, 1), 4, if(ISBLANK('2025'!$R452), 0, 1), 5, if(ISBLANK('2025'!$S452), 0, 1), 6, if(ISBLANK('2025'!$T452), 0, 1), 7, 0))), 1, "")</f>
        <v/>
      </c>
      <c r="AC489" s="1" t="str">
        <f>IF(AND(AND(AND(AC$4&gt;='2025'!$L452,AC$4&lt;='2025'!$M452), AC$4&lt;&gt;DATE(2025,7,4)), (SWITCH(weekday(AC$4), 1, 0, 2, if(ISBLANK('2025'!$P452), 0, 1), 3, if(ISBLANK('2025'!$Q452), 0, 1), 4, if(ISBLANK('2025'!$R452), 0, 1), 5, if(ISBLANK('2025'!$S452), 0, 1), 6, if(ISBLANK('2025'!$T452), 0, 1), 7, 0))), 1, "")</f>
        <v/>
      </c>
      <c r="AD489" s="1" t="str">
        <f>IF(AND(AND(AND(AD$4&gt;='2025'!$L452,AD$4&lt;='2025'!$M452), AD$4&lt;&gt;DATE(2025,7,4)), (SWITCH(weekday(AD$4), 1, 0, 2, if(ISBLANK('2025'!$P452), 0, 1), 3, if(ISBLANK('2025'!$Q452), 0, 1), 4, if(ISBLANK('2025'!$R452), 0, 1), 5, if(ISBLANK('2025'!$S452), 0, 1), 6, if(ISBLANK('2025'!$T452), 0, 1), 7, 0))), 1, "")</f>
        <v/>
      </c>
      <c r="AE489" s="1" t="str">
        <f>IF(AND(AND(AND(AE$4&gt;='2025'!$L452,AE$4&lt;='2025'!$M452), AE$4&lt;&gt;DATE(2025,7,4)), (SWITCH(weekday(AE$4), 1, 0, 2, if(ISBLANK('2025'!$P452), 0, 1), 3, if(ISBLANK('2025'!$Q452), 0, 1), 4, if(ISBLANK('2025'!$R452), 0, 1), 5, if(ISBLANK('2025'!$S452), 0, 1), 6, if(ISBLANK('2025'!$T452), 0, 1), 7, 0))), 1, "")</f>
        <v/>
      </c>
      <c r="AF489" s="1" t="str">
        <f>IF(AND(AND(AND(AF$4&gt;='2025'!$L452,AF$4&lt;='2025'!$M452), AF$4&lt;&gt;DATE(2025,7,4)), (SWITCH(weekday(AF$4), 1, 0, 2, if(ISBLANK('2025'!$P452), 0, 1), 3, if(ISBLANK('2025'!$Q452), 0, 1), 4, if(ISBLANK('2025'!$R452), 0, 1), 5, if(ISBLANK('2025'!$S452), 0, 1), 6, if(ISBLANK('2025'!$T452), 0, 1), 7, 0))), 1, "")</f>
        <v/>
      </c>
      <c r="AG489" s="1" t="str">
        <f>IF(AND(AND(AND(AG$4&gt;='2025'!$L452,AG$4&lt;='2025'!$M452), AG$4&lt;&gt;DATE(2025,7,4)), (SWITCH(weekday(AG$4), 1, 0, 2, if(ISBLANK('2025'!$P452), 0, 1), 3, if(ISBLANK('2025'!$Q452), 0, 1), 4, if(ISBLANK('2025'!$R452), 0, 1), 5, if(ISBLANK('2025'!$S452), 0, 1), 6, if(ISBLANK('2025'!$T452), 0, 1), 7, 0))), 1, "")</f>
        <v/>
      </c>
      <c r="AH489" s="1" t="str">
        <f>IF(AND(AND(AND(AH$4&gt;='2025'!$L452,AH$4&lt;='2025'!$M452), AH$4&lt;&gt;DATE(2025,7,4)), (SWITCH(weekday(AH$4), 1, 0, 2, if(ISBLANK('2025'!$P452), 0, 1), 3, if(ISBLANK('2025'!$Q452), 0, 1), 4, if(ISBLANK('2025'!$R452), 0, 1), 5, if(ISBLANK('2025'!$S452), 0, 1), 6, if(ISBLANK('2025'!$T452), 0, 1), 7, 0))), 1, "")</f>
        <v/>
      </c>
      <c r="AI489" s="1" t="str">
        <f>IF(AND(AND(AND(AI$4&gt;='2025'!$L452,AI$4&lt;='2025'!$M452), AI$4&lt;&gt;DATE(2025,7,4)), (SWITCH(weekday(AI$4), 1, 0, 2, if(ISBLANK('2025'!$P452), 0, 1), 3, if(ISBLANK('2025'!$Q452), 0, 1), 4, if(ISBLANK('2025'!$R452), 0, 1), 5, if(ISBLANK('2025'!$S452), 0, 1), 6, if(ISBLANK('2025'!$T452), 0, 1), 7, 0))), 1, "")</f>
        <v/>
      </c>
      <c r="AJ489" s="1" t="str">
        <f>IF(AND(AND(AND(AJ$4&gt;='2025'!$L452,AJ$4&lt;='2025'!$M452), AJ$4&lt;&gt;DATE(2025,7,4)), (SWITCH(weekday(AJ$4), 1, 0, 2, if(ISBLANK('2025'!$P452), 0, 1), 3, if(ISBLANK('2025'!$Q452), 0, 1), 4, if(ISBLANK('2025'!$R452), 0, 1), 5, if(ISBLANK('2025'!$S452), 0, 1), 6, if(ISBLANK('2025'!$T452), 0, 1), 7, 0))), 1, "")</f>
        <v/>
      </c>
      <c r="AK489" s="1" t="str">
        <f>IF(AND(AND(AND(AK$4&gt;='2025'!$L452,AK$4&lt;='2025'!$M452), AK$4&lt;&gt;DATE(2025,7,4)), (SWITCH(weekday(AK$4), 1, 0, 2, if(ISBLANK('2025'!$P452), 0, 1), 3, if(ISBLANK('2025'!$Q452), 0, 1), 4, if(ISBLANK('2025'!$R452), 0, 1), 5, if(ISBLANK('2025'!$S452), 0, 1), 6, if(ISBLANK('2025'!$T452), 0, 1), 7, 0))), 1, "")</f>
        <v/>
      </c>
      <c r="AL489" s="1" t="str">
        <f>IF(AND(AND(AND(AL$4&gt;='2025'!$L452,AL$4&lt;='2025'!$M452), AL$4&lt;&gt;DATE(2025,7,4)), (SWITCH(weekday(AL$4), 1, 0, 2, if(ISBLANK('2025'!$P452), 0, 1), 3, if(ISBLANK('2025'!$Q452), 0, 1), 4, if(ISBLANK('2025'!$R452), 0, 1), 5, if(ISBLANK('2025'!$S452), 0, 1), 6, if(ISBLANK('2025'!$T452), 0, 1), 7, 0))), 1, "")</f>
        <v/>
      </c>
      <c r="AM489" s="1" t="str">
        <f>IF(AND(AND(AND(AM$4&gt;='2025'!$L452,AM$4&lt;='2025'!$M452), AM$4&lt;&gt;DATE(2025,7,4)), (SWITCH(weekday(AM$4), 1, 0, 2, if(ISBLANK('2025'!$P452), 0, 1), 3, if(ISBLANK('2025'!$Q452), 0, 1), 4, if(ISBLANK('2025'!$R452), 0, 1), 5, if(ISBLANK('2025'!$S452), 0, 1), 6, if(ISBLANK('2025'!$T452), 0, 1), 7, 0))), 1, "")</f>
        <v/>
      </c>
      <c r="AN489" s="1" t="str">
        <f>IF(AND(AND(AND(AN$4&gt;='2025'!$L452,AN$4&lt;='2025'!$M452), AN$4&lt;&gt;DATE(2025,7,4)), (SWITCH(weekday(AN$4), 1, 0, 2, if(ISBLANK('2025'!$P452), 0, 1), 3, if(ISBLANK('2025'!$Q452), 0, 1), 4, if(ISBLANK('2025'!$R452), 0, 1), 5, if(ISBLANK('2025'!$S452), 0, 1), 6, if(ISBLANK('2025'!$T452), 0, 1), 7, 0))), 1, "")</f>
        <v/>
      </c>
      <c r="AO489" s="1" t="str">
        <f>IF(AND(AND(AND(AO$4&gt;='2025'!$L452,AO$4&lt;='2025'!$M452), AO$4&lt;&gt;DATE(2025,7,4)), (SWITCH(weekday(AO$4), 1, 0, 2, if(ISBLANK('2025'!$P452), 0, 1), 3, if(ISBLANK('2025'!$Q452), 0, 1), 4, if(ISBLANK('2025'!$R452), 0, 1), 5, if(ISBLANK('2025'!$S452), 0, 1), 6, if(ISBLANK('2025'!$T452), 0, 1), 7, 0))), 1, "")</f>
        <v/>
      </c>
      <c r="AP489" s="1" t="str">
        <f>IF(AND(AND(AND(AP$4&gt;='2025'!$L452,AP$4&lt;='2025'!$M452), AP$4&lt;&gt;DATE(2025,7,4)), (SWITCH(weekday(AP$4), 1, 0, 2, if(ISBLANK('2025'!$P452), 0, 1), 3, if(ISBLANK('2025'!$Q452), 0, 1), 4, if(ISBLANK('2025'!$R452), 0, 1), 5, if(ISBLANK('2025'!$S452), 0, 1), 6, if(ISBLANK('2025'!$T452), 0, 1), 7, 0))), 1, "")</f>
        <v/>
      </c>
      <c r="AQ489" s="1" t="str">
        <f>IF(AND(AND(AND(AQ$4&gt;='2025'!$L452,AQ$4&lt;='2025'!$M452), AQ$4&lt;&gt;DATE(2025,7,4)), (SWITCH(weekday(AQ$4), 1, 0, 2, if(ISBLANK('2025'!$P452), 0, 1), 3, if(ISBLANK('2025'!$Q452), 0, 1), 4, if(ISBLANK('2025'!$R452), 0, 1), 5, if(ISBLANK('2025'!$S452), 0, 1), 6, if(ISBLANK('2025'!$T452), 0, 1), 7, 0))), 1, "")</f>
        <v/>
      </c>
      <c r="AR489" s="1" t="str">
        <f>IF(AND(AND(AND(AR$4&gt;='2025'!$L452,AR$4&lt;='2025'!$M452), AR$4&lt;&gt;DATE(2025,7,4)), (SWITCH(weekday(AR$4), 1, 0, 2, if(ISBLANK('2025'!$P452), 0, 1), 3, if(ISBLANK('2025'!$Q452), 0, 1), 4, if(ISBLANK('2025'!$R452), 0, 1), 5, if(ISBLANK('2025'!$S452), 0, 1), 6, if(ISBLANK('2025'!$T452), 0, 1), 7, 0))), 1, "")</f>
        <v/>
      </c>
      <c r="AS489" s="1" t="str">
        <f>IF(AND(AND(AND(AS$4&gt;='2025'!$L452,AS$4&lt;='2025'!$M452), AS$4&lt;&gt;DATE(2025,7,4)), (SWITCH(weekday(AS$4), 1, 0, 2, if(ISBLANK('2025'!$P452), 0, 1), 3, if(ISBLANK('2025'!$Q452), 0, 1), 4, if(ISBLANK('2025'!$R452), 0, 1), 5, if(ISBLANK('2025'!$S452), 0, 1), 6, if(ISBLANK('2025'!$T452), 0, 1), 7, 0))), 1, "")</f>
        <v/>
      </c>
      <c r="AT489" s="1" t="str">
        <f>IF(AND(AND(AND(AT$4&gt;='2025'!$L452,AT$4&lt;='2025'!$M452), AT$4&lt;&gt;DATE(2025,7,4)), (SWITCH(weekday(AT$4), 1, 0, 2, if(ISBLANK('2025'!$P452), 0, 1), 3, if(ISBLANK('2025'!$Q452), 0, 1), 4, if(ISBLANK('2025'!$R452), 0, 1), 5, if(ISBLANK('2025'!$S452), 0, 1), 6, if(ISBLANK('2025'!$T452), 0, 1), 7, 0))), 1, "")</f>
        <v/>
      </c>
      <c r="AU489" s="1" t="str">
        <f>IF(AND(AND(AND(AU$4&gt;='2025'!$L452,AU$4&lt;='2025'!$M452), AU$4&lt;&gt;DATE(2025,7,4)), (SWITCH(weekday(AU$4), 1, 0, 2, if(ISBLANK('2025'!$P452), 0, 1), 3, if(ISBLANK('2025'!$Q452), 0, 1), 4, if(ISBLANK('2025'!$R452), 0, 1), 5, if(ISBLANK('2025'!$S452), 0, 1), 6, if(ISBLANK('2025'!$T452), 0, 1), 7, 0))), 1, "")</f>
        <v/>
      </c>
      <c r="AV489" s="1" t="str">
        <f>IF(AND(AND(AND(AV$4&gt;='2025'!$L452,AV$4&lt;='2025'!$M452), AV$4&lt;&gt;DATE(2025,7,4)), (SWITCH(weekday(AV$4), 1, 0, 2, if(ISBLANK('2025'!$P452), 0, 1), 3, if(ISBLANK('2025'!$Q452), 0, 1), 4, if(ISBLANK('2025'!$R452), 0, 1), 5, if(ISBLANK('2025'!$S452), 0, 1), 6, if(ISBLANK('2025'!$T452), 0, 1), 7, 0))), 1, "")</f>
        <v/>
      </c>
      <c r="AW489" s="1" t="str">
        <f>IF(AND(AND(AND(AW$4&gt;='2025'!$L452,AW$4&lt;='2025'!$M452), AW$4&lt;&gt;DATE(2025,7,4)), (SWITCH(weekday(AW$4), 1, 0, 2, if(ISBLANK('2025'!$P452), 0, 1), 3, if(ISBLANK('2025'!$Q452), 0, 1), 4, if(ISBLANK('2025'!$R452), 0, 1), 5, if(ISBLANK('2025'!$S452), 0, 1), 6, if(ISBLANK('2025'!$T452), 0, 1), 7, 0))), 1, "")</f>
        <v/>
      </c>
      <c r="AX489" s="1" t="str">
        <f>IF(AND(AND(AND(AX$4&gt;='2025'!$L452,AX$4&lt;='2025'!$M452), AX$4&lt;&gt;DATE(2025,7,4)), (SWITCH(weekday(AX$4), 1, 0, 2, if(ISBLANK('2025'!$P452), 0, 1), 3, if(ISBLANK('2025'!$Q452), 0, 1), 4, if(ISBLANK('2025'!$R452), 0, 1), 5, if(ISBLANK('2025'!$S452), 0, 1), 6, if(ISBLANK('2025'!$T452), 0, 1), 7, 0))), 1, "")</f>
        <v/>
      </c>
      <c r="AY489" s="1" t="str">
        <f>IF(AND(AND(AND(AY$4&gt;='2025'!$L452,AY$4&lt;='2025'!$M452), AY$4&lt;&gt;DATE(2025,7,4)), (SWITCH(weekday(AY$4), 1, 0, 2, if(ISBLANK('2025'!$P452), 0, 1), 3, if(ISBLANK('2025'!$Q452), 0, 1), 4, if(ISBLANK('2025'!$R452), 0, 1), 5, if(ISBLANK('2025'!$S452), 0, 1), 6, if(ISBLANK('2025'!$T452), 0, 1), 7, 0))), 1, "")</f>
        <v/>
      </c>
      <c r="AZ489" s="1" t="str">
        <f>IF(AND(AND(AND(AZ$4&gt;='2025'!$L452,AZ$4&lt;='2025'!$M452), AZ$4&lt;&gt;DATE(2025,7,4)), (SWITCH(weekday(AZ$4), 1, 0, 2, if(ISBLANK('2025'!$P452), 0, 1), 3, if(ISBLANK('2025'!$Q452), 0, 1), 4, if(ISBLANK('2025'!$R452), 0, 1), 5, if(ISBLANK('2025'!$S452), 0, 1), 6, if(ISBLANK('2025'!$T452), 0, 1), 7, 0))), 1, "")</f>
        <v/>
      </c>
      <c r="BA489" s="1" t="str">
        <f>IF(AND(AND(AND(BA$4&gt;='2025'!$L452,BA$4&lt;='2025'!$M452), BA$4&lt;&gt;DATE(2025,7,4)), (SWITCH(weekday(BA$4), 1, 0, 2, if(ISBLANK('2025'!$P452), 0, 1), 3, if(ISBLANK('2025'!$Q452), 0, 1), 4, if(ISBLANK('2025'!$R452), 0, 1), 5, if(ISBLANK('2025'!$S452), 0, 1), 6, if(ISBLANK('2025'!$T452), 0, 1), 7, 0))), 1, "")</f>
        <v/>
      </c>
      <c r="BB489" s="1" t="str">
        <f>IF(AND(AND(AND(BB$4&gt;='2025'!$L452,BB$4&lt;='2025'!$M452), BB$4&lt;&gt;DATE(2025,7,4)), (SWITCH(weekday(BB$4), 1, 0, 2, if(ISBLANK('2025'!$P452), 0, 1), 3, if(ISBLANK('2025'!$Q452), 0, 1), 4, if(ISBLANK('2025'!$R452), 0, 1), 5, if(ISBLANK('2025'!$S452), 0, 1), 6, if(ISBLANK('2025'!$T452), 0, 1), 7, 0))), 1, "")</f>
        <v/>
      </c>
      <c r="BC489" s="1" t="str">
        <f>IF(AND(AND(AND(BC$4&gt;='2025'!$L452,BC$4&lt;='2025'!$M452), BC$4&lt;&gt;DATE(2025,7,4)), (SWITCH(weekday(BC$4), 1, 0, 2, if(ISBLANK('2025'!$P452), 0, 1), 3, if(ISBLANK('2025'!$Q452), 0, 1), 4, if(ISBLANK('2025'!$R452), 0, 1), 5, if(ISBLANK('2025'!$S452), 0, 1), 6, if(ISBLANK('2025'!$T452), 0, 1), 7, 0))), 1, "")</f>
        <v/>
      </c>
      <c r="BD489" s="1" t="str">
        <f>IF(AND(AND(AND(BD$4&gt;='2025'!$L452,BD$4&lt;='2025'!$M452), BD$4&lt;&gt;DATE(2025,7,4)), (SWITCH(weekday(BD$4), 1, 0, 2, if(ISBLANK('2025'!$P452), 0, 1), 3, if(ISBLANK('2025'!$Q452), 0, 1), 4, if(ISBLANK('2025'!$R452), 0, 1), 5, if(ISBLANK('2025'!$S452), 0, 1), 6, if(ISBLANK('2025'!$T452), 0, 1), 7, 0))), 1, "")</f>
        <v/>
      </c>
      <c r="BE489" s="1" t="str">
        <f>IF(AND(AND(AND(BE$4&gt;='2025'!$L452,BE$4&lt;='2025'!$M452), BE$4&lt;&gt;DATE(2025,7,4)), (SWITCH(weekday(BE$4), 1, 0, 2, if(ISBLANK('2025'!$P452), 0, 1), 3, if(ISBLANK('2025'!$Q452), 0, 1), 4, if(ISBLANK('2025'!$R452), 0, 1), 5, if(ISBLANK('2025'!$S452), 0, 1), 6, if(ISBLANK('2025'!$T452), 0, 1), 7, 0))), 1, "")</f>
        <v/>
      </c>
    </row>
    <row r="490">
      <c r="A490" s="1">
        <f t="shared" si="3"/>
        <v>490</v>
      </c>
      <c r="B490" s="1" t="str">
        <f>'2025'!D453</f>
        <v/>
      </c>
      <c r="C490" s="1" t="str">
        <f>'2025'!H453</f>
        <v/>
      </c>
      <c r="D490" s="1" t="str">
        <f>IF(AND(AND(AND(D$4&gt;='2025'!$L453,D$4&lt;='2025'!$M453), D$4&lt;&gt;DATE(2025,7,4)), (SWITCH(weekday(D$4), 1, 0, 2, if(ISBLANK('2025'!$P453), 0, 1), 3, if(ISBLANK('2025'!$Q453), 0, 1), 4, if(ISBLANK('2025'!$R453), 0, 1), 5, if(ISBLANK('2025'!$S453), 0, 1), 6, if(ISBLANK('2025'!$T453), 0, 1), 7, 0))), 1, "")</f>
        <v/>
      </c>
      <c r="E490" s="1" t="str">
        <f>IF(AND(AND(AND(E$4&gt;='2025'!$L453,E$4&lt;='2025'!$M453), E$4&lt;&gt;DATE(2025,7,4)), (SWITCH(weekday(E$4), 1, 0, 2, if(ISBLANK('2025'!$P453), 0, 1), 3, if(ISBLANK('2025'!$Q453), 0, 1), 4, if(ISBLANK('2025'!$R453), 0, 1), 5, if(ISBLANK('2025'!$S453), 0, 1), 6, if(ISBLANK('2025'!$T453), 0, 1), 7, 0))), 1, "")</f>
        <v/>
      </c>
      <c r="F490" s="1" t="str">
        <f>IF(AND(AND(AND(F$4&gt;='2025'!$L453,F$4&lt;='2025'!$M453), F$4&lt;&gt;DATE(2025,7,4)), (SWITCH(weekday(F$4), 1, 0, 2, if(ISBLANK('2025'!$P453), 0, 1), 3, if(ISBLANK('2025'!$Q453), 0, 1), 4, if(ISBLANK('2025'!$R453), 0, 1), 5, if(ISBLANK('2025'!$S453), 0, 1), 6, if(ISBLANK('2025'!$T453), 0, 1), 7, 0))), 1, "")</f>
        <v/>
      </c>
      <c r="G490" s="1" t="str">
        <f>IF(AND(AND(AND(G$4&gt;='2025'!$L453,G$4&lt;='2025'!$M453), G$4&lt;&gt;DATE(2025,7,4)), (SWITCH(weekday(G$4), 1, 0, 2, if(ISBLANK('2025'!$P453), 0, 1), 3, if(ISBLANK('2025'!$Q453), 0, 1), 4, if(ISBLANK('2025'!$R453), 0, 1), 5, if(ISBLANK('2025'!$S453), 0, 1), 6, if(ISBLANK('2025'!$T453), 0, 1), 7, 0))), 1, "")</f>
        <v/>
      </c>
      <c r="H490" s="1" t="str">
        <f>IF(AND(AND(AND(H$4&gt;='2025'!$L453,H$4&lt;='2025'!$M453), H$4&lt;&gt;DATE(2025,7,4)), (SWITCH(weekday(H$4), 1, 0, 2, if(ISBLANK('2025'!$P453), 0, 1), 3, if(ISBLANK('2025'!$Q453), 0, 1), 4, if(ISBLANK('2025'!$R453), 0, 1), 5, if(ISBLANK('2025'!$S453), 0, 1), 6, if(ISBLANK('2025'!$T453), 0, 1), 7, 0))), 1, "")</f>
        <v/>
      </c>
      <c r="I490" s="1" t="str">
        <f>IF(AND(AND(AND(I$4&gt;='2025'!$L453,I$4&lt;='2025'!$M453), I$4&lt;&gt;DATE(2025,7,4)), (SWITCH(weekday(I$4), 1, 0, 2, if(ISBLANK('2025'!$P453), 0, 1), 3, if(ISBLANK('2025'!$Q453), 0, 1), 4, if(ISBLANK('2025'!$R453), 0, 1), 5, if(ISBLANK('2025'!$S453), 0, 1), 6, if(ISBLANK('2025'!$T453), 0, 1), 7, 0))), 1, "")</f>
        <v/>
      </c>
      <c r="J490" s="1" t="str">
        <f>IF(AND(AND(AND(J$4&gt;='2025'!$L453,J$4&lt;='2025'!$M453), J$4&lt;&gt;DATE(2025,7,4)), (SWITCH(weekday(J$4), 1, 0, 2, if(ISBLANK('2025'!$P453), 0, 1), 3, if(ISBLANK('2025'!$Q453), 0, 1), 4, if(ISBLANK('2025'!$R453), 0, 1), 5, if(ISBLANK('2025'!$S453), 0, 1), 6, if(ISBLANK('2025'!$T453), 0, 1), 7, 0))), 1, "")</f>
        <v/>
      </c>
      <c r="K490" s="1" t="str">
        <f>IF(AND(AND(AND(K$4&gt;='2025'!$L453,K$4&lt;='2025'!$M453), K$4&lt;&gt;DATE(2025,7,4)), (SWITCH(weekday(K$4), 1, 0, 2, if(ISBLANK('2025'!$P453), 0, 1), 3, if(ISBLANK('2025'!$Q453), 0, 1), 4, if(ISBLANK('2025'!$R453), 0, 1), 5, if(ISBLANK('2025'!$S453), 0, 1), 6, if(ISBLANK('2025'!$T453), 0, 1), 7, 0))), 1, "")</f>
        <v/>
      </c>
      <c r="L490" s="1" t="str">
        <f>IF(AND(AND(AND(L$4&gt;='2025'!$L453,L$4&lt;='2025'!$M453), L$4&lt;&gt;DATE(2025,7,4)), (SWITCH(weekday(L$4), 1, 0, 2, if(ISBLANK('2025'!$P453), 0, 1), 3, if(ISBLANK('2025'!$Q453), 0, 1), 4, if(ISBLANK('2025'!$R453), 0, 1), 5, if(ISBLANK('2025'!$S453), 0, 1), 6, if(ISBLANK('2025'!$T453), 0, 1), 7, 0))), 1, "")</f>
        <v/>
      </c>
      <c r="M490" s="1" t="str">
        <f>IF(AND(AND(AND(M$4&gt;='2025'!$L453,M$4&lt;='2025'!$M453), M$4&lt;&gt;DATE(2025,7,4)), (SWITCH(weekday(M$4), 1, 0, 2, if(ISBLANK('2025'!$P453), 0, 1), 3, if(ISBLANK('2025'!$Q453), 0, 1), 4, if(ISBLANK('2025'!$R453), 0, 1), 5, if(ISBLANK('2025'!$S453), 0, 1), 6, if(ISBLANK('2025'!$T453), 0, 1), 7, 0))), 1, "")</f>
        <v/>
      </c>
      <c r="N490" s="1" t="str">
        <f>IF(AND(AND(AND(N$4&gt;='2025'!$L453,N$4&lt;='2025'!$M453), N$4&lt;&gt;DATE(2025,7,4)), (SWITCH(weekday(N$4), 1, 0, 2, if(ISBLANK('2025'!$P453), 0, 1), 3, if(ISBLANK('2025'!$Q453), 0, 1), 4, if(ISBLANK('2025'!$R453), 0, 1), 5, if(ISBLANK('2025'!$S453), 0, 1), 6, if(ISBLANK('2025'!$T453), 0, 1), 7, 0))), 1, "")</f>
        <v/>
      </c>
      <c r="O490" s="1" t="str">
        <f>IF(AND(AND(AND(O$4&gt;='2025'!$L453,O$4&lt;='2025'!$M453), O$4&lt;&gt;DATE(2025,7,4)), (SWITCH(weekday(O$4), 1, 0, 2, if(ISBLANK('2025'!$P453), 0, 1), 3, if(ISBLANK('2025'!$Q453), 0, 1), 4, if(ISBLANK('2025'!$R453), 0, 1), 5, if(ISBLANK('2025'!$S453), 0, 1), 6, if(ISBLANK('2025'!$T453), 0, 1), 7, 0))), 1, "")</f>
        <v/>
      </c>
      <c r="P490" s="1" t="str">
        <f>IF(AND(AND(AND(P$4&gt;='2025'!$L453,P$4&lt;='2025'!$M453), P$4&lt;&gt;DATE(2025,7,4)), (SWITCH(weekday(P$4), 1, 0, 2, if(ISBLANK('2025'!$P453), 0, 1), 3, if(ISBLANK('2025'!$Q453), 0, 1), 4, if(ISBLANK('2025'!$R453), 0, 1), 5, if(ISBLANK('2025'!$S453), 0, 1), 6, if(ISBLANK('2025'!$T453), 0, 1), 7, 0))), 1, "")</f>
        <v/>
      </c>
      <c r="Q490" s="1" t="str">
        <f>IF(AND(AND(AND(Q$4&gt;='2025'!$L453,Q$4&lt;='2025'!$M453), Q$4&lt;&gt;DATE(2025,7,4)), (SWITCH(weekday(Q$4), 1, 0, 2, if(ISBLANK('2025'!$P453), 0, 1), 3, if(ISBLANK('2025'!$Q453), 0, 1), 4, if(ISBLANK('2025'!$R453), 0, 1), 5, if(ISBLANK('2025'!$S453), 0, 1), 6, if(ISBLANK('2025'!$T453), 0, 1), 7, 0))), 1, "")</f>
        <v/>
      </c>
      <c r="R490" s="1" t="str">
        <f>IF(AND(AND(AND(R$4&gt;='2025'!$L453,R$4&lt;='2025'!$M453), R$4&lt;&gt;DATE(2025,7,4)), (SWITCH(weekday(R$4), 1, 0, 2, if(ISBLANK('2025'!$P453), 0, 1), 3, if(ISBLANK('2025'!$Q453), 0, 1), 4, if(ISBLANK('2025'!$R453), 0, 1), 5, if(ISBLANK('2025'!$S453), 0, 1), 6, if(ISBLANK('2025'!$T453), 0, 1), 7, 0))), 1, "")</f>
        <v/>
      </c>
      <c r="S490" s="1" t="str">
        <f>IF(AND(AND(AND(S$4&gt;='2025'!$L453,S$4&lt;='2025'!$M453), S$4&lt;&gt;DATE(2025,7,4)), (SWITCH(weekday(S$4), 1, 0, 2, if(ISBLANK('2025'!$P453), 0, 1), 3, if(ISBLANK('2025'!$Q453), 0, 1), 4, if(ISBLANK('2025'!$R453), 0, 1), 5, if(ISBLANK('2025'!$S453), 0, 1), 6, if(ISBLANK('2025'!$T453), 0, 1), 7, 0))), 1, "")</f>
        <v/>
      </c>
      <c r="T490" s="1" t="str">
        <f>IF(AND(AND(AND(T$4&gt;='2025'!$L453,T$4&lt;='2025'!$M453), T$4&lt;&gt;DATE(2025,7,4)), (SWITCH(weekday(T$4), 1, 0, 2, if(ISBLANK('2025'!$P453), 0, 1), 3, if(ISBLANK('2025'!$Q453), 0, 1), 4, if(ISBLANK('2025'!$R453), 0, 1), 5, if(ISBLANK('2025'!$S453), 0, 1), 6, if(ISBLANK('2025'!$T453), 0, 1), 7, 0))), 1, "")</f>
        <v/>
      </c>
      <c r="U490" s="1" t="str">
        <f>IF(AND(AND(AND(U$4&gt;='2025'!$L453,U$4&lt;='2025'!$M453), U$4&lt;&gt;DATE(2025,7,4)), (SWITCH(weekday(U$4), 1, 0, 2, if(ISBLANK('2025'!$P453), 0, 1), 3, if(ISBLANK('2025'!$Q453), 0, 1), 4, if(ISBLANK('2025'!$R453), 0, 1), 5, if(ISBLANK('2025'!$S453), 0, 1), 6, if(ISBLANK('2025'!$T453), 0, 1), 7, 0))), 1, "")</f>
        <v/>
      </c>
      <c r="V490" s="1" t="str">
        <f>IF(AND(AND(AND(V$4&gt;='2025'!$L453,V$4&lt;='2025'!$M453), V$4&lt;&gt;DATE(2025,7,4)), (SWITCH(weekday(V$4), 1, 0, 2, if(ISBLANK('2025'!$P453), 0, 1), 3, if(ISBLANK('2025'!$Q453), 0, 1), 4, if(ISBLANK('2025'!$R453), 0, 1), 5, if(ISBLANK('2025'!$S453), 0, 1), 6, if(ISBLANK('2025'!$T453), 0, 1), 7, 0))), 1, "")</f>
        <v/>
      </c>
      <c r="W490" s="1" t="str">
        <f>IF(AND(AND(AND(W$4&gt;='2025'!$L453,W$4&lt;='2025'!$M453), W$4&lt;&gt;DATE(2025,7,4)), (SWITCH(weekday(W$4), 1, 0, 2, if(ISBLANK('2025'!$P453), 0, 1), 3, if(ISBLANK('2025'!$Q453), 0, 1), 4, if(ISBLANK('2025'!$R453), 0, 1), 5, if(ISBLANK('2025'!$S453), 0, 1), 6, if(ISBLANK('2025'!$T453), 0, 1), 7, 0))), 1, "")</f>
        <v/>
      </c>
      <c r="X490" s="1" t="str">
        <f>IF(AND(AND(AND(X$4&gt;='2025'!$L453,X$4&lt;='2025'!$M453), X$4&lt;&gt;DATE(2025,7,4)), (SWITCH(weekday(X$4), 1, 0, 2, if(ISBLANK('2025'!$P453), 0, 1), 3, if(ISBLANK('2025'!$Q453), 0, 1), 4, if(ISBLANK('2025'!$R453), 0, 1), 5, if(ISBLANK('2025'!$S453), 0, 1), 6, if(ISBLANK('2025'!$T453), 0, 1), 7, 0))), 1, "")</f>
        <v/>
      </c>
      <c r="Y490" s="1" t="str">
        <f>IF(AND(AND(AND(Y$4&gt;='2025'!$L453,Y$4&lt;='2025'!$M453), Y$4&lt;&gt;DATE(2025,7,4)), (SWITCH(weekday(Y$4), 1, 0, 2, if(ISBLANK('2025'!$P453), 0, 1), 3, if(ISBLANK('2025'!$Q453), 0, 1), 4, if(ISBLANK('2025'!$R453), 0, 1), 5, if(ISBLANK('2025'!$S453), 0, 1), 6, if(ISBLANK('2025'!$T453), 0, 1), 7, 0))), 1, "")</f>
        <v/>
      </c>
      <c r="Z490" s="1" t="str">
        <f>IF(AND(AND(AND(Z$4&gt;='2025'!$L453,Z$4&lt;='2025'!$M453), Z$4&lt;&gt;DATE(2025,7,4)), (SWITCH(weekday(Z$4), 1, 0, 2, if(ISBLANK('2025'!$P453), 0, 1), 3, if(ISBLANK('2025'!$Q453), 0, 1), 4, if(ISBLANK('2025'!$R453), 0, 1), 5, if(ISBLANK('2025'!$S453), 0, 1), 6, if(ISBLANK('2025'!$T453), 0, 1), 7, 0))), 1, "")</f>
        <v/>
      </c>
      <c r="AA490" s="1" t="str">
        <f>IF(AND(AND(AND(AA$4&gt;='2025'!$L453,AA$4&lt;='2025'!$M453), AA$4&lt;&gt;DATE(2025,7,4)), (SWITCH(weekday(AA$4), 1, 0, 2, if(ISBLANK('2025'!$P453), 0, 1), 3, if(ISBLANK('2025'!$Q453), 0, 1), 4, if(ISBLANK('2025'!$R453), 0, 1), 5, if(ISBLANK('2025'!$S453), 0, 1), 6, if(ISBLANK('2025'!$T453), 0, 1), 7, 0))), 1, "")</f>
        <v/>
      </c>
      <c r="AB490" s="1" t="str">
        <f>IF(AND(AND(AND(AB$4&gt;='2025'!$L453,AB$4&lt;='2025'!$M453), AB$4&lt;&gt;DATE(2025,7,4)), (SWITCH(weekday(AB$4), 1, 0, 2, if(ISBLANK('2025'!$P453), 0, 1), 3, if(ISBLANK('2025'!$Q453), 0, 1), 4, if(ISBLANK('2025'!$R453), 0, 1), 5, if(ISBLANK('2025'!$S453), 0, 1), 6, if(ISBLANK('2025'!$T453), 0, 1), 7, 0))), 1, "")</f>
        <v/>
      </c>
      <c r="AC490" s="1" t="str">
        <f>IF(AND(AND(AND(AC$4&gt;='2025'!$L453,AC$4&lt;='2025'!$M453), AC$4&lt;&gt;DATE(2025,7,4)), (SWITCH(weekday(AC$4), 1, 0, 2, if(ISBLANK('2025'!$P453), 0, 1), 3, if(ISBLANK('2025'!$Q453), 0, 1), 4, if(ISBLANK('2025'!$R453), 0, 1), 5, if(ISBLANK('2025'!$S453), 0, 1), 6, if(ISBLANK('2025'!$T453), 0, 1), 7, 0))), 1, "")</f>
        <v/>
      </c>
      <c r="AD490" s="1" t="str">
        <f>IF(AND(AND(AND(AD$4&gt;='2025'!$L453,AD$4&lt;='2025'!$M453), AD$4&lt;&gt;DATE(2025,7,4)), (SWITCH(weekday(AD$4), 1, 0, 2, if(ISBLANK('2025'!$P453), 0, 1), 3, if(ISBLANK('2025'!$Q453), 0, 1), 4, if(ISBLANK('2025'!$R453), 0, 1), 5, if(ISBLANK('2025'!$S453), 0, 1), 6, if(ISBLANK('2025'!$T453), 0, 1), 7, 0))), 1, "")</f>
        <v/>
      </c>
      <c r="AE490" s="1" t="str">
        <f>IF(AND(AND(AND(AE$4&gt;='2025'!$L453,AE$4&lt;='2025'!$M453), AE$4&lt;&gt;DATE(2025,7,4)), (SWITCH(weekday(AE$4), 1, 0, 2, if(ISBLANK('2025'!$P453), 0, 1), 3, if(ISBLANK('2025'!$Q453), 0, 1), 4, if(ISBLANK('2025'!$R453), 0, 1), 5, if(ISBLANK('2025'!$S453), 0, 1), 6, if(ISBLANK('2025'!$T453), 0, 1), 7, 0))), 1, "")</f>
        <v/>
      </c>
      <c r="AF490" s="1" t="str">
        <f>IF(AND(AND(AND(AF$4&gt;='2025'!$L453,AF$4&lt;='2025'!$M453), AF$4&lt;&gt;DATE(2025,7,4)), (SWITCH(weekday(AF$4), 1, 0, 2, if(ISBLANK('2025'!$P453), 0, 1), 3, if(ISBLANK('2025'!$Q453), 0, 1), 4, if(ISBLANK('2025'!$R453), 0, 1), 5, if(ISBLANK('2025'!$S453), 0, 1), 6, if(ISBLANK('2025'!$T453), 0, 1), 7, 0))), 1, "")</f>
        <v/>
      </c>
      <c r="AG490" s="1" t="str">
        <f>IF(AND(AND(AND(AG$4&gt;='2025'!$L453,AG$4&lt;='2025'!$M453), AG$4&lt;&gt;DATE(2025,7,4)), (SWITCH(weekday(AG$4), 1, 0, 2, if(ISBLANK('2025'!$P453), 0, 1), 3, if(ISBLANK('2025'!$Q453), 0, 1), 4, if(ISBLANK('2025'!$R453), 0, 1), 5, if(ISBLANK('2025'!$S453), 0, 1), 6, if(ISBLANK('2025'!$T453), 0, 1), 7, 0))), 1, "")</f>
        <v/>
      </c>
      <c r="AH490" s="1" t="str">
        <f>IF(AND(AND(AND(AH$4&gt;='2025'!$L453,AH$4&lt;='2025'!$M453), AH$4&lt;&gt;DATE(2025,7,4)), (SWITCH(weekday(AH$4), 1, 0, 2, if(ISBLANK('2025'!$P453), 0, 1), 3, if(ISBLANK('2025'!$Q453), 0, 1), 4, if(ISBLANK('2025'!$R453), 0, 1), 5, if(ISBLANK('2025'!$S453), 0, 1), 6, if(ISBLANK('2025'!$T453), 0, 1), 7, 0))), 1, "")</f>
        <v/>
      </c>
      <c r="AI490" s="1" t="str">
        <f>IF(AND(AND(AND(AI$4&gt;='2025'!$L453,AI$4&lt;='2025'!$M453), AI$4&lt;&gt;DATE(2025,7,4)), (SWITCH(weekday(AI$4), 1, 0, 2, if(ISBLANK('2025'!$P453), 0, 1), 3, if(ISBLANK('2025'!$Q453), 0, 1), 4, if(ISBLANK('2025'!$R453), 0, 1), 5, if(ISBLANK('2025'!$S453), 0, 1), 6, if(ISBLANK('2025'!$T453), 0, 1), 7, 0))), 1, "")</f>
        <v/>
      </c>
      <c r="AJ490" s="1" t="str">
        <f>IF(AND(AND(AND(AJ$4&gt;='2025'!$L453,AJ$4&lt;='2025'!$M453), AJ$4&lt;&gt;DATE(2025,7,4)), (SWITCH(weekday(AJ$4), 1, 0, 2, if(ISBLANK('2025'!$P453), 0, 1), 3, if(ISBLANK('2025'!$Q453), 0, 1), 4, if(ISBLANK('2025'!$R453), 0, 1), 5, if(ISBLANK('2025'!$S453), 0, 1), 6, if(ISBLANK('2025'!$T453), 0, 1), 7, 0))), 1, "")</f>
        <v/>
      </c>
      <c r="AK490" s="1" t="str">
        <f>IF(AND(AND(AND(AK$4&gt;='2025'!$L453,AK$4&lt;='2025'!$M453), AK$4&lt;&gt;DATE(2025,7,4)), (SWITCH(weekday(AK$4), 1, 0, 2, if(ISBLANK('2025'!$P453), 0, 1), 3, if(ISBLANK('2025'!$Q453), 0, 1), 4, if(ISBLANK('2025'!$R453), 0, 1), 5, if(ISBLANK('2025'!$S453), 0, 1), 6, if(ISBLANK('2025'!$T453), 0, 1), 7, 0))), 1, "")</f>
        <v/>
      </c>
      <c r="AL490" s="1" t="str">
        <f>IF(AND(AND(AND(AL$4&gt;='2025'!$L453,AL$4&lt;='2025'!$M453), AL$4&lt;&gt;DATE(2025,7,4)), (SWITCH(weekday(AL$4), 1, 0, 2, if(ISBLANK('2025'!$P453), 0, 1), 3, if(ISBLANK('2025'!$Q453), 0, 1), 4, if(ISBLANK('2025'!$R453), 0, 1), 5, if(ISBLANK('2025'!$S453), 0, 1), 6, if(ISBLANK('2025'!$T453), 0, 1), 7, 0))), 1, "")</f>
        <v/>
      </c>
      <c r="AM490" s="1" t="str">
        <f>IF(AND(AND(AND(AM$4&gt;='2025'!$L453,AM$4&lt;='2025'!$M453), AM$4&lt;&gt;DATE(2025,7,4)), (SWITCH(weekday(AM$4), 1, 0, 2, if(ISBLANK('2025'!$P453), 0, 1), 3, if(ISBLANK('2025'!$Q453), 0, 1), 4, if(ISBLANK('2025'!$R453), 0, 1), 5, if(ISBLANK('2025'!$S453), 0, 1), 6, if(ISBLANK('2025'!$T453), 0, 1), 7, 0))), 1, "")</f>
        <v/>
      </c>
      <c r="AN490" s="1" t="str">
        <f>IF(AND(AND(AND(AN$4&gt;='2025'!$L453,AN$4&lt;='2025'!$M453), AN$4&lt;&gt;DATE(2025,7,4)), (SWITCH(weekday(AN$4), 1, 0, 2, if(ISBLANK('2025'!$P453), 0, 1), 3, if(ISBLANK('2025'!$Q453), 0, 1), 4, if(ISBLANK('2025'!$R453), 0, 1), 5, if(ISBLANK('2025'!$S453), 0, 1), 6, if(ISBLANK('2025'!$T453), 0, 1), 7, 0))), 1, "")</f>
        <v/>
      </c>
      <c r="AO490" s="1" t="str">
        <f>IF(AND(AND(AND(AO$4&gt;='2025'!$L453,AO$4&lt;='2025'!$M453), AO$4&lt;&gt;DATE(2025,7,4)), (SWITCH(weekday(AO$4), 1, 0, 2, if(ISBLANK('2025'!$P453), 0, 1), 3, if(ISBLANK('2025'!$Q453), 0, 1), 4, if(ISBLANK('2025'!$R453), 0, 1), 5, if(ISBLANK('2025'!$S453), 0, 1), 6, if(ISBLANK('2025'!$T453), 0, 1), 7, 0))), 1, "")</f>
        <v/>
      </c>
      <c r="AP490" s="1" t="str">
        <f>IF(AND(AND(AND(AP$4&gt;='2025'!$L453,AP$4&lt;='2025'!$M453), AP$4&lt;&gt;DATE(2025,7,4)), (SWITCH(weekday(AP$4), 1, 0, 2, if(ISBLANK('2025'!$P453), 0, 1), 3, if(ISBLANK('2025'!$Q453), 0, 1), 4, if(ISBLANK('2025'!$R453), 0, 1), 5, if(ISBLANK('2025'!$S453), 0, 1), 6, if(ISBLANK('2025'!$T453), 0, 1), 7, 0))), 1, "")</f>
        <v/>
      </c>
      <c r="AQ490" s="1" t="str">
        <f>IF(AND(AND(AND(AQ$4&gt;='2025'!$L453,AQ$4&lt;='2025'!$M453), AQ$4&lt;&gt;DATE(2025,7,4)), (SWITCH(weekday(AQ$4), 1, 0, 2, if(ISBLANK('2025'!$P453), 0, 1), 3, if(ISBLANK('2025'!$Q453), 0, 1), 4, if(ISBLANK('2025'!$R453), 0, 1), 5, if(ISBLANK('2025'!$S453), 0, 1), 6, if(ISBLANK('2025'!$T453), 0, 1), 7, 0))), 1, "")</f>
        <v/>
      </c>
      <c r="AR490" s="1" t="str">
        <f>IF(AND(AND(AND(AR$4&gt;='2025'!$L453,AR$4&lt;='2025'!$M453), AR$4&lt;&gt;DATE(2025,7,4)), (SWITCH(weekday(AR$4), 1, 0, 2, if(ISBLANK('2025'!$P453), 0, 1), 3, if(ISBLANK('2025'!$Q453), 0, 1), 4, if(ISBLANK('2025'!$R453), 0, 1), 5, if(ISBLANK('2025'!$S453), 0, 1), 6, if(ISBLANK('2025'!$T453), 0, 1), 7, 0))), 1, "")</f>
        <v/>
      </c>
      <c r="AS490" s="1" t="str">
        <f>IF(AND(AND(AND(AS$4&gt;='2025'!$L453,AS$4&lt;='2025'!$M453), AS$4&lt;&gt;DATE(2025,7,4)), (SWITCH(weekday(AS$4), 1, 0, 2, if(ISBLANK('2025'!$P453), 0, 1), 3, if(ISBLANK('2025'!$Q453), 0, 1), 4, if(ISBLANK('2025'!$R453), 0, 1), 5, if(ISBLANK('2025'!$S453), 0, 1), 6, if(ISBLANK('2025'!$T453), 0, 1), 7, 0))), 1, "")</f>
        <v/>
      </c>
      <c r="AT490" s="1" t="str">
        <f>IF(AND(AND(AND(AT$4&gt;='2025'!$L453,AT$4&lt;='2025'!$M453), AT$4&lt;&gt;DATE(2025,7,4)), (SWITCH(weekday(AT$4), 1, 0, 2, if(ISBLANK('2025'!$P453), 0, 1), 3, if(ISBLANK('2025'!$Q453), 0, 1), 4, if(ISBLANK('2025'!$R453), 0, 1), 5, if(ISBLANK('2025'!$S453), 0, 1), 6, if(ISBLANK('2025'!$T453), 0, 1), 7, 0))), 1, "")</f>
        <v/>
      </c>
      <c r="AU490" s="1" t="str">
        <f>IF(AND(AND(AND(AU$4&gt;='2025'!$L453,AU$4&lt;='2025'!$M453), AU$4&lt;&gt;DATE(2025,7,4)), (SWITCH(weekday(AU$4), 1, 0, 2, if(ISBLANK('2025'!$P453), 0, 1), 3, if(ISBLANK('2025'!$Q453), 0, 1), 4, if(ISBLANK('2025'!$R453), 0, 1), 5, if(ISBLANK('2025'!$S453), 0, 1), 6, if(ISBLANK('2025'!$T453), 0, 1), 7, 0))), 1, "")</f>
        <v/>
      </c>
      <c r="AV490" s="1" t="str">
        <f>IF(AND(AND(AND(AV$4&gt;='2025'!$L453,AV$4&lt;='2025'!$M453), AV$4&lt;&gt;DATE(2025,7,4)), (SWITCH(weekday(AV$4), 1, 0, 2, if(ISBLANK('2025'!$P453), 0, 1), 3, if(ISBLANK('2025'!$Q453), 0, 1), 4, if(ISBLANK('2025'!$R453), 0, 1), 5, if(ISBLANK('2025'!$S453), 0, 1), 6, if(ISBLANK('2025'!$T453), 0, 1), 7, 0))), 1, "")</f>
        <v/>
      </c>
      <c r="AW490" s="1" t="str">
        <f>IF(AND(AND(AND(AW$4&gt;='2025'!$L453,AW$4&lt;='2025'!$M453), AW$4&lt;&gt;DATE(2025,7,4)), (SWITCH(weekday(AW$4), 1, 0, 2, if(ISBLANK('2025'!$P453), 0, 1), 3, if(ISBLANK('2025'!$Q453), 0, 1), 4, if(ISBLANK('2025'!$R453), 0, 1), 5, if(ISBLANK('2025'!$S453), 0, 1), 6, if(ISBLANK('2025'!$T453), 0, 1), 7, 0))), 1, "")</f>
        <v/>
      </c>
      <c r="AX490" s="1" t="str">
        <f>IF(AND(AND(AND(AX$4&gt;='2025'!$L453,AX$4&lt;='2025'!$M453), AX$4&lt;&gt;DATE(2025,7,4)), (SWITCH(weekday(AX$4), 1, 0, 2, if(ISBLANK('2025'!$P453), 0, 1), 3, if(ISBLANK('2025'!$Q453), 0, 1), 4, if(ISBLANK('2025'!$R453), 0, 1), 5, if(ISBLANK('2025'!$S453), 0, 1), 6, if(ISBLANK('2025'!$T453), 0, 1), 7, 0))), 1, "")</f>
        <v/>
      </c>
      <c r="AY490" s="1" t="str">
        <f>IF(AND(AND(AND(AY$4&gt;='2025'!$L453,AY$4&lt;='2025'!$M453), AY$4&lt;&gt;DATE(2025,7,4)), (SWITCH(weekday(AY$4), 1, 0, 2, if(ISBLANK('2025'!$P453), 0, 1), 3, if(ISBLANK('2025'!$Q453), 0, 1), 4, if(ISBLANK('2025'!$R453), 0, 1), 5, if(ISBLANK('2025'!$S453), 0, 1), 6, if(ISBLANK('2025'!$T453), 0, 1), 7, 0))), 1, "")</f>
        <v/>
      </c>
      <c r="AZ490" s="1" t="str">
        <f>IF(AND(AND(AND(AZ$4&gt;='2025'!$L453,AZ$4&lt;='2025'!$M453), AZ$4&lt;&gt;DATE(2025,7,4)), (SWITCH(weekday(AZ$4), 1, 0, 2, if(ISBLANK('2025'!$P453), 0, 1), 3, if(ISBLANK('2025'!$Q453), 0, 1), 4, if(ISBLANK('2025'!$R453), 0, 1), 5, if(ISBLANK('2025'!$S453), 0, 1), 6, if(ISBLANK('2025'!$T453), 0, 1), 7, 0))), 1, "")</f>
        <v/>
      </c>
      <c r="BA490" s="1" t="str">
        <f>IF(AND(AND(AND(BA$4&gt;='2025'!$L453,BA$4&lt;='2025'!$M453), BA$4&lt;&gt;DATE(2025,7,4)), (SWITCH(weekday(BA$4), 1, 0, 2, if(ISBLANK('2025'!$P453), 0, 1), 3, if(ISBLANK('2025'!$Q453), 0, 1), 4, if(ISBLANK('2025'!$R453), 0, 1), 5, if(ISBLANK('2025'!$S453), 0, 1), 6, if(ISBLANK('2025'!$T453), 0, 1), 7, 0))), 1, "")</f>
        <v/>
      </c>
      <c r="BB490" s="1" t="str">
        <f>IF(AND(AND(AND(BB$4&gt;='2025'!$L453,BB$4&lt;='2025'!$M453), BB$4&lt;&gt;DATE(2025,7,4)), (SWITCH(weekday(BB$4), 1, 0, 2, if(ISBLANK('2025'!$P453), 0, 1), 3, if(ISBLANK('2025'!$Q453), 0, 1), 4, if(ISBLANK('2025'!$R453), 0, 1), 5, if(ISBLANK('2025'!$S453), 0, 1), 6, if(ISBLANK('2025'!$T453), 0, 1), 7, 0))), 1, "")</f>
        <v/>
      </c>
      <c r="BC490" s="1" t="str">
        <f>IF(AND(AND(AND(BC$4&gt;='2025'!$L453,BC$4&lt;='2025'!$M453), BC$4&lt;&gt;DATE(2025,7,4)), (SWITCH(weekday(BC$4), 1, 0, 2, if(ISBLANK('2025'!$P453), 0, 1), 3, if(ISBLANK('2025'!$Q453), 0, 1), 4, if(ISBLANK('2025'!$R453), 0, 1), 5, if(ISBLANK('2025'!$S453), 0, 1), 6, if(ISBLANK('2025'!$T453), 0, 1), 7, 0))), 1, "")</f>
        <v/>
      </c>
      <c r="BD490" s="1" t="str">
        <f>IF(AND(AND(AND(BD$4&gt;='2025'!$L453,BD$4&lt;='2025'!$M453), BD$4&lt;&gt;DATE(2025,7,4)), (SWITCH(weekday(BD$4), 1, 0, 2, if(ISBLANK('2025'!$P453), 0, 1), 3, if(ISBLANK('2025'!$Q453), 0, 1), 4, if(ISBLANK('2025'!$R453), 0, 1), 5, if(ISBLANK('2025'!$S453), 0, 1), 6, if(ISBLANK('2025'!$T453), 0, 1), 7, 0))), 1, "")</f>
        <v/>
      </c>
      <c r="BE490" s="1" t="str">
        <f>IF(AND(AND(AND(BE$4&gt;='2025'!$L453,BE$4&lt;='2025'!$M453), BE$4&lt;&gt;DATE(2025,7,4)), (SWITCH(weekday(BE$4), 1, 0, 2, if(ISBLANK('2025'!$P453), 0, 1), 3, if(ISBLANK('2025'!$Q453), 0, 1), 4, if(ISBLANK('2025'!$R453), 0, 1), 5, if(ISBLANK('2025'!$S453), 0, 1), 6, if(ISBLANK('2025'!$T453), 0, 1), 7, 0))), 1, "")</f>
        <v/>
      </c>
    </row>
    <row r="491">
      <c r="A491" s="1">
        <f t="shared" si="3"/>
        <v>491</v>
      </c>
      <c r="B491" s="1" t="str">
        <f>'2025'!D454</f>
        <v/>
      </c>
      <c r="C491" s="1" t="str">
        <f>'2025'!H454</f>
        <v/>
      </c>
      <c r="D491" s="1" t="str">
        <f>IF(AND(AND(AND(D$4&gt;='2025'!$L454,D$4&lt;='2025'!$M454), D$4&lt;&gt;DATE(2025,7,4)), (SWITCH(weekday(D$4), 1, 0, 2, if(ISBLANK('2025'!$P454), 0, 1), 3, if(ISBLANK('2025'!$Q454), 0, 1), 4, if(ISBLANK('2025'!$R454), 0, 1), 5, if(ISBLANK('2025'!$S454), 0, 1), 6, if(ISBLANK('2025'!$T454), 0, 1), 7, 0))), 1, "")</f>
        <v/>
      </c>
      <c r="E491" s="1" t="str">
        <f>IF(AND(AND(AND(E$4&gt;='2025'!$L454,E$4&lt;='2025'!$M454), E$4&lt;&gt;DATE(2025,7,4)), (SWITCH(weekday(E$4), 1, 0, 2, if(ISBLANK('2025'!$P454), 0, 1), 3, if(ISBLANK('2025'!$Q454), 0, 1), 4, if(ISBLANK('2025'!$R454), 0, 1), 5, if(ISBLANK('2025'!$S454), 0, 1), 6, if(ISBLANK('2025'!$T454), 0, 1), 7, 0))), 1, "")</f>
        <v/>
      </c>
      <c r="F491" s="1" t="str">
        <f>IF(AND(AND(AND(F$4&gt;='2025'!$L454,F$4&lt;='2025'!$M454), F$4&lt;&gt;DATE(2025,7,4)), (SWITCH(weekday(F$4), 1, 0, 2, if(ISBLANK('2025'!$P454), 0, 1), 3, if(ISBLANK('2025'!$Q454), 0, 1), 4, if(ISBLANK('2025'!$R454), 0, 1), 5, if(ISBLANK('2025'!$S454), 0, 1), 6, if(ISBLANK('2025'!$T454), 0, 1), 7, 0))), 1, "")</f>
        <v/>
      </c>
      <c r="G491" s="1" t="str">
        <f>IF(AND(AND(AND(G$4&gt;='2025'!$L454,G$4&lt;='2025'!$M454), G$4&lt;&gt;DATE(2025,7,4)), (SWITCH(weekday(G$4), 1, 0, 2, if(ISBLANK('2025'!$P454), 0, 1), 3, if(ISBLANK('2025'!$Q454), 0, 1), 4, if(ISBLANK('2025'!$R454), 0, 1), 5, if(ISBLANK('2025'!$S454), 0, 1), 6, if(ISBLANK('2025'!$T454), 0, 1), 7, 0))), 1, "")</f>
        <v/>
      </c>
      <c r="H491" s="1" t="str">
        <f>IF(AND(AND(AND(H$4&gt;='2025'!$L454,H$4&lt;='2025'!$M454), H$4&lt;&gt;DATE(2025,7,4)), (SWITCH(weekday(H$4), 1, 0, 2, if(ISBLANK('2025'!$P454), 0, 1), 3, if(ISBLANK('2025'!$Q454), 0, 1), 4, if(ISBLANK('2025'!$R454), 0, 1), 5, if(ISBLANK('2025'!$S454), 0, 1), 6, if(ISBLANK('2025'!$T454), 0, 1), 7, 0))), 1, "")</f>
        <v/>
      </c>
      <c r="I491" s="1" t="str">
        <f>IF(AND(AND(AND(I$4&gt;='2025'!$L454,I$4&lt;='2025'!$M454), I$4&lt;&gt;DATE(2025,7,4)), (SWITCH(weekday(I$4), 1, 0, 2, if(ISBLANK('2025'!$P454), 0, 1), 3, if(ISBLANK('2025'!$Q454), 0, 1), 4, if(ISBLANK('2025'!$R454), 0, 1), 5, if(ISBLANK('2025'!$S454), 0, 1), 6, if(ISBLANK('2025'!$T454), 0, 1), 7, 0))), 1, "")</f>
        <v/>
      </c>
      <c r="J491" s="1" t="str">
        <f>IF(AND(AND(AND(J$4&gt;='2025'!$L454,J$4&lt;='2025'!$M454), J$4&lt;&gt;DATE(2025,7,4)), (SWITCH(weekday(J$4), 1, 0, 2, if(ISBLANK('2025'!$P454), 0, 1), 3, if(ISBLANK('2025'!$Q454), 0, 1), 4, if(ISBLANK('2025'!$R454), 0, 1), 5, if(ISBLANK('2025'!$S454), 0, 1), 6, if(ISBLANK('2025'!$T454), 0, 1), 7, 0))), 1, "")</f>
        <v/>
      </c>
      <c r="K491" s="1" t="str">
        <f>IF(AND(AND(AND(K$4&gt;='2025'!$L454,K$4&lt;='2025'!$M454), K$4&lt;&gt;DATE(2025,7,4)), (SWITCH(weekday(K$4), 1, 0, 2, if(ISBLANK('2025'!$P454), 0, 1), 3, if(ISBLANK('2025'!$Q454), 0, 1), 4, if(ISBLANK('2025'!$R454), 0, 1), 5, if(ISBLANK('2025'!$S454), 0, 1), 6, if(ISBLANK('2025'!$T454), 0, 1), 7, 0))), 1, "")</f>
        <v/>
      </c>
      <c r="L491" s="1" t="str">
        <f>IF(AND(AND(AND(L$4&gt;='2025'!$L454,L$4&lt;='2025'!$M454), L$4&lt;&gt;DATE(2025,7,4)), (SWITCH(weekday(L$4), 1, 0, 2, if(ISBLANK('2025'!$P454), 0, 1), 3, if(ISBLANK('2025'!$Q454), 0, 1), 4, if(ISBLANK('2025'!$R454), 0, 1), 5, if(ISBLANK('2025'!$S454), 0, 1), 6, if(ISBLANK('2025'!$T454), 0, 1), 7, 0))), 1, "")</f>
        <v/>
      </c>
      <c r="M491" s="1" t="str">
        <f>IF(AND(AND(AND(M$4&gt;='2025'!$L454,M$4&lt;='2025'!$M454), M$4&lt;&gt;DATE(2025,7,4)), (SWITCH(weekday(M$4), 1, 0, 2, if(ISBLANK('2025'!$P454), 0, 1), 3, if(ISBLANK('2025'!$Q454), 0, 1), 4, if(ISBLANK('2025'!$R454), 0, 1), 5, if(ISBLANK('2025'!$S454), 0, 1), 6, if(ISBLANK('2025'!$T454), 0, 1), 7, 0))), 1, "")</f>
        <v/>
      </c>
      <c r="N491" s="1" t="str">
        <f>IF(AND(AND(AND(N$4&gt;='2025'!$L454,N$4&lt;='2025'!$M454), N$4&lt;&gt;DATE(2025,7,4)), (SWITCH(weekday(N$4), 1, 0, 2, if(ISBLANK('2025'!$P454), 0, 1), 3, if(ISBLANK('2025'!$Q454), 0, 1), 4, if(ISBLANK('2025'!$R454), 0, 1), 5, if(ISBLANK('2025'!$S454), 0, 1), 6, if(ISBLANK('2025'!$T454), 0, 1), 7, 0))), 1, "")</f>
        <v/>
      </c>
      <c r="O491" s="1" t="str">
        <f>IF(AND(AND(AND(O$4&gt;='2025'!$L454,O$4&lt;='2025'!$M454), O$4&lt;&gt;DATE(2025,7,4)), (SWITCH(weekday(O$4), 1, 0, 2, if(ISBLANK('2025'!$P454), 0, 1), 3, if(ISBLANK('2025'!$Q454), 0, 1), 4, if(ISBLANK('2025'!$R454), 0, 1), 5, if(ISBLANK('2025'!$S454), 0, 1), 6, if(ISBLANK('2025'!$T454), 0, 1), 7, 0))), 1, "")</f>
        <v/>
      </c>
      <c r="P491" s="1" t="str">
        <f>IF(AND(AND(AND(P$4&gt;='2025'!$L454,P$4&lt;='2025'!$M454), P$4&lt;&gt;DATE(2025,7,4)), (SWITCH(weekday(P$4), 1, 0, 2, if(ISBLANK('2025'!$P454), 0, 1), 3, if(ISBLANK('2025'!$Q454), 0, 1), 4, if(ISBLANK('2025'!$R454), 0, 1), 5, if(ISBLANK('2025'!$S454), 0, 1), 6, if(ISBLANK('2025'!$T454), 0, 1), 7, 0))), 1, "")</f>
        <v/>
      </c>
      <c r="Q491" s="1" t="str">
        <f>IF(AND(AND(AND(Q$4&gt;='2025'!$L454,Q$4&lt;='2025'!$M454), Q$4&lt;&gt;DATE(2025,7,4)), (SWITCH(weekday(Q$4), 1, 0, 2, if(ISBLANK('2025'!$P454), 0, 1), 3, if(ISBLANK('2025'!$Q454), 0, 1), 4, if(ISBLANK('2025'!$R454), 0, 1), 5, if(ISBLANK('2025'!$S454), 0, 1), 6, if(ISBLANK('2025'!$T454), 0, 1), 7, 0))), 1, "")</f>
        <v/>
      </c>
      <c r="R491" s="1" t="str">
        <f>IF(AND(AND(AND(R$4&gt;='2025'!$L454,R$4&lt;='2025'!$M454), R$4&lt;&gt;DATE(2025,7,4)), (SWITCH(weekday(R$4), 1, 0, 2, if(ISBLANK('2025'!$P454), 0, 1), 3, if(ISBLANK('2025'!$Q454), 0, 1), 4, if(ISBLANK('2025'!$R454), 0, 1), 5, if(ISBLANK('2025'!$S454), 0, 1), 6, if(ISBLANK('2025'!$T454), 0, 1), 7, 0))), 1, "")</f>
        <v/>
      </c>
      <c r="S491" s="1" t="str">
        <f>IF(AND(AND(AND(S$4&gt;='2025'!$L454,S$4&lt;='2025'!$M454), S$4&lt;&gt;DATE(2025,7,4)), (SWITCH(weekday(S$4), 1, 0, 2, if(ISBLANK('2025'!$P454), 0, 1), 3, if(ISBLANK('2025'!$Q454), 0, 1), 4, if(ISBLANK('2025'!$R454), 0, 1), 5, if(ISBLANK('2025'!$S454), 0, 1), 6, if(ISBLANK('2025'!$T454), 0, 1), 7, 0))), 1, "")</f>
        <v/>
      </c>
      <c r="T491" s="1" t="str">
        <f>IF(AND(AND(AND(T$4&gt;='2025'!$L454,T$4&lt;='2025'!$M454), T$4&lt;&gt;DATE(2025,7,4)), (SWITCH(weekday(T$4), 1, 0, 2, if(ISBLANK('2025'!$P454), 0, 1), 3, if(ISBLANK('2025'!$Q454), 0, 1), 4, if(ISBLANK('2025'!$R454), 0, 1), 5, if(ISBLANK('2025'!$S454), 0, 1), 6, if(ISBLANK('2025'!$T454), 0, 1), 7, 0))), 1, "")</f>
        <v/>
      </c>
      <c r="U491" s="1" t="str">
        <f>IF(AND(AND(AND(U$4&gt;='2025'!$L454,U$4&lt;='2025'!$M454), U$4&lt;&gt;DATE(2025,7,4)), (SWITCH(weekday(U$4), 1, 0, 2, if(ISBLANK('2025'!$P454), 0, 1), 3, if(ISBLANK('2025'!$Q454), 0, 1), 4, if(ISBLANK('2025'!$R454), 0, 1), 5, if(ISBLANK('2025'!$S454), 0, 1), 6, if(ISBLANK('2025'!$T454), 0, 1), 7, 0))), 1, "")</f>
        <v/>
      </c>
      <c r="V491" s="1" t="str">
        <f>IF(AND(AND(AND(V$4&gt;='2025'!$L454,V$4&lt;='2025'!$M454), V$4&lt;&gt;DATE(2025,7,4)), (SWITCH(weekday(V$4), 1, 0, 2, if(ISBLANK('2025'!$P454), 0, 1), 3, if(ISBLANK('2025'!$Q454), 0, 1), 4, if(ISBLANK('2025'!$R454), 0, 1), 5, if(ISBLANK('2025'!$S454), 0, 1), 6, if(ISBLANK('2025'!$T454), 0, 1), 7, 0))), 1, "")</f>
        <v/>
      </c>
      <c r="W491" s="1" t="str">
        <f>IF(AND(AND(AND(W$4&gt;='2025'!$L454,W$4&lt;='2025'!$M454), W$4&lt;&gt;DATE(2025,7,4)), (SWITCH(weekday(W$4), 1, 0, 2, if(ISBLANK('2025'!$P454), 0, 1), 3, if(ISBLANK('2025'!$Q454), 0, 1), 4, if(ISBLANK('2025'!$R454), 0, 1), 5, if(ISBLANK('2025'!$S454), 0, 1), 6, if(ISBLANK('2025'!$T454), 0, 1), 7, 0))), 1, "")</f>
        <v/>
      </c>
      <c r="X491" s="1" t="str">
        <f>IF(AND(AND(AND(X$4&gt;='2025'!$L454,X$4&lt;='2025'!$M454), X$4&lt;&gt;DATE(2025,7,4)), (SWITCH(weekday(X$4), 1, 0, 2, if(ISBLANK('2025'!$P454), 0, 1), 3, if(ISBLANK('2025'!$Q454), 0, 1), 4, if(ISBLANK('2025'!$R454), 0, 1), 5, if(ISBLANK('2025'!$S454), 0, 1), 6, if(ISBLANK('2025'!$T454), 0, 1), 7, 0))), 1, "")</f>
        <v/>
      </c>
      <c r="Y491" s="1" t="str">
        <f>IF(AND(AND(AND(Y$4&gt;='2025'!$L454,Y$4&lt;='2025'!$M454), Y$4&lt;&gt;DATE(2025,7,4)), (SWITCH(weekday(Y$4), 1, 0, 2, if(ISBLANK('2025'!$P454), 0, 1), 3, if(ISBLANK('2025'!$Q454), 0, 1), 4, if(ISBLANK('2025'!$R454), 0, 1), 5, if(ISBLANK('2025'!$S454), 0, 1), 6, if(ISBLANK('2025'!$T454), 0, 1), 7, 0))), 1, "")</f>
        <v/>
      </c>
      <c r="Z491" s="1" t="str">
        <f>IF(AND(AND(AND(Z$4&gt;='2025'!$L454,Z$4&lt;='2025'!$M454), Z$4&lt;&gt;DATE(2025,7,4)), (SWITCH(weekday(Z$4), 1, 0, 2, if(ISBLANK('2025'!$P454), 0, 1), 3, if(ISBLANK('2025'!$Q454), 0, 1), 4, if(ISBLANK('2025'!$R454), 0, 1), 5, if(ISBLANK('2025'!$S454), 0, 1), 6, if(ISBLANK('2025'!$T454), 0, 1), 7, 0))), 1, "")</f>
        <v/>
      </c>
      <c r="AA491" s="1" t="str">
        <f>IF(AND(AND(AND(AA$4&gt;='2025'!$L454,AA$4&lt;='2025'!$M454), AA$4&lt;&gt;DATE(2025,7,4)), (SWITCH(weekday(AA$4), 1, 0, 2, if(ISBLANK('2025'!$P454), 0, 1), 3, if(ISBLANK('2025'!$Q454), 0, 1), 4, if(ISBLANK('2025'!$R454), 0, 1), 5, if(ISBLANK('2025'!$S454), 0, 1), 6, if(ISBLANK('2025'!$T454), 0, 1), 7, 0))), 1, "")</f>
        <v/>
      </c>
      <c r="AB491" s="1" t="str">
        <f>IF(AND(AND(AND(AB$4&gt;='2025'!$L454,AB$4&lt;='2025'!$M454), AB$4&lt;&gt;DATE(2025,7,4)), (SWITCH(weekday(AB$4), 1, 0, 2, if(ISBLANK('2025'!$P454), 0, 1), 3, if(ISBLANK('2025'!$Q454), 0, 1), 4, if(ISBLANK('2025'!$R454), 0, 1), 5, if(ISBLANK('2025'!$S454), 0, 1), 6, if(ISBLANK('2025'!$T454), 0, 1), 7, 0))), 1, "")</f>
        <v/>
      </c>
      <c r="AC491" s="1" t="str">
        <f>IF(AND(AND(AND(AC$4&gt;='2025'!$L454,AC$4&lt;='2025'!$M454), AC$4&lt;&gt;DATE(2025,7,4)), (SWITCH(weekday(AC$4), 1, 0, 2, if(ISBLANK('2025'!$P454), 0, 1), 3, if(ISBLANK('2025'!$Q454), 0, 1), 4, if(ISBLANK('2025'!$R454), 0, 1), 5, if(ISBLANK('2025'!$S454), 0, 1), 6, if(ISBLANK('2025'!$T454), 0, 1), 7, 0))), 1, "")</f>
        <v/>
      </c>
      <c r="AD491" s="1" t="str">
        <f>IF(AND(AND(AND(AD$4&gt;='2025'!$L454,AD$4&lt;='2025'!$M454), AD$4&lt;&gt;DATE(2025,7,4)), (SWITCH(weekday(AD$4), 1, 0, 2, if(ISBLANK('2025'!$P454), 0, 1), 3, if(ISBLANK('2025'!$Q454), 0, 1), 4, if(ISBLANK('2025'!$R454), 0, 1), 5, if(ISBLANK('2025'!$S454), 0, 1), 6, if(ISBLANK('2025'!$T454), 0, 1), 7, 0))), 1, "")</f>
        <v/>
      </c>
      <c r="AE491" s="1" t="str">
        <f>IF(AND(AND(AND(AE$4&gt;='2025'!$L454,AE$4&lt;='2025'!$M454), AE$4&lt;&gt;DATE(2025,7,4)), (SWITCH(weekday(AE$4), 1, 0, 2, if(ISBLANK('2025'!$P454), 0, 1), 3, if(ISBLANK('2025'!$Q454), 0, 1), 4, if(ISBLANK('2025'!$R454), 0, 1), 5, if(ISBLANK('2025'!$S454), 0, 1), 6, if(ISBLANK('2025'!$T454), 0, 1), 7, 0))), 1, "")</f>
        <v/>
      </c>
      <c r="AF491" s="1" t="str">
        <f>IF(AND(AND(AND(AF$4&gt;='2025'!$L454,AF$4&lt;='2025'!$M454), AF$4&lt;&gt;DATE(2025,7,4)), (SWITCH(weekday(AF$4), 1, 0, 2, if(ISBLANK('2025'!$P454), 0, 1), 3, if(ISBLANK('2025'!$Q454), 0, 1), 4, if(ISBLANK('2025'!$R454), 0, 1), 5, if(ISBLANK('2025'!$S454), 0, 1), 6, if(ISBLANK('2025'!$T454), 0, 1), 7, 0))), 1, "")</f>
        <v/>
      </c>
      <c r="AG491" s="1" t="str">
        <f>IF(AND(AND(AND(AG$4&gt;='2025'!$L454,AG$4&lt;='2025'!$M454), AG$4&lt;&gt;DATE(2025,7,4)), (SWITCH(weekday(AG$4), 1, 0, 2, if(ISBLANK('2025'!$P454), 0, 1), 3, if(ISBLANK('2025'!$Q454), 0, 1), 4, if(ISBLANK('2025'!$R454), 0, 1), 5, if(ISBLANK('2025'!$S454), 0, 1), 6, if(ISBLANK('2025'!$T454), 0, 1), 7, 0))), 1, "")</f>
        <v/>
      </c>
      <c r="AH491" s="1" t="str">
        <f>IF(AND(AND(AND(AH$4&gt;='2025'!$L454,AH$4&lt;='2025'!$M454), AH$4&lt;&gt;DATE(2025,7,4)), (SWITCH(weekday(AH$4), 1, 0, 2, if(ISBLANK('2025'!$P454), 0, 1), 3, if(ISBLANK('2025'!$Q454), 0, 1), 4, if(ISBLANK('2025'!$R454), 0, 1), 5, if(ISBLANK('2025'!$S454), 0, 1), 6, if(ISBLANK('2025'!$T454), 0, 1), 7, 0))), 1, "")</f>
        <v/>
      </c>
      <c r="AI491" s="1" t="str">
        <f>IF(AND(AND(AND(AI$4&gt;='2025'!$L454,AI$4&lt;='2025'!$M454), AI$4&lt;&gt;DATE(2025,7,4)), (SWITCH(weekday(AI$4), 1, 0, 2, if(ISBLANK('2025'!$P454), 0, 1), 3, if(ISBLANK('2025'!$Q454), 0, 1), 4, if(ISBLANK('2025'!$R454), 0, 1), 5, if(ISBLANK('2025'!$S454), 0, 1), 6, if(ISBLANK('2025'!$T454), 0, 1), 7, 0))), 1, "")</f>
        <v/>
      </c>
      <c r="AJ491" s="1" t="str">
        <f>IF(AND(AND(AND(AJ$4&gt;='2025'!$L454,AJ$4&lt;='2025'!$M454), AJ$4&lt;&gt;DATE(2025,7,4)), (SWITCH(weekday(AJ$4), 1, 0, 2, if(ISBLANK('2025'!$P454), 0, 1), 3, if(ISBLANK('2025'!$Q454), 0, 1), 4, if(ISBLANK('2025'!$R454), 0, 1), 5, if(ISBLANK('2025'!$S454), 0, 1), 6, if(ISBLANK('2025'!$T454), 0, 1), 7, 0))), 1, "")</f>
        <v/>
      </c>
      <c r="AK491" s="1" t="str">
        <f>IF(AND(AND(AND(AK$4&gt;='2025'!$L454,AK$4&lt;='2025'!$M454), AK$4&lt;&gt;DATE(2025,7,4)), (SWITCH(weekday(AK$4), 1, 0, 2, if(ISBLANK('2025'!$P454), 0, 1), 3, if(ISBLANK('2025'!$Q454), 0, 1), 4, if(ISBLANK('2025'!$R454), 0, 1), 5, if(ISBLANK('2025'!$S454), 0, 1), 6, if(ISBLANK('2025'!$T454), 0, 1), 7, 0))), 1, "")</f>
        <v/>
      </c>
      <c r="AL491" s="1" t="str">
        <f>IF(AND(AND(AND(AL$4&gt;='2025'!$L454,AL$4&lt;='2025'!$M454), AL$4&lt;&gt;DATE(2025,7,4)), (SWITCH(weekday(AL$4), 1, 0, 2, if(ISBLANK('2025'!$P454), 0, 1), 3, if(ISBLANK('2025'!$Q454), 0, 1), 4, if(ISBLANK('2025'!$R454), 0, 1), 5, if(ISBLANK('2025'!$S454), 0, 1), 6, if(ISBLANK('2025'!$T454), 0, 1), 7, 0))), 1, "")</f>
        <v/>
      </c>
      <c r="AM491" s="1" t="str">
        <f>IF(AND(AND(AND(AM$4&gt;='2025'!$L454,AM$4&lt;='2025'!$M454), AM$4&lt;&gt;DATE(2025,7,4)), (SWITCH(weekday(AM$4), 1, 0, 2, if(ISBLANK('2025'!$P454), 0, 1), 3, if(ISBLANK('2025'!$Q454), 0, 1), 4, if(ISBLANK('2025'!$R454), 0, 1), 5, if(ISBLANK('2025'!$S454), 0, 1), 6, if(ISBLANK('2025'!$T454), 0, 1), 7, 0))), 1, "")</f>
        <v/>
      </c>
      <c r="AN491" s="1" t="str">
        <f>IF(AND(AND(AND(AN$4&gt;='2025'!$L454,AN$4&lt;='2025'!$M454), AN$4&lt;&gt;DATE(2025,7,4)), (SWITCH(weekday(AN$4), 1, 0, 2, if(ISBLANK('2025'!$P454), 0, 1), 3, if(ISBLANK('2025'!$Q454), 0, 1), 4, if(ISBLANK('2025'!$R454), 0, 1), 5, if(ISBLANK('2025'!$S454), 0, 1), 6, if(ISBLANK('2025'!$T454), 0, 1), 7, 0))), 1, "")</f>
        <v/>
      </c>
      <c r="AO491" s="1" t="str">
        <f>IF(AND(AND(AND(AO$4&gt;='2025'!$L454,AO$4&lt;='2025'!$M454), AO$4&lt;&gt;DATE(2025,7,4)), (SWITCH(weekday(AO$4), 1, 0, 2, if(ISBLANK('2025'!$P454), 0, 1), 3, if(ISBLANK('2025'!$Q454), 0, 1), 4, if(ISBLANK('2025'!$R454), 0, 1), 5, if(ISBLANK('2025'!$S454), 0, 1), 6, if(ISBLANK('2025'!$T454), 0, 1), 7, 0))), 1, "")</f>
        <v/>
      </c>
      <c r="AP491" s="1" t="str">
        <f>IF(AND(AND(AND(AP$4&gt;='2025'!$L454,AP$4&lt;='2025'!$M454), AP$4&lt;&gt;DATE(2025,7,4)), (SWITCH(weekday(AP$4), 1, 0, 2, if(ISBLANK('2025'!$P454), 0, 1), 3, if(ISBLANK('2025'!$Q454), 0, 1), 4, if(ISBLANK('2025'!$R454), 0, 1), 5, if(ISBLANK('2025'!$S454), 0, 1), 6, if(ISBLANK('2025'!$T454), 0, 1), 7, 0))), 1, "")</f>
        <v/>
      </c>
      <c r="AQ491" s="1" t="str">
        <f>IF(AND(AND(AND(AQ$4&gt;='2025'!$L454,AQ$4&lt;='2025'!$M454), AQ$4&lt;&gt;DATE(2025,7,4)), (SWITCH(weekday(AQ$4), 1, 0, 2, if(ISBLANK('2025'!$P454), 0, 1), 3, if(ISBLANK('2025'!$Q454), 0, 1), 4, if(ISBLANK('2025'!$R454), 0, 1), 5, if(ISBLANK('2025'!$S454), 0, 1), 6, if(ISBLANK('2025'!$T454), 0, 1), 7, 0))), 1, "")</f>
        <v/>
      </c>
      <c r="AR491" s="1" t="str">
        <f>IF(AND(AND(AND(AR$4&gt;='2025'!$L454,AR$4&lt;='2025'!$M454), AR$4&lt;&gt;DATE(2025,7,4)), (SWITCH(weekday(AR$4), 1, 0, 2, if(ISBLANK('2025'!$P454), 0, 1), 3, if(ISBLANK('2025'!$Q454), 0, 1), 4, if(ISBLANK('2025'!$R454), 0, 1), 5, if(ISBLANK('2025'!$S454), 0, 1), 6, if(ISBLANK('2025'!$T454), 0, 1), 7, 0))), 1, "")</f>
        <v/>
      </c>
      <c r="AS491" s="1" t="str">
        <f>IF(AND(AND(AND(AS$4&gt;='2025'!$L454,AS$4&lt;='2025'!$M454), AS$4&lt;&gt;DATE(2025,7,4)), (SWITCH(weekday(AS$4), 1, 0, 2, if(ISBLANK('2025'!$P454), 0, 1), 3, if(ISBLANK('2025'!$Q454), 0, 1), 4, if(ISBLANK('2025'!$R454), 0, 1), 5, if(ISBLANK('2025'!$S454), 0, 1), 6, if(ISBLANK('2025'!$T454), 0, 1), 7, 0))), 1, "")</f>
        <v/>
      </c>
      <c r="AT491" s="1" t="str">
        <f>IF(AND(AND(AND(AT$4&gt;='2025'!$L454,AT$4&lt;='2025'!$M454), AT$4&lt;&gt;DATE(2025,7,4)), (SWITCH(weekday(AT$4), 1, 0, 2, if(ISBLANK('2025'!$P454), 0, 1), 3, if(ISBLANK('2025'!$Q454), 0, 1), 4, if(ISBLANK('2025'!$R454), 0, 1), 5, if(ISBLANK('2025'!$S454), 0, 1), 6, if(ISBLANK('2025'!$T454), 0, 1), 7, 0))), 1, "")</f>
        <v/>
      </c>
      <c r="AU491" s="1" t="str">
        <f>IF(AND(AND(AND(AU$4&gt;='2025'!$L454,AU$4&lt;='2025'!$M454), AU$4&lt;&gt;DATE(2025,7,4)), (SWITCH(weekday(AU$4), 1, 0, 2, if(ISBLANK('2025'!$P454), 0, 1), 3, if(ISBLANK('2025'!$Q454), 0, 1), 4, if(ISBLANK('2025'!$R454), 0, 1), 5, if(ISBLANK('2025'!$S454), 0, 1), 6, if(ISBLANK('2025'!$T454), 0, 1), 7, 0))), 1, "")</f>
        <v/>
      </c>
      <c r="AV491" s="1" t="str">
        <f>IF(AND(AND(AND(AV$4&gt;='2025'!$L454,AV$4&lt;='2025'!$M454), AV$4&lt;&gt;DATE(2025,7,4)), (SWITCH(weekday(AV$4), 1, 0, 2, if(ISBLANK('2025'!$P454), 0, 1), 3, if(ISBLANK('2025'!$Q454), 0, 1), 4, if(ISBLANK('2025'!$R454), 0, 1), 5, if(ISBLANK('2025'!$S454), 0, 1), 6, if(ISBLANK('2025'!$T454), 0, 1), 7, 0))), 1, "")</f>
        <v/>
      </c>
      <c r="AW491" s="1" t="str">
        <f>IF(AND(AND(AND(AW$4&gt;='2025'!$L454,AW$4&lt;='2025'!$M454), AW$4&lt;&gt;DATE(2025,7,4)), (SWITCH(weekday(AW$4), 1, 0, 2, if(ISBLANK('2025'!$P454), 0, 1), 3, if(ISBLANK('2025'!$Q454), 0, 1), 4, if(ISBLANK('2025'!$R454), 0, 1), 5, if(ISBLANK('2025'!$S454), 0, 1), 6, if(ISBLANK('2025'!$T454), 0, 1), 7, 0))), 1, "")</f>
        <v/>
      </c>
      <c r="AX491" s="1" t="str">
        <f>IF(AND(AND(AND(AX$4&gt;='2025'!$L454,AX$4&lt;='2025'!$M454), AX$4&lt;&gt;DATE(2025,7,4)), (SWITCH(weekday(AX$4), 1, 0, 2, if(ISBLANK('2025'!$P454), 0, 1), 3, if(ISBLANK('2025'!$Q454), 0, 1), 4, if(ISBLANK('2025'!$R454), 0, 1), 5, if(ISBLANK('2025'!$S454), 0, 1), 6, if(ISBLANK('2025'!$T454), 0, 1), 7, 0))), 1, "")</f>
        <v/>
      </c>
      <c r="AY491" s="1" t="str">
        <f>IF(AND(AND(AND(AY$4&gt;='2025'!$L454,AY$4&lt;='2025'!$M454), AY$4&lt;&gt;DATE(2025,7,4)), (SWITCH(weekday(AY$4), 1, 0, 2, if(ISBLANK('2025'!$P454), 0, 1), 3, if(ISBLANK('2025'!$Q454), 0, 1), 4, if(ISBLANK('2025'!$R454), 0, 1), 5, if(ISBLANK('2025'!$S454), 0, 1), 6, if(ISBLANK('2025'!$T454), 0, 1), 7, 0))), 1, "")</f>
        <v/>
      </c>
      <c r="AZ491" s="1" t="str">
        <f>IF(AND(AND(AND(AZ$4&gt;='2025'!$L454,AZ$4&lt;='2025'!$M454), AZ$4&lt;&gt;DATE(2025,7,4)), (SWITCH(weekday(AZ$4), 1, 0, 2, if(ISBLANK('2025'!$P454), 0, 1), 3, if(ISBLANK('2025'!$Q454), 0, 1), 4, if(ISBLANK('2025'!$R454), 0, 1), 5, if(ISBLANK('2025'!$S454), 0, 1), 6, if(ISBLANK('2025'!$T454), 0, 1), 7, 0))), 1, "")</f>
        <v/>
      </c>
      <c r="BA491" s="1" t="str">
        <f>IF(AND(AND(AND(BA$4&gt;='2025'!$L454,BA$4&lt;='2025'!$M454), BA$4&lt;&gt;DATE(2025,7,4)), (SWITCH(weekday(BA$4), 1, 0, 2, if(ISBLANK('2025'!$P454), 0, 1), 3, if(ISBLANK('2025'!$Q454), 0, 1), 4, if(ISBLANK('2025'!$R454), 0, 1), 5, if(ISBLANK('2025'!$S454), 0, 1), 6, if(ISBLANK('2025'!$T454), 0, 1), 7, 0))), 1, "")</f>
        <v/>
      </c>
      <c r="BB491" s="1" t="str">
        <f>IF(AND(AND(AND(BB$4&gt;='2025'!$L454,BB$4&lt;='2025'!$M454), BB$4&lt;&gt;DATE(2025,7,4)), (SWITCH(weekday(BB$4), 1, 0, 2, if(ISBLANK('2025'!$P454), 0, 1), 3, if(ISBLANK('2025'!$Q454), 0, 1), 4, if(ISBLANK('2025'!$R454), 0, 1), 5, if(ISBLANK('2025'!$S454), 0, 1), 6, if(ISBLANK('2025'!$T454), 0, 1), 7, 0))), 1, "")</f>
        <v/>
      </c>
      <c r="BC491" s="1" t="str">
        <f>IF(AND(AND(AND(BC$4&gt;='2025'!$L454,BC$4&lt;='2025'!$M454), BC$4&lt;&gt;DATE(2025,7,4)), (SWITCH(weekday(BC$4), 1, 0, 2, if(ISBLANK('2025'!$P454), 0, 1), 3, if(ISBLANK('2025'!$Q454), 0, 1), 4, if(ISBLANK('2025'!$R454), 0, 1), 5, if(ISBLANK('2025'!$S454), 0, 1), 6, if(ISBLANK('2025'!$T454), 0, 1), 7, 0))), 1, "")</f>
        <v/>
      </c>
      <c r="BD491" s="1" t="str">
        <f>IF(AND(AND(AND(BD$4&gt;='2025'!$L454,BD$4&lt;='2025'!$M454), BD$4&lt;&gt;DATE(2025,7,4)), (SWITCH(weekday(BD$4), 1, 0, 2, if(ISBLANK('2025'!$P454), 0, 1), 3, if(ISBLANK('2025'!$Q454), 0, 1), 4, if(ISBLANK('2025'!$R454), 0, 1), 5, if(ISBLANK('2025'!$S454), 0, 1), 6, if(ISBLANK('2025'!$T454), 0, 1), 7, 0))), 1, "")</f>
        <v/>
      </c>
      <c r="BE491" s="1" t="str">
        <f>IF(AND(AND(AND(BE$4&gt;='2025'!$L454,BE$4&lt;='2025'!$M454), BE$4&lt;&gt;DATE(2025,7,4)), (SWITCH(weekday(BE$4), 1, 0, 2, if(ISBLANK('2025'!$P454), 0, 1), 3, if(ISBLANK('2025'!$Q454), 0, 1), 4, if(ISBLANK('2025'!$R454), 0, 1), 5, if(ISBLANK('2025'!$S454), 0, 1), 6, if(ISBLANK('2025'!$T454), 0, 1), 7, 0))), 1, "")</f>
        <v/>
      </c>
    </row>
    <row r="492">
      <c r="A492" s="1">
        <f t="shared" si="3"/>
        <v>492</v>
      </c>
      <c r="B492" s="1" t="str">
        <f>'2025'!D455</f>
        <v/>
      </c>
      <c r="C492" s="1" t="str">
        <f>'2025'!H455</f>
        <v/>
      </c>
      <c r="D492" s="1" t="str">
        <f>IF(AND(AND(AND(D$4&gt;='2025'!$L455,D$4&lt;='2025'!$M455), D$4&lt;&gt;DATE(2025,7,4)), (SWITCH(weekday(D$4), 1, 0, 2, if(ISBLANK('2025'!$P455), 0, 1), 3, if(ISBLANK('2025'!$Q455), 0, 1), 4, if(ISBLANK('2025'!$R455), 0, 1), 5, if(ISBLANK('2025'!$S455), 0, 1), 6, if(ISBLANK('2025'!$T455), 0, 1), 7, 0))), 1, "")</f>
        <v/>
      </c>
      <c r="E492" s="1" t="str">
        <f>IF(AND(AND(AND(E$4&gt;='2025'!$L455,E$4&lt;='2025'!$M455), E$4&lt;&gt;DATE(2025,7,4)), (SWITCH(weekday(E$4), 1, 0, 2, if(ISBLANK('2025'!$P455), 0, 1), 3, if(ISBLANK('2025'!$Q455), 0, 1), 4, if(ISBLANK('2025'!$R455), 0, 1), 5, if(ISBLANK('2025'!$S455), 0, 1), 6, if(ISBLANK('2025'!$T455), 0, 1), 7, 0))), 1, "")</f>
        <v/>
      </c>
      <c r="F492" s="1" t="str">
        <f>IF(AND(AND(AND(F$4&gt;='2025'!$L455,F$4&lt;='2025'!$M455), F$4&lt;&gt;DATE(2025,7,4)), (SWITCH(weekday(F$4), 1, 0, 2, if(ISBLANK('2025'!$P455), 0, 1), 3, if(ISBLANK('2025'!$Q455), 0, 1), 4, if(ISBLANK('2025'!$R455), 0, 1), 5, if(ISBLANK('2025'!$S455), 0, 1), 6, if(ISBLANK('2025'!$T455), 0, 1), 7, 0))), 1, "")</f>
        <v/>
      </c>
      <c r="G492" s="1" t="str">
        <f>IF(AND(AND(AND(G$4&gt;='2025'!$L455,G$4&lt;='2025'!$M455), G$4&lt;&gt;DATE(2025,7,4)), (SWITCH(weekday(G$4), 1, 0, 2, if(ISBLANK('2025'!$P455), 0, 1), 3, if(ISBLANK('2025'!$Q455), 0, 1), 4, if(ISBLANK('2025'!$R455), 0, 1), 5, if(ISBLANK('2025'!$S455), 0, 1), 6, if(ISBLANK('2025'!$T455), 0, 1), 7, 0))), 1, "")</f>
        <v/>
      </c>
      <c r="H492" s="1" t="str">
        <f>IF(AND(AND(AND(H$4&gt;='2025'!$L455,H$4&lt;='2025'!$M455), H$4&lt;&gt;DATE(2025,7,4)), (SWITCH(weekday(H$4), 1, 0, 2, if(ISBLANK('2025'!$P455), 0, 1), 3, if(ISBLANK('2025'!$Q455), 0, 1), 4, if(ISBLANK('2025'!$R455), 0, 1), 5, if(ISBLANK('2025'!$S455), 0, 1), 6, if(ISBLANK('2025'!$T455), 0, 1), 7, 0))), 1, "")</f>
        <v/>
      </c>
      <c r="I492" s="1" t="str">
        <f>IF(AND(AND(AND(I$4&gt;='2025'!$L455,I$4&lt;='2025'!$M455), I$4&lt;&gt;DATE(2025,7,4)), (SWITCH(weekday(I$4), 1, 0, 2, if(ISBLANK('2025'!$P455), 0, 1), 3, if(ISBLANK('2025'!$Q455), 0, 1), 4, if(ISBLANK('2025'!$R455), 0, 1), 5, if(ISBLANK('2025'!$S455), 0, 1), 6, if(ISBLANK('2025'!$T455), 0, 1), 7, 0))), 1, "")</f>
        <v/>
      </c>
      <c r="J492" s="1" t="str">
        <f>IF(AND(AND(AND(J$4&gt;='2025'!$L455,J$4&lt;='2025'!$M455), J$4&lt;&gt;DATE(2025,7,4)), (SWITCH(weekday(J$4), 1, 0, 2, if(ISBLANK('2025'!$P455), 0, 1), 3, if(ISBLANK('2025'!$Q455), 0, 1), 4, if(ISBLANK('2025'!$R455), 0, 1), 5, if(ISBLANK('2025'!$S455), 0, 1), 6, if(ISBLANK('2025'!$T455), 0, 1), 7, 0))), 1, "")</f>
        <v/>
      </c>
      <c r="K492" s="1" t="str">
        <f>IF(AND(AND(AND(K$4&gt;='2025'!$L455,K$4&lt;='2025'!$M455), K$4&lt;&gt;DATE(2025,7,4)), (SWITCH(weekday(K$4), 1, 0, 2, if(ISBLANK('2025'!$P455), 0, 1), 3, if(ISBLANK('2025'!$Q455), 0, 1), 4, if(ISBLANK('2025'!$R455), 0, 1), 5, if(ISBLANK('2025'!$S455), 0, 1), 6, if(ISBLANK('2025'!$T455), 0, 1), 7, 0))), 1, "")</f>
        <v/>
      </c>
      <c r="L492" s="1" t="str">
        <f>IF(AND(AND(AND(L$4&gt;='2025'!$L455,L$4&lt;='2025'!$M455), L$4&lt;&gt;DATE(2025,7,4)), (SWITCH(weekday(L$4), 1, 0, 2, if(ISBLANK('2025'!$P455), 0, 1), 3, if(ISBLANK('2025'!$Q455), 0, 1), 4, if(ISBLANK('2025'!$R455), 0, 1), 5, if(ISBLANK('2025'!$S455), 0, 1), 6, if(ISBLANK('2025'!$T455), 0, 1), 7, 0))), 1, "")</f>
        <v/>
      </c>
      <c r="M492" s="1" t="str">
        <f>IF(AND(AND(AND(M$4&gt;='2025'!$L455,M$4&lt;='2025'!$M455), M$4&lt;&gt;DATE(2025,7,4)), (SWITCH(weekday(M$4), 1, 0, 2, if(ISBLANK('2025'!$P455), 0, 1), 3, if(ISBLANK('2025'!$Q455), 0, 1), 4, if(ISBLANK('2025'!$R455), 0, 1), 5, if(ISBLANK('2025'!$S455), 0, 1), 6, if(ISBLANK('2025'!$T455), 0, 1), 7, 0))), 1, "")</f>
        <v/>
      </c>
      <c r="N492" s="1" t="str">
        <f>IF(AND(AND(AND(N$4&gt;='2025'!$L455,N$4&lt;='2025'!$M455), N$4&lt;&gt;DATE(2025,7,4)), (SWITCH(weekday(N$4), 1, 0, 2, if(ISBLANK('2025'!$P455), 0, 1), 3, if(ISBLANK('2025'!$Q455), 0, 1), 4, if(ISBLANK('2025'!$R455), 0, 1), 5, if(ISBLANK('2025'!$S455), 0, 1), 6, if(ISBLANK('2025'!$T455), 0, 1), 7, 0))), 1, "")</f>
        <v/>
      </c>
      <c r="O492" s="1" t="str">
        <f>IF(AND(AND(AND(O$4&gt;='2025'!$L455,O$4&lt;='2025'!$M455), O$4&lt;&gt;DATE(2025,7,4)), (SWITCH(weekday(O$4), 1, 0, 2, if(ISBLANK('2025'!$P455), 0, 1), 3, if(ISBLANK('2025'!$Q455), 0, 1), 4, if(ISBLANK('2025'!$R455), 0, 1), 5, if(ISBLANK('2025'!$S455), 0, 1), 6, if(ISBLANK('2025'!$T455), 0, 1), 7, 0))), 1, "")</f>
        <v/>
      </c>
      <c r="P492" s="1" t="str">
        <f>IF(AND(AND(AND(P$4&gt;='2025'!$L455,P$4&lt;='2025'!$M455), P$4&lt;&gt;DATE(2025,7,4)), (SWITCH(weekday(P$4), 1, 0, 2, if(ISBLANK('2025'!$P455), 0, 1), 3, if(ISBLANK('2025'!$Q455), 0, 1), 4, if(ISBLANK('2025'!$R455), 0, 1), 5, if(ISBLANK('2025'!$S455), 0, 1), 6, if(ISBLANK('2025'!$T455), 0, 1), 7, 0))), 1, "")</f>
        <v/>
      </c>
      <c r="Q492" s="1" t="str">
        <f>IF(AND(AND(AND(Q$4&gt;='2025'!$L455,Q$4&lt;='2025'!$M455), Q$4&lt;&gt;DATE(2025,7,4)), (SWITCH(weekday(Q$4), 1, 0, 2, if(ISBLANK('2025'!$P455), 0, 1), 3, if(ISBLANK('2025'!$Q455), 0, 1), 4, if(ISBLANK('2025'!$R455), 0, 1), 5, if(ISBLANK('2025'!$S455), 0, 1), 6, if(ISBLANK('2025'!$T455), 0, 1), 7, 0))), 1, "")</f>
        <v/>
      </c>
      <c r="R492" s="1" t="str">
        <f>IF(AND(AND(AND(R$4&gt;='2025'!$L455,R$4&lt;='2025'!$M455), R$4&lt;&gt;DATE(2025,7,4)), (SWITCH(weekday(R$4), 1, 0, 2, if(ISBLANK('2025'!$P455), 0, 1), 3, if(ISBLANK('2025'!$Q455), 0, 1), 4, if(ISBLANK('2025'!$R455), 0, 1), 5, if(ISBLANK('2025'!$S455), 0, 1), 6, if(ISBLANK('2025'!$T455), 0, 1), 7, 0))), 1, "")</f>
        <v/>
      </c>
      <c r="S492" s="1" t="str">
        <f>IF(AND(AND(AND(S$4&gt;='2025'!$L455,S$4&lt;='2025'!$M455), S$4&lt;&gt;DATE(2025,7,4)), (SWITCH(weekday(S$4), 1, 0, 2, if(ISBLANK('2025'!$P455), 0, 1), 3, if(ISBLANK('2025'!$Q455), 0, 1), 4, if(ISBLANK('2025'!$R455), 0, 1), 5, if(ISBLANK('2025'!$S455), 0, 1), 6, if(ISBLANK('2025'!$T455), 0, 1), 7, 0))), 1, "")</f>
        <v/>
      </c>
      <c r="T492" s="1" t="str">
        <f>IF(AND(AND(AND(T$4&gt;='2025'!$L455,T$4&lt;='2025'!$M455), T$4&lt;&gt;DATE(2025,7,4)), (SWITCH(weekday(T$4), 1, 0, 2, if(ISBLANK('2025'!$P455), 0, 1), 3, if(ISBLANK('2025'!$Q455), 0, 1), 4, if(ISBLANK('2025'!$R455), 0, 1), 5, if(ISBLANK('2025'!$S455), 0, 1), 6, if(ISBLANK('2025'!$T455), 0, 1), 7, 0))), 1, "")</f>
        <v/>
      </c>
      <c r="U492" s="1" t="str">
        <f>IF(AND(AND(AND(U$4&gt;='2025'!$L455,U$4&lt;='2025'!$M455), U$4&lt;&gt;DATE(2025,7,4)), (SWITCH(weekday(U$4), 1, 0, 2, if(ISBLANK('2025'!$P455), 0, 1), 3, if(ISBLANK('2025'!$Q455), 0, 1), 4, if(ISBLANK('2025'!$R455), 0, 1), 5, if(ISBLANK('2025'!$S455), 0, 1), 6, if(ISBLANK('2025'!$T455), 0, 1), 7, 0))), 1, "")</f>
        <v/>
      </c>
      <c r="V492" s="1" t="str">
        <f>IF(AND(AND(AND(V$4&gt;='2025'!$L455,V$4&lt;='2025'!$M455), V$4&lt;&gt;DATE(2025,7,4)), (SWITCH(weekday(V$4), 1, 0, 2, if(ISBLANK('2025'!$P455), 0, 1), 3, if(ISBLANK('2025'!$Q455), 0, 1), 4, if(ISBLANK('2025'!$R455), 0, 1), 5, if(ISBLANK('2025'!$S455), 0, 1), 6, if(ISBLANK('2025'!$T455), 0, 1), 7, 0))), 1, "")</f>
        <v/>
      </c>
      <c r="W492" s="1" t="str">
        <f>IF(AND(AND(AND(W$4&gt;='2025'!$L455,W$4&lt;='2025'!$M455), W$4&lt;&gt;DATE(2025,7,4)), (SWITCH(weekday(W$4), 1, 0, 2, if(ISBLANK('2025'!$P455), 0, 1), 3, if(ISBLANK('2025'!$Q455), 0, 1), 4, if(ISBLANK('2025'!$R455), 0, 1), 5, if(ISBLANK('2025'!$S455), 0, 1), 6, if(ISBLANK('2025'!$T455), 0, 1), 7, 0))), 1, "")</f>
        <v/>
      </c>
      <c r="X492" s="1" t="str">
        <f>IF(AND(AND(AND(X$4&gt;='2025'!$L455,X$4&lt;='2025'!$M455), X$4&lt;&gt;DATE(2025,7,4)), (SWITCH(weekday(X$4), 1, 0, 2, if(ISBLANK('2025'!$P455), 0, 1), 3, if(ISBLANK('2025'!$Q455), 0, 1), 4, if(ISBLANK('2025'!$R455), 0, 1), 5, if(ISBLANK('2025'!$S455), 0, 1), 6, if(ISBLANK('2025'!$T455), 0, 1), 7, 0))), 1, "")</f>
        <v/>
      </c>
      <c r="Y492" s="1" t="str">
        <f>IF(AND(AND(AND(Y$4&gt;='2025'!$L455,Y$4&lt;='2025'!$M455), Y$4&lt;&gt;DATE(2025,7,4)), (SWITCH(weekday(Y$4), 1, 0, 2, if(ISBLANK('2025'!$P455), 0, 1), 3, if(ISBLANK('2025'!$Q455), 0, 1), 4, if(ISBLANK('2025'!$R455), 0, 1), 5, if(ISBLANK('2025'!$S455), 0, 1), 6, if(ISBLANK('2025'!$T455), 0, 1), 7, 0))), 1, "")</f>
        <v/>
      </c>
      <c r="Z492" s="1" t="str">
        <f>IF(AND(AND(AND(Z$4&gt;='2025'!$L455,Z$4&lt;='2025'!$M455), Z$4&lt;&gt;DATE(2025,7,4)), (SWITCH(weekday(Z$4), 1, 0, 2, if(ISBLANK('2025'!$P455), 0, 1), 3, if(ISBLANK('2025'!$Q455), 0, 1), 4, if(ISBLANK('2025'!$R455), 0, 1), 5, if(ISBLANK('2025'!$S455), 0, 1), 6, if(ISBLANK('2025'!$T455), 0, 1), 7, 0))), 1, "")</f>
        <v/>
      </c>
      <c r="AA492" s="1" t="str">
        <f>IF(AND(AND(AND(AA$4&gt;='2025'!$L455,AA$4&lt;='2025'!$M455), AA$4&lt;&gt;DATE(2025,7,4)), (SWITCH(weekday(AA$4), 1, 0, 2, if(ISBLANK('2025'!$P455), 0, 1), 3, if(ISBLANK('2025'!$Q455), 0, 1), 4, if(ISBLANK('2025'!$R455), 0, 1), 5, if(ISBLANK('2025'!$S455), 0, 1), 6, if(ISBLANK('2025'!$T455), 0, 1), 7, 0))), 1, "")</f>
        <v/>
      </c>
      <c r="AB492" s="1" t="str">
        <f>IF(AND(AND(AND(AB$4&gt;='2025'!$L455,AB$4&lt;='2025'!$M455), AB$4&lt;&gt;DATE(2025,7,4)), (SWITCH(weekday(AB$4), 1, 0, 2, if(ISBLANK('2025'!$P455), 0, 1), 3, if(ISBLANK('2025'!$Q455), 0, 1), 4, if(ISBLANK('2025'!$R455), 0, 1), 5, if(ISBLANK('2025'!$S455), 0, 1), 6, if(ISBLANK('2025'!$T455), 0, 1), 7, 0))), 1, "")</f>
        <v/>
      </c>
      <c r="AC492" s="1" t="str">
        <f>IF(AND(AND(AND(AC$4&gt;='2025'!$L455,AC$4&lt;='2025'!$M455), AC$4&lt;&gt;DATE(2025,7,4)), (SWITCH(weekday(AC$4), 1, 0, 2, if(ISBLANK('2025'!$P455), 0, 1), 3, if(ISBLANK('2025'!$Q455), 0, 1), 4, if(ISBLANK('2025'!$R455), 0, 1), 5, if(ISBLANK('2025'!$S455), 0, 1), 6, if(ISBLANK('2025'!$T455), 0, 1), 7, 0))), 1, "")</f>
        <v/>
      </c>
      <c r="AD492" s="1" t="str">
        <f>IF(AND(AND(AND(AD$4&gt;='2025'!$L455,AD$4&lt;='2025'!$M455), AD$4&lt;&gt;DATE(2025,7,4)), (SWITCH(weekday(AD$4), 1, 0, 2, if(ISBLANK('2025'!$P455), 0, 1), 3, if(ISBLANK('2025'!$Q455), 0, 1), 4, if(ISBLANK('2025'!$R455), 0, 1), 5, if(ISBLANK('2025'!$S455), 0, 1), 6, if(ISBLANK('2025'!$T455), 0, 1), 7, 0))), 1, "")</f>
        <v/>
      </c>
      <c r="AE492" s="1" t="str">
        <f>IF(AND(AND(AND(AE$4&gt;='2025'!$L455,AE$4&lt;='2025'!$M455), AE$4&lt;&gt;DATE(2025,7,4)), (SWITCH(weekday(AE$4), 1, 0, 2, if(ISBLANK('2025'!$P455), 0, 1), 3, if(ISBLANK('2025'!$Q455), 0, 1), 4, if(ISBLANK('2025'!$R455), 0, 1), 5, if(ISBLANK('2025'!$S455), 0, 1), 6, if(ISBLANK('2025'!$T455), 0, 1), 7, 0))), 1, "")</f>
        <v/>
      </c>
      <c r="AF492" s="1" t="str">
        <f>IF(AND(AND(AND(AF$4&gt;='2025'!$L455,AF$4&lt;='2025'!$M455), AF$4&lt;&gt;DATE(2025,7,4)), (SWITCH(weekday(AF$4), 1, 0, 2, if(ISBLANK('2025'!$P455), 0, 1), 3, if(ISBLANK('2025'!$Q455), 0, 1), 4, if(ISBLANK('2025'!$R455), 0, 1), 5, if(ISBLANK('2025'!$S455), 0, 1), 6, if(ISBLANK('2025'!$T455), 0, 1), 7, 0))), 1, "")</f>
        <v/>
      </c>
      <c r="AG492" s="1" t="str">
        <f>IF(AND(AND(AND(AG$4&gt;='2025'!$L455,AG$4&lt;='2025'!$M455), AG$4&lt;&gt;DATE(2025,7,4)), (SWITCH(weekday(AG$4), 1, 0, 2, if(ISBLANK('2025'!$P455), 0, 1), 3, if(ISBLANK('2025'!$Q455), 0, 1), 4, if(ISBLANK('2025'!$R455), 0, 1), 5, if(ISBLANK('2025'!$S455), 0, 1), 6, if(ISBLANK('2025'!$T455), 0, 1), 7, 0))), 1, "")</f>
        <v/>
      </c>
      <c r="AH492" s="1" t="str">
        <f>IF(AND(AND(AND(AH$4&gt;='2025'!$L455,AH$4&lt;='2025'!$M455), AH$4&lt;&gt;DATE(2025,7,4)), (SWITCH(weekday(AH$4), 1, 0, 2, if(ISBLANK('2025'!$P455), 0, 1), 3, if(ISBLANK('2025'!$Q455), 0, 1), 4, if(ISBLANK('2025'!$R455), 0, 1), 5, if(ISBLANK('2025'!$S455), 0, 1), 6, if(ISBLANK('2025'!$T455), 0, 1), 7, 0))), 1, "")</f>
        <v/>
      </c>
      <c r="AI492" s="1" t="str">
        <f>IF(AND(AND(AND(AI$4&gt;='2025'!$L455,AI$4&lt;='2025'!$M455), AI$4&lt;&gt;DATE(2025,7,4)), (SWITCH(weekday(AI$4), 1, 0, 2, if(ISBLANK('2025'!$P455), 0, 1), 3, if(ISBLANK('2025'!$Q455), 0, 1), 4, if(ISBLANK('2025'!$R455), 0, 1), 5, if(ISBLANK('2025'!$S455), 0, 1), 6, if(ISBLANK('2025'!$T455), 0, 1), 7, 0))), 1, "")</f>
        <v/>
      </c>
      <c r="AJ492" s="1" t="str">
        <f>IF(AND(AND(AND(AJ$4&gt;='2025'!$L455,AJ$4&lt;='2025'!$M455), AJ$4&lt;&gt;DATE(2025,7,4)), (SWITCH(weekday(AJ$4), 1, 0, 2, if(ISBLANK('2025'!$P455), 0, 1), 3, if(ISBLANK('2025'!$Q455), 0, 1), 4, if(ISBLANK('2025'!$R455), 0, 1), 5, if(ISBLANK('2025'!$S455), 0, 1), 6, if(ISBLANK('2025'!$T455), 0, 1), 7, 0))), 1, "")</f>
        <v/>
      </c>
      <c r="AK492" s="1" t="str">
        <f>IF(AND(AND(AND(AK$4&gt;='2025'!$L455,AK$4&lt;='2025'!$M455), AK$4&lt;&gt;DATE(2025,7,4)), (SWITCH(weekday(AK$4), 1, 0, 2, if(ISBLANK('2025'!$P455), 0, 1), 3, if(ISBLANK('2025'!$Q455), 0, 1), 4, if(ISBLANK('2025'!$R455), 0, 1), 5, if(ISBLANK('2025'!$S455), 0, 1), 6, if(ISBLANK('2025'!$T455), 0, 1), 7, 0))), 1, "")</f>
        <v/>
      </c>
      <c r="AL492" s="1" t="str">
        <f>IF(AND(AND(AND(AL$4&gt;='2025'!$L455,AL$4&lt;='2025'!$M455), AL$4&lt;&gt;DATE(2025,7,4)), (SWITCH(weekday(AL$4), 1, 0, 2, if(ISBLANK('2025'!$P455), 0, 1), 3, if(ISBLANK('2025'!$Q455), 0, 1), 4, if(ISBLANK('2025'!$R455), 0, 1), 5, if(ISBLANK('2025'!$S455), 0, 1), 6, if(ISBLANK('2025'!$T455), 0, 1), 7, 0))), 1, "")</f>
        <v/>
      </c>
      <c r="AM492" s="1" t="str">
        <f>IF(AND(AND(AND(AM$4&gt;='2025'!$L455,AM$4&lt;='2025'!$M455), AM$4&lt;&gt;DATE(2025,7,4)), (SWITCH(weekday(AM$4), 1, 0, 2, if(ISBLANK('2025'!$P455), 0, 1), 3, if(ISBLANK('2025'!$Q455), 0, 1), 4, if(ISBLANK('2025'!$R455), 0, 1), 5, if(ISBLANK('2025'!$S455), 0, 1), 6, if(ISBLANK('2025'!$T455), 0, 1), 7, 0))), 1, "")</f>
        <v/>
      </c>
      <c r="AN492" s="1" t="str">
        <f>IF(AND(AND(AND(AN$4&gt;='2025'!$L455,AN$4&lt;='2025'!$M455), AN$4&lt;&gt;DATE(2025,7,4)), (SWITCH(weekday(AN$4), 1, 0, 2, if(ISBLANK('2025'!$P455), 0, 1), 3, if(ISBLANK('2025'!$Q455), 0, 1), 4, if(ISBLANK('2025'!$R455), 0, 1), 5, if(ISBLANK('2025'!$S455), 0, 1), 6, if(ISBLANK('2025'!$T455), 0, 1), 7, 0))), 1, "")</f>
        <v/>
      </c>
      <c r="AO492" s="1" t="str">
        <f>IF(AND(AND(AND(AO$4&gt;='2025'!$L455,AO$4&lt;='2025'!$M455), AO$4&lt;&gt;DATE(2025,7,4)), (SWITCH(weekday(AO$4), 1, 0, 2, if(ISBLANK('2025'!$P455), 0, 1), 3, if(ISBLANK('2025'!$Q455), 0, 1), 4, if(ISBLANK('2025'!$R455), 0, 1), 5, if(ISBLANK('2025'!$S455), 0, 1), 6, if(ISBLANK('2025'!$T455), 0, 1), 7, 0))), 1, "")</f>
        <v/>
      </c>
      <c r="AP492" s="1" t="str">
        <f>IF(AND(AND(AND(AP$4&gt;='2025'!$L455,AP$4&lt;='2025'!$M455), AP$4&lt;&gt;DATE(2025,7,4)), (SWITCH(weekday(AP$4), 1, 0, 2, if(ISBLANK('2025'!$P455), 0, 1), 3, if(ISBLANK('2025'!$Q455), 0, 1), 4, if(ISBLANK('2025'!$R455), 0, 1), 5, if(ISBLANK('2025'!$S455), 0, 1), 6, if(ISBLANK('2025'!$T455), 0, 1), 7, 0))), 1, "")</f>
        <v/>
      </c>
      <c r="AQ492" s="1" t="str">
        <f>IF(AND(AND(AND(AQ$4&gt;='2025'!$L455,AQ$4&lt;='2025'!$M455), AQ$4&lt;&gt;DATE(2025,7,4)), (SWITCH(weekday(AQ$4), 1, 0, 2, if(ISBLANK('2025'!$P455), 0, 1), 3, if(ISBLANK('2025'!$Q455), 0, 1), 4, if(ISBLANK('2025'!$R455), 0, 1), 5, if(ISBLANK('2025'!$S455), 0, 1), 6, if(ISBLANK('2025'!$T455), 0, 1), 7, 0))), 1, "")</f>
        <v/>
      </c>
      <c r="AR492" s="1" t="str">
        <f>IF(AND(AND(AND(AR$4&gt;='2025'!$L455,AR$4&lt;='2025'!$M455), AR$4&lt;&gt;DATE(2025,7,4)), (SWITCH(weekday(AR$4), 1, 0, 2, if(ISBLANK('2025'!$P455), 0, 1), 3, if(ISBLANK('2025'!$Q455), 0, 1), 4, if(ISBLANK('2025'!$R455), 0, 1), 5, if(ISBLANK('2025'!$S455), 0, 1), 6, if(ISBLANK('2025'!$T455), 0, 1), 7, 0))), 1, "")</f>
        <v/>
      </c>
      <c r="AS492" s="1" t="str">
        <f>IF(AND(AND(AND(AS$4&gt;='2025'!$L455,AS$4&lt;='2025'!$M455), AS$4&lt;&gt;DATE(2025,7,4)), (SWITCH(weekday(AS$4), 1, 0, 2, if(ISBLANK('2025'!$P455), 0, 1), 3, if(ISBLANK('2025'!$Q455), 0, 1), 4, if(ISBLANK('2025'!$R455), 0, 1), 5, if(ISBLANK('2025'!$S455), 0, 1), 6, if(ISBLANK('2025'!$T455), 0, 1), 7, 0))), 1, "")</f>
        <v/>
      </c>
      <c r="AT492" s="1" t="str">
        <f>IF(AND(AND(AND(AT$4&gt;='2025'!$L455,AT$4&lt;='2025'!$M455), AT$4&lt;&gt;DATE(2025,7,4)), (SWITCH(weekday(AT$4), 1, 0, 2, if(ISBLANK('2025'!$P455), 0, 1), 3, if(ISBLANK('2025'!$Q455), 0, 1), 4, if(ISBLANK('2025'!$R455), 0, 1), 5, if(ISBLANK('2025'!$S455), 0, 1), 6, if(ISBLANK('2025'!$T455), 0, 1), 7, 0))), 1, "")</f>
        <v/>
      </c>
      <c r="AU492" s="1" t="str">
        <f>IF(AND(AND(AND(AU$4&gt;='2025'!$L455,AU$4&lt;='2025'!$M455), AU$4&lt;&gt;DATE(2025,7,4)), (SWITCH(weekday(AU$4), 1, 0, 2, if(ISBLANK('2025'!$P455), 0, 1), 3, if(ISBLANK('2025'!$Q455), 0, 1), 4, if(ISBLANK('2025'!$R455), 0, 1), 5, if(ISBLANK('2025'!$S455), 0, 1), 6, if(ISBLANK('2025'!$T455), 0, 1), 7, 0))), 1, "")</f>
        <v/>
      </c>
      <c r="AV492" s="1" t="str">
        <f>IF(AND(AND(AND(AV$4&gt;='2025'!$L455,AV$4&lt;='2025'!$M455), AV$4&lt;&gt;DATE(2025,7,4)), (SWITCH(weekday(AV$4), 1, 0, 2, if(ISBLANK('2025'!$P455), 0, 1), 3, if(ISBLANK('2025'!$Q455), 0, 1), 4, if(ISBLANK('2025'!$R455), 0, 1), 5, if(ISBLANK('2025'!$S455), 0, 1), 6, if(ISBLANK('2025'!$T455), 0, 1), 7, 0))), 1, "")</f>
        <v/>
      </c>
      <c r="AW492" s="1" t="str">
        <f>IF(AND(AND(AND(AW$4&gt;='2025'!$L455,AW$4&lt;='2025'!$M455), AW$4&lt;&gt;DATE(2025,7,4)), (SWITCH(weekday(AW$4), 1, 0, 2, if(ISBLANK('2025'!$P455), 0, 1), 3, if(ISBLANK('2025'!$Q455), 0, 1), 4, if(ISBLANK('2025'!$R455), 0, 1), 5, if(ISBLANK('2025'!$S455), 0, 1), 6, if(ISBLANK('2025'!$T455), 0, 1), 7, 0))), 1, "")</f>
        <v/>
      </c>
      <c r="AX492" s="1" t="str">
        <f>IF(AND(AND(AND(AX$4&gt;='2025'!$L455,AX$4&lt;='2025'!$M455), AX$4&lt;&gt;DATE(2025,7,4)), (SWITCH(weekday(AX$4), 1, 0, 2, if(ISBLANK('2025'!$P455), 0, 1), 3, if(ISBLANK('2025'!$Q455), 0, 1), 4, if(ISBLANK('2025'!$R455), 0, 1), 5, if(ISBLANK('2025'!$S455), 0, 1), 6, if(ISBLANK('2025'!$T455), 0, 1), 7, 0))), 1, "")</f>
        <v/>
      </c>
      <c r="AY492" s="1" t="str">
        <f>IF(AND(AND(AND(AY$4&gt;='2025'!$L455,AY$4&lt;='2025'!$M455), AY$4&lt;&gt;DATE(2025,7,4)), (SWITCH(weekday(AY$4), 1, 0, 2, if(ISBLANK('2025'!$P455), 0, 1), 3, if(ISBLANK('2025'!$Q455), 0, 1), 4, if(ISBLANK('2025'!$R455), 0, 1), 5, if(ISBLANK('2025'!$S455), 0, 1), 6, if(ISBLANK('2025'!$T455), 0, 1), 7, 0))), 1, "")</f>
        <v/>
      </c>
      <c r="AZ492" s="1" t="str">
        <f>IF(AND(AND(AND(AZ$4&gt;='2025'!$L455,AZ$4&lt;='2025'!$M455), AZ$4&lt;&gt;DATE(2025,7,4)), (SWITCH(weekday(AZ$4), 1, 0, 2, if(ISBLANK('2025'!$P455), 0, 1), 3, if(ISBLANK('2025'!$Q455), 0, 1), 4, if(ISBLANK('2025'!$R455), 0, 1), 5, if(ISBLANK('2025'!$S455), 0, 1), 6, if(ISBLANK('2025'!$T455), 0, 1), 7, 0))), 1, "")</f>
        <v/>
      </c>
      <c r="BA492" s="1" t="str">
        <f>IF(AND(AND(AND(BA$4&gt;='2025'!$L455,BA$4&lt;='2025'!$M455), BA$4&lt;&gt;DATE(2025,7,4)), (SWITCH(weekday(BA$4), 1, 0, 2, if(ISBLANK('2025'!$P455), 0, 1), 3, if(ISBLANK('2025'!$Q455), 0, 1), 4, if(ISBLANK('2025'!$R455), 0, 1), 5, if(ISBLANK('2025'!$S455), 0, 1), 6, if(ISBLANK('2025'!$T455), 0, 1), 7, 0))), 1, "")</f>
        <v/>
      </c>
      <c r="BB492" s="1" t="str">
        <f>IF(AND(AND(AND(BB$4&gt;='2025'!$L455,BB$4&lt;='2025'!$M455), BB$4&lt;&gt;DATE(2025,7,4)), (SWITCH(weekday(BB$4), 1, 0, 2, if(ISBLANK('2025'!$P455), 0, 1), 3, if(ISBLANK('2025'!$Q455), 0, 1), 4, if(ISBLANK('2025'!$R455), 0, 1), 5, if(ISBLANK('2025'!$S455), 0, 1), 6, if(ISBLANK('2025'!$T455), 0, 1), 7, 0))), 1, "")</f>
        <v/>
      </c>
      <c r="BC492" s="1" t="str">
        <f>IF(AND(AND(AND(BC$4&gt;='2025'!$L455,BC$4&lt;='2025'!$M455), BC$4&lt;&gt;DATE(2025,7,4)), (SWITCH(weekday(BC$4), 1, 0, 2, if(ISBLANK('2025'!$P455), 0, 1), 3, if(ISBLANK('2025'!$Q455), 0, 1), 4, if(ISBLANK('2025'!$R455), 0, 1), 5, if(ISBLANK('2025'!$S455), 0, 1), 6, if(ISBLANK('2025'!$T455), 0, 1), 7, 0))), 1, "")</f>
        <v/>
      </c>
      <c r="BD492" s="1" t="str">
        <f>IF(AND(AND(AND(BD$4&gt;='2025'!$L455,BD$4&lt;='2025'!$M455), BD$4&lt;&gt;DATE(2025,7,4)), (SWITCH(weekday(BD$4), 1, 0, 2, if(ISBLANK('2025'!$P455), 0, 1), 3, if(ISBLANK('2025'!$Q455), 0, 1), 4, if(ISBLANK('2025'!$R455), 0, 1), 5, if(ISBLANK('2025'!$S455), 0, 1), 6, if(ISBLANK('2025'!$T455), 0, 1), 7, 0))), 1, "")</f>
        <v/>
      </c>
      <c r="BE492" s="1" t="str">
        <f>IF(AND(AND(AND(BE$4&gt;='2025'!$L455,BE$4&lt;='2025'!$M455), BE$4&lt;&gt;DATE(2025,7,4)), (SWITCH(weekday(BE$4), 1, 0, 2, if(ISBLANK('2025'!$P455), 0, 1), 3, if(ISBLANK('2025'!$Q455), 0, 1), 4, if(ISBLANK('2025'!$R455), 0, 1), 5, if(ISBLANK('2025'!$S455), 0, 1), 6, if(ISBLANK('2025'!$T455), 0, 1), 7, 0))), 1, "")</f>
        <v/>
      </c>
    </row>
    <row r="493">
      <c r="A493" s="1">
        <f t="shared" si="3"/>
        <v>493</v>
      </c>
      <c r="B493" s="1" t="str">
        <f>'2025'!D456</f>
        <v/>
      </c>
      <c r="C493" s="1" t="str">
        <f>'2025'!H456</f>
        <v/>
      </c>
      <c r="D493" s="1" t="str">
        <f>IF(AND(AND(AND(D$4&gt;='2025'!$L456,D$4&lt;='2025'!$M456), D$4&lt;&gt;DATE(2025,7,4)), (SWITCH(weekday(D$4), 1, 0, 2, if(ISBLANK('2025'!$P456), 0, 1), 3, if(ISBLANK('2025'!$Q456), 0, 1), 4, if(ISBLANK('2025'!$R456), 0, 1), 5, if(ISBLANK('2025'!$S456), 0, 1), 6, if(ISBLANK('2025'!$T456), 0, 1), 7, 0))), 1, "")</f>
        <v/>
      </c>
      <c r="E493" s="1" t="str">
        <f>IF(AND(AND(AND(E$4&gt;='2025'!$L456,E$4&lt;='2025'!$M456), E$4&lt;&gt;DATE(2025,7,4)), (SWITCH(weekday(E$4), 1, 0, 2, if(ISBLANK('2025'!$P456), 0, 1), 3, if(ISBLANK('2025'!$Q456), 0, 1), 4, if(ISBLANK('2025'!$R456), 0, 1), 5, if(ISBLANK('2025'!$S456), 0, 1), 6, if(ISBLANK('2025'!$T456), 0, 1), 7, 0))), 1, "")</f>
        <v/>
      </c>
      <c r="F493" s="1" t="str">
        <f>IF(AND(AND(AND(F$4&gt;='2025'!$L456,F$4&lt;='2025'!$M456), F$4&lt;&gt;DATE(2025,7,4)), (SWITCH(weekday(F$4), 1, 0, 2, if(ISBLANK('2025'!$P456), 0, 1), 3, if(ISBLANK('2025'!$Q456), 0, 1), 4, if(ISBLANK('2025'!$R456), 0, 1), 5, if(ISBLANK('2025'!$S456), 0, 1), 6, if(ISBLANK('2025'!$T456), 0, 1), 7, 0))), 1, "")</f>
        <v/>
      </c>
      <c r="G493" s="1" t="str">
        <f>IF(AND(AND(AND(G$4&gt;='2025'!$L456,G$4&lt;='2025'!$M456), G$4&lt;&gt;DATE(2025,7,4)), (SWITCH(weekday(G$4), 1, 0, 2, if(ISBLANK('2025'!$P456), 0, 1), 3, if(ISBLANK('2025'!$Q456), 0, 1), 4, if(ISBLANK('2025'!$R456), 0, 1), 5, if(ISBLANK('2025'!$S456), 0, 1), 6, if(ISBLANK('2025'!$T456), 0, 1), 7, 0))), 1, "")</f>
        <v/>
      </c>
      <c r="H493" s="1" t="str">
        <f>IF(AND(AND(AND(H$4&gt;='2025'!$L456,H$4&lt;='2025'!$M456), H$4&lt;&gt;DATE(2025,7,4)), (SWITCH(weekday(H$4), 1, 0, 2, if(ISBLANK('2025'!$P456), 0, 1), 3, if(ISBLANK('2025'!$Q456), 0, 1), 4, if(ISBLANK('2025'!$R456), 0, 1), 5, if(ISBLANK('2025'!$S456), 0, 1), 6, if(ISBLANK('2025'!$T456), 0, 1), 7, 0))), 1, "")</f>
        <v/>
      </c>
      <c r="I493" s="1" t="str">
        <f>IF(AND(AND(AND(I$4&gt;='2025'!$L456,I$4&lt;='2025'!$M456), I$4&lt;&gt;DATE(2025,7,4)), (SWITCH(weekday(I$4), 1, 0, 2, if(ISBLANK('2025'!$P456), 0, 1), 3, if(ISBLANK('2025'!$Q456), 0, 1), 4, if(ISBLANK('2025'!$R456), 0, 1), 5, if(ISBLANK('2025'!$S456), 0, 1), 6, if(ISBLANK('2025'!$T456), 0, 1), 7, 0))), 1, "")</f>
        <v/>
      </c>
      <c r="J493" s="1" t="str">
        <f>IF(AND(AND(AND(J$4&gt;='2025'!$L456,J$4&lt;='2025'!$M456), J$4&lt;&gt;DATE(2025,7,4)), (SWITCH(weekday(J$4), 1, 0, 2, if(ISBLANK('2025'!$P456), 0, 1), 3, if(ISBLANK('2025'!$Q456), 0, 1), 4, if(ISBLANK('2025'!$R456), 0, 1), 5, if(ISBLANK('2025'!$S456), 0, 1), 6, if(ISBLANK('2025'!$T456), 0, 1), 7, 0))), 1, "")</f>
        <v/>
      </c>
      <c r="K493" s="1" t="str">
        <f>IF(AND(AND(AND(K$4&gt;='2025'!$L456,K$4&lt;='2025'!$M456), K$4&lt;&gt;DATE(2025,7,4)), (SWITCH(weekday(K$4), 1, 0, 2, if(ISBLANK('2025'!$P456), 0, 1), 3, if(ISBLANK('2025'!$Q456), 0, 1), 4, if(ISBLANK('2025'!$R456), 0, 1), 5, if(ISBLANK('2025'!$S456), 0, 1), 6, if(ISBLANK('2025'!$T456), 0, 1), 7, 0))), 1, "")</f>
        <v/>
      </c>
      <c r="L493" s="1" t="str">
        <f>IF(AND(AND(AND(L$4&gt;='2025'!$L456,L$4&lt;='2025'!$M456), L$4&lt;&gt;DATE(2025,7,4)), (SWITCH(weekday(L$4), 1, 0, 2, if(ISBLANK('2025'!$P456), 0, 1), 3, if(ISBLANK('2025'!$Q456), 0, 1), 4, if(ISBLANK('2025'!$R456), 0, 1), 5, if(ISBLANK('2025'!$S456), 0, 1), 6, if(ISBLANK('2025'!$T456), 0, 1), 7, 0))), 1, "")</f>
        <v/>
      </c>
      <c r="M493" s="1" t="str">
        <f>IF(AND(AND(AND(M$4&gt;='2025'!$L456,M$4&lt;='2025'!$M456), M$4&lt;&gt;DATE(2025,7,4)), (SWITCH(weekday(M$4), 1, 0, 2, if(ISBLANK('2025'!$P456), 0, 1), 3, if(ISBLANK('2025'!$Q456), 0, 1), 4, if(ISBLANK('2025'!$R456), 0, 1), 5, if(ISBLANK('2025'!$S456), 0, 1), 6, if(ISBLANK('2025'!$T456), 0, 1), 7, 0))), 1, "")</f>
        <v/>
      </c>
      <c r="N493" s="1" t="str">
        <f>IF(AND(AND(AND(N$4&gt;='2025'!$L456,N$4&lt;='2025'!$M456), N$4&lt;&gt;DATE(2025,7,4)), (SWITCH(weekday(N$4), 1, 0, 2, if(ISBLANK('2025'!$P456), 0, 1), 3, if(ISBLANK('2025'!$Q456), 0, 1), 4, if(ISBLANK('2025'!$R456), 0, 1), 5, if(ISBLANK('2025'!$S456), 0, 1), 6, if(ISBLANK('2025'!$T456), 0, 1), 7, 0))), 1, "")</f>
        <v/>
      </c>
      <c r="O493" s="1" t="str">
        <f>IF(AND(AND(AND(O$4&gt;='2025'!$L456,O$4&lt;='2025'!$M456), O$4&lt;&gt;DATE(2025,7,4)), (SWITCH(weekday(O$4), 1, 0, 2, if(ISBLANK('2025'!$P456), 0, 1), 3, if(ISBLANK('2025'!$Q456), 0, 1), 4, if(ISBLANK('2025'!$R456), 0, 1), 5, if(ISBLANK('2025'!$S456), 0, 1), 6, if(ISBLANK('2025'!$T456), 0, 1), 7, 0))), 1, "")</f>
        <v/>
      </c>
      <c r="P493" s="1" t="str">
        <f>IF(AND(AND(AND(P$4&gt;='2025'!$L456,P$4&lt;='2025'!$M456), P$4&lt;&gt;DATE(2025,7,4)), (SWITCH(weekday(P$4), 1, 0, 2, if(ISBLANK('2025'!$P456), 0, 1), 3, if(ISBLANK('2025'!$Q456), 0, 1), 4, if(ISBLANK('2025'!$R456), 0, 1), 5, if(ISBLANK('2025'!$S456), 0, 1), 6, if(ISBLANK('2025'!$T456), 0, 1), 7, 0))), 1, "")</f>
        <v/>
      </c>
      <c r="Q493" s="1" t="str">
        <f>IF(AND(AND(AND(Q$4&gt;='2025'!$L456,Q$4&lt;='2025'!$M456), Q$4&lt;&gt;DATE(2025,7,4)), (SWITCH(weekday(Q$4), 1, 0, 2, if(ISBLANK('2025'!$P456), 0, 1), 3, if(ISBLANK('2025'!$Q456), 0, 1), 4, if(ISBLANK('2025'!$R456), 0, 1), 5, if(ISBLANK('2025'!$S456), 0, 1), 6, if(ISBLANK('2025'!$T456), 0, 1), 7, 0))), 1, "")</f>
        <v/>
      </c>
      <c r="R493" s="1" t="str">
        <f>IF(AND(AND(AND(R$4&gt;='2025'!$L456,R$4&lt;='2025'!$M456), R$4&lt;&gt;DATE(2025,7,4)), (SWITCH(weekday(R$4), 1, 0, 2, if(ISBLANK('2025'!$P456), 0, 1), 3, if(ISBLANK('2025'!$Q456), 0, 1), 4, if(ISBLANK('2025'!$R456), 0, 1), 5, if(ISBLANK('2025'!$S456), 0, 1), 6, if(ISBLANK('2025'!$T456), 0, 1), 7, 0))), 1, "")</f>
        <v/>
      </c>
      <c r="S493" s="1" t="str">
        <f>IF(AND(AND(AND(S$4&gt;='2025'!$L456,S$4&lt;='2025'!$M456), S$4&lt;&gt;DATE(2025,7,4)), (SWITCH(weekday(S$4), 1, 0, 2, if(ISBLANK('2025'!$P456), 0, 1), 3, if(ISBLANK('2025'!$Q456), 0, 1), 4, if(ISBLANK('2025'!$R456), 0, 1), 5, if(ISBLANK('2025'!$S456), 0, 1), 6, if(ISBLANK('2025'!$T456), 0, 1), 7, 0))), 1, "")</f>
        <v/>
      </c>
      <c r="T493" s="1" t="str">
        <f>IF(AND(AND(AND(T$4&gt;='2025'!$L456,T$4&lt;='2025'!$M456), T$4&lt;&gt;DATE(2025,7,4)), (SWITCH(weekday(T$4), 1, 0, 2, if(ISBLANK('2025'!$P456), 0, 1), 3, if(ISBLANK('2025'!$Q456), 0, 1), 4, if(ISBLANK('2025'!$R456), 0, 1), 5, if(ISBLANK('2025'!$S456), 0, 1), 6, if(ISBLANK('2025'!$T456), 0, 1), 7, 0))), 1, "")</f>
        <v/>
      </c>
      <c r="U493" s="1" t="str">
        <f>IF(AND(AND(AND(U$4&gt;='2025'!$L456,U$4&lt;='2025'!$M456), U$4&lt;&gt;DATE(2025,7,4)), (SWITCH(weekday(U$4), 1, 0, 2, if(ISBLANK('2025'!$P456), 0, 1), 3, if(ISBLANK('2025'!$Q456), 0, 1), 4, if(ISBLANK('2025'!$R456), 0, 1), 5, if(ISBLANK('2025'!$S456), 0, 1), 6, if(ISBLANK('2025'!$T456), 0, 1), 7, 0))), 1, "")</f>
        <v/>
      </c>
      <c r="V493" s="1" t="str">
        <f>IF(AND(AND(AND(V$4&gt;='2025'!$L456,V$4&lt;='2025'!$M456), V$4&lt;&gt;DATE(2025,7,4)), (SWITCH(weekday(V$4), 1, 0, 2, if(ISBLANK('2025'!$P456), 0, 1), 3, if(ISBLANK('2025'!$Q456), 0, 1), 4, if(ISBLANK('2025'!$R456), 0, 1), 5, if(ISBLANK('2025'!$S456), 0, 1), 6, if(ISBLANK('2025'!$T456), 0, 1), 7, 0))), 1, "")</f>
        <v/>
      </c>
      <c r="W493" s="1" t="str">
        <f>IF(AND(AND(AND(W$4&gt;='2025'!$L456,W$4&lt;='2025'!$M456), W$4&lt;&gt;DATE(2025,7,4)), (SWITCH(weekday(W$4), 1, 0, 2, if(ISBLANK('2025'!$P456), 0, 1), 3, if(ISBLANK('2025'!$Q456), 0, 1), 4, if(ISBLANK('2025'!$R456), 0, 1), 5, if(ISBLANK('2025'!$S456), 0, 1), 6, if(ISBLANK('2025'!$T456), 0, 1), 7, 0))), 1, "")</f>
        <v/>
      </c>
      <c r="X493" s="1" t="str">
        <f>IF(AND(AND(AND(X$4&gt;='2025'!$L456,X$4&lt;='2025'!$M456), X$4&lt;&gt;DATE(2025,7,4)), (SWITCH(weekday(X$4), 1, 0, 2, if(ISBLANK('2025'!$P456), 0, 1), 3, if(ISBLANK('2025'!$Q456), 0, 1), 4, if(ISBLANK('2025'!$R456), 0, 1), 5, if(ISBLANK('2025'!$S456), 0, 1), 6, if(ISBLANK('2025'!$T456), 0, 1), 7, 0))), 1, "")</f>
        <v/>
      </c>
      <c r="Y493" s="1" t="str">
        <f>IF(AND(AND(AND(Y$4&gt;='2025'!$L456,Y$4&lt;='2025'!$M456), Y$4&lt;&gt;DATE(2025,7,4)), (SWITCH(weekday(Y$4), 1, 0, 2, if(ISBLANK('2025'!$P456), 0, 1), 3, if(ISBLANK('2025'!$Q456), 0, 1), 4, if(ISBLANK('2025'!$R456), 0, 1), 5, if(ISBLANK('2025'!$S456), 0, 1), 6, if(ISBLANK('2025'!$T456), 0, 1), 7, 0))), 1, "")</f>
        <v/>
      </c>
      <c r="Z493" s="1" t="str">
        <f>IF(AND(AND(AND(Z$4&gt;='2025'!$L456,Z$4&lt;='2025'!$M456), Z$4&lt;&gt;DATE(2025,7,4)), (SWITCH(weekday(Z$4), 1, 0, 2, if(ISBLANK('2025'!$P456), 0, 1), 3, if(ISBLANK('2025'!$Q456), 0, 1), 4, if(ISBLANK('2025'!$R456), 0, 1), 5, if(ISBLANK('2025'!$S456), 0, 1), 6, if(ISBLANK('2025'!$T456), 0, 1), 7, 0))), 1, "")</f>
        <v/>
      </c>
      <c r="AA493" s="1" t="str">
        <f>IF(AND(AND(AND(AA$4&gt;='2025'!$L456,AA$4&lt;='2025'!$M456), AA$4&lt;&gt;DATE(2025,7,4)), (SWITCH(weekday(AA$4), 1, 0, 2, if(ISBLANK('2025'!$P456), 0, 1), 3, if(ISBLANK('2025'!$Q456), 0, 1), 4, if(ISBLANK('2025'!$R456), 0, 1), 5, if(ISBLANK('2025'!$S456), 0, 1), 6, if(ISBLANK('2025'!$T456), 0, 1), 7, 0))), 1, "")</f>
        <v/>
      </c>
      <c r="AB493" s="1" t="str">
        <f>IF(AND(AND(AND(AB$4&gt;='2025'!$L456,AB$4&lt;='2025'!$M456), AB$4&lt;&gt;DATE(2025,7,4)), (SWITCH(weekday(AB$4), 1, 0, 2, if(ISBLANK('2025'!$P456), 0, 1), 3, if(ISBLANK('2025'!$Q456), 0, 1), 4, if(ISBLANK('2025'!$R456), 0, 1), 5, if(ISBLANK('2025'!$S456), 0, 1), 6, if(ISBLANK('2025'!$T456), 0, 1), 7, 0))), 1, "")</f>
        <v/>
      </c>
      <c r="AC493" s="1" t="str">
        <f>IF(AND(AND(AND(AC$4&gt;='2025'!$L456,AC$4&lt;='2025'!$M456), AC$4&lt;&gt;DATE(2025,7,4)), (SWITCH(weekday(AC$4), 1, 0, 2, if(ISBLANK('2025'!$P456), 0, 1), 3, if(ISBLANK('2025'!$Q456), 0, 1), 4, if(ISBLANK('2025'!$R456), 0, 1), 5, if(ISBLANK('2025'!$S456), 0, 1), 6, if(ISBLANK('2025'!$T456), 0, 1), 7, 0))), 1, "")</f>
        <v/>
      </c>
      <c r="AD493" s="1" t="str">
        <f>IF(AND(AND(AND(AD$4&gt;='2025'!$L456,AD$4&lt;='2025'!$M456), AD$4&lt;&gt;DATE(2025,7,4)), (SWITCH(weekday(AD$4), 1, 0, 2, if(ISBLANK('2025'!$P456), 0, 1), 3, if(ISBLANK('2025'!$Q456), 0, 1), 4, if(ISBLANK('2025'!$R456), 0, 1), 5, if(ISBLANK('2025'!$S456), 0, 1), 6, if(ISBLANK('2025'!$T456), 0, 1), 7, 0))), 1, "")</f>
        <v/>
      </c>
      <c r="AE493" s="1" t="str">
        <f>IF(AND(AND(AND(AE$4&gt;='2025'!$L456,AE$4&lt;='2025'!$M456), AE$4&lt;&gt;DATE(2025,7,4)), (SWITCH(weekday(AE$4), 1, 0, 2, if(ISBLANK('2025'!$P456), 0, 1), 3, if(ISBLANK('2025'!$Q456), 0, 1), 4, if(ISBLANK('2025'!$R456), 0, 1), 5, if(ISBLANK('2025'!$S456), 0, 1), 6, if(ISBLANK('2025'!$T456), 0, 1), 7, 0))), 1, "")</f>
        <v/>
      </c>
      <c r="AF493" s="1" t="str">
        <f>IF(AND(AND(AND(AF$4&gt;='2025'!$L456,AF$4&lt;='2025'!$M456), AF$4&lt;&gt;DATE(2025,7,4)), (SWITCH(weekday(AF$4), 1, 0, 2, if(ISBLANK('2025'!$P456), 0, 1), 3, if(ISBLANK('2025'!$Q456), 0, 1), 4, if(ISBLANK('2025'!$R456), 0, 1), 5, if(ISBLANK('2025'!$S456), 0, 1), 6, if(ISBLANK('2025'!$T456), 0, 1), 7, 0))), 1, "")</f>
        <v/>
      </c>
      <c r="AG493" s="1" t="str">
        <f>IF(AND(AND(AND(AG$4&gt;='2025'!$L456,AG$4&lt;='2025'!$M456), AG$4&lt;&gt;DATE(2025,7,4)), (SWITCH(weekday(AG$4), 1, 0, 2, if(ISBLANK('2025'!$P456), 0, 1), 3, if(ISBLANK('2025'!$Q456), 0, 1), 4, if(ISBLANK('2025'!$R456), 0, 1), 5, if(ISBLANK('2025'!$S456), 0, 1), 6, if(ISBLANK('2025'!$T456), 0, 1), 7, 0))), 1, "")</f>
        <v/>
      </c>
      <c r="AH493" s="1" t="str">
        <f>IF(AND(AND(AND(AH$4&gt;='2025'!$L456,AH$4&lt;='2025'!$M456), AH$4&lt;&gt;DATE(2025,7,4)), (SWITCH(weekday(AH$4), 1, 0, 2, if(ISBLANK('2025'!$P456), 0, 1), 3, if(ISBLANK('2025'!$Q456), 0, 1), 4, if(ISBLANK('2025'!$R456), 0, 1), 5, if(ISBLANK('2025'!$S456), 0, 1), 6, if(ISBLANK('2025'!$T456), 0, 1), 7, 0))), 1, "")</f>
        <v/>
      </c>
      <c r="AI493" s="1" t="str">
        <f>IF(AND(AND(AND(AI$4&gt;='2025'!$L456,AI$4&lt;='2025'!$M456), AI$4&lt;&gt;DATE(2025,7,4)), (SWITCH(weekday(AI$4), 1, 0, 2, if(ISBLANK('2025'!$P456), 0, 1), 3, if(ISBLANK('2025'!$Q456), 0, 1), 4, if(ISBLANK('2025'!$R456), 0, 1), 5, if(ISBLANK('2025'!$S456), 0, 1), 6, if(ISBLANK('2025'!$T456), 0, 1), 7, 0))), 1, "")</f>
        <v/>
      </c>
      <c r="AJ493" s="1" t="str">
        <f>IF(AND(AND(AND(AJ$4&gt;='2025'!$L456,AJ$4&lt;='2025'!$M456), AJ$4&lt;&gt;DATE(2025,7,4)), (SWITCH(weekday(AJ$4), 1, 0, 2, if(ISBLANK('2025'!$P456), 0, 1), 3, if(ISBLANK('2025'!$Q456), 0, 1), 4, if(ISBLANK('2025'!$R456), 0, 1), 5, if(ISBLANK('2025'!$S456), 0, 1), 6, if(ISBLANK('2025'!$T456), 0, 1), 7, 0))), 1, "")</f>
        <v/>
      </c>
      <c r="AK493" s="1" t="str">
        <f>IF(AND(AND(AND(AK$4&gt;='2025'!$L456,AK$4&lt;='2025'!$M456), AK$4&lt;&gt;DATE(2025,7,4)), (SWITCH(weekday(AK$4), 1, 0, 2, if(ISBLANK('2025'!$P456), 0, 1), 3, if(ISBLANK('2025'!$Q456), 0, 1), 4, if(ISBLANK('2025'!$R456), 0, 1), 5, if(ISBLANK('2025'!$S456), 0, 1), 6, if(ISBLANK('2025'!$T456), 0, 1), 7, 0))), 1, "")</f>
        <v/>
      </c>
      <c r="AL493" s="1" t="str">
        <f>IF(AND(AND(AND(AL$4&gt;='2025'!$L456,AL$4&lt;='2025'!$M456), AL$4&lt;&gt;DATE(2025,7,4)), (SWITCH(weekday(AL$4), 1, 0, 2, if(ISBLANK('2025'!$P456), 0, 1), 3, if(ISBLANK('2025'!$Q456), 0, 1), 4, if(ISBLANK('2025'!$R456), 0, 1), 5, if(ISBLANK('2025'!$S456), 0, 1), 6, if(ISBLANK('2025'!$T456), 0, 1), 7, 0))), 1, "")</f>
        <v/>
      </c>
      <c r="AM493" s="1" t="str">
        <f>IF(AND(AND(AND(AM$4&gt;='2025'!$L456,AM$4&lt;='2025'!$M456), AM$4&lt;&gt;DATE(2025,7,4)), (SWITCH(weekday(AM$4), 1, 0, 2, if(ISBLANK('2025'!$P456), 0, 1), 3, if(ISBLANK('2025'!$Q456), 0, 1), 4, if(ISBLANK('2025'!$R456), 0, 1), 5, if(ISBLANK('2025'!$S456), 0, 1), 6, if(ISBLANK('2025'!$T456), 0, 1), 7, 0))), 1, "")</f>
        <v/>
      </c>
      <c r="AN493" s="1" t="str">
        <f>IF(AND(AND(AND(AN$4&gt;='2025'!$L456,AN$4&lt;='2025'!$M456), AN$4&lt;&gt;DATE(2025,7,4)), (SWITCH(weekday(AN$4), 1, 0, 2, if(ISBLANK('2025'!$P456), 0, 1), 3, if(ISBLANK('2025'!$Q456), 0, 1), 4, if(ISBLANK('2025'!$R456), 0, 1), 5, if(ISBLANK('2025'!$S456), 0, 1), 6, if(ISBLANK('2025'!$T456), 0, 1), 7, 0))), 1, "")</f>
        <v/>
      </c>
      <c r="AO493" s="1" t="str">
        <f>IF(AND(AND(AND(AO$4&gt;='2025'!$L456,AO$4&lt;='2025'!$M456), AO$4&lt;&gt;DATE(2025,7,4)), (SWITCH(weekday(AO$4), 1, 0, 2, if(ISBLANK('2025'!$P456), 0, 1), 3, if(ISBLANK('2025'!$Q456), 0, 1), 4, if(ISBLANK('2025'!$R456), 0, 1), 5, if(ISBLANK('2025'!$S456), 0, 1), 6, if(ISBLANK('2025'!$T456), 0, 1), 7, 0))), 1, "")</f>
        <v/>
      </c>
      <c r="AP493" s="1" t="str">
        <f>IF(AND(AND(AND(AP$4&gt;='2025'!$L456,AP$4&lt;='2025'!$M456), AP$4&lt;&gt;DATE(2025,7,4)), (SWITCH(weekday(AP$4), 1, 0, 2, if(ISBLANK('2025'!$P456), 0, 1), 3, if(ISBLANK('2025'!$Q456), 0, 1), 4, if(ISBLANK('2025'!$R456), 0, 1), 5, if(ISBLANK('2025'!$S456), 0, 1), 6, if(ISBLANK('2025'!$T456), 0, 1), 7, 0))), 1, "")</f>
        <v/>
      </c>
      <c r="AQ493" s="1" t="str">
        <f>IF(AND(AND(AND(AQ$4&gt;='2025'!$L456,AQ$4&lt;='2025'!$M456), AQ$4&lt;&gt;DATE(2025,7,4)), (SWITCH(weekday(AQ$4), 1, 0, 2, if(ISBLANK('2025'!$P456), 0, 1), 3, if(ISBLANK('2025'!$Q456), 0, 1), 4, if(ISBLANK('2025'!$R456), 0, 1), 5, if(ISBLANK('2025'!$S456), 0, 1), 6, if(ISBLANK('2025'!$T456), 0, 1), 7, 0))), 1, "")</f>
        <v/>
      </c>
      <c r="AR493" s="1" t="str">
        <f>IF(AND(AND(AND(AR$4&gt;='2025'!$L456,AR$4&lt;='2025'!$M456), AR$4&lt;&gt;DATE(2025,7,4)), (SWITCH(weekday(AR$4), 1, 0, 2, if(ISBLANK('2025'!$P456), 0, 1), 3, if(ISBLANK('2025'!$Q456), 0, 1), 4, if(ISBLANK('2025'!$R456), 0, 1), 5, if(ISBLANK('2025'!$S456), 0, 1), 6, if(ISBLANK('2025'!$T456), 0, 1), 7, 0))), 1, "")</f>
        <v/>
      </c>
      <c r="AS493" s="1" t="str">
        <f>IF(AND(AND(AND(AS$4&gt;='2025'!$L456,AS$4&lt;='2025'!$M456), AS$4&lt;&gt;DATE(2025,7,4)), (SWITCH(weekday(AS$4), 1, 0, 2, if(ISBLANK('2025'!$P456), 0, 1), 3, if(ISBLANK('2025'!$Q456), 0, 1), 4, if(ISBLANK('2025'!$R456), 0, 1), 5, if(ISBLANK('2025'!$S456), 0, 1), 6, if(ISBLANK('2025'!$T456), 0, 1), 7, 0))), 1, "")</f>
        <v/>
      </c>
      <c r="AT493" s="1" t="str">
        <f>IF(AND(AND(AND(AT$4&gt;='2025'!$L456,AT$4&lt;='2025'!$M456), AT$4&lt;&gt;DATE(2025,7,4)), (SWITCH(weekday(AT$4), 1, 0, 2, if(ISBLANK('2025'!$P456), 0, 1), 3, if(ISBLANK('2025'!$Q456), 0, 1), 4, if(ISBLANK('2025'!$R456), 0, 1), 5, if(ISBLANK('2025'!$S456), 0, 1), 6, if(ISBLANK('2025'!$T456), 0, 1), 7, 0))), 1, "")</f>
        <v/>
      </c>
      <c r="AU493" s="1" t="str">
        <f>IF(AND(AND(AND(AU$4&gt;='2025'!$L456,AU$4&lt;='2025'!$M456), AU$4&lt;&gt;DATE(2025,7,4)), (SWITCH(weekday(AU$4), 1, 0, 2, if(ISBLANK('2025'!$P456), 0, 1), 3, if(ISBLANK('2025'!$Q456), 0, 1), 4, if(ISBLANK('2025'!$R456), 0, 1), 5, if(ISBLANK('2025'!$S456), 0, 1), 6, if(ISBLANK('2025'!$T456), 0, 1), 7, 0))), 1, "")</f>
        <v/>
      </c>
      <c r="AV493" s="1" t="str">
        <f>IF(AND(AND(AND(AV$4&gt;='2025'!$L456,AV$4&lt;='2025'!$M456), AV$4&lt;&gt;DATE(2025,7,4)), (SWITCH(weekday(AV$4), 1, 0, 2, if(ISBLANK('2025'!$P456), 0, 1), 3, if(ISBLANK('2025'!$Q456), 0, 1), 4, if(ISBLANK('2025'!$R456), 0, 1), 5, if(ISBLANK('2025'!$S456), 0, 1), 6, if(ISBLANK('2025'!$T456), 0, 1), 7, 0))), 1, "")</f>
        <v/>
      </c>
      <c r="AW493" s="1" t="str">
        <f>IF(AND(AND(AND(AW$4&gt;='2025'!$L456,AW$4&lt;='2025'!$M456), AW$4&lt;&gt;DATE(2025,7,4)), (SWITCH(weekday(AW$4), 1, 0, 2, if(ISBLANK('2025'!$P456), 0, 1), 3, if(ISBLANK('2025'!$Q456), 0, 1), 4, if(ISBLANK('2025'!$R456), 0, 1), 5, if(ISBLANK('2025'!$S456), 0, 1), 6, if(ISBLANK('2025'!$T456), 0, 1), 7, 0))), 1, "")</f>
        <v/>
      </c>
      <c r="AX493" s="1" t="str">
        <f>IF(AND(AND(AND(AX$4&gt;='2025'!$L456,AX$4&lt;='2025'!$M456), AX$4&lt;&gt;DATE(2025,7,4)), (SWITCH(weekday(AX$4), 1, 0, 2, if(ISBLANK('2025'!$P456), 0, 1), 3, if(ISBLANK('2025'!$Q456), 0, 1), 4, if(ISBLANK('2025'!$R456), 0, 1), 5, if(ISBLANK('2025'!$S456), 0, 1), 6, if(ISBLANK('2025'!$T456), 0, 1), 7, 0))), 1, "")</f>
        <v/>
      </c>
      <c r="AY493" s="1" t="str">
        <f>IF(AND(AND(AND(AY$4&gt;='2025'!$L456,AY$4&lt;='2025'!$M456), AY$4&lt;&gt;DATE(2025,7,4)), (SWITCH(weekday(AY$4), 1, 0, 2, if(ISBLANK('2025'!$P456), 0, 1), 3, if(ISBLANK('2025'!$Q456), 0, 1), 4, if(ISBLANK('2025'!$R456), 0, 1), 5, if(ISBLANK('2025'!$S456), 0, 1), 6, if(ISBLANK('2025'!$T456), 0, 1), 7, 0))), 1, "")</f>
        <v/>
      </c>
      <c r="AZ493" s="1" t="str">
        <f>IF(AND(AND(AND(AZ$4&gt;='2025'!$L456,AZ$4&lt;='2025'!$M456), AZ$4&lt;&gt;DATE(2025,7,4)), (SWITCH(weekday(AZ$4), 1, 0, 2, if(ISBLANK('2025'!$P456), 0, 1), 3, if(ISBLANK('2025'!$Q456), 0, 1), 4, if(ISBLANK('2025'!$R456), 0, 1), 5, if(ISBLANK('2025'!$S456), 0, 1), 6, if(ISBLANK('2025'!$T456), 0, 1), 7, 0))), 1, "")</f>
        <v/>
      </c>
      <c r="BA493" s="1" t="str">
        <f>IF(AND(AND(AND(BA$4&gt;='2025'!$L456,BA$4&lt;='2025'!$M456), BA$4&lt;&gt;DATE(2025,7,4)), (SWITCH(weekday(BA$4), 1, 0, 2, if(ISBLANK('2025'!$P456), 0, 1), 3, if(ISBLANK('2025'!$Q456), 0, 1), 4, if(ISBLANK('2025'!$R456), 0, 1), 5, if(ISBLANK('2025'!$S456), 0, 1), 6, if(ISBLANK('2025'!$T456), 0, 1), 7, 0))), 1, "")</f>
        <v/>
      </c>
      <c r="BB493" s="1" t="str">
        <f>IF(AND(AND(AND(BB$4&gt;='2025'!$L456,BB$4&lt;='2025'!$M456), BB$4&lt;&gt;DATE(2025,7,4)), (SWITCH(weekday(BB$4), 1, 0, 2, if(ISBLANK('2025'!$P456), 0, 1), 3, if(ISBLANK('2025'!$Q456), 0, 1), 4, if(ISBLANK('2025'!$R456), 0, 1), 5, if(ISBLANK('2025'!$S456), 0, 1), 6, if(ISBLANK('2025'!$T456), 0, 1), 7, 0))), 1, "")</f>
        <v/>
      </c>
      <c r="BC493" s="1" t="str">
        <f>IF(AND(AND(AND(BC$4&gt;='2025'!$L456,BC$4&lt;='2025'!$M456), BC$4&lt;&gt;DATE(2025,7,4)), (SWITCH(weekday(BC$4), 1, 0, 2, if(ISBLANK('2025'!$P456), 0, 1), 3, if(ISBLANK('2025'!$Q456), 0, 1), 4, if(ISBLANK('2025'!$R456), 0, 1), 5, if(ISBLANK('2025'!$S456), 0, 1), 6, if(ISBLANK('2025'!$T456), 0, 1), 7, 0))), 1, "")</f>
        <v/>
      </c>
      <c r="BD493" s="1" t="str">
        <f>IF(AND(AND(AND(BD$4&gt;='2025'!$L456,BD$4&lt;='2025'!$M456), BD$4&lt;&gt;DATE(2025,7,4)), (SWITCH(weekday(BD$4), 1, 0, 2, if(ISBLANK('2025'!$P456), 0, 1), 3, if(ISBLANK('2025'!$Q456), 0, 1), 4, if(ISBLANK('2025'!$R456), 0, 1), 5, if(ISBLANK('2025'!$S456), 0, 1), 6, if(ISBLANK('2025'!$T456), 0, 1), 7, 0))), 1, "")</f>
        <v/>
      </c>
      <c r="BE493" s="1" t="str">
        <f>IF(AND(AND(AND(BE$4&gt;='2025'!$L456,BE$4&lt;='2025'!$M456), BE$4&lt;&gt;DATE(2025,7,4)), (SWITCH(weekday(BE$4), 1, 0, 2, if(ISBLANK('2025'!$P456), 0, 1), 3, if(ISBLANK('2025'!$Q456), 0, 1), 4, if(ISBLANK('2025'!$R456), 0, 1), 5, if(ISBLANK('2025'!$S456), 0, 1), 6, if(ISBLANK('2025'!$T456), 0, 1), 7, 0))), 1, "")</f>
        <v/>
      </c>
    </row>
    <row r="494">
      <c r="A494" s="1">
        <f t="shared" si="3"/>
        <v>494</v>
      </c>
      <c r="B494" s="1" t="str">
        <f>'2025'!D457</f>
        <v/>
      </c>
      <c r="C494" s="1" t="str">
        <f>'2025'!H457</f>
        <v/>
      </c>
      <c r="D494" s="1" t="str">
        <f>IF(AND(AND(AND(D$4&gt;='2025'!$L457,D$4&lt;='2025'!$M457), D$4&lt;&gt;DATE(2025,7,4)), (SWITCH(weekday(D$4), 1, 0, 2, if(ISBLANK('2025'!$P457), 0, 1), 3, if(ISBLANK('2025'!$Q457), 0, 1), 4, if(ISBLANK('2025'!$R457), 0, 1), 5, if(ISBLANK('2025'!$S457), 0, 1), 6, if(ISBLANK('2025'!$T457), 0, 1), 7, 0))), 1, "")</f>
        <v/>
      </c>
      <c r="E494" s="1" t="str">
        <f>IF(AND(AND(AND(E$4&gt;='2025'!$L457,E$4&lt;='2025'!$M457), E$4&lt;&gt;DATE(2025,7,4)), (SWITCH(weekday(E$4), 1, 0, 2, if(ISBLANK('2025'!$P457), 0, 1), 3, if(ISBLANK('2025'!$Q457), 0, 1), 4, if(ISBLANK('2025'!$R457), 0, 1), 5, if(ISBLANK('2025'!$S457), 0, 1), 6, if(ISBLANK('2025'!$T457), 0, 1), 7, 0))), 1, "")</f>
        <v/>
      </c>
      <c r="F494" s="1" t="str">
        <f>IF(AND(AND(AND(F$4&gt;='2025'!$L457,F$4&lt;='2025'!$M457), F$4&lt;&gt;DATE(2025,7,4)), (SWITCH(weekday(F$4), 1, 0, 2, if(ISBLANK('2025'!$P457), 0, 1), 3, if(ISBLANK('2025'!$Q457), 0, 1), 4, if(ISBLANK('2025'!$R457), 0, 1), 5, if(ISBLANK('2025'!$S457), 0, 1), 6, if(ISBLANK('2025'!$T457), 0, 1), 7, 0))), 1, "")</f>
        <v/>
      </c>
      <c r="G494" s="1" t="str">
        <f>IF(AND(AND(AND(G$4&gt;='2025'!$L457,G$4&lt;='2025'!$M457), G$4&lt;&gt;DATE(2025,7,4)), (SWITCH(weekday(G$4), 1, 0, 2, if(ISBLANK('2025'!$P457), 0, 1), 3, if(ISBLANK('2025'!$Q457), 0, 1), 4, if(ISBLANK('2025'!$R457), 0, 1), 5, if(ISBLANK('2025'!$S457), 0, 1), 6, if(ISBLANK('2025'!$T457), 0, 1), 7, 0))), 1, "")</f>
        <v/>
      </c>
      <c r="H494" s="1" t="str">
        <f>IF(AND(AND(AND(H$4&gt;='2025'!$L457,H$4&lt;='2025'!$M457), H$4&lt;&gt;DATE(2025,7,4)), (SWITCH(weekday(H$4), 1, 0, 2, if(ISBLANK('2025'!$P457), 0, 1), 3, if(ISBLANK('2025'!$Q457), 0, 1), 4, if(ISBLANK('2025'!$R457), 0, 1), 5, if(ISBLANK('2025'!$S457), 0, 1), 6, if(ISBLANK('2025'!$T457), 0, 1), 7, 0))), 1, "")</f>
        <v/>
      </c>
      <c r="I494" s="1" t="str">
        <f>IF(AND(AND(AND(I$4&gt;='2025'!$L457,I$4&lt;='2025'!$M457), I$4&lt;&gt;DATE(2025,7,4)), (SWITCH(weekday(I$4), 1, 0, 2, if(ISBLANK('2025'!$P457), 0, 1), 3, if(ISBLANK('2025'!$Q457), 0, 1), 4, if(ISBLANK('2025'!$R457), 0, 1), 5, if(ISBLANK('2025'!$S457), 0, 1), 6, if(ISBLANK('2025'!$T457), 0, 1), 7, 0))), 1, "")</f>
        <v/>
      </c>
      <c r="J494" s="1" t="str">
        <f>IF(AND(AND(AND(J$4&gt;='2025'!$L457,J$4&lt;='2025'!$M457), J$4&lt;&gt;DATE(2025,7,4)), (SWITCH(weekday(J$4), 1, 0, 2, if(ISBLANK('2025'!$P457), 0, 1), 3, if(ISBLANK('2025'!$Q457), 0, 1), 4, if(ISBLANK('2025'!$R457), 0, 1), 5, if(ISBLANK('2025'!$S457), 0, 1), 6, if(ISBLANK('2025'!$T457), 0, 1), 7, 0))), 1, "")</f>
        <v/>
      </c>
      <c r="K494" s="1" t="str">
        <f>IF(AND(AND(AND(K$4&gt;='2025'!$L457,K$4&lt;='2025'!$M457), K$4&lt;&gt;DATE(2025,7,4)), (SWITCH(weekday(K$4), 1, 0, 2, if(ISBLANK('2025'!$P457), 0, 1), 3, if(ISBLANK('2025'!$Q457), 0, 1), 4, if(ISBLANK('2025'!$R457), 0, 1), 5, if(ISBLANK('2025'!$S457), 0, 1), 6, if(ISBLANK('2025'!$T457), 0, 1), 7, 0))), 1, "")</f>
        <v/>
      </c>
      <c r="L494" s="1" t="str">
        <f>IF(AND(AND(AND(L$4&gt;='2025'!$L457,L$4&lt;='2025'!$M457), L$4&lt;&gt;DATE(2025,7,4)), (SWITCH(weekday(L$4), 1, 0, 2, if(ISBLANK('2025'!$P457), 0, 1), 3, if(ISBLANK('2025'!$Q457), 0, 1), 4, if(ISBLANK('2025'!$R457), 0, 1), 5, if(ISBLANK('2025'!$S457), 0, 1), 6, if(ISBLANK('2025'!$T457), 0, 1), 7, 0))), 1, "")</f>
        <v/>
      </c>
      <c r="M494" s="1" t="str">
        <f>IF(AND(AND(AND(M$4&gt;='2025'!$L457,M$4&lt;='2025'!$M457), M$4&lt;&gt;DATE(2025,7,4)), (SWITCH(weekday(M$4), 1, 0, 2, if(ISBLANK('2025'!$P457), 0, 1), 3, if(ISBLANK('2025'!$Q457), 0, 1), 4, if(ISBLANK('2025'!$R457), 0, 1), 5, if(ISBLANK('2025'!$S457), 0, 1), 6, if(ISBLANK('2025'!$T457), 0, 1), 7, 0))), 1, "")</f>
        <v/>
      </c>
      <c r="N494" s="1" t="str">
        <f>IF(AND(AND(AND(N$4&gt;='2025'!$L457,N$4&lt;='2025'!$M457), N$4&lt;&gt;DATE(2025,7,4)), (SWITCH(weekday(N$4), 1, 0, 2, if(ISBLANK('2025'!$P457), 0, 1), 3, if(ISBLANK('2025'!$Q457), 0, 1), 4, if(ISBLANK('2025'!$R457), 0, 1), 5, if(ISBLANK('2025'!$S457), 0, 1), 6, if(ISBLANK('2025'!$T457), 0, 1), 7, 0))), 1, "")</f>
        <v/>
      </c>
      <c r="O494" s="1" t="str">
        <f>IF(AND(AND(AND(O$4&gt;='2025'!$L457,O$4&lt;='2025'!$M457), O$4&lt;&gt;DATE(2025,7,4)), (SWITCH(weekday(O$4), 1, 0, 2, if(ISBLANK('2025'!$P457), 0, 1), 3, if(ISBLANK('2025'!$Q457), 0, 1), 4, if(ISBLANK('2025'!$R457), 0, 1), 5, if(ISBLANK('2025'!$S457), 0, 1), 6, if(ISBLANK('2025'!$T457), 0, 1), 7, 0))), 1, "")</f>
        <v/>
      </c>
      <c r="P494" s="1" t="str">
        <f>IF(AND(AND(AND(P$4&gt;='2025'!$L457,P$4&lt;='2025'!$M457), P$4&lt;&gt;DATE(2025,7,4)), (SWITCH(weekday(P$4), 1, 0, 2, if(ISBLANK('2025'!$P457), 0, 1), 3, if(ISBLANK('2025'!$Q457), 0, 1), 4, if(ISBLANK('2025'!$R457), 0, 1), 5, if(ISBLANK('2025'!$S457), 0, 1), 6, if(ISBLANK('2025'!$T457), 0, 1), 7, 0))), 1, "")</f>
        <v/>
      </c>
      <c r="Q494" s="1" t="str">
        <f>IF(AND(AND(AND(Q$4&gt;='2025'!$L457,Q$4&lt;='2025'!$M457), Q$4&lt;&gt;DATE(2025,7,4)), (SWITCH(weekday(Q$4), 1, 0, 2, if(ISBLANK('2025'!$P457), 0, 1), 3, if(ISBLANK('2025'!$Q457), 0, 1), 4, if(ISBLANK('2025'!$R457), 0, 1), 5, if(ISBLANK('2025'!$S457), 0, 1), 6, if(ISBLANK('2025'!$T457), 0, 1), 7, 0))), 1, "")</f>
        <v/>
      </c>
      <c r="R494" s="1" t="str">
        <f>IF(AND(AND(AND(R$4&gt;='2025'!$L457,R$4&lt;='2025'!$M457), R$4&lt;&gt;DATE(2025,7,4)), (SWITCH(weekday(R$4), 1, 0, 2, if(ISBLANK('2025'!$P457), 0, 1), 3, if(ISBLANK('2025'!$Q457), 0, 1), 4, if(ISBLANK('2025'!$R457), 0, 1), 5, if(ISBLANK('2025'!$S457), 0, 1), 6, if(ISBLANK('2025'!$T457), 0, 1), 7, 0))), 1, "")</f>
        <v/>
      </c>
      <c r="S494" s="1" t="str">
        <f>IF(AND(AND(AND(S$4&gt;='2025'!$L457,S$4&lt;='2025'!$M457), S$4&lt;&gt;DATE(2025,7,4)), (SWITCH(weekday(S$4), 1, 0, 2, if(ISBLANK('2025'!$P457), 0, 1), 3, if(ISBLANK('2025'!$Q457), 0, 1), 4, if(ISBLANK('2025'!$R457), 0, 1), 5, if(ISBLANK('2025'!$S457), 0, 1), 6, if(ISBLANK('2025'!$T457), 0, 1), 7, 0))), 1, "")</f>
        <v/>
      </c>
      <c r="T494" s="1" t="str">
        <f>IF(AND(AND(AND(T$4&gt;='2025'!$L457,T$4&lt;='2025'!$M457), T$4&lt;&gt;DATE(2025,7,4)), (SWITCH(weekday(T$4), 1, 0, 2, if(ISBLANK('2025'!$P457), 0, 1), 3, if(ISBLANK('2025'!$Q457), 0, 1), 4, if(ISBLANK('2025'!$R457), 0, 1), 5, if(ISBLANK('2025'!$S457), 0, 1), 6, if(ISBLANK('2025'!$T457), 0, 1), 7, 0))), 1, "")</f>
        <v/>
      </c>
      <c r="U494" s="1" t="str">
        <f>IF(AND(AND(AND(U$4&gt;='2025'!$L457,U$4&lt;='2025'!$M457), U$4&lt;&gt;DATE(2025,7,4)), (SWITCH(weekday(U$4), 1, 0, 2, if(ISBLANK('2025'!$P457), 0, 1), 3, if(ISBLANK('2025'!$Q457), 0, 1), 4, if(ISBLANK('2025'!$R457), 0, 1), 5, if(ISBLANK('2025'!$S457), 0, 1), 6, if(ISBLANK('2025'!$T457), 0, 1), 7, 0))), 1, "")</f>
        <v/>
      </c>
      <c r="V494" s="1" t="str">
        <f>IF(AND(AND(AND(V$4&gt;='2025'!$L457,V$4&lt;='2025'!$M457), V$4&lt;&gt;DATE(2025,7,4)), (SWITCH(weekday(V$4), 1, 0, 2, if(ISBLANK('2025'!$P457), 0, 1), 3, if(ISBLANK('2025'!$Q457), 0, 1), 4, if(ISBLANK('2025'!$R457), 0, 1), 5, if(ISBLANK('2025'!$S457), 0, 1), 6, if(ISBLANK('2025'!$T457), 0, 1), 7, 0))), 1, "")</f>
        <v/>
      </c>
      <c r="W494" s="1" t="str">
        <f>IF(AND(AND(AND(W$4&gt;='2025'!$L457,W$4&lt;='2025'!$M457), W$4&lt;&gt;DATE(2025,7,4)), (SWITCH(weekday(W$4), 1, 0, 2, if(ISBLANK('2025'!$P457), 0, 1), 3, if(ISBLANK('2025'!$Q457), 0, 1), 4, if(ISBLANK('2025'!$R457), 0, 1), 5, if(ISBLANK('2025'!$S457), 0, 1), 6, if(ISBLANK('2025'!$T457), 0, 1), 7, 0))), 1, "")</f>
        <v/>
      </c>
      <c r="X494" s="1" t="str">
        <f>IF(AND(AND(AND(X$4&gt;='2025'!$L457,X$4&lt;='2025'!$M457), X$4&lt;&gt;DATE(2025,7,4)), (SWITCH(weekday(X$4), 1, 0, 2, if(ISBLANK('2025'!$P457), 0, 1), 3, if(ISBLANK('2025'!$Q457), 0, 1), 4, if(ISBLANK('2025'!$R457), 0, 1), 5, if(ISBLANK('2025'!$S457), 0, 1), 6, if(ISBLANK('2025'!$T457), 0, 1), 7, 0))), 1, "")</f>
        <v/>
      </c>
      <c r="Y494" s="1" t="str">
        <f>IF(AND(AND(AND(Y$4&gt;='2025'!$L457,Y$4&lt;='2025'!$M457), Y$4&lt;&gt;DATE(2025,7,4)), (SWITCH(weekday(Y$4), 1, 0, 2, if(ISBLANK('2025'!$P457), 0, 1), 3, if(ISBLANK('2025'!$Q457), 0, 1), 4, if(ISBLANK('2025'!$R457), 0, 1), 5, if(ISBLANK('2025'!$S457), 0, 1), 6, if(ISBLANK('2025'!$T457), 0, 1), 7, 0))), 1, "")</f>
        <v/>
      </c>
      <c r="Z494" s="1" t="str">
        <f>IF(AND(AND(AND(Z$4&gt;='2025'!$L457,Z$4&lt;='2025'!$M457), Z$4&lt;&gt;DATE(2025,7,4)), (SWITCH(weekday(Z$4), 1, 0, 2, if(ISBLANK('2025'!$P457), 0, 1), 3, if(ISBLANK('2025'!$Q457), 0, 1), 4, if(ISBLANK('2025'!$R457), 0, 1), 5, if(ISBLANK('2025'!$S457), 0, 1), 6, if(ISBLANK('2025'!$T457), 0, 1), 7, 0))), 1, "")</f>
        <v/>
      </c>
      <c r="AA494" s="1" t="str">
        <f>IF(AND(AND(AND(AA$4&gt;='2025'!$L457,AA$4&lt;='2025'!$M457), AA$4&lt;&gt;DATE(2025,7,4)), (SWITCH(weekday(AA$4), 1, 0, 2, if(ISBLANK('2025'!$P457), 0, 1), 3, if(ISBLANK('2025'!$Q457), 0, 1), 4, if(ISBLANK('2025'!$R457), 0, 1), 5, if(ISBLANK('2025'!$S457), 0, 1), 6, if(ISBLANK('2025'!$T457), 0, 1), 7, 0))), 1, "")</f>
        <v/>
      </c>
      <c r="AB494" s="1" t="str">
        <f>IF(AND(AND(AND(AB$4&gt;='2025'!$L457,AB$4&lt;='2025'!$M457), AB$4&lt;&gt;DATE(2025,7,4)), (SWITCH(weekday(AB$4), 1, 0, 2, if(ISBLANK('2025'!$P457), 0, 1), 3, if(ISBLANK('2025'!$Q457), 0, 1), 4, if(ISBLANK('2025'!$R457), 0, 1), 5, if(ISBLANK('2025'!$S457), 0, 1), 6, if(ISBLANK('2025'!$T457), 0, 1), 7, 0))), 1, "")</f>
        <v/>
      </c>
      <c r="AC494" s="1" t="str">
        <f>IF(AND(AND(AND(AC$4&gt;='2025'!$L457,AC$4&lt;='2025'!$M457), AC$4&lt;&gt;DATE(2025,7,4)), (SWITCH(weekday(AC$4), 1, 0, 2, if(ISBLANK('2025'!$P457), 0, 1), 3, if(ISBLANK('2025'!$Q457), 0, 1), 4, if(ISBLANK('2025'!$R457), 0, 1), 5, if(ISBLANK('2025'!$S457), 0, 1), 6, if(ISBLANK('2025'!$T457), 0, 1), 7, 0))), 1, "")</f>
        <v/>
      </c>
      <c r="AD494" s="1" t="str">
        <f>IF(AND(AND(AND(AD$4&gt;='2025'!$L457,AD$4&lt;='2025'!$M457), AD$4&lt;&gt;DATE(2025,7,4)), (SWITCH(weekday(AD$4), 1, 0, 2, if(ISBLANK('2025'!$P457), 0, 1), 3, if(ISBLANK('2025'!$Q457), 0, 1), 4, if(ISBLANK('2025'!$R457), 0, 1), 5, if(ISBLANK('2025'!$S457), 0, 1), 6, if(ISBLANK('2025'!$T457), 0, 1), 7, 0))), 1, "")</f>
        <v/>
      </c>
      <c r="AE494" s="1" t="str">
        <f>IF(AND(AND(AND(AE$4&gt;='2025'!$L457,AE$4&lt;='2025'!$M457), AE$4&lt;&gt;DATE(2025,7,4)), (SWITCH(weekday(AE$4), 1, 0, 2, if(ISBLANK('2025'!$P457), 0, 1), 3, if(ISBLANK('2025'!$Q457), 0, 1), 4, if(ISBLANK('2025'!$R457), 0, 1), 5, if(ISBLANK('2025'!$S457), 0, 1), 6, if(ISBLANK('2025'!$T457), 0, 1), 7, 0))), 1, "")</f>
        <v/>
      </c>
      <c r="AF494" s="1" t="str">
        <f>IF(AND(AND(AND(AF$4&gt;='2025'!$L457,AF$4&lt;='2025'!$M457), AF$4&lt;&gt;DATE(2025,7,4)), (SWITCH(weekday(AF$4), 1, 0, 2, if(ISBLANK('2025'!$P457), 0, 1), 3, if(ISBLANK('2025'!$Q457), 0, 1), 4, if(ISBLANK('2025'!$R457), 0, 1), 5, if(ISBLANK('2025'!$S457), 0, 1), 6, if(ISBLANK('2025'!$T457), 0, 1), 7, 0))), 1, "")</f>
        <v/>
      </c>
      <c r="AG494" s="1" t="str">
        <f>IF(AND(AND(AND(AG$4&gt;='2025'!$L457,AG$4&lt;='2025'!$M457), AG$4&lt;&gt;DATE(2025,7,4)), (SWITCH(weekday(AG$4), 1, 0, 2, if(ISBLANK('2025'!$P457), 0, 1), 3, if(ISBLANK('2025'!$Q457), 0, 1), 4, if(ISBLANK('2025'!$R457), 0, 1), 5, if(ISBLANK('2025'!$S457), 0, 1), 6, if(ISBLANK('2025'!$T457), 0, 1), 7, 0))), 1, "")</f>
        <v/>
      </c>
      <c r="AH494" s="1" t="str">
        <f>IF(AND(AND(AND(AH$4&gt;='2025'!$L457,AH$4&lt;='2025'!$M457), AH$4&lt;&gt;DATE(2025,7,4)), (SWITCH(weekday(AH$4), 1, 0, 2, if(ISBLANK('2025'!$P457), 0, 1), 3, if(ISBLANK('2025'!$Q457), 0, 1), 4, if(ISBLANK('2025'!$R457), 0, 1), 5, if(ISBLANK('2025'!$S457), 0, 1), 6, if(ISBLANK('2025'!$T457), 0, 1), 7, 0))), 1, "")</f>
        <v/>
      </c>
      <c r="AI494" s="1" t="str">
        <f>IF(AND(AND(AND(AI$4&gt;='2025'!$L457,AI$4&lt;='2025'!$M457), AI$4&lt;&gt;DATE(2025,7,4)), (SWITCH(weekday(AI$4), 1, 0, 2, if(ISBLANK('2025'!$P457), 0, 1), 3, if(ISBLANK('2025'!$Q457), 0, 1), 4, if(ISBLANK('2025'!$R457), 0, 1), 5, if(ISBLANK('2025'!$S457), 0, 1), 6, if(ISBLANK('2025'!$T457), 0, 1), 7, 0))), 1, "")</f>
        <v/>
      </c>
      <c r="AJ494" s="1" t="str">
        <f>IF(AND(AND(AND(AJ$4&gt;='2025'!$L457,AJ$4&lt;='2025'!$M457), AJ$4&lt;&gt;DATE(2025,7,4)), (SWITCH(weekday(AJ$4), 1, 0, 2, if(ISBLANK('2025'!$P457), 0, 1), 3, if(ISBLANK('2025'!$Q457), 0, 1), 4, if(ISBLANK('2025'!$R457), 0, 1), 5, if(ISBLANK('2025'!$S457), 0, 1), 6, if(ISBLANK('2025'!$T457), 0, 1), 7, 0))), 1, "")</f>
        <v/>
      </c>
      <c r="AK494" s="1" t="str">
        <f>IF(AND(AND(AND(AK$4&gt;='2025'!$L457,AK$4&lt;='2025'!$M457), AK$4&lt;&gt;DATE(2025,7,4)), (SWITCH(weekday(AK$4), 1, 0, 2, if(ISBLANK('2025'!$P457), 0, 1), 3, if(ISBLANK('2025'!$Q457), 0, 1), 4, if(ISBLANK('2025'!$R457), 0, 1), 5, if(ISBLANK('2025'!$S457), 0, 1), 6, if(ISBLANK('2025'!$T457), 0, 1), 7, 0))), 1, "")</f>
        <v/>
      </c>
      <c r="AL494" s="1" t="str">
        <f>IF(AND(AND(AND(AL$4&gt;='2025'!$L457,AL$4&lt;='2025'!$M457), AL$4&lt;&gt;DATE(2025,7,4)), (SWITCH(weekday(AL$4), 1, 0, 2, if(ISBLANK('2025'!$P457), 0, 1), 3, if(ISBLANK('2025'!$Q457), 0, 1), 4, if(ISBLANK('2025'!$R457), 0, 1), 5, if(ISBLANK('2025'!$S457), 0, 1), 6, if(ISBLANK('2025'!$T457), 0, 1), 7, 0))), 1, "")</f>
        <v/>
      </c>
      <c r="AM494" s="1" t="str">
        <f>IF(AND(AND(AND(AM$4&gt;='2025'!$L457,AM$4&lt;='2025'!$M457), AM$4&lt;&gt;DATE(2025,7,4)), (SWITCH(weekday(AM$4), 1, 0, 2, if(ISBLANK('2025'!$P457), 0, 1), 3, if(ISBLANK('2025'!$Q457), 0, 1), 4, if(ISBLANK('2025'!$R457), 0, 1), 5, if(ISBLANK('2025'!$S457), 0, 1), 6, if(ISBLANK('2025'!$T457), 0, 1), 7, 0))), 1, "")</f>
        <v/>
      </c>
      <c r="AN494" s="1" t="str">
        <f>IF(AND(AND(AND(AN$4&gt;='2025'!$L457,AN$4&lt;='2025'!$M457), AN$4&lt;&gt;DATE(2025,7,4)), (SWITCH(weekday(AN$4), 1, 0, 2, if(ISBLANK('2025'!$P457), 0, 1), 3, if(ISBLANK('2025'!$Q457), 0, 1), 4, if(ISBLANK('2025'!$R457), 0, 1), 5, if(ISBLANK('2025'!$S457), 0, 1), 6, if(ISBLANK('2025'!$T457), 0, 1), 7, 0))), 1, "")</f>
        <v/>
      </c>
      <c r="AO494" s="1" t="str">
        <f>IF(AND(AND(AND(AO$4&gt;='2025'!$L457,AO$4&lt;='2025'!$M457), AO$4&lt;&gt;DATE(2025,7,4)), (SWITCH(weekday(AO$4), 1, 0, 2, if(ISBLANK('2025'!$P457), 0, 1), 3, if(ISBLANK('2025'!$Q457), 0, 1), 4, if(ISBLANK('2025'!$R457), 0, 1), 5, if(ISBLANK('2025'!$S457), 0, 1), 6, if(ISBLANK('2025'!$T457), 0, 1), 7, 0))), 1, "")</f>
        <v/>
      </c>
      <c r="AP494" s="1" t="str">
        <f>IF(AND(AND(AND(AP$4&gt;='2025'!$L457,AP$4&lt;='2025'!$M457), AP$4&lt;&gt;DATE(2025,7,4)), (SWITCH(weekday(AP$4), 1, 0, 2, if(ISBLANK('2025'!$P457), 0, 1), 3, if(ISBLANK('2025'!$Q457), 0, 1), 4, if(ISBLANK('2025'!$R457), 0, 1), 5, if(ISBLANK('2025'!$S457), 0, 1), 6, if(ISBLANK('2025'!$T457), 0, 1), 7, 0))), 1, "")</f>
        <v/>
      </c>
      <c r="AQ494" s="1" t="str">
        <f>IF(AND(AND(AND(AQ$4&gt;='2025'!$L457,AQ$4&lt;='2025'!$M457), AQ$4&lt;&gt;DATE(2025,7,4)), (SWITCH(weekday(AQ$4), 1, 0, 2, if(ISBLANK('2025'!$P457), 0, 1), 3, if(ISBLANK('2025'!$Q457), 0, 1), 4, if(ISBLANK('2025'!$R457), 0, 1), 5, if(ISBLANK('2025'!$S457), 0, 1), 6, if(ISBLANK('2025'!$T457), 0, 1), 7, 0))), 1, "")</f>
        <v/>
      </c>
      <c r="AR494" s="1" t="str">
        <f>IF(AND(AND(AND(AR$4&gt;='2025'!$L457,AR$4&lt;='2025'!$M457), AR$4&lt;&gt;DATE(2025,7,4)), (SWITCH(weekday(AR$4), 1, 0, 2, if(ISBLANK('2025'!$P457), 0, 1), 3, if(ISBLANK('2025'!$Q457), 0, 1), 4, if(ISBLANK('2025'!$R457), 0, 1), 5, if(ISBLANK('2025'!$S457), 0, 1), 6, if(ISBLANK('2025'!$T457), 0, 1), 7, 0))), 1, "")</f>
        <v/>
      </c>
      <c r="AS494" s="1" t="str">
        <f>IF(AND(AND(AND(AS$4&gt;='2025'!$L457,AS$4&lt;='2025'!$M457), AS$4&lt;&gt;DATE(2025,7,4)), (SWITCH(weekday(AS$4), 1, 0, 2, if(ISBLANK('2025'!$P457), 0, 1), 3, if(ISBLANK('2025'!$Q457), 0, 1), 4, if(ISBLANK('2025'!$R457), 0, 1), 5, if(ISBLANK('2025'!$S457), 0, 1), 6, if(ISBLANK('2025'!$T457), 0, 1), 7, 0))), 1, "")</f>
        <v/>
      </c>
      <c r="AT494" s="1" t="str">
        <f>IF(AND(AND(AND(AT$4&gt;='2025'!$L457,AT$4&lt;='2025'!$M457), AT$4&lt;&gt;DATE(2025,7,4)), (SWITCH(weekday(AT$4), 1, 0, 2, if(ISBLANK('2025'!$P457), 0, 1), 3, if(ISBLANK('2025'!$Q457), 0, 1), 4, if(ISBLANK('2025'!$R457), 0, 1), 5, if(ISBLANK('2025'!$S457), 0, 1), 6, if(ISBLANK('2025'!$T457), 0, 1), 7, 0))), 1, "")</f>
        <v/>
      </c>
      <c r="AU494" s="1" t="str">
        <f>IF(AND(AND(AND(AU$4&gt;='2025'!$L457,AU$4&lt;='2025'!$M457), AU$4&lt;&gt;DATE(2025,7,4)), (SWITCH(weekday(AU$4), 1, 0, 2, if(ISBLANK('2025'!$P457), 0, 1), 3, if(ISBLANK('2025'!$Q457), 0, 1), 4, if(ISBLANK('2025'!$R457), 0, 1), 5, if(ISBLANK('2025'!$S457), 0, 1), 6, if(ISBLANK('2025'!$T457), 0, 1), 7, 0))), 1, "")</f>
        <v/>
      </c>
      <c r="AV494" s="1" t="str">
        <f>IF(AND(AND(AND(AV$4&gt;='2025'!$L457,AV$4&lt;='2025'!$M457), AV$4&lt;&gt;DATE(2025,7,4)), (SWITCH(weekday(AV$4), 1, 0, 2, if(ISBLANK('2025'!$P457), 0, 1), 3, if(ISBLANK('2025'!$Q457), 0, 1), 4, if(ISBLANK('2025'!$R457), 0, 1), 5, if(ISBLANK('2025'!$S457), 0, 1), 6, if(ISBLANK('2025'!$T457), 0, 1), 7, 0))), 1, "")</f>
        <v/>
      </c>
      <c r="AW494" s="1" t="str">
        <f>IF(AND(AND(AND(AW$4&gt;='2025'!$L457,AW$4&lt;='2025'!$M457), AW$4&lt;&gt;DATE(2025,7,4)), (SWITCH(weekday(AW$4), 1, 0, 2, if(ISBLANK('2025'!$P457), 0, 1), 3, if(ISBLANK('2025'!$Q457), 0, 1), 4, if(ISBLANK('2025'!$R457), 0, 1), 5, if(ISBLANK('2025'!$S457), 0, 1), 6, if(ISBLANK('2025'!$T457), 0, 1), 7, 0))), 1, "")</f>
        <v/>
      </c>
      <c r="AX494" s="1" t="str">
        <f>IF(AND(AND(AND(AX$4&gt;='2025'!$L457,AX$4&lt;='2025'!$M457), AX$4&lt;&gt;DATE(2025,7,4)), (SWITCH(weekday(AX$4), 1, 0, 2, if(ISBLANK('2025'!$P457), 0, 1), 3, if(ISBLANK('2025'!$Q457), 0, 1), 4, if(ISBLANK('2025'!$R457), 0, 1), 5, if(ISBLANK('2025'!$S457), 0, 1), 6, if(ISBLANK('2025'!$T457), 0, 1), 7, 0))), 1, "")</f>
        <v/>
      </c>
      <c r="AY494" s="1" t="str">
        <f>IF(AND(AND(AND(AY$4&gt;='2025'!$L457,AY$4&lt;='2025'!$M457), AY$4&lt;&gt;DATE(2025,7,4)), (SWITCH(weekday(AY$4), 1, 0, 2, if(ISBLANK('2025'!$P457), 0, 1), 3, if(ISBLANK('2025'!$Q457), 0, 1), 4, if(ISBLANK('2025'!$R457), 0, 1), 5, if(ISBLANK('2025'!$S457), 0, 1), 6, if(ISBLANK('2025'!$T457), 0, 1), 7, 0))), 1, "")</f>
        <v/>
      </c>
      <c r="AZ494" s="1" t="str">
        <f>IF(AND(AND(AND(AZ$4&gt;='2025'!$L457,AZ$4&lt;='2025'!$M457), AZ$4&lt;&gt;DATE(2025,7,4)), (SWITCH(weekday(AZ$4), 1, 0, 2, if(ISBLANK('2025'!$P457), 0, 1), 3, if(ISBLANK('2025'!$Q457), 0, 1), 4, if(ISBLANK('2025'!$R457), 0, 1), 5, if(ISBLANK('2025'!$S457), 0, 1), 6, if(ISBLANK('2025'!$T457), 0, 1), 7, 0))), 1, "")</f>
        <v/>
      </c>
      <c r="BA494" s="1" t="str">
        <f>IF(AND(AND(AND(BA$4&gt;='2025'!$L457,BA$4&lt;='2025'!$M457), BA$4&lt;&gt;DATE(2025,7,4)), (SWITCH(weekday(BA$4), 1, 0, 2, if(ISBLANK('2025'!$P457), 0, 1), 3, if(ISBLANK('2025'!$Q457), 0, 1), 4, if(ISBLANK('2025'!$R457), 0, 1), 5, if(ISBLANK('2025'!$S457), 0, 1), 6, if(ISBLANK('2025'!$T457), 0, 1), 7, 0))), 1, "")</f>
        <v/>
      </c>
      <c r="BB494" s="1" t="str">
        <f>IF(AND(AND(AND(BB$4&gt;='2025'!$L457,BB$4&lt;='2025'!$M457), BB$4&lt;&gt;DATE(2025,7,4)), (SWITCH(weekday(BB$4), 1, 0, 2, if(ISBLANK('2025'!$P457), 0, 1), 3, if(ISBLANK('2025'!$Q457), 0, 1), 4, if(ISBLANK('2025'!$R457), 0, 1), 5, if(ISBLANK('2025'!$S457), 0, 1), 6, if(ISBLANK('2025'!$T457), 0, 1), 7, 0))), 1, "")</f>
        <v/>
      </c>
      <c r="BC494" s="1" t="str">
        <f>IF(AND(AND(AND(BC$4&gt;='2025'!$L457,BC$4&lt;='2025'!$M457), BC$4&lt;&gt;DATE(2025,7,4)), (SWITCH(weekday(BC$4), 1, 0, 2, if(ISBLANK('2025'!$P457), 0, 1), 3, if(ISBLANK('2025'!$Q457), 0, 1), 4, if(ISBLANK('2025'!$R457), 0, 1), 5, if(ISBLANK('2025'!$S457), 0, 1), 6, if(ISBLANK('2025'!$T457), 0, 1), 7, 0))), 1, "")</f>
        <v/>
      </c>
      <c r="BD494" s="1" t="str">
        <f>IF(AND(AND(AND(BD$4&gt;='2025'!$L457,BD$4&lt;='2025'!$M457), BD$4&lt;&gt;DATE(2025,7,4)), (SWITCH(weekday(BD$4), 1, 0, 2, if(ISBLANK('2025'!$P457), 0, 1), 3, if(ISBLANK('2025'!$Q457), 0, 1), 4, if(ISBLANK('2025'!$R457), 0, 1), 5, if(ISBLANK('2025'!$S457), 0, 1), 6, if(ISBLANK('2025'!$T457), 0, 1), 7, 0))), 1, "")</f>
        <v/>
      </c>
      <c r="BE494" s="1" t="str">
        <f>IF(AND(AND(AND(BE$4&gt;='2025'!$L457,BE$4&lt;='2025'!$M457), BE$4&lt;&gt;DATE(2025,7,4)), (SWITCH(weekday(BE$4), 1, 0, 2, if(ISBLANK('2025'!$P457), 0, 1), 3, if(ISBLANK('2025'!$Q457), 0, 1), 4, if(ISBLANK('2025'!$R457), 0, 1), 5, if(ISBLANK('2025'!$S457), 0, 1), 6, if(ISBLANK('2025'!$T457), 0, 1), 7, 0))), 1, "")</f>
        <v/>
      </c>
    </row>
    <row r="495">
      <c r="A495" s="1">
        <f t="shared" si="3"/>
        <v>495</v>
      </c>
      <c r="B495" s="1" t="str">
        <f>'2025'!D458</f>
        <v/>
      </c>
      <c r="C495" s="1" t="str">
        <f>'2025'!H458</f>
        <v/>
      </c>
      <c r="D495" s="1" t="str">
        <f>IF(AND(AND(AND(D$4&gt;='2025'!$L458,D$4&lt;='2025'!$M458), D$4&lt;&gt;DATE(2025,7,4)), (SWITCH(weekday(D$4), 1, 0, 2, if(ISBLANK('2025'!$P458), 0, 1), 3, if(ISBLANK('2025'!$Q458), 0, 1), 4, if(ISBLANK('2025'!$R458), 0, 1), 5, if(ISBLANK('2025'!$S458), 0, 1), 6, if(ISBLANK('2025'!$T458), 0, 1), 7, 0))), 1, "")</f>
        <v/>
      </c>
      <c r="E495" s="1" t="str">
        <f>IF(AND(AND(AND(E$4&gt;='2025'!$L458,E$4&lt;='2025'!$M458), E$4&lt;&gt;DATE(2025,7,4)), (SWITCH(weekday(E$4), 1, 0, 2, if(ISBLANK('2025'!$P458), 0, 1), 3, if(ISBLANK('2025'!$Q458), 0, 1), 4, if(ISBLANK('2025'!$R458), 0, 1), 5, if(ISBLANK('2025'!$S458), 0, 1), 6, if(ISBLANK('2025'!$T458), 0, 1), 7, 0))), 1, "")</f>
        <v/>
      </c>
      <c r="F495" s="1" t="str">
        <f>IF(AND(AND(AND(F$4&gt;='2025'!$L458,F$4&lt;='2025'!$M458), F$4&lt;&gt;DATE(2025,7,4)), (SWITCH(weekday(F$4), 1, 0, 2, if(ISBLANK('2025'!$P458), 0, 1), 3, if(ISBLANK('2025'!$Q458), 0, 1), 4, if(ISBLANK('2025'!$R458), 0, 1), 5, if(ISBLANK('2025'!$S458), 0, 1), 6, if(ISBLANK('2025'!$T458), 0, 1), 7, 0))), 1, "")</f>
        <v/>
      </c>
      <c r="G495" s="1" t="str">
        <f>IF(AND(AND(AND(G$4&gt;='2025'!$L458,G$4&lt;='2025'!$M458), G$4&lt;&gt;DATE(2025,7,4)), (SWITCH(weekday(G$4), 1, 0, 2, if(ISBLANK('2025'!$P458), 0, 1), 3, if(ISBLANK('2025'!$Q458), 0, 1), 4, if(ISBLANK('2025'!$R458), 0, 1), 5, if(ISBLANK('2025'!$S458), 0, 1), 6, if(ISBLANK('2025'!$T458), 0, 1), 7, 0))), 1, "")</f>
        <v/>
      </c>
      <c r="H495" s="1" t="str">
        <f>IF(AND(AND(AND(H$4&gt;='2025'!$L458,H$4&lt;='2025'!$M458), H$4&lt;&gt;DATE(2025,7,4)), (SWITCH(weekday(H$4), 1, 0, 2, if(ISBLANK('2025'!$P458), 0, 1), 3, if(ISBLANK('2025'!$Q458), 0, 1), 4, if(ISBLANK('2025'!$R458), 0, 1), 5, if(ISBLANK('2025'!$S458), 0, 1), 6, if(ISBLANK('2025'!$T458), 0, 1), 7, 0))), 1, "")</f>
        <v/>
      </c>
      <c r="I495" s="1" t="str">
        <f>IF(AND(AND(AND(I$4&gt;='2025'!$L458,I$4&lt;='2025'!$M458), I$4&lt;&gt;DATE(2025,7,4)), (SWITCH(weekday(I$4), 1, 0, 2, if(ISBLANK('2025'!$P458), 0, 1), 3, if(ISBLANK('2025'!$Q458), 0, 1), 4, if(ISBLANK('2025'!$R458), 0, 1), 5, if(ISBLANK('2025'!$S458), 0, 1), 6, if(ISBLANK('2025'!$T458), 0, 1), 7, 0))), 1, "")</f>
        <v/>
      </c>
      <c r="J495" s="1" t="str">
        <f>IF(AND(AND(AND(J$4&gt;='2025'!$L458,J$4&lt;='2025'!$M458), J$4&lt;&gt;DATE(2025,7,4)), (SWITCH(weekday(J$4), 1, 0, 2, if(ISBLANK('2025'!$P458), 0, 1), 3, if(ISBLANK('2025'!$Q458), 0, 1), 4, if(ISBLANK('2025'!$R458), 0, 1), 5, if(ISBLANK('2025'!$S458), 0, 1), 6, if(ISBLANK('2025'!$T458), 0, 1), 7, 0))), 1, "")</f>
        <v/>
      </c>
      <c r="K495" s="1" t="str">
        <f>IF(AND(AND(AND(K$4&gt;='2025'!$L458,K$4&lt;='2025'!$M458), K$4&lt;&gt;DATE(2025,7,4)), (SWITCH(weekday(K$4), 1, 0, 2, if(ISBLANK('2025'!$P458), 0, 1), 3, if(ISBLANK('2025'!$Q458), 0, 1), 4, if(ISBLANK('2025'!$R458), 0, 1), 5, if(ISBLANK('2025'!$S458), 0, 1), 6, if(ISBLANK('2025'!$T458), 0, 1), 7, 0))), 1, "")</f>
        <v/>
      </c>
      <c r="L495" s="1" t="str">
        <f>IF(AND(AND(AND(L$4&gt;='2025'!$L458,L$4&lt;='2025'!$M458), L$4&lt;&gt;DATE(2025,7,4)), (SWITCH(weekday(L$4), 1, 0, 2, if(ISBLANK('2025'!$P458), 0, 1), 3, if(ISBLANK('2025'!$Q458), 0, 1), 4, if(ISBLANK('2025'!$R458), 0, 1), 5, if(ISBLANK('2025'!$S458), 0, 1), 6, if(ISBLANK('2025'!$T458), 0, 1), 7, 0))), 1, "")</f>
        <v/>
      </c>
      <c r="M495" s="1" t="str">
        <f>IF(AND(AND(AND(M$4&gt;='2025'!$L458,M$4&lt;='2025'!$M458), M$4&lt;&gt;DATE(2025,7,4)), (SWITCH(weekday(M$4), 1, 0, 2, if(ISBLANK('2025'!$P458), 0, 1), 3, if(ISBLANK('2025'!$Q458), 0, 1), 4, if(ISBLANK('2025'!$R458), 0, 1), 5, if(ISBLANK('2025'!$S458), 0, 1), 6, if(ISBLANK('2025'!$T458), 0, 1), 7, 0))), 1, "")</f>
        <v/>
      </c>
      <c r="N495" s="1" t="str">
        <f>IF(AND(AND(AND(N$4&gt;='2025'!$L458,N$4&lt;='2025'!$M458), N$4&lt;&gt;DATE(2025,7,4)), (SWITCH(weekday(N$4), 1, 0, 2, if(ISBLANK('2025'!$P458), 0, 1), 3, if(ISBLANK('2025'!$Q458), 0, 1), 4, if(ISBLANK('2025'!$R458), 0, 1), 5, if(ISBLANK('2025'!$S458), 0, 1), 6, if(ISBLANK('2025'!$T458), 0, 1), 7, 0))), 1, "")</f>
        <v/>
      </c>
      <c r="O495" s="1" t="str">
        <f>IF(AND(AND(AND(O$4&gt;='2025'!$L458,O$4&lt;='2025'!$M458), O$4&lt;&gt;DATE(2025,7,4)), (SWITCH(weekday(O$4), 1, 0, 2, if(ISBLANK('2025'!$P458), 0, 1), 3, if(ISBLANK('2025'!$Q458), 0, 1), 4, if(ISBLANK('2025'!$R458), 0, 1), 5, if(ISBLANK('2025'!$S458), 0, 1), 6, if(ISBLANK('2025'!$T458), 0, 1), 7, 0))), 1, "")</f>
        <v/>
      </c>
      <c r="P495" s="1" t="str">
        <f>IF(AND(AND(AND(P$4&gt;='2025'!$L458,P$4&lt;='2025'!$M458), P$4&lt;&gt;DATE(2025,7,4)), (SWITCH(weekday(P$4), 1, 0, 2, if(ISBLANK('2025'!$P458), 0, 1), 3, if(ISBLANK('2025'!$Q458), 0, 1), 4, if(ISBLANK('2025'!$R458), 0, 1), 5, if(ISBLANK('2025'!$S458), 0, 1), 6, if(ISBLANK('2025'!$T458), 0, 1), 7, 0))), 1, "")</f>
        <v/>
      </c>
      <c r="Q495" s="1" t="str">
        <f>IF(AND(AND(AND(Q$4&gt;='2025'!$L458,Q$4&lt;='2025'!$M458), Q$4&lt;&gt;DATE(2025,7,4)), (SWITCH(weekday(Q$4), 1, 0, 2, if(ISBLANK('2025'!$P458), 0, 1), 3, if(ISBLANK('2025'!$Q458), 0, 1), 4, if(ISBLANK('2025'!$R458), 0, 1), 5, if(ISBLANK('2025'!$S458), 0, 1), 6, if(ISBLANK('2025'!$T458), 0, 1), 7, 0))), 1, "")</f>
        <v/>
      </c>
      <c r="R495" s="1" t="str">
        <f>IF(AND(AND(AND(R$4&gt;='2025'!$L458,R$4&lt;='2025'!$M458), R$4&lt;&gt;DATE(2025,7,4)), (SWITCH(weekday(R$4), 1, 0, 2, if(ISBLANK('2025'!$P458), 0, 1), 3, if(ISBLANK('2025'!$Q458), 0, 1), 4, if(ISBLANK('2025'!$R458), 0, 1), 5, if(ISBLANK('2025'!$S458), 0, 1), 6, if(ISBLANK('2025'!$T458), 0, 1), 7, 0))), 1, "")</f>
        <v/>
      </c>
      <c r="S495" s="1" t="str">
        <f>IF(AND(AND(AND(S$4&gt;='2025'!$L458,S$4&lt;='2025'!$M458), S$4&lt;&gt;DATE(2025,7,4)), (SWITCH(weekday(S$4), 1, 0, 2, if(ISBLANK('2025'!$P458), 0, 1), 3, if(ISBLANK('2025'!$Q458), 0, 1), 4, if(ISBLANK('2025'!$R458), 0, 1), 5, if(ISBLANK('2025'!$S458), 0, 1), 6, if(ISBLANK('2025'!$T458), 0, 1), 7, 0))), 1, "")</f>
        <v/>
      </c>
      <c r="T495" s="1" t="str">
        <f>IF(AND(AND(AND(T$4&gt;='2025'!$L458,T$4&lt;='2025'!$M458), T$4&lt;&gt;DATE(2025,7,4)), (SWITCH(weekday(T$4), 1, 0, 2, if(ISBLANK('2025'!$P458), 0, 1), 3, if(ISBLANK('2025'!$Q458), 0, 1), 4, if(ISBLANK('2025'!$R458), 0, 1), 5, if(ISBLANK('2025'!$S458), 0, 1), 6, if(ISBLANK('2025'!$T458), 0, 1), 7, 0))), 1, "")</f>
        <v/>
      </c>
      <c r="U495" s="1" t="str">
        <f>IF(AND(AND(AND(U$4&gt;='2025'!$L458,U$4&lt;='2025'!$M458), U$4&lt;&gt;DATE(2025,7,4)), (SWITCH(weekday(U$4), 1, 0, 2, if(ISBLANK('2025'!$P458), 0, 1), 3, if(ISBLANK('2025'!$Q458), 0, 1), 4, if(ISBLANK('2025'!$R458), 0, 1), 5, if(ISBLANK('2025'!$S458), 0, 1), 6, if(ISBLANK('2025'!$T458), 0, 1), 7, 0))), 1, "")</f>
        <v/>
      </c>
      <c r="V495" s="1" t="str">
        <f>IF(AND(AND(AND(V$4&gt;='2025'!$L458,V$4&lt;='2025'!$M458), V$4&lt;&gt;DATE(2025,7,4)), (SWITCH(weekday(V$4), 1, 0, 2, if(ISBLANK('2025'!$P458), 0, 1), 3, if(ISBLANK('2025'!$Q458), 0, 1), 4, if(ISBLANK('2025'!$R458), 0, 1), 5, if(ISBLANK('2025'!$S458), 0, 1), 6, if(ISBLANK('2025'!$T458), 0, 1), 7, 0))), 1, "")</f>
        <v/>
      </c>
      <c r="W495" s="1" t="str">
        <f>IF(AND(AND(AND(W$4&gt;='2025'!$L458,W$4&lt;='2025'!$M458), W$4&lt;&gt;DATE(2025,7,4)), (SWITCH(weekday(W$4), 1, 0, 2, if(ISBLANK('2025'!$P458), 0, 1), 3, if(ISBLANK('2025'!$Q458), 0, 1), 4, if(ISBLANK('2025'!$R458), 0, 1), 5, if(ISBLANK('2025'!$S458), 0, 1), 6, if(ISBLANK('2025'!$T458), 0, 1), 7, 0))), 1, "")</f>
        <v/>
      </c>
      <c r="X495" s="1" t="str">
        <f>IF(AND(AND(AND(X$4&gt;='2025'!$L458,X$4&lt;='2025'!$M458), X$4&lt;&gt;DATE(2025,7,4)), (SWITCH(weekday(X$4), 1, 0, 2, if(ISBLANK('2025'!$P458), 0, 1), 3, if(ISBLANK('2025'!$Q458), 0, 1), 4, if(ISBLANK('2025'!$R458), 0, 1), 5, if(ISBLANK('2025'!$S458), 0, 1), 6, if(ISBLANK('2025'!$T458), 0, 1), 7, 0))), 1, "")</f>
        <v/>
      </c>
      <c r="Y495" s="1" t="str">
        <f>IF(AND(AND(AND(Y$4&gt;='2025'!$L458,Y$4&lt;='2025'!$M458), Y$4&lt;&gt;DATE(2025,7,4)), (SWITCH(weekday(Y$4), 1, 0, 2, if(ISBLANK('2025'!$P458), 0, 1), 3, if(ISBLANK('2025'!$Q458), 0, 1), 4, if(ISBLANK('2025'!$R458), 0, 1), 5, if(ISBLANK('2025'!$S458), 0, 1), 6, if(ISBLANK('2025'!$T458), 0, 1), 7, 0))), 1, "")</f>
        <v/>
      </c>
      <c r="Z495" s="1" t="str">
        <f>IF(AND(AND(AND(Z$4&gt;='2025'!$L458,Z$4&lt;='2025'!$M458), Z$4&lt;&gt;DATE(2025,7,4)), (SWITCH(weekday(Z$4), 1, 0, 2, if(ISBLANK('2025'!$P458), 0, 1), 3, if(ISBLANK('2025'!$Q458), 0, 1), 4, if(ISBLANK('2025'!$R458), 0, 1), 5, if(ISBLANK('2025'!$S458), 0, 1), 6, if(ISBLANK('2025'!$T458), 0, 1), 7, 0))), 1, "")</f>
        <v/>
      </c>
      <c r="AA495" s="1" t="str">
        <f>IF(AND(AND(AND(AA$4&gt;='2025'!$L458,AA$4&lt;='2025'!$M458), AA$4&lt;&gt;DATE(2025,7,4)), (SWITCH(weekday(AA$4), 1, 0, 2, if(ISBLANK('2025'!$P458), 0, 1), 3, if(ISBLANK('2025'!$Q458), 0, 1), 4, if(ISBLANK('2025'!$R458), 0, 1), 5, if(ISBLANK('2025'!$S458), 0, 1), 6, if(ISBLANK('2025'!$T458), 0, 1), 7, 0))), 1, "")</f>
        <v/>
      </c>
      <c r="AB495" s="1" t="str">
        <f>IF(AND(AND(AND(AB$4&gt;='2025'!$L458,AB$4&lt;='2025'!$M458), AB$4&lt;&gt;DATE(2025,7,4)), (SWITCH(weekday(AB$4), 1, 0, 2, if(ISBLANK('2025'!$P458), 0, 1), 3, if(ISBLANK('2025'!$Q458), 0, 1), 4, if(ISBLANK('2025'!$R458), 0, 1), 5, if(ISBLANK('2025'!$S458), 0, 1), 6, if(ISBLANK('2025'!$T458), 0, 1), 7, 0))), 1, "")</f>
        <v/>
      </c>
      <c r="AC495" s="1" t="str">
        <f>IF(AND(AND(AND(AC$4&gt;='2025'!$L458,AC$4&lt;='2025'!$M458), AC$4&lt;&gt;DATE(2025,7,4)), (SWITCH(weekday(AC$4), 1, 0, 2, if(ISBLANK('2025'!$P458), 0, 1), 3, if(ISBLANK('2025'!$Q458), 0, 1), 4, if(ISBLANK('2025'!$R458), 0, 1), 5, if(ISBLANK('2025'!$S458), 0, 1), 6, if(ISBLANK('2025'!$T458), 0, 1), 7, 0))), 1, "")</f>
        <v/>
      </c>
      <c r="AD495" s="1" t="str">
        <f>IF(AND(AND(AND(AD$4&gt;='2025'!$L458,AD$4&lt;='2025'!$M458), AD$4&lt;&gt;DATE(2025,7,4)), (SWITCH(weekday(AD$4), 1, 0, 2, if(ISBLANK('2025'!$P458), 0, 1), 3, if(ISBLANK('2025'!$Q458), 0, 1), 4, if(ISBLANK('2025'!$R458), 0, 1), 5, if(ISBLANK('2025'!$S458), 0, 1), 6, if(ISBLANK('2025'!$T458), 0, 1), 7, 0))), 1, "")</f>
        <v/>
      </c>
      <c r="AE495" s="1" t="str">
        <f>IF(AND(AND(AND(AE$4&gt;='2025'!$L458,AE$4&lt;='2025'!$M458), AE$4&lt;&gt;DATE(2025,7,4)), (SWITCH(weekday(AE$4), 1, 0, 2, if(ISBLANK('2025'!$P458), 0, 1), 3, if(ISBLANK('2025'!$Q458), 0, 1), 4, if(ISBLANK('2025'!$R458), 0, 1), 5, if(ISBLANK('2025'!$S458), 0, 1), 6, if(ISBLANK('2025'!$T458), 0, 1), 7, 0))), 1, "")</f>
        <v/>
      </c>
      <c r="AF495" s="1" t="str">
        <f>IF(AND(AND(AND(AF$4&gt;='2025'!$L458,AF$4&lt;='2025'!$M458), AF$4&lt;&gt;DATE(2025,7,4)), (SWITCH(weekday(AF$4), 1, 0, 2, if(ISBLANK('2025'!$P458), 0, 1), 3, if(ISBLANK('2025'!$Q458), 0, 1), 4, if(ISBLANK('2025'!$R458), 0, 1), 5, if(ISBLANK('2025'!$S458), 0, 1), 6, if(ISBLANK('2025'!$T458), 0, 1), 7, 0))), 1, "")</f>
        <v/>
      </c>
      <c r="AG495" s="1" t="str">
        <f>IF(AND(AND(AND(AG$4&gt;='2025'!$L458,AG$4&lt;='2025'!$M458), AG$4&lt;&gt;DATE(2025,7,4)), (SWITCH(weekday(AG$4), 1, 0, 2, if(ISBLANK('2025'!$P458), 0, 1), 3, if(ISBLANK('2025'!$Q458), 0, 1), 4, if(ISBLANK('2025'!$R458), 0, 1), 5, if(ISBLANK('2025'!$S458), 0, 1), 6, if(ISBLANK('2025'!$T458), 0, 1), 7, 0))), 1, "")</f>
        <v/>
      </c>
      <c r="AH495" s="1" t="str">
        <f>IF(AND(AND(AND(AH$4&gt;='2025'!$L458,AH$4&lt;='2025'!$M458), AH$4&lt;&gt;DATE(2025,7,4)), (SWITCH(weekday(AH$4), 1, 0, 2, if(ISBLANK('2025'!$P458), 0, 1), 3, if(ISBLANK('2025'!$Q458), 0, 1), 4, if(ISBLANK('2025'!$R458), 0, 1), 5, if(ISBLANK('2025'!$S458), 0, 1), 6, if(ISBLANK('2025'!$T458), 0, 1), 7, 0))), 1, "")</f>
        <v/>
      </c>
      <c r="AI495" s="1" t="str">
        <f>IF(AND(AND(AND(AI$4&gt;='2025'!$L458,AI$4&lt;='2025'!$M458), AI$4&lt;&gt;DATE(2025,7,4)), (SWITCH(weekday(AI$4), 1, 0, 2, if(ISBLANK('2025'!$P458), 0, 1), 3, if(ISBLANK('2025'!$Q458), 0, 1), 4, if(ISBLANK('2025'!$R458), 0, 1), 5, if(ISBLANK('2025'!$S458), 0, 1), 6, if(ISBLANK('2025'!$T458), 0, 1), 7, 0))), 1, "")</f>
        <v/>
      </c>
      <c r="AJ495" s="1" t="str">
        <f>IF(AND(AND(AND(AJ$4&gt;='2025'!$L458,AJ$4&lt;='2025'!$M458), AJ$4&lt;&gt;DATE(2025,7,4)), (SWITCH(weekday(AJ$4), 1, 0, 2, if(ISBLANK('2025'!$P458), 0, 1), 3, if(ISBLANK('2025'!$Q458), 0, 1), 4, if(ISBLANK('2025'!$R458), 0, 1), 5, if(ISBLANK('2025'!$S458), 0, 1), 6, if(ISBLANK('2025'!$T458), 0, 1), 7, 0))), 1, "")</f>
        <v/>
      </c>
      <c r="AK495" s="1" t="str">
        <f>IF(AND(AND(AND(AK$4&gt;='2025'!$L458,AK$4&lt;='2025'!$M458), AK$4&lt;&gt;DATE(2025,7,4)), (SWITCH(weekday(AK$4), 1, 0, 2, if(ISBLANK('2025'!$P458), 0, 1), 3, if(ISBLANK('2025'!$Q458), 0, 1), 4, if(ISBLANK('2025'!$R458), 0, 1), 5, if(ISBLANK('2025'!$S458), 0, 1), 6, if(ISBLANK('2025'!$T458), 0, 1), 7, 0))), 1, "")</f>
        <v/>
      </c>
      <c r="AL495" s="1" t="str">
        <f>IF(AND(AND(AND(AL$4&gt;='2025'!$L458,AL$4&lt;='2025'!$M458), AL$4&lt;&gt;DATE(2025,7,4)), (SWITCH(weekday(AL$4), 1, 0, 2, if(ISBLANK('2025'!$P458), 0, 1), 3, if(ISBLANK('2025'!$Q458), 0, 1), 4, if(ISBLANK('2025'!$R458), 0, 1), 5, if(ISBLANK('2025'!$S458), 0, 1), 6, if(ISBLANK('2025'!$T458), 0, 1), 7, 0))), 1, "")</f>
        <v/>
      </c>
      <c r="AM495" s="1" t="str">
        <f>IF(AND(AND(AND(AM$4&gt;='2025'!$L458,AM$4&lt;='2025'!$M458), AM$4&lt;&gt;DATE(2025,7,4)), (SWITCH(weekday(AM$4), 1, 0, 2, if(ISBLANK('2025'!$P458), 0, 1), 3, if(ISBLANK('2025'!$Q458), 0, 1), 4, if(ISBLANK('2025'!$R458), 0, 1), 5, if(ISBLANK('2025'!$S458), 0, 1), 6, if(ISBLANK('2025'!$T458), 0, 1), 7, 0))), 1, "")</f>
        <v/>
      </c>
      <c r="AN495" s="1" t="str">
        <f>IF(AND(AND(AND(AN$4&gt;='2025'!$L458,AN$4&lt;='2025'!$M458), AN$4&lt;&gt;DATE(2025,7,4)), (SWITCH(weekday(AN$4), 1, 0, 2, if(ISBLANK('2025'!$P458), 0, 1), 3, if(ISBLANK('2025'!$Q458), 0, 1), 4, if(ISBLANK('2025'!$R458), 0, 1), 5, if(ISBLANK('2025'!$S458), 0, 1), 6, if(ISBLANK('2025'!$T458), 0, 1), 7, 0))), 1, "")</f>
        <v/>
      </c>
      <c r="AO495" s="1" t="str">
        <f>IF(AND(AND(AND(AO$4&gt;='2025'!$L458,AO$4&lt;='2025'!$M458), AO$4&lt;&gt;DATE(2025,7,4)), (SWITCH(weekday(AO$4), 1, 0, 2, if(ISBLANK('2025'!$P458), 0, 1), 3, if(ISBLANK('2025'!$Q458), 0, 1), 4, if(ISBLANK('2025'!$R458), 0, 1), 5, if(ISBLANK('2025'!$S458), 0, 1), 6, if(ISBLANK('2025'!$T458), 0, 1), 7, 0))), 1, "")</f>
        <v/>
      </c>
      <c r="AP495" s="1" t="str">
        <f>IF(AND(AND(AND(AP$4&gt;='2025'!$L458,AP$4&lt;='2025'!$M458), AP$4&lt;&gt;DATE(2025,7,4)), (SWITCH(weekday(AP$4), 1, 0, 2, if(ISBLANK('2025'!$P458), 0, 1), 3, if(ISBLANK('2025'!$Q458), 0, 1), 4, if(ISBLANK('2025'!$R458), 0, 1), 5, if(ISBLANK('2025'!$S458), 0, 1), 6, if(ISBLANK('2025'!$T458), 0, 1), 7, 0))), 1, "")</f>
        <v/>
      </c>
      <c r="AQ495" s="1" t="str">
        <f>IF(AND(AND(AND(AQ$4&gt;='2025'!$L458,AQ$4&lt;='2025'!$M458), AQ$4&lt;&gt;DATE(2025,7,4)), (SWITCH(weekday(AQ$4), 1, 0, 2, if(ISBLANK('2025'!$P458), 0, 1), 3, if(ISBLANK('2025'!$Q458), 0, 1), 4, if(ISBLANK('2025'!$R458), 0, 1), 5, if(ISBLANK('2025'!$S458), 0, 1), 6, if(ISBLANK('2025'!$T458), 0, 1), 7, 0))), 1, "")</f>
        <v/>
      </c>
      <c r="AR495" s="1" t="str">
        <f>IF(AND(AND(AND(AR$4&gt;='2025'!$L458,AR$4&lt;='2025'!$M458), AR$4&lt;&gt;DATE(2025,7,4)), (SWITCH(weekday(AR$4), 1, 0, 2, if(ISBLANK('2025'!$P458), 0, 1), 3, if(ISBLANK('2025'!$Q458), 0, 1), 4, if(ISBLANK('2025'!$R458), 0, 1), 5, if(ISBLANK('2025'!$S458), 0, 1), 6, if(ISBLANK('2025'!$T458), 0, 1), 7, 0))), 1, "")</f>
        <v/>
      </c>
      <c r="AS495" s="1" t="str">
        <f>IF(AND(AND(AND(AS$4&gt;='2025'!$L458,AS$4&lt;='2025'!$M458), AS$4&lt;&gt;DATE(2025,7,4)), (SWITCH(weekday(AS$4), 1, 0, 2, if(ISBLANK('2025'!$P458), 0, 1), 3, if(ISBLANK('2025'!$Q458), 0, 1), 4, if(ISBLANK('2025'!$R458), 0, 1), 5, if(ISBLANK('2025'!$S458), 0, 1), 6, if(ISBLANK('2025'!$T458), 0, 1), 7, 0))), 1, "")</f>
        <v/>
      </c>
      <c r="AT495" s="1" t="str">
        <f>IF(AND(AND(AND(AT$4&gt;='2025'!$L458,AT$4&lt;='2025'!$M458), AT$4&lt;&gt;DATE(2025,7,4)), (SWITCH(weekday(AT$4), 1, 0, 2, if(ISBLANK('2025'!$P458), 0, 1), 3, if(ISBLANK('2025'!$Q458), 0, 1), 4, if(ISBLANK('2025'!$R458), 0, 1), 5, if(ISBLANK('2025'!$S458), 0, 1), 6, if(ISBLANK('2025'!$T458), 0, 1), 7, 0))), 1, "")</f>
        <v/>
      </c>
      <c r="AU495" s="1" t="str">
        <f>IF(AND(AND(AND(AU$4&gt;='2025'!$L458,AU$4&lt;='2025'!$M458), AU$4&lt;&gt;DATE(2025,7,4)), (SWITCH(weekday(AU$4), 1, 0, 2, if(ISBLANK('2025'!$P458), 0, 1), 3, if(ISBLANK('2025'!$Q458), 0, 1), 4, if(ISBLANK('2025'!$R458), 0, 1), 5, if(ISBLANK('2025'!$S458), 0, 1), 6, if(ISBLANK('2025'!$T458), 0, 1), 7, 0))), 1, "")</f>
        <v/>
      </c>
      <c r="AV495" s="1" t="str">
        <f>IF(AND(AND(AND(AV$4&gt;='2025'!$L458,AV$4&lt;='2025'!$M458), AV$4&lt;&gt;DATE(2025,7,4)), (SWITCH(weekday(AV$4), 1, 0, 2, if(ISBLANK('2025'!$P458), 0, 1), 3, if(ISBLANK('2025'!$Q458), 0, 1), 4, if(ISBLANK('2025'!$R458), 0, 1), 5, if(ISBLANK('2025'!$S458), 0, 1), 6, if(ISBLANK('2025'!$T458), 0, 1), 7, 0))), 1, "")</f>
        <v/>
      </c>
      <c r="AW495" s="1" t="str">
        <f>IF(AND(AND(AND(AW$4&gt;='2025'!$L458,AW$4&lt;='2025'!$M458), AW$4&lt;&gt;DATE(2025,7,4)), (SWITCH(weekday(AW$4), 1, 0, 2, if(ISBLANK('2025'!$P458), 0, 1), 3, if(ISBLANK('2025'!$Q458), 0, 1), 4, if(ISBLANK('2025'!$R458), 0, 1), 5, if(ISBLANK('2025'!$S458), 0, 1), 6, if(ISBLANK('2025'!$T458), 0, 1), 7, 0))), 1, "")</f>
        <v/>
      </c>
      <c r="AX495" s="1" t="str">
        <f>IF(AND(AND(AND(AX$4&gt;='2025'!$L458,AX$4&lt;='2025'!$M458), AX$4&lt;&gt;DATE(2025,7,4)), (SWITCH(weekday(AX$4), 1, 0, 2, if(ISBLANK('2025'!$P458), 0, 1), 3, if(ISBLANK('2025'!$Q458), 0, 1), 4, if(ISBLANK('2025'!$R458), 0, 1), 5, if(ISBLANK('2025'!$S458), 0, 1), 6, if(ISBLANK('2025'!$T458), 0, 1), 7, 0))), 1, "")</f>
        <v/>
      </c>
      <c r="AY495" s="1" t="str">
        <f>IF(AND(AND(AND(AY$4&gt;='2025'!$L458,AY$4&lt;='2025'!$M458), AY$4&lt;&gt;DATE(2025,7,4)), (SWITCH(weekday(AY$4), 1, 0, 2, if(ISBLANK('2025'!$P458), 0, 1), 3, if(ISBLANK('2025'!$Q458), 0, 1), 4, if(ISBLANK('2025'!$R458), 0, 1), 5, if(ISBLANK('2025'!$S458), 0, 1), 6, if(ISBLANK('2025'!$T458), 0, 1), 7, 0))), 1, "")</f>
        <v/>
      </c>
      <c r="AZ495" s="1" t="str">
        <f>IF(AND(AND(AND(AZ$4&gt;='2025'!$L458,AZ$4&lt;='2025'!$M458), AZ$4&lt;&gt;DATE(2025,7,4)), (SWITCH(weekday(AZ$4), 1, 0, 2, if(ISBLANK('2025'!$P458), 0, 1), 3, if(ISBLANK('2025'!$Q458), 0, 1), 4, if(ISBLANK('2025'!$R458), 0, 1), 5, if(ISBLANK('2025'!$S458), 0, 1), 6, if(ISBLANK('2025'!$T458), 0, 1), 7, 0))), 1, "")</f>
        <v/>
      </c>
      <c r="BA495" s="1" t="str">
        <f>IF(AND(AND(AND(BA$4&gt;='2025'!$L458,BA$4&lt;='2025'!$M458), BA$4&lt;&gt;DATE(2025,7,4)), (SWITCH(weekday(BA$4), 1, 0, 2, if(ISBLANK('2025'!$P458), 0, 1), 3, if(ISBLANK('2025'!$Q458), 0, 1), 4, if(ISBLANK('2025'!$R458), 0, 1), 5, if(ISBLANK('2025'!$S458), 0, 1), 6, if(ISBLANK('2025'!$T458), 0, 1), 7, 0))), 1, "")</f>
        <v/>
      </c>
      <c r="BB495" s="1" t="str">
        <f>IF(AND(AND(AND(BB$4&gt;='2025'!$L458,BB$4&lt;='2025'!$M458), BB$4&lt;&gt;DATE(2025,7,4)), (SWITCH(weekday(BB$4), 1, 0, 2, if(ISBLANK('2025'!$P458), 0, 1), 3, if(ISBLANK('2025'!$Q458), 0, 1), 4, if(ISBLANK('2025'!$R458), 0, 1), 5, if(ISBLANK('2025'!$S458), 0, 1), 6, if(ISBLANK('2025'!$T458), 0, 1), 7, 0))), 1, "")</f>
        <v/>
      </c>
      <c r="BC495" s="1" t="str">
        <f>IF(AND(AND(AND(BC$4&gt;='2025'!$L458,BC$4&lt;='2025'!$M458), BC$4&lt;&gt;DATE(2025,7,4)), (SWITCH(weekday(BC$4), 1, 0, 2, if(ISBLANK('2025'!$P458), 0, 1), 3, if(ISBLANK('2025'!$Q458), 0, 1), 4, if(ISBLANK('2025'!$R458), 0, 1), 5, if(ISBLANK('2025'!$S458), 0, 1), 6, if(ISBLANK('2025'!$T458), 0, 1), 7, 0))), 1, "")</f>
        <v/>
      </c>
      <c r="BD495" s="1" t="str">
        <f>IF(AND(AND(AND(BD$4&gt;='2025'!$L458,BD$4&lt;='2025'!$M458), BD$4&lt;&gt;DATE(2025,7,4)), (SWITCH(weekday(BD$4), 1, 0, 2, if(ISBLANK('2025'!$P458), 0, 1), 3, if(ISBLANK('2025'!$Q458), 0, 1), 4, if(ISBLANK('2025'!$R458), 0, 1), 5, if(ISBLANK('2025'!$S458), 0, 1), 6, if(ISBLANK('2025'!$T458), 0, 1), 7, 0))), 1, "")</f>
        <v/>
      </c>
      <c r="BE495" s="1" t="str">
        <f>IF(AND(AND(AND(BE$4&gt;='2025'!$L458,BE$4&lt;='2025'!$M458), BE$4&lt;&gt;DATE(2025,7,4)), (SWITCH(weekday(BE$4), 1, 0, 2, if(ISBLANK('2025'!$P458), 0, 1), 3, if(ISBLANK('2025'!$Q458), 0, 1), 4, if(ISBLANK('2025'!$R458), 0, 1), 5, if(ISBLANK('2025'!$S458), 0, 1), 6, if(ISBLANK('2025'!$T458), 0, 1), 7, 0))), 1, "")</f>
        <v/>
      </c>
    </row>
    <row r="496">
      <c r="A496" s="1">
        <f t="shared" si="3"/>
        <v>496</v>
      </c>
      <c r="B496" s="1" t="str">
        <f>'2025'!D459</f>
        <v/>
      </c>
      <c r="C496" s="1" t="str">
        <f>'2025'!H459</f>
        <v/>
      </c>
      <c r="D496" s="1" t="str">
        <f>IF(AND(AND(AND(D$4&gt;='2025'!$L459,D$4&lt;='2025'!$M459), D$4&lt;&gt;DATE(2025,7,4)), (SWITCH(weekday(D$4), 1, 0, 2, if(ISBLANK('2025'!$P459), 0, 1), 3, if(ISBLANK('2025'!$Q459), 0, 1), 4, if(ISBLANK('2025'!$R459), 0, 1), 5, if(ISBLANK('2025'!$S459), 0, 1), 6, if(ISBLANK('2025'!$T459), 0, 1), 7, 0))), 1, "")</f>
        <v/>
      </c>
      <c r="E496" s="1" t="str">
        <f>IF(AND(AND(AND(E$4&gt;='2025'!$L459,E$4&lt;='2025'!$M459), E$4&lt;&gt;DATE(2025,7,4)), (SWITCH(weekday(E$4), 1, 0, 2, if(ISBLANK('2025'!$P459), 0, 1), 3, if(ISBLANK('2025'!$Q459), 0, 1), 4, if(ISBLANK('2025'!$R459), 0, 1), 5, if(ISBLANK('2025'!$S459), 0, 1), 6, if(ISBLANK('2025'!$T459), 0, 1), 7, 0))), 1, "")</f>
        <v/>
      </c>
      <c r="F496" s="1" t="str">
        <f>IF(AND(AND(AND(F$4&gt;='2025'!$L459,F$4&lt;='2025'!$M459), F$4&lt;&gt;DATE(2025,7,4)), (SWITCH(weekday(F$4), 1, 0, 2, if(ISBLANK('2025'!$P459), 0, 1), 3, if(ISBLANK('2025'!$Q459), 0, 1), 4, if(ISBLANK('2025'!$R459), 0, 1), 5, if(ISBLANK('2025'!$S459), 0, 1), 6, if(ISBLANK('2025'!$T459), 0, 1), 7, 0))), 1, "")</f>
        <v/>
      </c>
      <c r="G496" s="1" t="str">
        <f>IF(AND(AND(AND(G$4&gt;='2025'!$L459,G$4&lt;='2025'!$M459), G$4&lt;&gt;DATE(2025,7,4)), (SWITCH(weekday(G$4), 1, 0, 2, if(ISBLANK('2025'!$P459), 0, 1), 3, if(ISBLANK('2025'!$Q459), 0, 1), 4, if(ISBLANK('2025'!$R459), 0, 1), 5, if(ISBLANK('2025'!$S459), 0, 1), 6, if(ISBLANK('2025'!$T459), 0, 1), 7, 0))), 1, "")</f>
        <v/>
      </c>
      <c r="H496" s="1" t="str">
        <f>IF(AND(AND(AND(H$4&gt;='2025'!$L459,H$4&lt;='2025'!$M459), H$4&lt;&gt;DATE(2025,7,4)), (SWITCH(weekday(H$4), 1, 0, 2, if(ISBLANK('2025'!$P459), 0, 1), 3, if(ISBLANK('2025'!$Q459), 0, 1), 4, if(ISBLANK('2025'!$R459), 0, 1), 5, if(ISBLANK('2025'!$S459), 0, 1), 6, if(ISBLANK('2025'!$T459), 0, 1), 7, 0))), 1, "")</f>
        <v/>
      </c>
      <c r="I496" s="1" t="str">
        <f>IF(AND(AND(AND(I$4&gt;='2025'!$L459,I$4&lt;='2025'!$M459), I$4&lt;&gt;DATE(2025,7,4)), (SWITCH(weekday(I$4), 1, 0, 2, if(ISBLANK('2025'!$P459), 0, 1), 3, if(ISBLANK('2025'!$Q459), 0, 1), 4, if(ISBLANK('2025'!$R459), 0, 1), 5, if(ISBLANK('2025'!$S459), 0, 1), 6, if(ISBLANK('2025'!$T459), 0, 1), 7, 0))), 1, "")</f>
        <v/>
      </c>
      <c r="J496" s="1" t="str">
        <f>IF(AND(AND(AND(J$4&gt;='2025'!$L459,J$4&lt;='2025'!$M459), J$4&lt;&gt;DATE(2025,7,4)), (SWITCH(weekday(J$4), 1, 0, 2, if(ISBLANK('2025'!$P459), 0, 1), 3, if(ISBLANK('2025'!$Q459), 0, 1), 4, if(ISBLANK('2025'!$R459), 0, 1), 5, if(ISBLANK('2025'!$S459), 0, 1), 6, if(ISBLANK('2025'!$T459), 0, 1), 7, 0))), 1, "")</f>
        <v/>
      </c>
      <c r="K496" s="1" t="str">
        <f>IF(AND(AND(AND(K$4&gt;='2025'!$L459,K$4&lt;='2025'!$M459), K$4&lt;&gt;DATE(2025,7,4)), (SWITCH(weekday(K$4), 1, 0, 2, if(ISBLANK('2025'!$P459), 0, 1), 3, if(ISBLANK('2025'!$Q459), 0, 1), 4, if(ISBLANK('2025'!$R459), 0, 1), 5, if(ISBLANK('2025'!$S459), 0, 1), 6, if(ISBLANK('2025'!$T459), 0, 1), 7, 0))), 1, "")</f>
        <v/>
      </c>
      <c r="L496" s="1" t="str">
        <f>IF(AND(AND(AND(L$4&gt;='2025'!$L459,L$4&lt;='2025'!$M459), L$4&lt;&gt;DATE(2025,7,4)), (SWITCH(weekday(L$4), 1, 0, 2, if(ISBLANK('2025'!$P459), 0, 1), 3, if(ISBLANK('2025'!$Q459), 0, 1), 4, if(ISBLANK('2025'!$R459), 0, 1), 5, if(ISBLANK('2025'!$S459), 0, 1), 6, if(ISBLANK('2025'!$T459), 0, 1), 7, 0))), 1, "")</f>
        <v/>
      </c>
      <c r="M496" s="1" t="str">
        <f>IF(AND(AND(AND(M$4&gt;='2025'!$L459,M$4&lt;='2025'!$M459), M$4&lt;&gt;DATE(2025,7,4)), (SWITCH(weekday(M$4), 1, 0, 2, if(ISBLANK('2025'!$P459), 0, 1), 3, if(ISBLANK('2025'!$Q459), 0, 1), 4, if(ISBLANK('2025'!$R459), 0, 1), 5, if(ISBLANK('2025'!$S459), 0, 1), 6, if(ISBLANK('2025'!$T459), 0, 1), 7, 0))), 1, "")</f>
        <v/>
      </c>
      <c r="N496" s="1" t="str">
        <f>IF(AND(AND(AND(N$4&gt;='2025'!$L459,N$4&lt;='2025'!$M459), N$4&lt;&gt;DATE(2025,7,4)), (SWITCH(weekday(N$4), 1, 0, 2, if(ISBLANK('2025'!$P459), 0, 1), 3, if(ISBLANK('2025'!$Q459), 0, 1), 4, if(ISBLANK('2025'!$R459), 0, 1), 5, if(ISBLANK('2025'!$S459), 0, 1), 6, if(ISBLANK('2025'!$T459), 0, 1), 7, 0))), 1, "")</f>
        <v/>
      </c>
      <c r="O496" s="1" t="str">
        <f>IF(AND(AND(AND(O$4&gt;='2025'!$L459,O$4&lt;='2025'!$M459), O$4&lt;&gt;DATE(2025,7,4)), (SWITCH(weekday(O$4), 1, 0, 2, if(ISBLANK('2025'!$P459), 0, 1), 3, if(ISBLANK('2025'!$Q459), 0, 1), 4, if(ISBLANK('2025'!$R459), 0, 1), 5, if(ISBLANK('2025'!$S459), 0, 1), 6, if(ISBLANK('2025'!$T459), 0, 1), 7, 0))), 1, "")</f>
        <v/>
      </c>
      <c r="P496" s="1" t="str">
        <f>IF(AND(AND(AND(P$4&gt;='2025'!$L459,P$4&lt;='2025'!$M459), P$4&lt;&gt;DATE(2025,7,4)), (SWITCH(weekday(P$4), 1, 0, 2, if(ISBLANK('2025'!$P459), 0, 1), 3, if(ISBLANK('2025'!$Q459), 0, 1), 4, if(ISBLANK('2025'!$R459), 0, 1), 5, if(ISBLANK('2025'!$S459), 0, 1), 6, if(ISBLANK('2025'!$T459), 0, 1), 7, 0))), 1, "")</f>
        <v/>
      </c>
      <c r="Q496" s="1" t="str">
        <f>IF(AND(AND(AND(Q$4&gt;='2025'!$L459,Q$4&lt;='2025'!$M459), Q$4&lt;&gt;DATE(2025,7,4)), (SWITCH(weekday(Q$4), 1, 0, 2, if(ISBLANK('2025'!$P459), 0, 1), 3, if(ISBLANK('2025'!$Q459), 0, 1), 4, if(ISBLANK('2025'!$R459), 0, 1), 5, if(ISBLANK('2025'!$S459), 0, 1), 6, if(ISBLANK('2025'!$T459), 0, 1), 7, 0))), 1, "")</f>
        <v/>
      </c>
      <c r="R496" s="1" t="str">
        <f>IF(AND(AND(AND(R$4&gt;='2025'!$L459,R$4&lt;='2025'!$M459), R$4&lt;&gt;DATE(2025,7,4)), (SWITCH(weekday(R$4), 1, 0, 2, if(ISBLANK('2025'!$P459), 0, 1), 3, if(ISBLANK('2025'!$Q459), 0, 1), 4, if(ISBLANK('2025'!$R459), 0, 1), 5, if(ISBLANK('2025'!$S459), 0, 1), 6, if(ISBLANK('2025'!$T459), 0, 1), 7, 0))), 1, "")</f>
        <v/>
      </c>
      <c r="S496" s="1" t="str">
        <f>IF(AND(AND(AND(S$4&gt;='2025'!$L459,S$4&lt;='2025'!$M459), S$4&lt;&gt;DATE(2025,7,4)), (SWITCH(weekday(S$4), 1, 0, 2, if(ISBLANK('2025'!$P459), 0, 1), 3, if(ISBLANK('2025'!$Q459), 0, 1), 4, if(ISBLANK('2025'!$R459), 0, 1), 5, if(ISBLANK('2025'!$S459), 0, 1), 6, if(ISBLANK('2025'!$T459), 0, 1), 7, 0))), 1, "")</f>
        <v/>
      </c>
      <c r="T496" s="1" t="str">
        <f>IF(AND(AND(AND(T$4&gt;='2025'!$L459,T$4&lt;='2025'!$M459), T$4&lt;&gt;DATE(2025,7,4)), (SWITCH(weekday(T$4), 1, 0, 2, if(ISBLANK('2025'!$P459), 0, 1), 3, if(ISBLANK('2025'!$Q459), 0, 1), 4, if(ISBLANK('2025'!$R459), 0, 1), 5, if(ISBLANK('2025'!$S459), 0, 1), 6, if(ISBLANK('2025'!$T459), 0, 1), 7, 0))), 1, "")</f>
        <v/>
      </c>
      <c r="U496" s="1" t="str">
        <f>IF(AND(AND(AND(U$4&gt;='2025'!$L459,U$4&lt;='2025'!$M459), U$4&lt;&gt;DATE(2025,7,4)), (SWITCH(weekday(U$4), 1, 0, 2, if(ISBLANK('2025'!$P459), 0, 1), 3, if(ISBLANK('2025'!$Q459), 0, 1), 4, if(ISBLANK('2025'!$R459), 0, 1), 5, if(ISBLANK('2025'!$S459), 0, 1), 6, if(ISBLANK('2025'!$T459), 0, 1), 7, 0))), 1, "")</f>
        <v/>
      </c>
      <c r="V496" s="1" t="str">
        <f>IF(AND(AND(AND(V$4&gt;='2025'!$L459,V$4&lt;='2025'!$M459), V$4&lt;&gt;DATE(2025,7,4)), (SWITCH(weekday(V$4), 1, 0, 2, if(ISBLANK('2025'!$P459), 0, 1), 3, if(ISBLANK('2025'!$Q459), 0, 1), 4, if(ISBLANK('2025'!$R459), 0, 1), 5, if(ISBLANK('2025'!$S459), 0, 1), 6, if(ISBLANK('2025'!$T459), 0, 1), 7, 0))), 1, "")</f>
        <v/>
      </c>
      <c r="W496" s="1" t="str">
        <f>IF(AND(AND(AND(W$4&gt;='2025'!$L459,W$4&lt;='2025'!$M459), W$4&lt;&gt;DATE(2025,7,4)), (SWITCH(weekday(W$4), 1, 0, 2, if(ISBLANK('2025'!$P459), 0, 1), 3, if(ISBLANK('2025'!$Q459), 0, 1), 4, if(ISBLANK('2025'!$R459), 0, 1), 5, if(ISBLANK('2025'!$S459), 0, 1), 6, if(ISBLANK('2025'!$T459), 0, 1), 7, 0))), 1, "")</f>
        <v/>
      </c>
      <c r="X496" s="1" t="str">
        <f>IF(AND(AND(AND(X$4&gt;='2025'!$L459,X$4&lt;='2025'!$M459), X$4&lt;&gt;DATE(2025,7,4)), (SWITCH(weekday(X$4), 1, 0, 2, if(ISBLANK('2025'!$P459), 0, 1), 3, if(ISBLANK('2025'!$Q459), 0, 1), 4, if(ISBLANK('2025'!$R459), 0, 1), 5, if(ISBLANK('2025'!$S459), 0, 1), 6, if(ISBLANK('2025'!$T459), 0, 1), 7, 0))), 1, "")</f>
        <v/>
      </c>
      <c r="Y496" s="1" t="str">
        <f>IF(AND(AND(AND(Y$4&gt;='2025'!$L459,Y$4&lt;='2025'!$M459), Y$4&lt;&gt;DATE(2025,7,4)), (SWITCH(weekday(Y$4), 1, 0, 2, if(ISBLANK('2025'!$P459), 0, 1), 3, if(ISBLANK('2025'!$Q459), 0, 1), 4, if(ISBLANK('2025'!$R459), 0, 1), 5, if(ISBLANK('2025'!$S459), 0, 1), 6, if(ISBLANK('2025'!$T459), 0, 1), 7, 0))), 1, "")</f>
        <v/>
      </c>
      <c r="Z496" s="1" t="str">
        <f>IF(AND(AND(AND(Z$4&gt;='2025'!$L459,Z$4&lt;='2025'!$M459), Z$4&lt;&gt;DATE(2025,7,4)), (SWITCH(weekday(Z$4), 1, 0, 2, if(ISBLANK('2025'!$P459), 0, 1), 3, if(ISBLANK('2025'!$Q459), 0, 1), 4, if(ISBLANK('2025'!$R459), 0, 1), 5, if(ISBLANK('2025'!$S459), 0, 1), 6, if(ISBLANK('2025'!$T459), 0, 1), 7, 0))), 1, "")</f>
        <v/>
      </c>
      <c r="AA496" s="1" t="str">
        <f>IF(AND(AND(AND(AA$4&gt;='2025'!$L459,AA$4&lt;='2025'!$M459), AA$4&lt;&gt;DATE(2025,7,4)), (SWITCH(weekday(AA$4), 1, 0, 2, if(ISBLANK('2025'!$P459), 0, 1), 3, if(ISBLANK('2025'!$Q459), 0, 1), 4, if(ISBLANK('2025'!$R459), 0, 1), 5, if(ISBLANK('2025'!$S459), 0, 1), 6, if(ISBLANK('2025'!$T459), 0, 1), 7, 0))), 1, "")</f>
        <v/>
      </c>
      <c r="AB496" s="1" t="str">
        <f>IF(AND(AND(AND(AB$4&gt;='2025'!$L459,AB$4&lt;='2025'!$M459), AB$4&lt;&gt;DATE(2025,7,4)), (SWITCH(weekday(AB$4), 1, 0, 2, if(ISBLANK('2025'!$P459), 0, 1), 3, if(ISBLANK('2025'!$Q459), 0, 1), 4, if(ISBLANK('2025'!$R459), 0, 1), 5, if(ISBLANK('2025'!$S459), 0, 1), 6, if(ISBLANK('2025'!$T459), 0, 1), 7, 0))), 1, "")</f>
        <v/>
      </c>
      <c r="AC496" s="1" t="str">
        <f>IF(AND(AND(AND(AC$4&gt;='2025'!$L459,AC$4&lt;='2025'!$M459), AC$4&lt;&gt;DATE(2025,7,4)), (SWITCH(weekday(AC$4), 1, 0, 2, if(ISBLANK('2025'!$P459), 0, 1), 3, if(ISBLANK('2025'!$Q459), 0, 1), 4, if(ISBLANK('2025'!$R459), 0, 1), 5, if(ISBLANK('2025'!$S459), 0, 1), 6, if(ISBLANK('2025'!$T459), 0, 1), 7, 0))), 1, "")</f>
        <v/>
      </c>
      <c r="AD496" s="1" t="str">
        <f>IF(AND(AND(AND(AD$4&gt;='2025'!$L459,AD$4&lt;='2025'!$M459), AD$4&lt;&gt;DATE(2025,7,4)), (SWITCH(weekday(AD$4), 1, 0, 2, if(ISBLANK('2025'!$P459), 0, 1), 3, if(ISBLANK('2025'!$Q459), 0, 1), 4, if(ISBLANK('2025'!$R459), 0, 1), 5, if(ISBLANK('2025'!$S459), 0, 1), 6, if(ISBLANK('2025'!$T459), 0, 1), 7, 0))), 1, "")</f>
        <v/>
      </c>
      <c r="AE496" s="1" t="str">
        <f>IF(AND(AND(AND(AE$4&gt;='2025'!$L459,AE$4&lt;='2025'!$M459), AE$4&lt;&gt;DATE(2025,7,4)), (SWITCH(weekday(AE$4), 1, 0, 2, if(ISBLANK('2025'!$P459), 0, 1), 3, if(ISBLANK('2025'!$Q459), 0, 1), 4, if(ISBLANK('2025'!$R459), 0, 1), 5, if(ISBLANK('2025'!$S459), 0, 1), 6, if(ISBLANK('2025'!$T459), 0, 1), 7, 0))), 1, "")</f>
        <v/>
      </c>
      <c r="AF496" s="1" t="str">
        <f>IF(AND(AND(AND(AF$4&gt;='2025'!$L459,AF$4&lt;='2025'!$M459), AF$4&lt;&gt;DATE(2025,7,4)), (SWITCH(weekday(AF$4), 1, 0, 2, if(ISBLANK('2025'!$P459), 0, 1), 3, if(ISBLANK('2025'!$Q459), 0, 1), 4, if(ISBLANK('2025'!$R459), 0, 1), 5, if(ISBLANK('2025'!$S459), 0, 1), 6, if(ISBLANK('2025'!$T459), 0, 1), 7, 0))), 1, "")</f>
        <v/>
      </c>
      <c r="AG496" s="1" t="str">
        <f>IF(AND(AND(AND(AG$4&gt;='2025'!$L459,AG$4&lt;='2025'!$M459), AG$4&lt;&gt;DATE(2025,7,4)), (SWITCH(weekday(AG$4), 1, 0, 2, if(ISBLANK('2025'!$P459), 0, 1), 3, if(ISBLANK('2025'!$Q459), 0, 1), 4, if(ISBLANK('2025'!$R459), 0, 1), 5, if(ISBLANK('2025'!$S459), 0, 1), 6, if(ISBLANK('2025'!$T459), 0, 1), 7, 0))), 1, "")</f>
        <v/>
      </c>
      <c r="AH496" s="1" t="str">
        <f>IF(AND(AND(AND(AH$4&gt;='2025'!$L459,AH$4&lt;='2025'!$M459), AH$4&lt;&gt;DATE(2025,7,4)), (SWITCH(weekday(AH$4), 1, 0, 2, if(ISBLANK('2025'!$P459), 0, 1), 3, if(ISBLANK('2025'!$Q459), 0, 1), 4, if(ISBLANK('2025'!$R459), 0, 1), 5, if(ISBLANK('2025'!$S459), 0, 1), 6, if(ISBLANK('2025'!$T459), 0, 1), 7, 0))), 1, "")</f>
        <v/>
      </c>
      <c r="AI496" s="1" t="str">
        <f>IF(AND(AND(AND(AI$4&gt;='2025'!$L459,AI$4&lt;='2025'!$M459), AI$4&lt;&gt;DATE(2025,7,4)), (SWITCH(weekday(AI$4), 1, 0, 2, if(ISBLANK('2025'!$P459), 0, 1), 3, if(ISBLANK('2025'!$Q459), 0, 1), 4, if(ISBLANK('2025'!$R459), 0, 1), 5, if(ISBLANK('2025'!$S459), 0, 1), 6, if(ISBLANK('2025'!$T459), 0, 1), 7, 0))), 1, "")</f>
        <v/>
      </c>
      <c r="AJ496" s="1" t="str">
        <f>IF(AND(AND(AND(AJ$4&gt;='2025'!$L459,AJ$4&lt;='2025'!$M459), AJ$4&lt;&gt;DATE(2025,7,4)), (SWITCH(weekday(AJ$4), 1, 0, 2, if(ISBLANK('2025'!$P459), 0, 1), 3, if(ISBLANK('2025'!$Q459), 0, 1), 4, if(ISBLANK('2025'!$R459), 0, 1), 5, if(ISBLANK('2025'!$S459), 0, 1), 6, if(ISBLANK('2025'!$T459), 0, 1), 7, 0))), 1, "")</f>
        <v/>
      </c>
      <c r="AK496" s="1" t="str">
        <f>IF(AND(AND(AND(AK$4&gt;='2025'!$L459,AK$4&lt;='2025'!$M459), AK$4&lt;&gt;DATE(2025,7,4)), (SWITCH(weekday(AK$4), 1, 0, 2, if(ISBLANK('2025'!$P459), 0, 1), 3, if(ISBLANK('2025'!$Q459), 0, 1), 4, if(ISBLANK('2025'!$R459), 0, 1), 5, if(ISBLANK('2025'!$S459), 0, 1), 6, if(ISBLANK('2025'!$T459), 0, 1), 7, 0))), 1, "")</f>
        <v/>
      </c>
      <c r="AL496" s="1" t="str">
        <f>IF(AND(AND(AND(AL$4&gt;='2025'!$L459,AL$4&lt;='2025'!$M459), AL$4&lt;&gt;DATE(2025,7,4)), (SWITCH(weekday(AL$4), 1, 0, 2, if(ISBLANK('2025'!$P459), 0, 1), 3, if(ISBLANK('2025'!$Q459), 0, 1), 4, if(ISBLANK('2025'!$R459), 0, 1), 5, if(ISBLANK('2025'!$S459), 0, 1), 6, if(ISBLANK('2025'!$T459), 0, 1), 7, 0))), 1, "")</f>
        <v/>
      </c>
      <c r="AM496" s="1" t="str">
        <f>IF(AND(AND(AND(AM$4&gt;='2025'!$L459,AM$4&lt;='2025'!$M459), AM$4&lt;&gt;DATE(2025,7,4)), (SWITCH(weekday(AM$4), 1, 0, 2, if(ISBLANK('2025'!$P459), 0, 1), 3, if(ISBLANK('2025'!$Q459), 0, 1), 4, if(ISBLANK('2025'!$R459), 0, 1), 5, if(ISBLANK('2025'!$S459), 0, 1), 6, if(ISBLANK('2025'!$T459), 0, 1), 7, 0))), 1, "")</f>
        <v/>
      </c>
      <c r="AN496" s="1" t="str">
        <f>IF(AND(AND(AND(AN$4&gt;='2025'!$L459,AN$4&lt;='2025'!$M459), AN$4&lt;&gt;DATE(2025,7,4)), (SWITCH(weekday(AN$4), 1, 0, 2, if(ISBLANK('2025'!$P459), 0, 1), 3, if(ISBLANK('2025'!$Q459), 0, 1), 4, if(ISBLANK('2025'!$R459), 0, 1), 5, if(ISBLANK('2025'!$S459), 0, 1), 6, if(ISBLANK('2025'!$T459), 0, 1), 7, 0))), 1, "")</f>
        <v/>
      </c>
      <c r="AO496" s="1" t="str">
        <f>IF(AND(AND(AND(AO$4&gt;='2025'!$L459,AO$4&lt;='2025'!$M459), AO$4&lt;&gt;DATE(2025,7,4)), (SWITCH(weekday(AO$4), 1, 0, 2, if(ISBLANK('2025'!$P459), 0, 1), 3, if(ISBLANK('2025'!$Q459), 0, 1), 4, if(ISBLANK('2025'!$R459), 0, 1), 5, if(ISBLANK('2025'!$S459), 0, 1), 6, if(ISBLANK('2025'!$T459), 0, 1), 7, 0))), 1, "")</f>
        <v/>
      </c>
      <c r="AP496" s="1" t="str">
        <f>IF(AND(AND(AND(AP$4&gt;='2025'!$L459,AP$4&lt;='2025'!$M459), AP$4&lt;&gt;DATE(2025,7,4)), (SWITCH(weekday(AP$4), 1, 0, 2, if(ISBLANK('2025'!$P459), 0, 1), 3, if(ISBLANK('2025'!$Q459), 0, 1), 4, if(ISBLANK('2025'!$R459), 0, 1), 5, if(ISBLANK('2025'!$S459), 0, 1), 6, if(ISBLANK('2025'!$T459), 0, 1), 7, 0))), 1, "")</f>
        <v/>
      </c>
      <c r="AQ496" s="1" t="str">
        <f>IF(AND(AND(AND(AQ$4&gt;='2025'!$L459,AQ$4&lt;='2025'!$M459), AQ$4&lt;&gt;DATE(2025,7,4)), (SWITCH(weekday(AQ$4), 1, 0, 2, if(ISBLANK('2025'!$P459), 0, 1), 3, if(ISBLANK('2025'!$Q459), 0, 1), 4, if(ISBLANK('2025'!$R459), 0, 1), 5, if(ISBLANK('2025'!$S459), 0, 1), 6, if(ISBLANK('2025'!$T459), 0, 1), 7, 0))), 1, "")</f>
        <v/>
      </c>
      <c r="AR496" s="1" t="str">
        <f>IF(AND(AND(AND(AR$4&gt;='2025'!$L459,AR$4&lt;='2025'!$M459), AR$4&lt;&gt;DATE(2025,7,4)), (SWITCH(weekday(AR$4), 1, 0, 2, if(ISBLANK('2025'!$P459), 0, 1), 3, if(ISBLANK('2025'!$Q459), 0, 1), 4, if(ISBLANK('2025'!$R459), 0, 1), 5, if(ISBLANK('2025'!$S459), 0, 1), 6, if(ISBLANK('2025'!$T459), 0, 1), 7, 0))), 1, "")</f>
        <v/>
      </c>
      <c r="AS496" s="1" t="str">
        <f>IF(AND(AND(AND(AS$4&gt;='2025'!$L459,AS$4&lt;='2025'!$M459), AS$4&lt;&gt;DATE(2025,7,4)), (SWITCH(weekday(AS$4), 1, 0, 2, if(ISBLANK('2025'!$P459), 0, 1), 3, if(ISBLANK('2025'!$Q459), 0, 1), 4, if(ISBLANK('2025'!$R459), 0, 1), 5, if(ISBLANK('2025'!$S459), 0, 1), 6, if(ISBLANK('2025'!$T459), 0, 1), 7, 0))), 1, "")</f>
        <v/>
      </c>
      <c r="AT496" s="1" t="str">
        <f>IF(AND(AND(AND(AT$4&gt;='2025'!$L459,AT$4&lt;='2025'!$M459), AT$4&lt;&gt;DATE(2025,7,4)), (SWITCH(weekday(AT$4), 1, 0, 2, if(ISBLANK('2025'!$P459), 0, 1), 3, if(ISBLANK('2025'!$Q459), 0, 1), 4, if(ISBLANK('2025'!$R459), 0, 1), 5, if(ISBLANK('2025'!$S459), 0, 1), 6, if(ISBLANK('2025'!$T459), 0, 1), 7, 0))), 1, "")</f>
        <v/>
      </c>
      <c r="AU496" s="1" t="str">
        <f>IF(AND(AND(AND(AU$4&gt;='2025'!$L459,AU$4&lt;='2025'!$M459), AU$4&lt;&gt;DATE(2025,7,4)), (SWITCH(weekday(AU$4), 1, 0, 2, if(ISBLANK('2025'!$P459), 0, 1), 3, if(ISBLANK('2025'!$Q459), 0, 1), 4, if(ISBLANK('2025'!$R459), 0, 1), 5, if(ISBLANK('2025'!$S459), 0, 1), 6, if(ISBLANK('2025'!$T459), 0, 1), 7, 0))), 1, "")</f>
        <v/>
      </c>
      <c r="AV496" s="1" t="str">
        <f>IF(AND(AND(AND(AV$4&gt;='2025'!$L459,AV$4&lt;='2025'!$M459), AV$4&lt;&gt;DATE(2025,7,4)), (SWITCH(weekday(AV$4), 1, 0, 2, if(ISBLANK('2025'!$P459), 0, 1), 3, if(ISBLANK('2025'!$Q459), 0, 1), 4, if(ISBLANK('2025'!$R459), 0, 1), 5, if(ISBLANK('2025'!$S459), 0, 1), 6, if(ISBLANK('2025'!$T459), 0, 1), 7, 0))), 1, "")</f>
        <v/>
      </c>
      <c r="AW496" s="1" t="str">
        <f>IF(AND(AND(AND(AW$4&gt;='2025'!$L459,AW$4&lt;='2025'!$M459), AW$4&lt;&gt;DATE(2025,7,4)), (SWITCH(weekday(AW$4), 1, 0, 2, if(ISBLANK('2025'!$P459), 0, 1), 3, if(ISBLANK('2025'!$Q459), 0, 1), 4, if(ISBLANK('2025'!$R459), 0, 1), 5, if(ISBLANK('2025'!$S459), 0, 1), 6, if(ISBLANK('2025'!$T459), 0, 1), 7, 0))), 1, "")</f>
        <v/>
      </c>
      <c r="AX496" s="1" t="str">
        <f>IF(AND(AND(AND(AX$4&gt;='2025'!$L459,AX$4&lt;='2025'!$M459), AX$4&lt;&gt;DATE(2025,7,4)), (SWITCH(weekday(AX$4), 1, 0, 2, if(ISBLANK('2025'!$P459), 0, 1), 3, if(ISBLANK('2025'!$Q459), 0, 1), 4, if(ISBLANK('2025'!$R459), 0, 1), 5, if(ISBLANK('2025'!$S459), 0, 1), 6, if(ISBLANK('2025'!$T459), 0, 1), 7, 0))), 1, "")</f>
        <v/>
      </c>
      <c r="AY496" s="1" t="str">
        <f>IF(AND(AND(AND(AY$4&gt;='2025'!$L459,AY$4&lt;='2025'!$M459), AY$4&lt;&gt;DATE(2025,7,4)), (SWITCH(weekday(AY$4), 1, 0, 2, if(ISBLANK('2025'!$P459), 0, 1), 3, if(ISBLANK('2025'!$Q459), 0, 1), 4, if(ISBLANK('2025'!$R459), 0, 1), 5, if(ISBLANK('2025'!$S459), 0, 1), 6, if(ISBLANK('2025'!$T459), 0, 1), 7, 0))), 1, "")</f>
        <v/>
      </c>
      <c r="AZ496" s="1" t="str">
        <f>IF(AND(AND(AND(AZ$4&gt;='2025'!$L459,AZ$4&lt;='2025'!$M459), AZ$4&lt;&gt;DATE(2025,7,4)), (SWITCH(weekday(AZ$4), 1, 0, 2, if(ISBLANK('2025'!$P459), 0, 1), 3, if(ISBLANK('2025'!$Q459), 0, 1), 4, if(ISBLANK('2025'!$R459), 0, 1), 5, if(ISBLANK('2025'!$S459), 0, 1), 6, if(ISBLANK('2025'!$T459), 0, 1), 7, 0))), 1, "")</f>
        <v/>
      </c>
      <c r="BA496" s="1" t="str">
        <f>IF(AND(AND(AND(BA$4&gt;='2025'!$L459,BA$4&lt;='2025'!$M459), BA$4&lt;&gt;DATE(2025,7,4)), (SWITCH(weekday(BA$4), 1, 0, 2, if(ISBLANK('2025'!$P459), 0, 1), 3, if(ISBLANK('2025'!$Q459), 0, 1), 4, if(ISBLANK('2025'!$R459), 0, 1), 5, if(ISBLANK('2025'!$S459), 0, 1), 6, if(ISBLANK('2025'!$T459), 0, 1), 7, 0))), 1, "")</f>
        <v/>
      </c>
      <c r="BB496" s="1" t="str">
        <f>IF(AND(AND(AND(BB$4&gt;='2025'!$L459,BB$4&lt;='2025'!$M459), BB$4&lt;&gt;DATE(2025,7,4)), (SWITCH(weekday(BB$4), 1, 0, 2, if(ISBLANK('2025'!$P459), 0, 1), 3, if(ISBLANK('2025'!$Q459), 0, 1), 4, if(ISBLANK('2025'!$R459), 0, 1), 5, if(ISBLANK('2025'!$S459), 0, 1), 6, if(ISBLANK('2025'!$T459), 0, 1), 7, 0))), 1, "")</f>
        <v/>
      </c>
      <c r="BC496" s="1" t="str">
        <f>IF(AND(AND(AND(BC$4&gt;='2025'!$L459,BC$4&lt;='2025'!$M459), BC$4&lt;&gt;DATE(2025,7,4)), (SWITCH(weekday(BC$4), 1, 0, 2, if(ISBLANK('2025'!$P459), 0, 1), 3, if(ISBLANK('2025'!$Q459), 0, 1), 4, if(ISBLANK('2025'!$R459), 0, 1), 5, if(ISBLANK('2025'!$S459), 0, 1), 6, if(ISBLANK('2025'!$T459), 0, 1), 7, 0))), 1, "")</f>
        <v/>
      </c>
      <c r="BD496" s="1" t="str">
        <f>IF(AND(AND(AND(BD$4&gt;='2025'!$L459,BD$4&lt;='2025'!$M459), BD$4&lt;&gt;DATE(2025,7,4)), (SWITCH(weekday(BD$4), 1, 0, 2, if(ISBLANK('2025'!$P459), 0, 1), 3, if(ISBLANK('2025'!$Q459), 0, 1), 4, if(ISBLANK('2025'!$R459), 0, 1), 5, if(ISBLANK('2025'!$S459), 0, 1), 6, if(ISBLANK('2025'!$T459), 0, 1), 7, 0))), 1, "")</f>
        <v/>
      </c>
      <c r="BE496" s="1" t="str">
        <f>IF(AND(AND(AND(BE$4&gt;='2025'!$L459,BE$4&lt;='2025'!$M459), BE$4&lt;&gt;DATE(2025,7,4)), (SWITCH(weekday(BE$4), 1, 0, 2, if(ISBLANK('2025'!$P459), 0, 1), 3, if(ISBLANK('2025'!$Q459), 0, 1), 4, if(ISBLANK('2025'!$R459), 0, 1), 5, if(ISBLANK('2025'!$S459), 0, 1), 6, if(ISBLANK('2025'!$T459), 0, 1), 7, 0))), 1, "")</f>
        <v/>
      </c>
    </row>
    <row r="497">
      <c r="A497" s="1">
        <f t="shared" si="3"/>
        <v>497</v>
      </c>
      <c r="B497" s="1" t="str">
        <f>'2025'!D460</f>
        <v/>
      </c>
      <c r="C497" s="1" t="str">
        <f>'2025'!H460</f>
        <v/>
      </c>
      <c r="D497" s="1" t="str">
        <f>IF(AND(AND(AND(D$4&gt;='2025'!$L460,D$4&lt;='2025'!$M460), D$4&lt;&gt;DATE(2025,7,4)), (SWITCH(weekday(D$4), 1, 0, 2, if(ISBLANK('2025'!$P460), 0, 1), 3, if(ISBLANK('2025'!$Q460), 0, 1), 4, if(ISBLANK('2025'!$R460), 0, 1), 5, if(ISBLANK('2025'!$S460), 0, 1), 6, if(ISBLANK('2025'!$T460), 0, 1), 7, 0))), 1, "")</f>
        <v/>
      </c>
      <c r="E497" s="1" t="str">
        <f>IF(AND(AND(AND(E$4&gt;='2025'!$L460,E$4&lt;='2025'!$M460), E$4&lt;&gt;DATE(2025,7,4)), (SWITCH(weekday(E$4), 1, 0, 2, if(ISBLANK('2025'!$P460), 0, 1), 3, if(ISBLANK('2025'!$Q460), 0, 1), 4, if(ISBLANK('2025'!$R460), 0, 1), 5, if(ISBLANK('2025'!$S460), 0, 1), 6, if(ISBLANK('2025'!$T460), 0, 1), 7, 0))), 1, "")</f>
        <v/>
      </c>
      <c r="F497" s="1" t="str">
        <f>IF(AND(AND(AND(F$4&gt;='2025'!$L460,F$4&lt;='2025'!$M460), F$4&lt;&gt;DATE(2025,7,4)), (SWITCH(weekday(F$4), 1, 0, 2, if(ISBLANK('2025'!$P460), 0, 1), 3, if(ISBLANK('2025'!$Q460), 0, 1), 4, if(ISBLANK('2025'!$R460), 0, 1), 5, if(ISBLANK('2025'!$S460), 0, 1), 6, if(ISBLANK('2025'!$T460), 0, 1), 7, 0))), 1, "")</f>
        <v/>
      </c>
      <c r="G497" s="1" t="str">
        <f>IF(AND(AND(AND(G$4&gt;='2025'!$L460,G$4&lt;='2025'!$M460), G$4&lt;&gt;DATE(2025,7,4)), (SWITCH(weekday(G$4), 1, 0, 2, if(ISBLANK('2025'!$P460), 0, 1), 3, if(ISBLANK('2025'!$Q460), 0, 1), 4, if(ISBLANK('2025'!$R460), 0, 1), 5, if(ISBLANK('2025'!$S460), 0, 1), 6, if(ISBLANK('2025'!$T460), 0, 1), 7, 0))), 1, "")</f>
        <v/>
      </c>
      <c r="H497" s="1" t="str">
        <f>IF(AND(AND(AND(H$4&gt;='2025'!$L460,H$4&lt;='2025'!$M460), H$4&lt;&gt;DATE(2025,7,4)), (SWITCH(weekday(H$4), 1, 0, 2, if(ISBLANK('2025'!$P460), 0, 1), 3, if(ISBLANK('2025'!$Q460), 0, 1), 4, if(ISBLANK('2025'!$R460), 0, 1), 5, if(ISBLANK('2025'!$S460), 0, 1), 6, if(ISBLANK('2025'!$T460), 0, 1), 7, 0))), 1, "")</f>
        <v/>
      </c>
      <c r="I497" s="1" t="str">
        <f>IF(AND(AND(AND(I$4&gt;='2025'!$L460,I$4&lt;='2025'!$M460), I$4&lt;&gt;DATE(2025,7,4)), (SWITCH(weekday(I$4), 1, 0, 2, if(ISBLANK('2025'!$P460), 0, 1), 3, if(ISBLANK('2025'!$Q460), 0, 1), 4, if(ISBLANK('2025'!$R460), 0, 1), 5, if(ISBLANK('2025'!$S460), 0, 1), 6, if(ISBLANK('2025'!$T460), 0, 1), 7, 0))), 1, "")</f>
        <v/>
      </c>
      <c r="J497" s="1" t="str">
        <f>IF(AND(AND(AND(J$4&gt;='2025'!$L460,J$4&lt;='2025'!$M460), J$4&lt;&gt;DATE(2025,7,4)), (SWITCH(weekday(J$4), 1, 0, 2, if(ISBLANK('2025'!$P460), 0, 1), 3, if(ISBLANK('2025'!$Q460), 0, 1), 4, if(ISBLANK('2025'!$R460), 0, 1), 5, if(ISBLANK('2025'!$S460), 0, 1), 6, if(ISBLANK('2025'!$T460), 0, 1), 7, 0))), 1, "")</f>
        <v/>
      </c>
      <c r="K497" s="1" t="str">
        <f>IF(AND(AND(AND(K$4&gt;='2025'!$L460,K$4&lt;='2025'!$M460), K$4&lt;&gt;DATE(2025,7,4)), (SWITCH(weekday(K$4), 1, 0, 2, if(ISBLANK('2025'!$P460), 0, 1), 3, if(ISBLANK('2025'!$Q460), 0, 1), 4, if(ISBLANK('2025'!$R460), 0, 1), 5, if(ISBLANK('2025'!$S460), 0, 1), 6, if(ISBLANK('2025'!$T460), 0, 1), 7, 0))), 1, "")</f>
        <v/>
      </c>
      <c r="L497" s="1" t="str">
        <f>IF(AND(AND(AND(L$4&gt;='2025'!$L460,L$4&lt;='2025'!$M460), L$4&lt;&gt;DATE(2025,7,4)), (SWITCH(weekday(L$4), 1, 0, 2, if(ISBLANK('2025'!$P460), 0, 1), 3, if(ISBLANK('2025'!$Q460), 0, 1), 4, if(ISBLANK('2025'!$R460), 0, 1), 5, if(ISBLANK('2025'!$S460), 0, 1), 6, if(ISBLANK('2025'!$T460), 0, 1), 7, 0))), 1, "")</f>
        <v/>
      </c>
      <c r="M497" s="1" t="str">
        <f>IF(AND(AND(AND(M$4&gt;='2025'!$L460,M$4&lt;='2025'!$M460), M$4&lt;&gt;DATE(2025,7,4)), (SWITCH(weekday(M$4), 1, 0, 2, if(ISBLANK('2025'!$P460), 0, 1), 3, if(ISBLANK('2025'!$Q460), 0, 1), 4, if(ISBLANK('2025'!$R460), 0, 1), 5, if(ISBLANK('2025'!$S460), 0, 1), 6, if(ISBLANK('2025'!$T460), 0, 1), 7, 0))), 1, "")</f>
        <v/>
      </c>
      <c r="N497" s="1" t="str">
        <f>IF(AND(AND(AND(N$4&gt;='2025'!$L460,N$4&lt;='2025'!$M460), N$4&lt;&gt;DATE(2025,7,4)), (SWITCH(weekday(N$4), 1, 0, 2, if(ISBLANK('2025'!$P460), 0, 1), 3, if(ISBLANK('2025'!$Q460), 0, 1), 4, if(ISBLANK('2025'!$R460), 0, 1), 5, if(ISBLANK('2025'!$S460), 0, 1), 6, if(ISBLANK('2025'!$T460), 0, 1), 7, 0))), 1, "")</f>
        <v/>
      </c>
      <c r="O497" s="1" t="str">
        <f>IF(AND(AND(AND(O$4&gt;='2025'!$L460,O$4&lt;='2025'!$M460), O$4&lt;&gt;DATE(2025,7,4)), (SWITCH(weekday(O$4), 1, 0, 2, if(ISBLANK('2025'!$P460), 0, 1), 3, if(ISBLANK('2025'!$Q460), 0, 1), 4, if(ISBLANK('2025'!$R460), 0, 1), 5, if(ISBLANK('2025'!$S460), 0, 1), 6, if(ISBLANK('2025'!$T460), 0, 1), 7, 0))), 1, "")</f>
        <v/>
      </c>
      <c r="P497" s="1" t="str">
        <f>IF(AND(AND(AND(P$4&gt;='2025'!$L460,P$4&lt;='2025'!$M460), P$4&lt;&gt;DATE(2025,7,4)), (SWITCH(weekday(P$4), 1, 0, 2, if(ISBLANK('2025'!$P460), 0, 1), 3, if(ISBLANK('2025'!$Q460), 0, 1), 4, if(ISBLANK('2025'!$R460), 0, 1), 5, if(ISBLANK('2025'!$S460), 0, 1), 6, if(ISBLANK('2025'!$T460), 0, 1), 7, 0))), 1, "")</f>
        <v/>
      </c>
      <c r="Q497" s="1" t="str">
        <f>IF(AND(AND(AND(Q$4&gt;='2025'!$L460,Q$4&lt;='2025'!$M460), Q$4&lt;&gt;DATE(2025,7,4)), (SWITCH(weekday(Q$4), 1, 0, 2, if(ISBLANK('2025'!$P460), 0, 1), 3, if(ISBLANK('2025'!$Q460), 0, 1), 4, if(ISBLANK('2025'!$R460), 0, 1), 5, if(ISBLANK('2025'!$S460), 0, 1), 6, if(ISBLANK('2025'!$T460), 0, 1), 7, 0))), 1, "")</f>
        <v/>
      </c>
      <c r="R497" s="1" t="str">
        <f>IF(AND(AND(AND(R$4&gt;='2025'!$L460,R$4&lt;='2025'!$M460), R$4&lt;&gt;DATE(2025,7,4)), (SWITCH(weekday(R$4), 1, 0, 2, if(ISBLANK('2025'!$P460), 0, 1), 3, if(ISBLANK('2025'!$Q460), 0, 1), 4, if(ISBLANK('2025'!$R460), 0, 1), 5, if(ISBLANK('2025'!$S460), 0, 1), 6, if(ISBLANK('2025'!$T460), 0, 1), 7, 0))), 1, "")</f>
        <v/>
      </c>
      <c r="S497" s="1" t="str">
        <f>IF(AND(AND(AND(S$4&gt;='2025'!$L460,S$4&lt;='2025'!$M460), S$4&lt;&gt;DATE(2025,7,4)), (SWITCH(weekday(S$4), 1, 0, 2, if(ISBLANK('2025'!$P460), 0, 1), 3, if(ISBLANK('2025'!$Q460), 0, 1), 4, if(ISBLANK('2025'!$R460), 0, 1), 5, if(ISBLANK('2025'!$S460), 0, 1), 6, if(ISBLANK('2025'!$T460), 0, 1), 7, 0))), 1, "")</f>
        <v/>
      </c>
      <c r="T497" s="1" t="str">
        <f>IF(AND(AND(AND(T$4&gt;='2025'!$L460,T$4&lt;='2025'!$M460), T$4&lt;&gt;DATE(2025,7,4)), (SWITCH(weekday(T$4), 1, 0, 2, if(ISBLANK('2025'!$P460), 0, 1), 3, if(ISBLANK('2025'!$Q460), 0, 1), 4, if(ISBLANK('2025'!$R460), 0, 1), 5, if(ISBLANK('2025'!$S460), 0, 1), 6, if(ISBLANK('2025'!$T460), 0, 1), 7, 0))), 1, "")</f>
        <v/>
      </c>
      <c r="U497" s="1" t="str">
        <f>IF(AND(AND(AND(U$4&gt;='2025'!$L460,U$4&lt;='2025'!$M460), U$4&lt;&gt;DATE(2025,7,4)), (SWITCH(weekday(U$4), 1, 0, 2, if(ISBLANK('2025'!$P460), 0, 1), 3, if(ISBLANK('2025'!$Q460), 0, 1), 4, if(ISBLANK('2025'!$R460), 0, 1), 5, if(ISBLANK('2025'!$S460), 0, 1), 6, if(ISBLANK('2025'!$T460), 0, 1), 7, 0))), 1, "")</f>
        <v/>
      </c>
      <c r="V497" s="1" t="str">
        <f>IF(AND(AND(AND(V$4&gt;='2025'!$L460,V$4&lt;='2025'!$M460), V$4&lt;&gt;DATE(2025,7,4)), (SWITCH(weekday(V$4), 1, 0, 2, if(ISBLANK('2025'!$P460), 0, 1), 3, if(ISBLANK('2025'!$Q460), 0, 1), 4, if(ISBLANK('2025'!$R460), 0, 1), 5, if(ISBLANK('2025'!$S460), 0, 1), 6, if(ISBLANK('2025'!$T460), 0, 1), 7, 0))), 1, "")</f>
        <v/>
      </c>
      <c r="W497" s="1" t="str">
        <f>IF(AND(AND(AND(W$4&gt;='2025'!$L460,W$4&lt;='2025'!$M460), W$4&lt;&gt;DATE(2025,7,4)), (SWITCH(weekday(W$4), 1, 0, 2, if(ISBLANK('2025'!$P460), 0, 1), 3, if(ISBLANK('2025'!$Q460), 0, 1), 4, if(ISBLANK('2025'!$R460), 0, 1), 5, if(ISBLANK('2025'!$S460), 0, 1), 6, if(ISBLANK('2025'!$T460), 0, 1), 7, 0))), 1, "")</f>
        <v/>
      </c>
      <c r="X497" s="1" t="str">
        <f>IF(AND(AND(AND(X$4&gt;='2025'!$L460,X$4&lt;='2025'!$M460), X$4&lt;&gt;DATE(2025,7,4)), (SWITCH(weekday(X$4), 1, 0, 2, if(ISBLANK('2025'!$P460), 0, 1), 3, if(ISBLANK('2025'!$Q460), 0, 1), 4, if(ISBLANK('2025'!$R460), 0, 1), 5, if(ISBLANK('2025'!$S460), 0, 1), 6, if(ISBLANK('2025'!$T460), 0, 1), 7, 0))), 1, "")</f>
        <v/>
      </c>
      <c r="Y497" s="1" t="str">
        <f>IF(AND(AND(AND(Y$4&gt;='2025'!$L460,Y$4&lt;='2025'!$M460), Y$4&lt;&gt;DATE(2025,7,4)), (SWITCH(weekday(Y$4), 1, 0, 2, if(ISBLANK('2025'!$P460), 0, 1), 3, if(ISBLANK('2025'!$Q460), 0, 1), 4, if(ISBLANK('2025'!$R460), 0, 1), 5, if(ISBLANK('2025'!$S460), 0, 1), 6, if(ISBLANK('2025'!$T460), 0, 1), 7, 0))), 1, "")</f>
        <v/>
      </c>
      <c r="Z497" s="1" t="str">
        <f>IF(AND(AND(AND(Z$4&gt;='2025'!$L460,Z$4&lt;='2025'!$M460), Z$4&lt;&gt;DATE(2025,7,4)), (SWITCH(weekday(Z$4), 1, 0, 2, if(ISBLANK('2025'!$P460), 0, 1), 3, if(ISBLANK('2025'!$Q460), 0, 1), 4, if(ISBLANK('2025'!$R460), 0, 1), 5, if(ISBLANK('2025'!$S460), 0, 1), 6, if(ISBLANK('2025'!$T460), 0, 1), 7, 0))), 1, "")</f>
        <v/>
      </c>
      <c r="AA497" s="1" t="str">
        <f>IF(AND(AND(AND(AA$4&gt;='2025'!$L460,AA$4&lt;='2025'!$M460), AA$4&lt;&gt;DATE(2025,7,4)), (SWITCH(weekday(AA$4), 1, 0, 2, if(ISBLANK('2025'!$P460), 0, 1), 3, if(ISBLANK('2025'!$Q460), 0, 1), 4, if(ISBLANK('2025'!$R460), 0, 1), 5, if(ISBLANK('2025'!$S460), 0, 1), 6, if(ISBLANK('2025'!$T460), 0, 1), 7, 0))), 1, "")</f>
        <v/>
      </c>
      <c r="AB497" s="1" t="str">
        <f>IF(AND(AND(AND(AB$4&gt;='2025'!$L460,AB$4&lt;='2025'!$M460), AB$4&lt;&gt;DATE(2025,7,4)), (SWITCH(weekday(AB$4), 1, 0, 2, if(ISBLANK('2025'!$P460), 0, 1), 3, if(ISBLANK('2025'!$Q460), 0, 1), 4, if(ISBLANK('2025'!$R460), 0, 1), 5, if(ISBLANK('2025'!$S460), 0, 1), 6, if(ISBLANK('2025'!$T460), 0, 1), 7, 0))), 1, "")</f>
        <v/>
      </c>
      <c r="AC497" s="1" t="str">
        <f>IF(AND(AND(AND(AC$4&gt;='2025'!$L460,AC$4&lt;='2025'!$M460), AC$4&lt;&gt;DATE(2025,7,4)), (SWITCH(weekday(AC$4), 1, 0, 2, if(ISBLANK('2025'!$P460), 0, 1), 3, if(ISBLANK('2025'!$Q460), 0, 1), 4, if(ISBLANK('2025'!$R460), 0, 1), 5, if(ISBLANK('2025'!$S460), 0, 1), 6, if(ISBLANK('2025'!$T460), 0, 1), 7, 0))), 1, "")</f>
        <v/>
      </c>
      <c r="AD497" s="1" t="str">
        <f>IF(AND(AND(AND(AD$4&gt;='2025'!$L460,AD$4&lt;='2025'!$M460), AD$4&lt;&gt;DATE(2025,7,4)), (SWITCH(weekday(AD$4), 1, 0, 2, if(ISBLANK('2025'!$P460), 0, 1), 3, if(ISBLANK('2025'!$Q460), 0, 1), 4, if(ISBLANK('2025'!$R460), 0, 1), 5, if(ISBLANK('2025'!$S460), 0, 1), 6, if(ISBLANK('2025'!$T460), 0, 1), 7, 0))), 1, "")</f>
        <v/>
      </c>
      <c r="AE497" s="1" t="str">
        <f>IF(AND(AND(AND(AE$4&gt;='2025'!$L460,AE$4&lt;='2025'!$M460), AE$4&lt;&gt;DATE(2025,7,4)), (SWITCH(weekday(AE$4), 1, 0, 2, if(ISBLANK('2025'!$P460), 0, 1), 3, if(ISBLANK('2025'!$Q460), 0, 1), 4, if(ISBLANK('2025'!$R460), 0, 1), 5, if(ISBLANK('2025'!$S460), 0, 1), 6, if(ISBLANK('2025'!$T460), 0, 1), 7, 0))), 1, "")</f>
        <v/>
      </c>
      <c r="AF497" s="1" t="str">
        <f>IF(AND(AND(AND(AF$4&gt;='2025'!$L460,AF$4&lt;='2025'!$M460), AF$4&lt;&gt;DATE(2025,7,4)), (SWITCH(weekday(AF$4), 1, 0, 2, if(ISBLANK('2025'!$P460), 0, 1), 3, if(ISBLANK('2025'!$Q460), 0, 1), 4, if(ISBLANK('2025'!$R460), 0, 1), 5, if(ISBLANK('2025'!$S460), 0, 1), 6, if(ISBLANK('2025'!$T460), 0, 1), 7, 0))), 1, "")</f>
        <v/>
      </c>
      <c r="AG497" s="1" t="str">
        <f>IF(AND(AND(AND(AG$4&gt;='2025'!$L460,AG$4&lt;='2025'!$M460), AG$4&lt;&gt;DATE(2025,7,4)), (SWITCH(weekday(AG$4), 1, 0, 2, if(ISBLANK('2025'!$P460), 0, 1), 3, if(ISBLANK('2025'!$Q460), 0, 1), 4, if(ISBLANK('2025'!$R460), 0, 1), 5, if(ISBLANK('2025'!$S460), 0, 1), 6, if(ISBLANK('2025'!$T460), 0, 1), 7, 0))), 1, "")</f>
        <v/>
      </c>
      <c r="AH497" s="1" t="str">
        <f>IF(AND(AND(AND(AH$4&gt;='2025'!$L460,AH$4&lt;='2025'!$M460), AH$4&lt;&gt;DATE(2025,7,4)), (SWITCH(weekday(AH$4), 1, 0, 2, if(ISBLANK('2025'!$P460), 0, 1), 3, if(ISBLANK('2025'!$Q460), 0, 1), 4, if(ISBLANK('2025'!$R460), 0, 1), 5, if(ISBLANK('2025'!$S460), 0, 1), 6, if(ISBLANK('2025'!$T460), 0, 1), 7, 0))), 1, "")</f>
        <v/>
      </c>
      <c r="AI497" s="1" t="str">
        <f>IF(AND(AND(AND(AI$4&gt;='2025'!$L460,AI$4&lt;='2025'!$M460), AI$4&lt;&gt;DATE(2025,7,4)), (SWITCH(weekday(AI$4), 1, 0, 2, if(ISBLANK('2025'!$P460), 0, 1), 3, if(ISBLANK('2025'!$Q460), 0, 1), 4, if(ISBLANK('2025'!$R460), 0, 1), 5, if(ISBLANK('2025'!$S460), 0, 1), 6, if(ISBLANK('2025'!$T460), 0, 1), 7, 0))), 1, "")</f>
        <v/>
      </c>
      <c r="AJ497" s="1" t="str">
        <f>IF(AND(AND(AND(AJ$4&gt;='2025'!$L460,AJ$4&lt;='2025'!$M460), AJ$4&lt;&gt;DATE(2025,7,4)), (SWITCH(weekday(AJ$4), 1, 0, 2, if(ISBLANK('2025'!$P460), 0, 1), 3, if(ISBLANK('2025'!$Q460), 0, 1), 4, if(ISBLANK('2025'!$R460), 0, 1), 5, if(ISBLANK('2025'!$S460), 0, 1), 6, if(ISBLANK('2025'!$T460), 0, 1), 7, 0))), 1, "")</f>
        <v/>
      </c>
      <c r="AK497" s="1" t="str">
        <f>IF(AND(AND(AND(AK$4&gt;='2025'!$L460,AK$4&lt;='2025'!$M460), AK$4&lt;&gt;DATE(2025,7,4)), (SWITCH(weekday(AK$4), 1, 0, 2, if(ISBLANK('2025'!$P460), 0, 1), 3, if(ISBLANK('2025'!$Q460), 0, 1), 4, if(ISBLANK('2025'!$R460), 0, 1), 5, if(ISBLANK('2025'!$S460), 0, 1), 6, if(ISBLANK('2025'!$T460), 0, 1), 7, 0))), 1, "")</f>
        <v/>
      </c>
      <c r="AL497" s="1" t="str">
        <f>IF(AND(AND(AND(AL$4&gt;='2025'!$L460,AL$4&lt;='2025'!$M460), AL$4&lt;&gt;DATE(2025,7,4)), (SWITCH(weekday(AL$4), 1, 0, 2, if(ISBLANK('2025'!$P460), 0, 1), 3, if(ISBLANK('2025'!$Q460), 0, 1), 4, if(ISBLANK('2025'!$R460), 0, 1), 5, if(ISBLANK('2025'!$S460), 0, 1), 6, if(ISBLANK('2025'!$T460), 0, 1), 7, 0))), 1, "")</f>
        <v/>
      </c>
      <c r="AM497" s="1" t="str">
        <f>IF(AND(AND(AND(AM$4&gt;='2025'!$L460,AM$4&lt;='2025'!$M460), AM$4&lt;&gt;DATE(2025,7,4)), (SWITCH(weekday(AM$4), 1, 0, 2, if(ISBLANK('2025'!$P460), 0, 1), 3, if(ISBLANK('2025'!$Q460), 0, 1), 4, if(ISBLANK('2025'!$R460), 0, 1), 5, if(ISBLANK('2025'!$S460), 0, 1), 6, if(ISBLANK('2025'!$T460), 0, 1), 7, 0))), 1, "")</f>
        <v/>
      </c>
      <c r="AN497" s="1" t="str">
        <f>IF(AND(AND(AND(AN$4&gt;='2025'!$L460,AN$4&lt;='2025'!$M460), AN$4&lt;&gt;DATE(2025,7,4)), (SWITCH(weekday(AN$4), 1, 0, 2, if(ISBLANK('2025'!$P460), 0, 1), 3, if(ISBLANK('2025'!$Q460), 0, 1), 4, if(ISBLANK('2025'!$R460), 0, 1), 5, if(ISBLANK('2025'!$S460), 0, 1), 6, if(ISBLANK('2025'!$T460), 0, 1), 7, 0))), 1, "")</f>
        <v/>
      </c>
      <c r="AO497" s="1" t="str">
        <f>IF(AND(AND(AND(AO$4&gt;='2025'!$L460,AO$4&lt;='2025'!$M460), AO$4&lt;&gt;DATE(2025,7,4)), (SWITCH(weekday(AO$4), 1, 0, 2, if(ISBLANK('2025'!$P460), 0, 1), 3, if(ISBLANK('2025'!$Q460), 0, 1), 4, if(ISBLANK('2025'!$R460), 0, 1), 5, if(ISBLANK('2025'!$S460), 0, 1), 6, if(ISBLANK('2025'!$T460), 0, 1), 7, 0))), 1, "")</f>
        <v/>
      </c>
      <c r="AP497" s="1" t="str">
        <f>IF(AND(AND(AND(AP$4&gt;='2025'!$L460,AP$4&lt;='2025'!$M460), AP$4&lt;&gt;DATE(2025,7,4)), (SWITCH(weekday(AP$4), 1, 0, 2, if(ISBLANK('2025'!$P460), 0, 1), 3, if(ISBLANK('2025'!$Q460), 0, 1), 4, if(ISBLANK('2025'!$R460), 0, 1), 5, if(ISBLANK('2025'!$S460), 0, 1), 6, if(ISBLANK('2025'!$T460), 0, 1), 7, 0))), 1, "")</f>
        <v/>
      </c>
      <c r="AQ497" s="1" t="str">
        <f>IF(AND(AND(AND(AQ$4&gt;='2025'!$L460,AQ$4&lt;='2025'!$M460), AQ$4&lt;&gt;DATE(2025,7,4)), (SWITCH(weekday(AQ$4), 1, 0, 2, if(ISBLANK('2025'!$P460), 0, 1), 3, if(ISBLANK('2025'!$Q460), 0, 1), 4, if(ISBLANK('2025'!$R460), 0, 1), 5, if(ISBLANK('2025'!$S460), 0, 1), 6, if(ISBLANK('2025'!$T460), 0, 1), 7, 0))), 1, "")</f>
        <v/>
      </c>
      <c r="AR497" s="1" t="str">
        <f>IF(AND(AND(AND(AR$4&gt;='2025'!$L460,AR$4&lt;='2025'!$M460), AR$4&lt;&gt;DATE(2025,7,4)), (SWITCH(weekday(AR$4), 1, 0, 2, if(ISBLANK('2025'!$P460), 0, 1), 3, if(ISBLANK('2025'!$Q460), 0, 1), 4, if(ISBLANK('2025'!$R460), 0, 1), 5, if(ISBLANK('2025'!$S460), 0, 1), 6, if(ISBLANK('2025'!$T460), 0, 1), 7, 0))), 1, "")</f>
        <v/>
      </c>
      <c r="AS497" s="1" t="str">
        <f>IF(AND(AND(AND(AS$4&gt;='2025'!$L460,AS$4&lt;='2025'!$M460), AS$4&lt;&gt;DATE(2025,7,4)), (SWITCH(weekday(AS$4), 1, 0, 2, if(ISBLANK('2025'!$P460), 0, 1), 3, if(ISBLANK('2025'!$Q460), 0, 1), 4, if(ISBLANK('2025'!$R460), 0, 1), 5, if(ISBLANK('2025'!$S460), 0, 1), 6, if(ISBLANK('2025'!$T460), 0, 1), 7, 0))), 1, "")</f>
        <v/>
      </c>
      <c r="AT497" s="1" t="str">
        <f>IF(AND(AND(AND(AT$4&gt;='2025'!$L460,AT$4&lt;='2025'!$M460), AT$4&lt;&gt;DATE(2025,7,4)), (SWITCH(weekday(AT$4), 1, 0, 2, if(ISBLANK('2025'!$P460), 0, 1), 3, if(ISBLANK('2025'!$Q460), 0, 1), 4, if(ISBLANK('2025'!$R460), 0, 1), 5, if(ISBLANK('2025'!$S460), 0, 1), 6, if(ISBLANK('2025'!$T460), 0, 1), 7, 0))), 1, "")</f>
        <v/>
      </c>
      <c r="AU497" s="1" t="str">
        <f>IF(AND(AND(AND(AU$4&gt;='2025'!$L460,AU$4&lt;='2025'!$M460), AU$4&lt;&gt;DATE(2025,7,4)), (SWITCH(weekday(AU$4), 1, 0, 2, if(ISBLANK('2025'!$P460), 0, 1), 3, if(ISBLANK('2025'!$Q460), 0, 1), 4, if(ISBLANK('2025'!$R460), 0, 1), 5, if(ISBLANK('2025'!$S460), 0, 1), 6, if(ISBLANK('2025'!$T460), 0, 1), 7, 0))), 1, "")</f>
        <v/>
      </c>
      <c r="AV497" s="1" t="str">
        <f>IF(AND(AND(AND(AV$4&gt;='2025'!$L460,AV$4&lt;='2025'!$M460), AV$4&lt;&gt;DATE(2025,7,4)), (SWITCH(weekday(AV$4), 1, 0, 2, if(ISBLANK('2025'!$P460), 0, 1), 3, if(ISBLANK('2025'!$Q460), 0, 1), 4, if(ISBLANK('2025'!$R460), 0, 1), 5, if(ISBLANK('2025'!$S460), 0, 1), 6, if(ISBLANK('2025'!$T460), 0, 1), 7, 0))), 1, "")</f>
        <v/>
      </c>
      <c r="AW497" s="1" t="str">
        <f>IF(AND(AND(AND(AW$4&gt;='2025'!$L460,AW$4&lt;='2025'!$M460), AW$4&lt;&gt;DATE(2025,7,4)), (SWITCH(weekday(AW$4), 1, 0, 2, if(ISBLANK('2025'!$P460), 0, 1), 3, if(ISBLANK('2025'!$Q460), 0, 1), 4, if(ISBLANK('2025'!$R460), 0, 1), 5, if(ISBLANK('2025'!$S460), 0, 1), 6, if(ISBLANK('2025'!$T460), 0, 1), 7, 0))), 1, "")</f>
        <v/>
      </c>
      <c r="AX497" s="1" t="str">
        <f>IF(AND(AND(AND(AX$4&gt;='2025'!$L460,AX$4&lt;='2025'!$M460), AX$4&lt;&gt;DATE(2025,7,4)), (SWITCH(weekday(AX$4), 1, 0, 2, if(ISBLANK('2025'!$P460), 0, 1), 3, if(ISBLANK('2025'!$Q460), 0, 1), 4, if(ISBLANK('2025'!$R460), 0, 1), 5, if(ISBLANK('2025'!$S460), 0, 1), 6, if(ISBLANK('2025'!$T460), 0, 1), 7, 0))), 1, "")</f>
        <v/>
      </c>
      <c r="AY497" s="1" t="str">
        <f>IF(AND(AND(AND(AY$4&gt;='2025'!$L460,AY$4&lt;='2025'!$M460), AY$4&lt;&gt;DATE(2025,7,4)), (SWITCH(weekday(AY$4), 1, 0, 2, if(ISBLANK('2025'!$P460), 0, 1), 3, if(ISBLANK('2025'!$Q460), 0, 1), 4, if(ISBLANK('2025'!$R460), 0, 1), 5, if(ISBLANK('2025'!$S460), 0, 1), 6, if(ISBLANK('2025'!$T460), 0, 1), 7, 0))), 1, "")</f>
        <v/>
      </c>
      <c r="AZ497" s="1" t="str">
        <f>IF(AND(AND(AND(AZ$4&gt;='2025'!$L460,AZ$4&lt;='2025'!$M460), AZ$4&lt;&gt;DATE(2025,7,4)), (SWITCH(weekday(AZ$4), 1, 0, 2, if(ISBLANK('2025'!$P460), 0, 1), 3, if(ISBLANK('2025'!$Q460), 0, 1), 4, if(ISBLANK('2025'!$R460), 0, 1), 5, if(ISBLANK('2025'!$S460), 0, 1), 6, if(ISBLANK('2025'!$T460), 0, 1), 7, 0))), 1, "")</f>
        <v/>
      </c>
      <c r="BA497" s="1" t="str">
        <f>IF(AND(AND(AND(BA$4&gt;='2025'!$L460,BA$4&lt;='2025'!$M460), BA$4&lt;&gt;DATE(2025,7,4)), (SWITCH(weekday(BA$4), 1, 0, 2, if(ISBLANK('2025'!$P460), 0, 1), 3, if(ISBLANK('2025'!$Q460), 0, 1), 4, if(ISBLANK('2025'!$R460), 0, 1), 5, if(ISBLANK('2025'!$S460), 0, 1), 6, if(ISBLANK('2025'!$T460), 0, 1), 7, 0))), 1, "")</f>
        <v/>
      </c>
      <c r="BB497" s="1" t="str">
        <f>IF(AND(AND(AND(BB$4&gt;='2025'!$L460,BB$4&lt;='2025'!$M460), BB$4&lt;&gt;DATE(2025,7,4)), (SWITCH(weekday(BB$4), 1, 0, 2, if(ISBLANK('2025'!$P460), 0, 1), 3, if(ISBLANK('2025'!$Q460), 0, 1), 4, if(ISBLANK('2025'!$R460), 0, 1), 5, if(ISBLANK('2025'!$S460), 0, 1), 6, if(ISBLANK('2025'!$T460), 0, 1), 7, 0))), 1, "")</f>
        <v/>
      </c>
      <c r="BC497" s="1" t="str">
        <f>IF(AND(AND(AND(BC$4&gt;='2025'!$L460,BC$4&lt;='2025'!$M460), BC$4&lt;&gt;DATE(2025,7,4)), (SWITCH(weekday(BC$4), 1, 0, 2, if(ISBLANK('2025'!$P460), 0, 1), 3, if(ISBLANK('2025'!$Q460), 0, 1), 4, if(ISBLANK('2025'!$R460), 0, 1), 5, if(ISBLANK('2025'!$S460), 0, 1), 6, if(ISBLANK('2025'!$T460), 0, 1), 7, 0))), 1, "")</f>
        <v/>
      </c>
      <c r="BD497" s="1" t="str">
        <f>IF(AND(AND(AND(BD$4&gt;='2025'!$L460,BD$4&lt;='2025'!$M460), BD$4&lt;&gt;DATE(2025,7,4)), (SWITCH(weekday(BD$4), 1, 0, 2, if(ISBLANK('2025'!$P460), 0, 1), 3, if(ISBLANK('2025'!$Q460), 0, 1), 4, if(ISBLANK('2025'!$R460), 0, 1), 5, if(ISBLANK('2025'!$S460), 0, 1), 6, if(ISBLANK('2025'!$T460), 0, 1), 7, 0))), 1, "")</f>
        <v/>
      </c>
      <c r="BE497" s="1" t="str">
        <f>IF(AND(AND(AND(BE$4&gt;='2025'!$L460,BE$4&lt;='2025'!$M460), BE$4&lt;&gt;DATE(2025,7,4)), (SWITCH(weekday(BE$4), 1, 0, 2, if(ISBLANK('2025'!$P460), 0, 1), 3, if(ISBLANK('2025'!$Q460), 0, 1), 4, if(ISBLANK('2025'!$R460), 0, 1), 5, if(ISBLANK('2025'!$S460), 0, 1), 6, if(ISBLANK('2025'!$T460), 0, 1), 7, 0))), 1, "")</f>
        <v/>
      </c>
    </row>
    <row r="498">
      <c r="A498" s="1">
        <f t="shared" si="3"/>
        <v>498</v>
      </c>
      <c r="B498" s="1" t="str">
        <f>'2025'!D461</f>
        <v/>
      </c>
      <c r="C498" s="1" t="str">
        <f>'2025'!H461</f>
        <v/>
      </c>
      <c r="D498" s="1" t="str">
        <f>IF(AND(AND(AND(D$4&gt;='2025'!$L461,D$4&lt;='2025'!$M461), D$4&lt;&gt;DATE(2025,7,4)), (SWITCH(weekday(D$4), 1, 0, 2, if(ISBLANK('2025'!$P461), 0, 1), 3, if(ISBLANK('2025'!$Q461), 0, 1), 4, if(ISBLANK('2025'!$R461), 0, 1), 5, if(ISBLANK('2025'!$S461), 0, 1), 6, if(ISBLANK('2025'!$T461), 0, 1), 7, 0))), 1, "")</f>
        <v/>
      </c>
      <c r="E498" s="1" t="str">
        <f>IF(AND(AND(AND(E$4&gt;='2025'!$L461,E$4&lt;='2025'!$M461), E$4&lt;&gt;DATE(2025,7,4)), (SWITCH(weekday(E$4), 1, 0, 2, if(ISBLANK('2025'!$P461), 0, 1), 3, if(ISBLANK('2025'!$Q461), 0, 1), 4, if(ISBLANK('2025'!$R461), 0, 1), 5, if(ISBLANK('2025'!$S461), 0, 1), 6, if(ISBLANK('2025'!$T461), 0, 1), 7, 0))), 1, "")</f>
        <v/>
      </c>
      <c r="F498" s="1" t="str">
        <f>IF(AND(AND(AND(F$4&gt;='2025'!$L461,F$4&lt;='2025'!$M461), F$4&lt;&gt;DATE(2025,7,4)), (SWITCH(weekday(F$4), 1, 0, 2, if(ISBLANK('2025'!$P461), 0, 1), 3, if(ISBLANK('2025'!$Q461), 0, 1), 4, if(ISBLANK('2025'!$R461), 0, 1), 5, if(ISBLANK('2025'!$S461), 0, 1), 6, if(ISBLANK('2025'!$T461), 0, 1), 7, 0))), 1, "")</f>
        <v/>
      </c>
      <c r="G498" s="1" t="str">
        <f>IF(AND(AND(AND(G$4&gt;='2025'!$L461,G$4&lt;='2025'!$M461), G$4&lt;&gt;DATE(2025,7,4)), (SWITCH(weekday(G$4), 1, 0, 2, if(ISBLANK('2025'!$P461), 0, 1), 3, if(ISBLANK('2025'!$Q461), 0, 1), 4, if(ISBLANK('2025'!$R461), 0, 1), 5, if(ISBLANK('2025'!$S461), 0, 1), 6, if(ISBLANK('2025'!$T461), 0, 1), 7, 0))), 1, "")</f>
        <v/>
      </c>
      <c r="H498" s="1" t="str">
        <f>IF(AND(AND(AND(H$4&gt;='2025'!$L461,H$4&lt;='2025'!$M461), H$4&lt;&gt;DATE(2025,7,4)), (SWITCH(weekday(H$4), 1, 0, 2, if(ISBLANK('2025'!$P461), 0, 1), 3, if(ISBLANK('2025'!$Q461), 0, 1), 4, if(ISBLANK('2025'!$R461), 0, 1), 5, if(ISBLANK('2025'!$S461), 0, 1), 6, if(ISBLANK('2025'!$T461), 0, 1), 7, 0))), 1, "")</f>
        <v/>
      </c>
      <c r="I498" s="1" t="str">
        <f>IF(AND(AND(AND(I$4&gt;='2025'!$L461,I$4&lt;='2025'!$M461), I$4&lt;&gt;DATE(2025,7,4)), (SWITCH(weekday(I$4), 1, 0, 2, if(ISBLANK('2025'!$P461), 0, 1), 3, if(ISBLANK('2025'!$Q461), 0, 1), 4, if(ISBLANK('2025'!$R461), 0, 1), 5, if(ISBLANK('2025'!$S461), 0, 1), 6, if(ISBLANK('2025'!$T461), 0, 1), 7, 0))), 1, "")</f>
        <v/>
      </c>
      <c r="J498" s="1" t="str">
        <f>IF(AND(AND(AND(J$4&gt;='2025'!$L461,J$4&lt;='2025'!$M461), J$4&lt;&gt;DATE(2025,7,4)), (SWITCH(weekday(J$4), 1, 0, 2, if(ISBLANK('2025'!$P461), 0, 1), 3, if(ISBLANK('2025'!$Q461), 0, 1), 4, if(ISBLANK('2025'!$R461), 0, 1), 5, if(ISBLANK('2025'!$S461), 0, 1), 6, if(ISBLANK('2025'!$T461), 0, 1), 7, 0))), 1, "")</f>
        <v/>
      </c>
      <c r="K498" s="1" t="str">
        <f>IF(AND(AND(AND(K$4&gt;='2025'!$L461,K$4&lt;='2025'!$M461), K$4&lt;&gt;DATE(2025,7,4)), (SWITCH(weekday(K$4), 1, 0, 2, if(ISBLANK('2025'!$P461), 0, 1), 3, if(ISBLANK('2025'!$Q461), 0, 1), 4, if(ISBLANK('2025'!$R461), 0, 1), 5, if(ISBLANK('2025'!$S461), 0, 1), 6, if(ISBLANK('2025'!$T461), 0, 1), 7, 0))), 1, "")</f>
        <v/>
      </c>
      <c r="L498" s="1" t="str">
        <f>IF(AND(AND(AND(L$4&gt;='2025'!$L461,L$4&lt;='2025'!$M461), L$4&lt;&gt;DATE(2025,7,4)), (SWITCH(weekday(L$4), 1, 0, 2, if(ISBLANK('2025'!$P461), 0, 1), 3, if(ISBLANK('2025'!$Q461), 0, 1), 4, if(ISBLANK('2025'!$R461), 0, 1), 5, if(ISBLANK('2025'!$S461), 0, 1), 6, if(ISBLANK('2025'!$T461), 0, 1), 7, 0))), 1, "")</f>
        <v/>
      </c>
      <c r="M498" s="1" t="str">
        <f>IF(AND(AND(AND(M$4&gt;='2025'!$L461,M$4&lt;='2025'!$M461), M$4&lt;&gt;DATE(2025,7,4)), (SWITCH(weekday(M$4), 1, 0, 2, if(ISBLANK('2025'!$P461), 0, 1), 3, if(ISBLANK('2025'!$Q461), 0, 1), 4, if(ISBLANK('2025'!$R461), 0, 1), 5, if(ISBLANK('2025'!$S461), 0, 1), 6, if(ISBLANK('2025'!$T461), 0, 1), 7, 0))), 1, "")</f>
        <v/>
      </c>
      <c r="N498" s="1" t="str">
        <f>IF(AND(AND(AND(N$4&gt;='2025'!$L461,N$4&lt;='2025'!$M461), N$4&lt;&gt;DATE(2025,7,4)), (SWITCH(weekday(N$4), 1, 0, 2, if(ISBLANK('2025'!$P461), 0, 1), 3, if(ISBLANK('2025'!$Q461), 0, 1), 4, if(ISBLANK('2025'!$R461), 0, 1), 5, if(ISBLANK('2025'!$S461), 0, 1), 6, if(ISBLANK('2025'!$T461), 0, 1), 7, 0))), 1, "")</f>
        <v/>
      </c>
      <c r="O498" s="1" t="str">
        <f>IF(AND(AND(AND(O$4&gt;='2025'!$L461,O$4&lt;='2025'!$M461), O$4&lt;&gt;DATE(2025,7,4)), (SWITCH(weekday(O$4), 1, 0, 2, if(ISBLANK('2025'!$P461), 0, 1), 3, if(ISBLANK('2025'!$Q461), 0, 1), 4, if(ISBLANK('2025'!$R461), 0, 1), 5, if(ISBLANK('2025'!$S461), 0, 1), 6, if(ISBLANK('2025'!$T461), 0, 1), 7, 0))), 1, "")</f>
        <v/>
      </c>
      <c r="P498" s="1" t="str">
        <f>IF(AND(AND(AND(P$4&gt;='2025'!$L461,P$4&lt;='2025'!$M461), P$4&lt;&gt;DATE(2025,7,4)), (SWITCH(weekday(P$4), 1, 0, 2, if(ISBLANK('2025'!$P461), 0, 1), 3, if(ISBLANK('2025'!$Q461), 0, 1), 4, if(ISBLANK('2025'!$R461), 0, 1), 5, if(ISBLANK('2025'!$S461), 0, 1), 6, if(ISBLANK('2025'!$T461), 0, 1), 7, 0))), 1, "")</f>
        <v/>
      </c>
      <c r="Q498" s="1" t="str">
        <f>IF(AND(AND(AND(Q$4&gt;='2025'!$L461,Q$4&lt;='2025'!$M461), Q$4&lt;&gt;DATE(2025,7,4)), (SWITCH(weekday(Q$4), 1, 0, 2, if(ISBLANK('2025'!$P461), 0, 1), 3, if(ISBLANK('2025'!$Q461), 0, 1), 4, if(ISBLANK('2025'!$R461), 0, 1), 5, if(ISBLANK('2025'!$S461), 0, 1), 6, if(ISBLANK('2025'!$T461), 0, 1), 7, 0))), 1, "")</f>
        <v/>
      </c>
      <c r="R498" s="1" t="str">
        <f>IF(AND(AND(AND(R$4&gt;='2025'!$L461,R$4&lt;='2025'!$M461), R$4&lt;&gt;DATE(2025,7,4)), (SWITCH(weekday(R$4), 1, 0, 2, if(ISBLANK('2025'!$P461), 0, 1), 3, if(ISBLANK('2025'!$Q461), 0, 1), 4, if(ISBLANK('2025'!$R461), 0, 1), 5, if(ISBLANK('2025'!$S461), 0, 1), 6, if(ISBLANK('2025'!$T461), 0, 1), 7, 0))), 1, "")</f>
        <v/>
      </c>
      <c r="S498" s="1" t="str">
        <f>IF(AND(AND(AND(S$4&gt;='2025'!$L461,S$4&lt;='2025'!$M461), S$4&lt;&gt;DATE(2025,7,4)), (SWITCH(weekday(S$4), 1, 0, 2, if(ISBLANK('2025'!$P461), 0, 1), 3, if(ISBLANK('2025'!$Q461), 0, 1), 4, if(ISBLANK('2025'!$R461), 0, 1), 5, if(ISBLANK('2025'!$S461), 0, 1), 6, if(ISBLANK('2025'!$T461), 0, 1), 7, 0))), 1, "")</f>
        <v/>
      </c>
      <c r="T498" s="1" t="str">
        <f>IF(AND(AND(AND(T$4&gt;='2025'!$L461,T$4&lt;='2025'!$M461), T$4&lt;&gt;DATE(2025,7,4)), (SWITCH(weekday(T$4), 1, 0, 2, if(ISBLANK('2025'!$P461), 0, 1), 3, if(ISBLANK('2025'!$Q461), 0, 1), 4, if(ISBLANK('2025'!$R461), 0, 1), 5, if(ISBLANK('2025'!$S461), 0, 1), 6, if(ISBLANK('2025'!$T461), 0, 1), 7, 0))), 1, "")</f>
        <v/>
      </c>
      <c r="U498" s="1" t="str">
        <f>IF(AND(AND(AND(U$4&gt;='2025'!$L461,U$4&lt;='2025'!$M461), U$4&lt;&gt;DATE(2025,7,4)), (SWITCH(weekday(U$4), 1, 0, 2, if(ISBLANK('2025'!$P461), 0, 1), 3, if(ISBLANK('2025'!$Q461), 0, 1), 4, if(ISBLANK('2025'!$R461), 0, 1), 5, if(ISBLANK('2025'!$S461), 0, 1), 6, if(ISBLANK('2025'!$T461), 0, 1), 7, 0))), 1, "")</f>
        <v/>
      </c>
      <c r="V498" s="1" t="str">
        <f>IF(AND(AND(AND(V$4&gt;='2025'!$L461,V$4&lt;='2025'!$M461), V$4&lt;&gt;DATE(2025,7,4)), (SWITCH(weekday(V$4), 1, 0, 2, if(ISBLANK('2025'!$P461), 0, 1), 3, if(ISBLANK('2025'!$Q461), 0, 1), 4, if(ISBLANK('2025'!$R461), 0, 1), 5, if(ISBLANK('2025'!$S461), 0, 1), 6, if(ISBLANK('2025'!$T461), 0, 1), 7, 0))), 1, "")</f>
        <v/>
      </c>
      <c r="W498" s="1" t="str">
        <f>IF(AND(AND(AND(W$4&gt;='2025'!$L461,W$4&lt;='2025'!$M461), W$4&lt;&gt;DATE(2025,7,4)), (SWITCH(weekday(W$4), 1, 0, 2, if(ISBLANK('2025'!$P461), 0, 1), 3, if(ISBLANK('2025'!$Q461), 0, 1), 4, if(ISBLANK('2025'!$R461), 0, 1), 5, if(ISBLANK('2025'!$S461), 0, 1), 6, if(ISBLANK('2025'!$T461), 0, 1), 7, 0))), 1, "")</f>
        <v/>
      </c>
      <c r="X498" s="1" t="str">
        <f>IF(AND(AND(AND(X$4&gt;='2025'!$L461,X$4&lt;='2025'!$M461), X$4&lt;&gt;DATE(2025,7,4)), (SWITCH(weekday(X$4), 1, 0, 2, if(ISBLANK('2025'!$P461), 0, 1), 3, if(ISBLANK('2025'!$Q461), 0, 1), 4, if(ISBLANK('2025'!$R461), 0, 1), 5, if(ISBLANK('2025'!$S461), 0, 1), 6, if(ISBLANK('2025'!$T461), 0, 1), 7, 0))), 1, "")</f>
        <v/>
      </c>
      <c r="Y498" s="1" t="str">
        <f>IF(AND(AND(AND(Y$4&gt;='2025'!$L461,Y$4&lt;='2025'!$M461), Y$4&lt;&gt;DATE(2025,7,4)), (SWITCH(weekday(Y$4), 1, 0, 2, if(ISBLANK('2025'!$P461), 0, 1), 3, if(ISBLANK('2025'!$Q461), 0, 1), 4, if(ISBLANK('2025'!$R461), 0, 1), 5, if(ISBLANK('2025'!$S461), 0, 1), 6, if(ISBLANK('2025'!$T461), 0, 1), 7, 0))), 1, "")</f>
        <v/>
      </c>
      <c r="Z498" s="1" t="str">
        <f>IF(AND(AND(AND(Z$4&gt;='2025'!$L461,Z$4&lt;='2025'!$M461), Z$4&lt;&gt;DATE(2025,7,4)), (SWITCH(weekday(Z$4), 1, 0, 2, if(ISBLANK('2025'!$P461), 0, 1), 3, if(ISBLANK('2025'!$Q461), 0, 1), 4, if(ISBLANK('2025'!$R461), 0, 1), 5, if(ISBLANK('2025'!$S461), 0, 1), 6, if(ISBLANK('2025'!$T461), 0, 1), 7, 0))), 1, "")</f>
        <v/>
      </c>
      <c r="AA498" s="1" t="str">
        <f>IF(AND(AND(AND(AA$4&gt;='2025'!$L461,AA$4&lt;='2025'!$M461), AA$4&lt;&gt;DATE(2025,7,4)), (SWITCH(weekday(AA$4), 1, 0, 2, if(ISBLANK('2025'!$P461), 0, 1), 3, if(ISBLANK('2025'!$Q461), 0, 1), 4, if(ISBLANK('2025'!$R461), 0, 1), 5, if(ISBLANK('2025'!$S461), 0, 1), 6, if(ISBLANK('2025'!$T461), 0, 1), 7, 0))), 1, "")</f>
        <v/>
      </c>
      <c r="AB498" s="1" t="str">
        <f>IF(AND(AND(AND(AB$4&gt;='2025'!$L461,AB$4&lt;='2025'!$M461), AB$4&lt;&gt;DATE(2025,7,4)), (SWITCH(weekday(AB$4), 1, 0, 2, if(ISBLANK('2025'!$P461), 0, 1), 3, if(ISBLANK('2025'!$Q461), 0, 1), 4, if(ISBLANK('2025'!$R461), 0, 1), 5, if(ISBLANK('2025'!$S461), 0, 1), 6, if(ISBLANK('2025'!$T461), 0, 1), 7, 0))), 1, "")</f>
        <v/>
      </c>
      <c r="AC498" s="1" t="str">
        <f>IF(AND(AND(AND(AC$4&gt;='2025'!$L461,AC$4&lt;='2025'!$M461), AC$4&lt;&gt;DATE(2025,7,4)), (SWITCH(weekday(AC$4), 1, 0, 2, if(ISBLANK('2025'!$P461), 0, 1), 3, if(ISBLANK('2025'!$Q461), 0, 1), 4, if(ISBLANK('2025'!$R461), 0, 1), 5, if(ISBLANK('2025'!$S461), 0, 1), 6, if(ISBLANK('2025'!$T461), 0, 1), 7, 0))), 1, "")</f>
        <v/>
      </c>
      <c r="AD498" s="1" t="str">
        <f>IF(AND(AND(AND(AD$4&gt;='2025'!$L461,AD$4&lt;='2025'!$M461), AD$4&lt;&gt;DATE(2025,7,4)), (SWITCH(weekday(AD$4), 1, 0, 2, if(ISBLANK('2025'!$P461), 0, 1), 3, if(ISBLANK('2025'!$Q461), 0, 1), 4, if(ISBLANK('2025'!$R461), 0, 1), 5, if(ISBLANK('2025'!$S461), 0, 1), 6, if(ISBLANK('2025'!$T461), 0, 1), 7, 0))), 1, "")</f>
        <v/>
      </c>
      <c r="AE498" s="1" t="str">
        <f>IF(AND(AND(AND(AE$4&gt;='2025'!$L461,AE$4&lt;='2025'!$M461), AE$4&lt;&gt;DATE(2025,7,4)), (SWITCH(weekday(AE$4), 1, 0, 2, if(ISBLANK('2025'!$P461), 0, 1), 3, if(ISBLANK('2025'!$Q461), 0, 1), 4, if(ISBLANK('2025'!$R461), 0, 1), 5, if(ISBLANK('2025'!$S461), 0, 1), 6, if(ISBLANK('2025'!$T461), 0, 1), 7, 0))), 1, "")</f>
        <v/>
      </c>
      <c r="AF498" s="1" t="str">
        <f>IF(AND(AND(AND(AF$4&gt;='2025'!$L461,AF$4&lt;='2025'!$M461), AF$4&lt;&gt;DATE(2025,7,4)), (SWITCH(weekday(AF$4), 1, 0, 2, if(ISBLANK('2025'!$P461), 0, 1), 3, if(ISBLANK('2025'!$Q461), 0, 1), 4, if(ISBLANK('2025'!$R461), 0, 1), 5, if(ISBLANK('2025'!$S461), 0, 1), 6, if(ISBLANK('2025'!$T461), 0, 1), 7, 0))), 1, "")</f>
        <v/>
      </c>
      <c r="AG498" s="1" t="str">
        <f>IF(AND(AND(AND(AG$4&gt;='2025'!$L461,AG$4&lt;='2025'!$M461), AG$4&lt;&gt;DATE(2025,7,4)), (SWITCH(weekday(AG$4), 1, 0, 2, if(ISBLANK('2025'!$P461), 0, 1), 3, if(ISBLANK('2025'!$Q461), 0, 1), 4, if(ISBLANK('2025'!$R461), 0, 1), 5, if(ISBLANK('2025'!$S461), 0, 1), 6, if(ISBLANK('2025'!$T461), 0, 1), 7, 0))), 1, "")</f>
        <v/>
      </c>
      <c r="AH498" s="1" t="str">
        <f>IF(AND(AND(AND(AH$4&gt;='2025'!$L461,AH$4&lt;='2025'!$M461), AH$4&lt;&gt;DATE(2025,7,4)), (SWITCH(weekday(AH$4), 1, 0, 2, if(ISBLANK('2025'!$P461), 0, 1), 3, if(ISBLANK('2025'!$Q461), 0, 1), 4, if(ISBLANK('2025'!$R461), 0, 1), 5, if(ISBLANK('2025'!$S461), 0, 1), 6, if(ISBLANK('2025'!$T461), 0, 1), 7, 0))), 1, "")</f>
        <v/>
      </c>
      <c r="AI498" s="1" t="str">
        <f>IF(AND(AND(AND(AI$4&gt;='2025'!$L461,AI$4&lt;='2025'!$M461), AI$4&lt;&gt;DATE(2025,7,4)), (SWITCH(weekday(AI$4), 1, 0, 2, if(ISBLANK('2025'!$P461), 0, 1), 3, if(ISBLANK('2025'!$Q461), 0, 1), 4, if(ISBLANK('2025'!$R461), 0, 1), 5, if(ISBLANK('2025'!$S461), 0, 1), 6, if(ISBLANK('2025'!$T461), 0, 1), 7, 0))), 1, "")</f>
        <v/>
      </c>
      <c r="AJ498" s="1" t="str">
        <f>IF(AND(AND(AND(AJ$4&gt;='2025'!$L461,AJ$4&lt;='2025'!$M461), AJ$4&lt;&gt;DATE(2025,7,4)), (SWITCH(weekday(AJ$4), 1, 0, 2, if(ISBLANK('2025'!$P461), 0, 1), 3, if(ISBLANK('2025'!$Q461), 0, 1), 4, if(ISBLANK('2025'!$R461), 0, 1), 5, if(ISBLANK('2025'!$S461), 0, 1), 6, if(ISBLANK('2025'!$T461), 0, 1), 7, 0))), 1, "")</f>
        <v/>
      </c>
      <c r="AK498" s="1" t="str">
        <f>IF(AND(AND(AND(AK$4&gt;='2025'!$L461,AK$4&lt;='2025'!$M461), AK$4&lt;&gt;DATE(2025,7,4)), (SWITCH(weekday(AK$4), 1, 0, 2, if(ISBLANK('2025'!$P461), 0, 1), 3, if(ISBLANK('2025'!$Q461), 0, 1), 4, if(ISBLANK('2025'!$R461), 0, 1), 5, if(ISBLANK('2025'!$S461), 0, 1), 6, if(ISBLANK('2025'!$T461), 0, 1), 7, 0))), 1, "")</f>
        <v/>
      </c>
      <c r="AL498" s="1" t="str">
        <f>IF(AND(AND(AND(AL$4&gt;='2025'!$L461,AL$4&lt;='2025'!$M461), AL$4&lt;&gt;DATE(2025,7,4)), (SWITCH(weekday(AL$4), 1, 0, 2, if(ISBLANK('2025'!$P461), 0, 1), 3, if(ISBLANK('2025'!$Q461), 0, 1), 4, if(ISBLANK('2025'!$R461), 0, 1), 5, if(ISBLANK('2025'!$S461), 0, 1), 6, if(ISBLANK('2025'!$T461), 0, 1), 7, 0))), 1, "")</f>
        <v/>
      </c>
      <c r="AM498" s="1" t="str">
        <f>IF(AND(AND(AND(AM$4&gt;='2025'!$L461,AM$4&lt;='2025'!$M461), AM$4&lt;&gt;DATE(2025,7,4)), (SWITCH(weekday(AM$4), 1, 0, 2, if(ISBLANK('2025'!$P461), 0, 1), 3, if(ISBLANK('2025'!$Q461), 0, 1), 4, if(ISBLANK('2025'!$R461), 0, 1), 5, if(ISBLANK('2025'!$S461), 0, 1), 6, if(ISBLANK('2025'!$T461), 0, 1), 7, 0))), 1, "")</f>
        <v/>
      </c>
      <c r="AN498" s="1" t="str">
        <f>IF(AND(AND(AND(AN$4&gt;='2025'!$L461,AN$4&lt;='2025'!$M461), AN$4&lt;&gt;DATE(2025,7,4)), (SWITCH(weekday(AN$4), 1, 0, 2, if(ISBLANK('2025'!$P461), 0, 1), 3, if(ISBLANK('2025'!$Q461), 0, 1), 4, if(ISBLANK('2025'!$R461), 0, 1), 5, if(ISBLANK('2025'!$S461), 0, 1), 6, if(ISBLANK('2025'!$T461), 0, 1), 7, 0))), 1, "")</f>
        <v/>
      </c>
      <c r="AO498" s="1" t="str">
        <f>IF(AND(AND(AND(AO$4&gt;='2025'!$L461,AO$4&lt;='2025'!$M461), AO$4&lt;&gt;DATE(2025,7,4)), (SWITCH(weekday(AO$4), 1, 0, 2, if(ISBLANK('2025'!$P461), 0, 1), 3, if(ISBLANK('2025'!$Q461), 0, 1), 4, if(ISBLANK('2025'!$R461), 0, 1), 5, if(ISBLANK('2025'!$S461), 0, 1), 6, if(ISBLANK('2025'!$T461), 0, 1), 7, 0))), 1, "")</f>
        <v/>
      </c>
      <c r="AP498" s="1" t="str">
        <f>IF(AND(AND(AND(AP$4&gt;='2025'!$L461,AP$4&lt;='2025'!$M461), AP$4&lt;&gt;DATE(2025,7,4)), (SWITCH(weekday(AP$4), 1, 0, 2, if(ISBLANK('2025'!$P461), 0, 1), 3, if(ISBLANK('2025'!$Q461), 0, 1), 4, if(ISBLANK('2025'!$R461), 0, 1), 5, if(ISBLANK('2025'!$S461), 0, 1), 6, if(ISBLANK('2025'!$T461), 0, 1), 7, 0))), 1, "")</f>
        <v/>
      </c>
      <c r="AQ498" s="1" t="str">
        <f>IF(AND(AND(AND(AQ$4&gt;='2025'!$L461,AQ$4&lt;='2025'!$M461), AQ$4&lt;&gt;DATE(2025,7,4)), (SWITCH(weekday(AQ$4), 1, 0, 2, if(ISBLANK('2025'!$P461), 0, 1), 3, if(ISBLANK('2025'!$Q461), 0, 1), 4, if(ISBLANK('2025'!$R461), 0, 1), 5, if(ISBLANK('2025'!$S461), 0, 1), 6, if(ISBLANK('2025'!$T461), 0, 1), 7, 0))), 1, "")</f>
        <v/>
      </c>
      <c r="AR498" s="1" t="str">
        <f>IF(AND(AND(AND(AR$4&gt;='2025'!$L461,AR$4&lt;='2025'!$M461), AR$4&lt;&gt;DATE(2025,7,4)), (SWITCH(weekday(AR$4), 1, 0, 2, if(ISBLANK('2025'!$P461), 0, 1), 3, if(ISBLANK('2025'!$Q461), 0, 1), 4, if(ISBLANK('2025'!$R461), 0, 1), 5, if(ISBLANK('2025'!$S461), 0, 1), 6, if(ISBLANK('2025'!$T461), 0, 1), 7, 0))), 1, "")</f>
        <v/>
      </c>
      <c r="AS498" s="1" t="str">
        <f>IF(AND(AND(AND(AS$4&gt;='2025'!$L461,AS$4&lt;='2025'!$M461), AS$4&lt;&gt;DATE(2025,7,4)), (SWITCH(weekday(AS$4), 1, 0, 2, if(ISBLANK('2025'!$P461), 0, 1), 3, if(ISBLANK('2025'!$Q461), 0, 1), 4, if(ISBLANK('2025'!$R461), 0, 1), 5, if(ISBLANK('2025'!$S461), 0, 1), 6, if(ISBLANK('2025'!$T461), 0, 1), 7, 0))), 1, "")</f>
        <v/>
      </c>
      <c r="AT498" s="1" t="str">
        <f>IF(AND(AND(AND(AT$4&gt;='2025'!$L461,AT$4&lt;='2025'!$M461), AT$4&lt;&gt;DATE(2025,7,4)), (SWITCH(weekday(AT$4), 1, 0, 2, if(ISBLANK('2025'!$P461), 0, 1), 3, if(ISBLANK('2025'!$Q461), 0, 1), 4, if(ISBLANK('2025'!$R461), 0, 1), 5, if(ISBLANK('2025'!$S461), 0, 1), 6, if(ISBLANK('2025'!$T461), 0, 1), 7, 0))), 1, "")</f>
        <v/>
      </c>
      <c r="AU498" s="1" t="str">
        <f>IF(AND(AND(AND(AU$4&gt;='2025'!$L461,AU$4&lt;='2025'!$M461), AU$4&lt;&gt;DATE(2025,7,4)), (SWITCH(weekday(AU$4), 1, 0, 2, if(ISBLANK('2025'!$P461), 0, 1), 3, if(ISBLANK('2025'!$Q461), 0, 1), 4, if(ISBLANK('2025'!$R461), 0, 1), 5, if(ISBLANK('2025'!$S461), 0, 1), 6, if(ISBLANK('2025'!$T461), 0, 1), 7, 0))), 1, "")</f>
        <v/>
      </c>
      <c r="AV498" s="1" t="str">
        <f>IF(AND(AND(AND(AV$4&gt;='2025'!$L461,AV$4&lt;='2025'!$M461), AV$4&lt;&gt;DATE(2025,7,4)), (SWITCH(weekday(AV$4), 1, 0, 2, if(ISBLANK('2025'!$P461), 0, 1), 3, if(ISBLANK('2025'!$Q461), 0, 1), 4, if(ISBLANK('2025'!$R461), 0, 1), 5, if(ISBLANK('2025'!$S461), 0, 1), 6, if(ISBLANK('2025'!$T461), 0, 1), 7, 0))), 1, "")</f>
        <v/>
      </c>
      <c r="AW498" s="1" t="str">
        <f>IF(AND(AND(AND(AW$4&gt;='2025'!$L461,AW$4&lt;='2025'!$M461), AW$4&lt;&gt;DATE(2025,7,4)), (SWITCH(weekday(AW$4), 1, 0, 2, if(ISBLANK('2025'!$P461), 0, 1), 3, if(ISBLANK('2025'!$Q461), 0, 1), 4, if(ISBLANK('2025'!$R461), 0, 1), 5, if(ISBLANK('2025'!$S461), 0, 1), 6, if(ISBLANK('2025'!$T461), 0, 1), 7, 0))), 1, "")</f>
        <v/>
      </c>
      <c r="AX498" s="1" t="str">
        <f>IF(AND(AND(AND(AX$4&gt;='2025'!$L461,AX$4&lt;='2025'!$M461), AX$4&lt;&gt;DATE(2025,7,4)), (SWITCH(weekday(AX$4), 1, 0, 2, if(ISBLANK('2025'!$P461), 0, 1), 3, if(ISBLANK('2025'!$Q461), 0, 1), 4, if(ISBLANK('2025'!$R461), 0, 1), 5, if(ISBLANK('2025'!$S461), 0, 1), 6, if(ISBLANK('2025'!$T461), 0, 1), 7, 0))), 1, "")</f>
        <v/>
      </c>
      <c r="AY498" s="1" t="str">
        <f>IF(AND(AND(AND(AY$4&gt;='2025'!$L461,AY$4&lt;='2025'!$M461), AY$4&lt;&gt;DATE(2025,7,4)), (SWITCH(weekday(AY$4), 1, 0, 2, if(ISBLANK('2025'!$P461), 0, 1), 3, if(ISBLANK('2025'!$Q461), 0, 1), 4, if(ISBLANK('2025'!$R461), 0, 1), 5, if(ISBLANK('2025'!$S461), 0, 1), 6, if(ISBLANK('2025'!$T461), 0, 1), 7, 0))), 1, "")</f>
        <v/>
      </c>
      <c r="AZ498" s="1" t="str">
        <f>IF(AND(AND(AND(AZ$4&gt;='2025'!$L461,AZ$4&lt;='2025'!$M461), AZ$4&lt;&gt;DATE(2025,7,4)), (SWITCH(weekday(AZ$4), 1, 0, 2, if(ISBLANK('2025'!$P461), 0, 1), 3, if(ISBLANK('2025'!$Q461), 0, 1), 4, if(ISBLANK('2025'!$R461), 0, 1), 5, if(ISBLANK('2025'!$S461), 0, 1), 6, if(ISBLANK('2025'!$T461), 0, 1), 7, 0))), 1, "")</f>
        <v/>
      </c>
      <c r="BA498" s="1" t="str">
        <f>IF(AND(AND(AND(BA$4&gt;='2025'!$L461,BA$4&lt;='2025'!$M461), BA$4&lt;&gt;DATE(2025,7,4)), (SWITCH(weekday(BA$4), 1, 0, 2, if(ISBLANK('2025'!$P461), 0, 1), 3, if(ISBLANK('2025'!$Q461), 0, 1), 4, if(ISBLANK('2025'!$R461), 0, 1), 5, if(ISBLANK('2025'!$S461), 0, 1), 6, if(ISBLANK('2025'!$T461), 0, 1), 7, 0))), 1, "")</f>
        <v/>
      </c>
      <c r="BB498" s="1" t="str">
        <f>IF(AND(AND(AND(BB$4&gt;='2025'!$L461,BB$4&lt;='2025'!$M461), BB$4&lt;&gt;DATE(2025,7,4)), (SWITCH(weekday(BB$4), 1, 0, 2, if(ISBLANK('2025'!$P461), 0, 1), 3, if(ISBLANK('2025'!$Q461), 0, 1), 4, if(ISBLANK('2025'!$R461), 0, 1), 5, if(ISBLANK('2025'!$S461), 0, 1), 6, if(ISBLANK('2025'!$T461), 0, 1), 7, 0))), 1, "")</f>
        <v/>
      </c>
      <c r="BC498" s="1" t="str">
        <f>IF(AND(AND(AND(BC$4&gt;='2025'!$L461,BC$4&lt;='2025'!$M461), BC$4&lt;&gt;DATE(2025,7,4)), (SWITCH(weekday(BC$4), 1, 0, 2, if(ISBLANK('2025'!$P461), 0, 1), 3, if(ISBLANK('2025'!$Q461), 0, 1), 4, if(ISBLANK('2025'!$R461), 0, 1), 5, if(ISBLANK('2025'!$S461), 0, 1), 6, if(ISBLANK('2025'!$T461), 0, 1), 7, 0))), 1, "")</f>
        <v/>
      </c>
      <c r="BD498" s="1" t="str">
        <f>IF(AND(AND(AND(BD$4&gt;='2025'!$L461,BD$4&lt;='2025'!$M461), BD$4&lt;&gt;DATE(2025,7,4)), (SWITCH(weekday(BD$4), 1, 0, 2, if(ISBLANK('2025'!$P461), 0, 1), 3, if(ISBLANK('2025'!$Q461), 0, 1), 4, if(ISBLANK('2025'!$R461), 0, 1), 5, if(ISBLANK('2025'!$S461), 0, 1), 6, if(ISBLANK('2025'!$T461), 0, 1), 7, 0))), 1, "")</f>
        <v/>
      </c>
      <c r="BE498" s="1" t="str">
        <f>IF(AND(AND(AND(BE$4&gt;='2025'!$L461,BE$4&lt;='2025'!$M461), BE$4&lt;&gt;DATE(2025,7,4)), (SWITCH(weekday(BE$4), 1, 0, 2, if(ISBLANK('2025'!$P461), 0, 1), 3, if(ISBLANK('2025'!$Q461), 0, 1), 4, if(ISBLANK('2025'!$R461), 0, 1), 5, if(ISBLANK('2025'!$S461), 0, 1), 6, if(ISBLANK('2025'!$T461), 0, 1), 7, 0))), 1, "")</f>
        <v/>
      </c>
    </row>
    <row r="499">
      <c r="A499" s="1">
        <f t="shared" si="3"/>
        <v>499</v>
      </c>
      <c r="B499" s="1" t="str">
        <f>'2025'!D462</f>
        <v/>
      </c>
      <c r="C499" s="1" t="str">
        <f>'2025'!H462</f>
        <v/>
      </c>
      <c r="D499" s="1" t="str">
        <f>IF(AND(AND(AND(D$4&gt;='2025'!$L462,D$4&lt;='2025'!$M462), D$4&lt;&gt;DATE(2025,7,4)), (SWITCH(weekday(D$4), 1, 0, 2, if(ISBLANK('2025'!$P462), 0, 1), 3, if(ISBLANK('2025'!$Q462), 0, 1), 4, if(ISBLANK('2025'!$R462), 0, 1), 5, if(ISBLANK('2025'!$S462), 0, 1), 6, if(ISBLANK('2025'!$T462), 0, 1), 7, 0))), 1, "")</f>
        <v/>
      </c>
      <c r="E499" s="1" t="str">
        <f>IF(AND(AND(AND(E$4&gt;='2025'!$L462,E$4&lt;='2025'!$M462), E$4&lt;&gt;DATE(2025,7,4)), (SWITCH(weekday(E$4), 1, 0, 2, if(ISBLANK('2025'!$P462), 0, 1), 3, if(ISBLANK('2025'!$Q462), 0, 1), 4, if(ISBLANK('2025'!$R462), 0, 1), 5, if(ISBLANK('2025'!$S462), 0, 1), 6, if(ISBLANK('2025'!$T462), 0, 1), 7, 0))), 1, "")</f>
        <v/>
      </c>
      <c r="F499" s="1" t="str">
        <f>IF(AND(AND(AND(F$4&gt;='2025'!$L462,F$4&lt;='2025'!$M462), F$4&lt;&gt;DATE(2025,7,4)), (SWITCH(weekday(F$4), 1, 0, 2, if(ISBLANK('2025'!$P462), 0, 1), 3, if(ISBLANK('2025'!$Q462), 0, 1), 4, if(ISBLANK('2025'!$R462), 0, 1), 5, if(ISBLANK('2025'!$S462), 0, 1), 6, if(ISBLANK('2025'!$T462), 0, 1), 7, 0))), 1, "")</f>
        <v/>
      </c>
      <c r="G499" s="1" t="str">
        <f>IF(AND(AND(AND(G$4&gt;='2025'!$L462,G$4&lt;='2025'!$M462), G$4&lt;&gt;DATE(2025,7,4)), (SWITCH(weekday(G$4), 1, 0, 2, if(ISBLANK('2025'!$P462), 0, 1), 3, if(ISBLANK('2025'!$Q462), 0, 1), 4, if(ISBLANK('2025'!$R462), 0, 1), 5, if(ISBLANK('2025'!$S462), 0, 1), 6, if(ISBLANK('2025'!$T462), 0, 1), 7, 0))), 1, "")</f>
        <v/>
      </c>
      <c r="H499" s="1" t="str">
        <f>IF(AND(AND(AND(H$4&gt;='2025'!$L462,H$4&lt;='2025'!$M462), H$4&lt;&gt;DATE(2025,7,4)), (SWITCH(weekday(H$4), 1, 0, 2, if(ISBLANK('2025'!$P462), 0, 1), 3, if(ISBLANK('2025'!$Q462), 0, 1), 4, if(ISBLANK('2025'!$R462), 0, 1), 5, if(ISBLANK('2025'!$S462), 0, 1), 6, if(ISBLANK('2025'!$T462), 0, 1), 7, 0))), 1, "")</f>
        <v/>
      </c>
      <c r="I499" s="1" t="str">
        <f>IF(AND(AND(AND(I$4&gt;='2025'!$L462,I$4&lt;='2025'!$M462), I$4&lt;&gt;DATE(2025,7,4)), (SWITCH(weekday(I$4), 1, 0, 2, if(ISBLANK('2025'!$P462), 0, 1), 3, if(ISBLANK('2025'!$Q462), 0, 1), 4, if(ISBLANK('2025'!$R462), 0, 1), 5, if(ISBLANK('2025'!$S462), 0, 1), 6, if(ISBLANK('2025'!$T462), 0, 1), 7, 0))), 1, "")</f>
        <v/>
      </c>
      <c r="J499" s="1" t="str">
        <f>IF(AND(AND(AND(J$4&gt;='2025'!$L462,J$4&lt;='2025'!$M462), J$4&lt;&gt;DATE(2025,7,4)), (SWITCH(weekday(J$4), 1, 0, 2, if(ISBLANK('2025'!$P462), 0, 1), 3, if(ISBLANK('2025'!$Q462), 0, 1), 4, if(ISBLANK('2025'!$R462), 0, 1), 5, if(ISBLANK('2025'!$S462), 0, 1), 6, if(ISBLANK('2025'!$T462), 0, 1), 7, 0))), 1, "")</f>
        <v/>
      </c>
      <c r="K499" s="1" t="str">
        <f>IF(AND(AND(AND(K$4&gt;='2025'!$L462,K$4&lt;='2025'!$M462), K$4&lt;&gt;DATE(2025,7,4)), (SWITCH(weekday(K$4), 1, 0, 2, if(ISBLANK('2025'!$P462), 0, 1), 3, if(ISBLANK('2025'!$Q462), 0, 1), 4, if(ISBLANK('2025'!$R462), 0, 1), 5, if(ISBLANK('2025'!$S462), 0, 1), 6, if(ISBLANK('2025'!$T462), 0, 1), 7, 0))), 1, "")</f>
        <v/>
      </c>
      <c r="L499" s="1" t="str">
        <f>IF(AND(AND(AND(L$4&gt;='2025'!$L462,L$4&lt;='2025'!$M462), L$4&lt;&gt;DATE(2025,7,4)), (SWITCH(weekday(L$4), 1, 0, 2, if(ISBLANK('2025'!$P462), 0, 1), 3, if(ISBLANK('2025'!$Q462), 0, 1), 4, if(ISBLANK('2025'!$R462), 0, 1), 5, if(ISBLANK('2025'!$S462), 0, 1), 6, if(ISBLANK('2025'!$T462), 0, 1), 7, 0))), 1, "")</f>
        <v/>
      </c>
      <c r="M499" s="1" t="str">
        <f>IF(AND(AND(AND(M$4&gt;='2025'!$L462,M$4&lt;='2025'!$M462), M$4&lt;&gt;DATE(2025,7,4)), (SWITCH(weekday(M$4), 1, 0, 2, if(ISBLANK('2025'!$P462), 0, 1), 3, if(ISBLANK('2025'!$Q462), 0, 1), 4, if(ISBLANK('2025'!$R462), 0, 1), 5, if(ISBLANK('2025'!$S462), 0, 1), 6, if(ISBLANK('2025'!$T462), 0, 1), 7, 0))), 1, "")</f>
        <v/>
      </c>
      <c r="N499" s="1" t="str">
        <f>IF(AND(AND(AND(N$4&gt;='2025'!$L462,N$4&lt;='2025'!$M462), N$4&lt;&gt;DATE(2025,7,4)), (SWITCH(weekday(N$4), 1, 0, 2, if(ISBLANK('2025'!$P462), 0, 1), 3, if(ISBLANK('2025'!$Q462), 0, 1), 4, if(ISBLANK('2025'!$R462), 0, 1), 5, if(ISBLANK('2025'!$S462), 0, 1), 6, if(ISBLANK('2025'!$T462), 0, 1), 7, 0))), 1, "")</f>
        <v/>
      </c>
      <c r="O499" s="1" t="str">
        <f>IF(AND(AND(AND(O$4&gt;='2025'!$L462,O$4&lt;='2025'!$M462), O$4&lt;&gt;DATE(2025,7,4)), (SWITCH(weekday(O$4), 1, 0, 2, if(ISBLANK('2025'!$P462), 0, 1), 3, if(ISBLANK('2025'!$Q462), 0, 1), 4, if(ISBLANK('2025'!$R462), 0, 1), 5, if(ISBLANK('2025'!$S462), 0, 1), 6, if(ISBLANK('2025'!$T462), 0, 1), 7, 0))), 1, "")</f>
        <v/>
      </c>
      <c r="P499" s="1" t="str">
        <f>IF(AND(AND(AND(P$4&gt;='2025'!$L462,P$4&lt;='2025'!$M462), P$4&lt;&gt;DATE(2025,7,4)), (SWITCH(weekday(P$4), 1, 0, 2, if(ISBLANK('2025'!$P462), 0, 1), 3, if(ISBLANK('2025'!$Q462), 0, 1), 4, if(ISBLANK('2025'!$R462), 0, 1), 5, if(ISBLANK('2025'!$S462), 0, 1), 6, if(ISBLANK('2025'!$T462), 0, 1), 7, 0))), 1, "")</f>
        <v/>
      </c>
      <c r="Q499" s="1" t="str">
        <f>IF(AND(AND(AND(Q$4&gt;='2025'!$L462,Q$4&lt;='2025'!$M462), Q$4&lt;&gt;DATE(2025,7,4)), (SWITCH(weekday(Q$4), 1, 0, 2, if(ISBLANK('2025'!$P462), 0, 1), 3, if(ISBLANK('2025'!$Q462), 0, 1), 4, if(ISBLANK('2025'!$R462), 0, 1), 5, if(ISBLANK('2025'!$S462), 0, 1), 6, if(ISBLANK('2025'!$T462), 0, 1), 7, 0))), 1, "")</f>
        <v/>
      </c>
      <c r="R499" s="1" t="str">
        <f>IF(AND(AND(AND(R$4&gt;='2025'!$L462,R$4&lt;='2025'!$M462), R$4&lt;&gt;DATE(2025,7,4)), (SWITCH(weekday(R$4), 1, 0, 2, if(ISBLANK('2025'!$P462), 0, 1), 3, if(ISBLANK('2025'!$Q462), 0, 1), 4, if(ISBLANK('2025'!$R462), 0, 1), 5, if(ISBLANK('2025'!$S462), 0, 1), 6, if(ISBLANK('2025'!$T462), 0, 1), 7, 0))), 1, "")</f>
        <v/>
      </c>
      <c r="S499" s="1" t="str">
        <f>IF(AND(AND(AND(S$4&gt;='2025'!$L462,S$4&lt;='2025'!$M462), S$4&lt;&gt;DATE(2025,7,4)), (SWITCH(weekday(S$4), 1, 0, 2, if(ISBLANK('2025'!$P462), 0, 1), 3, if(ISBLANK('2025'!$Q462), 0, 1), 4, if(ISBLANK('2025'!$R462), 0, 1), 5, if(ISBLANK('2025'!$S462), 0, 1), 6, if(ISBLANK('2025'!$T462), 0, 1), 7, 0))), 1, "")</f>
        <v/>
      </c>
      <c r="T499" s="1" t="str">
        <f>IF(AND(AND(AND(T$4&gt;='2025'!$L462,T$4&lt;='2025'!$M462), T$4&lt;&gt;DATE(2025,7,4)), (SWITCH(weekday(T$4), 1, 0, 2, if(ISBLANK('2025'!$P462), 0, 1), 3, if(ISBLANK('2025'!$Q462), 0, 1), 4, if(ISBLANK('2025'!$R462), 0, 1), 5, if(ISBLANK('2025'!$S462), 0, 1), 6, if(ISBLANK('2025'!$T462), 0, 1), 7, 0))), 1, "")</f>
        <v/>
      </c>
      <c r="U499" s="1" t="str">
        <f>IF(AND(AND(AND(U$4&gt;='2025'!$L462,U$4&lt;='2025'!$M462), U$4&lt;&gt;DATE(2025,7,4)), (SWITCH(weekday(U$4), 1, 0, 2, if(ISBLANK('2025'!$P462), 0, 1), 3, if(ISBLANK('2025'!$Q462), 0, 1), 4, if(ISBLANK('2025'!$R462), 0, 1), 5, if(ISBLANK('2025'!$S462), 0, 1), 6, if(ISBLANK('2025'!$T462), 0, 1), 7, 0))), 1, "")</f>
        <v/>
      </c>
      <c r="V499" s="1" t="str">
        <f>IF(AND(AND(AND(V$4&gt;='2025'!$L462,V$4&lt;='2025'!$M462), V$4&lt;&gt;DATE(2025,7,4)), (SWITCH(weekday(V$4), 1, 0, 2, if(ISBLANK('2025'!$P462), 0, 1), 3, if(ISBLANK('2025'!$Q462), 0, 1), 4, if(ISBLANK('2025'!$R462), 0, 1), 5, if(ISBLANK('2025'!$S462), 0, 1), 6, if(ISBLANK('2025'!$T462), 0, 1), 7, 0))), 1, "")</f>
        <v/>
      </c>
      <c r="W499" s="1" t="str">
        <f>IF(AND(AND(AND(W$4&gt;='2025'!$L462,W$4&lt;='2025'!$M462), W$4&lt;&gt;DATE(2025,7,4)), (SWITCH(weekday(W$4), 1, 0, 2, if(ISBLANK('2025'!$P462), 0, 1), 3, if(ISBLANK('2025'!$Q462), 0, 1), 4, if(ISBLANK('2025'!$R462), 0, 1), 5, if(ISBLANK('2025'!$S462), 0, 1), 6, if(ISBLANK('2025'!$T462), 0, 1), 7, 0))), 1, "")</f>
        <v/>
      </c>
      <c r="X499" s="1" t="str">
        <f>IF(AND(AND(AND(X$4&gt;='2025'!$L462,X$4&lt;='2025'!$M462), X$4&lt;&gt;DATE(2025,7,4)), (SWITCH(weekday(X$4), 1, 0, 2, if(ISBLANK('2025'!$P462), 0, 1), 3, if(ISBLANK('2025'!$Q462), 0, 1), 4, if(ISBLANK('2025'!$R462), 0, 1), 5, if(ISBLANK('2025'!$S462), 0, 1), 6, if(ISBLANK('2025'!$T462), 0, 1), 7, 0))), 1, "")</f>
        <v/>
      </c>
      <c r="Y499" s="1" t="str">
        <f>IF(AND(AND(AND(Y$4&gt;='2025'!$L462,Y$4&lt;='2025'!$M462), Y$4&lt;&gt;DATE(2025,7,4)), (SWITCH(weekday(Y$4), 1, 0, 2, if(ISBLANK('2025'!$P462), 0, 1), 3, if(ISBLANK('2025'!$Q462), 0, 1), 4, if(ISBLANK('2025'!$R462), 0, 1), 5, if(ISBLANK('2025'!$S462), 0, 1), 6, if(ISBLANK('2025'!$T462), 0, 1), 7, 0))), 1, "")</f>
        <v/>
      </c>
      <c r="Z499" s="1" t="str">
        <f>IF(AND(AND(AND(Z$4&gt;='2025'!$L462,Z$4&lt;='2025'!$M462), Z$4&lt;&gt;DATE(2025,7,4)), (SWITCH(weekday(Z$4), 1, 0, 2, if(ISBLANK('2025'!$P462), 0, 1), 3, if(ISBLANK('2025'!$Q462), 0, 1), 4, if(ISBLANK('2025'!$R462), 0, 1), 5, if(ISBLANK('2025'!$S462), 0, 1), 6, if(ISBLANK('2025'!$T462), 0, 1), 7, 0))), 1, "")</f>
        <v/>
      </c>
      <c r="AA499" s="1" t="str">
        <f>IF(AND(AND(AND(AA$4&gt;='2025'!$L462,AA$4&lt;='2025'!$M462), AA$4&lt;&gt;DATE(2025,7,4)), (SWITCH(weekday(AA$4), 1, 0, 2, if(ISBLANK('2025'!$P462), 0, 1), 3, if(ISBLANK('2025'!$Q462), 0, 1), 4, if(ISBLANK('2025'!$R462), 0, 1), 5, if(ISBLANK('2025'!$S462), 0, 1), 6, if(ISBLANK('2025'!$T462), 0, 1), 7, 0))), 1, "")</f>
        <v/>
      </c>
      <c r="AB499" s="1" t="str">
        <f>IF(AND(AND(AND(AB$4&gt;='2025'!$L462,AB$4&lt;='2025'!$M462), AB$4&lt;&gt;DATE(2025,7,4)), (SWITCH(weekday(AB$4), 1, 0, 2, if(ISBLANK('2025'!$P462), 0, 1), 3, if(ISBLANK('2025'!$Q462), 0, 1), 4, if(ISBLANK('2025'!$R462), 0, 1), 5, if(ISBLANK('2025'!$S462), 0, 1), 6, if(ISBLANK('2025'!$T462), 0, 1), 7, 0))), 1, "")</f>
        <v/>
      </c>
      <c r="AC499" s="1" t="str">
        <f>IF(AND(AND(AND(AC$4&gt;='2025'!$L462,AC$4&lt;='2025'!$M462), AC$4&lt;&gt;DATE(2025,7,4)), (SWITCH(weekday(AC$4), 1, 0, 2, if(ISBLANK('2025'!$P462), 0, 1), 3, if(ISBLANK('2025'!$Q462), 0, 1), 4, if(ISBLANK('2025'!$R462), 0, 1), 5, if(ISBLANK('2025'!$S462), 0, 1), 6, if(ISBLANK('2025'!$T462), 0, 1), 7, 0))), 1, "")</f>
        <v/>
      </c>
      <c r="AD499" s="1" t="str">
        <f>IF(AND(AND(AND(AD$4&gt;='2025'!$L462,AD$4&lt;='2025'!$M462), AD$4&lt;&gt;DATE(2025,7,4)), (SWITCH(weekday(AD$4), 1, 0, 2, if(ISBLANK('2025'!$P462), 0, 1), 3, if(ISBLANK('2025'!$Q462), 0, 1), 4, if(ISBLANK('2025'!$R462), 0, 1), 5, if(ISBLANK('2025'!$S462), 0, 1), 6, if(ISBLANK('2025'!$T462), 0, 1), 7, 0))), 1, "")</f>
        <v/>
      </c>
      <c r="AE499" s="1" t="str">
        <f>IF(AND(AND(AND(AE$4&gt;='2025'!$L462,AE$4&lt;='2025'!$M462), AE$4&lt;&gt;DATE(2025,7,4)), (SWITCH(weekday(AE$4), 1, 0, 2, if(ISBLANK('2025'!$P462), 0, 1), 3, if(ISBLANK('2025'!$Q462), 0, 1), 4, if(ISBLANK('2025'!$R462), 0, 1), 5, if(ISBLANK('2025'!$S462), 0, 1), 6, if(ISBLANK('2025'!$T462), 0, 1), 7, 0))), 1, "")</f>
        <v/>
      </c>
      <c r="AF499" s="1" t="str">
        <f>IF(AND(AND(AND(AF$4&gt;='2025'!$L462,AF$4&lt;='2025'!$M462), AF$4&lt;&gt;DATE(2025,7,4)), (SWITCH(weekday(AF$4), 1, 0, 2, if(ISBLANK('2025'!$P462), 0, 1), 3, if(ISBLANK('2025'!$Q462), 0, 1), 4, if(ISBLANK('2025'!$R462), 0, 1), 5, if(ISBLANK('2025'!$S462), 0, 1), 6, if(ISBLANK('2025'!$T462), 0, 1), 7, 0))), 1, "")</f>
        <v/>
      </c>
      <c r="AG499" s="1" t="str">
        <f>IF(AND(AND(AND(AG$4&gt;='2025'!$L462,AG$4&lt;='2025'!$M462), AG$4&lt;&gt;DATE(2025,7,4)), (SWITCH(weekday(AG$4), 1, 0, 2, if(ISBLANK('2025'!$P462), 0, 1), 3, if(ISBLANK('2025'!$Q462), 0, 1), 4, if(ISBLANK('2025'!$R462), 0, 1), 5, if(ISBLANK('2025'!$S462), 0, 1), 6, if(ISBLANK('2025'!$T462), 0, 1), 7, 0))), 1, "")</f>
        <v/>
      </c>
      <c r="AH499" s="1" t="str">
        <f>IF(AND(AND(AND(AH$4&gt;='2025'!$L462,AH$4&lt;='2025'!$M462), AH$4&lt;&gt;DATE(2025,7,4)), (SWITCH(weekday(AH$4), 1, 0, 2, if(ISBLANK('2025'!$P462), 0, 1), 3, if(ISBLANK('2025'!$Q462), 0, 1), 4, if(ISBLANK('2025'!$R462), 0, 1), 5, if(ISBLANK('2025'!$S462), 0, 1), 6, if(ISBLANK('2025'!$T462), 0, 1), 7, 0))), 1, "")</f>
        <v/>
      </c>
      <c r="AI499" s="1" t="str">
        <f>IF(AND(AND(AND(AI$4&gt;='2025'!$L462,AI$4&lt;='2025'!$M462), AI$4&lt;&gt;DATE(2025,7,4)), (SWITCH(weekday(AI$4), 1, 0, 2, if(ISBLANK('2025'!$P462), 0, 1), 3, if(ISBLANK('2025'!$Q462), 0, 1), 4, if(ISBLANK('2025'!$R462), 0, 1), 5, if(ISBLANK('2025'!$S462), 0, 1), 6, if(ISBLANK('2025'!$T462), 0, 1), 7, 0))), 1, "")</f>
        <v/>
      </c>
      <c r="AJ499" s="1" t="str">
        <f>IF(AND(AND(AND(AJ$4&gt;='2025'!$L462,AJ$4&lt;='2025'!$M462), AJ$4&lt;&gt;DATE(2025,7,4)), (SWITCH(weekday(AJ$4), 1, 0, 2, if(ISBLANK('2025'!$P462), 0, 1), 3, if(ISBLANK('2025'!$Q462), 0, 1), 4, if(ISBLANK('2025'!$R462), 0, 1), 5, if(ISBLANK('2025'!$S462), 0, 1), 6, if(ISBLANK('2025'!$T462), 0, 1), 7, 0))), 1, "")</f>
        <v/>
      </c>
      <c r="AK499" s="1" t="str">
        <f>IF(AND(AND(AND(AK$4&gt;='2025'!$L462,AK$4&lt;='2025'!$M462), AK$4&lt;&gt;DATE(2025,7,4)), (SWITCH(weekday(AK$4), 1, 0, 2, if(ISBLANK('2025'!$P462), 0, 1), 3, if(ISBLANK('2025'!$Q462), 0, 1), 4, if(ISBLANK('2025'!$R462), 0, 1), 5, if(ISBLANK('2025'!$S462), 0, 1), 6, if(ISBLANK('2025'!$T462), 0, 1), 7, 0))), 1, "")</f>
        <v/>
      </c>
      <c r="AL499" s="1" t="str">
        <f>IF(AND(AND(AND(AL$4&gt;='2025'!$L462,AL$4&lt;='2025'!$M462), AL$4&lt;&gt;DATE(2025,7,4)), (SWITCH(weekday(AL$4), 1, 0, 2, if(ISBLANK('2025'!$P462), 0, 1), 3, if(ISBLANK('2025'!$Q462), 0, 1), 4, if(ISBLANK('2025'!$R462), 0, 1), 5, if(ISBLANK('2025'!$S462), 0, 1), 6, if(ISBLANK('2025'!$T462), 0, 1), 7, 0))), 1, "")</f>
        <v/>
      </c>
      <c r="AM499" s="1" t="str">
        <f>IF(AND(AND(AND(AM$4&gt;='2025'!$L462,AM$4&lt;='2025'!$M462), AM$4&lt;&gt;DATE(2025,7,4)), (SWITCH(weekday(AM$4), 1, 0, 2, if(ISBLANK('2025'!$P462), 0, 1), 3, if(ISBLANK('2025'!$Q462), 0, 1), 4, if(ISBLANK('2025'!$R462), 0, 1), 5, if(ISBLANK('2025'!$S462), 0, 1), 6, if(ISBLANK('2025'!$T462), 0, 1), 7, 0))), 1, "")</f>
        <v/>
      </c>
      <c r="AN499" s="1" t="str">
        <f>IF(AND(AND(AND(AN$4&gt;='2025'!$L462,AN$4&lt;='2025'!$M462), AN$4&lt;&gt;DATE(2025,7,4)), (SWITCH(weekday(AN$4), 1, 0, 2, if(ISBLANK('2025'!$P462), 0, 1), 3, if(ISBLANK('2025'!$Q462), 0, 1), 4, if(ISBLANK('2025'!$R462), 0, 1), 5, if(ISBLANK('2025'!$S462), 0, 1), 6, if(ISBLANK('2025'!$T462), 0, 1), 7, 0))), 1, "")</f>
        <v/>
      </c>
      <c r="AO499" s="1" t="str">
        <f>IF(AND(AND(AND(AO$4&gt;='2025'!$L462,AO$4&lt;='2025'!$M462), AO$4&lt;&gt;DATE(2025,7,4)), (SWITCH(weekday(AO$4), 1, 0, 2, if(ISBLANK('2025'!$P462), 0, 1), 3, if(ISBLANK('2025'!$Q462), 0, 1), 4, if(ISBLANK('2025'!$R462), 0, 1), 5, if(ISBLANK('2025'!$S462), 0, 1), 6, if(ISBLANK('2025'!$T462), 0, 1), 7, 0))), 1, "")</f>
        <v/>
      </c>
      <c r="AP499" s="1" t="str">
        <f>IF(AND(AND(AND(AP$4&gt;='2025'!$L462,AP$4&lt;='2025'!$M462), AP$4&lt;&gt;DATE(2025,7,4)), (SWITCH(weekday(AP$4), 1, 0, 2, if(ISBLANK('2025'!$P462), 0, 1), 3, if(ISBLANK('2025'!$Q462), 0, 1), 4, if(ISBLANK('2025'!$R462), 0, 1), 5, if(ISBLANK('2025'!$S462), 0, 1), 6, if(ISBLANK('2025'!$T462), 0, 1), 7, 0))), 1, "")</f>
        <v/>
      </c>
      <c r="AQ499" s="1" t="str">
        <f>IF(AND(AND(AND(AQ$4&gt;='2025'!$L462,AQ$4&lt;='2025'!$M462), AQ$4&lt;&gt;DATE(2025,7,4)), (SWITCH(weekday(AQ$4), 1, 0, 2, if(ISBLANK('2025'!$P462), 0, 1), 3, if(ISBLANK('2025'!$Q462), 0, 1), 4, if(ISBLANK('2025'!$R462), 0, 1), 5, if(ISBLANK('2025'!$S462), 0, 1), 6, if(ISBLANK('2025'!$T462), 0, 1), 7, 0))), 1, "")</f>
        <v/>
      </c>
      <c r="AR499" s="1" t="str">
        <f>IF(AND(AND(AND(AR$4&gt;='2025'!$L462,AR$4&lt;='2025'!$M462), AR$4&lt;&gt;DATE(2025,7,4)), (SWITCH(weekday(AR$4), 1, 0, 2, if(ISBLANK('2025'!$P462), 0, 1), 3, if(ISBLANK('2025'!$Q462), 0, 1), 4, if(ISBLANK('2025'!$R462), 0, 1), 5, if(ISBLANK('2025'!$S462), 0, 1), 6, if(ISBLANK('2025'!$T462), 0, 1), 7, 0))), 1, "")</f>
        <v/>
      </c>
      <c r="AS499" s="1" t="str">
        <f>IF(AND(AND(AND(AS$4&gt;='2025'!$L462,AS$4&lt;='2025'!$M462), AS$4&lt;&gt;DATE(2025,7,4)), (SWITCH(weekday(AS$4), 1, 0, 2, if(ISBLANK('2025'!$P462), 0, 1), 3, if(ISBLANK('2025'!$Q462), 0, 1), 4, if(ISBLANK('2025'!$R462), 0, 1), 5, if(ISBLANK('2025'!$S462), 0, 1), 6, if(ISBLANK('2025'!$T462), 0, 1), 7, 0))), 1, "")</f>
        <v/>
      </c>
      <c r="AT499" s="1" t="str">
        <f>IF(AND(AND(AND(AT$4&gt;='2025'!$L462,AT$4&lt;='2025'!$M462), AT$4&lt;&gt;DATE(2025,7,4)), (SWITCH(weekday(AT$4), 1, 0, 2, if(ISBLANK('2025'!$P462), 0, 1), 3, if(ISBLANK('2025'!$Q462), 0, 1), 4, if(ISBLANK('2025'!$R462), 0, 1), 5, if(ISBLANK('2025'!$S462), 0, 1), 6, if(ISBLANK('2025'!$T462), 0, 1), 7, 0))), 1, "")</f>
        <v/>
      </c>
      <c r="AU499" s="1" t="str">
        <f>IF(AND(AND(AND(AU$4&gt;='2025'!$L462,AU$4&lt;='2025'!$M462), AU$4&lt;&gt;DATE(2025,7,4)), (SWITCH(weekday(AU$4), 1, 0, 2, if(ISBLANK('2025'!$P462), 0, 1), 3, if(ISBLANK('2025'!$Q462), 0, 1), 4, if(ISBLANK('2025'!$R462), 0, 1), 5, if(ISBLANK('2025'!$S462), 0, 1), 6, if(ISBLANK('2025'!$T462), 0, 1), 7, 0))), 1, "")</f>
        <v/>
      </c>
      <c r="AV499" s="1" t="str">
        <f>IF(AND(AND(AND(AV$4&gt;='2025'!$L462,AV$4&lt;='2025'!$M462), AV$4&lt;&gt;DATE(2025,7,4)), (SWITCH(weekday(AV$4), 1, 0, 2, if(ISBLANK('2025'!$P462), 0, 1), 3, if(ISBLANK('2025'!$Q462), 0, 1), 4, if(ISBLANK('2025'!$R462), 0, 1), 5, if(ISBLANK('2025'!$S462), 0, 1), 6, if(ISBLANK('2025'!$T462), 0, 1), 7, 0))), 1, "")</f>
        <v/>
      </c>
      <c r="AW499" s="1" t="str">
        <f>IF(AND(AND(AND(AW$4&gt;='2025'!$L462,AW$4&lt;='2025'!$M462), AW$4&lt;&gt;DATE(2025,7,4)), (SWITCH(weekday(AW$4), 1, 0, 2, if(ISBLANK('2025'!$P462), 0, 1), 3, if(ISBLANK('2025'!$Q462), 0, 1), 4, if(ISBLANK('2025'!$R462), 0, 1), 5, if(ISBLANK('2025'!$S462), 0, 1), 6, if(ISBLANK('2025'!$T462), 0, 1), 7, 0))), 1, "")</f>
        <v/>
      </c>
      <c r="AX499" s="1" t="str">
        <f>IF(AND(AND(AND(AX$4&gt;='2025'!$L462,AX$4&lt;='2025'!$M462), AX$4&lt;&gt;DATE(2025,7,4)), (SWITCH(weekday(AX$4), 1, 0, 2, if(ISBLANK('2025'!$P462), 0, 1), 3, if(ISBLANK('2025'!$Q462), 0, 1), 4, if(ISBLANK('2025'!$R462), 0, 1), 5, if(ISBLANK('2025'!$S462), 0, 1), 6, if(ISBLANK('2025'!$T462), 0, 1), 7, 0))), 1, "")</f>
        <v/>
      </c>
      <c r="AY499" s="1" t="str">
        <f>IF(AND(AND(AND(AY$4&gt;='2025'!$L462,AY$4&lt;='2025'!$M462), AY$4&lt;&gt;DATE(2025,7,4)), (SWITCH(weekday(AY$4), 1, 0, 2, if(ISBLANK('2025'!$P462), 0, 1), 3, if(ISBLANK('2025'!$Q462), 0, 1), 4, if(ISBLANK('2025'!$R462), 0, 1), 5, if(ISBLANK('2025'!$S462), 0, 1), 6, if(ISBLANK('2025'!$T462), 0, 1), 7, 0))), 1, "")</f>
        <v/>
      </c>
      <c r="AZ499" s="1" t="str">
        <f>IF(AND(AND(AND(AZ$4&gt;='2025'!$L462,AZ$4&lt;='2025'!$M462), AZ$4&lt;&gt;DATE(2025,7,4)), (SWITCH(weekday(AZ$4), 1, 0, 2, if(ISBLANK('2025'!$P462), 0, 1), 3, if(ISBLANK('2025'!$Q462), 0, 1), 4, if(ISBLANK('2025'!$R462), 0, 1), 5, if(ISBLANK('2025'!$S462), 0, 1), 6, if(ISBLANK('2025'!$T462), 0, 1), 7, 0))), 1, "")</f>
        <v/>
      </c>
      <c r="BA499" s="1" t="str">
        <f>IF(AND(AND(AND(BA$4&gt;='2025'!$L462,BA$4&lt;='2025'!$M462), BA$4&lt;&gt;DATE(2025,7,4)), (SWITCH(weekday(BA$4), 1, 0, 2, if(ISBLANK('2025'!$P462), 0, 1), 3, if(ISBLANK('2025'!$Q462), 0, 1), 4, if(ISBLANK('2025'!$R462), 0, 1), 5, if(ISBLANK('2025'!$S462), 0, 1), 6, if(ISBLANK('2025'!$T462), 0, 1), 7, 0))), 1, "")</f>
        <v/>
      </c>
      <c r="BB499" s="1" t="str">
        <f>IF(AND(AND(AND(BB$4&gt;='2025'!$L462,BB$4&lt;='2025'!$M462), BB$4&lt;&gt;DATE(2025,7,4)), (SWITCH(weekday(BB$4), 1, 0, 2, if(ISBLANK('2025'!$P462), 0, 1), 3, if(ISBLANK('2025'!$Q462), 0, 1), 4, if(ISBLANK('2025'!$R462), 0, 1), 5, if(ISBLANK('2025'!$S462), 0, 1), 6, if(ISBLANK('2025'!$T462), 0, 1), 7, 0))), 1, "")</f>
        <v/>
      </c>
      <c r="BC499" s="1" t="str">
        <f>IF(AND(AND(AND(BC$4&gt;='2025'!$L462,BC$4&lt;='2025'!$M462), BC$4&lt;&gt;DATE(2025,7,4)), (SWITCH(weekday(BC$4), 1, 0, 2, if(ISBLANK('2025'!$P462), 0, 1), 3, if(ISBLANK('2025'!$Q462), 0, 1), 4, if(ISBLANK('2025'!$R462), 0, 1), 5, if(ISBLANK('2025'!$S462), 0, 1), 6, if(ISBLANK('2025'!$T462), 0, 1), 7, 0))), 1, "")</f>
        <v/>
      </c>
      <c r="BD499" s="1" t="str">
        <f>IF(AND(AND(AND(BD$4&gt;='2025'!$L462,BD$4&lt;='2025'!$M462), BD$4&lt;&gt;DATE(2025,7,4)), (SWITCH(weekday(BD$4), 1, 0, 2, if(ISBLANK('2025'!$P462), 0, 1), 3, if(ISBLANK('2025'!$Q462), 0, 1), 4, if(ISBLANK('2025'!$R462), 0, 1), 5, if(ISBLANK('2025'!$S462), 0, 1), 6, if(ISBLANK('2025'!$T462), 0, 1), 7, 0))), 1, "")</f>
        <v/>
      </c>
      <c r="BE499" s="1" t="str">
        <f>IF(AND(AND(AND(BE$4&gt;='2025'!$L462,BE$4&lt;='2025'!$M462), BE$4&lt;&gt;DATE(2025,7,4)), (SWITCH(weekday(BE$4), 1, 0, 2, if(ISBLANK('2025'!$P462), 0, 1), 3, if(ISBLANK('2025'!$Q462), 0, 1), 4, if(ISBLANK('2025'!$R462), 0, 1), 5, if(ISBLANK('2025'!$S462), 0, 1), 6, if(ISBLANK('2025'!$T462), 0, 1), 7, 0))), 1, "")</f>
        <v/>
      </c>
    </row>
    <row r="500">
      <c r="A500" s="1">
        <f t="shared" si="3"/>
        <v>500</v>
      </c>
      <c r="B500" s="1" t="str">
        <f>'2025'!D463</f>
        <v/>
      </c>
      <c r="C500" s="1" t="str">
        <f>'2025'!H463</f>
        <v/>
      </c>
      <c r="D500" s="1" t="str">
        <f>IF(AND(AND(AND(D$4&gt;='2025'!$L463,D$4&lt;='2025'!$M463), D$4&lt;&gt;DATE(2025,7,4)), (SWITCH(weekday(D$4), 1, 0, 2, if(ISBLANK('2025'!$P463), 0, 1), 3, if(ISBLANK('2025'!$Q463), 0, 1), 4, if(ISBLANK('2025'!$R463), 0, 1), 5, if(ISBLANK('2025'!$S463), 0, 1), 6, if(ISBLANK('2025'!$T463), 0, 1), 7, 0))), 1, "")</f>
        <v/>
      </c>
      <c r="E500" s="1" t="str">
        <f>IF(AND(AND(AND(E$4&gt;='2025'!$L463,E$4&lt;='2025'!$M463), E$4&lt;&gt;DATE(2025,7,4)), (SWITCH(weekday(E$4), 1, 0, 2, if(ISBLANK('2025'!$P463), 0, 1), 3, if(ISBLANK('2025'!$Q463), 0, 1), 4, if(ISBLANK('2025'!$R463), 0, 1), 5, if(ISBLANK('2025'!$S463), 0, 1), 6, if(ISBLANK('2025'!$T463), 0, 1), 7, 0))), 1, "")</f>
        <v/>
      </c>
      <c r="F500" s="1" t="str">
        <f>IF(AND(AND(AND(F$4&gt;='2025'!$L463,F$4&lt;='2025'!$M463), F$4&lt;&gt;DATE(2025,7,4)), (SWITCH(weekday(F$4), 1, 0, 2, if(ISBLANK('2025'!$P463), 0, 1), 3, if(ISBLANK('2025'!$Q463), 0, 1), 4, if(ISBLANK('2025'!$R463), 0, 1), 5, if(ISBLANK('2025'!$S463), 0, 1), 6, if(ISBLANK('2025'!$T463), 0, 1), 7, 0))), 1, "")</f>
        <v/>
      </c>
      <c r="G500" s="1" t="str">
        <f>IF(AND(AND(AND(G$4&gt;='2025'!$L463,G$4&lt;='2025'!$M463), G$4&lt;&gt;DATE(2025,7,4)), (SWITCH(weekday(G$4), 1, 0, 2, if(ISBLANK('2025'!$P463), 0, 1), 3, if(ISBLANK('2025'!$Q463), 0, 1), 4, if(ISBLANK('2025'!$R463), 0, 1), 5, if(ISBLANK('2025'!$S463), 0, 1), 6, if(ISBLANK('2025'!$T463), 0, 1), 7, 0))), 1, "")</f>
        <v/>
      </c>
      <c r="H500" s="1" t="str">
        <f>IF(AND(AND(AND(H$4&gt;='2025'!$L463,H$4&lt;='2025'!$M463), H$4&lt;&gt;DATE(2025,7,4)), (SWITCH(weekday(H$4), 1, 0, 2, if(ISBLANK('2025'!$P463), 0, 1), 3, if(ISBLANK('2025'!$Q463), 0, 1), 4, if(ISBLANK('2025'!$R463), 0, 1), 5, if(ISBLANK('2025'!$S463), 0, 1), 6, if(ISBLANK('2025'!$T463), 0, 1), 7, 0))), 1, "")</f>
        <v/>
      </c>
      <c r="I500" s="1" t="str">
        <f>IF(AND(AND(AND(I$4&gt;='2025'!$L463,I$4&lt;='2025'!$M463), I$4&lt;&gt;DATE(2025,7,4)), (SWITCH(weekday(I$4), 1, 0, 2, if(ISBLANK('2025'!$P463), 0, 1), 3, if(ISBLANK('2025'!$Q463), 0, 1), 4, if(ISBLANK('2025'!$R463), 0, 1), 5, if(ISBLANK('2025'!$S463), 0, 1), 6, if(ISBLANK('2025'!$T463), 0, 1), 7, 0))), 1, "")</f>
        <v/>
      </c>
      <c r="J500" s="1" t="str">
        <f>IF(AND(AND(AND(J$4&gt;='2025'!$L463,J$4&lt;='2025'!$M463), J$4&lt;&gt;DATE(2025,7,4)), (SWITCH(weekday(J$4), 1, 0, 2, if(ISBLANK('2025'!$P463), 0, 1), 3, if(ISBLANK('2025'!$Q463), 0, 1), 4, if(ISBLANK('2025'!$R463), 0, 1), 5, if(ISBLANK('2025'!$S463), 0, 1), 6, if(ISBLANK('2025'!$T463), 0, 1), 7, 0))), 1, "")</f>
        <v/>
      </c>
      <c r="K500" s="1" t="str">
        <f>IF(AND(AND(AND(K$4&gt;='2025'!$L463,K$4&lt;='2025'!$M463), K$4&lt;&gt;DATE(2025,7,4)), (SWITCH(weekday(K$4), 1, 0, 2, if(ISBLANK('2025'!$P463), 0, 1), 3, if(ISBLANK('2025'!$Q463), 0, 1), 4, if(ISBLANK('2025'!$R463), 0, 1), 5, if(ISBLANK('2025'!$S463), 0, 1), 6, if(ISBLANK('2025'!$T463), 0, 1), 7, 0))), 1, "")</f>
        <v/>
      </c>
      <c r="L500" s="1" t="str">
        <f>IF(AND(AND(AND(L$4&gt;='2025'!$L463,L$4&lt;='2025'!$M463), L$4&lt;&gt;DATE(2025,7,4)), (SWITCH(weekday(L$4), 1, 0, 2, if(ISBLANK('2025'!$P463), 0, 1), 3, if(ISBLANK('2025'!$Q463), 0, 1), 4, if(ISBLANK('2025'!$R463), 0, 1), 5, if(ISBLANK('2025'!$S463), 0, 1), 6, if(ISBLANK('2025'!$T463), 0, 1), 7, 0))), 1, "")</f>
        <v/>
      </c>
      <c r="M500" s="1" t="str">
        <f>IF(AND(AND(AND(M$4&gt;='2025'!$L463,M$4&lt;='2025'!$M463), M$4&lt;&gt;DATE(2025,7,4)), (SWITCH(weekday(M$4), 1, 0, 2, if(ISBLANK('2025'!$P463), 0, 1), 3, if(ISBLANK('2025'!$Q463), 0, 1), 4, if(ISBLANK('2025'!$R463), 0, 1), 5, if(ISBLANK('2025'!$S463), 0, 1), 6, if(ISBLANK('2025'!$T463), 0, 1), 7, 0))), 1, "")</f>
        <v/>
      </c>
      <c r="N500" s="1" t="str">
        <f>IF(AND(AND(AND(N$4&gt;='2025'!$L463,N$4&lt;='2025'!$M463), N$4&lt;&gt;DATE(2025,7,4)), (SWITCH(weekday(N$4), 1, 0, 2, if(ISBLANK('2025'!$P463), 0, 1), 3, if(ISBLANK('2025'!$Q463), 0, 1), 4, if(ISBLANK('2025'!$R463), 0, 1), 5, if(ISBLANK('2025'!$S463), 0, 1), 6, if(ISBLANK('2025'!$T463), 0, 1), 7, 0))), 1, "")</f>
        <v/>
      </c>
      <c r="O500" s="1" t="str">
        <f>IF(AND(AND(AND(O$4&gt;='2025'!$L463,O$4&lt;='2025'!$M463), O$4&lt;&gt;DATE(2025,7,4)), (SWITCH(weekday(O$4), 1, 0, 2, if(ISBLANK('2025'!$P463), 0, 1), 3, if(ISBLANK('2025'!$Q463), 0, 1), 4, if(ISBLANK('2025'!$R463), 0, 1), 5, if(ISBLANK('2025'!$S463), 0, 1), 6, if(ISBLANK('2025'!$T463), 0, 1), 7, 0))), 1, "")</f>
        <v/>
      </c>
      <c r="P500" s="1" t="str">
        <f>IF(AND(AND(AND(P$4&gt;='2025'!$L463,P$4&lt;='2025'!$M463), P$4&lt;&gt;DATE(2025,7,4)), (SWITCH(weekday(P$4), 1, 0, 2, if(ISBLANK('2025'!$P463), 0, 1), 3, if(ISBLANK('2025'!$Q463), 0, 1), 4, if(ISBLANK('2025'!$R463), 0, 1), 5, if(ISBLANK('2025'!$S463), 0, 1), 6, if(ISBLANK('2025'!$T463), 0, 1), 7, 0))), 1, "")</f>
        <v/>
      </c>
      <c r="Q500" s="1" t="str">
        <f>IF(AND(AND(AND(Q$4&gt;='2025'!$L463,Q$4&lt;='2025'!$M463), Q$4&lt;&gt;DATE(2025,7,4)), (SWITCH(weekday(Q$4), 1, 0, 2, if(ISBLANK('2025'!$P463), 0, 1), 3, if(ISBLANK('2025'!$Q463), 0, 1), 4, if(ISBLANK('2025'!$R463), 0, 1), 5, if(ISBLANK('2025'!$S463), 0, 1), 6, if(ISBLANK('2025'!$T463), 0, 1), 7, 0))), 1, "")</f>
        <v/>
      </c>
      <c r="R500" s="1" t="str">
        <f>IF(AND(AND(AND(R$4&gt;='2025'!$L463,R$4&lt;='2025'!$M463), R$4&lt;&gt;DATE(2025,7,4)), (SWITCH(weekday(R$4), 1, 0, 2, if(ISBLANK('2025'!$P463), 0, 1), 3, if(ISBLANK('2025'!$Q463), 0, 1), 4, if(ISBLANK('2025'!$R463), 0, 1), 5, if(ISBLANK('2025'!$S463), 0, 1), 6, if(ISBLANK('2025'!$T463), 0, 1), 7, 0))), 1, "")</f>
        <v/>
      </c>
      <c r="S500" s="1" t="str">
        <f>IF(AND(AND(AND(S$4&gt;='2025'!$L463,S$4&lt;='2025'!$M463), S$4&lt;&gt;DATE(2025,7,4)), (SWITCH(weekday(S$4), 1, 0, 2, if(ISBLANK('2025'!$P463), 0, 1), 3, if(ISBLANK('2025'!$Q463), 0, 1), 4, if(ISBLANK('2025'!$R463), 0, 1), 5, if(ISBLANK('2025'!$S463), 0, 1), 6, if(ISBLANK('2025'!$T463), 0, 1), 7, 0))), 1, "")</f>
        <v/>
      </c>
      <c r="T500" s="1" t="str">
        <f>IF(AND(AND(AND(T$4&gt;='2025'!$L463,T$4&lt;='2025'!$M463), T$4&lt;&gt;DATE(2025,7,4)), (SWITCH(weekday(T$4), 1, 0, 2, if(ISBLANK('2025'!$P463), 0, 1), 3, if(ISBLANK('2025'!$Q463), 0, 1), 4, if(ISBLANK('2025'!$R463), 0, 1), 5, if(ISBLANK('2025'!$S463), 0, 1), 6, if(ISBLANK('2025'!$T463), 0, 1), 7, 0))), 1, "")</f>
        <v/>
      </c>
      <c r="U500" s="1" t="str">
        <f>IF(AND(AND(AND(U$4&gt;='2025'!$L463,U$4&lt;='2025'!$M463), U$4&lt;&gt;DATE(2025,7,4)), (SWITCH(weekday(U$4), 1, 0, 2, if(ISBLANK('2025'!$P463), 0, 1), 3, if(ISBLANK('2025'!$Q463), 0, 1), 4, if(ISBLANK('2025'!$R463), 0, 1), 5, if(ISBLANK('2025'!$S463), 0, 1), 6, if(ISBLANK('2025'!$T463), 0, 1), 7, 0))), 1, "")</f>
        <v/>
      </c>
      <c r="V500" s="1" t="str">
        <f>IF(AND(AND(AND(V$4&gt;='2025'!$L463,V$4&lt;='2025'!$M463), V$4&lt;&gt;DATE(2025,7,4)), (SWITCH(weekday(V$4), 1, 0, 2, if(ISBLANK('2025'!$P463), 0, 1), 3, if(ISBLANK('2025'!$Q463), 0, 1), 4, if(ISBLANK('2025'!$R463), 0, 1), 5, if(ISBLANK('2025'!$S463), 0, 1), 6, if(ISBLANK('2025'!$T463), 0, 1), 7, 0))), 1, "")</f>
        <v/>
      </c>
      <c r="W500" s="1" t="str">
        <f>IF(AND(AND(AND(W$4&gt;='2025'!$L463,W$4&lt;='2025'!$M463), W$4&lt;&gt;DATE(2025,7,4)), (SWITCH(weekday(W$4), 1, 0, 2, if(ISBLANK('2025'!$P463), 0, 1), 3, if(ISBLANK('2025'!$Q463), 0, 1), 4, if(ISBLANK('2025'!$R463), 0, 1), 5, if(ISBLANK('2025'!$S463), 0, 1), 6, if(ISBLANK('2025'!$T463), 0, 1), 7, 0))), 1, "")</f>
        <v/>
      </c>
      <c r="X500" s="1" t="str">
        <f>IF(AND(AND(AND(X$4&gt;='2025'!$L463,X$4&lt;='2025'!$M463), X$4&lt;&gt;DATE(2025,7,4)), (SWITCH(weekday(X$4), 1, 0, 2, if(ISBLANK('2025'!$P463), 0, 1), 3, if(ISBLANK('2025'!$Q463), 0, 1), 4, if(ISBLANK('2025'!$R463), 0, 1), 5, if(ISBLANK('2025'!$S463), 0, 1), 6, if(ISBLANK('2025'!$T463), 0, 1), 7, 0))), 1, "")</f>
        <v/>
      </c>
      <c r="Y500" s="1" t="str">
        <f>IF(AND(AND(AND(Y$4&gt;='2025'!$L463,Y$4&lt;='2025'!$M463), Y$4&lt;&gt;DATE(2025,7,4)), (SWITCH(weekday(Y$4), 1, 0, 2, if(ISBLANK('2025'!$P463), 0, 1), 3, if(ISBLANK('2025'!$Q463), 0, 1), 4, if(ISBLANK('2025'!$R463), 0, 1), 5, if(ISBLANK('2025'!$S463), 0, 1), 6, if(ISBLANK('2025'!$T463), 0, 1), 7, 0))), 1, "")</f>
        <v/>
      </c>
      <c r="Z500" s="1" t="str">
        <f>IF(AND(AND(AND(Z$4&gt;='2025'!$L463,Z$4&lt;='2025'!$M463), Z$4&lt;&gt;DATE(2025,7,4)), (SWITCH(weekday(Z$4), 1, 0, 2, if(ISBLANK('2025'!$P463), 0, 1), 3, if(ISBLANK('2025'!$Q463), 0, 1), 4, if(ISBLANK('2025'!$R463), 0, 1), 5, if(ISBLANK('2025'!$S463), 0, 1), 6, if(ISBLANK('2025'!$T463), 0, 1), 7, 0))), 1, "")</f>
        <v/>
      </c>
      <c r="AA500" s="1" t="str">
        <f>IF(AND(AND(AND(AA$4&gt;='2025'!$L463,AA$4&lt;='2025'!$M463), AA$4&lt;&gt;DATE(2025,7,4)), (SWITCH(weekday(AA$4), 1, 0, 2, if(ISBLANK('2025'!$P463), 0, 1), 3, if(ISBLANK('2025'!$Q463), 0, 1), 4, if(ISBLANK('2025'!$R463), 0, 1), 5, if(ISBLANK('2025'!$S463), 0, 1), 6, if(ISBLANK('2025'!$T463), 0, 1), 7, 0))), 1, "")</f>
        <v/>
      </c>
      <c r="AB500" s="1" t="str">
        <f>IF(AND(AND(AND(AB$4&gt;='2025'!$L463,AB$4&lt;='2025'!$M463), AB$4&lt;&gt;DATE(2025,7,4)), (SWITCH(weekday(AB$4), 1, 0, 2, if(ISBLANK('2025'!$P463), 0, 1), 3, if(ISBLANK('2025'!$Q463), 0, 1), 4, if(ISBLANK('2025'!$R463), 0, 1), 5, if(ISBLANK('2025'!$S463), 0, 1), 6, if(ISBLANK('2025'!$T463), 0, 1), 7, 0))), 1, "")</f>
        <v/>
      </c>
      <c r="AC500" s="1" t="str">
        <f>IF(AND(AND(AND(AC$4&gt;='2025'!$L463,AC$4&lt;='2025'!$M463), AC$4&lt;&gt;DATE(2025,7,4)), (SWITCH(weekday(AC$4), 1, 0, 2, if(ISBLANK('2025'!$P463), 0, 1), 3, if(ISBLANK('2025'!$Q463), 0, 1), 4, if(ISBLANK('2025'!$R463), 0, 1), 5, if(ISBLANK('2025'!$S463), 0, 1), 6, if(ISBLANK('2025'!$T463), 0, 1), 7, 0))), 1, "")</f>
        <v/>
      </c>
      <c r="AD500" s="1" t="str">
        <f>IF(AND(AND(AND(AD$4&gt;='2025'!$L463,AD$4&lt;='2025'!$M463), AD$4&lt;&gt;DATE(2025,7,4)), (SWITCH(weekday(AD$4), 1, 0, 2, if(ISBLANK('2025'!$P463), 0, 1), 3, if(ISBLANK('2025'!$Q463), 0, 1), 4, if(ISBLANK('2025'!$R463), 0, 1), 5, if(ISBLANK('2025'!$S463), 0, 1), 6, if(ISBLANK('2025'!$T463), 0, 1), 7, 0))), 1, "")</f>
        <v/>
      </c>
      <c r="AE500" s="1" t="str">
        <f>IF(AND(AND(AND(AE$4&gt;='2025'!$L463,AE$4&lt;='2025'!$M463), AE$4&lt;&gt;DATE(2025,7,4)), (SWITCH(weekday(AE$4), 1, 0, 2, if(ISBLANK('2025'!$P463), 0, 1), 3, if(ISBLANK('2025'!$Q463), 0, 1), 4, if(ISBLANK('2025'!$R463), 0, 1), 5, if(ISBLANK('2025'!$S463), 0, 1), 6, if(ISBLANK('2025'!$T463), 0, 1), 7, 0))), 1, "")</f>
        <v/>
      </c>
      <c r="AF500" s="1" t="str">
        <f>IF(AND(AND(AND(AF$4&gt;='2025'!$L463,AF$4&lt;='2025'!$M463), AF$4&lt;&gt;DATE(2025,7,4)), (SWITCH(weekday(AF$4), 1, 0, 2, if(ISBLANK('2025'!$P463), 0, 1), 3, if(ISBLANK('2025'!$Q463), 0, 1), 4, if(ISBLANK('2025'!$R463), 0, 1), 5, if(ISBLANK('2025'!$S463), 0, 1), 6, if(ISBLANK('2025'!$T463), 0, 1), 7, 0))), 1, "")</f>
        <v/>
      </c>
      <c r="AG500" s="1" t="str">
        <f>IF(AND(AND(AND(AG$4&gt;='2025'!$L463,AG$4&lt;='2025'!$M463), AG$4&lt;&gt;DATE(2025,7,4)), (SWITCH(weekday(AG$4), 1, 0, 2, if(ISBLANK('2025'!$P463), 0, 1), 3, if(ISBLANK('2025'!$Q463), 0, 1), 4, if(ISBLANK('2025'!$R463), 0, 1), 5, if(ISBLANK('2025'!$S463), 0, 1), 6, if(ISBLANK('2025'!$T463), 0, 1), 7, 0))), 1, "")</f>
        <v/>
      </c>
      <c r="AH500" s="1" t="str">
        <f>IF(AND(AND(AND(AH$4&gt;='2025'!$L463,AH$4&lt;='2025'!$M463), AH$4&lt;&gt;DATE(2025,7,4)), (SWITCH(weekday(AH$4), 1, 0, 2, if(ISBLANK('2025'!$P463), 0, 1), 3, if(ISBLANK('2025'!$Q463), 0, 1), 4, if(ISBLANK('2025'!$R463), 0, 1), 5, if(ISBLANK('2025'!$S463), 0, 1), 6, if(ISBLANK('2025'!$T463), 0, 1), 7, 0))), 1, "")</f>
        <v/>
      </c>
      <c r="AI500" s="1" t="str">
        <f>IF(AND(AND(AND(AI$4&gt;='2025'!$L463,AI$4&lt;='2025'!$M463), AI$4&lt;&gt;DATE(2025,7,4)), (SWITCH(weekday(AI$4), 1, 0, 2, if(ISBLANK('2025'!$P463), 0, 1), 3, if(ISBLANK('2025'!$Q463), 0, 1), 4, if(ISBLANK('2025'!$R463), 0, 1), 5, if(ISBLANK('2025'!$S463), 0, 1), 6, if(ISBLANK('2025'!$T463), 0, 1), 7, 0))), 1, "")</f>
        <v/>
      </c>
      <c r="AJ500" s="1" t="str">
        <f>IF(AND(AND(AND(AJ$4&gt;='2025'!$L463,AJ$4&lt;='2025'!$M463), AJ$4&lt;&gt;DATE(2025,7,4)), (SWITCH(weekday(AJ$4), 1, 0, 2, if(ISBLANK('2025'!$P463), 0, 1), 3, if(ISBLANK('2025'!$Q463), 0, 1), 4, if(ISBLANK('2025'!$R463), 0, 1), 5, if(ISBLANK('2025'!$S463), 0, 1), 6, if(ISBLANK('2025'!$T463), 0, 1), 7, 0))), 1, "")</f>
        <v/>
      </c>
      <c r="AK500" s="1" t="str">
        <f>IF(AND(AND(AND(AK$4&gt;='2025'!$L463,AK$4&lt;='2025'!$M463), AK$4&lt;&gt;DATE(2025,7,4)), (SWITCH(weekday(AK$4), 1, 0, 2, if(ISBLANK('2025'!$P463), 0, 1), 3, if(ISBLANK('2025'!$Q463), 0, 1), 4, if(ISBLANK('2025'!$R463), 0, 1), 5, if(ISBLANK('2025'!$S463), 0, 1), 6, if(ISBLANK('2025'!$T463), 0, 1), 7, 0))), 1, "")</f>
        <v/>
      </c>
      <c r="AL500" s="1" t="str">
        <f>IF(AND(AND(AND(AL$4&gt;='2025'!$L463,AL$4&lt;='2025'!$M463), AL$4&lt;&gt;DATE(2025,7,4)), (SWITCH(weekday(AL$4), 1, 0, 2, if(ISBLANK('2025'!$P463), 0, 1), 3, if(ISBLANK('2025'!$Q463), 0, 1), 4, if(ISBLANK('2025'!$R463), 0, 1), 5, if(ISBLANK('2025'!$S463), 0, 1), 6, if(ISBLANK('2025'!$T463), 0, 1), 7, 0))), 1, "")</f>
        <v/>
      </c>
      <c r="AM500" s="1" t="str">
        <f>IF(AND(AND(AND(AM$4&gt;='2025'!$L463,AM$4&lt;='2025'!$M463), AM$4&lt;&gt;DATE(2025,7,4)), (SWITCH(weekday(AM$4), 1, 0, 2, if(ISBLANK('2025'!$P463), 0, 1), 3, if(ISBLANK('2025'!$Q463), 0, 1), 4, if(ISBLANK('2025'!$R463), 0, 1), 5, if(ISBLANK('2025'!$S463), 0, 1), 6, if(ISBLANK('2025'!$T463), 0, 1), 7, 0))), 1, "")</f>
        <v/>
      </c>
      <c r="AN500" s="1" t="str">
        <f>IF(AND(AND(AND(AN$4&gt;='2025'!$L463,AN$4&lt;='2025'!$M463), AN$4&lt;&gt;DATE(2025,7,4)), (SWITCH(weekday(AN$4), 1, 0, 2, if(ISBLANK('2025'!$P463), 0, 1), 3, if(ISBLANK('2025'!$Q463), 0, 1), 4, if(ISBLANK('2025'!$R463), 0, 1), 5, if(ISBLANK('2025'!$S463), 0, 1), 6, if(ISBLANK('2025'!$T463), 0, 1), 7, 0))), 1, "")</f>
        <v/>
      </c>
      <c r="AO500" s="1" t="str">
        <f>IF(AND(AND(AND(AO$4&gt;='2025'!$L463,AO$4&lt;='2025'!$M463), AO$4&lt;&gt;DATE(2025,7,4)), (SWITCH(weekday(AO$4), 1, 0, 2, if(ISBLANK('2025'!$P463), 0, 1), 3, if(ISBLANK('2025'!$Q463), 0, 1), 4, if(ISBLANK('2025'!$R463), 0, 1), 5, if(ISBLANK('2025'!$S463), 0, 1), 6, if(ISBLANK('2025'!$T463), 0, 1), 7, 0))), 1, "")</f>
        <v/>
      </c>
      <c r="AP500" s="1" t="str">
        <f>IF(AND(AND(AND(AP$4&gt;='2025'!$L463,AP$4&lt;='2025'!$M463), AP$4&lt;&gt;DATE(2025,7,4)), (SWITCH(weekday(AP$4), 1, 0, 2, if(ISBLANK('2025'!$P463), 0, 1), 3, if(ISBLANK('2025'!$Q463), 0, 1), 4, if(ISBLANK('2025'!$R463), 0, 1), 5, if(ISBLANK('2025'!$S463), 0, 1), 6, if(ISBLANK('2025'!$T463), 0, 1), 7, 0))), 1, "")</f>
        <v/>
      </c>
      <c r="AQ500" s="1" t="str">
        <f>IF(AND(AND(AND(AQ$4&gt;='2025'!$L463,AQ$4&lt;='2025'!$M463), AQ$4&lt;&gt;DATE(2025,7,4)), (SWITCH(weekday(AQ$4), 1, 0, 2, if(ISBLANK('2025'!$P463), 0, 1), 3, if(ISBLANK('2025'!$Q463), 0, 1), 4, if(ISBLANK('2025'!$R463), 0, 1), 5, if(ISBLANK('2025'!$S463), 0, 1), 6, if(ISBLANK('2025'!$T463), 0, 1), 7, 0))), 1, "")</f>
        <v/>
      </c>
      <c r="AR500" s="1" t="str">
        <f>IF(AND(AND(AND(AR$4&gt;='2025'!$L463,AR$4&lt;='2025'!$M463), AR$4&lt;&gt;DATE(2025,7,4)), (SWITCH(weekday(AR$4), 1, 0, 2, if(ISBLANK('2025'!$P463), 0, 1), 3, if(ISBLANK('2025'!$Q463), 0, 1), 4, if(ISBLANK('2025'!$R463), 0, 1), 5, if(ISBLANK('2025'!$S463), 0, 1), 6, if(ISBLANK('2025'!$T463), 0, 1), 7, 0))), 1, "")</f>
        <v/>
      </c>
      <c r="AS500" s="1" t="str">
        <f>IF(AND(AND(AND(AS$4&gt;='2025'!$L463,AS$4&lt;='2025'!$M463), AS$4&lt;&gt;DATE(2025,7,4)), (SWITCH(weekday(AS$4), 1, 0, 2, if(ISBLANK('2025'!$P463), 0, 1), 3, if(ISBLANK('2025'!$Q463), 0, 1), 4, if(ISBLANK('2025'!$R463), 0, 1), 5, if(ISBLANK('2025'!$S463), 0, 1), 6, if(ISBLANK('2025'!$T463), 0, 1), 7, 0))), 1, "")</f>
        <v/>
      </c>
      <c r="AT500" s="1" t="str">
        <f>IF(AND(AND(AND(AT$4&gt;='2025'!$L463,AT$4&lt;='2025'!$M463), AT$4&lt;&gt;DATE(2025,7,4)), (SWITCH(weekday(AT$4), 1, 0, 2, if(ISBLANK('2025'!$P463), 0, 1), 3, if(ISBLANK('2025'!$Q463), 0, 1), 4, if(ISBLANK('2025'!$R463), 0, 1), 5, if(ISBLANK('2025'!$S463), 0, 1), 6, if(ISBLANK('2025'!$T463), 0, 1), 7, 0))), 1, "")</f>
        <v/>
      </c>
      <c r="AU500" s="1" t="str">
        <f>IF(AND(AND(AND(AU$4&gt;='2025'!$L463,AU$4&lt;='2025'!$M463), AU$4&lt;&gt;DATE(2025,7,4)), (SWITCH(weekday(AU$4), 1, 0, 2, if(ISBLANK('2025'!$P463), 0, 1), 3, if(ISBLANK('2025'!$Q463), 0, 1), 4, if(ISBLANK('2025'!$R463), 0, 1), 5, if(ISBLANK('2025'!$S463), 0, 1), 6, if(ISBLANK('2025'!$T463), 0, 1), 7, 0))), 1, "")</f>
        <v/>
      </c>
      <c r="AV500" s="1" t="str">
        <f>IF(AND(AND(AND(AV$4&gt;='2025'!$L463,AV$4&lt;='2025'!$M463), AV$4&lt;&gt;DATE(2025,7,4)), (SWITCH(weekday(AV$4), 1, 0, 2, if(ISBLANK('2025'!$P463), 0, 1), 3, if(ISBLANK('2025'!$Q463), 0, 1), 4, if(ISBLANK('2025'!$R463), 0, 1), 5, if(ISBLANK('2025'!$S463), 0, 1), 6, if(ISBLANK('2025'!$T463), 0, 1), 7, 0))), 1, "")</f>
        <v/>
      </c>
      <c r="AW500" s="1" t="str">
        <f>IF(AND(AND(AND(AW$4&gt;='2025'!$L463,AW$4&lt;='2025'!$M463), AW$4&lt;&gt;DATE(2025,7,4)), (SWITCH(weekday(AW$4), 1, 0, 2, if(ISBLANK('2025'!$P463), 0, 1), 3, if(ISBLANK('2025'!$Q463), 0, 1), 4, if(ISBLANK('2025'!$R463), 0, 1), 5, if(ISBLANK('2025'!$S463), 0, 1), 6, if(ISBLANK('2025'!$T463), 0, 1), 7, 0))), 1, "")</f>
        <v/>
      </c>
      <c r="AX500" s="1" t="str">
        <f>IF(AND(AND(AND(AX$4&gt;='2025'!$L463,AX$4&lt;='2025'!$M463), AX$4&lt;&gt;DATE(2025,7,4)), (SWITCH(weekday(AX$4), 1, 0, 2, if(ISBLANK('2025'!$P463), 0, 1), 3, if(ISBLANK('2025'!$Q463), 0, 1), 4, if(ISBLANK('2025'!$R463), 0, 1), 5, if(ISBLANK('2025'!$S463), 0, 1), 6, if(ISBLANK('2025'!$T463), 0, 1), 7, 0))), 1, "")</f>
        <v/>
      </c>
      <c r="AY500" s="1" t="str">
        <f>IF(AND(AND(AND(AY$4&gt;='2025'!$L463,AY$4&lt;='2025'!$M463), AY$4&lt;&gt;DATE(2025,7,4)), (SWITCH(weekday(AY$4), 1, 0, 2, if(ISBLANK('2025'!$P463), 0, 1), 3, if(ISBLANK('2025'!$Q463), 0, 1), 4, if(ISBLANK('2025'!$R463), 0, 1), 5, if(ISBLANK('2025'!$S463), 0, 1), 6, if(ISBLANK('2025'!$T463), 0, 1), 7, 0))), 1, "")</f>
        <v/>
      </c>
      <c r="AZ500" s="1" t="str">
        <f>IF(AND(AND(AND(AZ$4&gt;='2025'!$L463,AZ$4&lt;='2025'!$M463), AZ$4&lt;&gt;DATE(2025,7,4)), (SWITCH(weekday(AZ$4), 1, 0, 2, if(ISBLANK('2025'!$P463), 0, 1), 3, if(ISBLANK('2025'!$Q463), 0, 1), 4, if(ISBLANK('2025'!$R463), 0, 1), 5, if(ISBLANK('2025'!$S463), 0, 1), 6, if(ISBLANK('2025'!$T463), 0, 1), 7, 0))), 1, "")</f>
        <v/>
      </c>
      <c r="BA500" s="1" t="str">
        <f>IF(AND(AND(AND(BA$4&gt;='2025'!$L463,BA$4&lt;='2025'!$M463), BA$4&lt;&gt;DATE(2025,7,4)), (SWITCH(weekday(BA$4), 1, 0, 2, if(ISBLANK('2025'!$P463), 0, 1), 3, if(ISBLANK('2025'!$Q463), 0, 1), 4, if(ISBLANK('2025'!$R463), 0, 1), 5, if(ISBLANK('2025'!$S463), 0, 1), 6, if(ISBLANK('2025'!$T463), 0, 1), 7, 0))), 1, "")</f>
        <v/>
      </c>
      <c r="BB500" s="1" t="str">
        <f>IF(AND(AND(AND(BB$4&gt;='2025'!$L463,BB$4&lt;='2025'!$M463), BB$4&lt;&gt;DATE(2025,7,4)), (SWITCH(weekday(BB$4), 1, 0, 2, if(ISBLANK('2025'!$P463), 0, 1), 3, if(ISBLANK('2025'!$Q463), 0, 1), 4, if(ISBLANK('2025'!$R463), 0, 1), 5, if(ISBLANK('2025'!$S463), 0, 1), 6, if(ISBLANK('2025'!$T463), 0, 1), 7, 0))), 1, "")</f>
        <v/>
      </c>
      <c r="BC500" s="1" t="str">
        <f>IF(AND(AND(AND(BC$4&gt;='2025'!$L463,BC$4&lt;='2025'!$M463), BC$4&lt;&gt;DATE(2025,7,4)), (SWITCH(weekday(BC$4), 1, 0, 2, if(ISBLANK('2025'!$P463), 0, 1), 3, if(ISBLANK('2025'!$Q463), 0, 1), 4, if(ISBLANK('2025'!$R463), 0, 1), 5, if(ISBLANK('2025'!$S463), 0, 1), 6, if(ISBLANK('2025'!$T463), 0, 1), 7, 0))), 1, "")</f>
        <v/>
      </c>
      <c r="BD500" s="1" t="str">
        <f>IF(AND(AND(AND(BD$4&gt;='2025'!$L463,BD$4&lt;='2025'!$M463), BD$4&lt;&gt;DATE(2025,7,4)), (SWITCH(weekday(BD$4), 1, 0, 2, if(ISBLANK('2025'!$P463), 0, 1), 3, if(ISBLANK('2025'!$Q463), 0, 1), 4, if(ISBLANK('2025'!$R463), 0, 1), 5, if(ISBLANK('2025'!$S463), 0, 1), 6, if(ISBLANK('2025'!$T463), 0, 1), 7, 0))), 1, "")</f>
        <v/>
      </c>
      <c r="BE500" s="1" t="str">
        <f>IF(AND(AND(AND(BE$4&gt;='2025'!$L463,BE$4&lt;='2025'!$M463), BE$4&lt;&gt;DATE(2025,7,4)), (SWITCH(weekday(BE$4), 1, 0, 2, if(ISBLANK('2025'!$P463), 0, 1), 3, if(ISBLANK('2025'!$Q463), 0, 1), 4, if(ISBLANK('2025'!$R463), 0, 1), 5, if(ISBLANK('2025'!$S463), 0, 1), 6, if(ISBLANK('2025'!$T463), 0, 1), 7, 0))), 1, "")</f>
        <v/>
      </c>
    </row>
    <row r="501">
      <c r="A501" s="1">
        <f t="shared" si="3"/>
        <v>501</v>
      </c>
      <c r="B501" s="1" t="str">
        <f>'2025'!D464</f>
        <v/>
      </c>
      <c r="C501" s="1" t="str">
        <f>'2025'!H464</f>
        <v/>
      </c>
      <c r="D501" s="1" t="str">
        <f>IF(AND(AND(AND(D$4&gt;='2025'!$L464,D$4&lt;='2025'!$M464), D$4&lt;&gt;DATE(2025,7,4)), (SWITCH(weekday(D$4), 1, 0, 2, if(ISBLANK('2025'!$P464), 0, 1), 3, if(ISBLANK('2025'!$Q464), 0, 1), 4, if(ISBLANK('2025'!$R464), 0, 1), 5, if(ISBLANK('2025'!$S464), 0, 1), 6, if(ISBLANK('2025'!$T464), 0, 1), 7, 0))), 1, "")</f>
        <v/>
      </c>
      <c r="E501" s="1" t="str">
        <f>IF(AND(AND(AND(E$4&gt;='2025'!$L464,E$4&lt;='2025'!$M464), E$4&lt;&gt;DATE(2025,7,4)), (SWITCH(weekday(E$4), 1, 0, 2, if(ISBLANK('2025'!$P464), 0, 1), 3, if(ISBLANK('2025'!$Q464), 0, 1), 4, if(ISBLANK('2025'!$R464), 0, 1), 5, if(ISBLANK('2025'!$S464), 0, 1), 6, if(ISBLANK('2025'!$T464), 0, 1), 7, 0))), 1, "")</f>
        <v/>
      </c>
      <c r="F501" s="1" t="str">
        <f>IF(AND(AND(AND(F$4&gt;='2025'!$L464,F$4&lt;='2025'!$M464), F$4&lt;&gt;DATE(2025,7,4)), (SWITCH(weekday(F$4), 1, 0, 2, if(ISBLANK('2025'!$P464), 0, 1), 3, if(ISBLANK('2025'!$Q464), 0, 1), 4, if(ISBLANK('2025'!$R464), 0, 1), 5, if(ISBLANK('2025'!$S464), 0, 1), 6, if(ISBLANK('2025'!$T464), 0, 1), 7, 0))), 1, "")</f>
        <v/>
      </c>
      <c r="G501" s="1" t="str">
        <f>IF(AND(AND(AND(G$4&gt;='2025'!$L464,G$4&lt;='2025'!$M464), G$4&lt;&gt;DATE(2025,7,4)), (SWITCH(weekday(G$4), 1, 0, 2, if(ISBLANK('2025'!$P464), 0, 1), 3, if(ISBLANK('2025'!$Q464), 0, 1), 4, if(ISBLANK('2025'!$R464), 0, 1), 5, if(ISBLANK('2025'!$S464), 0, 1), 6, if(ISBLANK('2025'!$T464), 0, 1), 7, 0))), 1, "")</f>
        <v/>
      </c>
      <c r="H501" s="1" t="str">
        <f>IF(AND(AND(AND(H$4&gt;='2025'!$L464,H$4&lt;='2025'!$M464), H$4&lt;&gt;DATE(2025,7,4)), (SWITCH(weekday(H$4), 1, 0, 2, if(ISBLANK('2025'!$P464), 0, 1), 3, if(ISBLANK('2025'!$Q464), 0, 1), 4, if(ISBLANK('2025'!$R464), 0, 1), 5, if(ISBLANK('2025'!$S464), 0, 1), 6, if(ISBLANK('2025'!$T464), 0, 1), 7, 0))), 1, "")</f>
        <v/>
      </c>
      <c r="I501" s="1" t="str">
        <f>IF(AND(AND(AND(I$4&gt;='2025'!$L464,I$4&lt;='2025'!$M464), I$4&lt;&gt;DATE(2025,7,4)), (SWITCH(weekday(I$4), 1, 0, 2, if(ISBLANK('2025'!$P464), 0, 1), 3, if(ISBLANK('2025'!$Q464), 0, 1), 4, if(ISBLANK('2025'!$R464), 0, 1), 5, if(ISBLANK('2025'!$S464), 0, 1), 6, if(ISBLANK('2025'!$T464), 0, 1), 7, 0))), 1, "")</f>
        <v/>
      </c>
      <c r="J501" s="1" t="str">
        <f>IF(AND(AND(AND(J$4&gt;='2025'!$L464,J$4&lt;='2025'!$M464), J$4&lt;&gt;DATE(2025,7,4)), (SWITCH(weekday(J$4), 1, 0, 2, if(ISBLANK('2025'!$P464), 0, 1), 3, if(ISBLANK('2025'!$Q464), 0, 1), 4, if(ISBLANK('2025'!$R464), 0, 1), 5, if(ISBLANK('2025'!$S464), 0, 1), 6, if(ISBLANK('2025'!$T464), 0, 1), 7, 0))), 1, "")</f>
        <v/>
      </c>
      <c r="K501" s="1" t="str">
        <f>IF(AND(AND(AND(K$4&gt;='2025'!$L464,K$4&lt;='2025'!$M464), K$4&lt;&gt;DATE(2025,7,4)), (SWITCH(weekday(K$4), 1, 0, 2, if(ISBLANK('2025'!$P464), 0, 1), 3, if(ISBLANK('2025'!$Q464), 0, 1), 4, if(ISBLANK('2025'!$R464), 0, 1), 5, if(ISBLANK('2025'!$S464), 0, 1), 6, if(ISBLANK('2025'!$T464), 0, 1), 7, 0))), 1, "")</f>
        <v/>
      </c>
      <c r="L501" s="1" t="str">
        <f>IF(AND(AND(AND(L$4&gt;='2025'!$L464,L$4&lt;='2025'!$M464), L$4&lt;&gt;DATE(2025,7,4)), (SWITCH(weekday(L$4), 1, 0, 2, if(ISBLANK('2025'!$P464), 0, 1), 3, if(ISBLANK('2025'!$Q464), 0, 1), 4, if(ISBLANK('2025'!$R464), 0, 1), 5, if(ISBLANK('2025'!$S464), 0, 1), 6, if(ISBLANK('2025'!$T464), 0, 1), 7, 0))), 1, "")</f>
        <v/>
      </c>
      <c r="M501" s="1" t="str">
        <f>IF(AND(AND(AND(M$4&gt;='2025'!$L464,M$4&lt;='2025'!$M464), M$4&lt;&gt;DATE(2025,7,4)), (SWITCH(weekday(M$4), 1, 0, 2, if(ISBLANK('2025'!$P464), 0, 1), 3, if(ISBLANK('2025'!$Q464), 0, 1), 4, if(ISBLANK('2025'!$R464), 0, 1), 5, if(ISBLANK('2025'!$S464), 0, 1), 6, if(ISBLANK('2025'!$T464), 0, 1), 7, 0))), 1, "")</f>
        <v/>
      </c>
      <c r="N501" s="1" t="str">
        <f>IF(AND(AND(AND(N$4&gt;='2025'!$L464,N$4&lt;='2025'!$M464), N$4&lt;&gt;DATE(2025,7,4)), (SWITCH(weekday(N$4), 1, 0, 2, if(ISBLANK('2025'!$P464), 0, 1), 3, if(ISBLANK('2025'!$Q464), 0, 1), 4, if(ISBLANK('2025'!$R464), 0, 1), 5, if(ISBLANK('2025'!$S464), 0, 1), 6, if(ISBLANK('2025'!$T464), 0, 1), 7, 0))), 1, "")</f>
        <v/>
      </c>
      <c r="O501" s="1" t="str">
        <f>IF(AND(AND(AND(O$4&gt;='2025'!$L464,O$4&lt;='2025'!$M464), O$4&lt;&gt;DATE(2025,7,4)), (SWITCH(weekday(O$4), 1, 0, 2, if(ISBLANK('2025'!$P464), 0, 1), 3, if(ISBLANK('2025'!$Q464), 0, 1), 4, if(ISBLANK('2025'!$R464), 0, 1), 5, if(ISBLANK('2025'!$S464), 0, 1), 6, if(ISBLANK('2025'!$T464), 0, 1), 7, 0))), 1, "")</f>
        <v/>
      </c>
      <c r="P501" s="1" t="str">
        <f>IF(AND(AND(AND(P$4&gt;='2025'!$L464,P$4&lt;='2025'!$M464), P$4&lt;&gt;DATE(2025,7,4)), (SWITCH(weekday(P$4), 1, 0, 2, if(ISBLANK('2025'!$P464), 0, 1), 3, if(ISBLANK('2025'!$Q464), 0, 1), 4, if(ISBLANK('2025'!$R464), 0, 1), 5, if(ISBLANK('2025'!$S464), 0, 1), 6, if(ISBLANK('2025'!$T464), 0, 1), 7, 0))), 1, "")</f>
        <v/>
      </c>
      <c r="Q501" s="1" t="str">
        <f>IF(AND(AND(AND(Q$4&gt;='2025'!$L464,Q$4&lt;='2025'!$M464), Q$4&lt;&gt;DATE(2025,7,4)), (SWITCH(weekday(Q$4), 1, 0, 2, if(ISBLANK('2025'!$P464), 0, 1), 3, if(ISBLANK('2025'!$Q464), 0, 1), 4, if(ISBLANK('2025'!$R464), 0, 1), 5, if(ISBLANK('2025'!$S464), 0, 1), 6, if(ISBLANK('2025'!$T464), 0, 1), 7, 0))), 1, "")</f>
        <v/>
      </c>
      <c r="R501" s="1" t="str">
        <f>IF(AND(AND(AND(R$4&gt;='2025'!$L464,R$4&lt;='2025'!$M464), R$4&lt;&gt;DATE(2025,7,4)), (SWITCH(weekday(R$4), 1, 0, 2, if(ISBLANK('2025'!$P464), 0, 1), 3, if(ISBLANK('2025'!$Q464), 0, 1), 4, if(ISBLANK('2025'!$R464), 0, 1), 5, if(ISBLANK('2025'!$S464), 0, 1), 6, if(ISBLANK('2025'!$T464), 0, 1), 7, 0))), 1, "")</f>
        <v/>
      </c>
      <c r="S501" s="1" t="str">
        <f>IF(AND(AND(AND(S$4&gt;='2025'!$L464,S$4&lt;='2025'!$M464), S$4&lt;&gt;DATE(2025,7,4)), (SWITCH(weekday(S$4), 1, 0, 2, if(ISBLANK('2025'!$P464), 0, 1), 3, if(ISBLANK('2025'!$Q464), 0, 1), 4, if(ISBLANK('2025'!$R464), 0, 1), 5, if(ISBLANK('2025'!$S464), 0, 1), 6, if(ISBLANK('2025'!$T464), 0, 1), 7, 0))), 1, "")</f>
        <v/>
      </c>
      <c r="T501" s="1" t="str">
        <f>IF(AND(AND(AND(T$4&gt;='2025'!$L464,T$4&lt;='2025'!$M464), T$4&lt;&gt;DATE(2025,7,4)), (SWITCH(weekday(T$4), 1, 0, 2, if(ISBLANK('2025'!$P464), 0, 1), 3, if(ISBLANK('2025'!$Q464), 0, 1), 4, if(ISBLANK('2025'!$R464), 0, 1), 5, if(ISBLANK('2025'!$S464), 0, 1), 6, if(ISBLANK('2025'!$T464), 0, 1), 7, 0))), 1, "")</f>
        <v/>
      </c>
      <c r="U501" s="1" t="str">
        <f>IF(AND(AND(AND(U$4&gt;='2025'!$L464,U$4&lt;='2025'!$M464), U$4&lt;&gt;DATE(2025,7,4)), (SWITCH(weekday(U$4), 1, 0, 2, if(ISBLANK('2025'!$P464), 0, 1), 3, if(ISBLANK('2025'!$Q464), 0, 1), 4, if(ISBLANK('2025'!$R464), 0, 1), 5, if(ISBLANK('2025'!$S464), 0, 1), 6, if(ISBLANK('2025'!$T464), 0, 1), 7, 0))), 1, "")</f>
        <v/>
      </c>
      <c r="V501" s="1" t="str">
        <f>IF(AND(AND(AND(V$4&gt;='2025'!$L464,V$4&lt;='2025'!$M464), V$4&lt;&gt;DATE(2025,7,4)), (SWITCH(weekday(V$4), 1, 0, 2, if(ISBLANK('2025'!$P464), 0, 1), 3, if(ISBLANK('2025'!$Q464), 0, 1), 4, if(ISBLANK('2025'!$R464), 0, 1), 5, if(ISBLANK('2025'!$S464), 0, 1), 6, if(ISBLANK('2025'!$T464), 0, 1), 7, 0))), 1, "")</f>
        <v/>
      </c>
      <c r="W501" s="1" t="str">
        <f>IF(AND(AND(AND(W$4&gt;='2025'!$L464,W$4&lt;='2025'!$M464), W$4&lt;&gt;DATE(2025,7,4)), (SWITCH(weekday(W$4), 1, 0, 2, if(ISBLANK('2025'!$P464), 0, 1), 3, if(ISBLANK('2025'!$Q464), 0, 1), 4, if(ISBLANK('2025'!$R464), 0, 1), 5, if(ISBLANK('2025'!$S464), 0, 1), 6, if(ISBLANK('2025'!$T464), 0, 1), 7, 0))), 1, "")</f>
        <v/>
      </c>
      <c r="X501" s="1" t="str">
        <f>IF(AND(AND(AND(X$4&gt;='2025'!$L464,X$4&lt;='2025'!$M464), X$4&lt;&gt;DATE(2025,7,4)), (SWITCH(weekday(X$4), 1, 0, 2, if(ISBLANK('2025'!$P464), 0, 1), 3, if(ISBLANK('2025'!$Q464), 0, 1), 4, if(ISBLANK('2025'!$R464), 0, 1), 5, if(ISBLANK('2025'!$S464), 0, 1), 6, if(ISBLANK('2025'!$T464), 0, 1), 7, 0))), 1, "")</f>
        <v/>
      </c>
      <c r="Y501" s="1" t="str">
        <f>IF(AND(AND(AND(Y$4&gt;='2025'!$L464,Y$4&lt;='2025'!$M464), Y$4&lt;&gt;DATE(2025,7,4)), (SWITCH(weekday(Y$4), 1, 0, 2, if(ISBLANK('2025'!$P464), 0, 1), 3, if(ISBLANK('2025'!$Q464), 0, 1), 4, if(ISBLANK('2025'!$R464), 0, 1), 5, if(ISBLANK('2025'!$S464), 0, 1), 6, if(ISBLANK('2025'!$T464), 0, 1), 7, 0))), 1, "")</f>
        <v/>
      </c>
      <c r="Z501" s="1" t="str">
        <f>IF(AND(AND(AND(Z$4&gt;='2025'!$L464,Z$4&lt;='2025'!$M464), Z$4&lt;&gt;DATE(2025,7,4)), (SWITCH(weekday(Z$4), 1, 0, 2, if(ISBLANK('2025'!$P464), 0, 1), 3, if(ISBLANK('2025'!$Q464), 0, 1), 4, if(ISBLANK('2025'!$R464), 0, 1), 5, if(ISBLANK('2025'!$S464), 0, 1), 6, if(ISBLANK('2025'!$T464), 0, 1), 7, 0))), 1, "")</f>
        <v/>
      </c>
      <c r="AA501" s="1" t="str">
        <f>IF(AND(AND(AND(AA$4&gt;='2025'!$L464,AA$4&lt;='2025'!$M464), AA$4&lt;&gt;DATE(2025,7,4)), (SWITCH(weekday(AA$4), 1, 0, 2, if(ISBLANK('2025'!$P464), 0, 1), 3, if(ISBLANK('2025'!$Q464), 0, 1), 4, if(ISBLANK('2025'!$R464), 0, 1), 5, if(ISBLANK('2025'!$S464), 0, 1), 6, if(ISBLANK('2025'!$T464), 0, 1), 7, 0))), 1, "")</f>
        <v/>
      </c>
      <c r="AB501" s="1" t="str">
        <f>IF(AND(AND(AND(AB$4&gt;='2025'!$L464,AB$4&lt;='2025'!$M464), AB$4&lt;&gt;DATE(2025,7,4)), (SWITCH(weekday(AB$4), 1, 0, 2, if(ISBLANK('2025'!$P464), 0, 1), 3, if(ISBLANK('2025'!$Q464), 0, 1), 4, if(ISBLANK('2025'!$R464), 0, 1), 5, if(ISBLANK('2025'!$S464), 0, 1), 6, if(ISBLANK('2025'!$T464), 0, 1), 7, 0))), 1, "")</f>
        <v/>
      </c>
      <c r="AC501" s="1" t="str">
        <f>IF(AND(AND(AND(AC$4&gt;='2025'!$L464,AC$4&lt;='2025'!$M464), AC$4&lt;&gt;DATE(2025,7,4)), (SWITCH(weekday(AC$4), 1, 0, 2, if(ISBLANK('2025'!$P464), 0, 1), 3, if(ISBLANK('2025'!$Q464), 0, 1), 4, if(ISBLANK('2025'!$R464), 0, 1), 5, if(ISBLANK('2025'!$S464), 0, 1), 6, if(ISBLANK('2025'!$T464), 0, 1), 7, 0))), 1, "")</f>
        <v/>
      </c>
      <c r="AD501" s="1" t="str">
        <f>IF(AND(AND(AND(AD$4&gt;='2025'!$L464,AD$4&lt;='2025'!$M464), AD$4&lt;&gt;DATE(2025,7,4)), (SWITCH(weekday(AD$4), 1, 0, 2, if(ISBLANK('2025'!$P464), 0, 1), 3, if(ISBLANK('2025'!$Q464), 0, 1), 4, if(ISBLANK('2025'!$R464), 0, 1), 5, if(ISBLANK('2025'!$S464), 0, 1), 6, if(ISBLANK('2025'!$T464), 0, 1), 7, 0))), 1, "")</f>
        <v/>
      </c>
      <c r="AE501" s="1" t="str">
        <f>IF(AND(AND(AND(AE$4&gt;='2025'!$L464,AE$4&lt;='2025'!$M464), AE$4&lt;&gt;DATE(2025,7,4)), (SWITCH(weekday(AE$4), 1, 0, 2, if(ISBLANK('2025'!$P464), 0, 1), 3, if(ISBLANK('2025'!$Q464), 0, 1), 4, if(ISBLANK('2025'!$R464), 0, 1), 5, if(ISBLANK('2025'!$S464), 0, 1), 6, if(ISBLANK('2025'!$T464), 0, 1), 7, 0))), 1, "")</f>
        <v/>
      </c>
      <c r="AF501" s="1" t="str">
        <f>IF(AND(AND(AND(AF$4&gt;='2025'!$L464,AF$4&lt;='2025'!$M464), AF$4&lt;&gt;DATE(2025,7,4)), (SWITCH(weekday(AF$4), 1, 0, 2, if(ISBLANK('2025'!$P464), 0, 1), 3, if(ISBLANK('2025'!$Q464), 0, 1), 4, if(ISBLANK('2025'!$R464), 0, 1), 5, if(ISBLANK('2025'!$S464), 0, 1), 6, if(ISBLANK('2025'!$T464), 0, 1), 7, 0))), 1, "")</f>
        <v/>
      </c>
      <c r="AG501" s="1" t="str">
        <f>IF(AND(AND(AND(AG$4&gt;='2025'!$L464,AG$4&lt;='2025'!$M464), AG$4&lt;&gt;DATE(2025,7,4)), (SWITCH(weekday(AG$4), 1, 0, 2, if(ISBLANK('2025'!$P464), 0, 1), 3, if(ISBLANK('2025'!$Q464), 0, 1), 4, if(ISBLANK('2025'!$R464), 0, 1), 5, if(ISBLANK('2025'!$S464), 0, 1), 6, if(ISBLANK('2025'!$T464), 0, 1), 7, 0))), 1, "")</f>
        <v/>
      </c>
      <c r="AH501" s="1" t="str">
        <f>IF(AND(AND(AND(AH$4&gt;='2025'!$L464,AH$4&lt;='2025'!$M464), AH$4&lt;&gt;DATE(2025,7,4)), (SWITCH(weekday(AH$4), 1, 0, 2, if(ISBLANK('2025'!$P464), 0, 1), 3, if(ISBLANK('2025'!$Q464), 0, 1), 4, if(ISBLANK('2025'!$R464), 0, 1), 5, if(ISBLANK('2025'!$S464), 0, 1), 6, if(ISBLANK('2025'!$T464), 0, 1), 7, 0))), 1, "")</f>
        <v/>
      </c>
      <c r="AI501" s="1" t="str">
        <f>IF(AND(AND(AND(AI$4&gt;='2025'!$L464,AI$4&lt;='2025'!$M464), AI$4&lt;&gt;DATE(2025,7,4)), (SWITCH(weekday(AI$4), 1, 0, 2, if(ISBLANK('2025'!$P464), 0, 1), 3, if(ISBLANK('2025'!$Q464), 0, 1), 4, if(ISBLANK('2025'!$R464), 0, 1), 5, if(ISBLANK('2025'!$S464), 0, 1), 6, if(ISBLANK('2025'!$T464), 0, 1), 7, 0))), 1, "")</f>
        <v/>
      </c>
      <c r="AJ501" s="1" t="str">
        <f>IF(AND(AND(AND(AJ$4&gt;='2025'!$L464,AJ$4&lt;='2025'!$M464), AJ$4&lt;&gt;DATE(2025,7,4)), (SWITCH(weekday(AJ$4), 1, 0, 2, if(ISBLANK('2025'!$P464), 0, 1), 3, if(ISBLANK('2025'!$Q464), 0, 1), 4, if(ISBLANK('2025'!$R464), 0, 1), 5, if(ISBLANK('2025'!$S464), 0, 1), 6, if(ISBLANK('2025'!$T464), 0, 1), 7, 0))), 1, "")</f>
        <v/>
      </c>
      <c r="AK501" s="1" t="str">
        <f>IF(AND(AND(AND(AK$4&gt;='2025'!$L464,AK$4&lt;='2025'!$M464), AK$4&lt;&gt;DATE(2025,7,4)), (SWITCH(weekday(AK$4), 1, 0, 2, if(ISBLANK('2025'!$P464), 0, 1), 3, if(ISBLANK('2025'!$Q464), 0, 1), 4, if(ISBLANK('2025'!$R464), 0, 1), 5, if(ISBLANK('2025'!$S464), 0, 1), 6, if(ISBLANK('2025'!$T464), 0, 1), 7, 0))), 1, "")</f>
        <v/>
      </c>
      <c r="AL501" s="1" t="str">
        <f>IF(AND(AND(AND(AL$4&gt;='2025'!$L464,AL$4&lt;='2025'!$M464), AL$4&lt;&gt;DATE(2025,7,4)), (SWITCH(weekday(AL$4), 1, 0, 2, if(ISBLANK('2025'!$P464), 0, 1), 3, if(ISBLANK('2025'!$Q464), 0, 1), 4, if(ISBLANK('2025'!$R464), 0, 1), 5, if(ISBLANK('2025'!$S464), 0, 1), 6, if(ISBLANK('2025'!$T464), 0, 1), 7, 0))), 1, "")</f>
        <v/>
      </c>
      <c r="AM501" s="1" t="str">
        <f>IF(AND(AND(AND(AM$4&gt;='2025'!$L464,AM$4&lt;='2025'!$M464), AM$4&lt;&gt;DATE(2025,7,4)), (SWITCH(weekday(AM$4), 1, 0, 2, if(ISBLANK('2025'!$P464), 0, 1), 3, if(ISBLANK('2025'!$Q464), 0, 1), 4, if(ISBLANK('2025'!$R464), 0, 1), 5, if(ISBLANK('2025'!$S464), 0, 1), 6, if(ISBLANK('2025'!$T464), 0, 1), 7, 0))), 1, "")</f>
        <v/>
      </c>
      <c r="AN501" s="1" t="str">
        <f>IF(AND(AND(AND(AN$4&gt;='2025'!$L464,AN$4&lt;='2025'!$M464), AN$4&lt;&gt;DATE(2025,7,4)), (SWITCH(weekday(AN$4), 1, 0, 2, if(ISBLANK('2025'!$P464), 0, 1), 3, if(ISBLANK('2025'!$Q464), 0, 1), 4, if(ISBLANK('2025'!$R464), 0, 1), 5, if(ISBLANK('2025'!$S464), 0, 1), 6, if(ISBLANK('2025'!$T464), 0, 1), 7, 0))), 1, "")</f>
        <v/>
      </c>
      <c r="AO501" s="1" t="str">
        <f>IF(AND(AND(AND(AO$4&gt;='2025'!$L464,AO$4&lt;='2025'!$M464), AO$4&lt;&gt;DATE(2025,7,4)), (SWITCH(weekday(AO$4), 1, 0, 2, if(ISBLANK('2025'!$P464), 0, 1), 3, if(ISBLANK('2025'!$Q464), 0, 1), 4, if(ISBLANK('2025'!$R464), 0, 1), 5, if(ISBLANK('2025'!$S464), 0, 1), 6, if(ISBLANK('2025'!$T464), 0, 1), 7, 0))), 1, "")</f>
        <v/>
      </c>
      <c r="AP501" s="1" t="str">
        <f>IF(AND(AND(AND(AP$4&gt;='2025'!$L464,AP$4&lt;='2025'!$M464), AP$4&lt;&gt;DATE(2025,7,4)), (SWITCH(weekday(AP$4), 1, 0, 2, if(ISBLANK('2025'!$P464), 0, 1), 3, if(ISBLANK('2025'!$Q464), 0, 1), 4, if(ISBLANK('2025'!$R464), 0, 1), 5, if(ISBLANK('2025'!$S464), 0, 1), 6, if(ISBLANK('2025'!$T464), 0, 1), 7, 0))), 1, "")</f>
        <v/>
      </c>
      <c r="AQ501" s="1" t="str">
        <f>IF(AND(AND(AND(AQ$4&gt;='2025'!$L464,AQ$4&lt;='2025'!$M464), AQ$4&lt;&gt;DATE(2025,7,4)), (SWITCH(weekday(AQ$4), 1, 0, 2, if(ISBLANK('2025'!$P464), 0, 1), 3, if(ISBLANK('2025'!$Q464), 0, 1), 4, if(ISBLANK('2025'!$R464), 0, 1), 5, if(ISBLANK('2025'!$S464), 0, 1), 6, if(ISBLANK('2025'!$T464), 0, 1), 7, 0))), 1, "")</f>
        <v/>
      </c>
      <c r="AR501" s="1" t="str">
        <f>IF(AND(AND(AND(AR$4&gt;='2025'!$L464,AR$4&lt;='2025'!$M464), AR$4&lt;&gt;DATE(2025,7,4)), (SWITCH(weekday(AR$4), 1, 0, 2, if(ISBLANK('2025'!$P464), 0, 1), 3, if(ISBLANK('2025'!$Q464), 0, 1), 4, if(ISBLANK('2025'!$R464), 0, 1), 5, if(ISBLANK('2025'!$S464), 0, 1), 6, if(ISBLANK('2025'!$T464), 0, 1), 7, 0))), 1, "")</f>
        <v/>
      </c>
      <c r="AS501" s="1" t="str">
        <f>IF(AND(AND(AND(AS$4&gt;='2025'!$L464,AS$4&lt;='2025'!$M464), AS$4&lt;&gt;DATE(2025,7,4)), (SWITCH(weekday(AS$4), 1, 0, 2, if(ISBLANK('2025'!$P464), 0, 1), 3, if(ISBLANK('2025'!$Q464), 0, 1), 4, if(ISBLANK('2025'!$R464), 0, 1), 5, if(ISBLANK('2025'!$S464), 0, 1), 6, if(ISBLANK('2025'!$T464), 0, 1), 7, 0))), 1, "")</f>
        <v/>
      </c>
      <c r="AT501" s="1" t="str">
        <f>IF(AND(AND(AND(AT$4&gt;='2025'!$L464,AT$4&lt;='2025'!$M464), AT$4&lt;&gt;DATE(2025,7,4)), (SWITCH(weekday(AT$4), 1, 0, 2, if(ISBLANK('2025'!$P464), 0, 1), 3, if(ISBLANK('2025'!$Q464), 0, 1), 4, if(ISBLANK('2025'!$R464), 0, 1), 5, if(ISBLANK('2025'!$S464), 0, 1), 6, if(ISBLANK('2025'!$T464), 0, 1), 7, 0))), 1, "")</f>
        <v/>
      </c>
      <c r="AU501" s="1" t="str">
        <f>IF(AND(AND(AND(AU$4&gt;='2025'!$L464,AU$4&lt;='2025'!$M464), AU$4&lt;&gt;DATE(2025,7,4)), (SWITCH(weekday(AU$4), 1, 0, 2, if(ISBLANK('2025'!$P464), 0, 1), 3, if(ISBLANK('2025'!$Q464), 0, 1), 4, if(ISBLANK('2025'!$R464), 0, 1), 5, if(ISBLANK('2025'!$S464), 0, 1), 6, if(ISBLANK('2025'!$T464), 0, 1), 7, 0))), 1, "")</f>
        <v/>
      </c>
      <c r="AV501" s="1" t="str">
        <f>IF(AND(AND(AND(AV$4&gt;='2025'!$L464,AV$4&lt;='2025'!$M464), AV$4&lt;&gt;DATE(2025,7,4)), (SWITCH(weekday(AV$4), 1, 0, 2, if(ISBLANK('2025'!$P464), 0, 1), 3, if(ISBLANK('2025'!$Q464), 0, 1), 4, if(ISBLANK('2025'!$R464), 0, 1), 5, if(ISBLANK('2025'!$S464), 0, 1), 6, if(ISBLANK('2025'!$T464), 0, 1), 7, 0))), 1, "")</f>
        <v/>
      </c>
      <c r="AW501" s="1" t="str">
        <f>IF(AND(AND(AND(AW$4&gt;='2025'!$L464,AW$4&lt;='2025'!$M464), AW$4&lt;&gt;DATE(2025,7,4)), (SWITCH(weekday(AW$4), 1, 0, 2, if(ISBLANK('2025'!$P464), 0, 1), 3, if(ISBLANK('2025'!$Q464), 0, 1), 4, if(ISBLANK('2025'!$R464), 0, 1), 5, if(ISBLANK('2025'!$S464), 0, 1), 6, if(ISBLANK('2025'!$T464), 0, 1), 7, 0))), 1, "")</f>
        <v/>
      </c>
      <c r="AX501" s="1" t="str">
        <f>IF(AND(AND(AND(AX$4&gt;='2025'!$L464,AX$4&lt;='2025'!$M464), AX$4&lt;&gt;DATE(2025,7,4)), (SWITCH(weekday(AX$4), 1, 0, 2, if(ISBLANK('2025'!$P464), 0, 1), 3, if(ISBLANK('2025'!$Q464), 0, 1), 4, if(ISBLANK('2025'!$R464), 0, 1), 5, if(ISBLANK('2025'!$S464), 0, 1), 6, if(ISBLANK('2025'!$T464), 0, 1), 7, 0))), 1, "")</f>
        <v/>
      </c>
      <c r="AY501" s="1" t="str">
        <f>IF(AND(AND(AND(AY$4&gt;='2025'!$L464,AY$4&lt;='2025'!$M464), AY$4&lt;&gt;DATE(2025,7,4)), (SWITCH(weekday(AY$4), 1, 0, 2, if(ISBLANK('2025'!$P464), 0, 1), 3, if(ISBLANK('2025'!$Q464), 0, 1), 4, if(ISBLANK('2025'!$R464), 0, 1), 5, if(ISBLANK('2025'!$S464), 0, 1), 6, if(ISBLANK('2025'!$T464), 0, 1), 7, 0))), 1, "")</f>
        <v/>
      </c>
      <c r="AZ501" s="1" t="str">
        <f>IF(AND(AND(AND(AZ$4&gt;='2025'!$L464,AZ$4&lt;='2025'!$M464), AZ$4&lt;&gt;DATE(2025,7,4)), (SWITCH(weekday(AZ$4), 1, 0, 2, if(ISBLANK('2025'!$P464), 0, 1), 3, if(ISBLANK('2025'!$Q464), 0, 1), 4, if(ISBLANK('2025'!$R464), 0, 1), 5, if(ISBLANK('2025'!$S464), 0, 1), 6, if(ISBLANK('2025'!$T464), 0, 1), 7, 0))), 1, "")</f>
        <v/>
      </c>
      <c r="BA501" s="1" t="str">
        <f>IF(AND(AND(AND(BA$4&gt;='2025'!$L464,BA$4&lt;='2025'!$M464), BA$4&lt;&gt;DATE(2025,7,4)), (SWITCH(weekday(BA$4), 1, 0, 2, if(ISBLANK('2025'!$P464), 0, 1), 3, if(ISBLANK('2025'!$Q464), 0, 1), 4, if(ISBLANK('2025'!$R464), 0, 1), 5, if(ISBLANK('2025'!$S464), 0, 1), 6, if(ISBLANK('2025'!$T464), 0, 1), 7, 0))), 1, "")</f>
        <v/>
      </c>
      <c r="BB501" s="1" t="str">
        <f>IF(AND(AND(AND(BB$4&gt;='2025'!$L464,BB$4&lt;='2025'!$M464), BB$4&lt;&gt;DATE(2025,7,4)), (SWITCH(weekday(BB$4), 1, 0, 2, if(ISBLANK('2025'!$P464), 0, 1), 3, if(ISBLANK('2025'!$Q464), 0, 1), 4, if(ISBLANK('2025'!$R464), 0, 1), 5, if(ISBLANK('2025'!$S464), 0, 1), 6, if(ISBLANK('2025'!$T464), 0, 1), 7, 0))), 1, "")</f>
        <v/>
      </c>
      <c r="BC501" s="1" t="str">
        <f>IF(AND(AND(AND(BC$4&gt;='2025'!$L464,BC$4&lt;='2025'!$M464), BC$4&lt;&gt;DATE(2025,7,4)), (SWITCH(weekday(BC$4), 1, 0, 2, if(ISBLANK('2025'!$P464), 0, 1), 3, if(ISBLANK('2025'!$Q464), 0, 1), 4, if(ISBLANK('2025'!$R464), 0, 1), 5, if(ISBLANK('2025'!$S464), 0, 1), 6, if(ISBLANK('2025'!$T464), 0, 1), 7, 0))), 1, "")</f>
        <v/>
      </c>
      <c r="BD501" s="1" t="str">
        <f>IF(AND(AND(AND(BD$4&gt;='2025'!$L464,BD$4&lt;='2025'!$M464), BD$4&lt;&gt;DATE(2025,7,4)), (SWITCH(weekday(BD$4), 1, 0, 2, if(ISBLANK('2025'!$P464), 0, 1), 3, if(ISBLANK('2025'!$Q464), 0, 1), 4, if(ISBLANK('2025'!$R464), 0, 1), 5, if(ISBLANK('2025'!$S464), 0, 1), 6, if(ISBLANK('2025'!$T464), 0, 1), 7, 0))), 1, "")</f>
        <v/>
      </c>
      <c r="BE501" s="1" t="str">
        <f>IF(AND(AND(AND(BE$4&gt;='2025'!$L464,BE$4&lt;='2025'!$M464), BE$4&lt;&gt;DATE(2025,7,4)), (SWITCH(weekday(BE$4), 1, 0, 2, if(ISBLANK('2025'!$P464), 0, 1), 3, if(ISBLANK('2025'!$Q464), 0, 1), 4, if(ISBLANK('2025'!$R464), 0, 1), 5, if(ISBLANK('2025'!$S464), 0, 1), 6, if(ISBLANK('2025'!$T464), 0, 1), 7, 0))), 1, "")</f>
        <v/>
      </c>
    </row>
    <row r="502">
      <c r="A502" s="1">
        <f t="shared" si="3"/>
        <v>502</v>
      </c>
      <c r="B502" s="1" t="str">
        <f>'2025'!D465</f>
        <v/>
      </c>
      <c r="C502" s="1" t="str">
        <f>'2025'!H465</f>
        <v/>
      </c>
      <c r="D502" s="1" t="str">
        <f>IF(AND(AND(AND(D$4&gt;='2025'!$L465,D$4&lt;='2025'!$M465), D$4&lt;&gt;DATE(2025,7,4)), (SWITCH(weekday(D$4), 1, 0, 2, if(ISBLANK('2025'!$P465), 0, 1), 3, if(ISBLANK('2025'!$Q465), 0, 1), 4, if(ISBLANK('2025'!$R465), 0, 1), 5, if(ISBLANK('2025'!$S465), 0, 1), 6, if(ISBLANK('2025'!$T465), 0, 1), 7, 0))), 1, "")</f>
        <v/>
      </c>
      <c r="E502" s="1" t="str">
        <f>IF(AND(AND(AND(E$4&gt;='2025'!$L465,E$4&lt;='2025'!$M465), E$4&lt;&gt;DATE(2025,7,4)), (SWITCH(weekday(E$4), 1, 0, 2, if(ISBLANK('2025'!$P465), 0, 1), 3, if(ISBLANK('2025'!$Q465), 0, 1), 4, if(ISBLANK('2025'!$R465), 0, 1), 5, if(ISBLANK('2025'!$S465), 0, 1), 6, if(ISBLANK('2025'!$T465), 0, 1), 7, 0))), 1, "")</f>
        <v/>
      </c>
      <c r="F502" s="1" t="str">
        <f>IF(AND(AND(AND(F$4&gt;='2025'!$L465,F$4&lt;='2025'!$M465), F$4&lt;&gt;DATE(2025,7,4)), (SWITCH(weekday(F$4), 1, 0, 2, if(ISBLANK('2025'!$P465), 0, 1), 3, if(ISBLANK('2025'!$Q465), 0, 1), 4, if(ISBLANK('2025'!$R465), 0, 1), 5, if(ISBLANK('2025'!$S465), 0, 1), 6, if(ISBLANK('2025'!$T465), 0, 1), 7, 0))), 1, "")</f>
        <v/>
      </c>
      <c r="G502" s="1" t="str">
        <f>IF(AND(AND(AND(G$4&gt;='2025'!$L465,G$4&lt;='2025'!$M465), G$4&lt;&gt;DATE(2025,7,4)), (SWITCH(weekday(G$4), 1, 0, 2, if(ISBLANK('2025'!$P465), 0, 1), 3, if(ISBLANK('2025'!$Q465), 0, 1), 4, if(ISBLANK('2025'!$R465), 0, 1), 5, if(ISBLANK('2025'!$S465), 0, 1), 6, if(ISBLANK('2025'!$T465), 0, 1), 7, 0))), 1, "")</f>
        <v/>
      </c>
      <c r="H502" s="1" t="str">
        <f>IF(AND(AND(AND(H$4&gt;='2025'!$L465,H$4&lt;='2025'!$M465), H$4&lt;&gt;DATE(2025,7,4)), (SWITCH(weekday(H$4), 1, 0, 2, if(ISBLANK('2025'!$P465), 0, 1), 3, if(ISBLANK('2025'!$Q465), 0, 1), 4, if(ISBLANK('2025'!$R465), 0, 1), 5, if(ISBLANK('2025'!$S465), 0, 1), 6, if(ISBLANK('2025'!$T465), 0, 1), 7, 0))), 1, "")</f>
        <v/>
      </c>
      <c r="I502" s="1" t="str">
        <f>IF(AND(AND(AND(I$4&gt;='2025'!$L465,I$4&lt;='2025'!$M465), I$4&lt;&gt;DATE(2025,7,4)), (SWITCH(weekday(I$4), 1, 0, 2, if(ISBLANK('2025'!$P465), 0, 1), 3, if(ISBLANK('2025'!$Q465), 0, 1), 4, if(ISBLANK('2025'!$R465), 0, 1), 5, if(ISBLANK('2025'!$S465), 0, 1), 6, if(ISBLANK('2025'!$T465), 0, 1), 7, 0))), 1, "")</f>
        <v/>
      </c>
      <c r="J502" s="1" t="str">
        <f>IF(AND(AND(AND(J$4&gt;='2025'!$L465,J$4&lt;='2025'!$M465), J$4&lt;&gt;DATE(2025,7,4)), (SWITCH(weekday(J$4), 1, 0, 2, if(ISBLANK('2025'!$P465), 0, 1), 3, if(ISBLANK('2025'!$Q465), 0, 1), 4, if(ISBLANK('2025'!$R465), 0, 1), 5, if(ISBLANK('2025'!$S465), 0, 1), 6, if(ISBLANK('2025'!$T465), 0, 1), 7, 0))), 1, "")</f>
        <v/>
      </c>
      <c r="K502" s="1" t="str">
        <f>IF(AND(AND(AND(K$4&gt;='2025'!$L465,K$4&lt;='2025'!$M465), K$4&lt;&gt;DATE(2025,7,4)), (SWITCH(weekday(K$4), 1, 0, 2, if(ISBLANK('2025'!$P465), 0, 1), 3, if(ISBLANK('2025'!$Q465), 0, 1), 4, if(ISBLANK('2025'!$R465), 0, 1), 5, if(ISBLANK('2025'!$S465), 0, 1), 6, if(ISBLANK('2025'!$T465), 0, 1), 7, 0))), 1, "")</f>
        <v/>
      </c>
      <c r="L502" s="1" t="str">
        <f>IF(AND(AND(AND(L$4&gt;='2025'!$L465,L$4&lt;='2025'!$M465), L$4&lt;&gt;DATE(2025,7,4)), (SWITCH(weekday(L$4), 1, 0, 2, if(ISBLANK('2025'!$P465), 0, 1), 3, if(ISBLANK('2025'!$Q465), 0, 1), 4, if(ISBLANK('2025'!$R465), 0, 1), 5, if(ISBLANK('2025'!$S465), 0, 1), 6, if(ISBLANK('2025'!$T465), 0, 1), 7, 0))), 1, "")</f>
        <v/>
      </c>
      <c r="M502" s="1" t="str">
        <f>IF(AND(AND(AND(M$4&gt;='2025'!$L465,M$4&lt;='2025'!$M465), M$4&lt;&gt;DATE(2025,7,4)), (SWITCH(weekday(M$4), 1, 0, 2, if(ISBLANK('2025'!$P465), 0, 1), 3, if(ISBLANK('2025'!$Q465), 0, 1), 4, if(ISBLANK('2025'!$R465), 0, 1), 5, if(ISBLANK('2025'!$S465), 0, 1), 6, if(ISBLANK('2025'!$T465), 0, 1), 7, 0))), 1, "")</f>
        <v/>
      </c>
      <c r="N502" s="1" t="str">
        <f>IF(AND(AND(AND(N$4&gt;='2025'!$L465,N$4&lt;='2025'!$M465), N$4&lt;&gt;DATE(2025,7,4)), (SWITCH(weekday(N$4), 1, 0, 2, if(ISBLANK('2025'!$P465), 0, 1), 3, if(ISBLANK('2025'!$Q465), 0, 1), 4, if(ISBLANK('2025'!$R465), 0, 1), 5, if(ISBLANK('2025'!$S465), 0, 1), 6, if(ISBLANK('2025'!$T465), 0, 1), 7, 0))), 1, "")</f>
        <v/>
      </c>
      <c r="O502" s="1" t="str">
        <f>IF(AND(AND(AND(O$4&gt;='2025'!$L465,O$4&lt;='2025'!$M465), O$4&lt;&gt;DATE(2025,7,4)), (SWITCH(weekday(O$4), 1, 0, 2, if(ISBLANK('2025'!$P465), 0, 1), 3, if(ISBLANK('2025'!$Q465), 0, 1), 4, if(ISBLANK('2025'!$R465), 0, 1), 5, if(ISBLANK('2025'!$S465), 0, 1), 6, if(ISBLANK('2025'!$T465), 0, 1), 7, 0))), 1, "")</f>
        <v/>
      </c>
      <c r="P502" s="1" t="str">
        <f>IF(AND(AND(AND(P$4&gt;='2025'!$L465,P$4&lt;='2025'!$M465), P$4&lt;&gt;DATE(2025,7,4)), (SWITCH(weekday(P$4), 1, 0, 2, if(ISBLANK('2025'!$P465), 0, 1), 3, if(ISBLANK('2025'!$Q465), 0, 1), 4, if(ISBLANK('2025'!$R465), 0, 1), 5, if(ISBLANK('2025'!$S465), 0, 1), 6, if(ISBLANK('2025'!$T465), 0, 1), 7, 0))), 1, "")</f>
        <v/>
      </c>
      <c r="Q502" s="1" t="str">
        <f>IF(AND(AND(AND(Q$4&gt;='2025'!$L465,Q$4&lt;='2025'!$M465), Q$4&lt;&gt;DATE(2025,7,4)), (SWITCH(weekday(Q$4), 1, 0, 2, if(ISBLANK('2025'!$P465), 0, 1), 3, if(ISBLANK('2025'!$Q465), 0, 1), 4, if(ISBLANK('2025'!$R465), 0, 1), 5, if(ISBLANK('2025'!$S465), 0, 1), 6, if(ISBLANK('2025'!$T465), 0, 1), 7, 0))), 1, "")</f>
        <v/>
      </c>
      <c r="R502" s="1" t="str">
        <f>IF(AND(AND(AND(R$4&gt;='2025'!$L465,R$4&lt;='2025'!$M465), R$4&lt;&gt;DATE(2025,7,4)), (SWITCH(weekday(R$4), 1, 0, 2, if(ISBLANK('2025'!$P465), 0, 1), 3, if(ISBLANK('2025'!$Q465), 0, 1), 4, if(ISBLANK('2025'!$R465), 0, 1), 5, if(ISBLANK('2025'!$S465), 0, 1), 6, if(ISBLANK('2025'!$T465), 0, 1), 7, 0))), 1, "")</f>
        <v/>
      </c>
      <c r="S502" s="1" t="str">
        <f>IF(AND(AND(AND(S$4&gt;='2025'!$L465,S$4&lt;='2025'!$M465), S$4&lt;&gt;DATE(2025,7,4)), (SWITCH(weekday(S$4), 1, 0, 2, if(ISBLANK('2025'!$P465), 0, 1), 3, if(ISBLANK('2025'!$Q465), 0, 1), 4, if(ISBLANK('2025'!$R465), 0, 1), 5, if(ISBLANK('2025'!$S465), 0, 1), 6, if(ISBLANK('2025'!$T465), 0, 1), 7, 0))), 1, "")</f>
        <v/>
      </c>
      <c r="T502" s="1" t="str">
        <f>IF(AND(AND(AND(T$4&gt;='2025'!$L465,T$4&lt;='2025'!$M465), T$4&lt;&gt;DATE(2025,7,4)), (SWITCH(weekday(T$4), 1, 0, 2, if(ISBLANK('2025'!$P465), 0, 1), 3, if(ISBLANK('2025'!$Q465), 0, 1), 4, if(ISBLANK('2025'!$R465), 0, 1), 5, if(ISBLANK('2025'!$S465), 0, 1), 6, if(ISBLANK('2025'!$T465), 0, 1), 7, 0))), 1, "")</f>
        <v/>
      </c>
      <c r="U502" s="1" t="str">
        <f>IF(AND(AND(AND(U$4&gt;='2025'!$L465,U$4&lt;='2025'!$M465), U$4&lt;&gt;DATE(2025,7,4)), (SWITCH(weekday(U$4), 1, 0, 2, if(ISBLANK('2025'!$P465), 0, 1), 3, if(ISBLANK('2025'!$Q465), 0, 1), 4, if(ISBLANK('2025'!$R465), 0, 1), 5, if(ISBLANK('2025'!$S465), 0, 1), 6, if(ISBLANK('2025'!$T465), 0, 1), 7, 0))), 1, "")</f>
        <v/>
      </c>
      <c r="V502" s="1" t="str">
        <f>IF(AND(AND(AND(V$4&gt;='2025'!$L465,V$4&lt;='2025'!$M465), V$4&lt;&gt;DATE(2025,7,4)), (SWITCH(weekday(V$4), 1, 0, 2, if(ISBLANK('2025'!$P465), 0, 1), 3, if(ISBLANK('2025'!$Q465), 0, 1), 4, if(ISBLANK('2025'!$R465), 0, 1), 5, if(ISBLANK('2025'!$S465), 0, 1), 6, if(ISBLANK('2025'!$T465), 0, 1), 7, 0))), 1, "")</f>
        <v/>
      </c>
      <c r="W502" s="1" t="str">
        <f>IF(AND(AND(AND(W$4&gt;='2025'!$L465,W$4&lt;='2025'!$M465), W$4&lt;&gt;DATE(2025,7,4)), (SWITCH(weekday(W$4), 1, 0, 2, if(ISBLANK('2025'!$P465), 0, 1), 3, if(ISBLANK('2025'!$Q465), 0, 1), 4, if(ISBLANK('2025'!$R465), 0, 1), 5, if(ISBLANK('2025'!$S465), 0, 1), 6, if(ISBLANK('2025'!$T465), 0, 1), 7, 0))), 1, "")</f>
        <v/>
      </c>
      <c r="X502" s="1" t="str">
        <f>IF(AND(AND(AND(X$4&gt;='2025'!$L465,X$4&lt;='2025'!$M465), X$4&lt;&gt;DATE(2025,7,4)), (SWITCH(weekday(X$4), 1, 0, 2, if(ISBLANK('2025'!$P465), 0, 1), 3, if(ISBLANK('2025'!$Q465), 0, 1), 4, if(ISBLANK('2025'!$R465), 0, 1), 5, if(ISBLANK('2025'!$S465), 0, 1), 6, if(ISBLANK('2025'!$T465), 0, 1), 7, 0))), 1, "")</f>
        <v/>
      </c>
      <c r="Y502" s="1" t="str">
        <f>IF(AND(AND(AND(Y$4&gt;='2025'!$L465,Y$4&lt;='2025'!$M465), Y$4&lt;&gt;DATE(2025,7,4)), (SWITCH(weekday(Y$4), 1, 0, 2, if(ISBLANK('2025'!$P465), 0, 1), 3, if(ISBLANK('2025'!$Q465), 0, 1), 4, if(ISBLANK('2025'!$R465), 0, 1), 5, if(ISBLANK('2025'!$S465), 0, 1), 6, if(ISBLANK('2025'!$T465), 0, 1), 7, 0))), 1, "")</f>
        <v/>
      </c>
      <c r="Z502" s="1" t="str">
        <f>IF(AND(AND(AND(Z$4&gt;='2025'!$L465,Z$4&lt;='2025'!$M465), Z$4&lt;&gt;DATE(2025,7,4)), (SWITCH(weekday(Z$4), 1, 0, 2, if(ISBLANK('2025'!$P465), 0, 1), 3, if(ISBLANK('2025'!$Q465), 0, 1), 4, if(ISBLANK('2025'!$R465), 0, 1), 5, if(ISBLANK('2025'!$S465), 0, 1), 6, if(ISBLANK('2025'!$T465), 0, 1), 7, 0))), 1, "")</f>
        <v/>
      </c>
      <c r="AA502" s="1" t="str">
        <f>IF(AND(AND(AND(AA$4&gt;='2025'!$L465,AA$4&lt;='2025'!$M465), AA$4&lt;&gt;DATE(2025,7,4)), (SWITCH(weekday(AA$4), 1, 0, 2, if(ISBLANK('2025'!$P465), 0, 1), 3, if(ISBLANK('2025'!$Q465), 0, 1), 4, if(ISBLANK('2025'!$R465), 0, 1), 5, if(ISBLANK('2025'!$S465), 0, 1), 6, if(ISBLANK('2025'!$T465), 0, 1), 7, 0))), 1, "")</f>
        <v/>
      </c>
      <c r="AB502" s="1" t="str">
        <f>IF(AND(AND(AND(AB$4&gt;='2025'!$L465,AB$4&lt;='2025'!$M465), AB$4&lt;&gt;DATE(2025,7,4)), (SWITCH(weekday(AB$4), 1, 0, 2, if(ISBLANK('2025'!$P465), 0, 1), 3, if(ISBLANK('2025'!$Q465), 0, 1), 4, if(ISBLANK('2025'!$R465), 0, 1), 5, if(ISBLANK('2025'!$S465), 0, 1), 6, if(ISBLANK('2025'!$T465), 0, 1), 7, 0))), 1, "")</f>
        <v/>
      </c>
      <c r="AC502" s="1" t="str">
        <f>IF(AND(AND(AND(AC$4&gt;='2025'!$L465,AC$4&lt;='2025'!$M465), AC$4&lt;&gt;DATE(2025,7,4)), (SWITCH(weekday(AC$4), 1, 0, 2, if(ISBLANK('2025'!$P465), 0, 1), 3, if(ISBLANK('2025'!$Q465), 0, 1), 4, if(ISBLANK('2025'!$R465), 0, 1), 5, if(ISBLANK('2025'!$S465), 0, 1), 6, if(ISBLANK('2025'!$T465), 0, 1), 7, 0))), 1, "")</f>
        <v/>
      </c>
      <c r="AD502" s="1" t="str">
        <f>IF(AND(AND(AND(AD$4&gt;='2025'!$L465,AD$4&lt;='2025'!$M465), AD$4&lt;&gt;DATE(2025,7,4)), (SWITCH(weekday(AD$4), 1, 0, 2, if(ISBLANK('2025'!$P465), 0, 1), 3, if(ISBLANK('2025'!$Q465), 0, 1), 4, if(ISBLANK('2025'!$R465), 0, 1), 5, if(ISBLANK('2025'!$S465), 0, 1), 6, if(ISBLANK('2025'!$T465), 0, 1), 7, 0))), 1, "")</f>
        <v/>
      </c>
      <c r="AE502" s="1" t="str">
        <f>IF(AND(AND(AND(AE$4&gt;='2025'!$L465,AE$4&lt;='2025'!$M465), AE$4&lt;&gt;DATE(2025,7,4)), (SWITCH(weekday(AE$4), 1, 0, 2, if(ISBLANK('2025'!$P465), 0, 1), 3, if(ISBLANK('2025'!$Q465), 0, 1), 4, if(ISBLANK('2025'!$R465), 0, 1), 5, if(ISBLANK('2025'!$S465), 0, 1), 6, if(ISBLANK('2025'!$T465), 0, 1), 7, 0))), 1, "")</f>
        <v/>
      </c>
      <c r="AF502" s="1" t="str">
        <f>IF(AND(AND(AND(AF$4&gt;='2025'!$L465,AF$4&lt;='2025'!$M465), AF$4&lt;&gt;DATE(2025,7,4)), (SWITCH(weekday(AF$4), 1, 0, 2, if(ISBLANK('2025'!$P465), 0, 1), 3, if(ISBLANK('2025'!$Q465), 0, 1), 4, if(ISBLANK('2025'!$R465), 0, 1), 5, if(ISBLANK('2025'!$S465), 0, 1), 6, if(ISBLANK('2025'!$T465), 0, 1), 7, 0))), 1, "")</f>
        <v/>
      </c>
      <c r="AG502" s="1" t="str">
        <f>IF(AND(AND(AND(AG$4&gt;='2025'!$L465,AG$4&lt;='2025'!$M465), AG$4&lt;&gt;DATE(2025,7,4)), (SWITCH(weekday(AG$4), 1, 0, 2, if(ISBLANK('2025'!$P465), 0, 1), 3, if(ISBLANK('2025'!$Q465), 0, 1), 4, if(ISBLANK('2025'!$R465), 0, 1), 5, if(ISBLANK('2025'!$S465), 0, 1), 6, if(ISBLANK('2025'!$T465), 0, 1), 7, 0))), 1, "")</f>
        <v/>
      </c>
      <c r="AH502" s="1" t="str">
        <f>IF(AND(AND(AND(AH$4&gt;='2025'!$L465,AH$4&lt;='2025'!$M465), AH$4&lt;&gt;DATE(2025,7,4)), (SWITCH(weekday(AH$4), 1, 0, 2, if(ISBLANK('2025'!$P465), 0, 1), 3, if(ISBLANK('2025'!$Q465), 0, 1), 4, if(ISBLANK('2025'!$R465), 0, 1), 5, if(ISBLANK('2025'!$S465), 0, 1), 6, if(ISBLANK('2025'!$T465), 0, 1), 7, 0))), 1, "")</f>
        <v/>
      </c>
      <c r="AI502" s="1" t="str">
        <f>IF(AND(AND(AND(AI$4&gt;='2025'!$L465,AI$4&lt;='2025'!$M465), AI$4&lt;&gt;DATE(2025,7,4)), (SWITCH(weekday(AI$4), 1, 0, 2, if(ISBLANK('2025'!$P465), 0, 1), 3, if(ISBLANK('2025'!$Q465), 0, 1), 4, if(ISBLANK('2025'!$R465), 0, 1), 5, if(ISBLANK('2025'!$S465), 0, 1), 6, if(ISBLANK('2025'!$T465), 0, 1), 7, 0))), 1, "")</f>
        <v/>
      </c>
      <c r="AJ502" s="1" t="str">
        <f>IF(AND(AND(AND(AJ$4&gt;='2025'!$L465,AJ$4&lt;='2025'!$M465), AJ$4&lt;&gt;DATE(2025,7,4)), (SWITCH(weekday(AJ$4), 1, 0, 2, if(ISBLANK('2025'!$P465), 0, 1), 3, if(ISBLANK('2025'!$Q465), 0, 1), 4, if(ISBLANK('2025'!$R465), 0, 1), 5, if(ISBLANK('2025'!$S465), 0, 1), 6, if(ISBLANK('2025'!$T465), 0, 1), 7, 0))), 1, "")</f>
        <v/>
      </c>
      <c r="AK502" s="1" t="str">
        <f>IF(AND(AND(AND(AK$4&gt;='2025'!$L465,AK$4&lt;='2025'!$M465), AK$4&lt;&gt;DATE(2025,7,4)), (SWITCH(weekday(AK$4), 1, 0, 2, if(ISBLANK('2025'!$P465), 0, 1), 3, if(ISBLANK('2025'!$Q465), 0, 1), 4, if(ISBLANK('2025'!$R465), 0, 1), 5, if(ISBLANK('2025'!$S465), 0, 1), 6, if(ISBLANK('2025'!$T465), 0, 1), 7, 0))), 1, "")</f>
        <v/>
      </c>
      <c r="AL502" s="1" t="str">
        <f>IF(AND(AND(AND(AL$4&gt;='2025'!$L465,AL$4&lt;='2025'!$M465), AL$4&lt;&gt;DATE(2025,7,4)), (SWITCH(weekday(AL$4), 1, 0, 2, if(ISBLANK('2025'!$P465), 0, 1), 3, if(ISBLANK('2025'!$Q465), 0, 1), 4, if(ISBLANK('2025'!$R465), 0, 1), 5, if(ISBLANK('2025'!$S465), 0, 1), 6, if(ISBLANK('2025'!$T465), 0, 1), 7, 0))), 1, "")</f>
        <v/>
      </c>
      <c r="AM502" s="1" t="str">
        <f>IF(AND(AND(AND(AM$4&gt;='2025'!$L465,AM$4&lt;='2025'!$M465), AM$4&lt;&gt;DATE(2025,7,4)), (SWITCH(weekday(AM$4), 1, 0, 2, if(ISBLANK('2025'!$P465), 0, 1), 3, if(ISBLANK('2025'!$Q465), 0, 1), 4, if(ISBLANK('2025'!$R465), 0, 1), 5, if(ISBLANK('2025'!$S465), 0, 1), 6, if(ISBLANK('2025'!$T465), 0, 1), 7, 0))), 1, "")</f>
        <v/>
      </c>
      <c r="AN502" s="1" t="str">
        <f>IF(AND(AND(AND(AN$4&gt;='2025'!$L465,AN$4&lt;='2025'!$M465), AN$4&lt;&gt;DATE(2025,7,4)), (SWITCH(weekday(AN$4), 1, 0, 2, if(ISBLANK('2025'!$P465), 0, 1), 3, if(ISBLANK('2025'!$Q465), 0, 1), 4, if(ISBLANK('2025'!$R465), 0, 1), 5, if(ISBLANK('2025'!$S465), 0, 1), 6, if(ISBLANK('2025'!$T465), 0, 1), 7, 0))), 1, "")</f>
        <v/>
      </c>
      <c r="AO502" s="1" t="str">
        <f>IF(AND(AND(AND(AO$4&gt;='2025'!$L465,AO$4&lt;='2025'!$M465), AO$4&lt;&gt;DATE(2025,7,4)), (SWITCH(weekday(AO$4), 1, 0, 2, if(ISBLANK('2025'!$P465), 0, 1), 3, if(ISBLANK('2025'!$Q465), 0, 1), 4, if(ISBLANK('2025'!$R465), 0, 1), 5, if(ISBLANK('2025'!$S465), 0, 1), 6, if(ISBLANK('2025'!$T465), 0, 1), 7, 0))), 1, "")</f>
        <v/>
      </c>
      <c r="AP502" s="1" t="str">
        <f>IF(AND(AND(AND(AP$4&gt;='2025'!$L465,AP$4&lt;='2025'!$M465), AP$4&lt;&gt;DATE(2025,7,4)), (SWITCH(weekday(AP$4), 1, 0, 2, if(ISBLANK('2025'!$P465), 0, 1), 3, if(ISBLANK('2025'!$Q465), 0, 1), 4, if(ISBLANK('2025'!$R465), 0, 1), 5, if(ISBLANK('2025'!$S465), 0, 1), 6, if(ISBLANK('2025'!$T465), 0, 1), 7, 0))), 1, "")</f>
        <v/>
      </c>
      <c r="AQ502" s="1" t="str">
        <f>IF(AND(AND(AND(AQ$4&gt;='2025'!$L465,AQ$4&lt;='2025'!$M465), AQ$4&lt;&gt;DATE(2025,7,4)), (SWITCH(weekday(AQ$4), 1, 0, 2, if(ISBLANK('2025'!$P465), 0, 1), 3, if(ISBLANK('2025'!$Q465), 0, 1), 4, if(ISBLANK('2025'!$R465), 0, 1), 5, if(ISBLANK('2025'!$S465), 0, 1), 6, if(ISBLANK('2025'!$T465), 0, 1), 7, 0))), 1, "")</f>
        <v/>
      </c>
      <c r="AR502" s="1" t="str">
        <f>IF(AND(AND(AND(AR$4&gt;='2025'!$L465,AR$4&lt;='2025'!$M465), AR$4&lt;&gt;DATE(2025,7,4)), (SWITCH(weekday(AR$4), 1, 0, 2, if(ISBLANK('2025'!$P465), 0, 1), 3, if(ISBLANK('2025'!$Q465), 0, 1), 4, if(ISBLANK('2025'!$R465), 0, 1), 5, if(ISBLANK('2025'!$S465), 0, 1), 6, if(ISBLANK('2025'!$T465), 0, 1), 7, 0))), 1, "")</f>
        <v/>
      </c>
      <c r="AS502" s="1" t="str">
        <f>IF(AND(AND(AND(AS$4&gt;='2025'!$L465,AS$4&lt;='2025'!$M465), AS$4&lt;&gt;DATE(2025,7,4)), (SWITCH(weekday(AS$4), 1, 0, 2, if(ISBLANK('2025'!$P465), 0, 1), 3, if(ISBLANK('2025'!$Q465), 0, 1), 4, if(ISBLANK('2025'!$R465), 0, 1), 5, if(ISBLANK('2025'!$S465), 0, 1), 6, if(ISBLANK('2025'!$T465), 0, 1), 7, 0))), 1, "")</f>
        <v/>
      </c>
      <c r="AT502" s="1" t="str">
        <f>IF(AND(AND(AND(AT$4&gt;='2025'!$L465,AT$4&lt;='2025'!$M465), AT$4&lt;&gt;DATE(2025,7,4)), (SWITCH(weekday(AT$4), 1, 0, 2, if(ISBLANK('2025'!$P465), 0, 1), 3, if(ISBLANK('2025'!$Q465), 0, 1), 4, if(ISBLANK('2025'!$R465), 0, 1), 5, if(ISBLANK('2025'!$S465), 0, 1), 6, if(ISBLANK('2025'!$T465), 0, 1), 7, 0))), 1, "")</f>
        <v/>
      </c>
      <c r="AU502" s="1" t="str">
        <f>IF(AND(AND(AND(AU$4&gt;='2025'!$L465,AU$4&lt;='2025'!$M465), AU$4&lt;&gt;DATE(2025,7,4)), (SWITCH(weekday(AU$4), 1, 0, 2, if(ISBLANK('2025'!$P465), 0, 1), 3, if(ISBLANK('2025'!$Q465), 0, 1), 4, if(ISBLANK('2025'!$R465), 0, 1), 5, if(ISBLANK('2025'!$S465), 0, 1), 6, if(ISBLANK('2025'!$T465), 0, 1), 7, 0))), 1, "")</f>
        <v/>
      </c>
      <c r="AV502" s="1" t="str">
        <f>IF(AND(AND(AND(AV$4&gt;='2025'!$L465,AV$4&lt;='2025'!$M465), AV$4&lt;&gt;DATE(2025,7,4)), (SWITCH(weekday(AV$4), 1, 0, 2, if(ISBLANK('2025'!$P465), 0, 1), 3, if(ISBLANK('2025'!$Q465), 0, 1), 4, if(ISBLANK('2025'!$R465), 0, 1), 5, if(ISBLANK('2025'!$S465), 0, 1), 6, if(ISBLANK('2025'!$T465), 0, 1), 7, 0))), 1, "")</f>
        <v/>
      </c>
      <c r="AW502" s="1" t="str">
        <f>IF(AND(AND(AND(AW$4&gt;='2025'!$L465,AW$4&lt;='2025'!$M465), AW$4&lt;&gt;DATE(2025,7,4)), (SWITCH(weekday(AW$4), 1, 0, 2, if(ISBLANK('2025'!$P465), 0, 1), 3, if(ISBLANK('2025'!$Q465), 0, 1), 4, if(ISBLANK('2025'!$R465), 0, 1), 5, if(ISBLANK('2025'!$S465), 0, 1), 6, if(ISBLANK('2025'!$T465), 0, 1), 7, 0))), 1, "")</f>
        <v/>
      </c>
      <c r="AX502" s="1" t="str">
        <f>IF(AND(AND(AND(AX$4&gt;='2025'!$L465,AX$4&lt;='2025'!$M465), AX$4&lt;&gt;DATE(2025,7,4)), (SWITCH(weekday(AX$4), 1, 0, 2, if(ISBLANK('2025'!$P465), 0, 1), 3, if(ISBLANK('2025'!$Q465), 0, 1), 4, if(ISBLANK('2025'!$R465), 0, 1), 5, if(ISBLANK('2025'!$S465), 0, 1), 6, if(ISBLANK('2025'!$T465), 0, 1), 7, 0))), 1, "")</f>
        <v/>
      </c>
      <c r="AY502" s="1" t="str">
        <f>IF(AND(AND(AND(AY$4&gt;='2025'!$L465,AY$4&lt;='2025'!$M465), AY$4&lt;&gt;DATE(2025,7,4)), (SWITCH(weekday(AY$4), 1, 0, 2, if(ISBLANK('2025'!$P465), 0, 1), 3, if(ISBLANK('2025'!$Q465), 0, 1), 4, if(ISBLANK('2025'!$R465), 0, 1), 5, if(ISBLANK('2025'!$S465), 0, 1), 6, if(ISBLANK('2025'!$T465), 0, 1), 7, 0))), 1, "")</f>
        <v/>
      </c>
      <c r="AZ502" s="1" t="str">
        <f>IF(AND(AND(AND(AZ$4&gt;='2025'!$L465,AZ$4&lt;='2025'!$M465), AZ$4&lt;&gt;DATE(2025,7,4)), (SWITCH(weekday(AZ$4), 1, 0, 2, if(ISBLANK('2025'!$P465), 0, 1), 3, if(ISBLANK('2025'!$Q465), 0, 1), 4, if(ISBLANK('2025'!$R465), 0, 1), 5, if(ISBLANK('2025'!$S465), 0, 1), 6, if(ISBLANK('2025'!$T465), 0, 1), 7, 0))), 1, "")</f>
        <v/>
      </c>
      <c r="BA502" s="1" t="str">
        <f>IF(AND(AND(AND(BA$4&gt;='2025'!$L465,BA$4&lt;='2025'!$M465), BA$4&lt;&gt;DATE(2025,7,4)), (SWITCH(weekday(BA$4), 1, 0, 2, if(ISBLANK('2025'!$P465), 0, 1), 3, if(ISBLANK('2025'!$Q465), 0, 1), 4, if(ISBLANK('2025'!$R465), 0, 1), 5, if(ISBLANK('2025'!$S465), 0, 1), 6, if(ISBLANK('2025'!$T465), 0, 1), 7, 0))), 1, "")</f>
        <v/>
      </c>
      <c r="BB502" s="1" t="str">
        <f>IF(AND(AND(AND(BB$4&gt;='2025'!$L465,BB$4&lt;='2025'!$M465), BB$4&lt;&gt;DATE(2025,7,4)), (SWITCH(weekday(BB$4), 1, 0, 2, if(ISBLANK('2025'!$P465), 0, 1), 3, if(ISBLANK('2025'!$Q465), 0, 1), 4, if(ISBLANK('2025'!$R465), 0, 1), 5, if(ISBLANK('2025'!$S465), 0, 1), 6, if(ISBLANK('2025'!$T465), 0, 1), 7, 0))), 1, "")</f>
        <v/>
      </c>
      <c r="BC502" s="1" t="str">
        <f>IF(AND(AND(AND(BC$4&gt;='2025'!$L465,BC$4&lt;='2025'!$M465), BC$4&lt;&gt;DATE(2025,7,4)), (SWITCH(weekday(BC$4), 1, 0, 2, if(ISBLANK('2025'!$P465), 0, 1), 3, if(ISBLANK('2025'!$Q465), 0, 1), 4, if(ISBLANK('2025'!$R465), 0, 1), 5, if(ISBLANK('2025'!$S465), 0, 1), 6, if(ISBLANK('2025'!$T465), 0, 1), 7, 0))), 1, "")</f>
        <v/>
      </c>
      <c r="BD502" s="1" t="str">
        <f>IF(AND(AND(AND(BD$4&gt;='2025'!$L465,BD$4&lt;='2025'!$M465), BD$4&lt;&gt;DATE(2025,7,4)), (SWITCH(weekday(BD$4), 1, 0, 2, if(ISBLANK('2025'!$P465), 0, 1), 3, if(ISBLANK('2025'!$Q465), 0, 1), 4, if(ISBLANK('2025'!$R465), 0, 1), 5, if(ISBLANK('2025'!$S465), 0, 1), 6, if(ISBLANK('2025'!$T465), 0, 1), 7, 0))), 1, "")</f>
        <v/>
      </c>
      <c r="BE502" s="1" t="str">
        <f>IF(AND(AND(AND(BE$4&gt;='2025'!$L465,BE$4&lt;='2025'!$M465), BE$4&lt;&gt;DATE(2025,7,4)), (SWITCH(weekday(BE$4), 1, 0, 2, if(ISBLANK('2025'!$P465), 0, 1), 3, if(ISBLANK('2025'!$Q465), 0, 1), 4, if(ISBLANK('2025'!$R465), 0, 1), 5, if(ISBLANK('2025'!$S465), 0, 1), 6, if(ISBLANK('2025'!$T465), 0, 1), 7, 0))), 1, "")</f>
        <v/>
      </c>
    </row>
    <row r="503">
      <c r="A503" s="1">
        <f t="shared" si="3"/>
        <v>503</v>
      </c>
      <c r="B503" s="1" t="str">
        <f>'2025'!D466</f>
        <v/>
      </c>
      <c r="C503" s="1" t="str">
        <f>'2025'!H466</f>
        <v/>
      </c>
      <c r="D503" s="1" t="str">
        <f>IF(AND(AND(AND(D$4&gt;='2025'!$L466,D$4&lt;='2025'!$M466), D$4&lt;&gt;DATE(2025,7,4)), (SWITCH(weekday(D$4), 1, 0, 2, if(ISBLANK('2025'!$P466), 0, 1), 3, if(ISBLANK('2025'!$Q466), 0, 1), 4, if(ISBLANK('2025'!$R466), 0, 1), 5, if(ISBLANK('2025'!$S466), 0, 1), 6, if(ISBLANK('2025'!$T466), 0, 1), 7, 0))), 1, "")</f>
        <v/>
      </c>
      <c r="E503" s="1" t="str">
        <f>IF(AND(AND(AND(E$4&gt;='2025'!$L466,E$4&lt;='2025'!$M466), E$4&lt;&gt;DATE(2025,7,4)), (SWITCH(weekday(E$4), 1, 0, 2, if(ISBLANK('2025'!$P466), 0, 1), 3, if(ISBLANK('2025'!$Q466), 0, 1), 4, if(ISBLANK('2025'!$R466), 0, 1), 5, if(ISBLANK('2025'!$S466), 0, 1), 6, if(ISBLANK('2025'!$T466), 0, 1), 7, 0))), 1, "")</f>
        <v/>
      </c>
      <c r="F503" s="1" t="str">
        <f>IF(AND(AND(AND(F$4&gt;='2025'!$L466,F$4&lt;='2025'!$M466), F$4&lt;&gt;DATE(2025,7,4)), (SWITCH(weekday(F$4), 1, 0, 2, if(ISBLANK('2025'!$P466), 0, 1), 3, if(ISBLANK('2025'!$Q466), 0, 1), 4, if(ISBLANK('2025'!$R466), 0, 1), 5, if(ISBLANK('2025'!$S466), 0, 1), 6, if(ISBLANK('2025'!$T466), 0, 1), 7, 0))), 1, "")</f>
        <v/>
      </c>
      <c r="G503" s="1" t="str">
        <f>IF(AND(AND(AND(G$4&gt;='2025'!$L466,G$4&lt;='2025'!$M466), G$4&lt;&gt;DATE(2025,7,4)), (SWITCH(weekday(G$4), 1, 0, 2, if(ISBLANK('2025'!$P466), 0, 1), 3, if(ISBLANK('2025'!$Q466), 0, 1), 4, if(ISBLANK('2025'!$R466), 0, 1), 5, if(ISBLANK('2025'!$S466), 0, 1), 6, if(ISBLANK('2025'!$T466), 0, 1), 7, 0))), 1, "")</f>
        <v/>
      </c>
      <c r="H503" s="1" t="str">
        <f>IF(AND(AND(AND(H$4&gt;='2025'!$L466,H$4&lt;='2025'!$M466), H$4&lt;&gt;DATE(2025,7,4)), (SWITCH(weekday(H$4), 1, 0, 2, if(ISBLANK('2025'!$P466), 0, 1), 3, if(ISBLANK('2025'!$Q466), 0, 1), 4, if(ISBLANK('2025'!$R466), 0, 1), 5, if(ISBLANK('2025'!$S466), 0, 1), 6, if(ISBLANK('2025'!$T466), 0, 1), 7, 0))), 1, "")</f>
        <v/>
      </c>
      <c r="I503" s="1" t="str">
        <f>IF(AND(AND(AND(I$4&gt;='2025'!$L466,I$4&lt;='2025'!$M466), I$4&lt;&gt;DATE(2025,7,4)), (SWITCH(weekday(I$4), 1, 0, 2, if(ISBLANK('2025'!$P466), 0, 1), 3, if(ISBLANK('2025'!$Q466), 0, 1), 4, if(ISBLANK('2025'!$R466), 0, 1), 5, if(ISBLANK('2025'!$S466), 0, 1), 6, if(ISBLANK('2025'!$T466), 0, 1), 7, 0))), 1, "")</f>
        <v/>
      </c>
      <c r="J503" s="1" t="str">
        <f>IF(AND(AND(AND(J$4&gt;='2025'!$L466,J$4&lt;='2025'!$M466), J$4&lt;&gt;DATE(2025,7,4)), (SWITCH(weekday(J$4), 1, 0, 2, if(ISBLANK('2025'!$P466), 0, 1), 3, if(ISBLANK('2025'!$Q466), 0, 1), 4, if(ISBLANK('2025'!$R466), 0, 1), 5, if(ISBLANK('2025'!$S466), 0, 1), 6, if(ISBLANK('2025'!$T466), 0, 1), 7, 0))), 1, "")</f>
        <v/>
      </c>
      <c r="K503" s="1" t="str">
        <f>IF(AND(AND(AND(K$4&gt;='2025'!$L466,K$4&lt;='2025'!$M466), K$4&lt;&gt;DATE(2025,7,4)), (SWITCH(weekday(K$4), 1, 0, 2, if(ISBLANK('2025'!$P466), 0, 1), 3, if(ISBLANK('2025'!$Q466), 0, 1), 4, if(ISBLANK('2025'!$R466), 0, 1), 5, if(ISBLANK('2025'!$S466), 0, 1), 6, if(ISBLANK('2025'!$T466), 0, 1), 7, 0))), 1, "")</f>
        <v/>
      </c>
      <c r="L503" s="1" t="str">
        <f>IF(AND(AND(AND(L$4&gt;='2025'!$L466,L$4&lt;='2025'!$M466), L$4&lt;&gt;DATE(2025,7,4)), (SWITCH(weekday(L$4), 1, 0, 2, if(ISBLANK('2025'!$P466), 0, 1), 3, if(ISBLANK('2025'!$Q466), 0, 1), 4, if(ISBLANK('2025'!$R466), 0, 1), 5, if(ISBLANK('2025'!$S466), 0, 1), 6, if(ISBLANK('2025'!$T466), 0, 1), 7, 0))), 1, "")</f>
        <v/>
      </c>
      <c r="M503" s="1" t="str">
        <f>IF(AND(AND(AND(M$4&gt;='2025'!$L466,M$4&lt;='2025'!$M466), M$4&lt;&gt;DATE(2025,7,4)), (SWITCH(weekday(M$4), 1, 0, 2, if(ISBLANK('2025'!$P466), 0, 1), 3, if(ISBLANK('2025'!$Q466), 0, 1), 4, if(ISBLANK('2025'!$R466), 0, 1), 5, if(ISBLANK('2025'!$S466), 0, 1), 6, if(ISBLANK('2025'!$T466), 0, 1), 7, 0))), 1, "")</f>
        <v/>
      </c>
      <c r="N503" s="1" t="str">
        <f>IF(AND(AND(AND(N$4&gt;='2025'!$L466,N$4&lt;='2025'!$M466), N$4&lt;&gt;DATE(2025,7,4)), (SWITCH(weekday(N$4), 1, 0, 2, if(ISBLANK('2025'!$P466), 0, 1), 3, if(ISBLANK('2025'!$Q466), 0, 1), 4, if(ISBLANK('2025'!$R466), 0, 1), 5, if(ISBLANK('2025'!$S466), 0, 1), 6, if(ISBLANK('2025'!$T466), 0, 1), 7, 0))), 1, "")</f>
        <v/>
      </c>
      <c r="O503" s="1" t="str">
        <f>IF(AND(AND(AND(O$4&gt;='2025'!$L466,O$4&lt;='2025'!$M466), O$4&lt;&gt;DATE(2025,7,4)), (SWITCH(weekday(O$4), 1, 0, 2, if(ISBLANK('2025'!$P466), 0, 1), 3, if(ISBLANK('2025'!$Q466), 0, 1), 4, if(ISBLANK('2025'!$R466), 0, 1), 5, if(ISBLANK('2025'!$S466), 0, 1), 6, if(ISBLANK('2025'!$T466), 0, 1), 7, 0))), 1, "")</f>
        <v/>
      </c>
      <c r="P503" s="1" t="str">
        <f>IF(AND(AND(AND(P$4&gt;='2025'!$L466,P$4&lt;='2025'!$M466), P$4&lt;&gt;DATE(2025,7,4)), (SWITCH(weekday(P$4), 1, 0, 2, if(ISBLANK('2025'!$P466), 0, 1), 3, if(ISBLANK('2025'!$Q466), 0, 1), 4, if(ISBLANK('2025'!$R466), 0, 1), 5, if(ISBLANK('2025'!$S466), 0, 1), 6, if(ISBLANK('2025'!$T466), 0, 1), 7, 0))), 1, "")</f>
        <v/>
      </c>
      <c r="Q503" s="1" t="str">
        <f>IF(AND(AND(AND(Q$4&gt;='2025'!$L466,Q$4&lt;='2025'!$M466), Q$4&lt;&gt;DATE(2025,7,4)), (SWITCH(weekday(Q$4), 1, 0, 2, if(ISBLANK('2025'!$P466), 0, 1), 3, if(ISBLANK('2025'!$Q466), 0, 1), 4, if(ISBLANK('2025'!$R466), 0, 1), 5, if(ISBLANK('2025'!$S466), 0, 1), 6, if(ISBLANK('2025'!$T466), 0, 1), 7, 0))), 1, "")</f>
        <v/>
      </c>
      <c r="R503" s="1" t="str">
        <f>IF(AND(AND(AND(R$4&gt;='2025'!$L466,R$4&lt;='2025'!$M466), R$4&lt;&gt;DATE(2025,7,4)), (SWITCH(weekday(R$4), 1, 0, 2, if(ISBLANK('2025'!$P466), 0, 1), 3, if(ISBLANK('2025'!$Q466), 0, 1), 4, if(ISBLANK('2025'!$R466), 0, 1), 5, if(ISBLANK('2025'!$S466), 0, 1), 6, if(ISBLANK('2025'!$T466), 0, 1), 7, 0))), 1, "")</f>
        <v/>
      </c>
      <c r="S503" s="1" t="str">
        <f>IF(AND(AND(AND(S$4&gt;='2025'!$L466,S$4&lt;='2025'!$M466), S$4&lt;&gt;DATE(2025,7,4)), (SWITCH(weekday(S$4), 1, 0, 2, if(ISBLANK('2025'!$P466), 0, 1), 3, if(ISBLANK('2025'!$Q466), 0, 1), 4, if(ISBLANK('2025'!$R466), 0, 1), 5, if(ISBLANK('2025'!$S466), 0, 1), 6, if(ISBLANK('2025'!$T466), 0, 1), 7, 0))), 1, "")</f>
        <v/>
      </c>
      <c r="T503" s="1" t="str">
        <f>IF(AND(AND(AND(T$4&gt;='2025'!$L466,T$4&lt;='2025'!$M466), T$4&lt;&gt;DATE(2025,7,4)), (SWITCH(weekday(T$4), 1, 0, 2, if(ISBLANK('2025'!$P466), 0, 1), 3, if(ISBLANK('2025'!$Q466), 0, 1), 4, if(ISBLANK('2025'!$R466), 0, 1), 5, if(ISBLANK('2025'!$S466), 0, 1), 6, if(ISBLANK('2025'!$T466), 0, 1), 7, 0))), 1, "")</f>
        <v/>
      </c>
      <c r="U503" s="1" t="str">
        <f>IF(AND(AND(AND(U$4&gt;='2025'!$L466,U$4&lt;='2025'!$M466), U$4&lt;&gt;DATE(2025,7,4)), (SWITCH(weekday(U$4), 1, 0, 2, if(ISBLANK('2025'!$P466), 0, 1), 3, if(ISBLANK('2025'!$Q466), 0, 1), 4, if(ISBLANK('2025'!$R466), 0, 1), 5, if(ISBLANK('2025'!$S466), 0, 1), 6, if(ISBLANK('2025'!$T466), 0, 1), 7, 0))), 1, "")</f>
        <v/>
      </c>
      <c r="V503" s="1" t="str">
        <f>IF(AND(AND(AND(V$4&gt;='2025'!$L466,V$4&lt;='2025'!$M466), V$4&lt;&gt;DATE(2025,7,4)), (SWITCH(weekday(V$4), 1, 0, 2, if(ISBLANK('2025'!$P466), 0, 1), 3, if(ISBLANK('2025'!$Q466), 0, 1), 4, if(ISBLANK('2025'!$R466), 0, 1), 5, if(ISBLANK('2025'!$S466), 0, 1), 6, if(ISBLANK('2025'!$T466), 0, 1), 7, 0))), 1, "")</f>
        <v/>
      </c>
      <c r="W503" s="1" t="str">
        <f>IF(AND(AND(AND(W$4&gt;='2025'!$L466,W$4&lt;='2025'!$M466), W$4&lt;&gt;DATE(2025,7,4)), (SWITCH(weekday(W$4), 1, 0, 2, if(ISBLANK('2025'!$P466), 0, 1), 3, if(ISBLANK('2025'!$Q466), 0, 1), 4, if(ISBLANK('2025'!$R466), 0, 1), 5, if(ISBLANK('2025'!$S466), 0, 1), 6, if(ISBLANK('2025'!$T466), 0, 1), 7, 0))), 1, "")</f>
        <v/>
      </c>
      <c r="X503" s="1" t="str">
        <f>IF(AND(AND(AND(X$4&gt;='2025'!$L466,X$4&lt;='2025'!$M466), X$4&lt;&gt;DATE(2025,7,4)), (SWITCH(weekday(X$4), 1, 0, 2, if(ISBLANK('2025'!$P466), 0, 1), 3, if(ISBLANK('2025'!$Q466), 0, 1), 4, if(ISBLANK('2025'!$R466), 0, 1), 5, if(ISBLANK('2025'!$S466), 0, 1), 6, if(ISBLANK('2025'!$T466), 0, 1), 7, 0))), 1, "")</f>
        <v/>
      </c>
      <c r="Y503" s="1" t="str">
        <f>IF(AND(AND(AND(Y$4&gt;='2025'!$L466,Y$4&lt;='2025'!$M466), Y$4&lt;&gt;DATE(2025,7,4)), (SWITCH(weekday(Y$4), 1, 0, 2, if(ISBLANK('2025'!$P466), 0, 1), 3, if(ISBLANK('2025'!$Q466), 0, 1), 4, if(ISBLANK('2025'!$R466), 0, 1), 5, if(ISBLANK('2025'!$S466), 0, 1), 6, if(ISBLANK('2025'!$T466), 0, 1), 7, 0))), 1, "")</f>
        <v/>
      </c>
      <c r="Z503" s="1" t="str">
        <f>IF(AND(AND(AND(Z$4&gt;='2025'!$L466,Z$4&lt;='2025'!$M466), Z$4&lt;&gt;DATE(2025,7,4)), (SWITCH(weekday(Z$4), 1, 0, 2, if(ISBLANK('2025'!$P466), 0, 1), 3, if(ISBLANK('2025'!$Q466), 0, 1), 4, if(ISBLANK('2025'!$R466), 0, 1), 5, if(ISBLANK('2025'!$S466), 0, 1), 6, if(ISBLANK('2025'!$T466), 0, 1), 7, 0))), 1, "")</f>
        <v/>
      </c>
      <c r="AA503" s="1" t="str">
        <f>IF(AND(AND(AND(AA$4&gt;='2025'!$L466,AA$4&lt;='2025'!$M466), AA$4&lt;&gt;DATE(2025,7,4)), (SWITCH(weekday(AA$4), 1, 0, 2, if(ISBLANK('2025'!$P466), 0, 1), 3, if(ISBLANK('2025'!$Q466), 0, 1), 4, if(ISBLANK('2025'!$R466), 0, 1), 5, if(ISBLANK('2025'!$S466), 0, 1), 6, if(ISBLANK('2025'!$T466), 0, 1), 7, 0))), 1, "")</f>
        <v/>
      </c>
      <c r="AB503" s="1" t="str">
        <f>IF(AND(AND(AND(AB$4&gt;='2025'!$L466,AB$4&lt;='2025'!$M466), AB$4&lt;&gt;DATE(2025,7,4)), (SWITCH(weekday(AB$4), 1, 0, 2, if(ISBLANK('2025'!$P466), 0, 1), 3, if(ISBLANK('2025'!$Q466), 0, 1), 4, if(ISBLANK('2025'!$R466), 0, 1), 5, if(ISBLANK('2025'!$S466), 0, 1), 6, if(ISBLANK('2025'!$T466), 0, 1), 7, 0))), 1, "")</f>
        <v/>
      </c>
      <c r="AC503" s="1" t="str">
        <f>IF(AND(AND(AND(AC$4&gt;='2025'!$L466,AC$4&lt;='2025'!$M466), AC$4&lt;&gt;DATE(2025,7,4)), (SWITCH(weekday(AC$4), 1, 0, 2, if(ISBLANK('2025'!$P466), 0, 1), 3, if(ISBLANK('2025'!$Q466), 0, 1), 4, if(ISBLANK('2025'!$R466), 0, 1), 5, if(ISBLANK('2025'!$S466), 0, 1), 6, if(ISBLANK('2025'!$T466), 0, 1), 7, 0))), 1, "")</f>
        <v/>
      </c>
      <c r="AD503" s="1" t="str">
        <f>IF(AND(AND(AND(AD$4&gt;='2025'!$L466,AD$4&lt;='2025'!$M466), AD$4&lt;&gt;DATE(2025,7,4)), (SWITCH(weekday(AD$4), 1, 0, 2, if(ISBLANK('2025'!$P466), 0, 1), 3, if(ISBLANK('2025'!$Q466), 0, 1), 4, if(ISBLANK('2025'!$R466), 0, 1), 5, if(ISBLANK('2025'!$S466), 0, 1), 6, if(ISBLANK('2025'!$T466), 0, 1), 7, 0))), 1, "")</f>
        <v/>
      </c>
      <c r="AE503" s="1" t="str">
        <f>IF(AND(AND(AND(AE$4&gt;='2025'!$L466,AE$4&lt;='2025'!$M466), AE$4&lt;&gt;DATE(2025,7,4)), (SWITCH(weekday(AE$4), 1, 0, 2, if(ISBLANK('2025'!$P466), 0, 1), 3, if(ISBLANK('2025'!$Q466), 0, 1), 4, if(ISBLANK('2025'!$R466), 0, 1), 5, if(ISBLANK('2025'!$S466), 0, 1), 6, if(ISBLANK('2025'!$T466), 0, 1), 7, 0))), 1, "")</f>
        <v/>
      </c>
      <c r="AF503" s="1" t="str">
        <f>IF(AND(AND(AND(AF$4&gt;='2025'!$L466,AF$4&lt;='2025'!$M466), AF$4&lt;&gt;DATE(2025,7,4)), (SWITCH(weekday(AF$4), 1, 0, 2, if(ISBLANK('2025'!$P466), 0, 1), 3, if(ISBLANK('2025'!$Q466), 0, 1), 4, if(ISBLANK('2025'!$R466), 0, 1), 5, if(ISBLANK('2025'!$S466), 0, 1), 6, if(ISBLANK('2025'!$T466), 0, 1), 7, 0))), 1, "")</f>
        <v/>
      </c>
      <c r="AG503" s="1" t="str">
        <f>IF(AND(AND(AND(AG$4&gt;='2025'!$L466,AG$4&lt;='2025'!$M466), AG$4&lt;&gt;DATE(2025,7,4)), (SWITCH(weekday(AG$4), 1, 0, 2, if(ISBLANK('2025'!$P466), 0, 1), 3, if(ISBLANK('2025'!$Q466), 0, 1), 4, if(ISBLANK('2025'!$R466), 0, 1), 5, if(ISBLANK('2025'!$S466), 0, 1), 6, if(ISBLANK('2025'!$T466), 0, 1), 7, 0))), 1, "")</f>
        <v/>
      </c>
      <c r="AH503" s="1" t="str">
        <f>IF(AND(AND(AND(AH$4&gt;='2025'!$L466,AH$4&lt;='2025'!$M466), AH$4&lt;&gt;DATE(2025,7,4)), (SWITCH(weekday(AH$4), 1, 0, 2, if(ISBLANK('2025'!$P466), 0, 1), 3, if(ISBLANK('2025'!$Q466), 0, 1), 4, if(ISBLANK('2025'!$R466), 0, 1), 5, if(ISBLANK('2025'!$S466), 0, 1), 6, if(ISBLANK('2025'!$T466), 0, 1), 7, 0))), 1, "")</f>
        <v/>
      </c>
      <c r="AI503" s="1" t="str">
        <f>IF(AND(AND(AND(AI$4&gt;='2025'!$L466,AI$4&lt;='2025'!$M466), AI$4&lt;&gt;DATE(2025,7,4)), (SWITCH(weekday(AI$4), 1, 0, 2, if(ISBLANK('2025'!$P466), 0, 1), 3, if(ISBLANK('2025'!$Q466), 0, 1), 4, if(ISBLANK('2025'!$R466), 0, 1), 5, if(ISBLANK('2025'!$S466), 0, 1), 6, if(ISBLANK('2025'!$T466), 0, 1), 7, 0))), 1, "")</f>
        <v/>
      </c>
      <c r="AJ503" s="1" t="str">
        <f>IF(AND(AND(AND(AJ$4&gt;='2025'!$L466,AJ$4&lt;='2025'!$M466), AJ$4&lt;&gt;DATE(2025,7,4)), (SWITCH(weekday(AJ$4), 1, 0, 2, if(ISBLANK('2025'!$P466), 0, 1), 3, if(ISBLANK('2025'!$Q466), 0, 1), 4, if(ISBLANK('2025'!$R466), 0, 1), 5, if(ISBLANK('2025'!$S466), 0, 1), 6, if(ISBLANK('2025'!$T466), 0, 1), 7, 0))), 1, "")</f>
        <v/>
      </c>
      <c r="AK503" s="1" t="str">
        <f>IF(AND(AND(AND(AK$4&gt;='2025'!$L466,AK$4&lt;='2025'!$M466), AK$4&lt;&gt;DATE(2025,7,4)), (SWITCH(weekday(AK$4), 1, 0, 2, if(ISBLANK('2025'!$P466), 0, 1), 3, if(ISBLANK('2025'!$Q466), 0, 1), 4, if(ISBLANK('2025'!$R466), 0, 1), 5, if(ISBLANK('2025'!$S466), 0, 1), 6, if(ISBLANK('2025'!$T466), 0, 1), 7, 0))), 1, "")</f>
        <v/>
      </c>
      <c r="AL503" s="1" t="str">
        <f>IF(AND(AND(AND(AL$4&gt;='2025'!$L466,AL$4&lt;='2025'!$M466), AL$4&lt;&gt;DATE(2025,7,4)), (SWITCH(weekday(AL$4), 1, 0, 2, if(ISBLANK('2025'!$P466), 0, 1), 3, if(ISBLANK('2025'!$Q466), 0, 1), 4, if(ISBLANK('2025'!$R466), 0, 1), 5, if(ISBLANK('2025'!$S466), 0, 1), 6, if(ISBLANK('2025'!$T466), 0, 1), 7, 0))), 1, "")</f>
        <v/>
      </c>
      <c r="AM503" s="1" t="str">
        <f>IF(AND(AND(AND(AM$4&gt;='2025'!$L466,AM$4&lt;='2025'!$M466), AM$4&lt;&gt;DATE(2025,7,4)), (SWITCH(weekday(AM$4), 1, 0, 2, if(ISBLANK('2025'!$P466), 0, 1), 3, if(ISBLANK('2025'!$Q466), 0, 1), 4, if(ISBLANK('2025'!$R466), 0, 1), 5, if(ISBLANK('2025'!$S466), 0, 1), 6, if(ISBLANK('2025'!$T466), 0, 1), 7, 0))), 1, "")</f>
        <v/>
      </c>
      <c r="AN503" s="1" t="str">
        <f>IF(AND(AND(AND(AN$4&gt;='2025'!$L466,AN$4&lt;='2025'!$M466), AN$4&lt;&gt;DATE(2025,7,4)), (SWITCH(weekday(AN$4), 1, 0, 2, if(ISBLANK('2025'!$P466), 0, 1), 3, if(ISBLANK('2025'!$Q466), 0, 1), 4, if(ISBLANK('2025'!$R466), 0, 1), 5, if(ISBLANK('2025'!$S466), 0, 1), 6, if(ISBLANK('2025'!$T466), 0, 1), 7, 0))), 1, "")</f>
        <v/>
      </c>
      <c r="AO503" s="1" t="str">
        <f>IF(AND(AND(AND(AO$4&gt;='2025'!$L466,AO$4&lt;='2025'!$M466), AO$4&lt;&gt;DATE(2025,7,4)), (SWITCH(weekday(AO$4), 1, 0, 2, if(ISBLANK('2025'!$P466), 0, 1), 3, if(ISBLANK('2025'!$Q466), 0, 1), 4, if(ISBLANK('2025'!$R466), 0, 1), 5, if(ISBLANK('2025'!$S466), 0, 1), 6, if(ISBLANK('2025'!$T466), 0, 1), 7, 0))), 1, "")</f>
        <v/>
      </c>
      <c r="AP503" s="1" t="str">
        <f>IF(AND(AND(AND(AP$4&gt;='2025'!$L466,AP$4&lt;='2025'!$M466), AP$4&lt;&gt;DATE(2025,7,4)), (SWITCH(weekday(AP$4), 1, 0, 2, if(ISBLANK('2025'!$P466), 0, 1), 3, if(ISBLANK('2025'!$Q466), 0, 1), 4, if(ISBLANK('2025'!$R466), 0, 1), 5, if(ISBLANK('2025'!$S466), 0, 1), 6, if(ISBLANK('2025'!$T466), 0, 1), 7, 0))), 1, "")</f>
        <v/>
      </c>
      <c r="AQ503" s="1" t="str">
        <f>IF(AND(AND(AND(AQ$4&gt;='2025'!$L466,AQ$4&lt;='2025'!$M466), AQ$4&lt;&gt;DATE(2025,7,4)), (SWITCH(weekday(AQ$4), 1, 0, 2, if(ISBLANK('2025'!$P466), 0, 1), 3, if(ISBLANK('2025'!$Q466), 0, 1), 4, if(ISBLANK('2025'!$R466), 0, 1), 5, if(ISBLANK('2025'!$S466), 0, 1), 6, if(ISBLANK('2025'!$T466), 0, 1), 7, 0))), 1, "")</f>
        <v/>
      </c>
      <c r="AR503" s="1" t="str">
        <f>IF(AND(AND(AND(AR$4&gt;='2025'!$L466,AR$4&lt;='2025'!$M466), AR$4&lt;&gt;DATE(2025,7,4)), (SWITCH(weekday(AR$4), 1, 0, 2, if(ISBLANK('2025'!$P466), 0, 1), 3, if(ISBLANK('2025'!$Q466), 0, 1), 4, if(ISBLANK('2025'!$R466), 0, 1), 5, if(ISBLANK('2025'!$S466), 0, 1), 6, if(ISBLANK('2025'!$T466), 0, 1), 7, 0))), 1, "")</f>
        <v/>
      </c>
      <c r="AS503" s="1" t="str">
        <f>IF(AND(AND(AND(AS$4&gt;='2025'!$L466,AS$4&lt;='2025'!$M466), AS$4&lt;&gt;DATE(2025,7,4)), (SWITCH(weekday(AS$4), 1, 0, 2, if(ISBLANK('2025'!$P466), 0, 1), 3, if(ISBLANK('2025'!$Q466), 0, 1), 4, if(ISBLANK('2025'!$R466), 0, 1), 5, if(ISBLANK('2025'!$S466), 0, 1), 6, if(ISBLANK('2025'!$T466), 0, 1), 7, 0))), 1, "")</f>
        <v/>
      </c>
      <c r="AT503" s="1" t="str">
        <f>IF(AND(AND(AND(AT$4&gt;='2025'!$L466,AT$4&lt;='2025'!$M466), AT$4&lt;&gt;DATE(2025,7,4)), (SWITCH(weekday(AT$4), 1, 0, 2, if(ISBLANK('2025'!$P466), 0, 1), 3, if(ISBLANK('2025'!$Q466), 0, 1), 4, if(ISBLANK('2025'!$R466), 0, 1), 5, if(ISBLANK('2025'!$S466), 0, 1), 6, if(ISBLANK('2025'!$T466), 0, 1), 7, 0))), 1, "")</f>
        <v/>
      </c>
      <c r="AU503" s="1" t="str">
        <f>IF(AND(AND(AND(AU$4&gt;='2025'!$L466,AU$4&lt;='2025'!$M466), AU$4&lt;&gt;DATE(2025,7,4)), (SWITCH(weekday(AU$4), 1, 0, 2, if(ISBLANK('2025'!$P466), 0, 1), 3, if(ISBLANK('2025'!$Q466), 0, 1), 4, if(ISBLANK('2025'!$R466), 0, 1), 5, if(ISBLANK('2025'!$S466), 0, 1), 6, if(ISBLANK('2025'!$T466), 0, 1), 7, 0))), 1, "")</f>
        <v/>
      </c>
      <c r="AV503" s="1" t="str">
        <f>IF(AND(AND(AND(AV$4&gt;='2025'!$L466,AV$4&lt;='2025'!$M466), AV$4&lt;&gt;DATE(2025,7,4)), (SWITCH(weekday(AV$4), 1, 0, 2, if(ISBLANK('2025'!$P466), 0, 1), 3, if(ISBLANK('2025'!$Q466), 0, 1), 4, if(ISBLANK('2025'!$R466), 0, 1), 5, if(ISBLANK('2025'!$S466), 0, 1), 6, if(ISBLANK('2025'!$T466), 0, 1), 7, 0))), 1, "")</f>
        <v/>
      </c>
      <c r="AW503" s="1" t="str">
        <f>IF(AND(AND(AND(AW$4&gt;='2025'!$L466,AW$4&lt;='2025'!$M466), AW$4&lt;&gt;DATE(2025,7,4)), (SWITCH(weekday(AW$4), 1, 0, 2, if(ISBLANK('2025'!$P466), 0, 1), 3, if(ISBLANK('2025'!$Q466), 0, 1), 4, if(ISBLANK('2025'!$R466), 0, 1), 5, if(ISBLANK('2025'!$S466), 0, 1), 6, if(ISBLANK('2025'!$T466), 0, 1), 7, 0))), 1, "")</f>
        <v/>
      </c>
      <c r="AX503" s="1" t="str">
        <f>IF(AND(AND(AND(AX$4&gt;='2025'!$L466,AX$4&lt;='2025'!$M466), AX$4&lt;&gt;DATE(2025,7,4)), (SWITCH(weekday(AX$4), 1, 0, 2, if(ISBLANK('2025'!$P466), 0, 1), 3, if(ISBLANK('2025'!$Q466), 0, 1), 4, if(ISBLANK('2025'!$R466), 0, 1), 5, if(ISBLANK('2025'!$S466), 0, 1), 6, if(ISBLANK('2025'!$T466), 0, 1), 7, 0))), 1, "")</f>
        <v/>
      </c>
      <c r="AY503" s="1" t="str">
        <f>IF(AND(AND(AND(AY$4&gt;='2025'!$L466,AY$4&lt;='2025'!$M466), AY$4&lt;&gt;DATE(2025,7,4)), (SWITCH(weekday(AY$4), 1, 0, 2, if(ISBLANK('2025'!$P466), 0, 1), 3, if(ISBLANK('2025'!$Q466), 0, 1), 4, if(ISBLANK('2025'!$R466), 0, 1), 5, if(ISBLANK('2025'!$S466), 0, 1), 6, if(ISBLANK('2025'!$T466), 0, 1), 7, 0))), 1, "")</f>
        <v/>
      </c>
      <c r="AZ503" s="1" t="str">
        <f>IF(AND(AND(AND(AZ$4&gt;='2025'!$L466,AZ$4&lt;='2025'!$M466), AZ$4&lt;&gt;DATE(2025,7,4)), (SWITCH(weekday(AZ$4), 1, 0, 2, if(ISBLANK('2025'!$P466), 0, 1), 3, if(ISBLANK('2025'!$Q466), 0, 1), 4, if(ISBLANK('2025'!$R466), 0, 1), 5, if(ISBLANK('2025'!$S466), 0, 1), 6, if(ISBLANK('2025'!$T466), 0, 1), 7, 0))), 1, "")</f>
        <v/>
      </c>
      <c r="BA503" s="1" t="str">
        <f>IF(AND(AND(AND(BA$4&gt;='2025'!$L466,BA$4&lt;='2025'!$M466), BA$4&lt;&gt;DATE(2025,7,4)), (SWITCH(weekday(BA$4), 1, 0, 2, if(ISBLANK('2025'!$P466), 0, 1), 3, if(ISBLANK('2025'!$Q466), 0, 1), 4, if(ISBLANK('2025'!$R466), 0, 1), 5, if(ISBLANK('2025'!$S466), 0, 1), 6, if(ISBLANK('2025'!$T466), 0, 1), 7, 0))), 1, "")</f>
        <v/>
      </c>
      <c r="BB503" s="1" t="str">
        <f>IF(AND(AND(AND(BB$4&gt;='2025'!$L466,BB$4&lt;='2025'!$M466), BB$4&lt;&gt;DATE(2025,7,4)), (SWITCH(weekday(BB$4), 1, 0, 2, if(ISBLANK('2025'!$P466), 0, 1), 3, if(ISBLANK('2025'!$Q466), 0, 1), 4, if(ISBLANK('2025'!$R466), 0, 1), 5, if(ISBLANK('2025'!$S466), 0, 1), 6, if(ISBLANK('2025'!$T466), 0, 1), 7, 0))), 1, "")</f>
        <v/>
      </c>
      <c r="BC503" s="1" t="str">
        <f>IF(AND(AND(AND(BC$4&gt;='2025'!$L466,BC$4&lt;='2025'!$M466), BC$4&lt;&gt;DATE(2025,7,4)), (SWITCH(weekday(BC$4), 1, 0, 2, if(ISBLANK('2025'!$P466), 0, 1), 3, if(ISBLANK('2025'!$Q466), 0, 1), 4, if(ISBLANK('2025'!$R466), 0, 1), 5, if(ISBLANK('2025'!$S466), 0, 1), 6, if(ISBLANK('2025'!$T466), 0, 1), 7, 0))), 1, "")</f>
        <v/>
      </c>
      <c r="BD503" s="1" t="str">
        <f>IF(AND(AND(AND(BD$4&gt;='2025'!$L466,BD$4&lt;='2025'!$M466), BD$4&lt;&gt;DATE(2025,7,4)), (SWITCH(weekday(BD$4), 1, 0, 2, if(ISBLANK('2025'!$P466), 0, 1), 3, if(ISBLANK('2025'!$Q466), 0, 1), 4, if(ISBLANK('2025'!$R466), 0, 1), 5, if(ISBLANK('2025'!$S466), 0, 1), 6, if(ISBLANK('2025'!$T466), 0, 1), 7, 0))), 1, "")</f>
        <v/>
      </c>
      <c r="BE503" s="1" t="str">
        <f>IF(AND(AND(AND(BE$4&gt;='2025'!$L466,BE$4&lt;='2025'!$M466), BE$4&lt;&gt;DATE(2025,7,4)), (SWITCH(weekday(BE$4), 1, 0, 2, if(ISBLANK('2025'!$P466), 0, 1), 3, if(ISBLANK('2025'!$Q466), 0, 1), 4, if(ISBLANK('2025'!$R466), 0, 1), 5, if(ISBLANK('2025'!$S466), 0, 1), 6, if(ISBLANK('2025'!$T466), 0, 1), 7, 0))), 1, "")</f>
        <v/>
      </c>
    </row>
    <row r="504">
      <c r="A504" s="1">
        <f t="shared" si="3"/>
        <v>504</v>
      </c>
      <c r="B504" s="1" t="str">
        <f>'2025'!D467</f>
        <v/>
      </c>
      <c r="C504" s="1" t="str">
        <f>'2025'!H467</f>
        <v/>
      </c>
      <c r="D504" s="1" t="str">
        <f>IF(AND(AND(AND(D$4&gt;='2025'!$L467,D$4&lt;='2025'!$M467), D$4&lt;&gt;DATE(2025,7,4)), (SWITCH(weekday(D$4), 1, 0, 2, if(ISBLANK('2025'!$P467), 0, 1), 3, if(ISBLANK('2025'!$Q467), 0, 1), 4, if(ISBLANK('2025'!$R467), 0, 1), 5, if(ISBLANK('2025'!$S467), 0, 1), 6, if(ISBLANK('2025'!$T467), 0, 1), 7, 0))), 1, "")</f>
        <v/>
      </c>
      <c r="E504" s="1" t="str">
        <f>IF(AND(AND(AND(E$4&gt;='2025'!$L467,E$4&lt;='2025'!$M467), E$4&lt;&gt;DATE(2025,7,4)), (SWITCH(weekday(E$4), 1, 0, 2, if(ISBLANK('2025'!$P467), 0, 1), 3, if(ISBLANK('2025'!$Q467), 0, 1), 4, if(ISBLANK('2025'!$R467), 0, 1), 5, if(ISBLANK('2025'!$S467), 0, 1), 6, if(ISBLANK('2025'!$T467), 0, 1), 7, 0))), 1, "")</f>
        <v/>
      </c>
      <c r="F504" s="1" t="str">
        <f>IF(AND(AND(AND(F$4&gt;='2025'!$L467,F$4&lt;='2025'!$M467), F$4&lt;&gt;DATE(2025,7,4)), (SWITCH(weekday(F$4), 1, 0, 2, if(ISBLANK('2025'!$P467), 0, 1), 3, if(ISBLANK('2025'!$Q467), 0, 1), 4, if(ISBLANK('2025'!$R467), 0, 1), 5, if(ISBLANK('2025'!$S467), 0, 1), 6, if(ISBLANK('2025'!$T467), 0, 1), 7, 0))), 1, "")</f>
        <v/>
      </c>
      <c r="G504" s="1" t="str">
        <f>IF(AND(AND(AND(G$4&gt;='2025'!$L467,G$4&lt;='2025'!$M467), G$4&lt;&gt;DATE(2025,7,4)), (SWITCH(weekday(G$4), 1, 0, 2, if(ISBLANK('2025'!$P467), 0, 1), 3, if(ISBLANK('2025'!$Q467), 0, 1), 4, if(ISBLANK('2025'!$R467), 0, 1), 5, if(ISBLANK('2025'!$S467), 0, 1), 6, if(ISBLANK('2025'!$T467), 0, 1), 7, 0))), 1, "")</f>
        <v/>
      </c>
      <c r="H504" s="1" t="str">
        <f>IF(AND(AND(AND(H$4&gt;='2025'!$L467,H$4&lt;='2025'!$M467), H$4&lt;&gt;DATE(2025,7,4)), (SWITCH(weekday(H$4), 1, 0, 2, if(ISBLANK('2025'!$P467), 0, 1), 3, if(ISBLANK('2025'!$Q467), 0, 1), 4, if(ISBLANK('2025'!$R467), 0, 1), 5, if(ISBLANK('2025'!$S467), 0, 1), 6, if(ISBLANK('2025'!$T467), 0, 1), 7, 0))), 1, "")</f>
        <v/>
      </c>
      <c r="I504" s="1" t="str">
        <f>IF(AND(AND(AND(I$4&gt;='2025'!$L467,I$4&lt;='2025'!$M467), I$4&lt;&gt;DATE(2025,7,4)), (SWITCH(weekday(I$4), 1, 0, 2, if(ISBLANK('2025'!$P467), 0, 1), 3, if(ISBLANK('2025'!$Q467), 0, 1), 4, if(ISBLANK('2025'!$R467), 0, 1), 5, if(ISBLANK('2025'!$S467), 0, 1), 6, if(ISBLANK('2025'!$T467), 0, 1), 7, 0))), 1, "")</f>
        <v/>
      </c>
      <c r="J504" s="1" t="str">
        <f>IF(AND(AND(AND(J$4&gt;='2025'!$L467,J$4&lt;='2025'!$M467), J$4&lt;&gt;DATE(2025,7,4)), (SWITCH(weekday(J$4), 1, 0, 2, if(ISBLANK('2025'!$P467), 0, 1), 3, if(ISBLANK('2025'!$Q467), 0, 1), 4, if(ISBLANK('2025'!$R467), 0, 1), 5, if(ISBLANK('2025'!$S467), 0, 1), 6, if(ISBLANK('2025'!$T467), 0, 1), 7, 0))), 1, "")</f>
        <v/>
      </c>
      <c r="K504" s="1" t="str">
        <f>IF(AND(AND(AND(K$4&gt;='2025'!$L467,K$4&lt;='2025'!$M467), K$4&lt;&gt;DATE(2025,7,4)), (SWITCH(weekday(K$4), 1, 0, 2, if(ISBLANK('2025'!$P467), 0, 1), 3, if(ISBLANK('2025'!$Q467), 0, 1), 4, if(ISBLANK('2025'!$R467), 0, 1), 5, if(ISBLANK('2025'!$S467), 0, 1), 6, if(ISBLANK('2025'!$T467), 0, 1), 7, 0))), 1, "")</f>
        <v/>
      </c>
      <c r="L504" s="1" t="str">
        <f>IF(AND(AND(AND(L$4&gt;='2025'!$L467,L$4&lt;='2025'!$M467), L$4&lt;&gt;DATE(2025,7,4)), (SWITCH(weekday(L$4), 1, 0, 2, if(ISBLANK('2025'!$P467), 0, 1), 3, if(ISBLANK('2025'!$Q467), 0, 1), 4, if(ISBLANK('2025'!$R467), 0, 1), 5, if(ISBLANK('2025'!$S467), 0, 1), 6, if(ISBLANK('2025'!$T467), 0, 1), 7, 0))), 1, "")</f>
        <v/>
      </c>
      <c r="M504" s="1" t="str">
        <f>IF(AND(AND(AND(M$4&gt;='2025'!$L467,M$4&lt;='2025'!$M467), M$4&lt;&gt;DATE(2025,7,4)), (SWITCH(weekday(M$4), 1, 0, 2, if(ISBLANK('2025'!$P467), 0, 1), 3, if(ISBLANK('2025'!$Q467), 0, 1), 4, if(ISBLANK('2025'!$R467), 0, 1), 5, if(ISBLANK('2025'!$S467), 0, 1), 6, if(ISBLANK('2025'!$T467), 0, 1), 7, 0))), 1, "")</f>
        <v/>
      </c>
      <c r="N504" s="1" t="str">
        <f>IF(AND(AND(AND(N$4&gt;='2025'!$L467,N$4&lt;='2025'!$M467), N$4&lt;&gt;DATE(2025,7,4)), (SWITCH(weekday(N$4), 1, 0, 2, if(ISBLANK('2025'!$P467), 0, 1), 3, if(ISBLANK('2025'!$Q467), 0, 1), 4, if(ISBLANK('2025'!$R467), 0, 1), 5, if(ISBLANK('2025'!$S467), 0, 1), 6, if(ISBLANK('2025'!$T467), 0, 1), 7, 0))), 1, "")</f>
        <v/>
      </c>
      <c r="O504" s="1" t="str">
        <f>IF(AND(AND(AND(O$4&gt;='2025'!$L467,O$4&lt;='2025'!$M467), O$4&lt;&gt;DATE(2025,7,4)), (SWITCH(weekday(O$4), 1, 0, 2, if(ISBLANK('2025'!$P467), 0, 1), 3, if(ISBLANK('2025'!$Q467), 0, 1), 4, if(ISBLANK('2025'!$R467), 0, 1), 5, if(ISBLANK('2025'!$S467), 0, 1), 6, if(ISBLANK('2025'!$T467), 0, 1), 7, 0))), 1, "")</f>
        <v/>
      </c>
      <c r="P504" s="1" t="str">
        <f>IF(AND(AND(AND(P$4&gt;='2025'!$L467,P$4&lt;='2025'!$M467), P$4&lt;&gt;DATE(2025,7,4)), (SWITCH(weekday(P$4), 1, 0, 2, if(ISBLANK('2025'!$P467), 0, 1), 3, if(ISBLANK('2025'!$Q467), 0, 1), 4, if(ISBLANK('2025'!$R467), 0, 1), 5, if(ISBLANK('2025'!$S467), 0, 1), 6, if(ISBLANK('2025'!$T467), 0, 1), 7, 0))), 1, "")</f>
        <v/>
      </c>
      <c r="Q504" s="1" t="str">
        <f>IF(AND(AND(AND(Q$4&gt;='2025'!$L467,Q$4&lt;='2025'!$M467), Q$4&lt;&gt;DATE(2025,7,4)), (SWITCH(weekday(Q$4), 1, 0, 2, if(ISBLANK('2025'!$P467), 0, 1), 3, if(ISBLANK('2025'!$Q467), 0, 1), 4, if(ISBLANK('2025'!$R467), 0, 1), 5, if(ISBLANK('2025'!$S467), 0, 1), 6, if(ISBLANK('2025'!$T467), 0, 1), 7, 0))), 1, "")</f>
        <v/>
      </c>
      <c r="R504" s="1" t="str">
        <f>IF(AND(AND(AND(R$4&gt;='2025'!$L467,R$4&lt;='2025'!$M467), R$4&lt;&gt;DATE(2025,7,4)), (SWITCH(weekday(R$4), 1, 0, 2, if(ISBLANK('2025'!$P467), 0, 1), 3, if(ISBLANK('2025'!$Q467), 0, 1), 4, if(ISBLANK('2025'!$R467), 0, 1), 5, if(ISBLANK('2025'!$S467), 0, 1), 6, if(ISBLANK('2025'!$T467), 0, 1), 7, 0))), 1, "")</f>
        <v/>
      </c>
      <c r="S504" s="1" t="str">
        <f>IF(AND(AND(AND(S$4&gt;='2025'!$L467,S$4&lt;='2025'!$M467), S$4&lt;&gt;DATE(2025,7,4)), (SWITCH(weekday(S$4), 1, 0, 2, if(ISBLANK('2025'!$P467), 0, 1), 3, if(ISBLANK('2025'!$Q467), 0, 1), 4, if(ISBLANK('2025'!$R467), 0, 1), 5, if(ISBLANK('2025'!$S467), 0, 1), 6, if(ISBLANK('2025'!$T467), 0, 1), 7, 0))), 1, "")</f>
        <v/>
      </c>
      <c r="T504" s="1" t="str">
        <f>IF(AND(AND(AND(T$4&gt;='2025'!$L467,T$4&lt;='2025'!$M467), T$4&lt;&gt;DATE(2025,7,4)), (SWITCH(weekday(T$4), 1, 0, 2, if(ISBLANK('2025'!$P467), 0, 1), 3, if(ISBLANK('2025'!$Q467), 0, 1), 4, if(ISBLANK('2025'!$R467), 0, 1), 5, if(ISBLANK('2025'!$S467), 0, 1), 6, if(ISBLANK('2025'!$T467), 0, 1), 7, 0))), 1, "")</f>
        <v/>
      </c>
      <c r="U504" s="1" t="str">
        <f>IF(AND(AND(AND(U$4&gt;='2025'!$L467,U$4&lt;='2025'!$M467), U$4&lt;&gt;DATE(2025,7,4)), (SWITCH(weekday(U$4), 1, 0, 2, if(ISBLANK('2025'!$P467), 0, 1), 3, if(ISBLANK('2025'!$Q467), 0, 1), 4, if(ISBLANK('2025'!$R467), 0, 1), 5, if(ISBLANK('2025'!$S467), 0, 1), 6, if(ISBLANK('2025'!$T467), 0, 1), 7, 0))), 1, "")</f>
        <v/>
      </c>
      <c r="V504" s="1" t="str">
        <f>IF(AND(AND(AND(V$4&gt;='2025'!$L467,V$4&lt;='2025'!$M467), V$4&lt;&gt;DATE(2025,7,4)), (SWITCH(weekday(V$4), 1, 0, 2, if(ISBLANK('2025'!$P467), 0, 1), 3, if(ISBLANK('2025'!$Q467), 0, 1), 4, if(ISBLANK('2025'!$R467), 0, 1), 5, if(ISBLANK('2025'!$S467), 0, 1), 6, if(ISBLANK('2025'!$T467), 0, 1), 7, 0))), 1, "")</f>
        <v/>
      </c>
      <c r="W504" s="1" t="str">
        <f>IF(AND(AND(AND(W$4&gt;='2025'!$L467,W$4&lt;='2025'!$M467), W$4&lt;&gt;DATE(2025,7,4)), (SWITCH(weekday(W$4), 1, 0, 2, if(ISBLANK('2025'!$P467), 0, 1), 3, if(ISBLANK('2025'!$Q467), 0, 1), 4, if(ISBLANK('2025'!$R467), 0, 1), 5, if(ISBLANK('2025'!$S467), 0, 1), 6, if(ISBLANK('2025'!$T467), 0, 1), 7, 0))), 1, "")</f>
        <v/>
      </c>
      <c r="X504" s="1" t="str">
        <f>IF(AND(AND(AND(X$4&gt;='2025'!$L467,X$4&lt;='2025'!$M467), X$4&lt;&gt;DATE(2025,7,4)), (SWITCH(weekday(X$4), 1, 0, 2, if(ISBLANK('2025'!$P467), 0, 1), 3, if(ISBLANK('2025'!$Q467), 0, 1), 4, if(ISBLANK('2025'!$R467), 0, 1), 5, if(ISBLANK('2025'!$S467), 0, 1), 6, if(ISBLANK('2025'!$T467), 0, 1), 7, 0))), 1, "")</f>
        <v/>
      </c>
      <c r="Y504" s="1" t="str">
        <f>IF(AND(AND(AND(Y$4&gt;='2025'!$L467,Y$4&lt;='2025'!$M467), Y$4&lt;&gt;DATE(2025,7,4)), (SWITCH(weekday(Y$4), 1, 0, 2, if(ISBLANK('2025'!$P467), 0, 1), 3, if(ISBLANK('2025'!$Q467), 0, 1), 4, if(ISBLANK('2025'!$R467), 0, 1), 5, if(ISBLANK('2025'!$S467), 0, 1), 6, if(ISBLANK('2025'!$T467), 0, 1), 7, 0))), 1, "")</f>
        <v/>
      </c>
      <c r="Z504" s="1" t="str">
        <f>IF(AND(AND(AND(Z$4&gt;='2025'!$L467,Z$4&lt;='2025'!$M467), Z$4&lt;&gt;DATE(2025,7,4)), (SWITCH(weekday(Z$4), 1, 0, 2, if(ISBLANK('2025'!$P467), 0, 1), 3, if(ISBLANK('2025'!$Q467), 0, 1), 4, if(ISBLANK('2025'!$R467), 0, 1), 5, if(ISBLANK('2025'!$S467), 0, 1), 6, if(ISBLANK('2025'!$T467), 0, 1), 7, 0))), 1, "")</f>
        <v/>
      </c>
      <c r="AA504" s="1" t="str">
        <f>IF(AND(AND(AND(AA$4&gt;='2025'!$L467,AA$4&lt;='2025'!$M467), AA$4&lt;&gt;DATE(2025,7,4)), (SWITCH(weekday(AA$4), 1, 0, 2, if(ISBLANK('2025'!$P467), 0, 1), 3, if(ISBLANK('2025'!$Q467), 0, 1), 4, if(ISBLANK('2025'!$R467), 0, 1), 5, if(ISBLANK('2025'!$S467), 0, 1), 6, if(ISBLANK('2025'!$T467), 0, 1), 7, 0))), 1, "")</f>
        <v/>
      </c>
      <c r="AB504" s="1" t="str">
        <f>IF(AND(AND(AND(AB$4&gt;='2025'!$L467,AB$4&lt;='2025'!$M467), AB$4&lt;&gt;DATE(2025,7,4)), (SWITCH(weekday(AB$4), 1, 0, 2, if(ISBLANK('2025'!$P467), 0, 1), 3, if(ISBLANK('2025'!$Q467), 0, 1), 4, if(ISBLANK('2025'!$R467), 0, 1), 5, if(ISBLANK('2025'!$S467), 0, 1), 6, if(ISBLANK('2025'!$T467), 0, 1), 7, 0))), 1, "")</f>
        <v/>
      </c>
      <c r="AC504" s="1" t="str">
        <f>IF(AND(AND(AND(AC$4&gt;='2025'!$L467,AC$4&lt;='2025'!$M467), AC$4&lt;&gt;DATE(2025,7,4)), (SWITCH(weekday(AC$4), 1, 0, 2, if(ISBLANK('2025'!$P467), 0, 1), 3, if(ISBLANK('2025'!$Q467), 0, 1), 4, if(ISBLANK('2025'!$R467), 0, 1), 5, if(ISBLANK('2025'!$S467), 0, 1), 6, if(ISBLANK('2025'!$T467), 0, 1), 7, 0))), 1, "")</f>
        <v/>
      </c>
      <c r="AD504" s="1" t="str">
        <f>IF(AND(AND(AND(AD$4&gt;='2025'!$L467,AD$4&lt;='2025'!$M467), AD$4&lt;&gt;DATE(2025,7,4)), (SWITCH(weekday(AD$4), 1, 0, 2, if(ISBLANK('2025'!$P467), 0, 1), 3, if(ISBLANK('2025'!$Q467), 0, 1), 4, if(ISBLANK('2025'!$R467), 0, 1), 5, if(ISBLANK('2025'!$S467), 0, 1), 6, if(ISBLANK('2025'!$T467), 0, 1), 7, 0))), 1, "")</f>
        <v/>
      </c>
      <c r="AE504" s="1" t="str">
        <f>IF(AND(AND(AND(AE$4&gt;='2025'!$L467,AE$4&lt;='2025'!$M467), AE$4&lt;&gt;DATE(2025,7,4)), (SWITCH(weekday(AE$4), 1, 0, 2, if(ISBLANK('2025'!$P467), 0, 1), 3, if(ISBLANK('2025'!$Q467), 0, 1), 4, if(ISBLANK('2025'!$R467), 0, 1), 5, if(ISBLANK('2025'!$S467), 0, 1), 6, if(ISBLANK('2025'!$T467), 0, 1), 7, 0))), 1, "")</f>
        <v/>
      </c>
      <c r="AF504" s="1" t="str">
        <f>IF(AND(AND(AND(AF$4&gt;='2025'!$L467,AF$4&lt;='2025'!$M467), AF$4&lt;&gt;DATE(2025,7,4)), (SWITCH(weekday(AF$4), 1, 0, 2, if(ISBLANK('2025'!$P467), 0, 1), 3, if(ISBLANK('2025'!$Q467), 0, 1), 4, if(ISBLANK('2025'!$R467), 0, 1), 5, if(ISBLANK('2025'!$S467), 0, 1), 6, if(ISBLANK('2025'!$T467), 0, 1), 7, 0))), 1, "")</f>
        <v/>
      </c>
      <c r="AG504" s="1" t="str">
        <f>IF(AND(AND(AND(AG$4&gt;='2025'!$L467,AG$4&lt;='2025'!$M467), AG$4&lt;&gt;DATE(2025,7,4)), (SWITCH(weekday(AG$4), 1, 0, 2, if(ISBLANK('2025'!$P467), 0, 1), 3, if(ISBLANK('2025'!$Q467), 0, 1), 4, if(ISBLANK('2025'!$R467), 0, 1), 5, if(ISBLANK('2025'!$S467), 0, 1), 6, if(ISBLANK('2025'!$T467), 0, 1), 7, 0))), 1, "")</f>
        <v/>
      </c>
      <c r="AH504" s="1" t="str">
        <f>IF(AND(AND(AND(AH$4&gt;='2025'!$L467,AH$4&lt;='2025'!$M467), AH$4&lt;&gt;DATE(2025,7,4)), (SWITCH(weekday(AH$4), 1, 0, 2, if(ISBLANK('2025'!$P467), 0, 1), 3, if(ISBLANK('2025'!$Q467), 0, 1), 4, if(ISBLANK('2025'!$R467), 0, 1), 5, if(ISBLANK('2025'!$S467), 0, 1), 6, if(ISBLANK('2025'!$T467), 0, 1), 7, 0))), 1, "")</f>
        <v/>
      </c>
      <c r="AI504" s="1" t="str">
        <f>IF(AND(AND(AND(AI$4&gt;='2025'!$L467,AI$4&lt;='2025'!$M467), AI$4&lt;&gt;DATE(2025,7,4)), (SWITCH(weekday(AI$4), 1, 0, 2, if(ISBLANK('2025'!$P467), 0, 1), 3, if(ISBLANK('2025'!$Q467), 0, 1), 4, if(ISBLANK('2025'!$R467), 0, 1), 5, if(ISBLANK('2025'!$S467), 0, 1), 6, if(ISBLANK('2025'!$T467), 0, 1), 7, 0))), 1, "")</f>
        <v/>
      </c>
      <c r="AJ504" s="1" t="str">
        <f>IF(AND(AND(AND(AJ$4&gt;='2025'!$L467,AJ$4&lt;='2025'!$M467), AJ$4&lt;&gt;DATE(2025,7,4)), (SWITCH(weekday(AJ$4), 1, 0, 2, if(ISBLANK('2025'!$P467), 0, 1), 3, if(ISBLANK('2025'!$Q467), 0, 1), 4, if(ISBLANK('2025'!$R467), 0, 1), 5, if(ISBLANK('2025'!$S467), 0, 1), 6, if(ISBLANK('2025'!$T467), 0, 1), 7, 0))), 1, "")</f>
        <v/>
      </c>
      <c r="AK504" s="1" t="str">
        <f>IF(AND(AND(AND(AK$4&gt;='2025'!$L467,AK$4&lt;='2025'!$M467), AK$4&lt;&gt;DATE(2025,7,4)), (SWITCH(weekday(AK$4), 1, 0, 2, if(ISBLANK('2025'!$P467), 0, 1), 3, if(ISBLANK('2025'!$Q467), 0, 1), 4, if(ISBLANK('2025'!$R467), 0, 1), 5, if(ISBLANK('2025'!$S467), 0, 1), 6, if(ISBLANK('2025'!$T467), 0, 1), 7, 0))), 1, "")</f>
        <v/>
      </c>
      <c r="AL504" s="1" t="str">
        <f>IF(AND(AND(AND(AL$4&gt;='2025'!$L467,AL$4&lt;='2025'!$M467), AL$4&lt;&gt;DATE(2025,7,4)), (SWITCH(weekday(AL$4), 1, 0, 2, if(ISBLANK('2025'!$P467), 0, 1), 3, if(ISBLANK('2025'!$Q467), 0, 1), 4, if(ISBLANK('2025'!$R467), 0, 1), 5, if(ISBLANK('2025'!$S467), 0, 1), 6, if(ISBLANK('2025'!$T467), 0, 1), 7, 0))), 1, "")</f>
        <v/>
      </c>
      <c r="AM504" s="1" t="str">
        <f>IF(AND(AND(AND(AM$4&gt;='2025'!$L467,AM$4&lt;='2025'!$M467), AM$4&lt;&gt;DATE(2025,7,4)), (SWITCH(weekday(AM$4), 1, 0, 2, if(ISBLANK('2025'!$P467), 0, 1), 3, if(ISBLANK('2025'!$Q467), 0, 1), 4, if(ISBLANK('2025'!$R467), 0, 1), 5, if(ISBLANK('2025'!$S467), 0, 1), 6, if(ISBLANK('2025'!$T467), 0, 1), 7, 0))), 1, "")</f>
        <v/>
      </c>
      <c r="AN504" s="1" t="str">
        <f>IF(AND(AND(AND(AN$4&gt;='2025'!$L467,AN$4&lt;='2025'!$M467), AN$4&lt;&gt;DATE(2025,7,4)), (SWITCH(weekday(AN$4), 1, 0, 2, if(ISBLANK('2025'!$P467), 0, 1), 3, if(ISBLANK('2025'!$Q467), 0, 1), 4, if(ISBLANK('2025'!$R467), 0, 1), 5, if(ISBLANK('2025'!$S467), 0, 1), 6, if(ISBLANK('2025'!$T467), 0, 1), 7, 0))), 1, "")</f>
        <v/>
      </c>
      <c r="AO504" s="1" t="str">
        <f>IF(AND(AND(AND(AO$4&gt;='2025'!$L467,AO$4&lt;='2025'!$M467), AO$4&lt;&gt;DATE(2025,7,4)), (SWITCH(weekday(AO$4), 1, 0, 2, if(ISBLANK('2025'!$P467), 0, 1), 3, if(ISBLANK('2025'!$Q467), 0, 1), 4, if(ISBLANK('2025'!$R467), 0, 1), 5, if(ISBLANK('2025'!$S467), 0, 1), 6, if(ISBLANK('2025'!$T467), 0, 1), 7, 0))), 1, "")</f>
        <v/>
      </c>
      <c r="AP504" s="1" t="str">
        <f>IF(AND(AND(AND(AP$4&gt;='2025'!$L467,AP$4&lt;='2025'!$M467), AP$4&lt;&gt;DATE(2025,7,4)), (SWITCH(weekday(AP$4), 1, 0, 2, if(ISBLANK('2025'!$P467), 0, 1), 3, if(ISBLANK('2025'!$Q467), 0, 1), 4, if(ISBLANK('2025'!$R467), 0, 1), 5, if(ISBLANK('2025'!$S467), 0, 1), 6, if(ISBLANK('2025'!$T467), 0, 1), 7, 0))), 1, "")</f>
        <v/>
      </c>
      <c r="AQ504" s="1" t="str">
        <f>IF(AND(AND(AND(AQ$4&gt;='2025'!$L467,AQ$4&lt;='2025'!$M467), AQ$4&lt;&gt;DATE(2025,7,4)), (SWITCH(weekday(AQ$4), 1, 0, 2, if(ISBLANK('2025'!$P467), 0, 1), 3, if(ISBLANK('2025'!$Q467), 0, 1), 4, if(ISBLANK('2025'!$R467), 0, 1), 5, if(ISBLANK('2025'!$S467), 0, 1), 6, if(ISBLANK('2025'!$T467), 0, 1), 7, 0))), 1, "")</f>
        <v/>
      </c>
      <c r="AR504" s="1" t="str">
        <f>IF(AND(AND(AND(AR$4&gt;='2025'!$L467,AR$4&lt;='2025'!$M467), AR$4&lt;&gt;DATE(2025,7,4)), (SWITCH(weekday(AR$4), 1, 0, 2, if(ISBLANK('2025'!$P467), 0, 1), 3, if(ISBLANK('2025'!$Q467), 0, 1), 4, if(ISBLANK('2025'!$R467), 0, 1), 5, if(ISBLANK('2025'!$S467), 0, 1), 6, if(ISBLANK('2025'!$T467), 0, 1), 7, 0))), 1, "")</f>
        <v/>
      </c>
      <c r="AS504" s="1" t="str">
        <f>IF(AND(AND(AND(AS$4&gt;='2025'!$L467,AS$4&lt;='2025'!$M467), AS$4&lt;&gt;DATE(2025,7,4)), (SWITCH(weekday(AS$4), 1, 0, 2, if(ISBLANK('2025'!$P467), 0, 1), 3, if(ISBLANK('2025'!$Q467), 0, 1), 4, if(ISBLANK('2025'!$R467), 0, 1), 5, if(ISBLANK('2025'!$S467), 0, 1), 6, if(ISBLANK('2025'!$T467), 0, 1), 7, 0))), 1, "")</f>
        <v/>
      </c>
      <c r="AT504" s="1" t="str">
        <f>IF(AND(AND(AND(AT$4&gt;='2025'!$L467,AT$4&lt;='2025'!$M467), AT$4&lt;&gt;DATE(2025,7,4)), (SWITCH(weekday(AT$4), 1, 0, 2, if(ISBLANK('2025'!$P467), 0, 1), 3, if(ISBLANK('2025'!$Q467), 0, 1), 4, if(ISBLANK('2025'!$R467), 0, 1), 5, if(ISBLANK('2025'!$S467), 0, 1), 6, if(ISBLANK('2025'!$T467), 0, 1), 7, 0))), 1, "")</f>
        <v/>
      </c>
      <c r="AU504" s="1" t="str">
        <f>IF(AND(AND(AND(AU$4&gt;='2025'!$L467,AU$4&lt;='2025'!$M467), AU$4&lt;&gt;DATE(2025,7,4)), (SWITCH(weekday(AU$4), 1, 0, 2, if(ISBLANK('2025'!$P467), 0, 1), 3, if(ISBLANK('2025'!$Q467), 0, 1), 4, if(ISBLANK('2025'!$R467), 0, 1), 5, if(ISBLANK('2025'!$S467), 0, 1), 6, if(ISBLANK('2025'!$T467), 0, 1), 7, 0))), 1, "")</f>
        <v/>
      </c>
      <c r="AV504" s="1" t="str">
        <f>IF(AND(AND(AND(AV$4&gt;='2025'!$L467,AV$4&lt;='2025'!$M467), AV$4&lt;&gt;DATE(2025,7,4)), (SWITCH(weekday(AV$4), 1, 0, 2, if(ISBLANK('2025'!$P467), 0, 1), 3, if(ISBLANK('2025'!$Q467), 0, 1), 4, if(ISBLANK('2025'!$R467), 0, 1), 5, if(ISBLANK('2025'!$S467), 0, 1), 6, if(ISBLANK('2025'!$T467), 0, 1), 7, 0))), 1, "")</f>
        <v/>
      </c>
      <c r="AW504" s="1" t="str">
        <f>IF(AND(AND(AND(AW$4&gt;='2025'!$L467,AW$4&lt;='2025'!$M467), AW$4&lt;&gt;DATE(2025,7,4)), (SWITCH(weekday(AW$4), 1, 0, 2, if(ISBLANK('2025'!$P467), 0, 1), 3, if(ISBLANK('2025'!$Q467), 0, 1), 4, if(ISBLANK('2025'!$R467), 0, 1), 5, if(ISBLANK('2025'!$S467), 0, 1), 6, if(ISBLANK('2025'!$T467), 0, 1), 7, 0))), 1, "")</f>
        <v/>
      </c>
      <c r="AX504" s="1" t="str">
        <f>IF(AND(AND(AND(AX$4&gt;='2025'!$L467,AX$4&lt;='2025'!$M467), AX$4&lt;&gt;DATE(2025,7,4)), (SWITCH(weekday(AX$4), 1, 0, 2, if(ISBLANK('2025'!$P467), 0, 1), 3, if(ISBLANK('2025'!$Q467), 0, 1), 4, if(ISBLANK('2025'!$R467), 0, 1), 5, if(ISBLANK('2025'!$S467), 0, 1), 6, if(ISBLANK('2025'!$T467), 0, 1), 7, 0))), 1, "")</f>
        <v/>
      </c>
      <c r="AY504" s="1" t="str">
        <f>IF(AND(AND(AND(AY$4&gt;='2025'!$L467,AY$4&lt;='2025'!$M467), AY$4&lt;&gt;DATE(2025,7,4)), (SWITCH(weekday(AY$4), 1, 0, 2, if(ISBLANK('2025'!$P467), 0, 1), 3, if(ISBLANK('2025'!$Q467), 0, 1), 4, if(ISBLANK('2025'!$R467), 0, 1), 5, if(ISBLANK('2025'!$S467), 0, 1), 6, if(ISBLANK('2025'!$T467), 0, 1), 7, 0))), 1, "")</f>
        <v/>
      </c>
      <c r="AZ504" s="1" t="str">
        <f>IF(AND(AND(AND(AZ$4&gt;='2025'!$L467,AZ$4&lt;='2025'!$M467), AZ$4&lt;&gt;DATE(2025,7,4)), (SWITCH(weekday(AZ$4), 1, 0, 2, if(ISBLANK('2025'!$P467), 0, 1), 3, if(ISBLANK('2025'!$Q467), 0, 1), 4, if(ISBLANK('2025'!$R467), 0, 1), 5, if(ISBLANK('2025'!$S467), 0, 1), 6, if(ISBLANK('2025'!$T467), 0, 1), 7, 0))), 1, "")</f>
        <v/>
      </c>
      <c r="BA504" s="1" t="str">
        <f>IF(AND(AND(AND(BA$4&gt;='2025'!$L467,BA$4&lt;='2025'!$M467), BA$4&lt;&gt;DATE(2025,7,4)), (SWITCH(weekday(BA$4), 1, 0, 2, if(ISBLANK('2025'!$P467), 0, 1), 3, if(ISBLANK('2025'!$Q467), 0, 1), 4, if(ISBLANK('2025'!$R467), 0, 1), 5, if(ISBLANK('2025'!$S467), 0, 1), 6, if(ISBLANK('2025'!$T467), 0, 1), 7, 0))), 1, "")</f>
        <v/>
      </c>
      <c r="BB504" s="1" t="str">
        <f>IF(AND(AND(AND(BB$4&gt;='2025'!$L467,BB$4&lt;='2025'!$M467), BB$4&lt;&gt;DATE(2025,7,4)), (SWITCH(weekday(BB$4), 1, 0, 2, if(ISBLANK('2025'!$P467), 0, 1), 3, if(ISBLANK('2025'!$Q467), 0, 1), 4, if(ISBLANK('2025'!$R467), 0, 1), 5, if(ISBLANK('2025'!$S467), 0, 1), 6, if(ISBLANK('2025'!$T467), 0, 1), 7, 0))), 1, "")</f>
        <v/>
      </c>
      <c r="BC504" s="1" t="str">
        <f>IF(AND(AND(AND(BC$4&gt;='2025'!$L467,BC$4&lt;='2025'!$M467), BC$4&lt;&gt;DATE(2025,7,4)), (SWITCH(weekday(BC$4), 1, 0, 2, if(ISBLANK('2025'!$P467), 0, 1), 3, if(ISBLANK('2025'!$Q467), 0, 1), 4, if(ISBLANK('2025'!$R467), 0, 1), 5, if(ISBLANK('2025'!$S467), 0, 1), 6, if(ISBLANK('2025'!$T467), 0, 1), 7, 0))), 1, "")</f>
        <v/>
      </c>
      <c r="BD504" s="1" t="str">
        <f>IF(AND(AND(AND(BD$4&gt;='2025'!$L467,BD$4&lt;='2025'!$M467), BD$4&lt;&gt;DATE(2025,7,4)), (SWITCH(weekday(BD$4), 1, 0, 2, if(ISBLANK('2025'!$P467), 0, 1), 3, if(ISBLANK('2025'!$Q467), 0, 1), 4, if(ISBLANK('2025'!$R467), 0, 1), 5, if(ISBLANK('2025'!$S467), 0, 1), 6, if(ISBLANK('2025'!$T467), 0, 1), 7, 0))), 1, "")</f>
        <v/>
      </c>
      <c r="BE504" s="1" t="str">
        <f>IF(AND(AND(AND(BE$4&gt;='2025'!$L467,BE$4&lt;='2025'!$M467), BE$4&lt;&gt;DATE(2025,7,4)), (SWITCH(weekday(BE$4), 1, 0, 2, if(ISBLANK('2025'!$P467), 0, 1), 3, if(ISBLANK('2025'!$Q467), 0, 1), 4, if(ISBLANK('2025'!$R467), 0, 1), 5, if(ISBLANK('2025'!$S467), 0, 1), 6, if(ISBLANK('2025'!$T467), 0, 1), 7, 0))), 1, "")</f>
        <v/>
      </c>
    </row>
    <row r="505">
      <c r="A505" s="1">
        <f t="shared" si="3"/>
        <v>505</v>
      </c>
      <c r="B505" s="1" t="str">
        <f>'2025'!D468</f>
        <v/>
      </c>
      <c r="C505" s="1" t="str">
        <f>'2025'!H468</f>
        <v/>
      </c>
      <c r="D505" s="1" t="str">
        <f>IF(AND(AND(AND(D$4&gt;='2025'!$L468,D$4&lt;='2025'!$M468), D$4&lt;&gt;DATE(2025,7,4)), (SWITCH(weekday(D$4), 1, 0, 2, if(ISBLANK('2025'!$P468), 0, 1), 3, if(ISBLANK('2025'!$Q468), 0, 1), 4, if(ISBLANK('2025'!$R468), 0, 1), 5, if(ISBLANK('2025'!$S468), 0, 1), 6, if(ISBLANK('2025'!$T468), 0, 1), 7, 0))), 1, "")</f>
        <v/>
      </c>
      <c r="E505" s="1" t="str">
        <f>IF(AND(AND(AND(E$4&gt;='2025'!$L468,E$4&lt;='2025'!$M468), E$4&lt;&gt;DATE(2025,7,4)), (SWITCH(weekday(E$4), 1, 0, 2, if(ISBLANK('2025'!$P468), 0, 1), 3, if(ISBLANK('2025'!$Q468), 0, 1), 4, if(ISBLANK('2025'!$R468), 0, 1), 5, if(ISBLANK('2025'!$S468), 0, 1), 6, if(ISBLANK('2025'!$T468), 0, 1), 7, 0))), 1, "")</f>
        <v/>
      </c>
      <c r="F505" s="1" t="str">
        <f>IF(AND(AND(AND(F$4&gt;='2025'!$L468,F$4&lt;='2025'!$M468), F$4&lt;&gt;DATE(2025,7,4)), (SWITCH(weekday(F$4), 1, 0, 2, if(ISBLANK('2025'!$P468), 0, 1), 3, if(ISBLANK('2025'!$Q468), 0, 1), 4, if(ISBLANK('2025'!$R468), 0, 1), 5, if(ISBLANK('2025'!$S468), 0, 1), 6, if(ISBLANK('2025'!$T468), 0, 1), 7, 0))), 1, "")</f>
        <v/>
      </c>
      <c r="G505" s="1" t="str">
        <f>IF(AND(AND(AND(G$4&gt;='2025'!$L468,G$4&lt;='2025'!$M468), G$4&lt;&gt;DATE(2025,7,4)), (SWITCH(weekday(G$4), 1, 0, 2, if(ISBLANK('2025'!$P468), 0, 1), 3, if(ISBLANK('2025'!$Q468), 0, 1), 4, if(ISBLANK('2025'!$R468), 0, 1), 5, if(ISBLANK('2025'!$S468), 0, 1), 6, if(ISBLANK('2025'!$T468), 0, 1), 7, 0))), 1, "")</f>
        <v/>
      </c>
      <c r="H505" s="1" t="str">
        <f>IF(AND(AND(AND(H$4&gt;='2025'!$L468,H$4&lt;='2025'!$M468), H$4&lt;&gt;DATE(2025,7,4)), (SWITCH(weekday(H$4), 1, 0, 2, if(ISBLANK('2025'!$P468), 0, 1), 3, if(ISBLANK('2025'!$Q468), 0, 1), 4, if(ISBLANK('2025'!$R468), 0, 1), 5, if(ISBLANK('2025'!$S468), 0, 1), 6, if(ISBLANK('2025'!$T468), 0, 1), 7, 0))), 1, "")</f>
        <v/>
      </c>
      <c r="I505" s="1" t="str">
        <f>IF(AND(AND(AND(I$4&gt;='2025'!$L468,I$4&lt;='2025'!$M468), I$4&lt;&gt;DATE(2025,7,4)), (SWITCH(weekday(I$4), 1, 0, 2, if(ISBLANK('2025'!$P468), 0, 1), 3, if(ISBLANK('2025'!$Q468), 0, 1), 4, if(ISBLANK('2025'!$R468), 0, 1), 5, if(ISBLANK('2025'!$S468), 0, 1), 6, if(ISBLANK('2025'!$T468), 0, 1), 7, 0))), 1, "")</f>
        <v/>
      </c>
      <c r="J505" s="1" t="str">
        <f>IF(AND(AND(AND(J$4&gt;='2025'!$L468,J$4&lt;='2025'!$M468), J$4&lt;&gt;DATE(2025,7,4)), (SWITCH(weekday(J$4), 1, 0, 2, if(ISBLANK('2025'!$P468), 0, 1), 3, if(ISBLANK('2025'!$Q468), 0, 1), 4, if(ISBLANK('2025'!$R468), 0, 1), 5, if(ISBLANK('2025'!$S468), 0, 1), 6, if(ISBLANK('2025'!$T468), 0, 1), 7, 0))), 1, "")</f>
        <v/>
      </c>
      <c r="K505" s="1" t="str">
        <f>IF(AND(AND(AND(K$4&gt;='2025'!$L468,K$4&lt;='2025'!$M468), K$4&lt;&gt;DATE(2025,7,4)), (SWITCH(weekday(K$4), 1, 0, 2, if(ISBLANK('2025'!$P468), 0, 1), 3, if(ISBLANK('2025'!$Q468), 0, 1), 4, if(ISBLANK('2025'!$R468), 0, 1), 5, if(ISBLANK('2025'!$S468), 0, 1), 6, if(ISBLANK('2025'!$T468), 0, 1), 7, 0))), 1, "")</f>
        <v/>
      </c>
      <c r="L505" s="1" t="str">
        <f>IF(AND(AND(AND(L$4&gt;='2025'!$L468,L$4&lt;='2025'!$M468), L$4&lt;&gt;DATE(2025,7,4)), (SWITCH(weekday(L$4), 1, 0, 2, if(ISBLANK('2025'!$P468), 0, 1), 3, if(ISBLANK('2025'!$Q468), 0, 1), 4, if(ISBLANK('2025'!$R468), 0, 1), 5, if(ISBLANK('2025'!$S468), 0, 1), 6, if(ISBLANK('2025'!$T468), 0, 1), 7, 0))), 1, "")</f>
        <v/>
      </c>
      <c r="M505" s="1" t="str">
        <f>IF(AND(AND(AND(M$4&gt;='2025'!$L468,M$4&lt;='2025'!$M468), M$4&lt;&gt;DATE(2025,7,4)), (SWITCH(weekday(M$4), 1, 0, 2, if(ISBLANK('2025'!$P468), 0, 1), 3, if(ISBLANK('2025'!$Q468), 0, 1), 4, if(ISBLANK('2025'!$R468), 0, 1), 5, if(ISBLANK('2025'!$S468), 0, 1), 6, if(ISBLANK('2025'!$T468), 0, 1), 7, 0))), 1, "")</f>
        <v/>
      </c>
      <c r="N505" s="1" t="str">
        <f>IF(AND(AND(AND(N$4&gt;='2025'!$L468,N$4&lt;='2025'!$M468), N$4&lt;&gt;DATE(2025,7,4)), (SWITCH(weekday(N$4), 1, 0, 2, if(ISBLANK('2025'!$P468), 0, 1), 3, if(ISBLANK('2025'!$Q468), 0, 1), 4, if(ISBLANK('2025'!$R468), 0, 1), 5, if(ISBLANK('2025'!$S468), 0, 1), 6, if(ISBLANK('2025'!$T468), 0, 1), 7, 0))), 1, "")</f>
        <v/>
      </c>
      <c r="O505" s="1" t="str">
        <f>IF(AND(AND(AND(O$4&gt;='2025'!$L468,O$4&lt;='2025'!$M468), O$4&lt;&gt;DATE(2025,7,4)), (SWITCH(weekday(O$4), 1, 0, 2, if(ISBLANK('2025'!$P468), 0, 1), 3, if(ISBLANK('2025'!$Q468), 0, 1), 4, if(ISBLANK('2025'!$R468), 0, 1), 5, if(ISBLANK('2025'!$S468), 0, 1), 6, if(ISBLANK('2025'!$T468), 0, 1), 7, 0))), 1, "")</f>
        <v/>
      </c>
      <c r="P505" s="1" t="str">
        <f>IF(AND(AND(AND(P$4&gt;='2025'!$L468,P$4&lt;='2025'!$M468), P$4&lt;&gt;DATE(2025,7,4)), (SWITCH(weekday(P$4), 1, 0, 2, if(ISBLANK('2025'!$P468), 0, 1), 3, if(ISBLANK('2025'!$Q468), 0, 1), 4, if(ISBLANK('2025'!$R468), 0, 1), 5, if(ISBLANK('2025'!$S468), 0, 1), 6, if(ISBLANK('2025'!$T468), 0, 1), 7, 0))), 1, "")</f>
        <v/>
      </c>
      <c r="Q505" s="1" t="str">
        <f>IF(AND(AND(AND(Q$4&gt;='2025'!$L468,Q$4&lt;='2025'!$M468), Q$4&lt;&gt;DATE(2025,7,4)), (SWITCH(weekday(Q$4), 1, 0, 2, if(ISBLANK('2025'!$P468), 0, 1), 3, if(ISBLANK('2025'!$Q468), 0, 1), 4, if(ISBLANK('2025'!$R468), 0, 1), 5, if(ISBLANK('2025'!$S468), 0, 1), 6, if(ISBLANK('2025'!$T468), 0, 1), 7, 0))), 1, "")</f>
        <v/>
      </c>
      <c r="R505" s="1" t="str">
        <f>IF(AND(AND(AND(R$4&gt;='2025'!$L468,R$4&lt;='2025'!$M468), R$4&lt;&gt;DATE(2025,7,4)), (SWITCH(weekday(R$4), 1, 0, 2, if(ISBLANK('2025'!$P468), 0, 1), 3, if(ISBLANK('2025'!$Q468), 0, 1), 4, if(ISBLANK('2025'!$R468), 0, 1), 5, if(ISBLANK('2025'!$S468), 0, 1), 6, if(ISBLANK('2025'!$T468), 0, 1), 7, 0))), 1, "")</f>
        <v/>
      </c>
      <c r="S505" s="1" t="str">
        <f>IF(AND(AND(AND(S$4&gt;='2025'!$L468,S$4&lt;='2025'!$M468), S$4&lt;&gt;DATE(2025,7,4)), (SWITCH(weekday(S$4), 1, 0, 2, if(ISBLANK('2025'!$P468), 0, 1), 3, if(ISBLANK('2025'!$Q468), 0, 1), 4, if(ISBLANK('2025'!$R468), 0, 1), 5, if(ISBLANK('2025'!$S468), 0, 1), 6, if(ISBLANK('2025'!$T468), 0, 1), 7, 0))), 1, "")</f>
        <v/>
      </c>
      <c r="T505" s="1" t="str">
        <f>IF(AND(AND(AND(T$4&gt;='2025'!$L468,T$4&lt;='2025'!$M468), T$4&lt;&gt;DATE(2025,7,4)), (SWITCH(weekday(T$4), 1, 0, 2, if(ISBLANK('2025'!$P468), 0, 1), 3, if(ISBLANK('2025'!$Q468), 0, 1), 4, if(ISBLANK('2025'!$R468), 0, 1), 5, if(ISBLANK('2025'!$S468), 0, 1), 6, if(ISBLANK('2025'!$T468), 0, 1), 7, 0))), 1, "")</f>
        <v/>
      </c>
      <c r="U505" s="1" t="str">
        <f>IF(AND(AND(AND(U$4&gt;='2025'!$L468,U$4&lt;='2025'!$M468), U$4&lt;&gt;DATE(2025,7,4)), (SWITCH(weekday(U$4), 1, 0, 2, if(ISBLANK('2025'!$P468), 0, 1), 3, if(ISBLANK('2025'!$Q468), 0, 1), 4, if(ISBLANK('2025'!$R468), 0, 1), 5, if(ISBLANK('2025'!$S468), 0, 1), 6, if(ISBLANK('2025'!$T468), 0, 1), 7, 0))), 1, "")</f>
        <v/>
      </c>
      <c r="V505" s="1" t="str">
        <f>IF(AND(AND(AND(V$4&gt;='2025'!$L468,V$4&lt;='2025'!$M468), V$4&lt;&gt;DATE(2025,7,4)), (SWITCH(weekday(V$4), 1, 0, 2, if(ISBLANK('2025'!$P468), 0, 1), 3, if(ISBLANK('2025'!$Q468), 0, 1), 4, if(ISBLANK('2025'!$R468), 0, 1), 5, if(ISBLANK('2025'!$S468), 0, 1), 6, if(ISBLANK('2025'!$T468), 0, 1), 7, 0))), 1, "")</f>
        <v/>
      </c>
      <c r="W505" s="1" t="str">
        <f>IF(AND(AND(AND(W$4&gt;='2025'!$L468,W$4&lt;='2025'!$M468), W$4&lt;&gt;DATE(2025,7,4)), (SWITCH(weekday(W$4), 1, 0, 2, if(ISBLANK('2025'!$P468), 0, 1), 3, if(ISBLANK('2025'!$Q468), 0, 1), 4, if(ISBLANK('2025'!$R468), 0, 1), 5, if(ISBLANK('2025'!$S468), 0, 1), 6, if(ISBLANK('2025'!$T468), 0, 1), 7, 0))), 1, "")</f>
        <v/>
      </c>
      <c r="X505" s="1" t="str">
        <f>IF(AND(AND(AND(X$4&gt;='2025'!$L468,X$4&lt;='2025'!$M468), X$4&lt;&gt;DATE(2025,7,4)), (SWITCH(weekday(X$4), 1, 0, 2, if(ISBLANK('2025'!$P468), 0, 1), 3, if(ISBLANK('2025'!$Q468), 0, 1), 4, if(ISBLANK('2025'!$R468), 0, 1), 5, if(ISBLANK('2025'!$S468), 0, 1), 6, if(ISBLANK('2025'!$T468), 0, 1), 7, 0))), 1, "")</f>
        <v/>
      </c>
      <c r="Y505" s="1" t="str">
        <f>IF(AND(AND(AND(Y$4&gt;='2025'!$L468,Y$4&lt;='2025'!$M468), Y$4&lt;&gt;DATE(2025,7,4)), (SWITCH(weekday(Y$4), 1, 0, 2, if(ISBLANK('2025'!$P468), 0, 1), 3, if(ISBLANK('2025'!$Q468), 0, 1), 4, if(ISBLANK('2025'!$R468), 0, 1), 5, if(ISBLANK('2025'!$S468), 0, 1), 6, if(ISBLANK('2025'!$T468), 0, 1), 7, 0))), 1, "")</f>
        <v/>
      </c>
      <c r="Z505" s="1" t="str">
        <f>IF(AND(AND(AND(Z$4&gt;='2025'!$L468,Z$4&lt;='2025'!$M468), Z$4&lt;&gt;DATE(2025,7,4)), (SWITCH(weekday(Z$4), 1, 0, 2, if(ISBLANK('2025'!$P468), 0, 1), 3, if(ISBLANK('2025'!$Q468), 0, 1), 4, if(ISBLANK('2025'!$R468), 0, 1), 5, if(ISBLANK('2025'!$S468), 0, 1), 6, if(ISBLANK('2025'!$T468), 0, 1), 7, 0))), 1, "")</f>
        <v/>
      </c>
      <c r="AA505" s="1" t="str">
        <f>IF(AND(AND(AND(AA$4&gt;='2025'!$L468,AA$4&lt;='2025'!$M468), AA$4&lt;&gt;DATE(2025,7,4)), (SWITCH(weekday(AA$4), 1, 0, 2, if(ISBLANK('2025'!$P468), 0, 1), 3, if(ISBLANK('2025'!$Q468), 0, 1), 4, if(ISBLANK('2025'!$R468), 0, 1), 5, if(ISBLANK('2025'!$S468), 0, 1), 6, if(ISBLANK('2025'!$T468), 0, 1), 7, 0))), 1, "")</f>
        <v/>
      </c>
      <c r="AB505" s="1" t="str">
        <f>IF(AND(AND(AND(AB$4&gt;='2025'!$L468,AB$4&lt;='2025'!$M468), AB$4&lt;&gt;DATE(2025,7,4)), (SWITCH(weekday(AB$4), 1, 0, 2, if(ISBLANK('2025'!$P468), 0, 1), 3, if(ISBLANK('2025'!$Q468), 0, 1), 4, if(ISBLANK('2025'!$R468), 0, 1), 5, if(ISBLANK('2025'!$S468), 0, 1), 6, if(ISBLANK('2025'!$T468), 0, 1), 7, 0))), 1, "")</f>
        <v/>
      </c>
      <c r="AC505" s="1" t="str">
        <f>IF(AND(AND(AND(AC$4&gt;='2025'!$L468,AC$4&lt;='2025'!$M468), AC$4&lt;&gt;DATE(2025,7,4)), (SWITCH(weekday(AC$4), 1, 0, 2, if(ISBLANK('2025'!$P468), 0, 1), 3, if(ISBLANK('2025'!$Q468), 0, 1), 4, if(ISBLANK('2025'!$R468), 0, 1), 5, if(ISBLANK('2025'!$S468), 0, 1), 6, if(ISBLANK('2025'!$T468), 0, 1), 7, 0))), 1, "")</f>
        <v/>
      </c>
      <c r="AD505" s="1" t="str">
        <f>IF(AND(AND(AND(AD$4&gt;='2025'!$L468,AD$4&lt;='2025'!$M468), AD$4&lt;&gt;DATE(2025,7,4)), (SWITCH(weekday(AD$4), 1, 0, 2, if(ISBLANK('2025'!$P468), 0, 1), 3, if(ISBLANK('2025'!$Q468), 0, 1), 4, if(ISBLANK('2025'!$R468), 0, 1), 5, if(ISBLANK('2025'!$S468), 0, 1), 6, if(ISBLANK('2025'!$T468), 0, 1), 7, 0))), 1, "")</f>
        <v/>
      </c>
      <c r="AE505" s="1" t="str">
        <f>IF(AND(AND(AND(AE$4&gt;='2025'!$L468,AE$4&lt;='2025'!$M468), AE$4&lt;&gt;DATE(2025,7,4)), (SWITCH(weekday(AE$4), 1, 0, 2, if(ISBLANK('2025'!$P468), 0, 1), 3, if(ISBLANK('2025'!$Q468), 0, 1), 4, if(ISBLANK('2025'!$R468), 0, 1), 5, if(ISBLANK('2025'!$S468), 0, 1), 6, if(ISBLANK('2025'!$T468), 0, 1), 7, 0))), 1, "")</f>
        <v/>
      </c>
      <c r="AF505" s="1" t="str">
        <f>IF(AND(AND(AND(AF$4&gt;='2025'!$L468,AF$4&lt;='2025'!$M468), AF$4&lt;&gt;DATE(2025,7,4)), (SWITCH(weekday(AF$4), 1, 0, 2, if(ISBLANK('2025'!$P468), 0, 1), 3, if(ISBLANK('2025'!$Q468), 0, 1), 4, if(ISBLANK('2025'!$R468), 0, 1), 5, if(ISBLANK('2025'!$S468), 0, 1), 6, if(ISBLANK('2025'!$T468), 0, 1), 7, 0))), 1, "")</f>
        <v/>
      </c>
      <c r="AG505" s="1" t="str">
        <f>IF(AND(AND(AND(AG$4&gt;='2025'!$L468,AG$4&lt;='2025'!$M468), AG$4&lt;&gt;DATE(2025,7,4)), (SWITCH(weekday(AG$4), 1, 0, 2, if(ISBLANK('2025'!$P468), 0, 1), 3, if(ISBLANK('2025'!$Q468), 0, 1), 4, if(ISBLANK('2025'!$R468), 0, 1), 5, if(ISBLANK('2025'!$S468), 0, 1), 6, if(ISBLANK('2025'!$T468), 0, 1), 7, 0))), 1, "")</f>
        <v/>
      </c>
      <c r="AH505" s="1" t="str">
        <f>IF(AND(AND(AND(AH$4&gt;='2025'!$L468,AH$4&lt;='2025'!$M468), AH$4&lt;&gt;DATE(2025,7,4)), (SWITCH(weekday(AH$4), 1, 0, 2, if(ISBLANK('2025'!$P468), 0, 1), 3, if(ISBLANK('2025'!$Q468), 0, 1), 4, if(ISBLANK('2025'!$R468), 0, 1), 5, if(ISBLANK('2025'!$S468), 0, 1), 6, if(ISBLANK('2025'!$T468), 0, 1), 7, 0))), 1, "")</f>
        <v/>
      </c>
      <c r="AI505" s="1" t="str">
        <f>IF(AND(AND(AND(AI$4&gt;='2025'!$L468,AI$4&lt;='2025'!$M468), AI$4&lt;&gt;DATE(2025,7,4)), (SWITCH(weekday(AI$4), 1, 0, 2, if(ISBLANK('2025'!$P468), 0, 1), 3, if(ISBLANK('2025'!$Q468), 0, 1), 4, if(ISBLANK('2025'!$R468), 0, 1), 5, if(ISBLANK('2025'!$S468), 0, 1), 6, if(ISBLANK('2025'!$T468), 0, 1), 7, 0))), 1, "")</f>
        <v/>
      </c>
      <c r="AJ505" s="1" t="str">
        <f>IF(AND(AND(AND(AJ$4&gt;='2025'!$L468,AJ$4&lt;='2025'!$M468), AJ$4&lt;&gt;DATE(2025,7,4)), (SWITCH(weekday(AJ$4), 1, 0, 2, if(ISBLANK('2025'!$P468), 0, 1), 3, if(ISBLANK('2025'!$Q468), 0, 1), 4, if(ISBLANK('2025'!$R468), 0, 1), 5, if(ISBLANK('2025'!$S468), 0, 1), 6, if(ISBLANK('2025'!$T468), 0, 1), 7, 0))), 1, "")</f>
        <v/>
      </c>
      <c r="AK505" s="1" t="str">
        <f>IF(AND(AND(AND(AK$4&gt;='2025'!$L468,AK$4&lt;='2025'!$M468), AK$4&lt;&gt;DATE(2025,7,4)), (SWITCH(weekday(AK$4), 1, 0, 2, if(ISBLANK('2025'!$P468), 0, 1), 3, if(ISBLANK('2025'!$Q468), 0, 1), 4, if(ISBLANK('2025'!$R468), 0, 1), 5, if(ISBLANK('2025'!$S468), 0, 1), 6, if(ISBLANK('2025'!$T468), 0, 1), 7, 0))), 1, "")</f>
        <v/>
      </c>
      <c r="AL505" s="1" t="str">
        <f>IF(AND(AND(AND(AL$4&gt;='2025'!$L468,AL$4&lt;='2025'!$M468), AL$4&lt;&gt;DATE(2025,7,4)), (SWITCH(weekday(AL$4), 1, 0, 2, if(ISBLANK('2025'!$P468), 0, 1), 3, if(ISBLANK('2025'!$Q468), 0, 1), 4, if(ISBLANK('2025'!$R468), 0, 1), 5, if(ISBLANK('2025'!$S468), 0, 1), 6, if(ISBLANK('2025'!$T468), 0, 1), 7, 0))), 1, "")</f>
        <v/>
      </c>
      <c r="AM505" s="1" t="str">
        <f>IF(AND(AND(AND(AM$4&gt;='2025'!$L468,AM$4&lt;='2025'!$M468), AM$4&lt;&gt;DATE(2025,7,4)), (SWITCH(weekday(AM$4), 1, 0, 2, if(ISBLANK('2025'!$P468), 0, 1), 3, if(ISBLANK('2025'!$Q468), 0, 1), 4, if(ISBLANK('2025'!$R468), 0, 1), 5, if(ISBLANK('2025'!$S468), 0, 1), 6, if(ISBLANK('2025'!$T468), 0, 1), 7, 0))), 1, "")</f>
        <v/>
      </c>
      <c r="AN505" s="1" t="str">
        <f>IF(AND(AND(AND(AN$4&gt;='2025'!$L468,AN$4&lt;='2025'!$M468), AN$4&lt;&gt;DATE(2025,7,4)), (SWITCH(weekday(AN$4), 1, 0, 2, if(ISBLANK('2025'!$P468), 0, 1), 3, if(ISBLANK('2025'!$Q468), 0, 1), 4, if(ISBLANK('2025'!$R468), 0, 1), 5, if(ISBLANK('2025'!$S468), 0, 1), 6, if(ISBLANK('2025'!$T468), 0, 1), 7, 0))), 1, "")</f>
        <v/>
      </c>
      <c r="AO505" s="1" t="str">
        <f>IF(AND(AND(AND(AO$4&gt;='2025'!$L468,AO$4&lt;='2025'!$M468), AO$4&lt;&gt;DATE(2025,7,4)), (SWITCH(weekday(AO$4), 1, 0, 2, if(ISBLANK('2025'!$P468), 0, 1), 3, if(ISBLANK('2025'!$Q468), 0, 1), 4, if(ISBLANK('2025'!$R468), 0, 1), 5, if(ISBLANK('2025'!$S468), 0, 1), 6, if(ISBLANK('2025'!$T468), 0, 1), 7, 0))), 1, "")</f>
        <v/>
      </c>
      <c r="AP505" s="1" t="str">
        <f>IF(AND(AND(AND(AP$4&gt;='2025'!$L468,AP$4&lt;='2025'!$M468), AP$4&lt;&gt;DATE(2025,7,4)), (SWITCH(weekday(AP$4), 1, 0, 2, if(ISBLANK('2025'!$P468), 0, 1), 3, if(ISBLANK('2025'!$Q468), 0, 1), 4, if(ISBLANK('2025'!$R468), 0, 1), 5, if(ISBLANK('2025'!$S468), 0, 1), 6, if(ISBLANK('2025'!$T468), 0, 1), 7, 0))), 1, "")</f>
        <v/>
      </c>
      <c r="AQ505" s="1" t="str">
        <f>IF(AND(AND(AND(AQ$4&gt;='2025'!$L468,AQ$4&lt;='2025'!$M468), AQ$4&lt;&gt;DATE(2025,7,4)), (SWITCH(weekday(AQ$4), 1, 0, 2, if(ISBLANK('2025'!$P468), 0, 1), 3, if(ISBLANK('2025'!$Q468), 0, 1), 4, if(ISBLANK('2025'!$R468), 0, 1), 5, if(ISBLANK('2025'!$S468), 0, 1), 6, if(ISBLANK('2025'!$T468), 0, 1), 7, 0))), 1, "")</f>
        <v/>
      </c>
      <c r="AR505" s="1" t="str">
        <f>IF(AND(AND(AND(AR$4&gt;='2025'!$L468,AR$4&lt;='2025'!$M468), AR$4&lt;&gt;DATE(2025,7,4)), (SWITCH(weekday(AR$4), 1, 0, 2, if(ISBLANK('2025'!$P468), 0, 1), 3, if(ISBLANK('2025'!$Q468), 0, 1), 4, if(ISBLANK('2025'!$R468), 0, 1), 5, if(ISBLANK('2025'!$S468), 0, 1), 6, if(ISBLANK('2025'!$T468), 0, 1), 7, 0))), 1, "")</f>
        <v/>
      </c>
      <c r="AS505" s="1" t="str">
        <f>IF(AND(AND(AND(AS$4&gt;='2025'!$L468,AS$4&lt;='2025'!$M468), AS$4&lt;&gt;DATE(2025,7,4)), (SWITCH(weekday(AS$4), 1, 0, 2, if(ISBLANK('2025'!$P468), 0, 1), 3, if(ISBLANK('2025'!$Q468), 0, 1), 4, if(ISBLANK('2025'!$R468), 0, 1), 5, if(ISBLANK('2025'!$S468), 0, 1), 6, if(ISBLANK('2025'!$T468), 0, 1), 7, 0))), 1, "")</f>
        <v/>
      </c>
      <c r="AT505" s="1" t="str">
        <f>IF(AND(AND(AND(AT$4&gt;='2025'!$L468,AT$4&lt;='2025'!$M468), AT$4&lt;&gt;DATE(2025,7,4)), (SWITCH(weekday(AT$4), 1, 0, 2, if(ISBLANK('2025'!$P468), 0, 1), 3, if(ISBLANK('2025'!$Q468), 0, 1), 4, if(ISBLANK('2025'!$R468), 0, 1), 5, if(ISBLANK('2025'!$S468), 0, 1), 6, if(ISBLANK('2025'!$T468), 0, 1), 7, 0))), 1, "")</f>
        <v/>
      </c>
      <c r="AU505" s="1" t="str">
        <f>IF(AND(AND(AND(AU$4&gt;='2025'!$L468,AU$4&lt;='2025'!$M468), AU$4&lt;&gt;DATE(2025,7,4)), (SWITCH(weekday(AU$4), 1, 0, 2, if(ISBLANK('2025'!$P468), 0, 1), 3, if(ISBLANK('2025'!$Q468), 0, 1), 4, if(ISBLANK('2025'!$R468), 0, 1), 5, if(ISBLANK('2025'!$S468), 0, 1), 6, if(ISBLANK('2025'!$T468), 0, 1), 7, 0))), 1, "")</f>
        <v/>
      </c>
      <c r="AV505" s="1" t="str">
        <f>IF(AND(AND(AND(AV$4&gt;='2025'!$L468,AV$4&lt;='2025'!$M468), AV$4&lt;&gt;DATE(2025,7,4)), (SWITCH(weekday(AV$4), 1, 0, 2, if(ISBLANK('2025'!$P468), 0, 1), 3, if(ISBLANK('2025'!$Q468), 0, 1), 4, if(ISBLANK('2025'!$R468), 0, 1), 5, if(ISBLANK('2025'!$S468), 0, 1), 6, if(ISBLANK('2025'!$T468), 0, 1), 7, 0))), 1, "")</f>
        <v/>
      </c>
      <c r="AW505" s="1" t="str">
        <f>IF(AND(AND(AND(AW$4&gt;='2025'!$L468,AW$4&lt;='2025'!$M468), AW$4&lt;&gt;DATE(2025,7,4)), (SWITCH(weekday(AW$4), 1, 0, 2, if(ISBLANK('2025'!$P468), 0, 1), 3, if(ISBLANK('2025'!$Q468), 0, 1), 4, if(ISBLANK('2025'!$R468), 0, 1), 5, if(ISBLANK('2025'!$S468), 0, 1), 6, if(ISBLANK('2025'!$T468), 0, 1), 7, 0))), 1, "")</f>
        <v/>
      </c>
      <c r="AX505" s="1" t="str">
        <f>IF(AND(AND(AND(AX$4&gt;='2025'!$L468,AX$4&lt;='2025'!$M468), AX$4&lt;&gt;DATE(2025,7,4)), (SWITCH(weekday(AX$4), 1, 0, 2, if(ISBLANK('2025'!$P468), 0, 1), 3, if(ISBLANK('2025'!$Q468), 0, 1), 4, if(ISBLANK('2025'!$R468), 0, 1), 5, if(ISBLANK('2025'!$S468), 0, 1), 6, if(ISBLANK('2025'!$T468), 0, 1), 7, 0))), 1, "")</f>
        <v/>
      </c>
      <c r="AY505" s="1" t="str">
        <f>IF(AND(AND(AND(AY$4&gt;='2025'!$L468,AY$4&lt;='2025'!$M468), AY$4&lt;&gt;DATE(2025,7,4)), (SWITCH(weekday(AY$4), 1, 0, 2, if(ISBLANK('2025'!$P468), 0, 1), 3, if(ISBLANK('2025'!$Q468), 0, 1), 4, if(ISBLANK('2025'!$R468), 0, 1), 5, if(ISBLANK('2025'!$S468), 0, 1), 6, if(ISBLANK('2025'!$T468), 0, 1), 7, 0))), 1, "")</f>
        <v/>
      </c>
      <c r="AZ505" s="1" t="str">
        <f>IF(AND(AND(AND(AZ$4&gt;='2025'!$L468,AZ$4&lt;='2025'!$M468), AZ$4&lt;&gt;DATE(2025,7,4)), (SWITCH(weekday(AZ$4), 1, 0, 2, if(ISBLANK('2025'!$P468), 0, 1), 3, if(ISBLANK('2025'!$Q468), 0, 1), 4, if(ISBLANK('2025'!$R468), 0, 1), 5, if(ISBLANK('2025'!$S468), 0, 1), 6, if(ISBLANK('2025'!$T468), 0, 1), 7, 0))), 1, "")</f>
        <v/>
      </c>
      <c r="BA505" s="1" t="str">
        <f>IF(AND(AND(AND(BA$4&gt;='2025'!$L468,BA$4&lt;='2025'!$M468), BA$4&lt;&gt;DATE(2025,7,4)), (SWITCH(weekday(BA$4), 1, 0, 2, if(ISBLANK('2025'!$P468), 0, 1), 3, if(ISBLANK('2025'!$Q468), 0, 1), 4, if(ISBLANK('2025'!$R468), 0, 1), 5, if(ISBLANK('2025'!$S468), 0, 1), 6, if(ISBLANK('2025'!$T468), 0, 1), 7, 0))), 1, "")</f>
        <v/>
      </c>
      <c r="BB505" s="1" t="str">
        <f>IF(AND(AND(AND(BB$4&gt;='2025'!$L468,BB$4&lt;='2025'!$M468), BB$4&lt;&gt;DATE(2025,7,4)), (SWITCH(weekday(BB$4), 1, 0, 2, if(ISBLANK('2025'!$P468), 0, 1), 3, if(ISBLANK('2025'!$Q468), 0, 1), 4, if(ISBLANK('2025'!$R468), 0, 1), 5, if(ISBLANK('2025'!$S468), 0, 1), 6, if(ISBLANK('2025'!$T468), 0, 1), 7, 0))), 1, "")</f>
        <v/>
      </c>
      <c r="BC505" s="1" t="str">
        <f>IF(AND(AND(AND(BC$4&gt;='2025'!$L468,BC$4&lt;='2025'!$M468), BC$4&lt;&gt;DATE(2025,7,4)), (SWITCH(weekday(BC$4), 1, 0, 2, if(ISBLANK('2025'!$P468), 0, 1), 3, if(ISBLANK('2025'!$Q468), 0, 1), 4, if(ISBLANK('2025'!$R468), 0, 1), 5, if(ISBLANK('2025'!$S468), 0, 1), 6, if(ISBLANK('2025'!$T468), 0, 1), 7, 0))), 1, "")</f>
        <v/>
      </c>
      <c r="BD505" s="1" t="str">
        <f>IF(AND(AND(AND(BD$4&gt;='2025'!$L468,BD$4&lt;='2025'!$M468), BD$4&lt;&gt;DATE(2025,7,4)), (SWITCH(weekday(BD$4), 1, 0, 2, if(ISBLANK('2025'!$P468), 0, 1), 3, if(ISBLANK('2025'!$Q468), 0, 1), 4, if(ISBLANK('2025'!$R468), 0, 1), 5, if(ISBLANK('2025'!$S468), 0, 1), 6, if(ISBLANK('2025'!$T468), 0, 1), 7, 0))), 1, "")</f>
        <v/>
      </c>
      <c r="BE505" s="1" t="str">
        <f>IF(AND(AND(AND(BE$4&gt;='2025'!$L468,BE$4&lt;='2025'!$M468), BE$4&lt;&gt;DATE(2025,7,4)), (SWITCH(weekday(BE$4), 1, 0, 2, if(ISBLANK('2025'!$P468), 0, 1), 3, if(ISBLANK('2025'!$Q468), 0, 1), 4, if(ISBLANK('2025'!$R468), 0, 1), 5, if(ISBLANK('2025'!$S468), 0, 1), 6, if(ISBLANK('2025'!$T468), 0, 1), 7, 0))), 1, "")</f>
        <v/>
      </c>
    </row>
    <row r="506">
      <c r="A506" s="1">
        <f t="shared" si="3"/>
        <v>506</v>
      </c>
      <c r="B506" s="1" t="str">
        <f>'2025'!D469</f>
        <v/>
      </c>
      <c r="C506" s="1" t="str">
        <f>'2025'!H469</f>
        <v/>
      </c>
      <c r="D506" s="1" t="str">
        <f>IF(AND(AND(AND(D$4&gt;='2025'!$L469,D$4&lt;='2025'!$M469), D$4&lt;&gt;DATE(2025,7,4)), (SWITCH(weekday(D$4), 1, 0, 2, if(ISBLANK('2025'!$P469), 0, 1), 3, if(ISBLANK('2025'!$Q469), 0, 1), 4, if(ISBLANK('2025'!$R469), 0, 1), 5, if(ISBLANK('2025'!$S469), 0, 1), 6, if(ISBLANK('2025'!$T469), 0, 1), 7, 0))), 1, "")</f>
        <v/>
      </c>
      <c r="E506" s="1" t="str">
        <f>IF(AND(AND(AND(E$4&gt;='2025'!$L469,E$4&lt;='2025'!$M469), E$4&lt;&gt;DATE(2025,7,4)), (SWITCH(weekday(E$4), 1, 0, 2, if(ISBLANK('2025'!$P469), 0, 1), 3, if(ISBLANK('2025'!$Q469), 0, 1), 4, if(ISBLANK('2025'!$R469), 0, 1), 5, if(ISBLANK('2025'!$S469), 0, 1), 6, if(ISBLANK('2025'!$T469), 0, 1), 7, 0))), 1, "")</f>
        <v/>
      </c>
      <c r="F506" s="1" t="str">
        <f>IF(AND(AND(AND(F$4&gt;='2025'!$L469,F$4&lt;='2025'!$M469), F$4&lt;&gt;DATE(2025,7,4)), (SWITCH(weekday(F$4), 1, 0, 2, if(ISBLANK('2025'!$P469), 0, 1), 3, if(ISBLANK('2025'!$Q469), 0, 1), 4, if(ISBLANK('2025'!$R469), 0, 1), 5, if(ISBLANK('2025'!$S469), 0, 1), 6, if(ISBLANK('2025'!$T469), 0, 1), 7, 0))), 1, "")</f>
        <v/>
      </c>
      <c r="G506" s="1" t="str">
        <f>IF(AND(AND(AND(G$4&gt;='2025'!$L469,G$4&lt;='2025'!$M469), G$4&lt;&gt;DATE(2025,7,4)), (SWITCH(weekday(G$4), 1, 0, 2, if(ISBLANK('2025'!$P469), 0, 1), 3, if(ISBLANK('2025'!$Q469), 0, 1), 4, if(ISBLANK('2025'!$R469), 0, 1), 5, if(ISBLANK('2025'!$S469), 0, 1), 6, if(ISBLANK('2025'!$T469), 0, 1), 7, 0))), 1, "")</f>
        <v/>
      </c>
      <c r="H506" s="1" t="str">
        <f>IF(AND(AND(AND(H$4&gt;='2025'!$L469,H$4&lt;='2025'!$M469), H$4&lt;&gt;DATE(2025,7,4)), (SWITCH(weekday(H$4), 1, 0, 2, if(ISBLANK('2025'!$P469), 0, 1), 3, if(ISBLANK('2025'!$Q469), 0, 1), 4, if(ISBLANK('2025'!$R469), 0, 1), 5, if(ISBLANK('2025'!$S469), 0, 1), 6, if(ISBLANK('2025'!$T469), 0, 1), 7, 0))), 1, "")</f>
        <v/>
      </c>
      <c r="I506" s="1" t="str">
        <f>IF(AND(AND(AND(I$4&gt;='2025'!$L469,I$4&lt;='2025'!$M469), I$4&lt;&gt;DATE(2025,7,4)), (SWITCH(weekday(I$4), 1, 0, 2, if(ISBLANK('2025'!$P469), 0, 1), 3, if(ISBLANK('2025'!$Q469), 0, 1), 4, if(ISBLANK('2025'!$R469), 0, 1), 5, if(ISBLANK('2025'!$S469), 0, 1), 6, if(ISBLANK('2025'!$T469), 0, 1), 7, 0))), 1, "")</f>
        <v/>
      </c>
      <c r="J506" s="1" t="str">
        <f>IF(AND(AND(AND(J$4&gt;='2025'!$L469,J$4&lt;='2025'!$M469), J$4&lt;&gt;DATE(2025,7,4)), (SWITCH(weekday(J$4), 1, 0, 2, if(ISBLANK('2025'!$P469), 0, 1), 3, if(ISBLANK('2025'!$Q469), 0, 1), 4, if(ISBLANK('2025'!$R469), 0, 1), 5, if(ISBLANK('2025'!$S469), 0, 1), 6, if(ISBLANK('2025'!$T469), 0, 1), 7, 0))), 1, "")</f>
        <v/>
      </c>
      <c r="K506" s="1" t="str">
        <f>IF(AND(AND(AND(K$4&gt;='2025'!$L469,K$4&lt;='2025'!$M469), K$4&lt;&gt;DATE(2025,7,4)), (SWITCH(weekday(K$4), 1, 0, 2, if(ISBLANK('2025'!$P469), 0, 1), 3, if(ISBLANK('2025'!$Q469), 0, 1), 4, if(ISBLANK('2025'!$R469), 0, 1), 5, if(ISBLANK('2025'!$S469), 0, 1), 6, if(ISBLANK('2025'!$T469), 0, 1), 7, 0))), 1, "")</f>
        <v/>
      </c>
      <c r="L506" s="1" t="str">
        <f>IF(AND(AND(AND(L$4&gt;='2025'!$L469,L$4&lt;='2025'!$M469), L$4&lt;&gt;DATE(2025,7,4)), (SWITCH(weekday(L$4), 1, 0, 2, if(ISBLANK('2025'!$P469), 0, 1), 3, if(ISBLANK('2025'!$Q469), 0, 1), 4, if(ISBLANK('2025'!$R469), 0, 1), 5, if(ISBLANK('2025'!$S469), 0, 1), 6, if(ISBLANK('2025'!$T469), 0, 1), 7, 0))), 1, "")</f>
        <v/>
      </c>
      <c r="M506" s="1" t="str">
        <f>IF(AND(AND(AND(M$4&gt;='2025'!$L469,M$4&lt;='2025'!$M469), M$4&lt;&gt;DATE(2025,7,4)), (SWITCH(weekday(M$4), 1, 0, 2, if(ISBLANK('2025'!$P469), 0, 1), 3, if(ISBLANK('2025'!$Q469), 0, 1), 4, if(ISBLANK('2025'!$R469), 0, 1), 5, if(ISBLANK('2025'!$S469), 0, 1), 6, if(ISBLANK('2025'!$T469), 0, 1), 7, 0))), 1, "")</f>
        <v/>
      </c>
      <c r="N506" s="1" t="str">
        <f>IF(AND(AND(AND(N$4&gt;='2025'!$L469,N$4&lt;='2025'!$M469), N$4&lt;&gt;DATE(2025,7,4)), (SWITCH(weekday(N$4), 1, 0, 2, if(ISBLANK('2025'!$P469), 0, 1), 3, if(ISBLANK('2025'!$Q469), 0, 1), 4, if(ISBLANK('2025'!$R469), 0, 1), 5, if(ISBLANK('2025'!$S469), 0, 1), 6, if(ISBLANK('2025'!$T469), 0, 1), 7, 0))), 1, "")</f>
        <v/>
      </c>
      <c r="O506" s="1" t="str">
        <f>IF(AND(AND(AND(O$4&gt;='2025'!$L469,O$4&lt;='2025'!$M469), O$4&lt;&gt;DATE(2025,7,4)), (SWITCH(weekday(O$4), 1, 0, 2, if(ISBLANK('2025'!$P469), 0, 1), 3, if(ISBLANK('2025'!$Q469), 0, 1), 4, if(ISBLANK('2025'!$R469), 0, 1), 5, if(ISBLANK('2025'!$S469), 0, 1), 6, if(ISBLANK('2025'!$T469), 0, 1), 7, 0))), 1, "")</f>
        <v/>
      </c>
      <c r="P506" s="1" t="str">
        <f>IF(AND(AND(AND(P$4&gt;='2025'!$L469,P$4&lt;='2025'!$M469), P$4&lt;&gt;DATE(2025,7,4)), (SWITCH(weekday(P$4), 1, 0, 2, if(ISBLANK('2025'!$P469), 0, 1), 3, if(ISBLANK('2025'!$Q469), 0, 1), 4, if(ISBLANK('2025'!$R469), 0, 1), 5, if(ISBLANK('2025'!$S469), 0, 1), 6, if(ISBLANK('2025'!$T469), 0, 1), 7, 0))), 1, "")</f>
        <v/>
      </c>
      <c r="Q506" s="1" t="str">
        <f>IF(AND(AND(AND(Q$4&gt;='2025'!$L469,Q$4&lt;='2025'!$M469), Q$4&lt;&gt;DATE(2025,7,4)), (SWITCH(weekday(Q$4), 1, 0, 2, if(ISBLANK('2025'!$P469), 0, 1), 3, if(ISBLANK('2025'!$Q469), 0, 1), 4, if(ISBLANK('2025'!$R469), 0, 1), 5, if(ISBLANK('2025'!$S469), 0, 1), 6, if(ISBLANK('2025'!$T469), 0, 1), 7, 0))), 1, "")</f>
        <v/>
      </c>
      <c r="R506" s="1" t="str">
        <f>IF(AND(AND(AND(R$4&gt;='2025'!$L469,R$4&lt;='2025'!$M469), R$4&lt;&gt;DATE(2025,7,4)), (SWITCH(weekday(R$4), 1, 0, 2, if(ISBLANK('2025'!$P469), 0, 1), 3, if(ISBLANK('2025'!$Q469), 0, 1), 4, if(ISBLANK('2025'!$R469), 0, 1), 5, if(ISBLANK('2025'!$S469), 0, 1), 6, if(ISBLANK('2025'!$T469), 0, 1), 7, 0))), 1, "")</f>
        <v/>
      </c>
      <c r="S506" s="1" t="str">
        <f>IF(AND(AND(AND(S$4&gt;='2025'!$L469,S$4&lt;='2025'!$M469), S$4&lt;&gt;DATE(2025,7,4)), (SWITCH(weekday(S$4), 1, 0, 2, if(ISBLANK('2025'!$P469), 0, 1), 3, if(ISBLANK('2025'!$Q469), 0, 1), 4, if(ISBLANK('2025'!$R469), 0, 1), 5, if(ISBLANK('2025'!$S469), 0, 1), 6, if(ISBLANK('2025'!$T469), 0, 1), 7, 0))), 1, "")</f>
        <v/>
      </c>
      <c r="T506" s="1" t="str">
        <f>IF(AND(AND(AND(T$4&gt;='2025'!$L469,T$4&lt;='2025'!$M469), T$4&lt;&gt;DATE(2025,7,4)), (SWITCH(weekday(T$4), 1, 0, 2, if(ISBLANK('2025'!$P469), 0, 1), 3, if(ISBLANK('2025'!$Q469), 0, 1), 4, if(ISBLANK('2025'!$R469), 0, 1), 5, if(ISBLANK('2025'!$S469), 0, 1), 6, if(ISBLANK('2025'!$T469), 0, 1), 7, 0))), 1, "")</f>
        <v/>
      </c>
      <c r="U506" s="1" t="str">
        <f>IF(AND(AND(AND(U$4&gt;='2025'!$L469,U$4&lt;='2025'!$M469), U$4&lt;&gt;DATE(2025,7,4)), (SWITCH(weekday(U$4), 1, 0, 2, if(ISBLANK('2025'!$P469), 0, 1), 3, if(ISBLANK('2025'!$Q469), 0, 1), 4, if(ISBLANK('2025'!$R469), 0, 1), 5, if(ISBLANK('2025'!$S469), 0, 1), 6, if(ISBLANK('2025'!$T469), 0, 1), 7, 0))), 1, "")</f>
        <v/>
      </c>
      <c r="V506" s="1" t="str">
        <f>IF(AND(AND(AND(V$4&gt;='2025'!$L469,V$4&lt;='2025'!$M469), V$4&lt;&gt;DATE(2025,7,4)), (SWITCH(weekday(V$4), 1, 0, 2, if(ISBLANK('2025'!$P469), 0, 1), 3, if(ISBLANK('2025'!$Q469), 0, 1), 4, if(ISBLANK('2025'!$R469), 0, 1), 5, if(ISBLANK('2025'!$S469), 0, 1), 6, if(ISBLANK('2025'!$T469), 0, 1), 7, 0))), 1, "")</f>
        <v/>
      </c>
      <c r="W506" s="1" t="str">
        <f>IF(AND(AND(AND(W$4&gt;='2025'!$L469,W$4&lt;='2025'!$M469), W$4&lt;&gt;DATE(2025,7,4)), (SWITCH(weekday(W$4), 1, 0, 2, if(ISBLANK('2025'!$P469), 0, 1), 3, if(ISBLANK('2025'!$Q469), 0, 1), 4, if(ISBLANK('2025'!$R469), 0, 1), 5, if(ISBLANK('2025'!$S469), 0, 1), 6, if(ISBLANK('2025'!$T469), 0, 1), 7, 0))), 1, "")</f>
        <v/>
      </c>
      <c r="X506" s="1" t="str">
        <f>IF(AND(AND(AND(X$4&gt;='2025'!$L469,X$4&lt;='2025'!$M469), X$4&lt;&gt;DATE(2025,7,4)), (SWITCH(weekday(X$4), 1, 0, 2, if(ISBLANK('2025'!$P469), 0, 1), 3, if(ISBLANK('2025'!$Q469), 0, 1), 4, if(ISBLANK('2025'!$R469), 0, 1), 5, if(ISBLANK('2025'!$S469), 0, 1), 6, if(ISBLANK('2025'!$T469), 0, 1), 7, 0))), 1, "")</f>
        <v/>
      </c>
      <c r="Y506" s="1" t="str">
        <f>IF(AND(AND(AND(Y$4&gt;='2025'!$L469,Y$4&lt;='2025'!$M469), Y$4&lt;&gt;DATE(2025,7,4)), (SWITCH(weekday(Y$4), 1, 0, 2, if(ISBLANK('2025'!$P469), 0, 1), 3, if(ISBLANK('2025'!$Q469), 0, 1), 4, if(ISBLANK('2025'!$R469), 0, 1), 5, if(ISBLANK('2025'!$S469), 0, 1), 6, if(ISBLANK('2025'!$T469), 0, 1), 7, 0))), 1, "")</f>
        <v/>
      </c>
      <c r="Z506" s="1" t="str">
        <f>IF(AND(AND(AND(Z$4&gt;='2025'!$L469,Z$4&lt;='2025'!$M469), Z$4&lt;&gt;DATE(2025,7,4)), (SWITCH(weekday(Z$4), 1, 0, 2, if(ISBLANK('2025'!$P469), 0, 1), 3, if(ISBLANK('2025'!$Q469), 0, 1), 4, if(ISBLANK('2025'!$R469), 0, 1), 5, if(ISBLANK('2025'!$S469), 0, 1), 6, if(ISBLANK('2025'!$T469), 0, 1), 7, 0))), 1, "")</f>
        <v/>
      </c>
      <c r="AA506" s="1" t="str">
        <f>IF(AND(AND(AND(AA$4&gt;='2025'!$L469,AA$4&lt;='2025'!$M469), AA$4&lt;&gt;DATE(2025,7,4)), (SWITCH(weekday(AA$4), 1, 0, 2, if(ISBLANK('2025'!$P469), 0, 1), 3, if(ISBLANK('2025'!$Q469), 0, 1), 4, if(ISBLANK('2025'!$R469), 0, 1), 5, if(ISBLANK('2025'!$S469), 0, 1), 6, if(ISBLANK('2025'!$T469), 0, 1), 7, 0))), 1, "")</f>
        <v/>
      </c>
      <c r="AB506" s="1" t="str">
        <f>IF(AND(AND(AND(AB$4&gt;='2025'!$L469,AB$4&lt;='2025'!$M469), AB$4&lt;&gt;DATE(2025,7,4)), (SWITCH(weekday(AB$4), 1, 0, 2, if(ISBLANK('2025'!$P469), 0, 1), 3, if(ISBLANK('2025'!$Q469), 0, 1), 4, if(ISBLANK('2025'!$R469), 0, 1), 5, if(ISBLANK('2025'!$S469), 0, 1), 6, if(ISBLANK('2025'!$T469), 0, 1), 7, 0))), 1, "")</f>
        <v/>
      </c>
      <c r="AC506" s="1" t="str">
        <f>IF(AND(AND(AND(AC$4&gt;='2025'!$L469,AC$4&lt;='2025'!$M469), AC$4&lt;&gt;DATE(2025,7,4)), (SWITCH(weekday(AC$4), 1, 0, 2, if(ISBLANK('2025'!$P469), 0, 1), 3, if(ISBLANK('2025'!$Q469), 0, 1), 4, if(ISBLANK('2025'!$R469), 0, 1), 5, if(ISBLANK('2025'!$S469), 0, 1), 6, if(ISBLANK('2025'!$T469), 0, 1), 7, 0))), 1, "")</f>
        <v/>
      </c>
      <c r="AD506" s="1" t="str">
        <f>IF(AND(AND(AND(AD$4&gt;='2025'!$L469,AD$4&lt;='2025'!$M469), AD$4&lt;&gt;DATE(2025,7,4)), (SWITCH(weekday(AD$4), 1, 0, 2, if(ISBLANK('2025'!$P469), 0, 1), 3, if(ISBLANK('2025'!$Q469), 0, 1), 4, if(ISBLANK('2025'!$R469), 0, 1), 5, if(ISBLANK('2025'!$S469), 0, 1), 6, if(ISBLANK('2025'!$T469), 0, 1), 7, 0))), 1, "")</f>
        <v/>
      </c>
      <c r="AE506" s="1" t="str">
        <f>IF(AND(AND(AND(AE$4&gt;='2025'!$L469,AE$4&lt;='2025'!$M469), AE$4&lt;&gt;DATE(2025,7,4)), (SWITCH(weekday(AE$4), 1, 0, 2, if(ISBLANK('2025'!$P469), 0, 1), 3, if(ISBLANK('2025'!$Q469), 0, 1), 4, if(ISBLANK('2025'!$R469), 0, 1), 5, if(ISBLANK('2025'!$S469), 0, 1), 6, if(ISBLANK('2025'!$T469), 0, 1), 7, 0))), 1, "")</f>
        <v/>
      </c>
      <c r="AF506" s="1" t="str">
        <f>IF(AND(AND(AND(AF$4&gt;='2025'!$L469,AF$4&lt;='2025'!$M469), AF$4&lt;&gt;DATE(2025,7,4)), (SWITCH(weekday(AF$4), 1, 0, 2, if(ISBLANK('2025'!$P469), 0, 1), 3, if(ISBLANK('2025'!$Q469), 0, 1), 4, if(ISBLANK('2025'!$R469), 0, 1), 5, if(ISBLANK('2025'!$S469), 0, 1), 6, if(ISBLANK('2025'!$T469), 0, 1), 7, 0))), 1, "")</f>
        <v/>
      </c>
      <c r="AG506" s="1" t="str">
        <f>IF(AND(AND(AND(AG$4&gt;='2025'!$L469,AG$4&lt;='2025'!$M469), AG$4&lt;&gt;DATE(2025,7,4)), (SWITCH(weekday(AG$4), 1, 0, 2, if(ISBLANK('2025'!$P469), 0, 1), 3, if(ISBLANK('2025'!$Q469), 0, 1), 4, if(ISBLANK('2025'!$R469), 0, 1), 5, if(ISBLANK('2025'!$S469), 0, 1), 6, if(ISBLANK('2025'!$T469), 0, 1), 7, 0))), 1, "")</f>
        <v/>
      </c>
      <c r="AH506" s="1" t="str">
        <f>IF(AND(AND(AND(AH$4&gt;='2025'!$L469,AH$4&lt;='2025'!$M469), AH$4&lt;&gt;DATE(2025,7,4)), (SWITCH(weekday(AH$4), 1, 0, 2, if(ISBLANK('2025'!$P469), 0, 1), 3, if(ISBLANK('2025'!$Q469), 0, 1), 4, if(ISBLANK('2025'!$R469), 0, 1), 5, if(ISBLANK('2025'!$S469), 0, 1), 6, if(ISBLANK('2025'!$T469), 0, 1), 7, 0))), 1, "")</f>
        <v/>
      </c>
      <c r="AI506" s="1" t="str">
        <f>IF(AND(AND(AND(AI$4&gt;='2025'!$L469,AI$4&lt;='2025'!$M469), AI$4&lt;&gt;DATE(2025,7,4)), (SWITCH(weekday(AI$4), 1, 0, 2, if(ISBLANK('2025'!$P469), 0, 1), 3, if(ISBLANK('2025'!$Q469), 0, 1), 4, if(ISBLANK('2025'!$R469), 0, 1), 5, if(ISBLANK('2025'!$S469), 0, 1), 6, if(ISBLANK('2025'!$T469), 0, 1), 7, 0))), 1, "")</f>
        <v/>
      </c>
      <c r="AJ506" s="1" t="str">
        <f>IF(AND(AND(AND(AJ$4&gt;='2025'!$L469,AJ$4&lt;='2025'!$M469), AJ$4&lt;&gt;DATE(2025,7,4)), (SWITCH(weekday(AJ$4), 1, 0, 2, if(ISBLANK('2025'!$P469), 0, 1), 3, if(ISBLANK('2025'!$Q469), 0, 1), 4, if(ISBLANK('2025'!$R469), 0, 1), 5, if(ISBLANK('2025'!$S469), 0, 1), 6, if(ISBLANK('2025'!$T469), 0, 1), 7, 0))), 1, "")</f>
        <v/>
      </c>
      <c r="AK506" s="1" t="str">
        <f>IF(AND(AND(AND(AK$4&gt;='2025'!$L469,AK$4&lt;='2025'!$M469), AK$4&lt;&gt;DATE(2025,7,4)), (SWITCH(weekday(AK$4), 1, 0, 2, if(ISBLANK('2025'!$P469), 0, 1), 3, if(ISBLANK('2025'!$Q469), 0, 1), 4, if(ISBLANK('2025'!$R469), 0, 1), 5, if(ISBLANK('2025'!$S469), 0, 1), 6, if(ISBLANK('2025'!$T469), 0, 1), 7, 0))), 1, "")</f>
        <v/>
      </c>
      <c r="AL506" s="1" t="str">
        <f>IF(AND(AND(AND(AL$4&gt;='2025'!$L469,AL$4&lt;='2025'!$M469), AL$4&lt;&gt;DATE(2025,7,4)), (SWITCH(weekday(AL$4), 1, 0, 2, if(ISBLANK('2025'!$P469), 0, 1), 3, if(ISBLANK('2025'!$Q469), 0, 1), 4, if(ISBLANK('2025'!$R469), 0, 1), 5, if(ISBLANK('2025'!$S469), 0, 1), 6, if(ISBLANK('2025'!$T469), 0, 1), 7, 0))), 1, "")</f>
        <v/>
      </c>
      <c r="AM506" s="1" t="str">
        <f>IF(AND(AND(AND(AM$4&gt;='2025'!$L469,AM$4&lt;='2025'!$M469), AM$4&lt;&gt;DATE(2025,7,4)), (SWITCH(weekday(AM$4), 1, 0, 2, if(ISBLANK('2025'!$P469), 0, 1), 3, if(ISBLANK('2025'!$Q469), 0, 1), 4, if(ISBLANK('2025'!$R469), 0, 1), 5, if(ISBLANK('2025'!$S469), 0, 1), 6, if(ISBLANK('2025'!$T469), 0, 1), 7, 0))), 1, "")</f>
        <v/>
      </c>
      <c r="AN506" s="1" t="str">
        <f>IF(AND(AND(AND(AN$4&gt;='2025'!$L469,AN$4&lt;='2025'!$M469), AN$4&lt;&gt;DATE(2025,7,4)), (SWITCH(weekday(AN$4), 1, 0, 2, if(ISBLANK('2025'!$P469), 0, 1), 3, if(ISBLANK('2025'!$Q469), 0, 1), 4, if(ISBLANK('2025'!$R469), 0, 1), 5, if(ISBLANK('2025'!$S469), 0, 1), 6, if(ISBLANK('2025'!$T469), 0, 1), 7, 0))), 1, "")</f>
        <v/>
      </c>
      <c r="AO506" s="1" t="str">
        <f>IF(AND(AND(AND(AO$4&gt;='2025'!$L469,AO$4&lt;='2025'!$M469), AO$4&lt;&gt;DATE(2025,7,4)), (SWITCH(weekday(AO$4), 1, 0, 2, if(ISBLANK('2025'!$P469), 0, 1), 3, if(ISBLANK('2025'!$Q469), 0, 1), 4, if(ISBLANK('2025'!$R469), 0, 1), 5, if(ISBLANK('2025'!$S469), 0, 1), 6, if(ISBLANK('2025'!$T469), 0, 1), 7, 0))), 1, "")</f>
        <v/>
      </c>
      <c r="AP506" s="1" t="str">
        <f>IF(AND(AND(AND(AP$4&gt;='2025'!$L469,AP$4&lt;='2025'!$M469), AP$4&lt;&gt;DATE(2025,7,4)), (SWITCH(weekday(AP$4), 1, 0, 2, if(ISBLANK('2025'!$P469), 0, 1), 3, if(ISBLANK('2025'!$Q469), 0, 1), 4, if(ISBLANK('2025'!$R469), 0, 1), 5, if(ISBLANK('2025'!$S469), 0, 1), 6, if(ISBLANK('2025'!$T469), 0, 1), 7, 0))), 1, "")</f>
        <v/>
      </c>
      <c r="AQ506" s="1" t="str">
        <f>IF(AND(AND(AND(AQ$4&gt;='2025'!$L469,AQ$4&lt;='2025'!$M469), AQ$4&lt;&gt;DATE(2025,7,4)), (SWITCH(weekday(AQ$4), 1, 0, 2, if(ISBLANK('2025'!$P469), 0, 1), 3, if(ISBLANK('2025'!$Q469), 0, 1), 4, if(ISBLANK('2025'!$R469), 0, 1), 5, if(ISBLANK('2025'!$S469), 0, 1), 6, if(ISBLANK('2025'!$T469), 0, 1), 7, 0))), 1, "")</f>
        <v/>
      </c>
      <c r="AR506" s="1" t="str">
        <f>IF(AND(AND(AND(AR$4&gt;='2025'!$L469,AR$4&lt;='2025'!$M469), AR$4&lt;&gt;DATE(2025,7,4)), (SWITCH(weekday(AR$4), 1, 0, 2, if(ISBLANK('2025'!$P469), 0, 1), 3, if(ISBLANK('2025'!$Q469), 0, 1), 4, if(ISBLANK('2025'!$R469), 0, 1), 5, if(ISBLANK('2025'!$S469), 0, 1), 6, if(ISBLANK('2025'!$T469), 0, 1), 7, 0))), 1, "")</f>
        <v/>
      </c>
      <c r="AS506" s="1" t="str">
        <f>IF(AND(AND(AND(AS$4&gt;='2025'!$L469,AS$4&lt;='2025'!$M469), AS$4&lt;&gt;DATE(2025,7,4)), (SWITCH(weekday(AS$4), 1, 0, 2, if(ISBLANK('2025'!$P469), 0, 1), 3, if(ISBLANK('2025'!$Q469), 0, 1), 4, if(ISBLANK('2025'!$R469), 0, 1), 5, if(ISBLANK('2025'!$S469), 0, 1), 6, if(ISBLANK('2025'!$T469), 0, 1), 7, 0))), 1, "")</f>
        <v/>
      </c>
      <c r="AT506" s="1" t="str">
        <f>IF(AND(AND(AND(AT$4&gt;='2025'!$L469,AT$4&lt;='2025'!$M469), AT$4&lt;&gt;DATE(2025,7,4)), (SWITCH(weekday(AT$4), 1, 0, 2, if(ISBLANK('2025'!$P469), 0, 1), 3, if(ISBLANK('2025'!$Q469), 0, 1), 4, if(ISBLANK('2025'!$R469), 0, 1), 5, if(ISBLANK('2025'!$S469), 0, 1), 6, if(ISBLANK('2025'!$T469), 0, 1), 7, 0))), 1, "")</f>
        <v/>
      </c>
      <c r="AU506" s="1" t="str">
        <f>IF(AND(AND(AND(AU$4&gt;='2025'!$L469,AU$4&lt;='2025'!$M469), AU$4&lt;&gt;DATE(2025,7,4)), (SWITCH(weekday(AU$4), 1, 0, 2, if(ISBLANK('2025'!$P469), 0, 1), 3, if(ISBLANK('2025'!$Q469), 0, 1), 4, if(ISBLANK('2025'!$R469), 0, 1), 5, if(ISBLANK('2025'!$S469), 0, 1), 6, if(ISBLANK('2025'!$T469), 0, 1), 7, 0))), 1, "")</f>
        <v/>
      </c>
      <c r="AV506" s="1" t="str">
        <f>IF(AND(AND(AND(AV$4&gt;='2025'!$L469,AV$4&lt;='2025'!$M469), AV$4&lt;&gt;DATE(2025,7,4)), (SWITCH(weekday(AV$4), 1, 0, 2, if(ISBLANK('2025'!$P469), 0, 1), 3, if(ISBLANK('2025'!$Q469), 0, 1), 4, if(ISBLANK('2025'!$R469), 0, 1), 5, if(ISBLANK('2025'!$S469), 0, 1), 6, if(ISBLANK('2025'!$T469), 0, 1), 7, 0))), 1, "")</f>
        <v/>
      </c>
      <c r="AW506" s="1" t="str">
        <f>IF(AND(AND(AND(AW$4&gt;='2025'!$L469,AW$4&lt;='2025'!$M469), AW$4&lt;&gt;DATE(2025,7,4)), (SWITCH(weekday(AW$4), 1, 0, 2, if(ISBLANK('2025'!$P469), 0, 1), 3, if(ISBLANK('2025'!$Q469), 0, 1), 4, if(ISBLANK('2025'!$R469), 0, 1), 5, if(ISBLANK('2025'!$S469), 0, 1), 6, if(ISBLANK('2025'!$T469), 0, 1), 7, 0))), 1, "")</f>
        <v/>
      </c>
      <c r="AX506" s="1" t="str">
        <f>IF(AND(AND(AND(AX$4&gt;='2025'!$L469,AX$4&lt;='2025'!$M469), AX$4&lt;&gt;DATE(2025,7,4)), (SWITCH(weekday(AX$4), 1, 0, 2, if(ISBLANK('2025'!$P469), 0, 1), 3, if(ISBLANK('2025'!$Q469), 0, 1), 4, if(ISBLANK('2025'!$R469), 0, 1), 5, if(ISBLANK('2025'!$S469), 0, 1), 6, if(ISBLANK('2025'!$T469), 0, 1), 7, 0))), 1, "")</f>
        <v/>
      </c>
      <c r="AY506" s="1" t="str">
        <f>IF(AND(AND(AND(AY$4&gt;='2025'!$L469,AY$4&lt;='2025'!$M469), AY$4&lt;&gt;DATE(2025,7,4)), (SWITCH(weekday(AY$4), 1, 0, 2, if(ISBLANK('2025'!$P469), 0, 1), 3, if(ISBLANK('2025'!$Q469), 0, 1), 4, if(ISBLANK('2025'!$R469), 0, 1), 5, if(ISBLANK('2025'!$S469), 0, 1), 6, if(ISBLANK('2025'!$T469), 0, 1), 7, 0))), 1, "")</f>
        <v/>
      </c>
      <c r="AZ506" s="1" t="str">
        <f>IF(AND(AND(AND(AZ$4&gt;='2025'!$L469,AZ$4&lt;='2025'!$M469), AZ$4&lt;&gt;DATE(2025,7,4)), (SWITCH(weekday(AZ$4), 1, 0, 2, if(ISBLANK('2025'!$P469), 0, 1), 3, if(ISBLANK('2025'!$Q469), 0, 1), 4, if(ISBLANK('2025'!$R469), 0, 1), 5, if(ISBLANK('2025'!$S469), 0, 1), 6, if(ISBLANK('2025'!$T469), 0, 1), 7, 0))), 1, "")</f>
        <v/>
      </c>
      <c r="BA506" s="1" t="str">
        <f>IF(AND(AND(AND(BA$4&gt;='2025'!$L469,BA$4&lt;='2025'!$M469), BA$4&lt;&gt;DATE(2025,7,4)), (SWITCH(weekday(BA$4), 1, 0, 2, if(ISBLANK('2025'!$P469), 0, 1), 3, if(ISBLANK('2025'!$Q469), 0, 1), 4, if(ISBLANK('2025'!$R469), 0, 1), 5, if(ISBLANK('2025'!$S469), 0, 1), 6, if(ISBLANK('2025'!$T469), 0, 1), 7, 0))), 1, "")</f>
        <v/>
      </c>
      <c r="BB506" s="1" t="str">
        <f>IF(AND(AND(AND(BB$4&gt;='2025'!$L469,BB$4&lt;='2025'!$M469), BB$4&lt;&gt;DATE(2025,7,4)), (SWITCH(weekday(BB$4), 1, 0, 2, if(ISBLANK('2025'!$P469), 0, 1), 3, if(ISBLANK('2025'!$Q469), 0, 1), 4, if(ISBLANK('2025'!$R469), 0, 1), 5, if(ISBLANK('2025'!$S469), 0, 1), 6, if(ISBLANK('2025'!$T469), 0, 1), 7, 0))), 1, "")</f>
        <v/>
      </c>
      <c r="BC506" s="1" t="str">
        <f>IF(AND(AND(AND(BC$4&gt;='2025'!$L469,BC$4&lt;='2025'!$M469), BC$4&lt;&gt;DATE(2025,7,4)), (SWITCH(weekday(BC$4), 1, 0, 2, if(ISBLANK('2025'!$P469), 0, 1), 3, if(ISBLANK('2025'!$Q469), 0, 1), 4, if(ISBLANK('2025'!$R469), 0, 1), 5, if(ISBLANK('2025'!$S469), 0, 1), 6, if(ISBLANK('2025'!$T469), 0, 1), 7, 0))), 1, "")</f>
        <v/>
      </c>
      <c r="BD506" s="1" t="str">
        <f>IF(AND(AND(AND(BD$4&gt;='2025'!$L469,BD$4&lt;='2025'!$M469), BD$4&lt;&gt;DATE(2025,7,4)), (SWITCH(weekday(BD$4), 1, 0, 2, if(ISBLANK('2025'!$P469), 0, 1), 3, if(ISBLANK('2025'!$Q469), 0, 1), 4, if(ISBLANK('2025'!$R469), 0, 1), 5, if(ISBLANK('2025'!$S469), 0, 1), 6, if(ISBLANK('2025'!$T469), 0, 1), 7, 0))), 1, "")</f>
        <v/>
      </c>
      <c r="BE506" s="1" t="str">
        <f>IF(AND(AND(AND(BE$4&gt;='2025'!$L469,BE$4&lt;='2025'!$M469), BE$4&lt;&gt;DATE(2025,7,4)), (SWITCH(weekday(BE$4), 1, 0, 2, if(ISBLANK('2025'!$P469), 0, 1), 3, if(ISBLANK('2025'!$Q469), 0, 1), 4, if(ISBLANK('2025'!$R469), 0, 1), 5, if(ISBLANK('2025'!$S469), 0, 1), 6, if(ISBLANK('2025'!$T469), 0, 1), 7, 0))), 1, "")</f>
        <v/>
      </c>
    </row>
    <row r="507">
      <c r="A507" s="1">
        <f t="shared" si="3"/>
        <v>507</v>
      </c>
      <c r="B507" s="1" t="str">
        <f>'2025'!D470</f>
        <v/>
      </c>
      <c r="C507" s="1" t="str">
        <f>'2025'!H470</f>
        <v/>
      </c>
      <c r="D507" s="1" t="str">
        <f>IF(AND(AND(AND(D$4&gt;='2025'!$L470,D$4&lt;='2025'!$M470), D$4&lt;&gt;DATE(2025,7,4)), (SWITCH(weekday(D$4), 1, 0, 2, if(ISBLANK('2025'!$P470), 0, 1), 3, if(ISBLANK('2025'!$Q470), 0, 1), 4, if(ISBLANK('2025'!$R470), 0, 1), 5, if(ISBLANK('2025'!$S470), 0, 1), 6, if(ISBLANK('2025'!$T470), 0, 1), 7, 0))), 1, "")</f>
        <v/>
      </c>
      <c r="E507" s="1" t="str">
        <f>IF(AND(AND(AND(E$4&gt;='2025'!$L470,E$4&lt;='2025'!$M470), E$4&lt;&gt;DATE(2025,7,4)), (SWITCH(weekday(E$4), 1, 0, 2, if(ISBLANK('2025'!$P470), 0, 1), 3, if(ISBLANK('2025'!$Q470), 0, 1), 4, if(ISBLANK('2025'!$R470), 0, 1), 5, if(ISBLANK('2025'!$S470), 0, 1), 6, if(ISBLANK('2025'!$T470), 0, 1), 7, 0))), 1, "")</f>
        <v/>
      </c>
      <c r="F507" s="1" t="str">
        <f>IF(AND(AND(AND(F$4&gt;='2025'!$L470,F$4&lt;='2025'!$M470), F$4&lt;&gt;DATE(2025,7,4)), (SWITCH(weekday(F$4), 1, 0, 2, if(ISBLANK('2025'!$P470), 0, 1), 3, if(ISBLANK('2025'!$Q470), 0, 1), 4, if(ISBLANK('2025'!$R470), 0, 1), 5, if(ISBLANK('2025'!$S470), 0, 1), 6, if(ISBLANK('2025'!$T470), 0, 1), 7, 0))), 1, "")</f>
        <v/>
      </c>
      <c r="G507" s="1" t="str">
        <f>IF(AND(AND(AND(G$4&gt;='2025'!$L470,G$4&lt;='2025'!$M470), G$4&lt;&gt;DATE(2025,7,4)), (SWITCH(weekday(G$4), 1, 0, 2, if(ISBLANK('2025'!$P470), 0, 1), 3, if(ISBLANK('2025'!$Q470), 0, 1), 4, if(ISBLANK('2025'!$R470), 0, 1), 5, if(ISBLANK('2025'!$S470), 0, 1), 6, if(ISBLANK('2025'!$T470), 0, 1), 7, 0))), 1, "")</f>
        <v/>
      </c>
      <c r="H507" s="1" t="str">
        <f>IF(AND(AND(AND(H$4&gt;='2025'!$L470,H$4&lt;='2025'!$M470), H$4&lt;&gt;DATE(2025,7,4)), (SWITCH(weekday(H$4), 1, 0, 2, if(ISBLANK('2025'!$P470), 0, 1), 3, if(ISBLANK('2025'!$Q470), 0, 1), 4, if(ISBLANK('2025'!$R470), 0, 1), 5, if(ISBLANK('2025'!$S470), 0, 1), 6, if(ISBLANK('2025'!$T470), 0, 1), 7, 0))), 1, "")</f>
        <v/>
      </c>
      <c r="I507" s="1" t="str">
        <f>IF(AND(AND(AND(I$4&gt;='2025'!$L470,I$4&lt;='2025'!$M470), I$4&lt;&gt;DATE(2025,7,4)), (SWITCH(weekday(I$4), 1, 0, 2, if(ISBLANK('2025'!$P470), 0, 1), 3, if(ISBLANK('2025'!$Q470), 0, 1), 4, if(ISBLANK('2025'!$R470), 0, 1), 5, if(ISBLANK('2025'!$S470), 0, 1), 6, if(ISBLANK('2025'!$T470), 0, 1), 7, 0))), 1, "")</f>
        <v/>
      </c>
      <c r="J507" s="1" t="str">
        <f>IF(AND(AND(AND(J$4&gt;='2025'!$L470,J$4&lt;='2025'!$M470), J$4&lt;&gt;DATE(2025,7,4)), (SWITCH(weekday(J$4), 1, 0, 2, if(ISBLANK('2025'!$P470), 0, 1), 3, if(ISBLANK('2025'!$Q470), 0, 1), 4, if(ISBLANK('2025'!$R470), 0, 1), 5, if(ISBLANK('2025'!$S470), 0, 1), 6, if(ISBLANK('2025'!$T470), 0, 1), 7, 0))), 1, "")</f>
        <v/>
      </c>
      <c r="K507" s="1" t="str">
        <f>IF(AND(AND(AND(K$4&gt;='2025'!$L470,K$4&lt;='2025'!$M470), K$4&lt;&gt;DATE(2025,7,4)), (SWITCH(weekday(K$4), 1, 0, 2, if(ISBLANK('2025'!$P470), 0, 1), 3, if(ISBLANK('2025'!$Q470), 0, 1), 4, if(ISBLANK('2025'!$R470), 0, 1), 5, if(ISBLANK('2025'!$S470), 0, 1), 6, if(ISBLANK('2025'!$T470), 0, 1), 7, 0))), 1, "")</f>
        <v/>
      </c>
      <c r="L507" s="1" t="str">
        <f>IF(AND(AND(AND(L$4&gt;='2025'!$L470,L$4&lt;='2025'!$M470), L$4&lt;&gt;DATE(2025,7,4)), (SWITCH(weekday(L$4), 1, 0, 2, if(ISBLANK('2025'!$P470), 0, 1), 3, if(ISBLANK('2025'!$Q470), 0, 1), 4, if(ISBLANK('2025'!$R470), 0, 1), 5, if(ISBLANK('2025'!$S470), 0, 1), 6, if(ISBLANK('2025'!$T470), 0, 1), 7, 0))), 1, "")</f>
        <v/>
      </c>
      <c r="M507" s="1" t="str">
        <f>IF(AND(AND(AND(M$4&gt;='2025'!$L470,M$4&lt;='2025'!$M470), M$4&lt;&gt;DATE(2025,7,4)), (SWITCH(weekday(M$4), 1, 0, 2, if(ISBLANK('2025'!$P470), 0, 1), 3, if(ISBLANK('2025'!$Q470), 0, 1), 4, if(ISBLANK('2025'!$R470), 0, 1), 5, if(ISBLANK('2025'!$S470), 0, 1), 6, if(ISBLANK('2025'!$T470), 0, 1), 7, 0))), 1, "")</f>
        <v/>
      </c>
      <c r="N507" s="1" t="str">
        <f>IF(AND(AND(AND(N$4&gt;='2025'!$L470,N$4&lt;='2025'!$M470), N$4&lt;&gt;DATE(2025,7,4)), (SWITCH(weekday(N$4), 1, 0, 2, if(ISBLANK('2025'!$P470), 0, 1), 3, if(ISBLANK('2025'!$Q470), 0, 1), 4, if(ISBLANK('2025'!$R470), 0, 1), 5, if(ISBLANK('2025'!$S470), 0, 1), 6, if(ISBLANK('2025'!$T470), 0, 1), 7, 0))), 1, "")</f>
        <v/>
      </c>
      <c r="O507" s="1" t="str">
        <f>IF(AND(AND(AND(O$4&gt;='2025'!$L470,O$4&lt;='2025'!$M470), O$4&lt;&gt;DATE(2025,7,4)), (SWITCH(weekday(O$4), 1, 0, 2, if(ISBLANK('2025'!$P470), 0, 1), 3, if(ISBLANK('2025'!$Q470), 0, 1), 4, if(ISBLANK('2025'!$R470), 0, 1), 5, if(ISBLANK('2025'!$S470), 0, 1), 6, if(ISBLANK('2025'!$T470), 0, 1), 7, 0))), 1, "")</f>
        <v/>
      </c>
      <c r="P507" s="1" t="str">
        <f>IF(AND(AND(AND(P$4&gt;='2025'!$L470,P$4&lt;='2025'!$M470), P$4&lt;&gt;DATE(2025,7,4)), (SWITCH(weekday(P$4), 1, 0, 2, if(ISBLANK('2025'!$P470), 0, 1), 3, if(ISBLANK('2025'!$Q470), 0, 1), 4, if(ISBLANK('2025'!$R470), 0, 1), 5, if(ISBLANK('2025'!$S470), 0, 1), 6, if(ISBLANK('2025'!$T470), 0, 1), 7, 0))), 1, "")</f>
        <v/>
      </c>
      <c r="Q507" s="1" t="str">
        <f>IF(AND(AND(AND(Q$4&gt;='2025'!$L470,Q$4&lt;='2025'!$M470), Q$4&lt;&gt;DATE(2025,7,4)), (SWITCH(weekday(Q$4), 1, 0, 2, if(ISBLANK('2025'!$P470), 0, 1), 3, if(ISBLANK('2025'!$Q470), 0, 1), 4, if(ISBLANK('2025'!$R470), 0, 1), 5, if(ISBLANK('2025'!$S470), 0, 1), 6, if(ISBLANK('2025'!$T470), 0, 1), 7, 0))), 1, "")</f>
        <v/>
      </c>
      <c r="R507" s="1" t="str">
        <f>IF(AND(AND(AND(R$4&gt;='2025'!$L470,R$4&lt;='2025'!$M470), R$4&lt;&gt;DATE(2025,7,4)), (SWITCH(weekday(R$4), 1, 0, 2, if(ISBLANK('2025'!$P470), 0, 1), 3, if(ISBLANK('2025'!$Q470), 0, 1), 4, if(ISBLANK('2025'!$R470), 0, 1), 5, if(ISBLANK('2025'!$S470), 0, 1), 6, if(ISBLANK('2025'!$T470), 0, 1), 7, 0))), 1, "")</f>
        <v/>
      </c>
      <c r="S507" s="1" t="str">
        <f>IF(AND(AND(AND(S$4&gt;='2025'!$L470,S$4&lt;='2025'!$M470), S$4&lt;&gt;DATE(2025,7,4)), (SWITCH(weekday(S$4), 1, 0, 2, if(ISBLANK('2025'!$P470), 0, 1), 3, if(ISBLANK('2025'!$Q470), 0, 1), 4, if(ISBLANK('2025'!$R470), 0, 1), 5, if(ISBLANK('2025'!$S470), 0, 1), 6, if(ISBLANK('2025'!$T470), 0, 1), 7, 0))), 1, "")</f>
        <v/>
      </c>
      <c r="T507" s="1" t="str">
        <f>IF(AND(AND(AND(T$4&gt;='2025'!$L470,T$4&lt;='2025'!$M470), T$4&lt;&gt;DATE(2025,7,4)), (SWITCH(weekday(T$4), 1, 0, 2, if(ISBLANK('2025'!$P470), 0, 1), 3, if(ISBLANK('2025'!$Q470), 0, 1), 4, if(ISBLANK('2025'!$R470), 0, 1), 5, if(ISBLANK('2025'!$S470), 0, 1), 6, if(ISBLANK('2025'!$T470), 0, 1), 7, 0))), 1, "")</f>
        <v/>
      </c>
      <c r="U507" s="1" t="str">
        <f>IF(AND(AND(AND(U$4&gt;='2025'!$L470,U$4&lt;='2025'!$M470), U$4&lt;&gt;DATE(2025,7,4)), (SWITCH(weekday(U$4), 1, 0, 2, if(ISBLANK('2025'!$P470), 0, 1), 3, if(ISBLANK('2025'!$Q470), 0, 1), 4, if(ISBLANK('2025'!$R470), 0, 1), 5, if(ISBLANK('2025'!$S470), 0, 1), 6, if(ISBLANK('2025'!$T470), 0, 1), 7, 0))), 1, "")</f>
        <v/>
      </c>
      <c r="V507" s="1" t="str">
        <f>IF(AND(AND(AND(V$4&gt;='2025'!$L470,V$4&lt;='2025'!$M470), V$4&lt;&gt;DATE(2025,7,4)), (SWITCH(weekday(V$4), 1, 0, 2, if(ISBLANK('2025'!$P470), 0, 1), 3, if(ISBLANK('2025'!$Q470), 0, 1), 4, if(ISBLANK('2025'!$R470), 0, 1), 5, if(ISBLANK('2025'!$S470), 0, 1), 6, if(ISBLANK('2025'!$T470), 0, 1), 7, 0))), 1, "")</f>
        <v/>
      </c>
      <c r="W507" s="1" t="str">
        <f>IF(AND(AND(AND(W$4&gt;='2025'!$L470,W$4&lt;='2025'!$M470), W$4&lt;&gt;DATE(2025,7,4)), (SWITCH(weekday(W$4), 1, 0, 2, if(ISBLANK('2025'!$P470), 0, 1), 3, if(ISBLANK('2025'!$Q470), 0, 1), 4, if(ISBLANK('2025'!$R470), 0, 1), 5, if(ISBLANK('2025'!$S470), 0, 1), 6, if(ISBLANK('2025'!$T470), 0, 1), 7, 0))), 1, "")</f>
        <v/>
      </c>
      <c r="X507" s="1" t="str">
        <f>IF(AND(AND(AND(X$4&gt;='2025'!$L470,X$4&lt;='2025'!$M470), X$4&lt;&gt;DATE(2025,7,4)), (SWITCH(weekday(X$4), 1, 0, 2, if(ISBLANK('2025'!$P470), 0, 1), 3, if(ISBLANK('2025'!$Q470), 0, 1), 4, if(ISBLANK('2025'!$R470), 0, 1), 5, if(ISBLANK('2025'!$S470), 0, 1), 6, if(ISBLANK('2025'!$T470), 0, 1), 7, 0))), 1, "")</f>
        <v/>
      </c>
      <c r="Y507" s="1" t="str">
        <f>IF(AND(AND(AND(Y$4&gt;='2025'!$L470,Y$4&lt;='2025'!$M470), Y$4&lt;&gt;DATE(2025,7,4)), (SWITCH(weekday(Y$4), 1, 0, 2, if(ISBLANK('2025'!$P470), 0, 1), 3, if(ISBLANK('2025'!$Q470), 0, 1), 4, if(ISBLANK('2025'!$R470), 0, 1), 5, if(ISBLANK('2025'!$S470), 0, 1), 6, if(ISBLANK('2025'!$T470), 0, 1), 7, 0))), 1, "")</f>
        <v/>
      </c>
      <c r="Z507" s="1" t="str">
        <f>IF(AND(AND(AND(Z$4&gt;='2025'!$L470,Z$4&lt;='2025'!$M470), Z$4&lt;&gt;DATE(2025,7,4)), (SWITCH(weekday(Z$4), 1, 0, 2, if(ISBLANK('2025'!$P470), 0, 1), 3, if(ISBLANK('2025'!$Q470), 0, 1), 4, if(ISBLANK('2025'!$R470), 0, 1), 5, if(ISBLANK('2025'!$S470), 0, 1), 6, if(ISBLANK('2025'!$T470), 0, 1), 7, 0))), 1, "")</f>
        <v/>
      </c>
      <c r="AA507" s="1" t="str">
        <f>IF(AND(AND(AND(AA$4&gt;='2025'!$L470,AA$4&lt;='2025'!$M470), AA$4&lt;&gt;DATE(2025,7,4)), (SWITCH(weekday(AA$4), 1, 0, 2, if(ISBLANK('2025'!$P470), 0, 1), 3, if(ISBLANK('2025'!$Q470), 0, 1), 4, if(ISBLANK('2025'!$R470), 0, 1), 5, if(ISBLANK('2025'!$S470), 0, 1), 6, if(ISBLANK('2025'!$T470), 0, 1), 7, 0))), 1, "")</f>
        <v/>
      </c>
      <c r="AB507" s="1" t="str">
        <f>IF(AND(AND(AND(AB$4&gt;='2025'!$L470,AB$4&lt;='2025'!$M470), AB$4&lt;&gt;DATE(2025,7,4)), (SWITCH(weekday(AB$4), 1, 0, 2, if(ISBLANK('2025'!$P470), 0, 1), 3, if(ISBLANK('2025'!$Q470), 0, 1), 4, if(ISBLANK('2025'!$R470), 0, 1), 5, if(ISBLANK('2025'!$S470), 0, 1), 6, if(ISBLANK('2025'!$T470), 0, 1), 7, 0))), 1, "")</f>
        <v/>
      </c>
      <c r="AC507" s="1" t="str">
        <f>IF(AND(AND(AND(AC$4&gt;='2025'!$L470,AC$4&lt;='2025'!$M470), AC$4&lt;&gt;DATE(2025,7,4)), (SWITCH(weekday(AC$4), 1, 0, 2, if(ISBLANK('2025'!$P470), 0, 1), 3, if(ISBLANK('2025'!$Q470), 0, 1), 4, if(ISBLANK('2025'!$R470), 0, 1), 5, if(ISBLANK('2025'!$S470), 0, 1), 6, if(ISBLANK('2025'!$T470), 0, 1), 7, 0))), 1, "")</f>
        <v/>
      </c>
      <c r="AD507" s="1" t="str">
        <f>IF(AND(AND(AND(AD$4&gt;='2025'!$L470,AD$4&lt;='2025'!$M470), AD$4&lt;&gt;DATE(2025,7,4)), (SWITCH(weekday(AD$4), 1, 0, 2, if(ISBLANK('2025'!$P470), 0, 1), 3, if(ISBLANK('2025'!$Q470), 0, 1), 4, if(ISBLANK('2025'!$R470), 0, 1), 5, if(ISBLANK('2025'!$S470), 0, 1), 6, if(ISBLANK('2025'!$T470), 0, 1), 7, 0))), 1, "")</f>
        <v/>
      </c>
      <c r="AE507" s="1" t="str">
        <f>IF(AND(AND(AND(AE$4&gt;='2025'!$L470,AE$4&lt;='2025'!$M470), AE$4&lt;&gt;DATE(2025,7,4)), (SWITCH(weekday(AE$4), 1, 0, 2, if(ISBLANK('2025'!$P470), 0, 1), 3, if(ISBLANK('2025'!$Q470), 0, 1), 4, if(ISBLANK('2025'!$R470), 0, 1), 5, if(ISBLANK('2025'!$S470), 0, 1), 6, if(ISBLANK('2025'!$T470), 0, 1), 7, 0))), 1, "")</f>
        <v/>
      </c>
      <c r="AF507" s="1" t="str">
        <f>IF(AND(AND(AND(AF$4&gt;='2025'!$L470,AF$4&lt;='2025'!$M470), AF$4&lt;&gt;DATE(2025,7,4)), (SWITCH(weekday(AF$4), 1, 0, 2, if(ISBLANK('2025'!$P470), 0, 1), 3, if(ISBLANK('2025'!$Q470), 0, 1), 4, if(ISBLANK('2025'!$R470), 0, 1), 5, if(ISBLANK('2025'!$S470), 0, 1), 6, if(ISBLANK('2025'!$T470), 0, 1), 7, 0))), 1, "")</f>
        <v/>
      </c>
      <c r="AG507" s="1" t="str">
        <f>IF(AND(AND(AND(AG$4&gt;='2025'!$L470,AG$4&lt;='2025'!$M470), AG$4&lt;&gt;DATE(2025,7,4)), (SWITCH(weekday(AG$4), 1, 0, 2, if(ISBLANK('2025'!$P470), 0, 1), 3, if(ISBLANK('2025'!$Q470), 0, 1), 4, if(ISBLANK('2025'!$R470), 0, 1), 5, if(ISBLANK('2025'!$S470), 0, 1), 6, if(ISBLANK('2025'!$T470), 0, 1), 7, 0))), 1, "")</f>
        <v/>
      </c>
      <c r="AH507" s="1" t="str">
        <f>IF(AND(AND(AND(AH$4&gt;='2025'!$L470,AH$4&lt;='2025'!$M470), AH$4&lt;&gt;DATE(2025,7,4)), (SWITCH(weekday(AH$4), 1, 0, 2, if(ISBLANK('2025'!$P470), 0, 1), 3, if(ISBLANK('2025'!$Q470), 0, 1), 4, if(ISBLANK('2025'!$R470), 0, 1), 5, if(ISBLANK('2025'!$S470), 0, 1), 6, if(ISBLANK('2025'!$T470), 0, 1), 7, 0))), 1, "")</f>
        <v/>
      </c>
      <c r="AI507" s="1" t="str">
        <f>IF(AND(AND(AND(AI$4&gt;='2025'!$L470,AI$4&lt;='2025'!$M470), AI$4&lt;&gt;DATE(2025,7,4)), (SWITCH(weekday(AI$4), 1, 0, 2, if(ISBLANK('2025'!$P470), 0, 1), 3, if(ISBLANK('2025'!$Q470), 0, 1), 4, if(ISBLANK('2025'!$R470), 0, 1), 5, if(ISBLANK('2025'!$S470), 0, 1), 6, if(ISBLANK('2025'!$T470), 0, 1), 7, 0))), 1, "")</f>
        <v/>
      </c>
      <c r="AJ507" s="1" t="str">
        <f>IF(AND(AND(AND(AJ$4&gt;='2025'!$L470,AJ$4&lt;='2025'!$M470), AJ$4&lt;&gt;DATE(2025,7,4)), (SWITCH(weekday(AJ$4), 1, 0, 2, if(ISBLANK('2025'!$P470), 0, 1), 3, if(ISBLANK('2025'!$Q470), 0, 1), 4, if(ISBLANK('2025'!$R470), 0, 1), 5, if(ISBLANK('2025'!$S470), 0, 1), 6, if(ISBLANK('2025'!$T470), 0, 1), 7, 0))), 1, "")</f>
        <v/>
      </c>
      <c r="AK507" s="1" t="str">
        <f>IF(AND(AND(AND(AK$4&gt;='2025'!$L470,AK$4&lt;='2025'!$M470), AK$4&lt;&gt;DATE(2025,7,4)), (SWITCH(weekday(AK$4), 1, 0, 2, if(ISBLANK('2025'!$P470), 0, 1), 3, if(ISBLANK('2025'!$Q470), 0, 1), 4, if(ISBLANK('2025'!$R470), 0, 1), 5, if(ISBLANK('2025'!$S470), 0, 1), 6, if(ISBLANK('2025'!$T470), 0, 1), 7, 0))), 1, "")</f>
        <v/>
      </c>
      <c r="AL507" s="1" t="str">
        <f>IF(AND(AND(AND(AL$4&gt;='2025'!$L470,AL$4&lt;='2025'!$M470), AL$4&lt;&gt;DATE(2025,7,4)), (SWITCH(weekday(AL$4), 1, 0, 2, if(ISBLANK('2025'!$P470), 0, 1), 3, if(ISBLANK('2025'!$Q470), 0, 1), 4, if(ISBLANK('2025'!$R470), 0, 1), 5, if(ISBLANK('2025'!$S470), 0, 1), 6, if(ISBLANK('2025'!$T470), 0, 1), 7, 0))), 1, "")</f>
        <v/>
      </c>
      <c r="AM507" s="1" t="str">
        <f>IF(AND(AND(AND(AM$4&gt;='2025'!$L470,AM$4&lt;='2025'!$M470), AM$4&lt;&gt;DATE(2025,7,4)), (SWITCH(weekday(AM$4), 1, 0, 2, if(ISBLANK('2025'!$P470), 0, 1), 3, if(ISBLANK('2025'!$Q470), 0, 1), 4, if(ISBLANK('2025'!$R470), 0, 1), 5, if(ISBLANK('2025'!$S470), 0, 1), 6, if(ISBLANK('2025'!$T470), 0, 1), 7, 0))), 1, "")</f>
        <v/>
      </c>
      <c r="AN507" s="1" t="str">
        <f>IF(AND(AND(AND(AN$4&gt;='2025'!$L470,AN$4&lt;='2025'!$M470), AN$4&lt;&gt;DATE(2025,7,4)), (SWITCH(weekday(AN$4), 1, 0, 2, if(ISBLANK('2025'!$P470), 0, 1), 3, if(ISBLANK('2025'!$Q470), 0, 1), 4, if(ISBLANK('2025'!$R470), 0, 1), 5, if(ISBLANK('2025'!$S470), 0, 1), 6, if(ISBLANK('2025'!$T470), 0, 1), 7, 0))), 1, "")</f>
        <v/>
      </c>
      <c r="AO507" s="1" t="str">
        <f>IF(AND(AND(AND(AO$4&gt;='2025'!$L470,AO$4&lt;='2025'!$M470), AO$4&lt;&gt;DATE(2025,7,4)), (SWITCH(weekday(AO$4), 1, 0, 2, if(ISBLANK('2025'!$P470), 0, 1), 3, if(ISBLANK('2025'!$Q470), 0, 1), 4, if(ISBLANK('2025'!$R470), 0, 1), 5, if(ISBLANK('2025'!$S470), 0, 1), 6, if(ISBLANK('2025'!$T470), 0, 1), 7, 0))), 1, "")</f>
        <v/>
      </c>
      <c r="AP507" s="1" t="str">
        <f>IF(AND(AND(AND(AP$4&gt;='2025'!$L470,AP$4&lt;='2025'!$M470), AP$4&lt;&gt;DATE(2025,7,4)), (SWITCH(weekday(AP$4), 1, 0, 2, if(ISBLANK('2025'!$P470), 0, 1), 3, if(ISBLANK('2025'!$Q470), 0, 1), 4, if(ISBLANK('2025'!$R470), 0, 1), 5, if(ISBLANK('2025'!$S470), 0, 1), 6, if(ISBLANK('2025'!$T470), 0, 1), 7, 0))), 1, "")</f>
        <v/>
      </c>
      <c r="AQ507" s="1" t="str">
        <f>IF(AND(AND(AND(AQ$4&gt;='2025'!$L470,AQ$4&lt;='2025'!$M470), AQ$4&lt;&gt;DATE(2025,7,4)), (SWITCH(weekday(AQ$4), 1, 0, 2, if(ISBLANK('2025'!$P470), 0, 1), 3, if(ISBLANK('2025'!$Q470), 0, 1), 4, if(ISBLANK('2025'!$R470), 0, 1), 5, if(ISBLANK('2025'!$S470), 0, 1), 6, if(ISBLANK('2025'!$T470), 0, 1), 7, 0))), 1, "")</f>
        <v/>
      </c>
      <c r="AR507" s="1" t="str">
        <f>IF(AND(AND(AND(AR$4&gt;='2025'!$L470,AR$4&lt;='2025'!$M470), AR$4&lt;&gt;DATE(2025,7,4)), (SWITCH(weekday(AR$4), 1, 0, 2, if(ISBLANK('2025'!$P470), 0, 1), 3, if(ISBLANK('2025'!$Q470), 0, 1), 4, if(ISBLANK('2025'!$R470), 0, 1), 5, if(ISBLANK('2025'!$S470), 0, 1), 6, if(ISBLANK('2025'!$T470), 0, 1), 7, 0))), 1, "")</f>
        <v/>
      </c>
      <c r="AS507" s="1" t="str">
        <f>IF(AND(AND(AND(AS$4&gt;='2025'!$L470,AS$4&lt;='2025'!$M470), AS$4&lt;&gt;DATE(2025,7,4)), (SWITCH(weekday(AS$4), 1, 0, 2, if(ISBLANK('2025'!$P470), 0, 1), 3, if(ISBLANK('2025'!$Q470), 0, 1), 4, if(ISBLANK('2025'!$R470), 0, 1), 5, if(ISBLANK('2025'!$S470), 0, 1), 6, if(ISBLANK('2025'!$T470), 0, 1), 7, 0))), 1, "")</f>
        <v/>
      </c>
      <c r="AT507" s="1" t="str">
        <f>IF(AND(AND(AND(AT$4&gt;='2025'!$L470,AT$4&lt;='2025'!$M470), AT$4&lt;&gt;DATE(2025,7,4)), (SWITCH(weekday(AT$4), 1, 0, 2, if(ISBLANK('2025'!$P470), 0, 1), 3, if(ISBLANK('2025'!$Q470), 0, 1), 4, if(ISBLANK('2025'!$R470), 0, 1), 5, if(ISBLANK('2025'!$S470), 0, 1), 6, if(ISBLANK('2025'!$T470), 0, 1), 7, 0))), 1, "")</f>
        <v/>
      </c>
      <c r="AU507" s="1" t="str">
        <f>IF(AND(AND(AND(AU$4&gt;='2025'!$L470,AU$4&lt;='2025'!$M470), AU$4&lt;&gt;DATE(2025,7,4)), (SWITCH(weekday(AU$4), 1, 0, 2, if(ISBLANK('2025'!$P470), 0, 1), 3, if(ISBLANK('2025'!$Q470), 0, 1), 4, if(ISBLANK('2025'!$R470), 0, 1), 5, if(ISBLANK('2025'!$S470), 0, 1), 6, if(ISBLANK('2025'!$T470), 0, 1), 7, 0))), 1, "")</f>
        <v/>
      </c>
      <c r="AV507" s="1" t="str">
        <f>IF(AND(AND(AND(AV$4&gt;='2025'!$L470,AV$4&lt;='2025'!$M470), AV$4&lt;&gt;DATE(2025,7,4)), (SWITCH(weekday(AV$4), 1, 0, 2, if(ISBLANK('2025'!$P470), 0, 1), 3, if(ISBLANK('2025'!$Q470), 0, 1), 4, if(ISBLANK('2025'!$R470), 0, 1), 5, if(ISBLANK('2025'!$S470), 0, 1), 6, if(ISBLANK('2025'!$T470), 0, 1), 7, 0))), 1, "")</f>
        <v/>
      </c>
      <c r="AW507" s="1" t="str">
        <f>IF(AND(AND(AND(AW$4&gt;='2025'!$L470,AW$4&lt;='2025'!$M470), AW$4&lt;&gt;DATE(2025,7,4)), (SWITCH(weekday(AW$4), 1, 0, 2, if(ISBLANK('2025'!$P470), 0, 1), 3, if(ISBLANK('2025'!$Q470), 0, 1), 4, if(ISBLANK('2025'!$R470), 0, 1), 5, if(ISBLANK('2025'!$S470), 0, 1), 6, if(ISBLANK('2025'!$T470), 0, 1), 7, 0))), 1, "")</f>
        <v/>
      </c>
      <c r="AX507" s="1" t="str">
        <f>IF(AND(AND(AND(AX$4&gt;='2025'!$L470,AX$4&lt;='2025'!$M470), AX$4&lt;&gt;DATE(2025,7,4)), (SWITCH(weekday(AX$4), 1, 0, 2, if(ISBLANK('2025'!$P470), 0, 1), 3, if(ISBLANK('2025'!$Q470), 0, 1), 4, if(ISBLANK('2025'!$R470), 0, 1), 5, if(ISBLANK('2025'!$S470), 0, 1), 6, if(ISBLANK('2025'!$T470), 0, 1), 7, 0))), 1, "")</f>
        <v/>
      </c>
      <c r="AY507" s="1" t="str">
        <f>IF(AND(AND(AND(AY$4&gt;='2025'!$L470,AY$4&lt;='2025'!$M470), AY$4&lt;&gt;DATE(2025,7,4)), (SWITCH(weekday(AY$4), 1, 0, 2, if(ISBLANK('2025'!$P470), 0, 1), 3, if(ISBLANK('2025'!$Q470), 0, 1), 4, if(ISBLANK('2025'!$R470), 0, 1), 5, if(ISBLANK('2025'!$S470), 0, 1), 6, if(ISBLANK('2025'!$T470), 0, 1), 7, 0))), 1, "")</f>
        <v/>
      </c>
      <c r="AZ507" s="1" t="str">
        <f>IF(AND(AND(AND(AZ$4&gt;='2025'!$L470,AZ$4&lt;='2025'!$M470), AZ$4&lt;&gt;DATE(2025,7,4)), (SWITCH(weekday(AZ$4), 1, 0, 2, if(ISBLANK('2025'!$P470), 0, 1), 3, if(ISBLANK('2025'!$Q470), 0, 1), 4, if(ISBLANK('2025'!$R470), 0, 1), 5, if(ISBLANK('2025'!$S470), 0, 1), 6, if(ISBLANK('2025'!$T470), 0, 1), 7, 0))), 1, "")</f>
        <v/>
      </c>
      <c r="BA507" s="1" t="str">
        <f>IF(AND(AND(AND(BA$4&gt;='2025'!$L470,BA$4&lt;='2025'!$M470), BA$4&lt;&gt;DATE(2025,7,4)), (SWITCH(weekday(BA$4), 1, 0, 2, if(ISBLANK('2025'!$P470), 0, 1), 3, if(ISBLANK('2025'!$Q470), 0, 1), 4, if(ISBLANK('2025'!$R470), 0, 1), 5, if(ISBLANK('2025'!$S470), 0, 1), 6, if(ISBLANK('2025'!$T470), 0, 1), 7, 0))), 1, "")</f>
        <v/>
      </c>
      <c r="BB507" s="1" t="str">
        <f>IF(AND(AND(AND(BB$4&gt;='2025'!$L470,BB$4&lt;='2025'!$M470), BB$4&lt;&gt;DATE(2025,7,4)), (SWITCH(weekday(BB$4), 1, 0, 2, if(ISBLANK('2025'!$P470), 0, 1), 3, if(ISBLANK('2025'!$Q470), 0, 1), 4, if(ISBLANK('2025'!$R470), 0, 1), 5, if(ISBLANK('2025'!$S470), 0, 1), 6, if(ISBLANK('2025'!$T470), 0, 1), 7, 0))), 1, "")</f>
        <v/>
      </c>
      <c r="BC507" s="1" t="str">
        <f>IF(AND(AND(AND(BC$4&gt;='2025'!$L470,BC$4&lt;='2025'!$M470), BC$4&lt;&gt;DATE(2025,7,4)), (SWITCH(weekday(BC$4), 1, 0, 2, if(ISBLANK('2025'!$P470), 0, 1), 3, if(ISBLANK('2025'!$Q470), 0, 1), 4, if(ISBLANK('2025'!$R470), 0, 1), 5, if(ISBLANK('2025'!$S470), 0, 1), 6, if(ISBLANK('2025'!$T470), 0, 1), 7, 0))), 1, "")</f>
        <v/>
      </c>
      <c r="BD507" s="1" t="str">
        <f>IF(AND(AND(AND(BD$4&gt;='2025'!$L470,BD$4&lt;='2025'!$M470), BD$4&lt;&gt;DATE(2025,7,4)), (SWITCH(weekday(BD$4), 1, 0, 2, if(ISBLANK('2025'!$P470), 0, 1), 3, if(ISBLANK('2025'!$Q470), 0, 1), 4, if(ISBLANK('2025'!$R470), 0, 1), 5, if(ISBLANK('2025'!$S470), 0, 1), 6, if(ISBLANK('2025'!$T470), 0, 1), 7, 0))), 1, "")</f>
        <v/>
      </c>
      <c r="BE507" s="1" t="str">
        <f>IF(AND(AND(AND(BE$4&gt;='2025'!$L470,BE$4&lt;='2025'!$M470), BE$4&lt;&gt;DATE(2025,7,4)), (SWITCH(weekday(BE$4), 1, 0, 2, if(ISBLANK('2025'!$P470), 0, 1), 3, if(ISBLANK('2025'!$Q470), 0, 1), 4, if(ISBLANK('2025'!$R470), 0, 1), 5, if(ISBLANK('2025'!$S470), 0, 1), 6, if(ISBLANK('2025'!$T470), 0, 1), 7, 0))), 1, "")</f>
        <v/>
      </c>
    </row>
    <row r="508">
      <c r="A508" s="1">
        <f t="shared" si="3"/>
        <v>508</v>
      </c>
      <c r="B508" s="1" t="str">
        <f>'2025'!D471</f>
        <v/>
      </c>
      <c r="C508" s="1" t="str">
        <f>'2025'!H471</f>
        <v/>
      </c>
      <c r="D508" s="1" t="str">
        <f>IF(AND(AND(AND(D$4&gt;='2025'!$L471,D$4&lt;='2025'!$M471), D$4&lt;&gt;DATE(2025,7,4)), (SWITCH(weekday(D$4), 1, 0, 2, if(ISBLANK('2025'!$P471), 0, 1), 3, if(ISBLANK('2025'!$Q471), 0, 1), 4, if(ISBLANK('2025'!$R471), 0, 1), 5, if(ISBLANK('2025'!$S471), 0, 1), 6, if(ISBLANK('2025'!$T471), 0, 1), 7, 0))), 1, "")</f>
        <v/>
      </c>
      <c r="E508" s="1" t="str">
        <f>IF(AND(AND(AND(E$4&gt;='2025'!$L471,E$4&lt;='2025'!$M471), E$4&lt;&gt;DATE(2025,7,4)), (SWITCH(weekday(E$4), 1, 0, 2, if(ISBLANK('2025'!$P471), 0, 1), 3, if(ISBLANK('2025'!$Q471), 0, 1), 4, if(ISBLANK('2025'!$R471), 0, 1), 5, if(ISBLANK('2025'!$S471), 0, 1), 6, if(ISBLANK('2025'!$T471), 0, 1), 7, 0))), 1, "")</f>
        <v/>
      </c>
      <c r="F508" s="1" t="str">
        <f>IF(AND(AND(AND(F$4&gt;='2025'!$L471,F$4&lt;='2025'!$M471), F$4&lt;&gt;DATE(2025,7,4)), (SWITCH(weekday(F$4), 1, 0, 2, if(ISBLANK('2025'!$P471), 0, 1), 3, if(ISBLANK('2025'!$Q471), 0, 1), 4, if(ISBLANK('2025'!$R471), 0, 1), 5, if(ISBLANK('2025'!$S471), 0, 1), 6, if(ISBLANK('2025'!$T471), 0, 1), 7, 0))), 1, "")</f>
        <v/>
      </c>
      <c r="G508" s="1" t="str">
        <f>IF(AND(AND(AND(G$4&gt;='2025'!$L471,G$4&lt;='2025'!$M471), G$4&lt;&gt;DATE(2025,7,4)), (SWITCH(weekday(G$4), 1, 0, 2, if(ISBLANK('2025'!$P471), 0, 1), 3, if(ISBLANK('2025'!$Q471), 0, 1), 4, if(ISBLANK('2025'!$R471), 0, 1), 5, if(ISBLANK('2025'!$S471), 0, 1), 6, if(ISBLANK('2025'!$T471), 0, 1), 7, 0))), 1, "")</f>
        <v/>
      </c>
      <c r="H508" s="1" t="str">
        <f>IF(AND(AND(AND(H$4&gt;='2025'!$L471,H$4&lt;='2025'!$M471), H$4&lt;&gt;DATE(2025,7,4)), (SWITCH(weekday(H$4), 1, 0, 2, if(ISBLANK('2025'!$P471), 0, 1), 3, if(ISBLANK('2025'!$Q471), 0, 1), 4, if(ISBLANK('2025'!$R471), 0, 1), 5, if(ISBLANK('2025'!$S471), 0, 1), 6, if(ISBLANK('2025'!$T471), 0, 1), 7, 0))), 1, "")</f>
        <v/>
      </c>
      <c r="I508" s="1" t="str">
        <f>IF(AND(AND(AND(I$4&gt;='2025'!$L471,I$4&lt;='2025'!$M471), I$4&lt;&gt;DATE(2025,7,4)), (SWITCH(weekday(I$4), 1, 0, 2, if(ISBLANK('2025'!$P471), 0, 1), 3, if(ISBLANK('2025'!$Q471), 0, 1), 4, if(ISBLANK('2025'!$R471), 0, 1), 5, if(ISBLANK('2025'!$S471), 0, 1), 6, if(ISBLANK('2025'!$T471), 0, 1), 7, 0))), 1, "")</f>
        <v/>
      </c>
      <c r="J508" s="1" t="str">
        <f>IF(AND(AND(AND(J$4&gt;='2025'!$L471,J$4&lt;='2025'!$M471), J$4&lt;&gt;DATE(2025,7,4)), (SWITCH(weekday(J$4), 1, 0, 2, if(ISBLANK('2025'!$P471), 0, 1), 3, if(ISBLANK('2025'!$Q471), 0, 1), 4, if(ISBLANK('2025'!$R471), 0, 1), 5, if(ISBLANK('2025'!$S471), 0, 1), 6, if(ISBLANK('2025'!$T471), 0, 1), 7, 0))), 1, "")</f>
        <v/>
      </c>
      <c r="K508" s="1" t="str">
        <f>IF(AND(AND(AND(K$4&gt;='2025'!$L471,K$4&lt;='2025'!$M471), K$4&lt;&gt;DATE(2025,7,4)), (SWITCH(weekday(K$4), 1, 0, 2, if(ISBLANK('2025'!$P471), 0, 1), 3, if(ISBLANK('2025'!$Q471), 0, 1), 4, if(ISBLANK('2025'!$R471), 0, 1), 5, if(ISBLANK('2025'!$S471), 0, 1), 6, if(ISBLANK('2025'!$T471), 0, 1), 7, 0))), 1, "")</f>
        <v/>
      </c>
      <c r="L508" s="1" t="str">
        <f>IF(AND(AND(AND(L$4&gt;='2025'!$L471,L$4&lt;='2025'!$M471), L$4&lt;&gt;DATE(2025,7,4)), (SWITCH(weekday(L$4), 1, 0, 2, if(ISBLANK('2025'!$P471), 0, 1), 3, if(ISBLANK('2025'!$Q471), 0, 1), 4, if(ISBLANK('2025'!$R471), 0, 1), 5, if(ISBLANK('2025'!$S471), 0, 1), 6, if(ISBLANK('2025'!$T471), 0, 1), 7, 0))), 1, "")</f>
        <v/>
      </c>
      <c r="M508" s="1" t="str">
        <f>IF(AND(AND(AND(M$4&gt;='2025'!$L471,M$4&lt;='2025'!$M471), M$4&lt;&gt;DATE(2025,7,4)), (SWITCH(weekday(M$4), 1, 0, 2, if(ISBLANK('2025'!$P471), 0, 1), 3, if(ISBLANK('2025'!$Q471), 0, 1), 4, if(ISBLANK('2025'!$R471), 0, 1), 5, if(ISBLANK('2025'!$S471), 0, 1), 6, if(ISBLANK('2025'!$T471), 0, 1), 7, 0))), 1, "")</f>
        <v/>
      </c>
      <c r="N508" s="1" t="str">
        <f>IF(AND(AND(AND(N$4&gt;='2025'!$L471,N$4&lt;='2025'!$M471), N$4&lt;&gt;DATE(2025,7,4)), (SWITCH(weekday(N$4), 1, 0, 2, if(ISBLANK('2025'!$P471), 0, 1), 3, if(ISBLANK('2025'!$Q471), 0, 1), 4, if(ISBLANK('2025'!$R471), 0, 1), 5, if(ISBLANK('2025'!$S471), 0, 1), 6, if(ISBLANK('2025'!$T471), 0, 1), 7, 0))), 1, "")</f>
        <v/>
      </c>
      <c r="O508" s="1" t="str">
        <f>IF(AND(AND(AND(O$4&gt;='2025'!$L471,O$4&lt;='2025'!$M471), O$4&lt;&gt;DATE(2025,7,4)), (SWITCH(weekday(O$4), 1, 0, 2, if(ISBLANK('2025'!$P471), 0, 1), 3, if(ISBLANK('2025'!$Q471), 0, 1), 4, if(ISBLANK('2025'!$R471), 0, 1), 5, if(ISBLANK('2025'!$S471), 0, 1), 6, if(ISBLANK('2025'!$T471), 0, 1), 7, 0))), 1, "")</f>
        <v/>
      </c>
      <c r="P508" s="1" t="str">
        <f>IF(AND(AND(AND(P$4&gt;='2025'!$L471,P$4&lt;='2025'!$M471), P$4&lt;&gt;DATE(2025,7,4)), (SWITCH(weekday(P$4), 1, 0, 2, if(ISBLANK('2025'!$P471), 0, 1), 3, if(ISBLANK('2025'!$Q471), 0, 1), 4, if(ISBLANK('2025'!$R471), 0, 1), 5, if(ISBLANK('2025'!$S471), 0, 1), 6, if(ISBLANK('2025'!$T471), 0, 1), 7, 0))), 1, "")</f>
        <v/>
      </c>
      <c r="Q508" s="1" t="str">
        <f>IF(AND(AND(AND(Q$4&gt;='2025'!$L471,Q$4&lt;='2025'!$M471), Q$4&lt;&gt;DATE(2025,7,4)), (SWITCH(weekday(Q$4), 1, 0, 2, if(ISBLANK('2025'!$P471), 0, 1), 3, if(ISBLANK('2025'!$Q471), 0, 1), 4, if(ISBLANK('2025'!$R471), 0, 1), 5, if(ISBLANK('2025'!$S471), 0, 1), 6, if(ISBLANK('2025'!$T471), 0, 1), 7, 0))), 1, "")</f>
        <v/>
      </c>
      <c r="R508" s="1" t="str">
        <f>IF(AND(AND(AND(R$4&gt;='2025'!$L471,R$4&lt;='2025'!$M471), R$4&lt;&gt;DATE(2025,7,4)), (SWITCH(weekday(R$4), 1, 0, 2, if(ISBLANK('2025'!$P471), 0, 1), 3, if(ISBLANK('2025'!$Q471), 0, 1), 4, if(ISBLANK('2025'!$R471), 0, 1), 5, if(ISBLANK('2025'!$S471), 0, 1), 6, if(ISBLANK('2025'!$T471), 0, 1), 7, 0))), 1, "")</f>
        <v/>
      </c>
      <c r="S508" s="1" t="str">
        <f>IF(AND(AND(AND(S$4&gt;='2025'!$L471,S$4&lt;='2025'!$M471), S$4&lt;&gt;DATE(2025,7,4)), (SWITCH(weekday(S$4), 1, 0, 2, if(ISBLANK('2025'!$P471), 0, 1), 3, if(ISBLANK('2025'!$Q471), 0, 1), 4, if(ISBLANK('2025'!$R471), 0, 1), 5, if(ISBLANK('2025'!$S471), 0, 1), 6, if(ISBLANK('2025'!$T471), 0, 1), 7, 0))), 1, "")</f>
        <v/>
      </c>
      <c r="T508" s="1" t="str">
        <f>IF(AND(AND(AND(T$4&gt;='2025'!$L471,T$4&lt;='2025'!$M471), T$4&lt;&gt;DATE(2025,7,4)), (SWITCH(weekday(T$4), 1, 0, 2, if(ISBLANK('2025'!$P471), 0, 1), 3, if(ISBLANK('2025'!$Q471), 0, 1), 4, if(ISBLANK('2025'!$R471), 0, 1), 5, if(ISBLANK('2025'!$S471), 0, 1), 6, if(ISBLANK('2025'!$T471), 0, 1), 7, 0))), 1, "")</f>
        <v/>
      </c>
      <c r="U508" s="1" t="str">
        <f>IF(AND(AND(AND(U$4&gt;='2025'!$L471,U$4&lt;='2025'!$M471), U$4&lt;&gt;DATE(2025,7,4)), (SWITCH(weekday(U$4), 1, 0, 2, if(ISBLANK('2025'!$P471), 0, 1), 3, if(ISBLANK('2025'!$Q471), 0, 1), 4, if(ISBLANK('2025'!$R471), 0, 1), 5, if(ISBLANK('2025'!$S471), 0, 1), 6, if(ISBLANK('2025'!$T471), 0, 1), 7, 0))), 1, "")</f>
        <v/>
      </c>
      <c r="V508" s="1" t="str">
        <f>IF(AND(AND(AND(V$4&gt;='2025'!$L471,V$4&lt;='2025'!$M471), V$4&lt;&gt;DATE(2025,7,4)), (SWITCH(weekday(V$4), 1, 0, 2, if(ISBLANK('2025'!$P471), 0, 1), 3, if(ISBLANK('2025'!$Q471), 0, 1), 4, if(ISBLANK('2025'!$R471), 0, 1), 5, if(ISBLANK('2025'!$S471), 0, 1), 6, if(ISBLANK('2025'!$T471), 0, 1), 7, 0))), 1, "")</f>
        <v/>
      </c>
      <c r="W508" s="1" t="str">
        <f>IF(AND(AND(AND(W$4&gt;='2025'!$L471,W$4&lt;='2025'!$M471), W$4&lt;&gt;DATE(2025,7,4)), (SWITCH(weekday(W$4), 1, 0, 2, if(ISBLANK('2025'!$P471), 0, 1), 3, if(ISBLANK('2025'!$Q471), 0, 1), 4, if(ISBLANK('2025'!$R471), 0, 1), 5, if(ISBLANK('2025'!$S471), 0, 1), 6, if(ISBLANK('2025'!$T471), 0, 1), 7, 0))), 1, "")</f>
        <v/>
      </c>
      <c r="X508" s="1" t="str">
        <f>IF(AND(AND(AND(X$4&gt;='2025'!$L471,X$4&lt;='2025'!$M471), X$4&lt;&gt;DATE(2025,7,4)), (SWITCH(weekday(X$4), 1, 0, 2, if(ISBLANK('2025'!$P471), 0, 1), 3, if(ISBLANK('2025'!$Q471), 0, 1), 4, if(ISBLANK('2025'!$R471), 0, 1), 5, if(ISBLANK('2025'!$S471), 0, 1), 6, if(ISBLANK('2025'!$T471), 0, 1), 7, 0))), 1, "")</f>
        <v/>
      </c>
      <c r="Y508" s="1" t="str">
        <f>IF(AND(AND(AND(Y$4&gt;='2025'!$L471,Y$4&lt;='2025'!$M471), Y$4&lt;&gt;DATE(2025,7,4)), (SWITCH(weekday(Y$4), 1, 0, 2, if(ISBLANK('2025'!$P471), 0, 1), 3, if(ISBLANK('2025'!$Q471), 0, 1), 4, if(ISBLANK('2025'!$R471), 0, 1), 5, if(ISBLANK('2025'!$S471), 0, 1), 6, if(ISBLANK('2025'!$T471), 0, 1), 7, 0))), 1, "")</f>
        <v/>
      </c>
      <c r="Z508" s="1" t="str">
        <f>IF(AND(AND(AND(Z$4&gt;='2025'!$L471,Z$4&lt;='2025'!$M471), Z$4&lt;&gt;DATE(2025,7,4)), (SWITCH(weekday(Z$4), 1, 0, 2, if(ISBLANK('2025'!$P471), 0, 1), 3, if(ISBLANK('2025'!$Q471), 0, 1), 4, if(ISBLANK('2025'!$R471), 0, 1), 5, if(ISBLANK('2025'!$S471), 0, 1), 6, if(ISBLANK('2025'!$T471), 0, 1), 7, 0))), 1, "")</f>
        <v/>
      </c>
      <c r="AA508" s="1" t="str">
        <f>IF(AND(AND(AND(AA$4&gt;='2025'!$L471,AA$4&lt;='2025'!$M471), AA$4&lt;&gt;DATE(2025,7,4)), (SWITCH(weekday(AA$4), 1, 0, 2, if(ISBLANK('2025'!$P471), 0, 1), 3, if(ISBLANK('2025'!$Q471), 0, 1), 4, if(ISBLANK('2025'!$R471), 0, 1), 5, if(ISBLANK('2025'!$S471), 0, 1), 6, if(ISBLANK('2025'!$T471), 0, 1), 7, 0))), 1, "")</f>
        <v/>
      </c>
      <c r="AB508" s="1" t="str">
        <f>IF(AND(AND(AND(AB$4&gt;='2025'!$L471,AB$4&lt;='2025'!$M471), AB$4&lt;&gt;DATE(2025,7,4)), (SWITCH(weekday(AB$4), 1, 0, 2, if(ISBLANK('2025'!$P471), 0, 1), 3, if(ISBLANK('2025'!$Q471), 0, 1), 4, if(ISBLANK('2025'!$R471), 0, 1), 5, if(ISBLANK('2025'!$S471), 0, 1), 6, if(ISBLANK('2025'!$T471), 0, 1), 7, 0))), 1, "")</f>
        <v/>
      </c>
      <c r="AC508" s="1" t="str">
        <f>IF(AND(AND(AND(AC$4&gt;='2025'!$L471,AC$4&lt;='2025'!$M471), AC$4&lt;&gt;DATE(2025,7,4)), (SWITCH(weekday(AC$4), 1, 0, 2, if(ISBLANK('2025'!$P471), 0, 1), 3, if(ISBLANK('2025'!$Q471), 0, 1), 4, if(ISBLANK('2025'!$R471), 0, 1), 5, if(ISBLANK('2025'!$S471), 0, 1), 6, if(ISBLANK('2025'!$T471), 0, 1), 7, 0))), 1, "")</f>
        <v/>
      </c>
      <c r="AD508" s="1" t="str">
        <f>IF(AND(AND(AND(AD$4&gt;='2025'!$L471,AD$4&lt;='2025'!$M471), AD$4&lt;&gt;DATE(2025,7,4)), (SWITCH(weekday(AD$4), 1, 0, 2, if(ISBLANK('2025'!$P471), 0, 1), 3, if(ISBLANK('2025'!$Q471), 0, 1), 4, if(ISBLANK('2025'!$R471), 0, 1), 5, if(ISBLANK('2025'!$S471), 0, 1), 6, if(ISBLANK('2025'!$T471), 0, 1), 7, 0))), 1, "")</f>
        <v/>
      </c>
      <c r="AE508" s="1" t="str">
        <f>IF(AND(AND(AND(AE$4&gt;='2025'!$L471,AE$4&lt;='2025'!$M471), AE$4&lt;&gt;DATE(2025,7,4)), (SWITCH(weekday(AE$4), 1, 0, 2, if(ISBLANK('2025'!$P471), 0, 1), 3, if(ISBLANK('2025'!$Q471), 0, 1), 4, if(ISBLANK('2025'!$R471), 0, 1), 5, if(ISBLANK('2025'!$S471), 0, 1), 6, if(ISBLANK('2025'!$T471), 0, 1), 7, 0))), 1, "")</f>
        <v/>
      </c>
      <c r="AF508" s="1" t="str">
        <f>IF(AND(AND(AND(AF$4&gt;='2025'!$L471,AF$4&lt;='2025'!$M471), AF$4&lt;&gt;DATE(2025,7,4)), (SWITCH(weekday(AF$4), 1, 0, 2, if(ISBLANK('2025'!$P471), 0, 1), 3, if(ISBLANK('2025'!$Q471), 0, 1), 4, if(ISBLANK('2025'!$R471), 0, 1), 5, if(ISBLANK('2025'!$S471), 0, 1), 6, if(ISBLANK('2025'!$T471), 0, 1), 7, 0))), 1, "")</f>
        <v/>
      </c>
      <c r="AG508" s="1" t="str">
        <f>IF(AND(AND(AND(AG$4&gt;='2025'!$L471,AG$4&lt;='2025'!$M471), AG$4&lt;&gt;DATE(2025,7,4)), (SWITCH(weekday(AG$4), 1, 0, 2, if(ISBLANK('2025'!$P471), 0, 1), 3, if(ISBLANK('2025'!$Q471), 0, 1), 4, if(ISBLANK('2025'!$R471), 0, 1), 5, if(ISBLANK('2025'!$S471), 0, 1), 6, if(ISBLANK('2025'!$T471), 0, 1), 7, 0))), 1, "")</f>
        <v/>
      </c>
      <c r="AH508" s="1" t="str">
        <f>IF(AND(AND(AND(AH$4&gt;='2025'!$L471,AH$4&lt;='2025'!$M471), AH$4&lt;&gt;DATE(2025,7,4)), (SWITCH(weekday(AH$4), 1, 0, 2, if(ISBLANK('2025'!$P471), 0, 1), 3, if(ISBLANK('2025'!$Q471), 0, 1), 4, if(ISBLANK('2025'!$R471), 0, 1), 5, if(ISBLANK('2025'!$S471), 0, 1), 6, if(ISBLANK('2025'!$T471), 0, 1), 7, 0))), 1, "")</f>
        <v/>
      </c>
      <c r="AI508" s="1" t="str">
        <f>IF(AND(AND(AND(AI$4&gt;='2025'!$L471,AI$4&lt;='2025'!$M471), AI$4&lt;&gt;DATE(2025,7,4)), (SWITCH(weekday(AI$4), 1, 0, 2, if(ISBLANK('2025'!$P471), 0, 1), 3, if(ISBLANK('2025'!$Q471), 0, 1), 4, if(ISBLANK('2025'!$R471), 0, 1), 5, if(ISBLANK('2025'!$S471), 0, 1), 6, if(ISBLANK('2025'!$T471), 0, 1), 7, 0))), 1, "")</f>
        <v/>
      </c>
      <c r="AJ508" s="1" t="str">
        <f>IF(AND(AND(AND(AJ$4&gt;='2025'!$L471,AJ$4&lt;='2025'!$M471), AJ$4&lt;&gt;DATE(2025,7,4)), (SWITCH(weekday(AJ$4), 1, 0, 2, if(ISBLANK('2025'!$P471), 0, 1), 3, if(ISBLANK('2025'!$Q471), 0, 1), 4, if(ISBLANK('2025'!$R471), 0, 1), 5, if(ISBLANK('2025'!$S471), 0, 1), 6, if(ISBLANK('2025'!$T471), 0, 1), 7, 0))), 1, "")</f>
        <v/>
      </c>
      <c r="AK508" s="1" t="str">
        <f>IF(AND(AND(AND(AK$4&gt;='2025'!$L471,AK$4&lt;='2025'!$M471), AK$4&lt;&gt;DATE(2025,7,4)), (SWITCH(weekday(AK$4), 1, 0, 2, if(ISBLANK('2025'!$P471), 0, 1), 3, if(ISBLANK('2025'!$Q471), 0, 1), 4, if(ISBLANK('2025'!$R471), 0, 1), 5, if(ISBLANK('2025'!$S471), 0, 1), 6, if(ISBLANK('2025'!$T471), 0, 1), 7, 0))), 1, "")</f>
        <v/>
      </c>
      <c r="AL508" s="1" t="str">
        <f>IF(AND(AND(AND(AL$4&gt;='2025'!$L471,AL$4&lt;='2025'!$M471), AL$4&lt;&gt;DATE(2025,7,4)), (SWITCH(weekday(AL$4), 1, 0, 2, if(ISBLANK('2025'!$P471), 0, 1), 3, if(ISBLANK('2025'!$Q471), 0, 1), 4, if(ISBLANK('2025'!$R471), 0, 1), 5, if(ISBLANK('2025'!$S471), 0, 1), 6, if(ISBLANK('2025'!$T471), 0, 1), 7, 0))), 1, "")</f>
        <v/>
      </c>
      <c r="AM508" s="1" t="str">
        <f>IF(AND(AND(AND(AM$4&gt;='2025'!$L471,AM$4&lt;='2025'!$M471), AM$4&lt;&gt;DATE(2025,7,4)), (SWITCH(weekday(AM$4), 1, 0, 2, if(ISBLANK('2025'!$P471), 0, 1), 3, if(ISBLANK('2025'!$Q471), 0, 1), 4, if(ISBLANK('2025'!$R471), 0, 1), 5, if(ISBLANK('2025'!$S471), 0, 1), 6, if(ISBLANK('2025'!$T471), 0, 1), 7, 0))), 1, "")</f>
        <v/>
      </c>
      <c r="AN508" s="1" t="str">
        <f>IF(AND(AND(AND(AN$4&gt;='2025'!$L471,AN$4&lt;='2025'!$M471), AN$4&lt;&gt;DATE(2025,7,4)), (SWITCH(weekday(AN$4), 1, 0, 2, if(ISBLANK('2025'!$P471), 0, 1), 3, if(ISBLANK('2025'!$Q471), 0, 1), 4, if(ISBLANK('2025'!$R471), 0, 1), 5, if(ISBLANK('2025'!$S471), 0, 1), 6, if(ISBLANK('2025'!$T471), 0, 1), 7, 0))), 1, "")</f>
        <v/>
      </c>
      <c r="AO508" s="1" t="str">
        <f>IF(AND(AND(AND(AO$4&gt;='2025'!$L471,AO$4&lt;='2025'!$M471), AO$4&lt;&gt;DATE(2025,7,4)), (SWITCH(weekday(AO$4), 1, 0, 2, if(ISBLANK('2025'!$P471), 0, 1), 3, if(ISBLANK('2025'!$Q471), 0, 1), 4, if(ISBLANK('2025'!$R471), 0, 1), 5, if(ISBLANK('2025'!$S471), 0, 1), 6, if(ISBLANK('2025'!$T471), 0, 1), 7, 0))), 1, "")</f>
        <v/>
      </c>
      <c r="AP508" s="1" t="str">
        <f>IF(AND(AND(AND(AP$4&gt;='2025'!$L471,AP$4&lt;='2025'!$M471), AP$4&lt;&gt;DATE(2025,7,4)), (SWITCH(weekday(AP$4), 1, 0, 2, if(ISBLANK('2025'!$P471), 0, 1), 3, if(ISBLANK('2025'!$Q471), 0, 1), 4, if(ISBLANK('2025'!$R471), 0, 1), 5, if(ISBLANK('2025'!$S471), 0, 1), 6, if(ISBLANK('2025'!$T471), 0, 1), 7, 0))), 1, "")</f>
        <v/>
      </c>
      <c r="AQ508" s="1" t="str">
        <f>IF(AND(AND(AND(AQ$4&gt;='2025'!$L471,AQ$4&lt;='2025'!$M471), AQ$4&lt;&gt;DATE(2025,7,4)), (SWITCH(weekday(AQ$4), 1, 0, 2, if(ISBLANK('2025'!$P471), 0, 1), 3, if(ISBLANK('2025'!$Q471), 0, 1), 4, if(ISBLANK('2025'!$R471), 0, 1), 5, if(ISBLANK('2025'!$S471), 0, 1), 6, if(ISBLANK('2025'!$T471), 0, 1), 7, 0))), 1, "")</f>
        <v/>
      </c>
      <c r="AR508" s="1" t="str">
        <f>IF(AND(AND(AND(AR$4&gt;='2025'!$L471,AR$4&lt;='2025'!$M471), AR$4&lt;&gt;DATE(2025,7,4)), (SWITCH(weekday(AR$4), 1, 0, 2, if(ISBLANK('2025'!$P471), 0, 1), 3, if(ISBLANK('2025'!$Q471), 0, 1), 4, if(ISBLANK('2025'!$R471), 0, 1), 5, if(ISBLANK('2025'!$S471), 0, 1), 6, if(ISBLANK('2025'!$T471), 0, 1), 7, 0))), 1, "")</f>
        <v/>
      </c>
      <c r="AS508" s="1" t="str">
        <f>IF(AND(AND(AND(AS$4&gt;='2025'!$L471,AS$4&lt;='2025'!$M471), AS$4&lt;&gt;DATE(2025,7,4)), (SWITCH(weekday(AS$4), 1, 0, 2, if(ISBLANK('2025'!$P471), 0, 1), 3, if(ISBLANK('2025'!$Q471), 0, 1), 4, if(ISBLANK('2025'!$R471), 0, 1), 5, if(ISBLANK('2025'!$S471), 0, 1), 6, if(ISBLANK('2025'!$T471), 0, 1), 7, 0))), 1, "")</f>
        <v/>
      </c>
      <c r="AT508" s="1" t="str">
        <f>IF(AND(AND(AND(AT$4&gt;='2025'!$L471,AT$4&lt;='2025'!$M471), AT$4&lt;&gt;DATE(2025,7,4)), (SWITCH(weekday(AT$4), 1, 0, 2, if(ISBLANK('2025'!$P471), 0, 1), 3, if(ISBLANK('2025'!$Q471), 0, 1), 4, if(ISBLANK('2025'!$R471), 0, 1), 5, if(ISBLANK('2025'!$S471), 0, 1), 6, if(ISBLANK('2025'!$T471), 0, 1), 7, 0))), 1, "")</f>
        <v/>
      </c>
      <c r="AU508" s="1" t="str">
        <f>IF(AND(AND(AND(AU$4&gt;='2025'!$L471,AU$4&lt;='2025'!$M471), AU$4&lt;&gt;DATE(2025,7,4)), (SWITCH(weekday(AU$4), 1, 0, 2, if(ISBLANK('2025'!$P471), 0, 1), 3, if(ISBLANK('2025'!$Q471), 0, 1), 4, if(ISBLANK('2025'!$R471), 0, 1), 5, if(ISBLANK('2025'!$S471), 0, 1), 6, if(ISBLANK('2025'!$T471), 0, 1), 7, 0))), 1, "")</f>
        <v/>
      </c>
      <c r="AV508" s="1" t="str">
        <f>IF(AND(AND(AND(AV$4&gt;='2025'!$L471,AV$4&lt;='2025'!$M471), AV$4&lt;&gt;DATE(2025,7,4)), (SWITCH(weekday(AV$4), 1, 0, 2, if(ISBLANK('2025'!$P471), 0, 1), 3, if(ISBLANK('2025'!$Q471), 0, 1), 4, if(ISBLANK('2025'!$R471), 0, 1), 5, if(ISBLANK('2025'!$S471), 0, 1), 6, if(ISBLANK('2025'!$T471), 0, 1), 7, 0))), 1, "")</f>
        <v/>
      </c>
      <c r="AW508" s="1" t="str">
        <f>IF(AND(AND(AND(AW$4&gt;='2025'!$L471,AW$4&lt;='2025'!$M471), AW$4&lt;&gt;DATE(2025,7,4)), (SWITCH(weekday(AW$4), 1, 0, 2, if(ISBLANK('2025'!$P471), 0, 1), 3, if(ISBLANK('2025'!$Q471), 0, 1), 4, if(ISBLANK('2025'!$R471), 0, 1), 5, if(ISBLANK('2025'!$S471), 0, 1), 6, if(ISBLANK('2025'!$T471), 0, 1), 7, 0))), 1, "")</f>
        <v/>
      </c>
      <c r="AX508" s="1" t="str">
        <f>IF(AND(AND(AND(AX$4&gt;='2025'!$L471,AX$4&lt;='2025'!$M471), AX$4&lt;&gt;DATE(2025,7,4)), (SWITCH(weekday(AX$4), 1, 0, 2, if(ISBLANK('2025'!$P471), 0, 1), 3, if(ISBLANK('2025'!$Q471), 0, 1), 4, if(ISBLANK('2025'!$R471), 0, 1), 5, if(ISBLANK('2025'!$S471), 0, 1), 6, if(ISBLANK('2025'!$T471), 0, 1), 7, 0))), 1, "")</f>
        <v/>
      </c>
      <c r="AY508" s="1" t="str">
        <f>IF(AND(AND(AND(AY$4&gt;='2025'!$L471,AY$4&lt;='2025'!$M471), AY$4&lt;&gt;DATE(2025,7,4)), (SWITCH(weekday(AY$4), 1, 0, 2, if(ISBLANK('2025'!$P471), 0, 1), 3, if(ISBLANK('2025'!$Q471), 0, 1), 4, if(ISBLANK('2025'!$R471), 0, 1), 5, if(ISBLANK('2025'!$S471), 0, 1), 6, if(ISBLANK('2025'!$T471), 0, 1), 7, 0))), 1, "")</f>
        <v/>
      </c>
      <c r="AZ508" s="1" t="str">
        <f>IF(AND(AND(AND(AZ$4&gt;='2025'!$L471,AZ$4&lt;='2025'!$M471), AZ$4&lt;&gt;DATE(2025,7,4)), (SWITCH(weekday(AZ$4), 1, 0, 2, if(ISBLANK('2025'!$P471), 0, 1), 3, if(ISBLANK('2025'!$Q471), 0, 1), 4, if(ISBLANK('2025'!$R471), 0, 1), 5, if(ISBLANK('2025'!$S471), 0, 1), 6, if(ISBLANK('2025'!$T471), 0, 1), 7, 0))), 1, "")</f>
        <v/>
      </c>
      <c r="BA508" s="1" t="str">
        <f>IF(AND(AND(AND(BA$4&gt;='2025'!$L471,BA$4&lt;='2025'!$M471), BA$4&lt;&gt;DATE(2025,7,4)), (SWITCH(weekday(BA$4), 1, 0, 2, if(ISBLANK('2025'!$P471), 0, 1), 3, if(ISBLANK('2025'!$Q471), 0, 1), 4, if(ISBLANK('2025'!$R471), 0, 1), 5, if(ISBLANK('2025'!$S471), 0, 1), 6, if(ISBLANK('2025'!$T471), 0, 1), 7, 0))), 1, "")</f>
        <v/>
      </c>
      <c r="BB508" s="1" t="str">
        <f>IF(AND(AND(AND(BB$4&gt;='2025'!$L471,BB$4&lt;='2025'!$M471), BB$4&lt;&gt;DATE(2025,7,4)), (SWITCH(weekday(BB$4), 1, 0, 2, if(ISBLANK('2025'!$P471), 0, 1), 3, if(ISBLANK('2025'!$Q471), 0, 1), 4, if(ISBLANK('2025'!$R471), 0, 1), 5, if(ISBLANK('2025'!$S471), 0, 1), 6, if(ISBLANK('2025'!$T471), 0, 1), 7, 0))), 1, "")</f>
        <v/>
      </c>
      <c r="BC508" s="1" t="str">
        <f>IF(AND(AND(AND(BC$4&gt;='2025'!$L471,BC$4&lt;='2025'!$M471), BC$4&lt;&gt;DATE(2025,7,4)), (SWITCH(weekday(BC$4), 1, 0, 2, if(ISBLANK('2025'!$P471), 0, 1), 3, if(ISBLANK('2025'!$Q471), 0, 1), 4, if(ISBLANK('2025'!$R471), 0, 1), 5, if(ISBLANK('2025'!$S471), 0, 1), 6, if(ISBLANK('2025'!$T471), 0, 1), 7, 0))), 1, "")</f>
        <v/>
      </c>
      <c r="BD508" s="1" t="str">
        <f>IF(AND(AND(AND(BD$4&gt;='2025'!$L471,BD$4&lt;='2025'!$M471), BD$4&lt;&gt;DATE(2025,7,4)), (SWITCH(weekday(BD$4), 1, 0, 2, if(ISBLANK('2025'!$P471), 0, 1), 3, if(ISBLANK('2025'!$Q471), 0, 1), 4, if(ISBLANK('2025'!$R471), 0, 1), 5, if(ISBLANK('2025'!$S471), 0, 1), 6, if(ISBLANK('2025'!$T471), 0, 1), 7, 0))), 1, "")</f>
        <v/>
      </c>
      <c r="BE508" s="1" t="str">
        <f>IF(AND(AND(AND(BE$4&gt;='2025'!$L471,BE$4&lt;='2025'!$M471), BE$4&lt;&gt;DATE(2025,7,4)), (SWITCH(weekday(BE$4), 1, 0, 2, if(ISBLANK('2025'!$P471), 0, 1), 3, if(ISBLANK('2025'!$Q471), 0, 1), 4, if(ISBLANK('2025'!$R471), 0, 1), 5, if(ISBLANK('2025'!$S471), 0, 1), 6, if(ISBLANK('2025'!$T471), 0, 1), 7, 0))), 1, "")</f>
        <v/>
      </c>
    </row>
    <row r="509">
      <c r="A509" s="1">
        <f t="shared" si="3"/>
        <v>509</v>
      </c>
      <c r="B509" s="1" t="str">
        <f>'2025'!D472</f>
        <v/>
      </c>
      <c r="C509" s="1" t="str">
        <f>'2025'!H472</f>
        <v/>
      </c>
      <c r="D509" s="1" t="str">
        <f>IF(AND(AND(AND(D$4&gt;='2025'!$L472,D$4&lt;='2025'!$M472), D$4&lt;&gt;DATE(2025,7,4)), (SWITCH(weekday(D$4), 1, 0, 2, if(ISBLANK('2025'!$P472), 0, 1), 3, if(ISBLANK('2025'!$Q472), 0, 1), 4, if(ISBLANK('2025'!$R472), 0, 1), 5, if(ISBLANK('2025'!$S472), 0, 1), 6, if(ISBLANK('2025'!$T472), 0, 1), 7, 0))), 1, "")</f>
        <v/>
      </c>
      <c r="E509" s="1" t="str">
        <f>IF(AND(AND(AND(E$4&gt;='2025'!$L472,E$4&lt;='2025'!$M472), E$4&lt;&gt;DATE(2025,7,4)), (SWITCH(weekday(E$4), 1, 0, 2, if(ISBLANK('2025'!$P472), 0, 1), 3, if(ISBLANK('2025'!$Q472), 0, 1), 4, if(ISBLANK('2025'!$R472), 0, 1), 5, if(ISBLANK('2025'!$S472), 0, 1), 6, if(ISBLANK('2025'!$T472), 0, 1), 7, 0))), 1, "")</f>
        <v/>
      </c>
      <c r="F509" s="1" t="str">
        <f>IF(AND(AND(AND(F$4&gt;='2025'!$L472,F$4&lt;='2025'!$M472), F$4&lt;&gt;DATE(2025,7,4)), (SWITCH(weekday(F$4), 1, 0, 2, if(ISBLANK('2025'!$P472), 0, 1), 3, if(ISBLANK('2025'!$Q472), 0, 1), 4, if(ISBLANK('2025'!$R472), 0, 1), 5, if(ISBLANK('2025'!$S472), 0, 1), 6, if(ISBLANK('2025'!$T472), 0, 1), 7, 0))), 1, "")</f>
        <v/>
      </c>
      <c r="G509" s="1" t="str">
        <f>IF(AND(AND(AND(G$4&gt;='2025'!$L472,G$4&lt;='2025'!$M472), G$4&lt;&gt;DATE(2025,7,4)), (SWITCH(weekday(G$4), 1, 0, 2, if(ISBLANK('2025'!$P472), 0, 1), 3, if(ISBLANK('2025'!$Q472), 0, 1), 4, if(ISBLANK('2025'!$R472), 0, 1), 5, if(ISBLANK('2025'!$S472), 0, 1), 6, if(ISBLANK('2025'!$T472), 0, 1), 7, 0))), 1, "")</f>
        <v/>
      </c>
      <c r="H509" s="1" t="str">
        <f>IF(AND(AND(AND(H$4&gt;='2025'!$L472,H$4&lt;='2025'!$M472), H$4&lt;&gt;DATE(2025,7,4)), (SWITCH(weekday(H$4), 1, 0, 2, if(ISBLANK('2025'!$P472), 0, 1), 3, if(ISBLANK('2025'!$Q472), 0, 1), 4, if(ISBLANK('2025'!$R472), 0, 1), 5, if(ISBLANK('2025'!$S472), 0, 1), 6, if(ISBLANK('2025'!$T472), 0, 1), 7, 0))), 1, "")</f>
        <v/>
      </c>
      <c r="I509" s="1" t="str">
        <f>IF(AND(AND(AND(I$4&gt;='2025'!$L472,I$4&lt;='2025'!$M472), I$4&lt;&gt;DATE(2025,7,4)), (SWITCH(weekday(I$4), 1, 0, 2, if(ISBLANK('2025'!$P472), 0, 1), 3, if(ISBLANK('2025'!$Q472), 0, 1), 4, if(ISBLANK('2025'!$R472), 0, 1), 5, if(ISBLANK('2025'!$S472), 0, 1), 6, if(ISBLANK('2025'!$T472), 0, 1), 7, 0))), 1, "")</f>
        <v/>
      </c>
      <c r="J509" s="1" t="str">
        <f>IF(AND(AND(AND(J$4&gt;='2025'!$L472,J$4&lt;='2025'!$M472), J$4&lt;&gt;DATE(2025,7,4)), (SWITCH(weekday(J$4), 1, 0, 2, if(ISBLANK('2025'!$P472), 0, 1), 3, if(ISBLANK('2025'!$Q472), 0, 1), 4, if(ISBLANK('2025'!$R472), 0, 1), 5, if(ISBLANK('2025'!$S472), 0, 1), 6, if(ISBLANK('2025'!$T472), 0, 1), 7, 0))), 1, "")</f>
        <v/>
      </c>
      <c r="K509" s="1" t="str">
        <f>IF(AND(AND(AND(K$4&gt;='2025'!$L472,K$4&lt;='2025'!$M472), K$4&lt;&gt;DATE(2025,7,4)), (SWITCH(weekday(K$4), 1, 0, 2, if(ISBLANK('2025'!$P472), 0, 1), 3, if(ISBLANK('2025'!$Q472), 0, 1), 4, if(ISBLANK('2025'!$R472), 0, 1), 5, if(ISBLANK('2025'!$S472), 0, 1), 6, if(ISBLANK('2025'!$T472), 0, 1), 7, 0))), 1, "")</f>
        <v/>
      </c>
      <c r="L509" s="1" t="str">
        <f>IF(AND(AND(AND(L$4&gt;='2025'!$L472,L$4&lt;='2025'!$M472), L$4&lt;&gt;DATE(2025,7,4)), (SWITCH(weekday(L$4), 1, 0, 2, if(ISBLANK('2025'!$P472), 0, 1), 3, if(ISBLANK('2025'!$Q472), 0, 1), 4, if(ISBLANK('2025'!$R472), 0, 1), 5, if(ISBLANK('2025'!$S472), 0, 1), 6, if(ISBLANK('2025'!$T472), 0, 1), 7, 0))), 1, "")</f>
        <v/>
      </c>
      <c r="M509" s="1" t="str">
        <f>IF(AND(AND(AND(M$4&gt;='2025'!$L472,M$4&lt;='2025'!$M472), M$4&lt;&gt;DATE(2025,7,4)), (SWITCH(weekday(M$4), 1, 0, 2, if(ISBLANK('2025'!$P472), 0, 1), 3, if(ISBLANK('2025'!$Q472), 0, 1), 4, if(ISBLANK('2025'!$R472), 0, 1), 5, if(ISBLANK('2025'!$S472), 0, 1), 6, if(ISBLANK('2025'!$T472), 0, 1), 7, 0))), 1, "")</f>
        <v/>
      </c>
      <c r="N509" s="1" t="str">
        <f>IF(AND(AND(AND(N$4&gt;='2025'!$L472,N$4&lt;='2025'!$M472), N$4&lt;&gt;DATE(2025,7,4)), (SWITCH(weekday(N$4), 1, 0, 2, if(ISBLANK('2025'!$P472), 0, 1), 3, if(ISBLANK('2025'!$Q472), 0, 1), 4, if(ISBLANK('2025'!$R472), 0, 1), 5, if(ISBLANK('2025'!$S472), 0, 1), 6, if(ISBLANK('2025'!$T472), 0, 1), 7, 0))), 1, "")</f>
        <v/>
      </c>
      <c r="O509" s="1" t="str">
        <f>IF(AND(AND(AND(O$4&gt;='2025'!$L472,O$4&lt;='2025'!$M472), O$4&lt;&gt;DATE(2025,7,4)), (SWITCH(weekday(O$4), 1, 0, 2, if(ISBLANK('2025'!$P472), 0, 1), 3, if(ISBLANK('2025'!$Q472), 0, 1), 4, if(ISBLANK('2025'!$R472), 0, 1), 5, if(ISBLANK('2025'!$S472), 0, 1), 6, if(ISBLANK('2025'!$T472), 0, 1), 7, 0))), 1, "")</f>
        <v/>
      </c>
      <c r="P509" s="1" t="str">
        <f>IF(AND(AND(AND(P$4&gt;='2025'!$L472,P$4&lt;='2025'!$M472), P$4&lt;&gt;DATE(2025,7,4)), (SWITCH(weekday(P$4), 1, 0, 2, if(ISBLANK('2025'!$P472), 0, 1), 3, if(ISBLANK('2025'!$Q472), 0, 1), 4, if(ISBLANK('2025'!$R472), 0, 1), 5, if(ISBLANK('2025'!$S472), 0, 1), 6, if(ISBLANK('2025'!$T472), 0, 1), 7, 0))), 1, "")</f>
        <v/>
      </c>
      <c r="Q509" s="1" t="str">
        <f>IF(AND(AND(AND(Q$4&gt;='2025'!$L472,Q$4&lt;='2025'!$M472), Q$4&lt;&gt;DATE(2025,7,4)), (SWITCH(weekday(Q$4), 1, 0, 2, if(ISBLANK('2025'!$P472), 0, 1), 3, if(ISBLANK('2025'!$Q472), 0, 1), 4, if(ISBLANK('2025'!$R472), 0, 1), 5, if(ISBLANK('2025'!$S472), 0, 1), 6, if(ISBLANK('2025'!$T472), 0, 1), 7, 0))), 1, "")</f>
        <v/>
      </c>
      <c r="R509" s="1" t="str">
        <f>IF(AND(AND(AND(R$4&gt;='2025'!$L472,R$4&lt;='2025'!$M472), R$4&lt;&gt;DATE(2025,7,4)), (SWITCH(weekday(R$4), 1, 0, 2, if(ISBLANK('2025'!$P472), 0, 1), 3, if(ISBLANK('2025'!$Q472), 0, 1), 4, if(ISBLANK('2025'!$R472), 0, 1), 5, if(ISBLANK('2025'!$S472), 0, 1), 6, if(ISBLANK('2025'!$T472), 0, 1), 7, 0))), 1, "")</f>
        <v/>
      </c>
      <c r="S509" s="1" t="str">
        <f>IF(AND(AND(AND(S$4&gt;='2025'!$L472,S$4&lt;='2025'!$M472), S$4&lt;&gt;DATE(2025,7,4)), (SWITCH(weekday(S$4), 1, 0, 2, if(ISBLANK('2025'!$P472), 0, 1), 3, if(ISBLANK('2025'!$Q472), 0, 1), 4, if(ISBLANK('2025'!$R472), 0, 1), 5, if(ISBLANK('2025'!$S472), 0, 1), 6, if(ISBLANK('2025'!$T472), 0, 1), 7, 0))), 1, "")</f>
        <v/>
      </c>
      <c r="T509" s="1" t="str">
        <f>IF(AND(AND(AND(T$4&gt;='2025'!$L472,T$4&lt;='2025'!$M472), T$4&lt;&gt;DATE(2025,7,4)), (SWITCH(weekday(T$4), 1, 0, 2, if(ISBLANK('2025'!$P472), 0, 1), 3, if(ISBLANK('2025'!$Q472), 0, 1), 4, if(ISBLANK('2025'!$R472), 0, 1), 5, if(ISBLANK('2025'!$S472), 0, 1), 6, if(ISBLANK('2025'!$T472), 0, 1), 7, 0))), 1, "")</f>
        <v/>
      </c>
      <c r="U509" s="1" t="str">
        <f>IF(AND(AND(AND(U$4&gt;='2025'!$L472,U$4&lt;='2025'!$M472), U$4&lt;&gt;DATE(2025,7,4)), (SWITCH(weekday(U$4), 1, 0, 2, if(ISBLANK('2025'!$P472), 0, 1), 3, if(ISBLANK('2025'!$Q472), 0, 1), 4, if(ISBLANK('2025'!$R472), 0, 1), 5, if(ISBLANK('2025'!$S472), 0, 1), 6, if(ISBLANK('2025'!$T472), 0, 1), 7, 0))), 1, "")</f>
        <v/>
      </c>
      <c r="V509" s="1" t="str">
        <f>IF(AND(AND(AND(V$4&gt;='2025'!$L472,V$4&lt;='2025'!$M472), V$4&lt;&gt;DATE(2025,7,4)), (SWITCH(weekday(V$4), 1, 0, 2, if(ISBLANK('2025'!$P472), 0, 1), 3, if(ISBLANK('2025'!$Q472), 0, 1), 4, if(ISBLANK('2025'!$R472), 0, 1), 5, if(ISBLANK('2025'!$S472), 0, 1), 6, if(ISBLANK('2025'!$T472), 0, 1), 7, 0))), 1, "")</f>
        <v/>
      </c>
      <c r="W509" s="1" t="str">
        <f>IF(AND(AND(AND(W$4&gt;='2025'!$L472,W$4&lt;='2025'!$M472), W$4&lt;&gt;DATE(2025,7,4)), (SWITCH(weekday(W$4), 1, 0, 2, if(ISBLANK('2025'!$P472), 0, 1), 3, if(ISBLANK('2025'!$Q472), 0, 1), 4, if(ISBLANK('2025'!$R472), 0, 1), 5, if(ISBLANK('2025'!$S472), 0, 1), 6, if(ISBLANK('2025'!$T472), 0, 1), 7, 0))), 1, "")</f>
        <v/>
      </c>
      <c r="X509" s="1" t="str">
        <f>IF(AND(AND(AND(X$4&gt;='2025'!$L472,X$4&lt;='2025'!$M472), X$4&lt;&gt;DATE(2025,7,4)), (SWITCH(weekday(X$4), 1, 0, 2, if(ISBLANK('2025'!$P472), 0, 1), 3, if(ISBLANK('2025'!$Q472), 0, 1), 4, if(ISBLANK('2025'!$R472), 0, 1), 5, if(ISBLANK('2025'!$S472), 0, 1), 6, if(ISBLANK('2025'!$T472), 0, 1), 7, 0))), 1, "")</f>
        <v/>
      </c>
      <c r="Y509" s="1" t="str">
        <f>IF(AND(AND(AND(Y$4&gt;='2025'!$L472,Y$4&lt;='2025'!$M472), Y$4&lt;&gt;DATE(2025,7,4)), (SWITCH(weekday(Y$4), 1, 0, 2, if(ISBLANK('2025'!$P472), 0, 1), 3, if(ISBLANK('2025'!$Q472), 0, 1), 4, if(ISBLANK('2025'!$R472), 0, 1), 5, if(ISBLANK('2025'!$S472), 0, 1), 6, if(ISBLANK('2025'!$T472), 0, 1), 7, 0))), 1, "")</f>
        <v/>
      </c>
      <c r="Z509" s="1" t="str">
        <f>IF(AND(AND(AND(Z$4&gt;='2025'!$L472,Z$4&lt;='2025'!$M472), Z$4&lt;&gt;DATE(2025,7,4)), (SWITCH(weekday(Z$4), 1, 0, 2, if(ISBLANK('2025'!$P472), 0, 1), 3, if(ISBLANK('2025'!$Q472), 0, 1), 4, if(ISBLANK('2025'!$R472), 0, 1), 5, if(ISBLANK('2025'!$S472), 0, 1), 6, if(ISBLANK('2025'!$T472), 0, 1), 7, 0))), 1, "")</f>
        <v/>
      </c>
      <c r="AA509" s="1" t="str">
        <f>IF(AND(AND(AND(AA$4&gt;='2025'!$L472,AA$4&lt;='2025'!$M472), AA$4&lt;&gt;DATE(2025,7,4)), (SWITCH(weekday(AA$4), 1, 0, 2, if(ISBLANK('2025'!$P472), 0, 1), 3, if(ISBLANK('2025'!$Q472), 0, 1), 4, if(ISBLANK('2025'!$R472), 0, 1), 5, if(ISBLANK('2025'!$S472), 0, 1), 6, if(ISBLANK('2025'!$T472), 0, 1), 7, 0))), 1, "")</f>
        <v/>
      </c>
      <c r="AB509" s="1" t="str">
        <f>IF(AND(AND(AND(AB$4&gt;='2025'!$L472,AB$4&lt;='2025'!$M472), AB$4&lt;&gt;DATE(2025,7,4)), (SWITCH(weekday(AB$4), 1, 0, 2, if(ISBLANK('2025'!$P472), 0, 1), 3, if(ISBLANK('2025'!$Q472), 0, 1), 4, if(ISBLANK('2025'!$R472), 0, 1), 5, if(ISBLANK('2025'!$S472), 0, 1), 6, if(ISBLANK('2025'!$T472), 0, 1), 7, 0))), 1, "")</f>
        <v/>
      </c>
      <c r="AC509" s="1" t="str">
        <f>IF(AND(AND(AND(AC$4&gt;='2025'!$L472,AC$4&lt;='2025'!$M472), AC$4&lt;&gt;DATE(2025,7,4)), (SWITCH(weekday(AC$4), 1, 0, 2, if(ISBLANK('2025'!$P472), 0, 1), 3, if(ISBLANK('2025'!$Q472), 0, 1), 4, if(ISBLANK('2025'!$R472), 0, 1), 5, if(ISBLANK('2025'!$S472), 0, 1), 6, if(ISBLANK('2025'!$T472), 0, 1), 7, 0))), 1, "")</f>
        <v/>
      </c>
      <c r="AD509" s="1" t="str">
        <f>IF(AND(AND(AND(AD$4&gt;='2025'!$L472,AD$4&lt;='2025'!$M472), AD$4&lt;&gt;DATE(2025,7,4)), (SWITCH(weekday(AD$4), 1, 0, 2, if(ISBLANK('2025'!$P472), 0, 1), 3, if(ISBLANK('2025'!$Q472), 0, 1), 4, if(ISBLANK('2025'!$R472), 0, 1), 5, if(ISBLANK('2025'!$S472), 0, 1), 6, if(ISBLANK('2025'!$T472), 0, 1), 7, 0))), 1, "")</f>
        <v/>
      </c>
      <c r="AE509" s="1" t="str">
        <f>IF(AND(AND(AND(AE$4&gt;='2025'!$L472,AE$4&lt;='2025'!$M472), AE$4&lt;&gt;DATE(2025,7,4)), (SWITCH(weekday(AE$4), 1, 0, 2, if(ISBLANK('2025'!$P472), 0, 1), 3, if(ISBLANK('2025'!$Q472), 0, 1), 4, if(ISBLANK('2025'!$R472), 0, 1), 5, if(ISBLANK('2025'!$S472), 0, 1), 6, if(ISBLANK('2025'!$T472), 0, 1), 7, 0))), 1, "")</f>
        <v/>
      </c>
      <c r="AF509" s="1" t="str">
        <f>IF(AND(AND(AND(AF$4&gt;='2025'!$L472,AF$4&lt;='2025'!$M472), AF$4&lt;&gt;DATE(2025,7,4)), (SWITCH(weekday(AF$4), 1, 0, 2, if(ISBLANK('2025'!$P472), 0, 1), 3, if(ISBLANK('2025'!$Q472), 0, 1), 4, if(ISBLANK('2025'!$R472), 0, 1), 5, if(ISBLANK('2025'!$S472), 0, 1), 6, if(ISBLANK('2025'!$T472), 0, 1), 7, 0))), 1, "")</f>
        <v/>
      </c>
      <c r="AG509" s="1" t="str">
        <f>IF(AND(AND(AND(AG$4&gt;='2025'!$L472,AG$4&lt;='2025'!$M472), AG$4&lt;&gt;DATE(2025,7,4)), (SWITCH(weekday(AG$4), 1, 0, 2, if(ISBLANK('2025'!$P472), 0, 1), 3, if(ISBLANK('2025'!$Q472), 0, 1), 4, if(ISBLANK('2025'!$R472), 0, 1), 5, if(ISBLANK('2025'!$S472), 0, 1), 6, if(ISBLANK('2025'!$T472), 0, 1), 7, 0))), 1, "")</f>
        <v/>
      </c>
      <c r="AH509" s="1" t="str">
        <f>IF(AND(AND(AND(AH$4&gt;='2025'!$L472,AH$4&lt;='2025'!$M472), AH$4&lt;&gt;DATE(2025,7,4)), (SWITCH(weekday(AH$4), 1, 0, 2, if(ISBLANK('2025'!$P472), 0, 1), 3, if(ISBLANK('2025'!$Q472), 0, 1), 4, if(ISBLANK('2025'!$R472), 0, 1), 5, if(ISBLANK('2025'!$S472), 0, 1), 6, if(ISBLANK('2025'!$T472), 0, 1), 7, 0))), 1, "")</f>
        <v/>
      </c>
      <c r="AI509" s="1" t="str">
        <f>IF(AND(AND(AND(AI$4&gt;='2025'!$L472,AI$4&lt;='2025'!$M472), AI$4&lt;&gt;DATE(2025,7,4)), (SWITCH(weekday(AI$4), 1, 0, 2, if(ISBLANK('2025'!$P472), 0, 1), 3, if(ISBLANK('2025'!$Q472), 0, 1), 4, if(ISBLANK('2025'!$R472), 0, 1), 5, if(ISBLANK('2025'!$S472), 0, 1), 6, if(ISBLANK('2025'!$T472), 0, 1), 7, 0))), 1, "")</f>
        <v/>
      </c>
      <c r="AJ509" s="1" t="str">
        <f>IF(AND(AND(AND(AJ$4&gt;='2025'!$L472,AJ$4&lt;='2025'!$M472), AJ$4&lt;&gt;DATE(2025,7,4)), (SWITCH(weekday(AJ$4), 1, 0, 2, if(ISBLANK('2025'!$P472), 0, 1), 3, if(ISBLANK('2025'!$Q472), 0, 1), 4, if(ISBLANK('2025'!$R472), 0, 1), 5, if(ISBLANK('2025'!$S472), 0, 1), 6, if(ISBLANK('2025'!$T472), 0, 1), 7, 0))), 1, "")</f>
        <v/>
      </c>
      <c r="AK509" s="1" t="str">
        <f>IF(AND(AND(AND(AK$4&gt;='2025'!$L472,AK$4&lt;='2025'!$M472), AK$4&lt;&gt;DATE(2025,7,4)), (SWITCH(weekday(AK$4), 1, 0, 2, if(ISBLANK('2025'!$P472), 0, 1), 3, if(ISBLANK('2025'!$Q472), 0, 1), 4, if(ISBLANK('2025'!$R472), 0, 1), 5, if(ISBLANK('2025'!$S472), 0, 1), 6, if(ISBLANK('2025'!$T472), 0, 1), 7, 0))), 1, "")</f>
        <v/>
      </c>
      <c r="AL509" s="1" t="str">
        <f>IF(AND(AND(AND(AL$4&gt;='2025'!$L472,AL$4&lt;='2025'!$M472), AL$4&lt;&gt;DATE(2025,7,4)), (SWITCH(weekday(AL$4), 1, 0, 2, if(ISBLANK('2025'!$P472), 0, 1), 3, if(ISBLANK('2025'!$Q472), 0, 1), 4, if(ISBLANK('2025'!$R472), 0, 1), 5, if(ISBLANK('2025'!$S472), 0, 1), 6, if(ISBLANK('2025'!$T472), 0, 1), 7, 0))), 1, "")</f>
        <v/>
      </c>
      <c r="AM509" s="1" t="str">
        <f>IF(AND(AND(AND(AM$4&gt;='2025'!$L472,AM$4&lt;='2025'!$M472), AM$4&lt;&gt;DATE(2025,7,4)), (SWITCH(weekday(AM$4), 1, 0, 2, if(ISBLANK('2025'!$P472), 0, 1), 3, if(ISBLANK('2025'!$Q472), 0, 1), 4, if(ISBLANK('2025'!$R472), 0, 1), 5, if(ISBLANK('2025'!$S472), 0, 1), 6, if(ISBLANK('2025'!$T472), 0, 1), 7, 0))), 1, "")</f>
        <v/>
      </c>
      <c r="AN509" s="1" t="str">
        <f>IF(AND(AND(AND(AN$4&gt;='2025'!$L472,AN$4&lt;='2025'!$M472), AN$4&lt;&gt;DATE(2025,7,4)), (SWITCH(weekday(AN$4), 1, 0, 2, if(ISBLANK('2025'!$P472), 0, 1), 3, if(ISBLANK('2025'!$Q472), 0, 1), 4, if(ISBLANK('2025'!$R472), 0, 1), 5, if(ISBLANK('2025'!$S472), 0, 1), 6, if(ISBLANK('2025'!$T472), 0, 1), 7, 0))), 1, "")</f>
        <v/>
      </c>
      <c r="AO509" s="1" t="str">
        <f>IF(AND(AND(AND(AO$4&gt;='2025'!$L472,AO$4&lt;='2025'!$M472), AO$4&lt;&gt;DATE(2025,7,4)), (SWITCH(weekday(AO$4), 1, 0, 2, if(ISBLANK('2025'!$P472), 0, 1), 3, if(ISBLANK('2025'!$Q472), 0, 1), 4, if(ISBLANK('2025'!$R472), 0, 1), 5, if(ISBLANK('2025'!$S472), 0, 1), 6, if(ISBLANK('2025'!$T472), 0, 1), 7, 0))), 1, "")</f>
        <v/>
      </c>
      <c r="AP509" s="1" t="str">
        <f>IF(AND(AND(AND(AP$4&gt;='2025'!$L472,AP$4&lt;='2025'!$M472), AP$4&lt;&gt;DATE(2025,7,4)), (SWITCH(weekday(AP$4), 1, 0, 2, if(ISBLANK('2025'!$P472), 0, 1), 3, if(ISBLANK('2025'!$Q472), 0, 1), 4, if(ISBLANK('2025'!$R472), 0, 1), 5, if(ISBLANK('2025'!$S472), 0, 1), 6, if(ISBLANK('2025'!$T472), 0, 1), 7, 0))), 1, "")</f>
        <v/>
      </c>
      <c r="AQ509" s="1" t="str">
        <f>IF(AND(AND(AND(AQ$4&gt;='2025'!$L472,AQ$4&lt;='2025'!$M472), AQ$4&lt;&gt;DATE(2025,7,4)), (SWITCH(weekday(AQ$4), 1, 0, 2, if(ISBLANK('2025'!$P472), 0, 1), 3, if(ISBLANK('2025'!$Q472), 0, 1), 4, if(ISBLANK('2025'!$R472), 0, 1), 5, if(ISBLANK('2025'!$S472), 0, 1), 6, if(ISBLANK('2025'!$T472), 0, 1), 7, 0))), 1, "")</f>
        <v/>
      </c>
      <c r="AR509" s="1" t="str">
        <f>IF(AND(AND(AND(AR$4&gt;='2025'!$L472,AR$4&lt;='2025'!$M472), AR$4&lt;&gt;DATE(2025,7,4)), (SWITCH(weekday(AR$4), 1, 0, 2, if(ISBLANK('2025'!$P472), 0, 1), 3, if(ISBLANK('2025'!$Q472), 0, 1), 4, if(ISBLANK('2025'!$R472), 0, 1), 5, if(ISBLANK('2025'!$S472), 0, 1), 6, if(ISBLANK('2025'!$T472), 0, 1), 7, 0))), 1, "")</f>
        <v/>
      </c>
      <c r="AS509" s="1" t="str">
        <f>IF(AND(AND(AND(AS$4&gt;='2025'!$L472,AS$4&lt;='2025'!$M472), AS$4&lt;&gt;DATE(2025,7,4)), (SWITCH(weekday(AS$4), 1, 0, 2, if(ISBLANK('2025'!$P472), 0, 1), 3, if(ISBLANK('2025'!$Q472), 0, 1), 4, if(ISBLANK('2025'!$R472), 0, 1), 5, if(ISBLANK('2025'!$S472), 0, 1), 6, if(ISBLANK('2025'!$T472), 0, 1), 7, 0))), 1, "")</f>
        <v/>
      </c>
      <c r="AT509" s="1" t="str">
        <f>IF(AND(AND(AND(AT$4&gt;='2025'!$L472,AT$4&lt;='2025'!$M472), AT$4&lt;&gt;DATE(2025,7,4)), (SWITCH(weekday(AT$4), 1, 0, 2, if(ISBLANK('2025'!$P472), 0, 1), 3, if(ISBLANK('2025'!$Q472), 0, 1), 4, if(ISBLANK('2025'!$R472), 0, 1), 5, if(ISBLANK('2025'!$S472), 0, 1), 6, if(ISBLANK('2025'!$T472), 0, 1), 7, 0))), 1, "")</f>
        <v/>
      </c>
      <c r="AU509" s="1" t="str">
        <f>IF(AND(AND(AND(AU$4&gt;='2025'!$L472,AU$4&lt;='2025'!$M472), AU$4&lt;&gt;DATE(2025,7,4)), (SWITCH(weekday(AU$4), 1, 0, 2, if(ISBLANK('2025'!$P472), 0, 1), 3, if(ISBLANK('2025'!$Q472), 0, 1), 4, if(ISBLANK('2025'!$R472), 0, 1), 5, if(ISBLANK('2025'!$S472), 0, 1), 6, if(ISBLANK('2025'!$T472), 0, 1), 7, 0))), 1, "")</f>
        <v/>
      </c>
      <c r="AV509" s="1" t="str">
        <f>IF(AND(AND(AND(AV$4&gt;='2025'!$L472,AV$4&lt;='2025'!$M472), AV$4&lt;&gt;DATE(2025,7,4)), (SWITCH(weekday(AV$4), 1, 0, 2, if(ISBLANK('2025'!$P472), 0, 1), 3, if(ISBLANK('2025'!$Q472), 0, 1), 4, if(ISBLANK('2025'!$R472), 0, 1), 5, if(ISBLANK('2025'!$S472), 0, 1), 6, if(ISBLANK('2025'!$T472), 0, 1), 7, 0))), 1, "")</f>
        <v/>
      </c>
      <c r="AW509" s="1" t="str">
        <f>IF(AND(AND(AND(AW$4&gt;='2025'!$L472,AW$4&lt;='2025'!$M472), AW$4&lt;&gt;DATE(2025,7,4)), (SWITCH(weekday(AW$4), 1, 0, 2, if(ISBLANK('2025'!$P472), 0, 1), 3, if(ISBLANK('2025'!$Q472), 0, 1), 4, if(ISBLANK('2025'!$R472), 0, 1), 5, if(ISBLANK('2025'!$S472), 0, 1), 6, if(ISBLANK('2025'!$T472), 0, 1), 7, 0))), 1, "")</f>
        <v/>
      </c>
      <c r="AX509" s="1" t="str">
        <f>IF(AND(AND(AND(AX$4&gt;='2025'!$L472,AX$4&lt;='2025'!$M472), AX$4&lt;&gt;DATE(2025,7,4)), (SWITCH(weekday(AX$4), 1, 0, 2, if(ISBLANK('2025'!$P472), 0, 1), 3, if(ISBLANK('2025'!$Q472), 0, 1), 4, if(ISBLANK('2025'!$R472), 0, 1), 5, if(ISBLANK('2025'!$S472), 0, 1), 6, if(ISBLANK('2025'!$T472), 0, 1), 7, 0))), 1, "")</f>
        <v/>
      </c>
      <c r="AY509" s="1" t="str">
        <f>IF(AND(AND(AND(AY$4&gt;='2025'!$L472,AY$4&lt;='2025'!$M472), AY$4&lt;&gt;DATE(2025,7,4)), (SWITCH(weekday(AY$4), 1, 0, 2, if(ISBLANK('2025'!$P472), 0, 1), 3, if(ISBLANK('2025'!$Q472), 0, 1), 4, if(ISBLANK('2025'!$R472), 0, 1), 5, if(ISBLANK('2025'!$S472), 0, 1), 6, if(ISBLANK('2025'!$T472), 0, 1), 7, 0))), 1, "")</f>
        <v/>
      </c>
      <c r="AZ509" s="1" t="str">
        <f>IF(AND(AND(AND(AZ$4&gt;='2025'!$L472,AZ$4&lt;='2025'!$M472), AZ$4&lt;&gt;DATE(2025,7,4)), (SWITCH(weekday(AZ$4), 1, 0, 2, if(ISBLANK('2025'!$P472), 0, 1), 3, if(ISBLANK('2025'!$Q472), 0, 1), 4, if(ISBLANK('2025'!$R472), 0, 1), 5, if(ISBLANK('2025'!$S472), 0, 1), 6, if(ISBLANK('2025'!$T472), 0, 1), 7, 0))), 1, "")</f>
        <v/>
      </c>
      <c r="BA509" s="1" t="str">
        <f>IF(AND(AND(AND(BA$4&gt;='2025'!$L472,BA$4&lt;='2025'!$M472), BA$4&lt;&gt;DATE(2025,7,4)), (SWITCH(weekday(BA$4), 1, 0, 2, if(ISBLANK('2025'!$P472), 0, 1), 3, if(ISBLANK('2025'!$Q472), 0, 1), 4, if(ISBLANK('2025'!$R472), 0, 1), 5, if(ISBLANK('2025'!$S472), 0, 1), 6, if(ISBLANK('2025'!$T472), 0, 1), 7, 0))), 1, "")</f>
        <v/>
      </c>
      <c r="BB509" s="1" t="str">
        <f>IF(AND(AND(AND(BB$4&gt;='2025'!$L472,BB$4&lt;='2025'!$M472), BB$4&lt;&gt;DATE(2025,7,4)), (SWITCH(weekday(BB$4), 1, 0, 2, if(ISBLANK('2025'!$P472), 0, 1), 3, if(ISBLANK('2025'!$Q472), 0, 1), 4, if(ISBLANK('2025'!$R472), 0, 1), 5, if(ISBLANK('2025'!$S472), 0, 1), 6, if(ISBLANK('2025'!$T472), 0, 1), 7, 0))), 1, "")</f>
        <v/>
      </c>
      <c r="BC509" s="1" t="str">
        <f>IF(AND(AND(AND(BC$4&gt;='2025'!$L472,BC$4&lt;='2025'!$M472), BC$4&lt;&gt;DATE(2025,7,4)), (SWITCH(weekday(BC$4), 1, 0, 2, if(ISBLANK('2025'!$P472), 0, 1), 3, if(ISBLANK('2025'!$Q472), 0, 1), 4, if(ISBLANK('2025'!$R472), 0, 1), 5, if(ISBLANK('2025'!$S472), 0, 1), 6, if(ISBLANK('2025'!$T472), 0, 1), 7, 0))), 1, "")</f>
        <v/>
      </c>
      <c r="BD509" s="1" t="str">
        <f>IF(AND(AND(AND(BD$4&gt;='2025'!$L472,BD$4&lt;='2025'!$M472), BD$4&lt;&gt;DATE(2025,7,4)), (SWITCH(weekday(BD$4), 1, 0, 2, if(ISBLANK('2025'!$P472), 0, 1), 3, if(ISBLANK('2025'!$Q472), 0, 1), 4, if(ISBLANK('2025'!$R472), 0, 1), 5, if(ISBLANK('2025'!$S472), 0, 1), 6, if(ISBLANK('2025'!$T472), 0, 1), 7, 0))), 1, "")</f>
        <v/>
      </c>
      <c r="BE509" s="1" t="str">
        <f>IF(AND(AND(AND(BE$4&gt;='2025'!$L472,BE$4&lt;='2025'!$M472), BE$4&lt;&gt;DATE(2025,7,4)), (SWITCH(weekday(BE$4), 1, 0, 2, if(ISBLANK('2025'!$P472), 0, 1), 3, if(ISBLANK('2025'!$Q472), 0, 1), 4, if(ISBLANK('2025'!$R472), 0, 1), 5, if(ISBLANK('2025'!$S472), 0, 1), 6, if(ISBLANK('2025'!$T472), 0, 1), 7, 0))), 1, "")</f>
        <v/>
      </c>
    </row>
    <row r="510">
      <c r="A510" s="1">
        <f t="shared" si="3"/>
        <v>510</v>
      </c>
      <c r="B510" s="1" t="str">
        <f>'2025'!D473</f>
        <v/>
      </c>
      <c r="C510" s="1" t="str">
        <f>'2025'!H473</f>
        <v/>
      </c>
      <c r="D510" s="1" t="str">
        <f>IF(AND(AND(AND(D$4&gt;='2025'!$L473,D$4&lt;='2025'!$M473), D$4&lt;&gt;DATE(2025,7,4)), (SWITCH(weekday(D$4), 1, 0, 2, if(ISBLANK('2025'!$P473), 0, 1), 3, if(ISBLANK('2025'!$Q473), 0, 1), 4, if(ISBLANK('2025'!$R473), 0, 1), 5, if(ISBLANK('2025'!$S473), 0, 1), 6, if(ISBLANK('2025'!$T473), 0, 1), 7, 0))), 1, "")</f>
        <v/>
      </c>
      <c r="E510" s="1" t="str">
        <f>IF(AND(AND(AND(E$4&gt;='2025'!$L473,E$4&lt;='2025'!$M473), E$4&lt;&gt;DATE(2025,7,4)), (SWITCH(weekday(E$4), 1, 0, 2, if(ISBLANK('2025'!$P473), 0, 1), 3, if(ISBLANK('2025'!$Q473), 0, 1), 4, if(ISBLANK('2025'!$R473), 0, 1), 5, if(ISBLANK('2025'!$S473), 0, 1), 6, if(ISBLANK('2025'!$T473), 0, 1), 7, 0))), 1, "")</f>
        <v/>
      </c>
      <c r="F510" s="1" t="str">
        <f>IF(AND(AND(AND(F$4&gt;='2025'!$L473,F$4&lt;='2025'!$M473), F$4&lt;&gt;DATE(2025,7,4)), (SWITCH(weekday(F$4), 1, 0, 2, if(ISBLANK('2025'!$P473), 0, 1), 3, if(ISBLANK('2025'!$Q473), 0, 1), 4, if(ISBLANK('2025'!$R473), 0, 1), 5, if(ISBLANK('2025'!$S473), 0, 1), 6, if(ISBLANK('2025'!$T473), 0, 1), 7, 0))), 1, "")</f>
        <v/>
      </c>
      <c r="G510" s="1" t="str">
        <f>IF(AND(AND(AND(G$4&gt;='2025'!$L473,G$4&lt;='2025'!$M473), G$4&lt;&gt;DATE(2025,7,4)), (SWITCH(weekday(G$4), 1, 0, 2, if(ISBLANK('2025'!$P473), 0, 1), 3, if(ISBLANK('2025'!$Q473), 0, 1), 4, if(ISBLANK('2025'!$R473), 0, 1), 5, if(ISBLANK('2025'!$S473), 0, 1), 6, if(ISBLANK('2025'!$T473), 0, 1), 7, 0))), 1, "")</f>
        <v/>
      </c>
      <c r="H510" s="1" t="str">
        <f>IF(AND(AND(AND(H$4&gt;='2025'!$L473,H$4&lt;='2025'!$M473), H$4&lt;&gt;DATE(2025,7,4)), (SWITCH(weekday(H$4), 1, 0, 2, if(ISBLANK('2025'!$P473), 0, 1), 3, if(ISBLANK('2025'!$Q473), 0, 1), 4, if(ISBLANK('2025'!$R473), 0, 1), 5, if(ISBLANK('2025'!$S473), 0, 1), 6, if(ISBLANK('2025'!$T473), 0, 1), 7, 0))), 1, "")</f>
        <v/>
      </c>
      <c r="I510" s="1" t="str">
        <f>IF(AND(AND(AND(I$4&gt;='2025'!$L473,I$4&lt;='2025'!$M473), I$4&lt;&gt;DATE(2025,7,4)), (SWITCH(weekday(I$4), 1, 0, 2, if(ISBLANK('2025'!$P473), 0, 1), 3, if(ISBLANK('2025'!$Q473), 0, 1), 4, if(ISBLANK('2025'!$R473), 0, 1), 5, if(ISBLANK('2025'!$S473), 0, 1), 6, if(ISBLANK('2025'!$T473), 0, 1), 7, 0))), 1, "")</f>
        <v/>
      </c>
      <c r="J510" s="1" t="str">
        <f>IF(AND(AND(AND(J$4&gt;='2025'!$L473,J$4&lt;='2025'!$M473), J$4&lt;&gt;DATE(2025,7,4)), (SWITCH(weekday(J$4), 1, 0, 2, if(ISBLANK('2025'!$P473), 0, 1), 3, if(ISBLANK('2025'!$Q473), 0, 1), 4, if(ISBLANK('2025'!$R473), 0, 1), 5, if(ISBLANK('2025'!$S473), 0, 1), 6, if(ISBLANK('2025'!$T473), 0, 1), 7, 0))), 1, "")</f>
        <v/>
      </c>
      <c r="K510" s="1" t="str">
        <f>IF(AND(AND(AND(K$4&gt;='2025'!$L473,K$4&lt;='2025'!$M473), K$4&lt;&gt;DATE(2025,7,4)), (SWITCH(weekday(K$4), 1, 0, 2, if(ISBLANK('2025'!$P473), 0, 1), 3, if(ISBLANK('2025'!$Q473), 0, 1), 4, if(ISBLANK('2025'!$R473), 0, 1), 5, if(ISBLANK('2025'!$S473), 0, 1), 6, if(ISBLANK('2025'!$T473), 0, 1), 7, 0))), 1, "")</f>
        <v/>
      </c>
      <c r="L510" s="1" t="str">
        <f>IF(AND(AND(AND(L$4&gt;='2025'!$L473,L$4&lt;='2025'!$M473), L$4&lt;&gt;DATE(2025,7,4)), (SWITCH(weekday(L$4), 1, 0, 2, if(ISBLANK('2025'!$P473), 0, 1), 3, if(ISBLANK('2025'!$Q473), 0, 1), 4, if(ISBLANK('2025'!$R473), 0, 1), 5, if(ISBLANK('2025'!$S473), 0, 1), 6, if(ISBLANK('2025'!$T473), 0, 1), 7, 0))), 1, "")</f>
        <v/>
      </c>
      <c r="M510" s="1" t="str">
        <f>IF(AND(AND(AND(M$4&gt;='2025'!$L473,M$4&lt;='2025'!$M473), M$4&lt;&gt;DATE(2025,7,4)), (SWITCH(weekday(M$4), 1, 0, 2, if(ISBLANK('2025'!$P473), 0, 1), 3, if(ISBLANK('2025'!$Q473), 0, 1), 4, if(ISBLANK('2025'!$R473), 0, 1), 5, if(ISBLANK('2025'!$S473), 0, 1), 6, if(ISBLANK('2025'!$T473), 0, 1), 7, 0))), 1, "")</f>
        <v/>
      </c>
      <c r="N510" s="1" t="str">
        <f>IF(AND(AND(AND(N$4&gt;='2025'!$L473,N$4&lt;='2025'!$M473), N$4&lt;&gt;DATE(2025,7,4)), (SWITCH(weekday(N$4), 1, 0, 2, if(ISBLANK('2025'!$P473), 0, 1), 3, if(ISBLANK('2025'!$Q473), 0, 1), 4, if(ISBLANK('2025'!$R473), 0, 1), 5, if(ISBLANK('2025'!$S473), 0, 1), 6, if(ISBLANK('2025'!$T473), 0, 1), 7, 0))), 1, "")</f>
        <v/>
      </c>
      <c r="O510" s="1" t="str">
        <f>IF(AND(AND(AND(O$4&gt;='2025'!$L473,O$4&lt;='2025'!$M473), O$4&lt;&gt;DATE(2025,7,4)), (SWITCH(weekday(O$4), 1, 0, 2, if(ISBLANK('2025'!$P473), 0, 1), 3, if(ISBLANK('2025'!$Q473), 0, 1), 4, if(ISBLANK('2025'!$R473), 0, 1), 5, if(ISBLANK('2025'!$S473), 0, 1), 6, if(ISBLANK('2025'!$T473), 0, 1), 7, 0))), 1, "")</f>
        <v/>
      </c>
      <c r="P510" s="1" t="str">
        <f>IF(AND(AND(AND(P$4&gt;='2025'!$L473,P$4&lt;='2025'!$M473), P$4&lt;&gt;DATE(2025,7,4)), (SWITCH(weekday(P$4), 1, 0, 2, if(ISBLANK('2025'!$P473), 0, 1), 3, if(ISBLANK('2025'!$Q473), 0, 1), 4, if(ISBLANK('2025'!$R473), 0, 1), 5, if(ISBLANK('2025'!$S473), 0, 1), 6, if(ISBLANK('2025'!$T473), 0, 1), 7, 0))), 1, "")</f>
        <v/>
      </c>
      <c r="Q510" s="1" t="str">
        <f>IF(AND(AND(AND(Q$4&gt;='2025'!$L473,Q$4&lt;='2025'!$M473), Q$4&lt;&gt;DATE(2025,7,4)), (SWITCH(weekday(Q$4), 1, 0, 2, if(ISBLANK('2025'!$P473), 0, 1), 3, if(ISBLANK('2025'!$Q473), 0, 1), 4, if(ISBLANK('2025'!$R473), 0, 1), 5, if(ISBLANK('2025'!$S473), 0, 1), 6, if(ISBLANK('2025'!$T473), 0, 1), 7, 0))), 1, "")</f>
        <v/>
      </c>
      <c r="R510" s="1" t="str">
        <f>IF(AND(AND(AND(R$4&gt;='2025'!$L473,R$4&lt;='2025'!$M473), R$4&lt;&gt;DATE(2025,7,4)), (SWITCH(weekday(R$4), 1, 0, 2, if(ISBLANK('2025'!$P473), 0, 1), 3, if(ISBLANK('2025'!$Q473), 0, 1), 4, if(ISBLANK('2025'!$R473), 0, 1), 5, if(ISBLANK('2025'!$S473), 0, 1), 6, if(ISBLANK('2025'!$T473), 0, 1), 7, 0))), 1, "")</f>
        <v/>
      </c>
      <c r="S510" s="1" t="str">
        <f>IF(AND(AND(AND(S$4&gt;='2025'!$L473,S$4&lt;='2025'!$M473), S$4&lt;&gt;DATE(2025,7,4)), (SWITCH(weekday(S$4), 1, 0, 2, if(ISBLANK('2025'!$P473), 0, 1), 3, if(ISBLANK('2025'!$Q473), 0, 1), 4, if(ISBLANK('2025'!$R473), 0, 1), 5, if(ISBLANK('2025'!$S473), 0, 1), 6, if(ISBLANK('2025'!$T473), 0, 1), 7, 0))), 1, "")</f>
        <v/>
      </c>
      <c r="T510" s="1" t="str">
        <f>IF(AND(AND(AND(T$4&gt;='2025'!$L473,T$4&lt;='2025'!$M473), T$4&lt;&gt;DATE(2025,7,4)), (SWITCH(weekday(T$4), 1, 0, 2, if(ISBLANK('2025'!$P473), 0, 1), 3, if(ISBLANK('2025'!$Q473), 0, 1), 4, if(ISBLANK('2025'!$R473), 0, 1), 5, if(ISBLANK('2025'!$S473), 0, 1), 6, if(ISBLANK('2025'!$T473), 0, 1), 7, 0))), 1, "")</f>
        <v/>
      </c>
      <c r="U510" s="1" t="str">
        <f>IF(AND(AND(AND(U$4&gt;='2025'!$L473,U$4&lt;='2025'!$M473), U$4&lt;&gt;DATE(2025,7,4)), (SWITCH(weekday(U$4), 1, 0, 2, if(ISBLANK('2025'!$P473), 0, 1), 3, if(ISBLANK('2025'!$Q473), 0, 1), 4, if(ISBLANK('2025'!$R473), 0, 1), 5, if(ISBLANK('2025'!$S473), 0, 1), 6, if(ISBLANK('2025'!$T473), 0, 1), 7, 0))), 1, "")</f>
        <v/>
      </c>
      <c r="V510" s="1" t="str">
        <f>IF(AND(AND(AND(V$4&gt;='2025'!$L473,V$4&lt;='2025'!$M473), V$4&lt;&gt;DATE(2025,7,4)), (SWITCH(weekday(V$4), 1, 0, 2, if(ISBLANK('2025'!$P473), 0, 1), 3, if(ISBLANK('2025'!$Q473), 0, 1), 4, if(ISBLANK('2025'!$R473), 0, 1), 5, if(ISBLANK('2025'!$S473), 0, 1), 6, if(ISBLANK('2025'!$T473), 0, 1), 7, 0))), 1, "")</f>
        <v/>
      </c>
      <c r="W510" s="1" t="str">
        <f>IF(AND(AND(AND(W$4&gt;='2025'!$L473,W$4&lt;='2025'!$M473), W$4&lt;&gt;DATE(2025,7,4)), (SWITCH(weekday(W$4), 1, 0, 2, if(ISBLANK('2025'!$P473), 0, 1), 3, if(ISBLANK('2025'!$Q473), 0, 1), 4, if(ISBLANK('2025'!$R473), 0, 1), 5, if(ISBLANK('2025'!$S473), 0, 1), 6, if(ISBLANK('2025'!$T473), 0, 1), 7, 0))), 1, "")</f>
        <v/>
      </c>
      <c r="X510" s="1" t="str">
        <f>IF(AND(AND(AND(X$4&gt;='2025'!$L473,X$4&lt;='2025'!$M473), X$4&lt;&gt;DATE(2025,7,4)), (SWITCH(weekday(X$4), 1, 0, 2, if(ISBLANK('2025'!$P473), 0, 1), 3, if(ISBLANK('2025'!$Q473), 0, 1), 4, if(ISBLANK('2025'!$R473), 0, 1), 5, if(ISBLANK('2025'!$S473), 0, 1), 6, if(ISBLANK('2025'!$T473), 0, 1), 7, 0))), 1, "")</f>
        <v/>
      </c>
      <c r="Y510" s="1" t="str">
        <f>IF(AND(AND(AND(Y$4&gt;='2025'!$L473,Y$4&lt;='2025'!$M473), Y$4&lt;&gt;DATE(2025,7,4)), (SWITCH(weekday(Y$4), 1, 0, 2, if(ISBLANK('2025'!$P473), 0, 1), 3, if(ISBLANK('2025'!$Q473), 0, 1), 4, if(ISBLANK('2025'!$R473), 0, 1), 5, if(ISBLANK('2025'!$S473), 0, 1), 6, if(ISBLANK('2025'!$T473), 0, 1), 7, 0))), 1, "")</f>
        <v/>
      </c>
      <c r="Z510" s="1" t="str">
        <f>IF(AND(AND(AND(Z$4&gt;='2025'!$L473,Z$4&lt;='2025'!$M473), Z$4&lt;&gt;DATE(2025,7,4)), (SWITCH(weekday(Z$4), 1, 0, 2, if(ISBLANK('2025'!$P473), 0, 1), 3, if(ISBLANK('2025'!$Q473), 0, 1), 4, if(ISBLANK('2025'!$R473), 0, 1), 5, if(ISBLANK('2025'!$S473), 0, 1), 6, if(ISBLANK('2025'!$T473), 0, 1), 7, 0))), 1, "")</f>
        <v/>
      </c>
      <c r="AA510" s="1" t="str">
        <f>IF(AND(AND(AND(AA$4&gt;='2025'!$L473,AA$4&lt;='2025'!$M473), AA$4&lt;&gt;DATE(2025,7,4)), (SWITCH(weekday(AA$4), 1, 0, 2, if(ISBLANK('2025'!$P473), 0, 1), 3, if(ISBLANK('2025'!$Q473), 0, 1), 4, if(ISBLANK('2025'!$R473), 0, 1), 5, if(ISBLANK('2025'!$S473), 0, 1), 6, if(ISBLANK('2025'!$T473), 0, 1), 7, 0))), 1, "")</f>
        <v/>
      </c>
      <c r="AB510" s="1" t="str">
        <f>IF(AND(AND(AND(AB$4&gt;='2025'!$L473,AB$4&lt;='2025'!$M473), AB$4&lt;&gt;DATE(2025,7,4)), (SWITCH(weekday(AB$4), 1, 0, 2, if(ISBLANK('2025'!$P473), 0, 1), 3, if(ISBLANK('2025'!$Q473), 0, 1), 4, if(ISBLANK('2025'!$R473), 0, 1), 5, if(ISBLANK('2025'!$S473), 0, 1), 6, if(ISBLANK('2025'!$T473), 0, 1), 7, 0))), 1, "")</f>
        <v/>
      </c>
      <c r="AC510" s="1" t="str">
        <f>IF(AND(AND(AND(AC$4&gt;='2025'!$L473,AC$4&lt;='2025'!$M473), AC$4&lt;&gt;DATE(2025,7,4)), (SWITCH(weekday(AC$4), 1, 0, 2, if(ISBLANK('2025'!$P473), 0, 1), 3, if(ISBLANK('2025'!$Q473), 0, 1), 4, if(ISBLANK('2025'!$R473), 0, 1), 5, if(ISBLANK('2025'!$S473), 0, 1), 6, if(ISBLANK('2025'!$T473), 0, 1), 7, 0))), 1, "")</f>
        <v/>
      </c>
      <c r="AD510" s="1" t="str">
        <f>IF(AND(AND(AND(AD$4&gt;='2025'!$L473,AD$4&lt;='2025'!$M473), AD$4&lt;&gt;DATE(2025,7,4)), (SWITCH(weekday(AD$4), 1, 0, 2, if(ISBLANK('2025'!$P473), 0, 1), 3, if(ISBLANK('2025'!$Q473), 0, 1), 4, if(ISBLANK('2025'!$R473), 0, 1), 5, if(ISBLANK('2025'!$S473), 0, 1), 6, if(ISBLANK('2025'!$T473), 0, 1), 7, 0))), 1, "")</f>
        <v/>
      </c>
      <c r="AE510" s="1" t="str">
        <f>IF(AND(AND(AND(AE$4&gt;='2025'!$L473,AE$4&lt;='2025'!$M473), AE$4&lt;&gt;DATE(2025,7,4)), (SWITCH(weekday(AE$4), 1, 0, 2, if(ISBLANK('2025'!$P473), 0, 1), 3, if(ISBLANK('2025'!$Q473), 0, 1), 4, if(ISBLANK('2025'!$R473), 0, 1), 5, if(ISBLANK('2025'!$S473), 0, 1), 6, if(ISBLANK('2025'!$T473), 0, 1), 7, 0))), 1, "")</f>
        <v/>
      </c>
      <c r="AF510" s="1" t="str">
        <f>IF(AND(AND(AND(AF$4&gt;='2025'!$L473,AF$4&lt;='2025'!$M473), AF$4&lt;&gt;DATE(2025,7,4)), (SWITCH(weekday(AF$4), 1, 0, 2, if(ISBLANK('2025'!$P473), 0, 1), 3, if(ISBLANK('2025'!$Q473), 0, 1), 4, if(ISBLANK('2025'!$R473), 0, 1), 5, if(ISBLANK('2025'!$S473), 0, 1), 6, if(ISBLANK('2025'!$T473), 0, 1), 7, 0))), 1, "")</f>
        <v/>
      </c>
      <c r="AG510" s="1" t="str">
        <f>IF(AND(AND(AND(AG$4&gt;='2025'!$L473,AG$4&lt;='2025'!$M473), AG$4&lt;&gt;DATE(2025,7,4)), (SWITCH(weekday(AG$4), 1, 0, 2, if(ISBLANK('2025'!$P473), 0, 1), 3, if(ISBLANK('2025'!$Q473), 0, 1), 4, if(ISBLANK('2025'!$R473), 0, 1), 5, if(ISBLANK('2025'!$S473), 0, 1), 6, if(ISBLANK('2025'!$T473), 0, 1), 7, 0))), 1, "")</f>
        <v/>
      </c>
      <c r="AH510" s="1" t="str">
        <f>IF(AND(AND(AND(AH$4&gt;='2025'!$L473,AH$4&lt;='2025'!$M473), AH$4&lt;&gt;DATE(2025,7,4)), (SWITCH(weekday(AH$4), 1, 0, 2, if(ISBLANK('2025'!$P473), 0, 1), 3, if(ISBLANK('2025'!$Q473), 0, 1), 4, if(ISBLANK('2025'!$R473), 0, 1), 5, if(ISBLANK('2025'!$S473), 0, 1), 6, if(ISBLANK('2025'!$T473), 0, 1), 7, 0))), 1, "")</f>
        <v/>
      </c>
      <c r="AI510" s="1" t="str">
        <f>IF(AND(AND(AND(AI$4&gt;='2025'!$L473,AI$4&lt;='2025'!$M473), AI$4&lt;&gt;DATE(2025,7,4)), (SWITCH(weekday(AI$4), 1, 0, 2, if(ISBLANK('2025'!$P473), 0, 1), 3, if(ISBLANK('2025'!$Q473), 0, 1), 4, if(ISBLANK('2025'!$R473), 0, 1), 5, if(ISBLANK('2025'!$S473), 0, 1), 6, if(ISBLANK('2025'!$T473), 0, 1), 7, 0))), 1, "")</f>
        <v/>
      </c>
      <c r="AJ510" s="1" t="str">
        <f>IF(AND(AND(AND(AJ$4&gt;='2025'!$L473,AJ$4&lt;='2025'!$M473), AJ$4&lt;&gt;DATE(2025,7,4)), (SWITCH(weekday(AJ$4), 1, 0, 2, if(ISBLANK('2025'!$P473), 0, 1), 3, if(ISBLANK('2025'!$Q473), 0, 1), 4, if(ISBLANK('2025'!$R473), 0, 1), 5, if(ISBLANK('2025'!$S473), 0, 1), 6, if(ISBLANK('2025'!$T473), 0, 1), 7, 0))), 1, "")</f>
        <v/>
      </c>
      <c r="AK510" s="1" t="str">
        <f>IF(AND(AND(AND(AK$4&gt;='2025'!$L473,AK$4&lt;='2025'!$M473), AK$4&lt;&gt;DATE(2025,7,4)), (SWITCH(weekday(AK$4), 1, 0, 2, if(ISBLANK('2025'!$P473), 0, 1), 3, if(ISBLANK('2025'!$Q473), 0, 1), 4, if(ISBLANK('2025'!$R473), 0, 1), 5, if(ISBLANK('2025'!$S473), 0, 1), 6, if(ISBLANK('2025'!$T473), 0, 1), 7, 0))), 1, "")</f>
        <v/>
      </c>
      <c r="AL510" s="1" t="str">
        <f>IF(AND(AND(AND(AL$4&gt;='2025'!$L473,AL$4&lt;='2025'!$M473), AL$4&lt;&gt;DATE(2025,7,4)), (SWITCH(weekday(AL$4), 1, 0, 2, if(ISBLANK('2025'!$P473), 0, 1), 3, if(ISBLANK('2025'!$Q473), 0, 1), 4, if(ISBLANK('2025'!$R473), 0, 1), 5, if(ISBLANK('2025'!$S473), 0, 1), 6, if(ISBLANK('2025'!$T473), 0, 1), 7, 0))), 1, "")</f>
        <v/>
      </c>
      <c r="AM510" s="1" t="str">
        <f>IF(AND(AND(AND(AM$4&gt;='2025'!$L473,AM$4&lt;='2025'!$M473), AM$4&lt;&gt;DATE(2025,7,4)), (SWITCH(weekday(AM$4), 1, 0, 2, if(ISBLANK('2025'!$P473), 0, 1), 3, if(ISBLANK('2025'!$Q473), 0, 1), 4, if(ISBLANK('2025'!$R473), 0, 1), 5, if(ISBLANK('2025'!$S473), 0, 1), 6, if(ISBLANK('2025'!$T473), 0, 1), 7, 0))), 1, "")</f>
        <v/>
      </c>
      <c r="AN510" s="1" t="str">
        <f>IF(AND(AND(AND(AN$4&gt;='2025'!$L473,AN$4&lt;='2025'!$M473), AN$4&lt;&gt;DATE(2025,7,4)), (SWITCH(weekday(AN$4), 1, 0, 2, if(ISBLANK('2025'!$P473), 0, 1), 3, if(ISBLANK('2025'!$Q473), 0, 1), 4, if(ISBLANK('2025'!$R473), 0, 1), 5, if(ISBLANK('2025'!$S473), 0, 1), 6, if(ISBLANK('2025'!$T473), 0, 1), 7, 0))), 1, "")</f>
        <v/>
      </c>
      <c r="AO510" s="1" t="str">
        <f>IF(AND(AND(AND(AO$4&gt;='2025'!$L473,AO$4&lt;='2025'!$M473), AO$4&lt;&gt;DATE(2025,7,4)), (SWITCH(weekday(AO$4), 1, 0, 2, if(ISBLANK('2025'!$P473), 0, 1), 3, if(ISBLANK('2025'!$Q473), 0, 1), 4, if(ISBLANK('2025'!$R473), 0, 1), 5, if(ISBLANK('2025'!$S473), 0, 1), 6, if(ISBLANK('2025'!$T473), 0, 1), 7, 0))), 1, "")</f>
        <v/>
      </c>
      <c r="AP510" s="1" t="str">
        <f>IF(AND(AND(AND(AP$4&gt;='2025'!$L473,AP$4&lt;='2025'!$M473), AP$4&lt;&gt;DATE(2025,7,4)), (SWITCH(weekday(AP$4), 1, 0, 2, if(ISBLANK('2025'!$P473), 0, 1), 3, if(ISBLANK('2025'!$Q473), 0, 1), 4, if(ISBLANK('2025'!$R473), 0, 1), 5, if(ISBLANK('2025'!$S473), 0, 1), 6, if(ISBLANK('2025'!$T473), 0, 1), 7, 0))), 1, "")</f>
        <v/>
      </c>
      <c r="AQ510" s="1" t="str">
        <f>IF(AND(AND(AND(AQ$4&gt;='2025'!$L473,AQ$4&lt;='2025'!$M473), AQ$4&lt;&gt;DATE(2025,7,4)), (SWITCH(weekday(AQ$4), 1, 0, 2, if(ISBLANK('2025'!$P473), 0, 1), 3, if(ISBLANK('2025'!$Q473), 0, 1), 4, if(ISBLANK('2025'!$R473), 0, 1), 5, if(ISBLANK('2025'!$S473), 0, 1), 6, if(ISBLANK('2025'!$T473), 0, 1), 7, 0))), 1, "")</f>
        <v/>
      </c>
      <c r="AR510" s="1" t="str">
        <f>IF(AND(AND(AND(AR$4&gt;='2025'!$L473,AR$4&lt;='2025'!$M473), AR$4&lt;&gt;DATE(2025,7,4)), (SWITCH(weekday(AR$4), 1, 0, 2, if(ISBLANK('2025'!$P473), 0, 1), 3, if(ISBLANK('2025'!$Q473), 0, 1), 4, if(ISBLANK('2025'!$R473), 0, 1), 5, if(ISBLANK('2025'!$S473), 0, 1), 6, if(ISBLANK('2025'!$T473), 0, 1), 7, 0))), 1, "")</f>
        <v/>
      </c>
      <c r="AS510" s="1" t="str">
        <f>IF(AND(AND(AND(AS$4&gt;='2025'!$L473,AS$4&lt;='2025'!$M473), AS$4&lt;&gt;DATE(2025,7,4)), (SWITCH(weekday(AS$4), 1, 0, 2, if(ISBLANK('2025'!$P473), 0, 1), 3, if(ISBLANK('2025'!$Q473), 0, 1), 4, if(ISBLANK('2025'!$R473), 0, 1), 5, if(ISBLANK('2025'!$S473), 0, 1), 6, if(ISBLANK('2025'!$T473), 0, 1), 7, 0))), 1, "")</f>
        <v/>
      </c>
      <c r="AT510" s="1" t="str">
        <f>IF(AND(AND(AND(AT$4&gt;='2025'!$L473,AT$4&lt;='2025'!$M473), AT$4&lt;&gt;DATE(2025,7,4)), (SWITCH(weekday(AT$4), 1, 0, 2, if(ISBLANK('2025'!$P473), 0, 1), 3, if(ISBLANK('2025'!$Q473), 0, 1), 4, if(ISBLANK('2025'!$R473), 0, 1), 5, if(ISBLANK('2025'!$S473), 0, 1), 6, if(ISBLANK('2025'!$T473), 0, 1), 7, 0))), 1, "")</f>
        <v/>
      </c>
      <c r="AU510" s="1" t="str">
        <f>IF(AND(AND(AND(AU$4&gt;='2025'!$L473,AU$4&lt;='2025'!$M473), AU$4&lt;&gt;DATE(2025,7,4)), (SWITCH(weekday(AU$4), 1, 0, 2, if(ISBLANK('2025'!$P473), 0, 1), 3, if(ISBLANK('2025'!$Q473), 0, 1), 4, if(ISBLANK('2025'!$R473), 0, 1), 5, if(ISBLANK('2025'!$S473), 0, 1), 6, if(ISBLANK('2025'!$T473), 0, 1), 7, 0))), 1, "")</f>
        <v/>
      </c>
      <c r="AV510" s="1" t="str">
        <f>IF(AND(AND(AND(AV$4&gt;='2025'!$L473,AV$4&lt;='2025'!$M473), AV$4&lt;&gt;DATE(2025,7,4)), (SWITCH(weekday(AV$4), 1, 0, 2, if(ISBLANK('2025'!$P473), 0, 1), 3, if(ISBLANK('2025'!$Q473), 0, 1), 4, if(ISBLANK('2025'!$R473), 0, 1), 5, if(ISBLANK('2025'!$S473), 0, 1), 6, if(ISBLANK('2025'!$T473), 0, 1), 7, 0))), 1, "")</f>
        <v/>
      </c>
      <c r="AW510" s="1" t="str">
        <f>IF(AND(AND(AND(AW$4&gt;='2025'!$L473,AW$4&lt;='2025'!$M473), AW$4&lt;&gt;DATE(2025,7,4)), (SWITCH(weekday(AW$4), 1, 0, 2, if(ISBLANK('2025'!$P473), 0, 1), 3, if(ISBLANK('2025'!$Q473), 0, 1), 4, if(ISBLANK('2025'!$R473), 0, 1), 5, if(ISBLANK('2025'!$S473), 0, 1), 6, if(ISBLANK('2025'!$T473), 0, 1), 7, 0))), 1, "")</f>
        <v/>
      </c>
      <c r="AX510" s="1" t="str">
        <f>IF(AND(AND(AND(AX$4&gt;='2025'!$L473,AX$4&lt;='2025'!$M473), AX$4&lt;&gt;DATE(2025,7,4)), (SWITCH(weekday(AX$4), 1, 0, 2, if(ISBLANK('2025'!$P473), 0, 1), 3, if(ISBLANK('2025'!$Q473), 0, 1), 4, if(ISBLANK('2025'!$R473), 0, 1), 5, if(ISBLANK('2025'!$S473), 0, 1), 6, if(ISBLANK('2025'!$T473), 0, 1), 7, 0))), 1, "")</f>
        <v/>
      </c>
      <c r="AY510" s="1" t="str">
        <f>IF(AND(AND(AND(AY$4&gt;='2025'!$L473,AY$4&lt;='2025'!$M473), AY$4&lt;&gt;DATE(2025,7,4)), (SWITCH(weekday(AY$4), 1, 0, 2, if(ISBLANK('2025'!$P473), 0, 1), 3, if(ISBLANK('2025'!$Q473), 0, 1), 4, if(ISBLANK('2025'!$R473), 0, 1), 5, if(ISBLANK('2025'!$S473), 0, 1), 6, if(ISBLANK('2025'!$T473), 0, 1), 7, 0))), 1, "")</f>
        <v/>
      </c>
      <c r="AZ510" s="1" t="str">
        <f>IF(AND(AND(AND(AZ$4&gt;='2025'!$L473,AZ$4&lt;='2025'!$M473), AZ$4&lt;&gt;DATE(2025,7,4)), (SWITCH(weekday(AZ$4), 1, 0, 2, if(ISBLANK('2025'!$P473), 0, 1), 3, if(ISBLANK('2025'!$Q473), 0, 1), 4, if(ISBLANK('2025'!$R473), 0, 1), 5, if(ISBLANK('2025'!$S473), 0, 1), 6, if(ISBLANK('2025'!$T473), 0, 1), 7, 0))), 1, "")</f>
        <v/>
      </c>
      <c r="BA510" s="1" t="str">
        <f>IF(AND(AND(AND(BA$4&gt;='2025'!$L473,BA$4&lt;='2025'!$M473), BA$4&lt;&gt;DATE(2025,7,4)), (SWITCH(weekday(BA$4), 1, 0, 2, if(ISBLANK('2025'!$P473), 0, 1), 3, if(ISBLANK('2025'!$Q473), 0, 1), 4, if(ISBLANK('2025'!$R473), 0, 1), 5, if(ISBLANK('2025'!$S473), 0, 1), 6, if(ISBLANK('2025'!$T473), 0, 1), 7, 0))), 1, "")</f>
        <v/>
      </c>
      <c r="BB510" s="1" t="str">
        <f>IF(AND(AND(AND(BB$4&gt;='2025'!$L473,BB$4&lt;='2025'!$M473), BB$4&lt;&gt;DATE(2025,7,4)), (SWITCH(weekday(BB$4), 1, 0, 2, if(ISBLANK('2025'!$P473), 0, 1), 3, if(ISBLANK('2025'!$Q473), 0, 1), 4, if(ISBLANK('2025'!$R473), 0, 1), 5, if(ISBLANK('2025'!$S473), 0, 1), 6, if(ISBLANK('2025'!$T473), 0, 1), 7, 0))), 1, "")</f>
        <v/>
      </c>
      <c r="BC510" s="1" t="str">
        <f>IF(AND(AND(AND(BC$4&gt;='2025'!$L473,BC$4&lt;='2025'!$M473), BC$4&lt;&gt;DATE(2025,7,4)), (SWITCH(weekday(BC$4), 1, 0, 2, if(ISBLANK('2025'!$P473), 0, 1), 3, if(ISBLANK('2025'!$Q473), 0, 1), 4, if(ISBLANK('2025'!$R473), 0, 1), 5, if(ISBLANK('2025'!$S473), 0, 1), 6, if(ISBLANK('2025'!$T473), 0, 1), 7, 0))), 1, "")</f>
        <v/>
      </c>
      <c r="BD510" s="1" t="str">
        <f>IF(AND(AND(AND(BD$4&gt;='2025'!$L473,BD$4&lt;='2025'!$M473), BD$4&lt;&gt;DATE(2025,7,4)), (SWITCH(weekday(BD$4), 1, 0, 2, if(ISBLANK('2025'!$P473), 0, 1), 3, if(ISBLANK('2025'!$Q473), 0, 1), 4, if(ISBLANK('2025'!$R473), 0, 1), 5, if(ISBLANK('2025'!$S473), 0, 1), 6, if(ISBLANK('2025'!$T473), 0, 1), 7, 0))), 1, "")</f>
        <v/>
      </c>
      <c r="BE510" s="1" t="str">
        <f>IF(AND(AND(AND(BE$4&gt;='2025'!$L473,BE$4&lt;='2025'!$M473), BE$4&lt;&gt;DATE(2025,7,4)), (SWITCH(weekday(BE$4), 1, 0, 2, if(ISBLANK('2025'!$P473), 0, 1), 3, if(ISBLANK('2025'!$Q473), 0, 1), 4, if(ISBLANK('2025'!$R473), 0, 1), 5, if(ISBLANK('2025'!$S473), 0, 1), 6, if(ISBLANK('2025'!$T473), 0, 1), 7, 0))), 1, "")</f>
        <v/>
      </c>
    </row>
    <row r="511">
      <c r="A511" s="1">
        <f t="shared" si="3"/>
        <v>511</v>
      </c>
      <c r="B511" s="1" t="str">
        <f>'2025'!D474</f>
        <v/>
      </c>
      <c r="C511" s="1" t="str">
        <f>'2025'!H474</f>
        <v/>
      </c>
      <c r="D511" s="1" t="str">
        <f>IF(AND(AND(AND(D$4&gt;='2025'!$L474,D$4&lt;='2025'!$M474), D$4&lt;&gt;DATE(2025,7,4)), (SWITCH(weekday(D$4), 1, 0, 2, if(ISBLANK('2025'!$P474), 0, 1), 3, if(ISBLANK('2025'!$Q474), 0, 1), 4, if(ISBLANK('2025'!$R474), 0, 1), 5, if(ISBLANK('2025'!$S474), 0, 1), 6, if(ISBLANK('2025'!$T474), 0, 1), 7, 0))), 1, "")</f>
        <v/>
      </c>
      <c r="E511" s="1" t="str">
        <f>IF(AND(AND(AND(E$4&gt;='2025'!$L474,E$4&lt;='2025'!$M474), E$4&lt;&gt;DATE(2025,7,4)), (SWITCH(weekday(E$4), 1, 0, 2, if(ISBLANK('2025'!$P474), 0, 1), 3, if(ISBLANK('2025'!$Q474), 0, 1), 4, if(ISBLANK('2025'!$R474), 0, 1), 5, if(ISBLANK('2025'!$S474), 0, 1), 6, if(ISBLANK('2025'!$T474), 0, 1), 7, 0))), 1, "")</f>
        <v/>
      </c>
      <c r="F511" s="1" t="str">
        <f>IF(AND(AND(AND(F$4&gt;='2025'!$L474,F$4&lt;='2025'!$M474), F$4&lt;&gt;DATE(2025,7,4)), (SWITCH(weekday(F$4), 1, 0, 2, if(ISBLANK('2025'!$P474), 0, 1), 3, if(ISBLANK('2025'!$Q474), 0, 1), 4, if(ISBLANK('2025'!$R474), 0, 1), 5, if(ISBLANK('2025'!$S474), 0, 1), 6, if(ISBLANK('2025'!$T474), 0, 1), 7, 0))), 1, "")</f>
        <v/>
      </c>
      <c r="G511" s="1" t="str">
        <f>IF(AND(AND(AND(G$4&gt;='2025'!$L474,G$4&lt;='2025'!$M474), G$4&lt;&gt;DATE(2025,7,4)), (SWITCH(weekday(G$4), 1, 0, 2, if(ISBLANK('2025'!$P474), 0, 1), 3, if(ISBLANK('2025'!$Q474), 0, 1), 4, if(ISBLANK('2025'!$R474), 0, 1), 5, if(ISBLANK('2025'!$S474), 0, 1), 6, if(ISBLANK('2025'!$T474), 0, 1), 7, 0))), 1, "")</f>
        <v/>
      </c>
      <c r="H511" s="1" t="str">
        <f>IF(AND(AND(AND(H$4&gt;='2025'!$L474,H$4&lt;='2025'!$M474), H$4&lt;&gt;DATE(2025,7,4)), (SWITCH(weekday(H$4), 1, 0, 2, if(ISBLANK('2025'!$P474), 0, 1), 3, if(ISBLANK('2025'!$Q474), 0, 1), 4, if(ISBLANK('2025'!$R474), 0, 1), 5, if(ISBLANK('2025'!$S474), 0, 1), 6, if(ISBLANK('2025'!$T474), 0, 1), 7, 0))), 1, "")</f>
        <v/>
      </c>
      <c r="I511" s="1" t="str">
        <f>IF(AND(AND(AND(I$4&gt;='2025'!$L474,I$4&lt;='2025'!$M474), I$4&lt;&gt;DATE(2025,7,4)), (SWITCH(weekday(I$4), 1, 0, 2, if(ISBLANK('2025'!$P474), 0, 1), 3, if(ISBLANK('2025'!$Q474), 0, 1), 4, if(ISBLANK('2025'!$R474), 0, 1), 5, if(ISBLANK('2025'!$S474), 0, 1), 6, if(ISBLANK('2025'!$T474), 0, 1), 7, 0))), 1, "")</f>
        <v/>
      </c>
      <c r="J511" s="1" t="str">
        <f>IF(AND(AND(AND(J$4&gt;='2025'!$L474,J$4&lt;='2025'!$M474), J$4&lt;&gt;DATE(2025,7,4)), (SWITCH(weekday(J$4), 1, 0, 2, if(ISBLANK('2025'!$P474), 0, 1), 3, if(ISBLANK('2025'!$Q474), 0, 1), 4, if(ISBLANK('2025'!$R474), 0, 1), 5, if(ISBLANK('2025'!$S474), 0, 1), 6, if(ISBLANK('2025'!$T474), 0, 1), 7, 0))), 1, "")</f>
        <v/>
      </c>
      <c r="K511" s="1" t="str">
        <f>IF(AND(AND(AND(K$4&gt;='2025'!$L474,K$4&lt;='2025'!$M474), K$4&lt;&gt;DATE(2025,7,4)), (SWITCH(weekday(K$4), 1, 0, 2, if(ISBLANK('2025'!$P474), 0, 1), 3, if(ISBLANK('2025'!$Q474), 0, 1), 4, if(ISBLANK('2025'!$R474), 0, 1), 5, if(ISBLANK('2025'!$S474), 0, 1), 6, if(ISBLANK('2025'!$T474), 0, 1), 7, 0))), 1, "")</f>
        <v/>
      </c>
      <c r="L511" s="1" t="str">
        <f>IF(AND(AND(AND(L$4&gt;='2025'!$L474,L$4&lt;='2025'!$M474), L$4&lt;&gt;DATE(2025,7,4)), (SWITCH(weekday(L$4), 1, 0, 2, if(ISBLANK('2025'!$P474), 0, 1), 3, if(ISBLANK('2025'!$Q474), 0, 1), 4, if(ISBLANK('2025'!$R474), 0, 1), 5, if(ISBLANK('2025'!$S474), 0, 1), 6, if(ISBLANK('2025'!$T474), 0, 1), 7, 0))), 1, "")</f>
        <v/>
      </c>
      <c r="M511" s="1" t="str">
        <f>IF(AND(AND(AND(M$4&gt;='2025'!$L474,M$4&lt;='2025'!$M474), M$4&lt;&gt;DATE(2025,7,4)), (SWITCH(weekday(M$4), 1, 0, 2, if(ISBLANK('2025'!$P474), 0, 1), 3, if(ISBLANK('2025'!$Q474), 0, 1), 4, if(ISBLANK('2025'!$R474), 0, 1), 5, if(ISBLANK('2025'!$S474), 0, 1), 6, if(ISBLANK('2025'!$T474), 0, 1), 7, 0))), 1, "")</f>
        <v/>
      </c>
      <c r="N511" s="1" t="str">
        <f>IF(AND(AND(AND(N$4&gt;='2025'!$L474,N$4&lt;='2025'!$M474), N$4&lt;&gt;DATE(2025,7,4)), (SWITCH(weekday(N$4), 1, 0, 2, if(ISBLANK('2025'!$P474), 0, 1), 3, if(ISBLANK('2025'!$Q474), 0, 1), 4, if(ISBLANK('2025'!$R474), 0, 1), 5, if(ISBLANK('2025'!$S474), 0, 1), 6, if(ISBLANK('2025'!$T474), 0, 1), 7, 0))), 1, "")</f>
        <v/>
      </c>
      <c r="O511" s="1" t="str">
        <f>IF(AND(AND(AND(O$4&gt;='2025'!$L474,O$4&lt;='2025'!$M474), O$4&lt;&gt;DATE(2025,7,4)), (SWITCH(weekday(O$4), 1, 0, 2, if(ISBLANK('2025'!$P474), 0, 1), 3, if(ISBLANK('2025'!$Q474), 0, 1), 4, if(ISBLANK('2025'!$R474), 0, 1), 5, if(ISBLANK('2025'!$S474), 0, 1), 6, if(ISBLANK('2025'!$T474), 0, 1), 7, 0))), 1, "")</f>
        <v/>
      </c>
      <c r="P511" s="1" t="str">
        <f>IF(AND(AND(AND(P$4&gt;='2025'!$L474,P$4&lt;='2025'!$M474), P$4&lt;&gt;DATE(2025,7,4)), (SWITCH(weekday(P$4), 1, 0, 2, if(ISBLANK('2025'!$P474), 0, 1), 3, if(ISBLANK('2025'!$Q474), 0, 1), 4, if(ISBLANK('2025'!$R474), 0, 1), 5, if(ISBLANK('2025'!$S474), 0, 1), 6, if(ISBLANK('2025'!$T474), 0, 1), 7, 0))), 1, "")</f>
        <v/>
      </c>
      <c r="Q511" s="1" t="str">
        <f>IF(AND(AND(AND(Q$4&gt;='2025'!$L474,Q$4&lt;='2025'!$M474), Q$4&lt;&gt;DATE(2025,7,4)), (SWITCH(weekday(Q$4), 1, 0, 2, if(ISBLANK('2025'!$P474), 0, 1), 3, if(ISBLANK('2025'!$Q474), 0, 1), 4, if(ISBLANK('2025'!$R474), 0, 1), 5, if(ISBLANK('2025'!$S474), 0, 1), 6, if(ISBLANK('2025'!$T474), 0, 1), 7, 0))), 1, "")</f>
        <v/>
      </c>
      <c r="R511" s="1" t="str">
        <f>IF(AND(AND(AND(R$4&gt;='2025'!$L474,R$4&lt;='2025'!$M474), R$4&lt;&gt;DATE(2025,7,4)), (SWITCH(weekday(R$4), 1, 0, 2, if(ISBLANK('2025'!$P474), 0, 1), 3, if(ISBLANK('2025'!$Q474), 0, 1), 4, if(ISBLANK('2025'!$R474), 0, 1), 5, if(ISBLANK('2025'!$S474), 0, 1), 6, if(ISBLANK('2025'!$T474), 0, 1), 7, 0))), 1, "")</f>
        <v/>
      </c>
      <c r="S511" s="1" t="str">
        <f>IF(AND(AND(AND(S$4&gt;='2025'!$L474,S$4&lt;='2025'!$M474), S$4&lt;&gt;DATE(2025,7,4)), (SWITCH(weekday(S$4), 1, 0, 2, if(ISBLANK('2025'!$P474), 0, 1), 3, if(ISBLANK('2025'!$Q474), 0, 1), 4, if(ISBLANK('2025'!$R474), 0, 1), 5, if(ISBLANK('2025'!$S474), 0, 1), 6, if(ISBLANK('2025'!$T474), 0, 1), 7, 0))), 1, "")</f>
        <v/>
      </c>
      <c r="T511" s="1" t="str">
        <f>IF(AND(AND(AND(T$4&gt;='2025'!$L474,T$4&lt;='2025'!$M474), T$4&lt;&gt;DATE(2025,7,4)), (SWITCH(weekday(T$4), 1, 0, 2, if(ISBLANK('2025'!$P474), 0, 1), 3, if(ISBLANK('2025'!$Q474), 0, 1), 4, if(ISBLANK('2025'!$R474), 0, 1), 5, if(ISBLANK('2025'!$S474), 0, 1), 6, if(ISBLANK('2025'!$T474), 0, 1), 7, 0))), 1, "")</f>
        <v/>
      </c>
      <c r="U511" s="1" t="str">
        <f>IF(AND(AND(AND(U$4&gt;='2025'!$L474,U$4&lt;='2025'!$M474), U$4&lt;&gt;DATE(2025,7,4)), (SWITCH(weekday(U$4), 1, 0, 2, if(ISBLANK('2025'!$P474), 0, 1), 3, if(ISBLANK('2025'!$Q474), 0, 1), 4, if(ISBLANK('2025'!$R474), 0, 1), 5, if(ISBLANK('2025'!$S474), 0, 1), 6, if(ISBLANK('2025'!$T474), 0, 1), 7, 0))), 1, "")</f>
        <v/>
      </c>
      <c r="V511" s="1" t="str">
        <f>IF(AND(AND(AND(V$4&gt;='2025'!$L474,V$4&lt;='2025'!$M474), V$4&lt;&gt;DATE(2025,7,4)), (SWITCH(weekday(V$4), 1, 0, 2, if(ISBLANK('2025'!$P474), 0, 1), 3, if(ISBLANK('2025'!$Q474), 0, 1), 4, if(ISBLANK('2025'!$R474), 0, 1), 5, if(ISBLANK('2025'!$S474), 0, 1), 6, if(ISBLANK('2025'!$T474), 0, 1), 7, 0))), 1, "")</f>
        <v/>
      </c>
      <c r="W511" s="1" t="str">
        <f>IF(AND(AND(AND(W$4&gt;='2025'!$L474,W$4&lt;='2025'!$M474), W$4&lt;&gt;DATE(2025,7,4)), (SWITCH(weekday(W$4), 1, 0, 2, if(ISBLANK('2025'!$P474), 0, 1), 3, if(ISBLANK('2025'!$Q474), 0, 1), 4, if(ISBLANK('2025'!$R474), 0, 1), 5, if(ISBLANK('2025'!$S474), 0, 1), 6, if(ISBLANK('2025'!$T474), 0, 1), 7, 0))), 1, "")</f>
        <v/>
      </c>
      <c r="X511" s="1" t="str">
        <f>IF(AND(AND(AND(X$4&gt;='2025'!$L474,X$4&lt;='2025'!$M474), X$4&lt;&gt;DATE(2025,7,4)), (SWITCH(weekday(X$4), 1, 0, 2, if(ISBLANK('2025'!$P474), 0, 1), 3, if(ISBLANK('2025'!$Q474), 0, 1), 4, if(ISBLANK('2025'!$R474), 0, 1), 5, if(ISBLANK('2025'!$S474), 0, 1), 6, if(ISBLANK('2025'!$T474), 0, 1), 7, 0))), 1, "")</f>
        <v/>
      </c>
      <c r="Y511" s="1" t="str">
        <f>IF(AND(AND(AND(Y$4&gt;='2025'!$L474,Y$4&lt;='2025'!$M474), Y$4&lt;&gt;DATE(2025,7,4)), (SWITCH(weekday(Y$4), 1, 0, 2, if(ISBLANK('2025'!$P474), 0, 1), 3, if(ISBLANK('2025'!$Q474), 0, 1), 4, if(ISBLANK('2025'!$R474), 0, 1), 5, if(ISBLANK('2025'!$S474), 0, 1), 6, if(ISBLANK('2025'!$T474), 0, 1), 7, 0))), 1, "")</f>
        <v/>
      </c>
      <c r="Z511" s="1" t="str">
        <f>IF(AND(AND(AND(Z$4&gt;='2025'!$L474,Z$4&lt;='2025'!$M474), Z$4&lt;&gt;DATE(2025,7,4)), (SWITCH(weekday(Z$4), 1, 0, 2, if(ISBLANK('2025'!$P474), 0, 1), 3, if(ISBLANK('2025'!$Q474), 0, 1), 4, if(ISBLANK('2025'!$R474), 0, 1), 5, if(ISBLANK('2025'!$S474), 0, 1), 6, if(ISBLANK('2025'!$T474), 0, 1), 7, 0))), 1, "")</f>
        <v/>
      </c>
      <c r="AA511" s="1" t="str">
        <f>IF(AND(AND(AND(AA$4&gt;='2025'!$L474,AA$4&lt;='2025'!$M474), AA$4&lt;&gt;DATE(2025,7,4)), (SWITCH(weekday(AA$4), 1, 0, 2, if(ISBLANK('2025'!$P474), 0, 1), 3, if(ISBLANK('2025'!$Q474), 0, 1), 4, if(ISBLANK('2025'!$R474), 0, 1), 5, if(ISBLANK('2025'!$S474), 0, 1), 6, if(ISBLANK('2025'!$T474), 0, 1), 7, 0))), 1, "")</f>
        <v/>
      </c>
      <c r="AB511" s="1" t="str">
        <f>IF(AND(AND(AND(AB$4&gt;='2025'!$L474,AB$4&lt;='2025'!$M474), AB$4&lt;&gt;DATE(2025,7,4)), (SWITCH(weekday(AB$4), 1, 0, 2, if(ISBLANK('2025'!$P474), 0, 1), 3, if(ISBLANK('2025'!$Q474), 0, 1), 4, if(ISBLANK('2025'!$R474), 0, 1), 5, if(ISBLANK('2025'!$S474), 0, 1), 6, if(ISBLANK('2025'!$T474), 0, 1), 7, 0))), 1, "")</f>
        <v/>
      </c>
      <c r="AC511" s="1" t="str">
        <f>IF(AND(AND(AND(AC$4&gt;='2025'!$L474,AC$4&lt;='2025'!$M474), AC$4&lt;&gt;DATE(2025,7,4)), (SWITCH(weekday(AC$4), 1, 0, 2, if(ISBLANK('2025'!$P474), 0, 1), 3, if(ISBLANK('2025'!$Q474), 0, 1), 4, if(ISBLANK('2025'!$R474), 0, 1), 5, if(ISBLANK('2025'!$S474), 0, 1), 6, if(ISBLANK('2025'!$T474), 0, 1), 7, 0))), 1, "")</f>
        <v/>
      </c>
      <c r="AD511" s="1" t="str">
        <f>IF(AND(AND(AND(AD$4&gt;='2025'!$L474,AD$4&lt;='2025'!$M474), AD$4&lt;&gt;DATE(2025,7,4)), (SWITCH(weekday(AD$4), 1, 0, 2, if(ISBLANK('2025'!$P474), 0, 1), 3, if(ISBLANK('2025'!$Q474), 0, 1), 4, if(ISBLANK('2025'!$R474), 0, 1), 5, if(ISBLANK('2025'!$S474), 0, 1), 6, if(ISBLANK('2025'!$T474), 0, 1), 7, 0))), 1, "")</f>
        <v/>
      </c>
      <c r="AE511" s="1" t="str">
        <f>IF(AND(AND(AND(AE$4&gt;='2025'!$L474,AE$4&lt;='2025'!$M474), AE$4&lt;&gt;DATE(2025,7,4)), (SWITCH(weekday(AE$4), 1, 0, 2, if(ISBLANK('2025'!$P474), 0, 1), 3, if(ISBLANK('2025'!$Q474), 0, 1), 4, if(ISBLANK('2025'!$R474), 0, 1), 5, if(ISBLANK('2025'!$S474), 0, 1), 6, if(ISBLANK('2025'!$T474), 0, 1), 7, 0))), 1, "")</f>
        <v/>
      </c>
      <c r="AF511" s="1" t="str">
        <f>IF(AND(AND(AND(AF$4&gt;='2025'!$L474,AF$4&lt;='2025'!$M474), AF$4&lt;&gt;DATE(2025,7,4)), (SWITCH(weekday(AF$4), 1, 0, 2, if(ISBLANK('2025'!$P474), 0, 1), 3, if(ISBLANK('2025'!$Q474), 0, 1), 4, if(ISBLANK('2025'!$R474), 0, 1), 5, if(ISBLANK('2025'!$S474), 0, 1), 6, if(ISBLANK('2025'!$T474), 0, 1), 7, 0))), 1, "")</f>
        <v/>
      </c>
      <c r="AG511" s="1" t="str">
        <f>IF(AND(AND(AND(AG$4&gt;='2025'!$L474,AG$4&lt;='2025'!$M474), AG$4&lt;&gt;DATE(2025,7,4)), (SWITCH(weekday(AG$4), 1, 0, 2, if(ISBLANK('2025'!$P474), 0, 1), 3, if(ISBLANK('2025'!$Q474), 0, 1), 4, if(ISBLANK('2025'!$R474), 0, 1), 5, if(ISBLANK('2025'!$S474), 0, 1), 6, if(ISBLANK('2025'!$T474), 0, 1), 7, 0))), 1, "")</f>
        <v/>
      </c>
      <c r="AH511" s="1" t="str">
        <f>IF(AND(AND(AND(AH$4&gt;='2025'!$L474,AH$4&lt;='2025'!$M474), AH$4&lt;&gt;DATE(2025,7,4)), (SWITCH(weekday(AH$4), 1, 0, 2, if(ISBLANK('2025'!$P474), 0, 1), 3, if(ISBLANK('2025'!$Q474), 0, 1), 4, if(ISBLANK('2025'!$R474), 0, 1), 5, if(ISBLANK('2025'!$S474), 0, 1), 6, if(ISBLANK('2025'!$T474), 0, 1), 7, 0))), 1, "")</f>
        <v/>
      </c>
      <c r="AI511" s="1" t="str">
        <f>IF(AND(AND(AND(AI$4&gt;='2025'!$L474,AI$4&lt;='2025'!$M474), AI$4&lt;&gt;DATE(2025,7,4)), (SWITCH(weekday(AI$4), 1, 0, 2, if(ISBLANK('2025'!$P474), 0, 1), 3, if(ISBLANK('2025'!$Q474), 0, 1), 4, if(ISBLANK('2025'!$R474), 0, 1), 5, if(ISBLANK('2025'!$S474), 0, 1), 6, if(ISBLANK('2025'!$T474), 0, 1), 7, 0))), 1, "")</f>
        <v/>
      </c>
      <c r="AJ511" s="1" t="str">
        <f>IF(AND(AND(AND(AJ$4&gt;='2025'!$L474,AJ$4&lt;='2025'!$M474), AJ$4&lt;&gt;DATE(2025,7,4)), (SWITCH(weekday(AJ$4), 1, 0, 2, if(ISBLANK('2025'!$P474), 0, 1), 3, if(ISBLANK('2025'!$Q474), 0, 1), 4, if(ISBLANK('2025'!$R474), 0, 1), 5, if(ISBLANK('2025'!$S474), 0, 1), 6, if(ISBLANK('2025'!$T474), 0, 1), 7, 0))), 1, "")</f>
        <v/>
      </c>
      <c r="AK511" s="1" t="str">
        <f>IF(AND(AND(AND(AK$4&gt;='2025'!$L474,AK$4&lt;='2025'!$M474), AK$4&lt;&gt;DATE(2025,7,4)), (SWITCH(weekday(AK$4), 1, 0, 2, if(ISBLANK('2025'!$P474), 0, 1), 3, if(ISBLANK('2025'!$Q474), 0, 1), 4, if(ISBLANK('2025'!$R474), 0, 1), 5, if(ISBLANK('2025'!$S474), 0, 1), 6, if(ISBLANK('2025'!$T474), 0, 1), 7, 0))), 1, "")</f>
        <v/>
      </c>
      <c r="AL511" s="1" t="str">
        <f>IF(AND(AND(AND(AL$4&gt;='2025'!$L474,AL$4&lt;='2025'!$M474), AL$4&lt;&gt;DATE(2025,7,4)), (SWITCH(weekday(AL$4), 1, 0, 2, if(ISBLANK('2025'!$P474), 0, 1), 3, if(ISBLANK('2025'!$Q474), 0, 1), 4, if(ISBLANK('2025'!$R474), 0, 1), 5, if(ISBLANK('2025'!$S474), 0, 1), 6, if(ISBLANK('2025'!$T474), 0, 1), 7, 0))), 1, "")</f>
        <v/>
      </c>
      <c r="AM511" s="1" t="str">
        <f>IF(AND(AND(AND(AM$4&gt;='2025'!$L474,AM$4&lt;='2025'!$M474), AM$4&lt;&gt;DATE(2025,7,4)), (SWITCH(weekday(AM$4), 1, 0, 2, if(ISBLANK('2025'!$P474), 0, 1), 3, if(ISBLANK('2025'!$Q474), 0, 1), 4, if(ISBLANK('2025'!$R474), 0, 1), 5, if(ISBLANK('2025'!$S474), 0, 1), 6, if(ISBLANK('2025'!$T474), 0, 1), 7, 0))), 1, "")</f>
        <v/>
      </c>
      <c r="AN511" s="1" t="str">
        <f>IF(AND(AND(AND(AN$4&gt;='2025'!$L474,AN$4&lt;='2025'!$M474), AN$4&lt;&gt;DATE(2025,7,4)), (SWITCH(weekday(AN$4), 1, 0, 2, if(ISBLANK('2025'!$P474), 0, 1), 3, if(ISBLANK('2025'!$Q474), 0, 1), 4, if(ISBLANK('2025'!$R474), 0, 1), 5, if(ISBLANK('2025'!$S474), 0, 1), 6, if(ISBLANK('2025'!$T474), 0, 1), 7, 0))), 1, "")</f>
        <v/>
      </c>
      <c r="AO511" s="1" t="str">
        <f>IF(AND(AND(AND(AO$4&gt;='2025'!$L474,AO$4&lt;='2025'!$M474), AO$4&lt;&gt;DATE(2025,7,4)), (SWITCH(weekday(AO$4), 1, 0, 2, if(ISBLANK('2025'!$P474), 0, 1), 3, if(ISBLANK('2025'!$Q474), 0, 1), 4, if(ISBLANK('2025'!$R474), 0, 1), 5, if(ISBLANK('2025'!$S474), 0, 1), 6, if(ISBLANK('2025'!$T474), 0, 1), 7, 0))), 1, "")</f>
        <v/>
      </c>
      <c r="AP511" s="1" t="str">
        <f>IF(AND(AND(AND(AP$4&gt;='2025'!$L474,AP$4&lt;='2025'!$M474), AP$4&lt;&gt;DATE(2025,7,4)), (SWITCH(weekday(AP$4), 1, 0, 2, if(ISBLANK('2025'!$P474), 0, 1), 3, if(ISBLANK('2025'!$Q474), 0, 1), 4, if(ISBLANK('2025'!$R474), 0, 1), 5, if(ISBLANK('2025'!$S474), 0, 1), 6, if(ISBLANK('2025'!$T474), 0, 1), 7, 0))), 1, "")</f>
        <v/>
      </c>
      <c r="AQ511" s="1" t="str">
        <f>IF(AND(AND(AND(AQ$4&gt;='2025'!$L474,AQ$4&lt;='2025'!$M474), AQ$4&lt;&gt;DATE(2025,7,4)), (SWITCH(weekday(AQ$4), 1, 0, 2, if(ISBLANK('2025'!$P474), 0, 1), 3, if(ISBLANK('2025'!$Q474), 0, 1), 4, if(ISBLANK('2025'!$R474), 0, 1), 5, if(ISBLANK('2025'!$S474), 0, 1), 6, if(ISBLANK('2025'!$T474), 0, 1), 7, 0))), 1, "")</f>
        <v/>
      </c>
      <c r="AR511" s="1" t="str">
        <f>IF(AND(AND(AND(AR$4&gt;='2025'!$L474,AR$4&lt;='2025'!$M474), AR$4&lt;&gt;DATE(2025,7,4)), (SWITCH(weekday(AR$4), 1, 0, 2, if(ISBLANK('2025'!$P474), 0, 1), 3, if(ISBLANK('2025'!$Q474), 0, 1), 4, if(ISBLANK('2025'!$R474), 0, 1), 5, if(ISBLANK('2025'!$S474), 0, 1), 6, if(ISBLANK('2025'!$T474), 0, 1), 7, 0))), 1, "")</f>
        <v/>
      </c>
      <c r="AS511" s="1" t="str">
        <f>IF(AND(AND(AND(AS$4&gt;='2025'!$L474,AS$4&lt;='2025'!$M474), AS$4&lt;&gt;DATE(2025,7,4)), (SWITCH(weekday(AS$4), 1, 0, 2, if(ISBLANK('2025'!$P474), 0, 1), 3, if(ISBLANK('2025'!$Q474), 0, 1), 4, if(ISBLANK('2025'!$R474), 0, 1), 5, if(ISBLANK('2025'!$S474), 0, 1), 6, if(ISBLANK('2025'!$T474), 0, 1), 7, 0))), 1, "")</f>
        <v/>
      </c>
      <c r="AT511" s="1" t="str">
        <f>IF(AND(AND(AND(AT$4&gt;='2025'!$L474,AT$4&lt;='2025'!$M474), AT$4&lt;&gt;DATE(2025,7,4)), (SWITCH(weekday(AT$4), 1, 0, 2, if(ISBLANK('2025'!$P474), 0, 1), 3, if(ISBLANK('2025'!$Q474), 0, 1), 4, if(ISBLANK('2025'!$R474), 0, 1), 5, if(ISBLANK('2025'!$S474), 0, 1), 6, if(ISBLANK('2025'!$T474), 0, 1), 7, 0))), 1, "")</f>
        <v/>
      </c>
      <c r="AU511" s="1" t="str">
        <f>IF(AND(AND(AND(AU$4&gt;='2025'!$L474,AU$4&lt;='2025'!$M474), AU$4&lt;&gt;DATE(2025,7,4)), (SWITCH(weekday(AU$4), 1, 0, 2, if(ISBLANK('2025'!$P474), 0, 1), 3, if(ISBLANK('2025'!$Q474), 0, 1), 4, if(ISBLANK('2025'!$R474), 0, 1), 5, if(ISBLANK('2025'!$S474), 0, 1), 6, if(ISBLANK('2025'!$T474), 0, 1), 7, 0))), 1, "")</f>
        <v/>
      </c>
      <c r="AV511" s="1" t="str">
        <f>IF(AND(AND(AND(AV$4&gt;='2025'!$L474,AV$4&lt;='2025'!$M474), AV$4&lt;&gt;DATE(2025,7,4)), (SWITCH(weekday(AV$4), 1, 0, 2, if(ISBLANK('2025'!$P474), 0, 1), 3, if(ISBLANK('2025'!$Q474), 0, 1), 4, if(ISBLANK('2025'!$R474), 0, 1), 5, if(ISBLANK('2025'!$S474), 0, 1), 6, if(ISBLANK('2025'!$T474), 0, 1), 7, 0))), 1, "")</f>
        <v/>
      </c>
      <c r="AW511" s="1" t="str">
        <f>IF(AND(AND(AND(AW$4&gt;='2025'!$L474,AW$4&lt;='2025'!$M474), AW$4&lt;&gt;DATE(2025,7,4)), (SWITCH(weekday(AW$4), 1, 0, 2, if(ISBLANK('2025'!$P474), 0, 1), 3, if(ISBLANK('2025'!$Q474), 0, 1), 4, if(ISBLANK('2025'!$R474), 0, 1), 5, if(ISBLANK('2025'!$S474), 0, 1), 6, if(ISBLANK('2025'!$T474), 0, 1), 7, 0))), 1, "")</f>
        <v/>
      </c>
      <c r="AX511" s="1" t="str">
        <f>IF(AND(AND(AND(AX$4&gt;='2025'!$L474,AX$4&lt;='2025'!$M474), AX$4&lt;&gt;DATE(2025,7,4)), (SWITCH(weekday(AX$4), 1, 0, 2, if(ISBLANK('2025'!$P474), 0, 1), 3, if(ISBLANK('2025'!$Q474), 0, 1), 4, if(ISBLANK('2025'!$R474), 0, 1), 5, if(ISBLANK('2025'!$S474), 0, 1), 6, if(ISBLANK('2025'!$T474), 0, 1), 7, 0))), 1, "")</f>
        <v/>
      </c>
      <c r="AY511" s="1" t="str">
        <f>IF(AND(AND(AND(AY$4&gt;='2025'!$L474,AY$4&lt;='2025'!$M474), AY$4&lt;&gt;DATE(2025,7,4)), (SWITCH(weekday(AY$4), 1, 0, 2, if(ISBLANK('2025'!$P474), 0, 1), 3, if(ISBLANK('2025'!$Q474), 0, 1), 4, if(ISBLANK('2025'!$R474), 0, 1), 5, if(ISBLANK('2025'!$S474), 0, 1), 6, if(ISBLANK('2025'!$T474), 0, 1), 7, 0))), 1, "")</f>
        <v/>
      </c>
      <c r="AZ511" s="1" t="str">
        <f>IF(AND(AND(AND(AZ$4&gt;='2025'!$L474,AZ$4&lt;='2025'!$M474), AZ$4&lt;&gt;DATE(2025,7,4)), (SWITCH(weekday(AZ$4), 1, 0, 2, if(ISBLANK('2025'!$P474), 0, 1), 3, if(ISBLANK('2025'!$Q474), 0, 1), 4, if(ISBLANK('2025'!$R474), 0, 1), 5, if(ISBLANK('2025'!$S474), 0, 1), 6, if(ISBLANK('2025'!$T474), 0, 1), 7, 0))), 1, "")</f>
        <v/>
      </c>
      <c r="BA511" s="1" t="str">
        <f>IF(AND(AND(AND(BA$4&gt;='2025'!$L474,BA$4&lt;='2025'!$M474), BA$4&lt;&gt;DATE(2025,7,4)), (SWITCH(weekday(BA$4), 1, 0, 2, if(ISBLANK('2025'!$P474), 0, 1), 3, if(ISBLANK('2025'!$Q474), 0, 1), 4, if(ISBLANK('2025'!$R474), 0, 1), 5, if(ISBLANK('2025'!$S474), 0, 1), 6, if(ISBLANK('2025'!$T474), 0, 1), 7, 0))), 1, "")</f>
        <v/>
      </c>
      <c r="BB511" s="1" t="str">
        <f>IF(AND(AND(AND(BB$4&gt;='2025'!$L474,BB$4&lt;='2025'!$M474), BB$4&lt;&gt;DATE(2025,7,4)), (SWITCH(weekday(BB$4), 1, 0, 2, if(ISBLANK('2025'!$P474), 0, 1), 3, if(ISBLANK('2025'!$Q474), 0, 1), 4, if(ISBLANK('2025'!$R474), 0, 1), 5, if(ISBLANK('2025'!$S474), 0, 1), 6, if(ISBLANK('2025'!$T474), 0, 1), 7, 0))), 1, "")</f>
        <v/>
      </c>
      <c r="BC511" s="1" t="str">
        <f>IF(AND(AND(AND(BC$4&gt;='2025'!$L474,BC$4&lt;='2025'!$M474), BC$4&lt;&gt;DATE(2025,7,4)), (SWITCH(weekday(BC$4), 1, 0, 2, if(ISBLANK('2025'!$P474), 0, 1), 3, if(ISBLANK('2025'!$Q474), 0, 1), 4, if(ISBLANK('2025'!$R474), 0, 1), 5, if(ISBLANK('2025'!$S474), 0, 1), 6, if(ISBLANK('2025'!$T474), 0, 1), 7, 0))), 1, "")</f>
        <v/>
      </c>
      <c r="BD511" s="1" t="str">
        <f>IF(AND(AND(AND(BD$4&gt;='2025'!$L474,BD$4&lt;='2025'!$M474), BD$4&lt;&gt;DATE(2025,7,4)), (SWITCH(weekday(BD$4), 1, 0, 2, if(ISBLANK('2025'!$P474), 0, 1), 3, if(ISBLANK('2025'!$Q474), 0, 1), 4, if(ISBLANK('2025'!$R474), 0, 1), 5, if(ISBLANK('2025'!$S474), 0, 1), 6, if(ISBLANK('2025'!$T474), 0, 1), 7, 0))), 1, "")</f>
        <v/>
      </c>
      <c r="BE511" s="1" t="str">
        <f>IF(AND(AND(AND(BE$4&gt;='2025'!$L474,BE$4&lt;='2025'!$M474), BE$4&lt;&gt;DATE(2025,7,4)), (SWITCH(weekday(BE$4), 1, 0, 2, if(ISBLANK('2025'!$P474), 0, 1), 3, if(ISBLANK('2025'!$Q474), 0, 1), 4, if(ISBLANK('2025'!$R474), 0, 1), 5, if(ISBLANK('2025'!$S474), 0, 1), 6, if(ISBLANK('2025'!$T474), 0, 1), 7, 0))), 1, "")</f>
        <v/>
      </c>
    </row>
    <row r="512">
      <c r="A512" s="1">
        <f t="shared" si="3"/>
        <v>512</v>
      </c>
      <c r="B512" s="1" t="str">
        <f>'2025'!D475</f>
        <v/>
      </c>
      <c r="C512" s="1" t="str">
        <f>'2025'!H475</f>
        <v/>
      </c>
      <c r="D512" s="1" t="str">
        <f>IF(AND(AND(AND(D$4&gt;='2025'!$L475,D$4&lt;='2025'!$M475), D$4&lt;&gt;DATE(2025,7,4)), (SWITCH(weekday(D$4), 1, 0, 2, if(ISBLANK('2025'!$P475), 0, 1), 3, if(ISBLANK('2025'!$Q475), 0, 1), 4, if(ISBLANK('2025'!$R475), 0, 1), 5, if(ISBLANK('2025'!$S475), 0, 1), 6, if(ISBLANK('2025'!$T475), 0, 1), 7, 0))), 1, "")</f>
        <v/>
      </c>
      <c r="E512" s="1" t="str">
        <f>IF(AND(AND(AND(E$4&gt;='2025'!$L475,E$4&lt;='2025'!$M475), E$4&lt;&gt;DATE(2025,7,4)), (SWITCH(weekday(E$4), 1, 0, 2, if(ISBLANK('2025'!$P475), 0, 1), 3, if(ISBLANK('2025'!$Q475), 0, 1), 4, if(ISBLANK('2025'!$R475), 0, 1), 5, if(ISBLANK('2025'!$S475), 0, 1), 6, if(ISBLANK('2025'!$T475), 0, 1), 7, 0))), 1, "")</f>
        <v/>
      </c>
      <c r="F512" s="1" t="str">
        <f>IF(AND(AND(AND(F$4&gt;='2025'!$L475,F$4&lt;='2025'!$M475), F$4&lt;&gt;DATE(2025,7,4)), (SWITCH(weekday(F$4), 1, 0, 2, if(ISBLANK('2025'!$P475), 0, 1), 3, if(ISBLANK('2025'!$Q475), 0, 1), 4, if(ISBLANK('2025'!$R475), 0, 1), 5, if(ISBLANK('2025'!$S475), 0, 1), 6, if(ISBLANK('2025'!$T475), 0, 1), 7, 0))), 1, "")</f>
        <v/>
      </c>
      <c r="G512" s="1" t="str">
        <f>IF(AND(AND(AND(G$4&gt;='2025'!$L475,G$4&lt;='2025'!$M475), G$4&lt;&gt;DATE(2025,7,4)), (SWITCH(weekday(G$4), 1, 0, 2, if(ISBLANK('2025'!$P475), 0, 1), 3, if(ISBLANK('2025'!$Q475), 0, 1), 4, if(ISBLANK('2025'!$R475), 0, 1), 5, if(ISBLANK('2025'!$S475), 0, 1), 6, if(ISBLANK('2025'!$T475), 0, 1), 7, 0))), 1, "")</f>
        <v/>
      </c>
      <c r="H512" s="1" t="str">
        <f>IF(AND(AND(AND(H$4&gt;='2025'!$L475,H$4&lt;='2025'!$M475), H$4&lt;&gt;DATE(2025,7,4)), (SWITCH(weekday(H$4), 1, 0, 2, if(ISBLANK('2025'!$P475), 0, 1), 3, if(ISBLANK('2025'!$Q475), 0, 1), 4, if(ISBLANK('2025'!$R475), 0, 1), 5, if(ISBLANK('2025'!$S475), 0, 1), 6, if(ISBLANK('2025'!$T475), 0, 1), 7, 0))), 1, "")</f>
        <v/>
      </c>
      <c r="I512" s="1" t="str">
        <f>IF(AND(AND(AND(I$4&gt;='2025'!$L475,I$4&lt;='2025'!$M475), I$4&lt;&gt;DATE(2025,7,4)), (SWITCH(weekday(I$4), 1, 0, 2, if(ISBLANK('2025'!$P475), 0, 1), 3, if(ISBLANK('2025'!$Q475), 0, 1), 4, if(ISBLANK('2025'!$R475), 0, 1), 5, if(ISBLANK('2025'!$S475), 0, 1), 6, if(ISBLANK('2025'!$T475), 0, 1), 7, 0))), 1, "")</f>
        <v/>
      </c>
      <c r="J512" s="1" t="str">
        <f>IF(AND(AND(AND(J$4&gt;='2025'!$L475,J$4&lt;='2025'!$M475), J$4&lt;&gt;DATE(2025,7,4)), (SWITCH(weekday(J$4), 1, 0, 2, if(ISBLANK('2025'!$P475), 0, 1), 3, if(ISBLANK('2025'!$Q475), 0, 1), 4, if(ISBLANK('2025'!$R475), 0, 1), 5, if(ISBLANK('2025'!$S475), 0, 1), 6, if(ISBLANK('2025'!$T475), 0, 1), 7, 0))), 1, "")</f>
        <v/>
      </c>
      <c r="K512" s="1" t="str">
        <f>IF(AND(AND(AND(K$4&gt;='2025'!$L475,K$4&lt;='2025'!$M475), K$4&lt;&gt;DATE(2025,7,4)), (SWITCH(weekday(K$4), 1, 0, 2, if(ISBLANK('2025'!$P475), 0, 1), 3, if(ISBLANK('2025'!$Q475), 0, 1), 4, if(ISBLANK('2025'!$R475), 0, 1), 5, if(ISBLANK('2025'!$S475), 0, 1), 6, if(ISBLANK('2025'!$T475), 0, 1), 7, 0))), 1, "")</f>
        <v/>
      </c>
      <c r="L512" s="1" t="str">
        <f>IF(AND(AND(AND(L$4&gt;='2025'!$L475,L$4&lt;='2025'!$M475), L$4&lt;&gt;DATE(2025,7,4)), (SWITCH(weekday(L$4), 1, 0, 2, if(ISBLANK('2025'!$P475), 0, 1), 3, if(ISBLANK('2025'!$Q475), 0, 1), 4, if(ISBLANK('2025'!$R475), 0, 1), 5, if(ISBLANK('2025'!$S475), 0, 1), 6, if(ISBLANK('2025'!$T475), 0, 1), 7, 0))), 1, "")</f>
        <v/>
      </c>
      <c r="M512" s="1" t="str">
        <f>IF(AND(AND(AND(M$4&gt;='2025'!$L475,M$4&lt;='2025'!$M475), M$4&lt;&gt;DATE(2025,7,4)), (SWITCH(weekday(M$4), 1, 0, 2, if(ISBLANK('2025'!$P475), 0, 1), 3, if(ISBLANK('2025'!$Q475), 0, 1), 4, if(ISBLANK('2025'!$R475), 0, 1), 5, if(ISBLANK('2025'!$S475), 0, 1), 6, if(ISBLANK('2025'!$T475), 0, 1), 7, 0))), 1, "")</f>
        <v/>
      </c>
      <c r="N512" s="1" t="str">
        <f>IF(AND(AND(AND(N$4&gt;='2025'!$L475,N$4&lt;='2025'!$M475), N$4&lt;&gt;DATE(2025,7,4)), (SWITCH(weekday(N$4), 1, 0, 2, if(ISBLANK('2025'!$P475), 0, 1), 3, if(ISBLANK('2025'!$Q475), 0, 1), 4, if(ISBLANK('2025'!$R475), 0, 1), 5, if(ISBLANK('2025'!$S475), 0, 1), 6, if(ISBLANK('2025'!$T475), 0, 1), 7, 0))), 1, "")</f>
        <v/>
      </c>
      <c r="O512" s="1" t="str">
        <f>IF(AND(AND(AND(O$4&gt;='2025'!$L475,O$4&lt;='2025'!$M475), O$4&lt;&gt;DATE(2025,7,4)), (SWITCH(weekday(O$4), 1, 0, 2, if(ISBLANK('2025'!$P475), 0, 1), 3, if(ISBLANK('2025'!$Q475), 0, 1), 4, if(ISBLANK('2025'!$R475), 0, 1), 5, if(ISBLANK('2025'!$S475), 0, 1), 6, if(ISBLANK('2025'!$T475), 0, 1), 7, 0))), 1, "")</f>
        <v/>
      </c>
      <c r="P512" s="1" t="str">
        <f>IF(AND(AND(AND(P$4&gt;='2025'!$L475,P$4&lt;='2025'!$M475), P$4&lt;&gt;DATE(2025,7,4)), (SWITCH(weekday(P$4), 1, 0, 2, if(ISBLANK('2025'!$P475), 0, 1), 3, if(ISBLANK('2025'!$Q475), 0, 1), 4, if(ISBLANK('2025'!$R475), 0, 1), 5, if(ISBLANK('2025'!$S475), 0, 1), 6, if(ISBLANK('2025'!$T475), 0, 1), 7, 0))), 1, "")</f>
        <v/>
      </c>
      <c r="Q512" s="1" t="str">
        <f>IF(AND(AND(AND(Q$4&gt;='2025'!$L475,Q$4&lt;='2025'!$M475), Q$4&lt;&gt;DATE(2025,7,4)), (SWITCH(weekday(Q$4), 1, 0, 2, if(ISBLANK('2025'!$P475), 0, 1), 3, if(ISBLANK('2025'!$Q475), 0, 1), 4, if(ISBLANK('2025'!$R475), 0, 1), 5, if(ISBLANK('2025'!$S475), 0, 1), 6, if(ISBLANK('2025'!$T475), 0, 1), 7, 0))), 1, "")</f>
        <v/>
      </c>
      <c r="R512" s="1" t="str">
        <f>IF(AND(AND(AND(R$4&gt;='2025'!$L475,R$4&lt;='2025'!$M475), R$4&lt;&gt;DATE(2025,7,4)), (SWITCH(weekday(R$4), 1, 0, 2, if(ISBLANK('2025'!$P475), 0, 1), 3, if(ISBLANK('2025'!$Q475), 0, 1), 4, if(ISBLANK('2025'!$R475), 0, 1), 5, if(ISBLANK('2025'!$S475), 0, 1), 6, if(ISBLANK('2025'!$T475), 0, 1), 7, 0))), 1, "")</f>
        <v/>
      </c>
      <c r="S512" s="1" t="str">
        <f>IF(AND(AND(AND(S$4&gt;='2025'!$L475,S$4&lt;='2025'!$M475), S$4&lt;&gt;DATE(2025,7,4)), (SWITCH(weekday(S$4), 1, 0, 2, if(ISBLANK('2025'!$P475), 0, 1), 3, if(ISBLANK('2025'!$Q475), 0, 1), 4, if(ISBLANK('2025'!$R475), 0, 1), 5, if(ISBLANK('2025'!$S475), 0, 1), 6, if(ISBLANK('2025'!$T475), 0, 1), 7, 0))), 1, "")</f>
        <v/>
      </c>
      <c r="T512" s="1" t="str">
        <f>IF(AND(AND(AND(T$4&gt;='2025'!$L475,T$4&lt;='2025'!$M475), T$4&lt;&gt;DATE(2025,7,4)), (SWITCH(weekday(T$4), 1, 0, 2, if(ISBLANK('2025'!$P475), 0, 1), 3, if(ISBLANK('2025'!$Q475), 0, 1), 4, if(ISBLANK('2025'!$R475), 0, 1), 5, if(ISBLANK('2025'!$S475), 0, 1), 6, if(ISBLANK('2025'!$T475), 0, 1), 7, 0))), 1, "")</f>
        <v/>
      </c>
      <c r="U512" s="1" t="str">
        <f>IF(AND(AND(AND(U$4&gt;='2025'!$L475,U$4&lt;='2025'!$M475), U$4&lt;&gt;DATE(2025,7,4)), (SWITCH(weekday(U$4), 1, 0, 2, if(ISBLANK('2025'!$P475), 0, 1), 3, if(ISBLANK('2025'!$Q475), 0, 1), 4, if(ISBLANK('2025'!$R475), 0, 1), 5, if(ISBLANK('2025'!$S475), 0, 1), 6, if(ISBLANK('2025'!$T475), 0, 1), 7, 0))), 1, "")</f>
        <v/>
      </c>
      <c r="V512" s="1" t="str">
        <f>IF(AND(AND(AND(V$4&gt;='2025'!$L475,V$4&lt;='2025'!$M475), V$4&lt;&gt;DATE(2025,7,4)), (SWITCH(weekday(V$4), 1, 0, 2, if(ISBLANK('2025'!$P475), 0, 1), 3, if(ISBLANK('2025'!$Q475), 0, 1), 4, if(ISBLANK('2025'!$R475), 0, 1), 5, if(ISBLANK('2025'!$S475), 0, 1), 6, if(ISBLANK('2025'!$T475), 0, 1), 7, 0))), 1, "")</f>
        <v/>
      </c>
      <c r="W512" s="1" t="str">
        <f>IF(AND(AND(AND(W$4&gt;='2025'!$L475,W$4&lt;='2025'!$M475), W$4&lt;&gt;DATE(2025,7,4)), (SWITCH(weekday(W$4), 1, 0, 2, if(ISBLANK('2025'!$P475), 0, 1), 3, if(ISBLANK('2025'!$Q475), 0, 1), 4, if(ISBLANK('2025'!$R475), 0, 1), 5, if(ISBLANK('2025'!$S475), 0, 1), 6, if(ISBLANK('2025'!$T475), 0, 1), 7, 0))), 1, "")</f>
        <v/>
      </c>
      <c r="X512" s="1" t="str">
        <f>IF(AND(AND(AND(X$4&gt;='2025'!$L475,X$4&lt;='2025'!$M475), X$4&lt;&gt;DATE(2025,7,4)), (SWITCH(weekday(X$4), 1, 0, 2, if(ISBLANK('2025'!$P475), 0, 1), 3, if(ISBLANK('2025'!$Q475), 0, 1), 4, if(ISBLANK('2025'!$R475), 0, 1), 5, if(ISBLANK('2025'!$S475), 0, 1), 6, if(ISBLANK('2025'!$T475), 0, 1), 7, 0))), 1, "")</f>
        <v/>
      </c>
      <c r="Y512" s="1" t="str">
        <f>IF(AND(AND(AND(Y$4&gt;='2025'!$L475,Y$4&lt;='2025'!$M475), Y$4&lt;&gt;DATE(2025,7,4)), (SWITCH(weekday(Y$4), 1, 0, 2, if(ISBLANK('2025'!$P475), 0, 1), 3, if(ISBLANK('2025'!$Q475), 0, 1), 4, if(ISBLANK('2025'!$R475), 0, 1), 5, if(ISBLANK('2025'!$S475), 0, 1), 6, if(ISBLANK('2025'!$T475), 0, 1), 7, 0))), 1, "")</f>
        <v/>
      </c>
      <c r="Z512" s="1" t="str">
        <f>IF(AND(AND(AND(Z$4&gt;='2025'!$L475,Z$4&lt;='2025'!$M475), Z$4&lt;&gt;DATE(2025,7,4)), (SWITCH(weekday(Z$4), 1, 0, 2, if(ISBLANK('2025'!$P475), 0, 1), 3, if(ISBLANK('2025'!$Q475), 0, 1), 4, if(ISBLANK('2025'!$R475), 0, 1), 5, if(ISBLANK('2025'!$S475), 0, 1), 6, if(ISBLANK('2025'!$T475), 0, 1), 7, 0))), 1, "")</f>
        <v/>
      </c>
      <c r="AA512" s="1" t="str">
        <f>IF(AND(AND(AND(AA$4&gt;='2025'!$L475,AA$4&lt;='2025'!$M475), AA$4&lt;&gt;DATE(2025,7,4)), (SWITCH(weekday(AA$4), 1, 0, 2, if(ISBLANK('2025'!$P475), 0, 1), 3, if(ISBLANK('2025'!$Q475), 0, 1), 4, if(ISBLANK('2025'!$R475), 0, 1), 5, if(ISBLANK('2025'!$S475), 0, 1), 6, if(ISBLANK('2025'!$T475), 0, 1), 7, 0))), 1, "")</f>
        <v/>
      </c>
      <c r="AB512" s="1" t="str">
        <f>IF(AND(AND(AND(AB$4&gt;='2025'!$L475,AB$4&lt;='2025'!$M475), AB$4&lt;&gt;DATE(2025,7,4)), (SWITCH(weekday(AB$4), 1, 0, 2, if(ISBLANK('2025'!$P475), 0, 1), 3, if(ISBLANK('2025'!$Q475), 0, 1), 4, if(ISBLANK('2025'!$R475), 0, 1), 5, if(ISBLANK('2025'!$S475), 0, 1), 6, if(ISBLANK('2025'!$T475), 0, 1), 7, 0))), 1, "")</f>
        <v/>
      </c>
      <c r="AC512" s="1" t="str">
        <f>IF(AND(AND(AND(AC$4&gt;='2025'!$L475,AC$4&lt;='2025'!$M475), AC$4&lt;&gt;DATE(2025,7,4)), (SWITCH(weekday(AC$4), 1, 0, 2, if(ISBLANK('2025'!$P475), 0, 1), 3, if(ISBLANK('2025'!$Q475), 0, 1), 4, if(ISBLANK('2025'!$R475), 0, 1), 5, if(ISBLANK('2025'!$S475), 0, 1), 6, if(ISBLANK('2025'!$T475), 0, 1), 7, 0))), 1, "")</f>
        <v/>
      </c>
      <c r="AD512" s="1" t="str">
        <f>IF(AND(AND(AND(AD$4&gt;='2025'!$L475,AD$4&lt;='2025'!$M475), AD$4&lt;&gt;DATE(2025,7,4)), (SWITCH(weekday(AD$4), 1, 0, 2, if(ISBLANK('2025'!$P475), 0, 1), 3, if(ISBLANK('2025'!$Q475), 0, 1), 4, if(ISBLANK('2025'!$R475), 0, 1), 5, if(ISBLANK('2025'!$S475), 0, 1), 6, if(ISBLANK('2025'!$T475), 0, 1), 7, 0))), 1, "")</f>
        <v/>
      </c>
      <c r="AE512" s="1" t="str">
        <f>IF(AND(AND(AND(AE$4&gt;='2025'!$L475,AE$4&lt;='2025'!$M475), AE$4&lt;&gt;DATE(2025,7,4)), (SWITCH(weekday(AE$4), 1, 0, 2, if(ISBLANK('2025'!$P475), 0, 1), 3, if(ISBLANK('2025'!$Q475), 0, 1), 4, if(ISBLANK('2025'!$R475), 0, 1), 5, if(ISBLANK('2025'!$S475), 0, 1), 6, if(ISBLANK('2025'!$T475), 0, 1), 7, 0))), 1, "")</f>
        <v/>
      </c>
      <c r="AF512" s="1" t="str">
        <f>IF(AND(AND(AND(AF$4&gt;='2025'!$L475,AF$4&lt;='2025'!$M475), AF$4&lt;&gt;DATE(2025,7,4)), (SWITCH(weekday(AF$4), 1, 0, 2, if(ISBLANK('2025'!$P475), 0, 1), 3, if(ISBLANK('2025'!$Q475), 0, 1), 4, if(ISBLANK('2025'!$R475), 0, 1), 5, if(ISBLANK('2025'!$S475), 0, 1), 6, if(ISBLANK('2025'!$T475), 0, 1), 7, 0))), 1, "")</f>
        <v/>
      </c>
      <c r="AG512" s="1" t="str">
        <f>IF(AND(AND(AND(AG$4&gt;='2025'!$L475,AG$4&lt;='2025'!$M475), AG$4&lt;&gt;DATE(2025,7,4)), (SWITCH(weekday(AG$4), 1, 0, 2, if(ISBLANK('2025'!$P475), 0, 1), 3, if(ISBLANK('2025'!$Q475), 0, 1), 4, if(ISBLANK('2025'!$R475), 0, 1), 5, if(ISBLANK('2025'!$S475), 0, 1), 6, if(ISBLANK('2025'!$T475), 0, 1), 7, 0))), 1, "")</f>
        <v/>
      </c>
      <c r="AH512" s="1" t="str">
        <f>IF(AND(AND(AND(AH$4&gt;='2025'!$L475,AH$4&lt;='2025'!$M475), AH$4&lt;&gt;DATE(2025,7,4)), (SWITCH(weekday(AH$4), 1, 0, 2, if(ISBLANK('2025'!$P475), 0, 1), 3, if(ISBLANK('2025'!$Q475), 0, 1), 4, if(ISBLANK('2025'!$R475), 0, 1), 5, if(ISBLANK('2025'!$S475), 0, 1), 6, if(ISBLANK('2025'!$T475), 0, 1), 7, 0))), 1, "")</f>
        <v/>
      </c>
      <c r="AI512" s="1" t="str">
        <f>IF(AND(AND(AND(AI$4&gt;='2025'!$L475,AI$4&lt;='2025'!$M475), AI$4&lt;&gt;DATE(2025,7,4)), (SWITCH(weekday(AI$4), 1, 0, 2, if(ISBLANK('2025'!$P475), 0, 1), 3, if(ISBLANK('2025'!$Q475), 0, 1), 4, if(ISBLANK('2025'!$R475), 0, 1), 5, if(ISBLANK('2025'!$S475), 0, 1), 6, if(ISBLANK('2025'!$T475), 0, 1), 7, 0))), 1, "")</f>
        <v/>
      </c>
      <c r="AJ512" s="1" t="str">
        <f>IF(AND(AND(AND(AJ$4&gt;='2025'!$L475,AJ$4&lt;='2025'!$M475), AJ$4&lt;&gt;DATE(2025,7,4)), (SWITCH(weekday(AJ$4), 1, 0, 2, if(ISBLANK('2025'!$P475), 0, 1), 3, if(ISBLANK('2025'!$Q475), 0, 1), 4, if(ISBLANK('2025'!$R475), 0, 1), 5, if(ISBLANK('2025'!$S475), 0, 1), 6, if(ISBLANK('2025'!$T475), 0, 1), 7, 0))), 1, "")</f>
        <v/>
      </c>
      <c r="AK512" s="1" t="str">
        <f>IF(AND(AND(AND(AK$4&gt;='2025'!$L475,AK$4&lt;='2025'!$M475), AK$4&lt;&gt;DATE(2025,7,4)), (SWITCH(weekday(AK$4), 1, 0, 2, if(ISBLANK('2025'!$P475), 0, 1), 3, if(ISBLANK('2025'!$Q475), 0, 1), 4, if(ISBLANK('2025'!$R475), 0, 1), 5, if(ISBLANK('2025'!$S475), 0, 1), 6, if(ISBLANK('2025'!$T475), 0, 1), 7, 0))), 1, "")</f>
        <v/>
      </c>
      <c r="AL512" s="1" t="str">
        <f>IF(AND(AND(AND(AL$4&gt;='2025'!$L475,AL$4&lt;='2025'!$M475), AL$4&lt;&gt;DATE(2025,7,4)), (SWITCH(weekday(AL$4), 1, 0, 2, if(ISBLANK('2025'!$P475), 0, 1), 3, if(ISBLANK('2025'!$Q475), 0, 1), 4, if(ISBLANK('2025'!$R475), 0, 1), 5, if(ISBLANK('2025'!$S475), 0, 1), 6, if(ISBLANK('2025'!$T475), 0, 1), 7, 0))), 1, "")</f>
        <v/>
      </c>
      <c r="AM512" s="1" t="str">
        <f>IF(AND(AND(AND(AM$4&gt;='2025'!$L475,AM$4&lt;='2025'!$M475), AM$4&lt;&gt;DATE(2025,7,4)), (SWITCH(weekday(AM$4), 1, 0, 2, if(ISBLANK('2025'!$P475), 0, 1), 3, if(ISBLANK('2025'!$Q475), 0, 1), 4, if(ISBLANK('2025'!$R475), 0, 1), 5, if(ISBLANK('2025'!$S475), 0, 1), 6, if(ISBLANK('2025'!$T475), 0, 1), 7, 0))), 1, "")</f>
        <v/>
      </c>
      <c r="AN512" s="1" t="str">
        <f>IF(AND(AND(AND(AN$4&gt;='2025'!$L475,AN$4&lt;='2025'!$M475), AN$4&lt;&gt;DATE(2025,7,4)), (SWITCH(weekday(AN$4), 1, 0, 2, if(ISBLANK('2025'!$P475), 0, 1), 3, if(ISBLANK('2025'!$Q475), 0, 1), 4, if(ISBLANK('2025'!$R475), 0, 1), 5, if(ISBLANK('2025'!$S475), 0, 1), 6, if(ISBLANK('2025'!$T475), 0, 1), 7, 0))), 1, "")</f>
        <v/>
      </c>
      <c r="AO512" s="1" t="str">
        <f>IF(AND(AND(AND(AO$4&gt;='2025'!$L475,AO$4&lt;='2025'!$M475), AO$4&lt;&gt;DATE(2025,7,4)), (SWITCH(weekday(AO$4), 1, 0, 2, if(ISBLANK('2025'!$P475), 0, 1), 3, if(ISBLANK('2025'!$Q475), 0, 1), 4, if(ISBLANK('2025'!$R475), 0, 1), 5, if(ISBLANK('2025'!$S475), 0, 1), 6, if(ISBLANK('2025'!$T475), 0, 1), 7, 0))), 1, "")</f>
        <v/>
      </c>
      <c r="AP512" s="1" t="str">
        <f>IF(AND(AND(AND(AP$4&gt;='2025'!$L475,AP$4&lt;='2025'!$M475), AP$4&lt;&gt;DATE(2025,7,4)), (SWITCH(weekday(AP$4), 1, 0, 2, if(ISBLANK('2025'!$P475), 0, 1), 3, if(ISBLANK('2025'!$Q475), 0, 1), 4, if(ISBLANK('2025'!$R475), 0, 1), 5, if(ISBLANK('2025'!$S475), 0, 1), 6, if(ISBLANK('2025'!$T475), 0, 1), 7, 0))), 1, "")</f>
        <v/>
      </c>
      <c r="AQ512" s="1" t="str">
        <f>IF(AND(AND(AND(AQ$4&gt;='2025'!$L475,AQ$4&lt;='2025'!$M475), AQ$4&lt;&gt;DATE(2025,7,4)), (SWITCH(weekday(AQ$4), 1, 0, 2, if(ISBLANK('2025'!$P475), 0, 1), 3, if(ISBLANK('2025'!$Q475), 0, 1), 4, if(ISBLANK('2025'!$R475), 0, 1), 5, if(ISBLANK('2025'!$S475), 0, 1), 6, if(ISBLANK('2025'!$T475), 0, 1), 7, 0))), 1, "")</f>
        <v/>
      </c>
      <c r="AR512" s="1" t="str">
        <f>IF(AND(AND(AND(AR$4&gt;='2025'!$L475,AR$4&lt;='2025'!$M475), AR$4&lt;&gt;DATE(2025,7,4)), (SWITCH(weekday(AR$4), 1, 0, 2, if(ISBLANK('2025'!$P475), 0, 1), 3, if(ISBLANK('2025'!$Q475), 0, 1), 4, if(ISBLANK('2025'!$R475), 0, 1), 5, if(ISBLANK('2025'!$S475), 0, 1), 6, if(ISBLANK('2025'!$T475), 0, 1), 7, 0))), 1, "")</f>
        <v/>
      </c>
      <c r="AS512" s="1" t="str">
        <f>IF(AND(AND(AND(AS$4&gt;='2025'!$L475,AS$4&lt;='2025'!$M475), AS$4&lt;&gt;DATE(2025,7,4)), (SWITCH(weekday(AS$4), 1, 0, 2, if(ISBLANK('2025'!$P475), 0, 1), 3, if(ISBLANK('2025'!$Q475), 0, 1), 4, if(ISBLANK('2025'!$R475), 0, 1), 5, if(ISBLANK('2025'!$S475), 0, 1), 6, if(ISBLANK('2025'!$T475), 0, 1), 7, 0))), 1, "")</f>
        <v/>
      </c>
      <c r="AT512" s="1" t="str">
        <f>IF(AND(AND(AND(AT$4&gt;='2025'!$L475,AT$4&lt;='2025'!$M475), AT$4&lt;&gt;DATE(2025,7,4)), (SWITCH(weekday(AT$4), 1, 0, 2, if(ISBLANK('2025'!$P475), 0, 1), 3, if(ISBLANK('2025'!$Q475), 0, 1), 4, if(ISBLANK('2025'!$R475), 0, 1), 5, if(ISBLANK('2025'!$S475), 0, 1), 6, if(ISBLANK('2025'!$T475), 0, 1), 7, 0))), 1, "")</f>
        <v/>
      </c>
      <c r="AU512" s="1" t="str">
        <f>IF(AND(AND(AND(AU$4&gt;='2025'!$L475,AU$4&lt;='2025'!$M475), AU$4&lt;&gt;DATE(2025,7,4)), (SWITCH(weekday(AU$4), 1, 0, 2, if(ISBLANK('2025'!$P475), 0, 1), 3, if(ISBLANK('2025'!$Q475), 0, 1), 4, if(ISBLANK('2025'!$R475), 0, 1), 5, if(ISBLANK('2025'!$S475), 0, 1), 6, if(ISBLANK('2025'!$T475), 0, 1), 7, 0))), 1, "")</f>
        <v/>
      </c>
      <c r="AV512" s="1" t="str">
        <f>IF(AND(AND(AND(AV$4&gt;='2025'!$L475,AV$4&lt;='2025'!$M475), AV$4&lt;&gt;DATE(2025,7,4)), (SWITCH(weekday(AV$4), 1, 0, 2, if(ISBLANK('2025'!$P475), 0, 1), 3, if(ISBLANK('2025'!$Q475), 0, 1), 4, if(ISBLANK('2025'!$R475), 0, 1), 5, if(ISBLANK('2025'!$S475), 0, 1), 6, if(ISBLANK('2025'!$T475), 0, 1), 7, 0))), 1, "")</f>
        <v/>
      </c>
      <c r="AW512" s="1" t="str">
        <f>IF(AND(AND(AND(AW$4&gt;='2025'!$L475,AW$4&lt;='2025'!$M475), AW$4&lt;&gt;DATE(2025,7,4)), (SWITCH(weekday(AW$4), 1, 0, 2, if(ISBLANK('2025'!$P475), 0, 1), 3, if(ISBLANK('2025'!$Q475), 0, 1), 4, if(ISBLANK('2025'!$R475), 0, 1), 5, if(ISBLANK('2025'!$S475), 0, 1), 6, if(ISBLANK('2025'!$T475), 0, 1), 7, 0))), 1, "")</f>
        <v/>
      </c>
      <c r="AX512" s="1" t="str">
        <f>IF(AND(AND(AND(AX$4&gt;='2025'!$L475,AX$4&lt;='2025'!$M475), AX$4&lt;&gt;DATE(2025,7,4)), (SWITCH(weekday(AX$4), 1, 0, 2, if(ISBLANK('2025'!$P475), 0, 1), 3, if(ISBLANK('2025'!$Q475), 0, 1), 4, if(ISBLANK('2025'!$R475), 0, 1), 5, if(ISBLANK('2025'!$S475), 0, 1), 6, if(ISBLANK('2025'!$T475), 0, 1), 7, 0))), 1, "")</f>
        <v/>
      </c>
      <c r="AY512" s="1" t="str">
        <f>IF(AND(AND(AND(AY$4&gt;='2025'!$L475,AY$4&lt;='2025'!$M475), AY$4&lt;&gt;DATE(2025,7,4)), (SWITCH(weekday(AY$4), 1, 0, 2, if(ISBLANK('2025'!$P475), 0, 1), 3, if(ISBLANK('2025'!$Q475), 0, 1), 4, if(ISBLANK('2025'!$R475), 0, 1), 5, if(ISBLANK('2025'!$S475), 0, 1), 6, if(ISBLANK('2025'!$T475), 0, 1), 7, 0))), 1, "")</f>
        <v/>
      </c>
      <c r="AZ512" s="1" t="str">
        <f>IF(AND(AND(AND(AZ$4&gt;='2025'!$L475,AZ$4&lt;='2025'!$M475), AZ$4&lt;&gt;DATE(2025,7,4)), (SWITCH(weekday(AZ$4), 1, 0, 2, if(ISBLANK('2025'!$P475), 0, 1), 3, if(ISBLANK('2025'!$Q475), 0, 1), 4, if(ISBLANK('2025'!$R475), 0, 1), 5, if(ISBLANK('2025'!$S475), 0, 1), 6, if(ISBLANK('2025'!$T475), 0, 1), 7, 0))), 1, "")</f>
        <v/>
      </c>
      <c r="BA512" s="1" t="str">
        <f>IF(AND(AND(AND(BA$4&gt;='2025'!$L475,BA$4&lt;='2025'!$M475), BA$4&lt;&gt;DATE(2025,7,4)), (SWITCH(weekday(BA$4), 1, 0, 2, if(ISBLANK('2025'!$P475), 0, 1), 3, if(ISBLANK('2025'!$Q475), 0, 1), 4, if(ISBLANK('2025'!$R475), 0, 1), 5, if(ISBLANK('2025'!$S475), 0, 1), 6, if(ISBLANK('2025'!$T475), 0, 1), 7, 0))), 1, "")</f>
        <v/>
      </c>
      <c r="BB512" s="1" t="str">
        <f>IF(AND(AND(AND(BB$4&gt;='2025'!$L475,BB$4&lt;='2025'!$M475), BB$4&lt;&gt;DATE(2025,7,4)), (SWITCH(weekday(BB$4), 1, 0, 2, if(ISBLANK('2025'!$P475), 0, 1), 3, if(ISBLANK('2025'!$Q475), 0, 1), 4, if(ISBLANK('2025'!$R475), 0, 1), 5, if(ISBLANK('2025'!$S475), 0, 1), 6, if(ISBLANK('2025'!$T475), 0, 1), 7, 0))), 1, "")</f>
        <v/>
      </c>
      <c r="BC512" s="1" t="str">
        <f>IF(AND(AND(AND(BC$4&gt;='2025'!$L475,BC$4&lt;='2025'!$M475), BC$4&lt;&gt;DATE(2025,7,4)), (SWITCH(weekday(BC$4), 1, 0, 2, if(ISBLANK('2025'!$P475), 0, 1), 3, if(ISBLANK('2025'!$Q475), 0, 1), 4, if(ISBLANK('2025'!$R475), 0, 1), 5, if(ISBLANK('2025'!$S475), 0, 1), 6, if(ISBLANK('2025'!$T475), 0, 1), 7, 0))), 1, "")</f>
        <v/>
      </c>
      <c r="BD512" s="1" t="str">
        <f>IF(AND(AND(AND(BD$4&gt;='2025'!$L475,BD$4&lt;='2025'!$M475), BD$4&lt;&gt;DATE(2025,7,4)), (SWITCH(weekday(BD$4), 1, 0, 2, if(ISBLANK('2025'!$P475), 0, 1), 3, if(ISBLANK('2025'!$Q475), 0, 1), 4, if(ISBLANK('2025'!$R475), 0, 1), 5, if(ISBLANK('2025'!$S475), 0, 1), 6, if(ISBLANK('2025'!$T475), 0, 1), 7, 0))), 1, "")</f>
        <v/>
      </c>
      <c r="BE512" s="1" t="str">
        <f>IF(AND(AND(AND(BE$4&gt;='2025'!$L475,BE$4&lt;='2025'!$M475), BE$4&lt;&gt;DATE(2025,7,4)), (SWITCH(weekday(BE$4), 1, 0, 2, if(ISBLANK('2025'!$P475), 0, 1), 3, if(ISBLANK('2025'!$Q475), 0, 1), 4, if(ISBLANK('2025'!$R475), 0, 1), 5, if(ISBLANK('2025'!$S475), 0, 1), 6, if(ISBLANK('2025'!$T475), 0, 1), 7, 0))), 1, "")</f>
        <v/>
      </c>
    </row>
    <row r="513">
      <c r="A513" s="1">
        <f t="shared" si="3"/>
        <v>513</v>
      </c>
      <c r="B513" s="1" t="str">
        <f>'2025'!D476</f>
        <v/>
      </c>
      <c r="C513" s="1" t="str">
        <f>'2025'!H476</f>
        <v/>
      </c>
      <c r="D513" s="1" t="str">
        <f>IF(AND(AND(AND(D$4&gt;='2025'!$L476,D$4&lt;='2025'!$M476), D$4&lt;&gt;DATE(2025,7,4)), (SWITCH(weekday(D$4), 1, 0, 2, if(ISBLANK('2025'!$P476), 0, 1), 3, if(ISBLANK('2025'!$Q476), 0, 1), 4, if(ISBLANK('2025'!$R476), 0, 1), 5, if(ISBLANK('2025'!$S476), 0, 1), 6, if(ISBLANK('2025'!$T476), 0, 1), 7, 0))), 1, "")</f>
        <v/>
      </c>
      <c r="E513" s="1" t="str">
        <f>IF(AND(AND(AND(E$4&gt;='2025'!$L476,E$4&lt;='2025'!$M476), E$4&lt;&gt;DATE(2025,7,4)), (SWITCH(weekday(E$4), 1, 0, 2, if(ISBLANK('2025'!$P476), 0, 1), 3, if(ISBLANK('2025'!$Q476), 0, 1), 4, if(ISBLANK('2025'!$R476), 0, 1), 5, if(ISBLANK('2025'!$S476), 0, 1), 6, if(ISBLANK('2025'!$T476), 0, 1), 7, 0))), 1, "")</f>
        <v/>
      </c>
      <c r="F513" s="1" t="str">
        <f>IF(AND(AND(AND(F$4&gt;='2025'!$L476,F$4&lt;='2025'!$M476), F$4&lt;&gt;DATE(2025,7,4)), (SWITCH(weekday(F$4), 1, 0, 2, if(ISBLANK('2025'!$P476), 0, 1), 3, if(ISBLANK('2025'!$Q476), 0, 1), 4, if(ISBLANK('2025'!$R476), 0, 1), 5, if(ISBLANK('2025'!$S476), 0, 1), 6, if(ISBLANK('2025'!$T476), 0, 1), 7, 0))), 1, "")</f>
        <v/>
      </c>
      <c r="G513" s="1" t="str">
        <f>IF(AND(AND(AND(G$4&gt;='2025'!$L476,G$4&lt;='2025'!$M476), G$4&lt;&gt;DATE(2025,7,4)), (SWITCH(weekday(G$4), 1, 0, 2, if(ISBLANK('2025'!$P476), 0, 1), 3, if(ISBLANK('2025'!$Q476), 0, 1), 4, if(ISBLANK('2025'!$R476), 0, 1), 5, if(ISBLANK('2025'!$S476), 0, 1), 6, if(ISBLANK('2025'!$T476), 0, 1), 7, 0))), 1, "")</f>
        <v/>
      </c>
      <c r="H513" s="1" t="str">
        <f>IF(AND(AND(AND(H$4&gt;='2025'!$L476,H$4&lt;='2025'!$M476), H$4&lt;&gt;DATE(2025,7,4)), (SWITCH(weekday(H$4), 1, 0, 2, if(ISBLANK('2025'!$P476), 0, 1), 3, if(ISBLANK('2025'!$Q476), 0, 1), 4, if(ISBLANK('2025'!$R476), 0, 1), 5, if(ISBLANK('2025'!$S476), 0, 1), 6, if(ISBLANK('2025'!$T476), 0, 1), 7, 0))), 1, "")</f>
        <v/>
      </c>
      <c r="I513" s="1" t="str">
        <f>IF(AND(AND(AND(I$4&gt;='2025'!$L476,I$4&lt;='2025'!$M476), I$4&lt;&gt;DATE(2025,7,4)), (SWITCH(weekday(I$4), 1, 0, 2, if(ISBLANK('2025'!$P476), 0, 1), 3, if(ISBLANK('2025'!$Q476), 0, 1), 4, if(ISBLANK('2025'!$R476), 0, 1), 5, if(ISBLANK('2025'!$S476), 0, 1), 6, if(ISBLANK('2025'!$T476), 0, 1), 7, 0))), 1, "")</f>
        <v/>
      </c>
      <c r="J513" s="1" t="str">
        <f>IF(AND(AND(AND(J$4&gt;='2025'!$L476,J$4&lt;='2025'!$M476), J$4&lt;&gt;DATE(2025,7,4)), (SWITCH(weekday(J$4), 1, 0, 2, if(ISBLANK('2025'!$P476), 0, 1), 3, if(ISBLANK('2025'!$Q476), 0, 1), 4, if(ISBLANK('2025'!$R476), 0, 1), 5, if(ISBLANK('2025'!$S476), 0, 1), 6, if(ISBLANK('2025'!$T476), 0, 1), 7, 0))), 1, "")</f>
        <v/>
      </c>
      <c r="K513" s="1" t="str">
        <f>IF(AND(AND(AND(K$4&gt;='2025'!$L476,K$4&lt;='2025'!$M476), K$4&lt;&gt;DATE(2025,7,4)), (SWITCH(weekday(K$4), 1, 0, 2, if(ISBLANK('2025'!$P476), 0, 1), 3, if(ISBLANK('2025'!$Q476), 0, 1), 4, if(ISBLANK('2025'!$R476), 0, 1), 5, if(ISBLANK('2025'!$S476), 0, 1), 6, if(ISBLANK('2025'!$T476), 0, 1), 7, 0))), 1, "")</f>
        <v/>
      </c>
      <c r="L513" s="1" t="str">
        <f>IF(AND(AND(AND(L$4&gt;='2025'!$L476,L$4&lt;='2025'!$M476), L$4&lt;&gt;DATE(2025,7,4)), (SWITCH(weekday(L$4), 1, 0, 2, if(ISBLANK('2025'!$P476), 0, 1), 3, if(ISBLANK('2025'!$Q476), 0, 1), 4, if(ISBLANK('2025'!$R476), 0, 1), 5, if(ISBLANK('2025'!$S476), 0, 1), 6, if(ISBLANK('2025'!$T476), 0, 1), 7, 0))), 1, "")</f>
        <v/>
      </c>
      <c r="M513" s="1" t="str">
        <f>IF(AND(AND(AND(M$4&gt;='2025'!$L476,M$4&lt;='2025'!$M476), M$4&lt;&gt;DATE(2025,7,4)), (SWITCH(weekday(M$4), 1, 0, 2, if(ISBLANK('2025'!$P476), 0, 1), 3, if(ISBLANK('2025'!$Q476), 0, 1), 4, if(ISBLANK('2025'!$R476), 0, 1), 5, if(ISBLANK('2025'!$S476), 0, 1), 6, if(ISBLANK('2025'!$T476), 0, 1), 7, 0))), 1, "")</f>
        <v/>
      </c>
      <c r="N513" s="1" t="str">
        <f>IF(AND(AND(AND(N$4&gt;='2025'!$L476,N$4&lt;='2025'!$M476), N$4&lt;&gt;DATE(2025,7,4)), (SWITCH(weekday(N$4), 1, 0, 2, if(ISBLANK('2025'!$P476), 0, 1), 3, if(ISBLANK('2025'!$Q476), 0, 1), 4, if(ISBLANK('2025'!$R476), 0, 1), 5, if(ISBLANK('2025'!$S476), 0, 1), 6, if(ISBLANK('2025'!$T476), 0, 1), 7, 0))), 1, "")</f>
        <v/>
      </c>
      <c r="O513" s="1" t="str">
        <f>IF(AND(AND(AND(O$4&gt;='2025'!$L476,O$4&lt;='2025'!$M476), O$4&lt;&gt;DATE(2025,7,4)), (SWITCH(weekday(O$4), 1, 0, 2, if(ISBLANK('2025'!$P476), 0, 1), 3, if(ISBLANK('2025'!$Q476), 0, 1), 4, if(ISBLANK('2025'!$R476), 0, 1), 5, if(ISBLANK('2025'!$S476), 0, 1), 6, if(ISBLANK('2025'!$T476), 0, 1), 7, 0))), 1, "")</f>
        <v/>
      </c>
      <c r="P513" s="1" t="str">
        <f>IF(AND(AND(AND(P$4&gt;='2025'!$L476,P$4&lt;='2025'!$M476), P$4&lt;&gt;DATE(2025,7,4)), (SWITCH(weekday(P$4), 1, 0, 2, if(ISBLANK('2025'!$P476), 0, 1), 3, if(ISBLANK('2025'!$Q476), 0, 1), 4, if(ISBLANK('2025'!$R476), 0, 1), 5, if(ISBLANK('2025'!$S476), 0, 1), 6, if(ISBLANK('2025'!$T476), 0, 1), 7, 0))), 1, "")</f>
        <v/>
      </c>
      <c r="Q513" s="1" t="str">
        <f>IF(AND(AND(AND(Q$4&gt;='2025'!$L476,Q$4&lt;='2025'!$M476), Q$4&lt;&gt;DATE(2025,7,4)), (SWITCH(weekday(Q$4), 1, 0, 2, if(ISBLANK('2025'!$P476), 0, 1), 3, if(ISBLANK('2025'!$Q476), 0, 1), 4, if(ISBLANK('2025'!$R476), 0, 1), 5, if(ISBLANK('2025'!$S476), 0, 1), 6, if(ISBLANK('2025'!$T476), 0, 1), 7, 0))), 1, "")</f>
        <v/>
      </c>
      <c r="R513" s="1" t="str">
        <f>IF(AND(AND(AND(R$4&gt;='2025'!$L476,R$4&lt;='2025'!$M476), R$4&lt;&gt;DATE(2025,7,4)), (SWITCH(weekday(R$4), 1, 0, 2, if(ISBLANK('2025'!$P476), 0, 1), 3, if(ISBLANK('2025'!$Q476), 0, 1), 4, if(ISBLANK('2025'!$R476), 0, 1), 5, if(ISBLANK('2025'!$S476), 0, 1), 6, if(ISBLANK('2025'!$T476), 0, 1), 7, 0))), 1, "")</f>
        <v/>
      </c>
      <c r="S513" s="1" t="str">
        <f>IF(AND(AND(AND(S$4&gt;='2025'!$L476,S$4&lt;='2025'!$M476), S$4&lt;&gt;DATE(2025,7,4)), (SWITCH(weekday(S$4), 1, 0, 2, if(ISBLANK('2025'!$P476), 0, 1), 3, if(ISBLANK('2025'!$Q476), 0, 1), 4, if(ISBLANK('2025'!$R476), 0, 1), 5, if(ISBLANK('2025'!$S476), 0, 1), 6, if(ISBLANK('2025'!$T476), 0, 1), 7, 0))), 1, "")</f>
        <v/>
      </c>
      <c r="T513" s="1" t="str">
        <f>IF(AND(AND(AND(T$4&gt;='2025'!$L476,T$4&lt;='2025'!$M476), T$4&lt;&gt;DATE(2025,7,4)), (SWITCH(weekday(T$4), 1, 0, 2, if(ISBLANK('2025'!$P476), 0, 1), 3, if(ISBLANK('2025'!$Q476), 0, 1), 4, if(ISBLANK('2025'!$R476), 0, 1), 5, if(ISBLANK('2025'!$S476), 0, 1), 6, if(ISBLANK('2025'!$T476), 0, 1), 7, 0))), 1, "")</f>
        <v/>
      </c>
      <c r="U513" s="1" t="str">
        <f>IF(AND(AND(AND(U$4&gt;='2025'!$L476,U$4&lt;='2025'!$M476), U$4&lt;&gt;DATE(2025,7,4)), (SWITCH(weekday(U$4), 1, 0, 2, if(ISBLANK('2025'!$P476), 0, 1), 3, if(ISBLANK('2025'!$Q476), 0, 1), 4, if(ISBLANK('2025'!$R476), 0, 1), 5, if(ISBLANK('2025'!$S476), 0, 1), 6, if(ISBLANK('2025'!$T476), 0, 1), 7, 0))), 1, "")</f>
        <v/>
      </c>
      <c r="V513" s="1" t="str">
        <f>IF(AND(AND(AND(V$4&gt;='2025'!$L476,V$4&lt;='2025'!$M476), V$4&lt;&gt;DATE(2025,7,4)), (SWITCH(weekday(V$4), 1, 0, 2, if(ISBLANK('2025'!$P476), 0, 1), 3, if(ISBLANK('2025'!$Q476), 0, 1), 4, if(ISBLANK('2025'!$R476), 0, 1), 5, if(ISBLANK('2025'!$S476), 0, 1), 6, if(ISBLANK('2025'!$T476), 0, 1), 7, 0))), 1, "")</f>
        <v/>
      </c>
      <c r="W513" s="1" t="str">
        <f>IF(AND(AND(AND(W$4&gt;='2025'!$L476,W$4&lt;='2025'!$M476), W$4&lt;&gt;DATE(2025,7,4)), (SWITCH(weekday(W$4), 1, 0, 2, if(ISBLANK('2025'!$P476), 0, 1), 3, if(ISBLANK('2025'!$Q476), 0, 1), 4, if(ISBLANK('2025'!$R476), 0, 1), 5, if(ISBLANK('2025'!$S476), 0, 1), 6, if(ISBLANK('2025'!$T476), 0, 1), 7, 0))), 1, "")</f>
        <v/>
      </c>
      <c r="X513" s="1" t="str">
        <f>IF(AND(AND(AND(X$4&gt;='2025'!$L476,X$4&lt;='2025'!$M476), X$4&lt;&gt;DATE(2025,7,4)), (SWITCH(weekday(X$4), 1, 0, 2, if(ISBLANK('2025'!$P476), 0, 1), 3, if(ISBLANK('2025'!$Q476), 0, 1), 4, if(ISBLANK('2025'!$R476), 0, 1), 5, if(ISBLANK('2025'!$S476), 0, 1), 6, if(ISBLANK('2025'!$T476), 0, 1), 7, 0))), 1, "")</f>
        <v/>
      </c>
      <c r="Y513" s="1" t="str">
        <f>IF(AND(AND(AND(Y$4&gt;='2025'!$L476,Y$4&lt;='2025'!$M476), Y$4&lt;&gt;DATE(2025,7,4)), (SWITCH(weekday(Y$4), 1, 0, 2, if(ISBLANK('2025'!$P476), 0, 1), 3, if(ISBLANK('2025'!$Q476), 0, 1), 4, if(ISBLANK('2025'!$R476), 0, 1), 5, if(ISBLANK('2025'!$S476), 0, 1), 6, if(ISBLANK('2025'!$T476), 0, 1), 7, 0))), 1, "")</f>
        <v/>
      </c>
      <c r="Z513" s="1" t="str">
        <f>IF(AND(AND(AND(Z$4&gt;='2025'!$L476,Z$4&lt;='2025'!$M476), Z$4&lt;&gt;DATE(2025,7,4)), (SWITCH(weekday(Z$4), 1, 0, 2, if(ISBLANK('2025'!$P476), 0, 1), 3, if(ISBLANK('2025'!$Q476), 0, 1), 4, if(ISBLANK('2025'!$R476), 0, 1), 5, if(ISBLANK('2025'!$S476), 0, 1), 6, if(ISBLANK('2025'!$T476), 0, 1), 7, 0))), 1, "")</f>
        <v/>
      </c>
      <c r="AA513" s="1" t="str">
        <f>IF(AND(AND(AND(AA$4&gt;='2025'!$L476,AA$4&lt;='2025'!$M476), AA$4&lt;&gt;DATE(2025,7,4)), (SWITCH(weekday(AA$4), 1, 0, 2, if(ISBLANK('2025'!$P476), 0, 1), 3, if(ISBLANK('2025'!$Q476), 0, 1), 4, if(ISBLANK('2025'!$R476), 0, 1), 5, if(ISBLANK('2025'!$S476), 0, 1), 6, if(ISBLANK('2025'!$T476), 0, 1), 7, 0))), 1, "")</f>
        <v/>
      </c>
      <c r="AB513" s="1" t="str">
        <f>IF(AND(AND(AND(AB$4&gt;='2025'!$L476,AB$4&lt;='2025'!$M476), AB$4&lt;&gt;DATE(2025,7,4)), (SWITCH(weekday(AB$4), 1, 0, 2, if(ISBLANK('2025'!$P476), 0, 1), 3, if(ISBLANK('2025'!$Q476), 0, 1), 4, if(ISBLANK('2025'!$R476), 0, 1), 5, if(ISBLANK('2025'!$S476), 0, 1), 6, if(ISBLANK('2025'!$T476), 0, 1), 7, 0))), 1, "")</f>
        <v/>
      </c>
      <c r="AC513" s="1" t="str">
        <f>IF(AND(AND(AND(AC$4&gt;='2025'!$L476,AC$4&lt;='2025'!$M476), AC$4&lt;&gt;DATE(2025,7,4)), (SWITCH(weekday(AC$4), 1, 0, 2, if(ISBLANK('2025'!$P476), 0, 1), 3, if(ISBLANK('2025'!$Q476), 0, 1), 4, if(ISBLANK('2025'!$R476), 0, 1), 5, if(ISBLANK('2025'!$S476), 0, 1), 6, if(ISBLANK('2025'!$T476), 0, 1), 7, 0))), 1, "")</f>
        <v/>
      </c>
      <c r="AD513" s="1" t="str">
        <f>IF(AND(AND(AND(AD$4&gt;='2025'!$L476,AD$4&lt;='2025'!$M476), AD$4&lt;&gt;DATE(2025,7,4)), (SWITCH(weekday(AD$4), 1, 0, 2, if(ISBLANK('2025'!$P476), 0, 1), 3, if(ISBLANK('2025'!$Q476), 0, 1), 4, if(ISBLANK('2025'!$R476), 0, 1), 5, if(ISBLANK('2025'!$S476), 0, 1), 6, if(ISBLANK('2025'!$T476), 0, 1), 7, 0))), 1, "")</f>
        <v/>
      </c>
      <c r="AE513" s="1" t="str">
        <f>IF(AND(AND(AND(AE$4&gt;='2025'!$L476,AE$4&lt;='2025'!$M476), AE$4&lt;&gt;DATE(2025,7,4)), (SWITCH(weekday(AE$4), 1, 0, 2, if(ISBLANK('2025'!$P476), 0, 1), 3, if(ISBLANK('2025'!$Q476), 0, 1), 4, if(ISBLANK('2025'!$R476), 0, 1), 5, if(ISBLANK('2025'!$S476), 0, 1), 6, if(ISBLANK('2025'!$T476), 0, 1), 7, 0))), 1, "")</f>
        <v/>
      </c>
      <c r="AF513" s="1" t="str">
        <f>IF(AND(AND(AND(AF$4&gt;='2025'!$L476,AF$4&lt;='2025'!$M476), AF$4&lt;&gt;DATE(2025,7,4)), (SWITCH(weekday(AF$4), 1, 0, 2, if(ISBLANK('2025'!$P476), 0, 1), 3, if(ISBLANK('2025'!$Q476), 0, 1), 4, if(ISBLANK('2025'!$R476), 0, 1), 5, if(ISBLANK('2025'!$S476), 0, 1), 6, if(ISBLANK('2025'!$T476), 0, 1), 7, 0))), 1, "")</f>
        <v/>
      </c>
      <c r="AG513" s="1" t="str">
        <f>IF(AND(AND(AND(AG$4&gt;='2025'!$L476,AG$4&lt;='2025'!$M476), AG$4&lt;&gt;DATE(2025,7,4)), (SWITCH(weekday(AG$4), 1, 0, 2, if(ISBLANK('2025'!$P476), 0, 1), 3, if(ISBLANK('2025'!$Q476), 0, 1), 4, if(ISBLANK('2025'!$R476), 0, 1), 5, if(ISBLANK('2025'!$S476), 0, 1), 6, if(ISBLANK('2025'!$T476), 0, 1), 7, 0))), 1, "")</f>
        <v/>
      </c>
      <c r="AH513" s="1" t="str">
        <f>IF(AND(AND(AND(AH$4&gt;='2025'!$L476,AH$4&lt;='2025'!$M476), AH$4&lt;&gt;DATE(2025,7,4)), (SWITCH(weekday(AH$4), 1, 0, 2, if(ISBLANK('2025'!$P476), 0, 1), 3, if(ISBLANK('2025'!$Q476), 0, 1), 4, if(ISBLANK('2025'!$R476), 0, 1), 5, if(ISBLANK('2025'!$S476), 0, 1), 6, if(ISBLANK('2025'!$T476), 0, 1), 7, 0))), 1, "")</f>
        <v/>
      </c>
      <c r="AI513" s="1" t="str">
        <f>IF(AND(AND(AND(AI$4&gt;='2025'!$L476,AI$4&lt;='2025'!$M476), AI$4&lt;&gt;DATE(2025,7,4)), (SWITCH(weekday(AI$4), 1, 0, 2, if(ISBLANK('2025'!$P476), 0, 1), 3, if(ISBLANK('2025'!$Q476), 0, 1), 4, if(ISBLANK('2025'!$R476), 0, 1), 5, if(ISBLANK('2025'!$S476), 0, 1), 6, if(ISBLANK('2025'!$T476), 0, 1), 7, 0))), 1, "")</f>
        <v/>
      </c>
      <c r="AJ513" s="1" t="str">
        <f>IF(AND(AND(AND(AJ$4&gt;='2025'!$L476,AJ$4&lt;='2025'!$M476), AJ$4&lt;&gt;DATE(2025,7,4)), (SWITCH(weekday(AJ$4), 1, 0, 2, if(ISBLANK('2025'!$P476), 0, 1), 3, if(ISBLANK('2025'!$Q476), 0, 1), 4, if(ISBLANK('2025'!$R476), 0, 1), 5, if(ISBLANK('2025'!$S476), 0, 1), 6, if(ISBLANK('2025'!$T476), 0, 1), 7, 0))), 1, "")</f>
        <v/>
      </c>
      <c r="AK513" s="1" t="str">
        <f>IF(AND(AND(AND(AK$4&gt;='2025'!$L476,AK$4&lt;='2025'!$M476), AK$4&lt;&gt;DATE(2025,7,4)), (SWITCH(weekday(AK$4), 1, 0, 2, if(ISBLANK('2025'!$P476), 0, 1), 3, if(ISBLANK('2025'!$Q476), 0, 1), 4, if(ISBLANK('2025'!$R476), 0, 1), 5, if(ISBLANK('2025'!$S476), 0, 1), 6, if(ISBLANK('2025'!$T476), 0, 1), 7, 0))), 1, "")</f>
        <v/>
      </c>
      <c r="AL513" s="1" t="str">
        <f>IF(AND(AND(AND(AL$4&gt;='2025'!$L476,AL$4&lt;='2025'!$M476), AL$4&lt;&gt;DATE(2025,7,4)), (SWITCH(weekday(AL$4), 1, 0, 2, if(ISBLANK('2025'!$P476), 0, 1), 3, if(ISBLANK('2025'!$Q476), 0, 1), 4, if(ISBLANK('2025'!$R476), 0, 1), 5, if(ISBLANK('2025'!$S476), 0, 1), 6, if(ISBLANK('2025'!$T476), 0, 1), 7, 0))), 1, "")</f>
        <v/>
      </c>
      <c r="AM513" s="1" t="str">
        <f>IF(AND(AND(AND(AM$4&gt;='2025'!$L476,AM$4&lt;='2025'!$M476), AM$4&lt;&gt;DATE(2025,7,4)), (SWITCH(weekday(AM$4), 1, 0, 2, if(ISBLANK('2025'!$P476), 0, 1), 3, if(ISBLANK('2025'!$Q476), 0, 1), 4, if(ISBLANK('2025'!$R476), 0, 1), 5, if(ISBLANK('2025'!$S476), 0, 1), 6, if(ISBLANK('2025'!$T476), 0, 1), 7, 0))), 1, "")</f>
        <v/>
      </c>
      <c r="AN513" s="1" t="str">
        <f>IF(AND(AND(AND(AN$4&gt;='2025'!$L476,AN$4&lt;='2025'!$M476), AN$4&lt;&gt;DATE(2025,7,4)), (SWITCH(weekday(AN$4), 1, 0, 2, if(ISBLANK('2025'!$P476), 0, 1), 3, if(ISBLANK('2025'!$Q476), 0, 1), 4, if(ISBLANK('2025'!$R476), 0, 1), 5, if(ISBLANK('2025'!$S476), 0, 1), 6, if(ISBLANK('2025'!$T476), 0, 1), 7, 0))), 1, "")</f>
        <v/>
      </c>
      <c r="AO513" s="1" t="str">
        <f>IF(AND(AND(AND(AO$4&gt;='2025'!$L476,AO$4&lt;='2025'!$M476), AO$4&lt;&gt;DATE(2025,7,4)), (SWITCH(weekday(AO$4), 1, 0, 2, if(ISBLANK('2025'!$P476), 0, 1), 3, if(ISBLANK('2025'!$Q476), 0, 1), 4, if(ISBLANK('2025'!$R476), 0, 1), 5, if(ISBLANK('2025'!$S476), 0, 1), 6, if(ISBLANK('2025'!$T476), 0, 1), 7, 0))), 1, "")</f>
        <v/>
      </c>
      <c r="AP513" s="1" t="str">
        <f>IF(AND(AND(AND(AP$4&gt;='2025'!$L476,AP$4&lt;='2025'!$M476), AP$4&lt;&gt;DATE(2025,7,4)), (SWITCH(weekday(AP$4), 1, 0, 2, if(ISBLANK('2025'!$P476), 0, 1), 3, if(ISBLANK('2025'!$Q476), 0, 1), 4, if(ISBLANK('2025'!$R476), 0, 1), 5, if(ISBLANK('2025'!$S476), 0, 1), 6, if(ISBLANK('2025'!$T476), 0, 1), 7, 0))), 1, "")</f>
        <v/>
      </c>
      <c r="AQ513" s="1" t="str">
        <f>IF(AND(AND(AND(AQ$4&gt;='2025'!$L476,AQ$4&lt;='2025'!$M476), AQ$4&lt;&gt;DATE(2025,7,4)), (SWITCH(weekday(AQ$4), 1, 0, 2, if(ISBLANK('2025'!$P476), 0, 1), 3, if(ISBLANK('2025'!$Q476), 0, 1), 4, if(ISBLANK('2025'!$R476), 0, 1), 5, if(ISBLANK('2025'!$S476), 0, 1), 6, if(ISBLANK('2025'!$T476), 0, 1), 7, 0))), 1, "")</f>
        <v/>
      </c>
      <c r="AR513" s="1" t="str">
        <f>IF(AND(AND(AND(AR$4&gt;='2025'!$L476,AR$4&lt;='2025'!$M476), AR$4&lt;&gt;DATE(2025,7,4)), (SWITCH(weekday(AR$4), 1, 0, 2, if(ISBLANK('2025'!$P476), 0, 1), 3, if(ISBLANK('2025'!$Q476), 0, 1), 4, if(ISBLANK('2025'!$R476), 0, 1), 5, if(ISBLANK('2025'!$S476), 0, 1), 6, if(ISBLANK('2025'!$T476), 0, 1), 7, 0))), 1, "")</f>
        <v/>
      </c>
      <c r="AS513" s="1" t="str">
        <f>IF(AND(AND(AND(AS$4&gt;='2025'!$L476,AS$4&lt;='2025'!$M476), AS$4&lt;&gt;DATE(2025,7,4)), (SWITCH(weekday(AS$4), 1, 0, 2, if(ISBLANK('2025'!$P476), 0, 1), 3, if(ISBLANK('2025'!$Q476), 0, 1), 4, if(ISBLANK('2025'!$R476), 0, 1), 5, if(ISBLANK('2025'!$S476), 0, 1), 6, if(ISBLANK('2025'!$T476), 0, 1), 7, 0))), 1, "")</f>
        <v/>
      </c>
      <c r="AT513" s="1" t="str">
        <f>IF(AND(AND(AND(AT$4&gt;='2025'!$L476,AT$4&lt;='2025'!$M476), AT$4&lt;&gt;DATE(2025,7,4)), (SWITCH(weekday(AT$4), 1, 0, 2, if(ISBLANK('2025'!$P476), 0, 1), 3, if(ISBLANK('2025'!$Q476), 0, 1), 4, if(ISBLANK('2025'!$R476), 0, 1), 5, if(ISBLANK('2025'!$S476), 0, 1), 6, if(ISBLANK('2025'!$T476), 0, 1), 7, 0))), 1, "")</f>
        <v/>
      </c>
      <c r="AU513" s="1" t="str">
        <f>IF(AND(AND(AND(AU$4&gt;='2025'!$L476,AU$4&lt;='2025'!$M476), AU$4&lt;&gt;DATE(2025,7,4)), (SWITCH(weekday(AU$4), 1, 0, 2, if(ISBLANK('2025'!$P476), 0, 1), 3, if(ISBLANK('2025'!$Q476), 0, 1), 4, if(ISBLANK('2025'!$R476), 0, 1), 5, if(ISBLANK('2025'!$S476), 0, 1), 6, if(ISBLANK('2025'!$T476), 0, 1), 7, 0))), 1, "")</f>
        <v/>
      </c>
      <c r="AV513" s="1" t="str">
        <f>IF(AND(AND(AND(AV$4&gt;='2025'!$L476,AV$4&lt;='2025'!$M476), AV$4&lt;&gt;DATE(2025,7,4)), (SWITCH(weekday(AV$4), 1, 0, 2, if(ISBLANK('2025'!$P476), 0, 1), 3, if(ISBLANK('2025'!$Q476), 0, 1), 4, if(ISBLANK('2025'!$R476), 0, 1), 5, if(ISBLANK('2025'!$S476), 0, 1), 6, if(ISBLANK('2025'!$T476), 0, 1), 7, 0))), 1, "")</f>
        <v/>
      </c>
      <c r="AW513" s="1" t="str">
        <f>IF(AND(AND(AND(AW$4&gt;='2025'!$L476,AW$4&lt;='2025'!$M476), AW$4&lt;&gt;DATE(2025,7,4)), (SWITCH(weekday(AW$4), 1, 0, 2, if(ISBLANK('2025'!$P476), 0, 1), 3, if(ISBLANK('2025'!$Q476), 0, 1), 4, if(ISBLANK('2025'!$R476), 0, 1), 5, if(ISBLANK('2025'!$S476), 0, 1), 6, if(ISBLANK('2025'!$T476), 0, 1), 7, 0))), 1, "")</f>
        <v/>
      </c>
      <c r="AX513" s="1" t="str">
        <f>IF(AND(AND(AND(AX$4&gt;='2025'!$L476,AX$4&lt;='2025'!$M476), AX$4&lt;&gt;DATE(2025,7,4)), (SWITCH(weekday(AX$4), 1, 0, 2, if(ISBLANK('2025'!$P476), 0, 1), 3, if(ISBLANK('2025'!$Q476), 0, 1), 4, if(ISBLANK('2025'!$R476), 0, 1), 5, if(ISBLANK('2025'!$S476), 0, 1), 6, if(ISBLANK('2025'!$T476), 0, 1), 7, 0))), 1, "")</f>
        <v/>
      </c>
      <c r="AY513" s="1" t="str">
        <f>IF(AND(AND(AND(AY$4&gt;='2025'!$L476,AY$4&lt;='2025'!$M476), AY$4&lt;&gt;DATE(2025,7,4)), (SWITCH(weekday(AY$4), 1, 0, 2, if(ISBLANK('2025'!$P476), 0, 1), 3, if(ISBLANK('2025'!$Q476), 0, 1), 4, if(ISBLANK('2025'!$R476), 0, 1), 5, if(ISBLANK('2025'!$S476), 0, 1), 6, if(ISBLANK('2025'!$T476), 0, 1), 7, 0))), 1, "")</f>
        <v/>
      </c>
      <c r="AZ513" s="1" t="str">
        <f>IF(AND(AND(AND(AZ$4&gt;='2025'!$L476,AZ$4&lt;='2025'!$M476), AZ$4&lt;&gt;DATE(2025,7,4)), (SWITCH(weekday(AZ$4), 1, 0, 2, if(ISBLANK('2025'!$P476), 0, 1), 3, if(ISBLANK('2025'!$Q476), 0, 1), 4, if(ISBLANK('2025'!$R476), 0, 1), 5, if(ISBLANK('2025'!$S476), 0, 1), 6, if(ISBLANK('2025'!$T476), 0, 1), 7, 0))), 1, "")</f>
        <v/>
      </c>
      <c r="BA513" s="1" t="str">
        <f>IF(AND(AND(AND(BA$4&gt;='2025'!$L476,BA$4&lt;='2025'!$M476), BA$4&lt;&gt;DATE(2025,7,4)), (SWITCH(weekday(BA$4), 1, 0, 2, if(ISBLANK('2025'!$P476), 0, 1), 3, if(ISBLANK('2025'!$Q476), 0, 1), 4, if(ISBLANK('2025'!$R476), 0, 1), 5, if(ISBLANK('2025'!$S476), 0, 1), 6, if(ISBLANK('2025'!$T476), 0, 1), 7, 0))), 1, "")</f>
        <v/>
      </c>
      <c r="BB513" s="1" t="str">
        <f>IF(AND(AND(AND(BB$4&gt;='2025'!$L476,BB$4&lt;='2025'!$M476), BB$4&lt;&gt;DATE(2025,7,4)), (SWITCH(weekday(BB$4), 1, 0, 2, if(ISBLANK('2025'!$P476), 0, 1), 3, if(ISBLANK('2025'!$Q476), 0, 1), 4, if(ISBLANK('2025'!$R476), 0, 1), 5, if(ISBLANK('2025'!$S476), 0, 1), 6, if(ISBLANK('2025'!$T476), 0, 1), 7, 0))), 1, "")</f>
        <v/>
      </c>
      <c r="BC513" s="1" t="str">
        <f>IF(AND(AND(AND(BC$4&gt;='2025'!$L476,BC$4&lt;='2025'!$M476), BC$4&lt;&gt;DATE(2025,7,4)), (SWITCH(weekday(BC$4), 1, 0, 2, if(ISBLANK('2025'!$P476), 0, 1), 3, if(ISBLANK('2025'!$Q476), 0, 1), 4, if(ISBLANK('2025'!$R476), 0, 1), 5, if(ISBLANK('2025'!$S476), 0, 1), 6, if(ISBLANK('2025'!$T476), 0, 1), 7, 0))), 1, "")</f>
        <v/>
      </c>
      <c r="BD513" s="1" t="str">
        <f>IF(AND(AND(AND(BD$4&gt;='2025'!$L476,BD$4&lt;='2025'!$M476), BD$4&lt;&gt;DATE(2025,7,4)), (SWITCH(weekday(BD$4), 1, 0, 2, if(ISBLANK('2025'!$P476), 0, 1), 3, if(ISBLANK('2025'!$Q476), 0, 1), 4, if(ISBLANK('2025'!$R476), 0, 1), 5, if(ISBLANK('2025'!$S476), 0, 1), 6, if(ISBLANK('2025'!$T476), 0, 1), 7, 0))), 1, "")</f>
        <v/>
      </c>
      <c r="BE513" s="1" t="str">
        <f>IF(AND(AND(AND(BE$4&gt;='2025'!$L476,BE$4&lt;='2025'!$M476), BE$4&lt;&gt;DATE(2025,7,4)), (SWITCH(weekday(BE$4), 1, 0, 2, if(ISBLANK('2025'!$P476), 0, 1), 3, if(ISBLANK('2025'!$Q476), 0, 1), 4, if(ISBLANK('2025'!$R476), 0, 1), 5, if(ISBLANK('2025'!$S476), 0, 1), 6, if(ISBLANK('2025'!$T476), 0, 1), 7, 0))), 1, "")</f>
        <v/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3" width="14.71"/>
    <col customWidth="1" min="4" max="4" width="15.0"/>
    <col customWidth="1" min="5" max="5" width="8.57"/>
    <col customWidth="1" min="6" max="6" width="8.0"/>
    <col customWidth="1" min="7" max="7" width="11.43"/>
    <col customWidth="1" min="8" max="27" width="8.71"/>
  </cols>
  <sheetData>
    <row r="1" ht="14.25" customHeight="1">
      <c r="A1" s="1" t="s">
        <v>852</v>
      </c>
      <c r="B1" s="201" t="s">
        <v>853</v>
      </c>
      <c r="C1" s="201" t="s">
        <v>505</v>
      </c>
      <c r="D1" s="201" t="s">
        <v>506</v>
      </c>
      <c r="E1" s="201" t="s">
        <v>490</v>
      </c>
      <c r="F1" s="201" t="s">
        <v>2</v>
      </c>
      <c r="G1" s="201" t="s">
        <v>854</v>
      </c>
    </row>
    <row r="2" ht="14.25" customHeight="1">
      <c r="B2" s="202">
        <v>45670.0</v>
      </c>
      <c r="C2" s="1" t="s">
        <v>855</v>
      </c>
      <c r="D2" s="1" t="s">
        <v>856</v>
      </c>
      <c r="E2" s="1" t="s">
        <v>161</v>
      </c>
      <c r="F2" s="1" t="s">
        <v>857</v>
      </c>
      <c r="G2" s="1" t="s">
        <v>858</v>
      </c>
    </row>
    <row r="3" ht="14.25" customHeight="1">
      <c r="B3" s="202">
        <v>45722.0</v>
      </c>
      <c r="C3" s="1" t="s">
        <v>859</v>
      </c>
      <c r="D3" s="1" t="s">
        <v>860</v>
      </c>
      <c r="E3" s="1" t="s">
        <v>837</v>
      </c>
      <c r="F3" s="1" t="s">
        <v>861</v>
      </c>
      <c r="G3" s="1" t="s">
        <v>858</v>
      </c>
    </row>
    <row r="4" ht="14.25" customHeight="1">
      <c r="B4" s="202"/>
    </row>
    <row r="5" ht="14.25" customHeight="1">
      <c r="B5" s="202"/>
    </row>
    <row r="6" ht="14.25" customHeight="1">
      <c r="B6" s="202"/>
    </row>
    <row r="7" ht="14.25" customHeight="1">
      <c r="B7" s="202"/>
    </row>
    <row r="8" ht="14.25" customHeight="1">
      <c r="B8" s="202"/>
    </row>
    <row r="9" ht="14.25" customHeight="1">
      <c r="B9" s="202"/>
      <c r="E9" s="203"/>
      <c r="F9" s="202"/>
      <c r="L9" s="202"/>
      <c r="M9" s="202"/>
      <c r="O9" s="117"/>
      <c r="Q9" s="204"/>
      <c r="R9" s="204"/>
      <c r="X9" s="203"/>
    </row>
    <row r="10" ht="14.25" customHeight="1">
      <c r="B10" s="202"/>
    </row>
    <row r="11" ht="14.25" customHeight="1"/>
    <row r="12" ht="14.25" customHeight="1"/>
    <row r="13" ht="14.25" customHeight="1">
      <c r="B13" s="202"/>
    </row>
    <row r="14" ht="14.25" customHeight="1">
      <c r="B14" s="202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2020-12-04T18:46:43Z</dcterms:created>
  <dc:creator>dillydally</dc:creator>
</cp:coreProperties>
</file>